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Loan Tape" sheetId="3" state="visible" r:id="rId5"/>
    <sheet name="Strats" sheetId="4" state="visible" r:id="rId6"/>
    <sheet name="Deal Strat" sheetId="5" state="visible" r:id="rId7"/>
    <sheet name="Loan Runs" sheetId="6" state="visible" r:id="rId8"/>
    <sheet name="Loan CF" sheetId="7" state="visible" r:id="rId9"/>
    <sheet name="Pool Returns" sheetId="8" state="visible" r:id="rId10"/>
  </sheets>
  <definedNames>
    <definedName function="false" hidden="false" localSheetId="1" name="_xlnm.Print_Area" vbProcedure="false">Assumptions!$B$2:$H$54</definedName>
    <definedName function="false" hidden="false" localSheetId="0" name="_xlnm.Print_Area" vbProcedure="false">Cover!$B$2:$E$45</definedName>
    <definedName function="false" hidden="true" localSheetId="5" name="_xlnm._FilterDatabase" vbProcedure="false">'Loan Runs'!$B$26:$AD$326</definedName>
    <definedName function="false" hidden="false" localSheetId="7" name="_xlnm.Print_Area" vbProcedure="false">'Pool Returns'!$B$2:$M$125</definedName>
    <definedName function="false" hidden="false" name="Acc_Int" vbProcedure="false">Assumptions!$F$14</definedName>
    <definedName function="false" hidden="false" name="Acq_Cost" vbProcedure="false">Assumptions!$F$15</definedName>
    <definedName function="false" hidden="false" name="Adv_Rate" vbProcedure="false">Assumptions!$F$21</definedName>
    <definedName function="false" hidden="false" name="Amort_Min" vbProcedure="false">Assumptions!$F$44</definedName>
    <definedName function="false" hidden="false" name="Amort_Term" vbProcedure="false">Assumptions!$F$43</definedName>
    <definedName function="false" hidden="false" name="AM_Fee" vbProcedure="false">Assumptions!$F$31</definedName>
    <definedName function="false" hidden="false" name="Cash_Sweep" vbProcedure="false">Assumptions!$F$25</definedName>
    <definedName function="false" hidden="false" name="CDR" vbProcedure="false">Assumptions!$F$34</definedName>
    <definedName function="false" hidden="false" name="CPR" vbProcedure="false">Assumptions!$F$38</definedName>
    <definedName function="false" hidden="false" name="Deal_Scope" vbProcedure="false">Assumptions!$F$11</definedName>
    <definedName function="false" hidden="false" name="Debt_Yr" vbProcedure="false">Assumptions!$F$27</definedName>
    <definedName function="false" hidden="false" name="Exit_Cost" vbProcedure="false">Assumptions!$F$17</definedName>
    <definedName function="false" hidden="false" name="Exit_Px" vbProcedure="false">Assumptions!$F$16</definedName>
    <definedName function="false" hidden="false" name="Ext_Flag" vbProcedure="false">Assumptions!$F$40</definedName>
    <definedName function="false" hidden="false" name="Ext_Months" vbProcedure="false">Assumptions!$F$41</definedName>
    <definedName function="false" hidden="false" name="Fin_Cost" vbProcedure="false">Assumptions!$F$28</definedName>
    <definedName function="false" hidden="false" name="Fin_Curve" vbProcedure="false">Assumptions!$C$52:$L$52</definedName>
    <definedName function="false" hidden="false" name="Fin_ExitFee" vbProcedure="false">Assumptions!$F$24</definedName>
    <definedName function="false" hidden="false" name="Fin_Flag" vbProcedure="false">Assumptions!$F$19</definedName>
    <definedName function="false" hidden="false" name="Fin_Spread" vbProcedure="false">Assumptions!$F$22</definedName>
    <definedName function="false" hidden="false" name="Fin_Struct" vbProcedure="false">Assumptions!$F$20</definedName>
    <definedName function="false" hidden="false" name="Fin_Term" vbProcedure="false">Assumptions!$F$26</definedName>
    <definedName function="false" hidden="false" name="Fin_UpFee" vbProcedure="false">Assumptions!$F$23</definedName>
    <definedName function="false" hidden="false" name="Fixed_Cost" vbProcedure="false">Assumptions!$F$32</definedName>
    <definedName function="false" hidden="false" name="Hold_Yrs" vbProcedure="false">Assumptions!$F$12</definedName>
    <definedName function="false" hidden="false" name="Idx_Curve" vbProcedure="false">Assumptions!$C$51:$L$51</definedName>
    <definedName function="false" hidden="false" name="Idx_Input" vbProcedure="false">Assumptions!$C$50:$L$50</definedName>
    <definedName function="false" hidden="false" name="Idx_Shift" vbProcedure="false">Assumptions!$F$46</definedName>
    <definedName function="false" hidden="false" name="Prepay_Pen" vbProcedure="false">Assumptions!$F$39</definedName>
    <definedName function="false" hidden="false" name="Px_Par" vbProcedure="false">Assumptions!$F$13</definedName>
    <definedName function="false" hidden="false" name="Rec_Lag" vbProcedure="false">Assumptions!$F$36</definedName>
    <definedName function="false" hidden="false" name="Scen" vbProcedure="false">Assumptions!$C$4</definedName>
    <definedName function="false" hidden="false" name="Set_Date" vbProcedure="false">Assumptions!$F$10</definedName>
    <definedName function="false" hidden="false" name="Sev" vbProcedure="false">Assumptions!$F$35</definedName>
    <definedName function="false" hidden="false" name="Svc_Fee" vbProcedure="false">Assumptions!$F$30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<sst xmlns="http://schemas.openxmlformats.org/spreadsheetml/2006/main" count="2627" uniqueCount="708">
  <si>
    <t xml:space="preserve">SSP LOAN POOL MODEL</t>
  </si>
  <si>
    <t xml:space="preserve">Stratification package, individual loan runs and levered returns</t>
  </si>
  <si>
    <t xml:space="preserve">Illustrative sample loan tape. Replace with the live deal data.</t>
  </si>
  <si>
    <t xml:space="preserve">HOW THE MODEL WORKS</t>
  </si>
  <si>
    <t xml:space="preserve">•</t>
  </si>
  <si>
    <t xml:space="preserve">The Loan Tape is the single source of data. Nothing else on the model holds loan level hardcodes.</t>
  </si>
  <si>
    <t xml:space="preserve">The Assumptions tab holds every lever. One scenario switch moves purchase price, advance rate, financing spread, credit, prepayment and the index curve together.</t>
  </si>
  <si>
    <t xml:space="preserve">The Loan CF tab runs each loan on its own through an annual cash flow, so the pool result is the sum of the individual loan runs rather than a weighted average approximation.</t>
  </si>
  <si>
    <t xml:space="preserve">The Loan Runs tab shows the outcome of each loan run side by side and aggregates them. The Pool Returns tab layers pool level fees and the financing facility on top to give the levered equity return.</t>
  </si>
  <si>
    <t xml:space="preserve">Six tie out checks at the foot of the Pool Returns tab prove the aggregation, the sources and uses and the balance roll forward.</t>
  </si>
  <si>
    <t xml:space="preserve">CONTENTS</t>
  </si>
  <si>
    <t xml:space="preserve">Tab</t>
  </si>
  <si>
    <t xml:space="preserve">What it does</t>
  </si>
  <si>
    <t xml:space="preserve">Type</t>
  </si>
  <si>
    <t xml:space="preserve">Assumptions</t>
  </si>
  <si>
    <t xml:space="preserve">Every lever in one place. Scenario grid with a downside, base and upside column and a single switch that drives the whole model, plus the forward index curve.</t>
  </si>
  <si>
    <t xml:space="preserve">Input</t>
  </si>
  <si>
    <t xml:space="preserve">Loan Tape</t>
  </si>
  <si>
    <t xml:space="preserve">Loan level data for up to 300 loans. Columns A to AM are the strat feed. Columns AN to BE are the pricing and financing feed the returns engine reads.</t>
  </si>
  <si>
    <t xml:space="preserve">Input and calculation</t>
  </si>
  <si>
    <t xml:space="preserve">Strats</t>
  </si>
  <si>
    <t xml:space="preserve">Portfolio wide stratification package across 27 dimensions with tie out checks. Unchanged in structure from the original build.</t>
  </si>
  <si>
    <t xml:space="preserve">Output</t>
  </si>
  <si>
    <t xml:space="preserve">Deal Strat</t>
  </si>
  <si>
    <t xml:space="preserve">The same package filtered to one underlying deal, selected on that tab.</t>
  </si>
  <si>
    <t xml:space="preserve">Loan Runs</t>
  </si>
  <si>
    <t xml:space="preserve">One row per loan: purchase price, basis, collections, credit loss, unlevered and levered IRR and MOIC, with a total and weighted average row. Includes a single loan drill down.</t>
  </si>
  <si>
    <t xml:space="preserve">Loan CF</t>
  </si>
  <si>
    <t xml:space="preserve">The engine. Annual cash flows for every loan, one block per line item, from beginning balance through levered equity cash flow.</t>
  </si>
  <si>
    <t xml:space="preserve">Calculation</t>
  </si>
  <si>
    <t xml:space="preserve">Pool Returns</t>
  </si>
  <si>
    <t xml:space="preserve">Sources and uses at close, the aggregated pool cash flow, unlevered and levered returns, three sensitivity grids and six tie out checks.</t>
  </si>
  <si>
    <t xml:space="preserve">LEGEND, FONT COLOR SHOWS HOW A NUMBER GOT INTO A CELL</t>
  </si>
  <si>
    <t xml:space="preserve">Color</t>
  </si>
  <si>
    <t xml:space="preserve">Meaning</t>
  </si>
  <si>
    <t xml:space="preserve">Green text</t>
  </si>
  <si>
    <t xml:space="preserve">1,234</t>
  </si>
  <si>
    <t xml:space="preserve">Hardcoded input typed on that sheet. These are the only cells to change.</t>
  </si>
  <si>
    <t xml:space="preserve">Blue text</t>
  </si>
  <si>
    <t xml:space="preserve">Link to another cell or another tab.</t>
  </si>
  <si>
    <t xml:space="preserve">Purple text</t>
  </si>
  <si>
    <t xml:space="preserve">Hardcode carried in from another schedule.</t>
  </si>
  <si>
    <t xml:space="preserve">Black text</t>
  </si>
  <si>
    <t xml:space="preserve">Calculated on that sheet.</t>
  </si>
  <si>
    <t xml:space="preserve">LEGEND, FILL COLOR</t>
  </si>
  <si>
    <t xml:space="preserve">Dark navy</t>
  </si>
  <si>
    <t xml:space="preserve">Header rows, banner bars and total or weighted average rows.</t>
  </si>
  <si>
    <t xml:space="preserve">Light blue</t>
  </si>
  <si>
    <t xml:space="preserve">Section labels, the active case column and the live cell in a sensitivity grid.</t>
  </si>
  <si>
    <t xml:space="preserve">Light gray</t>
  </si>
  <si>
    <t xml:space="preserve">Row banding and label columns.</t>
  </si>
  <si>
    <t xml:space="preserve">Light red</t>
  </si>
  <si>
    <t xml:space="preserve">Downside sensitivity cells and failed checks.</t>
  </si>
  <si>
    <t xml:space="preserve">Light green</t>
  </si>
  <si>
    <t xml:space="preserve">Upside sensitivity cells and passed checks.</t>
  </si>
  <si>
    <t xml:space="preserve">Source: loan level fields are the illustrative sample tape carried over from the original strats file. Purchase price, financing terms, credit and prepayment assumptions are user inputs and carry no external source. Replace the forward index curve on the Assumptions tab with the live curve at pricing.</t>
  </si>
  <si>
    <t xml:space="preserve">TRANSACTION, FINANCING AND RETURN ASSUMPTIONS</t>
  </si>
  <si>
    <t xml:space="preserve">Active Scenario (1 = Downside, 2 = Base, 3 = Upside)</t>
  </si>
  <si>
    <t xml:space="preserve">Active Scenario</t>
  </si>
  <si>
    <t xml:space="preserve">Green cells are inputs. Black cells are calculated. Blue cells link to another tab. Every assumption below feeds the loan level engine on the Loan CF tab.</t>
  </si>
  <si>
    <t xml:space="preserve">Assumption</t>
  </si>
  <si>
    <t xml:space="preserve">Downside</t>
  </si>
  <si>
    <t xml:space="preserve">Base</t>
  </si>
  <si>
    <t xml:space="preserve">Upside</t>
  </si>
  <si>
    <t xml:space="preserve">Active Case</t>
  </si>
  <si>
    <t xml:space="preserve">Basis and Note</t>
  </si>
  <si>
    <t xml:space="preserve">TRANSACTION AND POOL SCOPE</t>
  </si>
  <si>
    <t xml:space="preserve">As-Of / Settlement Date</t>
  </si>
  <si>
    <t xml:space="preserve">n/a</t>
  </si>
  <si>
    <t xml:space="preserve">Drives seasoning, remaining term and the strat tie outs on the Strats tab.</t>
  </si>
  <si>
    <t xml:space="preserve">Deal Scope Purchased</t>
  </si>
  <si>
    <t xml:space="preserve">All Deals</t>
  </si>
  <si>
    <t xml:space="preserve">All Deals buys the entire tape. Selecting a single deal restricts the purchase to that deal and reprices the pool accordingly.</t>
  </si>
  <si>
    <t xml:space="preserve">Hold Period (Years, integer 1 to 10)</t>
  </si>
  <si>
    <t xml:space="preserve">Sets the exit year. Residual balance is sold at the exit price in this year.</t>
  </si>
  <si>
    <t xml:space="preserve">Purchase Price (% of Par)</t>
  </si>
  <si>
    <t xml:space="preserve">Applied to Current UPB on every loan in scope. Discount to par accretes through the hold period.</t>
  </si>
  <si>
    <t xml:space="preserve">Accrued Interest Purchased (% of Par)</t>
  </si>
  <si>
    <t xml:space="preserve">Day count accrual paid to the seller at settlement. Part of basis, not of purchase price.</t>
  </si>
  <si>
    <t xml:space="preserve">Acquisition and Diligence Costs (% of Purchase Price)</t>
  </si>
  <si>
    <t xml:space="preserve">Legal, third party reports, servicer onboarding and transfer costs.</t>
  </si>
  <si>
    <t xml:space="preserve">Exit Price (% of Par on Residual Balance)</t>
  </si>
  <si>
    <t xml:space="preserve">Applied to the performing balance still outstanding at the end of the hold period.</t>
  </si>
  <si>
    <t xml:space="preserve">Exit / Disposition Costs (% of Exit Proceeds)</t>
  </si>
  <si>
    <t xml:space="preserve">Broker, legal and transfer costs on the residual sale.</t>
  </si>
  <si>
    <t xml:space="preserve">FINANCING STRUCTURE</t>
  </si>
  <si>
    <t xml:space="preserve">Financing Used (Yes / No)</t>
  </si>
  <si>
    <t xml:space="preserve">Yes</t>
  </si>
  <si>
    <t xml:space="preserve">Set to No for an all equity purchase. Levered and unlevered returns converge when this is No.</t>
  </si>
  <si>
    <t xml:space="preserve">Financing Structure</t>
  </si>
  <si>
    <t xml:space="preserve">Repo Facility</t>
  </si>
  <si>
    <t xml:space="preserve">Label only. The economics are driven by advance rate, spread, fees and sweep below.</t>
  </si>
  <si>
    <t xml:space="preserve">Advance Rate (% of Purchase Price)</t>
  </si>
  <si>
    <t xml:space="preserve">Facility size at close. Advance is struck off purchase price, not par.</t>
  </si>
  <si>
    <t xml:space="preserve">Financing Spread over Index (bps)</t>
  </si>
  <si>
    <t xml:space="preserve">Added to the active index curve to give the all in cost of debt by year.</t>
  </si>
  <si>
    <t xml:space="preserve">Upfront Financing Fee (% of Facility)</t>
  </si>
  <si>
    <t xml:space="preserve">Structuring and commitment fee funded at close out of equity.</t>
  </si>
  <si>
    <t xml:space="preserve">Exit / Termination Fee (% of Facility)</t>
  </si>
  <si>
    <t xml:space="preserve">Charged on facility amounts as they are repaid, so the whole fee is paid by the time the facility is retired.</t>
  </si>
  <si>
    <t xml:space="preserve">Cash Sweep to Debt (% of Principal Collections)</t>
  </si>
  <si>
    <t xml:space="preserve">Share of principal, payoff and recovery proceeds applied to the facility before equity is released.</t>
  </si>
  <si>
    <t xml:space="preserve">Financing Term (Years)</t>
  </si>
  <si>
    <t xml:space="preserve">Facility must be fully repaid by the earlier of this year and the hold period.</t>
  </si>
  <si>
    <t xml:space="preserve">Debt Repayment Year (Model)</t>
  </si>
  <si>
    <t xml:space="preserve">The facility is swept to zero in this year and the exit fee is charged.</t>
  </si>
  <si>
    <t xml:space="preserve">All in Cost of Debt, Year 1 (%)</t>
  </si>
  <si>
    <t xml:space="preserve">Active index curve in Year 1 plus the financing spread.</t>
  </si>
  <si>
    <t xml:space="preserve">FEES AND ONGOING COSTS</t>
  </si>
  <si>
    <t xml:space="preserve">Servicing and Special Servicing Fee (bps on Avg. Balance)</t>
  </si>
  <si>
    <t xml:space="preserve">Charged at the pool level on the average performing balance each year.</t>
  </si>
  <si>
    <t xml:space="preserve">Asset Management Fee (bps on Invested Equity)</t>
  </si>
  <si>
    <t xml:space="preserve">Charged at the pool level on equity funded at close for each year of the hold period.</t>
  </si>
  <si>
    <t xml:space="preserve">Annual Fixed and Administrative Costs ($)</t>
  </si>
  <si>
    <t xml:space="preserve">Audit, admin, custody and reporting. Charged at the pool level.</t>
  </si>
  <si>
    <t xml:space="preserve">CREDIT</t>
  </si>
  <si>
    <t xml:space="preserve">CDR, Annual Default Rate (% of Performing Balance)</t>
  </si>
  <si>
    <t xml:space="preserve">Applied to the beginning performing balance of each loan each year.</t>
  </si>
  <si>
    <t xml:space="preserve">Loss Severity (% of Defaulted Balance)</t>
  </si>
  <si>
    <t xml:space="preserve">One minus severity is recovered in cash after the recovery lag below.</t>
  </si>
  <si>
    <t xml:space="preserve">Recovery Lag (Years, integer)</t>
  </si>
  <si>
    <t xml:space="preserve">Whole years between default and receipt of recovery proceeds. Recoveries still in the pipeline at exit are valued in the exit proceeds.</t>
  </si>
  <si>
    <t xml:space="preserve">PREPAYMENT AND EXTENSION</t>
  </si>
  <si>
    <t xml:space="preserve">CPR, Annual Prepayment Rate (% of Performing Balance)</t>
  </si>
  <si>
    <t xml:space="preserve">Voluntary prepayment on the performing balance in each year before maturity.</t>
  </si>
  <si>
    <t xml:space="preserve">Prepayment Penalty Captured (% of Prepaid Balance)</t>
  </si>
  <si>
    <t xml:space="preserve">Blended yield maintenance and exit fee capture across the tape.</t>
  </si>
  <si>
    <t xml:space="preserve">Assume Extension Options Exercised (Yes / No)</t>
  </si>
  <si>
    <t xml:space="preserve">When Yes, every loan flagged with an extension option in the tape gets the extension length added to its remaining term.</t>
  </si>
  <si>
    <t xml:space="preserve">Extension Length (Months)</t>
  </si>
  <si>
    <t xml:space="preserve">Added to remaining term for loans with an extension option.</t>
  </si>
  <si>
    <t xml:space="preserve">AMORTIZATION</t>
  </si>
  <si>
    <t xml:space="preserve">Assumed Amortization Term for Amortizing Loans (Years)</t>
  </si>
  <si>
    <t xml:space="preserve">Full amortizing and partial IO loans amortize on this schedule once the IO period rolls off.</t>
  </si>
  <si>
    <t xml:space="preserve">Minimum Amortization Term Remaining (Years)</t>
  </si>
  <si>
    <t xml:space="preserve">Floor on the remaining amortization term so seasoned loans do not amortize implausibly fast.</t>
  </si>
  <si>
    <t xml:space="preserve">INDEX CURVE</t>
  </si>
  <si>
    <t xml:space="preserve">Scenario Index Shift (bps, parallel)</t>
  </si>
  <si>
    <t xml:space="preserve">Parallel shift applied to the input forward curve below. Floating rate loans and the facility both reprice.</t>
  </si>
  <si>
    <t xml:space="preserve">FORWARD INDEX CURVE AND ALL IN COST OF DEBT</t>
  </si>
  <si>
    <t xml:space="preserve">Curve</t>
  </si>
  <si>
    <t xml:space="preserve">Forward Index, Input Curve (%)</t>
  </si>
  <si>
    <t xml:space="preserve">Active Index Curve (%)</t>
  </si>
  <si>
    <t xml:space="preserve">All in Cost of Debt Curve (%)</t>
  </si>
  <si>
    <t xml:space="preserve">Source: forward Term SOFR input curve is a user assumption. Replace the green input row with the live forward curve at pricing.</t>
  </si>
  <si>
    <t xml:space="preserve">LOAN TAPE — [NEW DEAL NAME]  (illustrative sample data shown)</t>
  </si>
  <si>
    <t xml:space="preserve">Rows 4-53 below are 50 illustrative sample loans for demonstration only — replace with your new deal's actual loan-level data. Green cells are hardcoded inputs; black cells are formulas (Seasoning, Coupon (Current), IO Remaining, Coupon at Reset) — leave them as is. If a loan sits in more than one underlying deal, tag it in the Underlying Deal column, then relabel the placeholder deal names on the Strats tab.</t>
  </si>
  <si>
    <t xml:space="preserve">Columns AN to BE are the pricing and financing engine feed. Every one is a formula driven by the Assumptions tab. Do not type over them.</t>
  </si>
  <si>
    <t xml:space="preserve">Loan ID</t>
  </si>
  <si>
    <t xml:space="preserve">Loan / Property Name</t>
  </si>
  <si>
    <t xml:space="preserve">State</t>
  </si>
  <si>
    <t xml:space="preserve">Property Type</t>
  </si>
  <si>
    <t xml:space="preserve">Underlying Deal</t>
  </si>
  <si>
    <t xml:space="preserve">Number of Units</t>
  </si>
  <si>
    <t xml:space="preserve">Origination Date</t>
  </si>
  <si>
    <t xml:space="preserve">Maturity Date</t>
  </si>
  <si>
    <t xml:space="preserve">Original Term (Months)</t>
  </si>
  <si>
    <t xml:space="preserve">IO Term (Months)</t>
  </si>
  <si>
    <t xml:space="preserve">Rate Type</t>
  </si>
  <si>
    <t xml:space="preserve">Fixed Coupon (if Fixed)</t>
  </si>
  <si>
    <t xml:space="preserve">Floating Rate Spread</t>
  </si>
  <si>
    <t xml:space="preserve">Reset Frequency</t>
  </si>
  <si>
    <t xml:space="preserve">Next Reset Date</t>
  </si>
  <si>
    <t xml:space="preserve">Rate Cap (if Floating)</t>
  </si>
  <si>
    <t xml:space="preserve">Rate Floor (if Floating)</t>
  </si>
  <si>
    <t xml:space="preserve">Current UPB</t>
  </si>
  <si>
    <t xml:space="preserve">Occupancy</t>
  </si>
  <si>
    <t xml:space="preserve">NOI Debt Yield (Most Recent)</t>
  </si>
  <si>
    <t xml:space="preserve">DSCR (Most Recent)</t>
  </si>
  <si>
    <t xml:space="preserve">LTV (Most Recent)</t>
  </si>
  <si>
    <t xml:space="preserve">SSP / Underwritten LTV</t>
  </si>
  <si>
    <t xml:space="preserve">Year Built</t>
  </si>
  <si>
    <t xml:space="preserve">Year Renovated</t>
  </si>
  <si>
    <t xml:space="preserve">Amortization Type</t>
  </si>
  <si>
    <t xml:space="preserve">Extension Option</t>
  </si>
  <si>
    <t xml:space="preserve">Prepayment Protection</t>
  </si>
  <si>
    <t xml:space="preserve">Lien Position</t>
  </si>
  <si>
    <t xml:space="preserve">Sponsor Type</t>
  </si>
  <si>
    <t xml:space="preserve">Loan Purpose</t>
  </si>
  <si>
    <t xml:space="preserve">Delinquency Status</t>
  </si>
  <si>
    <t xml:space="preserve">Ownership Interest</t>
  </si>
  <si>
    <t xml:space="preserve">Seasoning (Months)</t>
  </si>
  <si>
    <t xml:space="preserve">Coupon (Current)</t>
  </si>
  <si>
    <t xml:space="preserve">IO Remaining (Months)</t>
  </si>
  <si>
    <t xml:space="preserve">Coupon at Reset (Stress)</t>
  </si>
  <si>
    <t xml:space="preserve">Rank within Selected Deal</t>
  </si>
  <si>
    <t xml:space="preserve">Rank (by UPB)</t>
  </si>
  <si>
    <t xml:space="preserve">Include in Purchase (1 / 0)</t>
  </si>
  <si>
    <t xml:space="preserve">Remaining Term to Maturity (Mos)</t>
  </si>
  <si>
    <t xml:space="preserve">Extension Months Added</t>
  </si>
  <si>
    <t xml:space="preserve">Effective Term (Mos)</t>
  </si>
  <si>
    <t xml:space="preserve">Effective Term (Yrs)</t>
  </si>
  <si>
    <t xml:space="preserve">IO Remaining (Yrs)</t>
  </si>
  <si>
    <t xml:space="preserve">Amort. Term Remaining (Yrs)</t>
  </si>
  <si>
    <t xml:space="preserve">Model End Year (Maturity vs. Hold)</t>
  </si>
  <si>
    <t xml:space="preserve">Maturity Year (Model)</t>
  </si>
  <si>
    <t xml:space="preserve">Matures within Hold (1 / 0)</t>
  </si>
  <si>
    <t xml:space="preserve">Purchase Price ($)</t>
  </si>
  <si>
    <t xml:space="preserve">Accrued Interest ($)</t>
  </si>
  <si>
    <t xml:space="preserve">Acquisition Costs ($)</t>
  </si>
  <si>
    <t xml:space="preserve">Total Basis ($)</t>
  </si>
  <si>
    <t xml:space="preserve">Debt Allocated ($)</t>
  </si>
  <si>
    <t xml:space="preserve">Financing Fees ($)</t>
  </si>
  <si>
    <t xml:space="preserve">Equity Allocated ($)</t>
  </si>
  <si>
    <t xml:space="preserve">L-001</t>
  </si>
  <si>
    <t xml:space="preserve">Oceanview Plaza</t>
  </si>
  <si>
    <t xml:space="preserve">TX</t>
  </si>
  <si>
    <t xml:space="preserve">Retail</t>
  </si>
  <si>
    <t xml:space="preserve">Deal 4</t>
  </si>
  <si>
    <t xml:space="preserve">Floating</t>
  </si>
  <si>
    <t xml:space="preserve">Monthly</t>
  </si>
  <si>
    <t xml:space="preserve">Partial IO</t>
  </si>
  <si>
    <t xml:space="preserve">Freely Prepayable</t>
  </si>
  <si>
    <t xml:space="preserve">First Lien</t>
  </si>
  <si>
    <t xml:space="preserve">PE Fund</t>
  </si>
  <si>
    <t xml:space="preserve">Acquisition</t>
  </si>
  <si>
    <t xml:space="preserve">Current</t>
  </si>
  <si>
    <t xml:space="preserve">Fee Simple</t>
  </si>
  <si>
    <t xml:space="preserve">L-002</t>
  </si>
  <si>
    <t xml:space="preserve">Chandler Resort</t>
  </si>
  <si>
    <t xml:space="preserve">FL</t>
  </si>
  <si>
    <t xml:space="preserve">Hotel</t>
  </si>
  <si>
    <t xml:space="preserve">Deal 6</t>
  </si>
  <si>
    <t xml:space="preserve">Prepayable with Penalty</t>
  </si>
  <si>
    <t xml:space="preserve">Refinance</t>
  </si>
  <si>
    <t xml:space="preserve">L-003</t>
  </si>
  <si>
    <t xml:space="preserve">Deerfield Terrace</t>
  </si>
  <si>
    <t xml:space="preserve">CO</t>
  </si>
  <si>
    <t xml:space="preserve">Multifamily</t>
  </si>
  <si>
    <t xml:space="preserve">Deal 7</t>
  </si>
  <si>
    <t xml:space="preserve">Quarterly</t>
  </si>
  <si>
    <t xml:space="preserve">Defeasance</t>
  </si>
  <si>
    <t xml:space="preserve">Institutional Owner/Operator</t>
  </si>
  <si>
    <t xml:space="preserve">L-004</t>
  </si>
  <si>
    <t xml:space="preserve">Riverwalk Plaza</t>
  </si>
  <si>
    <t xml:space="preserve">NV</t>
  </si>
  <si>
    <t xml:space="preserve">Office</t>
  </si>
  <si>
    <t xml:space="preserve">Deal 3</t>
  </si>
  <si>
    <t xml:space="preserve">No</t>
  </si>
  <si>
    <t xml:space="preserve">Recapitalization</t>
  </si>
  <si>
    <t xml:space="preserve">Matured</t>
  </si>
  <si>
    <t xml:space="preserve">L-005</t>
  </si>
  <si>
    <t xml:space="preserve">Pinehurst Plaza</t>
  </si>
  <si>
    <t xml:space="preserve">WA</t>
  </si>
  <si>
    <t xml:space="preserve">Deal 8</t>
  </si>
  <si>
    <t xml:space="preserve">Fixed</t>
  </si>
  <si>
    <t xml:space="preserve">N/A</t>
  </si>
  <si>
    <t xml:space="preserve">Interest Only</t>
  </si>
  <si>
    <t xml:space="preserve">L-006</t>
  </si>
  <si>
    <t xml:space="preserve">Keystone Distribution Center</t>
  </si>
  <si>
    <t xml:space="preserve">CA</t>
  </si>
  <si>
    <t xml:space="preserve">Industrial</t>
  </si>
  <si>
    <t xml:space="preserve">Deal 1</t>
  </si>
  <si>
    <t xml:space="preserve">Full Amortizing</t>
  </si>
  <si>
    <t xml:space="preserve">L-007</t>
  </si>
  <si>
    <t xml:space="preserve">Jasper Retail Center</t>
  </si>
  <si>
    <t xml:space="preserve">MD</t>
  </si>
  <si>
    <t xml:space="preserve">L-008</t>
  </si>
  <si>
    <t xml:space="preserve">Riverwalk Business Park</t>
  </si>
  <si>
    <t xml:space="preserve">Deal 2</t>
  </si>
  <si>
    <t xml:space="preserve">Private REIT</t>
  </si>
  <si>
    <t xml:space="preserve">L-009</t>
  </si>
  <si>
    <t xml:space="preserve">Quarry Commons</t>
  </si>
  <si>
    <t xml:space="preserve">Deal 5</t>
  </si>
  <si>
    <t xml:space="preserve">HNW Investors</t>
  </si>
  <si>
    <t xml:space="preserve">Fee &amp; Leasehold</t>
  </si>
  <si>
    <t xml:space="preserve">L-010</t>
  </si>
  <si>
    <t xml:space="preserve">Brookstone Landing</t>
  </si>
  <si>
    <t xml:space="preserve">NC</t>
  </si>
  <si>
    <t xml:space="preserve">L-011</t>
  </si>
  <si>
    <t xml:space="preserve">Summit Distribution Center</t>
  </si>
  <si>
    <t xml:space="preserve">L-012</t>
  </si>
  <si>
    <t xml:space="preserve">Parkside Marketplace</t>
  </si>
  <si>
    <t xml:space="preserve">L-013</t>
  </si>
  <si>
    <t xml:space="preserve">GA</t>
  </si>
  <si>
    <t xml:space="preserve">Yield Maintenance</t>
  </si>
  <si>
    <t xml:space="preserve">L-014</t>
  </si>
  <si>
    <t xml:space="preserve">Glenwood Landing</t>
  </si>
  <si>
    <t xml:space="preserve">L-015</t>
  </si>
  <si>
    <t xml:space="preserve">Palisades Exchange</t>
  </si>
  <si>
    <t xml:space="preserve">L-016</t>
  </si>
  <si>
    <t xml:space="preserve">Harborview Landing</t>
  </si>
  <si>
    <t xml:space="preserve">TN</t>
  </si>
  <si>
    <t xml:space="preserve">L-017</t>
  </si>
  <si>
    <t xml:space="preserve">Emerson Marketplace</t>
  </si>
  <si>
    <t xml:space="preserve">Second Lien</t>
  </si>
  <si>
    <t xml:space="preserve">L-018</t>
  </si>
  <si>
    <t xml:space="preserve">Kingston Corporate Center</t>
  </si>
  <si>
    <t xml:space="preserve">IL</t>
  </si>
  <si>
    <t xml:space="preserve">L-019</t>
  </si>
  <si>
    <t xml:space="preserve">Chandler Exchange</t>
  </si>
  <si>
    <t xml:space="preserve">OR</t>
  </si>
  <si>
    <t xml:space="preserve">L-020</t>
  </si>
  <si>
    <t xml:space="preserve">Dogwood Pointe</t>
  </si>
  <si>
    <t xml:space="preserve">L-021</t>
  </si>
  <si>
    <t xml:space="preserve">Fairhaven Marketplace</t>
  </si>
  <si>
    <t xml:space="preserve">L-022</t>
  </si>
  <si>
    <t xml:space="preserve">Summit Residences</t>
  </si>
  <si>
    <t xml:space="preserve">L-023</t>
  </si>
  <si>
    <t xml:space="preserve">Grandview Plaza</t>
  </si>
  <si>
    <t xml:space="preserve">L-024</t>
  </si>
  <si>
    <t xml:space="preserve">Union Square Mixed-Use Development</t>
  </si>
  <si>
    <t xml:space="preserve">NY</t>
  </si>
  <si>
    <t xml:space="preserve">Mixed-Use</t>
  </si>
  <si>
    <t xml:space="preserve">L-025</t>
  </si>
  <si>
    <t xml:space="preserve">Dogwood Warehouse</t>
  </si>
  <si>
    <t xml:space="preserve">VA</t>
  </si>
  <si>
    <t xml:space="preserve">L-026</t>
  </si>
  <si>
    <t xml:space="preserve">Oakmont Village</t>
  </si>
  <si>
    <t xml:space="preserve">L-027</t>
  </si>
  <si>
    <t xml:space="preserve">Keystone Exchange</t>
  </si>
  <si>
    <t xml:space="preserve">L-028</t>
  </si>
  <si>
    <t xml:space="preserve">Hillcrest Residences</t>
  </si>
  <si>
    <t xml:space="preserve">L-029</t>
  </si>
  <si>
    <t xml:space="preserve">Northgate Residences</t>
  </si>
  <si>
    <t xml:space="preserve">L-030</t>
  </si>
  <si>
    <t xml:space="preserve">Ridgeline Distribution Center</t>
  </si>
  <si>
    <t xml:space="preserve">L-031</t>
  </si>
  <si>
    <t xml:space="preserve">Harborview Logistics Park</t>
  </si>
  <si>
    <t xml:space="preserve">L-032</t>
  </si>
  <si>
    <t xml:space="preserve">Kingston Exchange</t>
  </si>
  <si>
    <t xml:space="preserve">L-033</t>
  </si>
  <si>
    <t xml:space="preserve">Parkside Apartments</t>
  </si>
  <si>
    <t xml:space="preserve">OH</t>
  </si>
  <si>
    <t xml:space="preserve">L-034</t>
  </si>
  <si>
    <t xml:space="preserve">Meridian Landing</t>
  </si>
  <si>
    <t xml:space="preserve">L-035</t>
  </si>
  <si>
    <t xml:space="preserve">Pinehurst Apartments</t>
  </si>
  <si>
    <t xml:space="preserve">L-036</t>
  </si>
  <si>
    <t xml:space="preserve">Oceanview Village</t>
  </si>
  <si>
    <t xml:space="preserve">Delinquent</t>
  </si>
  <si>
    <t xml:space="preserve">L-037</t>
  </si>
  <si>
    <t xml:space="preserve">Vista Terrace</t>
  </si>
  <si>
    <t xml:space="preserve">REO</t>
  </si>
  <si>
    <t xml:space="preserve">L-038</t>
  </si>
  <si>
    <t xml:space="preserve">Northgate Plaza</t>
  </si>
  <si>
    <t xml:space="preserve">L-039</t>
  </si>
  <si>
    <t xml:space="preserve">Summit Plaza</t>
  </si>
  <si>
    <t xml:space="preserve">L-040</t>
  </si>
  <si>
    <t xml:space="preserve">Juniper Terrace</t>
  </si>
  <si>
    <t xml:space="preserve">L-041</t>
  </si>
  <si>
    <t xml:space="preserve">Ridgeline Apartments</t>
  </si>
  <si>
    <t xml:space="preserve">L-042</t>
  </si>
  <si>
    <t xml:space="preserve">Summit Exchange</t>
  </si>
  <si>
    <t xml:space="preserve">L-043</t>
  </si>
  <si>
    <t xml:space="preserve">Quarry Warehouse</t>
  </si>
  <si>
    <t xml:space="preserve">L-044</t>
  </si>
  <si>
    <t xml:space="preserve">Belmont Plaza</t>
  </si>
  <si>
    <t xml:space="preserve">L-045</t>
  </si>
  <si>
    <t xml:space="preserve">Timberline Hotel &amp; Suites</t>
  </si>
  <si>
    <t xml:space="preserve">L-046</t>
  </si>
  <si>
    <t xml:space="preserve">Northgate Flats</t>
  </si>
  <si>
    <t xml:space="preserve">L-047</t>
  </si>
  <si>
    <t xml:space="preserve">Willow Inn</t>
  </si>
  <si>
    <t xml:space="preserve">L-048</t>
  </si>
  <si>
    <t xml:space="preserve">Vista Corporate Center</t>
  </si>
  <si>
    <t xml:space="preserve">L-049</t>
  </si>
  <si>
    <t xml:space="preserve">Summit Hotel &amp; Suites</t>
  </si>
  <si>
    <t xml:space="preserve">L-050</t>
  </si>
  <si>
    <t xml:space="preserve">Foxhollow Warehouse</t>
  </si>
  <si>
    <t xml:space="preserve">AZ</t>
  </si>
  <si>
    <t xml:space="preserve">Leasehold</t>
  </si>
  <si>
    <t xml:space="preserve">Bucket boundaries &amp; category labels (adjustable, green) sit in columns R/S next to each table</t>
  </si>
  <si>
    <t xml:space="preserve">PORTFOLIO OVERVIEW</t>
  </si>
  <si>
    <t xml:space="preserve">As-Of / Pricing Date</t>
  </si>
  <si>
    <t xml:space="preserve">Wtd. Avg. Occupancy</t>
  </si>
  <si>
    <t xml:space="preserve">Cut-off Date UPB</t>
  </si>
  <si>
    <t xml:space="preserve">Wtd. Avg. NOI Debt Yield</t>
  </si>
  <si>
    <t xml:space="preserve">Number of Loans</t>
  </si>
  <si>
    <t xml:space="preserve">Wtd. Avg. DSCR</t>
  </si>
  <si>
    <t xml:space="preserve">Average Loan Size</t>
  </si>
  <si>
    <t xml:space="preserve">Wtd. Avg. LTV (Most Recent)</t>
  </si>
  <si>
    <t xml:space="preserve">Wtd. Avg. Coupon (Current)</t>
  </si>
  <si>
    <t xml:space="preserve">Wtd. Avg. SSP / Underwritten LTV</t>
  </si>
  <si>
    <t xml:space="preserve">Wtd. Avg. Original Term (Months)</t>
  </si>
  <si>
    <t xml:space="preserve">% Floating / % Fixed Rate</t>
  </si>
  <si>
    <t xml:space="preserve">Current Index Rate (e.g. 1-Mo Term SOFR)</t>
  </si>
  <si>
    <t xml:space="preserve">Wtd. Avg. Coupon at Reset (Stress)</t>
  </si>
  <si>
    <t xml:space="preserve">Rate Shock for Stress Test (+bps, e.g. 0.015 = +150bps)</t>
  </si>
  <si>
    <t xml:space="preserve">Coupon Change Under Stress (bps)</t>
  </si>
  <si>
    <t xml:space="preserve">Deal Filter</t>
  </si>
  <si>
    <t xml:space="preserve">All Deals (Portfolio-Wide View)</t>
  </si>
  <si>
    <t xml:space="preserve">TEN LARGEST LOANS</t>
  </si>
  <si>
    <t xml:space="preserve">Loan Name</t>
  </si>
  <si>
    <t xml:space="preserve">Deal</t>
  </si>
  <si>
    <t xml:space="preserve">UPB</t>
  </si>
  <si>
    <t xml:space="preserve">% of UPB</t>
  </si>
  <si>
    <t xml:space="preserve">DSCR</t>
  </si>
  <si>
    <t xml:space="preserve">Debt Yield</t>
  </si>
  <si>
    <t xml:space="preserve">LTV</t>
  </si>
  <si>
    <t xml:space="preserve">Top 10 Total / Wtd. Avg.</t>
  </si>
  <si>
    <t xml:space="preserve">RATE TYPE</t>
  </si>
  <si>
    <t xml:space="preserve">Category</t>
  </si>
  <si>
    <t xml:space="preserve">Current Principal Balance</t>
  </si>
  <si>
    <t xml:space="preserve">% of Current Principal Balance</t>
  </si>
  <si>
    <t xml:space="preserve">Wtd. Avg. Most Recent DSCR</t>
  </si>
  <si>
    <t xml:space="preserve">Wtd. Avg. Seasoning</t>
  </si>
  <si>
    <t xml:space="preserve">Wtd. Avg. Remaining Term</t>
  </si>
  <si>
    <t xml:space="preserve">% UPB Floating</t>
  </si>
  <si>
    <t xml:space="preserve">Wtd. Avg. Most Recent NOI Debt Yield</t>
  </si>
  <si>
    <t xml:space="preserve">Wtd. Avg. Most Recent LTV Ratio</t>
  </si>
  <si>
    <t xml:space="preserve">Wtd. Avg. SSP / UW LTV Ratio</t>
  </si>
  <si>
    <t xml:space="preserve">Wtd. Avg. Coupon</t>
  </si>
  <si>
    <t xml:space="preserve">Wtd. Avg. Coupon at Reset</t>
  </si>
  <si>
    <t xml:space="preserve">Other / Unspecified</t>
  </si>
  <si>
    <t xml:space="preserve">Total / Wtd. Avg.</t>
  </si>
  <si>
    <t xml:space="preserve">LIEN POSITION / SENIORITY</t>
  </si>
  <si>
    <t xml:space="preserve">Other</t>
  </si>
  <si>
    <t xml:space="preserve">GEOGRAPHIC DISTRIBUTION (STATE)</t>
  </si>
  <si>
    <t xml:space="preserve">MA</t>
  </si>
  <si>
    <t xml:space="preserve">UNDERLYING DEALS</t>
  </si>
  <si>
    <t xml:space="preserve">Other / Unassigned Deal</t>
  </si>
  <si>
    <t xml:space="preserve">PROPERTY TYPE</t>
  </si>
  <si>
    <t xml:space="preserve">SPONSOR TYPE</t>
  </si>
  <si>
    <t xml:space="preserve">LOAN PURPOSE</t>
  </si>
  <si>
    <t xml:space="preserve">OWNERSHIP INTEREST</t>
  </si>
  <si>
    <t xml:space="preserve">DELINQUENCY STATUS</t>
  </si>
  <si>
    <t xml:space="preserve">AMORTIZATION TYPE</t>
  </si>
  <si>
    <t xml:space="preserve">EXTENSION OPTION</t>
  </si>
  <si>
    <t xml:space="preserve">PREPAYMENT PROTECTION</t>
  </si>
  <si>
    <t xml:space="preserve">RESET FREQUENCY</t>
  </si>
  <si>
    <t xml:space="preserve">Annual</t>
  </si>
  <si>
    <t xml:space="preserve">LOAN SIZE (CURRENT UPB)</t>
  </si>
  <si>
    <t xml:space="preserve">Bucket</t>
  </si>
  <si>
    <t xml:space="preserve">Less than $10M</t>
  </si>
  <si>
    <t xml:space="preserve">$10M - $25M</t>
  </si>
  <si>
    <t xml:space="preserve">$25M - $50M</t>
  </si>
  <si>
    <t xml:space="preserve">$50M - $75M</t>
  </si>
  <si>
    <t xml:space="preserve">$75M - $100M</t>
  </si>
  <si>
    <t xml:space="preserve">Greater than $100M</t>
  </si>
  <si>
    <t xml:space="preserve">COUPON (CURRENT)</t>
  </si>
  <si>
    <t xml:space="preserve">Less than 5.0%</t>
  </si>
  <si>
    <t xml:space="preserve">5.0% - 6.0%</t>
  </si>
  <si>
    <t xml:space="preserve">6.0% - 7.0%</t>
  </si>
  <si>
    <t xml:space="preserve">7.0% - 8.0%</t>
  </si>
  <si>
    <t xml:space="preserve">8.0% - 9.0%</t>
  </si>
  <si>
    <t xml:space="preserve">Greater than 9.0%</t>
  </si>
  <si>
    <t xml:space="preserve">FLOATING RATE SPREAD</t>
  </si>
  <si>
    <t xml:space="preserve">Less than 2.00%</t>
  </si>
  <si>
    <t xml:space="preserve">2.00% - 3.00%</t>
  </si>
  <si>
    <t xml:space="preserve">3.00% - 4.00%</t>
  </si>
  <si>
    <t xml:space="preserve">4.00% - 5.00%</t>
  </si>
  <si>
    <t xml:space="preserve">Greater than 5.00%</t>
  </si>
  <si>
    <t xml:space="preserve">Fixed Rate (N/A)</t>
  </si>
  <si>
    <t xml:space="preserve">MOST RECENT DSCR</t>
  </si>
  <si>
    <t xml:space="preserve">Less than 1.00x</t>
  </si>
  <si>
    <t xml:space="preserve">1.00x - 1.25x</t>
  </si>
  <si>
    <t xml:space="preserve">1.25x - 1.50x</t>
  </si>
  <si>
    <t xml:space="preserve">1.50x - 2.00x</t>
  </si>
  <si>
    <t xml:space="preserve">Greater than 2.00x</t>
  </si>
  <si>
    <t xml:space="preserve">MOST RECENT NOI DEBT YIELD</t>
  </si>
  <si>
    <t xml:space="preserve">Less than 6.0%</t>
  </si>
  <si>
    <t xml:space="preserve">6.0% - 8.0%</t>
  </si>
  <si>
    <t xml:space="preserve">8.0% - 10.0%</t>
  </si>
  <si>
    <t xml:space="preserve">10.0% - 12.0%</t>
  </si>
  <si>
    <t xml:space="preserve">Greater than 12.0%</t>
  </si>
  <si>
    <t xml:space="preserve">MOST RECENT LTV RATIO</t>
  </si>
  <si>
    <t xml:space="preserve">Less than 50%</t>
  </si>
  <si>
    <t xml:space="preserve">50% - 60%</t>
  </si>
  <si>
    <t xml:space="preserve">60% - 70%</t>
  </si>
  <si>
    <t xml:space="preserve">70% - 80%</t>
  </si>
  <si>
    <t xml:space="preserve">Greater than 80%</t>
  </si>
  <si>
    <t xml:space="preserve">SSP / UNDERWRITTEN LTV RATIO</t>
  </si>
  <si>
    <t xml:space="preserve">CURRENT OCCUPANCY</t>
  </si>
  <si>
    <t xml:space="preserve">Less than 70%</t>
  </si>
  <si>
    <t xml:space="preserve">80% - 90%</t>
  </si>
  <si>
    <t xml:space="preserve">90% - 100%</t>
  </si>
  <si>
    <t xml:space="preserve">ORIGINAL TERM TO MATURITY</t>
  </si>
  <si>
    <t xml:space="preserve">Less than 60 Months</t>
  </si>
  <si>
    <t xml:space="preserve">60 - 84 Months</t>
  </si>
  <si>
    <t xml:space="preserve">85 - 120 Months</t>
  </si>
  <si>
    <t xml:space="preserve">Greater than 120 Months</t>
  </si>
  <si>
    <t xml:space="preserve">SEASONING</t>
  </si>
  <si>
    <t xml:space="preserve">Less than 12 Months</t>
  </si>
  <si>
    <t xml:space="preserve">12 - 24 Months</t>
  </si>
  <si>
    <t xml:space="preserve">24 - 36 Months</t>
  </si>
  <si>
    <t xml:space="preserve">36 - 60 Months</t>
  </si>
  <si>
    <t xml:space="preserve">Greater than 60 Months</t>
  </si>
  <si>
    <t xml:space="preserve">MONTHS OF IO REMAINING</t>
  </si>
  <si>
    <t xml:space="preserve">Greater than 36 Months</t>
  </si>
  <si>
    <t xml:space="preserve">Full Amortizing / N/A</t>
  </si>
  <si>
    <t xml:space="preserve">REMAINING TERM TO MATURITY</t>
  </si>
  <si>
    <t xml:space="preserve">Past Maturity</t>
  </si>
  <si>
    <t xml:space="preserve">0 - 12 Months</t>
  </si>
  <si>
    <t xml:space="preserve">NEXT RATE RESET</t>
  </si>
  <si>
    <t xml:space="preserve">Past Due</t>
  </si>
  <si>
    <t xml:space="preserve">ASSET VINTAGE (YEAR BUILT)</t>
  </si>
  <si>
    <t xml:space="preserve">Before 1980</t>
  </si>
  <si>
    <t xml:space="preserve">1980 - 1999</t>
  </si>
  <si>
    <t xml:space="preserve">2000 - 2009</t>
  </si>
  <si>
    <t xml:space="preserve">2010 - 2019</t>
  </si>
  <si>
    <t xml:space="preserve">2020 or later</t>
  </si>
  <si>
    <t xml:space="preserve">YEAR RENOVATED</t>
  </si>
  <si>
    <t xml:space="preserve">Before 2010</t>
  </si>
  <si>
    <t xml:space="preserve">2010 - 2015</t>
  </si>
  <si>
    <t xml:space="preserve">2016 - 2020</t>
  </si>
  <si>
    <t xml:space="preserve">2021 or later</t>
  </si>
  <si>
    <t xml:space="preserve">Not Renovated / N/A</t>
  </si>
  <si>
    <t xml:space="preserve">STRAT TIE-OUT CHECKS</t>
  </si>
  <si>
    <t xml:space="preserve">Strat Block</t>
  </si>
  <si>
    <t xml:space="preserve">UPB Diff ($)</t>
  </si>
  <si>
    <t xml:space="preserve">Loan Count Diff</t>
  </si>
  <si>
    <t xml:space="preserve">Unit Count Diff</t>
  </si>
  <si>
    <t xml:space="preserve">DSCR Diff</t>
  </si>
  <si>
    <t xml:space="preserve">Seasoning Diff</t>
  </si>
  <si>
    <t xml:space="preserve">Remaining Term Diff</t>
  </si>
  <si>
    <t xml:space="preserve">% Floating Diff</t>
  </si>
  <si>
    <t xml:space="preserve">Debt Yield Diff</t>
  </si>
  <si>
    <t xml:space="preserve">LTV Diff</t>
  </si>
  <si>
    <t xml:space="preserve">SSP/UW LTV Diff</t>
  </si>
  <si>
    <t xml:space="preserve">Coupon Diff</t>
  </si>
  <si>
    <t xml:space="preserve">Coupon @ Reset Diff</t>
  </si>
  <si>
    <t xml:space="preserve">Occupancy Diff</t>
  </si>
  <si>
    <t xml:space="preserve">Status</t>
  </si>
  <si>
    <t xml:space="preserve">Lien Position / Seniority</t>
  </si>
  <si>
    <t xml:space="preserve">Geographic Distribution (State)</t>
  </si>
  <si>
    <t xml:space="preserve">Underlying Deals</t>
  </si>
  <si>
    <t xml:space="preserve">Loan Size (Current UPB)</t>
  </si>
  <si>
    <t xml:space="preserve">Most Recent DSCR</t>
  </si>
  <si>
    <t xml:space="preserve">Most Recent NOI Debt Yield</t>
  </si>
  <si>
    <t xml:space="preserve">Most Recent LTV Ratio</t>
  </si>
  <si>
    <t xml:space="preserve">SSP / Underwritten LTV Ratio</t>
  </si>
  <si>
    <t xml:space="preserve">Current Occupancy</t>
  </si>
  <si>
    <t xml:space="preserve">Original Term to Maturity</t>
  </si>
  <si>
    <t xml:space="preserve">Seasoning</t>
  </si>
  <si>
    <t xml:space="preserve">Months of IO Remaining</t>
  </si>
  <si>
    <t xml:space="preserve">Remaining Term to Maturity</t>
  </si>
  <si>
    <t xml:space="preserve">Next Rate Reset</t>
  </si>
  <si>
    <t xml:space="preserve">Asset Vintage (Year Built)</t>
  </si>
  <si>
    <t xml:space="preserve">DEAL STRAT — pick a deal from the dropdown below to filter every table on this tab to just that deal's loans.</t>
  </si>
  <si>
    <t xml:space="preserve">DEAL OVERVIEW</t>
  </si>
  <si>
    <t xml:space="preserve">Deal UPB</t>
  </si>
  <si>
    <t xml:space="preserve">Select Deal</t>
  </si>
  <si>
    <t xml:space="preserve">TEN LARGEST LOANS (SELECTED DEAL)</t>
  </si>
  <si>
    <t xml:space="preserve">INDIVIDUAL LOAN RUNS AND POOL AGGREGATION</t>
  </si>
  <si>
    <t xml:space="preserve">Every loan is run on its own through the annual engine on the Loan CF tab, then aggregated in the total row below. Unlevered and levered returns are shown gross of pool level servicing, management and fixed costs, which are charged once on the Pool Returns tab.</t>
  </si>
  <si>
    <t xml:space="preserve">SELECTED LOAN DRILL DOWN</t>
  </si>
  <si>
    <t xml:space="preserve">Select Loan ID</t>
  </si>
  <si>
    <t xml:space="preserve">Type or pick a Loan ID from the tape.</t>
  </si>
  <si>
    <t xml:space="preserve">Position in Loan Tape</t>
  </si>
  <si>
    <t xml:space="preserve">Line Item</t>
  </si>
  <si>
    <t xml:space="preserve">Beginning Performing Balance</t>
  </si>
  <si>
    <t xml:space="preserve">Coupon Applied</t>
  </si>
  <si>
    <t xml:space="preserve">Interest Income</t>
  </si>
  <si>
    <t xml:space="preserve">Scheduled Principal</t>
  </si>
  <si>
    <t xml:space="preserve">Voluntary Prepayments</t>
  </si>
  <si>
    <t xml:space="preserve">Balloon and Maturity Payoff</t>
  </si>
  <si>
    <t xml:space="preserve">Defaults</t>
  </si>
  <si>
    <t xml:space="preserve">Recoveries</t>
  </si>
  <si>
    <t xml:space="preserve">Net Cash Flow to Capital, Unlevered</t>
  </si>
  <si>
    <t xml:space="preserve">Financing Balance, Beginning of Year</t>
  </si>
  <si>
    <t xml:space="preserve">Financing Principal Repaid</t>
  </si>
  <si>
    <t xml:space="preserve">Equity Cash Flow, Levered</t>
  </si>
  <si>
    <t xml:space="preserve">Exit Proceeds at End of Hold ($)</t>
  </si>
  <si>
    <t xml:space="preserve">Included in the unlevered cash flow of the exit year above.</t>
  </si>
  <si>
    <t xml:space="preserve">LOAN LEVEL RUN OUTPUTS</t>
  </si>
  <si>
    <t xml:space="preserve">In Purchase</t>
  </si>
  <si>
    <t xml:space="preserve">Current UPB ($)</t>
  </si>
  <si>
    <t xml:space="preserve">Coupon, Year 1 (%)</t>
  </si>
  <si>
    <t xml:space="preserve">WAL (Yrs)</t>
  </si>
  <si>
    <t xml:space="preserve">Interest Collected ($)</t>
  </si>
  <si>
    <t xml:space="preserve">Principal Collected ($)</t>
  </si>
  <si>
    <t xml:space="preserve">Recoveries ($)</t>
  </si>
  <si>
    <t xml:space="preserve">Prepayment Penalties ($)</t>
  </si>
  <si>
    <t xml:space="preserve">Exit Proceeds ($)</t>
  </si>
  <si>
    <t xml:space="preserve">Total Gross Proceeds ($)</t>
  </si>
  <si>
    <t xml:space="preserve">Defaulted Balance ($)</t>
  </si>
  <si>
    <t xml:space="preserve">Credit Loss ($)</t>
  </si>
  <si>
    <t xml:space="preserve">Unlevered Profit ($)</t>
  </si>
  <si>
    <t xml:space="preserve">Unlevered IRR (%)</t>
  </si>
  <si>
    <t xml:space="preserve">Unlevered MOIC (x)</t>
  </si>
  <si>
    <t xml:space="preserve">Levered Profit ($)</t>
  </si>
  <si>
    <t xml:space="preserve">Levered IRR (%)</t>
  </si>
  <si>
    <t xml:space="preserve">Levered MOIC (x)</t>
  </si>
  <si>
    <t xml:space="preserve">Note: unlevered IRR is struck on total basis, which is purchase price plus accrued interest plus acquisition costs. Levered IRR is struck on equity allocated, which is total basis less the loan's share of the facility plus its share of upfront financing fees. Debt is allocated to each loan pro rata on purchase price at the advance rate, and swept down with that loan's own principal collections. The total row IRRs come from the aggregate cash flow on the Pool Returns tab and will tie to the sum of the loan runs shown there.</t>
  </si>
  <si>
    <t xml:space="preserve">LOAN LEVEL CASH FLOW ENGINE</t>
  </si>
  <si>
    <t xml:space="preserve">One row per loan for every line item. Annual periods. Every cell is a formula off the Loan Tape and the Assumptions tab, so the grid can be copied right and down without breaking. The Loan Runs tab aggregates these rows and the Pool Returns tab layers pool level fees and financing on top.</t>
  </si>
  <si>
    <t xml:space="preserve">BEGINNING PERFORMING BALANCE</t>
  </si>
  <si>
    <t xml:space="preserve">Balance at the start of each year. Year 11 is the residual balance available for sale at exit.</t>
  </si>
  <si>
    <t xml:space="preserve">COUPON APPLIED</t>
  </si>
  <si>
    <t xml:space="preserve">Fixed loans hold their contract coupon. Floating loans reprice off the active index curve plus spread, subject to their cap and floor.</t>
  </si>
  <si>
    <t xml:space="preserve">DEFAULTS</t>
  </si>
  <si>
    <t xml:space="preserve">CDR applied to the beginning performing balance for the fraction of the year the loan is alive.</t>
  </si>
  <si>
    <t xml:space="preserve">SCHEDULED PRINCIPAL</t>
  </si>
  <si>
    <t xml:space="preserve">Level pay amortization once the IO period rolls off. Interest only loans never amortize.</t>
  </si>
  <si>
    <t xml:space="preserve">VOLUNTARY PREPAYMENTS</t>
  </si>
  <si>
    <t xml:space="preserve">CPR applied to the balance left after defaults and scheduled amortization.</t>
  </si>
  <si>
    <t xml:space="preserve">BALLOON AND MATURITY PAYOFF</t>
  </si>
  <si>
    <t xml:space="preserve">Full payoff of the residual balance in the loan's maturity year, extension included where assumed.</t>
  </si>
  <si>
    <t xml:space="preserve">INTEREST INCOME</t>
  </si>
  <si>
    <t xml:space="preserve">Coupon on the average performing balance for the fraction of the year the loan is alive.</t>
  </si>
  <si>
    <t xml:space="preserve">RECOVERIES</t>
  </si>
  <si>
    <t xml:space="preserve">One minus severity on defaults, received after the recovery lag.</t>
  </si>
  <si>
    <t xml:space="preserve">EXIT PROCEEDS AT END OF HOLD</t>
  </si>
  <si>
    <t xml:space="preserve">Residual balance at exit sold at the exit price net of disposition costs, plus recoveries still in the pipeline.</t>
  </si>
  <si>
    <t xml:space="preserve">At Exit</t>
  </si>
  <si>
    <t xml:space="preserve">NET CASH FLOW TO CAPITAL, UNLEVERED</t>
  </si>
  <si>
    <t xml:space="preserve">Year 0 is total basis funded. Later years are all asset level collections. Gross of pool level servicing, management and fixed costs.</t>
  </si>
  <si>
    <t xml:space="preserve">FINANCING BALANCE, BEGINNING OF YEAR</t>
  </si>
  <si>
    <t xml:space="preserve">Facility drawn at close and swept down with principal collections.</t>
  </si>
  <si>
    <t xml:space="preserve">FINANCING PRINCIPAL REPAID</t>
  </si>
  <si>
    <t xml:space="preserve">Cash sweep on principal collections, with a full repayment in the debt repayment year.</t>
  </si>
  <si>
    <t xml:space="preserve">EQUITY CASH FLOW, LEVERED</t>
  </si>
  <si>
    <t xml:space="preserve">Unlevered cash flow less financing interest, principal repaid and the exit fee on amounts repaid. Year 0 is equity funded at close.</t>
  </si>
  <si>
    <t xml:space="preserve">PURCHASE, FINANCING AND RETURN SUMMARY</t>
  </si>
  <si>
    <t xml:space="preserve">Everything on this tab is built bottom up from the loan level runs. Asset level collections are the sum of the Loan CF blocks. Pool level servicing, management and fixed costs are layered on here, then the financing facility is applied to give the levered equity return.</t>
  </si>
  <si>
    <t xml:space="preserve">SOURCES AND USES AT CLOSE</t>
  </si>
  <si>
    <t xml:space="preserve">Item</t>
  </si>
  <si>
    <t xml:space="preserve">Amount ($)</t>
  </si>
  <si>
    <t xml:space="preserve">% of Purchase Price</t>
  </si>
  <si>
    <t xml:space="preserve">Note</t>
  </si>
  <si>
    <t xml:space="preserve">Loans Purchased, Current UPB ($)</t>
  </si>
  <si>
    <t xml:space="preserve">Par balance of every loan inside the selected deal scope.</t>
  </si>
  <si>
    <t xml:space="preserve">Number of Loans Purchased</t>
  </si>
  <si>
    <t xml:space="preserve">USES</t>
  </si>
  <si>
    <t xml:space="preserve">Accrued Interest Purchased ($)</t>
  </si>
  <si>
    <t xml:space="preserve">Acquisition and Diligence Costs ($)</t>
  </si>
  <si>
    <t xml:space="preserve">Upfront Financing Fees ($)</t>
  </si>
  <si>
    <t xml:space="preserve">Total Uses ($)</t>
  </si>
  <si>
    <t xml:space="preserve">SOURCES</t>
  </si>
  <si>
    <t xml:space="preserve">Financing Facility Draw ($)</t>
  </si>
  <si>
    <t xml:space="preserve">Equity Funded at Close ($)</t>
  </si>
  <si>
    <t xml:space="preserve">Total Sources ($)</t>
  </si>
  <si>
    <t xml:space="preserve">Total Basis, Unlevered ($)</t>
  </si>
  <si>
    <t xml:space="preserve">Purchase price plus accrued interest plus acquisition costs.</t>
  </si>
  <si>
    <t xml:space="preserve">ENTRY METRICS</t>
  </si>
  <si>
    <t xml:space="preserve">Advance Rate on Purchase Price (%)</t>
  </si>
  <si>
    <t xml:space="preserve">Wtd. Avg. Coupon at Entry (%)</t>
  </si>
  <si>
    <t xml:space="preserve">Floating Rate Share of Pool (%)</t>
  </si>
  <si>
    <t xml:space="preserve">Net Interest Margin at Entry (bps)</t>
  </si>
  <si>
    <t xml:space="preserve">Coupon yield on purchase price less the cost of the drawn facility.</t>
  </si>
  <si>
    <t xml:space="preserve">Wtd. Avg. NOI Debt Yield, at Par (%)</t>
  </si>
  <si>
    <t xml:space="preserve">Wtd. Avg. NOI Debt Yield, at Purchase Price (%)</t>
  </si>
  <si>
    <t xml:space="preserve">Buying at a discount lifts the effective debt yield on basis.</t>
  </si>
  <si>
    <t xml:space="preserve">Wtd. Avg. LTV, Most Recent (%)</t>
  </si>
  <si>
    <t xml:space="preserve">Effective LTV at Purchase Price (%)</t>
  </si>
  <si>
    <t xml:space="preserve">POOL CASH FLOW, ANNUAL</t>
  </si>
  <si>
    <t xml:space="preserve">Balloon and Maturity Payoffs</t>
  </si>
  <si>
    <t xml:space="preserve">Prepayment Penalties</t>
  </si>
  <si>
    <t xml:space="preserve">Exit Proceeds</t>
  </si>
  <si>
    <t xml:space="preserve">Gross Collections</t>
  </si>
  <si>
    <t xml:space="preserve">Servicing and Special Servicing Fee</t>
  </si>
  <si>
    <t xml:space="preserve">Charged on the average of beginning and ending performing balance.</t>
  </si>
  <si>
    <t xml:space="preserve">Asset Management Fee</t>
  </si>
  <si>
    <t xml:space="preserve">Fixed and Administrative Costs</t>
  </si>
  <si>
    <t xml:space="preserve">Purchase and Closing Outflow</t>
  </si>
  <si>
    <t xml:space="preserve">Net Unlevered Cash Flow</t>
  </si>
  <si>
    <t xml:space="preserve">Cumulative Unlevered Cash Flow</t>
  </si>
  <si>
    <t xml:space="preserve">FINANCING</t>
  </si>
  <si>
    <t xml:space="preserve">Financing Interest Expense</t>
  </si>
  <si>
    <t xml:space="preserve">Financing Exit Fee</t>
  </si>
  <si>
    <t xml:space="preserve">Equity Funded at Close</t>
  </si>
  <si>
    <t xml:space="preserve">Net Levered Equity Cash Flow</t>
  </si>
  <si>
    <t xml:space="preserve">Cumulative Levered Equity Cash Flow</t>
  </si>
  <si>
    <t xml:space="preserve">ASSET LEVEL ROLL UP OF THE LOAN RUNS</t>
  </si>
  <si>
    <t xml:space="preserve">Sum of Loan Runs, Unlevered ($)</t>
  </si>
  <si>
    <t xml:space="preserve">Gross of pool level fees. Feeds the total row of the Loan Runs tab.</t>
  </si>
  <si>
    <t xml:space="preserve">Sum of Loan Runs, Levered ($)</t>
  </si>
  <si>
    <t xml:space="preserve">RETURNS SUMMARY</t>
  </si>
  <si>
    <t xml:space="preserve">Metric</t>
  </si>
  <si>
    <t xml:space="preserve">Unlevered</t>
  </si>
  <si>
    <t xml:space="preserve">Levered</t>
  </si>
  <si>
    <t xml:space="preserve">IRR, Net of Pool Level Costs (%)</t>
  </si>
  <si>
    <t xml:space="preserve">The headline return. Levered IRR is on equity funded at close.</t>
  </si>
  <si>
    <t xml:space="preserve">Multiple on Invested Capital (x)</t>
  </si>
  <si>
    <t xml:space="preserve">Total Profit over the Hold ($)</t>
  </si>
  <si>
    <t xml:space="preserve">Capital Invested at Close ($)</t>
  </si>
  <si>
    <t xml:space="preserve">Asset Level IRR, Gross of Pool Costs (%)</t>
  </si>
  <si>
    <t xml:space="preserve">Sum of the individual loan runs. Ties to the total row of the Loan Runs tab.</t>
  </si>
  <si>
    <t xml:space="preserve">Wtd. Avg. Life of Principal Collections (Yrs)</t>
  </si>
  <si>
    <t xml:space="preserve">Avg. Annual Cash Distribution before Exit (% of Capital)</t>
  </si>
  <si>
    <t xml:space="preserve">Total distributions in the years before exit, averaged and struck on capital invested. Includes return of principal, so it runs well above the coupon on a fast paying pool.</t>
  </si>
  <si>
    <t xml:space="preserve">Peak Financing Balance (% of Total Basis)</t>
  </si>
  <si>
    <t xml:space="preserve">Cumulative Defaulted Balance ($)</t>
  </si>
  <si>
    <t xml:space="preserve">Cumulative Credit Loss ($)</t>
  </si>
  <si>
    <t xml:space="preserve">Cumulative Credit Loss (% of Purchase Price)</t>
  </si>
  <si>
    <t xml:space="preserve">SENSITIVITY TABLES, LEVERED RETURN ON EQUITY</t>
  </si>
  <si>
    <t xml:space="preserve">The grids below re-solve a levered return from the pool weighted average coupon, weighted average life, purchase discount accretion, annualised credit loss and the cost of the facility, then anchor the result to the live levered cash flow IRR using the calibration below. The live case therefore reads exactly the same as the headline IRR, and every other cell shows the closed form move away from it. Use the grids to see where returns break and re-run the engine on the Assumptions tab to price a case properly. The cell shaded light blue with a dashed box is the live case.</t>
  </si>
  <si>
    <t xml:space="preserve">Closed Form Levered Return at the Live Case (%)</t>
  </si>
  <si>
    <t xml:space="preserve">Before calibration. Ignores the fund level fee load and the exit price haircut on the residual balance.</t>
  </si>
  <si>
    <t xml:space="preserve">Calibration to the Levered Cash Flow IRR (bps)</t>
  </si>
  <si>
    <t xml:space="preserve">Added to every cell in the grids below so the live case ties to the headline levered IRR.</t>
  </si>
  <si>
    <t xml:space="preserve">LEVERED RETURN BY PURCHASE PRICE AND ADVANCE RATE</t>
  </si>
  <si>
    <t xml:space="preserve">Purchase Price (% of Par) \ Advance Rate</t>
  </si>
  <si>
    <t xml:space="preserve">Note: credit and index assumptions held at the active case.</t>
  </si>
  <si>
    <t xml:space="preserve">LEVERED RETURN BY PURCHASE PRICE AND ANNUAL DEFAULT RATE</t>
  </si>
  <si>
    <t xml:space="preserve">Purchase Price (% of Par) \ CDR</t>
  </si>
  <si>
    <t xml:space="preserve">Note: severity, advance rate and index assumptions held at the active case.</t>
  </si>
  <si>
    <t xml:space="preserve">LEVERED RETURN BY PARALLEL INDEX SHIFT AND ADVANCE RATE</t>
  </si>
  <si>
    <t xml:space="preserve">Parallel Index Shift \ Advance Rate</t>
  </si>
  <si>
    <t xml:space="preserve">Note: floating rate loans reprice on the pool floating share while the facility reprices in full.</t>
  </si>
  <si>
    <t xml:space="preserve">MODEL TIE OUT CHECKS</t>
  </si>
  <si>
    <t xml:space="preserve">Check</t>
  </si>
  <si>
    <t xml:space="preserve">Difference</t>
  </si>
  <si>
    <t xml:space="preserve">What it proves</t>
  </si>
  <si>
    <t xml:space="preserve">Total Sources less Total Uses ($)</t>
  </si>
  <si>
    <t xml:space="preserve">Debt plus equity funds purchase price, accrued interest, acquisition costs and financing fees exactly.</t>
  </si>
  <si>
    <t xml:space="preserve">Loan Level Basis less Pool Total Basis ($)</t>
  </si>
  <si>
    <t xml:space="preserve">The pool outflow at close is the sum of the individual loan runs.</t>
  </si>
  <si>
    <t xml:space="preserve">Gross Collections less Sum of Loan Runs, Years 1 to 10 ($)</t>
  </si>
  <si>
    <t xml:space="preserve">Pool collections aggregate the loan level blocks with nothing double counted or dropped.</t>
  </si>
  <si>
    <t xml:space="preserve">Levered Equity Cash Flow less Loan Run Roll Up plus Pool Costs ($)</t>
  </si>
  <si>
    <t xml:space="preserve">The only difference between the loan runs and the pool equity return is the pool level fee load.</t>
  </si>
  <si>
    <t xml:space="preserve">Balance Roll Forward, Purchased UPB less Principal, Defaults and Residual ($)</t>
  </si>
  <si>
    <t xml:space="preserve">Every dollar of purchased par either amortizes, prepays, pays off, defaults or is still outstanding at Year 11.</t>
  </si>
  <si>
    <t xml:space="preserve">Strats Cut-off UPB less Loan Tape UPB ($)</t>
  </si>
  <si>
    <t xml:space="preserve">The strat package and the returns engine read the same loan tape.</t>
  </si>
  <si>
    <t xml:space="preserve">Source: loan level data is the illustrative sample tape on the Loan Tape tab. Every assumption is set on the Assumptions tab. Purchase price, advance rate, credit and prepayment inputs are user assumptions and carry no market source.</t>
  </si>
</sst>
</file>

<file path=xl/styles.xml><?xml version="1.0" encoding="utf-8"?>
<styleSheet xmlns="http://schemas.openxmlformats.org/spreadsheetml/2006/main">
  <numFmts count="15">
    <numFmt numFmtId="164" formatCode="General"/>
    <numFmt numFmtId="165" formatCode="#,##0;\(#,##0\);\-"/>
    <numFmt numFmtId="166" formatCode="mm/dd/yyyy"/>
    <numFmt numFmtId="167" formatCode="0.00%;\(0.00%\);\-"/>
    <numFmt numFmtId="168" formatCode="0.0%;\(0.0%\);\-"/>
    <numFmt numFmtId="169" formatCode="#,##0&quot; bps&quot;;\(#,##0&quot; bps)&quot;;\-"/>
    <numFmt numFmtId="170" formatCode="\$#,##0;&quot;($&quot;#,##0\);\-"/>
    <numFmt numFmtId="171" formatCode="&quot;Year &quot;0"/>
    <numFmt numFmtId="172" formatCode="#,##0;\(#,##0\);\-"/>
    <numFmt numFmtId="173" formatCode="0.0%;\(0.0%\);\-"/>
    <numFmt numFmtId="174" formatCode="\$#,##0;&quot;($&quot;#,##0\);\-"/>
    <numFmt numFmtId="175" formatCode="0.00\x;\(0.00&quot;x)&quot;;\-"/>
    <numFmt numFmtId="176" formatCode="#,##0.0;\(#,##0.0\);\-"/>
    <numFmt numFmtId="177" formatCode="0.0000;\(0.0000\);\-"/>
    <numFmt numFmtId="178" formatCode="0.00\x;\(0.00&quot;x)&quot;;\-"/>
  </numFmts>
  <fonts count="22">
    <font>
      <sz val="11"/>
      <color theme="1"/>
      <name val="Calibri"/>
      <family val="2"/>
      <charset val="1"/>
    </font>
    <font>
      <sz val="10"/>
      <name val="Arial"/>
      <family val="0"/>
    </font>
    <font>
      <sz val="10"/>
      <name val="Arial"/>
      <family val="0"/>
    </font>
    <font>
      <sz val="10"/>
      <name val="Arial"/>
      <family val="0"/>
    </font>
    <font>
      <sz val="10"/>
      <color rgb="FF000000"/>
      <name val="Calibri"/>
      <family val="0"/>
      <charset val="1"/>
    </font>
    <font>
      <b val="true"/>
      <sz val="20"/>
      <color rgb="FFFFFFFF"/>
      <name val="Calibri"/>
      <family val="0"/>
      <charset val="1"/>
    </font>
    <font>
      <sz val="12"/>
      <color rgb="FFFFFFFF"/>
      <name val="Calibri"/>
      <family val="0"/>
      <charset val="1"/>
    </font>
    <font>
      <i val="true"/>
      <sz val="10"/>
      <color rgb="FFD9E1F2"/>
      <name val="Calibri"/>
      <family val="0"/>
      <charset val="1"/>
    </font>
    <font>
      <b val="true"/>
      <sz val="10"/>
      <color rgb="FFFFFFFF"/>
      <name val="Calibri"/>
      <family val="0"/>
      <charset val="1"/>
    </font>
    <font>
      <b val="true"/>
      <sz val="10"/>
      <color rgb="FF0F2F51"/>
      <name val="Calibri"/>
      <family val="0"/>
      <charset val="1"/>
    </font>
    <font>
      <b val="true"/>
      <sz val="10"/>
      <color rgb="FF008000"/>
      <name val="Calibri"/>
      <family val="0"/>
      <charset val="1"/>
    </font>
    <font>
      <sz val="10"/>
      <color rgb="FF008000"/>
      <name val="Calibri"/>
      <family val="0"/>
      <charset val="1"/>
    </font>
    <font>
      <b val="true"/>
      <sz val="10"/>
      <color rgb="FF0000FF"/>
      <name val="Calibri"/>
      <family val="0"/>
      <charset val="1"/>
    </font>
    <font>
      <sz val="10"/>
      <color rgb="FF0000FF"/>
      <name val="Calibri"/>
      <family val="0"/>
      <charset val="1"/>
    </font>
    <font>
      <b val="true"/>
      <sz val="10"/>
      <color rgb="FF800080"/>
      <name val="Calibri"/>
      <family val="0"/>
      <charset val="1"/>
    </font>
    <font>
      <sz val="10"/>
      <color rgb="FF800080"/>
      <name val="Calibri"/>
      <family val="0"/>
      <charset val="1"/>
    </font>
    <font>
      <b val="true"/>
      <sz val="10"/>
      <color rgb="FF000000"/>
      <name val="Calibri"/>
      <family val="0"/>
      <charset val="1"/>
    </font>
    <font>
      <i val="true"/>
      <sz val="10"/>
      <color rgb="FF808080"/>
      <name val="Calibri"/>
      <family val="0"/>
      <charset val="1"/>
    </font>
    <font>
      <b val="true"/>
      <sz val="14"/>
      <color rgb="FF0F2F51"/>
      <name val="Calibri"/>
      <family val="0"/>
      <charset val="1"/>
    </font>
    <font>
      <i val="true"/>
      <sz val="9"/>
      <color rgb="FF808080"/>
      <name val="Calibri"/>
      <family val="0"/>
      <charset val="1"/>
    </font>
    <font>
      <i val="true"/>
      <sz val="8"/>
      <color rgb="FF808080"/>
      <name val="Calibri"/>
      <family val="0"/>
      <charset val="1"/>
    </font>
    <font>
      <i val="true"/>
      <sz val="10"/>
      <color rgb="FF000000"/>
      <name val="Calibri"/>
      <family val="0"/>
      <charset val="1"/>
    </font>
  </fonts>
  <fills count="7">
    <fill>
      <patternFill patternType="none"/>
    </fill>
    <fill>
      <patternFill patternType="gray125"/>
    </fill>
    <fill>
      <patternFill patternType="solid">
        <fgColor rgb="FF0F2F51"/>
        <bgColor rgb="FF003300"/>
      </patternFill>
    </fill>
    <fill>
      <patternFill patternType="solid">
        <fgColor rgb="FFF2F2F2"/>
        <bgColor rgb="FFE2EFDA"/>
      </patternFill>
    </fill>
    <fill>
      <patternFill patternType="solid">
        <fgColor rgb="FFD9E1F2"/>
        <bgColor rgb="FFE2EFDA"/>
      </patternFill>
    </fill>
    <fill>
      <patternFill patternType="solid">
        <fgColor rgb="FFF2DCDB"/>
        <bgColor rgb="FFD9E1F2"/>
      </patternFill>
    </fill>
    <fill>
      <patternFill patternType="solid">
        <fgColor rgb="FFE2EFDA"/>
        <bgColor rgb="FFF2F2F2"/>
      </patternFill>
    </fill>
  </fills>
  <borders count="7">
    <border diagonalUp="false" diagonalDown="false">
      <left/>
      <right/>
      <top/>
      <bottom/>
      <diagonal/>
    </border>
    <border diagonalUp="false" diagonalDown="false">
      <left style="dotted">
        <color rgb="FF808080"/>
      </left>
      <right style="dotted">
        <color rgb="FF808080"/>
      </right>
      <top style="dotted">
        <color rgb="FF808080"/>
      </top>
      <bottom style="dotted">
        <color rgb="FF808080"/>
      </bottom>
      <diagonal/>
    </border>
    <border diagonalUp="false" diagonalDown="false">
      <left/>
      <right/>
      <top/>
      <bottom style="thin">
        <color rgb="FF0F2F51"/>
      </bottom>
      <diagonal/>
    </border>
    <border diagonalUp="false" diagonalDown="false">
      <left/>
      <right/>
      <top style="thin"/>
      <bottom style="double"/>
      <diagonal/>
    </border>
    <border diagonalUp="false" diagonalDown="false">
      <left/>
      <right/>
      <top style="thin"/>
      <bottom style="thin"/>
      <diagonal/>
    </border>
    <border diagonalUp="false" diagonalDown="false">
      <left/>
      <right/>
      <top style="double"/>
      <bottom/>
      <diagonal/>
    </border>
    <border diagonalUp="false" diagonalDown="false">
      <left/>
      <right/>
      <top style="thin">
        <color rgb="FF0F2F51"/>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left"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left"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left" vertical="center" textRotation="0" wrapText="tru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left" vertical="center" textRotation="0" wrapText="false" indent="0" shrinkToFit="false"/>
      <protection locked="true" hidden="false"/>
    </xf>
    <xf numFmtId="165" fontId="11" fillId="3"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5" fontId="13" fillId="0" borderId="0" xfId="0" applyFont="true" applyBorder="fals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left" vertical="center" textRotation="0" wrapText="false" indent="0" shrinkToFit="false"/>
      <protection locked="true" hidden="false"/>
    </xf>
    <xf numFmtId="165" fontId="15" fillId="3"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5" fontId="4" fillId="0"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general" vertical="center" textRotation="0" wrapText="false" indent="0" shrinkToFit="false"/>
      <protection locked="true" hidden="false"/>
    </xf>
    <xf numFmtId="164" fontId="4" fillId="5" borderId="0" xfId="0" applyFont="true" applyBorder="false" applyAlignment="true" applyProtection="false">
      <alignment horizontal="general" vertical="center" textRotation="0" wrapText="false" indent="0" shrinkToFit="false"/>
      <protection locked="true" hidden="false"/>
    </xf>
    <xf numFmtId="164" fontId="4" fillId="6"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16" fillId="3" borderId="0" xfId="0" applyFont="true" applyBorder="false" applyAlignment="true" applyProtection="false">
      <alignment horizontal="left"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center" vertical="center" textRotation="0" wrapText="false" indent="0" shrinkToFit="false"/>
      <protection locked="true" hidden="false"/>
    </xf>
    <xf numFmtId="164" fontId="9" fillId="4" borderId="0" xfId="0" applyFont="true" applyBorder="true" applyAlignment="true" applyProtection="false">
      <alignment horizontal="center" vertical="center" textRotation="0" wrapText="false" indent="0" shrinkToFit="false"/>
      <protection locked="true" hidden="false"/>
    </xf>
    <xf numFmtId="164" fontId="16" fillId="3" borderId="0" xfId="0" applyFont="true" applyBorder="false" applyAlignment="true" applyProtection="false">
      <alignment horizontal="left" vertical="center" textRotation="0" wrapText="tru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6" fontId="12" fillId="4"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false" applyAlignment="true" applyProtection="false">
      <alignment horizontal="center" vertical="center" textRotation="0" wrapText="false" indent="0" shrinkToFit="false"/>
      <protection locked="true" hidden="false"/>
    </xf>
    <xf numFmtId="165" fontId="16" fillId="4" borderId="0" xfId="0" applyFont="true" applyBorder="false" applyAlignment="true" applyProtection="false">
      <alignment horizontal="center" vertical="center" textRotation="0" wrapText="fals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7" fontId="16" fillId="4" borderId="0" xfId="0" applyFont="true" applyBorder="false" applyAlignment="true" applyProtection="false">
      <alignment horizontal="center" vertical="center" textRotation="0" wrapText="false" indent="0" shrinkToFit="false"/>
      <protection locked="true" hidden="false"/>
    </xf>
    <xf numFmtId="167" fontId="12" fillId="4" borderId="0" xfId="0" applyFont="true" applyBorder="false" applyAlignment="true" applyProtection="false">
      <alignment horizontal="center" vertical="center" textRotation="0" wrapText="false" indent="0" shrinkToFit="false"/>
      <protection locked="true" hidden="false"/>
    </xf>
    <xf numFmtId="168" fontId="11" fillId="0" borderId="1" xfId="0" applyFont="true" applyBorder="true" applyAlignment="true" applyProtection="false">
      <alignment horizontal="center" vertical="center" textRotation="0" wrapText="false" indent="0" shrinkToFit="false"/>
      <protection locked="true" hidden="false"/>
    </xf>
    <xf numFmtId="168" fontId="16" fillId="4" borderId="0" xfId="0" applyFont="true" applyBorder="false" applyAlignment="true" applyProtection="false">
      <alignment horizontal="center" vertical="center" textRotation="0" wrapText="false" indent="0" shrinkToFit="false"/>
      <protection locked="true" hidden="false"/>
    </xf>
    <xf numFmtId="169" fontId="11" fillId="0" borderId="1" xfId="0" applyFont="true" applyBorder="true" applyAlignment="true" applyProtection="false">
      <alignment horizontal="center" vertical="center" textRotation="0" wrapText="false" indent="0" shrinkToFit="false"/>
      <protection locked="true" hidden="false"/>
    </xf>
    <xf numFmtId="169" fontId="16" fillId="4" borderId="0" xfId="0" applyFont="true" applyBorder="false" applyAlignment="true" applyProtection="false">
      <alignment horizontal="center" vertical="center" textRotation="0" wrapText="false" indent="0" shrinkToFit="false"/>
      <protection locked="true" hidden="false"/>
    </xf>
    <xf numFmtId="165" fontId="12" fillId="4" borderId="0" xfId="0" applyFont="true" applyBorder="false" applyAlignment="true" applyProtection="false">
      <alignment horizontal="center" vertical="center" textRotation="0" wrapText="false" indent="0" shrinkToFit="false"/>
      <protection locked="true" hidden="false"/>
    </xf>
    <xf numFmtId="169" fontId="12" fillId="4" borderId="0" xfId="0" applyFont="true" applyBorder="false" applyAlignment="true" applyProtection="false">
      <alignment horizontal="center" vertical="center" textRotation="0" wrapText="false" indent="0" shrinkToFit="false"/>
      <protection locked="true" hidden="false"/>
    </xf>
    <xf numFmtId="170" fontId="11" fillId="0" borderId="1" xfId="0" applyFont="true" applyBorder="true" applyAlignment="true" applyProtection="false">
      <alignment horizontal="center" vertical="center" textRotation="0" wrapText="false" indent="0" shrinkToFit="false"/>
      <protection locked="true" hidden="false"/>
    </xf>
    <xf numFmtId="170" fontId="12" fillId="4" borderId="0" xfId="0" applyFont="true" applyBorder="false" applyAlignment="true" applyProtection="false">
      <alignment horizontal="center"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71" fontId="8" fillId="2" borderId="0" xfId="0" applyFont="true" applyBorder="false" applyAlignment="true" applyProtection="false">
      <alignment horizontal="center" vertical="center" textRotation="0" wrapText="false" indent="0" shrinkToFit="false"/>
      <protection locked="true" hidden="false"/>
    </xf>
    <xf numFmtId="167" fontId="4" fillId="0" borderId="0" xfId="0" applyFont="true" applyBorder="false" applyAlignment="true" applyProtection="false">
      <alignment horizontal="center" vertical="center" textRotation="0" wrapText="false" indent="0" shrinkToFit="false"/>
      <protection locked="true" hidden="false"/>
    </xf>
    <xf numFmtId="167" fontId="16" fillId="3"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center" vertical="top"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72" fontId="11" fillId="0" borderId="0" xfId="0" applyFont="true" applyBorder="false" applyAlignment="true" applyProtection="false">
      <alignment horizontal="center" vertical="center" textRotation="0" wrapText="false" indent="0" shrinkToFit="false"/>
      <protection locked="true" hidden="false"/>
    </xf>
    <xf numFmtId="166" fontId="11" fillId="0" borderId="0" xfId="0" applyFont="true" applyBorder="false" applyAlignment="true" applyProtection="false">
      <alignment horizontal="center" vertical="center" textRotation="0" wrapText="false" indent="0" shrinkToFit="false"/>
      <protection locked="true" hidden="false"/>
    </xf>
    <xf numFmtId="173" fontId="11" fillId="0" borderId="0" xfId="0" applyFont="true" applyBorder="false" applyAlignment="true" applyProtection="false">
      <alignment horizontal="center" vertical="center" textRotation="0" wrapText="false" indent="0" shrinkToFit="false"/>
      <protection locked="true" hidden="false"/>
    </xf>
    <xf numFmtId="174" fontId="11" fillId="0" borderId="0" xfId="0" applyFont="true" applyBorder="false" applyAlignment="true" applyProtection="false">
      <alignment horizontal="center" vertical="center" textRotation="0" wrapText="false" indent="0" shrinkToFit="false"/>
      <protection locked="true" hidden="false"/>
    </xf>
    <xf numFmtId="175" fontId="11" fillId="0" borderId="0" xfId="0" applyFont="true" applyBorder="false" applyAlignment="true" applyProtection="false">
      <alignment horizontal="center" vertical="center" textRotation="0" wrapText="false" indent="0" shrinkToFit="false"/>
      <protection locked="true" hidden="false"/>
    </xf>
    <xf numFmtId="172" fontId="4" fillId="0" borderId="0" xfId="0" applyFont="true" applyBorder="false" applyAlignment="true" applyProtection="false">
      <alignment horizontal="center" vertical="center" textRotation="0" wrapText="false" indent="0" shrinkToFit="false"/>
      <protection locked="true" hidden="false"/>
    </xf>
    <xf numFmtId="173" fontId="4" fillId="0" borderId="0" xfId="0" applyFont="true" applyBorder="false" applyAlignment="true" applyProtection="false">
      <alignment horizontal="center" vertical="center" textRotation="0" wrapText="false" indent="0" shrinkToFit="false"/>
      <protection locked="true" hidden="false"/>
    </xf>
    <xf numFmtId="176" fontId="4" fillId="0" borderId="0" xfId="0" applyFont="true" applyBorder="false" applyAlignment="true" applyProtection="false">
      <alignment horizontal="center" vertical="center" textRotation="0" wrapText="false" indent="0" shrinkToFit="false"/>
      <protection locked="true" hidden="false"/>
    </xf>
    <xf numFmtId="170" fontId="4"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right" vertical="center" textRotation="0" wrapText="false" indent="0" shrinkToFit="false"/>
      <protection locked="true" hidden="false"/>
    </xf>
    <xf numFmtId="173" fontId="4" fillId="0" borderId="0" xfId="0" applyFont="true" applyBorder="false" applyAlignment="true" applyProtection="false">
      <alignment horizontal="right" vertical="center" textRotation="0" wrapText="false" indent="0" shrinkToFit="false"/>
      <protection locked="true" hidden="false"/>
    </xf>
    <xf numFmtId="174" fontId="4" fillId="0" borderId="0" xfId="0" applyFont="true" applyBorder="false" applyAlignment="true" applyProtection="false">
      <alignment horizontal="right" vertical="center" textRotation="0" wrapText="false" indent="0" shrinkToFit="false"/>
      <protection locked="true" hidden="false"/>
    </xf>
    <xf numFmtId="172" fontId="4" fillId="0" borderId="0" xfId="0" applyFont="true" applyBorder="false" applyAlignment="true" applyProtection="false">
      <alignment horizontal="right" vertical="center" textRotation="0" wrapText="false" indent="0" shrinkToFit="false"/>
      <protection locked="true" hidden="false"/>
    </xf>
    <xf numFmtId="175" fontId="4" fillId="0" borderId="0" xfId="0" applyFont="true" applyBorder="false" applyAlignment="true" applyProtection="false">
      <alignment horizontal="right" vertical="center" textRotation="0" wrapText="false" indent="0" shrinkToFit="false"/>
      <protection locked="true" hidden="false"/>
    </xf>
    <xf numFmtId="164" fontId="4" fillId="0" borderId="0" xfId="0" applyFont="true" applyBorder="false" applyAlignment="true" applyProtection="false">
      <alignment horizontal="right" vertical="center" textRotation="0" wrapText="false" indent="0" shrinkToFit="false"/>
      <protection locked="true" hidden="false"/>
    </xf>
    <xf numFmtId="168" fontId="13" fillId="0" borderId="0" xfId="0" applyFont="true" applyBorder="false" applyAlignment="true" applyProtection="false">
      <alignment horizontal="right" vertical="center" textRotation="0" wrapText="false" indent="0" shrinkToFit="false"/>
      <protection locked="true" hidden="false"/>
    </xf>
    <xf numFmtId="173" fontId="11" fillId="0" borderId="0" xfId="0" applyFont="true" applyBorder="false" applyAlignment="true" applyProtection="false">
      <alignment horizontal="right" vertical="center" textRotation="0" wrapText="false" indent="0" shrinkToFit="false"/>
      <protection locked="true" hidden="false"/>
    </xf>
    <xf numFmtId="164" fontId="21" fillId="0" borderId="0" xfId="0" applyFont="true" applyBorder="false" applyAlignment="true" applyProtection="false">
      <alignment horizontal="right" vertical="center" textRotation="0" wrapText="false" indent="0" shrinkToFit="false"/>
      <protection locked="true" hidden="false"/>
    </xf>
    <xf numFmtId="164" fontId="16" fillId="3" borderId="3" xfId="0" applyFont="true" applyBorder="true" applyAlignment="true" applyProtection="false">
      <alignment horizontal="left" vertical="center" textRotation="0" wrapText="true" indent="0" shrinkToFit="false"/>
      <protection locked="true" hidden="false"/>
    </xf>
    <xf numFmtId="164" fontId="16" fillId="3" borderId="3" xfId="0" applyFont="true" applyBorder="true" applyAlignment="true" applyProtection="false">
      <alignment horizontal="center" vertical="center" textRotation="0" wrapText="true" indent="0" shrinkToFit="false"/>
      <protection locked="true" hidden="false"/>
    </xf>
    <xf numFmtId="174" fontId="4" fillId="0" borderId="0" xfId="0" applyFont="true" applyBorder="false" applyAlignment="true" applyProtection="false">
      <alignment horizontal="center" vertical="center" textRotation="0" wrapText="false" indent="0" shrinkToFit="false"/>
      <protection locked="true" hidden="false"/>
    </xf>
    <xf numFmtId="175" fontId="4" fillId="0" borderId="0" xfId="0" applyFont="true" applyBorder="false" applyAlignment="true" applyProtection="false">
      <alignment horizontal="center" vertical="center" textRotation="0" wrapText="false" indent="0" shrinkToFit="false"/>
      <protection locked="true" hidden="false"/>
    </xf>
    <xf numFmtId="164" fontId="16" fillId="3" borderId="4" xfId="0" applyFont="true" applyBorder="true" applyAlignment="true" applyProtection="false">
      <alignment horizontal="left" vertical="center" textRotation="0" wrapText="false" indent="0" shrinkToFit="false"/>
      <protection locked="true" hidden="false"/>
    </xf>
    <xf numFmtId="164" fontId="16" fillId="3" borderId="4" xfId="0" applyFont="true" applyBorder="true" applyAlignment="true" applyProtection="false">
      <alignment horizontal="center" vertical="center" textRotation="0" wrapText="false" indent="0" shrinkToFit="false"/>
      <protection locked="true" hidden="false"/>
    </xf>
    <xf numFmtId="174" fontId="16" fillId="3" borderId="4" xfId="0" applyFont="true" applyBorder="true" applyAlignment="true" applyProtection="false">
      <alignment horizontal="center" vertical="center" textRotation="0" wrapText="false" indent="0" shrinkToFit="false"/>
      <protection locked="true" hidden="false"/>
    </xf>
    <xf numFmtId="173" fontId="16" fillId="3" borderId="4" xfId="0" applyFont="true" applyBorder="true" applyAlignment="true" applyProtection="false">
      <alignment horizontal="center" vertical="center" textRotation="0" wrapText="false" indent="0" shrinkToFit="false"/>
      <protection locked="true" hidden="false"/>
    </xf>
    <xf numFmtId="175" fontId="16" fillId="3" borderId="4"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2" fontId="16" fillId="3" borderId="4" xfId="0" applyFont="true" applyBorder="true" applyAlignment="true" applyProtection="false">
      <alignment horizontal="center" vertical="center" textRotation="0" wrapText="false" indent="0" shrinkToFit="false"/>
      <protection locked="true" hidden="false"/>
    </xf>
    <xf numFmtId="177" fontId="4"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6" fillId="0" borderId="5"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center" vertical="center" textRotation="0" wrapText="false" indent="0" shrinkToFit="false"/>
      <protection locked="true" hidden="false"/>
    </xf>
    <xf numFmtId="166" fontId="4" fillId="0" borderId="0" xfId="0" applyFont="true" applyBorder="false" applyAlignment="true" applyProtection="false">
      <alignment horizontal="right" vertical="center" textRotation="0" wrapText="false" indent="0" shrinkToFit="false"/>
      <protection locked="true" hidden="false"/>
    </xf>
    <xf numFmtId="164" fontId="10" fillId="6" borderId="0" xfId="0" applyFont="true" applyBorder="false" applyAlignment="true" applyProtection="false">
      <alignment horizontal="right" vertical="center" textRotation="0" wrapText="false" indent="0" shrinkToFit="false"/>
      <protection locked="true" hidden="false"/>
    </xf>
    <xf numFmtId="170" fontId="4" fillId="3" borderId="0" xfId="0" applyFont="true" applyBorder="false" applyAlignment="true" applyProtection="false">
      <alignment horizontal="center" vertical="center" textRotation="0" wrapText="false" indent="0" shrinkToFit="false"/>
      <protection locked="true" hidden="false"/>
    </xf>
    <xf numFmtId="170" fontId="16" fillId="3" borderId="0" xfId="0" applyFont="true" applyBorder="false" applyAlignment="true" applyProtection="false">
      <alignment horizontal="center" vertical="center" textRotation="0" wrapText="false" indent="0" shrinkToFit="false"/>
      <protection locked="true" hidden="false"/>
    </xf>
    <xf numFmtId="170" fontId="16" fillId="0" borderId="0" xfId="0" applyFont="true" applyBorder="false" applyAlignment="true" applyProtection="false">
      <alignment horizontal="center" vertical="center" textRotation="0" wrapText="false" indent="0" shrinkToFit="false"/>
      <protection locked="true" hidden="false"/>
    </xf>
    <xf numFmtId="164" fontId="13" fillId="3" borderId="0" xfId="0" applyFont="true" applyBorder="false" applyAlignment="true" applyProtection="false">
      <alignment horizontal="left" vertical="center" textRotation="0" wrapText="false" indent="0" shrinkToFit="false"/>
      <protection locked="true" hidden="false"/>
    </xf>
    <xf numFmtId="165" fontId="4" fillId="3" borderId="0" xfId="0" applyFont="true" applyBorder="false" applyAlignment="true" applyProtection="false">
      <alignment horizontal="center" vertical="center" textRotation="0" wrapText="false" indent="0" shrinkToFit="false"/>
      <protection locked="true" hidden="false"/>
    </xf>
    <xf numFmtId="167" fontId="4" fillId="3" borderId="0" xfId="0" applyFont="true" applyBorder="false" applyAlignment="true" applyProtection="false">
      <alignment horizontal="center" vertical="center" textRotation="0" wrapText="false" indent="0" shrinkToFit="false"/>
      <protection locked="true" hidden="false"/>
    </xf>
    <xf numFmtId="176" fontId="4" fillId="3" borderId="0" xfId="0" applyFont="true" applyBorder="false" applyAlignment="true" applyProtection="false">
      <alignment horizontal="center" vertical="center" textRotation="0" wrapText="false" indent="0" shrinkToFit="false"/>
      <protection locked="true" hidden="false"/>
    </xf>
    <xf numFmtId="168" fontId="4" fillId="3" borderId="0" xfId="0" applyFont="true" applyBorder="false" applyAlignment="true" applyProtection="false">
      <alignment horizontal="center" vertical="center" textRotation="0" wrapText="false" indent="0" shrinkToFit="false"/>
      <protection locked="true" hidden="false"/>
    </xf>
    <xf numFmtId="178" fontId="4" fillId="3"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8" fontId="4" fillId="0" borderId="0" xfId="0" applyFont="true" applyBorder="false" applyAlignment="true" applyProtection="false">
      <alignment horizontal="center" vertical="center" textRotation="0" wrapText="false" indent="0" shrinkToFit="false"/>
      <protection locked="true" hidden="false"/>
    </xf>
    <xf numFmtId="178" fontId="4" fillId="0" borderId="0" xfId="0" applyFont="true" applyBorder="false" applyAlignment="true" applyProtection="false">
      <alignment horizontal="center" vertical="center" textRotation="0" wrapText="false" indent="0" shrinkToFit="false"/>
      <protection locked="true" hidden="false"/>
    </xf>
    <xf numFmtId="164" fontId="8" fillId="2" borderId="6" xfId="0" applyFont="true" applyBorder="true" applyAlignment="true" applyProtection="false">
      <alignment horizontal="left" vertical="center" textRotation="0" wrapText="false" indent="0" shrinkToFit="false"/>
      <protection locked="true" hidden="false"/>
    </xf>
    <xf numFmtId="164" fontId="8" fillId="2" borderId="6" xfId="0" applyFont="true" applyBorder="true" applyAlignment="true" applyProtection="false">
      <alignment horizontal="center" vertical="center" textRotation="0" wrapText="false" indent="0" shrinkToFit="false"/>
      <protection locked="true" hidden="false"/>
    </xf>
    <xf numFmtId="165" fontId="8" fillId="2" borderId="6" xfId="0" applyFont="true" applyBorder="true" applyAlignment="true" applyProtection="false">
      <alignment horizontal="center" vertical="center" textRotation="0" wrapText="false" indent="0" shrinkToFit="false"/>
      <protection locked="true" hidden="false"/>
    </xf>
    <xf numFmtId="170" fontId="8" fillId="2" borderId="6" xfId="0" applyFont="true" applyBorder="true" applyAlignment="true" applyProtection="false">
      <alignment horizontal="center" vertical="center" textRotation="0" wrapText="false" indent="0" shrinkToFit="false"/>
      <protection locked="true" hidden="false"/>
    </xf>
    <xf numFmtId="167" fontId="8" fillId="2" borderId="6" xfId="0" applyFont="true" applyBorder="true" applyAlignment="true" applyProtection="false">
      <alignment horizontal="center" vertical="center" textRotation="0" wrapText="false" indent="0" shrinkToFit="false"/>
      <protection locked="true" hidden="false"/>
    </xf>
    <xf numFmtId="176" fontId="8" fillId="2" borderId="6" xfId="0" applyFont="true" applyBorder="true" applyAlignment="true" applyProtection="false">
      <alignment horizontal="center" vertical="center" textRotation="0" wrapText="false" indent="0" shrinkToFit="false"/>
      <protection locked="true" hidden="false"/>
    </xf>
    <xf numFmtId="168" fontId="8" fillId="2" borderId="6" xfId="0" applyFont="true" applyBorder="true" applyAlignment="true" applyProtection="false">
      <alignment horizontal="center" vertical="center" textRotation="0" wrapText="false" indent="0" shrinkToFit="false"/>
      <protection locked="true" hidden="false"/>
    </xf>
    <xf numFmtId="178" fontId="8" fillId="2" borderId="6"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left" vertical="center" textRotation="0" wrapText="false" indent="0" shrinkToFit="false"/>
      <protection locked="true" hidden="false"/>
    </xf>
    <xf numFmtId="168" fontId="16" fillId="0" borderId="0" xfId="0" applyFont="true" applyBorder="false" applyAlignment="true" applyProtection="false">
      <alignment horizontal="center" vertical="center" textRotation="0" wrapText="false" indent="0" shrinkToFit="false"/>
      <protection locked="true" hidden="false"/>
    </xf>
    <xf numFmtId="170" fontId="8" fillId="2" borderId="0" xfId="0" applyFont="true" applyBorder="false" applyAlignment="true" applyProtection="false">
      <alignment horizontal="center" vertical="center" textRotation="0" wrapText="false" indent="0" shrinkToFit="false"/>
      <protection locked="true" hidden="false"/>
    </xf>
    <xf numFmtId="168" fontId="8" fillId="2" borderId="0" xfId="0" applyFont="true" applyBorder="false" applyAlignment="true" applyProtection="false">
      <alignment horizontal="center" vertical="center" textRotation="0" wrapText="false" indent="0" shrinkToFit="false"/>
      <protection locked="true" hidden="false"/>
    </xf>
    <xf numFmtId="164" fontId="16" fillId="3" borderId="0" xfId="0" applyFont="true" applyBorder="false" applyAlignment="true" applyProtection="false">
      <alignment horizontal="center" vertical="center" textRotation="0" wrapText="false" indent="0" shrinkToFit="false"/>
      <protection locked="true" hidden="false"/>
    </xf>
    <xf numFmtId="168" fontId="16" fillId="3" borderId="0" xfId="0" applyFont="true" applyBorder="false" applyAlignment="true" applyProtection="false">
      <alignment horizontal="center" vertical="center" textRotation="0" wrapText="false" indent="0" shrinkToFit="false"/>
      <protection locked="true" hidden="false"/>
    </xf>
    <xf numFmtId="169" fontId="4" fillId="0"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left" vertical="center" textRotation="0" wrapText="false" indent="1" shrinkToFit="false"/>
      <protection locked="true" hidden="false"/>
    </xf>
    <xf numFmtId="164" fontId="4" fillId="0" borderId="0" xfId="0" applyFont="true" applyBorder="false" applyAlignment="true" applyProtection="false">
      <alignment horizontal="left" vertical="center" textRotation="0" wrapText="false" indent="1" shrinkToFit="false"/>
      <protection locked="true" hidden="false"/>
    </xf>
    <xf numFmtId="170" fontId="16" fillId="0" borderId="6" xfId="0" applyFont="true" applyBorder="true" applyAlignment="true" applyProtection="false">
      <alignment horizontal="center" vertical="center" textRotation="0" wrapText="false" indent="0" shrinkToFit="false"/>
      <protection locked="true" hidden="false"/>
    </xf>
    <xf numFmtId="167" fontId="8" fillId="2"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5">
    <dxf>
      <fill>
        <patternFill>
          <bgColor rgb="FFE2EFDA"/>
        </patternFill>
      </fill>
    </dxf>
    <dxf>
      <fill>
        <patternFill>
          <bgColor rgb="FFF2DCDB"/>
        </patternFill>
      </fill>
    </dxf>
    <dxf>
      <fill>
        <patternFill patternType="solid">
          <fgColor rgb="FF0F2F51"/>
          <bgColor rgb="FF000000"/>
        </patternFill>
      </fill>
    </dxf>
    <dxf>
      <fill>
        <patternFill patternType="solid">
          <fgColor rgb="FFF2F2F2"/>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2EFDA"/>
          <bgColor rgb="FF000000"/>
        </patternFill>
      </fill>
    </dxf>
    <dxf>
      <fill>
        <patternFill patternType="solid">
          <fgColor rgb="FFE5F1DE"/>
          <bgColor rgb="FF000000"/>
        </patternFill>
      </fill>
    </dxf>
    <dxf>
      <fill>
        <patternFill patternType="solid">
          <fgColor rgb="FFE7F2E1"/>
          <bgColor rgb="FF000000"/>
        </patternFill>
      </fill>
    </dxf>
    <dxf>
      <fill>
        <patternFill patternType="solid">
          <fgColor rgb="FFE9F3E3"/>
          <bgColor rgb="FF000000"/>
        </patternFill>
      </fill>
    </dxf>
    <dxf>
      <fill>
        <patternFill patternType="solid">
          <fgColor rgb="FFEBF4E6"/>
          <bgColor rgb="FF000000"/>
        </patternFill>
      </fill>
    </dxf>
    <dxf>
      <fill>
        <patternFill patternType="solid">
          <fgColor rgb="FFECF5E6"/>
          <bgColor rgb="FF000000"/>
        </patternFill>
      </fill>
    </dxf>
    <dxf>
      <fill>
        <patternFill patternType="solid">
          <fgColor rgb="FFEEF6E9"/>
          <bgColor rgb="FF000000"/>
        </patternFill>
      </fill>
    </dxf>
    <dxf>
      <fill>
        <patternFill patternType="solid">
          <fgColor rgb="FFEFF6EA"/>
          <bgColor rgb="FF000000"/>
        </patternFill>
      </fill>
    </dxf>
    <dxf>
      <fill>
        <patternFill patternType="solid">
          <fgColor rgb="FFF2DCDB"/>
          <bgColor rgb="FF000000"/>
        </patternFill>
      </fill>
    </dxf>
    <dxf>
      <fill>
        <patternFill patternType="solid">
          <fgColor rgb="FFF3DFDE"/>
          <bgColor rgb="FF000000"/>
        </patternFill>
      </fill>
    </dxf>
    <dxf>
      <fill>
        <patternFill patternType="solid">
          <fgColor rgb="FFF4E2E1"/>
          <bgColor rgb="FF000000"/>
        </patternFill>
      </fill>
    </dxf>
    <dxf>
      <fill>
        <patternFill patternType="solid">
          <fgColor rgb="FFF4E3E3"/>
          <bgColor rgb="FF000000"/>
        </patternFill>
      </fill>
    </dxf>
    <dxf>
      <fill>
        <patternFill patternType="solid">
          <fgColor rgb="FFF6E7E6"/>
          <bgColor rgb="FF000000"/>
        </patternFill>
      </fill>
    </dxf>
    <dxf>
      <fill>
        <patternFill patternType="solid">
          <fgColor rgb="FFF6E8E7"/>
          <bgColor rgb="FF000000"/>
        </patternFill>
      </fill>
    </dxf>
    <dxf>
      <fill>
        <patternFill patternType="solid">
          <fgColor rgb="FFF8EDEC"/>
          <bgColor rgb="FF000000"/>
        </patternFill>
      </fill>
    </dxf>
    <dxf>
      <fill>
        <patternFill patternType="solid">
          <fgColor rgb="FFFAF3F2"/>
          <bgColor rgb="FF000000"/>
        </patternFill>
      </fill>
    </dxf>
    <dxf>
      <fill>
        <patternFill patternType="solid">
          <fgColor rgb="FFFAF3F3"/>
          <bgColor rgb="FF000000"/>
        </patternFill>
      </fill>
    </dxf>
    <dxf>
      <fill>
        <patternFill patternType="solid">
          <fgColor rgb="FFFAFDF9"/>
          <bgColor rgb="FF000000"/>
        </patternFill>
      </fill>
    </dxf>
    <dxf>
      <fill>
        <patternFill patternType="solid">
          <fgColor rgb="FFFBF4F4"/>
          <bgColor rgb="FF000000"/>
        </patternFill>
      </fill>
    </dxf>
    <dxf>
      <fill>
        <patternFill patternType="solid">
          <fgColor rgb="FFFBF6F6"/>
          <bgColor rgb="FF000000"/>
        </patternFill>
      </fill>
    </dxf>
    <dxf>
      <fill>
        <patternFill patternType="solid">
          <fgColor rgb="FFFBFDF9"/>
          <bgColor rgb="FF000000"/>
        </patternFill>
      </fill>
    </dxf>
    <dxf>
      <fill>
        <patternFill patternType="solid">
          <fgColor rgb="FFFBFDFA"/>
          <bgColor rgb="FF000000"/>
        </patternFill>
      </fill>
    </dxf>
    <dxf>
      <fill>
        <patternFill patternType="solid">
          <fgColor rgb="FFFCF7F6"/>
          <bgColor rgb="FF000000"/>
        </patternFill>
      </fill>
    </dxf>
    <dxf>
      <fill>
        <patternFill patternType="solid">
          <fgColor rgb="FFFCF7F7"/>
          <bgColor rgb="FF000000"/>
        </patternFill>
      </fill>
    </dxf>
    <dxf>
      <fill>
        <patternFill patternType="solid">
          <fgColor rgb="FFFCF8F7"/>
          <bgColor rgb="FF000000"/>
        </patternFill>
      </fill>
    </dxf>
    <dxf>
      <fill>
        <patternFill patternType="solid">
          <fgColor rgb="FFFCF9F9"/>
          <bgColor rgb="FF000000"/>
        </patternFill>
      </fill>
    </dxf>
    <dxf>
      <fill>
        <patternFill patternType="solid">
          <fgColor rgb="FFFCFEFB"/>
          <bgColor rgb="FF000000"/>
        </patternFill>
      </fill>
    </dxf>
    <dxf>
      <fill>
        <patternFill patternType="solid">
          <fgColor rgb="FFFDFBFB"/>
          <bgColor rgb="FF000000"/>
        </patternFill>
      </fill>
    </dxf>
    <dxf>
      <fill>
        <patternFill patternType="solid">
          <fgColor rgb="FFFDFEFD"/>
          <bgColor rgb="FF000000"/>
        </patternFill>
      </fill>
    </dxf>
    <dxf>
      <fill>
        <patternFill patternType="solid">
          <fgColor rgb="FFFEFCFC"/>
          <bgColor rgb="FF000000"/>
        </patternFill>
      </fill>
    </dxf>
    <dxf>
      <fill>
        <patternFill patternType="solid">
          <fgColor rgb="FFFEFDFD"/>
          <bgColor rgb="FF000000"/>
        </patternFill>
      </fill>
    </dxf>
    <dxf>
      <fill>
        <patternFill patternType="solid">
          <fgColor rgb="FFFEFEFD"/>
          <bgColor rgb="FF000000"/>
        </patternFill>
      </fill>
    </dxf>
    <dxf>
      <fill>
        <patternFill patternType="solid">
          <fgColor rgb="FFFEFFFD"/>
          <bgColor rgb="FF000000"/>
        </patternFill>
      </fill>
    </dxf>
    <dxf>
      <fill>
        <patternFill patternType="solid">
          <fgColor rgb="FFFEFFFE"/>
          <bgColor rgb="FF000000"/>
        </patternFill>
      </fill>
    </dxf>
    <dxf>
      <font>
        <name val="Calibri"/>
        <charset val="1"/>
        <family val="0"/>
        <b val="1"/>
        <color rgb="FF0F2F51"/>
        <sz val="10"/>
      </font>
      <fill>
        <patternFill>
          <bgColor rgb="FFD9E1F2"/>
        </patternFill>
      </fill>
      <border diagonalUp="false" diagonalDown="false">
        <left style="dashed">
          <color rgb="FF0F2F51"/>
        </left>
        <right style="dashed">
          <color rgb="FF0F2F51"/>
        </right>
        <top style="dashed">
          <color rgb="FF0F2F51"/>
        </top>
        <bottom style="dashed">
          <color rgb="FF0F2F51"/>
        </bottom>
        <diagonal/>
      </border>
    </dxf>
    <dxf>
      <font>
        <name val="Calibri"/>
        <charset val="1"/>
        <family val="0"/>
        <b val="1"/>
        <color rgb="FF9C0006"/>
        <sz val="10"/>
      </font>
      <fill>
        <patternFill>
          <bgColor rgb="FFF2DCDB"/>
        </patternFill>
      </fill>
    </dxf>
    <dxf>
      <font>
        <name val="Calibri"/>
        <charset val="1"/>
        <family val="0"/>
        <b val="1"/>
        <color rgb="FF375623"/>
        <sz val="10"/>
      </font>
      <fill>
        <patternFill>
          <bgColor rgb="FFE2EFDA"/>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2DCDB"/>
      <rgbColor rgb="FF3366FF"/>
      <rgbColor rgb="FF33CCCC"/>
      <rgbColor rgb="FF99CC00"/>
      <rgbColor rgb="FFFFCC00"/>
      <rgbColor rgb="FFFF9900"/>
      <rgbColor rgb="FFFF6600"/>
      <rgbColor rgb="FF666699"/>
      <rgbColor rgb="FF969696"/>
      <rgbColor rgb="FF0F2F51"/>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F51"/>
    <pageSetUpPr fitToPage="false"/>
  </sheetPr>
  <dimension ref="B2:E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22"/>
    <col collapsed="false" customWidth="true" hidden="false" outlineLevel="0" max="4" min="4" style="0" width="78"/>
    <col collapsed="false" customWidth="true" hidden="false" outlineLevel="0" max="5" min="5" style="0" width="22"/>
    <col collapsed="false" customWidth="true" hidden="false" outlineLevel="0" max="6" min="6" style="0" width="2"/>
  </cols>
  <sheetData>
    <row r="2" customFormat="false" ht="15" hidden="false" customHeight="false" outlineLevel="0" collapsed="false">
      <c r="B2" s="1"/>
      <c r="C2" s="1"/>
      <c r="D2" s="1"/>
      <c r="E2" s="1"/>
    </row>
    <row r="3" customFormat="false" ht="15" hidden="false" customHeight="false" outlineLevel="0" collapsed="false">
      <c r="B3" s="1"/>
      <c r="C3" s="1"/>
      <c r="D3" s="1"/>
      <c r="E3" s="1"/>
    </row>
    <row r="4" customFormat="false" ht="27.75" hidden="false" customHeight="true" outlineLevel="0" collapsed="false">
      <c r="B4" s="2" t="s">
        <v>0</v>
      </c>
      <c r="C4" s="1"/>
      <c r="D4" s="1"/>
      <c r="E4" s="1"/>
    </row>
    <row r="5" customFormat="false" ht="15" hidden="false" customHeight="false" outlineLevel="0" collapsed="false">
      <c r="B5" s="1"/>
      <c r="C5" s="1"/>
      <c r="D5" s="1"/>
      <c r="E5" s="1"/>
    </row>
    <row r="6" customFormat="false" ht="15" hidden="false" customHeight="false" outlineLevel="0" collapsed="false">
      <c r="B6" s="3" t="s">
        <v>1</v>
      </c>
      <c r="C6" s="1"/>
      <c r="D6" s="1"/>
      <c r="E6" s="1"/>
    </row>
    <row r="7" customFormat="false" ht="15" hidden="false" customHeight="false" outlineLevel="0" collapsed="false">
      <c r="B7" s="1"/>
      <c r="C7" s="1"/>
      <c r="D7" s="1"/>
      <c r="E7" s="1"/>
    </row>
    <row r="8" customFormat="false" ht="15" hidden="false" customHeight="false" outlineLevel="0" collapsed="false">
      <c r="B8" s="4" t="s">
        <v>2</v>
      </c>
      <c r="C8" s="1"/>
      <c r="D8" s="1"/>
      <c r="E8" s="1"/>
    </row>
    <row r="9" customFormat="false" ht="15" hidden="false" customHeight="false" outlineLevel="0" collapsed="false">
      <c r="B9" s="1"/>
      <c r="C9" s="1"/>
      <c r="D9" s="1"/>
      <c r="E9" s="1"/>
    </row>
    <row r="12" customFormat="false" ht="18" hidden="false" customHeight="true" outlineLevel="0" collapsed="false">
      <c r="B12" s="5" t="s">
        <v>3</v>
      </c>
      <c r="C12" s="5"/>
      <c r="D12" s="5"/>
      <c r="E12" s="5"/>
    </row>
    <row r="13" customFormat="false" ht="15" hidden="false" customHeight="false" outlineLevel="0" collapsed="false">
      <c r="B13" s="6" t="s">
        <v>4</v>
      </c>
      <c r="C13" s="7" t="s">
        <v>5</v>
      </c>
    </row>
    <row r="14" customFormat="false" ht="15" hidden="false" customHeight="false" outlineLevel="0" collapsed="false">
      <c r="B14" s="6" t="s">
        <v>4</v>
      </c>
      <c r="C14" s="7" t="s">
        <v>6</v>
      </c>
    </row>
    <row r="15" customFormat="false" ht="15" hidden="false" customHeight="false" outlineLevel="0" collapsed="false">
      <c r="B15" s="6" t="s">
        <v>4</v>
      </c>
      <c r="C15" s="7" t="s">
        <v>7</v>
      </c>
    </row>
    <row r="16" customFormat="false" ht="15" hidden="false" customHeight="false" outlineLevel="0" collapsed="false">
      <c r="B16" s="6" t="s">
        <v>4</v>
      </c>
      <c r="C16" s="7" t="s">
        <v>8</v>
      </c>
    </row>
    <row r="17" customFormat="false" ht="15" hidden="false" customHeight="false" outlineLevel="0" collapsed="false">
      <c r="B17" s="6" t="s">
        <v>4</v>
      </c>
      <c r="C17" s="7" t="s">
        <v>9</v>
      </c>
    </row>
    <row r="19" customFormat="false" ht="18" hidden="false" customHeight="true" outlineLevel="0" collapsed="false">
      <c r="B19" s="5" t="s">
        <v>10</v>
      </c>
      <c r="C19" s="5"/>
      <c r="D19" s="5"/>
      <c r="E19" s="5"/>
    </row>
    <row r="20" customFormat="false" ht="27.75" hidden="false" customHeight="true" outlineLevel="0" collapsed="false">
      <c r="B20" s="8" t="s">
        <v>11</v>
      </c>
      <c r="C20" s="9"/>
      <c r="D20" s="9" t="s">
        <v>12</v>
      </c>
      <c r="E20" s="9" t="s">
        <v>13</v>
      </c>
    </row>
    <row r="21" customFormat="false" ht="43.5" hidden="false" customHeight="true" outlineLevel="0" collapsed="false">
      <c r="B21" s="10" t="s">
        <v>14</v>
      </c>
      <c r="C21" s="11"/>
      <c r="D21" s="12" t="s">
        <v>15</v>
      </c>
      <c r="E21" s="13" t="s">
        <v>16</v>
      </c>
    </row>
    <row r="22" customFormat="false" ht="43.5" hidden="false" customHeight="true" outlineLevel="0" collapsed="false">
      <c r="B22" s="14" t="s">
        <v>17</v>
      </c>
      <c r="C22" s="15"/>
      <c r="D22" s="16" t="s">
        <v>18</v>
      </c>
      <c r="E22" s="17" t="s">
        <v>19</v>
      </c>
    </row>
    <row r="23" customFormat="false" ht="43.5" hidden="false" customHeight="true" outlineLevel="0" collapsed="false">
      <c r="B23" s="10" t="s">
        <v>20</v>
      </c>
      <c r="C23" s="11"/>
      <c r="D23" s="12" t="s">
        <v>21</v>
      </c>
      <c r="E23" s="13" t="s">
        <v>22</v>
      </c>
    </row>
    <row r="24" customFormat="false" ht="43.5" hidden="false" customHeight="true" outlineLevel="0" collapsed="false">
      <c r="B24" s="14" t="s">
        <v>23</v>
      </c>
      <c r="C24" s="15"/>
      <c r="D24" s="16" t="s">
        <v>24</v>
      </c>
      <c r="E24" s="17" t="s">
        <v>22</v>
      </c>
    </row>
    <row r="25" customFormat="false" ht="43.5" hidden="false" customHeight="true" outlineLevel="0" collapsed="false">
      <c r="B25" s="10" t="s">
        <v>25</v>
      </c>
      <c r="C25" s="11"/>
      <c r="D25" s="12" t="s">
        <v>26</v>
      </c>
      <c r="E25" s="13" t="s">
        <v>22</v>
      </c>
    </row>
    <row r="26" customFormat="false" ht="43.5" hidden="false" customHeight="true" outlineLevel="0" collapsed="false">
      <c r="B26" s="14" t="s">
        <v>27</v>
      </c>
      <c r="C26" s="15"/>
      <c r="D26" s="16" t="s">
        <v>28</v>
      </c>
      <c r="E26" s="17" t="s">
        <v>29</v>
      </c>
    </row>
    <row r="27" customFormat="false" ht="43.5" hidden="false" customHeight="true" outlineLevel="0" collapsed="false">
      <c r="B27" s="10" t="s">
        <v>30</v>
      </c>
      <c r="C27" s="11"/>
      <c r="D27" s="12" t="s">
        <v>31</v>
      </c>
      <c r="E27" s="13" t="s">
        <v>22</v>
      </c>
    </row>
    <row r="29" customFormat="false" ht="18" hidden="false" customHeight="true" outlineLevel="0" collapsed="false">
      <c r="B29" s="5" t="s">
        <v>32</v>
      </c>
      <c r="C29" s="5"/>
      <c r="D29" s="5"/>
      <c r="E29" s="5"/>
    </row>
    <row r="30" customFormat="false" ht="27.75" hidden="false" customHeight="true" outlineLevel="0" collapsed="false">
      <c r="B30" s="8" t="s">
        <v>33</v>
      </c>
      <c r="C30" s="9"/>
      <c r="D30" s="9" t="s">
        <v>34</v>
      </c>
      <c r="E30" s="9"/>
    </row>
    <row r="31" customFormat="false" ht="15" hidden="false" customHeight="false" outlineLevel="0" collapsed="false">
      <c r="B31" s="18" t="s">
        <v>35</v>
      </c>
      <c r="C31" s="19" t="s">
        <v>36</v>
      </c>
      <c r="D31" s="20" t="s">
        <v>37</v>
      </c>
      <c r="E31" s="11"/>
    </row>
    <row r="32" customFormat="false" ht="15" hidden="false" customHeight="false" outlineLevel="0" collapsed="false">
      <c r="B32" s="21" t="s">
        <v>38</v>
      </c>
      <c r="C32" s="22" t="s">
        <v>36</v>
      </c>
      <c r="D32" s="7" t="s">
        <v>39</v>
      </c>
      <c r="E32" s="15"/>
    </row>
    <row r="33" customFormat="false" ht="15" hidden="false" customHeight="false" outlineLevel="0" collapsed="false">
      <c r="B33" s="23" t="s">
        <v>40</v>
      </c>
      <c r="C33" s="24" t="s">
        <v>36</v>
      </c>
      <c r="D33" s="20" t="s">
        <v>41</v>
      </c>
      <c r="E33" s="11"/>
    </row>
    <row r="34" customFormat="false" ht="15" hidden="false" customHeight="false" outlineLevel="0" collapsed="false">
      <c r="B34" s="25" t="s">
        <v>42</v>
      </c>
      <c r="C34" s="26" t="s">
        <v>36</v>
      </c>
      <c r="D34" s="7" t="s">
        <v>43</v>
      </c>
      <c r="E34" s="15"/>
    </row>
    <row r="36" customFormat="false" ht="18" hidden="false" customHeight="true" outlineLevel="0" collapsed="false">
      <c r="B36" s="5" t="s">
        <v>44</v>
      </c>
      <c r="C36" s="5"/>
      <c r="D36" s="5"/>
      <c r="E36" s="5"/>
    </row>
    <row r="37" customFormat="false" ht="27.75" hidden="false" customHeight="true" outlineLevel="0" collapsed="false">
      <c r="B37" s="8" t="s">
        <v>33</v>
      </c>
      <c r="C37" s="9"/>
      <c r="D37" s="9" t="s">
        <v>34</v>
      </c>
      <c r="E37" s="9"/>
    </row>
    <row r="38" customFormat="false" ht="15" hidden="false" customHeight="false" outlineLevel="0" collapsed="false">
      <c r="B38" s="25" t="s">
        <v>45</v>
      </c>
      <c r="C38" s="1"/>
      <c r="D38" s="7" t="s">
        <v>46</v>
      </c>
    </row>
    <row r="39" customFormat="false" ht="15" hidden="false" customHeight="false" outlineLevel="0" collapsed="false">
      <c r="B39" s="25" t="s">
        <v>47</v>
      </c>
      <c r="C39" s="27"/>
      <c r="D39" s="7" t="s">
        <v>48</v>
      </c>
    </row>
    <row r="40" customFormat="false" ht="15" hidden="false" customHeight="false" outlineLevel="0" collapsed="false">
      <c r="B40" s="25" t="s">
        <v>49</v>
      </c>
      <c r="C40" s="11"/>
      <c r="D40" s="7" t="s">
        <v>50</v>
      </c>
    </row>
    <row r="41" customFormat="false" ht="15" hidden="false" customHeight="false" outlineLevel="0" collapsed="false">
      <c r="B41" s="25" t="s">
        <v>51</v>
      </c>
      <c r="C41" s="28"/>
      <c r="D41" s="7" t="s">
        <v>52</v>
      </c>
    </row>
    <row r="42" customFormat="false" ht="15" hidden="false" customHeight="false" outlineLevel="0" collapsed="false">
      <c r="B42" s="25" t="s">
        <v>53</v>
      </c>
      <c r="C42" s="29"/>
      <c r="D42" s="7" t="s">
        <v>54</v>
      </c>
    </row>
    <row r="45" customFormat="false" ht="15" hidden="false" customHeight="false" outlineLevel="0" collapsed="false">
      <c r="B45" s="30" t="s">
        <v>55</v>
      </c>
    </row>
  </sheetData>
  <mergeCells count="4">
    <mergeCell ref="B12:E12"/>
    <mergeCell ref="B19:E19"/>
    <mergeCell ref="B29:E29"/>
    <mergeCell ref="B36:E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B2:L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5" min="3" style="0" width="13"/>
    <col collapsed="false" customWidth="true" hidden="false" outlineLevel="0" max="6" min="6" style="0" width="14"/>
    <col collapsed="false" customWidth="true" hidden="false" outlineLevel="0" max="7" min="7" style="0" width="2"/>
    <col collapsed="false" customWidth="true" hidden="false" outlineLevel="0" max="8" min="8" style="0" width="66"/>
    <col collapsed="false" customWidth="true" hidden="false" outlineLevel="0" max="9" min="9" style="0" width="2"/>
    <col collapsed="false" customWidth="true" hidden="false" outlineLevel="0" max="12" min="10" style="0" width="13"/>
  </cols>
  <sheetData>
    <row r="2" customFormat="false" ht="18" hidden="false" customHeight="true" outlineLevel="0" collapsed="false">
      <c r="B2" s="5" t="s">
        <v>56</v>
      </c>
      <c r="C2" s="5"/>
      <c r="D2" s="5"/>
      <c r="E2" s="5"/>
      <c r="F2" s="5"/>
      <c r="G2" s="5"/>
      <c r="H2" s="5"/>
    </row>
    <row r="4" customFormat="false" ht="15" hidden="false" customHeight="false" outlineLevel="0" collapsed="false">
      <c r="B4" s="31" t="s">
        <v>57</v>
      </c>
      <c r="C4" s="32" t="n">
        <v>2</v>
      </c>
    </row>
    <row r="5" customFormat="false" ht="15" hidden="false" customHeight="false" outlineLevel="0" collapsed="false">
      <c r="B5" s="31" t="s">
        <v>58</v>
      </c>
      <c r="C5" s="33" t="str">
        <f aca="false">CHOOSE(Scen,"Downside","Base","Upside")</f>
        <v>Base</v>
      </c>
    </row>
    <row r="6" customFormat="false" ht="15" hidden="false" customHeight="false" outlineLevel="0" collapsed="false">
      <c r="B6" s="30" t="s">
        <v>59</v>
      </c>
    </row>
    <row r="8" customFormat="false" ht="27.75" hidden="false" customHeight="true" outlineLevel="0" collapsed="false">
      <c r="B8" s="8" t="s">
        <v>60</v>
      </c>
      <c r="C8" s="9" t="s">
        <v>61</v>
      </c>
      <c r="D8" s="9" t="s">
        <v>62</v>
      </c>
      <c r="E8" s="9" t="s">
        <v>63</v>
      </c>
      <c r="F8" s="9" t="s">
        <v>64</v>
      </c>
      <c r="G8" s="9"/>
      <c r="H8" s="9" t="s">
        <v>65</v>
      </c>
    </row>
    <row r="9" customFormat="false" ht="15" hidden="false" customHeight="false" outlineLevel="0" collapsed="false">
      <c r="B9" s="34" t="s">
        <v>66</v>
      </c>
      <c r="C9" s="34"/>
      <c r="D9" s="34"/>
      <c r="E9" s="34"/>
      <c r="F9" s="34"/>
      <c r="G9" s="34"/>
      <c r="H9" s="34"/>
    </row>
    <row r="10" customFormat="false" ht="31.5" hidden="false" customHeight="true" outlineLevel="0" collapsed="false">
      <c r="B10" s="35" t="s">
        <v>67</v>
      </c>
      <c r="C10" s="36" t="s">
        <v>68</v>
      </c>
      <c r="D10" s="37" t="n">
        <v>46295</v>
      </c>
      <c r="E10" s="36" t="s">
        <v>68</v>
      </c>
      <c r="F10" s="38" t="n">
        <f aca="false">D10</f>
        <v>46295</v>
      </c>
      <c r="H10" s="39" t="s">
        <v>69</v>
      </c>
    </row>
    <row r="11" customFormat="false" ht="31.5" hidden="false" customHeight="true" outlineLevel="0" collapsed="false">
      <c r="B11" s="35" t="s">
        <v>70</v>
      </c>
      <c r="C11" s="36" t="s">
        <v>68</v>
      </c>
      <c r="D11" s="40" t="s">
        <v>71</v>
      </c>
      <c r="E11" s="36" t="s">
        <v>68</v>
      </c>
      <c r="F11" s="41" t="str">
        <f aca="false">D11</f>
        <v>All Deals</v>
      </c>
      <c r="H11" s="39" t="s">
        <v>72</v>
      </c>
    </row>
    <row r="12" customFormat="false" ht="31.5" hidden="false" customHeight="true" outlineLevel="0" collapsed="false">
      <c r="B12" s="35" t="s">
        <v>73</v>
      </c>
      <c r="C12" s="32" t="n">
        <v>5</v>
      </c>
      <c r="D12" s="32" t="n">
        <v>5</v>
      </c>
      <c r="E12" s="32" t="n">
        <v>5</v>
      </c>
      <c r="F12" s="42" t="n">
        <f aca="false">CHOOSE(Scen,C12,D12,E12)</f>
        <v>5</v>
      </c>
      <c r="H12" s="39" t="s">
        <v>74</v>
      </c>
    </row>
    <row r="13" customFormat="false" ht="31.5" hidden="false" customHeight="true" outlineLevel="0" collapsed="false">
      <c r="B13" s="35" t="s">
        <v>75</v>
      </c>
      <c r="C13" s="43" t="n">
        <v>0.9</v>
      </c>
      <c r="D13" s="43" t="n">
        <v>0.94</v>
      </c>
      <c r="E13" s="43" t="n">
        <v>0.97</v>
      </c>
      <c r="F13" s="44" t="n">
        <f aca="false">CHOOSE(Scen,C13,D13,E13)</f>
        <v>0.94</v>
      </c>
      <c r="H13" s="39" t="s">
        <v>76</v>
      </c>
    </row>
    <row r="14" customFormat="false" ht="31.5" hidden="false" customHeight="true" outlineLevel="0" collapsed="false">
      <c r="B14" s="35" t="s">
        <v>77</v>
      </c>
      <c r="C14" s="36" t="s">
        <v>68</v>
      </c>
      <c r="D14" s="43" t="n">
        <v>0.0015</v>
      </c>
      <c r="E14" s="36" t="s">
        <v>68</v>
      </c>
      <c r="F14" s="45" t="n">
        <f aca="false">D14</f>
        <v>0.0015</v>
      </c>
      <c r="H14" s="39" t="s">
        <v>78</v>
      </c>
    </row>
    <row r="15" customFormat="false" ht="31.5" hidden="false" customHeight="true" outlineLevel="0" collapsed="false">
      <c r="B15" s="35" t="s">
        <v>79</v>
      </c>
      <c r="C15" s="36" t="s">
        <v>68</v>
      </c>
      <c r="D15" s="43" t="n">
        <v>0.0075</v>
      </c>
      <c r="E15" s="36" t="s">
        <v>68</v>
      </c>
      <c r="F15" s="45" t="n">
        <f aca="false">D15</f>
        <v>0.0075</v>
      </c>
      <c r="H15" s="39" t="s">
        <v>80</v>
      </c>
    </row>
    <row r="16" customFormat="false" ht="31.5" hidden="false" customHeight="true" outlineLevel="0" collapsed="false">
      <c r="B16" s="35" t="s">
        <v>81</v>
      </c>
      <c r="C16" s="43" t="n">
        <v>0.93</v>
      </c>
      <c r="D16" s="43" t="n">
        <v>0.97</v>
      </c>
      <c r="E16" s="43" t="n">
        <v>1</v>
      </c>
      <c r="F16" s="44" t="n">
        <f aca="false">CHOOSE(Scen,C16,D16,E16)</f>
        <v>0.97</v>
      </c>
      <c r="H16" s="39" t="s">
        <v>82</v>
      </c>
    </row>
    <row r="17" customFormat="false" ht="31.5" hidden="false" customHeight="true" outlineLevel="0" collapsed="false">
      <c r="B17" s="35" t="s">
        <v>83</v>
      </c>
      <c r="C17" s="36" t="s">
        <v>68</v>
      </c>
      <c r="D17" s="43" t="n">
        <v>0.005</v>
      </c>
      <c r="E17" s="36" t="s">
        <v>68</v>
      </c>
      <c r="F17" s="45" t="n">
        <f aca="false">D17</f>
        <v>0.005</v>
      </c>
      <c r="H17" s="39" t="s">
        <v>84</v>
      </c>
    </row>
    <row r="18" customFormat="false" ht="15" hidden="false" customHeight="false" outlineLevel="0" collapsed="false">
      <c r="B18" s="34" t="s">
        <v>85</v>
      </c>
      <c r="C18" s="34"/>
      <c r="D18" s="34"/>
      <c r="E18" s="34"/>
      <c r="F18" s="34"/>
      <c r="G18" s="34"/>
      <c r="H18" s="34"/>
    </row>
    <row r="19" customFormat="false" ht="31.5" hidden="false" customHeight="true" outlineLevel="0" collapsed="false">
      <c r="B19" s="35" t="s">
        <v>86</v>
      </c>
      <c r="C19" s="36" t="s">
        <v>68</v>
      </c>
      <c r="D19" s="40" t="s">
        <v>87</v>
      </c>
      <c r="E19" s="36" t="s">
        <v>68</v>
      </c>
      <c r="F19" s="41" t="str">
        <f aca="false">D19</f>
        <v>Yes</v>
      </c>
      <c r="H19" s="39" t="s">
        <v>88</v>
      </c>
    </row>
    <row r="20" customFormat="false" ht="31.5" hidden="false" customHeight="true" outlineLevel="0" collapsed="false">
      <c r="B20" s="35" t="s">
        <v>89</v>
      </c>
      <c r="C20" s="36" t="s">
        <v>68</v>
      </c>
      <c r="D20" s="40" t="s">
        <v>90</v>
      </c>
      <c r="E20" s="36" t="s">
        <v>68</v>
      </c>
      <c r="F20" s="41" t="str">
        <f aca="false">D20</f>
        <v>Repo Facility</v>
      </c>
      <c r="H20" s="39" t="s">
        <v>91</v>
      </c>
    </row>
    <row r="21" customFormat="false" ht="31.5" hidden="false" customHeight="true" outlineLevel="0" collapsed="false">
      <c r="B21" s="35" t="s">
        <v>92</v>
      </c>
      <c r="C21" s="46" t="n">
        <v>0.5</v>
      </c>
      <c r="D21" s="46" t="n">
        <v>0.6</v>
      </c>
      <c r="E21" s="46" t="n">
        <v>0.65</v>
      </c>
      <c r="F21" s="47" t="n">
        <f aca="false">CHOOSE(Scen,C21,D21,E21)</f>
        <v>0.6</v>
      </c>
      <c r="H21" s="39" t="s">
        <v>93</v>
      </c>
    </row>
    <row r="22" customFormat="false" ht="31.5" hidden="false" customHeight="true" outlineLevel="0" collapsed="false">
      <c r="B22" s="35" t="s">
        <v>94</v>
      </c>
      <c r="C22" s="48" t="n">
        <v>325</v>
      </c>
      <c r="D22" s="48" t="n">
        <v>250</v>
      </c>
      <c r="E22" s="48" t="n">
        <v>225</v>
      </c>
      <c r="F22" s="49" t="n">
        <f aca="false">CHOOSE(Scen,C22,D22,E22)</f>
        <v>250</v>
      </c>
      <c r="H22" s="39" t="s">
        <v>95</v>
      </c>
    </row>
    <row r="23" customFormat="false" ht="31.5" hidden="false" customHeight="true" outlineLevel="0" collapsed="false">
      <c r="B23" s="35" t="s">
        <v>96</v>
      </c>
      <c r="C23" s="36" t="s">
        <v>68</v>
      </c>
      <c r="D23" s="43" t="n">
        <v>0.005</v>
      </c>
      <c r="E23" s="36" t="s">
        <v>68</v>
      </c>
      <c r="F23" s="45" t="n">
        <f aca="false">D23</f>
        <v>0.005</v>
      </c>
      <c r="H23" s="39" t="s">
        <v>97</v>
      </c>
    </row>
    <row r="24" customFormat="false" ht="31.5" hidden="false" customHeight="true" outlineLevel="0" collapsed="false">
      <c r="B24" s="35" t="s">
        <v>98</v>
      </c>
      <c r="C24" s="36" t="s">
        <v>68</v>
      </c>
      <c r="D24" s="43" t="n">
        <v>0.0025</v>
      </c>
      <c r="E24" s="36" t="s">
        <v>68</v>
      </c>
      <c r="F24" s="45" t="n">
        <f aca="false">D24</f>
        <v>0.0025</v>
      </c>
      <c r="H24" s="39" t="s">
        <v>99</v>
      </c>
    </row>
    <row r="25" customFormat="false" ht="31.5" hidden="false" customHeight="true" outlineLevel="0" collapsed="false">
      <c r="B25" s="35" t="s">
        <v>100</v>
      </c>
      <c r="C25" s="46" t="n">
        <v>1</v>
      </c>
      <c r="D25" s="46" t="n">
        <v>1</v>
      </c>
      <c r="E25" s="46" t="n">
        <v>0.85</v>
      </c>
      <c r="F25" s="47" t="n">
        <f aca="false">CHOOSE(Scen,C25,D25,E25)</f>
        <v>1</v>
      </c>
      <c r="H25" s="39" t="s">
        <v>101</v>
      </c>
    </row>
    <row r="26" customFormat="false" ht="31.5" hidden="false" customHeight="true" outlineLevel="0" collapsed="false">
      <c r="B26" s="35" t="s">
        <v>102</v>
      </c>
      <c r="C26" s="36" t="s">
        <v>68</v>
      </c>
      <c r="D26" s="32" t="n">
        <v>5</v>
      </c>
      <c r="E26" s="36" t="s">
        <v>68</v>
      </c>
      <c r="F26" s="50" t="n">
        <f aca="false">D26</f>
        <v>5</v>
      </c>
      <c r="H26" s="39" t="s">
        <v>103</v>
      </c>
    </row>
    <row r="27" customFormat="false" ht="31.5" hidden="false" customHeight="true" outlineLevel="0" collapsed="false">
      <c r="B27" s="35" t="s">
        <v>104</v>
      </c>
      <c r="C27" s="36" t="s">
        <v>68</v>
      </c>
      <c r="D27" s="36" t="s">
        <v>68</v>
      </c>
      <c r="E27" s="36" t="s">
        <v>68</v>
      </c>
      <c r="F27" s="42" t="n">
        <f aca="false">MIN(Hold_Yrs,Fin_Term)</f>
        <v>5</v>
      </c>
      <c r="H27" s="39" t="s">
        <v>105</v>
      </c>
    </row>
    <row r="28" customFormat="false" ht="31.5" hidden="false" customHeight="true" outlineLevel="0" collapsed="false">
      <c r="B28" s="35" t="s">
        <v>106</v>
      </c>
      <c r="C28" s="36" t="s">
        <v>68</v>
      </c>
      <c r="D28" s="36" t="s">
        <v>68</v>
      </c>
      <c r="E28" s="36" t="s">
        <v>68</v>
      </c>
      <c r="F28" s="44" t="n">
        <f aca="false">IF(Fin_Flag="Yes",INDEX(Fin_Curve,1,1),0)</f>
        <v>0.07</v>
      </c>
      <c r="H28" s="39" t="s">
        <v>107</v>
      </c>
    </row>
    <row r="29" customFormat="false" ht="15" hidden="false" customHeight="false" outlineLevel="0" collapsed="false">
      <c r="B29" s="34" t="s">
        <v>108</v>
      </c>
      <c r="C29" s="34"/>
      <c r="D29" s="34"/>
      <c r="E29" s="34"/>
      <c r="F29" s="34"/>
      <c r="G29" s="34"/>
      <c r="H29" s="34"/>
    </row>
    <row r="30" customFormat="false" ht="31.5" hidden="false" customHeight="true" outlineLevel="0" collapsed="false">
      <c r="B30" s="35" t="s">
        <v>109</v>
      </c>
      <c r="C30" s="36" t="s">
        <v>68</v>
      </c>
      <c r="D30" s="48" t="n">
        <v>15</v>
      </c>
      <c r="E30" s="36" t="s">
        <v>68</v>
      </c>
      <c r="F30" s="51" t="n">
        <f aca="false">D30</f>
        <v>15</v>
      </c>
      <c r="H30" s="39" t="s">
        <v>110</v>
      </c>
    </row>
    <row r="31" customFormat="false" ht="31.5" hidden="false" customHeight="true" outlineLevel="0" collapsed="false">
      <c r="B31" s="35" t="s">
        <v>111</v>
      </c>
      <c r="C31" s="36" t="s">
        <v>68</v>
      </c>
      <c r="D31" s="48" t="n">
        <v>100</v>
      </c>
      <c r="E31" s="36" t="s">
        <v>68</v>
      </c>
      <c r="F31" s="51" t="n">
        <f aca="false">D31</f>
        <v>100</v>
      </c>
      <c r="H31" s="39" t="s">
        <v>112</v>
      </c>
    </row>
    <row r="32" customFormat="false" ht="31.5" hidden="false" customHeight="true" outlineLevel="0" collapsed="false">
      <c r="B32" s="35" t="s">
        <v>113</v>
      </c>
      <c r="C32" s="36" t="s">
        <v>68</v>
      </c>
      <c r="D32" s="52" t="n">
        <v>250000</v>
      </c>
      <c r="E32" s="36" t="s">
        <v>68</v>
      </c>
      <c r="F32" s="53" t="n">
        <f aca="false">D32</f>
        <v>250000</v>
      </c>
      <c r="H32" s="39" t="s">
        <v>114</v>
      </c>
    </row>
    <row r="33" customFormat="false" ht="15" hidden="false" customHeight="false" outlineLevel="0" collapsed="false">
      <c r="B33" s="34" t="s">
        <v>115</v>
      </c>
      <c r="C33" s="34"/>
      <c r="D33" s="34"/>
      <c r="E33" s="34"/>
      <c r="F33" s="34"/>
      <c r="G33" s="34"/>
      <c r="H33" s="34"/>
    </row>
    <row r="34" customFormat="false" ht="31.5" hidden="false" customHeight="true" outlineLevel="0" collapsed="false">
      <c r="B34" s="35" t="s">
        <v>116</v>
      </c>
      <c r="C34" s="43" t="n">
        <v>0.04</v>
      </c>
      <c r="D34" s="43" t="n">
        <v>0.02</v>
      </c>
      <c r="E34" s="43" t="n">
        <v>0.01</v>
      </c>
      <c r="F34" s="44" t="n">
        <f aca="false">CHOOSE(Scen,C34,D34,E34)</f>
        <v>0.02</v>
      </c>
      <c r="H34" s="39" t="s">
        <v>117</v>
      </c>
    </row>
    <row r="35" customFormat="false" ht="31.5" hidden="false" customHeight="true" outlineLevel="0" collapsed="false">
      <c r="B35" s="35" t="s">
        <v>118</v>
      </c>
      <c r="C35" s="46" t="n">
        <v>0.45</v>
      </c>
      <c r="D35" s="46" t="n">
        <v>0.3</v>
      </c>
      <c r="E35" s="46" t="n">
        <v>0.2</v>
      </c>
      <c r="F35" s="47" t="n">
        <f aca="false">CHOOSE(Scen,C35,D35,E35)</f>
        <v>0.3</v>
      </c>
      <c r="H35" s="39" t="s">
        <v>119</v>
      </c>
    </row>
    <row r="36" customFormat="false" ht="31.5" hidden="false" customHeight="true" outlineLevel="0" collapsed="false">
      <c r="B36" s="35" t="s">
        <v>120</v>
      </c>
      <c r="C36" s="36" t="s">
        <v>68</v>
      </c>
      <c r="D36" s="32" t="n">
        <v>1</v>
      </c>
      <c r="E36" s="36" t="s">
        <v>68</v>
      </c>
      <c r="F36" s="50" t="n">
        <f aca="false">D36</f>
        <v>1</v>
      </c>
      <c r="H36" s="39" t="s">
        <v>121</v>
      </c>
    </row>
    <row r="37" customFormat="false" ht="15" hidden="false" customHeight="false" outlineLevel="0" collapsed="false">
      <c r="B37" s="34" t="s">
        <v>122</v>
      </c>
      <c r="C37" s="34"/>
      <c r="D37" s="34"/>
      <c r="E37" s="34"/>
      <c r="F37" s="34"/>
      <c r="G37" s="34"/>
      <c r="H37" s="34"/>
    </row>
    <row r="38" customFormat="false" ht="31.5" hidden="false" customHeight="true" outlineLevel="0" collapsed="false">
      <c r="B38" s="35" t="s">
        <v>123</v>
      </c>
      <c r="C38" s="46" t="n">
        <v>0.05</v>
      </c>
      <c r="D38" s="46" t="n">
        <v>0.1</v>
      </c>
      <c r="E38" s="46" t="n">
        <v>0.15</v>
      </c>
      <c r="F38" s="47" t="n">
        <f aca="false">CHOOSE(Scen,C38,D38,E38)</f>
        <v>0.1</v>
      </c>
      <c r="H38" s="39" t="s">
        <v>124</v>
      </c>
    </row>
    <row r="39" customFormat="false" ht="31.5" hidden="false" customHeight="true" outlineLevel="0" collapsed="false">
      <c r="B39" s="35" t="s">
        <v>125</v>
      </c>
      <c r="C39" s="36" t="s">
        <v>68</v>
      </c>
      <c r="D39" s="43" t="n">
        <v>0.01</v>
      </c>
      <c r="E39" s="36" t="s">
        <v>68</v>
      </c>
      <c r="F39" s="45" t="n">
        <f aca="false">D39</f>
        <v>0.01</v>
      </c>
      <c r="H39" s="39" t="s">
        <v>126</v>
      </c>
    </row>
    <row r="40" customFormat="false" ht="31.5" hidden="false" customHeight="true" outlineLevel="0" collapsed="false">
      <c r="B40" s="35" t="s">
        <v>127</v>
      </c>
      <c r="C40" s="36" t="s">
        <v>68</v>
      </c>
      <c r="D40" s="40" t="s">
        <v>87</v>
      </c>
      <c r="E40" s="36" t="s">
        <v>68</v>
      </c>
      <c r="F40" s="41" t="str">
        <f aca="false">D40</f>
        <v>Yes</v>
      </c>
      <c r="H40" s="39" t="s">
        <v>128</v>
      </c>
    </row>
    <row r="41" customFormat="false" ht="31.5" hidden="false" customHeight="true" outlineLevel="0" collapsed="false">
      <c r="B41" s="35" t="s">
        <v>129</v>
      </c>
      <c r="C41" s="36" t="s">
        <v>68</v>
      </c>
      <c r="D41" s="32" t="n">
        <v>12</v>
      </c>
      <c r="E41" s="36" t="s">
        <v>68</v>
      </c>
      <c r="F41" s="50" t="n">
        <f aca="false">D41</f>
        <v>12</v>
      </c>
      <c r="H41" s="39" t="s">
        <v>130</v>
      </c>
    </row>
    <row r="42" customFormat="false" ht="15" hidden="false" customHeight="false" outlineLevel="0" collapsed="false">
      <c r="B42" s="34" t="s">
        <v>131</v>
      </c>
      <c r="C42" s="34"/>
      <c r="D42" s="34"/>
      <c r="E42" s="34"/>
      <c r="F42" s="34"/>
      <c r="G42" s="34"/>
      <c r="H42" s="34"/>
    </row>
    <row r="43" customFormat="false" ht="31.5" hidden="false" customHeight="true" outlineLevel="0" collapsed="false">
      <c r="B43" s="35" t="s">
        <v>132</v>
      </c>
      <c r="C43" s="36" t="s">
        <v>68</v>
      </c>
      <c r="D43" s="32" t="n">
        <v>30</v>
      </c>
      <c r="E43" s="36" t="s">
        <v>68</v>
      </c>
      <c r="F43" s="50" t="n">
        <f aca="false">D43</f>
        <v>30</v>
      </c>
      <c r="H43" s="39" t="s">
        <v>133</v>
      </c>
    </row>
    <row r="44" customFormat="false" ht="31.5" hidden="false" customHeight="true" outlineLevel="0" collapsed="false">
      <c r="B44" s="35" t="s">
        <v>134</v>
      </c>
      <c r="C44" s="36" t="s">
        <v>68</v>
      </c>
      <c r="D44" s="32" t="n">
        <v>5</v>
      </c>
      <c r="E44" s="36" t="s">
        <v>68</v>
      </c>
      <c r="F44" s="50" t="n">
        <f aca="false">D44</f>
        <v>5</v>
      </c>
      <c r="H44" s="39" t="s">
        <v>135</v>
      </c>
    </row>
    <row r="45" customFormat="false" ht="15" hidden="false" customHeight="false" outlineLevel="0" collapsed="false">
      <c r="B45" s="34" t="s">
        <v>136</v>
      </c>
      <c r="C45" s="34"/>
      <c r="D45" s="34"/>
      <c r="E45" s="34"/>
      <c r="F45" s="34"/>
      <c r="G45" s="34"/>
      <c r="H45" s="34"/>
    </row>
    <row r="46" customFormat="false" ht="31.5" hidden="false" customHeight="true" outlineLevel="0" collapsed="false">
      <c r="B46" s="35" t="s">
        <v>137</v>
      </c>
      <c r="C46" s="48" t="n">
        <v>100</v>
      </c>
      <c r="D46" s="48" t="n">
        <v>0</v>
      </c>
      <c r="E46" s="48" t="n">
        <v>-75</v>
      </c>
      <c r="F46" s="49" t="n">
        <f aca="false">CHOOSE(Scen,C46,D46,E46)</f>
        <v>0</v>
      </c>
      <c r="H46" s="39" t="s">
        <v>138</v>
      </c>
    </row>
    <row r="48" customFormat="false" ht="18" hidden="false" customHeight="true" outlineLevel="0" collapsed="false">
      <c r="B48" s="5" t="s">
        <v>139</v>
      </c>
      <c r="C48" s="5"/>
      <c r="D48" s="5"/>
      <c r="E48" s="5"/>
      <c r="F48" s="5"/>
      <c r="G48" s="5"/>
      <c r="H48" s="5"/>
      <c r="I48" s="5"/>
      <c r="J48" s="5"/>
      <c r="K48" s="5"/>
      <c r="L48" s="5"/>
    </row>
    <row r="49" customFormat="false" ht="15" hidden="false" customHeight="false" outlineLevel="0" collapsed="false">
      <c r="B49" s="54" t="s">
        <v>140</v>
      </c>
      <c r="C49" s="55" t="n">
        <v>1</v>
      </c>
      <c r="D49" s="55" t="n">
        <v>2</v>
      </c>
      <c r="E49" s="55" t="n">
        <v>3</v>
      </c>
      <c r="F49" s="55" t="n">
        <v>4</v>
      </c>
      <c r="G49" s="55" t="n">
        <v>5</v>
      </c>
      <c r="H49" s="55" t="n">
        <v>6</v>
      </c>
      <c r="I49" s="55" t="n">
        <v>7</v>
      </c>
      <c r="J49" s="55" t="n">
        <v>8</v>
      </c>
      <c r="K49" s="55" t="n">
        <v>9</v>
      </c>
      <c r="L49" s="55" t="n">
        <v>10</v>
      </c>
    </row>
    <row r="50" customFormat="false" ht="15" hidden="false" customHeight="false" outlineLevel="0" collapsed="false">
      <c r="B50" s="31" t="s">
        <v>141</v>
      </c>
      <c r="C50" s="43" t="n">
        <v>0.045</v>
      </c>
      <c r="D50" s="43" t="n">
        <v>0.04</v>
      </c>
      <c r="E50" s="43" t="n">
        <v>0.036</v>
      </c>
      <c r="F50" s="43" t="n">
        <v>0.034</v>
      </c>
      <c r="G50" s="43" t="n">
        <v>0.033</v>
      </c>
      <c r="H50" s="43" t="n">
        <v>0.033</v>
      </c>
      <c r="I50" s="43" t="n">
        <v>0.033</v>
      </c>
      <c r="J50" s="43" t="n">
        <v>0.033</v>
      </c>
      <c r="K50" s="43" t="n">
        <v>0.033</v>
      </c>
      <c r="L50" s="43" t="n">
        <v>0.033</v>
      </c>
    </row>
    <row r="51" customFormat="false" ht="15" hidden="false" customHeight="false" outlineLevel="0" collapsed="false">
      <c r="B51" s="31" t="s">
        <v>142</v>
      </c>
      <c r="C51" s="56" t="n">
        <f aca="false">MAX(0,C50+Idx_Shift/10000)</f>
        <v>0.045</v>
      </c>
      <c r="D51" s="56" t="n">
        <f aca="false">MAX(0,D50+Idx_Shift/10000)</f>
        <v>0.04</v>
      </c>
      <c r="E51" s="56" t="n">
        <f aca="false">MAX(0,E50+Idx_Shift/10000)</f>
        <v>0.036</v>
      </c>
      <c r="F51" s="56" t="n">
        <f aca="false">MAX(0,F50+Idx_Shift/10000)</f>
        <v>0.034</v>
      </c>
      <c r="G51" s="56" t="n">
        <f aca="false">MAX(0,G50+Idx_Shift/10000)</f>
        <v>0.033</v>
      </c>
      <c r="H51" s="56" t="n">
        <f aca="false">MAX(0,H50+Idx_Shift/10000)</f>
        <v>0.033</v>
      </c>
      <c r="I51" s="56" t="n">
        <f aca="false">MAX(0,I50+Idx_Shift/10000)</f>
        <v>0.033</v>
      </c>
      <c r="J51" s="56" t="n">
        <f aca="false">MAX(0,J50+Idx_Shift/10000)</f>
        <v>0.033</v>
      </c>
      <c r="K51" s="56" t="n">
        <f aca="false">MAX(0,K50+Idx_Shift/10000)</f>
        <v>0.033</v>
      </c>
      <c r="L51" s="56" t="n">
        <f aca="false">MAX(0,L50+Idx_Shift/10000)</f>
        <v>0.033</v>
      </c>
    </row>
    <row r="52" customFormat="false" ht="15" hidden="false" customHeight="false" outlineLevel="0" collapsed="false">
      <c r="B52" s="31" t="s">
        <v>143</v>
      </c>
      <c r="C52" s="57" t="n">
        <f aca="false">C51+Fin_Spread/10000</f>
        <v>0.07</v>
      </c>
      <c r="D52" s="57" t="n">
        <f aca="false">D51+Fin_Spread/10000</f>
        <v>0.065</v>
      </c>
      <c r="E52" s="57" t="n">
        <f aca="false">E51+Fin_Spread/10000</f>
        <v>0.061</v>
      </c>
      <c r="F52" s="57" t="n">
        <f aca="false">F51+Fin_Spread/10000</f>
        <v>0.059</v>
      </c>
      <c r="G52" s="57" t="n">
        <f aca="false">G51+Fin_Spread/10000</f>
        <v>0.058</v>
      </c>
      <c r="H52" s="57" t="n">
        <f aca="false">H51+Fin_Spread/10000</f>
        <v>0.058</v>
      </c>
      <c r="I52" s="57" t="n">
        <f aca="false">I51+Fin_Spread/10000</f>
        <v>0.058</v>
      </c>
      <c r="J52" s="57" t="n">
        <f aca="false">J51+Fin_Spread/10000</f>
        <v>0.058</v>
      </c>
      <c r="K52" s="57" t="n">
        <f aca="false">K51+Fin_Spread/10000</f>
        <v>0.058</v>
      </c>
      <c r="L52" s="57" t="n">
        <f aca="false">L51+Fin_Spread/10000</f>
        <v>0.058</v>
      </c>
    </row>
    <row r="54" customFormat="false" ht="15" hidden="false" customHeight="false" outlineLevel="0" collapsed="false">
      <c r="B54" s="30" t="s">
        <v>144</v>
      </c>
    </row>
  </sheetData>
  <mergeCells count="9">
    <mergeCell ref="B2:H2"/>
    <mergeCell ref="B9:H9"/>
    <mergeCell ref="B18:H18"/>
    <mergeCell ref="B29:H29"/>
    <mergeCell ref="B33:H33"/>
    <mergeCell ref="B37:H37"/>
    <mergeCell ref="B42:H42"/>
    <mergeCell ref="B45:H45"/>
    <mergeCell ref="B48:L48"/>
  </mergeCells>
  <dataValidations count="5">
    <dataValidation allowBlank="false" errorStyle="stop" operator="between" showDropDown="false" showErrorMessage="false" showInputMessage="false" sqref="D11" type="list">
      <formula1>"All Deals,Deal 1,Deal 2,Deal 3,Deal 4,Deal 5,Deal 6,Deal 7,Deal 8"</formula1>
      <formula2>0</formula2>
    </dataValidation>
    <dataValidation allowBlank="false" errorStyle="stop" operator="between" showDropDown="false" showErrorMessage="false" showInputMessage="false" sqref="D19" type="list">
      <formula1>"Yes,No"</formula1>
      <formula2>0</formula2>
    </dataValidation>
    <dataValidation allowBlank="false" errorStyle="stop" operator="between" showDropDown="false" showErrorMessage="false" showInputMessage="false" sqref="D20" type="list">
      <formula1>"Repo Facility,Warehouse Facility,A Note Sale,Term Loan"</formula1>
      <formula2>0</formula2>
    </dataValidation>
    <dataValidation allowBlank="false" errorStyle="stop" operator="between" showDropDown="false" showErrorMessage="false" showInputMessage="false" sqref="D40" type="list">
      <formula1>"Yes,No"</formula1>
      <formula2>0</formula2>
    </dataValidation>
    <dataValidation allowBlank="false" errorStyle="stop" operator="between" showDropDown="false" showErrorMessage="false" showInputMessage="false" sqref="C4" type="whole">
      <formula1>1</formula1>
      <formula2>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E1F2"/>
    <pageSetUpPr fitToPage="false"/>
  </sheetPr>
  <dimension ref="A1:BE30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390625" defaultRowHeight="14.25" zeroHeight="false" outlineLevelRow="0" outlineLevelCol="1"/>
  <cols>
    <col collapsed="false" customWidth="true" hidden="false" outlineLevel="0" max="1" min="1" style="0" width="9"/>
    <col collapsed="false" customWidth="true" hidden="false" outlineLevel="0" max="2" min="2" style="0" width="24"/>
    <col collapsed="false" customWidth="true" hidden="false" outlineLevel="0" max="3" min="3" style="0" width="7"/>
    <col collapsed="false" customWidth="true" hidden="false" outlineLevel="0" max="4" min="4" style="0" width="14"/>
    <col collapsed="false" customWidth="true" hidden="false" outlineLevel="0" max="5" min="5" style="0" width="16"/>
    <col collapsed="false" customWidth="true" hidden="false" outlineLevel="0" max="6" min="6" style="0" width="9"/>
    <col collapsed="false" customWidth="true" hidden="false" outlineLevel="0" max="8" min="7" style="0" width="12"/>
    <col collapsed="false" customWidth="true" hidden="false" outlineLevel="0" max="9" min="9" style="0" width="10"/>
    <col collapsed="false" customWidth="true" hidden="false" outlineLevel="0" max="11" min="10" style="0" width="9"/>
    <col collapsed="false" customWidth="true" hidden="false" outlineLevel="0" max="12" min="12" style="0" width="11"/>
    <col collapsed="false" customWidth="true" hidden="false" outlineLevel="0" max="13" min="13" style="0" width="9"/>
    <col collapsed="false" customWidth="true" hidden="false" outlineLevel="0" max="15" min="14" style="0" width="11"/>
    <col collapsed="false" customWidth="true" hidden="false" outlineLevel="0" max="17" min="16" style="0" width="9"/>
    <col collapsed="false" customWidth="true" hidden="false" outlineLevel="0" max="18" min="18" style="0" width="13"/>
    <col collapsed="false" customWidth="true" hidden="false" outlineLevel="0" max="19" min="19" style="0" width="9"/>
    <col collapsed="false" customWidth="true" hidden="false" outlineLevel="0" max="20" min="20" style="0" width="10"/>
    <col collapsed="false" customWidth="true" hidden="false" outlineLevel="0" max="22" min="21" style="0" width="8"/>
    <col collapsed="false" customWidth="true" hidden="false" outlineLevel="0" max="23" min="23" style="0" width="10"/>
    <col collapsed="false" customWidth="true" hidden="false" outlineLevel="0" max="24" min="24" style="0" width="8"/>
    <col collapsed="false" customWidth="true" hidden="false" outlineLevel="0" max="25" min="25" style="0" width="9"/>
    <col collapsed="false" customWidth="true" hidden="false" outlineLevel="0" max="26" min="26" style="0" width="12"/>
    <col collapsed="false" customWidth="true" hidden="false" outlineLevel="0" max="27" min="27" style="0" width="9"/>
    <col collapsed="false" customWidth="true" hidden="false" outlineLevel="0" max="28" min="28" style="0" width="14"/>
    <col collapsed="false" customWidth="true" hidden="false" outlineLevel="0" max="29" min="29" style="0" width="10"/>
    <col collapsed="false" customWidth="true" hidden="false" outlineLevel="0" max="30" min="30" style="0" width="14"/>
    <col collapsed="false" customWidth="true" hidden="false" outlineLevel="0" max="32" min="31" style="0" width="11"/>
    <col collapsed="false" customWidth="true" hidden="false" outlineLevel="0" max="33" min="33" style="0" width="12"/>
    <col collapsed="false" customWidth="true" hidden="false" outlineLevel="0" max="36" min="34" style="0" width="10"/>
    <col collapsed="false" customWidth="true" hidden="false" outlineLevel="0" max="37" min="37" style="0" width="11"/>
    <col collapsed="false" customWidth="true" hidden="false" outlineLevel="0" max="39" min="38" style="0" width="10"/>
    <col collapsed="false" customWidth="true" hidden="true" outlineLevel="1" max="57" min="40" style="0" width="13"/>
  </cols>
  <sheetData>
    <row r="1" customFormat="false" ht="18" hidden="false" customHeight="true" outlineLevel="0" collapsed="false">
      <c r="A1" s="58" t="s">
        <v>145</v>
      </c>
    </row>
    <row r="2" customFormat="false" ht="43.5" hidden="false" customHeight="true" outlineLevel="0" collapsed="false">
      <c r="A2" s="59" t="s">
        <v>146</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30" t="s">
        <v>147</v>
      </c>
    </row>
    <row r="3" customFormat="false" ht="33.75" hidden="false" customHeight="true" outlineLevel="0" collapsed="false">
      <c r="A3" s="60" t="s">
        <v>148</v>
      </c>
      <c r="B3" s="60" t="s">
        <v>149</v>
      </c>
      <c r="C3" s="60" t="s">
        <v>150</v>
      </c>
      <c r="D3" s="60" t="s">
        <v>151</v>
      </c>
      <c r="E3" s="60" t="s">
        <v>152</v>
      </c>
      <c r="F3" s="60" t="s">
        <v>153</v>
      </c>
      <c r="G3" s="60" t="s">
        <v>154</v>
      </c>
      <c r="H3" s="60" t="s">
        <v>155</v>
      </c>
      <c r="I3" s="60" t="s">
        <v>156</v>
      </c>
      <c r="J3" s="60" t="s">
        <v>157</v>
      </c>
      <c r="K3" s="60" t="s">
        <v>158</v>
      </c>
      <c r="L3" s="60" t="s">
        <v>159</v>
      </c>
      <c r="M3" s="60" t="s">
        <v>160</v>
      </c>
      <c r="N3" s="60" t="s">
        <v>161</v>
      </c>
      <c r="O3" s="60" t="s">
        <v>162</v>
      </c>
      <c r="P3" s="60" t="s">
        <v>163</v>
      </c>
      <c r="Q3" s="60" t="s">
        <v>164</v>
      </c>
      <c r="R3" s="60" t="s">
        <v>165</v>
      </c>
      <c r="S3" s="60" t="s">
        <v>166</v>
      </c>
      <c r="T3" s="60" t="s">
        <v>167</v>
      </c>
      <c r="U3" s="60" t="s">
        <v>168</v>
      </c>
      <c r="V3" s="60" t="s">
        <v>169</v>
      </c>
      <c r="W3" s="60" t="s">
        <v>170</v>
      </c>
      <c r="X3" s="60" t="s">
        <v>171</v>
      </c>
      <c r="Y3" s="60" t="s">
        <v>172</v>
      </c>
      <c r="Z3" s="60" t="s">
        <v>173</v>
      </c>
      <c r="AA3" s="60" t="s">
        <v>174</v>
      </c>
      <c r="AB3" s="60" t="s">
        <v>175</v>
      </c>
      <c r="AC3" s="60" t="s">
        <v>176</v>
      </c>
      <c r="AD3" s="60" t="s">
        <v>177</v>
      </c>
      <c r="AE3" s="60" t="s">
        <v>178</v>
      </c>
      <c r="AF3" s="60" t="s">
        <v>179</v>
      </c>
      <c r="AG3" s="60" t="s">
        <v>180</v>
      </c>
      <c r="AH3" s="60" t="s">
        <v>181</v>
      </c>
      <c r="AI3" s="60" t="s">
        <v>182</v>
      </c>
      <c r="AJ3" s="60" t="s">
        <v>183</v>
      </c>
      <c r="AK3" s="60" t="s">
        <v>184</v>
      </c>
      <c r="AL3" s="60" t="s">
        <v>185</v>
      </c>
      <c r="AM3" s="9" t="s">
        <v>186</v>
      </c>
      <c r="AN3" s="9" t="s">
        <v>187</v>
      </c>
      <c r="AO3" s="9" t="s">
        <v>75</v>
      </c>
      <c r="AP3" s="9" t="s">
        <v>188</v>
      </c>
      <c r="AQ3" s="9" t="s">
        <v>189</v>
      </c>
      <c r="AR3" s="9" t="s">
        <v>190</v>
      </c>
      <c r="AS3" s="9" t="s">
        <v>191</v>
      </c>
      <c r="AT3" s="9" t="s">
        <v>192</v>
      </c>
      <c r="AU3" s="9" t="s">
        <v>193</v>
      </c>
      <c r="AV3" s="9" t="s">
        <v>194</v>
      </c>
      <c r="AW3" s="9" t="s">
        <v>195</v>
      </c>
      <c r="AX3" s="9" t="s">
        <v>196</v>
      </c>
      <c r="AY3" s="9" t="s">
        <v>197</v>
      </c>
      <c r="AZ3" s="9" t="s">
        <v>198</v>
      </c>
      <c r="BA3" s="9" t="s">
        <v>199</v>
      </c>
      <c r="BB3" s="9" t="s">
        <v>200</v>
      </c>
      <c r="BC3" s="9" t="s">
        <v>201</v>
      </c>
      <c r="BD3" s="9" t="s">
        <v>202</v>
      </c>
      <c r="BE3" s="9" t="s">
        <v>203</v>
      </c>
    </row>
    <row r="4" customFormat="false" ht="14.25" hidden="false" customHeight="false" outlineLevel="0" collapsed="false">
      <c r="A4" s="61" t="s">
        <v>204</v>
      </c>
      <c r="B4" s="62" t="s">
        <v>205</v>
      </c>
      <c r="C4" s="61" t="s">
        <v>206</v>
      </c>
      <c r="D4" s="61" t="s">
        <v>207</v>
      </c>
      <c r="E4" s="61" t="s">
        <v>208</v>
      </c>
      <c r="F4" s="63"/>
      <c r="G4" s="64" t="n">
        <v>42826</v>
      </c>
      <c r="H4" s="64" t="n">
        <v>45383</v>
      </c>
      <c r="I4" s="63" t="n">
        <v>83</v>
      </c>
      <c r="J4" s="63" t="n">
        <v>24</v>
      </c>
      <c r="K4" s="61" t="s">
        <v>209</v>
      </c>
      <c r="L4" s="65"/>
      <c r="M4" s="65" t="n">
        <v>0.0373</v>
      </c>
      <c r="N4" s="61" t="s">
        <v>210</v>
      </c>
      <c r="O4" s="64" t="n">
        <v>46325</v>
      </c>
      <c r="P4" s="65" t="n">
        <v>0.0956</v>
      </c>
      <c r="Q4" s="65"/>
      <c r="R4" s="66" t="n">
        <v>8155000</v>
      </c>
      <c r="S4" s="65" t="n">
        <v>0.99</v>
      </c>
      <c r="T4" s="65" t="n">
        <v>0.0792</v>
      </c>
      <c r="U4" s="67" t="n">
        <v>1.38</v>
      </c>
      <c r="V4" s="65" t="n">
        <v>0.556</v>
      </c>
      <c r="W4" s="65" t="n">
        <v>0.574</v>
      </c>
      <c r="X4" s="63" t="n">
        <v>2013</v>
      </c>
      <c r="Y4" s="63" t="n">
        <v>2020</v>
      </c>
      <c r="Z4" s="61" t="s">
        <v>211</v>
      </c>
      <c r="AA4" s="61" t="s">
        <v>87</v>
      </c>
      <c r="AB4" s="61" t="s">
        <v>212</v>
      </c>
      <c r="AC4" s="61" t="s">
        <v>213</v>
      </c>
      <c r="AD4" s="61" t="s">
        <v>214</v>
      </c>
      <c r="AE4" s="61" t="s">
        <v>215</v>
      </c>
      <c r="AF4" s="61" t="s">
        <v>216</v>
      </c>
      <c r="AG4" s="61" t="s">
        <v>217</v>
      </c>
      <c r="AH4" s="68" t="n">
        <f aca="false">IF(G4="",0,ROUND((Strats!$C$4-G4)/30.4375,1))</f>
        <v>114</v>
      </c>
      <c r="AI4" s="69" t="n">
        <f aca="false">IF(K4="",0,IF(K4="Floating",Strats!$C$10+M4,L4))</f>
        <v>0.0823</v>
      </c>
      <c r="AJ4" s="68" t="n">
        <f aca="false">IF(OR(Z4="",Z4="Full Amortizing"),"",MAX(J4-AH4,0))</f>
        <v>0</v>
      </c>
      <c r="AK4" s="69" t="n">
        <f aca="false">IF(K4="",0,IF(K4="Floating",IF(P4&lt;&gt;"",MIN(IF(Q4&lt;&gt;"",MAX((Strats!$C$10+Strats!$C$11+M4),Q4),(Strats!$C$10+Strats!$C$11+M4)),P4),IF(Q4&lt;&gt;"",MAX((Strats!$C$10+Strats!$C$11+M4),Q4),(Strats!$C$10+Strats!$C$11+M4))),AI4))</f>
        <v>0.0956</v>
      </c>
      <c r="AL4" s="68" t="str">
        <f aca="false">IF(OR(E4="",E4&lt;&gt;'Deal Strat'!$C$12,R4=""),"",SUMPRODUCT((E$4:E$303='Deal Strat'!$C$12)*(R$4:R$303&gt;R4))+1+SUMPRODUCT((E$4:E$303='Deal Strat'!$C$12)*(R$4:R$303=R4)*(ROW(R$4:R$303)&lt;ROW(R4))))</f>
        <v/>
      </c>
      <c r="AM4" s="68" t="n">
        <f aca="false">IF(R4="","",RANK(R4,$R$4:$R$303,0)+COUNTIF($R$4:R4,R4)-1)</f>
        <v>42</v>
      </c>
      <c r="AN4" s="26" t="n">
        <f aca="false">IF(OR($A4="",$R4=""),0,IF(Deal_Scope="All Deals",1,IF($E4=Deal_Scope,1,0)))</f>
        <v>1</v>
      </c>
      <c r="AO4" s="56" t="n">
        <f aca="false">IF($AN4=0,0,Px_Par)</f>
        <v>0.94</v>
      </c>
      <c r="AP4" s="70" t="n">
        <f aca="false">IF($H4="",0,MAX(0,($H4-Set_Date)/30.4375))</f>
        <v>0</v>
      </c>
      <c r="AQ4" s="26" t="n">
        <f aca="false">IF(AND(Ext_Flag="Yes",$AA4="Yes"),Ext_Months,0)</f>
        <v>12</v>
      </c>
      <c r="AR4" s="70" t="n">
        <f aca="false">$AP4+$AQ4</f>
        <v>12</v>
      </c>
      <c r="AS4" s="70" t="n">
        <f aca="false">$AR4/12</f>
        <v>1</v>
      </c>
      <c r="AT4" s="70" t="n">
        <f aca="false">IF($AJ4="",0,MAX(0,$AJ4/12))</f>
        <v>0</v>
      </c>
      <c r="AU4" s="70" t="n">
        <f aca="false">MAX(Amort_Min,Amort_Term-$AH4/12)</f>
        <v>20.5</v>
      </c>
      <c r="AV4" s="70" t="n">
        <f aca="false">MIN($AS4,Hold_Yrs)</f>
        <v>1</v>
      </c>
      <c r="AW4" s="26" t="n">
        <f aca="false">IF($AN4=0,0,CEILING(MAX($AS4,0.0001),1))</f>
        <v>1</v>
      </c>
      <c r="AX4" s="26" t="n">
        <f aca="false">IF(AND($AN4=1,MAX($AS4,0.0001)&lt;=Hold_Yrs),1,0)</f>
        <v>1</v>
      </c>
      <c r="AY4" s="71" t="n">
        <f aca="false">$R4*$AO4</f>
        <v>7665700</v>
      </c>
      <c r="AZ4" s="71" t="n">
        <f aca="false">$R4*Acc_Int*$AN4</f>
        <v>12232.5</v>
      </c>
      <c r="BA4" s="71" t="n">
        <f aca="false">$AY4*Acq_Cost</f>
        <v>57492.75</v>
      </c>
      <c r="BB4" s="71" t="n">
        <f aca="false">$AY4+$AZ4+$BA4</f>
        <v>7735425.25</v>
      </c>
      <c r="BC4" s="71" t="n">
        <f aca="false">IF(Fin_Flag="Yes",$AY4*Adv_Rate,0)</f>
        <v>4599420</v>
      </c>
      <c r="BD4" s="71" t="n">
        <f aca="false">$BC4*Fin_UpFee</f>
        <v>22997.1</v>
      </c>
      <c r="BE4" s="71" t="n">
        <f aca="false">$BB4-$BC4+$BD4</f>
        <v>3159002.35</v>
      </c>
    </row>
    <row r="5" customFormat="false" ht="14.25" hidden="false" customHeight="false" outlineLevel="0" collapsed="false">
      <c r="A5" s="61" t="s">
        <v>218</v>
      </c>
      <c r="B5" s="62" t="s">
        <v>219</v>
      </c>
      <c r="C5" s="61" t="s">
        <v>220</v>
      </c>
      <c r="D5" s="61" t="s">
        <v>221</v>
      </c>
      <c r="E5" s="61" t="s">
        <v>222</v>
      </c>
      <c r="F5" s="63"/>
      <c r="G5" s="64" t="n">
        <v>42917</v>
      </c>
      <c r="H5" s="64" t="n">
        <v>46569</v>
      </c>
      <c r="I5" s="63" t="n">
        <v>121</v>
      </c>
      <c r="J5" s="63" t="n">
        <v>36</v>
      </c>
      <c r="K5" s="61" t="s">
        <v>209</v>
      </c>
      <c r="L5" s="65"/>
      <c r="M5" s="65" t="n">
        <v>0.0224</v>
      </c>
      <c r="N5" s="61" t="s">
        <v>210</v>
      </c>
      <c r="O5" s="64" t="n">
        <v>46355</v>
      </c>
      <c r="P5" s="65" t="n">
        <v>0.1078</v>
      </c>
      <c r="Q5" s="65"/>
      <c r="R5" s="66" t="n">
        <v>10687000</v>
      </c>
      <c r="S5" s="65" t="n">
        <v>0.857</v>
      </c>
      <c r="T5" s="65" t="n">
        <v>0.0834</v>
      </c>
      <c r="U5" s="67" t="n">
        <v>1.21</v>
      </c>
      <c r="V5" s="65" t="n">
        <v>0.589</v>
      </c>
      <c r="W5" s="65" t="n">
        <v>0.618</v>
      </c>
      <c r="X5" s="63" t="n">
        <v>2005</v>
      </c>
      <c r="Y5" s="63"/>
      <c r="Z5" s="61" t="s">
        <v>211</v>
      </c>
      <c r="AA5" s="61" t="s">
        <v>87</v>
      </c>
      <c r="AB5" s="61" t="s">
        <v>223</v>
      </c>
      <c r="AC5" s="61" t="s">
        <v>213</v>
      </c>
      <c r="AD5" s="61" t="s">
        <v>214</v>
      </c>
      <c r="AE5" s="61" t="s">
        <v>224</v>
      </c>
      <c r="AF5" s="61" t="s">
        <v>216</v>
      </c>
      <c r="AG5" s="61" t="s">
        <v>217</v>
      </c>
      <c r="AH5" s="68" t="n">
        <f aca="false">IF(G5="",0,ROUND((Strats!$C$4-G5)/30.4375,1))</f>
        <v>111</v>
      </c>
      <c r="AI5" s="69" t="n">
        <f aca="false">IF(K5="",0,IF(K5="Floating",Strats!$C$10+M5,L5))</f>
        <v>0.0674</v>
      </c>
      <c r="AJ5" s="68" t="n">
        <f aca="false">IF(OR(Z5="",Z5="Full Amortizing"),"",MAX(J5-AH5,0))</f>
        <v>0</v>
      </c>
      <c r="AK5" s="69" t="n">
        <f aca="false">IF(K5="",0,IF(K5="Floating",IF(P5&lt;&gt;"",MIN(IF(Q5&lt;&gt;"",MAX((Strats!$C$10+Strats!$C$11+M5),Q5),(Strats!$C$10+Strats!$C$11+M5)),P5),IF(Q5&lt;&gt;"",MAX((Strats!$C$10+Strats!$C$11+M5),Q5),(Strats!$C$10+Strats!$C$11+M5))),AI5))</f>
        <v>0.0824</v>
      </c>
      <c r="AL5" s="68" t="str">
        <f aca="false">IF(OR(E5="",E5&lt;&gt;'Deal Strat'!$C$12,R5=""),"",SUMPRODUCT((E$4:E$303='Deal Strat'!$C$12)*(R$4:R$303&gt;R5))+1+SUMPRODUCT((E$4:E$303='Deal Strat'!$C$12)*(R$4:R$303=R5)*(ROW(R$4:R$303)&lt;ROW(R5))))</f>
        <v/>
      </c>
      <c r="AM5" s="68" t="n">
        <f aca="false">IF(R5="","",RANK(R5,$R$4:$R$303,0)+COUNTIF($R$4:R5,R5)-1)</f>
        <v>38</v>
      </c>
      <c r="AN5" s="26" t="n">
        <f aca="false">IF(OR($A5="",$R5=""),0,IF(Deal_Scope="All Deals",1,IF($E5=Deal_Scope,1,0)))</f>
        <v>1</v>
      </c>
      <c r="AO5" s="56" t="n">
        <f aca="false">IF($AN5=0,0,Px_Par)</f>
        <v>0.94</v>
      </c>
      <c r="AP5" s="70" t="n">
        <f aca="false">IF($H5="",0,MAX(0,($H5-Set_Date)/30.4375))</f>
        <v>9.00205338809035</v>
      </c>
      <c r="AQ5" s="26" t="n">
        <f aca="false">IF(AND(Ext_Flag="Yes",$AA5="Yes"),Ext_Months,0)</f>
        <v>12</v>
      </c>
      <c r="AR5" s="70" t="n">
        <f aca="false">$AP5+$AQ5</f>
        <v>21.0020533880904</v>
      </c>
      <c r="AS5" s="70" t="n">
        <f aca="false">$AR5/12</f>
        <v>1.7501711156742</v>
      </c>
      <c r="AT5" s="70" t="n">
        <f aca="false">IF($AJ5="",0,MAX(0,$AJ5/12))</f>
        <v>0</v>
      </c>
      <c r="AU5" s="70" t="n">
        <f aca="false">MAX(Amort_Min,Amort_Term-$AH5/12)</f>
        <v>20.75</v>
      </c>
      <c r="AV5" s="70" t="n">
        <f aca="false">MIN($AS5,Hold_Yrs)</f>
        <v>1.7501711156742</v>
      </c>
      <c r="AW5" s="26" t="n">
        <f aca="false">IF($AN5=0,0,CEILING(MAX($AS5,0.0001),1))</f>
        <v>2</v>
      </c>
      <c r="AX5" s="26" t="n">
        <f aca="false">IF(AND($AN5=1,MAX($AS5,0.0001)&lt;=Hold_Yrs),1,0)</f>
        <v>1</v>
      </c>
      <c r="AY5" s="71" t="n">
        <f aca="false">$R5*$AO5</f>
        <v>10045780</v>
      </c>
      <c r="AZ5" s="71" t="n">
        <f aca="false">$R5*Acc_Int*$AN5</f>
        <v>16030.5</v>
      </c>
      <c r="BA5" s="71" t="n">
        <f aca="false">$AY5*Acq_Cost</f>
        <v>75343.35</v>
      </c>
      <c r="BB5" s="71" t="n">
        <f aca="false">$AY5+$AZ5+$BA5</f>
        <v>10137153.85</v>
      </c>
      <c r="BC5" s="71" t="n">
        <f aca="false">IF(Fin_Flag="Yes",$AY5*Adv_Rate,0)</f>
        <v>6027468</v>
      </c>
      <c r="BD5" s="71" t="n">
        <f aca="false">$BC5*Fin_UpFee</f>
        <v>30137.34</v>
      </c>
      <c r="BE5" s="71" t="n">
        <f aca="false">$BB5-$BC5+$BD5</f>
        <v>4139823.19</v>
      </c>
    </row>
    <row r="6" customFormat="false" ht="14.25" hidden="false" customHeight="false" outlineLevel="0" collapsed="false">
      <c r="A6" s="61" t="s">
        <v>225</v>
      </c>
      <c r="B6" s="62" t="s">
        <v>226</v>
      </c>
      <c r="C6" s="61" t="s">
        <v>227</v>
      </c>
      <c r="D6" s="61" t="s">
        <v>228</v>
      </c>
      <c r="E6" s="61" t="s">
        <v>229</v>
      </c>
      <c r="F6" s="63" t="n">
        <v>409</v>
      </c>
      <c r="G6" s="64" t="n">
        <v>44713</v>
      </c>
      <c r="H6" s="64" t="n">
        <v>47270</v>
      </c>
      <c r="I6" s="63" t="n">
        <v>84</v>
      </c>
      <c r="J6" s="63" t="n">
        <v>12</v>
      </c>
      <c r="K6" s="61" t="s">
        <v>209</v>
      </c>
      <c r="L6" s="65"/>
      <c r="M6" s="65" t="n">
        <v>0.0384</v>
      </c>
      <c r="N6" s="61" t="s">
        <v>230</v>
      </c>
      <c r="O6" s="64" t="n">
        <v>46295</v>
      </c>
      <c r="P6" s="65"/>
      <c r="Q6" s="65"/>
      <c r="R6" s="66" t="n">
        <v>119229000</v>
      </c>
      <c r="S6" s="65" t="n">
        <v>0.871</v>
      </c>
      <c r="T6" s="65" t="n">
        <v>0.036</v>
      </c>
      <c r="U6" s="67" t="n">
        <v>1.41</v>
      </c>
      <c r="V6" s="65" t="n">
        <v>0.931</v>
      </c>
      <c r="W6" s="65" t="n">
        <v>0.967</v>
      </c>
      <c r="X6" s="63" t="n">
        <v>2000</v>
      </c>
      <c r="Y6" s="63"/>
      <c r="Z6" s="61" t="s">
        <v>211</v>
      </c>
      <c r="AA6" s="61" t="s">
        <v>87</v>
      </c>
      <c r="AB6" s="61" t="s">
        <v>231</v>
      </c>
      <c r="AC6" s="61" t="s">
        <v>213</v>
      </c>
      <c r="AD6" s="61" t="s">
        <v>232</v>
      </c>
      <c r="AE6" s="61" t="s">
        <v>215</v>
      </c>
      <c r="AF6" s="61" t="s">
        <v>216</v>
      </c>
      <c r="AG6" s="61" t="s">
        <v>217</v>
      </c>
      <c r="AH6" s="68" t="n">
        <f aca="false">IF(G6="",0,ROUND((Strats!$C$4-G6)/30.4375,1))</f>
        <v>52</v>
      </c>
      <c r="AI6" s="69" t="n">
        <f aca="false">IF(K6="",0,IF(K6="Floating",Strats!$C$10+M6,L6))</f>
        <v>0.0834</v>
      </c>
      <c r="AJ6" s="68" t="n">
        <f aca="false">IF(OR(Z6="",Z6="Full Amortizing"),"",MAX(J6-AH6,0))</f>
        <v>0</v>
      </c>
      <c r="AK6" s="69" t="n">
        <f aca="false">IF(K6="",0,IF(K6="Floating",IF(P6&lt;&gt;"",MIN(IF(Q6&lt;&gt;"",MAX((Strats!$C$10+Strats!$C$11+M6),Q6),(Strats!$C$10+Strats!$C$11+M6)),P6),IF(Q6&lt;&gt;"",MAX((Strats!$C$10+Strats!$C$11+M6),Q6),(Strats!$C$10+Strats!$C$11+M6))),AI6))</f>
        <v>0.0984</v>
      </c>
      <c r="AL6" s="68" t="str">
        <f aca="false">IF(OR(E6="",E6&lt;&gt;'Deal Strat'!$C$12,R6=""),"",SUMPRODUCT((E$4:E$303='Deal Strat'!$C$12)*(R$4:R$303&gt;R6))+1+SUMPRODUCT((E$4:E$303='Deal Strat'!$C$12)*(R$4:R$303=R6)*(ROW(R$4:R$303)&lt;ROW(R6))))</f>
        <v/>
      </c>
      <c r="AM6" s="68" t="n">
        <f aca="false">IF(R6="","",RANK(R6,$R$4:$R$303,0)+COUNTIF($R$4:R6,R6)-1)</f>
        <v>5</v>
      </c>
      <c r="AN6" s="26" t="n">
        <f aca="false">IF(OR($A6="",$R6=""),0,IF(Deal_Scope="All Deals",1,IF($E6=Deal_Scope,1,0)))</f>
        <v>1</v>
      </c>
      <c r="AO6" s="56" t="n">
        <f aca="false">IF($AN6=0,0,Px_Par)</f>
        <v>0.94</v>
      </c>
      <c r="AP6" s="70" t="n">
        <f aca="false">IF($H6="",0,MAX(0,($H6-Set_Date)/30.4375))</f>
        <v>32.0328542094456</v>
      </c>
      <c r="AQ6" s="26" t="n">
        <f aca="false">IF(AND(Ext_Flag="Yes",$AA6="Yes"),Ext_Months,0)</f>
        <v>12</v>
      </c>
      <c r="AR6" s="70" t="n">
        <f aca="false">$AP6+$AQ6</f>
        <v>44.0328542094456</v>
      </c>
      <c r="AS6" s="70" t="n">
        <f aca="false">$AR6/12</f>
        <v>3.6694045174538</v>
      </c>
      <c r="AT6" s="70" t="n">
        <f aca="false">IF($AJ6="",0,MAX(0,$AJ6/12))</f>
        <v>0</v>
      </c>
      <c r="AU6" s="70" t="n">
        <f aca="false">MAX(Amort_Min,Amort_Term-$AH6/12)</f>
        <v>25.6666666666667</v>
      </c>
      <c r="AV6" s="70" t="n">
        <f aca="false">MIN($AS6,Hold_Yrs)</f>
        <v>3.6694045174538</v>
      </c>
      <c r="AW6" s="26" t="n">
        <f aca="false">IF($AN6=0,0,CEILING(MAX($AS6,0.0001),1))</f>
        <v>4</v>
      </c>
      <c r="AX6" s="26" t="n">
        <f aca="false">IF(AND($AN6=1,MAX($AS6,0.0001)&lt;=Hold_Yrs),1,0)</f>
        <v>1</v>
      </c>
      <c r="AY6" s="71" t="n">
        <f aca="false">$R6*$AO6</f>
        <v>112075260</v>
      </c>
      <c r="AZ6" s="71" t="n">
        <f aca="false">$R6*Acc_Int*$AN6</f>
        <v>178843.5</v>
      </c>
      <c r="BA6" s="71" t="n">
        <f aca="false">$AY6*Acq_Cost</f>
        <v>840564.45</v>
      </c>
      <c r="BB6" s="71" t="n">
        <f aca="false">$AY6+$AZ6+$BA6</f>
        <v>113094667.95</v>
      </c>
      <c r="BC6" s="71" t="n">
        <f aca="false">IF(Fin_Flag="Yes",$AY6*Adv_Rate,0)</f>
        <v>67245156</v>
      </c>
      <c r="BD6" s="71" t="n">
        <f aca="false">$BC6*Fin_UpFee</f>
        <v>336225.78</v>
      </c>
      <c r="BE6" s="71" t="n">
        <f aca="false">$BB6-$BC6+$BD6</f>
        <v>46185737.73</v>
      </c>
    </row>
    <row r="7" customFormat="false" ht="14.25" hidden="false" customHeight="false" outlineLevel="0" collapsed="false">
      <c r="A7" s="61" t="s">
        <v>233</v>
      </c>
      <c r="B7" s="62" t="s">
        <v>234</v>
      </c>
      <c r="C7" s="61" t="s">
        <v>235</v>
      </c>
      <c r="D7" s="61" t="s">
        <v>236</v>
      </c>
      <c r="E7" s="61" t="s">
        <v>237</v>
      </c>
      <c r="F7" s="63"/>
      <c r="G7" s="64" t="n">
        <v>43344</v>
      </c>
      <c r="H7" s="64" t="n">
        <v>46997</v>
      </c>
      <c r="I7" s="63" t="n">
        <v>120</v>
      </c>
      <c r="J7" s="63" t="n">
        <v>60</v>
      </c>
      <c r="K7" s="61" t="s">
        <v>209</v>
      </c>
      <c r="L7" s="65"/>
      <c r="M7" s="65" t="n">
        <v>0.0185</v>
      </c>
      <c r="N7" s="61" t="s">
        <v>230</v>
      </c>
      <c r="O7" s="64" t="n">
        <v>46325</v>
      </c>
      <c r="P7" s="65" t="n">
        <v>0.0834</v>
      </c>
      <c r="Q7" s="65"/>
      <c r="R7" s="66" t="n">
        <v>46042000</v>
      </c>
      <c r="S7" s="65" t="n">
        <v>0.99</v>
      </c>
      <c r="T7" s="65" t="n">
        <v>0.1073</v>
      </c>
      <c r="U7" s="67" t="n">
        <v>1.62</v>
      </c>
      <c r="V7" s="65" t="n">
        <v>0.357</v>
      </c>
      <c r="W7" s="65" t="n">
        <v>0.394</v>
      </c>
      <c r="X7" s="63" t="n">
        <v>1973</v>
      </c>
      <c r="Y7" s="63" t="n">
        <v>1993</v>
      </c>
      <c r="Z7" s="61" t="s">
        <v>211</v>
      </c>
      <c r="AA7" s="61" t="s">
        <v>238</v>
      </c>
      <c r="AB7" s="61" t="s">
        <v>223</v>
      </c>
      <c r="AC7" s="61" t="s">
        <v>213</v>
      </c>
      <c r="AD7" s="61" t="s">
        <v>232</v>
      </c>
      <c r="AE7" s="61" t="s">
        <v>239</v>
      </c>
      <c r="AF7" s="61" t="s">
        <v>240</v>
      </c>
      <c r="AG7" s="61" t="s">
        <v>217</v>
      </c>
      <c r="AH7" s="68" t="n">
        <f aca="false">IF(G7="",0,ROUND((Strats!$C$4-G7)/30.4375,1))</f>
        <v>97</v>
      </c>
      <c r="AI7" s="69" t="n">
        <f aca="false">IF(K7="",0,IF(K7="Floating",Strats!$C$10+M7,L7))</f>
        <v>0.0635</v>
      </c>
      <c r="AJ7" s="68" t="n">
        <f aca="false">IF(OR(Z7="",Z7="Full Amortizing"),"",MAX(J7-AH7,0))</f>
        <v>0</v>
      </c>
      <c r="AK7" s="69" t="n">
        <f aca="false">IF(K7="",0,IF(K7="Floating",IF(P7&lt;&gt;"",MIN(IF(Q7&lt;&gt;"",MAX((Strats!$C$10+Strats!$C$11+M7),Q7),(Strats!$C$10+Strats!$C$11+M7)),P7),IF(Q7&lt;&gt;"",MAX((Strats!$C$10+Strats!$C$11+M7),Q7),(Strats!$C$10+Strats!$C$11+M7))),AI7))</f>
        <v>0.0785</v>
      </c>
      <c r="AL7" s="68" t="str">
        <f aca="false">IF(OR(E7="",E7&lt;&gt;'Deal Strat'!$C$12,R7=""),"",SUMPRODUCT((E$4:E$303='Deal Strat'!$C$12)*(R$4:R$303&gt;R7))+1+SUMPRODUCT((E$4:E$303='Deal Strat'!$C$12)*(R$4:R$303=R7)*(ROW(R$4:R$303)&lt;ROW(R7))))</f>
        <v/>
      </c>
      <c r="AM7" s="68" t="n">
        <f aca="false">IF(R7="","",RANK(R7,$R$4:$R$303,0)+COUNTIF($R$4:R7,R7)-1)</f>
        <v>23</v>
      </c>
      <c r="AN7" s="26" t="n">
        <f aca="false">IF(OR($A7="",$R7=""),0,IF(Deal_Scope="All Deals",1,IF($E7=Deal_Scope,1,0)))</f>
        <v>1</v>
      </c>
      <c r="AO7" s="56" t="n">
        <f aca="false">IF($AN7=0,0,Px_Par)</f>
        <v>0.94</v>
      </c>
      <c r="AP7" s="70" t="n">
        <f aca="false">IF($H7="",0,MAX(0,($H7-Set_Date)/30.4375))</f>
        <v>23.0636550308008</v>
      </c>
      <c r="AQ7" s="26" t="n">
        <f aca="false">IF(AND(Ext_Flag="Yes",$AA7="Yes"),Ext_Months,0)</f>
        <v>0</v>
      </c>
      <c r="AR7" s="70" t="n">
        <f aca="false">$AP7+$AQ7</f>
        <v>23.0636550308008</v>
      </c>
      <c r="AS7" s="70" t="n">
        <f aca="false">$AR7/12</f>
        <v>1.92197125256674</v>
      </c>
      <c r="AT7" s="70" t="n">
        <f aca="false">IF($AJ7="",0,MAX(0,$AJ7/12))</f>
        <v>0</v>
      </c>
      <c r="AU7" s="70" t="n">
        <f aca="false">MAX(Amort_Min,Amort_Term-$AH7/12)</f>
        <v>21.9166666666667</v>
      </c>
      <c r="AV7" s="70" t="n">
        <f aca="false">MIN($AS7,Hold_Yrs)</f>
        <v>1.92197125256674</v>
      </c>
      <c r="AW7" s="26" t="n">
        <f aca="false">IF($AN7=0,0,CEILING(MAX($AS7,0.0001),1))</f>
        <v>2</v>
      </c>
      <c r="AX7" s="26" t="n">
        <f aca="false">IF(AND($AN7=1,MAX($AS7,0.0001)&lt;=Hold_Yrs),1,0)</f>
        <v>1</v>
      </c>
      <c r="AY7" s="71" t="n">
        <f aca="false">$R7*$AO7</f>
        <v>43279480</v>
      </c>
      <c r="AZ7" s="71" t="n">
        <f aca="false">$R7*Acc_Int*$AN7</f>
        <v>69063</v>
      </c>
      <c r="BA7" s="71" t="n">
        <f aca="false">$AY7*Acq_Cost</f>
        <v>324596.1</v>
      </c>
      <c r="BB7" s="71" t="n">
        <f aca="false">$AY7+$AZ7+$BA7</f>
        <v>43673139.1</v>
      </c>
      <c r="BC7" s="71" t="n">
        <f aca="false">IF(Fin_Flag="Yes",$AY7*Adv_Rate,0)</f>
        <v>25967688</v>
      </c>
      <c r="BD7" s="71" t="n">
        <f aca="false">$BC7*Fin_UpFee</f>
        <v>129838.44</v>
      </c>
      <c r="BE7" s="71" t="n">
        <f aca="false">$BB7-$BC7+$BD7</f>
        <v>17835289.54</v>
      </c>
    </row>
    <row r="8" customFormat="false" ht="14.25" hidden="false" customHeight="false" outlineLevel="0" collapsed="false">
      <c r="A8" s="61" t="s">
        <v>241</v>
      </c>
      <c r="B8" s="62" t="s">
        <v>242</v>
      </c>
      <c r="C8" s="61" t="s">
        <v>243</v>
      </c>
      <c r="D8" s="61" t="s">
        <v>207</v>
      </c>
      <c r="E8" s="61" t="s">
        <v>244</v>
      </c>
      <c r="F8" s="63"/>
      <c r="G8" s="64" t="n">
        <v>43466</v>
      </c>
      <c r="H8" s="64" t="n">
        <v>45292</v>
      </c>
      <c r="I8" s="63" t="n">
        <v>60</v>
      </c>
      <c r="J8" s="63" t="n">
        <v>12</v>
      </c>
      <c r="K8" s="61" t="s">
        <v>245</v>
      </c>
      <c r="L8" s="65" t="n">
        <v>0.0648</v>
      </c>
      <c r="M8" s="65"/>
      <c r="N8" s="61" t="s">
        <v>246</v>
      </c>
      <c r="O8" s="64"/>
      <c r="P8" s="65"/>
      <c r="Q8" s="65"/>
      <c r="R8" s="66" t="n">
        <v>117696000</v>
      </c>
      <c r="S8" s="65" t="n">
        <v>0.96</v>
      </c>
      <c r="T8" s="65" t="n">
        <v>0.0782</v>
      </c>
      <c r="U8" s="67" t="n">
        <v>1.46</v>
      </c>
      <c r="V8" s="65" t="n">
        <v>0.587</v>
      </c>
      <c r="W8" s="65" t="n">
        <v>0.604</v>
      </c>
      <c r="X8" s="63" t="n">
        <v>2021</v>
      </c>
      <c r="Y8" s="63"/>
      <c r="Z8" s="61" t="s">
        <v>247</v>
      </c>
      <c r="AA8" s="61" t="s">
        <v>87</v>
      </c>
      <c r="AB8" s="61" t="s">
        <v>231</v>
      </c>
      <c r="AC8" s="61" t="s">
        <v>213</v>
      </c>
      <c r="AD8" s="61" t="s">
        <v>214</v>
      </c>
      <c r="AE8" s="61" t="s">
        <v>224</v>
      </c>
      <c r="AF8" s="61" t="s">
        <v>216</v>
      </c>
      <c r="AG8" s="61" t="s">
        <v>217</v>
      </c>
      <c r="AH8" s="68" t="n">
        <f aca="false">IF(G8="",0,ROUND((Strats!$C$4-G8)/30.4375,1))</f>
        <v>92.9</v>
      </c>
      <c r="AI8" s="69" t="n">
        <f aca="false">IF(K8="",0,IF(K8="Floating",Strats!$C$10+M8,L8))</f>
        <v>0.0648</v>
      </c>
      <c r="AJ8" s="68" t="n">
        <f aca="false">IF(OR(Z8="",Z8="Full Amortizing"),"",MAX(J8-AH8,0))</f>
        <v>0</v>
      </c>
      <c r="AK8" s="69" t="n">
        <f aca="false">IF(K8="",0,IF(K8="Floating",IF(P8&lt;&gt;"",MIN(IF(Q8&lt;&gt;"",MAX((Strats!$C$10+Strats!$C$11+M8),Q8),(Strats!$C$10+Strats!$C$11+M8)),P8),IF(Q8&lt;&gt;"",MAX((Strats!$C$10+Strats!$C$11+M8),Q8),(Strats!$C$10+Strats!$C$11+M8))),AI8))</f>
        <v>0.0648</v>
      </c>
      <c r="AL8" s="68" t="str">
        <f aca="false">IF(OR(E8="",E8&lt;&gt;'Deal Strat'!$C$12,R8=""),"",SUMPRODUCT((E$4:E$303='Deal Strat'!$C$12)*(R$4:R$303&gt;R8))+1+SUMPRODUCT((E$4:E$303='Deal Strat'!$C$12)*(R$4:R$303=R8)*(ROW(R$4:R$303)&lt;ROW(R8))))</f>
        <v/>
      </c>
      <c r="AM8" s="68" t="n">
        <f aca="false">IF(R8="","",RANK(R8,$R$4:$R$303,0)+COUNTIF($R$4:R8,R8)-1)</f>
        <v>6</v>
      </c>
      <c r="AN8" s="26" t="n">
        <f aca="false">IF(OR($A8="",$R8=""),0,IF(Deal_Scope="All Deals",1,IF($E8=Deal_Scope,1,0)))</f>
        <v>1</v>
      </c>
      <c r="AO8" s="56" t="n">
        <f aca="false">IF($AN8=0,0,Px_Par)</f>
        <v>0.94</v>
      </c>
      <c r="AP8" s="70" t="n">
        <f aca="false">IF($H8="",0,MAX(0,($H8-Set_Date)/30.4375))</f>
        <v>0</v>
      </c>
      <c r="AQ8" s="26" t="n">
        <f aca="false">IF(AND(Ext_Flag="Yes",$AA8="Yes"),Ext_Months,0)</f>
        <v>12</v>
      </c>
      <c r="AR8" s="70" t="n">
        <f aca="false">$AP8+$AQ8</f>
        <v>12</v>
      </c>
      <c r="AS8" s="70" t="n">
        <f aca="false">$AR8/12</f>
        <v>1</v>
      </c>
      <c r="AT8" s="70" t="n">
        <f aca="false">IF($AJ8="",0,MAX(0,$AJ8/12))</f>
        <v>0</v>
      </c>
      <c r="AU8" s="70" t="n">
        <f aca="false">MAX(Amort_Min,Amort_Term-$AH8/12)</f>
        <v>22.2583333333333</v>
      </c>
      <c r="AV8" s="70" t="n">
        <f aca="false">MIN($AS8,Hold_Yrs)</f>
        <v>1</v>
      </c>
      <c r="AW8" s="26" t="n">
        <f aca="false">IF($AN8=0,0,CEILING(MAX($AS8,0.0001),1))</f>
        <v>1</v>
      </c>
      <c r="AX8" s="26" t="n">
        <f aca="false">IF(AND($AN8=1,MAX($AS8,0.0001)&lt;=Hold_Yrs),1,0)</f>
        <v>1</v>
      </c>
      <c r="AY8" s="71" t="n">
        <f aca="false">$R8*$AO8</f>
        <v>110634240</v>
      </c>
      <c r="AZ8" s="71" t="n">
        <f aca="false">$R8*Acc_Int*$AN8</f>
        <v>176544</v>
      </c>
      <c r="BA8" s="71" t="n">
        <f aca="false">$AY8*Acq_Cost</f>
        <v>829756.8</v>
      </c>
      <c r="BB8" s="71" t="n">
        <f aca="false">$AY8+$AZ8+$BA8</f>
        <v>111640540.8</v>
      </c>
      <c r="BC8" s="71" t="n">
        <f aca="false">IF(Fin_Flag="Yes",$AY8*Adv_Rate,0)</f>
        <v>66380544</v>
      </c>
      <c r="BD8" s="71" t="n">
        <f aca="false">$BC8*Fin_UpFee</f>
        <v>331902.72</v>
      </c>
      <c r="BE8" s="71" t="n">
        <f aca="false">$BB8-$BC8+$BD8</f>
        <v>45591899.52</v>
      </c>
    </row>
    <row r="9" customFormat="false" ht="14.25" hidden="false" customHeight="false" outlineLevel="0" collapsed="false">
      <c r="A9" s="61" t="s">
        <v>248</v>
      </c>
      <c r="B9" s="62" t="s">
        <v>249</v>
      </c>
      <c r="C9" s="61" t="s">
        <v>250</v>
      </c>
      <c r="D9" s="61" t="s">
        <v>251</v>
      </c>
      <c r="E9" s="61" t="s">
        <v>252</v>
      </c>
      <c r="F9" s="63"/>
      <c r="G9" s="64" t="n">
        <v>43221</v>
      </c>
      <c r="H9" s="64" t="n">
        <v>46874</v>
      </c>
      <c r="I9" s="63" t="n">
        <v>120</v>
      </c>
      <c r="J9" s="63" t="n">
        <v>0</v>
      </c>
      <c r="K9" s="61" t="s">
        <v>209</v>
      </c>
      <c r="L9" s="65"/>
      <c r="M9" s="65" t="n">
        <v>0.02</v>
      </c>
      <c r="N9" s="61" t="s">
        <v>230</v>
      </c>
      <c r="O9" s="64" t="n">
        <v>46355</v>
      </c>
      <c r="P9" s="65" t="n">
        <v>0.0978</v>
      </c>
      <c r="Q9" s="65"/>
      <c r="R9" s="66" t="n">
        <v>57608000</v>
      </c>
      <c r="S9" s="65" t="n">
        <v>0.94</v>
      </c>
      <c r="T9" s="65" t="n">
        <v>0.0853</v>
      </c>
      <c r="U9" s="67" t="n">
        <v>1.36</v>
      </c>
      <c r="V9" s="65" t="n">
        <v>0.572</v>
      </c>
      <c r="W9" s="65" t="n">
        <v>0.602</v>
      </c>
      <c r="X9" s="63" t="n">
        <v>1995</v>
      </c>
      <c r="Y9" s="63" t="n">
        <v>2012</v>
      </c>
      <c r="Z9" s="61" t="s">
        <v>253</v>
      </c>
      <c r="AA9" s="61" t="s">
        <v>238</v>
      </c>
      <c r="AB9" s="61" t="s">
        <v>223</v>
      </c>
      <c r="AC9" s="61" t="s">
        <v>213</v>
      </c>
      <c r="AD9" s="61" t="s">
        <v>232</v>
      </c>
      <c r="AE9" s="61" t="s">
        <v>239</v>
      </c>
      <c r="AF9" s="61" t="s">
        <v>216</v>
      </c>
      <c r="AG9" s="61" t="s">
        <v>217</v>
      </c>
      <c r="AH9" s="68" t="n">
        <f aca="false">IF(G9="",0,ROUND((Strats!$C$4-G9)/30.4375,1))</f>
        <v>101</v>
      </c>
      <c r="AI9" s="69" t="n">
        <f aca="false">IF(K9="",0,IF(K9="Floating",Strats!$C$10+M9,L9))</f>
        <v>0.065</v>
      </c>
      <c r="AJ9" s="68" t="str">
        <f aca="false">IF(OR(Z9="",Z9="Full Amortizing"),"",MAX(J9-AH9,0))</f>
        <v/>
      </c>
      <c r="AK9" s="69" t="n">
        <f aca="false">IF(K9="",0,IF(K9="Floating",IF(P9&lt;&gt;"",MIN(IF(Q9&lt;&gt;"",MAX((Strats!$C$10+Strats!$C$11+M9),Q9),(Strats!$C$10+Strats!$C$11+M9)),P9),IF(Q9&lt;&gt;"",MAX((Strats!$C$10+Strats!$C$11+M9),Q9),(Strats!$C$10+Strats!$C$11+M9))),AI9))</f>
        <v>0.08</v>
      </c>
      <c r="AL9" s="68" t="n">
        <f aca="false">IF(OR(E9="",E9&lt;&gt;'Deal Strat'!$C$12,R9=""),"",SUMPRODUCT((E$4:E$303='Deal Strat'!$C$12)*(R$4:R$303&gt;R9))+1+SUMPRODUCT((E$4:E$303='Deal Strat'!$C$12)*(R$4:R$303=R9)*(ROW(R$4:R$303)&lt;ROW(R9))))</f>
        <v>4</v>
      </c>
      <c r="AM9" s="68" t="n">
        <f aca="false">IF(R9="","",RANK(R9,$R$4:$R$303,0)+COUNTIF($R$4:R9,R9)-1)</f>
        <v>19</v>
      </c>
      <c r="AN9" s="26" t="n">
        <f aca="false">IF(OR($A9="",$R9=""),0,IF(Deal_Scope="All Deals",1,IF($E9=Deal_Scope,1,0)))</f>
        <v>1</v>
      </c>
      <c r="AO9" s="56" t="n">
        <f aca="false">IF($AN9=0,0,Px_Par)</f>
        <v>0.94</v>
      </c>
      <c r="AP9" s="70" t="n">
        <f aca="false">IF($H9="",0,MAX(0,($H9-Set_Date)/30.4375))</f>
        <v>19.0225872689938</v>
      </c>
      <c r="AQ9" s="26" t="n">
        <f aca="false">IF(AND(Ext_Flag="Yes",$AA9="Yes"),Ext_Months,0)</f>
        <v>0</v>
      </c>
      <c r="AR9" s="70" t="n">
        <f aca="false">$AP9+$AQ9</f>
        <v>19.0225872689938</v>
      </c>
      <c r="AS9" s="70" t="n">
        <f aca="false">$AR9/12</f>
        <v>1.58521560574949</v>
      </c>
      <c r="AT9" s="70" t="n">
        <f aca="false">IF($AJ9="",0,MAX(0,$AJ9/12))</f>
        <v>0</v>
      </c>
      <c r="AU9" s="70" t="n">
        <f aca="false">MAX(Amort_Min,Amort_Term-$AH9/12)</f>
        <v>21.5833333333333</v>
      </c>
      <c r="AV9" s="70" t="n">
        <f aca="false">MIN($AS9,Hold_Yrs)</f>
        <v>1.58521560574949</v>
      </c>
      <c r="AW9" s="26" t="n">
        <f aca="false">IF($AN9=0,0,CEILING(MAX($AS9,0.0001),1))</f>
        <v>2</v>
      </c>
      <c r="AX9" s="26" t="n">
        <f aca="false">IF(AND($AN9=1,MAX($AS9,0.0001)&lt;=Hold_Yrs),1,0)</f>
        <v>1</v>
      </c>
      <c r="AY9" s="71" t="n">
        <f aca="false">$R9*$AO9</f>
        <v>54151520</v>
      </c>
      <c r="AZ9" s="71" t="n">
        <f aca="false">$R9*Acc_Int*$AN9</f>
        <v>86412</v>
      </c>
      <c r="BA9" s="71" t="n">
        <f aca="false">$AY9*Acq_Cost</f>
        <v>406136.4</v>
      </c>
      <c r="BB9" s="71" t="n">
        <f aca="false">$AY9+$AZ9+$BA9</f>
        <v>54644068.4</v>
      </c>
      <c r="BC9" s="71" t="n">
        <f aca="false">IF(Fin_Flag="Yes",$AY9*Adv_Rate,0)</f>
        <v>32490912</v>
      </c>
      <c r="BD9" s="71" t="n">
        <f aca="false">$BC9*Fin_UpFee</f>
        <v>162454.56</v>
      </c>
      <c r="BE9" s="71" t="n">
        <f aca="false">$BB9-$BC9+$BD9</f>
        <v>22315610.96</v>
      </c>
    </row>
    <row r="10" customFormat="false" ht="14.25" hidden="false" customHeight="false" outlineLevel="0" collapsed="false">
      <c r="A10" s="61" t="s">
        <v>254</v>
      </c>
      <c r="B10" s="62" t="s">
        <v>255</v>
      </c>
      <c r="C10" s="61" t="s">
        <v>256</v>
      </c>
      <c r="D10" s="61" t="s">
        <v>207</v>
      </c>
      <c r="E10" s="61" t="s">
        <v>237</v>
      </c>
      <c r="F10" s="63"/>
      <c r="G10" s="64" t="n">
        <v>45170</v>
      </c>
      <c r="H10" s="64" t="n">
        <v>48823</v>
      </c>
      <c r="I10" s="63" t="n">
        <v>120</v>
      </c>
      <c r="J10" s="63" t="n">
        <v>120</v>
      </c>
      <c r="K10" s="61" t="s">
        <v>209</v>
      </c>
      <c r="L10" s="65"/>
      <c r="M10" s="65" t="n">
        <v>0.0202</v>
      </c>
      <c r="N10" s="61" t="s">
        <v>210</v>
      </c>
      <c r="O10" s="64" t="n">
        <v>46355</v>
      </c>
      <c r="P10" s="65" t="n">
        <v>0.1052</v>
      </c>
      <c r="Q10" s="65"/>
      <c r="R10" s="66" t="n">
        <v>4524000</v>
      </c>
      <c r="S10" s="65" t="n">
        <v>0.99</v>
      </c>
      <c r="T10" s="65" t="n">
        <v>0.08</v>
      </c>
      <c r="U10" s="67" t="n">
        <v>1.19</v>
      </c>
      <c r="V10" s="65" t="n">
        <v>0.644</v>
      </c>
      <c r="W10" s="65" t="n">
        <v>0.658</v>
      </c>
      <c r="X10" s="63" t="n">
        <v>2007</v>
      </c>
      <c r="Y10" s="63"/>
      <c r="Z10" s="61" t="s">
        <v>247</v>
      </c>
      <c r="AA10" s="61" t="s">
        <v>87</v>
      </c>
      <c r="AB10" s="61" t="s">
        <v>223</v>
      </c>
      <c r="AC10" s="61" t="s">
        <v>213</v>
      </c>
      <c r="AD10" s="61" t="s">
        <v>232</v>
      </c>
      <c r="AE10" s="61" t="s">
        <v>215</v>
      </c>
      <c r="AF10" s="61" t="s">
        <v>216</v>
      </c>
      <c r="AG10" s="61" t="s">
        <v>217</v>
      </c>
      <c r="AH10" s="68" t="n">
        <f aca="false">IF(G10="",0,ROUND((Strats!$C$4-G10)/30.4375,1))</f>
        <v>37</v>
      </c>
      <c r="AI10" s="69" t="n">
        <f aca="false">IF(K10="",0,IF(K10="Floating",Strats!$C$10+M10,L10))</f>
        <v>0.0652</v>
      </c>
      <c r="AJ10" s="68" t="n">
        <f aca="false">IF(OR(Z10="",Z10="Full Amortizing"),"",MAX(J10-AH10,0))</f>
        <v>83</v>
      </c>
      <c r="AK10" s="69" t="n">
        <f aca="false">IF(K10="",0,IF(K10="Floating",IF(P10&lt;&gt;"",MIN(IF(Q10&lt;&gt;"",MAX((Strats!$C$10+Strats!$C$11+M10),Q10),(Strats!$C$10+Strats!$C$11+M10)),P10),IF(Q10&lt;&gt;"",MAX((Strats!$C$10+Strats!$C$11+M10),Q10),(Strats!$C$10+Strats!$C$11+M10))),AI10))</f>
        <v>0.0802</v>
      </c>
      <c r="AL10" s="68" t="str">
        <f aca="false">IF(OR(E10="",E10&lt;&gt;'Deal Strat'!$C$12,R10=""),"",SUMPRODUCT((E$4:E$303='Deal Strat'!$C$12)*(R$4:R$303&gt;R10))+1+SUMPRODUCT((E$4:E$303='Deal Strat'!$C$12)*(R$4:R$303=R10)*(ROW(R$4:R$303)&lt;ROW(R10))))</f>
        <v/>
      </c>
      <c r="AM10" s="68" t="n">
        <f aca="false">IF(R10="","",RANK(R10,$R$4:$R$303,0)+COUNTIF($R$4:R10,R10)-1)</f>
        <v>49</v>
      </c>
      <c r="AN10" s="26" t="n">
        <f aca="false">IF(OR($A10="",$R10=""),0,IF(Deal_Scope="All Deals",1,IF($E10=Deal_Scope,1,0)))</f>
        <v>1</v>
      </c>
      <c r="AO10" s="56" t="n">
        <f aca="false">IF($AN10=0,0,Px_Par)</f>
        <v>0.94</v>
      </c>
      <c r="AP10" s="70" t="n">
        <f aca="false">IF($H10="",0,MAX(0,($H10-Set_Date)/30.4375))</f>
        <v>83.0554414784394</v>
      </c>
      <c r="AQ10" s="26" t="n">
        <f aca="false">IF(AND(Ext_Flag="Yes",$AA10="Yes"),Ext_Months,0)</f>
        <v>12</v>
      </c>
      <c r="AR10" s="70" t="n">
        <f aca="false">$AP10+$AQ10</f>
        <v>95.0554414784394</v>
      </c>
      <c r="AS10" s="70" t="n">
        <f aca="false">$AR10/12</f>
        <v>7.92128678986995</v>
      </c>
      <c r="AT10" s="70" t="n">
        <f aca="false">IF($AJ10="",0,MAX(0,$AJ10/12))</f>
        <v>6.91666666666667</v>
      </c>
      <c r="AU10" s="70" t="n">
        <f aca="false">MAX(Amort_Min,Amort_Term-$AH10/12)</f>
        <v>26.9166666666667</v>
      </c>
      <c r="AV10" s="70" t="n">
        <f aca="false">MIN($AS10,Hold_Yrs)</f>
        <v>5</v>
      </c>
      <c r="AW10" s="26" t="n">
        <f aca="false">IF($AN10=0,0,CEILING(MAX($AS10,0.0001),1))</f>
        <v>8</v>
      </c>
      <c r="AX10" s="26" t="n">
        <f aca="false">IF(AND($AN10=1,MAX($AS10,0.0001)&lt;=Hold_Yrs),1,0)</f>
        <v>0</v>
      </c>
      <c r="AY10" s="71" t="n">
        <f aca="false">$R10*$AO10</f>
        <v>4252560</v>
      </c>
      <c r="AZ10" s="71" t="n">
        <f aca="false">$R10*Acc_Int*$AN10</f>
        <v>6786</v>
      </c>
      <c r="BA10" s="71" t="n">
        <f aca="false">$AY10*Acq_Cost</f>
        <v>31894.2</v>
      </c>
      <c r="BB10" s="71" t="n">
        <f aca="false">$AY10+$AZ10+$BA10</f>
        <v>4291240.2</v>
      </c>
      <c r="BC10" s="71" t="n">
        <f aca="false">IF(Fin_Flag="Yes",$AY10*Adv_Rate,0)</f>
        <v>2551536</v>
      </c>
      <c r="BD10" s="71" t="n">
        <f aca="false">$BC10*Fin_UpFee</f>
        <v>12757.68</v>
      </c>
      <c r="BE10" s="71" t="n">
        <f aca="false">$BB10-$BC10+$BD10</f>
        <v>1752461.88</v>
      </c>
    </row>
    <row r="11" customFormat="false" ht="14.25" hidden="false" customHeight="false" outlineLevel="0" collapsed="false">
      <c r="A11" s="61" t="s">
        <v>257</v>
      </c>
      <c r="B11" s="62" t="s">
        <v>258</v>
      </c>
      <c r="C11" s="61" t="s">
        <v>220</v>
      </c>
      <c r="D11" s="61" t="s">
        <v>236</v>
      </c>
      <c r="E11" s="61" t="s">
        <v>259</v>
      </c>
      <c r="F11" s="63"/>
      <c r="G11" s="64" t="n">
        <v>43891</v>
      </c>
      <c r="H11" s="64" t="n">
        <v>47543</v>
      </c>
      <c r="I11" s="63" t="n">
        <v>119</v>
      </c>
      <c r="J11" s="63" t="n">
        <v>12</v>
      </c>
      <c r="K11" s="61" t="s">
        <v>209</v>
      </c>
      <c r="L11" s="65"/>
      <c r="M11" s="65" t="n">
        <v>0.036</v>
      </c>
      <c r="N11" s="61" t="s">
        <v>210</v>
      </c>
      <c r="O11" s="64" t="n">
        <v>46355</v>
      </c>
      <c r="P11" s="65" t="n">
        <v>0.1057</v>
      </c>
      <c r="Q11" s="65"/>
      <c r="R11" s="66" t="n">
        <v>48331000</v>
      </c>
      <c r="S11" s="65" t="n">
        <v>0.99</v>
      </c>
      <c r="T11" s="65" t="n">
        <v>0.0941</v>
      </c>
      <c r="U11" s="67" t="n">
        <v>0.98</v>
      </c>
      <c r="V11" s="65" t="n">
        <v>0.741</v>
      </c>
      <c r="W11" s="65" t="n">
        <v>0.762</v>
      </c>
      <c r="X11" s="63" t="n">
        <v>1986</v>
      </c>
      <c r="Y11" s="63" t="n">
        <v>2011</v>
      </c>
      <c r="Z11" s="61" t="s">
        <v>211</v>
      </c>
      <c r="AA11" s="61" t="s">
        <v>238</v>
      </c>
      <c r="AB11" s="61" t="s">
        <v>231</v>
      </c>
      <c r="AC11" s="61" t="s">
        <v>213</v>
      </c>
      <c r="AD11" s="61" t="s">
        <v>260</v>
      </c>
      <c r="AE11" s="61" t="s">
        <v>215</v>
      </c>
      <c r="AF11" s="61" t="s">
        <v>216</v>
      </c>
      <c r="AG11" s="61" t="s">
        <v>217</v>
      </c>
      <c r="AH11" s="68" t="n">
        <f aca="false">IF(G11="",0,ROUND((Strats!$C$4-G11)/30.4375,1))</f>
        <v>79</v>
      </c>
      <c r="AI11" s="69" t="n">
        <f aca="false">IF(K11="",0,IF(K11="Floating",Strats!$C$10+M11,L11))</f>
        <v>0.081</v>
      </c>
      <c r="AJ11" s="68" t="n">
        <f aca="false">IF(OR(Z11="",Z11="Full Amortizing"),"",MAX(J11-AH11,0))</f>
        <v>0</v>
      </c>
      <c r="AK11" s="69" t="n">
        <f aca="false">IF(K11="",0,IF(K11="Floating",IF(P11&lt;&gt;"",MIN(IF(Q11&lt;&gt;"",MAX((Strats!$C$10+Strats!$C$11+M11),Q11),(Strats!$C$10+Strats!$C$11+M11)),P11),IF(Q11&lt;&gt;"",MAX((Strats!$C$10+Strats!$C$11+M11),Q11),(Strats!$C$10+Strats!$C$11+M11))),AI11))</f>
        <v>0.096</v>
      </c>
      <c r="AL11" s="68" t="str">
        <f aca="false">IF(OR(E11="",E11&lt;&gt;'Deal Strat'!$C$12,R11=""),"",SUMPRODUCT((E$4:E$303='Deal Strat'!$C$12)*(R$4:R$303&gt;R11))+1+SUMPRODUCT((E$4:E$303='Deal Strat'!$C$12)*(R$4:R$303=R11)*(ROW(R$4:R$303)&lt;ROW(R11))))</f>
        <v/>
      </c>
      <c r="AM11" s="68" t="n">
        <f aca="false">IF(R11="","",RANK(R11,$R$4:$R$303,0)+COUNTIF($R$4:R11,R11)-1)</f>
        <v>22</v>
      </c>
      <c r="AN11" s="26" t="n">
        <f aca="false">IF(OR($A11="",$R11=""),0,IF(Deal_Scope="All Deals",1,IF($E11=Deal_Scope,1,0)))</f>
        <v>1</v>
      </c>
      <c r="AO11" s="56" t="n">
        <f aca="false">IF($AN11=0,0,Px_Par)</f>
        <v>0.94</v>
      </c>
      <c r="AP11" s="70" t="n">
        <f aca="false">IF($H11="",0,MAX(0,($H11-Set_Date)/30.4375))</f>
        <v>41.0020533880903</v>
      </c>
      <c r="AQ11" s="26" t="n">
        <f aca="false">IF(AND(Ext_Flag="Yes",$AA11="Yes"),Ext_Months,0)</f>
        <v>0</v>
      </c>
      <c r="AR11" s="70" t="n">
        <f aca="false">$AP11+$AQ11</f>
        <v>41.0020533880903</v>
      </c>
      <c r="AS11" s="70" t="n">
        <f aca="false">$AR11/12</f>
        <v>3.41683778234086</v>
      </c>
      <c r="AT11" s="70" t="n">
        <f aca="false">IF($AJ11="",0,MAX(0,$AJ11/12))</f>
        <v>0</v>
      </c>
      <c r="AU11" s="70" t="n">
        <f aca="false">MAX(Amort_Min,Amort_Term-$AH11/12)</f>
        <v>23.4166666666667</v>
      </c>
      <c r="AV11" s="70" t="n">
        <f aca="false">MIN($AS11,Hold_Yrs)</f>
        <v>3.41683778234086</v>
      </c>
      <c r="AW11" s="26" t="n">
        <f aca="false">IF($AN11=0,0,CEILING(MAX($AS11,0.0001),1))</f>
        <v>4</v>
      </c>
      <c r="AX11" s="26" t="n">
        <f aca="false">IF(AND($AN11=1,MAX($AS11,0.0001)&lt;=Hold_Yrs),1,0)</f>
        <v>1</v>
      </c>
      <c r="AY11" s="71" t="n">
        <f aca="false">$R11*$AO11</f>
        <v>45431140</v>
      </c>
      <c r="AZ11" s="71" t="n">
        <f aca="false">$R11*Acc_Int*$AN11</f>
        <v>72496.5</v>
      </c>
      <c r="BA11" s="71" t="n">
        <f aca="false">$AY11*Acq_Cost</f>
        <v>340733.55</v>
      </c>
      <c r="BB11" s="71" t="n">
        <f aca="false">$AY11+$AZ11+$BA11</f>
        <v>45844370.05</v>
      </c>
      <c r="BC11" s="71" t="n">
        <f aca="false">IF(Fin_Flag="Yes",$AY11*Adv_Rate,0)</f>
        <v>27258684</v>
      </c>
      <c r="BD11" s="71" t="n">
        <f aca="false">$BC11*Fin_UpFee</f>
        <v>136293.42</v>
      </c>
      <c r="BE11" s="71" t="n">
        <f aca="false">$BB11-$BC11+$BD11</f>
        <v>18721979.47</v>
      </c>
    </row>
    <row r="12" customFormat="false" ht="14.25" hidden="false" customHeight="false" outlineLevel="0" collapsed="false">
      <c r="A12" s="61" t="s">
        <v>261</v>
      </c>
      <c r="B12" s="62" t="s">
        <v>262</v>
      </c>
      <c r="C12" s="61" t="s">
        <v>227</v>
      </c>
      <c r="D12" s="61" t="s">
        <v>228</v>
      </c>
      <c r="E12" s="61" t="s">
        <v>263</v>
      </c>
      <c r="F12" s="63" t="n">
        <v>162</v>
      </c>
      <c r="G12" s="64" t="n">
        <v>45292</v>
      </c>
      <c r="H12" s="64" t="n">
        <v>48945</v>
      </c>
      <c r="I12" s="63" t="n">
        <v>119</v>
      </c>
      <c r="J12" s="63" t="n">
        <v>60</v>
      </c>
      <c r="K12" s="61" t="s">
        <v>245</v>
      </c>
      <c r="L12" s="65" t="n">
        <v>0.0479</v>
      </c>
      <c r="M12" s="65"/>
      <c r="N12" s="61" t="s">
        <v>246</v>
      </c>
      <c r="O12" s="64"/>
      <c r="P12" s="65"/>
      <c r="Q12" s="65"/>
      <c r="R12" s="66" t="n">
        <v>16415000</v>
      </c>
      <c r="S12" s="65" t="n">
        <v>0.831</v>
      </c>
      <c r="T12" s="65" t="n">
        <v>0.0963</v>
      </c>
      <c r="U12" s="67" t="n">
        <v>2.05</v>
      </c>
      <c r="V12" s="65" t="n">
        <v>0.432</v>
      </c>
      <c r="W12" s="65" t="n">
        <v>0.487</v>
      </c>
      <c r="X12" s="63" t="n">
        <v>1978</v>
      </c>
      <c r="Y12" s="63"/>
      <c r="Z12" s="61" t="s">
        <v>211</v>
      </c>
      <c r="AA12" s="61" t="s">
        <v>238</v>
      </c>
      <c r="AB12" s="61" t="s">
        <v>212</v>
      </c>
      <c r="AC12" s="61" t="s">
        <v>213</v>
      </c>
      <c r="AD12" s="61" t="s">
        <v>264</v>
      </c>
      <c r="AE12" s="61" t="s">
        <v>239</v>
      </c>
      <c r="AF12" s="61" t="s">
        <v>216</v>
      </c>
      <c r="AG12" s="61" t="s">
        <v>265</v>
      </c>
      <c r="AH12" s="68" t="n">
        <f aca="false">IF(G12="",0,ROUND((Strats!$C$4-G12)/30.4375,1))</f>
        <v>33</v>
      </c>
      <c r="AI12" s="69" t="n">
        <f aca="false">IF(K12="",0,IF(K12="Floating",Strats!$C$10+M12,L12))</f>
        <v>0.0479</v>
      </c>
      <c r="AJ12" s="68" t="n">
        <f aca="false">IF(OR(Z12="",Z12="Full Amortizing"),"",MAX(J12-AH12,0))</f>
        <v>27</v>
      </c>
      <c r="AK12" s="69" t="n">
        <f aca="false">IF(K12="",0,IF(K12="Floating",IF(P12&lt;&gt;"",MIN(IF(Q12&lt;&gt;"",MAX((Strats!$C$10+Strats!$C$11+M12),Q12),(Strats!$C$10+Strats!$C$11+M12)),P12),IF(Q12&lt;&gt;"",MAX((Strats!$C$10+Strats!$C$11+M12),Q12),(Strats!$C$10+Strats!$C$11+M12))),AI12))</f>
        <v>0.0479</v>
      </c>
      <c r="AL12" s="68" t="str">
        <f aca="false">IF(OR(E12="",E12&lt;&gt;'Deal Strat'!$C$12,R12=""),"",SUMPRODUCT((E$4:E$303='Deal Strat'!$C$12)*(R$4:R$303&gt;R12))+1+SUMPRODUCT((E$4:E$303='Deal Strat'!$C$12)*(R$4:R$303=R12)*(ROW(R$4:R$303)&lt;ROW(R12))))</f>
        <v/>
      </c>
      <c r="AM12" s="68" t="n">
        <f aca="false">IF(R12="","",RANK(R12,$R$4:$R$303,0)+COUNTIF($R$4:R12,R12)-1)</f>
        <v>33</v>
      </c>
      <c r="AN12" s="26" t="n">
        <f aca="false">IF(OR($A12="",$R12=""),0,IF(Deal_Scope="All Deals",1,IF($E12=Deal_Scope,1,0)))</f>
        <v>1</v>
      </c>
      <c r="AO12" s="56" t="n">
        <f aca="false">IF($AN12=0,0,Px_Par)</f>
        <v>0.94</v>
      </c>
      <c r="AP12" s="70" t="n">
        <f aca="false">IF($H12="",0,MAX(0,($H12-Set_Date)/30.4375))</f>
        <v>87.0636550308008</v>
      </c>
      <c r="AQ12" s="26" t="n">
        <f aca="false">IF(AND(Ext_Flag="Yes",$AA12="Yes"),Ext_Months,0)</f>
        <v>0</v>
      </c>
      <c r="AR12" s="70" t="n">
        <f aca="false">$AP12+$AQ12</f>
        <v>87.0636550308008</v>
      </c>
      <c r="AS12" s="70" t="n">
        <f aca="false">$AR12/12</f>
        <v>7.25530458590007</v>
      </c>
      <c r="AT12" s="70" t="n">
        <f aca="false">IF($AJ12="",0,MAX(0,$AJ12/12))</f>
        <v>2.25</v>
      </c>
      <c r="AU12" s="70" t="n">
        <f aca="false">MAX(Amort_Min,Amort_Term-$AH12/12)</f>
        <v>27.25</v>
      </c>
      <c r="AV12" s="70" t="n">
        <f aca="false">MIN($AS12,Hold_Yrs)</f>
        <v>5</v>
      </c>
      <c r="AW12" s="26" t="n">
        <f aca="false">IF($AN12=0,0,CEILING(MAX($AS12,0.0001),1))</f>
        <v>8</v>
      </c>
      <c r="AX12" s="26" t="n">
        <f aca="false">IF(AND($AN12=1,MAX($AS12,0.0001)&lt;=Hold_Yrs),1,0)</f>
        <v>0</v>
      </c>
      <c r="AY12" s="71" t="n">
        <f aca="false">$R12*$AO12</f>
        <v>15430100</v>
      </c>
      <c r="AZ12" s="71" t="n">
        <f aca="false">$R12*Acc_Int*$AN12</f>
        <v>24622.5</v>
      </c>
      <c r="BA12" s="71" t="n">
        <f aca="false">$AY12*Acq_Cost</f>
        <v>115725.75</v>
      </c>
      <c r="BB12" s="71" t="n">
        <f aca="false">$AY12+$AZ12+$BA12</f>
        <v>15570448.25</v>
      </c>
      <c r="BC12" s="71" t="n">
        <f aca="false">IF(Fin_Flag="Yes",$AY12*Adv_Rate,0)</f>
        <v>9258060</v>
      </c>
      <c r="BD12" s="71" t="n">
        <f aca="false">$BC12*Fin_UpFee</f>
        <v>46290.3</v>
      </c>
      <c r="BE12" s="71" t="n">
        <f aca="false">$BB12-$BC12+$BD12</f>
        <v>6358678.55</v>
      </c>
    </row>
    <row r="13" customFormat="false" ht="14.25" hidden="false" customHeight="false" outlineLevel="0" collapsed="false">
      <c r="A13" s="61" t="s">
        <v>266</v>
      </c>
      <c r="B13" s="62" t="s">
        <v>267</v>
      </c>
      <c r="C13" s="61" t="s">
        <v>268</v>
      </c>
      <c r="D13" s="61" t="s">
        <v>228</v>
      </c>
      <c r="E13" s="61" t="s">
        <v>252</v>
      </c>
      <c r="F13" s="63" t="n">
        <v>171</v>
      </c>
      <c r="G13" s="64" t="n">
        <v>43435</v>
      </c>
      <c r="H13" s="64" t="n">
        <v>45261</v>
      </c>
      <c r="I13" s="63" t="n">
        <v>61</v>
      </c>
      <c r="J13" s="63" t="n">
        <v>0</v>
      </c>
      <c r="K13" s="61" t="s">
        <v>245</v>
      </c>
      <c r="L13" s="65" t="n">
        <v>0.0647</v>
      </c>
      <c r="M13" s="65"/>
      <c r="N13" s="61" t="s">
        <v>246</v>
      </c>
      <c r="O13" s="64"/>
      <c r="P13" s="65"/>
      <c r="Q13" s="65"/>
      <c r="R13" s="66" t="n">
        <v>45056000</v>
      </c>
      <c r="S13" s="65" t="n">
        <v>0.929</v>
      </c>
      <c r="T13" s="65" t="n">
        <v>0.0685</v>
      </c>
      <c r="U13" s="67" t="n">
        <v>1.98</v>
      </c>
      <c r="V13" s="65" t="n">
        <v>0.685</v>
      </c>
      <c r="W13" s="65" t="n">
        <v>0.735</v>
      </c>
      <c r="X13" s="63" t="n">
        <v>1979</v>
      </c>
      <c r="Y13" s="63" t="n">
        <v>1990</v>
      </c>
      <c r="Z13" s="61" t="s">
        <v>253</v>
      </c>
      <c r="AA13" s="61" t="s">
        <v>87</v>
      </c>
      <c r="AB13" s="61" t="s">
        <v>223</v>
      </c>
      <c r="AC13" s="61" t="s">
        <v>213</v>
      </c>
      <c r="AD13" s="61" t="s">
        <v>264</v>
      </c>
      <c r="AE13" s="61" t="s">
        <v>215</v>
      </c>
      <c r="AF13" s="61" t="s">
        <v>216</v>
      </c>
      <c r="AG13" s="61" t="s">
        <v>217</v>
      </c>
      <c r="AH13" s="68" t="n">
        <f aca="false">IF(G13="",0,ROUND((Strats!$C$4-G13)/30.4375,1))</f>
        <v>94</v>
      </c>
      <c r="AI13" s="69" t="n">
        <f aca="false">IF(K13="",0,IF(K13="Floating",Strats!$C$10+M13,L13))</f>
        <v>0.0647</v>
      </c>
      <c r="AJ13" s="68" t="str">
        <f aca="false">IF(OR(Z13="",Z13="Full Amortizing"),"",MAX(J13-AH13,0))</f>
        <v/>
      </c>
      <c r="AK13" s="69" t="n">
        <f aca="false">IF(K13="",0,IF(K13="Floating",IF(P13&lt;&gt;"",MIN(IF(Q13&lt;&gt;"",MAX((Strats!$C$10+Strats!$C$11+M13),Q13),(Strats!$C$10+Strats!$C$11+M13)),P13),IF(Q13&lt;&gt;"",MAX((Strats!$C$10+Strats!$C$11+M13),Q13),(Strats!$C$10+Strats!$C$11+M13))),AI13))</f>
        <v>0.0647</v>
      </c>
      <c r="AL13" s="68" t="n">
        <f aca="false">IF(OR(E13="",E13&lt;&gt;'Deal Strat'!$C$12,R13=""),"",SUMPRODUCT((E$4:E$303='Deal Strat'!$C$12)*(R$4:R$303&gt;R13))+1+SUMPRODUCT((E$4:E$303='Deal Strat'!$C$12)*(R$4:R$303=R13)*(ROW(R$4:R$303)&lt;ROW(R13))))</f>
        <v>5</v>
      </c>
      <c r="AM13" s="68" t="n">
        <f aca="false">IF(R13="","",RANK(R13,$R$4:$R$303,0)+COUNTIF($R$4:R13,R13)-1)</f>
        <v>24</v>
      </c>
      <c r="AN13" s="26" t="n">
        <f aca="false">IF(OR($A13="",$R13=""),0,IF(Deal_Scope="All Deals",1,IF($E13=Deal_Scope,1,0)))</f>
        <v>1</v>
      </c>
      <c r="AO13" s="56" t="n">
        <f aca="false">IF($AN13=0,0,Px_Par)</f>
        <v>0.94</v>
      </c>
      <c r="AP13" s="70" t="n">
        <f aca="false">IF($H13="",0,MAX(0,($H13-Set_Date)/30.4375))</f>
        <v>0</v>
      </c>
      <c r="AQ13" s="26" t="n">
        <f aca="false">IF(AND(Ext_Flag="Yes",$AA13="Yes"),Ext_Months,0)</f>
        <v>12</v>
      </c>
      <c r="AR13" s="70" t="n">
        <f aca="false">$AP13+$AQ13</f>
        <v>12</v>
      </c>
      <c r="AS13" s="70" t="n">
        <f aca="false">$AR13/12</f>
        <v>1</v>
      </c>
      <c r="AT13" s="70" t="n">
        <f aca="false">IF($AJ13="",0,MAX(0,$AJ13/12))</f>
        <v>0</v>
      </c>
      <c r="AU13" s="70" t="n">
        <f aca="false">MAX(Amort_Min,Amort_Term-$AH13/12)</f>
        <v>22.1666666666667</v>
      </c>
      <c r="AV13" s="70" t="n">
        <f aca="false">MIN($AS13,Hold_Yrs)</f>
        <v>1</v>
      </c>
      <c r="AW13" s="26" t="n">
        <f aca="false">IF($AN13=0,0,CEILING(MAX($AS13,0.0001),1))</f>
        <v>1</v>
      </c>
      <c r="AX13" s="26" t="n">
        <f aca="false">IF(AND($AN13=1,MAX($AS13,0.0001)&lt;=Hold_Yrs),1,0)</f>
        <v>1</v>
      </c>
      <c r="AY13" s="71" t="n">
        <f aca="false">$R13*$AO13</f>
        <v>42352640</v>
      </c>
      <c r="AZ13" s="71" t="n">
        <f aca="false">$R13*Acc_Int*$AN13</f>
        <v>67584</v>
      </c>
      <c r="BA13" s="71" t="n">
        <f aca="false">$AY13*Acq_Cost</f>
        <v>317644.8</v>
      </c>
      <c r="BB13" s="71" t="n">
        <f aca="false">$AY13+$AZ13+$BA13</f>
        <v>42737868.8</v>
      </c>
      <c r="BC13" s="71" t="n">
        <f aca="false">IF(Fin_Flag="Yes",$AY13*Adv_Rate,0)</f>
        <v>25411584</v>
      </c>
      <c r="BD13" s="71" t="n">
        <f aca="false">$BC13*Fin_UpFee</f>
        <v>127057.92</v>
      </c>
      <c r="BE13" s="71" t="n">
        <f aca="false">$BB13-$BC13+$BD13</f>
        <v>17453342.72</v>
      </c>
    </row>
    <row r="14" customFormat="false" ht="14.25" hidden="false" customHeight="false" outlineLevel="0" collapsed="false">
      <c r="A14" s="61" t="s">
        <v>269</v>
      </c>
      <c r="B14" s="62" t="s">
        <v>270</v>
      </c>
      <c r="C14" s="61" t="s">
        <v>227</v>
      </c>
      <c r="D14" s="61" t="s">
        <v>251</v>
      </c>
      <c r="E14" s="61" t="s">
        <v>263</v>
      </c>
      <c r="F14" s="63"/>
      <c r="G14" s="64" t="n">
        <v>44835</v>
      </c>
      <c r="H14" s="64" t="n">
        <v>48488</v>
      </c>
      <c r="I14" s="63" t="n">
        <v>120</v>
      </c>
      <c r="J14" s="63" t="n">
        <v>24</v>
      </c>
      <c r="K14" s="61" t="s">
        <v>209</v>
      </c>
      <c r="L14" s="65"/>
      <c r="M14" s="65" t="n">
        <v>0.0249</v>
      </c>
      <c r="N14" s="61" t="s">
        <v>210</v>
      </c>
      <c r="O14" s="64" t="n">
        <v>46295</v>
      </c>
      <c r="P14" s="65"/>
      <c r="Q14" s="65"/>
      <c r="R14" s="66" t="n">
        <v>27710000</v>
      </c>
      <c r="S14" s="65" t="n">
        <v>0.817</v>
      </c>
      <c r="T14" s="65" t="n">
        <v>0.0839</v>
      </c>
      <c r="U14" s="67" t="n">
        <v>0.58</v>
      </c>
      <c r="V14" s="65" t="n">
        <v>0.581</v>
      </c>
      <c r="W14" s="65" t="n">
        <v>0.613</v>
      </c>
      <c r="X14" s="63" t="n">
        <v>2007</v>
      </c>
      <c r="Y14" s="63"/>
      <c r="Z14" s="61" t="s">
        <v>211</v>
      </c>
      <c r="AA14" s="61" t="s">
        <v>238</v>
      </c>
      <c r="AB14" s="61" t="s">
        <v>231</v>
      </c>
      <c r="AC14" s="61" t="s">
        <v>213</v>
      </c>
      <c r="AD14" s="61" t="s">
        <v>260</v>
      </c>
      <c r="AE14" s="61" t="s">
        <v>215</v>
      </c>
      <c r="AF14" s="61" t="s">
        <v>216</v>
      </c>
      <c r="AG14" s="61" t="s">
        <v>217</v>
      </c>
      <c r="AH14" s="68" t="n">
        <f aca="false">IF(G14="",0,ROUND((Strats!$C$4-G14)/30.4375,1))</f>
        <v>48</v>
      </c>
      <c r="AI14" s="69" t="n">
        <f aca="false">IF(K14="",0,IF(K14="Floating",Strats!$C$10+M14,L14))</f>
        <v>0.0699</v>
      </c>
      <c r="AJ14" s="68" t="n">
        <f aca="false">IF(OR(Z14="",Z14="Full Amortizing"),"",MAX(J14-AH14,0))</f>
        <v>0</v>
      </c>
      <c r="AK14" s="69" t="n">
        <f aca="false">IF(K14="",0,IF(K14="Floating",IF(P14&lt;&gt;"",MIN(IF(Q14&lt;&gt;"",MAX((Strats!$C$10+Strats!$C$11+M14),Q14),(Strats!$C$10+Strats!$C$11+M14)),P14),IF(Q14&lt;&gt;"",MAX((Strats!$C$10+Strats!$C$11+M14),Q14),(Strats!$C$10+Strats!$C$11+M14))),AI14))</f>
        <v>0.0849</v>
      </c>
      <c r="AL14" s="68" t="str">
        <f aca="false">IF(OR(E14="",E14&lt;&gt;'Deal Strat'!$C$12,R14=""),"",SUMPRODUCT((E$4:E$303='Deal Strat'!$C$12)*(R$4:R$303&gt;R14))+1+SUMPRODUCT((E$4:E$303='Deal Strat'!$C$12)*(R$4:R$303=R14)*(ROW(R$4:R$303)&lt;ROW(R14))))</f>
        <v/>
      </c>
      <c r="AM14" s="68" t="n">
        <f aca="false">IF(R14="","",RANK(R14,$R$4:$R$303,0)+COUNTIF($R$4:R14,R14)-1)</f>
        <v>31</v>
      </c>
      <c r="AN14" s="26" t="n">
        <f aca="false">IF(OR($A14="",$R14=""),0,IF(Deal_Scope="All Deals",1,IF($E14=Deal_Scope,1,0)))</f>
        <v>1</v>
      </c>
      <c r="AO14" s="56" t="n">
        <f aca="false">IF($AN14=0,0,Px_Par)</f>
        <v>0.94</v>
      </c>
      <c r="AP14" s="70" t="n">
        <f aca="false">IF($H14="",0,MAX(0,($H14-Set_Date)/30.4375))</f>
        <v>72.0492813141684</v>
      </c>
      <c r="AQ14" s="26" t="n">
        <f aca="false">IF(AND(Ext_Flag="Yes",$AA14="Yes"),Ext_Months,0)</f>
        <v>0</v>
      </c>
      <c r="AR14" s="70" t="n">
        <f aca="false">$AP14+$AQ14</f>
        <v>72.0492813141684</v>
      </c>
      <c r="AS14" s="70" t="n">
        <f aca="false">$AR14/12</f>
        <v>6.0041067761807</v>
      </c>
      <c r="AT14" s="70" t="n">
        <f aca="false">IF($AJ14="",0,MAX(0,$AJ14/12))</f>
        <v>0</v>
      </c>
      <c r="AU14" s="70" t="n">
        <f aca="false">MAX(Amort_Min,Amort_Term-$AH14/12)</f>
        <v>26</v>
      </c>
      <c r="AV14" s="70" t="n">
        <f aca="false">MIN($AS14,Hold_Yrs)</f>
        <v>5</v>
      </c>
      <c r="AW14" s="26" t="n">
        <f aca="false">IF($AN14=0,0,CEILING(MAX($AS14,0.0001),1))</f>
        <v>7</v>
      </c>
      <c r="AX14" s="26" t="n">
        <f aca="false">IF(AND($AN14=1,MAX($AS14,0.0001)&lt;=Hold_Yrs),1,0)</f>
        <v>0</v>
      </c>
      <c r="AY14" s="71" t="n">
        <f aca="false">$R14*$AO14</f>
        <v>26047400</v>
      </c>
      <c r="AZ14" s="71" t="n">
        <f aca="false">$R14*Acc_Int*$AN14</f>
        <v>41565</v>
      </c>
      <c r="BA14" s="71" t="n">
        <f aca="false">$AY14*Acq_Cost</f>
        <v>195355.5</v>
      </c>
      <c r="BB14" s="71" t="n">
        <f aca="false">$AY14+$AZ14+$BA14</f>
        <v>26284320.5</v>
      </c>
      <c r="BC14" s="71" t="n">
        <f aca="false">IF(Fin_Flag="Yes",$AY14*Adv_Rate,0)</f>
        <v>15628440</v>
      </c>
      <c r="BD14" s="71" t="n">
        <f aca="false">$BC14*Fin_UpFee</f>
        <v>78142.2</v>
      </c>
      <c r="BE14" s="71" t="n">
        <f aca="false">$BB14-$BC14+$BD14</f>
        <v>10734022.7</v>
      </c>
    </row>
    <row r="15" customFormat="false" ht="14.25" hidden="false" customHeight="false" outlineLevel="0" collapsed="false">
      <c r="A15" s="61" t="s">
        <v>271</v>
      </c>
      <c r="B15" s="62" t="s">
        <v>272</v>
      </c>
      <c r="C15" s="61" t="s">
        <v>256</v>
      </c>
      <c r="D15" s="61" t="s">
        <v>207</v>
      </c>
      <c r="E15" s="61" t="s">
        <v>229</v>
      </c>
      <c r="F15" s="63"/>
      <c r="G15" s="64" t="n">
        <v>43952</v>
      </c>
      <c r="H15" s="64" t="n">
        <v>46508</v>
      </c>
      <c r="I15" s="63" t="n">
        <v>85</v>
      </c>
      <c r="J15" s="63" t="n">
        <v>36</v>
      </c>
      <c r="K15" s="61" t="s">
        <v>245</v>
      </c>
      <c r="L15" s="65" t="n">
        <v>0.0557</v>
      </c>
      <c r="M15" s="65"/>
      <c r="N15" s="61" t="s">
        <v>246</v>
      </c>
      <c r="O15" s="64"/>
      <c r="P15" s="65"/>
      <c r="Q15" s="65"/>
      <c r="R15" s="66" t="n">
        <v>5654000</v>
      </c>
      <c r="S15" s="65" t="n">
        <v>0.842</v>
      </c>
      <c r="T15" s="65" t="n">
        <v>0.0426</v>
      </c>
      <c r="U15" s="67" t="n">
        <v>1.44</v>
      </c>
      <c r="V15" s="65" t="n">
        <v>0.703</v>
      </c>
      <c r="W15" s="65" t="n">
        <v>0.753</v>
      </c>
      <c r="X15" s="63" t="n">
        <v>1975</v>
      </c>
      <c r="Y15" s="63"/>
      <c r="Z15" s="61" t="s">
        <v>211</v>
      </c>
      <c r="AA15" s="61" t="s">
        <v>87</v>
      </c>
      <c r="AB15" s="61" t="s">
        <v>231</v>
      </c>
      <c r="AC15" s="61" t="s">
        <v>213</v>
      </c>
      <c r="AD15" s="61" t="s">
        <v>214</v>
      </c>
      <c r="AE15" s="61" t="s">
        <v>239</v>
      </c>
      <c r="AF15" s="61" t="s">
        <v>216</v>
      </c>
      <c r="AG15" s="61" t="s">
        <v>217</v>
      </c>
      <c r="AH15" s="68" t="n">
        <f aca="false">IF(G15="",0,ROUND((Strats!$C$4-G15)/30.4375,1))</f>
        <v>77</v>
      </c>
      <c r="AI15" s="69" t="n">
        <f aca="false">IF(K15="",0,IF(K15="Floating",Strats!$C$10+M15,L15))</f>
        <v>0.0557</v>
      </c>
      <c r="AJ15" s="68" t="n">
        <f aca="false">IF(OR(Z15="",Z15="Full Amortizing"),"",MAX(J15-AH15,0))</f>
        <v>0</v>
      </c>
      <c r="AK15" s="69" t="n">
        <f aca="false">IF(K15="",0,IF(K15="Floating",IF(P15&lt;&gt;"",MIN(IF(Q15&lt;&gt;"",MAX((Strats!$C$10+Strats!$C$11+M15),Q15),(Strats!$C$10+Strats!$C$11+M15)),P15),IF(Q15&lt;&gt;"",MAX((Strats!$C$10+Strats!$C$11+M15),Q15),(Strats!$C$10+Strats!$C$11+M15))),AI15))</f>
        <v>0.0557</v>
      </c>
      <c r="AL15" s="68" t="str">
        <f aca="false">IF(OR(E15="",E15&lt;&gt;'Deal Strat'!$C$12,R15=""),"",SUMPRODUCT((E$4:E$303='Deal Strat'!$C$12)*(R$4:R$303&gt;R15))+1+SUMPRODUCT((E$4:E$303='Deal Strat'!$C$12)*(R$4:R$303=R15)*(ROW(R$4:R$303)&lt;ROW(R15))))</f>
        <v/>
      </c>
      <c r="AM15" s="68" t="n">
        <f aca="false">IF(R15="","",RANK(R15,$R$4:$R$303,0)+COUNTIF($R$4:R15,R15)-1)</f>
        <v>44</v>
      </c>
      <c r="AN15" s="26" t="n">
        <f aca="false">IF(OR($A15="",$R15=""),0,IF(Deal_Scope="All Deals",1,IF($E15=Deal_Scope,1,0)))</f>
        <v>1</v>
      </c>
      <c r="AO15" s="56" t="n">
        <f aca="false">IF($AN15=0,0,Px_Par)</f>
        <v>0.94</v>
      </c>
      <c r="AP15" s="70" t="n">
        <f aca="false">IF($H15="",0,MAX(0,($H15-Set_Date)/30.4375))</f>
        <v>6.99794661190965</v>
      </c>
      <c r="AQ15" s="26" t="n">
        <f aca="false">IF(AND(Ext_Flag="Yes",$AA15="Yes"),Ext_Months,0)</f>
        <v>12</v>
      </c>
      <c r="AR15" s="70" t="n">
        <f aca="false">$AP15+$AQ15</f>
        <v>18.9979466119097</v>
      </c>
      <c r="AS15" s="70" t="n">
        <f aca="false">$AR15/12</f>
        <v>1.58316221765914</v>
      </c>
      <c r="AT15" s="70" t="n">
        <f aca="false">IF($AJ15="",0,MAX(0,$AJ15/12))</f>
        <v>0</v>
      </c>
      <c r="AU15" s="70" t="n">
        <f aca="false">MAX(Amort_Min,Amort_Term-$AH15/12)</f>
        <v>23.5833333333333</v>
      </c>
      <c r="AV15" s="70" t="n">
        <f aca="false">MIN($AS15,Hold_Yrs)</f>
        <v>1.58316221765914</v>
      </c>
      <c r="AW15" s="26" t="n">
        <f aca="false">IF($AN15=0,0,CEILING(MAX($AS15,0.0001),1))</f>
        <v>2</v>
      </c>
      <c r="AX15" s="26" t="n">
        <f aca="false">IF(AND($AN15=1,MAX($AS15,0.0001)&lt;=Hold_Yrs),1,0)</f>
        <v>1</v>
      </c>
      <c r="AY15" s="71" t="n">
        <f aca="false">$R15*$AO15</f>
        <v>5314760</v>
      </c>
      <c r="AZ15" s="71" t="n">
        <f aca="false">$R15*Acc_Int*$AN15</f>
        <v>8481</v>
      </c>
      <c r="BA15" s="71" t="n">
        <f aca="false">$AY15*Acq_Cost</f>
        <v>39860.7</v>
      </c>
      <c r="BB15" s="71" t="n">
        <f aca="false">$AY15+$AZ15+$BA15</f>
        <v>5363101.7</v>
      </c>
      <c r="BC15" s="71" t="n">
        <f aca="false">IF(Fin_Flag="Yes",$AY15*Adv_Rate,0)</f>
        <v>3188856</v>
      </c>
      <c r="BD15" s="71" t="n">
        <f aca="false">$BC15*Fin_UpFee</f>
        <v>15944.28</v>
      </c>
      <c r="BE15" s="71" t="n">
        <f aca="false">$BB15-$BC15+$BD15</f>
        <v>2190189.98</v>
      </c>
    </row>
    <row r="16" customFormat="false" ht="14.25" hidden="false" customHeight="false" outlineLevel="0" collapsed="false">
      <c r="A16" s="61" t="s">
        <v>273</v>
      </c>
      <c r="B16" s="62" t="s">
        <v>270</v>
      </c>
      <c r="C16" s="61" t="s">
        <v>274</v>
      </c>
      <c r="D16" s="61" t="s">
        <v>251</v>
      </c>
      <c r="E16" s="61" t="s">
        <v>208</v>
      </c>
      <c r="F16" s="63"/>
      <c r="G16" s="64" t="n">
        <v>45108</v>
      </c>
      <c r="H16" s="64" t="n">
        <v>47665</v>
      </c>
      <c r="I16" s="63" t="n">
        <v>84</v>
      </c>
      <c r="J16" s="63" t="n">
        <v>12</v>
      </c>
      <c r="K16" s="61" t="s">
        <v>245</v>
      </c>
      <c r="L16" s="65" t="n">
        <v>0.0655</v>
      </c>
      <c r="M16" s="65"/>
      <c r="N16" s="61" t="s">
        <v>246</v>
      </c>
      <c r="O16" s="64"/>
      <c r="P16" s="65"/>
      <c r="Q16" s="65"/>
      <c r="R16" s="66" t="n">
        <v>85445000</v>
      </c>
      <c r="S16" s="65" t="n">
        <v>0.99</v>
      </c>
      <c r="T16" s="65" t="n">
        <v>0.0875</v>
      </c>
      <c r="U16" s="67" t="n">
        <v>0.79</v>
      </c>
      <c r="V16" s="65" t="n">
        <v>0.577</v>
      </c>
      <c r="W16" s="65" t="n">
        <v>0.627</v>
      </c>
      <c r="X16" s="63" t="n">
        <v>2009</v>
      </c>
      <c r="Y16" s="63" t="n">
        <v>2015</v>
      </c>
      <c r="Z16" s="61" t="s">
        <v>211</v>
      </c>
      <c r="AA16" s="61" t="s">
        <v>87</v>
      </c>
      <c r="AB16" s="61" t="s">
        <v>275</v>
      </c>
      <c r="AC16" s="61" t="s">
        <v>213</v>
      </c>
      <c r="AD16" s="61" t="s">
        <v>214</v>
      </c>
      <c r="AE16" s="61" t="s">
        <v>215</v>
      </c>
      <c r="AF16" s="61" t="s">
        <v>216</v>
      </c>
      <c r="AG16" s="61" t="s">
        <v>217</v>
      </c>
      <c r="AH16" s="68" t="n">
        <f aca="false">IF(G16="",0,ROUND((Strats!$C$4-G16)/30.4375,1))</f>
        <v>39</v>
      </c>
      <c r="AI16" s="69" t="n">
        <f aca="false">IF(K16="",0,IF(K16="Floating",Strats!$C$10+M16,L16))</f>
        <v>0.0655</v>
      </c>
      <c r="AJ16" s="68" t="n">
        <f aca="false">IF(OR(Z16="",Z16="Full Amortizing"),"",MAX(J16-AH16,0))</f>
        <v>0</v>
      </c>
      <c r="AK16" s="69" t="n">
        <f aca="false">IF(K16="",0,IF(K16="Floating",IF(P16&lt;&gt;"",MIN(IF(Q16&lt;&gt;"",MAX((Strats!$C$10+Strats!$C$11+M16),Q16),(Strats!$C$10+Strats!$C$11+M16)),P16),IF(Q16&lt;&gt;"",MAX((Strats!$C$10+Strats!$C$11+M16),Q16),(Strats!$C$10+Strats!$C$11+M16))),AI16))</f>
        <v>0.0655</v>
      </c>
      <c r="AL16" s="68" t="str">
        <f aca="false">IF(OR(E16="",E16&lt;&gt;'Deal Strat'!$C$12,R16=""),"",SUMPRODUCT((E$4:E$303='Deal Strat'!$C$12)*(R$4:R$303&gt;R16))+1+SUMPRODUCT((E$4:E$303='Deal Strat'!$C$12)*(R$4:R$303=R16)*(ROW(R$4:R$303)&lt;ROW(R16))))</f>
        <v/>
      </c>
      <c r="AM16" s="68" t="n">
        <f aca="false">IF(R16="","",RANK(R16,$R$4:$R$303,0)+COUNTIF($R$4:R16,R16)-1)</f>
        <v>12</v>
      </c>
      <c r="AN16" s="26" t="n">
        <f aca="false">IF(OR($A16="",$R16=""),0,IF(Deal_Scope="All Deals",1,IF($E16=Deal_Scope,1,0)))</f>
        <v>1</v>
      </c>
      <c r="AO16" s="56" t="n">
        <f aca="false">IF($AN16=0,0,Px_Par)</f>
        <v>0.94</v>
      </c>
      <c r="AP16" s="70" t="n">
        <f aca="false">IF($H16="",0,MAX(0,($H16-Set_Date)/30.4375))</f>
        <v>45.0102669404517</v>
      </c>
      <c r="AQ16" s="26" t="n">
        <f aca="false">IF(AND(Ext_Flag="Yes",$AA16="Yes"),Ext_Months,0)</f>
        <v>12</v>
      </c>
      <c r="AR16" s="70" t="n">
        <f aca="false">$AP16+$AQ16</f>
        <v>57.0102669404517</v>
      </c>
      <c r="AS16" s="70" t="n">
        <f aca="false">$AR16/12</f>
        <v>4.75085557837098</v>
      </c>
      <c r="AT16" s="70" t="n">
        <f aca="false">IF($AJ16="",0,MAX(0,$AJ16/12))</f>
        <v>0</v>
      </c>
      <c r="AU16" s="70" t="n">
        <f aca="false">MAX(Amort_Min,Amort_Term-$AH16/12)</f>
        <v>26.75</v>
      </c>
      <c r="AV16" s="70" t="n">
        <f aca="false">MIN($AS16,Hold_Yrs)</f>
        <v>4.75085557837098</v>
      </c>
      <c r="AW16" s="26" t="n">
        <f aca="false">IF($AN16=0,0,CEILING(MAX($AS16,0.0001),1))</f>
        <v>5</v>
      </c>
      <c r="AX16" s="26" t="n">
        <f aca="false">IF(AND($AN16=1,MAX($AS16,0.0001)&lt;=Hold_Yrs),1,0)</f>
        <v>1</v>
      </c>
      <c r="AY16" s="71" t="n">
        <f aca="false">$R16*$AO16</f>
        <v>80318300</v>
      </c>
      <c r="AZ16" s="71" t="n">
        <f aca="false">$R16*Acc_Int*$AN16</f>
        <v>128167.5</v>
      </c>
      <c r="BA16" s="71" t="n">
        <f aca="false">$AY16*Acq_Cost</f>
        <v>602387.25</v>
      </c>
      <c r="BB16" s="71" t="n">
        <f aca="false">$AY16+$AZ16+$BA16</f>
        <v>81048854.75</v>
      </c>
      <c r="BC16" s="71" t="n">
        <f aca="false">IF(Fin_Flag="Yes",$AY16*Adv_Rate,0)</f>
        <v>48190980</v>
      </c>
      <c r="BD16" s="71" t="n">
        <f aca="false">$BC16*Fin_UpFee</f>
        <v>240954.9</v>
      </c>
      <c r="BE16" s="71" t="n">
        <f aca="false">$BB16-$BC16+$BD16</f>
        <v>33098829.65</v>
      </c>
    </row>
    <row r="17" customFormat="false" ht="14.25" hidden="false" customHeight="false" outlineLevel="0" collapsed="false">
      <c r="A17" s="61" t="s">
        <v>276</v>
      </c>
      <c r="B17" s="62" t="s">
        <v>277</v>
      </c>
      <c r="C17" s="61" t="s">
        <v>235</v>
      </c>
      <c r="D17" s="61" t="s">
        <v>228</v>
      </c>
      <c r="E17" s="61" t="s">
        <v>244</v>
      </c>
      <c r="F17" s="63" t="n">
        <v>161</v>
      </c>
      <c r="G17" s="64" t="n">
        <v>45231</v>
      </c>
      <c r="H17" s="64" t="n">
        <v>47788</v>
      </c>
      <c r="I17" s="63" t="n">
        <v>84</v>
      </c>
      <c r="J17" s="63" t="n">
        <v>36</v>
      </c>
      <c r="K17" s="61" t="s">
        <v>245</v>
      </c>
      <c r="L17" s="65" t="n">
        <v>0.0504</v>
      </c>
      <c r="M17" s="65"/>
      <c r="N17" s="61" t="s">
        <v>246</v>
      </c>
      <c r="O17" s="64"/>
      <c r="P17" s="65"/>
      <c r="Q17" s="65"/>
      <c r="R17" s="66" t="n">
        <v>128291000</v>
      </c>
      <c r="S17" s="65" t="n">
        <v>0.802</v>
      </c>
      <c r="T17" s="65" t="n">
        <v>0.095</v>
      </c>
      <c r="U17" s="67" t="n">
        <v>1.98</v>
      </c>
      <c r="V17" s="65" t="n">
        <v>0.693</v>
      </c>
      <c r="W17" s="65" t="n">
        <v>0.722</v>
      </c>
      <c r="X17" s="63" t="n">
        <v>1974</v>
      </c>
      <c r="Y17" s="63"/>
      <c r="Z17" s="61" t="s">
        <v>211</v>
      </c>
      <c r="AA17" s="61" t="s">
        <v>87</v>
      </c>
      <c r="AB17" s="61" t="s">
        <v>212</v>
      </c>
      <c r="AC17" s="61" t="s">
        <v>213</v>
      </c>
      <c r="AD17" s="61" t="s">
        <v>232</v>
      </c>
      <c r="AE17" s="61" t="s">
        <v>215</v>
      </c>
      <c r="AF17" s="61" t="s">
        <v>216</v>
      </c>
      <c r="AG17" s="61" t="s">
        <v>265</v>
      </c>
      <c r="AH17" s="68" t="n">
        <f aca="false">IF(G17="",0,ROUND((Strats!$C$4-G17)/30.4375,1))</f>
        <v>35</v>
      </c>
      <c r="AI17" s="69" t="n">
        <f aca="false">IF(K17="",0,IF(K17="Floating",Strats!$C$10+M17,L17))</f>
        <v>0.0504</v>
      </c>
      <c r="AJ17" s="68" t="n">
        <f aca="false">IF(OR(Z17="",Z17="Full Amortizing"),"",MAX(J17-AH17,0))</f>
        <v>1</v>
      </c>
      <c r="AK17" s="69" t="n">
        <f aca="false">IF(K17="",0,IF(K17="Floating",IF(P17&lt;&gt;"",MIN(IF(Q17&lt;&gt;"",MAX((Strats!$C$10+Strats!$C$11+M17),Q17),(Strats!$C$10+Strats!$C$11+M17)),P17),IF(Q17&lt;&gt;"",MAX((Strats!$C$10+Strats!$C$11+M17),Q17),(Strats!$C$10+Strats!$C$11+M17))),AI17))</f>
        <v>0.0504</v>
      </c>
      <c r="AL17" s="68" t="str">
        <f aca="false">IF(OR(E17="",E17&lt;&gt;'Deal Strat'!$C$12,R17=""),"",SUMPRODUCT((E$4:E$303='Deal Strat'!$C$12)*(R$4:R$303&gt;R17))+1+SUMPRODUCT((E$4:E$303='Deal Strat'!$C$12)*(R$4:R$303=R17)*(ROW(R$4:R$303)&lt;ROW(R17))))</f>
        <v/>
      </c>
      <c r="AM17" s="68" t="n">
        <f aca="false">IF(R17="","",RANK(R17,$R$4:$R$303,0)+COUNTIF($R$4:R17,R17)-1)</f>
        <v>3</v>
      </c>
      <c r="AN17" s="26" t="n">
        <f aca="false">IF(OR($A17="",$R17=""),0,IF(Deal_Scope="All Deals",1,IF($E17=Deal_Scope,1,0)))</f>
        <v>1</v>
      </c>
      <c r="AO17" s="56" t="n">
        <f aca="false">IF($AN17=0,0,Px_Par)</f>
        <v>0.94</v>
      </c>
      <c r="AP17" s="70" t="n">
        <f aca="false">IF($H17="",0,MAX(0,($H17-Set_Date)/30.4375))</f>
        <v>49.0513347022587</v>
      </c>
      <c r="AQ17" s="26" t="n">
        <f aca="false">IF(AND(Ext_Flag="Yes",$AA17="Yes"),Ext_Months,0)</f>
        <v>12</v>
      </c>
      <c r="AR17" s="70" t="n">
        <f aca="false">$AP17+$AQ17</f>
        <v>61.0513347022587</v>
      </c>
      <c r="AS17" s="70" t="n">
        <f aca="false">$AR17/12</f>
        <v>5.08761122518823</v>
      </c>
      <c r="AT17" s="70" t="n">
        <f aca="false">IF($AJ17="",0,MAX(0,$AJ17/12))</f>
        <v>0.0833333333333333</v>
      </c>
      <c r="AU17" s="70" t="n">
        <f aca="false">MAX(Amort_Min,Amort_Term-$AH17/12)</f>
        <v>27.0833333333333</v>
      </c>
      <c r="AV17" s="70" t="n">
        <f aca="false">MIN($AS17,Hold_Yrs)</f>
        <v>5</v>
      </c>
      <c r="AW17" s="26" t="n">
        <f aca="false">IF($AN17=0,0,CEILING(MAX($AS17,0.0001),1))</f>
        <v>6</v>
      </c>
      <c r="AX17" s="26" t="n">
        <f aca="false">IF(AND($AN17=1,MAX($AS17,0.0001)&lt;=Hold_Yrs),1,0)</f>
        <v>0</v>
      </c>
      <c r="AY17" s="71" t="n">
        <f aca="false">$R17*$AO17</f>
        <v>120593540</v>
      </c>
      <c r="AZ17" s="71" t="n">
        <f aca="false">$R17*Acc_Int*$AN17</f>
        <v>192436.5</v>
      </c>
      <c r="BA17" s="71" t="n">
        <f aca="false">$AY17*Acq_Cost</f>
        <v>904451.55</v>
      </c>
      <c r="BB17" s="71" t="n">
        <f aca="false">$AY17+$AZ17+$BA17</f>
        <v>121690428.05</v>
      </c>
      <c r="BC17" s="71" t="n">
        <f aca="false">IF(Fin_Flag="Yes",$AY17*Adv_Rate,0)</f>
        <v>72356124</v>
      </c>
      <c r="BD17" s="71" t="n">
        <f aca="false">$BC17*Fin_UpFee</f>
        <v>361780.62</v>
      </c>
      <c r="BE17" s="71" t="n">
        <f aca="false">$BB17-$BC17+$BD17</f>
        <v>49696084.67</v>
      </c>
    </row>
    <row r="18" customFormat="false" ht="14.25" hidden="false" customHeight="false" outlineLevel="0" collapsed="false">
      <c r="A18" s="61" t="s">
        <v>278</v>
      </c>
      <c r="B18" s="62" t="s">
        <v>279</v>
      </c>
      <c r="C18" s="61" t="s">
        <v>206</v>
      </c>
      <c r="D18" s="61" t="s">
        <v>236</v>
      </c>
      <c r="E18" s="61" t="s">
        <v>229</v>
      </c>
      <c r="F18" s="63"/>
      <c r="G18" s="64" t="n">
        <v>45566</v>
      </c>
      <c r="H18" s="64" t="n">
        <v>48122</v>
      </c>
      <c r="I18" s="63" t="n">
        <v>85</v>
      </c>
      <c r="J18" s="63" t="n">
        <v>60</v>
      </c>
      <c r="K18" s="61" t="s">
        <v>209</v>
      </c>
      <c r="L18" s="65"/>
      <c r="M18" s="65" t="n">
        <v>0.0311</v>
      </c>
      <c r="N18" s="61" t="s">
        <v>210</v>
      </c>
      <c r="O18" s="64" t="n">
        <v>46355</v>
      </c>
      <c r="P18" s="65"/>
      <c r="Q18" s="65"/>
      <c r="R18" s="66" t="n">
        <v>131786000</v>
      </c>
      <c r="S18" s="65" t="n">
        <v>0.951</v>
      </c>
      <c r="T18" s="65" t="n">
        <v>0.1044</v>
      </c>
      <c r="U18" s="67" t="n">
        <v>1.69</v>
      </c>
      <c r="V18" s="65" t="n">
        <v>0.78</v>
      </c>
      <c r="W18" s="65" t="n">
        <v>0.791</v>
      </c>
      <c r="X18" s="63" t="n">
        <v>1990</v>
      </c>
      <c r="Y18" s="63" t="n">
        <v>1995</v>
      </c>
      <c r="Z18" s="61" t="s">
        <v>247</v>
      </c>
      <c r="AA18" s="61" t="s">
        <v>87</v>
      </c>
      <c r="AB18" s="61" t="s">
        <v>212</v>
      </c>
      <c r="AC18" s="61" t="s">
        <v>213</v>
      </c>
      <c r="AD18" s="61" t="s">
        <v>214</v>
      </c>
      <c r="AE18" s="61" t="s">
        <v>215</v>
      </c>
      <c r="AF18" s="61" t="s">
        <v>216</v>
      </c>
      <c r="AG18" s="61" t="s">
        <v>217</v>
      </c>
      <c r="AH18" s="68" t="n">
        <f aca="false">IF(G18="",0,ROUND((Strats!$C$4-G18)/30.4375,1))</f>
        <v>24</v>
      </c>
      <c r="AI18" s="69" t="n">
        <f aca="false">IF(K18="",0,IF(K18="Floating",Strats!$C$10+M18,L18))</f>
        <v>0.0761</v>
      </c>
      <c r="AJ18" s="68" t="n">
        <f aca="false">IF(OR(Z18="",Z18="Full Amortizing"),"",MAX(J18-AH18,0))</f>
        <v>36</v>
      </c>
      <c r="AK18" s="69" t="n">
        <f aca="false">IF(K18="",0,IF(K18="Floating",IF(P18&lt;&gt;"",MIN(IF(Q18&lt;&gt;"",MAX((Strats!$C$10+Strats!$C$11+M18),Q18),(Strats!$C$10+Strats!$C$11+M18)),P18),IF(Q18&lt;&gt;"",MAX((Strats!$C$10+Strats!$C$11+M18),Q18),(Strats!$C$10+Strats!$C$11+M18))),AI18))</f>
        <v>0.0911</v>
      </c>
      <c r="AL18" s="68" t="str">
        <f aca="false">IF(OR(E18="",E18&lt;&gt;'Deal Strat'!$C$12,R18=""),"",SUMPRODUCT((E$4:E$303='Deal Strat'!$C$12)*(R$4:R$303&gt;R18))+1+SUMPRODUCT((E$4:E$303='Deal Strat'!$C$12)*(R$4:R$303=R18)*(ROW(R$4:R$303)&lt;ROW(R18))))</f>
        <v/>
      </c>
      <c r="AM18" s="68" t="n">
        <f aca="false">IF(R18="","",RANK(R18,$R$4:$R$303,0)+COUNTIF($R$4:R18,R18)-1)</f>
        <v>2</v>
      </c>
      <c r="AN18" s="26" t="n">
        <f aca="false">IF(OR($A18="",$R18=""),0,IF(Deal_Scope="All Deals",1,IF($E18=Deal_Scope,1,0)))</f>
        <v>1</v>
      </c>
      <c r="AO18" s="56" t="n">
        <f aca="false">IF($AN18=0,0,Px_Par)</f>
        <v>0.94</v>
      </c>
      <c r="AP18" s="70" t="n">
        <f aca="false">IF($H18="",0,MAX(0,($H18-Set_Date)/30.4375))</f>
        <v>60.0246406570842</v>
      </c>
      <c r="AQ18" s="26" t="n">
        <f aca="false">IF(AND(Ext_Flag="Yes",$AA18="Yes"),Ext_Months,0)</f>
        <v>12</v>
      </c>
      <c r="AR18" s="70" t="n">
        <f aca="false">$AP18+$AQ18</f>
        <v>72.0246406570842</v>
      </c>
      <c r="AS18" s="70" t="n">
        <f aca="false">$AR18/12</f>
        <v>6.00205338809035</v>
      </c>
      <c r="AT18" s="70" t="n">
        <f aca="false">IF($AJ18="",0,MAX(0,$AJ18/12))</f>
        <v>3</v>
      </c>
      <c r="AU18" s="70" t="n">
        <f aca="false">MAX(Amort_Min,Amort_Term-$AH18/12)</f>
        <v>28</v>
      </c>
      <c r="AV18" s="70" t="n">
        <f aca="false">MIN($AS18,Hold_Yrs)</f>
        <v>5</v>
      </c>
      <c r="AW18" s="26" t="n">
        <f aca="false">IF($AN18=0,0,CEILING(MAX($AS18,0.0001),1))</f>
        <v>7</v>
      </c>
      <c r="AX18" s="26" t="n">
        <f aca="false">IF(AND($AN18=1,MAX($AS18,0.0001)&lt;=Hold_Yrs),1,0)</f>
        <v>0</v>
      </c>
      <c r="AY18" s="71" t="n">
        <f aca="false">$R18*$AO18</f>
        <v>123878840</v>
      </c>
      <c r="AZ18" s="71" t="n">
        <f aca="false">$R18*Acc_Int*$AN18</f>
        <v>197679</v>
      </c>
      <c r="BA18" s="71" t="n">
        <f aca="false">$AY18*Acq_Cost</f>
        <v>929091.3</v>
      </c>
      <c r="BB18" s="71" t="n">
        <f aca="false">$AY18+$AZ18+$BA18</f>
        <v>125005610.3</v>
      </c>
      <c r="BC18" s="71" t="n">
        <f aca="false">IF(Fin_Flag="Yes",$AY18*Adv_Rate,0)</f>
        <v>74327304</v>
      </c>
      <c r="BD18" s="71" t="n">
        <f aca="false">$BC18*Fin_UpFee</f>
        <v>371636.52</v>
      </c>
      <c r="BE18" s="71" t="n">
        <f aca="false">$BB18-$BC18+$BD18</f>
        <v>51049942.82</v>
      </c>
    </row>
    <row r="19" customFormat="false" ht="14.25" hidden="false" customHeight="false" outlineLevel="0" collapsed="false">
      <c r="A19" s="61" t="s">
        <v>280</v>
      </c>
      <c r="B19" s="62" t="s">
        <v>281</v>
      </c>
      <c r="C19" s="61" t="s">
        <v>282</v>
      </c>
      <c r="D19" s="61" t="s">
        <v>228</v>
      </c>
      <c r="E19" s="61" t="s">
        <v>263</v>
      </c>
      <c r="F19" s="63" t="n">
        <v>121</v>
      </c>
      <c r="G19" s="64" t="n">
        <v>42461</v>
      </c>
      <c r="H19" s="64" t="n">
        <v>45017</v>
      </c>
      <c r="I19" s="63" t="n">
        <v>84</v>
      </c>
      <c r="J19" s="63" t="n">
        <v>24</v>
      </c>
      <c r="K19" s="61" t="s">
        <v>209</v>
      </c>
      <c r="L19" s="65"/>
      <c r="M19" s="65" t="n">
        <v>0.0214</v>
      </c>
      <c r="N19" s="61" t="s">
        <v>210</v>
      </c>
      <c r="O19" s="64" t="n">
        <v>46355</v>
      </c>
      <c r="P19" s="65"/>
      <c r="Q19" s="65"/>
      <c r="R19" s="66" t="n">
        <v>8243000</v>
      </c>
      <c r="S19" s="65" t="n">
        <v>0.897</v>
      </c>
      <c r="T19" s="65" t="n">
        <v>0.0445</v>
      </c>
      <c r="U19" s="67" t="n">
        <v>1.69</v>
      </c>
      <c r="V19" s="65" t="n">
        <v>0.469</v>
      </c>
      <c r="W19" s="65" t="n">
        <v>0.515</v>
      </c>
      <c r="X19" s="63" t="n">
        <v>2014</v>
      </c>
      <c r="Y19" s="63"/>
      <c r="Z19" s="61" t="s">
        <v>211</v>
      </c>
      <c r="AA19" s="61" t="s">
        <v>238</v>
      </c>
      <c r="AB19" s="61" t="s">
        <v>223</v>
      </c>
      <c r="AC19" s="61" t="s">
        <v>213</v>
      </c>
      <c r="AD19" s="61" t="s">
        <v>232</v>
      </c>
      <c r="AE19" s="61" t="s">
        <v>224</v>
      </c>
      <c r="AF19" s="61" t="s">
        <v>240</v>
      </c>
      <c r="AG19" s="61" t="s">
        <v>217</v>
      </c>
      <c r="AH19" s="68" t="n">
        <f aca="false">IF(G19="",0,ROUND((Strats!$C$4-G19)/30.4375,1))</f>
        <v>126</v>
      </c>
      <c r="AI19" s="69" t="n">
        <f aca="false">IF(K19="",0,IF(K19="Floating",Strats!$C$10+M19,L19))</f>
        <v>0.0664</v>
      </c>
      <c r="AJ19" s="68" t="n">
        <f aca="false">IF(OR(Z19="",Z19="Full Amortizing"),"",MAX(J19-AH19,0))</f>
        <v>0</v>
      </c>
      <c r="AK19" s="69" t="n">
        <f aca="false">IF(K19="",0,IF(K19="Floating",IF(P19&lt;&gt;"",MIN(IF(Q19&lt;&gt;"",MAX((Strats!$C$10+Strats!$C$11+M19),Q19),(Strats!$C$10+Strats!$C$11+M19)),P19),IF(Q19&lt;&gt;"",MAX((Strats!$C$10+Strats!$C$11+M19),Q19),(Strats!$C$10+Strats!$C$11+M19))),AI19))</f>
        <v>0.0814</v>
      </c>
      <c r="AL19" s="68" t="str">
        <f aca="false">IF(OR(E19="",E19&lt;&gt;'Deal Strat'!$C$12,R19=""),"",SUMPRODUCT((E$4:E$303='Deal Strat'!$C$12)*(R$4:R$303&gt;R19))+1+SUMPRODUCT((E$4:E$303='Deal Strat'!$C$12)*(R$4:R$303=R19)*(ROW(R$4:R$303)&lt;ROW(R19))))</f>
        <v/>
      </c>
      <c r="AM19" s="68" t="n">
        <f aca="false">IF(R19="","",RANK(R19,$R$4:$R$303,0)+COUNTIF($R$4:R19,R19)-1)</f>
        <v>40</v>
      </c>
      <c r="AN19" s="26" t="n">
        <f aca="false">IF(OR($A19="",$R19=""),0,IF(Deal_Scope="All Deals",1,IF($E19=Deal_Scope,1,0)))</f>
        <v>1</v>
      </c>
      <c r="AO19" s="56" t="n">
        <f aca="false">IF($AN19=0,0,Px_Par)</f>
        <v>0.94</v>
      </c>
      <c r="AP19" s="70" t="n">
        <f aca="false">IF($H19="",0,MAX(0,($H19-Set_Date)/30.4375))</f>
        <v>0</v>
      </c>
      <c r="AQ19" s="26" t="n">
        <f aca="false">IF(AND(Ext_Flag="Yes",$AA19="Yes"),Ext_Months,0)</f>
        <v>0</v>
      </c>
      <c r="AR19" s="70" t="n">
        <f aca="false">$AP19+$AQ19</f>
        <v>0</v>
      </c>
      <c r="AS19" s="70" t="n">
        <f aca="false">$AR19/12</f>
        <v>0</v>
      </c>
      <c r="AT19" s="70" t="n">
        <f aca="false">IF($AJ19="",0,MAX(0,$AJ19/12))</f>
        <v>0</v>
      </c>
      <c r="AU19" s="70" t="n">
        <f aca="false">MAX(Amort_Min,Amort_Term-$AH19/12)</f>
        <v>19.5</v>
      </c>
      <c r="AV19" s="70" t="n">
        <f aca="false">MIN($AS19,Hold_Yrs)</f>
        <v>0</v>
      </c>
      <c r="AW19" s="26" t="n">
        <f aca="false">IF($AN19=0,0,CEILING(MAX($AS19,0.0001),1))</f>
        <v>1</v>
      </c>
      <c r="AX19" s="26" t="n">
        <f aca="false">IF(AND($AN19=1,MAX($AS19,0.0001)&lt;=Hold_Yrs),1,0)</f>
        <v>1</v>
      </c>
      <c r="AY19" s="71" t="n">
        <f aca="false">$R19*$AO19</f>
        <v>7748420</v>
      </c>
      <c r="AZ19" s="71" t="n">
        <f aca="false">$R19*Acc_Int*$AN19</f>
        <v>12364.5</v>
      </c>
      <c r="BA19" s="71" t="n">
        <f aca="false">$AY19*Acq_Cost</f>
        <v>58113.15</v>
      </c>
      <c r="BB19" s="71" t="n">
        <f aca="false">$AY19+$AZ19+$BA19</f>
        <v>7818897.65</v>
      </c>
      <c r="BC19" s="71" t="n">
        <f aca="false">IF(Fin_Flag="Yes",$AY19*Adv_Rate,0)</f>
        <v>4649052</v>
      </c>
      <c r="BD19" s="71" t="n">
        <f aca="false">$BC19*Fin_UpFee</f>
        <v>23245.26</v>
      </c>
      <c r="BE19" s="71" t="n">
        <f aca="false">$BB19-$BC19+$BD19</f>
        <v>3193090.91</v>
      </c>
    </row>
    <row r="20" customFormat="false" ht="14.25" hidden="false" customHeight="false" outlineLevel="0" collapsed="false">
      <c r="A20" s="61" t="s">
        <v>283</v>
      </c>
      <c r="B20" s="62" t="s">
        <v>284</v>
      </c>
      <c r="C20" s="61" t="s">
        <v>220</v>
      </c>
      <c r="D20" s="61" t="s">
        <v>207</v>
      </c>
      <c r="E20" s="61" t="s">
        <v>259</v>
      </c>
      <c r="F20" s="63"/>
      <c r="G20" s="64" t="n">
        <v>44440</v>
      </c>
      <c r="H20" s="64" t="n">
        <v>48092</v>
      </c>
      <c r="I20" s="63" t="n">
        <v>120</v>
      </c>
      <c r="J20" s="63" t="n">
        <v>36</v>
      </c>
      <c r="K20" s="61" t="s">
        <v>245</v>
      </c>
      <c r="L20" s="65" t="n">
        <v>0.0453</v>
      </c>
      <c r="M20" s="65"/>
      <c r="N20" s="61" t="s">
        <v>246</v>
      </c>
      <c r="O20" s="64"/>
      <c r="P20" s="65"/>
      <c r="Q20" s="65"/>
      <c r="R20" s="66" t="n">
        <v>5111000</v>
      </c>
      <c r="S20" s="65" t="n">
        <v>0.808</v>
      </c>
      <c r="T20" s="65" t="n">
        <v>0.0677</v>
      </c>
      <c r="U20" s="67" t="n">
        <v>1.55</v>
      </c>
      <c r="V20" s="65" t="n">
        <v>0.706</v>
      </c>
      <c r="W20" s="65" t="n">
        <v>0.761</v>
      </c>
      <c r="X20" s="63" t="n">
        <v>1994</v>
      </c>
      <c r="Y20" s="63"/>
      <c r="Z20" s="61" t="s">
        <v>247</v>
      </c>
      <c r="AA20" s="61" t="s">
        <v>87</v>
      </c>
      <c r="AB20" s="61" t="s">
        <v>231</v>
      </c>
      <c r="AC20" s="61" t="s">
        <v>285</v>
      </c>
      <c r="AD20" s="61" t="s">
        <v>214</v>
      </c>
      <c r="AE20" s="61" t="s">
        <v>224</v>
      </c>
      <c r="AF20" s="61" t="s">
        <v>216</v>
      </c>
      <c r="AG20" s="61" t="s">
        <v>217</v>
      </c>
      <c r="AH20" s="68" t="n">
        <f aca="false">IF(G20="",0,ROUND((Strats!$C$4-G20)/30.4375,1))</f>
        <v>60.9</v>
      </c>
      <c r="AI20" s="69" t="n">
        <f aca="false">IF(K20="",0,IF(K20="Floating",Strats!$C$10+M20,L20))</f>
        <v>0.0453</v>
      </c>
      <c r="AJ20" s="68" t="n">
        <f aca="false">IF(OR(Z20="",Z20="Full Amortizing"),"",MAX(J20-AH20,0))</f>
        <v>0</v>
      </c>
      <c r="AK20" s="69" t="n">
        <f aca="false">IF(K20="",0,IF(K20="Floating",IF(P20&lt;&gt;"",MIN(IF(Q20&lt;&gt;"",MAX((Strats!$C$10+Strats!$C$11+M20),Q20),(Strats!$C$10+Strats!$C$11+M20)),P20),IF(Q20&lt;&gt;"",MAX((Strats!$C$10+Strats!$C$11+M20),Q20),(Strats!$C$10+Strats!$C$11+M20))),AI20))</f>
        <v>0.0453</v>
      </c>
      <c r="AL20" s="68" t="str">
        <f aca="false">IF(OR(E20="",E20&lt;&gt;'Deal Strat'!$C$12,R20=""),"",SUMPRODUCT((E$4:E$303='Deal Strat'!$C$12)*(R$4:R$303&gt;R20))+1+SUMPRODUCT((E$4:E$303='Deal Strat'!$C$12)*(R$4:R$303=R20)*(ROW(R$4:R$303)&lt;ROW(R20))))</f>
        <v/>
      </c>
      <c r="AM20" s="68" t="n">
        <f aca="false">IF(R20="","",RANK(R20,$R$4:$R$303,0)+COUNTIF($R$4:R20,R20)-1)</f>
        <v>47</v>
      </c>
      <c r="AN20" s="26" t="n">
        <f aca="false">IF(OR($A20="",$R20=""),0,IF(Deal_Scope="All Deals",1,IF($E20=Deal_Scope,1,0)))</f>
        <v>1</v>
      </c>
      <c r="AO20" s="56" t="n">
        <f aca="false">IF($AN20=0,0,Px_Par)</f>
        <v>0.94</v>
      </c>
      <c r="AP20" s="70" t="n">
        <f aca="false">IF($H20="",0,MAX(0,($H20-Set_Date)/30.4375))</f>
        <v>59.0390143737166</v>
      </c>
      <c r="AQ20" s="26" t="n">
        <f aca="false">IF(AND(Ext_Flag="Yes",$AA20="Yes"),Ext_Months,0)</f>
        <v>12</v>
      </c>
      <c r="AR20" s="70" t="n">
        <f aca="false">$AP20+$AQ20</f>
        <v>71.0390143737166</v>
      </c>
      <c r="AS20" s="70" t="n">
        <f aca="false">$AR20/12</f>
        <v>5.91991786447639</v>
      </c>
      <c r="AT20" s="70" t="n">
        <f aca="false">IF($AJ20="",0,MAX(0,$AJ20/12))</f>
        <v>0</v>
      </c>
      <c r="AU20" s="70" t="n">
        <f aca="false">MAX(Amort_Min,Amort_Term-$AH20/12)</f>
        <v>24.925</v>
      </c>
      <c r="AV20" s="70" t="n">
        <f aca="false">MIN($AS20,Hold_Yrs)</f>
        <v>5</v>
      </c>
      <c r="AW20" s="26" t="n">
        <f aca="false">IF($AN20=0,0,CEILING(MAX($AS20,0.0001),1))</f>
        <v>6</v>
      </c>
      <c r="AX20" s="26" t="n">
        <f aca="false">IF(AND($AN20=1,MAX($AS20,0.0001)&lt;=Hold_Yrs),1,0)</f>
        <v>0</v>
      </c>
      <c r="AY20" s="71" t="n">
        <f aca="false">$R20*$AO20</f>
        <v>4804340</v>
      </c>
      <c r="AZ20" s="71" t="n">
        <f aca="false">$R20*Acc_Int*$AN20</f>
        <v>7666.5</v>
      </c>
      <c r="BA20" s="71" t="n">
        <f aca="false">$AY20*Acq_Cost</f>
        <v>36032.55</v>
      </c>
      <c r="BB20" s="71" t="n">
        <f aca="false">$AY20+$AZ20+$BA20</f>
        <v>4848039.05</v>
      </c>
      <c r="BC20" s="71" t="n">
        <f aca="false">IF(Fin_Flag="Yes",$AY20*Adv_Rate,0)</f>
        <v>2882604</v>
      </c>
      <c r="BD20" s="71" t="n">
        <f aca="false">$BC20*Fin_UpFee</f>
        <v>14413.02</v>
      </c>
      <c r="BE20" s="71" t="n">
        <f aca="false">$BB20-$BC20+$BD20</f>
        <v>1979848.07</v>
      </c>
    </row>
    <row r="21" customFormat="false" ht="14.25" hidden="false" customHeight="false" outlineLevel="0" collapsed="false">
      <c r="A21" s="61" t="s">
        <v>286</v>
      </c>
      <c r="B21" s="62" t="s">
        <v>287</v>
      </c>
      <c r="C21" s="61" t="s">
        <v>288</v>
      </c>
      <c r="D21" s="61" t="s">
        <v>236</v>
      </c>
      <c r="E21" s="61" t="s">
        <v>259</v>
      </c>
      <c r="F21" s="63"/>
      <c r="G21" s="64" t="n">
        <v>44256</v>
      </c>
      <c r="H21" s="64" t="n">
        <v>47908</v>
      </c>
      <c r="I21" s="63" t="n">
        <v>120</v>
      </c>
      <c r="J21" s="63" t="n">
        <v>36</v>
      </c>
      <c r="K21" s="61" t="s">
        <v>209</v>
      </c>
      <c r="L21" s="65"/>
      <c r="M21" s="65" t="n">
        <v>0.0272</v>
      </c>
      <c r="N21" s="61" t="s">
        <v>230</v>
      </c>
      <c r="O21" s="64" t="n">
        <v>46355</v>
      </c>
      <c r="P21" s="65"/>
      <c r="Q21" s="65"/>
      <c r="R21" s="66" t="n">
        <v>76728000</v>
      </c>
      <c r="S21" s="65" t="n">
        <v>0.842</v>
      </c>
      <c r="T21" s="65" t="n">
        <v>0.0861</v>
      </c>
      <c r="U21" s="67" t="n">
        <v>1.33</v>
      </c>
      <c r="V21" s="65" t="n">
        <v>0.782</v>
      </c>
      <c r="W21" s="65" t="n">
        <v>0.82</v>
      </c>
      <c r="X21" s="63" t="n">
        <v>1980</v>
      </c>
      <c r="Y21" s="63"/>
      <c r="Z21" s="61" t="s">
        <v>211</v>
      </c>
      <c r="AA21" s="61" t="s">
        <v>238</v>
      </c>
      <c r="AB21" s="61" t="s">
        <v>231</v>
      </c>
      <c r="AC21" s="61" t="s">
        <v>213</v>
      </c>
      <c r="AD21" s="61" t="s">
        <v>214</v>
      </c>
      <c r="AE21" s="61" t="s">
        <v>215</v>
      </c>
      <c r="AF21" s="61" t="s">
        <v>216</v>
      </c>
      <c r="AG21" s="61" t="s">
        <v>217</v>
      </c>
      <c r="AH21" s="68" t="n">
        <f aca="false">IF(G21="",0,ROUND((Strats!$C$4-G21)/30.4375,1))</f>
        <v>67</v>
      </c>
      <c r="AI21" s="69" t="n">
        <f aca="false">IF(K21="",0,IF(K21="Floating",Strats!$C$10+M21,L21))</f>
        <v>0.0722</v>
      </c>
      <c r="AJ21" s="68" t="n">
        <f aca="false">IF(OR(Z21="",Z21="Full Amortizing"),"",MAX(J21-AH21,0))</f>
        <v>0</v>
      </c>
      <c r="AK21" s="69" t="n">
        <f aca="false">IF(K21="",0,IF(K21="Floating",IF(P21&lt;&gt;"",MIN(IF(Q21&lt;&gt;"",MAX((Strats!$C$10+Strats!$C$11+M21),Q21),(Strats!$C$10+Strats!$C$11+M21)),P21),IF(Q21&lt;&gt;"",MAX((Strats!$C$10+Strats!$C$11+M21),Q21),(Strats!$C$10+Strats!$C$11+M21))),AI21))</f>
        <v>0.0872</v>
      </c>
      <c r="AL21" s="68" t="str">
        <f aca="false">IF(OR(E21="",E21&lt;&gt;'Deal Strat'!$C$12,R21=""),"",SUMPRODUCT((E$4:E$303='Deal Strat'!$C$12)*(R$4:R$303&gt;R21))+1+SUMPRODUCT((E$4:E$303='Deal Strat'!$C$12)*(R$4:R$303=R21)*(ROW(R$4:R$303)&lt;ROW(R21))))</f>
        <v/>
      </c>
      <c r="AM21" s="68" t="n">
        <f aca="false">IF(R21="","",RANK(R21,$R$4:$R$303,0)+COUNTIF($R$4:R21,R21)-1)</f>
        <v>15</v>
      </c>
      <c r="AN21" s="26" t="n">
        <f aca="false">IF(OR($A21="",$R21=""),0,IF(Deal_Scope="All Deals",1,IF($E21=Deal_Scope,1,0)))</f>
        <v>1</v>
      </c>
      <c r="AO21" s="56" t="n">
        <f aca="false">IF($AN21=0,0,Px_Par)</f>
        <v>0.94</v>
      </c>
      <c r="AP21" s="70" t="n">
        <f aca="false">IF($H21="",0,MAX(0,($H21-Set_Date)/30.4375))</f>
        <v>52.993839835729</v>
      </c>
      <c r="AQ21" s="26" t="n">
        <f aca="false">IF(AND(Ext_Flag="Yes",$AA21="Yes"),Ext_Months,0)</f>
        <v>0</v>
      </c>
      <c r="AR21" s="70" t="n">
        <f aca="false">$AP21+$AQ21</f>
        <v>52.993839835729</v>
      </c>
      <c r="AS21" s="70" t="n">
        <f aca="false">$AR21/12</f>
        <v>4.41615331964408</v>
      </c>
      <c r="AT21" s="70" t="n">
        <f aca="false">IF($AJ21="",0,MAX(0,$AJ21/12))</f>
        <v>0</v>
      </c>
      <c r="AU21" s="70" t="n">
        <f aca="false">MAX(Amort_Min,Amort_Term-$AH21/12)</f>
        <v>24.4166666666667</v>
      </c>
      <c r="AV21" s="70" t="n">
        <f aca="false">MIN($AS21,Hold_Yrs)</f>
        <v>4.41615331964408</v>
      </c>
      <c r="AW21" s="26" t="n">
        <f aca="false">IF($AN21=0,0,CEILING(MAX($AS21,0.0001),1))</f>
        <v>5</v>
      </c>
      <c r="AX21" s="26" t="n">
        <f aca="false">IF(AND($AN21=1,MAX($AS21,0.0001)&lt;=Hold_Yrs),1,0)</f>
        <v>1</v>
      </c>
      <c r="AY21" s="71" t="n">
        <f aca="false">$R21*$AO21</f>
        <v>72124320</v>
      </c>
      <c r="AZ21" s="71" t="n">
        <f aca="false">$R21*Acc_Int*$AN21</f>
        <v>115092</v>
      </c>
      <c r="BA21" s="71" t="n">
        <f aca="false">$AY21*Acq_Cost</f>
        <v>540932.4</v>
      </c>
      <c r="BB21" s="71" t="n">
        <f aca="false">$AY21+$AZ21+$BA21</f>
        <v>72780344.4</v>
      </c>
      <c r="BC21" s="71" t="n">
        <f aca="false">IF(Fin_Flag="Yes",$AY21*Adv_Rate,0)</f>
        <v>43274592</v>
      </c>
      <c r="BD21" s="71" t="n">
        <f aca="false">$BC21*Fin_UpFee</f>
        <v>216372.96</v>
      </c>
      <c r="BE21" s="71" t="n">
        <f aca="false">$BB21-$BC21+$BD21</f>
        <v>29722125.36</v>
      </c>
    </row>
    <row r="22" customFormat="false" ht="14.25" hidden="false" customHeight="false" outlineLevel="0" collapsed="false">
      <c r="A22" s="61" t="s">
        <v>289</v>
      </c>
      <c r="B22" s="62" t="s">
        <v>290</v>
      </c>
      <c r="C22" s="61" t="s">
        <v>291</v>
      </c>
      <c r="D22" s="61" t="s">
        <v>236</v>
      </c>
      <c r="E22" s="61" t="s">
        <v>222</v>
      </c>
      <c r="F22" s="63"/>
      <c r="G22" s="64" t="n">
        <v>43617</v>
      </c>
      <c r="H22" s="64" t="n">
        <v>45444</v>
      </c>
      <c r="I22" s="63" t="n">
        <v>59</v>
      </c>
      <c r="J22" s="63" t="n">
        <v>0</v>
      </c>
      <c r="K22" s="61" t="s">
        <v>209</v>
      </c>
      <c r="L22" s="65"/>
      <c r="M22" s="65" t="n">
        <v>0.0366</v>
      </c>
      <c r="N22" s="61" t="s">
        <v>210</v>
      </c>
      <c r="O22" s="64" t="n">
        <v>46355</v>
      </c>
      <c r="P22" s="65" t="n">
        <v>0.1004</v>
      </c>
      <c r="Q22" s="65"/>
      <c r="R22" s="66" t="n">
        <v>8222000</v>
      </c>
      <c r="S22" s="65" t="n">
        <v>0.827</v>
      </c>
      <c r="T22" s="65" t="n">
        <v>0.0956</v>
      </c>
      <c r="U22" s="67" t="n">
        <v>1.31</v>
      </c>
      <c r="V22" s="65" t="n">
        <v>0.707</v>
      </c>
      <c r="W22" s="65" t="n">
        <v>0.728</v>
      </c>
      <c r="X22" s="63" t="n">
        <v>1976</v>
      </c>
      <c r="Y22" s="63" t="n">
        <v>1998</v>
      </c>
      <c r="Z22" s="61" t="s">
        <v>253</v>
      </c>
      <c r="AA22" s="61" t="s">
        <v>87</v>
      </c>
      <c r="AB22" s="61" t="s">
        <v>223</v>
      </c>
      <c r="AC22" s="61" t="s">
        <v>213</v>
      </c>
      <c r="AD22" s="61" t="s">
        <v>214</v>
      </c>
      <c r="AE22" s="61" t="s">
        <v>239</v>
      </c>
      <c r="AF22" s="61" t="s">
        <v>216</v>
      </c>
      <c r="AG22" s="61" t="s">
        <v>217</v>
      </c>
      <c r="AH22" s="68" t="n">
        <f aca="false">IF(G22="",0,ROUND((Strats!$C$4-G22)/30.4375,1))</f>
        <v>88</v>
      </c>
      <c r="AI22" s="69" t="n">
        <f aca="false">IF(K22="",0,IF(K22="Floating",Strats!$C$10+M22,L22))</f>
        <v>0.0816</v>
      </c>
      <c r="AJ22" s="68" t="str">
        <f aca="false">IF(OR(Z22="",Z22="Full Amortizing"),"",MAX(J22-AH22,0))</f>
        <v/>
      </c>
      <c r="AK22" s="69" t="n">
        <f aca="false">IF(K22="",0,IF(K22="Floating",IF(P22&lt;&gt;"",MIN(IF(Q22&lt;&gt;"",MAX((Strats!$C$10+Strats!$C$11+M22),Q22),(Strats!$C$10+Strats!$C$11+M22)),P22),IF(Q22&lt;&gt;"",MAX((Strats!$C$10+Strats!$C$11+M22),Q22),(Strats!$C$10+Strats!$C$11+M22))),AI22))</f>
        <v>0.0966</v>
      </c>
      <c r="AL22" s="68" t="str">
        <f aca="false">IF(OR(E22="",E22&lt;&gt;'Deal Strat'!$C$12,R22=""),"",SUMPRODUCT((E$4:E$303='Deal Strat'!$C$12)*(R$4:R$303&gt;R22))+1+SUMPRODUCT((E$4:E$303='Deal Strat'!$C$12)*(R$4:R$303=R22)*(ROW(R$4:R$303)&lt;ROW(R22))))</f>
        <v/>
      </c>
      <c r="AM22" s="68" t="n">
        <f aca="false">IF(R22="","",RANK(R22,$R$4:$R$303,0)+COUNTIF($R$4:R22,R22)-1)</f>
        <v>41</v>
      </c>
      <c r="AN22" s="26" t="n">
        <f aca="false">IF(OR($A22="",$R22=""),0,IF(Deal_Scope="All Deals",1,IF($E22=Deal_Scope,1,0)))</f>
        <v>1</v>
      </c>
      <c r="AO22" s="56" t="n">
        <f aca="false">IF($AN22=0,0,Px_Par)</f>
        <v>0.94</v>
      </c>
      <c r="AP22" s="70" t="n">
        <f aca="false">IF($H22="",0,MAX(0,($H22-Set_Date)/30.4375))</f>
        <v>0</v>
      </c>
      <c r="AQ22" s="26" t="n">
        <f aca="false">IF(AND(Ext_Flag="Yes",$AA22="Yes"),Ext_Months,0)</f>
        <v>12</v>
      </c>
      <c r="AR22" s="70" t="n">
        <f aca="false">$AP22+$AQ22</f>
        <v>12</v>
      </c>
      <c r="AS22" s="70" t="n">
        <f aca="false">$AR22/12</f>
        <v>1</v>
      </c>
      <c r="AT22" s="70" t="n">
        <f aca="false">IF($AJ22="",0,MAX(0,$AJ22/12))</f>
        <v>0</v>
      </c>
      <c r="AU22" s="70" t="n">
        <f aca="false">MAX(Amort_Min,Amort_Term-$AH22/12)</f>
        <v>22.6666666666667</v>
      </c>
      <c r="AV22" s="70" t="n">
        <f aca="false">MIN($AS22,Hold_Yrs)</f>
        <v>1</v>
      </c>
      <c r="AW22" s="26" t="n">
        <f aca="false">IF($AN22=0,0,CEILING(MAX($AS22,0.0001),1))</f>
        <v>1</v>
      </c>
      <c r="AX22" s="26" t="n">
        <f aca="false">IF(AND($AN22=1,MAX($AS22,0.0001)&lt;=Hold_Yrs),1,0)</f>
        <v>1</v>
      </c>
      <c r="AY22" s="71" t="n">
        <f aca="false">$R22*$AO22</f>
        <v>7728680</v>
      </c>
      <c r="AZ22" s="71" t="n">
        <f aca="false">$R22*Acc_Int*$AN22</f>
        <v>12333</v>
      </c>
      <c r="BA22" s="71" t="n">
        <f aca="false">$AY22*Acq_Cost</f>
        <v>57965.1</v>
      </c>
      <c r="BB22" s="71" t="n">
        <f aca="false">$AY22+$AZ22+$BA22</f>
        <v>7798978.1</v>
      </c>
      <c r="BC22" s="71" t="n">
        <f aca="false">IF(Fin_Flag="Yes",$AY22*Adv_Rate,0)</f>
        <v>4637208</v>
      </c>
      <c r="BD22" s="71" t="n">
        <f aca="false">$BC22*Fin_UpFee</f>
        <v>23186.04</v>
      </c>
      <c r="BE22" s="71" t="n">
        <f aca="false">$BB22-$BC22+$BD22</f>
        <v>3184956.14</v>
      </c>
    </row>
    <row r="23" customFormat="false" ht="14.25" hidden="false" customHeight="false" outlineLevel="0" collapsed="false">
      <c r="A23" s="61" t="s">
        <v>292</v>
      </c>
      <c r="B23" s="62" t="s">
        <v>293</v>
      </c>
      <c r="C23" s="61" t="s">
        <v>206</v>
      </c>
      <c r="D23" s="61" t="s">
        <v>228</v>
      </c>
      <c r="E23" s="61" t="s">
        <v>244</v>
      </c>
      <c r="F23" s="63" t="n">
        <v>325</v>
      </c>
      <c r="G23" s="64" t="n">
        <v>44958</v>
      </c>
      <c r="H23" s="64" t="n">
        <v>48611</v>
      </c>
      <c r="I23" s="63" t="n">
        <v>120</v>
      </c>
      <c r="J23" s="63" t="n">
        <v>120</v>
      </c>
      <c r="K23" s="61" t="s">
        <v>209</v>
      </c>
      <c r="L23" s="65"/>
      <c r="M23" s="65" t="n">
        <v>0.0436</v>
      </c>
      <c r="N23" s="61" t="s">
        <v>210</v>
      </c>
      <c r="O23" s="64" t="n">
        <v>46295</v>
      </c>
      <c r="P23" s="65" t="n">
        <v>0.1018</v>
      </c>
      <c r="Q23" s="65"/>
      <c r="R23" s="66" t="n">
        <v>69109000</v>
      </c>
      <c r="S23" s="65" t="n">
        <v>0.916</v>
      </c>
      <c r="T23" s="65" t="n">
        <v>0.0633</v>
      </c>
      <c r="U23" s="67" t="n">
        <v>1.11</v>
      </c>
      <c r="V23" s="65" t="n">
        <v>0.641</v>
      </c>
      <c r="W23" s="65" t="n">
        <v>0.673</v>
      </c>
      <c r="X23" s="63" t="n">
        <v>2020</v>
      </c>
      <c r="Y23" s="63"/>
      <c r="Z23" s="61" t="s">
        <v>247</v>
      </c>
      <c r="AA23" s="61" t="s">
        <v>87</v>
      </c>
      <c r="AB23" s="61" t="s">
        <v>231</v>
      </c>
      <c r="AC23" s="61" t="s">
        <v>213</v>
      </c>
      <c r="AD23" s="61" t="s">
        <v>232</v>
      </c>
      <c r="AE23" s="61" t="s">
        <v>239</v>
      </c>
      <c r="AF23" s="61" t="s">
        <v>216</v>
      </c>
      <c r="AG23" s="61" t="s">
        <v>217</v>
      </c>
      <c r="AH23" s="68" t="n">
        <f aca="false">IF(G23="",0,ROUND((Strats!$C$4-G23)/30.4375,1))</f>
        <v>43.9</v>
      </c>
      <c r="AI23" s="69" t="n">
        <f aca="false">IF(K23="",0,IF(K23="Floating",Strats!$C$10+M23,L23))</f>
        <v>0.0886</v>
      </c>
      <c r="AJ23" s="68" t="n">
        <f aca="false">IF(OR(Z23="",Z23="Full Amortizing"),"",MAX(J23-AH23,0))</f>
        <v>76.1</v>
      </c>
      <c r="AK23" s="69" t="n">
        <f aca="false">IF(K23="",0,IF(K23="Floating",IF(P23&lt;&gt;"",MIN(IF(Q23&lt;&gt;"",MAX((Strats!$C$10+Strats!$C$11+M23),Q23),(Strats!$C$10+Strats!$C$11+M23)),P23),IF(Q23&lt;&gt;"",MAX((Strats!$C$10+Strats!$C$11+M23),Q23),(Strats!$C$10+Strats!$C$11+M23))),AI23))</f>
        <v>0.1018</v>
      </c>
      <c r="AL23" s="68" t="str">
        <f aca="false">IF(OR(E23="",E23&lt;&gt;'Deal Strat'!$C$12,R23=""),"",SUMPRODUCT((E$4:E$303='Deal Strat'!$C$12)*(R$4:R$303&gt;R23))+1+SUMPRODUCT((E$4:E$303='Deal Strat'!$C$12)*(R$4:R$303=R23)*(ROW(R$4:R$303)&lt;ROW(R23))))</f>
        <v/>
      </c>
      <c r="AM23" s="68" t="n">
        <f aca="false">IF(R23="","",RANK(R23,$R$4:$R$303,0)+COUNTIF($R$4:R23,R23)-1)</f>
        <v>17</v>
      </c>
      <c r="AN23" s="26" t="n">
        <f aca="false">IF(OR($A23="",$R23=""),0,IF(Deal_Scope="All Deals",1,IF($E23=Deal_Scope,1,0)))</f>
        <v>1</v>
      </c>
      <c r="AO23" s="56" t="n">
        <f aca="false">IF($AN23=0,0,Px_Par)</f>
        <v>0.94</v>
      </c>
      <c r="AP23" s="70" t="n">
        <f aca="false">IF($H23="",0,MAX(0,($H23-Set_Date)/30.4375))</f>
        <v>76.0903490759754</v>
      </c>
      <c r="AQ23" s="26" t="n">
        <f aca="false">IF(AND(Ext_Flag="Yes",$AA23="Yes"),Ext_Months,0)</f>
        <v>12</v>
      </c>
      <c r="AR23" s="70" t="n">
        <f aca="false">$AP23+$AQ23</f>
        <v>88.0903490759754</v>
      </c>
      <c r="AS23" s="70" t="n">
        <f aca="false">$AR23/12</f>
        <v>7.34086242299795</v>
      </c>
      <c r="AT23" s="70" t="n">
        <f aca="false">IF($AJ23="",0,MAX(0,$AJ23/12))</f>
        <v>6.34166666666667</v>
      </c>
      <c r="AU23" s="70" t="n">
        <f aca="false">MAX(Amort_Min,Amort_Term-$AH23/12)</f>
        <v>26.3416666666667</v>
      </c>
      <c r="AV23" s="70" t="n">
        <f aca="false">MIN($AS23,Hold_Yrs)</f>
        <v>5</v>
      </c>
      <c r="AW23" s="26" t="n">
        <f aca="false">IF($AN23=0,0,CEILING(MAX($AS23,0.0001),1))</f>
        <v>8</v>
      </c>
      <c r="AX23" s="26" t="n">
        <f aca="false">IF(AND($AN23=1,MAX($AS23,0.0001)&lt;=Hold_Yrs),1,0)</f>
        <v>0</v>
      </c>
      <c r="AY23" s="71" t="n">
        <f aca="false">$R23*$AO23</f>
        <v>64962460</v>
      </c>
      <c r="AZ23" s="71" t="n">
        <f aca="false">$R23*Acc_Int*$AN23</f>
        <v>103663.5</v>
      </c>
      <c r="BA23" s="71" t="n">
        <f aca="false">$AY23*Acq_Cost</f>
        <v>487218.45</v>
      </c>
      <c r="BB23" s="71" t="n">
        <f aca="false">$AY23+$AZ23+$BA23</f>
        <v>65553341.95</v>
      </c>
      <c r="BC23" s="71" t="n">
        <f aca="false">IF(Fin_Flag="Yes",$AY23*Adv_Rate,0)</f>
        <v>38977476</v>
      </c>
      <c r="BD23" s="71" t="n">
        <f aca="false">$BC23*Fin_UpFee</f>
        <v>194887.38</v>
      </c>
      <c r="BE23" s="71" t="n">
        <f aca="false">$BB23-$BC23+$BD23</f>
        <v>26770753.33</v>
      </c>
    </row>
    <row r="24" customFormat="false" ht="14.25" hidden="false" customHeight="false" outlineLevel="0" collapsed="false">
      <c r="A24" s="61" t="s">
        <v>294</v>
      </c>
      <c r="B24" s="62" t="s">
        <v>295</v>
      </c>
      <c r="C24" s="61" t="s">
        <v>268</v>
      </c>
      <c r="D24" s="61" t="s">
        <v>207</v>
      </c>
      <c r="E24" s="61" t="s">
        <v>259</v>
      </c>
      <c r="F24" s="63"/>
      <c r="G24" s="64" t="n">
        <v>44958</v>
      </c>
      <c r="H24" s="64" t="n">
        <v>47515</v>
      </c>
      <c r="I24" s="63" t="n">
        <v>84</v>
      </c>
      <c r="J24" s="63" t="n">
        <v>24</v>
      </c>
      <c r="K24" s="61" t="s">
        <v>209</v>
      </c>
      <c r="L24" s="65"/>
      <c r="M24" s="65" t="n">
        <v>0.0295</v>
      </c>
      <c r="N24" s="61" t="s">
        <v>210</v>
      </c>
      <c r="O24" s="64" t="n">
        <v>46355</v>
      </c>
      <c r="P24" s="65" t="n">
        <v>0.0843</v>
      </c>
      <c r="Q24" s="65" t="n">
        <v>0.0309</v>
      </c>
      <c r="R24" s="66" t="n">
        <v>36748000</v>
      </c>
      <c r="S24" s="65" t="n">
        <v>0.932</v>
      </c>
      <c r="T24" s="65" t="n">
        <v>0.1053</v>
      </c>
      <c r="U24" s="67" t="n">
        <v>0.9</v>
      </c>
      <c r="V24" s="65" t="n">
        <v>0.418</v>
      </c>
      <c r="W24" s="65" t="n">
        <v>0.45</v>
      </c>
      <c r="X24" s="63" t="n">
        <v>1994</v>
      </c>
      <c r="Y24" s="63"/>
      <c r="Z24" s="61" t="s">
        <v>211</v>
      </c>
      <c r="AA24" s="61" t="s">
        <v>238</v>
      </c>
      <c r="AB24" s="61" t="s">
        <v>275</v>
      </c>
      <c r="AC24" s="61" t="s">
        <v>213</v>
      </c>
      <c r="AD24" s="61" t="s">
        <v>232</v>
      </c>
      <c r="AE24" s="61" t="s">
        <v>215</v>
      </c>
      <c r="AF24" s="61" t="s">
        <v>216</v>
      </c>
      <c r="AG24" s="61" t="s">
        <v>217</v>
      </c>
      <c r="AH24" s="68" t="n">
        <f aca="false">IF(G24="",0,ROUND((Strats!$C$4-G24)/30.4375,1))</f>
        <v>43.9</v>
      </c>
      <c r="AI24" s="69" t="n">
        <f aca="false">IF(K24="",0,IF(K24="Floating",Strats!$C$10+M24,L24))</f>
        <v>0.0745</v>
      </c>
      <c r="AJ24" s="68" t="n">
        <f aca="false">IF(OR(Z24="",Z24="Full Amortizing"),"",MAX(J24-AH24,0))</f>
        <v>0</v>
      </c>
      <c r="AK24" s="69" t="n">
        <f aca="false">IF(K24="",0,IF(K24="Floating",IF(P24&lt;&gt;"",MIN(IF(Q24&lt;&gt;"",MAX((Strats!$C$10+Strats!$C$11+M24),Q24),(Strats!$C$10+Strats!$C$11+M24)),P24),IF(Q24&lt;&gt;"",MAX((Strats!$C$10+Strats!$C$11+M24),Q24),(Strats!$C$10+Strats!$C$11+M24))),AI24))</f>
        <v>0.0843</v>
      </c>
      <c r="AL24" s="68" t="str">
        <f aca="false">IF(OR(E24="",E24&lt;&gt;'Deal Strat'!$C$12,R24=""),"",SUMPRODUCT((E$4:E$303='Deal Strat'!$C$12)*(R$4:R$303&gt;R24))+1+SUMPRODUCT((E$4:E$303='Deal Strat'!$C$12)*(R$4:R$303=R24)*(ROW(R$4:R$303)&lt;ROW(R24))))</f>
        <v/>
      </c>
      <c r="AM24" s="68" t="n">
        <f aca="false">IF(R24="","",RANK(R24,$R$4:$R$303,0)+COUNTIF($R$4:R24,R24)-1)</f>
        <v>28</v>
      </c>
      <c r="AN24" s="26" t="n">
        <f aca="false">IF(OR($A24="",$R24=""),0,IF(Deal_Scope="All Deals",1,IF($E24=Deal_Scope,1,0)))</f>
        <v>1</v>
      </c>
      <c r="AO24" s="56" t="n">
        <f aca="false">IF($AN24=0,0,Px_Par)</f>
        <v>0.94</v>
      </c>
      <c r="AP24" s="70" t="n">
        <f aca="false">IF($H24="",0,MAX(0,($H24-Set_Date)/30.4375))</f>
        <v>40.082135523614</v>
      </c>
      <c r="AQ24" s="26" t="n">
        <f aca="false">IF(AND(Ext_Flag="Yes",$AA24="Yes"),Ext_Months,0)</f>
        <v>0</v>
      </c>
      <c r="AR24" s="70" t="n">
        <f aca="false">$AP24+$AQ24</f>
        <v>40.082135523614</v>
      </c>
      <c r="AS24" s="70" t="n">
        <f aca="false">$AR24/12</f>
        <v>3.34017796030116</v>
      </c>
      <c r="AT24" s="70" t="n">
        <f aca="false">IF($AJ24="",0,MAX(0,$AJ24/12))</f>
        <v>0</v>
      </c>
      <c r="AU24" s="70" t="n">
        <f aca="false">MAX(Amort_Min,Amort_Term-$AH24/12)</f>
        <v>26.3416666666667</v>
      </c>
      <c r="AV24" s="70" t="n">
        <f aca="false">MIN($AS24,Hold_Yrs)</f>
        <v>3.34017796030116</v>
      </c>
      <c r="AW24" s="26" t="n">
        <f aca="false">IF($AN24=0,0,CEILING(MAX($AS24,0.0001),1))</f>
        <v>4</v>
      </c>
      <c r="AX24" s="26" t="n">
        <f aca="false">IF(AND($AN24=1,MAX($AS24,0.0001)&lt;=Hold_Yrs),1,0)</f>
        <v>1</v>
      </c>
      <c r="AY24" s="71" t="n">
        <f aca="false">$R24*$AO24</f>
        <v>34543120</v>
      </c>
      <c r="AZ24" s="71" t="n">
        <f aca="false">$R24*Acc_Int*$AN24</f>
        <v>55122</v>
      </c>
      <c r="BA24" s="71" t="n">
        <f aca="false">$AY24*Acq_Cost</f>
        <v>259073.4</v>
      </c>
      <c r="BB24" s="71" t="n">
        <f aca="false">$AY24+$AZ24+$BA24</f>
        <v>34857315.4</v>
      </c>
      <c r="BC24" s="71" t="n">
        <f aca="false">IF(Fin_Flag="Yes",$AY24*Adv_Rate,0)</f>
        <v>20725872</v>
      </c>
      <c r="BD24" s="71" t="n">
        <f aca="false">$BC24*Fin_UpFee</f>
        <v>103629.36</v>
      </c>
      <c r="BE24" s="71" t="n">
        <f aca="false">$BB24-$BC24+$BD24</f>
        <v>14235072.76</v>
      </c>
    </row>
    <row r="25" customFormat="false" ht="14.25" hidden="false" customHeight="false" outlineLevel="0" collapsed="false">
      <c r="A25" s="61" t="s">
        <v>296</v>
      </c>
      <c r="B25" s="62" t="s">
        <v>297</v>
      </c>
      <c r="C25" s="61" t="s">
        <v>288</v>
      </c>
      <c r="D25" s="61" t="s">
        <v>228</v>
      </c>
      <c r="E25" s="61" t="s">
        <v>208</v>
      </c>
      <c r="F25" s="63" t="n">
        <v>425</v>
      </c>
      <c r="G25" s="64" t="n">
        <v>43313</v>
      </c>
      <c r="H25" s="64" t="n">
        <v>46966</v>
      </c>
      <c r="I25" s="63" t="n">
        <v>121</v>
      </c>
      <c r="J25" s="63" t="n">
        <v>0</v>
      </c>
      <c r="K25" s="61" t="s">
        <v>245</v>
      </c>
      <c r="L25" s="65" t="n">
        <v>0.0492</v>
      </c>
      <c r="M25" s="65"/>
      <c r="N25" s="61" t="s">
        <v>246</v>
      </c>
      <c r="O25" s="64"/>
      <c r="P25" s="65"/>
      <c r="Q25" s="65"/>
      <c r="R25" s="66" t="n">
        <v>7026000</v>
      </c>
      <c r="S25" s="65" t="n">
        <v>0.79</v>
      </c>
      <c r="T25" s="65" t="n">
        <v>0.0763</v>
      </c>
      <c r="U25" s="67" t="n">
        <v>1.1</v>
      </c>
      <c r="V25" s="65" t="n">
        <v>0.663</v>
      </c>
      <c r="W25" s="65" t="n">
        <v>0.69</v>
      </c>
      <c r="X25" s="63" t="n">
        <v>1986</v>
      </c>
      <c r="Y25" s="63" t="n">
        <v>1994</v>
      </c>
      <c r="Z25" s="61" t="s">
        <v>253</v>
      </c>
      <c r="AA25" s="61" t="s">
        <v>238</v>
      </c>
      <c r="AB25" s="61" t="s">
        <v>223</v>
      </c>
      <c r="AC25" s="61" t="s">
        <v>213</v>
      </c>
      <c r="AD25" s="61" t="s">
        <v>214</v>
      </c>
      <c r="AE25" s="61" t="s">
        <v>239</v>
      </c>
      <c r="AF25" s="61" t="s">
        <v>216</v>
      </c>
      <c r="AG25" s="61" t="s">
        <v>217</v>
      </c>
      <c r="AH25" s="68" t="n">
        <f aca="false">IF(G25="",0,ROUND((Strats!$C$4-G25)/30.4375,1))</f>
        <v>98</v>
      </c>
      <c r="AI25" s="69" t="n">
        <f aca="false">IF(K25="",0,IF(K25="Floating",Strats!$C$10+M25,L25))</f>
        <v>0.0492</v>
      </c>
      <c r="AJ25" s="68" t="str">
        <f aca="false">IF(OR(Z25="",Z25="Full Amortizing"),"",MAX(J25-AH25,0))</f>
        <v/>
      </c>
      <c r="AK25" s="69" t="n">
        <f aca="false">IF(K25="",0,IF(K25="Floating",IF(P25&lt;&gt;"",MIN(IF(Q25&lt;&gt;"",MAX((Strats!$C$10+Strats!$C$11+M25),Q25),(Strats!$C$10+Strats!$C$11+M25)),P25),IF(Q25&lt;&gt;"",MAX((Strats!$C$10+Strats!$C$11+M25),Q25),(Strats!$C$10+Strats!$C$11+M25))),AI25))</f>
        <v>0.0492</v>
      </c>
      <c r="AL25" s="68" t="str">
        <f aca="false">IF(OR(E25="",E25&lt;&gt;'Deal Strat'!$C$12,R25=""),"",SUMPRODUCT((E$4:E$303='Deal Strat'!$C$12)*(R$4:R$303&gt;R25))+1+SUMPRODUCT((E$4:E$303='Deal Strat'!$C$12)*(R$4:R$303=R25)*(ROW(R$4:R$303)&lt;ROW(R25))))</f>
        <v/>
      </c>
      <c r="AM25" s="68" t="n">
        <f aca="false">IF(R25="","",RANK(R25,$R$4:$R$303,0)+COUNTIF($R$4:R25,R25)-1)</f>
        <v>43</v>
      </c>
      <c r="AN25" s="26" t="n">
        <f aca="false">IF(OR($A25="",$R25=""),0,IF(Deal_Scope="All Deals",1,IF($E25=Deal_Scope,1,0)))</f>
        <v>1</v>
      </c>
      <c r="AO25" s="56" t="n">
        <f aca="false">IF($AN25=0,0,Px_Par)</f>
        <v>0.94</v>
      </c>
      <c r="AP25" s="70" t="n">
        <f aca="false">IF($H25="",0,MAX(0,($H25-Set_Date)/30.4375))</f>
        <v>22.0451745379877</v>
      </c>
      <c r="AQ25" s="26" t="n">
        <f aca="false">IF(AND(Ext_Flag="Yes",$AA25="Yes"),Ext_Months,0)</f>
        <v>0</v>
      </c>
      <c r="AR25" s="70" t="n">
        <f aca="false">$AP25+$AQ25</f>
        <v>22.0451745379877</v>
      </c>
      <c r="AS25" s="70" t="n">
        <f aca="false">$AR25/12</f>
        <v>1.83709787816564</v>
      </c>
      <c r="AT25" s="70" t="n">
        <f aca="false">IF($AJ25="",0,MAX(0,$AJ25/12))</f>
        <v>0</v>
      </c>
      <c r="AU25" s="70" t="n">
        <f aca="false">MAX(Amort_Min,Amort_Term-$AH25/12)</f>
        <v>21.8333333333333</v>
      </c>
      <c r="AV25" s="70" t="n">
        <f aca="false">MIN($AS25,Hold_Yrs)</f>
        <v>1.83709787816564</v>
      </c>
      <c r="AW25" s="26" t="n">
        <f aca="false">IF($AN25=0,0,CEILING(MAX($AS25,0.0001),1))</f>
        <v>2</v>
      </c>
      <c r="AX25" s="26" t="n">
        <f aca="false">IF(AND($AN25=1,MAX($AS25,0.0001)&lt;=Hold_Yrs),1,0)</f>
        <v>1</v>
      </c>
      <c r="AY25" s="71" t="n">
        <f aca="false">$R25*$AO25</f>
        <v>6604440</v>
      </c>
      <c r="AZ25" s="71" t="n">
        <f aca="false">$R25*Acc_Int*$AN25</f>
        <v>10539</v>
      </c>
      <c r="BA25" s="71" t="n">
        <f aca="false">$AY25*Acq_Cost</f>
        <v>49533.3</v>
      </c>
      <c r="BB25" s="71" t="n">
        <f aca="false">$AY25+$AZ25+$BA25</f>
        <v>6664512.3</v>
      </c>
      <c r="BC25" s="71" t="n">
        <f aca="false">IF(Fin_Flag="Yes",$AY25*Adv_Rate,0)</f>
        <v>3962664</v>
      </c>
      <c r="BD25" s="71" t="n">
        <f aca="false">$BC25*Fin_UpFee</f>
        <v>19813.32</v>
      </c>
      <c r="BE25" s="71" t="n">
        <f aca="false">$BB25-$BC25+$BD25</f>
        <v>2721661.62</v>
      </c>
    </row>
    <row r="26" customFormat="false" ht="14.25" hidden="false" customHeight="false" outlineLevel="0" collapsed="false">
      <c r="A26" s="61" t="s">
        <v>298</v>
      </c>
      <c r="B26" s="62" t="s">
        <v>299</v>
      </c>
      <c r="C26" s="61" t="s">
        <v>227</v>
      </c>
      <c r="D26" s="61" t="s">
        <v>236</v>
      </c>
      <c r="E26" s="61" t="s">
        <v>259</v>
      </c>
      <c r="F26" s="63"/>
      <c r="G26" s="64" t="n">
        <v>42461</v>
      </c>
      <c r="H26" s="64" t="n">
        <v>46113</v>
      </c>
      <c r="I26" s="63" t="n">
        <v>120</v>
      </c>
      <c r="J26" s="63" t="n">
        <v>60</v>
      </c>
      <c r="K26" s="61" t="s">
        <v>245</v>
      </c>
      <c r="L26" s="65" t="n">
        <v>0.0594</v>
      </c>
      <c r="M26" s="65"/>
      <c r="N26" s="61" t="s">
        <v>246</v>
      </c>
      <c r="O26" s="64"/>
      <c r="P26" s="65"/>
      <c r="Q26" s="65"/>
      <c r="R26" s="66" t="n">
        <v>76306000</v>
      </c>
      <c r="S26" s="65" t="n">
        <v>0.904</v>
      </c>
      <c r="T26" s="65" t="n">
        <v>0.0413</v>
      </c>
      <c r="U26" s="67" t="n">
        <v>1.11</v>
      </c>
      <c r="V26" s="65" t="n">
        <v>0.576</v>
      </c>
      <c r="W26" s="65" t="n">
        <v>0.608</v>
      </c>
      <c r="X26" s="63" t="n">
        <v>2009</v>
      </c>
      <c r="Y26" s="63" t="n">
        <v>2014</v>
      </c>
      <c r="Z26" s="61" t="s">
        <v>211</v>
      </c>
      <c r="AA26" s="61" t="s">
        <v>238</v>
      </c>
      <c r="AB26" s="61" t="s">
        <v>231</v>
      </c>
      <c r="AC26" s="61" t="s">
        <v>213</v>
      </c>
      <c r="AD26" s="61" t="s">
        <v>214</v>
      </c>
      <c r="AE26" s="61" t="s">
        <v>224</v>
      </c>
      <c r="AF26" s="61" t="s">
        <v>216</v>
      </c>
      <c r="AG26" s="61" t="s">
        <v>217</v>
      </c>
      <c r="AH26" s="68" t="n">
        <f aca="false">IF(G26="",0,ROUND((Strats!$C$4-G26)/30.4375,1))</f>
        <v>126</v>
      </c>
      <c r="AI26" s="69" t="n">
        <f aca="false">IF(K26="",0,IF(K26="Floating",Strats!$C$10+M26,L26))</f>
        <v>0.0594</v>
      </c>
      <c r="AJ26" s="68" t="n">
        <f aca="false">IF(OR(Z26="",Z26="Full Amortizing"),"",MAX(J26-AH26,0))</f>
        <v>0</v>
      </c>
      <c r="AK26" s="69" t="n">
        <f aca="false">IF(K26="",0,IF(K26="Floating",IF(P26&lt;&gt;"",MIN(IF(Q26&lt;&gt;"",MAX((Strats!$C$10+Strats!$C$11+M26),Q26),(Strats!$C$10+Strats!$C$11+M26)),P26),IF(Q26&lt;&gt;"",MAX((Strats!$C$10+Strats!$C$11+M26),Q26),(Strats!$C$10+Strats!$C$11+M26))),AI26))</f>
        <v>0.0594</v>
      </c>
      <c r="AL26" s="68" t="str">
        <f aca="false">IF(OR(E26="",E26&lt;&gt;'Deal Strat'!$C$12,R26=""),"",SUMPRODUCT((E$4:E$303='Deal Strat'!$C$12)*(R$4:R$303&gt;R26))+1+SUMPRODUCT((E$4:E$303='Deal Strat'!$C$12)*(R$4:R$303=R26)*(ROW(R$4:R$303)&lt;ROW(R26))))</f>
        <v/>
      </c>
      <c r="AM26" s="68" t="n">
        <f aca="false">IF(R26="","",RANK(R26,$R$4:$R$303,0)+COUNTIF($R$4:R26,R26)-1)</f>
        <v>16</v>
      </c>
      <c r="AN26" s="26" t="n">
        <f aca="false">IF(OR($A26="",$R26=""),0,IF(Deal_Scope="All Deals",1,IF($E26=Deal_Scope,1,0)))</f>
        <v>1</v>
      </c>
      <c r="AO26" s="56" t="n">
        <f aca="false">IF($AN26=0,0,Px_Par)</f>
        <v>0.94</v>
      </c>
      <c r="AP26" s="70" t="n">
        <f aca="false">IF($H26="",0,MAX(0,($H26-Set_Date)/30.4375))</f>
        <v>0</v>
      </c>
      <c r="AQ26" s="26" t="n">
        <f aca="false">IF(AND(Ext_Flag="Yes",$AA26="Yes"),Ext_Months,0)</f>
        <v>0</v>
      </c>
      <c r="AR26" s="70" t="n">
        <f aca="false">$AP26+$AQ26</f>
        <v>0</v>
      </c>
      <c r="AS26" s="70" t="n">
        <f aca="false">$AR26/12</f>
        <v>0</v>
      </c>
      <c r="AT26" s="70" t="n">
        <f aca="false">IF($AJ26="",0,MAX(0,$AJ26/12))</f>
        <v>0</v>
      </c>
      <c r="AU26" s="70" t="n">
        <f aca="false">MAX(Amort_Min,Amort_Term-$AH26/12)</f>
        <v>19.5</v>
      </c>
      <c r="AV26" s="70" t="n">
        <f aca="false">MIN($AS26,Hold_Yrs)</f>
        <v>0</v>
      </c>
      <c r="AW26" s="26" t="n">
        <f aca="false">IF($AN26=0,0,CEILING(MAX($AS26,0.0001),1))</f>
        <v>1</v>
      </c>
      <c r="AX26" s="26" t="n">
        <f aca="false">IF(AND($AN26=1,MAX($AS26,0.0001)&lt;=Hold_Yrs),1,0)</f>
        <v>1</v>
      </c>
      <c r="AY26" s="71" t="n">
        <f aca="false">$R26*$AO26</f>
        <v>71727640</v>
      </c>
      <c r="AZ26" s="71" t="n">
        <f aca="false">$R26*Acc_Int*$AN26</f>
        <v>114459</v>
      </c>
      <c r="BA26" s="71" t="n">
        <f aca="false">$AY26*Acq_Cost</f>
        <v>537957.3</v>
      </c>
      <c r="BB26" s="71" t="n">
        <f aca="false">$AY26+$AZ26+$BA26</f>
        <v>72380056.3</v>
      </c>
      <c r="BC26" s="71" t="n">
        <f aca="false">IF(Fin_Flag="Yes",$AY26*Adv_Rate,0)</f>
        <v>43036584</v>
      </c>
      <c r="BD26" s="71" t="n">
        <f aca="false">$BC26*Fin_UpFee</f>
        <v>215182.92</v>
      </c>
      <c r="BE26" s="71" t="n">
        <f aca="false">$BB26-$BC26+$BD26</f>
        <v>29558655.22</v>
      </c>
    </row>
    <row r="27" customFormat="false" ht="14.25" hidden="false" customHeight="false" outlineLevel="0" collapsed="false">
      <c r="A27" s="61" t="s">
        <v>300</v>
      </c>
      <c r="B27" s="62" t="s">
        <v>301</v>
      </c>
      <c r="C27" s="61" t="s">
        <v>302</v>
      </c>
      <c r="D27" s="61" t="s">
        <v>303</v>
      </c>
      <c r="E27" s="61" t="s">
        <v>237</v>
      </c>
      <c r="F27" s="63"/>
      <c r="G27" s="64" t="n">
        <v>45170</v>
      </c>
      <c r="H27" s="64" t="n">
        <v>47727</v>
      </c>
      <c r="I27" s="63" t="n">
        <v>85</v>
      </c>
      <c r="J27" s="63" t="n">
        <v>120</v>
      </c>
      <c r="K27" s="61" t="s">
        <v>209</v>
      </c>
      <c r="L27" s="65"/>
      <c r="M27" s="65" t="n">
        <v>0.0317</v>
      </c>
      <c r="N27" s="61" t="s">
        <v>230</v>
      </c>
      <c r="O27" s="64" t="n">
        <v>46295</v>
      </c>
      <c r="P27" s="65" t="n">
        <v>0.1027</v>
      </c>
      <c r="Q27" s="65"/>
      <c r="R27" s="66" t="n">
        <v>17633000</v>
      </c>
      <c r="S27" s="65" t="n">
        <v>0.99</v>
      </c>
      <c r="T27" s="65" t="n">
        <v>0.092</v>
      </c>
      <c r="U27" s="67" t="n">
        <v>1.18</v>
      </c>
      <c r="V27" s="65" t="n">
        <v>0.572</v>
      </c>
      <c r="W27" s="65" t="n">
        <v>0.597</v>
      </c>
      <c r="X27" s="63" t="n">
        <v>2002</v>
      </c>
      <c r="Y27" s="63" t="n">
        <v>2022</v>
      </c>
      <c r="Z27" s="61" t="s">
        <v>247</v>
      </c>
      <c r="AA27" s="61" t="s">
        <v>238</v>
      </c>
      <c r="AB27" s="61" t="s">
        <v>212</v>
      </c>
      <c r="AC27" s="61" t="s">
        <v>213</v>
      </c>
      <c r="AD27" s="61" t="s">
        <v>232</v>
      </c>
      <c r="AE27" s="61" t="s">
        <v>224</v>
      </c>
      <c r="AF27" s="61" t="s">
        <v>216</v>
      </c>
      <c r="AG27" s="61" t="s">
        <v>265</v>
      </c>
      <c r="AH27" s="68" t="n">
        <f aca="false">IF(G27="",0,ROUND((Strats!$C$4-G27)/30.4375,1))</f>
        <v>37</v>
      </c>
      <c r="AI27" s="69" t="n">
        <f aca="false">IF(K27="",0,IF(K27="Floating",Strats!$C$10+M27,L27))</f>
        <v>0.0767</v>
      </c>
      <c r="AJ27" s="68" t="n">
        <f aca="false">IF(OR(Z27="",Z27="Full Amortizing"),"",MAX(J27-AH27,0))</f>
        <v>83</v>
      </c>
      <c r="AK27" s="69" t="n">
        <f aca="false">IF(K27="",0,IF(K27="Floating",IF(P27&lt;&gt;"",MIN(IF(Q27&lt;&gt;"",MAX((Strats!$C$10+Strats!$C$11+M27),Q27),(Strats!$C$10+Strats!$C$11+M27)),P27),IF(Q27&lt;&gt;"",MAX((Strats!$C$10+Strats!$C$11+M27),Q27),(Strats!$C$10+Strats!$C$11+M27))),AI27))</f>
        <v>0.0917</v>
      </c>
      <c r="AL27" s="68" t="str">
        <f aca="false">IF(OR(E27="",E27&lt;&gt;'Deal Strat'!$C$12,R27=""),"",SUMPRODUCT((E$4:E$303='Deal Strat'!$C$12)*(R$4:R$303&gt;R27))+1+SUMPRODUCT((E$4:E$303='Deal Strat'!$C$12)*(R$4:R$303=R27)*(ROW(R$4:R$303)&lt;ROW(R27))))</f>
        <v/>
      </c>
      <c r="AM27" s="68" t="n">
        <f aca="false">IF(R27="","",RANK(R27,$R$4:$R$303,0)+COUNTIF($R$4:R27,R27)-1)</f>
        <v>32</v>
      </c>
      <c r="AN27" s="26" t="n">
        <f aca="false">IF(OR($A27="",$R27=""),0,IF(Deal_Scope="All Deals",1,IF($E27=Deal_Scope,1,0)))</f>
        <v>1</v>
      </c>
      <c r="AO27" s="56" t="n">
        <f aca="false">IF($AN27=0,0,Px_Par)</f>
        <v>0.94</v>
      </c>
      <c r="AP27" s="70" t="n">
        <f aca="false">IF($H27="",0,MAX(0,($H27-Set_Date)/30.4375))</f>
        <v>47.047227926078</v>
      </c>
      <c r="AQ27" s="26" t="n">
        <f aca="false">IF(AND(Ext_Flag="Yes",$AA27="Yes"),Ext_Months,0)</f>
        <v>0</v>
      </c>
      <c r="AR27" s="70" t="n">
        <f aca="false">$AP27+$AQ27</f>
        <v>47.047227926078</v>
      </c>
      <c r="AS27" s="70" t="n">
        <f aca="false">$AR27/12</f>
        <v>3.92060232717317</v>
      </c>
      <c r="AT27" s="70" t="n">
        <f aca="false">IF($AJ27="",0,MAX(0,$AJ27/12))</f>
        <v>6.91666666666667</v>
      </c>
      <c r="AU27" s="70" t="n">
        <f aca="false">MAX(Amort_Min,Amort_Term-$AH27/12)</f>
        <v>26.9166666666667</v>
      </c>
      <c r="AV27" s="70" t="n">
        <f aca="false">MIN($AS27,Hold_Yrs)</f>
        <v>3.92060232717317</v>
      </c>
      <c r="AW27" s="26" t="n">
        <f aca="false">IF($AN27=0,0,CEILING(MAX($AS27,0.0001),1))</f>
        <v>4</v>
      </c>
      <c r="AX27" s="26" t="n">
        <f aca="false">IF(AND($AN27=1,MAX($AS27,0.0001)&lt;=Hold_Yrs),1,0)</f>
        <v>1</v>
      </c>
      <c r="AY27" s="71" t="n">
        <f aca="false">$R27*$AO27</f>
        <v>16575020</v>
      </c>
      <c r="AZ27" s="71" t="n">
        <f aca="false">$R27*Acc_Int*$AN27</f>
        <v>26449.5</v>
      </c>
      <c r="BA27" s="71" t="n">
        <f aca="false">$AY27*Acq_Cost</f>
        <v>124312.65</v>
      </c>
      <c r="BB27" s="71" t="n">
        <f aca="false">$AY27+$AZ27+$BA27</f>
        <v>16725782.15</v>
      </c>
      <c r="BC27" s="71" t="n">
        <f aca="false">IF(Fin_Flag="Yes",$AY27*Adv_Rate,0)</f>
        <v>9945012</v>
      </c>
      <c r="BD27" s="71" t="n">
        <f aca="false">$BC27*Fin_UpFee</f>
        <v>49725.06</v>
      </c>
      <c r="BE27" s="71" t="n">
        <f aca="false">$BB27-$BC27+$BD27</f>
        <v>6830495.21</v>
      </c>
    </row>
    <row r="28" customFormat="false" ht="14.25" hidden="false" customHeight="false" outlineLevel="0" collapsed="false">
      <c r="A28" s="61" t="s">
        <v>304</v>
      </c>
      <c r="B28" s="62" t="s">
        <v>305</v>
      </c>
      <c r="C28" s="61" t="s">
        <v>306</v>
      </c>
      <c r="D28" s="61" t="s">
        <v>251</v>
      </c>
      <c r="E28" s="61" t="s">
        <v>208</v>
      </c>
      <c r="F28" s="63"/>
      <c r="G28" s="64" t="n">
        <v>44927</v>
      </c>
      <c r="H28" s="64" t="n">
        <v>47484</v>
      </c>
      <c r="I28" s="63" t="n">
        <v>83</v>
      </c>
      <c r="J28" s="63" t="n">
        <v>0</v>
      </c>
      <c r="K28" s="61" t="s">
        <v>245</v>
      </c>
      <c r="L28" s="65" t="n">
        <v>0.0526</v>
      </c>
      <c r="M28" s="65"/>
      <c r="N28" s="61" t="s">
        <v>246</v>
      </c>
      <c r="O28" s="64"/>
      <c r="P28" s="65"/>
      <c r="Q28" s="65"/>
      <c r="R28" s="66" t="n">
        <v>14773000</v>
      </c>
      <c r="S28" s="65" t="n">
        <v>0.99</v>
      </c>
      <c r="T28" s="65" t="n">
        <v>0.1206</v>
      </c>
      <c r="U28" s="67" t="n">
        <v>1.75</v>
      </c>
      <c r="V28" s="65" t="n">
        <v>0.815</v>
      </c>
      <c r="W28" s="65" t="n">
        <v>0.826</v>
      </c>
      <c r="X28" s="63" t="n">
        <v>1974</v>
      </c>
      <c r="Y28" s="63" t="n">
        <v>1999</v>
      </c>
      <c r="Z28" s="61" t="s">
        <v>253</v>
      </c>
      <c r="AA28" s="61" t="s">
        <v>238</v>
      </c>
      <c r="AB28" s="61" t="s">
        <v>223</v>
      </c>
      <c r="AC28" s="61" t="s">
        <v>213</v>
      </c>
      <c r="AD28" s="61" t="s">
        <v>214</v>
      </c>
      <c r="AE28" s="61" t="s">
        <v>224</v>
      </c>
      <c r="AF28" s="61" t="s">
        <v>216</v>
      </c>
      <c r="AG28" s="61" t="s">
        <v>217</v>
      </c>
      <c r="AH28" s="68" t="n">
        <f aca="false">IF(G28="",0,ROUND((Strats!$C$4-G28)/30.4375,1))</f>
        <v>44.9</v>
      </c>
      <c r="AI28" s="69" t="n">
        <f aca="false">IF(K28="",0,IF(K28="Floating",Strats!$C$10+M28,L28))</f>
        <v>0.0526</v>
      </c>
      <c r="AJ28" s="68" t="str">
        <f aca="false">IF(OR(Z28="",Z28="Full Amortizing"),"",MAX(J28-AH28,0))</f>
        <v/>
      </c>
      <c r="AK28" s="69" t="n">
        <f aca="false">IF(K28="",0,IF(K28="Floating",IF(P28&lt;&gt;"",MIN(IF(Q28&lt;&gt;"",MAX((Strats!$C$10+Strats!$C$11+M28),Q28),(Strats!$C$10+Strats!$C$11+M28)),P28),IF(Q28&lt;&gt;"",MAX((Strats!$C$10+Strats!$C$11+M28),Q28),(Strats!$C$10+Strats!$C$11+M28))),AI28))</f>
        <v>0.0526</v>
      </c>
      <c r="AL28" s="68" t="str">
        <f aca="false">IF(OR(E28="",E28&lt;&gt;'Deal Strat'!$C$12,R28=""),"",SUMPRODUCT((E$4:E$303='Deal Strat'!$C$12)*(R$4:R$303&gt;R28))+1+SUMPRODUCT((E$4:E$303='Deal Strat'!$C$12)*(R$4:R$303=R28)*(ROW(R$4:R$303)&lt;ROW(R28))))</f>
        <v/>
      </c>
      <c r="AM28" s="68" t="n">
        <f aca="false">IF(R28="","",RANK(R28,$R$4:$R$303,0)+COUNTIF($R$4:R28,R28)-1)</f>
        <v>34</v>
      </c>
      <c r="AN28" s="26" t="n">
        <f aca="false">IF(OR($A28="",$R28=""),0,IF(Deal_Scope="All Deals",1,IF($E28=Deal_Scope,1,0)))</f>
        <v>1</v>
      </c>
      <c r="AO28" s="56" t="n">
        <f aca="false">IF($AN28=0,0,Px_Par)</f>
        <v>0.94</v>
      </c>
      <c r="AP28" s="70" t="n">
        <f aca="false">IF($H28="",0,MAX(0,($H28-Set_Date)/30.4375))</f>
        <v>39.0636550308008</v>
      </c>
      <c r="AQ28" s="26" t="n">
        <f aca="false">IF(AND(Ext_Flag="Yes",$AA28="Yes"),Ext_Months,0)</f>
        <v>0</v>
      </c>
      <c r="AR28" s="70" t="n">
        <f aca="false">$AP28+$AQ28</f>
        <v>39.0636550308008</v>
      </c>
      <c r="AS28" s="70" t="n">
        <f aca="false">$AR28/12</f>
        <v>3.25530458590007</v>
      </c>
      <c r="AT28" s="70" t="n">
        <f aca="false">IF($AJ28="",0,MAX(0,$AJ28/12))</f>
        <v>0</v>
      </c>
      <c r="AU28" s="70" t="n">
        <f aca="false">MAX(Amort_Min,Amort_Term-$AH28/12)</f>
        <v>26.2583333333333</v>
      </c>
      <c r="AV28" s="70" t="n">
        <f aca="false">MIN($AS28,Hold_Yrs)</f>
        <v>3.25530458590007</v>
      </c>
      <c r="AW28" s="26" t="n">
        <f aca="false">IF($AN28=0,0,CEILING(MAX($AS28,0.0001),1))</f>
        <v>4</v>
      </c>
      <c r="AX28" s="26" t="n">
        <f aca="false">IF(AND($AN28=1,MAX($AS28,0.0001)&lt;=Hold_Yrs),1,0)</f>
        <v>1</v>
      </c>
      <c r="AY28" s="71" t="n">
        <f aca="false">$R28*$AO28</f>
        <v>13886620</v>
      </c>
      <c r="AZ28" s="71" t="n">
        <f aca="false">$R28*Acc_Int*$AN28</f>
        <v>22159.5</v>
      </c>
      <c r="BA28" s="71" t="n">
        <f aca="false">$AY28*Acq_Cost</f>
        <v>104149.65</v>
      </c>
      <c r="BB28" s="71" t="n">
        <f aca="false">$AY28+$AZ28+$BA28</f>
        <v>14012929.15</v>
      </c>
      <c r="BC28" s="71" t="n">
        <f aca="false">IF(Fin_Flag="Yes",$AY28*Adv_Rate,0)</f>
        <v>8331972</v>
      </c>
      <c r="BD28" s="71" t="n">
        <f aca="false">$BC28*Fin_UpFee</f>
        <v>41659.86</v>
      </c>
      <c r="BE28" s="71" t="n">
        <f aca="false">$BB28-$BC28+$BD28</f>
        <v>5722617.01</v>
      </c>
    </row>
    <row r="29" customFormat="false" ht="14.25" hidden="false" customHeight="false" outlineLevel="0" collapsed="false">
      <c r="A29" s="61" t="s">
        <v>307</v>
      </c>
      <c r="B29" s="62" t="s">
        <v>308</v>
      </c>
      <c r="C29" s="61" t="s">
        <v>256</v>
      </c>
      <c r="D29" s="61" t="s">
        <v>228</v>
      </c>
      <c r="E29" s="61" t="s">
        <v>244</v>
      </c>
      <c r="F29" s="63" t="n">
        <v>357</v>
      </c>
      <c r="G29" s="64" t="n">
        <v>43040</v>
      </c>
      <c r="H29" s="64" t="n">
        <v>44866</v>
      </c>
      <c r="I29" s="63" t="n">
        <v>61</v>
      </c>
      <c r="J29" s="63" t="n">
        <v>36</v>
      </c>
      <c r="K29" s="61" t="s">
        <v>209</v>
      </c>
      <c r="L29" s="65"/>
      <c r="M29" s="65" t="n">
        <v>0.0424</v>
      </c>
      <c r="N29" s="61" t="s">
        <v>210</v>
      </c>
      <c r="O29" s="64" t="n">
        <v>46295</v>
      </c>
      <c r="P29" s="65" t="n">
        <v>0.0881</v>
      </c>
      <c r="Q29" s="65" t="n">
        <v>0.038</v>
      </c>
      <c r="R29" s="66" t="n">
        <v>89897000</v>
      </c>
      <c r="S29" s="65" t="n">
        <v>0.754</v>
      </c>
      <c r="T29" s="65" t="n">
        <v>0.0889</v>
      </c>
      <c r="U29" s="67" t="n">
        <v>1.1</v>
      </c>
      <c r="V29" s="65" t="n">
        <v>0.703</v>
      </c>
      <c r="W29" s="65" t="n">
        <v>0.757</v>
      </c>
      <c r="X29" s="63" t="n">
        <v>2004</v>
      </c>
      <c r="Y29" s="63"/>
      <c r="Z29" s="61" t="s">
        <v>247</v>
      </c>
      <c r="AA29" s="61" t="s">
        <v>87</v>
      </c>
      <c r="AB29" s="61" t="s">
        <v>231</v>
      </c>
      <c r="AC29" s="61" t="s">
        <v>213</v>
      </c>
      <c r="AD29" s="61" t="s">
        <v>232</v>
      </c>
      <c r="AE29" s="61" t="s">
        <v>215</v>
      </c>
      <c r="AF29" s="61" t="s">
        <v>216</v>
      </c>
      <c r="AG29" s="61" t="s">
        <v>265</v>
      </c>
      <c r="AH29" s="68" t="n">
        <f aca="false">IF(G29="",0,ROUND((Strats!$C$4-G29)/30.4375,1))</f>
        <v>106.9</v>
      </c>
      <c r="AI29" s="69" t="n">
        <f aca="false">IF(K29="",0,IF(K29="Floating",Strats!$C$10+M29,L29))</f>
        <v>0.0874</v>
      </c>
      <c r="AJ29" s="68" t="n">
        <f aca="false">IF(OR(Z29="",Z29="Full Amortizing"),"",MAX(J29-AH29,0))</f>
        <v>0</v>
      </c>
      <c r="AK29" s="69" t="n">
        <f aca="false">IF(K29="",0,IF(K29="Floating",IF(P29&lt;&gt;"",MIN(IF(Q29&lt;&gt;"",MAX((Strats!$C$10+Strats!$C$11+M29),Q29),(Strats!$C$10+Strats!$C$11+M29)),P29),IF(Q29&lt;&gt;"",MAX((Strats!$C$10+Strats!$C$11+M29),Q29),(Strats!$C$10+Strats!$C$11+M29))),AI29))</f>
        <v>0.0881</v>
      </c>
      <c r="AL29" s="68" t="str">
        <f aca="false">IF(OR(E29="",E29&lt;&gt;'Deal Strat'!$C$12,R29=""),"",SUMPRODUCT((E$4:E$303='Deal Strat'!$C$12)*(R$4:R$303&gt;R29))+1+SUMPRODUCT((E$4:E$303='Deal Strat'!$C$12)*(R$4:R$303=R29)*(ROW(R$4:R$303)&lt;ROW(R29))))</f>
        <v/>
      </c>
      <c r="AM29" s="68" t="n">
        <f aca="false">IF(R29="","",RANK(R29,$R$4:$R$303,0)+COUNTIF($R$4:R29,R29)-1)</f>
        <v>9</v>
      </c>
      <c r="AN29" s="26" t="n">
        <f aca="false">IF(OR($A29="",$R29=""),0,IF(Deal_Scope="All Deals",1,IF($E29=Deal_Scope,1,0)))</f>
        <v>1</v>
      </c>
      <c r="AO29" s="56" t="n">
        <f aca="false">IF($AN29=0,0,Px_Par)</f>
        <v>0.94</v>
      </c>
      <c r="AP29" s="70" t="n">
        <f aca="false">IF($H29="",0,MAX(0,($H29-Set_Date)/30.4375))</f>
        <v>0</v>
      </c>
      <c r="AQ29" s="26" t="n">
        <f aca="false">IF(AND(Ext_Flag="Yes",$AA29="Yes"),Ext_Months,0)</f>
        <v>12</v>
      </c>
      <c r="AR29" s="70" t="n">
        <f aca="false">$AP29+$AQ29</f>
        <v>12</v>
      </c>
      <c r="AS29" s="70" t="n">
        <f aca="false">$AR29/12</f>
        <v>1</v>
      </c>
      <c r="AT29" s="70" t="n">
        <f aca="false">IF($AJ29="",0,MAX(0,$AJ29/12))</f>
        <v>0</v>
      </c>
      <c r="AU29" s="70" t="n">
        <f aca="false">MAX(Amort_Min,Amort_Term-$AH29/12)</f>
        <v>21.0916666666667</v>
      </c>
      <c r="AV29" s="70" t="n">
        <f aca="false">MIN($AS29,Hold_Yrs)</f>
        <v>1</v>
      </c>
      <c r="AW29" s="26" t="n">
        <f aca="false">IF($AN29=0,0,CEILING(MAX($AS29,0.0001),1))</f>
        <v>1</v>
      </c>
      <c r="AX29" s="26" t="n">
        <f aca="false">IF(AND($AN29=1,MAX($AS29,0.0001)&lt;=Hold_Yrs),1,0)</f>
        <v>1</v>
      </c>
      <c r="AY29" s="71" t="n">
        <f aca="false">$R29*$AO29</f>
        <v>84503180</v>
      </c>
      <c r="AZ29" s="71" t="n">
        <f aca="false">$R29*Acc_Int*$AN29</f>
        <v>134845.5</v>
      </c>
      <c r="BA29" s="71" t="n">
        <f aca="false">$AY29*Acq_Cost</f>
        <v>633773.85</v>
      </c>
      <c r="BB29" s="71" t="n">
        <f aca="false">$AY29+$AZ29+$BA29</f>
        <v>85271799.35</v>
      </c>
      <c r="BC29" s="71" t="n">
        <f aca="false">IF(Fin_Flag="Yes",$AY29*Adv_Rate,0)</f>
        <v>50701908</v>
      </c>
      <c r="BD29" s="71" t="n">
        <f aca="false">$BC29*Fin_UpFee</f>
        <v>253509.54</v>
      </c>
      <c r="BE29" s="71" t="n">
        <f aca="false">$BB29-$BC29+$BD29</f>
        <v>34823400.89</v>
      </c>
    </row>
    <row r="30" customFormat="false" ht="14.25" hidden="false" customHeight="false" outlineLevel="0" collapsed="false">
      <c r="A30" s="61" t="s">
        <v>309</v>
      </c>
      <c r="B30" s="62" t="s">
        <v>310</v>
      </c>
      <c r="C30" s="61" t="s">
        <v>243</v>
      </c>
      <c r="D30" s="61" t="s">
        <v>236</v>
      </c>
      <c r="E30" s="61" t="s">
        <v>237</v>
      </c>
      <c r="F30" s="63"/>
      <c r="G30" s="64" t="n">
        <v>43922</v>
      </c>
      <c r="H30" s="64" t="n">
        <v>47574</v>
      </c>
      <c r="I30" s="63" t="n">
        <v>121</v>
      </c>
      <c r="J30" s="63" t="n">
        <v>60</v>
      </c>
      <c r="K30" s="61" t="s">
        <v>209</v>
      </c>
      <c r="L30" s="65"/>
      <c r="M30" s="65" t="n">
        <v>0.0334</v>
      </c>
      <c r="N30" s="61" t="s">
        <v>210</v>
      </c>
      <c r="O30" s="64" t="n">
        <v>46355</v>
      </c>
      <c r="P30" s="65" t="n">
        <v>0.1092</v>
      </c>
      <c r="Q30" s="65"/>
      <c r="R30" s="66" t="n">
        <v>88481000</v>
      </c>
      <c r="S30" s="65" t="n">
        <v>0.882</v>
      </c>
      <c r="T30" s="65" t="n">
        <v>0.072</v>
      </c>
      <c r="U30" s="67" t="n">
        <v>1.8</v>
      </c>
      <c r="V30" s="65" t="n">
        <v>0.478</v>
      </c>
      <c r="W30" s="65" t="n">
        <v>0.49</v>
      </c>
      <c r="X30" s="63" t="n">
        <v>2003</v>
      </c>
      <c r="Y30" s="63"/>
      <c r="Z30" s="61" t="s">
        <v>247</v>
      </c>
      <c r="AA30" s="61" t="s">
        <v>238</v>
      </c>
      <c r="AB30" s="61" t="s">
        <v>275</v>
      </c>
      <c r="AC30" s="61" t="s">
        <v>213</v>
      </c>
      <c r="AD30" s="61" t="s">
        <v>214</v>
      </c>
      <c r="AE30" s="61" t="s">
        <v>224</v>
      </c>
      <c r="AF30" s="61" t="s">
        <v>216</v>
      </c>
      <c r="AG30" s="61" t="s">
        <v>217</v>
      </c>
      <c r="AH30" s="68" t="n">
        <f aca="false">IF(G30="",0,ROUND((Strats!$C$4-G30)/30.4375,1))</f>
        <v>78</v>
      </c>
      <c r="AI30" s="69" t="n">
        <f aca="false">IF(K30="",0,IF(K30="Floating",Strats!$C$10+M30,L30))</f>
        <v>0.0784</v>
      </c>
      <c r="AJ30" s="68" t="n">
        <f aca="false">IF(OR(Z30="",Z30="Full Amortizing"),"",MAX(J30-AH30,0))</f>
        <v>0</v>
      </c>
      <c r="AK30" s="69" t="n">
        <f aca="false">IF(K30="",0,IF(K30="Floating",IF(P30&lt;&gt;"",MIN(IF(Q30&lt;&gt;"",MAX((Strats!$C$10+Strats!$C$11+M30),Q30),(Strats!$C$10+Strats!$C$11+M30)),P30),IF(Q30&lt;&gt;"",MAX((Strats!$C$10+Strats!$C$11+M30),Q30),(Strats!$C$10+Strats!$C$11+M30))),AI30))</f>
        <v>0.0934</v>
      </c>
      <c r="AL30" s="68" t="str">
        <f aca="false">IF(OR(E30="",E30&lt;&gt;'Deal Strat'!$C$12,R30=""),"",SUMPRODUCT((E$4:E$303='Deal Strat'!$C$12)*(R$4:R$303&gt;R30))+1+SUMPRODUCT((E$4:E$303='Deal Strat'!$C$12)*(R$4:R$303=R30)*(ROW(R$4:R$303)&lt;ROW(R30))))</f>
        <v/>
      </c>
      <c r="AM30" s="68" t="n">
        <f aca="false">IF(R30="","",RANK(R30,$R$4:$R$303,0)+COUNTIF($R$4:R30,R30)-1)</f>
        <v>10</v>
      </c>
      <c r="AN30" s="26" t="n">
        <f aca="false">IF(OR($A30="",$R30=""),0,IF(Deal_Scope="All Deals",1,IF($E30=Deal_Scope,1,0)))</f>
        <v>1</v>
      </c>
      <c r="AO30" s="56" t="n">
        <f aca="false">IF($AN30=0,0,Px_Par)</f>
        <v>0.94</v>
      </c>
      <c r="AP30" s="70" t="n">
        <f aca="false">IF($H30="",0,MAX(0,($H30-Set_Date)/30.4375))</f>
        <v>42.0205338809035</v>
      </c>
      <c r="AQ30" s="26" t="n">
        <f aca="false">IF(AND(Ext_Flag="Yes",$AA30="Yes"),Ext_Months,0)</f>
        <v>0</v>
      </c>
      <c r="AR30" s="70" t="n">
        <f aca="false">$AP30+$AQ30</f>
        <v>42.0205338809035</v>
      </c>
      <c r="AS30" s="70" t="n">
        <f aca="false">$AR30/12</f>
        <v>3.50171115674196</v>
      </c>
      <c r="AT30" s="70" t="n">
        <f aca="false">IF($AJ30="",0,MAX(0,$AJ30/12))</f>
        <v>0</v>
      </c>
      <c r="AU30" s="70" t="n">
        <f aca="false">MAX(Amort_Min,Amort_Term-$AH30/12)</f>
        <v>23.5</v>
      </c>
      <c r="AV30" s="70" t="n">
        <f aca="false">MIN($AS30,Hold_Yrs)</f>
        <v>3.50171115674196</v>
      </c>
      <c r="AW30" s="26" t="n">
        <f aca="false">IF($AN30=0,0,CEILING(MAX($AS30,0.0001),1))</f>
        <v>4</v>
      </c>
      <c r="AX30" s="26" t="n">
        <f aca="false">IF(AND($AN30=1,MAX($AS30,0.0001)&lt;=Hold_Yrs),1,0)</f>
        <v>1</v>
      </c>
      <c r="AY30" s="71" t="n">
        <f aca="false">$R30*$AO30</f>
        <v>83172140</v>
      </c>
      <c r="AZ30" s="71" t="n">
        <f aca="false">$R30*Acc_Int*$AN30</f>
        <v>132721.5</v>
      </c>
      <c r="BA30" s="71" t="n">
        <f aca="false">$AY30*Acq_Cost</f>
        <v>623791.05</v>
      </c>
      <c r="BB30" s="71" t="n">
        <f aca="false">$AY30+$AZ30+$BA30</f>
        <v>83928652.55</v>
      </c>
      <c r="BC30" s="71" t="n">
        <f aca="false">IF(Fin_Flag="Yes",$AY30*Adv_Rate,0)</f>
        <v>49903284</v>
      </c>
      <c r="BD30" s="71" t="n">
        <f aca="false">$BC30*Fin_UpFee</f>
        <v>249516.42</v>
      </c>
      <c r="BE30" s="71" t="n">
        <f aca="false">$BB30-$BC30+$BD30</f>
        <v>34274884.97</v>
      </c>
    </row>
    <row r="31" customFormat="false" ht="14.25" hidden="false" customHeight="false" outlineLevel="0" collapsed="false">
      <c r="A31" s="61" t="s">
        <v>311</v>
      </c>
      <c r="B31" s="62" t="s">
        <v>312</v>
      </c>
      <c r="C31" s="61" t="s">
        <v>274</v>
      </c>
      <c r="D31" s="61" t="s">
        <v>228</v>
      </c>
      <c r="E31" s="61" t="s">
        <v>252</v>
      </c>
      <c r="F31" s="63" t="n">
        <v>238</v>
      </c>
      <c r="G31" s="64" t="n">
        <v>43191</v>
      </c>
      <c r="H31" s="64" t="n">
        <v>45748</v>
      </c>
      <c r="I31" s="63" t="n">
        <v>83</v>
      </c>
      <c r="J31" s="63" t="n">
        <v>0</v>
      </c>
      <c r="K31" s="61" t="s">
        <v>245</v>
      </c>
      <c r="L31" s="65" t="n">
        <v>0.0534</v>
      </c>
      <c r="M31" s="65"/>
      <c r="N31" s="61" t="s">
        <v>246</v>
      </c>
      <c r="O31" s="64"/>
      <c r="P31" s="65"/>
      <c r="Q31" s="65"/>
      <c r="R31" s="66" t="n">
        <v>86385000</v>
      </c>
      <c r="S31" s="65" t="n">
        <v>0.828</v>
      </c>
      <c r="T31" s="65" t="n">
        <v>0.1077</v>
      </c>
      <c r="U31" s="67" t="n">
        <v>1.35</v>
      </c>
      <c r="V31" s="65" t="n">
        <v>0.888</v>
      </c>
      <c r="W31" s="65" t="n">
        <v>0.945</v>
      </c>
      <c r="X31" s="63" t="n">
        <v>2016</v>
      </c>
      <c r="Y31" s="63"/>
      <c r="Z31" s="61" t="s">
        <v>253</v>
      </c>
      <c r="AA31" s="61" t="s">
        <v>238</v>
      </c>
      <c r="AB31" s="61" t="s">
        <v>231</v>
      </c>
      <c r="AC31" s="61" t="s">
        <v>213</v>
      </c>
      <c r="AD31" s="61" t="s">
        <v>264</v>
      </c>
      <c r="AE31" s="61" t="s">
        <v>215</v>
      </c>
      <c r="AF31" s="61" t="s">
        <v>216</v>
      </c>
      <c r="AG31" s="61" t="s">
        <v>217</v>
      </c>
      <c r="AH31" s="68" t="n">
        <f aca="false">IF(G31="",0,ROUND((Strats!$C$4-G31)/30.4375,1))</f>
        <v>102</v>
      </c>
      <c r="AI31" s="69" t="n">
        <f aca="false">IF(K31="",0,IF(K31="Floating",Strats!$C$10+M31,L31))</f>
        <v>0.0534</v>
      </c>
      <c r="AJ31" s="68" t="str">
        <f aca="false">IF(OR(Z31="",Z31="Full Amortizing"),"",MAX(J31-AH31,0))</f>
        <v/>
      </c>
      <c r="AK31" s="69" t="n">
        <f aca="false">IF(K31="",0,IF(K31="Floating",IF(P31&lt;&gt;"",MIN(IF(Q31&lt;&gt;"",MAX((Strats!$C$10+Strats!$C$11+M31),Q31),(Strats!$C$10+Strats!$C$11+M31)),P31),IF(Q31&lt;&gt;"",MAX((Strats!$C$10+Strats!$C$11+M31),Q31),(Strats!$C$10+Strats!$C$11+M31))),AI31))</f>
        <v>0.0534</v>
      </c>
      <c r="AL31" s="68" t="n">
        <f aca="false">IF(OR(E31="",E31&lt;&gt;'Deal Strat'!$C$12,R31=""),"",SUMPRODUCT((E$4:E$303='Deal Strat'!$C$12)*(R$4:R$303&gt;R31))+1+SUMPRODUCT((E$4:E$303='Deal Strat'!$C$12)*(R$4:R$303=R31)*(ROW(R$4:R$303)&lt;ROW(R31))))</f>
        <v>2</v>
      </c>
      <c r="AM31" s="68" t="n">
        <f aca="false">IF(R31="","",RANK(R31,$R$4:$R$303,0)+COUNTIF($R$4:R31,R31)-1)</f>
        <v>11</v>
      </c>
      <c r="AN31" s="26" t="n">
        <f aca="false">IF(OR($A31="",$R31=""),0,IF(Deal_Scope="All Deals",1,IF($E31=Deal_Scope,1,0)))</f>
        <v>1</v>
      </c>
      <c r="AO31" s="56" t="n">
        <f aca="false">IF($AN31=0,0,Px_Par)</f>
        <v>0.94</v>
      </c>
      <c r="AP31" s="70" t="n">
        <f aca="false">IF($H31="",0,MAX(0,($H31-Set_Date)/30.4375))</f>
        <v>0</v>
      </c>
      <c r="AQ31" s="26" t="n">
        <f aca="false">IF(AND(Ext_Flag="Yes",$AA31="Yes"),Ext_Months,0)</f>
        <v>0</v>
      </c>
      <c r="AR31" s="70" t="n">
        <f aca="false">$AP31+$AQ31</f>
        <v>0</v>
      </c>
      <c r="AS31" s="70" t="n">
        <f aca="false">$AR31/12</f>
        <v>0</v>
      </c>
      <c r="AT31" s="70" t="n">
        <f aca="false">IF($AJ31="",0,MAX(0,$AJ31/12))</f>
        <v>0</v>
      </c>
      <c r="AU31" s="70" t="n">
        <f aca="false">MAX(Amort_Min,Amort_Term-$AH31/12)</f>
        <v>21.5</v>
      </c>
      <c r="AV31" s="70" t="n">
        <f aca="false">MIN($AS31,Hold_Yrs)</f>
        <v>0</v>
      </c>
      <c r="AW31" s="26" t="n">
        <f aca="false">IF($AN31=0,0,CEILING(MAX($AS31,0.0001),1))</f>
        <v>1</v>
      </c>
      <c r="AX31" s="26" t="n">
        <f aca="false">IF(AND($AN31=1,MAX($AS31,0.0001)&lt;=Hold_Yrs),1,0)</f>
        <v>1</v>
      </c>
      <c r="AY31" s="71" t="n">
        <f aca="false">$R31*$AO31</f>
        <v>81201900</v>
      </c>
      <c r="AZ31" s="71" t="n">
        <f aca="false">$R31*Acc_Int*$AN31</f>
        <v>129577.5</v>
      </c>
      <c r="BA31" s="71" t="n">
        <f aca="false">$AY31*Acq_Cost</f>
        <v>609014.25</v>
      </c>
      <c r="BB31" s="71" t="n">
        <f aca="false">$AY31+$AZ31+$BA31</f>
        <v>81940491.75</v>
      </c>
      <c r="BC31" s="71" t="n">
        <f aca="false">IF(Fin_Flag="Yes",$AY31*Adv_Rate,0)</f>
        <v>48721140</v>
      </c>
      <c r="BD31" s="71" t="n">
        <f aca="false">$BC31*Fin_UpFee</f>
        <v>243605.7</v>
      </c>
      <c r="BE31" s="71" t="n">
        <f aca="false">$BB31-$BC31+$BD31</f>
        <v>33462957.45</v>
      </c>
    </row>
    <row r="32" customFormat="false" ht="14.25" hidden="false" customHeight="false" outlineLevel="0" collapsed="false">
      <c r="A32" s="61" t="s">
        <v>313</v>
      </c>
      <c r="B32" s="62" t="s">
        <v>314</v>
      </c>
      <c r="C32" s="61" t="s">
        <v>256</v>
      </c>
      <c r="D32" s="61" t="s">
        <v>228</v>
      </c>
      <c r="E32" s="61" t="s">
        <v>229</v>
      </c>
      <c r="F32" s="63" t="n">
        <v>87</v>
      </c>
      <c r="G32" s="64" t="n">
        <v>43040</v>
      </c>
      <c r="H32" s="64" t="n">
        <v>45597</v>
      </c>
      <c r="I32" s="63" t="n">
        <v>85</v>
      </c>
      <c r="J32" s="63" t="n">
        <v>120</v>
      </c>
      <c r="K32" s="61" t="s">
        <v>209</v>
      </c>
      <c r="L32" s="65"/>
      <c r="M32" s="65" t="n">
        <v>0.0269</v>
      </c>
      <c r="N32" s="61" t="s">
        <v>210</v>
      </c>
      <c r="O32" s="64" t="n">
        <v>46355</v>
      </c>
      <c r="P32" s="65" t="n">
        <v>0.1038</v>
      </c>
      <c r="Q32" s="65"/>
      <c r="R32" s="66" t="n">
        <v>43725000</v>
      </c>
      <c r="S32" s="65" t="n">
        <v>0.87</v>
      </c>
      <c r="T32" s="65" t="n">
        <v>0.1159</v>
      </c>
      <c r="U32" s="67" t="n">
        <v>1.69</v>
      </c>
      <c r="V32" s="65" t="n">
        <v>0.883</v>
      </c>
      <c r="W32" s="65" t="n">
        <v>0.908</v>
      </c>
      <c r="X32" s="63" t="n">
        <v>1996</v>
      </c>
      <c r="Y32" s="63" t="n">
        <v>2008</v>
      </c>
      <c r="Z32" s="61" t="s">
        <v>247</v>
      </c>
      <c r="AA32" s="61" t="s">
        <v>238</v>
      </c>
      <c r="AB32" s="61" t="s">
        <v>223</v>
      </c>
      <c r="AC32" s="61" t="s">
        <v>213</v>
      </c>
      <c r="AD32" s="61" t="s">
        <v>232</v>
      </c>
      <c r="AE32" s="61" t="s">
        <v>224</v>
      </c>
      <c r="AF32" s="61" t="s">
        <v>240</v>
      </c>
      <c r="AG32" s="61" t="s">
        <v>217</v>
      </c>
      <c r="AH32" s="68" t="n">
        <f aca="false">IF(G32="",0,ROUND((Strats!$C$4-G32)/30.4375,1))</f>
        <v>106.9</v>
      </c>
      <c r="AI32" s="69" t="n">
        <f aca="false">IF(K32="",0,IF(K32="Floating",Strats!$C$10+M32,L32))</f>
        <v>0.0719</v>
      </c>
      <c r="AJ32" s="68" t="n">
        <f aca="false">IF(OR(Z32="",Z32="Full Amortizing"),"",MAX(J32-AH32,0))</f>
        <v>13.1</v>
      </c>
      <c r="AK32" s="69" t="n">
        <f aca="false">IF(K32="",0,IF(K32="Floating",IF(P32&lt;&gt;"",MIN(IF(Q32&lt;&gt;"",MAX((Strats!$C$10+Strats!$C$11+M32),Q32),(Strats!$C$10+Strats!$C$11+M32)),P32),IF(Q32&lt;&gt;"",MAX((Strats!$C$10+Strats!$C$11+M32),Q32),(Strats!$C$10+Strats!$C$11+M32))),AI32))</f>
        <v>0.0869</v>
      </c>
      <c r="AL32" s="68" t="str">
        <f aca="false">IF(OR(E32="",E32&lt;&gt;'Deal Strat'!$C$12,R32=""),"",SUMPRODUCT((E$4:E$303='Deal Strat'!$C$12)*(R$4:R$303&gt;R32))+1+SUMPRODUCT((E$4:E$303='Deal Strat'!$C$12)*(R$4:R$303=R32)*(ROW(R$4:R$303)&lt;ROW(R32))))</f>
        <v/>
      </c>
      <c r="AM32" s="68" t="n">
        <f aca="false">IF(R32="","",RANK(R32,$R$4:$R$303,0)+COUNTIF($R$4:R32,R32)-1)</f>
        <v>26</v>
      </c>
      <c r="AN32" s="26" t="n">
        <f aca="false">IF(OR($A32="",$R32=""),0,IF(Deal_Scope="All Deals",1,IF($E32=Deal_Scope,1,0)))</f>
        <v>1</v>
      </c>
      <c r="AO32" s="56" t="n">
        <f aca="false">IF($AN32=0,0,Px_Par)</f>
        <v>0.94</v>
      </c>
      <c r="AP32" s="70" t="n">
        <f aca="false">IF($H32="",0,MAX(0,($H32-Set_Date)/30.4375))</f>
        <v>0</v>
      </c>
      <c r="AQ32" s="26" t="n">
        <f aca="false">IF(AND(Ext_Flag="Yes",$AA32="Yes"),Ext_Months,0)</f>
        <v>0</v>
      </c>
      <c r="AR32" s="70" t="n">
        <f aca="false">$AP32+$AQ32</f>
        <v>0</v>
      </c>
      <c r="AS32" s="70" t="n">
        <f aca="false">$AR32/12</f>
        <v>0</v>
      </c>
      <c r="AT32" s="70" t="n">
        <f aca="false">IF($AJ32="",0,MAX(0,$AJ32/12))</f>
        <v>1.09166666666667</v>
      </c>
      <c r="AU32" s="70" t="n">
        <f aca="false">MAX(Amort_Min,Amort_Term-$AH32/12)</f>
        <v>21.0916666666667</v>
      </c>
      <c r="AV32" s="70" t="n">
        <f aca="false">MIN($AS32,Hold_Yrs)</f>
        <v>0</v>
      </c>
      <c r="AW32" s="26" t="n">
        <f aca="false">IF($AN32=0,0,CEILING(MAX($AS32,0.0001),1))</f>
        <v>1</v>
      </c>
      <c r="AX32" s="26" t="n">
        <f aca="false">IF(AND($AN32=1,MAX($AS32,0.0001)&lt;=Hold_Yrs),1,0)</f>
        <v>1</v>
      </c>
      <c r="AY32" s="71" t="n">
        <f aca="false">$R32*$AO32</f>
        <v>41101500</v>
      </c>
      <c r="AZ32" s="71" t="n">
        <f aca="false">$R32*Acc_Int*$AN32</f>
        <v>65587.5</v>
      </c>
      <c r="BA32" s="71" t="n">
        <f aca="false">$AY32*Acq_Cost</f>
        <v>308261.25</v>
      </c>
      <c r="BB32" s="71" t="n">
        <f aca="false">$AY32+$AZ32+$BA32</f>
        <v>41475348.75</v>
      </c>
      <c r="BC32" s="71" t="n">
        <f aca="false">IF(Fin_Flag="Yes",$AY32*Adv_Rate,0)</f>
        <v>24660900</v>
      </c>
      <c r="BD32" s="71" t="n">
        <f aca="false">$BC32*Fin_UpFee</f>
        <v>123304.5</v>
      </c>
      <c r="BE32" s="71" t="n">
        <f aca="false">$BB32-$BC32+$BD32</f>
        <v>16937753.25</v>
      </c>
    </row>
    <row r="33" customFormat="false" ht="14.25" hidden="false" customHeight="false" outlineLevel="0" collapsed="false">
      <c r="A33" s="61" t="s">
        <v>315</v>
      </c>
      <c r="B33" s="62" t="s">
        <v>316</v>
      </c>
      <c r="C33" s="61" t="s">
        <v>274</v>
      </c>
      <c r="D33" s="61" t="s">
        <v>251</v>
      </c>
      <c r="E33" s="61" t="s">
        <v>244</v>
      </c>
      <c r="F33" s="63"/>
      <c r="G33" s="64" t="n">
        <v>44228</v>
      </c>
      <c r="H33" s="64" t="n">
        <v>47880</v>
      </c>
      <c r="I33" s="63" t="n">
        <v>119</v>
      </c>
      <c r="J33" s="63" t="n">
        <v>0</v>
      </c>
      <c r="K33" s="61" t="s">
        <v>209</v>
      </c>
      <c r="L33" s="65"/>
      <c r="M33" s="65" t="n">
        <v>0.0354</v>
      </c>
      <c r="N33" s="61" t="s">
        <v>210</v>
      </c>
      <c r="O33" s="64" t="n">
        <v>46325</v>
      </c>
      <c r="P33" s="65" t="n">
        <v>0.0793</v>
      </c>
      <c r="Q33" s="65"/>
      <c r="R33" s="66" t="n">
        <v>14196000</v>
      </c>
      <c r="S33" s="65" t="n">
        <v>0.773</v>
      </c>
      <c r="T33" s="65" t="n">
        <v>0.068</v>
      </c>
      <c r="U33" s="67" t="n">
        <v>1.49</v>
      </c>
      <c r="V33" s="65" t="n">
        <v>0.534</v>
      </c>
      <c r="W33" s="65" t="n">
        <v>0.545</v>
      </c>
      <c r="X33" s="63" t="n">
        <v>2015</v>
      </c>
      <c r="Y33" s="63" t="n">
        <v>2024</v>
      </c>
      <c r="Z33" s="61" t="s">
        <v>253</v>
      </c>
      <c r="AA33" s="61" t="s">
        <v>238</v>
      </c>
      <c r="AB33" s="61" t="s">
        <v>223</v>
      </c>
      <c r="AC33" s="61" t="s">
        <v>213</v>
      </c>
      <c r="AD33" s="61" t="s">
        <v>232</v>
      </c>
      <c r="AE33" s="61" t="s">
        <v>224</v>
      </c>
      <c r="AF33" s="61" t="s">
        <v>216</v>
      </c>
      <c r="AG33" s="61" t="s">
        <v>217</v>
      </c>
      <c r="AH33" s="68" t="n">
        <f aca="false">IF(G33="",0,ROUND((Strats!$C$4-G33)/30.4375,1))</f>
        <v>67.9</v>
      </c>
      <c r="AI33" s="69" t="n">
        <f aca="false">IF(K33="",0,IF(K33="Floating",Strats!$C$10+M33,L33))</f>
        <v>0.0804</v>
      </c>
      <c r="AJ33" s="68" t="str">
        <f aca="false">IF(OR(Z33="",Z33="Full Amortizing"),"",MAX(J33-AH33,0))</f>
        <v/>
      </c>
      <c r="AK33" s="69" t="n">
        <f aca="false">IF(K33="",0,IF(K33="Floating",IF(P33&lt;&gt;"",MIN(IF(Q33&lt;&gt;"",MAX((Strats!$C$10+Strats!$C$11+M33),Q33),(Strats!$C$10+Strats!$C$11+M33)),P33),IF(Q33&lt;&gt;"",MAX((Strats!$C$10+Strats!$C$11+M33),Q33),(Strats!$C$10+Strats!$C$11+M33))),AI33))</f>
        <v>0.0793</v>
      </c>
      <c r="AL33" s="68" t="str">
        <f aca="false">IF(OR(E33="",E33&lt;&gt;'Deal Strat'!$C$12,R33=""),"",SUMPRODUCT((E$4:E$303='Deal Strat'!$C$12)*(R$4:R$303&gt;R33))+1+SUMPRODUCT((E$4:E$303='Deal Strat'!$C$12)*(R$4:R$303=R33)*(ROW(R$4:R$303)&lt;ROW(R33))))</f>
        <v/>
      </c>
      <c r="AM33" s="68" t="n">
        <f aca="false">IF(R33="","",RANK(R33,$R$4:$R$303,0)+COUNTIF($R$4:R33,R33)-1)</f>
        <v>35</v>
      </c>
      <c r="AN33" s="26" t="n">
        <f aca="false">IF(OR($A33="",$R33=""),0,IF(Deal_Scope="All Deals",1,IF($E33=Deal_Scope,1,0)))</f>
        <v>1</v>
      </c>
      <c r="AO33" s="56" t="n">
        <f aca="false">IF($AN33=0,0,Px_Par)</f>
        <v>0.94</v>
      </c>
      <c r="AP33" s="70" t="n">
        <f aca="false">IF($H33="",0,MAX(0,($H33-Set_Date)/30.4375))</f>
        <v>52.0739219712526</v>
      </c>
      <c r="AQ33" s="26" t="n">
        <f aca="false">IF(AND(Ext_Flag="Yes",$AA33="Yes"),Ext_Months,0)</f>
        <v>0</v>
      </c>
      <c r="AR33" s="70" t="n">
        <f aca="false">$AP33+$AQ33</f>
        <v>52.0739219712526</v>
      </c>
      <c r="AS33" s="70" t="n">
        <f aca="false">$AR33/12</f>
        <v>4.33949349760438</v>
      </c>
      <c r="AT33" s="70" t="n">
        <f aca="false">IF($AJ33="",0,MAX(0,$AJ33/12))</f>
        <v>0</v>
      </c>
      <c r="AU33" s="70" t="n">
        <f aca="false">MAX(Amort_Min,Amort_Term-$AH33/12)</f>
        <v>24.3416666666667</v>
      </c>
      <c r="AV33" s="70" t="n">
        <f aca="false">MIN($AS33,Hold_Yrs)</f>
        <v>4.33949349760438</v>
      </c>
      <c r="AW33" s="26" t="n">
        <f aca="false">IF($AN33=0,0,CEILING(MAX($AS33,0.0001),1))</f>
        <v>5</v>
      </c>
      <c r="AX33" s="26" t="n">
        <f aca="false">IF(AND($AN33=1,MAX($AS33,0.0001)&lt;=Hold_Yrs),1,0)</f>
        <v>1</v>
      </c>
      <c r="AY33" s="71" t="n">
        <f aca="false">$R33*$AO33</f>
        <v>13344240</v>
      </c>
      <c r="AZ33" s="71" t="n">
        <f aca="false">$R33*Acc_Int*$AN33</f>
        <v>21294</v>
      </c>
      <c r="BA33" s="71" t="n">
        <f aca="false">$AY33*Acq_Cost</f>
        <v>100081.8</v>
      </c>
      <c r="BB33" s="71" t="n">
        <f aca="false">$AY33+$AZ33+$BA33</f>
        <v>13465615.8</v>
      </c>
      <c r="BC33" s="71" t="n">
        <f aca="false">IF(Fin_Flag="Yes",$AY33*Adv_Rate,0)</f>
        <v>8006544</v>
      </c>
      <c r="BD33" s="71" t="n">
        <f aca="false">$BC33*Fin_UpFee</f>
        <v>40032.72</v>
      </c>
      <c r="BE33" s="71" t="n">
        <f aca="false">$BB33-$BC33+$BD33</f>
        <v>5499104.52</v>
      </c>
    </row>
    <row r="34" customFormat="false" ht="14.25" hidden="false" customHeight="false" outlineLevel="0" collapsed="false">
      <c r="A34" s="61" t="s">
        <v>317</v>
      </c>
      <c r="B34" s="62" t="s">
        <v>318</v>
      </c>
      <c r="C34" s="61" t="s">
        <v>206</v>
      </c>
      <c r="D34" s="61" t="s">
        <v>251</v>
      </c>
      <c r="E34" s="61" t="s">
        <v>237</v>
      </c>
      <c r="F34" s="63"/>
      <c r="G34" s="64" t="n">
        <v>44197</v>
      </c>
      <c r="H34" s="64" t="n">
        <v>46753</v>
      </c>
      <c r="I34" s="63" t="n">
        <v>84</v>
      </c>
      <c r="J34" s="63" t="n">
        <v>60</v>
      </c>
      <c r="K34" s="61" t="s">
        <v>209</v>
      </c>
      <c r="L34" s="65"/>
      <c r="M34" s="65" t="n">
        <v>0.0322</v>
      </c>
      <c r="N34" s="61" t="s">
        <v>210</v>
      </c>
      <c r="O34" s="64" t="n">
        <v>46325</v>
      </c>
      <c r="P34" s="65" t="n">
        <v>0.0877</v>
      </c>
      <c r="Q34" s="65"/>
      <c r="R34" s="66" t="n">
        <v>11649000</v>
      </c>
      <c r="S34" s="65" t="n">
        <v>0.839</v>
      </c>
      <c r="T34" s="65" t="n">
        <v>0.0608</v>
      </c>
      <c r="U34" s="67" t="n">
        <v>1.42</v>
      </c>
      <c r="V34" s="65" t="n">
        <v>0.532</v>
      </c>
      <c r="W34" s="65" t="n">
        <v>0.587</v>
      </c>
      <c r="X34" s="63" t="n">
        <v>2007</v>
      </c>
      <c r="Y34" s="63" t="n">
        <v>2026</v>
      </c>
      <c r="Z34" s="61" t="s">
        <v>247</v>
      </c>
      <c r="AA34" s="61" t="s">
        <v>238</v>
      </c>
      <c r="AB34" s="61" t="s">
        <v>223</v>
      </c>
      <c r="AC34" s="61" t="s">
        <v>285</v>
      </c>
      <c r="AD34" s="61" t="s">
        <v>264</v>
      </c>
      <c r="AE34" s="61" t="s">
        <v>215</v>
      </c>
      <c r="AF34" s="61" t="s">
        <v>216</v>
      </c>
      <c r="AG34" s="61" t="s">
        <v>217</v>
      </c>
      <c r="AH34" s="68" t="n">
        <f aca="false">IF(G34="",0,ROUND((Strats!$C$4-G34)/30.4375,1))</f>
        <v>68.9</v>
      </c>
      <c r="AI34" s="69" t="n">
        <f aca="false">IF(K34="",0,IF(K34="Floating",Strats!$C$10+M34,L34))</f>
        <v>0.0772</v>
      </c>
      <c r="AJ34" s="68" t="n">
        <f aca="false">IF(OR(Z34="",Z34="Full Amortizing"),"",MAX(J34-AH34,0))</f>
        <v>0</v>
      </c>
      <c r="AK34" s="69" t="n">
        <f aca="false">IF(K34="",0,IF(K34="Floating",IF(P34&lt;&gt;"",MIN(IF(Q34&lt;&gt;"",MAX((Strats!$C$10+Strats!$C$11+M34),Q34),(Strats!$C$10+Strats!$C$11+M34)),P34),IF(Q34&lt;&gt;"",MAX((Strats!$C$10+Strats!$C$11+M34),Q34),(Strats!$C$10+Strats!$C$11+M34))),AI34))</f>
        <v>0.0877</v>
      </c>
      <c r="AL34" s="68" t="str">
        <f aca="false">IF(OR(E34="",E34&lt;&gt;'Deal Strat'!$C$12,R34=""),"",SUMPRODUCT((E$4:E$303='Deal Strat'!$C$12)*(R$4:R$303&gt;R34))+1+SUMPRODUCT((E$4:E$303='Deal Strat'!$C$12)*(R$4:R$303=R34)*(ROW(R$4:R$303)&lt;ROW(R34))))</f>
        <v/>
      </c>
      <c r="AM34" s="68" t="n">
        <f aca="false">IF(R34="","",RANK(R34,$R$4:$R$303,0)+COUNTIF($R$4:R34,R34)-1)</f>
        <v>36</v>
      </c>
      <c r="AN34" s="26" t="n">
        <f aca="false">IF(OR($A34="",$R34=""),0,IF(Deal_Scope="All Deals",1,IF($E34=Deal_Scope,1,0)))</f>
        <v>1</v>
      </c>
      <c r="AO34" s="56" t="n">
        <f aca="false">IF($AN34=0,0,Px_Par)</f>
        <v>0.94</v>
      </c>
      <c r="AP34" s="70" t="n">
        <f aca="false">IF($H34="",0,MAX(0,($H34-Set_Date)/30.4375))</f>
        <v>15.047227926078</v>
      </c>
      <c r="AQ34" s="26" t="n">
        <f aca="false">IF(AND(Ext_Flag="Yes",$AA34="Yes"),Ext_Months,0)</f>
        <v>0</v>
      </c>
      <c r="AR34" s="70" t="n">
        <f aca="false">$AP34+$AQ34</f>
        <v>15.047227926078</v>
      </c>
      <c r="AS34" s="70" t="n">
        <f aca="false">$AR34/12</f>
        <v>1.2539356605065</v>
      </c>
      <c r="AT34" s="70" t="n">
        <f aca="false">IF($AJ34="",0,MAX(0,$AJ34/12))</f>
        <v>0</v>
      </c>
      <c r="AU34" s="70" t="n">
        <f aca="false">MAX(Amort_Min,Amort_Term-$AH34/12)</f>
        <v>24.2583333333333</v>
      </c>
      <c r="AV34" s="70" t="n">
        <f aca="false">MIN($AS34,Hold_Yrs)</f>
        <v>1.2539356605065</v>
      </c>
      <c r="AW34" s="26" t="n">
        <f aca="false">IF($AN34=0,0,CEILING(MAX($AS34,0.0001),1))</f>
        <v>2</v>
      </c>
      <c r="AX34" s="26" t="n">
        <f aca="false">IF(AND($AN34=1,MAX($AS34,0.0001)&lt;=Hold_Yrs),1,0)</f>
        <v>1</v>
      </c>
      <c r="AY34" s="71" t="n">
        <f aca="false">$R34*$AO34</f>
        <v>10950060</v>
      </c>
      <c r="AZ34" s="71" t="n">
        <f aca="false">$R34*Acc_Int*$AN34</f>
        <v>17473.5</v>
      </c>
      <c r="BA34" s="71" t="n">
        <f aca="false">$AY34*Acq_Cost</f>
        <v>82125.45</v>
      </c>
      <c r="BB34" s="71" t="n">
        <f aca="false">$AY34+$AZ34+$BA34</f>
        <v>11049658.95</v>
      </c>
      <c r="BC34" s="71" t="n">
        <f aca="false">IF(Fin_Flag="Yes",$AY34*Adv_Rate,0)</f>
        <v>6570036</v>
      </c>
      <c r="BD34" s="71" t="n">
        <f aca="false">$BC34*Fin_UpFee</f>
        <v>32850.18</v>
      </c>
      <c r="BE34" s="71" t="n">
        <f aca="false">$BB34-$BC34+$BD34</f>
        <v>4512473.13</v>
      </c>
    </row>
    <row r="35" customFormat="false" ht="14.25" hidden="false" customHeight="false" outlineLevel="0" collapsed="false">
      <c r="A35" s="61" t="s">
        <v>319</v>
      </c>
      <c r="B35" s="62" t="s">
        <v>320</v>
      </c>
      <c r="C35" s="61" t="s">
        <v>220</v>
      </c>
      <c r="D35" s="61" t="s">
        <v>236</v>
      </c>
      <c r="E35" s="61" t="s">
        <v>237</v>
      </c>
      <c r="F35" s="63"/>
      <c r="G35" s="64" t="n">
        <v>44044</v>
      </c>
      <c r="H35" s="64" t="n">
        <v>47696</v>
      </c>
      <c r="I35" s="63" t="n">
        <v>119</v>
      </c>
      <c r="J35" s="63" t="n">
        <v>12</v>
      </c>
      <c r="K35" s="61" t="s">
        <v>209</v>
      </c>
      <c r="L35" s="65"/>
      <c r="M35" s="65" t="n">
        <v>0.041</v>
      </c>
      <c r="N35" s="61" t="s">
        <v>210</v>
      </c>
      <c r="O35" s="64" t="n">
        <v>46355</v>
      </c>
      <c r="P35" s="65"/>
      <c r="Q35" s="65"/>
      <c r="R35" s="66" t="n">
        <v>139731000</v>
      </c>
      <c r="S35" s="65" t="n">
        <v>0.838</v>
      </c>
      <c r="T35" s="65" t="n">
        <v>0.0733</v>
      </c>
      <c r="U35" s="67" t="n">
        <v>1.43</v>
      </c>
      <c r="V35" s="65" t="n">
        <v>0.772</v>
      </c>
      <c r="W35" s="65" t="n">
        <v>0.803</v>
      </c>
      <c r="X35" s="63" t="n">
        <v>1971</v>
      </c>
      <c r="Y35" s="63" t="n">
        <v>1986</v>
      </c>
      <c r="Z35" s="61" t="s">
        <v>211</v>
      </c>
      <c r="AA35" s="61" t="s">
        <v>238</v>
      </c>
      <c r="AB35" s="61" t="s">
        <v>212</v>
      </c>
      <c r="AC35" s="61" t="s">
        <v>213</v>
      </c>
      <c r="AD35" s="61" t="s">
        <v>260</v>
      </c>
      <c r="AE35" s="61" t="s">
        <v>215</v>
      </c>
      <c r="AF35" s="61" t="s">
        <v>216</v>
      </c>
      <c r="AG35" s="61" t="s">
        <v>217</v>
      </c>
      <c r="AH35" s="68" t="n">
        <f aca="false">IF(G35="",0,ROUND((Strats!$C$4-G35)/30.4375,1))</f>
        <v>74</v>
      </c>
      <c r="AI35" s="69" t="n">
        <f aca="false">IF(K35="",0,IF(K35="Floating",Strats!$C$10+M35,L35))</f>
        <v>0.086</v>
      </c>
      <c r="AJ35" s="68" t="n">
        <f aca="false">IF(OR(Z35="",Z35="Full Amortizing"),"",MAX(J35-AH35,0))</f>
        <v>0</v>
      </c>
      <c r="AK35" s="69" t="n">
        <f aca="false">IF(K35="",0,IF(K35="Floating",IF(P35&lt;&gt;"",MIN(IF(Q35&lt;&gt;"",MAX((Strats!$C$10+Strats!$C$11+M35),Q35),(Strats!$C$10+Strats!$C$11+M35)),P35),IF(Q35&lt;&gt;"",MAX((Strats!$C$10+Strats!$C$11+M35),Q35),(Strats!$C$10+Strats!$C$11+M35))),AI35))</f>
        <v>0.101</v>
      </c>
      <c r="AL35" s="68" t="str">
        <f aca="false">IF(OR(E35="",E35&lt;&gt;'Deal Strat'!$C$12,R35=""),"",SUMPRODUCT((E$4:E$303='Deal Strat'!$C$12)*(R$4:R$303&gt;R35))+1+SUMPRODUCT((E$4:E$303='Deal Strat'!$C$12)*(R$4:R$303=R35)*(ROW(R$4:R$303)&lt;ROW(R35))))</f>
        <v/>
      </c>
      <c r="AM35" s="68" t="n">
        <f aca="false">IF(R35="","",RANK(R35,$R$4:$R$303,0)+COUNTIF($R$4:R35,R35)-1)</f>
        <v>1</v>
      </c>
      <c r="AN35" s="26" t="n">
        <f aca="false">IF(OR($A35="",$R35=""),0,IF(Deal_Scope="All Deals",1,IF($E35=Deal_Scope,1,0)))</f>
        <v>1</v>
      </c>
      <c r="AO35" s="56" t="n">
        <f aca="false">IF($AN35=0,0,Px_Par)</f>
        <v>0.94</v>
      </c>
      <c r="AP35" s="70" t="n">
        <f aca="false">IF($H35="",0,MAX(0,($H35-Set_Date)/30.4375))</f>
        <v>46.0287474332649</v>
      </c>
      <c r="AQ35" s="26" t="n">
        <f aca="false">IF(AND(Ext_Flag="Yes",$AA35="Yes"),Ext_Months,0)</f>
        <v>0</v>
      </c>
      <c r="AR35" s="70" t="n">
        <f aca="false">$AP35+$AQ35</f>
        <v>46.0287474332649</v>
      </c>
      <c r="AS35" s="70" t="n">
        <f aca="false">$AR35/12</f>
        <v>3.83572895277207</v>
      </c>
      <c r="AT35" s="70" t="n">
        <f aca="false">IF($AJ35="",0,MAX(0,$AJ35/12))</f>
        <v>0</v>
      </c>
      <c r="AU35" s="70" t="n">
        <f aca="false">MAX(Amort_Min,Amort_Term-$AH35/12)</f>
        <v>23.8333333333333</v>
      </c>
      <c r="AV35" s="70" t="n">
        <f aca="false">MIN($AS35,Hold_Yrs)</f>
        <v>3.83572895277207</v>
      </c>
      <c r="AW35" s="26" t="n">
        <f aca="false">IF($AN35=0,0,CEILING(MAX($AS35,0.0001),1))</f>
        <v>4</v>
      </c>
      <c r="AX35" s="26" t="n">
        <f aca="false">IF(AND($AN35=1,MAX($AS35,0.0001)&lt;=Hold_Yrs),1,0)</f>
        <v>1</v>
      </c>
      <c r="AY35" s="71" t="n">
        <f aca="false">$R35*$AO35</f>
        <v>131347140</v>
      </c>
      <c r="AZ35" s="71" t="n">
        <f aca="false">$R35*Acc_Int*$AN35</f>
        <v>209596.5</v>
      </c>
      <c r="BA35" s="71" t="n">
        <f aca="false">$AY35*Acq_Cost</f>
        <v>985103.55</v>
      </c>
      <c r="BB35" s="71" t="n">
        <f aca="false">$AY35+$AZ35+$BA35</f>
        <v>132541840.05</v>
      </c>
      <c r="BC35" s="71" t="n">
        <f aca="false">IF(Fin_Flag="Yes",$AY35*Adv_Rate,0)</f>
        <v>78808284</v>
      </c>
      <c r="BD35" s="71" t="n">
        <f aca="false">$BC35*Fin_UpFee</f>
        <v>394041.42</v>
      </c>
      <c r="BE35" s="71" t="n">
        <f aca="false">$BB35-$BC35+$BD35</f>
        <v>54127597.47</v>
      </c>
    </row>
    <row r="36" customFormat="false" ht="14.25" hidden="false" customHeight="false" outlineLevel="0" collapsed="false">
      <c r="A36" s="61" t="s">
        <v>321</v>
      </c>
      <c r="B36" s="62" t="s">
        <v>322</v>
      </c>
      <c r="C36" s="61" t="s">
        <v>323</v>
      </c>
      <c r="D36" s="61" t="s">
        <v>228</v>
      </c>
      <c r="E36" s="61" t="s">
        <v>222</v>
      </c>
      <c r="F36" s="63" t="n">
        <v>423</v>
      </c>
      <c r="G36" s="64" t="n">
        <v>43983</v>
      </c>
      <c r="H36" s="64" t="n">
        <v>45809</v>
      </c>
      <c r="I36" s="63" t="n">
        <v>59</v>
      </c>
      <c r="J36" s="63" t="n">
        <v>24</v>
      </c>
      <c r="K36" s="61" t="s">
        <v>209</v>
      </c>
      <c r="L36" s="65"/>
      <c r="M36" s="65" t="n">
        <v>0.0357</v>
      </c>
      <c r="N36" s="61" t="s">
        <v>210</v>
      </c>
      <c r="O36" s="64" t="n">
        <v>46295</v>
      </c>
      <c r="P36" s="65" t="n">
        <v>0.0945</v>
      </c>
      <c r="Q36" s="65" t="n">
        <v>0.0342</v>
      </c>
      <c r="R36" s="66" t="n">
        <v>43757000</v>
      </c>
      <c r="S36" s="65" t="n">
        <v>0.914</v>
      </c>
      <c r="T36" s="65" t="n">
        <v>0.0533</v>
      </c>
      <c r="U36" s="67" t="n">
        <v>1.72</v>
      </c>
      <c r="V36" s="65" t="n">
        <v>0.583</v>
      </c>
      <c r="W36" s="65" t="n">
        <v>0.624</v>
      </c>
      <c r="X36" s="63" t="n">
        <v>2008</v>
      </c>
      <c r="Y36" s="63" t="n">
        <v>2013</v>
      </c>
      <c r="Z36" s="61" t="s">
        <v>211</v>
      </c>
      <c r="AA36" s="61" t="s">
        <v>238</v>
      </c>
      <c r="AB36" s="61" t="s">
        <v>231</v>
      </c>
      <c r="AC36" s="61" t="s">
        <v>213</v>
      </c>
      <c r="AD36" s="61" t="s">
        <v>214</v>
      </c>
      <c r="AE36" s="61" t="s">
        <v>215</v>
      </c>
      <c r="AF36" s="61" t="s">
        <v>216</v>
      </c>
      <c r="AG36" s="61" t="s">
        <v>265</v>
      </c>
      <c r="AH36" s="68" t="n">
        <f aca="false">IF(G36="",0,ROUND((Strats!$C$4-G36)/30.4375,1))</f>
        <v>76</v>
      </c>
      <c r="AI36" s="69" t="n">
        <f aca="false">IF(K36="",0,IF(K36="Floating",Strats!$C$10+M36,L36))</f>
        <v>0.0807</v>
      </c>
      <c r="AJ36" s="68" t="n">
        <f aca="false">IF(OR(Z36="",Z36="Full Amortizing"),"",MAX(J36-AH36,0))</f>
        <v>0</v>
      </c>
      <c r="AK36" s="69" t="n">
        <f aca="false">IF(K36="",0,IF(K36="Floating",IF(P36&lt;&gt;"",MIN(IF(Q36&lt;&gt;"",MAX((Strats!$C$10+Strats!$C$11+M36),Q36),(Strats!$C$10+Strats!$C$11+M36)),P36),IF(Q36&lt;&gt;"",MAX((Strats!$C$10+Strats!$C$11+M36),Q36),(Strats!$C$10+Strats!$C$11+M36))),AI36))</f>
        <v>0.0945</v>
      </c>
      <c r="AL36" s="68" t="str">
        <f aca="false">IF(OR(E36="",E36&lt;&gt;'Deal Strat'!$C$12,R36=""),"",SUMPRODUCT((E$4:E$303='Deal Strat'!$C$12)*(R$4:R$303&gt;R36))+1+SUMPRODUCT((E$4:E$303='Deal Strat'!$C$12)*(R$4:R$303=R36)*(ROW(R$4:R$303)&lt;ROW(R36))))</f>
        <v/>
      </c>
      <c r="AM36" s="68" t="n">
        <f aca="false">IF(R36="","",RANK(R36,$R$4:$R$303,0)+COUNTIF($R$4:R36,R36)-1)</f>
        <v>25</v>
      </c>
      <c r="AN36" s="26" t="n">
        <f aca="false">IF(OR($A36="",$R36=""),0,IF(Deal_Scope="All Deals",1,IF($E36=Deal_Scope,1,0)))</f>
        <v>1</v>
      </c>
      <c r="AO36" s="56" t="n">
        <f aca="false">IF($AN36=0,0,Px_Par)</f>
        <v>0.94</v>
      </c>
      <c r="AP36" s="70" t="n">
        <f aca="false">IF($H36="",0,MAX(0,($H36-Set_Date)/30.4375))</f>
        <v>0</v>
      </c>
      <c r="AQ36" s="26" t="n">
        <f aca="false">IF(AND(Ext_Flag="Yes",$AA36="Yes"),Ext_Months,0)</f>
        <v>0</v>
      </c>
      <c r="AR36" s="70" t="n">
        <f aca="false">$AP36+$AQ36</f>
        <v>0</v>
      </c>
      <c r="AS36" s="70" t="n">
        <f aca="false">$AR36/12</f>
        <v>0</v>
      </c>
      <c r="AT36" s="70" t="n">
        <f aca="false">IF($AJ36="",0,MAX(0,$AJ36/12))</f>
        <v>0</v>
      </c>
      <c r="AU36" s="70" t="n">
        <f aca="false">MAX(Amort_Min,Amort_Term-$AH36/12)</f>
        <v>23.6666666666667</v>
      </c>
      <c r="AV36" s="70" t="n">
        <f aca="false">MIN($AS36,Hold_Yrs)</f>
        <v>0</v>
      </c>
      <c r="AW36" s="26" t="n">
        <f aca="false">IF($AN36=0,0,CEILING(MAX($AS36,0.0001),1))</f>
        <v>1</v>
      </c>
      <c r="AX36" s="26" t="n">
        <f aca="false">IF(AND($AN36=1,MAX($AS36,0.0001)&lt;=Hold_Yrs),1,0)</f>
        <v>1</v>
      </c>
      <c r="AY36" s="71" t="n">
        <f aca="false">$R36*$AO36</f>
        <v>41131580</v>
      </c>
      <c r="AZ36" s="71" t="n">
        <f aca="false">$R36*Acc_Int*$AN36</f>
        <v>65635.5</v>
      </c>
      <c r="BA36" s="71" t="n">
        <f aca="false">$AY36*Acq_Cost</f>
        <v>308486.85</v>
      </c>
      <c r="BB36" s="71" t="n">
        <f aca="false">$AY36+$AZ36+$BA36</f>
        <v>41505702.35</v>
      </c>
      <c r="BC36" s="71" t="n">
        <f aca="false">IF(Fin_Flag="Yes",$AY36*Adv_Rate,0)</f>
        <v>24678948</v>
      </c>
      <c r="BD36" s="71" t="n">
        <f aca="false">$BC36*Fin_UpFee</f>
        <v>123394.74</v>
      </c>
      <c r="BE36" s="71" t="n">
        <f aca="false">$BB36-$BC36+$BD36</f>
        <v>16950149.09</v>
      </c>
    </row>
    <row r="37" customFormat="false" ht="14.25" hidden="false" customHeight="false" outlineLevel="0" collapsed="false">
      <c r="A37" s="61" t="s">
        <v>324</v>
      </c>
      <c r="B37" s="62" t="s">
        <v>325</v>
      </c>
      <c r="C37" s="61" t="s">
        <v>268</v>
      </c>
      <c r="D37" s="61" t="s">
        <v>228</v>
      </c>
      <c r="E37" s="61" t="s">
        <v>259</v>
      </c>
      <c r="F37" s="63" t="n">
        <v>152</v>
      </c>
      <c r="G37" s="64" t="n">
        <v>44317</v>
      </c>
      <c r="H37" s="64" t="n">
        <v>47969</v>
      </c>
      <c r="I37" s="63" t="n">
        <v>119</v>
      </c>
      <c r="J37" s="63" t="n">
        <v>12</v>
      </c>
      <c r="K37" s="61" t="s">
        <v>245</v>
      </c>
      <c r="L37" s="65" t="n">
        <v>0.0486</v>
      </c>
      <c r="M37" s="65"/>
      <c r="N37" s="61" t="s">
        <v>246</v>
      </c>
      <c r="O37" s="64"/>
      <c r="P37" s="65"/>
      <c r="Q37" s="65"/>
      <c r="R37" s="66" t="n">
        <v>11376000</v>
      </c>
      <c r="S37" s="65" t="n">
        <v>0.901</v>
      </c>
      <c r="T37" s="65" t="n">
        <v>0.1039</v>
      </c>
      <c r="U37" s="67" t="n">
        <v>1.24</v>
      </c>
      <c r="V37" s="65" t="n">
        <v>0.724</v>
      </c>
      <c r="W37" s="65" t="n">
        <v>0.755</v>
      </c>
      <c r="X37" s="63" t="n">
        <v>2003</v>
      </c>
      <c r="Y37" s="63" t="n">
        <v>2016</v>
      </c>
      <c r="Z37" s="61" t="s">
        <v>211</v>
      </c>
      <c r="AA37" s="61" t="s">
        <v>87</v>
      </c>
      <c r="AB37" s="61" t="s">
        <v>231</v>
      </c>
      <c r="AC37" s="61" t="s">
        <v>213</v>
      </c>
      <c r="AD37" s="61" t="s">
        <v>214</v>
      </c>
      <c r="AE37" s="61" t="s">
        <v>224</v>
      </c>
      <c r="AF37" s="61" t="s">
        <v>216</v>
      </c>
      <c r="AG37" s="61" t="s">
        <v>217</v>
      </c>
      <c r="AH37" s="68" t="n">
        <f aca="false">IF(G37="",0,ROUND((Strats!$C$4-G37)/30.4375,1))</f>
        <v>65</v>
      </c>
      <c r="AI37" s="69" t="n">
        <f aca="false">IF(K37="",0,IF(K37="Floating",Strats!$C$10+M37,L37))</f>
        <v>0.0486</v>
      </c>
      <c r="AJ37" s="68" t="n">
        <f aca="false">IF(OR(Z37="",Z37="Full Amortizing"),"",MAX(J37-AH37,0))</f>
        <v>0</v>
      </c>
      <c r="AK37" s="69" t="n">
        <f aca="false">IF(K37="",0,IF(K37="Floating",IF(P37&lt;&gt;"",MIN(IF(Q37&lt;&gt;"",MAX((Strats!$C$10+Strats!$C$11+M37),Q37),(Strats!$C$10+Strats!$C$11+M37)),P37),IF(Q37&lt;&gt;"",MAX((Strats!$C$10+Strats!$C$11+M37),Q37),(Strats!$C$10+Strats!$C$11+M37))),AI37))</f>
        <v>0.0486</v>
      </c>
      <c r="AL37" s="68" t="str">
        <f aca="false">IF(OR(E37="",E37&lt;&gt;'Deal Strat'!$C$12,R37=""),"",SUMPRODUCT((E$4:E$303='Deal Strat'!$C$12)*(R$4:R$303&gt;R37))+1+SUMPRODUCT((E$4:E$303='Deal Strat'!$C$12)*(R$4:R$303=R37)*(ROW(R$4:R$303)&lt;ROW(R37))))</f>
        <v/>
      </c>
      <c r="AM37" s="68" t="n">
        <f aca="false">IF(R37="","",RANK(R37,$R$4:$R$303,0)+COUNTIF($R$4:R37,R37)-1)</f>
        <v>37</v>
      </c>
      <c r="AN37" s="26" t="n">
        <f aca="false">IF(OR($A37="",$R37=""),0,IF(Deal_Scope="All Deals",1,IF($E37=Deal_Scope,1,0)))</f>
        <v>1</v>
      </c>
      <c r="AO37" s="56" t="n">
        <f aca="false">IF($AN37=0,0,Px_Par)</f>
        <v>0.94</v>
      </c>
      <c r="AP37" s="70" t="n">
        <f aca="false">IF($H37="",0,MAX(0,($H37-Set_Date)/30.4375))</f>
        <v>54.9979466119097</v>
      </c>
      <c r="AQ37" s="26" t="n">
        <f aca="false">IF(AND(Ext_Flag="Yes",$AA37="Yes"),Ext_Months,0)</f>
        <v>12</v>
      </c>
      <c r="AR37" s="70" t="n">
        <f aca="false">$AP37+$AQ37</f>
        <v>66.9979466119097</v>
      </c>
      <c r="AS37" s="70" t="n">
        <f aca="false">$AR37/12</f>
        <v>5.58316221765914</v>
      </c>
      <c r="AT37" s="70" t="n">
        <f aca="false">IF($AJ37="",0,MAX(0,$AJ37/12))</f>
        <v>0</v>
      </c>
      <c r="AU37" s="70" t="n">
        <f aca="false">MAX(Amort_Min,Amort_Term-$AH37/12)</f>
        <v>24.5833333333333</v>
      </c>
      <c r="AV37" s="70" t="n">
        <f aca="false">MIN($AS37,Hold_Yrs)</f>
        <v>5</v>
      </c>
      <c r="AW37" s="26" t="n">
        <f aca="false">IF($AN37=0,0,CEILING(MAX($AS37,0.0001),1))</f>
        <v>6</v>
      </c>
      <c r="AX37" s="26" t="n">
        <f aca="false">IF(AND($AN37=1,MAX($AS37,0.0001)&lt;=Hold_Yrs),1,0)</f>
        <v>0</v>
      </c>
      <c r="AY37" s="71" t="n">
        <f aca="false">$R37*$AO37</f>
        <v>10693440</v>
      </c>
      <c r="AZ37" s="71" t="n">
        <f aca="false">$R37*Acc_Int*$AN37</f>
        <v>17064</v>
      </c>
      <c r="BA37" s="71" t="n">
        <f aca="false">$AY37*Acq_Cost</f>
        <v>80200.8</v>
      </c>
      <c r="BB37" s="71" t="n">
        <f aca="false">$AY37+$AZ37+$BA37</f>
        <v>10790704.8</v>
      </c>
      <c r="BC37" s="71" t="n">
        <f aca="false">IF(Fin_Flag="Yes",$AY37*Adv_Rate,0)</f>
        <v>6416064</v>
      </c>
      <c r="BD37" s="71" t="n">
        <f aca="false">$BC37*Fin_UpFee</f>
        <v>32080.32</v>
      </c>
      <c r="BE37" s="71" t="n">
        <f aca="false">$BB37-$BC37+$BD37</f>
        <v>4406721.12</v>
      </c>
    </row>
    <row r="38" customFormat="false" ht="14.25" hidden="false" customHeight="false" outlineLevel="0" collapsed="false">
      <c r="A38" s="61" t="s">
        <v>326</v>
      </c>
      <c r="B38" s="62" t="s">
        <v>327</v>
      </c>
      <c r="C38" s="61" t="s">
        <v>306</v>
      </c>
      <c r="D38" s="61" t="s">
        <v>228</v>
      </c>
      <c r="E38" s="61" t="s">
        <v>252</v>
      </c>
      <c r="F38" s="63" t="n">
        <v>184</v>
      </c>
      <c r="G38" s="64" t="n">
        <v>43160</v>
      </c>
      <c r="H38" s="64" t="n">
        <v>46813</v>
      </c>
      <c r="I38" s="63" t="n">
        <v>119</v>
      </c>
      <c r="J38" s="63" t="n">
        <v>36</v>
      </c>
      <c r="K38" s="61" t="s">
        <v>209</v>
      </c>
      <c r="L38" s="65"/>
      <c r="M38" s="65" t="n">
        <v>0.0199</v>
      </c>
      <c r="N38" s="61" t="s">
        <v>230</v>
      </c>
      <c r="O38" s="64" t="n">
        <v>46295</v>
      </c>
      <c r="P38" s="65" t="n">
        <v>0.0911</v>
      </c>
      <c r="Q38" s="65" t="n">
        <v>0.0347</v>
      </c>
      <c r="R38" s="66" t="n">
        <v>63125000</v>
      </c>
      <c r="S38" s="65" t="n">
        <v>0.817</v>
      </c>
      <c r="T38" s="65" t="n">
        <v>0.0745</v>
      </c>
      <c r="U38" s="67" t="n">
        <v>1.5</v>
      </c>
      <c r="V38" s="65" t="n">
        <v>0.583</v>
      </c>
      <c r="W38" s="65" t="n">
        <v>0.613</v>
      </c>
      <c r="X38" s="63" t="n">
        <v>1985</v>
      </c>
      <c r="Y38" s="63" t="n">
        <v>2009</v>
      </c>
      <c r="Z38" s="61" t="s">
        <v>211</v>
      </c>
      <c r="AA38" s="61" t="s">
        <v>87</v>
      </c>
      <c r="AB38" s="61" t="s">
        <v>231</v>
      </c>
      <c r="AC38" s="61" t="s">
        <v>213</v>
      </c>
      <c r="AD38" s="61" t="s">
        <v>232</v>
      </c>
      <c r="AE38" s="61" t="s">
        <v>215</v>
      </c>
      <c r="AF38" s="61" t="s">
        <v>216</v>
      </c>
      <c r="AG38" s="61" t="s">
        <v>217</v>
      </c>
      <c r="AH38" s="68" t="n">
        <f aca="false">IF(G38="",0,ROUND((Strats!$C$4-G38)/30.4375,1))</f>
        <v>103</v>
      </c>
      <c r="AI38" s="69" t="n">
        <f aca="false">IF(K38="",0,IF(K38="Floating",Strats!$C$10+M38,L38))</f>
        <v>0.0649</v>
      </c>
      <c r="AJ38" s="68" t="n">
        <f aca="false">IF(OR(Z38="",Z38="Full Amortizing"),"",MAX(J38-AH38,0))</f>
        <v>0</v>
      </c>
      <c r="AK38" s="69" t="n">
        <f aca="false">IF(K38="",0,IF(K38="Floating",IF(P38&lt;&gt;"",MIN(IF(Q38&lt;&gt;"",MAX((Strats!$C$10+Strats!$C$11+M38),Q38),(Strats!$C$10+Strats!$C$11+M38)),P38),IF(Q38&lt;&gt;"",MAX((Strats!$C$10+Strats!$C$11+M38),Q38),(Strats!$C$10+Strats!$C$11+M38))),AI38))</f>
        <v>0.0799</v>
      </c>
      <c r="AL38" s="68" t="n">
        <f aca="false">IF(OR(E38="",E38&lt;&gt;'Deal Strat'!$C$12,R38=""),"",SUMPRODUCT((E$4:E$303='Deal Strat'!$C$12)*(R$4:R$303&gt;R38))+1+SUMPRODUCT((E$4:E$303='Deal Strat'!$C$12)*(R$4:R$303=R38)*(ROW(R$4:R$303)&lt;ROW(R38))))</f>
        <v>3</v>
      </c>
      <c r="AM38" s="68" t="n">
        <f aca="false">IF(R38="","",RANK(R38,$R$4:$R$303,0)+COUNTIF($R$4:R38,R38)-1)</f>
        <v>18</v>
      </c>
      <c r="AN38" s="26" t="n">
        <f aca="false">IF(OR($A38="",$R38=""),0,IF(Deal_Scope="All Deals",1,IF($E38=Deal_Scope,1,0)))</f>
        <v>1</v>
      </c>
      <c r="AO38" s="56" t="n">
        <f aca="false">IF($AN38=0,0,Px_Par)</f>
        <v>0.94</v>
      </c>
      <c r="AP38" s="70" t="n">
        <f aca="false">IF($H38="",0,MAX(0,($H38-Set_Date)/30.4375))</f>
        <v>17.0184804928131</v>
      </c>
      <c r="AQ38" s="26" t="n">
        <f aca="false">IF(AND(Ext_Flag="Yes",$AA38="Yes"),Ext_Months,0)</f>
        <v>12</v>
      </c>
      <c r="AR38" s="70" t="n">
        <f aca="false">$AP38+$AQ38</f>
        <v>29.0184804928131</v>
      </c>
      <c r="AS38" s="70" t="n">
        <f aca="false">$AR38/12</f>
        <v>2.41820670773443</v>
      </c>
      <c r="AT38" s="70" t="n">
        <f aca="false">IF($AJ38="",0,MAX(0,$AJ38/12))</f>
        <v>0</v>
      </c>
      <c r="AU38" s="70" t="n">
        <f aca="false">MAX(Amort_Min,Amort_Term-$AH38/12)</f>
        <v>21.4166666666667</v>
      </c>
      <c r="AV38" s="70" t="n">
        <f aca="false">MIN($AS38,Hold_Yrs)</f>
        <v>2.41820670773443</v>
      </c>
      <c r="AW38" s="26" t="n">
        <f aca="false">IF($AN38=0,0,CEILING(MAX($AS38,0.0001),1))</f>
        <v>3</v>
      </c>
      <c r="AX38" s="26" t="n">
        <f aca="false">IF(AND($AN38=1,MAX($AS38,0.0001)&lt;=Hold_Yrs),1,0)</f>
        <v>1</v>
      </c>
      <c r="AY38" s="71" t="n">
        <f aca="false">$R38*$AO38</f>
        <v>59337500</v>
      </c>
      <c r="AZ38" s="71" t="n">
        <f aca="false">$R38*Acc_Int*$AN38</f>
        <v>94687.5</v>
      </c>
      <c r="BA38" s="71" t="n">
        <f aca="false">$AY38*Acq_Cost</f>
        <v>445031.25</v>
      </c>
      <c r="BB38" s="71" t="n">
        <f aca="false">$AY38+$AZ38+$BA38</f>
        <v>59877218.75</v>
      </c>
      <c r="BC38" s="71" t="n">
        <f aca="false">IF(Fin_Flag="Yes",$AY38*Adv_Rate,0)</f>
        <v>35602500</v>
      </c>
      <c r="BD38" s="71" t="n">
        <f aca="false">$BC38*Fin_UpFee</f>
        <v>178012.5</v>
      </c>
      <c r="BE38" s="71" t="n">
        <f aca="false">$BB38-$BC38+$BD38</f>
        <v>24452731.25</v>
      </c>
    </row>
    <row r="39" customFormat="false" ht="14.25" hidden="false" customHeight="false" outlineLevel="0" collapsed="false">
      <c r="A39" s="61" t="s">
        <v>328</v>
      </c>
      <c r="B39" s="62" t="s">
        <v>329</v>
      </c>
      <c r="C39" s="61" t="s">
        <v>243</v>
      </c>
      <c r="D39" s="61" t="s">
        <v>228</v>
      </c>
      <c r="E39" s="61" t="s">
        <v>208</v>
      </c>
      <c r="F39" s="63" t="n">
        <v>250</v>
      </c>
      <c r="G39" s="64" t="n">
        <v>43191</v>
      </c>
      <c r="H39" s="64" t="n">
        <v>45017</v>
      </c>
      <c r="I39" s="63" t="n">
        <v>60</v>
      </c>
      <c r="J39" s="63" t="n">
        <v>24</v>
      </c>
      <c r="K39" s="61" t="s">
        <v>245</v>
      </c>
      <c r="L39" s="65" t="n">
        <v>0.0589</v>
      </c>
      <c r="M39" s="65"/>
      <c r="N39" s="61" t="s">
        <v>246</v>
      </c>
      <c r="O39" s="64"/>
      <c r="P39" s="65"/>
      <c r="Q39" s="65"/>
      <c r="R39" s="66" t="n">
        <v>38265000</v>
      </c>
      <c r="S39" s="65" t="n">
        <v>0.908</v>
      </c>
      <c r="T39" s="65" t="n">
        <v>0.1002</v>
      </c>
      <c r="U39" s="67" t="n">
        <v>0.84</v>
      </c>
      <c r="V39" s="65" t="n">
        <v>0.845</v>
      </c>
      <c r="W39" s="65" t="n">
        <v>0.88</v>
      </c>
      <c r="X39" s="63" t="n">
        <v>2013</v>
      </c>
      <c r="Y39" s="63"/>
      <c r="Z39" s="61" t="s">
        <v>211</v>
      </c>
      <c r="AA39" s="61" t="s">
        <v>87</v>
      </c>
      <c r="AB39" s="61" t="s">
        <v>275</v>
      </c>
      <c r="AC39" s="61" t="s">
        <v>213</v>
      </c>
      <c r="AD39" s="61" t="s">
        <v>232</v>
      </c>
      <c r="AE39" s="61" t="s">
        <v>224</v>
      </c>
      <c r="AF39" s="61" t="s">
        <v>330</v>
      </c>
      <c r="AG39" s="61" t="s">
        <v>217</v>
      </c>
      <c r="AH39" s="68" t="n">
        <f aca="false">IF(G39="",0,ROUND((Strats!$C$4-G39)/30.4375,1))</f>
        <v>102</v>
      </c>
      <c r="AI39" s="69" t="n">
        <f aca="false">IF(K39="",0,IF(K39="Floating",Strats!$C$10+M39,L39))</f>
        <v>0.0589</v>
      </c>
      <c r="AJ39" s="68" t="n">
        <f aca="false">IF(OR(Z39="",Z39="Full Amortizing"),"",MAX(J39-AH39,0))</f>
        <v>0</v>
      </c>
      <c r="AK39" s="69" t="n">
        <f aca="false">IF(K39="",0,IF(K39="Floating",IF(P39&lt;&gt;"",MIN(IF(Q39&lt;&gt;"",MAX((Strats!$C$10+Strats!$C$11+M39),Q39),(Strats!$C$10+Strats!$C$11+M39)),P39),IF(Q39&lt;&gt;"",MAX((Strats!$C$10+Strats!$C$11+M39),Q39),(Strats!$C$10+Strats!$C$11+M39))),AI39))</f>
        <v>0.0589</v>
      </c>
      <c r="AL39" s="68" t="str">
        <f aca="false">IF(OR(E39="",E39&lt;&gt;'Deal Strat'!$C$12,R39=""),"",SUMPRODUCT((E$4:E$303='Deal Strat'!$C$12)*(R$4:R$303&gt;R39))+1+SUMPRODUCT((E$4:E$303='Deal Strat'!$C$12)*(R$4:R$303=R39)*(ROW(R$4:R$303)&lt;ROW(R39))))</f>
        <v/>
      </c>
      <c r="AM39" s="68" t="n">
        <f aca="false">IF(R39="","",RANK(R39,$R$4:$R$303,0)+COUNTIF($R$4:R39,R39)-1)</f>
        <v>27</v>
      </c>
      <c r="AN39" s="26" t="n">
        <f aca="false">IF(OR($A39="",$R39=""),0,IF(Deal_Scope="All Deals",1,IF($E39=Deal_Scope,1,0)))</f>
        <v>1</v>
      </c>
      <c r="AO39" s="56" t="n">
        <f aca="false">IF($AN39=0,0,Px_Par)</f>
        <v>0.94</v>
      </c>
      <c r="AP39" s="70" t="n">
        <f aca="false">IF($H39="",0,MAX(0,($H39-Set_Date)/30.4375))</f>
        <v>0</v>
      </c>
      <c r="AQ39" s="26" t="n">
        <f aca="false">IF(AND(Ext_Flag="Yes",$AA39="Yes"),Ext_Months,0)</f>
        <v>12</v>
      </c>
      <c r="AR39" s="70" t="n">
        <f aca="false">$AP39+$AQ39</f>
        <v>12</v>
      </c>
      <c r="AS39" s="70" t="n">
        <f aca="false">$AR39/12</f>
        <v>1</v>
      </c>
      <c r="AT39" s="70" t="n">
        <f aca="false">IF($AJ39="",0,MAX(0,$AJ39/12))</f>
        <v>0</v>
      </c>
      <c r="AU39" s="70" t="n">
        <f aca="false">MAX(Amort_Min,Amort_Term-$AH39/12)</f>
        <v>21.5</v>
      </c>
      <c r="AV39" s="70" t="n">
        <f aca="false">MIN($AS39,Hold_Yrs)</f>
        <v>1</v>
      </c>
      <c r="AW39" s="26" t="n">
        <f aca="false">IF($AN39=0,0,CEILING(MAX($AS39,0.0001),1))</f>
        <v>1</v>
      </c>
      <c r="AX39" s="26" t="n">
        <f aca="false">IF(AND($AN39=1,MAX($AS39,0.0001)&lt;=Hold_Yrs),1,0)</f>
        <v>1</v>
      </c>
      <c r="AY39" s="71" t="n">
        <f aca="false">$R39*$AO39</f>
        <v>35969100</v>
      </c>
      <c r="AZ39" s="71" t="n">
        <f aca="false">$R39*Acc_Int*$AN39</f>
        <v>57397.5</v>
      </c>
      <c r="BA39" s="71" t="n">
        <f aca="false">$AY39*Acq_Cost</f>
        <v>269768.25</v>
      </c>
      <c r="BB39" s="71" t="n">
        <f aca="false">$AY39+$AZ39+$BA39</f>
        <v>36296265.75</v>
      </c>
      <c r="BC39" s="71" t="n">
        <f aca="false">IF(Fin_Flag="Yes",$AY39*Adv_Rate,0)</f>
        <v>21581460</v>
      </c>
      <c r="BD39" s="71" t="n">
        <f aca="false">$BC39*Fin_UpFee</f>
        <v>107907.3</v>
      </c>
      <c r="BE39" s="71" t="n">
        <f aca="false">$BB39-$BC39+$BD39</f>
        <v>14822713.05</v>
      </c>
    </row>
    <row r="40" customFormat="false" ht="14.25" hidden="false" customHeight="false" outlineLevel="0" collapsed="false">
      <c r="A40" s="61" t="s">
        <v>331</v>
      </c>
      <c r="B40" s="62" t="s">
        <v>332</v>
      </c>
      <c r="C40" s="61" t="s">
        <v>220</v>
      </c>
      <c r="D40" s="61" t="s">
        <v>228</v>
      </c>
      <c r="E40" s="61" t="s">
        <v>263</v>
      </c>
      <c r="F40" s="63" t="n">
        <v>487</v>
      </c>
      <c r="G40" s="64" t="n">
        <v>43040</v>
      </c>
      <c r="H40" s="64" t="n">
        <v>44866</v>
      </c>
      <c r="I40" s="63" t="n">
        <v>59</v>
      </c>
      <c r="J40" s="63" t="n">
        <v>60</v>
      </c>
      <c r="K40" s="61" t="s">
        <v>209</v>
      </c>
      <c r="L40" s="65"/>
      <c r="M40" s="65" t="n">
        <v>0.0305</v>
      </c>
      <c r="N40" s="61" t="s">
        <v>210</v>
      </c>
      <c r="O40" s="64" t="n">
        <v>46355</v>
      </c>
      <c r="P40" s="65"/>
      <c r="Q40" s="65"/>
      <c r="R40" s="66" t="n">
        <v>32760000</v>
      </c>
      <c r="S40" s="65" t="n">
        <v>0.948</v>
      </c>
      <c r="T40" s="65" t="n">
        <v>0.0751</v>
      </c>
      <c r="U40" s="67" t="n">
        <v>0.88</v>
      </c>
      <c r="V40" s="65" t="n">
        <v>0.783</v>
      </c>
      <c r="W40" s="65" t="n">
        <v>0.801</v>
      </c>
      <c r="X40" s="63" t="n">
        <v>1968</v>
      </c>
      <c r="Y40" s="63" t="n">
        <v>1983</v>
      </c>
      <c r="Z40" s="61" t="s">
        <v>211</v>
      </c>
      <c r="AA40" s="61" t="s">
        <v>238</v>
      </c>
      <c r="AB40" s="61" t="s">
        <v>223</v>
      </c>
      <c r="AC40" s="61" t="s">
        <v>213</v>
      </c>
      <c r="AD40" s="61" t="s">
        <v>214</v>
      </c>
      <c r="AE40" s="61" t="s">
        <v>224</v>
      </c>
      <c r="AF40" s="61" t="s">
        <v>333</v>
      </c>
      <c r="AG40" s="61" t="s">
        <v>217</v>
      </c>
      <c r="AH40" s="68" t="n">
        <f aca="false">IF(G40="",0,ROUND((Strats!$C$4-G40)/30.4375,1))</f>
        <v>106.9</v>
      </c>
      <c r="AI40" s="69" t="n">
        <f aca="false">IF(K40="",0,IF(K40="Floating",Strats!$C$10+M40,L40))</f>
        <v>0.0755</v>
      </c>
      <c r="AJ40" s="68" t="n">
        <f aca="false">IF(OR(Z40="",Z40="Full Amortizing"),"",MAX(J40-AH40,0))</f>
        <v>0</v>
      </c>
      <c r="AK40" s="69" t="n">
        <f aca="false">IF(K40="",0,IF(K40="Floating",IF(P40&lt;&gt;"",MIN(IF(Q40&lt;&gt;"",MAX((Strats!$C$10+Strats!$C$11+M40),Q40),(Strats!$C$10+Strats!$C$11+M40)),P40),IF(Q40&lt;&gt;"",MAX((Strats!$C$10+Strats!$C$11+M40),Q40),(Strats!$C$10+Strats!$C$11+M40))),AI40))</f>
        <v>0.0905</v>
      </c>
      <c r="AL40" s="68" t="str">
        <f aca="false">IF(OR(E40="",E40&lt;&gt;'Deal Strat'!$C$12,R40=""),"",SUMPRODUCT((E$4:E$303='Deal Strat'!$C$12)*(R$4:R$303&gt;R40))+1+SUMPRODUCT((E$4:E$303='Deal Strat'!$C$12)*(R$4:R$303=R40)*(ROW(R$4:R$303)&lt;ROW(R40))))</f>
        <v/>
      </c>
      <c r="AM40" s="68" t="n">
        <f aca="false">IF(R40="","",RANK(R40,$R$4:$R$303,0)+COUNTIF($R$4:R40,R40)-1)</f>
        <v>29</v>
      </c>
      <c r="AN40" s="26" t="n">
        <f aca="false">IF(OR($A40="",$R40=""),0,IF(Deal_Scope="All Deals",1,IF($E40=Deal_Scope,1,0)))</f>
        <v>1</v>
      </c>
      <c r="AO40" s="56" t="n">
        <f aca="false">IF($AN40=0,0,Px_Par)</f>
        <v>0.94</v>
      </c>
      <c r="AP40" s="70" t="n">
        <f aca="false">IF($H40="",0,MAX(0,($H40-Set_Date)/30.4375))</f>
        <v>0</v>
      </c>
      <c r="AQ40" s="26" t="n">
        <f aca="false">IF(AND(Ext_Flag="Yes",$AA40="Yes"),Ext_Months,0)</f>
        <v>0</v>
      </c>
      <c r="AR40" s="70" t="n">
        <f aca="false">$AP40+$AQ40</f>
        <v>0</v>
      </c>
      <c r="AS40" s="70" t="n">
        <f aca="false">$AR40/12</f>
        <v>0</v>
      </c>
      <c r="AT40" s="70" t="n">
        <f aca="false">IF($AJ40="",0,MAX(0,$AJ40/12))</f>
        <v>0</v>
      </c>
      <c r="AU40" s="70" t="n">
        <f aca="false">MAX(Amort_Min,Amort_Term-$AH40/12)</f>
        <v>21.0916666666667</v>
      </c>
      <c r="AV40" s="70" t="n">
        <f aca="false">MIN($AS40,Hold_Yrs)</f>
        <v>0</v>
      </c>
      <c r="AW40" s="26" t="n">
        <f aca="false">IF($AN40=0,0,CEILING(MAX($AS40,0.0001),1))</f>
        <v>1</v>
      </c>
      <c r="AX40" s="26" t="n">
        <f aca="false">IF(AND($AN40=1,MAX($AS40,0.0001)&lt;=Hold_Yrs),1,0)</f>
        <v>1</v>
      </c>
      <c r="AY40" s="71" t="n">
        <f aca="false">$R40*$AO40</f>
        <v>30794400</v>
      </c>
      <c r="AZ40" s="71" t="n">
        <f aca="false">$R40*Acc_Int*$AN40</f>
        <v>49140</v>
      </c>
      <c r="BA40" s="71" t="n">
        <f aca="false">$AY40*Acq_Cost</f>
        <v>230958</v>
      </c>
      <c r="BB40" s="71" t="n">
        <f aca="false">$AY40+$AZ40+$BA40</f>
        <v>31074498</v>
      </c>
      <c r="BC40" s="71" t="n">
        <f aca="false">IF(Fin_Flag="Yes",$AY40*Adv_Rate,0)</f>
        <v>18476640</v>
      </c>
      <c r="BD40" s="71" t="n">
        <f aca="false">$BC40*Fin_UpFee</f>
        <v>92383.2</v>
      </c>
      <c r="BE40" s="71" t="n">
        <f aca="false">$BB40-$BC40+$BD40</f>
        <v>12690241.2</v>
      </c>
    </row>
    <row r="41" customFormat="false" ht="14.25" hidden="false" customHeight="false" outlineLevel="0" collapsed="false">
      <c r="A41" s="61" t="s">
        <v>334</v>
      </c>
      <c r="B41" s="62" t="s">
        <v>335</v>
      </c>
      <c r="C41" s="61" t="s">
        <v>323</v>
      </c>
      <c r="D41" s="61" t="s">
        <v>207</v>
      </c>
      <c r="E41" s="61" t="s">
        <v>229</v>
      </c>
      <c r="F41" s="63"/>
      <c r="G41" s="64" t="n">
        <v>45597</v>
      </c>
      <c r="H41" s="64" t="n">
        <v>49249</v>
      </c>
      <c r="I41" s="63" t="n">
        <v>120</v>
      </c>
      <c r="J41" s="63" t="n">
        <v>24</v>
      </c>
      <c r="K41" s="61" t="s">
        <v>209</v>
      </c>
      <c r="L41" s="65"/>
      <c r="M41" s="65" t="n">
        <v>0.027</v>
      </c>
      <c r="N41" s="61" t="s">
        <v>210</v>
      </c>
      <c r="O41" s="64" t="n">
        <v>46295</v>
      </c>
      <c r="P41" s="65"/>
      <c r="Q41" s="65"/>
      <c r="R41" s="66" t="n">
        <v>5369000</v>
      </c>
      <c r="S41" s="65" t="n">
        <v>0.826</v>
      </c>
      <c r="T41" s="65" t="n">
        <v>0.1067</v>
      </c>
      <c r="U41" s="67" t="n">
        <v>0.92</v>
      </c>
      <c r="V41" s="65" t="n">
        <v>0.797</v>
      </c>
      <c r="W41" s="65" t="n">
        <v>0.811</v>
      </c>
      <c r="X41" s="63" t="n">
        <v>2000</v>
      </c>
      <c r="Y41" s="63" t="n">
        <v>2015</v>
      </c>
      <c r="Z41" s="61" t="s">
        <v>211</v>
      </c>
      <c r="AA41" s="61" t="s">
        <v>238</v>
      </c>
      <c r="AB41" s="61" t="s">
        <v>231</v>
      </c>
      <c r="AC41" s="61" t="s">
        <v>213</v>
      </c>
      <c r="AD41" s="61" t="s">
        <v>232</v>
      </c>
      <c r="AE41" s="61" t="s">
        <v>224</v>
      </c>
      <c r="AF41" s="61" t="s">
        <v>216</v>
      </c>
      <c r="AG41" s="61" t="s">
        <v>217</v>
      </c>
      <c r="AH41" s="68" t="n">
        <f aca="false">IF(G41="",0,ROUND((Strats!$C$4-G41)/30.4375,1))</f>
        <v>22.9</v>
      </c>
      <c r="AI41" s="69" t="n">
        <f aca="false">IF(K41="",0,IF(K41="Floating",Strats!$C$10+M41,L41))</f>
        <v>0.072</v>
      </c>
      <c r="AJ41" s="68" t="n">
        <f aca="false">IF(OR(Z41="",Z41="Full Amortizing"),"",MAX(J41-AH41,0))</f>
        <v>1.1</v>
      </c>
      <c r="AK41" s="69" t="n">
        <f aca="false">IF(K41="",0,IF(K41="Floating",IF(P41&lt;&gt;"",MIN(IF(Q41&lt;&gt;"",MAX((Strats!$C$10+Strats!$C$11+M41),Q41),(Strats!$C$10+Strats!$C$11+M41)),P41),IF(Q41&lt;&gt;"",MAX((Strats!$C$10+Strats!$C$11+M41),Q41),(Strats!$C$10+Strats!$C$11+M41))),AI41))</f>
        <v>0.087</v>
      </c>
      <c r="AL41" s="68" t="str">
        <f aca="false">IF(OR(E41="",E41&lt;&gt;'Deal Strat'!$C$12,R41=""),"",SUMPRODUCT((E$4:E$303='Deal Strat'!$C$12)*(R$4:R$303&gt;R41))+1+SUMPRODUCT((E$4:E$303='Deal Strat'!$C$12)*(R$4:R$303=R41)*(ROW(R$4:R$303)&lt;ROW(R41))))</f>
        <v/>
      </c>
      <c r="AM41" s="68" t="n">
        <f aca="false">IF(R41="","",RANK(R41,$R$4:$R$303,0)+COUNTIF($R$4:R41,R41)-1)</f>
        <v>45</v>
      </c>
      <c r="AN41" s="26" t="n">
        <f aca="false">IF(OR($A41="",$R41=""),0,IF(Deal_Scope="All Deals",1,IF($E41=Deal_Scope,1,0)))</f>
        <v>1</v>
      </c>
      <c r="AO41" s="56" t="n">
        <f aca="false">IF($AN41=0,0,Px_Par)</f>
        <v>0.94</v>
      </c>
      <c r="AP41" s="70" t="n">
        <f aca="false">IF($H41="",0,MAX(0,($H41-Set_Date)/30.4375))</f>
        <v>97.0513347022587</v>
      </c>
      <c r="AQ41" s="26" t="n">
        <f aca="false">IF(AND(Ext_Flag="Yes",$AA41="Yes"),Ext_Months,0)</f>
        <v>0</v>
      </c>
      <c r="AR41" s="70" t="n">
        <f aca="false">$AP41+$AQ41</f>
        <v>97.0513347022587</v>
      </c>
      <c r="AS41" s="70" t="n">
        <f aca="false">$AR41/12</f>
        <v>8.08761122518823</v>
      </c>
      <c r="AT41" s="70" t="n">
        <f aca="false">IF($AJ41="",0,MAX(0,$AJ41/12))</f>
        <v>0.0916666666666668</v>
      </c>
      <c r="AU41" s="70" t="n">
        <f aca="false">MAX(Amort_Min,Amort_Term-$AH41/12)</f>
        <v>28.0916666666667</v>
      </c>
      <c r="AV41" s="70" t="n">
        <f aca="false">MIN($AS41,Hold_Yrs)</f>
        <v>5</v>
      </c>
      <c r="AW41" s="26" t="n">
        <f aca="false">IF($AN41=0,0,CEILING(MAX($AS41,0.0001),1))</f>
        <v>9</v>
      </c>
      <c r="AX41" s="26" t="n">
        <f aca="false">IF(AND($AN41=1,MAX($AS41,0.0001)&lt;=Hold_Yrs),1,0)</f>
        <v>0</v>
      </c>
      <c r="AY41" s="71" t="n">
        <f aca="false">$R41*$AO41</f>
        <v>5046860</v>
      </c>
      <c r="AZ41" s="71" t="n">
        <f aca="false">$R41*Acc_Int*$AN41</f>
        <v>8053.5</v>
      </c>
      <c r="BA41" s="71" t="n">
        <f aca="false">$AY41*Acq_Cost</f>
        <v>37851.45</v>
      </c>
      <c r="BB41" s="71" t="n">
        <f aca="false">$AY41+$AZ41+$BA41</f>
        <v>5092764.95</v>
      </c>
      <c r="BC41" s="71" t="n">
        <f aca="false">IF(Fin_Flag="Yes",$AY41*Adv_Rate,0)</f>
        <v>3028116</v>
      </c>
      <c r="BD41" s="71" t="n">
        <f aca="false">$BC41*Fin_UpFee</f>
        <v>15140.58</v>
      </c>
      <c r="BE41" s="71" t="n">
        <f aca="false">$BB41-$BC41+$BD41</f>
        <v>2079789.53</v>
      </c>
    </row>
    <row r="42" customFormat="false" ht="14.25" hidden="false" customHeight="false" outlineLevel="0" collapsed="false">
      <c r="A42" s="61" t="s">
        <v>336</v>
      </c>
      <c r="B42" s="62" t="s">
        <v>337</v>
      </c>
      <c r="C42" s="61" t="s">
        <v>323</v>
      </c>
      <c r="D42" s="61" t="s">
        <v>236</v>
      </c>
      <c r="E42" s="61" t="s">
        <v>263</v>
      </c>
      <c r="F42" s="63"/>
      <c r="G42" s="64" t="n">
        <v>43862</v>
      </c>
      <c r="H42" s="64" t="n">
        <v>47515</v>
      </c>
      <c r="I42" s="63" t="n">
        <v>119</v>
      </c>
      <c r="J42" s="63" t="n">
        <v>0</v>
      </c>
      <c r="K42" s="61" t="s">
        <v>209</v>
      </c>
      <c r="L42" s="65"/>
      <c r="M42" s="65" t="n">
        <v>0.0419</v>
      </c>
      <c r="N42" s="61" t="s">
        <v>210</v>
      </c>
      <c r="O42" s="64" t="n">
        <v>46325</v>
      </c>
      <c r="P42" s="65"/>
      <c r="Q42" s="65"/>
      <c r="R42" s="66" t="n">
        <v>4499000</v>
      </c>
      <c r="S42" s="65" t="n">
        <v>0.857</v>
      </c>
      <c r="T42" s="65" t="n">
        <v>0.0979</v>
      </c>
      <c r="U42" s="67" t="n">
        <v>1.23</v>
      </c>
      <c r="V42" s="65" t="n">
        <v>0.827</v>
      </c>
      <c r="W42" s="65" t="n">
        <v>0.868</v>
      </c>
      <c r="X42" s="63" t="n">
        <v>2022</v>
      </c>
      <c r="Y42" s="63"/>
      <c r="Z42" s="61" t="s">
        <v>253</v>
      </c>
      <c r="AA42" s="61" t="s">
        <v>87</v>
      </c>
      <c r="AB42" s="61" t="s">
        <v>212</v>
      </c>
      <c r="AC42" s="61" t="s">
        <v>213</v>
      </c>
      <c r="AD42" s="61" t="s">
        <v>260</v>
      </c>
      <c r="AE42" s="61" t="s">
        <v>224</v>
      </c>
      <c r="AF42" s="61" t="s">
        <v>216</v>
      </c>
      <c r="AG42" s="61" t="s">
        <v>217</v>
      </c>
      <c r="AH42" s="68" t="n">
        <f aca="false">IF(G42="",0,ROUND((Strats!$C$4-G42)/30.4375,1))</f>
        <v>79.9</v>
      </c>
      <c r="AI42" s="69" t="n">
        <f aca="false">IF(K42="",0,IF(K42="Floating",Strats!$C$10+M42,L42))</f>
        <v>0.0869</v>
      </c>
      <c r="AJ42" s="68" t="str">
        <f aca="false">IF(OR(Z42="",Z42="Full Amortizing"),"",MAX(J42-AH42,0))</f>
        <v/>
      </c>
      <c r="AK42" s="69" t="n">
        <f aca="false">IF(K42="",0,IF(K42="Floating",IF(P42&lt;&gt;"",MIN(IF(Q42&lt;&gt;"",MAX((Strats!$C$10+Strats!$C$11+M42),Q42),(Strats!$C$10+Strats!$C$11+M42)),P42),IF(Q42&lt;&gt;"",MAX((Strats!$C$10+Strats!$C$11+M42),Q42),(Strats!$C$10+Strats!$C$11+M42))),AI42))</f>
        <v>0.1019</v>
      </c>
      <c r="AL42" s="68" t="str">
        <f aca="false">IF(OR(E42="",E42&lt;&gt;'Deal Strat'!$C$12,R42=""),"",SUMPRODUCT((E$4:E$303='Deal Strat'!$C$12)*(R$4:R$303&gt;R42))+1+SUMPRODUCT((E$4:E$303='Deal Strat'!$C$12)*(R$4:R$303=R42)*(ROW(R$4:R$303)&lt;ROW(R42))))</f>
        <v/>
      </c>
      <c r="AM42" s="68" t="n">
        <f aca="false">IF(R42="","",RANK(R42,$R$4:$R$303,0)+COUNTIF($R$4:R42,R42)-1)</f>
        <v>50</v>
      </c>
      <c r="AN42" s="26" t="n">
        <f aca="false">IF(OR($A42="",$R42=""),0,IF(Deal_Scope="All Deals",1,IF($E42=Deal_Scope,1,0)))</f>
        <v>1</v>
      </c>
      <c r="AO42" s="56" t="n">
        <f aca="false">IF($AN42=0,0,Px_Par)</f>
        <v>0.94</v>
      </c>
      <c r="AP42" s="70" t="n">
        <f aca="false">IF($H42="",0,MAX(0,($H42-Set_Date)/30.4375))</f>
        <v>40.082135523614</v>
      </c>
      <c r="AQ42" s="26" t="n">
        <f aca="false">IF(AND(Ext_Flag="Yes",$AA42="Yes"),Ext_Months,0)</f>
        <v>12</v>
      </c>
      <c r="AR42" s="70" t="n">
        <f aca="false">$AP42+$AQ42</f>
        <v>52.082135523614</v>
      </c>
      <c r="AS42" s="70" t="n">
        <f aca="false">$AR42/12</f>
        <v>4.34017796030116</v>
      </c>
      <c r="AT42" s="70" t="n">
        <f aca="false">IF($AJ42="",0,MAX(0,$AJ42/12))</f>
        <v>0</v>
      </c>
      <c r="AU42" s="70" t="n">
        <f aca="false">MAX(Amort_Min,Amort_Term-$AH42/12)</f>
        <v>23.3416666666667</v>
      </c>
      <c r="AV42" s="70" t="n">
        <f aca="false">MIN($AS42,Hold_Yrs)</f>
        <v>4.34017796030116</v>
      </c>
      <c r="AW42" s="26" t="n">
        <f aca="false">IF($AN42=0,0,CEILING(MAX($AS42,0.0001),1))</f>
        <v>5</v>
      </c>
      <c r="AX42" s="26" t="n">
        <f aca="false">IF(AND($AN42=1,MAX($AS42,0.0001)&lt;=Hold_Yrs),1,0)</f>
        <v>1</v>
      </c>
      <c r="AY42" s="71" t="n">
        <f aca="false">$R42*$AO42</f>
        <v>4229060</v>
      </c>
      <c r="AZ42" s="71" t="n">
        <f aca="false">$R42*Acc_Int*$AN42</f>
        <v>6748.5</v>
      </c>
      <c r="BA42" s="71" t="n">
        <f aca="false">$AY42*Acq_Cost</f>
        <v>31717.95</v>
      </c>
      <c r="BB42" s="71" t="n">
        <f aca="false">$AY42+$AZ42+$BA42</f>
        <v>4267526.45</v>
      </c>
      <c r="BC42" s="71" t="n">
        <f aca="false">IF(Fin_Flag="Yes",$AY42*Adv_Rate,0)</f>
        <v>2537436</v>
      </c>
      <c r="BD42" s="71" t="n">
        <f aca="false">$BC42*Fin_UpFee</f>
        <v>12687.18</v>
      </c>
      <c r="BE42" s="71" t="n">
        <f aca="false">$BB42-$BC42+$BD42</f>
        <v>1742777.63</v>
      </c>
    </row>
    <row r="43" customFormat="false" ht="14.25" hidden="false" customHeight="false" outlineLevel="0" collapsed="false">
      <c r="A43" s="61" t="s">
        <v>338</v>
      </c>
      <c r="B43" s="62" t="s">
        <v>339</v>
      </c>
      <c r="C43" s="61" t="s">
        <v>306</v>
      </c>
      <c r="D43" s="61" t="s">
        <v>228</v>
      </c>
      <c r="E43" s="61" t="s">
        <v>208</v>
      </c>
      <c r="F43" s="63" t="n">
        <v>268</v>
      </c>
      <c r="G43" s="64" t="n">
        <v>43191</v>
      </c>
      <c r="H43" s="64" t="n">
        <v>46844</v>
      </c>
      <c r="I43" s="63" t="n">
        <v>120</v>
      </c>
      <c r="J43" s="63" t="n">
        <v>0</v>
      </c>
      <c r="K43" s="61" t="s">
        <v>245</v>
      </c>
      <c r="L43" s="65" t="n">
        <v>0.0462</v>
      </c>
      <c r="M43" s="65"/>
      <c r="N43" s="61" t="s">
        <v>246</v>
      </c>
      <c r="O43" s="64"/>
      <c r="P43" s="65"/>
      <c r="Q43" s="65"/>
      <c r="R43" s="66" t="n">
        <v>81125000</v>
      </c>
      <c r="S43" s="65" t="n">
        <v>0.814</v>
      </c>
      <c r="T43" s="65" t="n">
        <v>0.1139</v>
      </c>
      <c r="U43" s="67" t="n">
        <v>1.39</v>
      </c>
      <c r="V43" s="65" t="n">
        <v>0.584</v>
      </c>
      <c r="W43" s="65" t="n">
        <v>0.62</v>
      </c>
      <c r="X43" s="63" t="n">
        <v>1972</v>
      </c>
      <c r="Y43" s="63" t="n">
        <v>1982</v>
      </c>
      <c r="Z43" s="61" t="s">
        <v>253</v>
      </c>
      <c r="AA43" s="61" t="s">
        <v>87</v>
      </c>
      <c r="AB43" s="61" t="s">
        <v>275</v>
      </c>
      <c r="AC43" s="61" t="s">
        <v>213</v>
      </c>
      <c r="AD43" s="61" t="s">
        <v>232</v>
      </c>
      <c r="AE43" s="61" t="s">
        <v>239</v>
      </c>
      <c r="AF43" s="61" t="s">
        <v>216</v>
      </c>
      <c r="AG43" s="61" t="s">
        <v>217</v>
      </c>
      <c r="AH43" s="68" t="n">
        <f aca="false">IF(G43="",0,ROUND((Strats!$C$4-G43)/30.4375,1))</f>
        <v>102</v>
      </c>
      <c r="AI43" s="69" t="n">
        <f aca="false">IF(K43="",0,IF(K43="Floating",Strats!$C$10+M43,L43))</f>
        <v>0.0462</v>
      </c>
      <c r="AJ43" s="68" t="str">
        <f aca="false">IF(OR(Z43="",Z43="Full Amortizing"),"",MAX(J43-AH43,0))</f>
        <v/>
      </c>
      <c r="AK43" s="69" t="n">
        <f aca="false">IF(K43="",0,IF(K43="Floating",IF(P43&lt;&gt;"",MIN(IF(Q43&lt;&gt;"",MAX((Strats!$C$10+Strats!$C$11+M43),Q43),(Strats!$C$10+Strats!$C$11+M43)),P43),IF(Q43&lt;&gt;"",MAX((Strats!$C$10+Strats!$C$11+M43),Q43),(Strats!$C$10+Strats!$C$11+M43))),AI43))</f>
        <v>0.0462</v>
      </c>
      <c r="AL43" s="68" t="str">
        <f aca="false">IF(OR(E43="",E43&lt;&gt;'Deal Strat'!$C$12,R43=""),"",SUMPRODUCT((E$4:E$303='Deal Strat'!$C$12)*(R$4:R$303&gt;R43))+1+SUMPRODUCT((E$4:E$303='Deal Strat'!$C$12)*(R$4:R$303=R43)*(ROW(R$4:R$303)&lt;ROW(R43))))</f>
        <v/>
      </c>
      <c r="AM43" s="68" t="n">
        <f aca="false">IF(R43="","",RANK(R43,$R$4:$R$303,0)+COUNTIF($R$4:R43,R43)-1)</f>
        <v>13</v>
      </c>
      <c r="AN43" s="26" t="n">
        <f aca="false">IF(OR($A43="",$R43=""),0,IF(Deal_Scope="All Deals",1,IF($E43=Deal_Scope,1,0)))</f>
        <v>1</v>
      </c>
      <c r="AO43" s="56" t="n">
        <f aca="false">IF($AN43=0,0,Px_Par)</f>
        <v>0.94</v>
      </c>
      <c r="AP43" s="70" t="n">
        <f aca="false">IF($H43="",0,MAX(0,($H43-Set_Date)/30.4375))</f>
        <v>18.0369609856263</v>
      </c>
      <c r="AQ43" s="26" t="n">
        <f aca="false">IF(AND(Ext_Flag="Yes",$AA43="Yes"),Ext_Months,0)</f>
        <v>12</v>
      </c>
      <c r="AR43" s="70" t="n">
        <f aca="false">$AP43+$AQ43</f>
        <v>30.0369609856263</v>
      </c>
      <c r="AS43" s="70" t="n">
        <f aca="false">$AR43/12</f>
        <v>2.50308008213552</v>
      </c>
      <c r="AT43" s="70" t="n">
        <f aca="false">IF($AJ43="",0,MAX(0,$AJ43/12))</f>
        <v>0</v>
      </c>
      <c r="AU43" s="70" t="n">
        <f aca="false">MAX(Amort_Min,Amort_Term-$AH43/12)</f>
        <v>21.5</v>
      </c>
      <c r="AV43" s="70" t="n">
        <f aca="false">MIN($AS43,Hold_Yrs)</f>
        <v>2.50308008213552</v>
      </c>
      <c r="AW43" s="26" t="n">
        <f aca="false">IF($AN43=0,0,CEILING(MAX($AS43,0.0001),1))</f>
        <v>3</v>
      </c>
      <c r="AX43" s="26" t="n">
        <f aca="false">IF(AND($AN43=1,MAX($AS43,0.0001)&lt;=Hold_Yrs),1,0)</f>
        <v>1</v>
      </c>
      <c r="AY43" s="71" t="n">
        <f aca="false">$R43*$AO43</f>
        <v>76257500</v>
      </c>
      <c r="AZ43" s="71" t="n">
        <f aca="false">$R43*Acc_Int*$AN43</f>
        <v>121687.5</v>
      </c>
      <c r="BA43" s="71" t="n">
        <f aca="false">$AY43*Acq_Cost</f>
        <v>571931.25</v>
      </c>
      <c r="BB43" s="71" t="n">
        <f aca="false">$AY43+$AZ43+$BA43</f>
        <v>76951118.75</v>
      </c>
      <c r="BC43" s="71" t="n">
        <f aca="false">IF(Fin_Flag="Yes",$AY43*Adv_Rate,0)</f>
        <v>45754500</v>
      </c>
      <c r="BD43" s="71" t="n">
        <f aca="false">$BC43*Fin_UpFee</f>
        <v>228772.5</v>
      </c>
      <c r="BE43" s="71" t="n">
        <f aca="false">$BB43-$BC43+$BD43</f>
        <v>31425391.25</v>
      </c>
    </row>
    <row r="44" customFormat="false" ht="14.25" hidden="false" customHeight="false" outlineLevel="0" collapsed="false">
      <c r="A44" s="61" t="s">
        <v>340</v>
      </c>
      <c r="B44" s="62" t="s">
        <v>341</v>
      </c>
      <c r="C44" s="61" t="s">
        <v>206</v>
      </c>
      <c r="D44" s="61" t="s">
        <v>228</v>
      </c>
      <c r="E44" s="61" t="s">
        <v>229</v>
      </c>
      <c r="F44" s="63" t="n">
        <v>337</v>
      </c>
      <c r="G44" s="64" t="n">
        <v>43160</v>
      </c>
      <c r="H44" s="64" t="n">
        <v>44986</v>
      </c>
      <c r="I44" s="63" t="n">
        <v>60</v>
      </c>
      <c r="J44" s="63" t="n">
        <v>0</v>
      </c>
      <c r="K44" s="61" t="s">
        <v>209</v>
      </c>
      <c r="L44" s="65"/>
      <c r="M44" s="65" t="n">
        <v>0.0308</v>
      </c>
      <c r="N44" s="61" t="s">
        <v>230</v>
      </c>
      <c r="O44" s="64" t="n">
        <v>46355</v>
      </c>
      <c r="P44" s="65" t="n">
        <v>0.0965</v>
      </c>
      <c r="Q44" s="65"/>
      <c r="R44" s="66" t="n">
        <v>30613000</v>
      </c>
      <c r="S44" s="65" t="n">
        <v>0.962</v>
      </c>
      <c r="T44" s="65" t="n">
        <v>0.113</v>
      </c>
      <c r="U44" s="67" t="n">
        <v>1.38</v>
      </c>
      <c r="V44" s="65" t="n">
        <v>0.89</v>
      </c>
      <c r="W44" s="65" t="n">
        <v>0.93</v>
      </c>
      <c r="X44" s="63" t="n">
        <v>1992</v>
      </c>
      <c r="Y44" s="63" t="n">
        <v>2006</v>
      </c>
      <c r="Z44" s="61" t="s">
        <v>253</v>
      </c>
      <c r="AA44" s="61" t="s">
        <v>87</v>
      </c>
      <c r="AB44" s="61" t="s">
        <v>223</v>
      </c>
      <c r="AC44" s="61" t="s">
        <v>213</v>
      </c>
      <c r="AD44" s="61" t="s">
        <v>232</v>
      </c>
      <c r="AE44" s="61" t="s">
        <v>224</v>
      </c>
      <c r="AF44" s="61" t="s">
        <v>216</v>
      </c>
      <c r="AG44" s="61" t="s">
        <v>217</v>
      </c>
      <c r="AH44" s="68" t="n">
        <f aca="false">IF(G44="",0,ROUND((Strats!$C$4-G44)/30.4375,1))</f>
        <v>103</v>
      </c>
      <c r="AI44" s="69" t="n">
        <f aca="false">IF(K44="",0,IF(K44="Floating",Strats!$C$10+M44,L44))</f>
        <v>0.0758</v>
      </c>
      <c r="AJ44" s="68" t="str">
        <f aca="false">IF(OR(Z44="",Z44="Full Amortizing"),"",MAX(J44-AH44,0))</f>
        <v/>
      </c>
      <c r="AK44" s="69" t="n">
        <f aca="false">IF(K44="",0,IF(K44="Floating",IF(P44&lt;&gt;"",MIN(IF(Q44&lt;&gt;"",MAX((Strats!$C$10+Strats!$C$11+M44),Q44),(Strats!$C$10+Strats!$C$11+M44)),P44),IF(Q44&lt;&gt;"",MAX((Strats!$C$10+Strats!$C$11+M44),Q44),(Strats!$C$10+Strats!$C$11+M44))),AI44))</f>
        <v>0.0908</v>
      </c>
      <c r="AL44" s="68" t="str">
        <f aca="false">IF(OR(E44="",E44&lt;&gt;'Deal Strat'!$C$12,R44=""),"",SUMPRODUCT((E$4:E$303='Deal Strat'!$C$12)*(R$4:R$303&gt;R44))+1+SUMPRODUCT((E$4:E$303='Deal Strat'!$C$12)*(R$4:R$303=R44)*(ROW(R$4:R$303)&lt;ROW(R44))))</f>
        <v/>
      </c>
      <c r="AM44" s="68" t="n">
        <f aca="false">IF(R44="","",RANK(R44,$R$4:$R$303,0)+COUNTIF($R$4:R44,R44)-1)</f>
        <v>30</v>
      </c>
      <c r="AN44" s="26" t="n">
        <f aca="false">IF(OR($A44="",$R44=""),0,IF(Deal_Scope="All Deals",1,IF($E44=Deal_Scope,1,0)))</f>
        <v>1</v>
      </c>
      <c r="AO44" s="56" t="n">
        <f aca="false">IF($AN44=0,0,Px_Par)</f>
        <v>0.94</v>
      </c>
      <c r="AP44" s="70" t="n">
        <f aca="false">IF($H44="",0,MAX(0,($H44-Set_Date)/30.4375))</f>
        <v>0</v>
      </c>
      <c r="AQ44" s="26" t="n">
        <f aca="false">IF(AND(Ext_Flag="Yes",$AA44="Yes"),Ext_Months,0)</f>
        <v>12</v>
      </c>
      <c r="AR44" s="70" t="n">
        <f aca="false">$AP44+$AQ44</f>
        <v>12</v>
      </c>
      <c r="AS44" s="70" t="n">
        <f aca="false">$AR44/12</f>
        <v>1</v>
      </c>
      <c r="AT44" s="70" t="n">
        <f aca="false">IF($AJ44="",0,MAX(0,$AJ44/12))</f>
        <v>0</v>
      </c>
      <c r="AU44" s="70" t="n">
        <f aca="false">MAX(Amort_Min,Amort_Term-$AH44/12)</f>
        <v>21.4166666666667</v>
      </c>
      <c r="AV44" s="70" t="n">
        <f aca="false">MIN($AS44,Hold_Yrs)</f>
        <v>1</v>
      </c>
      <c r="AW44" s="26" t="n">
        <f aca="false">IF($AN44=0,0,CEILING(MAX($AS44,0.0001),1))</f>
        <v>1</v>
      </c>
      <c r="AX44" s="26" t="n">
        <f aca="false">IF(AND($AN44=1,MAX($AS44,0.0001)&lt;=Hold_Yrs),1,0)</f>
        <v>1</v>
      </c>
      <c r="AY44" s="71" t="n">
        <f aca="false">$R44*$AO44</f>
        <v>28776220</v>
      </c>
      <c r="AZ44" s="71" t="n">
        <f aca="false">$R44*Acc_Int*$AN44</f>
        <v>45919.5</v>
      </c>
      <c r="BA44" s="71" t="n">
        <f aca="false">$AY44*Acq_Cost</f>
        <v>215821.65</v>
      </c>
      <c r="BB44" s="71" t="n">
        <f aca="false">$AY44+$AZ44+$BA44</f>
        <v>29037961.15</v>
      </c>
      <c r="BC44" s="71" t="n">
        <f aca="false">IF(Fin_Flag="Yes",$AY44*Adv_Rate,0)</f>
        <v>17265732</v>
      </c>
      <c r="BD44" s="71" t="n">
        <f aca="false">$BC44*Fin_UpFee</f>
        <v>86328.66</v>
      </c>
      <c r="BE44" s="71" t="n">
        <f aca="false">$BB44-$BC44+$BD44</f>
        <v>11858557.81</v>
      </c>
    </row>
    <row r="45" customFormat="false" ht="14.25" hidden="false" customHeight="false" outlineLevel="0" collapsed="false">
      <c r="A45" s="61" t="s">
        <v>342</v>
      </c>
      <c r="B45" s="62" t="s">
        <v>343</v>
      </c>
      <c r="C45" s="61" t="s">
        <v>256</v>
      </c>
      <c r="D45" s="61" t="s">
        <v>236</v>
      </c>
      <c r="E45" s="61" t="s">
        <v>208</v>
      </c>
      <c r="F45" s="63"/>
      <c r="G45" s="64" t="n">
        <v>45444</v>
      </c>
      <c r="H45" s="64" t="n">
        <v>47270</v>
      </c>
      <c r="I45" s="63" t="n">
        <v>59</v>
      </c>
      <c r="J45" s="63" t="n">
        <v>12</v>
      </c>
      <c r="K45" s="61" t="s">
        <v>245</v>
      </c>
      <c r="L45" s="65" t="n">
        <v>0.054</v>
      </c>
      <c r="M45" s="65"/>
      <c r="N45" s="61" t="s">
        <v>246</v>
      </c>
      <c r="O45" s="64"/>
      <c r="P45" s="65"/>
      <c r="Q45" s="65"/>
      <c r="R45" s="66" t="n">
        <v>5039000</v>
      </c>
      <c r="S45" s="65" t="n">
        <v>0.774</v>
      </c>
      <c r="T45" s="65" t="n">
        <v>0.1002</v>
      </c>
      <c r="U45" s="67" t="n">
        <v>1.44</v>
      </c>
      <c r="V45" s="65" t="n">
        <v>0.649</v>
      </c>
      <c r="W45" s="65" t="n">
        <v>0.66</v>
      </c>
      <c r="X45" s="63" t="n">
        <v>2015</v>
      </c>
      <c r="Y45" s="63"/>
      <c r="Z45" s="61" t="s">
        <v>211</v>
      </c>
      <c r="AA45" s="61" t="s">
        <v>238</v>
      </c>
      <c r="AB45" s="61" t="s">
        <v>231</v>
      </c>
      <c r="AC45" s="61" t="s">
        <v>213</v>
      </c>
      <c r="AD45" s="61" t="s">
        <v>232</v>
      </c>
      <c r="AE45" s="61" t="s">
        <v>215</v>
      </c>
      <c r="AF45" s="61" t="s">
        <v>216</v>
      </c>
      <c r="AG45" s="61" t="s">
        <v>217</v>
      </c>
      <c r="AH45" s="68" t="n">
        <f aca="false">IF(G45="",0,ROUND((Strats!$C$4-G45)/30.4375,1))</f>
        <v>28</v>
      </c>
      <c r="AI45" s="69" t="n">
        <f aca="false">IF(K45="",0,IF(K45="Floating",Strats!$C$10+M45,L45))</f>
        <v>0.054</v>
      </c>
      <c r="AJ45" s="68" t="n">
        <f aca="false">IF(OR(Z45="",Z45="Full Amortizing"),"",MAX(J45-AH45,0))</f>
        <v>0</v>
      </c>
      <c r="AK45" s="69" t="n">
        <f aca="false">IF(K45="",0,IF(K45="Floating",IF(P45&lt;&gt;"",MIN(IF(Q45&lt;&gt;"",MAX((Strats!$C$10+Strats!$C$11+M45),Q45),(Strats!$C$10+Strats!$C$11+M45)),P45),IF(Q45&lt;&gt;"",MAX((Strats!$C$10+Strats!$C$11+M45),Q45),(Strats!$C$10+Strats!$C$11+M45))),AI45))</f>
        <v>0.054</v>
      </c>
      <c r="AL45" s="68" t="str">
        <f aca="false">IF(OR(E45="",E45&lt;&gt;'Deal Strat'!$C$12,R45=""),"",SUMPRODUCT((E$4:E$303='Deal Strat'!$C$12)*(R$4:R$303&gt;R45))+1+SUMPRODUCT((E$4:E$303='Deal Strat'!$C$12)*(R$4:R$303=R45)*(ROW(R$4:R$303)&lt;ROW(R45))))</f>
        <v/>
      </c>
      <c r="AM45" s="68" t="n">
        <f aca="false">IF(R45="","",RANK(R45,$R$4:$R$303,0)+COUNTIF($R$4:R45,R45)-1)</f>
        <v>48</v>
      </c>
      <c r="AN45" s="26" t="n">
        <f aca="false">IF(OR($A45="",$R45=""),0,IF(Deal_Scope="All Deals",1,IF($E45=Deal_Scope,1,0)))</f>
        <v>1</v>
      </c>
      <c r="AO45" s="56" t="n">
        <f aca="false">IF($AN45=0,0,Px_Par)</f>
        <v>0.94</v>
      </c>
      <c r="AP45" s="70" t="n">
        <f aca="false">IF($H45="",0,MAX(0,($H45-Set_Date)/30.4375))</f>
        <v>32.0328542094456</v>
      </c>
      <c r="AQ45" s="26" t="n">
        <f aca="false">IF(AND(Ext_Flag="Yes",$AA45="Yes"),Ext_Months,0)</f>
        <v>0</v>
      </c>
      <c r="AR45" s="70" t="n">
        <f aca="false">$AP45+$AQ45</f>
        <v>32.0328542094456</v>
      </c>
      <c r="AS45" s="70" t="n">
        <f aca="false">$AR45/12</f>
        <v>2.6694045174538</v>
      </c>
      <c r="AT45" s="70" t="n">
        <f aca="false">IF($AJ45="",0,MAX(0,$AJ45/12))</f>
        <v>0</v>
      </c>
      <c r="AU45" s="70" t="n">
        <f aca="false">MAX(Amort_Min,Amort_Term-$AH45/12)</f>
        <v>27.6666666666667</v>
      </c>
      <c r="AV45" s="70" t="n">
        <f aca="false">MIN($AS45,Hold_Yrs)</f>
        <v>2.6694045174538</v>
      </c>
      <c r="AW45" s="26" t="n">
        <f aca="false">IF($AN45=0,0,CEILING(MAX($AS45,0.0001),1))</f>
        <v>3</v>
      </c>
      <c r="AX45" s="26" t="n">
        <f aca="false">IF(AND($AN45=1,MAX($AS45,0.0001)&lt;=Hold_Yrs),1,0)</f>
        <v>1</v>
      </c>
      <c r="AY45" s="71" t="n">
        <f aca="false">$R45*$AO45</f>
        <v>4736660</v>
      </c>
      <c r="AZ45" s="71" t="n">
        <f aca="false">$R45*Acc_Int*$AN45</f>
        <v>7558.5</v>
      </c>
      <c r="BA45" s="71" t="n">
        <f aca="false">$AY45*Acq_Cost</f>
        <v>35524.95</v>
      </c>
      <c r="BB45" s="71" t="n">
        <f aca="false">$AY45+$AZ45+$BA45</f>
        <v>4779743.45</v>
      </c>
      <c r="BC45" s="71" t="n">
        <f aca="false">IF(Fin_Flag="Yes",$AY45*Adv_Rate,0)</f>
        <v>2841996</v>
      </c>
      <c r="BD45" s="71" t="n">
        <f aca="false">$BC45*Fin_UpFee</f>
        <v>14209.98</v>
      </c>
      <c r="BE45" s="71" t="n">
        <f aca="false">$BB45-$BC45+$BD45</f>
        <v>1951957.43</v>
      </c>
    </row>
    <row r="46" customFormat="false" ht="14.25" hidden="false" customHeight="false" outlineLevel="0" collapsed="false">
      <c r="A46" s="61" t="s">
        <v>344</v>
      </c>
      <c r="B46" s="62" t="s">
        <v>345</v>
      </c>
      <c r="C46" s="61" t="s">
        <v>268</v>
      </c>
      <c r="D46" s="61" t="s">
        <v>251</v>
      </c>
      <c r="E46" s="61" t="s">
        <v>244</v>
      </c>
      <c r="F46" s="63"/>
      <c r="G46" s="64" t="n">
        <v>43466</v>
      </c>
      <c r="H46" s="64" t="n">
        <v>47119</v>
      </c>
      <c r="I46" s="63" t="n">
        <v>120</v>
      </c>
      <c r="J46" s="63" t="n">
        <v>60</v>
      </c>
      <c r="K46" s="61" t="s">
        <v>209</v>
      </c>
      <c r="L46" s="65"/>
      <c r="M46" s="65" t="n">
        <v>0.0248</v>
      </c>
      <c r="N46" s="61" t="s">
        <v>210</v>
      </c>
      <c r="O46" s="64" t="n">
        <v>46295</v>
      </c>
      <c r="P46" s="65" t="n">
        <v>0.1052</v>
      </c>
      <c r="Q46" s="65" t="n">
        <v>0.0398</v>
      </c>
      <c r="R46" s="66" t="n">
        <v>8680000</v>
      </c>
      <c r="S46" s="65" t="n">
        <v>0.877</v>
      </c>
      <c r="T46" s="65" t="n">
        <v>0.0663</v>
      </c>
      <c r="U46" s="67" t="n">
        <v>1.97</v>
      </c>
      <c r="V46" s="65" t="n">
        <v>0.707</v>
      </c>
      <c r="W46" s="65" t="n">
        <v>0.739</v>
      </c>
      <c r="X46" s="63" t="n">
        <v>1989</v>
      </c>
      <c r="Y46" s="63" t="n">
        <v>1999</v>
      </c>
      <c r="Z46" s="61" t="s">
        <v>211</v>
      </c>
      <c r="AA46" s="61" t="s">
        <v>87</v>
      </c>
      <c r="AB46" s="61" t="s">
        <v>231</v>
      </c>
      <c r="AC46" s="61" t="s">
        <v>285</v>
      </c>
      <c r="AD46" s="61" t="s">
        <v>232</v>
      </c>
      <c r="AE46" s="61" t="s">
        <v>224</v>
      </c>
      <c r="AF46" s="61" t="s">
        <v>216</v>
      </c>
      <c r="AG46" s="61" t="s">
        <v>217</v>
      </c>
      <c r="AH46" s="68" t="n">
        <f aca="false">IF(G46="",0,ROUND((Strats!$C$4-G46)/30.4375,1))</f>
        <v>92.9</v>
      </c>
      <c r="AI46" s="69" t="n">
        <f aca="false">IF(K46="",0,IF(K46="Floating",Strats!$C$10+M46,L46))</f>
        <v>0.0698</v>
      </c>
      <c r="AJ46" s="68" t="n">
        <f aca="false">IF(OR(Z46="",Z46="Full Amortizing"),"",MAX(J46-AH46,0))</f>
        <v>0</v>
      </c>
      <c r="AK46" s="69" t="n">
        <f aca="false">IF(K46="",0,IF(K46="Floating",IF(P46&lt;&gt;"",MIN(IF(Q46&lt;&gt;"",MAX((Strats!$C$10+Strats!$C$11+M46),Q46),(Strats!$C$10+Strats!$C$11+M46)),P46),IF(Q46&lt;&gt;"",MAX((Strats!$C$10+Strats!$C$11+M46),Q46),(Strats!$C$10+Strats!$C$11+M46))),AI46))</f>
        <v>0.0848</v>
      </c>
      <c r="AL46" s="68" t="str">
        <f aca="false">IF(OR(E46="",E46&lt;&gt;'Deal Strat'!$C$12,R46=""),"",SUMPRODUCT((E$4:E$303='Deal Strat'!$C$12)*(R$4:R$303&gt;R46))+1+SUMPRODUCT((E$4:E$303='Deal Strat'!$C$12)*(R$4:R$303=R46)*(ROW(R$4:R$303)&lt;ROW(R46))))</f>
        <v/>
      </c>
      <c r="AM46" s="68" t="n">
        <f aca="false">IF(R46="","",RANK(R46,$R$4:$R$303,0)+COUNTIF($R$4:R46,R46)-1)</f>
        <v>39</v>
      </c>
      <c r="AN46" s="26" t="n">
        <f aca="false">IF(OR($A46="",$R46=""),0,IF(Deal_Scope="All Deals",1,IF($E46=Deal_Scope,1,0)))</f>
        <v>1</v>
      </c>
      <c r="AO46" s="56" t="n">
        <f aca="false">IF($AN46=0,0,Px_Par)</f>
        <v>0.94</v>
      </c>
      <c r="AP46" s="70" t="n">
        <f aca="false">IF($H46="",0,MAX(0,($H46-Set_Date)/30.4375))</f>
        <v>27.0718685831622</v>
      </c>
      <c r="AQ46" s="26" t="n">
        <f aca="false">IF(AND(Ext_Flag="Yes",$AA46="Yes"),Ext_Months,0)</f>
        <v>12</v>
      </c>
      <c r="AR46" s="70" t="n">
        <f aca="false">$AP46+$AQ46</f>
        <v>39.0718685831622</v>
      </c>
      <c r="AS46" s="70" t="n">
        <f aca="false">$AR46/12</f>
        <v>3.25598904859685</v>
      </c>
      <c r="AT46" s="70" t="n">
        <f aca="false">IF($AJ46="",0,MAX(0,$AJ46/12))</f>
        <v>0</v>
      </c>
      <c r="AU46" s="70" t="n">
        <f aca="false">MAX(Amort_Min,Amort_Term-$AH46/12)</f>
        <v>22.2583333333333</v>
      </c>
      <c r="AV46" s="70" t="n">
        <f aca="false">MIN($AS46,Hold_Yrs)</f>
        <v>3.25598904859685</v>
      </c>
      <c r="AW46" s="26" t="n">
        <f aca="false">IF($AN46=0,0,CEILING(MAX($AS46,0.0001),1))</f>
        <v>4</v>
      </c>
      <c r="AX46" s="26" t="n">
        <f aca="false">IF(AND($AN46=1,MAX($AS46,0.0001)&lt;=Hold_Yrs),1,0)</f>
        <v>1</v>
      </c>
      <c r="AY46" s="71" t="n">
        <f aca="false">$R46*$AO46</f>
        <v>8159200</v>
      </c>
      <c r="AZ46" s="71" t="n">
        <f aca="false">$R46*Acc_Int*$AN46</f>
        <v>13020</v>
      </c>
      <c r="BA46" s="71" t="n">
        <f aca="false">$AY46*Acq_Cost</f>
        <v>61194</v>
      </c>
      <c r="BB46" s="71" t="n">
        <f aca="false">$AY46+$AZ46+$BA46</f>
        <v>8233414</v>
      </c>
      <c r="BC46" s="71" t="n">
        <f aca="false">IF(Fin_Flag="Yes",$AY46*Adv_Rate,0)</f>
        <v>4895520</v>
      </c>
      <c r="BD46" s="71" t="n">
        <f aca="false">$BC46*Fin_UpFee</f>
        <v>24477.6</v>
      </c>
      <c r="BE46" s="71" t="n">
        <f aca="false">$BB46-$BC46+$BD46</f>
        <v>3362371.6</v>
      </c>
    </row>
    <row r="47" customFormat="false" ht="14.25" hidden="false" customHeight="false" outlineLevel="0" collapsed="false">
      <c r="A47" s="61" t="s">
        <v>346</v>
      </c>
      <c r="B47" s="62" t="s">
        <v>347</v>
      </c>
      <c r="C47" s="61" t="s">
        <v>268</v>
      </c>
      <c r="D47" s="61" t="s">
        <v>207</v>
      </c>
      <c r="E47" s="61" t="s">
        <v>222</v>
      </c>
      <c r="F47" s="63"/>
      <c r="G47" s="64" t="n">
        <v>44409</v>
      </c>
      <c r="H47" s="64" t="n">
        <v>46235</v>
      </c>
      <c r="I47" s="63" t="n">
        <v>60</v>
      </c>
      <c r="J47" s="63" t="n">
        <v>60</v>
      </c>
      <c r="K47" s="61" t="s">
        <v>209</v>
      </c>
      <c r="L47" s="65"/>
      <c r="M47" s="65" t="n">
        <v>0.0254</v>
      </c>
      <c r="N47" s="61" t="s">
        <v>230</v>
      </c>
      <c r="O47" s="64" t="n">
        <v>46295</v>
      </c>
      <c r="P47" s="65" t="n">
        <v>0.0973</v>
      </c>
      <c r="Q47" s="65"/>
      <c r="R47" s="66" t="n">
        <v>78707000</v>
      </c>
      <c r="S47" s="65" t="n">
        <v>0.943</v>
      </c>
      <c r="T47" s="65" t="n">
        <v>0.0956</v>
      </c>
      <c r="U47" s="67" t="n">
        <v>0.85</v>
      </c>
      <c r="V47" s="65" t="n">
        <v>0.641</v>
      </c>
      <c r="W47" s="65" t="n">
        <v>0.681</v>
      </c>
      <c r="X47" s="63" t="n">
        <v>2015</v>
      </c>
      <c r="Y47" s="63" t="n">
        <v>2024</v>
      </c>
      <c r="Z47" s="61" t="s">
        <v>211</v>
      </c>
      <c r="AA47" s="61" t="s">
        <v>87</v>
      </c>
      <c r="AB47" s="61" t="s">
        <v>275</v>
      </c>
      <c r="AC47" s="61" t="s">
        <v>213</v>
      </c>
      <c r="AD47" s="61" t="s">
        <v>232</v>
      </c>
      <c r="AE47" s="61" t="s">
        <v>224</v>
      </c>
      <c r="AF47" s="61" t="s">
        <v>216</v>
      </c>
      <c r="AG47" s="61" t="s">
        <v>217</v>
      </c>
      <c r="AH47" s="68" t="n">
        <f aca="false">IF(G47="",0,ROUND((Strats!$C$4-G47)/30.4375,1))</f>
        <v>62</v>
      </c>
      <c r="AI47" s="69" t="n">
        <f aca="false">IF(K47="",0,IF(K47="Floating",Strats!$C$10+M47,L47))</f>
        <v>0.0704</v>
      </c>
      <c r="AJ47" s="68" t="n">
        <f aca="false">IF(OR(Z47="",Z47="Full Amortizing"),"",MAX(J47-AH47,0))</f>
        <v>0</v>
      </c>
      <c r="AK47" s="69" t="n">
        <f aca="false">IF(K47="",0,IF(K47="Floating",IF(P47&lt;&gt;"",MIN(IF(Q47&lt;&gt;"",MAX((Strats!$C$10+Strats!$C$11+M47),Q47),(Strats!$C$10+Strats!$C$11+M47)),P47),IF(Q47&lt;&gt;"",MAX((Strats!$C$10+Strats!$C$11+M47),Q47),(Strats!$C$10+Strats!$C$11+M47))),AI47))</f>
        <v>0.0854</v>
      </c>
      <c r="AL47" s="68" t="str">
        <f aca="false">IF(OR(E47="",E47&lt;&gt;'Deal Strat'!$C$12,R47=""),"",SUMPRODUCT((E$4:E$303='Deal Strat'!$C$12)*(R$4:R$303&gt;R47))+1+SUMPRODUCT((E$4:E$303='Deal Strat'!$C$12)*(R$4:R$303=R47)*(ROW(R$4:R$303)&lt;ROW(R47))))</f>
        <v/>
      </c>
      <c r="AM47" s="68" t="n">
        <f aca="false">IF(R47="","",RANK(R47,$R$4:$R$303,0)+COUNTIF($R$4:R47,R47)-1)</f>
        <v>14</v>
      </c>
      <c r="AN47" s="26" t="n">
        <f aca="false">IF(OR($A47="",$R47=""),0,IF(Deal_Scope="All Deals",1,IF($E47=Deal_Scope,1,0)))</f>
        <v>1</v>
      </c>
      <c r="AO47" s="56" t="n">
        <f aca="false">IF($AN47=0,0,Px_Par)</f>
        <v>0.94</v>
      </c>
      <c r="AP47" s="70" t="n">
        <f aca="false">IF($H47="",0,MAX(0,($H47-Set_Date)/30.4375))</f>
        <v>0</v>
      </c>
      <c r="AQ47" s="26" t="n">
        <f aca="false">IF(AND(Ext_Flag="Yes",$AA47="Yes"),Ext_Months,0)</f>
        <v>12</v>
      </c>
      <c r="AR47" s="70" t="n">
        <f aca="false">$AP47+$AQ47</f>
        <v>12</v>
      </c>
      <c r="AS47" s="70" t="n">
        <f aca="false">$AR47/12</f>
        <v>1</v>
      </c>
      <c r="AT47" s="70" t="n">
        <f aca="false">IF($AJ47="",0,MAX(0,$AJ47/12))</f>
        <v>0</v>
      </c>
      <c r="AU47" s="70" t="n">
        <f aca="false">MAX(Amort_Min,Amort_Term-$AH47/12)</f>
        <v>24.8333333333333</v>
      </c>
      <c r="AV47" s="70" t="n">
        <f aca="false">MIN($AS47,Hold_Yrs)</f>
        <v>1</v>
      </c>
      <c r="AW47" s="26" t="n">
        <f aca="false">IF($AN47=0,0,CEILING(MAX($AS47,0.0001),1))</f>
        <v>1</v>
      </c>
      <c r="AX47" s="26" t="n">
        <f aca="false">IF(AND($AN47=1,MAX($AS47,0.0001)&lt;=Hold_Yrs),1,0)</f>
        <v>1</v>
      </c>
      <c r="AY47" s="71" t="n">
        <f aca="false">$R47*$AO47</f>
        <v>73984580</v>
      </c>
      <c r="AZ47" s="71" t="n">
        <f aca="false">$R47*Acc_Int*$AN47</f>
        <v>118060.5</v>
      </c>
      <c r="BA47" s="71" t="n">
        <f aca="false">$AY47*Acq_Cost</f>
        <v>554884.35</v>
      </c>
      <c r="BB47" s="71" t="n">
        <f aca="false">$AY47+$AZ47+$BA47</f>
        <v>74657524.85</v>
      </c>
      <c r="BC47" s="71" t="n">
        <f aca="false">IF(Fin_Flag="Yes",$AY47*Adv_Rate,0)</f>
        <v>44390748</v>
      </c>
      <c r="BD47" s="71" t="n">
        <f aca="false">$BC47*Fin_UpFee</f>
        <v>221953.74</v>
      </c>
      <c r="BE47" s="71" t="n">
        <f aca="false">$BB47-$BC47+$BD47</f>
        <v>30488730.59</v>
      </c>
    </row>
    <row r="48" customFormat="false" ht="14.25" hidden="false" customHeight="false" outlineLevel="0" collapsed="false">
      <c r="A48" s="61" t="s">
        <v>348</v>
      </c>
      <c r="B48" s="62" t="s">
        <v>349</v>
      </c>
      <c r="C48" s="61" t="s">
        <v>323</v>
      </c>
      <c r="D48" s="61" t="s">
        <v>221</v>
      </c>
      <c r="E48" s="61" t="s">
        <v>237</v>
      </c>
      <c r="F48" s="63"/>
      <c r="G48" s="64" t="n">
        <v>45474</v>
      </c>
      <c r="H48" s="64" t="n">
        <v>49126</v>
      </c>
      <c r="I48" s="63" t="n">
        <v>120</v>
      </c>
      <c r="J48" s="63" t="n">
        <v>36</v>
      </c>
      <c r="K48" s="61" t="s">
        <v>209</v>
      </c>
      <c r="L48" s="65"/>
      <c r="M48" s="65" t="n">
        <v>0.037</v>
      </c>
      <c r="N48" s="61" t="s">
        <v>210</v>
      </c>
      <c r="O48" s="64" t="n">
        <v>46355</v>
      </c>
      <c r="P48" s="65" t="n">
        <v>0.1071</v>
      </c>
      <c r="Q48" s="65"/>
      <c r="R48" s="66" t="n">
        <v>54538000</v>
      </c>
      <c r="S48" s="65" t="n">
        <v>0.99</v>
      </c>
      <c r="T48" s="65" t="n">
        <v>0.0441</v>
      </c>
      <c r="U48" s="67" t="n">
        <v>1.83</v>
      </c>
      <c r="V48" s="65" t="n">
        <v>0.736</v>
      </c>
      <c r="W48" s="65" t="n">
        <v>0.768</v>
      </c>
      <c r="X48" s="63" t="n">
        <v>1970</v>
      </c>
      <c r="Y48" s="63"/>
      <c r="Z48" s="61" t="s">
        <v>211</v>
      </c>
      <c r="AA48" s="61" t="s">
        <v>238</v>
      </c>
      <c r="AB48" s="61" t="s">
        <v>275</v>
      </c>
      <c r="AC48" s="61" t="s">
        <v>213</v>
      </c>
      <c r="AD48" s="61" t="s">
        <v>232</v>
      </c>
      <c r="AE48" s="61" t="s">
        <v>215</v>
      </c>
      <c r="AF48" s="61" t="s">
        <v>216</v>
      </c>
      <c r="AG48" s="61" t="s">
        <v>217</v>
      </c>
      <c r="AH48" s="68" t="n">
        <f aca="false">IF(G48="",0,ROUND((Strats!$C$4-G48)/30.4375,1))</f>
        <v>27</v>
      </c>
      <c r="AI48" s="69" t="n">
        <f aca="false">IF(K48="",0,IF(K48="Floating",Strats!$C$10+M48,L48))</f>
        <v>0.082</v>
      </c>
      <c r="AJ48" s="68" t="n">
        <f aca="false">IF(OR(Z48="",Z48="Full Amortizing"),"",MAX(J48-AH48,0))</f>
        <v>9</v>
      </c>
      <c r="AK48" s="69" t="n">
        <f aca="false">IF(K48="",0,IF(K48="Floating",IF(P48&lt;&gt;"",MIN(IF(Q48&lt;&gt;"",MAX((Strats!$C$10+Strats!$C$11+M48),Q48),(Strats!$C$10+Strats!$C$11+M48)),P48),IF(Q48&lt;&gt;"",MAX((Strats!$C$10+Strats!$C$11+M48),Q48),(Strats!$C$10+Strats!$C$11+M48))),AI48))</f>
        <v>0.097</v>
      </c>
      <c r="AL48" s="68" t="str">
        <f aca="false">IF(OR(E48="",E48&lt;&gt;'Deal Strat'!$C$12,R48=""),"",SUMPRODUCT((E$4:E$303='Deal Strat'!$C$12)*(R$4:R$303&gt;R48))+1+SUMPRODUCT((E$4:E$303='Deal Strat'!$C$12)*(R$4:R$303=R48)*(ROW(R$4:R$303)&lt;ROW(R48))))</f>
        <v/>
      </c>
      <c r="AM48" s="68" t="n">
        <f aca="false">IF(R48="","",RANK(R48,$R$4:$R$303,0)+COUNTIF($R$4:R48,R48)-1)</f>
        <v>20</v>
      </c>
      <c r="AN48" s="26" t="n">
        <f aca="false">IF(OR($A48="",$R48=""),0,IF(Deal_Scope="All Deals",1,IF($E48=Deal_Scope,1,0)))</f>
        <v>1</v>
      </c>
      <c r="AO48" s="56" t="n">
        <f aca="false">IF($AN48=0,0,Px_Par)</f>
        <v>0.94</v>
      </c>
      <c r="AP48" s="70" t="n">
        <f aca="false">IF($H48="",0,MAX(0,($H48-Set_Date)/30.4375))</f>
        <v>93.0102669404517</v>
      </c>
      <c r="AQ48" s="26" t="n">
        <f aca="false">IF(AND(Ext_Flag="Yes",$AA48="Yes"),Ext_Months,0)</f>
        <v>0</v>
      </c>
      <c r="AR48" s="70" t="n">
        <f aca="false">$AP48+$AQ48</f>
        <v>93.0102669404517</v>
      </c>
      <c r="AS48" s="70" t="n">
        <f aca="false">$AR48/12</f>
        <v>7.75085557837098</v>
      </c>
      <c r="AT48" s="70" t="n">
        <f aca="false">IF($AJ48="",0,MAX(0,$AJ48/12))</f>
        <v>0.75</v>
      </c>
      <c r="AU48" s="70" t="n">
        <f aca="false">MAX(Amort_Min,Amort_Term-$AH48/12)</f>
        <v>27.75</v>
      </c>
      <c r="AV48" s="70" t="n">
        <f aca="false">MIN($AS48,Hold_Yrs)</f>
        <v>5</v>
      </c>
      <c r="AW48" s="26" t="n">
        <f aca="false">IF($AN48=0,0,CEILING(MAX($AS48,0.0001),1))</f>
        <v>8</v>
      </c>
      <c r="AX48" s="26" t="n">
        <f aca="false">IF(AND($AN48=1,MAX($AS48,0.0001)&lt;=Hold_Yrs),1,0)</f>
        <v>0</v>
      </c>
      <c r="AY48" s="71" t="n">
        <f aca="false">$R48*$AO48</f>
        <v>51265720</v>
      </c>
      <c r="AZ48" s="71" t="n">
        <f aca="false">$R48*Acc_Int*$AN48</f>
        <v>81807</v>
      </c>
      <c r="BA48" s="71" t="n">
        <f aca="false">$AY48*Acq_Cost</f>
        <v>384492.9</v>
      </c>
      <c r="BB48" s="71" t="n">
        <f aca="false">$AY48+$AZ48+$BA48</f>
        <v>51732019.9</v>
      </c>
      <c r="BC48" s="71" t="n">
        <f aca="false">IF(Fin_Flag="Yes",$AY48*Adv_Rate,0)</f>
        <v>30759432</v>
      </c>
      <c r="BD48" s="71" t="n">
        <f aca="false">$BC48*Fin_UpFee</f>
        <v>153797.16</v>
      </c>
      <c r="BE48" s="71" t="n">
        <f aca="false">$BB48-$BC48+$BD48</f>
        <v>21126385.06</v>
      </c>
    </row>
    <row r="49" customFormat="false" ht="14.25" hidden="false" customHeight="false" outlineLevel="0" collapsed="false">
      <c r="A49" s="61" t="s">
        <v>350</v>
      </c>
      <c r="B49" s="62" t="s">
        <v>351</v>
      </c>
      <c r="C49" s="61" t="s">
        <v>268</v>
      </c>
      <c r="D49" s="61" t="s">
        <v>228</v>
      </c>
      <c r="E49" s="61" t="s">
        <v>259</v>
      </c>
      <c r="F49" s="63" t="n">
        <v>182</v>
      </c>
      <c r="G49" s="64" t="n">
        <v>43374</v>
      </c>
      <c r="H49" s="64" t="n">
        <v>45200</v>
      </c>
      <c r="I49" s="63" t="n">
        <v>60</v>
      </c>
      <c r="J49" s="63" t="n">
        <v>60</v>
      </c>
      <c r="K49" s="61" t="s">
        <v>245</v>
      </c>
      <c r="L49" s="65" t="n">
        <v>0.0571</v>
      </c>
      <c r="M49" s="65"/>
      <c r="N49" s="61" t="s">
        <v>246</v>
      </c>
      <c r="O49" s="64"/>
      <c r="P49" s="65"/>
      <c r="Q49" s="65"/>
      <c r="R49" s="66" t="n">
        <v>113370000</v>
      </c>
      <c r="S49" s="65" t="n">
        <v>0.92</v>
      </c>
      <c r="T49" s="65" t="n">
        <v>0.1329</v>
      </c>
      <c r="U49" s="67" t="n">
        <v>0.7</v>
      </c>
      <c r="V49" s="65" t="n">
        <v>0.804</v>
      </c>
      <c r="W49" s="65" t="n">
        <v>0.846</v>
      </c>
      <c r="X49" s="63" t="n">
        <v>1993</v>
      </c>
      <c r="Y49" s="63" t="n">
        <v>2014</v>
      </c>
      <c r="Z49" s="61" t="s">
        <v>211</v>
      </c>
      <c r="AA49" s="61" t="s">
        <v>87</v>
      </c>
      <c r="AB49" s="61" t="s">
        <v>275</v>
      </c>
      <c r="AC49" s="61" t="s">
        <v>213</v>
      </c>
      <c r="AD49" s="61" t="s">
        <v>232</v>
      </c>
      <c r="AE49" s="61" t="s">
        <v>215</v>
      </c>
      <c r="AF49" s="61" t="s">
        <v>240</v>
      </c>
      <c r="AG49" s="61" t="s">
        <v>217</v>
      </c>
      <c r="AH49" s="68" t="n">
        <f aca="false">IF(G49="",0,ROUND((Strats!$C$4-G49)/30.4375,1))</f>
        <v>96</v>
      </c>
      <c r="AI49" s="69" t="n">
        <f aca="false">IF(K49="",0,IF(K49="Floating",Strats!$C$10+M49,L49))</f>
        <v>0.0571</v>
      </c>
      <c r="AJ49" s="68" t="n">
        <f aca="false">IF(OR(Z49="",Z49="Full Amortizing"),"",MAX(J49-AH49,0))</f>
        <v>0</v>
      </c>
      <c r="AK49" s="69" t="n">
        <f aca="false">IF(K49="",0,IF(K49="Floating",IF(P49&lt;&gt;"",MIN(IF(Q49&lt;&gt;"",MAX((Strats!$C$10+Strats!$C$11+M49),Q49),(Strats!$C$10+Strats!$C$11+M49)),P49),IF(Q49&lt;&gt;"",MAX((Strats!$C$10+Strats!$C$11+M49),Q49),(Strats!$C$10+Strats!$C$11+M49))),AI49))</f>
        <v>0.0571</v>
      </c>
      <c r="AL49" s="68" t="str">
        <f aca="false">IF(OR(E49="",E49&lt;&gt;'Deal Strat'!$C$12,R49=""),"",SUMPRODUCT((E$4:E$303='Deal Strat'!$C$12)*(R$4:R$303&gt;R49))+1+SUMPRODUCT((E$4:E$303='Deal Strat'!$C$12)*(R$4:R$303=R49)*(ROW(R$4:R$303)&lt;ROW(R49))))</f>
        <v/>
      </c>
      <c r="AM49" s="68" t="n">
        <f aca="false">IF(R49="","",RANK(R49,$R$4:$R$303,0)+COUNTIF($R$4:R49,R49)-1)</f>
        <v>7</v>
      </c>
      <c r="AN49" s="26" t="n">
        <f aca="false">IF(OR($A49="",$R49=""),0,IF(Deal_Scope="All Deals",1,IF($E49=Deal_Scope,1,0)))</f>
        <v>1</v>
      </c>
      <c r="AO49" s="56" t="n">
        <f aca="false">IF($AN49=0,0,Px_Par)</f>
        <v>0.94</v>
      </c>
      <c r="AP49" s="70" t="n">
        <f aca="false">IF($H49="",0,MAX(0,($H49-Set_Date)/30.4375))</f>
        <v>0</v>
      </c>
      <c r="AQ49" s="26" t="n">
        <f aca="false">IF(AND(Ext_Flag="Yes",$AA49="Yes"),Ext_Months,0)</f>
        <v>12</v>
      </c>
      <c r="AR49" s="70" t="n">
        <f aca="false">$AP49+$AQ49</f>
        <v>12</v>
      </c>
      <c r="AS49" s="70" t="n">
        <f aca="false">$AR49/12</f>
        <v>1</v>
      </c>
      <c r="AT49" s="70" t="n">
        <f aca="false">IF($AJ49="",0,MAX(0,$AJ49/12))</f>
        <v>0</v>
      </c>
      <c r="AU49" s="70" t="n">
        <f aca="false">MAX(Amort_Min,Amort_Term-$AH49/12)</f>
        <v>22</v>
      </c>
      <c r="AV49" s="70" t="n">
        <f aca="false">MIN($AS49,Hold_Yrs)</f>
        <v>1</v>
      </c>
      <c r="AW49" s="26" t="n">
        <f aca="false">IF($AN49=0,0,CEILING(MAX($AS49,0.0001),1))</f>
        <v>1</v>
      </c>
      <c r="AX49" s="26" t="n">
        <f aca="false">IF(AND($AN49=1,MAX($AS49,0.0001)&lt;=Hold_Yrs),1,0)</f>
        <v>1</v>
      </c>
      <c r="AY49" s="71" t="n">
        <f aca="false">$R49*$AO49</f>
        <v>106567800</v>
      </c>
      <c r="AZ49" s="71" t="n">
        <f aca="false">$R49*Acc_Int*$AN49</f>
        <v>170055</v>
      </c>
      <c r="BA49" s="71" t="n">
        <f aca="false">$AY49*Acq_Cost</f>
        <v>799258.5</v>
      </c>
      <c r="BB49" s="71" t="n">
        <f aca="false">$AY49+$AZ49+$BA49</f>
        <v>107537113.5</v>
      </c>
      <c r="BC49" s="71" t="n">
        <f aca="false">IF(Fin_Flag="Yes",$AY49*Adv_Rate,0)</f>
        <v>63940680</v>
      </c>
      <c r="BD49" s="71" t="n">
        <f aca="false">$BC49*Fin_UpFee</f>
        <v>319703.4</v>
      </c>
      <c r="BE49" s="71" t="n">
        <f aca="false">$BB49-$BC49+$BD49</f>
        <v>43916136.9</v>
      </c>
    </row>
    <row r="50" customFormat="false" ht="14.25" hidden="false" customHeight="false" outlineLevel="0" collapsed="false">
      <c r="A50" s="61" t="s">
        <v>352</v>
      </c>
      <c r="B50" s="62" t="s">
        <v>353</v>
      </c>
      <c r="C50" s="61" t="s">
        <v>250</v>
      </c>
      <c r="D50" s="61" t="s">
        <v>221</v>
      </c>
      <c r="E50" s="61" t="s">
        <v>263</v>
      </c>
      <c r="F50" s="63"/>
      <c r="G50" s="64" t="n">
        <v>43922</v>
      </c>
      <c r="H50" s="64" t="n">
        <v>47574</v>
      </c>
      <c r="I50" s="63" t="n">
        <v>120</v>
      </c>
      <c r="J50" s="63" t="n">
        <v>36</v>
      </c>
      <c r="K50" s="61" t="s">
        <v>209</v>
      </c>
      <c r="L50" s="65"/>
      <c r="M50" s="65" t="n">
        <v>0.0346</v>
      </c>
      <c r="N50" s="61" t="s">
        <v>210</v>
      </c>
      <c r="O50" s="64" t="n">
        <v>46355</v>
      </c>
      <c r="P50" s="65" t="n">
        <v>0.108</v>
      </c>
      <c r="Q50" s="65" t="n">
        <v>0.0399</v>
      </c>
      <c r="R50" s="66" t="n">
        <v>5259000</v>
      </c>
      <c r="S50" s="65" t="n">
        <v>0.877</v>
      </c>
      <c r="T50" s="65" t="n">
        <v>0.0991</v>
      </c>
      <c r="U50" s="67" t="n">
        <v>0.88</v>
      </c>
      <c r="V50" s="65" t="n">
        <v>0.531</v>
      </c>
      <c r="W50" s="65" t="n">
        <v>0.582</v>
      </c>
      <c r="X50" s="63" t="n">
        <v>1966</v>
      </c>
      <c r="Y50" s="63" t="n">
        <v>1991</v>
      </c>
      <c r="Z50" s="61" t="s">
        <v>247</v>
      </c>
      <c r="AA50" s="61" t="s">
        <v>238</v>
      </c>
      <c r="AB50" s="61" t="s">
        <v>223</v>
      </c>
      <c r="AC50" s="61" t="s">
        <v>213</v>
      </c>
      <c r="AD50" s="61" t="s">
        <v>232</v>
      </c>
      <c r="AE50" s="61" t="s">
        <v>224</v>
      </c>
      <c r="AF50" s="61" t="s">
        <v>216</v>
      </c>
      <c r="AG50" s="61" t="s">
        <v>265</v>
      </c>
      <c r="AH50" s="68" t="n">
        <f aca="false">IF(G50="",0,ROUND((Strats!$C$4-G50)/30.4375,1))</f>
        <v>78</v>
      </c>
      <c r="AI50" s="69" t="n">
        <f aca="false">IF(K50="",0,IF(K50="Floating",Strats!$C$10+M50,L50))</f>
        <v>0.0796</v>
      </c>
      <c r="AJ50" s="68" t="n">
        <f aca="false">IF(OR(Z50="",Z50="Full Amortizing"),"",MAX(J50-AH50,0))</f>
        <v>0</v>
      </c>
      <c r="AK50" s="69" t="n">
        <f aca="false">IF(K50="",0,IF(K50="Floating",IF(P50&lt;&gt;"",MIN(IF(Q50&lt;&gt;"",MAX((Strats!$C$10+Strats!$C$11+M50),Q50),(Strats!$C$10+Strats!$C$11+M50)),P50),IF(Q50&lt;&gt;"",MAX((Strats!$C$10+Strats!$C$11+M50),Q50),(Strats!$C$10+Strats!$C$11+M50))),AI50))</f>
        <v>0.0946</v>
      </c>
      <c r="AL50" s="68" t="str">
        <f aca="false">IF(OR(E50="",E50&lt;&gt;'Deal Strat'!$C$12,R50=""),"",SUMPRODUCT((E$4:E$303='Deal Strat'!$C$12)*(R$4:R$303&gt;R50))+1+SUMPRODUCT((E$4:E$303='Deal Strat'!$C$12)*(R$4:R$303=R50)*(ROW(R$4:R$303)&lt;ROW(R50))))</f>
        <v/>
      </c>
      <c r="AM50" s="68" t="n">
        <f aca="false">IF(R50="","",RANK(R50,$R$4:$R$303,0)+COUNTIF($R$4:R50,R50)-1)</f>
        <v>46</v>
      </c>
      <c r="AN50" s="26" t="n">
        <f aca="false">IF(OR($A50="",$R50=""),0,IF(Deal_Scope="All Deals",1,IF($E50=Deal_Scope,1,0)))</f>
        <v>1</v>
      </c>
      <c r="AO50" s="56" t="n">
        <f aca="false">IF($AN50=0,0,Px_Par)</f>
        <v>0.94</v>
      </c>
      <c r="AP50" s="70" t="n">
        <f aca="false">IF($H50="",0,MAX(0,($H50-Set_Date)/30.4375))</f>
        <v>42.0205338809035</v>
      </c>
      <c r="AQ50" s="26" t="n">
        <f aca="false">IF(AND(Ext_Flag="Yes",$AA50="Yes"),Ext_Months,0)</f>
        <v>0</v>
      </c>
      <c r="AR50" s="70" t="n">
        <f aca="false">$AP50+$AQ50</f>
        <v>42.0205338809035</v>
      </c>
      <c r="AS50" s="70" t="n">
        <f aca="false">$AR50/12</f>
        <v>3.50171115674196</v>
      </c>
      <c r="AT50" s="70" t="n">
        <f aca="false">IF($AJ50="",0,MAX(0,$AJ50/12))</f>
        <v>0</v>
      </c>
      <c r="AU50" s="70" t="n">
        <f aca="false">MAX(Amort_Min,Amort_Term-$AH50/12)</f>
        <v>23.5</v>
      </c>
      <c r="AV50" s="70" t="n">
        <f aca="false">MIN($AS50,Hold_Yrs)</f>
        <v>3.50171115674196</v>
      </c>
      <c r="AW50" s="26" t="n">
        <f aca="false">IF($AN50=0,0,CEILING(MAX($AS50,0.0001),1))</f>
        <v>4</v>
      </c>
      <c r="AX50" s="26" t="n">
        <f aca="false">IF(AND($AN50=1,MAX($AS50,0.0001)&lt;=Hold_Yrs),1,0)</f>
        <v>1</v>
      </c>
      <c r="AY50" s="71" t="n">
        <f aca="false">$R50*$AO50</f>
        <v>4943460</v>
      </c>
      <c r="AZ50" s="71" t="n">
        <f aca="false">$R50*Acc_Int*$AN50</f>
        <v>7888.5</v>
      </c>
      <c r="BA50" s="71" t="n">
        <f aca="false">$AY50*Acq_Cost</f>
        <v>37075.95</v>
      </c>
      <c r="BB50" s="71" t="n">
        <f aca="false">$AY50+$AZ50+$BA50</f>
        <v>4988424.45</v>
      </c>
      <c r="BC50" s="71" t="n">
        <f aca="false">IF(Fin_Flag="Yes",$AY50*Adv_Rate,0)</f>
        <v>2966076</v>
      </c>
      <c r="BD50" s="71" t="n">
        <f aca="false">$BC50*Fin_UpFee</f>
        <v>14830.38</v>
      </c>
      <c r="BE50" s="71" t="n">
        <f aca="false">$BB50-$BC50+$BD50</f>
        <v>2037178.83</v>
      </c>
    </row>
    <row r="51" customFormat="false" ht="14.25" hidden="false" customHeight="false" outlineLevel="0" collapsed="false">
      <c r="A51" s="61" t="s">
        <v>354</v>
      </c>
      <c r="B51" s="62" t="s">
        <v>355</v>
      </c>
      <c r="C51" s="61" t="s">
        <v>243</v>
      </c>
      <c r="D51" s="61" t="s">
        <v>236</v>
      </c>
      <c r="E51" s="61" t="s">
        <v>229</v>
      </c>
      <c r="F51" s="63"/>
      <c r="G51" s="64" t="n">
        <v>43252</v>
      </c>
      <c r="H51" s="64" t="n">
        <v>46905</v>
      </c>
      <c r="I51" s="63" t="n">
        <v>120</v>
      </c>
      <c r="J51" s="63" t="n">
        <v>0</v>
      </c>
      <c r="K51" s="61" t="s">
        <v>209</v>
      </c>
      <c r="L51" s="65"/>
      <c r="M51" s="65" t="n">
        <v>0.0215</v>
      </c>
      <c r="N51" s="61" t="s">
        <v>210</v>
      </c>
      <c r="O51" s="64" t="n">
        <v>46355</v>
      </c>
      <c r="P51" s="65" t="n">
        <v>0.0835</v>
      </c>
      <c r="Q51" s="65" t="n">
        <v>0.0367</v>
      </c>
      <c r="R51" s="66" t="n">
        <v>100201000</v>
      </c>
      <c r="S51" s="65" t="n">
        <v>0.918</v>
      </c>
      <c r="T51" s="65" t="n">
        <v>0.1226</v>
      </c>
      <c r="U51" s="67" t="n">
        <v>1.44</v>
      </c>
      <c r="V51" s="65" t="n">
        <v>0.579</v>
      </c>
      <c r="W51" s="65" t="n">
        <v>0.61</v>
      </c>
      <c r="X51" s="63" t="n">
        <v>2020</v>
      </c>
      <c r="Y51" s="63"/>
      <c r="Z51" s="61" t="s">
        <v>253</v>
      </c>
      <c r="AA51" s="61" t="s">
        <v>238</v>
      </c>
      <c r="AB51" s="61" t="s">
        <v>275</v>
      </c>
      <c r="AC51" s="61" t="s">
        <v>213</v>
      </c>
      <c r="AD51" s="61" t="s">
        <v>214</v>
      </c>
      <c r="AE51" s="61" t="s">
        <v>215</v>
      </c>
      <c r="AF51" s="61" t="s">
        <v>333</v>
      </c>
      <c r="AG51" s="61" t="s">
        <v>217</v>
      </c>
      <c r="AH51" s="68" t="n">
        <f aca="false">IF(G51="",0,ROUND((Strats!$C$4-G51)/30.4375,1))</f>
        <v>100</v>
      </c>
      <c r="AI51" s="69" t="n">
        <f aca="false">IF(K51="",0,IF(K51="Floating",Strats!$C$10+M51,L51))</f>
        <v>0.0665</v>
      </c>
      <c r="AJ51" s="68" t="str">
        <f aca="false">IF(OR(Z51="",Z51="Full Amortizing"),"",MAX(J51-AH51,0))</f>
        <v/>
      </c>
      <c r="AK51" s="69" t="n">
        <f aca="false">IF(K51="",0,IF(K51="Floating",IF(P51&lt;&gt;"",MIN(IF(Q51&lt;&gt;"",MAX((Strats!$C$10+Strats!$C$11+M51),Q51),(Strats!$C$10+Strats!$C$11+M51)),P51),IF(Q51&lt;&gt;"",MAX((Strats!$C$10+Strats!$C$11+M51),Q51),(Strats!$C$10+Strats!$C$11+M51))),AI51))</f>
        <v>0.0815</v>
      </c>
      <c r="AL51" s="68" t="str">
        <f aca="false">IF(OR(E51="",E51&lt;&gt;'Deal Strat'!$C$12,R51=""),"",SUMPRODUCT((E$4:E$303='Deal Strat'!$C$12)*(R$4:R$303&gt;R51))+1+SUMPRODUCT((E$4:E$303='Deal Strat'!$C$12)*(R$4:R$303=R51)*(ROW(R$4:R$303)&lt;ROW(R51))))</f>
        <v/>
      </c>
      <c r="AM51" s="68" t="n">
        <f aca="false">IF(R51="","",RANK(R51,$R$4:$R$303,0)+COUNTIF($R$4:R51,R51)-1)</f>
        <v>8</v>
      </c>
      <c r="AN51" s="26" t="n">
        <f aca="false">IF(OR($A51="",$R51=""),0,IF(Deal_Scope="All Deals",1,IF($E51=Deal_Scope,1,0)))</f>
        <v>1</v>
      </c>
      <c r="AO51" s="56" t="n">
        <f aca="false">IF($AN51=0,0,Px_Par)</f>
        <v>0.94</v>
      </c>
      <c r="AP51" s="70" t="n">
        <f aca="false">IF($H51="",0,MAX(0,($H51-Set_Date)/30.4375))</f>
        <v>20.041067761807</v>
      </c>
      <c r="AQ51" s="26" t="n">
        <f aca="false">IF(AND(Ext_Flag="Yes",$AA51="Yes"),Ext_Months,0)</f>
        <v>0</v>
      </c>
      <c r="AR51" s="70" t="n">
        <f aca="false">$AP51+$AQ51</f>
        <v>20.041067761807</v>
      </c>
      <c r="AS51" s="70" t="n">
        <f aca="false">$AR51/12</f>
        <v>1.67008898015058</v>
      </c>
      <c r="AT51" s="70" t="n">
        <f aca="false">IF($AJ51="",0,MAX(0,$AJ51/12))</f>
        <v>0</v>
      </c>
      <c r="AU51" s="70" t="n">
        <f aca="false">MAX(Amort_Min,Amort_Term-$AH51/12)</f>
        <v>21.6666666666667</v>
      </c>
      <c r="AV51" s="70" t="n">
        <f aca="false">MIN($AS51,Hold_Yrs)</f>
        <v>1.67008898015058</v>
      </c>
      <c r="AW51" s="26" t="n">
        <f aca="false">IF($AN51=0,0,CEILING(MAX($AS51,0.0001),1))</f>
        <v>2</v>
      </c>
      <c r="AX51" s="26" t="n">
        <f aca="false">IF(AND($AN51=1,MAX($AS51,0.0001)&lt;=Hold_Yrs),1,0)</f>
        <v>1</v>
      </c>
      <c r="AY51" s="71" t="n">
        <f aca="false">$R51*$AO51</f>
        <v>94188940</v>
      </c>
      <c r="AZ51" s="71" t="n">
        <f aca="false">$R51*Acc_Int*$AN51</f>
        <v>150301.5</v>
      </c>
      <c r="BA51" s="71" t="n">
        <f aca="false">$AY51*Acq_Cost</f>
        <v>706417.05</v>
      </c>
      <c r="BB51" s="71" t="n">
        <f aca="false">$AY51+$AZ51+$BA51</f>
        <v>95045658.55</v>
      </c>
      <c r="BC51" s="71" t="n">
        <f aca="false">IF(Fin_Flag="Yes",$AY51*Adv_Rate,0)</f>
        <v>56513364</v>
      </c>
      <c r="BD51" s="71" t="n">
        <f aca="false">$BC51*Fin_UpFee</f>
        <v>282566.82</v>
      </c>
      <c r="BE51" s="71" t="n">
        <f aca="false">$BB51-$BC51+$BD51</f>
        <v>38814861.37</v>
      </c>
    </row>
    <row r="52" customFormat="false" ht="14.25" hidden="false" customHeight="false" outlineLevel="0" collapsed="false">
      <c r="A52" s="61" t="s">
        <v>356</v>
      </c>
      <c r="B52" s="62" t="s">
        <v>357</v>
      </c>
      <c r="C52" s="61" t="s">
        <v>291</v>
      </c>
      <c r="D52" s="61" t="s">
        <v>221</v>
      </c>
      <c r="E52" s="61" t="s">
        <v>229</v>
      </c>
      <c r="F52" s="63"/>
      <c r="G52" s="64" t="n">
        <v>44075</v>
      </c>
      <c r="H52" s="64" t="n">
        <v>45901</v>
      </c>
      <c r="I52" s="63" t="n">
        <v>60</v>
      </c>
      <c r="J52" s="63" t="n">
        <v>36</v>
      </c>
      <c r="K52" s="61" t="s">
        <v>209</v>
      </c>
      <c r="L52" s="65"/>
      <c r="M52" s="65" t="n">
        <v>0.0376</v>
      </c>
      <c r="N52" s="61" t="s">
        <v>210</v>
      </c>
      <c r="O52" s="64" t="n">
        <v>46325</v>
      </c>
      <c r="P52" s="65" t="n">
        <v>0.0768</v>
      </c>
      <c r="Q52" s="65"/>
      <c r="R52" s="66" t="n">
        <v>52022000</v>
      </c>
      <c r="S52" s="65" t="n">
        <v>0.852</v>
      </c>
      <c r="T52" s="65" t="n">
        <v>0.0685</v>
      </c>
      <c r="U52" s="67" t="n">
        <v>1.57</v>
      </c>
      <c r="V52" s="65" t="n">
        <v>0.746</v>
      </c>
      <c r="W52" s="65" t="n">
        <v>0.783</v>
      </c>
      <c r="X52" s="63" t="n">
        <v>2017</v>
      </c>
      <c r="Y52" s="63"/>
      <c r="Z52" s="61" t="s">
        <v>211</v>
      </c>
      <c r="AA52" s="61" t="s">
        <v>238</v>
      </c>
      <c r="AB52" s="61" t="s">
        <v>223</v>
      </c>
      <c r="AC52" s="61" t="s">
        <v>285</v>
      </c>
      <c r="AD52" s="61" t="s">
        <v>232</v>
      </c>
      <c r="AE52" s="61" t="s">
        <v>224</v>
      </c>
      <c r="AF52" s="61" t="s">
        <v>216</v>
      </c>
      <c r="AG52" s="61" t="s">
        <v>265</v>
      </c>
      <c r="AH52" s="68" t="n">
        <f aca="false">IF(G52="",0,ROUND((Strats!$C$4-G52)/30.4375,1))</f>
        <v>72.9</v>
      </c>
      <c r="AI52" s="69" t="n">
        <f aca="false">IF(K52="",0,IF(K52="Floating",Strats!$C$10+M52,L52))</f>
        <v>0.0826</v>
      </c>
      <c r="AJ52" s="68" t="n">
        <f aca="false">IF(OR(Z52="",Z52="Full Amortizing"),"",MAX(J52-AH52,0))</f>
        <v>0</v>
      </c>
      <c r="AK52" s="69" t="n">
        <f aca="false">IF(K52="",0,IF(K52="Floating",IF(P52&lt;&gt;"",MIN(IF(Q52&lt;&gt;"",MAX((Strats!$C$10+Strats!$C$11+M52),Q52),(Strats!$C$10+Strats!$C$11+M52)),P52),IF(Q52&lt;&gt;"",MAX((Strats!$C$10+Strats!$C$11+M52),Q52),(Strats!$C$10+Strats!$C$11+M52))),AI52))</f>
        <v>0.0768</v>
      </c>
      <c r="AL52" s="68" t="str">
        <f aca="false">IF(OR(E52="",E52&lt;&gt;'Deal Strat'!$C$12,R52=""),"",SUMPRODUCT((E$4:E$303='Deal Strat'!$C$12)*(R$4:R$303&gt;R52))+1+SUMPRODUCT((E$4:E$303='Deal Strat'!$C$12)*(R$4:R$303=R52)*(ROW(R$4:R$303)&lt;ROW(R52))))</f>
        <v/>
      </c>
      <c r="AM52" s="68" t="n">
        <f aca="false">IF(R52="","",RANK(R52,$R$4:$R$303,0)+COUNTIF($R$4:R52,R52)-1)</f>
        <v>21</v>
      </c>
      <c r="AN52" s="26" t="n">
        <f aca="false">IF(OR($A52="",$R52=""),0,IF(Deal_Scope="All Deals",1,IF($E52=Deal_Scope,1,0)))</f>
        <v>1</v>
      </c>
      <c r="AO52" s="56" t="n">
        <f aca="false">IF($AN52=0,0,Px_Par)</f>
        <v>0.94</v>
      </c>
      <c r="AP52" s="70" t="n">
        <f aca="false">IF($H52="",0,MAX(0,($H52-Set_Date)/30.4375))</f>
        <v>0</v>
      </c>
      <c r="AQ52" s="26" t="n">
        <f aca="false">IF(AND(Ext_Flag="Yes",$AA52="Yes"),Ext_Months,0)</f>
        <v>0</v>
      </c>
      <c r="AR52" s="70" t="n">
        <f aca="false">$AP52+$AQ52</f>
        <v>0</v>
      </c>
      <c r="AS52" s="70" t="n">
        <f aca="false">$AR52/12</f>
        <v>0</v>
      </c>
      <c r="AT52" s="70" t="n">
        <f aca="false">IF($AJ52="",0,MAX(0,$AJ52/12))</f>
        <v>0</v>
      </c>
      <c r="AU52" s="70" t="n">
        <f aca="false">MAX(Amort_Min,Amort_Term-$AH52/12)</f>
        <v>23.925</v>
      </c>
      <c r="AV52" s="70" t="n">
        <f aca="false">MIN($AS52,Hold_Yrs)</f>
        <v>0</v>
      </c>
      <c r="AW52" s="26" t="n">
        <f aca="false">IF($AN52=0,0,CEILING(MAX($AS52,0.0001),1))</f>
        <v>1</v>
      </c>
      <c r="AX52" s="26" t="n">
        <f aca="false">IF(AND($AN52=1,MAX($AS52,0.0001)&lt;=Hold_Yrs),1,0)</f>
        <v>1</v>
      </c>
      <c r="AY52" s="71" t="n">
        <f aca="false">$R52*$AO52</f>
        <v>48900680</v>
      </c>
      <c r="AZ52" s="71" t="n">
        <f aca="false">$R52*Acc_Int*$AN52</f>
        <v>78033</v>
      </c>
      <c r="BA52" s="71" t="n">
        <f aca="false">$AY52*Acq_Cost</f>
        <v>366755.1</v>
      </c>
      <c r="BB52" s="71" t="n">
        <f aca="false">$AY52+$AZ52+$BA52</f>
        <v>49345468.1</v>
      </c>
      <c r="BC52" s="71" t="n">
        <f aca="false">IF(Fin_Flag="Yes",$AY52*Adv_Rate,0)</f>
        <v>29340408</v>
      </c>
      <c r="BD52" s="71" t="n">
        <f aca="false">$BC52*Fin_UpFee</f>
        <v>146702.04</v>
      </c>
      <c r="BE52" s="71" t="n">
        <f aca="false">$BB52-$BC52+$BD52</f>
        <v>20151762.14</v>
      </c>
    </row>
    <row r="53" customFormat="false" ht="14.25" hidden="false" customHeight="false" outlineLevel="0" collapsed="false">
      <c r="A53" s="61" t="s">
        <v>358</v>
      </c>
      <c r="B53" s="62" t="s">
        <v>359</v>
      </c>
      <c r="C53" s="61" t="s">
        <v>360</v>
      </c>
      <c r="D53" s="61" t="s">
        <v>251</v>
      </c>
      <c r="E53" s="61" t="s">
        <v>252</v>
      </c>
      <c r="F53" s="63"/>
      <c r="G53" s="64" t="n">
        <v>43252</v>
      </c>
      <c r="H53" s="64" t="n">
        <v>46905</v>
      </c>
      <c r="I53" s="63" t="n">
        <v>120</v>
      </c>
      <c r="J53" s="63" t="n">
        <v>120</v>
      </c>
      <c r="K53" s="61" t="s">
        <v>209</v>
      </c>
      <c r="L53" s="65"/>
      <c r="M53" s="65" t="n">
        <v>0.038</v>
      </c>
      <c r="N53" s="61" t="s">
        <v>210</v>
      </c>
      <c r="O53" s="64" t="n">
        <v>46325</v>
      </c>
      <c r="P53" s="65"/>
      <c r="Q53" s="65"/>
      <c r="R53" s="66" t="n">
        <v>120313000</v>
      </c>
      <c r="S53" s="65" t="n">
        <v>0.784</v>
      </c>
      <c r="T53" s="65" t="n">
        <v>0.0814</v>
      </c>
      <c r="U53" s="67" t="n">
        <v>1.38</v>
      </c>
      <c r="V53" s="65" t="n">
        <v>0.663</v>
      </c>
      <c r="W53" s="65" t="n">
        <v>0.69</v>
      </c>
      <c r="X53" s="63" t="n">
        <v>1972</v>
      </c>
      <c r="Y53" s="63"/>
      <c r="Z53" s="61" t="s">
        <v>247</v>
      </c>
      <c r="AA53" s="61" t="s">
        <v>87</v>
      </c>
      <c r="AB53" s="61" t="s">
        <v>275</v>
      </c>
      <c r="AC53" s="61" t="s">
        <v>213</v>
      </c>
      <c r="AD53" s="61" t="s">
        <v>232</v>
      </c>
      <c r="AE53" s="61" t="s">
        <v>215</v>
      </c>
      <c r="AF53" s="61" t="s">
        <v>216</v>
      </c>
      <c r="AG53" s="61" t="s">
        <v>361</v>
      </c>
      <c r="AH53" s="68" t="n">
        <f aca="false">IF(G53="",0,ROUND((Strats!$C$4-G53)/30.4375,1))</f>
        <v>100</v>
      </c>
      <c r="AI53" s="69" t="n">
        <f aca="false">IF(K53="",0,IF(K53="Floating",Strats!$C$10+M53,L53))</f>
        <v>0.083</v>
      </c>
      <c r="AJ53" s="68" t="n">
        <f aca="false">IF(OR(Z53="",Z53="Full Amortizing"),"",MAX(J53-AH53,0))</f>
        <v>20</v>
      </c>
      <c r="AK53" s="69" t="n">
        <f aca="false">IF(K53="",0,IF(K53="Floating",IF(P53&lt;&gt;"",MIN(IF(Q53&lt;&gt;"",MAX((Strats!$C$10+Strats!$C$11+M53),Q53),(Strats!$C$10+Strats!$C$11+M53)),P53),IF(Q53&lt;&gt;"",MAX((Strats!$C$10+Strats!$C$11+M53),Q53),(Strats!$C$10+Strats!$C$11+M53))),AI53))</f>
        <v>0.098</v>
      </c>
      <c r="AL53" s="68" t="n">
        <f aca="false">IF(OR(E53="",E53&lt;&gt;'Deal Strat'!$C$12,R53=""),"",SUMPRODUCT((E$4:E$303='Deal Strat'!$C$12)*(R$4:R$303&gt;R53))+1+SUMPRODUCT((E$4:E$303='Deal Strat'!$C$12)*(R$4:R$303=R53)*(ROW(R$4:R$303)&lt;ROW(R53))))</f>
        <v>1</v>
      </c>
      <c r="AM53" s="68" t="n">
        <f aca="false">IF(R53="","",RANK(R53,$R$4:$R$303,0)+COUNTIF($R$4:R53,R53)-1)</f>
        <v>4</v>
      </c>
      <c r="AN53" s="26" t="n">
        <f aca="false">IF(OR($A53="",$R53=""),0,IF(Deal_Scope="All Deals",1,IF($E53=Deal_Scope,1,0)))</f>
        <v>1</v>
      </c>
      <c r="AO53" s="56" t="n">
        <f aca="false">IF($AN53=0,0,Px_Par)</f>
        <v>0.94</v>
      </c>
      <c r="AP53" s="70" t="n">
        <f aca="false">IF($H53="",0,MAX(0,($H53-Set_Date)/30.4375))</f>
        <v>20.041067761807</v>
      </c>
      <c r="AQ53" s="26" t="n">
        <f aca="false">IF(AND(Ext_Flag="Yes",$AA53="Yes"),Ext_Months,0)</f>
        <v>12</v>
      </c>
      <c r="AR53" s="70" t="n">
        <f aca="false">$AP53+$AQ53</f>
        <v>32.041067761807</v>
      </c>
      <c r="AS53" s="70" t="n">
        <f aca="false">$AR53/12</f>
        <v>2.67008898015058</v>
      </c>
      <c r="AT53" s="70" t="n">
        <f aca="false">IF($AJ53="",0,MAX(0,$AJ53/12))</f>
        <v>1.66666666666667</v>
      </c>
      <c r="AU53" s="70" t="n">
        <f aca="false">MAX(Amort_Min,Amort_Term-$AH53/12)</f>
        <v>21.6666666666667</v>
      </c>
      <c r="AV53" s="70" t="n">
        <f aca="false">MIN($AS53,Hold_Yrs)</f>
        <v>2.67008898015058</v>
      </c>
      <c r="AW53" s="26" t="n">
        <f aca="false">IF($AN53=0,0,CEILING(MAX($AS53,0.0001),1))</f>
        <v>3</v>
      </c>
      <c r="AX53" s="26" t="n">
        <f aca="false">IF(AND($AN53=1,MAX($AS53,0.0001)&lt;=Hold_Yrs),1,0)</f>
        <v>1</v>
      </c>
      <c r="AY53" s="71" t="n">
        <f aca="false">$R53*$AO53</f>
        <v>113094220</v>
      </c>
      <c r="AZ53" s="71" t="n">
        <f aca="false">$R53*Acc_Int*$AN53</f>
        <v>180469.5</v>
      </c>
      <c r="BA53" s="71" t="n">
        <f aca="false">$AY53*Acq_Cost</f>
        <v>848206.65</v>
      </c>
      <c r="BB53" s="71" t="n">
        <f aca="false">$AY53+$AZ53+$BA53</f>
        <v>114122896.15</v>
      </c>
      <c r="BC53" s="71" t="n">
        <f aca="false">IF(Fin_Flag="Yes",$AY53*Adv_Rate,0)</f>
        <v>67856532</v>
      </c>
      <c r="BD53" s="71" t="n">
        <f aca="false">$BC53*Fin_UpFee</f>
        <v>339282.66</v>
      </c>
      <c r="BE53" s="71" t="n">
        <f aca="false">$BB53-$BC53+$BD53</f>
        <v>46605646.81</v>
      </c>
    </row>
    <row r="54" customFormat="false" ht="14.25" hidden="false" customHeight="false" outlineLevel="0" collapsed="false">
      <c r="A54" s="61"/>
      <c r="B54" s="62"/>
      <c r="C54" s="61"/>
      <c r="D54" s="61"/>
      <c r="E54" s="61"/>
      <c r="F54" s="63"/>
      <c r="G54" s="64"/>
      <c r="H54" s="64"/>
      <c r="I54" s="63"/>
      <c r="J54" s="63"/>
      <c r="K54" s="61"/>
      <c r="L54" s="65"/>
      <c r="M54" s="65"/>
      <c r="N54" s="61"/>
      <c r="O54" s="64"/>
      <c r="P54" s="65"/>
      <c r="Q54" s="65"/>
      <c r="R54" s="66"/>
      <c r="S54" s="65"/>
      <c r="T54" s="65"/>
      <c r="U54" s="67"/>
      <c r="V54" s="65"/>
      <c r="W54" s="65"/>
      <c r="X54" s="63"/>
      <c r="Y54" s="63"/>
      <c r="Z54" s="61"/>
      <c r="AA54" s="61"/>
      <c r="AB54" s="61"/>
      <c r="AC54" s="61"/>
      <c r="AD54" s="61"/>
      <c r="AE54" s="61"/>
      <c r="AF54" s="61"/>
      <c r="AG54" s="61"/>
      <c r="AH54" s="68" t="n">
        <f aca="false">IF(G54="",0,ROUND((Strats!$C$4-G54)/30.4375,1))</f>
        <v>0</v>
      </c>
      <c r="AI54" s="69" t="n">
        <f aca="false">IF(K54="",0,IF(K54="Floating",Strats!$C$10+M54,L54))</f>
        <v>0</v>
      </c>
      <c r="AJ54" s="68" t="str">
        <f aca="false">IF(OR(Z54="",Z54="Full Amortizing"),"",MAX(J54-AH54,0))</f>
        <v/>
      </c>
      <c r="AK54" s="69" t="n">
        <f aca="false">IF(K54="",0,IF(K54="Floating",IF(P54&lt;&gt;"",MIN(IF(Q54&lt;&gt;"",MAX((Strats!$C$10+Strats!$C$11+M54),Q54),(Strats!$C$10+Strats!$C$11+M54)),P54),IF(Q54&lt;&gt;"",MAX((Strats!$C$10+Strats!$C$11+M54),Q54),(Strats!$C$10+Strats!$C$11+M54))),AI54))</f>
        <v>0</v>
      </c>
      <c r="AL54" s="68" t="str">
        <f aca="false">IF(OR(E54="",E54&lt;&gt;'Deal Strat'!$C$12,R54=""),"",SUMPRODUCT((E$4:E$303='Deal Strat'!$C$12)*(R$4:R$303&gt;R54))+1+SUMPRODUCT((E$4:E$303='Deal Strat'!$C$12)*(R$4:R$303=R54)*(ROW(R$4:R$303)&lt;ROW(R54))))</f>
        <v/>
      </c>
      <c r="AM54" s="68" t="str">
        <f aca="false">IF(R54="","",RANK(R54,$R$4:$R$303,0)+COUNTIF($R$4:R54,R54)-1)</f>
        <v/>
      </c>
      <c r="AN54" s="26" t="n">
        <f aca="false">IF(OR($A54="",$R54=""),0,IF(Deal_Scope="All Deals",1,IF($E54=Deal_Scope,1,0)))</f>
        <v>0</v>
      </c>
      <c r="AO54" s="56" t="n">
        <f aca="false">IF($AN54=0,0,Px_Par)</f>
        <v>0</v>
      </c>
      <c r="AP54" s="70" t="n">
        <f aca="false">IF($H54="",0,MAX(0,($H54-Set_Date)/30.4375))</f>
        <v>0</v>
      </c>
      <c r="AQ54" s="26" t="n">
        <f aca="false">IF(AND(Ext_Flag="Yes",$AA54="Yes"),Ext_Months,0)</f>
        <v>0</v>
      </c>
      <c r="AR54" s="70" t="n">
        <f aca="false">$AP54+$AQ54</f>
        <v>0</v>
      </c>
      <c r="AS54" s="70" t="n">
        <f aca="false">$AR54/12</f>
        <v>0</v>
      </c>
      <c r="AT54" s="70" t="n">
        <f aca="false">IF($AJ54="",0,MAX(0,$AJ54/12))</f>
        <v>0</v>
      </c>
      <c r="AU54" s="70" t="n">
        <f aca="false">MAX(Amort_Min,Amort_Term-$AH54/12)</f>
        <v>30</v>
      </c>
      <c r="AV54" s="70" t="n">
        <f aca="false">MIN($AS54,Hold_Yrs)</f>
        <v>0</v>
      </c>
      <c r="AW54" s="26" t="n">
        <f aca="false">IF($AN54=0,0,CEILING(MAX($AS54,0.0001),1))</f>
        <v>0</v>
      </c>
      <c r="AX54" s="26" t="n">
        <f aca="false">IF(AND($AN54=1,MAX($AS54,0.0001)&lt;=Hold_Yrs),1,0)</f>
        <v>0</v>
      </c>
      <c r="AY54" s="71" t="n">
        <f aca="false">$R54*$AO54</f>
        <v>0</v>
      </c>
      <c r="AZ54" s="71" t="n">
        <f aca="false">$R54*Acc_Int*$AN54</f>
        <v>0</v>
      </c>
      <c r="BA54" s="71" t="n">
        <f aca="false">$AY54*Acq_Cost</f>
        <v>0</v>
      </c>
      <c r="BB54" s="71" t="n">
        <f aca="false">$AY54+$AZ54+$BA54</f>
        <v>0</v>
      </c>
      <c r="BC54" s="71" t="n">
        <f aca="false">IF(Fin_Flag="Yes",$AY54*Adv_Rate,0)</f>
        <v>0</v>
      </c>
      <c r="BD54" s="71" t="n">
        <f aca="false">$BC54*Fin_UpFee</f>
        <v>0</v>
      </c>
      <c r="BE54" s="71" t="n">
        <f aca="false">$BB54-$BC54+$BD54</f>
        <v>0</v>
      </c>
    </row>
    <row r="55" customFormat="false" ht="14.25" hidden="false" customHeight="false" outlineLevel="0" collapsed="false">
      <c r="A55" s="61"/>
      <c r="B55" s="62"/>
      <c r="C55" s="61"/>
      <c r="D55" s="61"/>
      <c r="E55" s="61"/>
      <c r="F55" s="63"/>
      <c r="G55" s="64"/>
      <c r="H55" s="64"/>
      <c r="I55" s="63"/>
      <c r="J55" s="63"/>
      <c r="K55" s="61"/>
      <c r="L55" s="65"/>
      <c r="M55" s="65"/>
      <c r="N55" s="61"/>
      <c r="O55" s="64"/>
      <c r="P55" s="65"/>
      <c r="Q55" s="65"/>
      <c r="R55" s="66"/>
      <c r="S55" s="65"/>
      <c r="T55" s="65"/>
      <c r="U55" s="67"/>
      <c r="V55" s="65"/>
      <c r="W55" s="65"/>
      <c r="X55" s="63"/>
      <c r="Y55" s="63"/>
      <c r="Z55" s="61"/>
      <c r="AA55" s="61"/>
      <c r="AB55" s="61"/>
      <c r="AC55" s="61"/>
      <c r="AD55" s="61"/>
      <c r="AE55" s="61"/>
      <c r="AF55" s="61"/>
      <c r="AG55" s="61"/>
      <c r="AH55" s="68" t="n">
        <f aca="false">IF(G55="",0,ROUND((Strats!$C$4-G55)/30.4375,1))</f>
        <v>0</v>
      </c>
      <c r="AI55" s="69" t="n">
        <f aca="false">IF(K55="",0,IF(K55="Floating",Strats!$C$10+M55,L55))</f>
        <v>0</v>
      </c>
      <c r="AJ55" s="68" t="str">
        <f aca="false">IF(OR(Z55="",Z55="Full Amortizing"),"",MAX(J55-AH55,0))</f>
        <v/>
      </c>
      <c r="AK55" s="69" t="n">
        <f aca="false">IF(K55="",0,IF(K55="Floating",IF(P55&lt;&gt;"",MIN(IF(Q55&lt;&gt;"",MAX((Strats!$C$10+Strats!$C$11+M55),Q55),(Strats!$C$10+Strats!$C$11+M55)),P55),IF(Q55&lt;&gt;"",MAX((Strats!$C$10+Strats!$C$11+M55),Q55),(Strats!$C$10+Strats!$C$11+M55))),AI55))</f>
        <v>0</v>
      </c>
      <c r="AL55" s="68" t="str">
        <f aca="false">IF(OR(E55="",E55&lt;&gt;'Deal Strat'!$C$12,R55=""),"",SUMPRODUCT((E$4:E$303='Deal Strat'!$C$12)*(R$4:R$303&gt;R55))+1+SUMPRODUCT((E$4:E$303='Deal Strat'!$C$12)*(R$4:R$303=R55)*(ROW(R$4:R$303)&lt;ROW(R55))))</f>
        <v/>
      </c>
      <c r="AM55" s="68" t="str">
        <f aca="false">IF(R55="","",RANK(R55,$R$4:$R$303,0)+COUNTIF($R$4:R55,R55)-1)</f>
        <v/>
      </c>
      <c r="AN55" s="26" t="n">
        <f aca="false">IF(OR($A55="",$R55=""),0,IF(Deal_Scope="All Deals",1,IF($E55=Deal_Scope,1,0)))</f>
        <v>0</v>
      </c>
      <c r="AO55" s="56" t="n">
        <f aca="false">IF($AN55=0,0,Px_Par)</f>
        <v>0</v>
      </c>
      <c r="AP55" s="70" t="n">
        <f aca="false">IF($H55="",0,MAX(0,($H55-Set_Date)/30.4375))</f>
        <v>0</v>
      </c>
      <c r="AQ55" s="26" t="n">
        <f aca="false">IF(AND(Ext_Flag="Yes",$AA55="Yes"),Ext_Months,0)</f>
        <v>0</v>
      </c>
      <c r="AR55" s="70" t="n">
        <f aca="false">$AP55+$AQ55</f>
        <v>0</v>
      </c>
      <c r="AS55" s="70" t="n">
        <f aca="false">$AR55/12</f>
        <v>0</v>
      </c>
      <c r="AT55" s="70" t="n">
        <f aca="false">IF($AJ55="",0,MAX(0,$AJ55/12))</f>
        <v>0</v>
      </c>
      <c r="AU55" s="70" t="n">
        <f aca="false">MAX(Amort_Min,Amort_Term-$AH55/12)</f>
        <v>30</v>
      </c>
      <c r="AV55" s="70" t="n">
        <f aca="false">MIN($AS55,Hold_Yrs)</f>
        <v>0</v>
      </c>
      <c r="AW55" s="26" t="n">
        <f aca="false">IF($AN55=0,0,CEILING(MAX($AS55,0.0001),1))</f>
        <v>0</v>
      </c>
      <c r="AX55" s="26" t="n">
        <f aca="false">IF(AND($AN55=1,MAX($AS55,0.0001)&lt;=Hold_Yrs),1,0)</f>
        <v>0</v>
      </c>
      <c r="AY55" s="71" t="n">
        <f aca="false">$R55*$AO55</f>
        <v>0</v>
      </c>
      <c r="AZ55" s="71" t="n">
        <f aca="false">$R55*Acc_Int*$AN55</f>
        <v>0</v>
      </c>
      <c r="BA55" s="71" t="n">
        <f aca="false">$AY55*Acq_Cost</f>
        <v>0</v>
      </c>
      <c r="BB55" s="71" t="n">
        <f aca="false">$AY55+$AZ55+$BA55</f>
        <v>0</v>
      </c>
      <c r="BC55" s="71" t="n">
        <f aca="false">IF(Fin_Flag="Yes",$AY55*Adv_Rate,0)</f>
        <v>0</v>
      </c>
      <c r="BD55" s="71" t="n">
        <f aca="false">$BC55*Fin_UpFee</f>
        <v>0</v>
      </c>
      <c r="BE55" s="71" t="n">
        <f aca="false">$BB55-$BC55+$BD55</f>
        <v>0</v>
      </c>
    </row>
    <row r="56" customFormat="false" ht="14.25" hidden="false" customHeight="false" outlineLevel="0" collapsed="false">
      <c r="A56" s="61"/>
      <c r="B56" s="62"/>
      <c r="C56" s="61"/>
      <c r="D56" s="61"/>
      <c r="E56" s="61"/>
      <c r="F56" s="63"/>
      <c r="G56" s="64"/>
      <c r="H56" s="64"/>
      <c r="I56" s="63"/>
      <c r="J56" s="63"/>
      <c r="K56" s="61"/>
      <c r="L56" s="65"/>
      <c r="M56" s="65"/>
      <c r="N56" s="61"/>
      <c r="O56" s="64"/>
      <c r="P56" s="65"/>
      <c r="Q56" s="65"/>
      <c r="R56" s="66"/>
      <c r="S56" s="65"/>
      <c r="T56" s="65"/>
      <c r="U56" s="67"/>
      <c r="V56" s="65"/>
      <c r="W56" s="65"/>
      <c r="X56" s="63"/>
      <c r="Y56" s="63"/>
      <c r="Z56" s="61"/>
      <c r="AA56" s="61"/>
      <c r="AB56" s="61"/>
      <c r="AC56" s="61"/>
      <c r="AD56" s="61"/>
      <c r="AE56" s="61"/>
      <c r="AF56" s="61"/>
      <c r="AG56" s="61"/>
      <c r="AH56" s="68" t="n">
        <f aca="false">IF(G56="",0,ROUND((Strats!$C$4-G56)/30.4375,1))</f>
        <v>0</v>
      </c>
      <c r="AI56" s="69" t="n">
        <f aca="false">IF(K56="",0,IF(K56="Floating",Strats!$C$10+M56,L56))</f>
        <v>0</v>
      </c>
      <c r="AJ56" s="68" t="str">
        <f aca="false">IF(OR(Z56="",Z56="Full Amortizing"),"",MAX(J56-AH56,0))</f>
        <v/>
      </c>
      <c r="AK56" s="69" t="n">
        <f aca="false">IF(K56="",0,IF(K56="Floating",IF(P56&lt;&gt;"",MIN(IF(Q56&lt;&gt;"",MAX((Strats!$C$10+Strats!$C$11+M56),Q56),(Strats!$C$10+Strats!$C$11+M56)),P56),IF(Q56&lt;&gt;"",MAX((Strats!$C$10+Strats!$C$11+M56),Q56),(Strats!$C$10+Strats!$C$11+M56))),AI56))</f>
        <v>0</v>
      </c>
      <c r="AL56" s="68" t="str">
        <f aca="false">IF(OR(E56="",E56&lt;&gt;'Deal Strat'!$C$12,R56=""),"",SUMPRODUCT((E$4:E$303='Deal Strat'!$C$12)*(R$4:R$303&gt;R56))+1+SUMPRODUCT((E$4:E$303='Deal Strat'!$C$12)*(R$4:R$303=R56)*(ROW(R$4:R$303)&lt;ROW(R56))))</f>
        <v/>
      </c>
      <c r="AM56" s="68" t="str">
        <f aca="false">IF(R56="","",RANK(R56,$R$4:$R$303,0)+COUNTIF($R$4:R56,R56)-1)</f>
        <v/>
      </c>
      <c r="AN56" s="26" t="n">
        <f aca="false">IF(OR($A56="",$R56=""),0,IF(Deal_Scope="All Deals",1,IF($E56=Deal_Scope,1,0)))</f>
        <v>0</v>
      </c>
      <c r="AO56" s="56" t="n">
        <f aca="false">IF($AN56=0,0,Px_Par)</f>
        <v>0</v>
      </c>
      <c r="AP56" s="70" t="n">
        <f aca="false">IF($H56="",0,MAX(0,($H56-Set_Date)/30.4375))</f>
        <v>0</v>
      </c>
      <c r="AQ56" s="26" t="n">
        <f aca="false">IF(AND(Ext_Flag="Yes",$AA56="Yes"),Ext_Months,0)</f>
        <v>0</v>
      </c>
      <c r="AR56" s="70" t="n">
        <f aca="false">$AP56+$AQ56</f>
        <v>0</v>
      </c>
      <c r="AS56" s="70" t="n">
        <f aca="false">$AR56/12</f>
        <v>0</v>
      </c>
      <c r="AT56" s="70" t="n">
        <f aca="false">IF($AJ56="",0,MAX(0,$AJ56/12))</f>
        <v>0</v>
      </c>
      <c r="AU56" s="70" t="n">
        <f aca="false">MAX(Amort_Min,Amort_Term-$AH56/12)</f>
        <v>30</v>
      </c>
      <c r="AV56" s="70" t="n">
        <f aca="false">MIN($AS56,Hold_Yrs)</f>
        <v>0</v>
      </c>
      <c r="AW56" s="26" t="n">
        <f aca="false">IF($AN56=0,0,CEILING(MAX($AS56,0.0001),1))</f>
        <v>0</v>
      </c>
      <c r="AX56" s="26" t="n">
        <f aca="false">IF(AND($AN56=1,MAX($AS56,0.0001)&lt;=Hold_Yrs),1,0)</f>
        <v>0</v>
      </c>
      <c r="AY56" s="71" t="n">
        <f aca="false">$R56*$AO56</f>
        <v>0</v>
      </c>
      <c r="AZ56" s="71" t="n">
        <f aca="false">$R56*Acc_Int*$AN56</f>
        <v>0</v>
      </c>
      <c r="BA56" s="71" t="n">
        <f aca="false">$AY56*Acq_Cost</f>
        <v>0</v>
      </c>
      <c r="BB56" s="71" t="n">
        <f aca="false">$AY56+$AZ56+$BA56</f>
        <v>0</v>
      </c>
      <c r="BC56" s="71" t="n">
        <f aca="false">IF(Fin_Flag="Yes",$AY56*Adv_Rate,0)</f>
        <v>0</v>
      </c>
      <c r="BD56" s="71" t="n">
        <f aca="false">$BC56*Fin_UpFee</f>
        <v>0</v>
      </c>
      <c r="BE56" s="71" t="n">
        <f aca="false">$BB56-$BC56+$BD56</f>
        <v>0</v>
      </c>
    </row>
    <row r="57" customFormat="false" ht="14.25" hidden="false" customHeight="false" outlineLevel="0" collapsed="false">
      <c r="A57" s="61"/>
      <c r="B57" s="62"/>
      <c r="C57" s="61"/>
      <c r="D57" s="61"/>
      <c r="E57" s="61"/>
      <c r="F57" s="63"/>
      <c r="G57" s="64"/>
      <c r="H57" s="64"/>
      <c r="I57" s="63"/>
      <c r="J57" s="63"/>
      <c r="K57" s="61"/>
      <c r="L57" s="65"/>
      <c r="M57" s="65"/>
      <c r="N57" s="61"/>
      <c r="O57" s="64"/>
      <c r="P57" s="65"/>
      <c r="Q57" s="65"/>
      <c r="R57" s="66"/>
      <c r="S57" s="65"/>
      <c r="T57" s="65"/>
      <c r="U57" s="67"/>
      <c r="V57" s="65"/>
      <c r="W57" s="65"/>
      <c r="X57" s="63"/>
      <c r="Y57" s="63"/>
      <c r="Z57" s="61"/>
      <c r="AA57" s="61"/>
      <c r="AB57" s="61"/>
      <c r="AC57" s="61"/>
      <c r="AD57" s="61"/>
      <c r="AE57" s="61"/>
      <c r="AF57" s="61"/>
      <c r="AG57" s="61"/>
      <c r="AH57" s="68" t="n">
        <f aca="false">IF(G57="",0,ROUND((Strats!$C$4-G57)/30.4375,1))</f>
        <v>0</v>
      </c>
      <c r="AI57" s="69" t="n">
        <f aca="false">IF(K57="",0,IF(K57="Floating",Strats!$C$10+M57,L57))</f>
        <v>0</v>
      </c>
      <c r="AJ57" s="68" t="str">
        <f aca="false">IF(OR(Z57="",Z57="Full Amortizing"),"",MAX(J57-AH57,0))</f>
        <v/>
      </c>
      <c r="AK57" s="69" t="n">
        <f aca="false">IF(K57="",0,IF(K57="Floating",IF(P57&lt;&gt;"",MIN(IF(Q57&lt;&gt;"",MAX((Strats!$C$10+Strats!$C$11+M57),Q57),(Strats!$C$10+Strats!$C$11+M57)),P57),IF(Q57&lt;&gt;"",MAX((Strats!$C$10+Strats!$C$11+M57),Q57),(Strats!$C$10+Strats!$C$11+M57))),AI57))</f>
        <v>0</v>
      </c>
      <c r="AL57" s="68" t="str">
        <f aca="false">IF(OR(E57="",E57&lt;&gt;'Deal Strat'!$C$12,R57=""),"",SUMPRODUCT((E$4:E$303='Deal Strat'!$C$12)*(R$4:R$303&gt;R57))+1+SUMPRODUCT((E$4:E$303='Deal Strat'!$C$12)*(R$4:R$303=R57)*(ROW(R$4:R$303)&lt;ROW(R57))))</f>
        <v/>
      </c>
      <c r="AM57" s="68" t="str">
        <f aca="false">IF(R57="","",RANK(R57,$R$4:$R$303,0)+COUNTIF($R$4:R57,R57)-1)</f>
        <v/>
      </c>
      <c r="AN57" s="26" t="n">
        <f aca="false">IF(OR($A57="",$R57=""),0,IF(Deal_Scope="All Deals",1,IF($E57=Deal_Scope,1,0)))</f>
        <v>0</v>
      </c>
      <c r="AO57" s="56" t="n">
        <f aca="false">IF($AN57=0,0,Px_Par)</f>
        <v>0</v>
      </c>
      <c r="AP57" s="70" t="n">
        <f aca="false">IF($H57="",0,MAX(0,($H57-Set_Date)/30.4375))</f>
        <v>0</v>
      </c>
      <c r="AQ57" s="26" t="n">
        <f aca="false">IF(AND(Ext_Flag="Yes",$AA57="Yes"),Ext_Months,0)</f>
        <v>0</v>
      </c>
      <c r="AR57" s="70" t="n">
        <f aca="false">$AP57+$AQ57</f>
        <v>0</v>
      </c>
      <c r="AS57" s="70" t="n">
        <f aca="false">$AR57/12</f>
        <v>0</v>
      </c>
      <c r="AT57" s="70" t="n">
        <f aca="false">IF($AJ57="",0,MAX(0,$AJ57/12))</f>
        <v>0</v>
      </c>
      <c r="AU57" s="70" t="n">
        <f aca="false">MAX(Amort_Min,Amort_Term-$AH57/12)</f>
        <v>30</v>
      </c>
      <c r="AV57" s="70" t="n">
        <f aca="false">MIN($AS57,Hold_Yrs)</f>
        <v>0</v>
      </c>
      <c r="AW57" s="26" t="n">
        <f aca="false">IF($AN57=0,0,CEILING(MAX($AS57,0.0001),1))</f>
        <v>0</v>
      </c>
      <c r="AX57" s="26" t="n">
        <f aca="false">IF(AND($AN57=1,MAX($AS57,0.0001)&lt;=Hold_Yrs),1,0)</f>
        <v>0</v>
      </c>
      <c r="AY57" s="71" t="n">
        <f aca="false">$R57*$AO57</f>
        <v>0</v>
      </c>
      <c r="AZ57" s="71" t="n">
        <f aca="false">$R57*Acc_Int*$AN57</f>
        <v>0</v>
      </c>
      <c r="BA57" s="71" t="n">
        <f aca="false">$AY57*Acq_Cost</f>
        <v>0</v>
      </c>
      <c r="BB57" s="71" t="n">
        <f aca="false">$AY57+$AZ57+$BA57</f>
        <v>0</v>
      </c>
      <c r="BC57" s="71" t="n">
        <f aca="false">IF(Fin_Flag="Yes",$AY57*Adv_Rate,0)</f>
        <v>0</v>
      </c>
      <c r="BD57" s="71" t="n">
        <f aca="false">$BC57*Fin_UpFee</f>
        <v>0</v>
      </c>
      <c r="BE57" s="71" t="n">
        <f aca="false">$BB57-$BC57+$BD57</f>
        <v>0</v>
      </c>
    </row>
    <row r="58" customFormat="false" ht="14.25" hidden="false" customHeight="false" outlineLevel="0" collapsed="false">
      <c r="A58" s="61"/>
      <c r="B58" s="62"/>
      <c r="C58" s="61"/>
      <c r="D58" s="61"/>
      <c r="E58" s="61"/>
      <c r="F58" s="63"/>
      <c r="G58" s="64"/>
      <c r="H58" s="64"/>
      <c r="I58" s="63"/>
      <c r="J58" s="63"/>
      <c r="K58" s="61"/>
      <c r="L58" s="65"/>
      <c r="M58" s="65"/>
      <c r="N58" s="61"/>
      <c r="O58" s="64"/>
      <c r="P58" s="65"/>
      <c r="Q58" s="65"/>
      <c r="R58" s="66"/>
      <c r="S58" s="65"/>
      <c r="T58" s="65"/>
      <c r="U58" s="67"/>
      <c r="V58" s="65"/>
      <c r="W58" s="65"/>
      <c r="X58" s="63"/>
      <c r="Y58" s="63"/>
      <c r="Z58" s="61"/>
      <c r="AA58" s="61"/>
      <c r="AB58" s="61"/>
      <c r="AC58" s="61"/>
      <c r="AD58" s="61"/>
      <c r="AE58" s="61"/>
      <c r="AF58" s="61"/>
      <c r="AG58" s="61"/>
      <c r="AH58" s="68" t="n">
        <f aca="false">IF(G58="",0,ROUND((Strats!$C$4-G58)/30.4375,1))</f>
        <v>0</v>
      </c>
      <c r="AI58" s="69" t="n">
        <f aca="false">IF(K58="",0,IF(K58="Floating",Strats!$C$10+M58,L58))</f>
        <v>0</v>
      </c>
      <c r="AJ58" s="68" t="str">
        <f aca="false">IF(OR(Z58="",Z58="Full Amortizing"),"",MAX(J58-AH58,0))</f>
        <v/>
      </c>
      <c r="AK58" s="69" t="n">
        <f aca="false">IF(K58="",0,IF(K58="Floating",IF(P58&lt;&gt;"",MIN(IF(Q58&lt;&gt;"",MAX((Strats!$C$10+Strats!$C$11+M58),Q58),(Strats!$C$10+Strats!$C$11+M58)),P58),IF(Q58&lt;&gt;"",MAX((Strats!$C$10+Strats!$C$11+M58),Q58),(Strats!$C$10+Strats!$C$11+M58))),AI58))</f>
        <v>0</v>
      </c>
      <c r="AL58" s="68" t="str">
        <f aca="false">IF(OR(E58="",E58&lt;&gt;'Deal Strat'!$C$12,R58=""),"",SUMPRODUCT((E$4:E$303='Deal Strat'!$C$12)*(R$4:R$303&gt;R58))+1+SUMPRODUCT((E$4:E$303='Deal Strat'!$C$12)*(R$4:R$303=R58)*(ROW(R$4:R$303)&lt;ROW(R58))))</f>
        <v/>
      </c>
      <c r="AM58" s="68" t="str">
        <f aca="false">IF(R58="","",RANK(R58,$R$4:$R$303,0)+COUNTIF($R$4:R58,R58)-1)</f>
        <v/>
      </c>
      <c r="AN58" s="26" t="n">
        <f aca="false">IF(OR($A58="",$R58=""),0,IF(Deal_Scope="All Deals",1,IF($E58=Deal_Scope,1,0)))</f>
        <v>0</v>
      </c>
      <c r="AO58" s="56" t="n">
        <f aca="false">IF($AN58=0,0,Px_Par)</f>
        <v>0</v>
      </c>
      <c r="AP58" s="70" t="n">
        <f aca="false">IF($H58="",0,MAX(0,($H58-Set_Date)/30.4375))</f>
        <v>0</v>
      </c>
      <c r="AQ58" s="26" t="n">
        <f aca="false">IF(AND(Ext_Flag="Yes",$AA58="Yes"),Ext_Months,0)</f>
        <v>0</v>
      </c>
      <c r="AR58" s="70" t="n">
        <f aca="false">$AP58+$AQ58</f>
        <v>0</v>
      </c>
      <c r="AS58" s="70" t="n">
        <f aca="false">$AR58/12</f>
        <v>0</v>
      </c>
      <c r="AT58" s="70" t="n">
        <f aca="false">IF($AJ58="",0,MAX(0,$AJ58/12))</f>
        <v>0</v>
      </c>
      <c r="AU58" s="70" t="n">
        <f aca="false">MAX(Amort_Min,Amort_Term-$AH58/12)</f>
        <v>30</v>
      </c>
      <c r="AV58" s="70" t="n">
        <f aca="false">MIN($AS58,Hold_Yrs)</f>
        <v>0</v>
      </c>
      <c r="AW58" s="26" t="n">
        <f aca="false">IF($AN58=0,0,CEILING(MAX($AS58,0.0001),1))</f>
        <v>0</v>
      </c>
      <c r="AX58" s="26" t="n">
        <f aca="false">IF(AND($AN58=1,MAX($AS58,0.0001)&lt;=Hold_Yrs),1,0)</f>
        <v>0</v>
      </c>
      <c r="AY58" s="71" t="n">
        <f aca="false">$R58*$AO58</f>
        <v>0</v>
      </c>
      <c r="AZ58" s="71" t="n">
        <f aca="false">$R58*Acc_Int*$AN58</f>
        <v>0</v>
      </c>
      <c r="BA58" s="71" t="n">
        <f aca="false">$AY58*Acq_Cost</f>
        <v>0</v>
      </c>
      <c r="BB58" s="71" t="n">
        <f aca="false">$AY58+$AZ58+$BA58</f>
        <v>0</v>
      </c>
      <c r="BC58" s="71" t="n">
        <f aca="false">IF(Fin_Flag="Yes",$AY58*Adv_Rate,0)</f>
        <v>0</v>
      </c>
      <c r="BD58" s="71" t="n">
        <f aca="false">$BC58*Fin_UpFee</f>
        <v>0</v>
      </c>
      <c r="BE58" s="71" t="n">
        <f aca="false">$BB58-$BC58+$BD58</f>
        <v>0</v>
      </c>
    </row>
    <row r="59" customFormat="false" ht="14.25" hidden="false" customHeight="false" outlineLevel="0" collapsed="false">
      <c r="A59" s="61"/>
      <c r="B59" s="62"/>
      <c r="C59" s="61"/>
      <c r="D59" s="61"/>
      <c r="E59" s="61"/>
      <c r="F59" s="63"/>
      <c r="G59" s="64"/>
      <c r="H59" s="64"/>
      <c r="I59" s="63"/>
      <c r="J59" s="63"/>
      <c r="K59" s="61"/>
      <c r="L59" s="65"/>
      <c r="M59" s="65"/>
      <c r="N59" s="61"/>
      <c r="O59" s="64"/>
      <c r="P59" s="65"/>
      <c r="Q59" s="65"/>
      <c r="R59" s="66"/>
      <c r="S59" s="65"/>
      <c r="T59" s="65"/>
      <c r="U59" s="67"/>
      <c r="V59" s="65"/>
      <c r="W59" s="65"/>
      <c r="X59" s="63"/>
      <c r="Y59" s="63"/>
      <c r="Z59" s="61"/>
      <c r="AA59" s="61"/>
      <c r="AB59" s="61"/>
      <c r="AC59" s="61"/>
      <c r="AD59" s="61"/>
      <c r="AE59" s="61"/>
      <c r="AF59" s="61"/>
      <c r="AG59" s="61"/>
      <c r="AH59" s="68" t="n">
        <f aca="false">IF(G59="",0,ROUND((Strats!$C$4-G59)/30.4375,1))</f>
        <v>0</v>
      </c>
      <c r="AI59" s="69" t="n">
        <f aca="false">IF(K59="",0,IF(K59="Floating",Strats!$C$10+M59,L59))</f>
        <v>0</v>
      </c>
      <c r="AJ59" s="68" t="str">
        <f aca="false">IF(OR(Z59="",Z59="Full Amortizing"),"",MAX(J59-AH59,0))</f>
        <v/>
      </c>
      <c r="AK59" s="69" t="n">
        <f aca="false">IF(K59="",0,IF(K59="Floating",IF(P59&lt;&gt;"",MIN(IF(Q59&lt;&gt;"",MAX((Strats!$C$10+Strats!$C$11+M59),Q59),(Strats!$C$10+Strats!$C$11+M59)),P59),IF(Q59&lt;&gt;"",MAX((Strats!$C$10+Strats!$C$11+M59),Q59),(Strats!$C$10+Strats!$C$11+M59))),AI59))</f>
        <v>0</v>
      </c>
      <c r="AL59" s="68" t="str">
        <f aca="false">IF(OR(E59="",E59&lt;&gt;'Deal Strat'!$C$12,R59=""),"",SUMPRODUCT((E$4:E$303='Deal Strat'!$C$12)*(R$4:R$303&gt;R59))+1+SUMPRODUCT((E$4:E$303='Deal Strat'!$C$12)*(R$4:R$303=R59)*(ROW(R$4:R$303)&lt;ROW(R59))))</f>
        <v/>
      </c>
      <c r="AM59" s="68" t="str">
        <f aca="false">IF(R59="","",RANK(R59,$R$4:$R$303,0)+COUNTIF($R$4:R59,R59)-1)</f>
        <v/>
      </c>
      <c r="AN59" s="26" t="n">
        <f aca="false">IF(OR($A59="",$R59=""),0,IF(Deal_Scope="All Deals",1,IF($E59=Deal_Scope,1,0)))</f>
        <v>0</v>
      </c>
      <c r="AO59" s="56" t="n">
        <f aca="false">IF($AN59=0,0,Px_Par)</f>
        <v>0</v>
      </c>
      <c r="AP59" s="70" t="n">
        <f aca="false">IF($H59="",0,MAX(0,($H59-Set_Date)/30.4375))</f>
        <v>0</v>
      </c>
      <c r="AQ59" s="26" t="n">
        <f aca="false">IF(AND(Ext_Flag="Yes",$AA59="Yes"),Ext_Months,0)</f>
        <v>0</v>
      </c>
      <c r="AR59" s="70" t="n">
        <f aca="false">$AP59+$AQ59</f>
        <v>0</v>
      </c>
      <c r="AS59" s="70" t="n">
        <f aca="false">$AR59/12</f>
        <v>0</v>
      </c>
      <c r="AT59" s="70" t="n">
        <f aca="false">IF($AJ59="",0,MAX(0,$AJ59/12))</f>
        <v>0</v>
      </c>
      <c r="AU59" s="70" t="n">
        <f aca="false">MAX(Amort_Min,Amort_Term-$AH59/12)</f>
        <v>30</v>
      </c>
      <c r="AV59" s="70" t="n">
        <f aca="false">MIN($AS59,Hold_Yrs)</f>
        <v>0</v>
      </c>
      <c r="AW59" s="26" t="n">
        <f aca="false">IF($AN59=0,0,CEILING(MAX($AS59,0.0001),1))</f>
        <v>0</v>
      </c>
      <c r="AX59" s="26" t="n">
        <f aca="false">IF(AND($AN59=1,MAX($AS59,0.0001)&lt;=Hold_Yrs),1,0)</f>
        <v>0</v>
      </c>
      <c r="AY59" s="71" t="n">
        <f aca="false">$R59*$AO59</f>
        <v>0</v>
      </c>
      <c r="AZ59" s="71" t="n">
        <f aca="false">$R59*Acc_Int*$AN59</f>
        <v>0</v>
      </c>
      <c r="BA59" s="71" t="n">
        <f aca="false">$AY59*Acq_Cost</f>
        <v>0</v>
      </c>
      <c r="BB59" s="71" t="n">
        <f aca="false">$AY59+$AZ59+$BA59</f>
        <v>0</v>
      </c>
      <c r="BC59" s="71" t="n">
        <f aca="false">IF(Fin_Flag="Yes",$AY59*Adv_Rate,0)</f>
        <v>0</v>
      </c>
      <c r="BD59" s="71" t="n">
        <f aca="false">$BC59*Fin_UpFee</f>
        <v>0</v>
      </c>
      <c r="BE59" s="71" t="n">
        <f aca="false">$BB59-$BC59+$BD59</f>
        <v>0</v>
      </c>
    </row>
    <row r="60" customFormat="false" ht="14.25" hidden="false" customHeight="false" outlineLevel="0" collapsed="false">
      <c r="A60" s="61"/>
      <c r="B60" s="62"/>
      <c r="C60" s="61"/>
      <c r="D60" s="61"/>
      <c r="E60" s="61"/>
      <c r="F60" s="63"/>
      <c r="G60" s="64"/>
      <c r="H60" s="64"/>
      <c r="I60" s="63"/>
      <c r="J60" s="63"/>
      <c r="K60" s="61"/>
      <c r="L60" s="65"/>
      <c r="M60" s="65"/>
      <c r="N60" s="61"/>
      <c r="O60" s="64"/>
      <c r="P60" s="65"/>
      <c r="Q60" s="65"/>
      <c r="R60" s="66"/>
      <c r="S60" s="65"/>
      <c r="T60" s="65"/>
      <c r="U60" s="67"/>
      <c r="V60" s="65"/>
      <c r="W60" s="65"/>
      <c r="X60" s="63"/>
      <c r="Y60" s="63"/>
      <c r="Z60" s="61"/>
      <c r="AA60" s="61"/>
      <c r="AB60" s="61"/>
      <c r="AC60" s="61"/>
      <c r="AD60" s="61"/>
      <c r="AE60" s="61"/>
      <c r="AF60" s="61"/>
      <c r="AG60" s="61"/>
      <c r="AH60" s="68" t="n">
        <f aca="false">IF(G60="",0,ROUND((Strats!$C$4-G60)/30.4375,1))</f>
        <v>0</v>
      </c>
      <c r="AI60" s="69" t="n">
        <f aca="false">IF(K60="",0,IF(K60="Floating",Strats!$C$10+M60,L60))</f>
        <v>0</v>
      </c>
      <c r="AJ60" s="68" t="str">
        <f aca="false">IF(OR(Z60="",Z60="Full Amortizing"),"",MAX(J60-AH60,0))</f>
        <v/>
      </c>
      <c r="AK60" s="69" t="n">
        <f aca="false">IF(K60="",0,IF(K60="Floating",IF(P60&lt;&gt;"",MIN(IF(Q60&lt;&gt;"",MAX((Strats!$C$10+Strats!$C$11+M60),Q60),(Strats!$C$10+Strats!$C$11+M60)),P60),IF(Q60&lt;&gt;"",MAX((Strats!$C$10+Strats!$C$11+M60),Q60),(Strats!$C$10+Strats!$C$11+M60))),AI60))</f>
        <v>0</v>
      </c>
      <c r="AL60" s="68" t="str">
        <f aca="false">IF(OR(E60="",E60&lt;&gt;'Deal Strat'!$C$12,R60=""),"",SUMPRODUCT((E$4:E$303='Deal Strat'!$C$12)*(R$4:R$303&gt;R60))+1+SUMPRODUCT((E$4:E$303='Deal Strat'!$C$12)*(R$4:R$303=R60)*(ROW(R$4:R$303)&lt;ROW(R60))))</f>
        <v/>
      </c>
      <c r="AM60" s="68" t="str">
        <f aca="false">IF(R60="","",RANK(R60,$R$4:$R$303,0)+COUNTIF($R$4:R60,R60)-1)</f>
        <v/>
      </c>
      <c r="AN60" s="26" t="n">
        <f aca="false">IF(OR($A60="",$R60=""),0,IF(Deal_Scope="All Deals",1,IF($E60=Deal_Scope,1,0)))</f>
        <v>0</v>
      </c>
      <c r="AO60" s="56" t="n">
        <f aca="false">IF($AN60=0,0,Px_Par)</f>
        <v>0</v>
      </c>
      <c r="AP60" s="70" t="n">
        <f aca="false">IF($H60="",0,MAX(0,($H60-Set_Date)/30.4375))</f>
        <v>0</v>
      </c>
      <c r="AQ60" s="26" t="n">
        <f aca="false">IF(AND(Ext_Flag="Yes",$AA60="Yes"),Ext_Months,0)</f>
        <v>0</v>
      </c>
      <c r="AR60" s="70" t="n">
        <f aca="false">$AP60+$AQ60</f>
        <v>0</v>
      </c>
      <c r="AS60" s="70" t="n">
        <f aca="false">$AR60/12</f>
        <v>0</v>
      </c>
      <c r="AT60" s="70" t="n">
        <f aca="false">IF($AJ60="",0,MAX(0,$AJ60/12))</f>
        <v>0</v>
      </c>
      <c r="AU60" s="70" t="n">
        <f aca="false">MAX(Amort_Min,Amort_Term-$AH60/12)</f>
        <v>30</v>
      </c>
      <c r="AV60" s="70" t="n">
        <f aca="false">MIN($AS60,Hold_Yrs)</f>
        <v>0</v>
      </c>
      <c r="AW60" s="26" t="n">
        <f aca="false">IF($AN60=0,0,CEILING(MAX($AS60,0.0001),1))</f>
        <v>0</v>
      </c>
      <c r="AX60" s="26" t="n">
        <f aca="false">IF(AND($AN60=1,MAX($AS60,0.0001)&lt;=Hold_Yrs),1,0)</f>
        <v>0</v>
      </c>
      <c r="AY60" s="71" t="n">
        <f aca="false">$R60*$AO60</f>
        <v>0</v>
      </c>
      <c r="AZ60" s="71" t="n">
        <f aca="false">$R60*Acc_Int*$AN60</f>
        <v>0</v>
      </c>
      <c r="BA60" s="71" t="n">
        <f aca="false">$AY60*Acq_Cost</f>
        <v>0</v>
      </c>
      <c r="BB60" s="71" t="n">
        <f aca="false">$AY60+$AZ60+$BA60</f>
        <v>0</v>
      </c>
      <c r="BC60" s="71" t="n">
        <f aca="false">IF(Fin_Flag="Yes",$AY60*Adv_Rate,0)</f>
        <v>0</v>
      </c>
      <c r="BD60" s="71" t="n">
        <f aca="false">$BC60*Fin_UpFee</f>
        <v>0</v>
      </c>
      <c r="BE60" s="71" t="n">
        <f aca="false">$BB60-$BC60+$BD60</f>
        <v>0</v>
      </c>
    </row>
    <row r="61" customFormat="false" ht="14.25" hidden="false" customHeight="false" outlineLevel="0" collapsed="false">
      <c r="A61" s="61"/>
      <c r="B61" s="62"/>
      <c r="C61" s="61"/>
      <c r="D61" s="61"/>
      <c r="E61" s="61"/>
      <c r="F61" s="63"/>
      <c r="G61" s="64"/>
      <c r="H61" s="64"/>
      <c r="I61" s="63"/>
      <c r="J61" s="63"/>
      <c r="K61" s="61"/>
      <c r="L61" s="65"/>
      <c r="M61" s="65"/>
      <c r="N61" s="61"/>
      <c r="O61" s="64"/>
      <c r="P61" s="65"/>
      <c r="Q61" s="65"/>
      <c r="R61" s="66"/>
      <c r="S61" s="65"/>
      <c r="T61" s="65"/>
      <c r="U61" s="67"/>
      <c r="V61" s="65"/>
      <c r="W61" s="65"/>
      <c r="X61" s="63"/>
      <c r="Y61" s="63"/>
      <c r="Z61" s="61"/>
      <c r="AA61" s="61"/>
      <c r="AB61" s="61"/>
      <c r="AC61" s="61"/>
      <c r="AD61" s="61"/>
      <c r="AE61" s="61"/>
      <c r="AF61" s="61"/>
      <c r="AG61" s="61"/>
      <c r="AH61" s="68" t="n">
        <f aca="false">IF(G61="",0,ROUND((Strats!$C$4-G61)/30.4375,1))</f>
        <v>0</v>
      </c>
      <c r="AI61" s="69" t="n">
        <f aca="false">IF(K61="",0,IF(K61="Floating",Strats!$C$10+M61,L61))</f>
        <v>0</v>
      </c>
      <c r="AJ61" s="68" t="str">
        <f aca="false">IF(OR(Z61="",Z61="Full Amortizing"),"",MAX(J61-AH61,0))</f>
        <v/>
      </c>
      <c r="AK61" s="69" t="n">
        <f aca="false">IF(K61="",0,IF(K61="Floating",IF(P61&lt;&gt;"",MIN(IF(Q61&lt;&gt;"",MAX((Strats!$C$10+Strats!$C$11+M61),Q61),(Strats!$C$10+Strats!$C$11+M61)),P61),IF(Q61&lt;&gt;"",MAX((Strats!$C$10+Strats!$C$11+M61),Q61),(Strats!$C$10+Strats!$C$11+M61))),AI61))</f>
        <v>0</v>
      </c>
      <c r="AL61" s="68" t="str">
        <f aca="false">IF(OR(E61="",E61&lt;&gt;'Deal Strat'!$C$12,R61=""),"",SUMPRODUCT((E$4:E$303='Deal Strat'!$C$12)*(R$4:R$303&gt;R61))+1+SUMPRODUCT((E$4:E$303='Deal Strat'!$C$12)*(R$4:R$303=R61)*(ROW(R$4:R$303)&lt;ROW(R61))))</f>
        <v/>
      </c>
      <c r="AM61" s="68" t="str">
        <f aca="false">IF(R61="","",RANK(R61,$R$4:$R$303,0)+COUNTIF($R$4:R61,R61)-1)</f>
        <v/>
      </c>
      <c r="AN61" s="26" t="n">
        <f aca="false">IF(OR($A61="",$R61=""),0,IF(Deal_Scope="All Deals",1,IF($E61=Deal_Scope,1,0)))</f>
        <v>0</v>
      </c>
      <c r="AO61" s="56" t="n">
        <f aca="false">IF($AN61=0,0,Px_Par)</f>
        <v>0</v>
      </c>
      <c r="AP61" s="70" t="n">
        <f aca="false">IF($H61="",0,MAX(0,($H61-Set_Date)/30.4375))</f>
        <v>0</v>
      </c>
      <c r="AQ61" s="26" t="n">
        <f aca="false">IF(AND(Ext_Flag="Yes",$AA61="Yes"),Ext_Months,0)</f>
        <v>0</v>
      </c>
      <c r="AR61" s="70" t="n">
        <f aca="false">$AP61+$AQ61</f>
        <v>0</v>
      </c>
      <c r="AS61" s="70" t="n">
        <f aca="false">$AR61/12</f>
        <v>0</v>
      </c>
      <c r="AT61" s="70" t="n">
        <f aca="false">IF($AJ61="",0,MAX(0,$AJ61/12))</f>
        <v>0</v>
      </c>
      <c r="AU61" s="70" t="n">
        <f aca="false">MAX(Amort_Min,Amort_Term-$AH61/12)</f>
        <v>30</v>
      </c>
      <c r="AV61" s="70" t="n">
        <f aca="false">MIN($AS61,Hold_Yrs)</f>
        <v>0</v>
      </c>
      <c r="AW61" s="26" t="n">
        <f aca="false">IF($AN61=0,0,CEILING(MAX($AS61,0.0001),1))</f>
        <v>0</v>
      </c>
      <c r="AX61" s="26" t="n">
        <f aca="false">IF(AND($AN61=1,MAX($AS61,0.0001)&lt;=Hold_Yrs),1,0)</f>
        <v>0</v>
      </c>
      <c r="AY61" s="71" t="n">
        <f aca="false">$R61*$AO61</f>
        <v>0</v>
      </c>
      <c r="AZ61" s="71" t="n">
        <f aca="false">$R61*Acc_Int*$AN61</f>
        <v>0</v>
      </c>
      <c r="BA61" s="71" t="n">
        <f aca="false">$AY61*Acq_Cost</f>
        <v>0</v>
      </c>
      <c r="BB61" s="71" t="n">
        <f aca="false">$AY61+$AZ61+$BA61</f>
        <v>0</v>
      </c>
      <c r="BC61" s="71" t="n">
        <f aca="false">IF(Fin_Flag="Yes",$AY61*Adv_Rate,0)</f>
        <v>0</v>
      </c>
      <c r="BD61" s="71" t="n">
        <f aca="false">$BC61*Fin_UpFee</f>
        <v>0</v>
      </c>
      <c r="BE61" s="71" t="n">
        <f aca="false">$BB61-$BC61+$BD61</f>
        <v>0</v>
      </c>
    </row>
    <row r="62" customFormat="false" ht="14.25" hidden="false" customHeight="false" outlineLevel="0" collapsed="false">
      <c r="A62" s="61"/>
      <c r="B62" s="62"/>
      <c r="C62" s="61"/>
      <c r="D62" s="61"/>
      <c r="E62" s="61"/>
      <c r="F62" s="63"/>
      <c r="G62" s="64"/>
      <c r="H62" s="64"/>
      <c r="I62" s="63"/>
      <c r="J62" s="63"/>
      <c r="K62" s="61"/>
      <c r="L62" s="65"/>
      <c r="M62" s="65"/>
      <c r="N62" s="61"/>
      <c r="O62" s="64"/>
      <c r="P62" s="65"/>
      <c r="Q62" s="65"/>
      <c r="R62" s="66"/>
      <c r="S62" s="65"/>
      <c r="T62" s="65"/>
      <c r="U62" s="67"/>
      <c r="V62" s="65"/>
      <c r="W62" s="65"/>
      <c r="X62" s="63"/>
      <c r="Y62" s="63"/>
      <c r="Z62" s="61"/>
      <c r="AA62" s="61"/>
      <c r="AB62" s="61"/>
      <c r="AC62" s="61"/>
      <c r="AD62" s="61"/>
      <c r="AE62" s="61"/>
      <c r="AF62" s="61"/>
      <c r="AG62" s="61"/>
      <c r="AH62" s="68" t="n">
        <f aca="false">IF(G62="",0,ROUND((Strats!$C$4-G62)/30.4375,1))</f>
        <v>0</v>
      </c>
      <c r="AI62" s="69" t="n">
        <f aca="false">IF(K62="",0,IF(K62="Floating",Strats!$C$10+M62,L62))</f>
        <v>0</v>
      </c>
      <c r="AJ62" s="68" t="str">
        <f aca="false">IF(OR(Z62="",Z62="Full Amortizing"),"",MAX(J62-AH62,0))</f>
        <v/>
      </c>
      <c r="AK62" s="69" t="n">
        <f aca="false">IF(K62="",0,IF(K62="Floating",IF(P62&lt;&gt;"",MIN(IF(Q62&lt;&gt;"",MAX((Strats!$C$10+Strats!$C$11+M62),Q62),(Strats!$C$10+Strats!$C$11+M62)),P62),IF(Q62&lt;&gt;"",MAX((Strats!$C$10+Strats!$C$11+M62),Q62),(Strats!$C$10+Strats!$C$11+M62))),AI62))</f>
        <v>0</v>
      </c>
      <c r="AL62" s="68" t="str">
        <f aca="false">IF(OR(E62="",E62&lt;&gt;'Deal Strat'!$C$12,R62=""),"",SUMPRODUCT((E$4:E$303='Deal Strat'!$C$12)*(R$4:R$303&gt;R62))+1+SUMPRODUCT((E$4:E$303='Deal Strat'!$C$12)*(R$4:R$303=R62)*(ROW(R$4:R$303)&lt;ROW(R62))))</f>
        <v/>
      </c>
      <c r="AM62" s="68" t="str">
        <f aca="false">IF(R62="","",RANK(R62,$R$4:$R$303,0)+COUNTIF($R$4:R62,R62)-1)</f>
        <v/>
      </c>
      <c r="AN62" s="26" t="n">
        <f aca="false">IF(OR($A62="",$R62=""),0,IF(Deal_Scope="All Deals",1,IF($E62=Deal_Scope,1,0)))</f>
        <v>0</v>
      </c>
      <c r="AO62" s="56" t="n">
        <f aca="false">IF($AN62=0,0,Px_Par)</f>
        <v>0</v>
      </c>
      <c r="AP62" s="70" t="n">
        <f aca="false">IF($H62="",0,MAX(0,($H62-Set_Date)/30.4375))</f>
        <v>0</v>
      </c>
      <c r="AQ62" s="26" t="n">
        <f aca="false">IF(AND(Ext_Flag="Yes",$AA62="Yes"),Ext_Months,0)</f>
        <v>0</v>
      </c>
      <c r="AR62" s="70" t="n">
        <f aca="false">$AP62+$AQ62</f>
        <v>0</v>
      </c>
      <c r="AS62" s="70" t="n">
        <f aca="false">$AR62/12</f>
        <v>0</v>
      </c>
      <c r="AT62" s="70" t="n">
        <f aca="false">IF($AJ62="",0,MAX(0,$AJ62/12))</f>
        <v>0</v>
      </c>
      <c r="AU62" s="70" t="n">
        <f aca="false">MAX(Amort_Min,Amort_Term-$AH62/12)</f>
        <v>30</v>
      </c>
      <c r="AV62" s="70" t="n">
        <f aca="false">MIN($AS62,Hold_Yrs)</f>
        <v>0</v>
      </c>
      <c r="AW62" s="26" t="n">
        <f aca="false">IF($AN62=0,0,CEILING(MAX($AS62,0.0001),1))</f>
        <v>0</v>
      </c>
      <c r="AX62" s="26" t="n">
        <f aca="false">IF(AND($AN62=1,MAX($AS62,0.0001)&lt;=Hold_Yrs),1,0)</f>
        <v>0</v>
      </c>
      <c r="AY62" s="71" t="n">
        <f aca="false">$R62*$AO62</f>
        <v>0</v>
      </c>
      <c r="AZ62" s="71" t="n">
        <f aca="false">$R62*Acc_Int*$AN62</f>
        <v>0</v>
      </c>
      <c r="BA62" s="71" t="n">
        <f aca="false">$AY62*Acq_Cost</f>
        <v>0</v>
      </c>
      <c r="BB62" s="71" t="n">
        <f aca="false">$AY62+$AZ62+$BA62</f>
        <v>0</v>
      </c>
      <c r="BC62" s="71" t="n">
        <f aca="false">IF(Fin_Flag="Yes",$AY62*Adv_Rate,0)</f>
        <v>0</v>
      </c>
      <c r="BD62" s="71" t="n">
        <f aca="false">$BC62*Fin_UpFee</f>
        <v>0</v>
      </c>
      <c r="BE62" s="71" t="n">
        <f aca="false">$BB62-$BC62+$BD62</f>
        <v>0</v>
      </c>
    </row>
    <row r="63" customFormat="false" ht="14.25" hidden="false" customHeight="false" outlineLevel="0" collapsed="false">
      <c r="A63" s="61"/>
      <c r="B63" s="62"/>
      <c r="C63" s="61"/>
      <c r="D63" s="61"/>
      <c r="E63" s="61"/>
      <c r="F63" s="63"/>
      <c r="G63" s="64"/>
      <c r="H63" s="64"/>
      <c r="I63" s="63"/>
      <c r="J63" s="63"/>
      <c r="K63" s="61"/>
      <c r="L63" s="65"/>
      <c r="M63" s="65"/>
      <c r="N63" s="61"/>
      <c r="O63" s="64"/>
      <c r="P63" s="65"/>
      <c r="Q63" s="65"/>
      <c r="R63" s="66"/>
      <c r="S63" s="65"/>
      <c r="T63" s="65"/>
      <c r="U63" s="67"/>
      <c r="V63" s="65"/>
      <c r="W63" s="65"/>
      <c r="X63" s="63"/>
      <c r="Y63" s="63"/>
      <c r="Z63" s="61"/>
      <c r="AA63" s="61"/>
      <c r="AB63" s="61"/>
      <c r="AC63" s="61"/>
      <c r="AD63" s="61"/>
      <c r="AE63" s="61"/>
      <c r="AF63" s="61"/>
      <c r="AG63" s="61"/>
      <c r="AH63" s="68" t="n">
        <f aca="false">IF(G63="",0,ROUND((Strats!$C$4-G63)/30.4375,1))</f>
        <v>0</v>
      </c>
      <c r="AI63" s="69" t="n">
        <f aca="false">IF(K63="",0,IF(K63="Floating",Strats!$C$10+M63,L63))</f>
        <v>0</v>
      </c>
      <c r="AJ63" s="68" t="str">
        <f aca="false">IF(OR(Z63="",Z63="Full Amortizing"),"",MAX(J63-AH63,0))</f>
        <v/>
      </c>
      <c r="AK63" s="69" t="n">
        <f aca="false">IF(K63="",0,IF(K63="Floating",IF(P63&lt;&gt;"",MIN(IF(Q63&lt;&gt;"",MAX((Strats!$C$10+Strats!$C$11+M63),Q63),(Strats!$C$10+Strats!$C$11+M63)),P63),IF(Q63&lt;&gt;"",MAX((Strats!$C$10+Strats!$C$11+M63),Q63),(Strats!$C$10+Strats!$C$11+M63))),AI63))</f>
        <v>0</v>
      </c>
      <c r="AL63" s="68" t="str">
        <f aca="false">IF(OR(E63="",E63&lt;&gt;'Deal Strat'!$C$12,R63=""),"",SUMPRODUCT((E$4:E$303='Deal Strat'!$C$12)*(R$4:R$303&gt;R63))+1+SUMPRODUCT((E$4:E$303='Deal Strat'!$C$12)*(R$4:R$303=R63)*(ROW(R$4:R$303)&lt;ROW(R63))))</f>
        <v/>
      </c>
      <c r="AM63" s="68" t="str">
        <f aca="false">IF(R63="","",RANK(R63,$R$4:$R$303,0)+COUNTIF($R$4:R63,R63)-1)</f>
        <v/>
      </c>
      <c r="AN63" s="26" t="n">
        <f aca="false">IF(OR($A63="",$R63=""),0,IF(Deal_Scope="All Deals",1,IF($E63=Deal_Scope,1,0)))</f>
        <v>0</v>
      </c>
      <c r="AO63" s="56" t="n">
        <f aca="false">IF($AN63=0,0,Px_Par)</f>
        <v>0</v>
      </c>
      <c r="AP63" s="70" t="n">
        <f aca="false">IF($H63="",0,MAX(0,($H63-Set_Date)/30.4375))</f>
        <v>0</v>
      </c>
      <c r="AQ63" s="26" t="n">
        <f aca="false">IF(AND(Ext_Flag="Yes",$AA63="Yes"),Ext_Months,0)</f>
        <v>0</v>
      </c>
      <c r="AR63" s="70" t="n">
        <f aca="false">$AP63+$AQ63</f>
        <v>0</v>
      </c>
      <c r="AS63" s="70" t="n">
        <f aca="false">$AR63/12</f>
        <v>0</v>
      </c>
      <c r="AT63" s="70" t="n">
        <f aca="false">IF($AJ63="",0,MAX(0,$AJ63/12))</f>
        <v>0</v>
      </c>
      <c r="AU63" s="70" t="n">
        <f aca="false">MAX(Amort_Min,Amort_Term-$AH63/12)</f>
        <v>30</v>
      </c>
      <c r="AV63" s="70" t="n">
        <f aca="false">MIN($AS63,Hold_Yrs)</f>
        <v>0</v>
      </c>
      <c r="AW63" s="26" t="n">
        <f aca="false">IF($AN63=0,0,CEILING(MAX($AS63,0.0001),1))</f>
        <v>0</v>
      </c>
      <c r="AX63" s="26" t="n">
        <f aca="false">IF(AND($AN63=1,MAX($AS63,0.0001)&lt;=Hold_Yrs),1,0)</f>
        <v>0</v>
      </c>
      <c r="AY63" s="71" t="n">
        <f aca="false">$R63*$AO63</f>
        <v>0</v>
      </c>
      <c r="AZ63" s="71" t="n">
        <f aca="false">$R63*Acc_Int*$AN63</f>
        <v>0</v>
      </c>
      <c r="BA63" s="71" t="n">
        <f aca="false">$AY63*Acq_Cost</f>
        <v>0</v>
      </c>
      <c r="BB63" s="71" t="n">
        <f aca="false">$AY63+$AZ63+$BA63</f>
        <v>0</v>
      </c>
      <c r="BC63" s="71" t="n">
        <f aca="false">IF(Fin_Flag="Yes",$AY63*Adv_Rate,0)</f>
        <v>0</v>
      </c>
      <c r="BD63" s="71" t="n">
        <f aca="false">$BC63*Fin_UpFee</f>
        <v>0</v>
      </c>
      <c r="BE63" s="71" t="n">
        <f aca="false">$BB63-$BC63+$BD63</f>
        <v>0</v>
      </c>
    </row>
    <row r="64" customFormat="false" ht="14.25" hidden="false" customHeight="false" outlineLevel="0" collapsed="false">
      <c r="A64" s="61"/>
      <c r="B64" s="62"/>
      <c r="C64" s="61"/>
      <c r="D64" s="61"/>
      <c r="E64" s="61"/>
      <c r="F64" s="63"/>
      <c r="G64" s="64"/>
      <c r="H64" s="64"/>
      <c r="I64" s="63"/>
      <c r="J64" s="63"/>
      <c r="K64" s="61"/>
      <c r="L64" s="65"/>
      <c r="M64" s="65"/>
      <c r="N64" s="61"/>
      <c r="O64" s="64"/>
      <c r="P64" s="65"/>
      <c r="Q64" s="65"/>
      <c r="R64" s="66"/>
      <c r="S64" s="65"/>
      <c r="T64" s="65"/>
      <c r="U64" s="67"/>
      <c r="V64" s="65"/>
      <c r="W64" s="65"/>
      <c r="X64" s="63"/>
      <c r="Y64" s="63"/>
      <c r="Z64" s="61"/>
      <c r="AA64" s="61"/>
      <c r="AB64" s="61"/>
      <c r="AC64" s="61"/>
      <c r="AD64" s="61"/>
      <c r="AE64" s="61"/>
      <c r="AF64" s="61"/>
      <c r="AG64" s="61"/>
      <c r="AH64" s="68" t="n">
        <f aca="false">IF(G64="",0,ROUND((Strats!$C$4-G64)/30.4375,1))</f>
        <v>0</v>
      </c>
      <c r="AI64" s="69" t="n">
        <f aca="false">IF(K64="",0,IF(K64="Floating",Strats!$C$10+M64,L64))</f>
        <v>0</v>
      </c>
      <c r="AJ64" s="68" t="str">
        <f aca="false">IF(OR(Z64="",Z64="Full Amortizing"),"",MAX(J64-AH64,0))</f>
        <v/>
      </c>
      <c r="AK64" s="69" t="n">
        <f aca="false">IF(K64="",0,IF(K64="Floating",IF(P64&lt;&gt;"",MIN(IF(Q64&lt;&gt;"",MAX((Strats!$C$10+Strats!$C$11+M64),Q64),(Strats!$C$10+Strats!$C$11+M64)),P64),IF(Q64&lt;&gt;"",MAX((Strats!$C$10+Strats!$C$11+M64),Q64),(Strats!$C$10+Strats!$C$11+M64))),AI64))</f>
        <v>0</v>
      </c>
      <c r="AL64" s="68" t="str">
        <f aca="false">IF(OR(E64="",E64&lt;&gt;'Deal Strat'!$C$12,R64=""),"",SUMPRODUCT((E$4:E$303='Deal Strat'!$C$12)*(R$4:R$303&gt;R64))+1+SUMPRODUCT((E$4:E$303='Deal Strat'!$C$12)*(R$4:R$303=R64)*(ROW(R$4:R$303)&lt;ROW(R64))))</f>
        <v/>
      </c>
      <c r="AM64" s="68" t="str">
        <f aca="false">IF(R64="","",RANK(R64,$R$4:$R$303,0)+COUNTIF($R$4:R64,R64)-1)</f>
        <v/>
      </c>
      <c r="AN64" s="26" t="n">
        <f aca="false">IF(OR($A64="",$R64=""),0,IF(Deal_Scope="All Deals",1,IF($E64=Deal_Scope,1,0)))</f>
        <v>0</v>
      </c>
      <c r="AO64" s="56" t="n">
        <f aca="false">IF($AN64=0,0,Px_Par)</f>
        <v>0</v>
      </c>
      <c r="AP64" s="70" t="n">
        <f aca="false">IF($H64="",0,MAX(0,($H64-Set_Date)/30.4375))</f>
        <v>0</v>
      </c>
      <c r="AQ64" s="26" t="n">
        <f aca="false">IF(AND(Ext_Flag="Yes",$AA64="Yes"),Ext_Months,0)</f>
        <v>0</v>
      </c>
      <c r="AR64" s="70" t="n">
        <f aca="false">$AP64+$AQ64</f>
        <v>0</v>
      </c>
      <c r="AS64" s="70" t="n">
        <f aca="false">$AR64/12</f>
        <v>0</v>
      </c>
      <c r="AT64" s="70" t="n">
        <f aca="false">IF($AJ64="",0,MAX(0,$AJ64/12))</f>
        <v>0</v>
      </c>
      <c r="AU64" s="70" t="n">
        <f aca="false">MAX(Amort_Min,Amort_Term-$AH64/12)</f>
        <v>30</v>
      </c>
      <c r="AV64" s="70" t="n">
        <f aca="false">MIN($AS64,Hold_Yrs)</f>
        <v>0</v>
      </c>
      <c r="AW64" s="26" t="n">
        <f aca="false">IF($AN64=0,0,CEILING(MAX($AS64,0.0001),1))</f>
        <v>0</v>
      </c>
      <c r="AX64" s="26" t="n">
        <f aca="false">IF(AND($AN64=1,MAX($AS64,0.0001)&lt;=Hold_Yrs),1,0)</f>
        <v>0</v>
      </c>
      <c r="AY64" s="71" t="n">
        <f aca="false">$R64*$AO64</f>
        <v>0</v>
      </c>
      <c r="AZ64" s="71" t="n">
        <f aca="false">$R64*Acc_Int*$AN64</f>
        <v>0</v>
      </c>
      <c r="BA64" s="71" t="n">
        <f aca="false">$AY64*Acq_Cost</f>
        <v>0</v>
      </c>
      <c r="BB64" s="71" t="n">
        <f aca="false">$AY64+$AZ64+$BA64</f>
        <v>0</v>
      </c>
      <c r="BC64" s="71" t="n">
        <f aca="false">IF(Fin_Flag="Yes",$AY64*Adv_Rate,0)</f>
        <v>0</v>
      </c>
      <c r="BD64" s="71" t="n">
        <f aca="false">$BC64*Fin_UpFee</f>
        <v>0</v>
      </c>
      <c r="BE64" s="71" t="n">
        <f aca="false">$BB64-$BC64+$BD64</f>
        <v>0</v>
      </c>
    </row>
    <row r="65" customFormat="false" ht="14.25" hidden="false" customHeight="false" outlineLevel="0" collapsed="false">
      <c r="A65" s="61"/>
      <c r="B65" s="62"/>
      <c r="C65" s="61"/>
      <c r="D65" s="61"/>
      <c r="E65" s="61"/>
      <c r="F65" s="63"/>
      <c r="G65" s="64"/>
      <c r="H65" s="64"/>
      <c r="I65" s="63"/>
      <c r="J65" s="63"/>
      <c r="K65" s="61"/>
      <c r="L65" s="65"/>
      <c r="M65" s="65"/>
      <c r="N65" s="61"/>
      <c r="O65" s="64"/>
      <c r="P65" s="65"/>
      <c r="Q65" s="65"/>
      <c r="R65" s="66"/>
      <c r="S65" s="65"/>
      <c r="T65" s="65"/>
      <c r="U65" s="67"/>
      <c r="V65" s="65"/>
      <c r="W65" s="65"/>
      <c r="X65" s="63"/>
      <c r="Y65" s="63"/>
      <c r="Z65" s="61"/>
      <c r="AA65" s="61"/>
      <c r="AB65" s="61"/>
      <c r="AC65" s="61"/>
      <c r="AD65" s="61"/>
      <c r="AE65" s="61"/>
      <c r="AF65" s="61"/>
      <c r="AG65" s="61"/>
      <c r="AH65" s="68" t="n">
        <f aca="false">IF(G65="",0,ROUND((Strats!$C$4-G65)/30.4375,1))</f>
        <v>0</v>
      </c>
      <c r="AI65" s="69" t="n">
        <f aca="false">IF(K65="",0,IF(K65="Floating",Strats!$C$10+M65,L65))</f>
        <v>0</v>
      </c>
      <c r="AJ65" s="68" t="str">
        <f aca="false">IF(OR(Z65="",Z65="Full Amortizing"),"",MAX(J65-AH65,0))</f>
        <v/>
      </c>
      <c r="AK65" s="69" t="n">
        <f aca="false">IF(K65="",0,IF(K65="Floating",IF(P65&lt;&gt;"",MIN(IF(Q65&lt;&gt;"",MAX((Strats!$C$10+Strats!$C$11+M65),Q65),(Strats!$C$10+Strats!$C$11+M65)),P65),IF(Q65&lt;&gt;"",MAX((Strats!$C$10+Strats!$C$11+M65),Q65),(Strats!$C$10+Strats!$C$11+M65))),AI65))</f>
        <v>0</v>
      </c>
      <c r="AL65" s="68" t="str">
        <f aca="false">IF(OR(E65="",E65&lt;&gt;'Deal Strat'!$C$12,R65=""),"",SUMPRODUCT((E$4:E$303='Deal Strat'!$C$12)*(R$4:R$303&gt;R65))+1+SUMPRODUCT((E$4:E$303='Deal Strat'!$C$12)*(R$4:R$303=R65)*(ROW(R$4:R$303)&lt;ROW(R65))))</f>
        <v/>
      </c>
      <c r="AM65" s="68" t="str">
        <f aca="false">IF(R65="","",RANK(R65,$R$4:$R$303,0)+COUNTIF($R$4:R65,R65)-1)</f>
        <v/>
      </c>
      <c r="AN65" s="26" t="n">
        <f aca="false">IF(OR($A65="",$R65=""),0,IF(Deal_Scope="All Deals",1,IF($E65=Deal_Scope,1,0)))</f>
        <v>0</v>
      </c>
      <c r="AO65" s="56" t="n">
        <f aca="false">IF($AN65=0,0,Px_Par)</f>
        <v>0</v>
      </c>
      <c r="AP65" s="70" t="n">
        <f aca="false">IF($H65="",0,MAX(0,($H65-Set_Date)/30.4375))</f>
        <v>0</v>
      </c>
      <c r="AQ65" s="26" t="n">
        <f aca="false">IF(AND(Ext_Flag="Yes",$AA65="Yes"),Ext_Months,0)</f>
        <v>0</v>
      </c>
      <c r="AR65" s="70" t="n">
        <f aca="false">$AP65+$AQ65</f>
        <v>0</v>
      </c>
      <c r="AS65" s="70" t="n">
        <f aca="false">$AR65/12</f>
        <v>0</v>
      </c>
      <c r="AT65" s="70" t="n">
        <f aca="false">IF($AJ65="",0,MAX(0,$AJ65/12))</f>
        <v>0</v>
      </c>
      <c r="AU65" s="70" t="n">
        <f aca="false">MAX(Amort_Min,Amort_Term-$AH65/12)</f>
        <v>30</v>
      </c>
      <c r="AV65" s="70" t="n">
        <f aca="false">MIN($AS65,Hold_Yrs)</f>
        <v>0</v>
      </c>
      <c r="AW65" s="26" t="n">
        <f aca="false">IF($AN65=0,0,CEILING(MAX($AS65,0.0001),1))</f>
        <v>0</v>
      </c>
      <c r="AX65" s="26" t="n">
        <f aca="false">IF(AND($AN65=1,MAX($AS65,0.0001)&lt;=Hold_Yrs),1,0)</f>
        <v>0</v>
      </c>
      <c r="AY65" s="71" t="n">
        <f aca="false">$R65*$AO65</f>
        <v>0</v>
      </c>
      <c r="AZ65" s="71" t="n">
        <f aca="false">$R65*Acc_Int*$AN65</f>
        <v>0</v>
      </c>
      <c r="BA65" s="71" t="n">
        <f aca="false">$AY65*Acq_Cost</f>
        <v>0</v>
      </c>
      <c r="BB65" s="71" t="n">
        <f aca="false">$AY65+$AZ65+$BA65</f>
        <v>0</v>
      </c>
      <c r="BC65" s="71" t="n">
        <f aca="false">IF(Fin_Flag="Yes",$AY65*Adv_Rate,0)</f>
        <v>0</v>
      </c>
      <c r="BD65" s="71" t="n">
        <f aca="false">$BC65*Fin_UpFee</f>
        <v>0</v>
      </c>
      <c r="BE65" s="71" t="n">
        <f aca="false">$BB65-$BC65+$BD65</f>
        <v>0</v>
      </c>
    </row>
    <row r="66" customFormat="false" ht="14.25" hidden="false" customHeight="false" outlineLevel="0" collapsed="false">
      <c r="A66" s="61"/>
      <c r="B66" s="62"/>
      <c r="C66" s="61"/>
      <c r="D66" s="61"/>
      <c r="E66" s="61"/>
      <c r="F66" s="63"/>
      <c r="G66" s="64"/>
      <c r="H66" s="64"/>
      <c r="I66" s="63"/>
      <c r="J66" s="63"/>
      <c r="K66" s="61"/>
      <c r="L66" s="65"/>
      <c r="M66" s="65"/>
      <c r="N66" s="61"/>
      <c r="O66" s="64"/>
      <c r="P66" s="65"/>
      <c r="Q66" s="65"/>
      <c r="R66" s="66"/>
      <c r="S66" s="65"/>
      <c r="T66" s="65"/>
      <c r="U66" s="67"/>
      <c r="V66" s="65"/>
      <c r="W66" s="65"/>
      <c r="X66" s="63"/>
      <c r="Y66" s="63"/>
      <c r="Z66" s="61"/>
      <c r="AA66" s="61"/>
      <c r="AB66" s="61"/>
      <c r="AC66" s="61"/>
      <c r="AD66" s="61"/>
      <c r="AE66" s="61"/>
      <c r="AF66" s="61"/>
      <c r="AG66" s="61"/>
      <c r="AH66" s="68" t="n">
        <f aca="false">IF(G66="",0,ROUND((Strats!$C$4-G66)/30.4375,1))</f>
        <v>0</v>
      </c>
      <c r="AI66" s="69" t="n">
        <f aca="false">IF(K66="",0,IF(K66="Floating",Strats!$C$10+M66,L66))</f>
        <v>0</v>
      </c>
      <c r="AJ66" s="68" t="str">
        <f aca="false">IF(OR(Z66="",Z66="Full Amortizing"),"",MAX(J66-AH66,0))</f>
        <v/>
      </c>
      <c r="AK66" s="69" t="n">
        <f aca="false">IF(K66="",0,IF(K66="Floating",IF(P66&lt;&gt;"",MIN(IF(Q66&lt;&gt;"",MAX((Strats!$C$10+Strats!$C$11+M66),Q66),(Strats!$C$10+Strats!$C$11+M66)),P66),IF(Q66&lt;&gt;"",MAX((Strats!$C$10+Strats!$C$11+M66),Q66),(Strats!$C$10+Strats!$C$11+M66))),AI66))</f>
        <v>0</v>
      </c>
      <c r="AL66" s="68" t="str">
        <f aca="false">IF(OR(E66="",E66&lt;&gt;'Deal Strat'!$C$12,R66=""),"",SUMPRODUCT((E$4:E$303='Deal Strat'!$C$12)*(R$4:R$303&gt;R66))+1+SUMPRODUCT((E$4:E$303='Deal Strat'!$C$12)*(R$4:R$303=R66)*(ROW(R$4:R$303)&lt;ROW(R66))))</f>
        <v/>
      </c>
      <c r="AM66" s="68" t="str">
        <f aca="false">IF(R66="","",RANK(R66,$R$4:$R$303,0)+COUNTIF($R$4:R66,R66)-1)</f>
        <v/>
      </c>
      <c r="AN66" s="26" t="n">
        <f aca="false">IF(OR($A66="",$R66=""),0,IF(Deal_Scope="All Deals",1,IF($E66=Deal_Scope,1,0)))</f>
        <v>0</v>
      </c>
      <c r="AO66" s="56" t="n">
        <f aca="false">IF($AN66=0,0,Px_Par)</f>
        <v>0</v>
      </c>
      <c r="AP66" s="70" t="n">
        <f aca="false">IF($H66="",0,MAX(0,($H66-Set_Date)/30.4375))</f>
        <v>0</v>
      </c>
      <c r="AQ66" s="26" t="n">
        <f aca="false">IF(AND(Ext_Flag="Yes",$AA66="Yes"),Ext_Months,0)</f>
        <v>0</v>
      </c>
      <c r="AR66" s="70" t="n">
        <f aca="false">$AP66+$AQ66</f>
        <v>0</v>
      </c>
      <c r="AS66" s="70" t="n">
        <f aca="false">$AR66/12</f>
        <v>0</v>
      </c>
      <c r="AT66" s="70" t="n">
        <f aca="false">IF($AJ66="",0,MAX(0,$AJ66/12))</f>
        <v>0</v>
      </c>
      <c r="AU66" s="70" t="n">
        <f aca="false">MAX(Amort_Min,Amort_Term-$AH66/12)</f>
        <v>30</v>
      </c>
      <c r="AV66" s="70" t="n">
        <f aca="false">MIN($AS66,Hold_Yrs)</f>
        <v>0</v>
      </c>
      <c r="AW66" s="26" t="n">
        <f aca="false">IF($AN66=0,0,CEILING(MAX($AS66,0.0001),1))</f>
        <v>0</v>
      </c>
      <c r="AX66" s="26" t="n">
        <f aca="false">IF(AND($AN66=1,MAX($AS66,0.0001)&lt;=Hold_Yrs),1,0)</f>
        <v>0</v>
      </c>
      <c r="AY66" s="71" t="n">
        <f aca="false">$R66*$AO66</f>
        <v>0</v>
      </c>
      <c r="AZ66" s="71" t="n">
        <f aca="false">$R66*Acc_Int*$AN66</f>
        <v>0</v>
      </c>
      <c r="BA66" s="71" t="n">
        <f aca="false">$AY66*Acq_Cost</f>
        <v>0</v>
      </c>
      <c r="BB66" s="71" t="n">
        <f aca="false">$AY66+$AZ66+$BA66</f>
        <v>0</v>
      </c>
      <c r="BC66" s="71" t="n">
        <f aca="false">IF(Fin_Flag="Yes",$AY66*Adv_Rate,0)</f>
        <v>0</v>
      </c>
      <c r="BD66" s="71" t="n">
        <f aca="false">$BC66*Fin_UpFee</f>
        <v>0</v>
      </c>
      <c r="BE66" s="71" t="n">
        <f aca="false">$BB66-$BC66+$BD66</f>
        <v>0</v>
      </c>
    </row>
    <row r="67" customFormat="false" ht="14.25" hidden="false" customHeight="false" outlineLevel="0" collapsed="false">
      <c r="A67" s="61"/>
      <c r="B67" s="62"/>
      <c r="C67" s="61"/>
      <c r="D67" s="61"/>
      <c r="E67" s="61"/>
      <c r="F67" s="63"/>
      <c r="G67" s="64"/>
      <c r="H67" s="64"/>
      <c r="I67" s="63"/>
      <c r="J67" s="63"/>
      <c r="K67" s="61"/>
      <c r="L67" s="65"/>
      <c r="M67" s="65"/>
      <c r="N67" s="61"/>
      <c r="O67" s="64"/>
      <c r="P67" s="65"/>
      <c r="Q67" s="65"/>
      <c r="R67" s="66"/>
      <c r="S67" s="65"/>
      <c r="T67" s="65"/>
      <c r="U67" s="67"/>
      <c r="V67" s="65"/>
      <c r="W67" s="65"/>
      <c r="X67" s="63"/>
      <c r="Y67" s="63"/>
      <c r="Z67" s="61"/>
      <c r="AA67" s="61"/>
      <c r="AB67" s="61"/>
      <c r="AC67" s="61"/>
      <c r="AD67" s="61"/>
      <c r="AE67" s="61"/>
      <c r="AF67" s="61"/>
      <c r="AG67" s="61"/>
      <c r="AH67" s="68" t="n">
        <f aca="false">IF(G67="",0,ROUND((Strats!$C$4-G67)/30.4375,1))</f>
        <v>0</v>
      </c>
      <c r="AI67" s="69" t="n">
        <f aca="false">IF(K67="",0,IF(K67="Floating",Strats!$C$10+M67,L67))</f>
        <v>0</v>
      </c>
      <c r="AJ67" s="68" t="str">
        <f aca="false">IF(OR(Z67="",Z67="Full Amortizing"),"",MAX(J67-AH67,0))</f>
        <v/>
      </c>
      <c r="AK67" s="69" t="n">
        <f aca="false">IF(K67="",0,IF(K67="Floating",IF(P67&lt;&gt;"",MIN(IF(Q67&lt;&gt;"",MAX((Strats!$C$10+Strats!$C$11+M67),Q67),(Strats!$C$10+Strats!$C$11+M67)),P67),IF(Q67&lt;&gt;"",MAX((Strats!$C$10+Strats!$C$11+M67),Q67),(Strats!$C$10+Strats!$C$11+M67))),AI67))</f>
        <v>0</v>
      </c>
      <c r="AL67" s="68" t="str">
        <f aca="false">IF(OR(E67="",E67&lt;&gt;'Deal Strat'!$C$12,R67=""),"",SUMPRODUCT((E$4:E$303='Deal Strat'!$C$12)*(R$4:R$303&gt;R67))+1+SUMPRODUCT((E$4:E$303='Deal Strat'!$C$12)*(R$4:R$303=R67)*(ROW(R$4:R$303)&lt;ROW(R67))))</f>
        <v/>
      </c>
      <c r="AM67" s="68" t="str">
        <f aca="false">IF(R67="","",RANK(R67,$R$4:$R$303,0)+COUNTIF($R$4:R67,R67)-1)</f>
        <v/>
      </c>
      <c r="AN67" s="26" t="n">
        <f aca="false">IF(OR($A67="",$R67=""),0,IF(Deal_Scope="All Deals",1,IF($E67=Deal_Scope,1,0)))</f>
        <v>0</v>
      </c>
      <c r="AO67" s="56" t="n">
        <f aca="false">IF($AN67=0,0,Px_Par)</f>
        <v>0</v>
      </c>
      <c r="AP67" s="70" t="n">
        <f aca="false">IF($H67="",0,MAX(0,($H67-Set_Date)/30.4375))</f>
        <v>0</v>
      </c>
      <c r="AQ67" s="26" t="n">
        <f aca="false">IF(AND(Ext_Flag="Yes",$AA67="Yes"),Ext_Months,0)</f>
        <v>0</v>
      </c>
      <c r="AR67" s="70" t="n">
        <f aca="false">$AP67+$AQ67</f>
        <v>0</v>
      </c>
      <c r="AS67" s="70" t="n">
        <f aca="false">$AR67/12</f>
        <v>0</v>
      </c>
      <c r="AT67" s="70" t="n">
        <f aca="false">IF($AJ67="",0,MAX(0,$AJ67/12))</f>
        <v>0</v>
      </c>
      <c r="AU67" s="70" t="n">
        <f aca="false">MAX(Amort_Min,Amort_Term-$AH67/12)</f>
        <v>30</v>
      </c>
      <c r="AV67" s="70" t="n">
        <f aca="false">MIN($AS67,Hold_Yrs)</f>
        <v>0</v>
      </c>
      <c r="AW67" s="26" t="n">
        <f aca="false">IF($AN67=0,0,CEILING(MAX($AS67,0.0001),1))</f>
        <v>0</v>
      </c>
      <c r="AX67" s="26" t="n">
        <f aca="false">IF(AND($AN67=1,MAX($AS67,0.0001)&lt;=Hold_Yrs),1,0)</f>
        <v>0</v>
      </c>
      <c r="AY67" s="71" t="n">
        <f aca="false">$R67*$AO67</f>
        <v>0</v>
      </c>
      <c r="AZ67" s="71" t="n">
        <f aca="false">$R67*Acc_Int*$AN67</f>
        <v>0</v>
      </c>
      <c r="BA67" s="71" t="n">
        <f aca="false">$AY67*Acq_Cost</f>
        <v>0</v>
      </c>
      <c r="BB67" s="71" t="n">
        <f aca="false">$AY67+$AZ67+$BA67</f>
        <v>0</v>
      </c>
      <c r="BC67" s="71" t="n">
        <f aca="false">IF(Fin_Flag="Yes",$AY67*Adv_Rate,0)</f>
        <v>0</v>
      </c>
      <c r="BD67" s="71" t="n">
        <f aca="false">$BC67*Fin_UpFee</f>
        <v>0</v>
      </c>
      <c r="BE67" s="71" t="n">
        <f aca="false">$BB67-$BC67+$BD67</f>
        <v>0</v>
      </c>
    </row>
    <row r="68" customFormat="false" ht="14.25" hidden="false" customHeight="false" outlineLevel="0" collapsed="false">
      <c r="A68" s="61"/>
      <c r="B68" s="62"/>
      <c r="C68" s="61"/>
      <c r="D68" s="61"/>
      <c r="E68" s="61"/>
      <c r="F68" s="63"/>
      <c r="G68" s="64"/>
      <c r="H68" s="64"/>
      <c r="I68" s="63"/>
      <c r="J68" s="63"/>
      <c r="K68" s="61"/>
      <c r="L68" s="65"/>
      <c r="M68" s="65"/>
      <c r="N68" s="61"/>
      <c r="O68" s="64"/>
      <c r="P68" s="65"/>
      <c r="Q68" s="65"/>
      <c r="R68" s="66"/>
      <c r="S68" s="65"/>
      <c r="T68" s="65"/>
      <c r="U68" s="67"/>
      <c r="V68" s="65"/>
      <c r="W68" s="65"/>
      <c r="X68" s="63"/>
      <c r="Y68" s="63"/>
      <c r="Z68" s="61"/>
      <c r="AA68" s="61"/>
      <c r="AB68" s="61"/>
      <c r="AC68" s="61"/>
      <c r="AD68" s="61"/>
      <c r="AE68" s="61"/>
      <c r="AF68" s="61"/>
      <c r="AG68" s="61"/>
      <c r="AH68" s="68" t="n">
        <f aca="false">IF(G68="",0,ROUND((Strats!$C$4-G68)/30.4375,1))</f>
        <v>0</v>
      </c>
      <c r="AI68" s="69" t="n">
        <f aca="false">IF(K68="",0,IF(K68="Floating",Strats!$C$10+M68,L68))</f>
        <v>0</v>
      </c>
      <c r="AJ68" s="68" t="str">
        <f aca="false">IF(OR(Z68="",Z68="Full Amortizing"),"",MAX(J68-AH68,0))</f>
        <v/>
      </c>
      <c r="AK68" s="69" t="n">
        <f aca="false">IF(K68="",0,IF(K68="Floating",IF(P68&lt;&gt;"",MIN(IF(Q68&lt;&gt;"",MAX((Strats!$C$10+Strats!$C$11+M68),Q68),(Strats!$C$10+Strats!$C$11+M68)),P68),IF(Q68&lt;&gt;"",MAX((Strats!$C$10+Strats!$C$11+M68),Q68),(Strats!$C$10+Strats!$C$11+M68))),AI68))</f>
        <v>0</v>
      </c>
      <c r="AL68" s="68" t="str">
        <f aca="false">IF(OR(E68="",E68&lt;&gt;'Deal Strat'!$C$12,R68=""),"",SUMPRODUCT((E$4:E$303='Deal Strat'!$C$12)*(R$4:R$303&gt;R68))+1+SUMPRODUCT((E$4:E$303='Deal Strat'!$C$12)*(R$4:R$303=R68)*(ROW(R$4:R$303)&lt;ROW(R68))))</f>
        <v/>
      </c>
      <c r="AM68" s="68" t="str">
        <f aca="false">IF(R68="","",RANK(R68,$R$4:$R$303,0)+COUNTIF($R$4:R68,R68)-1)</f>
        <v/>
      </c>
      <c r="AN68" s="26" t="n">
        <f aca="false">IF(OR($A68="",$R68=""),0,IF(Deal_Scope="All Deals",1,IF($E68=Deal_Scope,1,0)))</f>
        <v>0</v>
      </c>
      <c r="AO68" s="56" t="n">
        <f aca="false">IF($AN68=0,0,Px_Par)</f>
        <v>0</v>
      </c>
      <c r="AP68" s="70" t="n">
        <f aca="false">IF($H68="",0,MAX(0,($H68-Set_Date)/30.4375))</f>
        <v>0</v>
      </c>
      <c r="AQ68" s="26" t="n">
        <f aca="false">IF(AND(Ext_Flag="Yes",$AA68="Yes"),Ext_Months,0)</f>
        <v>0</v>
      </c>
      <c r="AR68" s="70" t="n">
        <f aca="false">$AP68+$AQ68</f>
        <v>0</v>
      </c>
      <c r="AS68" s="70" t="n">
        <f aca="false">$AR68/12</f>
        <v>0</v>
      </c>
      <c r="AT68" s="70" t="n">
        <f aca="false">IF($AJ68="",0,MAX(0,$AJ68/12))</f>
        <v>0</v>
      </c>
      <c r="AU68" s="70" t="n">
        <f aca="false">MAX(Amort_Min,Amort_Term-$AH68/12)</f>
        <v>30</v>
      </c>
      <c r="AV68" s="70" t="n">
        <f aca="false">MIN($AS68,Hold_Yrs)</f>
        <v>0</v>
      </c>
      <c r="AW68" s="26" t="n">
        <f aca="false">IF($AN68=0,0,CEILING(MAX($AS68,0.0001),1))</f>
        <v>0</v>
      </c>
      <c r="AX68" s="26" t="n">
        <f aca="false">IF(AND($AN68=1,MAX($AS68,0.0001)&lt;=Hold_Yrs),1,0)</f>
        <v>0</v>
      </c>
      <c r="AY68" s="71" t="n">
        <f aca="false">$R68*$AO68</f>
        <v>0</v>
      </c>
      <c r="AZ68" s="71" t="n">
        <f aca="false">$R68*Acc_Int*$AN68</f>
        <v>0</v>
      </c>
      <c r="BA68" s="71" t="n">
        <f aca="false">$AY68*Acq_Cost</f>
        <v>0</v>
      </c>
      <c r="BB68" s="71" t="n">
        <f aca="false">$AY68+$AZ68+$BA68</f>
        <v>0</v>
      </c>
      <c r="BC68" s="71" t="n">
        <f aca="false">IF(Fin_Flag="Yes",$AY68*Adv_Rate,0)</f>
        <v>0</v>
      </c>
      <c r="BD68" s="71" t="n">
        <f aca="false">$BC68*Fin_UpFee</f>
        <v>0</v>
      </c>
      <c r="BE68" s="71" t="n">
        <f aca="false">$BB68-$BC68+$BD68</f>
        <v>0</v>
      </c>
    </row>
    <row r="69" customFormat="false" ht="14.25" hidden="false" customHeight="false" outlineLevel="0" collapsed="false">
      <c r="A69" s="61"/>
      <c r="B69" s="62"/>
      <c r="C69" s="61"/>
      <c r="D69" s="61"/>
      <c r="E69" s="61"/>
      <c r="F69" s="63"/>
      <c r="G69" s="64"/>
      <c r="H69" s="64"/>
      <c r="I69" s="63"/>
      <c r="J69" s="63"/>
      <c r="K69" s="61"/>
      <c r="L69" s="65"/>
      <c r="M69" s="65"/>
      <c r="N69" s="61"/>
      <c r="O69" s="64"/>
      <c r="P69" s="65"/>
      <c r="Q69" s="65"/>
      <c r="R69" s="66"/>
      <c r="S69" s="65"/>
      <c r="T69" s="65"/>
      <c r="U69" s="67"/>
      <c r="V69" s="65"/>
      <c r="W69" s="65"/>
      <c r="X69" s="63"/>
      <c r="Y69" s="63"/>
      <c r="Z69" s="61"/>
      <c r="AA69" s="61"/>
      <c r="AB69" s="61"/>
      <c r="AC69" s="61"/>
      <c r="AD69" s="61"/>
      <c r="AE69" s="61"/>
      <c r="AF69" s="61"/>
      <c r="AG69" s="61"/>
      <c r="AH69" s="68" t="n">
        <f aca="false">IF(G69="",0,ROUND((Strats!$C$4-G69)/30.4375,1))</f>
        <v>0</v>
      </c>
      <c r="AI69" s="69" t="n">
        <f aca="false">IF(K69="",0,IF(K69="Floating",Strats!$C$10+M69,L69))</f>
        <v>0</v>
      </c>
      <c r="AJ69" s="68" t="str">
        <f aca="false">IF(OR(Z69="",Z69="Full Amortizing"),"",MAX(J69-AH69,0))</f>
        <v/>
      </c>
      <c r="AK69" s="69" t="n">
        <f aca="false">IF(K69="",0,IF(K69="Floating",IF(P69&lt;&gt;"",MIN(IF(Q69&lt;&gt;"",MAX((Strats!$C$10+Strats!$C$11+M69),Q69),(Strats!$C$10+Strats!$C$11+M69)),P69),IF(Q69&lt;&gt;"",MAX((Strats!$C$10+Strats!$C$11+M69),Q69),(Strats!$C$10+Strats!$C$11+M69))),AI69))</f>
        <v>0</v>
      </c>
      <c r="AL69" s="68" t="str">
        <f aca="false">IF(OR(E69="",E69&lt;&gt;'Deal Strat'!$C$12,R69=""),"",SUMPRODUCT((E$4:E$303='Deal Strat'!$C$12)*(R$4:R$303&gt;R69))+1+SUMPRODUCT((E$4:E$303='Deal Strat'!$C$12)*(R$4:R$303=R69)*(ROW(R$4:R$303)&lt;ROW(R69))))</f>
        <v/>
      </c>
      <c r="AM69" s="68" t="str">
        <f aca="false">IF(R69="","",RANK(R69,$R$4:$R$303,0)+COUNTIF($R$4:R69,R69)-1)</f>
        <v/>
      </c>
      <c r="AN69" s="26" t="n">
        <f aca="false">IF(OR($A69="",$R69=""),0,IF(Deal_Scope="All Deals",1,IF($E69=Deal_Scope,1,0)))</f>
        <v>0</v>
      </c>
      <c r="AO69" s="56" t="n">
        <f aca="false">IF($AN69=0,0,Px_Par)</f>
        <v>0</v>
      </c>
      <c r="AP69" s="70" t="n">
        <f aca="false">IF($H69="",0,MAX(0,($H69-Set_Date)/30.4375))</f>
        <v>0</v>
      </c>
      <c r="AQ69" s="26" t="n">
        <f aca="false">IF(AND(Ext_Flag="Yes",$AA69="Yes"),Ext_Months,0)</f>
        <v>0</v>
      </c>
      <c r="AR69" s="70" t="n">
        <f aca="false">$AP69+$AQ69</f>
        <v>0</v>
      </c>
      <c r="AS69" s="70" t="n">
        <f aca="false">$AR69/12</f>
        <v>0</v>
      </c>
      <c r="AT69" s="70" t="n">
        <f aca="false">IF($AJ69="",0,MAX(0,$AJ69/12))</f>
        <v>0</v>
      </c>
      <c r="AU69" s="70" t="n">
        <f aca="false">MAX(Amort_Min,Amort_Term-$AH69/12)</f>
        <v>30</v>
      </c>
      <c r="AV69" s="70" t="n">
        <f aca="false">MIN($AS69,Hold_Yrs)</f>
        <v>0</v>
      </c>
      <c r="AW69" s="26" t="n">
        <f aca="false">IF($AN69=0,0,CEILING(MAX($AS69,0.0001),1))</f>
        <v>0</v>
      </c>
      <c r="AX69" s="26" t="n">
        <f aca="false">IF(AND($AN69=1,MAX($AS69,0.0001)&lt;=Hold_Yrs),1,0)</f>
        <v>0</v>
      </c>
      <c r="AY69" s="71" t="n">
        <f aca="false">$R69*$AO69</f>
        <v>0</v>
      </c>
      <c r="AZ69" s="71" t="n">
        <f aca="false">$R69*Acc_Int*$AN69</f>
        <v>0</v>
      </c>
      <c r="BA69" s="71" t="n">
        <f aca="false">$AY69*Acq_Cost</f>
        <v>0</v>
      </c>
      <c r="BB69" s="71" t="n">
        <f aca="false">$AY69+$AZ69+$BA69</f>
        <v>0</v>
      </c>
      <c r="BC69" s="71" t="n">
        <f aca="false">IF(Fin_Flag="Yes",$AY69*Adv_Rate,0)</f>
        <v>0</v>
      </c>
      <c r="BD69" s="71" t="n">
        <f aca="false">$BC69*Fin_UpFee</f>
        <v>0</v>
      </c>
      <c r="BE69" s="71" t="n">
        <f aca="false">$BB69-$BC69+$BD69</f>
        <v>0</v>
      </c>
    </row>
    <row r="70" customFormat="false" ht="14.25" hidden="false" customHeight="false" outlineLevel="0" collapsed="false">
      <c r="A70" s="61"/>
      <c r="B70" s="62"/>
      <c r="C70" s="61"/>
      <c r="D70" s="61"/>
      <c r="E70" s="61"/>
      <c r="F70" s="63"/>
      <c r="G70" s="64"/>
      <c r="H70" s="64"/>
      <c r="I70" s="63"/>
      <c r="J70" s="63"/>
      <c r="K70" s="61"/>
      <c r="L70" s="65"/>
      <c r="M70" s="65"/>
      <c r="N70" s="61"/>
      <c r="O70" s="64"/>
      <c r="P70" s="65"/>
      <c r="Q70" s="65"/>
      <c r="R70" s="66"/>
      <c r="S70" s="65"/>
      <c r="T70" s="65"/>
      <c r="U70" s="67"/>
      <c r="V70" s="65"/>
      <c r="W70" s="65"/>
      <c r="X70" s="63"/>
      <c r="Y70" s="63"/>
      <c r="Z70" s="61"/>
      <c r="AA70" s="61"/>
      <c r="AB70" s="61"/>
      <c r="AC70" s="61"/>
      <c r="AD70" s="61"/>
      <c r="AE70" s="61"/>
      <c r="AF70" s="61"/>
      <c r="AG70" s="61"/>
      <c r="AH70" s="68" t="n">
        <f aca="false">IF(G70="",0,ROUND((Strats!$C$4-G70)/30.4375,1))</f>
        <v>0</v>
      </c>
      <c r="AI70" s="69" t="n">
        <f aca="false">IF(K70="",0,IF(K70="Floating",Strats!$C$10+M70,L70))</f>
        <v>0</v>
      </c>
      <c r="AJ70" s="68" t="str">
        <f aca="false">IF(OR(Z70="",Z70="Full Amortizing"),"",MAX(J70-AH70,0))</f>
        <v/>
      </c>
      <c r="AK70" s="69" t="n">
        <f aca="false">IF(K70="",0,IF(K70="Floating",IF(P70&lt;&gt;"",MIN(IF(Q70&lt;&gt;"",MAX((Strats!$C$10+Strats!$C$11+M70),Q70),(Strats!$C$10+Strats!$C$11+M70)),P70),IF(Q70&lt;&gt;"",MAX((Strats!$C$10+Strats!$C$11+M70),Q70),(Strats!$C$10+Strats!$C$11+M70))),AI70))</f>
        <v>0</v>
      </c>
      <c r="AL70" s="68" t="str">
        <f aca="false">IF(OR(E70="",E70&lt;&gt;'Deal Strat'!$C$12,R70=""),"",SUMPRODUCT((E$4:E$303='Deal Strat'!$C$12)*(R$4:R$303&gt;R70))+1+SUMPRODUCT((E$4:E$303='Deal Strat'!$C$12)*(R$4:R$303=R70)*(ROW(R$4:R$303)&lt;ROW(R70))))</f>
        <v/>
      </c>
      <c r="AM70" s="68" t="str">
        <f aca="false">IF(R70="","",RANK(R70,$R$4:$R$303,0)+COUNTIF($R$4:R70,R70)-1)</f>
        <v/>
      </c>
      <c r="AN70" s="26" t="n">
        <f aca="false">IF(OR($A70="",$R70=""),0,IF(Deal_Scope="All Deals",1,IF($E70=Deal_Scope,1,0)))</f>
        <v>0</v>
      </c>
      <c r="AO70" s="56" t="n">
        <f aca="false">IF($AN70=0,0,Px_Par)</f>
        <v>0</v>
      </c>
      <c r="AP70" s="70" t="n">
        <f aca="false">IF($H70="",0,MAX(0,($H70-Set_Date)/30.4375))</f>
        <v>0</v>
      </c>
      <c r="AQ70" s="26" t="n">
        <f aca="false">IF(AND(Ext_Flag="Yes",$AA70="Yes"),Ext_Months,0)</f>
        <v>0</v>
      </c>
      <c r="AR70" s="70" t="n">
        <f aca="false">$AP70+$AQ70</f>
        <v>0</v>
      </c>
      <c r="AS70" s="70" t="n">
        <f aca="false">$AR70/12</f>
        <v>0</v>
      </c>
      <c r="AT70" s="70" t="n">
        <f aca="false">IF($AJ70="",0,MAX(0,$AJ70/12))</f>
        <v>0</v>
      </c>
      <c r="AU70" s="70" t="n">
        <f aca="false">MAX(Amort_Min,Amort_Term-$AH70/12)</f>
        <v>30</v>
      </c>
      <c r="AV70" s="70" t="n">
        <f aca="false">MIN($AS70,Hold_Yrs)</f>
        <v>0</v>
      </c>
      <c r="AW70" s="26" t="n">
        <f aca="false">IF($AN70=0,0,CEILING(MAX($AS70,0.0001),1))</f>
        <v>0</v>
      </c>
      <c r="AX70" s="26" t="n">
        <f aca="false">IF(AND($AN70=1,MAX($AS70,0.0001)&lt;=Hold_Yrs),1,0)</f>
        <v>0</v>
      </c>
      <c r="AY70" s="71" t="n">
        <f aca="false">$R70*$AO70</f>
        <v>0</v>
      </c>
      <c r="AZ70" s="71" t="n">
        <f aca="false">$R70*Acc_Int*$AN70</f>
        <v>0</v>
      </c>
      <c r="BA70" s="71" t="n">
        <f aca="false">$AY70*Acq_Cost</f>
        <v>0</v>
      </c>
      <c r="BB70" s="71" t="n">
        <f aca="false">$AY70+$AZ70+$BA70</f>
        <v>0</v>
      </c>
      <c r="BC70" s="71" t="n">
        <f aca="false">IF(Fin_Flag="Yes",$AY70*Adv_Rate,0)</f>
        <v>0</v>
      </c>
      <c r="BD70" s="71" t="n">
        <f aca="false">$BC70*Fin_UpFee</f>
        <v>0</v>
      </c>
      <c r="BE70" s="71" t="n">
        <f aca="false">$BB70-$BC70+$BD70</f>
        <v>0</v>
      </c>
    </row>
    <row r="71" customFormat="false" ht="14.25" hidden="false" customHeight="false" outlineLevel="0" collapsed="false">
      <c r="A71" s="61"/>
      <c r="B71" s="62"/>
      <c r="C71" s="61"/>
      <c r="D71" s="61"/>
      <c r="E71" s="61"/>
      <c r="F71" s="63"/>
      <c r="G71" s="64"/>
      <c r="H71" s="64"/>
      <c r="I71" s="63"/>
      <c r="J71" s="63"/>
      <c r="K71" s="61"/>
      <c r="L71" s="65"/>
      <c r="M71" s="65"/>
      <c r="N71" s="61"/>
      <c r="O71" s="64"/>
      <c r="P71" s="65"/>
      <c r="Q71" s="65"/>
      <c r="R71" s="66"/>
      <c r="S71" s="65"/>
      <c r="T71" s="65"/>
      <c r="U71" s="67"/>
      <c r="V71" s="65"/>
      <c r="W71" s="65"/>
      <c r="X71" s="63"/>
      <c r="Y71" s="63"/>
      <c r="Z71" s="61"/>
      <c r="AA71" s="61"/>
      <c r="AB71" s="61"/>
      <c r="AC71" s="61"/>
      <c r="AD71" s="61"/>
      <c r="AE71" s="61"/>
      <c r="AF71" s="61"/>
      <c r="AG71" s="61"/>
      <c r="AH71" s="68" t="n">
        <f aca="false">IF(G71="",0,ROUND((Strats!$C$4-G71)/30.4375,1))</f>
        <v>0</v>
      </c>
      <c r="AI71" s="69" t="n">
        <f aca="false">IF(K71="",0,IF(K71="Floating",Strats!$C$10+M71,L71))</f>
        <v>0</v>
      </c>
      <c r="AJ71" s="68" t="str">
        <f aca="false">IF(OR(Z71="",Z71="Full Amortizing"),"",MAX(J71-AH71,0))</f>
        <v/>
      </c>
      <c r="AK71" s="69" t="n">
        <f aca="false">IF(K71="",0,IF(K71="Floating",IF(P71&lt;&gt;"",MIN(IF(Q71&lt;&gt;"",MAX((Strats!$C$10+Strats!$C$11+M71),Q71),(Strats!$C$10+Strats!$C$11+M71)),P71),IF(Q71&lt;&gt;"",MAX((Strats!$C$10+Strats!$C$11+M71),Q71),(Strats!$C$10+Strats!$C$11+M71))),AI71))</f>
        <v>0</v>
      </c>
      <c r="AL71" s="68" t="str">
        <f aca="false">IF(OR(E71="",E71&lt;&gt;'Deal Strat'!$C$12,R71=""),"",SUMPRODUCT((E$4:E$303='Deal Strat'!$C$12)*(R$4:R$303&gt;R71))+1+SUMPRODUCT((E$4:E$303='Deal Strat'!$C$12)*(R$4:R$303=R71)*(ROW(R$4:R$303)&lt;ROW(R71))))</f>
        <v/>
      </c>
      <c r="AM71" s="68" t="str">
        <f aca="false">IF(R71="","",RANK(R71,$R$4:$R$303,0)+COUNTIF($R$4:R71,R71)-1)</f>
        <v/>
      </c>
      <c r="AN71" s="26" t="n">
        <f aca="false">IF(OR($A71="",$R71=""),0,IF(Deal_Scope="All Deals",1,IF($E71=Deal_Scope,1,0)))</f>
        <v>0</v>
      </c>
      <c r="AO71" s="56" t="n">
        <f aca="false">IF($AN71=0,0,Px_Par)</f>
        <v>0</v>
      </c>
      <c r="AP71" s="70" t="n">
        <f aca="false">IF($H71="",0,MAX(0,($H71-Set_Date)/30.4375))</f>
        <v>0</v>
      </c>
      <c r="AQ71" s="26" t="n">
        <f aca="false">IF(AND(Ext_Flag="Yes",$AA71="Yes"),Ext_Months,0)</f>
        <v>0</v>
      </c>
      <c r="AR71" s="70" t="n">
        <f aca="false">$AP71+$AQ71</f>
        <v>0</v>
      </c>
      <c r="AS71" s="70" t="n">
        <f aca="false">$AR71/12</f>
        <v>0</v>
      </c>
      <c r="AT71" s="70" t="n">
        <f aca="false">IF($AJ71="",0,MAX(0,$AJ71/12))</f>
        <v>0</v>
      </c>
      <c r="AU71" s="70" t="n">
        <f aca="false">MAX(Amort_Min,Amort_Term-$AH71/12)</f>
        <v>30</v>
      </c>
      <c r="AV71" s="70" t="n">
        <f aca="false">MIN($AS71,Hold_Yrs)</f>
        <v>0</v>
      </c>
      <c r="AW71" s="26" t="n">
        <f aca="false">IF($AN71=0,0,CEILING(MAX($AS71,0.0001),1))</f>
        <v>0</v>
      </c>
      <c r="AX71" s="26" t="n">
        <f aca="false">IF(AND($AN71=1,MAX($AS71,0.0001)&lt;=Hold_Yrs),1,0)</f>
        <v>0</v>
      </c>
      <c r="AY71" s="71" t="n">
        <f aca="false">$R71*$AO71</f>
        <v>0</v>
      </c>
      <c r="AZ71" s="71" t="n">
        <f aca="false">$R71*Acc_Int*$AN71</f>
        <v>0</v>
      </c>
      <c r="BA71" s="71" t="n">
        <f aca="false">$AY71*Acq_Cost</f>
        <v>0</v>
      </c>
      <c r="BB71" s="71" t="n">
        <f aca="false">$AY71+$AZ71+$BA71</f>
        <v>0</v>
      </c>
      <c r="BC71" s="71" t="n">
        <f aca="false">IF(Fin_Flag="Yes",$AY71*Adv_Rate,0)</f>
        <v>0</v>
      </c>
      <c r="BD71" s="71" t="n">
        <f aca="false">$BC71*Fin_UpFee</f>
        <v>0</v>
      </c>
      <c r="BE71" s="71" t="n">
        <f aca="false">$BB71-$BC71+$BD71</f>
        <v>0</v>
      </c>
    </row>
    <row r="72" customFormat="false" ht="14.25" hidden="false" customHeight="false" outlineLevel="0" collapsed="false">
      <c r="A72" s="61"/>
      <c r="B72" s="62"/>
      <c r="C72" s="61"/>
      <c r="D72" s="61"/>
      <c r="E72" s="61"/>
      <c r="F72" s="63"/>
      <c r="G72" s="64"/>
      <c r="H72" s="64"/>
      <c r="I72" s="63"/>
      <c r="J72" s="63"/>
      <c r="K72" s="61"/>
      <c r="L72" s="65"/>
      <c r="M72" s="65"/>
      <c r="N72" s="61"/>
      <c r="O72" s="64"/>
      <c r="P72" s="65"/>
      <c r="Q72" s="65"/>
      <c r="R72" s="66"/>
      <c r="S72" s="65"/>
      <c r="T72" s="65"/>
      <c r="U72" s="67"/>
      <c r="V72" s="65"/>
      <c r="W72" s="65"/>
      <c r="X72" s="63"/>
      <c r="Y72" s="63"/>
      <c r="Z72" s="61"/>
      <c r="AA72" s="61"/>
      <c r="AB72" s="61"/>
      <c r="AC72" s="61"/>
      <c r="AD72" s="61"/>
      <c r="AE72" s="61"/>
      <c r="AF72" s="61"/>
      <c r="AG72" s="61"/>
      <c r="AH72" s="68" t="n">
        <f aca="false">IF(G72="",0,ROUND((Strats!$C$4-G72)/30.4375,1))</f>
        <v>0</v>
      </c>
      <c r="AI72" s="69" t="n">
        <f aca="false">IF(K72="",0,IF(K72="Floating",Strats!$C$10+M72,L72))</f>
        <v>0</v>
      </c>
      <c r="AJ72" s="68" t="str">
        <f aca="false">IF(OR(Z72="",Z72="Full Amortizing"),"",MAX(J72-AH72,0))</f>
        <v/>
      </c>
      <c r="AK72" s="69" t="n">
        <f aca="false">IF(K72="",0,IF(K72="Floating",IF(P72&lt;&gt;"",MIN(IF(Q72&lt;&gt;"",MAX((Strats!$C$10+Strats!$C$11+M72),Q72),(Strats!$C$10+Strats!$C$11+M72)),P72),IF(Q72&lt;&gt;"",MAX((Strats!$C$10+Strats!$C$11+M72),Q72),(Strats!$C$10+Strats!$C$11+M72))),AI72))</f>
        <v>0</v>
      </c>
      <c r="AL72" s="68" t="str">
        <f aca="false">IF(OR(E72="",E72&lt;&gt;'Deal Strat'!$C$12,R72=""),"",SUMPRODUCT((E$4:E$303='Deal Strat'!$C$12)*(R$4:R$303&gt;R72))+1+SUMPRODUCT((E$4:E$303='Deal Strat'!$C$12)*(R$4:R$303=R72)*(ROW(R$4:R$303)&lt;ROW(R72))))</f>
        <v/>
      </c>
      <c r="AM72" s="68" t="str">
        <f aca="false">IF(R72="","",RANK(R72,$R$4:$R$303,0)+COUNTIF($R$4:R72,R72)-1)</f>
        <v/>
      </c>
      <c r="AN72" s="26" t="n">
        <f aca="false">IF(OR($A72="",$R72=""),0,IF(Deal_Scope="All Deals",1,IF($E72=Deal_Scope,1,0)))</f>
        <v>0</v>
      </c>
      <c r="AO72" s="56" t="n">
        <f aca="false">IF($AN72=0,0,Px_Par)</f>
        <v>0</v>
      </c>
      <c r="AP72" s="70" t="n">
        <f aca="false">IF($H72="",0,MAX(0,($H72-Set_Date)/30.4375))</f>
        <v>0</v>
      </c>
      <c r="AQ72" s="26" t="n">
        <f aca="false">IF(AND(Ext_Flag="Yes",$AA72="Yes"),Ext_Months,0)</f>
        <v>0</v>
      </c>
      <c r="AR72" s="70" t="n">
        <f aca="false">$AP72+$AQ72</f>
        <v>0</v>
      </c>
      <c r="AS72" s="70" t="n">
        <f aca="false">$AR72/12</f>
        <v>0</v>
      </c>
      <c r="AT72" s="70" t="n">
        <f aca="false">IF($AJ72="",0,MAX(0,$AJ72/12))</f>
        <v>0</v>
      </c>
      <c r="AU72" s="70" t="n">
        <f aca="false">MAX(Amort_Min,Amort_Term-$AH72/12)</f>
        <v>30</v>
      </c>
      <c r="AV72" s="70" t="n">
        <f aca="false">MIN($AS72,Hold_Yrs)</f>
        <v>0</v>
      </c>
      <c r="AW72" s="26" t="n">
        <f aca="false">IF($AN72=0,0,CEILING(MAX($AS72,0.0001),1))</f>
        <v>0</v>
      </c>
      <c r="AX72" s="26" t="n">
        <f aca="false">IF(AND($AN72=1,MAX($AS72,0.0001)&lt;=Hold_Yrs),1,0)</f>
        <v>0</v>
      </c>
      <c r="AY72" s="71" t="n">
        <f aca="false">$R72*$AO72</f>
        <v>0</v>
      </c>
      <c r="AZ72" s="71" t="n">
        <f aca="false">$R72*Acc_Int*$AN72</f>
        <v>0</v>
      </c>
      <c r="BA72" s="71" t="n">
        <f aca="false">$AY72*Acq_Cost</f>
        <v>0</v>
      </c>
      <c r="BB72" s="71" t="n">
        <f aca="false">$AY72+$AZ72+$BA72</f>
        <v>0</v>
      </c>
      <c r="BC72" s="71" t="n">
        <f aca="false">IF(Fin_Flag="Yes",$AY72*Adv_Rate,0)</f>
        <v>0</v>
      </c>
      <c r="BD72" s="71" t="n">
        <f aca="false">$BC72*Fin_UpFee</f>
        <v>0</v>
      </c>
      <c r="BE72" s="71" t="n">
        <f aca="false">$BB72-$BC72+$BD72</f>
        <v>0</v>
      </c>
    </row>
    <row r="73" customFormat="false" ht="14.25" hidden="false" customHeight="false" outlineLevel="0" collapsed="false">
      <c r="A73" s="61"/>
      <c r="B73" s="62"/>
      <c r="C73" s="61"/>
      <c r="D73" s="61"/>
      <c r="E73" s="61"/>
      <c r="F73" s="63"/>
      <c r="G73" s="64"/>
      <c r="H73" s="64"/>
      <c r="I73" s="63"/>
      <c r="J73" s="63"/>
      <c r="K73" s="61"/>
      <c r="L73" s="65"/>
      <c r="M73" s="65"/>
      <c r="N73" s="61"/>
      <c r="O73" s="64"/>
      <c r="P73" s="65"/>
      <c r="Q73" s="65"/>
      <c r="R73" s="66"/>
      <c r="S73" s="65"/>
      <c r="T73" s="65"/>
      <c r="U73" s="67"/>
      <c r="V73" s="65"/>
      <c r="W73" s="65"/>
      <c r="X73" s="63"/>
      <c r="Y73" s="63"/>
      <c r="Z73" s="61"/>
      <c r="AA73" s="61"/>
      <c r="AB73" s="61"/>
      <c r="AC73" s="61"/>
      <c r="AD73" s="61"/>
      <c r="AE73" s="61"/>
      <c r="AF73" s="61"/>
      <c r="AG73" s="61"/>
      <c r="AH73" s="68" t="n">
        <f aca="false">IF(G73="",0,ROUND((Strats!$C$4-G73)/30.4375,1))</f>
        <v>0</v>
      </c>
      <c r="AI73" s="69" t="n">
        <f aca="false">IF(K73="",0,IF(K73="Floating",Strats!$C$10+M73,L73))</f>
        <v>0</v>
      </c>
      <c r="AJ73" s="68" t="str">
        <f aca="false">IF(OR(Z73="",Z73="Full Amortizing"),"",MAX(J73-AH73,0))</f>
        <v/>
      </c>
      <c r="AK73" s="69" t="n">
        <f aca="false">IF(K73="",0,IF(K73="Floating",IF(P73&lt;&gt;"",MIN(IF(Q73&lt;&gt;"",MAX((Strats!$C$10+Strats!$C$11+M73),Q73),(Strats!$C$10+Strats!$C$11+M73)),P73),IF(Q73&lt;&gt;"",MAX((Strats!$C$10+Strats!$C$11+M73),Q73),(Strats!$C$10+Strats!$C$11+M73))),AI73))</f>
        <v>0</v>
      </c>
      <c r="AL73" s="68" t="str">
        <f aca="false">IF(OR(E73="",E73&lt;&gt;'Deal Strat'!$C$12,R73=""),"",SUMPRODUCT((E$4:E$303='Deal Strat'!$C$12)*(R$4:R$303&gt;R73))+1+SUMPRODUCT((E$4:E$303='Deal Strat'!$C$12)*(R$4:R$303=R73)*(ROW(R$4:R$303)&lt;ROW(R73))))</f>
        <v/>
      </c>
      <c r="AM73" s="68" t="str">
        <f aca="false">IF(R73="","",RANK(R73,$R$4:$R$303,0)+COUNTIF($R$4:R73,R73)-1)</f>
        <v/>
      </c>
      <c r="AN73" s="26" t="n">
        <f aca="false">IF(OR($A73="",$R73=""),0,IF(Deal_Scope="All Deals",1,IF($E73=Deal_Scope,1,0)))</f>
        <v>0</v>
      </c>
      <c r="AO73" s="56" t="n">
        <f aca="false">IF($AN73=0,0,Px_Par)</f>
        <v>0</v>
      </c>
      <c r="AP73" s="70" t="n">
        <f aca="false">IF($H73="",0,MAX(0,($H73-Set_Date)/30.4375))</f>
        <v>0</v>
      </c>
      <c r="AQ73" s="26" t="n">
        <f aca="false">IF(AND(Ext_Flag="Yes",$AA73="Yes"),Ext_Months,0)</f>
        <v>0</v>
      </c>
      <c r="AR73" s="70" t="n">
        <f aca="false">$AP73+$AQ73</f>
        <v>0</v>
      </c>
      <c r="AS73" s="70" t="n">
        <f aca="false">$AR73/12</f>
        <v>0</v>
      </c>
      <c r="AT73" s="70" t="n">
        <f aca="false">IF($AJ73="",0,MAX(0,$AJ73/12))</f>
        <v>0</v>
      </c>
      <c r="AU73" s="70" t="n">
        <f aca="false">MAX(Amort_Min,Amort_Term-$AH73/12)</f>
        <v>30</v>
      </c>
      <c r="AV73" s="70" t="n">
        <f aca="false">MIN($AS73,Hold_Yrs)</f>
        <v>0</v>
      </c>
      <c r="AW73" s="26" t="n">
        <f aca="false">IF($AN73=0,0,CEILING(MAX($AS73,0.0001),1))</f>
        <v>0</v>
      </c>
      <c r="AX73" s="26" t="n">
        <f aca="false">IF(AND($AN73=1,MAX($AS73,0.0001)&lt;=Hold_Yrs),1,0)</f>
        <v>0</v>
      </c>
      <c r="AY73" s="71" t="n">
        <f aca="false">$R73*$AO73</f>
        <v>0</v>
      </c>
      <c r="AZ73" s="71" t="n">
        <f aca="false">$R73*Acc_Int*$AN73</f>
        <v>0</v>
      </c>
      <c r="BA73" s="71" t="n">
        <f aca="false">$AY73*Acq_Cost</f>
        <v>0</v>
      </c>
      <c r="BB73" s="71" t="n">
        <f aca="false">$AY73+$AZ73+$BA73</f>
        <v>0</v>
      </c>
      <c r="BC73" s="71" t="n">
        <f aca="false">IF(Fin_Flag="Yes",$AY73*Adv_Rate,0)</f>
        <v>0</v>
      </c>
      <c r="BD73" s="71" t="n">
        <f aca="false">$BC73*Fin_UpFee</f>
        <v>0</v>
      </c>
      <c r="BE73" s="71" t="n">
        <f aca="false">$BB73-$BC73+$BD73</f>
        <v>0</v>
      </c>
    </row>
    <row r="74" customFormat="false" ht="14.25" hidden="false" customHeight="false" outlineLevel="0" collapsed="false">
      <c r="A74" s="61"/>
      <c r="B74" s="62"/>
      <c r="C74" s="61"/>
      <c r="D74" s="61"/>
      <c r="E74" s="61"/>
      <c r="F74" s="63"/>
      <c r="G74" s="64"/>
      <c r="H74" s="64"/>
      <c r="I74" s="63"/>
      <c r="J74" s="63"/>
      <c r="K74" s="61"/>
      <c r="L74" s="65"/>
      <c r="M74" s="65"/>
      <c r="N74" s="61"/>
      <c r="O74" s="64"/>
      <c r="P74" s="65"/>
      <c r="Q74" s="65"/>
      <c r="R74" s="66"/>
      <c r="S74" s="65"/>
      <c r="T74" s="65"/>
      <c r="U74" s="67"/>
      <c r="V74" s="65"/>
      <c r="W74" s="65"/>
      <c r="X74" s="63"/>
      <c r="Y74" s="63"/>
      <c r="Z74" s="61"/>
      <c r="AA74" s="61"/>
      <c r="AB74" s="61"/>
      <c r="AC74" s="61"/>
      <c r="AD74" s="61"/>
      <c r="AE74" s="61"/>
      <c r="AF74" s="61"/>
      <c r="AG74" s="61"/>
      <c r="AH74" s="68" t="n">
        <f aca="false">IF(G74="",0,ROUND((Strats!$C$4-G74)/30.4375,1))</f>
        <v>0</v>
      </c>
      <c r="AI74" s="69" t="n">
        <f aca="false">IF(K74="",0,IF(K74="Floating",Strats!$C$10+M74,L74))</f>
        <v>0</v>
      </c>
      <c r="AJ74" s="68" t="str">
        <f aca="false">IF(OR(Z74="",Z74="Full Amortizing"),"",MAX(J74-AH74,0))</f>
        <v/>
      </c>
      <c r="AK74" s="69" t="n">
        <f aca="false">IF(K74="",0,IF(K74="Floating",IF(P74&lt;&gt;"",MIN(IF(Q74&lt;&gt;"",MAX((Strats!$C$10+Strats!$C$11+M74),Q74),(Strats!$C$10+Strats!$C$11+M74)),P74),IF(Q74&lt;&gt;"",MAX((Strats!$C$10+Strats!$C$11+M74),Q74),(Strats!$C$10+Strats!$C$11+M74))),AI74))</f>
        <v>0</v>
      </c>
      <c r="AL74" s="68" t="str">
        <f aca="false">IF(OR(E74="",E74&lt;&gt;'Deal Strat'!$C$12,R74=""),"",SUMPRODUCT((E$4:E$303='Deal Strat'!$C$12)*(R$4:R$303&gt;R74))+1+SUMPRODUCT((E$4:E$303='Deal Strat'!$C$12)*(R$4:R$303=R74)*(ROW(R$4:R$303)&lt;ROW(R74))))</f>
        <v/>
      </c>
      <c r="AM74" s="68" t="str">
        <f aca="false">IF(R74="","",RANK(R74,$R$4:$R$303,0)+COUNTIF($R$4:R74,R74)-1)</f>
        <v/>
      </c>
      <c r="AN74" s="26" t="n">
        <f aca="false">IF(OR($A74="",$R74=""),0,IF(Deal_Scope="All Deals",1,IF($E74=Deal_Scope,1,0)))</f>
        <v>0</v>
      </c>
      <c r="AO74" s="56" t="n">
        <f aca="false">IF($AN74=0,0,Px_Par)</f>
        <v>0</v>
      </c>
      <c r="AP74" s="70" t="n">
        <f aca="false">IF($H74="",0,MAX(0,($H74-Set_Date)/30.4375))</f>
        <v>0</v>
      </c>
      <c r="AQ74" s="26" t="n">
        <f aca="false">IF(AND(Ext_Flag="Yes",$AA74="Yes"),Ext_Months,0)</f>
        <v>0</v>
      </c>
      <c r="AR74" s="70" t="n">
        <f aca="false">$AP74+$AQ74</f>
        <v>0</v>
      </c>
      <c r="AS74" s="70" t="n">
        <f aca="false">$AR74/12</f>
        <v>0</v>
      </c>
      <c r="AT74" s="70" t="n">
        <f aca="false">IF($AJ74="",0,MAX(0,$AJ74/12))</f>
        <v>0</v>
      </c>
      <c r="AU74" s="70" t="n">
        <f aca="false">MAX(Amort_Min,Amort_Term-$AH74/12)</f>
        <v>30</v>
      </c>
      <c r="AV74" s="70" t="n">
        <f aca="false">MIN($AS74,Hold_Yrs)</f>
        <v>0</v>
      </c>
      <c r="AW74" s="26" t="n">
        <f aca="false">IF($AN74=0,0,CEILING(MAX($AS74,0.0001),1))</f>
        <v>0</v>
      </c>
      <c r="AX74" s="26" t="n">
        <f aca="false">IF(AND($AN74=1,MAX($AS74,0.0001)&lt;=Hold_Yrs),1,0)</f>
        <v>0</v>
      </c>
      <c r="AY74" s="71" t="n">
        <f aca="false">$R74*$AO74</f>
        <v>0</v>
      </c>
      <c r="AZ74" s="71" t="n">
        <f aca="false">$R74*Acc_Int*$AN74</f>
        <v>0</v>
      </c>
      <c r="BA74" s="71" t="n">
        <f aca="false">$AY74*Acq_Cost</f>
        <v>0</v>
      </c>
      <c r="BB74" s="71" t="n">
        <f aca="false">$AY74+$AZ74+$BA74</f>
        <v>0</v>
      </c>
      <c r="BC74" s="71" t="n">
        <f aca="false">IF(Fin_Flag="Yes",$AY74*Adv_Rate,0)</f>
        <v>0</v>
      </c>
      <c r="BD74" s="71" t="n">
        <f aca="false">$BC74*Fin_UpFee</f>
        <v>0</v>
      </c>
      <c r="BE74" s="71" t="n">
        <f aca="false">$BB74-$BC74+$BD74</f>
        <v>0</v>
      </c>
    </row>
    <row r="75" customFormat="false" ht="14.25" hidden="false" customHeight="false" outlineLevel="0" collapsed="false">
      <c r="A75" s="61"/>
      <c r="B75" s="62"/>
      <c r="C75" s="61"/>
      <c r="D75" s="61"/>
      <c r="E75" s="61"/>
      <c r="F75" s="63"/>
      <c r="G75" s="64"/>
      <c r="H75" s="64"/>
      <c r="I75" s="63"/>
      <c r="J75" s="63"/>
      <c r="K75" s="61"/>
      <c r="L75" s="65"/>
      <c r="M75" s="65"/>
      <c r="N75" s="61"/>
      <c r="O75" s="64"/>
      <c r="P75" s="65"/>
      <c r="Q75" s="65"/>
      <c r="R75" s="66"/>
      <c r="S75" s="65"/>
      <c r="T75" s="65"/>
      <c r="U75" s="67"/>
      <c r="V75" s="65"/>
      <c r="W75" s="65"/>
      <c r="X75" s="63"/>
      <c r="Y75" s="63"/>
      <c r="Z75" s="61"/>
      <c r="AA75" s="61"/>
      <c r="AB75" s="61"/>
      <c r="AC75" s="61"/>
      <c r="AD75" s="61"/>
      <c r="AE75" s="61"/>
      <c r="AF75" s="61"/>
      <c r="AG75" s="61"/>
      <c r="AH75" s="68" t="n">
        <f aca="false">IF(G75="",0,ROUND((Strats!$C$4-G75)/30.4375,1))</f>
        <v>0</v>
      </c>
      <c r="AI75" s="69" t="n">
        <f aca="false">IF(K75="",0,IF(K75="Floating",Strats!$C$10+M75,L75))</f>
        <v>0</v>
      </c>
      <c r="AJ75" s="68" t="str">
        <f aca="false">IF(OR(Z75="",Z75="Full Amortizing"),"",MAX(J75-AH75,0))</f>
        <v/>
      </c>
      <c r="AK75" s="69" t="n">
        <f aca="false">IF(K75="",0,IF(K75="Floating",IF(P75&lt;&gt;"",MIN(IF(Q75&lt;&gt;"",MAX((Strats!$C$10+Strats!$C$11+M75),Q75),(Strats!$C$10+Strats!$C$11+M75)),P75),IF(Q75&lt;&gt;"",MAX((Strats!$C$10+Strats!$C$11+M75),Q75),(Strats!$C$10+Strats!$C$11+M75))),AI75))</f>
        <v>0</v>
      </c>
      <c r="AL75" s="68" t="str">
        <f aca="false">IF(OR(E75="",E75&lt;&gt;'Deal Strat'!$C$12,R75=""),"",SUMPRODUCT((E$4:E$303='Deal Strat'!$C$12)*(R$4:R$303&gt;R75))+1+SUMPRODUCT((E$4:E$303='Deal Strat'!$C$12)*(R$4:R$303=R75)*(ROW(R$4:R$303)&lt;ROW(R75))))</f>
        <v/>
      </c>
      <c r="AM75" s="68" t="str">
        <f aca="false">IF(R75="","",RANK(R75,$R$4:$R$303,0)+COUNTIF($R$4:R75,R75)-1)</f>
        <v/>
      </c>
      <c r="AN75" s="26" t="n">
        <f aca="false">IF(OR($A75="",$R75=""),0,IF(Deal_Scope="All Deals",1,IF($E75=Deal_Scope,1,0)))</f>
        <v>0</v>
      </c>
      <c r="AO75" s="56" t="n">
        <f aca="false">IF($AN75=0,0,Px_Par)</f>
        <v>0</v>
      </c>
      <c r="AP75" s="70" t="n">
        <f aca="false">IF($H75="",0,MAX(0,($H75-Set_Date)/30.4375))</f>
        <v>0</v>
      </c>
      <c r="AQ75" s="26" t="n">
        <f aca="false">IF(AND(Ext_Flag="Yes",$AA75="Yes"),Ext_Months,0)</f>
        <v>0</v>
      </c>
      <c r="AR75" s="70" t="n">
        <f aca="false">$AP75+$AQ75</f>
        <v>0</v>
      </c>
      <c r="AS75" s="70" t="n">
        <f aca="false">$AR75/12</f>
        <v>0</v>
      </c>
      <c r="AT75" s="70" t="n">
        <f aca="false">IF($AJ75="",0,MAX(0,$AJ75/12))</f>
        <v>0</v>
      </c>
      <c r="AU75" s="70" t="n">
        <f aca="false">MAX(Amort_Min,Amort_Term-$AH75/12)</f>
        <v>30</v>
      </c>
      <c r="AV75" s="70" t="n">
        <f aca="false">MIN($AS75,Hold_Yrs)</f>
        <v>0</v>
      </c>
      <c r="AW75" s="26" t="n">
        <f aca="false">IF($AN75=0,0,CEILING(MAX($AS75,0.0001),1))</f>
        <v>0</v>
      </c>
      <c r="AX75" s="26" t="n">
        <f aca="false">IF(AND($AN75=1,MAX($AS75,0.0001)&lt;=Hold_Yrs),1,0)</f>
        <v>0</v>
      </c>
      <c r="AY75" s="71" t="n">
        <f aca="false">$R75*$AO75</f>
        <v>0</v>
      </c>
      <c r="AZ75" s="71" t="n">
        <f aca="false">$R75*Acc_Int*$AN75</f>
        <v>0</v>
      </c>
      <c r="BA75" s="71" t="n">
        <f aca="false">$AY75*Acq_Cost</f>
        <v>0</v>
      </c>
      <c r="BB75" s="71" t="n">
        <f aca="false">$AY75+$AZ75+$BA75</f>
        <v>0</v>
      </c>
      <c r="BC75" s="71" t="n">
        <f aca="false">IF(Fin_Flag="Yes",$AY75*Adv_Rate,0)</f>
        <v>0</v>
      </c>
      <c r="BD75" s="71" t="n">
        <f aca="false">$BC75*Fin_UpFee</f>
        <v>0</v>
      </c>
      <c r="BE75" s="71" t="n">
        <f aca="false">$BB75-$BC75+$BD75</f>
        <v>0</v>
      </c>
    </row>
    <row r="76" customFormat="false" ht="14.25" hidden="false" customHeight="false" outlineLevel="0" collapsed="false">
      <c r="A76" s="61"/>
      <c r="B76" s="62"/>
      <c r="C76" s="61"/>
      <c r="D76" s="61"/>
      <c r="E76" s="61"/>
      <c r="F76" s="63"/>
      <c r="G76" s="64"/>
      <c r="H76" s="64"/>
      <c r="I76" s="63"/>
      <c r="J76" s="63"/>
      <c r="K76" s="61"/>
      <c r="L76" s="65"/>
      <c r="M76" s="65"/>
      <c r="N76" s="61"/>
      <c r="O76" s="64"/>
      <c r="P76" s="65"/>
      <c r="Q76" s="65"/>
      <c r="R76" s="66"/>
      <c r="S76" s="65"/>
      <c r="T76" s="65"/>
      <c r="U76" s="67"/>
      <c r="V76" s="65"/>
      <c r="W76" s="65"/>
      <c r="X76" s="63"/>
      <c r="Y76" s="63"/>
      <c r="Z76" s="61"/>
      <c r="AA76" s="61"/>
      <c r="AB76" s="61"/>
      <c r="AC76" s="61"/>
      <c r="AD76" s="61"/>
      <c r="AE76" s="61"/>
      <c r="AF76" s="61"/>
      <c r="AG76" s="61"/>
      <c r="AH76" s="68" t="n">
        <f aca="false">IF(G76="",0,ROUND((Strats!$C$4-G76)/30.4375,1))</f>
        <v>0</v>
      </c>
      <c r="AI76" s="69" t="n">
        <f aca="false">IF(K76="",0,IF(K76="Floating",Strats!$C$10+M76,L76))</f>
        <v>0</v>
      </c>
      <c r="AJ76" s="68" t="str">
        <f aca="false">IF(OR(Z76="",Z76="Full Amortizing"),"",MAX(J76-AH76,0))</f>
        <v/>
      </c>
      <c r="AK76" s="69" t="n">
        <f aca="false">IF(K76="",0,IF(K76="Floating",IF(P76&lt;&gt;"",MIN(IF(Q76&lt;&gt;"",MAX((Strats!$C$10+Strats!$C$11+M76),Q76),(Strats!$C$10+Strats!$C$11+M76)),P76),IF(Q76&lt;&gt;"",MAX((Strats!$C$10+Strats!$C$11+M76),Q76),(Strats!$C$10+Strats!$C$11+M76))),AI76))</f>
        <v>0</v>
      </c>
      <c r="AL76" s="68" t="str">
        <f aca="false">IF(OR(E76="",E76&lt;&gt;'Deal Strat'!$C$12,R76=""),"",SUMPRODUCT((E$4:E$303='Deal Strat'!$C$12)*(R$4:R$303&gt;R76))+1+SUMPRODUCT((E$4:E$303='Deal Strat'!$C$12)*(R$4:R$303=R76)*(ROW(R$4:R$303)&lt;ROW(R76))))</f>
        <v/>
      </c>
      <c r="AM76" s="68" t="str">
        <f aca="false">IF(R76="","",RANK(R76,$R$4:$R$303,0)+COUNTIF($R$4:R76,R76)-1)</f>
        <v/>
      </c>
      <c r="AN76" s="26" t="n">
        <f aca="false">IF(OR($A76="",$R76=""),0,IF(Deal_Scope="All Deals",1,IF($E76=Deal_Scope,1,0)))</f>
        <v>0</v>
      </c>
      <c r="AO76" s="56" t="n">
        <f aca="false">IF($AN76=0,0,Px_Par)</f>
        <v>0</v>
      </c>
      <c r="AP76" s="70" t="n">
        <f aca="false">IF($H76="",0,MAX(0,($H76-Set_Date)/30.4375))</f>
        <v>0</v>
      </c>
      <c r="AQ76" s="26" t="n">
        <f aca="false">IF(AND(Ext_Flag="Yes",$AA76="Yes"),Ext_Months,0)</f>
        <v>0</v>
      </c>
      <c r="AR76" s="70" t="n">
        <f aca="false">$AP76+$AQ76</f>
        <v>0</v>
      </c>
      <c r="AS76" s="70" t="n">
        <f aca="false">$AR76/12</f>
        <v>0</v>
      </c>
      <c r="AT76" s="70" t="n">
        <f aca="false">IF($AJ76="",0,MAX(0,$AJ76/12))</f>
        <v>0</v>
      </c>
      <c r="AU76" s="70" t="n">
        <f aca="false">MAX(Amort_Min,Amort_Term-$AH76/12)</f>
        <v>30</v>
      </c>
      <c r="AV76" s="70" t="n">
        <f aca="false">MIN($AS76,Hold_Yrs)</f>
        <v>0</v>
      </c>
      <c r="AW76" s="26" t="n">
        <f aca="false">IF($AN76=0,0,CEILING(MAX($AS76,0.0001),1))</f>
        <v>0</v>
      </c>
      <c r="AX76" s="26" t="n">
        <f aca="false">IF(AND($AN76=1,MAX($AS76,0.0001)&lt;=Hold_Yrs),1,0)</f>
        <v>0</v>
      </c>
      <c r="AY76" s="71" t="n">
        <f aca="false">$R76*$AO76</f>
        <v>0</v>
      </c>
      <c r="AZ76" s="71" t="n">
        <f aca="false">$R76*Acc_Int*$AN76</f>
        <v>0</v>
      </c>
      <c r="BA76" s="71" t="n">
        <f aca="false">$AY76*Acq_Cost</f>
        <v>0</v>
      </c>
      <c r="BB76" s="71" t="n">
        <f aca="false">$AY76+$AZ76+$BA76</f>
        <v>0</v>
      </c>
      <c r="BC76" s="71" t="n">
        <f aca="false">IF(Fin_Flag="Yes",$AY76*Adv_Rate,0)</f>
        <v>0</v>
      </c>
      <c r="BD76" s="71" t="n">
        <f aca="false">$BC76*Fin_UpFee</f>
        <v>0</v>
      </c>
      <c r="BE76" s="71" t="n">
        <f aca="false">$BB76-$BC76+$BD76</f>
        <v>0</v>
      </c>
    </row>
    <row r="77" customFormat="false" ht="14.25" hidden="false" customHeight="false" outlineLevel="0" collapsed="false">
      <c r="A77" s="61"/>
      <c r="B77" s="62"/>
      <c r="C77" s="61"/>
      <c r="D77" s="61"/>
      <c r="E77" s="61"/>
      <c r="F77" s="63"/>
      <c r="G77" s="64"/>
      <c r="H77" s="64"/>
      <c r="I77" s="63"/>
      <c r="J77" s="63"/>
      <c r="K77" s="61"/>
      <c r="L77" s="65"/>
      <c r="M77" s="65"/>
      <c r="N77" s="61"/>
      <c r="O77" s="64"/>
      <c r="P77" s="65"/>
      <c r="Q77" s="65"/>
      <c r="R77" s="66"/>
      <c r="S77" s="65"/>
      <c r="T77" s="65"/>
      <c r="U77" s="67"/>
      <c r="V77" s="65"/>
      <c r="W77" s="65"/>
      <c r="X77" s="63"/>
      <c r="Y77" s="63"/>
      <c r="Z77" s="61"/>
      <c r="AA77" s="61"/>
      <c r="AB77" s="61"/>
      <c r="AC77" s="61"/>
      <c r="AD77" s="61"/>
      <c r="AE77" s="61"/>
      <c r="AF77" s="61"/>
      <c r="AG77" s="61"/>
      <c r="AH77" s="68" t="n">
        <f aca="false">IF(G77="",0,ROUND((Strats!$C$4-G77)/30.4375,1))</f>
        <v>0</v>
      </c>
      <c r="AI77" s="69" t="n">
        <f aca="false">IF(K77="",0,IF(K77="Floating",Strats!$C$10+M77,L77))</f>
        <v>0</v>
      </c>
      <c r="AJ77" s="68" t="str">
        <f aca="false">IF(OR(Z77="",Z77="Full Amortizing"),"",MAX(J77-AH77,0))</f>
        <v/>
      </c>
      <c r="AK77" s="69" t="n">
        <f aca="false">IF(K77="",0,IF(K77="Floating",IF(P77&lt;&gt;"",MIN(IF(Q77&lt;&gt;"",MAX((Strats!$C$10+Strats!$C$11+M77),Q77),(Strats!$C$10+Strats!$C$11+M77)),P77),IF(Q77&lt;&gt;"",MAX((Strats!$C$10+Strats!$C$11+M77),Q77),(Strats!$C$10+Strats!$C$11+M77))),AI77))</f>
        <v>0</v>
      </c>
      <c r="AL77" s="68" t="str">
        <f aca="false">IF(OR(E77="",E77&lt;&gt;'Deal Strat'!$C$12,R77=""),"",SUMPRODUCT((E$4:E$303='Deal Strat'!$C$12)*(R$4:R$303&gt;R77))+1+SUMPRODUCT((E$4:E$303='Deal Strat'!$C$12)*(R$4:R$303=R77)*(ROW(R$4:R$303)&lt;ROW(R77))))</f>
        <v/>
      </c>
      <c r="AM77" s="68" t="str">
        <f aca="false">IF(R77="","",RANK(R77,$R$4:$R$303,0)+COUNTIF($R$4:R77,R77)-1)</f>
        <v/>
      </c>
      <c r="AN77" s="26" t="n">
        <f aca="false">IF(OR($A77="",$R77=""),0,IF(Deal_Scope="All Deals",1,IF($E77=Deal_Scope,1,0)))</f>
        <v>0</v>
      </c>
      <c r="AO77" s="56" t="n">
        <f aca="false">IF($AN77=0,0,Px_Par)</f>
        <v>0</v>
      </c>
      <c r="AP77" s="70" t="n">
        <f aca="false">IF($H77="",0,MAX(0,($H77-Set_Date)/30.4375))</f>
        <v>0</v>
      </c>
      <c r="AQ77" s="26" t="n">
        <f aca="false">IF(AND(Ext_Flag="Yes",$AA77="Yes"),Ext_Months,0)</f>
        <v>0</v>
      </c>
      <c r="AR77" s="70" t="n">
        <f aca="false">$AP77+$AQ77</f>
        <v>0</v>
      </c>
      <c r="AS77" s="70" t="n">
        <f aca="false">$AR77/12</f>
        <v>0</v>
      </c>
      <c r="AT77" s="70" t="n">
        <f aca="false">IF($AJ77="",0,MAX(0,$AJ77/12))</f>
        <v>0</v>
      </c>
      <c r="AU77" s="70" t="n">
        <f aca="false">MAX(Amort_Min,Amort_Term-$AH77/12)</f>
        <v>30</v>
      </c>
      <c r="AV77" s="70" t="n">
        <f aca="false">MIN($AS77,Hold_Yrs)</f>
        <v>0</v>
      </c>
      <c r="AW77" s="26" t="n">
        <f aca="false">IF($AN77=0,0,CEILING(MAX($AS77,0.0001),1))</f>
        <v>0</v>
      </c>
      <c r="AX77" s="26" t="n">
        <f aca="false">IF(AND($AN77=1,MAX($AS77,0.0001)&lt;=Hold_Yrs),1,0)</f>
        <v>0</v>
      </c>
      <c r="AY77" s="71" t="n">
        <f aca="false">$R77*$AO77</f>
        <v>0</v>
      </c>
      <c r="AZ77" s="71" t="n">
        <f aca="false">$R77*Acc_Int*$AN77</f>
        <v>0</v>
      </c>
      <c r="BA77" s="71" t="n">
        <f aca="false">$AY77*Acq_Cost</f>
        <v>0</v>
      </c>
      <c r="BB77" s="71" t="n">
        <f aca="false">$AY77+$AZ77+$BA77</f>
        <v>0</v>
      </c>
      <c r="BC77" s="71" t="n">
        <f aca="false">IF(Fin_Flag="Yes",$AY77*Adv_Rate,0)</f>
        <v>0</v>
      </c>
      <c r="BD77" s="71" t="n">
        <f aca="false">$BC77*Fin_UpFee</f>
        <v>0</v>
      </c>
      <c r="BE77" s="71" t="n">
        <f aca="false">$BB77-$BC77+$BD77</f>
        <v>0</v>
      </c>
    </row>
    <row r="78" customFormat="false" ht="14.25" hidden="false" customHeight="false" outlineLevel="0" collapsed="false">
      <c r="A78" s="61"/>
      <c r="B78" s="62"/>
      <c r="C78" s="61"/>
      <c r="D78" s="61"/>
      <c r="E78" s="61"/>
      <c r="F78" s="63"/>
      <c r="G78" s="64"/>
      <c r="H78" s="64"/>
      <c r="I78" s="63"/>
      <c r="J78" s="63"/>
      <c r="K78" s="61"/>
      <c r="L78" s="65"/>
      <c r="M78" s="65"/>
      <c r="N78" s="61"/>
      <c r="O78" s="64"/>
      <c r="P78" s="65"/>
      <c r="Q78" s="65"/>
      <c r="R78" s="66"/>
      <c r="S78" s="65"/>
      <c r="T78" s="65"/>
      <c r="U78" s="67"/>
      <c r="V78" s="65"/>
      <c r="W78" s="65"/>
      <c r="X78" s="63"/>
      <c r="Y78" s="63"/>
      <c r="Z78" s="61"/>
      <c r="AA78" s="61"/>
      <c r="AB78" s="61"/>
      <c r="AC78" s="61"/>
      <c r="AD78" s="61"/>
      <c r="AE78" s="61"/>
      <c r="AF78" s="61"/>
      <c r="AG78" s="61"/>
      <c r="AH78" s="68" t="n">
        <f aca="false">IF(G78="",0,ROUND((Strats!$C$4-G78)/30.4375,1))</f>
        <v>0</v>
      </c>
      <c r="AI78" s="69" t="n">
        <f aca="false">IF(K78="",0,IF(K78="Floating",Strats!$C$10+M78,L78))</f>
        <v>0</v>
      </c>
      <c r="AJ78" s="68" t="str">
        <f aca="false">IF(OR(Z78="",Z78="Full Amortizing"),"",MAX(J78-AH78,0))</f>
        <v/>
      </c>
      <c r="AK78" s="69" t="n">
        <f aca="false">IF(K78="",0,IF(K78="Floating",IF(P78&lt;&gt;"",MIN(IF(Q78&lt;&gt;"",MAX((Strats!$C$10+Strats!$C$11+M78),Q78),(Strats!$C$10+Strats!$C$11+M78)),P78),IF(Q78&lt;&gt;"",MAX((Strats!$C$10+Strats!$C$11+M78),Q78),(Strats!$C$10+Strats!$C$11+M78))),AI78))</f>
        <v>0</v>
      </c>
      <c r="AL78" s="68" t="str">
        <f aca="false">IF(OR(E78="",E78&lt;&gt;'Deal Strat'!$C$12,R78=""),"",SUMPRODUCT((E$4:E$303='Deal Strat'!$C$12)*(R$4:R$303&gt;R78))+1+SUMPRODUCT((E$4:E$303='Deal Strat'!$C$12)*(R$4:R$303=R78)*(ROW(R$4:R$303)&lt;ROW(R78))))</f>
        <v/>
      </c>
      <c r="AM78" s="68" t="str">
        <f aca="false">IF(R78="","",RANK(R78,$R$4:$R$303,0)+COUNTIF($R$4:R78,R78)-1)</f>
        <v/>
      </c>
      <c r="AN78" s="26" t="n">
        <f aca="false">IF(OR($A78="",$R78=""),0,IF(Deal_Scope="All Deals",1,IF($E78=Deal_Scope,1,0)))</f>
        <v>0</v>
      </c>
      <c r="AO78" s="56" t="n">
        <f aca="false">IF($AN78=0,0,Px_Par)</f>
        <v>0</v>
      </c>
      <c r="AP78" s="70" t="n">
        <f aca="false">IF($H78="",0,MAX(0,($H78-Set_Date)/30.4375))</f>
        <v>0</v>
      </c>
      <c r="AQ78" s="26" t="n">
        <f aca="false">IF(AND(Ext_Flag="Yes",$AA78="Yes"),Ext_Months,0)</f>
        <v>0</v>
      </c>
      <c r="AR78" s="70" t="n">
        <f aca="false">$AP78+$AQ78</f>
        <v>0</v>
      </c>
      <c r="AS78" s="70" t="n">
        <f aca="false">$AR78/12</f>
        <v>0</v>
      </c>
      <c r="AT78" s="70" t="n">
        <f aca="false">IF($AJ78="",0,MAX(0,$AJ78/12))</f>
        <v>0</v>
      </c>
      <c r="AU78" s="70" t="n">
        <f aca="false">MAX(Amort_Min,Amort_Term-$AH78/12)</f>
        <v>30</v>
      </c>
      <c r="AV78" s="70" t="n">
        <f aca="false">MIN($AS78,Hold_Yrs)</f>
        <v>0</v>
      </c>
      <c r="AW78" s="26" t="n">
        <f aca="false">IF($AN78=0,0,CEILING(MAX($AS78,0.0001),1))</f>
        <v>0</v>
      </c>
      <c r="AX78" s="26" t="n">
        <f aca="false">IF(AND($AN78=1,MAX($AS78,0.0001)&lt;=Hold_Yrs),1,0)</f>
        <v>0</v>
      </c>
      <c r="AY78" s="71" t="n">
        <f aca="false">$R78*$AO78</f>
        <v>0</v>
      </c>
      <c r="AZ78" s="71" t="n">
        <f aca="false">$R78*Acc_Int*$AN78</f>
        <v>0</v>
      </c>
      <c r="BA78" s="71" t="n">
        <f aca="false">$AY78*Acq_Cost</f>
        <v>0</v>
      </c>
      <c r="BB78" s="71" t="n">
        <f aca="false">$AY78+$AZ78+$BA78</f>
        <v>0</v>
      </c>
      <c r="BC78" s="71" t="n">
        <f aca="false">IF(Fin_Flag="Yes",$AY78*Adv_Rate,0)</f>
        <v>0</v>
      </c>
      <c r="BD78" s="71" t="n">
        <f aca="false">$BC78*Fin_UpFee</f>
        <v>0</v>
      </c>
      <c r="BE78" s="71" t="n">
        <f aca="false">$BB78-$BC78+$BD78</f>
        <v>0</v>
      </c>
    </row>
    <row r="79" customFormat="false" ht="14.25" hidden="false" customHeight="false" outlineLevel="0" collapsed="false">
      <c r="A79" s="61"/>
      <c r="B79" s="62"/>
      <c r="C79" s="61"/>
      <c r="D79" s="61"/>
      <c r="E79" s="61"/>
      <c r="F79" s="63"/>
      <c r="G79" s="64"/>
      <c r="H79" s="64"/>
      <c r="I79" s="63"/>
      <c r="J79" s="63"/>
      <c r="K79" s="61"/>
      <c r="L79" s="65"/>
      <c r="M79" s="65"/>
      <c r="N79" s="61"/>
      <c r="O79" s="64"/>
      <c r="P79" s="65"/>
      <c r="Q79" s="65"/>
      <c r="R79" s="66"/>
      <c r="S79" s="65"/>
      <c r="T79" s="65"/>
      <c r="U79" s="67"/>
      <c r="V79" s="65"/>
      <c r="W79" s="65"/>
      <c r="X79" s="63"/>
      <c r="Y79" s="63"/>
      <c r="Z79" s="61"/>
      <c r="AA79" s="61"/>
      <c r="AB79" s="61"/>
      <c r="AC79" s="61"/>
      <c r="AD79" s="61"/>
      <c r="AE79" s="61"/>
      <c r="AF79" s="61"/>
      <c r="AG79" s="61"/>
      <c r="AH79" s="68" t="n">
        <f aca="false">IF(G79="",0,ROUND((Strats!$C$4-G79)/30.4375,1))</f>
        <v>0</v>
      </c>
      <c r="AI79" s="69" t="n">
        <f aca="false">IF(K79="",0,IF(K79="Floating",Strats!$C$10+M79,L79))</f>
        <v>0</v>
      </c>
      <c r="AJ79" s="68" t="str">
        <f aca="false">IF(OR(Z79="",Z79="Full Amortizing"),"",MAX(J79-AH79,0))</f>
        <v/>
      </c>
      <c r="AK79" s="69" t="n">
        <f aca="false">IF(K79="",0,IF(K79="Floating",IF(P79&lt;&gt;"",MIN(IF(Q79&lt;&gt;"",MAX((Strats!$C$10+Strats!$C$11+M79),Q79),(Strats!$C$10+Strats!$C$11+M79)),P79),IF(Q79&lt;&gt;"",MAX((Strats!$C$10+Strats!$C$11+M79),Q79),(Strats!$C$10+Strats!$C$11+M79))),AI79))</f>
        <v>0</v>
      </c>
      <c r="AL79" s="68" t="str">
        <f aca="false">IF(OR(E79="",E79&lt;&gt;'Deal Strat'!$C$12,R79=""),"",SUMPRODUCT((E$4:E$303='Deal Strat'!$C$12)*(R$4:R$303&gt;R79))+1+SUMPRODUCT((E$4:E$303='Deal Strat'!$C$12)*(R$4:R$303=R79)*(ROW(R$4:R$303)&lt;ROW(R79))))</f>
        <v/>
      </c>
      <c r="AM79" s="68" t="str">
        <f aca="false">IF(R79="","",RANK(R79,$R$4:$R$303,0)+COUNTIF($R$4:R79,R79)-1)</f>
        <v/>
      </c>
      <c r="AN79" s="26" t="n">
        <f aca="false">IF(OR($A79="",$R79=""),0,IF(Deal_Scope="All Deals",1,IF($E79=Deal_Scope,1,0)))</f>
        <v>0</v>
      </c>
      <c r="AO79" s="56" t="n">
        <f aca="false">IF($AN79=0,0,Px_Par)</f>
        <v>0</v>
      </c>
      <c r="AP79" s="70" t="n">
        <f aca="false">IF($H79="",0,MAX(0,($H79-Set_Date)/30.4375))</f>
        <v>0</v>
      </c>
      <c r="AQ79" s="26" t="n">
        <f aca="false">IF(AND(Ext_Flag="Yes",$AA79="Yes"),Ext_Months,0)</f>
        <v>0</v>
      </c>
      <c r="AR79" s="70" t="n">
        <f aca="false">$AP79+$AQ79</f>
        <v>0</v>
      </c>
      <c r="AS79" s="70" t="n">
        <f aca="false">$AR79/12</f>
        <v>0</v>
      </c>
      <c r="AT79" s="70" t="n">
        <f aca="false">IF($AJ79="",0,MAX(0,$AJ79/12))</f>
        <v>0</v>
      </c>
      <c r="AU79" s="70" t="n">
        <f aca="false">MAX(Amort_Min,Amort_Term-$AH79/12)</f>
        <v>30</v>
      </c>
      <c r="AV79" s="70" t="n">
        <f aca="false">MIN($AS79,Hold_Yrs)</f>
        <v>0</v>
      </c>
      <c r="AW79" s="26" t="n">
        <f aca="false">IF($AN79=0,0,CEILING(MAX($AS79,0.0001),1))</f>
        <v>0</v>
      </c>
      <c r="AX79" s="26" t="n">
        <f aca="false">IF(AND($AN79=1,MAX($AS79,0.0001)&lt;=Hold_Yrs),1,0)</f>
        <v>0</v>
      </c>
      <c r="AY79" s="71" t="n">
        <f aca="false">$R79*$AO79</f>
        <v>0</v>
      </c>
      <c r="AZ79" s="71" t="n">
        <f aca="false">$R79*Acc_Int*$AN79</f>
        <v>0</v>
      </c>
      <c r="BA79" s="71" t="n">
        <f aca="false">$AY79*Acq_Cost</f>
        <v>0</v>
      </c>
      <c r="BB79" s="71" t="n">
        <f aca="false">$AY79+$AZ79+$BA79</f>
        <v>0</v>
      </c>
      <c r="BC79" s="71" t="n">
        <f aca="false">IF(Fin_Flag="Yes",$AY79*Adv_Rate,0)</f>
        <v>0</v>
      </c>
      <c r="BD79" s="71" t="n">
        <f aca="false">$BC79*Fin_UpFee</f>
        <v>0</v>
      </c>
      <c r="BE79" s="71" t="n">
        <f aca="false">$BB79-$BC79+$BD79</f>
        <v>0</v>
      </c>
    </row>
    <row r="80" customFormat="false" ht="14.25" hidden="false" customHeight="false" outlineLevel="0" collapsed="false">
      <c r="A80" s="61"/>
      <c r="B80" s="62"/>
      <c r="C80" s="61"/>
      <c r="D80" s="61"/>
      <c r="E80" s="61"/>
      <c r="F80" s="63"/>
      <c r="G80" s="64"/>
      <c r="H80" s="64"/>
      <c r="I80" s="63"/>
      <c r="J80" s="63"/>
      <c r="K80" s="61"/>
      <c r="L80" s="65"/>
      <c r="M80" s="65"/>
      <c r="N80" s="61"/>
      <c r="O80" s="64"/>
      <c r="P80" s="65"/>
      <c r="Q80" s="65"/>
      <c r="R80" s="66"/>
      <c r="S80" s="65"/>
      <c r="T80" s="65"/>
      <c r="U80" s="67"/>
      <c r="V80" s="65"/>
      <c r="W80" s="65"/>
      <c r="X80" s="63"/>
      <c r="Y80" s="63"/>
      <c r="Z80" s="61"/>
      <c r="AA80" s="61"/>
      <c r="AB80" s="61"/>
      <c r="AC80" s="61"/>
      <c r="AD80" s="61"/>
      <c r="AE80" s="61"/>
      <c r="AF80" s="61"/>
      <c r="AG80" s="61"/>
      <c r="AH80" s="68" t="n">
        <f aca="false">IF(G80="",0,ROUND((Strats!$C$4-G80)/30.4375,1))</f>
        <v>0</v>
      </c>
      <c r="AI80" s="69" t="n">
        <f aca="false">IF(K80="",0,IF(K80="Floating",Strats!$C$10+M80,L80))</f>
        <v>0</v>
      </c>
      <c r="AJ80" s="68" t="str">
        <f aca="false">IF(OR(Z80="",Z80="Full Amortizing"),"",MAX(J80-AH80,0))</f>
        <v/>
      </c>
      <c r="AK80" s="69" t="n">
        <f aca="false">IF(K80="",0,IF(K80="Floating",IF(P80&lt;&gt;"",MIN(IF(Q80&lt;&gt;"",MAX((Strats!$C$10+Strats!$C$11+M80),Q80),(Strats!$C$10+Strats!$C$11+M80)),P80),IF(Q80&lt;&gt;"",MAX((Strats!$C$10+Strats!$C$11+M80),Q80),(Strats!$C$10+Strats!$C$11+M80))),AI80))</f>
        <v>0</v>
      </c>
      <c r="AL80" s="68" t="str">
        <f aca="false">IF(OR(E80="",E80&lt;&gt;'Deal Strat'!$C$12,R80=""),"",SUMPRODUCT((E$4:E$303='Deal Strat'!$C$12)*(R$4:R$303&gt;R80))+1+SUMPRODUCT((E$4:E$303='Deal Strat'!$C$12)*(R$4:R$303=R80)*(ROW(R$4:R$303)&lt;ROW(R80))))</f>
        <v/>
      </c>
      <c r="AM80" s="68" t="str">
        <f aca="false">IF(R80="","",RANK(R80,$R$4:$R$303,0)+COUNTIF($R$4:R80,R80)-1)</f>
        <v/>
      </c>
      <c r="AN80" s="26" t="n">
        <f aca="false">IF(OR($A80="",$R80=""),0,IF(Deal_Scope="All Deals",1,IF($E80=Deal_Scope,1,0)))</f>
        <v>0</v>
      </c>
      <c r="AO80" s="56" t="n">
        <f aca="false">IF($AN80=0,0,Px_Par)</f>
        <v>0</v>
      </c>
      <c r="AP80" s="70" t="n">
        <f aca="false">IF($H80="",0,MAX(0,($H80-Set_Date)/30.4375))</f>
        <v>0</v>
      </c>
      <c r="AQ80" s="26" t="n">
        <f aca="false">IF(AND(Ext_Flag="Yes",$AA80="Yes"),Ext_Months,0)</f>
        <v>0</v>
      </c>
      <c r="AR80" s="70" t="n">
        <f aca="false">$AP80+$AQ80</f>
        <v>0</v>
      </c>
      <c r="AS80" s="70" t="n">
        <f aca="false">$AR80/12</f>
        <v>0</v>
      </c>
      <c r="AT80" s="70" t="n">
        <f aca="false">IF($AJ80="",0,MAX(0,$AJ80/12))</f>
        <v>0</v>
      </c>
      <c r="AU80" s="70" t="n">
        <f aca="false">MAX(Amort_Min,Amort_Term-$AH80/12)</f>
        <v>30</v>
      </c>
      <c r="AV80" s="70" t="n">
        <f aca="false">MIN($AS80,Hold_Yrs)</f>
        <v>0</v>
      </c>
      <c r="AW80" s="26" t="n">
        <f aca="false">IF($AN80=0,0,CEILING(MAX($AS80,0.0001),1))</f>
        <v>0</v>
      </c>
      <c r="AX80" s="26" t="n">
        <f aca="false">IF(AND($AN80=1,MAX($AS80,0.0001)&lt;=Hold_Yrs),1,0)</f>
        <v>0</v>
      </c>
      <c r="AY80" s="71" t="n">
        <f aca="false">$R80*$AO80</f>
        <v>0</v>
      </c>
      <c r="AZ80" s="71" t="n">
        <f aca="false">$R80*Acc_Int*$AN80</f>
        <v>0</v>
      </c>
      <c r="BA80" s="71" t="n">
        <f aca="false">$AY80*Acq_Cost</f>
        <v>0</v>
      </c>
      <c r="BB80" s="71" t="n">
        <f aca="false">$AY80+$AZ80+$BA80</f>
        <v>0</v>
      </c>
      <c r="BC80" s="71" t="n">
        <f aca="false">IF(Fin_Flag="Yes",$AY80*Adv_Rate,0)</f>
        <v>0</v>
      </c>
      <c r="BD80" s="71" t="n">
        <f aca="false">$BC80*Fin_UpFee</f>
        <v>0</v>
      </c>
      <c r="BE80" s="71" t="n">
        <f aca="false">$BB80-$BC80+$BD80</f>
        <v>0</v>
      </c>
    </row>
    <row r="81" customFormat="false" ht="14.25" hidden="false" customHeight="false" outlineLevel="0" collapsed="false">
      <c r="A81" s="61"/>
      <c r="B81" s="62"/>
      <c r="C81" s="61"/>
      <c r="D81" s="61"/>
      <c r="E81" s="61"/>
      <c r="F81" s="63"/>
      <c r="G81" s="64"/>
      <c r="H81" s="64"/>
      <c r="I81" s="63"/>
      <c r="J81" s="63"/>
      <c r="K81" s="61"/>
      <c r="L81" s="65"/>
      <c r="M81" s="65"/>
      <c r="N81" s="61"/>
      <c r="O81" s="64"/>
      <c r="P81" s="65"/>
      <c r="Q81" s="65"/>
      <c r="R81" s="66"/>
      <c r="S81" s="65"/>
      <c r="T81" s="65"/>
      <c r="U81" s="67"/>
      <c r="V81" s="65"/>
      <c r="W81" s="65"/>
      <c r="X81" s="63"/>
      <c r="Y81" s="63"/>
      <c r="Z81" s="61"/>
      <c r="AA81" s="61"/>
      <c r="AB81" s="61"/>
      <c r="AC81" s="61"/>
      <c r="AD81" s="61"/>
      <c r="AE81" s="61"/>
      <c r="AF81" s="61"/>
      <c r="AG81" s="61"/>
      <c r="AH81" s="68" t="n">
        <f aca="false">IF(G81="",0,ROUND((Strats!$C$4-G81)/30.4375,1))</f>
        <v>0</v>
      </c>
      <c r="AI81" s="69" t="n">
        <f aca="false">IF(K81="",0,IF(K81="Floating",Strats!$C$10+M81,L81))</f>
        <v>0</v>
      </c>
      <c r="AJ81" s="68" t="str">
        <f aca="false">IF(OR(Z81="",Z81="Full Amortizing"),"",MAX(J81-AH81,0))</f>
        <v/>
      </c>
      <c r="AK81" s="69" t="n">
        <f aca="false">IF(K81="",0,IF(K81="Floating",IF(P81&lt;&gt;"",MIN(IF(Q81&lt;&gt;"",MAX((Strats!$C$10+Strats!$C$11+M81),Q81),(Strats!$C$10+Strats!$C$11+M81)),P81),IF(Q81&lt;&gt;"",MAX((Strats!$C$10+Strats!$C$11+M81),Q81),(Strats!$C$10+Strats!$C$11+M81))),AI81))</f>
        <v>0</v>
      </c>
      <c r="AL81" s="68" t="str">
        <f aca="false">IF(OR(E81="",E81&lt;&gt;'Deal Strat'!$C$12,R81=""),"",SUMPRODUCT((E$4:E$303='Deal Strat'!$C$12)*(R$4:R$303&gt;R81))+1+SUMPRODUCT((E$4:E$303='Deal Strat'!$C$12)*(R$4:R$303=R81)*(ROW(R$4:R$303)&lt;ROW(R81))))</f>
        <v/>
      </c>
      <c r="AM81" s="68" t="str">
        <f aca="false">IF(R81="","",RANK(R81,$R$4:$R$303,0)+COUNTIF($R$4:R81,R81)-1)</f>
        <v/>
      </c>
      <c r="AN81" s="26" t="n">
        <f aca="false">IF(OR($A81="",$R81=""),0,IF(Deal_Scope="All Deals",1,IF($E81=Deal_Scope,1,0)))</f>
        <v>0</v>
      </c>
      <c r="AO81" s="56" t="n">
        <f aca="false">IF($AN81=0,0,Px_Par)</f>
        <v>0</v>
      </c>
      <c r="AP81" s="70" t="n">
        <f aca="false">IF($H81="",0,MAX(0,($H81-Set_Date)/30.4375))</f>
        <v>0</v>
      </c>
      <c r="AQ81" s="26" t="n">
        <f aca="false">IF(AND(Ext_Flag="Yes",$AA81="Yes"),Ext_Months,0)</f>
        <v>0</v>
      </c>
      <c r="AR81" s="70" t="n">
        <f aca="false">$AP81+$AQ81</f>
        <v>0</v>
      </c>
      <c r="AS81" s="70" t="n">
        <f aca="false">$AR81/12</f>
        <v>0</v>
      </c>
      <c r="AT81" s="70" t="n">
        <f aca="false">IF($AJ81="",0,MAX(0,$AJ81/12))</f>
        <v>0</v>
      </c>
      <c r="AU81" s="70" t="n">
        <f aca="false">MAX(Amort_Min,Amort_Term-$AH81/12)</f>
        <v>30</v>
      </c>
      <c r="AV81" s="70" t="n">
        <f aca="false">MIN($AS81,Hold_Yrs)</f>
        <v>0</v>
      </c>
      <c r="AW81" s="26" t="n">
        <f aca="false">IF($AN81=0,0,CEILING(MAX($AS81,0.0001),1))</f>
        <v>0</v>
      </c>
      <c r="AX81" s="26" t="n">
        <f aca="false">IF(AND($AN81=1,MAX($AS81,0.0001)&lt;=Hold_Yrs),1,0)</f>
        <v>0</v>
      </c>
      <c r="AY81" s="71" t="n">
        <f aca="false">$R81*$AO81</f>
        <v>0</v>
      </c>
      <c r="AZ81" s="71" t="n">
        <f aca="false">$R81*Acc_Int*$AN81</f>
        <v>0</v>
      </c>
      <c r="BA81" s="71" t="n">
        <f aca="false">$AY81*Acq_Cost</f>
        <v>0</v>
      </c>
      <c r="BB81" s="71" t="n">
        <f aca="false">$AY81+$AZ81+$BA81</f>
        <v>0</v>
      </c>
      <c r="BC81" s="71" t="n">
        <f aca="false">IF(Fin_Flag="Yes",$AY81*Adv_Rate,0)</f>
        <v>0</v>
      </c>
      <c r="BD81" s="71" t="n">
        <f aca="false">$BC81*Fin_UpFee</f>
        <v>0</v>
      </c>
      <c r="BE81" s="71" t="n">
        <f aca="false">$BB81-$BC81+$BD81</f>
        <v>0</v>
      </c>
    </row>
    <row r="82" customFormat="false" ht="14.25" hidden="false" customHeight="false" outlineLevel="0" collapsed="false">
      <c r="A82" s="61"/>
      <c r="B82" s="62"/>
      <c r="C82" s="61"/>
      <c r="D82" s="61"/>
      <c r="E82" s="61"/>
      <c r="F82" s="63"/>
      <c r="G82" s="64"/>
      <c r="H82" s="64"/>
      <c r="I82" s="63"/>
      <c r="J82" s="63"/>
      <c r="K82" s="61"/>
      <c r="L82" s="65"/>
      <c r="M82" s="65"/>
      <c r="N82" s="61"/>
      <c r="O82" s="64"/>
      <c r="P82" s="65"/>
      <c r="Q82" s="65"/>
      <c r="R82" s="66"/>
      <c r="S82" s="65"/>
      <c r="T82" s="65"/>
      <c r="U82" s="67"/>
      <c r="V82" s="65"/>
      <c r="W82" s="65"/>
      <c r="X82" s="63"/>
      <c r="Y82" s="63"/>
      <c r="Z82" s="61"/>
      <c r="AA82" s="61"/>
      <c r="AB82" s="61"/>
      <c r="AC82" s="61"/>
      <c r="AD82" s="61"/>
      <c r="AE82" s="61"/>
      <c r="AF82" s="61"/>
      <c r="AG82" s="61"/>
      <c r="AH82" s="68" t="n">
        <f aca="false">IF(G82="",0,ROUND((Strats!$C$4-G82)/30.4375,1))</f>
        <v>0</v>
      </c>
      <c r="AI82" s="69" t="n">
        <f aca="false">IF(K82="",0,IF(K82="Floating",Strats!$C$10+M82,L82))</f>
        <v>0</v>
      </c>
      <c r="AJ82" s="68" t="str">
        <f aca="false">IF(OR(Z82="",Z82="Full Amortizing"),"",MAX(J82-AH82,0))</f>
        <v/>
      </c>
      <c r="AK82" s="69" t="n">
        <f aca="false">IF(K82="",0,IF(K82="Floating",IF(P82&lt;&gt;"",MIN(IF(Q82&lt;&gt;"",MAX((Strats!$C$10+Strats!$C$11+M82),Q82),(Strats!$C$10+Strats!$C$11+M82)),P82),IF(Q82&lt;&gt;"",MAX((Strats!$C$10+Strats!$C$11+M82),Q82),(Strats!$C$10+Strats!$C$11+M82))),AI82))</f>
        <v>0</v>
      </c>
      <c r="AL82" s="68" t="str">
        <f aca="false">IF(OR(E82="",E82&lt;&gt;'Deal Strat'!$C$12,R82=""),"",SUMPRODUCT((E$4:E$303='Deal Strat'!$C$12)*(R$4:R$303&gt;R82))+1+SUMPRODUCT((E$4:E$303='Deal Strat'!$C$12)*(R$4:R$303=R82)*(ROW(R$4:R$303)&lt;ROW(R82))))</f>
        <v/>
      </c>
      <c r="AM82" s="68" t="str">
        <f aca="false">IF(R82="","",RANK(R82,$R$4:$R$303,0)+COUNTIF($R$4:R82,R82)-1)</f>
        <v/>
      </c>
      <c r="AN82" s="26" t="n">
        <f aca="false">IF(OR($A82="",$R82=""),0,IF(Deal_Scope="All Deals",1,IF($E82=Deal_Scope,1,0)))</f>
        <v>0</v>
      </c>
      <c r="AO82" s="56" t="n">
        <f aca="false">IF($AN82=0,0,Px_Par)</f>
        <v>0</v>
      </c>
      <c r="AP82" s="70" t="n">
        <f aca="false">IF($H82="",0,MAX(0,($H82-Set_Date)/30.4375))</f>
        <v>0</v>
      </c>
      <c r="AQ82" s="26" t="n">
        <f aca="false">IF(AND(Ext_Flag="Yes",$AA82="Yes"),Ext_Months,0)</f>
        <v>0</v>
      </c>
      <c r="AR82" s="70" t="n">
        <f aca="false">$AP82+$AQ82</f>
        <v>0</v>
      </c>
      <c r="AS82" s="70" t="n">
        <f aca="false">$AR82/12</f>
        <v>0</v>
      </c>
      <c r="AT82" s="70" t="n">
        <f aca="false">IF($AJ82="",0,MAX(0,$AJ82/12))</f>
        <v>0</v>
      </c>
      <c r="AU82" s="70" t="n">
        <f aca="false">MAX(Amort_Min,Amort_Term-$AH82/12)</f>
        <v>30</v>
      </c>
      <c r="AV82" s="70" t="n">
        <f aca="false">MIN($AS82,Hold_Yrs)</f>
        <v>0</v>
      </c>
      <c r="AW82" s="26" t="n">
        <f aca="false">IF($AN82=0,0,CEILING(MAX($AS82,0.0001),1))</f>
        <v>0</v>
      </c>
      <c r="AX82" s="26" t="n">
        <f aca="false">IF(AND($AN82=1,MAX($AS82,0.0001)&lt;=Hold_Yrs),1,0)</f>
        <v>0</v>
      </c>
      <c r="AY82" s="71" t="n">
        <f aca="false">$R82*$AO82</f>
        <v>0</v>
      </c>
      <c r="AZ82" s="71" t="n">
        <f aca="false">$R82*Acc_Int*$AN82</f>
        <v>0</v>
      </c>
      <c r="BA82" s="71" t="n">
        <f aca="false">$AY82*Acq_Cost</f>
        <v>0</v>
      </c>
      <c r="BB82" s="71" t="n">
        <f aca="false">$AY82+$AZ82+$BA82</f>
        <v>0</v>
      </c>
      <c r="BC82" s="71" t="n">
        <f aca="false">IF(Fin_Flag="Yes",$AY82*Adv_Rate,0)</f>
        <v>0</v>
      </c>
      <c r="BD82" s="71" t="n">
        <f aca="false">$BC82*Fin_UpFee</f>
        <v>0</v>
      </c>
      <c r="BE82" s="71" t="n">
        <f aca="false">$BB82-$BC82+$BD82</f>
        <v>0</v>
      </c>
    </row>
    <row r="83" customFormat="false" ht="14.25" hidden="false" customHeight="false" outlineLevel="0" collapsed="false">
      <c r="A83" s="61"/>
      <c r="B83" s="62"/>
      <c r="C83" s="61"/>
      <c r="D83" s="61"/>
      <c r="E83" s="61"/>
      <c r="F83" s="63"/>
      <c r="G83" s="64"/>
      <c r="H83" s="64"/>
      <c r="I83" s="63"/>
      <c r="J83" s="63"/>
      <c r="K83" s="61"/>
      <c r="L83" s="65"/>
      <c r="M83" s="65"/>
      <c r="N83" s="61"/>
      <c r="O83" s="64"/>
      <c r="P83" s="65"/>
      <c r="Q83" s="65"/>
      <c r="R83" s="66"/>
      <c r="S83" s="65"/>
      <c r="T83" s="65"/>
      <c r="U83" s="67"/>
      <c r="V83" s="65"/>
      <c r="W83" s="65"/>
      <c r="X83" s="63"/>
      <c r="Y83" s="63"/>
      <c r="Z83" s="61"/>
      <c r="AA83" s="61"/>
      <c r="AB83" s="61"/>
      <c r="AC83" s="61"/>
      <c r="AD83" s="61"/>
      <c r="AE83" s="61"/>
      <c r="AF83" s="61"/>
      <c r="AG83" s="61"/>
      <c r="AH83" s="68" t="n">
        <f aca="false">IF(G83="",0,ROUND((Strats!$C$4-G83)/30.4375,1))</f>
        <v>0</v>
      </c>
      <c r="AI83" s="69" t="n">
        <f aca="false">IF(K83="",0,IF(K83="Floating",Strats!$C$10+M83,L83))</f>
        <v>0</v>
      </c>
      <c r="AJ83" s="68" t="str">
        <f aca="false">IF(OR(Z83="",Z83="Full Amortizing"),"",MAX(J83-AH83,0))</f>
        <v/>
      </c>
      <c r="AK83" s="69" t="n">
        <f aca="false">IF(K83="",0,IF(K83="Floating",IF(P83&lt;&gt;"",MIN(IF(Q83&lt;&gt;"",MAX((Strats!$C$10+Strats!$C$11+M83),Q83),(Strats!$C$10+Strats!$C$11+M83)),P83),IF(Q83&lt;&gt;"",MAX((Strats!$C$10+Strats!$C$11+M83),Q83),(Strats!$C$10+Strats!$C$11+M83))),AI83))</f>
        <v>0</v>
      </c>
      <c r="AL83" s="68" t="str">
        <f aca="false">IF(OR(E83="",E83&lt;&gt;'Deal Strat'!$C$12,R83=""),"",SUMPRODUCT((E$4:E$303='Deal Strat'!$C$12)*(R$4:R$303&gt;R83))+1+SUMPRODUCT((E$4:E$303='Deal Strat'!$C$12)*(R$4:R$303=R83)*(ROW(R$4:R$303)&lt;ROW(R83))))</f>
        <v/>
      </c>
      <c r="AM83" s="68" t="str">
        <f aca="false">IF(R83="","",RANK(R83,$R$4:$R$303,0)+COUNTIF($R$4:R83,R83)-1)</f>
        <v/>
      </c>
      <c r="AN83" s="26" t="n">
        <f aca="false">IF(OR($A83="",$R83=""),0,IF(Deal_Scope="All Deals",1,IF($E83=Deal_Scope,1,0)))</f>
        <v>0</v>
      </c>
      <c r="AO83" s="56" t="n">
        <f aca="false">IF($AN83=0,0,Px_Par)</f>
        <v>0</v>
      </c>
      <c r="AP83" s="70" t="n">
        <f aca="false">IF($H83="",0,MAX(0,($H83-Set_Date)/30.4375))</f>
        <v>0</v>
      </c>
      <c r="AQ83" s="26" t="n">
        <f aca="false">IF(AND(Ext_Flag="Yes",$AA83="Yes"),Ext_Months,0)</f>
        <v>0</v>
      </c>
      <c r="AR83" s="70" t="n">
        <f aca="false">$AP83+$AQ83</f>
        <v>0</v>
      </c>
      <c r="AS83" s="70" t="n">
        <f aca="false">$AR83/12</f>
        <v>0</v>
      </c>
      <c r="AT83" s="70" t="n">
        <f aca="false">IF($AJ83="",0,MAX(0,$AJ83/12))</f>
        <v>0</v>
      </c>
      <c r="AU83" s="70" t="n">
        <f aca="false">MAX(Amort_Min,Amort_Term-$AH83/12)</f>
        <v>30</v>
      </c>
      <c r="AV83" s="70" t="n">
        <f aca="false">MIN($AS83,Hold_Yrs)</f>
        <v>0</v>
      </c>
      <c r="AW83" s="26" t="n">
        <f aca="false">IF($AN83=0,0,CEILING(MAX($AS83,0.0001),1))</f>
        <v>0</v>
      </c>
      <c r="AX83" s="26" t="n">
        <f aca="false">IF(AND($AN83=1,MAX($AS83,0.0001)&lt;=Hold_Yrs),1,0)</f>
        <v>0</v>
      </c>
      <c r="AY83" s="71" t="n">
        <f aca="false">$R83*$AO83</f>
        <v>0</v>
      </c>
      <c r="AZ83" s="71" t="n">
        <f aca="false">$R83*Acc_Int*$AN83</f>
        <v>0</v>
      </c>
      <c r="BA83" s="71" t="n">
        <f aca="false">$AY83*Acq_Cost</f>
        <v>0</v>
      </c>
      <c r="BB83" s="71" t="n">
        <f aca="false">$AY83+$AZ83+$BA83</f>
        <v>0</v>
      </c>
      <c r="BC83" s="71" t="n">
        <f aca="false">IF(Fin_Flag="Yes",$AY83*Adv_Rate,0)</f>
        <v>0</v>
      </c>
      <c r="BD83" s="71" t="n">
        <f aca="false">$BC83*Fin_UpFee</f>
        <v>0</v>
      </c>
      <c r="BE83" s="71" t="n">
        <f aca="false">$BB83-$BC83+$BD83</f>
        <v>0</v>
      </c>
    </row>
    <row r="84" customFormat="false" ht="14.25" hidden="false" customHeight="false" outlineLevel="0" collapsed="false">
      <c r="A84" s="61"/>
      <c r="B84" s="62"/>
      <c r="C84" s="61"/>
      <c r="D84" s="61"/>
      <c r="E84" s="61"/>
      <c r="F84" s="63"/>
      <c r="G84" s="64"/>
      <c r="H84" s="64"/>
      <c r="I84" s="63"/>
      <c r="J84" s="63"/>
      <c r="K84" s="61"/>
      <c r="L84" s="65"/>
      <c r="M84" s="65"/>
      <c r="N84" s="61"/>
      <c r="O84" s="64"/>
      <c r="P84" s="65"/>
      <c r="Q84" s="65"/>
      <c r="R84" s="66"/>
      <c r="S84" s="65"/>
      <c r="T84" s="65"/>
      <c r="U84" s="67"/>
      <c r="V84" s="65"/>
      <c r="W84" s="65"/>
      <c r="X84" s="63"/>
      <c r="Y84" s="63"/>
      <c r="Z84" s="61"/>
      <c r="AA84" s="61"/>
      <c r="AB84" s="61"/>
      <c r="AC84" s="61"/>
      <c r="AD84" s="61"/>
      <c r="AE84" s="61"/>
      <c r="AF84" s="61"/>
      <c r="AG84" s="61"/>
      <c r="AH84" s="68" t="n">
        <f aca="false">IF(G84="",0,ROUND((Strats!$C$4-G84)/30.4375,1))</f>
        <v>0</v>
      </c>
      <c r="AI84" s="69" t="n">
        <f aca="false">IF(K84="",0,IF(K84="Floating",Strats!$C$10+M84,L84))</f>
        <v>0</v>
      </c>
      <c r="AJ84" s="68" t="str">
        <f aca="false">IF(OR(Z84="",Z84="Full Amortizing"),"",MAX(J84-AH84,0))</f>
        <v/>
      </c>
      <c r="AK84" s="69" t="n">
        <f aca="false">IF(K84="",0,IF(K84="Floating",IF(P84&lt;&gt;"",MIN(IF(Q84&lt;&gt;"",MAX((Strats!$C$10+Strats!$C$11+M84),Q84),(Strats!$C$10+Strats!$C$11+M84)),P84),IF(Q84&lt;&gt;"",MAX((Strats!$C$10+Strats!$C$11+M84),Q84),(Strats!$C$10+Strats!$C$11+M84))),AI84))</f>
        <v>0</v>
      </c>
      <c r="AL84" s="68" t="str">
        <f aca="false">IF(OR(E84="",E84&lt;&gt;'Deal Strat'!$C$12,R84=""),"",SUMPRODUCT((E$4:E$303='Deal Strat'!$C$12)*(R$4:R$303&gt;R84))+1+SUMPRODUCT((E$4:E$303='Deal Strat'!$C$12)*(R$4:R$303=R84)*(ROW(R$4:R$303)&lt;ROW(R84))))</f>
        <v/>
      </c>
      <c r="AM84" s="68" t="str">
        <f aca="false">IF(R84="","",RANK(R84,$R$4:$R$303,0)+COUNTIF($R$4:R84,R84)-1)</f>
        <v/>
      </c>
      <c r="AN84" s="26" t="n">
        <f aca="false">IF(OR($A84="",$R84=""),0,IF(Deal_Scope="All Deals",1,IF($E84=Deal_Scope,1,0)))</f>
        <v>0</v>
      </c>
      <c r="AO84" s="56" t="n">
        <f aca="false">IF($AN84=0,0,Px_Par)</f>
        <v>0</v>
      </c>
      <c r="AP84" s="70" t="n">
        <f aca="false">IF($H84="",0,MAX(0,($H84-Set_Date)/30.4375))</f>
        <v>0</v>
      </c>
      <c r="AQ84" s="26" t="n">
        <f aca="false">IF(AND(Ext_Flag="Yes",$AA84="Yes"),Ext_Months,0)</f>
        <v>0</v>
      </c>
      <c r="AR84" s="70" t="n">
        <f aca="false">$AP84+$AQ84</f>
        <v>0</v>
      </c>
      <c r="AS84" s="70" t="n">
        <f aca="false">$AR84/12</f>
        <v>0</v>
      </c>
      <c r="AT84" s="70" t="n">
        <f aca="false">IF($AJ84="",0,MAX(0,$AJ84/12))</f>
        <v>0</v>
      </c>
      <c r="AU84" s="70" t="n">
        <f aca="false">MAX(Amort_Min,Amort_Term-$AH84/12)</f>
        <v>30</v>
      </c>
      <c r="AV84" s="70" t="n">
        <f aca="false">MIN($AS84,Hold_Yrs)</f>
        <v>0</v>
      </c>
      <c r="AW84" s="26" t="n">
        <f aca="false">IF($AN84=0,0,CEILING(MAX($AS84,0.0001),1))</f>
        <v>0</v>
      </c>
      <c r="AX84" s="26" t="n">
        <f aca="false">IF(AND($AN84=1,MAX($AS84,0.0001)&lt;=Hold_Yrs),1,0)</f>
        <v>0</v>
      </c>
      <c r="AY84" s="71" t="n">
        <f aca="false">$R84*$AO84</f>
        <v>0</v>
      </c>
      <c r="AZ84" s="71" t="n">
        <f aca="false">$R84*Acc_Int*$AN84</f>
        <v>0</v>
      </c>
      <c r="BA84" s="71" t="n">
        <f aca="false">$AY84*Acq_Cost</f>
        <v>0</v>
      </c>
      <c r="BB84" s="71" t="n">
        <f aca="false">$AY84+$AZ84+$BA84</f>
        <v>0</v>
      </c>
      <c r="BC84" s="71" t="n">
        <f aca="false">IF(Fin_Flag="Yes",$AY84*Adv_Rate,0)</f>
        <v>0</v>
      </c>
      <c r="BD84" s="71" t="n">
        <f aca="false">$BC84*Fin_UpFee</f>
        <v>0</v>
      </c>
      <c r="BE84" s="71" t="n">
        <f aca="false">$BB84-$BC84+$BD84</f>
        <v>0</v>
      </c>
    </row>
    <row r="85" customFormat="false" ht="14.25" hidden="false" customHeight="false" outlineLevel="0" collapsed="false">
      <c r="A85" s="61"/>
      <c r="B85" s="62"/>
      <c r="C85" s="61"/>
      <c r="D85" s="61"/>
      <c r="E85" s="61"/>
      <c r="F85" s="63"/>
      <c r="G85" s="64"/>
      <c r="H85" s="64"/>
      <c r="I85" s="63"/>
      <c r="J85" s="63"/>
      <c r="K85" s="61"/>
      <c r="L85" s="65"/>
      <c r="M85" s="65"/>
      <c r="N85" s="61"/>
      <c r="O85" s="64"/>
      <c r="P85" s="65"/>
      <c r="Q85" s="65"/>
      <c r="R85" s="66"/>
      <c r="S85" s="65"/>
      <c r="T85" s="65"/>
      <c r="U85" s="67"/>
      <c r="V85" s="65"/>
      <c r="W85" s="65"/>
      <c r="X85" s="63"/>
      <c r="Y85" s="63"/>
      <c r="Z85" s="61"/>
      <c r="AA85" s="61"/>
      <c r="AB85" s="61"/>
      <c r="AC85" s="61"/>
      <c r="AD85" s="61"/>
      <c r="AE85" s="61"/>
      <c r="AF85" s="61"/>
      <c r="AG85" s="61"/>
      <c r="AH85" s="68" t="n">
        <f aca="false">IF(G85="",0,ROUND((Strats!$C$4-G85)/30.4375,1))</f>
        <v>0</v>
      </c>
      <c r="AI85" s="69" t="n">
        <f aca="false">IF(K85="",0,IF(K85="Floating",Strats!$C$10+M85,L85))</f>
        <v>0</v>
      </c>
      <c r="AJ85" s="68" t="str">
        <f aca="false">IF(OR(Z85="",Z85="Full Amortizing"),"",MAX(J85-AH85,0))</f>
        <v/>
      </c>
      <c r="AK85" s="69" t="n">
        <f aca="false">IF(K85="",0,IF(K85="Floating",IF(P85&lt;&gt;"",MIN(IF(Q85&lt;&gt;"",MAX((Strats!$C$10+Strats!$C$11+M85),Q85),(Strats!$C$10+Strats!$C$11+M85)),P85),IF(Q85&lt;&gt;"",MAX((Strats!$C$10+Strats!$C$11+M85),Q85),(Strats!$C$10+Strats!$C$11+M85))),AI85))</f>
        <v>0</v>
      </c>
      <c r="AL85" s="68" t="str">
        <f aca="false">IF(OR(E85="",E85&lt;&gt;'Deal Strat'!$C$12,R85=""),"",SUMPRODUCT((E$4:E$303='Deal Strat'!$C$12)*(R$4:R$303&gt;R85))+1+SUMPRODUCT((E$4:E$303='Deal Strat'!$C$12)*(R$4:R$303=R85)*(ROW(R$4:R$303)&lt;ROW(R85))))</f>
        <v/>
      </c>
      <c r="AM85" s="68" t="str">
        <f aca="false">IF(R85="","",RANK(R85,$R$4:$R$303,0)+COUNTIF($R$4:R85,R85)-1)</f>
        <v/>
      </c>
      <c r="AN85" s="26" t="n">
        <f aca="false">IF(OR($A85="",$R85=""),0,IF(Deal_Scope="All Deals",1,IF($E85=Deal_Scope,1,0)))</f>
        <v>0</v>
      </c>
      <c r="AO85" s="56" t="n">
        <f aca="false">IF($AN85=0,0,Px_Par)</f>
        <v>0</v>
      </c>
      <c r="AP85" s="70" t="n">
        <f aca="false">IF($H85="",0,MAX(0,($H85-Set_Date)/30.4375))</f>
        <v>0</v>
      </c>
      <c r="AQ85" s="26" t="n">
        <f aca="false">IF(AND(Ext_Flag="Yes",$AA85="Yes"),Ext_Months,0)</f>
        <v>0</v>
      </c>
      <c r="AR85" s="70" t="n">
        <f aca="false">$AP85+$AQ85</f>
        <v>0</v>
      </c>
      <c r="AS85" s="70" t="n">
        <f aca="false">$AR85/12</f>
        <v>0</v>
      </c>
      <c r="AT85" s="70" t="n">
        <f aca="false">IF($AJ85="",0,MAX(0,$AJ85/12))</f>
        <v>0</v>
      </c>
      <c r="AU85" s="70" t="n">
        <f aca="false">MAX(Amort_Min,Amort_Term-$AH85/12)</f>
        <v>30</v>
      </c>
      <c r="AV85" s="70" t="n">
        <f aca="false">MIN($AS85,Hold_Yrs)</f>
        <v>0</v>
      </c>
      <c r="AW85" s="26" t="n">
        <f aca="false">IF($AN85=0,0,CEILING(MAX($AS85,0.0001),1))</f>
        <v>0</v>
      </c>
      <c r="AX85" s="26" t="n">
        <f aca="false">IF(AND($AN85=1,MAX($AS85,0.0001)&lt;=Hold_Yrs),1,0)</f>
        <v>0</v>
      </c>
      <c r="AY85" s="71" t="n">
        <f aca="false">$R85*$AO85</f>
        <v>0</v>
      </c>
      <c r="AZ85" s="71" t="n">
        <f aca="false">$R85*Acc_Int*$AN85</f>
        <v>0</v>
      </c>
      <c r="BA85" s="71" t="n">
        <f aca="false">$AY85*Acq_Cost</f>
        <v>0</v>
      </c>
      <c r="BB85" s="71" t="n">
        <f aca="false">$AY85+$AZ85+$BA85</f>
        <v>0</v>
      </c>
      <c r="BC85" s="71" t="n">
        <f aca="false">IF(Fin_Flag="Yes",$AY85*Adv_Rate,0)</f>
        <v>0</v>
      </c>
      <c r="BD85" s="71" t="n">
        <f aca="false">$BC85*Fin_UpFee</f>
        <v>0</v>
      </c>
      <c r="BE85" s="71" t="n">
        <f aca="false">$BB85-$BC85+$BD85</f>
        <v>0</v>
      </c>
    </row>
    <row r="86" customFormat="false" ht="14.25" hidden="false" customHeight="false" outlineLevel="0" collapsed="false">
      <c r="A86" s="61"/>
      <c r="B86" s="62"/>
      <c r="C86" s="61"/>
      <c r="D86" s="61"/>
      <c r="E86" s="61"/>
      <c r="F86" s="63"/>
      <c r="G86" s="64"/>
      <c r="H86" s="64"/>
      <c r="I86" s="63"/>
      <c r="J86" s="63"/>
      <c r="K86" s="61"/>
      <c r="L86" s="65"/>
      <c r="M86" s="65"/>
      <c r="N86" s="61"/>
      <c r="O86" s="64"/>
      <c r="P86" s="65"/>
      <c r="Q86" s="65"/>
      <c r="R86" s="66"/>
      <c r="S86" s="65"/>
      <c r="T86" s="65"/>
      <c r="U86" s="67"/>
      <c r="V86" s="65"/>
      <c r="W86" s="65"/>
      <c r="X86" s="63"/>
      <c r="Y86" s="63"/>
      <c r="Z86" s="61"/>
      <c r="AA86" s="61"/>
      <c r="AB86" s="61"/>
      <c r="AC86" s="61"/>
      <c r="AD86" s="61"/>
      <c r="AE86" s="61"/>
      <c r="AF86" s="61"/>
      <c r="AG86" s="61"/>
      <c r="AH86" s="68" t="n">
        <f aca="false">IF(G86="",0,ROUND((Strats!$C$4-G86)/30.4375,1))</f>
        <v>0</v>
      </c>
      <c r="AI86" s="69" t="n">
        <f aca="false">IF(K86="",0,IF(K86="Floating",Strats!$C$10+M86,L86))</f>
        <v>0</v>
      </c>
      <c r="AJ86" s="68" t="str">
        <f aca="false">IF(OR(Z86="",Z86="Full Amortizing"),"",MAX(J86-AH86,0))</f>
        <v/>
      </c>
      <c r="AK86" s="69" t="n">
        <f aca="false">IF(K86="",0,IF(K86="Floating",IF(P86&lt;&gt;"",MIN(IF(Q86&lt;&gt;"",MAX((Strats!$C$10+Strats!$C$11+M86),Q86),(Strats!$C$10+Strats!$C$11+M86)),P86),IF(Q86&lt;&gt;"",MAX((Strats!$C$10+Strats!$C$11+M86),Q86),(Strats!$C$10+Strats!$C$11+M86))),AI86))</f>
        <v>0</v>
      </c>
      <c r="AL86" s="68" t="str">
        <f aca="false">IF(OR(E86="",E86&lt;&gt;'Deal Strat'!$C$12,R86=""),"",SUMPRODUCT((E$4:E$303='Deal Strat'!$C$12)*(R$4:R$303&gt;R86))+1+SUMPRODUCT((E$4:E$303='Deal Strat'!$C$12)*(R$4:R$303=R86)*(ROW(R$4:R$303)&lt;ROW(R86))))</f>
        <v/>
      </c>
      <c r="AM86" s="68" t="str">
        <f aca="false">IF(R86="","",RANK(R86,$R$4:$R$303,0)+COUNTIF($R$4:R86,R86)-1)</f>
        <v/>
      </c>
      <c r="AN86" s="26" t="n">
        <f aca="false">IF(OR($A86="",$R86=""),0,IF(Deal_Scope="All Deals",1,IF($E86=Deal_Scope,1,0)))</f>
        <v>0</v>
      </c>
      <c r="AO86" s="56" t="n">
        <f aca="false">IF($AN86=0,0,Px_Par)</f>
        <v>0</v>
      </c>
      <c r="AP86" s="70" t="n">
        <f aca="false">IF($H86="",0,MAX(0,($H86-Set_Date)/30.4375))</f>
        <v>0</v>
      </c>
      <c r="AQ86" s="26" t="n">
        <f aca="false">IF(AND(Ext_Flag="Yes",$AA86="Yes"),Ext_Months,0)</f>
        <v>0</v>
      </c>
      <c r="AR86" s="70" t="n">
        <f aca="false">$AP86+$AQ86</f>
        <v>0</v>
      </c>
      <c r="AS86" s="70" t="n">
        <f aca="false">$AR86/12</f>
        <v>0</v>
      </c>
      <c r="AT86" s="70" t="n">
        <f aca="false">IF($AJ86="",0,MAX(0,$AJ86/12))</f>
        <v>0</v>
      </c>
      <c r="AU86" s="70" t="n">
        <f aca="false">MAX(Amort_Min,Amort_Term-$AH86/12)</f>
        <v>30</v>
      </c>
      <c r="AV86" s="70" t="n">
        <f aca="false">MIN($AS86,Hold_Yrs)</f>
        <v>0</v>
      </c>
      <c r="AW86" s="26" t="n">
        <f aca="false">IF($AN86=0,0,CEILING(MAX($AS86,0.0001),1))</f>
        <v>0</v>
      </c>
      <c r="AX86" s="26" t="n">
        <f aca="false">IF(AND($AN86=1,MAX($AS86,0.0001)&lt;=Hold_Yrs),1,0)</f>
        <v>0</v>
      </c>
      <c r="AY86" s="71" t="n">
        <f aca="false">$R86*$AO86</f>
        <v>0</v>
      </c>
      <c r="AZ86" s="71" t="n">
        <f aca="false">$R86*Acc_Int*$AN86</f>
        <v>0</v>
      </c>
      <c r="BA86" s="71" t="n">
        <f aca="false">$AY86*Acq_Cost</f>
        <v>0</v>
      </c>
      <c r="BB86" s="71" t="n">
        <f aca="false">$AY86+$AZ86+$BA86</f>
        <v>0</v>
      </c>
      <c r="BC86" s="71" t="n">
        <f aca="false">IF(Fin_Flag="Yes",$AY86*Adv_Rate,0)</f>
        <v>0</v>
      </c>
      <c r="BD86" s="71" t="n">
        <f aca="false">$BC86*Fin_UpFee</f>
        <v>0</v>
      </c>
      <c r="BE86" s="71" t="n">
        <f aca="false">$BB86-$BC86+$BD86</f>
        <v>0</v>
      </c>
    </row>
    <row r="87" customFormat="false" ht="14.25" hidden="false" customHeight="false" outlineLevel="0" collapsed="false">
      <c r="A87" s="61"/>
      <c r="B87" s="62"/>
      <c r="C87" s="61"/>
      <c r="D87" s="61"/>
      <c r="E87" s="61"/>
      <c r="F87" s="63"/>
      <c r="G87" s="64"/>
      <c r="H87" s="64"/>
      <c r="I87" s="63"/>
      <c r="J87" s="63"/>
      <c r="K87" s="61"/>
      <c r="L87" s="65"/>
      <c r="M87" s="65"/>
      <c r="N87" s="61"/>
      <c r="O87" s="64"/>
      <c r="P87" s="65"/>
      <c r="Q87" s="65"/>
      <c r="R87" s="66"/>
      <c r="S87" s="65"/>
      <c r="T87" s="65"/>
      <c r="U87" s="67"/>
      <c r="V87" s="65"/>
      <c r="W87" s="65"/>
      <c r="X87" s="63"/>
      <c r="Y87" s="63"/>
      <c r="Z87" s="61"/>
      <c r="AA87" s="61"/>
      <c r="AB87" s="61"/>
      <c r="AC87" s="61"/>
      <c r="AD87" s="61"/>
      <c r="AE87" s="61"/>
      <c r="AF87" s="61"/>
      <c r="AG87" s="61"/>
      <c r="AH87" s="68" t="n">
        <f aca="false">IF(G87="",0,ROUND((Strats!$C$4-G87)/30.4375,1))</f>
        <v>0</v>
      </c>
      <c r="AI87" s="69" t="n">
        <f aca="false">IF(K87="",0,IF(K87="Floating",Strats!$C$10+M87,L87))</f>
        <v>0</v>
      </c>
      <c r="AJ87" s="68" t="str">
        <f aca="false">IF(OR(Z87="",Z87="Full Amortizing"),"",MAX(J87-AH87,0))</f>
        <v/>
      </c>
      <c r="AK87" s="69" t="n">
        <f aca="false">IF(K87="",0,IF(K87="Floating",IF(P87&lt;&gt;"",MIN(IF(Q87&lt;&gt;"",MAX((Strats!$C$10+Strats!$C$11+M87),Q87),(Strats!$C$10+Strats!$C$11+M87)),P87),IF(Q87&lt;&gt;"",MAX((Strats!$C$10+Strats!$C$11+M87),Q87),(Strats!$C$10+Strats!$C$11+M87))),AI87))</f>
        <v>0</v>
      </c>
      <c r="AL87" s="68" t="str">
        <f aca="false">IF(OR(E87="",E87&lt;&gt;'Deal Strat'!$C$12,R87=""),"",SUMPRODUCT((E$4:E$303='Deal Strat'!$C$12)*(R$4:R$303&gt;R87))+1+SUMPRODUCT((E$4:E$303='Deal Strat'!$C$12)*(R$4:R$303=R87)*(ROW(R$4:R$303)&lt;ROW(R87))))</f>
        <v/>
      </c>
      <c r="AM87" s="68" t="str">
        <f aca="false">IF(R87="","",RANK(R87,$R$4:$R$303,0)+COUNTIF($R$4:R87,R87)-1)</f>
        <v/>
      </c>
      <c r="AN87" s="26" t="n">
        <f aca="false">IF(OR($A87="",$R87=""),0,IF(Deal_Scope="All Deals",1,IF($E87=Deal_Scope,1,0)))</f>
        <v>0</v>
      </c>
      <c r="AO87" s="56" t="n">
        <f aca="false">IF($AN87=0,0,Px_Par)</f>
        <v>0</v>
      </c>
      <c r="AP87" s="70" t="n">
        <f aca="false">IF($H87="",0,MAX(0,($H87-Set_Date)/30.4375))</f>
        <v>0</v>
      </c>
      <c r="AQ87" s="26" t="n">
        <f aca="false">IF(AND(Ext_Flag="Yes",$AA87="Yes"),Ext_Months,0)</f>
        <v>0</v>
      </c>
      <c r="AR87" s="70" t="n">
        <f aca="false">$AP87+$AQ87</f>
        <v>0</v>
      </c>
      <c r="AS87" s="70" t="n">
        <f aca="false">$AR87/12</f>
        <v>0</v>
      </c>
      <c r="AT87" s="70" t="n">
        <f aca="false">IF($AJ87="",0,MAX(0,$AJ87/12))</f>
        <v>0</v>
      </c>
      <c r="AU87" s="70" t="n">
        <f aca="false">MAX(Amort_Min,Amort_Term-$AH87/12)</f>
        <v>30</v>
      </c>
      <c r="AV87" s="70" t="n">
        <f aca="false">MIN($AS87,Hold_Yrs)</f>
        <v>0</v>
      </c>
      <c r="AW87" s="26" t="n">
        <f aca="false">IF($AN87=0,0,CEILING(MAX($AS87,0.0001),1))</f>
        <v>0</v>
      </c>
      <c r="AX87" s="26" t="n">
        <f aca="false">IF(AND($AN87=1,MAX($AS87,0.0001)&lt;=Hold_Yrs),1,0)</f>
        <v>0</v>
      </c>
      <c r="AY87" s="71" t="n">
        <f aca="false">$R87*$AO87</f>
        <v>0</v>
      </c>
      <c r="AZ87" s="71" t="n">
        <f aca="false">$R87*Acc_Int*$AN87</f>
        <v>0</v>
      </c>
      <c r="BA87" s="71" t="n">
        <f aca="false">$AY87*Acq_Cost</f>
        <v>0</v>
      </c>
      <c r="BB87" s="71" t="n">
        <f aca="false">$AY87+$AZ87+$BA87</f>
        <v>0</v>
      </c>
      <c r="BC87" s="71" t="n">
        <f aca="false">IF(Fin_Flag="Yes",$AY87*Adv_Rate,0)</f>
        <v>0</v>
      </c>
      <c r="BD87" s="71" t="n">
        <f aca="false">$BC87*Fin_UpFee</f>
        <v>0</v>
      </c>
      <c r="BE87" s="71" t="n">
        <f aca="false">$BB87-$BC87+$BD87</f>
        <v>0</v>
      </c>
    </row>
    <row r="88" customFormat="false" ht="14.25" hidden="false" customHeight="false" outlineLevel="0" collapsed="false">
      <c r="A88" s="61"/>
      <c r="B88" s="62"/>
      <c r="C88" s="61"/>
      <c r="D88" s="61"/>
      <c r="E88" s="61"/>
      <c r="F88" s="63"/>
      <c r="G88" s="64"/>
      <c r="H88" s="64"/>
      <c r="I88" s="63"/>
      <c r="J88" s="63"/>
      <c r="K88" s="61"/>
      <c r="L88" s="65"/>
      <c r="M88" s="65"/>
      <c r="N88" s="61"/>
      <c r="O88" s="64"/>
      <c r="P88" s="65"/>
      <c r="Q88" s="65"/>
      <c r="R88" s="66"/>
      <c r="S88" s="65"/>
      <c r="T88" s="65"/>
      <c r="U88" s="67"/>
      <c r="V88" s="65"/>
      <c r="W88" s="65"/>
      <c r="X88" s="63"/>
      <c r="Y88" s="63"/>
      <c r="Z88" s="61"/>
      <c r="AA88" s="61"/>
      <c r="AB88" s="61"/>
      <c r="AC88" s="61"/>
      <c r="AD88" s="61"/>
      <c r="AE88" s="61"/>
      <c r="AF88" s="61"/>
      <c r="AG88" s="61"/>
      <c r="AH88" s="68" t="n">
        <f aca="false">IF(G88="",0,ROUND((Strats!$C$4-G88)/30.4375,1))</f>
        <v>0</v>
      </c>
      <c r="AI88" s="69" t="n">
        <f aca="false">IF(K88="",0,IF(K88="Floating",Strats!$C$10+M88,L88))</f>
        <v>0</v>
      </c>
      <c r="AJ88" s="68" t="str">
        <f aca="false">IF(OR(Z88="",Z88="Full Amortizing"),"",MAX(J88-AH88,0))</f>
        <v/>
      </c>
      <c r="AK88" s="69" t="n">
        <f aca="false">IF(K88="",0,IF(K88="Floating",IF(P88&lt;&gt;"",MIN(IF(Q88&lt;&gt;"",MAX((Strats!$C$10+Strats!$C$11+M88),Q88),(Strats!$C$10+Strats!$C$11+M88)),P88),IF(Q88&lt;&gt;"",MAX((Strats!$C$10+Strats!$C$11+M88),Q88),(Strats!$C$10+Strats!$C$11+M88))),AI88))</f>
        <v>0</v>
      </c>
      <c r="AL88" s="68" t="str">
        <f aca="false">IF(OR(E88="",E88&lt;&gt;'Deal Strat'!$C$12,R88=""),"",SUMPRODUCT((E$4:E$303='Deal Strat'!$C$12)*(R$4:R$303&gt;R88))+1+SUMPRODUCT((E$4:E$303='Deal Strat'!$C$12)*(R$4:R$303=R88)*(ROW(R$4:R$303)&lt;ROW(R88))))</f>
        <v/>
      </c>
      <c r="AM88" s="68" t="str">
        <f aca="false">IF(R88="","",RANK(R88,$R$4:$R$303,0)+COUNTIF($R$4:R88,R88)-1)</f>
        <v/>
      </c>
      <c r="AN88" s="26" t="n">
        <f aca="false">IF(OR($A88="",$R88=""),0,IF(Deal_Scope="All Deals",1,IF($E88=Deal_Scope,1,0)))</f>
        <v>0</v>
      </c>
      <c r="AO88" s="56" t="n">
        <f aca="false">IF($AN88=0,0,Px_Par)</f>
        <v>0</v>
      </c>
      <c r="AP88" s="70" t="n">
        <f aca="false">IF($H88="",0,MAX(0,($H88-Set_Date)/30.4375))</f>
        <v>0</v>
      </c>
      <c r="AQ88" s="26" t="n">
        <f aca="false">IF(AND(Ext_Flag="Yes",$AA88="Yes"),Ext_Months,0)</f>
        <v>0</v>
      </c>
      <c r="AR88" s="70" t="n">
        <f aca="false">$AP88+$AQ88</f>
        <v>0</v>
      </c>
      <c r="AS88" s="70" t="n">
        <f aca="false">$AR88/12</f>
        <v>0</v>
      </c>
      <c r="AT88" s="70" t="n">
        <f aca="false">IF($AJ88="",0,MAX(0,$AJ88/12))</f>
        <v>0</v>
      </c>
      <c r="AU88" s="70" t="n">
        <f aca="false">MAX(Amort_Min,Amort_Term-$AH88/12)</f>
        <v>30</v>
      </c>
      <c r="AV88" s="70" t="n">
        <f aca="false">MIN($AS88,Hold_Yrs)</f>
        <v>0</v>
      </c>
      <c r="AW88" s="26" t="n">
        <f aca="false">IF($AN88=0,0,CEILING(MAX($AS88,0.0001),1))</f>
        <v>0</v>
      </c>
      <c r="AX88" s="26" t="n">
        <f aca="false">IF(AND($AN88=1,MAX($AS88,0.0001)&lt;=Hold_Yrs),1,0)</f>
        <v>0</v>
      </c>
      <c r="AY88" s="71" t="n">
        <f aca="false">$R88*$AO88</f>
        <v>0</v>
      </c>
      <c r="AZ88" s="71" t="n">
        <f aca="false">$R88*Acc_Int*$AN88</f>
        <v>0</v>
      </c>
      <c r="BA88" s="71" t="n">
        <f aca="false">$AY88*Acq_Cost</f>
        <v>0</v>
      </c>
      <c r="BB88" s="71" t="n">
        <f aca="false">$AY88+$AZ88+$BA88</f>
        <v>0</v>
      </c>
      <c r="BC88" s="71" t="n">
        <f aca="false">IF(Fin_Flag="Yes",$AY88*Adv_Rate,0)</f>
        <v>0</v>
      </c>
      <c r="BD88" s="71" t="n">
        <f aca="false">$BC88*Fin_UpFee</f>
        <v>0</v>
      </c>
      <c r="BE88" s="71" t="n">
        <f aca="false">$BB88-$BC88+$BD88</f>
        <v>0</v>
      </c>
    </row>
    <row r="89" customFormat="false" ht="14.25" hidden="false" customHeight="false" outlineLevel="0" collapsed="false">
      <c r="A89" s="61"/>
      <c r="B89" s="62"/>
      <c r="C89" s="61"/>
      <c r="D89" s="61"/>
      <c r="E89" s="61"/>
      <c r="F89" s="63"/>
      <c r="G89" s="64"/>
      <c r="H89" s="64"/>
      <c r="I89" s="63"/>
      <c r="J89" s="63"/>
      <c r="K89" s="61"/>
      <c r="L89" s="65"/>
      <c r="M89" s="65"/>
      <c r="N89" s="61"/>
      <c r="O89" s="64"/>
      <c r="P89" s="65"/>
      <c r="Q89" s="65"/>
      <c r="R89" s="66"/>
      <c r="S89" s="65"/>
      <c r="T89" s="65"/>
      <c r="U89" s="67"/>
      <c r="V89" s="65"/>
      <c r="W89" s="65"/>
      <c r="X89" s="63"/>
      <c r="Y89" s="63"/>
      <c r="Z89" s="61"/>
      <c r="AA89" s="61"/>
      <c r="AB89" s="61"/>
      <c r="AC89" s="61"/>
      <c r="AD89" s="61"/>
      <c r="AE89" s="61"/>
      <c r="AF89" s="61"/>
      <c r="AG89" s="61"/>
      <c r="AH89" s="68" t="n">
        <f aca="false">IF(G89="",0,ROUND((Strats!$C$4-G89)/30.4375,1))</f>
        <v>0</v>
      </c>
      <c r="AI89" s="69" t="n">
        <f aca="false">IF(K89="",0,IF(K89="Floating",Strats!$C$10+M89,L89))</f>
        <v>0</v>
      </c>
      <c r="AJ89" s="68" t="str">
        <f aca="false">IF(OR(Z89="",Z89="Full Amortizing"),"",MAX(J89-AH89,0))</f>
        <v/>
      </c>
      <c r="AK89" s="69" t="n">
        <f aca="false">IF(K89="",0,IF(K89="Floating",IF(P89&lt;&gt;"",MIN(IF(Q89&lt;&gt;"",MAX((Strats!$C$10+Strats!$C$11+M89),Q89),(Strats!$C$10+Strats!$C$11+M89)),P89),IF(Q89&lt;&gt;"",MAX((Strats!$C$10+Strats!$C$11+M89),Q89),(Strats!$C$10+Strats!$C$11+M89))),AI89))</f>
        <v>0</v>
      </c>
      <c r="AL89" s="68" t="str">
        <f aca="false">IF(OR(E89="",E89&lt;&gt;'Deal Strat'!$C$12,R89=""),"",SUMPRODUCT((E$4:E$303='Deal Strat'!$C$12)*(R$4:R$303&gt;R89))+1+SUMPRODUCT((E$4:E$303='Deal Strat'!$C$12)*(R$4:R$303=R89)*(ROW(R$4:R$303)&lt;ROW(R89))))</f>
        <v/>
      </c>
      <c r="AM89" s="68" t="str">
        <f aca="false">IF(R89="","",RANK(R89,$R$4:$R$303,0)+COUNTIF($R$4:R89,R89)-1)</f>
        <v/>
      </c>
      <c r="AN89" s="26" t="n">
        <f aca="false">IF(OR($A89="",$R89=""),0,IF(Deal_Scope="All Deals",1,IF($E89=Deal_Scope,1,0)))</f>
        <v>0</v>
      </c>
      <c r="AO89" s="56" t="n">
        <f aca="false">IF($AN89=0,0,Px_Par)</f>
        <v>0</v>
      </c>
      <c r="AP89" s="70" t="n">
        <f aca="false">IF($H89="",0,MAX(0,($H89-Set_Date)/30.4375))</f>
        <v>0</v>
      </c>
      <c r="AQ89" s="26" t="n">
        <f aca="false">IF(AND(Ext_Flag="Yes",$AA89="Yes"),Ext_Months,0)</f>
        <v>0</v>
      </c>
      <c r="AR89" s="70" t="n">
        <f aca="false">$AP89+$AQ89</f>
        <v>0</v>
      </c>
      <c r="AS89" s="70" t="n">
        <f aca="false">$AR89/12</f>
        <v>0</v>
      </c>
      <c r="AT89" s="70" t="n">
        <f aca="false">IF($AJ89="",0,MAX(0,$AJ89/12))</f>
        <v>0</v>
      </c>
      <c r="AU89" s="70" t="n">
        <f aca="false">MAX(Amort_Min,Amort_Term-$AH89/12)</f>
        <v>30</v>
      </c>
      <c r="AV89" s="70" t="n">
        <f aca="false">MIN($AS89,Hold_Yrs)</f>
        <v>0</v>
      </c>
      <c r="AW89" s="26" t="n">
        <f aca="false">IF($AN89=0,0,CEILING(MAX($AS89,0.0001),1))</f>
        <v>0</v>
      </c>
      <c r="AX89" s="26" t="n">
        <f aca="false">IF(AND($AN89=1,MAX($AS89,0.0001)&lt;=Hold_Yrs),1,0)</f>
        <v>0</v>
      </c>
      <c r="AY89" s="71" t="n">
        <f aca="false">$R89*$AO89</f>
        <v>0</v>
      </c>
      <c r="AZ89" s="71" t="n">
        <f aca="false">$R89*Acc_Int*$AN89</f>
        <v>0</v>
      </c>
      <c r="BA89" s="71" t="n">
        <f aca="false">$AY89*Acq_Cost</f>
        <v>0</v>
      </c>
      <c r="BB89" s="71" t="n">
        <f aca="false">$AY89+$AZ89+$BA89</f>
        <v>0</v>
      </c>
      <c r="BC89" s="71" t="n">
        <f aca="false">IF(Fin_Flag="Yes",$AY89*Adv_Rate,0)</f>
        <v>0</v>
      </c>
      <c r="BD89" s="71" t="n">
        <f aca="false">$BC89*Fin_UpFee</f>
        <v>0</v>
      </c>
      <c r="BE89" s="71" t="n">
        <f aca="false">$BB89-$BC89+$BD89</f>
        <v>0</v>
      </c>
    </row>
    <row r="90" customFormat="false" ht="14.25" hidden="false" customHeight="false" outlineLevel="0" collapsed="false">
      <c r="A90" s="61"/>
      <c r="B90" s="62"/>
      <c r="C90" s="61"/>
      <c r="D90" s="61"/>
      <c r="E90" s="61"/>
      <c r="F90" s="63"/>
      <c r="G90" s="64"/>
      <c r="H90" s="64"/>
      <c r="I90" s="63"/>
      <c r="J90" s="63"/>
      <c r="K90" s="61"/>
      <c r="L90" s="65"/>
      <c r="M90" s="65"/>
      <c r="N90" s="61"/>
      <c r="O90" s="64"/>
      <c r="P90" s="65"/>
      <c r="Q90" s="65"/>
      <c r="R90" s="66"/>
      <c r="S90" s="65"/>
      <c r="T90" s="65"/>
      <c r="U90" s="67"/>
      <c r="V90" s="65"/>
      <c r="W90" s="65"/>
      <c r="X90" s="63"/>
      <c r="Y90" s="63"/>
      <c r="Z90" s="61"/>
      <c r="AA90" s="61"/>
      <c r="AB90" s="61"/>
      <c r="AC90" s="61"/>
      <c r="AD90" s="61"/>
      <c r="AE90" s="61"/>
      <c r="AF90" s="61"/>
      <c r="AG90" s="61"/>
      <c r="AH90" s="68" t="n">
        <f aca="false">IF(G90="",0,ROUND((Strats!$C$4-G90)/30.4375,1))</f>
        <v>0</v>
      </c>
      <c r="AI90" s="69" t="n">
        <f aca="false">IF(K90="",0,IF(K90="Floating",Strats!$C$10+M90,L90))</f>
        <v>0</v>
      </c>
      <c r="AJ90" s="68" t="str">
        <f aca="false">IF(OR(Z90="",Z90="Full Amortizing"),"",MAX(J90-AH90,0))</f>
        <v/>
      </c>
      <c r="AK90" s="69" t="n">
        <f aca="false">IF(K90="",0,IF(K90="Floating",IF(P90&lt;&gt;"",MIN(IF(Q90&lt;&gt;"",MAX((Strats!$C$10+Strats!$C$11+M90),Q90),(Strats!$C$10+Strats!$C$11+M90)),P90),IF(Q90&lt;&gt;"",MAX((Strats!$C$10+Strats!$C$11+M90),Q90),(Strats!$C$10+Strats!$C$11+M90))),AI90))</f>
        <v>0</v>
      </c>
      <c r="AL90" s="68" t="str">
        <f aca="false">IF(OR(E90="",E90&lt;&gt;'Deal Strat'!$C$12,R90=""),"",SUMPRODUCT((E$4:E$303='Deal Strat'!$C$12)*(R$4:R$303&gt;R90))+1+SUMPRODUCT((E$4:E$303='Deal Strat'!$C$12)*(R$4:R$303=R90)*(ROW(R$4:R$303)&lt;ROW(R90))))</f>
        <v/>
      </c>
      <c r="AM90" s="68" t="str">
        <f aca="false">IF(R90="","",RANK(R90,$R$4:$R$303,0)+COUNTIF($R$4:R90,R90)-1)</f>
        <v/>
      </c>
      <c r="AN90" s="26" t="n">
        <f aca="false">IF(OR($A90="",$R90=""),0,IF(Deal_Scope="All Deals",1,IF($E90=Deal_Scope,1,0)))</f>
        <v>0</v>
      </c>
      <c r="AO90" s="56" t="n">
        <f aca="false">IF($AN90=0,0,Px_Par)</f>
        <v>0</v>
      </c>
      <c r="AP90" s="70" t="n">
        <f aca="false">IF($H90="",0,MAX(0,($H90-Set_Date)/30.4375))</f>
        <v>0</v>
      </c>
      <c r="AQ90" s="26" t="n">
        <f aca="false">IF(AND(Ext_Flag="Yes",$AA90="Yes"),Ext_Months,0)</f>
        <v>0</v>
      </c>
      <c r="AR90" s="70" t="n">
        <f aca="false">$AP90+$AQ90</f>
        <v>0</v>
      </c>
      <c r="AS90" s="70" t="n">
        <f aca="false">$AR90/12</f>
        <v>0</v>
      </c>
      <c r="AT90" s="70" t="n">
        <f aca="false">IF($AJ90="",0,MAX(0,$AJ90/12))</f>
        <v>0</v>
      </c>
      <c r="AU90" s="70" t="n">
        <f aca="false">MAX(Amort_Min,Amort_Term-$AH90/12)</f>
        <v>30</v>
      </c>
      <c r="AV90" s="70" t="n">
        <f aca="false">MIN($AS90,Hold_Yrs)</f>
        <v>0</v>
      </c>
      <c r="AW90" s="26" t="n">
        <f aca="false">IF($AN90=0,0,CEILING(MAX($AS90,0.0001),1))</f>
        <v>0</v>
      </c>
      <c r="AX90" s="26" t="n">
        <f aca="false">IF(AND($AN90=1,MAX($AS90,0.0001)&lt;=Hold_Yrs),1,0)</f>
        <v>0</v>
      </c>
      <c r="AY90" s="71" t="n">
        <f aca="false">$R90*$AO90</f>
        <v>0</v>
      </c>
      <c r="AZ90" s="71" t="n">
        <f aca="false">$R90*Acc_Int*$AN90</f>
        <v>0</v>
      </c>
      <c r="BA90" s="71" t="n">
        <f aca="false">$AY90*Acq_Cost</f>
        <v>0</v>
      </c>
      <c r="BB90" s="71" t="n">
        <f aca="false">$AY90+$AZ90+$BA90</f>
        <v>0</v>
      </c>
      <c r="BC90" s="71" t="n">
        <f aca="false">IF(Fin_Flag="Yes",$AY90*Adv_Rate,0)</f>
        <v>0</v>
      </c>
      <c r="BD90" s="71" t="n">
        <f aca="false">$BC90*Fin_UpFee</f>
        <v>0</v>
      </c>
      <c r="BE90" s="71" t="n">
        <f aca="false">$BB90-$BC90+$BD90</f>
        <v>0</v>
      </c>
    </row>
    <row r="91" customFormat="false" ht="14.25" hidden="false" customHeight="false" outlineLevel="0" collapsed="false">
      <c r="A91" s="61"/>
      <c r="B91" s="62"/>
      <c r="C91" s="61"/>
      <c r="D91" s="61"/>
      <c r="E91" s="61"/>
      <c r="F91" s="63"/>
      <c r="G91" s="64"/>
      <c r="H91" s="64"/>
      <c r="I91" s="63"/>
      <c r="J91" s="63"/>
      <c r="K91" s="61"/>
      <c r="L91" s="65"/>
      <c r="M91" s="65"/>
      <c r="N91" s="61"/>
      <c r="O91" s="64"/>
      <c r="P91" s="65"/>
      <c r="Q91" s="65"/>
      <c r="R91" s="66"/>
      <c r="S91" s="65"/>
      <c r="T91" s="65"/>
      <c r="U91" s="67"/>
      <c r="V91" s="65"/>
      <c r="W91" s="65"/>
      <c r="X91" s="63"/>
      <c r="Y91" s="63"/>
      <c r="Z91" s="61"/>
      <c r="AA91" s="61"/>
      <c r="AB91" s="61"/>
      <c r="AC91" s="61"/>
      <c r="AD91" s="61"/>
      <c r="AE91" s="61"/>
      <c r="AF91" s="61"/>
      <c r="AG91" s="61"/>
      <c r="AH91" s="68" t="n">
        <f aca="false">IF(G91="",0,ROUND((Strats!$C$4-G91)/30.4375,1))</f>
        <v>0</v>
      </c>
      <c r="AI91" s="69" t="n">
        <f aca="false">IF(K91="",0,IF(K91="Floating",Strats!$C$10+M91,L91))</f>
        <v>0</v>
      </c>
      <c r="AJ91" s="68" t="str">
        <f aca="false">IF(OR(Z91="",Z91="Full Amortizing"),"",MAX(J91-AH91,0))</f>
        <v/>
      </c>
      <c r="AK91" s="69" t="n">
        <f aca="false">IF(K91="",0,IF(K91="Floating",IF(P91&lt;&gt;"",MIN(IF(Q91&lt;&gt;"",MAX((Strats!$C$10+Strats!$C$11+M91),Q91),(Strats!$C$10+Strats!$C$11+M91)),P91),IF(Q91&lt;&gt;"",MAX((Strats!$C$10+Strats!$C$11+M91),Q91),(Strats!$C$10+Strats!$C$11+M91))),AI91))</f>
        <v>0</v>
      </c>
      <c r="AL91" s="68" t="str">
        <f aca="false">IF(OR(E91="",E91&lt;&gt;'Deal Strat'!$C$12,R91=""),"",SUMPRODUCT((E$4:E$303='Deal Strat'!$C$12)*(R$4:R$303&gt;R91))+1+SUMPRODUCT((E$4:E$303='Deal Strat'!$C$12)*(R$4:R$303=R91)*(ROW(R$4:R$303)&lt;ROW(R91))))</f>
        <v/>
      </c>
      <c r="AM91" s="68" t="str">
        <f aca="false">IF(R91="","",RANK(R91,$R$4:$R$303,0)+COUNTIF($R$4:R91,R91)-1)</f>
        <v/>
      </c>
      <c r="AN91" s="26" t="n">
        <f aca="false">IF(OR($A91="",$R91=""),0,IF(Deal_Scope="All Deals",1,IF($E91=Deal_Scope,1,0)))</f>
        <v>0</v>
      </c>
      <c r="AO91" s="56" t="n">
        <f aca="false">IF($AN91=0,0,Px_Par)</f>
        <v>0</v>
      </c>
      <c r="AP91" s="70" t="n">
        <f aca="false">IF($H91="",0,MAX(0,($H91-Set_Date)/30.4375))</f>
        <v>0</v>
      </c>
      <c r="AQ91" s="26" t="n">
        <f aca="false">IF(AND(Ext_Flag="Yes",$AA91="Yes"),Ext_Months,0)</f>
        <v>0</v>
      </c>
      <c r="AR91" s="70" t="n">
        <f aca="false">$AP91+$AQ91</f>
        <v>0</v>
      </c>
      <c r="AS91" s="70" t="n">
        <f aca="false">$AR91/12</f>
        <v>0</v>
      </c>
      <c r="AT91" s="70" t="n">
        <f aca="false">IF($AJ91="",0,MAX(0,$AJ91/12))</f>
        <v>0</v>
      </c>
      <c r="AU91" s="70" t="n">
        <f aca="false">MAX(Amort_Min,Amort_Term-$AH91/12)</f>
        <v>30</v>
      </c>
      <c r="AV91" s="70" t="n">
        <f aca="false">MIN($AS91,Hold_Yrs)</f>
        <v>0</v>
      </c>
      <c r="AW91" s="26" t="n">
        <f aca="false">IF($AN91=0,0,CEILING(MAX($AS91,0.0001),1))</f>
        <v>0</v>
      </c>
      <c r="AX91" s="26" t="n">
        <f aca="false">IF(AND($AN91=1,MAX($AS91,0.0001)&lt;=Hold_Yrs),1,0)</f>
        <v>0</v>
      </c>
      <c r="AY91" s="71" t="n">
        <f aca="false">$R91*$AO91</f>
        <v>0</v>
      </c>
      <c r="AZ91" s="71" t="n">
        <f aca="false">$R91*Acc_Int*$AN91</f>
        <v>0</v>
      </c>
      <c r="BA91" s="71" t="n">
        <f aca="false">$AY91*Acq_Cost</f>
        <v>0</v>
      </c>
      <c r="BB91" s="71" t="n">
        <f aca="false">$AY91+$AZ91+$BA91</f>
        <v>0</v>
      </c>
      <c r="BC91" s="71" t="n">
        <f aca="false">IF(Fin_Flag="Yes",$AY91*Adv_Rate,0)</f>
        <v>0</v>
      </c>
      <c r="BD91" s="71" t="n">
        <f aca="false">$BC91*Fin_UpFee</f>
        <v>0</v>
      </c>
      <c r="BE91" s="71" t="n">
        <f aca="false">$BB91-$BC91+$BD91</f>
        <v>0</v>
      </c>
    </row>
    <row r="92" customFormat="false" ht="14.25" hidden="false" customHeight="false" outlineLevel="0" collapsed="false">
      <c r="A92" s="61"/>
      <c r="B92" s="62"/>
      <c r="C92" s="61"/>
      <c r="D92" s="61"/>
      <c r="E92" s="61"/>
      <c r="F92" s="63"/>
      <c r="G92" s="64"/>
      <c r="H92" s="64"/>
      <c r="I92" s="63"/>
      <c r="J92" s="63"/>
      <c r="K92" s="61"/>
      <c r="L92" s="65"/>
      <c r="M92" s="65"/>
      <c r="N92" s="61"/>
      <c r="O92" s="64"/>
      <c r="P92" s="65"/>
      <c r="Q92" s="65"/>
      <c r="R92" s="66"/>
      <c r="S92" s="65"/>
      <c r="T92" s="65"/>
      <c r="U92" s="67"/>
      <c r="V92" s="65"/>
      <c r="W92" s="65"/>
      <c r="X92" s="63"/>
      <c r="Y92" s="63"/>
      <c r="Z92" s="61"/>
      <c r="AA92" s="61"/>
      <c r="AB92" s="61"/>
      <c r="AC92" s="61"/>
      <c r="AD92" s="61"/>
      <c r="AE92" s="61"/>
      <c r="AF92" s="61"/>
      <c r="AG92" s="61"/>
      <c r="AH92" s="68" t="n">
        <f aca="false">IF(G92="",0,ROUND((Strats!$C$4-G92)/30.4375,1))</f>
        <v>0</v>
      </c>
      <c r="AI92" s="69" t="n">
        <f aca="false">IF(K92="",0,IF(K92="Floating",Strats!$C$10+M92,L92))</f>
        <v>0</v>
      </c>
      <c r="AJ92" s="68" t="str">
        <f aca="false">IF(OR(Z92="",Z92="Full Amortizing"),"",MAX(J92-AH92,0))</f>
        <v/>
      </c>
      <c r="AK92" s="69" t="n">
        <f aca="false">IF(K92="",0,IF(K92="Floating",IF(P92&lt;&gt;"",MIN(IF(Q92&lt;&gt;"",MAX((Strats!$C$10+Strats!$C$11+M92),Q92),(Strats!$C$10+Strats!$C$11+M92)),P92),IF(Q92&lt;&gt;"",MAX((Strats!$C$10+Strats!$C$11+M92),Q92),(Strats!$C$10+Strats!$C$11+M92))),AI92))</f>
        <v>0</v>
      </c>
      <c r="AL92" s="68" t="str">
        <f aca="false">IF(OR(E92="",E92&lt;&gt;'Deal Strat'!$C$12,R92=""),"",SUMPRODUCT((E$4:E$303='Deal Strat'!$C$12)*(R$4:R$303&gt;R92))+1+SUMPRODUCT((E$4:E$303='Deal Strat'!$C$12)*(R$4:R$303=R92)*(ROW(R$4:R$303)&lt;ROW(R92))))</f>
        <v/>
      </c>
      <c r="AM92" s="68" t="str">
        <f aca="false">IF(R92="","",RANK(R92,$R$4:$R$303,0)+COUNTIF($R$4:R92,R92)-1)</f>
        <v/>
      </c>
      <c r="AN92" s="26" t="n">
        <f aca="false">IF(OR($A92="",$R92=""),0,IF(Deal_Scope="All Deals",1,IF($E92=Deal_Scope,1,0)))</f>
        <v>0</v>
      </c>
      <c r="AO92" s="56" t="n">
        <f aca="false">IF($AN92=0,0,Px_Par)</f>
        <v>0</v>
      </c>
      <c r="AP92" s="70" t="n">
        <f aca="false">IF($H92="",0,MAX(0,($H92-Set_Date)/30.4375))</f>
        <v>0</v>
      </c>
      <c r="AQ92" s="26" t="n">
        <f aca="false">IF(AND(Ext_Flag="Yes",$AA92="Yes"),Ext_Months,0)</f>
        <v>0</v>
      </c>
      <c r="AR92" s="70" t="n">
        <f aca="false">$AP92+$AQ92</f>
        <v>0</v>
      </c>
      <c r="AS92" s="70" t="n">
        <f aca="false">$AR92/12</f>
        <v>0</v>
      </c>
      <c r="AT92" s="70" t="n">
        <f aca="false">IF($AJ92="",0,MAX(0,$AJ92/12))</f>
        <v>0</v>
      </c>
      <c r="AU92" s="70" t="n">
        <f aca="false">MAX(Amort_Min,Amort_Term-$AH92/12)</f>
        <v>30</v>
      </c>
      <c r="AV92" s="70" t="n">
        <f aca="false">MIN($AS92,Hold_Yrs)</f>
        <v>0</v>
      </c>
      <c r="AW92" s="26" t="n">
        <f aca="false">IF($AN92=0,0,CEILING(MAX($AS92,0.0001),1))</f>
        <v>0</v>
      </c>
      <c r="AX92" s="26" t="n">
        <f aca="false">IF(AND($AN92=1,MAX($AS92,0.0001)&lt;=Hold_Yrs),1,0)</f>
        <v>0</v>
      </c>
      <c r="AY92" s="71" t="n">
        <f aca="false">$R92*$AO92</f>
        <v>0</v>
      </c>
      <c r="AZ92" s="71" t="n">
        <f aca="false">$R92*Acc_Int*$AN92</f>
        <v>0</v>
      </c>
      <c r="BA92" s="71" t="n">
        <f aca="false">$AY92*Acq_Cost</f>
        <v>0</v>
      </c>
      <c r="BB92" s="71" t="n">
        <f aca="false">$AY92+$AZ92+$BA92</f>
        <v>0</v>
      </c>
      <c r="BC92" s="71" t="n">
        <f aca="false">IF(Fin_Flag="Yes",$AY92*Adv_Rate,0)</f>
        <v>0</v>
      </c>
      <c r="BD92" s="71" t="n">
        <f aca="false">$BC92*Fin_UpFee</f>
        <v>0</v>
      </c>
      <c r="BE92" s="71" t="n">
        <f aca="false">$BB92-$BC92+$BD92</f>
        <v>0</v>
      </c>
    </row>
    <row r="93" customFormat="false" ht="14.25" hidden="false" customHeight="false" outlineLevel="0" collapsed="false">
      <c r="A93" s="61"/>
      <c r="B93" s="62"/>
      <c r="C93" s="61"/>
      <c r="D93" s="61"/>
      <c r="E93" s="61"/>
      <c r="F93" s="63"/>
      <c r="G93" s="64"/>
      <c r="H93" s="64"/>
      <c r="I93" s="63"/>
      <c r="J93" s="63"/>
      <c r="K93" s="61"/>
      <c r="L93" s="65"/>
      <c r="M93" s="65"/>
      <c r="N93" s="61"/>
      <c r="O93" s="64"/>
      <c r="P93" s="65"/>
      <c r="Q93" s="65"/>
      <c r="R93" s="66"/>
      <c r="S93" s="65"/>
      <c r="T93" s="65"/>
      <c r="U93" s="67"/>
      <c r="V93" s="65"/>
      <c r="W93" s="65"/>
      <c r="X93" s="63"/>
      <c r="Y93" s="63"/>
      <c r="Z93" s="61"/>
      <c r="AA93" s="61"/>
      <c r="AB93" s="61"/>
      <c r="AC93" s="61"/>
      <c r="AD93" s="61"/>
      <c r="AE93" s="61"/>
      <c r="AF93" s="61"/>
      <c r="AG93" s="61"/>
      <c r="AH93" s="68" t="n">
        <f aca="false">IF(G93="",0,ROUND((Strats!$C$4-G93)/30.4375,1))</f>
        <v>0</v>
      </c>
      <c r="AI93" s="69" t="n">
        <f aca="false">IF(K93="",0,IF(K93="Floating",Strats!$C$10+M93,L93))</f>
        <v>0</v>
      </c>
      <c r="AJ93" s="68" t="str">
        <f aca="false">IF(OR(Z93="",Z93="Full Amortizing"),"",MAX(J93-AH93,0))</f>
        <v/>
      </c>
      <c r="AK93" s="69" t="n">
        <f aca="false">IF(K93="",0,IF(K93="Floating",IF(P93&lt;&gt;"",MIN(IF(Q93&lt;&gt;"",MAX((Strats!$C$10+Strats!$C$11+M93),Q93),(Strats!$C$10+Strats!$C$11+M93)),P93),IF(Q93&lt;&gt;"",MAX((Strats!$C$10+Strats!$C$11+M93),Q93),(Strats!$C$10+Strats!$C$11+M93))),AI93))</f>
        <v>0</v>
      </c>
      <c r="AL93" s="68" t="str">
        <f aca="false">IF(OR(E93="",E93&lt;&gt;'Deal Strat'!$C$12,R93=""),"",SUMPRODUCT((E$4:E$303='Deal Strat'!$C$12)*(R$4:R$303&gt;R93))+1+SUMPRODUCT((E$4:E$303='Deal Strat'!$C$12)*(R$4:R$303=R93)*(ROW(R$4:R$303)&lt;ROW(R93))))</f>
        <v/>
      </c>
      <c r="AM93" s="68" t="str">
        <f aca="false">IF(R93="","",RANK(R93,$R$4:$R$303,0)+COUNTIF($R$4:R93,R93)-1)</f>
        <v/>
      </c>
      <c r="AN93" s="26" t="n">
        <f aca="false">IF(OR($A93="",$R93=""),0,IF(Deal_Scope="All Deals",1,IF($E93=Deal_Scope,1,0)))</f>
        <v>0</v>
      </c>
      <c r="AO93" s="56" t="n">
        <f aca="false">IF($AN93=0,0,Px_Par)</f>
        <v>0</v>
      </c>
      <c r="AP93" s="70" t="n">
        <f aca="false">IF($H93="",0,MAX(0,($H93-Set_Date)/30.4375))</f>
        <v>0</v>
      </c>
      <c r="AQ93" s="26" t="n">
        <f aca="false">IF(AND(Ext_Flag="Yes",$AA93="Yes"),Ext_Months,0)</f>
        <v>0</v>
      </c>
      <c r="AR93" s="70" t="n">
        <f aca="false">$AP93+$AQ93</f>
        <v>0</v>
      </c>
      <c r="AS93" s="70" t="n">
        <f aca="false">$AR93/12</f>
        <v>0</v>
      </c>
      <c r="AT93" s="70" t="n">
        <f aca="false">IF($AJ93="",0,MAX(0,$AJ93/12))</f>
        <v>0</v>
      </c>
      <c r="AU93" s="70" t="n">
        <f aca="false">MAX(Amort_Min,Amort_Term-$AH93/12)</f>
        <v>30</v>
      </c>
      <c r="AV93" s="70" t="n">
        <f aca="false">MIN($AS93,Hold_Yrs)</f>
        <v>0</v>
      </c>
      <c r="AW93" s="26" t="n">
        <f aca="false">IF($AN93=0,0,CEILING(MAX($AS93,0.0001),1))</f>
        <v>0</v>
      </c>
      <c r="AX93" s="26" t="n">
        <f aca="false">IF(AND($AN93=1,MAX($AS93,0.0001)&lt;=Hold_Yrs),1,0)</f>
        <v>0</v>
      </c>
      <c r="AY93" s="71" t="n">
        <f aca="false">$R93*$AO93</f>
        <v>0</v>
      </c>
      <c r="AZ93" s="71" t="n">
        <f aca="false">$R93*Acc_Int*$AN93</f>
        <v>0</v>
      </c>
      <c r="BA93" s="71" t="n">
        <f aca="false">$AY93*Acq_Cost</f>
        <v>0</v>
      </c>
      <c r="BB93" s="71" t="n">
        <f aca="false">$AY93+$AZ93+$BA93</f>
        <v>0</v>
      </c>
      <c r="BC93" s="71" t="n">
        <f aca="false">IF(Fin_Flag="Yes",$AY93*Adv_Rate,0)</f>
        <v>0</v>
      </c>
      <c r="BD93" s="71" t="n">
        <f aca="false">$BC93*Fin_UpFee</f>
        <v>0</v>
      </c>
      <c r="BE93" s="71" t="n">
        <f aca="false">$BB93-$BC93+$BD93</f>
        <v>0</v>
      </c>
    </row>
    <row r="94" customFormat="false" ht="14.25" hidden="false" customHeight="false" outlineLevel="0" collapsed="false">
      <c r="A94" s="61"/>
      <c r="B94" s="62"/>
      <c r="C94" s="61"/>
      <c r="D94" s="61"/>
      <c r="E94" s="61"/>
      <c r="F94" s="63"/>
      <c r="G94" s="64"/>
      <c r="H94" s="64"/>
      <c r="I94" s="63"/>
      <c r="J94" s="63"/>
      <c r="K94" s="61"/>
      <c r="L94" s="65"/>
      <c r="M94" s="65"/>
      <c r="N94" s="61"/>
      <c r="O94" s="64"/>
      <c r="P94" s="65"/>
      <c r="Q94" s="65"/>
      <c r="R94" s="66"/>
      <c r="S94" s="65"/>
      <c r="T94" s="65"/>
      <c r="U94" s="67"/>
      <c r="V94" s="65"/>
      <c r="W94" s="65"/>
      <c r="X94" s="63"/>
      <c r="Y94" s="63"/>
      <c r="Z94" s="61"/>
      <c r="AA94" s="61"/>
      <c r="AB94" s="61"/>
      <c r="AC94" s="61"/>
      <c r="AD94" s="61"/>
      <c r="AE94" s="61"/>
      <c r="AF94" s="61"/>
      <c r="AG94" s="61"/>
      <c r="AH94" s="68" t="n">
        <f aca="false">IF(G94="",0,ROUND((Strats!$C$4-G94)/30.4375,1))</f>
        <v>0</v>
      </c>
      <c r="AI94" s="69" t="n">
        <f aca="false">IF(K94="",0,IF(K94="Floating",Strats!$C$10+M94,L94))</f>
        <v>0</v>
      </c>
      <c r="AJ94" s="68" t="str">
        <f aca="false">IF(OR(Z94="",Z94="Full Amortizing"),"",MAX(J94-AH94,0))</f>
        <v/>
      </c>
      <c r="AK94" s="69" t="n">
        <f aca="false">IF(K94="",0,IF(K94="Floating",IF(P94&lt;&gt;"",MIN(IF(Q94&lt;&gt;"",MAX((Strats!$C$10+Strats!$C$11+M94),Q94),(Strats!$C$10+Strats!$C$11+M94)),P94),IF(Q94&lt;&gt;"",MAX((Strats!$C$10+Strats!$C$11+M94),Q94),(Strats!$C$10+Strats!$C$11+M94))),AI94))</f>
        <v>0</v>
      </c>
      <c r="AL94" s="68" t="str">
        <f aca="false">IF(OR(E94="",E94&lt;&gt;'Deal Strat'!$C$12,R94=""),"",SUMPRODUCT((E$4:E$303='Deal Strat'!$C$12)*(R$4:R$303&gt;R94))+1+SUMPRODUCT((E$4:E$303='Deal Strat'!$C$12)*(R$4:R$303=R94)*(ROW(R$4:R$303)&lt;ROW(R94))))</f>
        <v/>
      </c>
      <c r="AM94" s="68" t="str">
        <f aca="false">IF(R94="","",RANK(R94,$R$4:$R$303,0)+COUNTIF($R$4:R94,R94)-1)</f>
        <v/>
      </c>
      <c r="AN94" s="26" t="n">
        <f aca="false">IF(OR($A94="",$R94=""),0,IF(Deal_Scope="All Deals",1,IF($E94=Deal_Scope,1,0)))</f>
        <v>0</v>
      </c>
      <c r="AO94" s="56" t="n">
        <f aca="false">IF($AN94=0,0,Px_Par)</f>
        <v>0</v>
      </c>
      <c r="AP94" s="70" t="n">
        <f aca="false">IF($H94="",0,MAX(0,($H94-Set_Date)/30.4375))</f>
        <v>0</v>
      </c>
      <c r="AQ94" s="26" t="n">
        <f aca="false">IF(AND(Ext_Flag="Yes",$AA94="Yes"),Ext_Months,0)</f>
        <v>0</v>
      </c>
      <c r="AR94" s="70" t="n">
        <f aca="false">$AP94+$AQ94</f>
        <v>0</v>
      </c>
      <c r="AS94" s="70" t="n">
        <f aca="false">$AR94/12</f>
        <v>0</v>
      </c>
      <c r="AT94" s="70" t="n">
        <f aca="false">IF($AJ94="",0,MAX(0,$AJ94/12))</f>
        <v>0</v>
      </c>
      <c r="AU94" s="70" t="n">
        <f aca="false">MAX(Amort_Min,Amort_Term-$AH94/12)</f>
        <v>30</v>
      </c>
      <c r="AV94" s="70" t="n">
        <f aca="false">MIN($AS94,Hold_Yrs)</f>
        <v>0</v>
      </c>
      <c r="AW94" s="26" t="n">
        <f aca="false">IF($AN94=0,0,CEILING(MAX($AS94,0.0001),1))</f>
        <v>0</v>
      </c>
      <c r="AX94" s="26" t="n">
        <f aca="false">IF(AND($AN94=1,MAX($AS94,0.0001)&lt;=Hold_Yrs),1,0)</f>
        <v>0</v>
      </c>
      <c r="AY94" s="71" t="n">
        <f aca="false">$R94*$AO94</f>
        <v>0</v>
      </c>
      <c r="AZ94" s="71" t="n">
        <f aca="false">$R94*Acc_Int*$AN94</f>
        <v>0</v>
      </c>
      <c r="BA94" s="71" t="n">
        <f aca="false">$AY94*Acq_Cost</f>
        <v>0</v>
      </c>
      <c r="BB94" s="71" t="n">
        <f aca="false">$AY94+$AZ94+$BA94</f>
        <v>0</v>
      </c>
      <c r="BC94" s="71" t="n">
        <f aca="false">IF(Fin_Flag="Yes",$AY94*Adv_Rate,0)</f>
        <v>0</v>
      </c>
      <c r="BD94" s="71" t="n">
        <f aca="false">$BC94*Fin_UpFee</f>
        <v>0</v>
      </c>
      <c r="BE94" s="71" t="n">
        <f aca="false">$BB94-$BC94+$BD94</f>
        <v>0</v>
      </c>
    </row>
    <row r="95" customFormat="false" ht="14.25" hidden="false" customHeight="false" outlineLevel="0" collapsed="false">
      <c r="A95" s="61"/>
      <c r="B95" s="62"/>
      <c r="C95" s="61"/>
      <c r="D95" s="61"/>
      <c r="E95" s="61"/>
      <c r="F95" s="63"/>
      <c r="G95" s="64"/>
      <c r="H95" s="64"/>
      <c r="I95" s="63"/>
      <c r="J95" s="63"/>
      <c r="K95" s="61"/>
      <c r="L95" s="65"/>
      <c r="M95" s="65"/>
      <c r="N95" s="61"/>
      <c r="O95" s="64"/>
      <c r="P95" s="65"/>
      <c r="Q95" s="65"/>
      <c r="R95" s="66"/>
      <c r="S95" s="65"/>
      <c r="T95" s="65"/>
      <c r="U95" s="67"/>
      <c r="V95" s="65"/>
      <c r="W95" s="65"/>
      <c r="X95" s="63"/>
      <c r="Y95" s="63"/>
      <c r="Z95" s="61"/>
      <c r="AA95" s="61"/>
      <c r="AB95" s="61"/>
      <c r="AC95" s="61"/>
      <c r="AD95" s="61"/>
      <c r="AE95" s="61"/>
      <c r="AF95" s="61"/>
      <c r="AG95" s="61"/>
      <c r="AH95" s="68" t="n">
        <f aca="false">IF(G95="",0,ROUND((Strats!$C$4-G95)/30.4375,1))</f>
        <v>0</v>
      </c>
      <c r="AI95" s="69" t="n">
        <f aca="false">IF(K95="",0,IF(K95="Floating",Strats!$C$10+M95,L95))</f>
        <v>0</v>
      </c>
      <c r="AJ95" s="68" t="str">
        <f aca="false">IF(OR(Z95="",Z95="Full Amortizing"),"",MAX(J95-AH95,0))</f>
        <v/>
      </c>
      <c r="AK95" s="69" t="n">
        <f aca="false">IF(K95="",0,IF(K95="Floating",IF(P95&lt;&gt;"",MIN(IF(Q95&lt;&gt;"",MAX((Strats!$C$10+Strats!$C$11+M95),Q95),(Strats!$C$10+Strats!$C$11+M95)),P95),IF(Q95&lt;&gt;"",MAX((Strats!$C$10+Strats!$C$11+M95),Q95),(Strats!$C$10+Strats!$C$11+M95))),AI95))</f>
        <v>0</v>
      </c>
      <c r="AL95" s="68" t="str">
        <f aca="false">IF(OR(E95="",E95&lt;&gt;'Deal Strat'!$C$12,R95=""),"",SUMPRODUCT((E$4:E$303='Deal Strat'!$C$12)*(R$4:R$303&gt;R95))+1+SUMPRODUCT((E$4:E$303='Deal Strat'!$C$12)*(R$4:R$303=R95)*(ROW(R$4:R$303)&lt;ROW(R95))))</f>
        <v/>
      </c>
      <c r="AM95" s="68" t="str">
        <f aca="false">IF(R95="","",RANK(R95,$R$4:$R$303,0)+COUNTIF($R$4:R95,R95)-1)</f>
        <v/>
      </c>
      <c r="AN95" s="26" t="n">
        <f aca="false">IF(OR($A95="",$R95=""),0,IF(Deal_Scope="All Deals",1,IF($E95=Deal_Scope,1,0)))</f>
        <v>0</v>
      </c>
      <c r="AO95" s="56" t="n">
        <f aca="false">IF($AN95=0,0,Px_Par)</f>
        <v>0</v>
      </c>
      <c r="AP95" s="70" t="n">
        <f aca="false">IF($H95="",0,MAX(0,($H95-Set_Date)/30.4375))</f>
        <v>0</v>
      </c>
      <c r="AQ95" s="26" t="n">
        <f aca="false">IF(AND(Ext_Flag="Yes",$AA95="Yes"),Ext_Months,0)</f>
        <v>0</v>
      </c>
      <c r="AR95" s="70" t="n">
        <f aca="false">$AP95+$AQ95</f>
        <v>0</v>
      </c>
      <c r="AS95" s="70" t="n">
        <f aca="false">$AR95/12</f>
        <v>0</v>
      </c>
      <c r="AT95" s="70" t="n">
        <f aca="false">IF($AJ95="",0,MAX(0,$AJ95/12))</f>
        <v>0</v>
      </c>
      <c r="AU95" s="70" t="n">
        <f aca="false">MAX(Amort_Min,Amort_Term-$AH95/12)</f>
        <v>30</v>
      </c>
      <c r="AV95" s="70" t="n">
        <f aca="false">MIN($AS95,Hold_Yrs)</f>
        <v>0</v>
      </c>
      <c r="AW95" s="26" t="n">
        <f aca="false">IF($AN95=0,0,CEILING(MAX($AS95,0.0001),1))</f>
        <v>0</v>
      </c>
      <c r="AX95" s="26" t="n">
        <f aca="false">IF(AND($AN95=1,MAX($AS95,0.0001)&lt;=Hold_Yrs),1,0)</f>
        <v>0</v>
      </c>
      <c r="AY95" s="71" t="n">
        <f aca="false">$R95*$AO95</f>
        <v>0</v>
      </c>
      <c r="AZ95" s="71" t="n">
        <f aca="false">$R95*Acc_Int*$AN95</f>
        <v>0</v>
      </c>
      <c r="BA95" s="71" t="n">
        <f aca="false">$AY95*Acq_Cost</f>
        <v>0</v>
      </c>
      <c r="BB95" s="71" t="n">
        <f aca="false">$AY95+$AZ95+$BA95</f>
        <v>0</v>
      </c>
      <c r="BC95" s="71" t="n">
        <f aca="false">IF(Fin_Flag="Yes",$AY95*Adv_Rate,0)</f>
        <v>0</v>
      </c>
      <c r="BD95" s="71" t="n">
        <f aca="false">$BC95*Fin_UpFee</f>
        <v>0</v>
      </c>
      <c r="BE95" s="71" t="n">
        <f aca="false">$BB95-$BC95+$BD95</f>
        <v>0</v>
      </c>
    </row>
    <row r="96" customFormat="false" ht="14.25" hidden="false" customHeight="false" outlineLevel="0" collapsed="false">
      <c r="A96" s="61"/>
      <c r="B96" s="62"/>
      <c r="C96" s="61"/>
      <c r="D96" s="61"/>
      <c r="E96" s="61"/>
      <c r="F96" s="63"/>
      <c r="G96" s="64"/>
      <c r="H96" s="64"/>
      <c r="I96" s="63"/>
      <c r="J96" s="63"/>
      <c r="K96" s="61"/>
      <c r="L96" s="65"/>
      <c r="M96" s="65"/>
      <c r="N96" s="61"/>
      <c r="O96" s="64"/>
      <c r="P96" s="65"/>
      <c r="Q96" s="65"/>
      <c r="R96" s="66"/>
      <c r="S96" s="65"/>
      <c r="T96" s="65"/>
      <c r="U96" s="67"/>
      <c r="V96" s="65"/>
      <c r="W96" s="65"/>
      <c r="X96" s="63"/>
      <c r="Y96" s="63"/>
      <c r="Z96" s="61"/>
      <c r="AA96" s="61"/>
      <c r="AB96" s="61"/>
      <c r="AC96" s="61"/>
      <c r="AD96" s="61"/>
      <c r="AE96" s="61"/>
      <c r="AF96" s="61"/>
      <c r="AG96" s="61"/>
      <c r="AH96" s="68" t="n">
        <f aca="false">IF(G96="",0,ROUND((Strats!$C$4-G96)/30.4375,1))</f>
        <v>0</v>
      </c>
      <c r="AI96" s="69" t="n">
        <f aca="false">IF(K96="",0,IF(K96="Floating",Strats!$C$10+M96,L96))</f>
        <v>0</v>
      </c>
      <c r="AJ96" s="68" t="str">
        <f aca="false">IF(OR(Z96="",Z96="Full Amortizing"),"",MAX(J96-AH96,0))</f>
        <v/>
      </c>
      <c r="AK96" s="69" t="n">
        <f aca="false">IF(K96="",0,IF(K96="Floating",IF(P96&lt;&gt;"",MIN(IF(Q96&lt;&gt;"",MAX((Strats!$C$10+Strats!$C$11+M96),Q96),(Strats!$C$10+Strats!$C$11+M96)),P96),IF(Q96&lt;&gt;"",MAX((Strats!$C$10+Strats!$C$11+M96),Q96),(Strats!$C$10+Strats!$C$11+M96))),AI96))</f>
        <v>0</v>
      </c>
      <c r="AL96" s="68" t="str">
        <f aca="false">IF(OR(E96="",E96&lt;&gt;'Deal Strat'!$C$12,R96=""),"",SUMPRODUCT((E$4:E$303='Deal Strat'!$C$12)*(R$4:R$303&gt;R96))+1+SUMPRODUCT((E$4:E$303='Deal Strat'!$C$12)*(R$4:R$303=R96)*(ROW(R$4:R$303)&lt;ROW(R96))))</f>
        <v/>
      </c>
      <c r="AM96" s="68" t="str">
        <f aca="false">IF(R96="","",RANK(R96,$R$4:$R$303,0)+COUNTIF($R$4:R96,R96)-1)</f>
        <v/>
      </c>
      <c r="AN96" s="26" t="n">
        <f aca="false">IF(OR($A96="",$R96=""),0,IF(Deal_Scope="All Deals",1,IF($E96=Deal_Scope,1,0)))</f>
        <v>0</v>
      </c>
      <c r="AO96" s="56" t="n">
        <f aca="false">IF($AN96=0,0,Px_Par)</f>
        <v>0</v>
      </c>
      <c r="AP96" s="70" t="n">
        <f aca="false">IF($H96="",0,MAX(0,($H96-Set_Date)/30.4375))</f>
        <v>0</v>
      </c>
      <c r="AQ96" s="26" t="n">
        <f aca="false">IF(AND(Ext_Flag="Yes",$AA96="Yes"),Ext_Months,0)</f>
        <v>0</v>
      </c>
      <c r="AR96" s="70" t="n">
        <f aca="false">$AP96+$AQ96</f>
        <v>0</v>
      </c>
      <c r="AS96" s="70" t="n">
        <f aca="false">$AR96/12</f>
        <v>0</v>
      </c>
      <c r="AT96" s="70" t="n">
        <f aca="false">IF($AJ96="",0,MAX(0,$AJ96/12))</f>
        <v>0</v>
      </c>
      <c r="AU96" s="70" t="n">
        <f aca="false">MAX(Amort_Min,Amort_Term-$AH96/12)</f>
        <v>30</v>
      </c>
      <c r="AV96" s="70" t="n">
        <f aca="false">MIN($AS96,Hold_Yrs)</f>
        <v>0</v>
      </c>
      <c r="AW96" s="26" t="n">
        <f aca="false">IF($AN96=0,0,CEILING(MAX($AS96,0.0001),1))</f>
        <v>0</v>
      </c>
      <c r="AX96" s="26" t="n">
        <f aca="false">IF(AND($AN96=1,MAX($AS96,0.0001)&lt;=Hold_Yrs),1,0)</f>
        <v>0</v>
      </c>
      <c r="AY96" s="71" t="n">
        <f aca="false">$R96*$AO96</f>
        <v>0</v>
      </c>
      <c r="AZ96" s="71" t="n">
        <f aca="false">$R96*Acc_Int*$AN96</f>
        <v>0</v>
      </c>
      <c r="BA96" s="71" t="n">
        <f aca="false">$AY96*Acq_Cost</f>
        <v>0</v>
      </c>
      <c r="BB96" s="71" t="n">
        <f aca="false">$AY96+$AZ96+$BA96</f>
        <v>0</v>
      </c>
      <c r="BC96" s="71" t="n">
        <f aca="false">IF(Fin_Flag="Yes",$AY96*Adv_Rate,0)</f>
        <v>0</v>
      </c>
      <c r="BD96" s="71" t="n">
        <f aca="false">$BC96*Fin_UpFee</f>
        <v>0</v>
      </c>
      <c r="BE96" s="71" t="n">
        <f aca="false">$BB96-$BC96+$BD96</f>
        <v>0</v>
      </c>
    </row>
    <row r="97" customFormat="false" ht="14.25" hidden="false" customHeight="false" outlineLevel="0" collapsed="false">
      <c r="A97" s="61"/>
      <c r="B97" s="62"/>
      <c r="C97" s="61"/>
      <c r="D97" s="61"/>
      <c r="E97" s="61"/>
      <c r="F97" s="63"/>
      <c r="G97" s="64"/>
      <c r="H97" s="64"/>
      <c r="I97" s="63"/>
      <c r="J97" s="63"/>
      <c r="K97" s="61"/>
      <c r="L97" s="65"/>
      <c r="M97" s="65"/>
      <c r="N97" s="61"/>
      <c r="O97" s="64"/>
      <c r="P97" s="65"/>
      <c r="Q97" s="65"/>
      <c r="R97" s="66"/>
      <c r="S97" s="65"/>
      <c r="T97" s="65"/>
      <c r="U97" s="67"/>
      <c r="V97" s="65"/>
      <c r="W97" s="65"/>
      <c r="X97" s="63"/>
      <c r="Y97" s="63"/>
      <c r="Z97" s="61"/>
      <c r="AA97" s="61"/>
      <c r="AB97" s="61"/>
      <c r="AC97" s="61"/>
      <c r="AD97" s="61"/>
      <c r="AE97" s="61"/>
      <c r="AF97" s="61"/>
      <c r="AG97" s="61"/>
      <c r="AH97" s="68" t="n">
        <f aca="false">IF(G97="",0,ROUND((Strats!$C$4-G97)/30.4375,1))</f>
        <v>0</v>
      </c>
      <c r="AI97" s="69" t="n">
        <f aca="false">IF(K97="",0,IF(K97="Floating",Strats!$C$10+M97,L97))</f>
        <v>0</v>
      </c>
      <c r="AJ97" s="68" t="str">
        <f aca="false">IF(OR(Z97="",Z97="Full Amortizing"),"",MAX(J97-AH97,0))</f>
        <v/>
      </c>
      <c r="AK97" s="69" t="n">
        <f aca="false">IF(K97="",0,IF(K97="Floating",IF(P97&lt;&gt;"",MIN(IF(Q97&lt;&gt;"",MAX((Strats!$C$10+Strats!$C$11+M97),Q97),(Strats!$C$10+Strats!$C$11+M97)),P97),IF(Q97&lt;&gt;"",MAX((Strats!$C$10+Strats!$C$11+M97),Q97),(Strats!$C$10+Strats!$C$11+M97))),AI97))</f>
        <v>0</v>
      </c>
      <c r="AL97" s="68" t="str">
        <f aca="false">IF(OR(E97="",E97&lt;&gt;'Deal Strat'!$C$12,R97=""),"",SUMPRODUCT((E$4:E$303='Deal Strat'!$C$12)*(R$4:R$303&gt;R97))+1+SUMPRODUCT((E$4:E$303='Deal Strat'!$C$12)*(R$4:R$303=R97)*(ROW(R$4:R$303)&lt;ROW(R97))))</f>
        <v/>
      </c>
      <c r="AM97" s="68" t="str">
        <f aca="false">IF(R97="","",RANK(R97,$R$4:$R$303,0)+COUNTIF($R$4:R97,R97)-1)</f>
        <v/>
      </c>
      <c r="AN97" s="26" t="n">
        <f aca="false">IF(OR($A97="",$R97=""),0,IF(Deal_Scope="All Deals",1,IF($E97=Deal_Scope,1,0)))</f>
        <v>0</v>
      </c>
      <c r="AO97" s="56" t="n">
        <f aca="false">IF($AN97=0,0,Px_Par)</f>
        <v>0</v>
      </c>
      <c r="AP97" s="70" t="n">
        <f aca="false">IF($H97="",0,MAX(0,($H97-Set_Date)/30.4375))</f>
        <v>0</v>
      </c>
      <c r="AQ97" s="26" t="n">
        <f aca="false">IF(AND(Ext_Flag="Yes",$AA97="Yes"),Ext_Months,0)</f>
        <v>0</v>
      </c>
      <c r="AR97" s="70" t="n">
        <f aca="false">$AP97+$AQ97</f>
        <v>0</v>
      </c>
      <c r="AS97" s="70" t="n">
        <f aca="false">$AR97/12</f>
        <v>0</v>
      </c>
      <c r="AT97" s="70" t="n">
        <f aca="false">IF($AJ97="",0,MAX(0,$AJ97/12))</f>
        <v>0</v>
      </c>
      <c r="AU97" s="70" t="n">
        <f aca="false">MAX(Amort_Min,Amort_Term-$AH97/12)</f>
        <v>30</v>
      </c>
      <c r="AV97" s="70" t="n">
        <f aca="false">MIN($AS97,Hold_Yrs)</f>
        <v>0</v>
      </c>
      <c r="AW97" s="26" t="n">
        <f aca="false">IF($AN97=0,0,CEILING(MAX($AS97,0.0001),1))</f>
        <v>0</v>
      </c>
      <c r="AX97" s="26" t="n">
        <f aca="false">IF(AND($AN97=1,MAX($AS97,0.0001)&lt;=Hold_Yrs),1,0)</f>
        <v>0</v>
      </c>
      <c r="AY97" s="71" t="n">
        <f aca="false">$R97*$AO97</f>
        <v>0</v>
      </c>
      <c r="AZ97" s="71" t="n">
        <f aca="false">$R97*Acc_Int*$AN97</f>
        <v>0</v>
      </c>
      <c r="BA97" s="71" t="n">
        <f aca="false">$AY97*Acq_Cost</f>
        <v>0</v>
      </c>
      <c r="BB97" s="71" t="n">
        <f aca="false">$AY97+$AZ97+$BA97</f>
        <v>0</v>
      </c>
      <c r="BC97" s="71" t="n">
        <f aca="false">IF(Fin_Flag="Yes",$AY97*Adv_Rate,0)</f>
        <v>0</v>
      </c>
      <c r="BD97" s="71" t="n">
        <f aca="false">$BC97*Fin_UpFee</f>
        <v>0</v>
      </c>
      <c r="BE97" s="71" t="n">
        <f aca="false">$BB97-$BC97+$BD97</f>
        <v>0</v>
      </c>
    </row>
    <row r="98" customFormat="false" ht="14.25" hidden="false" customHeight="false" outlineLevel="0" collapsed="false">
      <c r="A98" s="61"/>
      <c r="B98" s="62"/>
      <c r="C98" s="61"/>
      <c r="D98" s="61"/>
      <c r="E98" s="61"/>
      <c r="F98" s="63"/>
      <c r="G98" s="64"/>
      <c r="H98" s="64"/>
      <c r="I98" s="63"/>
      <c r="J98" s="63"/>
      <c r="K98" s="61"/>
      <c r="L98" s="65"/>
      <c r="M98" s="65"/>
      <c r="N98" s="61"/>
      <c r="O98" s="64"/>
      <c r="P98" s="65"/>
      <c r="Q98" s="65"/>
      <c r="R98" s="66"/>
      <c r="S98" s="65"/>
      <c r="T98" s="65"/>
      <c r="U98" s="67"/>
      <c r="V98" s="65"/>
      <c r="W98" s="65"/>
      <c r="X98" s="63"/>
      <c r="Y98" s="63"/>
      <c r="Z98" s="61"/>
      <c r="AA98" s="61"/>
      <c r="AB98" s="61"/>
      <c r="AC98" s="61"/>
      <c r="AD98" s="61"/>
      <c r="AE98" s="61"/>
      <c r="AF98" s="61"/>
      <c r="AG98" s="61"/>
      <c r="AH98" s="68" t="n">
        <f aca="false">IF(G98="",0,ROUND((Strats!$C$4-G98)/30.4375,1))</f>
        <v>0</v>
      </c>
      <c r="AI98" s="69" t="n">
        <f aca="false">IF(K98="",0,IF(K98="Floating",Strats!$C$10+M98,L98))</f>
        <v>0</v>
      </c>
      <c r="AJ98" s="68" t="str">
        <f aca="false">IF(OR(Z98="",Z98="Full Amortizing"),"",MAX(J98-AH98,0))</f>
        <v/>
      </c>
      <c r="AK98" s="69" t="n">
        <f aca="false">IF(K98="",0,IF(K98="Floating",IF(P98&lt;&gt;"",MIN(IF(Q98&lt;&gt;"",MAX((Strats!$C$10+Strats!$C$11+M98),Q98),(Strats!$C$10+Strats!$C$11+M98)),P98),IF(Q98&lt;&gt;"",MAX((Strats!$C$10+Strats!$C$11+M98),Q98),(Strats!$C$10+Strats!$C$11+M98))),AI98))</f>
        <v>0</v>
      </c>
      <c r="AL98" s="68" t="str">
        <f aca="false">IF(OR(E98="",E98&lt;&gt;'Deal Strat'!$C$12,R98=""),"",SUMPRODUCT((E$4:E$303='Deal Strat'!$C$12)*(R$4:R$303&gt;R98))+1+SUMPRODUCT((E$4:E$303='Deal Strat'!$C$12)*(R$4:R$303=R98)*(ROW(R$4:R$303)&lt;ROW(R98))))</f>
        <v/>
      </c>
      <c r="AM98" s="68" t="str">
        <f aca="false">IF(R98="","",RANK(R98,$R$4:$R$303,0)+COUNTIF($R$4:R98,R98)-1)</f>
        <v/>
      </c>
      <c r="AN98" s="26" t="n">
        <f aca="false">IF(OR($A98="",$R98=""),0,IF(Deal_Scope="All Deals",1,IF($E98=Deal_Scope,1,0)))</f>
        <v>0</v>
      </c>
      <c r="AO98" s="56" t="n">
        <f aca="false">IF($AN98=0,0,Px_Par)</f>
        <v>0</v>
      </c>
      <c r="AP98" s="70" t="n">
        <f aca="false">IF($H98="",0,MAX(0,($H98-Set_Date)/30.4375))</f>
        <v>0</v>
      </c>
      <c r="AQ98" s="26" t="n">
        <f aca="false">IF(AND(Ext_Flag="Yes",$AA98="Yes"),Ext_Months,0)</f>
        <v>0</v>
      </c>
      <c r="AR98" s="70" t="n">
        <f aca="false">$AP98+$AQ98</f>
        <v>0</v>
      </c>
      <c r="AS98" s="70" t="n">
        <f aca="false">$AR98/12</f>
        <v>0</v>
      </c>
      <c r="AT98" s="70" t="n">
        <f aca="false">IF($AJ98="",0,MAX(0,$AJ98/12))</f>
        <v>0</v>
      </c>
      <c r="AU98" s="70" t="n">
        <f aca="false">MAX(Amort_Min,Amort_Term-$AH98/12)</f>
        <v>30</v>
      </c>
      <c r="AV98" s="70" t="n">
        <f aca="false">MIN($AS98,Hold_Yrs)</f>
        <v>0</v>
      </c>
      <c r="AW98" s="26" t="n">
        <f aca="false">IF($AN98=0,0,CEILING(MAX($AS98,0.0001),1))</f>
        <v>0</v>
      </c>
      <c r="AX98" s="26" t="n">
        <f aca="false">IF(AND($AN98=1,MAX($AS98,0.0001)&lt;=Hold_Yrs),1,0)</f>
        <v>0</v>
      </c>
      <c r="AY98" s="71" t="n">
        <f aca="false">$R98*$AO98</f>
        <v>0</v>
      </c>
      <c r="AZ98" s="71" t="n">
        <f aca="false">$R98*Acc_Int*$AN98</f>
        <v>0</v>
      </c>
      <c r="BA98" s="71" t="n">
        <f aca="false">$AY98*Acq_Cost</f>
        <v>0</v>
      </c>
      <c r="BB98" s="71" t="n">
        <f aca="false">$AY98+$AZ98+$BA98</f>
        <v>0</v>
      </c>
      <c r="BC98" s="71" t="n">
        <f aca="false">IF(Fin_Flag="Yes",$AY98*Adv_Rate,0)</f>
        <v>0</v>
      </c>
      <c r="BD98" s="71" t="n">
        <f aca="false">$BC98*Fin_UpFee</f>
        <v>0</v>
      </c>
      <c r="BE98" s="71" t="n">
        <f aca="false">$BB98-$BC98+$BD98</f>
        <v>0</v>
      </c>
    </row>
    <row r="99" customFormat="false" ht="14.25" hidden="false" customHeight="false" outlineLevel="0" collapsed="false">
      <c r="A99" s="61"/>
      <c r="B99" s="62"/>
      <c r="C99" s="61"/>
      <c r="D99" s="61"/>
      <c r="E99" s="61"/>
      <c r="F99" s="63"/>
      <c r="G99" s="64"/>
      <c r="H99" s="64"/>
      <c r="I99" s="63"/>
      <c r="J99" s="63"/>
      <c r="K99" s="61"/>
      <c r="L99" s="65"/>
      <c r="M99" s="65"/>
      <c r="N99" s="61"/>
      <c r="O99" s="64"/>
      <c r="P99" s="65"/>
      <c r="Q99" s="65"/>
      <c r="R99" s="66"/>
      <c r="S99" s="65"/>
      <c r="T99" s="65"/>
      <c r="U99" s="67"/>
      <c r="V99" s="65"/>
      <c r="W99" s="65"/>
      <c r="X99" s="63"/>
      <c r="Y99" s="63"/>
      <c r="Z99" s="61"/>
      <c r="AA99" s="61"/>
      <c r="AB99" s="61"/>
      <c r="AC99" s="61"/>
      <c r="AD99" s="61"/>
      <c r="AE99" s="61"/>
      <c r="AF99" s="61"/>
      <c r="AG99" s="61"/>
      <c r="AH99" s="68" t="n">
        <f aca="false">IF(G99="",0,ROUND((Strats!$C$4-G99)/30.4375,1))</f>
        <v>0</v>
      </c>
      <c r="AI99" s="69" t="n">
        <f aca="false">IF(K99="",0,IF(K99="Floating",Strats!$C$10+M99,L99))</f>
        <v>0</v>
      </c>
      <c r="AJ99" s="68" t="str">
        <f aca="false">IF(OR(Z99="",Z99="Full Amortizing"),"",MAX(J99-AH99,0))</f>
        <v/>
      </c>
      <c r="AK99" s="69" t="n">
        <f aca="false">IF(K99="",0,IF(K99="Floating",IF(P99&lt;&gt;"",MIN(IF(Q99&lt;&gt;"",MAX((Strats!$C$10+Strats!$C$11+M99),Q99),(Strats!$C$10+Strats!$C$11+M99)),P99),IF(Q99&lt;&gt;"",MAX((Strats!$C$10+Strats!$C$11+M99),Q99),(Strats!$C$10+Strats!$C$11+M99))),AI99))</f>
        <v>0</v>
      </c>
      <c r="AL99" s="68" t="str">
        <f aca="false">IF(OR(E99="",E99&lt;&gt;'Deal Strat'!$C$12,R99=""),"",SUMPRODUCT((E$4:E$303='Deal Strat'!$C$12)*(R$4:R$303&gt;R99))+1+SUMPRODUCT((E$4:E$303='Deal Strat'!$C$12)*(R$4:R$303=R99)*(ROW(R$4:R$303)&lt;ROW(R99))))</f>
        <v/>
      </c>
      <c r="AM99" s="68" t="str">
        <f aca="false">IF(R99="","",RANK(R99,$R$4:$R$303,0)+COUNTIF($R$4:R99,R99)-1)</f>
        <v/>
      </c>
      <c r="AN99" s="26" t="n">
        <f aca="false">IF(OR($A99="",$R99=""),0,IF(Deal_Scope="All Deals",1,IF($E99=Deal_Scope,1,0)))</f>
        <v>0</v>
      </c>
      <c r="AO99" s="56" t="n">
        <f aca="false">IF($AN99=0,0,Px_Par)</f>
        <v>0</v>
      </c>
      <c r="AP99" s="70" t="n">
        <f aca="false">IF($H99="",0,MAX(0,($H99-Set_Date)/30.4375))</f>
        <v>0</v>
      </c>
      <c r="AQ99" s="26" t="n">
        <f aca="false">IF(AND(Ext_Flag="Yes",$AA99="Yes"),Ext_Months,0)</f>
        <v>0</v>
      </c>
      <c r="AR99" s="70" t="n">
        <f aca="false">$AP99+$AQ99</f>
        <v>0</v>
      </c>
      <c r="AS99" s="70" t="n">
        <f aca="false">$AR99/12</f>
        <v>0</v>
      </c>
      <c r="AT99" s="70" t="n">
        <f aca="false">IF($AJ99="",0,MAX(0,$AJ99/12))</f>
        <v>0</v>
      </c>
      <c r="AU99" s="70" t="n">
        <f aca="false">MAX(Amort_Min,Amort_Term-$AH99/12)</f>
        <v>30</v>
      </c>
      <c r="AV99" s="70" t="n">
        <f aca="false">MIN($AS99,Hold_Yrs)</f>
        <v>0</v>
      </c>
      <c r="AW99" s="26" t="n">
        <f aca="false">IF($AN99=0,0,CEILING(MAX($AS99,0.0001),1))</f>
        <v>0</v>
      </c>
      <c r="AX99" s="26" t="n">
        <f aca="false">IF(AND($AN99=1,MAX($AS99,0.0001)&lt;=Hold_Yrs),1,0)</f>
        <v>0</v>
      </c>
      <c r="AY99" s="71" t="n">
        <f aca="false">$R99*$AO99</f>
        <v>0</v>
      </c>
      <c r="AZ99" s="71" t="n">
        <f aca="false">$R99*Acc_Int*$AN99</f>
        <v>0</v>
      </c>
      <c r="BA99" s="71" t="n">
        <f aca="false">$AY99*Acq_Cost</f>
        <v>0</v>
      </c>
      <c r="BB99" s="71" t="n">
        <f aca="false">$AY99+$AZ99+$BA99</f>
        <v>0</v>
      </c>
      <c r="BC99" s="71" t="n">
        <f aca="false">IF(Fin_Flag="Yes",$AY99*Adv_Rate,0)</f>
        <v>0</v>
      </c>
      <c r="BD99" s="71" t="n">
        <f aca="false">$BC99*Fin_UpFee</f>
        <v>0</v>
      </c>
      <c r="BE99" s="71" t="n">
        <f aca="false">$BB99-$BC99+$BD99</f>
        <v>0</v>
      </c>
    </row>
    <row r="100" customFormat="false" ht="14.25" hidden="false" customHeight="false" outlineLevel="0" collapsed="false">
      <c r="A100" s="61"/>
      <c r="B100" s="62"/>
      <c r="C100" s="61"/>
      <c r="D100" s="61"/>
      <c r="E100" s="61"/>
      <c r="F100" s="63"/>
      <c r="G100" s="64"/>
      <c r="H100" s="64"/>
      <c r="I100" s="63"/>
      <c r="J100" s="63"/>
      <c r="K100" s="61"/>
      <c r="L100" s="65"/>
      <c r="M100" s="65"/>
      <c r="N100" s="61"/>
      <c r="O100" s="64"/>
      <c r="P100" s="65"/>
      <c r="Q100" s="65"/>
      <c r="R100" s="66"/>
      <c r="S100" s="65"/>
      <c r="T100" s="65"/>
      <c r="U100" s="67"/>
      <c r="V100" s="65"/>
      <c r="W100" s="65"/>
      <c r="X100" s="63"/>
      <c r="Y100" s="63"/>
      <c r="Z100" s="61"/>
      <c r="AA100" s="61"/>
      <c r="AB100" s="61"/>
      <c r="AC100" s="61"/>
      <c r="AD100" s="61"/>
      <c r="AE100" s="61"/>
      <c r="AF100" s="61"/>
      <c r="AG100" s="61"/>
      <c r="AH100" s="68" t="n">
        <f aca="false">IF(G100="",0,ROUND((Strats!$C$4-G100)/30.4375,1))</f>
        <v>0</v>
      </c>
      <c r="AI100" s="69" t="n">
        <f aca="false">IF(K100="",0,IF(K100="Floating",Strats!$C$10+M100,L100))</f>
        <v>0</v>
      </c>
      <c r="AJ100" s="68" t="str">
        <f aca="false">IF(OR(Z100="",Z100="Full Amortizing"),"",MAX(J100-AH100,0))</f>
        <v/>
      </c>
      <c r="AK100" s="69" t="n">
        <f aca="false">IF(K100="",0,IF(K100="Floating",IF(P100&lt;&gt;"",MIN(IF(Q100&lt;&gt;"",MAX((Strats!$C$10+Strats!$C$11+M100),Q100),(Strats!$C$10+Strats!$C$11+M100)),P100),IF(Q100&lt;&gt;"",MAX((Strats!$C$10+Strats!$C$11+M100),Q100),(Strats!$C$10+Strats!$C$11+M100))),AI100))</f>
        <v>0</v>
      </c>
      <c r="AL100" s="68" t="str">
        <f aca="false">IF(OR(E100="",E100&lt;&gt;'Deal Strat'!$C$12,R100=""),"",SUMPRODUCT((E$4:E$303='Deal Strat'!$C$12)*(R$4:R$303&gt;R100))+1+SUMPRODUCT((E$4:E$303='Deal Strat'!$C$12)*(R$4:R$303=R100)*(ROW(R$4:R$303)&lt;ROW(R100))))</f>
        <v/>
      </c>
      <c r="AM100" s="68" t="str">
        <f aca="false">IF(R100="","",RANK(R100,$R$4:$R$303,0)+COUNTIF($R$4:R100,R100)-1)</f>
        <v/>
      </c>
      <c r="AN100" s="26" t="n">
        <f aca="false">IF(OR($A100="",$R100=""),0,IF(Deal_Scope="All Deals",1,IF($E100=Deal_Scope,1,0)))</f>
        <v>0</v>
      </c>
      <c r="AO100" s="56" t="n">
        <f aca="false">IF($AN100=0,0,Px_Par)</f>
        <v>0</v>
      </c>
      <c r="AP100" s="70" t="n">
        <f aca="false">IF($H100="",0,MAX(0,($H100-Set_Date)/30.4375))</f>
        <v>0</v>
      </c>
      <c r="AQ100" s="26" t="n">
        <f aca="false">IF(AND(Ext_Flag="Yes",$AA100="Yes"),Ext_Months,0)</f>
        <v>0</v>
      </c>
      <c r="AR100" s="70" t="n">
        <f aca="false">$AP100+$AQ100</f>
        <v>0</v>
      </c>
      <c r="AS100" s="70" t="n">
        <f aca="false">$AR100/12</f>
        <v>0</v>
      </c>
      <c r="AT100" s="70" t="n">
        <f aca="false">IF($AJ100="",0,MAX(0,$AJ100/12))</f>
        <v>0</v>
      </c>
      <c r="AU100" s="70" t="n">
        <f aca="false">MAX(Amort_Min,Amort_Term-$AH100/12)</f>
        <v>30</v>
      </c>
      <c r="AV100" s="70" t="n">
        <f aca="false">MIN($AS100,Hold_Yrs)</f>
        <v>0</v>
      </c>
      <c r="AW100" s="26" t="n">
        <f aca="false">IF($AN100=0,0,CEILING(MAX($AS100,0.0001),1))</f>
        <v>0</v>
      </c>
      <c r="AX100" s="26" t="n">
        <f aca="false">IF(AND($AN100=1,MAX($AS100,0.0001)&lt;=Hold_Yrs),1,0)</f>
        <v>0</v>
      </c>
      <c r="AY100" s="71" t="n">
        <f aca="false">$R100*$AO100</f>
        <v>0</v>
      </c>
      <c r="AZ100" s="71" t="n">
        <f aca="false">$R100*Acc_Int*$AN100</f>
        <v>0</v>
      </c>
      <c r="BA100" s="71" t="n">
        <f aca="false">$AY100*Acq_Cost</f>
        <v>0</v>
      </c>
      <c r="BB100" s="71" t="n">
        <f aca="false">$AY100+$AZ100+$BA100</f>
        <v>0</v>
      </c>
      <c r="BC100" s="71" t="n">
        <f aca="false">IF(Fin_Flag="Yes",$AY100*Adv_Rate,0)</f>
        <v>0</v>
      </c>
      <c r="BD100" s="71" t="n">
        <f aca="false">$BC100*Fin_UpFee</f>
        <v>0</v>
      </c>
      <c r="BE100" s="71" t="n">
        <f aca="false">$BB100-$BC100+$BD100</f>
        <v>0</v>
      </c>
    </row>
    <row r="101" customFormat="false" ht="14.25" hidden="false" customHeight="false" outlineLevel="0" collapsed="false">
      <c r="A101" s="61"/>
      <c r="B101" s="62"/>
      <c r="C101" s="61"/>
      <c r="D101" s="61"/>
      <c r="E101" s="61"/>
      <c r="F101" s="63"/>
      <c r="G101" s="64"/>
      <c r="H101" s="64"/>
      <c r="I101" s="63"/>
      <c r="J101" s="63"/>
      <c r="K101" s="61"/>
      <c r="L101" s="65"/>
      <c r="M101" s="65"/>
      <c r="N101" s="61"/>
      <c r="O101" s="64"/>
      <c r="P101" s="65"/>
      <c r="Q101" s="65"/>
      <c r="R101" s="66"/>
      <c r="S101" s="65"/>
      <c r="T101" s="65"/>
      <c r="U101" s="67"/>
      <c r="V101" s="65"/>
      <c r="W101" s="65"/>
      <c r="X101" s="63"/>
      <c r="Y101" s="63"/>
      <c r="Z101" s="61"/>
      <c r="AA101" s="61"/>
      <c r="AB101" s="61"/>
      <c r="AC101" s="61"/>
      <c r="AD101" s="61"/>
      <c r="AE101" s="61"/>
      <c r="AF101" s="61"/>
      <c r="AG101" s="61"/>
      <c r="AH101" s="68" t="n">
        <f aca="false">IF(G101="",0,ROUND((Strats!$C$4-G101)/30.4375,1))</f>
        <v>0</v>
      </c>
      <c r="AI101" s="69" t="n">
        <f aca="false">IF(K101="",0,IF(K101="Floating",Strats!$C$10+M101,L101))</f>
        <v>0</v>
      </c>
      <c r="AJ101" s="68" t="str">
        <f aca="false">IF(OR(Z101="",Z101="Full Amortizing"),"",MAX(J101-AH101,0))</f>
        <v/>
      </c>
      <c r="AK101" s="69" t="n">
        <f aca="false">IF(K101="",0,IF(K101="Floating",IF(P101&lt;&gt;"",MIN(IF(Q101&lt;&gt;"",MAX((Strats!$C$10+Strats!$C$11+M101),Q101),(Strats!$C$10+Strats!$C$11+M101)),P101),IF(Q101&lt;&gt;"",MAX((Strats!$C$10+Strats!$C$11+M101),Q101),(Strats!$C$10+Strats!$C$11+M101))),AI101))</f>
        <v>0</v>
      </c>
      <c r="AL101" s="68" t="str">
        <f aca="false">IF(OR(E101="",E101&lt;&gt;'Deal Strat'!$C$12,R101=""),"",SUMPRODUCT((E$4:E$303='Deal Strat'!$C$12)*(R$4:R$303&gt;R101))+1+SUMPRODUCT((E$4:E$303='Deal Strat'!$C$12)*(R$4:R$303=R101)*(ROW(R$4:R$303)&lt;ROW(R101))))</f>
        <v/>
      </c>
      <c r="AM101" s="68" t="str">
        <f aca="false">IF(R101="","",RANK(R101,$R$4:$R$303,0)+COUNTIF($R$4:R101,R101)-1)</f>
        <v/>
      </c>
      <c r="AN101" s="26" t="n">
        <f aca="false">IF(OR($A101="",$R101=""),0,IF(Deal_Scope="All Deals",1,IF($E101=Deal_Scope,1,0)))</f>
        <v>0</v>
      </c>
      <c r="AO101" s="56" t="n">
        <f aca="false">IF($AN101=0,0,Px_Par)</f>
        <v>0</v>
      </c>
      <c r="AP101" s="70" t="n">
        <f aca="false">IF($H101="",0,MAX(0,($H101-Set_Date)/30.4375))</f>
        <v>0</v>
      </c>
      <c r="AQ101" s="26" t="n">
        <f aca="false">IF(AND(Ext_Flag="Yes",$AA101="Yes"),Ext_Months,0)</f>
        <v>0</v>
      </c>
      <c r="AR101" s="70" t="n">
        <f aca="false">$AP101+$AQ101</f>
        <v>0</v>
      </c>
      <c r="AS101" s="70" t="n">
        <f aca="false">$AR101/12</f>
        <v>0</v>
      </c>
      <c r="AT101" s="70" t="n">
        <f aca="false">IF($AJ101="",0,MAX(0,$AJ101/12))</f>
        <v>0</v>
      </c>
      <c r="AU101" s="70" t="n">
        <f aca="false">MAX(Amort_Min,Amort_Term-$AH101/12)</f>
        <v>30</v>
      </c>
      <c r="AV101" s="70" t="n">
        <f aca="false">MIN($AS101,Hold_Yrs)</f>
        <v>0</v>
      </c>
      <c r="AW101" s="26" t="n">
        <f aca="false">IF($AN101=0,0,CEILING(MAX($AS101,0.0001),1))</f>
        <v>0</v>
      </c>
      <c r="AX101" s="26" t="n">
        <f aca="false">IF(AND($AN101=1,MAX($AS101,0.0001)&lt;=Hold_Yrs),1,0)</f>
        <v>0</v>
      </c>
      <c r="AY101" s="71" t="n">
        <f aca="false">$R101*$AO101</f>
        <v>0</v>
      </c>
      <c r="AZ101" s="71" t="n">
        <f aca="false">$R101*Acc_Int*$AN101</f>
        <v>0</v>
      </c>
      <c r="BA101" s="71" t="n">
        <f aca="false">$AY101*Acq_Cost</f>
        <v>0</v>
      </c>
      <c r="BB101" s="71" t="n">
        <f aca="false">$AY101+$AZ101+$BA101</f>
        <v>0</v>
      </c>
      <c r="BC101" s="71" t="n">
        <f aca="false">IF(Fin_Flag="Yes",$AY101*Adv_Rate,0)</f>
        <v>0</v>
      </c>
      <c r="BD101" s="71" t="n">
        <f aca="false">$BC101*Fin_UpFee</f>
        <v>0</v>
      </c>
      <c r="BE101" s="71" t="n">
        <f aca="false">$BB101-$BC101+$BD101</f>
        <v>0</v>
      </c>
    </row>
    <row r="102" customFormat="false" ht="14.25" hidden="false" customHeight="false" outlineLevel="0" collapsed="false">
      <c r="A102" s="61"/>
      <c r="B102" s="62"/>
      <c r="C102" s="61"/>
      <c r="D102" s="61"/>
      <c r="E102" s="61"/>
      <c r="F102" s="63"/>
      <c r="G102" s="64"/>
      <c r="H102" s="64"/>
      <c r="I102" s="63"/>
      <c r="J102" s="63"/>
      <c r="K102" s="61"/>
      <c r="L102" s="65"/>
      <c r="M102" s="65"/>
      <c r="N102" s="61"/>
      <c r="O102" s="64"/>
      <c r="P102" s="65"/>
      <c r="Q102" s="65"/>
      <c r="R102" s="66"/>
      <c r="S102" s="65"/>
      <c r="T102" s="65"/>
      <c r="U102" s="67"/>
      <c r="V102" s="65"/>
      <c r="W102" s="65"/>
      <c r="X102" s="63"/>
      <c r="Y102" s="63"/>
      <c r="Z102" s="61"/>
      <c r="AA102" s="61"/>
      <c r="AB102" s="61"/>
      <c r="AC102" s="61"/>
      <c r="AD102" s="61"/>
      <c r="AE102" s="61"/>
      <c r="AF102" s="61"/>
      <c r="AG102" s="61"/>
      <c r="AH102" s="68" t="n">
        <f aca="false">IF(G102="",0,ROUND((Strats!$C$4-G102)/30.4375,1))</f>
        <v>0</v>
      </c>
      <c r="AI102" s="69" t="n">
        <f aca="false">IF(K102="",0,IF(K102="Floating",Strats!$C$10+M102,L102))</f>
        <v>0</v>
      </c>
      <c r="AJ102" s="68" t="str">
        <f aca="false">IF(OR(Z102="",Z102="Full Amortizing"),"",MAX(J102-AH102,0))</f>
        <v/>
      </c>
      <c r="AK102" s="69" t="n">
        <f aca="false">IF(K102="",0,IF(K102="Floating",IF(P102&lt;&gt;"",MIN(IF(Q102&lt;&gt;"",MAX((Strats!$C$10+Strats!$C$11+M102),Q102),(Strats!$C$10+Strats!$C$11+M102)),P102),IF(Q102&lt;&gt;"",MAX((Strats!$C$10+Strats!$C$11+M102),Q102),(Strats!$C$10+Strats!$C$11+M102))),AI102))</f>
        <v>0</v>
      </c>
      <c r="AL102" s="68" t="str">
        <f aca="false">IF(OR(E102="",E102&lt;&gt;'Deal Strat'!$C$12,R102=""),"",SUMPRODUCT((E$4:E$303='Deal Strat'!$C$12)*(R$4:R$303&gt;R102))+1+SUMPRODUCT((E$4:E$303='Deal Strat'!$C$12)*(R$4:R$303=R102)*(ROW(R$4:R$303)&lt;ROW(R102))))</f>
        <v/>
      </c>
      <c r="AM102" s="68" t="str">
        <f aca="false">IF(R102="","",RANK(R102,$R$4:$R$303,0)+COUNTIF($R$4:R102,R102)-1)</f>
        <v/>
      </c>
      <c r="AN102" s="26" t="n">
        <f aca="false">IF(OR($A102="",$R102=""),0,IF(Deal_Scope="All Deals",1,IF($E102=Deal_Scope,1,0)))</f>
        <v>0</v>
      </c>
      <c r="AO102" s="56" t="n">
        <f aca="false">IF($AN102=0,0,Px_Par)</f>
        <v>0</v>
      </c>
      <c r="AP102" s="70" t="n">
        <f aca="false">IF($H102="",0,MAX(0,($H102-Set_Date)/30.4375))</f>
        <v>0</v>
      </c>
      <c r="AQ102" s="26" t="n">
        <f aca="false">IF(AND(Ext_Flag="Yes",$AA102="Yes"),Ext_Months,0)</f>
        <v>0</v>
      </c>
      <c r="AR102" s="70" t="n">
        <f aca="false">$AP102+$AQ102</f>
        <v>0</v>
      </c>
      <c r="AS102" s="70" t="n">
        <f aca="false">$AR102/12</f>
        <v>0</v>
      </c>
      <c r="AT102" s="70" t="n">
        <f aca="false">IF($AJ102="",0,MAX(0,$AJ102/12))</f>
        <v>0</v>
      </c>
      <c r="AU102" s="70" t="n">
        <f aca="false">MAX(Amort_Min,Amort_Term-$AH102/12)</f>
        <v>30</v>
      </c>
      <c r="AV102" s="70" t="n">
        <f aca="false">MIN($AS102,Hold_Yrs)</f>
        <v>0</v>
      </c>
      <c r="AW102" s="26" t="n">
        <f aca="false">IF($AN102=0,0,CEILING(MAX($AS102,0.0001),1))</f>
        <v>0</v>
      </c>
      <c r="AX102" s="26" t="n">
        <f aca="false">IF(AND($AN102=1,MAX($AS102,0.0001)&lt;=Hold_Yrs),1,0)</f>
        <v>0</v>
      </c>
      <c r="AY102" s="71" t="n">
        <f aca="false">$R102*$AO102</f>
        <v>0</v>
      </c>
      <c r="AZ102" s="71" t="n">
        <f aca="false">$R102*Acc_Int*$AN102</f>
        <v>0</v>
      </c>
      <c r="BA102" s="71" t="n">
        <f aca="false">$AY102*Acq_Cost</f>
        <v>0</v>
      </c>
      <c r="BB102" s="71" t="n">
        <f aca="false">$AY102+$AZ102+$BA102</f>
        <v>0</v>
      </c>
      <c r="BC102" s="71" t="n">
        <f aca="false">IF(Fin_Flag="Yes",$AY102*Adv_Rate,0)</f>
        <v>0</v>
      </c>
      <c r="BD102" s="71" t="n">
        <f aca="false">$BC102*Fin_UpFee</f>
        <v>0</v>
      </c>
      <c r="BE102" s="71" t="n">
        <f aca="false">$BB102-$BC102+$BD102</f>
        <v>0</v>
      </c>
    </row>
    <row r="103" customFormat="false" ht="14.25" hidden="false" customHeight="false" outlineLevel="0" collapsed="false">
      <c r="A103" s="61"/>
      <c r="B103" s="62"/>
      <c r="C103" s="61"/>
      <c r="D103" s="61"/>
      <c r="E103" s="61"/>
      <c r="F103" s="63"/>
      <c r="G103" s="64"/>
      <c r="H103" s="64"/>
      <c r="I103" s="63"/>
      <c r="J103" s="63"/>
      <c r="K103" s="61"/>
      <c r="L103" s="65"/>
      <c r="M103" s="65"/>
      <c r="N103" s="61"/>
      <c r="O103" s="64"/>
      <c r="P103" s="65"/>
      <c r="Q103" s="65"/>
      <c r="R103" s="66"/>
      <c r="S103" s="65"/>
      <c r="T103" s="65"/>
      <c r="U103" s="67"/>
      <c r="V103" s="65"/>
      <c r="W103" s="65"/>
      <c r="X103" s="63"/>
      <c r="Y103" s="63"/>
      <c r="Z103" s="61"/>
      <c r="AA103" s="61"/>
      <c r="AB103" s="61"/>
      <c r="AC103" s="61"/>
      <c r="AD103" s="61"/>
      <c r="AE103" s="61"/>
      <c r="AF103" s="61"/>
      <c r="AG103" s="61"/>
      <c r="AH103" s="68" t="n">
        <f aca="false">IF(G103="",0,ROUND((Strats!$C$4-G103)/30.4375,1))</f>
        <v>0</v>
      </c>
      <c r="AI103" s="69" t="n">
        <f aca="false">IF(K103="",0,IF(K103="Floating",Strats!$C$10+M103,L103))</f>
        <v>0</v>
      </c>
      <c r="AJ103" s="68" t="str">
        <f aca="false">IF(OR(Z103="",Z103="Full Amortizing"),"",MAX(J103-AH103,0))</f>
        <v/>
      </c>
      <c r="AK103" s="69" t="n">
        <f aca="false">IF(K103="",0,IF(K103="Floating",IF(P103&lt;&gt;"",MIN(IF(Q103&lt;&gt;"",MAX((Strats!$C$10+Strats!$C$11+M103),Q103),(Strats!$C$10+Strats!$C$11+M103)),P103),IF(Q103&lt;&gt;"",MAX((Strats!$C$10+Strats!$C$11+M103),Q103),(Strats!$C$10+Strats!$C$11+M103))),AI103))</f>
        <v>0</v>
      </c>
      <c r="AL103" s="68" t="str">
        <f aca="false">IF(OR(E103="",E103&lt;&gt;'Deal Strat'!$C$12,R103=""),"",SUMPRODUCT((E$4:E$303='Deal Strat'!$C$12)*(R$4:R$303&gt;R103))+1+SUMPRODUCT((E$4:E$303='Deal Strat'!$C$12)*(R$4:R$303=R103)*(ROW(R$4:R$303)&lt;ROW(R103))))</f>
        <v/>
      </c>
      <c r="AM103" s="68" t="str">
        <f aca="false">IF(R103="","",RANK(R103,$R$4:$R$303,0)+COUNTIF($R$4:R103,R103)-1)</f>
        <v/>
      </c>
      <c r="AN103" s="26" t="n">
        <f aca="false">IF(OR($A103="",$R103=""),0,IF(Deal_Scope="All Deals",1,IF($E103=Deal_Scope,1,0)))</f>
        <v>0</v>
      </c>
      <c r="AO103" s="56" t="n">
        <f aca="false">IF($AN103=0,0,Px_Par)</f>
        <v>0</v>
      </c>
      <c r="AP103" s="70" t="n">
        <f aca="false">IF($H103="",0,MAX(0,($H103-Set_Date)/30.4375))</f>
        <v>0</v>
      </c>
      <c r="AQ103" s="26" t="n">
        <f aca="false">IF(AND(Ext_Flag="Yes",$AA103="Yes"),Ext_Months,0)</f>
        <v>0</v>
      </c>
      <c r="AR103" s="70" t="n">
        <f aca="false">$AP103+$AQ103</f>
        <v>0</v>
      </c>
      <c r="AS103" s="70" t="n">
        <f aca="false">$AR103/12</f>
        <v>0</v>
      </c>
      <c r="AT103" s="70" t="n">
        <f aca="false">IF($AJ103="",0,MAX(0,$AJ103/12))</f>
        <v>0</v>
      </c>
      <c r="AU103" s="70" t="n">
        <f aca="false">MAX(Amort_Min,Amort_Term-$AH103/12)</f>
        <v>30</v>
      </c>
      <c r="AV103" s="70" t="n">
        <f aca="false">MIN($AS103,Hold_Yrs)</f>
        <v>0</v>
      </c>
      <c r="AW103" s="26" t="n">
        <f aca="false">IF($AN103=0,0,CEILING(MAX($AS103,0.0001),1))</f>
        <v>0</v>
      </c>
      <c r="AX103" s="26" t="n">
        <f aca="false">IF(AND($AN103=1,MAX($AS103,0.0001)&lt;=Hold_Yrs),1,0)</f>
        <v>0</v>
      </c>
      <c r="AY103" s="71" t="n">
        <f aca="false">$R103*$AO103</f>
        <v>0</v>
      </c>
      <c r="AZ103" s="71" t="n">
        <f aca="false">$R103*Acc_Int*$AN103</f>
        <v>0</v>
      </c>
      <c r="BA103" s="71" t="n">
        <f aca="false">$AY103*Acq_Cost</f>
        <v>0</v>
      </c>
      <c r="BB103" s="71" t="n">
        <f aca="false">$AY103+$AZ103+$BA103</f>
        <v>0</v>
      </c>
      <c r="BC103" s="71" t="n">
        <f aca="false">IF(Fin_Flag="Yes",$AY103*Adv_Rate,0)</f>
        <v>0</v>
      </c>
      <c r="BD103" s="71" t="n">
        <f aca="false">$BC103*Fin_UpFee</f>
        <v>0</v>
      </c>
      <c r="BE103" s="71" t="n">
        <f aca="false">$BB103-$BC103+$BD103</f>
        <v>0</v>
      </c>
    </row>
    <row r="104" customFormat="false" ht="14.25" hidden="false" customHeight="false" outlineLevel="0" collapsed="false">
      <c r="A104" s="61"/>
      <c r="B104" s="62"/>
      <c r="C104" s="61"/>
      <c r="D104" s="61"/>
      <c r="E104" s="61"/>
      <c r="F104" s="63"/>
      <c r="G104" s="64"/>
      <c r="H104" s="64"/>
      <c r="I104" s="63"/>
      <c r="J104" s="63"/>
      <c r="K104" s="61"/>
      <c r="L104" s="65"/>
      <c r="M104" s="65"/>
      <c r="N104" s="61"/>
      <c r="O104" s="64"/>
      <c r="P104" s="65"/>
      <c r="Q104" s="65"/>
      <c r="R104" s="66"/>
      <c r="S104" s="65"/>
      <c r="T104" s="65"/>
      <c r="U104" s="67"/>
      <c r="V104" s="65"/>
      <c r="W104" s="65"/>
      <c r="X104" s="63"/>
      <c r="Y104" s="63"/>
      <c r="Z104" s="61"/>
      <c r="AA104" s="61"/>
      <c r="AB104" s="61"/>
      <c r="AC104" s="61"/>
      <c r="AD104" s="61"/>
      <c r="AE104" s="61"/>
      <c r="AF104" s="61"/>
      <c r="AG104" s="61"/>
      <c r="AH104" s="68" t="n">
        <f aca="false">IF(G104="",0,ROUND((Strats!$C$4-G104)/30.4375,1))</f>
        <v>0</v>
      </c>
      <c r="AI104" s="69" t="n">
        <f aca="false">IF(K104="",0,IF(K104="Floating",Strats!$C$10+M104,L104))</f>
        <v>0</v>
      </c>
      <c r="AJ104" s="68" t="str">
        <f aca="false">IF(OR(Z104="",Z104="Full Amortizing"),"",MAX(J104-AH104,0))</f>
        <v/>
      </c>
      <c r="AK104" s="69" t="n">
        <f aca="false">IF(K104="",0,IF(K104="Floating",IF(P104&lt;&gt;"",MIN(IF(Q104&lt;&gt;"",MAX((Strats!$C$10+Strats!$C$11+M104),Q104),(Strats!$C$10+Strats!$C$11+M104)),P104),IF(Q104&lt;&gt;"",MAX((Strats!$C$10+Strats!$C$11+M104),Q104),(Strats!$C$10+Strats!$C$11+M104))),AI104))</f>
        <v>0</v>
      </c>
      <c r="AL104" s="68" t="str">
        <f aca="false">IF(OR(E104="",E104&lt;&gt;'Deal Strat'!$C$12,R104=""),"",SUMPRODUCT((E$4:E$303='Deal Strat'!$C$12)*(R$4:R$303&gt;R104))+1+SUMPRODUCT((E$4:E$303='Deal Strat'!$C$12)*(R$4:R$303=R104)*(ROW(R$4:R$303)&lt;ROW(R104))))</f>
        <v/>
      </c>
      <c r="AM104" s="68" t="str">
        <f aca="false">IF(R104="","",RANK(R104,$R$4:$R$303,0)+COUNTIF($R$4:R104,R104)-1)</f>
        <v/>
      </c>
      <c r="AN104" s="26" t="n">
        <f aca="false">IF(OR($A104="",$R104=""),0,IF(Deal_Scope="All Deals",1,IF($E104=Deal_Scope,1,0)))</f>
        <v>0</v>
      </c>
      <c r="AO104" s="56" t="n">
        <f aca="false">IF($AN104=0,0,Px_Par)</f>
        <v>0</v>
      </c>
      <c r="AP104" s="70" t="n">
        <f aca="false">IF($H104="",0,MAX(0,($H104-Set_Date)/30.4375))</f>
        <v>0</v>
      </c>
      <c r="AQ104" s="26" t="n">
        <f aca="false">IF(AND(Ext_Flag="Yes",$AA104="Yes"),Ext_Months,0)</f>
        <v>0</v>
      </c>
      <c r="AR104" s="70" t="n">
        <f aca="false">$AP104+$AQ104</f>
        <v>0</v>
      </c>
      <c r="AS104" s="70" t="n">
        <f aca="false">$AR104/12</f>
        <v>0</v>
      </c>
      <c r="AT104" s="70" t="n">
        <f aca="false">IF($AJ104="",0,MAX(0,$AJ104/12))</f>
        <v>0</v>
      </c>
      <c r="AU104" s="70" t="n">
        <f aca="false">MAX(Amort_Min,Amort_Term-$AH104/12)</f>
        <v>30</v>
      </c>
      <c r="AV104" s="70" t="n">
        <f aca="false">MIN($AS104,Hold_Yrs)</f>
        <v>0</v>
      </c>
      <c r="AW104" s="26" t="n">
        <f aca="false">IF($AN104=0,0,CEILING(MAX($AS104,0.0001),1))</f>
        <v>0</v>
      </c>
      <c r="AX104" s="26" t="n">
        <f aca="false">IF(AND($AN104=1,MAX($AS104,0.0001)&lt;=Hold_Yrs),1,0)</f>
        <v>0</v>
      </c>
      <c r="AY104" s="71" t="n">
        <f aca="false">$R104*$AO104</f>
        <v>0</v>
      </c>
      <c r="AZ104" s="71" t="n">
        <f aca="false">$R104*Acc_Int*$AN104</f>
        <v>0</v>
      </c>
      <c r="BA104" s="71" t="n">
        <f aca="false">$AY104*Acq_Cost</f>
        <v>0</v>
      </c>
      <c r="BB104" s="71" t="n">
        <f aca="false">$AY104+$AZ104+$BA104</f>
        <v>0</v>
      </c>
      <c r="BC104" s="71" t="n">
        <f aca="false">IF(Fin_Flag="Yes",$AY104*Adv_Rate,0)</f>
        <v>0</v>
      </c>
      <c r="BD104" s="71" t="n">
        <f aca="false">$BC104*Fin_UpFee</f>
        <v>0</v>
      </c>
      <c r="BE104" s="71" t="n">
        <f aca="false">$BB104-$BC104+$BD104</f>
        <v>0</v>
      </c>
    </row>
    <row r="105" customFormat="false" ht="14.25" hidden="false" customHeight="false" outlineLevel="0" collapsed="false">
      <c r="A105" s="61"/>
      <c r="B105" s="62"/>
      <c r="C105" s="61"/>
      <c r="D105" s="61"/>
      <c r="E105" s="61"/>
      <c r="F105" s="63"/>
      <c r="G105" s="64"/>
      <c r="H105" s="64"/>
      <c r="I105" s="63"/>
      <c r="J105" s="63"/>
      <c r="K105" s="61"/>
      <c r="L105" s="65"/>
      <c r="M105" s="65"/>
      <c r="N105" s="61"/>
      <c r="O105" s="64"/>
      <c r="P105" s="65"/>
      <c r="Q105" s="65"/>
      <c r="R105" s="66"/>
      <c r="S105" s="65"/>
      <c r="T105" s="65"/>
      <c r="U105" s="67"/>
      <c r="V105" s="65"/>
      <c r="W105" s="65"/>
      <c r="X105" s="63"/>
      <c r="Y105" s="63"/>
      <c r="Z105" s="61"/>
      <c r="AA105" s="61"/>
      <c r="AB105" s="61"/>
      <c r="AC105" s="61"/>
      <c r="AD105" s="61"/>
      <c r="AE105" s="61"/>
      <c r="AF105" s="61"/>
      <c r="AG105" s="61"/>
      <c r="AH105" s="68" t="n">
        <f aca="false">IF(G105="",0,ROUND((Strats!$C$4-G105)/30.4375,1))</f>
        <v>0</v>
      </c>
      <c r="AI105" s="69" t="n">
        <f aca="false">IF(K105="",0,IF(K105="Floating",Strats!$C$10+M105,L105))</f>
        <v>0</v>
      </c>
      <c r="AJ105" s="68" t="str">
        <f aca="false">IF(OR(Z105="",Z105="Full Amortizing"),"",MAX(J105-AH105,0))</f>
        <v/>
      </c>
      <c r="AK105" s="69" t="n">
        <f aca="false">IF(K105="",0,IF(K105="Floating",IF(P105&lt;&gt;"",MIN(IF(Q105&lt;&gt;"",MAX((Strats!$C$10+Strats!$C$11+M105),Q105),(Strats!$C$10+Strats!$C$11+M105)),P105),IF(Q105&lt;&gt;"",MAX((Strats!$C$10+Strats!$C$11+M105),Q105),(Strats!$C$10+Strats!$C$11+M105))),AI105))</f>
        <v>0</v>
      </c>
      <c r="AL105" s="68" t="str">
        <f aca="false">IF(OR(E105="",E105&lt;&gt;'Deal Strat'!$C$12,R105=""),"",SUMPRODUCT((E$4:E$303='Deal Strat'!$C$12)*(R$4:R$303&gt;R105))+1+SUMPRODUCT((E$4:E$303='Deal Strat'!$C$12)*(R$4:R$303=R105)*(ROW(R$4:R$303)&lt;ROW(R105))))</f>
        <v/>
      </c>
      <c r="AM105" s="68" t="str">
        <f aca="false">IF(R105="","",RANK(R105,$R$4:$R$303,0)+COUNTIF($R$4:R105,R105)-1)</f>
        <v/>
      </c>
      <c r="AN105" s="26" t="n">
        <f aca="false">IF(OR($A105="",$R105=""),0,IF(Deal_Scope="All Deals",1,IF($E105=Deal_Scope,1,0)))</f>
        <v>0</v>
      </c>
      <c r="AO105" s="56" t="n">
        <f aca="false">IF($AN105=0,0,Px_Par)</f>
        <v>0</v>
      </c>
      <c r="AP105" s="70" t="n">
        <f aca="false">IF($H105="",0,MAX(0,($H105-Set_Date)/30.4375))</f>
        <v>0</v>
      </c>
      <c r="AQ105" s="26" t="n">
        <f aca="false">IF(AND(Ext_Flag="Yes",$AA105="Yes"),Ext_Months,0)</f>
        <v>0</v>
      </c>
      <c r="AR105" s="70" t="n">
        <f aca="false">$AP105+$AQ105</f>
        <v>0</v>
      </c>
      <c r="AS105" s="70" t="n">
        <f aca="false">$AR105/12</f>
        <v>0</v>
      </c>
      <c r="AT105" s="70" t="n">
        <f aca="false">IF($AJ105="",0,MAX(0,$AJ105/12))</f>
        <v>0</v>
      </c>
      <c r="AU105" s="70" t="n">
        <f aca="false">MAX(Amort_Min,Amort_Term-$AH105/12)</f>
        <v>30</v>
      </c>
      <c r="AV105" s="70" t="n">
        <f aca="false">MIN($AS105,Hold_Yrs)</f>
        <v>0</v>
      </c>
      <c r="AW105" s="26" t="n">
        <f aca="false">IF($AN105=0,0,CEILING(MAX($AS105,0.0001),1))</f>
        <v>0</v>
      </c>
      <c r="AX105" s="26" t="n">
        <f aca="false">IF(AND($AN105=1,MAX($AS105,0.0001)&lt;=Hold_Yrs),1,0)</f>
        <v>0</v>
      </c>
      <c r="AY105" s="71" t="n">
        <f aca="false">$R105*$AO105</f>
        <v>0</v>
      </c>
      <c r="AZ105" s="71" t="n">
        <f aca="false">$R105*Acc_Int*$AN105</f>
        <v>0</v>
      </c>
      <c r="BA105" s="71" t="n">
        <f aca="false">$AY105*Acq_Cost</f>
        <v>0</v>
      </c>
      <c r="BB105" s="71" t="n">
        <f aca="false">$AY105+$AZ105+$BA105</f>
        <v>0</v>
      </c>
      <c r="BC105" s="71" t="n">
        <f aca="false">IF(Fin_Flag="Yes",$AY105*Adv_Rate,0)</f>
        <v>0</v>
      </c>
      <c r="BD105" s="71" t="n">
        <f aca="false">$BC105*Fin_UpFee</f>
        <v>0</v>
      </c>
      <c r="BE105" s="71" t="n">
        <f aca="false">$BB105-$BC105+$BD105</f>
        <v>0</v>
      </c>
    </row>
    <row r="106" customFormat="false" ht="14.25" hidden="false" customHeight="false" outlineLevel="0" collapsed="false">
      <c r="A106" s="61"/>
      <c r="B106" s="62"/>
      <c r="C106" s="61"/>
      <c r="D106" s="61"/>
      <c r="E106" s="61"/>
      <c r="F106" s="63"/>
      <c r="G106" s="64"/>
      <c r="H106" s="64"/>
      <c r="I106" s="63"/>
      <c r="J106" s="63"/>
      <c r="K106" s="61"/>
      <c r="L106" s="65"/>
      <c r="M106" s="65"/>
      <c r="N106" s="61"/>
      <c r="O106" s="64"/>
      <c r="P106" s="65"/>
      <c r="Q106" s="65"/>
      <c r="R106" s="66"/>
      <c r="S106" s="65"/>
      <c r="T106" s="65"/>
      <c r="U106" s="67"/>
      <c r="V106" s="65"/>
      <c r="W106" s="65"/>
      <c r="X106" s="63"/>
      <c r="Y106" s="63"/>
      <c r="Z106" s="61"/>
      <c r="AA106" s="61"/>
      <c r="AB106" s="61"/>
      <c r="AC106" s="61"/>
      <c r="AD106" s="61"/>
      <c r="AE106" s="61"/>
      <c r="AF106" s="61"/>
      <c r="AG106" s="61"/>
      <c r="AH106" s="68" t="n">
        <f aca="false">IF(G106="",0,ROUND((Strats!$C$4-G106)/30.4375,1))</f>
        <v>0</v>
      </c>
      <c r="AI106" s="69" t="n">
        <f aca="false">IF(K106="",0,IF(K106="Floating",Strats!$C$10+M106,L106))</f>
        <v>0</v>
      </c>
      <c r="AJ106" s="68" t="str">
        <f aca="false">IF(OR(Z106="",Z106="Full Amortizing"),"",MAX(J106-AH106,0))</f>
        <v/>
      </c>
      <c r="AK106" s="69" t="n">
        <f aca="false">IF(K106="",0,IF(K106="Floating",IF(P106&lt;&gt;"",MIN(IF(Q106&lt;&gt;"",MAX((Strats!$C$10+Strats!$C$11+M106),Q106),(Strats!$C$10+Strats!$C$11+M106)),P106),IF(Q106&lt;&gt;"",MAX((Strats!$C$10+Strats!$C$11+M106),Q106),(Strats!$C$10+Strats!$C$11+M106))),AI106))</f>
        <v>0</v>
      </c>
      <c r="AL106" s="68" t="str">
        <f aca="false">IF(OR(E106="",E106&lt;&gt;'Deal Strat'!$C$12,R106=""),"",SUMPRODUCT((E$4:E$303='Deal Strat'!$C$12)*(R$4:R$303&gt;R106))+1+SUMPRODUCT((E$4:E$303='Deal Strat'!$C$12)*(R$4:R$303=R106)*(ROW(R$4:R$303)&lt;ROW(R106))))</f>
        <v/>
      </c>
      <c r="AM106" s="68" t="str">
        <f aca="false">IF(R106="","",RANK(R106,$R$4:$R$303,0)+COUNTIF($R$4:R106,R106)-1)</f>
        <v/>
      </c>
      <c r="AN106" s="26" t="n">
        <f aca="false">IF(OR($A106="",$R106=""),0,IF(Deal_Scope="All Deals",1,IF($E106=Deal_Scope,1,0)))</f>
        <v>0</v>
      </c>
      <c r="AO106" s="56" t="n">
        <f aca="false">IF($AN106=0,0,Px_Par)</f>
        <v>0</v>
      </c>
      <c r="AP106" s="70" t="n">
        <f aca="false">IF($H106="",0,MAX(0,($H106-Set_Date)/30.4375))</f>
        <v>0</v>
      </c>
      <c r="AQ106" s="26" t="n">
        <f aca="false">IF(AND(Ext_Flag="Yes",$AA106="Yes"),Ext_Months,0)</f>
        <v>0</v>
      </c>
      <c r="AR106" s="70" t="n">
        <f aca="false">$AP106+$AQ106</f>
        <v>0</v>
      </c>
      <c r="AS106" s="70" t="n">
        <f aca="false">$AR106/12</f>
        <v>0</v>
      </c>
      <c r="AT106" s="70" t="n">
        <f aca="false">IF($AJ106="",0,MAX(0,$AJ106/12))</f>
        <v>0</v>
      </c>
      <c r="AU106" s="70" t="n">
        <f aca="false">MAX(Amort_Min,Amort_Term-$AH106/12)</f>
        <v>30</v>
      </c>
      <c r="AV106" s="70" t="n">
        <f aca="false">MIN($AS106,Hold_Yrs)</f>
        <v>0</v>
      </c>
      <c r="AW106" s="26" t="n">
        <f aca="false">IF($AN106=0,0,CEILING(MAX($AS106,0.0001),1))</f>
        <v>0</v>
      </c>
      <c r="AX106" s="26" t="n">
        <f aca="false">IF(AND($AN106=1,MAX($AS106,0.0001)&lt;=Hold_Yrs),1,0)</f>
        <v>0</v>
      </c>
      <c r="AY106" s="71" t="n">
        <f aca="false">$R106*$AO106</f>
        <v>0</v>
      </c>
      <c r="AZ106" s="71" t="n">
        <f aca="false">$R106*Acc_Int*$AN106</f>
        <v>0</v>
      </c>
      <c r="BA106" s="71" t="n">
        <f aca="false">$AY106*Acq_Cost</f>
        <v>0</v>
      </c>
      <c r="BB106" s="71" t="n">
        <f aca="false">$AY106+$AZ106+$BA106</f>
        <v>0</v>
      </c>
      <c r="BC106" s="71" t="n">
        <f aca="false">IF(Fin_Flag="Yes",$AY106*Adv_Rate,0)</f>
        <v>0</v>
      </c>
      <c r="BD106" s="71" t="n">
        <f aca="false">$BC106*Fin_UpFee</f>
        <v>0</v>
      </c>
      <c r="BE106" s="71" t="n">
        <f aca="false">$BB106-$BC106+$BD106</f>
        <v>0</v>
      </c>
    </row>
    <row r="107" customFormat="false" ht="14.25" hidden="false" customHeight="false" outlineLevel="0" collapsed="false">
      <c r="A107" s="61"/>
      <c r="B107" s="62"/>
      <c r="C107" s="61"/>
      <c r="D107" s="61"/>
      <c r="E107" s="61"/>
      <c r="F107" s="63"/>
      <c r="G107" s="64"/>
      <c r="H107" s="64"/>
      <c r="I107" s="63"/>
      <c r="J107" s="63"/>
      <c r="K107" s="61"/>
      <c r="L107" s="65"/>
      <c r="M107" s="65"/>
      <c r="N107" s="61"/>
      <c r="O107" s="64"/>
      <c r="P107" s="65"/>
      <c r="Q107" s="65"/>
      <c r="R107" s="66"/>
      <c r="S107" s="65"/>
      <c r="T107" s="65"/>
      <c r="U107" s="67"/>
      <c r="V107" s="65"/>
      <c r="W107" s="65"/>
      <c r="X107" s="63"/>
      <c r="Y107" s="63"/>
      <c r="Z107" s="61"/>
      <c r="AA107" s="61"/>
      <c r="AB107" s="61"/>
      <c r="AC107" s="61"/>
      <c r="AD107" s="61"/>
      <c r="AE107" s="61"/>
      <c r="AF107" s="61"/>
      <c r="AG107" s="61"/>
      <c r="AH107" s="68" t="n">
        <f aca="false">IF(G107="",0,ROUND((Strats!$C$4-G107)/30.4375,1))</f>
        <v>0</v>
      </c>
      <c r="AI107" s="69" t="n">
        <f aca="false">IF(K107="",0,IF(K107="Floating",Strats!$C$10+M107,L107))</f>
        <v>0</v>
      </c>
      <c r="AJ107" s="68" t="str">
        <f aca="false">IF(OR(Z107="",Z107="Full Amortizing"),"",MAX(J107-AH107,0))</f>
        <v/>
      </c>
      <c r="AK107" s="69" t="n">
        <f aca="false">IF(K107="",0,IF(K107="Floating",IF(P107&lt;&gt;"",MIN(IF(Q107&lt;&gt;"",MAX((Strats!$C$10+Strats!$C$11+M107),Q107),(Strats!$C$10+Strats!$C$11+M107)),P107),IF(Q107&lt;&gt;"",MAX((Strats!$C$10+Strats!$C$11+M107),Q107),(Strats!$C$10+Strats!$C$11+M107))),AI107))</f>
        <v>0</v>
      </c>
      <c r="AL107" s="68" t="str">
        <f aca="false">IF(OR(E107="",E107&lt;&gt;'Deal Strat'!$C$12,R107=""),"",SUMPRODUCT((E$4:E$303='Deal Strat'!$C$12)*(R$4:R$303&gt;R107))+1+SUMPRODUCT((E$4:E$303='Deal Strat'!$C$12)*(R$4:R$303=R107)*(ROW(R$4:R$303)&lt;ROW(R107))))</f>
        <v/>
      </c>
      <c r="AM107" s="68" t="str">
        <f aca="false">IF(R107="","",RANK(R107,$R$4:$R$303,0)+COUNTIF($R$4:R107,R107)-1)</f>
        <v/>
      </c>
      <c r="AN107" s="26" t="n">
        <f aca="false">IF(OR($A107="",$R107=""),0,IF(Deal_Scope="All Deals",1,IF($E107=Deal_Scope,1,0)))</f>
        <v>0</v>
      </c>
      <c r="AO107" s="56" t="n">
        <f aca="false">IF($AN107=0,0,Px_Par)</f>
        <v>0</v>
      </c>
      <c r="AP107" s="70" t="n">
        <f aca="false">IF($H107="",0,MAX(0,($H107-Set_Date)/30.4375))</f>
        <v>0</v>
      </c>
      <c r="AQ107" s="26" t="n">
        <f aca="false">IF(AND(Ext_Flag="Yes",$AA107="Yes"),Ext_Months,0)</f>
        <v>0</v>
      </c>
      <c r="AR107" s="70" t="n">
        <f aca="false">$AP107+$AQ107</f>
        <v>0</v>
      </c>
      <c r="AS107" s="70" t="n">
        <f aca="false">$AR107/12</f>
        <v>0</v>
      </c>
      <c r="AT107" s="70" t="n">
        <f aca="false">IF($AJ107="",0,MAX(0,$AJ107/12))</f>
        <v>0</v>
      </c>
      <c r="AU107" s="70" t="n">
        <f aca="false">MAX(Amort_Min,Amort_Term-$AH107/12)</f>
        <v>30</v>
      </c>
      <c r="AV107" s="70" t="n">
        <f aca="false">MIN($AS107,Hold_Yrs)</f>
        <v>0</v>
      </c>
      <c r="AW107" s="26" t="n">
        <f aca="false">IF($AN107=0,0,CEILING(MAX($AS107,0.0001),1))</f>
        <v>0</v>
      </c>
      <c r="AX107" s="26" t="n">
        <f aca="false">IF(AND($AN107=1,MAX($AS107,0.0001)&lt;=Hold_Yrs),1,0)</f>
        <v>0</v>
      </c>
      <c r="AY107" s="71" t="n">
        <f aca="false">$R107*$AO107</f>
        <v>0</v>
      </c>
      <c r="AZ107" s="71" t="n">
        <f aca="false">$R107*Acc_Int*$AN107</f>
        <v>0</v>
      </c>
      <c r="BA107" s="71" t="n">
        <f aca="false">$AY107*Acq_Cost</f>
        <v>0</v>
      </c>
      <c r="BB107" s="71" t="n">
        <f aca="false">$AY107+$AZ107+$BA107</f>
        <v>0</v>
      </c>
      <c r="BC107" s="71" t="n">
        <f aca="false">IF(Fin_Flag="Yes",$AY107*Adv_Rate,0)</f>
        <v>0</v>
      </c>
      <c r="BD107" s="71" t="n">
        <f aca="false">$BC107*Fin_UpFee</f>
        <v>0</v>
      </c>
      <c r="BE107" s="71" t="n">
        <f aca="false">$BB107-$BC107+$BD107</f>
        <v>0</v>
      </c>
    </row>
    <row r="108" customFormat="false" ht="14.25" hidden="false" customHeight="false" outlineLevel="0" collapsed="false">
      <c r="A108" s="61"/>
      <c r="B108" s="62"/>
      <c r="C108" s="61"/>
      <c r="D108" s="61"/>
      <c r="E108" s="61"/>
      <c r="F108" s="63"/>
      <c r="G108" s="64"/>
      <c r="H108" s="64"/>
      <c r="I108" s="63"/>
      <c r="J108" s="63"/>
      <c r="K108" s="61"/>
      <c r="L108" s="65"/>
      <c r="M108" s="65"/>
      <c r="N108" s="61"/>
      <c r="O108" s="64"/>
      <c r="P108" s="65"/>
      <c r="Q108" s="65"/>
      <c r="R108" s="66"/>
      <c r="S108" s="65"/>
      <c r="T108" s="65"/>
      <c r="U108" s="67"/>
      <c r="V108" s="65"/>
      <c r="W108" s="65"/>
      <c r="X108" s="63"/>
      <c r="Y108" s="63"/>
      <c r="Z108" s="61"/>
      <c r="AA108" s="61"/>
      <c r="AB108" s="61"/>
      <c r="AC108" s="61"/>
      <c r="AD108" s="61"/>
      <c r="AE108" s="61"/>
      <c r="AF108" s="61"/>
      <c r="AG108" s="61"/>
      <c r="AH108" s="68" t="n">
        <f aca="false">IF(G108="",0,ROUND((Strats!$C$4-G108)/30.4375,1))</f>
        <v>0</v>
      </c>
      <c r="AI108" s="69" t="n">
        <f aca="false">IF(K108="",0,IF(K108="Floating",Strats!$C$10+M108,L108))</f>
        <v>0</v>
      </c>
      <c r="AJ108" s="68" t="str">
        <f aca="false">IF(OR(Z108="",Z108="Full Amortizing"),"",MAX(J108-AH108,0))</f>
        <v/>
      </c>
      <c r="AK108" s="69" t="n">
        <f aca="false">IF(K108="",0,IF(K108="Floating",IF(P108&lt;&gt;"",MIN(IF(Q108&lt;&gt;"",MAX((Strats!$C$10+Strats!$C$11+M108),Q108),(Strats!$C$10+Strats!$C$11+M108)),P108),IF(Q108&lt;&gt;"",MAX((Strats!$C$10+Strats!$C$11+M108),Q108),(Strats!$C$10+Strats!$C$11+M108))),AI108))</f>
        <v>0</v>
      </c>
      <c r="AL108" s="68" t="str">
        <f aca="false">IF(OR(E108="",E108&lt;&gt;'Deal Strat'!$C$12,R108=""),"",SUMPRODUCT((E$4:E$303='Deal Strat'!$C$12)*(R$4:R$303&gt;R108))+1+SUMPRODUCT((E$4:E$303='Deal Strat'!$C$12)*(R$4:R$303=R108)*(ROW(R$4:R$303)&lt;ROW(R108))))</f>
        <v/>
      </c>
      <c r="AM108" s="68" t="str">
        <f aca="false">IF(R108="","",RANK(R108,$R$4:$R$303,0)+COUNTIF($R$4:R108,R108)-1)</f>
        <v/>
      </c>
      <c r="AN108" s="26" t="n">
        <f aca="false">IF(OR($A108="",$R108=""),0,IF(Deal_Scope="All Deals",1,IF($E108=Deal_Scope,1,0)))</f>
        <v>0</v>
      </c>
      <c r="AO108" s="56" t="n">
        <f aca="false">IF($AN108=0,0,Px_Par)</f>
        <v>0</v>
      </c>
      <c r="AP108" s="70" t="n">
        <f aca="false">IF($H108="",0,MAX(0,($H108-Set_Date)/30.4375))</f>
        <v>0</v>
      </c>
      <c r="AQ108" s="26" t="n">
        <f aca="false">IF(AND(Ext_Flag="Yes",$AA108="Yes"),Ext_Months,0)</f>
        <v>0</v>
      </c>
      <c r="AR108" s="70" t="n">
        <f aca="false">$AP108+$AQ108</f>
        <v>0</v>
      </c>
      <c r="AS108" s="70" t="n">
        <f aca="false">$AR108/12</f>
        <v>0</v>
      </c>
      <c r="AT108" s="70" t="n">
        <f aca="false">IF($AJ108="",0,MAX(0,$AJ108/12))</f>
        <v>0</v>
      </c>
      <c r="AU108" s="70" t="n">
        <f aca="false">MAX(Amort_Min,Amort_Term-$AH108/12)</f>
        <v>30</v>
      </c>
      <c r="AV108" s="70" t="n">
        <f aca="false">MIN($AS108,Hold_Yrs)</f>
        <v>0</v>
      </c>
      <c r="AW108" s="26" t="n">
        <f aca="false">IF($AN108=0,0,CEILING(MAX($AS108,0.0001),1))</f>
        <v>0</v>
      </c>
      <c r="AX108" s="26" t="n">
        <f aca="false">IF(AND($AN108=1,MAX($AS108,0.0001)&lt;=Hold_Yrs),1,0)</f>
        <v>0</v>
      </c>
      <c r="AY108" s="71" t="n">
        <f aca="false">$R108*$AO108</f>
        <v>0</v>
      </c>
      <c r="AZ108" s="71" t="n">
        <f aca="false">$R108*Acc_Int*$AN108</f>
        <v>0</v>
      </c>
      <c r="BA108" s="71" t="n">
        <f aca="false">$AY108*Acq_Cost</f>
        <v>0</v>
      </c>
      <c r="BB108" s="71" t="n">
        <f aca="false">$AY108+$AZ108+$BA108</f>
        <v>0</v>
      </c>
      <c r="BC108" s="71" t="n">
        <f aca="false">IF(Fin_Flag="Yes",$AY108*Adv_Rate,0)</f>
        <v>0</v>
      </c>
      <c r="BD108" s="71" t="n">
        <f aca="false">$BC108*Fin_UpFee</f>
        <v>0</v>
      </c>
      <c r="BE108" s="71" t="n">
        <f aca="false">$BB108-$BC108+$BD108</f>
        <v>0</v>
      </c>
    </row>
    <row r="109" customFormat="false" ht="14.25" hidden="false" customHeight="false" outlineLevel="0" collapsed="false">
      <c r="A109" s="61"/>
      <c r="B109" s="62"/>
      <c r="C109" s="61"/>
      <c r="D109" s="61"/>
      <c r="E109" s="61"/>
      <c r="F109" s="63"/>
      <c r="G109" s="64"/>
      <c r="H109" s="64"/>
      <c r="I109" s="63"/>
      <c r="J109" s="63"/>
      <c r="K109" s="61"/>
      <c r="L109" s="65"/>
      <c r="M109" s="65"/>
      <c r="N109" s="61"/>
      <c r="O109" s="64"/>
      <c r="P109" s="65"/>
      <c r="Q109" s="65"/>
      <c r="R109" s="66"/>
      <c r="S109" s="65"/>
      <c r="T109" s="65"/>
      <c r="U109" s="67"/>
      <c r="V109" s="65"/>
      <c r="W109" s="65"/>
      <c r="X109" s="63"/>
      <c r="Y109" s="63"/>
      <c r="Z109" s="61"/>
      <c r="AA109" s="61"/>
      <c r="AB109" s="61"/>
      <c r="AC109" s="61"/>
      <c r="AD109" s="61"/>
      <c r="AE109" s="61"/>
      <c r="AF109" s="61"/>
      <c r="AG109" s="61"/>
      <c r="AH109" s="68" t="n">
        <f aca="false">IF(G109="",0,ROUND((Strats!$C$4-G109)/30.4375,1))</f>
        <v>0</v>
      </c>
      <c r="AI109" s="69" t="n">
        <f aca="false">IF(K109="",0,IF(K109="Floating",Strats!$C$10+M109,L109))</f>
        <v>0</v>
      </c>
      <c r="AJ109" s="68" t="str">
        <f aca="false">IF(OR(Z109="",Z109="Full Amortizing"),"",MAX(J109-AH109,0))</f>
        <v/>
      </c>
      <c r="AK109" s="69" t="n">
        <f aca="false">IF(K109="",0,IF(K109="Floating",IF(P109&lt;&gt;"",MIN(IF(Q109&lt;&gt;"",MAX((Strats!$C$10+Strats!$C$11+M109),Q109),(Strats!$C$10+Strats!$C$11+M109)),P109),IF(Q109&lt;&gt;"",MAX((Strats!$C$10+Strats!$C$11+M109),Q109),(Strats!$C$10+Strats!$C$11+M109))),AI109))</f>
        <v>0</v>
      </c>
      <c r="AL109" s="68" t="str">
        <f aca="false">IF(OR(E109="",E109&lt;&gt;'Deal Strat'!$C$12,R109=""),"",SUMPRODUCT((E$4:E$303='Deal Strat'!$C$12)*(R$4:R$303&gt;R109))+1+SUMPRODUCT((E$4:E$303='Deal Strat'!$C$12)*(R$4:R$303=R109)*(ROW(R$4:R$303)&lt;ROW(R109))))</f>
        <v/>
      </c>
      <c r="AM109" s="68" t="str">
        <f aca="false">IF(R109="","",RANK(R109,$R$4:$R$303,0)+COUNTIF($R$4:R109,R109)-1)</f>
        <v/>
      </c>
      <c r="AN109" s="26" t="n">
        <f aca="false">IF(OR($A109="",$R109=""),0,IF(Deal_Scope="All Deals",1,IF($E109=Deal_Scope,1,0)))</f>
        <v>0</v>
      </c>
      <c r="AO109" s="56" t="n">
        <f aca="false">IF($AN109=0,0,Px_Par)</f>
        <v>0</v>
      </c>
      <c r="AP109" s="70" t="n">
        <f aca="false">IF($H109="",0,MAX(0,($H109-Set_Date)/30.4375))</f>
        <v>0</v>
      </c>
      <c r="AQ109" s="26" t="n">
        <f aca="false">IF(AND(Ext_Flag="Yes",$AA109="Yes"),Ext_Months,0)</f>
        <v>0</v>
      </c>
      <c r="AR109" s="70" t="n">
        <f aca="false">$AP109+$AQ109</f>
        <v>0</v>
      </c>
      <c r="AS109" s="70" t="n">
        <f aca="false">$AR109/12</f>
        <v>0</v>
      </c>
      <c r="AT109" s="70" t="n">
        <f aca="false">IF($AJ109="",0,MAX(0,$AJ109/12))</f>
        <v>0</v>
      </c>
      <c r="AU109" s="70" t="n">
        <f aca="false">MAX(Amort_Min,Amort_Term-$AH109/12)</f>
        <v>30</v>
      </c>
      <c r="AV109" s="70" t="n">
        <f aca="false">MIN($AS109,Hold_Yrs)</f>
        <v>0</v>
      </c>
      <c r="AW109" s="26" t="n">
        <f aca="false">IF($AN109=0,0,CEILING(MAX($AS109,0.0001),1))</f>
        <v>0</v>
      </c>
      <c r="AX109" s="26" t="n">
        <f aca="false">IF(AND($AN109=1,MAX($AS109,0.0001)&lt;=Hold_Yrs),1,0)</f>
        <v>0</v>
      </c>
      <c r="AY109" s="71" t="n">
        <f aca="false">$R109*$AO109</f>
        <v>0</v>
      </c>
      <c r="AZ109" s="71" t="n">
        <f aca="false">$R109*Acc_Int*$AN109</f>
        <v>0</v>
      </c>
      <c r="BA109" s="71" t="n">
        <f aca="false">$AY109*Acq_Cost</f>
        <v>0</v>
      </c>
      <c r="BB109" s="71" t="n">
        <f aca="false">$AY109+$AZ109+$BA109</f>
        <v>0</v>
      </c>
      <c r="BC109" s="71" t="n">
        <f aca="false">IF(Fin_Flag="Yes",$AY109*Adv_Rate,0)</f>
        <v>0</v>
      </c>
      <c r="BD109" s="71" t="n">
        <f aca="false">$BC109*Fin_UpFee</f>
        <v>0</v>
      </c>
      <c r="BE109" s="71" t="n">
        <f aca="false">$BB109-$BC109+$BD109</f>
        <v>0</v>
      </c>
    </row>
    <row r="110" customFormat="false" ht="14.25" hidden="false" customHeight="false" outlineLevel="0" collapsed="false">
      <c r="A110" s="61"/>
      <c r="B110" s="62"/>
      <c r="C110" s="61"/>
      <c r="D110" s="61"/>
      <c r="E110" s="61"/>
      <c r="F110" s="63"/>
      <c r="G110" s="64"/>
      <c r="H110" s="64"/>
      <c r="I110" s="63"/>
      <c r="J110" s="63"/>
      <c r="K110" s="61"/>
      <c r="L110" s="65"/>
      <c r="M110" s="65"/>
      <c r="N110" s="61"/>
      <c r="O110" s="64"/>
      <c r="P110" s="65"/>
      <c r="Q110" s="65"/>
      <c r="R110" s="66"/>
      <c r="S110" s="65"/>
      <c r="T110" s="65"/>
      <c r="U110" s="67"/>
      <c r="V110" s="65"/>
      <c r="W110" s="65"/>
      <c r="X110" s="63"/>
      <c r="Y110" s="63"/>
      <c r="Z110" s="61"/>
      <c r="AA110" s="61"/>
      <c r="AB110" s="61"/>
      <c r="AC110" s="61"/>
      <c r="AD110" s="61"/>
      <c r="AE110" s="61"/>
      <c r="AF110" s="61"/>
      <c r="AG110" s="61"/>
      <c r="AH110" s="68" t="n">
        <f aca="false">IF(G110="",0,ROUND((Strats!$C$4-G110)/30.4375,1))</f>
        <v>0</v>
      </c>
      <c r="AI110" s="69" t="n">
        <f aca="false">IF(K110="",0,IF(K110="Floating",Strats!$C$10+M110,L110))</f>
        <v>0</v>
      </c>
      <c r="AJ110" s="68" t="str">
        <f aca="false">IF(OR(Z110="",Z110="Full Amortizing"),"",MAX(J110-AH110,0))</f>
        <v/>
      </c>
      <c r="AK110" s="69" t="n">
        <f aca="false">IF(K110="",0,IF(K110="Floating",IF(P110&lt;&gt;"",MIN(IF(Q110&lt;&gt;"",MAX((Strats!$C$10+Strats!$C$11+M110),Q110),(Strats!$C$10+Strats!$C$11+M110)),P110),IF(Q110&lt;&gt;"",MAX((Strats!$C$10+Strats!$C$11+M110),Q110),(Strats!$C$10+Strats!$C$11+M110))),AI110))</f>
        <v>0</v>
      </c>
      <c r="AL110" s="68" t="str">
        <f aca="false">IF(OR(E110="",E110&lt;&gt;'Deal Strat'!$C$12,R110=""),"",SUMPRODUCT((E$4:E$303='Deal Strat'!$C$12)*(R$4:R$303&gt;R110))+1+SUMPRODUCT((E$4:E$303='Deal Strat'!$C$12)*(R$4:R$303=R110)*(ROW(R$4:R$303)&lt;ROW(R110))))</f>
        <v/>
      </c>
      <c r="AM110" s="68" t="str">
        <f aca="false">IF(R110="","",RANK(R110,$R$4:$R$303,0)+COUNTIF($R$4:R110,R110)-1)</f>
        <v/>
      </c>
      <c r="AN110" s="26" t="n">
        <f aca="false">IF(OR($A110="",$R110=""),0,IF(Deal_Scope="All Deals",1,IF($E110=Deal_Scope,1,0)))</f>
        <v>0</v>
      </c>
      <c r="AO110" s="56" t="n">
        <f aca="false">IF($AN110=0,0,Px_Par)</f>
        <v>0</v>
      </c>
      <c r="AP110" s="70" t="n">
        <f aca="false">IF($H110="",0,MAX(0,($H110-Set_Date)/30.4375))</f>
        <v>0</v>
      </c>
      <c r="AQ110" s="26" t="n">
        <f aca="false">IF(AND(Ext_Flag="Yes",$AA110="Yes"),Ext_Months,0)</f>
        <v>0</v>
      </c>
      <c r="AR110" s="70" t="n">
        <f aca="false">$AP110+$AQ110</f>
        <v>0</v>
      </c>
      <c r="AS110" s="70" t="n">
        <f aca="false">$AR110/12</f>
        <v>0</v>
      </c>
      <c r="AT110" s="70" t="n">
        <f aca="false">IF($AJ110="",0,MAX(0,$AJ110/12))</f>
        <v>0</v>
      </c>
      <c r="AU110" s="70" t="n">
        <f aca="false">MAX(Amort_Min,Amort_Term-$AH110/12)</f>
        <v>30</v>
      </c>
      <c r="AV110" s="70" t="n">
        <f aca="false">MIN($AS110,Hold_Yrs)</f>
        <v>0</v>
      </c>
      <c r="AW110" s="26" t="n">
        <f aca="false">IF($AN110=0,0,CEILING(MAX($AS110,0.0001),1))</f>
        <v>0</v>
      </c>
      <c r="AX110" s="26" t="n">
        <f aca="false">IF(AND($AN110=1,MAX($AS110,0.0001)&lt;=Hold_Yrs),1,0)</f>
        <v>0</v>
      </c>
      <c r="AY110" s="71" t="n">
        <f aca="false">$R110*$AO110</f>
        <v>0</v>
      </c>
      <c r="AZ110" s="71" t="n">
        <f aca="false">$R110*Acc_Int*$AN110</f>
        <v>0</v>
      </c>
      <c r="BA110" s="71" t="n">
        <f aca="false">$AY110*Acq_Cost</f>
        <v>0</v>
      </c>
      <c r="BB110" s="71" t="n">
        <f aca="false">$AY110+$AZ110+$BA110</f>
        <v>0</v>
      </c>
      <c r="BC110" s="71" t="n">
        <f aca="false">IF(Fin_Flag="Yes",$AY110*Adv_Rate,0)</f>
        <v>0</v>
      </c>
      <c r="BD110" s="71" t="n">
        <f aca="false">$BC110*Fin_UpFee</f>
        <v>0</v>
      </c>
      <c r="BE110" s="71" t="n">
        <f aca="false">$BB110-$BC110+$BD110</f>
        <v>0</v>
      </c>
    </row>
    <row r="111" customFormat="false" ht="14.25" hidden="false" customHeight="false" outlineLevel="0" collapsed="false">
      <c r="A111" s="61"/>
      <c r="B111" s="62"/>
      <c r="C111" s="61"/>
      <c r="D111" s="61"/>
      <c r="E111" s="61"/>
      <c r="F111" s="63"/>
      <c r="G111" s="64"/>
      <c r="H111" s="64"/>
      <c r="I111" s="63"/>
      <c r="J111" s="63"/>
      <c r="K111" s="61"/>
      <c r="L111" s="65"/>
      <c r="M111" s="65"/>
      <c r="N111" s="61"/>
      <c r="O111" s="64"/>
      <c r="P111" s="65"/>
      <c r="Q111" s="65"/>
      <c r="R111" s="66"/>
      <c r="S111" s="65"/>
      <c r="T111" s="65"/>
      <c r="U111" s="67"/>
      <c r="V111" s="65"/>
      <c r="W111" s="65"/>
      <c r="X111" s="63"/>
      <c r="Y111" s="63"/>
      <c r="Z111" s="61"/>
      <c r="AA111" s="61"/>
      <c r="AB111" s="61"/>
      <c r="AC111" s="61"/>
      <c r="AD111" s="61"/>
      <c r="AE111" s="61"/>
      <c r="AF111" s="61"/>
      <c r="AG111" s="61"/>
      <c r="AH111" s="68" t="n">
        <f aca="false">IF(G111="",0,ROUND((Strats!$C$4-G111)/30.4375,1))</f>
        <v>0</v>
      </c>
      <c r="AI111" s="69" t="n">
        <f aca="false">IF(K111="",0,IF(K111="Floating",Strats!$C$10+M111,L111))</f>
        <v>0</v>
      </c>
      <c r="AJ111" s="68" t="str">
        <f aca="false">IF(OR(Z111="",Z111="Full Amortizing"),"",MAX(J111-AH111,0))</f>
        <v/>
      </c>
      <c r="AK111" s="69" t="n">
        <f aca="false">IF(K111="",0,IF(K111="Floating",IF(P111&lt;&gt;"",MIN(IF(Q111&lt;&gt;"",MAX((Strats!$C$10+Strats!$C$11+M111),Q111),(Strats!$C$10+Strats!$C$11+M111)),P111),IF(Q111&lt;&gt;"",MAX((Strats!$C$10+Strats!$C$11+M111),Q111),(Strats!$C$10+Strats!$C$11+M111))),AI111))</f>
        <v>0</v>
      </c>
      <c r="AL111" s="68" t="str">
        <f aca="false">IF(OR(E111="",E111&lt;&gt;'Deal Strat'!$C$12,R111=""),"",SUMPRODUCT((E$4:E$303='Deal Strat'!$C$12)*(R$4:R$303&gt;R111))+1+SUMPRODUCT((E$4:E$303='Deal Strat'!$C$12)*(R$4:R$303=R111)*(ROW(R$4:R$303)&lt;ROW(R111))))</f>
        <v/>
      </c>
      <c r="AM111" s="68" t="str">
        <f aca="false">IF(R111="","",RANK(R111,$R$4:$R$303,0)+COUNTIF($R$4:R111,R111)-1)</f>
        <v/>
      </c>
      <c r="AN111" s="26" t="n">
        <f aca="false">IF(OR($A111="",$R111=""),0,IF(Deal_Scope="All Deals",1,IF($E111=Deal_Scope,1,0)))</f>
        <v>0</v>
      </c>
      <c r="AO111" s="56" t="n">
        <f aca="false">IF($AN111=0,0,Px_Par)</f>
        <v>0</v>
      </c>
      <c r="AP111" s="70" t="n">
        <f aca="false">IF($H111="",0,MAX(0,($H111-Set_Date)/30.4375))</f>
        <v>0</v>
      </c>
      <c r="AQ111" s="26" t="n">
        <f aca="false">IF(AND(Ext_Flag="Yes",$AA111="Yes"),Ext_Months,0)</f>
        <v>0</v>
      </c>
      <c r="AR111" s="70" t="n">
        <f aca="false">$AP111+$AQ111</f>
        <v>0</v>
      </c>
      <c r="AS111" s="70" t="n">
        <f aca="false">$AR111/12</f>
        <v>0</v>
      </c>
      <c r="AT111" s="70" t="n">
        <f aca="false">IF($AJ111="",0,MAX(0,$AJ111/12))</f>
        <v>0</v>
      </c>
      <c r="AU111" s="70" t="n">
        <f aca="false">MAX(Amort_Min,Amort_Term-$AH111/12)</f>
        <v>30</v>
      </c>
      <c r="AV111" s="70" t="n">
        <f aca="false">MIN($AS111,Hold_Yrs)</f>
        <v>0</v>
      </c>
      <c r="AW111" s="26" t="n">
        <f aca="false">IF($AN111=0,0,CEILING(MAX($AS111,0.0001),1))</f>
        <v>0</v>
      </c>
      <c r="AX111" s="26" t="n">
        <f aca="false">IF(AND($AN111=1,MAX($AS111,0.0001)&lt;=Hold_Yrs),1,0)</f>
        <v>0</v>
      </c>
      <c r="AY111" s="71" t="n">
        <f aca="false">$R111*$AO111</f>
        <v>0</v>
      </c>
      <c r="AZ111" s="71" t="n">
        <f aca="false">$R111*Acc_Int*$AN111</f>
        <v>0</v>
      </c>
      <c r="BA111" s="71" t="n">
        <f aca="false">$AY111*Acq_Cost</f>
        <v>0</v>
      </c>
      <c r="BB111" s="71" t="n">
        <f aca="false">$AY111+$AZ111+$BA111</f>
        <v>0</v>
      </c>
      <c r="BC111" s="71" t="n">
        <f aca="false">IF(Fin_Flag="Yes",$AY111*Adv_Rate,0)</f>
        <v>0</v>
      </c>
      <c r="BD111" s="71" t="n">
        <f aca="false">$BC111*Fin_UpFee</f>
        <v>0</v>
      </c>
      <c r="BE111" s="71" t="n">
        <f aca="false">$BB111-$BC111+$BD111</f>
        <v>0</v>
      </c>
    </row>
    <row r="112" customFormat="false" ht="14.25" hidden="false" customHeight="false" outlineLevel="0" collapsed="false">
      <c r="A112" s="61"/>
      <c r="B112" s="62"/>
      <c r="C112" s="61"/>
      <c r="D112" s="61"/>
      <c r="E112" s="61"/>
      <c r="F112" s="63"/>
      <c r="G112" s="64"/>
      <c r="H112" s="64"/>
      <c r="I112" s="63"/>
      <c r="J112" s="63"/>
      <c r="K112" s="61"/>
      <c r="L112" s="65"/>
      <c r="M112" s="65"/>
      <c r="N112" s="61"/>
      <c r="O112" s="64"/>
      <c r="P112" s="65"/>
      <c r="Q112" s="65"/>
      <c r="R112" s="66"/>
      <c r="S112" s="65"/>
      <c r="T112" s="65"/>
      <c r="U112" s="67"/>
      <c r="V112" s="65"/>
      <c r="W112" s="65"/>
      <c r="X112" s="63"/>
      <c r="Y112" s="63"/>
      <c r="Z112" s="61"/>
      <c r="AA112" s="61"/>
      <c r="AB112" s="61"/>
      <c r="AC112" s="61"/>
      <c r="AD112" s="61"/>
      <c r="AE112" s="61"/>
      <c r="AF112" s="61"/>
      <c r="AG112" s="61"/>
      <c r="AH112" s="68" t="n">
        <f aca="false">IF(G112="",0,ROUND((Strats!$C$4-G112)/30.4375,1))</f>
        <v>0</v>
      </c>
      <c r="AI112" s="69" t="n">
        <f aca="false">IF(K112="",0,IF(K112="Floating",Strats!$C$10+M112,L112))</f>
        <v>0</v>
      </c>
      <c r="AJ112" s="68" t="str">
        <f aca="false">IF(OR(Z112="",Z112="Full Amortizing"),"",MAX(J112-AH112,0))</f>
        <v/>
      </c>
      <c r="AK112" s="69" t="n">
        <f aca="false">IF(K112="",0,IF(K112="Floating",IF(P112&lt;&gt;"",MIN(IF(Q112&lt;&gt;"",MAX((Strats!$C$10+Strats!$C$11+M112),Q112),(Strats!$C$10+Strats!$C$11+M112)),P112),IF(Q112&lt;&gt;"",MAX((Strats!$C$10+Strats!$C$11+M112),Q112),(Strats!$C$10+Strats!$C$11+M112))),AI112))</f>
        <v>0</v>
      </c>
      <c r="AL112" s="68" t="str">
        <f aca="false">IF(OR(E112="",E112&lt;&gt;'Deal Strat'!$C$12,R112=""),"",SUMPRODUCT((E$4:E$303='Deal Strat'!$C$12)*(R$4:R$303&gt;R112))+1+SUMPRODUCT((E$4:E$303='Deal Strat'!$C$12)*(R$4:R$303=R112)*(ROW(R$4:R$303)&lt;ROW(R112))))</f>
        <v/>
      </c>
      <c r="AM112" s="68" t="str">
        <f aca="false">IF(R112="","",RANK(R112,$R$4:$R$303,0)+COUNTIF($R$4:R112,R112)-1)</f>
        <v/>
      </c>
      <c r="AN112" s="26" t="n">
        <f aca="false">IF(OR($A112="",$R112=""),0,IF(Deal_Scope="All Deals",1,IF($E112=Deal_Scope,1,0)))</f>
        <v>0</v>
      </c>
      <c r="AO112" s="56" t="n">
        <f aca="false">IF($AN112=0,0,Px_Par)</f>
        <v>0</v>
      </c>
      <c r="AP112" s="70" t="n">
        <f aca="false">IF($H112="",0,MAX(0,($H112-Set_Date)/30.4375))</f>
        <v>0</v>
      </c>
      <c r="AQ112" s="26" t="n">
        <f aca="false">IF(AND(Ext_Flag="Yes",$AA112="Yes"),Ext_Months,0)</f>
        <v>0</v>
      </c>
      <c r="AR112" s="70" t="n">
        <f aca="false">$AP112+$AQ112</f>
        <v>0</v>
      </c>
      <c r="AS112" s="70" t="n">
        <f aca="false">$AR112/12</f>
        <v>0</v>
      </c>
      <c r="AT112" s="70" t="n">
        <f aca="false">IF($AJ112="",0,MAX(0,$AJ112/12))</f>
        <v>0</v>
      </c>
      <c r="AU112" s="70" t="n">
        <f aca="false">MAX(Amort_Min,Amort_Term-$AH112/12)</f>
        <v>30</v>
      </c>
      <c r="AV112" s="70" t="n">
        <f aca="false">MIN($AS112,Hold_Yrs)</f>
        <v>0</v>
      </c>
      <c r="AW112" s="26" t="n">
        <f aca="false">IF($AN112=0,0,CEILING(MAX($AS112,0.0001),1))</f>
        <v>0</v>
      </c>
      <c r="AX112" s="26" t="n">
        <f aca="false">IF(AND($AN112=1,MAX($AS112,0.0001)&lt;=Hold_Yrs),1,0)</f>
        <v>0</v>
      </c>
      <c r="AY112" s="71" t="n">
        <f aca="false">$R112*$AO112</f>
        <v>0</v>
      </c>
      <c r="AZ112" s="71" t="n">
        <f aca="false">$R112*Acc_Int*$AN112</f>
        <v>0</v>
      </c>
      <c r="BA112" s="71" t="n">
        <f aca="false">$AY112*Acq_Cost</f>
        <v>0</v>
      </c>
      <c r="BB112" s="71" t="n">
        <f aca="false">$AY112+$AZ112+$BA112</f>
        <v>0</v>
      </c>
      <c r="BC112" s="71" t="n">
        <f aca="false">IF(Fin_Flag="Yes",$AY112*Adv_Rate,0)</f>
        <v>0</v>
      </c>
      <c r="BD112" s="71" t="n">
        <f aca="false">$BC112*Fin_UpFee</f>
        <v>0</v>
      </c>
      <c r="BE112" s="71" t="n">
        <f aca="false">$BB112-$BC112+$BD112</f>
        <v>0</v>
      </c>
    </row>
    <row r="113" customFormat="false" ht="14.25" hidden="false" customHeight="false" outlineLevel="0" collapsed="false">
      <c r="A113" s="61"/>
      <c r="B113" s="62"/>
      <c r="C113" s="61"/>
      <c r="D113" s="61"/>
      <c r="E113" s="61"/>
      <c r="F113" s="63"/>
      <c r="G113" s="64"/>
      <c r="H113" s="64"/>
      <c r="I113" s="63"/>
      <c r="J113" s="63"/>
      <c r="K113" s="61"/>
      <c r="L113" s="65"/>
      <c r="M113" s="65"/>
      <c r="N113" s="61"/>
      <c r="O113" s="64"/>
      <c r="P113" s="65"/>
      <c r="Q113" s="65"/>
      <c r="R113" s="66"/>
      <c r="S113" s="65"/>
      <c r="T113" s="65"/>
      <c r="U113" s="67"/>
      <c r="V113" s="65"/>
      <c r="W113" s="65"/>
      <c r="X113" s="63"/>
      <c r="Y113" s="63"/>
      <c r="Z113" s="61"/>
      <c r="AA113" s="61"/>
      <c r="AB113" s="61"/>
      <c r="AC113" s="61"/>
      <c r="AD113" s="61"/>
      <c r="AE113" s="61"/>
      <c r="AF113" s="61"/>
      <c r="AG113" s="61"/>
      <c r="AH113" s="68" t="n">
        <f aca="false">IF(G113="",0,ROUND((Strats!$C$4-G113)/30.4375,1))</f>
        <v>0</v>
      </c>
      <c r="AI113" s="69" t="n">
        <f aca="false">IF(K113="",0,IF(K113="Floating",Strats!$C$10+M113,L113))</f>
        <v>0</v>
      </c>
      <c r="AJ113" s="68" t="str">
        <f aca="false">IF(OR(Z113="",Z113="Full Amortizing"),"",MAX(J113-AH113,0))</f>
        <v/>
      </c>
      <c r="AK113" s="69" t="n">
        <f aca="false">IF(K113="",0,IF(K113="Floating",IF(P113&lt;&gt;"",MIN(IF(Q113&lt;&gt;"",MAX((Strats!$C$10+Strats!$C$11+M113),Q113),(Strats!$C$10+Strats!$C$11+M113)),P113),IF(Q113&lt;&gt;"",MAX((Strats!$C$10+Strats!$C$11+M113),Q113),(Strats!$C$10+Strats!$C$11+M113))),AI113))</f>
        <v>0</v>
      </c>
      <c r="AL113" s="68" t="str">
        <f aca="false">IF(OR(E113="",E113&lt;&gt;'Deal Strat'!$C$12,R113=""),"",SUMPRODUCT((E$4:E$303='Deal Strat'!$C$12)*(R$4:R$303&gt;R113))+1+SUMPRODUCT((E$4:E$303='Deal Strat'!$C$12)*(R$4:R$303=R113)*(ROW(R$4:R$303)&lt;ROW(R113))))</f>
        <v/>
      </c>
      <c r="AM113" s="68" t="str">
        <f aca="false">IF(R113="","",RANK(R113,$R$4:$R$303,0)+COUNTIF($R$4:R113,R113)-1)</f>
        <v/>
      </c>
      <c r="AN113" s="26" t="n">
        <f aca="false">IF(OR($A113="",$R113=""),0,IF(Deal_Scope="All Deals",1,IF($E113=Deal_Scope,1,0)))</f>
        <v>0</v>
      </c>
      <c r="AO113" s="56" t="n">
        <f aca="false">IF($AN113=0,0,Px_Par)</f>
        <v>0</v>
      </c>
      <c r="AP113" s="70" t="n">
        <f aca="false">IF($H113="",0,MAX(0,($H113-Set_Date)/30.4375))</f>
        <v>0</v>
      </c>
      <c r="AQ113" s="26" t="n">
        <f aca="false">IF(AND(Ext_Flag="Yes",$AA113="Yes"),Ext_Months,0)</f>
        <v>0</v>
      </c>
      <c r="AR113" s="70" t="n">
        <f aca="false">$AP113+$AQ113</f>
        <v>0</v>
      </c>
      <c r="AS113" s="70" t="n">
        <f aca="false">$AR113/12</f>
        <v>0</v>
      </c>
      <c r="AT113" s="70" t="n">
        <f aca="false">IF($AJ113="",0,MAX(0,$AJ113/12))</f>
        <v>0</v>
      </c>
      <c r="AU113" s="70" t="n">
        <f aca="false">MAX(Amort_Min,Amort_Term-$AH113/12)</f>
        <v>30</v>
      </c>
      <c r="AV113" s="70" t="n">
        <f aca="false">MIN($AS113,Hold_Yrs)</f>
        <v>0</v>
      </c>
      <c r="AW113" s="26" t="n">
        <f aca="false">IF($AN113=0,0,CEILING(MAX($AS113,0.0001),1))</f>
        <v>0</v>
      </c>
      <c r="AX113" s="26" t="n">
        <f aca="false">IF(AND($AN113=1,MAX($AS113,0.0001)&lt;=Hold_Yrs),1,0)</f>
        <v>0</v>
      </c>
      <c r="AY113" s="71" t="n">
        <f aca="false">$R113*$AO113</f>
        <v>0</v>
      </c>
      <c r="AZ113" s="71" t="n">
        <f aca="false">$R113*Acc_Int*$AN113</f>
        <v>0</v>
      </c>
      <c r="BA113" s="71" t="n">
        <f aca="false">$AY113*Acq_Cost</f>
        <v>0</v>
      </c>
      <c r="BB113" s="71" t="n">
        <f aca="false">$AY113+$AZ113+$BA113</f>
        <v>0</v>
      </c>
      <c r="BC113" s="71" t="n">
        <f aca="false">IF(Fin_Flag="Yes",$AY113*Adv_Rate,0)</f>
        <v>0</v>
      </c>
      <c r="BD113" s="71" t="n">
        <f aca="false">$BC113*Fin_UpFee</f>
        <v>0</v>
      </c>
      <c r="BE113" s="71" t="n">
        <f aca="false">$BB113-$BC113+$BD113</f>
        <v>0</v>
      </c>
    </row>
    <row r="114" customFormat="false" ht="14.25" hidden="false" customHeight="false" outlineLevel="0" collapsed="false">
      <c r="A114" s="61"/>
      <c r="B114" s="62"/>
      <c r="C114" s="61"/>
      <c r="D114" s="61"/>
      <c r="E114" s="61"/>
      <c r="F114" s="63"/>
      <c r="G114" s="64"/>
      <c r="H114" s="64"/>
      <c r="I114" s="63"/>
      <c r="J114" s="63"/>
      <c r="K114" s="61"/>
      <c r="L114" s="65"/>
      <c r="M114" s="65"/>
      <c r="N114" s="61"/>
      <c r="O114" s="64"/>
      <c r="P114" s="65"/>
      <c r="Q114" s="65"/>
      <c r="R114" s="66"/>
      <c r="S114" s="65"/>
      <c r="T114" s="65"/>
      <c r="U114" s="67"/>
      <c r="V114" s="65"/>
      <c r="W114" s="65"/>
      <c r="X114" s="63"/>
      <c r="Y114" s="63"/>
      <c r="Z114" s="61"/>
      <c r="AA114" s="61"/>
      <c r="AB114" s="61"/>
      <c r="AC114" s="61"/>
      <c r="AD114" s="61"/>
      <c r="AE114" s="61"/>
      <c r="AF114" s="61"/>
      <c r="AG114" s="61"/>
      <c r="AH114" s="68" t="n">
        <f aca="false">IF(G114="",0,ROUND((Strats!$C$4-G114)/30.4375,1))</f>
        <v>0</v>
      </c>
      <c r="AI114" s="69" t="n">
        <f aca="false">IF(K114="",0,IF(K114="Floating",Strats!$C$10+M114,L114))</f>
        <v>0</v>
      </c>
      <c r="AJ114" s="68" t="str">
        <f aca="false">IF(OR(Z114="",Z114="Full Amortizing"),"",MAX(J114-AH114,0))</f>
        <v/>
      </c>
      <c r="AK114" s="69" t="n">
        <f aca="false">IF(K114="",0,IF(K114="Floating",IF(P114&lt;&gt;"",MIN(IF(Q114&lt;&gt;"",MAX((Strats!$C$10+Strats!$C$11+M114),Q114),(Strats!$C$10+Strats!$C$11+M114)),P114),IF(Q114&lt;&gt;"",MAX((Strats!$C$10+Strats!$C$11+M114),Q114),(Strats!$C$10+Strats!$C$11+M114))),AI114))</f>
        <v>0</v>
      </c>
      <c r="AL114" s="68" t="str">
        <f aca="false">IF(OR(E114="",E114&lt;&gt;'Deal Strat'!$C$12,R114=""),"",SUMPRODUCT((E$4:E$303='Deal Strat'!$C$12)*(R$4:R$303&gt;R114))+1+SUMPRODUCT((E$4:E$303='Deal Strat'!$C$12)*(R$4:R$303=R114)*(ROW(R$4:R$303)&lt;ROW(R114))))</f>
        <v/>
      </c>
      <c r="AM114" s="68" t="str">
        <f aca="false">IF(R114="","",RANK(R114,$R$4:$R$303,0)+COUNTIF($R$4:R114,R114)-1)</f>
        <v/>
      </c>
      <c r="AN114" s="26" t="n">
        <f aca="false">IF(OR($A114="",$R114=""),0,IF(Deal_Scope="All Deals",1,IF($E114=Deal_Scope,1,0)))</f>
        <v>0</v>
      </c>
      <c r="AO114" s="56" t="n">
        <f aca="false">IF($AN114=0,0,Px_Par)</f>
        <v>0</v>
      </c>
      <c r="AP114" s="70" t="n">
        <f aca="false">IF($H114="",0,MAX(0,($H114-Set_Date)/30.4375))</f>
        <v>0</v>
      </c>
      <c r="AQ114" s="26" t="n">
        <f aca="false">IF(AND(Ext_Flag="Yes",$AA114="Yes"),Ext_Months,0)</f>
        <v>0</v>
      </c>
      <c r="AR114" s="70" t="n">
        <f aca="false">$AP114+$AQ114</f>
        <v>0</v>
      </c>
      <c r="AS114" s="70" t="n">
        <f aca="false">$AR114/12</f>
        <v>0</v>
      </c>
      <c r="AT114" s="70" t="n">
        <f aca="false">IF($AJ114="",0,MAX(0,$AJ114/12))</f>
        <v>0</v>
      </c>
      <c r="AU114" s="70" t="n">
        <f aca="false">MAX(Amort_Min,Amort_Term-$AH114/12)</f>
        <v>30</v>
      </c>
      <c r="AV114" s="70" t="n">
        <f aca="false">MIN($AS114,Hold_Yrs)</f>
        <v>0</v>
      </c>
      <c r="AW114" s="26" t="n">
        <f aca="false">IF($AN114=0,0,CEILING(MAX($AS114,0.0001),1))</f>
        <v>0</v>
      </c>
      <c r="AX114" s="26" t="n">
        <f aca="false">IF(AND($AN114=1,MAX($AS114,0.0001)&lt;=Hold_Yrs),1,0)</f>
        <v>0</v>
      </c>
      <c r="AY114" s="71" t="n">
        <f aca="false">$R114*$AO114</f>
        <v>0</v>
      </c>
      <c r="AZ114" s="71" t="n">
        <f aca="false">$R114*Acc_Int*$AN114</f>
        <v>0</v>
      </c>
      <c r="BA114" s="71" t="n">
        <f aca="false">$AY114*Acq_Cost</f>
        <v>0</v>
      </c>
      <c r="BB114" s="71" t="n">
        <f aca="false">$AY114+$AZ114+$BA114</f>
        <v>0</v>
      </c>
      <c r="BC114" s="71" t="n">
        <f aca="false">IF(Fin_Flag="Yes",$AY114*Adv_Rate,0)</f>
        <v>0</v>
      </c>
      <c r="BD114" s="71" t="n">
        <f aca="false">$BC114*Fin_UpFee</f>
        <v>0</v>
      </c>
      <c r="BE114" s="71" t="n">
        <f aca="false">$BB114-$BC114+$BD114</f>
        <v>0</v>
      </c>
    </row>
    <row r="115" customFormat="false" ht="14.25" hidden="false" customHeight="false" outlineLevel="0" collapsed="false">
      <c r="A115" s="61"/>
      <c r="B115" s="62"/>
      <c r="C115" s="61"/>
      <c r="D115" s="61"/>
      <c r="E115" s="61"/>
      <c r="F115" s="63"/>
      <c r="G115" s="64"/>
      <c r="H115" s="64"/>
      <c r="I115" s="63"/>
      <c r="J115" s="63"/>
      <c r="K115" s="61"/>
      <c r="L115" s="65"/>
      <c r="M115" s="65"/>
      <c r="N115" s="61"/>
      <c r="O115" s="64"/>
      <c r="P115" s="65"/>
      <c r="Q115" s="65"/>
      <c r="R115" s="66"/>
      <c r="S115" s="65"/>
      <c r="T115" s="65"/>
      <c r="U115" s="67"/>
      <c r="V115" s="65"/>
      <c r="W115" s="65"/>
      <c r="X115" s="63"/>
      <c r="Y115" s="63"/>
      <c r="Z115" s="61"/>
      <c r="AA115" s="61"/>
      <c r="AB115" s="61"/>
      <c r="AC115" s="61"/>
      <c r="AD115" s="61"/>
      <c r="AE115" s="61"/>
      <c r="AF115" s="61"/>
      <c r="AG115" s="61"/>
      <c r="AH115" s="68" t="n">
        <f aca="false">IF(G115="",0,ROUND((Strats!$C$4-G115)/30.4375,1))</f>
        <v>0</v>
      </c>
      <c r="AI115" s="69" t="n">
        <f aca="false">IF(K115="",0,IF(K115="Floating",Strats!$C$10+M115,L115))</f>
        <v>0</v>
      </c>
      <c r="AJ115" s="68" t="str">
        <f aca="false">IF(OR(Z115="",Z115="Full Amortizing"),"",MAX(J115-AH115,0))</f>
        <v/>
      </c>
      <c r="AK115" s="69" t="n">
        <f aca="false">IF(K115="",0,IF(K115="Floating",IF(P115&lt;&gt;"",MIN(IF(Q115&lt;&gt;"",MAX((Strats!$C$10+Strats!$C$11+M115),Q115),(Strats!$C$10+Strats!$C$11+M115)),P115),IF(Q115&lt;&gt;"",MAX((Strats!$C$10+Strats!$C$11+M115),Q115),(Strats!$C$10+Strats!$C$11+M115))),AI115))</f>
        <v>0</v>
      </c>
      <c r="AL115" s="68" t="str">
        <f aca="false">IF(OR(E115="",E115&lt;&gt;'Deal Strat'!$C$12,R115=""),"",SUMPRODUCT((E$4:E$303='Deal Strat'!$C$12)*(R$4:R$303&gt;R115))+1+SUMPRODUCT((E$4:E$303='Deal Strat'!$C$12)*(R$4:R$303=R115)*(ROW(R$4:R$303)&lt;ROW(R115))))</f>
        <v/>
      </c>
      <c r="AM115" s="68" t="str">
        <f aca="false">IF(R115="","",RANK(R115,$R$4:$R$303,0)+COUNTIF($R$4:R115,R115)-1)</f>
        <v/>
      </c>
      <c r="AN115" s="26" t="n">
        <f aca="false">IF(OR($A115="",$R115=""),0,IF(Deal_Scope="All Deals",1,IF($E115=Deal_Scope,1,0)))</f>
        <v>0</v>
      </c>
      <c r="AO115" s="56" t="n">
        <f aca="false">IF($AN115=0,0,Px_Par)</f>
        <v>0</v>
      </c>
      <c r="AP115" s="70" t="n">
        <f aca="false">IF($H115="",0,MAX(0,($H115-Set_Date)/30.4375))</f>
        <v>0</v>
      </c>
      <c r="AQ115" s="26" t="n">
        <f aca="false">IF(AND(Ext_Flag="Yes",$AA115="Yes"),Ext_Months,0)</f>
        <v>0</v>
      </c>
      <c r="AR115" s="70" t="n">
        <f aca="false">$AP115+$AQ115</f>
        <v>0</v>
      </c>
      <c r="AS115" s="70" t="n">
        <f aca="false">$AR115/12</f>
        <v>0</v>
      </c>
      <c r="AT115" s="70" t="n">
        <f aca="false">IF($AJ115="",0,MAX(0,$AJ115/12))</f>
        <v>0</v>
      </c>
      <c r="AU115" s="70" t="n">
        <f aca="false">MAX(Amort_Min,Amort_Term-$AH115/12)</f>
        <v>30</v>
      </c>
      <c r="AV115" s="70" t="n">
        <f aca="false">MIN($AS115,Hold_Yrs)</f>
        <v>0</v>
      </c>
      <c r="AW115" s="26" t="n">
        <f aca="false">IF($AN115=0,0,CEILING(MAX($AS115,0.0001),1))</f>
        <v>0</v>
      </c>
      <c r="AX115" s="26" t="n">
        <f aca="false">IF(AND($AN115=1,MAX($AS115,0.0001)&lt;=Hold_Yrs),1,0)</f>
        <v>0</v>
      </c>
      <c r="AY115" s="71" t="n">
        <f aca="false">$R115*$AO115</f>
        <v>0</v>
      </c>
      <c r="AZ115" s="71" t="n">
        <f aca="false">$R115*Acc_Int*$AN115</f>
        <v>0</v>
      </c>
      <c r="BA115" s="71" t="n">
        <f aca="false">$AY115*Acq_Cost</f>
        <v>0</v>
      </c>
      <c r="BB115" s="71" t="n">
        <f aca="false">$AY115+$AZ115+$BA115</f>
        <v>0</v>
      </c>
      <c r="BC115" s="71" t="n">
        <f aca="false">IF(Fin_Flag="Yes",$AY115*Adv_Rate,0)</f>
        <v>0</v>
      </c>
      <c r="BD115" s="71" t="n">
        <f aca="false">$BC115*Fin_UpFee</f>
        <v>0</v>
      </c>
      <c r="BE115" s="71" t="n">
        <f aca="false">$BB115-$BC115+$BD115</f>
        <v>0</v>
      </c>
    </row>
    <row r="116" customFormat="false" ht="14.25" hidden="false" customHeight="false" outlineLevel="0" collapsed="false">
      <c r="A116" s="61"/>
      <c r="B116" s="62"/>
      <c r="C116" s="61"/>
      <c r="D116" s="61"/>
      <c r="E116" s="61"/>
      <c r="F116" s="63"/>
      <c r="G116" s="64"/>
      <c r="H116" s="64"/>
      <c r="I116" s="63"/>
      <c r="J116" s="63"/>
      <c r="K116" s="61"/>
      <c r="L116" s="65"/>
      <c r="M116" s="65"/>
      <c r="N116" s="61"/>
      <c r="O116" s="64"/>
      <c r="P116" s="65"/>
      <c r="Q116" s="65"/>
      <c r="R116" s="66"/>
      <c r="S116" s="65"/>
      <c r="T116" s="65"/>
      <c r="U116" s="67"/>
      <c r="V116" s="65"/>
      <c r="W116" s="65"/>
      <c r="X116" s="63"/>
      <c r="Y116" s="63"/>
      <c r="Z116" s="61"/>
      <c r="AA116" s="61"/>
      <c r="AB116" s="61"/>
      <c r="AC116" s="61"/>
      <c r="AD116" s="61"/>
      <c r="AE116" s="61"/>
      <c r="AF116" s="61"/>
      <c r="AG116" s="61"/>
      <c r="AH116" s="68" t="n">
        <f aca="false">IF(G116="",0,ROUND((Strats!$C$4-G116)/30.4375,1))</f>
        <v>0</v>
      </c>
      <c r="AI116" s="69" t="n">
        <f aca="false">IF(K116="",0,IF(K116="Floating",Strats!$C$10+M116,L116))</f>
        <v>0</v>
      </c>
      <c r="AJ116" s="68" t="str">
        <f aca="false">IF(OR(Z116="",Z116="Full Amortizing"),"",MAX(J116-AH116,0))</f>
        <v/>
      </c>
      <c r="AK116" s="69" t="n">
        <f aca="false">IF(K116="",0,IF(K116="Floating",IF(P116&lt;&gt;"",MIN(IF(Q116&lt;&gt;"",MAX((Strats!$C$10+Strats!$C$11+M116),Q116),(Strats!$C$10+Strats!$C$11+M116)),P116),IF(Q116&lt;&gt;"",MAX((Strats!$C$10+Strats!$C$11+M116),Q116),(Strats!$C$10+Strats!$C$11+M116))),AI116))</f>
        <v>0</v>
      </c>
      <c r="AL116" s="68" t="str">
        <f aca="false">IF(OR(E116="",E116&lt;&gt;'Deal Strat'!$C$12,R116=""),"",SUMPRODUCT((E$4:E$303='Deal Strat'!$C$12)*(R$4:R$303&gt;R116))+1+SUMPRODUCT((E$4:E$303='Deal Strat'!$C$12)*(R$4:R$303=R116)*(ROW(R$4:R$303)&lt;ROW(R116))))</f>
        <v/>
      </c>
      <c r="AM116" s="68" t="str">
        <f aca="false">IF(R116="","",RANK(R116,$R$4:$R$303,0)+COUNTIF($R$4:R116,R116)-1)</f>
        <v/>
      </c>
      <c r="AN116" s="26" t="n">
        <f aca="false">IF(OR($A116="",$R116=""),0,IF(Deal_Scope="All Deals",1,IF($E116=Deal_Scope,1,0)))</f>
        <v>0</v>
      </c>
      <c r="AO116" s="56" t="n">
        <f aca="false">IF($AN116=0,0,Px_Par)</f>
        <v>0</v>
      </c>
      <c r="AP116" s="70" t="n">
        <f aca="false">IF($H116="",0,MAX(0,($H116-Set_Date)/30.4375))</f>
        <v>0</v>
      </c>
      <c r="AQ116" s="26" t="n">
        <f aca="false">IF(AND(Ext_Flag="Yes",$AA116="Yes"),Ext_Months,0)</f>
        <v>0</v>
      </c>
      <c r="AR116" s="70" t="n">
        <f aca="false">$AP116+$AQ116</f>
        <v>0</v>
      </c>
      <c r="AS116" s="70" t="n">
        <f aca="false">$AR116/12</f>
        <v>0</v>
      </c>
      <c r="AT116" s="70" t="n">
        <f aca="false">IF($AJ116="",0,MAX(0,$AJ116/12))</f>
        <v>0</v>
      </c>
      <c r="AU116" s="70" t="n">
        <f aca="false">MAX(Amort_Min,Amort_Term-$AH116/12)</f>
        <v>30</v>
      </c>
      <c r="AV116" s="70" t="n">
        <f aca="false">MIN($AS116,Hold_Yrs)</f>
        <v>0</v>
      </c>
      <c r="AW116" s="26" t="n">
        <f aca="false">IF($AN116=0,0,CEILING(MAX($AS116,0.0001),1))</f>
        <v>0</v>
      </c>
      <c r="AX116" s="26" t="n">
        <f aca="false">IF(AND($AN116=1,MAX($AS116,0.0001)&lt;=Hold_Yrs),1,0)</f>
        <v>0</v>
      </c>
      <c r="AY116" s="71" t="n">
        <f aca="false">$R116*$AO116</f>
        <v>0</v>
      </c>
      <c r="AZ116" s="71" t="n">
        <f aca="false">$R116*Acc_Int*$AN116</f>
        <v>0</v>
      </c>
      <c r="BA116" s="71" t="n">
        <f aca="false">$AY116*Acq_Cost</f>
        <v>0</v>
      </c>
      <c r="BB116" s="71" t="n">
        <f aca="false">$AY116+$AZ116+$BA116</f>
        <v>0</v>
      </c>
      <c r="BC116" s="71" t="n">
        <f aca="false">IF(Fin_Flag="Yes",$AY116*Adv_Rate,0)</f>
        <v>0</v>
      </c>
      <c r="BD116" s="71" t="n">
        <f aca="false">$BC116*Fin_UpFee</f>
        <v>0</v>
      </c>
      <c r="BE116" s="71" t="n">
        <f aca="false">$BB116-$BC116+$BD116</f>
        <v>0</v>
      </c>
    </row>
    <row r="117" customFormat="false" ht="14.25" hidden="false" customHeight="false" outlineLevel="0" collapsed="false">
      <c r="A117" s="61"/>
      <c r="B117" s="62"/>
      <c r="C117" s="61"/>
      <c r="D117" s="61"/>
      <c r="E117" s="61"/>
      <c r="F117" s="63"/>
      <c r="G117" s="64"/>
      <c r="H117" s="64"/>
      <c r="I117" s="63"/>
      <c r="J117" s="63"/>
      <c r="K117" s="61"/>
      <c r="L117" s="65"/>
      <c r="M117" s="65"/>
      <c r="N117" s="61"/>
      <c r="O117" s="64"/>
      <c r="P117" s="65"/>
      <c r="Q117" s="65"/>
      <c r="R117" s="66"/>
      <c r="S117" s="65"/>
      <c r="T117" s="65"/>
      <c r="U117" s="67"/>
      <c r="V117" s="65"/>
      <c r="W117" s="65"/>
      <c r="X117" s="63"/>
      <c r="Y117" s="63"/>
      <c r="Z117" s="61"/>
      <c r="AA117" s="61"/>
      <c r="AB117" s="61"/>
      <c r="AC117" s="61"/>
      <c r="AD117" s="61"/>
      <c r="AE117" s="61"/>
      <c r="AF117" s="61"/>
      <c r="AG117" s="61"/>
      <c r="AH117" s="68" t="n">
        <f aca="false">IF(G117="",0,ROUND((Strats!$C$4-G117)/30.4375,1))</f>
        <v>0</v>
      </c>
      <c r="AI117" s="69" t="n">
        <f aca="false">IF(K117="",0,IF(K117="Floating",Strats!$C$10+M117,L117))</f>
        <v>0</v>
      </c>
      <c r="AJ117" s="68" t="str">
        <f aca="false">IF(OR(Z117="",Z117="Full Amortizing"),"",MAX(J117-AH117,0))</f>
        <v/>
      </c>
      <c r="AK117" s="69" t="n">
        <f aca="false">IF(K117="",0,IF(K117="Floating",IF(P117&lt;&gt;"",MIN(IF(Q117&lt;&gt;"",MAX((Strats!$C$10+Strats!$C$11+M117),Q117),(Strats!$C$10+Strats!$C$11+M117)),P117),IF(Q117&lt;&gt;"",MAX((Strats!$C$10+Strats!$C$11+M117),Q117),(Strats!$C$10+Strats!$C$11+M117))),AI117))</f>
        <v>0</v>
      </c>
      <c r="AL117" s="68" t="str">
        <f aca="false">IF(OR(E117="",E117&lt;&gt;'Deal Strat'!$C$12,R117=""),"",SUMPRODUCT((E$4:E$303='Deal Strat'!$C$12)*(R$4:R$303&gt;R117))+1+SUMPRODUCT((E$4:E$303='Deal Strat'!$C$12)*(R$4:R$303=R117)*(ROW(R$4:R$303)&lt;ROW(R117))))</f>
        <v/>
      </c>
      <c r="AM117" s="68" t="str">
        <f aca="false">IF(R117="","",RANK(R117,$R$4:$R$303,0)+COUNTIF($R$4:R117,R117)-1)</f>
        <v/>
      </c>
      <c r="AN117" s="26" t="n">
        <f aca="false">IF(OR($A117="",$R117=""),0,IF(Deal_Scope="All Deals",1,IF($E117=Deal_Scope,1,0)))</f>
        <v>0</v>
      </c>
      <c r="AO117" s="56" t="n">
        <f aca="false">IF($AN117=0,0,Px_Par)</f>
        <v>0</v>
      </c>
      <c r="AP117" s="70" t="n">
        <f aca="false">IF($H117="",0,MAX(0,($H117-Set_Date)/30.4375))</f>
        <v>0</v>
      </c>
      <c r="AQ117" s="26" t="n">
        <f aca="false">IF(AND(Ext_Flag="Yes",$AA117="Yes"),Ext_Months,0)</f>
        <v>0</v>
      </c>
      <c r="AR117" s="70" t="n">
        <f aca="false">$AP117+$AQ117</f>
        <v>0</v>
      </c>
      <c r="AS117" s="70" t="n">
        <f aca="false">$AR117/12</f>
        <v>0</v>
      </c>
      <c r="AT117" s="70" t="n">
        <f aca="false">IF($AJ117="",0,MAX(0,$AJ117/12))</f>
        <v>0</v>
      </c>
      <c r="AU117" s="70" t="n">
        <f aca="false">MAX(Amort_Min,Amort_Term-$AH117/12)</f>
        <v>30</v>
      </c>
      <c r="AV117" s="70" t="n">
        <f aca="false">MIN($AS117,Hold_Yrs)</f>
        <v>0</v>
      </c>
      <c r="AW117" s="26" t="n">
        <f aca="false">IF($AN117=0,0,CEILING(MAX($AS117,0.0001),1))</f>
        <v>0</v>
      </c>
      <c r="AX117" s="26" t="n">
        <f aca="false">IF(AND($AN117=1,MAX($AS117,0.0001)&lt;=Hold_Yrs),1,0)</f>
        <v>0</v>
      </c>
      <c r="AY117" s="71" t="n">
        <f aca="false">$R117*$AO117</f>
        <v>0</v>
      </c>
      <c r="AZ117" s="71" t="n">
        <f aca="false">$R117*Acc_Int*$AN117</f>
        <v>0</v>
      </c>
      <c r="BA117" s="71" t="n">
        <f aca="false">$AY117*Acq_Cost</f>
        <v>0</v>
      </c>
      <c r="BB117" s="71" t="n">
        <f aca="false">$AY117+$AZ117+$BA117</f>
        <v>0</v>
      </c>
      <c r="BC117" s="71" t="n">
        <f aca="false">IF(Fin_Flag="Yes",$AY117*Adv_Rate,0)</f>
        <v>0</v>
      </c>
      <c r="BD117" s="71" t="n">
        <f aca="false">$BC117*Fin_UpFee</f>
        <v>0</v>
      </c>
      <c r="BE117" s="71" t="n">
        <f aca="false">$BB117-$BC117+$BD117</f>
        <v>0</v>
      </c>
    </row>
    <row r="118" customFormat="false" ht="14.25" hidden="false" customHeight="false" outlineLevel="0" collapsed="false">
      <c r="A118" s="61"/>
      <c r="B118" s="62"/>
      <c r="C118" s="61"/>
      <c r="D118" s="61"/>
      <c r="E118" s="61"/>
      <c r="F118" s="63"/>
      <c r="G118" s="64"/>
      <c r="H118" s="64"/>
      <c r="I118" s="63"/>
      <c r="J118" s="63"/>
      <c r="K118" s="61"/>
      <c r="L118" s="65"/>
      <c r="M118" s="65"/>
      <c r="N118" s="61"/>
      <c r="O118" s="64"/>
      <c r="P118" s="65"/>
      <c r="Q118" s="65"/>
      <c r="R118" s="66"/>
      <c r="S118" s="65"/>
      <c r="T118" s="65"/>
      <c r="U118" s="67"/>
      <c r="V118" s="65"/>
      <c r="W118" s="65"/>
      <c r="X118" s="63"/>
      <c r="Y118" s="63"/>
      <c r="Z118" s="61"/>
      <c r="AA118" s="61"/>
      <c r="AB118" s="61"/>
      <c r="AC118" s="61"/>
      <c r="AD118" s="61"/>
      <c r="AE118" s="61"/>
      <c r="AF118" s="61"/>
      <c r="AG118" s="61"/>
      <c r="AH118" s="68" t="n">
        <f aca="false">IF(G118="",0,ROUND((Strats!$C$4-G118)/30.4375,1))</f>
        <v>0</v>
      </c>
      <c r="AI118" s="69" t="n">
        <f aca="false">IF(K118="",0,IF(K118="Floating",Strats!$C$10+M118,L118))</f>
        <v>0</v>
      </c>
      <c r="AJ118" s="68" t="str">
        <f aca="false">IF(OR(Z118="",Z118="Full Amortizing"),"",MAX(J118-AH118,0))</f>
        <v/>
      </c>
      <c r="AK118" s="69" t="n">
        <f aca="false">IF(K118="",0,IF(K118="Floating",IF(P118&lt;&gt;"",MIN(IF(Q118&lt;&gt;"",MAX((Strats!$C$10+Strats!$C$11+M118),Q118),(Strats!$C$10+Strats!$C$11+M118)),P118),IF(Q118&lt;&gt;"",MAX((Strats!$C$10+Strats!$C$11+M118),Q118),(Strats!$C$10+Strats!$C$11+M118))),AI118))</f>
        <v>0</v>
      </c>
      <c r="AL118" s="68" t="str">
        <f aca="false">IF(OR(E118="",E118&lt;&gt;'Deal Strat'!$C$12,R118=""),"",SUMPRODUCT((E$4:E$303='Deal Strat'!$C$12)*(R$4:R$303&gt;R118))+1+SUMPRODUCT((E$4:E$303='Deal Strat'!$C$12)*(R$4:R$303=R118)*(ROW(R$4:R$303)&lt;ROW(R118))))</f>
        <v/>
      </c>
      <c r="AM118" s="68" t="str">
        <f aca="false">IF(R118="","",RANK(R118,$R$4:$R$303,0)+COUNTIF($R$4:R118,R118)-1)</f>
        <v/>
      </c>
      <c r="AN118" s="26" t="n">
        <f aca="false">IF(OR($A118="",$R118=""),0,IF(Deal_Scope="All Deals",1,IF($E118=Deal_Scope,1,0)))</f>
        <v>0</v>
      </c>
      <c r="AO118" s="56" t="n">
        <f aca="false">IF($AN118=0,0,Px_Par)</f>
        <v>0</v>
      </c>
      <c r="AP118" s="70" t="n">
        <f aca="false">IF($H118="",0,MAX(0,($H118-Set_Date)/30.4375))</f>
        <v>0</v>
      </c>
      <c r="AQ118" s="26" t="n">
        <f aca="false">IF(AND(Ext_Flag="Yes",$AA118="Yes"),Ext_Months,0)</f>
        <v>0</v>
      </c>
      <c r="AR118" s="70" t="n">
        <f aca="false">$AP118+$AQ118</f>
        <v>0</v>
      </c>
      <c r="AS118" s="70" t="n">
        <f aca="false">$AR118/12</f>
        <v>0</v>
      </c>
      <c r="AT118" s="70" t="n">
        <f aca="false">IF($AJ118="",0,MAX(0,$AJ118/12))</f>
        <v>0</v>
      </c>
      <c r="AU118" s="70" t="n">
        <f aca="false">MAX(Amort_Min,Amort_Term-$AH118/12)</f>
        <v>30</v>
      </c>
      <c r="AV118" s="70" t="n">
        <f aca="false">MIN($AS118,Hold_Yrs)</f>
        <v>0</v>
      </c>
      <c r="AW118" s="26" t="n">
        <f aca="false">IF($AN118=0,0,CEILING(MAX($AS118,0.0001),1))</f>
        <v>0</v>
      </c>
      <c r="AX118" s="26" t="n">
        <f aca="false">IF(AND($AN118=1,MAX($AS118,0.0001)&lt;=Hold_Yrs),1,0)</f>
        <v>0</v>
      </c>
      <c r="AY118" s="71" t="n">
        <f aca="false">$R118*$AO118</f>
        <v>0</v>
      </c>
      <c r="AZ118" s="71" t="n">
        <f aca="false">$R118*Acc_Int*$AN118</f>
        <v>0</v>
      </c>
      <c r="BA118" s="71" t="n">
        <f aca="false">$AY118*Acq_Cost</f>
        <v>0</v>
      </c>
      <c r="BB118" s="71" t="n">
        <f aca="false">$AY118+$AZ118+$BA118</f>
        <v>0</v>
      </c>
      <c r="BC118" s="71" t="n">
        <f aca="false">IF(Fin_Flag="Yes",$AY118*Adv_Rate,0)</f>
        <v>0</v>
      </c>
      <c r="BD118" s="71" t="n">
        <f aca="false">$BC118*Fin_UpFee</f>
        <v>0</v>
      </c>
      <c r="BE118" s="71" t="n">
        <f aca="false">$BB118-$BC118+$BD118</f>
        <v>0</v>
      </c>
    </row>
    <row r="119" customFormat="false" ht="14.25" hidden="false" customHeight="false" outlineLevel="0" collapsed="false">
      <c r="A119" s="61"/>
      <c r="B119" s="62"/>
      <c r="C119" s="61"/>
      <c r="D119" s="61"/>
      <c r="E119" s="61"/>
      <c r="F119" s="63"/>
      <c r="G119" s="64"/>
      <c r="H119" s="64"/>
      <c r="I119" s="63"/>
      <c r="J119" s="63"/>
      <c r="K119" s="61"/>
      <c r="L119" s="65"/>
      <c r="M119" s="65"/>
      <c r="N119" s="61"/>
      <c r="O119" s="64"/>
      <c r="P119" s="65"/>
      <c r="Q119" s="65"/>
      <c r="R119" s="66"/>
      <c r="S119" s="65"/>
      <c r="T119" s="65"/>
      <c r="U119" s="67"/>
      <c r="V119" s="65"/>
      <c r="W119" s="65"/>
      <c r="X119" s="63"/>
      <c r="Y119" s="63"/>
      <c r="Z119" s="61"/>
      <c r="AA119" s="61"/>
      <c r="AB119" s="61"/>
      <c r="AC119" s="61"/>
      <c r="AD119" s="61"/>
      <c r="AE119" s="61"/>
      <c r="AF119" s="61"/>
      <c r="AG119" s="61"/>
      <c r="AH119" s="68" t="n">
        <f aca="false">IF(G119="",0,ROUND((Strats!$C$4-G119)/30.4375,1))</f>
        <v>0</v>
      </c>
      <c r="AI119" s="69" t="n">
        <f aca="false">IF(K119="",0,IF(K119="Floating",Strats!$C$10+M119,L119))</f>
        <v>0</v>
      </c>
      <c r="AJ119" s="68" t="str">
        <f aca="false">IF(OR(Z119="",Z119="Full Amortizing"),"",MAX(J119-AH119,0))</f>
        <v/>
      </c>
      <c r="AK119" s="69" t="n">
        <f aca="false">IF(K119="",0,IF(K119="Floating",IF(P119&lt;&gt;"",MIN(IF(Q119&lt;&gt;"",MAX((Strats!$C$10+Strats!$C$11+M119),Q119),(Strats!$C$10+Strats!$C$11+M119)),P119),IF(Q119&lt;&gt;"",MAX((Strats!$C$10+Strats!$C$11+M119),Q119),(Strats!$C$10+Strats!$C$11+M119))),AI119))</f>
        <v>0</v>
      </c>
      <c r="AL119" s="68" t="str">
        <f aca="false">IF(OR(E119="",E119&lt;&gt;'Deal Strat'!$C$12,R119=""),"",SUMPRODUCT((E$4:E$303='Deal Strat'!$C$12)*(R$4:R$303&gt;R119))+1+SUMPRODUCT((E$4:E$303='Deal Strat'!$C$12)*(R$4:R$303=R119)*(ROW(R$4:R$303)&lt;ROW(R119))))</f>
        <v/>
      </c>
      <c r="AM119" s="68" t="str">
        <f aca="false">IF(R119="","",RANK(R119,$R$4:$R$303,0)+COUNTIF($R$4:R119,R119)-1)</f>
        <v/>
      </c>
      <c r="AN119" s="26" t="n">
        <f aca="false">IF(OR($A119="",$R119=""),0,IF(Deal_Scope="All Deals",1,IF($E119=Deal_Scope,1,0)))</f>
        <v>0</v>
      </c>
      <c r="AO119" s="56" t="n">
        <f aca="false">IF($AN119=0,0,Px_Par)</f>
        <v>0</v>
      </c>
      <c r="AP119" s="70" t="n">
        <f aca="false">IF($H119="",0,MAX(0,($H119-Set_Date)/30.4375))</f>
        <v>0</v>
      </c>
      <c r="AQ119" s="26" t="n">
        <f aca="false">IF(AND(Ext_Flag="Yes",$AA119="Yes"),Ext_Months,0)</f>
        <v>0</v>
      </c>
      <c r="AR119" s="70" t="n">
        <f aca="false">$AP119+$AQ119</f>
        <v>0</v>
      </c>
      <c r="AS119" s="70" t="n">
        <f aca="false">$AR119/12</f>
        <v>0</v>
      </c>
      <c r="AT119" s="70" t="n">
        <f aca="false">IF($AJ119="",0,MAX(0,$AJ119/12))</f>
        <v>0</v>
      </c>
      <c r="AU119" s="70" t="n">
        <f aca="false">MAX(Amort_Min,Amort_Term-$AH119/12)</f>
        <v>30</v>
      </c>
      <c r="AV119" s="70" t="n">
        <f aca="false">MIN($AS119,Hold_Yrs)</f>
        <v>0</v>
      </c>
      <c r="AW119" s="26" t="n">
        <f aca="false">IF($AN119=0,0,CEILING(MAX($AS119,0.0001),1))</f>
        <v>0</v>
      </c>
      <c r="AX119" s="26" t="n">
        <f aca="false">IF(AND($AN119=1,MAX($AS119,0.0001)&lt;=Hold_Yrs),1,0)</f>
        <v>0</v>
      </c>
      <c r="AY119" s="71" t="n">
        <f aca="false">$R119*$AO119</f>
        <v>0</v>
      </c>
      <c r="AZ119" s="71" t="n">
        <f aca="false">$R119*Acc_Int*$AN119</f>
        <v>0</v>
      </c>
      <c r="BA119" s="71" t="n">
        <f aca="false">$AY119*Acq_Cost</f>
        <v>0</v>
      </c>
      <c r="BB119" s="71" t="n">
        <f aca="false">$AY119+$AZ119+$BA119</f>
        <v>0</v>
      </c>
      <c r="BC119" s="71" t="n">
        <f aca="false">IF(Fin_Flag="Yes",$AY119*Adv_Rate,0)</f>
        <v>0</v>
      </c>
      <c r="BD119" s="71" t="n">
        <f aca="false">$BC119*Fin_UpFee</f>
        <v>0</v>
      </c>
      <c r="BE119" s="71" t="n">
        <f aca="false">$BB119-$BC119+$BD119</f>
        <v>0</v>
      </c>
    </row>
    <row r="120" customFormat="false" ht="14.25" hidden="false" customHeight="false" outlineLevel="0" collapsed="false">
      <c r="A120" s="61"/>
      <c r="B120" s="62"/>
      <c r="C120" s="61"/>
      <c r="D120" s="61"/>
      <c r="E120" s="61"/>
      <c r="F120" s="63"/>
      <c r="G120" s="64"/>
      <c r="H120" s="64"/>
      <c r="I120" s="63"/>
      <c r="J120" s="63"/>
      <c r="K120" s="61"/>
      <c r="L120" s="65"/>
      <c r="M120" s="65"/>
      <c r="N120" s="61"/>
      <c r="O120" s="64"/>
      <c r="P120" s="65"/>
      <c r="Q120" s="65"/>
      <c r="R120" s="66"/>
      <c r="S120" s="65"/>
      <c r="T120" s="65"/>
      <c r="U120" s="67"/>
      <c r="V120" s="65"/>
      <c r="W120" s="65"/>
      <c r="X120" s="63"/>
      <c r="Y120" s="63"/>
      <c r="Z120" s="61"/>
      <c r="AA120" s="61"/>
      <c r="AB120" s="61"/>
      <c r="AC120" s="61"/>
      <c r="AD120" s="61"/>
      <c r="AE120" s="61"/>
      <c r="AF120" s="61"/>
      <c r="AG120" s="61"/>
      <c r="AH120" s="68" t="n">
        <f aca="false">IF(G120="",0,ROUND((Strats!$C$4-G120)/30.4375,1))</f>
        <v>0</v>
      </c>
      <c r="AI120" s="69" t="n">
        <f aca="false">IF(K120="",0,IF(K120="Floating",Strats!$C$10+M120,L120))</f>
        <v>0</v>
      </c>
      <c r="AJ120" s="68" t="str">
        <f aca="false">IF(OR(Z120="",Z120="Full Amortizing"),"",MAX(J120-AH120,0))</f>
        <v/>
      </c>
      <c r="AK120" s="69" t="n">
        <f aca="false">IF(K120="",0,IF(K120="Floating",IF(P120&lt;&gt;"",MIN(IF(Q120&lt;&gt;"",MAX((Strats!$C$10+Strats!$C$11+M120),Q120),(Strats!$C$10+Strats!$C$11+M120)),P120),IF(Q120&lt;&gt;"",MAX((Strats!$C$10+Strats!$C$11+M120),Q120),(Strats!$C$10+Strats!$C$11+M120))),AI120))</f>
        <v>0</v>
      </c>
      <c r="AL120" s="68" t="str">
        <f aca="false">IF(OR(E120="",E120&lt;&gt;'Deal Strat'!$C$12,R120=""),"",SUMPRODUCT((E$4:E$303='Deal Strat'!$C$12)*(R$4:R$303&gt;R120))+1+SUMPRODUCT((E$4:E$303='Deal Strat'!$C$12)*(R$4:R$303=R120)*(ROW(R$4:R$303)&lt;ROW(R120))))</f>
        <v/>
      </c>
      <c r="AM120" s="68" t="str">
        <f aca="false">IF(R120="","",RANK(R120,$R$4:$R$303,0)+COUNTIF($R$4:R120,R120)-1)</f>
        <v/>
      </c>
      <c r="AN120" s="26" t="n">
        <f aca="false">IF(OR($A120="",$R120=""),0,IF(Deal_Scope="All Deals",1,IF($E120=Deal_Scope,1,0)))</f>
        <v>0</v>
      </c>
      <c r="AO120" s="56" t="n">
        <f aca="false">IF($AN120=0,0,Px_Par)</f>
        <v>0</v>
      </c>
      <c r="AP120" s="70" t="n">
        <f aca="false">IF($H120="",0,MAX(0,($H120-Set_Date)/30.4375))</f>
        <v>0</v>
      </c>
      <c r="AQ120" s="26" t="n">
        <f aca="false">IF(AND(Ext_Flag="Yes",$AA120="Yes"),Ext_Months,0)</f>
        <v>0</v>
      </c>
      <c r="AR120" s="70" t="n">
        <f aca="false">$AP120+$AQ120</f>
        <v>0</v>
      </c>
      <c r="AS120" s="70" t="n">
        <f aca="false">$AR120/12</f>
        <v>0</v>
      </c>
      <c r="AT120" s="70" t="n">
        <f aca="false">IF($AJ120="",0,MAX(0,$AJ120/12))</f>
        <v>0</v>
      </c>
      <c r="AU120" s="70" t="n">
        <f aca="false">MAX(Amort_Min,Amort_Term-$AH120/12)</f>
        <v>30</v>
      </c>
      <c r="AV120" s="70" t="n">
        <f aca="false">MIN($AS120,Hold_Yrs)</f>
        <v>0</v>
      </c>
      <c r="AW120" s="26" t="n">
        <f aca="false">IF($AN120=0,0,CEILING(MAX($AS120,0.0001),1))</f>
        <v>0</v>
      </c>
      <c r="AX120" s="26" t="n">
        <f aca="false">IF(AND($AN120=1,MAX($AS120,0.0001)&lt;=Hold_Yrs),1,0)</f>
        <v>0</v>
      </c>
      <c r="AY120" s="71" t="n">
        <f aca="false">$R120*$AO120</f>
        <v>0</v>
      </c>
      <c r="AZ120" s="71" t="n">
        <f aca="false">$R120*Acc_Int*$AN120</f>
        <v>0</v>
      </c>
      <c r="BA120" s="71" t="n">
        <f aca="false">$AY120*Acq_Cost</f>
        <v>0</v>
      </c>
      <c r="BB120" s="71" t="n">
        <f aca="false">$AY120+$AZ120+$BA120</f>
        <v>0</v>
      </c>
      <c r="BC120" s="71" t="n">
        <f aca="false">IF(Fin_Flag="Yes",$AY120*Adv_Rate,0)</f>
        <v>0</v>
      </c>
      <c r="BD120" s="71" t="n">
        <f aca="false">$BC120*Fin_UpFee</f>
        <v>0</v>
      </c>
      <c r="BE120" s="71" t="n">
        <f aca="false">$BB120-$BC120+$BD120</f>
        <v>0</v>
      </c>
    </row>
    <row r="121" customFormat="false" ht="14.25" hidden="false" customHeight="false" outlineLevel="0" collapsed="false">
      <c r="A121" s="61"/>
      <c r="B121" s="62"/>
      <c r="C121" s="61"/>
      <c r="D121" s="61"/>
      <c r="E121" s="61"/>
      <c r="F121" s="63"/>
      <c r="G121" s="64"/>
      <c r="H121" s="64"/>
      <c r="I121" s="63"/>
      <c r="J121" s="63"/>
      <c r="K121" s="61"/>
      <c r="L121" s="65"/>
      <c r="M121" s="65"/>
      <c r="N121" s="61"/>
      <c r="O121" s="64"/>
      <c r="P121" s="65"/>
      <c r="Q121" s="65"/>
      <c r="R121" s="66"/>
      <c r="S121" s="65"/>
      <c r="T121" s="65"/>
      <c r="U121" s="67"/>
      <c r="V121" s="65"/>
      <c r="W121" s="65"/>
      <c r="X121" s="63"/>
      <c r="Y121" s="63"/>
      <c r="Z121" s="61"/>
      <c r="AA121" s="61"/>
      <c r="AB121" s="61"/>
      <c r="AC121" s="61"/>
      <c r="AD121" s="61"/>
      <c r="AE121" s="61"/>
      <c r="AF121" s="61"/>
      <c r="AG121" s="61"/>
      <c r="AH121" s="68" t="n">
        <f aca="false">IF(G121="",0,ROUND((Strats!$C$4-G121)/30.4375,1))</f>
        <v>0</v>
      </c>
      <c r="AI121" s="69" t="n">
        <f aca="false">IF(K121="",0,IF(K121="Floating",Strats!$C$10+M121,L121))</f>
        <v>0</v>
      </c>
      <c r="AJ121" s="68" t="str">
        <f aca="false">IF(OR(Z121="",Z121="Full Amortizing"),"",MAX(J121-AH121,0))</f>
        <v/>
      </c>
      <c r="AK121" s="69" t="n">
        <f aca="false">IF(K121="",0,IF(K121="Floating",IF(P121&lt;&gt;"",MIN(IF(Q121&lt;&gt;"",MAX((Strats!$C$10+Strats!$C$11+M121),Q121),(Strats!$C$10+Strats!$C$11+M121)),P121),IF(Q121&lt;&gt;"",MAX((Strats!$C$10+Strats!$C$11+M121),Q121),(Strats!$C$10+Strats!$C$11+M121))),AI121))</f>
        <v>0</v>
      </c>
      <c r="AL121" s="68" t="str">
        <f aca="false">IF(OR(E121="",E121&lt;&gt;'Deal Strat'!$C$12,R121=""),"",SUMPRODUCT((E$4:E$303='Deal Strat'!$C$12)*(R$4:R$303&gt;R121))+1+SUMPRODUCT((E$4:E$303='Deal Strat'!$C$12)*(R$4:R$303=R121)*(ROW(R$4:R$303)&lt;ROW(R121))))</f>
        <v/>
      </c>
      <c r="AM121" s="68" t="str">
        <f aca="false">IF(R121="","",RANK(R121,$R$4:$R$303,0)+COUNTIF($R$4:R121,R121)-1)</f>
        <v/>
      </c>
      <c r="AN121" s="26" t="n">
        <f aca="false">IF(OR($A121="",$R121=""),0,IF(Deal_Scope="All Deals",1,IF($E121=Deal_Scope,1,0)))</f>
        <v>0</v>
      </c>
      <c r="AO121" s="56" t="n">
        <f aca="false">IF($AN121=0,0,Px_Par)</f>
        <v>0</v>
      </c>
      <c r="AP121" s="70" t="n">
        <f aca="false">IF($H121="",0,MAX(0,($H121-Set_Date)/30.4375))</f>
        <v>0</v>
      </c>
      <c r="AQ121" s="26" t="n">
        <f aca="false">IF(AND(Ext_Flag="Yes",$AA121="Yes"),Ext_Months,0)</f>
        <v>0</v>
      </c>
      <c r="AR121" s="70" t="n">
        <f aca="false">$AP121+$AQ121</f>
        <v>0</v>
      </c>
      <c r="AS121" s="70" t="n">
        <f aca="false">$AR121/12</f>
        <v>0</v>
      </c>
      <c r="AT121" s="70" t="n">
        <f aca="false">IF($AJ121="",0,MAX(0,$AJ121/12))</f>
        <v>0</v>
      </c>
      <c r="AU121" s="70" t="n">
        <f aca="false">MAX(Amort_Min,Amort_Term-$AH121/12)</f>
        <v>30</v>
      </c>
      <c r="AV121" s="70" t="n">
        <f aca="false">MIN($AS121,Hold_Yrs)</f>
        <v>0</v>
      </c>
      <c r="AW121" s="26" t="n">
        <f aca="false">IF($AN121=0,0,CEILING(MAX($AS121,0.0001),1))</f>
        <v>0</v>
      </c>
      <c r="AX121" s="26" t="n">
        <f aca="false">IF(AND($AN121=1,MAX($AS121,0.0001)&lt;=Hold_Yrs),1,0)</f>
        <v>0</v>
      </c>
      <c r="AY121" s="71" t="n">
        <f aca="false">$R121*$AO121</f>
        <v>0</v>
      </c>
      <c r="AZ121" s="71" t="n">
        <f aca="false">$R121*Acc_Int*$AN121</f>
        <v>0</v>
      </c>
      <c r="BA121" s="71" t="n">
        <f aca="false">$AY121*Acq_Cost</f>
        <v>0</v>
      </c>
      <c r="BB121" s="71" t="n">
        <f aca="false">$AY121+$AZ121+$BA121</f>
        <v>0</v>
      </c>
      <c r="BC121" s="71" t="n">
        <f aca="false">IF(Fin_Flag="Yes",$AY121*Adv_Rate,0)</f>
        <v>0</v>
      </c>
      <c r="BD121" s="71" t="n">
        <f aca="false">$BC121*Fin_UpFee</f>
        <v>0</v>
      </c>
      <c r="BE121" s="71" t="n">
        <f aca="false">$BB121-$BC121+$BD121</f>
        <v>0</v>
      </c>
    </row>
    <row r="122" customFormat="false" ht="14.25" hidden="false" customHeight="false" outlineLevel="0" collapsed="false">
      <c r="A122" s="61"/>
      <c r="B122" s="62"/>
      <c r="C122" s="61"/>
      <c r="D122" s="61"/>
      <c r="E122" s="61"/>
      <c r="F122" s="63"/>
      <c r="G122" s="64"/>
      <c r="H122" s="64"/>
      <c r="I122" s="63"/>
      <c r="J122" s="63"/>
      <c r="K122" s="61"/>
      <c r="L122" s="65"/>
      <c r="M122" s="65"/>
      <c r="N122" s="61"/>
      <c r="O122" s="64"/>
      <c r="P122" s="65"/>
      <c r="Q122" s="65"/>
      <c r="R122" s="66"/>
      <c r="S122" s="65"/>
      <c r="T122" s="65"/>
      <c r="U122" s="67"/>
      <c r="V122" s="65"/>
      <c r="W122" s="65"/>
      <c r="X122" s="63"/>
      <c r="Y122" s="63"/>
      <c r="Z122" s="61"/>
      <c r="AA122" s="61"/>
      <c r="AB122" s="61"/>
      <c r="AC122" s="61"/>
      <c r="AD122" s="61"/>
      <c r="AE122" s="61"/>
      <c r="AF122" s="61"/>
      <c r="AG122" s="61"/>
      <c r="AH122" s="68" t="n">
        <f aca="false">IF(G122="",0,ROUND((Strats!$C$4-G122)/30.4375,1))</f>
        <v>0</v>
      </c>
      <c r="AI122" s="69" t="n">
        <f aca="false">IF(K122="",0,IF(K122="Floating",Strats!$C$10+M122,L122))</f>
        <v>0</v>
      </c>
      <c r="AJ122" s="68" t="str">
        <f aca="false">IF(OR(Z122="",Z122="Full Amortizing"),"",MAX(J122-AH122,0))</f>
        <v/>
      </c>
      <c r="AK122" s="69" t="n">
        <f aca="false">IF(K122="",0,IF(K122="Floating",IF(P122&lt;&gt;"",MIN(IF(Q122&lt;&gt;"",MAX((Strats!$C$10+Strats!$C$11+M122),Q122),(Strats!$C$10+Strats!$C$11+M122)),P122),IF(Q122&lt;&gt;"",MAX((Strats!$C$10+Strats!$C$11+M122),Q122),(Strats!$C$10+Strats!$C$11+M122))),AI122))</f>
        <v>0</v>
      </c>
      <c r="AL122" s="68" t="str">
        <f aca="false">IF(OR(E122="",E122&lt;&gt;'Deal Strat'!$C$12,R122=""),"",SUMPRODUCT((E$4:E$303='Deal Strat'!$C$12)*(R$4:R$303&gt;R122))+1+SUMPRODUCT((E$4:E$303='Deal Strat'!$C$12)*(R$4:R$303=R122)*(ROW(R$4:R$303)&lt;ROW(R122))))</f>
        <v/>
      </c>
      <c r="AM122" s="68" t="str">
        <f aca="false">IF(R122="","",RANK(R122,$R$4:$R$303,0)+COUNTIF($R$4:R122,R122)-1)</f>
        <v/>
      </c>
      <c r="AN122" s="26" t="n">
        <f aca="false">IF(OR($A122="",$R122=""),0,IF(Deal_Scope="All Deals",1,IF($E122=Deal_Scope,1,0)))</f>
        <v>0</v>
      </c>
      <c r="AO122" s="56" t="n">
        <f aca="false">IF($AN122=0,0,Px_Par)</f>
        <v>0</v>
      </c>
      <c r="AP122" s="70" t="n">
        <f aca="false">IF($H122="",0,MAX(0,($H122-Set_Date)/30.4375))</f>
        <v>0</v>
      </c>
      <c r="AQ122" s="26" t="n">
        <f aca="false">IF(AND(Ext_Flag="Yes",$AA122="Yes"),Ext_Months,0)</f>
        <v>0</v>
      </c>
      <c r="AR122" s="70" t="n">
        <f aca="false">$AP122+$AQ122</f>
        <v>0</v>
      </c>
      <c r="AS122" s="70" t="n">
        <f aca="false">$AR122/12</f>
        <v>0</v>
      </c>
      <c r="AT122" s="70" t="n">
        <f aca="false">IF($AJ122="",0,MAX(0,$AJ122/12))</f>
        <v>0</v>
      </c>
      <c r="AU122" s="70" t="n">
        <f aca="false">MAX(Amort_Min,Amort_Term-$AH122/12)</f>
        <v>30</v>
      </c>
      <c r="AV122" s="70" t="n">
        <f aca="false">MIN($AS122,Hold_Yrs)</f>
        <v>0</v>
      </c>
      <c r="AW122" s="26" t="n">
        <f aca="false">IF($AN122=0,0,CEILING(MAX($AS122,0.0001),1))</f>
        <v>0</v>
      </c>
      <c r="AX122" s="26" t="n">
        <f aca="false">IF(AND($AN122=1,MAX($AS122,0.0001)&lt;=Hold_Yrs),1,0)</f>
        <v>0</v>
      </c>
      <c r="AY122" s="71" t="n">
        <f aca="false">$R122*$AO122</f>
        <v>0</v>
      </c>
      <c r="AZ122" s="71" t="n">
        <f aca="false">$R122*Acc_Int*$AN122</f>
        <v>0</v>
      </c>
      <c r="BA122" s="71" t="n">
        <f aca="false">$AY122*Acq_Cost</f>
        <v>0</v>
      </c>
      <c r="BB122" s="71" t="n">
        <f aca="false">$AY122+$AZ122+$BA122</f>
        <v>0</v>
      </c>
      <c r="BC122" s="71" t="n">
        <f aca="false">IF(Fin_Flag="Yes",$AY122*Adv_Rate,0)</f>
        <v>0</v>
      </c>
      <c r="BD122" s="71" t="n">
        <f aca="false">$BC122*Fin_UpFee</f>
        <v>0</v>
      </c>
      <c r="BE122" s="71" t="n">
        <f aca="false">$BB122-$BC122+$BD122</f>
        <v>0</v>
      </c>
    </row>
    <row r="123" customFormat="false" ht="14.25" hidden="false" customHeight="false" outlineLevel="0" collapsed="false">
      <c r="A123" s="61"/>
      <c r="B123" s="62"/>
      <c r="C123" s="61"/>
      <c r="D123" s="61"/>
      <c r="E123" s="61"/>
      <c r="F123" s="63"/>
      <c r="G123" s="64"/>
      <c r="H123" s="64"/>
      <c r="I123" s="63"/>
      <c r="J123" s="63"/>
      <c r="K123" s="61"/>
      <c r="L123" s="65"/>
      <c r="M123" s="65"/>
      <c r="N123" s="61"/>
      <c r="O123" s="64"/>
      <c r="P123" s="65"/>
      <c r="Q123" s="65"/>
      <c r="R123" s="66"/>
      <c r="S123" s="65"/>
      <c r="T123" s="65"/>
      <c r="U123" s="67"/>
      <c r="V123" s="65"/>
      <c r="W123" s="65"/>
      <c r="X123" s="63"/>
      <c r="Y123" s="63"/>
      <c r="Z123" s="61"/>
      <c r="AA123" s="61"/>
      <c r="AB123" s="61"/>
      <c r="AC123" s="61"/>
      <c r="AD123" s="61"/>
      <c r="AE123" s="61"/>
      <c r="AF123" s="61"/>
      <c r="AG123" s="61"/>
      <c r="AH123" s="68" t="n">
        <f aca="false">IF(G123="",0,ROUND((Strats!$C$4-G123)/30.4375,1))</f>
        <v>0</v>
      </c>
      <c r="AI123" s="69" t="n">
        <f aca="false">IF(K123="",0,IF(K123="Floating",Strats!$C$10+M123,L123))</f>
        <v>0</v>
      </c>
      <c r="AJ123" s="68" t="str">
        <f aca="false">IF(OR(Z123="",Z123="Full Amortizing"),"",MAX(J123-AH123,0))</f>
        <v/>
      </c>
      <c r="AK123" s="69" t="n">
        <f aca="false">IF(K123="",0,IF(K123="Floating",IF(P123&lt;&gt;"",MIN(IF(Q123&lt;&gt;"",MAX((Strats!$C$10+Strats!$C$11+M123),Q123),(Strats!$C$10+Strats!$C$11+M123)),P123),IF(Q123&lt;&gt;"",MAX((Strats!$C$10+Strats!$C$11+M123),Q123),(Strats!$C$10+Strats!$C$11+M123))),AI123))</f>
        <v>0</v>
      </c>
      <c r="AL123" s="68" t="str">
        <f aca="false">IF(OR(E123="",E123&lt;&gt;'Deal Strat'!$C$12,R123=""),"",SUMPRODUCT((E$4:E$303='Deal Strat'!$C$12)*(R$4:R$303&gt;R123))+1+SUMPRODUCT((E$4:E$303='Deal Strat'!$C$12)*(R$4:R$303=R123)*(ROW(R$4:R$303)&lt;ROW(R123))))</f>
        <v/>
      </c>
      <c r="AM123" s="68" t="str">
        <f aca="false">IF(R123="","",RANK(R123,$R$4:$R$303,0)+COUNTIF($R$4:R123,R123)-1)</f>
        <v/>
      </c>
      <c r="AN123" s="26" t="n">
        <f aca="false">IF(OR($A123="",$R123=""),0,IF(Deal_Scope="All Deals",1,IF($E123=Deal_Scope,1,0)))</f>
        <v>0</v>
      </c>
      <c r="AO123" s="56" t="n">
        <f aca="false">IF($AN123=0,0,Px_Par)</f>
        <v>0</v>
      </c>
      <c r="AP123" s="70" t="n">
        <f aca="false">IF($H123="",0,MAX(0,($H123-Set_Date)/30.4375))</f>
        <v>0</v>
      </c>
      <c r="AQ123" s="26" t="n">
        <f aca="false">IF(AND(Ext_Flag="Yes",$AA123="Yes"),Ext_Months,0)</f>
        <v>0</v>
      </c>
      <c r="AR123" s="70" t="n">
        <f aca="false">$AP123+$AQ123</f>
        <v>0</v>
      </c>
      <c r="AS123" s="70" t="n">
        <f aca="false">$AR123/12</f>
        <v>0</v>
      </c>
      <c r="AT123" s="70" t="n">
        <f aca="false">IF($AJ123="",0,MAX(0,$AJ123/12))</f>
        <v>0</v>
      </c>
      <c r="AU123" s="70" t="n">
        <f aca="false">MAX(Amort_Min,Amort_Term-$AH123/12)</f>
        <v>30</v>
      </c>
      <c r="AV123" s="70" t="n">
        <f aca="false">MIN($AS123,Hold_Yrs)</f>
        <v>0</v>
      </c>
      <c r="AW123" s="26" t="n">
        <f aca="false">IF($AN123=0,0,CEILING(MAX($AS123,0.0001),1))</f>
        <v>0</v>
      </c>
      <c r="AX123" s="26" t="n">
        <f aca="false">IF(AND($AN123=1,MAX($AS123,0.0001)&lt;=Hold_Yrs),1,0)</f>
        <v>0</v>
      </c>
      <c r="AY123" s="71" t="n">
        <f aca="false">$R123*$AO123</f>
        <v>0</v>
      </c>
      <c r="AZ123" s="71" t="n">
        <f aca="false">$R123*Acc_Int*$AN123</f>
        <v>0</v>
      </c>
      <c r="BA123" s="71" t="n">
        <f aca="false">$AY123*Acq_Cost</f>
        <v>0</v>
      </c>
      <c r="BB123" s="71" t="n">
        <f aca="false">$AY123+$AZ123+$BA123</f>
        <v>0</v>
      </c>
      <c r="BC123" s="71" t="n">
        <f aca="false">IF(Fin_Flag="Yes",$AY123*Adv_Rate,0)</f>
        <v>0</v>
      </c>
      <c r="BD123" s="71" t="n">
        <f aca="false">$BC123*Fin_UpFee</f>
        <v>0</v>
      </c>
      <c r="BE123" s="71" t="n">
        <f aca="false">$BB123-$BC123+$BD123</f>
        <v>0</v>
      </c>
    </row>
    <row r="124" customFormat="false" ht="14.25" hidden="false" customHeight="false" outlineLevel="0" collapsed="false">
      <c r="A124" s="61"/>
      <c r="B124" s="62"/>
      <c r="C124" s="61"/>
      <c r="D124" s="61"/>
      <c r="E124" s="61"/>
      <c r="F124" s="63"/>
      <c r="G124" s="64"/>
      <c r="H124" s="64"/>
      <c r="I124" s="63"/>
      <c r="J124" s="63"/>
      <c r="K124" s="61"/>
      <c r="L124" s="65"/>
      <c r="M124" s="65"/>
      <c r="N124" s="61"/>
      <c r="O124" s="64"/>
      <c r="P124" s="65"/>
      <c r="Q124" s="65"/>
      <c r="R124" s="66"/>
      <c r="S124" s="65"/>
      <c r="T124" s="65"/>
      <c r="U124" s="67"/>
      <c r="V124" s="65"/>
      <c r="W124" s="65"/>
      <c r="X124" s="63"/>
      <c r="Y124" s="63"/>
      <c r="Z124" s="61"/>
      <c r="AA124" s="61"/>
      <c r="AB124" s="61"/>
      <c r="AC124" s="61"/>
      <c r="AD124" s="61"/>
      <c r="AE124" s="61"/>
      <c r="AF124" s="61"/>
      <c r="AG124" s="61"/>
      <c r="AH124" s="68" t="n">
        <f aca="false">IF(G124="",0,ROUND((Strats!$C$4-G124)/30.4375,1))</f>
        <v>0</v>
      </c>
      <c r="AI124" s="69" t="n">
        <f aca="false">IF(K124="",0,IF(K124="Floating",Strats!$C$10+M124,L124))</f>
        <v>0</v>
      </c>
      <c r="AJ124" s="68" t="str">
        <f aca="false">IF(OR(Z124="",Z124="Full Amortizing"),"",MAX(J124-AH124,0))</f>
        <v/>
      </c>
      <c r="AK124" s="69" t="n">
        <f aca="false">IF(K124="",0,IF(K124="Floating",IF(P124&lt;&gt;"",MIN(IF(Q124&lt;&gt;"",MAX((Strats!$C$10+Strats!$C$11+M124),Q124),(Strats!$C$10+Strats!$C$11+M124)),P124),IF(Q124&lt;&gt;"",MAX((Strats!$C$10+Strats!$C$11+M124),Q124),(Strats!$C$10+Strats!$C$11+M124))),AI124))</f>
        <v>0</v>
      </c>
      <c r="AL124" s="68" t="str">
        <f aca="false">IF(OR(E124="",E124&lt;&gt;'Deal Strat'!$C$12,R124=""),"",SUMPRODUCT((E$4:E$303='Deal Strat'!$C$12)*(R$4:R$303&gt;R124))+1+SUMPRODUCT((E$4:E$303='Deal Strat'!$C$12)*(R$4:R$303=R124)*(ROW(R$4:R$303)&lt;ROW(R124))))</f>
        <v/>
      </c>
      <c r="AM124" s="68" t="str">
        <f aca="false">IF(R124="","",RANK(R124,$R$4:$R$303,0)+COUNTIF($R$4:R124,R124)-1)</f>
        <v/>
      </c>
      <c r="AN124" s="26" t="n">
        <f aca="false">IF(OR($A124="",$R124=""),0,IF(Deal_Scope="All Deals",1,IF($E124=Deal_Scope,1,0)))</f>
        <v>0</v>
      </c>
      <c r="AO124" s="56" t="n">
        <f aca="false">IF($AN124=0,0,Px_Par)</f>
        <v>0</v>
      </c>
      <c r="AP124" s="70" t="n">
        <f aca="false">IF($H124="",0,MAX(0,($H124-Set_Date)/30.4375))</f>
        <v>0</v>
      </c>
      <c r="AQ124" s="26" t="n">
        <f aca="false">IF(AND(Ext_Flag="Yes",$AA124="Yes"),Ext_Months,0)</f>
        <v>0</v>
      </c>
      <c r="AR124" s="70" t="n">
        <f aca="false">$AP124+$AQ124</f>
        <v>0</v>
      </c>
      <c r="AS124" s="70" t="n">
        <f aca="false">$AR124/12</f>
        <v>0</v>
      </c>
      <c r="AT124" s="70" t="n">
        <f aca="false">IF($AJ124="",0,MAX(0,$AJ124/12))</f>
        <v>0</v>
      </c>
      <c r="AU124" s="70" t="n">
        <f aca="false">MAX(Amort_Min,Amort_Term-$AH124/12)</f>
        <v>30</v>
      </c>
      <c r="AV124" s="70" t="n">
        <f aca="false">MIN($AS124,Hold_Yrs)</f>
        <v>0</v>
      </c>
      <c r="AW124" s="26" t="n">
        <f aca="false">IF($AN124=0,0,CEILING(MAX($AS124,0.0001),1))</f>
        <v>0</v>
      </c>
      <c r="AX124" s="26" t="n">
        <f aca="false">IF(AND($AN124=1,MAX($AS124,0.0001)&lt;=Hold_Yrs),1,0)</f>
        <v>0</v>
      </c>
      <c r="AY124" s="71" t="n">
        <f aca="false">$R124*$AO124</f>
        <v>0</v>
      </c>
      <c r="AZ124" s="71" t="n">
        <f aca="false">$R124*Acc_Int*$AN124</f>
        <v>0</v>
      </c>
      <c r="BA124" s="71" t="n">
        <f aca="false">$AY124*Acq_Cost</f>
        <v>0</v>
      </c>
      <c r="BB124" s="71" t="n">
        <f aca="false">$AY124+$AZ124+$BA124</f>
        <v>0</v>
      </c>
      <c r="BC124" s="71" t="n">
        <f aca="false">IF(Fin_Flag="Yes",$AY124*Adv_Rate,0)</f>
        <v>0</v>
      </c>
      <c r="BD124" s="71" t="n">
        <f aca="false">$BC124*Fin_UpFee</f>
        <v>0</v>
      </c>
      <c r="BE124" s="71" t="n">
        <f aca="false">$BB124-$BC124+$BD124</f>
        <v>0</v>
      </c>
    </row>
    <row r="125" customFormat="false" ht="14.25" hidden="false" customHeight="false" outlineLevel="0" collapsed="false">
      <c r="A125" s="61"/>
      <c r="B125" s="62"/>
      <c r="C125" s="61"/>
      <c r="D125" s="61"/>
      <c r="E125" s="61"/>
      <c r="F125" s="63"/>
      <c r="G125" s="64"/>
      <c r="H125" s="64"/>
      <c r="I125" s="63"/>
      <c r="J125" s="63"/>
      <c r="K125" s="61"/>
      <c r="L125" s="65"/>
      <c r="M125" s="65"/>
      <c r="N125" s="61"/>
      <c r="O125" s="64"/>
      <c r="P125" s="65"/>
      <c r="Q125" s="65"/>
      <c r="R125" s="66"/>
      <c r="S125" s="65"/>
      <c r="T125" s="65"/>
      <c r="U125" s="67"/>
      <c r="V125" s="65"/>
      <c r="W125" s="65"/>
      <c r="X125" s="63"/>
      <c r="Y125" s="63"/>
      <c r="Z125" s="61"/>
      <c r="AA125" s="61"/>
      <c r="AB125" s="61"/>
      <c r="AC125" s="61"/>
      <c r="AD125" s="61"/>
      <c r="AE125" s="61"/>
      <c r="AF125" s="61"/>
      <c r="AG125" s="61"/>
      <c r="AH125" s="68" t="n">
        <f aca="false">IF(G125="",0,ROUND((Strats!$C$4-G125)/30.4375,1))</f>
        <v>0</v>
      </c>
      <c r="AI125" s="69" t="n">
        <f aca="false">IF(K125="",0,IF(K125="Floating",Strats!$C$10+M125,L125))</f>
        <v>0</v>
      </c>
      <c r="AJ125" s="68" t="str">
        <f aca="false">IF(OR(Z125="",Z125="Full Amortizing"),"",MAX(J125-AH125,0))</f>
        <v/>
      </c>
      <c r="AK125" s="69" t="n">
        <f aca="false">IF(K125="",0,IF(K125="Floating",IF(P125&lt;&gt;"",MIN(IF(Q125&lt;&gt;"",MAX((Strats!$C$10+Strats!$C$11+M125),Q125),(Strats!$C$10+Strats!$C$11+M125)),P125),IF(Q125&lt;&gt;"",MAX((Strats!$C$10+Strats!$C$11+M125),Q125),(Strats!$C$10+Strats!$C$11+M125))),AI125))</f>
        <v>0</v>
      </c>
      <c r="AL125" s="68" t="str">
        <f aca="false">IF(OR(E125="",E125&lt;&gt;'Deal Strat'!$C$12,R125=""),"",SUMPRODUCT((E$4:E$303='Deal Strat'!$C$12)*(R$4:R$303&gt;R125))+1+SUMPRODUCT((E$4:E$303='Deal Strat'!$C$12)*(R$4:R$303=R125)*(ROW(R$4:R$303)&lt;ROW(R125))))</f>
        <v/>
      </c>
      <c r="AM125" s="68" t="str">
        <f aca="false">IF(R125="","",RANK(R125,$R$4:$R$303,0)+COUNTIF($R$4:R125,R125)-1)</f>
        <v/>
      </c>
      <c r="AN125" s="26" t="n">
        <f aca="false">IF(OR($A125="",$R125=""),0,IF(Deal_Scope="All Deals",1,IF($E125=Deal_Scope,1,0)))</f>
        <v>0</v>
      </c>
      <c r="AO125" s="56" t="n">
        <f aca="false">IF($AN125=0,0,Px_Par)</f>
        <v>0</v>
      </c>
      <c r="AP125" s="70" t="n">
        <f aca="false">IF($H125="",0,MAX(0,($H125-Set_Date)/30.4375))</f>
        <v>0</v>
      </c>
      <c r="AQ125" s="26" t="n">
        <f aca="false">IF(AND(Ext_Flag="Yes",$AA125="Yes"),Ext_Months,0)</f>
        <v>0</v>
      </c>
      <c r="AR125" s="70" t="n">
        <f aca="false">$AP125+$AQ125</f>
        <v>0</v>
      </c>
      <c r="AS125" s="70" t="n">
        <f aca="false">$AR125/12</f>
        <v>0</v>
      </c>
      <c r="AT125" s="70" t="n">
        <f aca="false">IF($AJ125="",0,MAX(0,$AJ125/12))</f>
        <v>0</v>
      </c>
      <c r="AU125" s="70" t="n">
        <f aca="false">MAX(Amort_Min,Amort_Term-$AH125/12)</f>
        <v>30</v>
      </c>
      <c r="AV125" s="70" t="n">
        <f aca="false">MIN($AS125,Hold_Yrs)</f>
        <v>0</v>
      </c>
      <c r="AW125" s="26" t="n">
        <f aca="false">IF($AN125=0,0,CEILING(MAX($AS125,0.0001),1))</f>
        <v>0</v>
      </c>
      <c r="AX125" s="26" t="n">
        <f aca="false">IF(AND($AN125=1,MAX($AS125,0.0001)&lt;=Hold_Yrs),1,0)</f>
        <v>0</v>
      </c>
      <c r="AY125" s="71" t="n">
        <f aca="false">$R125*$AO125</f>
        <v>0</v>
      </c>
      <c r="AZ125" s="71" t="n">
        <f aca="false">$R125*Acc_Int*$AN125</f>
        <v>0</v>
      </c>
      <c r="BA125" s="71" t="n">
        <f aca="false">$AY125*Acq_Cost</f>
        <v>0</v>
      </c>
      <c r="BB125" s="71" t="n">
        <f aca="false">$AY125+$AZ125+$BA125</f>
        <v>0</v>
      </c>
      <c r="BC125" s="71" t="n">
        <f aca="false">IF(Fin_Flag="Yes",$AY125*Adv_Rate,0)</f>
        <v>0</v>
      </c>
      <c r="BD125" s="71" t="n">
        <f aca="false">$BC125*Fin_UpFee</f>
        <v>0</v>
      </c>
      <c r="BE125" s="71" t="n">
        <f aca="false">$BB125-$BC125+$BD125</f>
        <v>0</v>
      </c>
    </row>
    <row r="126" customFormat="false" ht="14.25" hidden="false" customHeight="false" outlineLevel="0" collapsed="false">
      <c r="A126" s="61"/>
      <c r="B126" s="62"/>
      <c r="C126" s="61"/>
      <c r="D126" s="61"/>
      <c r="E126" s="61"/>
      <c r="F126" s="63"/>
      <c r="G126" s="64"/>
      <c r="H126" s="64"/>
      <c r="I126" s="63"/>
      <c r="J126" s="63"/>
      <c r="K126" s="61"/>
      <c r="L126" s="65"/>
      <c r="M126" s="65"/>
      <c r="N126" s="61"/>
      <c r="O126" s="64"/>
      <c r="P126" s="65"/>
      <c r="Q126" s="65"/>
      <c r="R126" s="66"/>
      <c r="S126" s="65"/>
      <c r="T126" s="65"/>
      <c r="U126" s="67"/>
      <c r="V126" s="65"/>
      <c r="W126" s="65"/>
      <c r="X126" s="63"/>
      <c r="Y126" s="63"/>
      <c r="Z126" s="61"/>
      <c r="AA126" s="61"/>
      <c r="AB126" s="61"/>
      <c r="AC126" s="61"/>
      <c r="AD126" s="61"/>
      <c r="AE126" s="61"/>
      <c r="AF126" s="61"/>
      <c r="AG126" s="61"/>
      <c r="AH126" s="68" t="n">
        <f aca="false">IF(G126="",0,ROUND((Strats!$C$4-G126)/30.4375,1))</f>
        <v>0</v>
      </c>
      <c r="AI126" s="69" t="n">
        <f aca="false">IF(K126="",0,IF(K126="Floating",Strats!$C$10+M126,L126))</f>
        <v>0</v>
      </c>
      <c r="AJ126" s="68" t="str">
        <f aca="false">IF(OR(Z126="",Z126="Full Amortizing"),"",MAX(J126-AH126,0))</f>
        <v/>
      </c>
      <c r="AK126" s="69" t="n">
        <f aca="false">IF(K126="",0,IF(K126="Floating",IF(P126&lt;&gt;"",MIN(IF(Q126&lt;&gt;"",MAX((Strats!$C$10+Strats!$C$11+M126),Q126),(Strats!$C$10+Strats!$C$11+M126)),P126),IF(Q126&lt;&gt;"",MAX((Strats!$C$10+Strats!$C$11+M126),Q126),(Strats!$C$10+Strats!$C$11+M126))),AI126))</f>
        <v>0</v>
      </c>
      <c r="AL126" s="68" t="str">
        <f aca="false">IF(OR(E126="",E126&lt;&gt;'Deal Strat'!$C$12,R126=""),"",SUMPRODUCT((E$4:E$303='Deal Strat'!$C$12)*(R$4:R$303&gt;R126))+1+SUMPRODUCT((E$4:E$303='Deal Strat'!$C$12)*(R$4:R$303=R126)*(ROW(R$4:R$303)&lt;ROW(R126))))</f>
        <v/>
      </c>
      <c r="AM126" s="68" t="str">
        <f aca="false">IF(R126="","",RANK(R126,$R$4:$R$303,0)+COUNTIF($R$4:R126,R126)-1)</f>
        <v/>
      </c>
      <c r="AN126" s="26" t="n">
        <f aca="false">IF(OR($A126="",$R126=""),0,IF(Deal_Scope="All Deals",1,IF($E126=Deal_Scope,1,0)))</f>
        <v>0</v>
      </c>
      <c r="AO126" s="56" t="n">
        <f aca="false">IF($AN126=0,0,Px_Par)</f>
        <v>0</v>
      </c>
      <c r="AP126" s="70" t="n">
        <f aca="false">IF($H126="",0,MAX(0,($H126-Set_Date)/30.4375))</f>
        <v>0</v>
      </c>
      <c r="AQ126" s="26" t="n">
        <f aca="false">IF(AND(Ext_Flag="Yes",$AA126="Yes"),Ext_Months,0)</f>
        <v>0</v>
      </c>
      <c r="AR126" s="70" t="n">
        <f aca="false">$AP126+$AQ126</f>
        <v>0</v>
      </c>
      <c r="AS126" s="70" t="n">
        <f aca="false">$AR126/12</f>
        <v>0</v>
      </c>
      <c r="AT126" s="70" t="n">
        <f aca="false">IF($AJ126="",0,MAX(0,$AJ126/12))</f>
        <v>0</v>
      </c>
      <c r="AU126" s="70" t="n">
        <f aca="false">MAX(Amort_Min,Amort_Term-$AH126/12)</f>
        <v>30</v>
      </c>
      <c r="AV126" s="70" t="n">
        <f aca="false">MIN($AS126,Hold_Yrs)</f>
        <v>0</v>
      </c>
      <c r="AW126" s="26" t="n">
        <f aca="false">IF($AN126=0,0,CEILING(MAX($AS126,0.0001),1))</f>
        <v>0</v>
      </c>
      <c r="AX126" s="26" t="n">
        <f aca="false">IF(AND($AN126=1,MAX($AS126,0.0001)&lt;=Hold_Yrs),1,0)</f>
        <v>0</v>
      </c>
      <c r="AY126" s="71" t="n">
        <f aca="false">$R126*$AO126</f>
        <v>0</v>
      </c>
      <c r="AZ126" s="71" t="n">
        <f aca="false">$R126*Acc_Int*$AN126</f>
        <v>0</v>
      </c>
      <c r="BA126" s="71" t="n">
        <f aca="false">$AY126*Acq_Cost</f>
        <v>0</v>
      </c>
      <c r="BB126" s="71" t="n">
        <f aca="false">$AY126+$AZ126+$BA126</f>
        <v>0</v>
      </c>
      <c r="BC126" s="71" t="n">
        <f aca="false">IF(Fin_Flag="Yes",$AY126*Adv_Rate,0)</f>
        <v>0</v>
      </c>
      <c r="BD126" s="71" t="n">
        <f aca="false">$BC126*Fin_UpFee</f>
        <v>0</v>
      </c>
      <c r="BE126" s="71" t="n">
        <f aca="false">$BB126-$BC126+$BD126</f>
        <v>0</v>
      </c>
    </row>
    <row r="127" customFormat="false" ht="14.25" hidden="false" customHeight="false" outlineLevel="0" collapsed="false">
      <c r="A127" s="61"/>
      <c r="B127" s="62"/>
      <c r="C127" s="61"/>
      <c r="D127" s="61"/>
      <c r="E127" s="61"/>
      <c r="F127" s="63"/>
      <c r="G127" s="64"/>
      <c r="H127" s="64"/>
      <c r="I127" s="63"/>
      <c r="J127" s="63"/>
      <c r="K127" s="61"/>
      <c r="L127" s="65"/>
      <c r="M127" s="65"/>
      <c r="N127" s="61"/>
      <c r="O127" s="64"/>
      <c r="P127" s="65"/>
      <c r="Q127" s="65"/>
      <c r="R127" s="66"/>
      <c r="S127" s="65"/>
      <c r="T127" s="65"/>
      <c r="U127" s="67"/>
      <c r="V127" s="65"/>
      <c r="W127" s="65"/>
      <c r="X127" s="63"/>
      <c r="Y127" s="63"/>
      <c r="Z127" s="61"/>
      <c r="AA127" s="61"/>
      <c r="AB127" s="61"/>
      <c r="AC127" s="61"/>
      <c r="AD127" s="61"/>
      <c r="AE127" s="61"/>
      <c r="AF127" s="61"/>
      <c r="AG127" s="61"/>
      <c r="AH127" s="68" t="n">
        <f aca="false">IF(G127="",0,ROUND((Strats!$C$4-G127)/30.4375,1))</f>
        <v>0</v>
      </c>
      <c r="AI127" s="69" t="n">
        <f aca="false">IF(K127="",0,IF(K127="Floating",Strats!$C$10+M127,L127))</f>
        <v>0</v>
      </c>
      <c r="AJ127" s="68" t="str">
        <f aca="false">IF(OR(Z127="",Z127="Full Amortizing"),"",MAX(J127-AH127,0))</f>
        <v/>
      </c>
      <c r="AK127" s="69" t="n">
        <f aca="false">IF(K127="",0,IF(K127="Floating",IF(P127&lt;&gt;"",MIN(IF(Q127&lt;&gt;"",MAX((Strats!$C$10+Strats!$C$11+M127),Q127),(Strats!$C$10+Strats!$C$11+M127)),P127),IF(Q127&lt;&gt;"",MAX((Strats!$C$10+Strats!$C$11+M127),Q127),(Strats!$C$10+Strats!$C$11+M127))),AI127))</f>
        <v>0</v>
      </c>
      <c r="AL127" s="68" t="str">
        <f aca="false">IF(OR(E127="",E127&lt;&gt;'Deal Strat'!$C$12,R127=""),"",SUMPRODUCT((E$4:E$303='Deal Strat'!$C$12)*(R$4:R$303&gt;R127))+1+SUMPRODUCT((E$4:E$303='Deal Strat'!$C$12)*(R$4:R$303=R127)*(ROW(R$4:R$303)&lt;ROW(R127))))</f>
        <v/>
      </c>
      <c r="AM127" s="68" t="str">
        <f aca="false">IF(R127="","",RANK(R127,$R$4:$R$303,0)+COUNTIF($R$4:R127,R127)-1)</f>
        <v/>
      </c>
      <c r="AN127" s="26" t="n">
        <f aca="false">IF(OR($A127="",$R127=""),0,IF(Deal_Scope="All Deals",1,IF($E127=Deal_Scope,1,0)))</f>
        <v>0</v>
      </c>
      <c r="AO127" s="56" t="n">
        <f aca="false">IF($AN127=0,0,Px_Par)</f>
        <v>0</v>
      </c>
      <c r="AP127" s="70" t="n">
        <f aca="false">IF($H127="",0,MAX(0,($H127-Set_Date)/30.4375))</f>
        <v>0</v>
      </c>
      <c r="AQ127" s="26" t="n">
        <f aca="false">IF(AND(Ext_Flag="Yes",$AA127="Yes"),Ext_Months,0)</f>
        <v>0</v>
      </c>
      <c r="AR127" s="70" t="n">
        <f aca="false">$AP127+$AQ127</f>
        <v>0</v>
      </c>
      <c r="AS127" s="70" t="n">
        <f aca="false">$AR127/12</f>
        <v>0</v>
      </c>
      <c r="AT127" s="70" t="n">
        <f aca="false">IF($AJ127="",0,MAX(0,$AJ127/12))</f>
        <v>0</v>
      </c>
      <c r="AU127" s="70" t="n">
        <f aca="false">MAX(Amort_Min,Amort_Term-$AH127/12)</f>
        <v>30</v>
      </c>
      <c r="AV127" s="70" t="n">
        <f aca="false">MIN($AS127,Hold_Yrs)</f>
        <v>0</v>
      </c>
      <c r="AW127" s="26" t="n">
        <f aca="false">IF($AN127=0,0,CEILING(MAX($AS127,0.0001),1))</f>
        <v>0</v>
      </c>
      <c r="AX127" s="26" t="n">
        <f aca="false">IF(AND($AN127=1,MAX($AS127,0.0001)&lt;=Hold_Yrs),1,0)</f>
        <v>0</v>
      </c>
      <c r="AY127" s="71" t="n">
        <f aca="false">$R127*$AO127</f>
        <v>0</v>
      </c>
      <c r="AZ127" s="71" t="n">
        <f aca="false">$R127*Acc_Int*$AN127</f>
        <v>0</v>
      </c>
      <c r="BA127" s="71" t="n">
        <f aca="false">$AY127*Acq_Cost</f>
        <v>0</v>
      </c>
      <c r="BB127" s="71" t="n">
        <f aca="false">$AY127+$AZ127+$BA127</f>
        <v>0</v>
      </c>
      <c r="BC127" s="71" t="n">
        <f aca="false">IF(Fin_Flag="Yes",$AY127*Adv_Rate,0)</f>
        <v>0</v>
      </c>
      <c r="BD127" s="71" t="n">
        <f aca="false">$BC127*Fin_UpFee</f>
        <v>0</v>
      </c>
      <c r="BE127" s="71" t="n">
        <f aca="false">$BB127-$BC127+$BD127</f>
        <v>0</v>
      </c>
    </row>
    <row r="128" customFormat="false" ht="14.25" hidden="false" customHeight="false" outlineLevel="0" collapsed="false">
      <c r="A128" s="61"/>
      <c r="B128" s="62"/>
      <c r="C128" s="61"/>
      <c r="D128" s="61"/>
      <c r="E128" s="61"/>
      <c r="F128" s="63"/>
      <c r="G128" s="64"/>
      <c r="H128" s="64"/>
      <c r="I128" s="63"/>
      <c r="J128" s="63"/>
      <c r="K128" s="61"/>
      <c r="L128" s="65"/>
      <c r="M128" s="65"/>
      <c r="N128" s="61"/>
      <c r="O128" s="64"/>
      <c r="P128" s="65"/>
      <c r="Q128" s="65"/>
      <c r="R128" s="66"/>
      <c r="S128" s="65"/>
      <c r="T128" s="65"/>
      <c r="U128" s="67"/>
      <c r="V128" s="65"/>
      <c r="W128" s="65"/>
      <c r="X128" s="63"/>
      <c r="Y128" s="63"/>
      <c r="Z128" s="61"/>
      <c r="AA128" s="61"/>
      <c r="AB128" s="61"/>
      <c r="AC128" s="61"/>
      <c r="AD128" s="61"/>
      <c r="AE128" s="61"/>
      <c r="AF128" s="61"/>
      <c r="AG128" s="61"/>
      <c r="AH128" s="68" t="n">
        <f aca="false">IF(G128="",0,ROUND((Strats!$C$4-G128)/30.4375,1))</f>
        <v>0</v>
      </c>
      <c r="AI128" s="69" t="n">
        <f aca="false">IF(K128="",0,IF(K128="Floating",Strats!$C$10+M128,L128))</f>
        <v>0</v>
      </c>
      <c r="AJ128" s="68" t="str">
        <f aca="false">IF(OR(Z128="",Z128="Full Amortizing"),"",MAX(J128-AH128,0))</f>
        <v/>
      </c>
      <c r="AK128" s="69" t="n">
        <f aca="false">IF(K128="",0,IF(K128="Floating",IF(P128&lt;&gt;"",MIN(IF(Q128&lt;&gt;"",MAX((Strats!$C$10+Strats!$C$11+M128),Q128),(Strats!$C$10+Strats!$C$11+M128)),P128),IF(Q128&lt;&gt;"",MAX((Strats!$C$10+Strats!$C$11+M128),Q128),(Strats!$C$10+Strats!$C$11+M128))),AI128))</f>
        <v>0</v>
      </c>
      <c r="AL128" s="68" t="str">
        <f aca="false">IF(OR(E128="",E128&lt;&gt;'Deal Strat'!$C$12,R128=""),"",SUMPRODUCT((E$4:E$303='Deal Strat'!$C$12)*(R$4:R$303&gt;R128))+1+SUMPRODUCT((E$4:E$303='Deal Strat'!$C$12)*(R$4:R$303=R128)*(ROW(R$4:R$303)&lt;ROW(R128))))</f>
        <v/>
      </c>
      <c r="AM128" s="68" t="str">
        <f aca="false">IF(R128="","",RANK(R128,$R$4:$R$303,0)+COUNTIF($R$4:R128,R128)-1)</f>
        <v/>
      </c>
      <c r="AN128" s="26" t="n">
        <f aca="false">IF(OR($A128="",$R128=""),0,IF(Deal_Scope="All Deals",1,IF($E128=Deal_Scope,1,0)))</f>
        <v>0</v>
      </c>
      <c r="AO128" s="56" t="n">
        <f aca="false">IF($AN128=0,0,Px_Par)</f>
        <v>0</v>
      </c>
      <c r="AP128" s="70" t="n">
        <f aca="false">IF($H128="",0,MAX(0,($H128-Set_Date)/30.4375))</f>
        <v>0</v>
      </c>
      <c r="AQ128" s="26" t="n">
        <f aca="false">IF(AND(Ext_Flag="Yes",$AA128="Yes"),Ext_Months,0)</f>
        <v>0</v>
      </c>
      <c r="AR128" s="70" t="n">
        <f aca="false">$AP128+$AQ128</f>
        <v>0</v>
      </c>
      <c r="AS128" s="70" t="n">
        <f aca="false">$AR128/12</f>
        <v>0</v>
      </c>
      <c r="AT128" s="70" t="n">
        <f aca="false">IF($AJ128="",0,MAX(0,$AJ128/12))</f>
        <v>0</v>
      </c>
      <c r="AU128" s="70" t="n">
        <f aca="false">MAX(Amort_Min,Amort_Term-$AH128/12)</f>
        <v>30</v>
      </c>
      <c r="AV128" s="70" t="n">
        <f aca="false">MIN($AS128,Hold_Yrs)</f>
        <v>0</v>
      </c>
      <c r="AW128" s="26" t="n">
        <f aca="false">IF($AN128=0,0,CEILING(MAX($AS128,0.0001),1))</f>
        <v>0</v>
      </c>
      <c r="AX128" s="26" t="n">
        <f aca="false">IF(AND($AN128=1,MAX($AS128,0.0001)&lt;=Hold_Yrs),1,0)</f>
        <v>0</v>
      </c>
      <c r="AY128" s="71" t="n">
        <f aca="false">$R128*$AO128</f>
        <v>0</v>
      </c>
      <c r="AZ128" s="71" t="n">
        <f aca="false">$R128*Acc_Int*$AN128</f>
        <v>0</v>
      </c>
      <c r="BA128" s="71" t="n">
        <f aca="false">$AY128*Acq_Cost</f>
        <v>0</v>
      </c>
      <c r="BB128" s="71" t="n">
        <f aca="false">$AY128+$AZ128+$BA128</f>
        <v>0</v>
      </c>
      <c r="BC128" s="71" t="n">
        <f aca="false">IF(Fin_Flag="Yes",$AY128*Adv_Rate,0)</f>
        <v>0</v>
      </c>
      <c r="BD128" s="71" t="n">
        <f aca="false">$BC128*Fin_UpFee</f>
        <v>0</v>
      </c>
      <c r="BE128" s="71" t="n">
        <f aca="false">$BB128-$BC128+$BD128</f>
        <v>0</v>
      </c>
    </row>
    <row r="129" customFormat="false" ht="14.25" hidden="false" customHeight="false" outlineLevel="0" collapsed="false">
      <c r="A129" s="61"/>
      <c r="B129" s="62"/>
      <c r="C129" s="61"/>
      <c r="D129" s="61"/>
      <c r="E129" s="61"/>
      <c r="F129" s="63"/>
      <c r="G129" s="64"/>
      <c r="H129" s="64"/>
      <c r="I129" s="63"/>
      <c r="J129" s="63"/>
      <c r="K129" s="61"/>
      <c r="L129" s="65"/>
      <c r="M129" s="65"/>
      <c r="N129" s="61"/>
      <c r="O129" s="64"/>
      <c r="P129" s="65"/>
      <c r="Q129" s="65"/>
      <c r="R129" s="66"/>
      <c r="S129" s="65"/>
      <c r="T129" s="65"/>
      <c r="U129" s="67"/>
      <c r="V129" s="65"/>
      <c r="W129" s="65"/>
      <c r="X129" s="63"/>
      <c r="Y129" s="63"/>
      <c r="Z129" s="61"/>
      <c r="AA129" s="61"/>
      <c r="AB129" s="61"/>
      <c r="AC129" s="61"/>
      <c r="AD129" s="61"/>
      <c r="AE129" s="61"/>
      <c r="AF129" s="61"/>
      <c r="AG129" s="61"/>
      <c r="AH129" s="68" t="n">
        <f aca="false">IF(G129="",0,ROUND((Strats!$C$4-G129)/30.4375,1))</f>
        <v>0</v>
      </c>
      <c r="AI129" s="69" t="n">
        <f aca="false">IF(K129="",0,IF(K129="Floating",Strats!$C$10+M129,L129))</f>
        <v>0</v>
      </c>
      <c r="AJ129" s="68" t="str">
        <f aca="false">IF(OR(Z129="",Z129="Full Amortizing"),"",MAX(J129-AH129,0))</f>
        <v/>
      </c>
      <c r="AK129" s="69" t="n">
        <f aca="false">IF(K129="",0,IF(K129="Floating",IF(P129&lt;&gt;"",MIN(IF(Q129&lt;&gt;"",MAX((Strats!$C$10+Strats!$C$11+M129),Q129),(Strats!$C$10+Strats!$C$11+M129)),P129),IF(Q129&lt;&gt;"",MAX((Strats!$C$10+Strats!$C$11+M129),Q129),(Strats!$C$10+Strats!$C$11+M129))),AI129))</f>
        <v>0</v>
      </c>
      <c r="AL129" s="68" t="str">
        <f aca="false">IF(OR(E129="",E129&lt;&gt;'Deal Strat'!$C$12,R129=""),"",SUMPRODUCT((E$4:E$303='Deal Strat'!$C$12)*(R$4:R$303&gt;R129))+1+SUMPRODUCT((E$4:E$303='Deal Strat'!$C$12)*(R$4:R$303=R129)*(ROW(R$4:R$303)&lt;ROW(R129))))</f>
        <v/>
      </c>
      <c r="AM129" s="68" t="str">
        <f aca="false">IF(R129="","",RANK(R129,$R$4:$R$303,0)+COUNTIF($R$4:R129,R129)-1)</f>
        <v/>
      </c>
      <c r="AN129" s="26" t="n">
        <f aca="false">IF(OR($A129="",$R129=""),0,IF(Deal_Scope="All Deals",1,IF($E129=Deal_Scope,1,0)))</f>
        <v>0</v>
      </c>
      <c r="AO129" s="56" t="n">
        <f aca="false">IF($AN129=0,0,Px_Par)</f>
        <v>0</v>
      </c>
      <c r="AP129" s="70" t="n">
        <f aca="false">IF($H129="",0,MAX(0,($H129-Set_Date)/30.4375))</f>
        <v>0</v>
      </c>
      <c r="AQ129" s="26" t="n">
        <f aca="false">IF(AND(Ext_Flag="Yes",$AA129="Yes"),Ext_Months,0)</f>
        <v>0</v>
      </c>
      <c r="AR129" s="70" t="n">
        <f aca="false">$AP129+$AQ129</f>
        <v>0</v>
      </c>
      <c r="AS129" s="70" t="n">
        <f aca="false">$AR129/12</f>
        <v>0</v>
      </c>
      <c r="AT129" s="70" t="n">
        <f aca="false">IF($AJ129="",0,MAX(0,$AJ129/12))</f>
        <v>0</v>
      </c>
      <c r="AU129" s="70" t="n">
        <f aca="false">MAX(Amort_Min,Amort_Term-$AH129/12)</f>
        <v>30</v>
      </c>
      <c r="AV129" s="70" t="n">
        <f aca="false">MIN($AS129,Hold_Yrs)</f>
        <v>0</v>
      </c>
      <c r="AW129" s="26" t="n">
        <f aca="false">IF($AN129=0,0,CEILING(MAX($AS129,0.0001),1))</f>
        <v>0</v>
      </c>
      <c r="AX129" s="26" t="n">
        <f aca="false">IF(AND($AN129=1,MAX($AS129,0.0001)&lt;=Hold_Yrs),1,0)</f>
        <v>0</v>
      </c>
      <c r="AY129" s="71" t="n">
        <f aca="false">$R129*$AO129</f>
        <v>0</v>
      </c>
      <c r="AZ129" s="71" t="n">
        <f aca="false">$R129*Acc_Int*$AN129</f>
        <v>0</v>
      </c>
      <c r="BA129" s="71" t="n">
        <f aca="false">$AY129*Acq_Cost</f>
        <v>0</v>
      </c>
      <c r="BB129" s="71" t="n">
        <f aca="false">$AY129+$AZ129+$BA129</f>
        <v>0</v>
      </c>
      <c r="BC129" s="71" t="n">
        <f aca="false">IF(Fin_Flag="Yes",$AY129*Adv_Rate,0)</f>
        <v>0</v>
      </c>
      <c r="BD129" s="71" t="n">
        <f aca="false">$BC129*Fin_UpFee</f>
        <v>0</v>
      </c>
      <c r="BE129" s="71" t="n">
        <f aca="false">$BB129-$BC129+$BD129</f>
        <v>0</v>
      </c>
    </row>
    <row r="130" customFormat="false" ht="14.25" hidden="false" customHeight="false" outlineLevel="0" collapsed="false">
      <c r="A130" s="61"/>
      <c r="B130" s="62"/>
      <c r="C130" s="61"/>
      <c r="D130" s="61"/>
      <c r="E130" s="61"/>
      <c r="F130" s="63"/>
      <c r="G130" s="64"/>
      <c r="H130" s="64"/>
      <c r="I130" s="63"/>
      <c r="J130" s="63"/>
      <c r="K130" s="61"/>
      <c r="L130" s="65"/>
      <c r="M130" s="65"/>
      <c r="N130" s="61"/>
      <c r="O130" s="64"/>
      <c r="P130" s="65"/>
      <c r="Q130" s="65"/>
      <c r="R130" s="66"/>
      <c r="S130" s="65"/>
      <c r="T130" s="65"/>
      <c r="U130" s="67"/>
      <c r="V130" s="65"/>
      <c r="W130" s="65"/>
      <c r="X130" s="63"/>
      <c r="Y130" s="63"/>
      <c r="Z130" s="61"/>
      <c r="AA130" s="61"/>
      <c r="AB130" s="61"/>
      <c r="AC130" s="61"/>
      <c r="AD130" s="61"/>
      <c r="AE130" s="61"/>
      <c r="AF130" s="61"/>
      <c r="AG130" s="61"/>
      <c r="AH130" s="68" t="n">
        <f aca="false">IF(G130="",0,ROUND((Strats!$C$4-G130)/30.4375,1))</f>
        <v>0</v>
      </c>
      <c r="AI130" s="69" t="n">
        <f aca="false">IF(K130="",0,IF(K130="Floating",Strats!$C$10+M130,L130))</f>
        <v>0</v>
      </c>
      <c r="AJ130" s="68" t="str">
        <f aca="false">IF(OR(Z130="",Z130="Full Amortizing"),"",MAX(J130-AH130,0))</f>
        <v/>
      </c>
      <c r="AK130" s="69" t="n">
        <f aca="false">IF(K130="",0,IF(K130="Floating",IF(P130&lt;&gt;"",MIN(IF(Q130&lt;&gt;"",MAX((Strats!$C$10+Strats!$C$11+M130),Q130),(Strats!$C$10+Strats!$C$11+M130)),P130),IF(Q130&lt;&gt;"",MAX((Strats!$C$10+Strats!$C$11+M130),Q130),(Strats!$C$10+Strats!$C$11+M130))),AI130))</f>
        <v>0</v>
      </c>
      <c r="AL130" s="68" t="str">
        <f aca="false">IF(OR(E130="",E130&lt;&gt;'Deal Strat'!$C$12,R130=""),"",SUMPRODUCT((E$4:E$303='Deal Strat'!$C$12)*(R$4:R$303&gt;R130))+1+SUMPRODUCT((E$4:E$303='Deal Strat'!$C$12)*(R$4:R$303=R130)*(ROW(R$4:R$303)&lt;ROW(R130))))</f>
        <v/>
      </c>
      <c r="AM130" s="68" t="str">
        <f aca="false">IF(R130="","",RANK(R130,$R$4:$R$303,0)+COUNTIF($R$4:R130,R130)-1)</f>
        <v/>
      </c>
      <c r="AN130" s="26" t="n">
        <f aca="false">IF(OR($A130="",$R130=""),0,IF(Deal_Scope="All Deals",1,IF($E130=Deal_Scope,1,0)))</f>
        <v>0</v>
      </c>
      <c r="AO130" s="56" t="n">
        <f aca="false">IF($AN130=0,0,Px_Par)</f>
        <v>0</v>
      </c>
      <c r="AP130" s="70" t="n">
        <f aca="false">IF($H130="",0,MAX(0,($H130-Set_Date)/30.4375))</f>
        <v>0</v>
      </c>
      <c r="AQ130" s="26" t="n">
        <f aca="false">IF(AND(Ext_Flag="Yes",$AA130="Yes"),Ext_Months,0)</f>
        <v>0</v>
      </c>
      <c r="AR130" s="70" t="n">
        <f aca="false">$AP130+$AQ130</f>
        <v>0</v>
      </c>
      <c r="AS130" s="70" t="n">
        <f aca="false">$AR130/12</f>
        <v>0</v>
      </c>
      <c r="AT130" s="70" t="n">
        <f aca="false">IF($AJ130="",0,MAX(0,$AJ130/12))</f>
        <v>0</v>
      </c>
      <c r="AU130" s="70" t="n">
        <f aca="false">MAX(Amort_Min,Amort_Term-$AH130/12)</f>
        <v>30</v>
      </c>
      <c r="AV130" s="70" t="n">
        <f aca="false">MIN($AS130,Hold_Yrs)</f>
        <v>0</v>
      </c>
      <c r="AW130" s="26" t="n">
        <f aca="false">IF($AN130=0,0,CEILING(MAX($AS130,0.0001),1))</f>
        <v>0</v>
      </c>
      <c r="AX130" s="26" t="n">
        <f aca="false">IF(AND($AN130=1,MAX($AS130,0.0001)&lt;=Hold_Yrs),1,0)</f>
        <v>0</v>
      </c>
      <c r="AY130" s="71" t="n">
        <f aca="false">$R130*$AO130</f>
        <v>0</v>
      </c>
      <c r="AZ130" s="71" t="n">
        <f aca="false">$R130*Acc_Int*$AN130</f>
        <v>0</v>
      </c>
      <c r="BA130" s="71" t="n">
        <f aca="false">$AY130*Acq_Cost</f>
        <v>0</v>
      </c>
      <c r="BB130" s="71" t="n">
        <f aca="false">$AY130+$AZ130+$BA130</f>
        <v>0</v>
      </c>
      <c r="BC130" s="71" t="n">
        <f aca="false">IF(Fin_Flag="Yes",$AY130*Adv_Rate,0)</f>
        <v>0</v>
      </c>
      <c r="BD130" s="71" t="n">
        <f aca="false">$BC130*Fin_UpFee</f>
        <v>0</v>
      </c>
      <c r="BE130" s="71" t="n">
        <f aca="false">$BB130-$BC130+$BD130</f>
        <v>0</v>
      </c>
    </row>
    <row r="131" customFormat="false" ht="14.25" hidden="false" customHeight="false" outlineLevel="0" collapsed="false">
      <c r="A131" s="61"/>
      <c r="B131" s="62"/>
      <c r="C131" s="61"/>
      <c r="D131" s="61"/>
      <c r="E131" s="61"/>
      <c r="F131" s="63"/>
      <c r="G131" s="64"/>
      <c r="H131" s="64"/>
      <c r="I131" s="63"/>
      <c r="J131" s="63"/>
      <c r="K131" s="61"/>
      <c r="L131" s="65"/>
      <c r="M131" s="65"/>
      <c r="N131" s="61"/>
      <c r="O131" s="64"/>
      <c r="P131" s="65"/>
      <c r="Q131" s="65"/>
      <c r="R131" s="66"/>
      <c r="S131" s="65"/>
      <c r="T131" s="65"/>
      <c r="U131" s="67"/>
      <c r="V131" s="65"/>
      <c r="W131" s="65"/>
      <c r="X131" s="63"/>
      <c r="Y131" s="63"/>
      <c r="Z131" s="61"/>
      <c r="AA131" s="61"/>
      <c r="AB131" s="61"/>
      <c r="AC131" s="61"/>
      <c r="AD131" s="61"/>
      <c r="AE131" s="61"/>
      <c r="AF131" s="61"/>
      <c r="AG131" s="61"/>
      <c r="AH131" s="68" t="n">
        <f aca="false">IF(G131="",0,ROUND((Strats!$C$4-G131)/30.4375,1))</f>
        <v>0</v>
      </c>
      <c r="AI131" s="69" t="n">
        <f aca="false">IF(K131="",0,IF(K131="Floating",Strats!$C$10+M131,L131))</f>
        <v>0</v>
      </c>
      <c r="AJ131" s="68" t="str">
        <f aca="false">IF(OR(Z131="",Z131="Full Amortizing"),"",MAX(J131-AH131,0))</f>
        <v/>
      </c>
      <c r="AK131" s="69" t="n">
        <f aca="false">IF(K131="",0,IF(K131="Floating",IF(P131&lt;&gt;"",MIN(IF(Q131&lt;&gt;"",MAX((Strats!$C$10+Strats!$C$11+M131),Q131),(Strats!$C$10+Strats!$C$11+M131)),P131),IF(Q131&lt;&gt;"",MAX((Strats!$C$10+Strats!$C$11+M131),Q131),(Strats!$C$10+Strats!$C$11+M131))),AI131))</f>
        <v>0</v>
      </c>
      <c r="AL131" s="68" t="str">
        <f aca="false">IF(OR(E131="",E131&lt;&gt;'Deal Strat'!$C$12,R131=""),"",SUMPRODUCT((E$4:E$303='Deal Strat'!$C$12)*(R$4:R$303&gt;R131))+1+SUMPRODUCT((E$4:E$303='Deal Strat'!$C$12)*(R$4:R$303=R131)*(ROW(R$4:R$303)&lt;ROW(R131))))</f>
        <v/>
      </c>
      <c r="AM131" s="68" t="str">
        <f aca="false">IF(R131="","",RANK(R131,$R$4:$R$303,0)+COUNTIF($R$4:R131,R131)-1)</f>
        <v/>
      </c>
      <c r="AN131" s="26" t="n">
        <f aca="false">IF(OR($A131="",$R131=""),0,IF(Deal_Scope="All Deals",1,IF($E131=Deal_Scope,1,0)))</f>
        <v>0</v>
      </c>
      <c r="AO131" s="56" t="n">
        <f aca="false">IF($AN131=0,0,Px_Par)</f>
        <v>0</v>
      </c>
      <c r="AP131" s="70" t="n">
        <f aca="false">IF($H131="",0,MAX(0,($H131-Set_Date)/30.4375))</f>
        <v>0</v>
      </c>
      <c r="AQ131" s="26" t="n">
        <f aca="false">IF(AND(Ext_Flag="Yes",$AA131="Yes"),Ext_Months,0)</f>
        <v>0</v>
      </c>
      <c r="AR131" s="70" t="n">
        <f aca="false">$AP131+$AQ131</f>
        <v>0</v>
      </c>
      <c r="AS131" s="70" t="n">
        <f aca="false">$AR131/12</f>
        <v>0</v>
      </c>
      <c r="AT131" s="70" t="n">
        <f aca="false">IF($AJ131="",0,MAX(0,$AJ131/12))</f>
        <v>0</v>
      </c>
      <c r="AU131" s="70" t="n">
        <f aca="false">MAX(Amort_Min,Amort_Term-$AH131/12)</f>
        <v>30</v>
      </c>
      <c r="AV131" s="70" t="n">
        <f aca="false">MIN($AS131,Hold_Yrs)</f>
        <v>0</v>
      </c>
      <c r="AW131" s="26" t="n">
        <f aca="false">IF($AN131=0,0,CEILING(MAX($AS131,0.0001),1))</f>
        <v>0</v>
      </c>
      <c r="AX131" s="26" t="n">
        <f aca="false">IF(AND($AN131=1,MAX($AS131,0.0001)&lt;=Hold_Yrs),1,0)</f>
        <v>0</v>
      </c>
      <c r="AY131" s="71" t="n">
        <f aca="false">$R131*$AO131</f>
        <v>0</v>
      </c>
      <c r="AZ131" s="71" t="n">
        <f aca="false">$R131*Acc_Int*$AN131</f>
        <v>0</v>
      </c>
      <c r="BA131" s="71" t="n">
        <f aca="false">$AY131*Acq_Cost</f>
        <v>0</v>
      </c>
      <c r="BB131" s="71" t="n">
        <f aca="false">$AY131+$AZ131+$BA131</f>
        <v>0</v>
      </c>
      <c r="BC131" s="71" t="n">
        <f aca="false">IF(Fin_Flag="Yes",$AY131*Adv_Rate,0)</f>
        <v>0</v>
      </c>
      <c r="BD131" s="71" t="n">
        <f aca="false">$BC131*Fin_UpFee</f>
        <v>0</v>
      </c>
      <c r="BE131" s="71" t="n">
        <f aca="false">$BB131-$BC131+$BD131</f>
        <v>0</v>
      </c>
    </row>
    <row r="132" customFormat="false" ht="14.25" hidden="false" customHeight="false" outlineLevel="0" collapsed="false">
      <c r="A132" s="61"/>
      <c r="B132" s="62"/>
      <c r="C132" s="61"/>
      <c r="D132" s="61"/>
      <c r="E132" s="61"/>
      <c r="F132" s="63"/>
      <c r="G132" s="64"/>
      <c r="H132" s="64"/>
      <c r="I132" s="63"/>
      <c r="J132" s="63"/>
      <c r="K132" s="61"/>
      <c r="L132" s="65"/>
      <c r="M132" s="65"/>
      <c r="N132" s="61"/>
      <c r="O132" s="64"/>
      <c r="P132" s="65"/>
      <c r="Q132" s="65"/>
      <c r="R132" s="66"/>
      <c r="S132" s="65"/>
      <c r="T132" s="65"/>
      <c r="U132" s="67"/>
      <c r="V132" s="65"/>
      <c r="W132" s="65"/>
      <c r="X132" s="63"/>
      <c r="Y132" s="63"/>
      <c r="Z132" s="61"/>
      <c r="AA132" s="61"/>
      <c r="AB132" s="61"/>
      <c r="AC132" s="61"/>
      <c r="AD132" s="61"/>
      <c r="AE132" s="61"/>
      <c r="AF132" s="61"/>
      <c r="AG132" s="61"/>
      <c r="AH132" s="68" t="n">
        <f aca="false">IF(G132="",0,ROUND((Strats!$C$4-G132)/30.4375,1))</f>
        <v>0</v>
      </c>
      <c r="AI132" s="69" t="n">
        <f aca="false">IF(K132="",0,IF(K132="Floating",Strats!$C$10+M132,L132))</f>
        <v>0</v>
      </c>
      <c r="AJ132" s="68" t="str">
        <f aca="false">IF(OR(Z132="",Z132="Full Amortizing"),"",MAX(J132-AH132,0))</f>
        <v/>
      </c>
      <c r="AK132" s="69" t="n">
        <f aca="false">IF(K132="",0,IF(K132="Floating",IF(P132&lt;&gt;"",MIN(IF(Q132&lt;&gt;"",MAX((Strats!$C$10+Strats!$C$11+M132),Q132),(Strats!$C$10+Strats!$C$11+M132)),P132),IF(Q132&lt;&gt;"",MAX((Strats!$C$10+Strats!$C$11+M132),Q132),(Strats!$C$10+Strats!$C$11+M132))),AI132))</f>
        <v>0</v>
      </c>
      <c r="AL132" s="68" t="str">
        <f aca="false">IF(OR(E132="",E132&lt;&gt;'Deal Strat'!$C$12,R132=""),"",SUMPRODUCT((E$4:E$303='Deal Strat'!$C$12)*(R$4:R$303&gt;R132))+1+SUMPRODUCT((E$4:E$303='Deal Strat'!$C$12)*(R$4:R$303=R132)*(ROW(R$4:R$303)&lt;ROW(R132))))</f>
        <v/>
      </c>
      <c r="AM132" s="68" t="str">
        <f aca="false">IF(R132="","",RANK(R132,$R$4:$R$303,0)+COUNTIF($R$4:R132,R132)-1)</f>
        <v/>
      </c>
      <c r="AN132" s="26" t="n">
        <f aca="false">IF(OR($A132="",$R132=""),0,IF(Deal_Scope="All Deals",1,IF($E132=Deal_Scope,1,0)))</f>
        <v>0</v>
      </c>
      <c r="AO132" s="56" t="n">
        <f aca="false">IF($AN132=0,0,Px_Par)</f>
        <v>0</v>
      </c>
      <c r="AP132" s="70" t="n">
        <f aca="false">IF($H132="",0,MAX(0,($H132-Set_Date)/30.4375))</f>
        <v>0</v>
      </c>
      <c r="AQ132" s="26" t="n">
        <f aca="false">IF(AND(Ext_Flag="Yes",$AA132="Yes"),Ext_Months,0)</f>
        <v>0</v>
      </c>
      <c r="AR132" s="70" t="n">
        <f aca="false">$AP132+$AQ132</f>
        <v>0</v>
      </c>
      <c r="AS132" s="70" t="n">
        <f aca="false">$AR132/12</f>
        <v>0</v>
      </c>
      <c r="AT132" s="70" t="n">
        <f aca="false">IF($AJ132="",0,MAX(0,$AJ132/12))</f>
        <v>0</v>
      </c>
      <c r="AU132" s="70" t="n">
        <f aca="false">MAX(Amort_Min,Amort_Term-$AH132/12)</f>
        <v>30</v>
      </c>
      <c r="AV132" s="70" t="n">
        <f aca="false">MIN($AS132,Hold_Yrs)</f>
        <v>0</v>
      </c>
      <c r="AW132" s="26" t="n">
        <f aca="false">IF($AN132=0,0,CEILING(MAX($AS132,0.0001),1))</f>
        <v>0</v>
      </c>
      <c r="AX132" s="26" t="n">
        <f aca="false">IF(AND($AN132=1,MAX($AS132,0.0001)&lt;=Hold_Yrs),1,0)</f>
        <v>0</v>
      </c>
      <c r="AY132" s="71" t="n">
        <f aca="false">$R132*$AO132</f>
        <v>0</v>
      </c>
      <c r="AZ132" s="71" t="n">
        <f aca="false">$R132*Acc_Int*$AN132</f>
        <v>0</v>
      </c>
      <c r="BA132" s="71" t="n">
        <f aca="false">$AY132*Acq_Cost</f>
        <v>0</v>
      </c>
      <c r="BB132" s="71" t="n">
        <f aca="false">$AY132+$AZ132+$BA132</f>
        <v>0</v>
      </c>
      <c r="BC132" s="71" t="n">
        <f aca="false">IF(Fin_Flag="Yes",$AY132*Adv_Rate,0)</f>
        <v>0</v>
      </c>
      <c r="BD132" s="71" t="n">
        <f aca="false">$BC132*Fin_UpFee</f>
        <v>0</v>
      </c>
      <c r="BE132" s="71" t="n">
        <f aca="false">$BB132-$BC132+$BD132</f>
        <v>0</v>
      </c>
    </row>
    <row r="133" customFormat="false" ht="14.25" hidden="false" customHeight="false" outlineLevel="0" collapsed="false">
      <c r="A133" s="61"/>
      <c r="B133" s="62"/>
      <c r="C133" s="61"/>
      <c r="D133" s="61"/>
      <c r="E133" s="61"/>
      <c r="F133" s="63"/>
      <c r="G133" s="64"/>
      <c r="H133" s="64"/>
      <c r="I133" s="63"/>
      <c r="J133" s="63"/>
      <c r="K133" s="61"/>
      <c r="L133" s="65"/>
      <c r="M133" s="65"/>
      <c r="N133" s="61"/>
      <c r="O133" s="64"/>
      <c r="P133" s="65"/>
      <c r="Q133" s="65"/>
      <c r="R133" s="66"/>
      <c r="S133" s="65"/>
      <c r="T133" s="65"/>
      <c r="U133" s="67"/>
      <c r="V133" s="65"/>
      <c r="W133" s="65"/>
      <c r="X133" s="63"/>
      <c r="Y133" s="63"/>
      <c r="Z133" s="61"/>
      <c r="AA133" s="61"/>
      <c r="AB133" s="61"/>
      <c r="AC133" s="61"/>
      <c r="AD133" s="61"/>
      <c r="AE133" s="61"/>
      <c r="AF133" s="61"/>
      <c r="AG133" s="61"/>
      <c r="AH133" s="68" t="n">
        <f aca="false">IF(G133="",0,ROUND((Strats!$C$4-G133)/30.4375,1))</f>
        <v>0</v>
      </c>
      <c r="AI133" s="69" t="n">
        <f aca="false">IF(K133="",0,IF(K133="Floating",Strats!$C$10+M133,L133))</f>
        <v>0</v>
      </c>
      <c r="AJ133" s="68" t="str">
        <f aca="false">IF(OR(Z133="",Z133="Full Amortizing"),"",MAX(J133-AH133,0))</f>
        <v/>
      </c>
      <c r="AK133" s="69" t="n">
        <f aca="false">IF(K133="",0,IF(K133="Floating",IF(P133&lt;&gt;"",MIN(IF(Q133&lt;&gt;"",MAX((Strats!$C$10+Strats!$C$11+M133),Q133),(Strats!$C$10+Strats!$C$11+M133)),P133),IF(Q133&lt;&gt;"",MAX((Strats!$C$10+Strats!$C$11+M133),Q133),(Strats!$C$10+Strats!$C$11+M133))),AI133))</f>
        <v>0</v>
      </c>
      <c r="AL133" s="68" t="str">
        <f aca="false">IF(OR(E133="",E133&lt;&gt;'Deal Strat'!$C$12,R133=""),"",SUMPRODUCT((E$4:E$303='Deal Strat'!$C$12)*(R$4:R$303&gt;R133))+1+SUMPRODUCT((E$4:E$303='Deal Strat'!$C$12)*(R$4:R$303=R133)*(ROW(R$4:R$303)&lt;ROW(R133))))</f>
        <v/>
      </c>
      <c r="AM133" s="68" t="str">
        <f aca="false">IF(R133="","",RANK(R133,$R$4:$R$303,0)+COUNTIF($R$4:R133,R133)-1)</f>
        <v/>
      </c>
      <c r="AN133" s="26" t="n">
        <f aca="false">IF(OR($A133="",$R133=""),0,IF(Deal_Scope="All Deals",1,IF($E133=Deal_Scope,1,0)))</f>
        <v>0</v>
      </c>
      <c r="AO133" s="56" t="n">
        <f aca="false">IF($AN133=0,0,Px_Par)</f>
        <v>0</v>
      </c>
      <c r="AP133" s="70" t="n">
        <f aca="false">IF($H133="",0,MAX(0,($H133-Set_Date)/30.4375))</f>
        <v>0</v>
      </c>
      <c r="AQ133" s="26" t="n">
        <f aca="false">IF(AND(Ext_Flag="Yes",$AA133="Yes"),Ext_Months,0)</f>
        <v>0</v>
      </c>
      <c r="AR133" s="70" t="n">
        <f aca="false">$AP133+$AQ133</f>
        <v>0</v>
      </c>
      <c r="AS133" s="70" t="n">
        <f aca="false">$AR133/12</f>
        <v>0</v>
      </c>
      <c r="AT133" s="70" t="n">
        <f aca="false">IF($AJ133="",0,MAX(0,$AJ133/12))</f>
        <v>0</v>
      </c>
      <c r="AU133" s="70" t="n">
        <f aca="false">MAX(Amort_Min,Amort_Term-$AH133/12)</f>
        <v>30</v>
      </c>
      <c r="AV133" s="70" t="n">
        <f aca="false">MIN($AS133,Hold_Yrs)</f>
        <v>0</v>
      </c>
      <c r="AW133" s="26" t="n">
        <f aca="false">IF($AN133=0,0,CEILING(MAX($AS133,0.0001),1))</f>
        <v>0</v>
      </c>
      <c r="AX133" s="26" t="n">
        <f aca="false">IF(AND($AN133=1,MAX($AS133,0.0001)&lt;=Hold_Yrs),1,0)</f>
        <v>0</v>
      </c>
      <c r="AY133" s="71" t="n">
        <f aca="false">$R133*$AO133</f>
        <v>0</v>
      </c>
      <c r="AZ133" s="71" t="n">
        <f aca="false">$R133*Acc_Int*$AN133</f>
        <v>0</v>
      </c>
      <c r="BA133" s="71" t="n">
        <f aca="false">$AY133*Acq_Cost</f>
        <v>0</v>
      </c>
      <c r="BB133" s="71" t="n">
        <f aca="false">$AY133+$AZ133+$BA133</f>
        <v>0</v>
      </c>
      <c r="BC133" s="71" t="n">
        <f aca="false">IF(Fin_Flag="Yes",$AY133*Adv_Rate,0)</f>
        <v>0</v>
      </c>
      <c r="BD133" s="71" t="n">
        <f aca="false">$BC133*Fin_UpFee</f>
        <v>0</v>
      </c>
      <c r="BE133" s="71" t="n">
        <f aca="false">$BB133-$BC133+$BD133</f>
        <v>0</v>
      </c>
    </row>
    <row r="134" customFormat="false" ht="14.25" hidden="false" customHeight="false" outlineLevel="0" collapsed="false">
      <c r="A134" s="61"/>
      <c r="B134" s="62"/>
      <c r="C134" s="61"/>
      <c r="D134" s="61"/>
      <c r="E134" s="61"/>
      <c r="F134" s="63"/>
      <c r="G134" s="64"/>
      <c r="H134" s="64"/>
      <c r="I134" s="63"/>
      <c r="J134" s="63"/>
      <c r="K134" s="61"/>
      <c r="L134" s="65"/>
      <c r="M134" s="65"/>
      <c r="N134" s="61"/>
      <c r="O134" s="64"/>
      <c r="P134" s="65"/>
      <c r="Q134" s="65"/>
      <c r="R134" s="66"/>
      <c r="S134" s="65"/>
      <c r="T134" s="65"/>
      <c r="U134" s="67"/>
      <c r="V134" s="65"/>
      <c r="W134" s="65"/>
      <c r="X134" s="63"/>
      <c r="Y134" s="63"/>
      <c r="Z134" s="61"/>
      <c r="AA134" s="61"/>
      <c r="AB134" s="61"/>
      <c r="AC134" s="61"/>
      <c r="AD134" s="61"/>
      <c r="AE134" s="61"/>
      <c r="AF134" s="61"/>
      <c r="AG134" s="61"/>
      <c r="AH134" s="68" t="n">
        <f aca="false">IF(G134="",0,ROUND((Strats!$C$4-G134)/30.4375,1))</f>
        <v>0</v>
      </c>
      <c r="AI134" s="69" t="n">
        <f aca="false">IF(K134="",0,IF(K134="Floating",Strats!$C$10+M134,L134))</f>
        <v>0</v>
      </c>
      <c r="AJ134" s="68" t="str">
        <f aca="false">IF(OR(Z134="",Z134="Full Amortizing"),"",MAX(J134-AH134,0))</f>
        <v/>
      </c>
      <c r="AK134" s="69" t="n">
        <f aca="false">IF(K134="",0,IF(K134="Floating",IF(P134&lt;&gt;"",MIN(IF(Q134&lt;&gt;"",MAX((Strats!$C$10+Strats!$C$11+M134),Q134),(Strats!$C$10+Strats!$C$11+M134)),P134),IF(Q134&lt;&gt;"",MAX((Strats!$C$10+Strats!$C$11+M134),Q134),(Strats!$C$10+Strats!$C$11+M134))),AI134))</f>
        <v>0</v>
      </c>
      <c r="AL134" s="68" t="str">
        <f aca="false">IF(OR(E134="",E134&lt;&gt;'Deal Strat'!$C$12,R134=""),"",SUMPRODUCT((E$4:E$303='Deal Strat'!$C$12)*(R$4:R$303&gt;R134))+1+SUMPRODUCT((E$4:E$303='Deal Strat'!$C$12)*(R$4:R$303=R134)*(ROW(R$4:R$303)&lt;ROW(R134))))</f>
        <v/>
      </c>
      <c r="AM134" s="68" t="str">
        <f aca="false">IF(R134="","",RANK(R134,$R$4:$R$303,0)+COUNTIF($R$4:R134,R134)-1)</f>
        <v/>
      </c>
      <c r="AN134" s="26" t="n">
        <f aca="false">IF(OR($A134="",$R134=""),0,IF(Deal_Scope="All Deals",1,IF($E134=Deal_Scope,1,0)))</f>
        <v>0</v>
      </c>
      <c r="AO134" s="56" t="n">
        <f aca="false">IF($AN134=0,0,Px_Par)</f>
        <v>0</v>
      </c>
      <c r="AP134" s="70" t="n">
        <f aca="false">IF($H134="",0,MAX(0,($H134-Set_Date)/30.4375))</f>
        <v>0</v>
      </c>
      <c r="AQ134" s="26" t="n">
        <f aca="false">IF(AND(Ext_Flag="Yes",$AA134="Yes"),Ext_Months,0)</f>
        <v>0</v>
      </c>
      <c r="AR134" s="70" t="n">
        <f aca="false">$AP134+$AQ134</f>
        <v>0</v>
      </c>
      <c r="AS134" s="70" t="n">
        <f aca="false">$AR134/12</f>
        <v>0</v>
      </c>
      <c r="AT134" s="70" t="n">
        <f aca="false">IF($AJ134="",0,MAX(0,$AJ134/12))</f>
        <v>0</v>
      </c>
      <c r="AU134" s="70" t="n">
        <f aca="false">MAX(Amort_Min,Amort_Term-$AH134/12)</f>
        <v>30</v>
      </c>
      <c r="AV134" s="70" t="n">
        <f aca="false">MIN($AS134,Hold_Yrs)</f>
        <v>0</v>
      </c>
      <c r="AW134" s="26" t="n">
        <f aca="false">IF($AN134=0,0,CEILING(MAX($AS134,0.0001),1))</f>
        <v>0</v>
      </c>
      <c r="AX134" s="26" t="n">
        <f aca="false">IF(AND($AN134=1,MAX($AS134,0.0001)&lt;=Hold_Yrs),1,0)</f>
        <v>0</v>
      </c>
      <c r="AY134" s="71" t="n">
        <f aca="false">$R134*$AO134</f>
        <v>0</v>
      </c>
      <c r="AZ134" s="71" t="n">
        <f aca="false">$R134*Acc_Int*$AN134</f>
        <v>0</v>
      </c>
      <c r="BA134" s="71" t="n">
        <f aca="false">$AY134*Acq_Cost</f>
        <v>0</v>
      </c>
      <c r="BB134" s="71" t="n">
        <f aca="false">$AY134+$AZ134+$BA134</f>
        <v>0</v>
      </c>
      <c r="BC134" s="71" t="n">
        <f aca="false">IF(Fin_Flag="Yes",$AY134*Adv_Rate,0)</f>
        <v>0</v>
      </c>
      <c r="BD134" s="71" t="n">
        <f aca="false">$BC134*Fin_UpFee</f>
        <v>0</v>
      </c>
      <c r="BE134" s="71" t="n">
        <f aca="false">$BB134-$BC134+$BD134</f>
        <v>0</v>
      </c>
    </row>
    <row r="135" customFormat="false" ht="14.25" hidden="false" customHeight="false" outlineLevel="0" collapsed="false">
      <c r="A135" s="61"/>
      <c r="B135" s="62"/>
      <c r="C135" s="61"/>
      <c r="D135" s="61"/>
      <c r="E135" s="61"/>
      <c r="F135" s="63"/>
      <c r="G135" s="64"/>
      <c r="H135" s="64"/>
      <c r="I135" s="63"/>
      <c r="J135" s="63"/>
      <c r="K135" s="61"/>
      <c r="L135" s="65"/>
      <c r="M135" s="65"/>
      <c r="N135" s="61"/>
      <c r="O135" s="64"/>
      <c r="P135" s="65"/>
      <c r="Q135" s="65"/>
      <c r="R135" s="66"/>
      <c r="S135" s="65"/>
      <c r="T135" s="65"/>
      <c r="U135" s="67"/>
      <c r="V135" s="65"/>
      <c r="W135" s="65"/>
      <c r="X135" s="63"/>
      <c r="Y135" s="63"/>
      <c r="Z135" s="61"/>
      <c r="AA135" s="61"/>
      <c r="AB135" s="61"/>
      <c r="AC135" s="61"/>
      <c r="AD135" s="61"/>
      <c r="AE135" s="61"/>
      <c r="AF135" s="61"/>
      <c r="AG135" s="61"/>
      <c r="AH135" s="68" t="n">
        <f aca="false">IF(G135="",0,ROUND((Strats!$C$4-G135)/30.4375,1))</f>
        <v>0</v>
      </c>
      <c r="AI135" s="69" t="n">
        <f aca="false">IF(K135="",0,IF(K135="Floating",Strats!$C$10+M135,L135))</f>
        <v>0</v>
      </c>
      <c r="AJ135" s="68" t="str">
        <f aca="false">IF(OR(Z135="",Z135="Full Amortizing"),"",MAX(J135-AH135,0))</f>
        <v/>
      </c>
      <c r="AK135" s="69" t="n">
        <f aca="false">IF(K135="",0,IF(K135="Floating",IF(P135&lt;&gt;"",MIN(IF(Q135&lt;&gt;"",MAX((Strats!$C$10+Strats!$C$11+M135),Q135),(Strats!$C$10+Strats!$C$11+M135)),P135),IF(Q135&lt;&gt;"",MAX((Strats!$C$10+Strats!$C$11+M135),Q135),(Strats!$C$10+Strats!$C$11+M135))),AI135))</f>
        <v>0</v>
      </c>
      <c r="AL135" s="68" t="str">
        <f aca="false">IF(OR(E135="",E135&lt;&gt;'Deal Strat'!$C$12,R135=""),"",SUMPRODUCT((E$4:E$303='Deal Strat'!$C$12)*(R$4:R$303&gt;R135))+1+SUMPRODUCT((E$4:E$303='Deal Strat'!$C$12)*(R$4:R$303=R135)*(ROW(R$4:R$303)&lt;ROW(R135))))</f>
        <v/>
      </c>
      <c r="AM135" s="68" t="str">
        <f aca="false">IF(R135="","",RANK(R135,$R$4:$R$303,0)+COUNTIF($R$4:R135,R135)-1)</f>
        <v/>
      </c>
      <c r="AN135" s="26" t="n">
        <f aca="false">IF(OR($A135="",$R135=""),0,IF(Deal_Scope="All Deals",1,IF($E135=Deal_Scope,1,0)))</f>
        <v>0</v>
      </c>
      <c r="AO135" s="56" t="n">
        <f aca="false">IF($AN135=0,0,Px_Par)</f>
        <v>0</v>
      </c>
      <c r="AP135" s="70" t="n">
        <f aca="false">IF($H135="",0,MAX(0,($H135-Set_Date)/30.4375))</f>
        <v>0</v>
      </c>
      <c r="AQ135" s="26" t="n">
        <f aca="false">IF(AND(Ext_Flag="Yes",$AA135="Yes"),Ext_Months,0)</f>
        <v>0</v>
      </c>
      <c r="AR135" s="70" t="n">
        <f aca="false">$AP135+$AQ135</f>
        <v>0</v>
      </c>
      <c r="AS135" s="70" t="n">
        <f aca="false">$AR135/12</f>
        <v>0</v>
      </c>
      <c r="AT135" s="70" t="n">
        <f aca="false">IF($AJ135="",0,MAX(0,$AJ135/12))</f>
        <v>0</v>
      </c>
      <c r="AU135" s="70" t="n">
        <f aca="false">MAX(Amort_Min,Amort_Term-$AH135/12)</f>
        <v>30</v>
      </c>
      <c r="AV135" s="70" t="n">
        <f aca="false">MIN($AS135,Hold_Yrs)</f>
        <v>0</v>
      </c>
      <c r="AW135" s="26" t="n">
        <f aca="false">IF($AN135=0,0,CEILING(MAX($AS135,0.0001),1))</f>
        <v>0</v>
      </c>
      <c r="AX135" s="26" t="n">
        <f aca="false">IF(AND($AN135=1,MAX($AS135,0.0001)&lt;=Hold_Yrs),1,0)</f>
        <v>0</v>
      </c>
      <c r="AY135" s="71" t="n">
        <f aca="false">$R135*$AO135</f>
        <v>0</v>
      </c>
      <c r="AZ135" s="71" t="n">
        <f aca="false">$R135*Acc_Int*$AN135</f>
        <v>0</v>
      </c>
      <c r="BA135" s="71" t="n">
        <f aca="false">$AY135*Acq_Cost</f>
        <v>0</v>
      </c>
      <c r="BB135" s="71" t="n">
        <f aca="false">$AY135+$AZ135+$BA135</f>
        <v>0</v>
      </c>
      <c r="BC135" s="71" t="n">
        <f aca="false">IF(Fin_Flag="Yes",$AY135*Adv_Rate,0)</f>
        <v>0</v>
      </c>
      <c r="BD135" s="71" t="n">
        <f aca="false">$BC135*Fin_UpFee</f>
        <v>0</v>
      </c>
      <c r="BE135" s="71" t="n">
        <f aca="false">$BB135-$BC135+$BD135</f>
        <v>0</v>
      </c>
    </row>
    <row r="136" customFormat="false" ht="14.25" hidden="false" customHeight="false" outlineLevel="0" collapsed="false">
      <c r="A136" s="61"/>
      <c r="B136" s="62"/>
      <c r="C136" s="61"/>
      <c r="D136" s="61"/>
      <c r="E136" s="61"/>
      <c r="F136" s="63"/>
      <c r="G136" s="64"/>
      <c r="H136" s="64"/>
      <c r="I136" s="63"/>
      <c r="J136" s="63"/>
      <c r="K136" s="61"/>
      <c r="L136" s="65"/>
      <c r="M136" s="65"/>
      <c r="N136" s="61"/>
      <c r="O136" s="64"/>
      <c r="P136" s="65"/>
      <c r="Q136" s="65"/>
      <c r="R136" s="66"/>
      <c r="S136" s="65"/>
      <c r="T136" s="65"/>
      <c r="U136" s="67"/>
      <c r="V136" s="65"/>
      <c r="W136" s="65"/>
      <c r="X136" s="63"/>
      <c r="Y136" s="63"/>
      <c r="Z136" s="61"/>
      <c r="AA136" s="61"/>
      <c r="AB136" s="61"/>
      <c r="AC136" s="61"/>
      <c r="AD136" s="61"/>
      <c r="AE136" s="61"/>
      <c r="AF136" s="61"/>
      <c r="AG136" s="61"/>
      <c r="AH136" s="68" t="n">
        <f aca="false">IF(G136="",0,ROUND((Strats!$C$4-G136)/30.4375,1))</f>
        <v>0</v>
      </c>
      <c r="AI136" s="69" t="n">
        <f aca="false">IF(K136="",0,IF(K136="Floating",Strats!$C$10+M136,L136))</f>
        <v>0</v>
      </c>
      <c r="AJ136" s="68" t="str">
        <f aca="false">IF(OR(Z136="",Z136="Full Amortizing"),"",MAX(J136-AH136,0))</f>
        <v/>
      </c>
      <c r="AK136" s="69" t="n">
        <f aca="false">IF(K136="",0,IF(K136="Floating",IF(P136&lt;&gt;"",MIN(IF(Q136&lt;&gt;"",MAX((Strats!$C$10+Strats!$C$11+M136),Q136),(Strats!$C$10+Strats!$C$11+M136)),P136),IF(Q136&lt;&gt;"",MAX((Strats!$C$10+Strats!$C$11+M136),Q136),(Strats!$C$10+Strats!$C$11+M136))),AI136))</f>
        <v>0</v>
      </c>
      <c r="AL136" s="68" t="str">
        <f aca="false">IF(OR(E136="",E136&lt;&gt;'Deal Strat'!$C$12,R136=""),"",SUMPRODUCT((E$4:E$303='Deal Strat'!$C$12)*(R$4:R$303&gt;R136))+1+SUMPRODUCT((E$4:E$303='Deal Strat'!$C$12)*(R$4:R$303=R136)*(ROW(R$4:R$303)&lt;ROW(R136))))</f>
        <v/>
      </c>
      <c r="AM136" s="68" t="str">
        <f aca="false">IF(R136="","",RANK(R136,$R$4:$R$303,0)+COUNTIF($R$4:R136,R136)-1)</f>
        <v/>
      </c>
      <c r="AN136" s="26" t="n">
        <f aca="false">IF(OR($A136="",$R136=""),0,IF(Deal_Scope="All Deals",1,IF($E136=Deal_Scope,1,0)))</f>
        <v>0</v>
      </c>
      <c r="AO136" s="56" t="n">
        <f aca="false">IF($AN136=0,0,Px_Par)</f>
        <v>0</v>
      </c>
      <c r="AP136" s="70" t="n">
        <f aca="false">IF($H136="",0,MAX(0,($H136-Set_Date)/30.4375))</f>
        <v>0</v>
      </c>
      <c r="AQ136" s="26" t="n">
        <f aca="false">IF(AND(Ext_Flag="Yes",$AA136="Yes"),Ext_Months,0)</f>
        <v>0</v>
      </c>
      <c r="AR136" s="70" t="n">
        <f aca="false">$AP136+$AQ136</f>
        <v>0</v>
      </c>
      <c r="AS136" s="70" t="n">
        <f aca="false">$AR136/12</f>
        <v>0</v>
      </c>
      <c r="AT136" s="70" t="n">
        <f aca="false">IF($AJ136="",0,MAX(0,$AJ136/12))</f>
        <v>0</v>
      </c>
      <c r="AU136" s="70" t="n">
        <f aca="false">MAX(Amort_Min,Amort_Term-$AH136/12)</f>
        <v>30</v>
      </c>
      <c r="AV136" s="70" t="n">
        <f aca="false">MIN($AS136,Hold_Yrs)</f>
        <v>0</v>
      </c>
      <c r="AW136" s="26" t="n">
        <f aca="false">IF($AN136=0,0,CEILING(MAX($AS136,0.0001),1))</f>
        <v>0</v>
      </c>
      <c r="AX136" s="26" t="n">
        <f aca="false">IF(AND($AN136=1,MAX($AS136,0.0001)&lt;=Hold_Yrs),1,0)</f>
        <v>0</v>
      </c>
      <c r="AY136" s="71" t="n">
        <f aca="false">$R136*$AO136</f>
        <v>0</v>
      </c>
      <c r="AZ136" s="71" t="n">
        <f aca="false">$R136*Acc_Int*$AN136</f>
        <v>0</v>
      </c>
      <c r="BA136" s="71" t="n">
        <f aca="false">$AY136*Acq_Cost</f>
        <v>0</v>
      </c>
      <c r="BB136" s="71" t="n">
        <f aca="false">$AY136+$AZ136+$BA136</f>
        <v>0</v>
      </c>
      <c r="BC136" s="71" t="n">
        <f aca="false">IF(Fin_Flag="Yes",$AY136*Adv_Rate,0)</f>
        <v>0</v>
      </c>
      <c r="BD136" s="71" t="n">
        <f aca="false">$BC136*Fin_UpFee</f>
        <v>0</v>
      </c>
      <c r="BE136" s="71" t="n">
        <f aca="false">$BB136-$BC136+$BD136</f>
        <v>0</v>
      </c>
    </row>
    <row r="137" customFormat="false" ht="14.25" hidden="false" customHeight="false" outlineLevel="0" collapsed="false">
      <c r="A137" s="61"/>
      <c r="B137" s="62"/>
      <c r="C137" s="61"/>
      <c r="D137" s="61"/>
      <c r="E137" s="61"/>
      <c r="F137" s="63"/>
      <c r="G137" s="64"/>
      <c r="H137" s="64"/>
      <c r="I137" s="63"/>
      <c r="J137" s="63"/>
      <c r="K137" s="61"/>
      <c r="L137" s="65"/>
      <c r="M137" s="65"/>
      <c r="N137" s="61"/>
      <c r="O137" s="64"/>
      <c r="P137" s="65"/>
      <c r="Q137" s="65"/>
      <c r="R137" s="66"/>
      <c r="S137" s="65"/>
      <c r="T137" s="65"/>
      <c r="U137" s="67"/>
      <c r="V137" s="65"/>
      <c r="W137" s="65"/>
      <c r="X137" s="63"/>
      <c r="Y137" s="63"/>
      <c r="Z137" s="61"/>
      <c r="AA137" s="61"/>
      <c r="AB137" s="61"/>
      <c r="AC137" s="61"/>
      <c r="AD137" s="61"/>
      <c r="AE137" s="61"/>
      <c r="AF137" s="61"/>
      <c r="AG137" s="61"/>
      <c r="AH137" s="68" t="n">
        <f aca="false">IF(G137="",0,ROUND((Strats!$C$4-G137)/30.4375,1))</f>
        <v>0</v>
      </c>
      <c r="AI137" s="69" t="n">
        <f aca="false">IF(K137="",0,IF(K137="Floating",Strats!$C$10+M137,L137))</f>
        <v>0</v>
      </c>
      <c r="AJ137" s="68" t="str">
        <f aca="false">IF(OR(Z137="",Z137="Full Amortizing"),"",MAX(J137-AH137,0))</f>
        <v/>
      </c>
      <c r="AK137" s="69" t="n">
        <f aca="false">IF(K137="",0,IF(K137="Floating",IF(P137&lt;&gt;"",MIN(IF(Q137&lt;&gt;"",MAX((Strats!$C$10+Strats!$C$11+M137),Q137),(Strats!$C$10+Strats!$C$11+M137)),P137),IF(Q137&lt;&gt;"",MAX((Strats!$C$10+Strats!$C$11+M137),Q137),(Strats!$C$10+Strats!$C$11+M137))),AI137))</f>
        <v>0</v>
      </c>
      <c r="AL137" s="68" t="str">
        <f aca="false">IF(OR(E137="",E137&lt;&gt;'Deal Strat'!$C$12,R137=""),"",SUMPRODUCT((E$4:E$303='Deal Strat'!$C$12)*(R$4:R$303&gt;R137))+1+SUMPRODUCT((E$4:E$303='Deal Strat'!$C$12)*(R$4:R$303=R137)*(ROW(R$4:R$303)&lt;ROW(R137))))</f>
        <v/>
      </c>
      <c r="AM137" s="68" t="str">
        <f aca="false">IF(R137="","",RANK(R137,$R$4:$R$303,0)+COUNTIF($R$4:R137,R137)-1)</f>
        <v/>
      </c>
      <c r="AN137" s="26" t="n">
        <f aca="false">IF(OR($A137="",$R137=""),0,IF(Deal_Scope="All Deals",1,IF($E137=Deal_Scope,1,0)))</f>
        <v>0</v>
      </c>
      <c r="AO137" s="56" t="n">
        <f aca="false">IF($AN137=0,0,Px_Par)</f>
        <v>0</v>
      </c>
      <c r="AP137" s="70" t="n">
        <f aca="false">IF($H137="",0,MAX(0,($H137-Set_Date)/30.4375))</f>
        <v>0</v>
      </c>
      <c r="AQ137" s="26" t="n">
        <f aca="false">IF(AND(Ext_Flag="Yes",$AA137="Yes"),Ext_Months,0)</f>
        <v>0</v>
      </c>
      <c r="AR137" s="70" t="n">
        <f aca="false">$AP137+$AQ137</f>
        <v>0</v>
      </c>
      <c r="AS137" s="70" t="n">
        <f aca="false">$AR137/12</f>
        <v>0</v>
      </c>
      <c r="AT137" s="70" t="n">
        <f aca="false">IF($AJ137="",0,MAX(0,$AJ137/12))</f>
        <v>0</v>
      </c>
      <c r="AU137" s="70" t="n">
        <f aca="false">MAX(Amort_Min,Amort_Term-$AH137/12)</f>
        <v>30</v>
      </c>
      <c r="AV137" s="70" t="n">
        <f aca="false">MIN($AS137,Hold_Yrs)</f>
        <v>0</v>
      </c>
      <c r="AW137" s="26" t="n">
        <f aca="false">IF($AN137=0,0,CEILING(MAX($AS137,0.0001),1))</f>
        <v>0</v>
      </c>
      <c r="AX137" s="26" t="n">
        <f aca="false">IF(AND($AN137=1,MAX($AS137,0.0001)&lt;=Hold_Yrs),1,0)</f>
        <v>0</v>
      </c>
      <c r="AY137" s="71" t="n">
        <f aca="false">$R137*$AO137</f>
        <v>0</v>
      </c>
      <c r="AZ137" s="71" t="n">
        <f aca="false">$R137*Acc_Int*$AN137</f>
        <v>0</v>
      </c>
      <c r="BA137" s="71" t="n">
        <f aca="false">$AY137*Acq_Cost</f>
        <v>0</v>
      </c>
      <c r="BB137" s="71" t="n">
        <f aca="false">$AY137+$AZ137+$BA137</f>
        <v>0</v>
      </c>
      <c r="BC137" s="71" t="n">
        <f aca="false">IF(Fin_Flag="Yes",$AY137*Adv_Rate,0)</f>
        <v>0</v>
      </c>
      <c r="BD137" s="71" t="n">
        <f aca="false">$BC137*Fin_UpFee</f>
        <v>0</v>
      </c>
      <c r="BE137" s="71" t="n">
        <f aca="false">$BB137-$BC137+$BD137</f>
        <v>0</v>
      </c>
    </row>
    <row r="138" customFormat="false" ht="14.25" hidden="false" customHeight="false" outlineLevel="0" collapsed="false">
      <c r="A138" s="61"/>
      <c r="B138" s="62"/>
      <c r="C138" s="61"/>
      <c r="D138" s="61"/>
      <c r="E138" s="61"/>
      <c r="F138" s="63"/>
      <c r="G138" s="64"/>
      <c r="H138" s="64"/>
      <c r="I138" s="63"/>
      <c r="J138" s="63"/>
      <c r="K138" s="61"/>
      <c r="L138" s="65"/>
      <c r="M138" s="65"/>
      <c r="N138" s="61"/>
      <c r="O138" s="64"/>
      <c r="P138" s="65"/>
      <c r="Q138" s="65"/>
      <c r="R138" s="66"/>
      <c r="S138" s="65"/>
      <c r="T138" s="65"/>
      <c r="U138" s="67"/>
      <c r="V138" s="65"/>
      <c r="W138" s="65"/>
      <c r="X138" s="63"/>
      <c r="Y138" s="63"/>
      <c r="Z138" s="61"/>
      <c r="AA138" s="61"/>
      <c r="AB138" s="61"/>
      <c r="AC138" s="61"/>
      <c r="AD138" s="61"/>
      <c r="AE138" s="61"/>
      <c r="AF138" s="61"/>
      <c r="AG138" s="61"/>
      <c r="AH138" s="68" t="n">
        <f aca="false">IF(G138="",0,ROUND((Strats!$C$4-G138)/30.4375,1))</f>
        <v>0</v>
      </c>
      <c r="AI138" s="69" t="n">
        <f aca="false">IF(K138="",0,IF(K138="Floating",Strats!$C$10+M138,L138))</f>
        <v>0</v>
      </c>
      <c r="AJ138" s="68" t="str">
        <f aca="false">IF(OR(Z138="",Z138="Full Amortizing"),"",MAX(J138-AH138,0))</f>
        <v/>
      </c>
      <c r="AK138" s="69" t="n">
        <f aca="false">IF(K138="",0,IF(K138="Floating",IF(P138&lt;&gt;"",MIN(IF(Q138&lt;&gt;"",MAX((Strats!$C$10+Strats!$C$11+M138),Q138),(Strats!$C$10+Strats!$C$11+M138)),P138),IF(Q138&lt;&gt;"",MAX((Strats!$C$10+Strats!$C$11+M138),Q138),(Strats!$C$10+Strats!$C$11+M138))),AI138))</f>
        <v>0</v>
      </c>
      <c r="AL138" s="68" t="str">
        <f aca="false">IF(OR(E138="",E138&lt;&gt;'Deal Strat'!$C$12,R138=""),"",SUMPRODUCT((E$4:E$303='Deal Strat'!$C$12)*(R$4:R$303&gt;R138))+1+SUMPRODUCT((E$4:E$303='Deal Strat'!$C$12)*(R$4:R$303=R138)*(ROW(R$4:R$303)&lt;ROW(R138))))</f>
        <v/>
      </c>
      <c r="AM138" s="68" t="str">
        <f aca="false">IF(R138="","",RANK(R138,$R$4:$R$303,0)+COUNTIF($R$4:R138,R138)-1)</f>
        <v/>
      </c>
      <c r="AN138" s="26" t="n">
        <f aca="false">IF(OR($A138="",$R138=""),0,IF(Deal_Scope="All Deals",1,IF($E138=Deal_Scope,1,0)))</f>
        <v>0</v>
      </c>
      <c r="AO138" s="56" t="n">
        <f aca="false">IF($AN138=0,0,Px_Par)</f>
        <v>0</v>
      </c>
      <c r="AP138" s="70" t="n">
        <f aca="false">IF($H138="",0,MAX(0,($H138-Set_Date)/30.4375))</f>
        <v>0</v>
      </c>
      <c r="AQ138" s="26" t="n">
        <f aca="false">IF(AND(Ext_Flag="Yes",$AA138="Yes"),Ext_Months,0)</f>
        <v>0</v>
      </c>
      <c r="AR138" s="70" t="n">
        <f aca="false">$AP138+$AQ138</f>
        <v>0</v>
      </c>
      <c r="AS138" s="70" t="n">
        <f aca="false">$AR138/12</f>
        <v>0</v>
      </c>
      <c r="AT138" s="70" t="n">
        <f aca="false">IF($AJ138="",0,MAX(0,$AJ138/12))</f>
        <v>0</v>
      </c>
      <c r="AU138" s="70" t="n">
        <f aca="false">MAX(Amort_Min,Amort_Term-$AH138/12)</f>
        <v>30</v>
      </c>
      <c r="AV138" s="70" t="n">
        <f aca="false">MIN($AS138,Hold_Yrs)</f>
        <v>0</v>
      </c>
      <c r="AW138" s="26" t="n">
        <f aca="false">IF($AN138=0,0,CEILING(MAX($AS138,0.0001),1))</f>
        <v>0</v>
      </c>
      <c r="AX138" s="26" t="n">
        <f aca="false">IF(AND($AN138=1,MAX($AS138,0.0001)&lt;=Hold_Yrs),1,0)</f>
        <v>0</v>
      </c>
      <c r="AY138" s="71" t="n">
        <f aca="false">$R138*$AO138</f>
        <v>0</v>
      </c>
      <c r="AZ138" s="71" t="n">
        <f aca="false">$R138*Acc_Int*$AN138</f>
        <v>0</v>
      </c>
      <c r="BA138" s="71" t="n">
        <f aca="false">$AY138*Acq_Cost</f>
        <v>0</v>
      </c>
      <c r="BB138" s="71" t="n">
        <f aca="false">$AY138+$AZ138+$BA138</f>
        <v>0</v>
      </c>
      <c r="BC138" s="71" t="n">
        <f aca="false">IF(Fin_Flag="Yes",$AY138*Adv_Rate,0)</f>
        <v>0</v>
      </c>
      <c r="BD138" s="71" t="n">
        <f aca="false">$BC138*Fin_UpFee</f>
        <v>0</v>
      </c>
      <c r="BE138" s="71" t="n">
        <f aca="false">$BB138-$BC138+$BD138</f>
        <v>0</v>
      </c>
    </row>
    <row r="139" customFormat="false" ht="14.25" hidden="false" customHeight="false" outlineLevel="0" collapsed="false">
      <c r="A139" s="61"/>
      <c r="B139" s="62"/>
      <c r="C139" s="61"/>
      <c r="D139" s="61"/>
      <c r="E139" s="61"/>
      <c r="F139" s="63"/>
      <c r="G139" s="64"/>
      <c r="H139" s="64"/>
      <c r="I139" s="63"/>
      <c r="J139" s="63"/>
      <c r="K139" s="61"/>
      <c r="L139" s="65"/>
      <c r="M139" s="65"/>
      <c r="N139" s="61"/>
      <c r="O139" s="64"/>
      <c r="P139" s="65"/>
      <c r="Q139" s="65"/>
      <c r="R139" s="66"/>
      <c r="S139" s="65"/>
      <c r="T139" s="65"/>
      <c r="U139" s="67"/>
      <c r="V139" s="65"/>
      <c r="W139" s="65"/>
      <c r="X139" s="63"/>
      <c r="Y139" s="63"/>
      <c r="Z139" s="61"/>
      <c r="AA139" s="61"/>
      <c r="AB139" s="61"/>
      <c r="AC139" s="61"/>
      <c r="AD139" s="61"/>
      <c r="AE139" s="61"/>
      <c r="AF139" s="61"/>
      <c r="AG139" s="61"/>
      <c r="AH139" s="68" t="n">
        <f aca="false">IF(G139="",0,ROUND((Strats!$C$4-G139)/30.4375,1))</f>
        <v>0</v>
      </c>
      <c r="AI139" s="69" t="n">
        <f aca="false">IF(K139="",0,IF(K139="Floating",Strats!$C$10+M139,L139))</f>
        <v>0</v>
      </c>
      <c r="AJ139" s="68" t="str">
        <f aca="false">IF(OR(Z139="",Z139="Full Amortizing"),"",MAX(J139-AH139,0))</f>
        <v/>
      </c>
      <c r="AK139" s="69" t="n">
        <f aca="false">IF(K139="",0,IF(K139="Floating",IF(P139&lt;&gt;"",MIN(IF(Q139&lt;&gt;"",MAX((Strats!$C$10+Strats!$C$11+M139),Q139),(Strats!$C$10+Strats!$C$11+M139)),P139),IF(Q139&lt;&gt;"",MAX((Strats!$C$10+Strats!$C$11+M139),Q139),(Strats!$C$10+Strats!$C$11+M139))),AI139))</f>
        <v>0</v>
      </c>
      <c r="AL139" s="68" t="str">
        <f aca="false">IF(OR(E139="",E139&lt;&gt;'Deal Strat'!$C$12,R139=""),"",SUMPRODUCT((E$4:E$303='Deal Strat'!$C$12)*(R$4:R$303&gt;R139))+1+SUMPRODUCT((E$4:E$303='Deal Strat'!$C$12)*(R$4:R$303=R139)*(ROW(R$4:R$303)&lt;ROW(R139))))</f>
        <v/>
      </c>
      <c r="AM139" s="68" t="str">
        <f aca="false">IF(R139="","",RANK(R139,$R$4:$R$303,0)+COUNTIF($R$4:R139,R139)-1)</f>
        <v/>
      </c>
      <c r="AN139" s="26" t="n">
        <f aca="false">IF(OR($A139="",$R139=""),0,IF(Deal_Scope="All Deals",1,IF($E139=Deal_Scope,1,0)))</f>
        <v>0</v>
      </c>
      <c r="AO139" s="56" t="n">
        <f aca="false">IF($AN139=0,0,Px_Par)</f>
        <v>0</v>
      </c>
      <c r="AP139" s="70" t="n">
        <f aca="false">IF($H139="",0,MAX(0,($H139-Set_Date)/30.4375))</f>
        <v>0</v>
      </c>
      <c r="AQ139" s="26" t="n">
        <f aca="false">IF(AND(Ext_Flag="Yes",$AA139="Yes"),Ext_Months,0)</f>
        <v>0</v>
      </c>
      <c r="AR139" s="70" t="n">
        <f aca="false">$AP139+$AQ139</f>
        <v>0</v>
      </c>
      <c r="AS139" s="70" t="n">
        <f aca="false">$AR139/12</f>
        <v>0</v>
      </c>
      <c r="AT139" s="70" t="n">
        <f aca="false">IF($AJ139="",0,MAX(0,$AJ139/12))</f>
        <v>0</v>
      </c>
      <c r="AU139" s="70" t="n">
        <f aca="false">MAX(Amort_Min,Amort_Term-$AH139/12)</f>
        <v>30</v>
      </c>
      <c r="AV139" s="70" t="n">
        <f aca="false">MIN($AS139,Hold_Yrs)</f>
        <v>0</v>
      </c>
      <c r="AW139" s="26" t="n">
        <f aca="false">IF($AN139=0,0,CEILING(MAX($AS139,0.0001),1))</f>
        <v>0</v>
      </c>
      <c r="AX139" s="26" t="n">
        <f aca="false">IF(AND($AN139=1,MAX($AS139,0.0001)&lt;=Hold_Yrs),1,0)</f>
        <v>0</v>
      </c>
      <c r="AY139" s="71" t="n">
        <f aca="false">$R139*$AO139</f>
        <v>0</v>
      </c>
      <c r="AZ139" s="71" t="n">
        <f aca="false">$R139*Acc_Int*$AN139</f>
        <v>0</v>
      </c>
      <c r="BA139" s="71" t="n">
        <f aca="false">$AY139*Acq_Cost</f>
        <v>0</v>
      </c>
      <c r="BB139" s="71" t="n">
        <f aca="false">$AY139+$AZ139+$BA139</f>
        <v>0</v>
      </c>
      <c r="BC139" s="71" t="n">
        <f aca="false">IF(Fin_Flag="Yes",$AY139*Adv_Rate,0)</f>
        <v>0</v>
      </c>
      <c r="BD139" s="71" t="n">
        <f aca="false">$BC139*Fin_UpFee</f>
        <v>0</v>
      </c>
      <c r="BE139" s="71" t="n">
        <f aca="false">$BB139-$BC139+$BD139</f>
        <v>0</v>
      </c>
    </row>
    <row r="140" customFormat="false" ht="14.25" hidden="false" customHeight="false" outlineLevel="0" collapsed="false">
      <c r="A140" s="61"/>
      <c r="B140" s="62"/>
      <c r="C140" s="61"/>
      <c r="D140" s="61"/>
      <c r="E140" s="61"/>
      <c r="F140" s="63"/>
      <c r="G140" s="64"/>
      <c r="H140" s="64"/>
      <c r="I140" s="63"/>
      <c r="J140" s="63"/>
      <c r="K140" s="61"/>
      <c r="L140" s="65"/>
      <c r="M140" s="65"/>
      <c r="N140" s="61"/>
      <c r="O140" s="64"/>
      <c r="P140" s="65"/>
      <c r="Q140" s="65"/>
      <c r="R140" s="66"/>
      <c r="S140" s="65"/>
      <c r="T140" s="65"/>
      <c r="U140" s="67"/>
      <c r="V140" s="65"/>
      <c r="W140" s="65"/>
      <c r="X140" s="63"/>
      <c r="Y140" s="63"/>
      <c r="Z140" s="61"/>
      <c r="AA140" s="61"/>
      <c r="AB140" s="61"/>
      <c r="AC140" s="61"/>
      <c r="AD140" s="61"/>
      <c r="AE140" s="61"/>
      <c r="AF140" s="61"/>
      <c r="AG140" s="61"/>
      <c r="AH140" s="68" t="n">
        <f aca="false">IF(G140="",0,ROUND((Strats!$C$4-G140)/30.4375,1))</f>
        <v>0</v>
      </c>
      <c r="AI140" s="69" t="n">
        <f aca="false">IF(K140="",0,IF(K140="Floating",Strats!$C$10+M140,L140))</f>
        <v>0</v>
      </c>
      <c r="AJ140" s="68" t="str">
        <f aca="false">IF(OR(Z140="",Z140="Full Amortizing"),"",MAX(J140-AH140,0))</f>
        <v/>
      </c>
      <c r="AK140" s="69" t="n">
        <f aca="false">IF(K140="",0,IF(K140="Floating",IF(P140&lt;&gt;"",MIN(IF(Q140&lt;&gt;"",MAX((Strats!$C$10+Strats!$C$11+M140),Q140),(Strats!$C$10+Strats!$C$11+M140)),P140),IF(Q140&lt;&gt;"",MAX((Strats!$C$10+Strats!$C$11+M140),Q140),(Strats!$C$10+Strats!$C$11+M140))),AI140))</f>
        <v>0</v>
      </c>
      <c r="AL140" s="68" t="str">
        <f aca="false">IF(OR(E140="",E140&lt;&gt;'Deal Strat'!$C$12,R140=""),"",SUMPRODUCT((E$4:E$303='Deal Strat'!$C$12)*(R$4:R$303&gt;R140))+1+SUMPRODUCT((E$4:E$303='Deal Strat'!$C$12)*(R$4:R$303=R140)*(ROW(R$4:R$303)&lt;ROW(R140))))</f>
        <v/>
      </c>
      <c r="AM140" s="68" t="str">
        <f aca="false">IF(R140="","",RANK(R140,$R$4:$R$303,0)+COUNTIF($R$4:R140,R140)-1)</f>
        <v/>
      </c>
      <c r="AN140" s="26" t="n">
        <f aca="false">IF(OR($A140="",$R140=""),0,IF(Deal_Scope="All Deals",1,IF($E140=Deal_Scope,1,0)))</f>
        <v>0</v>
      </c>
      <c r="AO140" s="56" t="n">
        <f aca="false">IF($AN140=0,0,Px_Par)</f>
        <v>0</v>
      </c>
      <c r="AP140" s="70" t="n">
        <f aca="false">IF($H140="",0,MAX(0,($H140-Set_Date)/30.4375))</f>
        <v>0</v>
      </c>
      <c r="AQ140" s="26" t="n">
        <f aca="false">IF(AND(Ext_Flag="Yes",$AA140="Yes"),Ext_Months,0)</f>
        <v>0</v>
      </c>
      <c r="AR140" s="70" t="n">
        <f aca="false">$AP140+$AQ140</f>
        <v>0</v>
      </c>
      <c r="AS140" s="70" t="n">
        <f aca="false">$AR140/12</f>
        <v>0</v>
      </c>
      <c r="AT140" s="70" t="n">
        <f aca="false">IF($AJ140="",0,MAX(0,$AJ140/12))</f>
        <v>0</v>
      </c>
      <c r="AU140" s="70" t="n">
        <f aca="false">MAX(Amort_Min,Amort_Term-$AH140/12)</f>
        <v>30</v>
      </c>
      <c r="AV140" s="70" t="n">
        <f aca="false">MIN($AS140,Hold_Yrs)</f>
        <v>0</v>
      </c>
      <c r="AW140" s="26" t="n">
        <f aca="false">IF($AN140=0,0,CEILING(MAX($AS140,0.0001),1))</f>
        <v>0</v>
      </c>
      <c r="AX140" s="26" t="n">
        <f aca="false">IF(AND($AN140=1,MAX($AS140,0.0001)&lt;=Hold_Yrs),1,0)</f>
        <v>0</v>
      </c>
      <c r="AY140" s="71" t="n">
        <f aca="false">$R140*$AO140</f>
        <v>0</v>
      </c>
      <c r="AZ140" s="71" t="n">
        <f aca="false">$R140*Acc_Int*$AN140</f>
        <v>0</v>
      </c>
      <c r="BA140" s="71" t="n">
        <f aca="false">$AY140*Acq_Cost</f>
        <v>0</v>
      </c>
      <c r="BB140" s="71" t="n">
        <f aca="false">$AY140+$AZ140+$BA140</f>
        <v>0</v>
      </c>
      <c r="BC140" s="71" t="n">
        <f aca="false">IF(Fin_Flag="Yes",$AY140*Adv_Rate,0)</f>
        <v>0</v>
      </c>
      <c r="BD140" s="71" t="n">
        <f aca="false">$BC140*Fin_UpFee</f>
        <v>0</v>
      </c>
      <c r="BE140" s="71" t="n">
        <f aca="false">$BB140-$BC140+$BD140</f>
        <v>0</v>
      </c>
    </row>
    <row r="141" customFormat="false" ht="14.25" hidden="false" customHeight="false" outlineLevel="0" collapsed="false">
      <c r="A141" s="61"/>
      <c r="B141" s="62"/>
      <c r="C141" s="61"/>
      <c r="D141" s="61"/>
      <c r="E141" s="61"/>
      <c r="F141" s="63"/>
      <c r="G141" s="64"/>
      <c r="H141" s="64"/>
      <c r="I141" s="63"/>
      <c r="J141" s="63"/>
      <c r="K141" s="61"/>
      <c r="L141" s="65"/>
      <c r="M141" s="65"/>
      <c r="N141" s="61"/>
      <c r="O141" s="64"/>
      <c r="P141" s="65"/>
      <c r="Q141" s="65"/>
      <c r="R141" s="66"/>
      <c r="S141" s="65"/>
      <c r="T141" s="65"/>
      <c r="U141" s="67"/>
      <c r="V141" s="65"/>
      <c r="W141" s="65"/>
      <c r="X141" s="63"/>
      <c r="Y141" s="63"/>
      <c r="Z141" s="61"/>
      <c r="AA141" s="61"/>
      <c r="AB141" s="61"/>
      <c r="AC141" s="61"/>
      <c r="AD141" s="61"/>
      <c r="AE141" s="61"/>
      <c r="AF141" s="61"/>
      <c r="AG141" s="61"/>
      <c r="AH141" s="68" t="n">
        <f aca="false">IF(G141="",0,ROUND((Strats!$C$4-G141)/30.4375,1))</f>
        <v>0</v>
      </c>
      <c r="AI141" s="69" t="n">
        <f aca="false">IF(K141="",0,IF(K141="Floating",Strats!$C$10+M141,L141))</f>
        <v>0</v>
      </c>
      <c r="AJ141" s="68" t="str">
        <f aca="false">IF(OR(Z141="",Z141="Full Amortizing"),"",MAX(J141-AH141,0))</f>
        <v/>
      </c>
      <c r="AK141" s="69" t="n">
        <f aca="false">IF(K141="",0,IF(K141="Floating",IF(P141&lt;&gt;"",MIN(IF(Q141&lt;&gt;"",MAX((Strats!$C$10+Strats!$C$11+M141),Q141),(Strats!$C$10+Strats!$C$11+M141)),P141),IF(Q141&lt;&gt;"",MAX((Strats!$C$10+Strats!$C$11+M141),Q141),(Strats!$C$10+Strats!$C$11+M141))),AI141))</f>
        <v>0</v>
      </c>
      <c r="AL141" s="68" t="str">
        <f aca="false">IF(OR(E141="",E141&lt;&gt;'Deal Strat'!$C$12,R141=""),"",SUMPRODUCT((E$4:E$303='Deal Strat'!$C$12)*(R$4:R$303&gt;R141))+1+SUMPRODUCT((E$4:E$303='Deal Strat'!$C$12)*(R$4:R$303=R141)*(ROW(R$4:R$303)&lt;ROW(R141))))</f>
        <v/>
      </c>
      <c r="AM141" s="68" t="str">
        <f aca="false">IF(R141="","",RANK(R141,$R$4:$R$303,0)+COUNTIF($R$4:R141,R141)-1)</f>
        <v/>
      </c>
      <c r="AN141" s="26" t="n">
        <f aca="false">IF(OR($A141="",$R141=""),0,IF(Deal_Scope="All Deals",1,IF($E141=Deal_Scope,1,0)))</f>
        <v>0</v>
      </c>
      <c r="AO141" s="56" t="n">
        <f aca="false">IF($AN141=0,0,Px_Par)</f>
        <v>0</v>
      </c>
      <c r="AP141" s="70" t="n">
        <f aca="false">IF($H141="",0,MAX(0,($H141-Set_Date)/30.4375))</f>
        <v>0</v>
      </c>
      <c r="AQ141" s="26" t="n">
        <f aca="false">IF(AND(Ext_Flag="Yes",$AA141="Yes"),Ext_Months,0)</f>
        <v>0</v>
      </c>
      <c r="AR141" s="70" t="n">
        <f aca="false">$AP141+$AQ141</f>
        <v>0</v>
      </c>
      <c r="AS141" s="70" t="n">
        <f aca="false">$AR141/12</f>
        <v>0</v>
      </c>
      <c r="AT141" s="70" t="n">
        <f aca="false">IF($AJ141="",0,MAX(0,$AJ141/12))</f>
        <v>0</v>
      </c>
      <c r="AU141" s="70" t="n">
        <f aca="false">MAX(Amort_Min,Amort_Term-$AH141/12)</f>
        <v>30</v>
      </c>
      <c r="AV141" s="70" t="n">
        <f aca="false">MIN($AS141,Hold_Yrs)</f>
        <v>0</v>
      </c>
      <c r="AW141" s="26" t="n">
        <f aca="false">IF($AN141=0,0,CEILING(MAX($AS141,0.0001),1))</f>
        <v>0</v>
      </c>
      <c r="AX141" s="26" t="n">
        <f aca="false">IF(AND($AN141=1,MAX($AS141,0.0001)&lt;=Hold_Yrs),1,0)</f>
        <v>0</v>
      </c>
      <c r="AY141" s="71" t="n">
        <f aca="false">$R141*$AO141</f>
        <v>0</v>
      </c>
      <c r="AZ141" s="71" t="n">
        <f aca="false">$R141*Acc_Int*$AN141</f>
        <v>0</v>
      </c>
      <c r="BA141" s="71" t="n">
        <f aca="false">$AY141*Acq_Cost</f>
        <v>0</v>
      </c>
      <c r="BB141" s="71" t="n">
        <f aca="false">$AY141+$AZ141+$BA141</f>
        <v>0</v>
      </c>
      <c r="BC141" s="71" t="n">
        <f aca="false">IF(Fin_Flag="Yes",$AY141*Adv_Rate,0)</f>
        <v>0</v>
      </c>
      <c r="BD141" s="71" t="n">
        <f aca="false">$BC141*Fin_UpFee</f>
        <v>0</v>
      </c>
      <c r="BE141" s="71" t="n">
        <f aca="false">$BB141-$BC141+$BD141</f>
        <v>0</v>
      </c>
    </row>
    <row r="142" customFormat="false" ht="14.25" hidden="false" customHeight="false" outlineLevel="0" collapsed="false">
      <c r="A142" s="61"/>
      <c r="B142" s="62"/>
      <c r="C142" s="61"/>
      <c r="D142" s="61"/>
      <c r="E142" s="61"/>
      <c r="F142" s="63"/>
      <c r="G142" s="64"/>
      <c r="H142" s="64"/>
      <c r="I142" s="63"/>
      <c r="J142" s="63"/>
      <c r="K142" s="61"/>
      <c r="L142" s="65"/>
      <c r="M142" s="65"/>
      <c r="N142" s="61"/>
      <c r="O142" s="64"/>
      <c r="P142" s="65"/>
      <c r="Q142" s="65"/>
      <c r="R142" s="66"/>
      <c r="S142" s="65"/>
      <c r="T142" s="65"/>
      <c r="U142" s="67"/>
      <c r="V142" s="65"/>
      <c r="W142" s="65"/>
      <c r="X142" s="63"/>
      <c r="Y142" s="63"/>
      <c r="Z142" s="61"/>
      <c r="AA142" s="61"/>
      <c r="AB142" s="61"/>
      <c r="AC142" s="61"/>
      <c r="AD142" s="61"/>
      <c r="AE142" s="61"/>
      <c r="AF142" s="61"/>
      <c r="AG142" s="61"/>
      <c r="AH142" s="68" t="n">
        <f aca="false">IF(G142="",0,ROUND((Strats!$C$4-G142)/30.4375,1))</f>
        <v>0</v>
      </c>
      <c r="AI142" s="69" t="n">
        <f aca="false">IF(K142="",0,IF(K142="Floating",Strats!$C$10+M142,L142))</f>
        <v>0</v>
      </c>
      <c r="AJ142" s="68" t="str">
        <f aca="false">IF(OR(Z142="",Z142="Full Amortizing"),"",MAX(J142-AH142,0))</f>
        <v/>
      </c>
      <c r="AK142" s="69" t="n">
        <f aca="false">IF(K142="",0,IF(K142="Floating",IF(P142&lt;&gt;"",MIN(IF(Q142&lt;&gt;"",MAX((Strats!$C$10+Strats!$C$11+M142),Q142),(Strats!$C$10+Strats!$C$11+M142)),P142),IF(Q142&lt;&gt;"",MAX((Strats!$C$10+Strats!$C$11+M142),Q142),(Strats!$C$10+Strats!$C$11+M142))),AI142))</f>
        <v>0</v>
      </c>
      <c r="AL142" s="68" t="str">
        <f aca="false">IF(OR(E142="",E142&lt;&gt;'Deal Strat'!$C$12,R142=""),"",SUMPRODUCT((E$4:E$303='Deal Strat'!$C$12)*(R$4:R$303&gt;R142))+1+SUMPRODUCT((E$4:E$303='Deal Strat'!$C$12)*(R$4:R$303=R142)*(ROW(R$4:R$303)&lt;ROW(R142))))</f>
        <v/>
      </c>
      <c r="AM142" s="68" t="str">
        <f aca="false">IF(R142="","",RANK(R142,$R$4:$R$303,0)+COUNTIF($R$4:R142,R142)-1)</f>
        <v/>
      </c>
      <c r="AN142" s="26" t="n">
        <f aca="false">IF(OR($A142="",$R142=""),0,IF(Deal_Scope="All Deals",1,IF($E142=Deal_Scope,1,0)))</f>
        <v>0</v>
      </c>
      <c r="AO142" s="56" t="n">
        <f aca="false">IF($AN142=0,0,Px_Par)</f>
        <v>0</v>
      </c>
      <c r="AP142" s="70" t="n">
        <f aca="false">IF($H142="",0,MAX(0,($H142-Set_Date)/30.4375))</f>
        <v>0</v>
      </c>
      <c r="AQ142" s="26" t="n">
        <f aca="false">IF(AND(Ext_Flag="Yes",$AA142="Yes"),Ext_Months,0)</f>
        <v>0</v>
      </c>
      <c r="AR142" s="70" t="n">
        <f aca="false">$AP142+$AQ142</f>
        <v>0</v>
      </c>
      <c r="AS142" s="70" t="n">
        <f aca="false">$AR142/12</f>
        <v>0</v>
      </c>
      <c r="AT142" s="70" t="n">
        <f aca="false">IF($AJ142="",0,MAX(0,$AJ142/12))</f>
        <v>0</v>
      </c>
      <c r="AU142" s="70" t="n">
        <f aca="false">MAX(Amort_Min,Amort_Term-$AH142/12)</f>
        <v>30</v>
      </c>
      <c r="AV142" s="70" t="n">
        <f aca="false">MIN($AS142,Hold_Yrs)</f>
        <v>0</v>
      </c>
      <c r="AW142" s="26" t="n">
        <f aca="false">IF($AN142=0,0,CEILING(MAX($AS142,0.0001),1))</f>
        <v>0</v>
      </c>
      <c r="AX142" s="26" t="n">
        <f aca="false">IF(AND($AN142=1,MAX($AS142,0.0001)&lt;=Hold_Yrs),1,0)</f>
        <v>0</v>
      </c>
      <c r="AY142" s="71" t="n">
        <f aca="false">$R142*$AO142</f>
        <v>0</v>
      </c>
      <c r="AZ142" s="71" t="n">
        <f aca="false">$R142*Acc_Int*$AN142</f>
        <v>0</v>
      </c>
      <c r="BA142" s="71" t="n">
        <f aca="false">$AY142*Acq_Cost</f>
        <v>0</v>
      </c>
      <c r="BB142" s="71" t="n">
        <f aca="false">$AY142+$AZ142+$BA142</f>
        <v>0</v>
      </c>
      <c r="BC142" s="71" t="n">
        <f aca="false">IF(Fin_Flag="Yes",$AY142*Adv_Rate,0)</f>
        <v>0</v>
      </c>
      <c r="BD142" s="71" t="n">
        <f aca="false">$BC142*Fin_UpFee</f>
        <v>0</v>
      </c>
      <c r="BE142" s="71" t="n">
        <f aca="false">$BB142-$BC142+$BD142</f>
        <v>0</v>
      </c>
    </row>
    <row r="143" customFormat="false" ht="14.25" hidden="false" customHeight="false" outlineLevel="0" collapsed="false">
      <c r="A143" s="61"/>
      <c r="B143" s="62"/>
      <c r="C143" s="61"/>
      <c r="D143" s="61"/>
      <c r="E143" s="61"/>
      <c r="F143" s="63"/>
      <c r="G143" s="64"/>
      <c r="H143" s="64"/>
      <c r="I143" s="63"/>
      <c r="J143" s="63"/>
      <c r="K143" s="61"/>
      <c r="L143" s="65"/>
      <c r="M143" s="65"/>
      <c r="N143" s="61"/>
      <c r="O143" s="64"/>
      <c r="P143" s="65"/>
      <c r="Q143" s="65"/>
      <c r="R143" s="66"/>
      <c r="S143" s="65"/>
      <c r="T143" s="65"/>
      <c r="U143" s="67"/>
      <c r="V143" s="65"/>
      <c r="W143" s="65"/>
      <c r="X143" s="63"/>
      <c r="Y143" s="63"/>
      <c r="Z143" s="61"/>
      <c r="AA143" s="61"/>
      <c r="AB143" s="61"/>
      <c r="AC143" s="61"/>
      <c r="AD143" s="61"/>
      <c r="AE143" s="61"/>
      <c r="AF143" s="61"/>
      <c r="AG143" s="61"/>
      <c r="AH143" s="68" t="n">
        <f aca="false">IF(G143="",0,ROUND((Strats!$C$4-G143)/30.4375,1))</f>
        <v>0</v>
      </c>
      <c r="AI143" s="69" t="n">
        <f aca="false">IF(K143="",0,IF(K143="Floating",Strats!$C$10+M143,L143))</f>
        <v>0</v>
      </c>
      <c r="AJ143" s="68" t="str">
        <f aca="false">IF(OR(Z143="",Z143="Full Amortizing"),"",MAX(J143-AH143,0))</f>
        <v/>
      </c>
      <c r="AK143" s="69" t="n">
        <f aca="false">IF(K143="",0,IF(K143="Floating",IF(P143&lt;&gt;"",MIN(IF(Q143&lt;&gt;"",MAX((Strats!$C$10+Strats!$C$11+M143),Q143),(Strats!$C$10+Strats!$C$11+M143)),P143),IF(Q143&lt;&gt;"",MAX((Strats!$C$10+Strats!$C$11+M143),Q143),(Strats!$C$10+Strats!$C$11+M143))),AI143))</f>
        <v>0</v>
      </c>
      <c r="AL143" s="68" t="str">
        <f aca="false">IF(OR(E143="",E143&lt;&gt;'Deal Strat'!$C$12,R143=""),"",SUMPRODUCT((E$4:E$303='Deal Strat'!$C$12)*(R$4:R$303&gt;R143))+1+SUMPRODUCT((E$4:E$303='Deal Strat'!$C$12)*(R$4:R$303=R143)*(ROW(R$4:R$303)&lt;ROW(R143))))</f>
        <v/>
      </c>
      <c r="AM143" s="68" t="str">
        <f aca="false">IF(R143="","",RANK(R143,$R$4:$R$303,0)+COUNTIF($R$4:R143,R143)-1)</f>
        <v/>
      </c>
      <c r="AN143" s="26" t="n">
        <f aca="false">IF(OR($A143="",$R143=""),0,IF(Deal_Scope="All Deals",1,IF($E143=Deal_Scope,1,0)))</f>
        <v>0</v>
      </c>
      <c r="AO143" s="56" t="n">
        <f aca="false">IF($AN143=0,0,Px_Par)</f>
        <v>0</v>
      </c>
      <c r="AP143" s="70" t="n">
        <f aca="false">IF($H143="",0,MAX(0,($H143-Set_Date)/30.4375))</f>
        <v>0</v>
      </c>
      <c r="AQ143" s="26" t="n">
        <f aca="false">IF(AND(Ext_Flag="Yes",$AA143="Yes"),Ext_Months,0)</f>
        <v>0</v>
      </c>
      <c r="AR143" s="70" t="n">
        <f aca="false">$AP143+$AQ143</f>
        <v>0</v>
      </c>
      <c r="AS143" s="70" t="n">
        <f aca="false">$AR143/12</f>
        <v>0</v>
      </c>
      <c r="AT143" s="70" t="n">
        <f aca="false">IF($AJ143="",0,MAX(0,$AJ143/12))</f>
        <v>0</v>
      </c>
      <c r="AU143" s="70" t="n">
        <f aca="false">MAX(Amort_Min,Amort_Term-$AH143/12)</f>
        <v>30</v>
      </c>
      <c r="AV143" s="70" t="n">
        <f aca="false">MIN($AS143,Hold_Yrs)</f>
        <v>0</v>
      </c>
      <c r="AW143" s="26" t="n">
        <f aca="false">IF($AN143=0,0,CEILING(MAX($AS143,0.0001),1))</f>
        <v>0</v>
      </c>
      <c r="AX143" s="26" t="n">
        <f aca="false">IF(AND($AN143=1,MAX($AS143,0.0001)&lt;=Hold_Yrs),1,0)</f>
        <v>0</v>
      </c>
      <c r="AY143" s="71" t="n">
        <f aca="false">$R143*$AO143</f>
        <v>0</v>
      </c>
      <c r="AZ143" s="71" t="n">
        <f aca="false">$R143*Acc_Int*$AN143</f>
        <v>0</v>
      </c>
      <c r="BA143" s="71" t="n">
        <f aca="false">$AY143*Acq_Cost</f>
        <v>0</v>
      </c>
      <c r="BB143" s="71" t="n">
        <f aca="false">$AY143+$AZ143+$BA143</f>
        <v>0</v>
      </c>
      <c r="BC143" s="71" t="n">
        <f aca="false">IF(Fin_Flag="Yes",$AY143*Adv_Rate,0)</f>
        <v>0</v>
      </c>
      <c r="BD143" s="71" t="n">
        <f aca="false">$BC143*Fin_UpFee</f>
        <v>0</v>
      </c>
      <c r="BE143" s="71" t="n">
        <f aca="false">$BB143-$BC143+$BD143</f>
        <v>0</v>
      </c>
    </row>
    <row r="144" customFormat="false" ht="14.25" hidden="false" customHeight="false" outlineLevel="0" collapsed="false">
      <c r="A144" s="61"/>
      <c r="B144" s="62"/>
      <c r="C144" s="61"/>
      <c r="D144" s="61"/>
      <c r="E144" s="61"/>
      <c r="F144" s="63"/>
      <c r="G144" s="64"/>
      <c r="H144" s="64"/>
      <c r="I144" s="63"/>
      <c r="J144" s="63"/>
      <c r="K144" s="61"/>
      <c r="L144" s="65"/>
      <c r="M144" s="65"/>
      <c r="N144" s="61"/>
      <c r="O144" s="64"/>
      <c r="P144" s="65"/>
      <c r="Q144" s="65"/>
      <c r="R144" s="66"/>
      <c r="S144" s="65"/>
      <c r="T144" s="65"/>
      <c r="U144" s="67"/>
      <c r="V144" s="65"/>
      <c r="W144" s="65"/>
      <c r="X144" s="63"/>
      <c r="Y144" s="63"/>
      <c r="Z144" s="61"/>
      <c r="AA144" s="61"/>
      <c r="AB144" s="61"/>
      <c r="AC144" s="61"/>
      <c r="AD144" s="61"/>
      <c r="AE144" s="61"/>
      <c r="AF144" s="61"/>
      <c r="AG144" s="61"/>
      <c r="AH144" s="68" t="n">
        <f aca="false">IF(G144="",0,ROUND((Strats!$C$4-G144)/30.4375,1))</f>
        <v>0</v>
      </c>
      <c r="AI144" s="69" t="n">
        <f aca="false">IF(K144="",0,IF(K144="Floating",Strats!$C$10+M144,L144))</f>
        <v>0</v>
      </c>
      <c r="AJ144" s="68" t="str">
        <f aca="false">IF(OR(Z144="",Z144="Full Amortizing"),"",MAX(J144-AH144,0))</f>
        <v/>
      </c>
      <c r="AK144" s="69" t="n">
        <f aca="false">IF(K144="",0,IF(K144="Floating",IF(P144&lt;&gt;"",MIN(IF(Q144&lt;&gt;"",MAX((Strats!$C$10+Strats!$C$11+M144),Q144),(Strats!$C$10+Strats!$C$11+M144)),P144),IF(Q144&lt;&gt;"",MAX((Strats!$C$10+Strats!$C$11+M144),Q144),(Strats!$C$10+Strats!$C$11+M144))),AI144))</f>
        <v>0</v>
      </c>
      <c r="AL144" s="68" t="str">
        <f aca="false">IF(OR(E144="",E144&lt;&gt;'Deal Strat'!$C$12,R144=""),"",SUMPRODUCT((E$4:E$303='Deal Strat'!$C$12)*(R$4:R$303&gt;R144))+1+SUMPRODUCT((E$4:E$303='Deal Strat'!$C$12)*(R$4:R$303=R144)*(ROW(R$4:R$303)&lt;ROW(R144))))</f>
        <v/>
      </c>
      <c r="AM144" s="68" t="str">
        <f aca="false">IF(R144="","",RANK(R144,$R$4:$R$303,0)+COUNTIF($R$4:R144,R144)-1)</f>
        <v/>
      </c>
      <c r="AN144" s="26" t="n">
        <f aca="false">IF(OR($A144="",$R144=""),0,IF(Deal_Scope="All Deals",1,IF($E144=Deal_Scope,1,0)))</f>
        <v>0</v>
      </c>
      <c r="AO144" s="56" t="n">
        <f aca="false">IF($AN144=0,0,Px_Par)</f>
        <v>0</v>
      </c>
      <c r="AP144" s="70" t="n">
        <f aca="false">IF($H144="",0,MAX(0,($H144-Set_Date)/30.4375))</f>
        <v>0</v>
      </c>
      <c r="AQ144" s="26" t="n">
        <f aca="false">IF(AND(Ext_Flag="Yes",$AA144="Yes"),Ext_Months,0)</f>
        <v>0</v>
      </c>
      <c r="AR144" s="70" t="n">
        <f aca="false">$AP144+$AQ144</f>
        <v>0</v>
      </c>
      <c r="AS144" s="70" t="n">
        <f aca="false">$AR144/12</f>
        <v>0</v>
      </c>
      <c r="AT144" s="70" t="n">
        <f aca="false">IF($AJ144="",0,MAX(0,$AJ144/12))</f>
        <v>0</v>
      </c>
      <c r="AU144" s="70" t="n">
        <f aca="false">MAX(Amort_Min,Amort_Term-$AH144/12)</f>
        <v>30</v>
      </c>
      <c r="AV144" s="70" t="n">
        <f aca="false">MIN($AS144,Hold_Yrs)</f>
        <v>0</v>
      </c>
      <c r="AW144" s="26" t="n">
        <f aca="false">IF($AN144=0,0,CEILING(MAX($AS144,0.0001),1))</f>
        <v>0</v>
      </c>
      <c r="AX144" s="26" t="n">
        <f aca="false">IF(AND($AN144=1,MAX($AS144,0.0001)&lt;=Hold_Yrs),1,0)</f>
        <v>0</v>
      </c>
      <c r="AY144" s="71" t="n">
        <f aca="false">$R144*$AO144</f>
        <v>0</v>
      </c>
      <c r="AZ144" s="71" t="n">
        <f aca="false">$R144*Acc_Int*$AN144</f>
        <v>0</v>
      </c>
      <c r="BA144" s="71" t="n">
        <f aca="false">$AY144*Acq_Cost</f>
        <v>0</v>
      </c>
      <c r="BB144" s="71" t="n">
        <f aca="false">$AY144+$AZ144+$BA144</f>
        <v>0</v>
      </c>
      <c r="BC144" s="71" t="n">
        <f aca="false">IF(Fin_Flag="Yes",$AY144*Adv_Rate,0)</f>
        <v>0</v>
      </c>
      <c r="BD144" s="71" t="n">
        <f aca="false">$BC144*Fin_UpFee</f>
        <v>0</v>
      </c>
      <c r="BE144" s="71" t="n">
        <f aca="false">$BB144-$BC144+$BD144</f>
        <v>0</v>
      </c>
    </row>
    <row r="145" customFormat="false" ht="14.25" hidden="false" customHeight="false" outlineLevel="0" collapsed="false">
      <c r="A145" s="61"/>
      <c r="B145" s="62"/>
      <c r="C145" s="61"/>
      <c r="D145" s="61"/>
      <c r="E145" s="61"/>
      <c r="F145" s="63"/>
      <c r="G145" s="64"/>
      <c r="H145" s="64"/>
      <c r="I145" s="63"/>
      <c r="J145" s="63"/>
      <c r="K145" s="61"/>
      <c r="L145" s="65"/>
      <c r="M145" s="65"/>
      <c r="N145" s="61"/>
      <c r="O145" s="64"/>
      <c r="P145" s="65"/>
      <c r="Q145" s="65"/>
      <c r="R145" s="66"/>
      <c r="S145" s="65"/>
      <c r="T145" s="65"/>
      <c r="U145" s="67"/>
      <c r="V145" s="65"/>
      <c r="W145" s="65"/>
      <c r="X145" s="63"/>
      <c r="Y145" s="63"/>
      <c r="Z145" s="61"/>
      <c r="AA145" s="61"/>
      <c r="AB145" s="61"/>
      <c r="AC145" s="61"/>
      <c r="AD145" s="61"/>
      <c r="AE145" s="61"/>
      <c r="AF145" s="61"/>
      <c r="AG145" s="61"/>
      <c r="AH145" s="68" t="n">
        <f aca="false">IF(G145="",0,ROUND((Strats!$C$4-G145)/30.4375,1))</f>
        <v>0</v>
      </c>
      <c r="AI145" s="69" t="n">
        <f aca="false">IF(K145="",0,IF(K145="Floating",Strats!$C$10+M145,L145))</f>
        <v>0</v>
      </c>
      <c r="AJ145" s="68" t="str">
        <f aca="false">IF(OR(Z145="",Z145="Full Amortizing"),"",MAX(J145-AH145,0))</f>
        <v/>
      </c>
      <c r="AK145" s="69" t="n">
        <f aca="false">IF(K145="",0,IF(K145="Floating",IF(P145&lt;&gt;"",MIN(IF(Q145&lt;&gt;"",MAX((Strats!$C$10+Strats!$C$11+M145),Q145),(Strats!$C$10+Strats!$C$11+M145)),P145),IF(Q145&lt;&gt;"",MAX((Strats!$C$10+Strats!$C$11+M145),Q145),(Strats!$C$10+Strats!$C$11+M145))),AI145))</f>
        <v>0</v>
      </c>
      <c r="AL145" s="68" t="str">
        <f aca="false">IF(OR(E145="",E145&lt;&gt;'Deal Strat'!$C$12,R145=""),"",SUMPRODUCT((E$4:E$303='Deal Strat'!$C$12)*(R$4:R$303&gt;R145))+1+SUMPRODUCT((E$4:E$303='Deal Strat'!$C$12)*(R$4:R$303=R145)*(ROW(R$4:R$303)&lt;ROW(R145))))</f>
        <v/>
      </c>
      <c r="AM145" s="68" t="str">
        <f aca="false">IF(R145="","",RANK(R145,$R$4:$R$303,0)+COUNTIF($R$4:R145,R145)-1)</f>
        <v/>
      </c>
      <c r="AN145" s="26" t="n">
        <f aca="false">IF(OR($A145="",$R145=""),0,IF(Deal_Scope="All Deals",1,IF($E145=Deal_Scope,1,0)))</f>
        <v>0</v>
      </c>
      <c r="AO145" s="56" t="n">
        <f aca="false">IF($AN145=0,0,Px_Par)</f>
        <v>0</v>
      </c>
      <c r="AP145" s="70" t="n">
        <f aca="false">IF($H145="",0,MAX(0,($H145-Set_Date)/30.4375))</f>
        <v>0</v>
      </c>
      <c r="AQ145" s="26" t="n">
        <f aca="false">IF(AND(Ext_Flag="Yes",$AA145="Yes"),Ext_Months,0)</f>
        <v>0</v>
      </c>
      <c r="AR145" s="70" t="n">
        <f aca="false">$AP145+$AQ145</f>
        <v>0</v>
      </c>
      <c r="AS145" s="70" t="n">
        <f aca="false">$AR145/12</f>
        <v>0</v>
      </c>
      <c r="AT145" s="70" t="n">
        <f aca="false">IF($AJ145="",0,MAX(0,$AJ145/12))</f>
        <v>0</v>
      </c>
      <c r="AU145" s="70" t="n">
        <f aca="false">MAX(Amort_Min,Amort_Term-$AH145/12)</f>
        <v>30</v>
      </c>
      <c r="AV145" s="70" t="n">
        <f aca="false">MIN($AS145,Hold_Yrs)</f>
        <v>0</v>
      </c>
      <c r="AW145" s="26" t="n">
        <f aca="false">IF($AN145=0,0,CEILING(MAX($AS145,0.0001),1))</f>
        <v>0</v>
      </c>
      <c r="AX145" s="26" t="n">
        <f aca="false">IF(AND($AN145=1,MAX($AS145,0.0001)&lt;=Hold_Yrs),1,0)</f>
        <v>0</v>
      </c>
      <c r="AY145" s="71" t="n">
        <f aca="false">$R145*$AO145</f>
        <v>0</v>
      </c>
      <c r="AZ145" s="71" t="n">
        <f aca="false">$R145*Acc_Int*$AN145</f>
        <v>0</v>
      </c>
      <c r="BA145" s="71" t="n">
        <f aca="false">$AY145*Acq_Cost</f>
        <v>0</v>
      </c>
      <c r="BB145" s="71" t="n">
        <f aca="false">$AY145+$AZ145+$BA145</f>
        <v>0</v>
      </c>
      <c r="BC145" s="71" t="n">
        <f aca="false">IF(Fin_Flag="Yes",$AY145*Adv_Rate,0)</f>
        <v>0</v>
      </c>
      <c r="BD145" s="71" t="n">
        <f aca="false">$BC145*Fin_UpFee</f>
        <v>0</v>
      </c>
      <c r="BE145" s="71" t="n">
        <f aca="false">$BB145-$BC145+$BD145</f>
        <v>0</v>
      </c>
    </row>
    <row r="146" customFormat="false" ht="14.25" hidden="false" customHeight="false" outlineLevel="0" collapsed="false">
      <c r="A146" s="61"/>
      <c r="B146" s="62"/>
      <c r="C146" s="61"/>
      <c r="D146" s="61"/>
      <c r="E146" s="61"/>
      <c r="F146" s="63"/>
      <c r="G146" s="64"/>
      <c r="H146" s="64"/>
      <c r="I146" s="63"/>
      <c r="J146" s="63"/>
      <c r="K146" s="61"/>
      <c r="L146" s="65"/>
      <c r="M146" s="65"/>
      <c r="N146" s="61"/>
      <c r="O146" s="64"/>
      <c r="P146" s="65"/>
      <c r="Q146" s="65"/>
      <c r="R146" s="66"/>
      <c r="S146" s="65"/>
      <c r="T146" s="65"/>
      <c r="U146" s="67"/>
      <c r="V146" s="65"/>
      <c r="W146" s="65"/>
      <c r="X146" s="63"/>
      <c r="Y146" s="63"/>
      <c r="Z146" s="61"/>
      <c r="AA146" s="61"/>
      <c r="AB146" s="61"/>
      <c r="AC146" s="61"/>
      <c r="AD146" s="61"/>
      <c r="AE146" s="61"/>
      <c r="AF146" s="61"/>
      <c r="AG146" s="61"/>
      <c r="AH146" s="68" t="n">
        <f aca="false">IF(G146="",0,ROUND((Strats!$C$4-G146)/30.4375,1))</f>
        <v>0</v>
      </c>
      <c r="AI146" s="69" t="n">
        <f aca="false">IF(K146="",0,IF(K146="Floating",Strats!$C$10+M146,L146))</f>
        <v>0</v>
      </c>
      <c r="AJ146" s="68" t="str">
        <f aca="false">IF(OR(Z146="",Z146="Full Amortizing"),"",MAX(J146-AH146,0))</f>
        <v/>
      </c>
      <c r="AK146" s="69" t="n">
        <f aca="false">IF(K146="",0,IF(K146="Floating",IF(P146&lt;&gt;"",MIN(IF(Q146&lt;&gt;"",MAX((Strats!$C$10+Strats!$C$11+M146),Q146),(Strats!$C$10+Strats!$C$11+M146)),P146),IF(Q146&lt;&gt;"",MAX((Strats!$C$10+Strats!$C$11+M146),Q146),(Strats!$C$10+Strats!$C$11+M146))),AI146))</f>
        <v>0</v>
      </c>
      <c r="AL146" s="68" t="str">
        <f aca="false">IF(OR(E146="",E146&lt;&gt;'Deal Strat'!$C$12,R146=""),"",SUMPRODUCT((E$4:E$303='Deal Strat'!$C$12)*(R$4:R$303&gt;R146))+1+SUMPRODUCT((E$4:E$303='Deal Strat'!$C$12)*(R$4:R$303=R146)*(ROW(R$4:R$303)&lt;ROW(R146))))</f>
        <v/>
      </c>
      <c r="AM146" s="68" t="str">
        <f aca="false">IF(R146="","",RANK(R146,$R$4:$R$303,0)+COUNTIF($R$4:R146,R146)-1)</f>
        <v/>
      </c>
      <c r="AN146" s="26" t="n">
        <f aca="false">IF(OR($A146="",$R146=""),0,IF(Deal_Scope="All Deals",1,IF($E146=Deal_Scope,1,0)))</f>
        <v>0</v>
      </c>
      <c r="AO146" s="56" t="n">
        <f aca="false">IF($AN146=0,0,Px_Par)</f>
        <v>0</v>
      </c>
      <c r="AP146" s="70" t="n">
        <f aca="false">IF($H146="",0,MAX(0,($H146-Set_Date)/30.4375))</f>
        <v>0</v>
      </c>
      <c r="AQ146" s="26" t="n">
        <f aca="false">IF(AND(Ext_Flag="Yes",$AA146="Yes"),Ext_Months,0)</f>
        <v>0</v>
      </c>
      <c r="AR146" s="70" t="n">
        <f aca="false">$AP146+$AQ146</f>
        <v>0</v>
      </c>
      <c r="AS146" s="70" t="n">
        <f aca="false">$AR146/12</f>
        <v>0</v>
      </c>
      <c r="AT146" s="70" t="n">
        <f aca="false">IF($AJ146="",0,MAX(0,$AJ146/12))</f>
        <v>0</v>
      </c>
      <c r="AU146" s="70" t="n">
        <f aca="false">MAX(Amort_Min,Amort_Term-$AH146/12)</f>
        <v>30</v>
      </c>
      <c r="AV146" s="70" t="n">
        <f aca="false">MIN($AS146,Hold_Yrs)</f>
        <v>0</v>
      </c>
      <c r="AW146" s="26" t="n">
        <f aca="false">IF($AN146=0,0,CEILING(MAX($AS146,0.0001),1))</f>
        <v>0</v>
      </c>
      <c r="AX146" s="26" t="n">
        <f aca="false">IF(AND($AN146=1,MAX($AS146,0.0001)&lt;=Hold_Yrs),1,0)</f>
        <v>0</v>
      </c>
      <c r="AY146" s="71" t="n">
        <f aca="false">$R146*$AO146</f>
        <v>0</v>
      </c>
      <c r="AZ146" s="71" t="n">
        <f aca="false">$R146*Acc_Int*$AN146</f>
        <v>0</v>
      </c>
      <c r="BA146" s="71" t="n">
        <f aca="false">$AY146*Acq_Cost</f>
        <v>0</v>
      </c>
      <c r="BB146" s="71" t="n">
        <f aca="false">$AY146+$AZ146+$BA146</f>
        <v>0</v>
      </c>
      <c r="BC146" s="71" t="n">
        <f aca="false">IF(Fin_Flag="Yes",$AY146*Adv_Rate,0)</f>
        <v>0</v>
      </c>
      <c r="BD146" s="71" t="n">
        <f aca="false">$BC146*Fin_UpFee</f>
        <v>0</v>
      </c>
      <c r="BE146" s="71" t="n">
        <f aca="false">$BB146-$BC146+$BD146</f>
        <v>0</v>
      </c>
    </row>
    <row r="147" customFormat="false" ht="14.25" hidden="false" customHeight="false" outlineLevel="0" collapsed="false">
      <c r="A147" s="61"/>
      <c r="B147" s="62"/>
      <c r="C147" s="61"/>
      <c r="D147" s="61"/>
      <c r="E147" s="61"/>
      <c r="F147" s="63"/>
      <c r="G147" s="64"/>
      <c r="H147" s="64"/>
      <c r="I147" s="63"/>
      <c r="J147" s="63"/>
      <c r="K147" s="61"/>
      <c r="L147" s="65"/>
      <c r="M147" s="65"/>
      <c r="N147" s="61"/>
      <c r="O147" s="64"/>
      <c r="P147" s="65"/>
      <c r="Q147" s="65"/>
      <c r="R147" s="66"/>
      <c r="S147" s="65"/>
      <c r="T147" s="65"/>
      <c r="U147" s="67"/>
      <c r="V147" s="65"/>
      <c r="W147" s="65"/>
      <c r="X147" s="63"/>
      <c r="Y147" s="63"/>
      <c r="Z147" s="61"/>
      <c r="AA147" s="61"/>
      <c r="AB147" s="61"/>
      <c r="AC147" s="61"/>
      <c r="AD147" s="61"/>
      <c r="AE147" s="61"/>
      <c r="AF147" s="61"/>
      <c r="AG147" s="61"/>
      <c r="AH147" s="68" t="n">
        <f aca="false">IF(G147="",0,ROUND((Strats!$C$4-G147)/30.4375,1))</f>
        <v>0</v>
      </c>
      <c r="AI147" s="69" t="n">
        <f aca="false">IF(K147="",0,IF(K147="Floating",Strats!$C$10+M147,L147))</f>
        <v>0</v>
      </c>
      <c r="AJ147" s="68" t="str">
        <f aca="false">IF(OR(Z147="",Z147="Full Amortizing"),"",MAX(J147-AH147,0))</f>
        <v/>
      </c>
      <c r="AK147" s="69" t="n">
        <f aca="false">IF(K147="",0,IF(K147="Floating",IF(P147&lt;&gt;"",MIN(IF(Q147&lt;&gt;"",MAX((Strats!$C$10+Strats!$C$11+M147),Q147),(Strats!$C$10+Strats!$C$11+M147)),P147),IF(Q147&lt;&gt;"",MAX((Strats!$C$10+Strats!$C$11+M147),Q147),(Strats!$C$10+Strats!$C$11+M147))),AI147))</f>
        <v>0</v>
      </c>
      <c r="AL147" s="68" t="str">
        <f aca="false">IF(OR(E147="",E147&lt;&gt;'Deal Strat'!$C$12,R147=""),"",SUMPRODUCT((E$4:E$303='Deal Strat'!$C$12)*(R$4:R$303&gt;R147))+1+SUMPRODUCT((E$4:E$303='Deal Strat'!$C$12)*(R$4:R$303=R147)*(ROW(R$4:R$303)&lt;ROW(R147))))</f>
        <v/>
      </c>
      <c r="AM147" s="68" t="str">
        <f aca="false">IF(R147="","",RANK(R147,$R$4:$R$303,0)+COUNTIF($R$4:R147,R147)-1)</f>
        <v/>
      </c>
      <c r="AN147" s="26" t="n">
        <f aca="false">IF(OR($A147="",$R147=""),0,IF(Deal_Scope="All Deals",1,IF($E147=Deal_Scope,1,0)))</f>
        <v>0</v>
      </c>
      <c r="AO147" s="56" t="n">
        <f aca="false">IF($AN147=0,0,Px_Par)</f>
        <v>0</v>
      </c>
      <c r="AP147" s="70" t="n">
        <f aca="false">IF($H147="",0,MAX(0,($H147-Set_Date)/30.4375))</f>
        <v>0</v>
      </c>
      <c r="AQ147" s="26" t="n">
        <f aca="false">IF(AND(Ext_Flag="Yes",$AA147="Yes"),Ext_Months,0)</f>
        <v>0</v>
      </c>
      <c r="AR147" s="70" t="n">
        <f aca="false">$AP147+$AQ147</f>
        <v>0</v>
      </c>
      <c r="AS147" s="70" t="n">
        <f aca="false">$AR147/12</f>
        <v>0</v>
      </c>
      <c r="AT147" s="70" t="n">
        <f aca="false">IF($AJ147="",0,MAX(0,$AJ147/12))</f>
        <v>0</v>
      </c>
      <c r="AU147" s="70" t="n">
        <f aca="false">MAX(Amort_Min,Amort_Term-$AH147/12)</f>
        <v>30</v>
      </c>
      <c r="AV147" s="70" t="n">
        <f aca="false">MIN($AS147,Hold_Yrs)</f>
        <v>0</v>
      </c>
      <c r="AW147" s="26" t="n">
        <f aca="false">IF($AN147=0,0,CEILING(MAX($AS147,0.0001),1))</f>
        <v>0</v>
      </c>
      <c r="AX147" s="26" t="n">
        <f aca="false">IF(AND($AN147=1,MAX($AS147,0.0001)&lt;=Hold_Yrs),1,0)</f>
        <v>0</v>
      </c>
      <c r="AY147" s="71" t="n">
        <f aca="false">$R147*$AO147</f>
        <v>0</v>
      </c>
      <c r="AZ147" s="71" t="n">
        <f aca="false">$R147*Acc_Int*$AN147</f>
        <v>0</v>
      </c>
      <c r="BA147" s="71" t="n">
        <f aca="false">$AY147*Acq_Cost</f>
        <v>0</v>
      </c>
      <c r="BB147" s="71" t="n">
        <f aca="false">$AY147+$AZ147+$BA147</f>
        <v>0</v>
      </c>
      <c r="BC147" s="71" t="n">
        <f aca="false">IF(Fin_Flag="Yes",$AY147*Adv_Rate,0)</f>
        <v>0</v>
      </c>
      <c r="BD147" s="71" t="n">
        <f aca="false">$BC147*Fin_UpFee</f>
        <v>0</v>
      </c>
      <c r="BE147" s="71" t="n">
        <f aca="false">$BB147-$BC147+$BD147</f>
        <v>0</v>
      </c>
    </row>
    <row r="148" customFormat="false" ht="14.25" hidden="false" customHeight="false" outlineLevel="0" collapsed="false">
      <c r="A148" s="61"/>
      <c r="B148" s="62"/>
      <c r="C148" s="61"/>
      <c r="D148" s="61"/>
      <c r="E148" s="61"/>
      <c r="F148" s="63"/>
      <c r="G148" s="64"/>
      <c r="H148" s="64"/>
      <c r="I148" s="63"/>
      <c r="J148" s="63"/>
      <c r="K148" s="61"/>
      <c r="L148" s="65"/>
      <c r="M148" s="65"/>
      <c r="N148" s="61"/>
      <c r="O148" s="64"/>
      <c r="P148" s="65"/>
      <c r="Q148" s="65"/>
      <c r="R148" s="66"/>
      <c r="S148" s="65"/>
      <c r="T148" s="65"/>
      <c r="U148" s="67"/>
      <c r="V148" s="65"/>
      <c r="W148" s="65"/>
      <c r="X148" s="63"/>
      <c r="Y148" s="63"/>
      <c r="Z148" s="61"/>
      <c r="AA148" s="61"/>
      <c r="AB148" s="61"/>
      <c r="AC148" s="61"/>
      <c r="AD148" s="61"/>
      <c r="AE148" s="61"/>
      <c r="AF148" s="61"/>
      <c r="AG148" s="61"/>
      <c r="AH148" s="68" t="n">
        <f aca="false">IF(G148="",0,ROUND((Strats!$C$4-G148)/30.4375,1))</f>
        <v>0</v>
      </c>
      <c r="AI148" s="69" t="n">
        <f aca="false">IF(K148="",0,IF(K148="Floating",Strats!$C$10+M148,L148))</f>
        <v>0</v>
      </c>
      <c r="AJ148" s="68" t="str">
        <f aca="false">IF(OR(Z148="",Z148="Full Amortizing"),"",MAX(J148-AH148,0))</f>
        <v/>
      </c>
      <c r="AK148" s="69" t="n">
        <f aca="false">IF(K148="",0,IF(K148="Floating",IF(P148&lt;&gt;"",MIN(IF(Q148&lt;&gt;"",MAX((Strats!$C$10+Strats!$C$11+M148),Q148),(Strats!$C$10+Strats!$C$11+M148)),P148),IF(Q148&lt;&gt;"",MAX((Strats!$C$10+Strats!$C$11+M148),Q148),(Strats!$C$10+Strats!$C$11+M148))),AI148))</f>
        <v>0</v>
      </c>
      <c r="AL148" s="68" t="str">
        <f aca="false">IF(OR(E148="",E148&lt;&gt;'Deal Strat'!$C$12,R148=""),"",SUMPRODUCT((E$4:E$303='Deal Strat'!$C$12)*(R$4:R$303&gt;R148))+1+SUMPRODUCT((E$4:E$303='Deal Strat'!$C$12)*(R$4:R$303=R148)*(ROW(R$4:R$303)&lt;ROW(R148))))</f>
        <v/>
      </c>
      <c r="AM148" s="68" t="str">
        <f aca="false">IF(R148="","",RANK(R148,$R$4:$R$303,0)+COUNTIF($R$4:R148,R148)-1)</f>
        <v/>
      </c>
      <c r="AN148" s="26" t="n">
        <f aca="false">IF(OR($A148="",$R148=""),0,IF(Deal_Scope="All Deals",1,IF($E148=Deal_Scope,1,0)))</f>
        <v>0</v>
      </c>
      <c r="AO148" s="56" t="n">
        <f aca="false">IF($AN148=0,0,Px_Par)</f>
        <v>0</v>
      </c>
      <c r="AP148" s="70" t="n">
        <f aca="false">IF($H148="",0,MAX(0,($H148-Set_Date)/30.4375))</f>
        <v>0</v>
      </c>
      <c r="AQ148" s="26" t="n">
        <f aca="false">IF(AND(Ext_Flag="Yes",$AA148="Yes"),Ext_Months,0)</f>
        <v>0</v>
      </c>
      <c r="AR148" s="70" t="n">
        <f aca="false">$AP148+$AQ148</f>
        <v>0</v>
      </c>
      <c r="AS148" s="70" t="n">
        <f aca="false">$AR148/12</f>
        <v>0</v>
      </c>
      <c r="AT148" s="70" t="n">
        <f aca="false">IF($AJ148="",0,MAX(0,$AJ148/12))</f>
        <v>0</v>
      </c>
      <c r="AU148" s="70" t="n">
        <f aca="false">MAX(Amort_Min,Amort_Term-$AH148/12)</f>
        <v>30</v>
      </c>
      <c r="AV148" s="70" t="n">
        <f aca="false">MIN($AS148,Hold_Yrs)</f>
        <v>0</v>
      </c>
      <c r="AW148" s="26" t="n">
        <f aca="false">IF($AN148=0,0,CEILING(MAX($AS148,0.0001),1))</f>
        <v>0</v>
      </c>
      <c r="AX148" s="26" t="n">
        <f aca="false">IF(AND($AN148=1,MAX($AS148,0.0001)&lt;=Hold_Yrs),1,0)</f>
        <v>0</v>
      </c>
      <c r="AY148" s="71" t="n">
        <f aca="false">$R148*$AO148</f>
        <v>0</v>
      </c>
      <c r="AZ148" s="71" t="n">
        <f aca="false">$R148*Acc_Int*$AN148</f>
        <v>0</v>
      </c>
      <c r="BA148" s="71" t="n">
        <f aca="false">$AY148*Acq_Cost</f>
        <v>0</v>
      </c>
      <c r="BB148" s="71" t="n">
        <f aca="false">$AY148+$AZ148+$BA148</f>
        <v>0</v>
      </c>
      <c r="BC148" s="71" t="n">
        <f aca="false">IF(Fin_Flag="Yes",$AY148*Adv_Rate,0)</f>
        <v>0</v>
      </c>
      <c r="BD148" s="71" t="n">
        <f aca="false">$BC148*Fin_UpFee</f>
        <v>0</v>
      </c>
      <c r="BE148" s="71" t="n">
        <f aca="false">$BB148-$BC148+$BD148</f>
        <v>0</v>
      </c>
    </row>
    <row r="149" customFormat="false" ht="14.25" hidden="false" customHeight="false" outlineLevel="0" collapsed="false">
      <c r="A149" s="61"/>
      <c r="B149" s="62"/>
      <c r="C149" s="61"/>
      <c r="D149" s="61"/>
      <c r="E149" s="61"/>
      <c r="F149" s="63"/>
      <c r="G149" s="64"/>
      <c r="H149" s="64"/>
      <c r="I149" s="63"/>
      <c r="J149" s="63"/>
      <c r="K149" s="61"/>
      <c r="L149" s="65"/>
      <c r="M149" s="65"/>
      <c r="N149" s="61"/>
      <c r="O149" s="64"/>
      <c r="P149" s="65"/>
      <c r="Q149" s="65"/>
      <c r="R149" s="66"/>
      <c r="S149" s="65"/>
      <c r="T149" s="65"/>
      <c r="U149" s="67"/>
      <c r="V149" s="65"/>
      <c r="W149" s="65"/>
      <c r="X149" s="63"/>
      <c r="Y149" s="63"/>
      <c r="Z149" s="61"/>
      <c r="AA149" s="61"/>
      <c r="AB149" s="61"/>
      <c r="AC149" s="61"/>
      <c r="AD149" s="61"/>
      <c r="AE149" s="61"/>
      <c r="AF149" s="61"/>
      <c r="AG149" s="61"/>
      <c r="AH149" s="68" t="n">
        <f aca="false">IF(G149="",0,ROUND((Strats!$C$4-G149)/30.4375,1))</f>
        <v>0</v>
      </c>
      <c r="AI149" s="69" t="n">
        <f aca="false">IF(K149="",0,IF(K149="Floating",Strats!$C$10+M149,L149))</f>
        <v>0</v>
      </c>
      <c r="AJ149" s="68" t="str">
        <f aca="false">IF(OR(Z149="",Z149="Full Amortizing"),"",MAX(J149-AH149,0))</f>
        <v/>
      </c>
      <c r="AK149" s="69" t="n">
        <f aca="false">IF(K149="",0,IF(K149="Floating",IF(P149&lt;&gt;"",MIN(IF(Q149&lt;&gt;"",MAX((Strats!$C$10+Strats!$C$11+M149),Q149),(Strats!$C$10+Strats!$C$11+M149)),P149),IF(Q149&lt;&gt;"",MAX((Strats!$C$10+Strats!$C$11+M149),Q149),(Strats!$C$10+Strats!$C$11+M149))),AI149))</f>
        <v>0</v>
      </c>
      <c r="AL149" s="68" t="str">
        <f aca="false">IF(OR(E149="",E149&lt;&gt;'Deal Strat'!$C$12,R149=""),"",SUMPRODUCT((E$4:E$303='Deal Strat'!$C$12)*(R$4:R$303&gt;R149))+1+SUMPRODUCT((E$4:E$303='Deal Strat'!$C$12)*(R$4:R$303=R149)*(ROW(R$4:R$303)&lt;ROW(R149))))</f>
        <v/>
      </c>
      <c r="AM149" s="68" t="str">
        <f aca="false">IF(R149="","",RANK(R149,$R$4:$R$303,0)+COUNTIF($R$4:R149,R149)-1)</f>
        <v/>
      </c>
      <c r="AN149" s="26" t="n">
        <f aca="false">IF(OR($A149="",$R149=""),0,IF(Deal_Scope="All Deals",1,IF($E149=Deal_Scope,1,0)))</f>
        <v>0</v>
      </c>
      <c r="AO149" s="56" t="n">
        <f aca="false">IF($AN149=0,0,Px_Par)</f>
        <v>0</v>
      </c>
      <c r="AP149" s="70" t="n">
        <f aca="false">IF($H149="",0,MAX(0,($H149-Set_Date)/30.4375))</f>
        <v>0</v>
      </c>
      <c r="AQ149" s="26" t="n">
        <f aca="false">IF(AND(Ext_Flag="Yes",$AA149="Yes"),Ext_Months,0)</f>
        <v>0</v>
      </c>
      <c r="AR149" s="70" t="n">
        <f aca="false">$AP149+$AQ149</f>
        <v>0</v>
      </c>
      <c r="AS149" s="70" t="n">
        <f aca="false">$AR149/12</f>
        <v>0</v>
      </c>
      <c r="AT149" s="70" t="n">
        <f aca="false">IF($AJ149="",0,MAX(0,$AJ149/12))</f>
        <v>0</v>
      </c>
      <c r="AU149" s="70" t="n">
        <f aca="false">MAX(Amort_Min,Amort_Term-$AH149/12)</f>
        <v>30</v>
      </c>
      <c r="AV149" s="70" t="n">
        <f aca="false">MIN($AS149,Hold_Yrs)</f>
        <v>0</v>
      </c>
      <c r="AW149" s="26" t="n">
        <f aca="false">IF($AN149=0,0,CEILING(MAX($AS149,0.0001),1))</f>
        <v>0</v>
      </c>
      <c r="AX149" s="26" t="n">
        <f aca="false">IF(AND($AN149=1,MAX($AS149,0.0001)&lt;=Hold_Yrs),1,0)</f>
        <v>0</v>
      </c>
      <c r="AY149" s="71" t="n">
        <f aca="false">$R149*$AO149</f>
        <v>0</v>
      </c>
      <c r="AZ149" s="71" t="n">
        <f aca="false">$R149*Acc_Int*$AN149</f>
        <v>0</v>
      </c>
      <c r="BA149" s="71" t="n">
        <f aca="false">$AY149*Acq_Cost</f>
        <v>0</v>
      </c>
      <c r="BB149" s="71" t="n">
        <f aca="false">$AY149+$AZ149+$BA149</f>
        <v>0</v>
      </c>
      <c r="BC149" s="71" t="n">
        <f aca="false">IF(Fin_Flag="Yes",$AY149*Adv_Rate,0)</f>
        <v>0</v>
      </c>
      <c r="BD149" s="71" t="n">
        <f aca="false">$BC149*Fin_UpFee</f>
        <v>0</v>
      </c>
      <c r="BE149" s="71" t="n">
        <f aca="false">$BB149-$BC149+$BD149</f>
        <v>0</v>
      </c>
    </row>
    <row r="150" customFormat="false" ht="14.25" hidden="false" customHeight="false" outlineLevel="0" collapsed="false">
      <c r="A150" s="61"/>
      <c r="B150" s="62"/>
      <c r="C150" s="61"/>
      <c r="D150" s="61"/>
      <c r="E150" s="61"/>
      <c r="F150" s="63"/>
      <c r="G150" s="64"/>
      <c r="H150" s="64"/>
      <c r="I150" s="63"/>
      <c r="J150" s="63"/>
      <c r="K150" s="61"/>
      <c r="L150" s="65"/>
      <c r="M150" s="65"/>
      <c r="N150" s="61"/>
      <c r="O150" s="64"/>
      <c r="P150" s="65"/>
      <c r="Q150" s="65"/>
      <c r="R150" s="66"/>
      <c r="S150" s="65"/>
      <c r="T150" s="65"/>
      <c r="U150" s="67"/>
      <c r="V150" s="65"/>
      <c r="W150" s="65"/>
      <c r="X150" s="63"/>
      <c r="Y150" s="63"/>
      <c r="Z150" s="61"/>
      <c r="AA150" s="61"/>
      <c r="AB150" s="61"/>
      <c r="AC150" s="61"/>
      <c r="AD150" s="61"/>
      <c r="AE150" s="61"/>
      <c r="AF150" s="61"/>
      <c r="AG150" s="61"/>
      <c r="AH150" s="68" t="n">
        <f aca="false">IF(G150="",0,ROUND((Strats!$C$4-G150)/30.4375,1))</f>
        <v>0</v>
      </c>
      <c r="AI150" s="69" t="n">
        <f aca="false">IF(K150="",0,IF(K150="Floating",Strats!$C$10+M150,L150))</f>
        <v>0</v>
      </c>
      <c r="AJ150" s="68" t="str">
        <f aca="false">IF(OR(Z150="",Z150="Full Amortizing"),"",MAX(J150-AH150,0))</f>
        <v/>
      </c>
      <c r="AK150" s="69" t="n">
        <f aca="false">IF(K150="",0,IF(K150="Floating",IF(P150&lt;&gt;"",MIN(IF(Q150&lt;&gt;"",MAX((Strats!$C$10+Strats!$C$11+M150),Q150),(Strats!$C$10+Strats!$C$11+M150)),P150),IF(Q150&lt;&gt;"",MAX((Strats!$C$10+Strats!$C$11+M150),Q150),(Strats!$C$10+Strats!$C$11+M150))),AI150))</f>
        <v>0</v>
      </c>
      <c r="AL150" s="68" t="str">
        <f aca="false">IF(OR(E150="",E150&lt;&gt;'Deal Strat'!$C$12,R150=""),"",SUMPRODUCT((E$4:E$303='Deal Strat'!$C$12)*(R$4:R$303&gt;R150))+1+SUMPRODUCT((E$4:E$303='Deal Strat'!$C$12)*(R$4:R$303=R150)*(ROW(R$4:R$303)&lt;ROW(R150))))</f>
        <v/>
      </c>
      <c r="AM150" s="68" t="str">
        <f aca="false">IF(R150="","",RANK(R150,$R$4:$R$303,0)+COUNTIF($R$4:R150,R150)-1)</f>
        <v/>
      </c>
      <c r="AN150" s="26" t="n">
        <f aca="false">IF(OR($A150="",$R150=""),0,IF(Deal_Scope="All Deals",1,IF($E150=Deal_Scope,1,0)))</f>
        <v>0</v>
      </c>
      <c r="AO150" s="56" t="n">
        <f aca="false">IF($AN150=0,0,Px_Par)</f>
        <v>0</v>
      </c>
      <c r="AP150" s="70" t="n">
        <f aca="false">IF($H150="",0,MAX(0,($H150-Set_Date)/30.4375))</f>
        <v>0</v>
      </c>
      <c r="AQ150" s="26" t="n">
        <f aca="false">IF(AND(Ext_Flag="Yes",$AA150="Yes"),Ext_Months,0)</f>
        <v>0</v>
      </c>
      <c r="AR150" s="70" t="n">
        <f aca="false">$AP150+$AQ150</f>
        <v>0</v>
      </c>
      <c r="AS150" s="70" t="n">
        <f aca="false">$AR150/12</f>
        <v>0</v>
      </c>
      <c r="AT150" s="70" t="n">
        <f aca="false">IF($AJ150="",0,MAX(0,$AJ150/12))</f>
        <v>0</v>
      </c>
      <c r="AU150" s="70" t="n">
        <f aca="false">MAX(Amort_Min,Amort_Term-$AH150/12)</f>
        <v>30</v>
      </c>
      <c r="AV150" s="70" t="n">
        <f aca="false">MIN($AS150,Hold_Yrs)</f>
        <v>0</v>
      </c>
      <c r="AW150" s="26" t="n">
        <f aca="false">IF($AN150=0,0,CEILING(MAX($AS150,0.0001),1))</f>
        <v>0</v>
      </c>
      <c r="AX150" s="26" t="n">
        <f aca="false">IF(AND($AN150=1,MAX($AS150,0.0001)&lt;=Hold_Yrs),1,0)</f>
        <v>0</v>
      </c>
      <c r="AY150" s="71" t="n">
        <f aca="false">$R150*$AO150</f>
        <v>0</v>
      </c>
      <c r="AZ150" s="71" t="n">
        <f aca="false">$R150*Acc_Int*$AN150</f>
        <v>0</v>
      </c>
      <c r="BA150" s="71" t="n">
        <f aca="false">$AY150*Acq_Cost</f>
        <v>0</v>
      </c>
      <c r="BB150" s="71" t="n">
        <f aca="false">$AY150+$AZ150+$BA150</f>
        <v>0</v>
      </c>
      <c r="BC150" s="71" t="n">
        <f aca="false">IF(Fin_Flag="Yes",$AY150*Adv_Rate,0)</f>
        <v>0</v>
      </c>
      <c r="BD150" s="71" t="n">
        <f aca="false">$BC150*Fin_UpFee</f>
        <v>0</v>
      </c>
      <c r="BE150" s="71" t="n">
        <f aca="false">$BB150-$BC150+$BD150</f>
        <v>0</v>
      </c>
    </row>
    <row r="151" customFormat="false" ht="14.25" hidden="false" customHeight="false" outlineLevel="0" collapsed="false">
      <c r="A151" s="61"/>
      <c r="B151" s="62"/>
      <c r="C151" s="61"/>
      <c r="D151" s="61"/>
      <c r="E151" s="61"/>
      <c r="F151" s="63"/>
      <c r="G151" s="64"/>
      <c r="H151" s="64"/>
      <c r="I151" s="63"/>
      <c r="J151" s="63"/>
      <c r="K151" s="61"/>
      <c r="L151" s="65"/>
      <c r="M151" s="65"/>
      <c r="N151" s="61"/>
      <c r="O151" s="64"/>
      <c r="P151" s="65"/>
      <c r="Q151" s="65"/>
      <c r="R151" s="66"/>
      <c r="S151" s="65"/>
      <c r="T151" s="65"/>
      <c r="U151" s="67"/>
      <c r="V151" s="65"/>
      <c r="W151" s="65"/>
      <c r="X151" s="63"/>
      <c r="Y151" s="63"/>
      <c r="Z151" s="61"/>
      <c r="AA151" s="61"/>
      <c r="AB151" s="61"/>
      <c r="AC151" s="61"/>
      <c r="AD151" s="61"/>
      <c r="AE151" s="61"/>
      <c r="AF151" s="61"/>
      <c r="AG151" s="61"/>
      <c r="AH151" s="68" t="n">
        <f aca="false">IF(G151="",0,ROUND((Strats!$C$4-G151)/30.4375,1))</f>
        <v>0</v>
      </c>
      <c r="AI151" s="69" t="n">
        <f aca="false">IF(K151="",0,IF(K151="Floating",Strats!$C$10+M151,L151))</f>
        <v>0</v>
      </c>
      <c r="AJ151" s="68" t="str">
        <f aca="false">IF(OR(Z151="",Z151="Full Amortizing"),"",MAX(J151-AH151,0))</f>
        <v/>
      </c>
      <c r="AK151" s="69" t="n">
        <f aca="false">IF(K151="",0,IF(K151="Floating",IF(P151&lt;&gt;"",MIN(IF(Q151&lt;&gt;"",MAX((Strats!$C$10+Strats!$C$11+M151),Q151),(Strats!$C$10+Strats!$C$11+M151)),P151),IF(Q151&lt;&gt;"",MAX((Strats!$C$10+Strats!$C$11+M151),Q151),(Strats!$C$10+Strats!$C$11+M151))),AI151))</f>
        <v>0</v>
      </c>
      <c r="AL151" s="68" t="str">
        <f aca="false">IF(OR(E151="",E151&lt;&gt;'Deal Strat'!$C$12,R151=""),"",SUMPRODUCT((E$4:E$303='Deal Strat'!$C$12)*(R$4:R$303&gt;R151))+1+SUMPRODUCT((E$4:E$303='Deal Strat'!$C$12)*(R$4:R$303=R151)*(ROW(R$4:R$303)&lt;ROW(R151))))</f>
        <v/>
      </c>
      <c r="AM151" s="68" t="str">
        <f aca="false">IF(R151="","",RANK(R151,$R$4:$R$303,0)+COUNTIF($R$4:R151,R151)-1)</f>
        <v/>
      </c>
      <c r="AN151" s="26" t="n">
        <f aca="false">IF(OR($A151="",$R151=""),0,IF(Deal_Scope="All Deals",1,IF($E151=Deal_Scope,1,0)))</f>
        <v>0</v>
      </c>
      <c r="AO151" s="56" t="n">
        <f aca="false">IF($AN151=0,0,Px_Par)</f>
        <v>0</v>
      </c>
      <c r="AP151" s="70" t="n">
        <f aca="false">IF($H151="",0,MAX(0,($H151-Set_Date)/30.4375))</f>
        <v>0</v>
      </c>
      <c r="AQ151" s="26" t="n">
        <f aca="false">IF(AND(Ext_Flag="Yes",$AA151="Yes"),Ext_Months,0)</f>
        <v>0</v>
      </c>
      <c r="AR151" s="70" t="n">
        <f aca="false">$AP151+$AQ151</f>
        <v>0</v>
      </c>
      <c r="AS151" s="70" t="n">
        <f aca="false">$AR151/12</f>
        <v>0</v>
      </c>
      <c r="AT151" s="70" t="n">
        <f aca="false">IF($AJ151="",0,MAX(0,$AJ151/12))</f>
        <v>0</v>
      </c>
      <c r="AU151" s="70" t="n">
        <f aca="false">MAX(Amort_Min,Amort_Term-$AH151/12)</f>
        <v>30</v>
      </c>
      <c r="AV151" s="70" t="n">
        <f aca="false">MIN($AS151,Hold_Yrs)</f>
        <v>0</v>
      </c>
      <c r="AW151" s="26" t="n">
        <f aca="false">IF($AN151=0,0,CEILING(MAX($AS151,0.0001),1))</f>
        <v>0</v>
      </c>
      <c r="AX151" s="26" t="n">
        <f aca="false">IF(AND($AN151=1,MAX($AS151,0.0001)&lt;=Hold_Yrs),1,0)</f>
        <v>0</v>
      </c>
      <c r="AY151" s="71" t="n">
        <f aca="false">$R151*$AO151</f>
        <v>0</v>
      </c>
      <c r="AZ151" s="71" t="n">
        <f aca="false">$R151*Acc_Int*$AN151</f>
        <v>0</v>
      </c>
      <c r="BA151" s="71" t="n">
        <f aca="false">$AY151*Acq_Cost</f>
        <v>0</v>
      </c>
      <c r="BB151" s="71" t="n">
        <f aca="false">$AY151+$AZ151+$BA151</f>
        <v>0</v>
      </c>
      <c r="BC151" s="71" t="n">
        <f aca="false">IF(Fin_Flag="Yes",$AY151*Adv_Rate,0)</f>
        <v>0</v>
      </c>
      <c r="BD151" s="71" t="n">
        <f aca="false">$BC151*Fin_UpFee</f>
        <v>0</v>
      </c>
      <c r="BE151" s="71" t="n">
        <f aca="false">$BB151-$BC151+$BD151</f>
        <v>0</v>
      </c>
    </row>
    <row r="152" customFormat="false" ht="14.25" hidden="false" customHeight="false" outlineLevel="0" collapsed="false">
      <c r="A152" s="61"/>
      <c r="B152" s="62"/>
      <c r="C152" s="61"/>
      <c r="D152" s="61"/>
      <c r="E152" s="61"/>
      <c r="F152" s="63"/>
      <c r="G152" s="64"/>
      <c r="H152" s="64"/>
      <c r="I152" s="63"/>
      <c r="J152" s="63"/>
      <c r="K152" s="61"/>
      <c r="L152" s="65"/>
      <c r="M152" s="65"/>
      <c r="N152" s="61"/>
      <c r="O152" s="64"/>
      <c r="P152" s="65"/>
      <c r="Q152" s="65"/>
      <c r="R152" s="66"/>
      <c r="S152" s="65"/>
      <c r="T152" s="65"/>
      <c r="U152" s="67"/>
      <c r="V152" s="65"/>
      <c r="W152" s="65"/>
      <c r="X152" s="63"/>
      <c r="Y152" s="63"/>
      <c r="Z152" s="61"/>
      <c r="AA152" s="61"/>
      <c r="AB152" s="61"/>
      <c r="AC152" s="61"/>
      <c r="AD152" s="61"/>
      <c r="AE152" s="61"/>
      <c r="AF152" s="61"/>
      <c r="AG152" s="61"/>
      <c r="AH152" s="68" t="n">
        <f aca="false">IF(G152="",0,ROUND((Strats!$C$4-G152)/30.4375,1))</f>
        <v>0</v>
      </c>
      <c r="AI152" s="69" t="n">
        <f aca="false">IF(K152="",0,IF(K152="Floating",Strats!$C$10+M152,L152))</f>
        <v>0</v>
      </c>
      <c r="AJ152" s="68" t="str">
        <f aca="false">IF(OR(Z152="",Z152="Full Amortizing"),"",MAX(J152-AH152,0))</f>
        <v/>
      </c>
      <c r="AK152" s="69" t="n">
        <f aca="false">IF(K152="",0,IF(K152="Floating",IF(P152&lt;&gt;"",MIN(IF(Q152&lt;&gt;"",MAX((Strats!$C$10+Strats!$C$11+M152),Q152),(Strats!$C$10+Strats!$C$11+M152)),P152),IF(Q152&lt;&gt;"",MAX((Strats!$C$10+Strats!$C$11+M152),Q152),(Strats!$C$10+Strats!$C$11+M152))),AI152))</f>
        <v>0</v>
      </c>
      <c r="AL152" s="68" t="str">
        <f aca="false">IF(OR(E152="",E152&lt;&gt;'Deal Strat'!$C$12,R152=""),"",SUMPRODUCT((E$4:E$303='Deal Strat'!$C$12)*(R$4:R$303&gt;R152))+1+SUMPRODUCT((E$4:E$303='Deal Strat'!$C$12)*(R$4:R$303=R152)*(ROW(R$4:R$303)&lt;ROW(R152))))</f>
        <v/>
      </c>
      <c r="AM152" s="68" t="str">
        <f aca="false">IF(R152="","",RANK(R152,$R$4:$R$303,0)+COUNTIF($R$4:R152,R152)-1)</f>
        <v/>
      </c>
      <c r="AN152" s="26" t="n">
        <f aca="false">IF(OR($A152="",$R152=""),0,IF(Deal_Scope="All Deals",1,IF($E152=Deal_Scope,1,0)))</f>
        <v>0</v>
      </c>
      <c r="AO152" s="56" t="n">
        <f aca="false">IF($AN152=0,0,Px_Par)</f>
        <v>0</v>
      </c>
      <c r="AP152" s="70" t="n">
        <f aca="false">IF($H152="",0,MAX(0,($H152-Set_Date)/30.4375))</f>
        <v>0</v>
      </c>
      <c r="AQ152" s="26" t="n">
        <f aca="false">IF(AND(Ext_Flag="Yes",$AA152="Yes"),Ext_Months,0)</f>
        <v>0</v>
      </c>
      <c r="AR152" s="70" t="n">
        <f aca="false">$AP152+$AQ152</f>
        <v>0</v>
      </c>
      <c r="AS152" s="70" t="n">
        <f aca="false">$AR152/12</f>
        <v>0</v>
      </c>
      <c r="AT152" s="70" t="n">
        <f aca="false">IF($AJ152="",0,MAX(0,$AJ152/12))</f>
        <v>0</v>
      </c>
      <c r="AU152" s="70" t="n">
        <f aca="false">MAX(Amort_Min,Amort_Term-$AH152/12)</f>
        <v>30</v>
      </c>
      <c r="AV152" s="70" t="n">
        <f aca="false">MIN($AS152,Hold_Yrs)</f>
        <v>0</v>
      </c>
      <c r="AW152" s="26" t="n">
        <f aca="false">IF($AN152=0,0,CEILING(MAX($AS152,0.0001),1))</f>
        <v>0</v>
      </c>
      <c r="AX152" s="26" t="n">
        <f aca="false">IF(AND($AN152=1,MAX($AS152,0.0001)&lt;=Hold_Yrs),1,0)</f>
        <v>0</v>
      </c>
      <c r="AY152" s="71" t="n">
        <f aca="false">$R152*$AO152</f>
        <v>0</v>
      </c>
      <c r="AZ152" s="71" t="n">
        <f aca="false">$R152*Acc_Int*$AN152</f>
        <v>0</v>
      </c>
      <c r="BA152" s="71" t="n">
        <f aca="false">$AY152*Acq_Cost</f>
        <v>0</v>
      </c>
      <c r="BB152" s="71" t="n">
        <f aca="false">$AY152+$AZ152+$BA152</f>
        <v>0</v>
      </c>
      <c r="BC152" s="71" t="n">
        <f aca="false">IF(Fin_Flag="Yes",$AY152*Adv_Rate,0)</f>
        <v>0</v>
      </c>
      <c r="BD152" s="71" t="n">
        <f aca="false">$BC152*Fin_UpFee</f>
        <v>0</v>
      </c>
      <c r="BE152" s="71" t="n">
        <f aca="false">$BB152-$BC152+$BD152</f>
        <v>0</v>
      </c>
    </row>
    <row r="153" customFormat="false" ht="14.25" hidden="false" customHeight="false" outlineLevel="0" collapsed="false">
      <c r="A153" s="61"/>
      <c r="B153" s="62"/>
      <c r="C153" s="61"/>
      <c r="D153" s="61"/>
      <c r="E153" s="61"/>
      <c r="F153" s="63"/>
      <c r="G153" s="64"/>
      <c r="H153" s="64"/>
      <c r="I153" s="63"/>
      <c r="J153" s="63"/>
      <c r="K153" s="61"/>
      <c r="L153" s="65"/>
      <c r="M153" s="65"/>
      <c r="N153" s="61"/>
      <c r="O153" s="64"/>
      <c r="P153" s="65"/>
      <c r="Q153" s="65"/>
      <c r="R153" s="66"/>
      <c r="S153" s="65"/>
      <c r="T153" s="65"/>
      <c r="U153" s="67"/>
      <c r="V153" s="65"/>
      <c r="W153" s="65"/>
      <c r="X153" s="63"/>
      <c r="Y153" s="63"/>
      <c r="Z153" s="61"/>
      <c r="AA153" s="61"/>
      <c r="AB153" s="61"/>
      <c r="AC153" s="61"/>
      <c r="AD153" s="61"/>
      <c r="AE153" s="61"/>
      <c r="AF153" s="61"/>
      <c r="AG153" s="61"/>
      <c r="AH153" s="68" t="n">
        <f aca="false">IF(G153="",0,ROUND((Strats!$C$4-G153)/30.4375,1))</f>
        <v>0</v>
      </c>
      <c r="AI153" s="69" t="n">
        <f aca="false">IF(K153="",0,IF(K153="Floating",Strats!$C$10+M153,L153))</f>
        <v>0</v>
      </c>
      <c r="AJ153" s="68" t="str">
        <f aca="false">IF(OR(Z153="",Z153="Full Amortizing"),"",MAX(J153-AH153,0))</f>
        <v/>
      </c>
      <c r="AK153" s="69" t="n">
        <f aca="false">IF(K153="",0,IF(K153="Floating",IF(P153&lt;&gt;"",MIN(IF(Q153&lt;&gt;"",MAX((Strats!$C$10+Strats!$C$11+M153),Q153),(Strats!$C$10+Strats!$C$11+M153)),P153),IF(Q153&lt;&gt;"",MAX((Strats!$C$10+Strats!$C$11+M153),Q153),(Strats!$C$10+Strats!$C$11+M153))),AI153))</f>
        <v>0</v>
      </c>
      <c r="AL153" s="68" t="str">
        <f aca="false">IF(OR(E153="",E153&lt;&gt;'Deal Strat'!$C$12,R153=""),"",SUMPRODUCT((E$4:E$303='Deal Strat'!$C$12)*(R$4:R$303&gt;R153))+1+SUMPRODUCT((E$4:E$303='Deal Strat'!$C$12)*(R$4:R$303=R153)*(ROW(R$4:R$303)&lt;ROW(R153))))</f>
        <v/>
      </c>
      <c r="AM153" s="68" t="str">
        <f aca="false">IF(R153="","",RANK(R153,$R$4:$R$303,0)+COUNTIF($R$4:R153,R153)-1)</f>
        <v/>
      </c>
      <c r="AN153" s="26" t="n">
        <f aca="false">IF(OR($A153="",$R153=""),0,IF(Deal_Scope="All Deals",1,IF($E153=Deal_Scope,1,0)))</f>
        <v>0</v>
      </c>
      <c r="AO153" s="56" t="n">
        <f aca="false">IF($AN153=0,0,Px_Par)</f>
        <v>0</v>
      </c>
      <c r="AP153" s="70" t="n">
        <f aca="false">IF($H153="",0,MAX(0,($H153-Set_Date)/30.4375))</f>
        <v>0</v>
      </c>
      <c r="AQ153" s="26" t="n">
        <f aca="false">IF(AND(Ext_Flag="Yes",$AA153="Yes"),Ext_Months,0)</f>
        <v>0</v>
      </c>
      <c r="AR153" s="70" t="n">
        <f aca="false">$AP153+$AQ153</f>
        <v>0</v>
      </c>
      <c r="AS153" s="70" t="n">
        <f aca="false">$AR153/12</f>
        <v>0</v>
      </c>
      <c r="AT153" s="70" t="n">
        <f aca="false">IF($AJ153="",0,MAX(0,$AJ153/12))</f>
        <v>0</v>
      </c>
      <c r="AU153" s="70" t="n">
        <f aca="false">MAX(Amort_Min,Amort_Term-$AH153/12)</f>
        <v>30</v>
      </c>
      <c r="AV153" s="70" t="n">
        <f aca="false">MIN($AS153,Hold_Yrs)</f>
        <v>0</v>
      </c>
      <c r="AW153" s="26" t="n">
        <f aca="false">IF($AN153=0,0,CEILING(MAX($AS153,0.0001),1))</f>
        <v>0</v>
      </c>
      <c r="AX153" s="26" t="n">
        <f aca="false">IF(AND($AN153=1,MAX($AS153,0.0001)&lt;=Hold_Yrs),1,0)</f>
        <v>0</v>
      </c>
      <c r="AY153" s="71" t="n">
        <f aca="false">$R153*$AO153</f>
        <v>0</v>
      </c>
      <c r="AZ153" s="71" t="n">
        <f aca="false">$R153*Acc_Int*$AN153</f>
        <v>0</v>
      </c>
      <c r="BA153" s="71" t="n">
        <f aca="false">$AY153*Acq_Cost</f>
        <v>0</v>
      </c>
      <c r="BB153" s="71" t="n">
        <f aca="false">$AY153+$AZ153+$BA153</f>
        <v>0</v>
      </c>
      <c r="BC153" s="71" t="n">
        <f aca="false">IF(Fin_Flag="Yes",$AY153*Adv_Rate,0)</f>
        <v>0</v>
      </c>
      <c r="BD153" s="71" t="n">
        <f aca="false">$BC153*Fin_UpFee</f>
        <v>0</v>
      </c>
      <c r="BE153" s="71" t="n">
        <f aca="false">$BB153-$BC153+$BD153</f>
        <v>0</v>
      </c>
    </row>
    <row r="154" customFormat="false" ht="14.25" hidden="false" customHeight="false" outlineLevel="0" collapsed="false">
      <c r="A154" s="61"/>
      <c r="B154" s="62"/>
      <c r="C154" s="61"/>
      <c r="D154" s="61"/>
      <c r="E154" s="61"/>
      <c r="F154" s="63"/>
      <c r="G154" s="64"/>
      <c r="H154" s="64"/>
      <c r="I154" s="63"/>
      <c r="J154" s="63"/>
      <c r="K154" s="61"/>
      <c r="L154" s="65"/>
      <c r="M154" s="65"/>
      <c r="N154" s="61"/>
      <c r="O154" s="64"/>
      <c r="P154" s="65"/>
      <c r="Q154" s="65"/>
      <c r="R154" s="66"/>
      <c r="S154" s="65"/>
      <c r="T154" s="65"/>
      <c r="U154" s="67"/>
      <c r="V154" s="65"/>
      <c r="W154" s="65"/>
      <c r="X154" s="63"/>
      <c r="Y154" s="63"/>
      <c r="Z154" s="61"/>
      <c r="AA154" s="61"/>
      <c r="AB154" s="61"/>
      <c r="AC154" s="61"/>
      <c r="AD154" s="61"/>
      <c r="AE154" s="61"/>
      <c r="AF154" s="61"/>
      <c r="AG154" s="61"/>
      <c r="AH154" s="68" t="n">
        <f aca="false">IF(G154="",0,ROUND((Strats!$C$4-G154)/30.4375,1))</f>
        <v>0</v>
      </c>
      <c r="AI154" s="69" t="n">
        <f aca="false">IF(K154="",0,IF(K154="Floating",Strats!$C$10+M154,L154))</f>
        <v>0</v>
      </c>
      <c r="AJ154" s="68" t="str">
        <f aca="false">IF(OR(Z154="",Z154="Full Amortizing"),"",MAX(J154-AH154,0))</f>
        <v/>
      </c>
      <c r="AK154" s="69" t="n">
        <f aca="false">IF(K154="",0,IF(K154="Floating",IF(P154&lt;&gt;"",MIN(IF(Q154&lt;&gt;"",MAX((Strats!$C$10+Strats!$C$11+M154),Q154),(Strats!$C$10+Strats!$C$11+M154)),P154),IF(Q154&lt;&gt;"",MAX((Strats!$C$10+Strats!$C$11+M154),Q154),(Strats!$C$10+Strats!$C$11+M154))),AI154))</f>
        <v>0</v>
      </c>
      <c r="AL154" s="68" t="str">
        <f aca="false">IF(OR(E154="",E154&lt;&gt;'Deal Strat'!$C$12,R154=""),"",SUMPRODUCT((E$4:E$303='Deal Strat'!$C$12)*(R$4:R$303&gt;R154))+1+SUMPRODUCT((E$4:E$303='Deal Strat'!$C$12)*(R$4:R$303=R154)*(ROW(R$4:R$303)&lt;ROW(R154))))</f>
        <v/>
      </c>
      <c r="AM154" s="68" t="str">
        <f aca="false">IF(R154="","",RANK(R154,$R$4:$R$303,0)+COUNTIF($R$4:R154,R154)-1)</f>
        <v/>
      </c>
      <c r="AN154" s="26" t="n">
        <f aca="false">IF(OR($A154="",$R154=""),0,IF(Deal_Scope="All Deals",1,IF($E154=Deal_Scope,1,0)))</f>
        <v>0</v>
      </c>
      <c r="AO154" s="56" t="n">
        <f aca="false">IF($AN154=0,0,Px_Par)</f>
        <v>0</v>
      </c>
      <c r="AP154" s="70" t="n">
        <f aca="false">IF($H154="",0,MAX(0,($H154-Set_Date)/30.4375))</f>
        <v>0</v>
      </c>
      <c r="AQ154" s="26" t="n">
        <f aca="false">IF(AND(Ext_Flag="Yes",$AA154="Yes"),Ext_Months,0)</f>
        <v>0</v>
      </c>
      <c r="AR154" s="70" t="n">
        <f aca="false">$AP154+$AQ154</f>
        <v>0</v>
      </c>
      <c r="AS154" s="70" t="n">
        <f aca="false">$AR154/12</f>
        <v>0</v>
      </c>
      <c r="AT154" s="70" t="n">
        <f aca="false">IF($AJ154="",0,MAX(0,$AJ154/12))</f>
        <v>0</v>
      </c>
      <c r="AU154" s="70" t="n">
        <f aca="false">MAX(Amort_Min,Amort_Term-$AH154/12)</f>
        <v>30</v>
      </c>
      <c r="AV154" s="70" t="n">
        <f aca="false">MIN($AS154,Hold_Yrs)</f>
        <v>0</v>
      </c>
      <c r="AW154" s="26" t="n">
        <f aca="false">IF($AN154=0,0,CEILING(MAX($AS154,0.0001),1))</f>
        <v>0</v>
      </c>
      <c r="AX154" s="26" t="n">
        <f aca="false">IF(AND($AN154=1,MAX($AS154,0.0001)&lt;=Hold_Yrs),1,0)</f>
        <v>0</v>
      </c>
      <c r="AY154" s="71" t="n">
        <f aca="false">$R154*$AO154</f>
        <v>0</v>
      </c>
      <c r="AZ154" s="71" t="n">
        <f aca="false">$R154*Acc_Int*$AN154</f>
        <v>0</v>
      </c>
      <c r="BA154" s="71" t="n">
        <f aca="false">$AY154*Acq_Cost</f>
        <v>0</v>
      </c>
      <c r="BB154" s="71" t="n">
        <f aca="false">$AY154+$AZ154+$BA154</f>
        <v>0</v>
      </c>
      <c r="BC154" s="71" t="n">
        <f aca="false">IF(Fin_Flag="Yes",$AY154*Adv_Rate,0)</f>
        <v>0</v>
      </c>
      <c r="BD154" s="71" t="n">
        <f aca="false">$BC154*Fin_UpFee</f>
        <v>0</v>
      </c>
      <c r="BE154" s="71" t="n">
        <f aca="false">$BB154-$BC154+$BD154</f>
        <v>0</v>
      </c>
    </row>
    <row r="155" customFormat="false" ht="14.25" hidden="false" customHeight="false" outlineLevel="0" collapsed="false">
      <c r="A155" s="61"/>
      <c r="B155" s="62"/>
      <c r="C155" s="61"/>
      <c r="D155" s="61"/>
      <c r="E155" s="61"/>
      <c r="F155" s="63"/>
      <c r="G155" s="64"/>
      <c r="H155" s="64"/>
      <c r="I155" s="63"/>
      <c r="J155" s="63"/>
      <c r="K155" s="61"/>
      <c r="L155" s="65"/>
      <c r="M155" s="65"/>
      <c r="N155" s="61"/>
      <c r="O155" s="64"/>
      <c r="P155" s="65"/>
      <c r="Q155" s="65"/>
      <c r="R155" s="66"/>
      <c r="S155" s="65"/>
      <c r="T155" s="65"/>
      <c r="U155" s="67"/>
      <c r="V155" s="65"/>
      <c r="W155" s="65"/>
      <c r="X155" s="63"/>
      <c r="Y155" s="63"/>
      <c r="Z155" s="61"/>
      <c r="AA155" s="61"/>
      <c r="AB155" s="61"/>
      <c r="AC155" s="61"/>
      <c r="AD155" s="61"/>
      <c r="AE155" s="61"/>
      <c r="AF155" s="61"/>
      <c r="AG155" s="61"/>
      <c r="AH155" s="68" t="n">
        <f aca="false">IF(G155="",0,ROUND((Strats!$C$4-G155)/30.4375,1))</f>
        <v>0</v>
      </c>
      <c r="AI155" s="69" t="n">
        <f aca="false">IF(K155="",0,IF(K155="Floating",Strats!$C$10+M155,L155))</f>
        <v>0</v>
      </c>
      <c r="AJ155" s="68" t="str">
        <f aca="false">IF(OR(Z155="",Z155="Full Amortizing"),"",MAX(J155-AH155,0))</f>
        <v/>
      </c>
      <c r="AK155" s="69" t="n">
        <f aca="false">IF(K155="",0,IF(K155="Floating",IF(P155&lt;&gt;"",MIN(IF(Q155&lt;&gt;"",MAX((Strats!$C$10+Strats!$C$11+M155),Q155),(Strats!$C$10+Strats!$C$11+M155)),P155),IF(Q155&lt;&gt;"",MAX((Strats!$C$10+Strats!$C$11+M155),Q155),(Strats!$C$10+Strats!$C$11+M155))),AI155))</f>
        <v>0</v>
      </c>
      <c r="AL155" s="68" t="str">
        <f aca="false">IF(OR(E155="",E155&lt;&gt;'Deal Strat'!$C$12,R155=""),"",SUMPRODUCT((E$4:E$303='Deal Strat'!$C$12)*(R$4:R$303&gt;R155))+1+SUMPRODUCT((E$4:E$303='Deal Strat'!$C$12)*(R$4:R$303=R155)*(ROW(R$4:R$303)&lt;ROW(R155))))</f>
        <v/>
      </c>
      <c r="AM155" s="68" t="str">
        <f aca="false">IF(R155="","",RANK(R155,$R$4:$R$303,0)+COUNTIF($R$4:R155,R155)-1)</f>
        <v/>
      </c>
      <c r="AN155" s="26" t="n">
        <f aca="false">IF(OR($A155="",$R155=""),0,IF(Deal_Scope="All Deals",1,IF($E155=Deal_Scope,1,0)))</f>
        <v>0</v>
      </c>
      <c r="AO155" s="56" t="n">
        <f aca="false">IF($AN155=0,0,Px_Par)</f>
        <v>0</v>
      </c>
      <c r="AP155" s="70" t="n">
        <f aca="false">IF($H155="",0,MAX(0,($H155-Set_Date)/30.4375))</f>
        <v>0</v>
      </c>
      <c r="AQ155" s="26" t="n">
        <f aca="false">IF(AND(Ext_Flag="Yes",$AA155="Yes"),Ext_Months,0)</f>
        <v>0</v>
      </c>
      <c r="AR155" s="70" t="n">
        <f aca="false">$AP155+$AQ155</f>
        <v>0</v>
      </c>
      <c r="AS155" s="70" t="n">
        <f aca="false">$AR155/12</f>
        <v>0</v>
      </c>
      <c r="AT155" s="70" t="n">
        <f aca="false">IF($AJ155="",0,MAX(0,$AJ155/12))</f>
        <v>0</v>
      </c>
      <c r="AU155" s="70" t="n">
        <f aca="false">MAX(Amort_Min,Amort_Term-$AH155/12)</f>
        <v>30</v>
      </c>
      <c r="AV155" s="70" t="n">
        <f aca="false">MIN($AS155,Hold_Yrs)</f>
        <v>0</v>
      </c>
      <c r="AW155" s="26" t="n">
        <f aca="false">IF($AN155=0,0,CEILING(MAX($AS155,0.0001),1))</f>
        <v>0</v>
      </c>
      <c r="AX155" s="26" t="n">
        <f aca="false">IF(AND($AN155=1,MAX($AS155,0.0001)&lt;=Hold_Yrs),1,0)</f>
        <v>0</v>
      </c>
      <c r="AY155" s="71" t="n">
        <f aca="false">$R155*$AO155</f>
        <v>0</v>
      </c>
      <c r="AZ155" s="71" t="n">
        <f aca="false">$R155*Acc_Int*$AN155</f>
        <v>0</v>
      </c>
      <c r="BA155" s="71" t="n">
        <f aca="false">$AY155*Acq_Cost</f>
        <v>0</v>
      </c>
      <c r="BB155" s="71" t="n">
        <f aca="false">$AY155+$AZ155+$BA155</f>
        <v>0</v>
      </c>
      <c r="BC155" s="71" t="n">
        <f aca="false">IF(Fin_Flag="Yes",$AY155*Adv_Rate,0)</f>
        <v>0</v>
      </c>
      <c r="BD155" s="71" t="n">
        <f aca="false">$BC155*Fin_UpFee</f>
        <v>0</v>
      </c>
      <c r="BE155" s="71" t="n">
        <f aca="false">$BB155-$BC155+$BD155</f>
        <v>0</v>
      </c>
    </row>
    <row r="156" customFormat="false" ht="14.25" hidden="false" customHeight="false" outlineLevel="0" collapsed="false">
      <c r="A156" s="61"/>
      <c r="B156" s="62"/>
      <c r="C156" s="61"/>
      <c r="D156" s="61"/>
      <c r="E156" s="61"/>
      <c r="F156" s="63"/>
      <c r="G156" s="64"/>
      <c r="H156" s="64"/>
      <c r="I156" s="63"/>
      <c r="J156" s="63"/>
      <c r="K156" s="61"/>
      <c r="L156" s="65"/>
      <c r="M156" s="65"/>
      <c r="N156" s="61"/>
      <c r="O156" s="64"/>
      <c r="P156" s="65"/>
      <c r="Q156" s="65"/>
      <c r="R156" s="66"/>
      <c r="S156" s="65"/>
      <c r="T156" s="65"/>
      <c r="U156" s="67"/>
      <c r="V156" s="65"/>
      <c r="W156" s="65"/>
      <c r="X156" s="63"/>
      <c r="Y156" s="63"/>
      <c r="Z156" s="61"/>
      <c r="AA156" s="61"/>
      <c r="AB156" s="61"/>
      <c r="AC156" s="61"/>
      <c r="AD156" s="61"/>
      <c r="AE156" s="61"/>
      <c r="AF156" s="61"/>
      <c r="AG156" s="61"/>
      <c r="AH156" s="68" t="n">
        <f aca="false">IF(G156="",0,ROUND((Strats!$C$4-G156)/30.4375,1))</f>
        <v>0</v>
      </c>
      <c r="AI156" s="69" t="n">
        <f aca="false">IF(K156="",0,IF(K156="Floating",Strats!$C$10+M156,L156))</f>
        <v>0</v>
      </c>
      <c r="AJ156" s="68" t="str">
        <f aca="false">IF(OR(Z156="",Z156="Full Amortizing"),"",MAX(J156-AH156,0))</f>
        <v/>
      </c>
      <c r="AK156" s="69" t="n">
        <f aca="false">IF(K156="",0,IF(K156="Floating",IF(P156&lt;&gt;"",MIN(IF(Q156&lt;&gt;"",MAX((Strats!$C$10+Strats!$C$11+M156),Q156),(Strats!$C$10+Strats!$C$11+M156)),P156),IF(Q156&lt;&gt;"",MAX((Strats!$C$10+Strats!$C$11+M156),Q156),(Strats!$C$10+Strats!$C$11+M156))),AI156))</f>
        <v>0</v>
      </c>
      <c r="AL156" s="68" t="str">
        <f aca="false">IF(OR(E156="",E156&lt;&gt;'Deal Strat'!$C$12,R156=""),"",SUMPRODUCT((E$4:E$303='Deal Strat'!$C$12)*(R$4:R$303&gt;R156))+1+SUMPRODUCT((E$4:E$303='Deal Strat'!$C$12)*(R$4:R$303=R156)*(ROW(R$4:R$303)&lt;ROW(R156))))</f>
        <v/>
      </c>
      <c r="AM156" s="68" t="str">
        <f aca="false">IF(R156="","",RANK(R156,$R$4:$R$303,0)+COUNTIF($R$4:R156,R156)-1)</f>
        <v/>
      </c>
      <c r="AN156" s="26" t="n">
        <f aca="false">IF(OR($A156="",$R156=""),0,IF(Deal_Scope="All Deals",1,IF($E156=Deal_Scope,1,0)))</f>
        <v>0</v>
      </c>
      <c r="AO156" s="56" t="n">
        <f aca="false">IF($AN156=0,0,Px_Par)</f>
        <v>0</v>
      </c>
      <c r="AP156" s="70" t="n">
        <f aca="false">IF($H156="",0,MAX(0,($H156-Set_Date)/30.4375))</f>
        <v>0</v>
      </c>
      <c r="AQ156" s="26" t="n">
        <f aca="false">IF(AND(Ext_Flag="Yes",$AA156="Yes"),Ext_Months,0)</f>
        <v>0</v>
      </c>
      <c r="AR156" s="70" t="n">
        <f aca="false">$AP156+$AQ156</f>
        <v>0</v>
      </c>
      <c r="AS156" s="70" t="n">
        <f aca="false">$AR156/12</f>
        <v>0</v>
      </c>
      <c r="AT156" s="70" t="n">
        <f aca="false">IF($AJ156="",0,MAX(0,$AJ156/12))</f>
        <v>0</v>
      </c>
      <c r="AU156" s="70" t="n">
        <f aca="false">MAX(Amort_Min,Amort_Term-$AH156/12)</f>
        <v>30</v>
      </c>
      <c r="AV156" s="70" t="n">
        <f aca="false">MIN($AS156,Hold_Yrs)</f>
        <v>0</v>
      </c>
      <c r="AW156" s="26" t="n">
        <f aca="false">IF($AN156=0,0,CEILING(MAX($AS156,0.0001),1))</f>
        <v>0</v>
      </c>
      <c r="AX156" s="26" t="n">
        <f aca="false">IF(AND($AN156=1,MAX($AS156,0.0001)&lt;=Hold_Yrs),1,0)</f>
        <v>0</v>
      </c>
      <c r="AY156" s="71" t="n">
        <f aca="false">$R156*$AO156</f>
        <v>0</v>
      </c>
      <c r="AZ156" s="71" t="n">
        <f aca="false">$R156*Acc_Int*$AN156</f>
        <v>0</v>
      </c>
      <c r="BA156" s="71" t="n">
        <f aca="false">$AY156*Acq_Cost</f>
        <v>0</v>
      </c>
      <c r="BB156" s="71" t="n">
        <f aca="false">$AY156+$AZ156+$BA156</f>
        <v>0</v>
      </c>
      <c r="BC156" s="71" t="n">
        <f aca="false">IF(Fin_Flag="Yes",$AY156*Adv_Rate,0)</f>
        <v>0</v>
      </c>
      <c r="BD156" s="71" t="n">
        <f aca="false">$BC156*Fin_UpFee</f>
        <v>0</v>
      </c>
      <c r="BE156" s="71" t="n">
        <f aca="false">$BB156-$BC156+$BD156</f>
        <v>0</v>
      </c>
    </row>
    <row r="157" customFormat="false" ht="14.25" hidden="false" customHeight="false" outlineLevel="0" collapsed="false">
      <c r="A157" s="61"/>
      <c r="B157" s="62"/>
      <c r="C157" s="61"/>
      <c r="D157" s="61"/>
      <c r="E157" s="61"/>
      <c r="F157" s="63"/>
      <c r="G157" s="64"/>
      <c r="H157" s="64"/>
      <c r="I157" s="63"/>
      <c r="J157" s="63"/>
      <c r="K157" s="61"/>
      <c r="L157" s="65"/>
      <c r="M157" s="65"/>
      <c r="N157" s="61"/>
      <c r="O157" s="64"/>
      <c r="P157" s="65"/>
      <c r="Q157" s="65"/>
      <c r="R157" s="66"/>
      <c r="S157" s="65"/>
      <c r="T157" s="65"/>
      <c r="U157" s="67"/>
      <c r="V157" s="65"/>
      <c r="W157" s="65"/>
      <c r="X157" s="63"/>
      <c r="Y157" s="63"/>
      <c r="Z157" s="61"/>
      <c r="AA157" s="61"/>
      <c r="AB157" s="61"/>
      <c r="AC157" s="61"/>
      <c r="AD157" s="61"/>
      <c r="AE157" s="61"/>
      <c r="AF157" s="61"/>
      <c r="AG157" s="61"/>
      <c r="AH157" s="68" t="n">
        <f aca="false">IF(G157="",0,ROUND((Strats!$C$4-G157)/30.4375,1))</f>
        <v>0</v>
      </c>
      <c r="AI157" s="69" t="n">
        <f aca="false">IF(K157="",0,IF(K157="Floating",Strats!$C$10+M157,L157))</f>
        <v>0</v>
      </c>
      <c r="AJ157" s="68" t="str">
        <f aca="false">IF(OR(Z157="",Z157="Full Amortizing"),"",MAX(J157-AH157,0))</f>
        <v/>
      </c>
      <c r="AK157" s="69" t="n">
        <f aca="false">IF(K157="",0,IF(K157="Floating",IF(P157&lt;&gt;"",MIN(IF(Q157&lt;&gt;"",MAX((Strats!$C$10+Strats!$C$11+M157),Q157),(Strats!$C$10+Strats!$C$11+M157)),P157),IF(Q157&lt;&gt;"",MAX((Strats!$C$10+Strats!$C$11+M157),Q157),(Strats!$C$10+Strats!$C$11+M157))),AI157))</f>
        <v>0</v>
      </c>
      <c r="AL157" s="68" t="str">
        <f aca="false">IF(OR(E157="",E157&lt;&gt;'Deal Strat'!$C$12,R157=""),"",SUMPRODUCT((E$4:E$303='Deal Strat'!$C$12)*(R$4:R$303&gt;R157))+1+SUMPRODUCT((E$4:E$303='Deal Strat'!$C$12)*(R$4:R$303=R157)*(ROW(R$4:R$303)&lt;ROW(R157))))</f>
        <v/>
      </c>
      <c r="AM157" s="68" t="str">
        <f aca="false">IF(R157="","",RANK(R157,$R$4:$R$303,0)+COUNTIF($R$4:R157,R157)-1)</f>
        <v/>
      </c>
      <c r="AN157" s="26" t="n">
        <f aca="false">IF(OR($A157="",$R157=""),0,IF(Deal_Scope="All Deals",1,IF($E157=Deal_Scope,1,0)))</f>
        <v>0</v>
      </c>
      <c r="AO157" s="56" t="n">
        <f aca="false">IF($AN157=0,0,Px_Par)</f>
        <v>0</v>
      </c>
      <c r="AP157" s="70" t="n">
        <f aca="false">IF($H157="",0,MAX(0,($H157-Set_Date)/30.4375))</f>
        <v>0</v>
      </c>
      <c r="AQ157" s="26" t="n">
        <f aca="false">IF(AND(Ext_Flag="Yes",$AA157="Yes"),Ext_Months,0)</f>
        <v>0</v>
      </c>
      <c r="AR157" s="70" t="n">
        <f aca="false">$AP157+$AQ157</f>
        <v>0</v>
      </c>
      <c r="AS157" s="70" t="n">
        <f aca="false">$AR157/12</f>
        <v>0</v>
      </c>
      <c r="AT157" s="70" t="n">
        <f aca="false">IF($AJ157="",0,MAX(0,$AJ157/12))</f>
        <v>0</v>
      </c>
      <c r="AU157" s="70" t="n">
        <f aca="false">MAX(Amort_Min,Amort_Term-$AH157/12)</f>
        <v>30</v>
      </c>
      <c r="AV157" s="70" t="n">
        <f aca="false">MIN($AS157,Hold_Yrs)</f>
        <v>0</v>
      </c>
      <c r="AW157" s="26" t="n">
        <f aca="false">IF($AN157=0,0,CEILING(MAX($AS157,0.0001),1))</f>
        <v>0</v>
      </c>
      <c r="AX157" s="26" t="n">
        <f aca="false">IF(AND($AN157=1,MAX($AS157,0.0001)&lt;=Hold_Yrs),1,0)</f>
        <v>0</v>
      </c>
      <c r="AY157" s="71" t="n">
        <f aca="false">$R157*$AO157</f>
        <v>0</v>
      </c>
      <c r="AZ157" s="71" t="n">
        <f aca="false">$R157*Acc_Int*$AN157</f>
        <v>0</v>
      </c>
      <c r="BA157" s="71" t="n">
        <f aca="false">$AY157*Acq_Cost</f>
        <v>0</v>
      </c>
      <c r="BB157" s="71" t="n">
        <f aca="false">$AY157+$AZ157+$BA157</f>
        <v>0</v>
      </c>
      <c r="BC157" s="71" t="n">
        <f aca="false">IF(Fin_Flag="Yes",$AY157*Adv_Rate,0)</f>
        <v>0</v>
      </c>
      <c r="BD157" s="71" t="n">
        <f aca="false">$BC157*Fin_UpFee</f>
        <v>0</v>
      </c>
      <c r="BE157" s="71" t="n">
        <f aca="false">$BB157-$BC157+$BD157</f>
        <v>0</v>
      </c>
    </row>
    <row r="158" customFormat="false" ht="14.25" hidden="false" customHeight="false" outlineLevel="0" collapsed="false">
      <c r="A158" s="61"/>
      <c r="B158" s="62"/>
      <c r="C158" s="61"/>
      <c r="D158" s="61"/>
      <c r="E158" s="61"/>
      <c r="F158" s="63"/>
      <c r="G158" s="64"/>
      <c r="H158" s="64"/>
      <c r="I158" s="63"/>
      <c r="J158" s="63"/>
      <c r="K158" s="61"/>
      <c r="L158" s="65"/>
      <c r="M158" s="65"/>
      <c r="N158" s="61"/>
      <c r="O158" s="64"/>
      <c r="P158" s="65"/>
      <c r="Q158" s="65"/>
      <c r="R158" s="66"/>
      <c r="S158" s="65"/>
      <c r="T158" s="65"/>
      <c r="U158" s="67"/>
      <c r="V158" s="65"/>
      <c r="W158" s="65"/>
      <c r="X158" s="63"/>
      <c r="Y158" s="63"/>
      <c r="Z158" s="61"/>
      <c r="AA158" s="61"/>
      <c r="AB158" s="61"/>
      <c r="AC158" s="61"/>
      <c r="AD158" s="61"/>
      <c r="AE158" s="61"/>
      <c r="AF158" s="61"/>
      <c r="AG158" s="61"/>
      <c r="AH158" s="68" t="n">
        <f aca="false">IF(G158="",0,ROUND((Strats!$C$4-G158)/30.4375,1))</f>
        <v>0</v>
      </c>
      <c r="AI158" s="69" t="n">
        <f aca="false">IF(K158="",0,IF(K158="Floating",Strats!$C$10+M158,L158))</f>
        <v>0</v>
      </c>
      <c r="AJ158" s="68" t="str">
        <f aca="false">IF(OR(Z158="",Z158="Full Amortizing"),"",MAX(J158-AH158,0))</f>
        <v/>
      </c>
      <c r="AK158" s="69" t="n">
        <f aca="false">IF(K158="",0,IF(K158="Floating",IF(P158&lt;&gt;"",MIN(IF(Q158&lt;&gt;"",MAX((Strats!$C$10+Strats!$C$11+M158),Q158),(Strats!$C$10+Strats!$C$11+M158)),P158),IF(Q158&lt;&gt;"",MAX((Strats!$C$10+Strats!$C$11+M158),Q158),(Strats!$C$10+Strats!$C$11+M158))),AI158))</f>
        <v>0</v>
      </c>
      <c r="AL158" s="68" t="str">
        <f aca="false">IF(OR(E158="",E158&lt;&gt;'Deal Strat'!$C$12,R158=""),"",SUMPRODUCT((E$4:E$303='Deal Strat'!$C$12)*(R$4:R$303&gt;R158))+1+SUMPRODUCT((E$4:E$303='Deal Strat'!$C$12)*(R$4:R$303=R158)*(ROW(R$4:R$303)&lt;ROW(R158))))</f>
        <v/>
      </c>
      <c r="AM158" s="68" t="str">
        <f aca="false">IF(R158="","",RANK(R158,$R$4:$R$303,0)+COUNTIF($R$4:R158,R158)-1)</f>
        <v/>
      </c>
      <c r="AN158" s="26" t="n">
        <f aca="false">IF(OR($A158="",$R158=""),0,IF(Deal_Scope="All Deals",1,IF($E158=Deal_Scope,1,0)))</f>
        <v>0</v>
      </c>
      <c r="AO158" s="56" t="n">
        <f aca="false">IF($AN158=0,0,Px_Par)</f>
        <v>0</v>
      </c>
      <c r="AP158" s="70" t="n">
        <f aca="false">IF($H158="",0,MAX(0,($H158-Set_Date)/30.4375))</f>
        <v>0</v>
      </c>
      <c r="AQ158" s="26" t="n">
        <f aca="false">IF(AND(Ext_Flag="Yes",$AA158="Yes"),Ext_Months,0)</f>
        <v>0</v>
      </c>
      <c r="AR158" s="70" t="n">
        <f aca="false">$AP158+$AQ158</f>
        <v>0</v>
      </c>
      <c r="AS158" s="70" t="n">
        <f aca="false">$AR158/12</f>
        <v>0</v>
      </c>
      <c r="AT158" s="70" t="n">
        <f aca="false">IF($AJ158="",0,MAX(0,$AJ158/12))</f>
        <v>0</v>
      </c>
      <c r="AU158" s="70" t="n">
        <f aca="false">MAX(Amort_Min,Amort_Term-$AH158/12)</f>
        <v>30</v>
      </c>
      <c r="AV158" s="70" t="n">
        <f aca="false">MIN($AS158,Hold_Yrs)</f>
        <v>0</v>
      </c>
      <c r="AW158" s="26" t="n">
        <f aca="false">IF($AN158=0,0,CEILING(MAX($AS158,0.0001),1))</f>
        <v>0</v>
      </c>
      <c r="AX158" s="26" t="n">
        <f aca="false">IF(AND($AN158=1,MAX($AS158,0.0001)&lt;=Hold_Yrs),1,0)</f>
        <v>0</v>
      </c>
      <c r="AY158" s="71" t="n">
        <f aca="false">$R158*$AO158</f>
        <v>0</v>
      </c>
      <c r="AZ158" s="71" t="n">
        <f aca="false">$R158*Acc_Int*$AN158</f>
        <v>0</v>
      </c>
      <c r="BA158" s="71" t="n">
        <f aca="false">$AY158*Acq_Cost</f>
        <v>0</v>
      </c>
      <c r="BB158" s="71" t="n">
        <f aca="false">$AY158+$AZ158+$BA158</f>
        <v>0</v>
      </c>
      <c r="BC158" s="71" t="n">
        <f aca="false">IF(Fin_Flag="Yes",$AY158*Adv_Rate,0)</f>
        <v>0</v>
      </c>
      <c r="BD158" s="71" t="n">
        <f aca="false">$BC158*Fin_UpFee</f>
        <v>0</v>
      </c>
      <c r="BE158" s="71" t="n">
        <f aca="false">$BB158-$BC158+$BD158</f>
        <v>0</v>
      </c>
    </row>
    <row r="159" customFormat="false" ht="14.25" hidden="false" customHeight="false" outlineLevel="0" collapsed="false">
      <c r="A159" s="61"/>
      <c r="B159" s="62"/>
      <c r="C159" s="61"/>
      <c r="D159" s="61"/>
      <c r="E159" s="61"/>
      <c r="F159" s="63"/>
      <c r="G159" s="64"/>
      <c r="H159" s="64"/>
      <c r="I159" s="63"/>
      <c r="J159" s="63"/>
      <c r="K159" s="61"/>
      <c r="L159" s="65"/>
      <c r="M159" s="65"/>
      <c r="N159" s="61"/>
      <c r="O159" s="64"/>
      <c r="P159" s="65"/>
      <c r="Q159" s="65"/>
      <c r="R159" s="66"/>
      <c r="S159" s="65"/>
      <c r="T159" s="65"/>
      <c r="U159" s="67"/>
      <c r="V159" s="65"/>
      <c r="W159" s="65"/>
      <c r="X159" s="63"/>
      <c r="Y159" s="63"/>
      <c r="Z159" s="61"/>
      <c r="AA159" s="61"/>
      <c r="AB159" s="61"/>
      <c r="AC159" s="61"/>
      <c r="AD159" s="61"/>
      <c r="AE159" s="61"/>
      <c r="AF159" s="61"/>
      <c r="AG159" s="61"/>
      <c r="AH159" s="68" t="n">
        <f aca="false">IF(G159="",0,ROUND((Strats!$C$4-G159)/30.4375,1))</f>
        <v>0</v>
      </c>
      <c r="AI159" s="69" t="n">
        <f aca="false">IF(K159="",0,IF(K159="Floating",Strats!$C$10+M159,L159))</f>
        <v>0</v>
      </c>
      <c r="AJ159" s="68" t="str">
        <f aca="false">IF(OR(Z159="",Z159="Full Amortizing"),"",MAX(J159-AH159,0))</f>
        <v/>
      </c>
      <c r="AK159" s="69" t="n">
        <f aca="false">IF(K159="",0,IF(K159="Floating",IF(P159&lt;&gt;"",MIN(IF(Q159&lt;&gt;"",MAX((Strats!$C$10+Strats!$C$11+M159),Q159),(Strats!$C$10+Strats!$C$11+M159)),P159),IF(Q159&lt;&gt;"",MAX((Strats!$C$10+Strats!$C$11+M159),Q159),(Strats!$C$10+Strats!$C$11+M159))),AI159))</f>
        <v>0</v>
      </c>
      <c r="AL159" s="68" t="str">
        <f aca="false">IF(OR(E159="",E159&lt;&gt;'Deal Strat'!$C$12,R159=""),"",SUMPRODUCT((E$4:E$303='Deal Strat'!$C$12)*(R$4:R$303&gt;R159))+1+SUMPRODUCT((E$4:E$303='Deal Strat'!$C$12)*(R$4:R$303=R159)*(ROW(R$4:R$303)&lt;ROW(R159))))</f>
        <v/>
      </c>
      <c r="AM159" s="68" t="str">
        <f aca="false">IF(R159="","",RANK(R159,$R$4:$R$303,0)+COUNTIF($R$4:R159,R159)-1)</f>
        <v/>
      </c>
      <c r="AN159" s="26" t="n">
        <f aca="false">IF(OR($A159="",$R159=""),0,IF(Deal_Scope="All Deals",1,IF($E159=Deal_Scope,1,0)))</f>
        <v>0</v>
      </c>
      <c r="AO159" s="56" t="n">
        <f aca="false">IF($AN159=0,0,Px_Par)</f>
        <v>0</v>
      </c>
      <c r="AP159" s="70" t="n">
        <f aca="false">IF($H159="",0,MAX(0,($H159-Set_Date)/30.4375))</f>
        <v>0</v>
      </c>
      <c r="AQ159" s="26" t="n">
        <f aca="false">IF(AND(Ext_Flag="Yes",$AA159="Yes"),Ext_Months,0)</f>
        <v>0</v>
      </c>
      <c r="AR159" s="70" t="n">
        <f aca="false">$AP159+$AQ159</f>
        <v>0</v>
      </c>
      <c r="AS159" s="70" t="n">
        <f aca="false">$AR159/12</f>
        <v>0</v>
      </c>
      <c r="AT159" s="70" t="n">
        <f aca="false">IF($AJ159="",0,MAX(0,$AJ159/12))</f>
        <v>0</v>
      </c>
      <c r="AU159" s="70" t="n">
        <f aca="false">MAX(Amort_Min,Amort_Term-$AH159/12)</f>
        <v>30</v>
      </c>
      <c r="AV159" s="70" t="n">
        <f aca="false">MIN($AS159,Hold_Yrs)</f>
        <v>0</v>
      </c>
      <c r="AW159" s="26" t="n">
        <f aca="false">IF($AN159=0,0,CEILING(MAX($AS159,0.0001),1))</f>
        <v>0</v>
      </c>
      <c r="AX159" s="26" t="n">
        <f aca="false">IF(AND($AN159=1,MAX($AS159,0.0001)&lt;=Hold_Yrs),1,0)</f>
        <v>0</v>
      </c>
      <c r="AY159" s="71" t="n">
        <f aca="false">$R159*$AO159</f>
        <v>0</v>
      </c>
      <c r="AZ159" s="71" t="n">
        <f aca="false">$R159*Acc_Int*$AN159</f>
        <v>0</v>
      </c>
      <c r="BA159" s="71" t="n">
        <f aca="false">$AY159*Acq_Cost</f>
        <v>0</v>
      </c>
      <c r="BB159" s="71" t="n">
        <f aca="false">$AY159+$AZ159+$BA159</f>
        <v>0</v>
      </c>
      <c r="BC159" s="71" t="n">
        <f aca="false">IF(Fin_Flag="Yes",$AY159*Adv_Rate,0)</f>
        <v>0</v>
      </c>
      <c r="BD159" s="71" t="n">
        <f aca="false">$BC159*Fin_UpFee</f>
        <v>0</v>
      </c>
      <c r="BE159" s="71" t="n">
        <f aca="false">$BB159-$BC159+$BD159</f>
        <v>0</v>
      </c>
    </row>
    <row r="160" customFormat="false" ht="14.25" hidden="false" customHeight="false" outlineLevel="0" collapsed="false">
      <c r="A160" s="61"/>
      <c r="B160" s="62"/>
      <c r="C160" s="61"/>
      <c r="D160" s="61"/>
      <c r="E160" s="61"/>
      <c r="F160" s="63"/>
      <c r="G160" s="64"/>
      <c r="H160" s="64"/>
      <c r="I160" s="63"/>
      <c r="J160" s="63"/>
      <c r="K160" s="61"/>
      <c r="L160" s="65"/>
      <c r="M160" s="65"/>
      <c r="N160" s="61"/>
      <c r="O160" s="64"/>
      <c r="P160" s="65"/>
      <c r="Q160" s="65"/>
      <c r="R160" s="66"/>
      <c r="S160" s="65"/>
      <c r="T160" s="65"/>
      <c r="U160" s="67"/>
      <c r="V160" s="65"/>
      <c r="W160" s="65"/>
      <c r="X160" s="63"/>
      <c r="Y160" s="63"/>
      <c r="Z160" s="61"/>
      <c r="AA160" s="61"/>
      <c r="AB160" s="61"/>
      <c r="AC160" s="61"/>
      <c r="AD160" s="61"/>
      <c r="AE160" s="61"/>
      <c r="AF160" s="61"/>
      <c r="AG160" s="61"/>
      <c r="AH160" s="68" t="n">
        <f aca="false">IF(G160="",0,ROUND((Strats!$C$4-G160)/30.4375,1))</f>
        <v>0</v>
      </c>
      <c r="AI160" s="69" t="n">
        <f aca="false">IF(K160="",0,IF(K160="Floating",Strats!$C$10+M160,L160))</f>
        <v>0</v>
      </c>
      <c r="AJ160" s="68" t="str">
        <f aca="false">IF(OR(Z160="",Z160="Full Amortizing"),"",MAX(J160-AH160,0))</f>
        <v/>
      </c>
      <c r="AK160" s="69" t="n">
        <f aca="false">IF(K160="",0,IF(K160="Floating",IF(P160&lt;&gt;"",MIN(IF(Q160&lt;&gt;"",MAX((Strats!$C$10+Strats!$C$11+M160),Q160),(Strats!$C$10+Strats!$C$11+M160)),P160),IF(Q160&lt;&gt;"",MAX((Strats!$C$10+Strats!$C$11+M160),Q160),(Strats!$C$10+Strats!$C$11+M160))),AI160))</f>
        <v>0</v>
      </c>
      <c r="AL160" s="68" t="str">
        <f aca="false">IF(OR(E160="",E160&lt;&gt;'Deal Strat'!$C$12,R160=""),"",SUMPRODUCT((E$4:E$303='Deal Strat'!$C$12)*(R$4:R$303&gt;R160))+1+SUMPRODUCT((E$4:E$303='Deal Strat'!$C$12)*(R$4:R$303=R160)*(ROW(R$4:R$303)&lt;ROW(R160))))</f>
        <v/>
      </c>
      <c r="AM160" s="68" t="str">
        <f aca="false">IF(R160="","",RANK(R160,$R$4:$R$303,0)+COUNTIF($R$4:R160,R160)-1)</f>
        <v/>
      </c>
      <c r="AN160" s="26" t="n">
        <f aca="false">IF(OR($A160="",$R160=""),0,IF(Deal_Scope="All Deals",1,IF($E160=Deal_Scope,1,0)))</f>
        <v>0</v>
      </c>
      <c r="AO160" s="56" t="n">
        <f aca="false">IF($AN160=0,0,Px_Par)</f>
        <v>0</v>
      </c>
      <c r="AP160" s="70" t="n">
        <f aca="false">IF($H160="",0,MAX(0,($H160-Set_Date)/30.4375))</f>
        <v>0</v>
      </c>
      <c r="AQ160" s="26" t="n">
        <f aca="false">IF(AND(Ext_Flag="Yes",$AA160="Yes"),Ext_Months,0)</f>
        <v>0</v>
      </c>
      <c r="AR160" s="70" t="n">
        <f aca="false">$AP160+$AQ160</f>
        <v>0</v>
      </c>
      <c r="AS160" s="70" t="n">
        <f aca="false">$AR160/12</f>
        <v>0</v>
      </c>
      <c r="AT160" s="70" t="n">
        <f aca="false">IF($AJ160="",0,MAX(0,$AJ160/12))</f>
        <v>0</v>
      </c>
      <c r="AU160" s="70" t="n">
        <f aca="false">MAX(Amort_Min,Amort_Term-$AH160/12)</f>
        <v>30</v>
      </c>
      <c r="AV160" s="70" t="n">
        <f aca="false">MIN($AS160,Hold_Yrs)</f>
        <v>0</v>
      </c>
      <c r="AW160" s="26" t="n">
        <f aca="false">IF($AN160=0,0,CEILING(MAX($AS160,0.0001),1))</f>
        <v>0</v>
      </c>
      <c r="AX160" s="26" t="n">
        <f aca="false">IF(AND($AN160=1,MAX($AS160,0.0001)&lt;=Hold_Yrs),1,0)</f>
        <v>0</v>
      </c>
      <c r="AY160" s="71" t="n">
        <f aca="false">$R160*$AO160</f>
        <v>0</v>
      </c>
      <c r="AZ160" s="71" t="n">
        <f aca="false">$R160*Acc_Int*$AN160</f>
        <v>0</v>
      </c>
      <c r="BA160" s="71" t="n">
        <f aca="false">$AY160*Acq_Cost</f>
        <v>0</v>
      </c>
      <c r="BB160" s="71" t="n">
        <f aca="false">$AY160+$AZ160+$BA160</f>
        <v>0</v>
      </c>
      <c r="BC160" s="71" t="n">
        <f aca="false">IF(Fin_Flag="Yes",$AY160*Adv_Rate,0)</f>
        <v>0</v>
      </c>
      <c r="BD160" s="71" t="n">
        <f aca="false">$BC160*Fin_UpFee</f>
        <v>0</v>
      </c>
      <c r="BE160" s="71" t="n">
        <f aca="false">$BB160-$BC160+$BD160</f>
        <v>0</v>
      </c>
    </row>
    <row r="161" customFormat="false" ht="14.25" hidden="false" customHeight="false" outlineLevel="0" collapsed="false">
      <c r="A161" s="61"/>
      <c r="B161" s="62"/>
      <c r="C161" s="61"/>
      <c r="D161" s="61"/>
      <c r="E161" s="61"/>
      <c r="F161" s="63"/>
      <c r="G161" s="64"/>
      <c r="H161" s="64"/>
      <c r="I161" s="63"/>
      <c r="J161" s="63"/>
      <c r="K161" s="61"/>
      <c r="L161" s="65"/>
      <c r="M161" s="65"/>
      <c r="N161" s="61"/>
      <c r="O161" s="64"/>
      <c r="P161" s="65"/>
      <c r="Q161" s="65"/>
      <c r="R161" s="66"/>
      <c r="S161" s="65"/>
      <c r="T161" s="65"/>
      <c r="U161" s="67"/>
      <c r="V161" s="65"/>
      <c r="W161" s="65"/>
      <c r="X161" s="63"/>
      <c r="Y161" s="63"/>
      <c r="Z161" s="61"/>
      <c r="AA161" s="61"/>
      <c r="AB161" s="61"/>
      <c r="AC161" s="61"/>
      <c r="AD161" s="61"/>
      <c r="AE161" s="61"/>
      <c r="AF161" s="61"/>
      <c r="AG161" s="61"/>
      <c r="AH161" s="68" t="n">
        <f aca="false">IF(G161="",0,ROUND((Strats!$C$4-G161)/30.4375,1))</f>
        <v>0</v>
      </c>
      <c r="AI161" s="69" t="n">
        <f aca="false">IF(K161="",0,IF(K161="Floating",Strats!$C$10+M161,L161))</f>
        <v>0</v>
      </c>
      <c r="AJ161" s="68" t="str">
        <f aca="false">IF(OR(Z161="",Z161="Full Amortizing"),"",MAX(J161-AH161,0))</f>
        <v/>
      </c>
      <c r="AK161" s="69" t="n">
        <f aca="false">IF(K161="",0,IF(K161="Floating",IF(P161&lt;&gt;"",MIN(IF(Q161&lt;&gt;"",MAX((Strats!$C$10+Strats!$C$11+M161),Q161),(Strats!$C$10+Strats!$C$11+M161)),P161),IF(Q161&lt;&gt;"",MAX((Strats!$C$10+Strats!$C$11+M161),Q161),(Strats!$C$10+Strats!$C$11+M161))),AI161))</f>
        <v>0</v>
      </c>
      <c r="AL161" s="68" t="str">
        <f aca="false">IF(OR(E161="",E161&lt;&gt;'Deal Strat'!$C$12,R161=""),"",SUMPRODUCT((E$4:E$303='Deal Strat'!$C$12)*(R$4:R$303&gt;R161))+1+SUMPRODUCT((E$4:E$303='Deal Strat'!$C$12)*(R$4:R$303=R161)*(ROW(R$4:R$303)&lt;ROW(R161))))</f>
        <v/>
      </c>
      <c r="AM161" s="68" t="str">
        <f aca="false">IF(R161="","",RANK(R161,$R$4:$R$303,0)+COUNTIF($R$4:R161,R161)-1)</f>
        <v/>
      </c>
      <c r="AN161" s="26" t="n">
        <f aca="false">IF(OR($A161="",$R161=""),0,IF(Deal_Scope="All Deals",1,IF($E161=Deal_Scope,1,0)))</f>
        <v>0</v>
      </c>
      <c r="AO161" s="56" t="n">
        <f aca="false">IF($AN161=0,0,Px_Par)</f>
        <v>0</v>
      </c>
      <c r="AP161" s="70" t="n">
        <f aca="false">IF($H161="",0,MAX(0,($H161-Set_Date)/30.4375))</f>
        <v>0</v>
      </c>
      <c r="AQ161" s="26" t="n">
        <f aca="false">IF(AND(Ext_Flag="Yes",$AA161="Yes"),Ext_Months,0)</f>
        <v>0</v>
      </c>
      <c r="AR161" s="70" t="n">
        <f aca="false">$AP161+$AQ161</f>
        <v>0</v>
      </c>
      <c r="AS161" s="70" t="n">
        <f aca="false">$AR161/12</f>
        <v>0</v>
      </c>
      <c r="AT161" s="70" t="n">
        <f aca="false">IF($AJ161="",0,MAX(0,$AJ161/12))</f>
        <v>0</v>
      </c>
      <c r="AU161" s="70" t="n">
        <f aca="false">MAX(Amort_Min,Amort_Term-$AH161/12)</f>
        <v>30</v>
      </c>
      <c r="AV161" s="70" t="n">
        <f aca="false">MIN($AS161,Hold_Yrs)</f>
        <v>0</v>
      </c>
      <c r="AW161" s="26" t="n">
        <f aca="false">IF($AN161=0,0,CEILING(MAX($AS161,0.0001),1))</f>
        <v>0</v>
      </c>
      <c r="AX161" s="26" t="n">
        <f aca="false">IF(AND($AN161=1,MAX($AS161,0.0001)&lt;=Hold_Yrs),1,0)</f>
        <v>0</v>
      </c>
      <c r="AY161" s="71" t="n">
        <f aca="false">$R161*$AO161</f>
        <v>0</v>
      </c>
      <c r="AZ161" s="71" t="n">
        <f aca="false">$R161*Acc_Int*$AN161</f>
        <v>0</v>
      </c>
      <c r="BA161" s="71" t="n">
        <f aca="false">$AY161*Acq_Cost</f>
        <v>0</v>
      </c>
      <c r="BB161" s="71" t="n">
        <f aca="false">$AY161+$AZ161+$BA161</f>
        <v>0</v>
      </c>
      <c r="BC161" s="71" t="n">
        <f aca="false">IF(Fin_Flag="Yes",$AY161*Adv_Rate,0)</f>
        <v>0</v>
      </c>
      <c r="BD161" s="71" t="n">
        <f aca="false">$BC161*Fin_UpFee</f>
        <v>0</v>
      </c>
      <c r="BE161" s="71" t="n">
        <f aca="false">$BB161-$BC161+$BD161</f>
        <v>0</v>
      </c>
    </row>
    <row r="162" customFormat="false" ht="14.25" hidden="false" customHeight="false" outlineLevel="0" collapsed="false">
      <c r="A162" s="61"/>
      <c r="B162" s="62"/>
      <c r="C162" s="61"/>
      <c r="D162" s="61"/>
      <c r="E162" s="61"/>
      <c r="F162" s="63"/>
      <c r="G162" s="64"/>
      <c r="H162" s="64"/>
      <c r="I162" s="63"/>
      <c r="J162" s="63"/>
      <c r="K162" s="61"/>
      <c r="L162" s="65"/>
      <c r="M162" s="65"/>
      <c r="N162" s="61"/>
      <c r="O162" s="64"/>
      <c r="P162" s="65"/>
      <c r="Q162" s="65"/>
      <c r="R162" s="66"/>
      <c r="S162" s="65"/>
      <c r="T162" s="65"/>
      <c r="U162" s="67"/>
      <c r="V162" s="65"/>
      <c r="W162" s="65"/>
      <c r="X162" s="63"/>
      <c r="Y162" s="63"/>
      <c r="Z162" s="61"/>
      <c r="AA162" s="61"/>
      <c r="AB162" s="61"/>
      <c r="AC162" s="61"/>
      <c r="AD162" s="61"/>
      <c r="AE162" s="61"/>
      <c r="AF162" s="61"/>
      <c r="AG162" s="61"/>
      <c r="AH162" s="68" t="n">
        <f aca="false">IF(G162="",0,ROUND((Strats!$C$4-G162)/30.4375,1))</f>
        <v>0</v>
      </c>
      <c r="AI162" s="69" t="n">
        <f aca="false">IF(K162="",0,IF(K162="Floating",Strats!$C$10+M162,L162))</f>
        <v>0</v>
      </c>
      <c r="AJ162" s="68" t="str">
        <f aca="false">IF(OR(Z162="",Z162="Full Amortizing"),"",MAX(J162-AH162,0))</f>
        <v/>
      </c>
      <c r="AK162" s="69" t="n">
        <f aca="false">IF(K162="",0,IF(K162="Floating",IF(P162&lt;&gt;"",MIN(IF(Q162&lt;&gt;"",MAX((Strats!$C$10+Strats!$C$11+M162),Q162),(Strats!$C$10+Strats!$C$11+M162)),P162),IF(Q162&lt;&gt;"",MAX((Strats!$C$10+Strats!$C$11+M162),Q162),(Strats!$C$10+Strats!$C$11+M162))),AI162))</f>
        <v>0</v>
      </c>
      <c r="AL162" s="68" t="str">
        <f aca="false">IF(OR(E162="",E162&lt;&gt;'Deal Strat'!$C$12,R162=""),"",SUMPRODUCT((E$4:E$303='Deal Strat'!$C$12)*(R$4:R$303&gt;R162))+1+SUMPRODUCT((E$4:E$303='Deal Strat'!$C$12)*(R$4:R$303=R162)*(ROW(R$4:R$303)&lt;ROW(R162))))</f>
        <v/>
      </c>
      <c r="AM162" s="68" t="str">
        <f aca="false">IF(R162="","",RANK(R162,$R$4:$R$303,0)+COUNTIF($R$4:R162,R162)-1)</f>
        <v/>
      </c>
      <c r="AN162" s="26" t="n">
        <f aca="false">IF(OR($A162="",$R162=""),0,IF(Deal_Scope="All Deals",1,IF($E162=Deal_Scope,1,0)))</f>
        <v>0</v>
      </c>
      <c r="AO162" s="56" t="n">
        <f aca="false">IF($AN162=0,0,Px_Par)</f>
        <v>0</v>
      </c>
      <c r="AP162" s="70" t="n">
        <f aca="false">IF($H162="",0,MAX(0,($H162-Set_Date)/30.4375))</f>
        <v>0</v>
      </c>
      <c r="AQ162" s="26" t="n">
        <f aca="false">IF(AND(Ext_Flag="Yes",$AA162="Yes"),Ext_Months,0)</f>
        <v>0</v>
      </c>
      <c r="AR162" s="70" t="n">
        <f aca="false">$AP162+$AQ162</f>
        <v>0</v>
      </c>
      <c r="AS162" s="70" t="n">
        <f aca="false">$AR162/12</f>
        <v>0</v>
      </c>
      <c r="AT162" s="70" t="n">
        <f aca="false">IF($AJ162="",0,MAX(0,$AJ162/12))</f>
        <v>0</v>
      </c>
      <c r="AU162" s="70" t="n">
        <f aca="false">MAX(Amort_Min,Amort_Term-$AH162/12)</f>
        <v>30</v>
      </c>
      <c r="AV162" s="70" t="n">
        <f aca="false">MIN($AS162,Hold_Yrs)</f>
        <v>0</v>
      </c>
      <c r="AW162" s="26" t="n">
        <f aca="false">IF($AN162=0,0,CEILING(MAX($AS162,0.0001),1))</f>
        <v>0</v>
      </c>
      <c r="AX162" s="26" t="n">
        <f aca="false">IF(AND($AN162=1,MAX($AS162,0.0001)&lt;=Hold_Yrs),1,0)</f>
        <v>0</v>
      </c>
      <c r="AY162" s="71" t="n">
        <f aca="false">$R162*$AO162</f>
        <v>0</v>
      </c>
      <c r="AZ162" s="71" t="n">
        <f aca="false">$R162*Acc_Int*$AN162</f>
        <v>0</v>
      </c>
      <c r="BA162" s="71" t="n">
        <f aca="false">$AY162*Acq_Cost</f>
        <v>0</v>
      </c>
      <c r="BB162" s="71" t="n">
        <f aca="false">$AY162+$AZ162+$BA162</f>
        <v>0</v>
      </c>
      <c r="BC162" s="71" t="n">
        <f aca="false">IF(Fin_Flag="Yes",$AY162*Adv_Rate,0)</f>
        <v>0</v>
      </c>
      <c r="BD162" s="71" t="n">
        <f aca="false">$BC162*Fin_UpFee</f>
        <v>0</v>
      </c>
      <c r="BE162" s="71" t="n">
        <f aca="false">$BB162-$BC162+$BD162</f>
        <v>0</v>
      </c>
    </row>
    <row r="163" customFormat="false" ht="14.25" hidden="false" customHeight="false" outlineLevel="0" collapsed="false">
      <c r="A163" s="61"/>
      <c r="B163" s="62"/>
      <c r="C163" s="61"/>
      <c r="D163" s="61"/>
      <c r="E163" s="61"/>
      <c r="F163" s="63"/>
      <c r="G163" s="64"/>
      <c r="H163" s="64"/>
      <c r="I163" s="63"/>
      <c r="J163" s="63"/>
      <c r="K163" s="61"/>
      <c r="L163" s="65"/>
      <c r="M163" s="65"/>
      <c r="N163" s="61"/>
      <c r="O163" s="64"/>
      <c r="P163" s="65"/>
      <c r="Q163" s="65"/>
      <c r="R163" s="66"/>
      <c r="S163" s="65"/>
      <c r="T163" s="65"/>
      <c r="U163" s="67"/>
      <c r="V163" s="65"/>
      <c r="W163" s="65"/>
      <c r="X163" s="63"/>
      <c r="Y163" s="63"/>
      <c r="Z163" s="61"/>
      <c r="AA163" s="61"/>
      <c r="AB163" s="61"/>
      <c r="AC163" s="61"/>
      <c r="AD163" s="61"/>
      <c r="AE163" s="61"/>
      <c r="AF163" s="61"/>
      <c r="AG163" s="61"/>
      <c r="AH163" s="68" t="n">
        <f aca="false">IF(G163="",0,ROUND((Strats!$C$4-G163)/30.4375,1))</f>
        <v>0</v>
      </c>
      <c r="AI163" s="69" t="n">
        <f aca="false">IF(K163="",0,IF(K163="Floating",Strats!$C$10+M163,L163))</f>
        <v>0</v>
      </c>
      <c r="AJ163" s="68" t="str">
        <f aca="false">IF(OR(Z163="",Z163="Full Amortizing"),"",MAX(J163-AH163,0))</f>
        <v/>
      </c>
      <c r="AK163" s="69" t="n">
        <f aca="false">IF(K163="",0,IF(K163="Floating",IF(P163&lt;&gt;"",MIN(IF(Q163&lt;&gt;"",MAX((Strats!$C$10+Strats!$C$11+M163),Q163),(Strats!$C$10+Strats!$C$11+M163)),P163),IF(Q163&lt;&gt;"",MAX((Strats!$C$10+Strats!$C$11+M163),Q163),(Strats!$C$10+Strats!$C$11+M163))),AI163))</f>
        <v>0</v>
      </c>
      <c r="AL163" s="68" t="str">
        <f aca="false">IF(OR(E163="",E163&lt;&gt;'Deal Strat'!$C$12,R163=""),"",SUMPRODUCT((E$4:E$303='Deal Strat'!$C$12)*(R$4:R$303&gt;R163))+1+SUMPRODUCT((E$4:E$303='Deal Strat'!$C$12)*(R$4:R$303=R163)*(ROW(R$4:R$303)&lt;ROW(R163))))</f>
        <v/>
      </c>
      <c r="AM163" s="68" t="str">
        <f aca="false">IF(R163="","",RANK(R163,$R$4:$R$303,0)+COUNTIF($R$4:R163,R163)-1)</f>
        <v/>
      </c>
      <c r="AN163" s="26" t="n">
        <f aca="false">IF(OR($A163="",$R163=""),0,IF(Deal_Scope="All Deals",1,IF($E163=Deal_Scope,1,0)))</f>
        <v>0</v>
      </c>
      <c r="AO163" s="56" t="n">
        <f aca="false">IF($AN163=0,0,Px_Par)</f>
        <v>0</v>
      </c>
      <c r="AP163" s="70" t="n">
        <f aca="false">IF($H163="",0,MAX(0,($H163-Set_Date)/30.4375))</f>
        <v>0</v>
      </c>
      <c r="AQ163" s="26" t="n">
        <f aca="false">IF(AND(Ext_Flag="Yes",$AA163="Yes"),Ext_Months,0)</f>
        <v>0</v>
      </c>
      <c r="AR163" s="70" t="n">
        <f aca="false">$AP163+$AQ163</f>
        <v>0</v>
      </c>
      <c r="AS163" s="70" t="n">
        <f aca="false">$AR163/12</f>
        <v>0</v>
      </c>
      <c r="AT163" s="70" t="n">
        <f aca="false">IF($AJ163="",0,MAX(0,$AJ163/12))</f>
        <v>0</v>
      </c>
      <c r="AU163" s="70" t="n">
        <f aca="false">MAX(Amort_Min,Amort_Term-$AH163/12)</f>
        <v>30</v>
      </c>
      <c r="AV163" s="70" t="n">
        <f aca="false">MIN($AS163,Hold_Yrs)</f>
        <v>0</v>
      </c>
      <c r="AW163" s="26" t="n">
        <f aca="false">IF($AN163=0,0,CEILING(MAX($AS163,0.0001),1))</f>
        <v>0</v>
      </c>
      <c r="AX163" s="26" t="n">
        <f aca="false">IF(AND($AN163=1,MAX($AS163,0.0001)&lt;=Hold_Yrs),1,0)</f>
        <v>0</v>
      </c>
      <c r="AY163" s="71" t="n">
        <f aca="false">$R163*$AO163</f>
        <v>0</v>
      </c>
      <c r="AZ163" s="71" t="n">
        <f aca="false">$R163*Acc_Int*$AN163</f>
        <v>0</v>
      </c>
      <c r="BA163" s="71" t="n">
        <f aca="false">$AY163*Acq_Cost</f>
        <v>0</v>
      </c>
      <c r="BB163" s="71" t="n">
        <f aca="false">$AY163+$AZ163+$BA163</f>
        <v>0</v>
      </c>
      <c r="BC163" s="71" t="n">
        <f aca="false">IF(Fin_Flag="Yes",$AY163*Adv_Rate,0)</f>
        <v>0</v>
      </c>
      <c r="BD163" s="71" t="n">
        <f aca="false">$BC163*Fin_UpFee</f>
        <v>0</v>
      </c>
      <c r="BE163" s="71" t="n">
        <f aca="false">$BB163-$BC163+$BD163</f>
        <v>0</v>
      </c>
    </row>
    <row r="164" customFormat="false" ht="14.25" hidden="false" customHeight="false" outlineLevel="0" collapsed="false">
      <c r="A164" s="61"/>
      <c r="B164" s="62"/>
      <c r="C164" s="61"/>
      <c r="D164" s="61"/>
      <c r="E164" s="61"/>
      <c r="F164" s="63"/>
      <c r="G164" s="64"/>
      <c r="H164" s="64"/>
      <c r="I164" s="63"/>
      <c r="J164" s="63"/>
      <c r="K164" s="61"/>
      <c r="L164" s="65"/>
      <c r="M164" s="65"/>
      <c r="N164" s="61"/>
      <c r="O164" s="64"/>
      <c r="P164" s="65"/>
      <c r="Q164" s="65"/>
      <c r="R164" s="66"/>
      <c r="S164" s="65"/>
      <c r="T164" s="65"/>
      <c r="U164" s="67"/>
      <c r="V164" s="65"/>
      <c r="W164" s="65"/>
      <c r="X164" s="63"/>
      <c r="Y164" s="63"/>
      <c r="Z164" s="61"/>
      <c r="AA164" s="61"/>
      <c r="AB164" s="61"/>
      <c r="AC164" s="61"/>
      <c r="AD164" s="61"/>
      <c r="AE164" s="61"/>
      <c r="AF164" s="61"/>
      <c r="AG164" s="61"/>
      <c r="AH164" s="68" t="n">
        <f aca="false">IF(G164="",0,ROUND((Strats!$C$4-G164)/30.4375,1))</f>
        <v>0</v>
      </c>
      <c r="AI164" s="69" t="n">
        <f aca="false">IF(K164="",0,IF(K164="Floating",Strats!$C$10+M164,L164))</f>
        <v>0</v>
      </c>
      <c r="AJ164" s="68" t="str">
        <f aca="false">IF(OR(Z164="",Z164="Full Amortizing"),"",MAX(J164-AH164,0))</f>
        <v/>
      </c>
      <c r="AK164" s="69" t="n">
        <f aca="false">IF(K164="",0,IF(K164="Floating",IF(P164&lt;&gt;"",MIN(IF(Q164&lt;&gt;"",MAX((Strats!$C$10+Strats!$C$11+M164),Q164),(Strats!$C$10+Strats!$C$11+M164)),P164),IF(Q164&lt;&gt;"",MAX((Strats!$C$10+Strats!$C$11+M164),Q164),(Strats!$C$10+Strats!$C$11+M164))),AI164))</f>
        <v>0</v>
      </c>
      <c r="AL164" s="68" t="str">
        <f aca="false">IF(OR(E164="",E164&lt;&gt;'Deal Strat'!$C$12,R164=""),"",SUMPRODUCT((E$4:E$303='Deal Strat'!$C$12)*(R$4:R$303&gt;R164))+1+SUMPRODUCT((E$4:E$303='Deal Strat'!$C$12)*(R$4:R$303=R164)*(ROW(R$4:R$303)&lt;ROW(R164))))</f>
        <v/>
      </c>
      <c r="AM164" s="68" t="str">
        <f aca="false">IF(R164="","",RANK(R164,$R$4:$R$303,0)+COUNTIF($R$4:R164,R164)-1)</f>
        <v/>
      </c>
      <c r="AN164" s="26" t="n">
        <f aca="false">IF(OR($A164="",$R164=""),0,IF(Deal_Scope="All Deals",1,IF($E164=Deal_Scope,1,0)))</f>
        <v>0</v>
      </c>
      <c r="AO164" s="56" t="n">
        <f aca="false">IF($AN164=0,0,Px_Par)</f>
        <v>0</v>
      </c>
      <c r="AP164" s="70" t="n">
        <f aca="false">IF($H164="",0,MAX(0,($H164-Set_Date)/30.4375))</f>
        <v>0</v>
      </c>
      <c r="AQ164" s="26" t="n">
        <f aca="false">IF(AND(Ext_Flag="Yes",$AA164="Yes"),Ext_Months,0)</f>
        <v>0</v>
      </c>
      <c r="AR164" s="70" t="n">
        <f aca="false">$AP164+$AQ164</f>
        <v>0</v>
      </c>
      <c r="AS164" s="70" t="n">
        <f aca="false">$AR164/12</f>
        <v>0</v>
      </c>
      <c r="AT164" s="70" t="n">
        <f aca="false">IF($AJ164="",0,MAX(0,$AJ164/12))</f>
        <v>0</v>
      </c>
      <c r="AU164" s="70" t="n">
        <f aca="false">MAX(Amort_Min,Amort_Term-$AH164/12)</f>
        <v>30</v>
      </c>
      <c r="AV164" s="70" t="n">
        <f aca="false">MIN($AS164,Hold_Yrs)</f>
        <v>0</v>
      </c>
      <c r="AW164" s="26" t="n">
        <f aca="false">IF($AN164=0,0,CEILING(MAX($AS164,0.0001),1))</f>
        <v>0</v>
      </c>
      <c r="AX164" s="26" t="n">
        <f aca="false">IF(AND($AN164=1,MAX($AS164,0.0001)&lt;=Hold_Yrs),1,0)</f>
        <v>0</v>
      </c>
      <c r="AY164" s="71" t="n">
        <f aca="false">$R164*$AO164</f>
        <v>0</v>
      </c>
      <c r="AZ164" s="71" t="n">
        <f aca="false">$R164*Acc_Int*$AN164</f>
        <v>0</v>
      </c>
      <c r="BA164" s="71" t="n">
        <f aca="false">$AY164*Acq_Cost</f>
        <v>0</v>
      </c>
      <c r="BB164" s="71" t="n">
        <f aca="false">$AY164+$AZ164+$BA164</f>
        <v>0</v>
      </c>
      <c r="BC164" s="71" t="n">
        <f aca="false">IF(Fin_Flag="Yes",$AY164*Adv_Rate,0)</f>
        <v>0</v>
      </c>
      <c r="BD164" s="71" t="n">
        <f aca="false">$BC164*Fin_UpFee</f>
        <v>0</v>
      </c>
      <c r="BE164" s="71" t="n">
        <f aca="false">$BB164-$BC164+$BD164</f>
        <v>0</v>
      </c>
    </row>
    <row r="165" customFormat="false" ht="14.25" hidden="false" customHeight="false" outlineLevel="0" collapsed="false">
      <c r="A165" s="61"/>
      <c r="B165" s="62"/>
      <c r="C165" s="61"/>
      <c r="D165" s="61"/>
      <c r="E165" s="61"/>
      <c r="F165" s="63"/>
      <c r="G165" s="64"/>
      <c r="H165" s="64"/>
      <c r="I165" s="63"/>
      <c r="J165" s="63"/>
      <c r="K165" s="61"/>
      <c r="L165" s="65"/>
      <c r="M165" s="65"/>
      <c r="N165" s="61"/>
      <c r="O165" s="64"/>
      <c r="P165" s="65"/>
      <c r="Q165" s="65"/>
      <c r="R165" s="66"/>
      <c r="S165" s="65"/>
      <c r="T165" s="65"/>
      <c r="U165" s="67"/>
      <c r="V165" s="65"/>
      <c r="W165" s="65"/>
      <c r="X165" s="63"/>
      <c r="Y165" s="63"/>
      <c r="Z165" s="61"/>
      <c r="AA165" s="61"/>
      <c r="AB165" s="61"/>
      <c r="AC165" s="61"/>
      <c r="AD165" s="61"/>
      <c r="AE165" s="61"/>
      <c r="AF165" s="61"/>
      <c r="AG165" s="61"/>
      <c r="AH165" s="68" t="n">
        <f aca="false">IF(G165="",0,ROUND((Strats!$C$4-G165)/30.4375,1))</f>
        <v>0</v>
      </c>
      <c r="AI165" s="69" t="n">
        <f aca="false">IF(K165="",0,IF(K165="Floating",Strats!$C$10+M165,L165))</f>
        <v>0</v>
      </c>
      <c r="AJ165" s="68" t="str">
        <f aca="false">IF(OR(Z165="",Z165="Full Amortizing"),"",MAX(J165-AH165,0))</f>
        <v/>
      </c>
      <c r="AK165" s="69" t="n">
        <f aca="false">IF(K165="",0,IF(K165="Floating",IF(P165&lt;&gt;"",MIN(IF(Q165&lt;&gt;"",MAX((Strats!$C$10+Strats!$C$11+M165),Q165),(Strats!$C$10+Strats!$C$11+M165)),P165),IF(Q165&lt;&gt;"",MAX((Strats!$C$10+Strats!$C$11+M165),Q165),(Strats!$C$10+Strats!$C$11+M165))),AI165))</f>
        <v>0</v>
      </c>
      <c r="AL165" s="68" t="str">
        <f aca="false">IF(OR(E165="",E165&lt;&gt;'Deal Strat'!$C$12,R165=""),"",SUMPRODUCT((E$4:E$303='Deal Strat'!$C$12)*(R$4:R$303&gt;R165))+1+SUMPRODUCT((E$4:E$303='Deal Strat'!$C$12)*(R$4:R$303=R165)*(ROW(R$4:R$303)&lt;ROW(R165))))</f>
        <v/>
      </c>
      <c r="AM165" s="68" t="str">
        <f aca="false">IF(R165="","",RANK(R165,$R$4:$R$303,0)+COUNTIF($R$4:R165,R165)-1)</f>
        <v/>
      </c>
      <c r="AN165" s="26" t="n">
        <f aca="false">IF(OR($A165="",$R165=""),0,IF(Deal_Scope="All Deals",1,IF($E165=Deal_Scope,1,0)))</f>
        <v>0</v>
      </c>
      <c r="AO165" s="56" t="n">
        <f aca="false">IF($AN165=0,0,Px_Par)</f>
        <v>0</v>
      </c>
      <c r="AP165" s="70" t="n">
        <f aca="false">IF($H165="",0,MAX(0,($H165-Set_Date)/30.4375))</f>
        <v>0</v>
      </c>
      <c r="AQ165" s="26" t="n">
        <f aca="false">IF(AND(Ext_Flag="Yes",$AA165="Yes"),Ext_Months,0)</f>
        <v>0</v>
      </c>
      <c r="AR165" s="70" t="n">
        <f aca="false">$AP165+$AQ165</f>
        <v>0</v>
      </c>
      <c r="AS165" s="70" t="n">
        <f aca="false">$AR165/12</f>
        <v>0</v>
      </c>
      <c r="AT165" s="70" t="n">
        <f aca="false">IF($AJ165="",0,MAX(0,$AJ165/12))</f>
        <v>0</v>
      </c>
      <c r="AU165" s="70" t="n">
        <f aca="false">MAX(Amort_Min,Amort_Term-$AH165/12)</f>
        <v>30</v>
      </c>
      <c r="AV165" s="70" t="n">
        <f aca="false">MIN($AS165,Hold_Yrs)</f>
        <v>0</v>
      </c>
      <c r="AW165" s="26" t="n">
        <f aca="false">IF($AN165=0,0,CEILING(MAX($AS165,0.0001),1))</f>
        <v>0</v>
      </c>
      <c r="AX165" s="26" t="n">
        <f aca="false">IF(AND($AN165=1,MAX($AS165,0.0001)&lt;=Hold_Yrs),1,0)</f>
        <v>0</v>
      </c>
      <c r="AY165" s="71" t="n">
        <f aca="false">$R165*$AO165</f>
        <v>0</v>
      </c>
      <c r="AZ165" s="71" t="n">
        <f aca="false">$R165*Acc_Int*$AN165</f>
        <v>0</v>
      </c>
      <c r="BA165" s="71" t="n">
        <f aca="false">$AY165*Acq_Cost</f>
        <v>0</v>
      </c>
      <c r="BB165" s="71" t="n">
        <f aca="false">$AY165+$AZ165+$BA165</f>
        <v>0</v>
      </c>
      <c r="BC165" s="71" t="n">
        <f aca="false">IF(Fin_Flag="Yes",$AY165*Adv_Rate,0)</f>
        <v>0</v>
      </c>
      <c r="BD165" s="71" t="n">
        <f aca="false">$BC165*Fin_UpFee</f>
        <v>0</v>
      </c>
      <c r="BE165" s="71" t="n">
        <f aca="false">$BB165-$BC165+$BD165</f>
        <v>0</v>
      </c>
    </row>
    <row r="166" customFormat="false" ht="14.25" hidden="false" customHeight="false" outlineLevel="0" collapsed="false">
      <c r="A166" s="61"/>
      <c r="B166" s="62"/>
      <c r="C166" s="61"/>
      <c r="D166" s="61"/>
      <c r="E166" s="61"/>
      <c r="F166" s="63"/>
      <c r="G166" s="64"/>
      <c r="H166" s="64"/>
      <c r="I166" s="63"/>
      <c r="J166" s="63"/>
      <c r="K166" s="61"/>
      <c r="L166" s="65"/>
      <c r="M166" s="65"/>
      <c r="N166" s="61"/>
      <c r="O166" s="64"/>
      <c r="P166" s="65"/>
      <c r="Q166" s="65"/>
      <c r="R166" s="66"/>
      <c r="S166" s="65"/>
      <c r="T166" s="65"/>
      <c r="U166" s="67"/>
      <c r="V166" s="65"/>
      <c r="W166" s="65"/>
      <c r="X166" s="63"/>
      <c r="Y166" s="63"/>
      <c r="Z166" s="61"/>
      <c r="AA166" s="61"/>
      <c r="AB166" s="61"/>
      <c r="AC166" s="61"/>
      <c r="AD166" s="61"/>
      <c r="AE166" s="61"/>
      <c r="AF166" s="61"/>
      <c r="AG166" s="61"/>
      <c r="AH166" s="68" t="n">
        <f aca="false">IF(G166="",0,ROUND((Strats!$C$4-G166)/30.4375,1))</f>
        <v>0</v>
      </c>
      <c r="AI166" s="69" t="n">
        <f aca="false">IF(K166="",0,IF(K166="Floating",Strats!$C$10+M166,L166))</f>
        <v>0</v>
      </c>
      <c r="AJ166" s="68" t="str">
        <f aca="false">IF(OR(Z166="",Z166="Full Amortizing"),"",MAX(J166-AH166,0))</f>
        <v/>
      </c>
      <c r="AK166" s="69" t="n">
        <f aca="false">IF(K166="",0,IF(K166="Floating",IF(P166&lt;&gt;"",MIN(IF(Q166&lt;&gt;"",MAX((Strats!$C$10+Strats!$C$11+M166),Q166),(Strats!$C$10+Strats!$C$11+M166)),P166),IF(Q166&lt;&gt;"",MAX((Strats!$C$10+Strats!$C$11+M166),Q166),(Strats!$C$10+Strats!$C$11+M166))),AI166))</f>
        <v>0</v>
      </c>
      <c r="AL166" s="68" t="str">
        <f aca="false">IF(OR(E166="",E166&lt;&gt;'Deal Strat'!$C$12,R166=""),"",SUMPRODUCT((E$4:E$303='Deal Strat'!$C$12)*(R$4:R$303&gt;R166))+1+SUMPRODUCT((E$4:E$303='Deal Strat'!$C$12)*(R$4:R$303=R166)*(ROW(R$4:R$303)&lt;ROW(R166))))</f>
        <v/>
      </c>
      <c r="AM166" s="68" t="str">
        <f aca="false">IF(R166="","",RANK(R166,$R$4:$R$303,0)+COUNTIF($R$4:R166,R166)-1)</f>
        <v/>
      </c>
      <c r="AN166" s="26" t="n">
        <f aca="false">IF(OR($A166="",$R166=""),0,IF(Deal_Scope="All Deals",1,IF($E166=Deal_Scope,1,0)))</f>
        <v>0</v>
      </c>
      <c r="AO166" s="56" t="n">
        <f aca="false">IF($AN166=0,0,Px_Par)</f>
        <v>0</v>
      </c>
      <c r="AP166" s="70" t="n">
        <f aca="false">IF($H166="",0,MAX(0,($H166-Set_Date)/30.4375))</f>
        <v>0</v>
      </c>
      <c r="AQ166" s="26" t="n">
        <f aca="false">IF(AND(Ext_Flag="Yes",$AA166="Yes"),Ext_Months,0)</f>
        <v>0</v>
      </c>
      <c r="AR166" s="70" t="n">
        <f aca="false">$AP166+$AQ166</f>
        <v>0</v>
      </c>
      <c r="AS166" s="70" t="n">
        <f aca="false">$AR166/12</f>
        <v>0</v>
      </c>
      <c r="AT166" s="70" t="n">
        <f aca="false">IF($AJ166="",0,MAX(0,$AJ166/12))</f>
        <v>0</v>
      </c>
      <c r="AU166" s="70" t="n">
        <f aca="false">MAX(Amort_Min,Amort_Term-$AH166/12)</f>
        <v>30</v>
      </c>
      <c r="AV166" s="70" t="n">
        <f aca="false">MIN($AS166,Hold_Yrs)</f>
        <v>0</v>
      </c>
      <c r="AW166" s="26" t="n">
        <f aca="false">IF($AN166=0,0,CEILING(MAX($AS166,0.0001),1))</f>
        <v>0</v>
      </c>
      <c r="AX166" s="26" t="n">
        <f aca="false">IF(AND($AN166=1,MAX($AS166,0.0001)&lt;=Hold_Yrs),1,0)</f>
        <v>0</v>
      </c>
      <c r="AY166" s="71" t="n">
        <f aca="false">$R166*$AO166</f>
        <v>0</v>
      </c>
      <c r="AZ166" s="71" t="n">
        <f aca="false">$R166*Acc_Int*$AN166</f>
        <v>0</v>
      </c>
      <c r="BA166" s="71" t="n">
        <f aca="false">$AY166*Acq_Cost</f>
        <v>0</v>
      </c>
      <c r="BB166" s="71" t="n">
        <f aca="false">$AY166+$AZ166+$BA166</f>
        <v>0</v>
      </c>
      <c r="BC166" s="71" t="n">
        <f aca="false">IF(Fin_Flag="Yes",$AY166*Adv_Rate,0)</f>
        <v>0</v>
      </c>
      <c r="BD166" s="71" t="n">
        <f aca="false">$BC166*Fin_UpFee</f>
        <v>0</v>
      </c>
      <c r="BE166" s="71" t="n">
        <f aca="false">$BB166-$BC166+$BD166</f>
        <v>0</v>
      </c>
    </row>
    <row r="167" customFormat="false" ht="14.25" hidden="false" customHeight="false" outlineLevel="0" collapsed="false">
      <c r="A167" s="61"/>
      <c r="B167" s="62"/>
      <c r="C167" s="61"/>
      <c r="D167" s="61"/>
      <c r="E167" s="61"/>
      <c r="F167" s="63"/>
      <c r="G167" s="64"/>
      <c r="H167" s="64"/>
      <c r="I167" s="63"/>
      <c r="J167" s="63"/>
      <c r="K167" s="61"/>
      <c r="L167" s="65"/>
      <c r="M167" s="65"/>
      <c r="N167" s="61"/>
      <c r="O167" s="64"/>
      <c r="P167" s="65"/>
      <c r="Q167" s="65"/>
      <c r="R167" s="66"/>
      <c r="S167" s="65"/>
      <c r="T167" s="65"/>
      <c r="U167" s="67"/>
      <c r="V167" s="65"/>
      <c r="W167" s="65"/>
      <c r="X167" s="63"/>
      <c r="Y167" s="63"/>
      <c r="Z167" s="61"/>
      <c r="AA167" s="61"/>
      <c r="AB167" s="61"/>
      <c r="AC167" s="61"/>
      <c r="AD167" s="61"/>
      <c r="AE167" s="61"/>
      <c r="AF167" s="61"/>
      <c r="AG167" s="61"/>
      <c r="AH167" s="68" t="n">
        <f aca="false">IF(G167="",0,ROUND((Strats!$C$4-G167)/30.4375,1))</f>
        <v>0</v>
      </c>
      <c r="AI167" s="69" t="n">
        <f aca="false">IF(K167="",0,IF(K167="Floating",Strats!$C$10+M167,L167))</f>
        <v>0</v>
      </c>
      <c r="AJ167" s="68" t="str">
        <f aca="false">IF(OR(Z167="",Z167="Full Amortizing"),"",MAX(J167-AH167,0))</f>
        <v/>
      </c>
      <c r="AK167" s="69" t="n">
        <f aca="false">IF(K167="",0,IF(K167="Floating",IF(P167&lt;&gt;"",MIN(IF(Q167&lt;&gt;"",MAX((Strats!$C$10+Strats!$C$11+M167),Q167),(Strats!$C$10+Strats!$C$11+M167)),P167),IF(Q167&lt;&gt;"",MAX((Strats!$C$10+Strats!$C$11+M167),Q167),(Strats!$C$10+Strats!$C$11+M167))),AI167))</f>
        <v>0</v>
      </c>
      <c r="AL167" s="68" t="str">
        <f aca="false">IF(OR(E167="",E167&lt;&gt;'Deal Strat'!$C$12,R167=""),"",SUMPRODUCT((E$4:E$303='Deal Strat'!$C$12)*(R$4:R$303&gt;R167))+1+SUMPRODUCT((E$4:E$303='Deal Strat'!$C$12)*(R$4:R$303=R167)*(ROW(R$4:R$303)&lt;ROW(R167))))</f>
        <v/>
      </c>
      <c r="AM167" s="68" t="str">
        <f aca="false">IF(R167="","",RANK(R167,$R$4:$R$303,0)+COUNTIF($R$4:R167,R167)-1)</f>
        <v/>
      </c>
      <c r="AN167" s="26" t="n">
        <f aca="false">IF(OR($A167="",$R167=""),0,IF(Deal_Scope="All Deals",1,IF($E167=Deal_Scope,1,0)))</f>
        <v>0</v>
      </c>
      <c r="AO167" s="56" t="n">
        <f aca="false">IF($AN167=0,0,Px_Par)</f>
        <v>0</v>
      </c>
      <c r="AP167" s="70" t="n">
        <f aca="false">IF($H167="",0,MAX(0,($H167-Set_Date)/30.4375))</f>
        <v>0</v>
      </c>
      <c r="AQ167" s="26" t="n">
        <f aca="false">IF(AND(Ext_Flag="Yes",$AA167="Yes"),Ext_Months,0)</f>
        <v>0</v>
      </c>
      <c r="AR167" s="70" t="n">
        <f aca="false">$AP167+$AQ167</f>
        <v>0</v>
      </c>
      <c r="AS167" s="70" t="n">
        <f aca="false">$AR167/12</f>
        <v>0</v>
      </c>
      <c r="AT167" s="70" t="n">
        <f aca="false">IF($AJ167="",0,MAX(0,$AJ167/12))</f>
        <v>0</v>
      </c>
      <c r="AU167" s="70" t="n">
        <f aca="false">MAX(Amort_Min,Amort_Term-$AH167/12)</f>
        <v>30</v>
      </c>
      <c r="AV167" s="70" t="n">
        <f aca="false">MIN($AS167,Hold_Yrs)</f>
        <v>0</v>
      </c>
      <c r="AW167" s="26" t="n">
        <f aca="false">IF($AN167=0,0,CEILING(MAX($AS167,0.0001),1))</f>
        <v>0</v>
      </c>
      <c r="AX167" s="26" t="n">
        <f aca="false">IF(AND($AN167=1,MAX($AS167,0.0001)&lt;=Hold_Yrs),1,0)</f>
        <v>0</v>
      </c>
      <c r="AY167" s="71" t="n">
        <f aca="false">$R167*$AO167</f>
        <v>0</v>
      </c>
      <c r="AZ167" s="71" t="n">
        <f aca="false">$R167*Acc_Int*$AN167</f>
        <v>0</v>
      </c>
      <c r="BA167" s="71" t="n">
        <f aca="false">$AY167*Acq_Cost</f>
        <v>0</v>
      </c>
      <c r="BB167" s="71" t="n">
        <f aca="false">$AY167+$AZ167+$BA167</f>
        <v>0</v>
      </c>
      <c r="BC167" s="71" t="n">
        <f aca="false">IF(Fin_Flag="Yes",$AY167*Adv_Rate,0)</f>
        <v>0</v>
      </c>
      <c r="BD167" s="71" t="n">
        <f aca="false">$BC167*Fin_UpFee</f>
        <v>0</v>
      </c>
      <c r="BE167" s="71" t="n">
        <f aca="false">$BB167-$BC167+$BD167</f>
        <v>0</v>
      </c>
    </row>
    <row r="168" customFormat="false" ht="14.25" hidden="false" customHeight="false" outlineLevel="0" collapsed="false">
      <c r="A168" s="61"/>
      <c r="B168" s="62"/>
      <c r="C168" s="61"/>
      <c r="D168" s="61"/>
      <c r="E168" s="61"/>
      <c r="F168" s="63"/>
      <c r="G168" s="64"/>
      <c r="H168" s="64"/>
      <c r="I168" s="63"/>
      <c r="J168" s="63"/>
      <c r="K168" s="61"/>
      <c r="L168" s="65"/>
      <c r="M168" s="65"/>
      <c r="N168" s="61"/>
      <c r="O168" s="64"/>
      <c r="P168" s="65"/>
      <c r="Q168" s="65"/>
      <c r="R168" s="66"/>
      <c r="S168" s="65"/>
      <c r="T168" s="65"/>
      <c r="U168" s="67"/>
      <c r="V168" s="65"/>
      <c r="W168" s="65"/>
      <c r="X168" s="63"/>
      <c r="Y168" s="63"/>
      <c r="Z168" s="61"/>
      <c r="AA168" s="61"/>
      <c r="AB168" s="61"/>
      <c r="AC168" s="61"/>
      <c r="AD168" s="61"/>
      <c r="AE168" s="61"/>
      <c r="AF168" s="61"/>
      <c r="AG168" s="61"/>
      <c r="AH168" s="68" t="n">
        <f aca="false">IF(G168="",0,ROUND((Strats!$C$4-G168)/30.4375,1))</f>
        <v>0</v>
      </c>
      <c r="AI168" s="69" t="n">
        <f aca="false">IF(K168="",0,IF(K168="Floating",Strats!$C$10+M168,L168))</f>
        <v>0</v>
      </c>
      <c r="AJ168" s="68" t="str">
        <f aca="false">IF(OR(Z168="",Z168="Full Amortizing"),"",MAX(J168-AH168,0))</f>
        <v/>
      </c>
      <c r="AK168" s="69" t="n">
        <f aca="false">IF(K168="",0,IF(K168="Floating",IF(P168&lt;&gt;"",MIN(IF(Q168&lt;&gt;"",MAX((Strats!$C$10+Strats!$C$11+M168),Q168),(Strats!$C$10+Strats!$C$11+M168)),P168),IF(Q168&lt;&gt;"",MAX((Strats!$C$10+Strats!$C$11+M168),Q168),(Strats!$C$10+Strats!$C$11+M168))),AI168))</f>
        <v>0</v>
      </c>
      <c r="AL168" s="68" t="str">
        <f aca="false">IF(OR(E168="",E168&lt;&gt;'Deal Strat'!$C$12,R168=""),"",SUMPRODUCT((E$4:E$303='Deal Strat'!$C$12)*(R$4:R$303&gt;R168))+1+SUMPRODUCT((E$4:E$303='Deal Strat'!$C$12)*(R$4:R$303=R168)*(ROW(R$4:R$303)&lt;ROW(R168))))</f>
        <v/>
      </c>
      <c r="AM168" s="68" t="str">
        <f aca="false">IF(R168="","",RANK(R168,$R$4:$R$303,0)+COUNTIF($R$4:R168,R168)-1)</f>
        <v/>
      </c>
      <c r="AN168" s="26" t="n">
        <f aca="false">IF(OR($A168="",$R168=""),0,IF(Deal_Scope="All Deals",1,IF($E168=Deal_Scope,1,0)))</f>
        <v>0</v>
      </c>
      <c r="AO168" s="56" t="n">
        <f aca="false">IF($AN168=0,0,Px_Par)</f>
        <v>0</v>
      </c>
      <c r="AP168" s="70" t="n">
        <f aca="false">IF($H168="",0,MAX(0,($H168-Set_Date)/30.4375))</f>
        <v>0</v>
      </c>
      <c r="AQ168" s="26" t="n">
        <f aca="false">IF(AND(Ext_Flag="Yes",$AA168="Yes"),Ext_Months,0)</f>
        <v>0</v>
      </c>
      <c r="AR168" s="70" t="n">
        <f aca="false">$AP168+$AQ168</f>
        <v>0</v>
      </c>
      <c r="AS168" s="70" t="n">
        <f aca="false">$AR168/12</f>
        <v>0</v>
      </c>
      <c r="AT168" s="70" t="n">
        <f aca="false">IF($AJ168="",0,MAX(0,$AJ168/12))</f>
        <v>0</v>
      </c>
      <c r="AU168" s="70" t="n">
        <f aca="false">MAX(Amort_Min,Amort_Term-$AH168/12)</f>
        <v>30</v>
      </c>
      <c r="AV168" s="70" t="n">
        <f aca="false">MIN($AS168,Hold_Yrs)</f>
        <v>0</v>
      </c>
      <c r="AW168" s="26" t="n">
        <f aca="false">IF($AN168=0,0,CEILING(MAX($AS168,0.0001),1))</f>
        <v>0</v>
      </c>
      <c r="AX168" s="26" t="n">
        <f aca="false">IF(AND($AN168=1,MAX($AS168,0.0001)&lt;=Hold_Yrs),1,0)</f>
        <v>0</v>
      </c>
      <c r="AY168" s="71" t="n">
        <f aca="false">$R168*$AO168</f>
        <v>0</v>
      </c>
      <c r="AZ168" s="71" t="n">
        <f aca="false">$R168*Acc_Int*$AN168</f>
        <v>0</v>
      </c>
      <c r="BA168" s="71" t="n">
        <f aca="false">$AY168*Acq_Cost</f>
        <v>0</v>
      </c>
      <c r="BB168" s="71" t="n">
        <f aca="false">$AY168+$AZ168+$BA168</f>
        <v>0</v>
      </c>
      <c r="BC168" s="71" t="n">
        <f aca="false">IF(Fin_Flag="Yes",$AY168*Adv_Rate,0)</f>
        <v>0</v>
      </c>
      <c r="BD168" s="71" t="n">
        <f aca="false">$BC168*Fin_UpFee</f>
        <v>0</v>
      </c>
      <c r="BE168" s="71" t="n">
        <f aca="false">$BB168-$BC168+$BD168</f>
        <v>0</v>
      </c>
    </row>
    <row r="169" customFormat="false" ht="14.25" hidden="false" customHeight="false" outlineLevel="0" collapsed="false">
      <c r="A169" s="61"/>
      <c r="B169" s="62"/>
      <c r="C169" s="61"/>
      <c r="D169" s="61"/>
      <c r="E169" s="61"/>
      <c r="F169" s="63"/>
      <c r="G169" s="64"/>
      <c r="H169" s="64"/>
      <c r="I169" s="63"/>
      <c r="J169" s="63"/>
      <c r="K169" s="61"/>
      <c r="L169" s="65"/>
      <c r="M169" s="65"/>
      <c r="N169" s="61"/>
      <c r="O169" s="64"/>
      <c r="P169" s="65"/>
      <c r="Q169" s="65"/>
      <c r="R169" s="66"/>
      <c r="S169" s="65"/>
      <c r="T169" s="65"/>
      <c r="U169" s="67"/>
      <c r="V169" s="65"/>
      <c r="W169" s="65"/>
      <c r="X169" s="63"/>
      <c r="Y169" s="63"/>
      <c r="Z169" s="61"/>
      <c r="AA169" s="61"/>
      <c r="AB169" s="61"/>
      <c r="AC169" s="61"/>
      <c r="AD169" s="61"/>
      <c r="AE169" s="61"/>
      <c r="AF169" s="61"/>
      <c r="AG169" s="61"/>
      <c r="AH169" s="68" t="n">
        <f aca="false">IF(G169="",0,ROUND((Strats!$C$4-G169)/30.4375,1))</f>
        <v>0</v>
      </c>
      <c r="AI169" s="69" t="n">
        <f aca="false">IF(K169="",0,IF(K169="Floating",Strats!$C$10+M169,L169))</f>
        <v>0</v>
      </c>
      <c r="AJ169" s="68" t="str">
        <f aca="false">IF(OR(Z169="",Z169="Full Amortizing"),"",MAX(J169-AH169,0))</f>
        <v/>
      </c>
      <c r="AK169" s="69" t="n">
        <f aca="false">IF(K169="",0,IF(K169="Floating",IF(P169&lt;&gt;"",MIN(IF(Q169&lt;&gt;"",MAX((Strats!$C$10+Strats!$C$11+M169),Q169),(Strats!$C$10+Strats!$C$11+M169)),P169),IF(Q169&lt;&gt;"",MAX((Strats!$C$10+Strats!$C$11+M169),Q169),(Strats!$C$10+Strats!$C$11+M169))),AI169))</f>
        <v>0</v>
      </c>
      <c r="AL169" s="68" t="str">
        <f aca="false">IF(OR(E169="",E169&lt;&gt;'Deal Strat'!$C$12,R169=""),"",SUMPRODUCT((E$4:E$303='Deal Strat'!$C$12)*(R$4:R$303&gt;R169))+1+SUMPRODUCT((E$4:E$303='Deal Strat'!$C$12)*(R$4:R$303=R169)*(ROW(R$4:R$303)&lt;ROW(R169))))</f>
        <v/>
      </c>
      <c r="AM169" s="68" t="str">
        <f aca="false">IF(R169="","",RANK(R169,$R$4:$R$303,0)+COUNTIF($R$4:R169,R169)-1)</f>
        <v/>
      </c>
      <c r="AN169" s="26" t="n">
        <f aca="false">IF(OR($A169="",$R169=""),0,IF(Deal_Scope="All Deals",1,IF($E169=Deal_Scope,1,0)))</f>
        <v>0</v>
      </c>
      <c r="AO169" s="56" t="n">
        <f aca="false">IF($AN169=0,0,Px_Par)</f>
        <v>0</v>
      </c>
      <c r="AP169" s="70" t="n">
        <f aca="false">IF($H169="",0,MAX(0,($H169-Set_Date)/30.4375))</f>
        <v>0</v>
      </c>
      <c r="AQ169" s="26" t="n">
        <f aca="false">IF(AND(Ext_Flag="Yes",$AA169="Yes"),Ext_Months,0)</f>
        <v>0</v>
      </c>
      <c r="AR169" s="70" t="n">
        <f aca="false">$AP169+$AQ169</f>
        <v>0</v>
      </c>
      <c r="AS169" s="70" t="n">
        <f aca="false">$AR169/12</f>
        <v>0</v>
      </c>
      <c r="AT169" s="70" t="n">
        <f aca="false">IF($AJ169="",0,MAX(0,$AJ169/12))</f>
        <v>0</v>
      </c>
      <c r="AU169" s="70" t="n">
        <f aca="false">MAX(Amort_Min,Amort_Term-$AH169/12)</f>
        <v>30</v>
      </c>
      <c r="AV169" s="70" t="n">
        <f aca="false">MIN($AS169,Hold_Yrs)</f>
        <v>0</v>
      </c>
      <c r="AW169" s="26" t="n">
        <f aca="false">IF($AN169=0,0,CEILING(MAX($AS169,0.0001),1))</f>
        <v>0</v>
      </c>
      <c r="AX169" s="26" t="n">
        <f aca="false">IF(AND($AN169=1,MAX($AS169,0.0001)&lt;=Hold_Yrs),1,0)</f>
        <v>0</v>
      </c>
      <c r="AY169" s="71" t="n">
        <f aca="false">$R169*$AO169</f>
        <v>0</v>
      </c>
      <c r="AZ169" s="71" t="n">
        <f aca="false">$R169*Acc_Int*$AN169</f>
        <v>0</v>
      </c>
      <c r="BA169" s="71" t="n">
        <f aca="false">$AY169*Acq_Cost</f>
        <v>0</v>
      </c>
      <c r="BB169" s="71" t="n">
        <f aca="false">$AY169+$AZ169+$BA169</f>
        <v>0</v>
      </c>
      <c r="BC169" s="71" t="n">
        <f aca="false">IF(Fin_Flag="Yes",$AY169*Adv_Rate,0)</f>
        <v>0</v>
      </c>
      <c r="BD169" s="71" t="n">
        <f aca="false">$BC169*Fin_UpFee</f>
        <v>0</v>
      </c>
      <c r="BE169" s="71" t="n">
        <f aca="false">$BB169-$BC169+$BD169</f>
        <v>0</v>
      </c>
    </row>
    <row r="170" customFormat="false" ht="14.25" hidden="false" customHeight="false" outlineLevel="0" collapsed="false">
      <c r="A170" s="61"/>
      <c r="B170" s="62"/>
      <c r="C170" s="61"/>
      <c r="D170" s="61"/>
      <c r="E170" s="61"/>
      <c r="F170" s="63"/>
      <c r="G170" s="64"/>
      <c r="H170" s="64"/>
      <c r="I170" s="63"/>
      <c r="J170" s="63"/>
      <c r="K170" s="61"/>
      <c r="L170" s="65"/>
      <c r="M170" s="65"/>
      <c r="N170" s="61"/>
      <c r="O170" s="64"/>
      <c r="P170" s="65"/>
      <c r="Q170" s="65"/>
      <c r="R170" s="66"/>
      <c r="S170" s="65"/>
      <c r="T170" s="65"/>
      <c r="U170" s="67"/>
      <c r="V170" s="65"/>
      <c r="W170" s="65"/>
      <c r="X170" s="63"/>
      <c r="Y170" s="63"/>
      <c r="Z170" s="61"/>
      <c r="AA170" s="61"/>
      <c r="AB170" s="61"/>
      <c r="AC170" s="61"/>
      <c r="AD170" s="61"/>
      <c r="AE170" s="61"/>
      <c r="AF170" s="61"/>
      <c r="AG170" s="61"/>
      <c r="AH170" s="68" t="n">
        <f aca="false">IF(G170="",0,ROUND((Strats!$C$4-G170)/30.4375,1))</f>
        <v>0</v>
      </c>
      <c r="AI170" s="69" t="n">
        <f aca="false">IF(K170="",0,IF(K170="Floating",Strats!$C$10+M170,L170))</f>
        <v>0</v>
      </c>
      <c r="AJ170" s="68" t="str">
        <f aca="false">IF(OR(Z170="",Z170="Full Amortizing"),"",MAX(J170-AH170,0))</f>
        <v/>
      </c>
      <c r="AK170" s="69" t="n">
        <f aca="false">IF(K170="",0,IF(K170="Floating",IF(P170&lt;&gt;"",MIN(IF(Q170&lt;&gt;"",MAX((Strats!$C$10+Strats!$C$11+M170),Q170),(Strats!$C$10+Strats!$C$11+M170)),P170),IF(Q170&lt;&gt;"",MAX((Strats!$C$10+Strats!$C$11+M170),Q170),(Strats!$C$10+Strats!$C$11+M170))),AI170))</f>
        <v>0</v>
      </c>
      <c r="AL170" s="68" t="str">
        <f aca="false">IF(OR(E170="",E170&lt;&gt;'Deal Strat'!$C$12,R170=""),"",SUMPRODUCT((E$4:E$303='Deal Strat'!$C$12)*(R$4:R$303&gt;R170))+1+SUMPRODUCT((E$4:E$303='Deal Strat'!$C$12)*(R$4:R$303=R170)*(ROW(R$4:R$303)&lt;ROW(R170))))</f>
        <v/>
      </c>
      <c r="AM170" s="68" t="str">
        <f aca="false">IF(R170="","",RANK(R170,$R$4:$R$303,0)+COUNTIF($R$4:R170,R170)-1)</f>
        <v/>
      </c>
      <c r="AN170" s="26" t="n">
        <f aca="false">IF(OR($A170="",$R170=""),0,IF(Deal_Scope="All Deals",1,IF($E170=Deal_Scope,1,0)))</f>
        <v>0</v>
      </c>
      <c r="AO170" s="56" t="n">
        <f aca="false">IF($AN170=0,0,Px_Par)</f>
        <v>0</v>
      </c>
      <c r="AP170" s="70" t="n">
        <f aca="false">IF($H170="",0,MAX(0,($H170-Set_Date)/30.4375))</f>
        <v>0</v>
      </c>
      <c r="AQ170" s="26" t="n">
        <f aca="false">IF(AND(Ext_Flag="Yes",$AA170="Yes"),Ext_Months,0)</f>
        <v>0</v>
      </c>
      <c r="AR170" s="70" t="n">
        <f aca="false">$AP170+$AQ170</f>
        <v>0</v>
      </c>
      <c r="AS170" s="70" t="n">
        <f aca="false">$AR170/12</f>
        <v>0</v>
      </c>
      <c r="AT170" s="70" t="n">
        <f aca="false">IF($AJ170="",0,MAX(0,$AJ170/12))</f>
        <v>0</v>
      </c>
      <c r="AU170" s="70" t="n">
        <f aca="false">MAX(Amort_Min,Amort_Term-$AH170/12)</f>
        <v>30</v>
      </c>
      <c r="AV170" s="70" t="n">
        <f aca="false">MIN($AS170,Hold_Yrs)</f>
        <v>0</v>
      </c>
      <c r="AW170" s="26" t="n">
        <f aca="false">IF($AN170=0,0,CEILING(MAX($AS170,0.0001),1))</f>
        <v>0</v>
      </c>
      <c r="AX170" s="26" t="n">
        <f aca="false">IF(AND($AN170=1,MAX($AS170,0.0001)&lt;=Hold_Yrs),1,0)</f>
        <v>0</v>
      </c>
      <c r="AY170" s="71" t="n">
        <f aca="false">$R170*$AO170</f>
        <v>0</v>
      </c>
      <c r="AZ170" s="71" t="n">
        <f aca="false">$R170*Acc_Int*$AN170</f>
        <v>0</v>
      </c>
      <c r="BA170" s="71" t="n">
        <f aca="false">$AY170*Acq_Cost</f>
        <v>0</v>
      </c>
      <c r="BB170" s="71" t="n">
        <f aca="false">$AY170+$AZ170+$BA170</f>
        <v>0</v>
      </c>
      <c r="BC170" s="71" t="n">
        <f aca="false">IF(Fin_Flag="Yes",$AY170*Adv_Rate,0)</f>
        <v>0</v>
      </c>
      <c r="BD170" s="71" t="n">
        <f aca="false">$BC170*Fin_UpFee</f>
        <v>0</v>
      </c>
      <c r="BE170" s="71" t="n">
        <f aca="false">$BB170-$BC170+$BD170</f>
        <v>0</v>
      </c>
    </row>
    <row r="171" customFormat="false" ht="14.25" hidden="false" customHeight="false" outlineLevel="0" collapsed="false">
      <c r="A171" s="61"/>
      <c r="B171" s="62"/>
      <c r="C171" s="61"/>
      <c r="D171" s="61"/>
      <c r="E171" s="61"/>
      <c r="F171" s="63"/>
      <c r="G171" s="64"/>
      <c r="H171" s="64"/>
      <c r="I171" s="63"/>
      <c r="J171" s="63"/>
      <c r="K171" s="61"/>
      <c r="L171" s="65"/>
      <c r="M171" s="65"/>
      <c r="N171" s="61"/>
      <c r="O171" s="64"/>
      <c r="P171" s="65"/>
      <c r="Q171" s="65"/>
      <c r="R171" s="66"/>
      <c r="S171" s="65"/>
      <c r="T171" s="65"/>
      <c r="U171" s="67"/>
      <c r="V171" s="65"/>
      <c r="W171" s="65"/>
      <c r="X171" s="63"/>
      <c r="Y171" s="63"/>
      <c r="Z171" s="61"/>
      <c r="AA171" s="61"/>
      <c r="AB171" s="61"/>
      <c r="AC171" s="61"/>
      <c r="AD171" s="61"/>
      <c r="AE171" s="61"/>
      <c r="AF171" s="61"/>
      <c r="AG171" s="61"/>
      <c r="AH171" s="68" t="n">
        <f aca="false">IF(G171="",0,ROUND((Strats!$C$4-G171)/30.4375,1))</f>
        <v>0</v>
      </c>
      <c r="AI171" s="69" t="n">
        <f aca="false">IF(K171="",0,IF(K171="Floating",Strats!$C$10+M171,L171))</f>
        <v>0</v>
      </c>
      <c r="AJ171" s="68" t="str">
        <f aca="false">IF(OR(Z171="",Z171="Full Amortizing"),"",MAX(J171-AH171,0))</f>
        <v/>
      </c>
      <c r="AK171" s="69" t="n">
        <f aca="false">IF(K171="",0,IF(K171="Floating",IF(P171&lt;&gt;"",MIN(IF(Q171&lt;&gt;"",MAX((Strats!$C$10+Strats!$C$11+M171),Q171),(Strats!$C$10+Strats!$C$11+M171)),P171),IF(Q171&lt;&gt;"",MAX((Strats!$C$10+Strats!$C$11+M171),Q171),(Strats!$C$10+Strats!$C$11+M171))),AI171))</f>
        <v>0</v>
      </c>
      <c r="AL171" s="68" t="str">
        <f aca="false">IF(OR(E171="",E171&lt;&gt;'Deal Strat'!$C$12,R171=""),"",SUMPRODUCT((E$4:E$303='Deal Strat'!$C$12)*(R$4:R$303&gt;R171))+1+SUMPRODUCT((E$4:E$303='Deal Strat'!$C$12)*(R$4:R$303=R171)*(ROW(R$4:R$303)&lt;ROW(R171))))</f>
        <v/>
      </c>
      <c r="AM171" s="68" t="str">
        <f aca="false">IF(R171="","",RANK(R171,$R$4:$R$303,0)+COUNTIF($R$4:R171,R171)-1)</f>
        <v/>
      </c>
      <c r="AN171" s="26" t="n">
        <f aca="false">IF(OR($A171="",$R171=""),0,IF(Deal_Scope="All Deals",1,IF($E171=Deal_Scope,1,0)))</f>
        <v>0</v>
      </c>
      <c r="AO171" s="56" t="n">
        <f aca="false">IF($AN171=0,0,Px_Par)</f>
        <v>0</v>
      </c>
      <c r="AP171" s="70" t="n">
        <f aca="false">IF($H171="",0,MAX(0,($H171-Set_Date)/30.4375))</f>
        <v>0</v>
      </c>
      <c r="AQ171" s="26" t="n">
        <f aca="false">IF(AND(Ext_Flag="Yes",$AA171="Yes"),Ext_Months,0)</f>
        <v>0</v>
      </c>
      <c r="AR171" s="70" t="n">
        <f aca="false">$AP171+$AQ171</f>
        <v>0</v>
      </c>
      <c r="AS171" s="70" t="n">
        <f aca="false">$AR171/12</f>
        <v>0</v>
      </c>
      <c r="AT171" s="70" t="n">
        <f aca="false">IF($AJ171="",0,MAX(0,$AJ171/12))</f>
        <v>0</v>
      </c>
      <c r="AU171" s="70" t="n">
        <f aca="false">MAX(Amort_Min,Amort_Term-$AH171/12)</f>
        <v>30</v>
      </c>
      <c r="AV171" s="70" t="n">
        <f aca="false">MIN($AS171,Hold_Yrs)</f>
        <v>0</v>
      </c>
      <c r="AW171" s="26" t="n">
        <f aca="false">IF($AN171=0,0,CEILING(MAX($AS171,0.0001),1))</f>
        <v>0</v>
      </c>
      <c r="AX171" s="26" t="n">
        <f aca="false">IF(AND($AN171=1,MAX($AS171,0.0001)&lt;=Hold_Yrs),1,0)</f>
        <v>0</v>
      </c>
      <c r="AY171" s="71" t="n">
        <f aca="false">$R171*$AO171</f>
        <v>0</v>
      </c>
      <c r="AZ171" s="71" t="n">
        <f aca="false">$R171*Acc_Int*$AN171</f>
        <v>0</v>
      </c>
      <c r="BA171" s="71" t="n">
        <f aca="false">$AY171*Acq_Cost</f>
        <v>0</v>
      </c>
      <c r="BB171" s="71" t="n">
        <f aca="false">$AY171+$AZ171+$BA171</f>
        <v>0</v>
      </c>
      <c r="BC171" s="71" t="n">
        <f aca="false">IF(Fin_Flag="Yes",$AY171*Adv_Rate,0)</f>
        <v>0</v>
      </c>
      <c r="BD171" s="71" t="n">
        <f aca="false">$BC171*Fin_UpFee</f>
        <v>0</v>
      </c>
      <c r="BE171" s="71" t="n">
        <f aca="false">$BB171-$BC171+$BD171</f>
        <v>0</v>
      </c>
    </row>
    <row r="172" customFormat="false" ht="14.25" hidden="false" customHeight="false" outlineLevel="0" collapsed="false">
      <c r="A172" s="61"/>
      <c r="B172" s="62"/>
      <c r="C172" s="61"/>
      <c r="D172" s="61"/>
      <c r="E172" s="61"/>
      <c r="F172" s="63"/>
      <c r="G172" s="64"/>
      <c r="H172" s="64"/>
      <c r="I172" s="63"/>
      <c r="J172" s="63"/>
      <c r="K172" s="61"/>
      <c r="L172" s="65"/>
      <c r="M172" s="65"/>
      <c r="N172" s="61"/>
      <c r="O172" s="64"/>
      <c r="P172" s="65"/>
      <c r="Q172" s="65"/>
      <c r="R172" s="66"/>
      <c r="S172" s="65"/>
      <c r="T172" s="65"/>
      <c r="U172" s="67"/>
      <c r="V172" s="65"/>
      <c r="W172" s="65"/>
      <c r="X172" s="63"/>
      <c r="Y172" s="63"/>
      <c r="Z172" s="61"/>
      <c r="AA172" s="61"/>
      <c r="AB172" s="61"/>
      <c r="AC172" s="61"/>
      <c r="AD172" s="61"/>
      <c r="AE172" s="61"/>
      <c r="AF172" s="61"/>
      <c r="AG172" s="61"/>
      <c r="AH172" s="68" t="n">
        <f aca="false">IF(G172="",0,ROUND((Strats!$C$4-G172)/30.4375,1))</f>
        <v>0</v>
      </c>
      <c r="AI172" s="69" t="n">
        <f aca="false">IF(K172="",0,IF(K172="Floating",Strats!$C$10+M172,L172))</f>
        <v>0</v>
      </c>
      <c r="AJ172" s="68" t="str">
        <f aca="false">IF(OR(Z172="",Z172="Full Amortizing"),"",MAX(J172-AH172,0))</f>
        <v/>
      </c>
      <c r="AK172" s="69" t="n">
        <f aca="false">IF(K172="",0,IF(K172="Floating",IF(P172&lt;&gt;"",MIN(IF(Q172&lt;&gt;"",MAX((Strats!$C$10+Strats!$C$11+M172),Q172),(Strats!$C$10+Strats!$C$11+M172)),P172),IF(Q172&lt;&gt;"",MAX((Strats!$C$10+Strats!$C$11+M172),Q172),(Strats!$C$10+Strats!$C$11+M172))),AI172))</f>
        <v>0</v>
      </c>
      <c r="AL172" s="68" t="str">
        <f aca="false">IF(OR(E172="",E172&lt;&gt;'Deal Strat'!$C$12,R172=""),"",SUMPRODUCT((E$4:E$303='Deal Strat'!$C$12)*(R$4:R$303&gt;R172))+1+SUMPRODUCT((E$4:E$303='Deal Strat'!$C$12)*(R$4:R$303=R172)*(ROW(R$4:R$303)&lt;ROW(R172))))</f>
        <v/>
      </c>
      <c r="AM172" s="68" t="str">
        <f aca="false">IF(R172="","",RANK(R172,$R$4:$R$303,0)+COUNTIF($R$4:R172,R172)-1)</f>
        <v/>
      </c>
      <c r="AN172" s="26" t="n">
        <f aca="false">IF(OR($A172="",$R172=""),0,IF(Deal_Scope="All Deals",1,IF($E172=Deal_Scope,1,0)))</f>
        <v>0</v>
      </c>
      <c r="AO172" s="56" t="n">
        <f aca="false">IF($AN172=0,0,Px_Par)</f>
        <v>0</v>
      </c>
      <c r="AP172" s="70" t="n">
        <f aca="false">IF($H172="",0,MAX(0,($H172-Set_Date)/30.4375))</f>
        <v>0</v>
      </c>
      <c r="AQ172" s="26" t="n">
        <f aca="false">IF(AND(Ext_Flag="Yes",$AA172="Yes"),Ext_Months,0)</f>
        <v>0</v>
      </c>
      <c r="AR172" s="70" t="n">
        <f aca="false">$AP172+$AQ172</f>
        <v>0</v>
      </c>
      <c r="AS172" s="70" t="n">
        <f aca="false">$AR172/12</f>
        <v>0</v>
      </c>
      <c r="AT172" s="70" t="n">
        <f aca="false">IF($AJ172="",0,MAX(0,$AJ172/12))</f>
        <v>0</v>
      </c>
      <c r="AU172" s="70" t="n">
        <f aca="false">MAX(Amort_Min,Amort_Term-$AH172/12)</f>
        <v>30</v>
      </c>
      <c r="AV172" s="70" t="n">
        <f aca="false">MIN($AS172,Hold_Yrs)</f>
        <v>0</v>
      </c>
      <c r="AW172" s="26" t="n">
        <f aca="false">IF($AN172=0,0,CEILING(MAX($AS172,0.0001),1))</f>
        <v>0</v>
      </c>
      <c r="AX172" s="26" t="n">
        <f aca="false">IF(AND($AN172=1,MAX($AS172,0.0001)&lt;=Hold_Yrs),1,0)</f>
        <v>0</v>
      </c>
      <c r="AY172" s="71" t="n">
        <f aca="false">$R172*$AO172</f>
        <v>0</v>
      </c>
      <c r="AZ172" s="71" t="n">
        <f aca="false">$R172*Acc_Int*$AN172</f>
        <v>0</v>
      </c>
      <c r="BA172" s="71" t="n">
        <f aca="false">$AY172*Acq_Cost</f>
        <v>0</v>
      </c>
      <c r="BB172" s="71" t="n">
        <f aca="false">$AY172+$AZ172+$BA172</f>
        <v>0</v>
      </c>
      <c r="BC172" s="71" t="n">
        <f aca="false">IF(Fin_Flag="Yes",$AY172*Adv_Rate,0)</f>
        <v>0</v>
      </c>
      <c r="BD172" s="71" t="n">
        <f aca="false">$BC172*Fin_UpFee</f>
        <v>0</v>
      </c>
      <c r="BE172" s="71" t="n">
        <f aca="false">$BB172-$BC172+$BD172</f>
        <v>0</v>
      </c>
    </row>
    <row r="173" customFormat="false" ht="14.25" hidden="false" customHeight="false" outlineLevel="0" collapsed="false">
      <c r="A173" s="61"/>
      <c r="B173" s="62"/>
      <c r="C173" s="61"/>
      <c r="D173" s="61"/>
      <c r="E173" s="61"/>
      <c r="F173" s="63"/>
      <c r="G173" s="64"/>
      <c r="H173" s="64"/>
      <c r="I173" s="63"/>
      <c r="J173" s="63"/>
      <c r="K173" s="61"/>
      <c r="L173" s="65"/>
      <c r="M173" s="65"/>
      <c r="N173" s="61"/>
      <c r="O173" s="64"/>
      <c r="P173" s="65"/>
      <c r="Q173" s="65"/>
      <c r="R173" s="66"/>
      <c r="S173" s="65"/>
      <c r="T173" s="65"/>
      <c r="U173" s="67"/>
      <c r="V173" s="65"/>
      <c r="W173" s="65"/>
      <c r="X173" s="63"/>
      <c r="Y173" s="63"/>
      <c r="Z173" s="61"/>
      <c r="AA173" s="61"/>
      <c r="AB173" s="61"/>
      <c r="AC173" s="61"/>
      <c r="AD173" s="61"/>
      <c r="AE173" s="61"/>
      <c r="AF173" s="61"/>
      <c r="AG173" s="61"/>
      <c r="AH173" s="68" t="n">
        <f aca="false">IF(G173="",0,ROUND((Strats!$C$4-G173)/30.4375,1))</f>
        <v>0</v>
      </c>
      <c r="AI173" s="69" t="n">
        <f aca="false">IF(K173="",0,IF(K173="Floating",Strats!$C$10+M173,L173))</f>
        <v>0</v>
      </c>
      <c r="AJ173" s="68" t="str">
        <f aca="false">IF(OR(Z173="",Z173="Full Amortizing"),"",MAX(J173-AH173,0))</f>
        <v/>
      </c>
      <c r="AK173" s="69" t="n">
        <f aca="false">IF(K173="",0,IF(K173="Floating",IF(P173&lt;&gt;"",MIN(IF(Q173&lt;&gt;"",MAX((Strats!$C$10+Strats!$C$11+M173),Q173),(Strats!$C$10+Strats!$C$11+M173)),P173),IF(Q173&lt;&gt;"",MAX((Strats!$C$10+Strats!$C$11+M173),Q173),(Strats!$C$10+Strats!$C$11+M173))),AI173))</f>
        <v>0</v>
      </c>
      <c r="AL173" s="68" t="str">
        <f aca="false">IF(OR(E173="",E173&lt;&gt;'Deal Strat'!$C$12,R173=""),"",SUMPRODUCT((E$4:E$303='Deal Strat'!$C$12)*(R$4:R$303&gt;R173))+1+SUMPRODUCT((E$4:E$303='Deal Strat'!$C$12)*(R$4:R$303=R173)*(ROW(R$4:R$303)&lt;ROW(R173))))</f>
        <v/>
      </c>
      <c r="AM173" s="68" t="str">
        <f aca="false">IF(R173="","",RANK(R173,$R$4:$R$303,0)+COUNTIF($R$4:R173,R173)-1)</f>
        <v/>
      </c>
      <c r="AN173" s="26" t="n">
        <f aca="false">IF(OR($A173="",$R173=""),0,IF(Deal_Scope="All Deals",1,IF($E173=Deal_Scope,1,0)))</f>
        <v>0</v>
      </c>
      <c r="AO173" s="56" t="n">
        <f aca="false">IF($AN173=0,0,Px_Par)</f>
        <v>0</v>
      </c>
      <c r="AP173" s="70" t="n">
        <f aca="false">IF($H173="",0,MAX(0,($H173-Set_Date)/30.4375))</f>
        <v>0</v>
      </c>
      <c r="AQ173" s="26" t="n">
        <f aca="false">IF(AND(Ext_Flag="Yes",$AA173="Yes"),Ext_Months,0)</f>
        <v>0</v>
      </c>
      <c r="AR173" s="70" t="n">
        <f aca="false">$AP173+$AQ173</f>
        <v>0</v>
      </c>
      <c r="AS173" s="70" t="n">
        <f aca="false">$AR173/12</f>
        <v>0</v>
      </c>
      <c r="AT173" s="70" t="n">
        <f aca="false">IF($AJ173="",0,MAX(0,$AJ173/12))</f>
        <v>0</v>
      </c>
      <c r="AU173" s="70" t="n">
        <f aca="false">MAX(Amort_Min,Amort_Term-$AH173/12)</f>
        <v>30</v>
      </c>
      <c r="AV173" s="70" t="n">
        <f aca="false">MIN($AS173,Hold_Yrs)</f>
        <v>0</v>
      </c>
      <c r="AW173" s="26" t="n">
        <f aca="false">IF($AN173=0,0,CEILING(MAX($AS173,0.0001),1))</f>
        <v>0</v>
      </c>
      <c r="AX173" s="26" t="n">
        <f aca="false">IF(AND($AN173=1,MAX($AS173,0.0001)&lt;=Hold_Yrs),1,0)</f>
        <v>0</v>
      </c>
      <c r="AY173" s="71" t="n">
        <f aca="false">$R173*$AO173</f>
        <v>0</v>
      </c>
      <c r="AZ173" s="71" t="n">
        <f aca="false">$R173*Acc_Int*$AN173</f>
        <v>0</v>
      </c>
      <c r="BA173" s="71" t="n">
        <f aca="false">$AY173*Acq_Cost</f>
        <v>0</v>
      </c>
      <c r="BB173" s="71" t="n">
        <f aca="false">$AY173+$AZ173+$BA173</f>
        <v>0</v>
      </c>
      <c r="BC173" s="71" t="n">
        <f aca="false">IF(Fin_Flag="Yes",$AY173*Adv_Rate,0)</f>
        <v>0</v>
      </c>
      <c r="BD173" s="71" t="n">
        <f aca="false">$BC173*Fin_UpFee</f>
        <v>0</v>
      </c>
      <c r="BE173" s="71" t="n">
        <f aca="false">$BB173-$BC173+$BD173</f>
        <v>0</v>
      </c>
    </row>
    <row r="174" customFormat="false" ht="14.25" hidden="false" customHeight="false" outlineLevel="0" collapsed="false">
      <c r="A174" s="61"/>
      <c r="B174" s="62"/>
      <c r="C174" s="61"/>
      <c r="D174" s="61"/>
      <c r="E174" s="61"/>
      <c r="F174" s="63"/>
      <c r="G174" s="64"/>
      <c r="H174" s="64"/>
      <c r="I174" s="63"/>
      <c r="J174" s="63"/>
      <c r="K174" s="61"/>
      <c r="L174" s="65"/>
      <c r="M174" s="65"/>
      <c r="N174" s="61"/>
      <c r="O174" s="64"/>
      <c r="P174" s="65"/>
      <c r="Q174" s="65"/>
      <c r="R174" s="66"/>
      <c r="S174" s="65"/>
      <c r="T174" s="65"/>
      <c r="U174" s="67"/>
      <c r="V174" s="65"/>
      <c r="W174" s="65"/>
      <c r="X174" s="63"/>
      <c r="Y174" s="63"/>
      <c r="Z174" s="61"/>
      <c r="AA174" s="61"/>
      <c r="AB174" s="61"/>
      <c r="AC174" s="61"/>
      <c r="AD174" s="61"/>
      <c r="AE174" s="61"/>
      <c r="AF174" s="61"/>
      <c r="AG174" s="61"/>
      <c r="AH174" s="68" t="n">
        <f aca="false">IF(G174="",0,ROUND((Strats!$C$4-G174)/30.4375,1))</f>
        <v>0</v>
      </c>
      <c r="AI174" s="69" t="n">
        <f aca="false">IF(K174="",0,IF(K174="Floating",Strats!$C$10+M174,L174))</f>
        <v>0</v>
      </c>
      <c r="AJ174" s="68" t="str">
        <f aca="false">IF(OR(Z174="",Z174="Full Amortizing"),"",MAX(J174-AH174,0))</f>
        <v/>
      </c>
      <c r="AK174" s="69" t="n">
        <f aca="false">IF(K174="",0,IF(K174="Floating",IF(P174&lt;&gt;"",MIN(IF(Q174&lt;&gt;"",MAX((Strats!$C$10+Strats!$C$11+M174),Q174),(Strats!$C$10+Strats!$C$11+M174)),P174),IF(Q174&lt;&gt;"",MAX((Strats!$C$10+Strats!$C$11+M174),Q174),(Strats!$C$10+Strats!$C$11+M174))),AI174))</f>
        <v>0</v>
      </c>
      <c r="AL174" s="68" t="str">
        <f aca="false">IF(OR(E174="",E174&lt;&gt;'Deal Strat'!$C$12,R174=""),"",SUMPRODUCT((E$4:E$303='Deal Strat'!$C$12)*(R$4:R$303&gt;R174))+1+SUMPRODUCT((E$4:E$303='Deal Strat'!$C$12)*(R$4:R$303=R174)*(ROW(R$4:R$303)&lt;ROW(R174))))</f>
        <v/>
      </c>
      <c r="AM174" s="68" t="str">
        <f aca="false">IF(R174="","",RANK(R174,$R$4:$R$303,0)+COUNTIF($R$4:R174,R174)-1)</f>
        <v/>
      </c>
      <c r="AN174" s="26" t="n">
        <f aca="false">IF(OR($A174="",$R174=""),0,IF(Deal_Scope="All Deals",1,IF($E174=Deal_Scope,1,0)))</f>
        <v>0</v>
      </c>
      <c r="AO174" s="56" t="n">
        <f aca="false">IF($AN174=0,0,Px_Par)</f>
        <v>0</v>
      </c>
      <c r="AP174" s="70" t="n">
        <f aca="false">IF($H174="",0,MAX(0,($H174-Set_Date)/30.4375))</f>
        <v>0</v>
      </c>
      <c r="AQ174" s="26" t="n">
        <f aca="false">IF(AND(Ext_Flag="Yes",$AA174="Yes"),Ext_Months,0)</f>
        <v>0</v>
      </c>
      <c r="AR174" s="70" t="n">
        <f aca="false">$AP174+$AQ174</f>
        <v>0</v>
      </c>
      <c r="AS174" s="70" t="n">
        <f aca="false">$AR174/12</f>
        <v>0</v>
      </c>
      <c r="AT174" s="70" t="n">
        <f aca="false">IF($AJ174="",0,MAX(0,$AJ174/12))</f>
        <v>0</v>
      </c>
      <c r="AU174" s="70" t="n">
        <f aca="false">MAX(Amort_Min,Amort_Term-$AH174/12)</f>
        <v>30</v>
      </c>
      <c r="AV174" s="70" t="n">
        <f aca="false">MIN($AS174,Hold_Yrs)</f>
        <v>0</v>
      </c>
      <c r="AW174" s="26" t="n">
        <f aca="false">IF($AN174=0,0,CEILING(MAX($AS174,0.0001),1))</f>
        <v>0</v>
      </c>
      <c r="AX174" s="26" t="n">
        <f aca="false">IF(AND($AN174=1,MAX($AS174,0.0001)&lt;=Hold_Yrs),1,0)</f>
        <v>0</v>
      </c>
      <c r="AY174" s="71" t="n">
        <f aca="false">$R174*$AO174</f>
        <v>0</v>
      </c>
      <c r="AZ174" s="71" t="n">
        <f aca="false">$R174*Acc_Int*$AN174</f>
        <v>0</v>
      </c>
      <c r="BA174" s="71" t="n">
        <f aca="false">$AY174*Acq_Cost</f>
        <v>0</v>
      </c>
      <c r="BB174" s="71" t="n">
        <f aca="false">$AY174+$AZ174+$BA174</f>
        <v>0</v>
      </c>
      <c r="BC174" s="71" t="n">
        <f aca="false">IF(Fin_Flag="Yes",$AY174*Adv_Rate,0)</f>
        <v>0</v>
      </c>
      <c r="BD174" s="71" t="n">
        <f aca="false">$BC174*Fin_UpFee</f>
        <v>0</v>
      </c>
      <c r="BE174" s="71" t="n">
        <f aca="false">$BB174-$BC174+$BD174</f>
        <v>0</v>
      </c>
    </row>
    <row r="175" customFormat="false" ht="14.25" hidden="false" customHeight="false" outlineLevel="0" collapsed="false">
      <c r="A175" s="61"/>
      <c r="B175" s="62"/>
      <c r="C175" s="61"/>
      <c r="D175" s="61"/>
      <c r="E175" s="61"/>
      <c r="F175" s="63"/>
      <c r="G175" s="64"/>
      <c r="H175" s="64"/>
      <c r="I175" s="63"/>
      <c r="J175" s="63"/>
      <c r="K175" s="61"/>
      <c r="L175" s="65"/>
      <c r="M175" s="65"/>
      <c r="N175" s="61"/>
      <c r="O175" s="64"/>
      <c r="P175" s="65"/>
      <c r="Q175" s="65"/>
      <c r="R175" s="66"/>
      <c r="S175" s="65"/>
      <c r="T175" s="65"/>
      <c r="U175" s="67"/>
      <c r="V175" s="65"/>
      <c r="W175" s="65"/>
      <c r="X175" s="63"/>
      <c r="Y175" s="63"/>
      <c r="Z175" s="61"/>
      <c r="AA175" s="61"/>
      <c r="AB175" s="61"/>
      <c r="AC175" s="61"/>
      <c r="AD175" s="61"/>
      <c r="AE175" s="61"/>
      <c r="AF175" s="61"/>
      <c r="AG175" s="61"/>
      <c r="AH175" s="68" t="n">
        <f aca="false">IF(G175="",0,ROUND((Strats!$C$4-G175)/30.4375,1))</f>
        <v>0</v>
      </c>
      <c r="AI175" s="69" t="n">
        <f aca="false">IF(K175="",0,IF(K175="Floating",Strats!$C$10+M175,L175))</f>
        <v>0</v>
      </c>
      <c r="AJ175" s="68" t="str">
        <f aca="false">IF(OR(Z175="",Z175="Full Amortizing"),"",MAX(J175-AH175,0))</f>
        <v/>
      </c>
      <c r="AK175" s="69" t="n">
        <f aca="false">IF(K175="",0,IF(K175="Floating",IF(P175&lt;&gt;"",MIN(IF(Q175&lt;&gt;"",MAX((Strats!$C$10+Strats!$C$11+M175),Q175),(Strats!$C$10+Strats!$C$11+M175)),P175),IF(Q175&lt;&gt;"",MAX((Strats!$C$10+Strats!$C$11+M175),Q175),(Strats!$C$10+Strats!$C$11+M175))),AI175))</f>
        <v>0</v>
      </c>
      <c r="AL175" s="68" t="str">
        <f aca="false">IF(OR(E175="",E175&lt;&gt;'Deal Strat'!$C$12,R175=""),"",SUMPRODUCT((E$4:E$303='Deal Strat'!$C$12)*(R$4:R$303&gt;R175))+1+SUMPRODUCT((E$4:E$303='Deal Strat'!$C$12)*(R$4:R$303=R175)*(ROW(R$4:R$303)&lt;ROW(R175))))</f>
        <v/>
      </c>
      <c r="AM175" s="68" t="str">
        <f aca="false">IF(R175="","",RANK(R175,$R$4:$R$303,0)+COUNTIF($R$4:R175,R175)-1)</f>
        <v/>
      </c>
      <c r="AN175" s="26" t="n">
        <f aca="false">IF(OR($A175="",$R175=""),0,IF(Deal_Scope="All Deals",1,IF($E175=Deal_Scope,1,0)))</f>
        <v>0</v>
      </c>
      <c r="AO175" s="56" t="n">
        <f aca="false">IF($AN175=0,0,Px_Par)</f>
        <v>0</v>
      </c>
      <c r="AP175" s="70" t="n">
        <f aca="false">IF($H175="",0,MAX(0,($H175-Set_Date)/30.4375))</f>
        <v>0</v>
      </c>
      <c r="AQ175" s="26" t="n">
        <f aca="false">IF(AND(Ext_Flag="Yes",$AA175="Yes"),Ext_Months,0)</f>
        <v>0</v>
      </c>
      <c r="AR175" s="70" t="n">
        <f aca="false">$AP175+$AQ175</f>
        <v>0</v>
      </c>
      <c r="AS175" s="70" t="n">
        <f aca="false">$AR175/12</f>
        <v>0</v>
      </c>
      <c r="AT175" s="70" t="n">
        <f aca="false">IF($AJ175="",0,MAX(0,$AJ175/12))</f>
        <v>0</v>
      </c>
      <c r="AU175" s="70" t="n">
        <f aca="false">MAX(Amort_Min,Amort_Term-$AH175/12)</f>
        <v>30</v>
      </c>
      <c r="AV175" s="70" t="n">
        <f aca="false">MIN($AS175,Hold_Yrs)</f>
        <v>0</v>
      </c>
      <c r="AW175" s="26" t="n">
        <f aca="false">IF($AN175=0,0,CEILING(MAX($AS175,0.0001),1))</f>
        <v>0</v>
      </c>
      <c r="AX175" s="26" t="n">
        <f aca="false">IF(AND($AN175=1,MAX($AS175,0.0001)&lt;=Hold_Yrs),1,0)</f>
        <v>0</v>
      </c>
      <c r="AY175" s="71" t="n">
        <f aca="false">$R175*$AO175</f>
        <v>0</v>
      </c>
      <c r="AZ175" s="71" t="n">
        <f aca="false">$R175*Acc_Int*$AN175</f>
        <v>0</v>
      </c>
      <c r="BA175" s="71" t="n">
        <f aca="false">$AY175*Acq_Cost</f>
        <v>0</v>
      </c>
      <c r="BB175" s="71" t="n">
        <f aca="false">$AY175+$AZ175+$BA175</f>
        <v>0</v>
      </c>
      <c r="BC175" s="71" t="n">
        <f aca="false">IF(Fin_Flag="Yes",$AY175*Adv_Rate,0)</f>
        <v>0</v>
      </c>
      <c r="BD175" s="71" t="n">
        <f aca="false">$BC175*Fin_UpFee</f>
        <v>0</v>
      </c>
      <c r="BE175" s="71" t="n">
        <f aca="false">$BB175-$BC175+$BD175</f>
        <v>0</v>
      </c>
    </row>
    <row r="176" customFormat="false" ht="14.25" hidden="false" customHeight="false" outlineLevel="0" collapsed="false">
      <c r="A176" s="61"/>
      <c r="B176" s="62"/>
      <c r="C176" s="61"/>
      <c r="D176" s="61"/>
      <c r="E176" s="61"/>
      <c r="F176" s="63"/>
      <c r="G176" s="64"/>
      <c r="H176" s="64"/>
      <c r="I176" s="63"/>
      <c r="J176" s="63"/>
      <c r="K176" s="61"/>
      <c r="L176" s="65"/>
      <c r="M176" s="65"/>
      <c r="N176" s="61"/>
      <c r="O176" s="64"/>
      <c r="P176" s="65"/>
      <c r="Q176" s="65"/>
      <c r="R176" s="66"/>
      <c r="S176" s="65"/>
      <c r="T176" s="65"/>
      <c r="U176" s="67"/>
      <c r="V176" s="65"/>
      <c r="W176" s="65"/>
      <c r="X176" s="63"/>
      <c r="Y176" s="63"/>
      <c r="Z176" s="61"/>
      <c r="AA176" s="61"/>
      <c r="AB176" s="61"/>
      <c r="AC176" s="61"/>
      <c r="AD176" s="61"/>
      <c r="AE176" s="61"/>
      <c r="AF176" s="61"/>
      <c r="AG176" s="61"/>
      <c r="AH176" s="68" t="n">
        <f aca="false">IF(G176="",0,ROUND((Strats!$C$4-G176)/30.4375,1))</f>
        <v>0</v>
      </c>
      <c r="AI176" s="69" t="n">
        <f aca="false">IF(K176="",0,IF(K176="Floating",Strats!$C$10+M176,L176))</f>
        <v>0</v>
      </c>
      <c r="AJ176" s="68" t="str">
        <f aca="false">IF(OR(Z176="",Z176="Full Amortizing"),"",MAX(J176-AH176,0))</f>
        <v/>
      </c>
      <c r="AK176" s="69" t="n">
        <f aca="false">IF(K176="",0,IF(K176="Floating",IF(P176&lt;&gt;"",MIN(IF(Q176&lt;&gt;"",MAX((Strats!$C$10+Strats!$C$11+M176),Q176),(Strats!$C$10+Strats!$C$11+M176)),P176),IF(Q176&lt;&gt;"",MAX((Strats!$C$10+Strats!$C$11+M176),Q176),(Strats!$C$10+Strats!$C$11+M176))),AI176))</f>
        <v>0</v>
      </c>
      <c r="AL176" s="68" t="str">
        <f aca="false">IF(OR(E176="",E176&lt;&gt;'Deal Strat'!$C$12,R176=""),"",SUMPRODUCT((E$4:E$303='Deal Strat'!$C$12)*(R$4:R$303&gt;R176))+1+SUMPRODUCT((E$4:E$303='Deal Strat'!$C$12)*(R$4:R$303=R176)*(ROW(R$4:R$303)&lt;ROW(R176))))</f>
        <v/>
      </c>
      <c r="AM176" s="68" t="str">
        <f aca="false">IF(R176="","",RANK(R176,$R$4:$R$303,0)+COUNTIF($R$4:R176,R176)-1)</f>
        <v/>
      </c>
      <c r="AN176" s="26" t="n">
        <f aca="false">IF(OR($A176="",$R176=""),0,IF(Deal_Scope="All Deals",1,IF($E176=Deal_Scope,1,0)))</f>
        <v>0</v>
      </c>
      <c r="AO176" s="56" t="n">
        <f aca="false">IF($AN176=0,0,Px_Par)</f>
        <v>0</v>
      </c>
      <c r="AP176" s="70" t="n">
        <f aca="false">IF($H176="",0,MAX(0,($H176-Set_Date)/30.4375))</f>
        <v>0</v>
      </c>
      <c r="AQ176" s="26" t="n">
        <f aca="false">IF(AND(Ext_Flag="Yes",$AA176="Yes"),Ext_Months,0)</f>
        <v>0</v>
      </c>
      <c r="AR176" s="70" t="n">
        <f aca="false">$AP176+$AQ176</f>
        <v>0</v>
      </c>
      <c r="AS176" s="70" t="n">
        <f aca="false">$AR176/12</f>
        <v>0</v>
      </c>
      <c r="AT176" s="70" t="n">
        <f aca="false">IF($AJ176="",0,MAX(0,$AJ176/12))</f>
        <v>0</v>
      </c>
      <c r="AU176" s="70" t="n">
        <f aca="false">MAX(Amort_Min,Amort_Term-$AH176/12)</f>
        <v>30</v>
      </c>
      <c r="AV176" s="70" t="n">
        <f aca="false">MIN($AS176,Hold_Yrs)</f>
        <v>0</v>
      </c>
      <c r="AW176" s="26" t="n">
        <f aca="false">IF($AN176=0,0,CEILING(MAX($AS176,0.0001),1))</f>
        <v>0</v>
      </c>
      <c r="AX176" s="26" t="n">
        <f aca="false">IF(AND($AN176=1,MAX($AS176,0.0001)&lt;=Hold_Yrs),1,0)</f>
        <v>0</v>
      </c>
      <c r="AY176" s="71" t="n">
        <f aca="false">$R176*$AO176</f>
        <v>0</v>
      </c>
      <c r="AZ176" s="71" t="n">
        <f aca="false">$R176*Acc_Int*$AN176</f>
        <v>0</v>
      </c>
      <c r="BA176" s="71" t="n">
        <f aca="false">$AY176*Acq_Cost</f>
        <v>0</v>
      </c>
      <c r="BB176" s="71" t="n">
        <f aca="false">$AY176+$AZ176+$BA176</f>
        <v>0</v>
      </c>
      <c r="BC176" s="71" t="n">
        <f aca="false">IF(Fin_Flag="Yes",$AY176*Adv_Rate,0)</f>
        <v>0</v>
      </c>
      <c r="BD176" s="71" t="n">
        <f aca="false">$BC176*Fin_UpFee</f>
        <v>0</v>
      </c>
      <c r="BE176" s="71" t="n">
        <f aca="false">$BB176-$BC176+$BD176</f>
        <v>0</v>
      </c>
    </row>
    <row r="177" customFormat="false" ht="14.25" hidden="false" customHeight="false" outlineLevel="0" collapsed="false">
      <c r="A177" s="61"/>
      <c r="B177" s="62"/>
      <c r="C177" s="61"/>
      <c r="D177" s="61"/>
      <c r="E177" s="61"/>
      <c r="F177" s="63"/>
      <c r="G177" s="64"/>
      <c r="H177" s="64"/>
      <c r="I177" s="63"/>
      <c r="J177" s="63"/>
      <c r="K177" s="61"/>
      <c r="L177" s="65"/>
      <c r="M177" s="65"/>
      <c r="N177" s="61"/>
      <c r="O177" s="64"/>
      <c r="P177" s="65"/>
      <c r="Q177" s="65"/>
      <c r="R177" s="66"/>
      <c r="S177" s="65"/>
      <c r="T177" s="65"/>
      <c r="U177" s="67"/>
      <c r="V177" s="65"/>
      <c r="W177" s="65"/>
      <c r="X177" s="63"/>
      <c r="Y177" s="63"/>
      <c r="Z177" s="61"/>
      <c r="AA177" s="61"/>
      <c r="AB177" s="61"/>
      <c r="AC177" s="61"/>
      <c r="AD177" s="61"/>
      <c r="AE177" s="61"/>
      <c r="AF177" s="61"/>
      <c r="AG177" s="61"/>
      <c r="AH177" s="68" t="n">
        <f aca="false">IF(G177="",0,ROUND((Strats!$C$4-G177)/30.4375,1))</f>
        <v>0</v>
      </c>
      <c r="AI177" s="69" t="n">
        <f aca="false">IF(K177="",0,IF(K177="Floating",Strats!$C$10+M177,L177))</f>
        <v>0</v>
      </c>
      <c r="AJ177" s="68" t="str">
        <f aca="false">IF(OR(Z177="",Z177="Full Amortizing"),"",MAX(J177-AH177,0))</f>
        <v/>
      </c>
      <c r="AK177" s="69" t="n">
        <f aca="false">IF(K177="",0,IF(K177="Floating",IF(P177&lt;&gt;"",MIN(IF(Q177&lt;&gt;"",MAX((Strats!$C$10+Strats!$C$11+M177),Q177),(Strats!$C$10+Strats!$C$11+M177)),P177),IF(Q177&lt;&gt;"",MAX((Strats!$C$10+Strats!$C$11+M177),Q177),(Strats!$C$10+Strats!$C$11+M177))),AI177))</f>
        <v>0</v>
      </c>
      <c r="AL177" s="68" t="str">
        <f aca="false">IF(OR(E177="",E177&lt;&gt;'Deal Strat'!$C$12,R177=""),"",SUMPRODUCT((E$4:E$303='Deal Strat'!$C$12)*(R$4:R$303&gt;R177))+1+SUMPRODUCT((E$4:E$303='Deal Strat'!$C$12)*(R$4:R$303=R177)*(ROW(R$4:R$303)&lt;ROW(R177))))</f>
        <v/>
      </c>
      <c r="AM177" s="68" t="str">
        <f aca="false">IF(R177="","",RANK(R177,$R$4:$R$303,0)+COUNTIF($R$4:R177,R177)-1)</f>
        <v/>
      </c>
      <c r="AN177" s="26" t="n">
        <f aca="false">IF(OR($A177="",$R177=""),0,IF(Deal_Scope="All Deals",1,IF($E177=Deal_Scope,1,0)))</f>
        <v>0</v>
      </c>
      <c r="AO177" s="56" t="n">
        <f aca="false">IF($AN177=0,0,Px_Par)</f>
        <v>0</v>
      </c>
      <c r="AP177" s="70" t="n">
        <f aca="false">IF($H177="",0,MAX(0,($H177-Set_Date)/30.4375))</f>
        <v>0</v>
      </c>
      <c r="AQ177" s="26" t="n">
        <f aca="false">IF(AND(Ext_Flag="Yes",$AA177="Yes"),Ext_Months,0)</f>
        <v>0</v>
      </c>
      <c r="AR177" s="70" t="n">
        <f aca="false">$AP177+$AQ177</f>
        <v>0</v>
      </c>
      <c r="AS177" s="70" t="n">
        <f aca="false">$AR177/12</f>
        <v>0</v>
      </c>
      <c r="AT177" s="70" t="n">
        <f aca="false">IF($AJ177="",0,MAX(0,$AJ177/12))</f>
        <v>0</v>
      </c>
      <c r="AU177" s="70" t="n">
        <f aca="false">MAX(Amort_Min,Amort_Term-$AH177/12)</f>
        <v>30</v>
      </c>
      <c r="AV177" s="70" t="n">
        <f aca="false">MIN($AS177,Hold_Yrs)</f>
        <v>0</v>
      </c>
      <c r="AW177" s="26" t="n">
        <f aca="false">IF($AN177=0,0,CEILING(MAX($AS177,0.0001),1))</f>
        <v>0</v>
      </c>
      <c r="AX177" s="26" t="n">
        <f aca="false">IF(AND($AN177=1,MAX($AS177,0.0001)&lt;=Hold_Yrs),1,0)</f>
        <v>0</v>
      </c>
      <c r="AY177" s="71" t="n">
        <f aca="false">$R177*$AO177</f>
        <v>0</v>
      </c>
      <c r="AZ177" s="71" t="n">
        <f aca="false">$R177*Acc_Int*$AN177</f>
        <v>0</v>
      </c>
      <c r="BA177" s="71" t="n">
        <f aca="false">$AY177*Acq_Cost</f>
        <v>0</v>
      </c>
      <c r="BB177" s="71" t="n">
        <f aca="false">$AY177+$AZ177+$BA177</f>
        <v>0</v>
      </c>
      <c r="BC177" s="71" t="n">
        <f aca="false">IF(Fin_Flag="Yes",$AY177*Adv_Rate,0)</f>
        <v>0</v>
      </c>
      <c r="BD177" s="71" t="n">
        <f aca="false">$BC177*Fin_UpFee</f>
        <v>0</v>
      </c>
      <c r="BE177" s="71" t="n">
        <f aca="false">$BB177-$BC177+$BD177</f>
        <v>0</v>
      </c>
    </row>
    <row r="178" customFormat="false" ht="14.25" hidden="false" customHeight="false" outlineLevel="0" collapsed="false">
      <c r="A178" s="61"/>
      <c r="B178" s="62"/>
      <c r="C178" s="61"/>
      <c r="D178" s="61"/>
      <c r="E178" s="61"/>
      <c r="F178" s="63"/>
      <c r="G178" s="64"/>
      <c r="H178" s="64"/>
      <c r="I178" s="63"/>
      <c r="J178" s="63"/>
      <c r="K178" s="61"/>
      <c r="L178" s="65"/>
      <c r="M178" s="65"/>
      <c r="N178" s="61"/>
      <c r="O178" s="64"/>
      <c r="P178" s="65"/>
      <c r="Q178" s="65"/>
      <c r="R178" s="66"/>
      <c r="S178" s="65"/>
      <c r="T178" s="65"/>
      <c r="U178" s="67"/>
      <c r="V178" s="65"/>
      <c r="W178" s="65"/>
      <c r="X178" s="63"/>
      <c r="Y178" s="63"/>
      <c r="Z178" s="61"/>
      <c r="AA178" s="61"/>
      <c r="AB178" s="61"/>
      <c r="AC178" s="61"/>
      <c r="AD178" s="61"/>
      <c r="AE178" s="61"/>
      <c r="AF178" s="61"/>
      <c r="AG178" s="61"/>
      <c r="AH178" s="68" t="n">
        <f aca="false">IF(G178="",0,ROUND((Strats!$C$4-G178)/30.4375,1))</f>
        <v>0</v>
      </c>
      <c r="AI178" s="69" t="n">
        <f aca="false">IF(K178="",0,IF(K178="Floating",Strats!$C$10+M178,L178))</f>
        <v>0</v>
      </c>
      <c r="AJ178" s="68" t="str">
        <f aca="false">IF(OR(Z178="",Z178="Full Amortizing"),"",MAX(J178-AH178,0))</f>
        <v/>
      </c>
      <c r="AK178" s="69" t="n">
        <f aca="false">IF(K178="",0,IF(K178="Floating",IF(P178&lt;&gt;"",MIN(IF(Q178&lt;&gt;"",MAX((Strats!$C$10+Strats!$C$11+M178),Q178),(Strats!$C$10+Strats!$C$11+M178)),P178),IF(Q178&lt;&gt;"",MAX((Strats!$C$10+Strats!$C$11+M178),Q178),(Strats!$C$10+Strats!$C$11+M178))),AI178))</f>
        <v>0</v>
      </c>
      <c r="AL178" s="68" t="str">
        <f aca="false">IF(OR(E178="",E178&lt;&gt;'Deal Strat'!$C$12,R178=""),"",SUMPRODUCT((E$4:E$303='Deal Strat'!$C$12)*(R$4:R$303&gt;R178))+1+SUMPRODUCT((E$4:E$303='Deal Strat'!$C$12)*(R$4:R$303=R178)*(ROW(R$4:R$303)&lt;ROW(R178))))</f>
        <v/>
      </c>
      <c r="AM178" s="68" t="str">
        <f aca="false">IF(R178="","",RANK(R178,$R$4:$R$303,0)+COUNTIF($R$4:R178,R178)-1)</f>
        <v/>
      </c>
      <c r="AN178" s="26" t="n">
        <f aca="false">IF(OR($A178="",$R178=""),0,IF(Deal_Scope="All Deals",1,IF($E178=Deal_Scope,1,0)))</f>
        <v>0</v>
      </c>
      <c r="AO178" s="56" t="n">
        <f aca="false">IF($AN178=0,0,Px_Par)</f>
        <v>0</v>
      </c>
      <c r="AP178" s="70" t="n">
        <f aca="false">IF($H178="",0,MAX(0,($H178-Set_Date)/30.4375))</f>
        <v>0</v>
      </c>
      <c r="AQ178" s="26" t="n">
        <f aca="false">IF(AND(Ext_Flag="Yes",$AA178="Yes"),Ext_Months,0)</f>
        <v>0</v>
      </c>
      <c r="AR178" s="70" t="n">
        <f aca="false">$AP178+$AQ178</f>
        <v>0</v>
      </c>
      <c r="AS178" s="70" t="n">
        <f aca="false">$AR178/12</f>
        <v>0</v>
      </c>
      <c r="AT178" s="70" t="n">
        <f aca="false">IF($AJ178="",0,MAX(0,$AJ178/12))</f>
        <v>0</v>
      </c>
      <c r="AU178" s="70" t="n">
        <f aca="false">MAX(Amort_Min,Amort_Term-$AH178/12)</f>
        <v>30</v>
      </c>
      <c r="AV178" s="70" t="n">
        <f aca="false">MIN($AS178,Hold_Yrs)</f>
        <v>0</v>
      </c>
      <c r="AW178" s="26" t="n">
        <f aca="false">IF($AN178=0,0,CEILING(MAX($AS178,0.0001),1))</f>
        <v>0</v>
      </c>
      <c r="AX178" s="26" t="n">
        <f aca="false">IF(AND($AN178=1,MAX($AS178,0.0001)&lt;=Hold_Yrs),1,0)</f>
        <v>0</v>
      </c>
      <c r="AY178" s="71" t="n">
        <f aca="false">$R178*$AO178</f>
        <v>0</v>
      </c>
      <c r="AZ178" s="71" t="n">
        <f aca="false">$R178*Acc_Int*$AN178</f>
        <v>0</v>
      </c>
      <c r="BA178" s="71" t="n">
        <f aca="false">$AY178*Acq_Cost</f>
        <v>0</v>
      </c>
      <c r="BB178" s="71" t="n">
        <f aca="false">$AY178+$AZ178+$BA178</f>
        <v>0</v>
      </c>
      <c r="BC178" s="71" t="n">
        <f aca="false">IF(Fin_Flag="Yes",$AY178*Adv_Rate,0)</f>
        <v>0</v>
      </c>
      <c r="BD178" s="71" t="n">
        <f aca="false">$BC178*Fin_UpFee</f>
        <v>0</v>
      </c>
      <c r="BE178" s="71" t="n">
        <f aca="false">$BB178-$BC178+$BD178</f>
        <v>0</v>
      </c>
    </row>
    <row r="179" customFormat="false" ht="14.25" hidden="false" customHeight="false" outlineLevel="0" collapsed="false">
      <c r="A179" s="61"/>
      <c r="B179" s="62"/>
      <c r="C179" s="61"/>
      <c r="D179" s="61"/>
      <c r="E179" s="61"/>
      <c r="F179" s="63"/>
      <c r="G179" s="64"/>
      <c r="H179" s="64"/>
      <c r="I179" s="63"/>
      <c r="J179" s="63"/>
      <c r="K179" s="61"/>
      <c r="L179" s="65"/>
      <c r="M179" s="65"/>
      <c r="N179" s="61"/>
      <c r="O179" s="64"/>
      <c r="P179" s="65"/>
      <c r="Q179" s="65"/>
      <c r="R179" s="66"/>
      <c r="S179" s="65"/>
      <c r="T179" s="65"/>
      <c r="U179" s="67"/>
      <c r="V179" s="65"/>
      <c r="W179" s="65"/>
      <c r="X179" s="63"/>
      <c r="Y179" s="63"/>
      <c r="Z179" s="61"/>
      <c r="AA179" s="61"/>
      <c r="AB179" s="61"/>
      <c r="AC179" s="61"/>
      <c r="AD179" s="61"/>
      <c r="AE179" s="61"/>
      <c r="AF179" s="61"/>
      <c r="AG179" s="61"/>
      <c r="AH179" s="68" t="n">
        <f aca="false">IF(G179="",0,ROUND((Strats!$C$4-G179)/30.4375,1))</f>
        <v>0</v>
      </c>
      <c r="AI179" s="69" t="n">
        <f aca="false">IF(K179="",0,IF(K179="Floating",Strats!$C$10+M179,L179))</f>
        <v>0</v>
      </c>
      <c r="AJ179" s="68" t="str">
        <f aca="false">IF(OR(Z179="",Z179="Full Amortizing"),"",MAX(J179-AH179,0))</f>
        <v/>
      </c>
      <c r="AK179" s="69" t="n">
        <f aca="false">IF(K179="",0,IF(K179="Floating",IF(P179&lt;&gt;"",MIN(IF(Q179&lt;&gt;"",MAX((Strats!$C$10+Strats!$C$11+M179),Q179),(Strats!$C$10+Strats!$C$11+M179)),P179),IF(Q179&lt;&gt;"",MAX((Strats!$C$10+Strats!$C$11+M179),Q179),(Strats!$C$10+Strats!$C$11+M179))),AI179))</f>
        <v>0</v>
      </c>
      <c r="AL179" s="68" t="str">
        <f aca="false">IF(OR(E179="",E179&lt;&gt;'Deal Strat'!$C$12,R179=""),"",SUMPRODUCT((E$4:E$303='Deal Strat'!$C$12)*(R$4:R$303&gt;R179))+1+SUMPRODUCT((E$4:E$303='Deal Strat'!$C$12)*(R$4:R$303=R179)*(ROW(R$4:R$303)&lt;ROW(R179))))</f>
        <v/>
      </c>
      <c r="AM179" s="68" t="str">
        <f aca="false">IF(R179="","",RANK(R179,$R$4:$R$303,0)+COUNTIF($R$4:R179,R179)-1)</f>
        <v/>
      </c>
      <c r="AN179" s="26" t="n">
        <f aca="false">IF(OR($A179="",$R179=""),0,IF(Deal_Scope="All Deals",1,IF($E179=Deal_Scope,1,0)))</f>
        <v>0</v>
      </c>
      <c r="AO179" s="56" t="n">
        <f aca="false">IF($AN179=0,0,Px_Par)</f>
        <v>0</v>
      </c>
      <c r="AP179" s="70" t="n">
        <f aca="false">IF($H179="",0,MAX(0,($H179-Set_Date)/30.4375))</f>
        <v>0</v>
      </c>
      <c r="AQ179" s="26" t="n">
        <f aca="false">IF(AND(Ext_Flag="Yes",$AA179="Yes"),Ext_Months,0)</f>
        <v>0</v>
      </c>
      <c r="AR179" s="70" t="n">
        <f aca="false">$AP179+$AQ179</f>
        <v>0</v>
      </c>
      <c r="AS179" s="70" t="n">
        <f aca="false">$AR179/12</f>
        <v>0</v>
      </c>
      <c r="AT179" s="70" t="n">
        <f aca="false">IF($AJ179="",0,MAX(0,$AJ179/12))</f>
        <v>0</v>
      </c>
      <c r="AU179" s="70" t="n">
        <f aca="false">MAX(Amort_Min,Amort_Term-$AH179/12)</f>
        <v>30</v>
      </c>
      <c r="AV179" s="70" t="n">
        <f aca="false">MIN($AS179,Hold_Yrs)</f>
        <v>0</v>
      </c>
      <c r="AW179" s="26" t="n">
        <f aca="false">IF($AN179=0,0,CEILING(MAX($AS179,0.0001),1))</f>
        <v>0</v>
      </c>
      <c r="AX179" s="26" t="n">
        <f aca="false">IF(AND($AN179=1,MAX($AS179,0.0001)&lt;=Hold_Yrs),1,0)</f>
        <v>0</v>
      </c>
      <c r="AY179" s="71" t="n">
        <f aca="false">$R179*$AO179</f>
        <v>0</v>
      </c>
      <c r="AZ179" s="71" t="n">
        <f aca="false">$R179*Acc_Int*$AN179</f>
        <v>0</v>
      </c>
      <c r="BA179" s="71" t="n">
        <f aca="false">$AY179*Acq_Cost</f>
        <v>0</v>
      </c>
      <c r="BB179" s="71" t="n">
        <f aca="false">$AY179+$AZ179+$BA179</f>
        <v>0</v>
      </c>
      <c r="BC179" s="71" t="n">
        <f aca="false">IF(Fin_Flag="Yes",$AY179*Adv_Rate,0)</f>
        <v>0</v>
      </c>
      <c r="BD179" s="71" t="n">
        <f aca="false">$BC179*Fin_UpFee</f>
        <v>0</v>
      </c>
      <c r="BE179" s="71" t="n">
        <f aca="false">$BB179-$BC179+$BD179</f>
        <v>0</v>
      </c>
    </row>
    <row r="180" customFormat="false" ht="14.25" hidden="false" customHeight="false" outlineLevel="0" collapsed="false">
      <c r="A180" s="61"/>
      <c r="B180" s="62"/>
      <c r="C180" s="61"/>
      <c r="D180" s="61"/>
      <c r="E180" s="61"/>
      <c r="F180" s="63"/>
      <c r="G180" s="64"/>
      <c r="H180" s="64"/>
      <c r="I180" s="63"/>
      <c r="J180" s="63"/>
      <c r="K180" s="61"/>
      <c r="L180" s="65"/>
      <c r="M180" s="65"/>
      <c r="N180" s="61"/>
      <c r="O180" s="64"/>
      <c r="P180" s="65"/>
      <c r="Q180" s="65"/>
      <c r="R180" s="66"/>
      <c r="S180" s="65"/>
      <c r="T180" s="65"/>
      <c r="U180" s="67"/>
      <c r="V180" s="65"/>
      <c r="W180" s="65"/>
      <c r="X180" s="63"/>
      <c r="Y180" s="63"/>
      <c r="Z180" s="61"/>
      <c r="AA180" s="61"/>
      <c r="AB180" s="61"/>
      <c r="AC180" s="61"/>
      <c r="AD180" s="61"/>
      <c r="AE180" s="61"/>
      <c r="AF180" s="61"/>
      <c r="AG180" s="61"/>
      <c r="AH180" s="68" t="n">
        <f aca="false">IF(G180="",0,ROUND((Strats!$C$4-G180)/30.4375,1))</f>
        <v>0</v>
      </c>
      <c r="AI180" s="69" t="n">
        <f aca="false">IF(K180="",0,IF(K180="Floating",Strats!$C$10+M180,L180))</f>
        <v>0</v>
      </c>
      <c r="AJ180" s="68" t="str">
        <f aca="false">IF(OR(Z180="",Z180="Full Amortizing"),"",MAX(J180-AH180,0))</f>
        <v/>
      </c>
      <c r="AK180" s="69" t="n">
        <f aca="false">IF(K180="",0,IF(K180="Floating",IF(P180&lt;&gt;"",MIN(IF(Q180&lt;&gt;"",MAX((Strats!$C$10+Strats!$C$11+M180),Q180),(Strats!$C$10+Strats!$C$11+M180)),P180),IF(Q180&lt;&gt;"",MAX((Strats!$C$10+Strats!$C$11+M180),Q180),(Strats!$C$10+Strats!$C$11+M180))),AI180))</f>
        <v>0</v>
      </c>
      <c r="AL180" s="68" t="str">
        <f aca="false">IF(OR(E180="",E180&lt;&gt;'Deal Strat'!$C$12,R180=""),"",SUMPRODUCT((E$4:E$303='Deal Strat'!$C$12)*(R$4:R$303&gt;R180))+1+SUMPRODUCT((E$4:E$303='Deal Strat'!$C$12)*(R$4:R$303=R180)*(ROW(R$4:R$303)&lt;ROW(R180))))</f>
        <v/>
      </c>
      <c r="AM180" s="68" t="str">
        <f aca="false">IF(R180="","",RANK(R180,$R$4:$R$303,0)+COUNTIF($R$4:R180,R180)-1)</f>
        <v/>
      </c>
      <c r="AN180" s="26" t="n">
        <f aca="false">IF(OR($A180="",$R180=""),0,IF(Deal_Scope="All Deals",1,IF($E180=Deal_Scope,1,0)))</f>
        <v>0</v>
      </c>
      <c r="AO180" s="56" t="n">
        <f aca="false">IF($AN180=0,0,Px_Par)</f>
        <v>0</v>
      </c>
      <c r="AP180" s="70" t="n">
        <f aca="false">IF($H180="",0,MAX(0,($H180-Set_Date)/30.4375))</f>
        <v>0</v>
      </c>
      <c r="AQ180" s="26" t="n">
        <f aca="false">IF(AND(Ext_Flag="Yes",$AA180="Yes"),Ext_Months,0)</f>
        <v>0</v>
      </c>
      <c r="AR180" s="70" t="n">
        <f aca="false">$AP180+$AQ180</f>
        <v>0</v>
      </c>
      <c r="AS180" s="70" t="n">
        <f aca="false">$AR180/12</f>
        <v>0</v>
      </c>
      <c r="AT180" s="70" t="n">
        <f aca="false">IF($AJ180="",0,MAX(0,$AJ180/12))</f>
        <v>0</v>
      </c>
      <c r="AU180" s="70" t="n">
        <f aca="false">MAX(Amort_Min,Amort_Term-$AH180/12)</f>
        <v>30</v>
      </c>
      <c r="AV180" s="70" t="n">
        <f aca="false">MIN($AS180,Hold_Yrs)</f>
        <v>0</v>
      </c>
      <c r="AW180" s="26" t="n">
        <f aca="false">IF($AN180=0,0,CEILING(MAX($AS180,0.0001),1))</f>
        <v>0</v>
      </c>
      <c r="AX180" s="26" t="n">
        <f aca="false">IF(AND($AN180=1,MAX($AS180,0.0001)&lt;=Hold_Yrs),1,0)</f>
        <v>0</v>
      </c>
      <c r="AY180" s="71" t="n">
        <f aca="false">$R180*$AO180</f>
        <v>0</v>
      </c>
      <c r="AZ180" s="71" t="n">
        <f aca="false">$R180*Acc_Int*$AN180</f>
        <v>0</v>
      </c>
      <c r="BA180" s="71" t="n">
        <f aca="false">$AY180*Acq_Cost</f>
        <v>0</v>
      </c>
      <c r="BB180" s="71" t="n">
        <f aca="false">$AY180+$AZ180+$BA180</f>
        <v>0</v>
      </c>
      <c r="BC180" s="71" t="n">
        <f aca="false">IF(Fin_Flag="Yes",$AY180*Adv_Rate,0)</f>
        <v>0</v>
      </c>
      <c r="BD180" s="71" t="n">
        <f aca="false">$BC180*Fin_UpFee</f>
        <v>0</v>
      </c>
      <c r="BE180" s="71" t="n">
        <f aca="false">$BB180-$BC180+$BD180</f>
        <v>0</v>
      </c>
    </row>
    <row r="181" customFormat="false" ht="14.25" hidden="false" customHeight="false" outlineLevel="0" collapsed="false">
      <c r="A181" s="61"/>
      <c r="B181" s="62"/>
      <c r="C181" s="61"/>
      <c r="D181" s="61"/>
      <c r="E181" s="61"/>
      <c r="F181" s="63"/>
      <c r="G181" s="64"/>
      <c r="H181" s="64"/>
      <c r="I181" s="63"/>
      <c r="J181" s="63"/>
      <c r="K181" s="61"/>
      <c r="L181" s="65"/>
      <c r="M181" s="65"/>
      <c r="N181" s="61"/>
      <c r="O181" s="64"/>
      <c r="P181" s="65"/>
      <c r="Q181" s="65"/>
      <c r="R181" s="66"/>
      <c r="S181" s="65"/>
      <c r="T181" s="65"/>
      <c r="U181" s="67"/>
      <c r="V181" s="65"/>
      <c r="W181" s="65"/>
      <c r="X181" s="63"/>
      <c r="Y181" s="63"/>
      <c r="Z181" s="61"/>
      <c r="AA181" s="61"/>
      <c r="AB181" s="61"/>
      <c r="AC181" s="61"/>
      <c r="AD181" s="61"/>
      <c r="AE181" s="61"/>
      <c r="AF181" s="61"/>
      <c r="AG181" s="61"/>
      <c r="AH181" s="68" t="n">
        <f aca="false">IF(G181="",0,ROUND((Strats!$C$4-G181)/30.4375,1))</f>
        <v>0</v>
      </c>
      <c r="AI181" s="69" t="n">
        <f aca="false">IF(K181="",0,IF(K181="Floating",Strats!$C$10+M181,L181))</f>
        <v>0</v>
      </c>
      <c r="AJ181" s="68" t="str">
        <f aca="false">IF(OR(Z181="",Z181="Full Amortizing"),"",MAX(J181-AH181,0))</f>
        <v/>
      </c>
      <c r="AK181" s="69" t="n">
        <f aca="false">IF(K181="",0,IF(K181="Floating",IF(P181&lt;&gt;"",MIN(IF(Q181&lt;&gt;"",MAX((Strats!$C$10+Strats!$C$11+M181),Q181),(Strats!$C$10+Strats!$C$11+M181)),P181),IF(Q181&lt;&gt;"",MAX((Strats!$C$10+Strats!$C$11+M181),Q181),(Strats!$C$10+Strats!$C$11+M181))),AI181))</f>
        <v>0</v>
      </c>
      <c r="AL181" s="68" t="str">
        <f aca="false">IF(OR(E181="",E181&lt;&gt;'Deal Strat'!$C$12,R181=""),"",SUMPRODUCT((E$4:E$303='Deal Strat'!$C$12)*(R$4:R$303&gt;R181))+1+SUMPRODUCT((E$4:E$303='Deal Strat'!$C$12)*(R$4:R$303=R181)*(ROW(R$4:R$303)&lt;ROW(R181))))</f>
        <v/>
      </c>
      <c r="AM181" s="68" t="str">
        <f aca="false">IF(R181="","",RANK(R181,$R$4:$R$303,0)+COUNTIF($R$4:R181,R181)-1)</f>
        <v/>
      </c>
      <c r="AN181" s="26" t="n">
        <f aca="false">IF(OR($A181="",$R181=""),0,IF(Deal_Scope="All Deals",1,IF($E181=Deal_Scope,1,0)))</f>
        <v>0</v>
      </c>
      <c r="AO181" s="56" t="n">
        <f aca="false">IF($AN181=0,0,Px_Par)</f>
        <v>0</v>
      </c>
      <c r="AP181" s="70" t="n">
        <f aca="false">IF($H181="",0,MAX(0,($H181-Set_Date)/30.4375))</f>
        <v>0</v>
      </c>
      <c r="AQ181" s="26" t="n">
        <f aca="false">IF(AND(Ext_Flag="Yes",$AA181="Yes"),Ext_Months,0)</f>
        <v>0</v>
      </c>
      <c r="AR181" s="70" t="n">
        <f aca="false">$AP181+$AQ181</f>
        <v>0</v>
      </c>
      <c r="AS181" s="70" t="n">
        <f aca="false">$AR181/12</f>
        <v>0</v>
      </c>
      <c r="AT181" s="70" t="n">
        <f aca="false">IF($AJ181="",0,MAX(0,$AJ181/12))</f>
        <v>0</v>
      </c>
      <c r="AU181" s="70" t="n">
        <f aca="false">MAX(Amort_Min,Amort_Term-$AH181/12)</f>
        <v>30</v>
      </c>
      <c r="AV181" s="70" t="n">
        <f aca="false">MIN($AS181,Hold_Yrs)</f>
        <v>0</v>
      </c>
      <c r="AW181" s="26" t="n">
        <f aca="false">IF($AN181=0,0,CEILING(MAX($AS181,0.0001),1))</f>
        <v>0</v>
      </c>
      <c r="AX181" s="26" t="n">
        <f aca="false">IF(AND($AN181=1,MAX($AS181,0.0001)&lt;=Hold_Yrs),1,0)</f>
        <v>0</v>
      </c>
      <c r="AY181" s="71" t="n">
        <f aca="false">$R181*$AO181</f>
        <v>0</v>
      </c>
      <c r="AZ181" s="71" t="n">
        <f aca="false">$R181*Acc_Int*$AN181</f>
        <v>0</v>
      </c>
      <c r="BA181" s="71" t="n">
        <f aca="false">$AY181*Acq_Cost</f>
        <v>0</v>
      </c>
      <c r="BB181" s="71" t="n">
        <f aca="false">$AY181+$AZ181+$BA181</f>
        <v>0</v>
      </c>
      <c r="BC181" s="71" t="n">
        <f aca="false">IF(Fin_Flag="Yes",$AY181*Adv_Rate,0)</f>
        <v>0</v>
      </c>
      <c r="BD181" s="71" t="n">
        <f aca="false">$BC181*Fin_UpFee</f>
        <v>0</v>
      </c>
      <c r="BE181" s="71" t="n">
        <f aca="false">$BB181-$BC181+$BD181</f>
        <v>0</v>
      </c>
    </row>
    <row r="182" customFormat="false" ht="14.25" hidden="false" customHeight="false" outlineLevel="0" collapsed="false">
      <c r="A182" s="61"/>
      <c r="B182" s="62"/>
      <c r="C182" s="61"/>
      <c r="D182" s="61"/>
      <c r="E182" s="61"/>
      <c r="F182" s="63"/>
      <c r="G182" s="64"/>
      <c r="H182" s="64"/>
      <c r="I182" s="63"/>
      <c r="J182" s="63"/>
      <c r="K182" s="61"/>
      <c r="L182" s="65"/>
      <c r="M182" s="65"/>
      <c r="N182" s="61"/>
      <c r="O182" s="64"/>
      <c r="P182" s="65"/>
      <c r="Q182" s="65"/>
      <c r="R182" s="66"/>
      <c r="S182" s="65"/>
      <c r="T182" s="65"/>
      <c r="U182" s="67"/>
      <c r="V182" s="65"/>
      <c r="W182" s="65"/>
      <c r="X182" s="63"/>
      <c r="Y182" s="63"/>
      <c r="Z182" s="61"/>
      <c r="AA182" s="61"/>
      <c r="AB182" s="61"/>
      <c r="AC182" s="61"/>
      <c r="AD182" s="61"/>
      <c r="AE182" s="61"/>
      <c r="AF182" s="61"/>
      <c r="AG182" s="61"/>
      <c r="AH182" s="68" t="n">
        <f aca="false">IF(G182="",0,ROUND((Strats!$C$4-G182)/30.4375,1))</f>
        <v>0</v>
      </c>
      <c r="AI182" s="69" t="n">
        <f aca="false">IF(K182="",0,IF(K182="Floating",Strats!$C$10+M182,L182))</f>
        <v>0</v>
      </c>
      <c r="AJ182" s="68" t="str">
        <f aca="false">IF(OR(Z182="",Z182="Full Amortizing"),"",MAX(J182-AH182,0))</f>
        <v/>
      </c>
      <c r="AK182" s="69" t="n">
        <f aca="false">IF(K182="",0,IF(K182="Floating",IF(P182&lt;&gt;"",MIN(IF(Q182&lt;&gt;"",MAX((Strats!$C$10+Strats!$C$11+M182),Q182),(Strats!$C$10+Strats!$C$11+M182)),P182),IF(Q182&lt;&gt;"",MAX((Strats!$C$10+Strats!$C$11+M182),Q182),(Strats!$C$10+Strats!$C$11+M182))),AI182))</f>
        <v>0</v>
      </c>
      <c r="AL182" s="68" t="str">
        <f aca="false">IF(OR(E182="",E182&lt;&gt;'Deal Strat'!$C$12,R182=""),"",SUMPRODUCT((E$4:E$303='Deal Strat'!$C$12)*(R$4:R$303&gt;R182))+1+SUMPRODUCT((E$4:E$303='Deal Strat'!$C$12)*(R$4:R$303=R182)*(ROW(R$4:R$303)&lt;ROW(R182))))</f>
        <v/>
      </c>
      <c r="AM182" s="68" t="str">
        <f aca="false">IF(R182="","",RANK(R182,$R$4:$R$303,0)+COUNTIF($R$4:R182,R182)-1)</f>
        <v/>
      </c>
      <c r="AN182" s="26" t="n">
        <f aca="false">IF(OR($A182="",$R182=""),0,IF(Deal_Scope="All Deals",1,IF($E182=Deal_Scope,1,0)))</f>
        <v>0</v>
      </c>
      <c r="AO182" s="56" t="n">
        <f aca="false">IF($AN182=0,0,Px_Par)</f>
        <v>0</v>
      </c>
      <c r="AP182" s="70" t="n">
        <f aca="false">IF($H182="",0,MAX(0,($H182-Set_Date)/30.4375))</f>
        <v>0</v>
      </c>
      <c r="AQ182" s="26" t="n">
        <f aca="false">IF(AND(Ext_Flag="Yes",$AA182="Yes"),Ext_Months,0)</f>
        <v>0</v>
      </c>
      <c r="AR182" s="70" t="n">
        <f aca="false">$AP182+$AQ182</f>
        <v>0</v>
      </c>
      <c r="AS182" s="70" t="n">
        <f aca="false">$AR182/12</f>
        <v>0</v>
      </c>
      <c r="AT182" s="70" t="n">
        <f aca="false">IF($AJ182="",0,MAX(0,$AJ182/12))</f>
        <v>0</v>
      </c>
      <c r="AU182" s="70" t="n">
        <f aca="false">MAX(Amort_Min,Amort_Term-$AH182/12)</f>
        <v>30</v>
      </c>
      <c r="AV182" s="70" t="n">
        <f aca="false">MIN($AS182,Hold_Yrs)</f>
        <v>0</v>
      </c>
      <c r="AW182" s="26" t="n">
        <f aca="false">IF($AN182=0,0,CEILING(MAX($AS182,0.0001),1))</f>
        <v>0</v>
      </c>
      <c r="AX182" s="26" t="n">
        <f aca="false">IF(AND($AN182=1,MAX($AS182,0.0001)&lt;=Hold_Yrs),1,0)</f>
        <v>0</v>
      </c>
      <c r="AY182" s="71" t="n">
        <f aca="false">$R182*$AO182</f>
        <v>0</v>
      </c>
      <c r="AZ182" s="71" t="n">
        <f aca="false">$R182*Acc_Int*$AN182</f>
        <v>0</v>
      </c>
      <c r="BA182" s="71" t="n">
        <f aca="false">$AY182*Acq_Cost</f>
        <v>0</v>
      </c>
      <c r="BB182" s="71" t="n">
        <f aca="false">$AY182+$AZ182+$BA182</f>
        <v>0</v>
      </c>
      <c r="BC182" s="71" t="n">
        <f aca="false">IF(Fin_Flag="Yes",$AY182*Adv_Rate,0)</f>
        <v>0</v>
      </c>
      <c r="BD182" s="71" t="n">
        <f aca="false">$BC182*Fin_UpFee</f>
        <v>0</v>
      </c>
      <c r="BE182" s="71" t="n">
        <f aca="false">$BB182-$BC182+$BD182</f>
        <v>0</v>
      </c>
    </row>
    <row r="183" customFormat="false" ht="14.25" hidden="false" customHeight="false" outlineLevel="0" collapsed="false">
      <c r="A183" s="61"/>
      <c r="B183" s="62"/>
      <c r="C183" s="61"/>
      <c r="D183" s="61"/>
      <c r="E183" s="61"/>
      <c r="F183" s="63"/>
      <c r="G183" s="64"/>
      <c r="H183" s="64"/>
      <c r="I183" s="63"/>
      <c r="J183" s="63"/>
      <c r="K183" s="61"/>
      <c r="L183" s="65"/>
      <c r="M183" s="65"/>
      <c r="N183" s="61"/>
      <c r="O183" s="64"/>
      <c r="P183" s="65"/>
      <c r="Q183" s="65"/>
      <c r="R183" s="66"/>
      <c r="S183" s="65"/>
      <c r="T183" s="65"/>
      <c r="U183" s="67"/>
      <c r="V183" s="65"/>
      <c r="W183" s="65"/>
      <c r="X183" s="63"/>
      <c r="Y183" s="63"/>
      <c r="Z183" s="61"/>
      <c r="AA183" s="61"/>
      <c r="AB183" s="61"/>
      <c r="AC183" s="61"/>
      <c r="AD183" s="61"/>
      <c r="AE183" s="61"/>
      <c r="AF183" s="61"/>
      <c r="AG183" s="61"/>
      <c r="AH183" s="68" t="n">
        <f aca="false">IF(G183="",0,ROUND((Strats!$C$4-G183)/30.4375,1))</f>
        <v>0</v>
      </c>
      <c r="AI183" s="69" t="n">
        <f aca="false">IF(K183="",0,IF(K183="Floating",Strats!$C$10+M183,L183))</f>
        <v>0</v>
      </c>
      <c r="AJ183" s="68" t="str">
        <f aca="false">IF(OR(Z183="",Z183="Full Amortizing"),"",MAX(J183-AH183,0))</f>
        <v/>
      </c>
      <c r="AK183" s="69" t="n">
        <f aca="false">IF(K183="",0,IF(K183="Floating",IF(P183&lt;&gt;"",MIN(IF(Q183&lt;&gt;"",MAX((Strats!$C$10+Strats!$C$11+M183),Q183),(Strats!$C$10+Strats!$C$11+M183)),P183),IF(Q183&lt;&gt;"",MAX((Strats!$C$10+Strats!$C$11+M183),Q183),(Strats!$C$10+Strats!$C$11+M183))),AI183))</f>
        <v>0</v>
      </c>
      <c r="AL183" s="68" t="str">
        <f aca="false">IF(OR(E183="",E183&lt;&gt;'Deal Strat'!$C$12,R183=""),"",SUMPRODUCT((E$4:E$303='Deal Strat'!$C$12)*(R$4:R$303&gt;R183))+1+SUMPRODUCT((E$4:E$303='Deal Strat'!$C$12)*(R$4:R$303=R183)*(ROW(R$4:R$303)&lt;ROW(R183))))</f>
        <v/>
      </c>
      <c r="AM183" s="68" t="str">
        <f aca="false">IF(R183="","",RANK(R183,$R$4:$R$303,0)+COUNTIF($R$4:R183,R183)-1)</f>
        <v/>
      </c>
      <c r="AN183" s="26" t="n">
        <f aca="false">IF(OR($A183="",$R183=""),0,IF(Deal_Scope="All Deals",1,IF($E183=Deal_Scope,1,0)))</f>
        <v>0</v>
      </c>
      <c r="AO183" s="56" t="n">
        <f aca="false">IF($AN183=0,0,Px_Par)</f>
        <v>0</v>
      </c>
      <c r="AP183" s="70" t="n">
        <f aca="false">IF($H183="",0,MAX(0,($H183-Set_Date)/30.4375))</f>
        <v>0</v>
      </c>
      <c r="AQ183" s="26" t="n">
        <f aca="false">IF(AND(Ext_Flag="Yes",$AA183="Yes"),Ext_Months,0)</f>
        <v>0</v>
      </c>
      <c r="AR183" s="70" t="n">
        <f aca="false">$AP183+$AQ183</f>
        <v>0</v>
      </c>
      <c r="AS183" s="70" t="n">
        <f aca="false">$AR183/12</f>
        <v>0</v>
      </c>
      <c r="AT183" s="70" t="n">
        <f aca="false">IF($AJ183="",0,MAX(0,$AJ183/12))</f>
        <v>0</v>
      </c>
      <c r="AU183" s="70" t="n">
        <f aca="false">MAX(Amort_Min,Amort_Term-$AH183/12)</f>
        <v>30</v>
      </c>
      <c r="AV183" s="70" t="n">
        <f aca="false">MIN($AS183,Hold_Yrs)</f>
        <v>0</v>
      </c>
      <c r="AW183" s="26" t="n">
        <f aca="false">IF($AN183=0,0,CEILING(MAX($AS183,0.0001),1))</f>
        <v>0</v>
      </c>
      <c r="AX183" s="26" t="n">
        <f aca="false">IF(AND($AN183=1,MAX($AS183,0.0001)&lt;=Hold_Yrs),1,0)</f>
        <v>0</v>
      </c>
      <c r="AY183" s="71" t="n">
        <f aca="false">$R183*$AO183</f>
        <v>0</v>
      </c>
      <c r="AZ183" s="71" t="n">
        <f aca="false">$R183*Acc_Int*$AN183</f>
        <v>0</v>
      </c>
      <c r="BA183" s="71" t="n">
        <f aca="false">$AY183*Acq_Cost</f>
        <v>0</v>
      </c>
      <c r="BB183" s="71" t="n">
        <f aca="false">$AY183+$AZ183+$BA183</f>
        <v>0</v>
      </c>
      <c r="BC183" s="71" t="n">
        <f aca="false">IF(Fin_Flag="Yes",$AY183*Adv_Rate,0)</f>
        <v>0</v>
      </c>
      <c r="BD183" s="71" t="n">
        <f aca="false">$BC183*Fin_UpFee</f>
        <v>0</v>
      </c>
      <c r="BE183" s="71" t="n">
        <f aca="false">$BB183-$BC183+$BD183</f>
        <v>0</v>
      </c>
    </row>
    <row r="184" customFormat="false" ht="14.25" hidden="false" customHeight="false" outlineLevel="0" collapsed="false">
      <c r="A184" s="61"/>
      <c r="B184" s="62"/>
      <c r="C184" s="61"/>
      <c r="D184" s="61"/>
      <c r="E184" s="61"/>
      <c r="F184" s="63"/>
      <c r="G184" s="64"/>
      <c r="H184" s="64"/>
      <c r="I184" s="63"/>
      <c r="J184" s="63"/>
      <c r="K184" s="61"/>
      <c r="L184" s="65"/>
      <c r="M184" s="65"/>
      <c r="N184" s="61"/>
      <c r="O184" s="64"/>
      <c r="P184" s="65"/>
      <c r="Q184" s="65"/>
      <c r="R184" s="66"/>
      <c r="S184" s="65"/>
      <c r="T184" s="65"/>
      <c r="U184" s="67"/>
      <c r="V184" s="65"/>
      <c r="W184" s="65"/>
      <c r="X184" s="63"/>
      <c r="Y184" s="63"/>
      <c r="Z184" s="61"/>
      <c r="AA184" s="61"/>
      <c r="AB184" s="61"/>
      <c r="AC184" s="61"/>
      <c r="AD184" s="61"/>
      <c r="AE184" s="61"/>
      <c r="AF184" s="61"/>
      <c r="AG184" s="61"/>
      <c r="AH184" s="68" t="n">
        <f aca="false">IF(G184="",0,ROUND((Strats!$C$4-G184)/30.4375,1))</f>
        <v>0</v>
      </c>
      <c r="AI184" s="69" t="n">
        <f aca="false">IF(K184="",0,IF(K184="Floating",Strats!$C$10+M184,L184))</f>
        <v>0</v>
      </c>
      <c r="AJ184" s="68" t="str">
        <f aca="false">IF(OR(Z184="",Z184="Full Amortizing"),"",MAX(J184-AH184,0))</f>
        <v/>
      </c>
      <c r="AK184" s="69" t="n">
        <f aca="false">IF(K184="",0,IF(K184="Floating",IF(P184&lt;&gt;"",MIN(IF(Q184&lt;&gt;"",MAX((Strats!$C$10+Strats!$C$11+M184),Q184),(Strats!$C$10+Strats!$C$11+M184)),P184),IF(Q184&lt;&gt;"",MAX((Strats!$C$10+Strats!$C$11+M184),Q184),(Strats!$C$10+Strats!$C$11+M184))),AI184))</f>
        <v>0</v>
      </c>
      <c r="AL184" s="68" t="str">
        <f aca="false">IF(OR(E184="",E184&lt;&gt;'Deal Strat'!$C$12,R184=""),"",SUMPRODUCT((E$4:E$303='Deal Strat'!$C$12)*(R$4:R$303&gt;R184))+1+SUMPRODUCT((E$4:E$303='Deal Strat'!$C$12)*(R$4:R$303=R184)*(ROW(R$4:R$303)&lt;ROW(R184))))</f>
        <v/>
      </c>
      <c r="AM184" s="68" t="str">
        <f aca="false">IF(R184="","",RANK(R184,$R$4:$R$303,0)+COUNTIF($R$4:R184,R184)-1)</f>
        <v/>
      </c>
      <c r="AN184" s="26" t="n">
        <f aca="false">IF(OR($A184="",$R184=""),0,IF(Deal_Scope="All Deals",1,IF($E184=Deal_Scope,1,0)))</f>
        <v>0</v>
      </c>
      <c r="AO184" s="56" t="n">
        <f aca="false">IF($AN184=0,0,Px_Par)</f>
        <v>0</v>
      </c>
      <c r="AP184" s="70" t="n">
        <f aca="false">IF($H184="",0,MAX(0,($H184-Set_Date)/30.4375))</f>
        <v>0</v>
      </c>
      <c r="AQ184" s="26" t="n">
        <f aca="false">IF(AND(Ext_Flag="Yes",$AA184="Yes"),Ext_Months,0)</f>
        <v>0</v>
      </c>
      <c r="AR184" s="70" t="n">
        <f aca="false">$AP184+$AQ184</f>
        <v>0</v>
      </c>
      <c r="AS184" s="70" t="n">
        <f aca="false">$AR184/12</f>
        <v>0</v>
      </c>
      <c r="AT184" s="70" t="n">
        <f aca="false">IF($AJ184="",0,MAX(0,$AJ184/12))</f>
        <v>0</v>
      </c>
      <c r="AU184" s="70" t="n">
        <f aca="false">MAX(Amort_Min,Amort_Term-$AH184/12)</f>
        <v>30</v>
      </c>
      <c r="AV184" s="70" t="n">
        <f aca="false">MIN($AS184,Hold_Yrs)</f>
        <v>0</v>
      </c>
      <c r="AW184" s="26" t="n">
        <f aca="false">IF($AN184=0,0,CEILING(MAX($AS184,0.0001),1))</f>
        <v>0</v>
      </c>
      <c r="AX184" s="26" t="n">
        <f aca="false">IF(AND($AN184=1,MAX($AS184,0.0001)&lt;=Hold_Yrs),1,0)</f>
        <v>0</v>
      </c>
      <c r="AY184" s="71" t="n">
        <f aca="false">$R184*$AO184</f>
        <v>0</v>
      </c>
      <c r="AZ184" s="71" t="n">
        <f aca="false">$R184*Acc_Int*$AN184</f>
        <v>0</v>
      </c>
      <c r="BA184" s="71" t="n">
        <f aca="false">$AY184*Acq_Cost</f>
        <v>0</v>
      </c>
      <c r="BB184" s="71" t="n">
        <f aca="false">$AY184+$AZ184+$BA184</f>
        <v>0</v>
      </c>
      <c r="BC184" s="71" t="n">
        <f aca="false">IF(Fin_Flag="Yes",$AY184*Adv_Rate,0)</f>
        <v>0</v>
      </c>
      <c r="BD184" s="71" t="n">
        <f aca="false">$BC184*Fin_UpFee</f>
        <v>0</v>
      </c>
      <c r="BE184" s="71" t="n">
        <f aca="false">$BB184-$BC184+$BD184</f>
        <v>0</v>
      </c>
    </row>
    <row r="185" customFormat="false" ht="14.25" hidden="false" customHeight="false" outlineLevel="0" collapsed="false">
      <c r="A185" s="61"/>
      <c r="B185" s="62"/>
      <c r="C185" s="61"/>
      <c r="D185" s="61"/>
      <c r="E185" s="61"/>
      <c r="F185" s="63"/>
      <c r="G185" s="64"/>
      <c r="H185" s="64"/>
      <c r="I185" s="63"/>
      <c r="J185" s="63"/>
      <c r="K185" s="61"/>
      <c r="L185" s="65"/>
      <c r="M185" s="65"/>
      <c r="N185" s="61"/>
      <c r="O185" s="64"/>
      <c r="P185" s="65"/>
      <c r="Q185" s="65"/>
      <c r="R185" s="66"/>
      <c r="S185" s="65"/>
      <c r="T185" s="65"/>
      <c r="U185" s="67"/>
      <c r="V185" s="65"/>
      <c r="W185" s="65"/>
      <c r="X185" s="63"/>
      <c r="Y185" s="63"/>
      <c r="Z185" s="61"/>
      <c r="AA185" s="61"/>
      <c r="AB185" s="61"/>
      <c r="AC185" s="61"/>
      <c r="AD185" s="61"/>
      <c r="AE185" s="61"/>
      <c r="AF185" s="61"/>
      <c r="AG185" s="61"/>
      <c r="AH185" s="68" t="n">
        <f aca="false">IF(G185="",0,ROUND((Strats!$C$4-G185)/30.4375,1))</f>
        <v>0</v>
      </c>
      <c r="AI185" s="69" t="n">
        <f aca="false">IF(K185="",0,IF(K185="Floating",Strats!$C$10+M185,L185))</f>
        <v>0</v>
      </c>
      <c r="AJ185" s="68" t="str">
        <f aca="false">IF(OR(Z185="",Z185="Full Amortizing"),"",MAX(J185-AH185,0))</f>
        <v/>
      </c>
      <c r="AK185" s="69" t="n">
        <f aca="false">IF(K185="",0,IF(K185="Floating",IF(P185&lt;&gt;"",MIN(IF(Q185&lt;&gt;"",MAX((Strats!$C$10+Strats!$C$11+M185),Q185),(Strats!$C$10+Strats!$C$11+M185)),P185),IF(Q185&lt;&gt;"",MAX((Strats!$C$10+Strats!$C$11+M185),Q185),(Strats!$C$10+Strats!$C$11+M185))),AI185))</f>
        <v>0</v>
      </c>
      <c r="AL185" s="68" t="str">
        <f aca="false">IF(OR(E185="",E185&lt;&gt;'Deal Strat'!$C$12,R185=""),"",SUMPRODUCT((E$4:E$303='Deal Strat'!$C$12)*(R$4:R$303&gt;R185))+1+SUMPRODUCT((E$4:E$303='Deal Strat'!$C$12)*(R$4:R$303=R185)*(ROW(R$4:R$303)&lt;ROW(R185))))</f>
        <v/>
      </c>
      <c r="AM185" s="68" t="str">
        <f aca="false">IF(R185="","",RANK(R185,$R$4:$R$303,0)+COUNTIF($R$4:R185,R185)-1)</f>
        <v/>
      </c>
      <c r="AN185" s="26" t="n">
        <f aca="false">IF(OR($A185="",$R185=""),0,IF(Deal_Scope="All Deals",1,IF($E185=Deal_Scope,1,0)))</f>
        <v>0</v>
      </c>
      <c r="AO185" s="56" t="n">
        <f aca="false">IF($AN185=0,0,Px_Par)</f>
        <v>0</v>
      </c>
      <c r="AP185" s="70" t="n">
        <f aca="false">IF($H185="",0,MAX(0,($H185-Set_Date)/30.4375))</f>
        <v>0</v>
      </c>
      <c r="AQ185" s="26" t="n">
        <f aca="false">IF(AND(Ext_Flag="Yes",$AA185="Yes"),Ext_Months,0)</f>
        <v>0</v>
      </c>
      <c r="AR185" s="70" t="n">
        <f aca="false">$AP185+$AQ185</f>
        <v>0</v>
      </c>
      <c r="AS185" s="70" t="n">
        <f aca="false">$AR185/12</f>
        <v>0</v>
      </c>
      <c r="AT185" s="70" t="n">
        <f aca="false">IF($AJ185="",0,MAX(0,$AJ185/12))</f>
        <v>0</v>
      </c>
      <c r="AU185" s="70" t="n">
        <f aca="false">MAX(Amort_Min,Amort_Term-$AH185/12)</f>
        <v>30</v>
      </c>
      <c r="AV185" s="70" t="n">
        <f aca="false">MIN($AS185,Hold_Yrs)</f>
        <v>0</v>
      </c>
      <c r="AW185" s="26" t="n">
        <f aca="false">IF($AN185=0,0,CEILING(MAX($AS185,0.0001),1))</f>
        <v>0</v>
      </c>
      <c r="AX185" s="26" t="n">
        <f aca="false">IF(AND($AN185=1,MAX($AS185,0.0001)&lt;=Hold_Yrs),1,0)</f>
        <v>0</v>
      </c>
      <c r="AY185" s="71" t="n">
        <f aca="false">$R185*$AO185</f>
        <v>0</v>
      </c>
      <c r="AZ185" s="71" t="n">
        <f aca="false">$R185*Acc_Int*$AN185</f>
        <v>0</v>
      </c>
      <c r="BA185" s="71" t="n">
        <f aca="false">$AY185*Acq_Cost</f>
        <v>0</v>
      </c>
      <c r="BB185" s="71" t="n">
        <f aca="false">$AY185+$AZ185+$BA185</f>
        <v>0</v>
      </c>
      <c r="BC185" s="71" t="n">
        <f aca="false">IF(Fin_Flag="Yes",$AY185*Adv_Rate,0)</f>
        <v>0</v>
      </c>
      <c r="BD185" s="71" t="n">
        <f aca="false">$BC185*Fin_UpFee</f>
        <v>0</v>
      </c>
      <c r="BE185" s="71" t="n">
        <f aca="false">$BB185-$BC185+$BD185</f>
        <v>0</v>
      </c>
    </row>
    <row r="186" customFormat="false" ht="14.25" hidden="false" customHeight="false" outlineLevel="0" collapsed="false">
      <c r="A186" s="61"/>
      <c r="B186" s="62"/>
      <c r="C186" s="61"/>
      <c r="D186" s="61"/>
      <c r="E186" s="61"/>
      <c r="F186" s="63"/>
      <c r="G186" s="64"/>
      <c r="H186" s="64"/>
      <c r="I186" s="63"/>
      <c r="J186" s="63"/>
      <c r="K186" s="61"/>
      <c r="L186" s="65"/>
      <c r="M186" s="65"/>
      <c r="N186" s="61"/>
      <c r="O186" s="64"/>
      <c r="P186" s="65"/>
      <c r="Q186" s="65"/>
      <c r="R186" s="66"/>
      <c r="S186" s="65"/>
      <c r="T186" s="65"/>
      <c r="U186" s="67"/>
      <c r="V186" s="65"/>
      <c r="W186" s="65"/>
      <c r="X186" s="63"/>
      <c r="Y186" s="63"/>
      <c r="Z186" s="61"/>
      <c r="AA186" s="61"/>
      <c r="AB186" s="61"/>
      <c r="AC186" s="61"/>
      <c r="AD186" s="61"/>
      <c r="AE186" s="61"/>
      <c r="AF186" s="61"/>
      <c r="AG186" s="61"/>
      <c r="AH186" s="68" t="n">
        <f aca="false">IF(G186="",0,ROUND((Strats!$C$4-G186)/30.4375,1))</f>
        <v>0</v>
      </c>
      <c r="AI186" s="69" t="n">
        <f aca="false">IF(K186="",0,IF(K186="Floating",Strats!$C$10+M186,L186))</f>
        <v>0</v>
      </c>
      <c r="AJ186" s="68" t="str">
        <f aca="false">IF(OR(Z186="",Z186="Full Amortizing"),"",MAX(J186-AH186,0))</f>
        <v/>
      </c>
      <c r="AK186" s="69" t="n">
        <f aca="false">IF(K186="",0,IF(K186="Floating",IF(P186&lt;&gt;"",MIN(IF(Q186&lt;&gt;"",MAX((Strats!$C$10+Strats!$C$11+M186),Q186),(Strats!$C$10+Strats!$C$11+M186)),P186),IF(Q186&lt;&gt;"",MAX((Strats!$C$10+Strats!$C$11+M186),Q186),(Strats!$C$10+Strats!$C$11+M186))),AI186))</f>
        <v>0</v>
      </c>
      <c r="AL186" s="68" t="str">
        <f aca="false">IF(OR(E186="",E186&lt;&gt;'Deal Strat'!$C$12,R186=""),"",SUMPRODUCT((E$4:E$303='Deal Strat'!$C$12)*(R$4:R$303&gt;R186))+1+SUMPRODUCT((E$4:E$303='Deal Strat'!$C$12)*(R$4:R$303=R186)*(ROW(R$4:R$303)&lt;ROW(R186))))</f>
        <v/>
      </c>
      <c r="AM186" s="68" t="str">
        <f aca="false">IF(R186="","",RANK(R186,$R$4:$R$303,0)+COUNTIF($R$4:R186,R186)-1)</f>
        <v/>
      </c>
      <c r="AN186" s="26" t="n">
        <f aca="false">IF(OR($A186="",$R186=""),0,IF(Deal_Scope="All Deals",1,IF($E186=Deal_Scope,1,0)))</f>
        <v>0</v>
      </c>
      <c r="AO186" s="56" t="n">
        <f aca="false">IF($AN186=0,0,Px_Par)</f>
        <v>0</v>
      </c>
      <c r="AP186" s="70" t="n">
        <f aca="false">IF($H186="",0,MAX(0,($H186-Set_Date)/30.4375))</f>
        <v>0</v>
      </c>
      <c r="AQ186" s="26" t="n">
        <f aca="false">IF(AND(Ext_Flag="Yes",$AA186="Yes"),Ext_Months,0)</f>
        <v>0</v>
      </c>
      <c r="AR186" s="70" t="n">
        <f aca="false">$AP186+$AQ186</f>
        <v>0</v>
      </c>
      <c r="AS186" s="70" t="n">
        <f aca="false">$AR186/12</f>
        <v>0</v>
      </c>
      <c r="AT186" s="70" t="n">
        <f aca="false">IF($AJ186="",0,MAX(0,$AJ186/12))</f>
        <v>0</v>
      </c>
      <c r="AU186" s="70" t="n">
        <f aca="false">MAX(Amort_Min,Amort_Term-$AH186/12)</f>
        <v>30</v>
      </c>
      <c r="AV186" s="70" t="n">
        <f aca="false">MIN($AS186,Hold_Yrs)</f>
        <v>0</v>
      </c>
      <c r="AW186" s="26" t="n">
        <f aca="false">IF($AN186=0,0,CEILING(MAX($AS186,0.0001),1))</f>
        <v>0</v>
      </c>
      <c r="AX186" s="26" t="n">
        <f aca="false">IF(AND($AN186=1,MAX($AS186,0.0001)&lt;=Hold_Yrs),1,0)</f>
        <v>0</v>
      </c>
      <c r="AY186" s="71" t="n">
        <f aca="false">$R186*$AO186</f>
        <v>0</v>
      </c>
      <c r="AZ186" s="71" t="n">
        <f aca="false">$R186*Acc_Int*$AN186</f>
        <v>0</v>
      </c>
      <c r="BA186" s="71" t="n">
        <f aca="false">$AY186*Acq_Cost</f>
        <v>0</v>
      </c>
      <c r="BB186" s="71" t="n">
        <f aca="false">$AY186+$AZ186+$BA186</f>
        <v>0</v>
      </c>
      <c r="BC186" s="71" t="n">
        <f aca="false">IF(Fin_Flag="Yes",$AY186*Adv_Rate,0)</f>
        <v>0</v>
      </c>
      <c r="BD186" s="71" t="n">
        <f aca="false">$BC186*Fin_UpFee</f>
        <v>0</v>
      </c>
      <c r="BE186" s="71" t="n">
        <f aca="false">$BB186-$BC186+$BD186</f>
        <v>0</v>
      </c>
    </row>
    <row r="187" customFormat="false" ht="14.25" hidden="false" customHeight="false" outlineLevel="0" collapsed="false">
      <c r="A187" s="61"/>
      <c r="B187" s="62"/>
      <c r="C187" s="61"/>
      <c r="D187" s="61"/>
      <c r="E187" s="61"/>
      <c r="F187" s="63"/>
      <c r="G187" s="64"/>
      <c r="H187" s="64"/>
      <c r="I187" s="63"/>
      <c r="J187" s="63"/>
      <c r="K187" s="61"/>
      <c r="L187" s="65"/>
      <c r="M187" s="65"/>
      <c r="N187" s="61"/>
      <c r="O187" s="64"/>
      <c r="P187" s="65"/>
      <c r="Q187" s="65"/>
      <c r="R187" s="66"/>
      <c r="S187" s="65"/>
      <c r="T187" s="65"/>
      <c r="U187" s="67"/>
      <c r="V187" s="65"/>
      <c r="W187" s="65"/>
      <c r="X187" s="63"/>
      <c r="Y187" s="63"/>
      <c r="Z187" s="61"/>
      <c r="AA187" s="61"/>
      <c r="AB187" s="61"/>
      <c r="AC187" s="61"/>
      <c r="AD187" s="61"/>
      <c r="AE187" s="61"/>
      <c r="AF187" s="61"/>
      <c r="AG187" s="61"/>
      <c r="AH187" s="68" t="n">
        <f aca="false">IF(G187="",0,ROUND((Strats!$C$4-G187)/30.4375,1))</f>
        <v>0</v>
      </c>
      <c r="AI187" s="69" t="n">
        <f aca="false">IF(K187="",0,IF(K187="Floating",Strats!$C$10+M187,L187))</f>
        <v>0</v>
      </c>
      <c r="AJ187" s="68" t="str">
        <f aca="false">IF(OR(Z187="",Z187="Full Amortizing"),"",MAX(J187-AH187,0))</f>
        <v/>
      </c>
      <c r="AK187" s="69" t="n">
        <f aca="false">IF(K187="",0,IF(K187="Floating",IF(P187&lt;&gt;"",MIN(IF(Q187&lt;&gt;"",MAX((Strats!$C$10+Strats!$C$11+M187),Q187),(Strats!$C$10+Strats!$C$11+M187)),P187),IF(Q187&lt;&gt;"",MAX((Strats!$C$10+Strats!$C$11+M187),Q187),(Strats!$C$10+Strats!$C$11+M187))),AI187))</f>
        <v>0</v>
      </c>
      <c r="AL187" s="68" t="str">
        <f aca="false">IF(OR(E187="",E187&lt;&gt;'Deal Strat'!$C$12,R187=""),"",SUMPRODUCT((E$4:E$303='Deal Strat'!$C$12)*(R$4:R$303&gt;R187))+1+SUMPRODUCT((E$4:E$303='Deal Strat'!$C$12)*(R$4:R$303=R187)*(ROW(R$4:R$303)&lt;ROW(R187))))</f>
        <v/>
      </c>
      <c r="AM187" s="68" t="str">
        <f aca="false">IF(R187="","",RANK(R187,$R$4:$R$303,0)+COUNTIF($R$4:R187,R187)-1)</f>
        <v/>
      </c>
      <c r="AN187" s="26" t="n">
        <f aca="false">IF(OR($A187="",$R187=""),0,IF(Deal_Scope="All Deals",1,IF($E187=Deal_Scope,1,0)))</f>
        <v>0</v>
      </c>
      <c r="AO187" s="56" t="n">
        <f aca="false">IF($AN187=0,0,Px_Par)</f>
        <v>0</v>
      </c>
      <c r="AP187" s="70" t="n">
        <f aca="false">IF($H187="",0,MAX(0,($H187-Set_Date)/30.4375))</f>
        <v>0</v>
      </c>
      <c r="AQ187" s="26" t="n">
        <f aca="false">IF(AND(Ext_Flag="Yes",$AA187="Yes"),Ext_Months,0)</f>
        <v>0</v>
      </c>
      <c r="AR187" s="70" t="n">
        <f aca="false">$AP187+$AQ187</f>
        <v>0</v>
      </c>
      <c r="AS187" s="70" t="n">
        <f aca="false">$AR187/12</f>
        <v>0</v>
      </c>
      <c r="AT187" s="70" t="n">
        <f aca="false">IF($AJ187="",0,MAX(0,$AJ187/12))</f>
        <v>0</v>
      </c>
      <c r="AU187" s="70" t="n">
        <f aca="false">MAX(Amort_Min,Amort_Term-$AH187/12)</f>
        <v>30</v>
      </c>
      <c r="AV187" s="70" t="n">
        <f aca="false">MIN($AS187,Hold_Yrs)</f>
        <v>0</v>
      </c>
      <c r="AW187" s="26" t="n">
        <f aca="false">IF($AN187=0,0,CEILING(MAX($AS187,0.0001),1))</f>
        <v>0</v>
      </c>
      <c r="AX187" s="26" t="n">
        <f aca="false">IF(AND($AN187=1,MAX($AS187,0.0001)&lt;=Hold_Yrs),1,0)</f>
        <v>0</v>
      </c>
      <c r="AY187" s="71" t="n">
        <f aca="false">$R187*$AO187</f>
        <v>0</v>
      </c>
      <c r="AZ187" s="71" t="n">
        <f aca="false">$R187*Acc_Int*$AN187</f>
        <v>0</v>
      </c>
      <c r="BA187" s="71" t="n">
        <f aca="false">$AY187*Acq_Cost</f>
        <v>0</v>
      </c>
      <c r="BB187" s="71" t="n">
        <f aca="false">$AY187+$AZ187+$BA187</f>
        <v>0</v>
      </c>
      <c r="BC187" s="71" t="n">
        <f aca="false">IF(Fin_Flag="Yes",$AY187*Adv_Rate,0)</f>
        <v>0</v>
      </c>
      <c r="BD187" s="71" t="n">
        <f aca="false">$BC187*Fin_UpFee</f>
        <v>0</v>
      </c>
      <c r="BE187" s="71" t="n">
        <f aca="false">$BB187-$BC187+$BD187</f>
        <v>0</v>
      </c>
    </row>
    <row r="188" customFormat="false" ht="14.25" hidden="false" customHeight="false" outlineLevel="0" collapsed="false">
      <c r="A188" s="61"/>
      <c r="B188" s="62"/>
      <c r="C188" s="61"/>
      <c r="D188" s="61"/>
      <c r="E188" s="61"/>
      <c r="F188" s="63"/>
      <c r="G188" s="64"/>
      <c r="H188" s="64"/>
      <c r="I188" s="63"/>
      <c r="J188" s="63"/>
      <c r="K188" s="61"/>
      <c r="L188" s="65"/>
      <c r="M188" s="65"/>
      <c r="N188" s="61"/>
      <c r="O188" s="64"/>
      <c r="P188" s="65"/>
      <c r="Q188" s="65"/>
      <c r="R188" s="66"/>
      <c r="S188" s="65"/>
      <c r="T188" s="65"/>
      <c r="U188" s="67"/>
      <c r="V188" s="65"/>
      <c r="W188" s="65"/>
      <c r="X188" s="63"/>
      <c r="Y188" s="63"/>
      <c r="Z188" s="61"/>
      <c r="AA188" s="61"/>
      <c r="AB188" s="61"/>
      <c r="AC188" s="61"/>
      <c r="AD188" s="61"/>
      <c r="AE188" s="61"/>
      <c r="AF188" s="61"/>
      <c r="AG188" s="61"/>
      <c r="AH188" s="68" t="n">
        <f aca="false">IF(G188="",0,ROUND((Strats!$C$4-G188)/30.4375,1))</f>
        <v>0</v>
      </c>
      <c r="AI188" s="69" t="n">
        <f aca="false">IF(K188="",0,IF(K188="Floating",Strats!$C$10+M188,L188))</f>
        <v>0</v>
      </c>
      <c r="AJ188" s="68" t="str">
        <f aca="false">IF(OR(Z188="",Z188="Full Amortizing"),"",MAX(J188-AH188,0))</f>
        <v/>
      </c>
      <c r="AK188" s="69" t="n">
        <f aca="false">IF(K188="",0,IF(K188="Floating",IF(P188&lt;&gt;"",MIN(IF(Q188&lt;&gt;"",MAX((Strats!$C$10+Strats!$C$11+M188),Q188),(Strats!$C$10+Strats!$C$11+M188)),P188),IF(Q188&lt;&gt;"",MAX((Strats!$C$10+Strats!$C$11+M188),Q188),(Strats!$C$10+Strats!$C$11+M188))),AI188))</f>
        <v>0</v>
      </c>
      <c r="AL188" s="68" t="str">
        <f aca="false">IF(OR(E188="",E188&lt;&gt;'Deal Strat'!$C$12,R188=""),"",SUMPRODUCT((E$4:E$303='Deal Strat'!$C$12)*(R$4:R$303&gt;R188))+1+SUMPRODUCT((E$4:E$303='Deal Strat'!$C$12)*(R$4:R$303=R188)*(ROW(R$4:R$303)&lt;ROW(R188))))</f>
        <v/>
      </c>
      <c r="AM188" s="68" t="str">
        <f aca="false">IF(R188="","",RANK(R188,$R$4:$R$303,0)+COUNTIF($R$4:R188,R188)-1)</f>
        <v/>
      </c>
      <c r="AN188" s="26" t="n">
        <f aca="false">IF(OR($A188="",$R188=""),0,IF(Deal_Scope="All Deals",1,IF($E188=Deal_Scope,1,0)))</f>
        <v>0</v>
      </c>
      <c r="AO188" s="56" t="n">
        <f aca="false">IF($AN188=0,0,Px_Par)</f>
        <v>0</v>
      </c>
      <c r="AP188" s="70" t="n">
        <f aca="false">IF($H188="",0,MAX(0,($H188-Set_Date)/30.4375))</f>
        <v>0</v>
      </c>
      <c r="AQ188" s="26" t="n">
        <f aca="false">IF(AND(Ext_Flag="Yes",$AA188="Yes"),Ext_Months,0)</f>
        <v>0</v>
      </c>
      <c r="AR188" s="70" t="n">
        <f aca="false">$AP188+$AQ188</f>
        <v>0</v>
      </c>
      <c r="AS188" s="70" t="n">
        <f aca="false">$AR188/12</f>
        <v>0</v>
      </c>
      <c r="AT188" s="70" t="n">
        <f aca="false">IF($AJ188="",0,MAX(0,$AJ188/12))</f>
        <v>0</v>
      </c>
      <c r="AU188" s="70" t="n">
        <f aca="false">MAX(Amort_Min,Amort_Term-$AH188/12)</f>
        <v>30</v>
      </c>
      <c r="AV188" s="70" t="n">
        <f aca="false">MIN($AS188,Hold_Yrs)</f>
        <v>0</v>
      </c>
      <c r="AW188" s="26" t="n">
        <f aca="false">IF($AN188=0,0,CEILING(MAX($AS188,0.0001),1))</f>
        <v>0</v>
      </c>
      <c r="AX188" s="26" t="n">
        <f aca="false">IF(AND($AN188=1,MAX($AS188,0.0001)&lt;=Hold_Yrs),1,0)</f>
        <v>0</v>
      </c>
      <c r="AY188" s="71" t="n">
        <f aca="false">$R188*$AO188</f>
        <v>0</v>
      </c>
      <c r="AZ188" s="71" t="n">
        <f aca="false">$R188*Acc_Int*$AN188</f>
        <v>0</v>
      </c>
      <c r="BA188" s="71" t="n">
        <f aca="false">$AY188*Acq_Cost</f>
        <v>0</v>
      </c>
      <c r="BB188" s="71" t="n">
        <f aca="false">$AY188+$AZ188+$BA188</f>
        <v>0</v>
      </c>
      <c r="BC188" s="71" t="n">
        <f aca="false">IF(Fin_Flag="Yes",$AY188*Adv_Rate,0)</f>
        <v>0</v>
      </c>
      <c r="BD188" s="71" t="n">
        <f aca="false">$BC188*Fin_UpFee</f>
        <v>0</v>
      </c>
      <c r="BE188" s="71" t="n">
        <f aca="false">$BB188-$BC188+$BD188</f>
        <v>0</v>
      </c>
    </row>
    <row r="189" customFormat="false" ht="14.25" hidden="false" customHeight="false" outlineLevel="0" collapsed="false">
      <c r="A189" s="61"/>
      <c r="B189" s="62"/>
      <c r="C189" s="61"/>
      <c r="D189" s="61"/>
      <c r="E189" s="61"/>
      <c r="F189" s="63"/>
      <c r="G189" s="64"/>
      <c r="H189" s="64"/>
      <c r="I189" s="63"/>
      <c r="J189" s="63"/>
      <c r="K189" s="61"/>
      <c r="L189" s="65"/>
      <c r="M189" s="65"/>
      <c r="N189" s="61"/>
      <c r="O189" s="64"/>
      <c r="P189" s="65"/>
      <c r="Q189" s="65"/>
      <c r="R189" s="66"/>
      <c r="S189" s="65"/>
      <c r="T189" s="65"/>
      <c r="U189" s="67"/>
      <c r="V189" s="65"/>
      <c r="W189" s="65"/>
      <c r="X189" s="63"/>
      <c r="Y189" s="63"/>
      <c r="Z189" s="61"/>
      <c r="AA189" s="61"/>
      <c r="AB189" s="61"/>
      <c r="AC189" s="61"/>
      <c r="AD189" s="61"/>
      <c r="AE189" s="61"/>
      <c r="AF189" s="61"/>
      <c r="AG189" s="61"/>
      <c r="AH189" s="68" t="n">
        <f aca="false">IF(G189="",0,ROUND((Strats!$C$4-G189)/30.4375,1))</f>
        <v>0</v>
      </c>
      <c r="AI189" s="69" t="n">
        <f aca="false">IF(K189="",0,IF(K189="Floating",Strats!$C$10+M189,L189))</f>
        <v>0</v>
      </c>
      <c r="AJ189" s="68" t="str">
        <f aca="false">IF(OR(Z189="",Z189="Full Amortizing"),"",MAX(J189-AH189,0))</f>
        <v/>
      </c>
      <c r="AK189" s="69" t="n">
        <f aca="false">IF(K189="",0,IF(K189="Floating",IF(P189&lt;&gt;"",MIN(IF(Q189&lt;&gt;"",MAX((Strats!$C$10+Strats!$C$11+M189),Q189),(Strats!$C$10+Strats!$C$11+M189)),P189),IF(Q189&lt;&gt;"",MAX((Strats!$C$10+Strats!$C$11+M189),Q189),(Strats!$C$10+Strats!$C$11+M189))),AI189))</f>
        <v>0</v>
      </c>
      <c r="AL189" s="68" t="str">
        <f aca="false">IF(OR(E189="",E189&lt;&gt;'Deal Strat'!$C$12,R189=""),"",SUMPRODUCT((E$4:E$303='Deal Strat'!$C$12)*(R$4:R$303&gt;R189))+1+SUMPRODUCT((E$4:E$303='Deal Strat'!$C$12)*(R$4:R$303=R189)*(ROW(R$4:R$303)&lt;ROW(R189))))</f>
        <v/>
      </c>
      <c r="AM189" s="68" t="str">
        <f aca="false">IF(R189="","",RANK(R189,$R$4:$R$303,0)+COUNTIF($R$4:R189,R189)-1)</f>
        <v/>
      </c>
      <c r="AN189" s="26" t="n">
        <f aca="false">IF(OR($A189="",$R189=""),0,IF(Deal_Scope="All Deals",1,IF($E189=Deal_Scope,1,0)))</f>
        <v>0</v>
      </c>
      <c r="AO189" s="56" t="n">
        <f aca="false">IF($AN189=0,0,Px_Par)</f>
        <v>0</v>
      </c>
      <c r="AP189" s="70" t="n">
        <f aca="false">IF($H189="",0,MAX(0,($H189-Set_Date)/30.4375))</f>
        <v>0</v>
      </c>
      <c r="AQ189" s="26" t="n">
        <f aca="false">IF(AND(Ext_Flag="Yes",$AA189="Yes"),Ext_Months,0)</f>
        <v>0</v>
      </c>
      <c r="AR189" s="70" t="n">
        <f aca="false">$AP189+$AQ189</f>
        <v>0</v>
      </c>
      <c r="AS189" s="70" t="n">
        <f aca="false">$AR189/12</f>
        <v>0</v>
      </c>
      <c r="AT189" s="70" t="n">
        <f aca="false">IF($AJ189="",0,MAX(0,$AJ189/12))</f>
        <v>0</v>
      </c>
      <c r="AU189" s="70" t="n">
        <f aca="false">MAX(Amort_Min,Amort_Term-$AH189/12)</f>
        <v>30</v>
      </c>
      <c r="AV189" s="70" t="n">
        <f aca="false">MIN($AS189,Hold_Yrs)</f>
        <v>0</v>
      </c>
      <c r="AW189" s="26" t="n">
        <f aca="false">IF($AN189=0,0,CEILING(MAX($AS189,0.0001),1))</f>
        <v>0</v>
      </c>
      <c r="AX189" s="26" t="n">
        <f aca="false">IF(AND($AN189=1,MAX($AS189,0.0001)&lt;=Hold_Yrs),1,0)</f>
        <v>0</v>
      </c>
      <c r="AY189" s="71" t="n">
        <f aca="false">$R189*$AO189</f>
        <v>0</v>
      </c>
      <c r="AZ189" s="71" t="n">
        <f aca="false">$R189*Acc_Int*$AN189</f>
        <v>0</v>
      </c>
      <c r="BA189" s="71" t="n">
        <f aca="false">$AY189*Acq_Cost</f>
        <v>0</v>
      </c>
      <c r="BB189" s="71" t="n">
        <f aca="false">$AY189+$AZ189+$BA189</f>
        <v>0</v>
      </c>
      <c r="BC189" s="71" t="n">
        <f aca="false">IF(Fin_Flag="Yes",$AY189*Adv_Rate,0)</f>
        <v>0</v>
      </c>
      <c r="BD189" s="71" t="n">
        <f aca="false">$BC189*Fin_UpFee</f>
        <v>0</v>
      </c>
      <c r="BE189" s="71" t="n">
        <f aca="false">$BB189-$BC189+$BD189</f>
        <v>0</v>
      </c>
    </row>
    <row r="190" customFormat="false" ht="14.25" hidden="false" customHeight="false" outlineLevel="0" collapsed="false">
      <c r="A190" s="61"/>
      <c r="B190" s="62"/>
      <c r="C190" s="61"/>
      <c r="D190" s="61"/>
      <c r="E190" s="61"/>
      <c r="F190" s="63"/>
      <c r="G190" s="64"/>
      <c r="H190" s="64"/>
      <c r="I190" s="63"/>
      <c r="J190" s="63"/>
      <c r="K190" s="61"/>
      <c r="L190" s="65"/>
      <c r="M190" s="65"/>
      <c r="N190" s="61"/>
      <c r="O190" s="64"/>
      <c r="P190" s="65"/>
      <c r="Q190" s="65"/>
      <c r="R190" s="66"/>
      <c r="S190" s="65"/>
      <c r="T190" s="65"/>
      <c r="U190" s="67"/>
      <c r="V190" s="65"/>
      <c r="W190" s="65"/>
      <c r="X190" s="63"/>
      <c r="Y190" s="63"/>
      <c r="Z190" s="61"/>
      <c r="AA190" s="61"/>
      <c r="AB190" s="61"/>
      <c r="AC190" s="61"/>
      <c r="AD190" s="61"/>
      <c r="AE190" s="61"/>
      <c r="AF190" s="61"/>
      <c r="AG190" s="61"/>
      <c r="AH190" s="68" t="n">
        <f aca="false">IF(G190="",0,ROUND((Strats!$C$4-G190)/30.4375,1))</f>
        <v>0</v>
      </c>
      <c r="AI190" s="69" t="n">
        <f aca="false">IF(K190="",0,IF(K190="Floating",Strats!$C$10+M190,L190))</f>
        <v>0</v>
      </c>
      <c r="AJ190" s="68" t="str">
        <f aca="false">IF(OR(Z190="",Z190="Full Amortizing"),"",MAX(J190-AH190,0))</f>
        <v/>
      </c>
      <c r="AK190" s="69" t="n">
        <f aca="false">IF(K190="",0,IF(K190="Floating",IF(P190&lt;&gt;"",MIN(IF(Q190&lt;&gt;"",MAX((Strats!$C$10+Strats!$C$11+M190),Q190),(Strats!$C$10+Strats!$C$11+M190)),P190),IF(Q190&lt;&gt;"",MAX((Strats!$C$10+Strats!$C$11+M190),Q190),(Strats!$C$10+Strats!$C$11+M190))),AI190))</f>
        <v>0</v>
      </c>
      <c r="AL190" s="68" t="str">
        <f aca="false">IF(OR(E190="",E190&lt;&gt;'Deal Strat'!$C$12,R190=""),"",SUMPRODUCT((E$4:E$303='Deal Strat'!$C$12)*(R$4:R$303&gt;R190))+1+SUMPRODUCT((E$4:E$303='Deal Strat'!$C$12)*(R$4:R$303=R190)*(ROW(R$4:R$303)&lt;ROW(R190))))</f>
        <v/>
      </c>
      <c r="AM190" s="68" t="str">
        <f aca="false">IF(R190="","",RANK(R190,$R$4:$R$303,0)+COUNTIF($R$4:R190,R190)-1)</f>
        <v/>
      </c>
      <c r="AN190" s="26" t="n">
        <f aca="false">IF(OR($A190="",$R190=""),0,IF(Deal_Scope="All Deals",1,IF($E190=Deal_Scope,1,0)))</f>
        <v>0</v>
      </c>
      <c r="AO190" s="56" t="n">
        <f aca="false">IF($AN190=0,0,Px_Par)</f>
        <v>0</v>
      </c>
      <c r="AP190" s="70" t="n">
        <f aca="false">IF($H190="",0,MAX(0,($H190-Set_Date)/30.4375))</f>
        <v>0</v>
      </c>
      <c r="AQ190" s="26" t="n">
        <f aca="false">IF(AND(Ext_Flag="Yes",$AA190="Yes"),Ext_Months,0)</f>
        <v>0</v>
      </c>
      <c r="AR190" s="70" t="n">
        <f aca="false">$AP190+$AQ190</f>
        <v>0</v>
      </c>
      <c r="AS190" s="70" t="n">
        <f aca="false">$AR190/12</f>
        <v>0</v>
      </c>
      <c r="AT190" s="70" t="n">
        <f aca="false">IF($AJ190="",0,MAX(0,$AJ190/12))</f>
        <v>0</v>
      </c>
      <c r="AU190" s="70" t="n">
        <f aca="false">MAX(Amort_Min,Amort_Term-$AH190/12)</f>
        <v>30</v>
      </c>
      <c r="AV190" s="70" t="n">
        <f aca="false">MIN($AS190,Hold_Yrs)</f>
        <v>0</v>
      </c>
      <c r="AW190" s="26" t="n">
        <f aca="false">IF($AN190=0,0,CEILING(MAX($AS190,0.0001),1))</f>
        <v>0</v>
      </c>
      <c r="AX190" s="26" t="n">
        <f aca="false">IF(AND($AN190=1,MAX($AS190,0.0001)&lt;=Hold_Yrs),1,0)</f>
        <v>0</v>
      </c>
      <c r="AY190" s="71" t="n">
        <f aca="false">$R190*$AO190</f>
        <v>0</v>
      </c>
      <c r="AZ190" s="71" t="n">
        <f aca="false">$R190*Acc_Int*$AN190</f>
        <v>0</v>
      </c>
      <c r="BA190" s="71" t="n">
        <f aca="false">$AY190*Acq_Cost</f>
        <v>0</v>
      </c>
      <c r="BB190" s="71" t="n">
        <f aca="false">$AY190+$AZ190+$BA190</f>
        <v>0</v>
      </c>
      <c r="BC190" s="71" t="n">
        <f aca="false">IF(Fin_Flag="Yes",$AY190*Adv_Rate,0)</f>
        <v>0</v>
      </c>
      <c r="BD190" s="71" t="n">
        <f aca="false">$BC190*Fin_UpFee</f>
        <v>0</v>
      </c>
      <c r="BE190" s="71" t="n">
        <f aca="false">$BB190-$BC190+$BD190</f>
        <v>0</v>
      </c>
    </row>
    <row r="191" customFormat="false" ht="14.25" hidden="false" customHeight="false" outlineLevel="0" collapsed="false">
      <c r="A191" s="61"/>
      <c r="B191" s="62"/>
      <c r="C191" s="61"/>
      <c r="D191" s="61"/>
      <c r="E191" s="61"/>
      <c r="F191" s="63"/>
      <c r="G191" s="64"/>
      <c r="H191" s="64"/>
      <c r="I191" s="63"/>
      <c r="J191" s="63"/>
      <c r="K191" s="61"/>
      <c r="L191" s="65"/>
      <c r="M191" s="65"/>
      <c r="N191" s="61"/>
      <c r="O191" s="64"/>
      <c r="P191" s="65"/>
      <c r="Q191" s="65"/>
      <c r="R191" s="66"/>
      <c r="S191" s="65"/>
      <c r="T191" s="65"/>
      <c r="U191" s="67"/>
      <c r="V191" s="65"/>
      <c r="W191" s="65"/>
      <c r="X191" s="63"/>
      <c r="Y191" s="63"/>
      <c r="Z191" s="61"/>
      <c r="AA191" s="61"/>
      <c r="AB191" s="61"/>
      <c r="AC191" s="61"/>
      <c r="AD191" s="61"/>
      <c r="AE191" s="61"/>
      <c r="AF191" s="61"/>
      <c r="AG191" s="61"/>
      <c r="AH191" s="68" t="n">
        <f aca="false">IF(G191="",0,ROUND((Strats!$C$4-G191)/30.4375,1))</f>
        <v>0</v>
      </c>
      <c r="AI191" s="69" t="n">
        <f aca="false">IF(K191="",0,IF(K191="Floating",Strats!$C$10+M191,L191))</f>
        <v>0</v>
      </c>
      <c r="AJ191" s="68" t="str">
        <f aca="false">IF(OR(Z191="",Z191="Full Amortizing"),"",MAX(J191-AH191,0))</f>
        <v/>
      </c>
      <c r="AK191" s="69" t="n">
        <f aca="false">IF(K191="",0,IF(K191="Floating",IF(P191&lt;&gt;"",MIN(IF(Q191&lt;&gt;"",MAX((Strats!$C$10+Strats!$C$11+M191),Q191),(Strats!$C$10+Strats!$C$11+M191)),P191),IF(Q191&lt;&gt;"",MAX((Strats!$C$10+Strats!$C$11+M191),Q191),(Strats!$C$10+Strats!$C$11+M191))),AI191))</f>
        <v>0</v>
      </c>
      <c r="AL191" s="68" t="str">
        <f aca="false">IF(OR(E191="",E191&lt;&gt;'Deal Strat'!$C$12,R191=""),"",SUMPRODUCT((E$4:E$303='Deal Strat'!$C$12)*(R$4:R$303&gt;R191))+1+SUMPRODUCT((E$4:E$303='Deal Strat'!$C$12)*(R$4:R$303=R191)*(ROW(R$4:R$303)&lt;ROW(R191))))</f>
        <v/>
      </c>
      <c r="AM191" s="68" t="str">
        <f aca="false">IF(R191="","",RANK(R191,$R$4:$R$303,0)+COUNTIF($R$4:R191,R191)-1)</f>
        <v/>
      </c>
      <c r="AN191" s="26" t="n">
        <f aca="false">IF(OR($A191="",$R191=""),0,IF(Deal_Scope="All Deals",1,IF($E191=Deal_Scope,1,0)))</f>
        <v>0</v>
      </c>
      <c r="AO191" s="56" t="n">
        <f aca="false">IF($AN191=0,0,Px_Par)</f>
        <v>0</v>
      </c>
      <c r="AP191" s="70" t="n">
        <f aca="false">IF($H191="",0,MAX(0,($H191-Set_Date)/30.4375))</f>
        <v>0</v>
      </c>
      <c r="AQ191" s="26" t="n">
        <f aca="false">IF(AND(Ext_Flag="Yes",$AA191="Yes"),Ext_Months,0)</f>
        <v>0</v>
      </c>
      <c r="AR191" s="70" t="n">
        <f aca="false">$AP191+$AQ191</f>
        <v>0</v>
      </c>
      <c r="AS191" s="70" t="n">
        <f aca="false">$AR191/12</f>
        <v>0</v>
      </c>
      <c r="AT191" s="70" t="n">
        <f aca="false">IF($AJ191="",0,MAX(0,$AJ191/12))</f>
        <v>0</v>
      </c>
      <c r="AU191" s="70" t="n">
        <f aca="false">MAX(Amort_Min,Amort_Term-$AH191/12)</f>
        <v>30</v>
      </c>
      <c r="AV191" s="70" t="n">
        <f aca="false">MIN($AS191,Hold_Yrs)</f>
        <v>0</v>
      </c>
      <c r="AW191" s="26" t="n">
        <f aca="false">IF($AN191=0,0,CEILING(MAX($AS191,0.0001),1))</f>
        <v>0</v>
      </c>
      <c r="AX191" s="26" t="n">
        <f aca="false">IF(AND($AN191=1,MAX($AS191,0.0001)&lt;=Hold_Yrs),1,0)</f>
        <v>0</v>
      </c>
      <c r="AY191" s="71" t="n">
        <f aca="false">$R191*$AO191</f>
        <v>0</v>
      </c>
      <c r="AZ191" s="71" t="n">
        <f aca="false">$R191*Acc_Int*$AN191</f>
        <v>0</v>
      </c>
      <c r="BA191" s="71" t="n">
        <f aca="false">$AY191*Acq_Cost</f>
        <v>0</v>
      </c>
      <c r="BB191" s="71" t="n">
        <f aca="false">$AY191+$AZ191+$BA191</f>
        <v>0</v>
      </c>
      <c r="BC191" s="71" t="n">
        <f aca="false">IF(Fin_Flag="Yes",$AY191*Adv_Rate,0)</f>
        <v>0</v>
      </c>
      <c r="BD191" s="71" t="n">
        <f aca="false">$BC191*Fin_UpFee</f>
        <v>0</v>
      </c>
      <c r="BE191" s="71" t="n">
        <f aca="false">$BB191-$BC191+$BD191</f>
        <v>0</v>
      </c>
    </row>
    <row r="192" customFormat="false" ht="14.25" hidden="false" customHeight="false" outlineLevel="0" collapsed="false">
      <c r="A192" s="61"/>
      <c r="B192" s="62"/>
      <c r="C192" s="61"/>
      <c r="D192" s="61"/>
      <c r="E192" s="61"/>
      <c r="F192" s="63"/>
      <c r="G192" s="64"/>
      <c r="H192" s="64"/>
      <c r="I192" s="63"/>
      <c r="J192" s="63"/>
      <c r="K192" s="61"/>
      <c r="L192" s="65"/>
      <c r="M192" s="65"/>
      <c r="N192" s="61"/>
      <c r="O192" s="64"/>
      <c r="P192" s="65"/>
      <c r="Q192" s="65"/>
      <c r="R192" s="66"/>
      <c r="S192" s="65"/>
      <c r="T192" s="65"/>
      <c r="U192" s="67"/>
      <c r="V192" s="65"/>
      <c r="W192" s="65"/>
      <c r="X192" s="63"/>
      <c r="Y192" s="63"/>
      <c r="Z192" s="61"/>
      <c r="AA192" s="61"/>
      <c r="AB192" s="61"/>
      <c r="AC192" s="61"/>
      <c r="AD192" s="61"/>
      <c r="AE192" s="61"/>
      <c r="AF192" s="61"/>
      <c r="AG192" s="61"/>
      <c r="AH192" s="68" t="n">
        <f aca="false">IF(G192="",0,ROUND((Strats!$C$4-G192)/30.4375,1))</f>
        <v>0</v>
      </c>
      <c r="AI192" s="69" t="n">
        <f aca="false">IF(K192="",0,IF(K192="Floating",Strats!$C$10+M192,L192))</f>
        <v>0</v>
      </c>
      <c r="AJ192" s="68" t="str">
        <f aca="false">IF(OR(Z192="",Z192="Full Amortizing"),"",MAX(J192-AH192,0))</f>
        <v/>
      </c>
      <c r="AK192" s="69" t="n">
        <f aca="false">IF(K192="",0,IF(K192="Floating",IF(P192&lt;&gt;"",MIN(IF(Q192&lt;&gt;"",MAX((Strats!$C$10+Strats!$C$11+M192),Q192),(Strats!$C$10+Strats!$C$11+M192)),P192),IF(Q192&lt;&gt;"",MAX((Strats!$C$10+Strats!$C$11+M192),Q192),(Strats!$C$10+Strats!$C$11+M192))),AI192))</f>
        <v>0</v>
      </c>
      <c r="AL192" s="68" t="str">
        <f aca="false">IF(OR(E192="",E192&lt;&gt;'Deal Strat'!$C$12,R192=""),"",SUMPRODUCT((E$4:E$303='Deal Strat'!$C$12)*(R$4:R$303&gt;R192))+1+SUMPRODUCT((E$4:E$303='Deal Strat'!$C$12)*(R$4:R$303=R192)*(ROW(R$4:R$303)&lt;ROW(R192))))</f>
        <v/>
      </c>
      <c r="AM192" s="68" t="str">
        <f aca="false">IF(R192="","",RANK(R192,$R$4:$R$303,0)+COUNTIF($R$4:R192,R192)-1)</f>
        <v/>
      </c>
      <c r="AN192" s="26" t="n">
        <f aca="false">IF(OR($A192="",$R192=""),0,IF(Deal_Scope="All Deals",1,IF($E192=Deal_Scope,1,0)))</f>
        <v>0</v>
      </c>
      <c r="AO192" s="56" t="n">
        <f aca="false">IF($AN192=0,0,Px_Par)</f>
        <v>0</v>
      </c>
      <c r="AP192" s="70" t="n">
        <f aca="false">IF($H192="",0,MAX(0,($H192-Set_Date)/30.4375))</f>
        <v>0</v>
      </c>
      <c r="AQ192" s="26" t="n">
        <f aca="false">IF(AND(Ext_Flag="Yes",$AA192="Yes"),Ext_Months,0)</f>
        <v>0</v>
      </c>
      <c r="AR192" s="70" t="n">
        <f aca="false">$AP192+$AQ192</f>
        <v>0</v>
      </c>
      <c r="AS192" s="70" t="n">
        <f aca="false">$AR192/12</f>
        <v>0</v>
      </c>
      <c r="AT192" s="70" t="n">
        <f aca="false">IF($AJ192="",0,MAX(0,$AJ192/12))</f>
        <v>0</v>
      </c>
      <c r="AU192" s="70" t="n">
        <f aca="false">MAX(Amort_Min,Amort_Term-$AH192/12)</f>
        <v>30</v>
      </c>
      <c r="AV192" s="70" t="n">
        <f aca="false">MIN($AS192,Hold_Yrs)</f>
        <v>0</v>
      </c>
      <c r="AW192" s="26" t="n">
        <f aca="false">IF($AN192=0,0,CEILING(MAX($AS192,0.0001),1))</f>
        <v>0</v>
      </c>
      <c r="AX192" s="26" t="n">
        <f aca="false">IF(AND($AN192=1,MAX($AS192,0.0001)&lt;=Hold_Yrs),1,0)</f>
        <v>0</v>
      </c>
      <c r="AY192" s="71" t="n">
        <f aca="false">$R192*$AO192</f>
        <v>0</v>
      </c>
      <c r="AZ192" s="71" t="n">
        <f aca="false">$R192*Acc_Int*$AN192</f>
        <v>0</v>
      </c>
      <c r="BA192" s="71" t="n">
        <f aca="false">$AY192*Acq_Cost</f>
        <v>0</v>
      </c>
      <c r="BB192" s="71" t="n">
        <f aca="false">$AY192+$AZ192+$BA192</f>
        <v>0</v>
      </c>
      <c r="BC192" s="71" t="n">
        <f aca="false">IF(Fin_Flag="Yes",$AY192*Adv_Rate,0)</f>
        <v>0</v>
      </c>
      <c r="BD192" s="71" t="n">
        <f aca="false">$BC192*Fin_UpFee</f>
        <v>0</v>
      </c>
      <c r="BE192" s="71" t="n">
        <f aca="false">$BB192-$BC192+$BD192</f>
        <v>0</v>
      </c>
    </row>
    <row r="193" customFormat="false" ht="14.25" hidden="false" customHeight="false" outlineLevel="0" collapsed="false">
      <c r="A193" s="61"/>
      <c r="B193" s="62"/>
      <c r="C193" s="61"/>
      <c r="D193" s="61"/>
      <c r="E193" s="61"/>
      <c r="F193" s="63"/>
      <c r="G193" s="64"/>
      <c r="H193" s="64"/>
      <c r="I193" s="63"/>
      <c r="J193" s="63"/>
      <c r="K193" s="61"/>
      <c r="L193" s="65"/>
      <c r="M193" s="65"/>
      <c r="N193" s="61"/>
      <c r="O193" s="64"/>
      <c r="P193" s="65"/>
      <c r="Q193" s="65"/>
      <c r="R193" s="66"/>
      <c r="S193" s="65"/>
      <c r="T193" s="65"/>
      <c r="U193" s="67"/>
      <c r="V193" s="65"/>
      <c r="W193" s="65"/>
      <c r="X193" s="63"/>
      <c r="Y193" s="63"/>
      <c r="Z193" s="61"/>
      <c r="AA193" s="61"/>
      <c r="AB193" s="61"/>
      <c r="AC193" s="61"/>
      <c r="AD193" s="61"/>
      <c r="AE193" s="61"/>
      <c r="AF193" s="61"/>
      <c r="AG193" s="61"/>
      <c r="AH193" s="68" t="n">
        <f aca="false">IF(G193="",0,ROUND((Strats!$C$4-G193)/30.4375,1))</f>
        <v>0</v>
      </c>
      <c r="AI193" s="69" t="n">
        <f aca="false">IF(K193="",0,IF(K193="Floating",Strats!$C$10+M193,L193))</f>
        <v>0</v>
      </c>
      <c r="AJ193" s="68" t="str">
        <f aca="false">IF(OR(Z193="",Z193="Full Amortizing"),"",MAX(J193-AH193,0))</f>
        <v/>
      </c>
      <c r="AK193" s="69" t="n">
        <f aca="false">IF(K193="",0,IF(K193="Floating",IF(P193&lt;&gt;"",MIN(IF(Q193&lt;&gt;"",MAX((Strats!$C$10+Strats!$C$11+M193),Q193),(Strats!$C$10+Strats!$C$11+M193)),P193),IF(Q193&lt;&gt;"",MAX((Strats!$C$10+Strats!$C$11+M193),Q193),(Strats!$C$10+Strats!$C$11+M193))),AI193))</f>
        <v>0</v>
      </c>
      <c r="AL193" s="68" t="str">
        <f aca="false">IF(OR(E193="",E193&lt;&gt;'Deal Strat'!$C$12,R193=""),"",SUMPRODUCT((E$4:E$303='Deal Strat'!$C$12)*(R$4:R$303&gt;R193))+1+SUMPRODUCT((E$4:E$303='Deal Strat'!$C$12)*(R$4:R$303=R193)*(ROW(R$4:R$303)&lt;ROW(R193))))</f>
        <v/>
      </c>
      <c r="AM193" s="68" t="str">
        <f aca="false">IF(R193="","",RANK(R193,$R$4:$R$303,0)+COUNTIF($R$4:R193,R193)-1)</f>
        <v/>
      </c>
      <c r="AN193" s="26" t="n">
        <f aca="false">IF(OR($A193="",$R193=""),0,IF(Deal_Scope="All Deals",1,IF($E193=Deal_Scope,1,0)))</f>
        <v>0</v>
      </c>
      <c r="AO193" s="56" t="n">
        <f aca="false">IF($AN193=0,0,Px_Par)</f>
        <v>0</v>
      </c>
      <c r="AP193" s="70" t="n">
        <f aca="false">IF($H193="",0,MAX(0,($H193-Set_Date)/30.4375))</f>
        <v>0</v>
      </c>
      <c r="AQ193" s="26" t="n">
        <f aca="false">IF(AND(Ext_Flag="Yes",$AA193="Yes"),Ext_Months,0)</f>
        <v>0</v>
      </c>
      <c r="AR193" s="70" t="n">
        <f aca="false">$AP193+$AQ193</f>
        <v>0</v>
      </c>
      <c r="AS193" s="70" t="n">
        <f aca="false">$AR193/12</f>
        <v>0</v>
      </c>
      <c r="AT193" s="70" t="n">
        <f aca="false">IF($AJ193="",0,MAX(0,$AJ193/12))</f>
        <v>0</v>
      </c>
      <c r="AU193" s="70" t="n">
        <f aca="false">MAX(Amort_Min,Amort_Term-$AH193/12)</f>
        <v>30</v>
      </c>
      <c r="AV193" s="70" t="n">
        <f aca="false">MIN($AS193,Hold_Yrs)</f>
        <v>0</v>
      </c>
      <c r="AW193" s="26" t="n">
        <f aca="false">IF($AN193=0,0,CEILING(MAX($AS193,0.0001),1))</f>
        <v>0</v>
      </c>
      <c r="AX193" s="26" t="n">
        <f aca="false">IF(AND($AN193=1,MAX($AS193,0.0001)&lt;=Hold_Yrs),1,0)</f>
        <v>0</v>
      </c>
      <c r="AY193" s="71" t="n">
        <f aca="false">$R193*$AO193</f>
        <v>0</v>
      </c>
      <c r="AZ193" s="71" t="n">
        <f aca="false">$R193*Acc_Int*$AN193</f>
        <v>0</v>
      </c>
      <c r="BA193" s="71" t="n">
        <f aca="false">$AY193*Acq_Cost</f>
        <v>0</v>
      </c>
      <c r="BB193" s="71" t="n">
        <f aca="false">$AY193+$AZ193+$BA193</f>
        <v>0</v>
      </c>
      <c r="BC193" s="71" t="n">
        <f aca="false">IF(Fin_Flag="Yes",$AY193*Adv_Rate,0)</f>
        <v>0</v>
      </c>
      <c r="BD193" s="71" t="n">
        <f aca="false">$BC193*Fin_UpFee</f>
        <v>0</v>
      </c>
      <c r="BE193" s="71" t="n">
        <f aca="false">$BB193-$BC193+$BD193</f>
        <v>0</v>
      </c>
    </row>
    <row r="194" customFormat="false" ht="14.25" hidden="false" customHeight="false" outlineLevel="0" collapsed="false">
      <c r="A194" s="61"/>
      <c r="B194" s="62"/>
      <c r="C194" s="61"/>
      <c r="D194" s="61"/>
      <c r="E194" s="61"/>
      <c r="F194" s="63"/>
      <c r="G194" s="64"/>
      <c r="H194" s="64"/>
      <c r="I194" s="63"/>
      <c r="J194" s="63"/>
      <c r="K194" s="61"/>
      <c r="L194" s="65"/>
      <c r="M194" s="65"/>
      <c r="N194" s="61"/>
      <c r="O194" s="64"/>
      <c r="P194" s="65"/>
      <c r="Q194" s="65"/>
      <c r="R194" s="66"/>
      <c r="S194" s="65"/>
      <c r="T194" s="65"/>
      <c r="U194" s="67"/>
      <c r="V194" s="65"/>
      <c r="W194" s="65"/>
      <c r="X194" s="63"/>
      <c r="Y194" s="63"/>
      <c r="Z194" s="61"/>
      <c r="AA194" s="61"/>
      <c r="AB194" s="61"/>
      <c r="AC194" s="61"/>
      <c r="AD194" s="61"/>
      <c r="AE194" s="61"/>
      <c r="AF194" s="61"/>
      <c r="AG194" s="61"/>
      <c r="AH194" s="68" t="n">
        <f aca="false">IF(G194="",0,ROUND((Strats!$C$4-G194)/30.4375,1))</f>
        <v>0</v>
      </c>
      <c r="AI194" s="69" t="n">
        <f aca="false">IF(K194="",0,IF(K194="Floating",Strats!$C$10+M194,L194))</f>
        <v>0</v>
      </c>
      <c r="AJ194" s="68" t="str">
        <f aca="false">IF(OR(Z194="",Z194="Full Amortizing"),"",MAX(J194-AH194,0))</f>
        <v/>
      </c>
      <c r="AK194" s="69" t="n">
        <f aca="false">IF(K194="",0,IF(K194="Floating",IF(P194&lt;&gt;"",MIN(IF(Q194&lt;&gt;"",MAX((Strats!$C$10+Strats!$C$11+M194),Q194),(Strats!$C$10+Strats!$C$11+M194)),P194),IF(Q194&lt;&gt;"",MAX((Strats!$C$10+Strats!$C$11+M194),Q194),(Strats!$C$10+Strats!$C$11+M194))),AI194))</f>
        <v>0</v>
      </c>
      <c r="AL194" s="68" t="str">
        <f aca="false">IF(OR(E194="",E194&lt;&gt;'Deal Strat'!$C$12,R194=""),"",SUMPRODUCT((E$4:E$303='Deal Strat'!$C$12)*(R$4:R$303&gt;R194))+1+SUMPRODUCT((E$4:E$303='Deal Strat'!$C$12)*(R$4:R$303=R194)*(ROW(R$4:R$303)&lt;ROW(R194))))</f>
        <v/>
      </c>
      <c r="AM194" s="68" t="str">
        <f aca="false">IF(R194="","",RANK(R194,$R$4:$R$303,0)+COUNTIF($R$4:R194,R194)-1)</f>
        <v/>
      </c>
      <c r="AN194" s="26" t="n">
        <f aca="false">IF(OR($A194="",$R194=""),0,IF(Deal_Scope="All Deals",1,IF($E194=Deal_Scope,1,0)))</f>
        <v>0</v>
      </c>
      <c r="AO194" s="56" t="n">
        <f aca="false">IF($AN194=0,0,Px_Par)</f>
        <v>0</v>
      </c>
      <c r="AP194" s="70" t="n">
        <f aca="false">IF($H194="",0,MAX(0,($H194-Set_Date)/30.4375))</f>
        <v>0</v>
      </c>
      <c r="AQ194" s="26" t="n">
        <f aca="false">IF(AND(Ext_Flag="Yes",$AA194="Yes"),Ext_Months,0)</f>
        <v>0</v>
      </c>
      <c r="AR194" s="70" t="n">
        <f aca="false">$AP194+$AQ194</f>
        <v>0</v>
      </c>
      <c r="AS194" s="70" t="n">
        <f aca="false">$AR194/12</f>
        <v>0</v>
      </c>
      <c r="AT194" s="70" t="n">
        <f aca="false">IF($AJ194="",0,MAX(0,$AJ194/12))</f>
        <v>0</v>
      </c>
      <c r="AU194" s="70" t="n">
        <f aca="false">MAX(Amort_Min,Amort_Term-$AH194/12)</f>
        <v>30</v>
      </c>
      <c r="AV194" s="70" t="n">
        <f aca="false">MIN($AS194,Hold_Yrs)</f>
        <v>0</v>
      </c>
      <c r="AW194" s="26" t="n">
        <f aca="false">IF($AN194=0,0,CEILING(MAX($AS194,0.0001),1))</f>
        <v>0</v>
      </c>
      <c r="AX194" s="26" t="n">
        <f aca="false">IF(AND($AN194=1,MAX($AS194,0.0001)&lt;=Hold_Yrs),1,0)</f>
        <v>0</v>
      </c>
      <c r="AY194" s="71" t="n">
        <f aca="false">$R194*$AO194</f>
        <v>0</v>
      </c>
      <c r="AZ194" s="71" t="n">
        <f aca="false">$R194*Acc_Int*$AN194</f>
        <v>0</v>
      </c>
      <c r="BA194" s="71" t="n">
        <f aca="false">$AY194*Acq_Cost</f>
        <v>0</v>
      </c>
      <c r="BB194" s="71" t="n">
        <f aca="false">$AY194+$AZ194+$BA194</f>
        <v>0</v>
      </c>
      <c r="BC194" s="71" t="n">
        <f aca="false">IF(Fin_Flag="Yes",$AY194*Adv_Rate,0)</f>
        <v>0</v>
      </c>
      <c r="BD194" s="71" t="n">
        <f aca="false">$BC194*Fin_UpFee</f>
        <v>0</v>
      </c>
      <c r="BE194" s="71" t="n">
        <f aca="false">$BB194-$BC194+$BD194</f>
        <v>0</v>
      </c>
    </row>
    <row r="195" customFormat="false" ht="14.25" hidden="false" customHeight="false" outlineLevel="0" collapsed="false">
      <c r="A195" s="61"/>
      <c r="B195" s="62"/>
      <c r="C195" s="61"/>
      <c r="D195" s="61"/>
      <c r="E195" s="61"/>
      <c r="F195" s="63"/>
      <c r="G195" s="64"/>
      <c r="H195" s="64"/>
      <c r="I195" s="63"/>
      <c r="J195" s="63"/>
      <c r="K195" s="61"/>
      <c r="L195" s="65"/>
      <c r="M195" s="65"/>
      <c r="N195" s="61"/>
      <c r="O195" s="64"/>
      <c r="P195" s="65"/>
      <c r="Q195" s="65"/>
      <c r="R195" s="66"/>
      <c r="S195" s="65"/>
      <c r="T195" s="65"/>
      <c r="U195" s="67"/>
      <c r="V195" s="65"/>
      <c r="W195" s="65"/>
      <c r="X195" s="63"/>
      <c r="Y195" s="63"/>
      <c r="Z195" s="61"/>
      <c r="AA195" s="61"/>
      <c r="AB195" s="61"/>
      <c r="AC195" s="61"/>
      <c r="AD195" s="61"/>
      <c r="AE195" s="61"/>
      <c r="AF195" s="61"/>
      <c r="AG195" s="61"/>
      <c r="AH195" s="68" t="n">
        <f aca="false">IF(G195="",0,ROUND((Strats!$C$4-G195)/30.4375,1))</f>
        <v>0</v>
      </c>
      <c r="AI195" s="69" t="n">
        <f aca="false">IF(K195="",0,IF(K195="Floating",Strats!$C$10+M195,L195))</f>
        <v>0</v>
      </c>
      <c r="AJ195" s="68" t="str">
        <f aca="false">IF(OR(Z195="",Z195="Full Amortizing"),"",MAX(J195-AH195,0))</f>
        <v/>
      </c>
      <c r="AK195" s="69" t="n">
        <f aca="false">IF(K195="",0,IF(K195="Floating",IF(P195&lt;&gt;"",MIN(IF(Q195&lt;&gt;"",MAX((Strats!$C$10+Strats!$C$11+M195),Q195),(Strats!$C$10+Strats!$C$11+M195)),P195),IF(Q195&lt;&gt;"",MAX((Strats!$C$10+Strats!$C$11+M195),Q195),(Strats!$C$10+Strats!$C$11+M195))),AI195))</f>
        <v>0</v>
      </c>
      <c r="AL195" s="68" t="str">
        <f aca="false">IF(OR(E195="",E195&lt;&gt;'Deal Strat'!$C$12,R195=""),"",SUMPRODUCT((E$4:E$303='Deal Strat'!$C$12)*(R$4:R$303&gt;R195))+1+SUMPRODUCT((E$4:E$303='Deal Strat'!$C$12)*(R$4:R$303=R195)*(ROW(R$4:R$303)&lt;ROW(R195))))</f>
        <v/>
      </c>
      <c r="AM195" s="68" t="str">
        <f aca="false">IF(R195="","",RANK(R195,$R$4:$R$303,0)+COUNTIF($R$4:R195,R195)-1)</f>
        <v/>
      </c>
      <c r="AN195" s="26" t="n">
        <f aca="false">IF(OR($A195="",$R195=""),0,IF(Deal_Scope="All Deals",1,IF($E195=Deal_Scope,1,0)))</f>
        <v>0</v>
      </c>
      <c r="AO195" s="56" t="n">
        <f aca="false">IF($AN195=0,0,Px_Par)</f>
        <v>0</v>
      </c>
      <c r="AP195" s="70" t="n">
        <f aca="false">IF($H195="",0,MAX(0,($H195-Set_Date)/30.4375))</f>
        <v>0</v>
      </c>
      <c r="AQ195" s="26" t="n">
        <f aca="false">IF(AND(Ext_Flag="Yes",$AA195="Yes"),Ext_Months,0)</f>
        <v>0</v>
      </c>
      <c r="AR195" s="70" t="n">
        <f aca="false">$AP195+$AQ195</f>
        <v>0</v>
      </c>
      <c r="AS195" s="70" t="n">
        <f aca="false">$AR195/12</f>
        <v>0</v>
      </c>
      <c r="AT195" s="70" t="n">
        <f aca="false">IF($AJ195="",0,MAX(0,$AJ195/12))</f>
        <v>0</v>
      </c>
      <c r="AU195" s="70" t="n">
        <f aca="false">MAX(Amort_Min,Amort_Term-$AH195/12)</f>
        <v>30</v>
      </c>
      <c r="AV195" s="70" t="n">
        <f aca="false">MIN($AS195,Hold_Yrs)</f>
        <v>0</v>
      </c>
      <c r="AW195" s="26" t="n">
        <f aca="false">IF($AN195=0,0,CEILING(MAX($AS195,0.0001),1))</f>
        <v>0</v>
      </c>
      <c r="AX195" s="26" t="n">
        <f aca="false">IF(AND($AN195=1,MAX($AS195,0.0001)&lt;=Hold_Yrs),1,0)</f>
        <v>0</v>
      </c>
      <c r="AY195" s="71" t="n">
        <f aca="false">$R195*$AO195</f>
        <v>0</v>
      </c>
      <c r="AZ195" s="71" t="n">
        <f aca="false">$R195*Acc_Int*$AN195</f>
        <v>0</v>
      </c>
      <c r="BA195" s="71" t="n">
        <f aca="false">$AY195*Acq_Cost</f>
        <v>0</v>
      </c>
      <c r="BB195" s="71" t="n">
        <f aca="false">$AY195+$AZ195+$BA195</f>
        <v>0</v>
      </c>
      <c r="BC195" s="71" t="n">
        <f aca="false">IF(Fin_Flag="Yes",$AY195*Adv_Rate,0)</f>
        <v>0</v>
      </c>
      <c r="BD195" s="71" t="n">
        <f aca="false">$BC195*Fin_UpFee</f>
        <v>0</v>
      </c>
      <c r="BE195" s="71" t="n">
        <f aca="false">$BB195-$BC195+$BD195</f>
        <v>0</v>
      </c>
    </row>
    <row r="196" customFormat="false" ht="14.25" hidden="false" customHeight="false" outlineLevel="0" collapsed="false">
      <c r="A196" s="61"/>
      <c r="B196" s="62"/>
      <c r="C196" s="61"/>
      <c r="D196" s="61"/>
      <c r="E196" s="61"/>
      <c r="F196" s="63"/>
      <c r="G196" s="64"/>
      <c r="H196" s="64"/>
      <c r="I196" s="63"/>
      <c r="J196" s="63"/>
      <c r="K196" s="61"/>
      <c r="L196" s="65"/>
      <c r="M196" s="65"/>
      <c r="N196" s="61"/>
      <c r="O196" s="64"/>
      <c r="P196" s="65"/>
      <c r="Q196" s="65"/>
      <c r="R196" s="66"/>
      <c r="S196" s="65"/>
      <c r="T196" s="65"/>
      <c r="U196" s="67"/>
      <c r="V196" s="65"/>
      <c r="W196" s="65"/>
      <c r="X196" s="63"/>
      <c r="Y196" s="63"/>
      <c r="Z196" s="61"/>
      <c r="AA196" s="61"/>
      <c r="AB196" s="61"/>
      <c r="AC196" s="61"/>
      <c r="AD196" s="61"/>
      <c r="AE196" s="61"/>
      <c r="AF196" s="61"/>
      <c r="AG196" s="61"/>
      <c r="AH196" s="68" t="n">
        <f aca="false">IF(G196="",0,ROUND((Strats!$C$4-G196)/30.4375,1))</f>
        <v>0</v>
      </c>
      <c r="AI196" s="69" t="n">
        <f aca="false">IF(K196="",0,IF(K196="Floating",Strats!$C$10+M196,L196))</f>
        <v>0</v>
      </c>
      <c r="AJ196" s="68" t="str">
        <f aca="false">IF(OR(Z196="",Z196="Full Amortizing"),"",MAX(J196-AH196,0))</f>
        <v/>
      </c>
      <c r="AK196" s="69" t="n">
        <f aca="false">IF(K196="",0,IF(K196="Floating",IF(P196&lt;&gt;"",MIN(IF(Q196&lt;&gt;"",MAX((Strats!$C$10+Strats!$C$11+M196),Q196),(Strats!$C$10+Strats!$C$11+M196)),P196),IF(Q196&lt;&gt;"",MAX((Strats!$C$10+Strats!$C$11+M196),Q196),(Strats!$C$10+Strats!$C$11+M196))),AI196))</f>
        <v>0</v>
      </c>
      <c r="AL196" s="68" t="str">
        <f aca="false">IF(OR(E196="",E196&lt;&gt;'Deal Strat'!$C$12,R196=""),"",SUMPRODUCT((E$4:E$303='Deal Strat'!$C$12)*(R$4:R$303&gt;R196))+1+SUMPRODUCT((E$4:E$303='Deal Strat'!$C$12)*(R$4:R$303=R196)*(ROW(R$4:R$303)&lt;ROW(R196))))</f>
        <v/>
      </c>
      <c r="AM196" s="68" t="str">
        <f aca="false">IF(R196="","",RANK(R196,$R$4:$R$303,0)+COUNTIF($R$4:R196,R196)-1)</f>
        <v/>
      </c>
      <c r="AN196" s="26" t="n">
        <f aca="false">IF(OR($A196="",$R196=""),0,IF(Deal_Scope="All Deals",1,IF($E196=Deal_Scope,1,0)))</f>
        <v>0</v>
      </c>
      <c r="AO196" s="56" t="n">
        <f aca="false">IF($AN196=0,0,Px_Par)</f>
        <v>0</v>
      </c>
      <c r="AP196" s="70" t="n">
        <f aca="false">IF($H196="",0,MAX(0,($H196-Set_Date)/30.4375))</f>
        <v>0</v>
      </c>
      <c r="AQ196" s="26" t="n">
        <f aca="false">IF(AND(Ext_Flag="Yes",$AA196="Yes"),Ext_Months,0)</f>
        <v>0</v>
      </c>
      <c r="AR196" s="70" t="n">
        <f aca="false">$AP196+$AQ196</f>
        <v>0</v>
      </c>
      <c r="AS196" s="70" t="n">
        <f aca="false">$AR196/12</f>
        <v>0</v>
      </c>
      <c r="AT196" s="70" t="n">
        <f aca="false">IF($AJ196="",0,MAX(0,$AJ196/12))</f>
        <v>0</v>
      </c>
      <c r="AU196" s="70" t="n">
        <f aca="false">MAX(Amort_Min,Amort_Term-$AH196/12)</f>
        <v>30</v>
      </c>
      <c r="AV196" s="70" t="n">
        <f aca="false">MIN($AS196,Hold_Yrs)</f>
        <v>0</v>
      </c>
      <c r="AW196" s="26" t="n">
        <f aca="false">IF($AN196=0,0,CEILING(MAX($AS196,0.0001),1))</f>
        <v>0</v>
      </c>
      <c r="AX196" s="26" t="n">
        <f aca="false">IF(AND($AN196=1,MAX($AS196,0.0001)&lt;=Hold_Yrs),1,0)</f>
        <v>0</v>
      </c>
      <c r="AY196" s="71" t="n">
        <f aca="false">$R196*$AO196</f>
        <v>0</v>
      </c>
      <c r="AZ196" s="71" t="n">
        <f aca="false">$R196*Acc_Int*$AN196</f>
        <v>0</v>
      </c>
      <c r="BA196" s="71" t="n">
        <f aca="false">$AY196*Acq_Cost</f>
        <v>0</v>
      </c>
      <c r="BB196" s="71" t="n">
        <f aca="false">$AY196+$AZ196+$BA196</f>
        <v>0</v>
      </c>
      <c r="BC196" s="71" t="n">
        <f aca="false">IF(Fin_Flag="Yes",$AY196*Adv_Rate,0)</f>
        <v>0</v>
      </c>
      <c r="BD196" s="71" t="n">
        <f aca="false">$BC196*Fin_UpFee</f>
        <v>0</v>
      </c>
      <c r="BE196" s="71" t="n">
        <f aca="false">$BB196-$BC196+$BD196</f>
        <v>0</v>
      </c>
    </row>
    <row r="197" customFormat="false" ht="14.25" hidden="false" customHeight="false" outlineLevel="0" collapsed="false">
      <c r="A197" s="61"/>
      <c r="B197" s="62"/>
      <c r="C197" s="61"/>
      <c r="D197" s="61"/>
      <c r="E197" s="61"/>
      <c r="F197" s="63"/>
      <c r="G197" s="64"/>
      <c r="H197" s="64"/>
      <c r="I197" s="63"/>
      <c r="J197" s="63"/>
      <c r="K197" s="61"/>
      <c r="L197" s="65"/>
      <c r="M197" s="65"/>
      <c r="N197" s="61"/>
      <c r="O197" s="64"/>
      <c r="P197" s="65"/>
      <c r="Q197" s="65"/>
      <c r="R197" s="66"/>
      <c r="S197" s="65"/>
      <c r="T197" s="65"/>
      <c r="U197" s="67"/>
      <c r="V197" s="65"/>
      <c r="W197" s="65"/>
      <c r="X197" s="63"/>
      <c r="Y197" s="63"/>
      <c r="Z197" s="61"/>
      <c r="AA197" s="61"/>
      <c r="AB197" s="61"/>
      <c r="AC197" s="61"/>
      <c r="AD197" s="61"/>
      <c r="AE197" s="61"/>
      <c r="AF197" s="61"/>
      <c r="AG197" s="61"/>
      <c r="AH197" s="68" t="n">
        <f aca="false">IF(G197="",0,ROUND((Strats!$C$4-G197)/30.4375,1))</f>
        <v>0</v>
      </c>
      <c r="AI197" s="69" t="n">
        <f aca="false">IF(K197="",0,IF(K197="Floating",Strats!$C$10+M197,L197))</f>
        <v>0</v>
      </c>
      <c r="AJ197" s="68" t="str">
        <f aca="false">IF(OR(Z197="",Z197="Full Amortizing"),"",MAX(J197-AH197,0))</f>
        <v/>
      </c>
      <c r="AK197" s="69" t="n">
        <f aca="false">IF(K197="",0,IF(K197="Floating",IF(P197&lt;&gt;"",MIN(IF(Q197&lt;&gt;"",MAX((Strats!$C$10+Strats!$C$11+M197),Q197),(Strats!$C$10+Strats!$C$11+M197)),P197),IF(Q197&lt;&gt;"",MAX((Strats!$C$10+Strats!$C$11+M197),Q197),(Strats!$C$10+Strats!$C$11+M197))),AI197))</f>
        <v>0</v>
      </c>
      <c r="AL197" s="68" t="str">
        <f aca="false">IF(OR(E197="",E197&lt;&gt;'Deal Strat'!$C$12,R197=""),"",SUMPRODUCT((E$4:E$303='Deal Strat'!$C$12)*(R$4:R$303&gt;R197))+1+SUMPRODUCT((E$4:E$303='Deal Strat'!$C$12)*(R$4:R$303=R197)*(ROW(R$4:R$303)&lt;ROW(R197))))</f>
        <v/>
      </c>
      <c r="AM197" s="68" t="str">
        <f aca="false">IF(R197="","",RANK(R197,$R$4:$R$303,0)+COUNTIF($R$4:R197,R197)-1)</f>
        <v/>
      </c>
      <c r="AN197" s="26" t="n">
        <f aca="false">IF(OR($A197="",$R197=""),0,IF(Deal_Scope="All Deals",1,IF($E197=Deal_Scope,1,0)))</f>
        <v>0</v>
      </c>
      <c r="AO197" s="56" t="n">
        <f aca="false">IF($AN197=0,0,Px_Par)</f>
        <v>0</v>
      </c>
      <c r="AP197" s="70" t="n">
        <f aca="false">IF($H197="",0,MAX(0,($H197-Set_Date)/30.4375))</f>
        <v>0</v>
      </c>
      <c r="AQ197" s="26" t="n">
        <f aca="false">IF(AND(Ext_Flag="Yes",$AA197="Yes"),Ext_Months,0)</f>
        <v>0</v>
      </c>
      <c r="AR197" s="70" t="n">
        <f aca="false">$AP197+$AQ197</f>
        <v>0</v>
      </c>
      <c r="AS197" s="70" t="n">
        <f aca="false">$AR197/12</f>
        <v>0</v>
      </c>
      <c r="AT197" s="70" t="n">
        <f aca="false">IF($AJ197="",0,MAX(0,$AJ197/12))</f>
        <v>0</v>
      </c>
      <c r="AU197" s="70" t="n">
        <f aca="false">MAX(Amort_Min,Amort_Term-$AH197/12)</f>
        <v>30</v>
      </c>
      <c r="AV197" s="70" t="n">
        <f aca="false">MIN($AS197,Hold_Yrs)</f>
        <v>0</v>
      </c>
      <c r="AW197" s="26" t="n">
        <f aca="false">IF($AN197=0,0,CEILING(MAX($AS197,0.0001),1))</f>
        <v>0</v>
      </c>
      <c r="AX197" s="26" t="n">
        <f aca="false">IF(AND($AN197=1,MAX($AS197,0.0001)&lt;=Hold_Yrs),1,0)</f>
        <v>0</v>
      </c>
      <c r="AY197" s="71" t="n">
        <f aca="false">$R197*$AO197</f>
        <v>0</v>
      </c>
      <c r="AZ197" s="71" t="n">
        <f aca="false">$R197*Acc_Int*$AN197</f>
        <v>0</v>
      </c>
      <c r="BA197" s="71" t="n">
        <f aca="false">$AY197*Acq_Cost</f>
        <v>0</v>
      </c>
      <c r="BB197" s="71" t="n">
        <f aca="false">$AY197+$AZ197+$BA197</f>
        <v>0</v>
      </c>
      <c r="BC197" s="71" t="n">
        <f aca="false">IF(Fin_Flag="Yes",$AY197*Adv_Rate,0)</f>
        <v>0</v>
      </c>
      <c r="BD197" s="71" t="n">
        <f aca="false">$BC197*Fin_UpFee</f>
        <v>0</v>
      </c>
      <c r="BE197" s="71" t="n">
        <f aca="false">$BB197-$BC197+$BD197</f>
        <v>0</v>
      </c>
    </row>
    <row r="198" customFormat="false" ht="14.25" hidden="false" customHeight="false" outlineLevel="0" collapsed="false">
      <c r="A198" s="61"/>
      <c r="B198" s="62"/>
      <c r="C198" s="61"/>
      <c r="D198" s="61"/>
      <c r="E198" s="61"/>
      <c r="F198" s="63"/>
      <c r="G198" s="64"/>
      <c r="H198" s="64"/>
      <c r="I198" s="63"/>
      <c r="J198" s="63"/>
      <c r="K198" s="61"/>
      <c r="L198" s="65"/>
      <c r="M198" s="65"/>
      <c r="N198" s="61"/>
      <c r="O198" s="64"/>
      <c r="P198" s="65"/>
      <c r="Q198" s="65"/>
      <c r="R198" s="66"/>
      <c r="S198" s="65"/>
      <c r="T198" s="65"/>
      <c r="U198" s="67"/>
      <c r="V198" s="65"/>
      <c r="W198" s="65"/>
      <c r="X198" s="63"/>
      <c r="Y198" s="63"/>
      <c r="Z198" s="61"/>
      <c r="AA198" s="61"/>
      <c r="AB198" s="61"/>
      <c r="AC198" s="61"/>
      <c r="AD198" s="61"/>
      <c r="AE198" s="61"/>
      <c r="AF198" s="61"/>
      <c r="AG198" s="61"/>
      <c r="AH198" s="68" t="n">
        <f aca="false">IF(G198="",0,ROUND((Strats!$C$4-G198)/30.4375,1))</f>
        <v>0</v>
      </c>
      <c r="AI198" s="69" t="n">
        <f aca="false">IF(K198="",0,IF(K198="Floating",Strats!$C$10+M198,L198))</f>
        <v>0</v>
      </c>
      <c r="AJ198" s="68" t="str">
        <f aca="false">IF(OR(Z198="",Z198="Full Amortizing"),"",MAX(J198-AH198,0))</f>
        <v/>
      </c>
      <c r="AK198" s="69" t="n">
        <f aca="false">IF(K198="",0,IF(K198="Floating",IF(P198&lt;&gt;"",MIN(IF(Q198&lt;&gt;"",MAX((Strats!$C$10+Strats!$C$11+M198),Q198),(Strats!$C$10+Strats!$C$11+M198)),P198),IF(Q198&lt;&gt;"",MAX((Strats!$C$10+Strats!$C$11+M198),Q198),(Strats!$C$10+Strats!$C$11+M198))),AI198))</f>
        <v>0</v>
      </c>
      <c r="AL198" s="68" t="str">
        <f aca="false">IF(OR(E198="",E198&lt;&gt;'Deal Strat'!$C$12,R198=""),"",SUMPRODUCT((E$4:E$303='Deal Strat'!$C$12)*(R$4:R$303&gt;R198))+1+SUMPRODUCT((E$4:E$303='Deal Strat'!$C$12)*(R$4:R$303=R198)*(ROW(R$4:R$303)&lt;ROW(R198))))</f>
        <v/>
      </c>
      <c r="AM198" s="68" t="str">
        <f aca="false">IF(R198="","",RANK(R198,$R$4:$R$303,0)+COUNTIF($R$4:R198,R198)-1)</f>
        <v/>
      </c>
      <c r="AN198" s="26" t="n">
        <f aca="false">IF(OR($A198="",$R198=""),0,IF(Deal_Scope="All Deals",1,IF($E198=Deal_Scope,1,0)))</f>
        <v>0</v>
      </c>
      <c r="AO198" s="56" t="n">
        <f aca="false">IF($AN198=0,0,Px_Par)</f>
        <v>0</v>
      </c>
      <c r="AP198" s="70" t="n">
        <f aca="false">IF($H198="",0,MAX(0,($H198-Set_Date)/30.4375))</f>
        <v>0</v>
      </c>
      <c r="AQ198" s="26" t="n">
        <f aca="false">IF(AND(Ext_Flag="Yes",$AA198="Yes"),Ext_Months,0)</f>
        <v>0</v>
      </c>
      <c r="AR198" s="70" t="n">
        <f aca="false">$AP198+$AQ198</f>
        <v>0</v>
      </c>
      <c r="AS198" s="70" t="n">
        <f aca="false">$AR198/12</f>
        <v>0</v>
      </c>
      <c r="AT198" s="70" t="n">
        <f aca="false">IF($AJ198="",0,MAX(0,$AJ198/12))</f>
        <v>0</v>
      </c>
      <c r="AU198" s="70" t="n">
        <f aca="false">MAX(Amort_Min,Amort_Term-$AH198/12)</f>
        <v>30</v>
      </c>
      <c r="AV198" s="70" t="n">
        <f aca="false">MIN($AS198,Hold_Yrs)</f>
        <v>0</v>
      </c>
      <c r="AW198" s="26" t="n">
        <f aca="false">IF($AN198=0,0,CEILING(MAX($AS198,0.0001),1))</f>
        <v>0</v>
      </c>
      <c r="AX198" s="26" t="n">
        <f aca="false">IF(AND($AN198=1,MAX($AS198,0.0001)&lt;=Hold_Yrs),1,0)</f>
        <v>0</v>
      </c>
      <c r="AY198" s="71" t="n">
        <f aca="false">$R198*$AO198</f>
        <v>0</v>
      </c>
      <c r="AZ198" s="71" t="n">
        <f aca="false">$R198*Acc_Int*$AN198</f>
        <v>0</v>
      </c>
      <c r="BA198" s="71" t="n">
        <f aca="false">$AY198*Acq_Cost</f>
        <v>0</v>
      </c>
      <c r="BB198" s="71" t="n">
        <f aca="false">$AY198+$AZ198+$BA198</f>
        <v>0</v>
      </c>
      <c r="BC198" s="71" t="n">
        <f aca="false">IF(Fin_Flag="Yes",$AY198*Adv_Rate,0)</f>
        <v>0</v>
      </c>
      <c r="BD198" s="71" t="n">
        <f aca="false">$BC198*Fin_UpFee</f>
        <v>0</v>
      </c>
      <c r="BE198" s="71" t="n">
        <f aca="false">$BB198-$BC198+$BD198</f>
        <v>0</v>
      </c>
    </row>
    <row r="199" customFormat="false" ht="14.25" hidden="false" customHeight="false" outlineLevel="0" collapsed="false">
      <c r="A199" s="61"/>
      <c r="B199" s="62"/>
      <c r="C199" s="61"/>
      <c r="D199" s="61"/>
      <c r="E199" s="61"/>
      <c r="F199" s="63"/>
      <c r="G199" s="64"/>
      <c r="H199" s="64"/>
      <c r="I199" s="63"/>
      <c r="J199" s="63"/>
      <c r="K199" s="61"/>
      <c r="L199" s="65"/>
      <c r="M199" s="65"/>
      <c r="N199" s="61"/>
      <c r="O199" s="64"/>
      <c r="P199" s="65"/>
      <c r="Q199" s="65"/>
      <c r="R199" s="66"/>
      <c r="S199" s="65"/>
      <c r="T199" s="65"/>
      <c r="U199" s="67"/>
      <c r="V199" s="65"/>
      <c r="W199" s="65"/>
      <c r="X199" s="63"/>
      <c r="Y199" s="63"/>
      <c r="Z199" s="61"/>
      <c r="AA199" s="61"/>
      <c r="AB199" s="61"/>
      <c r="AC199" s="61"/>
      <c r="AD199" s="61"/>
      <c r="AE199" s="61"/>
      <c r="AF199" s="61"/>
      <c r="AG199" s="61"/>
      <c r="AH199" s="68" t="n">
        <f aca="false">IF(G199="",0,ROUND((Strats!$C$4-G199)/30.4375,1))</f>
        <v>0</v>
      </c>
      <c r="AI199" s="69" t="n">
        <f aca="false">IF(K199="",0,IF(K199="Floating",Strats!$C$10+M199,L199))</f>
        <v>0</v>
      </c>
      <c r="AJ199" s="68" t="str">
        <f aca="false">IF(OR(Z199="",Z199="Full Amortizing"),"",MAX(J199-AH199,0))</f>
        <v/>
      </c>
      <c r="AK199" s="69" t="n">
        <f aca="false">IF(K199="",0,IF(K199="Floating",IF(P199&lt;&gt;"",MIN(IF(Q199&lt;&gt;"",MAX((Strats!$C$10+Strats!$C$11+M199),Q199),(Strats!$C$10+Strats!$C$11+M199)),P199),IF(Q199&lt;&gt;"",MAX((Strats!$C$10+Strats!$C$11+M199),Q199),(Strats!$C$10+Strats!$C$11+M199))),AI199))</f>
        <v>0</v>
      </c>
      <c r="AL199" s="68" t="str">
        <f aca="false">IF(OR(E199="",E199&lt;&gt;'Deal Strat'!$C$12,R199=""),"",SUMPRODUCT((E$4:E$303='Deal Strat'!$C$12)*(R$4:R$303&gt;R199))+1+SUMPRODUCT((E$4:E$303='Deal Strat'!$C$12)*(R$4:R$303=R199)*(ROW(R$4:R$303)&lt;ROW(R199))))</f>
        <v/>
      </c>
      <c r="AM199" s="68" t="str">
        <f aca="false">IF(R199="","",RANK(R199,$R$4:$R$303,0)+COUNTIF($R$4:R199,R199)-1)</f>
        <v/>
      </c>
      <c r="AN199" s="26" t="n">
        <f aca="false">IF(OR($A199="",$R199=""),0,IF(Deal_Scope="All Deals",1,IF($E199=Deal_Scope,1,0)))</f>
        <v>0</v>
      </c>
      <c r="AO199" s="56" t="n">
        <f aca="false">IF($AN199=0,0,Px_Par)</f>
        <v>0</v>
      </c>
      <c r="AP199" s="70" t="n">
        <f aca="false">IF($H199="",0,MAX(0,($H199-Set_Date)/30.4375))</f>
        <v>0</v>
      </c>
      <c r="AQ199" s="26" t="n">
        <f aca="false">IF(AND(Ext_Flag="Yes",$AA199="Yes"),Ext_Months,0)</f>
        <v>0</v>
      </c>
      <c r="AR199" s="70" t="n">
        <f aca="false">$AP199+$AQ199</f>
        <v>0</v>
      </c>
      <c r="AS199" s="70" t="n">
        <f aca="false">$AR199/12</f>
        <v>0</v>
      </c>
      <c r="AT199" s="70" t="n">
        <f aca="false">IF($AJ199="",0,MAX(0,$AJ199/12))</f>
        <v>0</v>
      </c>
      <c r="AU199" s="70" t="n">
        <f aca="false">MAX(Amort_Min,Amort_Term-$AH199/12)</f>
        <v>30</v>
      </c>
      <c r="AV199" s="70" t="n">
        <f aca="false">MIN($AS199,Hold_Yrs)</f>
        <v>0</v>
      </c>
      <c r="AW199" s="26" t="n">
        <f aca="false">IF($AN199=0,0,CEILING(MAX($AS199,0.0001),1))</f>
        <v>0</v>
      </c>
      <c r="AX199" s="26" t="n">
        <f aca="false">IF(AND($AN199=1,MAX($AS199,0.0001)&lt;=Hold_Yrs),1,0)</f>
        <v>0</v>
      </c>
      <c r="AY199" s="71" t="n">
        <f aca="false">$R199*$AO199</f>
        <v>0</v>
      </c>
      <c r="AZ199" s="71" t="n">
        <f aca="false">$R199*Acc_Int*$AN199</f>
        <v>0</v>
      </c>
      <c r="BA199" s="71" t="n">
        <f aca="false">$AY199*Acq_Cost</f>
        <v>0</v>
      </c>
      <c r="BB199" s="71" t="n">
        <f aca="false">$AY199+$AZ199+$BA199</f>
        <v>0</v>
      </c>
      <c r="BC199" s="71" t="n">
        <f aca="false">IF(Fin_Flag="Yes",$AY199*Adv_Rate,0)</f>
        <v>0</v>
      </c>
      <c r="BD199" s="71" t="n">
        <f aca="false">$BC199*Fin_UpFee</f>
        <v>0</v>
      </c>
      <c r="BE199" s="71" t="n">
        <f aca="false">$BB199-$BC199+$BD199</f>
        <v>0</v>
      </c>
    </row>
    <row r="200" customFormat="false" ht="14.25" hidden="false" customHeight="false" outlineLevel="0" collapsed="false">
      <c r="A200" s="61"/>
      <c r="B200" s="62"/>
      <c r="C200" s="61"/>
      <c r="D200" s="61"/>
      <c r="E200" s="61"/>
      <c r="F200" s="63"/>
      <c r="G200" s="64"/>
      <c r="H200" s="64"/>
      <c r="I200" s="63"/>
      <c r="J200" s="63"/>
      <c r="K200" s="61"/>
      <c r="L200" s="65"/>
      <c r="M200" s="65"/>
      <c r="N200" s="61"/>
      <c r="O200" s="64"/>
      <c r="P200" s="65"/>
      <c r="Q200" s="65"/>
      <c r="R200" s="66"/>
      <c r="S200" s="65"/>
      <c r="T200" s="65"/>
      <c r="U200" s="67"/>
      <c r="V200" s="65"/>
      <c r="W200" s="65"/>
      <c r="X200" s="63"/>
      <c r="Y200" s="63"/>
      <c r="Z200" s="61"/>
      <c r="AA200" s="61"/>
      <c r="AB200" s="61"/>
      <c r="AC200" s="61"/>
      <c r="AD200" s="61"/>
      <c r="AE200" s="61"/>
      <c r="AF200" s="61"/>
      <c r="AG200" s="61"/>
      <c r="AH200" s="68" t="n">
        <f aca="false">IF(G200="",0,ROUND((Strats!$C$4-G200)/30.4375,1))</f>
        <v>0</v>
      </c>
      <c r="AI200" s="69" t="n">
        <f aca="false">IF(K200="",0,IF(K200="Floating",Strats!$C$10+M200,L200))</f>
        <v>0</v>
      </c>
      <c r="AJ200" s="68" t="str">
        <f aca="false">IF(OR(Z200="",Z200="Full Amortizing"),"",MAX(J200-AH200,0))</f>
        <v/>
      </c>
      <c r="AK200" s="69" t="n">
        <f aca="false">IF(K200="",0,IF(K200="Floating",IF(P200&lt;&gt;"",MIN(IF(Q200&lt;&gt;"",MAX((Strats!$C$10+Strats!$C$11+M200),Q200),(Strats!$C$10+Strats!$C$11+M200)),P200),IF(Q200&lt;&gt;"",MAX((Strats!$C$10+Strats!$C$11+M200),Q200),(Strats!$C$10+Strats!$C$11+M200))),AI200))</f>
        <v>0</v>
      </c>
      <c r="AL200" s="68" t="str">
        <f aca="false">IF(OR(E200="",E200&lt;&gt;'Deal Strat'!$C$12,R200=""),"",SUMPRODUCT((E$4:E$303='Deal Strat'!$C$12)*(R$4:R$303&gt;R200))+1+SUMPRODUCT((E$4:E$303='Deal Strat'!$C$12)*(R$4:R$303=R200)*(ROW(R$4:R$303)&lt;ROW(R200))))</f>
        <v/>
      </c>
      <c r="AM200" s="68" t="str">
        <f aca="false">IF(R200="","",RANK(R200,$R$4:$R$303,0)+COUNTIF($R$4:R200,R200)-1)</f>
        <v/>
      </c>
      <c r="AN200" s="26" t="n">
        <f aca="false">IF(OR($A200="",$R200=""),0,IF(Deal_Scope="All Deals",1,IF($E200=Deal_Scope,1,0)))</f>
        <v>0</v>
      </c>
      <c r="AO200" s="56" t="n">
        <f aca="false">IF($AN200=0,0,Px_Par)</f>
        <v>0</v>
      </c>
      <c r="AP200" s="70" t="n">
        <f aca="false">IF($H200="",0,MAX(0,($H200-Set_Date)/30.4375))</f>
        <v>0</v>
      </c>
      <c r="AQ200" s="26" t="n">
        <f aca="false">IF(AND(Ext_Flag="Yes",$AA200="Yes"),Ext_Months,0)</f>
        <v>0</v>
      </c>
      <c r="AR200" s="70" t="n">
        <f aca="false">$AP200+$AQ200</f>
        <v>0</v>
      </c>
      <c r="AS200" s="70" t="n">
        <f aca="false">$AR200/12</f>
        <v>0</v>
      </c>
      <c r="AT200" s="70" t="n">
        <f aca="false">IF($AJ200="",0,MAX(0,$AJ200/12))</f>
        <v>0</v>
      </c>
      <c r="AU200" s="70" t="n">
        <f aca="false">MAX(Amort_Min,Amort_Term-$AH200/12)</f>
        <v>30</v>
      </c>
      <c r="AV200" s="70" t="n">
        <f aca="false">MIN($AS200,Hold_Yrs)</f>
        <v>0</v>
      </c>
      <c r="AW200" s="26" t="n">
        <f aca="false">IF($AN200=0,0,CEILING(MAX($AS200,0.0001),1))</f>
        <v>0</v>
      </c>
      <c r="AX200" s="26" t="n">
        <f aca="false">IF(AND($AN200=1,MAX($AS200,0.0001)&lt;=Hold_Yrs),1,0)</f>
        <v>0</v>
      </c>
      <c r="AY200" s="71" t="n">
        <f aca="false">$R200*$AO200</f>
        <v>0</v>
      </c>
      <c r="AZ200" s="71" t="n">
        <f aca="false">$R200*Acc_Int*$AN200</f>
        <v>0</v>
      </c>
      <c r="BA200" s="71" t="n">
        <f aca="false">$AY200*Acq_Cost</f>
        <v>0</v>
      </c>
      <c r="BB200" s="71" t="n">
        <f aca="false">$AY200+$AZ200+$BA200</f>
        <v>0</v>
      </c>
      <c r="BC200" s="71" t="n">
        <f aca="false">IF(Fin_Flag="Yes",$AY200*Adv_Rate,0)</f>
        <v>0</v>
      </c>
      <c r="BD200" s="71" t="n">
        <f aca="false">$BC200*Fin_UpFee</f>
        <v>0</v>
      </c>
      <c r="BE200" s="71" t="n">
        <f aca="false">$BB200-$BC200+$BD200</f>
        <v>0</v>
      </c>
    </row>
    <row r="201" customFormat="false" ht="14.25" hidden="false" customHeight="false" outlineLevel="0" collapsed="false">
      <c r="A201" s="61"/>
      <c r="B201" s="62"/>
      <c r="C201" s="61"/>
      <c r="D201" s="61"/>
      <c r="E201" s="61"/>
      <c r="F201" s="63"/>
      <c r="G201" s="64"/>
      <c r="H201" s="64"/>
      <c r="I201" s="63"/>
      <c r="J201" s="63"/>
      <c r="K201" s="61"/>
      <c r="L201" s="65"/>
      <c r="M201" s="65"/>
      <c r="N201" s="61"/>
      <c r="O201" s="64"/>
      <c r="P201" s="65"/>
      <c r="Q201" s="65"/>
      <c r="R201" s="66"/>
      <c r="S201" s="65"/>
      <c r="T201" s="65"/>
      <c r="U201" s="67"/>
      <c r="V201" s="65"/>
      <c r="W201" s="65"/>
      <c r="X201" s="63"/>
      <c r="Y201" s="63"/>
      <c r="Z201" s="61"/>
      <c r="AA201" s="61"/>
      <c r="AB201" s="61"/>
      <c r="AC201" s="61"/>
      <c r="AD201" s="61"/>
      <c r="AE201" s="61"/>
      <c r="AF201" s="61"/>
      <c r="AG201" s="61"/>
      <c r="AH201" s="68" t="n">
        <f aca="false">IF(G201="",0,ROUND((Strats!$C$4-G201)/30.4375,1))</f>
        <v>0</v>
      </c>
      <c r="AI201" s="69" t="n">
        <f aca="false">IF(K201="",0,IF(K201="Floating",Strats!$C$10+M201,L201))</f>
        <v>0</v>
      </c>
      <c r="AJ201" s="68" t="str">
        <f aca="false">IF(OR(Z201="",Z201="Full Amortizing"),"",MAX(J201-AH201,0))</f>
        <v/>
      </c>
      <c r="AK201" s="69" t="n">
        <f aca="false">IF(K201="",0,IF(K201="Floating",IF(P201&lt;&gt;"",MIN(IF(Q201&lt;&gt;"",MAX((Strats!$C$10+Strats!$C$11+M201),Q201),(Strats!$C$10+Strats!$C$11+M201)),P201),IF(Q201&lt;&gt;"",MAX((Strats!$C$10+Strats!$C$11+M201),Q201),(Strats!$C$10+Strats!$C$11+M201))),AI201))</f>
        <v>0</v>
      </c>
      <c r="AL201" s="68" t="str">
        <f aca="false">IF(OR(E201="",E201&lt;&gt;'Deal Strat'!$C$12,R201=""),"",SUMPRODUCT((E$4:E$303='Deal Strat'!$C$12)*(R$4:R$303&gt;R201))+1+SUMPRODUCT((E$4:E$303='Deal Strat'!$C$12)*(R$4:R$303=R201)*(ROW(R$4:R$303)&lt;ROW(R201))))</f>
        <v/>
      </c>
      <c r="AM201" s="68" t="str">
        <f aca="false">IF(R201="","",RANK(R201,$R$4:$R$303,0)+COUNTIF($R$4:R201,R201)-1)</f>
        <v/>
      </c>
      <c r="AN201" s="26" t="n">
        <f aca="false">IF(OR($A201="",$R201=""),0,IF(Deal_Scope="All Deals",1,IF($E201=Deal_Scope,1,0)))</f>
        <v>0</v>
      </c>
      <c r="AO201" s="56" t="n">
        <f aca="false">IF($AN201=0,0,Px_Par)</f>
        <v>0</v>
      </c>
      <c r="AP201" s="70" t="n">
        <f aca="false">IF($H201="",0,MAX(0,($H201-Set_Date)/30.4375))</f>
        <v>0</v>
      </c>
      <c r="AQ201" s="26" t="n">
        <f aca="false">IF(AND(Ext_Flag="Yes",$AA201="Yes"),Ext_Months,0)</f>
        <v>0</v>
      </c>
      <c r="AR201" s="70" t="n">
        <f aca="false">$AP201+$AQ201</f>
        <v>0</v>
      </c>
      <c r="AS201" s="70" t="n">
        <f aca="false">$AR201/12</f>
        <v>0</v>
      </c>
      <c r="AT201" s="70" t="n">
        <f aca="false">IF($AJ201="",0,MAX(0,$AJ201/12))</f>
        <v>0</v>
      </c>
      <c r="AU201" s="70" t="n">
        <f aca="false">MAX(Amort_Min,Amort_Term-$AH201/12)</f>
        <v>30</v>
      </c>
      <c r="AV201" s="70" t="n">
        <f aca="false">MIN($AS201,Hold_Yrs)</f>
        <v>0</v>
      </c>
      <c r="AW201" s="26" t="n">
        <f aca="false">IF($AN201=0,0,CEILING(MAX($AS201,0.0001),1))</f>
        <v>0</v>
      </c>
      <c r="AX201" s="26" t="n">
        <f aca="false">IF(AND($AN201=1,MAX($AS201,0.0001)&lt;=Hold_Yrs),1,0)</f>
        <v>0</v>
      </c>
      <c r="AY201" s="71" t="n">
        <f aca="false">$R201*$AO201</f>
        <v>0</v>
      </c>
      <c r="AZ201" s="71" t="n">
        <f aca="false">$R201*Acc_Int*$AN201</f>
        <v>0</v>
      </c>
      <c r="BA201" s="71" t="n">
        <f aca="false">$AY201*Acq_Cost</f>
        <v>0</v>
      </c>
      <c r="BB201" s="71" t="n">
        <f aca="false">$AY201+$AZ201+$BA201</f>
        <v>0</v>
      </c>
      <c r="BC201" s="71" t="n">
        <f aca="false">IF(Fin_Flag="Yes",$AY201*Adv_Rate,0)</f>
        <v>0</v>
      </c>
      <c r="BD201" s="71" t="n">
        <f aca="false">$BC201*Fin_UpFee</f>
        <v>0</v>
      </c>
      <c r="BE201" s="71" t="n">
        <f aca="false">$BB201-$BC201+$BD201</f>
        <v>0</v>
      </c>
    </row>
    <row r="202" customFormat="false" ht="14.25" hidden="false" customHeight="false" outlineLevel="0" collapsed="false">
      <c r="A202" s="61"/>
      <c r="B202" s="62"/>
      <c r="C202" s="61"/>
      <c r="D202" s="61"/>
      <c r="E202" s="61"/>
      <c r="F202" s="63"/>
      <c r="G202" s="64"/>
      <c r="H202" s="64"/>
      <c r="I202" s="63"/>
      <c r="J202" s="63"/>
      <c r="K202" s="61"/>
      <c r="L202" s="65"/>
      <c r="M202" s="65"/>
      <c r="N202" s="61"/>
      <c r="O202" s="64"/>
      <c r="P202" s="65"/>
      <c r="Q202" s="65"/>
      <c r="R202" s="66"/>
      <c r="S202" s="65"/>
      <c r="T202" s="65"/>
      <c r="U202" s="67"/>
      <c r="V202" s="65"/>
      <c r="W202" s="65"/>
      <c r="X202" s="63"/>
      <c r="Y202" s="63"/>
      <c r="Z202" s="61"/>
      <c r="AA202" s="61"/>
      <c r="AB202" s="61"/>
      <c r="AC202" s="61"/>
      <c r="AD202" s="61"/>
      <c r="AE202" s="61"/>
      <c r="AF202" s="61"/>
      <c r="AG202" s="61"/>
      <c r="AH202" s="68" t="n">
        <f aca="false">IF(G202="",0,ROUND((Strats!$C$4-G202)/30.4375,1))</f>
        <v>0</v>
      </c>
      <c r="AI202" s="69" t="n">
        <f aca="false">IF(K202="",0,IF(K202="Floating",Strats!$C$10+M202,L202))</f>
        <v>0</v>
      </c>
      <c r="AJ202" s="68" t="str">
        <f aca="false">IF(OR(Z202="",Z202="Full Amortizing"),"",MAX(J202-AH202,0))</f>
        <v/>
      </c>
      <c r="AK202" s="69" t="n">
        <f aca="false">IF(K202="",0,IF(K202="Floating",IF(P202&lt;&gt;"",MIN(IF(Q202&lt;&gt;"",MAX((Strats!$C$10+Strats!$C$11+M202),Q202),(Strats!$C$10+Strats!$C$11+M202)),P202),IF(Q202&lt;&gt;"",MAX((Strats!$C$10+Strats!$C$11+M202),Q202),(Strats!$C$10+Strats!$C$11+M202))),AI202))</f>
        <v>0</v>
      </c>
      <c r="AL202" s="68" t="str">
        <f aca="false">IF(OR(E202="",E202&lt;&gt;'Deal Strat'!$C$12,R202=""),"",SUMPRODUCT((E$4:E$303='Deal Strat'!$C$12)*(R$4:R$303&gt;R202))+1+SUMPRODUCT((E$4:E$303='Deal Strat'!$C$12)*(R$4:R$303=R202)*(ROW(R$4:R$303)&lt;ROW(R202))))</f>
        <v/>
      </c>
      <c r="AM202" s="68" t="str">
        <f aca="false">IF(R202="","",RANK(R202,$R$4:$R$303,0)+COUNTIF($R$4:R202,R202)-1)</f>
        <v/>
      </c>
      <c r="AN202" s="26" t="n">
        <f aca="false">IF(OR($A202="",$R202=""),0,IF(Deal_Scope="All Deals",1,IF($E202=Deal_Scope,1,0)))</f>
        <v>0</v>
      </c>
      <c r="AO202" s="56" t="n">
        <f aca="false">IF($AN202=0,0,Px_Par)</f>
        <v>0</v>
      </c>
      <c r="AP202" s="70" t="n">
        <f aca="false">IF($H202="",0,MAX(0,($H202-Set_Date)/30.4375))</f>
        <v>0</v>
      </c>
      <c r="AQ202" s="26" t="n">
        <f aca="false">IF(AND(Ext_Flag="Yes",$AA202="Yes"),Ext_Months,0)</f>
        <v>0</v>
      </c>
      <c r="AR202" s="70" t="n">
        <f aca="false">$AP202+$AQ202</f>
        <v>0</v>
      </c>
      <c r="AS202" s="70" t="n">
        <f aca="false">$AR202/12</f>
        <v>0</v>
      </c>
      <c r="AT202" s="70" t="n">
        <f aca="false">IF($AJ202="",0,MAX(0,$AJ202/12))</f>
        <v>0</v>
      </c>
      <c r="AU202" s="70" t="n">
        <f aca="false">MAX(Amort_Min,Amort_Term-$AH202/12)</f>
        <v>30</v>
      </c>
      <c r="AV202" s="70" t="n">
        <f aca="false">MIN($AS202,Hold_Yrs)</f>
        <v>0</v>
      </c>
      <c r="AW202" s="26" t="n">
        <f aca="false">IF($AN202=0,0,CEILING(MAX($AS202,0.0001),1))</f>
        <v>0</v>
      </c>
      <c r="AX202" s="26" t="n">
        <f aca="false">IF(AND($AN202=1,MAX($AS202,0.0001)&lt;=Hold_Yrs),1,0)</f>
        <v>0</v>
      </c>
      <c r="AY202" s="71" t="n">
        <f aca="false">$R202*$AO202</f>
        <v>0</v>
      </c>
      <c r="AZ202" s="71" t="n">
        <f aca="false">$R202*Acc_Int*$AN202</f>
        <v>0</v>
      </c>
      <c r="BA202" s="71" t="n">
        <f aca="false">$AY202*Acq_Cost</f>
        <v>0</v>
      </c>
      <c r="BB202" s="71" t="n">
        <f aca="false">$AY202+$AZ202+$BA202</f>
        <v>0</v>
      </c>
      <c r="BC202" s="71" t="n">
        <f aca="false">IF(Fin_Flag="Yes",$AY202*Adv_Rate,0)</f>
        <v>0</v>
      </c>
      <c r="BD202" s="71" t="n">
        <f aca="false">$BC202*Fin_UpFee</f>
        <v>0</v>
      </c>
      <c r="BE202" s="71" t="n">
        <f aca="false">$BB202-$BC202+$BD202</f>
        <v>0</v>
      </c>
    </row>
    <row r="203" customFormat="false" ht="14.25" hidden="false" customHeight="false" outlineLevel="0" collapsed="false">
      <c r="A203" s="61"/>
      <c r="B203" s="62"/>
      <c r="C203" s="61"/>
      <c r="D203" s="61"/>
      <c r="E203" s="61"/>
      <c r="F203" s="63"/>
      <c r="G203" s="64"/>
      <c r="H203" s="64"/>
      <c r="I203" s="63"/>
      <c r="J203" s="63"/>
      <c r="K203" s="61"/>
      <c r="L203" s="65"/>
      <c r="M203" s="65"/>
      <c r="N203" s="61"/>
      <c r="O203" s="64"/>
      <c r="P203" s="65"/>
      <c r="Q203" s="65"/>
      <c r="R203" s="66"/>
      <c r="S203" s="65"/>
      <c r="T203" s="65"/>
      <c r="U203" s="67"/>
      <c r="V203" s="65"/>
      <c r="W203" s="65"/>
      <c r="X203" s="63"/>
      <c r="Y203" s="63"/>
      <c r="Z203" s="61"/>
      <c r="AA203" s="61"/>
      <c r="AB203" s="61"/>
      <c r="AC203" s="61"/>
      <c r="AD203" s="61"/>
      <c r="AE203" s="61"/>
      <c r="AF203" s="61"/>
      <c r="AG203" s="61"/>
      <c r="AH203" s="68" t="n">
        <f aca="false">IF(G203="",0,ROUND((Strats!$C$4-G203)/30.4375,1))</f>
        <v>0</v>
      </c>
      <c r="AI203" s="69" t="n">
        <f aca="false">IF(K203="",0,IF(K203="Floating",Strats!$C$10+M203,L203))</f>
        <v>0</v>
      </c>
      <c r="AJ203" s="68" t="str">
        <f aca="false">IF(OR(Z203="",Z203="Full Amortizing"),"",MAX(J203-AH203,0))</f>
        <v/>
      </c>
      <c r="AK203" s="69" t="n">
        <f aca="false">IF(K203="",0,IF(K203="Floating",IF(P203&lt;&gt;"",MIN(IF(Q203&lt;&gt;"",MAX((Strats!$C$10+Strats!$C$11+M203),Q203),(Strats!$C$10+Strats!$C$11+M203)),P203),IF(Q203&lt;&gt;"",MAX((Strats!$C$10+Strats!$C$11+M203),Q203),(Strats!$C$10+Strats!$C$11+M203))),AI203))</f>
        <v>0</v>
      </c>
      <c r="AL203" s="68" t="str">
        <f aca="false">IF(OR(E203="",E203&lt;&gt;'Deal Strat'!$C$12,R203=""),"",SUMPRODUCT((E$4:E$303='Deal Strat'!$C$12)*(R$4:R$303&gt;R203))+1+SUMPRODUCT((E$4:E$303='Deal Strat'!$C$12)*(R$4:R$303=R203)*(ROW(R$4:R$303)&lt;ROW(R203))))</f>
        <v/>
      </c>
      <c r="AM203" s="68" t="str">
        <f aca="false">IF(R203="","",RANK(R203,$R$4:$R$303,0)+COUNTIF($R$4:R203,R203)-1)</f>
        <v/>
      </c>
      <c r="AN203" s="26" t="n">
        <f aca="false">IF(OR($A203="",$R203=""),0,IF(Deal_Scope="All Deals",1,IF($E203=Deal_Scope,1,0)))</f>
        <v>0</v>
      </c>
      <c r="AO203" s="56" t="n">
        <f aca="false">IF($AN203=0,0,Px_Par)</f>
        <v>0</v>
      </c>
      <c r="AP203" s="70" t="n">
        <f aca="false">IF($H203="",0,MAX(0,($H203-Set_Date)/30.4375))</f>
        <v>0</v>
      </c>
      <c r="AQ203" s="26" t="n">
        <f aca="false">IF(AND(Ext_Flag="Yes",$AA203="Yes"),Ext_Months,0)</f>
        <v>0</v>
      </c>
      <c r="AR203" s="70" t="n">
        <f aca="false">$AP203+$AQ203</f>
        <v>0</v>
      </c>
      <c r="AS203" s="70" t="n">
        <f aca="false">$AR203/12</f>
        <v>0</v>
      </c>
      <c r="AT203" s="70" t="n">
        <f aca="false">IF($AJ203="",0,MAX(0,$AJ203/12))</f>
        <v>0</v>
      </c>
      <c r="AU203" s="70" t="n">
        <f aca="false">MAX(Amort_Min,Amort_Term-$AH203/12)</f>
        <v>30</v>
      </c>
      <c r="AV203" s="70" t="n">
        <f aca="false">MIN($AS203,Hold_Yrs)</f>
        <v>0</v>
      </c>
      <c r="AW203" s="26" t="n">
        <f aca="false">IF($AN203=0,0,CEILING(MAX($AS203,0.0001),1))</f>
        <v>0</v>
      </c>
      <c r="AX203" s="26" t="n">
        <f aca="false">IF(AND($AN203=1,MAX($AS203,0.0001)&lt;=Hold_Yrs),1,0)</f>
        <v>0</v>
      </c>
      <c r="AY203" s="71" t="n">
        <f aca="false">$R203*$AO203</f>
        <v>0</v>
      </c>
      <c r="AZ203" s="71" t="n">
        <f aca="false">$R203*Acc_Int*$AN203</f>
        <v>0</v>
      </c>
      <c r="BA203" s="71" t="n">
        <f aca="false">$AY203*Acq_Cost</f>
        <v>0</v>
      </c>
      <c r="BB203" s="71" t="n">
        <f aca="false">$AY203+$AZ203+$BA203</f>
        <v>0</v>
      </c>
      <c r="BC203" s="71" t="n">
        <f aca="false">IF(Fin_Flag="Yes",$AY203*Adv_Rate,0)</f>
        <v>0</v>
      </c>
      <c r="BD203" s="71" t="n">
        <f aca="false">$BC203*Fin_UpFee</f>
        <v>0</v>
      </c>
      <c r="BE203" s="71" t="n">
        <f aca="false">$BB203-$BC203+$BD203</f>
        <v>0</v>
      </c>
    </row>
    <row r="204" customFormat="false" ht="14.25" hidden="false" customHeight="false" outlineLevel="0" collapsed="false">
      <c r="A204" s="61"/>
      <c r="B204" s="62"/>
      <c r="C204" s="61"/>
      <c r="D204" s="61"/>
      <c r="E204" s="61"/>
      <c r="F204" s="63"/>
      <c r="G204" s="64"/>
      <c r="H204" s="64"/>
      <c r="I204" s="63"/>
      <c r="J204" s="63"/>
      <c r="K204" s="61"/>
      <c r="L204" s="65"/>
      <c r="M204" s="65"/>
      <c r="N204" s="61"/>
      <c r="O204" s="64"/>
      <c r="P204" s="65"/>
      <c r="Q204" s="65"/>
      <c r="R204" s="66"/>
      <c r="S204" s="65"/>
      <c r="T204" s="65"/>
      <c r="U204" s="67"/>
      <c r="V204" s="65"/>
      <c r="W204" s="65"/>
      <c r="X204" s="63"/>
      <c r="Y204" s="63"/>
      <c r="Z204" s="61"/>
      <c r="AA204" s="61"/>
      <c r="AB204" s="61"/>
      <c r="AC204" s="61"/>
      <c r="AD204" s="61"/>
      <c r="AE204" s="61"/>
      <c r="AF204" s="61"/>
      <c r="AG204" s="61"/>
      <c r="AH204" s="68" t="n">
        <f aca="false">IF(G204="",0,ROUND((Strats!$C$4-G204)/30.4375,1))</f>
        <v>0</v>
      </c>
      <c r="AI204" s="69" t="n">
        <f aca="false">IF(K204="",0,IF(K204="Floating",Strats!$C$10+M204,L204))</f>
        <v>0</v>
      </c>
      <c r="AJ204" s="68" t="str">
        <f aca="false">IF(OR(Z204="",Z204="Full Amortizing"),"",MAX(J204-AH204,0))</f>
        <v/>
      </c>
      <c r="AK204" s="69" t="n">
        <f aca="false">IF(K204="",0,IF(K204="Floating",IF(P204&lt;&gt;"",MIN(IF(Q204&lt;&gt;"",MAX((Strats!$C$10+Strats!$C$11+M204),Q204),(Strats!$C$10+Strats!$C$11+M204)),P204),IF(Q204&lt;&gt;"",MAX((Strats!$C$10+Strats!$C$11+M204),Q204),(Strats!$C$10+Strats!$C$11+M204))),AI204))</f>
        <v>0</v>
      </c>
      <c r="AL204" s="68" t="str">
        <f aca="false">IF(OR(E204="",E204&lt;&gt;'Deal Strat'!$C$12,R204=""),"",SUMPRODUCT((E$4:E$303='Deal Strat'!$C$12)*(R$4:R$303&gt;R204))+1+SUMPRODUCT((E$4:E$303='Deal Strat'!$C$12)*(R$4:R$303=R204)*(ROW(R$4:R$303)&lt;ROW(R204))))</f>
        <v/>
      </c>
      <c r="AM204" s="68" t="str">
        <f aca="false">IF(R204="","",RANK(R204,$R$4:$R$303,0)+COUNTIF($R$4:R204,R204)-1)</f>
        <v/>
      </c>
      <c r="AN204" s="26" t="n">
        <f aca="false">IF(OR($A204="",$R204=""),0,IF(Deal_Scope="All Deals",1,IF($E204=Deal_Scope,1,0)))</f>
        <v>0</v>
      </c>
      <c r="AO204" s="56" t="n">
        <f aca="false">IF($AN204=0,0,Px_Par)</f>
        <v>0</v>
      </c>
      <c r="AP204" s="70" t="n">
        <f aca="false">IF($H204="",0,MAX(0,($H204-Set_Date)/30.4375))</f>
        <v>0</v>
      </c>
      <c r="AQ204" s="26" t="n">
        <f aca="false">IF(AND(Ext_Flag="Yes",$AA204="Yes"),Ext_Months,0)</f>
        <v>0</v>
      </c>
      <c r="AR204" s="70" t="n">
        <f aca="false">$AP204+$AQ204</f>
        <v>0</v>
      </c>
      <c r="AS204" s="70" t="n">
        <f aca="false">$AR204/12</f>
        <v>0</v>
      </c>
      <c r="AT204" s="70" t="n">
        <f aca="false">IF($AJ204="",0,MAX(0,$AJ204/12))</f>
        <v>0</v>
      </c>
      <c r="AU204" s="70" t="n">
        <f aca="false">MAX(Amort_Min,Amort_Term-$AH204/12)</f>
        <v>30</v>
      </c>
      <c r="AV204" s="70" t="n">
        <f aca="false">MIN($AS204,Hold_Yrs)</f>
        <v>0</v>
      </c>
      <c r="AW204" s="26" t="n">
        <f aca="false">IF($AN204=0,0,CEILING(MAX($AS204,0.0001),1))</f>
        <v>0</v>
      </c>
      <c r="AX204" s="26" t="n">
        <f aca="false">IF(AND($AN204=1,MAX($AS204,0.0001)&lt;=Hold_Yrs),1,0)</f>
        <v>0</v>
      </c>
      <c r="AY204" s="71" t="n">
        <f aca="false">$R204*$AO204</f>
        <v>0</v>
      </c>
      <c r="AZ204" s="71" t="n">
        <f aca="false">$R204*Acc_Int*$AN204</f>
        <v>0</v>
      </c>
      <c r="BA204" s="71" t="n">
        <f aca="false">$AY204*Acq_Cost</f>
        <v>0</v>
      </c>
      <c r="BB204" s="71" t="n">
        <f aca="false">$AY204+$AZ204+$BA204</f>
        <v>0</v>
      </c>
      <c r="BC204" s="71" t="n">
        <f aca="false">IF(Fin_Flag="Yes",$AY204*Adv_Rate,0)</f>
        <v>0</v>
      </c>
      <c r="BD204" s="71" t="n">
        <f aca="false">$BC204*Fin_UpFee</f>
        <v>0</v>
      </c>
      <c r="BE204" s="71" t="n">
        <f aca="false">$BB204-$BC204+$BD204</f>
        <v>0</v>
      </c>
    </row>
    <row r="205" customFormat="false" ht="14.25" hidden="false" customHeight="false" outlineLevel="0" collapsed="false">
      <c r="A205" s="61"/>
      <c r="B205" s="62"/>
      <c r="C205" s="61"/>
      <c r="D205" s="61"/>
      <c r="E205" s="61"/>
      <c r="F205" s="63"/>
      <c r="G205" s="64"/>
      <c r="H205" s="64"/>
      <c r="I205" s="63"/>
      <c r="J205" s="63"/>
      <c r="K205" s="61"/>
      <c r="L205" s="65"/>
      <c r="M205" s="65"/>
      <c r="N205" s="61"/>
      <c r="O205" s="64"/>
      <c r="P205" s="65"/>
      <c r="Q205" s="65"/>
      <c r="R205" s="66"/>
      <c r="S205" s="65"/>
      <c r="T205" s="65"/>
      <c r="U205" s="67"/>
      <c r="V205" s="65"/>
      <c r="W205" s="65"/>
      <c r="X205" s="63"/>
      <c r="Y205" s="63"/>
      <c r="Z205" s="61"/>
      <c r="AA205" s="61"/>
      <c r="AB205" s="61"/>
      <c r="AC205" s="61"/>
      <c r="AD205" s="61"/>
      <c r="AE205" s="61"/>
      <c r="AF205" s="61"/>
      <c r="AG205" s="61"/>
      <c r="AH205" s="68" t="n">
        <f aca="false">IF(G205="",0,ROUND((Strats!$C$4-G205)/30.4375,1))</f>
        <v>0</v>
      </c>
      <c r="AI205" s="69" t="n">
        <f aca="false">IF(K205="",0,IF(K205="Floating",Strats!$C$10+M205,L205))</f>
        <v>0</v>
      </c>
      <c r="AJ205" s="68" t="str">
        <f aca="false">IF(OR(Z205="",Z205="Full Amortizing"),"",MAX(J205-AH205,0))</f>
        <v/>
      </c>
      <c r="AK205" s="69" t="n">
        <f aca="false">IF(K205="",0,IF(K205="Floating",IF(P205&lt;&gt;"",MIN(IF(Q205&lt;&gt;"",MAX((Strats!$C$10+Strats!$C$11+M205),Q205),(Strats!$C$10+Strats!$C$11+M205)),P205),IF(Q205&lt;&gt;"",MAX((Strats!$C$10+Strats!$C$11+M205),Q205),(Strats!$C$10+Strats!$C$11+M205))),AI205))</f>
        <v>0</v>
      </c>
      <c r="AL205" s="68" t="str">
        <f aca="false">IF(OR(E205="",E205&lt;&gt;'Deal Strat'!$C$12,R205=""),"",SUMPRODUCT((E$4:E$303='Deal Strat'!$C$12)*(R$4:R$303&gt;R205))+1+SUMPRODUCT((E$4:E$303='Deal Strat'!$C$12)*(R$4:R$303=R205)*(ROW(R$4:R$303)&lt;ROW(R205))))</f>
        <v/>
      </c>
      <c r="AM205" s="68" t="str">
        <f aca="false">IF(R205="","",RANK(R205,$R$4:$R$303,0)+COUNTIF($R$4:R205,R205)-1)</f>
        <v/>
      </c>
      <c r="AN205" s="26" t="n">
        <f aca="false">IF(OR($A205="",$R205=""),0,IF(Deal_Scope="All Deals",1,IF($E205=Deal_Scope,1,0)))</f>
        <v>0</v>
      </c>
      <c r="AO205" s="56" t="n">
        <f aca="false">IF($AN205=0,0,Px_Par)</f>
        <v>0</v>
      </c>
      <c r="AP205" s="70" t="n">
        <f aca="false">IF($H205="",0,MAX(0,($H205-Set_Date)/30.4375))</f>
        <v>0</v>
      </c>
      <c r="AQ205" s="26" t="n">
        <f aca="false">IF(AND(Ext_Flag="Yes",$AA205="Yes"),Ext_Months,0)</f>
        <v>0</v>
      </c>
      <c r="AR205" s="70" t="n">
        <f aca="false">$AP205+$AQ205</f>
        <v>0</v>
      </c>
      <c r="AS205" s="70" t="n">
        <f aca="false">$AR205/12</f>
        <v>0</v>
      </c>
      <c r="AT205" s="70" t="n">
        <f aca="false">IF($AJ205="",0,MAX(0,$AJ205/12))</f>
        <v>0</v>
      </c>
      <c r="AU205" s="70" t="n">
        <f aca="false">MAX(Amort_Min,Amort_Term-$AH205/12)</f>
        <v>30</v>
      </c>
      <c r="AV205" s="70" t="n">
        <f aca="false">MIN($AS205,Hold_Yrs)</f>
        <v>0</v>
      </c>
      <c r="AW205" s="26" t="n">
        <f aca="false">IF($AN205=0,0,CEILING(MAX($AS205,0.0001),1))</f>
        <v>0</v>
      </c>
      <c r="AX205" s="26" t="n">
        <f aca="false">IF(AND($AN205=1,MAX($AS205,0.0001)&lt;=Hold_Yrs),1,0)</f>
        <v>0</v>
      </c>
      <c r="AY205" s="71" t="n">
        <f aca="false">$R205*$AO205</f>
        <v>0</v>
      </c>
      <c r="AZ205" s="71" t="n">
        <f aca="false">$R205*Acc_Int*$AN205</f>
        <v>0</v>
      </c>
      <c r="BA205" s="71" t="n">
        <f aca="false">$AY205*Acq_Cost</f>
        <v>0</v>
      </c>
      <c r="BB205" s="71" t="n">
        <f aca="false">$AY205+$AZ205+$BA205</f>
        <v>0</v>
      </c>
      <c r="BC205" s="71" t="n">
        <f aca="false">IF(Fin_Flag="Yes",$AY205*Adv_Rate,0)</f>
        <v>0</v>
      </c>
      <c r="BD205" s="71" t="n">
        <f aca="false">$BC205*Fin_UpFee</f>
        <v>0</v>
      </c>
      <c r="BE205" s="71" t="n">
        <f aca="false">$BB205-$BC205+$BD205</f>
        <v>0</v>
      </c>
    </row>
    <row r="206" customFormat="false" ht="14.25" hidden="false" customHeight="false" outlineLevel="0" collapsed="false">
      <c r="A206" s="61"/>
      <c r="B206" s="62"/>
      <c r="C206" s="61"/>
      <c r="D206" s="61"/>
      <c r="E206" s="61"/>
      <c r="F206" s="63"/>
      <c r="G206" s="64"/>
      <c r="H206" s="64"/>
      <c r="I206" s="63"/>
      <c r="J206" s="63"/>
      <c r="K206" s="61"/>
      <c r="L206" s="65"/>
      <c r="M206" s="65"/>
      <c r="N206" s="61"/>
      <c r="O206" s="64"/>
      <c r="P206" s="65"/>
      <c r="Q206" s="65"/>
      <c r="R206" s="66"/>
      <c r="S206" s="65"/>
      <c r="T206" s="65"/>
      <c r="U206" s="67"/>
      <c r="V206" s="65"/>
      <c r="W206" s="65"/>
      <c r="X206" s="63"/>
      <c r="Y206" s="63"/>
      <c r="Z206" s="61"/>
      <c r="AA206" s="61"/>
      <c r="AB206" s="61"/>
      <c r="AC206" s="61"/>
      <c r="AD206" s="61"/>
      <c r="AE206" s="61"/>
      <c r="AF206" s="61"/>
      <c r="AG206" s="61"/>
      <c r="AH206" s="68" t="n">
        <f aca="false">IF(G206="",0,ROUND((Strats!$C$4-G206)/30.4375,1))</f>
        <v>0</v>
      </c>
      <c r="AI206" s="69" t="n">
        <f aca="false">IF(K206="",0,IF(K206="Floating",Strats!$C$10+M206,L206))</f>
        <v>0</v>
      </c>
      <c r="AJ206" s="68" t="str">
        <f aca="false">IF(OR(Z206="",Z206="Full Amortizing"),"",MAX(J206-AH206,0))</f>
        <v/>
      </c>
      <c r="AK206" s="69" t="n">
        <f aca="false">IF(K206="",0,IF(K206="Floating",IF(P206&lt;&gt;"",MIN(IF(Q206&lt;&gt;"",MAX((Strats!$C$10+Strats!$C$11+M206),Q206),(Strats!$C$10+Strats!$C$11+M206)),P206),IF(Q206&lt;&gt;"",MAX((Strats!$C$10+Strats!$C$11+M206),Q206),(Strats!$C$10+Strats!$C$11+M206))),AI206))</f>
        <v>0</v>
      </c>
      <c r="AL206" s="68" t="str">
        <f aca="false">IF(OR(E206="",E206&lt;&gt;'Deal Strat'!$C$12,R206=""),"",SUMPRODUCT((E$4:E$303='Deal Strat'!$C$12)*(R$4:R$303&gt;R206))+1+SUMPRODUCT((E$4:E$303='Deal Strat'!$C$12)*(R$4:R$303=R206)*(ROW(R$4:R$303)&lt;ROW(R206))))</f>
        <v/>
      </c>
      <c r="AM206" s="68" t="str">
        <f aca="false">IF(R206="","",RANK(R206,$R$4:$R$303,0)+COUNTIF($R$4:R206,R206)-1)</f>
        <v/>
      </c>
      <c r="AN206" s="26" t="n">
        <f aca="false">IF(OR($A206="",$R206=""),0,IF(Deal_Scope="All Deals",1,IF($E206=Deal_Scope,1,0)))</f>
        <v>0</v>
      </c>
      <c r="AO206" s="56" t="n">
        <f aca="false">IF($AN206=0,0,Px_Par)</f>
        <v>0</v>
      </c>
      <c r="AP206" s="70" t="n">
        <f aca="false">IF($H206="",0,MAX(0,($H206-Set_Date)/30.4375))</f>
        <v>0</v>
      </c>
      <c r="AQ206" s="26" t="n">
        <f aca="false">IF(AND(Ext_Flag="Yes",$AA206="Yes"),Ext_Months,0)</f>
        <v>0</v>
      </c>
      <c r="AR206" s="70" t="n">
        <f aca="false">$AP206+$AQ206</f>
        <v>0</v>
      </c>
      <c r="AS206" s="70" t="n">
        <f aca="false">$AR206/12</f>
        <v>0</v>
      </c>
      <c r="AT206" s="70" t="n">
        <f aca="false">IF($AJ206="",0,MAX(0,$AJ206/12))</f>
        <v>0</v>
      </c>
      <c r="AU206" s="70" t="n">
        <f aca="false">MAX(Amort_Min,Amort_Term-$AH206/12)</f>
        <v>30</v>
      </c>
      <c r="AV206" s="70" t="n">
        <f aca="false">MIN($AS206,Hold_Yrs)</f>
        <v>0</v>
      </c>
      <c r="AW206" s="26" t="n">
        <f aca="false">IF($AN206=0,0,CEILING(MAX($AS206,0.0001),1))</f>
        <v>0</v>
      </c>
      <c r="AX206" s="26" t="n">
        <f aca="false">IF(AND($AN206=1,MAX($AS206,0.0001)&lt;=Hold_Yrs),1,0)</f>
        <v>0</v>
      </c>
      <c r="AY206" s="71" t="n">
        <f aca="false">$R206*$AO206</f>
        <v>0</v>
      </c>
      <c r="AZ206" s="71" t="n">
        <f aca="false">$R206*Acc_Int*$AN206</f>
        <v>0</v>
      </c>
      <c r="BA206" s="71" t="n">
        <f aca="false">$AY206*Acq_Cost</f>
        <v>0</v>
      </c>
      <c r="BB206" s="71" t="n">
        <f aca="false">$AY206+$AZ206+$BA206</f>
        <v>0</v>
      </c>
      <c r="BC206" s="71" t="n">
        <f aca="false">IF(Fin_Flag="Yes",$AY206*Adv_Rate,0)</f>
        <v>0</v>
      </c>
      <c r="BD206" s="71" t="n">
        <f aca="false">$BC206*Fin_UpFee</f>
        <v>0</v>
      </c>
      <c r="BE206" s="71" t="n">
        <f aca="false">$BB206-$BC206+$BD206</f>
        <v>0</v>
      </c>
    </row>
    <row r="207" customFormat="false" ht="14.25" hidden="false" customHeight="false" outlineLevel="0" collapsed="false">
      <c r="A207" s="61"/>
      <c r="B207" s="62"/>
      <c r="C207" s="61"/>
      <c r="D207" s="61"/>
      <c r="E207" s="61"/>
      <c r="F207" s="63"/>
      <c r="G207" s="64"/>
      <c r="H207" s="64"/>
      <c r="I207" s="63"/>
      <c r="J207" s="63"/>
      <c r="K207" s="61"/>
      <c r="L207" s="65"/>
      <c r="M207" s="65"/>
      <c r="N207" s="61"/>
      <c r="O207" s="64"/>
      <c r="P207" s="65"/>
      <c r="Q207" s="65"/>
      <c r="R207" s="66"/>
      <c r="S207" s="65"/>
      <c r="T207" s="65"/>
      <c r="U207" s="67"/>
      <c r="V207" s="65"/>
      <c r="W207" s="65"/>
      <c r="X207" s="63"/>
      <c r="Y207" s="63"/>
      <c r="Z207" s="61"/>
      <c r="AA207" s="61"/>
      <c r="AB207" s="61"/>
      <c r="AC207" s="61"/>
      <c r="AD207" s="61"/>
      <c r="AE207" s="61"/>
      <c r="AF207" s="61"/>
      <c r="AG207" s="61"/>
      <c r="AH207" s="68" t="n">
        <f aca="false">IF(G207="",0,ROUND((Strats!$C$4-G207)/30.4375,1))</f>
        <v>0</v>
      </c>
      <c r="AI207" s="69" t="n">
        <f aca="false">IF(K207="",0,IF(K207="Floating",Strats!$C$10+M207,L207))</f>
        <v>0</v>
      </c>
      <c r="AJ207" s="68" t="str">
        <f aca="false">IF(OR(Z207="",Z207="Full Amortizing"),"",MAX(J207-AH207,0))</f>
        <v/>
      </c>
      <c r="AK207" s="69" t="n">
        <f aca="false">IF(K207="",0,IF(K207="Floating",IF(P207&lt;&gt;"",MIN(IF(Q207&lt;&gt;"",MAX((Strats!$C$10+Strats!$C$11+M207),Q207),(Strats!$C$10+Strats!$C$11+M207)),P207),IF(Q207&lt;&gt;"",MAX((Strats!$C$10+Strats!$C$11+M207),Q207),(Strats!$C$10+Strats!$C$11+M207))),AI207))</f>
        <v>0</v>
      </c>
      <c r="AL207" s="68" t="str">
        <f aca="false">IF(OR(E207="",E207&lt;&gt;'Deal Strat'!$C$12,R207=""),"",SUMPRODUCT((E$4:E$303='Deal Strat'!$C$12)*(R$4:R$303&gt;R207))+1+SUMPRODUCT((E$4:E$303='Deal Strat'!$C$12)*(R$4:R$303=R207)*(ROW(R$4:R$303)&lt;ROW(R207))))</f>
        <v/>
      </c>
      <c r="AM207" s="68" t="str">
        <f aca="false">IF(R207="","",RANK(R207,$R$4:$R$303,0)+COUNTIF($R$4:R207,R207)-1)</f>
        <v/>
      </c>
      <c r="AN207" s="26" t="n">
        <f aca="false">IF(OR($A207="",$R207=""),0,IF(Deal_Scope="All Deals",1,IF($E207=Deal_Scope,1,0)))</f>
        <v>0</v>
      </c>
      <c r="AO207" s="56" t="n">
        <f aca="false">IF($AN207=0,0,Px_Par)</f>
        <v>0</v>
      </c>
      <c r="AP207" s="70" t="n">
        <f aca="false">IF($H207="",0,MAX(0,($H207-Set_Date)/30.4375))</f>
        <v>0</v>
      </c>
      <c r="AQ207" s="26" t="n">
        <f aca="false">IF(AND(Ext_Flag="Yes",$AA207="Yes"),Ext_Months,0)</f>
        <v>0</v>
      </c>
      <c r="AR207" s="70" t="n">
        <f aca="false">$AP207+$AQ207</f>
        <v>0</v>
      </c>
      <c r="AS207" s="70" t="n">
        <f aca="false">$AR207/12</f>
        <v>0</v>
      </c>
      <c r="AT207" s="70" t="n">
        <f aca="false">IF($AJ207="",0,MAX(0,$AJ207/12))</f>
        <v>0</v>
      </c>
      <c r="AU207" s="70" t="n">
        <f aca="false">MAX(Amort_Min,Amort_Term-$AH207/12)</f>
        <v>30</v>
      </c>
      <c r="AV207" s="70" t="n">
        <f aca="false">MIN($AS207,Hold_Yrs)</f>
        <v>0</v>
      </c>
      <c r="AW207" s="26" t="n">
        <f aca="false">IF($AN207=0,0,CEILING(MAX($AS207,0.0001),1))</f>
        <v>0</v>
      </c>
      <c r="AX207" s="26" t="n">
        <f aca="false">IF(AND($AN207=1,MAX($AS207,0.0001)&lt;=Hold_Yrs),1,0)</f>
        <v>0</v>
      </c>
      <c r="AY207" s="71" t="n">
        <f aca="false">$R207*$AO207</f>
        <v>0</v>
      </c>
      <c r="AZ207" s="71" t="n">
        <f aca="false">$R207*Acc_Int*$AN207</f>
        <v>0</v>
      </c>
      <c r="BA207" s="71" t="n">
        <f aca="false">$AY207*Acq_Cost</f>
        <v>0</v>
      </c>
      <c r="BB207" s="71" t="n">
        <f aca="false">$AY207+$AZ207+$BA207</f>
        <v>0</v>
      </c>
      <c r="BC207" s="71" t="n">
        <f aca="false">IF(Fin_Flag="Yes",$AY207*Adv_Rate,0)</f>
        <v>0</v>
      </c>
      <c r="BD207" s="71" t="n">
        <f aca="false">$BC207*Fin_UpFee</f>
        <v>0</v>
      </c>
      <c r="BE207" s="71" t="n">
        <f aca="false">$BB207-$BC207+$BD207</f>
        <v>0</v>
      </c>
    </row>
    <row r="208" customFormat="false" ht="14.25" hidden="false" customHeight="false" outlineLevel="0" collapsed="false">
      <c r="A208" s="61"/>
      <c r="B208" s="62"/>
      <c r="C208" s="61"/>
      <c r="D208" s="61"/>
      <c r="E208" s="61"/>
      <c r="F208" s="63"/>
      <c r="G208" s="64"/>
      <c r="H208" s="64"/>
      <c r="I208" s="63"/>
      <c r="J208" s="63"/>
      <c r="K208" s="61"/>
      <c r="L208" s="65"/>
      <c r="M208" s="65"/>
      <c r="N208" s="61"/>
      <c r="O208" s="64"/>
      <c r="P208" s="65"/>
      <c r="Q208" s="65"/>
      <c r="R208" s="66"/>
      <c r="S208" s="65"/>
      <c r="T208" s="65"/>
      <c r="U208" s="67"/>
      <c r="V208" s="65"/>
      <c r="W208" s="65"/>
      <c r="X208" s="63"/>
      <c r="Y208" s="63"/>
      <c r="Z208" s="61"/>
      <c r="AA208" s="61"/>
      <c r="AB208" s="61"/>
      <c r="AC208" s="61"/>
      <c r="AD208" s="61"/>
      <c r="AE208" s="61"/>
      <c r="AF208" s="61"/>
      <c r="AG208" s="61"/>
      <c r="AH208" s="68" t="n">
        <f aca="false">IF(G208="",0,ROUND((Strats!$C$4-G208)/30.4375,1))</f>
        <v>0</v>
      </c>
      <c r="AI208" s="69" t="n">
        <f aca="false">IF(K208="",0,IF(K208="Floating",Strats!$C$10+M208,L208))</f>
        <v>0</v>
      </c>
      <c r="AJ208" s="68" t="str">
        <f aca="false">IF(OR(Z208="",Z208="Full Amortizing"),"",MAX(J208-AH208,0))</f>
        <v/>
      </c>
      <c r="AK208" s="69" t="n">
        <f aca="false">IF(K208="",0,IF(K208="Floating",IF(P208&lt;&gt;"",MIN(IF(Q208&lt;&gt;"",MAX((Strats!$C$10+Strats!$C$11+M208),Q208),(Strats!$C$10+Strats!$C$11+M208)),P208),IF(Q208&lt;&gt;"",MAX((Strats!$C$10+Strats!$C$11+M208),Q208),(Strats!$C$10+Strats!$C$11+M208))),AI208))</f>
        <v>0</v>
      </c>
      <c r="AL208" s="68" t="str">
        <f aca="false">IF(OR(E208="",E208&lt;&gt;'Deal Strat'!$C$12,R208=""),"",SUMPRODUCT((E$4:E$303='Deal Strat'!$C$12)*(R$4:R$303&gt;R208))+1+SUMPRODUCT((E$4:E$303='Deal Strat'!$C$12)*(R$4:R$303=R208)*(ROW(R$4:R$303)&lt;ROW(R208))))</f>
        <v/>
      </c>
      <c r="AM208" s="68" t="str">
        <f aca="false">IF(R208="","",RANK(R208,$R$4:$R$303,0)+COUNTIF($R$4:R208,R208)-1)</f>
        <v/>
      </c>
      <c r="AN208" s="26" t="n">
        <f aca="false">IF(OR($A208="",$R208=""),0,IF(Deal_Scope="All Deals",1,IF($E208=Deal_Scope,1,0)))</f>
        <v>0</v>
      </c>
      <c r="AO208" s="56" t="n">
        <f aca="false">IF($AN208=0,0,Px_Par)</f>
        <v>0</v>
      </c>
      <c r="AP208" s="70" t="n">
        <f aca="false">IF($H208="",0,MAX(0,($H208-Set_Date)/30.4375))</f>
        <v>0</v>
      </c>
      <c r="AQ208" s="26" t="n">
        <f aca="false">IF(AND(Ext_Flag="Yes",$AA208="Yes"),Ext_Months,0)</f>
        <v>0</v>
      </c>
      <c r="AR208" s="70" t="n">
        <f aca="false">$AP208+$AQ208</f>
        <v>0</v>
      </c>
      <c r="AS208" s="70" t="n">
        <f aca="false">$AR208/12</f>
        <v>0</v>
      </c>
      <c r="AT208" s="70" t="n">
        <f aca="false">IF($AJ208="",0,MAX(0,$AJ208/12))</f>
        <v>0</v>
      </c>
      <c r="AU208" s="70" t="n">
        <f aca="false">MAX(Amort_Min,Amort_Term-$AH208/12)</f>
        <v>30</v>
      </c>
      <c r="AV208" s="70" t="n">
        <f aca="false">MIN($AS208,Hold_Yrs)</f>
        <v>0</v>
      </c>
      <c r="AW208" s="26" t="n">
        <f aca="false">IF($AN208=0,0,CEILING(MAX($AS208,0.0001),1))</f>
        <v>0</v>
      </c>
      <c r="AX208" s="26" t="n">
        <f aca="false">IF(AND($AN208=1,MAX($AS208,0.0001)&lt;=Hold_Yrs),1,0)</f>
        <v>0</v>
      </c>
      <c r="AY208" s="71" t="n">
        <f aca="false">$R208*$AO208</f>
        <v>0</v>
      </c>
      <c r="AZ208" s="71" t="n">
        <f aca="false">$R208*Acc_Int*$AN208</f>
        <v>0</v>
      </c>
      <c r="BA208" s="71" t="n">
        <f aca="false">$AY208*Acq_Cost</f>
        <v>0</v>
      </c>
      <c r="BB208" s="71" t="n">
        <f aca="false">$AY208+$AZ208+$BA208</f>
        <v>0</v>
      </c>
      <c r="BC208" s="71" t="n">
        <f aca="false">IF(Fin_Flag="Yes",$AY208*Adv_Rate,0)</f>
        <v>0</v>
      </c>
      <c r="BD208" s="71" t="n">
        <f aca="false">$BC208*Fin_UpFee</f>
        <v>0</v>
      </c>
      <c r="BE208" s="71" t="n">
        <f aca="false">$BB208-$BC208+$BD208</f>
        <v>0</v>
      </c>
    </row>
    <row r="209" customFormat="false" ht="14.25" hidden="false" customHeight="false" outlineLevel="0" collapsed="false">
      <c r="A209" s="61"/>
      <c r="B209" s="62"/>
      <c r="C209" s="61"/>
      <c r="D209" s="61"/>
      <c r="E209" s="61"/>
      <c r="F209" s="63"/>
      <c r="G209" s="64"/>
      <c r="H209" s="64"/>
      <c r="I209" s="63"/>
      <c r="J209" s="63"/>
      <c r="K209" s="61"/>
      <c r="L209" s="65"/>
      <c r="M209" s="65"/>
      <c r="N209" s="61"/>
      <c r="O209" s="64"/>
      <c r="P209" s="65"/>
      <c r="Q209" s="65"/>
      <c r="R209" s="66"/>
      <c r="S209" s="65"/>
      <c r="T209" s="65"/>
      <c r="U209" s="67"/>
      <c r="V209" s="65"/>
      <c r="W209" s="65"/>
      <c r="X209" s="63"/>
      <c r="Y209" s="63"/>
      <c r="Z209" s="61"/>
      <c r="AA209" s="61"/>
      <c r="AB209" s="61"/>
      <c r="AC209" s="61"/>
      <c r="AD209" s="61"/>
      <c r="AE209" s="61"/>
      <c r="AF209" s="61"/>
      <c r="AG209" s="61"/>
      <c r="AH209" s="68" t="n">
        <f aca="false">IF(G209="",0,ROUND((Strats!$C$4-G209)/30.4375,1))</f>
        <v>0</v>
      </c>
      <c r="AI209" s="69" t="n">
        <f aca="false">IF(K209="",0,IF(K209="Floating",Strats!$C$10+M209,L209))</f>
        <v>0</v>
      </c>
      <c r="AJ209" s="68" t="str">
        <f aca="false">IF(OR(Z209="",Z209="Full Amortizing"),"",MAX(J209-AH209,0))</f>
        <v/>
      </c>
      <c r="AK209" s="69" t="n">
        <f aca="false">IF(K209="",0,IF(K209="Floating",IF(P209&lt;&gt;"",MIN(IF(Q209&lt;&gt;"",MAX((Strats!$C$10+Strats!$C$11+M209),Q209),(Strats!$C$10+Strats!$C$11+M209)),P209),IF(Q209&lt;&gt;"",MAX((Strats!$C$10+Strats!$C$11+M209),Q209),(Strats!$C$10+Strats!$C$11+M209))),AI209))</f>
        <v>0</v>
      </c>
      <c r="AL209" s="68" t="str">
        <f aca="false">IF(OR(E209="",E209&lt;&gt;'Deal Strat'!$C$12,R209=""),"",SUMPRODUCT((E$4:E$303='Deal Strat'!$C$12)*(R$4:R$303&gt;R209))+1+SUMPRODUCT((E$4:E$303='Deal Strat'!$C$12)*(R$4:R$303=R209)*(ROW(R$4:R$303)&lt;ROW(R209))))</f>
        <v/>
      </c>
      <c r="AM209" s="68" t="str">
        <f aca="false">IF(R209="","",RANK(R209,$R$4:$R$303,0)+COUNTIF($R$4:R209,R209)-1)</f>
        <v/>
      </c>
      <c r="AN209" s="26" t="n">
        <f aca="false">IF(OR($A209="",$R209=""),0,IF(Deal_Scope="All Deals",1,IF($E209=Deal_Scope,1,0)))</f>
        <v>0</v>
      </c>
      <c r="AO209" s="56" t="n">
        <f aca="false">IF($AN209=0,0,Px_Par)</f>
        <v>0</v>
      </c>
      <c r="AP209" s="70" t="n">
        <f aca="false">IF($H209="",0,MAX(0,($H209-Set_Date)/30.4375))</f>
        <v>0</v>
      </c>
      <c r="AQ209" s="26" t="n">
        <f aca="false">IF(AND(Ext_Flag="Yes",$AA209="Yes"),Ext_Months,0)</f>
        <v>0</v>
      </c>
      <c r="AR209" s="70" t="n">
        <f aca="false">$AP209+$AQ209</f>
        <v>0</v>
      </c>
      <c r="AS209" s="70" t="n">
        <f aca="false">$AR209/12</f>
        <v>0</v>
      </c>
      <c r="AT209" s="70" t="n">
        <f aca="false">IF($AJ209="",0,MAX(0,$AJ209/12))</f>
        <v>0</v>
      </c>
      <c r="AU209" s="70" t="n">
        <f aca="false">MAX(Amort_Min,Amort_Term-$AH209/12)</f>
        <v>30</v>
      </c>
      <c r="AV209" s="70" t="n">
        <f aca="false">MIN($AS209,Hold_Yrs)</f>
        <v>0</v>
      </c>
      <c r="AW209" s="26" t="n">
        <f aca="false">IF($AN209=0,0,CEILING(MAX($AS209,0.0001),1))</f>
        <v>0</v>
      </c>
      <c r="AX209" s="26" t="n">
        <f aca="false">IF(AND($AN209=1,MAX($AS209,0.0001)&lt;=Hold_Yrs),1,0)</f>
        <v>0</v>
      </c>
      <c r="AY209" s="71" t="n">
        <f aca="false">$R209*$AO209</f>
        <v>0</v>
      </c>
      <c r="AZ209" s="71" t="n">
        <f aca="false">$R209*Acc_Int*$AN209</f>
        <v>0</v>
      </c>
      <c r="BA209" s="71" t="n">
        <f aca="false">$AY209*Acq_Cost</f>
        <v>0</v>
      </c>
      <c r="BB209" s="71" t="n">
        <f aca="false">$AY209+$AZ209+$BA209</f>
        <v>0</v>
      </c>
      <c r="BC209" s="71" t="n">
        <f aca="false">IF(Fin_Flag="Yes",$AY209*Adv_Rate,0)</f>
        <v>0</v>
      </c>
      <c r="BD209" s="71" t="n">
        <f aca="false">$BC209*Fin_UpFee</f>
        <v>0</v>
      </c>
      <c r="BE209" s="71" t="n">
        <f aca="false">$BB209-$BC209+$BD209</f>
        <v>0</v>
      </c>
    </row>
    <row r="210" customFormat="false" ht="14.25" hidden="false" customHeight="false" outlineLevel="0" collapsed="false">
      <c r="A210" s="61"/>
      <c r="B210" s="62"/>
      <c r="C210" s="61"/>
      <c r="D210" s="61"/>
      <c r="E210" s="61"/>
      <c r="F210" s="63"/>
      <c r="G210" s="64"/>
      <c r="H210" s="64"/>
      <c r="I210" s="63"/>
      <c r="J210" s="63"/>
      <c r="K210" s="61"/>
      <c r="L210" s="65"/>
      <c r="M210" s="65"/>
      <c r="N210" s="61"/>
      <c r="O210" s="64"/>
      <c r="P210" s="65"/>
      <c r="Q210" s="65"/>
      <c r="R210" s="66"/>
      <c r="S210" s="65"/>
      <c r="T210" s="65"/>
      <c r="U210" s="67"/>
      <c r="V210" s="65"/>
      <c r="W210" s="65"/>
      <c r="X210" s="63"/>
      <c r="Y210" s="63"/>
      <c r="Z210" s="61"/>
      <c r="AA210" s="61"/>
      <c r="AB210" s="61"/>
      <c r="AC210" s="61"/>
      <c r="AD210" s="61"/>
      <c r="AE210" s="61"/>
      <c r="AF210" s="61"/>
      <c r="AG210" s="61"/>
      <c r="AH210" s="68" t="n">
        <f aca="false">IF(G210="",0,ROUND((Strats!$C$4-G210)/30.4375,1))</f>
        <v>0</v>
      </c>
      <c r="AI210" s="69" t="n">
        <f aca="false">IF(K210="",0,IF(K210="Floating",Strats!$C$10+M210,L210))</f>
        <v>0</v>
      </c>
      <c r="AJ210" s="68" t="str">
        <f aca="false">IF(OR(Z210="",Z210="Full Amortizing"),"",MAX(J210-AH210,0))</f>
        <v/>
      </c>
      <c r="AK210" s="69" t="n">
        <f aca="false">IF(K210="",0,IF(K210="Floating",IF(P210&lt;&gt;"",MIN(IF(Q210&lt;&gt;"",MAX((Strats!$C$10+Strats!$C$11+M210),Q210),(Strats!$C$10+Strats!$C$11+M210)),P210),IF(Q210&lt;&gt;"",MAX((Strats!$C$10+Strats!$C$11+M210),Q210),(Strats!$C$10+Strats!$C$11+M210))),AI210))</f>
        <v>0</v>
      </c>
      <c r="AL210" s="68" t="str">
        <f aca="false">IF(OR(E210="",E210&lt;&gt;'Deal Strat'!$C$12,R210=""),"",SUMPRODUCT((E$4:E$303='Deal Strat'!$C$12)*(R$4:R$303&gt;R210))+1+SUMPRODUCT((E$4:E$303='Deal Strat'!$C$12)*(R$4:R$303=R210)*(ROW(R$4:R$303)&lt;ROW(R210))))</f>
        <v/>
      </c>
      <c r="AM210" s="68" t="str">
        <f aca="false">IF(R210="","",RANK(R210,$R$4:$R$303,0)+COUNTIF($R$4:R210,R210)-1)</f>
        <v/>
      </c>
      <c r="AN210" s="26" t="n">
        <f aca="false">IF(OR($A210="",$R210=""),0,IF(Deal_Scope="All Deals",1,IF($E210=Deal_Scope,1,0)))</f>
        <v>0</v>
      </c>
      <c r="AO210" s="56" t="n">
        <f aca="false">IF($AN210=0,0,Px_Par)</f>
        <v>0</v>
      </c>
      <c r="AP210" s="70" t="n">
        <f aca="false">IF($H210="",0,MAX(0,($H210-Set_Date)/30.4375))</f>
        <v>0</v>
      </c>
      <c r="AQ210" s="26" t="n">
        <f aca="false">IF(AND(Ext_Flag="Yes",$AA210="Yes"),Ext_Months,0)</f>
        <v>0</v>
      </c>
      <c r="AR210" s="70" t="n">
        <f aca="false">$AP210+$AQ210</f>
        <v>0</v>
      </c>
      <c r="AS210" s="70" t="n">
        <f aca="false">$AR210/12</f>
        <v>0</v>
      </c>
      <c r="AT210" s="70" t="n">
        <f aca="false">IF($AJ210="",0,MAX(0,$AJ210/12))</f>
        <v>0</v>
      </c>
      <c r="AU210" s="70" t="n">
        <f aca="false">MAX(Amort_Min,Amort_Term-$AH210/12)</f>
        <v>30</v>
      </c>
      <c r="AV210" s="70" t="n">
        <f aca="false">MIN($AS210,Hold_Yrs)</f>
        <v>0</v>
      </c>
      <c r="AW210" s="26" t="n">
        <f aca="false">IF($AN210=0,0,CEILING(MAX($AS210,0.0001),1))</f>
        <v>0</v>
      </c>
      <c r="AX210" s="26" t="n">
        <f aca="false">IF(AND($AN210=1,MAX($AS210,0.0001)&lt;=Hold_Yrs),1,0)</f>
        <v>0</v>
      </c>
      <c r="AY210" s="71" t="n">
        <f aca="false">$R210*$AO210</f>
        <v>0</v>
      </c>
      <c r="AZ210" s="71" t="n">
        <f aca="false">$R210*Acc_Int*$AN210</f>
        <v>0</v>
      </c>
      <c r="BA210" s="71" t="n">
        <f aca="false">$AY210*Acq_Cost</f>
        <v>0</v>
      </c>
      <c r="BB210" s="71" t="n">
        <f aca="false">$AY210+$AZ210+$BA210</f>
        <v>0</v>
      </c>
      <c r="BC210" s="71" t="n">
        <f aca="false">IF(Fin_Flag="Yes",$AY210*Adv_Rate,0)</f>
        <v>0</v>
      </c>
      <c r="BD210" s="71" t="n">
        <f aca="false">$BC210*Fin_UpFee</f>
        <v>0</v>
      </c>
      <c r="BE210" s="71" t="n">
        <f aca="false">$BB210-$BC210+$BD210</f>
        <v>0</v>
      </c>
    </row>
    <row r="211" customFormat="false" ht="14.25" hidden="false" customHeight="false" outlineLevel="0" collapsed="false">
      <c r="A211" s="61"/>
      <c r="B211" s="62"/>
      <c r="C211" s="61"/>
      <c r="D211" s="61"/>
      <c r="E211" s="61"/>
      <c r="F211" s="63"/>
      <c r="G211" s="64"/>
      <c r="H211" s="64"/>
      <c r="I211" s="63"/>
      <c r="J211" s="63"/>
      <c r="K211" s="61"/>
      <c r="L211" s="65"/>
      <c r="M211" s="65"/>
      <c r="N211" s="61"/>
      <c r="O211" s="64"/>
      <c r="P211" s="65"/>
      <c r="Q211" s="65"/>
      <c r="R211" s="66"/>
      <c r="S211" s="65"/>
      <c r="T211" s="65"/>
      <c r="U211" s="67"/>
      <c r="V211" s="65"/>
      <c r="W211" s="65"/>
      <c r="X211" s="63"/>
      <c r="Y211" s="63"/>
      <c r="Z211" s="61"/>
      <c r="AA211" s="61"/>
      <c r="AB211" s="61"/>
      <c r="AC211" s="61"/>
      <c r="AD211" s="61"/>
      <c r="AE211" s="61"/>
      <c r="AF211" s="61"/>
      <c r="AG211" s="61"/>
      <c r="AH211" s="68" t="n">
        <f aca="false">IF(G211="",0,ROUND((Strats!$C$4-G211)/30.4375,1))</f>
        <v>0</v>
      </c>
      <c r="AI211" s="69" t="n">
        <f aca="false">IF(K211="",0,IF(K211="Floating",Strats!$C$10+M211,L211))</f>
        <v>0</v>
      </c>
      <c r="AJ211" s="68" t="str">
        <f aca="false">IF(OR(Z211="",Z211="Full Amortizing"),"",MAX(J211-AH211,0))</f>
        <v/>
      </c>
      <c r="AK211" s="69" t="n">
        <f aca="false">IF(K211="",0,IF(K211="Floating",IF(P211&lt;&gt;"",MIN(IF(Q211&lt;&gt;"",MAX((Strats!$C$10+Strats!$C$11+M211),Q211),(Strats!$C$10+Strats!$C$11+M211)),P211),IF(Q211&lt;&gt;"",MAX((Strats!$C$10+Strats!$C$11+M211),Q211),(Strats!$C$10+Strats!$C$11+M211))),AI211))</f>
        <v>0</v>
      </c>
      <c r="AL211" s="68" t="str">
        <f aca="false">IF(OR(E211="",E211&lt;&gt;'Deal Strat'!$C$12,R211=""),"",SUMPRODUCT((E$4:E$303='Deal Strat'!$C$12)*(R$4:R$303&gt;R211))+1+SUMPRODUCT((E$4:E$303='Deal Strat'!$C$12)*(R$4:R$303=R211)*(ROW(R$4:R$303)&lt;ROW(R211))))</f>
        <v/>
      </c>
      <c r="AM211" s="68" t="str">
        <f aca="false">IF(R211="","",RANK(R211,$R$4:$R$303,0)+COUNTIF($R$4:R211,R211)-1)</f>
        <v/>
      </c>
      <c r="AN211" s="26" t="n">
        <f aca="false">IF(OR($A211="",$R211=""),0,IF(Deal_Scope="All Deals",1,IF($E211=Deal_Scope,1,0)))</f>
        <v>0</v>
      </c>
      <c r="AO211" s="56" t="n">
        <f aca="false">IF($AN211=0,0,Px_Par)</f>
        <v>0</v>
      </c>
      <c r="AP211" s="70" t="n">
        <f aca="false">IF($H211="",0,MAX(0,($H211-Set_Date)/30.4375))</f>
        <v>0</v>
      </c>
      <c r="AQ211" s="26" t="n">
        <f aca="false">IF(AND(Ext_Flag="Yes",$AA211="Yes"),Ext_Months,0)</f>
        <v>0</v>
      </c>
      <c r="AR211" s="70" t="n">
        <f aca="false">$AP211+$AQ211</f>
        <v>0</v>
      </c>
      <c r="AS211" s="70" t="n">
        <f aca="false">$AR211/12</f>
        <v>0</v>
      </c>
      <c r="AT211" s="70" t="n">
        <f aca="false">IF($AJ211="",0,MAX(0,$AJ211/12))</f>
        <v>0</v>
      </c>
      <c r="AU211" s="70" t="n">
        <f aca="false">MAX(Amort_Min,Amort_Term-$AH211/12)</f>
        <v>30</v>
      </c>
      <c r="AV211" s="70" t="n">
        <f aca="false">MIN($AS211,Hold_Yrs)</f>
        <v>0</v>
      </c>
      <c r="AW211" s="26" t="n">
        <f aca="false">IF($AN211=0,0,CEILING(MAX($AS211,0.0001),1))</f>
        <v>0</v>
      </c>
      <c r="AX211" s="26" t="n">
        <f aca="false">IF(AND($AN211=1,MAX($AS211,0.0001)&lt;=Hold_Yrs),1,0)</f>
        <v>0</v>
      </c>
      <c r="AY211" s="71" t="n">
        <f aca="false">$R211*$AO211</f>
        <v>0</v>
      </c>
      <c r="AZ211" s="71" t="n">
        <f aca="false">$R211*Acc_Int*$AN211</f>
        <v>0</v>
      </c>
      <c r="BA211" s="71" t="n">
        <f aca="false">$AY211*Acq_Cost</f>
        <v>0</v>
      </c>
      <c r="BB211" s="71" t="n">
        <f aca="false">$AY211+$AZ211+$BA211</f>
        <v>0</v>
      </c>
      <c r="BC211" s="71" t="n">
        <f aca="false">IF(Fin_Flag="Yes",$AY211*Adv_Rate,0)</f>
        <v>0</v>
      </c>
      <c r="BD211" s="71" t="n">
        <f aca="false">$BC211*Fin_UpFee</f>
        <v>0</v>
      </c>
      <c r="BE211" s="71" t="n">
        <f aca="false">$BB211-$BC211+$BD211</f>
        <v>0</v>
      </c>
    </row>
    <row r="212" customFormat="false" ht="14.25" hidden="false" customHeight="false" outlineLevel="0" collapsed="false">
      <c r="A212" s="61"/>
      <c r="B212" s="62"/>
      <c r="C212" s="61"/>
      <c r="D212" s="61"/>
      <c r="E212" s="61"/>
      <c r="F212" s="63"/>
      <c r="G212" s="64"/>
      <c r="H212" s="64"/>
      <c r="I212" s="63"/>
      <c r="J212" s="63"/>
      <c r="K212" s="61"/>
      <c r="L212" s="65"/>
      <c r="M212" s="65"/>
      <c r="N212" s="61"/>
      <c r="O212" s="64"/>
      <c r="P212" s="65"/>
      <c r="Q212" s="65"/>
      <c r="R212" s="66"/>
      <c r="S212" s="65"/>
      <c r="T212" s="65"/>
      <c r="U212" s="67"/>
      <c r="V212" s="65"/>
      <c r="W212" s="65"/>
      <c r="X212" s="63"/>
      <c r="Y212" s="63"/>
      <c r="Z212" s="61"/>
      <c r="AA212" s="61"/>
      <c r="AB212" s="61"/>
      <c r="AC212" s="61"/>
      <c r="AD212" s="61"/>
      <c r="AE212" s="61"/>
      <c r="AF212" s="61"/>
      <c r="AG212" s="61"/>
      <c r="AH212" s="68" t="n">
        <f aca="false">IF(G212="",0,ROUND((Strats!$C$4-G212)/30.4375,1))</f>
        <v>0</v>
      </c>
      <c r="AI212" s="69" t="n">
        <f aca="false">IF(K212="",0,IF(K212="Floating",Strats!$C$10+M212,L212))</f>
        <v>0</v>
      </c>
      <c r="AJ212" s="68" t="str">
        <f aca="false">IF(OR(Z212="",Z212="Full Amortizing"),"",MAX(J212-AH212,0))</f>
        <v/>
      </c>
      <c r="AK212" s="69" t="n">
        <f aca="false">IF(K212="",0,IF(K212="Floating",IF(P212&lt;&gt;"",MIN(IF(Q212&lt;&gt;"",MAX((Strats!$C$10+Strats!$C$11+M212),Q212),(Strats!$C$10+Strats!$C$11+M212)),P212),IF(Q212&lt;&gt;"",MAX((Strats!$C$10+Strats!$C$11+M212),Q212),(Strats!$C$10+Strats!$C$11+M212))),AI212))</f>
        <v>0</v>
      </c>
      <c r="AL212" s="68" t="str">
        <f aca="false">IF(OR(E212="",E212&lt;&gt;'Deal Strat'!$C$12,R212=""),"",SUMPRODUCT((E$4:E$303='Deal Strat'!$C$12)*(R$4:R$303&gt;R212))+1+SUMPRODUCT((E$4:E$303='Deal Strat'!$C$12)*(R$4:R$303=R212)*(ROW(R$4:R$303)&lt;ROW(R212))))</f>
        <v/>
      </c>
      <c r="AM212" s="68" t="str">
        <f aca="false">IF(R212="","",RANK(R212,$R$4:$R$303,0)+COUNTIF($R$4:R212,R212)-1)</f>
        <v/>
      </c>
      <c r="AN212" s="26" t="n">
        <f aca="false">IF(OR($A212="",$R212=""),0,IF(Deal_Scope="All Deals",1,IF($E212=Deal_Scope,1,0)))</f>
        <v>0</v>
      </c>
      <c r="AO212" s="56" t="n">
        <f aca="false">IF($AN212=0,0,Px_Par)</f>
        <v>0</v>
      </c>
      <c r="AP212" s="70" t="n">
        <f aca="false">IF($H212="",0,MAX(0,($H212-Set_Date)/30.4375))</f>
        <v>0</v>
      </c>
      <c r="AQ212" s="26" t="n">
        <f aca="false">IF(AND(Ext_Flag="Yes",$AA212="Yes"),Ext_Months,0)</f>
        <v>0</v>
      </c>
      <c r="AR212" s="70" t="n">
        <f aca="false">$AP212+$AQ212</f>
        <v>0</v>
      </c>
      <c r="AS212" s="70" t="n">
        <f aca="false">$AR212/12</f>
        <v>0</v>
      </c>
      <c r="AT212" s="70" t="n">
        <f aca="false">IF($AJ212="",0,MAX(0,$AJ212/12))</f>
        <v>0</v>
      </c>
      <c r="AU212" s="70" t="n">
        <f aca="false">MAX(Amort_Min,Amort_Term-$AH212/12)</f>
        <v>30</v>
      </c>
      <c r="AV212" s="70" t="n">
        <f aca="false">MIN($AS212,Hold_Yrs)</f>
        <v>0</v>
      </c>
      <c r="AW212" s="26" t="n">
        <f aca="false">IF($AN212=0,0,CEILING(MAX($AS212,0.0001),1))</f>
        <v>0</v>
      </c>
      <c r="AX212" s="26" t="n">
        <f aca="false">IF(AND($AN212=1,MAX($AS212,0.0001)&lt;=Hold_Yrs),1,0)</f>
        <v>0</v>
      </c>
      <c r="AY212" s="71" t="n">
        <f aca="false">$R212*$AO212</f>
        <v>0</v>
      </c>
      <c r="AZ212" s="71" t="n">
        <f aca="false">$R212*Acc_Int*$AN212</f>
        <v>0</v>
      </c>
      <c r="BA212" s="71" t="n">
        <f aca="false">$AY212*Acq_Cost</f>
        <v>0</v>
      </c>
      <c r="BB212" s="71" t="n">
        <f aca="false">$AY212+$AZ212+$BA212</f>
        <v>0</v>
      </c>
      <c r="BC212" s="71" t="n">
        <f aca="false">IF(Fin_Flag="Yes",$AY212*Adv_Rate,0)</f>
        <v>0</v>
      </c>
      <c r="BD212" s="71" t="n">
        <f aca="false">$BC212*Fin_UpFee</f>
        <v>0</v>
      </c>
      <c r="BE212" s="71" t="n">
        <f aca="false">$BB212-$BC212+$BD212</f>
        <v>0</v>
      </c>
    </row>
    <row r="213" customFormat="false" ht="14.25" hidden="false" customHeight="false" outlineLevel="0" collapsed="false">
      <c r="A213" s="61"/>
      <c r="B213" s="62"/>
      <c r="C213" s="61"/>
      <c r="D213" s="61"/>
      <c r="E213" s="61"/>
      <c r="F213" s="63"/>
      <c r="G213" s="64"/>
      <c r="H213" s="64"/>
      <c r="I213" s="63"/>
      <c r="J213" s="63"/>
      <c r="K213" s="61"/>
      <c r="L213" s="65"/>
      <c r="M213" s="65"/>
      <c r="N213" s="61"/>
      <c r="O213" s="64"/>
      <c r="P213" s="65"/>
      <c r="Q213" s="65"/>
      <c r="R213" s="66"/>
      <c r="S213" s="65"/>
      <c r="T213" s="65"/>
      <c r="U213" s="67"/>
      <c r="V213" s="65"/>
      <c r="W213" s="65"/>
      <c r="X213" s="63"/>
      <c r="Y213" s="63"/>
      <c r="Z213" s="61"/>
      <c r="AA213" s="61"/>
      <c r="AB213" s="61"/>
      <c r="AC213" s="61"/>
      <c r="AD213" s="61"/>
      <c r="AE213" s="61"/>
      <c r="AF213" s="61"/>
      <c r="AG213" s="61"/>
      <c r="AH213" s="68" t="n">
        <f aca="false">IF(G213="",0,ROUND((Strats!$C$4-G213)/30.4375,1))</f>
        <v>0</v>
      </c>
      <c r="AI213" s="69" t="n">
        <f aca="false">IF(K213="",0,IF(K213="Floating",Strats!$C$10+M213,L213))</f>
        <v>0</v>
      </c>
      <c r="AJ213" s="68" t="str">
        <f aca="false">IF(OR(Z213="",Z213="Full Amortizing"),"",MAX(J213-AH213,0))</f>
        <v/>
      </c>
      <c r="AK213" s="69" t="n">
        <f aca="false">IF(K213="",0,IF(K213="Floating",IF(P213&lt;&gt;"",MIN(IF(Q213&lt;&gt;"",MAX((Strats!$C$10+Strats!$C$11+M213),Q213),(Strats!$C$10+Strats!$C$11+M213)),P213),IF(Q213&lt;&gt;"",MAX((Strats!$C$10+Strats!$C$11+M213),Q213),(Strats!$C$10+Strats!$C$11+M213))),AI213))</f>
        <v>0</v>
      </c>
      <c r="AL213" s="68" t="str">
        <f aca="false">IF(OR(E213="",E213&lt;&gt;'Deal Strat'!$C$12,R213=""),"",SUMPRODUCT((E$4:E$303='Deal Strat'!$C$12)*(R$4:R$303&gt;R213))+1+SUMPRODUCT((E$4:E$303='Deal Strat'!$C$12)*(R$4:R$303=R213)*(ROW(R$4:R$303)&lt;ROW(R213))))</f>
        <v/>
      </c>
      <c r="AM213" s="68" t="str">
        <f aca="false">IF(R213="","",RANK(R213,$R$4:$R$303,0)+COUNTIF($R$4:R213,R213)-1)</f>
        <v/>
      </c>
      <c r="AN213" s="26" t="n">
        <f aca="false">IF(OR($A213="",$R213=""),0,IF(Deal_Scope="All Deals",1,IF($E213=Deal_Scope,1,0)))</f>
        <v>0</v>
      </c>
      <c r="AO213" s="56" t="n">
        <f aca="false">IF($AN213=0,0,Px_Par)</f>
        <v>0</v>
      </c>
      <c r="AP213" s="70" t="n">
        <f aca="false">IF($H213="",0,MAX(0,($H213-Set_Date)/30.4375))</f>
        <v>0</v>
      </c>
      <c r="AQ213" s="26" t="n">
        <f aca="false">IF(AND(Ext_Flag="Yes",$AA213="Yes"),Ext_Months,0)</f>
        <v>0</v>
      </c>
      <c r="AR213" s="70" t="n">
        <f aca="false">$AP213+$AQ213</f>
        <v>0</v>
      </c>
      <c r="AS213" s="70" t="n">
        <f aca="false">$AR213/12</f>
        <v>0</v>
      </c>
      <c r="AT213" s="70" t="n">
        <f aca="false">IF($AJ213="",0,MAX(0,$AJ213/12))</f>
        <v>0</v>
      </c>
      <c r="AU213" s="70" t="n">
        <f aca="false">MAX(Amort_Min,Amort_Term-$AH213/12)</f>
        <v>30</v>
      </c>
      <c r="AV213" s="70" t="n">
        <f aca="false">MIN($AS213,Hold_Yrs)</f>
        <v>0</v>
      </c>
      <c r="AW213" s="26" t="n">
        <f aca="false">IF($AN213=0,0,CEILING(MAX($AS213,0.0001),1))</f>
        <v>0</v>
      </c>
      <c r="AX213" s="26" t="n">
        <f aca="false">IF(AND($AN213=1,MAX($AS213,0.0001)&lt;=Hold_Yrs),1,0)</f>
        <v>0</v>
      </c>
      <c r="AY213" s="71" t="n">
        <f aca="false">$R213*$AO213</f>
        <v>0</v>
      </c>
      <c r="AZ213" s="71" t="n">
        <f aca="false">$R213*Acc_Int*$AN213</f>
        <v>0</v>
      </c>
      <c r="BA213" s="71" t="n">
        <f aca="false">$AY213*Acq_Cost</f>
        <v>0</v>
      </c>
      <c r="BB213" s="71" t="n">
        <f aca="false">$AY213+$AZ213+$BA213</f>
        <v>0</v>
      </c>
      <c r="BC213" s="71" t="n">
        <f aca="false">IF(Fin_Flag="Yes",$AY213*Adv_Rate,0)</f>
        <v>0</v>
      </c>
      <c r="BD213" s="71" t="n">
        <f aca="false">$BC213*Fin_UpFee</f>
        <v>0</v>
      </c>
      <c r="BE213" s="71" t="n">
        <f aca="false">$BB213-$BC213+$BD213</f>
        <v>0</v>
      </c>
    </row>
    <row r="214" customFormat="false" ht="14.25" hidden="false" customHeight="false" outlineLevel="0" collapsed="false">
      <c r="A214" s="61"/>
      <c r="B214" s="62"/>
      <c r="C214" s="61"/>
      <c r="D214" s="61"/>
      <c r="E214" s="61"/>
      <c r="F214" s="63"/>
      <c r="G214" s="64"/>
      <c r="H214" s="64"/>
      <c r="I214" s="63"/>
      <c r="J214" s="63"/>
      <c r="K214" s="61"/>
      <c r="L214" s="65"/>
      <c r="M214" s="65"/>
      <c r="N214" s="61"/>
      <c r="O214" s="64"/>
      <c r="P214" s="65"/>
      <c r="Q214" s="65"/>
      <c r="R214" s="66"/>
      <c r="S214" s="65"/>
      <c r="T214" s="65"/>
      <c r="U214" s="67"/>
      <c r="V214" s="65"/>
      <c r="W214" s="65"/>
      <c r="X214" s="63"/>
      <c r="Y214" s="63"/>
      <c r="Z214" s="61"/>
      <c r="AA214" s="61"/>
      <c r="AB214" s="61"/>
      <c r="AC214" s="61"/>
      <c r="AD214" s="61"/>
      <c r="AE214" s="61"/>
      <c r="AF214" s="61"/>
      <c r="AG214" s="61"/>
      <c r="AH214" s="68" t="n">
        <f aca="false">IF(G214="",0,ROUND((Strats!$C$4-G214)/30.4375,1))</f>
        <v>0</v>
      </c>
      <c r="AI214" s="69" t="n">
        <f aca="false">IF(K214="",0,IF(K214="Floating",Strats!$C$10+M214,L214))</f>
        <v>0</v>
      </c>
      <c r="AJ214" s="68" t="str">
        <f aca="false">IF(OR(Z214="",Z214="Full Amortizing"),"",MAX(J214-AH214,0))</f>
        <v/>
      </c>
      <c r="AK214" s="69" t="n">
        <f aca="false">IF(K214="",0,IF(K214="Floating",IF(P214&lt;&gt;"",MIN(IF(Q214&lt;&gt;"",MAX((Strats!$C$10+Strats!$C$11+M214),Q214),(Strats!$C$10+Strats!$C$11+M214)),P214),IF(Q214&lt;&gt;"",MAX((Strats!$C$10+Strats!$C$11+M214),Q214),(Strats!$C$10+Strats!$C$11+M214))),AI214))</f>
        <v>0</v>
      </c>
      <c r="AL214" s="68" t="str">
        <f aca="false">IF(OR(E214="",E214&lt;&gt;'Deal Strat'!$C$12,R214=""),"",SUMPRODUCT((E$4:E$303='Deal Strat'!$C$12)*(R$4:R$303&gt;R214))+1+SUMPRODUCT((E$4:E$303='Deal Strat'!$C$12)*(R$4:R$303=R214)*(ROW(R$4:R$303)&lt;ROW(R214))))</f>
        <v/>
      </c>
      <c r="AM214" s="68" t="str">
        <f aca="false">IF(R214="","",RANK(R214,$R$4:$R$303,0)+COUNTIF($R$4:R214,R214)-1)</f>
        <v/>
      </c>
      <c r="AN214" s="26" t="n">
        <f aca="false">IF(OR($A214="",$R214=""),0,IF(Deal_Scope="All Deals",1,IF($E214=Deal_Scope,1,0)))</f>
        <v>0</v>
      </c>
      <c r="AO214" s="56" t="n">
        <f aca="false">IF($AN214=0,0,Px_Par)</f>
        <v>0</v>
      </c>
      <c r="AP214" s="70" t="n">
        <f aca="false">IF($H214="",0,MAX(0,($H214-Set_Date)/30.4375))</f>
        <v>0</v>
      </c>
      <c r="AQ214" s="26" t="n">
        <f aca="false">IF(AND(Ext_Flag="Yes",$AA214="Yes"),Ext_Months,0)</f>
        <v>0</v>
      </c>
      <c r="AR214" s="70" t="n">
        <f aca="false">$AP214+$AQ214</f>
        <v>0</v>
      </c>
      <c r="AS214" s="70" t="n">
        <f aca="false">$AR214/12</f>
        <v>0</v>
      </c>
      <c r="AT214" s="70" t="n">
        <f aca="false">IF($AJ214="",0,MAX(0,$AJ214/12))</f>
        <v>0</v>
      </c>
      <c r="AU214" s="70" t="n">
        <f aca="false">MAX(Amort_Min,Amort_Term-$AH214/12)</f>
        <v>30</v>
      </c>
      <c r="AV214" s="70" t="n">
        <f aca="false">MIN($AS214,Hold_Yrs)</f>
        <v>0</v>
      </c>
      <c r="AW214" s="26" t="n">
        <f aca="false">IF($AN214=0,0,CEILING(MAX($AS214,0.0001),1))</f>
        <v>0</v>
      </c>
      <c r="AX214" s="26" t="n">
        <f aca="false">IF(AND($AN214=1,MAX($AS214,0.0001)&lt;=Hold_Yrs),1,0)</f>
        <v>0</v>
      </c>
      <c r="AY214" s="71" t="n">
        <f aca="false">$R214*$AO214</f>
        <v>0</v>
      </c>
      <c r="AZ214" s="71" t="n">
        <f aca="false">$R214*Acc_Int*$AN214</f>
        <v>0</v>
      </c>
      <c r="BA214" s="71" t="n">
        <f aca="false">$AY214*Acq_Cost</f>
        <v>0</v>
      </c>
      <c r="BB214" s="71" t="n">
        <f aca="false">$AY214+$AZ214+$BA214</f>
        <v>0</v>
      </c>
      <c r="BC214" s="71" t="n">
        <f aca="false">IF(Fin_Flag="Yes",$AY214*Adv_Rate,0)</f>
        <v>0</v>
      </c>
      <c r="BD214" s="71" t="n">
        <f aca="false">$BC214*Fin_UpFee</f>
        <v>0</v>
      </c>
      <c r="BE214" s="71" t="n">
        <f aca="false">$BB214-$BC214+$BD214</f>
        <v>0</v>
      </c>
    </row>
    <row r="215" customFormat="false" ht="14.25" hidden="false" customHeight="false" outlineLevel="0" collapsed="false">
      <c r="A215" s="61"/>
      <c r="B215" s="62"/>
      <c r="C215" s="61"/>
      <c r="D215" s="61"/>
      <c r="E215" s="61"/>
      <c r="F215" s="63"/>
      <c r="G215" s="64"/>
      <c r="H215" s="64"/>
      <c r="I215" s="63"/>
      <c r="J215" s="63"/>
      <c r="K215" s="61"/>
      <c r="L215" s="65"/>
      <c r="M215" s="65"/>
      <c r="N215" s="61"/>
      <c r="O215" s="64"/>
      <c r="P215" s="65"/>
      <c r="Q215" s="65"/>
      <c r="R215" s="66"/>
      <c r="S215" s="65"/>
      <c r="T215" s="65"/>
      <c r="U215" s="67"/>
      <c r="V215" s="65"/>
      <c r="W215" s="65"/>
      <c r="X215" s="63"/>
      <c r="Y215" s="63"/>
      <c r="Z215" s="61"/>
      <c r="AA215" s="61"/>
      <c r="AB215" s="61"/>
      <c r="AC215" s="61"/>
      <c r="AD215" s="61"/>
      <c r="AE215" s="61"/>
      <c r="AF215" s="61"/>
      <c r="AG215" s="61"/>
      <c r="AH215" s="68" t="n">
        <f aca="false">IF(G215="",0,ROUND((Strats!$C$4-G215)/30.4375,1))</f>
        <v>0</v>
      </c>
      <c r="AI215" s="69" t="n">
        <f aca="false">IF(K215="",0,IF(K215="Floating",Strats!$C$10+M215,L215))</f>
        <v>0</v>
      </c>
      <c r="AJ215" s="68" t="str">
        <f aca="false">IF(OR(Z215="",Z215="Full Amortizing"),"",MAX(J215-AH215,0))</f>
        <v/>
      </c>
      <c r="AK215" s="69" t="n">
        <f aca="false">IF(K215="",0,IF(K215="Floating",IF(P215&lt;&gt;"",MIN(IF(Q215&lt;&gt;"",MAX((Strats!$C$10+Strats!$C$11+M215),Q215),(Strats!$C$10+Strats!$C$11+M215)),P215),IF(Q215&lt;&gt;"",MAX((Strats!$C$10+Strats!$C$11+M215),Q215),(Strats!$C$10+Strats!$C$11+M215))),AI215))</f>
        <v>0</v>
      </c>
      <c r="AL215" s="68" t="str">
        <f aca="false">IF(OR(E215="",E215&lt;&gt;'Deal Strat'!$C$12,R215=""),"",SUMPRODUCT((E$4:E$303='Deal Strat'!$C$12)*(R$4:R$303&gt;R215))+1+SUMPRODUCT((E$4:E$303='Deal Strat'!$C$12)*(R$4:R$303=R215)*(ROW(R$4:R$303)&lt;ROW(R215))))</f>
        <v/>
      </c>
      <c r="AM215" s="68" t="str">
        <f aca="false">IF(R215="","",RANK(R215,$R$4:$R$303,0)+COUNTIF($R$4:R215,R215)-1)</f>
        <v/>
      </c>
      <c r="AN215" s="26" t="n">
        <f aca="false">IF(OR($A215="",$R215=""),0,IF(Deal_Scope="All Deals",1,IF($E215=Deal_Scope,1,0)))</f>
        <v>0</v>
      </c>
      <c r="AO215" s="56" t="n">
        <f aca="false">IF($AN215=0,0,Px_Par)</f>
        <v>0</v>
      </c>
      <c r="AP215" s="70" t="n">
        <f aca="false">IF($H215="",0,MAX(0,($H215-Set_Date)/30.4375))</f>
        <v>0</v>
      </c>
      <c r="AQ215" s="26" t="n">
        <f aca="false">IF(AND(Ext_Flag="Yes",$AA215="Yes"),Ext_Months,0)</f>
        <v>0</v>
      </c>
      <c r="AR215" s="70" t="n">
        <f aca="false">$AP215+$AQ215</f>
        <v>0</v>
      </c>
      <c r="AS215" s="70" t="n">
        <f aca="false">$AR215/12</f>
        <v>0</v>
      </c>
      <c r="AT215" s="70" t="n">
        <f aca="false">IF($AJ215="",0,MAX(0,$AJ215/12))</f>
        <v>0</v>
      </c>
      <c r="AU215" s="70" t="n">
        <f aca="false">MAX(Amort_Min,Amort_Term-$AH215/12)</f>
        <v>30</v>
      </c>
      <c r="AV215" s="70" t="n">
        <f aca="false">MIN($AS215,Hold_Yrs)</f>
        <v>0</v>
      </c>
      <c r="AW215" s="26" t="n">
        <f aca="false">IF($AN215=0,0,CEILING(MAX($AS215,0.0001),1))</f>
        <v>0</v>
      </c>
      <c r="AX215" s="26" t="n">
        <f aca="false">IF(AND($AN215=1,MAX($AS215,0.0001)&lt;=Hold_Yrs),1,0)</f>
        <v>0</v>
      </c>
      <c r="AY215" s="71" t="n">
        <f aca="false">$R215*$AO215</f>
        <v>0</v>
      </c>
      <c r="AZ215" s="71" t="n">
        <f aca="false">$R215*Acc_Int*$AN215</f>
        <v>0</v>
      </c>
      <c r="BA215" s="71" t="n">
        <f aca="false">$AY215*Acq_Cost</f>
        <v>0</v>
      </c>
      <c r="BB215" s="71" t="n">
        <f aca="false">$AY215+$AZ215+$BA215</f>
        <v>0</v>
      </c>
      <c r="BC215" s="71" t="n">
        <f aca="false">IF(Fin_Flag="Yes",$AY215*Adv_Rate,0)</f>
        <v>0</v>
      </c>
      <c r="BD215" s="71" t="n">
        <f aca="false">$BC215*Fin_UpFee</f>
        <v>0</v>
      </c>
      <c r="BE215" s="71" t="n">
        <f aca="false">$BB215-$BC215+$BD215</f>
        <v>0</v>
      </c>
    </row>
    <row r="216" customFormat="false" ht="14.25" hidden="false" customHeight="false" outlineLevel="0" collapsed="false">
      <c r="A216" s="61"/>
      <c r="B216" s="62"/>
      <c r="C216" s="61"/>
      <c r="D216" s="61"/>
      <c r="E216" s="61"/>
      <c r="F216" s="63"/>
      <c r="G216" s="64"/>
      <c r="H216" s="64"/>
      <c r="I216" s="63"/>
      <c r="J216" s="63"/>
      <c r="K216" s="61"/>
      <c r="L216" s="65"/>
      <c r="M216" s="65"/>
      <c r="N216" s="61"/>
      <c r="O216" s="64"/>
      <c r="P216" s="65"/>
      <c r="Q216" s="65"/>
      <c r="R216" s="66"/>
      <c r="S216" s="65"/>
      <c r="T216" s="65"/>
      <c r="U216" s="67"/>
      <c r="V216" s="65"/>
      <c r="W216" s="65"/>
      <c r="X216" s="63"/>
      <c r="Y216" s="63"/>
      <c r="Z216" s="61"/>
      <c r="AA216" s="61"/>
      <c r="AB216" s="61"/>
      <c r="AC216" s="61"/>
      <c r="AD216" s="61"/>
      <c r="AE216" s="61"/>
      <c r="AF216" s="61"/>
      <c r="AG216" s="61"/>
      <c r="AH216" s="68" t="n">
        <f aca="false">IF(G216="",0,ROUND((Strats!$C$4-G216)/30.4375,1))</f>
        <v>0</v>
      </c>
      <c r="AI216" s="69" t="n">
        <f aca="false">IF(K216="",0,IF(K216="Floating",Strats!$C$10+M216,L216))</f>
        <v>0</v>
      </c>
      <c r="AJ216" s="68" t="str">
        <f aca="false">IF(OR(Z216="",Z216="Full Amortizing"),"",MAX(J216-AH216,0))</f>
        <v/>
      </c>
      <c r="AK216" s="69" t="n">
        <f aca="false">IF(K216="",0,IF(K216="Floating",IF(P216&lt;&gt;"",MIN(IF(Q216&lt;&gt;"",MAX((Strats!$C$10+Strats!$C$11+M216),Q216),(Strats!$C$10+Strats!$C$11+M216)),P216),IF(Q216&lt;&gt;"",MAX((Strats!$C$10+Strats!$C$11+M216),Q216),(Strats!$C$10+Strats!$C$11+M216))),AI216))</f>
        <v>0</v>
      </c>
      <c r="AL216" s="68" t="str">
        <f aca="false">IF(OR(E216="",E216&lt;&gt;'Deal Strat'!$C$12,R216=""),"",SUMPRODUCT((E$4:E$303='Deal Strat'!$C$12)*(R$4:R$303&gt;R216))+1+SUMPRODUCT((E$4:E$303='Deal Strat'!$C$12)*(R$4:R$303=R216)*(ROW(R$4:R$303)&lt;ROW(R216))))</f>
        <v/>
      </c>
      <c r="AM216" s="68" t="str">
        <f aca="false">IF(R216="","",RANK(R216,$R$4:$R$303,0)+COUNTIF($R$4:R216,R216)-1)</f>
        <v/>
      </c>
      <c r="AN216" s="26" t="n">
        <f aca="false">IF(OR($A216="",$R216=""),0,IF(Deal_Scope="All Deals",1,IF($E216=Deal_Scope,1,0)))</f>
        <v>0</v>
      </c>
      <c r="AO216" s="56" t="n">
        <f aca="false">IF($AN216=0,0,Px_Par)</f>
        <v>0</v>
      </c>
      <c r="AP216" s="70" t="n">
        <f aca="false">IF($H216="",0,MAX(0,($H216-Set_Date)/30.4375))</f>
        <v>0</v>
      </c>
      <c r="AQ216" s="26" t="n">
        <f aca="false">IF(AND(Ext_Flag="Yes",$AA216="Yes"),Ext_Months,0)</f>
        <v>0</v>
      </c>
      <c r="AR216" s="70" t="n">
        <f aca="false">$AP216+$AQ216</f>
        <v>0</v>
      </c>
      <c r="AS216" s="70" t="n">
        <f aca="false">$AR216/12</f>
        <v>0</v>
      </c>
      <c r="AT216" s="70" t="n">
        <f aca="false">IF($AJ216="",0,MAX(0,$AJ216/12))</f>
        <v>0</v>
      </c>
      <c r="AU216" s="70" t="n">
        <f aca="false">MAX(Amort_Min,Amort_Term-$AH216/12)</f>
        <v>30</v>
      </c>
      <c r="AV216" s="70" t="n">
        <f aca="false">MIN($AS216,Hold_Yrs)</f>
        <v>0</v>
      </c>
      <c r="AW216" s="26" t="n">
        <f aca="false">IF($AN216=0,0,CEILING(MAX($AS216,0.0001),1))</f>
        <v>0</v>
      </c>
      <c r="AX216" s="26" t="n">
        <f aca="false">IF(AND($AN216=1,MAX($AS216,0.0001)&lt;=Hold_Yrs),1,0)</f>
        <v>0</v>
      </c>
      <c r="AY216" s="71" t="n">
        <f aca="false">$R216*$AO216</f>
        <v>0</v>
      </c>
      <c r="AZ216" s="71" t="n">
        <f aca="false">$R216*Acc_Int*$AN216</f>
        <v>0</v>
      </c>
      <c r="BA216" s="71" t="n">
        <f aca="false">$AY216*Acq_Cost</f>
        <v>0</v>
      </c>
      <c r="BB216" s="71" t="n">
        <f aca="false">$AY216+$AZ216+$BA216</f>
        <v>0</v>
      </c>
      <c r="BC216" s="71" t="n">
        <f aca="false">IF(Fin_Flag="Yes",$AY216*Adv_Rate,0)</f>
        <v>0</v>
      </c>
      <c r="BD216" s="71" t="n">
        <f aca="false">$BC216*Fin_UpFee</f>
        <v>0</v>
      </c>
      <c r="BE216" s="71" t="n">
        <f aca="false">$BB216-$BC216+$BD216</f>
        <v>0</v>
      </c>
    </row>
    <row r="217" customFormat="false" ht="14.25" hidden="false" customHeight="false" outlineLevel="0" collapsed="false">
      <c r="A217" s="61"/>
      <c r="B217" s="62"/>
      <c r="C217" s="61"/>
      <c r="D217" s="61"/>
      <c r="E217" s="61"/>
      <c r="F217" s="63"/>
      <c r="G217" s="64"/>
      <c r="H217" s="64"/>
      <c r="I217" s="63"/>
      <c r="J217" s="63"/>
      <c r="K217" s="61"/>
      <c r="L217" s="65"/>
      <c r="M217" s="65"/>
      <c r="N217" s="61"/>
      <c r="O217" s="64"/>
      <c r="P217" s="65"/>
      <c r="Q217" s="65"/>
      <c r="R217" s="66"/>
      <c r="S217" s="65"/>
      <c r="T217" s="65"/>
      <c r="U217" s="67"/>
      <c r="V217" s="65"/>
      <c r="W217" s="65"/>
      <c r="X217" s="63"/>
      <c r="Y217" s="63"/>
      <c r="Z217" s="61"/>
      <c r="AA217" s="61"/>
      <c r="AB217" s="61"/>
      <c r="AC217" s="61"/>
      <c r="AD217" s="61"/>
      <c r="AE217" s="61"/>
      <c r="AF217" s="61"/>
      <c r="AG217" s="61"/>
      <c r="AH217" s="68" t="n">
        <f aca="false">IF(G217="",0,ROUND((Strats!$C$4-G217)/30.4375,1))</f>
        <v>0</v>
      </c>
      <c r="AI217" s="69" t="n">
        <f aca="false">IF(K217="",0,IF(K217="Floating",Strats!$C$10+M217,L217))</f>
        <v>0</v>
      </c>
      <c r="AJ217" s="68" t="str">
        <f aca="false">IF(OR(Z217="",Z217="Full Amortizing"),"",MAX(J217-AH217,0))</f>
        <v/>
      </c>
      <c r="AK217" s="69" t="n">
        <f aca="false">IF(K217="",0,IF(K217="Floating",IF(P217&lt;&gt;"",MIN(IF(Q217&lt;&gt;"",MAX((Strats!$C$10+Strats!$C$11+M217),Q217),(Strats!$C$10+Strats!$C$11+M217)),P217),IF(Q217&lt;&gt;"",MAX((Strats!$C$10+Strats!$C$11+M217),Q217),(Strats!$C$10+Strats!$C$11+M217))),AI217))</f>
        <v>0</v>
      </c>
      <c r="AL217" s="68" t="str">
        <f aca="false">IF(OR(E217="",E217&lt;&gt;'Deal Strat'!$C$12,R217=""),"",SUMPRODUCT((E$4:E$303='Deal Strat'!$C$12)*(R$4:R$303&gt;R217))+1+SUMPRODUCT((E$4:E$303='Deal Strat'!$C$12)*(R$4:R$303=R217)*(ROW(R$4:R$303)&lt;ROW(R217))))</f>
        <v/>
      </c>
      <c r="AM217" s="68" t="str">
        <f aca="false">IF(R217="","",RANK(R217,$R$4:$R$303,0)+COUNTIF($R$4:R217,R217)-1)</f>
        <v/>
      </c>
      <c r="AN217" s="26" t="n">
        <f aca="false">IF(OR($A217="",$R217=""),0,IF(Deal_Scope="All Deals",1,IF($E217=Deal_Scope,1,0)))</f>
        <v>0</v>
      </c>
      <c r="AO217" s="56" t="n">
        <f aca="false">IF($AN217=0,0,Px_Par)</f>
        <v>0</v>
      </c>
      <c r="AP217" s="70" t="n">
        <f aca="false">IF($H217="",0,MAX(0,($H217-Set_Date)/30.4375))</f>
        <v>0</v>
      </c>
      <c r="AQ217" s="26" t="n">
        <f aca="false">IF(AND(Ext_Flag="Yes",$AA217="Yes"),Ext_Months,0)</f>
        <v>0</v>
      </c>
      <c r="AR217" s="70" t="n">
        <f aca="false">$AP217+$AQ217</f>
        <v>0</v>
      </c>
      <c r="AS217" s="70" t="n">
        <f aca="false">$AR217/12</f>
        <v>0</v>
      </c>
      <c r="AT217" s="70" t="n">
        <f aca="false">IF($AJ217="",0,MAX(0,$AJ217/12))</f>
        <v>0</v>
      </c>
      <c r="AU217" s="70" t="n">
        <f aca="false">MAX(Amort_Min,Amort_Term-$AH217/12)</f>
        <v>30</v>
      </c>
      <c r="AV217" s="70" t="n">
        <f aca="false">MIN($AS217,Hold_Yrs)</f>
        <v>0</v>
      </c>
      <c r="AW217" s="26" t="n">
        <f aca="false">IF($AN217=0,0,CEILING(MAX($AS217,0.0001),1))</f>
        <v>0</v>
      </c>
      <c r="AX217" s="26" t="n">
        <f aca="false">IF(AND($AN217=1,MAX($AS217,0.0001)&lt;=Hold_Yrs),1,0)</f>
        <v>0</v>
      </c>
      <c r="AY217" s="71" t="n">
        <f aca="false">$R217*$AO217</f>
        <v>0</v>
      </c>
      <c r="AZ217" s="71" t="n">
        <f aca="false">$R217*Acc_Int*$AN217</f>
        <v>0</v>
      </c>
      <c r="BA217" s="71" t="n">
        <f aca="false">$AY217*Acq_Cost</f>
        <v>0</v>
      </c>
      <c r="BB217" s="71" t="n">
        <f aca="false">$AY217+$AZ217+$BA217</f>
        <v>0</v>
      </c>
      <c r="BC217" s="71" t="n">
        <f aca="false">IF(Fin_Flag="Yes",$AY217*Adv_Rate,0)</f>
        <v>0</v>
      </c>
      <c r="BD217" s="71" t="n">
        <f aca="false">$BC217*Fin_UpFee</f>
        <v>0</v>
      </c>
      <c r="BE217" s="71" t="n">
        <f aca="false">$BB217-$BC217+$BD217</f>
        <v>0</v>
      </c>
    </row>
    <row r="218" customFormat="false" ht="14.25" hidden="false" customHeight="false" outlineLevel="0" collapsed="false">
      <c r="A218" s="61"/>
      <c r="B218" s="62"/>
      <c r="C218" s="61"/>
      <c r="D218" s="61"/>
      <c r="E218" s="61"/>
      <c r="F218" s="63"/>
      <c r="G218" s="64"/>
      <c r="H218" s="64"/>
      <c r="I218" s="63"/>
      <c r="J218" s="63"/>
      <c r="K218" s="61"/>
      <c r="L218" s="65"/>
      <c r="M218" s="65"/>
      <c r="N218" s="61"/>
      <c r="O218" s="64"/>
      <c r="P218" s="65"/>
      <c r="Q218" s="65"/>
      <c r="R218" s="66"/>
      <c r="S218" s="65"/>
      <c r="T218" s="65"/>
      <c r="U218" s="67"/>
      <c r="V218" s="65"/>
      <c r="W218" s="65"/>
      <c r="X218" s="63"/>
      <c r="Y218" s="63"/>
      <c r="Z218" s="61"/>
      <c r="AA218" s="61"/>
      <c r="AB218" s="61"/>
      <c r="AC218" s="61"/>
      <c r="AD218" s="61"/>
      <c r="AE218" s="61"/>
      <c r="AF218" s="61"/>
      <c r="AG218" s="61"/>
      <c r="AH218" s="68" t="n">
        <f aca="false">IF(G218="",0,ROUND((Strats!$C$4-G218)/30.4375,1))</f>
        <v>0</v>
      </c>
      <c r="AI218" s="69" t="n">
        <f aca="false">IF(K218="",0,IF(K218="Floating",Strats!$C$10+M218,L218))</f>
        <v>0</v>
      </c>
      <c r="AJ218" s="68" t="str">
        <f aca="false">IF(OR(Z218="",Z218="Full Amortizing"),"",MAX(J218-AH218,0))</f>
        <v/>
      </c>
      <c r="AK218" s="69" t="n">
        <f aca="false">IF(K218="",0,IF(K218="Floating",IF(P218&lt;&gt;"",MIN(IF(Q218&lt;&gt;"",MAX((Strats!$C$10+Strats!$C$11+M218),Q218),(Strats!$C$10+Strats!$C$11+M218)),P218),IF(Q218&lt;&gt;"",MAX((Strats!$C$10+Strats!$C$11+M218),Q218),(Strats!$C$10+Strats!$C$11+M218))),AI218))</f>
        <v>0</v>
      </c>
      <c r="AL218" s="68" t="str">
        <f aca="false">IF(OR(E218="",E218&lt;&gt;'Deal Strat'!$C$12,R218=""),"",SUMPRODUCT((E$4:E$303='Deal Strat'!$C$12)*(R$4:R$303&gt;R218))+1+SUMPRODUCT((E$4:E$303='Deal Strat'!$C$12)*(R$4:R$303=R218)*(ROW(R$4:R$303)&lt;ROW(R218))))</f>
        <v/>
      </c>
      <c r="AM218" s="68" t="str">
        <f aca="false">IF(R218="","",RANK(R218,$R$4:$R$303,0)+COUNTIF($R$4:R218,R218)-1)</f>
        <v/>
      </c>
      <c r="AN218" s="26" t="n">
        <f aca="false">IF(OR($A218="",$R218=""),0,IF(Deal_Scope="All Deals",1,IF($E218=Deal_Scope,1,0)))</f>
        <v>0</v>
      </c>
      <c r="AO218" s="56" t="n">
        <f aca="false">IF($AN218=0,0,Px_Par)</f>
        <v>0</v>
      </c>
      <c r="AP218" s="70" t="n">
        <f aca="false">IF($H218="",0,MAX(0,($H218-Set_Date)/30.4375))</f>
        <v>0</v>
      </c>
      <c r="AQ218" s="26" t="n">
        <f aca="false">IF(AND(Ext_Flag="Yes",$AA218="Yes"),Ext_Months,0)</f>
        <v>0</v>
      </c>
      <c r="AR218" s="70" t="n">
        <f aca="false">$AP218+$AQ218</f>
        <v>0</v>
      </c>
      <c r="AS218" s="70" t="n">
        <f aca="false">$AR218/12</f>
        <v>0</v>
      </c>
      <c r="AT218" s="70" t="n">
        <f aca="false">IF($AJ218="",0,MAX(0,$AJ218/12))</f>
        <v>0</v>
      </c>
      <c r="AU218" s="70" t="n">
        <f aca="false">MAX(Amort_Min,Amort_Term-$AH218/12)</f>
        <v>30</v>
      </c>
      <c r="AV218" s="70" t="n">
        <f aca="false">MIN($AS218,Hold_Yrs)</f>
        <v>0</v>
      </c>
      <c r="AW218" s="26" t="n">
        <f aca="false">IF($AN218=0,0,CEILING(MAX($AS218,0.0001),1))</f>
        <v>0</v>
      </c>
      <c r="AX218" s="26" t="n">
        <f aca="false">IF(AND($AN218=1,MAX($AS218,0.0001)&lt;=Hold_Yrs),1,0)</f>
        <v>0</v>
      </c>
      <c r="AY218" s="71" t="n">
        <f aca="false">$R218*$AO218</f>
        <v>0</v>
      </c>
      <c r="AZ218" s="71" t="n">
        <f aca="false">$R218*Acc_Int*$AN218</f>
        <v>0</v>
      </c>
      <c r="BA218" s="71" t="n">
        <f aca="false">$AY218*Acq_Cost</f>
        <v>0</v>
      </c>
      <c r="BB218" s="71" t="n">
        <f aca="false">$AY218+$AZ218+$BA218</f>
        <v>0</v>
      </c>
      <c r="BC218" s="71" t="n">
        <f aca="false">IF(Fin_Flag="Yes",$AY218*Adv_Rate,0)</f>
        <v>0</v>
      </c>
      <c r="BD218" s="71" t="n">
        <f aca="false">$BC218*Fin_UpFee</f>
        <v>0</v>
      </c>
      <c r="BE218" s="71" t="n">
        <f aca="false">$BB218-$BC218+$BD218</f>
        <v>0</v>
      </c>
    </row>
    <row r="219" customFormat="false" ht="14.25" hidden="false" customHeight="false" outlineLevel="0" collapsed="false">
      <c r="A219" s="61"/>
      <c r="B219" s="62"/>
      <c r="C219" s="61"/>
      <c r="D219" s="61"/>
      <c r="E219" s="61"/>
      <c r="F219" s="63"/>
      <c r="G219" s="64"/>
      <c r="H219" s="64"/>
      <c r="I219" s="63"/>
      <c r="J219" s="63"/>
      <c r="K219" s="61"/>
      <c r="L219" s="65"/>
      <c r="M219" s="65"/>
      <c r="N219" s="61"/>
      <c r="O219" s="64"/>
      <c r="P219" s="65"/>
      <c r="Q219" s="65"/>
      <c r="R219" s="66"/>
      <c r="S219" s="65"/>
      <c r="T219" s="65"/>
      <c r="U219" s="67"/>
      <c r="V219" s="65"/>
      <c r="W219" s="65"/>
      <c r="X219" s="63"/>
      <c r="Y219" s="63"/>
      <c r="Z219" s="61"/>
      <c r="AA219" s="61"/>
      <c r="AB219" s="61"/>
      <c r="AC219" s="61"/>
      <c r="AD219" s="61"/>
      <c r="AE219" s="61"/>
      <c r="AF219" s="61"/>
      <c r="AG219" s="61"/>
      <c r="AH219" s="68" t="n">
        <f aca="false">IF(G219="",0,ROUND((Strats!$C$4-G219)/30.4375,1))</f>
        <v>0</v>
      </c>
      <c r="AI219" s="69" t="n">
        <f aca="false">IF(K219="",0,IF(K219="Floating",Strats!$C$10+M219,L219))</f>
        <v>0</v>
      </c>
      <c r="AJ219" s="68" t="str">
        <f aca="false">IF(OR(Z219="",Z219="Full Amortizing"),"",MAX(J219-AH219,0))</f>
        <v/>
      </c>
      <c r="AK219" s="69" t="n">
        <f aca="false">IF(K219="",0,IF(K219="Floating",IF(P219&lt;&gt;"",MIN(IF(Q219&lt;&gt;"",MAX((Strats!$C$10+Strats!$C$11+M219),Q219),(Strats!$C$10+Strats!$C$11+M219)),P219),IF(Q219&lt;&gt;"",MAX((Strats!$C$10+Strats!$C$11+M219),Q219),(Strats!$C$10+Strats!$C$11+M219))),AI219))</f>
        <v>0</v>
      </c>
      <c r="AL219" s="68" t="str">
        <f aca="false">IF(OR(E219="",E219&lt;&gt;'Deal Strat'!$C$12,R219=""),"",SUMPRODUCT((E$4:E$303='Deal Strat'!$C$12)*(R$4:R$303&gt;R219))+1+SUMPRODUCT((E$4:E$303='Deal Strat'!$C$12)*(R$4:R$303=R219)*(ROW(R$4:R$303)&lt;ROW(R219))))</f>
        <v/>
      </c>
      <c r="AM219" s="68" t="str">
        <f aca="false">IF(R219="","",RANK(R219,$R$4:$R$303,0)+COUNTIF($R$4:R219,R219)-1)</f>
        <v/>
      </c>
      <c r="AN219" s="26" t="n">
        <f aca="false">IF(OR($A219="",$R219=""),0,IF(Deal_Scope="All Deals",1,IF($E219=Deal_Scope,1,0)))</f>
        <v>0</v>
      </c>
      <c r="AO219" s="56" t="n">
        <f aca="false">IF($AN219=0,0,Px_Par)</f>
        <v>0</v>
      </c>
      <c r="AP219" s="70" t="n">
        <f aca="false">IF($H219="",0,MAX(0,($H219-Set_Date)/30.4375))</f>
        <v>0</v>
      </c>
      <c r="AQ219" s="26" t="n">
        <f aca="false">IF(AND(Ext_Flag="Yes",$AA219="Yes"),Ext_Months,0)</f>
        <v>0</v>
      </c>
      <c r="AR219" s="70" t="n">
        <f aca="false">$AP219+$AQ219</f>
        <v>0</v>
      </c>
      <c r="AS219" s="70" t="n">
        <f aca="false">$AR219/12</f>
        <v>0</v>
      </c>
      <c r="AT219" s="70" t="n">
        <f aca="false">IF($AJ219="",0,MAX(0,$AJ219/12))</f>
        <v>0</v>
      </c>
      <c r="AU219" s="70" t="n">
        <f aca="false">MAX(Amort_Min,Amort_Term-$AH219/12)</f>
        <v>30</v>
      </c>
      <c r="AV219" s="70" t="n">
        <f aca="false">MIN($AS219,Hold_Yrs)</f>
        <v>0</v>
      </c>
      <c r="AW219" s="26" t="n">
        <f aca="false">IF($AN219=0,0,CEILING(MAX($AS219,0.0001),1))</f>
        <v>0</v>
      </c>
      <c r="AX219" s="26" t="n">
        <f aca="false">IF(AND($AN219=1,MAX($AS219,0.0001)&lt;=Hold_Yrs),1,0)</f>
        <v>0</v>
      </c>
      <c r="AY219" s="71" t="n">
        <f aca="false">$R219*$AO219</f>
        <v>0</v>
      </c>
      <c r="AZ219" s="71" t="n">
        <f aca="false">$R219*Acc_Int*$AN219</f>
        <v>0</v>
      </c>
      <c r="BA219" s="71" t="n">
        <f aca="false">$AY219*Acq_Cost</f>
        <v>0</v>
      </c>
      <c r="BB219" s="71" t="n">
        <f aca="false">$AY219+$AZ219+$BA219</f>
        <v>0</v>
      </c>
      <c r="BC219" s="71" t="n">
        <f aca="false">IF(Fin_Flag="Yes",$AY219*Adv_Rate,0)</f>
        <v>0</v>
      </c>
      <c r="BD219" s="71" t="n">
        <f aca="false">$BC219*Fin_UpFee</f>
        <v>0</v>
      </c>
      <c r="BE219" s="71" t="n">
        <f aca="false">$BB219-$BC219+$BD219</f>
        <v>0</v>
      </c>
    </row>
    <row r="220" customFormat="false" ht="14.25" hidden="false" customHeight="false" outlineLevel="0" collapsed="false">
      <c r="A220" s="61"/>
      <c r="B220" s="62"/>
      <c r="C220" s="61"/>
      <c r="D220" s="61"/>
      <c r="E220" s="61"/>
      <c r="F220" s="63"/>
      <c r="G220" s="64"/>
      <c r="H220" s="64"/>
      <c r="I220" s="63"/>
      <c r="J220" s="63"/>
      <c r="K220" s="61"/>
      <c r="L220" s="65"/>
      <c r="M220" s="65"/>
      <c r="N220" s="61"/>
      <c r="O220" s="64"/>
      <c r="P220" s="65"/>
      <c r="Q220" s="65"/>
      <c r="R220" s="66"/>
      <c r="S220" s="65"/>
      <c r="T220" s="65"/>
      <c r="U220" s="67"/>
      <c r="V220" s="65"/>
      <c r="W220" s="65"/>
      <c r="X220" s="63"/>
      <c r="Y220" s="63"/>
      <c r="Z220" s="61"/>
      <c r="AA220" s="61"/>
      <c r="AB220" s="61"/>
      <c r="AC220" s="61"/>
      <c r="AD220" s="61"/>
      <c r="AE220" s="61"/>
      <c r="AF220" s="61"/>
      <c r="AG220" s="61"/>
      <c r="AH220" s="68" t="n">
        <f aca="false">IF(G220="",0,ROUND((Strats!$C$4-G220)/30.4375,1))</f>
        <v>0</v>
      </c>
      <c r="AI220" s="69" t="n">
        <f aca="false">IF(K220="",0,IF(K220="Floating",Strats!$C$10+M220,L220))</f>
        <v>0</v>
      </c>
      <c r="AJ220" s="68" t="str">
        <f aca="false">IF(OR(Z220="",Z220="Full Amortizing"),"",MAX(J220-AH220,0))</f>
        <v/>
      </c>
      <c r="AK220" s="69" t="n">
        <f aca="false">IF(K220="",0,IF(K220="Floating",IF(P220&lt;&gt;"",MIN(IF(Q220&lt;&gt;"",MAX((Strats!$C$10+Strats!$C$11+M220),Q220),(Strats!$C$10+Strats!$C$11+M220)),P220),IF(Q220&lt;&gt;"",MAX((Strats!$C$10+Strats!$C$11+M220),Q220),(Strats!$C$10+Strats!$C$11+M220))),AI220))</f>
        <v>0</v>
      </c>
      <c r="AL220" s="68" t="str">
        <f aca="false">IF(OR(E220="",E220&lt;&gt;'Deal Strat'!$C$12,R220=""),"",SUMPRODUCT((E$4:E$303='Deal Strat'!$C$12)*(R$4:R$303&gt;R220))+1+SUMPRODUCT((E$4:E$303='Deal Strat'!$C$12)*(R$4:R$303=R220)*(ROW(R$4:R$303)&lt;ROW(R220))))</f>
        <v/>
      </c>
      <c r="AM220" s="68" t="str">
        <f aca="false">IF(R220="","",RANK(R220,$R$4:$R$303,0)+COUNTIF($R$4:R220,R220)-1)</f>
        <v/>
      </c>
      <c r="AN220" s="26" t="n">
        <f aca="false">IF(OR($A220="",$R220=""),0,IF(Deal_Scope="All Deals",1,IF($E220=Deal_Scope,1,0)))</f>
        <v>0</v>
      </c>
      <c r="AO220" s="56" t="n">
        <f aca="false">IF($AN220=0,0,Px_Par)</f>
        <v>0</v>
      </c>
      <c r="AP220" s="70" t="n">
        <f aca="false">IF($H220="",0,MAX(0,($H220-Set_Date)/30.4375))</f>
        <v>0</v>
      </c>
      <c r="AQ220" s="26" t="n">
        <f aca="false">IF(AND(Ext_Flag="Yes",$AA220="Yes"),Ext_Months,0)</f>
        <v>0</v>
      </c>
      <c r="AR220" s="70" t="n">
        <f aca="false">$AP220+$AQ220</f>
        <v>0</v>
      </c>
      <c r="AS220" s="70" t="n">
        <f aca="false">$AR220/12</f>
        <v>0</v>
      </c>
      <c r="AT220" s="70" t="n">
        <f aca="false">IF($AJ220="",0,MAX(0,$AJ220/12))</f>
        <v>0</v>
      </c>
      <c r="AU220" s="70" t="n">
        <f aca="false">MAX(Amort_Min,Amort_Term-$AH220/12)</f>
        <v>30</v>
      </c>
      <c r="AV220" s="70" t="n">
        <f aca="false">MIN($AS220,Hold_Yrs)</f>
        <v>0</v>
      </c>
      <c r="AW220" s="26" t="n">
        <f aca="false">IF($AN220=0,0,CEILING(MAX($AS220,0.0001),1))</f>
        <v>0</v>
      </c>
      <c r="AX220" s="26" t="n">
        <f aca="false">IF(AND($AN220=1,MAX($AS220,0.0001)&lt;=Hold_Yrs),1,0)</f>
        <v>0</v>
      </c>
      <c r="AY220" s="71" t="n">
        <f aca="false">$R220*$AO220</f>
        <v>0</v>
      </c>
      <c r="AZ220" s="71" t="n">
        <f aca="false">$R220*Acc_Int*$AN220</f>
        <v>0</v>
      </c>
      <c r="BA220" s="71" t="n">
        <f aca="false">$AY220*Acq_Cost</f>
        <v>0</v>
      </c>
      <c r="BB220" s="71" t="n">
        <f aca="false">$AY220+$AZ220+$BA220</f>
        <v>0</v>
      </c>
      <c r="BC220" s="71" t="n">
        <f aca="false">IF(Fin_Flag="Yes",$AY220*Adv_Rate,0)</f>
        <v>0</v>
      </c>
      <c r="BD220" s="71" t="n">
        <f aca="false">$BC220*Fin_UpFee</f>
        <v>0</v>
      </c>
      <c r="BE220" s="71" t="n">
        <f aca="false">$BB220-$BC220+$BD220</f>
        <v>0</v>
      </c>
    </row>
    <row r="221" customFormat="false" ht="14.25" hidden="false" customHeight="false" outlineLevel="0" collapsed="false">
      <c r="A221" s="61"/>
      <c r="B221" s="62"/>
      <c r="C221" s="61"/>
      <c r="D221" s="61"/>
      <c r="E221" s="61"/>
      <c r="F221" s="63"/>
      <c r="G221" s="64"/>
      <c r="H221" s="64"/>
      <c r="I221" s="63"/>
      <c r="J221" s="63"/>
      <c r="K221" s="61"/>
      <c r="L221" s="65"/>
      <c r="M221" s="65"/>
      <c r="N221" s="61"/>
      <c r="O221" s="64"/>
      <c r="P221" s="65"/>
      <c r="Q221" s="65"/>
      <c r="R221" s="66"/>
      <c r="S221" s="65"/>
      <c r="T221" s="65"/>
      <c r="U221" s="67"/>
      <c r="V221" s="65"/>
      <c r="W221" s="65"/>
      <c r="X221" s="63"/>
      <c r="Y221" s="63"/>
      <c r="Z221" s="61"/>
      <c r="AA221" s="61"/>
      <c r="AB221" s="61"/>
      <c r="AC221" s="61"/>
      <c r="AD221" s="61"/>
      <c r="AE221" s="61"/>
      <c r="AF221" s="61"/>
      <c r="AG221" s="61"/>
      <c r="AH221" s="68" t="n">
        <f aca="false">IF(G221="",0,ROUND((Strats!$C$4-G221)/30.4375,1))</f>
        <v>0</v>
      </c>
      <c r="AI221" s="69" t="n">
        <f aca="false">IF(K221="",0,IF(K221="Floating",Strats!$C$10+M221,L221))</f>
        <v>0</v>
      </c>
      <c r="AJ221" s="68" t="str">
        <f aca="false">IF(OR(Z221="",Z221="Full Amortizing"),"",MAX(J221-AH221,0))</f>
        <v/>
      </c>
      <c r="AK221" s="69" t="n">
        <f aca="false">IF(K221="",0,IF(K221="Floating",IF(P221&lt;&gt;"",MIN(IF(Q221&lt;&gt;"",MAX((Strats!$C$10+Strats!$C$11+M221),Q221),(Strats!$C$10+Strats!$C$11+M221)),P221),IF(Q221&lt;&gt;"",MAX((Strats!$C$10+Strats!$C$11+M221),Q221),(Strats!$C$10+Strats!$C$11+M221))),AI221))</f>
        <v>0</v>
      </c>
      <c r="AL221" s="68" t="str">
        <f aca="false">IF(OR(E221="",E221&lt;&gt;'Deal Strat'!$C$12,R221=""),"",SUMPRODUCT((E$4:E$303='Deal Strat'!$C$12)*(R$4:R$303&gt;R221))+1+SUMPRODUCT((E$4:E$303='Deal Strat'!$C$12)*(R$4:R$303=R221)*(ROW(R$4:R$303)&lt;ROW(R221))))</f>
        <v/>
      </c>
      <c r="AM221" s="68" t="str">
        <f aca="false">IF(R221="","",RANK(R221,$R$4:$R$303,0)+COUNTIF($R$4:R221,R221)-1)</f>
        <v/>
      </c>
      <c r="AN221" s="26" t="n">
        <f aca="false">IF(OR($A221="",$R221=""),0,IF(Deal_Scope="All Deals",1,IF($E221=Deal_Scope,1,0)))</f>
        <v>0</v>
      </c>
      <c r="AO221" s="56" t="n">
        <f aca="false">IF($AN221=0,0,Px_Par)</f>
        <v>0</v>
      </c>
      <c r="AP221" s="70" t="n">
        <f aca="false">IF($H221="",0,MAX(0,($H221-Set_Date)/30.4375))</f>
        <v>0</v>
      </c>
      <c r="AQ221" s="26" t="n">
        <f aca="false">IF(AND(Ext_Flag="Yes",$AA221="Yes"),Ext_Months,0)</f>
        <v>0</v>
      </c>
      <c r="AR221" s="70" t="n">
        <f aca="false">$AP221+$AQ221</f>
        <v>0</v>
      </c>
      <c r="AS221" s="70" t="n">
        <f aca="false">$AR221/12</f>
        <v>0</v>
      </c>
      <c r="AT221" s="70" t="n">
        <f aca="false">IF($AJ221="",0,MAX(0,$AJ221/12))</f>
        <v>0</v>
      </c>
      <c r="AU221" s="70" t="n">
        <f aca="false">MAX(Amort_Min,Amort_Term-$AH221/12)</f>
        <v>30</v>
      </c>
      <c r="AV221" s="70" t="n">
        <f aca="false">MIN($AS221,Hold_Yrs)</f>
        <v>0</v>
      </c>
      <c r="AW221" s="26" t="n">
        <f aca="false">IF($AN221=0,0,CEILING(MAX($AS221,0.0001),1))</f>
        <v>0</v>
      </c>
      <c r="AX221" s="26" t="n">
        <f aca="false">IF(AND($AN221=1,MAX($AS221,0.0001)&lt;=Hold_Yrs),1,0)</f>
        <v>0</v>
      </c>
      <c r="AY221" s="71" t="n">
        <f aca="false">$R221*$AO221</f>
        <v>0</v>
      </c>
      <c r="AZ221" s="71" t="n">
        <f aca="false">$R221*Acc_Int*$AN221</f>
        <v>0</v>
      </c>
      <c r="BA221" s="71" t="n">
        <f aca="false">$AY221*Acq_Cost</f>
        <v>0</v>
      </c>
      <c r="BB221" s="71" t="n">
        <f aca="false">$AY221+$AZ221+$BA221</f>
        <v>0</v>
      </c>
      <c r="BC221" s="71" t="n">
        <f aca="false">IF(Fin_Flag="Yes",$AY221*Adv_Rate,0)</f>
        <v>0</v>
      </c>
      <c r="BD221" s="71" t="n">
        <f aca="false">$BC221*Fin_UpFee</f>
        <v>0</v>
      </c>
      <c r="BE221" s="71" t="n">
        <f aca="false">$BB221-$BC221+$BD221</f>
        <v>0</v>
      </c>
    </row>
    <row r="222" customFormat="false" ht="14.25" hidden="false" customHeight="false" outlineLevel="0" collapsed="false">
      <c r="A222" s="61"/>
      <c r="B222" s="62"/>
      <c r="C222" s="61"/>
      <c r="D222" s="61"/>
      <c r="E222" s="61"/>
      <c r="F222" s="63"/>
      <c r="G222" s="64"/>
      <c r="H222" s="64"/>
      <c r="I222" s="63"/>
      <c r="J222" s="63"/>
      <c r="K222" s="61"/>
      <c r="L222" s="65"/>
      <c r="M222" s="65"/>
      <c r="N222" s="61"/>
      <c r="O222" s="64"/>
      <c r="P222" s="65"/>
      <c r="Q222" s="65"/>
      <c r="R222" s="66"/>
      <c r="S222" s="65"/>
      <c r="T222" s="65"/>
      <c r="U222" s="67"/>
      <c r="V222" s="65"/>
      <c r="W222" s="65"/>
      <c r="X222" s="63"/>
      <c r="Y222" s="63"/>
      <c r="Z222" s="61"/>
      <c r="AA222" s="61"/>
      <c r="AB222" s="61"/>
      <c r="AC222" s="61"/>
      <c r="AD222" s="61"/>
      <c r="AE222" s="61"/>
      <c r="AF222" s="61"/>
      <c r="AG222" s="61"/>
      <c r="AH222" s="68" t="n">
        <f aca="false">IF(G222="",0,ROUND((Strats!$C$4-G222)/30.4375,1))</f>
        <v>0</v>
      </c>
      <c r="AI222" s="69" t="n">
        <f aca="false">IF(K222="",0,IF(K222="Floating",Strats!$C$10+M222,L222))</f>
        <v>0</v>
      </c>
      <c r="AJ222" s="68" t="str">
        <f aca="false">IF(OR(Z222="",Z222="Full Amortizing"),"",MAX(J222-AH222,0))</f>
        <v/>
      </c>
      <c r="AK222" s="69" t="n">
        <f aca="false">IF(K222="",0,IF(K222="Floating",IF(P222&lt;&gt;"",MIN(IF(Q222&lt;&gt;"",MAX((Strats!$C$10+Strats!$C$11+M222),Q222),(Strats!$C$10+Strats!$C$11+M222)),P222),IF(Q222&lt;&gt;"",MAX((Strats!$C$10+Strats!$C$11+M222),Q222),(Strats!$C$10+Strats!$C$11+M222))),AI222))</f>
        <v>0</v>
      </c>
      <c r="AL222" s="68" t="str">
        <f aca="false">IF(OR(E222="",E222&lt;&gt;'Deal Strat'!$C$12,R222=""),"",SUMPRODUCT((E$4:E$303='Deal Strat'!$C$12)*(R$4:R$303&gt;R222))+1+SUMPRODUCT((E$4:E$303='Deal Strat'!$C$12)*(R$4:R$303=R222)*(ROW(R$4:R$303)&lt;ROW(R222))))</f>
        <v/>
      </c>
      <c r="AM222" s="68" t="str">
        <f aca="false">IF(R222="","",RANK(R222,$R$4:$R$303,0)+COUNTIF($R$4:R222,R222)-1)</f>
        <v/>
      </c>
      <c r="AN222" s="26" t="n">
        <f aca="false">IF(OR($A222="",$R222=""),0,IF(Deal_Scope="All Deals",1,IF($E222=Deal_Scope,1,0)))</f>
        <v>0</v>
      </c>
      <c r="AO222" s="56" t="n">
        <f aca="false">IF($AN222=0,0,Px_Par)</f>
        <v>0</v>
      </c>
      <c r="AP222" s="70" t="n">
        <f aca="false">IF($H222="",0,MAX(0,($H222-Set_Date)/30.4375))</f>
        <v>0</v>
      </c>
      <c r="AQ222" s="26" t="n">
        <f aca="false">IF(AND(Ext_Flag="Yes",$AA222="Yes"),Ext_Months,0)</f>
        <v>0</v>
      </c>
      <c r="AR222" s="70" t="n">
        <f aca="false">$AP222+$AQ222</f>
        <v>0</v>
      </c>
      <c r="AS222" s="70" t="n">
        <f aca="false">$AR222/12</f>
        <v>0</v>
      </c>
      <c r="AT222" s="70" t="n">
        <f aca="false">IF($AJ222="",0,MAX(0,$AJ222/12))</f>
        <v>0</v>
      </c>
      <c r="AU222" s="70" t="n">
        <f aca="false">MAX(Amort_Min,Amort_Term-$AH222/12)</f>
        <v>30</v>
      </c>
      <c r="AV222" s="70" t="n">
        <f aca="false">MIN($AS222,Hold_Yrs)</f>
        <v>0</v>
      </c>
      <c r="AW222" s="26" t="n">
        <f aca="false">IF($AN222=0,0,CEILING(MAX($AS222,0.0001),1))</f>
        <v>0</v>
      </c>
      <c r="AX222" s="26" t="n">
        <f aca="false">IF(AND($AN222=1,MAX($AS222,0.0001)&lt;=Hold_Yrs),1,0)</f>
        <v>0</v>
      </c>
      <c r="AY222" s="71" t="n">
        <f aca="false">$R222*$AO222</f>
        <v>0</v>
      </c>
      <c r="AZ222" s="71" t="n">
        <f aca="false">$R222*Acc_Int*$AN222</f>
        <v>0</v>
      </c>
      <c r="BA222" s="71" t="n">
        <f aca="false">$AY222*Acq_Cost</f>
        <v>0</v>
      </c>
      <c r="BB222" s="71" t="n">
        <f aca="false">$AY222+$AZ222+$BA222</f>
        <v>0</v>
      </c>
      <c r="BC222" s="71" t="n">
        <f aca="false">IF(Fin_Flag="Yes",$AY222*Adv_Rate,0)</f>
        <v>0</v>
      </c>
      <c r="BD222" s="71" t="n">
        <f aca="false">$BC222*Fin_UpFee</f>
        <v>0</v>
      </c>
      <c r="BE222" s="71" t="n">
        <f aca="false">$BB222-$BC222+$BD222</f>
        <v>0</v>
      </c>
    </row>
    <row r="223" customFormat="false" ht="14.25" hidden="false" customHeight="false" outlineLevel="0" collapsed="false">
      <c r="A223" s="61"/>
      <c r="B223" s="62"/>
      <c r="C223" s="61"/>
      <c r="D223" s="61"/>
      <c r="E223" s="61"/>
      <c r="F223" s="63"/>
      <c r="G223" s="64"/>
      <c r="H223" s="64"/>
      <c r="I223" s="63"/>
      <c r="J223" s="63"/>
      <c r="K223" s="61"/>
      <c r="L223" s="65"/>
      <c r="M223" s="65"/>
      <c r="N223" s="61"/>
      <c r="O223" s="64"/>
      <c r="P223" s="65"/>
      <c r="Q223" s="65"/>
      <c r="R223" s="66"/>
      <c r="S223" s="65"/>
      <c r="T223" s="65"/>
      <c r="U223" s="67"/>
      <c r="V223" s="65"/>
      <c r="W223" s="65"/>
      <c r="X223" s="63"/>
      <c r="Y223" s="63"/>
      <c r="Z223" s="61"/>
      <c r="AA223" s="61"/>
      <c r="AB223" s="61"/>
      <c r="AC223" s="61"/>
      <c r="AD223" s="61"/>
      <c r="AE223" s="61"/>
      <c r="AF223" s="61"/>
      <c r="AG223" s="61"/>
      <c r="AH223" s="68" t="n">
        <f aca="false">IF(G223="",0,ROUND((Strats!$C$4-G223)/30.4375,1))</f>
        <v>0</v>
      </c>
      <c r="AI223" s="69" t="n">
        <f aca="false">IF(K223="",0,IF(K223="Floating",Strats!$C$10+M223,L223))</f>
        <v>0</v>
      </c>
      <c r="AJ223" s="68" t="str">
        <f aca="false">IF(OR(Z223="",Z223="Full Amortizing"),"",MAX(J223-AH223,0))</f>
        <v/>
      </c>
      <c r="AK223" s="69" t="n">
        <f aca="false">IF(K223="",0,IF(K223="Floating",IF(P223&lt;&gt;"",MIN(IF(Q223&lt;&gt;"",MAX((Strats!$C$10+Strats!$C$11+M223),Q223),(Strats!$C$10+Strats!$C$11+M223)),P223),IF(Q223&lt;&gt;"",MAX((Strats!$C$10+Strats!$C$11+M223),Q223),(Strats!$C$10+Strats!$C$11+M223))),AI223))</f>
        <v>0</v>
      </c>
      <c r="AL223" s="68" t="str">
        <f aca="false">IF(OR(E223="",E223&lt;&gt;'Deal Strat'!$C$12,R223=""),"",SUMPRODUCT((E$4:E$303='Deal Strat'!$C$12)*(R$4:R$303&gt;R223))+1+SUMPRODUCT((E$4:E$303='Deal Strat'!$C$12)*(R$4:R$303=R223)*(ROW(R$4:R$303)&lt;ROW(R223))))</f>
        <v/>
      </c>
      <c r="AM223" s="68" t="str">
        <f aca="false">IF(R223="","",RANK(R223,$R$4:$R$303,0)+COUNTIF($R$4:R223,R223)-1)</f>
        <v/>
      </c>
      <c r="AN223" s="26" t="n">
        <f aca="false">IF(OR($A223="",$R223=""),0,IF(Deal_Scope="All Deals",1,IF($E223=Deal_Scope,1,0)))</f>
        <v>0</v>
      </c>
      <c r="AO223" s="56" t="n">
        <f aca="false">IF($AN223=0,0,Px_Par)</f>
        <v>0</v>
      </c>
      <c r="AP223" s="70" t="n">
        <f aca="false">IF($H223="",0,MAX(0,($H223-Set_Date)/30.4375))</f>
        <v>0</v>
      </c>
      <c r="AQ223" s="26" t="n">
        <f aca="false">IF(AND(Ext_Flag="Yes",$AA223="Yes"),Ext_Months,0)</f>
        <v>0</v>
      </c>
      <c r="AR223" s="70" t="n">
        <f aca="false">$AP223+$AQ223</f>
        <v>0</v>
      </c>
      <c r="AS223" s="70" t="n">
        <f aca="false">$AR223/12</f>
        <v>0</v>
      </c>
      <c r="AT223" s="70" t="n">
        <f aca="false">IF($AJ223="",0,MAX(0,$AJ223/12))</f>
        <v>0</v>
      </c>
      <c r="AU223" s="70" t="n">
        <f aca="false">MAX(Amort_Min,Amort_Term-$AH223/12)</f>
        <v>30</v>
      </c>
      <c r="AV223" s="70" t="n">
        <f aca="false">MIN($AS223,Hold_Yrs)</f>
        <v>0</v>
      </c>
      <c r="AW223" s="26" t="n">
        <f aca="false">IF($AN223=0,0,CEILING(MAX($AS223,0.0001),1))</f>
        <v>0</v>
      </c>
      <c r="AX223" s="26" t="n">
        <f aca="false">IF(AND($AN223=1,MAX($AS223,0.0001)&lt;=Hold_Yrs),1,0)</f>
        <v>0</v>
      </c>
      <c r="AY223" s="71" t="n">
        <f aca="false">$R223*$AO223</f>
        <v>0</v>
      </c>
      <c r="AZ223" s="71" t="n">
        <f aca="false">$R223*Acc_Int*$AN223</f>
        <v>0</v>
      </c>
      <c r="BA223" s="71" t="n">
        <f aca="false">$AY223*Acq_Cost</f>
        <v>0</v>
      </c>
      <c r="BB223" s="71" t="n">
        <f aca="false">$AY223+$AZ223+$BA223</f>
        <v>0</v>
      </c>
      <c r="BC223" s="71" t="n">
        <f aca="false">IF(Fin_Flag="Yes",$AY223*Adv_Rate,0)</f>
        <v>0</v>
      </c>
      <c r="BD223" s="71" t="n">
        <f aca="false">$BC223*Fin_UpFee</f>
        <v>0</v>
      </c>
      <c r="BE223" s="71" t="n">
        <f aca="false">$BB223-$BC223+$BD223</f>
        <v>0</v>
      </c>
    </row>
    <row r="224" customFormat="false" ht="14.25" hidden="false" customHeight="false" outlineLevel="0" collapsed="false">
      <c r="A224" s="61"/>
      <c r="B224" s="62"/>
      <c r="C224" s="61"/>
      <c r="D224" s="61"/>
      <c r="E224" s="61"/>
      <c r="F224" s="63"/>
      <c r="G224" s="64"/>
      <c r="H224" s="64"/>
      <c r="I224" s="63"/>
      <c r="J224" s="63"/>
      <c r="K224" s="61"/>
      <c r="L224" s="65"/>
      <c r="M224" s="65"/>
      <c r="N224" s="61"/>
      <c r="O224" s="64"/>
      <c r="P224" s="65"/>
      <c r="Q224" s="65"/>
      <c r="R224" s="66"/>
      <c r="S224" s="65"/>
      <c r="T224" s="65"/>
      <c r="U224" s="67"/>
      <c r="V224" s="65"/>
      <c r="W224" s="65"/>
      <c r="X224" s="63"/>
      <c r="Y224" s="63"/>
      <c r="Z224" s="61"/>
      <c r="AA224" s="61"/>
      <c r="AB224" s="61"/>
      <c r="AC224" s="61"/>
      <c r="AD224" s="61"/>
      <c r="AE224" s="61"/>
      <c r="AF224" s="61"/>
      <c r="AG224" s="61"/>
      <c r="AH224" s="68" t="n">
        <f aca="false">IF(G224="",0,ROUND((Strats!$C$4-G224)/30.4375,1))</f>
        <v>0</v>
      </c>
      <c r="AI224" s="69" t="n">
        <f aca="false">IF(K224="",0,IF(K224="Floating",Strats!$C$10+M224,L224))</f>
        <v>0</v>
      </c>
      <c r="AJ224" s="68" t="str">
        <f aca="false">IF(OR(Z224="",Z224="Full Amortizing"),"",MAX(J224-AH224,0))</f>
        <v/>
      </c>
      <c r="AK224" s="69" t="n">
        <f aca="false">IF(K224="",0,IF(K224="Floating",IF(P224&lt;&gt;"",MIN(IF(Q224&lt;&gt;"",MAX((Strats!$C$10+Strats!$C$11+M224),Q224),(Strats!$C$10+Strats!$C$11+M224)),P224),IF(Q224&lt;&gt;"",MAX((Strats!$C$10+Strats!$C$11+M224),Q224),(Strats!$C$10+Strats!$C$11+M224))),AI224))</f>
        <v>0</v>
      </c>
      <c r="AL224" s="68" t="str">
        <f aca="false">IF(OR(E224="",E224&lt;&gt;'Deal Strat'!$C$12,R224=""),"",SUMPRODUCT((E$4:E$303='Deal Strat'!$C$12)*(R$4:R$303&gt;R224))+1+SUMPRODUCT((E$4:E$303='Deal Strat'!$C$12)*(R$4:R$303=R224)*(ROW(R$4:R$303)&lt;ROW(R224))))</f>
        <v/>
      </c>
      <c r="AM224" s="68" t="str">
        <f aca="false">IF(R224="","",RANK(R224,$R$4:$R$303,0)+COUNTIF($R$4:R224,R224)-1)</f>
        <v/>
      </c>
      <c r="AN224" s="26" t="n">
        <f aca="false">IF(OR($A224="",$R224=""),0,IF(Deal_Scope="All Deals",1,IF($E224=Deal_Scope,1,0)))</f>
        <v>0</v>
      </c>
      <c r="AO224" s="56" t="n">
        <f aca="false">IF($AN224=0,0,Px_Par)</f>
        <v>0</v>
      </c>
      <c r="AP224" s="70" t="n">
        <f aca="false">IF($H224="",0,MAX(0,($H224-Set_Date)/30.4375))</f>
        <v>0</v>
      </c>
      <c r="AQ224" s="26" t="n">
        <f aca="false">IF(AND(Ext_Flag="Yes",$AA224="Yes"),Ext_Months,0)</f>
        <v>0</v>
      </c>
      <c r="AR224" s="70" t="n">
        <f aca="false">$AP224+$AQ224</f>
        <v>0</v>
      </c>
      <c r="AS224" s="70" t="n">
        <f aca="false">$AR224/12</f>
        <v>0</v>
      </c>
      <c r="AT224" s="70" t="n">
        <f aca="false">IF($AJ224="",0,MAX(0,$AJ224/12))</f>
        <v>0</v>
      </c>
      <c r="AU224" s="70" t="n">
        <f aca="false">MAX(Amort_Min,Amort_Term-$AH224/12)</f>
        <v>30</v>
      </c>
      <c r="AV224" s="70" t="n">
        <f aca="false">MIN($AS224,Hold_Yrs)</f>
        <v>0</v>
      </c>
      <c r="AW224" s="26" t="n">
        <f aca="false">IF($AN224=0,0,CEILING(MAX($AS224,0.0001),1))</f>
        <v>0</v>
      </c>
      <c r="AX224" s="26" t="n">
        <f aca="false">IF(AND($AN224=1,MAX($AS224,0.0001)&lt;=Hold_Yrs),1,0)</f>
        <v>0</v>
      </c>
      <c r="AY224" s="71" t="n">
        <f aca="false">$R224*$AO224</f>
        <v>0</v>
      </c>
      <c r="AZ224" s="71" t="n">
        <f aca="false">$R224*Acc_Int*$AN224</f>
        <v>0</v>
      </c>
      <c r="BA224" s="71" t="n">
        <f aca="false">$AY224*Acq_Cost</f>
        <v>0</v>
      </c>
      <c r="BB224" s="71" t="n">
        <f aca="false">$AY224+$AZ224+$BA224</f>
        <v>0</v>
      </c>
      <c r="BC224" s="71" t="n">
        <f aca="false">IF(Fin_Flag="Yes",$AY224*Adv_Rate,0)</f>
        <v>0</v>
      </c>
      <c r="BD224" s="71" t="n">
        <f aca="false">$BC224*Fin_UpFee</f>
        <v>0</v>
      </c>
      <c r="BE224" s="71" t="n">
        <f aca="false">$BB224-$BC224+$BD224</f>
        <v>0</v>
      </c>
    </row>
    <row r="225" customFormat="false" ht="14.25" hidden="false" customHeight="false" outlineLevel="0" collapsed="false">
      <c r="A225" s="61"/>
      <c r="B225" s="62"/>
      <c r="C225" s="61"/>
      <c r="D225" s="61"/>
      <c r="E225" s="61"/>
      <c r="F225" s="63"/>
      <c r="G225" s="64"/>
      <c r="H225" s="64"/>
      <c r="I225" s="63"/>
      <c r="J225" s="63"/>
      <c r="K225" s="61"/>
      <c r="L225" s="65"/>
      <c r="M225" s="65"/>
      <c r="N225" s="61"/>
      <c r="O225" s="64"/>
      <c r="P225" s="65"/>
      <c r="Q225" s="65"/>
      <c r="R225" s="66"/>
      <c r="S225" s="65"/>
      <c r="T225" s="65"/>
      <c r="U225" s="67"/>
      <c r="V225" s="65"/>
      <c r="W225" s="65"/>
      <c r="X225" s="63"/>
      <c r="Y225" s="63"/>
      <c r="Z225" s="61"/>
      <c r="AA225" s="61"/>
      <c r="AB225" s="61"/>
      <c r="AC225" s="61"/>
      <c r="AD225" s="61"/>
      <c r="AE225" s="61"/>
      <c r="AF225" s="61"/>
      <c r="AG225" s="61"/>
      <c r="AH225" s="68" t="n">
        <f aca="false">IF(G225="",0,ROUND((Strats!$C$4-G225)/30.4375,1))</f>
        <v>0</v>
      </c>
      <c r="AI225" s="69" t="n">
        <f aca="false">IF(K225="",0,IF(K225="Floating",Strats!$C$10+M225,L225))</f>
        <v>0</v>
      </c>
      <c r="AJ225" s="68" t="str">
        <f aca="false">IF(OR(Z225="",Z225="Full Amortizing"),"",MAX(J225-AH225,0))</f>
        <v/>
      </c>
      <c r="AK225" s="69" t="n">
        <f aca="false">IF(K225="",0,IF(K225="Floating",IF(P225&lt;&gt;"",MIN(IF(Q225&lt;&gt;"",MAX((Strats!$C$10+Strats!$C$11+M225),Q225),(Strats!$C$10+Strats!$C$11+M225)),P225),IF(Q225&lt;&gt;"",MAX((Strats!$C$10+Strats!$C$11+M225),Q225),(Strats!$C$10+Strats!$C$11+M225))),AI225))</f>
        <v>0</v>
      </c>
      <c r="AL225" s="68" t="str">
        <f aca="false">IF(OR(E225="",E225&lt;&gt;'Deal Strat'!$C$12,R225=""),"",SUMPRODUCT((E$4:E$303='Deal Strat'!$C$12)*(R$4:R$303&gt;R225))+1+SUMPRODUCT((E$4:E$303='Deal Strat'!$C$12)*(R$4:R$303=R225)*(ROW(R$4:R$303)&lt;ROW(R225))))</f>
        <v/>
      </c>
      <c r="AM225" s="68" t="str">
        <f aca="false">IF(R225="","",RANK(R225,$R$4:$R$303,0)+COUNTIF($R$4:R225,R225)-1)</f>
        <v/>
      </c>
      <c r="AN225" s="26" t="n">
        <f aca="false">IF(OR($A225="",$R225=""),0,IF(Deal_Scope="All Deals",1,IF($E225=Deal_Scope,1,0)))</f>
        <v>0</v>
      </c>
      <c r="AO225" s="56" t="n">
        <f aca="false">IF($AN225=0,0,Px_Par)</f>
        <v>0</v>
      </c>
      <c r="AP225" s="70" t="n">
        <f aca="false">IF($H225="",0,MAX(0,($H225-Set_Date)/30.4375))</f>
        <v>0</v>
      </c>
      <c r="AQ225" s="26" t="n">
        <f aca="false">IF(AND(Ext_Flag="Yes",$AA225="Yes"),Ext_Months,0)</f>
        <v>0</v>
      </c>
      <c r="AR225" s="70" t="n">
        <f aca="false">$AP225+$AQ225</f>
        <v>0</v>
      </c>
      <c r="AS225" s="70" t="n">
        <f aca="false">$AR225/12</f>
        <v>0</v>
      </c>
      <c r="AT225" s="70" t="n">
        <f aca="false">IF($AJ225="",0,MAX(0,$AJ225/12))</f>
        <v>0</v>
      </c>
      <c r="AU225" s="70" t="n">
        <f aca="false">MAX(Amort_Min,Amort_Term-$AH225/12)</f>
        <v>30</v>
      </c>
      <c r="AV225" s="70" t="n">
        <f aca="false">MIN($AS225,Hold_Yrs)</f>
        <v>0</v>
      </c>
      <c r="AW225" s="26" t="n">
        <f aca="false">IF($AN225=0,0,CEILING(MAX($AS225,0.0001),1))</f>
        <v>0</v>
      </c>
      <c r="AX225" s="26" t="n">
        <f aca="false">IF(AND($AN225=1,MAX($AS225,0.0001)&lt;=Hold_Yrs),1,0)</f>
        <v>0</v>
      </c>
      <c r="AY225" s="71" t="n">
        <f aca="false">$R225*$AO225</f>
        <v>0</v>
      </c>
      <c r="AZ225" s="71" t="n">
        <f aca="false">$R225*Acc_Int*$AN225</f>
        <v>0</v>
      </c>
      <c r="BA225" s="71" t="n">
        <f aca="false">$AY225*Acq_Cost</f>
        <v>0</v>
      </c>
      <c r="BB225" s="71" t="n">
        <f aca="false">$AY225+$AZ225+$BA225</f>
        <v>0</v>
      </c>
      <c r="BC225" s="71" t="n">
        <f aca="false">IF(Fin_Flag="Yes",$AY225*Adv_Rate,0)</f>
        <v>0</v>
      </c>
      <c r="BD225" s="71" t="n">
        <f aca="false">$BC225*Fin_UpFee</f>
        <v>0</v>
      </c>
      <c r="BE225" s="71" t="n">
        <f aca="false">$BB225-$BC225+$BD225</f>
        <v>0</v>
      </c>
    </row>
    <row r="226" customFormat="false" ht="14.25" hidden="false" customHeight="false" outlineLevel="0" collapsed="false">
      <c r="A226" s="61"/>
      <c r="B226" s="62"/>
      <c r="C226" s="61"/>
      <c r="D226" s="61"/>
      <c r="E226" s="61"/>
      <c r="F226" s="63"/>
      <c r="G226" s="64"/>
      <c r="H226" s="64"/>
      <c r="I226" s="63"/>
      <c r="J226" s="63"/>
      <c r="K226" s="61"/>
      <c r="L226" s="65"/>
      <c r="M226" s="65"/>
      <c r="N226" s="61"/>
      <c r="O226" s="64"/>
      <c r="P226" s="65"/>
      <c r="Q226" s="65"/>
      <c r="R226" s="66"/>
      <c r="S226" s="65"/>
      <c r="T226" s="65"/>
      <c r="U226" s="67"/>
      <c r="V226" s="65"/>
      <c r="W226" s="65"/>
      <c r="X226" s="63"/>
      <c r="Y226" s="63"/>
      <c r="Z226" s="61"/>
      <c r="AA226" s="61"/>
      <c r="AB226" s="61"/>
      <c r="AC226" s="61"/>
      <c r="AD226" s="61"/>
      <c r="AE226" s="61"/>
      <c r="AF226" s="61"/>
      <c r="AG226" s="61"/>
      <c r="AH226" s="68" t="n">
        <f aca="false">IF(G226="",0,ROUND((Strats!$C$4-G226)/30.4375,1))</f>
        <v>0</v>
      </c>
      <c r="AI226" s="69" t="n">
        <f aca="false">IF(K226="",0,IF(K226="Floating",Strats!$C$10+M226,L226))</f>
        <v>0</v>
      </c>
      <c r="AJ226" s="68" t="str">
        <f aca="false">IF(OR(Z226="",Z226="Full Amortizing"),"",MAX(J226-AH226,0))</f>
        <v/>
      </c>
      <c r="AK226" s="69" t="n">
        <f aca="false">IF(K226="",0,IF(K226="Floating",IF(P226&lt;&gt;"",MIN(IF(Q226&lt;&gt;"",MAX((Strats!$C$10+Strats!$C$11+M226),Q226),(Strats!$C$10+Strats!$C$11+M226)),P226),IF(Q226&lt;&gt;"",MAX((Strats!$C$10+Strats!$C$11+M226),Q226),(Strats!$C$10+Strats!$C$11+M226))),AI226))</f>
        <v>0</v>
      </c>
      <c r="AL226" s="68" t="str">
        <f aca="false">IF(OR(E226="",E226&lt;&gt;'Deal Strat'!$C$12,R226=""),"",SUMPRODUCT((E$4:E$303='Deal Strat'!$C$12)*(R$4:R$303&gt;R226))+1+SUMPRODUCT((E$4:E$303='Deal Strat'!$C$12)*(R$4:R$303=R226)*(ROW(R$4:R$303)&lt;ROW(R226))))</f>
        <v/>
      </c>
      <c r="AM226" s="68" t="str">
        <f aca="false">IF(R226="","",RANK(R226,$R$4:$R$303,0)+COUNTIF($R$4:R226,R226)-1)</f>
        <v/>
      </c>
      <c r="AN226" s="26" t="n">
        <f aca="false">IF(OR($A226="",$R226=""),0,IF(Deal_Scope="All Deals",1,IF($E226=Deal_Scope,1,0)))</f>
        <v>0</v>
      </c>
      <c r="AO226" s="56" t="n">
        <f aca="false">IF($AN226=0,0,Px_Par)</f>
        <v>0</v>
      </c>
      <c r="AP226" s="70" t="n">
        <f aca="false">IF($H226="",0,MAX(0,($H226-Set_Date)/30.4375))</f>
        <v>0</v>
      </c>
      <c r="AQ226" s="26" t="n">
        <f aca="false">IF(AND(Ext_Flag="Yes",$AA226="Yes"),Ext_Months,0)</f>
        <v>0</v>
      </c>
      <c r="AR226" s="70" t="n">
        <f aca="false">$AP226+$AQ226</f>
        <v>0</v>
      </c>
      <c r="AS226" s="70" t="n">
        <f aca="false">$AR226/12</f>
        <v>0</v>
      </c>
      <c r="AT226" s="70" t="n">
        <f aca="false">IF($AJ226="",0,MAX(0,$AJ226/12))</f>
        <v>0</v>
      </c>
      <c r="AU226" s="70" t="n">
        <f aca="false">MAX(Amort_Min,Amort_Term-$AH226/12)</f>
        <v>30</v>
      </c>
      <c r="AV226" s="70" t="n">
        <f aca="false">MIN($AS226,Hold_Yrs)</f>
        <v>0</v>
      </c>
      <c r="AW226" s="26" t="n">
        <f aca="false">IF($AN226=0,0,CEILING(MAX($AS226,0.0001),1))</f>
        <v>0</v>
      </c>
      <c r="AX226" s="26" t="n">
        <f aca="false">IF(AND($AN226=1,MAX($AS226,0.0001)&lt;=Hold_Yrs),1,0)</f>
        <v>0</v>
      </c>
      <c r="AY226" s="71" t="n">
        <f aca="false">$R226*$AO226</f>
        <v>0</v>
      </c>
      <c r="AZ226" s="71" t="n">
        <f aca="false">$R226*Acc_Int*$AN226</f>
        <v>0</v>
      </c>
      <c r="BA226" s="71" t="n">
        <f aca="false">$AY226*Acq_Cost</f>
        <v>0</v>
      </c>
      <c r="BB226" s="71" t="n">
        <f aca="false">$AY226+$AZ226+$BA226</f>
        <v>0</v>
      </c>
      <c r="BC226" s="71" t="n">
        <f aca="false">IF(Fin_Flag="Yes",$AY226*Adv_Rate,0)</f>
        <v>0</v>
      </c>
      <c r="BD226" s="71" t="n">
        <f aca="false">$BC226*Fin_UpFee</f>
        <v>0</v>
      </c>
      <c r="BE226" s="71" t="n">
        <f aca="false">$BB226-$BC226+$BD226</f>
        <v>0</v>
      </c>
    </row>
    <row r="227" customFormat="false" ht="14.25" hidden="false" customHeight="false" outlineLevel="0" collapsed="false">
      <c r="A227" s="61"/>
      <c r="B227" s="62"/>
      <c r="C227" s="61"/>
      <c r="D227" s="61"/>
      <c r="E227" s="61"/>
      <c r="F227" s="63"/>
      <c r="G227" s="64"/>
      <c r="H227" s="64"/>
      <c r="I227" s="63"/>
      <c r="J227" s="63"/>
      <c r="K227" s="61"/>
      <c r="L227" s="65"/>
      <c r="M227" s="65"/>
      <c r="N227" s="61"/>
      <c r="O227" s="64"/>
      <c r="P227" s="65"/>
      <c r="Q227" s="65"/>
      <c r="R227" s="66"/>
      <c r="S227" s="65"/>
      <c r="T227" s="65"/>
      <c r="U227" s="67"/>
      <c r="V227" s="65"/>
      <c r="W227" s="65"/>
      <c r="X227" s="63"/>
      <c r="Y227" s="63"/>
      <c r="Z227" s="61"/>
      <c r="AA227" s="61"/>
      <c r="AB227" s="61"/>
      <c r="AC227" s="61"/>
      <c r="AD227" s="61"/>
      <c r="AE227" s="61"/>
      <c r="AF227" s="61"/>
      <c r="AG227" s="61"/>
      <c r="AH227" s="68" t="n">
        <f aca="false">IF(G227="",0,ROUND((Strats!$C$4-G227)/30.4375,1))</f>
        <v>0</v>
      </c>
      <c r="AI227" s="69" t="n">
        <f aca="false">IF(K227="",0,IF(K227="Floating",Strats!$C$10+M227,L227))</f>
        <v>0</v>
      </c>
      <c r="AJ227" s="68" t="str">
        <f aca="false">IF(OR(Z227="",Z227="Full Amortizing"),"",MAX(J227-AH227,0))</f>
        <v/>
      </c>
      <c r="AK227" s="69" t="n">
        <f aca="false">IF(K227="",0,IF(K227="Floating",IF(P227&lt;&gt;"",MIN(IF(Q227&lt;&gt;"",MAX((Strats!$C$10+Strats!$C$11+M227),Q227),(Strats!$C$10+Strats!$C$11+M227)),P227),IF(Q227&lt;&gt;"",MAX((Strats!$C$10+Strats!$C$11+M227),Q227),(Strats!$C$10+Strats!$C$11+M227))),AI227))</f>
        <v>0</v>
      </c>
      <c r="AL227" s="68" t="str">
        <f aca="false">IF(OR(E227="",E227&lt;&gt;'Deal Strat'!$C$12,R227=""),"",SUMPRODUCT((E$4:E$303='Deal Strat'!$C$12)*(R$4:R$303&gt;R227))+1+SUMPRODUCT((E$4:E$303='Deal Strat'!$C$12)*(R$4:R$303=R227)*(ROW(R$4:R$303)&lt;ROW(R227))))</f>
        <v/>
      </c>
      <c r="AM227" s="68" t="str">
        <f aca="false">IF(R227="","",RANK(R227,$R$4:$R$303,0)+COUNTIF($R$4:R227,R227)-1)</f>
        <v/>
      </c>
      <c r="AN227" s="26" t="n">
        <f aca="false">IF(OR($A227="",$R227=""),0,IF(Deal_Scope="All Deals",1,IF($E227=Deal_Scope,1,0)))</f>
        <v>0</v>
      </c>
      <c r="AO227" s="56" t="n">
        <f aca="false">IF($AN227=0,0,Px_Par)</f>
        <v>0</v>
      </c>
      <c r="AP227" s="70" t="n">
        <f aca="false">IF($H227="",0,MAX(0,($H227-Set_Date)/30.4375))</f>
        <v>0</v>
      </c>
      <c r="AQ227" s="26" t="n">
        <f aca="false">IF(AND(Ext_Flag="Yes",$AA227="Yes"),Ext_Months,0)</f>
        <v>0</v>
      </c>
      <c r="AR227" s="70" t="n">
        <f aca="false">$AP227+$AQ227</f>
        <v>0</v>
      </c>
      <c r="AS227" s="70" t="n">
        <f aca="false">$AR227/12</f>
        <v>0</v>
      </c>
      <c r="AT227" s="70" t="n">
        <f aca="false">IF($AJ227="",0,MAX(0,$AJ227/12))</f>
        <v>0</v>
      </c>
      <c r="AU227" s="70" t="n">
        <f aca="false">MAX(Amort_Min,Amort_Term-$AH227/12)</f>
        <v>30</v>
      </c>
      <c r="AV227" s="70" t="n">
        <f aca="false">MIN($AS227,Hold_Yrs)</f>
        <v>0</v>
      </c>
      <c r="AW227" s="26" t="n">
        <f aca="false">IF($AN227=0,0,CEILING(MAX($AS227,0.0001),1))</f>
        <v>0</v>
      </c>
      <c r="AX227" s="26" t="n">
        <f aca="false">IF(AND($AN227=1,MAX($AS227,0.0001)&lt;=Hold_Yrs),1,0)</f>
        <v>0</v>
      </c>
      <c r="AY227" s="71" t="n">
        <f aca="false">$R227*$AO227</f>
        <v>0</v>
      </c>
      <c r="AZ227" s="71" t="n">
        <f aca="false">$R227*Acc_Int*$AN227</f>
        <v>0</v>
      </c>
      <c r="BA227" s="71" t="n">
        <f aca="false">$AY227*Acq_Cost</f>
        <v>0</v>
      </c>
      <c r="BB227" s="71" t="n">
        <f aca="false">$AY227+$AZ227+$BA227</f>
        <v>0</v>
      </c>
      <c r="BC227" s="71" t="n">
        <f aca="false">IF(Fin_Flag="Yes",$AY227*Adv_Rate,0)</f>
        <v>0</v>
      </c>
      <c r="BD227" s="71" t="n">
        <f aca="false">$BC227*Fin_UpFee</f>
        <v>0</v>
      </c>
      <c r="BE227" s="71" t="n">
        <f aca="false">$BB227-$BC227+$BD227</f>
        <v>0</v>
      </c>
    </row>
    <row r="228" customFormat="false" ht="14.25" hidden="false" customHeight="false" outlineLevel="0" collapsed="false">
      <c r="A228" s="61"/>
      <c r="B228" s="62"/>
      <c r="C228" s="61"/>
      <c r="D228" s="61"/>
      <c r="E228" s="61"/>
      <c r="F228" s="63"/>
      <c r="G228" s="64"/>
      <c r="H228" s="64"/>
      <c r="I228" s="63"/>
      <c r="J228" s="63"/>
      <c r="K228" s="61"/>
      <c r="L228" s="65"/>
      <c r="M228" s="65"/>
      <c r="N228" s="61"/>
      <c r="O228" s="64"/>
      <c r="P228" s="65"/>
      <c r="Q228" s="65"/>
      <c r="R228" s="66"/>
      <c r="S228" s="65"/>
      <c r="T228" s="65"/>
      <c r="U228" s="67"/>
      <c r="V228" s="65"/>
      <c r="W228" s="65"/>
      <c r="X228" s="63"/>
      <c r="Y228" s="63"/>
      <c r="Z228" s="61"/>
      <c r="AA228" s="61"/>
      <c r="AB228" s="61"/>
      <c r="AC228" s="61"/>
      <c r="AD228" s="61"/>
      <c r="AE228" s="61"/>
      <c r="AF228" s="61"/>
      <c r="AG228" s="61"/>
      <c r="AH228" s="68" t="n">
        <f aca="false">IF(G228="",0,ROUND((Strats!$C$4-G228)/30.4375,1))</f>
        <v>0</v>
      </c>
      <c r="AI228" s="69" t="n">
        <f aca="false">IF(K228="",0,IF(K228="Floating",Strats!$C$10+M228,L228))</f>
        <v>0</v>
      </c>
      <c r="AJ228" s="68" t="str">
        <f aca="false">IF(OR(Z228="",Z228="Full Amortizing"),"",MAX(J228-AH228,0))</f>
        <v/>
      </c>
      <c r="AK228" s="69" t="n">
        <f aca="false">IF(K228="",0,IF(K228="Floating",IF(P228&lt;&gt;"",MIN(IF(Q228&lt;&gt;"",MAX((Strats!$C$10+Strats!$C$11+M228),Q228),(Strats!$C$10+Strats!$C$11+M228)),P228),IF(Q228&lt;&gt;"",MAX((Strats!$C$10+Strats!$C$11+M228),Q228),(Strats!$C$10+Strats!$C$11+M228))),AI228))</f>
        <v>0</v>
      </c>
      <c r="AL228" s="68" t="str">
        <f aca="false">IF(OR(E228="",E228&lt;&gt;'Deal Strat'!$C$12,R228=""),"",SUMPRODUCT((E$4:E$303='Deal Strat'!$C$12)*(R$4:R$303&gt;R228))+1+SUMPRODUCT((E$4:E$303='Deal Strat'!$C$12)*(R$4:R$303=R228)*(ROW(R$4:R$303)&lt;ROW(R228))))</f>
        <v/>
      </c>
      <c r="AM228" s="68" t="str">
        <f aca="false">IF(R228="","",RANK(R228,$R$4:$R$303,0)+COUNTIF($R$4:R228,R228)-1)</f>
        <v/>
      </c>
      <c r="AN228" s="26" t="n">
        <f aca="false">IF(OR($A228="",$R228=""),0,IF(Deal_Scope="All Deals",1,IF($E228=Deal_Scope,1,0)))</f>
        <v>0</v>
      </c>
      <c r="AO228" s="56" t="n">
        <f aca="false">IF($AN228=0,0,Px_Par)</f>
        <v>0</v>
      </c>
      <c r="AP228" s="70" t="n">
        <f aca="false">IF($H228="",0,MAX(0,($H228-Set_Date)/30.4375))</f>
        <v>0</v>
      </c>
      <c r="AQ228" s="26" t="n">
        <f aca="false">IF(AND(Ext_Flag="Yes",$AA228="Yes"),Ext_Months,0)</f>
        <v>0</v>
      </c>
      <c r="AR228" s="70" t="n">
        <f aca="false">$AP228+$AQ228</f>
        <v>0</v>
      </c>
      <c r="AS228" s="70" t="n">
        <f aca="false">$AR228/12</f>
        <v>0</v>
      </c>
      <c r="AT228" s="70" t="n">
        <f aca="false">IF($AJ228="",0,MAX(0,$AJ228/12))</f>
        <v>0</v>
      </c>
      <c r="AU228" s="70" t="n">
        <f aca="false">MAX(Amort_Min,Amort_Term-$AH228/12)</f>
        <v>30</v>
      </c>
      <c r="AV228" s="70" t="n">
        <f aca="false">MIN($AS228,Hold_Yrs)</f>
        <v>0</v>
      </c>
      <c r="AW228" s="26" t="n">
        <f aca="false">IF($AN228=0,0,CEILING(MAX($AS228,0.0001),1))</f>
        <v>0</v>
      </c>
      <c r="AX228" s="26" t="n">
        <f aca="false">IF(AND($AN228=1,MAX($AS228,0.0001)&lt;=Hold_Yrs),1,0)</f>
        <v>0</v>
      </c>
      <c r="AY228" s="71" t="n">
        <f aca="false">$R228*$AO228</f>
        <v>0</v>
      </c>
      <c r="AZ228" s="71" t="n">
        <f aca="false">$R228*Acc_Int*$AN228</f>
        <v>0</v>
      </c>
      <c r="BA228" s="71" t="n">
        <f aca="false">$AY228*Acq_Cost</f>
        <v>0</v>
      </c>
      <c r="BB228" s="71" t="n">
        <f aca="false">$AY228+$AZ228+$BA228</f>
        <v>0</v>
      </c>
      <c r="BC228" s="71" t="n">
        <f aca="false">IF(Fin_Flag="Yes",$AY228*Adv_Rate,0)</f>
        <v>0</v>
      </c>
      <c r="BD228" s="71" t="n">
        <f aca="false">$BC228*Fin_UpFee</f>
        <v>0</v>
      </c>
      <c r="BE228" s="71" t="n">
        <f aca="false">$BB228-$BC228+$BD228</f>
        <v>0</v>
      </c>
    </row>
    <row r="229" customFormat="false" ht="14.25" hidden="false" customHeight="false" outlineLevel="0" collapsed="false">
      <c r="A229" s="61"/>
      <c r="B229" s="62"/>
      <c r="C229" s="61"/>
      <c r="D229" s="61"/>
      <c r="E229" s="61"/>
      <c r="F229" s="63"/>
      <c r="G229" s="64"/>
      <c r="H229" s="64"/>
      <c r="I229" s="63"/>
      <c r="J229" s="63"/>
      <c r="K229" s="61"/>
      <c r="L229" s="65"/>
      <c r="M229" s="65"/>
      <c r="N229" s="61"/>
      <c r="O229" s="64"/>
      <c r="P229" s="65"/>
      <c r="Q229" s="65"/>
      <c r="R229" s="66"/>
      <c r="S229" s="65"/>
      <c r="T229" s="65"/>
      <c r="U229" s="67"/>
      <c r="V229" s="65"/>
      <c r="W229" s="65"/>
      <c r="X229" s="63"/>
      <c r="Y229" s="63"/>
      <c r="Z229" s="61"/>
      <c r="AA229" s="61"/>
      <c r="AB229" s="61"/>
      <c r="AC229" s="61"/>
      <c r="AD229" s="61"/>
      <c r="AE229" s="61"/>
      <c r="AF229" s="61"/>
      <c r="AG229" s="61"/>
      <c r="AH229" s="68" t="n">
        <f aca="false">IF(G229="",0,ROUND((Strats!$C$4-G229)/30.4375,1))</f>
        <v>0</v>
      </c>
      <c r="AI229" s="69" t="n">
        <f aca="false">IF(K229="",0,IF(K229="Floating",Strats!$C$10+M229,L229))</f>
        <v>0</v>
      </c>
      <c r="AJ229" s="68" t="str">
        <f aca="false">IF(OR(Z229="",Z229="Full Amortizing"),"",MAX(J229-AH229,0))</f>
        <v/>
      </c>
      <c r="AK229" s="69" t="n">
        <f aca="false">IF(K229="",0,IF(K229="Floating",IF(P229&lt;&gt;"",MIN(IF(Q229&lt;&gt;"",MAX((Strats!$C$10+Strats!$C$11+M229),Q229),(Strats!$C$10+Strats!$C$11+M229)),P229),IF(Q229&lt;&gt;"",MAX((Strats!$C$10+Strats!$C$11+M229),Q229),(Strats!$C$10+Strats!$C$11+M229))),AI229))</f>
        <v>0</v>
      </c>
      <c r="AL229" s="68" t="str">
        <f aca="false">IF(OR(E229="",E229&lt;&gt;'Deal Strat'!$C$12,R229=""),"",SUMPRODUCT((E$4:E$303='Deal Strat'!$C$12)*(R$4:R$303&gt;R229))+1+SUMPRODUCT((E$4:E$303='Deal Strat'!$C$12)*(R$4:R$303=R229)*(ROW(R$4:R$303)&lt;ROW(R229))))</f>
        <v/>
      </c>
      <c r="AM229" s="68" t="str">
        <f aca="false">IF(R229="","",RANK(R229,$R$4:$R$303,0)+COUNTIF($R$4:R229,R229)-1)</f>
        <v/>
      </c>
      <c r="AN229" s="26" t="n">
        <f aca="false">IF(OR($A229="",$R229=""),0,IF(Deal_Scope="All Deals",1,IF($E229=Deal_Scope,1,0)))</f>
        <v>0</v>
      </c>
      <c r="AO229" s="56" t="n">
        <f aca="false">IF($AN229=0,0,Px_Par)</f>
        <v>0</v>
      </c>
      <c r="AP229" s="70" t="n">
        <f aca="false">IF($H229="",0,MAX(0,($H229-Set_Date)/30.4375))</f>
        <v>0</v>
      </c>
      <c r="AQ229" s="26" t="n">
        <f aca="false">IF(AND(Ext_Flag="Yes",$AA229="Yes"),Ext_Months,0)</f>
        <v>0</v>
      </c>
      <c r="AR229" s="70" t="n">
        <f aca="false">$AP229+$AQ229</f>
        <v>0</v>
      </c>
      <c r="AS229" s="70" t="n">
        <f aca="false">$AR229/12</f>
        <v>0</v>
      </c>
      <c r="AT229" s="70" t="n">
        <f aca="false">IF($AJ229="",0,MAX(0,$AJ229/12))</f>
        <v>0</v>
      </c>
      <c r="AU229" s="70" t="n">
        <f aca="false">MAX(Amort_Min,Amort_Term-$AH229/12)</f>
        <v>30</v>
      </c>
      <c r="AV229" s="70" t="n">
        <f aca="false">MIN($AS229,Hold_Yrs)</f>
        <v>0</v>
      </c>
      <c r="AW229" s="26" t="n">
        <f aca="false">IF($AN229=0,0,CEILING(MAX($AS229,0.0001),1))</f>
        <v>0</v>
      </c>
      <c r="AX229" s="26" t="n">
        <f aca="false">IF(AND($AN229=1,MAX($AS229,0.0001)&lt;=Hold_Yrs),1,0)</f>
        <v>0</v>
      </c>
      <c r="AY229" s="71" t="n">
        <f aca="false">$R229*$AO229</f>
        <v>0</v>
      </c>
      <c r="AZ229" s="71" t="n">
        <f aca="false">$R229*Acc_Int*$AN229</f>
        <v>0</v>
      </c>
      <c r="BA229" s="71" t="n">
        <f aca="false">$AY229*Acq_Cost</f>
        <v>0</v>
      </c>
      <c r="BB229" s="71" t="n">
        <f aca="false">$AY229+$AZ229+$BA229</f>
        <v>0</v>
      </c>
      <c r="BC229" s="71" t="n">
        <f aca="false">IF(Fin_Flag="Yes",$AY229*Adv_Rate,0)</f>
        <v>0</v>
      </c>
      <c r="BD229" s="71" t="n">
        <f aca="false">$BC229*Fin_UpFee</f>
        <v>0</v>
      </c>
      <c r="BE229" s="71" t="n">
        <f aca="false">$BB229-$BC229+$BD229</f>
        <v>0</v>
      </c>
    </row>
    <row r="230" customFormat="false" ht="14.25" hidden="false" customHeight="false" outlineLevel="0" collapsed="false">
      <c r="A230" s="61"/>
      <c r="B230" s="62"/>
      <c r="C230" s="61"/>
      <c r="D230" s="61"/>
      <c r="E230" s="61"/>
      <c r="F230" s="63"/>
      <c r="G230" s="64"/>
      <c r="H230" s="64"/>
      <c r="I230" s="63"/>
      <c r="J230" s="63"/>
      <c r="K230" s="61"/>
      <c r="L230" s="65"/>
      <c r="M230" s="65"/>
      <c r="N230" s="61"/>
      <c r="O230" s="64"/>
      <c r="P230" s="65"/>
      <c r="Q230" s="65"/>
      <c r="R230" s="66"/>
      <c r="S230" s="65"/>
      <c r="T230" s="65"/>
      <c r="U230" s="67"/>
      <c r="V230" s="65"/>
      <c r="W230" s="65"/>
      <c r="X230" s="63"/>
      <c r="Y230" s="63"/>
      <c r="Z230" s="61"/>
      <c r="AA230" s="61"/>
      <c r="AB230" s="61"/>
      <c r="AC230" s="61"/>
      <c r="AD230" s="61"/>
      <c r="AE230" s="61"/>
      <c r="AF230" s="61"/>
      <c r="AG230" s="61"/>
      <c r="AH230" s="68" t="n">
        <f aca="false">IF(G230="",0,ROUND((Strats!$C$4-G230)/30.4375,1))</f>
        <v>0</v>
      </c>
      <c r="AI230" s="69" t="n">
        <f aca="false">IF(K230="",0,IF(K230="Floating",Strats!$C$10+M230,L230))</f>
        <v>0</v>
      </c>
      <c r="AJ230" s="68" t="str">
        <f aca="false">IF(OR(Z230="",Z230="Full Amortizing"),"",MAX(J230-AH230,0))</f>
        <v/>
      </c>
      <c r="AK230" s="69" t="n">
        <f aca="false">IF(K230="",0,IF(K230="Floating",IF(P230&lt;&gt;"",MIN(IF(Q230&lt;&gt;"",MAX((Strats!$C$10+Strats!$C$11+M230),Q230),(Strats!$C$10+Strats!$C$11+M230)),P230),IF(Q230&lt;&gt;"",MAX((Strats!$C$10+Strats!$C$11+M230),Q230),(Strats!$C$10+Strats!$C$11+M230))),AI230))</f>
        <v>0</v>
      </c>
      <c r="AL230" s="68" t="str">
        <f aca="false">IF(OR(E230="",E230&lt;&gt;'Deal Strat'!$C$12,R230=""),"",SUMPRODUCT((E$4:E$303='Deal Strat'!$C$12)*(R$4:R$303&gt;R230))+1+SUMPRODUCT((E$4:E$303='Deal Strat'!$C$12)*(R$4:R$303=R230)*(ROW(R$4:R$303)&lt;ROW(R230))))</f>
        <v/>
      </c>
      <c r="AM230" s="68" t="str">
        <f aca="false">IF(R230="","",RANK(R230,$R$4:$R$303,0)+COUNTIF($R$4:R230,R230)-1)</f>
        <v/>
      </c>
      <c r="AN230" s="26" t="n">
        <f aca="false">IF(OR($A230="",$R230=""),0,IF(Deal_Scope="All Deals",1,IF($E230=Deal_Scope,1,0)))</f>
        <v>0</v>
      </c>
      <c r="AO230" s="56" t="n">
        <f aca="false">IF($AN230=0,0,Px_Par)</f>
        <v>0</v>
      </c>
      <c r="AP230" s="70" t="n">
        <f aca="false">IF($H230="",0,MAX(0,($H230-Set_Date)/30.4375))</f>
        <v>0</v>
      </c>
      <c r="AQ230" s="26" t="n">
        <f aca="false">IF(AND(Ext_Flag="Yes",$AA230="Yes"),Ext_Months,0)</f>
        <v>0</v>
      </c>
      <c r="AR230" s="70" t="n">
        <f aca="false">$AP230+$AQ230</f>
        <v>0</v>
      </c>
      <c r="AS230" s="70" t="n">
        <f aca="false">$AR230/12</f>
        <v>0</v>
      </c>
      <c r="AT230" s="70" t="n">
        <f aca="false">IF($AJ230="",0,MAX(0,$AJ230/12))</f>
        <v>0</v>
      </c>
      <c r="AU230" s="70" t="n">
        <f aca="false">MAX(Amort_Min,Amort_Term-$AH230/12)</f>
        <v>30</v>
      </c>
      <c r="AV230" s="70" t="n">
        <f aca="false">MIN($AS230,Hold_Yrs)</f>
        <v>0</v>
      </c>
      <c r="AW230" s="26" t="n">
        <f aca="false">IF($AN230=0,0,CEILING(MAX($AS230,0.0001),1))</f>
        <v>0</v>
      </c>
      <c r="AX230" s="26" t="n">
        <f aca="false">IF(AND($AN230=1,MAX($AS230,0.0001)&lt;=Hold_Yrs),1,0)</f>
        <v>0</v>
      </c>
      <c r="AY230" s="71" t="n">
        <f aca="false">$R230*$AO230</f>
        <v>0</v>
      </c>
      <c r="AZ230" s="71" t="n">
        <f aca="false">$R230*Acc_Int*$AN230</f>
        <v>0</v>
      </c>
      <c r="BA230" s="71" t="n">
        <f aca="false">$AY230*Acq_Cost</f>
        <v>0</v>
      </c>
      <c r="BB230" s="71" t="n">
        <f aca="false">$AY230+$AZ230+$BA230</f>
        <v>0</v>
      </c>
      <c r="BC230" s="71" t="n">
        <f aca="false">IF(Fin_Flag="Yes",$AY230*Adv_Rate,0)</f>
        <v>0</v>
      </c>
      <c r="BD230" s="71" t="n">
        <f aca="false">$BC230*Fin_UpFee</f>
        <v>0</v>
      </c>
      <c r="BE230" s="71" t="n">
        <f aca="false">$BB230-$BC230+$BD230</f>
        <v>0</v>
      </c>
    </row>
    <row r="231" customFormat="false" ht="14.25" hidden="false" customHeight="false" outlineLevel="0" collapsed="false">
      <c r="A231" s="61"/>
      <c r="B231" s="62"/>
      <c r="C231" s="61"/>
      <c r="D231" s="61"/>
      <c r="E231" s="61"/>
      <c r="F231" s="63"/>
      <c r="G231" s="64"/>
      <c r="H231" s="64"/>
      <c r="I231" s="63"/>
      <c r="J231" s="63"/>
      <c r="K231" s="61"/>
      <c r="L231" s="65"/>
      <c r="M231" s="65"/>
      <c r="N231" s="61"/>
      <c r="O231" s="64"/>
      <c r="P231" s="65"/>
      <c r="Q231" s="65"/>
      <c r="R231" s="66"/>
      <c r="S231" s="65"/>
      <c r="T231" s="65"/>
      <c r="U231" s="67"/>
      <c r="V231" s="65"/>
      <c r="W231" s="65"/>
      <c r="X231" s="63"/>
      <c r="Y231" s="63"/>
      <c r="Z231" s="61"/>
      <c r="AA231" s="61"/>
      <c r="AB231" s="61"/>
      <c r="AC231" s="61"/>
      <c r="AD231" s="61"/>
      <c r="AE231" s="61"/>
      <c r="AF231" s="61"/>
      <c r="AG231" s="61"/>
      <c r="AH231" s="68" t="n">
        <f aca="false">IF(G231="",0,ROUND((Strats!$C$4-G231)/30.4375,1))</f>
        <v>0</v>
      </c>
      <c r="AI231" s="69" t="n">
        <f aca="false">IF(K231="",0,IF(K231="Floating",Strats!$C$10+M231,L231))</f>
        <v>0</v>
      </c>
      <c r="AJ231" s="68" t="str">
        <f aca="false">IF(OR(Z231="",Z231="Full Amortizing"),"",MAX(J231-AH231,0))</f>
        <v/>
      </c>
      <c r="AK231" s="69" t="n">
        <f aca="false">IF(K231="",0,IF(K231="Floating",IF(P231&lt;&gt;"",MIN(IF(Q231&lt;&gt;"",MAX((Strats!$C$10+Strats!$C$11+M231),Q231),(Strats!$C$10+Strats!$C$11+M231)),P231),IF(Q231&lt;&gt;"",MAX((Strats!$C$10+Strats!$C$11+M231),Q231),(Strats!$C$10+Strats!$C$11+M231))),AI231))</f>
        <v>0</v>
      </c>
      <c r="AL231" s="68" t="str">
        <f aca="false">IF(OR(E231="",E231&lt;&gt;'Deal Strat'!$C$12,R231=""),"",SUMPRODUCT((E$4:E$303='Deal Strat'!$C$12)*(R$4:R$303&gt;R231))+1+SUMPRODUCT((E$4:E$303='Deal Strat'!$C$12)*(R$4:R$303=R231)*(ROW(R$4:R$303)&lt;ROW(R231))))</f>
        <v/>
      </c>
      <c r="AM231" s="68" t="str">
        <f aca="false">IF(R231="","",RANK(R231,$R$4:$R$303,0)+COUNTIF($R$4:R231,R231)-1)</f>
        <v/>
      </c>
      <c r="AN231" s="26" t="n">
        <f aca="false">IF(OR($A231="",$R231=""),0,IF(Deal_Scope="All Deals",1,IF($E231=Deal_Scope,1,0)))</f>
        <v>0</v>
      </c>
      <c r="AO231" s="56" t="n">
        <f aca="false">IF($AN231=0,0,Px_Par)</f>
        <v>0</v>
      </c>
      <c r="AP231" s="70" t="n">
        <f aca="false">IF($H231="",0,MAX(0,($H231-Set_Date)/30.4375))</f>
        <v>0</v>
      </c>
      <c r="AQ231" s="26" t="n">
        <f aca="false">IF(AND(Ext_Flag="Yes",$AA231="Yes"),Ext_Months,0)</f>
        <v>0</v>
      </c>
      <c r="AR231" s="70" t="n">
        <f aca="false">$AP231+$AQ231</f>
        <v>0</v>
      </c>
      <c r="AS231" s="70" t="n">
        <f aca="false">$AR231/12</f>
        <v>0</v>
      </c>
      <c r="AT231" s="70" t="n">
        <f aca="false">IF($AJ231="",0,MAX(0,$AJ231/12))</f>
        <v>0</v>
      </c>
      <c r="AU231" s="70" t="n">
        <f aca="false">MAX(Amort_Min,Amort_Term-$AH231/12)</f>
        <v>30</v>
      </c>
      <c r="AV231" s="70" t="n">
        <f aca="false">MIN($AS231,Hold_Yrs)</f>
        <v>0</v>
      </c>
      <c r="AW231" s="26" t="n">
        <f aca="false">IF($AN231=0,0,CEILING(MAX($AS231,0.0001),1))</f>
        <v>0</v>
      </c>
      <c r="AX231" s="26" t="n">
        <f aca="false">IF(AND($AN231=1,MAX($AS231,0.0001)&lt;=Hold_Yrs),1,0)</f>
        <v>0</v>
      </c>
      <c r="AY231" s="71" t="n">
        <f aca="false">$R231*$AO231</f>
        <v>0</v>
      </c>
      <c r="AZ231" s="71" t="n">
        <f aca="false">$R231*Acc_Int*$AN231</f>
        <v>0</v>
      </c>
      <c r="BA231" s="71" t="n">
        <f aca="false">$AY231*Acq_Cost</f>
        <v>0</v>
      </c>
      <c r="BB231" s="71" t="n">
        <f aca="false">$AY231+$AZ231+$BA231</f>
        <v>0</v>
      </c>
      <c r="BC231" s="71" t="n">
        <f aca="false">IF(Fin_Flag="Yes",$AY231*Adv_Rate,0)</f>
        <v>0</v>
      </c>
      <c r="BD231" s="71" t="n">
        <f aca="false">$BC231*Fin_UpFee</f>
        <v>0</v>
      </c>
      <c r="BE231" s="71" t="n">
        <f aca="false">$BB231-$BC231+$BD231</f>
        <v>0</v>
      </c>
    </row>
    <row r="232" customFormat="false" ht="14.25" hidden="false" customHeight="false" outlineLevel="0" collapsed="false">
      <c r="A232" s="61"/>
      <c r="B232" s="62"/>
      <c r="C232" s="61"/>
      <c r="D232" s="61"/>
      <c r="E232" s="61"/>
      <c r="F232" s="63"/>
      <c r="G232" s="64"/>
      <c r="H232" s="64"/>
      <c r="I232" s="63"/>
      <c r="J232" s="63"/>
      <c r="K232" s="61"/>
      <c r="L232" s="65"/>
      <c r="M232" s="65"/>
      <c r="N232" s="61"/>
      <c r="O232" s="64"/>
      <c r="P232" s="65"/>
      <c r="Q232" s="65"/>
      <c r="R232" s="66"/>
      <c r="S232" s="65"/>
      <c r="T232" s="65"/>
      <c r="U232" s="67"/>
      <c r="V232" s="65"/>
      <c r="W232" s="65"/>
      <c r="X232" s="63"/>
      <c r="Y232" s="63"/>
      <c r="Z232" s="61"/>
      <c r="AA232" s="61"/>
      <c r="AB232" s="61"/>
      <c r="AC232" s="61"/>
      <c r="AD232" s="61"/>
      <c r="AE232" s="61"/>
      <c r="AF232" s="61"/>
      <c r="AG232" s="61"/>
      <c r="AH232" s="68" t="n">
        <f aca="false">IF(G232="",0,ROUND((Strats!$C$4-G232)/30.4375,1))</f>
        <v>0</v>
      </c>
      <c r="AI232" s="69" t="n">
        <f aca="false">IF(K232="",0,IF(K232="Floating",Strats!$C$10+M232,L232))</f>
        <v>0</v>
      </c>
      <c r="AJ232" s="68" t="str">
        <f aca="false">IF(OR(Z232="",Z232="Full Amortizing"),"",MAX(J232-AH232,0))</f>
        <v/>
      </c>
      <c r="AK232" s="69" t="n">
        <f aca="false">IF(K232="",0,IF(K232="Floating",IF(P232&lt;&gt;"",MIN(IF(Q232&lt;&gt;"",MAX((Strats!$C$10+Strats!$C$11+M232),Q232),(Strats!$C$10+Strats!$C$11+M232)),P232),IF(Q232&lt;&gt;"",MAX((Strats!$C$10+Strats!$C$11+M232),Q232),(Strats!$C$10+Strats!$C$11+M232))),AI232))</f>
        <v>0</v>
      </c>
      <c r="AL232" s="68" t="str">
        <f aca="false">IF(OR(E232="",E232&lt;&gt;'Deal Strat'!$C$12,R232=""),"",SUMPRODUCT((E$4:E$303='Deal Strat'!$C$12)*(R$4:R$303&gt;R232))+1+SUMPRODUCT((E$4:E$303='Deal Strat'!$C$12)*(R$4:R$303=R232)*(ROW(R$4:R$303)&lt;ROW(R232))))</f>
        <v/>
      </c>
      <c r="AM232" s="68" t="str">
        <f aca="false">IF(R232="","",RANK(R232,$R$4:$R$303,0)+COUNTIF($R$4:R232,R232)-1)</f>
        <v/>
      </c>
      <c r="AN232" s="26" t="n">
        <f aca="false">IF(OR($A232="",$R232=""),0,IF(Deal_Scope="All Deals",1,IF($E232=Deal_Scope,1,0)))</f>
        <v>0</v>
      </c>
      <c r="AO232" s="56" t="n">
        <f aca="false">IF($AN232=0,0,Px_Par)</f>
        <v>0</v>
      </c>
      <c r="AP232" s="70" t="n">
        <f aca="false">IF($H232="",0,MAX(0,($H232-Set_Date)/30.4375))</f>
        <v>0</v>
      </c>
      <c r="AQ232" s="26" t="n">
        <f aca="false">IF(AND(Ext_Flag="Yes",$AA232="Yes"),Ext_Months,0)</f>
        <v>0</v>
      </c>
      <c r="AR232" s="70" t="n">
        <f aca="false">$AP232+$AQ232</f>
        <v>0</v>
      </c>
      <c r="AS232" s="70" t="n">
        <f aca="false">$AR232/12</f>
        <v>0</v>
      </c>
      <c r="AT232" s="70" t="n">
        <f aca="false">IF($AJ232="",0,MAX(0,$AJ232/12))</f>
        <v>0</v>
      </c>
      <c r="AU232" s="70" t="n">
        <f aca="false">MAX(Amort_Min,Amort_Term-$AH232/12)</f>
        <v>30</v>
      </c>
      <c r="AV232" s="70" t="n">
        <f aca="false">MIN($AS232,Hold_Yrs)</f>
        <v>0</v>
      </c>
      <c r="AW232" s="26" t="n">
        <f aca="false">IF($AN232=0,0,CEILING(MAX($AS232,0.0001),1))</f>
        <v>0</v>
      </c>
      <c r="AX232" s="26" t="n">
        <f aca="false">IF(AND($AN232=1,MAX($AS232,0.0001)&lt;=Hold_Yrs),1,0)</f>
        <v>0</v>
      </c>
      <c r="AY232" s="71" t="n">
        <f aca="false">$R232*$AO232</f>
        <v>0</v>
      </c>
      <c r="AZ232" s="71" t="n">
        <f aca="false">$R232*Acc_Int*$AN232</f>
        <v>0</v>
      </c>
      <c r="BA232" s="71" t="n">
        <f aca="false">$AY232*Acq_Cost</f>
        <v>0</v>
      </c>
      <c r="BB232" s="71" t="n">
        <f aca="false">$AY232+$AZ232+$BA232</f>
        <v>0</v>
      </c>
      <c r="BC232" s="71" t="n">
        <f aca="false">IF(Fin_Flag="Yes",$AY232*Adv_Rate,0)</f>
        <v>0</v>
      </c>
      <c r="BD232" s="71" t="n">
        <f aca="false">$BC232*Fin_UpFee</f>
        <v>0</v>
      </c>
      <c r="BE232" s="71" t="n">
        <f aca="false">$BB232-$BC232+$BD232</f>
        <v>0</v>
      </c>
    </row>
    <row r="233" customFormat="false" ht="14.25" hidden="false" customHeight="false" outlineLevel="0" collapsed="false">
      <c r="A233" s="61"/>
      <c r="B233" s="62"/>
      <c r="C233" s="61"/>
      <c r="D233" s="61"/>
      <c r="E233" s="61"/>
      <c r="F233" s="63"/>
      <c r="G233" s="64"/>
      <c r="H233" s="64"/>
      <c r="I233" s="63"/>
      <c r="J233" s="63"/>
      <c r="K233" s="61"/>
      <c r="L233" s="65"/>
      <c r="M233" s="65"/>
      <c r="N233" s="61"/>
      <c r="O233" s="64"/>
      <c r="P233" s="65"/>
      <c r="Q233" s="65"/>
      <c r="R233" s="66"/>
      <c r="S233" s="65"/>
      <c r="T233" s="65"/>
      <c r="U233" s="67"/>
      <c r="V233" s="65"/>
      <c r="W233" s="65"/>
      <c r="X233" s="63"/>
      <c r="Y233" s="63"/>
      <c r="Z233" s="61"/>
      <c r="AA233" s="61"/>
      <c r="AB233" s="61"/>
      <c r="AC233" s="61"/>
      <c r="AD233" s="61"/>
      <c r="AE233" s="61"/>
      <c r="AF233" s="61"/>
      <c r="AG233" s="61"/>
      <c r="AH233" s="68" t="n">
        <f aca="false">IF(G233="",0,ROUND((Strats!$C$4-G233)/30.4375,1))</f>
        <v>0</v>
      </c>
      <c r="AI233" s="69" t="n">
        <f aca="false">IF(K233="",0,IF(K233="Floating",Strats!$C$10+M233,L233))</f>
        <v>0</v>
      </c>
      <c r="AJ233" s="68" t="str">
        <f aca="false">IF(OR(Z233="",Z233="Full Amortizing"),"",MAX(J233-AH233,0))</f>
        <v/>
      </c>
      <c r="AK233" s="69" t="n">
        <f aca="false">IF(K233="",0,IF(K233="Floating",IF(P233&lt;&gt;"",MIN(IF(Q233&lt;&gt;"",MAX((Strats!$C$10+Strats!$C$11+M233),Q233),(Strats!$C$10+Strats!$C$11+M233)),P233),IF(Q233&lt;&gt;"",MAX((Strats!$C$10+Strats!$C$11+M233),Q233),(Strats!$C$10+Strats!$C$11+M233))),AI233))</f>
        <v>0</v>
      </c>
      <c r="AL233" s="68" t="str">
        <f aca="false">IF(OR(E233="",E233&lt;&gt;'Deal Strat'!$C$12,R233=""),"",SUMPRODUCT((E$4:E$303='Deal Strat'!$C$12)*(R$4:R$303&gt;R233))+1+SUMPRODUCT((E$4:E$303='Deal Strat'!$C$12)*(R$4:R$303=R233)*(ROW(R$4:R$303)&lt;ROW(R233))))</f>
        <v/>
      </c>
      <c r="AM233" s="68" t="str">
        <f aca="false">IF(R233="","",RANK(R233,$R$4:$R$303,0)+COUNTIF($R$4:R233,R233)-1)</f>
        <v/>
      </c>
      <c r="AN233" s="26" t="n">
        <f aca="false">IF(OR($A233="",$R233=""),0,IF(Deal_Scope="All Deals",1,IF($E233=Deal_Scope,1,0)))</f>
        <v>0</v>
      </c>
      <c r="AO233" s="56" t="n">
        <f aca="false">IF($AN233=0,0,Px_Par)</f>
        <v>0</v>
      </c>
      <c r="AP233" s="70" t="n">
        <f aca="false">IF($H233="",0,MAX(0,($H233-Set_Date)/30.4375))</f>
        <v>0</v>
      </c>
      <c r="AQ233" s="26" t="n">
        <f aca="false">IF(AND(Ext_Flag="Yes",$AA233="Yes"),Ext_Months,0)</f>
        <v>0</v>
      </c>
      <c r="AR233" s="70" t="n">
        <f aca="false">$AP233+$AQ233</f>
        <v>0</v>
      </c>
      <c r="AS233" s="70" t="n">
        <f aca="false">$AR233/12</f>
        <v>0</v>
      </c>
      <c r="AT233" s="70" t="n">
        <f aca="false">IF($AJ233="",0,MAX(0,$AJ233/12))</f>
        <v>0</v>
      </c>
      <c r="AU233" s="70" t="n">
        <f aca="false">MAX(Amort_Min,Amort_Term-$AH233/12)</f>
        <v>30</v>
      </c>
      <c r="AV233" s="70" t="n">
        <f aca="false">MIN($AS233,Hold_Yrs)</f>
        <v>0</v>
      </c>
      <c r="AW233" s="26" t="n">
        <f aca="false">IF($AN233=0,0,CEILING(MAX($AS233,0.0001),1))</f>
        <v>0</v>
      </c>
      <c r="AX233" s="26" t="n">
        <f aca="false">IF(AND($AN233=1,MAX($AS233,0.0001)&lt;=Hold_Yrs),1,0)</f>
        <v>0</v>
      </c>
      <c r="AY233" s="71" t="n">
        <f aca="false">$R233*$AO233</f>
        <v>0</v>
      </c>
      <c r="AZ233" s="71" t="n">
        <f aca="false">$R233*Acc_Int*$AN233</f>
        <v>0</v>
      </c>
      <c r="BA233" s="71" t="n">
        <f aca="false">$AY233*Acq_Cost</f>
        <v>0</v>
      </c>
      <c r="BB233" s="71" t="n">
        <f aca="false">$AY233+$AZ233+$BA233</f>
        <v>0</v>
      </c>
      <c r="BC233" s="71" t="n">
        <f aca="false">IF(Fin_Flag="Yes",$AY233*Adv_Rate,0)</f>
        <v>0</v>
      </c>
      <c r="BD233" s="71" t="n">
        <f aca="false">$BC233*Fin_UpFee</f>
        <v>0</v>
      </c>
      <c r="BE233" s="71" t="n">
        <f aca="false">$BB233-$BC233+$BD233</f>
        <v>0</v>
      </c>
    </row>
    <row r="234" customFormat="false" ht="14.25" hidden="false" customHeight="false" outlineLevel="0" collapsed="false">
      <c r="A234" s="61"/>
      <c r="B234" s="62"/>
      <c r="C234" s="61"/>
      <c r="D234" s="61"/>
      <c r="E234" s="61"/>
      <c r="F234" s="63"/>
      <c r="G234" s="64"/>
      <c r="H234" s="64"/>
      <c r="I234" s="63"/>
      <c r="J234" s="63"/>
      <c r="K234" s="61"/>
      <c r="L234" s="65"/>
      <c r="M234" s="65"/>
      <c r="N234" s="61"/>
      <c r="O234" s="64"/>
      <c r="P234" s="65"/>
      <c r="Q234" s="65"/>
      <c r="R234" s="66"/>
      <c r="S234" s="65"/>
      <c r="T234" s="65"/>
      <c r="U234" s="67"/>
      <c r="V234" s="65"/>
      <c r="W234" s="65"/>
      <c r="X234" s="63"/>
      <c r="Y234" s="63"/>
      <c r="Z234" s="61"/>
      <c r="AA234" s="61"/>
      <c r="AB234" s="61"/>
      <c r="AC234" s="61"/>
      <c r="AD234" s="61"/>
      <c r="AE234" s="61"/>
      <c r="AF234" s="61"/>
      <c r="AG234" s="61"/>
      <c r="AH234" s="68" t="n">
        <f aca="false">IF(G234="",0,ROUND((Strats!$C$4-G234)/30.4375,1))</f>
        <v>0</v>
      </c>
      <c r="AI234" s="69" t="n">
        <f aca="false">IF(K234="",0,IF(K234="Floating",Strats!$C$10+M234,L234))</f>
        <v>0</v>
      </c>
      <c r="AJ234" s="68" t="str">
        <f aca="false">IF(OR(Z234="",Z234="Full Amortizing"),"",MAX(J234-AH234,0))</f>
        <v/>
      </c>
      <c r="AK234" s="69" t="n">
        <f aca="false">IF(K234="",0,IF(K234="Floating",IF(P234&lt;&gt;"",MIN(IF(Q234&lt;&gt;"",MAX((Strats!$C$10+Strats!$C$11+M234),Q234),(Strats!$C$10+Strats!$C$11+M234)),P234),IF(Q234&lt;&gt;"",MAX((Strats!$C$10+Strats!$C$11+M234),Q234),(Strats!$C$10+Strats!$C$11+M234))),AI234))</f>
        <v>0</v>
      </c>
      <c r="AL234" s="68" t="str">
        <f aca="false">IF(OR(E234="",E234&lt;&gt;'Deal Strat'!$C$12,R234=""),"",SUMPRODUCT((E$4:E$303='Deal Strat'!$C$12)*(R$4:R$303&gt;R234))+1+SUMPRODUCT((E$4:E$303='Deal Strat'!$C$12)*(R$4:R$303=R234)*(ROW(R$4:R$303)&lt;ROW(R234))))</f>
        <v/>
      </c>
      <c r="AM234" s="68" t="str">
        <f aca="false">IF(R234="","",RANK(R234,$R$4:$R$303,0)+COUNTIF($R$4:R234,R234)-1)</f>
        <v/>
      </c>
      <c r="AN234" s="26" t="n">
        <f aca="false">IF(OR($A234="",$R234=""),0,IF(Deal_Scope="All Deals",1,IF($E234=Deal_Scope,1,0)))</f>
        <v>0</v>
      </c>
      <c r="AO234" s="56" t="n">
        <f aca="false">IF($AN234=0,0,Px_Par)</f>
        <v>0</v>
      </c>
      <c r="AP234" s="70" t="n">
        <f aca="false">IF($H234="",0,MAX(0,($H234-Set_Date)/30.4375))</f>
        <v>0</v>
      </c>
      <c r="AQ234" s="26" t="n">
        <f aca="false">IF(AND(Ext_Flag="Yes",$AA234="Yes"),Ext_Months,0)</f>
        <v>0</v>
      </c>
      <c r="AR234" s="70" t="n">
        <f aca="false">$AP234+$AQ234</f>
        <v>0</v>
      </c>
      <c r="AS234" s="70" t="n">
        <f aca="false">$AR234/12</f>
        <v>0</v>
      </c>
      <c r="AT234" s="70" t="n">
        <f aca="false">IF($AJ234="",0,MAX(0,$AJ234/12))</f>
        <v>0</v>
      </c>
      <c r="AU234" s="70" t="n">
        <f aca="false">MAX(Amort_Min,Amort_Term-$AH234/12)</f>
        <v>30</v>
      </c>
      <c r="AV234" s="70" t="n">
        <f aca="false">MIN($AS234,Hold_Yrs)</f>
        <v>0</v>
      </c>
      <c r="AW234" s="26" t="n">
        <f aca="false">IF($AN234=0,0,CEILING(MAX($AS234,0.0001),1))</f>
        <v>0</v>
      </c>
      <c r="AX234" s="26" t="n">
        <f aca="false">IF(AND($AN234=1,MAX($AS234,0.0001)&lt;=Hold_Yrs),1,0)</f>
        <v>0</v>
      </c>
      <c r="AY234" s="71" t="n">
        <f aca="false">$R234*$AO234</f>
        <v>0</v>
      </c>
      <c r="AZ234" s="71" t="n">
        <f aca="false">$R234*Acc_Int*$AN234</f>
        <v>0</v>
      </c>
      <c r="BA234" s="71" t="n">
        <f aca="false">$AY234*Acq_Cost</f>
        <v>0</v>
      </c>
      <c r="BB234" s="71" t="n">
        <f aca="false">$AY234+$AZ234+$BA234</f>
        <v>0</v>
      </c>
      <c r="BC234" s="71" t="n">
        <f aca="false">IF(Fin_Flag="Yes",$AY234*Adv_Rate,0)</f>
        <v>0</v>
      </c>
      <c r="BD234" s="71" t="n">
        <f aca="false">$BC234*Fin_UpFee</f>
        <v>0</v>
      </c>
      <c r="BE234" s="71" t="n">
        <f aca="false">$BB234-$BC234+$BD234</f>
        <v>0</v>
      </c>
    </row>
    <row r="235" customFormat="false" ht="14.25" hidden="false" customHeight="false" outlineLevel="0" collapsed="false">
      <c r="A235" s="61"/>
      <c r="B235" s="62"/>
      <c r="C235" s="61"/>
      <c r="D235" s="61"/>
      <c r="E235" s="61"/>
      <c r="F235" s="63"/>
      <c r="G235" s="64"/>
      <c r="H235" s="64"/>
      <c r="I235" s="63"/>
      <c r="J235" s="63"/>
      <c r="K235" s="61"/>
      <c r="L235" s="65"/>
      <c r="M235" s="65"/>
      <c r="N235" s="61"/>
      <c r="O235" s="64"/>
      <c r="P235" s="65"/>
      <c r="Q235" s="65"/>
      <c r="R235" s="66"/>
      <c r="S235" s="65"/>
      <c r="T235" s="65"/>
      <c r="U235" s="67"/>
      <c r="V235" s="65"/>
      <c r="W235" s="65"/>
      <c r="X235" s="63"/>
      <c r="Y235" s="63"/>
      <c r="Z235" s="61"/>
      <c r="AA235" s="61"/>
      <c r="AB235" s="61"/>
      <c r="AC235" s="61"/>
      <c r="AD235" s="61"/>
      <c r="AE235" s="61"/>
      <c r="AF235" s="61"/>
      <c r="AG235" s="61"/>
      <c r="AH235" s="68" t="n">
        <f aca="false">IF(G235="",0,ROUND((Strats!$C$4-G235)/30.4375,1))</f>
        <v>0</v>
      </c>
      <c r="AI235" s="69" t="n">
        <f aca="false">IF(K235="",0,IF(K235="Floating",Strats!$C$10+M235,L235))</f>
        <v>0</v>
      </c>
      <c r="AJ235" s="68" t="str">
        <f aca="false">IF(OR(Z235="",Z235="Full Amortizing"),"",MAX(J235-AH235,0))</f>
        <v/>
      </c>
      <c r="AK235" s="69" t="n">
        <f aca="false">IF(K235="",0,IF(K235="Floating",IF(P235&lt;&gt;"",MIN(IF(Q235&lt;&gt;"",MAX((Strats!$C$10+Strats!$C$11+M235),Q235),(Strats!$C$10+Strats!$C$11+M235)),P235),IF(Q235&lt;&gt;"",MAX((Strats!$C$10+Strats!$C$11+M235),Q235),(Strats!$C$10+Strats!$C$11+M235))),AI235))</f>
        <v>0</v>
      </c>
      <c r="AL235" s="68" t="str">
        <f aca="false">IF(OR(E235="",E235&lt;&gt;'Deal Strat'!$C$12,R235=""),"",SUMPRODUCT((E$4:E$303='Deal Strat'!$C$12)*(R$4:R$303&gt;R235))+1+SUMPRODUCT((E$4:E$303='Deal Strat'!$C$12)*(R$4:R$303=R235)*(ROW(R$4:R$303)&lt;ROW(R235))))</f>
        <v/>
      </c>
      <c r="AM235" s="68" t="str">
        <f aca="false">IF(R235="","",RANK(R235,$R$4:$R$303,0)+COUNTIF($R$4:R235,R235)-1)</f>
        <v/>
      </c>
      <c r="AN235" s="26" t="n">
        <f aca="false">IF(OR($A235="",$R235=""),0,IF(Deal_Scope="All Deals",1,IF($E235=Deal_Scope,1,0)))</f>
        <v>0</v>
      </c>
      <c r="AO235" s="56" t="n">
        <f aca="false">IF($AN235=0,0,Px_Par)</f>
        <v>0</v>
      </c>
      <c r="AP235" s="70" t="n">
        <f aca="false">IF($H235="",0,MAX(0,($H235-Set_Date)/30.4375))</f>
        <v>0</v>
      </c>
      <c r="AQ235" s="26" t="n">
        <f aca="false">IF(AND(Ext_Flag="Yes",$AA235="Yes"),Ext_Months,0)</f>
        <v>0</v>
      </c>
      <c r="AR235" s="70" t="n">
        <f aca="false">$AP235+$AQ235</f>
        <v>0</v>
      </c>
      <c r="AS235" s="70" t="n">
        <f aca="false">$AR235/12</f>
        <v>0</v>
      </c>
      <c r="AT235" s="70" t="n">
        <f aca="false">IF($AJ235="",0,MAX(0,$AJ235/12))</f>
        <v>0</v>
      </c>
      <c r="AU235" s="70" t="n">
        <f aca="false">MAX(Amort_Min,Amort_Term-$AH235/12)</f>
        <v>30</v>
      </c>
      <c r="AV235" s="70" t="n">
        <f aca="false">MIN($AS235,Hold_Yrs)</f>
        <v>0</v>
      </c>
      <c r="AW235" s="26" t="n">
        <f aca="false">IF($AN235=0,0,CEILING(MAX($AS235,0.0001),1))</f>
        <v>0</v>
      </c>
      <c r="AX235" s="26" t="n">
        <f aca="false">IF(AND($AN235=1,MAX($AS235,0.0001)&lt;=Hold_Yrs),1,0)</f>
        <v>0</v>
      </c>
      <c r="AY235" s="71" t="n">
        <f aca="false">$R235*$AO235</f>
        <v>0</v>
      </c>
      <c r="AZ235" s="71" t="n">
        <f aca="false">$R235*Acc_Int*$AN235</f>
        <v>0</v>
      </c>
      <c r="BA235" s="71" t="n">
        <f aca="false">$AY235*Acq_Cost</f>
        <v>0</v>
      </c>
      <c r="BB235" s="71" t="n">
        <f aca="false">$AY235+$AZ235+$BA235</f>
        <v>0</v>
      </c>
      <c r="BC235" s="71" t="n">
        <f aca="false">IF(Fin_Flag="Yes",$AY235*Adv_Rate,0)</f>
        <v>0</v>
      </c>
      <c r="BD235" s="71" t="n">
        <f aca="false">$BC235*Fin_UpFee</f>
        <v>0</v>
      </c>
      <c r="BE235" s="71" t="n">
        <f aca="false">$BB235-$BC235+$BD235</f>
        <v>0</v>
      </c>
    </row>
    <row r="236" customFormat="false" ht="14.25" hidden="false" customHeight="false" outlineLevel="0" collapsed="false">
      <c r="A236" s="61"/>
      <c r="B236" s="62"/>
      <c r="C236" s="61"/>
      <c r="D236" s="61"/>
      <c r="E236" s="61"/>
      <c r="F236" s="63"/>
      <c r="G236" s="64"/>
      <c r="H236" s="64"/>
      <c r="I236" s="63"/>
      <c r="J236" s="63"/>
      <c r="K236" s="61"/>
      <c r="L236" s="65"/>
      <c r="M236" s="65"/>
      <c r="N236" s="61"/>
      <c r="O236" s="64"/>
      <c r="P236" s="65"/>
      <c r="Q236" s="65"/>
      <c r="R236" s="66"/>
      <c r="S236" s="65"/>
      <c r="T236" s="65"/>
      <c r="U236" s="67"/>
      <c r="V236" s="65"/>
      <c r="W236" s="65"/>
      <c r="X236" s="63"/>
      <c r="Y236" s="63"/>
      <c r="Z236" s="61"/>
      <c r="AA236" s="61"/>
      <c r="AB236" s="61"/>
      <c r="AC236" s="61"/>
      <c r="AD236" s="61"/>
      <c r="AE236" s="61"/>
      <c r="AF236" s="61"/>
      <c r="AG236" s="61"/>
      <c r="AH236" s="68" t="n">
        <f aca="false">IF(G236="",0,ROUND((Strats!$C$4-G236)/30.4375,1))</f>
        <v>0</v>
      </c>
      <c r="AI236" s="69" t="n">
        <f aca="false">IF(K236="",0,IF(K236="Floating",Strats!$C$10+M236,L236))</f>
        <v>0</v>
      </c>
      <c r="AJ236" s="68" t="str">
        <f aca="false">IF(OR(Z236="",Z236="Full Amortizing"),"",MAX(J236-AH236,0))</f>
        <v/>
      </c>
      <c r="AK236" s="69" t="n">
        <f aca="false">IF(K236="",0,IF(K236="Floating",IF(P236&lt;&gt;"",MIN(IF(Q236&lt;&gt;"",MAX((Strats!$C$10+Strats!$C$11+M236),Q236),(Strats!$C$10+Strats!$C$11+M236)),P236),IF(Q236&lt;&gt;"",MAX((Strats!$C$10+Strats!$C$11+M236),Q236),(Strats!$C$10+Strats!$C$11+M236))),AI236))</f>
        <v>0</v>
      </c>
      <c r="AL236" s="68" t="str">
        <f aca="false">IF(OR(E236="",E236&lt;&gt;'Deal Strat'!$C$12,R236=""),"",SUMPRODUCT((E$4:E$303='Deal Strat'!$C$12)*(R$4:R$303&gt;R236))+1+SUMPRODUCT((E$4:E$303='Deal Strat'!$C$12)*(R$4:R$303=R236)*(ROW(R$4:R$303)&lt;ROW(R236))))</f>
        <v/>
      </c>
      <c r="AM236" s="68" t="str">
        <f aca="false">IF(R236="","",RANK(R236,$R$4:$R$303,0)+COUNTIF($R$4:R236,R236)-1)</f>
        <v/>
      </c>
      <c r="AN236" s="26" t="n">
        <f aca="false">IF(OR($A236="",$R236=""),0,IF(Deal_Scope="All Deals",1,IF($E236=Deal_Scope,1,0)))</f>
        <v>0</v>
      </c>
      <c r="AO236" s="56" t="n">
        <f aca="false">IF($AN236=0,0,Px_Par)</f>
        <v>0</v>
      </c>
      <c r="AP236" s="70" t="n">
        <f aca="false">IF($H236="",0,MAX(0,($H236-Set_Date)/30.4375))</f>
        <v>0</v>
      </c>
      <c r="AQ236" s="26" t="n">
        <f aca="false">IF(AND(Ext_Flag="Yes",$AA236="Yes"),Ext_Months,0)</f>
        <v>0</v>
      </c>
      <c r="AR236" s="70" t="n">
        <f aca="false">$AP236+$AQ236</f>
        <v>0</v>
      </c>
      <c r="AS236" s="70" t="n">
        <f aca="false">$AR236/12</f>
        <v>0</v>
      </c>
      <c r="AT236" s="70" t="n">
        <f aca="false">IF($AJ236="",0,MAX(0,$AJ236/12))</f>
        <v>0</v>
      </c>
      <c r="AU236" s="70" t="n">
        <f aca="false">MAX(Amort_Min,Amort_Term-$AH236/12)</f>
        <v>30</v>
      </c>
      <c r="AV236" s="70" t="n">
        <f aca="false">MIN($AS236,Hold_Yrs)</f>
        <v>0</v>
      </c>
      <c r="AW236" s="26" t="n">
        <f aca="false">IF($AN236=0,0,CEILING(MAX($AS236,0.0001),1))</f>
        <v>0</v>
      </c>
      <c r="AX236" s="26" t="n">
        <f aca="false">IF(AND($AN236=1,MAX($AS236,0.0001)&lt;=Hold_Yrs),1,0)</f>
        <v>0</v>
      </c>
      <c r="AY236" s="71" t="n">
        <f aca="false">$R236*$AO236</f>
        <v>0</v>
      </c>
      <c r="AZ236" s="71" t="n">
        <f aca="false">$R236*Acc_Int*$AN236</f>
        <v>0</v>
      </c>
      <c r="BA236" s="71" t="n">
        <f aca="false">$AY236*Acq_Cost</f>
        <v>0</v>
      </c>
      <c r="BB236" s="71" t="n">
        <f aca="false">$AY236+$AZ236+$BA236</f>
        <v>0</v>
      </c>
      <c r="BC236" s="71" t="n">
        <f aca="false">IF(Fin_Flag="Yes",$AY236*Adv_Rate,0)</f>
        <v>0</v>
      </c>
      <c r="BD236" s="71" t="n">
        <f aca="false">$BC236*Fin_UpFee</f>
        <v>0</v>
      </c>
      <c r="BE236" s="71" t="n">
        <f aca="false">$BB236-$BC236+$BD236</f>
        <v>0</v>
      </c>
    </row>
    <row r="237" customFormat="false" ht="14.25" hidden="false" customHeight="false" outlineLevel="0" collapsed="false">
      <c r="A237" s="61"/>
      <c r="B237" s="62"/>
      <c r="C237" s="61"/>
      <c r="D237" s="61"/>
      <c r="E237" s="61"/>
      <c r="F237" s="63"/>
      <c r="G237" s="64"/>
      <c r="H237" s="64"/>
      <c r="I237" s="63"/>
      <c r="J237" s="63"/>
      <c r="K237" s="61"/>
      <c r="L237" s="65"/>
      <c r="M237" s="65"/>
      <c r="N237" s="61"/>
      <c r="O237" s="64"/>
      <c r="P237" s="65"/>
      <c r="Q237" s="65"/>
      <c r="R237" s="66"/>
      <c r="S237" s="65"/>
      <c r="T237" s="65"/>
      <c r="U237" s="67"/>
      <c r="V237" s="65"/>
      <c r="W237" s="65"/>
      <c r="X237" s="63"/>
      <c r="Y237" s="63"/>
      <c r="Z237" s="61"/>
      <c r="AA237" s="61"/>
      <c r="AB237" s="61"/>
      <c r="AC237" s="61"/>
      <c r="AD237" s="61"/>
      <c r="AE237" s="61"/>
      <c r="AF237" s="61"/>
      <c r="AG237" s="61"/>
      <c r="AH237" s="68" t="n">
        <f aca="false">IF(G237="",0,ROUND((Strats!$C$4-G237)/30.4375,1))</f>
        <v>0</v>
      </c>
      <c r="AI237" s="69" t="n">
        <f aca="false">IF(K237="",0,IF(K237="Floating",Strats!$C$10+M237,L237))</f>
        <v>0</v>
      </c>
      <c r="AJ237" s="68" t="str">
        <f aca="false">IF(OR(Z237="",Z237="Full Amortizing"),"",MAX(J237-AH237,0))</f>
        <v/>
      </c>
      <c r="AK237" s="69" t="n">
        <f aca="false">IF(K237="",0,IF(K237="Floating",IF(P237&lt;&gt;"",MIN(IF(Q237&lt;&gt;"",MAX((Strats!$C$10+Strats!$C$11+M237),Q237),(Strats!$C$10+Strats!$C$11+M237)),P237),IF(Q237&lt;&gt;"",MAX((Strats!$C$10+Strats!$C$11+M237),Q237),(Strats!$C$10+Strats!$C$11+M237))),AI237))</f>
        <v>0</v>
      </c>
      <c r="AL237" s="68" t="str">
        <f aca="false">IF(OR(E237="",E237&lt;&gt;'Deal Strat'!$C$12,R237=""),"",SUMPRODUCT((E$4:E$303='Deal Strat'!$C$12)*(R$4:R$303&gt;R237))+1+SUMPRODUCT((E$4:E$303='Deal Strat'!$C$12)*(R$4:R$303=R237)*(ROW(R$4:R$303)&lt;ROW(R237))))</f>
        <v/>
      </c>
      <c r="AM237" s="68" t="str">
        <f aca="false">IF(R237="","",RANK(R237,$R$4:$R$303,0)+COUNTIF($R$4:R237,R237)-1)</f>
        <v/>
      </c>
      <c r="AN237" s="26" t="n">
        <f aca="false">IF(OR($A237="",$R237=""),0,IF(Deal_Scope="All Deals",1,IF($E237=Deal_Scope,1,0)))</f>
        <v>0</v>
      </c>
      <c r="AO237" s="56" t="n">
        <f aca="false">IF($AN237=0,0,Px_Par)</f>
        <v>0</v>
      </c>
      <c r="AP237" s="70" t="n">
        <f aca="false">IF($H237="",0,MAX(0,($H237-Set_Date)/30.4375))</f>
        <v>0</v>
      </c>
      <c r="AQ237" s="26" t="n">
        <f aca="false">IF(AND(Ext_Flag="Yes",$AA237="Yes"),Ext_Months,0)</f>
        <v>0</v>
      </c>
      <c r="AR237" s="70" t="n">
        <f aca="false">$AP237+$AQ237</f>
        <v>0</v>
      </c>
      <c r="AS237" s="70" t="n">
        <f aca="false">$AR237/12</f>
        <v>0</v>
      </c>
      <c r="AT237" s="70" t="n">
        <f aca="false">IF($AJ237="",0,MAX(0,$AJ237/12))</f>
        <v>0</v>
      </c>
      <c r="AU237" s="70" t="n">
        <f aca="false">MAX(Amort_Min,Amort_Term-$AH237/12)</f>
        <v>30</v>
      </c>
      <c r="AV237" s="70" t="n">
        <f aca="false">MIN($AS237,Hold_Yrs)</f>
        <v>0</v>
      </c>
      <c r="AW237" s="26" t="n">
        <f aca="false">IF($AN237=0,0,CEILING(MAX($AS237,0.0001),1))</f>
        <v>0</v>
      </c>
      <c r="AX237" s="26" t="n">
        <f aca="false">IF(AND($AN237=1,MAX($AS237,0.0001)&lt;=Hold_Yrs),1,0)</f>
        <v>0</v>
      </c>
      <c r="AY237" s="71" t="n">
        <f aca="false">$R237*$AO237</f>
        <v>0</v>
      </c>
      <c r="AZ237" s="71" t="n">
        <f aca="false">$R237*Acc_Int*$AN237</f>
        <v>0</v>
      </c>
      <c r="BA237" s="71" t="n">
        <f aca="false">$AY237*Acq_Cost</f>
        <v>0</v>
      </c>
      <c r="BB237" s="71" t="n">
        <f aca="false">$AY237+$AZ237+$BA237</f>
        <v>0</v>
      </c>
      <c r="BC237" s="71" t="n">
        <f aca="false">IF(Fin_Flag="Yes",$AY237*Adv_Rate,0)</f>
        <v>0</v>
      </c>
      <c r="BD237" s="71" t="n">
        <f aca="false">$BC237*Fin_UpFee</f>
        <v>0</v>
      </c>
      <c r="BE237" s="71" t="n">
        <f aca="false">$BB237-$BC237+$BD237</f>
        <v>0</v>
      </c>
    </row>
    <row r="238" customFormat="false" ht="14.25" hidden="false" customHeight="false" outlineLevel="0" collapsed="false">
      <c r="A238" s="61"/>
      <c r="B238" s="62"/>
      <c r="C238" s="61"/>
      <c r="D238" s="61"/>
      <c r="E238" s="61"/>
      <c r="F238" s="63"/>
      <c r="G238" s="64"/>
      <c r="H238" s="64"/>
      <c r="I238" s="63"/>
      <c r="J238" s="63"/>
      <c r="K238" s="61"/>
      <c r="L238" s="65"/>
      <c r="M238" s="65"/>
      <c r="N238" s="61"/>
      <c r="O238" s="64"/>
      <c r="P238" s="65"/>
      <c r="Q238" s="65"/>
      <c r="R238" s="66"/>
      <c r="S238" s="65"/>
      <c r="T238" s="65"/>
      <c r="U238" s="67"/>
      <c r="V238" s="65"/>
      <c r="W238" s="65"/>
      <c r="X238" s="63"/>
      <c r="Y238" s="63"/>
      <c r="Z238" s="61"/>
      <c r="AA238" s="61"/>
      <c r="AB238" s="61"/>
      <c r="AC238" s="61"/>
      <c r="AD238" s="61"/>
      <c r="AE238" s="61"/>
      <c r="AF238" s="61"/>
      <c r="AG238" s="61"/>
      <c r="AH238" s="68" t="n">
        <f aca="false">IF(G238="",0,ROUND((Strats!$C$4-G238)/30.4375,1))</f>
        <v>0</v>
      </c>
      <c r="AI238" s="69" t="n">
        <f aca="false">IF(K238="",0,IF(K238="Floating",Strats!$C$10+M238,L238))</f>
        <v>0</v>
      </c>
      <c r="AJ238" s="68" t="str">
        <f aca="false">IF(OR(Z238="",Z238="Full Amortizing"),"",MAX(J238-AH238,0))</f>
        <v/>
      </c>
      <c r="AK238" s="69" t="n">
        <f aca="false">IF(K238="",0,IF(K238="Floating",IF(P238&lt;&gt;"",MIN(IF(Q238&lt;&gt;"",MAX((Strats!$C$10+Strats!$C$11+M238),Q238),(Strats!$C$10+Strats!$C$11+M238)),P238),IF(Q238&lt;&gt;"",MAX((Strats!$C$10+Strats!$C$11+M238),Q238),(Strats!$C$10+Strats!$C$11+M238))),AI238))</f>
        <v>0</v>
      </c>
      <c r="AL238" s="68" t="str">
        <f aca="false">IF(OR(E238="",E238&lt;&gt;'Deal Strat'!$C$12,R238=""),"",SUMPRODUCT((E$4:E$303='Deal Strat'!$C$12)*(R$4:R$303&gt;R238))+1+SUMPRODUCT((E$4:E$303='Deal Strat'!$C$12)*(R$4:R$303=R238)*(ROW(R$4:R$303)&lt;ROW(R238))))</f>
        <v/>
      </c>
      <c r="AM238" s="68" t="str">
        <f aca="false">IF(R238="","",RANK(R238,$R$4:$R$303,0)+COUNTIF($R$4:R238,R238)-1)</f>
        <v/>
      </c>
      <c r="AN238" s="26" t="n">
        <f aca="false">IF(OR($A238="",$R238=""),0,IF(Deal_Scope="All Deals",1,IF($E238=Deal_Scope,1,0)))</f>
        <v>0</v>
      </c>
      <c r="AO238" s="56" t="n">
        <f aca="false">IF($AN238=0,0,Px_Par)</f>
        <v>0</v>
      </c>
      <c r="AP238" s="70" t="n">
        <f aca="false">IF($H238="",0,MAX(0,($H238-Set_Date)/30.4375))</f>
        <v>0</v>
      </c>
      <c r="AQ238" s="26" t="n">
        <f aca="false">IF(AND(Ext_Flag="Yes",$AA238="Yes"),Ext_Months,0)</f>
        <v>0</v>
      </c>
      <c r="AR238" s="70" t="n">
        <f aca="false">$AP238+$AQ238</f>
        <v>0</v>
      </c>
      <c r="AS238" s="70" t="n">
        <f aca="false">$AR238/12</f>
        <v>0</v>
      </c>
      <c r="AT238" s="70" t="n">
        <f aca="false">IF($AJ238="",0,MAX(0,$AJ238/12))</f>
        <v>0</v>
      </c>
      <c r="AU238" s="70" t="n">
        <f aca="false">MAX(Amort_Min,Amort_Term-$AH238/12)</f>
        <v>30</v>
      </c>
      <c r="AV238" s="70" t="n">
        <f aca="false">MIN($AS238,Hold_Yrs)</f>
        <v>0</v>
      </c>
      <c r="AW238" s="26" t="n">
        <f aca="false">IF($AN238=0,0,CEILING(MAX($AS238,0.0001),1))</f>
        <v>0</v>
      </c>
      <c r="AX238" s="26" t="n">
        <f aca="false">IF(AND($AN238=1,MAX($AS238,0.0001)&lt;=Hold_Yrs),1,0)</f>
        <v>0</v>
      </c>
      <c r="AY238" s="71" t="n">
        <f aca="false">$R238*$AO238</f>
        <v>0</v>
      </c>
      <c r="AZ238" s="71" t="n">
        <f aca="false">$R238*Acc_Int*$AN238</f>
        <v>0</v>
      </c>
      <c r="BA238" s="71" t="n">
        <f aca="false">$AY238*Acq_Cost</f>
        <v>0</v>
      </c>
      <c r="BB238" s="71" t="n">
        <f aca="false">$AY238+$AZ238+$BA238</f>
        <v>0</v>
      </c>
      <c r="BC238" s="71" t="n">
        <f aca="false">IF(Fin_Flag="Yes",$AY238*Adv_Rate,0)</f>
        <v>0</v>
      </c>
      <c r="BD238" s="71" t="n">
        <f aca="false">$BC238*Fin_UpFee</f>
        <v>0</v>
      </c>
      <c r="BE238" s="71" t="n">
        <f aca="false">$BB238-$BC238+$BD238</f>
        <v>0</v>
      </c>
    </row>
    <row r="239" customFormat="false" ht="14.25" hidden="false" customHeight="false" outlineLevel="0" collapsed="false">
      <c r="A239" s="61"/>
      <c r="B239" s="62"/>
      <c r="C239" s="61"/>
      <c r="D239" s="61"/>
      <c r="E239" s="61"/>
      <c r="F239" s="63"/>
      <c r="G239" s="64"/>
      <c r="H239" s="64"/>
      <c r="I239" s="63"/>
      <c r="J239" s="63"/>
      <c r="K239" s="61"/>
      <c r="L239" s="65"/>
      <c r="M239" s="65"/>
      <c r="N239" s="61"/>
      <c r="O239" s="64"/>
      <c r="P239" s="65"/>
      <c r="Q239" s="65"/>
      <c r="R239" s="66"/>
      <c r="S239" s="65"/>
      <c r="T239" s="65"/>
      <c r="U239" s="67"/>
      <c r="V239" s="65"/>
      <c r="W239" s="65"/>
      <c r="X239" s="63"/>
      <c r="Y239" s="63"/>
      <c r="Z239" s="61"/>
      <c r="AA239" s="61"/>
      <c r="AB239" s="61"/>
      <c r="AC239" s="61"/>
      <c r="AD239" s="61"/>
      <c r="AE239" s="61"/>
      <c r="AF239" s="61"/>
      <c r="AG239" s="61"/>
      <c r="AH239" s="68" t="n">
        <f aca="false">IF(G239="",0,ROUND((Strats!$C$4-G239)/30.4375,1))</f>
        <v>0</v>
      </c>
      <c r="AI239" s="69" t="n">
        <f aca="false">IF(K239="",0,IF(K239="Floating",Strats!$C$10+M239,L239))</f>
        <v>0</v>
      </c>
      <c r="AJ239" s="68" t="str">
        <f aca="false">IF(OR(Z239="",Z239="Full Amortizing"),"",MAX(J239-AH239,0))</f>
        <v/>
      </c>
      <c r="AK239" s="69" t="n">
        <f aca="false">IF(K239="",0,IF(K239="Floating",IF(P239&lt;&gt;"",MIN(IF(Q239&lt;&gt;"",MAX((Strats!$C$10+Strats!$C$11+M239),Q239),(Strats!$C$10+Strats!$C$11+M239)),P239),IF(Q239&lt;&gt;"",MAX((Strats!$C$10+Strats!$C$11+M239),Q239),(Strats!$C$10+Strats!$C$11+M239))),AI239))</f>
        <v>0</v>
      </c>
      <c r="AL239" s="68" t="str">
        <f aca="false">IF(OR(E239="",E239&lt;&gt;'Deal Strat'!$C$12,R239=""),"",SUMPRODUCT((E$4:E$303='Deal Strat'!$C$12)*(R$4:R$303&gt;R239))+1+SUMPRODUCT((E$4:E$303='Deal Strat'!$C$12)*(R$4:R$303=R239)*(ROW(R$4:R$303)&lt;ROW(R239))))</f>
        <v/>
      </c>
      <c r="AM239" s="68" t="str">
        <f aca="false">IF(R239="","",RANK(R239,$R$4:$R$303,0)+COUNTIF($R$4:R239,R239)-1)</f>
        <v/>
      </c>
      <c r="AN239" s="26" t="n">
        <f aca="false">IF(OR($A239="",$R239=""),0,IF(Deal_Scope="All Deals",1,IF($E239=Deal_Scope,1,0)))</f>
        <v>0</v>
      </c>
      <c r="AO239" s="56" t="n">
        <f aca="false">IF($AN239=0,0,Px_Par)</f>
        <v>0</v>
      </c>
      <c r="AP239" s="70" t="n">
        <f aca="false">IF($H239="",0,MAX(0,($H239-Set_Date)/30.4375))</f>
        <v>0</v>
      </c>
      <c r="AQ239" s="26" t="n">
        <f aca="false">IF(AND(Ext_Flag="Yes",$AA239="Yes"),Ext_Months,0)</f>
        <v>0</v>
      </c>
      <c r="AR239" s="70" t="n">
        <f aca="false">$AP239+$AQ239</f>
        <v>0</v>
      </c>
      <c r="AS239" s="70" t="n">
        <f aca="false">$AR239/12</f>
        <v>0</v>
      </c>
      <c r="AT239" s="70" t="n">
        <f aca="false">IF($AJ239="",0,MAX(0,$AJ239/12))</f>
        <v>0</v>
      </c>
      <c r="AU239" s="70" t="n">
        <f aca="false">MAX(Amort_Min,Amort_Term-$AH239/12)</f>
        <v>30</v>
      </c>
      <c r="AV239" s="70" t="n">
        <f aca="false">MIN($AS239,Hold_Yrs)</f>
        <v>0</v>
      </c>
      <c r="AW239" s="26" t="n">
        <f aca="false">IF($AN239=0,0,CEILING(MAX($AS239,0.0001),1))</f>
        <v>0</v>
      </c>
      <c r="AX239" s="26" t="n">
        <f aca="false">IF(AND($AN239=1,MAX($AS239,0.0001)&lt;=Hold_Yrs),1,0)</f>
        <v>0</v>
      </c>
      <c r="AY239" s="71" t="n">
        <f aca="false">$R239*$AO239</f>
        <v>0</v>
      </c>
      <c r="AZ239" s="71" t="n">
        <f aca="false">$R239*Acc_Int*$AN239</f>
        <v>0</v>
      </c>
      <c r="BA239" s="71" t="n">
        <f aca="false">$AY239*Acq_Cost</f>
        <v>0</v>
      </c>
      <c r="BB239" s="71" t="n">
        <f aca="false">$AY239+$AZ239+$BA239</f>
        <v>0</v>
      </c>
      <c r="BC239" s="71" t="n">
        <f aca="false">IF(Fin_Flag="Yes",$AY239*Adv_Rate,0)</f>
        <v>0</v>
      </c>
      <c r="BD239" s="71" t="n">
        <f aca="false">$BC239*Fin_UpFee</f>
        <v>0</v>
      </c>
      <c r="BE239" s="71" t="n">
        <f aca="false">$BB239-$BC239+$BD239</f>
        <v>0</v>
      </c>
    </row>
    <row r="240" customFormat="false" ht="14.25" hidden="false" customHeight="false" outlineLevel="0" collapsed="false">
      <c r="A240" s="61"/>
      <c r="B240" s="62"/>
      <c r="C240" s="61"/>
      <c r="D240" s="61"/>
      <c r="E240" s="61"/>
      <c r="F240" s="63"/>
      <c r="G240" s="64"/>
      <c r="H240" s="64"/>
      <c r="I240" s="63"/>
      <c r="J240" s="63"/>
      <c r="K240" s="61"/>
      <c r="L240" s="65"/>
      <c r="M240" s="65"/>
      <c r="N240" s="61"/>
      <c r="O240" s="64"/>
      <c r="P240" s="65"/>
      <c r="Q240" s="65"/>
      <c r="R240" s="66"/>
      <c r="S240" s="65"/>
      <c r="T240" s="65"/>
      <c r="U240" s="67"/>
      <c r="V240" s="65"/>
      <c r="W240" s="65"/>
      <c r="X240" s="63"/>
      <c r="Y240" s="63"/>
      <c r="Z240" s="61"/>
      <c r="AA240" s="61"/>
      <c r="AB240" s="61"/>
      <c r="AC240" s="61"/>
      <c r="AD240" s="61"/>
      <c r="AE240" s="61"/>
      <c r="AF240" s="61"/>
      <c r="AG240" s="61"/>
      <c r="AH240" s="68" t="n">
        <f aca="false">IF(G240="",0,ROUND((Strats!$C$4-G240)/30.4375,1))</f>
        <v>0</v>
      </c>
      <c r="AI240" s="69" t="n">
        <f aca="false">IF(K240="",0,IF(K240="Floating",Strats!$C$10+M240,L240))</f>
        <v>0</v>
      </c>
      <c r="AJ240" s="68" t="str">
        <f aca="false">IF(OR(Z240="",Z240="Full Amortizing"),"",MAX(J240-AH240,0))</f>
        <v/>
      </c>
      <c r="AK240" s="69" t="n">
        <f aca="false">IF(K240="",0,IF(K240="Floating",IF(P240&lt;&gt;"",MIN(IF(Q240&lt;&gt;"",MAX((Strats!$C$10+Strats!$C$11+M240),Q240),(Strats!$C$10+Strats!$C$11+M240)),P240),IF(Q240&lt;&gt;"",MAX((Strats!$C$10+Strats!$C$11+M240),Q240),(Strats!$C$10+Strats!$C$11+M240))),AI240))</f>
        <v>0</v>
      </c>
      <c r="AL240" s="68" t="str">
        <f aca="false">IF(OR(E240="",E240&lt;&gt;'Deal Strat'!$C$12,R240=""),"",SUMPRODUCT((E$4:E$303='Deal Strat'!$C$12)*(R$4:R$303&gt;R240))+1+SUMPRODUCT((E$4:E$303='Deal Strat'!$C$12)*(R$4:R$303=R240)*(ROW(R$4:R$303)&lt;ROW(R240))))</f>
        <v/>
      </c>
      <c r="AM240" s="68" t="str">
        <f aca="false">IF(R240="","",RANK(R240,$R$4:$R$303,0)+COUNTIF($R$4:R240,R240)-1)</f>
        <v/>
      </c>
      <c r="AN240" s="26" t="n">
        <f aca="false">IF(OR($A240="",$R240=""),0,IF(Deal_Scope="All Deals",1,IF($E240=Deal_Scope,1,0)))</f>
        <v>0</v>
      </c>
      <c r="AO240" s="56" t="n">
        <f aca="false">IF($AN240=0,0,Px_Par)</f>
        <v>0</v>
      </c>
      <c r="AP240" s="70" t="n">
        <f aca="false">IF($H240="",0,MAX(0,($H240-Set_Date)/30.4375))</f>
        <v>0</v>
      </c>
      <c r="AQ240" s="26" t="n">
        <f aca="false">IF(AND(Ext_Flag="Yes",$AA240="Yes"),Ext_Months,0)</f>
        <v>0</v>
      </c>
      <c r="AR240" s="70" t="n">
        <f aca="false">$AP240+$AQ240</f>
        <v>0</v>
      </c>
      <c r="AS240" s="70" t="n">
        <f aca="false">$AR240/12</f>
        <v>0</v>
      </c>
      <c r="AT240" s="70" t="n">
        <f aca="false">IF($AJ240="",0,MAX(0,$AJ240/12))</f>
        <v>0</v>
      </c>
      <c r="AU240" s="70" t="n">
        <f aca="false">MAX(Amort_Min,Amort_Term-$AH240/12)</f>
        <v>30</v>
      </c>
      <c r="AV240" s="70" t="n">
        <f aca="false">MIN($AS240,Hold_Yrs)</f>
        <v>0</v>
      </c>
      <c r="AW240" s="26" t="n">
        <f aca="false">IF($AN240=0,0,CEILING(MAX($AS240,0.0001),1))</f>
        <v>0</v>
      </c>
      <c r="AX240" s="26" t="n">
        <f aca="false">IF(AND($AN240=1,MAX($AS240,0.0001)&lt;=Hold_Yrs),1,0)</f>
        <v>0</v>
      </c>
      <c r="AY240" s="71" t="n">
        <f aca="false">$R240*$AO240</f>
        <v>0</v>
      </c>
      <c r="AZ240" s="71" t="n">
        <f aca="false">$R240*Acc_Int*$AN240</f>
        <v>0</v>
      </c>
      <c r="BA240" s="71" t="n">
        <f aca="false">$AY240*Acq_Cost</f>
        <v>0</v>
      </c>
      <c r="BB240" s="71" t="n">
        <f aca="false">$AY240+$AZ240+$BA240</f>
        <v>0</v>
      </c>
      <c r="BC240" s="71" t="n">
        <f aca="false">IF(Fin_Flag="Yes",$AY240*Adv_Rate,0)</f>
        <v>0</v>
      </c>
      <c r="BD240" s="71" t="n">
        <f aca="false">$BC240*Fin_UpFee</f>
        <v>0</v>
      </c>
      <c r="BE240" s="71" t="n">
        <f aca="false">$BB240-$BC240+$BD240</f>
        <v>0</v>
      </c>
    </row>
    <row r="241" customFormat="false" ht="14.25" hidden="false" customHeight="false" outlineLevel="0" collapsed="false">
      <c r="A241" s="61"/>
      <c r="B241" s="62"/>
      <c r="C241" s="61"/>
      <c r="D241" s="61"/>
      <c r="E241" s="61"/>
      <c r="F241" s="63"/>
      <c r="G241" s="64"/>
      <c r="H241" s="64"/>
      <c r="I241" s="63"/>
      <c r="J241" s="63"/>
      <c r="K241" s="61"/>
      <c r="L241" s="65"/>
      <c r="M241" s="65"/>
      <c r="N241" s="61"/>
      <c r="O241" s="64"/>
      <c r="P241" s="65"/>
      <c r="Q241" s="65"/>
      <c r="R241" s="66"/>
      <c r="S241" s="65"/>
      <c r="T241" s="65"/>
      <c r="U241" s="67"/>
      <c r="V241" s="65"/>
      <c r="W241" s="65"/>
      <c r="X241" s="63"/>
      <c r="Y241" s="63"/>
      <c r="Z241" s="61"/>
      <c r="AA241" s="61"/>
      <c r="AB241" s="61"/>
      <c r="AC241" s="61"/>
      <c r="AD241" s="61"/>
      <c r="AE241" s="61"/>
      <c r="AF241" s="61"/>
      <c r="AG241" s="61"/>
      <c r="AH241" s="68" t="n">
        <f aca="false">IF(G241="",0,ROUND((Strats!$C$4-G241)/30.4375,1))</f>
        <v>0</v>
      </c>
      <c r="AI241" s="69" t="n">
        <f aca="false">IF(K241="",0,IF(K241="Floating",Strats!$C$10+M241,L241))</f>
        <v>0</v>
      </c>
      <c r="AJ241" s="68" t="str">
        <f aca="false">IF(OR(Z241="",Z241="Full Amortizing"),"",MAX(J241-AH241,0))</f>
        <v/>
      </c>
      <c r="AK241" s="69" t="n">
        <f aca="false">IF(K241="",0,IF(K241="Floating",IF(P241&lt;&gt;"",MIN(IF(Q241&lt;&gt;"",MAX((Strats!$C$10+Strats!$C$11+M241),Q241),(Strats!$C$10+Strats!$C$11+M241)),P241),IF(Q241&lt;&gt;"",MAX((Strats!$C$10+Strats!$C$11+M241),Q241),(Strats!$C$10+Strats!$C$11+M241))),AI241))</f>
        <v>0</v>
      </c>
      <c r="AL241" s="68" t="str">
        <f aca="false">IF(OR(E241="",E241&lt;&gt;'Deal Strat'!$C$12,R241=""),"",SUMPRODUCT((E$4:E$303='Deal Strat'!$C$12)*(R$4:R$303&gt;R241))+1+SUMPRODUCT((E$4:E$303='Deal Strat'!$C$12)*(R$4:R$303=R241)*(ROW(R$4:R$303)&lt;ROW(R241))))</f>
        <v/>
      </c>
      <c r="AM241" s="68" t="str">
        <f aca="false">IF(R241="","",RANK(R241,$R$4:$R$303,0)+COUNTIF($R$4:R241,R241)-1)</f>
        <v/>
      </c>
      <c r="AN241" s="26" t="n">
        <f aca="false">IF(OR($A241="",$R241=""),0,IF(Deal_Scope="All Deals",1,IF($E241=Deal_Scope,1,0)))</f>
        <v>0</v>
      </c>
      <c r="AO241" s="56" t="n">
        <f aca="false">IF($AN241=0,0,Px_Par)</f>
        <v>0</v>
      </c>
      <c r="AP241" s="70" t="n">
        <f aca="false">IF($H241="",0,MAX(0,($H241-Set_Date)/30.4375))</f>
        <v>0</v>
      </c>
      <c r="AQ241" s="26" t="n">
        <f aca="false">IF(AND(Ext_Flag="Yes",$AA241="Yes"),Ext_Months,0)</f>
        <v>0</v>
      </c>
      <c r="AR241" s="70" t="n">
        <f aca="false">$AP241+$AQ241</f>
        <v>0</v>
      </c>
      <c r="AS241" s="70" t="n">
        <f aca="false">$AR241/12</f>
        <v>0</v>
      </c>
      <c r="AT241" s="70" t="n">
        <f aca="false">IF($AJ241="",0,MAX(0,$AJ241/12))</f>
        <v>0</v>
      </c>
      <c r="AU241" s="70" t="n">
        <f aca="false">MAX(Amort_Min,Amort_Term-$AH241/12)</f>
        <v>30</v>
      </c>
      <c r="AV241" s="70" t="n">
        <f aca="false">MIN($AS241,Hold_Yrs)</f>
        <v>0</v>
      </c>
      <c r="AW241" s="26" t="n">
        <f aca="false">IF($AN241=0,0,CEILING(MAX($AS241,0.0001),1))</f>
        <v>0</v>
      </c>
      <c r="AX241" s="26" t="n">
        <f aca="false">IF(AND($AN241=1,MAX($AS241,0.0001)&lt;=Hold_Yrs),1,0)</f>
        <v>0</v>
      </c>
      <c r="AY241" s="71" t="n">
        <f aca="false">$R241*$AO241</f>
        <v>0</v>
      </c>
      <c r="AZ241" s="71" t="n">
        <f aca="false">$R241*Acc_Int*$AN241</f>
        <v>0</v>
      </c>
      <c r="BA241" s="71" t="n">
        <f aca="false">$AY241*Acq_Cost</f>
        <v>0</v>
      </c>
      <c r="BB241" s="71" t="n">
        <f aca="false">$AY241+$AZ241+$BA241</f>
        <v>0</v>
      </c>
      <c r="BC241" s="71" t="n">
        <f aca="false">IF(Fin_Flag="Yes",$AY241*Adv_Rate,0)</f>
        <v>0</v>
      </c>
      <c r="BD241" s="71" t="n">
        <f aca="false">$BC241*Fin_UpFee</f>
        <v>0</v>
      </c>
      <c r="BE241" s="71" t="n">
        <f aca="false">$BB241-$BC241+$BD241</f>
        <v>0</v>
      </c>
    </row>
    <row r="242" customFormat="false" ht="14.25" hidden="false" customHeight="false" outlineLevel="0" collapsed="false">
      <c r="A242" s="61"/>
      <c r="B242" s="62"/>
      <c r="C242" s="61"/>
      <c r="D242" s="61"/>
      <c r="E242" s="61"/>
      <c r="F242" s="63"/>
      <c r="G242" s="64"/>
      <c r="H242" s="64"/>
      <c r="I242" s="63"/>
      <c r="J242" s="63"/>
      <c r="K242" s="61"/>
      <c r="L242" s="65"/>
      <c r="M242" s="65"/>
      <c r="N242" s="61"/>
      <c r="O242" s="64"/>
      <c r="P242" s="65"/>
      <c r="Q242" s="65"/>
      <c r="R242" s="66"/>
      <c r="S242" s="65"/>
      <c r="T242" s="65"/>
      <c r="U242" s="67"/>
      <c r="V242" s="65"/>
      <c r="W242" s="65"/>
      <c r="X242" s="63"/>
      <c r="Y242" s="63"/>
      <c r="Z242" s="61"/>
      <c r="AA242" s="61"/>
      <c r="AB242" s="61"/>
      <c r="AC242" s="61"/>
      <c r="AD242" s="61"/>
      <c r="AE242" s="61"/>
      <c r="AF242" s="61"/>
      <c r="AG242" s="61"/>
      <c r="AH242" s="68" t="n">
        <f aca="false">IF(G242="",0,ROUND((Strats!$C$4-G242)/30.4375,1))</f>
        <v>0</v>
      </c>
      <c r="AI242" s="69" t="n">
        <f aca="false">IF(K242="",0,IF(K242="Floating",Strats!$C$10+M242,L242))</f>
        <v>0</v>
      </c>
      <c r="AJ242" s="68" t="str">
        <f aca="false">IF(OR(Z242="",Z242="Full Amortizing"),"",MAX(J242-AH242,0))</f>
        <v/>
      </c>
      <c r="AK242" s="69" t="n">
        <f aca="false">IF(K242="",0,IF(K242="Floating",IF(P242&lt;&gt;"",MIN(IF(Q242&lt;&gt;"",MAX((Strats!$C$10+Strats!$C$11+M242),Q242),(Strats!$C$10+Strats!$C$11+M242)),P242),IF(Q242&lt;&gt;"",MAX((Strats!$C$10+Strats!$C$11+M242),Q242),(Strats!$C$10+Strats!$C$11+M242))),AI242))</f>
        <v>0</v>
      </c>
      <c r="AL242" s="68" t="str">
        <f aca="false">IF(OR(E242="",E242&lt;&gt;'Deal Strat'!$C$12,R242=""),"",SUMPRODUCT((E$4:E$303='Deal Strat'!$C$12)*(R$4:R$303&gt;R242))+1+SUMPRODUCT((E$4:E$303='Deal Strat'!$C$12)*(R$4:R$303=R242)*(ROW(R$4:R$303)&lt;ROW(R242))))</f>
        <v/>
      </c>
      <c r="AM242" s="68" t="str">
        <f aca="false">IF(R242="","",RANK(R242,$R$4:$R$303,0)+COUNTIF($R$4:R242,R242)-1)</f>
        <v/>
      </c>
      <c r="AN242" s="26" t="n">
        <f aca="false">IF(OR($A242="",$R242=""),0,IF(Deal_Scope="All Deals",1,IF($E242=Deal_Scope,1,0)))</f>
        <v>0</v>
      </c>
      <c r="AO242" s="56" t="n">
        <f aca="false">IF($AN242=0,0,Px_Par)</f>
        <v>0</v>
      </c>
      <c r="AP242" s="70" t="n">
        <f aca="false">IF($H242="",0,MAX(0,($H242-Set_Date)/30.4375))</f>
        <v>0</v>
      </c>
      <c r="AQ242" s="26" t="n">
        <f aca="false">IF(AND(Ext_Flag="Yes",$AA242="Yes"),Ext_Months,0)</f>
        <v>0</v>
      </c>
      <c r="AR242" s="70" t="n">
        <f aca="false">$AP242+$AQ242</f>
        <v>0</v>
      </c>
      <c r="AS242" s="70" t="n">
        <f aca="false">$AR242/12</f>
        <v>0</v>
      </c>
      <c r="AT242" s="70" t="n">
        <f aca="false">IF($AJ242="",0,MAX(0,$AJ242/12))</f>
        <v>0</v>
      </c>
      <c r="AU242" s="70" t="n">
        <f aca="false">MAX(Amort_Min,Amort_Term-$AH242/12)</f>
        <v>30</v>
      </c>
      <c r="AV242" s="70" t="n">
        <f aca="false">MIN($AS242,Hold_Yrs)</f>
        <v>0</v>
      </c>
      <c r="AW242" s="26" t="n">
        <f aca="false">IF($AN242=0,0,CEILING(MAX($AS242,0.0001),1))</f>
        <v>0</v>
      </c>
      <c r="AX242" s="26" t="n">
        <f aca="false">IF(AND($AN242=1,MAX($AS242,0.0001)&lt;=Hold_Yrs),1,0)</f>
        <v>0</v>
      </c>
      <c r="AY242" s="71" t="n">
        <f aca="false">$R242*$AO242</f>
        <v>0</v>
      </c>
      <c r="AZ242" s="71" t="n">
        <f aca="false">$R242*Acc_Int*$AN242</f>
        <v>0</v>
      </c>
      <c r="BA242" s="71" t="n">
        <f aca="false">$AY242*Acq_Cost</f>
        <v>0</v>
      </c>
      <c r="BB242" s="71" t="n">
        <f aca="false">$AY242+$AZ242+$BA242</f>
        <v>0</v>
      </c>
      <c r="BC242" s="71" t="n">
        <f aca="false">IF(Fin_Flag="Yes",$AY242*Adv_Rate,0)</f>
        <v>0</v>
      </c>
      <c r="BD242" s="71" t="n">
        <f aca="false">$BC242*Fin_UpFee</f>
        <v>0</v>
      </c>
      <c r="BE242" s="71" t="n">
        <f aca="false">$BB242-$BC242+$BD242</f>
        <v>0</v>
      </c>
    </row>
    <row r="243" customFormat="false" ht="14.25" hidden="false" customHeight="false" outlineLevel="0" collapsed="false">
      <c r="A243" s="61"/>
      <c r="B243" s="62"/>
      <c r="C243" s="61"/>
      <c r="D243" s="61"/>
      <c r="E243" s="61"/>
      <c r="F243" s="63"/>
      <c r="G243" s="64"/>
      <c r="H243" s="64"/>
      <c r="I243" s="63"/>
      <c r="J243" s="63"/>
      <c r="K243" s="61"/>
      <c r="L243" s="65"/>
      <c r="M243" s="65"/>
      <c r="N243" s="61"/>
      <c r="O243" s="64"/>
      <c r="P243" s="65"/>
      <c r="Q243" s="65"/>
      <c r="R243" s="66"/>
      <c r="S243" s="65"/>
      <c r="T243" s="65"/>
      <c r="U243" s="67"/>
      <c r="V243" s="65"/>
      <c r="W243" s="65"/>
      <c r="X243" s="63"/>
      <c r="Y243" s="63"/>
      <c r="Z243" s="61"/>
      <c r="AA243" s="61"/>
      <c r="AB243" s="61"/>
      <c r="AC243" s="61"/>
      <c r="AD243" s="61"/>
      <c r="AE243" s="61"/>
      <c r="AF243" s="61"/>
      <c r="AG243" s="61"/>
      <c r="AH243" s="68" t="n">
        <f aca="false">IF(G243="",0,ROUND((Strats!$C$4-G243)/30.4375,1))</f>
        <v>0</v>
      </c>
      <c r="AI243" s="69" t="n">
        <f aca="false">IF(K243="",0,IF(K243="Floating",Strats!$C$10+M243,L243))</f>
        <v>0</v>
      </c>
      <c r="AJ243" s="68" t="str">
        <f aca="false">IF(OR(Z243="",Z243="Full Amortizing"),"",MAX(J243-AH243,0))</f>
        <v/>
      </c>
      <c r="AK243" s="69" t="n">
        <f aca="false">IF(K243="",0,IF(K243="Floating",IF(P243&lt;&gt;"",MIN(IF(Q243&lt;&gt;"",MAX((Strats!$C$10+Strats!$C$11+M243),Q243),(Strats!$C$10+Strats!$C$11+M243)),P243),IF(Q243&lt;&gt;"",MAX((Strats!$C$10+Strats!$C$11+M243),Q243),(Strats!$C$10+Strats!$C$11+M243))),AI243))</f>
        <v>0</v>
      </c>
      <c r="AL243" s="68" t="str">
        <f aca="false">IF(OR(E243="",E243&lt;&gt;'Deal Strat'!$C$12,R243=""),"",SUMPRODUCT((E$4:E$303='Deal Strat'!$C$12)*(R$4:R$303&gt;R243))+1+SUMPRODUCT((E$4:E$303='Deal Strat'!$C$12)*(R$4:R$303=R243)*(ROW(R$4:R$303)&lt;ROW(R243))))</f>
        <v/>
      </c>
      <c r="AM243" s="68" t="str">
        <f aca="false">IF(R243="","",RANK(R243,$R$4:$R$303,0)+COUNTIF($R$4:R243,R243)-1)</f>
        <v/>
      </c>
      <c r="AN243" s="26" t="n">
        <f aca="false">IF(OR($A243="",$R243=""),0,IF(Deal_Scope="All Deals",1,IF($E243=Deal_Scope,1,0)))</f>
        <v>0</v>
      </c>
      <c r="AO243" s="56" t="n">
        <f aca="false">IF($AN243=0,0,Px_Par)</f>
        <v>0</v>
      </c>
      <c r="AP243" s="70" t="n">
        <f aca="false">IF($H243="",0,MAX(0,($H243-Set_Date)/30.4375))</f>
        <v>0</v>
      </c>
      <c r="AQ243" s="26" t="n">
        <f aca="false">IF(AND(Ext_Flag="Yes",$AA243="Yes"),Ext_Months,0)</f>
        <v>0</v>
      </c>
      <c r="AR243" s="70" t="n">
        <f aca="false">$AP243+$AQ243</f>
        <v>0</v>
      </c>
      <c r="AS243" s="70" t="n">
        <f aca="false">$AR243/12</f>
        <v>0</v>
      </c>
      <c r="AT243" s="70" t="n">
        <f aca="false">IF($AJ243="",0,MAX(0,$AJ243/12))</f>
        <v>0</v>
      </c>
      <c r="AU243" s="70" t="n">
        <f aca="false">MAX(Amort_Min,Amort_Term-$AH243/12)</f>
        <v>30</v>
      </c>
      <c r="AV243" s="70" t="n">
        <f aca="false">MIN($AS243,Hold_Yrs)</f>
        <v>0</v>
      </c>
      <c r="AW243" s="26" t="n">
        <f aca="false">IF($AN243=0,0,CEILING(MAX($AS243,0.0001),1))</f>
        <v>0</v>
      </c>
      <c r="AX243" s="26" t="n">
        <f aca="false">IF(AND($AN243=1,MAX($AS243,0.0001)&lt;=Hold_Yrs),1,0)</f>
        <v>0</v>
      </c>
      <c r="AY243" s="71" t="n">
        <f aca="false">$R243*$AO243</f>
        <v>0</v>
      </c>
      <c r="AZ243" s="71" t="n">
        <f aca="false">$R243*Acc_Int*$AN243</f>
        <v>0</v>
      </c>
      <c r="BA243" s="71" t="n">
        <f aca="false">$AY243*Acq_Cost</f>
        <v>0</v>
      </c>
      <c r="BB243" s="71" t="n">
        <f aca="false">$AY243+$AZ243+$BA243</f>
        <v>0</v>
      </c>
      <c r="BC243" s="71" t="n">
        <f aca="false">IF(Fin_Flag="Yes",$AY243*Adv_Rate,0)</f>
        <v>0</v>
      </c>
      <c r="BD243" s="71" t="n">
        <f aca="false">$BC243*Fin_UpFee</f>
        <v>0</v>
      </c>
      <c r="BE243" s="71" t="n">
        <f aca="false">$BB243-$BC243+$BD243</f>
        <v>0</v>
      </c>
    </row>
    <row r="244" customFormat="false" ht="14.25" hidden="false" customHeight="false" outlineLevel="0" collapsed="false">
      <c r="A244" s="61"/>
      <c r="B244" s="62"/>
      <c r="C244" s="61"/>
      <c r="D244" s="61"/>
      <c r="E244" s="61"/>
      <c r="F244" s="63"/>
      <c r="G244" s="64"/>
      <c r="H244" s="64"/>
      <c r="I244" s="63"/>
      <c r="J244" s="63"/>
      <c r="K244" s="61"/>
      <c r="L244" s="65"/>
      <c r="M244" s="65"/>
      <c r="N244" s="61"/>
      <c r="O244" s="64"/>
      <c r="P244" s="65"/>
      <c r="Q244" s="65"/>
      <c r="R244" s="66"/>
      <c r="S244" s="65"/>
      <c r="T244" s="65"/>
      <c r="U244" s="67"/>
      <c r="V244" s="65"/>
      <c r="W244" s="65"/>
      <c r="X244" s="63"/>
      <c r="Y244" s="63"/>
      <c r="Z244" s="61"/>
      <c r="AA244" s="61"/>
      <c r="AB244" s="61"/>
      <c r="AC244" s="61"/>
      <c r="AD244" s="61"/>
      <c r="AE244" s="61"/>
      <c r="AF244" s="61"/>
      <c r="AG244" s="61"/>
      <c r="AH244" s="68" t="n">
        <f aca="false">IF(G244="",0,ROUND((Strats!$C$4-G244)/30.4375,1))</f>
        <v>0</v>
      </c>
      <c r="AI244" s="69" t="n">
        <f aca="false">IF(K244="",0,IF(K244="Floating",Strats!$C$10+M244,L244))</f>
        <v>0</v>
      </c>
      <c r="AJ244" s="68" t="str">
        <f aca="false">IF(OR(Z244="",Z244="Full Amortizing"),"",MAX(J244-AH244,0))</f>
        <v/>
      </c>
      <c r="AK244" s="69" t="n">
        <f aca="false">IF(K244="",0,IF(K244="Floating",IF(P244&lt;&gt;"",MIN(IF(Q244&lt;&gt;"",MAX((Strats!$C$10+Strats!$C$11+M244),Q244),(Strats!$C$10+Strats!$C$11+M244)),P244),IF(Q244&lt;&gt;"",MAX((Strats!$C$10+Strats!$C$11+M244),Q244),(Strats!$C$10+Strats!$C$11+M244))),AI244))</f>
        <v>0</v>
      </c>
      <c r="AL244" s="68" t="str">
        <f aca="false">IF(OR(E244="",E244&lt;&gt;'Deal Strat'!$C$12,R244=""),"",SUMPRODUCT((E$4:E$303='Deal Strat'!$C$12)*(R$4:R$303&gt;R244))+1+SUMPRODUCT((E$4:E$303='Deal Strat'!$C$12)*(R$4:R$303=R244)*(ROW(R$4:R$303)&lt;ROW(R244))))</f>
        <v/>
      </c>
      <c r="AM244" s="68" t="str">
        <f aca="false">IF(R244="","",RANK(R244,$R$4:$R$303,0)+COUNTIF($R$4:R244,R244)-1)</f>
        <v/>
      </c>
      <c r="AN244" s="26" t="n">
        <f aca="false">IF(OR($A244="",$R244=""),0,IF(Deal_Scope="All Deals",1,IF($E244=Deal_Scope,1,0)))</f>
        <v>0</v>
      </c>
      <c r="AO244" s="56" t="n">
        <f aca="false">IF($AN244=0,0,Px_Par)</f>
        <v>0</v>
      </c>
      <c r="AP244" s="70" t="n">
        <f aca="false">IF($H244="",0,MAX(0,($H244-Set_Date)/30.4375))</f>
        <v>0</v>
      </c>
      <c r="AQ244" s="26" t="n">
        <f aca="false">IF(AND(Ext_Flag="Yes",$AA244="Yes"),Ext_Months,0)</f>
        <v>0</v>
      </c>
      <c r="AR244" s="70" t="n">
        <f aca="false">$AP244+$AQ244</f>
        <v>0</v>
      </c>
      <c r="AS244" s="70" t="n">
        <f aca="false">$AR244/12</f>
        <v>0</v>
      </c>
      <c r="AT244" s="70" t="n">
        <f aca="false">IF($AJ244="",0,MAX(0,$AJ244/12))</f>
        <v>0</v>
      </c>
      <c r="AU244" s="70" t="n">
        <f aca="false">MAX(Amort_Min,Amort_Term-$AH244/12)</f>
        <v>30</v>
      </c>
      <c r="AV244" s="70" t="n">
        <f aca="false">MIN($AS244,Hold_Yrs)</f>
        <v>0</v>
      </c>
      <c r="AW244" s="26" t="n">
        <f aca="false">IF($AN244=0,0,CEILING(MAX($AS244,0.0001),1))</f>
        <v>0</v>
      </c>
      <c r="AX244" s="26" t="n">
        <f aca="false">IF(AND($AN244=1,MAX($AS244,0.0001)&lt;=Hold_Yrs),1,0)</f>
        <v>0</v>
      </c>
      <c r="AY244" s="71" t="n">
        <f aca="false">$R244*$AO244</f>
        <v>0</v>
      </c>
      <c r="AZ244" s="71" t="n">
        <f aca="false">$R244*Acc_Int*$AN244</f>
        <v>0</v>
      </c>
      <c r="BA244" s="71" t="n">
        <f aca="false">$AY244*Acq_Cost</f>
        <v>0</v>
      </c>
      <c r="BB244" s="71" t="n">
        <f aca="false">$AY244+$AZ244+$BA244</f>
        <v>0</v>
      </c>
      <c r="BC244" s="71" t="n">
        <f aca="false">IF(Fin_Flag="Yes",$AY244*Adv_Rate,0)</f>
        <v>0</v>
      </c>
      <c r="BD244" s="71" t="n">
        <f aca="false">$BC244*Fin_UpFee</f>
        <v>0</v>
      </c>
      <c r="BE244" s="71" t="n">
        <f aca="false">$BB244-$BC244+$BD244</f>
        <v>0</v>
      </c>
    </row>
    <row r="245" customFormat="false" ht="14.25" hidden="false" customHeight="false" outlineLevel="0" collapsed="false">
      <c r="A245" s="61"/>
      <c r="B245" s="62"/>
      <c r="C245" s="61"/>
      <c r="D245" s="61"/>
      <c r="E245" s="61"/>
      <c r="F245" s="63"/>
      <c r="G245" s="64"/>
      <c r="H245" s="64"/>
      <c r="I245" s="63"/>
      <c r="J245" s="63"/>
      <c r="K245" s="61"/>
      <c r="L245" s="65"/>
      <c r="M245" s="65"/>
      <c r="N245" s="61"/>
      <c r="O245" s="64"/>
      <c r="P245" s="65"/>
      <c r="Q245" s="65"/>
      <c r="R245" s="66"/>
      <c r="S245" s="65"/>
      <c r="T245" s="65"/>
      <c r="U245" s="67"/>
      <c r="V245" s="65"/>
      <c r="W245" s="65"/>
      <c r="X245" s="63"/>
      <c r="Y245" s="63"/>
      <c r="Z245" s="61"/>
      <c r="AA245" s="61"/>
      <c r="AB245" s="61"/>
      <c r="AC245" s="61"/>
      <c r="AD245" s="61"/>
      <c r="AE245" s="61"/>
      <c r="AF245" s="61"/>
      <c r="AG245" s="61"/>
      <c r="AH245" s="68" t="n">
        <f aca="false">IF(G245="",0,ROUND((Strats!$C$4-G245)/30.4375,1))</f>
        <v>0</v>
      </c>
      <c r="AI245" s="69" t="n">
        <f aca="false">IF(K245="",0,IF(K245="Floating",Strats!$C$10+M245,L245))</f>
        <v>0</v>
      </c>
      <c r="AJ245" s="68" t="str">
        <f aca="false">IF(OR(Z245="",Z245="Full Amortizing"),"",MAX(J245-AH245,0))</f>
        <v/>
      </c>
      <c r="AK245" s="69" t="n">
        <f aca="false">IF(K245="",0,IF(K245="Floating",IF(P245&lt;&gt;"",MIN(IF(Q245&lt;&gt;"",MAX((Strats!$C$10+Strats!$C$11+M245),Q245),(Strats!$C$10+Strats!$C$11+M245)),P245),IF(Q245&lt;&gt;"",MAX((Strats!$C$10+Strats!$C$11+M245),Q245),(Strats!$C$10+Strats!$C$11+M245))),AI245))</f>
        <v>0</v>
      </c>
      <c r="AL245" s="68" t="str">
        <f aca="false">IF(OR(E245="",E245&lt;&gt;'Deal Strat'!$C$12,R245=""),"",SUMPRODUCT((E$4:E$303='Deal Strat'!$C$12)*(R$4:R$303&gt;R245))+1+SUMPRODUCT((E$4:E$303='Deal Strat'!$C$12)*(R$4:R$303=R245)*(ROW(R$4:R$303)&lt;ROW(R245))))</f>
        <v/>
      </c>
      <c r="AM245" s="68" t="str">
        <f aca="false">IF(R245="","",RANK(R245,$R$4:$R$303,0)+COUNTIF($R$4:R245,R245)-1)</f>
        <v/>
      </c>
      <c r="AN245" s="26" t="n">
        <f aca="false">IF(OR($A245="",$R245=""),0,IF(Deal_Scope="All Deals",1,IF($E245=Deal_Scope,1,0)))</f>
        <v>0</v>
      </c>
      <c r="AO245" s="56" t="n">
        <f aca="false">IF($AN245=0,0,Px_Par)</f>
        <v>0</v>
      </c>
      <c r="AP245" s="70" t="n">
        <f aca="false">IF($H245="",0,MAX(0,($H245-Set_Date)/30.4375))</f>
        <v>0</v>
      </c>
      <c r="AQ245" s="26" t="n">
        <f aca="false">IF(AND(Ext_Flag="Yes",$AA245="Yes"),Ext_Months,0)</f>
        <v>0</v>
      </c>
      <c r="AR245" s="70" t="n">
        <f aca="false">$AP245+$AQ245</f>
        <v>0</v>
      </c>
      <c r="AS245" s="70" t="n">
        <f aca="false">$AR245/12</f>
        <v>0</v>
      </c>
      <c r="AT245" s="70" t="n">
        <f aca="false">IF($AJ245="",0,MAX(0,$AJ245/12))</f>
        <v>0</v>
      </c>
      <c r="AU245" s="70" t="n">
        <f aca="false">MAX(Amort_Min,Amort_Term-$AH245/12)</f>
        <v>30</v>
      </c>
      <c r="AV245" s="70" t="n">
        <f aca="false">MIN($AS245,Hold_Yrs)</f>
        <v>0</v>
      </c>
      <c r="AW245" s="26" t="n">
        <f aca="false">IF($AN245=0,0,CEILING(MAX($AS245,0.0001),1))</f>
        <v>0</v>
      </c>
      <c r="AX245" s="26" t="n">
        <f aca="false">IF(AND($AN245=1,MAX($AS245,0.0001)&lt;=Hold_Yrs),1,0)</f>
        <v>0</v>
      </c>
      <c r="AY245" s="71" t="n">
        <f aca="false">$R245*$AO245</f>
        <v>0</v>
      </c>
      <c r="AZ245" s="71" t="n">
        <f aca="false">$R245*Acc_Int*$AN245</f>
        <v>0</v>
      </c>
      <c r="BA245" s="71" t="n">
        <f aca="false">$AY245*Acq_Cost</f>
        <v>0</v>
      </c>
      <c r="BB245" s="71" t="n">
        <f aca="false">$AY245+$AZ245+$BA245</f>
        <v>0</v>
      </c>
      <c r="BC245" s="71" t="n">
        <f aca="false">IF(Fin_Flag="Yes",$AY245*Adv_Rate,0)</f>
        <v>0</v>
      </c>
      <c r="BD245" s="71" t="n">
        <f aca="false">$BC245*Fin_UpFee</f>
        <v>0</v>
      </c>
      <c r="BE245" s="71" t="n">
        <f aca="false">$BB245-$BC245+$BD245</f>
        <v>0</v>
      </c>
    </row>
    <row r="246" customFormat="false" ht="14.25" hidden="false" customHeight="false" outlineLevel="0" collapsed="false">
      <c r="A246" s="61"/>
      <c r="B246" s="62"/>
      <c r="C246" s="61"/>
      <c r="D246" s="61"/>
      <c r="E246" s="61"/>
      <c r="F246" s="63"/>
      <c r="G246" s="64"/>
      <c r="H246" s="64"/>
      <c r="I246" s="63"/>
      <c r="J246" s="63"/>
      <c r="K246" s="61"/>
      <c r="L246" s="65"/>
      <c r="M246" s="65"/>
      <c r="N246" s="61"/>
      <c r="O246" s="64"/>
      <c r="P246" s="65"/>
      <c r="Q246" s="65"/>
      <c r="R246" s="66"/>
      <c r="S246" s="65"/>
      <c r="T246" s="65"/>
      <c r="U246" s="67"/>
      <c r="V246" s="65"/>
      <c r="W246" s="65"/>
      <c r="X246" s="63"/>
      <c r="Y246" s="63"/>
      <c r="Z246" s="61"/>
      <c r="AA246" s="61"/>
      <c r="AB246" s="61"/>
      <c r="AC246" s="61"/>
      <c r="AD246" s="61"/>
      <c r="AE246" s="61"/>
      <c r="AF246" s="61"/>
      <c r="AG246" s="61"/>
      <c r="AH246" s="68" t="n">
        <f aca="false">IF(G246="",0,ROUND((Strats!$C$4-G246)/30.4375,1))</f>
        <v>0</v>
      </c>
      <c r="AI246" s="69" t="n">
        <f aca="false">IF(K246="",0,IF(K246="Floating",Strats!$C$10+M246,L246))</f>
        <v>0</v>
      </c>
      <c r="AJ246" s="68" t="str">
        <f aca="false">IF(OR(Z246="",Z246="Full Amortizing"),"",MAX(J246-AH246,0))</f>
        <v/>
      </c>
      <c r="AK246" s="69" t="n">
        <f aca="false">IF(K246="",0,IF(K246="Floating",IF(P246&lt;&gt;"",MIN(IF(Q246&lt;&gt;"",MAX((Strats!$C$10+Strats!$C$11+M246),Q246),(Strats!$C$10+Strats!$C$11+M246)),P246),IF(Q246&lt;&gt;"",MAX((Strats!$C$10+Strats!$C$11+M246),Q246),(Strats!$C$10+Strats!$C$11+M246))),AI246))</f>
        <v>0</v>
      </c>
      <c r="AL246" s="68" t="str">
        <f aca="false">IF(OR(E246="",E246&lt;&gt;'Deal Strat'!$C$12,R246=""),"",SUMPRODUCT((E$4:E$303='Deal Strat'!$C$12)*(R$4:R$303&gt;R246))+1+SUMPRODUCT((E$4:E$303='Deal Strat'!$C$12)*(R$4:R$303=R246)*(ROW(R$4:R$303)&lt;ROW(R246))))</f>
        <v/>
      </c>
      <c r="AM246" s="68" t="str">
        <f aca="false">IF(R246="","",RANK(R246,$R$4:$R$303,0)+COUNTIF($R$4:R246,R246)-1)</f>
        <v/>
      </c>
      <c r="AN246" s="26" t="n">
        <f aca="false">IF(OR($A246="",$R246=""),0,IF(Deal_Scope="All Deals",1,IF($E246=Deal_Scope,1,0)))</f>
        <v>0</v>
      </c>
      <c r="AO246" s="56" t="n">
        <f aca="false">IF($AN246=0,0,Px_Par)</f>
        <v>0</v>
      </c>
      <c r="AP246" s="70" t="n">
        <f aca="false">IF($H246="",0,MAX(0,($H246-Set_Date)/30.4375))</f>
        <v>0</v>
      </c>
      <c r="AQ246" s="26" t="n">
        <f aca="false">IF(AND(Ext_Flag="Yes",$AA246="Yes"),Ext_Months,0)</f>
        <v>0</v>
      </c>
      <c r="AR246" s="70" t="n">
        <f aca="false">$AP246+$AQ246</f>
        <v>0</v>
      </c>
      <c r="AS246" s="70" t="n">
        <f aca="false">$AR246/12</f>
        <v>0</v>
      </c>
      <c r="AT246" s="70" t="n">
        <f aca="false">IF($AJ246="",0,MAX(0,$AJ246/12))</f>
        <v>0</v>
      </c>
      <c r="AU246" s="70" t="n">
        <f aca="false">MAX(Amort_Min,Amort_Term-$AH246/12)</f>
        <v>30</v>
      </c>
      <c r="AV246" s="70" t="n">
        <f aca="false">MIN($AS246,Hold_Yrs)</f>
        <v>0</v>
      </c>
      <c r="AW246" s="26" t="n">
        <f aca="false">IF($AN246=0,0,CEILING(MAX($AS246,0.0001),1))</f>
        <v>0</v>
      </c>
      <c r="AX246" s="26" t="n">
        <f aca="false">IF(AND($AN246=1,MAX($AS246,0.0001)&lt;=Hold_Yrs),1,0)</f>
        <v>0</v>
      </c>
      <c r="AY246" s="71" t="n">
        <f aca="false">$R246*$AO246</f>
        <v>0</v>
      </c>
      <c r="AZ246" s="71" t="n">
        <f aca="false">$R246*Acc_Int*$AN246</f>
        <v>0</v>
      </c>
      <c r="BA246" s="71" t="n">
        <f aca="false">$AY246*Acq_Cost</f>
        <v>0</v>
      </c>
      <c r="BB246" s="71" t="n">
        <f aca="false">$AY246+$AZ246+$BA246</f>
        <v>0</v>
      </c>
      <c r="BC246" s="71" t="n">
        <f aca="false">IF(Fin_Flag="Yes",$AY246*Adv_Rate,0)</f>
        <v>0</v>
      </c>
      <c r="BD246" s="71" t="n">
        <f aca="false">$BC246*Fin_UpFee</f>
        <v>0</v>
      </c>
      <c r="BE246" s="71" t="n">
        <f aca="false">$BB246-$BC246+$BD246</f>
        <v>0</v>
      </c>
    </row>
    <row r="247" customFormat="false" ht="14.25" hidden="false" customHeight="false" outlineLevel="0" collapsed="false">
      <c r="A247" s="61"/>
      <c r="B247" s="62"/>
      <c r="C247" s="61"/>
      <c r="D247" s="61"/>
      <c r="E247" s="61"/>
      <c r="F247" s="63"/>
      <c r="G247" s="64"/>
      <c r="H247" s="64"/>
      <c r="I247" s="63"/>
      <c r="J247" s="63"/>
      <c r="K247" s="61"/>
      <c r="L247" s="65"/>
      <c r="M247" s="65"/>
      <c r="N247" s="61"/>
      <c r="O247" s="64"/>
      <c r="P247" s="65"/>
      <c r="Q247" s="65"/>
      <c r="R247" s="66"/>
      <c r="S247" s="65"/>
      <c r="T247" s="65"/>
      <c r="U247" s="67"/>
      <c r="V247" s="65"/>
      <c r="W247" s="65"/>
      <c r="X247" s="63"/>
      <c r="Y247" s="63"/>
      <c r="Z247" s="61"/>
      <c r="AA247" s="61"/>
      <c r="AB247" s="61"/>
      <c r="AC247" s="61"/>
      <c r="AD247" s="61"/>
      <c r="AE247" s="61"/>
      <c r="AF247" s="61"/>
      <c r="AG247" s="61"/>
      <c r="AH247" s="68" t="n">
        <f aca="false">IF(G247="",0,ROUND((Strats!$C$4-G247)/30.4375,1))</f>
        <v>0</v>
      </c>
      <c r="AI247" s="69" t="n">
        <f aca="false">IF(K247="",0,IF(K247="Floating",Strats!$C$10+M247,L247))</f>
        <v>0</v>
      </c>
      <c r="AJ247" s="68" t="str">
        <f aca="false">IF(OR(Z247="",Z247="Full Amortizing"),"",MAX(J247-AH247,0))</f>
        <v/>
      </c>
      <c r="AK247" s="69" t="n">
        <f aca="false">IF(K247="",0,IF(K247="Floating",IF(P247&lt;&gt;"",MIN(IF(Q247&lt;&gt;"",MAX((Strats!$C$10+Strats!$C$11+M247),Q247),(Strats!$C$10+Strats!$C$11+M247)),P247),IF(Q247&lt;&gt;"",MAX((Strats!$C$10+Strats!$C$11+M247),Q247),(Strats!$C$10+Strats!$C$11+M247))),AI247))</f>
        <v>0</v>
      </c>
      <c r="AL247" s="68" t="str">
        <f aca="false">IF(OR(E247="",E247&lt;&gt;'Deal Strat'!$C$12,R247=""),"",SUMPRODUCT((E$4:E$303='Deal Strat'!$C$12)*(R$4:R$303&gt;R247))+1+SUMPRODUCT((E$4:E$303='Deal Strat'!$C$12)*(R$4:R$303=R247)*(ROW(R$4:R$303)&lt;ROW(R247))))</f>
        <v/>
      </c>
      <c r="AM247" s="68" t="str">
        <f aca="false">IF(R247="","",RANK(R247,$R$4:$R$303,0)+COUNTIF($R$4:R247,R247)-1)</f>
        <v/>
      </c>
      <c r="AN247" s="26" t="n">
        <f aca="false">IF(OR($A247="",$R247=""),0,IF(Deal_Scope="All Deals",1,IF($E247=Deal_Scope,1,0)))</f>
        <v>0</v>
      </c>
      <c r="AO247" s="56" t="n">
        <f aca="false">IF($AN247=0,0,Px_Par)</f>
        <v>0</v>
      </c>
      <c r="AP247" s="70" t="n">
        <f aca="false">IF($H247="",0,MAX(0,($H247-Set_Date)/30.4375))</f>
        <v>0</v>
      </c>
      <c r="AQ247" s="26" t="n">
        <f aca="false">IF(AND(Ext_Flag="Yes",$AA247="Yes"),Ext_Months,0)</f>
        <v>0</v>
      </c>
      <c r="AR247" s="70" t="n">
        <f aca="false">$AP247+$AQ247</f>
        <v>0</v>
      </c>
      <c r="AS247" s="70" t="n">
        <f aca="false">$AR247/12</f>
        <v>0</v>
      </c>
      <c r="AT247" s="70" t="n">
        <f aca="false">IF($AJ247="",0,MAX(0,$AJ247/12))</f>
        <v>0</v>
      </c>
      <c r="AU247" s="70" t="n">
        <f aca="false">MAX(Amort_Min,Amort_Term-$AH247/12)</f>
        <v>30</v>
      </c>
      <c r="AV247" s="70" t="n">
        <f aca="false">MIN($AS247,Hold_Yrs)</f>
        <v>0</v>
      </c>
      <c r="AW247" s="26" t="n">
        <f aca="false">IF($AN247=0,0,CEILING(MAX($AS247,0.0001),1))</f>
        <v>0</v>
      </c>
      <c r="AX247" s="26" t="n">
        <f aca="false">IF(AND($AN247=1,MAX($AS247,0.0001)&lt;=Hold_Yrs),1,0)</f>
        <v>0</v>
      </c>
      <c r="AY247" s="71" t="n">
        <f aca="false">$R247*$AO247</f>
        <v>0</v>
      </c>
      <c r="AZ247" s="71" t="n">
        <f aca="false">$R247*Acc_Int*$AN247</f>
        <v>0</v>
      </c>
      <c r="BA247" s="71" t="n">
        <f aca="false">$AY247*Acq_Cost</f>
        <v>0</v>
      </c>
      <c r="BB247" s="71" t="n">
        <f aca="false">$AY247+$AZ247+$BA247</f>
        <v>0</v>
      </c>
      <c r="BC247" s="71" t="n">
        <f aca="false">IF(Fin_Flag="Yes",$AY247*Adv_Rate,0)</f>
        <v>0</v>
      </c>
      <c r="BD247" s="71" t="n">
        <f aca="false">$BC247*Fin_UpFee</f>
        <v>0</v>
      </c>
      <c r="BE247" s="71" t="n">
        <f aca="false">$BB247-$BC247+$BD247</f>
        <v>0</v>
      </c>
    </row>
    <row r="248" customFormat="false" ht="14.25" hidden="false" customHeight="false" outlineLevel="0" collapsed="false">
      <c r="A248" s="61"/>
      <c r="B248" s="62"/>
      <c r="C248" s="61"/>
      <c r="D248" s="61"/>
      <c r="E248" s="61"/>
      <c r="F248" s="63"/>
      <c r="G248" s="64"/>
      <c r="H248" s="64"/>
      <c r="I248" s="63"/>
      <c r="J248" s="63"/>
      <c r="K248" s="61"/>
      <c r="L248" s="65"/>
      <c r="M248" s="65"/>
      <c r="N248" s="61"/>
      <c r="O248" s="64"/>
      <c r="P248" s="65"/>
      <c r="Q248" s="65"/>
      <c r="R248" s="66"/>
      <c r="S248" s="65"/>
      <c r="T248" s="65"/>
      <c r="U248" s="67"/>
      <c r="V248" s="65"/>
      <c r="W248" s="65"/>
      <c r="X248" s="63"/>
      <c r="Y248" s="63"/>
      <c r="Z248" s="61"/>
      <c r="AA248" s="61"/>
      <c r="AB248" s="61"/>
      <c r="AC248" s="61"/>
      <c r="AD248" s="61"/>
      <c r="AE248" s="61"/>
      <c r="AF248" s="61"/>
      <c r="AG248" s="61"/>
      <c r="AH248" s="68" t="n">
        <f aca="false">IF(G248="",0,ROUND((Strats!$C$4-G248)/30.4375,1))</f>
        <v>0</v>
      </c>
      <c r="AI248" s="69" t="n">
        <f aca="false">IF(K248="",0,IF(K248="Floating",Strats!$C$10+M248,L248))</f>
        <v>0</v>
      </c>
      <c r="AJ248" s="68" t="str">
        <f aca="false">IF(OR(Z248="",Z248="Full Amortizing"),"",MAX(J248-AH248,0))</f>
        <v/>
      </c>
      <c r="AK248" s="69" t="n">
        <f aca="false">IF(K248="",0,IF(K248="Floating",IF(P248&lt;&gt;"",MIN(IF(Q248&lt;&gt;"",MAX((Strats!$C$10+Strats!$C$11+M248),Q248),(Strats!$C$10+Strats!$C$11+M248)),P248),IF(Q248&lt;&gt;"",MAX((Strats!$C$10+Strats!$C$11+M248),Q248),(Strats!$C$10+Strats!$C$11+M248))),AI248))</f>
        <v>0</v>
      </c>
      <c r="AL248" s="68" t="str">
        <f aca="false">IF(OR(E248="",E248&lt;&gt;'Deal Strat'!$C$12,R248=""),"",SUMPRODUCT((E$4:E$303='Deal Strat'!$C$12)*(R$4:R$303&gt;R248))+1+SUMPRODUCT((E$4:E$303='Deal Strat'!$C$12)*(R$4:R$303=R248)*(ROW(R$4:R$303)&lt;ROW(R248))))</f>
        <v/>
      </c>
      <c r="AM248" s="68" t="str">
        <f aca="false">IF(R248="","",RANK(R248,$R$4:$R$303,0)+COUNTIF($R$4:R248,R248)-1)</f>
        <v/>
      </c>
      <c r="AN248" s="26" t="n">
        <f aca="false">IF(OR($A248="",$R248=""),0,IF(Deal_Scope="All Deals",1,IF($E248=Deal_Scope,1,0)))</f>
        <v>0</v>
      </c>
      <c r="AO248" s="56" t="n">
        <f aca="false">IF($AN248=0,0,Px_Par)</f>
        <v>0</v>
      </c>
      <c r="AP248" s="70" t="n">
        <f aca="false">IF($H248="",0,MAX(0,($H248-Set_Date)/30.4375))</f>
        <v>0</v>
      </c>
      <c r="AQ248" s="26" t="n">
        <f aca="false">IF(AND(Ext_Flag="Yes",$AA248="Yes"),Ext_Months,0)</f>
        <v>0</v>
      </c>
      <c r="AR248" s="70" t="n">
        <f aca="false">$AP248+$AQ248</f>
        <v>0</v>
      </c>
      <c r="AS248" s="70" t="n">
        <f aca="false">$AR248/12</f>
        <v>0</v>
      </c>
      <c r="AT248" s="70" t="n">
        <f aca="false">IF($AJ248="",0,MAX(0,$AJ248/12))</f>
        <v>0</v>
      </c>
      <c r="AU248" s="70" t="n">
        <f aca="false">MAX(Amort_Min,Amort_Term-$AH248/12)</f>
        <v>30</v>
      </c>
      <c r="AV248" s="70" t="n">
        <f aca="false">MIN($AS248,Hold_Yrs)</f>
        <v>0</v>
      </c>
      <c r="AW248" s="26" t="n">
        <f aca="false">IF($AN248=0,0,CEILING(MAX($AS248,0.0001),1))</f>
        <v>0</v>
      </c>
      <c r="AX248" s="26" t="n">
        <f aca="false">IF(AND($AN248=1,MAX($AS248,0.0001)&lt;=Hold_Yrs),1,0)</f>
        <v>0</v>
      </c>
      <c r="AY248" s="71" t="n">
        <f aca="false">$R248*$AO248</f>
        <v>0</v>
      </c>
      <c r="AZ248" s="71" t="n">
        <f aca="false">$R248*Acc_Int*$AN248</f>
        <v>0</v>
      </c>
      <c r="BA248" s="71" t="n">
        <f aca="false">$AY248*Acq_Cost</f>
        <v>0</v>
      </c>
      <c r="BB248" s="71" t="n">
        <f aca="false">$AY248+$AZ248+$BA248</f>
        <v>0</v>
      </c>
      <c r="BC248" s="71" t="n">
        <f aca="false">IF(Fin_Flag="Yes",$AY248*Adv_Rate,0)</f>
        <v>0</v>
      </c>
      <c r="BD248" s="71" t="n">
        <f aca="false">$BC248*Fin_UpFee</f>
        <v>0</v>
      </c>
      <c r="BE248" s="71" t="n">
        <f aca="false">$BB248-$BC248+$BD248</f>
        <v>0</v>
      </c>
    </row>
    <row r="249" customFormat="false" ht="14.25" hidden="false" customHeight="false" outlineLevel="0" collapsed="false">
      <c r="A249" s="61"/>
      <c r="B249" s="62"/>
      <c r="C249" s="61"/>
      <c r="D249" s="61"/>
      <c r="E249" s="61"/>
      <c r="F249" s="63"/>
      <c r="G249" s="64"/>
      <c r="H249" s="64"/>
      <c r="I249" s="63"/>
      <c r="J249" s="63"/>
      <c r="K249" s="61"/>
      <c r="L249" s="65"/>
      <c r="M249" s="65"/>
      <c r="N249" s="61"/>
      <c r="O249" s="64"/>
      <c r="P249" s="65"/>
      <c r="Q249" s="65"/>
      <c r="R249" s="66"/>
      <c r="S249" s="65"/>
      <c r="T249" s="65"/>
      <c r="U249" s="67"/>
      <c r="V249" s="65"/>
      <c r="W249" s="65"/>
      <c r="X249" s="63"/>
      <c r="Y249" s="63"/>
      <c r="Z249" s="61"/>
      <c r="AA249" s="61"/>
      <c r="AB249" s="61"/>
      <c r="AC249" s="61"/>
      <c r="AD249" s="61"/>
      <c r="AE249" s="61"/>
      <c r="AF249" s="61"/>
      <c r="AG249" s="61"/>
      <c r="AH249" s="68" t="n">
        <f aca="false">IF(G249="",0,ROUND((Strats!$C$4-G249)/30.4375,1))</f>
        <v>0</v>
      </c>
      <c r="AI249" s="69" t="n">
        <f aca="false">IF(K249="",0,IF(K249="Floating",Strats!$C$10+M249,L249))</f>
        <v>0</v>
      </c>
      <c r="AJ249" s="68" t="str">
        <f aca="false">IF(OR(Z249="",Z249="Full Amortizing"),"",MAX(J249-AH249,0))</f>
        <v/>
      </c>
      <c r="AK249" s="69" t="n">
        <f aca="false">IF(K249="",0,IF(K249="Floating",IF(P249&lt;&gt;"",MIN(IF(Q249&lt;&gt;"",MAX((Strats!$C$10+Strats!$C$11+M249),Q249),(Strats!$C$10+Strats!$C$11+M249)),P249),IF(Q249&lt;&gt;"",MAX((Strats!$C$10+Strats!$C$11+M249),Q249),(Strats!$C$10+Strats!$C$11+M249))),AI249))</f>
        <v>0</v>
      </c>
      <c r="AL249" s="68" t="str">
        <f aca="false">IF(OR(E249="",E249&lt;&gt;'Deal Strat'!$C$12,R249=""),"",SUMPRODUCT((E$4:E$303='Deal Strat'!$C$12)*(R$4:R$303&gt;R249))+1+SUMPRODUCT((E$4:E$303='Deal Strat'!$C$12)*(R$4:R$303=R249)*(ROW(R$4:R$303)&lt;ROW(R249))))</f>
        <v/>
      </c>
      <c r="AM249" s="68" t="str">
        <f aca="false">IF(R249="","",RANK(R249,$R$4:$R$303,0)+COUNTIF($R$4:R249,R249)-1)</f>
        <v/>
      </c>
      <c r="AN249" s="26" t="n">
        <f aca="false">IF(OR($A249="",$R249=""),0,IF(Deal_Scope="All Deals",1,IF($E249=Deal_Scope,1,0)))</f>
        <v>0</v>
      </c>
      <c r="AO249" s="56" t="n">
        <f aca="false">IF($AN249=0,0,Px_Par)</f>
        <v>0</v>
      </c>
      <c r="AP249" s="70" t="n">
        <f aca="false">IF($H249="",0,MAX(0,($H249-Set_Date)/30.4375))</f>
        <v>0</v>
      </c>
      <c r="AQ249" s="26" t="n">
        <f aca="false">IF(AND(Ext_Flag="Yes",$AA249="Yes"),Ext_Months,0)</f>
        <v>0</v>
      </c>
      <c r="AR249" s="70" t="n">
        <f aca="false">$AP249+$AQ249</f>
        <v>0</v>
      </c>
      <c r="AS249" s="70" t="n">
        <f aca="false">$AR249/12</f>
        <v>0</v>
      </c>
      <c r="AT249" s="70" t="n">
        <f aca="false">IF($AJ249="",0,MAX(0,$AJ249/12))</f>
        <v>0</v>
      </c>
      <c r="AU249" s="70" t="n">
        <f aca="false">MAX(Amort_Min,Amort_Term-$AH249/12)</f>
        <v>30</v>
      </c>
      <c r="AV249" s="70" t="n">
        <f aca="false">MIN($AS249,Hold_Yrs)</f>
        <v>0</v>
      </c>
      <c r="AW249" s="26" t="n">
        <f aca="false">IF($AN249=0,0,CEILING(MAX($AS249,0.0001),1))</f>
        <v>0</v>
      </c>
      <c r="AX249" s="26" t="n">
        <f aca="false">IF(AND($AN249=1,MAX($AS249,0.0001)&lt;=Hold_Yrs),1,0)</f>
        <v>0</v>
      </c>
      <c r="AY249" s="71" t="n">
        <f aca="false">$R249*$AO249</f>
        <v>0</v>
      </c>
      <c r="AZ249" s="71" t="n">
        <f aca="false">$R249*Acc_Int*$AN249</f>
        <v>0</v>
      </c>
      <c r="BA249" s="71" t="n">
        <f aca="false">$AY249*Acq_Cost</f>
        <v>0</v>
      </c>
      <c r="BB249" s="71" t="n">
        <f aca="false">$AY249+$AZ249+$BA249</f>
        <v>0</v>
      </c>
      <c r="BC249" s="71" t="n">
        <f aca="false">IF(Fin_Flag="Yes",$AY249*Adv_Rate,0)</f>
        <v>0</v>
      </c>
      <c r="BD249" s="71" t="n">
        <f aca="false">$BC249*Fin_UpFee</f>
        <v>0</v>
      </c>
      <c r="BE249" s="71" t="n">
        <f aca="false">$BB249-$BC249+$BD249</f>
        <v>0</v>
      </c>
    </row>
    <row r="250" customFormat="false" ht="14.25" hidden="false" customHeight="false" outlineLevel="0" collapsed="false">
      <c r="A250" s="61"/>
      <c r="B250" s="62"/>
      <c r="C250" s="61"/>
      <c r="D250" s="61"/>
      <c r="E250" s="61"/>
      <c r="F250" s="63"/>
      <c r="G250" s="64"/>
      <c r="H250" s="64"/>
      <c r="I250" s="63"/>
      <c r="J250" s="63"/>
      <c r="K250" s="61"/>
      <c r="L250" s="65"/>
      <c r="M250" s="65"/>
      <c r="N250" s="61"/>
      <c r="O250" s="64"/>
      <c r="P250" s="65"/>
      <c r="Q250" s="65"/>
      <c r="R250" s="66"/>
      <c r="S250" s="65"/>
      <c r="T250" s="65"/>
      <c r="U250" s="67"/>
      <c r="V250" s="65"/>
      <c r="W250" s="65"/>
      <c r="X250" s="63"/>
      <c r="Y250" s="63"/>
      <c r="Z250" s="61"/>
      <c r="AA250" s="61"/>
      <c r="AB250" s="61"/>
      <c r="AC250" s="61"/>
      <c r="AD250" s="61"/>
      <c r="AE250" s="61"/>
      <c r="AF250" s="61"/>
      <c r="AG250" s="61"/>
      <c r="AH250" s="68" t="n">
        <f aca="false">IF(G250="",0,ROUND((Strats!$C$4-G250)/30.4375,1))</f>
        <v>0</v>
      </c>
      <c r="AI250" s="69" t="n">
        <f aca="false">IF(K250="",0,IF(K250="Floating",Strats!$C$10+M250,L250))</f>
        <v>0</v>
      </c>
      <c r="AJ250" s="68" t="str">
        <f aca="false">IF(OR(Z250="",Z250="Full Amortizing"),"",MAX(J250-AH250,0))</f>
        <v/>
      </c>
      <c r="AK250" s="69" t="n">
        <f aca="false">IF(K250="",0,IF(K250="Floating",IF(P250&lt;&gt;"",MIN(IF(Q250&lt;&gt;"",MAX((Strats!$C$10+Strats!$C$11+M250),Q250),(Strats!$C$10+Strats!$C$11+M250)),P250),IF(Q250&lt;&gt;"",MAX((Strats!$C$10+Strats!$C$11+M250),Q250),(Strats!$C$10+Strats!$C$11+M250))),AI250))</f>
        <v>0</v>
      </c>
      <c r="AL250" s="68" t="str">
        <f aca="false">IF(OR(E250="",E250&lt;&gt;'Deal Strat'!$C$12,R250=""),"",SUMPRODUCT((E$4:E$303='Deal Strat'!$C$12)*(R$4:R$303&gt;R250))+1+SUMPRODUCT((E$4:E$303='Deal Strat'!$C$12)*(R$4:R$303=R250)*(ROW(R$4:R$303)&lt;ROW(R250))))</f>
        <v/>
      </c>
      <c r="AM250" s="68" t="str">
        <f aca="false">IF(R250="","",RANK(R250,$R$4:$R$303,0)+COUNTIF($R$4:R250,R250)-1)</f>
        <v/>
      </c>
      <c r="AN250" s="26" t="n">
        <f aca="false">IF(OR($A250="",$R250=""),0,IF(Deal_Scope="All Deals",1,IF($E250=Deal_Scope,1,0)))</f>
        <v>0</v>
      </c>
      <c r="AO250" s="56" t="n">
        <f aca="false">IF($AN250=0,0,Px_Par)</f>
        <v>0</v>
      </c>
      <c r="AP250" s="70" t="n">
        <f aca="false">IF($H250="",0,MAX(0,($H250-Set_Date)/30.4375))</f>
        <v>0</v>
      </c>
      <c r="AQ250" s="26" t="n">
        <f aca="false">IF(AND(Ext_Flag="Yes",$AA250="Yes"),Ext_Months,0)</f>
        <v>0</v>
      </c>
      <c r="AR250" s="70" t="n">
        <f aca="false">$AP250+$AQ250</f>
        <v>0</v>
      </c>
      <c r="AS250" s="70" t="n">
        <f aca="false">$AR250/12</f>
        <v>0</v>
      </c>
      <c r="AT250" s="70" t="n">
        <f aca="false">IF($AJ250="",0,MAX(0,$AJ250/12))</f>
        <v>0</v>
      </c>
      <c r="AU250" s="70" t="n">
        <f aca="false">MAX(Amort_Min,Amort_Term-$AH250/12)</f>
        <v>30</v>
      </c>
      <c r="AV250" s="70" t="n">
        <f aca="false">MIN($AS250,Hold_Yrs)</f>
        <v>0</v>
      </c>
      <c r="AW250" s="26" t="n">
        <f aca="false">IF($AN250=0,0,CEILING(MAX($AS250,0.0001),1))</f>
        <v>0</v>
      </c>
      <c r="AX250" s="26" t="n">
        <f aca="false">IF(AND($AN250=1,MAX($AS250,0.0001)&lt;=Hold_Yrs),1,0)</f>
        <v>0</v>
      </c>
      <c r="AY250" s="71" t="n">
        <f aca="false">$R250*$AO250</f>
        <v>0</v>
      </c>
      <c r="AZ250" s="71" t="n">
        <f aca="false">$R250*Acc_Int*$AN250</f>
        <v>0</v>
      </c>
      <c r="BA250" s="71" t="n">
        <f aca="false">$AY250*Acq_Cost</f>
        <v>0</v>
      </c>
      <c r="BB250" s="71" t="n">
        <f aca="false">$AY250+$AZ250+$BA250</f>
        <v>0</v>
      </c>
      <c r="BC250" s="71" t="n">
        <f aca="false">IF(Fin_Flag="Yes",$AY250*Adv_Rate,0)</f>
        <v>0</v>
      </c>
      <c r="BD250" s="71" t="n">
        <f aca="false">$BC250*Fin_UpFee</f>
        <v>0</v>
      </c>
      <c r="BE250" s="71" t="n">
        <f aca="false">$BB250-$BC250+$BD250</f>
        <v>0</v>
      </c>
    </row>
    <row r="251" customFormat="false" ht="14.25" hidden="false" customHeight="false" outlineLevel="0" collapsed="false">
      <c r="A251" s="61"/>
      <c r="B251" s="62"/>
      <c r="C251" s="61"/>
      <c r="D251" s="61"/>
      <c r="E251" s="61"/>
      <c r="F251" s="63"/>
      <c r="G251" s="64"/>
      <c r="H251" s="64"/>
      <c r="I251" s="63"/>
      <c r="J251" s="63"/>
      <c r="K251" s="61"/>
      <c r="L251" s="65"/>
      <c r="M251" s="65"/>
      <c r="N251" s="61"/>
      <c r="O251" s="64"/>
      <c r="P251" s="65"/>
      <c r="Q251" s="65"/>
      <c r="R251" s="66"/>
      <c r="S251" s="65"/>
      <c r="T251" s="65"/>
      <c r="U251" s="67"/>
      <c r="V251" s="65"/>
      <c r="W251" s="65"/>
      <c r="X251" s="63"/>
      <c r="Y251" s="63"/>
      <c r="Z251" s="61"/>
      <c r="AA251" s="61"/>
      <c r="AB251" s="61"/>
      <c r="AC251" s="61"/>
      <c r="AD251" s="61"/>
      <c r="AE251" s="61"/>
      <c r="AF251" s="61"/>
      <c r="AG251" s="61"/>
      <c r="AH251" s="68" t="n">
        <f aca="false">IF(G251="",0,ROUND((Strats!$C$4-G251)/30.4375,1))</f>
        <v>0</v>
      </c>
      <c r="AI251" s="69" t="n">
        <f aca="false">IF(K251="",0,IF(K251="Floating",Strats!$C$10+M251,L251))</f>
        <v>0</v>
      </c>
      <c r="AJ251" s="68" t="str">
        <f aca="false">IF(OR(Z251="",Z251="Full Amortizing"),"",MAX(J251-AH251,0))</f>
        <v/>
      </c>
      <c r="AK251" s="69" t="n">
        <f aca="false">IF(K251="",0,IF(K251="Floating",IF(P251&lt;&gt;"",MIN(IF(Q251&lt;&gt;"",MAX((Strats!$C$10+Strats!$C$11+M251),Q251),(Strats!$C$10+Strats!$C$11+M251)),P251),IF(Q251&lt;&gt;"",MAX((Strats!$C$10+Strats!$C$11+M251),Q251),(Strats!$C$10+Strats!$C$11+M251))),AI251))</f>
        <v>0</v>
      </c>
      <c r="AL251" s="68" t="str">
        <f aca="false">IF(OR(E251="",E251&lt;&gt;'Deal Strat'!$C$12,R251=""),"",SUMPRODUCT((E$4:E$303='Deal Strat'!$C$12)*(R$4:R$303&gt;R251))+1+SUMPRODUCT((E$4:E$303='Deal Strat'!$C$12)*(R$4:R$303=R251)*(ROW(R$4:R$303)&lt;ROW(R251))))</f>
        <v/>
      </c>
      <c r="AM251" s="68" t="str">
        <f aca="false">IF(R251="","",RANK(R251,$R$4:$R$303,0)+COUNTIF($R$4:R251,R251)-1)</f>
        <v/>
      </c>
      <c r="AN251" s="26" t="n">
        <f aca="false">IF(OR($A251="",$R251=""),0,IF(Deal_Scope="All Deals",1,IF($E251=Deal_Scope,1,0)))</f>
        <v>0</v>
      </c>
      <c r="AO251" s="56" t="n">
        <f aca="false">IF($AN251=0,0,Px_Par)</f>
        <v>0</v>
      </c>
      <c r="AP251" s="70" t="n">
        <f aca="false">IF($H251="",0,MAX(0,($H251-Set_Date)/30.4375))</f>
        <v>0</v>
      </c>
      <c r="AQ251" s="26" t="n">
        <f aca="false">IF(AND(Ext_Flag="Yes",$AA251="Yes"),Ext_Months,0)</f>
        <v>0</v>
      </c>
      <c r="AR251" s="70" t="n">
        <f aca="false">$AP251+$AQ251</f>
        <v>0</v>
      </c>
      <c r="AS251" s="70" t="n">
        <f aca="false">$AR251/12</f>
        <v>0</v>
      </c>
      <c r="AT251" s="70" t="n">
        <f aca="false">IF($AJ251="",0,MAX(0,$AJ251/12))</f>
        <v>0</v>
      </c>
      <c r="AU251" s="70" t="n">
        <f aca="false">MAX(Amort_Min,Amort_Term-$AH251/12)</f>
        <v>30</v>
      </c>
      <c r="AV251" s="70" t="n">
        <f aca="false">MIN($AS251,Hold_Yrs)</f>
        <v>0</v>
      </c>
      <c r="AW251" s="26" t="n">
        <f aca="false">IF($AN251=0,0,CEILING(MAX($AS251,0.0001),1))</f>
        <v>0</v>
      </c>
      <c r="AX251" s="26" t="n">
        <f aca="false">IF(AND($AN251=1,MAX($AS251,0.0001)&lt;=Hold_Yrs),1,0)</f>
        <v>0</v>
      </c>
      <c r="AY251" s="71" t="n">
        <f aca="false">$R251*$AO251</f>
        <v>0</v>
      </c>
      <c r="AZ251" s="71" t="n">
        <f aca="false">$R251*Acc_Int*$AN251</f>
        <v>0</v>
      </c>
      <c r="BA251" s="71" t="n">
        <f aca="false">$AY251*Acq_Cost</f>
        <v>0</v>
      </c>
      <c r="BB251" s="71" t="n">
        <f aca="false">$AY251+$AZ251+$BA251</f>
        <v>0</v>
      </c>
      <c r="BC251" s="71" t="n">
        <f aca="false">IF(Fin_Flag="Yes",$AY251*Adv_Rate,0)</f>
        <v>0</v>
      </c>
      <c r="BD251" s="71" t="n">
        <f aca="false">$BC251*Fin_UpFee</f>
        <v>0</v>
      </c>
      <c r="BE251" s="71" t="n">
        <f aca="false">$BB251-$BC251+$BD251</f>
        <v>0</v>
      </c>
    </row>
    <row r="252" customFormat="false" ht="14.25" hidden="false" customHeight="false" outlineLevel="0" collapsed="false">
      <c r="A252" s="61"/>
      <c r="B252" s="62"/>
      <c r="C252" s="61"/>
      <c r="D252" s="61"/>
      <c r="E252" s="61"/>
      <c r="F252" s="63"/>
      <c r="G252" s="64"/>
      <c r="H252" s="64"/>
      <c r="I252" s="63"/>
      <c r="J252" s="63"/>
      <c r="K252" s="61"/>
      <c r="L252" s="65"/>
      <c r="M252" s="65"/>
      <c r="N252" s="61"/>
      <c r="O252" s="64"/>
      <c r="P252" s="65"/>
      <c r="Q252" s="65"/>
      <c r="R252" s="66"/>
      <c r="S252" s="65"/>
      <c r="T252" s="65"/>
      <c r="U252" s="67"/>
      <c r="V252" s="65"/>
      <c r="W252" s="65"/>
      <c r="X252" s="63"/>
      <c r="Y252" s="63"/>
      <c r="Z252" s="61"/>
      <c r="AA252" s="61"/>
      <c r="AB252" s="61"/>
      <c r="AC252" s="61"/>
      <c r="AD252" s="61"/>
      <c r="AE252" s="61"/>
      <c r="AF252" s="61"/>
      <c r="AG252" s="61"/>
      <c r="AH252" s="68" t="n">
        <f aca="false">IF(G252="",0,ROUND((Strats!$C$4-G252)/30.4375,1))</f>
        <v>0</v>
      </c>
      <c r="AI252" s="69" t="n">
        <f aca="false">IF(K252="",0,IF(K252="Floating",Strats!$C$10+M252,L252))</f>
        <v>0</v>
      </c>
      <c r="AJ252" s="68" t="str">
        <f aca="false">IF(OR(Z252="",Z252="Full Amortizing"),"",MAX(J252-AH252,0))</f>
        <v/>
      </c>
      <c r="AK252" s="69" t="n">
        <f aca="false">IF(K252="",0,IF(K252="Floating",IF(P252&lt;&gt;"",MIN(IF(Q252&lt;&gt;"",MAX((Strats!$C$10+Strats!$C$11+M252),Q252),(Strats!$C$10+Strats!$C$11+M252)),P252),IF(Q252&lt;&gt;"",MAX((Strats!$C$10+Strats!$C$11+M252),Q252),(Strats!$C$10+Strats!$C$11+M252))),AI252))</f>
        <v>0</v>
      </c>
      <c r="AL252" s="68" t="str">
        <f aca="false">IF(OR(E252="",E252&lt;&gt;'Deal Strat'!$C$12,R252=""),"",SUMPRODUCT((E$4:E$303='Deal Strat'!$C$12)*(R$4:R$303&gt;R252))+1+SUMPRODUCT((E$4:E$303='Deal Strat'!$C$12)*(R$4:R$303=R252)*(ROW(R$4:R$303)&lt;ROW(R252))))</f>
        <v/>
      </c>
      <c r="AM252" s="68" t="str">
        <f aca="false">IF(R252="","",RANK(R252,$R$4:$R$303,0)+COUNTIF($R$4:R252,R252)-1)</f>
        <v/>
      </c>
      <c r="AN252" s="26" t="n">
        <f aca="false">IF(OR($A252="",$R252=""),0,IF(Deal_Scope="All Deals",1,IF($E252=Deal_Scope,1,0)))</f>
        <v>0</v>
      </c>
      <c r="AO252" s="56" t="n">
        <f aca="false">IF($AN252=0,0,Px_Par)</f>
        <v>0</v>
      </c>
      <c r="AP252" s="70" t="n">
        <f aca="false">IF($H252="",0,MAX(0,($H252-Set_Date)/30.4375))</f>
        <v>0</v>
      </c>
      <c r="AQ252" s="26" t="n">
        <f aca="false">IF(AND(Ext_Flag="Yes",$AA252="Yes"),Ext_Months,0)</f>
        <v>0</v>
      </c>
      <c r="AR252" s="70" t="n">
        <f aca="false">$AP252+$AQ252</f>
        <v>0</v>
      </c>
      <c r="AS252" s="70" t="n">
        <f aca="false">$AR252/12</f>
        <v>0</v>
      </c>
      <c r="AT252" s="70" t="n">
        <f aca="false">IF($AJ252="",0,MAX(0,$AJ252/12))</f>
        <v>0</v>
      </c>
      <c r="AU252" s="70" t="n">
        <f aca="false">MAX(Amort_Min,Amort_Term-$AH252/12)</f>
        <v>30</v>
      </c>
      <c r="AV252" s="70" t="n">
        <f aca="false">MIN($AS252,Hold_Yrs)</f>
        <v>0</v>
      </c>
      <c r="AW252" s="26" t="n">
        <f aca="false">IF($AN252=0,0,CEILING(MAX($AS252,0.0001),1))</f>
        <v>0</v>
      </c>
      <c r="AX252" s="26" t="n">
        <f aca="false">IF(AND($AN252=1,MAX($AS252,0.0001)&lt;=Hold_Yrs),1,0)</f>
        <v>0</v>
      </c>
      <c r="AY252" s="71" t="n">
        <f aca="false">$R252*$AO252</f>
        <v>0</v>
      </c>
      <c r="AZ252" s="71" t="n">
        <f aca="false">$R252*Acc_Int*$AN252</f>
        <v>0</v>
      </c>
      <c r="BA252" s="71" t="n">
        <f aca="false">$AY252*Acq_Cost</f>
        <v>0</v>
      </c>
      <c r="BB252" s="71" t="n">
        <f aca="false">$AY252+$AZ252+$BA252</f>
        <v>0</v>
      </c>
      <c r="BC252" s="71" t="n">
        <f aca="false">IF(Fin_Flag="Yes",$AY252*Adv_Rate,0)</f>
        <v>0</v>
      </c>
      <c r="BD252" s="71" t="n">
        <f aca="false">$BC252*Fin_UpFee</f>
        <v>0</v>
      </c>
      <c r="BE252" s="71" t="n">
        <f aca="false">$BB252-$BC252+$BD252</f>
        <v>0</v>
      </c>
    </row>
    <row r="253" customFormat="false" ht="14.25" hidden="false" customHeight="false" outlineLevel="0" collapsed="false">
      <c r="A253" s="61"/>
      <c r="B253" s="62"/>
      <c r="C253" s="61"/>
      <c r="D253" s="61"/>
      <c r="E253" s="61"/>
      <c r="F253" s="63"/>
      <c r="G253" s="64"/>
      <c r="H253" s="64"/>
      <c r="I253" s="63"/>
      <c r="J253" s="63"/>
      <c r="K253" s="61"/>
      <c r="L253" s="65"/>
      <c r="M253" s="65"/>
      <c r="N253" s="61"/>
      <c r="O253" s="64"/>
      <c r="P253" s="65"/>
      <c r="Q253" s="65"/>
      <c r="R253" s="66"/>
      <c r="S253" s="65"/>
      <c r="T253" s="65"/>
      <c r="U253" s="67"/>
      <c r="V253" s="65"/>
      <c r="W253" s="65"/>
      <c r="X253" s="63"/>
      <c r="Y253" s="63"/>
      <c r="Z253" s="61"/>
      <c r="AA253" s="61"/>
      <c r="AB253" s="61"/>
      <c r="AC253" s="61"/>
      <c r="AD253" s="61"/>
      <c r="AE253" s="61"/>
      <c r="AF253" s="61"/>
      <c r="AG253" s="61"/>
      <c r="AH253" s="68" t="n">
        <f aca="false">IF(G253="",0,ROUND((Strats!$C$4-G253)/30.4375,1))</f>
        <v>0</v>
      </c>
      <c r="AI253" s="69" t="n">
        <f aca="false">IF(K253="",0,IF(K253="Floating",Strats!$C$10+M253,L253))</f>
        <v>0</v>
      </c>
      <c r="AJ253" s="68" t="str">
        <f aca="false">IF(OR(Z253="",Z253="Full Amortizing"),"",MAX(J253-AH253,0))</f>
        <v/>
      </c>
      <c r="AK253" s="69" t="n">
        <f aca="false">IF(K253="",0,IF(K253="Floating",IF(P253&lt;&gt;"",MIN(IF(Q253&lt;&gt;"",MAX((Strats!$C$10+Strats!$C$11+M253),Q253),(Strats!$C$10+Strats!$C$11+M253)),P253),IF(Q253&lt;&gt;"",MAX((Strats!$C$10+Strats!$C$11+M253),Q253),(Strats!$C$10+Strats!$C$11+M253))),AI253))</f>
        <v>0</v>
      </c>
      <c r="AL253" s="68" t="str">
        <f aca="false">IF(OR(E253="",E253&lt;&gt;'Deal Strat'!$C$12,R253=""),"",SUMPRODUCT((E$4:E$303='Deal Strat'!$C$12)*(R$4:R$303&gt;R253))+1+SUMPRODUCT((E$4:E$303='Deal Strat'!$C$12)*(R$4:R$303=R253)*(ROW(R$4:R$303)&lt;ROW(R253))))</f>
        <v/>
      </c>
      <c r="AM253" s="68" t="str">
        <f aca="false">IF(R253="","",RANK(R253,$R$4:$R$303,0)+COUNTIF($R$4:R253,R253)-1)</f>
        <v/>
      </c>
      <c r="AN253" s="26" t="n">
        <f aca="false">IF(OR($A253="",$R253=""),0,IF(Deal_Scope="All Deals",1,IF($E253=Deal_Scope,1,0)))</f>
        <v>0</v>
      </c>
      <c r="AO253" s="56" t="n">
        <f aca="false">IF($AN253=0,0,Px_Par)</f>
        <v>0</v>
      </c>
      <c r="AP253" s="70" t="n">
        <f aca="false">IF($H253="",0,MAX(0,($H253-Set_Date)/30.4375))</f>
        <v>0</v>
      </c>
      <c r="AQ253" s="26" t="n">
        <f aca="false">IF(AND(Ext_Flag="Yes",$AA253="Yes"),Ext_Months,0)</f>
        <v>0</v>
      </c>
      <c r="AR253" s="70" t="n">
        <f aca="false">$AP253+$AQ253</f>
        <v>0</v>
      </c>
      <c r="AS253" s="70" t="n">
        <f aca="false">$AR253/12</f>
        <v>0</v>
      </c>
      <c r="AT253" s="70" t="n">
        <f aca="false">IF($AJ253="",0,MAX(0,$AJ253/12))</f>
        <v>0</v>
      </c>
      <c r="AU253" s="70" t="n">
        <f aca="false">MAX(Amort_Min,Amort_Term-$AH253/12)</f>
        <v>30</v>
      </c>
      <c r="AV253" s="70" t="n">
        <f aca="false">MIN($AS253,Hold_Yrs)</f>
        <v>0</v>
      </c>
      <c r="AW253" s="26" t="n">
        <f aca="false">IF($AN253=0,0,CEILING(MAX($AS253,0.0001),1))</f>
        <v>0</v>
      </c>
      <c r="AX253" s="26" t="n">
        <f aca="false">IF(AND($AN253=1,MAX($AS253,0.0001)&lt;=Hold_Yrs),1,0)</f>
        <v>0</v>
      </c>
      <c r="AY253" s="71" t="n">
        <f aca="false">$R253*$AO253</f>
        <v>0</v>
      </c>
      <c r="AZ253" s="71" t="n">
        <f aca="false">$R253*Acc_Int*$AN253</f>
        <v>0</v>
      </c>
      <c r="BA253" s="71" t="n">
        <f aca="false">$AY253*Acq_Cost</f>
        <v>0</v>
      </c>
      <c r="BB253" s="71" t="n">
        <f aca="false">$AY253+$AZ253+$BA253</f>
        <v>0</v>
      </c>
      <c r="BC253" s="71" t="n">
        <f aca="false">IF(Fin_Flag="Yes",$AY253*Adv_Rate,0)</f>
        <v>0</v>
      </c>
      <c r="BD253" s="71" t="n">
        <f aca="false">$BC253*Fin_UpFee</f>
        <v>0</v>
      </c>
      <c r="BE253" s="71" t="n">
        <f aca="false">$BB253-$BC253+$BD253</f>
        <v>0</v>
      </c>
    </row>
    <row r="254" customFormat="false" ht="14.25" hidden="false" customHeight="false" outlineLevel="0" collapsed="false">
      <c r="A254" s="61"/>
      <c r="B254" s="62"/>
      <c r="C254" s="61"/>
      <c r="D254" s="61"/>
      <c r="E254" s="61"/>
      <c r="F254" s="63"/>
      <c r="G254" s="64"/>
      <c r="H254" s="64"/>
      <c r="I254" s="63"/>
      <c r="J254" s="63"/>
      <c r="K254" s="61"/>
      <c r="L254" s="65"/>
      <c r="M254" s="65"/>
      <c r="N254" s="61"/>
      <c r="O254" s="64"/>
      <c r="P254" s="65"/>
      <c r="Q254" s="65"/>
      <c r="R254" s="66"/>
      <c r="S254" s="65"/>
      <c r="T254" s="65"/>
      <c r="U254" s="67"/>
      <c r="V254" s="65"/>
      <c r="W254" s="65"/>
      <c r="X254" s="63"/>
      <c r="Y254" s="63"/>
      <c r="Z254" s="61"/>
      <c r="AA254" s="61"/>
      <c r="AB254" s="61"/>
      <c r="AC254" s="61"/>
      <c r="AD254" s="61"/>
      <c r="AE254" s="61"/>
      <c r="AF254" s="61"/>
      <c r="AG254" s="61"/>
      <c r="AH254" s="68" t="n">
        <f aca="false">IF(G254="",0,ROUND((Strats!$C$4-G254)/30.4375,1))</f>
        <v>0</v>
      </c>
      <c r="AI254" s="69" t="n">
        <f aca="false">IF(K254="",0,IF(K254="Floating",Strats!$C$10+M254,L254))</f>
        <v>0</v>
      </c>
      <c r="AJ254" s="68" t="str">
        <f aca="false">IF(OR(Z254="",Z254="Full Amortizing"),"",MAX(J254-AH254,0))</f>
        <v/>
      </c>
      <c r="AK254" s="69" t="n">
        <f aca="false">IF(K254="",0,IF(K254="Floating",IF(P254&lt;&gt;"",MIN(IF(Q254&lt;&gt;"",MAX((Strats!$C$10+Strats!$C$11+M254),Q254),(Strats!$C$10+Strats!$C$11+M254)),P254),IF(Q254&lt;&gt;"",MAX((Strats!$C$10+Strats!$C$11+M254),Q254),(Strats!$C$10+Strats!$C$11+M254))),AI254))</f>
        <v>0</v>
      </c>
      <c r="AL254" s="68" t="str">
        <f aca="false">IF(OR(E254="",E254&lt;&gt;'Deal Strat'!$C$12,R254=""),"",SUMPRODUCT((E$4:E$303='Deal Strat'!$C$12)*(R$4:R$303&gt;R254))+1+SUMPRODUCT((E$4:E$303='Deal Strat'!$C$12)*(R$4:R$303=R254)*(ROW(R$4:R$303)&lt;ROW(R254))))</f>
        <v/>
      </c>
      <c r="AM254" s="68" t="str">
        <f aca="false">IF(R254="","",RANK(R254,$R$4:$R$303,0)+COUNTIF($R$4:R254,R254)-1)</f>
        <v/>
      </c>
      <c r="AN254" s="26" t="n">
        <f aca="false">IF(OR($A254="",$R254=""),0,IF(Deal_Scope="All Deals",1,IF($E254=Deal_Scope,1,0)))</f>
        <v>0</v>
      </c>
      <c r="AO254" s="56" t="n">
        <f aca="false">IF($AN254=0,0,Px_Par)</f>
        <v>0</v>
      </c>
      <c r="AP254" s="70" t="n">
        <f aca="false">IF($H254="",0,MAX(0,($H254-Set_Date)/30.4375))</f>
        <v>0</v>
      </c>
      <c r="AQ254" s="26" t="n">
        <f aca="false">IF(AND(Ext_Flag="Yes",$AA254="Yes"),Ext_Months,0)</f>
        <v>0</v>
      </c>
      <c r="AR254" s="70" t="n">
        <f aca="false">$AP254+$AQ254</f>
        <v>0</v>
      </c>
      <c r="AS254" s="70" t="n">
        <f aca="false">$AR254/12</f>
        <v>0</v>
      </c>
      <c r="AT254" s="70" t="n">
        <f aca="false">IF($AJ254="",0,MAX(0,$AJ254/12))</f>
        <v>0</v>
      </c>
      <c r="AU254" s="70" t="n">
        <f aca="false">MAX(Amort_Min,Amort_Term-$AH254/12)</f>
        <v>30</v>
      </c>
      <c r="AV254" s="70" t="n">
        <f aca="false">MIN($AS254,Hold_Yrs)</f>
        <v>0</v>
      </c>
      <c r="AW254" s="26" t="n">
        <f aca="false">IF($AN254=0,0,CEILING(MAX($AS254,0.0001),1))</f>
        <v>0</v>
      </c>
      <c r="AX254" s="26" t="n">
        <f aca="false">IF(AND($AN254=1,MAX($AS254,0.0001)&lt;=Hold_Yrs),1,0)</f>
        <v>0</v>
      </c>
      <c r="AY254" s="71" t="n">
        <f aca="false">$R254*$AO254</f>
        <v>0</v>
      </c>
      <c r="AZ254" s="71" t="n">
        <f aca="false">$R254*Acc_Int*$AN254</f>
        <v>0</v>
      </c>
      <c r="BA254" s="71" t="n">
        <f aca="false">$AY254*Acq_Cost</f>
        <v>0</v>
      </c>
      <c r="BB254" s="71" t="n">
        <f aca="false">$AY254+$AZ254+$BA254</f>
        <v>0</v>
      </c>
      <c r="BC254" s="71" t="n">
        <f aca="false">IF(Fin_Flag="Yes",$AY254*Adv_Rate,0)</f>
        <v>0</v>
      </c>
      <c r="BD254" s="71" t="n">
        <f aca="false">$BC254*Fin_UpFee</f>
        <v>0</v>
      </c>
      <c r="BE254" s="71" t="n">
        <f aca="false">$BB254-$BC254+$BD254</f>
        <v>0</v>
      </c>
    </row>
    <row r="255" customFormat="false" ht="14.25" hidden="false" customHeight="false" outlineLevel="0" collapsed="false">
      <c r="A255" s="61"/>
      <c r="B255" s="62"/>
      <c r="C255" s="61"/>
      <c r="D255" s="61"/>
      <c r="E255" s="61"/>
      <c r="F255" s="63"/>
      <c r="G255" s="64"/>
      <c r="H255" s="64"/>
      <c r="I255" s="63"/>
      <c r="J255" s="63"/>
      <c r="K255" s="61"/>
      <c r="L255" s="65"/>
      <c r="M255" s="65"/>
      <c r="N255" s="61"/>
      <c r="O255" s="64"/>
      <c r="P255" s="65"/>
      <c r="Q255" s="65"/>
      <c r="R255" s="66"/>
      <c r="S255" s="65"/>
      <c r="T255" s="65"/>
      <c r="U255" s="67"/>
      <c r="V255" s="65"/>
      <c r="W255" s="65"/>
      <c r="X255" s="63"/>
      <c r="Y255" s="63"/>
      <c r="Z255" s="61"/>
      <c r="AA255" s="61"/>
      <c r="AB255" s="61"/>
      <c r="AC255" s="61"/>
      <c r="AD255" s="61"/>
      <c r="AE255" s="61"/>
      <c r="AF255" s="61"/>
      <c r="AG255" s="61"/>
      <c r="AH255" s="68" t="n">
        <f aca="false">IF(G255="",0,ROUND((Strats!$C$4-G255)/30.4375,1))</f>
        <v>0</v>
      </c>
      <c r="AI255" s="69" t="n">
        <f aca="false">IF(K255="",0,IF(K255="Floating",Strats!$C$10+M255,L255))</f>
        <v>0</v>
      </c>
      <c r="AJ255" s="68" t="str">
        <f aca="false">IF(OR(Z255="",Z255="Full Amortizing"),"",MAX(J255-AH255,0))</f>
        <v/>
      </c>
      <c r="AK255" s="69" t="n">
        <f aca="false">IF(K255="",0,IF(K255="Floating",IF(P255&lt;&gt;"",MIN(IF(Q255&lt;&gt;"",MAX((Strats!$C$10+Strats!$C$11+M255),Q255),(Strats!$C$10+Strats!$C$11+M255)),P255),IF(Q255&lt;&gt;"",MAX((Strats!$C$10+Strats!$C$11+M255),Q255),(Strats!$C$10+Strats!$C$11+M255))),AI255))</f>
        <v>0</v>
      </c>
      <c r="AL255" s="68" t="str">
        <f aca="false">IF(OR(E255="",E255&lt;&gt;'Deal Strat'!$C$12,R255=""),"",SUMPRODUCT((E$4:E$303='Deal Strat'!$C$12)*(R$4:R$303&gt;R255))+1+SUMPRODUCT((E$4:E$303='Deal Strat'!$C$12)*(R$4:R$303=R255)*(ROW(R$4:R$303)&lt;ROW(R255))))</f>
        <v/>
      </c>
      <c r="AM255" s="68" t="str">
        <f aca="false">IF(R255="","",RANK(R255,$R$4:$R$303,0)+COUNTIF($R$4:R255,R255)-1)</f>
        <v/>
      </c>
      <c r="AN255" s="26" t="n">
        <f aca="false">IF(OR($A255="",$R255=""),0,IF(Deal_Scope="All Deals",1,IF($E255=Deal_Scope,1,0)))</f>
        <v>0</v>
      </c>
      <c r="AO255" s="56" t="n">
        <f aca="false">IF($AN255=0,0,Px_Par)</f>
        <v>0</v>
      </c>
      <c r="AP255" s="70" t="n">
        <f aca="false">IF($H255="",0,MAX(0,($H255-Set_Date)/30.4375))</f>
        <v>0</v>
      </c>
      <c r="AQ255" s="26" t="n">
        <f aca="false">IF(AND(Ext_Flag="Yes",$AA255="Yes"),Ext_Months,0)</f>
        <v>0</v>
      </c>
      <c r="AR255" s="70" t="n">
        <f aca="false">$AP255+$AQ255</f>
        <v>0</v>
      </c>
      <c r="AS255" s="70" t="n">
        <f aca="false">$AR255/12</f>
        <v>0</v>
      </c>
      <c r="AT255" s="70" t="n">
        <f aca="false">IF($AJ255="",0,MAX(0,$AJ255/12))</f>
        <v>0</v>
      </c>
      <c r="AU255" s="70" t="n">
        <f aca="false">MAX(Amort_Min,Amort_Term-$AH255/12)</f>
        <v>30</v>
      </c>
      <c r="AV255" s="70" t="n">
        <f aca="false">MIN($AS255,Hold_Yrs)</f>
        <v>0</v>
      </c>
      <c r="AW255" s="26" t="n">
        <f aca="false">IF($AN255=0,0,CEILING(MAX($AS255,0.0001),1))</f>
        <v>0</v>
      </c>
      <c r="AX255" s="26" t="n">
        <f aca="false">IF(AND($AN255=1,MAX($AS255,0.0001)&lt;=Hold_Yrs),1,0)</f>
        <v>0</v>
      </c>
      <c r="AY255" s="71" t="n">
        <f aca="false">$R255*$AO255</f>
        <v>0</v>
      </c>
      <c r="AZ255" s="71" t="n">
        <f aca="false">$R255*Acc_Int*$AN255</f>
        <v>0</v>
      </c>
      <c r="BA255" s="71" t="n">
        <f aca="false">$AY255*Acq_Cost</f>
        <v>0</v>
      </c>
      <c r="BB255" s="71" t="n">
        <f aca="false">$AY255+$AZ255+$BA255</f>
        <v>0</v>
      </c>
      <c r="BC255" s="71" t="n">
        <f aca="false">IF(Fin_Flag="Yes",$AY255*Adv_Rate,0)</f>
        <v>0</v>
      </c>
      <c r="BD255" s="71" t="n">
        <f aca="false">$BC255*Fin_UpFee</f>
        <v>0</v>
      </c>
      <c r="BE255" s="71" t="n">
        <f aca="false">$BB255-$BC255+$BD255</f>
        <v>0</v>
      </c>
    </row>
    <row r="256" customFormat="false" ht="14.25" hidden="false" customHeight="false" outlineLevel="0" collapsed="false">
      <c r="A256" s="61"/>
      <c r="B256" s="62"/>
      <c r="C256" s="61"/>
      <c r="D256" s="61"/>
      <c r="E256" s="61"/>
      <c r="F256" s="63"/>
      <c r="G256" s="64"/>
      <c r="H256" s="64"/>
      <c r="I256" s="63"/>
      <c r="J256" s="63"/>
      <c r="K256" s="61"/>
      <c r="L256" s="65"/>
      <c r="M256" s="65"/>
      <c r="N256" s="61"/>
      <c r="O256" s="64"/>
      <c r="P256" s="65"/>
      <c r="Q256" s="65"/>
      <c r="R256" s="66"/>
      <c r="S256" s="65"/>
      <c r="T256" s="65"/>
      <c r="U256" s="67"/>
      <c r="V256" s="65"/>
      <c r="W256" s="65"/>
      <c r="X256" s="63"/>
      <c r="Y256" s="63"/>
      <c r="Z256" s="61"/>
      <c r="AA256" s="61"/>
      <c r="AB256" s="61"/>
      <c r="AC256" s="61"/>
      <c r="AD256" s="61"/>
      <c r="AE256" s="61"/>
      <c r="AF256" s="61"/>
      <c r="AG256" s="61"/>
      <c r="AH256" s="68" t="n">
        <f aca="false">IF(G256="",0,ROUND((Strats!$C$4-G256)/30.4375,1))</f>
        <v>0</v>
      </c>
      <c r="AI256" s="69" t="n">
        <f aca="false">IF(K256="",0,IF(K256="Floating",Strats!$C$10+M256,L256))</f>
        <v>0</v>
      </c>
      <c r="AJ256" s="68" t="str">
        <f aca="false">IF(OR(Z256="",Z256="Full Amortizing"),"",MAX(J256-AH256,0))</f>
        <v/>
      </c>
      <c r="AK256" s="69" t="n">
        <f aca="false">IF(K256="",0,IF(K256="Floating",IF(P256&lt;&gt;"",MIN(IF(Q256&lt;&gt;"",MAX((Strats!$C$10+Strats!$C$11+M256),Q256),(Strats!$C$10+Strats!$C$11+M256)),P256),IF(Q256&lt;&gt;"",MAX((Strats!$C$10+Strats!$C$11+M256),Q256),(Strats!$C$10+Strats!$C$11+M256))),AI256))</f>
        <v>0</v>
      </c>
      <c r="AL256" s="68" t="str">
        <f aca="false">IF(OR(E256="",E256&lt;&gt;'Deal Strat'!$C$12,R256=""),"",SUMPRODUCT((E$4:E$303='Deal Strat'!$C$12)*(R$4:R$303&gt;R256))+1+SUMPRODUCT((E$4:E$303='Deal Strat'!$C$12)*(R$4:R$303=R256)*(ROW(R$4:R$303)&lt;ROW(R256))))</f>
        <v/>
      </c>
      <c r="AM256" s="68" t="str">
        <f aca="false">IF(R256="","",RANK(R256,$R$4:$R$303,0)+COUNTIF($R$4:R256,R256)-1)</f>
        <v/>
      </c>
      <c r="AN256" s="26" t="n">
        <f aca="false">IF(OR($A256="",$R256=""),0,IF(Deal_Scope="All Deals",1,IF($E256=Deal_Scope,1,0)))</f>
        <v>0</v>
      </c>
      <c r="AO256" s="56" t="n">
        <f aca="false">IF($AN256=0,0,Px_Par)</f>
        <v>0</v>
      </c>
      <c r="AP256" s="70" t="n">
        <f aca="false">IF($H256="",0,MAX(0,($H256-Set_Date)/30.4375))</f>
        <v>0</v>
      </c>
      <c r="AQ256" s="26" t="n">
        <f aca="false">IF(AND(Ext_Flag="Yes",$AA256="Yes"),Ext_Months,0)</f>
        <v>0</v>
      </c>
      <c r="AR256" s="70" t="n">
        <f aca="false">$AP256+$AQ256</f>
        <v>0</v>
      </c>
      <c r="AS256" s="70" t="n">
        <f aca="false">$AR256/12</f>
        <v>0</v>
      </c>
      <c r="AT256" s="70" t="n">
        <f aca="false">IF($AJ256="",0,MAX(0,$AJ256/12))</f>
        <v>0</v>
      </c>
      <c r="AU256" s="70" t="n">
        <f aca="false">MAX(Amort_Min,Amort_Term-$AH256/12)</f>
        <v>30</v>
      </c>
      <c r="AV256" s="70" t="n">
        <f aca="false">MIN($AS256,Hold_Yrs)</f>
        <v>0</v>
      </c>
      <c r="AW256" s="26" t="n">
        <f aca="false">IF($AN256=0,0,CEILING(MAX($AS256,0.0001),1))</f>
        <v>0</v>
      </c>
      <c r="AX256" s="26" t="n">
        <f aca="false">IF(AND($AN256=1,MAX($AS256,0.0001)&lt;=Hold_Yrs),1,0)</f>
        <v>0</v>
      </c>
      <c r="AY256" s="71" t="n">
        <f aca="false">$R256*$AO256</f>
        <v>0</v>
      </c>
      <c r="AZ256" s="71" t="n">
        <f aca="false">$R256*Acc_Int*$AN256</f>
        <v>0</v>
      </c>
      <c r="BA256" s="71" t="n">
        <f aca="false">$AY256*Acq_Cost</f>
        <v>0</v>
      </c>
      <c r="BB256" s="71" t="n">
        <f aca="false">$AY256+$AZ256+$BA256</f>
        <v>0</v>
      </c>
      <c r="BC256" s="71" t="n">
        <f aca="false">IF(Fin_Flag="Yes",$AY256*Adv_Rate,0)</f>
        <v>0</v>
      </c>
      <c r="BD256" s="71" t="n">
        <f aca="false">$BC256*Fin_UpFee</f>
        <v>0</v>
      </c>
      <c r="BE256" s="71" t="n">
        <f aca="false">$BB256-$BC256+$BD256</f>
        <v>0</v>
      </c>
    </row>
    <row r="257" customFormat="false" ht="14.25" hidden="false" customHeight="false" outlineLevel="0" collapsed="false">
      <c r="A257" s="61"/>
      <c r="B257" s="62"/>
      <c r="C257" s="61"/>
      <c r="D257" s="61"/>
      <c r="E257" s="61"/>
      <c r="F257" s="63"/>
      <c r="G257" s="64"/>
      <c r="H257" s="64"/>
      <c r="I257" s="63"/>
      <c r="J257" s="63"/>
      <c r="K257" s="61"/>
      <c r="L257" s="65"/>
      <c r="M257" s="65"/>
      <c r="N257" s="61"/>
      <c r="O257" s="64"/>
      <c r="P257" s="65"/>
      <c r="Q257" s="65"/>
      <c r="R257" s="66"/>
      <c r="S257" s="65"/>
      <c r="T257" s="65"/>
      <c r="U257" s="67"/>
      <c r="V257" s="65"/>
      <c r="W257" s="65"/>
      <c r="X257" s="63"/>
      <c r="Y257" s="63"/>
      <c r="Z257" s="61"/>
      <c r="AA257" s="61"/>
      <c r="AB257" s="61"/>
      <c r="AC257" s="61"/>
      <c r="AD257" s="61"/>
      <c r="AE257" s="61"/>
      <c r="AF257" s="61"/>
      <c r="AG257" s="61"/>
      <c r="AH257" s="68" t="n">
        <f aca="false">IF(G257="",0,ROUND((Strats!$C$4-G257)/30.4375,1))</f>
        <v>0</v>
      </c>
      <c r="AI257" s="69" t="n">
        <f aca="false">IF(K257="",0,IF(K257="Floating",Strats!$C$10+M257,L257))</f>
        <v>0</v>
      </c>
      <c r="AJ257" s="68" t="str">
        <f aca="false">IF(OR(Z257="",Z257="Full Amortizing"),"",MAX(J257-AH257,0))</f>
        <v/>
      </c>
      <c r="AK257" s="69" t="n">
        <f aca="false">IF(K257="",0,IF(K257="Floating",IF(P257&lt;&gt;"",MIN(IF(Q257&lt;&gt;"",MAX((Strats!$C$10+Strats!$C$11+M257),Q257),(Strats!$C$10+Strats!$C$11+M257)),P257),IF(Q257&lt;&gt;"",MAX((Strats!$C$10+Strats!$C$11+M257),Q257),(Strats!$C$10+Strats!$C$11+M257))),AI257))</f>
        <v>0</v>
      </c>
      <c r="AL257" s="68" t="str">
        <f aca="false">IF(OR(E257="",E257&lt;&gt;'Deal Strat'!$C$12,R257=""),"",SUMPRODUCT((E$4:E$303='Deal Strat'!$C$12)*(R$4:R$303&gt;R257))+1+SUMPRODUCT((E$4:E$303='Deal Strat'!$C$12)*(R$4:R$303=R257)*(ROW(R$4:R$303)&lt;ROW(R257))))</f>
        <v/>
      </c>
      <c r="AM257" s="68" t="str">
        <f aca="false">IF(R257="","",RANK(R257,$R$4:$R$303,0)+COUNTIF($R$4:R257,R257)-1)</f>
        <v/>
      </c>
      <c r="AN257" s="26" t="n">
        <f aca="false">IF(OR($A257="",$R257=""),0,IF(Deal_Scope="All Deals",1,IF($E257=Deal_Scope,1,0)))</f>
        <v>0</v>
      </c>
      <c r="AO257" s="56" t="n">
        <f aca="false">IF($AN257=0,0,Px_Par)</f>
        <v>0</v>
      </c>
      <c r="AP257" s="70" t="n">
        <f aca="false">IF($H257="",0,MAX(0,($H257-Set_Date)/30.4375))</f>
        <v>0</v>
      </c>
      <c r="AQ257" s="26" t="n">
        <f aca="false">IF(AND(Ext_Flag="Yes",$AA257="Yes"),Ext_Months,0)</f>
        <v>0</v>
      </c>
      <c r="AR257" s="70" t="n">
        <f aca="false">$AP257+$AQ257</f>
        <v>0</v>
      </c>
      <c r="AS257" s="70" t="n">
        <f aca="false">$AR257/12</f>
        <v>0</v>
      </c>
      <c r="AT257" s="70" t="n">
        <f aca="false">IF($AJ257="",0,MAX(0,$AJ257/12))</f>
        <v>0</v>
      </c>
      <c r="AU257" s="70" t="n">
        <f aca="false">MAX(Amort_Min,Amort_Term-$AH257/12)</f>
        <v>30</v>
      </c>
      <c r="AV257" s="70" t="n">
        <f aca="false">MIN($AS257,Hold_Yrs)</f>
        <v>0</v>
      </c>
      <c r="AW257" s="26" t="n">
        <f aca="false">IF($AN257=0,0,CEILING(MAX($AS257,0.0001),1))</f>
        <v>0</v>
      </c>
      <c r="AX257" s="26" t="n">
        <f aca="false">IF(AND($AN257=1,MAX($AS257,0.0001)&lt;=Hold_Yrs),1,0)</f>
        <v>0</v>
      </c>
      <c r="AY257" s="71" t="n">
        <f aca="false">$R257*$AO257</f>
        <v>0</v>
      </c>
      <c r="AZ257" s="71" t="n">
        <f aca="false">$R257*Acc_Int*$AN257</f>
        <v>0</v>
      </c>
      <c r="BA257" s="71" t="n">
        <f aca="false">$AY257*Acq_Cost</f>
        <v>0</v>
      </c>
      <c r="BB257" s="71" t="n">
        <f aca="false">$AY257+$AZ257+$BA257</f>
        <v>0</v>
      </c>
      <c r="BC257" s="71" t="n">
        <f aca="false">IF(Fin_Flag="Yes",$AY257*Adv_Rate,0)</f>
        <v>0</v>
      </c>
      <c r="BD257" s="71" t="n">
        <f aca="false">$BC257*Fin_UpFee</f>
        <v>0</v>
      </c>
      <c r="BE257" s="71" t="n">
        <f aca="false">$BB257-$BC257+$BD257</f>
        <v>0</v>
      </c>
    </row>
    <row r="258" customFormat="false" ht="14.25" hidden="false" customHeight="false" outlineLevel="0" collapsed="false">
      <c r="A258" s="61"/>
      <c r="B258" s="62"/>
      <c r="C258" s="61"/>
      <c r="D258" s="61"/>
      <c r="E258" s="61"/>
      <c r="F258" s="63"/>
      <c r="G258" s="64"/>
      <c r="H258" s="64"/>
      <c r="I258" s="63"/>
      <c r="J258" s="63"/>
      <c r="K258" s="61"/>
      <c r="L258" s="65"/>
      <c r="M258" s="65"/>
      <c r="N258" s="61"/>
      <c r="O258" s="64"/>
      <c r="P258" s="65"/>
      <c r="Q258" s="65"/>
      <c r="R258" s="66"/>
      <c r="S258" s="65"/>
      <c r="T258" s="65"/>
      <c r="U258" s="67"/>
      <c r="V258" s="65"/>
      <c r="W258" s="65"/>
      <c r="X258" s="63"/>
      <c r="Y258" s="63"/>
      <c r="Z258" s="61"/>
      <c r="AA258" s="61"/>
      <c r="AB258" s="61"/>
      <c r="AC258" s="61"/>
      <c r="AD258" s="61"/>
      <c r="AE258" s="61"/>
      <c r="AF258" s="61"/>
      <c r="AG258" s="61"/>
      <c r="AH258" s="68" t="n">
        <f aca="false">IF(G258="",0,ROUND((Strats!$C$4-G258)/30.4375,1))</f>
        <v>0</v>
      </c>
      <c r="AI258" s="69" t="n">
        <f aca="false">IF(K258="",0,IF(K258="Floating",Strats!$C$10+M258,L258))</f>
        <v>0</v>
      </c>
      <c r="AJ258" s="68" t="str">
        <f aca="false">IF(OR(Z258="",Z258="Full Amortizing"),"",MAX(J258-AH258,0))</f>
        <v/>
      </c>
      <c r="AK258" s="69" t="n">
        <f aca="false">IF(K258="",0,IF(K258="Floating",IF(P258&lt;&gt;"",MIN(IF(Q258&lt;&gt;"",MAX((Strats!$C$10+Strats!$C$11+M258),Q258),(Strats!$C$10+Strats!$C$11+M258)),P258),IF(Q258&lt;&gt;"",MAX((Strats!$C$10+Strats!$C$11+M258),Q258),(Strats!$C$10+Strats!$C$11+M258))),AI258))</f>
        <v>0</v>
      </c>
      <c r="AL258" s="68" t="str">
        <f aca="false">IF(OR(E258="",E258&lt;&gt;'Deal Strat'!$C$12,R258=""),"",SUMPRODUCT((E$4:E$303='Deal Strat'!$C$12)*(R$4:R$303&gt;R258))+1+SUMPRODUCT((E$4:E$303='Deal Strat'!$C$12)*(R$4:R$303=R258)*(ROW(R$4:R$303)&lt;ROW(R258))))</f>
        <v/>
      </c>
      <c r="AM258" s="68" t="str">
        <f aca="false">IF(R258="","",RANK(R258,$R$4:$R$303,0)+COUNTIF($R$4:R258,R258)-1)</f>
        <v/>
      </c>
      <c r="AN258" s="26" t="n">
        <f aca="false">IF(OR($A258="",$R258=""),0,IF(Deal_Scope="All Deals",1,IF($E258=Deal_Scope,1,0)))</f>
        <v>0</v>
      </c>
      <c r="AO258" s="56" t="n">
        <f aca="false">IF($AN258=0,0,Px_Par)</f>
        <v>0</v>
      </c>
      <c r="AP258" s="70" t="n">
        <f aca="false">IF($H258="",0,MAX(0,($H258-Set_Date)/30.4375))</f>
        <v>0</v>
      </c>
      <c r="AQ258" s="26" t="n">
        <f aca="false">IF(AND(Ext_Flag="Yes",$AA258="Yes"),Ext_Months,0)</f>
        <v>0</v>
      </c>
      <c r="AR258" s="70" t="n">
        <f aca="false">$AP258+$AQ258</f>
        <v>0</v>
      </c>
      <c r="AS258" s="70" t="n">
        <f aca="false">$AR258/12</f>
        <v>0</v>
      </c>
      <c r="AT258" s="70" t="n">
        <f aca="false">IF($AJ258="",0,MAX(0,$AJ258/12))</f>
        <v>0</v>
      </c>
      <c r="AU258" s="70" t="n">
        <f aca="false">MAX(Amort_Min,Amort_Term-$AH258/12)</f>
        <v>30</v>
      </c>
      <c r="AV258" s="70" t="n">
        <f aca="false">MIN($AS258,Hold_Yrs)</f>
        <v>0</v>
      </c>
      <c r="AW258" s="26" t="n">
        <f aca="false">IF($AN258=0,0,CEILING(MAX($AS258,0.0001),1))</f>
        <v>0</v>
      </c>
      <c r="AX258" s="26" t="n">
        <f aca="false">IF(AND($AN258=1,MAX($AS258,0.0001)&lt;=Hold_Yrs),1,0)</f>
        <v>0</v>
      </c>
      <c r="AY258" s="71" t="n">
        <f aca="false">$R258*$AO258</f>
        <v>0</v>
      </c>
      <c r="AZ258" s="71" t="n">
        <f aca="false">$R258*Acc_Int*$AN258</f>
        <v>0</v>
      </c>
      <c r="BA258" s="71" t="n">
        <f aca="false">$AY258*Acq_Cost</f>
        <v>0</v>
      </c>
      <c r="BB258" s="71" t="n">
        <f aca="false">$AY258+$AZ258+$BA258</f>
        <v>0</v>
      </c>
      <c r="BC258" s="71" t="n">
        <f aca="false">IF(Fin_Flag="Yes",$AY258*Adv_Rate,0)</f>
        <v>0</v>
      </c>
      <c r="BD258" s="71" t="n">
        <f aca="false">$BC258*Fin_UpFee</f>
        <v>0</v>
      </c>
      <c r="BE258" s="71" t="n">
        <f aca="false">$BB258-$BC258+$BD258</f>
        <v>0</v>
      </c>
    </row>
    <row r="259" customFormat="false" ht="14.25" hidden="false" customHeight="false" outlineLevel="0" collapsed="false">
      <c r="A259" s="61"/>
      <c r="B259" s="62"/>
      <c r="C259" s="61"/>
      <c r="D259" s="61"/>
      <c r="E259" s="61"/>
      <c r="F259" s="63"/>
      <c r="G259" s="64"/>
      <c r="H259" s="64"/>
      <c r="I259" s="63"/>
      <c r="J259" s="63"/>
      <c r="K259" s="61"/>
      <c r="L259" s="65"/>
      <c r="M259" s="65"/>
      <c r="N259" s="61"/>
      <c r="O259" s="64"/>
      <c r="P259" s="65"/>
      <c r="Q259" s="65"/>
      <c r="R259" s="66"/>
      <c r="S259" s="65"/>
      <c r="T259" s="65"/>
      <c r="U259" s="67"/>
      <c r="V259" s="65"/>
      <c r="W259" s="65"/>
      <c r="X259" s="63"/>
      <c r="Y259" s="63"/>
      <c r="Z259" s="61"/>
      <c r="AA259" s="61"/>
      <c r="AB259" s="61"/>
      <c r="AC259" s="61"/>
      <c r="AD259" s="61"/>
      <c r="AE259" s="61"/>
      <c r="AF259" s="61"/>
      <c r="AG259" s="61"/>
      <c r="AH259" s="68" t="n">
        <f aca="false">IF(G259="",0,ROUND((Strats!$C$4-G259)/30.4375,1))</f>
        <v>0</v>
      </c>
      <c r="AI259" s="69" t="n">
        <f aca="false">IF(K259="",0,IF(K259="Floating",Strats!$C$10+M259,L259))</f>
        <v>0</v>
      </c>
      <c r="AJ259" s="68" t="str">
        <f aca="false">IF(OR(Z259="",Z259="Full Amortizing"),"",MAX(J259-AH259,0))</f>
        <v/>
      </c>
      <c r="AK259" s="69" t="n">
        <f aca="false">IF(K259="",0,IF(K259="Floating",IF(P259&lt;&gt;"",MIN(IF(Q259&lt;&gt;"",MAX((Strats!$C$10+Strats!$C$11+M259),Q259),(Strats!$C$10+Strats!$C$11+M259)),P259),IF(Q259&lt;&gt;"",MAX((Strats!$C$10+Strats!$C$11+M259),Q259),(Strats!$C$10+Strats!$C$11+M259))),AI259))</f>
        <v>0</v>
      </c>
      <c r="AL259" s="68" t="str">
        <f aca="false">IF(OR(E259="",E259&lt;&gt;'Deal Strat'!$C$12,R259=""),"",SUMPRODUCT((E$4:E$303='Deal Strat'!$C$12)*(R$4:R$303&gt;R259))+1+SUMPRODUCT((E$4:E$303='Deal Strat'!$C$12)*(R$4:R$303=R259)*(ROW(R$4:R$303)&lt;ROW(R259))))</f>
        <v/>
      </c>
      <c r="AM259" s="68" t="str">
        <f aca="false">IF(R259="","",RANK(R259,$R$4:$R$303,0)+COUNTIF($R$4:R259,R259)-1)</f>
        <v/>
      </c>
      <c r="AN259" s="26" t="n">
        <f aca="false">IF(OR($A259="",$R259=""),0,IF(Deal_Scope="All Deals",1,IF($E259=Deal_Scope,1,0)))</f>
        <v>0</v>
      </c>
      <c r="AO259" s="56" t="n">
        <f aca="false">IF($AN259=0,0,Px_Par)</f>
        <v>0</v>
      </c>
      <c r="AP259" s="70" t="n">
        <f aca="false">IF($H259="",0,MAX(0,($H259-Set_Date)/30.4375))</f>
        <v>0</v>
      </c>
      <c r="AQ259" s="26" t="n">
        <f aca="false">IF(AND(Ext_Flag="Yes",$AA259="Yes"),Ext_Months,0)</f>
        <v>0</v>
      </c>
      <c r="AR259" s="70" t="n">
        <f aca="false">$AP259+$AQ259</f>
        <v>0</v>
      </c>
      <c r="AS259" s="70" t="n">
        <f aca="false">$AR259/12</f>
        <v>0</v>
      </c>
      <c r="AT259" s="70" t="n">
        <f aca="false">IF($AJ259="",0,MAX(0,$AJ259/12))</f>
        <v>0</v>
      </c>
      <c r="AU259" s="70" t="n">
        <f aca="false">MAX(Amort_Min,Amort_Term-$AH259/12)</f>
        <v>30</v>
      </c>
      <c r="AV259" s="70" t="n">
        <f aca="false">MIN($AS259,Hold_Yrs)</f>
        <v>0</v>
      </c>
      <c r="AW259" s="26" t="n">
        <f aca="false">IF($AN259=0,0,CEILING(MAX($AS259,0.0001),1))</f>
        <v>0</v>
      </c>
      <c r="AX259" s="26" t="n">
        <f aca="false">IF(AND($AN259=1,MAX($AS259,0.0001)&lt;=Hold_Yrs),1,0)</f>
        <v>0</v>
      </c>
      <c r="AY259" s="71" t="n">
        <f aca="false">$R259*$AO259</f>
        <v>0</v>
      </c>
      <c r="AZ259" s="71" t="n">
        <f aca="false">$R259*Acc_Int*$AN259</f>
        <v>0</v>
      </c>
      <c r="BA259" s="71" t="n">
        <f aca="false">$AY259*Acq_Cost</f>
        <v>0</v>
      </c>
      <c r="BB259" s="71" t="n">
        <f aca="false">$AY259+$AZ259+$BA259</f>
        <v>0</v>
      </c>
      <c r="BC259" s="71" t="n">
        <f aca="false">IF(Fin_Flag="Yes",$AY259*Adv_Rate,0)</f>
        <v>0</v>
      </c>
      <c r="BD259" s="71" t="n">
        <f aca="false">$BC259*Fin_UpFee</f>
        <v>0</v>
      </c>
      <c r="BE259" s="71" t="n">
        <f aca="false">$BB259-$BC259+$BD259</f>
        <v>0</v>
      </c>
    </row>
    <row r="260" customFormat="false" ht="14.25" hidden="false" customHeight="false" outlineLevel="0" collapsed="false">
      <c r="A260" s="61"/>
      <c r="B260" s="62"/>
      <c r="C260" s="61"/>
      <c r="D260" s="61"/>
      <c r="E260" s="61"/>
      <c r="F260" s="63"/>
      <c r="G260" s="64"/>
      <c r="H260" s="64"/>
      <c r="I260" s="63"/>
      <c r="J260" s="63"/>
      <c r="K260" s="61"/>
      <c r="L260" s="65"/>
      <c r="M260" s="65"/>
      <c r="N260" s="61"/>
      <c r="O260" s="64"/>
      <c r="P260" s="65"/>
      <c r="Q260" s="65"/>
      <c r="R260" s="66"/>
      <c r="S260" s="65"/>
      <c r="T260" s="65"/>
      <c r="U260" s="67"/>
      <c r="V260" s="65"/>
      <c r="W260" s="65"/>
      <c r="X260" s="63"/>
      <c r="Y260" s="63"/>
      <c r="Z260" s="61"/>
      <c r="AA260" s="61"/>
      <c r="AB260" s="61"/>
      <c r="AC260" s="61"/>
      <c r="AD260" s="61"/>
      <c r="AE260" s="61"/>
      <c r="AF260" s="61"/>
      <c r="AG260" s="61"/>
      <c r="AH260" s="68" t="n">
        <f aca="false">IF(G260="",0,ROUND((Strats!$C$4-G260)/30.4375,1))</f>
        <v>0</v>
      </c>
      <c r="AI260" s="69" t="n">
        <f aca="false">IF(K260="",0,IF(K260="Floating",Strats!$C$10+M260,L260))</f>
        <v>0</v>
      </c>
      <c r="AJ260" s="68" t="str">
        <f aca="false">IF(OR(Z260="",Z260="Full Amortizing"),"",MAX(J260-AH260,0))</f>
        <v/>
      </c>
      <c r="AK260" s="69" t="n">
        <f aca="false">IF(K260="",0,IF(K260="Floating",IF(P260&lt;&gt;"",MIN(IF(Q260&lt;&gt;"",MAX((Strats!$C$10+Strats!$C$11+M260),Q260),(Strats!$C$10+Strats!$C$11+M260)),P260),IF(Q260&lt;&gt;"",MAX((Strats!$C$10+Strats!$C$11+M260),Q260),(Strats!$C$10+Strats!$C$11+M260))),AI260))</f>
        <v>0</v>
      </c>
      <c r="AL260" s="68" t="str">
        <f aca="false">IF(OR(E260="",E260&lt;&gt;'Deal Strat'!$C$12,R260=""),"",SUMPRODUCT((E$4:E$303='Deal Strat'!$C$12)*(R$4:R$303&gt;R260))+1+SUMPRODUCT((E$4:E$303='Deal Strat'!$C$12)*(R$4:R$303=R260)*(ROW(R$4:R$303)&lt;ROW(R260))))</f>
        <v/>
      </c>
      <c r="AM260" s="68" t="str">
        <f aca="false">IF(R260="","",RANK(R260,$R$4:$R$303,0)+COUNTIF($R$4:R260,R260)-1)</f>
        <v/>
      </c>
      <c r="AN260" s="26" t="n">
        <f aca="false">IF(OR($A260="",$R260=""),0,IF(Deal_Scope="All Deals",1,IF($E260=Deal_Scope,1,0)))</f>
        <v>0</v>
      </c>
      <c r="AO260" s="56" t="n">
        <f aca="false">IF($AN260=0,0,Px_Par)</f>
        <v>0</v>
      </c>
      <c r="AP260" s="70" t="n">
        <f aca="false">IF($H260="",0,MAX(0,($H260-Set_Date)/30.4375))</f>
        <v>0</v>
      </c>
      <c r="AQ260" s="26" t="n">
        <f aca="false">IF(AND(Ext_Flag="Yes",$AA260="Yes"),Ext_Months,0)</f>
        <v>0</v>
      </c>
      <c r="AR260" s="70" t="n">
        <f aca="false">$AP260+$AQ260</f>
        <v>0</v>
      </c>
      <c r="AS260" s="70" t="n">
        <f aca="false">$AR260/12</f>
        <v>0</v>
      </c>
      <c r="AT260" s="70" t="n">
        <f aca="false">IF($AJ260="",0,MAX(0,$AJ260/12))</f>
        <v>0</v>
      </c>
      <c r="AU260" s="70" t="n">
        <f aca="false">MAX(Amort_Min,Amort_Term-$AH260/12)</f>
        <v>30</v>
      </c>
      <c r="AV260" s="70" t="n">
        <f aca="false">MIN($AS260,Hold_Yrs)</f>
        <v>0</v>
      </c>
      <c r="AW260" s="26" t="n">
        <f aca="false">IF($AN260=0,0,CEILING(MAX($AS260,0.0001),1))</f>
        <v>0</v>
      </c>
      <c r="AX260" s="26" t="n">
        <f aca="false">IF(AND($AN260=1,MAX($AS260,0.0001)&lt;=Hold_Yrs),1,0)</f>
        <v>0</v>
      </c>
      <c r="AY260" s="71" t="n">
        <f aca="false">$R260*$AO260</f>
        <v>0</v>
      </c>
      <c r="AZ260" s="71" t="n">
        <f aca="false">$R260*Acc_Int*$AN260</f>
        <v>0</v>
      </c>
      <c r="BA260" s="71" t="n">
        <f aca="false">$AY260*Acq_Cost</f>
        <v>0</v>
      </c>
      <c r="BB260" s="71" t="n">
        <f aca="false">$AY260+$AZ260+$BA260</f>
        <v>0</v>
      </c>
      <c r="BC260" s="71" t="n">
        <f aca="false">IF(Fin_Flag="Yes",$AY260*Adv_Rate,0)</f>
        <v>0</v>
      </c>
      <c r="BD260" s="71" t="n">
        <f aca="false">$BC260*Fin_UpFee</f>
        <v>0</v>
      </c>
      <c r="BE260" s="71" t="n">
        <f aca="false">$BB260-$BC260+$BD260</f>
        <v>0</v>
      </c>
    </row>
    <row r="261" customFormat="false" ht="14.25" hidden="false" customHeight="false" outlineLevel="0" collapsed="false">
      <c r="A261" s="61"/>
      <c r="B261" s="62"/>
      <c r="C261" s="61"/>
      <c r="D261" s="61"/>
      <c r="E261" s="61"/>
      <c r="F261" s="63"/>
      <c r="G261" s="64"/>
      <c r="H261" s="64"/>
      <c r="I261" s="63"/>
      <c r="J261" s="63"/>
      <c r="K261" s="61"/>
      <c r="L261" s="65"/>
      <c r="M261" s="65"/>
      <c r="N261" s="61"/>
      <c r="O261" s="64"/>
      <c r="P261" s="65"/>
      <c r="Q261" s="65"/>
      <c r="R261" s="66"/>
      <c r="S261" s="65"/>
      <c r="T261" s="65"/>
      <c r="U261" s="67"/>
      <c r="V261" s="65"/>
      <c r="W261" s="65"/>
      <c r="X261" s="63"/>
      <c r="Y261" s="63"/>
      <c r="Z261" s="61"/>
      <c r="AA261" s="61"/>
      <c r="AB261" s="61"/>
      <c r="AC261" s="61"/>
      <c r="AD261" s="61"/>
      <c r="AE261" s="61"/>
      <c r="AF261" s="61"/>
      <c r="AG261" s="61"/>
      <c r="AH261" s="68" t="n">
        <f aca="false">IF(G261="",0,ROUND((Strats!$C$4-G261)/30.4375,1))</f>
        <v>0</v>
      </c>
      <c r="AI261" s="69" t="n">
        <f aca="false">IF(K261="",0,IF(K261="Floating",Strats!$C$10+M261,L261))</f>
        <v>0</v>
      </c>
      <c r="AJ261" s="68" t="str">
        <f aca="false">IF(OR(Z261="",Z261="Full Amortizing"),"",MAX(J261-AH261,0))</f>
        <v/>
      </c>
      <c r="AK261" s="69" t="n">
        <f aca="false">IF(K261="",0,IF(K261="Floating",IF(P261&lt;&gt;"",MIN(IF(Q261&lt;&gt;"",MAX((Strats!$C$10+Strats!$C$11+M261),Q261),(Strats!$C$10+Strats!$C$11+M261)),P261),IF(Q261&lt;&gt;"",MAX((Strats!$C$10+Strats!$C$11+M261),Q261),(Strats!$C$10+Strats!$C$11+M261))),AI261))</f>
        <v>0</v>
      </c>
      <c r="AL261" s="68" t="str">
        <f aca="false">IF(OR(E261="",E261&lt;&gt;'Deal Strat'!$C$12,R261=""),"",SUMPRODUCT((E$4:E$303='Deal Strat'!$C$12)*(R$4:R$303&gt;R261))+1+SUMPRODUCT((E$4:E$303='Deal Strat'!$C$12)*(R$4:R$303=R261)*(ROW(R$4:R$303)&lt;ROW(R261))))</f>
        <v/>
      </c>
      <c r="AM261" s="68" t="str">
        <f aca="false">IF(R261="","",RANK(R261,$R$4:$R$303,0)+COUNTIF($R$4:R261,R261)-1)</f>
        <v/>
      </c>
      <c r="AN261" s="26" t="n">
        <f aca="false">IF(OR($A261="",$R261=""),0,IF(Deal_Scope="All Deals",1,IF($E261=Deal_Scope,1,0)))</f>
        <v>0</v>
      </c>
      <c r="AO261" s="56" t="n">
        <f aca="false">IF($AN261=0,0,Px_Par)</f>
        <v>0</v>
      </c>
      <c r="AP261" s="70" t="n">
        <f aca="false">IF($H261="",0,MAX(0,($H261-Set_Date)/30.4375))</f>
        <v>0</v>
      </c>
      <c r="AQ261" s="26" t="n">
        <f aca="false">IF(AND(Ext_Flag="Yes",$AA261="Yes"),Ext_Months,0)</f>
        <v>0</v>
      </c>
      <c r="AR261" s="70" t="n">
        <f aca="false">$AP261+$AQ261</f>
        <v>0</v>
      </c>
      <c r="AS261" s="70" t="n">
        <f aca="false">$AR261/12</f>
        <v>0</v>
      </c>
      <c r="AT261" s="70" t="n">
        <f aca="false">IF($AJ261="",0,MAX(0,$AJ261/12))</f>
        <v>0</v>
      </c>
      <c r="AU261" s="70" t="n">
        <f aca="false">MAX(Amort_Min,Amort_Term-$AH261/12)</f>
        <v>30</v>
      </c>
      <c r="AV261" s="70" t="n">
        <f aca="false">MIN($AS261,Hold_Yrs)</f>
        <v>0</v>
      </c>
      <c r="AW261" s="26" t="n">
        <f aca="false">IF($AN261=0,0,CEILING(MAX($AS261,0.0001),1))</f>
        <v>0</v>
      </c>
      <c r="AX261" s="26" t="n">
        <f aca="false">IF(AND($AN261=1,MAX($AS261,0.0001)&lt;=Hold_Yrs),1,0)</f>
        <v>0</v>
      </c>
      <c r="AY261" s="71" t="n">
        <f aca="false">$R261*$AO261</f>
        <v>0</v>
      </c>
      <c r="AZ261" s="71" t="n">
        <f aca="false">$R261*Acc_Int*$AN261</f>
        <v>0</v>
      </c>
      <c r="BA261" s="71" t="n">
        <f aca="false">$AY261*Acq_Cost</f>
        <v>0</v>
      </c>
      <c r="BB261" s="71" t="n">
        <f aca="false">$AY261+$AZ261+$BA261</f>
        <v>0</v>
      </c>
      <c r="BC261" s="71" t="n">
        <f aca="false">IF(Fin_Flag="Yes",$AY261*Adv_Rate,0)</f>
        <v>0</v>
      </c>
      <c r="BD261" s="71" t="n">
        <f aca="false">$BC261*Fin_UpFee</f>
        <v>0</v>
      </c>
      <c r="BE261" s="71" t="n">
        <f aca="false">$BB261-$BC261+$BD261</f>
        <v>0</v>
      </c>
    </row>
    <row r="262" customFormat="false" ht="14.25" hidden="false" customHeight="false" outlineLevel="0" collapsed="false">
      <c r="A262" s="61"/>
      <c r="B262" s="62"/>
      <c r="C262" s="61"/>
      <c r="D262" s="61"/>
      <c r="E262" s="61"/>
      <c r="F262" s="63"/>
      <c r="G262" s="64"/>
      <c r="H262" s="64"/>
      <c r="I262" s="63"/>
      <c r="J262" s="63"/>
      <c r="K262" s="61"/>
      <c r="L262" s="65"/>
      <c r="M262" s="65"/>
      <c r="N262" s="61"/>
      <c r="O262" s="64"/>
      <c r="P262" s="65"/>
      <c r="Q262" s="65"/>
      <c r="R262" s="66"/>
      <c r="S262" s="65"/>
      <c r="T262" s="65"/>
      <c r="U262" s="67"/>
      <c r="V262" s="65"/>
      <c r="W262" s="65"/>
      <c r="X262" s="63"/>
      <c r="Y262" s="63"/>
      <c r="Z262" s="61"/>
      <c r="AA262" s="61"/>
      <c r="AB262" s="61"/>
      <c r="AC262" s="61"/>
      <c r="AD262" s="61"/>
      <c r="AE262" s="61"/>
      <c r="AF262" s="61"/>
      <c r="AG262" s="61"/>
      <c r="AH262" s="68" t="n">
        <f aca="false">IF(G262="",0,ROUND((Strats!$C$4-G262)/30.4375,1))</f>
        <v>0</v>
      </c>
      <c r="AI262" s="69" t="n">
        <f aca="false">IF(K262="",0,IF(K262="Floating",Strats!$C$10+M262,L262))</f>
        <v>0</v>
      </c>
      <c r="AJ262" s="68" t="str">
        <f aca="false">IF(OR(Z262="",Z262="Full Amortizing"),"",MAX(J262-AH262,0))</f>
        <v/>
      </c>
      <c r="AK262" s="69" t="n">
        <f aca="false">IF(K262="",0,IF(K262="Floating",IF(P262&lt;&gt;"",MIN(IF(Q262&lt;&gt;"",MAX((Strats!$C$10+Strats!$C$11+M262),Q262),(Strats!$C$10+Strats!$C$11+M262)),P262),IF(Q262&lt;&gt;"",MAX((Strats!$C$10+Strats!$C$11+M262),Q262),(Strats!$C$10+Strats!$C$11+M262))),AI262))</f>
        <v>0</v>
      </c>
      <c r="AL262" s="68" t="str">
        <f aca="false">IF(OR(E262="",E262&lt;&gt;'Deal Strat'!$C$12,R262=""),"",SUMPRODUCT((E$4:E$303='Deal Strat'!$C$12)*(R$4:R$303&gt;R262))+1+SUMPRODUCT((E$4:E$303='Deal Strat'!$C$12)*(R$4:R$303=R262)*(ROW(R$4:R$303)&lt;ROW(R262))))</f>
        <v/>
      </c>
      <c r="AM262" s="68" t="str">
        <f aca="false">IF(R262="","",RANK(R262,$R$4:$R$303,0)+COUNTIF($R$4:R262,R262)-1)</f>
        <v/>
      </c>
      <c r="AN262" s="26" t="n">
        <f aca="false">IF(OR($A262="",$R262=""),0,IF(Deal_Scope="All Deals",1,IF($E262=Deal_Scope,1,0)))</f>
        <v>0</v>
      </c>
      <c r="AO262" s="56" t="n">
        <f aca="false">IF($AN262=0,0,Px_Par)</f>
        <v>0</v>
      </c>
      <c r="AP262" s="70" t="n">
        <f aca="false">IF($H262="",0,MAX(0,($H262-Set_Date)/30.4375))</f>
        <v>0</v>
      </c>
      <c r="AQ262" s="26" t="n">
        <f aca="false">IF(AND(Ext_Flag="Yes",$AA262="Yes"),Ext_Months,0)</f>
        <v>0</v>
      </c>
      <c r="AR262" s="70" t="n">
        <f aca="false">$AP262+$AQ262</f>
        <v>0</v>
      </c>
      <c r="AS262" s="70" t="n">
        <f aca="false">$AR262/12</f>
        <v>0</v>
      </c>
      <c r="AT262" s="70" t="n">
        <f aca="false">IF($AJ262="",0,MAX(0,$AJ262/12))</f>
        <v>0</v>
      </c>
      <c r="AU262" s="70" t="n">
        <f aca="false">MAX(Amort_Min,Amort_Term-$AH262/12)</f>
        <v>30</v>
      </c>
      <c r="AV262" s="70" t="n">
        <f aca="false">MIN($AS262,Hold_Yrs)</f>
        <v>0</v>
      </c>
      <c r="AW262" s="26" t="n">
        <f aca="false">IF($AN262=0,0,CEILING(MAX($AS262,0.0001),1))</f>
        <v>0</v>
      </c>
      <c r="AX262" s="26" t="n">
        <f aca="false">IF(AND($AN262=1,MAX($AS262,0.0001)&lt;=Hold_Yrs),1,0)</f>
        <v>0</v>
      </c>
      <c r="AY262" s="71" t="n">
        <f aca="false">$R262*$AO262</f>
        <v>0</v>
      </c>
      <c r="AZ262" s="71" t="n">
        <f aca="false">$R262*Acc_Int*$AN262</f>
        <v>0</v>
      </c>
      <c r="BA262" s="71" t="n">
        <f aca="false">$AY262*Acq_Cost</f>
        <v>0</v>
      </c>
      <c r="BB262" s="71" t="n">
        <f aca="false">$AY262+$AZ262+$BA262</f>
        <v>0</v>
      </c>
      <c r="BC262" s="71" t="n">
        <f aca="false">IF(Fin_Flag="Yes",$AY262*Adv_Rate,0)</f>
        <v>0</v>
      </c>
      <c r="BD262" s="71" t="n">
        <f aca="false">$BC262*Fin_UpFee</f>
        <v>0</v>
      </c>
      <c r="BE262" s="71" t="n">
        <f aca="false">$BB262-$BC262+$BD262</f>
        <v>0</v>
      </c>
    </row>
    <row r="263" customFormat="false" ht="14.25" hidden="false" customHeight="false" outlineLevel="0" collapsed="false">
      <c r="A263" s="61"/>
      <c r="B263" s="62"/>
      <c r="C263" s="61"/>
      <c r="D263" s="61"/>
      <c r="E263" s="61"/>
      <c r="F263" s="63"/>
      <c r="G263" s="64"/>
      <c r="H263" s="64"/>
      <c r="I263" s="63"/>
      <c r="J263" s="63"/>
      <c r="K263" s="61"/>
      <c r="L263" s="65"/>
      <c r="M263" s="65"/>
      <c r="N263" s="61"/>
      <c r="O263" s="64"/>
      <c r="P263" s="65"/>
      <c r="Q263" s="65"/>
      <c r="R263" s="66"/>
      <c r="S263" s="65"/>
      <c r="T263" s="65"/>
      <c r="U263" s="67"/>
      <c r="V263" s="65"/>
      <c r="W263" s="65"/>
      <c r="X263" s="63"/>
      <c r="Y263" s="63"/>
      <c r="Z263" s="61"/>
      <c r="AA263" s="61"/>
      <c r="AB263" s="61"/>
      <c r="AC263" s="61"/>
      <c r="AD263" s="61"/>
      <c r="AE263" s="61"/>
      <c r="AF263" s="61"/>
      <c r="AG263" s="61"/>
      <c r="AH263" s="68" t="n">
        <f aca="false">IF(G263="",0,ROUND((Strats!$C$4-G263)/30.4375,1))</f>
        <v>0</v>
      </c>
      <c r="AI263" s="69" t="n">
        <f aca="false">IF(K263="",0,IF(K263="Floating",Strats!$C$10+M263,L263))</f>
        <v>0</v>
      </c>
      <c r="AJ263" s="68" t="str">
        <f aca="false">IF(OR(Z263="",Z263="Full Amortizing"),"",MAX(J263-AH263,0))</f>
        <v/>
      </c>
      <c r="AK263" s="69" t="n">
        <f aca="false">IF(K263="",0,IF(K263="Floating",IF(P263&lt;&gt;"",MIN(IF(Q263&lt;&gt;"",MAX((Strats!$C$10+Strats!$C$11+M263),Q263),(Strats!$C$10+Strats!$C$11+M263)),P263),IF(Q263&lt;&gt;"",MAX((Strats!$C$10+Strats!$C$11+M263),Q263),(Strats!$C$10+Strats!$C$11+M263))),AI263))</f>
        <v>0</v>
      </c>
      <c r="AL263" s="68" t="str">
        <f aca="false">IF(OR(E263="",E263&lt;&gt;'Deal Strat'!$C$12,R263=""),"",SUMPRODUCT((E$4:E$303='Deal Strat'!$C$12)*(R$4:R$303&gt;R263))+1+SUMPRODUCT((E$4:E$303='Deal Strat'!$C$12)*(R$4:R$303=R263)*(ROW(R$4:R$303)&lt;ROW(R263))))</f>
        <v/>
      </c>
      <c r="AM263" s="68" t="str">
        <f aca="false">IF(R263="","",RANK(R263,$R$4:$R$303,0)+COUNTIF($R$4:R263,R263)-1)</f>
        <v/>
      </c>
      <c r="AN263" s="26" t="n">
        <f aca="false">IF(OR($A263="",$R263=""),0,IF(Deal_Scope="All Deals",1,IF($E263=Deal_Scope,1,0)))</f>
        <v>0</v>
      </c>
      <c r="AO263" s="56" t="n">
        <f aca="false">IF($AN263=0,0,Px_Par)</f>
        <v>0</v>
      </c>
      <c r="AP263" s="70" t="n">
        <f aca="false">IF($H263="",0,MAX(0,($H263-Set_Date)/30.4375))</f>
        <v>0</v>
      </c>
      <c r="AQ263" s="26" t="n">
        <f aca="false">IF(AND(Ext_Flag="Yes",$AA263="Yes"),Ext_Months,0)</f>
        <v>0</v>
      </c>
      <c r="AR263" s="70" t="n">
        <f aca="false">$AP263+$AQ263</f>
        <v>0</v>
      </c>
      <c r="AS263" s="70" t="n">
        <f aca="false">$AR263/12</f>
        <v>0</v>
      </c>
      <c r="AT263" s="70" t="n">
        <f aca="false">IF($AJ263="",0,MAX(0,$AJ263/12))</f>
        <v>0</v>
      </c>
      <c r="AU263" s="70" t="n">
        <f aca="false">MAX(Amort_Min,Amort_Term-$AH263/12)</f>
        <v>30</v>
      </c>
      <c r="AV263" s="70" t="n">
        <f aca="false">MIN($AS263,Hold_Yrs)</f>
        <v>0</v>
      </c>
      <c r="AW263" s="26" t="n">
        <f aca="false">IF($AN263=0,0,CEILING(MAX($AS263,0.0001),1))</f>
        <v>0</v>
      </c>
      <c r="AX263" s="26" t="n">
        <f aca="false">IF(AND($AN263=1,MAX($AS263,0.0001)&lt;=Hold_Yrs),1,0)</f>
        <v>0</v>
      </c>
      <c r="AY263" s="71" t="n">
        <f aca="false">$R263*$AO263</f>
        <v>0</v>
      </c>
      <c r="AZ263" s="71" t="n">
        <f aca="false">$R263*Acc_Int*$AN263</f>
        <v>0</v>
      </c>
      <c r="BA263" s="71" t="n">
        <f aca="false">$AY263*Acq_Cost</f>
        <v>0</v>
      </c>
      <c r="BB263" s="71" t="n">
        <f aca="false">$AY263+$AZ263+$BA263</f>
        <v>0</v>
      </c>
      <c r="BC263" s="71" t="n">
        <f aca="false">IF(Fin_Flag="Yes",$AY263*Adv_Rate,0)</f>
        <v>0</v>
      </c>
      <c r="BD263" s="71" t="n">
        <f aca="false">$BC263*Fin_UpFee</f>
        <v>0</v>
      </c>
      <c r="BE263" s="71" t="n">
        <f aca="false">$BB263-$BC263+$BD263</f>
        <v>0</v>
      </c>
    </row>
    <row r="264" customFormat="false" ht="14.25" hidden="false" customHeight="false" outlineLevel="0" collapsed="false">
      <c r="A264" s="61"/>
      <c r="B264" s="62"/>
      <c r="C264" s="61"/>
      <c r="D264" s="61"/>
      <c r="E264" s="61"/>
      <c r="F264" s="63"/>
      <c r="G264" s="64"/>
      <c r="H264" s="64"/>
      <c r="I264" s="63"/>
      <c r="J264" s="63"/>
      <c r="K264" s="61"/>
      <c r="L264" s="65"/>
      <c r="M264" s="65"/>
      <c r="N264" s="61"/>
      <c r="O264" s="64"/>
      <c r="P264" s="65"/>
      <c r="Q264" s="65"/>
      <c r="R264" s="66"/>
      <c r="S264" s="65"/>
      <c r="T264" s="65"/>
      <c r="U264" s="67"/>
      <c r="V264" s="65"/>
      <c r="W264" s="65"/>
      <c r="X264" s="63"/>
      <c r="Y264" s="63"/>
      <c r="Z264" s="61"/>
      <c r="AA264" s="61"/>
      <c r="AB264" s="61"/>
      <c r="AC264" s="61"/>
      <c r="AD264" s="61"/>
      <c r="AE264" s="61"/>
      <c r="AF264" s="61"/>
      <c r="AG264" s="61"/>
      <c r="AH264" s="68" t="n">
        <f aca="false">IF(G264="",0,ROUND((Strats!$C$4-G264)/30.4375,1))</f>
        <v>0</v>
      </c>
      <c r="AI264" s="69" t="n">
        <f aca="false">IF(K264="",0,IF(K264="Floating",Strats!$C$10+M264,L264))</f>
        <v>0</v>
      </c>
      <c r="AJ264" s="68" t="str">
        <f aca="false">IF(OR(Z264="",Z264="Full Amortizing"),"",MAX(J264-AH264,0))</f>
        <v/>
      </c>
      <c r="AK264" s="69" t="n">
        <f aca="false">IF(K264="",0,IF(K264="Floating",IF(P264&lt;&gt;"",MIN(IF(Q264&lt;&gt;"",MAX((Strats!$C$10+Strats!$C$11+M264),Q264),(Strats!$C$10+Strats!$C$11+M264)),P264),IF(Q264&lt;&gt;"",MAX((Strats!$C$10+Strats!$C$11+M264),Q264),(Strats!$C$10+Strats!$C$11+M264))),AI264))</f>
        <v>0</v>
      </c>
      <c r="AL264" s="68" t="str">
        <f aca="false">IF(OR(E264="",E264&lt;&gt;'Deal Strat'!$C$12,R264=""),"",SUMPRODUCT((E$4:E$303='Deal Strat'!$C$12)*(R$4:R$303&gt;R264))+1+SUMPRODUCT((E$4:E$303='Deal Strat'!$C$12)*(R$4:R$303=R264)*(ROW(R$4:R$303)&lt;ROW(R264))))</f>
        <v/>
      </c>
      <c r="AM264" s="68" t="str">
        <f aca="false">IF(R264="","",RANK(R264,$R$4:$R$303,0)+COUNTIF($R$4:R264,R264)-1)</f>
        <v/>
      </c>
      <c r="AN264" s="26" t="n">
        <f aca="false">IF(OR($A264="",$R264=""),0,IF(Deal_Scope="All Deals",1,IF($E264=Deal_Scope,1,0)))</f>
        <v>0</v>
      </c>
      <c r="AO264" s="56" t="n">
        <f aca="false">IF($AN264=0,0,Px_Par)</f>
        <v>0</v>
      </c>
      <c r="AP264" s="70" t="n">
        <f aca="false">IF($H264="",0,MAX(0,($H264-Set_Date)/30.4375))</f>
        <v>0</v>
      </c>
      <c r="AQ264" s="26" t="n">
        <f aca="false">IF(AND(Ext_Flag="Yes",$AA264="Yes"),Ext_Months,0)</f>
        <v>0</v>
      </c>
      <c r="AR264" s="70" t="n">
        <f aca="false">$AP264+$AQ264</f>
        <v>0</v>
      </c>
      <c r="AS264" s="70" t="n">
        <f aca="false">$AR264/12</f>
        <v>0</v>
      </c>
      <c r="AT264" s="70" t="n">
        <f aca="false">IF($AJ264="",0,MAX(0,$AJ264/12))</f>
        <v>0</v>
      </c>
      <c r="AU264" s="70" t="n">
        <f aca="false">MAX(Amort_Min,Amort_Term-$AH264/12)</f>
        <v>30</v>
      </c>
      <c r="AV264" s="70" t="n">
        <f aca="false">MIN($AS264,Hold_Yrs)</f>
        <v>0</v>
      </c>
      <c r="AW264" s="26" t="n">
        <f aca="false">IF($AN264=0,0,CEILING(MAX($AS264,0.0001),1))</f>
        <v>0</v>
      </c>
      <c r="AX264" s="26" t="n">
        <f aca="false">IF(AND($AN264=1,MAX($AS264,0.0001)&lt;=Hold_Yrs),1,0)</f>
        <v>0</v>
      </c>
      <c r="AY264" s="71" t="n">
        <f aca="false">$R264*$AO264</f>
        <v>0</v>
      </c>
      <c r="AZ264" s="71" t="n">
        <f aca="false">$R264*Acc_Int*$AN264</f>
        <v>0</v>
      </c>
      <c r="BA264" s="71" t="n">
        <f aca="false">$AY264*Acq_Cost</f>
        <v>0</v>
      </c>
      <c r="BB264" s="71" t="n">
        <f aca="false">$AY264+$AZ264+$BA264</f>
        <v>0</v>
      </c>
      <c r="BC264" s="71" t="n">
        <f aca="false">IF(Fin_Flag="Yes",$AY264*Adv_Rate,0)</f>
        <v>0</v>
      </c>
      <c r="BD264" s="71" t="n">
        <f aca="false">$BC264*Fin_UpFee</f>
        <v>0</v>
      </c>
      <c r="BE264" s="71" t="n">
        <f aca="false">$BB264-$BC264+$BD264</f>
        <v>0</v>
      </c>
    </row>
    <row r="265" customFormat="false" ht="14.25" hidden="false" customHeight="false" outlineLevel="0" collapsed="false">
      <c r="A265" s="61"/>
      <c r="B265" s="62"/>
      <c r="C265" s="61"/>
      <c r="D265" s="61"/>
      <c r="E265" s="61"/>
      <c r="F265" s="63"/>
      <c r="G265" s="64"/>
      <c r="H265" s="64"/>
      <c r="I265" s="63"/>
      <c r="J265" s="63"/>
      <c r="K265" s="61"/>
      <c r="L265" s="65"/>
      <c r="M265" s="65"/>
      <c r="N265" s="61"/>
      <c r="O265" s="64"/>
      <c r="P265" s="65"/>
      <c r="Q265" s="65"/>
      <c r="R265" s="66"/>
      <c r="S265" s="65"/>
      <c r="T265" s="65"/>
      <c r="U265" s="67"/>
      <c r="V265" s="65"/>
      <c r="W265" s="65"/>
      <c r="X265" s="63"/>
      <c r="Y265" s="63"/>
      <c r="Z265" s="61"/>
      <c r="AA265" s="61"/>
      <c r="AB265" s="61"/>
      <c r="AC265" s="61"/>
      <c r="AD265" s="61"/>
      <c r="AE265" s="61"/>
      <c r="AF265" s="61"/>
      <c r="AG265" s="61"/>
      <c r="AH265" s="68" t="n">
        <f aca="false">IF(G265="",0,ROUND((Strats!$C$4-G265)/30.4375,1))</f>
        <v>0</v>
      </c>
      <c r="AI265" s="69" t="n">
        <f aca="false">IF(K265="",0,IF(K265="Floating",Strats!$C$10+M265,L265))</f>
        <v>0</v>
      </c>
      <c r="AJ265" s="68" t="str">
        <f aca="false">IF(OR(Z265="",Z265="Full Amortizing"),"",MAX(J265-AH265,0))</f>
        <v/>
      </c>
      <c r="AK265" s="69" t="n">
        <f aca="false">IF(K265="",0,IF(K265="Floating",IF(P265&lt;&gt;"",MIN(IF(Q265&lt;&gt;"",MAX((Strats!$C$10+Strats!$C$11+M265),Q265),(Strats!$C$10+Strats!$C$11+M265)),P265),IF(Q265&lt;&gt;"",MAX((Strats!$C$10+Strats!$C$11+M265),Q265),(Strats!$C$10+Strats!$C$11+M265))),AI265))</f>
        <v>0</v>
      </c>
      <c r="AL265" s="68" t="str">
        <f aca="false">IF(OR(E265="",E265&lt;&gt;'Deal Strat'!$C$12,R265=""),"",SUMPRODUCT((E$4:E$303='Deal Strat'!$C$12)*(R$4:R$303&gt;R265))+1+SUMPRODUCT((E$4:E$303='Deal Strat'!$C$12)*(R$4:R$303=R265)*(ROW(R$4:R$303)&lt;ROW(R265))))</f>
        <v/>
      </c>
      <c r="AM265" s="68" t="str">
        <f aca="false">IF(R265="","",RANK(R265,$R$4:$R$303,0)+COUNTIF($R$4:R265,R265)-1)</f>
        <v/>
      </c>
      <c r="AN265" s="26" t="n">
        <f aca="false">IF(OR($A265="",$R265=""),0,IF(Deal_Scope="All Deals",1,IF($E265=Deal_Scope,1,0)))</f>
        <v>0</v>
      </c>
      <c r="AO265" s="56" t="n">
        <f aca="false">IF($AN265=0,0,Px_Par)</f>
        <v>0</v>
      </c>
      <c r="AP265" s="70" t="n">
        <f aca="false">IF($H265="",0,MAX(0,($H265-Set_Date)/30.4375))</f>
        <v>0</v>
      </c>
      <c r="AQ265" s="26" t="n">
        <f aca="false">IF(AND(Ext_Flag="Yes",$AA265="Yes"),Ext_Months,0)</f>
        <v>0</v>
      </c>
      <c r="AR265" s="70" t="n">
        <f aca="false">$AP265+$AQ265</f>
        <v>0</v>
      </c>
      <c r="AS265" s="70" t="n">
        <f aca="false">$AR265/12</f>
        <v>0</v>
      </c>
      <c r="AT265" s="70" t="n">
        <f aca="false">IF($AJ265="",0,MAX(0,$AJ265/12))</f>
        <v>0</v>
      </c>
      <c r="AU265" s="70" t="n">
        <f aca="false">MAX(Amort_Min,Amort_Term-$AH265/12)</f>
        <v>30</v>
      </c>
      <c r="AV265" s="70" t="n">
        <f aca="false">MIN($AS265,Hold_Yrs)</f>
        <v>0</v>
      </c>
      <c r="AW265" s="26" t="n">
        <f aca="false">IF($AN265=0,0,CEILING(MAX($AS265,0.0001),1))</f>
        <v>0</v>
      </c>
      <c r="AX265" s="26" t="n">
        <f aca="false">IF(AND($AN265=1,MAX($AS265,0.0001)&lt;=Hold_Yrs),1,0)</f>
        <v>0</v>
      </c>
      <c r="AY265" s="71" t="n">
        <f aca="false">$R265*$AO265</f>
        <v>0</v>
      </c>
      <c r="AZ265" s="71" t="n">
        <f aca="false">$R265*Acc_Int*$AN265</f>
        <v>0</v>
      </c>
      <c r="BA265" s="71" t="n">
        <f aca="false">$AY265*Acq_Cost</f>
        <v>0</v>
      </c>
      <c r="BB265" s="71" t="n">
        <f aca="false">$AY265+$AZ265+$BA265</f>
        <v>0</v>
      </c>
      <c r="BC265" s="71" t="n">
        <f aca="false">IF(Fin_Flag="Yes",$AY265*Adv_Rate,0)</f>
        <v>0</v>
      </c>
      <c r="BD265" s="71" t="n">
        <f aca="false">$BC265*Fin_UpFee</f>
        <v>0</v>
      </c>
      <c r="BE265" s="71" t="n">
        <f aca="false">$BB265-$BC265+$BD265</f>
        <v>0</v>
      </c>
    </row>
    <row r="266" customFormat="false" ht="14.25" hidden="false" customHeight="false" outlineLevel="0" collapsed="false">
      <c r="A266" s="61"/>
      <c r="B266" s="62"/>
      <c r="C266" s="61"/>
      <c r="D266" s="61"/>
      <c r="E266" s="61"/>
      <c r="F266" s="63"/>
      <c r="G266" s="64"/>
      <c r="H266" s="64"/>
      <c r="I266" s="63"/>
      <c r="J266" s="63"/>
      <c r="K266" s="61"/>
      <c r="L266" s="65"/>
      <c r="M266" s="65"/>
      <c r="N266" s="61"/>
      <c r="O266" s="64"/>
      <c r="P266" s="65"/>
      <c r="Q266" s="65"/>
      <c r="R266" s="66"/>
      <c r="S266" s="65"/>
      <c r="T266" s="65"/>
      <c r="U266" s="67"/>
      <c r="V266" s="65"/>
      <c r="W266" s="65"/>
      <c r="X266" s="63"/>
      <c r="Y266" s="63"/>
      <c r="Z266" s="61"/>
      <c r="AA266" s="61"/>
      <c r="AB266" s="61"/>
      <c r="AC266" s="61"/>
      <c r="AD266" s="61"/>
      <c r="AE266" s="61"/>
      <c r="AF266" s="61"/>
      <c r="AG266" s="61"/>
      <c r="AH266" s="68" t="n">
        <f aca="false">IF(G266="",0,ROUND((Strats!$C$4-G266)/30.4375,1))</f>
        <v>0</v>
      </c>
      <c r="AI266" s="69" t="n">
        <f aca="false">IF(K266="",0,IF(K266="Floating",Strats!$C$10+M266,L266))</f>
        <v>0</v>
      </c>
      <c r="AJ266" s="68" t="str">
        <f aca="false">IF(OR(Z266="",Z266="Full Amortizing"),"",MAX(J266-AH266,0))</f>
        <v/>
      </c>
      <c r="AK266" s="69" t="n">
        <f aca="false">IF(K266="",0,IF(K266="Floating",IF(P266&lt;&gt;"",MIN(IF(Q266&lt;&gt;"",MAX((Strats!$C$10+Strats!$C$11+M266),Q266),(Strats!$C$10+Strats!$C$11+M266)),P266),IF(Q266&lt;&gt;"",MAX((Strats!$C$10+Strats!$C$11+M266),Q266),(Strats!$C$10+Strats!$C$11+M266))),AI266))</f>
        <v>0</v>
      </c>
      <c r="AL266" s="68" t="str">
        <f aca="false">IF(OR(E266="",E266&lt;&gt;'Deal Strat'!$C$12,R266=""),"",SUMPRODUCT((E$4:E$303='Deal Strat'!$C$12)*(R$4:R$303&gt;R266))+1+SUMPRODUCT((E$4:E$303='Deal Strat'!$C$12)*(R$4:R$303=R266)*(ROW(R$4:R$303)&lt;ROW(R266))))</f>
        <v/>
      </c>
      <c r="AM266" s="68" t="str">
        <f aca="false">IF(R266="","",RANK(R266,$R$4:$R$303,0)+COUNTIF($R$4:R266,R266)-1)</f>
        <v/>
      </c>
      <c r="AN266" s="26" t="n">
        <f aca="false">IF(OR($A266="",$R266=""),0,IF(Deal_Scope="All Deals",1,IF($E266=Deal_Scope,1,0)))</f>
        <v>0</v>
      </c>
      <c r="AO266" s="56" t="n">
        <f aca="false">IF($AN266=0,0,Px_Par)</f>
        <v>0</v>
      </c>
      <c r="AP266" s="70" t="n">
        <f aca="false">IF($H266="",0,MAX(0,($H266-Set_Date)/30.4375))</f>
        <v>0</v>
      </c>
      <c r="AQ266" s="26" t="n">
        <f aca="false">IF(AND(Ext_Flag="Yes",$AA266="Yes"),Ext_Months,0)</f>
        <v>0</v>
      </c>
      <c r="AR266" s="70" t="n">
        <f aca="false">$AP266+$AQ266</f>
        <v>0</v>
      </c>
      <c r="AS266" s="70" t="n">
        <f aca="false">$AR266/12</f>
        <v>0</v>
      </c>
      <c r="AT266" s="70" t="n">
        <f aca="false">IF($AJ266="",0,MAX(0,$AJ266/12))</f>
        <v>0</v>
      </c>
      <c r="AU266" s="70" t="n">
        <f aca="false">MAX(Amort_Min,Amort_Term-$AH266/12)</f>
        <v>30</v>
      </c>
      <c r="AV266" s="70" t="n">
        <f aca="false">MIN($AS266,Hold_Yrs)</f>
        <v>0</v>
      </c>
      <c r="AW266" s="26" t="n">
        <f aca="false">IF($AN266=0,0,CEILING(MAX($AS266,0.0001),1))</f>
        <v>0</v>
      </c>
      <c r="AX266" s="26" t="n">
        <f aca="false">IF(AND($AN266=1,MAX($AS266,0.0001)&lt;=Hold_Yrs),1,0)</f>
        <v>0</v>
      </c>
      <c r="AY266" s="71" t="n">
        <f aca="false">$R266*$AO266</f>
        <v>0</v>
      </c>
      <c r="AZ266" s="71" t="n">
        <f aca="false">$R266*Acc_Int*$AN266</f>
        <v>0</v>
      </c>
      <c r="BA266" s="71" t="n">
        <f aca="false">$AY266*Acq_Cost</f>
        <v>0</v>
      </c>
      <c r="BB266" s="71" t="n">
        <f aca="false">$AY266+$AZ266+$BA266</f>
        <v>0</v>
      </c>
      <c r="BC266" s="71" t="n">
        <f aca="false">IF(Fin_Flag="Yes",$AY266*Adv_Rate,0)</f>
        <v>0</v>
      </c>
      <c r="BD266" s="71" t="n">
        <f aca="false">$BC266*Fin_UpFee</f>
        <v>0</v>
      </c>
      <c r="BE266" s="71" t="n">
        <f aca="false">$BB266-$BC266+$BD266</f>
        <v>0</v>
      </c>
    </row>
    <row r="267" customFormat="false" ht="14.25" hidden="false" customHeight="false" outlineLevel="0" collapsed="false">
      <c r="A267" s="61"/>
      <c r="B267" s="62"/>
      <c r="C267" s="61"/>
      <c r="D267" s="61"/>
      <c r="E267" s="61"/>
      <c r="F267" s="63"/>
      <c r="G267" s="64"/>
      <c r="H267" s="64"/>
      <c r="I267" s="63"/>
      <c r="J267" s="63"/>
      <c r="K267" s="61"/>
      <c r="L267" s="65"/>
      <c r="M267" s="65"/>
      <c r="N267" s="61"/>
      <c r="O267" s="64"/>
      <c r="P267" s="65"/>
      <c r="Q267" s="65"/>
      <c r="R267" s="66"/>
      <c r="S267" s="65"/>
      <c r="T267" s="65"/>
      <c r="U267" s="67"/>
      <c r="V267" s="65"/>
      <c r="W267" s="65"/>
      <c r="X267" s="63"/>
      <c r="Y267" s="63"/>
      <c r="Z267" s="61"/>
      <c r="AA267" s="61"/>
      <c r="AB267" s="61"/>
      <c r="AC267" s="61"/>
      <c r="AD267" s="61"/>
      <c r="AE267" s="61"/>
      <c r="AF267" s="61"/>
      <c r="AG267" s="61"/>
      <c r="AH267" s="68" t="n">
        <f aca="false">IF(G267="",0,ROUND((Strats!$C$4-G267)/30.4375,1))</f>
        <v>0</v>
      </c>
      <c r="AI267" s="69" t="n">
        <f aca="false">IF(K267="",0,IF(K267="Floating",Strats!$C$10+M267,L267))</f>
        <v>0</v>
      </c>
      <c r="AJ267" s="68" t="str">
        <f aca="false">IF(OR(Z267="",Z267="Full Amortizing"),"",MAX(J267-AH267,0))</f>
        <v/>
      </c>
      <c r="AK267" s="69" t="n">
        <f aca="false">IF(K267="",0,IF(K267="Floating",IF(P267&lt;&gt;"",MIN(IF(Q267&lt;&gt;"",MAX((Strats!$C$10+Strats!$C$11+M267),Q267),(Strats!$C$10+Strats!$C$11+M267)),P267),IF(Q267&lt;&gt;"",MAX((Strats!$C$10+Strats!$C$11+M267),Q267),(Strats!$C$10+Strats!$C$11+M267))),AI267))</f>
        <v>0</v>
      </c>
      <c r="AL267" s="68" t="str">
        <f aca="false">IF(OR(E267="",E267&lt;&gt;'Deal Strat'!$C$12,R267=""),"",SUMPRODUCT((E$4:E$303='Deal Strat'!$C$12)*(R$4:R$303&gt;R267))+1+SUMPRODUCT((E$4:E$303='Deal Strat'!$C$12)*(R$4:R$303=R267)*(ROW(R$4:R$303)&lt;ROW(R267))))</f>
        <v/>
      </c>
      <c r="AM267" s="68" t="str">
        <f aca="false">IF(R267="","",RANK(R267,$R$4:$R$303,0)+COUNTIF($R$4:R267,R267)-1)</f>
        <v/>
      </c>
      <c r="AN267" s="26" t="n">
        <f aca="false">IF(OR($A267="",$R267=""),0,IF(Deal_Scope="All Deals",1,IF($E267=Deal_Scope,1,0)))</f>
        <v>0</v>
      </c>
      <c r="AO267" s="56" t="n">
        <f aca="false">IF($AN267=0,0,Px_Par)</f>
        <v>0</v>
      </c>
      <c r="AP267" s="70" t="n">
        <f aca="false">IF($H267="",0,MAX(0,($H267-Set_Date)/30.4375))</f>
        <v>0</v>
      </c>
      <c r="AQ267" s="26" t="n">
        <f aca="false">IF(AND(Ext_Flag="Yes",$AA267="Yes"),Ext_Months,0)</f>
        <v>0</v>
      </c>
      <c r="AR267" s="70" t="n">
        <f aca="false">$AP267+$AQ267</f>
        <v>0</v>
      </c>
      <c r="AS267" s="70" t="n">
        <f aca="false">$AR267/12</f>
        <v>0</v>
      </c>
      <c r="AT267" s="70" t="n">
        <f aca="false">IF($AJ267="",0,MAX(0,$AJ267/12))</f>
        <v>0</v>
      </c>
      <c r="AU267" s="70" t="n">
        <f aca="false">MAX(Amort_Min,Amort_Term-$AH267/12)</f>
        <v>30</v>
      </c>
      <c r="AV267" s="70" t="n">
        <f aca="false">MIN($AS267,Hold_Yrs)</f>
        <v>0</v>
      </c>
      <c r="AW267" s="26" t="n">
        <f aca="false">IF($AN267=0,0,CEILING(MAX($AS267,0.0001),1))</f>
        <v>0</v>
      </c>
      <c r="AX267" s="26" t="n">
        <f aca="false">IF(AND($AN267=1,MAX($AS267,0.0001)&lt;=Hold_Yrs),1,0)</f>
        <v>0</v>
      </c>
      <c r="AY267" s="71" t="n">
        <f aca="false">$R267*$AO267</f>
        <v>0</v>
      </c>
      <c r="AZ267" s="71" t="n">
        <f aca="false">$R267*Acc_Int*$AN267</f>
        <v>0</v>
      </c>
      <c r="BA267" s="71" t="n">
        <f aca="false">$AY267*Acq_Cost</f>
        <v>0</v>
      </c>
      <c r="BB267" s="71" t="n">
        <f aca="false">$AY267+$AZ267+$BA267</f>
        <v>0</v>
      </c>
      <c r="BC267" s="71" t="n">
        <f aca="false">IF(Fin_Flag="Yes",$AY267*Adv_Rate,0)</f>
        <v>0</v>
      </c>
      <c r="BD267" s="71" t="n">
        <f aca="false">$BC267*Fin_UpFee</f>
        <v>0</v>
      </c>
      <c r="BE267" s="71" t="n">
        <f aca="false">$BB267-$BC267+$BD267</f>
        <v>0</v>
      </c>
    </row>
    <row r="268" customFormat="false" ht="14.25" hidden="false" customHeight="false" outlineLevel="0" collapsed="false">
      <c r="A268" s="61"/>
      <c r="B268" s="62"/>
      <c r="C268" s="61"/>
      <c r="D268" s="61"/>
      <c r="E268" s="61"/>
      <c r="F268" s="63"/>
      <c r="G268" s="64"/>
      <c r="H268" s="64"/>
      <c r="I268" s="63"/>
      <c r="J268" s="63"/>
      <c r="K268" s="61"/>
      <c r="L268" s="65"/>
      <c r="M268" s="65"/>
      <c r="N268" s="61"/>
      <c r="O268" s="64"/>
      <c r="P268" s="65"/>
      <c r="Q268" s="65"/>
      <c r="R268" s="66"/>
      <c r="S268" s="65"/>
      <c r="T268" s="65"/>
      <c r="U268" s="67"/>
      <c r="V268" s="65"/>
      <c r="W268" s="65"/>
      <c r="X268" s="63"/>
      <c r="Y268" s="63"/>
      <c r="Z268" s="61"/>
      <c r="AA268" s="61"/>
      <c r="AB268" s="61"/>
      <c r="AC268" s="61"/>
      <c r="AD268" s="61"/>
      <c r="AE268" s="61"/>
      <c r="AF268" s="61"/>
      <c r="AG268" s="61"/>
      <c r="AH268" s="68" t="n">
        <f aca="false">IF(G268="",0,ROUND((Strats!$C$4-G268)/30.4375,1))</f>
        <v>0</v>
      </c>
      <c r="AI268" s="69" t="n">
        <f aca="false">IF(K268="",0,IF(K268="Floating",Strats!$C$10+M268,L268))</f>
        <v>0</v>
      </c>
      <c r="AJ268" s="68" t="str">
        <f aca="false">IF(OR(Z268="",Z268="Full Amortizing"),"",MAX(J268-AH268,0))</f>
        <v/>
      </c>
      <c r="AK268" s="69" t="n">
        <f aca="false">IF(K268="",0,IF(K268="Floating",IF(P268&lt;&gt;"",MIN(IF(Q268&lt;&gt;"",MAX((Strats!$C$10+Strats!$C$11+M268),Q268),(Strats!$C$10+Strats!$C$11+M268)),P268),IF(Q268&lt;&gt;"",MAX((Strats!$C$10+Strats!$C$11+M268),Q268),(Strats!$C$10+Strats!$C$11+M268))),AI268))</f>
        <v>0</v>
      </c>
      <c r="AL268" s="68" t="str">
        <f aca="false">IF(OR(E268="",E268&lt;&gt;'Deal Strat'!$C$12,R268=""),"",SUMPRODUCT((E$4:E$303='Deal Strat'!$C$12)*(R$4:R$303&gt;R268))+1+SUMPRODUCT((E$4:E$303='Deal Strat'!$C$12)*(R$4:R$303=R268)*(ROW(R$4:R$303)&lt;ROW(R268))))</f>
        <v/>
      </c>
      <c r="AM268" s="68" t="str">
        <f aca="false">IF(R268="","",RANK(R268,$R$4:$R$303,0)+COUNTIF($R$4:R268,R268)-1)</f>
        <v/>
      </c>
      <c r="AN268" s="26" t="n">
        <f aca="false">IF(OR($A268="",$R268=""),0,IF(Deal_Scope="All Deals",1,IF($E268=Deal_Scope,1,0)))</f>
        <v>0</v>
      </c>
      <c r="AO268" s="56" t="n">
        <f aca="false">IF($AN268=0,0,Px_Par)</f>
        <v>0</v>
      </c>
      <c r="AP268" s="70" t="n">
        <f aca="false">IF($H268="",0,MAX(0,($H268-Set_Date)/30.4375))</f>
        <v>0</v>
      </c>
      <c r="AQ268" s="26" t="n">
        <f aca="false">IF(AND(Ext_Flag="Yes",$AA268="Yes"),Ext_Months,0)</f>
        <v>0</v>
      </c>
      <c r="AR268" s="70" t="n">
        <f aca="false">$AP268+$AQ268</f>
        <v>0</v>
      </c>
      <c r="AS268" s="70" t="n">
        <f aca="false">$AR268/12</f>
        <v>0</v>
      </c>
      <c r="AT268" s="70" t="n">
        <f aca="false">IF($AJ268="",0,MAX(0,$AJ268/12))</f>
        <v>0</v>
      </c>
      <c r="AU268" s="70" t="n">
        <f aca="false">MAX(Amort_Min,Amort_Term-$AH268/12)</f>
        <v>30</v>
      </c>
      <c r="AV268" s="70" t="n">
        <f aca="false">MIN($AS268,Hold_Yrs)</f>
        <v>0</v>
      </c>
      <c r="AW268" s="26" t="n">
        <f aca="false">IF($AN268=0,0,CEILING(MAX($AS268,0.0001),1))</f>
        <v>0</v>
      </c>
      <c r="AX268" s="26" t="n">
        <f aca="false">IF(AND($AN268=1,MAX($AS268,0.0001)&lt;=Hold_Yrs),1,0)</f>
        <v>0</v>
      </c>
      <c r="AY268" s="71" t="n">
        <f aca="false">$R268*$AO268</f>
        <v>0</v>
      </c>
      <c r="AZ268" s="71" t="n">
        <f aca="false">$R268*Acc_Int*$AN268</f>
        <v>0</v>
      </c>
      <c r="BA268" s="71" t="n">
        <f aca="false">$AY268*Acq_Cost</f>
        <v>0</v>
      </c>
      <c r="BB268" s="71" t="n">
        <f aca="false">$AY268+$AZ268+$BA268</f>
        <v>0</v>
      </c>
      <c r="BC268" s="71" t="n">
        <f aca="false">IF(Fin_Flag="Yes",$AY268*Adv_Rate,0)</f>
        <v>0</v>
      </c>
      <c r="BD268" s="71" t="n">
        <f aca="false">$BC268*Fin_UpFee</f>
        <v>0</v>
      </c>
      <c r="BE268" s="71" t="n">
        <f aca="false">$BB268-$BC268+$BD268</f>
        <v>0</v>
      </c>
    </row>
    <row r="269" customFormat="false" ht="14.25" hidden="false" customHeight="false" outlineLevel="0" collapsed="false">
      <c r="A269" s="61"/>
      <c r="B269" s="62"/>
      <c r="C269" s="61"/>
      <c r="D269" s="61"/>
      <c r="E269" s="61"/>
      <c r="F269" s="63"/>
      <c r="G269" s="64"/>
      <c r="H269" s="64"/>
      <c r="I269" s="63"/>
      <c r="J269" s="63"/>
      <c r="K269" s="61"/>
      <c r="L269" s="65"/>
      <c r="M269" s="65"/>
      <c r="N269" s="61"/>
      <c r="O269" s="64"/>
      <c r="P269" s="65"/>
      <c r="Q269" s="65"/>
      <c r="R269" s="66"/>
      <c r="S269" s="65"/>
      <c r="T269" s="65"/>
      <c r="U269" s="67"/>
      <c r="V269" s="65"/>
      <c r="W269" s="65"/>
      <c r="X269" s="63"/>
      <c r="Y269" s="63"/>
      <c r="Z269" s="61"/>
      <c r="AA269" s="61"/>
      <c r="AB269" s="61"/>
      <c r="AC269" s="61"/>
      <c r="AD269" s="61"/>
      <c r="AE269" s="61"/>
      <c r="AF269" s="61"/>
      <c r="AG269" s="61"/>
      <c r="AH269" s="68" t="n">
        <f aca="false">IF(G269="",0,ROUND((Strats!$C$4-G269)/30.4375,1))</f>
        <v>0</v>
      </c>
      <c r="AI269" s="69" t="n">
        <f aca="false">IF(K269="",0,IF(K269="Floating",Strats!$C$10+M269,L269))</f>
        <v>0</v>
      </c>
      <c r="AJ269" s="68" t="str">
        <f aca="false">IF(OR(Z269="",Z269="Full Amortizing"),"",MAX(J269-AH269,0))</f>
        <v/>
      </c>
      <c r="AK269" s="69" t="n">
        <f aca="false">IF(K269="",0,IF(K269="Floating",IF(P269&lt;&gt;"",MIN(IF(Q269&lt;&gt;"",MAX((Strats!$C$10+Strats!$C$11+M269),Q269),(Strats!$C$10+Strats!$C$11+M269)),P269),IF(Q269&lt;&gt;"",MAX((Strats!$C$10+Strats!$C$11+M269),Q269),(Strats!$C$10+Strats!$C$11+M269))),AI269))</f>
        <v>0</v>
      </c>
      <c r="AL269" s="68" t="str">
        <f aca="false">IF(OR(E269="",E269&lt;&gt;'Deal Strat'!$C$12,R269=""),"",SUMPRODUCT((E$4:E$303='Deal Strat'!$C$12)*(R$4:R$303&gt;R269))+1+SUMPRODUCT((E$4:E$303='Deal Strat'!$C$12)*(R$4:R$303=R269)*(ROW(R$4:R$303)&lt;ROW(R269))))</f>
        <v/>
      </c>
      <c r="AM269" s="68" t="str">
        <f aca="false">IF(R269="","",RANK(R269,$R$4:$R$303,0)+COUNTIF($R$4:R269,R269)-1)</f>
        <v/>
      </c>
      <c r="AN269" s="26" t="n">
        <f aca="false">IF(OR($A269="",$R269=""),0,IF(Deal_Scope="All Deals",1,IF($E269=Deal_Scope,1,0)))</f>
        <v>0</v>
      </c>
      <c r="AO269" s="56" t="n">
        <f aca="false">IF($AN269=0,0,Px_Par)</f>
        <v>0</v>
      </c>
      <c r="AP269" s="70" t="n">
        <f aca="false">IF($H269="",0,MAX(0,($H269-Set_Date)/30.4375))</f>
        <v>0</v>
      </c>
      <c r="AQ269" s="26" t="n">
        <f aca="false">IF(AND(Ext_Flag="Yes",$AA269="Yes"),Ext_Months,0)</f>
        <v>0</v>
      </c>
      <c r="AR269" s="70" t="n">
        <f aca="false">$AP269+$AQ269</f>
        <v>0</v>
      </c>
      <c r="AS269" s="70" t="n">
        <f aca="false">$AR269/12</f>
        <v>0</v>
      </c>
      <c r="AT269" s="70" t="n">
        <f aca="false">IF($AJ269="",0,MAX(0,$AJ269/12))</f>
        <v>0</v>
      </c>
      <c r="AU269" s="70" t="n">
        <f aca="false">MAX(Amort_Min,Amort_Term-$AH269/12)</f>
        <v>30</v>
      </c>
      <c r="AV269" s="70" t="n">
        <f aca="false">MIN($AS269,Hold_Yrs)</f>
        <v>0</v>
      </c>
      <c r="AW269" s="26" t="n">
        <f aca="false">IF($AN269=0,0,CEILING(MAX($AS269,0.0001),1))</f>
        <v>0</v>
      </c>
      <c r="AX269" s="26" t="n">
        <f aca="false">IF(AND($AN269=1,MAX($AS269,0.0001)&lt;=Hold_Yrs),1,0)</f>
        <v>0</v>
      </c>
      <c r="AY269" s="71" t="n">
        <f aca="false">$R269*$AO269</f>
        <v>0</v>
      </c>
      <c r="AZ269" s="71" t="n">
        <f aca="false">$R269*Acc_Int*$AN269</f>
        <v>0</v>
      </c>
      <c r="BA269" s="71" t="n">
        <f aca="false">$AY269*Acq_Cost</f>
        <v>0</v>
      </c>
      <c r="BB269" s="71" t="n">
        <f aca="false">$AY269+$AZ269+$BA269</f>
        <v>0</v>
      </c>
      <c r="BC269" s="71" t="n">
        <f aca="false">IF(Fin_Flag="Yes",$AY269*Adv_Rate,0)</f>
        <v>0</v>
      </c>
      <c r="BD269" s="71" t="n">
        <f aca="false">$BC269*Fin_UpFee</f>
        <v>0</v>
      </c>
      <c r="BE269" s="71" t="n">
        <f aca="false">$BB269-$BC269+$BD269</f>
        <v>0</v>
      </c>
    </row>
    <row r="270" customFormat="false" ht="14.25" hidden="false" customHeight="false" outlineLevel="0" collapsed="false">
      <c r="A270" s="61"/>
      <c r="B270" s="62"/>
      <c r="C270" s="61"/>
      <c r="D270" s="61"/>
      <c r="E270" s="61"/>
      <c r="F270" s="63"/>
      <c r="G270" s="64"/>
      <c r="H270" s="64"/>
      <c r="I270" s="63"/>
      <c r="J270" s="63"/>
      <c r="K270" s="61"/>
      <c r="L270" s="65"/>
      <c r="M270" s="65"/>
      <c r="N270" s="61"/>
      <c r="O270" s="64"/>
      <c r="P270" s="65"/>
      <c r="Q270" s="65"/>
      <c r="R270" s="66"/>
      <c r="S270" s="65"/>
      <c r="T270" s="65"/>
      <c r="U270" s="67"/>
      <c r="V270" s="65"/>
      <c r="W270" s="65"/>
      <c r="X270" s="63"/>
      <c r="Y270" s="63"/>
      <c r="Z270" s="61"/>
      <c r="AA270" s="61"/>
      <c r="AB270" s="61"/>
      <c r="AC270" s="61"/>
      <c r="AD270" s="61"/>
      <c r="AE270" s="61"/>
      <c r="AF270" s="61"/>
      <c r="AG270" s="61"/>
      <c r="AH270" s="68" t="n">
        <f aca="false">IF(G270="",0,ROUND((Strats!$C$4-G270)/30.4375,1))</f>
        <v>0</v>
      </c>
      <c r="AI270" s="69" t="n">
        <f aca="false">IF(K270="",0,IF(K270="Floating",Strats!$C$10+M270,L270))</f>
        <v>0</v>
      </c>
      <c r="AJ270" s="68" t="str">
        <f aca="false">IF(OR(Z270="",Z270="Full Amortizing"),"",MAX(J270-AH270,0))</f>
        <v/>
      </c>
      <c r="AK270" s="69" t="n">
        <f aca="false">IF(K270="",0,IF(K270="Floating",IF(P270&lt;&gt;"",MIN(IF(Q270&lt;&gt;"",MAX((Strats!$C$10+Strats!$C$11+M270),Q270),(Strats!$C$10+Strats!$C$11+M270)),P270),IF(Q270&lt;&gt;"",MAX((Strats!$C$10+Strats!$C$11+M270),Q270),(Strats!$C$10+Strats!$C$11+M270))),AI270))</f>
        <v>0</v>
      </c>
      <c r="AL270" s="68" t="str">
        <f aca="false">IF(OR(E270="",E270&lt;&gt;'Deal Strat'!$C$12,R270=""),"",SUMPRODUCT((E$4:E$303='Deal Strat'!$C$12)*(R$4:R$303&gt;R270))+1+SUMPRODUCT((E$4:E$303='Deal Strat'!$C$12)*(R$4:R$303=R270)*(ROW(R$4:R$303)&lt;ROW(R270))))</f>
        <v/>
      </c>
      <c r="AM270" s="68" t="str">
        <f aca="false">IF(R270="","",RANK(R270,$R$4:$R$303,0)+COUNTIF($R$4:R270,R270)-1)</f>
        <v/>
      </c>
      <c r="AN270" s="26" t="n">
        <f aca="false">IF(OR($A270="",$R270=""),0,IF(Deal_Scope="All Deals",1,IF($E270=Deal_Scope,1,0)))</f>
        <v>0</v>
      </c>
      <c r="AO270" s="56" t="n">
        <f aca="false">IF($AN270=0,0,Px_Par)</f>
        <v>0</v>
      </c>
      <c r="AP270" s="70" t="n">
        <f aca="false">IF($H270="",0,MAX(0,($H270-Set_Date)/30.4375))</f>
        <v>0</v>
      </c>
      <c r="AQ270" s="26" t="n">
        <f aca="false">IF(AND(Ext_Flag="Yes",$AA270="Yes"),Ext_Months,0)</f>
        <v>0</v>
      </c>
      <c r="AR270" s="70" t="n">
        <f aca="false">$AP270+$AQ270</f>
        <v>0</v>
      </c>
      <c r="AS270" s="70" t="n">
        <f aca="false">$AR270/12</f>
        <v>0</v>
      </c>
      <c r="AT270" s="70" t="n">
        <f aca="false">IF($AJ270="",0,MAX(0,$AJ270/12))</f>
        <v>0</v>
      </c>
      <c r="AU270" s="70" t="n">
        <f aca="false">MAX(Amort_Min,Amort_Term-$AH270/12)</f>
        <v>30</v>
      </c>
      <c r="AV270" s="70" t="n">
        <f aca="false">MIN($AS270,Hold_Yrs)</f>
        <v>0</v>
      </c>
      <c r="AW270" s="26" t="n">
        <f aca="false">IF($AN270=0,0,CEILING(MAX($AS270,0.0001),1))</f>
        <v>0</v>
      </c>
      <c r="AX270" s="26" t="n">
        <f aca="false">IF(AND($AN270=1,MAX($AS270,0.0001)&lt;=Hold_Yrs),1,0)</f>
        <v>0</v>
      </c>
      <c r="AY270" s="71" t="n">
        <f aca="false">$R270*$AO270</f>
        <v>0</v>
      </c>
      <c r="AZ270" s="71" t="n">
        <f aca="false">$R270*Acc_Int*$AN270</f>
        <v>0</v>
      </c>
      <c r="BA270" s="71" t="n">
        <f aca="false">$AY270*Acq_Cost</f>
        <v>0</v>
      </c>
      <c r="BB270" s="71" t="n">
        <f aca="false">$AY270+$AZ270+$BA270</f>
        <v>0</v>
      </c>
      <c r="BC270" s="71" t="n">
        <f aca="false">IF(Fin_Flag="Yes",$AY270*Adv_Rate,0)</f>
        <v>0</v>
      </c>
      <c r="BD270" s="71" t="n">
        <f aca="false">$BC270*Fin_UpFee</f>
        <v>0</v>
      </c>
      <c r="BE270" s="71" t="n">
        <f aca="false">$BB270-$BC270+$BD270</f>
        <v>0</v>
      </c>
    </row>
    <row r="271" customFormat="false" ht="14.25" hidden="false" customHeight="false" outlineLevel="0" collapsed="false">
      <c r="A271" s="61"/>
      <c r="B271" s="62"/>
      <c r="C271" s="61"/>
      <c r="D271" s="61"/>
      <c r="E271" s="61"/>
      <c r="F271" s="63"/>
      <c r="G271" s="64"/>
      <c r="H271" s="64"/>
      <c r="I271" s="63"/>
      <c r="J271" s="63"/>
      <c r="K271" s="61"/>
      <c r="L271" s="65"/>
      <c r="M271" s="65"/>
      <c r="N271" s="61"/>
      <c r="O271" s="64"/>
      <c r="P271" s="65"/>
      <c r="Q271" s="65"/>
      <c r="R271" s="66"/>
      <c r="S271" s="65"/>
      <c r="T271" s="65"/>
      <c r="U271" s="67"/>
      <c r="V271" s="65"/>
      <c r="W271" s="65"/>
      <c r="X271" s="63"/>
      <c r="Y271" s="63"/>
      <c r="Z271" s="61"/>
      <c r="AA271" s="61"/>
      <c r="AB271" s="61"/>
      <c r="AC271" s="61"/>
      <c r="AD271" s="61"/>
      <c r="AE271" s="61"/>
      <c r="AF271" s="61"/>
      <c r="AG271" s="61"/>
      <c r="AH271" s="68" t="n">
        <f aca="false">IF(G271="",0,ROUND((Strats!$C$4-G271)/30.4375,1))</f>
        <v>0</v>
      </c>
      <c r="AI271" s="69" t="n">
        <f aca="false">IF(K271="",0,IF(K271="Floating",Strats!$C$10+M271,L271))</f>
        <v>0</v>
      </c>
      <c r="AJ271" s="68" t="str">
        <f aca="false">IF(OR(Z271="",Z271="Full Amortizing"),"",MAX(J271-AH271,0))</f>
        <v/>
      </c>
      <c r="AK271" s="69" t="n">
        <f aca="false">IF(K271="",0,IF(K271="Floating",IF(P271&lt;&gt;"",MIN(IF(Q271&lt;&gt;"",MAX((Strats!$C$10+Strats!$C$11+M271),Q271),(Strats!$C$10+Strats!$C$11+M271)),P271),IF(Q271&lt;&gt;"",MAX((Strats!$C$10+Strats!$C$11+M271),Q271),(Strats!$C$10+Strats!$C$11+M271))),AI271))</f>
        <v>0</v>
      </c>
      <c r="AL271" s="68" t="str">
        <f aca="false">IF(OR(E271="",E271&lt;&gt;'Deal Strat'!$C$12,R271=""),"",SUMPRODUCT((E$4:E$303='Deal Strat'!$C$12)*(R$4:R$303&gt;R271))+1+SUMPRODUCT((E$4:E$303='Deal Strat'!$C$12)*(R$4:R$303=R271)*(ROW(R$4:R$303)&lt;ROW(R271))))</f>
        <v/>
      </c>
      <c r="AM271" s="68" t="str">
        <f aca="false">IF(R271="","",RANK(R271,$R$4:$R$303,0)+COUNTIF($R$4:R271,R271)-1)</f>
        <v/>
      </c>
      <c r="AN271" s="26" t="n">
        <f aca="false">IF(OR($A271="",$R271=""),0,IF(Deal_Scope="All Deals",1,IF($E271=Deal_Scope,1,0)))</f>
        <v>0</v>
      </c>
      <c r="AO271" s="56" t="n">
        <f aca="false">IF($AN271=0,0,Px_Par)</f>
        <v>0</v>
      </c>
      <c r="AP271" s="70" t="n">
        <f aca="false">IF($H271="",0,MAX(0,($H271-Set_Date)/30.4375))</f>
        <v>0</v>
      </c>
      <c r="AQ271" s="26" t="n">
        <f aca="false">IF(AND(Ext_Flag="Yes",$AA271="Yes"),Ext_Months,0)</f>
        <v>0</v>
      </c>
      <c r="AR271" s="70" t="n">
        <f aca="false">$AP271+$AQ271</f>
        <v>0</v>
      </c>
      <c r="AS271" s="70" t="n">
        <f aca="false">$AR271/12</f>
        <v>0</v>
      </c>
      <c r="AT271" s="70" t="n">
        <f aca="false">IF($AJ271="",0,MAX(0,$AJ271/12))</f>
        <v>0</v>
      </c>
      <c r="AU271" s="70" t="n">
        <f aca="false">MAX(Amort_Min,Amort_Term-$AH271/12)</f>
        <v>30</v>
      </c>
      <c r="AV271" s="70" t="n">
        <f aca="false">MIN($AS271,Hold_Yrs)</f>
        <v>0</v>
      </c>
      <c r="AW271" s="26" t="n">
        <f aca="false">IF($AN271=0,0,CEILING(MAX($AS271,0.0001),1))</f>
        <v>0</v>
      </c>
      <c r="AX271" s="26" t="n">
        <f aca="false">IF(AND($AN271=1,MAX($AS271,0.0001)&lt;=Hold_Yrs),1,0)</f>
        <v>0</v>
      </c>
      <c r="AY271" s="71" t="n">
        <f aca="false">$R271*$AO271</f>
        <v>0</v>
      </c>
      <c r="AZ271" s="71" t="n">
        <f aca="false">$R271*Acc_Int*$AN271</f>
        <v>0</v>
      </c>
      <c r="BA271" s="71" t="n">
        <f aca="false">$AY271*Acq_Cost</f>
        <v>0</v>
      </c>
      <c r="BB271" s="71" t="n">
        <f aca="false">$AY271+$AZ271+$BA271</f>
        <v>0</v>
      </c>
      <c r="BC271" s="71" t="n">
        <f aca="false">IF(Fin_Flag="Yes",$AY271*Adv_Rate,0)</f>
        <v>0</v>
      </c>
      <c r="BD271" s="71" t="n">
        <f aca="false">$BC271*Fin_UpFee</f>
        <v>0</v>
      </c>
      <c r="BE271" s="71" t="n">
        <f aca="false">$BB271-$BC271+$BD271</f>
        <v>0</v>
      </c>
    </row>
    <row r="272" customFormat="false" ht="14.25" hidden="false" customHeight="false" outlineLevel="0" collapsed="false">
      <c r="A272" s="61"/>
      <c r="B272" s="62"/>
      <c r="C272" s="61"/>
      <c r="D272" s="61"/>
      <c r="E272" s="61"/>
      <c r="F272" s="63"/>
      <c r="G272" s="64"/>
      <c r="H272" s="64"/>
      <c r="I272" s="63"/>
      <c r="J272" s="63"/>
      <c r="K272" s="61"/>
      <c r="L272" s="65"/>
      <c r="M272" s="65"/>
      <c r="N272" s="61"/>
      <c r="O272" s="64"/>
      <c r="P272" s="65"/>
      <c r="Q272" s="65"/>
      <c r="R272" s="66"/>
      <c r="S272" s="65"/>
      <c r="T272" s="65"/>
      <c r="U272" s="67"/>
      <c r="V272" s="65"/>
      <c r="W272" s="65"/>
      <c r="X272" s="63"/>
      <c r="Y272" s="63"/>
      <c r="Z272" s="61"/>
      <c r="AA272" s="61"/>
      <c r="AB272" s="61"/>
      <c r="AC272" s="61"/>
      <c r="AD272" s="61"/>
      <c r="AE272" s="61"/>
      <c r="AF272" s="61"/>
      <c r="AG272" s="61"/>
      <c r="AH272" s="68" t="n">
        <f aca="false">IF(G272="",0,ROUND((Strats!$C$4-G272)/30.4375,1))</f>
        <v>0</v>
      </c>
      <c r="AI272" s="69" t="n">
        <f aca="false">IF(K272="",0,IF(K272="Floating",Strats!$C$10+M272,L272))</f>
        <v>0</v>
      </c>
      <c r="AJ272" s="68" t="str">
        <f aca="false">IF(OR(Z272="",Z272="Full Amortizing"),"",MAX(J272-AH272,0))</f>
        <v/>
      </c>
      <c r="AK272" s="69" t="n">
        <f aca="false">IF(K272="",0,IF(K272="Floating",IF(P272&lt;&gt;"",MIN(IF(Q272&lt;&gt;"",MAX((Strats!$C$10+Strats!$C$11+M272),Q272),(Strats!$C$10+Strats!$C$11+M272)),P272),IF(Q272&lt;&gt;"",MAX((Strats!$C$10+Strats!$C$11+M272),Q272),(Strats!$C$10+Strats!$C$11+M272))),AI272))</f>
        <v>0</v>
      </c>
      <c r="AL272" s="68" t="str">
        <f aca="false">IF(OR(E272="",E272&lt;&gt;'Deal Strat'!$C$12,R272=""),"",SUMPRODUCT((E$4:E$303='Deal Strat'!$C$12)*(R$4:R$303&gt;R272))+1+SUMPRODUCT((E$4:E$303='Deal Strat'!$C$12)*(R$4:R$303=R272)*(ROW(R$4:R$303)&lt;ROW(R272))))</f>
        <v/>
      </c>
      <c r="AM272" s="68" t="str">
        <f aca="false">IF(R272="","",RANK(R272,$R$4:$R$303,0)+COUNTIF($R$4:R272,R272)-1)</f>
        <v/>
      </c>
      <c r="AN272" s="26" t="n">
        <f aca="false">IF(OR($A272="",$R272=""),0,IF(Deal_Scope="All Deals",1,IF($E272=Deal_Scope,1,0)))</f>
        <v>0</v>
      </c>
      <c r="AO272" s="56" t="n">
        <f aca="false">IF($AN272=0,0,Px_Par)</f>
        <v>0</v>
      </c>
      <c r="AP272" s="70" t="n">
        <f aca="false">IF($H272="",0,MAX(0,($H272-Set_Date)/30.4375))</f>
        <v>0</v>
      </c>
      <c r="AQ272" s="26" t="n">
        <f aca="false">IF(AND(Ext_Flag="Yes",$AA272="Yes"),Ext_Months,0)</f>
        <v>0</v>
      </c>
      <c r="AR272" s="70" t="n">
        <f aca="false">$AP272+$AQ272</f>
        <v>0</v>
      </c>
      <c r="AS272" s="70" t="n">
        <f aca="false">$AR272/12</f>
        <v>0</v>
      </c>
      <c r="AT272" s="70" t="n">
        <f aca="false">IF($AJ272="",0,MAX(0,$AJ272/12))</f>
        <v>0</v>
      </c>
      <c r="AU272" s="70" t="n">
        <f aca="false">MAX(Amort_Min,Amort_Term-$AH272/12)</f>
        <v>30</v>
      </c>
      <c r="AV272" s="70" t="n">
        <f aca="false">MIN($AS272,Hold_Yrs)</f>
        <v>0</v>
      </c>
      <c r="AW272" s="26" t="n">
        <f aca="false">IF($AN272=0,0,CEILING(MAX($AS272,0.0001),1))</f>
        <v>0</v>
      </c>
      <c r="AX272" s="26" t="n">
        <f aca="false">IF(AND($AN272=1,MAX($AS272,0.0001)&lt;=Hold_Yrs),1,0)</f>
        <v>0</v>
      </c>
      <c r="AY272" s="71" t="n">
        <f aca="false">$R272*$AO272</f>
        <v>0</v>
      </c>
      <c r="AZ272" s="71" t="n">
        <f aca="false">$R272*Acc_Int*$AN272</f>
        <v>0</v>
      </c>
      <c r="BA272" s="71" t="n">
        <f aca="false">$AY272*Acq_Cost</f>
        <v>0</v>
      </c>
      <c r="BB272" s="71" t="n">
        <f aca="false">$AY272+$AZ272+$BA272</f>
        <v>0</v>
      </c>
      <c r="BC272" s="71" t="n">
        <f aca="false">IF(Fin_Flag="Yes",$AY272*Adv_Rate,0)</f>
        <v>0</v>
      </c>
      <c r="BD272" s="71" t="n">
        <f aca="false">$BC272*Fin_UpFee</f>
        <v>0</v>
      </c>
      <c r="BE272" s="71" t="n">
        <f aca="false">$BB272-$BC272+$BD272</f>
        <v>0</v>
      </c>
    </row>
    <row r="273" customFormat="false" ht="14.25" hidden="false" customHeight="false" outlineLevel="0" collapsed="false">
      <c r="A273" s="61"/>
      <c r="B273" s="62"/>
      <c r="C273" s="61"/>
      <c r="D273" s="61"/>
      <c r="E273" s="61"/>
      <c r="F273" s="63"/>
      <c r="G273" s="64"/>
      <c r="H273" s="64"/>
      <c r="I273" s="63"/>
      <c r="J273" s="63"/>
      <c r="K273" s="61"/>
      <c r="L273" s="65"/>
      <c r="M273" s="65"/>
      <c r="N273" s="61"/>
      <c r="O273" s="64"/>
      <c r="P273" s="65"/>
      <c r="Q273" s="65"/>
      <c r="R273" s="66"/>
      <c r="S273" s="65"/>
      <c r="T273" s="65"/>
      <c r="U273" s="67"/>
      <c r="V273" s="65"/>
      <c r="W273" s="65"/>
      <c r="X273" s="63"/>
      <c r="Y273" s="63"/>
      <c r="Z273" s="61"/>
      <c r="AA273" s="61"/>
      <c r="AB273" s="61"/>
      <c r="AC273" s="61"/>
      <c r="AD273" s="61"/>
      <c r="AE273" s="61"/>
      <c r="AF273" s="61"/>
      <c r="AG273" s="61"/>
      <c r="AH273" s="68" t="n">
        <f aca="false">IF(G273="",0,ROUND((Strats!$C$4-G273)/30.4375,1))</f>
        <v>0</v>
      </c>
      <c r="AI273" s="69" t="n">
        <f aca="false">IF(K273="",0,IF(K273="Floating",Strats!$C$10+M273,L273))</f>
        <v>0</v>
      </c>
      <c r="AJ273" s="68" t="str">
        <f aca="false">IF(OR(Z273="",Z273="Full Amortizing"),"",MAX(J273-AH273,0))</f>
        <v/>
      </c>
      <c r="AK273" s="69" t="n">
        <f aca="false">IF(K273="",0,IF(K273="Floating",IF(P273&lt;&gt;"",MIN(IF(Q273&lt;&gt;"",MAX((Strats!$C$10+Strats!$C$11+M273),Q273),(Strats!$C$10+Strats!$C$11+M273)),P273),IF(Q273&lt;&gt;"",MAX((Strats!$C$10+Strats!$C$11+M273),Q273),(Strats!$C$10+Strats!$C$11+M273))),AI273))</f>
        <v>0</v>
      </c>
      <c r="AL273" s="68" t="str">
        <f aca="false">IF(OR(E273="",E273&lt;&gt;'Deal Strat'!$C$12,R273=""),"",SUMPRODUCT((E$4:E$303='Deal Strat'!$C$12)*(R$4:R$303&gt;R273))+1+SUMPRODUCT((E$4:E$303='Deal Strat'!$C$12)*(R$4:R$303=R273)*(ROW(R$4:R$303)&lt;ROW(R273))))</f>
        <v/>
      </c>
      <c r="AM273" s="68" t="str">
        <f aca="false">IF(R273="","",RANK(R273,$R$4:$R$303,0)+COUNTIF($R$4:R273,R273)-1)</f>
        <v/>
      </c>
      <c r="AN273" s="26" t="n">
        <f aca="false">IF(OR($A273="",$R273=""),0,IF(Deal_Scope="All Deals",1,IF($E273=Deal_Scope,1,0)))</f>
        <v>0</v>
      </c>
      <c r="AO273" s="56" t="n">
        <f aca="false">IF($AN273=0,0,Px_Par)</f>
        <v>0</v>
      </c>
      <c r="AP273" s="70" t="n">
        <f aca="false">IF($H273="",0,MAX(0,($H273-Set_Date)/30.4375))</f>
        <v>0</v>
      </c>
      <c r="AQ273" s="26" t="n">
        <f aca="false">IF(AND(Ext_Flag="Yes",$AA273="Yes"),Ext_Months,0)</f>
        <v>0</v>
      </c>
      <c r="AR273" s="70" t="n">
        <f aca="false">$AP273+$AQ273</f>
        <v>0</v>
      </c>
      <c r="AS273" s="70" t="n">
        <f aca="false">$AR273/12</f>
        <v>0</v>
      </c>
      <c r="AT273" s="70" t="n">
        <f aca="false">IF($AJ273="",0,MAX(0,$AJ273/12))</f>
        <v>0</v>
      </c>
      <c r="AU273" s="70" t="n">
        <f aca="false">MAX(Amort_Min,Amort_Term-$AH273/12)</f>
        <v>30</v>
      </c>
      <c r="AV273" s="70" t="n">
        <f aca="false">MIN($AS273,Hold_Yrs)</f>
        <v>0</v>
      </c>
      <c r="AW273" s="26" t="n">
        <f aca="false">IF($AN273=0,0,CEILING(MAX($AS273,0.0001),1))</f>
        <v>0</v>
      </c>
      <c r="AX273" s="26" t="n">
        <f aca="false">IF(AND($AN273=1,MAX($AS273,0.0001)&lt;=Hold_Yrs),1,0)</f>
        <v>0</v>
      </c>
      <c r="AY273" s="71" t="n">
        <f aca="false">$R273*$AO273</f>
        <v>0</v>
      </c>
      <c r="AZ273" s="71" t="n">
        <f aca="false">$R273*Acc_Int*$AN273</f>
        <v>0</v>
      </c>
      <c r="BA273" s="71" t="n">
        <f aca="false">$AY273*Acq_Cost</f>
        <v>0</v>
      </c>
      <c r="BB273" s="71" t="n">
        <f aca="false">$AY273+$AZ273+$BA273</f>
        <v>0</v>
      </c>
      <c r="BC273" s="71" t="n">
        <f aca="false">IF(Fin_Flag="Yes",$AY273*Adv_Rate,0)</f>
        <v>0</v>
      </c>
      <c r="BD273" s="71" t="n">
        <f aca="false">$BC273*Fin_UpFee</f>
        <v>0</v>
      </c>
      <c r="BE273" s="71" t="n">
        <f aca="false">$BB273-$BC273+$BD273</f>
        <v>0</v>
      </c>
    </row>
    <row r="274" customFormat="false" ht="14.25" hidden="false" customHeight="false" outlineLevel="0" collapsed="false">
      <c r="A274" s="61"/>
      <c r="B274" s="62"/>
      <c r="C274" s="61"/>
      <c r="D274" s="61"/>
      <c r="E274" s="61"/>
      <c r="F274" s="63"/>
      <c r="G274" s="64"/>
      <c r="H274" s="64"/>
      <c r="I274" s="63"/>
      <c r="J274" s="63"/>
      <c r="K274" s="61"/>
      <c r="L274" s="65"/>
      <c r="M274" s="65"/>
      <c r="N274" s="61"/>
      <c r="O274" s="64"/>
      <c r="P274" s="65"/>
      <c r="Q274" s="65"/>
      <c r="R274" s="66"/>
      <c r="S274" s="65"/>
      <c r="T274" s="65"/>
      <c r="U274" s="67"/>
      <c r="V274" s="65"/>
      <c r="W274" s="65"/>
      <c r="X274" s="63"/>
      <c r="Y274" s="63"/>
      <c r="Z274" s="61"/>
      <c r="AA274" s="61"/>
      <c r="AB274" s="61"/>
      <c r="AC274" s="61"/>
      <c r="AD274" s="61"/>
      <c r="AE274" s="61"/>
      <c r="AF274" s="61"/>
      <c r="AG274" s="61"/>
      <c r="AH274" s="68" t="n">
        <f aca="false">IF(G274="",0,ROUND((Strats!$C$4-G274)/30.4375,1))</f>
        <v>0</v>
      </c>
      <c r="AI274" s="69" t="n">
        <f aca="false">IF(K274="",0,IF(K274="Floating",Strats!$C$10+M274,L274))</f>
        <v>0</v>
      </c>
      <c r="AJ274" s="68" t="str">
        <f aca="false">IF(OR(Z274="",Z274="Full Amortizing"),"",MAX(J274-AH274,0))</f>
        <v/>
      </c>
      <c r="AK274" s="69" t="n">
        <f aca="false">IF(K274="",0,IF(K274="Floating",IF(P274&lt;&gt;"",MIN(IF(Q274&lt;&gt;"",MAX((Strats!$C$10+Strats!$C$11+M274),Q274),(Strats!$C$10+Strats!$C$11+M274)),P274),IF(Q274&lt;&gt;"",MAX((Strats!$C$10+Strats!$C$11+M274),Q274),(Strats!$C$10+Strats!$C$11+M274))),AI274))</f>
        <v>0</v>
      </c>
      <c r="AL274" s="68" t="str">
        <f aca="false">IF(OR(E274="",E274&lt;&gt;'Deal Strat'!$C$12,R274=""),"",SUMPRODUCT((E$4:E$303='Deal Strat'!$C$12)*(R$4:R$303&gt;R274))+1+SUMPRODUCT((E$4:E$303='Deal Strat'!$C$12)*(R$4:R$303=R274)*(ROW(R$4:R$303)&lt;ROW(R274))))</f>
        <v/>
      </c>
      <c r="AM274" s="68" t="str">
        <f aca="false">IF(R274="","",RANK(R274,$R$4:$R$303,0)+COUNTIF($R$4:R274,R274)-1)</f>
        <v/>
      </c>
      <c r="AN274" s="26" t="n">
        <f aca="false">IF(OR($A274="",$R274=""),0,IF(Deal_Scope="All Deals",1,IF($E274=Deal_Scope,1,0)))</f>
        <v>0</v>
      </c>
      <c r="AO274" s="56" t="n">
        <f aca="false">IF($AN274=0,0,Px_Par)</f>
        <v>0</v>
      </c>
      <c r="AP274" s="70" t="n">
        <f aca="false">IF($H274="",0,MAX(0,($H274-Set_Date)/30.4375))</f>
        <v>0</v>
      </c>
      <c r="AQ274" s="26" t="n">
        <f aca="false">IF(AND(Ext_Flag="Yes",$AA274="Yes"),Ext_Months,0)</f>
        <v>0</v>
      </c>
      <c r="AR274" s="70" t="n">
        <f aca="false">$AP274+$AQ274</f>
        <v>0</v>
      </c>
      <c r="AS274" s="70" t="n">
        <f aca="false">$AR274/12</f>
        <v>0</v>
      </c>
      <c r="AT274" s="70" t="n">
        <f aca="false">IF($AJ274="",0,MAX(0,$AJ274/12))</f>
        <v>0</v>
      </c>
      <c r="AU274" s="70" t="n">
        <f aca="false">MAX(Amort_Min,Amort_Term-$AH274/12)</f>
        <v>30</v>
      </c>
      <c r="AV274" s="70" t="n">
        <f aca="false">MIN($AS274,Hold_Yrs)</f>
        <v>0</v>
      </c>
      <c r="AW274" s="26" t="n">
        <f aca="false">IF($AN274=0,0,CEILING(MAX($AS274,0.0001),1))</f>
        <v>0</v>
      </c>
      <c r="AX274" s="26" t="n">
        <f aca="false">IF(AND($AN274=1,MAX($AS274,0.0001)&lt;=Hold_Yrs),1,0)</f>
        <v>0</v>
      </c>
      <c r="AY274" s="71" t="n">
        <f aca="false">$R274*$AO274</f>
        <v>0</v>
      </c>
      <c r="AZ274" s="71" t="n">
        <f aca="false">$R274*Acc_Int*$AN274</f>
        <v>0</v>
      </c>
      <c r="BA274" s="71" t="n">
        <f aca="false">$AY274*Acq_Cost</f>
        <v>0</v>
      </c>
      <c r="BB274" s="71" t="n">
        <f aca="false">$AY274+$AZ274+$BA274</f>
        <v>0</v>
      </c>
      <c r="BC274" s="71" t="n">
        <f aca="false">IF(Fin_Flag="Yes",$AY274*Adv_Rate,0)</f>
        <v>0</v>
      </c>
      <c r="BD274" s="71" t="n">
        <f aca="false">$BC274*Fin_UpFee</f>
        <v>0</v>
      </c>
      <c r="BE274" s="71" t="n">
        <f aca="false">$BB274-$BC274+$BD274</f>
        <v>0</v>
      </c>
    </row>
    <row r="275" customFormat="false" ht="14.25" hidden="false" customHeight="false" outlineLevel="0" collapsed="false">
      <c r="A275" s="61"/>
      <c r="B275" s="62"/>
      <c r="C275" s="61"/>
      <c r="D275" s="61"/>
      <c r="E275" s="61"/>
      <c r="F275" s="63"/>
      <c r="G275" s="64"/>
      <c r="H275" s="64"/>
      <c r="I275" s="63"/>
      <c r="J275" s="63"/>
      <c r="K275" s="61"/>
      <c r="L275" s="65"/>
      <c r="M275" s="65"/>
      <c r="N275" s="61"/>
      <c r="O275" s="64"/>
      <c r="P275" s="65"/>
      <c r="Q275" s="65"/>
      <c r="R275" s="66"/>
      <c r="S275" s="65"/>
      <c r="T275" s="65"/>
      <c r="U275" s="67"/>
      <c r="V275" s="65"/>
      <c r="W275" s="65"/>
      <c r="X275" s="63"/>
      <c r="Y275" s="63"/>
      <c r="Z275" s="61"/>
      <c r="AA275" s="61"/>
      <c r="AB275" s="61"/>
      <c r="AC275" s="61"/>
      <c r="AD275" s="61"/>
      <c r="AE275" s="61"/>
      <c r="AF275" s="61"/>
      <c r="AG275" s="61"/>
      <c r="AH275" s="68" t="n">
        <f aca="false">IF(G275="",0,ROUND((Strats!$C$4-G275)/30.4375,1))</f>
        <v>0</v>
      </c>
      <c r="AI275" s="69" t="n">
        <f aca="false">IF(K275="",0,IF(K275="Floating",Strats!$C$10+M275,L275))</f>
        <v>0</v>
      </c>
      <c r="AJ275" s="68" t="str">
        <f aca="false">IF(OR(Z275="",Z275="Full Amortizing"),"",MAX(J275-AH275,0))</f>
        <v/>
      </c>
      <c r="AK275" s="69" t="n">
        <f aca="false">IF(K275="",0,IF(K275="Floating",IF(P275&lt;&gt;"",MIN(IF(Q275&lt;&gt;"",MAX((Strats!$C$10+Strats!$C$11+M275),Q275),(Strats!$C$10+Strats!$C$11+M275)),P275),IF(Q275&lt;&gt;"",MAX((Strats!$C$10+Strats!$C$11+M275),Q275),(Strats!$C$10+Strats!$C$11+M275))),AI275))</f>
        <v>0</v>
      </c>
      <c r="AL275" s="68" t="str">
        <f aca="false">IF(OR(E275="",E275&lt;&gt;'Deal Strat'!$C$12,R275=""),"",SUMPRODUCT((E$4:E$303='Deal Strat'!$C$12)*(R$4:R$303&gt;R275))+1+SUMPRODUCT((E$4:E$303='Deal Strat'!$C$12)*(R$4:R$303=R275)*(ROW(R$4:R$303)&lt;ROW(R275))))</f>
        <v/>
      </c>
      <c r="AM275" s="68" t="str">
        <f aca="false">IF(R275="","",RANK(R275,$R$4:$R$303,0)+COUNTIF($R$4:R275,R275)-1)</f>
        <v/>
      </c>
      <c r="AN275" s="26" t="n">
        <f aca="false">IF(OR($A275="",$R275=""),0,IF(Deal_Scope="All Deals",1,IF($E275=Deal_Scope,1,0)))</f>
        <v>0</v>
      </c>
      <c r="AO275" s="56" t="n">
        <f aca="false">IF($AN275=0,0,Px_Par)</f>
        <v>0</v>
      </c>
      <c r="AP275" s="70" t="n">
        <f aca="false">IF($H275="",0,MAX(0,($H275-Set_Date)/30.4375))</f>
        <v>0</v>
      </c>
      <c r="AQ275" s="26" t="n">
        <f aca="false">IF(AND(Ext_Flag="Yes",$AA275="Yes"),Ext_Months,0)</f>
        <v>0</v>
      </c>
      <c r="AR275" s="70" t="n">
        <f aca="false">$AP275+$AQ275</f>
        <v>0</v>
      </c>
      <c r="AS275" s="70" t="n">
        <f aca="false">$AR275/12</f>
        <v>0</v>
      </c>
      <c r="AT275" s="70" t="n">
        <f aca="false">IF($AJ275="",0,MAX(0,$AJ275/12))</f>
        <v>0</v>
      </c>
      <c r="AU275" s="70" t="n">
        <f aca="false">MAX(Amort_Min,Amort_Term-$AH275/12)</f>
        <v>30</v>
      </c>
      <c r="AV275" s="70" t="n">
        <f aca="false">MIN($AS275,Hold_Yrs)</f>
        <v>0</v>
      </c>
      <c r="AW275" s="26" t="n">
        <f aca="false">IF($AN275=0,0,CEILING(MAX($AS275,0.0001),1))</f>
        <v>0</v>
      </c>
      <c r="AX275" s="26" t="n">
        <f aca="false">IF(AND($AN275=1,MAX($AS275,0.0001)&lt;=Hold_Yrs),1,0)</f>
        <v>0</v>
      </c>
      <c r="AY275" s="71" t="n">
        <f aca="false">$R275*$AO275</f>
        <v>0</v>
      </c>
      <c r="AZ275" s="71" t="n">
        <f aca="false">$R275*Acc_Int*$AN275</f>
        <v>0</v>
      </c>
      <c r="BA275" s="71" t="n">
        <f aca="false">$AY275*Acq_Cost</f>
        <v>0</v>
      </c>
      <c r="BB275" s="71" t="n">
        <f aca="false">$AY275+$AZ275+$BA275</f>
        <v>0</v>
      </c>
      <c r="BC275" s="71" t="n">
        <f aca="false">IF(Fin_Flag="Yes",$AY275*Adv_Rate,0)</f>
        <v>0</v>
      </c>
      <c r="BD275" s="71" t="n">
        <f aca="false">$BC275*Fin_UpFee</f>
        <v>0</v>
      </c>
      <c r="BE275" s="71" t="n">
        <f aca="false">$BB275-$BC275+$BD275</f>
        <v>0</v>
      </c>
    </row>
    <row r="276" customFormat="false" ht="14.25" hidden="false" customHeight="false" outlineLevel="0" collapsed="false">
      <c r="A276" s="61"/>
      <c r="B276" s="62"/>
      <c r="C276" s="61"/>
      <c r="D276" s="61"/>
      <c r="E276" s="61"/>
      <c r="F276" s="63"/>
      <c r="G276" s="64"/>
      <c r="H276" s="64"/>
      <c r="I276" s="63"/>
      <c r="J276" s="63"/>
      <c r="K276" s="61"/>
      <c r="L276" s="65"/>
      <c r="M276" s="65"/>
      <c r="N276" s="61"/>
      <c r="O276" s="64"/>
      <c r="P276" s="65"/>
      <c r="Q276" s="65"/>
      <c r="R276" s="66"/>
      <c r="S276" s="65"/>
      <c r="T276" s="65"/>
      <c r="U276" s="67"/>
      <c r="V276" s="65"/>
      <c r="W276" s="65"/>
      <c r="X276" s="63"/>
      <c r="Y276" s="63"/>
      <c r="Z276" s="61"/>
      <c r="AA276" s="61"/>
      <c r="AB276" s="61"/>
      <c r="AC276" s="61"/>
      <c r="AD276" s="61"/>
      <c r="AE276" s="61"/>
      <c r="AF276" s="61"/>
      <c r="AG276" s="61"/>
      <c r="AH276" s="68" t="n">
        <f aca="false">IF(G276="",0,ROUND((Strats!$C$4-G276)/30.4375,1))</f>
        <v>0</v>
      </c>
      <c r="AI276" s="69" t="n">
        <f aca="false">IF(K276="",0,IF(K276="Floating",Strats!$C$10+M276,L276))</f>
        <v>0</v>
      </c>
      <c r="AJ276" s="68" t="str">
        <f aca="false">IF(OR(Z276="",Z276="Full Amortizing"),"",MAX(J276-AH276,0))</f>
        <v/>
      </c>
      <c r="AK276" s="69" t="n">
        <f aca="false">IF(K276="",0,IF(K276="Floating",IF(P276&lt;&gt;"",MIN(IF(Q276&lt;&gt;"",MAX((Strats!$C$10+Strats!$C$11+M276),Q276),(Strats!$C$10+Strats!$C$11+M276)),P276),IF(Q276&lt;&gt;"",MAX((Strats!$C$10+Strats!$C$11+M276),Q276),(Strats!$C$10+Strats!$C$11+M276))),AI276))</f>
        <v>0</v>
      </c>
      <c r="AL276" s="68" t="str">
        <f aca="false">IF(OR(E276="",E276&lt;&gt;'Deal Strat'!$C$12,R276=""),"",SUMPRODUCT((E$4:E$303='Deal Strat'!$C$12)*(R$4:R$303&gt;R276))+1+SUMPRODUCT((E$4:E$303='Deal Strat'!$C$12)*(R$4:R$303=R276)*(ROW(R$4:R$303)&lt;ROW(R276))))</f>
        <v/>
      </c>
      <c r="AM276" s="68" t="str">
        <f aca="false">IF(R276="","",RANK(R276,$R$4:$R$303,0)+COUNTIF($R$4:R276,R276)-1)</f>
        <v/>
      </c>
      <c r="AN276" s="26" t="n">
        <f aca="false">IF(OR($A276="",$R276=""),0,IF(Deal_Scope="All Deals",1,IF($E276=Deal_Scope,1,0)))</f>
        <v>0</v>
      </c>
      <c r="AO276" s="56" t="n">
        <f aca="false">IF($AN276=0,0,Px_Par)</f>
        <v>0</v>
      </c>
      <c r="AP276" s="70" t="n">
        <f aca="false">IF($H276="",0,MAX(0,($H276-Set_Date)/30.4375))</f>
        <v>0</v>
      </c>
      <c r="AQ276" s="26" t="n">
        <f aca="false">IF(AND(Ext_Flag="Yes",$AA276="Yes"),Ext_Months,0)</f>
        <v>0</v>
      </c>
      <c r="AR276" s="70" t="n">
        <f aca="false">$AP276+$AQ276</f>
        <v>0</v>
      </c>
      <c r="AS276" s="70" t="n">
        <f aca="false">$AR276/12</f>
        <v>0</v>
      </c>
      <c r="AT276" s="70" t="n">
        <f aca="false">IF($AJ276="",0,MAX(0,$AJ276/12))</f>
        <v>0</v>
      </c>
      <c r="AU276" s="70" t="n">
        <f aca="false">MAX(Amort_Min,Amort_Term-$AH276/12)</f>
        <v>30</v>
      </c>
      <c r="AV276" s="70" t="n">
        <f aca="false">MIN($AS276,Hold_Yrs)</f>
        <v>0</v>
      </c>
      <c r="AW276" s="26" t="n">
        <f aca="false">IF($AN276=0,0,CEILING(MAX($AS276,0.0001),1))</f>
        <v>0</v>
      </c>
      <c r="AX276" s="26" t="n">
        <f aca="false">IF(AND($AN276=1,MAX($AS276,0.0001)&lt;=Hold_Yrs),1,0)</f>
        <v>0</v>
      </c>
      <c r="AY276" s="71" t="n">
        <f aca="false">$R276*$AO276</f>
        <v>0</v>
      </c>
      <c r="AZ276" s="71" t="n">
        <f aca="false">$R276*Acc_Int*$AN276</f>
        <v>0</v>
      </c>
      <c r="BA276" s="71" t="n">
        <f aca="false">$AY276*Acq_Cost</f>
        <v>0</v>
      </c>
      <c r="BB276" s="71" t="n">
        <f aca="false">$AY276+$AZ276+$BA276</f>
        <v>0</v>
      </c>
      <c r="BC276" s="71" t="n">
        <f aca="false">IF(Fin_Flag="Yes",$AY276*Adv_Rate,0)</f>
        <v>0</v>
      </c>
      <c r="BD276" s="71" t="n">
        <f aca="false">$BC276*Fin_UpFee</f>
        <v>0</v>
      </c>
      <c r="BE276" s="71" t="n">
        <f aca="false">$BB276-$BC276+$BD276</f>
        <v>0</v>
      </c>
    </row>
    <row r="277" customFormat="false" ht="14.25" hidden="false" customHeight="false" outlineLevel="0" collapsed="false">
      <c r="A277" s="61"/>
      <c r="B277" s="62"/>
      <c r="C277" s="61"/>
      <c r="D277" s="61"/>
      <c r="E277" s="61"/>
      <c r="F277" s="63"/>
      <c r="G277" s="64"/>
      <c r="H277" s="64"/>
      <c r="I277" s="63"/>
      <c r="J277" s="63"/>
      <c r="K277" s="61"/>
      <c r="L277" s="65"/>
      <c r="M277" s="65"/>
      <c r="N277" s="61"/>
      <c r="O277" s="64"/>
      <c r="P277" s="65"/>
      <c r="Q277" s="65"/>
      <c r="R277" s="66"/>
      <c r="S277" s="65"/>
      <c r="T277" s="65"/>
      <c r="U277" s="67"/>
      <c r="V277" s="65"/>
      <c r="W277" s="65"/>
      <c r="X277" s="63"/>
      <c r="Y277" s="63"/>
      <c r="Z277" s="61"/>
      <c r="AA277" s="61"/>
      <c r="AB277" s="61"/>
      <c r="AC277" s="61"/>
      <c r="AD277" s="61"/>
      <c r="AE277" s="61"/>
      <c r="AF277" s="61"/>
      <c r="AG277" s="61"/>
      <c r="AH277" s="68" t="n">
        <f aca="false">IF(G277="",0,ROUND((Strats!$C$4-G277)/30.4375,1))</f>
        <v>0</v>
      </c>
      <c r="AI277" s="69" t="n">
        <f aca="false">IF(K277="",0,IF(K277="Floating",Strats!$C$10+M277,L277))</f>
        <v>0</v>
      </c>
      <c r="AJ277" s="68" t="str">
        <f aca="false">IF(OR(Z277="",Z277="Full Amortizing"),"",MAX(J277-AH277,0))</f>
        <v/>
      </c>
      <c r="AK277" s="69" t="n">
        <f aca="false">IF(K277="",0,IF(K277="Floating",IF(P277&lt;&gt;"",MIN(IF(Q277&lt;&gt;"",MAX((Strats!$C$10+Strats!$C$11+M277),Q277),(Strats!$C$10+Strats!$C$11+M277)),P277),IF(Q277&lt;&gt;"",MAX((Strats!$C$10+Strats!$C$11+M277),Q277),(Strats!$C$10+Strats!$C$11+M277))),AI277))</f>
        <v>0</v>
      </c>
      <c r="AL277" s="68" t="str">
        <f aca="false">IF(OR(E277="",E277&lt;&gt;'Deal Strat'!$C$12,R277=""),"",SUMPRODUCT((E$4:E$303='Deal Strat'!$C$12)*(R$4:R$303&gt;R277))+1+SUMPRODUCT((E$4:E$303='Deal Strat'!$C$12)*(R$4:R$303=R277)*(ROW(R$4:R$303)&lt;ROW(R277))))</f>
        <v/>
      </c>
      <c r="AM277" s="68" t="str">
        <f aca="false">IF(R277="","",RANK(R277,$R$4:$R$303,0)+COUNTIF($R$4:R277,R277)-1)</f>
        <v/>
      </c>
      <c r="AN277" s="26" t="n">
        <f aca="false">IF(OR($A277="",$R277=""),0,IF(Deal_Scope="All Deals",1,IF($E277=Deal_Scope,1,0)))</f>
        <v>0</v>
      </c>
      <c r="AO277" s="56" t="n">
        <f aca="false">IF($AN277=0,0,Px_Par)</f>
        <v>0</v>
      </c>
      <c r="AP277" s="70" t="n">
        <f aca="false">IF($H277="",0,MAX(0,($H277-Set_Date)/30.4375))</f>
        <v>0</v>
      </c>
      <c r="AQ277" s="26" t="n">
        <f aca="false">IF(AND(Ext_Flag="Yes",$AA277="Yes"),Ext_Months,0)</f>
        <v>0</v>
      </c>
      <c r="AR277" s="70" t="n">
        <f aca="false">$AP277+$AQ277</f>
        <v>0</v>
      </c>
      <c r="AS277" s="70" t="n">
        <f aca="false">$AR277/12</f>
        <v>0</v>
      </c>
      <c r="AT277" s="70" t="n">
        <f aca="false">IF($AJ277="",0,MAX(0,$AJ277/12))</f>
        <v>0</v>
      </c>
      <c r="AU277" s="70" t="n">
        <f aca="false">MAX(Amort_Min,Amort_Term-$AH277/12)</f>
        <v>30</v>
      </c>
      <c r="AV277" s="70" t="n">
        <f aca="false">MIN($AS277,Hold_Yrs)</f>
        <v>0</v>
      </c>
      <c r="AW277" s="26" t="n">
        <f aca="false">IF($AN277=0,0,CEILING(MAX($AS277,0.0001),1))</f>
        <v>0</v>
      </c>
      <c r="AX277" s="26" t="n">
        <f aca="false">IF(AND($AN277=1,MAX($AS277,0.0001)&lt;=Hold_Yrs),1,0)</f>
        <v>0</v>
      </c>
      <c r="AY277" s="71" t="n">
        <f aca="false">$R277*$AO277</f>
        <v>0</v>
      </c>
      <c r="AZ277" s="71" t="n">
        <f aca="false">$R277*Acc_Int*$AN277</f>
        <v>0</v>
      </c>
      <c r="BA277" s="71" t="n">
        <f aca="false">$AY277*Acq_Cost</f>
        <v>0</v>
      </c>
      <c r="BB277" s="71" t="n">
        <f aca="false">$AY277+$AZ277+$BA277</f>
        <v>0</v>
      </c>
      <c r="BC277" s="71" t="n">
        <f aca="false">IF(Fin_Flag="Yes",$AY277*Adv_Rate,0)</f>
        <v>0</v>
      </c>
      <c r="BD277" s="71" t="n">
        <f aca="false">$BC277*Fin_UpFee</f>
        <v>0</v>
      </c>
      <c r="BE277" s="71" t="n">
        <f aca="false">$BB277-$BC277+$BD277</f>
        <v>0</v>
      </c>
    </row>
    <row r="278" customFormat="false" ht="14.25" hidden="false" customHeight="false" outlineLevel="0" collapsed="false">
      <c r="A278" s="61"/>
      <c r="B278" s="62"/>
      <c r="C278" s="61"/>
      <c r="D278" s="61"/>
      <c r="E278" s="61"/>
      <c r="F278" s="63"/>
      <c r="G278" s="64"/>
      <c r="H278" s="64"/>
      <c r="I278" s="63"/>
      <c r="J278" s="63"/>
      <c r="K278" s="61"/>
      <c r="L278" s="65"/>
      <c r="M278" s="65"/>
      <c r="N278" s="61"/>
      <c r="O278" s="64"/>
      <c r="P278" s="65"/>
      <c r="Q278" s="65"/>
      <c r="R278" s="66"/>
      <c r="S278" s="65"/>
      <c r="T278" s="65"/>
      <c r="U278" s="67"/>
      <c r="V278" s="65"/>
      <c r="W278" s="65"/>
      <c r="X278" s="63"/>
      <c r="Y278" s="63"/>
      <c r="Z278" s="61"/>
      <c r="AA278" s="61"/>
      <c r="AB278" s="61"/>
      <c r="AC278" s="61"/>
      <c r="AD278" s="61"/>
      <c r="AE278" s="61"/>
      <c r="AF278" s="61"/>
      <c r="AG278" s="61"/>
      <c r="AH278" s="68" t="n">
        <f aca="false">IF(G278="",0,ROUND((Strats!$C$4-G278)/30.4375,1))</f>
        <v>0</v>
      </c>
      <c r="AI278" s="69" t="n">
        <f aca="false">IF(K278="",0,IF(K278="Floating",Strats!$C$10+M278,L278))</f>
        <v>0</v>
      </c>
      <c r="AJ278" s="68" t="str">
        <f aca="false">IF(OR(Z278="",Z278="Full Amortizing"),"",MAX(J278-AH278,0))</f>
        <v/>
      </c>
      <c r="AK278" s="69" t="n">
        <f aca="false">IF(K278="",0,IF(K278="Floating",IF(P278&lt;&gt;"",MIN(IF(Q278&lt;&gt;"",MAX((Strats!$C$10+Strats!$C$11+M278),Q278),(Strats!$C$10+Strats!$C$11+M278)),P278),IF(Q278&lt;&gt;"",MAX((Strats!$C$10+Strats!$C$11+M278),Q278),(Strats!$C$10+Strats!$C$11+M278))),AI278))</f>
        <v>0</v>
      </c>
      <c r="AL278" s="68" t="str">
        <f aca="false">IF(OR(E278="",E278&lt;&gt;'Deal Strat'!$C$12,R278=""),"",SUMPRODUCT((E$4:E$303='Deal Strat'!$C$12)*(R$4:R$303&gt;R278))+1+SUMPRODUCT((E$4:E$303='Deal Strat'!$C$12)*(R$4:R$303=R278)*(ROW(R$4:R$303)&lt;ROW(R278))))</f>
        <v/>
      </c>
      <c r="AM278" s="68" t="str">
        <f aca="false">IF(R278="","",RANK(R278,$R$4:$R$303,0)+COUNTIF($R$4:R278,R278)-1)</f>
        <v/>
      </c>
      <c r="AN278" s="26" t="n">
        <f aca="false">IF(OR($A278="",$R278=""),0,IF(Deal_Scope="All Deals",1,IF($E278=Deal_Scope,1,0)))</f>
        <v>0</v>
      </c>
      <c r="AO278" s="56" t="n">
        <f aca="false">IF($AN278=0,0,Px_Par)</f>
        <v>0</v>
      </c>
      <c r="AP278" s="70" t="n">
        <f aca="false">IF($H278="",0,MAX(0,($H278-Set_Date)/30.4375))</f>
        <v>0</v>
      </c>
      <c r="AQ278" s="26" t="n">
        <f aca="false">IF(AND(Ext_Flag="Yes",$AA278="Yes"),Ext_Months,0)</f>
        <v>0</v>
      </c>
      <c r="AR278" s="70" t="n">
        <f aca="false">$AP278+$AQ278</f>
        <v>0</v>
      </c>
      <c r="AS278" s="70" t="n">
        <f aca="false">$AR278/12</f>
        <v>0</v>
      </c>
      <c r="AT278" s="70" t="n">
        <f aca="false">IF($AJ278="",0,MAX(0,$AJ278/12))</f>
        <v>0</v>
      </c>
      <c r="AU278" s="70" t="n">
        <f aca="false">MAX(Amort_Min,Amort_Term-$AH278/12)</f>
        <v>30</v>
      </c>
      <c r="AV278" s="70" t="n">
        <f aca="false">MIN($AS278,Hold_Yrs)</f>
        <v>0</v>
      </c>
      <c r="AW278" s="26" t="n">
        <f aca="false">IF($AN278=0,0,CEILING(MAX($AS278,0.0001),1))</f>
        <v>0</v>
      </c>
      <c r="AX278" s="26" t="n">
        <f aca="false">IF(AND($AN278=1,MAX($AS278,0.0001)&lt;=Hold_Yrs),1,0)</f>
        <v>0</v>
      </c>
      <c r="AY278" s="71" t="n">
        <f aca="false">$R278*$AO278</f>
        <v>0</v>
      </c>
      <c r="AZ278" s="71" t="n">
        <f aca="false">$R278*Acc_Int*$AN278</f>
        <v>0</v>
      </c>
      <c r="BA278" s="71" t="n">
        <f aca="false">$AY278*Acq_Cost</f>
        <v>0</v>
      </c>
      <c r="BB278" s="71" t="n">
        <f aca="false">$AY278+$AZ278+$BA278</f>
        <v>0</v>
      </c>
      <c r="BC278" s="71" t="n">
        <f aca="false">IF(Fin_Flag="Yes",$AY278*Adv_Rate,0)</f>
        <v>0</v>
      </c>
      <c r="BD278" s="71" t="n">
        <f aca="false">$BC278*Fin_UpFee</f>
        <v>0</v>
      </c>
      <c r="BE278" s="71" t="n">
        <f aca="false">$BB278-$BC278+$BD278</f>
        <v>0</v>
      </c>
    </row>
    <row r="279" customFormat="false" ht="14.25" hidden="false" customHeight="false" outlineLevel="0" collapsed="false">
      <c r="A279" s="61"/>
      <c r="B279" s="62"/>
      <c r="C279" s="61"/>
      <c r="D279" s="61"/>
      <c r="E279" s="61"/>
      <c r="F279" s="63"/>
      <c r="G279" s="64"/>
      <c r="H279" s="64"/>
      <c r="I279" s="63"/>
      <c r="J279" s="63"/>
      <c r="K279" s="61"/>
      <c r="L279" s="65"/>
      <c r="M279" s="65"/>
      <c r="N279" s="61"/>
      <c r="O279" s="64"/>
      <c r="P279" s="65"/>
      <c r="Q279" s="65"/>
      <c r="R279" s="66"/>
      <c r="S279" s="65"/>
      <c r="T279" s="65"/>
      <c r="U279" s="67"/>
      <c r="V279" s="65"/>
      <c r="W279" s="65"/>
      <c r="X279" s="63"/>
      <c r="Y279" s="63"/>
      <c r="Z279" s="61"/>
      <c r="AA279" s="61"/>
      <c r="AB279" s="61"/>
      <c r="AC279" s="61"/>
      <c r="AD279" s="61"/>
      <c r="AE279" s="61"/>
      <c r="AF279" s="61"/>
      <c r="AG279" s="61"/>
      <c r="AH279" s="68" t="n">
        <f aca="false">IF(G279="",0,ROUND((Strats!$C$4-G279)/30.4375,1))</f>
        <v>0</v>
      </c>
      <c r="AI279" s="69" t="n">
        <f aca="false">IF(K279="",0,IF(K279="Floating",Strats!$C$10+M279,L279))</f>
        <v>0</v>
      </c>
      <c r="AJ279" s="68" t="str">
        <f aca="false">IF(OR(Z279="",Z279="Full Amortizing"),"",MAX(J279-AH279,0))</f>
        <v/>
      </c>
      <c r="AK279" s="69" t="n">
        <f aca="false">IF(K279="",0,IF(K279="Floating",IF(P279&lt;&gt;"",MIN(IF(Q279&lt;&gt;"",MAX((Strats!$C$10+Strats!$C$11+M279),Q279),(Strats!$C$10+Strats!$C$11+M279)),P279),IF(Q279&lt;&gt;"",MAX((Strats!$C$10+Strats!$C$11+M279),Q279),(Strats!$C$10+Strats!$C$11+M279))),AI279))</f>
        <v>0</v>
      </c>
      <c r="AL279" s="68" t="str">
        <f aca="false">IF(OR(E279="",E279&lt;&gt;'Deal Strat'!$C$12,R279=""),"",SUMPRODUCT((E$4:E$303='Deal Strat'!$C$12)*(R$4:R$303&gt;R279))+1+SUMPRODUCT((E$4:E$303='Deal Strat'!$C$12)*(R$4:R$303=R279)*(ROW(R$4:R$303)&lt;ROW(R279))))</f>
        <v/>
      </c>
      <c r="AM279" s="68" t="str">
        <f aca="false">IF(R279="","",RANK(R279,$R$4:$R$303,0)+COUNTIF($R$4:R279,R279)-1)</f>
        <v/>
      </c>
      <c r="AN279" s="26" t="n">
        <f aca="false">IF(OR($A279="",$R279=""),0,IF(Deal_Scope="All Deals",1,IF($E279=Deal_Scope,1,0)))</f>
        <v>0</v>
      </c>
      <c r="AO279" s="56" t="n">
        <f aca="false">IF($AN279=0,0,Px_Par)</f>
        <v>0</v>
      </c>
      <c r="AP279" s="70" t="n">
        <f aca="false">IF($H279="",0,MAX(0,($H279-Set_Date)/30.4375))</f>
        <v>0</v>
      </c>
      <c r="AQ279" s="26" t="n">
        <f aca="false">IF(AND(Ext_Flag="Yes",$AA279="Yes"),Ext_Months,0)</f>
        <v>0</v>
      </c>
      <c r="AR279" s="70" t="n">
        <f aca="false">$AP279+$AQ279</f>
        <v>0</v>
      </c>
      <c r="AS279" s="70" t="n">
        <f aca="false">$AR279/12</f>
        <v>0</v>
      </c>
      <c r="AT279" s="70" t="n">
        <f aca="false">IF($AJ279="",0,MAX(0,$AJ279/12))</f>
        <v>0</v>
      </c>
      <c r="AU279" s="70" t="n">
        <f aca="false">MAX(Amort_Min,Amort_Term-$AH279/12)</f>
        <v>30</v>
      </c>
      <c r="AV279" s="70" t="n">
        <f aca="false">MIN($AS279,Hold_Yrs)</f>
        <v>0</v>
      </c>
      <c r="AW279" s="26" t="n">
        <f aca="false">IF($AN279=0,0,CEILING(MAX($AS279,0.0001),1))</f>
        <v>0</v>
      </c>
      <c r="AX279" s="26" t="n">
        <f aca="false">IF(AND($AN279=1,MAX($AS279,0.0001)&lt;=Hold_Yrs),1,0)</f>
        <v>0</v>
      </c>
      <c r="AY279" s="71" t="n">
        <f aca="false">$R279*$AO279</f>
        <v>0</v>
      </c>
      <c r="AZ279" s="71" t="n">
        <f aca="false">$R279*Acc_Int*$AN279</f>
        <v>0</v>
      </c>
      <c r="BA279" s="71" t="n">
        <f aca="false">$AY279*Acq_Cost</f>
        <v>0</v>
      </c>
      <c r="BB279" s="71" t="n">
        <f aca="false">$AY279+$AZ279+$BA279</f>
        <v>0</v>
      </c>
      <c r="BC279" s="71" t="n">
        <f aca="false">IF(Fin_Flag="Yes",$AY279*Adv_Rate,0)</f>
        <v>0</v>
      </c>
      <c r="BD279" s="71" t="n">
        <f aca="false">$BC279*Fin_UpFee</f>
        <v>0</v>
      </c>
      <c r="BE279" s="71" t="n">
        <f aca="false">$BB279-$BC279+$BD279</f>
        <v>0</v>
      </c>
    </row>
    <row r="280" customFormat="false" ht="14.25" hidden="false" customHeight="false" outlineLevel="0" collapsed="false">
      <c r="A280" s="61"/>
      <c r="B280" s="62"/>
      <c r="C280" s="61"/>
      <c r="D280" s="61"/>
      <c r="E280" s="61"/>
      <c r="F280" s="63"/>
      <c r="G280" s="64"/>
      <c r="H280" s="64"/>
      <c r="I280" s="63"/>
      <c r="J280" s="63"/>
      <c r="K280" s="61"/>
      <c r="L280" s="65"/>
      <c r="M280" s="65"/>
      <c r="N280" s="61"/>
      <c r="O280" s="64"/>
      <c r="P280" s="65"/>
      <c r="Q280" s="65"/>
      <c r="R280" s="66"/>
      <c r="S280" s="65"/>
      <c r="T280" s="65"/>
      <c r="U280" s="67"/>
      <c r="V280" s="65"/>
      <c r="W280" s="65"/>
      <c r="X280" s="63"/>
      <c r="Y280" s="63"/>
      <c r="Z280" s="61"/>
      <c r="AA280" s="61"/>
      <c r="AB280" s="61"/>
      <c r="AC280" s="61"/>
      <c r="AD280" s="61"/>
      <c r="AE280" s="61"/>
      <c r="AF280" s="61"/>
      <c r="AG280" s="61"/>
      <c r="AH280" s="68" t="n">
        <f aca="false">IF(G280="",0,ROUND((Strats!$C$4-G280)/30.4375,1))</f>
        <v>0</v>
      </c>
      <c r="AI280" s="69" t="n">
        <f aca="false">IF(K280="",0,IF(K280="Floating",Strats!$C$10+M280,L280))</f>
        <v>0</v>
      </c>
      <c r="AJ280" s="68" t="str">
        <f aca="false">IF(OR(Z280="",Z280="Full Amortizing"),"",MAX(J280-AH280,0))</f>
        <v/>
      </c>
      <c r="AK280" s="69" t="n">
        <f aca="false">IF(K280="",0,IF(K280="Floating",IF(P280&lt;&gt;"",MIN(IF(Q280&lt;&gt;"",MAX((Strats!$C$10+Strats!$C$11+M280),Q280),(Strats!$C$10+Strats!$C$11+M280)),P280),IF(Q280&lt;&gt;"",MAX((Strats!$C$10+Strats!$C$11+M280),Q280),(Strats!$C$10+Strats!$C$11+M280))),AI280))</f>
        <v>0</v>
      </c>
      <c r="AL280" s="68" t="str">
        <f aca="false">IF(OR(E280="",E280&lt;&gt;'Deal Strat'!$C$12,R280=""),"",SUMPRODUCT((E$4:E$303='Deal Strat'!$C$12)*(R$4:R$303&gt;R280))+1+SUMPRODUCT((E$4:E$303='Deal Strat'!$C$12)*(R$4:R$303=R280)*(ROW(R$4:R$303)&lt;ROW(R280))))</f>
        <v/>
      </c>
      <c r="AM280" s="68" t="str">
        <f aca="false">IF(R280="","",RANK(R280,$R$4:$R$303,0)+COUNTIF($R$4:R280,R280)-1)</f>
        <v/>
      </c>
      <c r="AN280" s="26" t="n">
        <f aca="false">IF(OR($A280="",$R280=""),0,IF(Deal_Scope="All Deals",1,IF($E280=Deal_Scope,1,0)))</f>
        <v>0</v>
      </c>
      <c r="AO280" s="56" t="n">
        <f aca="false">IF($AN280=0,0,Px_Par)</f>
        <v>0</v>
      </c>
      <c r="AP280" s="70" t="n">
        <f aca="false">IF($H280="",0,MAX(0,($H280-Set_Date)/30.4375))</f>
        <v>0</v>
      </c>
      <c r="AQ280" s="26" t="n">
        <f aca="false">IF(AND(Ext_Flag="Yes",$AA280="Yes"),Ext_Months,0)</f>
        <v>0</v>
      </c>
      <c r="AR280" s="70" t="n">
        <f aca="false">$AP280+$AQ280</f>
        <v>0</v>
      </c>
      <c r="AS280" s="70" t="n">
        <f aca="false">$AR280/12</f>
        <v>0</v>
      </c>
      <c r="AT280" s="70" t="n">
        <f aca="false">IF($AJ280="",0,MAX(0,$AJ280/12))</f>
        <v>0</v>
      </c>
      <c r="AU280" s="70" t="n">
        <f aca="false">MAX(Amort_Min,Amort_Term-$AH280/12)</f>
        <v>30</v>
      </c>
      <c r="AV280" s="70" t="n">
        <f aca="false">MIN($AS280,Hold_Yrs)</f>
        <v>0</v>
      </c>
      <c r="AW280" s="26" t="n">
        <f aca="false">IF($AN280=0,0,CEILING(MAX($AS280,0.0001),1))</f>
        <v>0</v>
      </c>
      <c r="AX280" s="26" t="n">
        <f aca="false">IF(AND($AN280=1,MAX($AS280,0.0001)&lt;=Hold_Yrs),1,0)</f>
        <v>0</v>
      </c>
      <c r="AY280" s="71" t="n">
        <f aca="false">$R280*$AO280</f>
        <v>0</v>
      </c>
      <c r="AZ280" s="71" t="n">
        <f aca="false">$R280*Acc_Int*$AN280</f>
        <v>0</v>
      </c>
      <c r="BA280" s="71" t="n">
        <f aca="false">$AY280*Acq_Cost</f>
        <v>0</v>
      </c>
      <c r="BB280" s="71" t="n">
        <f aca="false">$AY280+$AZ280+$BA280</f>
        <v>0</v>
      </c>
      <c r="BC280" s="71" t="n">
        <f aca="false">IF(Fin_Flag="Yes",$AY280*Adv_Rate,0)</f>
        <v>0</v>
      </c>
      <c r="BD280" s="71" t="n">
        <f aca="false">$BC280*Fin_UpFee</f>
        <v>0</v>
      </c>
      <c r="BE280" s="71" t="n">
        <f aca="false">$BB280-$BC280+$BD280</f>
        <v>0</v>
      </c>
    </row>
    <row r="281" customFormat="false" ht="14.25" hidden="false" customHeight="false" outlineLevel="0" collapsed="false">
      <c r="A281" s="61"/>
      <c r="B281" s="62"/>
      <c r="C281" s="61"/>
      <c r="D281" s="61"/>
      <c r="E281" s="61"/>
      <c r="F281" s="63"/>
      <c r="G281" s="64"/>
      <c r="H281" s="64"/>
      <c r="I281" s="63"/>
      <c r="J281" s="63"/>
      <c r="K281" s="61"/>
      <c r="L281" s="65"/>
      <c r="M281" s="65"/>
      <c r="N281" s="61"/>
      <c r="O281" s="64"/>
      <c r="P281" s="65"/>
      <c r="Q281" s="65"/>
      <c r="R281" s="66"/>
      <c r="S281" s="65"/>
      <c r="T281" s="65"/>
      <c r="U281" s="67"/>
      <c r="V281" s="65"/>
      <c r="W281" s="65"/>
      <c r="X281" s="63"/>
      <c r="Y281" s="63"/>
      <c r="Z281" s="61"/>
      <c r="AA281" s="61"/>
      <c r="AB281" s="61"/>
      <c r="AC281" s="61"/>
      <c r="AD281" s="61"/>
      <c r="AE281" s="61"/>
      <c r="AF281" s="61"/>
      <c r="AG281" s="61"/>
      <c r="AH281" s="68" t="n">
        <f aca="false">IF(G281="",0,ROUND((Strats!$C$4-G281)/30.4375,1))</f>
        <v>0</v>
      </c>
      <c r="AI281" s="69" t="n">
        <f aca="false">IF(K281="",0,IF(K281="Floating",Strats!$C$10+M281,L281))</f>
        <v>0</v>
      </c>
      <c r="AJ281" s="68" t="str">
        <f aca="false">IF(OR(Z281="",Z281="Full Amortizing"),"",MAX(J281-AH281,0))</f>
        <v/>
      </c>
      <c r="AK281" s="69" t="n">
        <f aca="false">IF(K281="",0,IF(K281="Floating",IF(P281&lt;&gt;"",MIN(IF(Q281&lt;&gt;"",MAX((Strats!$C$10+Strats!$C$11+M281),Q281),(Strats!$C$10+Strats!$C$11+M281)),P281),IF(Q281&lt;&gt;"",MAX((Strats!$C$10+Strats!$C$11+M281),Q281),(Strats!$C$10+Strats!$C$11+M281))),AI281))</f>
        <v>0</v>
      </c>
      <c r="AL281" s="68" t="str">
        <f aca="false">IF(OR(E281="",E281&lt;&gt;'Deal Strat'!$C$12,R281=""),"",SUMPRODUCT((E$4:E$303='Deal Strat'!$C$12)*(R$4:R$303&gt;R281))+1+SUMPRODUCT((E$4:E$303='Deal Strat'!$C$12)*(R$4:R$303=R281)*(ROW(R$4:R$303)&lt;ROW(R281))))</f>
        <v/>
      </c>
      <c r="AM281" s="68" t="str">
        <f aca="false">IF(R281="","",RANK(R281,$R$4:$R$303,0)+COUNTIF($R$4:R281,R281)-1)</f>
        <v/>
      </c>
      <c r="AN281" s="26" t="n">
        <f aca="false">IF(OR($A281="",$R281=""),0,IF(Deal_Scope="All Deals",1,IF($E281=Deal_Scope,1,0)))</f>
        <v>0</v>
      </c>
      <c r="AO281" s="56" t="n">
        <f aca="false">IF($AN281=0,0,Px_Par)</f>
        <v>0</v>
      </c>
      <c r="AP281" s="70" t="n">
        <f aca="false">IF($H281="",0,MAX(0,($H281-Set_Date)/30.4375))</f>
        <v>0</v>
      </c>
      <c r="AQ281" s="26" t="n">
        <f aca="false">IF(AND(Ext_Flag="Yes",$AA281="Yes"),Ext_Months,0)</f>
        <v>0</v>
      </c>
      <c r="AR281" s="70" t="n">
        <f aca="false">$AP281+$AQ281</f>
        <v>0</v>
      </c>
      <c r="AS281" s="70" t="n">
        <f aca="false">$AR281/12</f>
        <v>0</v>
      </c>
      <c r="AT281" s="70" t="n">
        <f aca="false">IF($AJ281="",0,MAX(0,$AJ281/12))</f>
        <v>0</v>
      </c>
      <c r="AU281" s="70" t="n">
        <f aca="false">MAX(Amort_Min,Amort_Term-$AH281/12)</f>
        <v>30</v>
      </c>
      <c r="AV281" s="70" t="n">
        <f aca="false">MIN($AS281,Hold_Yrs)</f>
        <v>0</v>
      </c>
      <c r="AW281" s="26" t="n">
        <f aca="false">IF($AN281=0,0,CEILING(MAX($AS281,0.0001),1))</f>
        <v>0</v>
      </c>
      <c r="AX281" s="26" t="n">
        <f aca="false">IF(AND($AN281=1,MAX($AS281,0.0001)&lt;=Hold_Yrs),1,0)</f>
        <v>0</v>
      </c>
      <c r="AY281" s="71" t="n">
        <f aca="false">$R281*$AO281</f>
        <v>0</v>
      </c>
      <c r="AZ281" s="71" t="n">
        <f aca="false">$R281*Acc_Int*$AN281</f>
        <v>0</v>
      </c>
      <c r="BA281" s="71" t="n">
        <f aca="false">$AY281*Acq_Cost</f>
        <v>0</v>
      </c>
      <c r="BB281" s="71" t="n">
        <f aca="false">$AY281+$AZ281+$BA281</f>
        <v>0</v>
      </c>
      <c r="BC281" s="71" t="n">
        <f aca="false">IF(Fin_Flag="Yes",$AY281*Adv_Rate,0)</f>
        <v>0</v>
      </c>
      <c r="BD281" s="71" t="n">
        <f aca="false">$BC281*Fin_UpFee</f>
        <v>0</v>
      </c>
      <c r="BE281" s="71" t="n">
        <f aca="false">$BB281-$BC281+$BD281</f>
        <v>0</v>
      </c>
    </row>
    <row r="282" customFormat="false" ht="14.25" hidden="false" customHeight="false" outlineLevel="0" collapsed="false">
      <c r="A282" s="61"/>
      <c r="B282" s="62"/>
      <c r="C282" s="61"/>
      <c r="D282" s="61"/>
      <c r="E282" s="61"/>
      <c r="F282" s="63"/>
      <c r="G282" s="64"/>
      <c r="H282" s="64"/>
      <c r="I282" s="63"/>
      <c r="J282" s="63"/>
      <c r="K282" s="61"/>
      <c r="L282" s="65"/>
      <c r="M282" s="65"/>
      <c r="N282" s="61"/>
      <c r="O282" s="64"/>
      <c r="P282" s="65"/>
      <c r="Q282" s="65"/>
      <c r="R282" s="66"/>
      <c r="S282" s="65"/>
      <c r="T282" s="65"/>
      <c r="U282" s="67"/>
      <c r="V282" s="65"/>
      <c r="W282" s="65"/>
      <c r="X282" s="63"/>
      <c r="Y282" s="63"/>
      <c r="Z282" s="61"/>
      <c r="AA282" s="61"/>
      <c r="AB282" s="61"/>
      <c r="AC282" s="61"/>
      <c r="AD282" s="61"/>
      <c r="AE282" s="61"/>
      <c r="AF282" s="61"/>
      <c r="AG282" s="61"/>
      <c r="AH282" s="68" t="n">
        <f aca="false">IF(G282="",0,ROUND((Strats!$C$4-G282)/30.4375,1))</f>
        <v>0</v>
      </c>
      <c r="AI282" s="69" t="n">
        <f aca="false">IF(K282="",0,IF(K282="Floating",Strats!$C$10+M282,L282))</f>
        <v>0</v>
      </c>
      <c r="AJ282" s="68" t="str">
        <f aca="false">IF(OR(Z282="",Z282="Full Amortizing"),"",MAX(J282-AH282,0))</f>
        <v/>
      </c>
      <c r="AK282" s="69" t="n">
        <f aca="false">IF(K282="",0,IF(K282="Floating",IF(P282&lt;&gt;"",MIN(IF(Q282&lt;&gt;"",MAX((Strats!$C$10+Strats!$C$11+M282),Q282),(Strats!$C$10+Strats!$C$11+M282)),P282),IF(Q282&lt;&gt;"",MAX((Strats!$C$10+Strats!$C$11+M282),Q282),(Strats!$C$10+Strats!$C$11+M282))),AI282))</f>
        <v>0</v>
      </c>
      <c r="AL282" s="68" t="str">
        <f aca="false">IF(OR(E282="",E282&lt;&gt;'Deal Strat'!$C$12,R282=""),"",SUMPRODUCT((E$4:E$303='Deal Strat'!$C$12)*(R$4:R$303&gt;R282))+1+SUMPRODUCT((E$4:E$303='Deal Strat'!$C$12)*(R$4:R$303=R282)*(ROW(R$4:R$303)&lt;ROW(R282))))</f>
        <v/>
      </c>
      <c r="AM282" s="68" t="str">
        <f aca="false">IF(R282="","",RANK(R282,$R$4:$R$303,0)+COUNTIF($R$4:R282,R282)-1)</f>
        <v/>
      </c>
      <c r="AN282" s="26" t="n">
        <f aca="false">IF(OR($A282="",$R282=""),0,IF(Deal_Scope="All Deals",1,IF($E282=Deal_Scope,1,0)))</f>
        <v>0</v>
      </c>
      <c r="AO282" s="56" t="n">
        <f aca="false">IF($AN282=0,0,Px_Par)</f>
        <v>0</v>
      </c>
      <c r="AP282" s="70" t="n">
        <f aca="false">IF($H282="",0,MAX(0,($H282-Set_Date)/30.4375))</f>
        <v>0</v>
      </c>
      <c r="AQ282" s="26" t="n">
        <f aca="false">IF(AND(Ext_Flag="Yes",$AA282="Yes"),Ext_Months,0)</f>
        <v>0</v>
      </c>
      <c r="AR282" s="70" t="n">
        <f aca="false">$AP282+$AQ282</f>
        <v>0</v>
      </c>
      <c r="AS282" s="70" t="n">
        <f aca="false">$AR282/12</f>
        <v>0</v>
      </c>
      <c r="AT282" s="70" t="n">
        <f aca="false">IF($AJ282="",0,MAX(0,$AJ282/12))</f>
        <v>0</v>
      </c>
      <c r="AU282" s="70" t="n">
        <f aca="false">MAX(Amort_Min,Amort_Term-$AH282/12)</f>
        <v>30</v>
      </c>
      <c r="AV282" s="70" t="n">
        <f aca="false">MIN($AS282,Hold_Yrs)</f>
        <v>0</v>
      </c>
      <c r="AW282" s="26" t="n">
        <f aca="false">IF($AN282=0,0,CEILING(MAX($AS282,0.0001),1))</f>
        <v>0</v>
      </c>
      <c r="AX282" s="26" t="n">
        <f aca="false">IF(AND($AN282=1,MAX($AS282,0.0001)&lt;=Hold_Yrs),1,0)</f>
        <v>0</v>
      </c>
      <c r="AY282" s="71" t="n">
        <f aca="false">$R282*$AO282</f>
        <v>0</v>
      </c>
      <c r="AZ282" s="71" t="n">
        <f aca="false">$R282*Acc_Int*$AN282</f>
        <v>0</v>
      </c>
      <c r="BA282" s="71" t="n">
        <f aca="false">$AY282*Acq_Cost</f>
        <v>0</v>
      </c>
      <c r="BB282" s="71" t="n">
        <f aca="false">$AY282+$AZ282+$BA282</f>
        <v>0</v>
      </c>
      <c r="BC282" s="71" t="n">
        <f aca="false">IF(Fin_Flag="Yes",$AY282*Adv_Rate,0)</f>
        <v>0</v>
      </c>
      <c r="BD282" s="71" t="n">
        <f aca="false">$BC282*Fin_UpFee</f>
        <v>0</v>
      </c>
      <c r="BE282" s="71" t="n">
        <f aca="false">$BB282-$BC282+$BD282</f>
        <v>0</v>
      </c>
    </row>
    <row r="283" customFormat="false" ht="14.25" hidden="false" customHeight="false" outlineLevel="0" collapsed="false">
      <c r="A283" s="61"/>
      <c r="B283" s="62"/>
      <c r="C283" s="61"/>
      <c r="D283" s="61"/>
      <c r="E283" s="61"/>
      <c r="F283" s="63"/>
      <c r="G283" s="64"/>
      <c r="H283" s="64"/>
      <c r="I283" s="63"/>
      <c r="J283" s="63"/>
      <c r="K283" s="61"/>
      <c r="L283" s="65"/>
      <c r="M283" s="65"/>
      <c r="N283" s="61"/>
      <c r="O283" s="64"/>
      <c r="P283" s="65"/>
      <c r="Q283" s="65"/>
      <c r="R283" s="66"/>
      <c r="S283" s="65"/>
      <c r="T283" s="65"/>
      <c r="U283" s="67"/>
      <c r="V283" s="65"/>
      <c r="W283" s="65"/>
      <c r="X283" s="63"/>
      <c r="Y283" s="63"/>
      <c r="Z283" s="61"/>
      <c r="AA283" s="61"/>
      <c r="AB283" s="61"/>
      <c r="AC283" s="61"/>
      <c r="AD283" s="61"/>
      <c r="AE283" s="61"/>
      <c r="AF283" s="61"/>
      <c r="AG283" s="61"/>
      <c r="AH283" s="68" t="n">
        <f aca="false">IF(G283="",0,ROUND((Strats!$C$4-G283)/30.4375,1))</f>
        <v>0</v>
      </c>
      <c r="AI283" s="69" t="n">
        <f aca="false">IF(K283="",0,IF(K283="Floating",Strats!$C$10+M283,L283))</f>
        <v>0</v>
      </c>
      <c r="AJ283" s="68" t="str">
        <f aca="false">IF(OR(Z283="",Z283="Full Amortizing"),"",MAX(J283-AH283,0))</f>
        <v/>
      </c>
      <c r="AK283" s="69" t="n">
        <f aca="false">IF(K283="",0,IF(K283="Floating",IF(P283&lt;&gt;"",MIN(IF(Q283&lt;&gt;"",MAX((Strats!$C$10+Strats!$C$11+M283),Q283),(Strats!$C$10+Strats!$C$11+M283)),P283),IF(Q283&lt;&gt;"",MAX((Strats!$C$10+Strats!$C$11+M283),Q283),(Strats!$C$10+Strats!$C$11+M283))),AI283))</f>
        <v>0</v>
      </c>
      <c r="AL283" s="68" t="str">
        <f aca="false">IF(OR(E283="",E283&lt;&gt;'Deal Strat'!$C$12,R283=""),"",SUMPRODUCT((E$4:E$303='Deal Strat'!$C$12)*(R$4:R$303&gt;R283))+1+SUMPRODUCT((E$4:E$303='Deal Strat'!$C$12)*(R$4:R$303=R283)*(ROW(R$4:R$303)&lt;ROW(R283))))</f>
        <v/>
      </c>
      <c r="AM283" s="68" t="str">
        <f aca="false">IF(R283="","",RANK(R283,$R$4:$R$303,0)+COUNTIF($R$4:R283,R283)-1)</f>
        <v/>
      </c>
      <c r="AN283" s="26" t="n">
        <f aca="false">IF(OR($A283="",$R283=""),0,IF(Deal_Scope="All Deals",1,IF($E283=Deal_Scope,1,0)))</f>
        <v>0</v>
      </c>
      <c r="AO283" s="56" t="n">
        <f aca="false">IF($AN283=0,0,Px_Par)</f>
        <v>0</v>
      </c>
      <c r="AP283" s="70" t="n">
        <f aca="false">IF($H283="",0,MAX(0,($H283-Set_Date)/30.4375))</f>
        <v>0</v>
      </c>
      <c r="AQ283" s="26" t="n">
        <f aca="false">IF(AND(Ext_Flag="Yes",$AA283="Yes"),Ext_Months,0)</f>
        <v>0</v>
      </c>
      <c r="AR283" s="70" t="n">
        <f aca="false">$AP283+$AQ283</f>
        <v>0</v>
      </c>
      <c r="AS283" s="70" t="n">
        <f aca="false">$AR283/12</f>
        <v>0</v>
      </c>
      <c r="AT283" s="70" t="n">
        <f aca="false">IF($AJ283="",0,MAX(0,$AJ283/12))</f>
        <v>0</v>
      </c>
      <c r="AU283" s="70" t="n">
        <f aca="false">MAX(Amort_Min,Amort_Term-$AH283/12)</f>
        <v>30</v>
      </c>
      <c r="AV283" s="70" t="n">
        <f aca="false">MIN($AS283,Hold_Yrs)</f>
        <v>0</v>
      </c>
      <c r="AW283" s="26" t="n">
        <f aca="false">IF($AN283=0,0,CEILING(MAX($AS283,0.0001),1))</f>
        <v>0</v>
      </c>
      <c r="AX283" s="26" t="n">
        <f aca="false">IF(AND($AN283=1,MAX($AS283,0.0001)&lt;=Hold_Yrs),1,0)</f>
        <v>0</v>
      </c>
      <c r="AY283" s="71" t="n">
        <f aca="false">$R283*$AO283</f>
        <v>0</v>
      </c>
      <c r="AZ283" s="71" t="n">
        <f aca="false">$R283*Acc_Int*$AN283</f>
        <v>0</v>
      </c>
      <c r="BA283" s="71" t="n">
        <f aca="false">$AY283*Acq_Cost</f>
        <v>0</v>
      </c>
      <c r="BB283" s="71" t="n">
        <f aca="false">$AY283+$AZ283+$BA283</f>
        <v>0</v>
      </c>
      <c r="BC283" s="71" t="n">
        <f aca="false">IF(Fin_Flag="Yes",$AY283*Adv_Rate,0)</f>
        <v>0</v>
      </c>
      <c r="BD283" s="71" t="n">
        <f aca="false">$BC283*Fin_UpFee</f>
        <v>0</v>
      </c>
      <c r="BE283" s="71" t="n">
        <f aca="false">$BB283-$BC283+$BD283</f>
        <v>0</v>
      </c>
    </row>
    <row r="284" customFormat="false" ht="14.25" hidden="false" customHeight="false" outlineLevel="0" collapsed="false">
      <c r="A284" s="61"/>
      <c r="B284" s="62"/>
      <c r="C284" s="61"/>
      <c r="D284" s="61"/>
      <c r="E284" s="61"/>
      <c r="F284" s="63"/>
      <c r="G284" s="64"/>
      <c r="H284" s="64"/>
      <c r="I284" s="63"/>
      <c r="J284" s="63"/>
      <c r="K284" s="61"/>
      <c r="L284" s="65"/>
      <c r="M284" s="65"/>
      <c r="N284" s="61"/>
      <c r="O284" s="64"/>
      <c r="P284" s="65"/>
      <c r="Q284" s="65"/>
      <c r="R284" s="66"/>
      <c r="S284" s="65"/>
      <c r="T284" s="65"/>
      <c r="U284" s="67"/>
      <c r="V284" s="65"/>
      <c r="W284" s="65"/>
      <c r="X284" s="63"/>
      <c r="Y284" s="63"/>
      <c r="Z284" s="61"/>
      <c r="AA284" s="61"/>
      <c r="AB284" s="61"/>
      <c r="AC284" s="61"/>
      <c r="AD284" s="61"/>
      <c r="AE284" s="61"/>
      <c r="AF284" s="61"/>
      <c r="AG284" s="61"/>
      <c r="AH284" s="68" t="n">
        <f aca="false">IF(G284="",0,ROUND((Strats!$C$4-G284)/30.4375,1))</f>
        <v>0</v>
      </c>
      <c r="AI284" s="69" t="n">
        <f aca="false">IF(K284="",0,IF(K284="Floating",Strats!$C$10+M284,L284))</f>
        <v>0</v>
      </c>
      <c r="AJ284" s="68" t="str">
        <f aca="false">IF(OR(Z284="",Z284="Full Amortizing"),"",MAX(J284-AH284,0))</f>
        <v/>
      </c>
      <c r="AK284" s="69" t="n">
        <f aca="false">IF(K284="",0,IF(K284="Floating",IF(P284&lt;&gt;"",MIN(IF(Q284&lt;&gt;"",MAX((Strats!$C$10+Strats!$C$11+M284),Q284),(Strats!$C$10+Strats!$C$11+M284)),P284),IF(Q284&lt;&gt;"",MAX((Strats!$C$10+Strats!$C$11+M284),Q284),(Strats!$C$10+Strats!$C$11+M284))),AI284))</f>
        <v>0</v>
      </c>
      <c r="AL284" s="68" t="str">
        <f aca="false">IF(OR(E284="",E284&lt;&gt;'Deal Strat'!$C$12,R284=""),"",SUMPRODUCT((E$4:E$303='Deal Strat'!$C$12)*(R$4:R$303&gt;R284))+1+SUMPRODUCT((E$4:E$303='Deal Strat'!$C$12)*(R$4:R$303=R284)*(ROW(R$4:R$303)&lt;ROW(R284))))</f>
        <v/>
      </c>
      <c r="AM284" s="68" t="str">
        <f aca="false">IF(R284="","",RANK(R284,$R$4:$R$303,0)+COUNTIF($R$4:R284,R284)-1)</f>
        <v/>
      </c>
      <c r="AN284" s="26" t="n">
        <f aca="false">IF(OR($A284="",$R284=""),0,IF(Deal_Scope="All Deals",1,IF($E284=Deal_Scope,1,0)))</f>
        <v>0</v>
      </c>
      <c r="AO284" s="56" t="n">
        <f aca="false">IF($AN284=0,0,Px_Par)</f>
        <v>0</v>
      </c>
      <c r="AP284" s="70" t="n">
        <f aca="false">IF($H284="",0,MAX(0,($H284-Set_Date)/30.4375))</f>
        <v>0</v>
      </c>
      <c r="AQ284" s="26" t="n">
        <f aca="false">IF(AND(Ext_Flag="Yes",$AA284="Yes"),Ext_Months,0)</f>
        <v>0</v>
      </c>
      <c r="AR284" s="70" t="n">
        <f aca="false">$AP284+$AQ284</f>
        <v>0</v>
      </c>
      <c r="AS284" s="70" t="n">
        <f aca="false">$AR284/12</f>
        <v>0</v>
      </c>
      <c r="AT284" s="70" t="n">
        <f aca="false">IF($AJ284="",0,MAX(0,$AJ284/12))</f>
        <v>0</v>
      </c>
      <c r="AU284" s="70" t="n">
        <f aca="false">MAX(Amort_Min,Amort_Term-$AH284/12)</f>
        <v>30</v>
      </c>
      <c r="AV284" s="70" t="n">
        <f aca="false">MIN($AS284,Hold_Yrs)</f>
        <v>0</v>
      </c>
      <c r="AW284" s="26" t="n">
        <f aca="false">IF($AN284=0,0,CEILING(MAX($AS284,0.0001),1))</f>
        <v>0</v>
      </c>
      <c r="AX284" s="26" t="n">
        <f aca="false">IF(AND($AN284=1,MAX($AS284,0.0001)&lt;=Hold_Yrs),1,0)</f>
        <v>0</v>
      </c>
      <c r="AY284" s="71" t="n">
        <f aca="false">$R284*$AO284</f>
        <v>0</v>
      </c>
      <c r="AZ284" s="71" t="n">
        <f aca="false">$R284*Acc_Int*$AN284</f>
        <v>0</v>
      </c>
      <c r="BA284" s="71" t="n">
        <f aca="false">$AY284*Acq_Cost</f>
        <v>0</v>
      </c>
      <c r="BB284" s="71" t="n">
        <f aca="false">$AY284+$AZ284+$BA284</f>
        <v>0</v>
      </c>
      <c r="BC284" s="71" t="n">
        <f aca="false">IF(Fin_Flag="Yes",$AY284*Adv_Rate,0)</f>
        <v>0</v>
      </c>
      <c r="BD284" s="71" t="n">
        <f aca="false">$BC284*Fin_UpFee</f>
        <v>0</v>
      </c>
      <c r="BE284" s="71" t="n">
        <f aca="false">$BB284-$BC284+$BD284</f>
        <v>0</v>
      </c>
    </row>
    <row r="285" customFormat="false" ht="14.25" hidden="false" customHeight="false" outlineLevel="0" collapsed="false">
      <c r="A285" s="61"/>
      <c r="B285" s="62"/>
      <c r="C285" s="61"/>
      <c r="D285" s="61"/>
      <c r="E285" s="61"/>
      <c r="F285" s="63"/>
      <c r="G285" s="64"/>
      <c r="H285" s="64"/>
      <c r="I285" s="63"/>
      <c r="J285" s="63"/>
      <c r="K285" s="61"/>
      <c r="L285" s="65"/>
      <c r="M285" s="65"/>
      <c r="N285" s="61"/>
      <c r="O285" s="64"/>
      <c r="P285" s="65"/>
      <c r="Q285" s="65"/>
      <c r="R285" s="66"/>
      <c r="S285" s="65"/>
      <c r="T285" s="65"/>
      <c r="U285" s="67"/>
      <c r="V285" s="65"/>
      <c r="W285" s="65"/>
      <c r="X285" s="63"/>
      <c r="Y285" s="63"/>
      <c r="Z285" s="61"/>
      <c r="AA285" s="61"/>
      <c r="AB285" s="61"/>
      <c r="AC285" s="61"/>
      <c r="AD285" s="61"/>
      <c r="AE285" s="61"/>
      <c r="AF285" s="61"/>
      <c r="AG285" s="61"/>
      <c r="AH285" s="68" t="n">
        <f aca="false">IF(G285="",0,ROUND((Strats!$C$4-G285)/30.4375,1))</f>
        <v>0</v>
      </c>
      <c r="AI285" s="69" t="n">
        <f aca="false">IF(K285="",0,IF(K285="Floating",Strats!$C$10+M285,L285))</f>
        <v>0</v>
      </c>
      <c r="AJ285" s="68" t="str">
        <f aca="false">IF(OR(Z285="",Z285="Full Amortizing"),"",MAX(J285-AH285,0))</f>
        <v/>
      </c>
      <c r="AK285" s="69" t="n">
        <f aca="false">IF(K285="",0,IF(K285="Floating",IF(P285&lt;&gt;"",MIN(IF(Q285&lt;&gt;"",MAX((Strats!$C$10+Strats!$C$11+M285),Q285),(Strats!$C$10+Strats!$C$11+M285)),P285),IF(Q285&lt;&gt;"",MAX((Strats!$C$10+Strats!$C$11+M285),Q285),(Strats!$C$10+Strats!$C$11+M285))),AI285))</f>
        <v>0</v>
      </c>
      <c r="AL285" s="68" t="str">
        <f aca="false">IF(OR(E285="",E285&lt;&gt;'Deal Strat'!$C$12,R285=""),"",SUMPRODUCT((E$4:E$303='Deal Strat'!$C$12)*(R$4:R$303&gt;R285))+1+SUMPRODUCT((E$4:E$303='Deal Strat'!$C$12)*(R$4:R$303=R285)*(ROW(R$4:R$303)&lt;ROW(R285))))</f>
        <v/>
      </c>
      <c r="AM285" s="68" t="str">
        <f aca="false">IF(R285="","",RANK(R285,$R$4:$R$303,0)+COUNTIF($R$4:R285,R285)-1)</f>
        <v/>
      </c>
      <c r="AN285" s="26" t="n">
        <f aca="false">IF(OR($A285="",$R285=""),0,IF(Deal_Scope="All Deals",1,IF($E285=Deal_Scope,1,0)))</f>
        <v>0</v>
      </c>
      <c r="AO285" s="56" t="n">
        <f aca="false">IF($AN285=0,0,Px_Par)</f>
        <v>0</v>
      </c>
      <c r="AP285" s="70" t="n">
        <f aca="false">IF($H285="",0,MAX(0,($H285-Set_Date)/30.4375))</f>
        <v>0</v>
      </c>
      <c r="AQ285" s="26" t="n">
        <f aca="false">IF(AND(Ext_Flag="Yes",$AA285="Yes"),Ext_Months,0)</f>
        <v>0</v>
      </c>
      <c r="AR285" s="70" t="n">
        <f aca="false">$AP285+$AQ285</f>
        <v>0</v>
      </c>
      <c r="AS285" s="70" t="n">
        <f aca="false">$AR285/12</f>
        <v>0</v>
      </c>
      <c r="AT285" s="70" t="n">
        <f aca="false">IF($AJ285="",0,MAX(0,$AJ285/12))</f>
        <v>0</v>
      </c>
      <c r="AU285" s="70" t="n">
        <f aca="false">MAX(Amort_Min,Amort_Term-$AH285/12)</f>
        <v>30</v>
      </c>
      <c r="AV285" s="70" t="n">
        <f aca="false">MIN($AS285,Hold_Yrs)</f>
        <v>0</v>
      </c>
      <c r="AW285" s="26" t="n">
        <f aca="false">IF($AN285=0,0,CEILING(MAX($AS285,0.0001),1))</f>
        <v>0</v>
      </c>
      <c r="AX285" s="26" t="n">
        <f aca="false">IF(AND($AN285=1,MAX($AS285,0.0001)&lt;=Hold_Yrs),1,0)</f>
        <v>0</v>
      </c>
      <c r="AY285" s="71" t="n">
        <f aca="false">$R285*$AO285</f>
        <v>0</v>
      </c>
      <c r="AZ285" s="71" t="n">
        <f aca="false">$R285*Acc_Int*$AN285</f>
        <v>0</v>
      </c>
      <c r="BA285" s="71" t="n">
        <f aca="false">$AY285*Acq_Cost</f>
        <v>0</v>
      </c>
      <c r="BB285" s="71" t="n">
        <f aca="false">$AY285+$AZ285+$BA285</f>
        <v>0</v>
      </c>
      <c r="BC285" s="71" t="n">
        <f aca="false">IF(Fin_Flag="Yes",$AY285*Adv_Rate,0)</f>
        <v>0</v>
      </c>
      <c r="BD285" s="71" t="n">
        <f aca="false">$BC285*Fin_UpFee</f>
        <v>0</v>
      </c>
      <c r="BE285" s="71" t="n">
        <f aca="false">$BB285-$BC285+$BD285</f>
        <v>0</v>
      </c>
    </row>
    <row r="286" customFormat="false" ht="14.25" hidden="false" customHeight="false" outlineLevel="0" collapsed="false">
      <c r="A286" s="61"/>
      <c r="B286" s="62"/>
      <c r="C286" s="61"/>
      <c r="D286" s="61"/>
      <c r="E286" s="61"/>
      <c r="F286" s="63"/>
      <c r="G286" s="64"/>
      <c r="H286" s="64"/>
      <c r="I286" s="63"/>
      <c r="J286" s="63"/>
      <c r="K286" s="61"/>
      <c r="L286" s="65"/>
      <c r="M286" s="65"/>
      <c r="N286" s="61"/>
      <c r="O286" s="64"/>
      <c r="P286" s="65"/>
      <c r="Q286" s="65"/>
      <c r="R286" s="66"/>
      <c r="S286" s="65"/>
      <c r="T286" s="65"/>
      <c r="U286" s="67"/>
      <c r="V286" s="65"/>
      <c r="W286" s="65"/>
      <c r="X286" s="63"/>
      <c r="Y286" s="63"/>
      <c r="Z286" s="61"/>
      <c r="AA286" s="61"/>
      <c r="AB286" s="61"/>
      <c r="AC286" s="61"/>
      <c r="AD286" s="61"/>
      <c r="AE286" s="61"/>
      <c r="AF286" s="61"/>
      <c r="AG286" s="61"/>
      <c r="AH286" s="68" t="n">
        <f aca="false">IF(G286="",0,ROUND((Strats!$C$4-G286)/30.4375,1))</f>
        <v>0</v>
      </c>
      <c r="AI286" s="69" t="n">
        <f aca="false">IF(K286="",0,IF(K286="Floating",Strats!$C$10+M286,L286))</f>
        <v>0</v>
      </c>
      <c r="AJ286" s="68" t="str">
        <f aca="false">IF(OR(Z286="",Z286="Full Amortizing"),"",MAX(J286-AH286,0))</f>
        <v/>
      </c>
      <c r="AK286" s="69" t="n">
        <f aca="false">IF(K286="",0,IF(K286="Floating",IF(P286&lt;&gt;"",MIN(IF(Q286&lt;&gt;"",MAX((Strats!$C$10+Strats!$C$11+M286),Q286),(Strats!$C$10+Strats!$C$11+M286)),P286),IF(Q286&lt;&gt;"",MAX((Strats!$C$10+Strats!$C$11+M286),Q286),(Strats!$C$10+Strats!$C$11+M286))),AI286))</f>
        <v>0</v>
      </c>
      <c r="AL286" s="68" t="str">
        <f aca="false">IF(OR(E286="",E286&lt;&gt;'Deal Strat'!$C$12,R286=""),"",SUMPRODUCT((E$4:E$303='Deal Strat'!$C$12)*(R$4:R$303&gt;R286))+1+SUMPRODUCT((E$4:E$303='Deal Strat'!$C$12)*(R$4:R$303=R286)*(ROW(R$4:R$303)&lt;ROW(R286))))</f>
        <v/>
      </c>
      <c r="AM286" s="68" t="str">
        <f aca="false">IF(R286="","",RANK(R286,$R$4:$R$303,0)+COUNTIF($R$4:R286,R286)-1)</f>
        <v/>
      </c>
      <c r="AN286" s="26" t="n">
        <f aca="false">IF(OR($A286="",$R286=""),0,IF(Deal_Scope="All Deals",1,IF($E286=Deal_Scope,1,0)))</f>
        <v>0</v>
      </c>
      <c r="AO286" s="56" t="n">
        <f aca="false">IF($AN286=0,0,Px_Par)</f>
        <v>0</v>
      </c>
      <c r="AP286" s="70" t="n">
        <f aca="false">IF($H286="",0,MAX(0,($H286-Set_Date)/30.4375))</f>
        <v>0</v>
      </c>
      <c r="AQ286" s="26" t="n">
        <f aca="false">IF(AND(Ext_Flag="Yes",$AA286="Yes"),Ext_Months,0)</f>
        <v>0</v>
      </c>
      <c r="AR286" s="70" t="n">
        <f aca="false">$AP286+$AQ286</f>
        <v>0</v>
      </c>
      <c r="AS286" s="70" t="n">
        <f aca="false">$AR286/12</f>
        <v>0</v>
      </c>
      <c r="AT286" s="70" t="n">
        <f aca="false">IF($AJ286="",0,MAX(0,$AJ286/12))</f>
        <v>0</v>
      </c>
      <c r="AU286" s="70" t="n">
        <f aca="false">MAX(Amort_Min,Amort_Term-$AH286/12)</f>
        <v>30</v>
      </c>
      <c r="AV286" s="70" t="n">
        <f aca="false">MIN($AS286,Hold_Yrs)</f>
        <v>0</v>
      </c>
      <c r="AW286" s="26" t="n">
        <f aca="false">IF($AN286=0,0,CEILING(MAX($AS286,0.0001),1))</f>
        <v>0</v>
      </c>
      <c r="AX286" s="26" t="n">
        <f aca="false">IF(AND($AN286=1,MAX($AS286,0.0001)&lt;=Hold_Yrs),1,0)</f>
        <v>0</v>
      </c>
      <c r="AY286" s="71" t="n">
        <f aca="false">$R286*$AO286</f>
        <v>0</v>
      </c>
      <c r="AZ286" s="71" t="n">
        <f aca="false">$R286*Acc_Int*$AN286</f>
        <v>0</v>
      </c>
      <c r="BA286" s="71" t="n">
        <f aca="false">$AY286*Acq_Cost</f>
        <v>0</v>
      </c>
      <c r="BB286" s="71" t="n">
        <f aca="false">$AY286+$AZ286+$BA286</f>
        <v>0</v>
      </c>
      <c r="BC286" s="71" t="n">
        <f aca="false">IF(Fin_Flag="Yes",$AY286*Adv_Rate,0)</f>
        <v>0</v>
      </c>
      <c r="BD286" s="71" t="n">
        <f aca="false">$BC286*Fin_UpFee</f>
        <v>0</v>
      </c>
      <c r="BE286" s="71" t="n">
        <f aca="false">$BB286-$BC286+$BD286</f>
        <v>0</v>
      </c>
    </row>
    <row r="287" customFormat="false" ht="14.25" hidden="false" customHeight="false" outlineLevel="0" collapsed="false">
      <c r="A287" s="61"/>
      <c r="B287" s="62"/>
      <c r="C287" s="61"/>
      <c r="D287" s="61"/>
      <c r="E287" s="61"/>
      <c r="F287" s="63"/>
      <c r="G287" s="64"/>
      <c r="H287" s="64"/>
      <c r="I287" s="63"/>
      <c r="J287" s="63"/>
      <c r="K287" s="61"/>
      <c r="L287" s="65"/>
      <c r="M287" s="65"/>
      <c r="N287" s="61"/>
      <c r="O287" s="64"/>
      <c r="P287" s="65"/>
      <c r="Q287" s="65"/>
      <c r="R287" s="66"/>
      <c r="S287" s="65"/>
      <c r="T287" s="65"/>
      <c r="U287" s="67"/>
      <c r="V287" s="65"/>
      <c r="W287" s="65"/>
      <c r="X287" s="63"/>
      <c r="Y287" s="63"/>
      <c r="Z287" s="61"/>
      <c r="AA287" s="61"/>
      <c r="AB287" s="61"/>
      <c r="AC287" s="61"/>
      <c r="AD287" s="61"/>
      <c r="AE287" s="61"/>
      <c r="AF287" s="61"/>
      <c r="AG287" s="61"/>
      <c r="AH287" s="68" t="n">
        <f aca="false">IF(G287="",0,ROUND((Strats!$C$4-G287)/30.4375,1))</f>
        <v>0</v>
      </c>
      <c r="AI287" s="69" t="n">
        <f aca="false">IF(K287="",0,IF(K287="Floating",Strats!$C$10+M287,L287))</f>
        <v>0</v>
      </c>
      <c r="AJ287" s="68" t="str">
        <f aca="false">IF(OR(Z287="",Z287="Full Amortizing"),"",MAX(J287-AH287,0))</f>
        <v/>
      </c>
      <c r="AK287" s="69" t="n">
        <f aca="false">IF(K287="",0,IF(K287="Floating",IF(P287&lt;&gt;"",MIN(IF(Q287&lt;&gt;"",MAX((Strats!$C$10+Strats!$C$11+M287),Q287),(Strats!$C$10+Strats!$C$11+M287)),P287),IF(Q287&lt;&gt;"",MAX((Strats!$C$10+Strats!$C$11+M287),Q287),(Strats!$C$10+Strats!$C$11+M287))),AI287))</f>
        <v>0</v>
      </c>
      <c r="AL287" s="68" t="str">
        <f aca="false">IF(OR(E287="",E287&lt;&gt;'Deal Strat'!$C$12,R287=""),"",SUMPRODUCT((E$4:E$303='Deal Strat'!$C$12)*(R$4:R$303&gt;R287))+1+SUMPRODUCT((E$4:E$303='Deal Strat'!$C$12)*(R$4:R$303=R287)*(ROW(R$4:R$303)&lt;ROW(R287))))</f>
        <v/>
      </c>
      <c r="AM287" s="68" t="str">
        <f aca="false">IF(R287="","",RANK(R287,$R$4:$R$303,0)+COUNTIF($R$4:R287,R287)-1)</f>
        <v/>
      </c>
      <c r="AN287" s="26" t="n">
        <f aca="false">IF(OR($A287="",$R287=""),0,IF(Deal_Scope="All Deals",1,IF($E287=Deal_Scope,1,0)))</f>
        <v>0</v>
      </c>
      <c r="AO287" s="56" t="n">
        <f aca="false">IF($AN287=0,0,Px_Par)</f>
        <v>0</v>
      </c>
      <c r="AP287" s="70" t="n">
        <f aca="false">IF($H287="",0,MAX(0,($H287-Set_Date)/30.4375))</f>
        <v>0</v>
      </c>
      <c r="AQ287" s="26" t="n">
        <f aca="false">IF(AND(Ext_Flag="Yes",$AA287="Yes"),Ext_Months,0)</f>
        <v>0</v>
      </c>
      <c r="AR287" s="70" t="n">
        <f aca="false">$AP287+$AQ287</f>
        <v>0</v>
      </c>
      <c r="AS287" s="70" t="n">
        <f aca="false">$AR287/12</f>
        <v>0</v>
      </c>
      <c r="AT287" s="70" t="n">
        <f aca="false">IF($AJ287="",0,MAX(0,$AJ287/12))</f>
        <v>0</v>
      </c>
      <c r="AU287" s="70" t="n">
        <f aca="false">MAX(Amort_Min,Amort_Term-$AH287/12)</f>
        <v>30</v>
      </c>
      <c r="AV287" s="70" t="n">
        <f aca="false">MIN($AS287,Hold_Yrs)</f>
        <v>0</v>
      </c>
      <c r="AW287" s="26" t="n">
        <f aca="false">IF($AN287=0,0,CEILING(MAX($AS287,0.0001),1))</f>
        <v>0</v>
      </c>
      <c r="AX287" s="26" t="n">
        <f aca="false">IF(AND($AN287=1,MAX($AS287,0.0001)&lt;=Hold_Yrs),1,0)</f>
        <v>0</v>
      </c>
      <c r="AY287" s="71" t="n">
        <f aca="false">$R287*$AO287</f>
        <v>0</v>
      </c>
      <c r="AZ287" s="71" t="n">
        <f aca="false">$R287*Acc_Int*$AN287</f>
        <v>0</v>
      </c>
      <c r="BA287" s="71" t="n">
        <f aca="false">$AY287*Acq_Cost</f>
        <v>0</v>
      </c>
      <c r="BB287" s="71" t="n">
        <f aca="false">$AY287+$AZ287+$BA287</f>
        <v>0</v>
      </c>
      <c r="BC287" s="71" t="n">
        <f aca="false">IF(Fin_Flag="Yes",$AY287*Adv_Rate,0)</f>
        <v>0</v>
      </c>
      <c r="BD287" s="71" t="n">
        <f aca="false">$BC287*Fin_UpFee</f>
        <v>0</v>
      </c>
      <c r="BE287" s="71" t="n">
        <f aca="false">$BB287-$BC287+$BD287</f>
        <v>0</v>
      </c>
    </row>
    <row r="288" customFormat="false" ht="14.25" hidden="false" customHeight="false" outlineLevel="0" collapsed="false">
      <c r="A288" s="61"/>
      <c r="B288" s="62"/>
      <c r="C288" s="61"/>
      <c r="D288" s="61"/>
      <c r="E288" s="61"/>
      <c r="F288" s="63"/>
      <c r="G288" s="64"/>
      <c r="H288" s="64"/>
      <c r="I288" s="63"/>
      <c r="J288" s="63"/>
      <c r="K288" s="61"/>
      <c r="L288" s="65"/>
      <c r="M288" s="65"/>
      <c r="N288" s="61"/>
      <c r="O288" s="64"/>
      <c r="P288" s="65"/>
      <c r="Q288" s="65"/>
      <c r="R288" s="66"/>
      <c r="S288" s="65"/>
      <c r="T288" s="65"/>
      <c r="U288" s="67"/>
      <c r="V288" s="65"/>
      <c r="W288" s="65"/>
      <c r="X288" s="63"/>
      <c r="Y288" s="63"/>
      <c r="Z288" s="61"/>
      <c r="AA288" s="61"/>
      <c r="AB288" s="61"/>
      <c r="AC288" s="61"/>
      <c r="AD288" s="61"/>
      <c r="AE288" s="61"/>
      <c r="AF288" s="61"/>
      <c r="AG288" s="61"/>
      <c r="AH288" s="68" t="n">
        <f aca="false">IF(G288="",0,ROUND((Strats!$C$4-G288)/30.4375,1))</f>
        <v>0</v>
      </c>
      <c r="AI288" s="69" t="n">
        <f aca="false">IF(K288="",0,IF(K288="Floating",Strats!$C$10+M288,L288))</f>
        <v>0</v>
      </c>
      <c r="AJ288" s="68" t="str">
        <f aca="false">IF(OR(Z288="",Z288="Full Amortizing"),"",MAX(J288-AH288,0))</f>
        <v/>
      </c>
      <c r="AK288" s="69" t="n">
        <f aca="false">IF(K288="",0,IF(K288="Floating",IF(P288&lt;&gt;"",MIN(IF(Q288&lt;&gt;"",MAX((Strats!$C$10+Strats!$C$11+M288),Q288),(Strats!$C$10+Strats!$C$11+M288)),P288),IF(Q288&lt;&gt;"",MAX((Strats!$C$10+Strats!$C$11+M288),Q288),(Strats!$C$10+Strats!$C$11+M288))),AI288))</f>
        <v>0</v>
      </c>
      <c r="AL288" s="68" t="str">
        <f aca="false">IF(OR(E288="",E288&lt;&gt;'Deal Strat'!$C$12,R288=""),"",SUMPRODUCT((E$4:E$303='Deal Strat'!$C$12)*(R$4:R$303&gt;R288))+1+SUMPRODUCT((E$4:E$303='Deal Strat'!$C$12)*(R$4:R$303=R288)*(ROW(R$4:R$303)&lt;ROW(R288))))</f>
        <v/>
      </c>
      <c r="AM288" s="68" t="str">
        <f aca="false">IF(R288="","",RANK(R288,$R$4:$R$303,0)+COUNTIF($R$4:R288,R288)-1)</f>
        <v/>
      </c>
      <c r="AN288" s="26" t="n">
        <f aca="false">IF(OR($A288="",$R288=""),0,IF(Deal_Scope="All Deals",1,IF($E288=Deal_Scope,1,0)))</f>
        <v>0</v>
      </c>
      <c r="AO288" s="56" t="n">
        <f aca="false">IF($AN288=0,0,Px_Par)</f>
        <v>0</v>
      </c>
      <c r="AP288" s="70" t="n">
        <f aca="false">IF($H288="",0,MAX(0,($H288-Set_Date)/30.4375))</f>
        <v>0</v>
      </c>
      <c r="AQ288" s="26" t="n">
        <f aca="false">IF(AND(Ext_Flag="Yes",$AA288="Yes"),Ext_Months,0)</f>
        <v>0</v>
      </c>
      <c r="AR288" s="70" t="n">
        <f aca="false">$AP288+$AQ288</f>
        <v>0</v>
      </c>
      <c r="AS288" s="70" t="n">
        <f aca="false">$AR288/12</f>
        <v>0</v>
      </c>
      <c r="AT288" s="70" t="n">
        <f aca="false">IF($AJ288="",0,MAX(0,$AJ288/12))</f>
        <v>0</v>
      </c>
      <c r="AU288" s="70" t="n">
        <f aca="false">MAX(Amort_Min,Amort_Term-$AH288/12)</f>
        <v>30</v>
      </c>
      <c r="AV288" s="70" t="n">
        <f aca="false">MIN($AS288,Hold_Yrs)</f>
        <v>0</v>
      </c>
      <c r="AW288" s="26" t="n">
        <f aca="false">IF($AN288=0,0,CEILING(MAX($AS288,0.0001),1))</f>
        <v>0</v>
      </c>
      <c r="AX288" s="26" t="n">
        <f aca="false">IF(AND($AN288=1,MAX($AS288,0.0001)&lt;=Hold_Yrs),1,0)</f>
        <v>0</v>
      </c>
      <c r="AY288" s="71" t="n">
        <f aca="false">$R288*$AO288</f>
        <v>0</v>
      </c>
      <c r="AZ288" s="71" t="n">
        <f aca="false">$R288*Acc_Int*$AN288</f>
        <v>0</v>
      </c>
      <c r="BA288" s="71" t="n">
        <f aca="false">$AY288*Acq_Cost</f>
        <v>0</v>
      </c>
      <c r="BB288" s="71" t="n">
        <f aca="false">$AY288+$AZ288+$BA288</f>
        <v>0</v>
      </c>
      <c r="BC288" s="71" t="n">
        <f aca="false">IF(Fin_Flag="Yes",$AY288*Adv_Rate,0)</f>
        <v>0</v>
      </c>
      <c r="BD288" s="71" t="n">
        <f aca="false">$BC288*Fin_UpFee</f>
        <v>0</v>
      </c>
      <c r="BE288" s="71" t="n">
        <f aca="false">$BB288-$BC288+$BD288</f>
        <v>0</v>
      </c>
    </row>
    <row r="289" customFormat="false" ht="14.25" hidden="false" customHeight="false" outlineLevel="0" collapsed="false">
      <c r="A289" s="61"/>
      <c r="B289" s="62"/>
      <c r="C289" s="61"/>
      <c r="D289" s="61"/>
      <c r="E289" s="61"/>
      <c r="F289" s="63"/>
      <c r="G289" s="64"/>
      <c r="H289" s="64"/>
      <c r="I289" s="63"/>
      <c r="J289" s="63"/>
      <c r="K289" s="61"/>
      <c r="L289" s="65"/>
      <c r="M289" s="65"/>
      <c r="N289" s="61"/>
      <c r="O289" s="64"/>
      <c r="P289" s="65"/>
      <c r="Q289" s="65"/>
      <c r="R289" s="66"/>
      <c r="S289" s="65"/>
      <c r="T289" s="65"/>
      <c r="U289" s="67"/>
      <c r="V289" s="65"/>
      <c r="W289" s="65"/>
      <c r="X289" s="63"/>
      <c r="Y289" s="63"/>
      <c r="Z289" s="61"/>
      <c r="AA289" s="61"/>
      <c r="AB289" s="61"/>
      <c r="AC289" s="61"/>
      <c r="AD289" s="61"/>
      <c r="AE289" s="61"/>
      <c r="AF289" s="61"/>
      <c r="AG289" s="61"/>
      <c r="AH289" s="68" t="n">
        <f aca="false">IF(G289="",0,ROUND((Strats!$C$4-G289)/30.4375,1))</f>
        <v>0</v>
      </c>
      <c r="AI289" s="69" t="n">
        <f aca="false">IF(K289="",0,IF(K289="Floating",Strats!$C$10+M289,L289))</f>
        <v>0</v>
      </c>
      <c r="AJ289" s="68" t="str">
        <f aca="false">IF(OR(Z289="",Z289="Full Amortizing"),"",MAX(J289-AH289,0))</f>
        <v/>
      </c>
      <c r="AK289" s="69" t="n">
        <f aca="false">IF(K289="",0,IF(K289="Floating",IF(P289&lt;&gt;"",MIN(IF(Q289&lt;&gt;"",MAX((Strats!$C$10+Strats!$C$11+M289),Q289),(Strats!$C$10+Strats!$C$11+M289)),P289),IF(Q289&lt;&gt;"",MAX((Strats!$C$10+Strats!$C$11+M289),Q289),(Strats!$C$10+Strats!$C$11+M289))),AI289))</f>
        <v>0</v>
      </c>
      <c r="AL289" s="68" t="str">
        <f aca="false">IF(OR(E289="",E289&lt;&gt;'Deal Strat'!$C$12,R289=""),"",SUMPRODUCT((E$4:E$303='Deal Strat'!$C$12)*(R$4:R$303&gt;R289))+1+SUMPRODUCT((E$4:E$303='Deal Strat'!$C$12)*(R$4:R$303=R289)*(ROW(R$4:R$303)&lt;ROW(R289))))</f>
        <v/>
      </c>
      <c r="AM289" s="68" t="str">
        <f aca="false">IF(R289="","",RANK(R289,$R$4:$R$303,0)+COUNTIF($R$4:R289,R289)-1)</f>
        <v/>
      </c>
      <c r="AN289" s="26" t="n">
        <f aca="false">IF(OR($A289="",$R289=""),0,IF(Deal_Scope="All Deals",1,IF($E289=Deal_Scope,1,0)))</f>
        <v>0</v>
      </c>
      <c r="AO289" s="56" t="n">
        <f aca="false">IF($AN289=0,0,Px_Par)</f>
        <v>0</v>
      </c>
      <c r="AP289" s="70" t="n">
        <f aca="false">IF($H289="",0,MAX(0,($H289-Set_Date)/30.4375))</f>
        <v>0</v>
      </c>
      <c r="AQ289" s="26" t="n">
        <f aca="false">IF(AND(Ext_Flag="Yes",$AA289="Yes"),Ext_Months,0)</f>
        <v>0</v>
      </c>
      <c r="AR289" s="70" t="n">
        <f aca="false">$AP289+$AQ289</f>
        <v>0</v>
      </c>
      <c r="AS289" s="70" t="n">
        <f aca="false">$AR289/12</f>
        <v>0</v>
      </c>
      <c r="AT289" s="70" t="n">
        <f aca="false">IF($AJ289="",0,MAX(0,$AJ289/12))</f>
        <v>0</v>
      </c>
      <c r="AU289" s="70" t="n">
        <f aca="false">MAX(Amort_Min,Amort_Term-$AH289/12)</f>
        <v>30</v>
      </c>
      <c r="AV289" s="70" t="n">
        <f aca="false">MIN($AS289,Hold_Yrs)</f>
        <v>0</v>
      </c>
      <c r="AW289" s="26" t="n">
        <f aca="false">IF($AN289=0,0,CEILING(MAX($AS289,0.0001),1))</f>
        <v>0</v>
      </c>
      <c r="AX289" s="26" t="n">
        <f aca="false">IF(AND($AN289=1,MAX($AS289,0.0001)&lt;=Hold_Yrs),1,0)</f>
        <v>0</v>
      </c>
      <c r="AY289" s="71" t="n">
        <f aca="false">$R289*$AO289</f>
        <v>0</v>
      </c>
      <c r="AZ289" s="71" t="n">
        <f aca="false">$R289*Acc_Int*$AN289</f>
        <v>0</v>
      </c>
      <c r="BA289" s="71" t="n">
        <f aca="false">$AY289*Acq_Cost</f>
        <v>0</v>
      </c>
      <c r="BB289" s="71" t="n">
        <f aca="false">$AY289+$AZ289+$BA289</f>
        <v>0</v>
      </c>
      <c r="BC289" s="71" t="n">
        <f aca="false">IF(Fin_Flag="Yes",$AY289*Adv_Rate,0)</f>
        <v>0</v>
      </c>
      <c r="BD289" s="71" t="n">
        <f aca="false">$BC289*Fin_UpFee</f>
        <v>0</v>
      </c>
      <c r="BE289" s="71" t="n">
        <f aca="false">$BB289-$BC289+$BD289</f>
        <v>0</v>
      </c>
    </row>
    <row r="290" customFormat="false" ht="14.25" hidden="false" customHeight="false" outlineLevel="0" collapsed="false">
      <c r="A290" s="61"/>
      <c r="B290" s="62"/>
      <c r="C290" s="61"/>
      <c r="D290" s="61"/>
      <c r="E290" s="61"/>
      <c r="F290" s="63"/>
      <c r="G290" s="64"/>
      <c r="H290" s="64"/>
      <c r="I290" s="63"/>
      <c r="J290" s="63"/>
      <c r="K290" s="61"/>
      <c r="L290" s="65"/>
      <c r="M290" s="65"/>
      <c r="N290" s="61"/>
      <c r="O290" s="64"/>
      <c r="P290" s="65"/>
      <c r="Q290" s="65"/>
      <c r="R290" s="66"/>
      <c r="S290" s="65"/>
      <c r="T290" s="65"/>
      <c r="U290" s="67"/>
      <c r="V290" s="65"/>
      <c r="W290" s="65"/>
      <c r="X290" s="63"/>
      <c r="Y290" s="63"/>
      <c r="Z290" s="61"/>
      <c r="AA290" s="61"/>
      <c r="AB290" s="61"/>
      <c r="AC290" s="61"/>
      <c r="AD290" s="61"/>
      <c r="AE290" s="61"/>
      <c r="AF290" s="61"/>
      <c r="AG290" s="61"/>
      <c r="AH290" s="68" t="n">
        <f aca="false">IF(G290="",0,ROUND((Strats!$C$4-G290)/30.4375,1))</f>
        <v>0</v>
      </c>
      <c r="AI290" s="69" t="n">
        <f aca="false">IF(K290="",0,IF(K290="Floating",Strats!$C$10+M290,L290))</f>
        <v>0</v>
      </c>
      <c r="AJ290" s="68" t="str">
        <f aca="false">IF(OR(Z290="",Z290="Full Amortizing"),"",MAX(J290-AH290,0))</f>
        <v/>
      </c>
      <c r="AK290" s="69" t="n">
        <f aca="false">IF(K290="",0,IF(K290="Floating",IF(P290&lt;&gt;"",MIN(IF(Q290&lt;&gt;"",MAX((Strats!$C$10+Strats!$C$11+M290),Q290),(Strats!$C$10+Strats!$C$11+M290)),P290),IF(Q290&lt;&gt;"",MAX((Strats!$C$10+Strats!$C$11+M290),Q290),(Strats!$C$10+Strats!$C$11+M290))),AI290))</f>
        <v>0</v>
      </c>
      <c r="AL290" s="68" t="str">
        <f aca="false">IF(OR(E290="",E290&lt;&gt;'Deal Strat'!$C$12,R290=""),"",SUMPRODUCT((E$4:E$303='Deal Strat'!$C$12)*(R$4:R$303&gt;R290))+1+SUMPRODUCT((E$4:E$303='Deal Strat'!$C$12)*(R$4:R$303=R290)*(ROW(R$4:R$303)&lt;ROW(R290))))</f>
        <v/>
      </c>
      <c r="AM290" s="68" t="str">
        <f aca="false">IF(R290="","",RANK(R290,$R$4:$R$303,0)+COUNTIF($R$4:R290,R290)-1)</f>
        <v/>
      </c>
      <c r="AN290" s="26" t="n">
        <f aca="false">IF(OR($A290="",$R290=""),0,IF(Deal_Scope="All Deals",1,IF($E290=Deal_Scope,1,0)))</f>
        <v>0</v>
      </c>
      <c r="AO290" s="56" t="n">
        <f aca="false">IF($AN290=0,0,Px_Par)</f>
        <v>0</v>
      </c>
      <c r="AP290" s="70" t="n">
        <f aca="false">IF($H290="",0,MAX(0,($H290-Set_Date)/30.4375))</f>
        <v>0</v>
      </c>
      <c r="AQ290" s="26" t="n">
        <f aca="false">IF(AND(Ext_Flag="Yes",$AA290="Yes"),Ext_Months,0)</f>
        <v>0</v>
      </c>
      <c r="AR290" s="70" t="n">
        <f aca="false">$AP290+$AQ290</f>
        <v>0</v>
      </c>
      <c r="AS290" s="70" t="n">
        <f aca="false">$AR290/12</f>
        <v>0</v>
      </c>
      <c r="AT290" s="70" t="n">
        <f aca="false">IF($AJ290="",0,MAX(0,$AJ290/12))</f>
        <v>0</v>
      </c>
      <c r="AU290" s="70" t="n">
        <f aca="false">MAX(Amort_Min,Amort_Term-$AH290/12)</f>
        <v>30</v>
      </c>
      <c r="AV290" s="70" t="n">
        <f aca="false">MIN($AS290,Hold_Yrs)</f>
        <v>0</v>
      </c>
      <c r="AW290" s="26" t="n">
        <f aca="false">IF($AN290=0,0,CEILING(MAX($AS290,0.0001),1))</f>
        <v>0</v>
      </c>
      <c r="AX290" s="26" t="n">
        <f aca="false">IF(AND($AN290=1,MAX($AS290,0.0001)&lt;=Hold_Yrs),1,0)</f>
        <v>0</v>
      </c>
      <c r="AY290" s="71" t="n">
        <f aca="false">$R290*$AO290</f>
        <v>0</v>
      </c>
      <c r="AZ290" s="71" t="n">
        <f aca="false">$R290*Acc_Int*$AN290</f>
        <v>0</v>
      </c>
      <c r="BA290" s="71" t="n">
        <f aca="false">$AY290*Acq_Cost</f>
        <v>0</v>
      </c>
      <c r="BB290" s="71" t="n">
        <f aca="false">$AY290+$AZ290+$BA290</f>
        <v>0</v>
      </c>
      <c r="BC290" s="71" t="n">
        <f aca="false">IF(Fin_Flag="Yes",$AY290*Adv_Rate,0)</f>
        <v>0</v>
      </c>
      <c r="BD290" s="71" t="n">
        <f aca="false">$BC290*Fin_UpFee</f>
        <v>0</v>
      </c>
      <c r="BE290" s="71" t="n">
        <f aca="false">$BB290-$BC290+$BD290</f>
        <v>0</v>
      </c>
    </row>
    <row r="291" customFormat="false" ht="14.25" hidden="false" customHeight="false" outlineLevel="0" collapsed="false">
      <c r="A291" s="61"/>
      <c r="B291" s="62"/>
      <c r="C291" s="61"/>
      <c r="D291" s="61"/>
      <c r="E291" s="61"/>
      <c r="F291" s="63"/>
      <c r="G291" s="64"/>
      <c r="H291" s="64"/>
      <c r="I291" s="63"/>
      <c r="J291" s="63"/>
      <c r="K291" s="61"/>
      <c r="L291" s="65"/>
      <c r="M291" s="65"/>
      <c r="N291" s="61"/>
      <c r="O291" s="64"/>
      <c r="P291" s="65"/>
      <c r="Q291" s="65"/>
      <c r="R291" s="66"/>
      <c r="S291" s="65"/>
      <c r="T291" s="65"/>
      <c r="U291" s="67"/>
      <c r="V291" s="65"/>
      <c r="W291" s="65"/>
      <c r="X291" s="63"/>
      <c r="Y291" s="63"/>
      <c r="Z291" s="61"/>
      <c r="AA291" s="61"/>
      <c r="AB291" s="61"/>
      <c r="AC291" s="61"/>
      <c r="AD291" s="61"/>
      <c r="AE291" s="61"/>
      <c r="AF291" s="61"/>
      <c r="AG291" s="61"/>
      <c r="AH291" s="68" t="n">
        <f aca="false">IF(G291="",0,ROUND((Strats!$C$4-G291)/30.4375,1))</f>
        <v>0</v>
      </c>
      <c r="AI291" s="69" t="n">
        <f aca="false">IF(K291="",0,IF(K291="Floating",Strats!$C$10+M291,L291))</f>
        <v>0</v>
      </c>
      <c r="AJ291" s="68" t="str">
        <f aca="false">IF(OR(Z291="",Z291="Full Amortizing"),"",MAX(J291-AH291,0))</f>
        <v/>
      </c>
      <c r="AK291" s="69" t="n">
        <f aca="false">IF(K291="",0,IF(K291="Floating",IF(P291&lt;&gt;"",MIN(IF(Q291&lt;&gt;"",MAX((Strats!$C$10+Strats!$C$11+M291),Q291),(Strats!$C$10+Strats!$C$11+M291)),P291),IF(Q291&lt;&gt;"",MAX((Strats!$C$10+Strats!$C$11+M291),Q291),(Strats!$C$10+Strats!$C$11+M291))),AI291))</f>
        <v>0</v>
      </c>
      <c r="AL291" s="68" t="str">
        <f aca="false">IF(OR(E291="",E291&lt;&gt;'Deal Strat'!$C$12,R291=""),"",SUMPRODUCT((E$4:E$303='Deal Strat'!$C$12)*(R$4:R$303&gt;R291))+1+SUMPRODUCT((E$4:E$303='Deal Strat'!$C$12)*(R$4:R$303=R291)*(ROW(R$4:R$303)&lt;ROW(R291))))</f>
        <v/>
      </c>
      <c r="AM291" s="68" t="str">
        <f aca="false">IF(R291="","",RANK(R291,$R$4:$R$303,0)+COUNTIF($R$4:R291,R291)-1)</f>
        <v/>
      </c>
      <c r="AN291" s="26" t="n">
        <f aca="false">IF(OR($A291="",$R291=""),0,IF(Deal_Scope="All Deals",1,IF($E291=Deal_Scope,1,0)))</f>
        <v>0</v>
      </c>
      <c r="AO291" s="56" t="n">
        <f aca="false">IF($AN291=0,0,Px_Par)</f>
        <v>0</v>
      </c>
      <c r="AP291" s="70" t="n">
        <f aca="false">IF($H291="",0,MAX(0,($H291-Set_Date)/30.4375))</f>
        <v>0</v>
      </c>
      <c r="AQ291" s="26" t="n">
        <f aca="false">IF(AND(Ext_Flag="Yes",$AA291="Yes"),Ext_Months,0)</f>
        <v>0</v>
      </c>
      <c r="AR291" s="70" t="n">
        <f aca="false">$AP291+$AQ291</f>
        <v>0</v>
      </c>
      <c r="AS291" s="70" t="n">
        <f aca="false">$AR291/12</f>
        <v>0</v>
      </c>
      <c r="AT291" s="70" t="n">
        <f aca="false">IF($AJ291="",0,MAX(0,$AJ291/12))</f>
        <v>0</v>
      </c>
      <c r="AU291" s="70" t="n">
        <f aca="false">MAX(Amort_Min,Amort_Term-$AH291/12)</f>
        <v>30</v>
      </c>
      <c r="AV291" s="70" t="n">
        <f aca="false">MIN($AS291,Hold_Yrs)</f>
        <v>0</v>
      </c>
      <c r="AW291" s="26" t="n">
        <f aca="false">IF($AN291=0,0,CEILING(MAX($AS291,0.0001),1))</f>
        <v>0</v>
      </c>
      <c r="AX291" s="26" t="n">
        <f aca="false">IF(AND($AN291=1,MAX($AS291,0.0001)&lt;=Hold_Yrs),1,0)</f>
        <v>0</v>
      </c>
      <c r="AY291" s="71" t="n">
        <f aca="false">$R291*$AO291</f>
        <v>0</v>
      </c>
      <c r="AZ291" s="71" t="n">
        <f aca="false">$R291*Acc_Int*$AN291</f>
        <v>0</v>
      </c>
      <c r="BA291" s="71" t="n">
        <f aca="false">$AY291*Acq_Cost</f>
        <v>0</v>
      </c>
      <c r="BB291" s="71" t="n">
        <f aca="false">$AY291+$AZ291+$BA291</f>
        <v>0</v>
      </c>
      <c r="BC291" s="71" t="n">
        <f aca="false">IF(Fin_Flag="Yes",$AY291*Adv_Rate,0)</f>
        <v>0</v>
      </c>
      <c r="BD291" s="71" t="n">
        <f aca="false">$BC291*Fin_UpFee</f>
        <v>0</v>
      </c>
      <c r="BE291" s="71" t="n">
        <f aca="false">$BB291-$BC291+$BD291</f>
        <v>0</v>
      </c>
    </row>
    <row r="292" customFormat="false" ht="14.25" hidden="false" customHeight="false" outlineLevel="0" collapsed="false">
      <c r="A292" s="61"/>
      <c r="B292" s="62"/>
      <c r="C292" s="61"/>
      <c r="D292" s="61"/>
      <c r="E292" s="61"/>
      <c r="F292" s="63"/>
      <c r="G292" s="64"/>
      <c r="H292" s="64"/>
      <c r="I292" s="63"/>
      <c r="J292" s="63"/>
      <c r="K292" s="61"/>
      <c r="L292" s="65"/>
      <c r="M292" s="65"/>
      <c r="N292" s="61"/>
      <c r="O292" s="64"/>
      <c r="P292" s="65"/>
      <c r="Q292" s="65"/>
      <c r="R292" s="66"/>
      <c r="S292" s="65"/>
      <c r="T292" s="65"/>
      <c r="U292" s="67"/>
      <c r="V292" s="65"/>
      <c r="W292" s="65"/>
      <c r="X292" s="63"/>
      <c r="Y292" s="63"/>
      <c r="Z292" s="61"/>
      <c r="AA292" s="61"/>
      <c r="AB292" s="61"/>
      <c r="AC292" s="61"/>
      <c r="AD292" s="61"/>
      <c r="AE292" s="61"/>
      <c r="AF292" s="61"/>
      <c r="AG292" s="61"/>
      <c r="AH292" s="68" t="n">
        <f aca="false">IF(G292="",0,ROUND((Strats!$C$4-G292)/30.4375,1))</f>
        <v>0</v>
      </c>
      <c r="AI292" s="69" t="n">
        <f aca="false">IF(K292="",0,IF(K292="Floating",Strats!$C$10+M292,L292))</f>
        <v>0</v>
      </c>
      <c r="AJ292" s="68" t="str">
        <f aca="false">IF(OR(Z292="",Z292="Full Amortizing"),"",MAX(J292-AH292,0))</f>
        <v/>
      </c>
      <c r="AK292" s="69" t="n">
        <f aca="false">IF(K292="",0,IF(K292="Floating",IF(P292&lt;&gt;"",MIN(IF(Q292&lt;&gt;"",MAX((Strats!$C$10+Strats!$C$11+M292),Q292),(Strats!$C$10+Strats!$C$11+M292)),P292),IF(Q292&lt;&gt;"",MAX((Strats!$C$10+Strats!$C$11+M292),Q292),(Strats!$C$10+Strats!$C$11+M292))),AI292))</f>
        <v>0</v>
      </c>
      <c r="AL292" s="68" t="str">
        <f aca="false">IF(OR(E292="",E292&lt;&gt;'Deal Strat'!$C$12,R292=""),"",SUMPRODUCT((E$4:E$303='Deal Strat'!$C$12)*(R$4:R$303&gt;R292))+1+SUMPRODUCT((E$4:E$303='Deal Strat'!$C$12)*(R$4:R$303=R292)*(ROW(R$4:R$303)&lt;ROW(R292))))</f>
        <v/>
      </c>
      <c r="AM292" s="68" t="str">
        <f aca="false">IF(R292="","",RANK(R292,$R$4:$R$303,0)+COUNTIF($R$4:R292,R292)-1)</f>
        <v/>
      </c>
      <c r="AN292" s="26" t="n">
        <f aca="false">IF(OR($A292="",$R292=""),0,IF(Deal_Scope="All Deals",1,IF($E292=Deal_Scope,1,0)))</f>
        <v>0</v>
      </c>
      <c r="AO292" s="56" t="n">
        <f aca="false">IF($AN292=0,0,Px_Par)</f>
        <v>0</v>
      </c>
      <c r="AP292" s="70" t="n">
        <f aca="false">IF($H292="",0,MAX(0,($H292-Set_Date)/30.4375))</f>
        <v>0</v>
      </c>
      <c r="AQ292" s="26" t="n">
        <f aca="false">IF(AND(Ext_Flag="Yes",$AA292="Yes"),Ext_Months,0)</f>
        <v>0</v>
      </c>
      <c r="AR292" s="70" t="n">
        <f aca="false">$AP292+$AQ292</f>
        <v>0</v>
      </c>
      <c r="AS292" s="70" t="n">
        <f aca="false">$AR292/12</f>
        <v>0</v>
      </c>
      <c r="AT292" s="70" t="n">
        <f aca="false">IF($AJ292="",0,MAX(0,$AJ292/12))</f>
        <v>0</v>
      </c>
      <c r="AU292" s="70" t="n">
        <f aca="false">MAX(Amort_Min,Amort_Term-$AH292/12)</f>
        <v>30</v>
      </c>
      <c r="AV292" s="70" t="n">
        <f aca="false">MIN($AS292,Hold_Yrs)</f>
        <v>0</v>
      </c>
      <c r="AW292" s="26" t="n">
        <f aca="false">IF($AN292=0,0,CEILING(MAX($AS292,0.0001),1))</f>
        <v>0</v>
      </c>
      <c r="AX292" s="26" t="n">
        <f aca="false">IF(AND($AN292=1,MAX($AS292,0.0001)&lt;=Hold_Yrs),1,0)</f>
        <v>0</v>
      </c>
      <c r="AY292" s="71" t="n">
        <f aca="false">$R292*$AO292</f>
        <v>0</v>
      </c>
      <c r="AZ292" s="71" t="n">
        <f aca="false">$R292*Acc_Int*$AN292</f>
        <v>0</v>
      </c>
      <c r="BA292" s="71" t="n">
        <f aca="false">$AY292*Acq_Cost</f>
        <v>0</v>
      </c>
      <c r="BB292" s="71" t="n">
        <f aca="false">$AY292+$AZ292+$BA292</f>
        <v>0</v>
      </c>
      <c r="BC292" s="71" t="n">
        <f aca="false">IF(Fin_Flag="Yes",$AY292*Adv_Rate,0)</f>
        <v>0</v>
      </c>
      <c r="BD292" s="71" t="n">
        <f aca="false">$BC292*Fin_UpFee</f>
        <v>0</v>
      </c>
      <c r="BE292" s="71" t="n">
        <f aca="false">$BB292-$BC292+$BD292</f>
        <v>0</v>
      </c>
    </row>
    <row r="293" customFormat="false" ht="14.25" hidden="false" customHeight="false" outlineLevel="0" collapsed="false">
      <c r="A293" s="61"/>
      <c r="B293" s="62"/>
      <c r="C293" s="61"/>
      <c r="D293" s="61"/>
      <c r="E293" s="61"/>
      <c r="F293" s="63"/>
      <c r="G293" s="64"/>
      <c r="H293" s="64"/>
      <c r="I293" s="63"/>
      <c r="J293" s="63"/>
      <c r="K293" s="61"/>
      <c r="L293" s="65"/>
      <c r="M293" s="65"/>
      <c r="N293" s="61"/>
      <c r="O293" s="64"/>
      <c r="P293" s="65"/>
      <c r="Q293" s="65"/>
      <c r="R293" s="66"/>
      <c r="S293" s="65"/>
      <c r="T293" s="65"/>
      <c r="U293" s="67"/>
      <c r="V293" s="65"/>
      <c r="W293" s="65"/>
      <c r="X293" s="63"/>
      <c r="Y293" s="63"/>
      <c r="Z293" s="61"/>
      <c r="AA293" s="61"/>
      <c r="AB293" s="61"/>
      <c r="AC293" s="61"/>
      <c r="AD293" s="61"/>
      <c r="AE293" s="61"/>
      <c r="AF293" s="61"/>
      <c r="AG293" s="61"/>
      <c r="AH293" s="68" t="n">
        <f aca="false">IF(G293="",0,ROUND((Strats!$C$4-G293)/30.4375,1))</f>
        <v>0</v>
      </c>
      <c r="AI293" s="69" t="n">
        <f aca="false">IF(K293="",0,IF(K293="Floating",Strats!$C$10+M293,L293))</f>
        <v>0</v>
      </c>
      <c r="AJ293" s="68" t="str">
        <f aca="false">IF(OR(Z293="",Z293="Full Amortizing"),"",MAX(J293-AH293,0))</f>
        <v/>
      </c>
      <c r="AK293" s="69" t="n">
        <f aca="false">IF(K293="",0,IF(K293="Floating",IF(P293&lt;&gt;"",MIN(IF(Q293&lt;&gt;"",MAX((Strats!$C$10+Strats!$C$11+M293),Q293),(Strats!$C$10+Strats!$C$11+M293)),P293),IF(Q293&lt;&gt;"",MAX((Strats!$C$10+Strats!$C$11+M293),Q293),(Strats!$C$10+Strats!$C$11+M293))),AI293))</f>
        <v>0</v>
      </c>
      <c r="AL293" s="68" t="str">
        <f aca="false">IF(OR(E293="",E293&lt;&gt;'Deal Strat'!$C$12,R293=""),"",SUMPRODUCT((E$4:E$303='Deal Strat'!$C$12)*(R$4:R$303&gt;R293))+1+SUMPRODUCT((E$4:E$303='Deal Strat'!$C$12)*(R$4:R$303=R293)*(ROW(R$4:R$303)&lt;ROW(R293))))</f>
        <v/>
      </c>
      <c r="AM293" s="68" t="str">
        <f aca="false">IF(R293="","",RANK(R293,$R$4:$R$303,0)+COUNTIF($R$4:R293,R293)-1)</f>
        <v/>
      </c>
      <c r="AN293" s="26" t="n">
        <f aca="false">IF(OR($A293="",$R293=""),0,IF(Deal_Scope="All Deals",1,IF($E293=Deal_Scope,1,0)))</f>
        <v>0</v>
      </c>
      <c r="AO293" s="56" t="n">
        <f aca="false">IF($AN293=0,0,Px_Par)</f>
        <v>0</v>
      </c>
      <c r="AP293" s="70" t="n">
        <f aca="false">IF($H293="",0,MAX(0,($H293-Set_Date)/30.4375))</f>
        <v>0</v>
      </c>
      <c r="AQ293" s="26" t="n">
        <f aca="false">IF(AND(Ext_Flag="Yes",$AA293="Yes"),Ext_Months,0)</f>
        <v>0</v>
      </c>
      <c r="AR293" s="70" t="n">
        <f aca="false">$AP293+$AQ293</f>
        <v>0</v>
      </c>
      <c r="AS293" s="70" t="n">
        <f aca="false">$AR293/12</f>
        <v>0</v>
      </c>
      <c r="AT293" s="70" t="n">
        <f aca="false">IF($AJ293="",0,MAX(0,$AJ293/12))</f>
        <v>0</v>
      </c>
      <c r="AU293" s="70" t="n">
        <f aca="false">MAX(Amort_Min,Amort_Term-$AH293/12)</f>
        <v>30</v>
      </c>
      <c r="AV293" s="70" t="n">
        <f aca="false">MIN($AS293,Hold_Yrs)</f>
        <v>0</v>
      </c>
      <c r="AW293" s="26" t="n">
        <f aca="false">IF($AN293=0,0,CEILING(MAX($AS293,0.0001),1))</f>
        <v>0</v>
      </c>
      <c r="AX293" s="26" t="n">
        <f aca="false">IF(AND($AN293=1,MAX($AS293,0.0001)&lt;=Hold_Yrs),1,0)</f>
        <v>0</v>
      </c>
      <c r="AY293" s="71" t="n">
        <f aca="false">$R293*$AO293</f>
        <v>0</v>
      </c>
      <c r="AZ293" s="71" t="n">
        <f aca="false">$R293*Acc_Int*$AN293</f>
        <v>0</v>
      </c>
      <c r="BA293" s="71" t="n">
        <f aca="false">$AY293*Acq_Cost</f>
        <v>0</v>
      </c>
      <c r="BB293" s="71" t="n">
        <f aca="false">$AY293+$AZ293+$BA293</f>
        <v>0</v>
      </c>
      <c r="BC293" s="71" t="n">
        <f aca="false">IF(Fin_Flag="Yes",$AY293*Adv_Rate,0)</f>
        <v>0</v>
      </c>
      <c r="BD293" s="71" t="n">
        <f aca="false">$BC293*Fin_UpFee</f>
        <v>0</v>
      </c>
      <c r="BE293" s="71" t="n">
        <f aca="false">$BB293-$BC293+$BD293</f>
        <v>0</v>
      </c>
    </row>
    <row r="294" customFormat="false" ht="14.25" hidden="false" customHeight="false" outlineLevel="0" collapsed="false">
      <c r="A294" s="61"/>
      <c r="B294" s="62"/>
      <c r="C294" s="61"/>
      <c r="D294" s="61"/>
      <c r="E294" s="61"/>
      <c r="F294" s="63"/>
      <c r="G294" s="64"/>
      <c r="H294" s="64"/>
      <c r="I294" s="63"/>
      <c r="J294" s="63"/>
      <c r="K294" s="61"/>
      <c r="L294" s="65"/>
      <c r="M294" s="65"/>
      <c r="N294" s="61"/>
      <c r="O294" s="64"/>
      <c r="P294" s="65"/>
      <c r="Q294" s="65"/>
      <c r="R294" s="66"/>
      <c r="S294" s="65"/>
      <c r="T294" s="65"/>
      <c r="U294" s="67"/>
      <c r="V294" s="65"/>
      <c r="W294" s="65"/>
      <c r="X294" s="63"/>
      <c r="Y294" s="63"/>
      <c r="Z294" s="61"/>
      <c r="AA294" s="61"/>
      <c r="AB294" s="61"/>
      <c r="AC294" s="61"/>
      <c r="AD294" s="61"/>
      <c r="AE294" s="61"/>
      <c r="AF294" s="61"/>
      <c r="AG294" s="61"/>
      <c r="AH294" s="68" t="n">
        <f aca="false">IF(G294="",0,ROUND((Strats!$C$4-G294)/30.4375,1))</f>
        <v>0</v>
      </c>
      <c r="AI294" s="69" t="n">
        <f aca="false">IF(K294="",0,IF(K294="Floating",Strats!$C$10+M294,L294))</f>
        <v>0</v>
      </c>
      <c r="AJ294" s="68" t="str">
        <f aca="false">IF(OR(Z294="",Z294="Full Amortizing"),"",MAX(J294-AH294,0))</f>
        <v/>
      </c>
      <c r="AK294" s="69" t="n">
        <f aca="false">IF(K294="",0,IF(K294="Floating",IF(P294&lt;&gt;"",MIN(IF(Q294&lt;&gt;"",MAX((Strats!$C$10+Strats!$C$11+M294),Q294),(Strats!$C$10+Strats!$C$11+M294)),P294),IF(Q294&lt;&gt;"",MAX((Strats!$C$10+Strats!$C$11+M294),Q294),(Strats!$C$10+Strats!$C$11+M294))),AI294))</f>
        <v>0</v>
      </c>
      <c r="AL294" s="68" t="str">
        <f aca="false">IF(OR(E294="",E294&lt;&gt;'Deal Strat'!$C$12,R294=""),"",SUMPRODUCT((E$4:E$303='Deal Strat'!$C$12)*(R$4:R$303&gt;R294))+1+SUMPRODUCT((E$4:E$303='Deal Strat'!$C$12)*(R$4:R$303=R294)*(ROW(R$4:R$303)&lt;ROW(R294))))</f>
        <v/>
      </c>
      <c r="AM294" s="68" t="str">
        <f aca="false">IF(R294="","",RANK(R294,$R$4:$R$303,0)+COUNTIF($R$4:R294,R294)-1)</f>
        <v/>
      </c>
      <c r="AN294" s="26" t="n">
        <f aca="false">IF(OR($A294="",$R294=""),0,IF(Deal_Scope="All Deals",1,IF($E294=Deal_Scope,1,0)))</f>
        <v>0</v>
      </c>
      <c r="AO294" s="56" t="n">
        <f aca="false">IF($AN294=0,0,Px_Par)</f>
        <v>0</v>
      </c>
      <c r="AP294" s="70" t="n">
        <f aca="false">IF($H294="",0,MAX(0,($H294-Set_Date)/30.4375))</f>
        <v>0</v>
      </c>
      <c r="AQ294" s="26" t="n">
        <f aca="false">IF(AND(Ext_Flag="Yes",$AA294="Yes"),Ext_Months,0)</f>
        <v>0</v>
      </c>
      <c r="AR294" s="70" t="n">
        <f aca="false">$AP294+$AQ294</f>
        <v>0</v>
      </c>
      <c r="AS294" s="70" t="n">
        <f aca="false">$AR294/12</f>
        <v>0</v>
      </c>
      <c r="AT294" s="70" t="n">
        <f aca="false">IF($AJ294="",0,MAX(0,$AJ294/12))</f>
        <v>0</v>
      </c>
      <c r="AU294" s="70" t="n">
        <f aca="false">MAX(Amort_Min,Amort_Term-$AH294/12)</f>
        <v>30</v>
      </c>
      <c r="AV294" s="70" t="n">
        <f aca="false">MIN($AS294,Hold_Yrs)</f>
        <v>0</v>
      </c>
      <c r="AW294" s="26" t="n">
        <f aca="false">IF($AN294=0,0,CEILING(MAX($AS294,0.0001),1))</f>
        <v>0</v>
      </c>
      <c r="AX294" s="26" t="n">
        <f aca="false">IF(AND($AN294=1,MAX($AS294,0.0001)&lt;=Hold_Yrs),1,0)</f>
        <v>0</v>
      </c>
      <c r="AY294" s="71" t="n">
        <f aca="false">$R294*$AO294</f>
        <v>0</v>
      </c>
      <c r="AZ294" s="71" t="n">
        <f aca="false">$R294*Acc_Int*$AN294</f>
        <v>0</v>
      </c>
      <c r="BA294" s="71" t="n">
        <f aca="false">$AY294*Acq_Cost</f>
        <v>0</v>
      </c>
      <c r="BB294" s="71" t="n">
        <f aca="false">$AY294+$AZ294+$BA294</f>
        <v>0</v>
      </c>
      <c r="BC294" s="71" t="n">
        <f aca="false">IF(Fin_Flag="Yes",$AY294*Adv_Rate,0)</f>
        <v>0</v>
      </c>
      <c r="BD294" s="71" t="n">
        <f aca="false">$BC294*Fin_UpFee</f>
        <v>0</v>
      </c>
      <c r="BE294" s="71" t="n">
        <f aca="false">$BB294-$BC294+$BD294</f>
        <v>0</v>
      </c>
    </row>
    <row r="295" customFormat="false" ht="14.25" hidden="false" customHeight="false" outlineLevel="0" collapsed="false">
      <c r="A295" s="61"/>
      <c r="B295" s="62"/>
      <c r="C295" s="61"/>
      <c r="D295" s="61"/>
      <c r="E295" s="61"/>
      <c r="F295" s="63"/>
      <c r="G295" s="64"/>
      <c r="H295" s="64"/>
      <c r="I295" s="63"/>
      <c r="J295" s="63"/>
      <c r="K295" s="61"/>
      <c r="L295" s="65"/>
      <c r="M295" s="65"/>
      <c r="N295" s="61"/>
      <c r="O295" s="64"/>
      <c r="P295" s="65"/>
      <c r="Q295" s="65"/>
      <c r="R295" s="66"/>
      <c r="S295" s="65"/>
      <c r="T295" s="65"/>
      <c r="U295" s="67"/>
      <c r="V295" s="65"/>
      <c r="W295" s="65"/>
      <c r="X295" s="63"/>
      <c r="Y295" s="63"/>
      <c r="Z295" s="61"/>
      <c r="AA295" s="61"/>
      <c r="AB295" s="61"/>
      <c r="AC295" s="61"/>
      <c r="AD295" s="61"/>
      <c r="AE295" s="61"/>
      <c r="AF295" s="61"/>
      <c r="AG295" s="61"/>
      <c r="AH295" s="68" t="n">
        <f aca="false">IF(G295="",0,ROUND((Strats!$C$4-G295)/30.4375,1))</f>
        <v>0</v>
      </c>
      <c r="AI295" s="69" t="n">
        <f aca="false">IF(K295="",0,IF(K295="Floating",Strats!$C$10+M295,L295))</f>
        <v>0</v>
      </c>
      <c r="AJ295" s="68" t="str">
        <f aca="false">IF(OR(Z295="",Z295="Full Amortizing"),"",MAX(J295-AH295,0))</f>
        <v/>
      </c>
      <c r="AK295" s="69" t="n">
        <f aca="false">IF(K295="",0,IF(K295="Floating",IF(P295&lt;&gt;"",MIN(IF(Q295&lt;&gt;"",MAX((Strats!$C$10+Strats!$C$11+M295),Q295),(Strats!$C$10+Strats!$C$11+M295)),P295),IF(Q295&lt;&gt;"",MAX((Strats!$C$10+Strats!$C$11+M295),Q295),(Strats!$C$10+Strats!$C$11+M295))),AI295))</f>
        <v>0</v>
      </c>
      <c r="AL295" s="68" t="str">
        <f aca="false">IF(OR(E295="",E295&lt;&gt;'Deal Strat'!$C$12,R295=""),"",SUMPRODUCT((E$4:E$303='Deal Strat'!$C$12)*(R$4:R$303&gt;R295))+1+SUMPRODUCT((E$4:E$303='Deal Strat'!$C$12)*(R$4:R$303=R295)*(ROW(R$4:R$303)&lt;ROW(R295))))</f>
        <v/>
      </c>
      <c r="AM295" s="68" t="str">
        <f aca="false">IF(R295="","",RANK(R295,$R$4:$R$303,0)+COUNTIF($R$4:R295,R295)-1)</f>
        <v/>
      </c>
      <c r="AN295" s="26" t="n">
        <f aca="false">IF(OR($A295="",$R295=""),0,IF(Deal_Scope="All Deals",1,IF($E295=Deal_Scope,1,0)))</f>
        <v>0</v>
      </c>
      <c r="AO295" s="56" t="n">
        <f aca="false">IF($AN295=0,0,Px_Par)</f>
        <v>0</v>
      </c>
      <c r="AP295" s="70" t="n">
        <f aca="false">IF($H295="",0,MAX(0,($H295-Set_Date)/30.4375))</f>
        <v>0</v>
      </c>
      <c r="AQ295" s="26" t="n">
        <f aca="false">IF(AND(Ext_Flag="Yes",$AA295="Yes"),Ext_Months,0)</f>
        <v>0</v>
      </c>
      <c r="AR295" s="70" t="n">
        <f aca="false">$AP295+$AQ295</f>
        <v>0</v>
      </c>
      <c r="AS295" s="70" t="n">
        <f aca="false">$AR295/12</f>
        <v>0</v>
      </c>
      <c r="AT295" s="70" t="n">
        <f aca="false">IF($AJ295="",0,MAX(0,$AJ295/12))</f>
        <v>0</v>
      </c>
      <c r="AU295" s="70" t="n">
        <f aca="false">MAX(Amort_Min,Amort_Term-$AH295/12)</f>
        <v>30</v>
      </c>
      <c r="AV295" s="70" t="n">
        <f aca="false">MIN($AS295,Hold_Yrs)</f>
        <v>0</v>
      </c>
      <c r="AW295" s="26" t="n">
        <f aca="false">IF($AN295=0,0,CEILING(MAX($AS295,0.0001),1))</f>
        <v>0</v>
      </c>
      <c r="AX295" s="26" t="n">
        <f aca="false">IF(AND($AN295=1,MAX($AS295,0.0001)&lt;=Hold_Yrs),1,0)</f>
        <v>0</v>
      </c>
      <c r="AY295" s="71" t="n">
        <f aca="false">$R295*$AO295</f>
        <v>0</v>
      </c>
      <c r="AZ295" s="71" t="n">
        <f aca="false">$R295*Acc_Int*$AN295</f>
        <v>0</v>
      </c>
      <c r="BA295" s="71" t="n">
        <f aca="false">$AY295*Acq_Cost</f>
        <v>0</v>
      </c>
      <c r="BB295" s="71" t="n">
        <f aca="false">$AY295+$AZ295+$BA295</f>
        <v>0</v>
      </c>
      <c r="BC295" s="71" t="n">
        <f aca="false">IF(Fin_Flag="Yes",$AY295*Adv_Rate,0)</f>
        <v>0</v>
      </c>
      <c r="BD295" s="71" t="n">
        <f aca="false">$BC295*Fin_UpFee</f>
        <v>0</v>
      </c>
      <c r="BE295" s="71" t="n">
        <f aca="false">$BB295-$BC295+$BD295</f>
        <v>0</v>
      </c>
    </row>
    <row r="296" customFormat="false" ht="14.25" hidden="false" customHeight="false" outlineLevel="0" collapsed="false">
      <c r="A296" s="61"/>
      <c r="B296" s="62"/>
      <c r="C296" s="61"/>
      <c r="D296" s="61"/>
      <c r="E296" s="61"/>
      <c r="F296" s="63"/>
      <c r="G296" s="64"/>
      <c r="H296" s="64"/>
      <c r="I296" s="63"/>
      <c r="J296" s="63"/>
      <c r="K296" s="61"/>
      <c r="L296" s="65"/>
      <c r="M296" s="65"/>
      <c r="N296" s="61"/>
      <c r="O296" s="64"/>
      <c r="P296" s="65"/>
      <c r="Q296" s="65"/>
      <c r="R296" s="66"/>
      <c r="S296" s="65"/>
      <c r="T296" s="65"/>
      <c r="U296" s="67"/>
      <c r="V296" s="65"/>
      <c r="W296" s="65"/>
      <c r="X296" s="63"/>
      <c r="Y296" s="63"/>
      <c r="Z296" s="61"/>
      <c r="AA296" s="61"/>
      <c r="AB296" s="61"/>
      <c r="AC296" s="61"/>
      <c r="AD296" s="61"/>
      <c r="AE296" s="61"/>
      <c r="AF296" s="61"/>
      <c r="AG296" s="61"/>
      <c r="AH296" s="68" t="n">
        <f aca="false">IF(G296="",0,ROUND((Strats!$C$4-G296)/30.4375,1))</f>
        <v>0</v>
      </c>
      <c r="AI296" s="69" t="n">
        <f aca="false">IF(K296="",0,IF(K296="Floating",Strats!$C$10+M296,L296))</f>
        <v>0</v>
      </c>
      <c r="AJ296" s="68" t="str">
        <f aca="false">IF(OR(Z296="",Z296="Full Amortizing"),"",MAX(J296-AH296,0))</f>
        <v/>
      </c>
      <c r="AK296" s="69" t="n">
        <f aca="false">IF(K296="",0,IF(K296="Floating",IF(P296&lt;&gt;"",MIN(IF(Q296&lt;&gt;"",MAX((Strats!$C$10+Strats!$C$11+M296),Q296),(Strats!$C$10+Strats!$C$11+M296)),P296),IF(Q296&lt;&gt;"",MAX((Strats!$C$10+Strats!$C$11+M296),Q296),(Strats!$C$10+Strats!$C$11+M296))),AI296))</f>
        <v>0</v>
      </c>
      <c r="AL296" s="68" t="str">
        <f aca="false">IF(OR(E296="",E296&lt;&gt;'Deal Strat'!$C$12,R296=""),"",SUMPRODUCT((E$4:E$303='Deal Strat'!$C$12)*(R$4:R$303&gt;R296))+1+SUMPRODUCT((E$4:E$303='Deal Strat'!$C$12)*(R$4:R$303=R296)*(ROW(R$4:R$303)&lt;ROW(R296))))</f>
        <v/>
      </c>
      <c r="AM296" s="68" t="str">
        <f aca="false">IF(R296="","",RANK(R296,$R$4:$R$303,0)+COUNTIF($R$4:R296,R296)-1)</f>
        <v/>
      </c>
      <c r="AN296" s="26" t="n">
        <f aca="false">IF(OR($A296="",$R296=""),0,IF(Deal_Scope="All Deals",1,IF($E296=Deal_Scope,1,0)))</f>
        <v>0</v>
      </c>
      <c r="AO296" s="56" t="n">
        <f aca="false">IF($AN296=0,0,Px_Par)</f>
        <v>0</v>
      </c>
      <c r="AP296" s="70" t="n">
        <f aca="false">IF($H296="",0,MAX(0,($H296-Set_Date)/30.4375))</f>
        <v>0</v>
      </c>
      <c r="AQ296" s="26" t="n">
        <f aca="false">IF(AND(Ext_Flag="Yes",$AA296="Yes"),Ext_Months,0)</f>
        <v>0</v>
      </c>
      <c r="AR296" s="70" t="n">
        <f aca="false">$AP296+$AQ296</f>
        <v>0</v>
      </c>
      <c r="AS296" s="70" t="n">
        <f aca="false">$AR296/12</f>
        <v>0</v>
      </c>
      <c r="AT296" s="70" t="n">
        <f aca="false">IF($AJ296="",0,MAX(0,$AJ296/12))</f>
        <v>0</v>
      </c>
      <c r="AU296" s="70" t="n">
        <f aca="false">MAX(Amort_Min,Amort_Term-$AH296/12)</f>
        <v>30</v>
      </c>
      <c r="AV296" s="70" t="n">
        <f aca="false">MIN($AS296,Hold_Yrs)</f>
        <v>0</v>
      </c>
      <c r="AW296" s="26" t="n">
        <f aca="false">IF($AN296=0,0,CEILING(MAX($AS296,0.0001),1))</f>
        <v>0</v>
      </c>
      <c r="AX296" s="26" t="n">
        <f aca="false">IF(AND($AN296=1,MAX($AS296,0.0001)&lt;=Hold_Yrs),1,0)</f>
        <v>0</v>
      </c>
      <c r="AY296" s="71" t="n">
        <f aca="false">$R296*$AO296</f>
        <v>0</v>
      </c>
      <c r="AZ296" s="71" t="n">
        <f aca="false">$R296*Acc_Int*$AN296</f>
        <v>0</v>
      </c>
      <c r="BA296" s="71" t="n">
        <f aca="false">$AY296*Acq_Cost</f>
        <v>0</v>
      </c>
      <c r="BB296" s="71" t="n">
        <f aca="false">$AY296+$AZ296+$BA296</f>
        <v>0</v>
      </c>
      <c r="BC296" s="71" t="n">
        <f aca="false">IF(Fin_Flag="Yes",$AY296*Adv_Rate,0)</f>
        <v>0</v>
      </c>
      <c r="BD296" s="71" t="n">
        <f aca="false">$BC296*Fin_UpFee</f>
        <v>0</v>
      </c>
      <c r="BE296" s="71" t="n">
        <f aca="false">$BB296-$BC296+$BD296</f>
        <v>0</v>
      </c>
    </row>
    <row r="297" customFormat="false" ht="14.25" hidden="false" customHeight="false" outlineLevel="0" collapsed="false">
      <c r="A297" s="61"/>
      <c r="B297" s="62"/>
      <c r="C297" s="61"/>
      <c r="D297" s="61"/>
      <c r="E297" s="61"/>
      <c r="F297" s="63"/>
      <c r="G297" s="64"/>
      <c r="H297" s="64"/>
      <c r="I297" s="63"/>
      <c r="J297" s="63"/>
      <c r="K297" s="61"/>
      <c r="L297" s="65"/>
      <c r="M297" s="65"/>
      <c r="N297" s="61"/>
      <c r="O297" s="64"/>
      <c r="P297" s="65"/>
      <c r="Q297" s="65"/>
      <c r="R297" s="66"/>
      <c r="S297" s="65"/>
      <c r="T297" s="65"/>
      <c r="U297" s="67"/>
      <c r="V297" s="65"/>
      <c r="W297" s="65"/>
      <c r="X297" s="63"/>
      <c r="Y297" s="63"/>
      <c r="Z297" s="61"/>
      <c r="AA297" s="61"/>
      <c r="AB297" s="61"/>
      <c r="AC297" s="61"/>
      <c r="AD297" s="61"/>
      <c r="AE297" s="61"/>
      <c r="AF297" s="61"/>
      <c r="AG297" s="61"/>
      <c r="AH297" s="68" t="n">
        <f aca="false">IF(G297="",0,ROUND((Strats!$C$4-G297)/30.4375,1))</f>
        <v>0</v>
      </c>
      <c r="AI297" s="69" t="n">
        <f aca="false">IF(K297="",0,IF(K297="Floating",Strats!$C$10+M297,L297))</f>
        <v>0</v>
      </c>
      <c r="AJ297" s="68" t="str">
        <f aca="false">IF(OR(Z297="",Z297="Full Amortizing"),"",MAX(J297-AH297,0))</f>
        <v/>
      </c>
      <c r="AK297" s="69" t="n">
        <f aca="false">IF(K297="",0,IF(K297="Floating",IF(P297&lt;&gt;"",MIN(IF(Q297&lt;&gt;"",MAX((Strats!$C$10+Strats!$C$11+M297),Q297),(Strats!$C$10+Strats!$C$11+M297)),P297),IF(Q297&lt;&gt;"",MAX((Strats!$C$10+Strats!$C$11+M297),Q297),(Strats!$C$10+Strats!$C$11+M297))),AI297))</f>
        <v>0</v>
      </c>
      <c r="AL297" s="68" t="str">
        <f aca="false">IF(OR(E297="",E297&lt;&gt;'Deal Strat'!$C$12,R297=""),"",SUMPRODUCT((E$4:E$303='Deal Strat'!$C$12)*(R$4:R$303&gt;R297))+1+SUMPRODUCT((E$4:E$303='Deal Strat'!$C$12)*(R$4:R$303=R297)*(ROW(R$4:R$303)&lt;ROW(R297))))</f>
        <v/>
      </c>
      <c r="AM297" s="68" t="str">
        <f aca="false">IF(R297="","",RANK(R297,$R$4:$R$303,0)+COUNTIF($R$4:R297,R297)-1)</f>
        <v/>
      </c>
      <c r="AN297" s="26" t="n">
        <f aca="false">IF(OR($A297="",$R297=""),0,IF(Deal_Scope="All Deals",1,IF($E297=Deal_Scope,1,0)))</f>
        <v>0</v>
      </c>
      <c r="AO297" s="56" t="n">
        <f aca="false">IF($AN297=0,0,Px_Par)</f>
        <v>0</v>
      </c>
      <c r="AP297" s="70" t="n">
        <f aca="false">IF($H297="",0,MAX(0,($H297-Set_Date)/30.4375))</f>
        <v>0</v>
      </c>
      <c r="AQ297" s="26" t="n">
        <f aca="false">IF(AND(Ext_Flag="Yes",$AA297="Yes"),Ext_Months,0)</f>
        <v>0</v>
      </c>
      <c r="AR297" s="70" t="n">
        <f aca="false">$AP297+$AQ297</f>
        <v>0</v>
      </c>
      <c r="AS297" s="70" t="n">
        <f aca="false">$AR297/12</f>
        <v>0</v>
      </c>
      <c r="AT297" s="70" t="n">
        <f aca="false">IF($AJ297="",0,MAX(0,$AJ297/12))</f>
        <v>0</v>
      </c>
      <c r="AU297" s="70" t="n">
        <f aca="false">MAX(Amort_Min,Amort_Term-$AH297/12)</f>
        <v>30</v>
      </c>
      <c r="AV297" s="70" t="n">
        <f aca="false">MIN($AS297,Hold_Yrs)</f>
        <v>0</v>
      </c>
      <c r="AW297" s="26" t="n">
        <f aca="false">IF($AN297=0,0,CEILING(MAX($AS297,0.0001),1))</f>
        <v>0</v>
      </c>
      <c r="AX297" s="26" t="n">
        <f aca="false">IF(AND($AN297=1,MAX($AS297,0.0001)&lt;=Hold_Yrs),1,0)</f>
        <v>0</v>
      </c>
      <c r="AY297" s="71" t="n">
        <f aca="false">$R297*$AO297</f>
        <v>0</v>
      </c>
      <c r="AZ297" s="71" t="n">
        <f aca="false">$R297*Acc_Int*$AN297</f>
        <v>0</v>
      </c>
      <c r="BA297" s="71" t="n">
        <f aca="false">$AY297*Acq_Cost</f>
        <v>0</v>
      </c>
      <c r="BB297" s="71" t="n">
        <f aca="false">$AY297+$AZ297+$BA297</f>
        <v>0</v>
      </c>
      <c r="BC297" s="71" t="n">
        <f aca="false">IF(Fin_Flag="Yes",$AY297*Adv_Rate,0)</f>
        <v>0</v>
      </c>
      <c r="BD297" s="71" t="n">
        <f aca="false">$BC297*Fin_UpFee</f>
        <v>0</v>
      </c>
      <c r="BE297" s="71" t="n">
        <f aca="false">$BB297-$BC297+$BD297</f>
        <v>0</v>
      </c>
    </row>
    <row r="298" customFormat="false" ht="14.25" hidden="false" customHeight="false" outlineLevel="0" collapsed="false">
      <c r="A298" s="61"/>
      <c r="B298" s="62"/>
      <c r="C298" s="61"/>
      <c r="D298" s="61"/>
      <c r="E298" s="61"/>
      <c r="F298" s="63"/>
      <c r="G298" s="64"/>
      <c r="H298" s="64"/>
      <c r="I298" s="63"/>
      <c r="J298" s="63"/>
      <c r="K298" s="61"/>
      <c r="L298" s="65"/>
      <c r="M298" s="65"/>
      <c r="N298" s="61"/>
      <c r="O298" s="64"/>
      <c r="P298" s="65"/>
      <c r="Q298" s="65"/>
      <c r="R298" s="66"/>
      <c r="S298" s="65"/>
      <c r="T298" s="65"/>
      <c r="U298" s="67"/>
      <c r="V298" s="65"/>
      <c r="W298" s="65"/>
      <c r="X298" s="63"/>
      <c r="Y298" s="63"/>
      <c r="Z298" s="61"/>
      <c r="AA298" s="61"/>
      <c r="AB298" s="61"/>
      <c r="AC298" s="61"/>
      <c r="AD298" s="61"/>
      <c r="AE298" s="61"/>
      <c r="AF298" s="61"/>
      <c r="AG298" s="61"/>
      <c r="AH298" s="68" t="n">
        <f aca="false">IF(G298="",0,ROUND((Strats!$C$4-G298)/30.4375,1))</f>
        <v>0</v>
      </c>
      <c r="AI298" s="69" t="n">
        <f aca="false">IF(K298="",0,IF(K298="Floating",Strats!$C$10+M298,L298))</f>
        <v>0</v>
      </c>
      <c r="AJ298" s="68" t="str">
        <f aca="false">IF(OR(Z298="",Z298="Full Amortizing"),"",MAX(J298-AH298,0))</f>
        <v/>
      </c>
      <c r="AK298" s="69" t="n">
        <f aca="false">IF(K298="",0,IF(K298="Floating",IF(P298&lt;&gt;"",MIN(IF(Q298&lt;&gt;"",MAX((Strats!$C$10+Strats!$C$11+M298),Q298),(Strats!$C$10+Strats!$C$11+M298)),P298),IF(Q298&lt;&gt;"",MAX((Strats!$C$10+Strats!$C$11+M298),Q298),(Strats!$C$10+Strats!$C$11+M298))),AI298))</f>
        <v>0</v>
      </c>
      <c r="AL298" s="68" t="str">
        <f aca="false">IF(OR(E298="",E298&lt;&gt;'Deal Strat'!$C$12,R298=""),"",SUMPRODUCT((E$4:E$303='Deal Strat'!$C$12)*(R$4:R$303&gt;R298))+1+SUMPRODUCT((E$4:E$303='Deal Strat'!$C$12)*(R$4:R$303=R298)*(ROW(R$4:R$303)&lt;ROW(R298))))</f>
        <v/>
      </c>
      <c r="AM298" s="68" t="str">
        <f aca="false">IF(R298="","",RANK(R298,$R$4:$R$303,0)+COUNTIF($R$4:R298,R298)-1)</f>
        <v/>
      </c>
      <c r="AN298" s="26" t="n">
        <f aca="false">IF(OR($A298="",$R298=""),0,IF(Deal_Scope="All Deals",1,IF($E298=Deal_Scope,1,0)))</f>
        <v>0</v>
      </c>
      <c r="AO298" s="56" t="n">
        <f aca="false">IF($AN298=0,0,Px_Par)</f>
        <v>0</v>
      </c>
      <c r="AP298" s="70" t="n">
        <f aca="false">IF($H298="",0,MAX(0,($H298-Set_Date)/30.4375))</f>
        <v>0</v>
      </c>
      <c r="AQ298" s="26" t="n">
        <f aca="false">IF(AND(Ext_Flag="Yes",$AA298="Yes"),Ext_Months,0)</f>
        <v>0</v>
      </c>
      <c r="AR298" s="70" t="n">
        <f aca="false">$AP298+$AQ298</f>
        <v>0</v>
      </c>
      <c r="AS298" s="70" t="n">
        <f aca="false">$AR298/12</f>
        <v>0</v>
      </c>
      <c r="AT298" s="70" t="n">
        <f aca="false">IF($AJ298="",0,MAX(0,$AJ298/12))</f>
        <v>0</v>
      </c>
      <c r="AU298" s="70" t="n">
        <f aca="false">MAX(Amort_Min,Amort_Term-$AH298/12)</f>
        <v>30</v>
      </c>
      <c r="AV298" s="70" t="n">
        <f aca="false">MIN($AS298,Hold_Yrs)</f>
        <v>0</v>
      </c>
      <c r="AW298" s="26" t="n">
        <f aca="false">IF($AN298=0,0,CEILING(MAX($AS298,0.0001),1))</f>
        <v>0</v>
      </c>
      <c r="AX298" s="26" t="n">
        <f aca="false">IF(AND($AN298=1,MAX($AS298,0.0001)&lt;=Hold_Yrs),1,0)</f>
        <v>0</v>
      </c>
      <c r="AY298" s="71" t="n">
        <f aca="false">$R298*$AO298</f>
        <v>0</v>
      </c>
      <c r="AZ298" s="71" t="n">
        <f aca="false">$R298*Acc_Int*$AN298</f>
        <v>0</v>
      </c>
      <c r="BA298" s="71" t="n">
        <f aca="false">$AY298*Acq_Cost</f>
        <v>0</v>
      </c>
      <c r="BB298" s="71" t="n">
        <f aca="false">$AY298+$AZ298+$BA298</f>
        <v>0</v>
      </c>
      <c r="BC298" s="71" t="n">
        <f aca="false">IF(Fin_Flag="Yes",$AY298*Adv_Rate,0)</f>
        <v>0</v>
      </c>
      <c r="BD298" s="71" t="n">
        <f aca="false">$BC298*Fin_UpFee</f>
        <v>0</v>
      </c>
      <c r="BE298" s="71" t="n">
        <f aca="false">$BB298-$BC298+$BD298</f>
        <v>0</v>
      </c>
    </row>
    <row r="299" customFormat="false" ht="14.25" hidden="false" customHeight="false" outlineLevel="0" collapsed="false">
      <c r="A299" s="61"/>
      <c r="B299" s="62"/>
      <c r="C299" s="61"/>
      <c r="D299" s="61"/>
      <c r="E299" s="61"/>
      <c r="F299" s="63"/>
      <c r="G299" s="64"/>
      <c r="H299" s="64"/>
      <c r="I299" s="63"/>
      <c r="J299" s="63"/>
      <c r="K299" s="61"/>
      <c r="L299" s="65"/>
      <c r="M299" s="65"/>
      <c r="N299" s="61"/>
      <c r="O299" s="64"/>
      <c r="P299" s="65"/>
      <c r="Q299" s="65"/>
      <c r="R299" s="66"/>
      <c r="S299" s="65"/>
      <c r="T299" s="65"/>
      <c r="U299" s="67"/>
      <c r="V299" s="65"/>
      <c r="W299" s="65"/>
      <c r="X299" s="63"/>
      <c r="Y299" s="63"/>
      <c r="Z299" s="61"/>
      <c r="AA299" s="61"/>
      <c r="AB299" s="61"/>
      <c r="AC299" s="61"/>
      <c r="AD299" s="61"/>
      <c r="AE299" s="61"/>
      <c r="AF299" s="61"/>
      <c r="AG299" s="61"/>
      <c r="AH299" s="68" t="n">
        <f aca="false">IF(G299="",0,ROUND((Strats!$C$4-G299)/30.4375,1))</f>
        <v>0</v>
      </c>
      <c r="AI299" s="69" t="n">
        <f aca="false">IF(K299="",0,IF(K299="Floating",Strats!$C$10+M299,L299))</f>
        <v>0</v>
      </c>
      <c r="AJ299" s="68" t="str">
        <f aca="false">IF(OR(Z299="",Z299="Full Amortizing"),"",MAX(J299-AH299,0))</f>
        <v/>
      </c>
      <c r="AK299" s="69" t="n">
        <f aca="false">IF(K299="",0,IF(K299="Floating",IF(P299&lt;&gt;"",MIN(IF(Q299&lt;&gt;"",MAX((Strats!$C$10+Strats!$C$11+M299),Q299),(Strats!$C$10+Strats!$C$11+M299)),P299),IF(Q299&lt;&gt;"",MAX((Strats!$C$10+Strats!$C$11+M299),Q299),(Strats!$C$10+Strats!$C$11+M299))),AI299))</f>
        <v>0</v>
      </c>
      <c r="AL299" s="68" t="str">
        <f aca="false">IF(OR(E299="",E299&lt;&gt;'Deal Strat'!$C$12,R299=""),"",SUMPRODUCT((E$4:E$303='Deal Strat'!$C$12)*(R$4:R$303&gt;R299))+1+SUMPRODUCT((E$4:E$303='Deal Strat'!$C$12)*(R$4:R$303=R299)*(ROW(R$4:R$303)&lt;ROW(R299))))</f>
        <v/>
      </c>
      <c r="AM299" s="68" t="str">
        <f aca="false">IF(R299="","",RANK(R299,$R$4:$R$303,0)+COUNTIF($R$4:R299,R299)-1)</f>
        <v/>
      </c>
      <c r="AN299" s="26" t="n">
        <f aca="false">IF(OR($A299="",$R299=""),0,IF(Deal_Scope="All Deals",1,IF($E299=Deal_Scope,1,0)))</f>
        <v>0</v>
      </c>
      <c r="AO299" s="56" t="n">
        <f aca="false">IF($AN299=0,0,Px_Par)</f>
        <v>0</v>
      </c>
      <c r="AP299" s="70" t="n">
        <f aca="false">IF($H299="",0,MAX(0,($H299-Set_Date)/30.4375))</f>
        <v>0</v>
      </c>
      <c r="AQ299" s="26" t="n">
        <f aca="false">IF(AND(Ext_Flag="Yes",$AA299="Yes"),Ext_Months,0)</f>
        <v>0</v>
      </c>
      <c r="AR299" s="70" t="n">
        <f aca="false">$AP299+$AQ299</f>
        <v>0</v>
      </c>
      <c r="AS299" s="70" t="n">
        <f aca="false">$AR299/12</f>
        <v>0</v>
      </c>
      <c r="AT299" s="70" t="n">
        <f aca="false">IF($AJ299="",0,MAX(0,$AJ299/12))</f>
        <v>0</v>
      </c>
      <c r="AU299" s="70" t="n">
        <f aca="false">MAX(Amort_Min,Amort_Term-$AH299/12)</f>
        <v>30</v>
      </c>
      <c r="AV299" s="70" t="n">
        <f aca="false">MIN($AS299,Hold_Yrs)</f>
        <v>0</v>
      </c>
      <c r="AW299" s="26" t="n">
        <f aca="false">IF($AN299=0,0,CEILING(MAX($AS299,0.0001),1))</f>
        <v>0</v>
      </c>
      <c r="AX299" s="26" t="n">
        <f aca="false">IF(AND($AN299=1,MAX($AS299,0.0001)&lt;=Hold_Yrs),1,0)</f>
        <v>0</v>
      </c>
      <c r="AY299" s="71" t="n">
        <f aca="false">$R299*$AO299</f>
        <v>0</v>
      </c>
      <c r="AZ299" s="71" t="n">
        <f aca="false">$R299*Acc_Int*$AN299</f>
        <v>0</v>
      </c>
      <c r="BA299" s="71" t="n">
        <f aca="false">$AY299*Acq_Cost</f>
        <v>0</v>
      </c>
      <c r="BB299" s="71" t="n">
        <f aca="false">$AY299+$AZ299+$BA299</f>
        <v>0</v>
      </c>
      <c r="BC299" s="71" t="n">
        <f aca="false">IF(Fin_Flag="Yes",$AY299*Adv_Rate,0)</f>
        <v>0</v>
      </c>
      <c r="BD299" s="71" t="n">
        <f aca="false">$BC299*Fin_UpFee</f>
        <v>0</v>
      </c>
      <c r="BE299" s="71" t="n">
        <f aca="false">$BB299-$BC299+$BD299</f>
        <v>0</v>
      </c>
    </row>
    <row r="300" customFormat="false" ht="14.25" hidden="false" customHeight="false" outlineLevel="0" collapsed="false">
      <c r="A300" s="61"/>
      <c r="B300" s="62"/>
      <c r="C300" s="61"/>
      <c r="D300" s="61"/>
      <c r="E300" s="61"/>
      <c r="F300" s="63"/>
      <c r="G300" s="64"/>
      <c r="H300" s="64"/>
      <c r="I300" s="63"/>
      <c r="J300" s="63"/>
      <c r="K300" s="61"/>
      <c r="L300" s="65"/>
      <c r="M300" s="65"/>
      <c r="N300" s="61"/>
      <c r="O300" s="64"/>
      <c r="P300" s="65"/>
      <c r="Q300" s="65"/>
      <c r="R300" s="66"/>
      <c r="S300" s="65"/>
      <c r="T300" s="65"/>
      <c r="U300" s="67"/>
      <c r="V300" s="65"/>
      <c r="W300" s="65"/>
      <c r="X300" s="63"/>
      <c r="Y300" s="63"/>
      <c r="Z300" s="61"/>
      <c r="AA300" s="61"/>
      <c r="AB300" s="61"/>
      <c r="AC300" s="61"/>
      <c r="AD300" s="61"/>
      <c r="AE300" s="61"/>
      <c r="AF300" s="61"/>
      <c r="AG300" s="61"/>
      <c r="AH300" s="68" t="n">
        <f aca="false">IF(G300="",0,ROUND((Strats!$C$4-G300)/30.4375,1))</f>
        <v>0</v>
      </c>
      <c r="AI300" s="69" t="n">
        <f aca="false">IF(K300="",0,IF(K300="Floating",Strats!$C$10+M300,L300))</f>
        <v>0</v>
      </c>
      <c r="AJ300" s="68" t="str">
        <f aca="false">IF(OR(Z300="",Z300="Full Amortizing"),"",MAX(J300-AH300,0))</f>
        <v/>
      </c>
      <c r="AK300" s="69" t="n">
        <f aca="false">IF(K300="",0,IF(K300="Floating",IF(P300&lt;&gt;"",MIN(IF(Q300&lt;&gt;"",MAX((Strats!$C$10+Strats!$C$11+M300),Q300),(Strats!$C$10+Strats!$C$11+M300)),P300),IF(Q300&lt;&gt;"",MAX((Strats!$C$10+Strats!$C$11+M300),Q300),(Strats!$C$10+Strats!$C$11+M300))),AI300))</f>
        <v>0</v>
      </c>
      <c r="AL300" s="68" t="str">
        <f aca="false">IF(OR(E300="",E300&lt;&gt;'Deal Strat'!$C$12,R300=""),"",SUMPRODUCT((E$4:E$303='Deal Strat'!$C$12)*(R$4:R$303&gt;R300))+1+SUMPRODUCT((E$4:E$303='Deal Strat'!$C$12)*(R$4:R$303=R300)*(ROW(R$4:R$303)&lt;ROW(R300))))</f>
        <v/>
      </c>
      <c r="AM300" s="68" t="str">
        <f aca="false">IF(R300="","",RANK(R300,$R$4:$R$303,0)+COUNTIF($R$4:R300,R300)-1)</f>
        <v/>
      </c>
      <c r="AN300" s="26" t="n">
        <f aca="false">IF(OR($A300="",$R300=""),0,IF(Deal_Scope="All Deals",1,IF($E300=Deal_Scope,1,0)))</f>
        <v>0</v>
      </c>
      <c r="AO300" s="56" t="n">
        <f aca="false">IF($AN300=0,0,Px_Par)</f>
        <v>0</v>
      </c>
      <c r="AP300" s="70" t="n">
        <f aca="false">IF($H300="",0,MAX(0,($H300-Set_Date)/30.4375))</f>
        <v>0</v>
      </c>
      <c r="AQ300" s="26" t="n">
        <f aca="false">IF(AND(Ext_Flag="Yes",$AA300="Yes"),Ext_Months,0)</f>
        <v>0</v>
      </c>
      <c r="AR300" s="70" t="n">
        <f aca="false">$AP300+$AQ300</f>
        <v>0</v>
      </c>
      <c r="AS300" s="70" t="n">
        <f aca="false">$AR300/12</f>
        <v>0</v>
      </c>
      <c r="AT300" s="70" t="n">
        <f aca="false">IF($AJ300="",0,MAX(0,$AJ300/12))</f>
        <v>0</v>
      </c>
      <c r="AU300" s="70" t="n">
        <f aca="false">MAX(Amort_Min,Amort_Term-$AH300/12)</f>
        <v>30</v>
      </c>
      <c r="AV300" s="70" t="n">
        <f aca="false">MIN($AS300,Hold_Yrs)</f>
        <v>0</v>
      </c>
      <c r="AW300" s="26" t="n">
        <f aca="false">IF($AN300=0,0,CEILING(MAX($AS300,0.0001),1))</f>
        <v>0</v>
      </c>
      <c r="AX300" s="26" t="n">
        <f aca="false">IF(AND($AN300=1,MAX($AS300,0.0001)&lt;=Hold_Yrs),1,0)</f>
        <v>0</v>
      </c>
      <c r="AY300" s="71" t="n">
        <f aca="false">$R300*$AO300</f>
        <v>0</v>
      </c>
      <c r="AZ300" s="71" t="n">
        <f aca="false">$R300*Acc_Int*$AN300</f>
        <v>0</v>
      </c>
      <c r="BA300" s="71" t="n">
        <f aca="false">$AY300*Acq_Cost</f>
        <v>0</v>
      </c>
      <c r="BB300" s="71" t="n">
        <f aca="false">$AY300+$AZ300+$BA300</f>
        <v>0</v>
      </c>
      <c r="BC300" s="71" t="n">
        <f aca="false">IF(Fin_Flag="Yes",$AY300*Adv_Rate,0)</f>
        <v>0</v>
      </c>
      <c r="BD300" s="71" t="n">
        <f aca="false">$BC300*Fin_UpFee</f>
        <v>0</v>
      </c>
      <c r="BE300" s="71" t="n">
        <f aca="false">$BB300-$BC300+$BD300</f>
        <v>0</v>
      </c>
    </row>
    <row r="301" customFormat="false" ht="14.25" hidden="false" customHeight="false" outlineLevel="0" collapsed="false">
      <c r="A301" s="61"/>
      <c r="B301" s="62"/>
      <c r="C301" s="61"/>
      <c r="D301" s="61"/>
      <c r="E301" s="61"/>
      <c r="F301" s="63"/>
      <c r="G301" s="64"/>
      <c r="H301" s="64"/>
      <c r="I301" s="63"/>
      <c r="J301" s="63"/>
      <c r="K301" s="61"/>
      <c r="L301" s="65"/>
      <c r="M301" s="65"/>
      <c r="N301" s="61"/>
      <c r="O301" s="64"/>
      <c r="P301" s="65"/>
      <c r="Q301" s="65"/>
      <c r="R301" s="66"/>
      <c r="S301" s="65"/>
      <c r="T301" s="65"/>
      <c r="U301" s="67"/>
      <c r="V301" s="65"/>
      <c r="W301" s="65"/>
      <c r="X301" s="63"/>
      <c r="Y301" s="63"/>
      <c r="Z301" s="61"/>
      <c r="AA301" s="61"/>
      <c r="AB301" s="61"/>
      <c r="AC301" s="61"/>
      <c r="AD301" s="61"/>
      <c r="AE301" s="61"/>
      <c r="AF301" s="61"/>
      <c r="AG301" s="61"/>
      <c r="AH301" s="68" t="n">
        <f aca="false">IF(G301="",0,ROUND((Strats!$C$4-G301)/30.4375,1))</f>
        <v>0</v>
      </c>
      <c r="AI301" s="69" t="n">
        <f aca="false">IF(K301="",0,IF(K301="Floating",Strats!$C$10+M301,L301))</f>
        <v>0</v>
      </c>
      <c r="AJ301" s="68" t="str">
        <f aca="false">IF(OR(Z301="",Z301="Full Amortizing"),"",MAX(J301-AH301,0))</f>
        <v/>
      </c>
      <c r="AK301" s="69" t="n">
        <f aca="false">IF(K301="",0,IF(K301="Floating",IF(P301&lt;&gt;"",MIN(IF(Q301&lt;&gt;"",MAX((Strats!$C$10+Strats!$C$11+M301),Q301),(Strats!$C$10+Strats!$C$11+M301)),P301),IF(Q301&lt;&gt;"",MAX((Strats!$C$10+Strats!$C$11+M301),Q301),(Strats!$C$10+Strats!$C$11+M301))),AI301))</f>
        <v>0</v>
      </c>
      <c r="AL301" s="68" t="str">
        <f aca="false">IF(OR(E301="",E301&lt;&gt;'Deal Strat'!$C$12,R301=""),"",SUMPRODUCT((E$4:E$303='Deal Strat'!$C$12)*(R$4:R$303&gt;R301))+1+SUMPRODUCT((E$4:E$303='Deal Strat'!$C$12)*(R$4:R$303=R301)*(ROW(R$4:R$303)&lt;ROW(R301))))</f>
        <v/>
      </c>
      <c r="AM301" s="68" t="str">
        <f aca="false">IF(R301="","",RANK(R301,$R$4:$R$303,0)+COUNTIF($R$4:R301,R301)-1)</f>
        <v/>
      </c>
      <c r="AN301" s="26" t="n">
        <f aca="false">IF(OR($A301="",$R301=""),0,IF(Deal_Scope="All Deals",1,IF($E301=Deal_Scope,1,0)))</f>
        <v>0</v>
      </c>
      <c r="AO301" s="56" t="n">
        <f aca="false">IF($AN301=0,0,Px_Par)</f>
        <v>0</v>
      </c>
      <c r="AP301" s="70" t="n">
        <f aca="false">IF($H301="",0,MAX(0,($H301-Set_Date)/30.4375))</f>
        <v>0</v>
      </c>
      <c r="AQ301" s="26" t="n">
        <f aca="false">IF(AND(Ext_Flag="Yes",$AA301="Yes"),Ext_Months,0)</f>
        <v>0</v>
      </c>
      <c r="AR301" s="70" t="n">
        <f aca="false">$AP301+$AQ301</f>
        <v>0</v>
      </c>
      <c r="AS301" s="70" t="n">
        <f aca="false">$AR301/12</f>
        <v>0</v>
      </c>
      <c r="AT301" s="70" t="n">
        <f aca="false">IF($AJ301="",0,MAX(0,$AJ301/12))</f>
        <v>0</v>
      </c>
      <c r="AU301" s="70" t="n">
        <f aca="false">MAX(Amort_Min,Amort_Term-$AH301/12)</f>
        <v>30</v>
      </c>
      <c r="AV301" s="70" t="n">
        <f aca="false">MIN($AS301,Hold_Yrs)</f>
        <v>0</v>
      </c>
      <c r="AW301" s="26" t="n">
        <f aca="false">IF($AN301=0,0,CEILING(MAX($AS301,0.0001),1))</f>
        <v>0</v>
      </c>
      <c r="AX301" s="26" t="n">
        <f aca="false">IF(AND($AN301=1,MAX($AS301,0.0001)&lt;=Hold_Yrs),1,0)</f>
        <v>0</v>
      </c>
      <c r="AY301" s="71" t="n">
        <f aca="false">$R301*$AO301</f>
        <v>0</v>
      </c>
      <c r="AZ301" s="71" t="n">
        <f aca="false">$R301*Acc_Int*$AN301</f>
        <v>0</v>
      </c>
      <c r="BA301" s="71" t="n">
        <f aca="false">$AY301*Acq_Cost</f>
        <v>0</v>
      </c>
      <c r="BB301" s="71" t="n">
        <f aca="false">$AY301+$AZ301+$BA301</f>
        <v>0</v>
      </c>
      <c r="BC301" s="71" t="n">
        <f aca="false">IF(Fin_Flag="Yes",$AY301*Adv_Rate,0)</f>
        <v>0</v>
      </c>
      <c r="BD301" s="71" t="n">
        <f aca="false">$BC301*Fin_UpFee</f>
        <v>0</v>
      </c>
      <c r="BE301" s="71" t="n">
        <f aca="false">$BB301-$BC301+$BD301</f>
        <v>0</v>
      </c>
    </row>
    <row r="302" customFormat="false" ht="14.25" hidden="false" customHeight="false" outlineLevel="0" collapsed="false">
      <c r="A302" s="61"/>
      <c r="B302" s="62"/>
      <c r="C302" s="61"/>
      <c r="D302" s="61"/>
      <c r="E302" s="61"/>
      <c r="F302" s="63"/>
      <c r="G302" s="64"/>
      <c r="H302" s="64"/>
      <c r="I302" s="63"/>
      <c r="J302" s="63"/>
      <c r="K302" s="61"/>
      <c r="L302" s="65"/>
      <c r="M302" s="65"/>
      <c r="N302" s="61"/>
      <c r="O302" s="64"/>
      <c r="P302" s="65"/>
      <c r="Q302" s="65"/>
      <c r="R302" s="66"/>
      <c r="S302" s="65"/>
      <c r="T302" s="65"/>
      <c r="U302" s="67"/>
      <c r="V302" s="65"/>
      <c r="W302" s="65"/>
      <c r="X302" s="63"/>
      <c r="Y302" s="63"/>
      <c r="Z302" s="61"/>
      <c r="AA302" s="61"/>
      <c r="AB302" s="61"/>
      <c r="AC302" s="61"/>
      <c r="AD302" s="61"/>
      <c r="AE302" s="61"/>
      <c r="AF302" s="61"/>
      <c r="AG302" s="61"/>
      <c r="AH302" s="68" t="n">
        <f aca="false">IF(G302="",0,ROUND((Strats!$C$4-G302)/30.4375,1))</f>
        <v>0</v>
      </c>
      <c r="AI302" s="69" t="n">
        <f aca="false">IF(K302="",0,IF(K302="Floating",Strats!$C$10+M302,L302))</f>
        <v>0</v>
      </c>
      <c r="AJ302" s="68" t="str">
        <f aca="false">IF(OR(Z302="",Z302="Full Amortizing"),"",MAX(J302-AH302,0))</f>
        <v/>
      </c>
      <c r="AK302" s="69" t="n">
        <f aca="false">IF(K302="",0,IF(K302="Floating",IF(P302&lt;&gt;"",MIN(IF(Q302&lt;&gt;"",MAX((Strats!$C$10+Strats!$C$11+M302),Q302),(Strats!$C$10+Strats!$C$11+M302)),P302),IF(Q302&lt;&gt;"",MAX((Strats!$C$10+Strats!$C$11+M302),Q302),(Strats!$C$10+Strats!$C$11+M302))),AI302))</f>
        <v>0</v>
      </c>
      <c r="AL302" s="68" t="str">
        <f aca="false">IF(OR(E302="",E302&lt;&gt;'Deal Strat'!$C$12,R302=""),"",SUMPRODUCT((E$4:E$303='Deal Strat'!$C$12)*(R$4:R$303&gt;R302))+1+SUMPRODUCT((E$4:E$303='Deal Strat'!$C$12)*(R$4:R$303=R302)*(ROW(R$4:R$303)&lt;ROW(R302))))</f>
        <v/>
      </c>
      <c r="AM302" s="68" t="str">
        <f aca="false">IF(R302="","",RANK(R302,$R$4:$R$303,0)+COUNTIF($R$4:R302,R302)-1)</f>
        <v/>
      </c>
      <c r="AN302" s="26" t="n">
        <f aca="false">IF(OR($A302="",$R302=""),0,IF(Deal_Scope="All Deals",1,IF($E302=Deal_Scope,1,0)))</f>
        <v>0</v>
      </c>
      <c r="AO302" s="56" t="n">
        <f aca="false">IF($AN302=0,0,Px_Par)</f>
        <v>0</v>
      </c>
      <c r="AP302" s="70" t="n">
        <f aca="false">IF($H302="",0,MAX(0,($H302-Set_Date)/30.4375))</f>
        <v>0</v>
      </c>
      <c r="AQ302" s="26" t="n">
        <f aca="false">IF(AND(Ext_Flag="Yes",$AA302="Yes"),Ext_Months,0)</f>
        <v>0</v>
      </c>
      <c r="AR302" s="70" t="n">
        <f aca="false">$AP302+$AQ302</f>
        <v>0</v>
      </c>
      <c r="AS302" s="70" t="n">
        <f aca="false">$AR302/12</f>
        <v>0</v>
      </c>
      <c r="AT302" s="70" t="n">
        <f aca="false">IF($AJ302="",0,MAX(0,$AJ302/12))</f>
        <v>0</v>
      </c>
      <c r="AU302" s="70" t="n">
        <f aca="false">MAX(Amort_Min,Amort_Term-$AH302/12)</f>
        <v>30</v>
      </c>
      <c r="AV302" s="70" t="n">
        <f aca="false">MIN($AS302,Hold_Yrs)</f>
        <v>0</v>
      </c>
      <c r="AW302" s="26" t="n">
        <f aca="false">IF($AN302=0,0,CEILING(MAX($AS302,0.0001),1))</f>
        <v>0</v>
      </c>
      <c r="AX302" s="26" t="n">
        <f aca="false">IF(AND($AN302=1,MAX($AS302,0.0001)&lt;=Hold_Yrs),1,0)</f>
        <v>0</v>
      </c>
      <c r="AY302" s="71" t="n">
        <f aca="false">$R302*$AO302</f>
        <v>0</v>
      </c>
      <c r="AZ302" s="71" t="n">
        <f aca="false">$R302*Acc_Int*$AN302</f>
        <v>0</v>
      </c>
      <c r="BA302" s="71" t="n">
        <f aca="false">$AY302*Acq_Cost</f>
        <v>0</v>
      </c>
      <c r="BB302" s="71" t="n">
        <f aca="false">$AY302+$AZ302+$BA302</f>
        <v>0</v>
      </c>
      <c r="BC302" s="71" t="n">
        <f aca="false">IF(Fin_Flag="Yes",$AY302*Adv_Rate,0)</f>
        <v>0</v>
      </c>
      <c r="BD302" s="71" t="n">
        <f aca="false">$BC302*Fin_UpFee</f>
        <v>0</v>
      </c>
      <c r="BE302" s="71" t="n">
        <f aca="false">$BB302-$BC302+$BD302</f>
        <v>0</v>
      </c>
    </row>
    <row r="303" customFormat="false" ht="14.25" hidden="false" customHeight="false" outlineLevel="0" collapsed="false">
      <c r="A303" s="61"/>
      <c r="B303" s="62"/>
      <c r="C303" s="61"/>
      <c r="D303" s="61"/>
      <c r="E303" s="61"/>
      <c r="F303" s="63"/>
      <c r="G303" s="64"/>
      <c r="H303" s="64"/>
      <c r="I303" s="63"/>
      <c r="J303" s="63"/>
      <c r="K303" s="61"/>
      <c r="L303" s="65"/>
      <c r="M303" s="65"/>
      <c r="N303" s="61"/>
      <c r="O303" s="64"/>
      <c r="P303" s="65"/>
      <c r="Q303" s="65"/>
      <c r="R303" s="66"/>
      <c r="S303" s="65"/>
      <c r="T303" s="65"/>
      <c r="U303" s="67"/>
      <c r="V303" s="65"/>
      <c r="W303" s="65"/>
      <c r="X303" s="63"/>
      <c r="Y303" s="63"/>
      <c r="Z303" s="61"/>
      <c r="AA303" s="61"/>
      <c r="AB303" s="61"/>
      <c r="AC303" s="61"/>
      <c r="AD303" s="61"/>
      <c r="AE303" s="61"/>
      <c r="AF303" s="61"/>
      <c r="AG303" s="61"/>
      <c r="AH303" s="68" t="n">
        <f aca="false">IF(G303="",0,ROUND((Strats!$C$4-G303)/30.4375,1))</f>
        <v>0</v>
      </c>
      <c r="AI303" s="69" t="n">
        <f aca="false">IF(K303="",0,IF(K303="Floating",Strats!$C$10+M303,L303))</f>
        <v>0</v>
      </c>
      <c r="AJ303" s="68" t="str">
        <f aca="false">IF(OR(Z303="",Z303="Full Amortizing"),"",MAX(J303-AH303,0))</f>
        <v/>
      </c>
      <c r="AK303" s="69" t="n">
        <f aca="false">IF(K303="",0,IF(K303="Floating",IF(P303&lt;&gt;"",MIN(IF(Q303&lt;&gt;"",MAX((Strats!$C$10+Strats!$C$11+M303),Q303),(Strats!$C$10+Strats!$C$11+M303)),P303),IF(Q303&lt;&gt;"",MAX((Strats!$C$10+Strats!$C$11+M303),Q303),(Strats!$C$10+Strats!$C$11+M303))),AI303))</f>
        <v>0</v>
      </c>
      <c r="AL303" s="68" t="str">
        <f aca="false">IF(OR(E303="",E303&lt;&gt;'Deal Strat'!$C$12,R303=""),"",SUMPRODUCT((E$4:E$303='Deal Strat'!$C$12)*(R$4:R$303&gt;R303))+1+SUMPRODUCT((E$4:E$303='Deal Strat'!$C$12)*(R$4:R$303=R303)*(ROW(R$4:R$303)&lt;ROW(R303))))</f>
        <v/>
      </c>
      <c r="AM303" s="68" t="str">
        <f aca="false">IF(R303="","",RANK(R303,$R$4:$R$303,0)+COUNTIF($R$4:R303,R303)-1)</f>
        <v/>
      </c>
      <c r="AN303" s="26" t="n">
        <f aca="false">IF(OR($A303="",$R303=""),0,IF(Deal_Scope="All Deals",1,IF($E303=Deal_Scope,1,0)))</f>
        <v>0</v>
      </c>
      <c r="AO303" s="56" t="n">
        <f aca="false">IF($AN303=0,0,Px_Par)</f>
        <v>0</v>
      </c>
      <c r="AP303" s="70" t="n">
        <f aca="false">IF($H303="",0,MAX(0,($H303-Set_Date)/30.4375))</f>
        <v>0</v>
      </c>
      <c r="AQ303" s="26" t="n">
        <f aca="false">IF(AND(Ext_Flag="Yes",$AA303="Yes"),Ext_Months,0)</f>
        <v>0</v>
      </c>
      <c r="AR303" s="70" t="n">
        <f aca="false">$AP303+$AQ303</f>
        <v>0</v>
      </c>
      <c r="AS303" s="70" t="n">
        <f aca="false">$AR303/12</f>
        <v>0</v>
      </c>
      <c r="AT303" s="70" t="n">
        <f aca="false">IF($AJ303="",0,MAX(0,$AJ303/12))</f>
        <v>0</v>
      </c>
      <c r="AU303" s="70" t="n">
        <f aca="false">MAX(Amort_Min,Amort_Term-$AH303/12)</f>
        <v>30</v>
      </c>
      <c r="AV303" s="70" t="n">
        <f aca="false">MIN($AS303,Hold_Yrs)</f>
        <v>0</v>
      </c>
      <c r="AW303" s="26" t="n">
        <f aca="false">IF($AN303=0,0,CEILING(MAX($AS303,0.0001),1))</f>
        <v>0</v>
      </c>
      <c r="AX303" s="26" t="n">
        <f aca="false">IF(AND($AN303=1,MAX($AS303,0.0001)&lt;=Hold_Yrs),1,0)</f>
        <v>0</v>
      </c>
      <c r="AY303" s="71" t="n">
        <f aca="false">$R303*$AO303</f>
        <v>0</v>
      </c>
      <c r="AZ303" s="71" t="n">
        <f aca="false">$R303*Acc_Int*$AN303</f>
        <v>0</v>
      </c>
      <c r="BA303" s="71" t="n">
        <f aca="false">$AY303*Acq_Cost</f>
        <v>0</v>
      </c>
      <c r="BB303" s="71" t="n">
        <f aca="false">$AY303+$AZ303+$BA303</f>
        <v>0</v>
      </c>
      <c r="BC303" s="71" t="n">
        <f aca="false">IF(Fin_Flag="Yes",$AY303*Adv_Rate,0)</f>
        <v>0</v>
      </c>
      <c r="BD303" s="71" t="n">
        <f aca="false">$BC303*Fin_UpFee</f>
        <v>0</v>
      </c>
      <c r="BE303" s="71" t="n">
        <f aca="false">$BB303-$BC303+$BD303</f>
        <v>0</v>
      </c>
    </row>
  </sheetData>
  <mergeCells count="1">
    <mergeCell ref="A2:A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F51"/>
    <pageSetUpPr fitToPage="false"/>
  </sheetPr>
  <dimension ref="B1:S3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 activeCellId="0" sqref="A3"/>
    </sheetView>
  </sheetViews>
  <sheetFormatPr defaultColWidth="8.5390625" defaultRowHeight="14.2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16" min="3" style="0" width="12.63"/>
    <col collapsed="false" customWidth="true" hidden="false" outlineLevel="0" max="17" min="17" style="0" width="2"/>
    <col collapsed="false" customWidth="true" hidden="false" outlineLevel="0" max="19" min="18" style="0" width="11"/>
  </cols>
  <sheetData>
    <row r="1" customFormat="false" ht="14.25" hidden="false" customHeight="false" outlineLevel="0" collapsed="false">
      <c r="R1" s="72" t="s">
        <v>362</v>
      </c>
    </row>
    <row r="2" customFormat="false" ht="19.5" hidden="false" customHeight="true" outlineLevel="0" collapsed="false">
      <c r="B2" s="5" t="s">
        <v>363</v>
      </c>
      <c r="C2" s="5"/>
      <c r="D2" s="5"/>
      <c r="E2" s="5"/>
      <c r="F2" s="5"/>
      <c r="G2" s="5"/>
      <c r="H2" s="5"/>
      <c r="I2" s="5"/>
      <c r="J2" s="5"/>
      <c r="K2" s="5"/>
      <c r="L2" s="5"/>
      <c r="M2" s="5"/>
      <c r="N2" s="5"/>
      <c r="O2" s="5"/>
      <c r="P2" s="5"/>
    </row>
    <row r="4" customFormat="false" ht="14.25" hidden="false" customHeight="false" outlineLevel="0" collapsed="false">
      <c r="B4" s="31" t="s">
        <v>364</v>
      </c>
      <c r="C4" s="73" t="n">
        <f aca="false">Set_Date</f>
        <v>46295</v>
      </c>
      <c r="D4" s="31" t="s">
        <v>365</v>
      </c>
      <c r="E4" s="74" t="n">
        <f aca="false">IFERROR(SUMPRODUCT('Loan Tape'!$S$4:$S$303*'Loan Tape'!$R$4:$R$303)/C5,0)</f>
        <v>0.886687142221741</v>
      </c>
    </row>
    <row r="5" customFormat="false" ht="14.25" hidden="false" customHeight="false" outlineLevel="0" collapsed="false">
      <c r="B5" s="31" t="s">
        <v>366</v>
      </c>
      <c r="C5" s="75" t="n">
        <f aca="false">SUM('Loan Tape'!$R$4:$R$303)</f>
        <v>2495610000</v>
      </c>
      <c r="D5" s="31" t="s">
        <v>367</v>
      </c>
      <c r="E5" s="74" t="n">
        <f aca="false">IFERROR(SUMPRODUCT('Loan Tape'!$T$4:$T$303*'Loan Tape'!$R$4:$R$303)/C5,0)</f>
        <v>0.0861540568438177</v>
      </c>
    </row>
    <row r="6" customFormat="false" ht="14.25" hidden="false" customHeight="false" outlineLevel="0" collapsed="false">
      <c r="B6" s="31" t="s">
        <v>368</v>
      </c>
      <c r="C6" s="76" t="n">
        <f aca="false">COUNT('Loan Tape'!$R$4:$R$303)</f>
        <v>50</v>
      </c>
      <c r="D6" s="31" t="s">
        <v>369</v>
      </c>
      <c r="E6" s="77" t="n">
        <f aca="false">IFERROR(SUMPRODUCT('Loan Tape'!$U$4:$U$303*'Loan Tape'!$R$4:$R$303)/C5,0)</f>
        <v>1.36575944157941</v>
      </c>
    </row>
    <row r="7" customFormat="false" ht="14.25" hidden="false" customHeight="false" outlineLevel="0" collapsed="false">
      <c r="B7" s="31" t="s">
        <v>370</v>
      </c>
      <c r="C7" s="75" t="n">
        <f aca="false">IFERROR(C5/C6,0)</f>
        <v>49912200</v>
      </c>
      <c r="D7" s="31" t="s">
        <v>371</v>
      </c>
      <c r="E7" s="74" t="n">
        <f aca="false">IFERROR(SUMPRODUCT('Loan Tape'!$V$4:$V$303*'Loan Tape'!$R$4:$R$303)/C5,0)</f>
        <v>0.683559256454334</v>
      </c>
    </row>
    <row r="8" customFormat="false" ht="14.25" hidden="false" customHeight="false" outlineLevel="0" collapsed="false">
      <c r="B8" s="31" t="s">
        <v>372</v>
      </c>
      <c r="C8" s="74" t="n">
        <f aca="false">IFERROR(SUMPRODUCT('Loan Tape'!$AI$4:$AI$303*'Loan Tape'!$R$4:$R$303)/C5,0)</f>
        <v>0.0704574522862146</v>
      </c>
      <c r="D8" s="31" t="s">
        <v>373</v>
      </c>
      <c r="E8" s="74" t="n">
        <f aca="false">IFERROR(SUMPRODUCT('Loan Tape'!$W$4:$W$303*'Loan Tape'!$R$4:$R$303)/C5,0)</f>
        <v>0.716164459190338</v>
      </c>
    </row>
    <row r="9" customFormat="false" ht="14.25" hidden="false" customHeight="false" outlineLevel="0" collapsed="false">
      <c r="B9" s="31" t="s">
        <v>374</v>
      </c>
      <c r="C9" s="76" t="n">
        <f aca="false">IFERROR(SUMPRODUCT('Loan Tape'!$I$4:$I$303*'Loan Tape'!$R$4:$R$303)/C5,0)</f>
        <v>94.1550823245619</v>
      </c>
      <c r="D9" s="31" t="s">
        <v>375</v>
      </c>
      <c r="E9" s="78" t="str">
        <f aca="false">IFERROR(TEXT(SUMIF('Loan Tape'!$K$4:$K$303,"Floating",'Loan Tape'!$R$4:$R$303)/C5,"0.0%"),"0.0%")&amp;" / "&amp;IFERROR(TEXT(SUMIF('Loan Tape'!$K$4:$K$303,"Fixed",'Loan Tape'!$R$4:$R$303)/C5,"0.0%"),"0.0%")</f>
        <v>66.4% / 33.6%</v>
      </c>
    </row>
    <row r="10" customFormat="false" ht="14.25" hidden="false" customHeight="false" outlineLevel="0" collapsed="false">
      <c r="B10" s="31" t="s">
        <v>376</v>
      </c>
      <c r="C10" s="79" t="n">
        <f aca="false">INDEX(Idx_Curve,1,1)</f>
        <v>0.045</v>
      </c>
      <c r="D10" s="31" t="s">
        <v>377</v>
      </c>
      <c r="E10" s="74" t="n">
        <f aca="false">IFERROR(SUMPRODUCT('Loan Tape'!$AK$4:$AK$303*'Loan Tape'!$R$4:$R$303)/C5,0)</f>
        <v>0.0792103169165054</v>
      </c>
    </row>
    <row r="11" customFormat="false" ht="14.25" hidden="false" customHeight="false" outlineLevel="0" collapsed="false">
      <c r="B11" s="31" t="s">
        <v>378</v>
      </c>
      <c r="C11" s="80" t="n">
        <v>0.015</v>
      </c>
      <c r="D11" s="31" t="s">
        <v>379</v>
      </c>
      <c r="E11" s="76" t="n">
        <f aca="false">(E10-C8)*10000</f>
        <v>87.5286463029079</v>
      </c>
    </row>
    <row r="12" customFormat="false" ht="14.25" hidden="false" customHeight="false" outlineLevel="0" collapsed="false">
      <c r="B12" s="31" t="s">
        <v>380</v>
      </c>
      <c r="C12" s="81" t="s">
        <v>381</v>
      </c>
    </row>
    <row r="15" customFormat="false" ht="19.5" hidden="false" customHeight="true" outlineLevel="0" collapsed="false">
      <c r="B15" s="5" t="s">
        <v>382</v>
      </c>
      <c r="C15" s="5"/>
      <c r="D15" s="5"/>
      <c r="E15" s="5"/>
      <c r="F15" s="5"/>
      <c r="G15" s="5"/>
      <c r="H15" s="5"/>
      <c r="I15" s="5"/>
    </row>
    <row r="16" customFormat="false" ht="14.25" hidden="false" customHeight="false" outlineLevel="0" collapsed="false">
      <c r="B16" s="82" t="s">
        <v>383</v>
      </c>
      <c r="C16" s="83" t="s">
        <v>150</v>
      </c>
      <c r="D16" s="83" t="s">
        <v>384</v>
      </c>
      <c r="E16" s="83" t="s">
        <v>385</v>
      </c>
      <c r="F16" s="83" t="s">
        <v>386</v>
      </c>
      <c r="G16" s="83" t="s">
        <v>387</v>
      </c>
      <c r="H16" s="83" t="s">
        <v>388</v>
      </c>
      <c r="I16" s="83" t="s">
        <v>389</v>
      </c>
    </row>
    <row r="17" customFormat="false" ht="14.25" hidden="false" customHeight="false" outlineLevel="0" collapsed="false">
      <c r="B17" s="7" t="str">
        <f aca="false">IFERROR(INDEX('Loan Tape'!$B$4:$B$303,MATCH(1,'Loan Tape'!$AM$4:$AM$303,0)),"")</f>
        <v>Kingston Exchange</v>
      </c>
      <c r="C17" s="17" t="str">
        <f aca="false">IFERROR(INDEX('Loan Tape'!$C$4:$C$303,MATCH(1,'Loan Tape'!$AM$4:$AM$303,0)),"")</f>
        <v>FL</v>
      </c>
      <c r="D17" s="17" t="str">
        <f aca="false">IFERROR(INDEX('Loan Tape'!$E$4:$E$303,MATCH(1,'Loan Tape'!$AM$4:$AM$303,0)),"")</f>
        <v>Deal 3</v>
      </c>
      <c r="E17" s="84" t="n">
        <f aca="false">IFERROR(INDEX('Loan Tape'!$R$4:$R$303,MATCH(1,'Loan Tape'!$AM$4:$AM$303,0)),"")</f>
        <v>139731000</v>
      </c>
      <c r="F17" s="69" t="n">
        <f aca="false">IFERROR(E17/C5,"")</f>
        <v>0.0559907197037999</v>
      </c>
      <c r="G17" s="85" t="n">
        <f aca="false">IFERROR(INDEX('Loan Tape'!$U$4:$U$303,MATCH(1,'Loan Tape'!$AM$4:$AM$303,0)),"")</f>
        <v>1.43</v>
      </c>
      <c r="H17" s="69" t="n">
        <f aca="false">IFERROR(INDEX('Loan Tape'!$T$4:$T$303,MATCH(1,'Loan Tape'!$AM$4:$AM$303,0)),"")</f>
        <v>0.0733</v>
      </c>
      <c r="I17" s="69" t="n">
        <f aca="false">IFERROR(INDEX('Loan Tape'!$V$4:$V$303,MATCH(1,'Loan Tape'!$AM$4:$AM$303,0)),"")</f>
        <v>0.772</v>
      </c>
    </row>
    <row r="18" customFormat="false" ht="14.25" hidden="false" customHeight="false" outlineLevel="0" collapsed="false">
      <c r="B18" s="7" t="str">
        <f aca="false">IFERROR(INDEX('Loan Tape'!$B$4:$B$303,MATCH(2,'Loan Tape'!$AM$4:$AM$303,0)),"")</f>
        <v>Palisades Exchange</v>
      </c>
      <c r="C18" s="17" t="str">
        <f aca="false">IFERROR(INDEX('Loan Tape'!$C$4:$C$303,MATCH(2,'Loan Tape'!$AM$4:$AM$303,0)),"")</f>
        <v>TX</v>
      </c>
      <c r="D18" s="17" t="str">
        <f aca="false">IFERROR(INDEX('Loan Tape'!$E$4:$E$303,MATCH(2,'Loan Tape'!$AM$4:$AM$303,0)),"")</f>
        <v>Deal 7</v>
      </c>
      <c r="E18" s="84" t="n">
        <f aca="false">IFERROR(INDEX('Loan Tape'!$R$4:$R$303,MATCH(2,'Loan Tape'!$AM$4:$AM$303,0)),"")</f>
        <v>131786000</v>
      </c>
      <c r="F18" s="69" t="n">
        <f aca="false">IFERROR(E18/C5,"")</f>
        <v>0.0528071293190843</v>
      </c>
      <c r="G18" s="85" t="n">
        <f aca="false">IFERROR(INDEX('Loan Tape'!$U$4:$U$303,MATCH(2,'Loan Tape'!$AM$4:$AM$303,0)),"")</f>
        <v>1.69</v>
      </c>
      <c r="H18" s="69" t="n">
        <f aca="false">IFERROR(INDEX('Loan Tape'!$T$4:$T$303,MATCH(2,'Loan Tape'!$AM$4:$AM$303,0)),"")</f>
        <v>0.1044</v>
      </c>
      <c r="I18" s="69" t="n">
        <f aca="false">IFERROR(INDEX('Loan Tape'!$V$4:$V$303,MATCH(2,'Loan Tape'!$AM$4:$AM$303,0)),"")</f>
        <v>0.78</v>
      </c>
    </row>
    <row r="19" customFormat="false" ht="14.25" hidden="false" customHeight="false" outlineLevel="0" collapsed="false">
      <c r="B19" s="7" t="str">
        <f aca="false">IFERROR(INDEX('Loan Tape'!$B$4:$B$303,MATCH(3,'Loan Tape'!$AM$4:$AM$303,0)),"")</f>
        <v>Glenwood Landing</v>
      </c>
      <c r="C19" s="17" t="str">
        <f aca="false">IFERROR(INDEX('Loan Tape'!$C$4:$C$303,MATCH(3,'Loan Tape'!$AM$4:$AM$303,0)),"")</f>
        <v>NV</v>
      </c>
      <c r="D19" s="17" t="str">
        <f aca="false">IFERROR(INDEX('Loan Tape'!$E$4:$E$303,MATCH(3,'Loan Tape'!$AM$4:$AM$303,0)),"")</f>
        <v>Deal 8</v>
      </c>
      <c r="E19" s="84" t="n">
        <f aca="false">IFERROR(INDEX('Loan Tape'!$R$4:$R$303,MATCH(3,'Loan Tape'!$AM$4:$AM$303,0)),"")</f>
        <v>128291000</v>
      </c>
      <c r="F19" s="69" t="n">
        <f aca="false">IFERROR(E19/C5,"")</f>
        <v>0.0514066701127179</v>
      </c>
      <c r="G19" s="85" t="n">
        <f aca="false">IFERROR(INDEX('Loan Tape'!$U$4:$U$303,MATCH(3,'Loan Tape'!$AM$4:$AM$303,0)),"")</f>
        <v>1.98</v>
      </c>
      <c r="H19" s="69" t="n">
        <f aca="false">IFERROR(INDEX('Loan Tape'!$T$4:$T$303,MATCH(3,'Loan Tape'!$AM$4:$AM$303,0)),"")</f>
        <v>0.095</v>
      </c>
      <c r="I19" s="69" t="n">
        <f aca="false">IFERROR(INDEX('Loan Tape'!$V$4:$V$303,MATCH(3,'Loan Tape'!$AM$4:$AM$303,0)),"")</f>
        <v>0.693</v>
      </c>
    </row>
    <row r="20" customFormat="false" ht="14.25" hidden="false" customHeight="false" outlineLevel="0" collapsed="false">
      <c r="B20" s="7" t="str">
        <f aca="false">IFERROR(INDEX('Loan Tape'!$B$4:$B$303,MATCH(4,'Loan Tape'!$AM$4:$AM$303,0)),"")</f>
        <v>Foxhollow Warehouse</v>
      </c>
      <c r="C20" s="17" t="str">
        <f aca="false">IFERROR(INDEX('Loan Tape'!$C$4:$C$303,MATCH(4,'Loan Tape'!$AM$4:$AM$303,0)),"")</f>
        <v>AZ</v>
      </c>
      <c r="D20" s="17" t="str">
        <f aca="false">IFERROR(INDEX('Loan Tape'!$E$4:$E$303,MATCH(4,'Loan Tape'!$AM$4:$AM$303,0)),"")</f>
        <v>Deal 1</v>
      </c>
      <c r="E20" s="84" t="n">
        <f aca="false">IFERROR(INDEX('Loan Tape'!$R$4:$R$303,MATCH(4,'Loan Tape'!$AM$4:$AM$303,0)),"")</f>
        <v>120313000</v>
      </c>
      <c r="F20" s="69" t="n">
        <f aca="false">IFERROR(E20/C5,"")</f>
        <v>0.0482098565080281</v>
      </c>
      <c r="G20" s="85" t="n">
        <f aca="false">IFERROR(INDEX('Loan Tape'!$U$4:$U$303,MATCH(4,'Loan Tape'!$AM$4:$AM$303,0)),"")</f>
        <v>1.38</v>
      </c>
      <c r="H20" s="69" t="n">
        <f aca="false">IFERROR(INDEX('Loan Tape'!$T$4:$T$303,MATCH(4,'Loan Tape'!$AM$4:$AM$303,0)),"")</f>
        <v>0.0814</v>
      </c>
      <c r="I20" s="69" t="n">
        <f aca="false">IFERROR(INDEX('Loan Tape'!$V$4:$V$303,MATCH(4,'Loan Tape'!$AM$4:$AM$303,0)),"")</f>
        <v>0.663</v>
      </c>
    </row>
    <row r="21" customFormat="false" ht="14.25" hidden="false" customHeight="false" outlineLevel="0" collapsed="false">
      <c r="B21" s="7" t="str">
        <f aca="false">IFERROR(INDEX('Loan Tape'!$B$4:$B$303,MATCH(5,'Loan Tape'!$AM$4:$AM$303,0)),"")</f>
        <v>Deerfield Terrace</v>
      </c>
      <c r="C21" s="17" t="str">
        <f aca="false">IFERROR(INDEX('Loan Tape'!$C$4:$C$303,MATCH(5,'Loan Tape'!$AM$4:$AM$303,0)),"")</f>
        <v>CO</v>
      </c>
      <c r="D21" s="17" t="str">
        <f aca="false">IFERROR(INDEX('Loan Tape'!$E$4:$E$303,MATCH(5,'Loan Tape'!$AM$4:$AM$303,0)),"")</f>
        <v>Deal 7</v>
      </c>
      <c r="E21" s="84" t="n">
        <f aca="false">IFERROR(INDEX('Loan Tape'!$R$4:$R$303,MATCH(5,'Loan Tape'!$AM$4:$AM$303,0)),"")</f>
        <v>119229000</v>
      </c>
      <c r="F21" s="69" t="n">
        <f aca="false">IFERROR(E21/C5,"")</f>
        <v>0.047775493767055</v>
      </c>
      <c r="G21" s="85" t="n">
        <f aca="false">IFERROR(INDEX('Loan Tape'!$U$4:$U$303,MATCH(5,'Loan Tape'!$AM$4:$AM$303,0)),"")</f>
        <v>1.41</v>
      </c>
      <c r="H21" s="69" t="n">
        <f aca="false">IFERROR(INDEX('Loan Tape'!$T$4:$T$303,MATCH(5,'Loan Tape'!$AM$4:$AM$303,0)),"")</f>
        <v>0.036</v>
      </c>
      <c r="I21" s="69" t="n">
        <f aca="false">IFERROR(INDEX('Loan Tape'!$V$4:$V$303,MATCH(5,'Loan Tape'!$AM$4:$AM$303,0)),"")</f>
        <v>0.931</v>
      </c>
    </row>
    <row r="22" customFormat="false" ht="14.25" hidden="false" customHeight="false" outlineLevel="0" collapsed="false">
      <c r="B22" s="7" t="str">
        <f aca="false">IFERROR(INDEX('Loan Tape'!$B$4:$B$303,MATCH(6,'Loan Tape'!$AM$4:$AM$303,0)),"")</f>
        <v>Pinehurst Plaza</v>
      </c>
      <c r="C22" s="17" t="str">
        <f aca="false">IFERROR(INDEX('Loan Tape'!$C$4:$C$303,MATCH(6,'Loan Tape'!$AM$4:$AM$303,0)),"")</f>
        <v>WA</v>
      </c>
      <c r="D22" s="17" t="str">
        <f aca="false">IFERROR(INDEX('Loan Tape'!$E$4:$E$303,MATCH(6,'Loan Tape'!$AM$4:$AM$303,0)),"")</f>
        <v>Deal 8</v>
      </c>
      <c r="E22" s="84" t="n">
        <f aca="false">IFERROR(INDEX('Loan Tape'!$R$4:$R$303,MATCH(6,'Loan Tape'!$AM$4:$AM$303,0)),"")</f>
        <v>117696000</v>
      </c>
      <c r="F22" s="69" t="n">
        <f aca="false">IFERROR(E22/C5,"")</f>
        <v>0.0471612150937045</v>
      </c>
      <c r="G22" s="85" t="n">
        <f aca="false">IFERROR(INDEX('Loan Tape'!$U$4:$U$303,MATCH(6,'Loan Tape'!$AM$4:$AM$303,0)),"")</f>
        <v>1.46</v>
      </c>
      <c r="H22" s="69" t="n">
        <f aca="false">IFERROR(INDEX('Loan Tape'!$T$4:$T$303,MATCH(6,'Loan Tape'!$AM$4:$AM$303,0)),"")</f>
        <v>0.0782</v>
      </c>
      <c r="I22" s="69" t="n">
        <f aca="false">IFERROR(INDEX('Loan Tape'!$V$4:$V$303,MATCH(6,'Loan Tape'!$AM$4:$AM$303,0)),"")</f>
        <v>0.587</v>
      </c>
    </row>
    <row r="23" customFormat="false" ht="14.25" hidden="false" customHeight="false" outlineLevel="0" collapsed="false">
      <c r="B23" s="7" t="str">
        <f aca="false">IFERROR(INDEX('Loan Tape'!$B$4:$B$303,MATCH(7,'Loan Tape'!$AM$4:$AM$303,0)),"")</f>
        <v>Northgate Flats</v>
      </c>
      <c r="C23" s="17" t="str">
        <f aca="false">IFERROR(INDEX('Loan Tape'!$C$4:$C$303,MATCH(7,'Loan Tape'!$AM$4:$AM$303,0)),"")</f>
        <v>NC</v>
      </c>
      <c r="D23" s="17" t="str">
        <f aca="false">IFERROR(INDEX('Loan Tape'!$E$4:$E$303,MATCH(7,'Loan Tape'!$AM$4:$AM$303,0)),"")</f>
        <v>Deal 2</v>
      </c>
      <c r="E23" s="84" t="n">
        <f aca="false">IFERROR(INDEX('Loan Tape'!$R$4:$R$303,MATCH(7,'Loan Tape'!$AM$4:$AM$303,0)),"")</f>
        <v>113370000</v>
      </c>
      <c r="F23" s="69" t="n">
        <f aca="false">IFERROR(E23/C5,"")</f>
        <v>0.0454277711661678</v>
      </c>
      <c r="G23" s="85" t="n">
        <f aca="false">IFERROR(INDEX('Loan Tape'!$U$4:$U$303,MATCH(7,'Loan Tape'!$AM$4:$AM$303,0)),"")</f>
        <v>0.7</v>
      </c>
      <c r="H23" s="69" t="n">
        <f aca="false">IFERROR(INDEX('Loan Tape'!$T$4:$T$303,MATCH(7,'Loan Tape'!$AM$4:$AM$303,0)),"")</f>
        <v>0.1329</v>
      </c>
      <c r="I23" s="69" t="n">
        <f aca="false">IFERROR(INDEX('Loan Tape'!$V$4:$V$303,MATCH(7,'Loan Tape'!$AM$4:$AM$303,0)),"")</f>
        <v>0.804</v>
      </c>
    </row>
    <row r="24" customFormat="false" ht="14.25" hidden="false" customHeight="false" outlineLevel="0" collapsed="false">
      <c r="B24" s="7" t="str">
        <f aca="false">IFERROR(INDEX('Loan Tape'!$B$4:$B$303,MATCH(8,'Loan Tape'!$AM$4:$AM$303,0)),"")</f>
        <v>Vista Corporate Center</v>
      </c>
      <c r="C24" s="17" t="str">
        <f aca="false">IFERROR(INDEX('Loan Tape'!$C$4:$C$303,MATCH(8,'Loan Tape'!$AM$4:$AM$303,0)),"")</f>
        <v>WA</v>
      </c>
      <c r="D24" s="17" t="str">
        <f aca="false">IFERROR(INDEX('Loan Tape'!$E$4:$E$303,MATCH(8,'Loan Tape'!$AM$4:$AM$303,0)),"")</f>
        <v>Deal 7</v>
      </c>
      <c r="E24" s="84" t="n">
        <f aca="false">IFERROR(INDEX('Loan Tape'!$R$4:$R$303,MATCH(8,'Loan Tape'!$AM$4:$AM$303,0)),"")</f>
        <v>100201000</v>
      </c>
      <c r="F24" s="69" t="n">
        <f aca="false">IFERROR(E24/C5,"")</f>
        <v>0.040150904989161</v>
      </c>
      <c r="G24" s="85" t="n">
        <f aca="false">IFERROR(INDEX('Loan Tape'!$U$4:$U$303,MATCH(8,'Loan Tape'!$AM$4:$AM$303,0)),"")</f>
        <v>1.44</v>
      </c>
      <c r="H24" s="69" t="n">
        <f aca="false">IFERROR(INDEX('Loan Tape'!$T$4:$T$303,MATCH(8,'Loan Tape'!$AM$4:$AM$303,0)),"")</f>
        <v>0.1226</v>
      </c>
      <c r="I24" s="69" t="n">
        <f aca="false">IFERROR(INDEX('Loan Tape'!$V$4:$V$303,MATCH(8,'Loan Tape'!$AM$4:$AM$303,0)),"")</f>
        <v>0.579</v>
      </c>
    </row>
    <row r="25" customFormat="false" ht="14.25" hidden="false" customHeight="false" outlineLevel="0" collapsed="false">
      <c r="B25" s="7" t="str">
        <f aca="false">IFERROR(INDEX('Loan Tape'!$B$4:$B$303,MATCH(9,'Loan Tape'!$AM$4:$AM$303,0)),"")</f>
        <v>Oakmont Village</v>
      </c>
      <c r="C25" s="17" t="str">
        <f aca="false">IFERROR(INDEX('Loan Tape'!$C$4:$C$303,MATCH(9,'Loan Tape'!$AM$4:$AM$303,0)),"")</f>
        <v>MD</v>
      </c>
      <c r="D25" s="17" t="str">
        <f aca="false">IFERROR(INDEX('Loan Tape'!$E$4:$E$303,MATCH(9,'Loan Tape'!$AM$4:$AM$303,0)),"")</f>
        <v>Deal 8</v>
      </c>
      <c r="E25" s="84" t="n">
        <f aca="false">IFERROR(INDEX('Loan Tape'!$R$4:$R$303,MATCH(9,'Loan Tape'!$AM$4:$AM$303,0)),"")</f>
        <v>89897000</v>
      </c>
      <c r="F25" s="69" t="n">
        <f aca="false">IFERROR(E25/C5,"")</f>
        <v>0.0360220547281026</v>
      </c>
      <c r="G25" s="85" t="n">
        <f aca="false">IFERROR(INDEX('Loan Tape'!$U$4:$U$303,MATCH(9,'Loan Tape'!$AM$4:$AM$303,0)),"")</f>
        <v>1.1</v>
      </c>
      <c r="H25" s="69" t="n">
        <f aca="false">IFERROR(INDEX('Loan Tape'!$T$4:$T$303,MATCH(9,'Loan Tape'!$AM$4:$AM$303,0)),"")</f>
        <v>0.0889</v>
      </c>
      <c r="I25" s="69" t="n">
        <f aca="false">IFERROR(INDEX('Loan Tape'!$V$4:$V$303,MATCH(9,'Loan Tape'!$AM$4:$AM$303,0)),"")</f>
        <v>0.703</v>
      </c>
    </row>
    <row r="26" customFormat="false" ht="14.25" hidden="false" customHeight="false" outlineLevel="0" collapsed="false">
      <c r="B26" s="7" t="str">
        <f aca="false">IFERROR(INDEX('Loan Tape'!$B$4:$B$303,MATCH(10,'Loan Tape'!$AM$4:$AM$303,0)),"")</f>
        <v>Keystone Exchange</v>
      </c>
      <c r="C26" s="17" t="str">
        <f aca="false">IFERROR(INDEX('Loan Tape'!$C$4:$C$303,MATCH(10,'Loan Tape'!$AM$4:$AM$303,0)),"")</f>
        <v>WA</v>
      </c>
      <c r="D26" s="17" t="str">
        <f aca="false">IFERROR(INDEX('Loan Tape'!$E$4:$E$303,MATCH(10,'Loan Tape'!$AM$4:$AM$303,0)),"")</f>
        <v>Deal 3</v>
      </c>
      <c r="E26" s="84" t="n">
        <f aca="false">IFERROR(INDEX('Loan Tape'!$R$4:$R$303,MATCH(10,'Loan Tape'!$AM$4:$AM$303,0)),"")</f>
        <v>88481000</v>
      </c>
      <c r="F26" s="69" t="n">
        <f aca="false">IFERROR(E26/C5,"")</f>
        <v>0.0354546583801155</v>
      </c>
      <c r="G26" s="85" t="n">
        <f aca="false">IFERROR(INDEX('Loan Tape'!$U$4:$U$303,MATCH(10,'Loan Tape'!$AM$4:$AM$303,0)),"")</f>
        <v>1.8</v>
      </c>
      <c r="H26" s="69" t="n">
        <f aca="false">IFERROR(INDEX('Loan Tape'!$T$4:$T$303,MATCH(10,'Loan Tape'!$AM$4:$AM$303,0)),"")</f>
        <v>0.072</v>
      </c>
      <c r="I26" s="69" t="n">
        <f aca="false">IFERROR(INDEX('Loan Tape'!$V$4:$V$303,MATCH(10,'Loan Tape'!$AM$4:$AM$303,0)),"")</f>
        <v>0.478</v>
      </c>
    </row>
    <row r="27" customFormat="false" ht="14.25" hidden="false" customHeight="false" outlineLevel="0" collapsed="false">
      <c r="B27" s="86" t="s">
        <v>390</v>
      </c>
      <c r="C27" s="87"/>
      <c r="D27" s="87"/>
      <c r="E27" s="88" t="n">
        <f aca="false">SUM(E17:E26)</f>
        <v>1148995000</v>
      </c>
      <c r="F27" s="89" t="n">
        <f aca="false">IFERROR(E27/C5,0)</f>
        <v>0.460406473767937</v>
      </c>
      <c r="G27" s="90" t="n">
        <f aca="false">IFERROR(SUMPRODUCT(E17:E26,G17:G26)/E27,"-")</f>
        <v>1.44851089865491</v>
      </c>
      <c r="H27" s="89" t="n">
        <f aca="false">IFERROR(SUMPRODUCT(E17:E26,H17:H26)/E27,"-")</f>
        <v>0.0880699446037624</v>
      </c>
      <c r="I27" s="89" t="n">
        <f aca="false">IFERROR(SUMPRODUCT(E17:E26,I17:I26)/E27,"-")</f>
        <v>0.708519804698889</v>
      </c>
    </row>
    <row r="29" customFormat="false" ht="19.5" hidden="false" customHeight="true" outlineLevel="0" collapsed="false">
      <c r="B29" s="5" t="s">
        <v>391</v>
      </c>
      <c r="C29" s="5"/>
      <c r="D29" s="5"/>
      <c r="E29" s="5"/>
      <c r="F29" s="5"/>
      <c r="G29" s="5"/>
      <c r="H29" s="5"/>
      <c r="I29" s="5"/>
      <c r="J29" s="5"/>
      <c r="K29" s="5"/>
      <c r="L29" s="5"/>
      <c r="M29" s="5"/>
      <c r="N29" s="5"/>
      <c r="O29" s="5"/>
      <c r="P29" s="5"/>
    </row>
    <row r="30" customFormat="false" ht="42" hidden="false" customHeight="true" outlineLevel="0" collapsed="false">
      <c r="B30" s="82" t="s">
        <v>392</v>
      </c>
      <c r="C30" s="83" t="s">
        <v>368</v>
      </c>
      <c r="D30" s="83" t="s">
        <v>153</v>
      </c>
      <c r="E30" s="83" t="s">
        <v>393</v>
      </c>
      <c r="F30" s="83" t="s">
        <v>394</v>
      </c>
      <c r="G30" s="83" t="s">
        <v>395</v>
      </c>
      <c r="H30" s="83" t="s">
        <v>396</v>
      </c>
      <c r="I30" s="83" t="s">
        <v>397</v>
      </c>
      <c r="J30" s="83" t="s">
        <v>398</v>
      </c>
      <c r="K30" s="83" t="s">
        <v>399</v>
      </c>
      <c r="L30" s="83" t="s">
        <v>400</v>
      </c>
      <c r="M30" s="83" t="s">
        <v>401</v>
      </c>
      <c r="N30" s="83" t="s">
        <v>402</v>
      </c>
      <c r="O30" s="83" t="s">
        <v>403</v>
      </c>
      <c r="P30" s="83" t="s">
        <v>365</v>
      </c>
    </row>
    <row r="31" customFormat="false" ht="14.25" hidden="false" customHeight="false" outlineLevel="0" collapsed="false">
      <c r="B31" s="7" t="str">
        <f aca="false">R31</f>
        <v>Floating</v>
      </c>
      <c r="C31" s="68" t="n">
        <f aca="false">COUNTIF('Loan Tape'!$K$4:$K$303,R31)</f>
        <v>34</v>
      </c>
      <c r="D31" s="68" t="n">
        <f aca="false">SUMPRODUCT((('Loan Tape'!$R$4:$R$303&lt;&gt;"")*('Loan Tape'!$K$4:$K$303=R31))*'Loan Tape'!$F$4:$F$303)</f>
        <v>2730</v>
      </c>
      <c r="E31" s="84" t="n">
        <f aca="false">SUMIF('Loan Tape'!$K$4:$K$303,R31,'Loan Tape'!$R$4:$R$303)</f>
        <v>1658277000</v>
      </c>
      <c r="F31" s="69" t="n">
        <f aca="false">IFERROR(E31/C5,0)</f>
        <v>0.664477622705471</v>
      </c>
      <c r="G31" s="85" t="n">
        <f aca="false">IFERROR(SUMPRODUCT((('Loan Tape'!$R$4:$R$303&lt;&gt;"")*('Loan Tape'!$K$4:$K$303=R31))*'Loan Tape'!$U$4:$U$303*'Loan Tape'!$R$4:$R$303)/E31,"-")</f>
        <v>1.38432546552838</v>
      </c>
      <c r="H31" s="68" t="n">
        <f aca="false">IFERROR(SUMPRODUCT((('Loan Tape'!$R$4:$R$303&lt;&gt;"")*('Loan Tape'!$K$4:$K$303=R31))*'Loan Tape'!$AH$4:$AH$303*'Loan Tape'!$R$4:$R$303)/E31,"-")</f>
        <v>74.1440348023883</v>
      </c>
      <c r="I31" s="68" t="n">
        <f aca="false">IFERROR(SUMPRODUCT((('Loan Tape'!$R$4:$R$303&lt;&gt;"")*('Loan Tape'!$K$4:$K$303=R31))*(('Loan Tape'!$H$4:$H$303-$C$4)/30.4375)*'Loan Tape'!$R$4:$R$303)/E31,"-")</f>
        <v>25.5247127829852</v>
      </c>
      <c r="J31" s="69" t="n">
        <f aca="false">IFERROR(SUMPRODUCT((('Loan Tape'!$R$4:$R$303&lt;&gt;"")*('Loan Tape'!$K$4:$K$303=R31))*('Loan Tape'!$K$4:$K$303="Floating")*'Loan Tape'!$R$4:$R$303)/E31,"-")</f>
        <v>1</v>
      </c>
      <c r="K31" s="69" t="n">
        <f aca="false">IFERROR(SUMPRODUCT((('Loan Tape'!$R$4:$R$303&lt;&gt;"")*('Loan Tape'!$K$4:$K$303=R31))*'Loan Tape'!$T$4:$T$303*'Loan Tape'!$R$4:$R$303)/E31,"-")</f>
        <v>0.0821842146396531</v>
      </c>
      <c r="L31" s="69" t="n">
        <f aca="false">IFERROR(SUMPRODUCT((('Loan Tape'!$R$4:$R$303&lt;&gt;"")*('Loan Tape'!$K$4:$K$303=R31))*'Loan Tape'!$V$4:$V$303*'Loan Tape'!$R$4:$R$303)/E31,"-")</f>
        <v>0.683442669107755</v>
      </c>
      <c r="M31" s="69" t="n">
        <f aca="false">IFERROR(SUMPRODUCT((('Loan Tape'!$R$4:$R$303&lt;&gt;"")*('Loan Tape'!$K$4:$K$303=R31))*'Loan Tape'!$W$4:$W$303*'Loan Tape'!$R$4:$R$303)/E31,"-")</f>
        <v>0.713901740179717</v>
      </c>
      <c r="N31" s="69" t="n">
        <f aca="false">IFERROR(SUMPRODUCT((('Loan Tape'!$R$4:$R$303&lt;&gt;"")*('Loan Tape'!$K$4:$K$303=R31))*'Loan Tape'!$AI$4:$AI$303*'Loan Tape'!$R$4:$R$303)/E31,"-")</f>
        <v>0.0773868210799523</v>
      </c>
      <c r="O31" s="69" t="n">
        <f aca="false">IFERROR(SUMPRODUCT((('Loan Tape'!$R$4:$R$303&lt;&gt;"")*('Loan Tape'!$K$4:$K$303=R31))*'Loan Tape'!$AK$4:$AK$303*'Loan Tape'!$R$4:$R$303)/E31,"-")</f>
        <v>0.0905593709615462</v>
      </c>
      <c r="P31" s="69" t="n">
        <f aca="false">IFERROR(SUMPRODUCT((('Loan Tape'!$R$4:$R$303&lt;&gt;"")*('Loan Tape'!$K$4:$K$303=R31))*'Loan Tape'!$S$4:$S$303*'Loan Tape'!$R$4:$R$303)/E31,"-")</f>
        <v>0.885289379277407</v>
      </c>
      <c r="R31" s="91" t="s">
        <v>209</v>
      </c>
    </row>
    <row r="32" customFormat="false" ht="14.25" hidden="false" customHeight="false" outlineLevel="0" collapsed="false">
      <c r="B32" s="7" t="str">
        <f aca="false">R32</f>
        <v>Fixed</v>
      </c>
      <c r="C32" s="68" t="n">
        <f aca="false">COUNTIF('Loan Tape'!$K$4:$K$303,R32)</f>
        <v>16</v>
      </c>
      <c r="D32" s="68" t="n">
        <f aca="false">SUMPRODUCT((('Loan Tape'!$R$4:$R$303&lt;&gt;"")*('Loan Tape'!$K$4:$K$303=R32))*'Loan Tape'!$F$4:$F$303)</f>
        <v>2009</v>
      </c>
      <c r="E32" s="84" t="n">
        <f aca="false">SUMIF('Loan Tape'!$K$4:$K$303,R32,'Loan Tape'!$R$4:$R$303)</f>
        <v>837333000</v>
      </c>
      <c r="F32" s="69" t="n">
        <f aca="false">IFERROR(E32/C5,0)</f>
        <v>0.335522377294529</v>
      </c>
      <c r="G32" s="85" t="n">
        <f aca="false">IFERROR(SUMPRODUCT((('Loan Tape'!$R$4:$R$303&lt;&gt;"")*('Loan Tape'!$K$4:$K$303=R32))*'Loan Tape'!$U$4:$U$303*'Loan Tape'!$R$4:$R$303)/E32,"-")</f>
        <v>1.32899078383391</v>
      </c>
      <c r="H32" s="68" t="n">
        <f aca="false">IFERROR(SUMPRODUCT((('Loan Tape'!$R$4:$R$303&lt;&gt;"")*('Loan Tape'!$K$4:$K$303=R32))*'Loan Tape'!$AH$4:$AH$303*'Loan Tape'!$R$4:$R$303)/E32,"-")</f>
        <v>81.2097325675687</v>
      </c>
      <c r="I32" s="68" t="n">
        <f aca="false">IFERROR(SUMPRODUCT((('Loan Tape'!$R$4:$R$303&lt;&gt;"")*('Loan Tape'!$K$4:$K$303=R32))*(('Loan Tape'!$H$4:$H$303-$C$4)/30.4375)*'Loan Tape'!$R$4:$R$303)/E32,"-")</f>
        <v>2.13605350601144</v>
      </c>
      <c r="J32" s="69" t="n">
        <f aca="false">IFERROR(SUMPRODUCT((('Loan Tape'!$R$4:$R$303&lt;&gt;"")*('Loan Tape'!$K$4:$K$303=R32))*('Loan Tape'!$K$4:$K$303="Floating")*'Loan Tape'!$R$4:$R$303)/E32,"-")</f>
        <v>0</v>
      </c>
      <c r="K32" s="69" t="n">
        <f aca="false">IFERROR(SUMPRODUCT((('Loan Tape'!$R$4:$R$303&lt;&gt;"")*('Loan Tape'!$K$4:$K$303=R32))*'Loan Tape'!$T$4:$T$303*'Loan Tape'!$R$4:$R$303)/E32,"-")</f>
        <v>0.094016040093965</v>
      </c>
      <c r="L32" s="69" t="n">
        <f aca="false">IFERROR(SUMPRODUCT((('Loan Tape'!$R$4:$R$303&lt;&gt;"")*('Loan Tape'!$K$4:$K$303=R32))*'Loan Tape'!$V$4:$V$303*'Loan Tape'!$R$4:$R$303)/E32,"-")</f>
        <v>0.6837901491999</v>
      </c>
      <c r="M32" s="69" t="n">
        <f aca="false">IFERROR(SUMPRODUCT((('Loan Tape'!$R$4:$R$303&lt;&gt;"")*('Loan Tape'!$K$4:$K$303=R32))*'Loan Tape'!$W$4:$W$303*'Loan Tape'!$R$4:$R$303)/E32,"-")</f>
        <v>0.720645609333443</v>
      </c>
      <c r="N32" s="69" t="n">
        <f aca="false">IFERROR(SUMPRODUCT((('Loan Tape'!$R$4:$R$303&lt;&gt;"")*('Loan Tape'!$K$4:$K$303=R32))*'Loan Tape'!$AI$4:$AI$303*'Loan Tape'!$R$4:$R$303)/E32,"-")</f>
        <v>0.0567343422509324</v>
      </c>
      <c r="O32" s="69" t="n">
        <f aca="false">IFERROR(SUMPRODUCT((('Loan Tape'!$R$4:$R$303&lt;&gt;"")*('Loan Tape'!$K$4:$K$303=R32))*'Loan Tape'!$AK$4:$AK$303*'Loan Tape'!$R$4:$R$303)/E32,"-")</f>
        <v>0.0567343422509324</v>
      </c>
      <c r="P32" s="69" t="n">
        <f aca="false">IFERROR(SUMPRODUCT((('Loan Tape'!$R$4:$R$303&lt;&gt;"")*('Loan Tape'!$K$4:$K$303=R32))*'Loan Tape'!$S$4:$S$303*'Loan Tape'!$R$4:$R$303)/E32,"-")</f>
        <v>0.88945530989463</v>
      </c>
      <c r="R32" s="91" t="s">
        <v>245</v>
      </c>
    </row>
    <row r="33" customFormat="false" ht="14.25" hidden="false" customHeight="false" outlineLevel="0" collapsed="false">
      <c r="B33" s="7" t="s">
        <v>404</v>
      </c>
      <c r="C33" s="68" t="n">
        <f aca="false">C6-SUM(C31:C32)</f>
        <v>0</v>
      </c>
      <c r="D33" s="68" t="n">
        <f aca="false">SUM('Loan Tape'!$F$4:$F$303)-SUM(D31:D32)</f>
        <v>0</v>
      </c>
      <c r="E33" s="84" t="n">
        <f aca="false">C5-SUM(E31:E32)</f>
        <v>0</v>
      </c>
      <c r="F33" s="69" t="n">
        <f aca="false">IFERROR(E33/C5,0)</f>
        <v>0</v>
      </c>
      <c r="G33" s="85" t="str">
        <f aca="false">IFERROR(SUMPRODUCT((('Loan Tape'!$R$4:$R$303&lt;&gt;"")*(1-(('Loan Tape'!$K$4:$K$303=R31)+('Loan Tape'!$K$4:$K$303=R32))))*'Loan Tape'!$U$4:$U$303*'Loan Tape'!$R$4:$R$303)/E33,"-")</f>
        <v>-</v>
      </c>
      <c r="H33" s="68" t="str">
        <f aca="false">IFERROR(SUMPRODUCT((('Loan Tape'!$R$4:$R$303&lt;&gt;"")*(1-(('Loan Tape'!$K$4:$K$303=R31)+('Loan Tape'!$K$4:$K$303=R32))))*'Loan Tape'!$AH$4:$AH$303*'Loan Tape'!$R$4:$R$303)/E33,"-")</f>
        <v>-</v>
      </c>
      <c r="I33" s="68" t="str">
        <f aca="false">IFERROR(SUMPRODUCT((('Loan Tape'!$R$4:$R$303&lt;&gt;"")*(1-(('Loan Tape'!$K$4:$K$303=R31)+('Loan Tape'!$K$4:$K$303=R32))))*(('Loan Tape'!$H$4:$H$303-$C$4)/30.4375)*'Loan Tape'!$R$4:$R$303)/E33,"-")</f>
        <v>-</v>
      </c>
      <c r="J33" s="69" t="str">
        <f aca="false">IFERROR(SUMPRODUCT((('Loan Tape'!$R$4:$R$303&lt;&gt;"")*(1-(('Loan Tape'!$K$4:$K$303=R31)+('Loan Tape'!$K$4:$K$303=R32))))*('Loan Tape'!$K$4:$K$303="Floating")*'Loan Tape'!$R$4:$R$303)/E33,"-")</f>
        <v>-</v>
      </c>
      <c r="K33" s="69" t="str">
        <f aca="false">IFERROR(SUMPRODUCT((('Loan Tape'!$R$4:$R$303&lt;&gt;"")*(1-(('Loan Tape'!$K$4:$K$303=R31)+('Loan Tape'!$K$4:$K$303=R32))))*'Loan Tape'!$T$4:$T$303*'Loan Tape'!$R$4:$R$303)/E33,"-")</f>
        <v>-</v>
      </c>
      <c r="L33" s="69" t="str">
        <f aca="false">IFERROR(SUMPRODUCT((('Loan Tape'!$R$4:$R$303&lt;&gt;"")*(1-(('Loan Tape'!$K$4:$K$303=R31)+('Loan Tape'!$K$4:$K$303=R32))))*'Loan Tape'!$V$4:$V$303*'Loan Tape'!$R$4:$R$303)/E33,"-")</f>
        <v>-</v>
      </c>
      <c r="M33" s="69" t="str">
        <f aca="false">IFERROR(SUMPRODUCT((('Loan Tape'!$R$4:$R$303&lt;&gt;"")*(1-(('Loan Tape'!$K$4:$K$303=R31)+('Loan Tape'!$K$4:$K$303=R32))))*'Loan Tape'!$W$4:$W$303*'Loan Tape'!$R$4:$R$303)/E33,"-")</f>
        <v>-</v>
      </c>
      <c r="N33" s="69" t="str">
        <f aca="false">IFERROR(SUMPRODUCT((('Loan Tape'!$R$4:$R$303&lt;&gt;"")*(1-(('Loan Tape'!$K$4:$K$303=R31)+('Loan Tape'!$K$4:$K$303=R32))))*'Loan Tape'!$AI$4:$AI$303*'Loan Tape'!$R$4:$R$303)/E33,"-")</f>
        <v>-</v>
      </c>
      <c r="O33" s="69" t="str">
        <f aca="false">IFERROR(SUMPRODUCT((('Loan Tape'!$R$4:$R$303&lt;&gt;"")*(1-(('Loan Tape'!$K$4:$K$303=R31)+('Loan Tape'!$K$4:$K$303=R32))))*'Loan Tape'!$AK$4:$AK$303*'Loan Tape'!$R$4:$R$303)/E33,"-")</f>
        <v>-</v>
      </c>
      <c r="P33" s="69" t="str">
        <f aca="false">IFERROR(SUMPRODUCT((('Loan Tape'!$R$4:$R$303&lt;&gt;"")*(1-(('Loan Tape'!$K$4:$K$303=R31)+('Loan Tape'!$K$4:$K$303=R32))))*'Loan Tape'!$S$4:$S$303*'Loan Tape'!$R$4:$R$303)/E33,"-")</f>
        <v>-</v>
      </c>
    </row>
    <row r="34" customFormat="false" ht="14.25" hidden="false" customHeight="false" outlineLevel="0" collapsed="false">
      <c r="B34" s="86" t="s">
        <v>405</v>
      </c>
      <c r="C34" s="92" t="n">
        <f aca="false">C6</f>
        <v>50</v>
      </c>
      <c r="D34" s="92" t="n">
        <f aca="false">SUM('Loan Tape'!$F$4:$F$303)</f>
        <v>4739</v>
      </c>
      <c r="E34" s="88" t="n">
        <f aca="false">C5</f>
        <v>2495610000</v>
      </c>
      <c r="F34" s="89" t="n">
        <f aca="false">1</f>
        <v>1</v>
      </c>
      <c r="G34" s="90" t="n">
        <f aca="false">IFERROR(SUMPRODUCT((('Loan Tape'!$R$4:$R$303&lt;&gt;""))*'Loan Tape'!$U$4:$U$303*'Loan Tape'!$R$4:$R$303)/E34,"-")</f>
        <v>1.36575944157941</v>
      </c>
      <c r="H34" s="92" t="n">
        <f aca="false">IFERROR(SUMPRODUCT((('Loan Tape'!$R$4:$R$303&lt;&gt;""))*'Loan Tape'!$AH$4:$AH$303*'Loan Tape'!$R$4:$R$303)/E34,"-")</f>
        <v>76.5147345138063</v>
      </c>
      <c r="I34" s="92" t="n">
        <f aca="false">IFERROR(SUMPRODUCT((('Loan Tape'!$R$4:$R$303&lt;&gt;""))*(('Loan Tape'!$H$4:$H$303-$C$4)/30.4375)*'Loan Tape'!$R$4:$R$303)/E34,"-")</f>
        <v>17.6772942206432</v>
      </c>
      <c r="J34" s="89" t="n">
        <f aca="false">IFERROR(SUMPRODUCT((('Loan Tape'!$R$4:$R$303&lt;&gt;""))*('Loan Tape'!$K$4:$K$303="Floating")*'Loan Tape'!$R$4:$R$303)/E34,"-")</f>
        <v>0.664477622705471</v>
      </c>
      <c r="K34" s="89" t="n">
        <f aca="false">IFERROR(SUMPRODUCT((('Loan Tape'!$R$4:$R$303&lt;&gt;""))*'Loan Tape'!$T$4:$T$303*'Loan Tape'!$R$4:$R$303)/E34,"-")</f>
        <v>0.0861540568438177</v>
      </c>
      <c r="L34" s="89" t="n">
        <f aca="false">IFERROR(SUMPRODUCT((('Loan Tape'!$R$4:$R$303&lt;&gt;""))*'Loan Tape'!$V$4:$V$303*'Loan Tape'!$R$4:$R$303)/E34,"-")</f>
        <v>0.683559256454334</v>
      </c>
      <c r="M34" s="89" t="n">
        <f aca="false">IFERROR(SUMPRODUCT((('Loan Tape'!$R$4:$R$303&lt;&gt;""))*'Loan Tape'!$W$4:$W$303*'Loan Tape'!$R$4:$R$303)/E34,"-")</f>
        <v>0.716164459190338</v>
      </c>
      <c r="N34" s="89" t="n">
        <f aca="false">IFERROR(SUMPRODUCT((('Loan Tape'!$R$4:$R$303&lt;&gt;""))*'Loan Tape'!$AI$4:$AI$303*'Loan Tape'!$R$4:$R$303)/E34,"-")</f>
        <v>0.0704574522862146</v>
      </c>
      <c r="O34" s="89" t="n">
        <f aca="false">IFERROR(SUMPRODUCT((('Loan Tape'!$R$4:$R$303&lt;&gt;""))*'Loan Tape'!$AK$4:$AK$303*'Loan Tape'!$R$4:$R$303)/E34,"-")</f>
        <v>0.0792103169165054</v>
      </c>
      <c r="P34" s="89" t="n">
        <f aca="false">IFERROR(SUMPRODUCT((('Loan Tape'!$R$4:$R$303&lt;&gt;""))*'Loan Tape'!$S$4:$S$303*'Loan Tape'!$R$4:$R$303)/E34,"-")</f>
        <v>0.886687142221741</v>
      </c>
    </row>
    <row r="36" customFormat="false" ht="19.5" hidden="false" customHeight="true" outlineLevel="0" collapsed="false">
      <c r="B36" s="5" t="s">
        <v>406</v>
      </c>
      <c r="C36" s="5"/>
      <c r="D36" s="5"/>
      <c r="E36" s="5"/>
      <c r="F36" s="5"/>
      <c r="G36" s="5"/>
      <c r="H36" s="5"/>
      <c r="I36" s="5"/>
      <c r="J36" s="5"/>
      <c r="K36" s="5"/>
      <c r="L36" s="5"/>
      <c r="M36" s="5"/>
      <c r="N36" s="5"/>
      <c r="O36" s="5"/>
      <c r="P36" s="5"/>
    </row>
    <row r="37" customFormat="false" ht="42" hidden="false" customHeight="true" outlineLevel="0" collapsed="false">
      <c r="B37" s="82" t="s">
        <v>392</v>
      </c>
      <c r="C37" s="83" t="s">
        <v>368</v>
      </c>
      <c r="D37" s="83" t="s">
        <v>153</v>
      </c>
      <c r="E37" s="83" t="s">
        <v>393</v>
      </c>
      <c r="F37" s="83" t="s">
        <v>394</v>
      </c>
      <c r="G37" s="83" t="s">
        <v>395</v>
      </c>
      <c r="H37" s="83" t="s">
        <v>396</v>
      </c>
      <c r="I37" s="83" t="s">
        <v>397</v>
      </c>
      <c r="J37" s="83" t="s">
        <v>398</v>
      </c>
      <c r="K37" s="83" t="s">
        <v>399</v>
      </c>
      <c r="L37" s="83" t="s">
        <v>400</v>
      </c>
      <c r="M37" s="83" t="s">
        <v>401</v>
      </c>
      <c r="N37" s="83" t="s">
        <v>402</v>
      </c>
      <c r="O37" s="83" t="s">
        <v>403</v>
      </c>
      <c r="P37" s="83" t="s">
        <v>365</v>
      </c>
    </row>
    <row r="38" customFormat="false" ht="14.25" hidden="false" customHeight="false" outlineLevel="0" collapsed="false">
      <c r="B38" s="7" t="str">
        <f aca="false">R38</f>
        <v>First Lien</v>
      </c>
      <c r="C38" s="68" t="n">
        <f aca="false">COUNTIF('Loan Tape'!$AC$4:$AC$303,R38)</f>
        <v>46</v>
      </c>
      <c r="D38" s="68" t="n">
        <f aca="false">SUMPRODUCT((('Loan Tape'!$R$4:$R$303&lt;&gt;"")*('Loan Tape'!$AC$4:$AC$303=R38))*'Loan Tape'!$F$4:$F$303)</f>
        <v>4739</v>
      </c>
      <c r="E38" s="84" t="n">
        <f aca="false">SUMIF('Loan Tape'!$AC$4:$AC$303,R38,'Loan Tape'!$R$4:$R$303)</f>
        <v>2418148000</v>
      </c>
      <c r="F38" s="69" t="n">
        <f aca="false">IFERROR(E38/C5,0)</f>
        <v>0.968960694980386</v>
      </c>
      <c r="G38" s="85" t="n">
        <f aca="false">IFERROR(SUMPRODUCT((('Loan Tape'!$R$4:$R$303&lt;&gt;"")*('Loan Tape'!$AC$4:$AC$303=R38))*'Loan Tape'!$U$4:$U$303*'Loan Tape'!$R$4:$R$303)/E38,"-")</f>
        <v>1.35854594094323</v>
      </c>
      <c r="H38" s="68" t="n">
        <f aca="false">IFERROR(SUMPRODUCT((('Loan Tape'!$R$4:$R$303&lt;&gt;"")*('Loan Tape'!$AC$4:$AC$303=R38))*'Loan Tape'!$AH$4:$AH$303*'Loan Tape'!$R$4:$R$303)/E38,"-")</f>
        <v>76.6033695208068</v>
      </c>
      <c r="I38" s="68" t="n">
        <f aca="false">IFERROR(SUMPRODUCT((('Loan Tape'!$R$4:$R$303&lt;&gt;"")*('Loan Tape'!$AC$4:$AC$303=R38))*(('Loan Tape'!$H$4:$H$303-$C$4)/30.4375)*'Loan Tape'!$R$4:$R$303)/E38,"-")</f>
        <v>18.2275926343265</v>
      </c>
      <c r="J38" s="69" t="n">
        <f aca="false">IFERROR(SUMPRODUCT((('Loan Tape'!$R$4:$R$303&lt;&gt;"")*('Loan Tape'!$AC$4:$AC$303=R38))*('Loan Tape'!$K$4:$K$303="Floating")*'Loan Tape'!$R$4:$R$303)/E38,"-")</f>
        <v>0.655843232093321</v>
      </c>
      <c r="K38" s="69" t="n">
        <f aca="false">IFERROR(SUMPRODUCT((('Loan Tape'!$R$4:$R$303&lt;&gt;"")*('Loan Tape'!$AC$4:$AC$303=R38))*'Loan Tape'!$T$4:$T$303*'Loan Tape'!$R$4:$R$303)/E38,"-")</f>
        <v>0.086766261163502</v>
      </c>
      <c r="L38" s="69" t="n">
        <f aca="false">IFERROR(SUMPRODUCT((('Loan Tape'!$R$4:$R$303&lt;&gt;"")*('Loan Tape'!$AC$4:$AC$303=R38))*'Loan Tape'!$V$4:$V$303*'Loan Tape'!$R$4:$R$303)/E38,"-")</f>
        <v>0.68281449687943</v>
      </c>
      <c r="M38" s="69" t="n">
        <f aca="false">IFERROR(SUMPRODUCT((('Loan Tape'!$R$4:$R$303&lt;&gt;"")*('Loan Tape'!$AC$4:$AC$303=R38))*'Loan Tape'!$W$4:$W$303*'Loan Tape'!$R$4:$R$303)/E38,"-")</f>
        <v>0.715172109399425</v>
      </c>
      <c r="N38" s="69" t="n">
        <f aca="false">IFERROR(SUMPRODUCT((('Loan Tape'!$R$4:$R$303&lt;&gt;"")*('Loan Tape'!$AC$4:$AC$303=R38))*'Loan Tape'!$AI$4:$AI$303*'Loan Tape'!$R$4:$R$303)/E38,"-")</f>
        <v>0.0702192794651113</v>
      </c>
      <c r="O38" s="69" t="n">
        <f aca="false">IFERROR(SUMPRODUCT((('Loan Tape'!$R$4:$R$303&lt;&gt;"")*('Loan Tape'!$AC$4:$AC$303=R38))*'Loan Tape'!$AK$4:$AK$303*'Loan Tape'!$R$4:$R$303)/E38,"-")</f>
        <v>0.0792728814778913</v>
      </c>
      <c r="P38" s="69" t="n">
        <f aca="false">IFERROR(SUMPRODUCT((('Loan Tape'!$R$4:$R$303&lt;&gt;"")*('Loan Tape'!$AC$4:$AC$303=R38))*'Loan Tape'!$S$4:$S$303*'Loan Tape'!$R$4:$R$303)/E38,"-")</f>
        <v>0.887864182010365</v>
      </c>
      <c r="R38" s="91" t="s">
        <v>213</v>
      </c>
    </row>
    <row r="39" customFormat="false" ht="14.25" hidden="false" customHeight="false" outlineLevel="0" collapsed="false">
      <c r="B39" s="7" t="str">
        <f aca="false">R39</f>
        <v>Second Lien</v>
      </c>
      <c r="C39" s="68" t="n">
        <f aca="false">COUNTIF('Loan Tape'!$AC$4:$AC$303,R39)</f>
        <v>4</v>
      </c>
      <c r="D39" s="68" t="n">
        <f aca="false">SUMPRODUCT((('Loan Tape'!$R$4:$R$303&lt;&gt;"")*('Loan Tape'!$AC$4:$AC$303=R39))*'Loan Tape'!$F$4:$F$303)</f>
        <v>0</v>
      </c>
      <c r="E39" s="84" t="n">
        <f aca="false">SUMIF('Loan Tape'!$AC$4:$AC$303,R39,'Loan Tape'!$R$4:$R$303)</f>
        <v>77462000</v>
      </c>
      <c r="F39" s="69" t="n">
        <f aca="false">IFERROR(E39/C5,0)</f>
        <v>0.0310393050196144</v>
      </c>
      <c r="G39" s="85" t="n">
        <f aca="false">IFERROR(SUMPRODUCT((('Loan Tape'!$R$4:$R$303&lt;&gt;"")*('Loan Tape'!$AC$4:$AC$303=R39))*'Loan Tape'!$U$4:$U$303*'Loan Tape'!$R$4:$R$303)/E39,"-")</f>
        <v>1.59094485037825</v>
      </c>
      <c r="H39" s="68" t="n">
        <f aca="false">IFERROR(SUMPRODUCT((('Loan Tape'!$R$4:$R$303&lt;&gt;"")*('Loan Tape'!$AC$4:$AC$303=R39))*'Loan Tape'!$AH$4:$AH$303*'Loan Tape'!$R$4:$R$303)/E39,"-")</f>
        <v>73.74779633885</v>
      </c>
      <c r="I39" s="68" t="n">
        <f aca="false">IFERROR(SUMPRODUCT((('Loan Tape'!$R$4:$R$303&lt;&gt;"")*('Loan Tape'!$AC$4:$AC$303=R39))*(('Loan Tape'!$H$4:$H$303-$C$4)/30.4375)*'Loan Tape'!$R$4:$R$303)/E39,"-")</f>
        <v>0.498509675301084</v>
      </c>
      <c r="J39" s="69" t="n">
        <f aca="false">IFERROR(SUMPRODUCT((('Loan Tape'!$R$4:$R$303&lt;&gt;"")*('Loan Tape'!$AC$4:$AC$303=R39))*('Loan Tape'!$K$4:$K$303="Floating")*'Loan Tape'!$R$4:$R$303)/E39,"-")</f>
        <v>0.934019261057034</v>
      </c>
      <c r="K39" s="69" t="n">
        <f aca="false">IFERROR(SUMPRODUCT((('Loan Tape'!$R$4:$R$303&lt;&gt;"")*('Loan Tape'!$AC$4:$AC$303=R39))*'Loan Tape'!$T$4:$T$303*'Loan Tape'!$R$4:$R$303)/E39,"-")</f>
        <v>0.0670427422478118</v>
      </c>
      <c r="L39" s="69" t="n">
        <f aca="false">IFERROR(SUMPRODUCT((('Loan Tape'!$R$4:$R$303&lt;&gt;"")*('Loan Tape'!$AC$4:$AC$303=R39))*'Loan Tape'!$V$4:$V$303*'Loan Tape'!$R$4:$R$303)/E39,"-")</f>
        <v>0.706808577108776</v>
      </c>
      <c r="M39" s="69" t="n">
        <f aca="false">IFERROR(SUMPRODUCT((('Loan Tape'!$R$4:$R$303&lt;&gt;"")*('Loan Tape'!$AC$4:$AC$303=R39))*'Loan Tape'!$W$4:$W$303*'Loan Tape'!$R$4:$R$303)/E39,"-")</f>
        <v>0.747142857142857</v>
      </c>
      <c r="N39" s="69" t="n">
        <f aca="false">IFERROR(SUMPRODUCT((('Loan Tape'!$R$4:$R$303&lt;&gt;"")*('Loan Tape'!$AC$4:$AC$303=R39))*'Loan Tape'!$AI$4:$AI$303*'Loan Tape'!$R$4:$R$303)/E39,"-")</f>
        <v>0.0778925447316103</v>
      </c>
      <c r="O39" s="69" t="n">
        <f aca="false">IFERROR(SUMPRODUCT((('Loan Tape'!$R$4:$R$303&lt;&gt;"")*('Loan Tape'!$AC$4:$AC$303=R39))*'Loan Tape'!$AK$4:$AK$303*'Loan Tape'!$R$4:$R$303)/E39,"-")</f>
        <v>0.077257225478299</v>
      </c>
      <c r="P39" s="69" t="n">
        <f aca="false">IFERROR(SUMPRODUCT((('Loan Tape'!$R$4:$R$303&lt;&gt;"")*('Loan Tape'!$AC$4:$AC$303=R39))*'Loan Tape'!$S$4:$S$303*'Loan Tape'!$R$4:$R$303)/E39,"-")</f>
        <v>0.849943236683793</v>
      </c>
      <c r="R39" s="91" t="s">
        <v>285</v>
      </c>
    </row>
    <row r="40" customFormat="false" ht="14.25" hidden="false" customHeight="false" outlineLevel="0" collapsed="false">
      <c r="B40" s="7" t="s">
        <v>407</v>
      </c>
      <c r="C40" s="68" t="n">
        <f aca="false">C6-SUM(C38:C39)</f>
        <v>0</v>
      </c>
      <c r="D40" s="68" t="n">
        <f aca="false">SUM('Loan Tape'!$F$4:$F$303)-SUM(D38:D39)</f>
        <v>0</v>
      </c>
      <c r="E40" s="84" t="n">
        <f aca="false">C5-SUM(E38:E39)</f>
        <v>0</v>
      </c>
      <c r="F40" s="69" t="n">
        <f aca="false">IFERROR(E40/C5,0)</f>
        <v>0</v>
      </c>
      <c r="G40" s="85" t="str">
        <f aca="false">IFERROR(SUMPRODUCT((('Loan Tape'!$R$4:$R$303&lt;&gt;"")*(1-(('Loan Tape'!$AC$4:$AC$303=R38)+('Loan Tape'!$AC$4:$AC$303=R39))))*'Loan Tape'!$U$4:$U$303*'Loan Tape'!$R$4:$R$303)/E40,"-")</f>
        <v>-</v>
      </c>
      <c r="H40" s="68" t="str">
        <f aca="false">IFERROR(SUMPRODUCT((('Loan Tape'!$R$4:$R$303&lt;&gt;"")*(1-(('Loan Tape'!$AC$4:$AC$303=R38)+('Loan Tape'!$AC$4:$AC$303=R39))))*'Loan Tape'!$AH$4:$AH$303*'Loan Tape'!$R$4:$R$303)/E40,"-")</f>
        <v>-</v>
      </c>
      <c r="I40" s="68" t="str">
        <f aca="false">IFERROR(SUMPRODUCT((('Loan Tape'!$R$4:$R$303&lt;&gt;"")*(1-(('Loan Tape'!$AC$4:$AC$303=R38)+('Loan Tape'!$AC$4:$AC$303=R39))))*(('Loan Tape'!$H$4:$H$303-$C$4)/30.4375)*'Loan Tape'!$R$4:$R$303)/E40,"-")</f>
        <v>-</v>
      </c>
      <c r="J40" s="69" t="str">
        <f aca="false">IFERROR(SUMPRODUCT((('Loan Tape'!$R$4:$R$303&lt;&gt;"")*(1-(('Loan Tape'!$AC$4:$AC$303=R38)+('Loan Tape'!$AC$4:$AC$303=R39))))*('Loan Tape'!$K$4:$K$303="Floating")*'Loan Tape'!$R$4:$R$303)/E40,"-")</f>
        <v>-</v>
      </c>
      <c r="K40" s="69" t="str">
        <f aca="false">IFERROR(SUMPRODUCT((('Loan Tape'!$R$4:$R$303&lt;&gt;"")*(1-(('Loan Tape'!$AC$4:$AC$303=R38)+('Loan Tape'!$AC$4:$AC$303=R39))))*'Loan Tape'!$T$4:$T$303*'Loan Tape'!$R$4:$R$303)/E40,"-")</f>
        <v>-</v>
      </c>
      <c r="L40" s="69" t="str">
        <f aca="false">IFERROR(SUMPRODUCT((('Loan Tape'!$R$4:$R$303&lt;&gt;"")*(1-(('Loan Tape'!$AC$4:$AC$303=R38)+('Loan Tape'!$AC$4:$AC$303=R39))))*'Loan Tape'!$V$4:$V$303*'Loan Tape'!$R$4:$R$303)/E40,"-")</f>
        <v>-</v>
      </c>
      <c r="M40" s="69" t="str">
        <f aca="false">IFERROR(SUMPRODUCT((('Loan Tape'!$R$4:$R$303&lt;&gt;"")*(1-(('Loan Tape'!$AC$4:$AC$303=R38)+('Loan Tape'!$AC$4:$AC$303=R39))))*'Loan Tape'!$W$4:$W$303*'Loan Tape'!$R$4:$R$303)/E40,"-")</f>
        <v>-</v>
      </c>
      <c r="N40" s="69" t="str">
        <f aca="false">IFERROR(SUMPRODUCT((('Loan Tape'!$R$4:$R$303&lt;&gt;"")*(1-(('Loan Tape'!$AC$4:$AC$303=R38)+('Loan Tape'!$AC$4:$AC$303=R39))))*'Loan Tape'!$AI$4:$AI$303*'Loan Tape'!$R$4:$R$303)/E40,"-")</f>
        <v>-</v>
      </c>
      <c r="O40" s="69" t="str">
        <f aca="false">IFERROR(SUMPRODUCT((('Loan Tape'!$R$4:$R$303&lt;&gt;"")*(1-(('Loan Tape'!$AC$4:$AC$303=R38)+('Loan Tape'!$AC$4:$AC$303=R39))))*'Loan Tape'!$AK$4:$AK$303*'Loan Tape'!$R$4:$R$303)/E40,"-")</f>
        <v>-</v>
      </c>
      <c r="P40" s="69" t="str">
        <f aca="false">IFERROR(SUMPRODUCT((('Loan Tape'!$R$4:$R$303&lt;&gt;"")*(1-(('Loan Tape'!$AC$4:$AC$303=R38)+('Loan Tape'!$AC$4:$AC$303=R39))))*'Loan Tape'!$S$4:$S$303*'Loan Tape'!$R$4:$R$303)/E40,"-")</f>
        <v>-</v>
      </c>
    </row>
    <row r="41" customFormat="false" ht="14.25" hidden="false" customHeight="false" outlineLevel="0" collapsed="false">
      <c r="B41" s="86" t="s">
        <v>405</v>
      </c>
      <c r="C41" s="92" t="n">
        <f aca="false">C6</f>
        <v>50</v>
      </c>
      <c r="D41" s="92" t="n">
        <f aca="false">SUM('Loan Tape'!$F$4:$F$303)</f>
        <v>4739</v>
      </c>
      <c r="E41" s="88" t="n">
        <f aca="false">C5</f>
        <v>2495610000</v>
      </c>
      <c r="F41" s="89" t="n">
        <f aca="false">1</f>
        <v>1</v>
      </c>
      <c r="G41" s="90" t="n">
        <f aca="false">IFERROR(SUMPRODUCT((('Loan Tape'!$R$4:$R$303&lt;&gt;""))*'Loan Tape'!$U$4:$U$303*'Loan Tape'!$R$4:$R$303)/E41,"-")</f>
        <v>1.36575944157941</v>
      </c>
      <c r="H41" s="92" t="n">
        <f aca="false">IFERROR(SUMPRODUCT((('Loan Tape'!$R$4:$R$303&lt;&gt;""))*'Loan Tape'!$AH$4:$AH$303*'Loan Tape'!$R$4:$R$303)/E41,"-")</f>
        <v>76.5147345138063</v>
      </c>
      <c r="I41" s="92" t="n">
        <f aca="false">IFERROR(SUMPRODUCT((('Loan Tape'!$R$4:$R$303&lt;&gt;""))*(('Loan Tape'!$H$4:$H$303-$C$4)/30.4375)*'Loan Tape'!$R$4:$R$303)/E41,"-")</f>
        <v>17.6772942206432</v>
      </c>
      <c r="J41" s="89" t="n">
        <f aca="false">IFERROR(SUMPRODUCT((('Loan Tape'!$R$4:$R$303&lt;&gt;""))*('Loan Tape'!$K$4:$K$303="Floating")*'Loan Tape'!$R$4:$R$303)/E41,"-")</f>
        <v>0.664477622705471</v>
      </c>
      <c r="K41" s="89" t="n">
        <f aca="false">IFERROR(SUMPRODUCT((('Loan Tape'!$R$4:$R$303&lt;&gt;""))*'Loan Tape'!$T$4:$T$303*'Loan Tape'!$R$4:$R$303)/E41,"-")</f>
        <v>0.0861540568438177</v>
      </c>
      <c r="L41" s="89" t="n">
        <f aca="false">IFERROR(SUMPRODUCT((('Loan Tape'!$R$4:$R$303&lt;&gt;""))*'Loan Tape'!$V$4:$V$303*'Loan Tape'!$R$4:$R$303)/E41,"-")</f>
        <v>0.683559256454334</v>
      </c>
      <c r="M41" s="89" t="n">
        <f aca="false">IFERROR(SUMPRODUCT((('Loan Tape'!$R$4:$R$303&lt;&gt;""))*'Loan Tape'!$W$4:$W$303*'Loan Tape'!$R$4:$R$303)/E41,"-")</f>
        <v>0.716164459190338</v>
      </c>
      <c r="N41" s="89" t="n">
        <f aca="false">IFERROR(SUMPRODUCT((('Loan Tape'!$R$4:$R$303&lt;&gt;""))*'Loan Tape'!$AI$4:$AI$303*'Loan Tape'!$R$4:$R$303)/E41,"-")</f>
        <v>0.0704574522862146</v>
      </c>
      <c r="O41" s="89" t="n">
        <f aca="false">IFERROR(SUMPRODUCT((('Loan Tape'!$R$4:$R$303&lt;&gt;""))*'Loan Tape'!$AK$4:$AK$303*'Loan Tape'!$R$4:$R$303)/E41,"-")</f>
        <v>0.0792103169165054</v>
      </c>
      <c r="P41" s="89" t="n">
        <f aca="false">IFERROR(SUMPRODUCT((('Loan Tape'!$R$4:$R$303&lt;&gt;""))*'Loan Tape'!$S$4:$S$303*'Loan Tape'!$R$4:$R$303)/E41,"-")</f>
        <v>0.886687142221741</v>
      </c>
    </row>
    <row r="43" customFormat="false" ht="19.5" hidden="false" customHeight="true" outlineLevel="0" collapsed="false">
      <c r="B43" s="5" t="s">
        <v>408</v>
      </c>
      <c r="C43" s="5"/>
      <c r="D43" s="5"/>
      <c r="E43" s="5"/>
      <c r="F43" s="5"/>
      <c r="G43" s="5"/>
      <c r="H43" s="5"/>
      <c r="I43" s="5"/>
      <c r="J43" s="5"/>
      <c r="K43" s="5"/>
      <c r="L43" s="5"/>
      <c r="M43" s="5"/>
      <c r="N43" s="5"/>
      <c r="O43" s="5"/>
      <c r="P43" s="5"/>
    </row>
    <row r="44" customFormat="false" ht="42" hidden="false" customHeight="true" outlineLevel="0" collapsed="false">
      <c r="B44" s="82" t="s">
        <v>392</v>
      </c>
      <c r="C44" s="83" t="s">
        <v>368</v>
      </c>
      <c r="D44" s="83" t="s">
        <v>153</v>
      </c>
      <c r="E44" s="83" t="s">
        <v>393</v>
      </c>
      <c r="F44" s="83" t="s">
        <v>394</v>
      </c>
      <c r="G44" s="83" t="s">
        <v>395</v>
      </c>
      <c r="H44" s="83" t="s">
        <v>396</v>
      </c>
      <c r="I44" s="83" t="s">
        <v>397</v>
      </c>
      <c r="J44" s="83" t="s">
        <v>398</v>
      </c>
      <c r="K44" s="83" t="s">
        <v>399</v>
      </c>
      <c r="L44" s="83" t="s">
        <v>400</v>
      </c>
      <c r="M44" s="83" t="s">
        <v>401</v>
      </c>
      <c r="N44" s="83" t="s">
        <v>402</v>
      </c>
      <c r="O44" s="83" t="s">
        <v>403</v>
      </c>
      <c r="P44" s="83" t="s">
        <v>365</v>
      </c>
    </row>
    <row r="45" customFormat="false" ht="14.25" hidden="false" customHeight="false" outlineLevel="0" collapsed="false">
      <c r="B45" s="7" t="str">
        <f aca="false">R45</f>
        <v>TX</v>
      </c>
      <c r="C45" s="68" t="n">
        <f aca="false">COUNTIF('Loan Tape'!$C$4:$C$303,R45)</f>
        <v>5</v>
      </c>
      <c r="D45" s="68" t="n">
        <f aca="false">SUMPRODUCT((('Loan Tape'!$R$4:$R$303&lt;&gt;"")*('Loan Tape'!$C$4:$C$303=R45))*'Loan Tape'!$F$4:$F$303)</f>
        <v>662</v>
      </c>
      <c r="E45" s="84" t="n">
        <f aca="false">SUMIF('Loan Tape'!$C$4:$C$303,R45,'Loan Tape'!$R$4:$R$303)</f>
        <v>251312000</v>
      </c>
      <c r="F45" s="69" t="n">
        <f aca="false">IFERROR(E45/C5,0)</f>
        <v>0.100701632065908</v>
      </c>
      <c r="G45" s="85" t="n">
        <f aca="false">IFERROR(SUMPRODUCT((('Loan Tape'!$R$4:$R$303&lt;&gt;"")*('Loan Tape'!$C$4:$C$303=R45))*'Loan Tape'!$U$4:$U$303*'Loan Tape'!$R$4:$R$303)/E45,"-")</f>
        <v>1.47016756064175</v>
      </c>
      <c r="H45" s="68" t="n">
        <f aca="false">IFERROR(SUMPRODUCT((('Loan Tape'!$R$4:$R$303&lt;&gt;"")*('Loan Tape'!$C$4:$C$303=R45))*'Loan Tape'!$AH$4:$AH$303*'Loan Tape'!$R$4:$R$303)/E45,"-")</f>
        <v>44.0972743044502</v>
      </c>
      <c r="I45" s="68" t="n">
        <f aca="false">IFERROR(SUMPRODUCT((('Loan Tape'!$R$4:$R$303&lt;&gt;"")*('Loan Tape'!$C$4:$C$303=R45))*(('Loan Tape'!$H$4:$H$303-$C$4)/30.4375)*'Loan Tape'!$R$4:$R$303)/E45,"-")</f>
        <v>46.887232689907</v>
      </c>
      <c r="J45" s="69" t="n">
        <f aca="false">IFERROR(SUMPRODUCT((('Loan Tape'!$R$4:$R$303&lt;&gt;"")*('Loan Tape'!$C$4:$C$303=R45))*('Loan Tape'!$K$4:$K$303="Floating")*'Loan Tape'!$R$4:$R$303)/E45,"-")</f>
        <v>1</v>
      </c>
      <c r="K45" s="69" t="n">
        <f aca="false">IFERROR(SUMPRODUCT((('Loan Tape'!$R$4:$R$303&lt;&gt;"")*('Loan Tape'!$C$4:$C$303=R45))*'Loan Tape'!$T$4:$T$303*'Loan Tape'!$R$4:$R$303)/E45,"-")</f>
        <v>0.0913066717864646</v>
      </c>
      <c r="L45" s="69" t="n">
        <f aca="false">IFERROR(SUMPRODUCT((('Loan Tape'!$R$4:$R$303&lt;&gt;"")*('Loan Tape'!$C$4:$C$303=R45))*'Loan Tape'!$V$4:$V$303*'Loan Tape'!$R$4:$R$303)/E45,"-")</f>
        <v>0.736411182116254</v>
      </c>
      <c r="M45" s="69" t="n">
        <f aca="false">IFERROR(SUMPRODUCT((('Loan Tape'!$R$4:$R$303&lt;&gt;"")*('Loan Tape'!$C$4:$C$303=R45))*'Loan Tape'!$W$4:$W$303*'Loan Tape'!$R$4:$R$303)/E45,"-")</f>
        <v>0.758985269306679</v>
      </c>
      <c r="N45" s="69" t="n">
        <f aca="false">IFERROR(SUMPRODUCT((('Loan Tape'!$R$4:$R$303&lt;&gt;"")*('Loan Tape'!$C$4:$C$303=R45))*'Loan Tape'!$AI$4:$AI$303*'Loan Tape'!$R$4:$R$303)/E45,"-")</f>
        <v>0.0797530428312217</v>
      </c>
      <c r="O45" s="69" t="n">
        <f aca="false">IFERROR(SUMPRODUCT((('Loan Tape'!$R$4:$R$303&lt;&gt;"")*('Loan Tape'!$C$4:$C$303=R45))*'Loan Tape'!$AK$4:$AK$303*'Loan Tape'!$R$4:$R$303)/E45,"-")</f>
        <v>0.0939943038931687</v>
      </c>
      <c r="P45" s="69" t="n">
        <f aca="false">IFERROR(SUMPRODUCT((('Loan Tape'!$R$4:$R$303&lt;&gt;"")*('Loan Tape'!$C$4:$C$303=R45))*'Loan Tape'!$S$4:$S$303*'Loan Tape'!$R$4:$R$303)/E45,"-")</f>
        <v>0.938789222162093</v>
      </c>
      <c r="R45" s="91" t="s">
        <v>206</v>
      </c>
    </row>
    <row r="46" customFormat="false" ht="14.25" hidden="false" customHeight="false" outlineLevel="0" collapsed="false">
      <c r="B46" s="7" t="str">
        <f aca="false">R46</f>
        <v>CA</v>
      </c>
      <c r="C46" s="68" t="n">
        <f aca="false">COUNTIF('Loan Tape'!$C$4:$C$303,R46)</f>
        <v>2</v>
      </c>
      <c r="D46" s="68" t="n">
        <f aca="false">SUMPRODUCT((('Loan Tape'!$R$4:$R$303&lt;&gt;"")*('Loan Tape'!$C$4:$C$303=R46))*'Loan Tape'!$F$4:$F$303)</f>
        <v>0</v>
      </c>
      <c r="E46" s="84" t="n">
        <f aca="false">SUMIF('Loan Tape'!$C$4:$C$303,R46,'Loan Tape'!$R$4:$R$303)</f>
        <v>62867000</v>
      </c>
      <c r="F46" s="69" t="n">
        <f aca="false">IFERROR(E46/C5,0)</f>
        <v>0.0251910354582647</v>
      </c>
      <c r="G46" s="85" t="n">
        <f aca="false">IFERROR(SUMPRODUCT((('Loan Tape'!$R$4:$R$303&lt;&gt;"")*('Loan Tape'!$C$4:$C$303=R46))*'Loan Tape'!$U$4:$U$303*'Loan Tape'!$R$4:$R$303)/E46,"-")</f>
        <v>1.31984666041007</v>
      </c>
      <c r="H46" s="68" t="n">
        <f aca="false">IFERROR(SUMPRODUCT((('Loan Tape'!$R$4:$R$303&lt;&gt;"")*('Loan Tape'!$C$4:$C$303=R46))*'Loan Tape'!$AH$4:$AH$303*'Loan Tape'!$R$4:$R$303)/E46,"-")</f>
        <v>99.075985811316</v>
      </c>
      <c r="I46" s="68" t="n">
        <f aca="false">IFERROR(SUMPRODUCT((('Loan Tape'!$R$4:$R$303&lt;&gt;"")*('Loan Tape'!$C$4:$C$303=R46))*(('Loan Tape'!$H$4:$H$303-$C$4)/30.4375)*'Loan Tape'!$R$4:$R$303)/E46,"-")</f>
        <v>20.9464296860335</v>
      </c>
      <c r="J46" s="69" t="n">
        <f aca="false">IFERROR(SUMPRODUCT((('Loan Tape'!$R$4:$R$303&lt;&gt;"")*('Loan Tape'!$C$4:$C$303=R46))*('Loan Tape'!$K$4:$K$303="Floating")*'Loan Tape'!$R$4:$R$303)/E46,"-")</f>
        <v>1</v>
      </c>
      <c r="K46" s="69" t="n">
        <f aca="false">IFERROR(SUMPRODUCT((('Loan Tape'!$R$4:$R$303&lt;&gt;"")*('Loan Tape'!$C$4:$C$303=R46))*'Loan Tape'!$T$4:$T$303*'Loan Tape'!$R$4:$R$303)/E46,"-")</f>
        <v>0.0864544085132104</v>
      </c>
      <c r="L46" s="69" t="n">
        <f aca="false">IFERROR(SUMPRODUCT((('Loan Tape'!$R$4:$R$303&lt;&gt;"")*('Loan Tape'!$C$4:$C$303=R46))*'Loan Tape'!$V$4:$V$303*'Loan Tape'!$R$4:$R$303)/E46,"-")</f>
        <v>0.568570235576694</v>
      </c>
      <c r="M46" s="69" t="n">
        <f aca="false">IFERROR(SUMPRODUCT((('Loan Tape'!$R$4:$R$303&lt;&gt;"")*('Loan Tape'!$C$4:$C$303=R46))*'Loan Tape'!$W$4:$W$303*'Loan Tape'!$R$4:$R$303)/E46,"-")</f>
        <v>0.600326944183753</v>
      </c>
      <c r="N46" s="69" t="n">
        <f aca="false">IFERROR(SUMPRODUCT((('Loan Tape'!$R$4:$R$303&lt;&gt;"")*('Loan Tape'!$C$4:$C$303=R46))*'Loan Tape'!$AI$4:$AI$303*'Loan Tape'!$R$4:$R$303)/E46,"-")</f>
        <v>0.0662213307458603</v>
      </c>
      <c r="O46" s="69" t="n">
        <f aca="false">IFERROR(SUMPRODUCT((('Loan Tape'!$R$4:$R$303&lt;&gt;"")*('Loan Tape'!$C$4:$C$303=R46))*'Loan Tape'!$AK$4:$AK$303*'Loan Tape'!$R$4:$R$303)/E46,"-")</f>
        <v>0.0812213307458603</v>
      </c>
      <c r="P46" s="69" t="n">
        <f aca="false">IFERROR(SUMPRODUCT((('Loan Tape'!$R$4:$R$303&lt;&gt;"")*('Loan Tape'!$C$4:$C$303=R46))*'Loan Tape'!$S$4:$S$303*'Loan Tape'!$R$4:$R$303)/E46,"-")</f>
        <v>0.934729874178822</v>
      </c>
      <c r="R46" s="91" t="s">
        <v>250</v>
      </c>
    </row>
    <row r="47" customFormat="false" ht="14.25" hidden="false" customHeight="false" outlineLevel="0" collapsed="false">
      <c r="B47" s="7" t="str">
        <f aca="false">R47</f>
        <v>FL</v>
      </c>
      <c r="C47" s="68" t="n">
        <f aca="false">COUNTIF('Loan Tape'!$C$4:$C$303,R47)</f>
        <v>5</v>
      </c>
      <c r="D47" s="68" t="n">
        <f aca="false">SUMPRODUCT((('Loan Tape'!$R$4:$R$303&lt;&gt;"")*('Loan Tape'!$C$4:$C$303=R47))*'Loan Tape'!$F$4:$F$303)</f>
        <v>487</v>
      </c>
      <c r="E47" s="84" t="n">
        <f aca="false">SUMIF('Loan Tape'!$C$4:$C$303,R47,'Loan Tape'!$R$4:$R$303)</f>
        <v>236620000</v>
      </c>
      <c r="F47" s="69" t="n">
        <f aca="false">IFERROR(E47/C5,0)</f>
        <v>0.0948144942519063</v>
      </c>
      <c r="G47" s="85" t="n">
        <f aca="false">IFERROR(SUMPRODUCT((('Loan Tape'!$R$4:$R$303&lt;&gt;"")*('Loan Tape'!$C$4:$C$303=R47))*'Loan Tape'!$U$4:$U$303*'Loan Tape'!$R$4:$R$303)/E47,"-")</f>
        <v>1.25459314512721</v>
      </c>
      <c r="H47" s="68" t="n">
        <f aca="false">IFERROR(SUMPRODUCT((('Loan Tape'!$R$4:$R$303&lt;&gt;"")*('Loan Tape'!$C$4:$C$303=R47))*'Loan Tape'!$AH$4:$AH$303*'Loan Tape'!$R$4:$R$303)/E47,"-")</f>
        <v>80.9644320006762</v>
      </c>
      <c r="I47" s="68" t="n">
        <f aca="false">IFERROR(SUMPRODUCT((('Loan Tape'!$R$4:$R$303&lt;&gt;"")*('Loan Tape'!$C$4:$C$303=R47))*(('Loan Tape'!$H$4:$H$303-$C$4)/30.4375)*'Loan Tape'!$R$4:$R$303)/E47,"-")</f>
        <v>30.7380112491164</v>
      </c>
      <c r="J47" s="69" t="n">
        <f aca="false">IFERROR(SUMPRODUCT((('Loan Tape'!$R$4:$R$303&lt;&gt;"")*('Loan Tape'!$C$4:$C$303=R47))*('Loan Tape'!$K$4:$K$303="Floating")*'Loan Tape'!$R$4:$R$303)/E47,"-")</f>
        <v>0.978399966190516</v>
      </c>
      <c r="K47" s="69" t="n">
        <f aca="false">IFERROR(SUMPRODUCT((('Loan Tape'!$R$4:$R$303&lt;&gt;"")*('Loan Tape'!$C$4:$C$303=R47))*'Loan Tape'!$T$4:$T$303*'Loan Tape'!$R$4:$R$303)/E47,"-")</f>
        <v>0.0781329384667399</v>
      </c>
      <c r="L47" s="69" t="n">
        <f aca="false">IFERROR(SUMPRODUCT((('Loan Tape'!$R$4:$R$303&lt;&gt;"")*('Loan Tape'!$C$4:$C$303=R47))*'Loan Tape'!$V$4:$V$303*'Loan Tape'!$R$4:$R$303)/E47,"-")</f>
        <v>0.757500177499789</v>
      </c>
      <c r="M47" s="69" t="n">
        <f aca="false">IFERROR(SUMPRODUCT((('Loan Tape'!$R$4:$R$303&lt;&gt;"")*('Loan Tape'!$C$4:$C$303=R47))*'Loan Tape'!$W$4:$W$303*'Loan Tape'!$R$4:$R$303)/E47,"-")</f>
        <v>0.785085842278759</v>
      </c>
      <c r="N47" s="69" t="n">
        <f aca="false">IFERROR(SUMPRODUCT((('Loan Tape'!$R$4:$R$303&lt;&gt;"")*('Loan Tape'!$C$4:$C$303=R47))*'Loan Tape'!$AI$4:$AI$303*'Loan Tape'!$R$4:$R$303)/E47,"-")</f>
        <v>0.0818058029752345</v>
      </c>
      <c r="O47" s="69" t="n">
        <f aca="false">IFERROR(SUMPRODUCT((('Loan Tape'!$R$4:$R$303&lt;&gt;"")*('Loan Tape'!$C$4:$C$303=R47))*'Loan Tape'!$AK$4:$AK$303*'Loan Tape'!$R$4:$R$303)/E47,"-")</f>
        <v>0.0964818024680923</v>
      </c>
      <c r="P47" s="69" t="n">
        <f aca="false">IFERROR(SUMPRODUCT((('Loan Tape'!$R$4:$R$303&lt;&gt;"")*('Loan Tape'!$C$4:$C$303=R47))*'Loan Tape'!$S$4:$S$303*'Loan Tape'!$R$4:$R$303)/E47,"-")</f>
        <v>0.884486497337503</v>
      </c>
      <c r="R47" s="91" t="s">
        <v>220</v>
      </c>
    </row>
    <row r="48" customFormat="false" ht="14.25" hidden="false" customHeight="false" outlineLevel="0" collapsed="false">
      <c r="B48" s="7" t="str">
        <f aca="false">R48</f>
        <v>NY</v>
      </c>
      <c r="C48" s="68" t="n">
        <f aca="false">COUNTIF('Loan Tape'!$C$4:$C$303,R48)</f>
        <v>1</v>
      </c>
      <c r="D48" s="68" t="n">
        <f aca="false">SUMPRODUCT((('Loan Tape'!$R$4:$R$303&lt;&gt;"")*('Loan Tape'!$C$4:$C$303=R48))*'Loan Tape'!$F$4:$F$303)</f>
        <v>0</v>
      </c>
      <c r="E48" s="84" t="n">
        <f aca="false">SUMIF('Loan Tape'!$C$4:$C$303,R48,'Loan Tape'!$R$4:$R$303)</f>
        <v>17633000</v>
      </c>
      <c r="F48" s="69" t="n">
        <f aca="false">IFERROR(E48/C5,0)</f>
        <v>0.00706560720625418</v>
      </c>
      <c r="G48" s="85" t="n">
        <f aca="false">IFERROR(SUMPRODUCT((('Loan Tape'!$R$4:$R$303&lt;&gt;"")*('Loan Tape'!$C$4:$C$303=R48))*'Loan Tape'!$U$4:$U$303*'Loan Tape'!$R$4:$R$303)/E48,"-")</f>
        <v>1.18</v>
      </c>
      <c r="H48" s="68" t="n">
        <f aca="false">IFERROR(SUMPRODUCT((('Loan Tape'!$R$4:$R$303&lt;&gt;"")*('Loan Tape'!$C$4:$C$303=R48))*'Loan Tape'!$AH$4:$AH$303*'Loan Tape'!$R$4:$R$303)/E48,"-")</f>
        <v>37</v>
      </c>
      <c r="I48" s="68" t="n">
        <f aca="false">IFERROR(SUMPRODUCT((('Loan Tape'!$R$4:$R$303&lt;&gt;"")*('Loan Tape'!$C$4:$C$303=R48))*(('Loan Tape'!$H$4:$H$303-$C$4)/30.4375)*'Loan Tape'!$R$4:$R$303)/E48,"-")</f>
        <v>47.047227926078</v>
      </c>
      <c r="J48" s="69" t="n">
        <f aca="false">IFERROR(SUMPRODUCT((('Loan Tape'!$R$4:$R$303&lt;&gt;"")*('Loan Tape'!$C$4:$C$303=R48))*('Loan Tape'!$K$4:$K$303="Floating")*'Loan Tape'!$R$4:$R$303)/E48,"-")</f>
        <v>1</v>
      </c>
      <c r="K48" s="69" t="n">
        <f aca="false">IFERROR(SUMPRODUCT((('Loan Tape'!$R$4:$R$303&lt;&gt;"")*('Loan Tape'!$C$4:$C$303=R48))*'Loan Tape'!$T$4:$T$303*'Loan Tape'!$R$4:$R$303)/E48,"-")</f>
        <v>0.092</v>
      </c>
      <c r="L48" s="69" t="n">
        <f aca="false">IFERROR(SUMPRODUCT((('Loan Tape'!$R$4:$R$303&lt;&gt;"")*('Loan Tape'!$C$4:$C$303=R48))*'Loan Tape'!$V$4:$V$303*'Loan Tape'!$R$4:$R$303)/E48,"-")</f>
        <v>0.572</v>
      </c>
      <c r="M48" s="69" t="n">
        <f aca="false">IFERROR(SUMPRODUCT((('Loan Tape'!$R$4:$R$303&lt;&gt;"")*('Loan Tape'!$C$4:$C$303=R48))*'Loan Tape'!$W$4:$W$303*'Loan Tape'!$R$4:$R$303)/E48,"-")</f>
        <v>0.597</v>
      </c>
      <c r="N48" s="69" t="n">
        <f aca="false">IFERROR(SUMPRODUCT((('Loan Tape'!$R$4:$R$303&lt;&gt;"")*('Loan Tape'!$C$4:$C$303=R48))*'Loan Tape'!$AI$4:$AI$303*'Loan Tape'!$R$4:$R$303)/E48,"-")</f>
        <v>0.0767</v>
      </c>
      <c r="O48" s="69" t="n">
        <f aca="false">IFERROR(SUMPRODUCT((('Loan Tape'!$R$4:$R$303&lt;&gt;"")*('Loan Tape'!$C$4:$C$303=R48))*'Loan Tape'!$AK$4:$AK$303*'Loan Tape'!$R$4:$R$303)/E48,"-")</f>
        <v>0.0917</v>
      </c>
      <c r="P48" s="69" t="n">
        <f aca="false">IFERROR(SUMPRODUCT((('Loan Tape'!$R$4:$R$303&lt;&gt;"")*('Loan Tape'!$C$4:$C$303=R48))*'Loan Tape'!$S$4:$S$303*'Loan Tape'!$R$4:$R$303)/E48,"-")</f>
        <v>0.99</v>
      </c>
      <c r="R48" s="91" t="s">
        <v>302</v>
      </c>
    </row>
    <row r="49" customFormat="false" ht="14.25" hidden="false" customHeight="false" outlineLevel="0" collapsed="false">
      <c r="B49" s="7" t="str">
        <f aca="false">R49</f>
        <v>GA</v>
      </c>
      <c r="C49" s="68" t="n">
        <f aca="false">COUNTIF('Loan Tape'!$C$4:$C$303,R49)</f>
        <v>3</v>
      </c>
      <c r="D49" s="68" t="n">
        <f aca="false">SUMPRODUCT((('Loan Tape'!$R$4:$R$303&lt;&gt;"")*('Loan Tape'!$C$4:$C$303=R49))*'Loan Tape'!$F$4:$F$303)</f>
        <v>238</v>
      </c>
      <c r="E49" s="84" t="n">
        <f aca="false">SUMIF('Loan Tape'!$C$4:$C$303,R49,'Loan Tape'!$R$4:$R$303)</f>
        <v>186026000</v>
      </c>
      <c r="F49" s="69" t="n">
        <f aca="false">IFERROR(E49/C5,0)</f>
        <v>0.0745412945131651</v>
      </c>
      <c r="G49" s="85" t="n">
        <f aca="false">IFERROR(SUMPRODUCT((('Loan Tape'!$R$4:$R$303&lt;&gt;"")*('Loan Tape'!$C$4:$C$303=R49))*'Loan Tape'!$U$4:$U$303*'Loan Tape'!$R$4:$R$303)/E49,"-")</f>
        <v>1.10346585961102</v>
      </c>
      <c r="H49" s="68" t="n">
        <f aca="false">IFERROR(SUMPRODUCT((('Loan Tape'!$R$4:$R$303&lt;&gt;"")*('Loan Tape'!$C$4:$C$303=R49))*'Loan Tape'!$AH$4:$AH$303*'Loan Tape'!$R$4:$R$303)/E49,"-")</f>
        <v>70.4607603238257</v>
      </c>
      <c r="I49" s="68" t="n">
        <f aca="false">IFERROR(SUMPRODUCT((('Loan Tape'!$R$4:$R$303&lt;&gt;"")*('Loan Tape'!$C$4:$C$303=R49))*(('Loan Tape'!$H$4:$H$303-$C$4)/30.4375)*'Loan Tape'!$R$4:$R$303)/E49,"-")</f>
        <v>16.3025437414845</v>
      </c>
      <c r="J49" s="69" t="n">
        <f aca="false">IFERROR(SUMPRODUCT((('Loan Tape'!$R$4:$R$303&lt;&gt;"")*('Loan Tape'!$C$4:$C$303=R49))*('Loan Tape'!$K$4:$K$303="Floating")*'Loan Tape'!$R$4:$R$303)/E49,"-")</f>
        <v>0.0763119133884511</v>
      </c>
      <c r="K49" s="69" t="n">
        <f aca="false">IFERROR(SUMPRODUCT((('Loan Tape'!$R$4:$R$303&lt;&gt;"")*('Loan Tape'!$C$4:$C$303=R49))*'Loan Tape'!$T$4:$T$303*'Loan Tape'!$R$4:$R$303)/E49,"-")</f>
        <v>0.0953922032404073</v>
      </c>
      <c r="L49" s="69" t="n">
        <f aca="false">IFERROR(SUMPRODUCT((('Loan Tape'!$R$4:$R$303&lt;&gt;"")*('Loan Tape'!$C$4:$C$303=R49))*'Loan Tape'!$V$4:$V$303*'Loan Tape'!$R$4:$R$303)/E49,"-")</f>
        <v>0.718137835571372</v>
      </c>
      <c r="M49" s="69" t="n">
        <f aca="false">IFERROR(SUMPRODUCT((('Loan Tape'!$R$4:$R$303&lt;&gt;"")*('Loan Tape'!$C$4:$C$303=R49))*'Loan Tape'!$W$4:$W$303*'Loan Tape'!$R$4:$R$303)/E49,"-")</f>
        <v>0.768412264952211</v>
      </c>
      <c r="N49" s="69" t="n">
        <f aca="false">IFERROR(SUMPRODUCT((('Loan Tape'!$R$4:$R$303&lt;&gt;"")*('Loan Tape'!$C$4:$C$303=R49))*'Loan Tape'!$AI$4:$AI$303*'Loan Tape'!$R$4:$R$303)/E49,"-")</f>
        <v>0.0610181635900358</v>
      </c>
      <c r="O49" s="69" t="n">
        <f aca="false">IFERROR(SUMPRODUCT((('Loan Tape'!$R$4:$R$303&lt;&gt;"")*('Loan Tape'!$C$4:$C$303=R49))*'Loan Tape'!$AK$4:$AK$303*'Loan Tape'!$R$4:$R$303)/E49,"-")</f>
        <v>0.0609342204853085</v>
      </c>
      <c r="P49" s="69" t="n">
        <f aca="false">IFERROR(SUMPRODUCT((('Loan Tape'!$R$4:$R$303&lt;&gt;"")*('Loan Tape'!$C$4:$C$303=R49))*'Loan Tape'!$S$4:$S$303*'Loan Tape'!$R$4:$R$303)/E49,"-")</f>
        <v>0.898212282154108</v>
      </c>
      <c r="R49" s="91" t="s">
        <v>274</v>
      </c>
    </row>
    <row r="50" customFormat="false" ht="14.25" hidden="false" customHeight="false" outlineLevel="0" collapsed="false">
      <c r="B50" s="7" t="str">
        <f aca="false">R50</f>
        <v>NC</v>
      </c>
      <c r="C50" s="68" t="n">
        <f aca="false">COUNTIF('Loan Tape'!$C$4:$C$303,R50)</f>
        <v>6</v>
      </c>
      <c r="D50" s="68" t="n">
        <f aca="false">SUMPRODUCT((('Loan Tape'!$R$4:$R$303&lt;&gt;"")*('Loan Tape'!$C$4:$C$303=R50))*'Loan Tape'!$F$4:$F$303)</f>
        <v>505</v>
      </c>
      <c r="E50" s="84" t="n">
        <f aca="false">SUMIF('Loan Tape'!$C$4:$C$303,R50,'Loan Tape'!$R$4:$R$303)</f>
        <v>293937000</v>
      </c>
      <c r="F50" s="69" t="n">
        <f aca="false">IFERROR(E50/C5,0)</f>
        <v>0.117781624532679</v>
      </c>
      <c r="G50" s="85" t="n">
        <f aca="false">IFERROR(SUMPRODUCT((('Loan Tape'!$R$4:$R$303&lt;&gt;"")*('Loan Tape'!$C$4:$C$303=R50))*'Loan Tape'!$U$4:$U$303*'Loan Tape'!$R$4:$R$303)/E50,"-")</f>
        <v>1.01977590436046</v>
      </c>
      <c r="H50" s="68" t="n">
        <f aca="false">IFERROR(SUMPRODUCT((('Loan Tape'!$R$4:$R$303&lt;&gt;"")*('Loan Tape'!$C$4:$C$303=R50))*'Loan Tape'!$AH$4:$AH$303*'Loan Tape'!$R$4:$R$303)/E50,"-")</f>
        <v>78.7844578940385</v>
      </c>
      <c r="I50" s="68" t="n">
        <f aca="false">IFERROR(SUMPRODUCT((('Loan Tape'!$R$4:$R$303&lt;&gt;"")*('Loan Tape'!$C$4:$C$303=R50))*(('Loan Tape'!$H$4:$H$303-$C$4)/30.4375)*'Loan Tape'!$R$4:$R$303)/E50,"-")</f>
        <v>-11.6715753509851</v>
      </c>
      <c r="J50" s="69" t="n">
        <f aca="false">IFERROR(SUMPRODUCT((('Loan Tape'!$R$4:$R$303&lt;&gt;"")*('Loan Tape'!$C$4:$C$303=R50))*('Loan Tape'!$K$4:$K$303="Floating")*'Loan Tape'!$R$4:$R$303)/E50,"-")</f>
        <v>0.422318387953881</v>
      </c>
      <c r="K50" s="69" t="n">
        <f aca="false">IFERROR(SUMPRODUCT((('Loan Tape'!$R$4:$R$303&lt;&gt;"")*('Loan Tape'!$C$4:$C$303=R50))*'Loan Tape'!$T$4:$T$303*'Loan Tape'!$R$4:$R$303)/E50,"-")</f>
        <v>0.106501097173884</v>
      </c>
      <c r="L50" s="69" t="n">
        <f aca="false">IFERROR(SUMPRODUCT((('Loan Tape'!$R$4:$R$303&lt;&gt;"")*('Loan Tape'!$C$4:$C$303=R50))*'Loan Tape'!$V$4:$V$303*'Loan Tape'!$R$4:$R$303)/E50,"-")</f>
        <v>0.687894599863236</v>
      </c>
      <c r="M50" s="69" t="n">
        <f aca="false">IFERROR(SUMPRODUCT((('Loan Tape'!$R$4:$R$303&lt;&gt;"")*('Loan Tape'!$C$4:$C$303=R50))*'Loan Tape'!$W$4:$W$303*'Loan Tape'!$R$4:$R$303)/E50,"-")</f>
        <v>0.728614114589181</v>
      </c>
      <c r="N50" s="69" t="n">
        <f aca="false">IFERROR(SUMPRODUCT((('Loan Tape'!$R$4:$R$303&lt;&gt;"")*('Loan Tape'!$C$4:$C$303=R50))*'Loan Tape'!$AI$4:$AI$303*'Loan Tape'!$R$4:$R$303)/E50,"-")</f>
        <v>0.0640476925327536</v>
      </c>
      <c r="O50" s="69" t="n">
        <f aca="false">IFERROR(SUMPRODUCT((('Loan Tape'!$R$4:$R$303&lt;&gt;"")*('Loan Tape'!$C$4:$C$303=R50))*'Loan Tape'!$AK$4:$AK$303*'Loan Tape'!$R$4:$R$303)/E50,"-")</f>
        <v>0.0697323644182257</v>
      </c>
      <c r="P50" s="69" t="n">
        <f aca="false">IFERROR(SUMPRODUCT((('Loan Tape'!$R$4:$R$303&lt;&gt;"")*('Loan Tape'!$C$4:$C$303=R50))*'Loan Tape'!$S$4:$S$303*'Loan Tape'!$R$4:$R$303)/E50,"-")</f>
        <v>0.927033333673542</v>
      </c>
      <c r="R50" s="91" t="s">
        <v>268</v>
      </c>
    </row>
    <row r="51" customFormat="false" ht="14.25" hidden="false" customHeight="false" outlineLevel="0" collapsed="false">
      <c r="B51" s="7" t="str">
        <f aca="false">R51</f>
        <v>AZ</v>
      </c>
      <c r="C51" s="68" t="n">
        <f aca="false">COUNTIF('Loan Tape'!$C$4:$C$303,R51)</f>
        <v>1</v>
      </c>
      <c r="D51" s="68" t="n">
        <f aca="false">SUMPRODUCT((('Loan Tape'!$R$4:$R$303&lt;&gt;"")*('Loan Tape'!$C$4:$C$303=R51))*'Loan Tape'!$F$4:$F$303)</f>
        <v>0</v>
      </c>
      <c r="E51" s="84" t="n">
        <f aca="false">SUMIF('Loan Tape'!$C$4:$C$303,R51,'Loan Tape'!$R$4:$R$303)</f>
        <v>120313000</v>
      </c>
      <c r="F51" s="69" t="n">
        <f aca="false">IFERROR(E51/C5,0)</f>
        <v>0.0482098565080281</v>
      </c>
      <c r="G51" s="85" t="n">
        <f aca="false">IFERROR(SUMPRODUCT((('Loan Tape'!$R$4:$R$303&lt;&gt;"")*('Loan Tape'!$C$4:$C$303=R51))*'Loan Tape'!$U$4:$U$303*'Loan Tape'!$R$4:$R$303)/E51,"-")</f>
        <v>1.38</v>
      </c>
      <c r="H51" s="68" t="n">
        <f aca="false">IFERROR(SUMPRODUCT((('Loan Tape'!$R$4:$R$303&lt;&gt;"")*('Loan Tape'!$C$4:$C$303=R51))*'Loan Tape'!$AH$4:$AH$303*'Loan Tape'!$R$4:$R$303)/E51,"-")</f>
        <v>100</v>
      </c>
      <c r="I51" s="68" t="n">
        <f aca="false">IFERROR(SUMPRODUCT((('Loan Tape'!$R$4:$R$303&lt;&gt;"")*('Loan Tape'!$C$4:$C$303=R51))*(('Loan Tape'!$H$4:$H$303-$C$4)/30.4375)*'Loan Tape'!$R$4:$R$303)/E51,"-")</f>
        <v>20.041067761807</v>
      </c>
      <c r="J51" s="69" t="n">
        <f aca="false">IFERROR(SUMPRODUCT((('Loan Tape'!$R$4:$R$303&lt;&gt;"")*('Loan Tape'!$C$4:$C$303=R51))*('Loan Tape'!$K$4:$K$303="Floating")*'Loan Tape'!$R$4:$R$303)/E51,"-")</f>
        <v>1</v>
      </c>
      <c r="K51" s="69" t="n">
        <f aca="false">IFERROR(SUMPRODUCT((('Loan Tape'!$R$4:$R$303&lt;&gt;"")*('Loan Tape'!$C$4:$C$303=R51))*'Loan Tape'!$T$4:$T$303*'Loan Tape'!$R$4:$R$303)/E51,"-")</f>
        <v>0.0814</v>
      </c>
      <c r="L51" s="69" t="n">
        <f aca="false">IFERROR(SUMPRODUCT((('Loan Tape'!$R$4:$R$303&lt;&gt;"")*('Loan Tape'!$C$4:$C$303=R51))*'Loan Tape'!$V$4:$V$303*'Loan Tape'!$R$4:$R$303)/E51,"-")</f>
        <v>0.663</v>
      </c>
      <c r="M51" s="69" t="n">
        <f aca="false">IFERROR(SUMPRODUCT((('Loan Tape'!$R$4:$R$303&lt;&gt;"")*('Loan Tape'!$C$4:$C$303=R51))*'Loan Tape'!$W$4:$W$303*'Loan Tape'!$R$4:$R$303)/E51,"-")</f>
        <v>0.69</v>
      </c>
      <c r="N51" s="69" t="n">
        <f aca="false">IFERROR(SUMPRODUCT((('Loan Tape'!$R$4:$R$303&lt;&gt;"")*('Loan Tape'!$C$4:$C$303=R51))*'Loan Tape'!$AI$4:$AI$303*'Loan Tape'!$R$4:$R$303)/E51,"-")</f>
        <v>0.083</v>
      </c>
      <c r="O51" s="69" t="n">
        <f aca="false">IFERROR(SUMPRODUCT((('Loan Tape'!$R$4:$R$303&lt;&gt;"")*('Loan Tape'!$C$4:$C$303=R51))*'Loan Tape'!$AK$4:$AK$303*'Loan Tape'!$R$4:$R$303)/E51,"-")</f>
        <v>0.098</v>
      </c>
      <c r="P51" s="69" t="n">
        <f aca="false">IFERROR(SUMPRODUCT((('Loan Tape'!$R$4:$R$303&lt;&gt;"")*('Loan Tape'!$C$4:$C$303=R51))*'Loan Tape'!$S$4:$S$303*'Loan Tape'!$R$4:$R$303)/E51,"-")</f>
        <v>0.784</v>
      </c>
      <c r="R51" s="91" t="s">
        <v>360</v>
      </c>
    </row>
    <row r="52" customFormat="false" ht="14.25" hidden="false" customHeight="false" outlineLevel="0" collapsed="false">
      <c r="B52" s="7" t="str">
        <f aca="false">R52</f>
        <v>VA</v>
      </c>
      <c r="C52" s="68" t="n">
        <f aca="false">COUNTIF('Loan Tape'!$C$4:$C$303,R52)</f>
        <v>3</v>
      </c>
      <c r="D52" s="68" t="n">
        <f aca="false">SUMPRODUCT((('Loan Tape'!$R$4:$R$303&lt;&gt;"")*('Loan Tape'!$C$4:$C$303=R52))*'Loan Tape'!$F$4:$F$303)</f>
        <v>452</v>
      </c>
      <c r="E52" s="84" t="n">
        <f aca="false">SUMIF('Loan Tape'!$C$4:$C$303,R52,'Loan Tape'!$R$4:$R$303)</f>
        <v>159023000</v>
      </c>
      <c r="F52" s="69" t="n">
        <f aca="false">IFERROR(E52/C5,0)</f>
        <v>0.0637210942414881</v>
      </c>
      <c r="G52" s="85" t="n">
        <f aca="false">IFERROR(SUMPRODUCT((('Loan Tape'!$R$4:$R$303&lt;&gt;"")*('Loan Tape'!$C$4:$C$303=R52))*'Loan Tape'!$U$4:$U$303*'Loan Tape'!$R$4:$R$303)/E52,"-")</f>
        <v>1.46710853147029</v>
      </c>
      <c r="H52" s="68" t="n">
        <f aca="false">IFERROR(SUMPRODUCT((('Loan Tape'!$R$4:$R$303&lt;&gt;"")*('Loan Tape'!$C$4:$C$303=R52))*'Loan Tape'!$AH$4:$AH$303*'Loan Tape'!$R$4:$R$303)/E52,"-")</f>
        <v>97.0924501487206</v>
      </c>
      <c r="I52" s="68" t="n">
        <f aca="false">IFERROR(SUMPRODUCT((('Loan Tape'!$R$4:$R$303&lt;&gt;"")*('Loan Tape'!$C$4:$C$303=R52))*(('Loan Tape'!$H$4:$H$303-$C$4)/30.4375)*'Loan Tape'!$R$4:$R$303)/E52,"-")</f>
        <v>19.5860184805832</v>
      </c>
      <c r="J52" s="69" t="n">
        <f aca="false">IFERROR(SUMPRODUCT((('Loan Tape'!$R$4:$R$303&lt;&gt;"")*('Loan Tape'!$C$4:$C$303=R52))*('Loan Tape'!$K$4:$K$303="Floating")*'Loan Tape'!$R$4:$R$303)/E52,"-")</f>
        <v>0.396955157430057</v>
      </c>
      <c r="K52" s="69" t="n">
        <f aca="false">IFERROR(SUMPRODUCT((('Loan Tape'!$R$4:$R$303&lt;&gt;"")*('Loan Tape'!$C$4:$C$303=R52))*'Loan Tape'!$T$4:$T$303*'Loan Tape'!$R$4:$R$303)/E52,"-")</f>
        <v>0.0988823868245474</v>
      </c>
      <c r="L52" s="69" t="n">
        <f aca="false">IFERROR(SUMPRODUCT((('Loan Tape'!$R$4:$R$303&lt;&gt;"")*('Loan Tape'!$C$4:$C$303=R52))*'Loan Tape'!$V$4:$V$303*'Loan Tape'!$R$4:$R$303)/E52,"-")</f>
        <v>0.605062601007401</v>
      </c>
      <c r="M52" s="69" t="n">
        <f aca="false">IFERROR(SUMPRODUCT((('Loan Tape'!$R$4:$R$303&lt;&gt;"")*('Loan Tape'!$C$4:$C$303=R52))*'Loan Tape'!$W$4:$W$303*'Loan Tape'!$R$4:$R$303)/E52,"-")</f>
        <v>0.636358407274419</v>
      </c>
      <c r="N52" s="69" t="n">
        <f aca="false">IFERROR(SUMPRODUCT((('Loan Tape'!$R$4:$R$303&lt;&gt;"")*('Loan Tape'!$C$4:$C$303=R52))*'Loan Tape'!$AI$4:$AI$303*'Loan Tape'!$R$4:$R$303)/E52,"-")</f>
        <v>0.0542176119177729</v>
      </c>
      <c r="O52" s="69" t="n">
        <f aca="false">IFERROR(SUMPRODUCT((('Loan Tape'!$R$4:$R$303&lt;&gt;"")*('Loan Tape'!$C$4:$C$303=R52))*'Loan Tape'!$AK$4:$AK$303*'Loan Tape'!$R$4:$R$303)/E52,"-")</f>
        <v>0.0601719392792238</v>
      </c>
      <c r="P52" s="69" t="n">
        <f aca="false">IFERROR(SUMPRODUCT((('Loan Tape'!$R$4:$R$303&lt;&gt;"")*('Loan Tape'!$C$4:$C$303=R52))*'Loan Tape'!$S$4:$S$303*'Loan Tape'!$R$4:$R$303)/E52,"-")</f>
        <v>0.831541003502638</v>
      </c>
      <c r="R52" s="91" t="s">
        <v>306</v>
      </c>
    </row>
    <row r="53" customFormat="false" ht="14.25" hidden="false" customHeight="false" outlineLevel="0" collapsed="false">
      <c r="B53" s="7" t="str">
        <f aca="false">R53</f>
        <v>IL</v>
      </c>
      <c r="C53" s="68" t="n">
        <f aca="false">COUNTIF('Loan Tape'!$C$4:$C$303,R53)</f>
        <v>2</v>
      </c>
      <c r="D53" s="68" t="n">
        <f aca="false">SUMPRODUCT((('Loan Tape'!$R$4:$R$303&lt;&gt;"")*('Loan Tape'!$C$4:$C$303=R53))*'Loan Tape'!$F$4:$F$303)</f>
        <v>425</v>
      </c>
      <c r="E53" s="84" t="n">
        <f aca="false">SUMIF('Loan Tape'!$C$4:$C$303,R53,'Loan Tape'!$R$4:$R$303)</f>
        <v>83754000</v>
      </c>
      <c r="F53" s="69" t="n">
        <f aca="false">IFERROR(E53/C5,0)</f>
        <v>0.0335605322947095</v>
      </c>
      <c r="G53" s="85" t="n">
        <f aca="false">IFERROR(SUMPRODUCT((('Loan Tape'!$R$4:$R$303&lt;&gt;"")*('Loan Tape'!$C$4:$C$303=R53))*'Loan Tape'!$U$4:$U$303*'Loan Tape'!$R$4:$R$303)/E53,"-")</f>
        <v>1.31070563793968</v>
      </c>
      <c r="H53" s="68" t="n">
        <f aca="false">IFERROR(SUMPRODUCT((('Loan Tape'!$R$4:$R$303&lt;&gt;"")*('Loan Tape'!$C$4:$C$303=R53))*'Loan Tape'!$AH$4:$AH$303*'Loan Tape'!$R$4:$R$303)/E53,"-")</f>
        <v>69.6005444516083</v>
      </c>
      <c r="I53" s="68" t="n">
        <f aca="false">IFERROR(SUMPRODUCT((('Loan Tape'!$R$4:$R$303&lt;&gt;"")*('Loan Tape'!$C$4:$C$303=R53))*(('Loan Tape'!$H$4:$H$303-$C$4)/30.4375)*'Loan Tape'!$R$4:$R$303)/E53,"-")</f>
        <v>50.3976017768669</v>
      </c>
      <c r="J53" s="69" t="n">
        <f aca="false">IFERROR(SUMPRODUCT((('Loan Tape'!$R$4:$R$303&lt;&gt;"")*('Loan Tape'!$C$4:$C$303=R53))*('Loan Tape'!$K$4:$K$303="Floating")*'Loan Tape'!$R$4:$R$303)/E53,"-")</f>
        <v>0.916111469302959</v>
      </c>
      <c r="K53" s="69" t="n">
        <f aca="false">IFERROR(SUMPRODUCT((('Loan Tape'!$R$4:$R$303&lt;&gt;"")*('Loan Tape'!$C$4:$C$303=R53))*'Loan Tape'!$T$4:$T$303*'Loan Tape'!$R$4:$R$303)/E53,"-")</f>
        <v>0.085277892399169</v>
      </c>
      <c r="L53" s="69" t="n">
        <f aca="false">IFERROR(SUMPRODUCT((('Loan Tape'!$R$4:$R$303&lt;&gt;"")*('Loan Tape'!$C$4:$C$303=R53))*'Loan Tape'!$V$4:$V$303*'Loan Tape'!$R$4:$R$303)/E53,"-")</f>
        <v>0.772017264847052</v>
      </c>
      <c r="M53" s="69" t="n">
        <f aca="false">IFERROR(SUMPRODUCT((('Loan Tape'!$R$4:$R$303&lt;&gt;"")*('Loan Tape'!$C$4:$C$303=R53))*'Loan Tape'!$W$4:$W$303*'Loan Tape'!$R$4:$R$303)/E53,"-")</f>
        <v>0.809094491009385</v>
      </c>
      <c r="N53" s="69" t="n">
        <f aca="false">IFERROR(SUMPRODUCT((('Loan Tape'!$R$4:$R$303&lt;&gt;"")*('Loan Tape'!$C$4:$C$303=R53))*'Loan Tape'!$AI$4:$AI$303*'Loan Tape'!$R$4:$R$303)/E53,"-")</f>
        <v>0.0702705637939681</v>
      </c>
      <c r="O53" s="69" t="n">
        <f aca="false">IFERROR(SUMPRODUCT((('Loan Tape'!$R$4:$R$303&lt;&gt;"")*('Loan Tape'!$C$4:$C$303=R53))*'Loan Tape'!$AK$4:$AK$303*'Loan Tape'!$R$4:$R$303)/E53,"-")</f>
        <v>0.0840122358335124</v>
      </c>
      <c r="P53" s="69" t="n">
        <f aca="false">IFERROR(SUMPRODUCT((('Loan Tape'!$R$4:$R$303&lt;&gt;"")*('Loan Tape'!$C$4:$C$303=R53))*'Loan Tape'!$S$4:$S$303*'Loan Tape'!$R$4:$R$303)/E53,"-")</f>
        <v>0.837637796403754</v>
      </c>
      <c r="R53" s="91" t="s">
        <v>288</v>
      </c>
    </row>
    <row r="54" customFormat="false" ht="14.25" hidden="false" customHeight="false" outlineLevel="0" collapsed="false">
      <c r="B54" s="7" t="str">
        <f aca="false">R54</f>
        <v>WA</v>
      </c>
      <c r="C54" s="68" t="n">
        <f aca="false">COUNTIF('Loan Tape'!$C$4:$C$303,R54)</f>
        <v>4</v>
      </c>
      <c r="D54" s="68" t="n">
        <f aca="false">SUMPRODUCT((('Loan Tape'!$R$4:$R$303&lt;&gt;"")*('Loan Tape'!$C$4:$C$303=R54))*'Loan Tape'!$F$4:$F$303)</f>
        <v>250</v>
      </c>
      <c r="E54" s="84" t="n">
        <f aca="false">SUMIF('Loan Tape'!$C$4:$C$303,R54,'Loan Tape'!$R$4:$R$303)</f>
        <v>344643000</v>
      </c>
      <c r="F54" s="69" t="n">
        <f aca="false">IFERROR(E54/C5,0)</f>
        <v>0.138099703078606</v>
      </c>
      <c r="G54" s="85" t="n">
        <f aca="false">IFERROR(SUMPRODUCT((('Loan Tape'!$R$4:$R$303&lt;&gt;"")*('Loan Tape'!$C$4:$C$303=R54))*'Loan Tape'!$U$4:$U$303*'Loan Tape'!$R$4:$R$303)/E54,"-")</f>
        <v>1.47263690253393</v>
      </c>
      <c r="H54" s="68" t="n">
        <f aca="false">IFERROR(SUMPRODUCT((('Loan Tape'!$R$4:$R$303&lt;&gt;"")*('Loan Tape'!$C$4:$C$303=R54))*'Loan Tape'!$AH$4:$AH$303*'Loan Tape'!$R$4:$R$303)/E54,"-")</f>
        <v>92.1492860728348</v>
      </c>
      <c r="I54" s="68" t="n">
        <f aca="false">IFERROR(SUMPRODUCT((('Loan Tape'!$R$4:$R$303&lt;&gt;"")*('Loan Tape'!$C$4:$C$303=R54))*(('Loan Tape'!$H$4:$H$303-$C$4)/30.4375)*'Loan Tape'!$R$4:$R$303)/E54,"-")</f>
        <v>0.69952346189067</v>
      </c>
      <c r="J54" s="69" t="n">
        <f aca="false">IFERROR(SUMPRODUCT((('Loan Tape'!$R$4:$R$303&lt;&gt;"")*('Loan Tape'!$C$4:$C$303=R54))*('Loan Tape'!$K$4:$K$303="Floating")*'Loan Tape'!$R$4:$R$303)/E54,"-")</f>
        <v>0.547470861151975</v>
      </c>
      <c r="K54" s="69" t="n">
        <f aca="false">IFERROR(SUMPRODUCT((('Loan Tape'!$R$4:$R$303&lt;&gt;"")*('Loan Tape'!$C$4:$C$303=R54))*'Loan Tape'!$T$4:$T$303*'Loan Tape'!$R$4:$R$303)/E54,"-")</f>
        <v>0.0919596649286363</v>
      </c>
      <c r="L54" s="69" t="n">
        <f aca="false">IFERROR(SUMPRODUCT((('Loan Tape'!$R$4:$R$303&lt;&gt;"")*('Loan Tape'!$C$4:$C$303=R54))*'Loan Tape'!$V$4:$V$303*'Loan Tape'!$R$4:$R$303)/E54,"-")</f>
        <v>0.585335474679596</v>
      </c>
      <c r="M54" s="69" t="n">
        <f aca="false">IFERROR(SUMPRODUCT((('Loan Tape'!$R$4:$R$303&lt;&gt;"")*('Loan Tape'!$C$4:$C$303=R54))*'Loan Tape'!$W$4:$W$303*'Loan Tape'!$R$4:$R$303)/E54,"-")</f>
        <v>0.607120655286775</v>
      </c>
      <c r="N54" s="69" t="n">
        <f aca="false">IFERROR(SUMPRODUCT((('Loan Tape'!$R$4:$R$303&lt;&gt;"")*('Loan Tape'!$C$4:$C$303=R54))*'Loan Tape'!$AI$4:$AI$303*'Loan Tape'!$R$4:$R$303)/E54,"-")</f>
        <v>0.0681307503706734</v>
      </c>
      <c r="O54" s="69" t="n">
        <f aca="false">IFERROR(SUMPRODUCT((('Loan Tape'!$R$4:$R$303&lt;&gt;"")*('Loan Tape'!$C$4:$C$303=R54))*'Loan Tape'!$AK$4:$AK$303*'Loan Tape'!$R$4:$R$303)/E54,"-")</f>
        <v>0.0763428132879531</v>
      </c>
      <c r="P54" s="69" t="n">
        <f aca="false">IFERROR(SUMPRODUCT((('Loan Tape'!$R$4:$R$303&lt;&gt;"")*('Loan Tape'!$C$4:$C$303=R54))*'Loan Tape'!$S$4:$S$303*'Loan Tape'!$R$4:$R$303)/E54,"-")</f>
        <v>0.921990407465116</v>
      </c>
      <c r="R54" s="91" t="s">
        <v>243</v>
      </c>
    </row>
    <row r="55" customFormat="false" ht="14.25" hidden="false" customHeight="false" outlineLevel="0" collapsed="false">
      <c r="B55" s="7" t="str">
        <f aca="false">R55</f>
        <v>CO</v>
      </c>
      <c r="C55" s="68" t="n">
        <f aca="false">COUNTIF('Loan Tape'!$C$4:$C$303,R55)</f>
        <v>4</v>
      </c>
      <c r="D55" s="68" t="n">
        <f aca="false">SUMPRODUCT((('Loan Tape'!$R$4:$R$303&lt;&gt;"")*('Loan Tape'!$C$4:$C$303=R55))*'Loan Tape'!$F$4:$F$303)</f>
        <v>571</v>
      </c>
      <c r="E55" s="84" t="n">
        <f aca="false">SUMIF('Loan Tape'!$C$4:$C$303,R55,'Loan Tape'!$R$4:$R$303)</f>
        <v>239660000</v>
      </c>
      <c r="F55" s="69" t="n">
        <f aca="false">IFERROR(E55/C5,0)</f>
        <v>0.096032633304082</v>
      </c>
      <c r="G55" s="85" t="n">
        <f aca="false">IFERROR(SUMPRODUCT((('Loan Tape'!$R$4:$R$303&lt;&gt;"")*('Loan Tape'!$C$4:$C$303=R55))*'Loan Tape'!$U$4:$U$303*'Loan Tape'!$R$4:$R$303)/E55,"-")</f>
        <v>1.26235124760077</v>
      </c>
      <c r="H55" s="68" t="n">
        <f aca="false">IFERROR(SUMPRODUCT((('Loan Tape'!$R$4:$R$303&lt;&gt;"")*('Loan Tape'!$C$4:$C$303=R55))*'Loan Tape'!$AH$4:$AH$303*'Loan Tape'!$R$4:$R$303)/E55,"-")</f>
        <v>73.7972085454394</v>
      </c>
      <c r="I55" s="68" t="n">
        <f aca="false">IFERROR(SUMPRODUCT((('Loan Tape'!$R$4:$R$303&lt;&gt;"")*('Loan Tape'!$C$4:$C$303=R55))*(('Loan Tape'!$H$4:$H$303-$C$4)/30.4375)*'Loan Tape'!$R$4:$R$303)/E55,"-")</f>
        <v>28.3260098280915</v>
      </c>
      <c r="J55" s="69" t="n">
        <f aca="false">IFERROR(SUMPRODUCT((('Loan Tape'!$R$4:$R$303&lt;&gt;"")*('Loan Tape'!$C$4:$C$303=R55))*('Loan Tape'!$K$4:$K$303="Floating")*'Loan Tape'!$R$4:$R$303)/E55,"-")</f>
        <v>0.613114412083785</v>
      </c>
      <c r="K55" s="69" t="n">
        <f aca="false">IFERROR(SUMPRODUCT((('Loan Tape'!$R$4:$R$303&lt;&gt;"")*('Loan Tape'!$C$4:$C$303=R55))*'Loan Tape'!$T$4:$T$303*'Loan Tape'!$R$4:$R$303)/E55,"-")</f>
        <v>0.0473559012768088</v>
      </c>
      <c r="L55" s="69" t="n">
        <f aca="false">IFERROR(SUMPRODUCT((('Loan Tape'!$R$4:$R$303&lt;&gt;"")*('Loan Tape'!$C$4:$C$303=R55))*'Loan Tape'!$V$4:$V$303*'Loan Tape'!$R$4:$R$303)/E55,"-")</f>
        <v>0.743324897771843</v>
      </c>
      <c r="M55" s="69" t="n">
        <f aca="false">IFERROR(SUMPRODUCT((('Loan Tape'!$R$4:$R$303&lt;&gt;"")*('Loan Tape'!$C$4:$C$303=R55))*'Loan Tape'!$W$4:$W$303*'Loan Tape'!$R$4:$R$303)/E55,"-")</f>
        <v>0.778890202787282</v>
      </c>
      <c r="N55" s="69" t="n">
        <f aca="false">IFERROR(SUMPRODUCT((('Loan Tape'!$R$4:$R$303&lt;&gt;"")*('Loan Tape'!$C$4:$C$303=R55))*'Loan Tape'!$AI$4:$AI$303*'Loan Tape'!$R$4:$R$303)/E55,"-")</f>
        <v>0.0717661791704915</v>
      </c>
      <c r="O55" s="69" t="n">
        <f aca="false">IFERROR(SUMPRODUCT((('Loan Tape'!$R$4:$R$303&lt;&gt;"")*('Loan Tape'!$C$4:$C$303=R55))*'Loan Tape'!$AK$4:$AK$303*'Loan Tape'!$R$4:$R$303)/E55,"-")</f>
        <v>0.0809628953517483</v>
      </c>
      <c r="P55" s="69" t="n">
        <f aca="false">IFERROR(SUMPRODUCT((('Loan Tape'!$R$4:$R$303&lt;&gt;"")*('Loan Tape'!$C$4:$C$303=R55))*'Loan Tape'!$S$4:$S$303*'Loan Tape'!$R$4:$R$303)/E55,"-")</f>
        <v>0.872523650171076</v>
      </c>
      <c r="R55" s="91" t="s">
        <v>227</v>
      </c>
    </row>
    <row r="56" customFormat="false" ht="14.25" hidden="false" customHeight="false" outlineLevel="0" collapsed="false">
      <c r="B56" s="7" t="str">
        <f aca="false">R56</f>
        <v>OH</v>
      </c>
      <c r="C56" s="68" t="n">
        <f aca="false">COUNTIF('Loan Tape'!$C$4:$C$303,R56)</f>
        <v>4</v>
      </c>
      <c r="D56" s="68" t="n">
        <f aca="false">SUMPRODUCT((('Loan Tape'!$R$4:$R$303&lt;&gt;"")*('Loan Tape'!$C$4:$C$303=R56))*'Loan Tape'!$F$4:$F$303)</f>
        <v>423</v>
      </c>
      <c r="E56" s="84" t="n">
        <f aca="false">SUMIF('Loan Tape'!$C$4:$C$303,R56,'Loan Tape'!$R$4:$R$303)</f>
        <v>108163000</v>
      </c>
      <c r="F56" s="69" t="n">
        <f aca="false">IFERROR(E56/C5,0)</f>
        <v>0.0433413073356815</v>
      </c>
      <c r="G56" s="85" t="n">
        <f aca="false">IFERROR(SUMPRODUCT((('Loan Tape'!$R$4:$R$303&lt;&gt;"")*('Loan Tape'!$C$4:$C$303=R56))*'Loan Tape'!$U$4:$U$303*'Loan Tape'!$R$4:$R$303)/E56,"-")</f>
        <v>1.71537244713996</v>
      </c>
      <c r="H56" s="68" t="n">
        <f aca="false">IFERROR(SUMPRODUCT((('Loan Tape'!$R$4:$R$303&lt;&gt;"")*('Loan Tape'!$C$4:$C$303=R56))*'Loan Tape'!$AH$4:$AH$303*'Loan Tape'!$R$4:$R$303)/E56,"-")</f>
        <v>48.8196351802372</v>
      </c>
      <c r="I56" s="68" t="n">
        <f aca="false">IFERROR(SUMPRODUCT((('Loan Tape'!$R$4:$R$303&lt;&gt;"")*('Loan Tape'!$C$4:$C$303=R56))*(('Loan Tape'!$H$4:$H$303-$C$4)/30.4375)*'Loan Tape'!$R$4:$R$303)/E56,"-")</f>
        <v>46.9228634910111</v>
      </c>
      <c r="J56" s="69" t="n">
        <f aca="false">IFERROR(SUMPRODUCT((('Loan Tape'!$R$4:$R$303&lt;&gt;"")*('Loan Tape'!$C$4:$C$303=R56))*('Loan Tape'!$K$4:$K$303="Floating")*'Loan Tape'!$R$4:$R$303)/E56,"-")</f>
        <v>1</v>
      </c>
      <c r="K56" s="69" t="n">
        <f aca="false">IFERROR(SUMPRODUCT((('Loan Tape'!$R$4:$R$303&lt;&gt;"")*('Loan Tape'!$C$4:$C$303=R56))*'Loan Tape'!$T$4:$T$303*'Loan Tape'!$R$4:$R$303)/E56,"-")</f>
        <v>0.0531669637491564</v>
      </c>
      <c r="L56" s="69" t="n">
        <f aca="false">IFERROR(SUMPRODUCT((('Loan Tape'!$R$4:$R$303&lt;&gt;"")*('Loan Tape'!$C$4:$C$303=R56))*'Loan Tape'!$V$4:$V$303*'Loan Tape'!$R$4:$R$303)/E56,"-")</f>
        <v>0.680917365457689</v>
      </c>
      <c r="M56" s="69" t="n">
        <f aca="false">IFERROR(SUMPRODUCT((('Loan Tape'!$R$4:$R$303&lt;&gt;"")*('Loan Tape'!$C$4:$C$303=R56))*'Loan Tape'!$W$4:$W$303*'Loan Tape'!$R$4:$R$303)/E56,"-")</f>
        <v>0.716039153869623</v>
      </c>
      <c r="N56" s="69" t="n">
        <f aca="false">IFERROR(SUMPRODUCT((('Loan Tape'!$R$4:$R$303&lt;&gt;"")*('Loan Tape'!$C$4:$C$303=R56))*'Loan Tape'!$AI$4:$AI$303*'Loan Tape'!$R$4:$R$303)/E56,"-")</f>
        <v>0.0811815223320359</v>
      </c>
      <c r="O56" s="69" t="n">
        <f aca="false">IFERROR(SUMPRODUCT((('Loan Tape'!$R$4:$R$303&lt;&gt;"")*('Loan Tape'!$C$4:$C$303=R56))*'Loan Tape'!$AK$4:$AK$303*'Loan Tape'!$R$4:$R$303)/E56,"-")</f>
        <v>0.0956960661224263</v>
      </c>
      <c r="P56" s="69" t="n">
        <f aca="false">IFERROR(SUMPRODUCT((('Loan Tape'!$R$4:$R$303&lt;&gt;"")*('Loan Tape'!$C$4:$C$303=R56))*'Loan Tape'!$S$4:$S$303*'Loan Tape'!$R$4:$R$303)/E56,"-")</f>
        <v>0.945581714634394</v>
      </c>
      <c r="R56" s="91" t="s">
        <v>323</v>
      </c>
    </row>
    <row r="57" customFormat="false" ht="14.25" hidden="false" customHeight="false" outlineLevel="0" collapsed="false">
      <c r="B57" s="7" t="str">
        <f aca="false">R57</f>
        <v>TN</v>
      </c>
      <c r="C57" s="68" t="n">
        <f aca="false">COUNTIF('Loan Tape'!$C$4:$C$303,R57)</f>
        <v>1</v>
      </c>
      <c r="D57" s="68" t="n">
        <f aca="false">SUMPRODUCT((('Loan Tape'!$R$4:$R$303&lt;&gt;"")*('Loan Tape'!$C$4:$C$303=R57))*'Loan Tape'!$F$4:$F$303)</f>
        <v>121</v>
      </c>
      <c r="E57" s="84" t="n">
        <f aca="false">SUMIF('Loan Tape'!$C$4:$C$303,R57,'Loan Tape'!$R$4:$R$303)</f>
        <v>8243000</v>
      </c>
      <c r="F57" s="69" t="n">
        <f aca="false">IFERROR(E57/C5,0)</f>
        <v>0.00330300006811962</v>
      </c>
      <c r="G57" s="85" t="n">
        <f aca="false">IFERROR(SUMPRODUCT((('Loan Tape'!$R$4:$R$303&lt;&gt;"")*('Loan Tape'!$C$4:$C$303=R57))*'Loan Tape'!$U$4:$U$303*'Loan Tape'!$R$4:$R$303)/E57,"-")</f>
        <v>1.69</v>
      </c>
      <c r="H57" s="68" t="n">
        <f aca="false">IFERROR(SUMPRODUCT((('Loan Tape'!$R$4:$R$303&lt;&gt;"")*('Loan Tape'!$C$4:$C$303=R57))*'Loan Tape'!$AH$4:$AH$303*'Loan Tape'!$R$4:$R$303)/E57,"-")</f>
        <v>126</v>
      </c>
      <c r="I57" s="68" t="n">
        <f aca="false">IFERROR(SUMPRODUCT((('Loan Tape'!$R$4:$R$303&lt;&gt;"")*('Loan Tape'!$C$4:$C$303=R57))*(('Loan Tape'!$H$4:$H$303-$C$4)/30.4375)*'Loan Tape'!$R$4:$R$303)/E57,"-")</f>
        <v>-41.9876796714579</v>
      </c>
      <c r="J57" s="69" t="n">
        <f aca="false">IFERROR(SUMPRODUCT((('Loan Tape'!$R$4:$R$303&lt;&gt;"")*('Loan Tape'!$C$4:$C$303=R57))*('Loan Tape'!$K$4:$K$303="Floating")*'Loan Tape'!$R$4:$R$303)/E57,"-")</f>
        <v>1</v>
      </c>
      <c r="K57" s="69" t="n">
        <f aca="false">IFERROR(SUMPRODUCT((('Loan Tape'!$R$4:$R$303&lt;&gt;"")*('Loan Tape'!$C$4:$C$303=R57))*'Loan Tape'!$T$4:$T$303*'Loan Tape'!$R$4:$R$303)/E57,"-")</f>
        <v>0.0445</v>
      </c>
      <c r="L57" s="69" t="n">
        <f aca="false">IFERROR(SUMPRODUCT((('Loan Tape'!$R$4:$R$303&lt;&gt;"")*('Loan Tape'!$C$4:$C$303=R57))*'Loan Tape'!$V$4:$V$303*'Loan Tape'!$R$4:$R$303)/E57,"-")</f>
        <v>0.469</v>
      </c>
      <c r="M57" s="69" t="n">
        <f aca="false">IFERROR(SUMPRODUCT((('Loan Tape'!$R$4:$R$303&lt;&gt;"")*('Loan Tape'!$C$4:$C$303=R57))*'Loan Tape'!$W$4:$W$303*'Loan Tape'!$R$4:$R$303)/E57,"-")</f>
        <v>0.515</v>
      </c>
      <c r="N57" s="69" t="n">
        <f aca="false">IFERROR(SUMPRODUCT((('Loan Tape'!$R$4:$R$303&lt;&gt;"")*('Loan Tape'!$C$4:$C$303=R57))*'Loan Tape'!$AI$4:$AI$303*'Loan Tape'!$R$4:$R$303)/E57,"-")</f>
        <v>0.0664</v>
      </c>
      <c r="O57" s="69" t="n">
        <f aca="false">IFERROR(SUMPRODUCT((('Loan Tape'!$R$4:$R$303&lt;&gt;"")*('Loan Tape'!$C$4:$C$303=R57))*'Loan Tape'!$AK$4:$AK$303*'Loan Tape'!$R$4:$R$303)/E57,"-")</f>
        <v>0.0814</v>
      </c>
      <c r="P57" s="69" t="n">
        <f aca="false">IFERROR(SUMPRODUCT((('Loan Tape'!$R$4:$R$303&lt;&gt;"")*('Loan Tape'!$C$4:$C$303=R57))*'Loan Tape'!$S$4:$S$303*'Loan Tape'!$R$4:$R$303)/E57,"-")</f>
        <v>0.897</v>
      </c>
      <c r="R57" s="91" t="s">
        <v>282</v>
      </c>
    </row>
    <row r="58" customFormat="false" ht="14.25" hidden="false" customHeight="false" outlineLevel="0" collapsed="false">
      <c r="B58" s="7" t="str">
        <f aca="false">R58</f>
        <v>MA</v>
      </c>
      <c r="C58" s="68" t="n">
        <f aca="false">COUNTIF('Loan Tape'!$C$4:$C$303,R58)</f>
        <v>0</v>
      </c>
      <c r="D58" s="68" t="n">
        <f aca="false">SUMPRODUCT((('Loan Tape'!$R$4:$R$303&lt;&gt;"")*('Loan Tape'!$C$4:$C$303=R58))*'Loan Tape'!$F$4:$F$303)</f>
        <v>0</v>
      </c>
      <c r="E58" s="84" t="n">
        <f aca="false">SUMIF('Loan Tape'!$C$4:$C$303,R58,'Loan Tape'!$R$4:$R$303)</f>
        <v>0</v>
      </c>
      <c r="F58" s="69" t="n">
        <f aca="false">IFERROR(E58/C5,0)</f>
        <v>0</v>
      </c>
      <c r="G58" s="85" t="str">
        <f aca="false">IFERROR(SUMPRODUCT((('Loan Tape'!$R$4:$R$303&lt;&gt;"")*('Loan Tape'!$C$4:$C$303=R58))*'Loan Tape'!$U$4:$U$303*'Loan Tape'!$R$4:$R$303)/E58,"-")</f>
        <v>-</v>
      </c>
      <c r="H58" s="68" t="str">
        <f aca="false">IFERROR(SUMPRODUCT((('Loan Tape'!$R$4:$R$303&lt;&gt;"")*('Loan Tape'!$C$4:$C$303=R58))*'Loan Tape'!$AH$4:$AH$303*'Loan Tape'!$R$4:$R$303)/E58,"-")</f>
        <v>-</v>
      </c>
      <c r="I58" s="68" t="str">
        <f aca="false">IFERROR(SUMPRODUCT((('Loan Tape'!$R$4:$R$303&lt;&gt;"")*('Loan Tape'!$C$4:$C$303=R58))*(('Loan Tape'!$H$4:$H$303-$C$4)/30.4375)*'Loan Tape'!$R$4:$R$303)/E58,"-")</f>
        <v>-</v>
      </c>
      <c r="J58" s="69" t="str">
        <f aca="false">IFERROR(SUMPRODUCT((('Loan Tape'!$R$4:$R$303&lt;&gt;"")*('Loan Tape'!$C$4:$C$303=R58))*('Loan Tape'!$K$4:$K$303="Floating")*'Loan Tape'!$R$4:$R$303)/E58,"-")</f>
        <v>-</v>
      </c>
      <c r="K58" s="69" t="str">
        <f aca="false">IFERROR(SUMPRODUCT((('Loan Tape'!$R$4:$R$303&lt;&gt;"")*('Loan Tape'!$C$4:$C$303=R58))*'Loan Tape'!$T$4:$T$303*'Loan Tape'!$R$4:$R$303)/E58,"-")</f>
        <v>-</v>
      </c>
      <c r="L58" s="69" t="str">
        <f aca="false">IFERROR(SUMPRODUCT((('Loan Tape'!$R$4:$R$303&lt;&gt;"")*('Loan Tape'!$C$4:$C$303=R58))*'Loan Tape'!$V$4:$V$303*'Loan Tape'!$R$4:$R$303)/E58,"-")</f>
        <v>-</v>
      </c>
      <c r="M58" s="69" t="str">
        <f aca="false">IFERROR(SUMPRODUCT((('Loan Tape'!$R$4:$R$303&lt;&gt;"")*('Loan Tape'!$C$4:$C$303=R58))*'Loan Tape'!$W$4:$W$303*'Loan Tape'!$R$4:$R$303)/E58,"-")</f>
        <v>-</v>
      </c>
      <c r="N58" s="69" t="str">
        <f aca="false">IFERROR(SUMPRODUCT((('Loan Tape'!$R$4:$R$303&lt;&gt;"")*('Loan Tape'!$C$4:$C$303=R58))*'Loan Tape'!$AI$4:$AI$303*'Loan Tape'!$R$4:$R$303)/E58,"-")</f>
        <v>-</v>
      </c>
      <c r="O58" s="69" t="str">
        <f aca="false">IFERROR(SUMPRODUCT((('Loan Tape'!$R$4:$R$303&lt;&gt;"")*('Loan Tape'!$C$4:$C$303=R58))*'Loan Tape'!$AK$4:$AK$303*'Loan Tape'!$R$4:$R$303)/E58,"-")</f>
        <v>-</v>
      </c>
      <c r="P58" s="69" t="str">
        <f aca="false">IFERROR(SUMPRODUCT((('Loan Tape'!$R$4:$R$303&lt;&gt;"")*('Loan Tape'!$C$4:$C$303=R58))*'Loan Tape'!$S$4:$S$303*'Loan Tape'!$R$4:$R$303)/E58,"-")</f>
        <v>-</v>
      </c>
      <c r="R58" s="91" t="s">
        <v>409</v>
      </c>
    </row>
    <row r="59" customFormat="false" ht="14.25" hidden="false" customHeight="false" outlineLevel="0" collapsed="false">
      <c r="B59" s="7" t="str">
        <f aca="false">R59</f>
        <v>NV</v>
      </c>
      <c r="C59" s="68" t="n">
        <f aca="false">COUNTIF('Loan Tape'!$C$4:$C$303,R59)</f>
        <v>2</v>
      </c>
      <c r="D59" s="68" t="n">
        <f aca="false">SUMPRODUCT((('Loan Tape'!$R$4:$R$303&lt;&gt;"")*('Loan Tape'!$C$4:$C$303=R59))*'Loan Tape'!$F$4:$F$303)</f>
        <v>161</v>
      </c>
      <c r="E59" s="84" t="n">
        <f aca="false">SUMIF('Loan Tape'!$C$4:$C$303,R59,'Loan Tape'!$R$4:$R$303)</f>
        <v>174333000</v>
      </c>
      <c r="F59" s="69" t="n">
        <f aca="false">IFERROR(E59/C5,0)</f>
        <v>0.0698558669022804</v>
      </c>
      <c r="G59" s="85" t="n">
        <f aca="false">IFERROR(SUMPRODUCT((('Loan Tape'!$R$4:$R$303&lt;&gt;"")*('Loan Tape'!$C$4:$C$303=R59))*'Loan Tape'!$U$4:$U$303*'Loan Tape'!$R$4:$R$303)/E59,"-")</f>
        <v>1.88492264803566</v>
      </c>
      <c r="H59" s="68" t="n">
        <f aca="false">IFERROR(SUMPRODUCT((('Loan Tape'!$R$4:$R$303&lt;&gt;"")*('Loan Tape'!$C$4:$C$303=R59))*'Loan Tape'!$AH$4:$AH$303*'Loan Tape'!$R$4:$R$303)/E59,"-")</f>
        <v>51.3744328383037</v>
      </c>
      <c r="I59" s="68" t="n">
        <f aca="false">IFERROR(SUMPRODUCT((('Loan Tape'!$R$4:$R$303&lt;&gt;"")*('Loan Tape'!$C$4:$C$303=R59))*(('Loan Tape'!$H$4:$H$303-$C$4)/30.4375)*'Loan Tape'!$R$4:$R$303)/E59,"-")</f>
        <v>42.1878909054259</v>
      </c>
      <c r="J59" s="69" t="n">
        <f aca="false">IFERROR(SUMPRODUCT((('Loan Tape'!$R$4:$R$303&lt;&gt;"")*('Loan Tape'!$C$4:$C$303=R59))*('Loan Tape'!$K$4:$K$303="Floating")*'Loan Tape'!$R$4:$R$303)/E59,"-")</f>
        <v>0.264103755456511</v>
      </c>
      <c r="K59" s="69" t="n">
        <f aca="false">IFERROR(SUMPRODUCT((('Loan Tape'!$R$4:$R$303&lt;&gt;"")*('Loan Tape'!$C$4:$C$303=R59))*'Loan Tape'!$T$4:$T$303*'Loan Tape'!$R$4:$R$303)/E59,"-")</f>
        <v>0.0982484761921151</v>
      </c>
      <c r="L59" s="69" t="n">
        <f aca="false">IFERROR(SUMPRODUCT((('Loan Tape'!$R$4:$R$303&lt;&gt;"")*('Loan Tape'!$C$4:$C$303=R59))*'Loan Tape'!$V$4:$V$303*'Loan Tape'!$R$4:$R$303)/E59,"-")</f>
        <v>0.604261138166612</v>
      </c>
      <c r="M59" s="69" t="n">
        <f aca="false">IFERROR(SUMPRODUCT((('Loan Tape'!$R$4:$R$303&lt;&gt;"")*('Loan Tape'!$C$4:$C$303=R59))*'Loan Tape'!$W$4:$W$303*'Loan Tape'!$R$4:$R$303)/E59,"-")</f>
        <v>0.635373968210264</v>
      </c>
      <c r="N59" s="69" t="n">
        <f aca="false">IFERROR(SUMPRODUCT((('Loan Tape'!$R$4:$R$303&lt;&gt;"")*('Loan Tape'!$C$4:$C$303=R59))*'Loan Tape'!$AI$4:$AI$303*'Loan Tape'!$R$4:$R$303)/E59,"-")</f>
        <v>0.0538597591964803</v>
      </c>
      <c r="O59" s="69" t="n">
        <f aca="false">IFERROR(SUMPRODUCT((('Loan Tape'!$R$4:$R$303&lt;&gt;"")*('Loan Tape'!$C$4:$C$303=R59))*'Loan Tape'!$AK$4:$AK$303*'Loan Tape'!$R$4:$R$303)/E59,"-")</f>
        <v>0.057821315528328</v>
      </c>
      <c r="P59" s="69" t="n">
        <f aca="false">IFERROR(SUMPRODUCT((('Loan Tape'!$R$4:$R$303&lt;&gt;"")*('Loan Tape'!$C$4:$C$303=R59))*'Loan Tape'!$S$4:$S$303*'Loan Tape'!$R$4:$R$303)/E59,"-")</f>
        <v>0.851651506025824</v>
      </c>
      <c r="R59" s="91" t="s">
        <v>235</v>
      </c>
    </row>
    <row r="60" customFormat="false" ht="14.25" hidden="false" customHeight="false" outlineLevel="0" collapsed="false">
      <c r="B60" s="7" t="s">
        <v>407</v>
      </c>
      <c r="C60" s="68" t="n">
        <f aca="false">C6-SUM(C45:C59)</f>
        <v>7</v>
      </c>
      <c r="D60" s="68" t="n">
        <f aca="false">SUM('Loan Tape'!$F$4:$F$303)-SUM(D45:D59)</f>
        <v>444</v>
      </c>
      <c r="E60" s="84" t="n">
        <f aca="false">C5-SUM(E45:E59)</f>
        <v>209083000</v>
      </c>
      <c r="F60" s="69" t="n">
        <f aca="false">IFERROR(E60/C5,0)</f>
        <v>0.0837803182388274</v>
      </c>
      <c r="G60" s="85" t="n">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Tape'!$U$4:$U$303*'Loan Tape'!$R$4:$R$303)/E60,"-")</f>
        <v>1.36791986914288</v>
      </c>
      <c r="H60" s="68" t="n">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Tape'!$AH$4:$AH$303*'Loan Tape'!$R$4:$R$303)/E60,"-")</f>
        <v>93.4746947384532</v>
      </c>
      <c r="I60" s="68" t="n">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Tape'!$H$4:$H$303-$C$4)/30.4375)*'Loan Tape'!$R$4:$R$303)/E60,"-")</f>
        <v>-26.543591223477</v>
      </c>
      <c r="J60" s="69" t="n">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Tape'!$K$4:$K$303="Floating")*'Loan Tape'!$R$4:$R$303)/E60,"-")</f>
        <v>0.948857630701683</v>
      </c>
      <c r="K60" s="69" t="n">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Tape'!$T$4:$T$303*'Loan Tape'!$R$4:$R$303)/E60,"-")</f>
        <v>0.0885619069938733</v>
      </c>
      <c r="L60" s="69" t="n">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Tape'!$V$4:$V$303*'Loan Tape'!$R$4:$R$303)/E60,"-")</f>
        <v>0.7489210552747</v>
      </c>
      <c r="M60" s="69" t="n">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Tape'!$W$4:$W$303*'Loan Tape'!$R$4:$R$303)/E60,"-")</f>
        <v>0.789318906845607</v>
      </c>
      <c r="N60" s="69" t="n">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Tape'!$AI$4:$AI$303*'Loan Tape'!$R$4:$R$303)/E60,"-")</f>
        <v>0.0805936221500553</v>
      </c>
      <c r="O60" s="69" t="n">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Tape'!$AK$4:$AK$303*'Loan Tape'!$R$4:$R$303)/E60,"-")</f>
        <v>0.0835028271069384</v>
      </c>
      <c r="P60" s="69" t="n">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Tape'!$S$4:$S$303*'Loan Tape'!$R$4:$R$303)/E60,"-")</f>
        <v>0.813480962105958</v>
      </c>
    </row>
    <row r="61" customFormat="false" ht="14.25" hidden="false" customHeight="false" outlineLevel="0" collapsed="false">
      <c r="B61" s="86" t="s">
        <v>405</v>
      </c>
      <c r="C61" s="92" t="n">
        <f aca="false">C6</f>
        <v>50</v>
      </c>
      <c r="D61" s="92" t="n">
        <f aca="false">SUM('Loan Tape'!$F$4:$F$303)</f>
        <v>4739</v>
      </c>
      <c r="E61" s="88" t="n">
        <f aca="false">C5</f>
        <v>2495610000</v>
      </c>
      <c r="F61" s="89" t="n">
        <f aca="false">1</f>
        <v>1</v>
      </c>
      <c r="G61" s="90" t="n">
        <f aca="false">IFERROR(SUMPRODUCT((('Loan Tape'!$R$4:$R$303&lt;&gt;""))*'Loan Tape'!$U$4:$U$303*'Loan Tape'!$R$4:$R$303)/E61,"-")</f>
        <v>1.36575944157941</v>
      </c>
      <c r="H61" s="92" t="n">
        <f aca="false">IFERROR(SUMPRODUCT((('Loan Tape'!$R$4:$R$303&lt;&gt;""))*'Loan Tape'!$AH$4:$AH$303*'Loan Tape'!$R$4:$R$303)/E61,"-")</f>
        <v>76.5147345138063</v>
      </c>
      <c r="I61" s="92" t="n">
        <f aca="false">IFERROR(SUMPRODUCT((('Loan Tape'!$R$4:$R$303&lt;&gt;""))*(('Loan Tape'!$H$4:$H$303-$C$4)/30.4375)*'Loan Tape'!$R$4:$R$303)/E61,"-")</f>
        <v>17.6772942206432</v>
      </c>
      <c r="J61" s="89" t="n">
        <f aca="false">IFERROR(SUMPRODUCT((('Loan Tape'!$R$4:$R$303&lt;&gt;""))*('Loan Tape'!$K$4:$K$303="Floating")*'Loan Tape'!$R$4:$R$303)/E61,"-")</f>
        <v>0.664477622705471</v>
      </c>
      <c r="K61" s="89" t="n">
        <f aca="false">IFERROR(SUMPRODUCT((('Loan Tape'!$R$4:$R$303&lt;&gt;""))*'Loan Tape'!$T$4:$T$303*'Loan Tape'!$R$4:$R$303)/E61,"-")</f>
        <v>0.0861540568438177</v>
      </c>
      <c r="L61" s="89" t="n">
        <f aca="false">IFERROR(SUMPRODUCT((('Loan Tape'!$R$4:$R$303&lt;&gt;""))*'Loan Tape'!$V$4:$V$303*'Loan Tape'!$R$4:$R$303)/E61,"-")</f>
        <v>0.683559256454334</v>
      </c>
      <c r="M61" s="89" t="n">
        <f aca="false">IFERROR(SUMPRODUCT((('Loan Tape'!$R$4:$R$303&lt;&gt;""))*'Loan Tape'!$W$4:$W$303*'Loan Tape'!$R$4:$R$303)/E61,"-")</f>
        <v>0.716164459190338</v>
      </c>
      <c r="N61" s="89" t="n">
        <f aca="false">IFERROR(SUMPRODUCT((('Loan Tape'!$R$4:$R$303&lt;&gt;""))*'Loan Tape'!$AI$4:$AI$303*'Loan Tape'!$R$4:$R$303)/E61,"-")</f>
        <v>0.0704574522862146</v>
      </c>
      <c r="O61" s="89" t="n">
        <f aca="false">IFERROR(SUMPRODUCT((('Loan Tape'!$R$4:$R$303&lt;&gt;""))*'Loan Tape'!$AK$4:$AK$303*'Loan Tape'!$R$4:$R$303)/E61,"-")</f>
        <v>0.0792103169165054</v>
      </c>
      <c r="P61" s="89" t="n">
        <f aca="false">IFERROR(SUMPRODUCT((('Loan Tape'!$R$4:$R$303&lt;&gt;""))*'Loan Tape'!$S$4:$S$303*'Loan Tape'!$R$4:$R$303)/E61,"-")</f>
        <v>0.886687142221741</v>
      </c>
    </row>
    <row r="63" customFormat="false" ht="19.5" hidden="false" customHeight="true" outlineLevel="0" collapsed="false">
      <c r="B63" s="5" t="s">
        <v>410</v>
      </c>
      <c r="C63" s="5"/>
      <c r="D63" s="5"/>
      <c r="E63" s="5"/>
      <c r="F63" s="5"/>
      <c r="G63" s="5"/>
      <c r="H63" s="5"/>
      <c r="I63" s="5"/>
      <c r="J63" s="5"/>
      <c r="K63" s="5"/>
      <c r="L63" s="5"/>
      <c r="M63" s="5"/>
      <c r="N63" s="5"/>
      <c r="O63" s="5"/>
      <c r="P63" s="5"/>
    </row>
    <row r="64" customFormat="false" ht="42" hidden="false" customHeight="true" outlineLevel="0" collapsed="false">
      <c r="B64" s="82" t="s">
        <v>392</v>
      </c>
      <c r="C64" s="83" t="s">
        <v>368</v>
      </c>
      <c r="D64" s="83" t="s">
        <v>153</v>
      </c>
      <c r="E64" s="83" t="s">
        <v>393</v>
      </c>
      <c r="F64" s="83" t="s">
        <v>394</v>
      </c>
      <c r="G64" s="83" t="s">
        <v>395</v>
      </c>
      <c r="H64" s="83" t="s">
        <v>396</v>
      </c>
      <c r="I64" s="83" t="s">
        <v>397</v>
      </c>
      <c r="J64" s="83" t="s">
        <v>398</v>
      </c>
      <c r="K64" s="83" t="s">
        <v>399</v>
      </c>
      <c r="L64" s="83" t="s">
        <v>400</v>
      </c>
      <c r="M64" s="83" t="s">
        <v>401</v>
      </c>
      <c r="N64" s="83" t="s">
        <v>402</v>
      </c>
      <c r="O64" s="83" t="s">
        <v>403</v>
      </c>
      <c r="P64" s="83" t="s">
        <v>365</v>
      </c>
    </row>
    <row r="65" customFormat="false" ht="14.25" hidden="false" customHeight="false" outlineLevel="0" collapsed="false">
      <c r="B65" s="7" t="str">
        <f aca="false">R65</f>
        <v>Deal 1</v>
      </c>
      <c r="C65" s="68" t="n">
        <f aca="false">COUNTIF('Loan Tape'!$E$4:$E$303,R65)</f>
        <v>5</v>
      </c>
      <c r="D65" s="68" t="n">
        <f aca="false">SUMPRODUCT((('Loan Tape'!$R$4:$R$303&lt;&gt;"")*('Loan Tape'!$E$4:$E$303=R65))*'Loan Tape'!$F$4:$F$303)</f>
        <v>593</v>
      </c>
      <c r="E65" s="84" t="n">
        <f aca="false">SUMIF('Loan Tape'!$E$4:$E$303,R65,'Loan Tape'!$R$4:$R$303)</f>
        <v>372487000</v>
      </c>
      <c r="F65" s="69" t="n">
        <f aca="false">IFERROR(E65/C5,0)</f>
        <v>0.149256895107809</v>
      </c>
      <c r="G65" s="85" t="n">
        <f aca="false">IFERROR(SUMPRODUCT((('Loan Tape'!$R$4:$R$303&lt;&gt;"")*('Loan Tape'!$E$4:$E$303=R65))*'Loan Tape'!$U$4:$U$303*'Loan Tape'!$R$4:$R$303)/E65,"-")</f>
        <v>1.46286165691689</v>
      </c>
      <c r="H65" s="68" t="n">
        <f aca="false">IFERROR(SUMPRODUCT((('Loan Tape'!$R$4:$R$303&lt;&gt;"")*('Loan Tape'!$E$4:$E$303=R65))*'Loan Tape'!$AH$4:$AH$303*'Loan Tape'!$R$4:$R$303)/E65,"-")</f>
        <v>100.401133462376</v>
      </c>
      <c r="I65" s="68" t="n">
        <f aca="false">IFERROR(SUMPRODUCT((('Loan Tape'!$R$4:$R$303&lt;&gt;"")*('Loan Tape'!$E$4:$E$303=R65))*(('Loan Tape'!$H$4:$H$303-$C$4)/30.4375)*'Loan Tape'!$R$4:$R$303)/E65,"-")</f>
        <v>4.02239639370792</v>
      </c>
      <c r="J65" s="69" t="n">
        <f aca="false">IFERROR(SUMPRODUCT((('Loan Tape'!$R$4:$R$303&lt;&gt;"")*('Loan Tape'!$E$4:$E$303=R65))*('Loan Tape'!$K$4:$K$303="Floating")*'Loan Tape'!$R$4:$R$303)/E65,"-")</f>
        <v>0.64712593996569</v>
      </c>
      <c r="K65" s="69" t="n">
        <f aca="false">IFERROR(SUMPRODUCT((('Loan Tape'!$R$4:$R$303&lt;&gt;"")*('Loan Tape'!$E$4:$E$303=R65))*'Loan Tape'!$T$4:$T$303*'Loan Tape'!$R$4:$R$303)/E65,"-")</f>
        <v>0.0853727877751438</v>
      </c>
      <c r="L65" s="69" t="n">
        <f aca="false">IFERROR(SUMPRODUCT((('Loan Tape'!$R$4:$R$303&lt;&gt;"")*('Loan Tape'!$E$4:$E$303=R65))*'Loan Tape'!$V$4:$V$303*'Loan Tape'!$R$4:$R$303)/E65,"-")</f>
        <v>0.69021042345102</v>
      </c>
      <c r="M65" s="69" t="n">
        <f aca="false">IFERROR(SUMPRODUCT((('Loan Tape'!$R$4:$R$303&lt;&gt;"")*('Loan Tape'!$E$4:$E$303=R65))*'Loan Tape'!$W$4:$W$303*'Loan Tape'!$R$4:$R$303)/E65,"-")</f>
        <v>0.727922306013364</v>
      </c>
      <c r="N65" s="69" t="n">
        <f aca="false">IFERROR(SUMPRODUCT((('Loan Tape'!$R$4:$R$303&lt;&gt;"")*('Loan Tape'!$E$4:$E$303=R65))*'Loan Tape'!$AI$4:$AI$303*'Loan Tape'!$R$4:$R$303)/E65,"-")</f>
        <v>0.0680705466231036</v>
      </c>
      <c r="O65" s="69" t="n">
        <f aca="false">IFERROR(SUMPRODUCT((('Loan Tape'!$R$4:$R$303&lt;&gt;"")*('Loan Tape'!$E$4:$E$303=R65))*'Loan Tape'!$AK$4:$AK$303*'Loan Tape'!$R$4:$R$303)/E65,"-")</f>
        <v>0.077777435722589</v>
      </c>
      <c r="P65" s="69" t="n">
        <f aca="false">IFERROR(SUMPRODUCT((('Loan Tape'!$R$4:$R$303&lt;&gt;"")*('Loan Tape'!$E$4:$E$303=R65))*'Loan Tape'!$S$4:$S$303*'Loan Tape'!$R$4:$R$303)/E65,"-")</f>
        <v>0.841462496677736</v>
      </c>
      <c r="R65" s="91" t="s">
        <v>252</v>
      </c>
    </row>
    <row r="66" customFormat="false" ht="14.25" hidden="false" customHeight="false" outlineLevel="0" collapsed="false">
      <c r="B66" s="7" t="str">
        <f aca="false">R66</f>
        <v>Deal 2</v>
      </c>
      <c r="C66" s="68" t="n">
        <f aca="false">COUNTIF('Loan Tape'!$E$4:$E$303,R66)</f>
        <v>7</v>
      </c>
      <c r="D66" s="68" t="n">
        <f aca="false">SUMPRODUCT((('Loan Tape'!$R$4:$R$303&lt;&gt;"")*('Loan Tape'!$E$4:$E$303=R66))*'Loan Tape'!$F$4:$F$303)</f>
        <v>334</v>
      </c>
      <c r="E66" s="84" t="n">
        <f aca="false">SUMIF('Loan Tape'!$E$4:$E$303,R66,'Loan Tape'!$R$4:$R$303)</f>
        <v>367970000</v>
      </c>
      <c r="F66" s="69" t="n">
        <f aca="false">IFERROR(E66/C5,0)</f>
        <v>0.147446916785876</v>
      </c>
      <c r="G66" s="85" t="n">
        <f aca="false">IFERROR(SUMPRODUCT((('Loan Tape'!$R$4:$R$303&lt;&gt;"")*('Loan Tape'!$E$4:$E$303=R66))*'Loan Tape'!$U$4:$U$303*'Loan Tape'!$R$4:$R$303)/E66,"-")</f>
        <v>1.00163809549692</v>
      </c>
      <c r="H66" s="68" t="n">
        <f aca="false">IFERROR(SUMPRODUCT((('Loan Tape'!$R$4:$R$303&lt;&gt;"")*('Loan Tape'!$E$4:$E$303=R66))*'Loan Tape'!$AH$4:$AH$303*'Loan Tape'!$R$4:$R$303)/E66,"-")</f>
        <v>87.2922740984319</v>
      </c>
      <c r="I66" s="68" t="n">
        <f aca="false">IFERROR(SUMPRODUCT((('Loan Tape'!$R$4:$R$303&lt;&gt;"")*('Loan Tape'!$E$4:$E$303=R66))*(('Loan Tape'!$H$4:$H$303-$C$4)/30.4375)*'Loan Tape'!$R$4:$R$303)/E66,"-")</f>
        <v>10.6349140260575</v>
      </c>
      <c r="J66" s="69" t="n">
        <f aca="false">IFERROR(SUMPRODUCT((('Loan Tape'!$R$4:$R$303&lt;&gt;"")*('Loan Tape'!$E$4:$E$303=R66))*('Loan Tape'!$K$4:$K$303="Floating")*'Loan Tape'!$R$4:$R$303)/E66,"-")</f>
        <v>0.439728782237682</v>
      </c>
      <c r="K66" s="69" t="n">
        <f aca="false">IFERROR(SUMPRODUCT((('Loan Tape'!$R$4:$R$303&lt;&gt;"")*('Loan Tape'!$E$4:$E$303=R66))*'Loan Tape'!$T$4:$T$303*'Loan Tape'!$R$4:$R$303)/E66,"-")</f>
        <v>0.0944916275783352</v>
      </c>
      <c r="L66" s="69" t="n">
        <f aca="false">IFERROR(SUMPRODUCT((('Loan Tape'!$R$4:$R$303&lt;&gt;"")*('Loan Tape'!$E$4:$E$303=R66))*'Loan Tape'!$V$4:$V$303*'Loan Tape'!$R$4:$R$303)/E66,"-")</f>
        <v>0.701474459874446</v>
      </c>
      <c r="M66" s="69" t="n">
        <f aca="false">IFERROR(SUMPRODUCT((('Loan Tape'!$R$4:$R$303&lt;&gt;"")*('Loan Tape'!$E$4:$E$303=R66))*'Loan Tape'!$W$4:$W$303*'Loan Tape'!$R$4:$R$303)/E66,"-")</f>
        <v>0.736650273120091</v>
      </c>
      <c r="N66" s="69" t="n">
        <f aca="false">IFERROR(SUMPRODUCT((('Loan Tape'!$R$4:$R$303&lt;&gt;"")*('Loan Tape'!$E$4:$E$303=R66))*'Loan Tape'!$AI$4:$AI$303*'Loan Tape'!$R$4:$R$303)/E66,"-")</f>
        <v>0.0651757042693698</v>
      </c>
      <c r="O66" s="69" t="n">
        <f aca="false">IFERROR(SUMPRODUCT((('Loan Tape'!$R$4:$R$303&lt;&gt;"")*('Loan Tape'!$E$4:$E$303=R66))*'Loan Tape'!$AK$4:$AK$303*'Loan Tape'!$R$4:$R$303)/E66,"-")</f>
        <v>0.0712523284506889</v>
      </c>
      <c r="P66" s="69" t="n">
        <f aca="false">IFERROR(SUMPRODUCT((('Loan Tape'!$R$4:$R$303&lt;&gt;"")*('Loan Tape'!$E$4:$E$303=R66))*'Loan Tape'!$S$4:$S$303*'Loan Tape'!$R$4:$R$303)/E66,"-")</f>
        <v>0.908667255482784</v>
      </c>
      <c r="R66" s="91" t="s">
        <v>259</v>
      </c>
    </row>
    <row r="67" customFormat="false" ht="14.25" hidden="false" customHeight="false" outlineLevel="0" collapsed="false">
      <c r="B67" s="7" t="str">
        <f aca="false">R67</f>
        <v>Deal 3</v>
      </c>
      <c r="C67" s="68" t="n">
        <f aca="false">COUNTIF('Loan Tape'!$E$4:$E$303,R67)</f>
        <v>7</v>
      </c>
      <c r="D67" s="68" t="n">
        <f aca="false">SUMPRODUCT((('Loan Tape'!$R$4:$R$303&lt;&gt;"")*('Loan Tape'!$E$4:$E$303=R67))*'Loan Tape'!$F$4:$F$303)</f>
        <v>0</v>
      </c>
      <c r="E67" s="84" t="n">
        <f aca="false">SUMIF('Loan Tape'!$E$4:$E$303,R67,'Loan Tape'!$R$4:$R$303)</f>
        <v>362598000</v>
      </c>
      <c r="F67" s="69" t="n">
        <f aca="false">IFERROR(E67/C5,0)</f>
        <v>0.145294336855518</v>
      </c>
      <c r="G67" s="85" t="n">
        <f aca="false">IFERROR(SUMPRODUCT((('Loan Tape'!$R$4:$R$303&lt;&gt;"")*('Loan Tape'!$E$4:$E$303=R67))*'Loan Tape'!$U$4:$U$303*'Loan Tape'!$R$4:$R$303)/E67,"-")</f>
        <v>1.58910360785222</v>
      </c>
      <c r="H67" s="68" t="n">
        <f aca="false">IFERROR(SUMPRODUCT((('Loan Tape'!$R$4:$R$303&lt;&gt;"")*('Loan Tape'!$E$4:$E$303=R67))*'Loan Tape'!$AH$4:$AH$303*'Loan Tape'!$R$4:$R$303)/E67,"-")</f>
        <v>68.4025755795675</v>
      </c>
      <c r="I67" s="68" t="n">
        <f aca="false">IFERROR(SUMPRODUCT((('Loan Tape'!$R$4:$R$303&lt;&gt;"")*('Loan Tape'!$E$4:$E$303=R67))*(('Loan Tape'!$H$4:$H$303-$C$4)/30.4375)*'Loan Tape'!$R$4:$R$303)/E67,"-")</f>
        <v>48.7172137039369</v>
      </c>
      <c r="J67" s="69" t="n">
        <f aca="false">IFERROR(SUMPRODUCT((('Loan Tape'!$R$4:$R$303&lt;&gt;"")*('Loan Tape'!$E$4:$E$303=R67))*('Loan Tape'!$K$4:$K$303="Floating")*'Loan Tape'!$R$4:$R$303)/E67,"-")</f>
        <v>1</v>
      </c>
      <c r="K67" s="69" t="n">
        <f aca="false">IFERROR(SUMPRODUCT((('Loan Tape'!$R$4:$R$303&lt;&gt;"")*('Loan Tape'!$E$4:$E$303=R67))*'Loan Tape'!$T$4:$T$303*'Loan Tape'!$R$4:$R$303)/E67,"-")</f>
        <v>0.073499472970066</v>
      </c>
      <c r="L67" s="69" t="n">
        <f aca="false">IFERROR(SUMPRODUCT((('Loan Tape'!$R$4:$R$303&lt;&gt;"")*('Loan Tape'!$E$4:$E$303=R67))*'Loan Tape'!$V$4:$V$303*'Loan Tape'!$R$4:$R$303)/E67,"-")</f>
        <v>0.623114335986409</v>
      </c>
      <c r="M67" s="69" t="n">
        <f aca="false">IFERROR(SUMPRODUCT((('Loan Tape'!$R$4:$R$303&lt;&gt;"")*('Loan Tape'!$E$4:$E$303=R67))*'Loan Tape'!$W$4:$W$303*'Loan Tape'!$R$4:$R$303)/E67,"-")</f>
        <v>0.650657397448414</v>
      </c>
      <c r="N67" s="69" t="n">
        <f aca="false">IFERROR(SUMPRODUCT((('Loan Tape'!$R$4:$R$303&lt;&gt;"")*('Loan Tape'!$E$4:$E$303=R67))*'Loan Tape'!$AI$4:$AI$303*'Loan Tape'!$R$4:$R$303)/E67,"-")</f>
        <v>0.0796923262124998</v>
      </c>
      <c r="O67" s="69" t="n">
        <f aca="false">IFERROR(SUMPRODUCT((('Loan Tape'!$R$4:$R$303&lt;&gt;"")*('Loan Tape'!$E$4:$E$303=R67))*'Loan Tape'!$AK$4:$AK$303*'Loan Tape'!$R$4:$R$303)/E67,"-")</f>
        <v>0.0945477570201711</v>
      </c>
      <c r="P67" s="69" t="n">
        <f aca="false">IFERROR(SUMPRODUCT((('Loan Tape'!$R$4:$R$303&lt;&gt;"")*('Loan Tape'!$E$4:$E$303=R67))*'Loan Tape'!$S$4:$S$303*'Loan Tape'!$R$4:$R$303)/E67,"-")</f>
        <v>0.900219970876839</v>
      </c>
      <c r="R67" s="91" t="s">
        <v>237</v>
      </c>
    </row>
    <row r="68" customFormat="false" ht="14.25" hidden="false" customHeight="false" outlineLevel="0" collapsed="false">
      <c r="B68" s="7" t="str">
        <f aca="false">R68</f>
        <v>Deal 4</v>
      </c>
      <c r="C68" s="68" t="n">
        <f aca="false">COUNTIF('Loan Tape'!$E$4:$E$303,R68)</f>
        <v>7</v>
      </c>
      <c r="D68" s="68" t="n">
        <f aca="false">SUMPRODUCT((('Loan Tape'!$R$4:$R$303&lt;&gt;"")*('Loan Tape'!$E$4:$E$303=R68))*'Loan Tape'!$F$4:$F$303)</f>
        <v>943</v>
      </c>
      <c r="E68" s="84" t="n">
        <f aca="false">SUMIF('Loan Tape'!$E$4:$E$303,R68,'Loan Tape'!$R$4:$R$303)</f>
        <v>239828000</v>
      </c>
      <c r="F68" s="69" t="n">
        <f aca="false">IFERROR(E68/C5,0)</f>
        <v>0.0960999515148601</v>
      </c>
      <c r="G68" s="85" t="n">
        <f aca="false">IFERROR(SUMPRODUCT((('Loan Tape'!$R$4:$R$303&lt;&gt;"")*('Loan Tape'!$E$4:$E$303=R68))*'Loan Tape'!$U$4:$U$303*'Loan Tape'!$R$4:$R$303)/E68,"-")</f>
        <v>1.10287084910853</v>
      </c>
      <c r="H68" s="68" t="n">
        <f aca="false">IFERROR(SUMPRODUCT((('Loan Tape'!$R$4:$R$303&lt;&gt;"")*('Loan Tape'!$E$4:$E$303=R68))*'Loan Tape'!$AH$4:$AH$303*'Loan Tape'!$R$4:$R$303)/E68,"-")</f>
        <v>74.7733905132011</v>
      </c>
      <c r="I68" s="68" t="n">
        <f aca="false">IFERROR(SUMPRODUCT((('Loan Tape'!$R$4:$R$303&lt;&gt;"")*('Loan Tape'!$E$4:$E$303=R68))*(('Loan Tape'!$H$4:$H$303-$C$4)/30.4375)*'Loan Tape'!$R$4:$R$303)/E68,"-")</f>
        <v>18.1443947217614</v>
      </c>
      <c r="J68" s="69" t="n">
        <f aca="false">IFERROR(SUMPRODUCT((('Loan Tape'!$R$4:$R$303&lt;&gt;"")*('Loan Tape'!$E$4:$E$303=R68))*('Loan Tape'!$K$4:$K$303="Floating")*'Loan Tape'!$R$4:$R$303)/E68,"-")</f>
        <v>0.0340035358673716</v>
      </c>
      <c r="K68" s="69" t="n">
        <f aca="false">IFERROR(SUMPRODUCT((('Loan Tape'!$R$4:$R$303&lt;&gt;"")*('Loan Tape'!$E$4:$E$303=R68))*'Loan Tape'!$T$4:$T$303*'Loan Tape'!$R$4:$R$303)/E68,"-")</f>
        <v>0.10015185633037</v>
      </c>
      <c r="L68" s="69" t="n">
        <f aca="false">IFERROR(SUMPRODUCT((('Loan Tape'!$R$4:$R$303&lt;&gt;"")*('Loan Tape'!$E$4:$E$303=R68))*'Loan Tape'!$V$4:$V$303*'Loan Tape'!$R$4:$R$303)/E68,"-")</f>
        <v>0.640106301182514</v>
      </c>
      <c r="M68" s="69" t="n">
        <f aca="false">IFERROR(SUMPRODUCT((('Loan Tape'!$R$4:$R$303&lt;&gt;"")*('Loan Tape'!$E$4:$E$303=R68))*'Loan Tape'!$W$4:$W$303*'Loan Tape'!$R$4:$R$303)/E68,"-")</f>
        <v>0.677993657954868</v>
      </c>
      <c r="N68" s="69" t="n">
        <f aca="false">IFERROR(SUMPRODUCT((('Loan Tape'!$R$4:$R$303&lt;&gt;"")*('Loan Tape'!$E$4:$E$303=R68))*'Loan Tape'!$AI$4:$AI$303*'Loan Tape'!$R$4:$R$303)/E68,"-")</f>
        <v>0.0569759681938723</v>
      </c>
      <c r="O68" s="69" t="n">
        <f aca="false">IFERROR(SUMPRODUCT((('Loan Tape'!$R$4:$R$303&lt;&gt;"")*('Loan Tape'!$E$4:$E$303=R68))*'Loan Tape'!$AK$4:$AK$303*'Loan Tape'!$R$4:$R$303)/E68,"-")</f>
        <v>0.0574282152209083</v>
      </c>
      <c r="P68" s="69" t="n">
        <f aca="false">IFERROR(SUMPRODUCT((('Loan Tape'!$R$4:$R$303&lt;&gt;"")*('Loan Tape'!$E$4:$E$303=R68))*'Loan Tape'!$S$4:$S$303*'Loan Tape'!$R$4:$R$303)/E68,"-")</f>
        <v>0.906984864152643</v>
      </c>
      <c r="R68" s="91" t="s">
        <v>208</v>
      </c>
    </row>
    <row r="69" customFormat="false" ht="14.25" hidden="false" customHeight="false" outlineLevel="0" collapsed="false">
      <c r="B69" s="7" t="str">
        <f aca="false">R69</f>
        <v>Deal 5</v>
      </c>
      <c r="C69" s="68" t="n">
        <f aca="false">COUNTIF('Loan Tape'!$E$4:$E$303,R69)</f>
        <v>6</v>
      </c>
      <c r="D69" s="68" t="n">
        <f aca="false">SUMPRODUCT((('Loan Tape'!$R$4:$R$303&lt;&gt;"")*('Loan Tape'!$E$4:$E$303=R69))*'Loan Tape'!$F$4:$F$303)</f>
        <v>770</v>
      </c>
      <c r="E69" s="84" t="n">
        <f aca="false">SUMIF('Loan Tape'!$E$4:$E$303,R69,'Loan Tape'!$R$4:$R$303)</f>
        <v>94886000</v>
      </c>
      <c r="F69" s="69" t="n">
        <f aca="false">IFERROR(E69/C5,0)</f>
        <v>0.0380211651660316</v>
      </c>
      <c r="G69" s="85" t="n">
        <f aca="false">IFERROR(SUMPRODUCT((('Loan Tape'!$R$4:$R$303&lt;&gt;"")*('Loan Tape'!$E$4:$E$303=R69))*'Loan Tape'!$U$4:$U$303*'Loan Tape'!$R$4:$R$303)/E69,"-")</f>
        <v>1.0817582151213</v>
      </c>
      <c r="H69" s="68" t="n">
        <f aca="false">IFERROR(SUMPRODUCT((('Loan Tape'!$R$4:$R$303&lt;&gt;"")*('Loan Tape'!$E$4:$E$303=R69))*'Loan Tape'!$AH$4:$AH$303*'Loan Tape'!$R$4:$R$303)/E69,"-")</f>
        <v>75.6919787956074</v>
      </c>
      <c r="I69" s="68" t="n">
        <f aca="false">IFERROR(SUMPRODUCT((('Loan Tape'!$R$4:$R$303&lt;&gt;"")*('Loan Tape'!$E$4:$E$303=R69))*(('Loan Tape'!$H$4:$H$303-$C$4)/30.4375)*'Loan Tape'!$R$4:$R$303)/E69,"-")</f>
        <v>20.4751836863265</v>
      </c>
      <c r="J69" s="69" t="n">
        <f aca="false">IFERROR(SUMPRODUCT((('Loan Tape'!$R$4:$R$303&lt;&gt;"")*('Loan Tape'!$E$4:$E$303=R69))*('Loan Tape'!$K$4:$K$303="Floating")*'Loan Tape'!$R$4:$R$303)/E69,"-")</f>
        <v>0.827002929831587</v>
      </c>
      <c r="K69" s="69" t="n">
        <f aca="false">IFERROR(SUMPRODUCT((('Loan Tape'!$R$4:$R$303&lt;&gt;"")*('Loan Tape'!$E$4:$E$303=R69))*'Loan Tape'!$T$4:$T$303*'Loan Tape'!$R$4:$R$303)/E69,"-")</f>
        <v>0.0810903821427819</v>
      </c>
      <c r="L69" s="69" t="n">
        <f aca="false">IFERROR(SUMPRODUCT((('Loan Tape'!$R$4:$R$303&lt;&gt;"")*('Loan Tape'!$E$4:$E$303=R69))*'Loan Tape'!$V$4:$V$303*'Loan Tape'!$R$4:$R$303)/E69,"-")</f>
        <v>0.62412831186898</v>
      </c>
      <c r="M69" s="69" t="n">
        <f aca="false">IFERROR(SUMPRODUCT((('Loan Tape'!$R$4:$R$303&lt;&gt;"")*('Loan Tape'!$E$4:$E$303=R69))*'Loan Tape'!$W$4:$W$303*'Loan Tape'!$R$4:$R$303)/E69,"-")</f>
        <v>0.657969668865797</v>
      </c>
      <c r="N69" s="69" t="n">
        <f aca="false">IFERROR(SUMPRODUCT((('Loan Tape'!$R$4:$R$303&lt;&gt;"")*('Loan Tape'!$E$4:$E$303=R69))*'Loan Tape'!$AI$4:$AI$303*'Loan Tape'!$R$4:$R$303)/E69,"-")</f>
        <v>0.0690671142212761</v>
      </c>
      <c r="O69" s="69" t="n">
        <f aca="false">IFERROR(SUMPRODUCT((('Loan Tape'!$R$4:$R$303&lt;&gt;"")*('Loan Tape'!$E$4:$E$303=R69))*'Loan Tape'!$AK$4:$AK$303*'Loan Tape'!$R$4:$R$303)/E69,"-")</f>
        <v>0.0814721581687499</v>
      </c>
      <c r="P69" s="69" t="n">
        <f aca="false">IFERROR(SUMPRODUCT((('Loan Tape'!$R$4:$R$303&lt;&gt;"")*('Loan Tape'!$E$4:$E$303=R69))*'Loan Tape'!$S$4:$S$303*'Loan Tape'!$R$4:$R$303)/E69,"-")</f>
        <v>0.876822418481125</v>
      </c>
      <c r="R69" s="91" t="s">
        <v>263</v>
      </c>
    </row>
    <row r="70" customFormat="false" ht="14.25" hidden="false" customHeight="false" outlineLevel="0" collapsed="false">
      <c r="B70" s="7" t="str">
        <f aca="false">R70</f>
        <v>Deal 6</v>
      </c>
      <c r="C70" s="68" t="n">
        <f aca="false">COUNTIF('Loan Tape'!$E$4:$E$303,R70)</f>
        <v>4</v>
      </c>
      <c r="D70" s="68" t="n">
        <f aca="false">SUMPRODUCT((('Loan Tape'!$R$4:$R$303&lt;&gt;"")*('Loan Tape'!$E$4:$E$303=R70))*'Loan Tape'!$F$4:$F$303)</f>
        <v>423</v>
      </c>
      <c r="E70" s="84" t="n">
        <f aca="false">SUMIF('Loan Tape'!$E$4:$E$303,R70,'Loan Tape'!$R$4:$R$303)</f>
        <v>141373000</v>
      </c>
      <c r="F70" s="69" t="n">
        <f aca="false">IFERROR(E70/C5,0)</f>
        <v>0.0566486750734289</v>
      </c>
      <c r="G70" s="85" t="n">
        <f aca="false">IFERROR(SUMPRODUCT((('Loan Tape'!$R$4:$R$303&lt;&gt;"")*('Loan Tape'!$E$4:$E$303=R70))*'Loan Tape'!$U$4:$U$303*'Loan Tape'!$R$4:$R$303)/E70,"-")</f>
        <v>1.17324439603036</v>
      </c>
      <c r="H70" s="68" t="n">
        <f aca="false">IFERROR(SUMPRODUCT((('Loan Tape'!$R$4:$R$303&lt;&gt;"")*('Loan Tape'!$E$4:$E$303=R70))*'Loan Tape'!$AH$4:$AH$303*'Loan Tape'!$R$4:$R$303)/E70,"-")</f>
        <v>71.5494401335474</v>
      </c>
      <c r="I70" s="68" t="n">
        <f aca="false">IFERROR(SUMPRODUCT((('Loan Tape'!$R$4:$R$303&lt;&gt;"")*('Loan Tape'!$E$4:$E$303=R70))*(('Loan Tape'!$H$4:$H$303-$C$4)/30.4375)*'Loan Tape'!$R$4:$R$303)/E70,"-")</f>
        <v>-6.98506200215891</v>
      </c>
      <c r="J70" s="69" t="n">
        <f aca="false">IFERROR(SUMPRODUCT((('Loan Tape'!$R$4:$R$303&lt;&gt;"")*('Loan Tape'!$E$4:$E$303=R70))*('Loan Tape'!$K$4:$K$303="Floating")*'Loan Tape'!$R$4:$R$303)/E70,"-")</f>
        <v>1</v>
      </c>
      <c r="K70" s="69" t="n">
        <f aca="false">IFERROR(SUMPRODUCT((('Loan Tape'!$R$4:$R$303&lt;&gt;"")*('Loan Tape'!$E$4:$E$303=R70))*'Loan Tape'!$T$4:$T$303*'Loan Tape'!$R$4:$R$303)/E70,"-")</f>
        <v>0.0815852836114392</v>
      </c>
      <c r="L70" s="69" t="n">
        <f aca="false">IFERROR(SUMPRODUCT((('Loan Tape'!$R$4:$R$303&lt;&gt;"")*('Loan Tape'!$E$4:$E$303=R70))*'Loan Tape'!$V$4:$V$303*'Loan Tape'!$R$4:$R$303)/E70,"-")</f>
        <v>0.622955691680873</v>
      </c>
      <c r="M70" s="69" t="n">
        <f aca="false">IFERROR(SUMPRODUCT((('Loan Tape'!$R$4:$R$303&lt;&gt;"")*('Loan Tape'!$E$4:$E$303=R70))*'Loan Tape'!$W$4:$W$303*'Loan Tape'!$R$4:$R$303)/E70,"-")</f>
        <v>0.661328662474447</v>
      </c>
      <c r="N70" s="69" t="n">
        <f aca="false">IFERROR(SUMPRODUCT((('Loan Tape'!$R$4:$R$303&lt;&gt;"")*('Loan Tape'!$E$4:$E$303=R70))*'Loan Tape'!$AI$4:$AI$303*'Loan Tape'!$R$4:$R$303)/E70,"-")</f>
        <v>0.0740125886838364</v>
      </c>
      <c r="O70" s="69" t="n">
        <f aca="false">IFERROR(SUMPRODUCT((('Loan Tape'!$R$4:$R$303&lt;&gt;"")*('Loan Tape'!$E$4:$E$303=R70))*'Loan Tape'!$AK$4:$AK$303*'Loan Tape'!$R$4:$R$303)/E70,"-")</f>
        <v>0.0886411712278865</v>
      </c>
      <c r="P70" s="69" t="n">
        <f aca="false">IFERROR(SUMPRODUCT((('Loan Tape'!$R$4:$R$303&lt;&gt;"")*('Loan Tape'!$E$4:$E$303=R70))*'Loan Tape'!$S$4:$S$303*'Loan Tape'!$R$4:$R$303)/E70,"-")</f>
        <v>0.920776612224399</v>
      </c>
      <c r="R70" s="91" t="s">
        <v>222</v>
      </c>
    </row>
    <row r="71" customFormat="false" ht="14.25" hidden="false" customHeight="false" outlineLevel="0" collapsed="false">
      <c r="B71" s="7" t="str">
        <f aca="false">R71</f>
        <v>Deal 7</v>
      </c>
      <c r="C71" s="68" t="n">
        <f aca="false">COUNTIF('Loan Tape'!$E$4:$E$303,R71)</f>
        <v>8</v>
      </c>
      <c r="D71" s="68" t="n">
        <f aca="false">SUMPRODUCT((('Loan Tape'!$R$4:$R$303&lt;&gt;"")*('Loan Tape'!$E$4:$E$303=R71))*'Loan Tape'!$F$4:$F$303)</f>
        <v>833</v>
      </c>
      <c r="E71" s="84" t="n">
        <f aca="false">SUMIF('Loan Tape'!$E$4:$E$303,R71,'Loan Tape'!$R$4:$R$303)</f>
        <v>488599000</v>
      </c>
      <c r="F71" s="69" t="n">
        <f aca="false">IFERROR(E71/C5,0)</f>
        <v>0.195783395642749</v>
      </c>
      <c r="G71" s="85" t="n">
        <f aca="false">IFERROR(SUMPRODUCT((('Loan Tape'!$R$4:$R$303&lt;&gt;"")*('Loan Tape'!$E$4:$E$303=R71))*'Loan Tape'!$U$4:$U$303*'Loan Tape'!$R$4:$R$303)/E71,"-")</f>
        <v>1.52685052568671</v>
      </c>
      <c r="H71" s="68" t="n">
        <f aca="false">IFERROR(SUMPRODUCT((('Loan Tape'!$R$4:$R$303&lt;&gt;"")*('Loan Tape'!$E$4:$E$303=R71))*'Loan Tape'!$AH$4:$AH$303*'Loan Tape'!$R$4:$R$303)/E71,"-")</f>
        <v>64.5947400629146</v>
      </c>
      <c r="I71" s="68" t="n">
        <f aca="false">IFERROR(SUMPRODUCT((('Loan Tape'!$R$4:$R$303&lt;&gt;"")*('Loan Tape'!$E$4:$E$303=R71))*(('Loan Tape'!$H$4:$H$303-$C$4)/30.4375)*'Loan Tape'!$R$4:$R$303)/E71,"-")</f>
        <v>23.1391406565021</v>
      </c>
      <c r="J71" s="69" t="n">
        <f aca="false">IFERROR(SUMPRODUCT((('Loan Tape'!$R$4:$R$303&lt;&gt;"")*('Loan Tape'!$E$4:$E$303=R71))*('Loan Tape'!$K$4:$K$303="Floating")*'Loan Tape'!$R$4:$R$303)/E71,"-")</f>
        <v>0.988428138412072</v>
      </c>
      <c r="K71" s="69" t="n">
        <f aca="false">IFERROR(SUMPRODUCT((('Loan Tape'!$R$4:$R$303&lt;&gt;"")*('Loan Tape'!$E$4:$E$303=R71))*'Loan Tape'!$T$4:$T$303*'Loan Tape'!$R$4:$R$303)/E71,"-")</f>
        <v>0.0884970726505785</v>
      </c>
      <c r="L71" s="69" t="n">
        <f aca="false">IFERROR(SUMPRODUCT((('Loan Tape'!$R$4:$R$303&lt;&gt;"")*('Loan Tape'!$E$4:$E$303=R71))*'Loan Tape'!$V$4:$V$303*'Loan Tape'!$R$4:$R$303)/E71,"-")</f>
        <v>0.78741190628716</v>
      </c>
      <c r="M71" s="69" t="n">
        <f aca="false">IFERROR(SUMPRODUCT((('Loan Tape'!$R$4:$R$303&lt;&gt;"")*('Loan Tape'!$E$4:$E$303=R71))*'Loan Tape'!$W$4:$W$303*'Loan Tape'!$R$4:$R$303)/E71,"-")</f>
        <v>0.814936412067974</v>
      </c>
      <c r="N71" s="69" t="n">
        <f aca="false">IFERROR(SUMPRODUCT((('Loan Tape'!$R$4:$R$303&lt;&gt;"")*('Loan Tape'!$E$4:$E$303=R71))*'Loan Tape'!$AI$4:$AI$303*'Loan Tape'!$R$4:$R$303)/E71,"-")</f>
        <v>0.0759289020239501</v>
      </c>
      <c r="O71" s="69" t="n">
        <f aca="false">IFERROR(SUMPRODUCT((('Loan Tape'!$R$4:$R$303&lt;&gt;"")*('Loan Tape'!$E$4:$E$303=R71))*'Loan Tape'!$AK$4:$AK$303*'Loan Tape'!$R$4:$R$303)/E71,"-")</f>
        <v>0.0885407112990407</v>
      </c>
      <c r="P71" s="69" t="n">
        <f aca="false">IFERROR(SUMPRODUCT((('Loan Tape'!$R$4:$R$303&lt;&gt;"")*('Loan Tape'!$E$4:$E$303=R71))*'Loan Tape'!$S$4:$S$303*'Loan Tape'!$R$4:$R$303)/E71,"-")</f>
        <v>0.904975501382524</v>
      </c>
      <c r="R71" s="91" t="s">
        <v>229</v>
      </c>
    </row>
    <row r="72" customFormat="false" ht="14.25" hidden="false" customHeight="false" outlineLevel="0" collapsed="false">
      <c r="B72" s="7" t="str">
        <f aca="false">R72</f>
        <v>Deal 8</v>
      </c>
      <c r="C72" s="68" t="n">
        <f aca="false">COUNTIF('Loan Tape'!$E$4:$E$303,R72)</f>
        <v>6</v>
      </c>
      <c r="D72" s="68" t="n">
        <f aca="false">SUMPRODUCT((('Loan Tape'!$R$4:$R$303&lt;&gt;"")*('Loan Tape'!$E$4:$E$303=R72))*'Loan Tape'!$F$4:$F$303)</f>
        <v>843</v>
      </c>
      <c r="E72" s="84" t="n">
        <f aca="false">SUMIF('Loan Tape'!$E$4:$E$303,R72,'Loan Tape'!$R$4:$R$303)</f>
        <v>427869000</v>
      </c>
      <c r="F72" s="69" t="n">
        <f aca="false">IFERROR(E72/C5,0)</f>
        <v>0.171448663853727</v>
      </c>
      <c r="G72" s="85" t="n">
        <f aca="false">IFERROR(SUMPRODUCT((('Loan Tape'!$R$4:$R$303&lt;&gt;"")*('Loan Tape'!$E$4:$E$303=R72))*'Loan Tape'!$U$4:$U$303*'Loan Tape'!$R$4:$R$303)/E72,"-")</f>
        <v>1.4950876787054</v>
      </c>
      <c r="H72" s="68" t="n">
        <f aca="false">IFERROR(SUMPRODUCT((('Loan Tape'!$R$4:$R$303&lt;&gt;"")*('Loan Tape'!$E$4:$E$303=R72))*'Loan Tape'!$AH$4:$AH$303*'Loan Tape'!$R$4:$R$303)/E72,"-")</f>
        <v>69.7369947343696</v>
      </c>
      <c r="I72" s="68" t="n">
        <f aca="false">IFERROR(SUMPRODUCT((('Loan Tape'!$R$4:$R$303&lt;&gt;"")*('Loan Tape'!$E$4:$E$303=R72))*(('Loan Tape'!$H$4:$H$303-$C$4)/30.4375)*'Loan Tape'!$R$4:$R$303)/E72,"-")</f>
        <v>10.3457934645918</v>
      </c>
      <c r="J72" s="69" t="n">
        <f aca="false">IFERROR(SUMPRODUCT((('Loan Tape'!$R$4:$R$303&lt;&gt;"")*('Loan Tape'!$E$4:$E$303=R72))*('Loan Tape'!$K$4:$K$303="Floating")*'Loan Tape'!$R$4:$R$303)/E72,"-")</f>
        <v>0.425088052651629</v>
      </c>
      <c r="K72" s="69" t="n">
        <f aca="false">IFERROR(SUMPRODUCT((('Loan Tape'!$R$4:$R$303&lt;&gt;"")*('Loan Tape'!$E$4:$E$303=R72))*'Loan Tape'!$T$4:$T$303*'Loan Tape'!$R$4:$R$303)/E72,"-")</f>
        <v>0.0824989125176164</v>
      </c>
      <c r="L72" s="69" t="n">
        <f aca="false">IFERROR(SUMPRODUCT((('Loan Tape'!$R$4:$R$303&lt;&gt;"")*('Loan Tape'!$E$4:$E$303=R72))*'Loan Tape'!$V$4:$V$303*'Loan Tape'!$R$4:$R$303)/E72,"-")</f>
        <v>0.652552764981805</v>
      </c>
      <c r="M72" s="69" t="n">
        <f aca="false">IFERROR(SUMPRODUCT((('Loan Tape'!$R$4:$R$303&lt;&gt;"")*('Loan Tape'!$E$4:$E$303=R72))*'Loan Tape'!$W$4:$W$303*'Loan Tape'!$R$4:$R$303)/E72,"-")</f>
        <v>0.683452673598695</v>
      </c>
      <c r="N72" s="69" t="n">
        <f aca="false">IFERROR(SUMPRODUCT((('Loan Tape'!$R$4:$R$303&lt;&gt;"")*('Loan Tape'!$E$4:$E$303=R72))*'Loan Tape'!$AI$4:$AI$303*'Loan Tape'!$R$4:$R$303)/E72,"-")</f>
        <v>0.0696938661132262</v>
      </c>
      <c r="O72" s="69" t="n">
        <f aca="false">IFERROR(SUMPRODUCT((('Loan Tape'!$R$4:$R$303&lt;&gt;"")*('Loan Tape'!$E$4:$E$303=R72))*'Loan Tape'!$AK$4:$AK$303*'Loan Tape'!$R$4:$R$303)/E72,"-")</f>
        <v>0.0722407930932131</v>
      </c>
      <c r="P72" s="69" t="n">
        <f aca="false">IFERROR(SUMPRODUCT((('Loan Tape'!$R$4:$R$303&lt;&gt;"")*('Loan Tape'!$E$4:$E$303=R72))*'Loan Tape'!$S$4:$S$303*'Loan Tape'!$R$4:$R$303)/E72,"-")</f>
        <v>0.854349326546209</v>
      </c>
      <c r="R72" s="91" t="s">
        <v>244</v>
      </c>
    </row>
    <row r="73" customFormat="false" ht="14.25" hidden="false" customHeight="false" outlineLevel="0" collapsed="false">
      <c r="B73" s="7" t="s">
        <v>411</v>
      </c>
      <c r="C73" s="68" t="n">
        <f aca="false">C6-SUM(C65:C72)</f>
        <v>0</v>
      </c>
      <c r="D73" s="68" t="n">
        <f aca="false">SUM('Loan Tape'!$F$4:$F$303)-SUM(D65:D72)</f>
        <v>0</v>
      </c>
      <c r="E73" s="84" t="n">
        <f aca="false">C5-SUM(E65:E72)</f>
        <v>0</v>
      </c>
      <c r="F73" s="69" t="n">
        <f aca="false">IFERROR(E73/C5,0)</f>
        <v>0</v>
      </c>
      <c r="G73" s="85" t="str">
        <f aca="false">IFERROR(SUMPRODUCT((('Loan Tape'!$R$4:$R$303&lt;&gt;"")*(1-(('Loan Tape'!$E$4:$E$303=R65)+('Loan Tape'!$E$4:$E$303=R66)+('Loan Tape'!$E$4:$E$303=R67)+('Loan Tape'!$E$4:$E$303=R68)+('Loan Tape'!$E$4:$E$303=R69)+('Loan Tape'!$E$4:$E$303=R70)+('Loan Tape'!$E$4:$E$303=R71)+('Loan Tape'!$E$4:$E$303=R72))))*'Loan Tape'!$U$4:$U$303*'Loan Tape'!$R$4:$R$303)/E73,"-")</f>
        <v>-</v>
      </c>
      <c r="H73" s="68" t="str">
        <f aca="false">IFERROR(SUMPRODUCT((('Loan Tape'!$R$4:$R$303&lt;&gt;"")*(1-(('Loan Tape'!$E$4:$E$303=R65)+('Loan Tape'!$E$4:$E$303=R66)+('Loan Tape'!$E$4:$E$303=R67)+('Loan Tape'!$E$4:$E$303=R68)+('Loan Tape'!$E$4:$E$303=R69)+('Loan Tape'!$E$4:$E$303=R70)+('Loan Tape'!$E$4:$E$303=R71)+('Loan Tape'!$E$4:$E$303=R72))))*'Loan Tape'!$AH$4:$AH$303*'Loan Tape'!$R$4:$R$303)/E73,"-")</f>
        <v>-</v>
      </c>
      <c r="I73" s="68" t="str">
        <f aca="false">IFERROR(SUMPRODUCT((('Loan Tape'!$R$4:$R$303&lt;&gt;"")*(1-(('Loan Tape'!$E$4:$E$303=R65)+('Loan Tape'!$E$4:$E$303=R66)+('Loan Tape'!$E$4:$E$303=R67)+('Loan Tape'!$E$4:$E$303=R68)+('Loan Tape'!$E$4:$E$303=R69)+('Loan Tape'!$E$4:$E$303=R70)+('Loan Tape'!$E$4:$E$303=R71)+('Loan Tape'!$E$4:$E$303=R72))))*(('Loan Tape'!$H$4:$H$303-$C$4)/30.4375)*'Loan Tape'!$R$4:$R$303)/E73,"-")</f>
        <v>-</v>
      </c>
      <c r="J73" s="69" t="str">
        <f aca="false">IFERROR(SUMPRODUCT((('Loan Tape'!$R$4:$R$303&lt;&gt;"")*(1-(('Loan Tape'!$E$4:$E$303=R65)+('Loan Tape'!$E$4:$E$303=R66)+('Loan Tape'!$E$4:$E$303=R67)+('Loan Tape'!$E$4:$E$303=R68)+('Loan Tape'!$E$4:$E$303=R69)+('Loan Tape'!$E$4:$E$303=R70)+('Loan Tape'!$E$4:$E$303=R71)+('Loan Tape'!$E$4:$E$303=R72))))*('Loan Tape'!$K$4:$K$303="Floating")*'Loan Tape'!$R$4:$R$303)/E73,"-")</f>
        <v>-</v>
      </c>
      <c r="K73" s="69" t="str">
        <f aca="false">IFERROR(SUMPRODUCT((('Loan Tape'!$R$4:$R$303&lt;&gt;"")*(1-(('Loan Tape'!$E$4:$E$303=R65)+('Loan Tape'!$E$4:$E$303=R66)+('Loan Tape'!$E$4:$E$303=R67)+('Loan Tape'!$E$4:$E$303=R68)+('Loan Tape'!$E$4:$E$303=R69)+('Loan Tape'!$E$4:$E$303=R70)+('Loan Tape'!$E$4:$E$303=R71)+('Loan Tape'!$E$4:$E$303=R72))))*'Loan Tape'!$T$4:$T$303*'Loan Tape'!$R$4:$R$303)/E73,"-")</f>
        <v>-</v>
      </c>
      <c r="L73" s="69" t="str">
        <f aca="false">IFERROR(SUMPRODUCT((('Loan Tape'!$R$4:$R$303&lt;&gt;"")*(1-(('Loan Tape'!$E$4:$E$303=R65)+('Loan Tape'!$E$4:$E$303=R66)+('Loan Tape'!$E$4:$E$303=R67)+('Loan Tape'!$E$4:$E$303=R68)+('Loan Tape'!$E$4:$E$303=R69)+('Loan Tape'!$E$4:$E$303=R70)+('Loan Tape'!$E$4:$E$303=R71)+('Loan Tape'!$E$4:$E$303=R72))))*'Loan Tape'!$V$4:$V$303*'Loan Tape'!$R$4:$R$303)/E73,"-")</f>
        <v>-</v>
      </c>
      <c r="M73" s="69" t="str">
        <f aca="false">IFERROR(SUMPRODUCT((('Loan Tape'!$R$4:$R$303&lt;&gt;"")*(1-(('Loan Tape'!$E$4:$E$303=R65)+('Loan Tape'!$E$4:$E$303=R66)+('Loan Tape'!$E$4:$E$303=R67)+('Loan Tape'!$E$4:$E$303=R68)+('Loan Tape'!$E$4:$E$303=R69)+('Loan Tape'!$E$4:$E$303=R70)+('Loan Tape'!$E$4:$E$303=R71)+('Loan Tape'!$E$4:$E$303=R72))))*'Loan Tape'!$W$4:$W$303*'Loan Tape'!$R$4:$R$303)/E73,"-")</f>
        <v>-</v>
      </c>
      <c r="N73" s="69" t="str">
        <f aca="false">IFERROR(SUMPRODUCT((('Loan Tape'!$R$4:$R$303&lt;&gt;"")*(1-(('Loan Tape'!$E$4:$E$303=R65)+('Loan Tape'!$E$4:$E$303=R66)+('Loan Tape'!$E$4:$E$303=R67)+('Loan Tape'!$E$4:$E$303=R68)+('Loan Tape'!$E$4:$E$303=R69)+('Loan Tape'!$E$4:$E$303=R70)+('Loan Tape'!$E$4:$E$303=R71)+('Loan Tape'!$E$4:$E$303=R72))))*'Loan Tape'!$AI$4:$AI$303*'Loan Tape'!$R$4:$R$303)/E73,"-")</f>
        <v>-</v>
      </c>
      <c r="O73" s="69" t="str">
        <f aca="false">IFERROR(SUMPRODUCT((('Loan Tape'!$R$4:$R$303&lt;&gt;"")*(1-(('Loan Tape'!$E$4:$E$303=R65)+('Loan Tape'!$E$4:$E$303=R66)+('Loan Tape'!$E$4:$E$303=R67)+('Loan Tape'!$E$4:$E$303=R68)+('Loan Tape'!$E$4:$E$303=R69)+('Loan Tape'!$E$4:$E$303=R70)+('Loan Tape'!$E$4:$E$303=R71)+('Loan Tape'!$E$4:$E$303=R72))))*'Loan Tape'!$AK$4:$AK$303*'Loan Tape'!$R$4:$R$303)/E73,"-")</f>
        <v>-</v>
      </c>
      <c r="P73" s="69" t="str">
        <f aca="false">IFERROR(SUMPRODUCT((('Loan Tape'!$R$4:$R$303&lt;&gt;"")*(1-(('Loan Tape'!$E$4:$E$303=R65)+('Loan Tape'!$E$4:$E$303=R66)+('Loan Tape'!$E$4:$E$303=R67)+('Loan Tape'!$E$4:$E$303=R68)+('Loan Tape'!$E$4:$E$303=R69)+('Loan Tape'!$E$4:$E$303=R70)+('Loan Tape'!$E$4:$E$303=R71)+('Loan Tape'!$E$4:$E$303=R72))))*'Loan Tape'!$S$4:$S$303*'Loan Tape'!$R$4:$R$303)/E73,"-")</f>
        <v>-</v>
      </c>
    </row>
    <row r="74" customFormat="false" ht="14.25" hidden="false" customHeight="false" outlineLevel="0" collapsed="false">
      <c r="B74" s="86" t="s">
        <v>405</v>
      </c>
      <c r="C74" s="92" t="n">
        <f aca="false">C6</f>
        <v>50</v>
      </c>
      <c r="D74" s="92" t="n">
        <f aca="false">SUM('Loan Tape'!$F$4:$F$303)</f>
        <v>4739</v>
      </c>
      <c r="E74" s="88" t="n">
        <f aca="false">C5</f>
        <v>2495610000</v>
      </c>
      <c r="F74" s="89" t="n">
        <f aca="false">1</f>
        <v>1</v>
      </c>
      <c r="G74" s="90" t="n">
        <f aca="false">IFERROR(SUMPRODUCT((('Loan Tape'!$R$4:$R$303&lt;&gt;""))*'Loan Tape'!$U$4:$U$303*'Loan Tape'!$R$4:$R$303)/E74,"-")</f>
        <v>1.36575944157941</v>
      </c>
      <c r="H74" s="92" t="n">
        <f aca="false">IFERROR(SUMPRODUCT((('Loan Tape'!$R$4:$R$303&lt;&gt;""))*'Loan Tape'!$AH$4:$AH$303*'Loan Tape'!$R$4:$R$303)/E74,"-")</f>
        <v>76.5147345138063</v>
      </c>
      <c r="I74" s="92" t="n">
        <f aca="false">IFERROR(SUMPRODUCT((('Loan Tape'!$R$4:$R$303&lt;&gt;""))*(('Loan Tape'!$H$4:$H$303-$C$4)/30.4375)*'Loan Tape'!$R$4:$R$303)/E74,"-")</f>
        <v>17.6772942206432</v>
      </c>
      <c r="J74" s="89" t="n">
        <f aca="false">IFERROR(SUMPRODUCT((('Loan Tape'!$R$4:$R$303&lt;&gt;""))*('Loan Tape'!$K$4:$K$303="Floating")*'Loan Tape'!$R$4:$R$303)/E74,"-")</f>
        <v>0.664477622705471</v>
      </c>
      <c r="K74" s="89" t="n">
        <f aca="false">IFERROR(SUMPRODUCT((('Loan Tape'!$R$4:$R$303&lt;&gt;""))*'Loan Tape'!$T$4:$T$303*'Loan Tape'!$R$4:$R$303)/E74,"-")</f>
        <v>0.0861540568438177</v>
      </c>
      <c r="L74" s="89" t="n">
        <f aca="false">IFERROR(SUMPRODUCT((('Loan Tape'!$R$4:$R$303&lt;&gt;""))*'Loan Tape'!$V$4:$V$303*'Loan Tape'!$R$4:$R$303)/E74,"-")</f>
        <v>0.683559256454334</v>
      </c>
      <c r="M74" s="89" t="n">
        <f aca="false">IFERROR(SUMPRODUCT((('Loan Tape'!$R$4:$R$303&lt;&gt;""))*'Loan Tape'!$W$4:$W$303*'Loan Tape'!$R$4:$R$303)/E74,"-")</f>
        <v>0.716164459190338</v>
      </c>
      <c r="N74" s="89" t="n">
        <f aca="false">IFERROR(SUMPRODUCT((('Loan Tape'!$R$4:$R$303&lt;&gt;""))*'Loan Tape'!$AI$4:$AI$303*'Loan Tape'!$R$4:$R$303)/E74,"-")</f>
        <v>0.0704574522862146</v>
      </c>
      <c r="O74" s="89" t="n">
        <f aca="false">IFERROR(SUMPRODUCT((('Loan Tape'!$R$4:$R$303&lt;&gt;""))*'Loan Tape'!$AK$4:$AK$303*'Loan Tape'!$R$4:$R$303)/E74,"-")</f>
        <v>0.0792103169165054</v>
      </c>
      <c r="P74" s="89" t="n">
        <f aca="false">IFERROR(SUMPRODUCT((('Loan Tape'!$R$4:$R$303&lt;&gt;""))*'Loan Tape'!$S$4:$S$303*'Loan Tape'!$R$4:$R$303)/E74,"-")</f>
        <v>0.886687142221741</v>
      </c>
    </row>
    <row r="76" customFormat="false" ht="19.5" hidden="false" customHeight="true" outlineLevel="0" collapsed="false">
      <c r="B76" s="5" t="s">
        <v>412</v>
      </c>
      <c r="C76" s="5"/>
      <c r="D76" s="5"/>
      <c r="E76" s="5"/>
      <c r="F76" s="5"/>
      <c r="G76" s="5"/>
      <c r="H76" s="5"/>
      <c r="I76" s="5"/>
      <c r="J76" s="5"/>
      <c r="K76" s="5"/>
      <c r="L76" s="5"/>
      <c r="M76" s="5"/>
      <c r="N76" s="5"/>
      <c r="O76" s="5"/>
      <c r="P76" s="5"/>
    </row>
    <row r="77" customFormat="false" ht="42" hidden="false" customHeight="true" outlineLevel="0" collapsed="false">
      <c r="B77" s="82" t="s">
        <v>392</v>
      </c>
      <c r="C77" s="83" t="s">
        <v>368</v>
      </c>
      <c r="D77" s="83" t="s">
        <v>153</v>
      </c>
      <c r="E77" s="83" t="s">
        <v>393</v>
      </c>
      <c r="F77" s="83" t="s">
        <v>394</v>
      </c>
      <c r="G77" s="83" t="s">
        <v>395</v>
      </c>
      <c r="H77" s="83" t="s">
        <v>396</v>
      </c>
      <c r="I77" s="83" t="s">
        <v>397</v>
      </c>
      <c r="J77" s="83" t="s">
        <v>398</v>
      </c>
      <c r="K77" s="83" t="s">
        <v>399</v>
      </c>
      <c r="L77" s="83" t="s">
        <v>400</v>
      </c>
      <c r="M77" s="83" t="s">
        <v>401</v>
      </c>
      <c r="N77" s="83" t="s">
        <v>402</v>
      </c>
      <c r="O77" s="83" t="s">
        <v>403</v>
      </c>
      <c r="P77" s="83" t="s">
        <v>365</v>
      </c>
    </row>
    <row r="78" customFormat="false" ht="14.25" hidden="false" customHeight="false" outlineLevel="0" collapsed="false">
      <c r="B78" s="7" t="str">
        <f aca="false">R78</f>
        <v>Multifamily</v>
      </c>
      <c r="C78" s="68" t="n">
        <f aca="false">COUNTIF('Loan Tape'!$D$4:$D$303,R78)</f>
        <v>18</v>
      </c>
      <c r="D78" s="68" t="n">
        <f aca="false">SUMPRODUCT((('Loan Tape'!$R$4:$R$303&lt;&gt;"")*('Loan Tape'!$D$4:$D$303=R78))*'Loan Tape'!$F$4:$F$303)</f>
        <v>4739</v>
      </c>
      <c r="E78" s="84" t="n">
        <f aca="false">SUMIF('Loan Tape'!$D$4:$D$303,R78,'Loan Tape'!$R$4:$R$303)</f>
        <v>1027767000</v>
      </c>
      <c r="F78" s="69" t="n">
        <f aca="false">IFERROR(E78/C5,0)</f>
        <v>0.411829973433349</v>
      </c>
      <c r="G78" s="85" t="n">
        <f aca="false">IFERROR(SUMPRODUCT((('Loan Tape'!$R$4:$R$303&lt;&gt;"")*('Loan Tape'!$D$4:$D$303=R78))*'Loan Tape'!$U$4:$U$303*'Loan Tape'!$R$4:$R$303)/E78,"-")</f>
        <v>1.37400649174375</v>
      </c>
      <c r="H78" s="68" t="n">
        <f aca="false">IFERROR(SUMPRODUCT((('Loan Tape'!$R$4:$R$303&lt;&gt;"")*('Loan Tape'!$D$4:$D$303=R78))*'Loan Tape'!$AH$4:$AH$303*'Loan Tape'!$R$4:$R$303)/E78,"-")</f>
        <v>81.3481021476658</v>
      </c>
      <c r="I78" s="68" t="n">
        <f aca="false">IFERROR(SUMPRODUCT((('Loan Tape'!$R$4:$R$303&lt;&gt;"")*('Loan Tape'!$D$4:$D$303=R78))*(('Loan Tape'!$H$4:$H$303-$C$4)/30.4375)*'Loan Tape'!$R$4:$R$303)/E78,"-")</f>
        <v>2.16682616498168</v>
      </c>
      <c r="J78" s="69" t="n">
        <f aca="false">IFERROR(SUMPRODUCT((('Loan Tape'!$R$4:$R$303&lt;&gt;"")*('Loan Tape'!$D$4:$D$303=R78))*('Loan Tape'!$K$4:$K$303="Floating")*'Loan Tape'!$R$4:$R$303)/E78,"-")</f>
        <v>0.486937214368626</v>
      </c>
      <c r="K78" s="69" t="n">
        <f aca="false">IFERROR(SUMPRODUCT((('Loan Tape'!$R$4:$R$303&lt;&gt;"")*('Loan Tape'!$D$4:$D$303=R78))*'Loan Tape'!$T$4:$T$303*'Loan Tape'!$R$4:$R$303)/E78,"-")</f>
        <v>0.0886051578811151</v>
      </c>
      <c r="L78" s="69" t="n">
        <f aca="false">IFERROR(SUMPRODUCT((('Loan Tape'!$R$4:$R$303&lt;&gt;"")*('Loan Tape'!$D$4:$D$303=R78))*'Loan Tape'!$V$4:$V$303*'Loan Tape'!$R$4:$R$303)/E78,"-")</f>
        <v>0.742880153770261</v>
      </c>
      <c r="M78" s="69" t="n">
        <f aca="false">IFERROR(SUMPRODUCT((('Loan Tape'!$R$4:$R$303&lt;&gt;"")*('Loan Tape'!$D$4:$D$303=R78))*'Loan Tape'!$W$4:$W$303*'Loan Tape'!$R$4:$R$303)/E78,"-")</f>
        <v>0.781503832094239</v>
      </c>
      <c r="N78" s="69" t="n">
        <f aca="false">IFERROR(SUMPRODUCT((('Loan Tape'!$R$4:$R$303&lt;&gt;"")*('Loan Tape'!$D$4:$D$303=R78))*'Loan Tape'!$AI$4:$AI$303*'Loan Tape'!$R$4:$R$303)/E78,"-")</f>
        <v>0.0663484570919284</v>
      </c>
      <c r="O78" s="69" t="n">
        <f aca="false">IFERROR(SUMPRODUCT((('Loan Tape'!$R$4:$R$303&lt;&gt;"")*('Loan Tape'!$D$4:$D$303=R78))*'Loan Tape'!$AK$4:$AK$303*'Loan Tape'!$R$4:$R$303)/E78,"-")</f>
        <v>0.0722295938670925</v>
      </c>
      <c r="P78" s="69" t="n">
        <f aca="false">IFERROR(SUMPRODUCT((('Loan Tape'!$R$4:$R$303&lt;&gt;"")*('Loan Tape'!$D$4:$D$303=R78))*'Loan Tape'!$S$4:$S$303*'Loan Tape'!$R$4:$R$303)/E78,"-")</f>
        <v>0.859375430423433</v>
      </c>
      <c r="R78" s="91" t="s">
        <v>228</v>
      </c>
    </row>
    <row r="79" customFormat="false" ht="14.25" hidden="false" customHeight="false" outlineLevel="0" collapsed="false">
      <c r="B79" s="7" t="str">
        <f aca="false">R79</f>
        <v>Office</v>
      </c>
      <c r="C79" s="68" t="n">
        <f aca="false">COUNTIF('Loan Tape'!$D$4:$D$303,R79)</f>
        <v>11</v>
      </c>
      <c r="D79" s="68" t="n">
        <f aca="false">SUMPRODUCT((('Loan Tape'!$R$4:$R$303&lt;&gt;"")*('Loan Tape'!$D$4:$D$303=R79))*'Loan Tape'!$F$4:$F$303)</f>
        <v>0</v>
      </c>
      <c r="E79" s="84" t="n">
        <f aca="false">SUMIF('Loan Tape'!$D$4:$D$303,R79,'Loan Tape'!$R$4:$R$303)</f>
        <v>725366000</v>
      </c>
      <c r="F79" s="69" t="n">
        <f aca="false">IFERROR(E79/C5,0)</f>
        <v>0.290656793329086</v>
      </c>
      <c r="G79" s="85" t="n">
        <f aca="false">IFERROR(SUMPRODUCT((('Loan Tape'!$R$4:$R$303&lt;&gt;"")*('Loan Tape'!$D$4:$D$303=R79))*'Loan Tape'!$U$4:$U$303*'Loan Tape'!$R$4:$R$303)/E79,"-")</f>
        <v>1.45905650388907</v>
      </c>
      <c r="H79" s="68" t="n">
        <f aca="false">IFERROR(SUMPRODUCT((('Loan Tape'!$R$4:$R$303&lt;&gt;"")*('Loan Tape'!$D$4:$D$303=R79))*'Loan Tape'!$AH$4:$AH$303*'Loan Tape'!$R$4:$R$303)/E79,"-")</f>
        <v>75.3939791774084</v>
      </c>
      <c r="I79" s="68" t="n">
        <f aca="false">IFERROR(SUMPRODUCT((('Loan Tape'!$R$4:$R$303&lt;&gt;"")*('Loan Tape'!$D$4:$D$303=R79))*(('Loan Tape'!$H$4:$H$303-$C$4)/30.4375)*'Loan Tape'!$R$4:$R$303)/E79,"-")</f>
        <v>36.9930188043398</v>
      </c>
      <c r="J79" s="69" t="n">
        <f aca="false">IFERROR(SUMPRODUCT((('Loan Tape'!$R$4:$R$303&lt;&gt;"")*('Loan Tape'!$D$4:$D$303=R79))*('Loan Tape'!$K$4:$K$303="Floating")*'Loan Tape'!$R$4:$R$303)/E79,"-")</f>
        <v>0.88785661307533</v>
      </c>
      <c r="K79" s="69" t="n">
        <f aca="false">IFERROR(SUMPRODUCT((('Loan Tape'!$R$4:$R$303&lt;&gt;"")*('Loan Tape'!$D$4:$D$303=R79))*'Loan Tape'!$T$4:$T$303*'Loan Tape'!$R$4:$R$303)/E79,"-")</f>
        <v>0.0877258800384909</v>
      </c>
      <c r="L79" s="69" t="n">
        <f aca="false">IFERROR(SUMPRODUCT((('Loan Tape'!$R$4:$R$303&lt;&gt;"")*('Loan Tape'!$D$4:$D$303=R79))*'Loan Tape'!$V$4:$V$303*'Loan Tape'!$R$4:$R$303)/E79,"-")</f>
        <v>0.661712106715782</v>
      </c>
      <c r="M79" s="69" t="n">
        <f aca="false">IFERROR(SUMPRODUCT((('Loan Tape'!$R$4:$R$303&lt;&gt;"")*('Loan Tape'!$D$4:$D$303=R79))*'Loan Tape'!$W$4:$W$303*'Loan Tape'!$R$4:$R$303)/E79,"-")</f>
        <v>0.687130751923856</v>
      </c>
      <c r="N79" s="69" t="n">
        <f aca="false">IFERROR(SUMPRODUCT((('Loan Tape'!$R$4:$R$303&lt;&gt;"")*('Loan Tape'!$D$4:$D$303=R79))*'Loan Tape'!$AI$4:$AI$303*'Loan Tape'!$R$4:$R$303)/E79,"-")</f>
        <v>0.0742947116352297</v>
      </c>
      <c r="O79" s="69" t="n">
        <f aca="false">IFERROR(SUMPRODUCT((('Loan Tape'!$R$4:$R$303&lt;&gt;"")*('Loan Tape'!$D$4:$D$303=R79))*'Loan Tape'!$AK$4:$AK$303*'Loan Tape'!$R$4:$R$303)/E79,"-")</f>
        <v>0.0876125608313596</v>
      </c>
      <c r="P79" s="69" t="n">
        <f aca="false">IFERROR(SUMPRODUCT((('Loan Tape'!$R$4:$R$303&lt;&gt;"")*('Loan Tape'!$D$4:$D$303=R79))*'Loan Tape'!$S$4:$S$303*'Loan Tape'!$R$4:$R$303)/E79,"-")</f>
        <v>0.901638782352633</v>
      </c>
      <c r="R79" s="91" t="s">
        <v>236</v>
      </c>
    </row>
    <row r="80" customFormat="false" ht="14.25" hidden="false" customHeight="false" outlineLevel="0" collapsed="false">
      <c r="B80" s="7" t="str">
        <f aca="false">R80</f>
        <v>Retail</v>
      </c>
      <c r="C80" s="68" t="n">
        <f aca="false">COUNTIF('Loan Tape'!$D$4:$D$303,R80)</f>
        <v>8</v>
      </c>
      <c r="D80" s="68" t="n">
        <f aca="false">SUMPRODUCT((('Loan Tape'!$R$4:$R$303&lt;&gt;"")*('Loan Tape'!$D$4:$D$303=R80))*'Loan Tape'!$F$4:$F$303)</f>
        <v>0</v>
      </c>
      <c r="E80" s="84" t="n">
        <f aca="false">SUMIF('Loan Tape'!$D$4:$D$303,R80,'Loan Tape'!$R$4:$R$303)</f>
        <v>261964000</v>
      </c>
      <c r="F80" s="69" t="n">
        <f aca="false">IFERROR(E80/C5,0)</f>
        <v>0.104969927192149</v>
      </c>
      <c r="G80" s="85" t="n">
        <f aca="false">IFERROR(SUMPRODUCT((('Loan Tape'!$R$4:$R$303&lt;&gt;"")*('Loan Tape'!$D$4:$D$303=R80))*'Loan Tape'!$U$4:$U$303*'Loan Tape'!$R$4:$R$303)/E80,"-")</f>
        <v>1.18127322838253</v>
      </c>
      <c r="H80" s="68" t="n">
        <f aca="false">IFERROR(SUMPRODUCT((('Loan Tape'!$R$4:$R$303&lt;&gt;"")*('Loan Tape'!$D$4:$D$303=R80))*'Loan Tape'!$AH$4:$AH$303*'Loan Tape'!$R$4:$R$303)/E80,"-")</f>
        <v>74.0317585622452</v>
      </c>
      <c r="I80" s="68" t="n">
        <f aca="false">IFERROR(SUMPRODUCT((('Loan Tape'!$R$4:$R$303&lt;&gt;"")*('Loan Tape'!$D$4:$D$303=R80))*(('Loan Tape'!$H$4:$H$303-$C$4)/30.4375)*'Loan Tape'!$R$4:$R$303)/E80,"-")</f>
        <v>-5.98114580190447</v>
      </c>
      <c r="J80" s="69" t="n">
        <f aca="false">IFERROR(SUMPRODUCT((('Loan Tape'!$R$4:$R$303&lt;&gt;"")*('Loan Tape'!$D$4:$D$303=R80))*('Loan Tape'!$K$4:$K$303="Floating")*'Loan Tape'!$R$4:$R$303)/E80,"-")</f>
        <v>0.509623459712022</v>
      </c>
      <c r="K80" s="69" t="n">
        <f aca="false">IFERROR(SUMPRODUCT((('Loan Tape'!$R$4:$R$303&lt;&gt;"")*('Loan Tape'!$D$4:$D$303=R80))*'Loan Tape'!$T$4:$T$303*'Loan Tape'!$R$4:$R$303)/E80,"-")</f>
        <v>0.0869024911819945</v>
      </c>
      <c r="L80" s="69" t="n">
        <f aca="false">IFERROR(SUMPRODUCT((('Loan Tape'!$R$4:$R$303&lt;&gt;"")*('Loan Tape'!$D$4:$D$303=R80))*'Loan Tape'!$V$4:$V$303*'Loan Tape'!$R$4:$R$303)/E80,"-")</f>
        <v>0.588665847215648</v>
      </c>
      <c r="M80" s="69" t="n">
        <f aca="false">IFERROR(SUMPRODUCT((('Loan Tape'!$R$4:$R$303&lt;&gt;"")*('Loan Tape'!$D$4:$D$303=R80))*'Loan Tape'!$W$4:$W$303*'Loan Tape'!$R$4:$R$303)/E80,"-")</f>
        <v>0.616051843001328</v>
      </c>
      <c r="N80" s="69" t="n">
        <f aca="false">IFERROR(SUMPRODUCT((('Loan Tape'!$R$4:$R$303&lt;&gt;"")*('Loan Tape'!$D$4:$D$303=R80))*'Loan Tape'!$AI$4:$AI$303*'Loan Tape'!$R$4:$R$303)/E80,"-")</f>
        <v>0.0679656174130797</v>
      </c>
      <c r="O80" s="69" t="n">
        <f aca="false">IFERROR(SUMPRODUCT((('Loan Tape'!$R$4:$R$303&lt;&gt;"")*('Loan Tape'!$D$4:$D$303=R80))*'Loan Tape'!$AK$4:$AK$303*'Loan Tape'!$R$4:$R$303)/E80,"-")</f>
        <v>0.0748275980669099</v>
      </c>
      <c r="P80" s="69" t="n">
        <f aca="false">IFERROR(SUMPRODUCT((('Loan Tape'!$R$4:$R$303&lt;&gt;"")*('Loan Tape'!$D$4:$D$303=R80))*'Loan Tape'!$S$4:$S$303*'Loan Tape'!$R$4:$R$303)/E80,"-")</f>
        <v>0.944157811760395</v>
      </c>
      <c r="R80" s="91" t="s">
        <v>207</v>
      </c>
    </row>
    <row r="81" customFormat="false" ht="14.25" hidden="false" customHeight="false" outlineLevel="0" collapsed="false">
      <c r="B81" s="7" t="str">
        <f aca="false">R81</f>
        <v>Industrial</v>
      </c>
      <c r="C81" s="68" t="n">
        <f aca="false">COUNTIF('Loan Tape'!$D$4:$D$303,R81)</f>
        <v>8</v>
      </c>
      <c r="D81" s="68" t="n">
        <f aca="false">SUMPRODUCT((('Loan Tape'!$R$4:$R$303&lt;&gt;"")*('Loan Tape'!$D$4:$D$303=R81))*'Loan Tape'!$F$4:$F$303)</f>
        <v>0</v>
      </c>
      <c r="E81" s="84" t="n">
        <f aca="false">SUMIF('Loan Tape'!$D$4:$D$303,R81,'Loan Tape'!$R$4:$R$303)</f>
        <v>340374000</v>
      </c>
      <c r="F81" s="69" t="n">
        <f aca="false">IFERROR(E81/C5,0)</f>
        <v>0.136389099258298</v>
      </c>
      <c r="G81" s="85" t="n">
        <f aca="false">IFERROR(SUMPRODUCT((('Loan Tape'!$R$4:$R$303&lt;&gt;"")*('Loan Tape'!$D$4:$D$303=R81))*'Loan Tape'!$U$4:$U$303*'Loan Tape'!$R$4:$R$303)/E81,"-")</f>
        <v>1.20043875266618</v>
      </c>
      <c r="H81" s="68" t="n">
        <f aca="false">IFERROR(SUMPRODUCT((('Loan Tape'!$R$4:$R$303&lt;&gt;"")*('Loan Tape'!$D$4:$D$303=R81))*'Loan Tape'!$AH$4:$AH$303*'Loan Tape'!$R$4:$R$303)/E81,"-")</f>
        <v>75.6472209980786</v>
      </c>
      <c r="I81" s="68" t="n">
        <f aca="false">IFERROR(SUMPRODUCT((('Loan Tape'!$R$4:$R$303&lt;&gt;"")*('Loan Tape'!$D$4:$D$303=R81))*(('Loan Tape'!$H$4:$H$303-$C$4)/30.4375)*'Loan Tape'!$R$4:$R$303)/E81,"-")</f>
        <v>32.5407927351902</v>
      </c>
      <c r="J81" s="69" t="n">
        <f aca="false">IFERROR(SUMPRODUCT((('Loan Tape'!$R$4:$R$303&lt;&gt;"")*('Loan Tape'!$D$4:$D$303=R81))*('Loan Tape'!$K$4:$K$303="Floating")*'Loan Tape'!$R$4:$R$303)/E81,"-")</f>
        <v>0.705565054910187</v>
      </c>
      <c r="K81" s="69" t="n">
        <f aca="false">IFERROR(SUMPRODUCT((('Loan Tape'!$R$4:$R$303&lt;&gt;"")*('Loan Tape'!$D$4:$D$303=R81))*'Loan Tape'!$T$4:$T$303*'Loan Tape'!$R$4:$R$303)/E81,"-")</f>
        <v>0.0838473035543255</v>
      </c>
      <c r="L81" s="69" t="n">
        <f aca="false">IFERROR(SUMPRODUCT((('Loan Tape'!$R$4:$R$303&lt;&gt;"")*('Loan Tape'!$D$4:$D$303=R81))*'Loan Tape'!$V$4:$V$303*'Loan Tape'!$R$4:$R$303)/E81,"-")</f>
        <v>0.61718949449723</v>
      </c>
      <c r="M81" s="69" t="n">
        <f aca="false">IFERROR(SUMPRODUCT((('Loan Tape'!$R$4:$R$303&lt;&gt;"")*('Loan Tape'!$D$4:$D$303=R81))*'Loan Tape'!$W$4:$W$303*'Loan Tape'!$R$4:$R$303)/E81,"-")</f>
        <v>0.650602078889692</v>
      </c>
      <c r="N81" s="69" t="n">
        <f aca="false">IFERROR(SUMPRODUCT((('Loan Tape'!$R$4:$R$303&lt;&gt;"")*('Loan Tape'!$D$4:$D$303=R81))*'Loan Tape'!$AI$4:$AI$303*'Loan Tape'!$R$4:$R$303)/E81,"-")</f>
        <v>0.0725309820961648</v>
      </c>
      <c r="O81" s="69" t="n">
        <f aca="false">IFERROR(SUMPRODUCT((('Loan Tape'!$R$4:$R$303&lt;&gt;"")*('Loan Tape'!$D$4:$D$303=R81))*'Loan Tape'!$AK$4:$AK$303*'Loan Tape'!$R$4:$R$303)/E81,"-")</f>
        <v>0.0822889656671779</v>
      </c>
      <c r="P81" s="69" t="n">
        <f aca="false">IFERROR(SUMPRODUCT((('Loan Tape'!$R$4:$R$303&lt;&gt;"")*('Loan Tape'!$D$4:$D$303=R81))*'Loan Tape'!$S$4:$S$303*'Loan Tape'!$R$4:$R$303)/E81,"-")</f>
        <v>0.877538181529729</v>
      </c>
      <c r="R81" s="91" t="s">
        <v>251</v>
      </c>
    </row>
    <row r="82" customFormat="false" ht="14.25" hidden="false" customHeight="false" outlineLevel="0" collapsed="false">
      <c r="B82" s="7" t="str">
        <f aca="false">R82</f>
        <v>Hotel</v>
      </c>
      <c r="C82" s="68" t="n">
        <f aca="false">COUNTIF('Loan Tape'!$D$4:$D$303,R82)</f>
        <v>4</v>
      </c>
      <c r="D82" s="68" t="n">
        <f aca="false">SUMPRODUCT((('Loan Tape'!$R$4:$R$303&lt;&gt;"")*('Loan Tape'!$D$4:$D$303=R82))*'Loan Tape'!$F$4:$F$303)</f>
        <v>0</v>
      </c>
      <c r="E82" s="84" t="n">
        <f aca="false">SUMIF('Loan Tape'!$D$4:$D$303,R82,'Loan Tape'!$R$4:$R$303)</f>
        <v>122506000</v>
      </c>
      <c r="F82" s="69" t="n">
        <f aca="false">IFERROR(E82/C5,0)</f>
        <v>0.049088599580864</v>
      </c>
      <c r="G82" s="85" t="n">
        <f aca="false">IFERROR(SUMPRODUCT((('Loan Tape'!$R$4:$R$303&lt;&gt;"")*('Loan Tape'!$D$4:$D$303=R82))*'Loan Tape'!$U$4:$U$303*'Loan Tape'!$R$4:$R$303)/E82,"-")</f>
        <v>1.62472262583057</v>
      </c>
      <c r="H82" s="68" t="n">
        <f aca="false">IFERROR(SUMPRODUCT((('Loan Tape'!$R$4:$R$303&lt;&gt;"")*('Loan Tape'!$D$4:$D$303=R82))*'Loan Tape'!$AH$4:$AH$303*'Loan Tape'!$R$4:$R$303)/E82,"-")</f>
        <v>56.0085938647903</v>
      </c>
      <c r="I82" s="68" t="n">
        <f aca="false">IFERROR(SUMPRODUCT((('Loan Tape'!$R$4:$R$303&lt;&gt;"")*('Loan Tape'!$D$4:$D$303=R82))*(('Loan Tape'!$H$4:$H$303-$C$4)/30.4375)*'Loan Tape'!$R$4:$R$303)/E82,"-")</f>
        <v>38.499200424697</v>
      </c>
      <c r="J82" s="69" t="n">
        <f aca="false">IFERROR(SUMPRODUCT((('Loan Tape'!$R$4:$R$303&lt;&gt;"")*('Loan Tape'!$D$4:$D$303=R82))*('Loan Tape'!$K$4:$K$303="Floating")*'Loan Tape'!$R$4:$R$303)/E82,"-")</f>
        <v>1</v>
      </c>
      <c r="K82" s="69" t="n">
        <f aca="false">IFERROR(SUMPRODUCT((('Loan Tape'!$R$4:$R$303&lt;&gt;"")*('Loan Tape'!$D$4:$D$303=R82))*'Loan Tape'!$T$4:$T$303*'Loan Tape'!$R$4:$R$303)/E82,"-")</f>
        <v>0.0602508897523387</v>
      </c>
      <c r="L82" s="69" t="n">
        <f aca="false">IFERROR(SUMPRODUCT((('Loan Tape'!$R$4:$R$303&lt;&gt;"")*('Loan Tape'!$D$4:$D$303=R82))*'Loan Tape'!$V$4:$V$303*'Loan Tape'!$R$4:$R$303)/E82,"-")</f>
        <v>0.718622369516595</v>
      </c>
      <c r="M82" s="69" t="n">
        <f aca="false">IFERROR(SUMPRODUCT((('Loan Tape'!$R$4:$R$303&lt;&gt;"")*('Loan Tape'!$D$4:$D$303=R82))*'Loan Tape'!$W$4:$W$303*'Loan Tape'!$R$4:$R$303)/E82,"-")</f>
        <v>0.753299544512106</v>
      </c>
      <c r="N82" s="69" t="n">
        <f aca="false">IFERROR(SUMPRODUCT((('Loan Tape'!$R$4:$R$303&lt;&gt;"")*('Loan Tape'!$D$4:$D$303=R82))*'Loan Tape'!$AI$4:$AI$303*'Loan Tape'!$R$4:$R$303)/E82,"-")</f>
        <v>0.0808781071947496</v>
      </c>
      <c r="O82" s="69" t="n">
        <f aca="false">IFERROR(SUMPRODUCT((('Loan Tape'!$R$4:$R$303&lt;&gt;"")*('Loan Tape'!$D$4:$D$303=R82))*'Loan Tape'!$AK$4:$AK$303*'Loan Tape'!$R$4:$R$303)/E82,"-")</f>
        <v>0.0870454165510261</v>
      </c>
      <c r="P82" s="69" t="n">
        <f aca="false">IFERROR(SUMPRODUCT((('Loan Tape'!$R$4:$R$303&lt;&gt;"")*('Loan Tape'!$D$4:$D$303=R82))*'Loan Tape'!$S$4:$S$303*'Loan Tape'!$R$4:$R$303)/E82,"-")</f>
        <v>0.91494511289243</v>
      </c>
      <c r="R82" s="91" t="s">
        <v>221</v>
      </c>
    </row>
    <row r="83" customFormat="false" ht="14.25" hidden="false" customHeight="false" outlineLevel="0" collapsed="false">
      <c r="B83" s="7" t="str">
        <f aca="false">R83</f>
        <v>Mixed-Use</v>
      </c>
      <c r="C83" s="68" t="n">
        <f aca="false">COUNTIF('Loan Tape'!$D$4:$D$303,R83)</f>
        <v>1</v>
      </c>
      <c r="D83" s="68" t="n">
        <f aca="false">SUMPRODUCT((('Loan Tape'!$R$4:$R$303&lt;&gt;"")*('Loan Tape'!$D$4:$D$303=R83))*'Loan Tape'!$F$4:$F$303)</f>
        <v>0</v>
      </c>
      <c r="E83" s="84" t="n">
        <f aca="false">SUMIF('Loan Tape'!$D$4:$D$303,R83,'Loan Tape'!$R$4:$R$303)</f>
        <v>17633000</v>
      </c>
      <c r="F83" s="69" t="n">
        <f aca="false">IFERROR(E83/C5,0)</f>
        <v>0.00706560720625418</v>
      </c>
      <c r="G83" s="85" t="n">
        <f aca="false">IFERROR(SUMPRODUCT((('Loan Tape'!$R$4:$R$303&lt;&gt;"")*('Loan Tape'!$D$4:$D$303=R83))*'Loan Tape'!$U$4:$U$303*'Loan Tape'!$R$4:$R$303)/E83,"-")</f>
        <v>1.18</v>
      </c>
      <c r="H83" s="68" t="n">
        <f aca="false">IFERROR(SUMPRODUCT((('Loan Tape'!$R$4:$R$303&lt;&gt;"")*('Loan Tape'!$D$4:$D$303=R83))*'Loan Tape'!$AH$4:$AH$303*'Loan Tape'!$R$4:$R$303)/E83,"-")</f>
        <v>37</v>
      </c>
      <c r="I83" s="68" t="n">
        <f aca="false">IFERROR(SUMPRODUCT((('Loan Tape'!$R$4:$R$303&lt;&gt;"")*('Loan Tape'!$D$4:$D$303=R83))*(('Loan Tape'!$H$4:$H$303-$C$4)/30.4375)*'Loan Tape'!$R$4:$R$303)/E83,"-")</f>
        <v>47.047227926078</v>
      </c>
      <c r="J83" s="69" t="n">
        <f aca="false">IFERROR(SUMPRODUCT((('Loan Tape'!$R$4:$R$303&lt;&gt;"")*('Loan Tape'!$D$4:$D$303=R83))*('Loan Tape'!$K$4:$K$303="Floating")*'Loan Tape'!$R$4:$R$303)/E83,"-")</f>
        <v>1</v>
      </c>
      <c r="K83" s="69" t="n">
        <f aca="false">IFERROR(SUMPRODUCT((('Loan Tape'!$R$4:$R$303&lt;&gt;"")*('Loan Tape'!$D$4:$D$303=R83))*'Loan Tape'!$T$4:$T$303*'Loan Tape'!$R$4:$R$303)/E83,"-")</f>
        <v>0.092</v>
      </c>
      <c r="L83" s="69" t="n">
        <f aca="false">IFERROR(SUMPRODUCT((('Loan Tape'!$R$4:$R$303&lt;&gt;"")*('Loan Tape'!$D$4:$D$303=R83))*'Loan Tape'!$V$4:$V$303*'Loan Tape'!$R$4:$R$303)/E83,"-")</f>
        <v>0.572</v>
      </c>
      <c r="M83" s="69" t="n">
        <f aca="false">IFERROR(SUMPRODUCT((('Loan Tape'!$R$4:$R$303&lt;&gt;"")*('Loan Tape'!$D$4:$D$303=R83))*'Loan Tape'!$W$4:$W$303*'Loan Tape'!$R$4:$R$303)/E83,"-")</f>
        <v>0.597</v>
      </c>
      <c r="N83" s="69" t="n">
        <f aca="false">IFERROR(SUMPRODUCT((('Loan Tape'!$R$4:$R$303&lt;&gt;"")*('Loan Tape'!$D$4:$D$303=R83))*'Loan Tape'!$AI$4:$AI$303*'Loan Tape'!$R$4:$R$303)/E83,"-")</f>
        <v>0.0767</v>
      </c>
      <c r="O83" s="69" t="n">
        <f aca="false">IFERROR(SUMPRODUCT((('Loan Tape'!$R$4:$R$303&lt;&gt;"")*('Loan Tape'!$D$4:$D$303=R83))*'Loan Tape'!$AK$4:$AK$303*'Loan Tape'!$R$4:$R$303)/E83,"-")</f>
        <v>0.0917</v>
      </c>
      <c r="P83" s="69" t="n">
        <f aca="false">IFERROR(SUMPRODUCT((('Loan Tape'!$R$4:$R$303&lt;&gt;"")*('Loan Tape'!$D$4:$D$303=R83))*'Loan Tape'!$S$4:$S$303*'Loan Tape'!$R$4:$R$303)/E83,"-")</f>
        <v>0.99</v>
      </c>
      <c r="R83" s="91" t="s">
        <v>303</v>
      </c>
    </row>
    <row r="84" customFormat="false" ht="14.25" hidden="false" customHeight="false" outlineLevel="0" collapsed="false">
      <c r="B84" s="7" t="s">
        <v>407</v>
      </c>
      <c r="C84" s="68" t="n">
        <f aca="false">C6-SUM(C78:C83)</f>
        <v>0</v>
      </c>
      <c r="D84" s="68" t="n">
        <f aca="false">SUM('Loan Tape'!$F$4:$F$303)-SUM(D78:D83)</f>
        <v>0</v>
      </c>
      <c r="E84" s="84" t="n">
        <f aca="false">C5-SUM(E78:E83)</f>
        <v>0</v>
      </c>
      <c r="F84" s="69" t="n">
        <f aca="false">IFERROR(E84/C5,0)</f>
        <v>0</v>
      </c>
      <c r="G84" s="85" t="str">
        <f aca="false">IFERROR(SUMPRODUCT((('Loan Tape'!$R$4:$R$303&lt;&gt;"")*(1-(('Loan Tape'!$D$4:$D$303=R78)+('Loan Tape'!$D$4:$D$303=R79)+('Loan Tape'!$D$4:$D$303=R80)+('Loan Tape'!$D$4:$D$303=R81)+('Loan Tape'!$D$4:$D$303=R82)+('Loan Tape'!$D$4:$D$303=R83))))*'Loan Tape'!$U$4:$U$303*'Loan Tape'!$R$4:$R$303)/E84,"-")</f>
        <v>-</v>
      </c>
      <c r="H84" s="68" t="str">
        <f aca="false">IFERROR(SUMPRODUCT((('Loan Tape'!$R$4:$R$303&lt;&gt;"")*(1-(('Loan Tape'!$D$4:$D$303=R78)+('Loan Tape'!$D$4:$D$303=R79)+('Loan Tape'!$D$4:$D$303=R80)+('Loan Tape'!$D$4:$D$303=R81)+('Loan Tape'!$D$4:$D$303=R82)+('Loan Tape'!$D$4:$D$303=R83))))*'Loan Tape'!$AH$4:$AH$303*'Loan Tape'!$R$4:$R$303)/E84,"-")</f>
        <v>-</v>
      </c>
      <c r="I84" s="68" t="str">
        <f aca="false">IFERROR(SUMPRODUCT((('Loan Tape'!$R$4:$R$303&lt;&gt;"")*(1-(('Loan Tape'!$D$4:$D$303=R78)+('Loan Tape'!$D$4:$D$303=R79)+('Loan Tape'!$D$4:$D$303=R80)+('Loan Tape'!$D$4:$D$303=R81)+('Loan Tape'!$D$4:$D$303=R82)+('Loan Tape'!$D$4:$D$303=R83))))*(('Loan Tape'!$H$4:$H$303-$C$4)/30.4375)*'Loan Tape'!$R$4:$R$303)/E84,"-")</f>
        <v>-</v>
      </c>
      <c r="J84" s="69" t="str">
        <f aca="false">IFERROR(SUMPRODUCT((('Loan Tape'!$R$4:$R$303&lt;&gt;"")*(1-(('Loan Tape'!$D$4:$D$303=R78)+('Loan Tape'!$D$4:$D$303=R79)+('Loan Tape'!$D$4:$D$303=R80)+('Loan Tape'!$D$4:$D$303=R81)+('Loan Tape'!$D$4:$D$303=R82)+('Loan Tape'!$D$4:$D$303=R83))))*('Loan Tape'!$K$4:$K$303="Floating")*'Loan Tape'!$R$4:$R$303)/E84,"-")</f>
        <v>-</v>
      </c>
      <c r="K84" s="69" t="str">
        <f aca="false">IFERROR(SUMPRODUCT((('Loan Tape'!$R$4:$R$303&lt;&gt;"")*(1-(('Loan Tape'!$D$4:$D$303=R78)+('Loan Tape'!$D$4:$D$303=R79)+('Loan Tape'!$D$4:$D$303=R80)+('Loan Tape'!$D$4:$D$303=R81)+('Loan Tape'!$D$4:$D$303=R82)+('Loan Tape'!$D$4:$D$303=R83))))*'Loan Tape'!$T$4:$T$303*'Loan Tape'!$R$4:$R$303)/E84,"-")</f>
        <v>-</v>
      </c>
      <c r="L84" s="69" t="str">
        <f aca="false">IFERROR(SUMPRODUCT((('Loan Tape'!$R$4:$R$303&lt;&gt;"")*(1-(('Loan Tape'!$D$4:$D$303=R78)+('Loan Tape'!$D$4:$D$303=R79)+('Loan Tape'!$D$4:$D$303=R80)+('Loan Tape'!$D$4:$D$303=R81)+('Loan Tape'!$D$4:$D$303=R82)+('Loan Tape'!$D$4:$D$303=R83))))*'Loan Tape'!$V$4:$V$303*'Loan Tape'!$R$4:$R$303)/E84,"-")</f>
        <v>-</v>
      </c>
      <c r="M84" s="69" t="str">
        <f aca="false">IFERROR(SUMPRODUCT((('Loan Tape'!$R$4:$R$303&lt;&gt;"")*(1-(('Loan Tape'!$D$4:$D$303=R78)+('Loan Tape'!$D$4:$D$303=R79)+('Loan Tape'!$D$4:$D$303=R80)+('Loan Tape'!$D$4:$D$303=R81)+('Loan Tape'!$D$4:$D$303=R82)+('Loan Tape'!$D$4:$D$303=R83))))*'Loan Tape'!$W$4:$W$303*'Loan Tape'!$R$4:$R$303)/E84,"-")</f>
        <v>-</v>
      </c>
      <c r="N84" s="69" t="str">
        <f aca="false">IFERROR(SUMPRODUCT((('Loan Tape'!$R$4:$R$303&lt;&gt;"")*(1-(('Loan Tape'!$D$4:$D$303=R78)+('Loan Tape'!$D$4:$D$303=R79)+('Loan Tape'!$D$4:$D$303=R80)+('Loan Tape'!$D$4:$D$303=R81)+('Loan Tape'!$D$4:$D$303=R82)+('Loan Tape'!$D$4:$D$303=R83))))*'Loan Tape'!$AI$4:$AI$303*'Loan Tape'!$R$4:$R$303)/E84,"-")</f>
        <v>-</v>
      </c>
      <c r="O84" s="69" t="str">
        <f aca="false">IFERROR(SUMPRODUCT((('Loan Tape'!$R$4:$R$303&lt;&gt;"")*(1-(('Loan Tape'!$D$4:$D$303=R78)+('Loan Tape'!$D$4:$D$303=R79)+('Loan Tape'!$D$4:$D$303=R80)+('Loan Tape'!$D$4:$D$303=R81)+('Loan Tape'!$D$4:$D$303=R82)+('Loan Tape'!$D$4:$D$303=R83))))*'Loan Tape'!$AK$4:$AK$303*'Loan Tape'!$R$4:$R$303)/E84,"-")</f>
        <v>-</v>
      </c>
      <c r="P84" s="69" t="str">
        <f aca="false">IFERROR(SUMPRODUCT((('Loan Tape'!$R$4:$R$303&lt;&gt;"")*(1-(('Loan Tape'!$D$4:$D$303=R78)+('Loan Tape'!$D$4:$D$303=R79)+('Loan Tape'!$D$4:$D$303=R80)+('Loan Tape'!$D$4:$D$303=R81)+('Loan Tape'!$D$4:$D$303=R82)+('Loan Tape'!$D$4:$D$303=R83))))*'Loan Tape'!$S$4:$S$303*'Loan Tape'!$R$4:$R$303)/E84,"-")</f>
        <v>-</v>
      </c>
    </row>
    <row r="85" customFormat="false" ht="14.25" hidden="false" customHeight="false" outlineLevel="0" collapsed="false">
      <c r="B85" s="86" t="s">
        <v>405</v>
      </c>
      <c r="C85" s="92" t="n">
        <f aca="false">C6</f>
        <v>50</v>
      </c>
      <c r="D85" s="92" t="n">
        <f aca="false">SUM('Loan Tape'!$F$4:$F$303)</f>
        <v>4739</v>
      </c>
      <c r="E85" s="88" t="n">
        <f aca="false">C5</f>
        <v>2495610000</v>
      </c>
      <c r="F85" s="89" t="n">
        <f aca="false">1</f>
        <v>1</v>
      </c>
      <c r="G85" s="90" t="n">
        <f aca="false">IFERROR(SUMPRODUCT((('Loan Tape'!$R$4:$R$303&lt;&gt;""))*'Loan Tape'!$U$4:$U$303*'Loan Tape'!$R$4:$R$303)/E85,"-")</f>
        <v>1.36575944157941</v>
      </c>
      <c r="H85" s="92" t="n">
        <f aca="false">IFERROR(SUMPRODUCT((('Loan Tape'!$R$4:$R$303&lt;&gt;""))*'Loan Tape'!$AH$4:$AH$303*'Loan Tape'!$R$4:$R$303)/E85,"-")</f>
        <v>76.5147345138063</v>
      </c>
      <c r="I85" s="92" t="n">
        <f aca="false">IFERROR(SUMPRODUCT((('Loan Tape'!$R$4:$R$303&lt;&gt;""))*(('Loan Tape'!$H$4:$H$303-$C$4)/30.4375)*'Loan Tape'!$R$4:$R$303)/E85,"-")</f>
        <v>17.6772942206432</v>
      </c>
      <c r="J85" s="89" t="n">
        <f aca="false">IFERROR(SUMPRODUCT((('Loan Tape'!$R$4:$R$303&lt;&gt;""))*('Loan Tape'!$K$4:$K$303="Floating")*'Loan Tape'!$R$4:$R$303)/E85,"-")</f>
        <v>0.664477622705471</v>
      </c>
      <c r="K85" s="89" t="n">
        <f aca="false">IFERROR(SUMPRODUCT((('Loan Tape'!$R$4:$R$303&lt;&gt;""))*'Loan Tape'!$T$4:$T$303*'Loan Tape'!$R$4:$R$303)/E85,"-")</f>
        <v>0.0861540568438177</v>
      </c>
      <c r="L85" s="89" t="n">
        <f aca="false">IFERROR(SUMPRODUCT((('Loan Tape'!$R$4:$R$303&lt;&gt;""))*'Loan Tape'!$V$4:$V$303*'Loan Tape'!$R$4:$R$303)/E85,"-")</f>
        <v>0.683559256454334</v>
      </c>
      <c r="M85" s="89" t="n">
        <f aca="false">IFERROR(SUMPRODUCT((('Loan Tape'!$R$4:$R$303&lt;&gt;""))*'Loan Tape'!$W$4:$W$303*'Loan Tape'!$R$4:$R$303)/E85,"-")</f>
        <v>0.716164459190338</v>
      </c>
      <c r="N85" s="89" t="n">
        <f aca="false">IFERROR(SUMPRODUCT((('Loan Tape'!$R$4:$R$303&lt;&gt;""))*'Loan Tape'!$AI$4:$AI$303*'Loan Tape'!$R$4:$R$303)/E85,"-")</f>
        <v>0.0704574522862146</v>
      </c>
      <c r="O85" s="89" t="n">
        <f aca="false">IFERROR(SUMPRODUCT((('Loan Tape'!$R$4:$R$303&lt;&gt;""))*'Loan Tape'!$AK$4:$AK$303*'Loan Tape'!$R$4:$R$303)/E85,"-")</f>
        <v>0.0792103169165054</v>
      </c>
      <c r="P85" s="89" t="n">
        <f aca="false">IFERROR(SUMPRODUCT((('Loan Tape'!$R$4:$R$303&lt;&gt;""))*'Loan Tape'!$S$4:$S$303*'Loan Tape'!$R$4:$R$303)/E85,"-")</f>
        <v>0.886687142221741</v>
      </c>
    </row>
    <row r="87" customFormat="false" ht="19.5" hidden="false" customHeight="true" outlineLevel="0" collapsed="false">
      <c r="B87" s="5" t="s">
        <v>413</v>
      </c>
      <c r="C87" s="5"/>
      <c r="D87" s="5"/>
      <c r="E87" s="5"/>
      <c r="F87" s="5"/>
      <c r="G87" s="5"/>
      <c r="H87" s="5"/>
      <c r="I87" s="5"/>
      <c r="J87" s="5"/>
      <c r="K87" s="5"/>
      <c r="L87" s="5"/>
      <c r="M87" s="5"/>
      <c r="N87" s="5"/>
      <c r="O87" s="5"/>
      <c r="P87" s="5"/>
    </row>
    <row r="88" customFormat="false" ht="42" hidden="false" customHeight="true" outlineLevel="0" collapsed="false">
      <c r="B88" s="82" t="s">
        <v>392</v>
      </c>
      <c r="C88" s="83" t="s">
        <v>368</v>
      </c>
      <c r="D88" s="83" t="s">
        <v>153</v>
      </c>
      <c r="E88" s="83" t="s">
        <v>393</v>
      </c>
      <c r="F88" s="83" t="s">
        <v>394</v>
      </c>
      <c r="G88" s="83" t="s">
        <v>395</v>
      </c>
      <c r="H88" s="83" t="s">
        <v>396</v>
      </c>
      <c r="I88" s="83" t="s">
        <v>397</v>
      </c>
      <c r="J88" s="83" t="s">
        <v>398</v>
      </c>
      <c r="K88" s="83" t="s">
        <v>399</v>
      </c>
      <c r="L88" s="83" t="s">
        <v>400</v>
      </c>
      <c r="M88" s="83" t="s">
        <v>401</v>
      </c>
      <c r="N88" s="83" t="s">
        <v>402</v>
      </c>
      <c r="O88" s="83" t="s">
        <v>403</v>
      </c>
      <c r="P88" s="83" t="s">
        <v>365</v>
      </c>
    </row>
    <row r="89" customFormat="false" ht="14.25" hidden="false" customHeight="false" outlineLevel="0" collapsed="false">
      <c r="B89" s="7" t="str">
        <f aca="false">R89</f>
        <v>PE Fund</v>
      </c>
      <c r="C89" s="68" t="n">
        <f aca="false">COUNTIF('Loan Tape'!$AD$4:$AD$303,R89)</f>
        <v>17</v>
      </c>
      <c r="D89" s="68" t="n">
        <f aca="false">SUMPRODUCT((('Loan Tape'!$R$4:$R$303&lt;&gt;"")*('Loan Tape'!$AD$4:$AD$303=R89))*'Loan Tape'!$F$4:$F$303)</f>
        <v>1487</v>
      </c>
      <c r="E89" s="84" t="n">
        <f aca="false">SUMIF('Loan Tape'!$AD$4:$AD$303,R89,'Loan Tape'!$R$4:$R$303)</f>
        <v>824164000</v>
      </c>
      <c r="F89" s="69" t="n">
        <f aca="false">IFERROR(E89/C5,0)</f>
        <v>0.330245511117522</v>
      </c>
      <c r="G89" s="85" t="n">
        <f aca="false">IFERROR(SUMPRODUCT((('Loan Tape'!$R$4:$R$303&lt;&gt;"")*('Loan Tape'!$AD$4:$AD$303=R89))*'Loan Tape'!$U$4:$U$303*'Loan Tape'!$R$4:$R$303)/E89,"-")</f>
        <v>1.40161111138074</v>
      </c>
      <c r="H89" s="68" t="n">
        <f aca="false">IFERROR(SUMPRODUCT((('Loan Tape'!$R$4:$R$303&lt;&gt;"")*('Loan Tape'!$AD$4:$AD$303=R89))*'Loan Tape'!$AH$4:$AH$303*'Loan Tape'!$R$4:$R$303)/E89,"-")</f>
        <v>74.7558495639217</v>
      </c>
      <c r="I89" s="68" t="n">
        <f aca="false">IFERROR(SUMPRODUCT((('Loan Tape'!$R$4:$R$303&lt;&gt;"")*('Loan Tape'!$AD$4:$AD$303=R89))*(('Loan Tape'!$H$4:$H$303-$C$4)/30.4375)*'Loan Tape'!$R$4:$R$303)/E89,"-")</f>
        <v>19.7753235194203</v>
      </c>
      <c r="J89" s="69" t="n">
        <f aca="false">IFERROR(SUMPRODUCT((('Loan Tape'!$R$4:$R$303&lt;&gt;"")*('Loan Tape'!$AD$4:$AD$303=R89))*('Loan Tape'!$K$4:$K$303="Floating")*'Loan Tape'!$R$4:$R$303)/E89,"-")</f>
        <v>0.607618143961639</v>
      </c>
      <c r="K89" s="69" t="n">
        <f aca="false">IFERROR(SUMPRODUCT((('Loan Tape'!$R$4:$R$303&lt;&gt;"")*('Loan Tape'!$AD$4:$AD$303=R89))*'Loan Tape'!$T$4:$T$303*'Loan Tape'!$R$4:$R$303)/E89,"-")</f>
        <v>0.085000053994108</v>
      </c>
      <c r="L89" s="69" t="n">
        <f aca="false">IFERROR(SUMPRODUCT((('Loan Tape'!$R$4:$R$303&lt;&gt;"")*('Loan Tape'!$AD$4:$AD$303=R89))*'Loan Tape'!$V$4:$V$303*'Loan Tape'!$R$4:$R$303)/E89,"-")</f>
        <v>0.637939802029693</v>
      </c>
      <c r="M89" s="69" t="n">
        <f aca="false">IFERROR(SUMPRODUCT((('Loan Tape'!$R$4:$R$303&lt;&gt;"")*('Loan Tape'!$AD$4:$AD$303=R89))*'Loan Tape'!$W$4:$W$303*'Loan Tape'!$R$4:$R$303)/E89,"-")</f>
        <v>0.664063176746376</v>
      </c>
      <c r="N89" s="69" t="n">
        <f aca="false">IFERROR(SUMPRODUCT((('Loan Tape'!$R$4:$R$303&lt;&gt;"")*('Loan Tape'!$AD$4:$AD$303=R89))*'Loan Tape'!$AI$4:$AI$303*'Loan Tape'!$R$4:$R$303)/E89,"-")</f>
        <v>0.0694205181250334</v>
      </c>
      <c r="O89" s="69" t="n">
        <f aca="false">IFERROR(SUMPRODUCT((('Loan Tape'!$R$4:$R$303&lt;&gt;"")*('Loan Tape'!$AD$4:$AD$303=R89))*'Loan Tape'!$AK$4:$AK$303*'Loan Tape'!$R$4:$R$303)/E89,"-")</f>
        <v>0.0784542578904199</v>
      </c>
      <c r="P89" s="69" t="n">
        <f aca="false">IFERROR(SUMPRODUCT((('Loan Tape'!$R$4:$R$303&lt;&gt;"")*('Loan Tape'!$AD$4:$AD$303=R89))*'Loan Tape'!$S$4:$S$303*'Loan Tape'!$R$4:$R$303)/E89,"-")</f>
        <v>0.923257602855742</v>
      </c>
      <c r="R89" s="91" t="s">
        <v>214</v>
      </c>
    </row>
    <row r="90" customFormat="false" ht="14.25" hidden="false" customHeight="false" outlineLevel="0" collapsed="false">
      <c r="B90" s="7" t="str">
        <f aca="false">R90</f>
        <v>Institutional Owner/Operator</v>
      </c>
      <c r="C90" s="68" t="n">
        <f aca="false">COUNTIF('Loan Tape'!$AD$4:$AD$303,R90)</f>
        <v>25</v>
      </c>
      <c r="D90" s="68" t="n">
        <f aca="false">SUMPRODUCT((('Loan Tape'!$R$4:$R$303&lt;&gt;"")*('Loan Tape'!$AD$4:$AD$303=R90))*'Loan Tape'!$F$4:$F$303)</f>
        <v>2681</v>
      </c>
      <c r="E90" s="84" t="n">
        <f aca="false">SUMIF('Loan Tape'!$AD$4:$AD$303,R90,'Loan Tape'!$R$4:$R$303)</f>
        <v>1291670000</v>
      </c>
      <c r="F90" s="69" t="n">
        <f aca="false">IFERROR(E90/C5,0)</f>
        <v>0.517576864974896</v>
      </c>
      <c r="G90" s="85" t="n">
        <f aca="false">IFERROR(SUMPRODUCT((('Loan Tape'!$R$4:$R$303&lt;&gt;"")*('Loan Tape'!$AD$4:$AD$303=R90))*'Loan Tape'!$U$4:$U$303*'Loan Tape'!$R$4:$R$303)/E90,"-")</f>
        <v>1.33814152221543</v>
      </c>
      <c r="H90" s="68" t="n">
        <f aca="false">IFERROR(SUMPRODUCT((('Loan Tape'!$R$4:$R$303&lt;&gt;"")*('Loan Tape'!$AD$4:$AD$303=R90))*'Loan Tape'!$AH$4:$AH$303*'Loan Tape'!$R$4:$R$303)/E90,"-")</f>
        <v>76.7233259269008</v>
      </c>
      <c r="I90" s="68" t="n">
        <f aca="false">IFERROR(SUMPRODUCT((('Loan Tape'!$R$4:$R$303&lt;&gt;"")*('Loan Tape'!$AD$4:$AD$303=R90))*(('Loan Tape'!$H$4:$H$303-$C$4)/30.4375)*'Loan Tape'!$R$4:$R$303)/E90,"-")</f>
        <v>14.4820384364962</v>
      </c>
      <c r="J90" s="69" t="n">
        <f aca="false">IFERROR(SUMPRODUCT((('Loan Tape'!$R$4:$R$303&lt;&gt;"")*('Loan Tape'!$AD$4:$AD$303=R90))*('Loan Tape'!$K$4:$K$303="Floating")*'Loan Tape'!$R$4:$R$303)/E90,"-")</f>
        <v>0.716576215287186</v>
      </c>
      <c r="K90" s="69" t="n">
        <f aca="false">IFERROR(SUMPRODUCT((('Loan Tape'!$R$4:$R$303&lt;&gt;"")*('Loan Tape'!$AD$4:$AD$303=R90))*'Loan Tape'!$T$4:$T$303*'Loan Tape'!$R$4:$R$303)/E90,"-")</f>
        <v>0.0872656070048851</v>
      </c>
      <c r="L90" s="69" t="n">
        <f aca="false">IFERROR(SUMPRODUCT((('Loan Tape'!$R$4:$R$303&lt;&gt;"")*('Loan Tape'!$AD$4:$AD$303=R90))*'Loan Tape'!$V$4:$V$303*'Loan Tape'!$R$4:$R$303)/E90,"-")</f>
        <v>0.693491931375661</v>
      </c>
      <c r="M90" s="69" t="n">
        <f aca="false">IFERROR(SUMPRODUCT((('Loan Tape'!$R$4:$R$303&lt;&gt;"")*('Loan Tape'!$AD$4:$AD$303=R90))*'Loan Tape'!$W$4:$W$303*'Loan Tape'!$R$4:$R$303)/E90,"-")</f>
        <v>0.728099740645831</v>
      </c>
      <c r="N90" s="69" t="n">
        <f aca="false">IFERROR(SUMPRODUCT((('Loan Tape'!$R$4:$R$303&lt;&gt;"")*('Loan Tape'!$AD$4:$AD$303=R90))*'Loan Tape'!$AI$4:$AI$303*'Loan Tape'!$R$4:$R$303)/E90,"-")</f>
        <v>0.0705653905409276</v>
      </c>
      <c r="O90" s="69" t="n">
        <f aca="false">IFERROR(SUMPRODUCT((('Loan Tape'!$R$4:$R$303&lt;&gt;"")*('Loan Tape'!$AD$4:$AD$303=R90))*'Loan Tape'!$AK$4:$AK$303*'Loan Tape'!$R$4:$R$303)/E90,"-")</f>
        <v>0.0790598774454776</v>
      </c>
      <c r="P90" s="69" t="n">
        <f aca="false">IFERROR(SUMPRODUCT((('Loan Tape'!$R$4:$R$303&lt;&gt;"")*('Loan Tape'!$AD$4:$AD$303=R90))*'Loan Tape'!$S$4:$S$303*'Loan Tape'!$R$4:$R$303)/E90,"-")</f>
        <v>0.869939271640589</v>
      </c>
      <c r="R90" s="91" t="s">
        <v>232</v>
      </c>
    </row>
    <row r="91" customFormat="false" ht="14.25" hidden="false" customHeight="false" outlineLevel="0" collapsed="false">
      <c r="B91" s="7" t="str">
        <f aca="false">R91</f>
        <v>HNW Investors</v>
      </c>
      <c r="C91" s="68" t="n">
        <f aca="false">COUNTIF('Loan Tape'!$AD$4:$AD$303,R91)</f>
        <v>4</v>
      </c>
      <c r="D91" s="68" t="n">
        <f aca="false">SUMPRODUCT((('Loan Tape'!$R$4:$R$303&lt;&gt;"")*('Loan Tape'!$AD$4:$AD$303=R91))*'Loan Tape'!$F$4:$F$303)</f>
        <v>571</v>
      </c>
      <c r="E91" s="84" t="n">
        <f aca="false">SUMIF('Loan Tape'!$AD$4:$AD$303,R91,'Loan Tape'!$R$4:$R$303)</f>
        <v>159505000</v>
      </c>
      <c r="F91" s="69" t="n">
        <f aca="false">IFERROR(E91/C5,0)</f>
        <v>0.0639142333938396</v>
      </c>
      <c r="G91" s="85" t="n">
        <f aca="false">IFERROR(SUMPRODUCT((('Loan Tape'!$R$4:$R$303&lt;&gt;"")*('Loan Tape'!$AD$4:$AD$303=R91))*'Loan Tape'!$U$4:$U$303*'Loan Tape'!$R$4:$R$303)/E91,"-")</f>
        <v>1.60510930691828</v>
      </c>
      <c r="H91" s="68" t="n">
        <f aca="false">IFERROR(SUMPRODUCT((('Loan Tape'!$R$4:$R$303&lt;&gt;"")*('Loan Tape'!$AD$4:$AD$303=R91))*'Loan Tape'!$AH$4:$AH$303*'Loan Tape'!$R$4:$R$303)/E91,"-")</f>
        <v>90.2219058963669</v>
      </c>
      <c r="I91" s="68" t="n">
        <f aca="false">IFERROR(SUMPRODUCT((('Loan Tape'!$R$4:$R$303&lt;&gt;"")*('Loan Tape'!$AD$4:$AD$303=R91))*(('Loan Tape'!$H$4:$H$303-$C$4)/30.4375)*'Loan Tape'!$R$4:$R$303)/E91,"-")</f>
        <v>-9.27005644451742</v>
      </c>
      <c r="J91" s="69" t="n">
        <f aca="false">IFERROR(SUMPRODUCT((('Loan Tape'!$R$4:$R$303&lt;&gt;"")*('Loan Tape'!$AD$4:$AD$303=R91))*('Loan Tape'!$K$4:$K$303="Floating")*'Loan Tape'!$R$4:$R$303)/E91,"-")</f>
        <v>0.0730321933481709</v>
      </c>
      <c r="K91" s="69" t="n">
        <f aca="false">IFERROR(SUMPRODUCT((('Loan Tape'!$R$4:$R$303&lt;&gt;"")*('Loan Tape'!$AD$4:$AD$303=R91))*'Loan Tape'!$T$4:$T$303*'Loan Tape'!$R$4:$R$303)/E91,"-")</f>
        <v>0.0920286147769663</v>
      </c>
      <c r="L91" s="69" t="n">
        <f aca="false">IFERROR(SUMPRODUCT((('Loan Tape'!$R$4:$R$303&lt;&gt;"")*('Loan Tape'!$AD$4:$AD$303=R91))*'Loan Tape'!$V$4:$V$303*'Loan Tape'!$R$4:$R$303)/E91,"-")</f>
        <v>0.757730403435629</v>
      </c>
      <c r="M91" s="69" t="n">
        <f aca="false">IFERROR(SUMPRODUCT((('Loan Tape'!$R$4:$R$303&lt;&gt;"")*('Loan Tape'!$AD$4:$AD$303=R91))*'Loan Tape'!$W$4:$W$303*'Loan Tape'!$R$4:$R$303)/E91,"-")</f>
        <v>0.812401197454625</v>
      </c>
      <c r="N91" s="69" t="n">
        <f aca="false">IFERROR(SUMPRODUCT((('Loan Tape'!$R$4:$R$303&lt;&gt;"")*('Loan Tape'!$AD$4:$AD$303=R91))*'Loan Tape'!$AI$4:$AI$303*'Loan Tape'!$R$4:$R$303)/E91,"-")</f>
        <v>0.0577641045735243</v>
      </c>
      <c r="O91" s="69" t="n">
        <f aca="false">IFERROR(SUMPRODUCT((('Loan Tape'!$R$4:$R$303&lt;&gt;"")*('Loan Tape'!$AD$4:$AD$303=R91))*'Loan Tape'!$AK$4:$AK$303*'Loan Tape'!$R$4:$R$303)/E91,"-")</f>
        <v>0.0585309426036801</v>
      </c>
      <c r="P91" s="69" t="n">
        <f aca="false">IFERROR(SUMPRODUCT((('Loan Tape'!$R$4:$R$303&lt;&gt;"")*('Loan Tape'!$AD$4:$AD$303=R91))*'Loan Tape'!$S$4:$S$303*'Loan Tape'!$R$4:$R$303)/E91,"-")</f>
        <v>0.857641954797655</v>
      </c>
      <c r="R91" s="91" t="s">
        <v>264</v>
      </c>
    </row>
    <row r="92" customFormat="false" ht="14.25" hidden="false" customHeight="false" outlineLevel="0" collapsed="false">
      <c r="B92" s="7" t="str">
        <f aca="false">R92</f>
        <v>Private REIT</v>
      </c>
      <c r="C92" s="68" t="n">
        <f aca="false">COUNTIF('Loan Tape'!$AD$4:$AD$303,R92)</f>
        <v>4</v>
      </c>
      <c r="D92" s="68" t="n">
        <f aca="false">SUMPRODUCT((('Loan Tape'!$R$4:$R$303&lt;&gt;"")*('Loan Tape'!$AD$4:$AD$303=R92))*'Loan Tape'!$F$4:$F$303)</f>
        <v>0</v>
      </c>
      <c r="E92" s="84" t="n">
        <f aca="false">SUMIF('Loan Tape'!$AD$4:$AD$303,R92,'Loan Tape'!$R$4:$R$303)</f>
        <v>220271000</v>
      </c>
      <c r="F92" s="69" t="n">
        <f aca="false">IFERROR(E92/C5,0)</f>
        <v>0.0882633905137421</v>
      </c>
      <c r="G92" s="85" t="n">
        <f aca="false">IFERROR(SUMPRODUCT((('Loan Tape'!$R$4:$R$303&lt;&gt;"")*('Loan Tape'!$AD$4:$AD$303=R92))*'Loan Tape'!$U$4:$U$303*'Loan Tape'!$R$4:$R$303)/E92,"-")</f>
        <v>1.22024814887116</v>
      </c>
      <c r="H92" s="68" t="n">
        <f aca="false">IFERROR(SUMPRODUCT((('Loan Tape'!$R$4:$R$303&lt;&gt;"")*('Loan Tape'!$AD$4:$AD$303=R92))*'Loan Tape'!$AH$4:$AH$303*'Loan Tape'!$R$4:$R$303)/E92,"-")</f>
        <v>71.9467978081545</v>
      </c>
      <c r="I92" s="68" t="n">
        <f aca="false">IFERROR(SUMPRODUCT((('Loan Tape'!$R$4:$R$303&lt;&gt;"")*('Loan Tape'!$AD$4:$AD$303=R92))*(('Loan Tape'!$H$4:$H$303-$C$4)/30.4375)*'Loan Tape'!$R$4:$R$303)/E92,"-")</f>
        <v>48.0777236351298</v>
      </c>
      <c r="J92" s="69" t="n">
        <f aca="false">IFERROR(SUMPRODUCT((('Loan Tape'!$R$4:$R$303&lt;&gt;"")*('Loan Tape'!$AD$4:$AD$303=R92))*('Loan Tape'!$K$4:$K$303="Floating")*'Loan Tape'!$R$4:$R$303)/E92,"-")</f>
        <v>1</v>
      </c>
      <c r="K92" s="69" t="n">
        <f aca="false">IFERROR(SUMPRODUCT((('Loan Tape'!$R$4:$R$303&lt;&gt;"")*('Loan Tape'!$AD$4:$AD$303=R92))*'Loan Tape'!$T$4:$T$303*'Loan Tape'!$R$4:$R$303)/E92,"-")</f>
        <v>0.0796997811786391</v>
      </c>
      <c r="L92" s="69" t="n">
        <f aca="false">IFERROR(SUMPRODUCT((('Loan Tape'!$R$4:$R$303&lt;&gt;"")*('Loan Tape'!$AD$4:$AD$303=R92))*'Loan Tape'!$V$4:$V$303*'Loan Tape'!$R$4:$R$303)/E92,"-")</f>
        <v>0.742293747247709</v>
      </c>
      <c r="M92" s="69" t="n">
        <f aca="false">IFERROR(SUMPRODUCT((('Loan Tape'!$R$4:$R$303&lt;&gt;"")*('Loan Tape'!$AD$4:$AD$303=R92))*'Loan Tape'!$W$4:$W$303*'Loan Tape'!$R$4:$R$303)/E92,"-")</f>
        <v>0.771429634404892</v>
      </c>
      <c r="N92" s="69" t="n">
        <f aca="false">IFERROR(SUMPRODUCT((('Loan Tape'!$R$4:$R$303&lt;&gt;"")*('Loan Tape'!$AD$4:$AD$303=R92))*'Loan Tape'!$AI$4:$AI$303*'Loan Tape'!$R$4:$R$303)/E92,"-")</f>
        <v>0.0828959286515247</v>
      </c>
      <c r="O92" s="69" t="n">
        <f aca="false">IFERROR(SUMPRODUCT((('Loan Tape'!$R$4:$R$303&lt;&gt;"")*('Loan Tape'!$AD$4:$AD$303=R92))*'Loan Tape'!$AK$4:$AK$303*'Loan Tape'!$R$4:$R$303)/E92,"-")</f>
        <v>0.0978959286515247</v>
      </c>
      <c r="P92" s="69" t="n">
        <f aca="false">IFERROR(SUMPRODUCT((('Loan Tape'!$R$4:$R$303&lt;&gt;"")*('Loan Tape'!$AD$4:$AD$303=R92))*'Loan Tape'!$S$4:$S$303*'Loan Tape'!$R$4:$R$303)/E92,"-")</f>
        <v>0.869097525321082</v>
      </c>
      <c r="R92" s="91" t="s">
        <v>260</v>
      </c>
    </row>
    <row r="93" customFormat="false" ht="14.25" hidden="false" customHeight="false" outlineLevel="0" collapsed="false">
      <c r="B93" s="7" t="s">
        <v>407</v>
      </c>
      <c r="C93" s="68" t="n">
        <f aca="false">C6-SUM(C89:C92)</f>
        <v>0</v>
      </c>
      <c r="D93" s="68" t="n">
        <f aca="false">SUM('Loan Tape'!$F$4:$F$303)-SUM(D89:D92)</f>
        <v>0</v>
      </c>
      <c r="E93" s="84" t="n">
        <f aca="false">C5-SUM(E89:E92)</f>
        <v>0</v>
      </c>
      <c r="F93" s="69" t="n">
        <f aca="false">IFERROR(E93/C5,0)</f>
        <v>0</v>
      </c>
      <c r="G93" s="85" t="str">
        <f aca="false">IFERROR(SUMPRODUCT((('Loan Tape'!$R$4:$R$303&lt;&gt;"")*(1-(('Loan Tape'!$AD$4:$AD$303=R89)+('Loan Tape'!$AD$4:$AD$303=R90)+('Loan Tape'!$AD$4:$AD$303=R91)+('Loan Tape'!$AD$4:$AD$303=R92))))*'Loan Tape'!$U$4:$U$303*'Loan Tape'!$R$4:$R$303)/E93,"-")</f>
        <v>-</v>
      </c>
      <c r="H93" s="68" t="str">
        <f aca="false">IFERROR(SUMPRODUCT((('Loan Tape'!$R$4:$R$303&lt;&gt;"")*(1-(('Loan Tape'!$AD$4:$AD$303=R89)+('Loan Tape'!$AD$4:$AD$303=R90)+('Loan Tape'!$AD$4:$AD$303=R91)+('Loan Tape'!$AD$4:$AD$303=R92))))*'Loan Tape'!$AH$4:$AH$303*'Loan Tape'!$R$4:$R$303)/E93,"-")</f>
        <v>-</v>
      </c>
      <c r="I93" s="68" t="str">
        <f aca="false">IFERROR(SUMPRODUCT((('Loan Tape'!$R$4:$R$303&lt;&gt;"")*(1-(('Loan Tape'!$AD$4:$AD$303=R89)+('Loan Tape'!$AD$4:$AD$303=R90)+('Loan Tape'!$AD$4:$AD$303=R91)+('Loan Tape'!$AD$4:$AD$303=R92))))*(('Loan Tape'!$H$4:$H$303-$C$4)/30.4375)*'Loan Tape'!$R$4:$R$303)/E93,"-")</f>
        <v>-</v>
      </c>
      <c r="J93" s="69" t="str">
        <f aca="false">IFERROR(SUMPRODUCT((('Loan Tape'!$R$4:$R$303&lt;&gt;"")*(1-(('Loan Tape'!$AD$4:$AD$303=R89)+('Loan Tape'!$AD$4:$AD$303=R90)+('Loan Tape'!$AD$4:$AD$303=R91)+('Loan Tape'!$AD$4:$AD$303=R92))))*('Loan Tape'!$K$4:$K$303="Floating")*'Loan Tape'!$R$4:$R$303)/E93,"-")</f>
        <v>-</v>
      </c>
      <c r="K93" s="69" t="str">
        <f aca="false">IFERROR(SUMPRODUCT((('Loan Tape'!$R$4:$R$303&lt;&gt;"")*(1-(('Loan Tape'!$AD$4:$AD$303=R89)+('Loan Tape'!$AD$4:$AD$303=R90)+('Loan Tape'!$AD$4:$AD$303=R91)+('Loan Tape'!$AD$4:$AD$303=R92))))*'Loan Tape'!$T$4:$T$303*'Loan Tape'!$R$4:$R$303)/E93,"-")</f>
        <v>-</v>
      </c>
      <c r="L93" s="69" t="str">
        <f aca="false">IFERROR(SUMPRODUCT((('Loan Tape'!$R$4:$R$303&lt;&gt;"")*(1-(('Loan Tape'!$AD$4:$AD$303=R89)+('Loan Tape'!$AD$4:$AD$303=R90)+('Loan Tape'!$AD$4:$AD$303=R91)+('Loan Tape'!$AD$4:$AD$303=R92))))*'Loan Tape'!$V$4:$V$303*'Loan Tape'!$R$4:$R$303)/E93,"-")</f>
        <v>-</v>
      </c>
      <c r="M93" s="69" t="str">
        <f aca="false">IFERROR(SUMPRODUCT((('Loan Tape'!$R$4:$R$303&lt;&gt;"")*(1-(('Loan Tape'!$AD$4:$AD$303=R89)+('Loan Tape'!$AD$4:$AD$303=R90)+('Loan Tape'!$AD$4:$AD$303=R91)+('Loan Tape'!$AD$4:$AD$303=R92))))*'Loan Tape'!$W$4:$W$303*'Loan Tape'!$R$4:$R$303)/E93,"-")</f>
        <v>-</v>
      </c>
      <c r="N93" s="69" t="str">
        <f aca="false">IFERROR(SUMPRODUCT((('Loan Tape'!$R$4:$R$303&lt;&gt;"")*(1-(('Loan Tape'!$AD$4:$AD$303=R89)+('Loan Tape'!$AD$4:$AD$303=R90)+('Loan Tape'!$AD$4:$AD$303=R91)+('Loan Tape'!$AD$4:$AD$303=R92))))*'Loan Tape'!$AI$4:$AI$303*'Loan Tape'!$R$4:$R$303)/E93,"-")</f>
        <v>-</v>
      </c>
      <c r="O93" s="69" t="str">
        <f aca="false">IFERROR(SUMPRODUCT((('Loan Tape'!$R$4:$R$303&lt;&gt;"")*(1-(('Loan Tape'!$AD$4:$AD$303=R89)+('Loan Tape'!$AD$4:$AD$303=R90)+('Loan Tape'!$AD$4:$AD$303=R91)+('Loan Tape'!$AD$4:$AD$303=R92))))*'Loan Tape'!$AK$4:$AK$303*'Loan Tape'!$R$4:$R$303)/E93,"-")</f>
        <v>-</v>
      </c>
      <c r="P93" s="69" t="str">
        <f aca="false">IFERROR(SUMPRODUCT((('Loan Tape'!$R$4:$R$303&lt;&gt;"")*(1-(('Loan Tape'!$AD$4:$AD$303=R89)+('Loan Tape'!$AD$4:$AD$303=R90)+('Loan Tape'!$AD$4:$AD$303=R91)+('Loan Tape'!$AD$4:$AD$303=R92))))*'Loan Tape'!$S$4:$S$303*'Loan Tape'!$R$4:$R$303)/E93,"-")</f>
        <v>-</v>
      </c>
    </row>
    <row r="94" customFormat="false" ht="14.25" hidden="false" customHeight="false" outlineLevel="0" collapsed="false">
      <c r="B94" s="86" t="s">
        <v>405</v>
      </c>
      <c r="C94" s="92" t="n">
        <f aca="false">C6</f>
        <v>50</v>
      </c>
      <c r="D94" s="92" t="n">
        <f aca="false">SUM('Loan Tape'!$F$4:$F$303)</f>
        <v>4739</v>
      </c>
      <c r="E94" s="88" t="n">
        <f aca="false">C5</f>
        <v>2495610000</v>
      </c>
      <c r="F94" s="89" t="n">
        <f aca="false">1</f>
        <v>1</v>
      </c>
      <c r="G94" s="90" t="n">
        <f aca="false">IFERROR(SUMPRODUCT((('Loan Tape'!$R$4:$R$303&lt;&gt;""))*'Loan Tape'!$U$4:$U$303*'Loan Tape'!$R$4:$R$303)/E94,"-")</f>
        <v>1.36575944157941</v>
      </c>
      <c r="H94" s="92" t="n">
        <f aca="false">IFERROR(SUMPRODUCT((('Loan Tape'!$R$4:$R$303&lt;&gt;""))*'Loan Tape'!$AH$4:$AH$303*'Loan Tape'!$R$4:$R$303)/E94,"-")</f>
        <v>76.5147345138063</v>
      </c>
      <c r="I94" s="92" t="n">
        <f aca="false">IFERROR(SUMPRODUCT((('Loan Tape'!$R$4:$R$303&lt;&gt;""))*(('Loan Tape'!$H$4:$H$303-$C$4)/30.4375)*'Loan Tape'!$R$4:$R$303)/E94,"-")</f>
        <v>17.6772942206432</v>
      </c>
      <c r="J94" s="89" t="n">
        <f aca="false">IFERROR(SUMPRODUCT((('Loan Tape'!$R$4:$R$303&lt;&gt;""))*('Loan Tape'!$K$4:$K$303="Floating")*'Loan Tape'!$R$4:$R$303)/E94,"-")</f>
        <v>0.664477622705471</v>
      </c>
      <c r="K94" s="89" t="n">
        <f aca="false">IFERROR(SUMPRODUCT((('Loan Tape'!$R$4:$R$303&lt;&gt;""))*'Loan Tape'!$T$4:$T$303*'Loan Tape'!$R$4:$R$303)/E94,"-")</f>
        <v>0.0861540568438177</v>
      </c>
      <c r="L94" s="89" t="n">
        <f aca="false">IFERROR(SUMPRODUCT((('Loan Tape'!$R$4:$R$303&lt;&gt;""))*'Loan Tape'!$V$4:$V$303*'Loan Tape'!$R$4:$R$303)/E94,"-")</f>
        <v>0.683559256454334</v>
      </c>
      <c r="M94" s="89" t="n">
        <f aca="false">IFERROR(SUMPRODUCT((('Loan Tape'!$R$4:$R$303&lt;&gt;""))*'Loan Tape'!$W$4:$W$303*'Loan Tape'!$R$4:$R$303)/E94,"-")</f>
        <v>0.716164459190338</v>
      </c>
      <c r="N94" s="89" t="n">
        <f aca="false">IFERROR(SUMPRODUCT((('Loan Tape'!$R$4:$R$303&lt;&gt;""))*'Loan Tape'!$AI$4:$AI$303*'Loan Tape'!$R$4:$R$303)/E94,"-")</f>
        <v>0.0704574522862146</v>
      </c>
      <c r="O94" s="89" t="n">
        <f aca="false">IFERROR(SUMPRODUCT((('Loan Tape'!$R$4:$R$303&lt;&gt;""))*'Loan Tape'!$AK$4:$AK$303*'Loan Tape'!$R$4:$R$303)/E94,"-")</f>
        <v>0.0792103169165054</v>
      </c>
      <c r="P94" s="89" t="n">
        <f aca="false">IFERROR(SUMPRODUCT((('Loan Tape'!$R$4:$R$303&lt;&gt;""))*'Loan Tape'!$S$4:$S$303*'Loan Tape'!$R$4:$R$303)/E94,"-")</f>
        <v>0.886687142221741</v>
      </c>
    </row>
    <row r="96" customFormat="false" ht="19.5" hidden="false" customHeight="true" outlineLevel="0" collapsed="false">
      <c r="B96" s="5" t="s">
        <v>414</v>
      </c>
      <c r="C96" s="5"/>
      <c r="D96" s="5"/>
      <c r="E96" s="5"/>
      <c r="F96" s="5"/>
      <c r="G96" s="5"/>
      <c r="H96" s="5"/>
      <c r="I96" s="5"/>
      <c r="J96" s="5"/>
      <c r="K96" s="5"/>
      <c r="L96" s="5"/>
      <c r="M96" s="5"/>
      <c r="N96" s="5"/>
      <c r="O96" s="5"/>
      <c r="P96" s="5"/>
    </row>
    <row r="97" customFormat="false" ht="42" hidden="false" customHeight="true" outlineLevel="0" collapsed="false">
      <c r="B97" s="82" t="s">
        <v>392</v>
      </c>
      <c r="C97" s="83" t="s">
        <v>368</v>
      </c>
      <c r="D97" s="83" t="s">
        <v>153</v>
      </c>
      <c r="E97" s="83" t="s">
        <v>393</v>
      </c>
      <c r="F97" s="83" t="s">
        <v>394</v>
      </c>
      <c r="G97" s="83" t="s">
        <v>395</v>
      </c>
      <c r="H97" s="83" t="s">
        <v>396</v>
      </c>
      <c r="I97" s="83" t="s">
        <v>397</v>
      </c>
      <c r="J97" s="83" t="s">
        <v>398</v>
      </c>
      <c r="K97" s="83" t="s">
        <v>399</v>
      </c>
      <c r="L97" s="83" t="s">
        <v>400</v>
      </c>
      <c r="M97" s="83" t="s">
        <v>401</v>
      </c>
      <c r="N97" s="83" t="s">
        <v>402</v>
      </c>
      <c r="O97" s="83" t="s">
        <v>403</v>
      </c>
      <c r="P97" s="83" t="s">
        <v>365</v>
      </c>
    </row>
    <row r="98" customFormat="false" ht="14.25" hidden="false" customHeight="false" outlineLevel="0" collapsed="false">
      <c r="B98" s="7" t="str">
        <f aca="false">R98</f>
        <v>Acquisition</v>
      </c>
      <c r="C98" s="68" t="n">
        <f aca="false">COUNTIF('Loan Tape'!$AE$4:$AE$303,R98)</f>
        <v>22</v>
      </c>
      <c r="D98" s="68" t="n">
        <f aca="false">SUMPRODUCT((('Loan Tape'!$R$4:$R$303&lt;&gt;"")*('Loan Tape'!$AE$4:$AE$303=R98))*'Loan Tape'!$F$4:$F$303)</f>
        <v>2125</v>
      </c>
      <c r="E98" s="84" t="n">
        <f aca="false">SUMIF('Loan Tape'!$AE$4:$AE$303,R98,'Loan Tape'!$R$4:$R$303)</f>
        <v>1540008000</v>
      </c>
      <c r="F98" s="69" t="n">
        <f aca="false">IFERROR(E98/C5,0)</f>
        <v>0.617086804428577</v>
      </c>
      <c r="G98" s="85" t="n">
        <f aca="false">IFERROR(SUMPRODUCT((('Loan Tape'!$R$4:$R$303&lt;&gt;"")*('Loan Tape'!$AE$4:$AE$303=R98))*'Loan Tape'!$U$4:$U$303*'Loan Tape'!$R$4:$R$303)/E98,"-")</f>
        <v>1.37357007236326</v>
      </c>
      <c r="H98" s="68" t="n">
        <f aca="false">IFERROR(SUMPRODUCT((('Loan Tape'!$R$4:$R$303&lt;&gt;"")*('Loan Tape'!$AE$4:$AE$303=R98))*'Loan Tape'!$AH$4:$AH$303*'Loan Tape'!$R$4:$R$303)/E98,"-")</f>
        <v>70.3631348668319</v>
      </c>
      <c r="I98" s="68" t="n">
        <f aca="false">IFERROR(SUMPRODUCT((('Loan Tape'!$R$4:$R$303&lt;&gt;"")*('Loan Tape'!$AE$4:$AE$303=R98))*(('Loan Tape'!$H$4:$H$303-$C$4)/30.4375)*'Loan Tape'!$R$4:$R$303)/E98,"-")</f>
        <v>23.8769940948172</v>
      </c>
      <c r="J98" s="69" t="n">
        <f aca="false">IFERROR(SUMPRODUCT((('Loan Tape'!$R$4:$R$303&lt;&gt;"")*('Loan Tape'!$AE$4:$AE$303=R98))*('Loan Tape'!$K$4:$K$303="Floating")*'Loan Tape'!$R$4:$R$303)/E98,"-")</f>
        <v>0.69897169365354</v>
      </c>
      <c r="K98" s="69" t="n">
        <f aca="false">IFERROR(SUMPRODUCT((('Loan Tape'!$R$4:$R$303&lt;&gt;"")*('Loan Tape'!$AE$4:$AE$303=R98))*'Loan Tape'!$T$4:$T$303*'Loan Tape'!$R$4:$R$303)/E98,"-")</f>
        <v>0.0873331278149205</v>
      </c>
      <c r="L98" s="69" t="n">
        <f aca="false">IFERROR(SUMPRODUCT((('Loan Tape'!$R$4:$R$303&lt;&gt;"")*('Loan Tape'!$AE$4:$AE$303=R98))*'Loan Tape'!$V$4:$V$303*'Loan Tape'!$R$4:$R$303)/E98,"-")</f>
        <v>0.718321838587852</v>
      </c>
      <c r="M98" s="69" t="n">
        <f aca="false">IFERROR(SUMPRODUCT((('Loan Tape'!$R$4:$R$303&lt;&gt;"")*('Loan Tape'!$AE$4:$AE$303=R98))*'Loan Tape'!$W$4:$W$303*'Loan Tape'!$R$4:$R$303)/E98,"-")</f>
        <v>0.753091897574558</v>
      </c>
      <c r="N98" s="69" t="n">
        <f aca="false">IFERROR(SUMPRODUCT((('Loan Tape'!$R$4:$R$303&lt;&gt;"")*('Loan Tape'!$AE$4:$AE$303=R98))*'Loan Tape'!$AI$4:$AI$303*'Loan Tape'!$R$4:$R$303)/E98,"-")</f>
        <v>0.0720299645845996</v>
      </c>
      <c r="O98" s="69" t="n">
        <f aca="false">IFERROR(SUMPRODUCT((('Loan Tape'!$R$4:$R$303&lt;&gt;"")*('Loan Tape'!$AE$4:$AE$303=R98))*'Loan Tape'!$AK$4:$AK$303*'Loan Tape'!$R$4:$R$303)/E98,"-")</f>
        <v>0.0814785654360237</v>
      </c>
      <c r="P98" s="69" t="n">
        <f aca="false">IFERROR(SUMPRODUCT((('Loan Tape'!$R$4:$R$303&lt;&gt;"")*('Loan Tape'!$AE$4:$AE$303=R98))*'Loan Tape'!$S$4:$S$303*'Loan Tape'!$R$4:$R$303)/E98,"-")</f>
        <v>0.874446320408725</v>
      </c>
      <c r="R98" s="91" t="s">
        <v>215</v>
      </c>
    </row>
    <row r="99" customFormat="false" ht="14.25" hidden="false" customHeight="false" outlineLevel="0" collapsed="false">
      <c r="B99" s="7" t="str">
        <f aca="false">R99</f>
        <v>Refinance</v>
      </c>
      <c r="C99" s="68" t="n">
        <f aca="false">COUNTIF('Loan Tape'!$AE$4:$AE$303,R99)</f>
        <v>20</v>
      </c>
      <c r="D99" s="68" t="n">
        <f aca="false">SUMPRODUCT((('Loan Tape'!$R$4:$R$303&lt;&gt;"")*('Loan Tape'!$AE$4:$AE$303=R99))*'Loan Tape'!$F$4:$F$303)</f>
        <v>1434</v>
      </c>
      <c r="E99" s="84" t="n">
        <f aca="false">SUMIF('Loan Tape'!$AE$4:$AE$303,R99,'Loan Tape'!$R$4:$R$303)</f>
        <v>664401000</v>
      </c>
      <c r="F99" s="69" t="n">
        <f aca="false">IFERROR(E99/C5,0)</f>
        <v>0.266227896185702</v>
      </c>
      <c r="G99" s="85" t="n">
        <f aca="false">IFERROR(SUMPRODUCT((('Loan Tape'!$R$4:$R$303&lt;&gt;"")*('Loan Tape'!$AE$4:$AE$303=R99))*'Loan Tape'!$U$4:$U$303*'Loan Tape'!$R$4:$R$303)/E99,"-")</f>
        <v>1.34014312139807</v>
      </c>
      <c r="H99" s="68" t="n">
        <f aca="false">IFERROR(SUMPRODUCT((('Loan Tape'!$R$4:$R$303&lt;&gt;"")*('Loan Tape'!$AE$4:$AE$303=R99))*'Loan Tape'!$AH$4:$AH$303*'Loan Tape'!$R$4:$R$303)/E99,"-")</f>
        <v>88.2131301728926</v>
      </c>
      <c r="I99" s="68" t="n">
        <f aca="false">IFERROR(SUMPRODUCT((('Loan Tape'!$R$4:$R$303&lt;&gt;"")*('Loan Tape'!$AE$4:$AE$303=R99))*(('Loan Tape'!$H$4:$H$303-$C$4)/30.4375)*'Loan Tape'!$R$4:$R$303)/E99,"-")</f>
        <v>-4.40755423528628</v>
      </c>
      <c r="J99" s="69" t="n">
        <f aca="false">IFERROR(SUMPRODUCT((('Loan Tape'!$R$4:$R$303&lt;&gt;"")*('Loan Tape'!$AE$4:$AE$303=R99))*('Loan Tape'!$K$4:$K$303="Floating")*'Loan Tape'!$R$4:$R$303)/E99,"-")</f>
        <v>0.603361524139789</v>
      </c>
      <c r="K99" s="69" t="n">
        <f aca="false">IFERROR(SUMPRODUCT((('Loan Tape'!$R$4:$R$303&lt;&gt;"")*('Loan Tape'!$AE$4:$AE$303=R99))*'Loan Tape'!$T$4:$T$303*'Loan Tape'!$R$4:$R$303)/E99,"-")</f>
        <v>0.0811264164262245</v>
      </c>
      <c r="L99" s="69" t="n">
        <f aca="false">IFERROR(SUMPRODUCT((('Loan Tape'!$R$4:$R$303&lt;&gt;"")*('Loan Tape'!$AE$4:$AE$303=R99))*'Loan Tape'!$V$4:$V$303*'Loan Tape'!$R$4:$R$303)/E99,"-")</f>
        <v>0.657846789815187</v>
      </c>
      <c r="M99" s="69" t="n">
        <f aca="false">IFERROR(SUMPRODUCT((('Loan Tape'!$R$4:$R$303&lt;&gt;"")*('Loan Tape'!$AE$4:$AE$303=R99))*'Loan Tape'!$W$4:$W$303*'Loan Tape'!$R$4:$R$303)/E99,"-")</f>
        <v>0.684505434218191</v>
      </c>
      <c r="N99" s="69" t="n">
        <f aca="false">IFERROR(SUMPRODUCT((('Loan Tape'!$R$4:$R$303&lt;&gt;"")*('Loan Tape'!$AE$4:$AE$303=R99))*'Loan Tape'!$AI$4:$AI$303*'Loan Tape'!$R$4:$R$303)/E99,"-")</f>
        <v>0.069612448957783</v>
      </c>
      <c r="O99" s="69" t="n">
        <f aca="false">IFERROR(SUMPRODUCT((('Loan Tape'!$R$4:$R$303&lt;&gt;"")*('Loan Tape'!$AE$4:$AE$303=R99))*'Loan Tape'!$AK$4:$AK$303*'Loan Tape'!$R$4:$R$303)/E99,"-")</f>
        <v>0.0766902480580252</v>
      </c>
      <c r="P99" s="69" t="n">
        <f aca="false">IFERROR(SUMPRODUCT((('Loan Tape'!$R$4:$R$303&lt;&gt;"")*('Loan Tape'!$AE$4:$AE$303=R99))*'Loan Tape'!$S$4:$S$303*'Loan Tape'!$R$4:$R$303)/E99,"-")</f>
        <v>0.912621457523393</v>
      </c>
      <c r="R99" s="91" t="s">
        <v>224</v>
      </c>
    </row>
    <row r="100" customFormat="false" ht="14.25" hidden="false" customHeight="false" outlineLevel="0" collapsed="false">
      <c r="B100" s="7" t="str">
        <f aca="false">R100</f>
        <v>Recapitalization</v>
      </c>
      <c r="C100" s="68" t="n">
        <f aca="false">COUNTIF('Loan Tape'!$AE$4:$AE$303,R100)</f>
        <v>8</v>
      </c>
      <c r="D100" s="68" t="n">
        <f aca="false">SUMPRODUCT((('Loan Tape'!$R$4:$R$303&lt;&gt;"")*('Loan Tape'!$AE$4:$AE$303=R100))*'Loan Tape'!$F$4:$F$303)</f>
        <v>1180</v>
      </c>
      <c r="E100" s="84" t="n">
        <f aca="false">SUMIF('Loan Tape'!$AE$4:$AE$303,R100,'Loan Tape'!$R$4:$R$303)</f>
        <v>291201000</v>
      </c>
      <c r="F100" s="69" t="n">
        <f aca="false">IFERROR(E100/C5,0)</f>
        <v>0.116685299385721</v>
      </c>
      <c r="G100" s="85" t="n">
        <f aca="false">IFERROR(SUMPRODUCT((('Loan Tape'!$R$4:$R$303&lt;&gt;"")*('Loan Tape'!$AE$4:$AE$303=R100))*'Loan Tape'!$U$4:$U$303*'Loan Tape'!$R$4:$R$303)/E100,"-")</f>
        <v>1.38289906284663</v>
      </c>
      <c r="H100" s="68" t="n">
        <f aca="false">IFERROR(SUMPRODUCT((('Loan Tape'!$R$4:$R$303&lt;&gt;"")*('Loan Tape'!$AE$4:$AE$303=R100))*'Loan Tape'!$AH$4:$AH$303*'Loan Tape'!$R$4:$R$303)/E100,"-")</f>
        <v>82.3563590097562</v>
      </c>
      <c r="I100" s="68" t="n">
        <f aca="false">IFERROR(SUMPRODUCT((('Loan Tape'!$R$4:$R$303&lt;&gt;"")*('Loan Tape'!$AE$4:$AE$303=R100))*(('Loan Tape'!$H$4:$H$303-$C$4)/30.4375)*'Loan Tape'!$R$4:$R$303)/E100,"-")</f>
        <v>35.2789095830257</v>
      </c>
      <c r="J100" s="69" t="n">
        <f aca="false">IFERROR(SUMPRODUCT((('Loan Tape'!$R$4:$R$303&lt;&gt;"")*('Loan Tape'!$AE$4:$AE$303=R100))*('Loan Tape'!$K$4:$K$303="Floating")*'Loan Tape'!$R$4:$R$303)/E100,"-")</f>
        <v>0.62149855254618</v>
      </c>
      <c r="K100" s="69" t="n">
        <f aca="false">IFERROR(SUMPRODUCT((('Loan Tape'!$R$4:$R$303&lt;&gt;"")*('Loan Tape'!$AE$4:$AE$303=R100))*'Loan Tape'!$T$4:$T$303*'Loan Tape'!$R$4:$R$303)/E100,"-")</f>
        <v>0.0913895834835732</v>
      </c>
      <c r="L100" s="69" t="n">
        <f aca="false">IFERROR(SUMPRODUCT((('Loan Tape'!$R$4:$R$303&lt;&gt;"")*('Loan Tape'!$AE$4:$AE$303=R100))*'Loan Tape'!$V$4:$V$303*'Loan Tape'!$R$4:$R$303)/E100,"-")</f>
        <v>0.558383635358395</v>
      </c>
      <c r="M100" s="69" t="n">
        <f aca="false">IFERROR(SUMPRODUCT((('Loan Tape'!$R$4:$R$303&lt;&gt;"")*('Loan Tape'!$AE$4:$AE$303=R100))*'Loan Tape'!$W$4:$W$303*'Loan Tape'!$R$4:$R$303)/E100,"-")</f>
        <v>0.593107661031384</v>
      </c>
      <c r="N100" s="69" t="n">
        <f aca="false">IFERROR(SUMPRODUCT((('Loan Tape'!$R$4:$R$303&lt;&gt;"")*('Loan Tape'!$AE$4:$AE$303=R100))*'Loan Tape'!$AI$4:$AI$303*'Loan Tape'!$R$4:$R$303)/E100,"-")</f>
        <v>0.0640692171386774</v>
      </c>
      <c r="O100" s="69" t="n">
        <f aca="false">IFERROR(SUMPRODUCT((('Loan Tape'!$R$4:$R$303&lt;&gt;"")*('Loan Tape'!$AE$4:$AE$303=R100))*'Loan Tape'!$AK$4:$AK$303*'Loan Tape'!$R$4:$R$303)/E100,"-")</f>
        <v>0.0729645121410984</v>
      </c>
      <c r="P100" s="69" t="n">
        <f aca="false">IFERROR(SUMPRODUCT((('Loan Tape'!$R$4:$R$303&lt;&gt;"")*('Loan Tape'!$AE$4:$AE$303=R100))*'Loan Tape'!$S$4:$S$303*'Loan Tape'!$R$4:$R$303)/E100,"-")</f>
        <v>0.89225092290205</v>
      </c>
      <c r="R100" s="91" t="s">
        <v>239</v>
      </c>
    </row>
    <row r="101" customFormat="false" ht="14.25" hidden="false" customHeight="false" outlineLevel="0" collapsed="false">
      <c r="B101" s="7" t="s">
        <v>407</v>
      </c>
      <c r="C101" s="68" t="n">
        <f aca="false">C6-SUM(C98:C100)</f>
        <v>0</v>
      </c>
      <c r="D101" s="68" t="n">
        <f aca="false">SUM('Loan Tape'!$F$4:$F$303)-SUM(D98:D100)</f>
        <v>0</v>
      </c>
      <c r="E101" s="84" t="n">
        <f aca="false">C5-SUM(E98:E100)</f>
        <v>0</v>
      </c>
      <c r="F101" s="69" t="n">
        <f aca="false">IFERROR(E101/C5,0)</f>
        <v>0</v>
      </c>
      <c r="G101" s="85" t="str">
        <f aca="false">IFERROR(SUMPRODUCT((('Loan Tape'!$R$4:$R$303&lt;&gt;"")*(1-(('Loan Tape'!$AE$4:$AE$303=R98)+('Loan Tape'!$AE$4:$AE$303=R99)+('Loan Tape'!$AE$4:$AE$303=R100))))*'Loan Tape'!$U$4:$U$303*'Loan Tape'!$R$4:$R$303)/E101,"-")</f>
        <v>-</v>
      </c>
      <c r="H101" s="68" t="str">
        <f aca="false">IFERROR(SUMPRODUCT((('Loan Tape'!$R$4:$R$303&lt;&gt;"")*(1-(('Loan Tape'!$AE$4:$AE$303=R98)+('Loan Tape'!$AE$4:$AE$303=R99)+('Loan Tape'!$AE$4:$AE$303=R100))))*'Loan Tape'!$AH$4:$AH$303*'Loan Tape'!$R$4:$R$303)/E101,"-")</f>
        <v>-</v>
      </c>
      <c r="I101" s="68" t="str">
        <f aca="false">IFERROR(SUMPRODUCT((('Loan Tape'!$R$4:$R$303&lt;&gt;"")*(1-(('Loan Tape'!$AE$4:$AE$303=R98)+('Loan Tape'!$AE$4:$AE$303=R99)+('Loan Tape'!$AE$4:$AE$303=R100))))*(('Loan Tape'!$H$4:$H$303-$C$4)/30.4375)*'Loan Tape'!$R$4:$R$303)/E101,"-")</f>
        <v>-</v>
      </c>
      <c r="J101" s="69" t="str">
        <f aca="false">IFERROR(SUMPRODUCT((('Loan Tape'!$R$4:$R$303&lt;&gt;"")*(1-(('Loan Tape'!$AE$4:$AE$303=R98)+('Loan Tape'!$AE$4:$AE$303=R99)+('Loan Tape'!$AE$4:$AE$303=R100))))*('Loan Tape'!$K$4:$K$303="Floating")*'Loan Tape'!$R$4:$R$303)/E101,"-")</f>
        <v>-</v>
      </c>
      <c r="K101" s="69" t="str">
        <f aca="false">IFERROR(SUMPRODUCT((('Loan Tape'!$R$4:$R$303&lt;&gt;"")*(1-(('Loan Tape'!$AE$4:$AE$303=R98)+('Loan Tape'!$AE$4:$AE$303=R99)+('Loan Tape'!$AE$4:$AE$303=R100))))*'Loan Tape'!$T$4:$T$303*'Loan Tape'!$R$4:$R$303)/E101,"-")</f>
        <v>-</v>
      </c>
      <c r="L101" s="69" t="str">
        <f aca="false">IFERROR(SUMPRODUCT((('Loan Tape'!$R$4:$R$303&lt;&gt;"")*(1-(('Loan Tape'!$AE$4:$AE$303=R98)+('Loan Tape'!$AE$4:$AE$303=R99)+('Loan Tape'!$AE$4:$AE$303=R100))))*'Loan Tape'!$V$4:$V$303*'Loan Tape'!$R$4:$R$303)/E101,"-")</f>
        <v>-</v>
      </c>
      <c r="M101" s="69" t="str">
        <f aca="false">IFERROR(SUMPRODUCT((('Loan Tape'!$R$4:$R$303&lt;&gt;"")*(1-(('Loan Tape'!$AE$4:$AE$303=R98)+('Loan Tape'!$AE$4:$AE$303=R99)+('Loan Tape'!$AE$4:$AE$303=R100))))*'Loan Tape'!$W$4:$W$303*'Loan Tape'!$R$4:$R$303)/E101,"-")</f>
        <v>-</v>
      </c>
      <c r="N101" s="69" t="str">
        <f aca="false">IFERROR(SUMPRODUCT((('Loan Tape'!$R$4:$R$303&lt;&gt;"")*(1-(('Loan Tape'!$AE$4:$AE$303=R98)+('Loan Tape'!$AE$4:$AE$303=R99)+('Loan Tape'!$AE$4:$AE$303=R100))))*'Loan Tape'!$AI$4:$AI$303*'Loan Tape'!$R$4:$R$303)/E101,"-")</f>
        <v>-</v>
      </c>
      <c r="O101" s="69" t="str">
        <f aca="false">IFERROR(SUMPRODUCT((('Loan Tape'!$R$4:$R$303&lt;&gt;"")*(1-(('Loan Tape'!$AE$4:$AE$303=R98)+('Loan Tape'!$AE$4:$AE$303=R99)+('Loan Tape'!$AE$4:$AE$303=R100))))*'Loan Tape'!$AK$4:$AK$303*'Loan Tape'!$R$4:$R$303)/E101,"-")</f>
        <v>-</v>
      </c>
      <c r="P101" s="69" t="str">
        <f aca="false">IFERROR(SUMPRODUCT((('Loan Tape'!$R$4:$R$303&lt;&gt;"")*(1-(('Loan Tape'!$AE$4:$AE$303=R98)+('Loan Tape'!$AE$4:$AE$303=R99)+('Loan Tape'!$AE$4:$AE$303=R100))))*'Loan Tape'!$S$4:$S$303*'Loan Tape'!$R$4:$R$303)/E101,"-")</f>
        <v>-</v>
      </c>
    </row>
    <row r="102" customFormat="false" ht="14.25" hidden="false" customHeight="false" outlineLevel="0" collapsed="false">
      <c r="B102" s="86" t="s">
        <v>405</v>
      </c>
      <c r="C102" s="92" t="n">
        <f aca="false">C6</f>
        <v>50</v>
      </c>
      <c r="D102" s="92" t="n">
        <f aca="false">SUM('Loan Tape'!$F$4:$F$303)</f>
        <v>4739</v>
      </c>
      <c r="E102" s="88" t="n">
        <f aca="false">C5</f>
        <v>2495610000</v>
      </c>
      <c r="F102" s="89" t="n">
        <f aca="false">1</f>
        <v>1</v>
      </c>
      <c r="G102" s="90" t="n">
        <f aca="false">IFERROR(SUMPRODUCT((('Loan Tape'!$R$4:$R$303&lt;&gt;""))*'Loan Tape'!$U$4:$U$303*'Loan Tape'!$R$4:$R$303)/E102,"-")</f>
        <v>1.36575944157941</v>
      </c>
      <c r="H102" s="92" t="n">
        <f aca="false">IFERROR(SUMPRODUCT((('Loan Tape'!$R$4:$R$303&lt;&gt;""))*'Loan Tape'!$AH$4:$AH$303*'Loan Tape'!$R$4:$R$303)/E102,"-")</f>
        <v>76.5147345138063</v>
      </c>
      <c r="I102" s="92" t="n">
        <f aca="false">IFERROR(SUMPRODUCT((('Loan Tape'!$R$4:$R$303&lt;&gt;""))*(('Loan Tape'!$H$4:$H$303-$C$4)/30.4375)*'Loan Tape'!$R$4:$R$303)/E102,"-")</f>
        <v>17.6772942206432</v>
      </c>
      <c r="J102" s="89" t="n">
        <f aca="false">IFERROR(SUMPRODUCT((('Loan Tape'!$R$4:$R$303&lt;&gt;""))*('Loan Tape'!$K$4:$K$303="Floating")*'Loan Tape'!$R$4:$R$303)/E102,"-")</f>
        <v>0.664477622705471</v>
      </c>
      <c r="K102" s="89" t="n">
        <f aca="false">IFERROR(SUMPRODUCT((('Loan Tape'!$R$4:$R$303&lt;&gt;""))*'Loan Tape'!$T$4:$T$303*'Loan Tape'!$R$4:$R$303)/E102,"-")</f>
        <v>0.0861540568438177</v>
      </c>
      <c r="L102" s="89" t="n">
        <f aca="false">IFERROR(SUMPRODUCT((('Loan Tape'!$R$4:$R$303&lt;&gt;""))*'Loan Tape'!$V$4:$V$303*'Loan Tape'!$R$4:$R$303)/E102,"-")</f>
        <v>0.683559256454334</v>
      </c>
      <c r="M102" s="89" t="n">
        <f aca="false">IFERROR(SUMPRODUCT((('Loan Tape'!$R$4:$R$303&lt;&gt;""))*'Loan Tape'!$W$4:$W$303*'Loan Tape'!$R$4:$R$303)/E102,"-")</f>
        <v>0.716164459190338</v>
      </c>
      <c r="N102" s="89" t="n">
        <f aca="false">IFERROR(SUMPRODUCT((('Loan Tape'!$R$4:$R$303&lt;&gt;""))*'Loan Tape'!$AI$4:$AI$303*'Loan Tape'!$R$4:$R$303)/E102,"-")</f>
        <v>0.0704574522862146</v>
      </c>
      <c r="O102" s="89" t="n">
        <f aca="false">IFERROR(SUMPRODUCT((('Loan Tape'!$R$4:$R$303&lt;&gt;""))*'Loan Tape'!$AK$4:$AK$303*'Loan Tape'!$R$4:$R$303)/E102,"-")</f>
        <v>0.0792103169165054</v>
      </c>
      <c r="P102" s="89" t="n">
        <f aca="false">IFERROR(SUMPRODUCT((('Loan Tape'!$R$4:$R$303&lt;&gt;""))*'Loan Tape'!$S$4:$S$303*'Loan Tape'!$R$4:$R$303)/E102,"-")</f>
        <v>0.886687142221741</v>
      </c>
    </row>
    <row r="104" customFormat="false" ht="19.5" hidden="false" customHeight="true" outlineLevel="0" collapsed="false">
      <c r="B104" s="5" t="s">
        <v>415</v>
      </c>
      <c r="C104" s="5"/>
      <c r="D104" s="5"/>
      <c r="E104" s="5"/>
      <c r="F104" s="5"/>
      <c r="G104" s="5"/>
      <c r="H104" s="5"/>
      <c r="I104" s="5"/>
      <c r="J104" s="5"/>
      <c r="K104" s="5"/>
      <c r="L104" s="5"/>
      <c r="M104" s="5"/>
      <c r="N104" s="5"/>
      <c r="O104" s="5"/>
      <c r="P104" s="5"/>
    </row>
    <row r="105" customFormat="false" ht="42" hidden="false" customHeight="true" outlineLevel="0" collapsed="false">
      <c r="B105" s="82" t="s">
        <v>392</v>
      </c>
      <c r="C105" s="83" t="s">
        <v>368</v>
      </c>
      <c r="D105" s="83" t="s">
        <v>153</v>
      </c>
      <c r="E105" s="83" t="s">
        <v>393</v>
      </c>
      <c r="F105" s="83" t="s">
        <v>394</v>
      </c>
      <c r="G105" s="83" t="s">
        <v>395</v>
      </c>
      <c r="H105" s="83" t="s">
        <v>396</v>
      </c>
      <c r="I105" s="83" t="s">
        <v>397</v>
      </c>
      <c r="J105" s="83" t="s">
        <v>398</v>
      </c>
      <c r="K105" s="83" t="s">
        <v>399</v>
      </c>
      <c r="L105" s="83" t="s">
        <v>400</v>
      </c>
      <c r="M105" s="83" t="s">
        <v>401</v>
      </c>
      <c r="N105" s="83" t="s">
        <v>402</v>
      </c>
      <c r="O105" s="83" t="s">
        <v>403</v>
      </c>
      <c r="P105" s="83" t="s">
        <v>365</v>
      </c>
    </row>
    <row r="106" customFormat="false" ht="14.25" hidden="false" customHeight="false" outlineLevel="0" collapsed="false">
      <c r="B106" s="7" t="str">
        <f aca="false">R106</f>
        <v>Fee Simple</v>
      </c>
      <c r="C106" s="68" t="n">
        <f aca="false">COUNTIF('Loan Tape'!$AG$4:$AG$303,R106)</f>
        <v>42</v>
      </c>
      <c r="D106" s="68" t="n">
        <f aca="false">SUMPRODUCT((('Loan Tape'!$R$4:$R$303&lt;&gt;"")*('Loan Tape'!$AG$4:$AG$303=R106))*'Loan Tape'!$F$4:$F$303)</f>
        <v>3636</v>
      </c>
      <c r="E106" s="84" t="n">
        <f aca="false">SUMIF('Loan Tape'!$AG$4:$AG$303,R106,'Loan Tape'!$R$4:$R$303)</f>
        <v>2022023000</v>
      </c>
      <c r="F106" s="69" t="n">
        <f aca="false">IFERROR(E106/C5,0)</f>
        <v>0.81023196733464</v>
      </c>
      <c r="G106" s="85" t="n">
        <f aca="false">IFERROR(SUMPRODUCT((('Loan Tape'!$R$4:$R$303&lt;&gt;"")*('Loan Tape'!$AG$4:$AG$303=R106))*'Loan Tape'!$U$4:$U$303*'Loan Tape'!$R$4:$R$303)/E106,"-")</f>
        <v>1.3221639467009</v>
      </c>
      <c r="H106" s="68" t="n">
        <f aca="false">IFERROR(SUMPRODUCT((('Loan Tape'!$R$4:$R$303&lt;&gt;"")*('Loan Tape'!$AG$4:$AG$303=R106))*'Loan Tape'!$AH$4:$AH$303*'Loan Tape'!$R$4:$R$303)/E106,"-")</f>
        <v>77.198532608185</v>
      </c>
      <c r="I106" s="68" t="n">
        <f aca="false">IFERROR(SUMPRODUCT((('Loan Tape'!$R$4:$R$303&lt;&gt;"")*('Loan Tape'!$AG$4:$AG$303=R106))*(('Loan Tape'!$H$4:$H$303-$C$4)/30.4375)*'Loan Tape'!$R$4:$R$303)/E106,"-")</f>
        <v>19.0524475711067</v>
      </c>
      <c r="J106" s="69" t="n">
        <f aca="false">IFERROR(SUMPRODUCT((('Loan Tape'!$R$4:$R$303&lt;&gt;"")*('Loan Tape'!$AG$4:$AG$303=R106))*('Loan Tape'!$K$4:$K$303="Floating")*'Loan Tape'!$R$4:$R$303)/E106,"-")</f>
        <v>0.657458396862944</v>
      </c>
      <c r="K106" s="69" t="n">
        <f aca="false">IFERROR(SUMPRODUCT((('Loan Tape'!$R$4:$R$303&lt;&gt;"")*('Loan Tape'!$AG$4:$AG$303=R106))*'Loan Tape'!$T$4:$T$303*'Loan Tape'!$R$4:$R$303)/E106,"-")</f>
        <v>0.0867517514884846</v>
      </c>
      <c r="L106" s="69" t="n">
        <f aca="false">IFERROR(SUMPRODUCT((('Loan Tape'!$R$4:$R$303&lt;&gt;"")*('Loan Tape'!$AG$4:$AG$303=R106))*'Loan Tape'!$V$4:$V$303*'Loan Tape'!$R$4:$R$303)/E106,"-")</f>
        <v>0.687300745342659</v>
      </c>
      <c r="M106" s="69" t="n">
        <f aca="false">IFERROR(SUMPRODUCT((('Loan Tape'!$R$4:$R$303&lt;&gt;"")*('Loan Tape'!$AG$4:$AG$303=R106))*'Loan Tape'!$W$4:$W$303*'Loan Tape'!$R$4:$R$303)/E106,"-")</f>
        <v>0.719058955808119</v>
      </c>
      <c r="N106" s="69" t="n">
        <f aca="false">IFERROR(SUMPRODUCT((('Loan Tape'!$R$4:$R$303&lt;&gt;"")*('Loan Tape'!$AG$4:$AG$303=R106))*'Loan Tape'!$AI$4:$AI$303*'Loan Tape'!$R$4:$R$303)/E106,"-")</f>
        <v>0.0698013455831116</v>
      </c>
      <c r="O106" s="69" t="n">
        <f aca="false">IFERROR(SUMPRODUCT((('Loan Tape'!$R$4:$R$303&lt;&gt;"")*('Loan Tape'!$AG$4:$AG$303=R106))*'Loan Tape'!$AK$4:$AK$303*'Loan Tape'!$R$4:$R$303)/E106,"-")</f>
        <v>0.0793613825362026</v>
      </c>
      <c r="P106" s="69" t="n">
        <f aca="false">IFERROR(SUMPRODUCT((('Loan Tape'!$R$4:$R$303&lt;&gt;"")*('Loan Tape'!$AG$4:$AG$303=R106))*'Loan Tape'!$S$4:$S$303*'Loan Tape'!$R$4:$R$303)/E106,"-")</f>
        <v>0.903947119790428</v>
      </c>
      <c r="R106" s="91" t="s">
        <v>217</v>
      </c>
    </row>
    <row r="107" customFormat="false" ht="14.25" hidden="false" customHeight="false" outlineLevel="0" collapsed="false">
      <c r="B107" s="7" t="str">
        <f aca="false">R107</f>
        <v>Fee &amp; Leasehold</v>
      </c>
      <c r="C107" s="68" t="n">
        <f aca="false">COUNTIF('Loan Tape'!$AG$4:$AG$303,R107)</f>
        <v>7</v>
      </c>
      <c r="D107" s="68" t="n">
        <f aca="false">SUMPRODUCT((('Loan Tape'!$R$4:$R$303&lt;&gt;"")*('Loan Tape'!$AG$4:$AG$303=R107))*'Loan Tape'!$F$4:$F$303)</f>
        <v>1103</v>
      </c>
      <c r="E107" s="84" t="n">
        <f aca="false">SUMIF('Loan Tape'!$AG$4:$AG$303,R107,'Loan Tape'!$R$4:$R$303)</f>
        <v>353274000</v>
      </c>
      <c r="F107" s="69" t="n">
        <f aca="false">IFERROR(E107/C5,0)</f>
        <v>0.141558176157332</v>
      </c>
      <c r="G107" s="85" t="n">
        <f aca="false">IFERROR(SUMPRODUCT((('Loan Tape'!$R$4:$R$303&lt;&gt;"")*('Loan Tape'!$AG$4:$AG$303=R107))*'Loan Tape'!$U$4:$U$303*'Loan Tape'!$R$4:$R$303)/E107,"-")</f>
        <v>1.61043572411216</v>
      </c>
      <c r="H107" s="68" t="n">
        <f aca="false">IFERROR(SUMPRODUCT((('Loan Tape'!$R$4:$R$303&lt;&gt;"")*('Loan Tape'!$AG$4:$AG$303=R107))*'Loan Tape'!$AH$4:$AH$303*'Loan Tape'!$R$4:$R$303)/E107,"-")</f>
        <v>64.6026260070087</v>
      </c>
      <c r="I107" s="68" t="n">
        <f aca="false">IFERROR(SUMPRODUCT((('Loan Tape'!$R$4:$R$303&lt;&gt;"")*('Loan Tape'!$AG$4:$AG$303=R107))*(('Loan Tape'!$H$4:$H$303-$C$4)/30.4375)*'Loan Tape'!$R$4:$R$303)/E107,"-")</f>
        <v>9.00135319689905</v>
      </c>
      <c r="J107" s="69" t="n">
        <f aca="false">IFERROR(SUMPRODUCT((('Loan Tape'!$R$4:$R$303&lt;&gt;"")*('Loan Tape'!$AG$4:$AG$303=R107))*('Loan Tape'!$K$4:$K$303="Floating")*'Loan Tape'!$R$4:$R$303)/E107,"-")</f>
        <v>0.5903859327321</v>
      </c>
      <c r="K107" s="69" t="n">
        <f aca="false">IFERROR(SUMPRODUCT((('Loan Tape'!$R$4:$R$303&lt;&gt;"")*('Loan Tape'!$AG$4:$AG$303=R107))*'Loan Tape'!$T$4:$T$303*'Loan Tape'!$R$4:$R$303)/E107,"-")</f>
        <v>0.0843521198842825</v>
      </c>
      <c r="L107" s="69" t="n">
        <f aca="false">IFERROR(SUMPRODUCT((('Loan Tape'!$R$4:$R$303&lt;&gt;"")*('Loan Tape'!$AG$4:$AG$303=R107))*'Loan Tape'!$V$4:$V$303*'Loan Tape'!$R$4:$R$303)/E107,"-")</f>
        <v>0.669145994327349</v>
      </c>
      <c r="M107" s="69" t="n">
        <f aca="false">IFERROR(SUMPRODUCT((('Loan Tape'!$R$4:$R$303&lt;&gt;"")*('Loan Tape'!$AG$4:$AG$303=R107))*'Loan Tape'!$W$4:$W$303*'Loan Tape'!$R$4:$R$303)/E107,"-")</f>
        <v>0.708508039085809</v>
      </c>
      <c r="N107" s="69" t="n">
        <f aca="false">IFERROR(SUMPRODUCT((('Loan Tape'!$R$4:$R$303&lt;&gt;"")*('Loan Tape'!$AG$4:$AG$303=R107))*'Loan Tape'!$AI$4:$AI$303*'Loan Tape'!$R$4:$R$303)/E107,"-")</f>
        <v>0.0699412277722108</v>
      </c>
      <c r="O107" s="69" t="n">
        <f aca="false">IFERROR(SUMPRODUCT((('Loan Tape'!$R$4:$R$303&lt;&gt;"")*('Loan Tape'!$AG$4:$AG$303=R107))*'Loan Tape'!$AK$4:$AK$303*'Loan Tape'!$R$4:$R$303)/E107,"-")</f>
        <v>0.0719465463068327</v>
      </c>
      <c r="P107" s="69" t="n">
        <f aca="false">IFERROR(SUMPRODUCT((('Loan Tape'!$R$4:$R$303&lt;&gt;"")*('Loan Tape'!$AG$4:$AG$303=R107))*'Loan Tape'!$S$4:$S$303*'Loan Tape'!$R$4:$R$303)/E107,"-")</f>
        <v>0.822868481688435</v>
      </c>
      <c r="R107" s="91" t="s">
        <v>265</v>
      </c>
    </row>
    <row r="108" customFormat="false" ht="14.25" hidden="false" customHeight="false" outlineLevel="0" collapsed="false">
      <c r="B108" s="7" t="str">
        <f aca="false">R108</f>
        <v>Leasehold</v>
      </c>
      <c r="C108" s="68" t="n">
        <f aca="false">COUNTIF('Loan Tape'!$AG$4:$AG$303,R108)</f>
        <v>1</v>
      </c>
      <c r="D108" s="68" t="n">
        <f aca="false">SUMPRODUCT((('Loan Tape'!$R$4:$R$303&lt;&gt;"")*('Loan Tape'!$AG$4:$AG$303=R108))*'Loan Tape'!$F$4:$F$303)</f>
        <v>0</v>
      </c>
      <c r="E108" s="84" t="n">
        <f aca="false">SUMIF('Loan Tape'!$AG$4:$AG$303,R108,'Loan Tape'!$R$4:$R$303)</f>
        <v>120313000</v>
      </c>
      <c r="F108" s="69" t="n">
        <f aca="false">IFERROR(E108/C5,0)</f>
        <v>0.0482098565080281</v>
      </c>
      <c r="G108" s="85" t="n">
        <f aca="false">IFERROR(SUMPRODUCT((('Loan Tape'!$R$4:$R$303&lt;&gt;"")*('Loan Tape'!$AG$4:$AG$303=R108))*'Loan Tape'!$U$4:$U$303*'Loan Tape'!$R$4:$R$303)/E108,"-")</f>
        <v>1.38</v>
      </c>
      <c r="H108" s="68" t="n">
        <f aca="false">IFERROR(SUMPRODUCT((('Loan Tape'!$R$4:$R$303&lt;&gt;"")*('Loan Tape'!$AG$4:$AG$303=R108))*'Loan Tape'!$AH$4:$AH$303*'Loan Tape'!$R$4:$R$303)/E108,"-")</f>
        <v>100</v>
      </c>
      <c r="I108" s="68" t="n">
        <f aca="false">IFERROR(SUMPRODUCT((('Loan Tape'!$R$4:$R$303&lt;&gt;"")*('Loan Tape'!$AG$4:$AG$303=R108))*(('Loan Tape'!$H$4:$H$303-$C$4)/30.4375)*'Loan Tape'!$R$4:$R$303)/E108,"-")</f>
        <v>20.041067761807</v>
      </c>
      <c r="J108" s="69" t="n">
        <f aca="false">IFERROR(SUMPRODUCT((('Loan Tape'!$R$4:$R$303&lt;&gt;"")*('Loan Tape'!$AG$4:$AG$303=R108))*('Loan Tape'!$K$4:$K$303="Floating")*'Loan Tape'!$R$4:$R$303)/E108,"-")</f>
        <v>1</v>
      </c>
      <c r="K108" s="69" t="n">
        <f aca="false">IFERROR(SUMPRODUCT((('Loan Tape'!$R$4:$R$303&lt;&gt;"")*('Loan Tape'!$AG$4:$AG$303=R108))*'Loan Tape'!$T$4:$T$303*'Loan Tape'!$R$4:$R$303)/E108,"-")</f>
        <v>0.0814</v>
      </c>
      <c r="L108" s="69" t="n">
        <f aca="false">IFERROR(SUMPRODUCT((('Loan Tape'!$R$4:$R$303&lt;&gt;"")*('Loan Tape'!$AG$4:$AG$303=R108))*'Loan Tape'!$V$4:$V$303*'Loan Tape'!$R$4:$R$303)/E108,"-")</f>
        <v>0.663</v>
      </c>
      <c r="M108" s="69" t="n">
        <f aca="false">IFERROR(SUMPRODUCT((('Loan Tape'!$R$4:$R$303&lt;&gt;"")*('Loan Tape'!$AG$4:$AG$303=R108))*'Loan Tape'!$W$4:$W$303*'Loan Tape'!$R$4:$R$303)/E108,"-")</f>
        <v>0.69</v>
      </c>
      <c r="N108" s="69" t="n">
        <f aca="false">IFERROR(SUMPRODUCT((('Loan Tape'!$R$4:$R$303&lt;&gt;"")*('Loan Tape'!$AG$4:$AG$303=R108))*'Loan Tape'!$AI$4:$AI$303*'Loan Tape'!$R$4:$R$303)/E108,"-")</f>
        <v>0.083</v>
      </c>
      <c r="O108" s="69" t="n">
        <f aca="false">IFERROR(SUMPRODUCT((('Loan Tape'!$R$4:$R$303&lt;&gt;"")*('Loan Tape'!$AG$4:$AG$303=R108))*'Loan Tape'!$AK$4:$AK$303*'Loan Tape'!$R$4:$R$303)/E108,"-")</f>
        <v>0.098</v>
      </c>
      <c r="P108" s="69" t="n">
        <f aca="false">IFERROR(SUMPRODUCT((('Loan Tape'!$R$4:$R$303&lt;&gt;"")*('Loan Tape'!$AG$4:$AG$303=R108))*'Loan Tape'!$S$4:$S$303*'Loan Tape'!$R$4:$R$303)/E108,"-")</f>
        <v>0.784</v>
      </c>
      <c r="R108" s="91" t="s">
        <v>361</v>
      </c>
    </row>
    <row r="109" customFormat="false" ht="14.25" hidden="false" customHeight="false" outlineLevel="0" collapsed="false">
      <c r="B109" s="7" t="s">
        <v>407</v>
      </c>
      <c r="C109" s="68" t="n">
        <f aca="false">C6-SUM(C106:C108)</f>
        <v>0</v>
      </c>
      <c r="D109" s="68" t="n">
        <f aca="false">SUM('Loan Tape'!$F$4:$F$303)-SUM(D106:D108)</f>
        <v>0</v>
      </c>
      <c r="E109" s="84" t="n">
        <f aca="false">C5-SUM(E106:E108)</f>
        <v>0</v>
      </c>
      <c r="F109" s="69" t="n">
        <f aca="false">IFERROR(E109/C5,0)</f>
        <v>0</v>
      </c>
      <c r="G109" s="85" t="str">
        <f aca="false">IFERROR(SUMPRODUCT((('Loan Tape'!$R$4:$R$303&lt;&gt;"")*(1-(('Loan Tape'!$AG$4:$AG$303=R106)+('Loan Tape'!$AG$4:$AG$303=R107)+('Loan Tape'!$AG$4:$AG$303=R108))))*'Loan Tape'!$U$4:$U$303*'Loan Tape'!$R$4:$R$303)/E109,"-")</f>
        <v>-</v>
      </c>
      <c r="H109" s="68" t="str">
        <f aca="false">IFERROR(SUMPRODUCT((('Loan Tape'!$R$4:$R$303&lt;&gt;"")*(1-(('Loan Tape'!$AG$4:$AG$303=R106)+('Loan Tape'!$AG$4:$AG$303=R107)+('Loan Tape'!$AG$4:$AG$303=R108))))*'Loan Tape'!$AH$4:$AH$303*'Loan Tape'!$R$4:$R$303)/E109,"-")</f>
        <v>-</v>
      </c>
      <c r="I109" s="68" t="str">
        <f aca="false">IFERROR(SUMPRODUCT((('Loan Tape'!$R$4:$R$303&lt;&gt;"")*(1-(('Loan Tape'!$AG$4:$AG$303=R106)+('Loan Tape'!$AG$4:$AG$303=R107)+('Loan Tape'!$AG$4:$AG$303=R108))))*(('Loan Tape'!$H$4:$H$303-$C$4)/30.4375)*'Loan Tape'!$R$4:$R$303)/E109,"-")</f>
        <v>-</v>
      </c>
      <c r="J109" s="69" t="str">
        <f aca="false">IFERROR(SUMPRODUCT((('Loan Tape'!$R$4:$R$303&lt;&gt;"")*(1-(('Loan Tape'!$AG$4:$AG$303=R106)+('Loan Tape'!$AG$4:$AG$303=R107)+('Loan Tape'!$AG$4:$AG$303=R108))))*('Loan Tape'!$K$4:$K$303="Floating")*'Loan Tape'!$R$4:$R$303)/E109,"-")</f>
        <v>-</v>
      </c>
      <c r="K109" s="69" t="str">
        <f aca="false">IFERROR(SUMPRODUCT((('Loan Tape'!$R$4:$R$303&lt;&gt;"")*(1-(('Loan Tape'!$AG$4:$AG$303=R106)+('Loan Tape'!$AG$4:$AG$303=R107)+('Loan Tape'!$AG$4:$AG$303=R108))))*'Loan Tape'!$T$4:$T$303*'Loan Tape'!$R$4:$R$303)/E109,"-")</f>
        <v>-</v>
      </c>
      <c r="L109" s="69" t="str">
        <f aca="false">IFERROR(SUMPRODUCT((('Loan Tape'!$R$4:$R$303&lt;&gt;"")*(1-(('Loan Tape'!$AG$4:$AG$303=R106)+('Loan Tape'!$AG$4:$AG$303=R107)+('Loan Tape'!$AG$4:$AG$303=R108))))*'Loan Tape'!$V$4:$V$303*'Loan Tape'!$R$4:$R$303)/E109,"-")</f>
        <v>-</v>
      </c>
      <c r="M109" s="69" t="str">
        <f aca="false">IFERROR(SUMPRODUCT((('Loan Tape'!$R$4:$R$303&lt;&gt;"")*(1-(('Loan Tape'!$AG$4:$AG$303=R106)+('Loan Tape'!$AG$4:$AG$303=R107)+('Loan Tape'!$AG$4:$AG$303=R108))))*'Loan Tape'!$W$4:$W$303*'Loan Tape'!$R$4:$R$303)/E109,"-")</f>
        <v>-</v>
      </c>
      <c r="N109" s="69" t="str">
        <f aca="false">IFERROR(SUMPRODUCT((('Loan Tape'!$R$4:$R$303&lt;&gt;"")*(1-(('Loan Tape'!$AG$4:$AG$303=R106)+('Loan Tape'!$AG$4:$AG$303=R107)+('Loan Tape'!$AG$4:$AG$303=R108))))*'Loan Tape'!$AI$4:$AI$303*'Loan Tape'!$R$4:$R$303)/E109,"-")</f>
        <v>-</v>
      </c>
      <c r="O109" s="69" t="str">
        <f aca="false">IFERROR(SUMPRODUCT((('Loan Tape'!$R$4:$R$303&lt;&gt;"")*(1-(('Loan Tape'!$AG$4:$AG$303=R106)+('Loan Tape'!$AG$4:$AG$303=R107)+('Loan Tape'!$AG$4:$AG$303=R108))))*'Loan Tape'!$AK$4:$AK$303*'Loan Tape'!$R$4:$R$303)/E109,"-")</f>
        <v>-</v>
      </c>
      <c r="P109" s="69" t="str">
        <f aca="false">IFERROR(SUMPRODUCT((('Loan Tape'!$R$4:$R$303&lt;&gt;"")*(1-(('Loan Tape'!$AG$4:$AG$303=R106)+('Loan Tape'!$AG$4:$AG$303=R107)+('Loan Tape'!$AG$4:$AG$303=R108))))*'Loan Tape'!$S$4:$S$303*'Loan Tape'!$R$4:$R$303)/E109,"-")</f>
        <v>-</v>
      </c>
    </row>
    <row r="110" customFormat="false" ht="14.25" hidden="false" customHeight="false" outlineLevel="0" collapsed="false">
      <c r="B110" s="86" t="s">
        <v>405</v>
      </c>
      <c r="C110" s="92" t="n">
        <f aca="false">C6</f>
        <v>50</v>
      </c>
      <c r="D110" s="92" t="n">
        <f aca="false">SUM('Loan Tape'!$F$4:$F$303)</f>
        <v>4739</v>
      </c>
      <c r="E110" s="88" t="n">
        <f aca="false">C5</f>
        <v>2495610000</v>
      </c>
      <c r="F110" s="89" t="n">
        <f aca="false">1</f>
        <v>1</v>
      </c>
      <c r="G110" s="90" t="n">
        <f aca="false">IFERROR(SUMPRODUCT((('Loan Tape'!$R$4:$R$303&lt;&gt;""))*'Loan Tape'!$U$4:$U$303*'Loan Tape'!$R$4:$R$303)/E110,"-")</f>
        <v>1.36575944157941</v>
      </c>
      <c r="H110" s="92" t="n">
        <f aca="false">IFERROR(SUMPRODUCT((('Loan Tape'!$R$4:$R$303&lt;&gt;""))*'Loan Tape'!$AH$4:$AH$303*'Loan Tape'!$R$4:$R$303)/E110,"-")</f>
        <v>76.5147345138063</v>
      </c>
      <c r="I110" s="92" t="n">
        <f aca="false">IFERROR(SUMPRODUCT((('Loan Tape'!$R$4:$R$303&lt;&gt;""))*(('Loan Tape'!$H$4:$H$303-$C$4)/30.4375)*'Loan Tape'!$R$4:$R$303)/E110,"-")</f>
        <v>17.6772942206432</v>
      </c>
      <c r="J110" s="89" t="n">
        <f aca="false">IFERROR(SUMPRODUCT((('Loan Tape'!$R$4:$R$303&lt;&gt;""))*('Loan Tape'!$K$4:$K$303="Floating")*'Loan Tape'!$R$4:$R$303)/E110,"-")</f>
        <v>0.664477622705471</v>
      </c>
      <c r="K110" s="89" t="n">
        <f aca="false">IFERROR(SUMPRODUCT((('Loan Tape'!$R$4:$R$303&lt;&gt;""))*'Loan Tape'!$T$4:$T$303*'Loan Tape'!$R$4:$R$303)/E110,"-")</f>
        <v>0.0861540568438177</v>
      </c>
      <c r="L110" s="89" t="n">
        <f aca="false">IFERROR(SUMPRODUCT((('Loan Tape'!$R$4:$R$303&lt;&gt;""))*'Loan Tape'!$V$4:$V$303*'Loan Tape'!$R$4:$R$303)/E110,"-")</f>
        <v>0.683559256454334</v>
      </c>
      <c r="M110" s="89" t="n">
        <f aca="false">IFERROR(SUMPRODUCT((('Loan Tape'!$R$4:$R$303&lt;&gt;""))*'Loan Tape'!$W$4:$W$303*'Loan Tape'!$R$4:$R$303)/E110,"-")</f>
        <v>0.716164459190338</v>
      </c>
      <c r="N110" s="89" t="n">
        <f aca="false">IFERROR(SUMPRODUCT((('Loan Tape'!$R$4:$R$303&lt;&gt;""))*'Loan Tape'!$AI$4:$AI$303*'Loan Tape'!$R$4:$R$303)/E110,"-")</f>
        <v>0.0704574522862146</v>
      </c>
      <c r="O110" s="89" t="n">
        <f aca="false">IFERROR(SUMPRODUCT((('Loan Tape'!$R$4:$R$303&lt;&gt;""))*'Loan Tape'!$AK$4:$AK$303*'Loan Tape'!$R$4:$R$303)/E110,"-")</f>
        <v>0.0792103169165054</v>
      </c>
      <c r="P110" s="89" t="n">
        <f aca="false">IFERROR(SUMPRODUCT((('Loan Tape'!$R$4:$R$303&lt;&gt;""))*'Loan Tape'!$S$4:$S$303*'Loan Tape'!$R$4:$R$303)/E110,"-")</f>
        <v>0.886687142221741</v>
      </c>
    </row>
    <row r="112" customFormat="false" ht="19.5" hidden="false" customHeight="true" outlineLevel="0" collapsed="false">
      <c r="B112" s="5" t="s">
        <v>416</v>
      </c>
      <c r="C112" s="5"/>
      <c r="D112" s="5"/>
      <c r="E112" s="5"/>
      <c r="F112" s="5"/>
      <c r="G112" s="5"/>
      <c r="H112" s="5"/>
      <c r="I112" s="5"/>
      <c r="J112" s="5"/>
      <c r="K112" s="5"/>
      <c r="L112" s="5"/>
      <c r="M112" s="5"/>
      <c r="N112" s="5"/>
      <c r="O112" s="5"/>
      <c r="P112" s="5"/>
    </row>
    <row r="113" customFormat="false" ht="42" hidden="false" customHeight="true" outlineLevel="0" collapsed="false">
      <c r="B113" s="82" t="s">
        <v>392</v>
      </c>
      <c r="C113" s="83" t="s">
        <v>368</v>
      </c>
      <c r="D113" s="83" t="s">
        <v>153</v>
      </c>
      <c r="E113" s="83" t="s">
        <v>393</v>
      </c>
      <c r="F113" s="83" t="s">
        <v>394</v>
      </c>
      <c r="G113" s="83" t="s">
        <v>395</v>
      </c>
      <c r="H113" s="83" t="s">
        <v>396</v>
      </c>
      <c r="I113" s="83" t="s">
        <v>397</v>
      </c>
      <c r="J113" s="83" t="s">
        <v>398</v>
      </c>
      <c r="K113" s="83" t="s">
        <v>399</v>
      </c>
      <c r="L113" s="83" t="s">
        <v>400</v>
      </c>
      <c r="M113" s="83" t="s">
        <v>401</v>
      </c>
      <c r="N113" s="83" t="s">
        <v>402</v>
      </c>
      <c r="O113" s="83" t="s">
        <v>403</v>
      </c>
      <c r="P113" s="83" t="s">
        <v>365</v>
      </c>
    </row>
    <row r="114" customFormat="false" ht="14.25" hidden="false" customHeight="false" outlineLevel="0" collapsed="false">
      <c r="B114" s="7" t="str">
        <f aca="false">R114</f>
        <v>Current</v>
      </c>
      <c r="C114" s="68" t="n">
        <f aca="false">COUNTIF('Loan Tape'!$AF$4:$AF$303,R114)</f>
        <v>43</v>
      </c>
      <c r="D114" s="68" t="n">
        <f aca="false">SUMPRODUCT((('Loan Tape'!$R$4:$R$303&lt;&gt;"")*('Loan Tape'!$AF$4:$AF$303=R114))*'Loan Tape'!$F$4:$F$303)</f>
        <v>3612</v>
      </c>
      <c r="E114" s="84" t="n">
        <f aca="false">SUMIF('Loan Tape'!$AF$4:$AF$303,R114,'Loan Tape'!$R$4:$R$303)</f>
        <v>2113004000</v>
      </c>
      <c r="F114" s="69" t="n">
        <f aca="false">IFERROR(E114/C5,0)</f>
        <v>0.846688384803715</v>
      </c>
      <c r="G114" s="85" t="n">
        <f aca="false">IFERROR(SUMPRODUCT((('Loan Tape'!$R$4:$R$303&lt;&gt;"")*('Loan Tape'!$AF$4:$AF$303=R114))*'Loan Tape'!$U$4:$U$303*'Loan Tape'!$R$4:$R$303)/E114,"-")</f>
        <v>1.40149716706641</v>
      </c>
      <c r="H114" s="68" t="n">
        <f aca="false">IFERROR(SUMPRODUCT((('Loan Tape'!$R$4:$R$303&lt;&gt;"")*('Loan Tape'!$AF$4:$AF$303=R114))*'Loan Tape'!$AH$4:$AH$303*'Loan Tape'!$R$4:$R$303)/E114,"-")</f>
        <v>72.1547844206637</v>
      </c>
      <c r="I114" s="68" t="n">
        <f aca="false">IFERROR(SUMPRODUCT((('Loan Tape'!$R$4:$R$303&lt;&gt;"")*('Loan Tape'!$AF$4:$AF$303=R114))*(('Loan Tape'!$H$4:$H$303-$C$4)/30.4375)*'Loan Tape'!$R$4:$R$303)/E114,"-")</f>
        <v>23.4820380270273</v>
      </c>
      <c r="J114" s="69" t="n">
        <f aca="false">IFERROR(SUMPRODUCT((('Loan Tape'!$R$4:$R$303&lt;&gt;"")*('Loan Tape'!$AF$4:$AF$303=R114))*('Loan Tape'!$K$4:$K$303="Floating")*'Loan Tape'!$R$4:$R$303)/E114,"-")</f>
        <v>0.675486653125124</v>
      </c>
      <c r="K114" s="69" t="n">
        <f aca="false">IFERROR(SUMPRODUCT((('Loan Tape'!$R$4:$R$303&lt;&gt;"")*('Loan Tape'!$AF$4:$AF$303=R114))*'Loan Tape'!$T$4:$T$303*'Loan Tape'!$R$4:$R$303)/E114,"-")</f>
        <v>0.0809208754929002</v>
      </c>
      <c r="L114" s="69" t="n">
        <f aca="false">IFERROR(SUMPRODUCT((('Loan Tape'!$R$4:$R$303&lt;&gt;"")*('Loan Tape'!$AF$4:$AF$303=R114))*'Loan Tape'!$V$4:$V$303*'Loan Tape'!$R$4:$R$303)/E114,"-")</f>
        <v>0.681415802336389</v>
      </c>
      <c r="M114" s="69" t="n">
        <f aca="false">IFERROR(SUMPRODUCT((('Loan Tape'!$R$4:$R$303&lt;&gt;"")*('Loan Tape'!$AF$4:$AF$303=R114))*'Loan Tape'!$W$4:$W$303*'Loan Tape'!$R$4:$R$303)/E114,"-")</f>
        <v>0.713785493543789</v>
      </c>
      <c r="N114" s="69" t="n">
        <f aca="false">IFERROR(SUMPRODUCT((('Loan Tape'!$R$4:$R$303&lt;&gt;"")*('Loan Tape'!$AF$4:$AF$303=R114))*'Loan Tape'!$AI$4:$AI$303*'Loan Tape'!$R$4:$R$303)/E114,"-")</f>
        <v>0.0716304894832191</v>
      </c>
      <c r="O114" s="69" t="n">
        <f aca="false">IFERROR(SUMPRODUCT((('Loan Tape'!$R$4:$R$303&lt;&gt;"")*('Loan Tape'!$AF$4:$AF$303=R114))*'Loan Tape'!$AK$4:$AK$303*'Loan Tape'!$R$4:$R$303)/E114,"-")</f>
        <v>0.0803286138123733</v>
      </c>
      <c r="P114" s="69" t="n">
        <f aca="false">IFERROR(SUMPRODUCT((('Loan Tape'!$R$4:$R$303&lt;&gt;"")*('Loan Tape'!$AF$4:$AF$303=R114))*'Loan Tape'!$S$4:$S$303*'Loan Tape'!$R$4:$R$303)/E114,"-")</f>
        <v>0.880132257203489</v>
      </c>
      <c r="R114" s="91" t="s">
        <v>216</v>
      </c>
    </row>
    <row r="115" customFormat="false" ht="14.25" hidden="false" customHeight="false" outlineLevel="0" collapsed="false">
      <c r="B115" s="7" t="str">
        <f aca="false">R115</f>
        <v>Delinquent</v>
      </c>
      <c r="C115" s="68" t="n">
        <f aca="false">COUNTIF('Loan Tape'!$AF$4:$AF$303,R115)</f>
        <v>1</v>
      </c>
      <c r="D115" s="68" t="n">
        <f aca="false">SUMPRODUCT((('Loan Tape'!$R$4:$R$303&lt;&gt;"")*('Loan Tape'!$AF$4:$AF$303=R115))*'Loan Tape'!$F$4:$F$303)</f>
        <v>250</v>
      </c>
      <c r="E115" s="84" t="n">
        <f aca="false">SUMIF('Loan Tape'!$AF$4:$AF$303,R115,'Loan Tape'!$R$4:$R$303)</f>
        <v>38265000</v>
      </c>
      <c r="F115" s="69" t="n">
        <f aca="false">IFERROR(E115/C5,0)</f>
        <v>0.015332924615625</v>
      </c>
      <c r="G115" s="85" t="n">
        <f aca="false">IFERROR(SUMPRODUCT((('Loan Tape'!$R$4:$R$303&lt;&gt;"")*('Loan Tape'!$AF$4:$AF$303=R115))*'Loan Tape'!$U$4:$U$303*'Loan Tape'!$R$4:$R$303)/E115,"-")</f>
        <v>0.84</v>
      </c>
      <c r="H115" s="68" t="n">
        <f aca="false">IFERROR(SUMPRODUCT((('Loan Tape'!$R$4:$R$303&lt;&gt;"")*('Loan Tape'!$AF$4:$AF$303=R115))*'Loan Tape'!$AH$4:$AH$303*'Loan Tape'!$R$4:$R$303)/E115,"-")</f>
        <v>102</v>
      </c>
      <c r="I115" s="68" t="n">
        <f aca="false">IFERROR(SUMPRODUCT((('Loan Tape'!$R$4:$R$303&lt;&gt;"")*('Loan Tape'!$AF$4:$AF$303=R115))*(('Loan Tape'!$H$4:$H$303-$C$4)/30.4375)*'Loan Tape'!$R$4:$R$303)/E115,"-")</f>
        <v>-41.9876796714579</v>
      </c>
      <c r="J115" s="69" t="n">
        <f aca="false">IFERROR(SUMPRODUCT((('Loan Tape'!$R$4:$R$303&lt;&gt;"")*('Loan Tape'!$AF$4:$AF$303=R115))*('Loan Tape'!$K$4:$K$303="Floating")*'Loan Tape'!$R$4:$R$303)/E115,"-")</f>
        <v>0</v>
      </c>
      <c r="K115" s="69" t="n">
        <f aca="false">IFERROR(SUMPRODUCT((('Loan Tape'!$R$4:$R$303&lt;&gt;"")*('Loan Tape'!$AF$4:$AF$303=R115))*'Loan Tape'!$T$4:$T$303*'Loan Tape'!$R$4:$R$303)/E115,"-")</f>
        <v>0.1002</v>
      </c>
      <c r="L115" s="69" t="n">
        <f aca="false">IFERROR(SUMPRODUCT((('Loan Tape'!$R$4:$R$303&lt;&gt;"")*('Loan Tape'!$AF$4:$AF$303=R115))*'Loan Tape'!$V$4:$V$303*'Loan Tape'!$R$4:$R$303)/E115,"-")</f>
        <v>0.845</v>
      </c>
      <c r="M115" s="69" t="n">
        <f aca="false">IFERROR(SUMPRODUCT((('Loan Tape'!$R$4:$R$303&lt;&gt;"")*('Loan Tape'!$AF$4:$AF$303=R115))*'Loan Tape'!$W$4:$W$303*'Loan Tape'!$R$4:$R$303)/E115,"-")</f>
        <v>0.88</v>
      </c>
      <c r="N115" s="69" t="n">
        <f aca="false">IFERROR(SUMPRODUCT((('Loan Tape'!$R$4:$R$303&lt;&gt;"")*('Loan Tape'!$AF$4:$AF$303=R115))*'Loan Tape'!$AI$4:$AI$303*'Loan Tape'!$R$4:$R$303)/E115,"-")</f>
        <v>0.0589</v>
      </c>
      <c r="O115" s="69" t="n">
        <f aca="false">IFERROR(SUMPRODUCT((('Loan Tape'!$R$4:$R$303&lt;&gt;"")*('Loan Tape'!$AF$4:$AF$303=R115))*'Loan Tape'!$AK$4:$AK$303*'Loan Tape'!$R$4:$R$303)/E115,"-")</f>
        <v>0.0589</v>
      </c>
      <c r="P115" s="69" t="n">
        <f aca="false">IFERROR(SUMPRODUCT((('Loan Tape'!$R$4:$R$303&lt;&gt;"")*('Loan Tape'!$AF$4:$AF$303=R115))*'Loan Tape'!$S$4:$S$303*'Loan Tape'!$R$4:$R$303)/E115,"-")</f>
        <v>0.908</v>
      </c>
      <c r="R115" s="91" t="s">
        <v>330</v>
      </c>
    </row>
    <row r="116" customFormat="false" ht="14.25" hidden="false" customHeight="false" outlineLevel="0" collapsed="false">
      <c r="B116" s="7" t="str">
        <f aca="false">R116</f>
        <v>Matured</v>
      </c>
      <c r="C116" s="68" t="n">
        <f aca="false">COUNTIF('Loan Tape'!$AF$4:$AF$303,R116)</f>
        <v>4</v>
      </c>
      <c r="D116" s="68" t="n">
        <f aca="false">SUMPRODUCT((('Loan Tape'!$R$4:$R$303&lt;&gt;"")*('Loan Tape'!$AF$4:$AF$303=R116))*'Loan Tape'!$F$4:$F$303)</f>
        <v>390</v>
      </c>
      <c r="E116" s="84" t="n">
        <f aca="false">SUMIF('Loan Tape'!$AF$4:$AF$303,R116,'Loan Tape'!$R$4:$R$303)</f>
        <v>211380000</v>
      </c>
      <c r="F116" s="69" t="n">
        <f aca="false">IFERROR(E116/C5,0)</f>
        <v>0.084700734489764</v>
      </c>
      <c r="G116" s="85" t="n">
        <f aca="false">IFERROR(SUMPRODUCT((('Loan Tape'!$R$4:$R$303&lt;&gt;"")*('Loan Tape'!$AF$4:$AF$303=R116))*'Loan Tape'!$U$4:$U$303*'Loan Tape'!$R$4:$R$303)/E116,"-")</f>
        <v>1.14378351783518</v>
      </c>
      <c r="H116" s="68" t="n">
        <f aca="false">IFERROR(SUMPRODUCT((('Loan Tape'!$R$4:$R$303&lt;&gt;"")*('Loan Tape'!$AF$4:$AF$303=R116))*'Loan Tape'!$AH$4:$AH$303*'Loan Tape'!$R$4:$R$303)/E116,"-")</f>
        <v>99.6424188664964</v>
      </c>
      <c r="I116" s="68" t="n">
        <f aca="false">IFERROR(SUMPRODUCT((('Loan Tape'!$R$4:$R$303&lt;&gt;"")*('Loan Tape'!$AF$4:$AF$303=R116))*(('Loan Tape'!$H$4:$H$303-$C$4)/30.4375)*'Loan Tape'!$R$4:$R$303)/E116,"-")</f>
        <v>-20.6521252829019</v>
      </c>
      <c r="J116" s="69" t="n">
        <f aca="false">IFERROR(SUMPRODUCT((('Loan Tape'!$R$4:$R$303&lt;&gt;"")*('Loan Tape'!$AF$4:$AF$303=R116))*('Loan Tape'!$K$4:$K$303="Floating")*'Loan Tape'!$R$4:$R$303)/E116,"-")</f>
        <v>0.463667328980982</v>
      </c>
      <c r="K116" s="69" t="n">
        <f aca="false">IFERROR(SUMPRODUCT((('Loan Tape'!$R$4:$R$303&lt;&gt;"")*('Loan Tape'!$AF$4:$AF$303=R116))*'Loan Tape'!$T$4:$T$303*'Loan Tape'!$R$4:$R$303)/E116,"-")</f>
        <v>0.120360112593434</v>
      </c>
      <c r="L116" s="69" t="n">
        <f aca="false">IFERROR(SUMPRODUCT((('Loan Tape'!$R$4:$R$303&lt;&gt;"")*('Loan Tape'!$AF$4:$AF$303=R116))*'Loan Tape'!$V$4:$V$303*'Loan Tape'!$R$4:$R$303)/E116,"-")</f>
        <v>0.709913974832056</v>
      </c>
      <c r="M116" s="69" t="n">
        <f aca="false">IFERROR(SUMPRODUCT((('Loan Tape'!$R$4:$R$303&lt;&gt;"")*('Loan Tape'!$AF$4:$AF$303=R116))*'Loan Tape'!$W$4:$W$303*'Loan Tape'!$R$4:$R$303)/E116,"-")</f>
        <v>0.747464343835746</v>
      </c>
      <c r="N116" s="69" t="n">
        <f aca="false">IFERROR(SUMPRODUCT((('Loan Tape'!$R$4:$R$303&lt;&gt;"")*('Loan Tape'!$AF$4:$AF$303=R116))*'Loan Tape'!$AI$4:$AI$303*'Loan Tape'!$R$4:$R$303)/E116,"-")</f>
        <v>0.0619181412621819</v>
      </c>
      <c r="O116" s="69" t="n">
        <f aca="false">IFERROR(SUMPRODUCT((('Loan Tape'!$R$4:$R$303&lt;&gt;"")*('Loan Tape'!$AF$4:$AF$303=R116))*'Loan Tape'!$AK$4:$AK$303*'Loan Tape'!$R$4:$R$303)/E116,"-")</f>
        <v>0.0688731511968966</v>
      </c>
      <c r="P116" s="69" t="n">
        <f aca="false">IFERROR(SUMPRODUCT((('Loan Tape'!$R$4:$R$303&lt;&gt;"")*('Loan Tape'!$AF$4:$AF$303=R116))*'Loan Tape'!$S$4:$S$303*'Loan Tape'!$R$4:$R$303)/E116,"-")</f>
        <v>0.924007479420948</v>
      </c>
      <c r="R116" s="91" t="s">
        <v>240</v>
      </c>
    </row>
    <row r="117" customFormat="false" ht="14.25" hidden="false" customHeight="false" outlineLevel="0" collapsed="false">
      <c r="B117" s="7" t="str">
        <f aca="false">R117</f>
        <v>REO</v>
      </c>
      <c r="C117" s="68" t="n">
        <f aca="false">COUNTIF('Loan Tape'!$AF$4:$AF$303,R117)</f>
        <v>2</v>
      </c>
      <c r="D117" s="68" t="n">
        <f aca="false">SUMPRODUCT((('Loan Tape'!$R$4:$R$303&lt;&gt;"")*('Loan Tape'!$AF$4:$AF$303=R117))*'Loan Tape'!$F$4:$F$303)</f>
        <v>487</v>
      </c>
      <c r="E117" s="84" t="n">
        <f aca="false">SUMIF('Loan Tape'!$AF$4:$AF$303,R117,'Loan Tape'!$R$4:$R$303)</f>
        <v>132961000</v>
      </c>
      <c r="F117" s="69" t="n">
        <f aca="false">IFERROR(E117/C5,0)</f>
        <v>0.0532779560908956</v>
      </c>
      <c r="G117" s="85" t="n">
        <f aca="false">IFERROR(SUMPRODUCT((('Loan Tape'!$R$4:$R$303&lt;&gt;"")*('Loan Tape'!$AF$4:$AF$303=R117))*'Loan Tape'!$U$4:$U$303*'Loan Tape'!$R$4:$R$303)/E117,"-")</f>
        <v>1.30202269838524</v>
      </c>
      <c r="H117" s="68" t="n">
        <f aca="false">IFERROR(SUMPRODUCT((('Loan Tape'!$R$4:$R$303&lt;&gt;"")*('Loan Tape'!$AF$4:$AF$303=R117))*'Loan Tape'!$AH$4:$AH$303*'Loan Tape'!$R$4:$R$303)/E117,"-")</f>
        <v>101.700077466325</v>
      </c>
      <c r="I117" s="68" t="n">
        <f aca="false">IFERROR(SUMPRODUCT((('Loan Tape'!$R$4:$R$303&lt;&gt;"")*('Loan Tape'!$AF$4:$AF$303=R117))*(('Loan Tape'!$H$4:$H$303-$C$4)/30.4375)*'Loan Tape'!$R$4:$R$303)/E117,"-")</f>
        <v>3.53559882707574</v>
      </c>
      <c r="J117" s="69" t="n">
        <f aca="false">IFERROR(SUMPRODUCT((('Loan Tape'!$R$4:$R$303&lt;&gt;"")*('Loan Tape'!$AF$4:$AF$303=R117))*('Loan Tape'!$K$4:$K$303="Floating")*'Loan Tape'!$R$4:$R$303)/E117,"-")</f>
        <v>1</v>
      </c>
      <c r="K117" s="69" t="n">
        <f aca="false">IFERROR(SUMPRODUCT((('Loan Tape'!$R$4:$R$303&lt;&gt;"")*('Loan Tape'!$AF$4:$AF$303=R117))*'Loan Tape'!$T$4:$T$303*'Loan Tape'!$R$4:$R$303)/E117,"-")</f>
        <v>0.110896568166605</v>
      </c>
      <c r="L117" s="69" t="n">
        <f aca="false">IFERROR(SUMPRODUCT((('Loan Tape'!$R$4:$R$303&lt;&gt;"")*('Loan Tape'!$AF$4:$AF$303=R117))*'Loan Tape'!$V$4:$V$303*'Loan Tape'!$R$4:$R$303)/E117,"-")</f>
        <v>0.629263159873948</v>
      </c>
      <c r="M117" s="69" t="n">
        <f aca="false">IFERROR(SUMPRODUCT((('Loan Tape'!$R$4:$R$303&lt;&gt;"")*('Loan Tape'!$AF$4:$AF$303=R117))*'Loan Tape'!$W$4:$W$303*'Loan Tape'!$R$4:$R$303)/E117,"-")</f>
        <v>0.657060115372177</v>
      </c>
      <c r="N117" s="69" t="n">
        <f aca="false">IFERROR(SUMPRODUCT((('Loan Tape'!$R$4:$R$303&lt;&gt;"")*('Loan Tape'!$AF$4:$AF$303=R117))*'Loan Tape'!$AI$4:$AI$303*'Loan Tape'!$R$4:$R$303)/E117,"-")</f>
        <v>0.0687174923473801</v>
      </c>
      <c r="O117" s="69" t="n">
        <f aca="false">IFERROR(SUMPRODUCT((('Loan Tape'!$R$4:$R$303&lt;&gt;"")*('Loan Tape'!$AF$4:$AF$303=R117))*'Loan Tape'!$AK$4:$AK$303*'Loan Tape'!$R$4:$R$303)/E117,"-")</f>
        <v>0.0837174923473801</v>
      </c>
      <c r="P117" s="69" t="n">
        <f aca="false">IFERROR(SUMPRODUCT((('Loan Tape'!$R$4:$R$303&lt;&gt;"")*('Loan Tape'!$AF$4:$AF$303=R117))*'Loan Tape'!$S$4:$S$303*'Loan Tape'!$R$4:$R$303)/E117,"-")</f>
        <v>0.925391641157934</v>
      </c>
      <c r="R117" s="91" t="s">
        <v>333</v>
      </c>
    </row>
    <row r="118" customFormat="false" ht="14.25" hidden="false" customHeight="false" outlineLevel="0" collapsed="false">
      <c r="B118" s="7" t="s">
        <v>407</v>
      </c>
      <c r="C118" s="68" t="n">
        <f aca="false">C6-SUM(C114:C117)</f>
        <v>0</v>
      </c>
      <c r="D118" s="68" t="n">
        <f aca="false">SUM('Loan Tape'!$F$4:$F$303)-SUM(D114:D117)</f>
        <v>0</v>
      </c>
      <c r="E118" s="84" t="n">
        <f aca="false">C5-SUM(E114:E117)</f>
        <v>0</v>
      </c>
      <c r="F118" s="69" t="n">
        <f aca="false">IFERROR(E118/C5,0)</f>
        <v>0</v>
      </c>
      <c r="G118" s="85" t="str">
        <f aca="false">IFERROR(SUMPRODUCT((('Loan Tape'!$R$4:$R$303&lt;&gt;"")*(1-(('Loan Tape'!$AF$4:$AF$303=R114)+('Loan Tape'!$AF$4:$AF$303=R115)+('Loan Tape'!$AF$4:$AF$303=R116)+('Loan Tape'!$AF$4:$AF$303=R117))))*'Loan Tape'!$U$4:$U$303*'Loan Tape'!$R$4:$R$303)/E118,"-")</f>
        <v>-</v>
      </c>
      <c r="H118" s="68" t="str">
        <f aca="false">IFERROR(SUMPRODUCT((('Loan Tape'!$R$4:$R$303&lt;&gt;"")*(1-(('Loan Tape'!$AF$4:$AF$303=R114)+('Loan Tape'!$AF$4:$AF$303=R115)+('Loan Tape'!$AF$4:$AF$303=R116)+('Loan Tape'!$AF$4:$AF$303=R117))))*'Loan Tape'!$AH$4:$AH$303*'Loan Tape'!$R$4:$R$303)/E118,"-")</f>
        <v>-</v>
      </c>
      <c r="I118" s="68" t="str">
        <f aca="false">IFERROR(SUMPRODUCT((('Loan Tape'!$R$4:$R$303&lt;&gt;"")*(1-(('Loan Tape'!$AF$4:$AF$303=R114)+('Loan Tape'!$AF$4:$AF$303=R115)+('Loan Tape'!$AF$4:$AF$303=R116)+('Loan Tape'!$AF$4:$AF$303=R117))))*(('Loan Tape'!$H$4:$H$303-$C$4)/30.4375)*'Loan Tape'!$R$4:$R$303)/E118,"-")</f>
        <v>-</v>
      </c>
      <c r="J118" s="69" t="str">
        <f aca="false">IFERROR(SUMPRODUCT((('Loan Tape'!$R$4:$R$303&lt;&gt;"")*(1-(('Loan Tape'!$AF$4:$AF$303=R114)+('Loan Tape'!$AF$4:$AF$303=R115)+('Loan Tape'!$AF$4:$AF$303=R116)+('Loan Tape'!$AF$4:$AF$303=R117))))*('Loan Tape'!$K$4:$K$303="Floating")*'Loan Tape'!$R$4:$R$303)/E118,"-")</f>
        <v>-</v>
      </c>
      <c r="K118" s="69" t="str">
        <f aca="false">IFERROR(SUMPRODUCT((('Loan Tape'!$R$4:$R$303&lt;&gt;"")*(1-(('Loan Tape'!$AF$4:$AF$303=R114)+('Loan Tape'!$AF$4:$AF$303=R115)+('Loan Tape'!$AF$4:$AF$303=R116)+('Loan Tape'!$AF$4:$AF$303=R117))))*'Loan Tape'!$T$4:$T$303*'Loan Tape'!$R$4:$R$303)/E118,"-")</f>
        <v>-</v>
      </c>
      <c r="L118" s="69" t="str">
        <f aca="false">IFERROR(SUMPRODUCT((('Loan Tape'!$R$4:$R$303&lt;&gt;"")*(1-(('Loan Tape'!$AF$4:$AF$303=R114)+('Loan Tape'!$AF$4:$AF$303=R115)+('Loan Tape'!$AF$4:$AF$303=R116)+('Loan Tape'!$AF$4:$AF$303=R117))))*'Loan Tape'!$V$4:$V$303*'Loan Tape'!$R$4:$R$303)/E118,"-")</f>
        <v>-</v>
      </c>
      <c r="M118" s="69" t="str">
        <f aca="false">IFERROR(SUMPRODUCT((('Loan Tape'!$R$4:$R$303&lt;&gt;"")*(1-(('Loan Tape'!$AF$4:$AF$303=R114)+('Loan Tape'!$AF$4:$AF$303=R115)+('Loan Tape'!$AF$4:$AF$303=R116)+('Loan Tape'!$AF$4:$AF$303=R117))))*'Loan Tape'!$W$4:$W$303*'Loan Tape'!$R$4:$R$303)/E118,"-")</f>
        <v>-</v>
      </c>
      <c r="N118" s="69" t="str">
        <f aca="false">IFERROR(SUMPRODUCT((('Loan Tape'!$R$4:$R$303&lt;&gt;"")*(1-(('Loan Tape'!$AF$4:$AF$303=R114)+('Loan Tape'!$AF$4:$AF$303=R115)+('Loan Tape'!$AF$4:$AF$303=R116)+('Loan Tape'!$AF$4:$AF$303=R117))))*'Loan Tape'!$AI$4:$AI$303*'Loan Tape'!$R$4:$R$303)/E118,"-")</f>
        <v>-</v>
      </c>
      <c r="O118" s="69" t="str">
        <f aca="false">IFERROR(SUMPRODUCT((('Loan Tape'!$R$4:$R$303&lt;&gt;"")*(1-(('Loan Tape'!$AF$4:$AF$303=R114)+('Loan Tape'!$AF$4:$AF$303=R115)+('Loan Tape'!$AF$4:$AF$303=R116)+('Loan Tape'!$AF$4:$AF$303=R117))))*'Loan Tape'!$AK$4:$AK$303*'Loan Tape'!$R$4:$R$303)/E118,"-")</f>
        <v>-</v>
      </c>
      <c r="P118" s="69" t="str">
        <f aca="false">IFERROR(SUMPRODUCT((('Loan Tape'!$R$4:$R$303&lt;&gt;"")*(1-(('Loan Tape'!$AF$4:$AF$303=R114)+('Loan Tape'!$AF$4:$AF$303=R115)+('Loan Tape'!$AF$4:$AF$303=R116)+('Loan Tape'!$AF$4:$AF$303=R117))))*'Loan Tape'!$S$4:$S$303*'Loan Tape'!$R$4:$R$303)/E118,"-")</f>
        <v>-</v>
      </c>
    </row>
    <row r="119" customFormat="false" ht="14.25" hidden="false" customHeight="false" outlineLevel="0" collapsed="false">
      <c r="B119" s="86" t="s">
        <v>405</v>
      </c>
      <c r="C119" s="92" t="n">
        <f aca="false">C6</f>
        <v>50</v>
      </c>
      <c r="D119" s="92" t="n">
        <f aca="false">SUM('Loan Tape'!$F$4:$F$303)</f>
        <v>4739</v>
      </c>
      <c r="E119" s="88" t="n">
        <f aca="false">C5</f>
        <v>2495610000</v>
      </c>
      <c r="F119" s="89" t="n">
        <f aca="false">1</f>
        <v>1</v>
      </c>
      <c r="G119" s="90" t="n">
        <f aca="false">IFERROR(SUMPRODUCT((('Loan Tape'!$R$4:$R$303&lt;&gt;""))*'Loan Tape'!$U$4:$U$303*'Loan Tape'!$R$4:$R$303)/E119,"-")</f>
        <v>1.36575944157941</v>
      </c>
      <c r="H119" s="92" t="n">
        <f aca="false">IFERROR(SUMPRODUCT((('Loan Tape'!$R$4:$R$303&lt;&gt;""))*'Loan Tape'!$AH$4:$AH$303*'Loan Tape'!$R$4:$R$303)/E119,"-")</f>
        <v>76.5147345138063</v>
      </c>
      <c r="I119" s="92" t="n">
        <f aca="false">IFERROR(SUMPRODUCT((('Loan Tape'!$R$4:$R$303&lt;&gt;""))*(('Loan Tape'!$H$4:$H$303-$C$4)/30.4375)*'Loan Tape'!$R$4:$R$303)/E119,"-")</f>
        <v>17.6772942206432</v>
      </c>
      <c r="J119" s="89" t="n">
        <f aca="false">IFERROR(SUMPRODUCT((('Loan Tape'!$R$4:$R$303&lt;&gt;""))*('Loan Tape'!$K$4:$K$303="Floating")*'Loan Tape'!$R$4:$R$303)/E119,"-")</f>
        <v>0.664477622705471</v>
      </c>
      <c r="K119" s="89" t="n">
        <f aca="false">IFERROR(SUMPRODUCT((('Loan Tape'!$R$4:$R$303&lt;&gt;""))*'Loan Tape'!$T$4:$T$303*'Loan Tape'!$R$4:$R$303)/E119,"-")</f>
        <v>0.0861540568438177</v>
      </c>
      <c r="L119" s="89" t="n">
        <f aca="false">IFERROR(SUMPRODUCT((('Loan Tape'!$R$4:$R$303&lt;&gt;""))*'Loan Tape'!$V$4:$V$303*'Loan Tape'!$R$4:$R$303)/E119,"-")</f>
        <v>0.683559256454334</v>
      </c>
      <c r="M119" s="89" t="n">
        <f aca="false">IFERROR(SUMPRODUCT((('Loan Tape'!$R$4:$R$303&lt;&gt;""))*'Loan Tape'!$W$4:$W$303*'Loan Tape'!$R$4:$R$303)/E119,"-")</f>
        <v>0.716164459190338</v>
      </c>
      <c r="N119" s="89" t="n">
        <f aca="false">IFERROR(SUMPRODUCT((('Loan Tape'!$R$4:$R$303&lt;&gt;""))*'Loan Tape'!$AI$4:$AI$303*'Loan Tape'!$R$4:$R$303)/E119,"-")</f>
        <v>0.0704574522862146</v>
      </c>
      <c r="O119" s="89" t="n">
        <f aca="false">IFERROR(SUMPRODUCT((('Loan Tape'!$R$4:$R$303&lt;&gt;""))*'Loan Tape'!$AK$4:$AK$303*'Loan Tape'!$R$4:$R$303)/E119,"-")</f>
        <v>0.0792103169165054</v>
      </c>
      <c r="P119" s="89" t="n">
        <f aca="false">IFERROR(SUMPRODUCT((('Loan Tape'!$R$4:$R$303&lt;&gt;""))*'Loan Tape'!$S$4:$S$303*'Loan Tape'!$R$4:$R$303)/E119,"-")</f>
        <v>0.886687142221741</v>
      </c>
    </row>
    <row r="121" customFormat="false" ht="19.5" hidden="false" customHeight="true" outlineLevel="0" collapsed="false">
      <c r="B121" s="5" t="s">
        <v>417</v>
      </c>
      <c r="C121" s="5"/>
      <c r="D121" s="5"/>
      <c r="E121" s="5"/>
      <c r="F121" s="5"/>
      <c r="G121" s="5"/>
      <c r="H121" s="5"/>
      <c r="I121" s="5"/>
      <c r="J121" s="5"/>
      <c r="K121" s="5"/>
      <c r="L121" s="5"/>
      <c r="M121" s="5"/>
      <c r="N121" s="5"/>
      <c r="O121" s="5"/>
      <c r="P121" s="5"/>
    </row>
    <row r="122" customFormat="false" ht="42" hidden="false" customHeight="true" outlineLevel="0" collapsed="false">
      <c r="B122" s="82" t="s">
        <v>392</v>
      </c>
      <c r="C122" s="83" t="s">
        <v>368</v>
      </c>
      <c r="D122" s="83" t="s">
        <v>153</v>
      </c>
      <c r="E122" s="83" t="s">
        <v>393</v>
      </c>
      <c r="F122" s="83" t="s">
        <v>394</v>
      </c>
      <c r="G122" s="83" t="s">
        <v>395</v>
      </c>
      <c r="H122" s="83" t="s">
        <v>396</v>
      </c>
      <c r="I122" s="83" t="s">
        <v>397</v>
      </c>
      <c r="J122" s="83" t="s">
        <v>398</v>
      </c>
      <c r="K122" s="83" t="s">
        <v>399</v>
      </c>
      <c r="L122" s="83" t="s">
        <v>400</v>
      </c>
      <c r="M122" s="83" t="s">
        <v>401</v>
      </c>
      <c r="N122" s="83" t="s">
        <v>402</v>
      </c>
      <c r="O122" s="83" t="s">
        <v>403</v>
      </c>
      <c r="P122" s="83" t="s">
        <v>365</v>
      </c>
    </row>
    <row r="123" customFormat="false" ht="14.25" hidden="false" customHeight="false" outlineLevel="0" collapsed="false">
      <c r="B123" s="7" t="str">
        <f aca="false">R123</f>
        <v>Interest Only</v>
      </c>
      <c r="C123" s="68" t="n">
        <f aca="false">COUNTIF('Loan Tape'!$Z$4:$Z$303,R123)</f>
        <v>12</v>
      </c>
      <c r="D123" s="68" t="n">
        <f aca="false">SUMPRODUCT((('Loan Tape'!$R$4:$R$303&lt;&gt;"")*('Loan Tape'!$Z$4:$Z$303=R123))*'Loan Tape'!$F$4:$F$303)</f>
        <v>769</v>
      </c>
      <c r="E123" s="84" t="n">
        <f aca="false">SUMIF('Loan Tape'!$Z$4:$Z$303,R123,'Loan Tape'!$R$4:$R$303)</f>
        <v>705183000</v>
      </c>
      <c r="F123" s="69" t="n">
        <f aca="false">IFERROR(E123/C5,0)</f>
        <v>0.282569391852092</v>
      </c>
      <c r="G123" s="85" t="n">
        <f aca="false">IFERROR(SUMPRODUCT((('Loan Tape'!$R$4:$R$303&lt;&gt;"")*('Loan Tape'!$Z$4:$Z$303=R123))*'Loan Tape'!$U$4:$U$303*'Loan Tape'!$R$4:$R$303)/E123,"-")</f>
        <v>1.45299479709522</v>
      </c>
      <c r="H123" s="68" t="n">
        <f aca="false">IFERROR(SUMPRODUCT((('Loan Tape'!$R$4:$R$303&lt;&gt;"")*('Loan Tape'!$Z$4:$Z$303=R123))*'Loan Tape'!$AH$4:$AH$303*'Loan Tape'!$R$4:$R$303)/E123,"-")</f>
        <v>74.7204687293936</v>
      </c>
      <c r="I123" s="68" t="n">
        <f aca="false">IFERROR(SUMPRODUCT((('Loan Tape'!$R$4:$R$303&lt;&gt;"")*('Loan Tape'!$Z$4:$Z$303=R123))*(('Loan Tape'!$H$4:$H$303-$C$4)/30.4375)*'Loan Tape'!$R$4:$R$303)/E123,"-")</f>
        <v>17.1584332947889</v>
      </c>
      <c r="J123" s="69" t="n">
        <f aca="false">IFERROR(SUMPRODUCT((('Loan Tape'!$R$4:$R$303&lt;&gt;"")*('Loan Tape'!$Z$4:$Z$303=R123))*('Loan Tape'!$K$4:$K$303="Floating")*'Loan Tape'!$R$4:$R$303)/E123,"-")</f>
        <v>0.825850878424466</v>
      </c>
      <c r="K123" s="69" t="n">
        <f aca="false">IFERROR(SUMPRODUCT((('Loan Tape'!$R$4:$R$303&lt;&gt;"")*('Loan Tape'!$Z$4:$Z$303=R123))*'Loan Tape'!$T$4:$T$303*'Loan Tape'!$R$4:$R$303)/E123,"-")</f>
        <v>0.0852546971495342</v>
      </c>
      <c r="L123" s="69" t="n">
        <f aca="false">IFERROR(SUMPRODUCT((('Loan Tape'!$R$4:$R$303&lt;&gt;"")*('Loan Tape'!$Z$4:$Z$303=R123))*'Loan Tape'!$V$4:$V$303*'Loan Tape'!$R$4:$R$303)/E123,"-")</f>
        <v>0.660318525829466</v>
      </c>
      <c r="M123" s="69" t="n">
        <f aca="false">IFERROR(SUMPRODUCT((('Loan Tape'!$R$4:$R$303&lt;&gt;"")*('Loan Tape'!$Z$4:$Z$303=R123))*'Loan Tape'!$W$4:$W$303*'Loan Tape'!$R$4:$R$303)/E123,"-")</f>
        <v>0.68529632875438</v>
      </c>
      <c r="N123" s="69" t="n">
        <f aca="false">IFERROR(SUMPRODUCT((('Loan Tape'!$R$4:$R$303&lt;&gt;"")*('Loan Tape'!$Z$4:$Z$303=R123))*'Loan Tape'!$AI$4:$AI$303*'Loan Tape'!$R$4:$R$303)/E123,"-")</f>
        <v>0.0778510697223274</v>
      </c>
      <c r="O123" s="69" t="n">
        <f aca="false">IFERROR(SUMPRODUCT((('Loan Tape'!$R$4:$R$303&lt;&gt;"")*('Loan Tape'!$Z$4:$Z$303=R123))*'Loan Tape'!$AK$4:$AK$303*'Loan Tape'!$R$4:$R$303)/E123,"-")</f>
        <v>0.0881651246555859</v>
      </c>
      <c r="P123" s="69" t="n">
        <f aca="false">IFERROR(SUMPRODUCT((('Loan Tape'!$R$4:$R$303&lt;&gt;"")*('Loan Tape'!$Z$4:$Z$303=R123))*'Loan Tape'!$S$4:$S$303*'Loan Tape'!$R$4:$R$303)/E123,"-")</f>
        <v>0.879573081030031</v>
      </c>
      <c r="R123" s="91" t="s">
        <v>247</v>
      </c>
    </row>
    <row r="124" customFormat="false" ht="14.25" hidden="false" customHeight="false" outlineLevel="0" collapsed="false">
      <c r="B124" s="7" t="str">
        <f aca="false">R124</f>
        <v>Partial IO</v>
      </c>
      <c r="C124" s="68" t="n">
        <f aca="false">COUNTIF('Loan Tape'!$Z$4:$Z$303,R124)</f>
        <v>27</v>
      </c>
      <c r="D124" s="68" t="n">
        <f aca="false">SUMPRODUCT((('Loan Tape'!$R$4:$R$303&lt;&gt;"")*('Loan Tape'!$Z$4:$Z$303=R124))*'Loan Tape'!$F$4:$F$303)</f>
        <v>2531</v>
      </c>
      <c r="E124" s="84" t="n">
        <f aca="false">SUMIF('Loan Tape'!$Z$4:$Z$303,R124,'Loan Tape'!$R$4:$R$303)</f>
        <v>1340723000</v>
      </c>
      <c r="F124" s="69" t="n">
        <f aca="false">IFERROR(E124/C5,0)</f>
        <v>0.537232580411202</v>
      </c>
      <c r="G124" s="85" t="n">
        <f aca="false">IFERROR(SUMPRODUCT((('Loan Tape'!$R$4:$R$303&lt;&gt;"")*('Loan Tape'!$Z$4:$Z$303=R124))*'Loan Tape'!$U$4:$U$303*'Loan Tape'!$R$4:$R$303)/E124,"-")</f>
        <v>1.28979742273385</v>
      </c>
      <c r="H124" s="68" t="n">
        <f aca="false">IFERROR(SUMPRODUCT((('Loan Tape'!$R$4:$R$303&lt;&gt;"")*('Loan Tape'!$Z$4:$Z$303=R124))*'Loan Tape'!$AH$4:$AH$303*'Loan Tape'!$R$4:$R$303)/E124,"-")</f>
        <v>70.5198844951567</v>
      </c>
      <c r="I124" s="68" t="n">
        <f aca="false">IFERROR(SUMPRODUCT((('Loan Tape'!$R$4:$R$303&lt;&gt;"")*('Loan Tape'!$Z$4:$Z$303=R124))*(('Loan Tape'!$H$4:$H$303-$C$4)/30.4375)*'Loan Tape'!$R$4:$R$303)/E124,"-")</f>
        <v>22.6940939330535</v>
      </c>
      <c r="J124" s="69" t="n">
        <f aca="false">IFERROR(SUMPRODUCT((('Loan Tape'!$R$4:$R$303&lt;&gt;"")*('Loan Tape'!$Z$4:$Z$303=R124))*('Loan Tape'!$K$4:$K$303="Floating")*'Loan Tape'!$R$4:$R$303)/E124,"-")</f>
        <v>0.641864128533635</v>
      </c>
      <c r="K124" s="69" t="n">
        <f aca="false">IFERROR(SUMPRODUCT((('Loan Tape'!$R$4:$R$303&lt;&gt;"")*('Loan Tape'!$Z$4:$Z$303=R124))*'Loan Tape'!$T$4:$T$303*'Loan Tape'!$R$4:$R$303)/E124,"-")</f>
        <v>0.0806201130285674</v>
      </c>
      <c r="L124" s="69" t="n">
        <f aca="false">IFERROR(SUMPRODUCT((('Loan Tape'!$R$4:$R$303&lt;&gt;"")*('Loan Tape'!$Z$4:$Z$303=R124))*'Loan Tape'!$V$4:$V$303*'Loan Tape'!$R$4:$R$303)/E124,"-")</f>
        <v>0.696098618431995</v>
      </c>
      <c r="M124" s="69" t="n">
        <f aca="false">IFERROR(SUMPRODUCT((('Loan Tape'!$R$4:$R$303&lt;&gt;"")*('Loan Tape'!$Z$4:$Z$303=R124))*'Loan Tape'!$W$4:$W$303*'Loan Tape'!$R$4:$R$303)/E124,"-")</f>
        <v>0.73095610204345</v>
      </c>
      <c r="N124" s="69" t="n">
        <f aca="false">IFERROR(SUMPRODUCT((('Loan Tape'!$R$4:$R$303&lt;&gt;"")*('Loan Tape'!$Z$4:$Z$303=R124))*'Loan Tape'!$AI$4:$AI$303*'Loan Tape'!$R$4:$R$303)/E124,"-")</f>
        <v>0.0698165741916861</v>
      </c>
      <c r="O124" s="69" t="n">
        <f aca="false">IFERROR(SUMPRODUCT((('Loan Tape'!$R$4:$R$303&lt;&gt;"")*('Loan Tape'!$Z$4:$Z$303=R124))*'Loan Tape'!$AK$4:$AK$303*'Loan Tape'!$R$4:$R$303)/E124,"-")</f>
        <v>0.0784454340680364</v>
      </c>
      <c r="P124" s="69" t="n">
        <f aca="false">IFERROR(SUMPRODUCT((('Loan Tape'!$R$4:$R$303&lt;&gt;"")*('Loan Tape'!$Z$4:$Z$303=R124))*'Loan Tape'!$S$4:$S$303*'Loan Tape'!$R$4:$R$303)/E124,"-")</f>
        <v>0.89187360998506</v>
      </c>
      <c r="R124" s="91" t="s">
        <v>211</v>
      </c>
    </row>
    <row r="125" customFormat="false" ht="14.25" hidden="false" customHeight="false" outlineLevel="0" collapsed="false">
      <c r="B125" s="7" t="str">
        <f aca="false">R125</f>
        <v>Full Amortizing</v>
      </c>
      <c r="C125" s="68" t="n">
        <f aca="false">COUNTIF('Loan Tape'!$Z$4:$Z$303,R125)</f>
        <v>11</v>
      </c>
      <c r="D125" s="68" t="n">
        <f aca="false">SUMPRODUCT((('Loan Tape'!$R$4:$R$303&lt;&gt;"")*('Loan Tape'!$Z$4:$Z$303=R125))*'Loan Tape'!$F$4:$F$303)</f>
        <v>1439</v>
      </c>
      <c r="E125" s="84" t="n">
        <f aca="false">SUMIF('Loan Tape'!$Z$4:$Z$303,R125,'Loan Tape'!$R$4:$R$303)</f>
        <v>449704000</v>
      </c>
      <c r="F125" s="69" t="n">
        <f aca="false">IFERROR(E125/C5,0)</f>
        <v>0.180198027736706</v>
      </c>
      <c r="G125" s="85" t="n">
        <f aca="false">IFERROR(SUMPRODUCT((('Loan Tape'!$R$4:$R$303&lt;&gt;"")*('Loan Tape'!$Z$4:$Z$303=R125))*'Loan Tape'!$U$4:$U$303*'Loan Tape'!$R$4:$R$303)/E125,"-")</f>
        <v>1.45543428566346</v>
      </c>
      <c r="H125" s="68" t="n">
        <f aca="false">IFERROR(SUMPRODUCT((('Loan Tape'!$R$4:$R$303&lt;&gt;"")*('Loan Tape'!$Z$4:$Z$303=R125))*'Loan Tape'!$AH$4:$AH$303*'Loan Tape'!$R$4:$R$303)/E125,"-")</f>
        <v>97.2010504687528</v>
      </c>
      <c r="I125" s="68" t="n">
        <f aca="false">IFERROR(SUMPRODUCT((('Loan Tape'!$R$4:$R$303&lt;&gt;"")*('Loan Tape'!$Z$4:$Z$303=R125))*(('Loan Tape'!$H$4:$H$303-$C$4)/30.4375)*'Loan Tape'!$R$4:$R$303)/E125,"-")</f>
        <v>3.53410924442529</v>
      </c>
      <c r="J125" s="69" t="n">
        <f aca="false">IFERROR(SUMPRODUCT((('Loan Tape'!$R$4:$R$303&lt;&gt;"")*('Loan Tape'!$Z$4:$Z$303=R125))*('Loan Tape'!$K$4:$K$303="Floating")*'Loan Tape'!$R$4:$R$303)/E125,"-")</f>
        <v>0.47884608542508</v>
      </c>
      <c r="K125" s="69" t="n">
        <f aca="false">IFERROR(SUMPRODUCT((('Loan Tape'!$R$4:$R$303&lt;&gt;"")*('Loan Tape'!$Z$4:$Z$303=R125))*'Loan Tape'!$T$4:$T$303*'Loan Tape'!$R$4:$R$303)/E125,"-")</f>
        <v>0.104062945626457</v>
      </c>
      <c r="L125" s="69" t="n">
        <f aca="false">IFERROR(SUMPRODUCT((('Loan Tape'!$R$4:$R$303&lt;&gt;"")*('Loan Tape'!$Z$4:$Z$303=R125))*'Loan Tape'!$V$4:$V$303*'Loan Tape'!$R$4:$R$303)/E125,"-")</f>
        <v>0.682618987155996</v>
      </c>
      <c r="M125" s="69" t="n">
        <f aca="false">IFERROR(SUMPRODUCT((('Loan Tape'!$R$4:$R$303&lt;&gt;"")*('Loan Tape'!$Z$4:$Z$303=R125))*'Loan Tape'!$W$4:$W$303*'Loan Tape'!$R$4:$R$303)/E125,"-")</f>
        <v>0.720469924661555</v>
      </c>
      <c r="N125" s="69" t="n">
        <f aca="false">IFERROR(SUMPRODUCT((('Loan Tape'!$R$4:$R$303&lt;&gt;"")*('Loan Tape'!$Z$4:$Z$303=R125))*'Loan Tape'!$AI$4:$AI$303*'Loan Tape'!$R$4:$R$303)/E125,"-")</f>
        <v>0.0607741643392098</v>
      </c>
      <c r="O125" s="69" t="n">
        <f aca="false">IFERROR(SUMPRODUCT((('Loan Tape'!$R$4:$R$303&lt;&gt;"")*('Loan Tape'!$Z$4:$Z$303=R125))*'Loan Tape'!$AK$4:$AK$303*'Loan Tape'!$R$4:$R$303)/E125,"-")</f>
        <v>0.0674486199811432</v>
      </c>
      <c r="P125" s="69" t="n">
        <f aca="false">IFERROR(SUMPRODUCT((('Loan Tape'!$R$4:$R$303&lt;&gt;"")*('Loan Tape'!$Z$4:$Z$303=R125))*'Loan Tape'!$S$4:$S$303*'Loan Tape'!$R$4:$R$303)/E125,"-")</f>
        <v>0.882380083343711</v>
      </c>
      <c r="R125" s="91" t="s">
        <v>253</v>
      </c>
    </row>
    <row r="126" customFormat="false" ht="14.25" hidden="false" customHeight="false" outlineLevel="0" collapsed="false">
      <c r="B126" s="7" t="s">
        <v>407</v>
      </c>
      <c r="C126" s="68" t="n">
        <f aca="false">C6-SUM(C123:C125)</f>
        <v>0</v>
      </c>
      <c r="D126" s="68" t="n">
        <f aca="false">SUM('Loan Tape'!$F$4:$F$303)-SUM(D123:D125)</f>
        <v>0</v>
      </c>
      <c r="E126" s="84" t="n">
        <f aca="false">C5-SUM(E123:E125)</f>
        <v>0</v>
      </c>
      <c r="F126" s="69" t="n">
        <f aca="false">IFERROR(E126/C5,0)</f>
        <v>0</v>
      </c>
      <c r="G126" s="85" t="str">
        <f aca="false">IFERROR(SUMPRODUCT((('Loan Tape'!$R$4:$R$303&lt;&gt;"")*(1-(('Loan Tape'!$Z$4:$Z$303=R123)+('Loan Tape'!$Z$4:$Z$303=R124)+('Loan Tape'!$Z$4:$Z$303=R125))))*'Loan Tape'!$U$4:$U$303*'Loan Tape'!$R$4:$R$303)/E126,"-")</f>
        <v>-</v>
      </c>
      <c r="H126" s="68" t="str">
        <f aca="false">IFERROR(SUMPRODUCT((('Loan Tape'!$R$4:$R$303&lt;&gt;"")*(1-(('Loan Tape'!$Z$4:$Z$303=R123)+('Loan Tape'!$Z$4:$Z$303=R124)+('Loan Tape'!$Z$4:$Z$303=R125))))*'Loan Tape'!$AH$4:$AH$303*'Loan Tape'!$R$4:$R$303)/E126,"-")</f>
        <v>-</v>
      </c>
      <c r="I126" s="68" t="str">
        <f aca="false">IFERROR(SUMPRODUCT((('Loan Tape'!$R$4:$R$303&lt;&gt;"")*(1-(('Loan Tape'!$Z$4:$Z$303=R123)+('Loan Tape'!$Z$4:$Z$303=R124)+('Loan Tape'!$Z$4:$Z$303=R125))))*(('Loan Tape'!$H$4:$H$303-$C$4)/30.4375)*'Loan Tape'!$R$4:$R$303)/E126,"-")</f>
        <v>-</v>
      </c>
      <c r="J126" s="69" t="str">
        <f aca="false">IFERROR(SUMPRODUCT((('Loan Tape'!$R$4:$R$303&lt;&gt;"")*(1-(('Loan Tape'!$Z$4:$Z$303=R123)+('Loan Tape'!$Z$4:$Z$303=R124)+('Loan Tape'!$Z$4:$Z$303=R125))))*('Loan Tape'!$K$4:$K$303="Floating")*'Loan Tape'!$R$4:$R$303)/E126,"-")</f>
        <v>-</v>
      </c>
      <c r="K126" s="69" t="str">
        <f aca="false">IFERROR(SUMPRODUCT((('Loan Tape'!$R$4:$R$303&lt;&gt;"")*(1-(('Loan Tape'!$Z$4:$Z$303=R123)+('Loan Tape'!$Z$4:$Z$303=R124)+('Loan Tape'!$Z$4:$Z$303=R125))))*'Loan Tape'!$T$4:$T$303*'Loan Tape'!$R$4:$R$303)/E126,"-")</f>
        <v>-</v>
      </c>
      <c r="L126" s="69" t="str">
        <f aca="false">IFERROR(SUMPRODUCT((('Loan Tape'!$R$4:$R$303&lt;&gt;"")*(1-(('Loan Tape'!$Z$4:$Z$303=R123)+('Loan Tape'!$Z$4:$Z$303=R124)+('Loan Tape'!$Z$4:$Z$303=R125))))*'Loan Tape'!$V$4:$V$303*'Loan Tape'!$R$4:$R$303)/E126,"-")</f>
        <v>-</v>
      </c>
      <c r="M126" s="69" t="str">
        <f aca="false">IFERROR(SUMPRODUCT((('Loan Tape'!$R$4:$R$303&lt;&gt;"")*(1-(('Loan Tape'!$Z$4:$Z$303=R123)+('Loan Tape'!$Z$4:$Z$303=R124)+('Loan Tape'!$Z$4:$Z$303=R125))))*'Loan Tape'!$W$4:$W$303*'Loan Tape'!$R$4:$R$303)/E126,"-")</f>
        <v>-</v>
      </c>
      <c r="N126" s="69" t="str">
        <f aca="false">IFERROR(SUMPRODUCT((('Loan Tape'!$R$4:$R$303&lt;&gt;"")*(1-(('Loan Tape'!$Z$4:$Z$303=R123)+('Loan Tape'!$Z$4:$Z$303=R124)+('Loan Tape'!$Z$4:$Z$303=R125))))*'Loan Tape'!$AI$4:$AI$303*'Loan Tape'!$R$4:$R$303)/E126,"-")</f>
        <v>-</v>
      </c>
      <c r="O126" s="69" t="str">
        <f aca="false">IFERROR(SUMPRODUCT((('Loan Tape'!$R$4:$R$303&lt;&gt;"")*(1-(('Loan Tape'!$Z$4:$Z$303=R123)+('Loan Tape'!$Z$4:$Z$303=R124)+('Loan Tape'!$Z$4:$Z$303=R125))))*'Loan Tape'!$AK$4:$AK$303*'Loan Tape'!$R$4:$R$303)/E126,"-")</f>
        <v>-</v>
      </c>
      <c r="P126" s="69" t="str">
        <f aca="false">IFERROR(SUMPRODUCT((('Loan Tape'!$R$4:$R$303&lt;&gt;"")*(1-(('Loan Tape'!$Z$4:$Z$303=R123)+('Loan Tape'!$Z$4:$Z$303=R124)+('Loan Tape'!$Z$4:$Z$303=R125))))*'Loan Tape'!$S$4:$S$303*'Loan Tape'!$R$4:$R$303)/E126,"-")</f>
        <v>-</v>
      </c>
    </row>
    <row r="127" customFormat="false" ht="14.25" hidden="false" customHeight="false" outlineLevel="0" collapsed="false">
      <c r="B127" s="86" t="s">
        <v>405</v>
      </c>
      <c r="C127" s="92" t="n">
        <f aca="false">C6</f>
        <v>50</v>
      </c>
      <c r="D127" s="92" t="n">
        <f aca="false">SUM('Loan Tape'!$F$4:$F$303)</f>
        <v>4739</v>
      </c>
      <c r="E127" s="88" t="n">
        <f aca="false">C5</f>
        <v>2495610000</v>
      </c>
      <c r="F127" s="89" t="n">
        <f aca="false">1</f>
        <v>1</v>
      </c>
      <c r="G127" s="90" t="n">
        <f aca="false">IFERROR(SUMPRODUCT((('Loan Tape'!$R$4:$R$303&lt;&gt;""))*'Loan Tape'!$U$4:$U$303*'Loan Tape'!$R$4:$R$303)/E127,"-")</f>
        <v>1.36575944157941</v>
      </c>
      <c r="H127" s="92" t="n">
        <f aca="false">IFERROR(SUMPRODUCT((('Loan Tape'!$R$4:$R$303&lt;&gt;""))*'Loan Tape'!$AH$4:$AH$303*'Loan Tape'!$R$4:$R$303)/E127,"-")</f>
        <v>76.5147345138063</v>
      </c>
      <c r="I127" s="92" t="n">
        <f aca="false">IFERROR(SUMPRODUCT((('Loan Tape'!$R$4:$R$303&lt;&gt;""))*(('Loan Tape'!$H$4:$H$303-$C$4)/30.4375)*'Loan Tape'!$R$4:$R$303)/E127,"-")</f>
        <v>17.6772942206432</v>
      </c>
      <c r="J127" s="89" t="n">
        <f aca="false">IFERROR(SUMPRODUCT((('Loan Tape'!$R$4:$R$303&lt;&gt;""))*('Loan Tape'!$K$4:$K$303="Floating")*'Loan Tape'!$R$4:$R$303)/E127,"-")</f>
        <v>0.664477622705471</v>
      </c>
      <c r="K127" s="89" t="n">
        <f aca="false">IFERROR(SUMPRODUCT((('Loan Tape'!$R$4:$R$303&lt;&gt;""))*'Loan Tape'!$T$4:$T$303*'Loan Tape'!$R$4:$R$303)/E127,"-")</f>
        <v>0.0861540568438177</v>
      </c>
      <c r="L127" s="89" t="n">
        <f aca="false">IFERROR(SUMPRODUCT((('Loan Tape'!$R$4:$R$303&lt;&gt;""))*'Loan Tape'!$V$4:$V$303*'Loan Tape'!$R$4:$R$303)/E127,"-")</f>
        <v>0.683559256454334</v>
      </c>
      <c r="M127" s="89" t="n">
        <f aca="false">IFERROR(SUMPRODUCT((('Loan Tape'!$R$4:$R$303&lt;&gt;""))*'Loan Tape'!$W$4:$W$303*'Loan Tape'!$R$4:$R$303)/E127,"-")</f>
        <v>0.716164459190338</v>
      </c>
      <c r="N127" s="89" t="n">
        <f aca="false">IFERROR(SUMPRODUCT((('Loan Tape'!$R$4:$R$303&lt;&gt;""))*'Loan Tape'!$AI$4:$AI$303*'Loan Tape'!$R$4:$R$303)/E127,"-")</f>
        <v>0.0704574522862146</v>
      </c>
      <c r="O127" s="89" t="n">
        <f aca="false">IFERROR(SUMPRODUCT((('Loan Tape'!$R$4:$R$303&lt;&gt;""))*'Loan Tape'!$AK$4:$AK$303*'Loan Tape'!$R$4:$R$303)/E127,"-")</f>
        <v>0.0792103169165054</v>
      </c>
      <c r="P127" s="89" t="n">
        <f aca="false">IFERROR(SUMPRODUCT((('Loan Tape'!$R$4:$R$303&lt;&gt;""))*'Loan Tape'!$S$4:$S$303*'Loan Tape'!$R$4:$R$303)/E127,"-")</f>
        <v>0.886687142221741</v>
      </c>
    </row>
    <row r="129" customFormat="false" ht="19.5" hidden="false" customHeight="true" outlineLevel="0" collapsed="false">
      <c r="B129" s="5" t="s">
        <v>418</v>
      </c>
      <c r="C129" s="5"/>
      <c r="D129" s="5"/>
      <c r="E129" s="5"/>
      <c r="F129" s="5"/>
      <c r="G129" s="5"/>
      <c r="H129" s="5"/>
      <c r="I129" s="5"/>
      <c r="J129" s="5"/>
      <c r="K129" s="5"/>
      <c r="L129" s="5"/>
      <c r="M129" s="5"/>
      <c r="N129" s="5"/>
      <c r="O129" s="5"/>
      <c r="P129" s="5"/>
    </row>
    <row r="130" customFormat="false" ht="42" hidden="false" customHeight="true" outlineLevel="0" collapsed="false">
      <c r="B130" s="82" t="s">
        <v>392</v>
      </c>
      <c r="C130" s="83" t="s">
        <v>368</v>
      </c>
      <c r="D130" s="83" t="s">
        <v>153</v>
      </c>
      <c r="E130" s="83" t="s">
        <v>393</v>
      </c>
      <c r="F130" s="83" t="s">
        <v>394</v>
      </c>
      <c r="G130" s="83" t="s">
        <v>395</v>
      </c>
      <c r="H130" s="83" t="s">
        <v>396</v>
      </c>
      <c r="I130" s="83" t="s">
        <v>397</v>
      </c>
      <c r="J130" s="83" t="s">
        <v>398</v>
      </c>
      <c r="K130" s="83" t="s">
        <v>399</v>
      </c>
      <c r="L130" s="83" t="s">
        <v>400</v>
      </c>
      <c r="M130" s="83" t="s">
        <v>401</v>
      </c>
      <c r="N130" s="83" t="s">
        <v>402</v>
      </c>
      <c r="O130" s="83" t="s">
        <v>403</v>
      </c>
      <c r="P130" s="83" t="s">
        <v>365</v>
      </c>
    </row>
    <row r="131" customFormat="false" ht="14.25" hidden="false" customHeight="false" outlineLevel="0" collapsed="false">
      <c r="B131" s="7" t="str">
        <f aca="false">R131</f>
        <v>Yes</v>
      </c>
      <c r="C131" s="68" t="n">
        <f aca="false">COUNTIF('Loan Tape'!$AA$4:$AA$303,R131)</f>
        <v>24</v>
      </c>
      <c r="D131" s="68" t="n">
        <f aca="false">SUMPRODUCT((('Loan Tape'!$R$4:$R$303&lt;&gt;"")*('Loan Tape'!$AA$4:$AA$303=R131))*'Loan Tape'!$F$4:$F$303)</f>
        <v>2796</v>
      </c>
      <c r="E131" s="84" t="n">
        <f aca="false">SUMIF('Loan Tape'!$AA$4:$AA$303,R131,'Loan Tape'!$R$4:$R$303)</f>
        <v>1378935000</v>
      </c>
      <c r="F131" s="69" t="n">
        <f aca="false">IFERROR(E131/C5,0)</f>
        <v>0.552544267734141</v>
      </c>
      <c r="G131" s="85" t="n">
        <f aca="false">IFERROR(SUMPRODUCT((('Loan Tape'!$R$4:$R$303&lt;&gt;"")*('Loan Tape'!$AA$4:$AA$303=R131))*'Loan Tape'!$U$4:$U$303*'Loan Tape'!$R$4:$R$303)/E131,"-")</f>
        <v>1.33165692364035</v>
      </c>
      <c r="H131" s="68" t="n">
        <f aca="false">IFERROR(SUMPRODUCT((('Loan Tape'!$R$4:$R$303&lt;&gt;"")*('Loan Tape'!$AA$4:$AA$303=R131))*'Loan Tape'!$AH$4:$AH$303*'Loan Tape'!$R$4:$R$303)/E131,"-")</f>
        <v>72.7261312534673</v>
      </c>
      <c r="I131" s="68" t="n">
        <f aca="false">IFERROR(SUMPRODUCT((('Loan Tape'!$R$4:$R$303&lt;&gt;"")*('Loan Tape'!$AA$4:$AA$303=R131))*(('Loan Tape'!$H$4:$H$303-$C$4)/30.4375)*'Loan Tape'!$R$4:$R$303)/E131,"-")</f>
        <v>12.0884796571982</v>
      </c>
      <c r="J131" s="69" t="n">
        <f aca="false">IFERROR(SUMPRODUCT((('Loan Tape'!$R$4:$R$303&lt;&gt;"")*('Loan Tape'!$AA$4:$AA$303=R131))*('Loan Tape'!$K$4:$K$303="Floating")*'Loan Tape'!$R$4:$R$303)/E131,"-")</f>
        <v>0.542118373962515</v>
      </c>
      <c r="K131" s="69" t="n">
        <f aca="false">IFERROR(SUMPRODUCT((('Loan Tape'!$R$4:$R$303&lt;&gt;"")*('Loan Tape'!$AA$4:$AA$303=R131))*'Loan Tape'!$T$4:$T$303*'Loan Tape'!$R$4:$R$303)/E131,"-")</f>
        <v>0.0880842070873536</v>
      </c>
      <c r="L131" s="69" t="n">
        <f aca="false">IFERROR(SUMPRODUCT((('Loan Tape'!$R$4:$R$303&lt;&gt;"")*('Loan Tape'!$AA$4:$AA$303=R131))*'Loan Tape'!$V$4:$V$303*'Loan Tape'!$R$4:$R$303)/E131,"-")</f>
        <v>0.70330265966126</v>
      </c>
      <c r="M131" s="69" t="n">
        <f aca="false">IFERROR(SUMPRODUCT((('Loan Tape'!$R$4:$R$303&lt;&gt;"")*('Loan Tape'!$AA$4:$AA$303=R131))*'Loan Tape'!$W$4:$W$303*'Loan Tape'!$R$4:$R$303)/E131,"-")</f>
        <v>0.736416507667149</v>
      </c>
      <c r="N131" s="69" t="n">
        <f aca="false">IFERROR(SUMPRODUCT((('Loan Tape'!$R$4:$R$303&lt;&gt;"")*('Loan Tape'!$AA$4:$AA$303=R131))*'Loan Tape'!$AI$4:$AI$303*'Loan Tape'!$R$4:$R$303)/E131,"-")</f>
        <v>0.0692055416680264</v>
      </c>
      <c r="O131" s="69" t="n">
        <f aca="false">IFERROR(SUMPRODUCT((('Loan Tape'!$R$4:$R$303&lt;&gt;"")*('Loan Tape'!$AA$4:$AA$303=R131))*'Loan Tape'!$AK$4:$AK$303*'Loan Tape'!$R$4:$R$303)/E131,"-")</f>
        <v>0.0763047908712158</v>
      </c>
      <c r="P131" s="69" t="n">
        <f aca="false">IFERROR(SUMPRODUCT((('Loan Tape'!$R$4:$R$303&lt;&gt;"")*('Loan Tape'!$AA$4:$AA$303=R131))*'Loan Tape'!$S$4:$S$303*'Loan Tape'!$R$4:$R$303)/E131,"-")</f>
        <v>0.882098601456921</v>
      </c>
      <c r="R131" s="91" t="s">
        <v>87</v>
      </c>
    </row>
    <row r="132" customFormat="false" ht="14.25" hidden="false" customHeight="false" outlineLevel="0" collapsed="false">
      <c r="B132" s="7" t="str">
        <f aca="false">R132</f>
        <v>No</v>
      </c>
      <c r="C132" s="68" t="n">
        <f aca="false">COUNTIF('Loan Tape'!$AA$4:$AA$303,R132)</f>
        <v>26</v>
      </c>
      <c r="D132" s="68" t="n">
        <f aca="false">SUMPRODUCT((('Loan Tape'!$R$4:$R$303&lt;&gt;"")*('Loan Tape'!$AA$4:$AA$303=R132))*'Loan Tape'!$F$4:$F$303)</f>
        <v>1943</v>
      </c>
      <c r="E132" s="84" t="n">
        <f aca="false">SUMIF('Loan Tape'!$AA$4:$AA$303,R132,'Loan Tape'!$R$4:$R$303)</f>
        <v>1116675000</v>
      </c>
      <c r="F132" s="69" t="n">
        <f aca="false">IFERROR(E132/C5,0)</f>
        <v>0.447455732265859</v>
      </c>
      <c r="G132" s="85" t="n">
        <f aca="false">IFERROR(SUMPRODUCT((('Loan Tape'!$R$4:$R$303&lt;&gt;"")*('Loan Tape'!$AA$4:$AA$303=R132))*'Loan Tape'!$U$4:$U$303*'Loan Tape'!$R$4:$R$303)/E132,"-")</f>
        <v>1.40787120693129</v>
      </c>
      <c r="H132" s="68" t="n">
        <f aca="false">IFERROR(SUMPRODUCT((('Loan Tape'!$R$4:$R$303&lt;&gt;"")*('Loan Tape'!$AA$4:$AA$303=R132))*'Loan Tape'!$AH$4:$AH$303*'Loan Tape'!$R$4:$R$303)/E132,"-")</f>
        <v>81.1931213647659</v>
      </c>
      <c r="I132" s="68" t="n">
        <f aca="false">IFERROR(SUMPRODUCT((('Loan Tape'!$R$4:$R$303&lt;&gt;"")*('Loan Tape'!$AA$4:$AA$303=R132))*(('Loan Tape'!$H$4:$H$303-$C$4)/30.4375)*'Loan Tape'!$R$4:$R$303)/E132,"-")</f>
        <v>24.5786863088015</v>
      </c>
      <c r="J132" s="69" t="n">
        <f aca="false">IFERROR(SUMPRODUCT((('Loan Tape'!$R$4:$R$303&lt;&gt;"")*('Loan Tape'!$AA$4:$AA$303=R132))*('Loan Tape'!$K$4:$K$303="Floating")*'Loan Tape'!$R$4:$R$303)/E132,"-")</f>
        <v>0.81557391362751</v>
      </c>
      <c r="K132" s="69" t="n">
        <f aca="false">IFERROR(SUMPRODUCT((('Loan Tape'!$R$4:$R$303&lt;&gt;"")*('Loan Tape'!$AA$4:$AA$303=R132))*'Loan Tape'!$T$4:$T$303*'Loan Tape'!$R$4:$R$303)/E132,"-")</f>
        <v>0.0837705954731681</v>
      </c>
      <c r="L132" s="69" t="n">
        <f aca="false">IFERROR(SUMPRODUCT((('Loan Tape'!$R$4:$R$303&lt;&gt;"")*('Loan Tape'!$AA$4:$AA$303=R132))*'Loan Tape'!$V$4:$V$303*'Loan Tape'!$R$4:$R$303)/E132,"-")</f>
        <v>0.659178958067477</v>
      </c>
      <c r="M132" s="69" t="n">
        <f aca="false">IFERROR(SUMPRODUCT((('Loan Tape'!$R$4:$R$303&lt;&gt;"")*('Loan Tape'!$AA$4:$AA$303=R132))*'Loan Tape'!$W$4:$W$303*'Loan Tape'!$R$4:$R$303)/E132,"-")</f>
        <v>0.691156056148835</v>
      </c>
      <c r="N132" s="69" t="n">
        <f aca="false">IFERROR(SUMPRODUCT((('Loan Tape'!$R$4:$R$303&lt;&gt;"")*('Loan Tape'!$AA$4:$AA$303=R132))*'Loan Tape'!$AI$4:$AI$303*'Loan Tape'!$R$4:$R$303)/E132,"-")</f>
        <v>0.072003384064298</v>
      </c>
      <c r="O132" s="69" t="n">
        <f aca="false">IFERROR(SUMPRODUCT((('Loan Tape'!$R$4:$R$303&lt;&gt;"")*('Loan Tape'!$AA$4:$AA$303=R132))*'Loan Tape'!$AK$4:$AK$303*'Loan Tape'!$R$4:$R$303)/E132,"-")</f>
        <v>0.0827982288490384</v>
      </c>
      <c r="P132" s="69" t="n">
        <f aca="false">IFERROR(SUMPRODUCT((('Loan Tape'!$R$4:$R$303&lt;&gt;"")*('Loan Tape'!$AA$4:$AA$303=R132))*'Loan Tape'!$S$4:$S$303*'Loan Tape'!$R$4:$R$303)/E132,"-")</f>
        <v>0.89235333825867</v>
      </c>
      <c r="R132" s="91" t="s">
        <v>238</v>
      </c>
    </row>
    <row r="133" customFormat="false" ht="14.25" hidden="false" customHeight="false" outlineLevel="0" collapsed="false">
      <c r="B133" s="7" t="s">
        <v>404</v>
      </c>
      <c r="C133" s="68" t="n">
        <f aca="false">C6-SUM(C131:C132)</f>
        <v>0</v>
      </c>
      <c r="D133" s="68" t="n">
        <f aca="false">SUM('Loan Tape'!$F$4:$F$303)-SUM(D131:D132)</f>
        <v>0</v>
      </c>
      <c r="E133" s="84" t="n">
        <f aca="false">C5-SUM(E131:E132)</f>
        <v>0</v>
      </c>
      <c r="F133" s="69" t="n">
        <f aca="false">IFERROR(E133/C5,0)</f>
        <v>0</v>
      </c>
      <c r="G133" s="85" t="str">
        <f aca="false">IFERROR(SUMPRODUCT((('Loan Tape'!$R$4:$R$303&lt;&gt;"")*(1-(('Loan Tape'!$AA$4:$AA$303=R131)+('Loan Tape'!$AA$4:$AA$303=R132))))*'Loan Tape'!$U$4:$U$303*'Loan Tape'!$R$4:$R$303)/E133,"-")</f>
        <v>-</v>
      </c>
      <c r="H133" s="68" t="str">
        <f aca="false">IFERROR(SUMPRODUCT((('Loan Tape'!$R$4:$R$303&lt;&gt;"")*(1-(('Loan Tape'!$AA$4:$AA$303=R131)+('Loan Tape'!$AA$4:$AA$303=R132))))*'Loan Tape'!$AH$4:$AH$303*'Loan Tape'!$R$4:$R$303)/E133,"-")</f>
        <v>-</v>
      </c>
      <c r="I133" s="68" t="str">
        <f aca="false">IFERROR(SUMPRODUCT((('Loan Tape'!$R$4:$R$303&lt;&gt;"")*(1-(('Loan Tape'!$AA$4:$AA$303=R131)+('Loan Tape'!$AA$4:$AA$303=R132))))*(('Loan Tape'!$H$4:$H$303-$C$4)/30.4375)*'Loan Tape'!$R$4:$R$303)/E133,"-")</f>
        <v>-</v>
      </c>
      <c r="J133" s="69" t="str">
        <f aca="false">IFERROR(SUMPRODUCT((('Loan Tape'!$R$4:$R$303&lt;&gt;"")*(1-(('Loan Tape'!$AA$4:$AA$303=R131)+('Loan Tape'!$AA$4:$AA$303=R132))))*('Loan Tape'!$K$4:$K$303="Floating")*'Loan Tape'!$R$4:$R$303)/E133,"-")</f>
        <v>-</v>
      </c>
      <c r="K133" s="69" t="str">
        <f aca="false">IFERROR(SUMPRODUCT((('Loan Tape'!$R$4:$R$303&lt;&gt;"")*(1-(('Loan Tape'!$AA$4:$AA$303=R131)+('Loan Tape'!$AA$4:$AA$303=R132))))*'Loan Tape'!$T$4:$T$303*'Loan Tape'!$R$4:$R$303)/E133,"-")</f>
        <v>-</v>
      </c>
      <c r="L133" s="69" t="str">
        <f aca="false">IFERROR(SUMPRODUCT((('Loan Tape'!$R$4:$R$303&lt;&gt;"")*(1-(('Loan Tape'!$AA$4:$AA$303=R131)+('Loan Tape'!$AA$4:$AA$303=R132))))*'Loan Tape'!$V$4:$V$303*'Loan Tape'!$R$4:$R$303)/E133,"-")</f>
        <v>-</v>
      </c>
      <c r="M133" s="69" t="str">
        <f aca="false">IFERROR(SUMPRODUCT((('Loan Tape'!$R$4:$R$303&lt;&gt;"")*(1-(('Loan Tape'!$AA$4:$AA$303=R131)+('Loan Tape'!$AA$4:$AA$303=R132))))*'Loan Tape'!$W$4:$W$303*'Loan Tape'!$R$4:$R$303)/E133,"-")</f>
        <v>-</v>
      </c>
      <c r="N133" s="69" t="str">
        <f aca="false">IFERROR(SUMPRODUCT((('Loan Tape'!$R$4:$R$303&lt;&gt;"")*(1-(('Loan Tape'!$AA$4:$AA$303=R131)+('Loan Tape'!$AA$4:$AA$303=R132))))*'Loan Tape'!$AI$4:$AI$303*'Loan Tape'!$R$4:$R$303)/E133,"-")</f>
        <v>-</v>
      </c>
      <c r="O133" s="69" t="str">
        <f aca="false">IFERROR(SUMPRODUCT((('Loan Tape'!$R$4:$R$303&lt;&gt;"")*(1-(('Loan Tape'!$AA$4:$AA$303=R131)+('Loan Tape'!$AA$4:$AA$303=R132))))*'Loan Tape'!$AK$4:$AK$303*'Loan Tape'!$R$4:$R$303)/E133,"-")</f>
        <v>-</v>
      </c>
      <c r="P133" s="69" t="str">
        <f aca="false">IFERROR(SUMPRODUCT((('Loan Tape'!$R$4:$R$303&lt;&gt;"")*(1-(('Loan Tape'!$AA$4:$AA$303=R131)+('Loan Tape'!$AA$4:$AA$303=R132))))*'Loan Tape'!$S$4:$S$303*'Loan Tape'!$R$4:$R$303)/E133,"-")</f>
        <v>-</v>
      </c>
    </row>
    <row r="134" customFormat="false" ht="14.25" hidden="false" customHeight="false" outlineLevel="0" collapsed="false">
      <c r="B134" s="86" t="s">
        <v>405</v>
      </c>
      <c r="C134" s="92" t="n">
        <f aca="false">C6</f>
        <v>50</v>
      </c>
      <c r="D134" s="92" t="n">
        <f aca="false">SUM('Loan Tape'!$F$4:$F$303)</f>
        <v>4739</v>
      </c>
      <c r="E134" s="88" t="n">
        <f aca="false">C5</f>
        <v>2495610000</v>
      </c>
      <c r="F134" s="89" t="n">
        <f aca="false">1</f>
        <v>1</v>
      </c>
      <c r="G134" s="90" t="n">
        <f aca="false">IFERROR(SUMPRODUCT((('Loan Tape'!$R$4:$R$303&lt;&gt;""))*'Loan Tape'!$U$4:$U$303*'Loan Tape'!$R$4:$R$303)/E134,"-")</f>
        <v>1.36575944157941</v>
      </c>
      <c r="H134" s="92" t="n">
        <f aca="false">IFERROR(SUMPRODUCT((('Loan Tape'!$R$4:$R$303&lt;&gt;""))*'Loan Tape'!$AH$4:$AH$303*'Loan Tape'!$R$4:$R$303)/E134,"-")</f>
        <v>76.5147345138063</v>
      </c>
      <c r="I134" s="92" t="n">
        <f aca="false">IFERROR(SUMPRODUCT((('Loan Tape'!$R$4:$R$303&lt;&gt;""))*(('Loan Tape'!$H$4:$H$303-$C$4)/30.4375)*'Loan Tape'!$R$4:$R$303)/E134,"-")</f>
        <v>17.6772942206432</v>
      </c>
      <c r="J134" s="89" t="n">
        <f aca="false">IFERROR(SUMPRODUCT((('Loan Tape'!$R$4:$R$303&lt;&gt;""))*('Loan Tape'!$K$4:$K$303="Floating")*'Loan Tape'!$R$4:$R$303)/E134,"-")</f>
        <v>0.664477622705471</v>
      </c>
      <c r="K134" s="89" t="n">
        <f aca="false">IFERROR(SUMPRODUCT((('Loan Tape'!$R$4:$R$303&lt;&gt;""))*'Loan Tape'!$T$4:$T$303*'Loan Tape'!$R$4:$R$303)/E134,"-")</f>
        <v>0.0861540568438177</v>
      </c>
      <c r="L134" s="89" t="n">
        <f aca="false">IFERROR(SUMPRODUCT((('Loan Tape'!$R$4:$R$303&lt;&gt;""))*'Loan Tape'!$V$4:$V$303*'Loan Tape'!$R$4:$R$303)/E134,"-")</f>
        <v>0.683559256454334</v>
      </c>
      <c r="M134" s="89" t="n">
        <f aca="false">IFERROR(SUMPRODUCT((('Loan Tape'!$R$4:$R$303&lt;&gt;""))*'Loan Tape'!$W$4:$W$303*'Loan Tape'!$R$4:$R$303)/E134,"-")</f>
        <v>0.716164459190338</v>
      </c>
      <c r="N134" s="89" t="n">
        <f aca="false">IFERROR(SUMPRODUCT((('Loan Tape'!$R$4:$R$303&lt;&gt;""))*'Loan Tape'!$AI$4:$AI$303*'Loan Tape'!$R$4:$R$303)/E134,"-")</f>
        <v>0.0704574522862146</v>
      </c>
      <c r="O134" s="89" t="n">
        <f aca="false">IFERROR(SUMPRODUCT((('Loan Tape'!$R$4:$R$303&lt;&gt;""))*'Loan Tape'!$AK$4:$AK$303*'Loan Tape'!$R$4:$R$303)/E134,"-")</f>
        <v>0.0792103169165054</v>
      </c>
      <c r="P134" s="89" t="n">
        <f aca="false">IFERROR(SUMPRODUCT((('Loan Tape'!$R$4:$R$303&lt;&gt;""))*'Loan Tape'!$S$4:$S$303*'Loan Tape'!$R$4:$R$303)/E134,"-")</f>
        <v>0.886687142221741</v>
      </c>
    </row>
    <row r="136" customFormat="false" ht="19.5" hidden="false" customHeight="true" outlineLevel="0" collapsed="false">
      <c r="B136" s="5" t="s">
        <v>419</v>
      </c>
      <c r="C136" s="5"/>
      <c r="D136" s="5"/>
      <c r="E136" s="5"/>
      <c r="F136" s="5"/>
      <c r="G136" s="5"/>
      <c r="H136" s="5"/>
      <c r="I136" s="5"/>
      <c r="J136" s="5"/>
      <c r="K136" s="5"/>
      <c r="L136" s="5"/>
      <c r="M136" s="5"/>
      <c r="N136" s="5"/>
      <c r="O136" s="5"/>
      <c r="P136" s="5"/>
    </row>
    <row r="137" customFormat="false" ht="42" hidden="false" customHeight="true" outlineLevel="0" collapsed="false">
      <c r="B137" s="82" t="s">
        <v>392</v>
      </c>
      <c r="C137" s="83" t="s">
        <v>368</v>
      </c>
      <c r="D137" s="83" t="s">
        <v>153</v>
      </c>
      <c r="E137" s="83" t="s">
        <v>393</v>
      </c>
      <c r="F137" s="83" t="s">
        <v>394</v>
      </c>
      <c r="G137" s="83" t="s">
        <v>395</v>
      </c>
      <c r="H137" s="83" t="s">
        <v>396</v>
      </c>
      <c r="I137" s="83" t="s">
        <v>397</v>
      </c>
      <c r="J137" s="83" t="s">
        <v>398</v>
      </c>
      <c r="K137" s="83" t="s">
        <v>399</v>
      </c>
      <c r="L137" s="83" t="s">
        <v>400</v>
      </c>
      <c r="M137" s="83" t="s">
        <v>401</v>
      </c>
      <c r="N137" s="83" t="s">
        <v>402</v>
      </c>
      <c r="O137" s="83" t="s">
        <v>403</v>
      </c>
      <c r="P137" s="83" t="s">
        <v>365</v>
      </c>
    </row>
    <row r="138" customFormat="false" ht="14.25" hidden="false" customHeight="false" outlineLevel="0" collapsed="false">
      <c r="B138" s="7" t="str">
        <f aca="false">R138</f>
        <v>Prepayable with Penalty</v>
      </c>
      <c r="C138" s="68" t="n">
        <f aca="false">COUNTIF('Loan Tape'!$AB$4:$AB$303,R138)</f>
        <v>16</v>
      </c>
      <c r="D138" s="68" t="n">
        <f aca="false">SUMPRODUCT((('Loan Tape'!$R$4:$R$303&lt;&gt;"")*('Loan Tape'!$AB$4:$AB$303=R138))*'Loan Tape'!$F$4:$F$303)</f>
        <v>1628</v>
      </c>
      <c r="E138" s="84" t="n">
        <f aca="false">SUMIF('Loan Tape'!$AB$4:$AB$303,R138,'Loan Tape'!$R$4:$R$303)</f>
        <v>392405000</v>
      </c>
      <c r="F138" s="69" t="n">
        <f aca="false">IFERROR(E138/C5,0)</f>
        <v>0.157238110121373</v>
      </c>
      <c r="G138" s="85" t="n">
        <f aca="false">IFERROR(SUMPRODUCT((('Loan Tape'!$R$4:$R$303&lt;&gt;"")*('Loan Tape'!$AB$4:$AB$303=R138))*'Loan Tape'!$U$4:$U$303*'Loan Tape'!$R$4:$R$303)/E138,"-")</f>
        <v>1.49771164995349</v>
      </c>
      <c r="H138" s="68" t="n">
        <f aca="false">IFERROR(SUMPRODUCT((('Loan Tape'!$R$4:$R$303&lt;&gt;"")*('Loan Tape'!$AB$4:$AB$303=R138))*'Loan Tape'!$AH$4:$AH$303*'Loan Tape'!$R$4:$R$303)/E138,"-")</f>
        <v>92.4705763178349</v>
      </c>
      <c r="I138" s="68" t="n">
        <f aca="false">IFERROR(SUMPRODUCT((('Loan Tape'!$R$4:$R$303&lt;&gt;"")*('Loan Tape'!$AB$4:$AB$303=R138))*(('Loan Tape'!$H$4:$H$303-$C$4)/30.4375)*'Loan Tape'!$R$4:$R$303)/E138,"-")</f>
        <v>-5.45381492694173</v>
      </c>
      <c r="J138" s="69" t="n">
        <f aca="false">IFERROR(SUMPRODUCT((('Loan Tape'!$R$4:$R$303&lt;&gt;"")*('Loan Tape'!$AB$4:$AB$303=R138))*('Loan Tape'!$K$4:$K$303="Floating")*'Loan Tape'!$R$4:$R$303)/E138,"-")</f>
        <v>0.829627553165734</v>
      </c>
      <c r="K138" s="69" t="n">
        <f aca="false">IFERROR(SUMPRODUCT((('Loan Tape'!$R$4:$R$303&lt;&gt;"")*('Loan Tape'!$AB$4:$AB$303=R138))*'Loan Tape'!$T$4:$T$303*'Loan Tape'!$R$4:$R$303)/E138,"-")</f>
        <v>0.0876897559918961</v>
      </c>
      <c r="L138" s="69" t="n">
        <f aca="false">IFERROR(SUMPRODUCT((('Loan Tape'!$R$4:$R$303&lt;&gt;"")*('Loan Tape'!$AB$4:$AB$303=R138))*'Loan Tape'!$V$4:$V$303*'Loan Tape'!$R$4:$R$303)/E138,"-")</f>
        <v>0.669517669244785</v>
      </c>
      <c r="M138" s="69" t="n">
        <f aca="false">IFERROR(SUMPRODUCT((('Loan Tape'!$R$4:$R$303&lt;&gt;"")*('Loan Tape'!$AB$4:$AB$303=R138))*'Loan Tape'!$W$4:$W$303*'Loan Tape'!$R$4:$R$303)/E138,"-")</f>
        <v>0.702287631401231</v>
      </c>
      <c r="N138" s="69" t="n">
        <f aca="false">IFERROR(SUMPRODUCT((('Loan Tape'!$R$4:$R$303&lt;&gt;"")*('Loan Tape'!$AB$4:$AB$303=R138))*'Loan Tape'!$AI$4:$AI$303*'Loan Tape'!$R$4:$R$303)/E138,"-")</f>
        <v>0.0704209576840254</v>
      </c>
      <c r="O138" s="69" t="n">
        <f aca="false">IFERROR(SUMPRODUCT((('Loan Tape'!$R$4:$R$303&lt;&gt;"")*('Loan Tape'!$AB$4:$AB$303=R138))*'Loan Tape'!$AK$4:$AK$303*'Loan Tape'!$R$4:$R$303)/E138,"-")</f>
        <v>0.079391832927715</v>
      </c>
      <c r="P138" s="69" t="n">
        <f aca="false">IFERROR(SUMPRODUCT((('Loan Tape'!$R$4:$R$303&lt;&gt;"")*('Loan Tape'!$AB$4:$AB$303=R138))*'Loan Tape'!$S$4:$S$303*'Loan Tape'!$R$4:$R$303)/E138,"-")</f>
        <v>0.911878951593379</v>
      </c>
      <c r="R138" s="91" t="s">
        <v>223</v>
      </c>
    </row>
    <row r="139" customFormat="false" ht="14.25" hidden="false" customHeight="false" outlineLevel="0" collapsed="false">
      <c r="B139" s="7" t="str">
        <f aca="false">R139</f>
        <v>Freely Prepayable</v>
      </c>
      <c r="C139" s="68" t="n">
        <f aca="false">COUNTIF('Loan Tape'!$AB$4:$AB$303,R139)</f>
        <v>7</v>
      </c>
      <c r="D139" s="68" t="n">
        <f aca="false">SUMPRODUCT((('Loan Tape'!$R$4:$R$303&lt;&gt;"")*('Loan Tape'!$AB$4:$AB$303=R139))*'Loan Tape'!$F$4:$F$303)</f>
        <v>323</v>
      </c>
      <c r="E139" s="84" t="n">
        <f aca="false">SUMIF('Loan Tape'!$AB$4:$AB$303,R139,'Loan Tape'!$R$4:$R$303)</f>
        <v>446510000</v>
      </c>
      <c r="F139" s="69" t="n">
        <f aca="false">IFERROR(E139/C5,0)</f>
        <v>0.17891818032465</v>
      </c>
      <c r="G139" s="85" t="n">
        <f aca="false">IFERROR(SUMPRODUCT((('Loan Tape'!$R$4:$R$303&lt;&gt;"")*('Loan Tape'!$AB$4:$AB$303=R139))*'Loan Tape'!$U$4:$U$303*'Loan Tape'!$R$4:$R$303)/E139,"-")</f>
        <v>1.674755794943</v>
      </c>
      <c r="H139" s="68" t="n">
        <f aca="false">IFERROR(SUMPRODUCT((('Loan Tape'!$R$4:$R$303&lt;&gt;"")*('Loan Tape'!$AB$4:$AB$303=R139))*'Loan Tape'!$AH$4:$AH$303*'Loan Tape'!$R$4:$R$303)/E139,"-")</f>
        <v>45.8587693444716</v>
      </c>
      <c r="I139" s="68" t="n">
        <f aca="false">IFERROR(SUMPRODUCT((('Loan Tape'!$R$4:$R$303&lt;&gt;"")*('Loan Tape'!$AB$4:$AB$303=R139))*(('Loan Tape'!$H$4:$H$303-$C$4)/30.4375)*'Loan Tape'!$R$4:$R$303)/E139,"-")</f>
        <v>51.1289995597616</v>
      </c>
      <c r="J139" s="69" t="n">
        <f aca="false">IFERROR(SUMPRODUCT((('Loan Tape'!$R$4:$R$303&lt;&gt;"")*('Loan Tape'!$AB$4:$AB$303=R139))*('Loan Tape'!$K$4:$K$303="Floating")*'Loan Tape'!$R$4:$R$303)/E139,"-")</f>
        <v>0.675917672616515</v>
      </c>
      <c r="K139" s="69" t="n">
        <f aca="false">IFERROR(SUMPRODUCT((('Loan Tape'!$R$4:$R$303&lt;&gt;"")*('Loan Tape'!$AB$4:$AB$303=R139))*'Loan Tape'!$T$4:$T$303*'Loan Tape'!$R$4:$R$303)/E139,"-")</f>
        <v>0.0906535448254239</v>
      </c>
      <c r="L139" s="69" t="n">
        <f aca="false">IFERROR(SUMPRODUCT((('Loan Tape'!$R$4:$R$303&lt;&gt;"")*('Loan Tape'!$AB$4:$AB$303=R139))*'Loan Tape'!$V$4:$V$303*'Loan Tape'!$R$4:$R$303)/E139,"-")</f>
        <v>0.727874591834449</v>
      </c>
      <c r="M139" s="69" t="n">
        <f aca="false">IFERROR(SUMPRODUCT((('Loan Tape'!$R$4:$R$303&lt;&gt;"")*('Loan Tape'!$AB$4:$AB$303=R139))*'Loan Tape'!$W$4:$W$303*'Loan Tape'!$R$4:$R$303)/E139,"-")</f>
        <v>0.752905710958321</v>
      </c>
      <c r="N139" s="69" t="n">
        <f aca="false">IFERROR(SUMPRODUCT((('Loan Tape'!$R$4:$R$303&lt;&gt;"")*('Loan Tape'!$AB$4:$AB$303=R139))*'Loan Tape'!$AI$4:$AI$303*'Loan Tape'!$R$4:$R$303)/E139,"-")</f>
        <v>0.071023036886072</v>
      </c>
      <c r="O139" s="69" t="n">
        <f aca="false">IFERROR(SUMPRODUCT((('Loan Tape'!$R$4:$R$303&lt;&gt;"")*('Loan Tape'!$AB$4:$AB$303=R139))*'Loan Tape'!$AK$4:$AK$303*'Loan Tape'!$R$4:$R$303)/E139,"-")</f>
        <v>0.0811307533985801</v>
      </c>
      <c r="P139" s="69" t="n">
        <f aca="false">IFERROR(SUMPRODUCT((('Loan Tape'!$R$4:$R$303&lt;&gt;"")*('Loan Tape'!$AB$4:$AB$303=R139))*'Loan Tape'!$S$4:$S$303*'Loan Tape'!$R$4:$R$303)/E139,"-")</f>
        <v>0.869720888669907</v>
      </c>
      <c r="R139" s="91" t="s">
        <v>212</v>
      </c>
    </row>
    <row r="140" customFormat="false" ht="14.25" hidden="false" customHeight="false" outlineLevel="0" collapsed="false">
      <c r="B140" s="7" t="str">
        <f aca="false">R140</f>
        <v>Defeasance</v>
      </c>
      <c r="C140" s="68" t="n">
        <f aca="false">COUNTIF('Loan Tape'!$AB$4:$AB$303,R140)</f>
        <v>17</v>
      </c>
      <c r="D140" s="68" t="n">
        <f aca="false">SUMPRODUCT((('Loan Tape'!$R$4:$R$303&lt;&gt;"")*('Loan Tape'!$AB$4:$AB$303=R140))*'Loan Tape'!$F$4:$F$303)</f>
        <v>2088</v>
      </c>
      <c r="E140" s="84" t="n">
        <f aca="false">SUMIF('Loan Tape'!$AB$4:$AB$303,R140,'Loan Tape'!$R$4:$R$303)</f>
        <v>859502000</v>
      </c>
      <c r="F140" s="69" t="n">
        <f aca="false">IFERROR(E140/C5,0)</f>
        <v>0.344405576191793</v>
      </c>
      <c r="G140" s="85" t="n">
        <f aca="false">IFERROR(SUMPRODUCT((('Loan Tape'!$R$4:$R$303&lt;&gt;"")*('Loan Tape'!$AB$4:$AB$303=R140))*'Loan Tape'!$U$4:$U$303*'Loan Tape'!$R$4:$R$303)/E140,"-")</f>
        <v>1.29349949156605</v>
      </c>
      <c r="H140" s="68" t="n">
        <f aca="false">IFERROR(SUMPRODUCT((('Loan Tape'!$R$4:$R$303&lt;&gt;"")*('Loan Tape'!$AB$4:$AB$303=R140))*'Loan Tape'!$AH$4:$AH$303*'Loan Tape'!$R$4:$R$303)/E140,"-")</f>
        <v>82.4622290582221</v>
      </c>
      <c r="I140" s="68" t="n">
        <f aca="false">IFERROR(SUMPRODUCT((('Loan Tape'!$R$4:$R$303&lt;&gt;"")*('Loan Tape'!$AB$4:$AB$303=R140))*(('Loan Tape'!$H$4:$H$303-$C$4)/30.4375)*'Loan Tape'!$R$4:$R$303)/E140,"-")</f>
        <v>10.790464085031</v>
      </c>
      <c r="J140" s="69" t="n">
        <f aca="false">IFERROR(SUMPRODUCT((('Loan Tape'!$R$4:$R$303&lt;&gt;"")*('Loan Tape'!$AB$4:$AB$303=R140))*('Loan Tape'!$K$4:$K$303="Floating")*'Loan Tape'!$R$4:$R$303)/E140,"-")</f>
        <v>0.642156737273444</v>
      </c>
      <c r="K140" s="69" t="n">
        <f aca="false">IFERROR(SUMPRODUCT((('Loan Tape'!$R$4:$R$303&lt;&gt;"")*('Loan Tape'!$AB$4:$AB$303=R140))*'Loan Tape'!$T$4:$T$303*'Loan Tape'!$R$4:$R$303)/E140,"-")</f>
        <v>0.072430174217163</v>
      </c>
      <c r="L140" s="69" t="n">
        <f aca="false">IFERROR(SUMPRODUCT((('Loan Tape'!$R$4:$R$303&lt;&gt;"")*('Loan Tape'!$AB$4:$AB$303=R140))*'Loan Tape'!$V$4:$V$303*'Loan Tape'!$R$4:$R$303)/E140,"-")</f>
        <v>0.712017128523261</v>
      </c>
      <c r="M140" s="69" t="n">
        <f aca="false">IFERROR(SUMPRODUCT((('Loan Tape'!$R$4:$R$303&lt;&gt;"")*('Loan Tape'!$AB$4:$AB$303=R140))*'Loan Tape'!$W$4:$W$303*'Loan Tape'!$R$4:$R$303)/E140,"-")</f>
        <v>0.747566408222436</v>
      </c>
      <c r="N140" s="69" t="n">
        <f aca="false">IFERROR(SUMPRODUCT((('Loan Tape'!$R$4:$R$303&lt;&gt;"")*('Loan Tape'!$AB$4:$AB$303=R140))*'Loan Tape'!$AI$4:$AI$303*'Loan Tape'!$R$4:$R$303)/E140,"-")</f>
        <v>0.0722271288490312</v>
      </c>
      <c r="O140" s="69" t="n">
        <f aca="false">IFERROR(SUMPRODUCT((('Loan Tape'!$R$4:$R$303&lt;&gt;"")*('Loan Tape'!$AB$4:$AB$303=R140))*'Loan Tape'!$AK$4:$AK$303*'Loan Tape'!$R$4:$R$303)/E140,"-")</f>
        <v>0.0801579926515587</v>
      </c>
      <c r="P140" s="69" t="n">
        <f aca="false">IFERROR(SUMPRODUCT((('Loan Tape'!$R$4:$R$303&lt;&gt;"")*('Loan Tape'!$AB$4:$AB$303=R140))*'Loan Tape'!$S$4:$S$303*'Loan Tape'!$R$4:$R$303)/E140,"-")</f>
        <v>0.872803595570458</v>
      </c>
      <c r="R140" s="91" t="s">
        <v>231</v>
      </c>
    </row>
    <row r="141" customFormat="false" ht="14.25" hidden="false" customHeight="false" outlineLevel="0" collapsed="false">
      <c r="B141" s="7" t="str">
        <f aca="false">R141</f>
        <v>Yield Maintenance</v>
      </c>
      <c r="C141" s="68" t="n">
        <f aca="false">COUNTIF('Loan Tape'!$AB$4:$AB$303,R141)</f>
        <v>10</v>
      </c>
      <c r="D141" s="68" t="n">
        <f aca="false">SUMPRODUCT((('Loan Tape'!$R$4:$R$303&lt;&gt;"")*('Loan Tape'!$AB$4:$AB$303=R141))*'Loan Tape'!$F$4:$F$303)</f>
        <v>700</v>
      </c>
      <c r="E141" s="84" t="n">
        <f aca="false">SUMIF('Loan Tape'!$AB$4:$AB$303,R141,'Loan Tape'!$R$4:$R$303)</f>
        <v>797193000</v>
      </c>
      <c r="F141" s="69" t="n">
        <f aca="false">IFERROR(E141/C5,0)</f>
        <v>0.319438133362184</v>
      </c>
      <c r="G141" s="85" t="n">
        <f aca="false">IFERROR(SUMPRODUCT((('Loan Tape'!$R$4:$R$303&lt;&gt;"")*('Loan Tape'!$AB$4:$AB$303=R141))*'Loan Tape'!$U$4:$U$303*'Loan Tape'!$R$4:$R$303)/E141,"-")</f>
        <v>1.20564627386342</v>
      </c>
      <c r="H141" s="68" t="n">
        <f aca="false">IFERROR(SUMPRODUCT((('Loan Tape'!$R$4:$R$303&lt;&gt;"")*('Loan Tape'!$AB$4:$AB$303=R141))*'Loan Tape'!$AH$4:$AH$303*'Loan Tape'!$R$4:$R$303)/E141,"-")</f>
        <v>79.4188737231762</v>
      </c>
      <c r="I141" s="68" t="n">
        <f aca="false">IFERROR(SUMPRODUCT((('Loan Tape'!$R$4:$R$303&lt;&gt;"")*('Loan Tape'!$AB$4:$AB$303=R141))*(('Loan Tape'!$H$4:$H$303-$C$4)/30.4375)*'Loan Tape'!$R$4:$R$303)/E141,"-")</f>
        <v>17.7519138037396</v>
      </c>
      <c r="J141" s="69" t="n">
        <f aca="false">IFERROR(SUMPRODUCT((('Loan Tape'!$R$4:$R$303&lt;&gt;"")*('Loan Tape'!$AB$4:$AB$303=R141))*('Loan Tape'!$K$4:$K$303="Floating")*'Loan Tape'!$R$4:$R$303)/E141,"-")</f>
        <v>0.600843208608204</v>
      </c>
      <c r="K141" s="69" t="n">
        <f aca="false">IFERROR(SUMPRODUCT((('Loan Tape'!$R$4:$R$303&lt;&gt;"")*('Loan Tape'!$AB$4:$AB$303=R141))*'Loan Tape'!$T$4:$T$303*'Loan Tape'!$R$4:$R$303)/E141,"-")</f>
        <v>0.0976745069261772</v>
      </c>
      <c r="L141" s="69" t="n">
        <f aca="false">IFERROR(SUMPRODUCT((('Loan Tape'!$R$4:$R$303&lt;&gt;"")*('Loan Tape'!$AB$4:$AB$303=R141))*'Loan Tape'!$V$4:$V$303*'Loan Tape'!$R$4:$R$303)/E141,"-")</f>
        <v>0.634967699164443</v>
      </c>
      <c r="M141" s="69" t="n">
        <f aca="false">IFERROR(SUMPRODUCT((('Loan Tape'!$R$4:$R$303&lt;&gt;"")*('Loan Tape'!$AB$4:$AB$303=R141))*'Loan Tape'!$W$4:$W$303*'Loan Tape'!$R$4:$R$303)/E141,"-")</f>
        <v>0.668559879477115</v>
      </c>
      <c r="N141" s="69" t="n">
        <f aca="false">IFERROR(SUMPRODUCT((('Loan Tape'!$R$4:$R$303&lt;&gt;"")*('Loan Tape'!$AB$4:$AB$303=R141))*'Loan Tape'!$AI$4:$AI$303*'Loan Tape'!$R$4:$R$303)/E141,"-")</f>
        <v>0.0682506352915793</v>
      </c>
      <c r="O141" s="69" t="n">
        <f aca="false">IFERROR(SUMPRODUCT((('Loan Tape'!$R$4:$R$303&lt;&gt;"")*('Loan Tape'!$AB$4:$AB$303=R141))*'Loan Tape'!$AK$4:$AK$303*'Loan Tape'!$R$4:$R$303)/E141,"-")</f>
        <v>0.0770235803625973</v>
      </c>
      <c r="P141" s="69" t="n">
        <f aca="false">IFERROR(SUMPRODUCT((('Loan Tape'!$R$4:$R$303&lt;&gt;"")*('Loan Tape'!$AB$4:$AB$303=R141))*'Loan Tape'!$S$4:$S$303*'Loan Tape'!$R$4:$R$303)/E141,"-")</f>
        <v>0.89875842989088</v>
      </c>
      <c r="R141" s="91" t="s">
        <v>275</v>
      </c>
    </row>
    <row r="142" customFormat="false" ht="14.25" hidden="false" customHeight="false" outlineLevel="0" collapsed="false">
      <c r="B142" s="7" t="s">
        <v>407</v>
      </c>
      <c r="C142" s="68" t="n">
        <f aca="false">C6-SUM(C138:C141)</f>
        <v>0</v>
      </c>
      <c r="D142" s="68" t="n">
        <f aca="false">SUM('Loan Tape'!$F$4:$F$303)-SUM(D138:D141)</f>
        <v>0</v>
      </c>
      <c r="E142" s="84" t="n">
        <f aca="false">C5-SUM(E138:E141)</f>
        <v>0</v>
      </c>
      <c r="F142" s="69" t="n">
        <f aca="false">IFERROR(E142/C5,0)</f>
        <v>0</v>
      </c>
      <c r="G142" s="85" t="str">
        <f aca="false">IFERROR(SUMPRODUCT((('Loan Tape'!$R$4:$R$303&lt;&gt;"")*(1-(('Loan Tape'!$AB$4:$AB$303=R138)+('Loan Tape'!$AB$4:$AB$303=R139)+('Loan Tape'!$AB$4:$AB$303=R140)+('Loan Tape'!$AB$4:$AB$303=R141))))*'Loan Tape'!$U$4:$U$303*'Loan Tape'!$R$4:$R$303)/E142,"-")</f>
        <v>-</v>
      </c>
      <c r="H142" s="68" t="str">
        <f aca="false">IFERROR(SUMPRODUCT((('Loan Tape'!$R$4:$R$303&lt;&gt;"")*(1-(('Loan Tape'!$AB$4:$AB$303=R138)+('Loan Tape'!$AB$4:$AB$303=R139)+('Loan Tape'!$AB$4:$AB$303=R140)+('Loan Tape'!$AB$4:$AB$303=R141))))*'Loan Tape'!$AH$4:$AH$303*'Loan Tape'!$R$4:$R$303)/E142,"-")</f>
        <v>-</v>
      </c>
      <c r="I142" s="68" t="str">
        <f aca="false">IFERROR(SUMPRODUCT((('Loan Tape'!$R$4:$R$303&lt;&gt;"")*(1-(('Loan Tape'!$AB$4:$AB$303=R138)+('Loan Tape'!$AB$4:$AB$303=R139)+('Loan Tape'!$AB$4:$AB$303=R140)+('Loan Tape'!$AB$4:$AB$303=R141))))*(('Loan Tape'!$H$4:$H$303-$C$4)/30.4375)*'Loan Tape'!$R$4:$R$303)/E142,"-")</f>
        <v>-</v>
      </c>
      <c r="J142" s="69" t="str">
        <f aca="false">IFERROR(SUMPRODUCT((('Loan Tape'!$R$4:$R$303&lt;&gt;"")*(1-(('Loan Tape'!$AB$4:$AB$303=R138)+('Loan Tape'!$AB$4:$AB$303=R139)+('Loan Tape'!$AB$4:$AB$303=R140)+('Loan Tape'!$AB$4:$AB$303=R141))))*('Loan Tape'!$K$4:$K$303="Floating")*'Loan Tape'!$R$4:$R$303)/E142,"-")</f>
        <v>-</v>
      </c>
      <c r="K142" s="69" t="str">
        <f aca="false">IFERROR(SUMPRODUCT((('Loan Tape'!$R$4:$R$303&lt;&gt;"")*(1-(('Loan Tape'!$AB$4:$AB$303=R138)+('Loan Tape'!$AB$4:$AB$303=R139)+('Loan Tape'!$AB$4:$AB$303=R140)+('Loan Tape'!$AB$4:$AB$303=R141))))*'Loan Tape'!$T$4:$T$303*'Loan Tape'!$R$4:$R$303)/E142,"-")</f>
        <v>-</v>
      </c>
      <c r="L142" s="69" t="str">
        <f aca="false">IFERROR(SUMPRODUCT((('Loan Tape'!$R$4:$R$303&lt;&gt;"")*(1-(('Loan Tape'!$AB$4:$AB$303=R138)+('Loan Tape'!$AB$4:$AB$303=R139)+('Loan Tape'!$AB$4:$AB$303=R140)+('Loan Tape'!$AB$4:$AB$303=R141))))*'Loan Tape'!$V$4:$V$303*'Loan Tape'!$R$4:$R$303)/E142,"-")</f>
        <v>-</v>
      </c>
      <c r="M142" s="69" t="str">
        <f aca="false">IFERROR(SUMPRODUCT((('Loan Tape'!$R$4:$R$303&lt;&gt;"")*(1-(('Loan Tape'!$AB$4:$AB$303=R138)+('Loan Tape'!$AB$4:$AB$303=R139)+('Loan Tape'!$AB$4:$AB$303=R140)+('Loan Tape'!$AB$4:$AB$303=R141))))*'Loan Tape'!$W$4:$W$303*'Loan Tape'!$R$4:$R$303)/E142,"-")</f>
        <v>-</v>
      </c>
      <c r="N142" s="69" t="str">
        <f aca="false">IFERROR(SUMPRODUCT((('Loan Tape'!$R$4:$R$303&lt;&gt;"")*(1-(('Loan Tape'!$AB$4:$AB$303=R138)+('Loan Tape'!$AB$4:$AB$303=R139)+('Loan Tape'!$AB$4:$AB$303=R140)+('Loan Tape'!$AB$4:$AB$303=R141))))*'Loan Tape'!$AI$4:$AI$303*'Loan Tape'!$R$4:$R$303)/E142,"-")</f>
        <v>-</v>
      </c>
      <c r="O142" s="69" t="str">
        <f aca="false">IFERROR(SUMPRODUCT((('Loan Tape'!$R$4:$R$303&lt;&gt;"")*(1-(('Loan Tape'!$AB$4:$AB$303=R138)+('Loan Tape'!$AB$4:$AB$303=R139)+('Loan Tape'!$AB$4:$AB$303=R140)+('Loan Tape'!$AB$4:$AB$303=R141))))*'Loan Tape'!$AK$4:$AK$303*'Loan Tape'!$R$4:$R$303)/E142,"-")</f>
        <v>-</v>
      </c>
      <c r="P142" s="69" t="str">
        <f aca="false">IFERROR(SUMPRODUCT((('Loan Tape'!$R$4:$R$303&lt;&gt;"")*(1-(('Loan Tape'!$AB$4:$AB$303=R138)+('Loan Tape'!$AB$4:$AB$303=R139)+('Loan Tape'!$AB$4:$AB$303=R140)+('Loan Tape'!$AB$4:$AB$303=R141))))*'Loan Tape'!$S$4:$S$303*'Loan Tape'!$R$4:$R$303)/E142,"-")</f>
        <v>-</v>
      </c>
    </row>
    <row r="143" customFormat="false" ht="14.25" hidden="false" customHeight="false" outlineLevel="0" collapsed="false">
      <c r="B143" s="86" t="s">
        <v>405</v>
      </c>
      <c r="C143" s="92" t="n">
        <f aca="false">C6</f>
        <v>50</v>
      </c>
      <c r="D143" s="92" t="n">
        <f aca="false">SUM('Loan Tape'!$F$4:$F$303)</f>
        <v>4739</v>
      </c>
      <c r="E143" s="88" t="n">
        <f aca="false">C5</f>
        <v>2495610000</v>
      </c>
      <c r="F143" s="89" t="n">
        <f aca="false">1</f>
        <v>1</v>
      </c>
      <c r="G143" s="90" t="n">
        <f aca="false">IFERROR(SUMPRODUCT((('Loan Tape'!$R$4:$R$303&lt;&gt;""))*'Loan Tape'!$U$4:$U$303*'Loan Tape'!$R$4:$R$303)/E143,"-")</f>
        <v>1.36575944157941</v>
      </c>
      <c r="H143" s="92" t="n">
        <f aca="false">IFERROR(SUMPRODUCT((('Loan Tape'!$R$4:$R$303&lt;&gt;""))*'Loan Tape'!$AH$4:$AH$303*'Loan Tape'!$R$4:$R$303)/E143,"-")</f>
        <v>76.5147345138063</v>
      </c>
      <c r="I143" s="92" t="n">
        <f aca="false">IFERROR(SUMPRODUCT((('Loan Tape'!$R$4:$R$303&lt;&gt;""))*(('Loan Tape'!$H$4:$H$303-$C$4)/30.4375)*'Loan Tape'!$R$4:$R$303)/E143,"-")</f>
        <v>17.6772942206432</v>
      </c>
      <c r="J143" s="89" t="n">
        <f aca="false">IFERROR(SUMPRODUCT((('Loan Tape'!$R$4:$R$303&lt;&gt;""))*('Loan Tape'!$K$4:$K$303="Floating")*'Loan Tape'!$R$4:$R$303)/E143,"-")</f>
        <v>0.664477622705471</v>
      </c>
      <c r="K143" s="89" t="n">
        <f aca="false">IFERROR(SUMPRODUCT((('Loan Tape'!$R$4:$R$303&lt;&gt;""))*'Loan Tape'!$T$4:$T$303*'Loan Tape'!$R$4:$R$303)/E143,"-")</f>
        <v>0.0861540568438177</v>
      </c>
      <c r="L143" s="89" t="n">
        <f aca="false">IFERROR(SUMPRODUCT((('Loan Tape'!$R$4:$R$303&lt;&gt;""))*'Loan Tape'!$V$4:$V$303*'Loan Tape'!$R$4:$R$303)/E143,"-")</f>
        <v>0.683559256454334</v>
      </c>
      <c r="M143" s="89" t="n">
        <f aca="false">IFERROR(SUMPRODUCT((('Loan Tape'!$R$4:$R$303&lt;&gt;""))*'Loan Tape'!$W$4:$W$303*'Loan Tape'!$R$4:$R$303)/E143,"-")</f>
        <v>0.716164459190338</v>
      </c>
      <c r="N143" s="89" t="n">
        <f aca="false">IFERROR(SUMPRODUCT((('Loan Tape'!$R$4:$R$303&lt;&gt;""))*'Loan Tape'!$AI$4:$AI$303*'Loan Tape'!$R$4:$R$303)/E143,"-")</f>
        <v>0.0704574522862146</v>
      </c>
      <c r="O143" s="89" t="n">
        <f aca="false">IFERROR(SUMPRODUCT((('Loan Tape'!$R$4:$R$303&lt;&gt;""))*'Loan Tape'!$AK$4:$AK$303*'Loan Tape'!$R$4:$R$303)/E143,"-")</f>
        <v>0.0792103169165054</v>
      </c>
      <c r="P143" s="89" t="n">
        <f aca="false">IFERROR(SUMPRODUCT((('Loan Tape'!$R$4:$R$303&lt;&gt;""))*'Loan Tape'!$S$4:$S$303*'Loan Tape'!$R$4:$R$303)/E143,"-")</f>
        <v>0.886687142221741</v>
      </c>
    </row>
    <row r="145" customFormat="false" ht="19.5" hidden="false" customHeight="true" outlineLevel="0" collapsed="false">
      <c r="B145" s="5" t="s">
        <v>420</v>
      </c>
      <c r="C145" s="5"/>
      <c r="D145" s="5"/>
      <c r="E145" s="5"/>
      <c r="F145" s="5"/>
      <c r="G145" s="5"/>
      <c r="H145" s="5"/>
      <c r="I145" s="5"/>
      <c r="J145" s="5"/>
      <c r="K145" s="5"/>
      <c r="L145" s="5"/>
      <c r="M145" s="5"/>
      <c r="N145" s="5"/>
      <c r="O145" s="5"/>
      <c r="P145" s="5"/>
    </row>
    <row r="146" customFormat="false" ht="42" hidden="false" customHeight="true" outlineLevel="0" collapsed="false">
      <c r="B146" s="82" t="s">
        <v>392</v>
      </c>
      <c r="C146" s="83" t="s">
        <v>368</v>
      </c>
      <c r="D146" s="83" t="s">
        <v>153</v>
      </c>
      <c r="E146" s="83" t="s">
        <v>393</v>
      </c>
      <c r="F146" s="83" t="s">
        <v>394</v>
      </c>
      <c r="G146" s="83" t="s">
        <v>395</v>
      </c>
      <c r="H146" s="83" t="s">
        <v>396</v>
      </c>
      <c r="I146" s="83" t="s">
        <v>397</v>
      </c>
      <c r="J146" s="83" t="s">
        <v>398</v>
      </c>
      <c r="K146" s="83" t="s">
        <v>399</v>
      </c>
      <c r="L146" s="83" t="s">
        <v>400</v>
      </c>
      <c r="M146" s="83" t="s">
        <v>401</v>
      </c>
      <c r="N146" s="83" t="s">
        <v>402</v>
      </c>
      <c r="O146" s="83" t="s">
        <v>403</v>
      </c>
      <c r="P146" s="83" t="s">
        <v>365</v>
      </c>
    </row>
    <row r="147" customFormat="false" ht="14.25" hidden="false" customHeight="false" outlineLevel="0" collapsed="false">
      <c r="B147" s="7" t="str">
        <f aca="false">R147</f>
        <v>Monthly</v>
      </c>
      <c r="C147" s="68" t="n">
        <f aca="false">COUNTIF('Loan Tape'!$N$4:$N$303,R147)</f>
        <v>26</v>
      </c>
      <c r="D147" s="68" t="n">
        <f aca="false">SUMPRODUCT((('Loan Tape'!$R$4:$R$303&lt;&gt;"")*('Loan Tape'!$N$4:$N$303=R147))*'Loan Tape'!$F$4:$F$303)</f>
        <v>1800</v>
      </c>
      <c r="E147" s="84" t="n">
        <f aca="false">SUMIF('Loan Tape'!$N$4:$N$303,R147,'Loan Tape'!$R$4:$R$303)</f>
        <v>1168592000</v>
      </c>
      <c r="F147" s="69" t="n">
        <f aca="false">IFERROR(E147/C5,0)</f>
        <v>0.468259062914478</v>
      </c>
      <c r="G147" s="85" t="n">
        <f aca="false">IFERROR(SUMPRODUCT((('Loan Tape'!$R$4:$R$303&lt;&gt;"")*('Loan Tape'!$N$4:$N$303=R147))*'Loan Tape'!$U$4:$U$303*'Loan Tape'!$R$4:$R$303)/E147,"-")</f>
        <v>1.41012235236935</v>
      </c>
      <c r="H147" s="68" t="n">
        <f aca="false">IFERROR(SUMPRODUCT((('Loan Tape'!$R$4:$R$303&lt;&gt;"")*('Loan Tape'!$N$4:$N$303=R147))*'Loan Tape'!$AH$4:$AH$303*'Loan Tape'!$R$4:$R$303)/E147,"-")</f>
        <v>73.7117082779961</v>
      </c>
      <c r="I147" s="68" t="n">
        <f aca="false">IFERROR(SUMPRODUCT((('Loan Tape'!$R$4:$R$303&lt;&gt;"")*('Loan Tape'!$N$4:$N$303=R147))*(('Loan Tape'!$H$4:$H$303-$C$4)/30.4375)*'Loan Tape'!$R$4:$R$303)/E147,"-")</f>
        <v>27.2565285536832</v>
      </c>
      <c r="J147" s="69" t="n">
        <f aca="false">IFERROR(SUMPRODUCT((('Loan Tape'!$R$4:$R$303&lt;&gt;"")*('Loan Tape'!$N$4:$N$303=R147))*('Loan Tape'!$K$4:$K$303="Floating")*'Loan Tape'!$R$4:$R$303)/E147,"-")</f>
        <v>1</v>
      </c>
      <c r="K147" s="69" t="n">
        <f aca="false">IFERROR(SUMPRODUCT((('Loan Tape'!$R$4:$R$303&lt;&gt;"")*('Loan Tape'!$N$4:$N$303=R147))*'Loan Tape'!$T$4:$T$303*'Loan Tape'!$R$4:$R$303)/E147,"-")</f>
        <v>0.0840521691060695</v>
      </c>
      <c r="L147" s="69" t="n">
        <f aca="false">IFERROR(SUMPRODUCT((('Loan Tape'!$R$4:$R$303&lt;&gt;"")*('Loan Tape'!$N$4:$N$303=R147))*'Loan Tape'!$V$4:$V$303*'Loan Tape'!$R$4:$R$303)/E147,"-")</f>
        <v>0.674624065542123</v>
      </c>
      <c r="M147" s="69" t="n">
        <f aca="false">IFERROR(SUMPRODUCT((('Loan Tape'!$R$4:$R$303&lt;&gt;"")*('Loan Tape'!$N$4:$N$303=R147))*'Loan Tape'!$W$4:$W$303*'Loan Tape'!$R$4:$R$303)/E147,"-")</f>
        <v>0.703002233457015</v>
      </c>
      <c r="N147" s="69" t="n">
        <f aca="false">IFERROR(SUMPRODUCT((('Loan Tape'!$R$4:$R$303&lt;&gt;"")*('Loan Tape'!$N$4:$N$303=R147))*'Loan Tape'!$AI$4:$AI$303*'Loan Tape'!$R$4:$R$303)/E147,"-")</f>
        <v>0.0794686567253584</v>
      </c>
      <c r="O147" s="69" t="n">
        <f aca="false">IFERROR(SUMPRODUCT((('Loan Tape'!$R$4:$R$303&lt;&gt;"")*('Loan Tape'!$N$4:$N$303=R147))*'Loan Tape'!$AK$4:$AK$303*'Loan Tape'!$R$4:$R$303)/E147,"-")</f>
        <v>0.0918754347111738</v>
      </c>
      <c r="P147" s="69" t="n">
        <f aca="false">IFERROR(SUMPRODUCT((('Loan Tape'!$R$4:$R$303&lt;&gt;"")*('Loan Tape'!$N$4:$N$303=R147))*'Loan Tape'!$S$4:$S$303*'Loan Tape'!$R$4:$R$303)/E147,"-")</f>
        <v>0.878979386304202</v>
      </c>
      <c r="R147" s="91" t="s">
        <v>210</v>
      </c>
    </row>
    <row r="148" customFormat="false" ht="14.25" hidden="false" customHeight="false" outlineLevel="0" collapsed="false">
      <c r="B148" s="7" t="str">
        <f aca="false">R148</f>
        <v>Quarterly</v>
      </c>
      <c r="C148" s="68" t="n">
        <f aca="false">COUNTIF('Loan Tape'!$N$4:$N$303,R148)</f>
        <v>8</v>
      </c>
      <c r="D148" s="68" t="n">
        <f aca="false">SUMPRODUCT((('Loan Tape'!$R$4:$R$303&lt;&gt;"")*('Loan Tape'!$N$4:$N$303=R148))*'Loan Tape'!$F$4:$F$303)</f>
        <v>930</v>
      </c>
      <c r="E148" s="84" t="n">
        <f aca="false">SUMIF('Loan Tape'!$N$4:$N$303,R148,'Loan Tape'!$R$4:$R$303)</f>
        <v>489685000</v>
      </c>
      <c r="F148" s="69" t="n">
        <f aca="false">IFERROR(E148/C5,0)</f>
        <v>0.196218559790993</v>
      </c>
      <c r="G148" s="85" t="n">
        <f aca="false">IFERROR(SUMPRODUCT((('Loan Tape'!$R$4:$R$303&lt;&gt;"")*('Loan Tape'!$N$4:$N$303=R148))*'Loan Tape'!$U$4:$U$303*'Loan Tape'!$R$4:$R$303)/E148,"-")</f>
        <v>1.32276336828778</v>
      </c>
      <c r="H148" s="68" t="n">
        <f aca="false">IFERROR(SUMPRODUCT((('Loan Tape'!$R$4:$R$303&lt;&gt;"")*('Loan Tape'!$N$4:$N$303=R148))*'Loan Tape'!$AH$4:$AH$303*'Loan Tape'!$R$4:$R$303)/E148,"-")</f>
        <v>75.1757456323963</v>
      </c>
      <c r="I148" s="68" t="n">
        <f aca="false">IFERROR(SUMPRODUCT((('Loan Tape'!$R$4:$R$303&lt;&gt;"")*('Loan Tape'!$N$4:$N$303=R148))*(('Loan Tape'!$H$4:$H$303-$C$4)/30.4375)*'Loan Tape'!$R$4:$R$303)/E148,"-")</f>
        <v>21.3918803394522</v>
      </c>
      <c r="J148" s="69" t="n">
        <f aca="false">IFERROR(SUMPRODUCT((('Loan Tape'!$R$4:$R$303&lt;&gt;"")*('Loan Tape'!$N$4:$N$303=R148))*('Loan Tape'!$K$4:$K$303="Floating")*'Loan Tape'!$R$4:$R$303)/E148,"-")</f>
        <v>1</v>
      </c>
      <c r="K148" s="69" t="n">
        <f aca="false">IFERROR(SUMPRODUCT((('Loan Tape'!$R$4:$R$303&lt;&gt;"")*('Loan Tape'!$N$4:$N$303=R148))*'Loan Tape'!$T$4:$T$303*'Loan Tape'!$R$4:$R$303)/E148,"-")</f>
        <v>0.0777264986675108</v>
      </c>
      <c r="L148" s="69" t="n">
        <f aca="false">IFERROR(SUMPRODUCT((('Loan Tape'!$R$4:$R$303&lt;&gt;"")*('Loan Tape'!$N$4:$N$303=R148))*'Loan Tape'!$V$4:$V$303*'Loan Tape'!$R$4:$R$303)/E148,"-")</f>
        <v>0.704487523612118</v>
      </c>
      <c r="M148" s="69" t="n">
        <f aca="false">IFERROR(SUMPRODUCT((('Loan Tape'!$R$4:$R$303&lt;&gt;"")*('Loan Tape'!$N$4:$N$303=R148))*'Loan Tape'!$W$4:$W$303*'Loan Tape'!$R$4:$R$303)/E148,"-")</f>
        <v>0.739912494767044</v>
      </c>
      <c r="N148" s="69" t="n">
        <f aca="false">IFERROR(SUMPRODUCT((('Loan Tape'!$R$4:$R$303&lt;&gt;"")*('Loan Tape'!$N$4:$N$303=R148))*'Loan Tape'!$AI$4:$AI$303*'Loan Tape'!$R$4:$R$303)/E148,"-")</f>
        <v>0.0724186956921286</v>
      </c>
      <c r="O148" s="69" t="n">
        <f aca="false">IFERROR(SUMPRODUCT((('Loan Tape'!$R$4:$R$303&lt;&gt;"")*('Loan Tape'!$N$4:$N$303=R148))*'Loan Tape'!$AK$4:$AK$303*'Loan Tape'!$R$4:$R$303)/E148,"-")</f>
        <v>0.0874186956921286</v>
      </c>
      <c r="P148" s="69" t="n">
        <f aca="false">IFERROR(SUMPRODUCT((('Loan Tape'!$R$4:$R$303&lt;&gt;"")*('Loan Tape'!$N$4:$N$303=R148))*'Loan Tape'!$S$4:$S$303*'Loan Tape'!$R$4:$R$303)/E148,"-")</f>
        <v>0.900347645935653</v>
      </c>
      <c r="R148" s="91" t="s">
        <v>230</v>
      </c>
    </row>
    <row r="149" customFormat="false" ht="14.25" hidden="false" customHeight="false" outlineLevel="0" collapsed="false">
      <c r="B149" s="7" t="str">
        <f aca="false">R149</f>
        <v>Annual</v>
      </c>
      <c r="C149" s="68" t="n">
        <f aca="false">COUNTIF('Loan Tape'!$N$4:$N$303,R149)</f>
        <v>0</v>
      </c>
      <c r="D149" s="68" t="n">
        <f aca="false">SUMPRODUCT((('Loan Tape'!$R$4:$R$303&lt;&gt;"")*('Loan Tape'!$N$4:$N$303=R149))*'Loan Tape'!$F$4:$F$303)</f>
        <v>0</v>
      </c>
      <c r="E149" s="84" t="n">
        <f aca="false">SUMIF('Loan Tape'!$N$4:$N$303,R149,'Loan Tape'!$R$4:$R$303)</f>
        <v>0</v>
      </c>
      <c r="F149" s="69" t="n">
        <f aca="false">IFERROR(E149/C5,0)</f>
        <v>0</v>
      </c>
      <c r="G149" s="85" t="str">
        <f aca="false">IFERROR(SUMPRODUCT((('Loan Tape'!$R$4:$R$303&lt;&gt;"")*('Loan Tape'!$N$4:$N$303=R149))*'Loan Tape'!$U$4:$U$303*'Loan Tape'!$R$4:$R$303)/E149,"-")</f>
        <v>-</v>
      </c>
      <c r="H149" s="68" t="str">
        <f aca="false">IFERROR(SUMPRODUCT((('Loan Tape'!$R$4:$R$303&lt;&gt;"")*('Loan Tape'!$N$4:$N$303=R149))*'Loan Tape'!$AH$4:$AH$303*'Loan Tape'!$R$4:$R$303)/E149,"-")</f>
        <v>-</v>
      </c>
      <c r="I149" s="68" t="str">
        <f aca="false">IFERROR(SUMPRODUCT((('Loan Tape'!$R$4:$R$303&lt;&gt;"")*('Loan Tape'!$N$4:$N$303=R149))*(('Loan Tape'!$H$4:$H$303-$C$4)/30.4375)*'Loan Tape'!$R$4:$R$303)/E149,"-")</f>
        <v>-</v>
      </c>
      <c r="J149" s="69" t="str">
        <f aca="false">IFERROR(SUMPRODUCT((('Loan Tape'!$R$4:$R$303&lt;&gt;"")*('Loan Tape'!$N$4:$N$303=R149))*('Loan Tape'!$K$4:$K$303="Floating")*'Loan Tape'!$R$4:$R$303)/E149,"-")</f>
        <v>-</v>
      </c>
      <c r="K149" s="69" t="str">
        <f aca="false">IFERROR(SUMPRODUCT((('Loan Tape'!$R$4:$R$303&lt;&gt;"")*('Loan Tape'!$N$4:$N$303=R149))*'Loan Tape'!$T$4:$T$303*'Loan Tape'!$R$4:$R$303)/E149,"-")</f>
        <v>-</v>
      </c>
      <c r="L149" s="69" t="str">
        <f aca="false">IFERROR(SUMPRODUCT((('Loan Tape'!$R$4:$R$303&lt;&gt;"")*('Loan Tape'!$N$4:$N$303=R149))*'Loan Tape'!$V$4:$V$303*'Loan Tape'!$R$4:$R$303)/E149,"-")</f>
        <v>-</v>
      </c>
      <c r="M149" s="69" t="str">
        <f aca="false">IFERROR(SUMPRODUCT((('Loan Tape'!$R$4:$R$303&lt;&gt;"")*('Loan Tape'!$N$4:$N$303=R149))*'Loan Tape'!$W$4:$W$303*'Loan Tape'!$R$4:$R$303)/E149,"-")</f>
        <v>-</v>
      </c>
      <c r="N149" s="69" t="str">
        <f aca="false">IFERROR(SUMPRODUCT((('Loan Tape'!$R$4:$R$303&lt;&gt;"")*('Loan Tape'!$N$4:$N$303=R149))*'Loan Tape'!$AI$4:$AI$303*'Loan Tape'!$R$4:$R$303)/E149,"-")</f>
        <v>-</v>
      </c>
      <c r="O149" s="69" t="str">
        <f aca="false">IFERROR(SUMPRODUCT((('Loan Tape'!$R$4:$R$303&lt;&gt;"")*('Loan Tape'!$N$4:$N$303=R149))*'Loan Tape'!$AK$4:$AK$303*'Loan Tape'!$R$4:$R$303)/E149,"-")</f>
        <v>-</v>
      </c>
      <c r="P149" s="69" t="str">
        <f aca="false">IFERROR(SUMPRODUCT((('Loan Tape'!$R$4:$R$303&lt;&gt;"")*('Loan Tape'!$N$4:$N$303=R149))*'Loan Tape'!$S$4:$S$303*'Loan Tape'!$R$4:$R$303)/E149,"-")</f>
        <v>-</v>
      </c>
      <c r="R149" s="91" t="s">
        <v>421</v>
      </c>
    </row>
    <row r="150" customFormat="false" ht="14.25" hidden="false" customHeight="false" outlineLevel="0" collapsed="false">
      <c r="B150" s="7" t="str">
        <f aca="false">R150</f>
        <v>N/A</v>
      </c>
      <c r="C150" s="68" t="n">
        <f aca="false">COUNTIF('Loan Tape'!$N$4:$N$303,R150)</f>
        <v>16</v>
      </c>
      <c r="D150" s="68" t="n">
        <f aca="false">SUMPRODUCT((('Loan Tape'!$R$4:$R$303&lt;&gt;"")*('Loan Tape'!$N$4:$N$303=R150))*'Loan Tape'!$F$4:$F$303)</f>
        <v>2009</v>
      </c>
      <c r="E150" s="84" t="n">
        <f aca="false">SUMIF('Loan Tape'!$N$4:$N$303,R150,'Loan Tape'!$R$4:$R$303)</f>
        <v>837333000</v>
      </c>
      <c r="F150" s="69" t="n">
        <f aca="false">IFERROR(E150/C5,0)</f>
        <v>0.335522377294529</v>
      </c>
      <c r="G150" s="85" t="n">
        <f aca="false">IFERROR(SUMPRODUCT((('Loan Tape'!$R$4:$R$303&lt;&gt;"")*('Loan Tape'!$N$4:$N$303=R150))*'Loan Tape'!$U$4:$U$303*'Loan Tape'!$R$4:$R$303)/E150,"-")</f>
        <v>1.32899078383391</v>
      </c>
      <c r="H150" s="68" t="n">
        <f aca="false">IFERROR(SUMPRODUCT((('Loan Tape'!$R$4:$R$303&lt;&gt;"")*('Loan Tape'!$N$4:$N$303=R150))*'Loan Tape'!$AH$4:$AH$303*'Loan Tape'!$R$4:$R$303)/E150,"-")</f>
        <v>81.2097325675687</v>
      </c>
      <c r="I150" s="68" t="n">
        <f aca="false">IFERROR(SUMPRODUCT((('Loan Tape'!$R$4:$R$303&lt;&gt;"")*('Loan Tape'!$N$4:$N$303=R150))*(('Loan Tape'!$H$4:$H$303-$C$4)/30.4375)*'Loan Tape'!$R$4:$R$303)/E150,"-")</f>
        <v>2.13605350601144</v>
      </c>
      <c r="J150" s="69" t="n">
        <f aca="false">IFERROR(SUMPRODUCT((('Loan Tape'!$R$4:$R$303&lt;&gt;"")*('Loan Tape'!$N$4:$N$303=R150))*('Loan Tape'!$K$4:$K$303="Floating")*'Loan Tape'!$R$4:$R$303)/E150,"-")</f>
        <v>0</v>
      </c>
      <c r="K150" s="69" t="n">
        <f aca="false">IFERROR(SUMPRODUCT((('Loan Tape'!$R$4:$R$303&lt;&gt;"")*('Loan Tape'!$N$4:$N$303=R150))*'Loan Tape'!$T$4:$T$303*'Loan Tape'!$R$4:$R$303)/E150,"-")</f>
        <v>0.094016040093965</v>
      </c>
      <c r="L150" s="69" t="n">
        <f aca="false">IFERROR(SUMPRODUCT((('Loan Tape'!$R$4:$R$303&lt;&gt;"")*('Loan Tape'!$N$4:$N$303=R150))*'Loan Tape'!$V$4:$V$303*'Loan Tape'!$R$4:$R$303)/E150,"-")</f>
        <v>0.6837901491999</v>
      </c>
      <c r="M150" s="69" t="n">
        <f aca="false">IFERROR(SUMPRODUCT((('Loan Tape'!$R$4:$R$303&lt;&gt;"")*('Loan Tape'!$N$4:$N$303=R150))*'Loan Tape'!$W$4:$W$303*'Loan Tape'!$R$4:$R$303)/E150,"-")</f>
        <v>0.720645609333443</v>
      </c>
      <c r="N150" s="69" t="n">
        <f aca="false">IFERROR(SUMPRODUCT((('Loan Tape'!$R$4:$R$303&lt;&gt;"")*('Loan Tape'!$N$4:$N$303=R150))*'Loan Tape'!$AI$4:$AI$303*'Loan Tape'!$R$4:$R$303)/E150,"-")</f>
        <v>0.0567343422509324</v>
      </c>
      <c r="O150" s="69" t="n">
        <f aca="false">IFERROR(SUMPRODUCT((('Loan Tape'!$R$4:$R$303&lt;&gt;"")*('Loan Tape'!$N$4:$N$303=R150))*'Loan Tape'!$AK$4:$AK$303*'Loan Tape'!$R$4:$R$303)/E150,"-")</f>
        <v>0.0567343422509324</v>
      </c>
      <c r="P150" s="69" t="n">
        <f aca="false">IFERROR(SUMPRODUCT((('Loan Tape'!$R$4:$R$303&lt;&gt;"")*('Loan Tape'!$N$4:$N$303=R150))*'Loan Tape'!$S$4:$S$303*'Loan Tape'!$R$4:$R$303)/E150,"-")</f>
        <v>0.88945530989463</v>
      </c>
      <c r="R150" s="91" t="s">
        <v>246</v>
      </c>
    </row>
    <row r="151" customFormat="false" ht="14.25" hidden="false" customHeight="false" outlineLevel="0" collapsed="false">
      <c r="B151" s="7" t="s">
        <v>407</v>
      </c>
      <c r="C151" s="68" t="n">
        <f aca="false">C6-SUM(C147:C150)</f>
        <v>0</v>
      </c>
      <c r="D151" s="68" t="n">
        <f aca="false">SUM('Loan Tape'!$F$4:$F$303)-SUM(D147:D150)</f>
        <v>0</v>
      </c>
      <c r="E151" s="84" t="n">
        <f aca="false">C5-SUM(E147:E150)</f>
        <v>0</v>
      </c>
      <c r="F151" s="69" t="n">
        <f aca="false">IFERROR(E151/C5,0)</f>
        <v>0</v>
      </c>
      <c r="G151" s="85" t="str">
        <f aca="false">IFERROR(SUMPRODUCT((('Loan Tape'!$R$4:$R$303&lt;&gt;"")*(1-(('Loan Tape'!$N$4:$N$303=R147)+('Loan Tape'!$N$4:$N$303=R148)+('Loan Tape'!$N$4:$N$303=R149)+('Loan Tape'!$N$4:$N$303=R150))))*'Loan Tape'!$U$4:$U$303*'Loan Tape'!$R$4:$R$303)/E151,"-")</f>
        <v>-</v>
      </c>
      <c r="H151" s="68" t="str">
        <f aca="false">IFERROR(SUMPRODUCT((('Loan Tape'!$R$4:$R$303&lt;&gt;"")*(1-(('Loan Tape'!$N$4:$N$303=R147)+('Loan Tape'!$N$4:$N$303=R148)+('Loan Tape'!$N$4:$N$303=R149)+('Loan Tape'!$N$4:$N$303=R150))))*'Loan Tape'!$AH$4:$AH$303*'Loan Tape'!$R$4:$R$303)/E151,"-")</f>
        <v>-</v>
      </c>
      <c r="I151" s="68" t="str">
        <f aca="false">IFERROR(SUMPRODUCT((('Loan Tape'!$R$4:$R$303&lt;&gt;"")*(1-(('Loan Tape'!$N$4:$N$303=R147)+('Loan Tape'!$N$4:$N$303=R148)+('Loan Tape'!$N$4:$N$303=R149)+('Loan Tape'!$N$4:$N$303=R150))))*(('Loan Tape'!$H$4:$H$303-$C$4)/30.4375)*'Loan Tape'!$R$4:$R$303)/E151,"-")</f>
        <v>-</v>
      </c>
      <c r="J151" s="69" t="str">
        <f aca="false">IFERROR(SUMPRODUCT((('Loan Tape'!$R$4:$R$303&lt;&gt;"")*(1-(('Loan Tape'!$N$4:$N$303=R147)+('Loan Tape'!$N$4:$N$303=R148)+('Loan Tape'!$N$4:$N$303=R149)+('Loan Tape'!$N$4:$N$303=R150))))*('Loan Tape'!$K$4:$K$303="Floating")*'Loan Tape'!$R$4:$R$303)/E151,"-")</f>
        <v>-</v>
      </c>
      <c r="K151" s="69" t="str">
        <f aca="false">IFERROR(SUMPRODUCT((('Loan Tape'!$R$4:$R$303&lt;&gt;"")*(1-(('Loan Tape'!$N$4:$N$303=R147)+('Loan Tape'!$N$4:$N$303=R148)+('Loan Tape'!$N$4:$N$303=R149)+('Loan Tape'!$N$4:$N$303=R150))))*'Loan Tape'!$T$4:$T$303*'Loan Tape'!$R$4:$R$303)/E151,"-")</f>
        <v>-</v>
      </c>
      <c r="L151" s="69" t="str">
        <f aca="false">IFERROR(SUMPRODUCT((('Loan Tape'!$R$4:$R$303&lt;&gt;"")*(1-(('Loan Tape'!$N$4:$N$303=R147)+('Loan Tape'!$N$4:$N$303=R148)+('Loan Tape'!$N$4:$N$303=R149)+('Loan Tape'!$N$4:$N$303=R150))))*'Loan Tape'!$V$4:$V$303*'Loan Tape'!$R$4:$R$303)/E151,"-")</f>
        <v>-</v>
      </c>
      <c r="M151" s="69" t="str">
        <f aca="false">IFERROR(SUMPRODUCT((('Loan Tape'!$R$4:$R$303&lt;&gt;"")*(1-(('Loan Tape'!$N$4:$N$303=R147)+('Loan Tape'!$N$4:$N$303=R148)+('Loan Tape'!$N$4:$N$303=R149)+('Loan Tape'!$N$4:$N$303=R150))))*'Loan Tape'!$W$4:$W$303*'Loan Tape'!$R$4:$R$303)/E151,"-")</f>
        <v>-</v>
      </c>
      <c r="N151" s="69" t="str">
        <f aca="false">IFERROR(SUMPRODUCT((('Loan Tape'!$R$4:$R$303&lt;&gt;"")*(1-(('Loan Tape'!$N$4:$N$303=R147)+('Loan Tape'!$N$4:$N$303=R148)+('Loan Tape'!$N$4:$N$303=R149)+('Loan Tape'!$N$4:$N$303=R150))))*'Loan Tape'!$AI$4:$AI$303*'Loan Tape'!$R$4:$R$303)/E151,"-")</f>
        <v>-</v>
      </c>
      <c r="O151" s="69" t="str">
        <f aca="false">IFERROR(SUMPRODUCT((('Loan Tape'!$R$4:$R$303&lt;&gt;"")*(1-(('Loan Tape'!$N$4:$N$303=R147)+('Loan Tape'!$N$4:$N$303=R148)+('Loan Tape'!$N$4:$N$303=R149)+('Loan Tape'!$N$4:$N$303=R150))))*'Loan Tape'!$AK$4:$AK$303*'Loan Tape'!$R$4:$R$303)/E151,"-")</f>
        <v>-</v>
      </c>
      <c r="P151" s="69" t="str">
        <f aca="false">IFERROR(SUMPRODUCT((('Loan Tape'!$R$4:$R$303&lt;&gt;"")*(1-(('Loan Tape'!$N$4:$N$303=R147)+('Loan Tape'!$N$4:$N$303=R148)+('Loan Tape'!$N$4:$N$303=R149)+('Loan Tape'!$N$4:$N$303=R150))))*'Loan Tape'!$S$4:$S$303*'Loan Tape'!$R$4:$R$303)/E151,"-")</f>
        <v>-</v>
      </c>
    </row>
    <row r="152" customFormat="false" ht="14.25" hidden="false" customHeight="false" outlineLevel="0" collapsed="false">
      <c r="B152" s="86" t="s">
        <v>405</v>
      </c>
      <c r="C152" s="92" t="n">
        <f aca="false">C6</f>
        <v>50</v>
      </c>
      <c r="D152" s="92" t="n">
        <f aca="false">SUM('Loan Tape'!$F$4:$F$303)</f>
        <v>4739</v>
      </c>
      <c r="E152" s="88" t="n">
        <f aca="false">C5</f>
        <v>2495610000</v>
      </c>
      <c r="F152" s="89" t="n">
        <f aca="false">1</f>
        <v>1</v>
      </c>
      <c r="G152" s="90" t="n">
        <f aca="false">IFERROR(SUMPRODUCT((('Loan Tape'!$R$4:$R$303&lt;&gt;""))*'Loan Tape'!$U$4:$U$303*'Loan Tape'!$R$4:$R$303)/E152,"-")</f>
        <v>1.36575944157941</v>
      </c>
      <c r="H152" s="92" t="n">
        <f aca="false">IFERROR(SUMPRODUCT((('Loan Tape'!$R$4:$R$303&lt;&gt;""))*'Loan Tape'!$AH$4:$AH$303*'Loan Tape'!$R$4:$R$303)/E152,"-")</f>
        <v>76.5147345138063</v>
      </c>
      <c r="I152" s="92" t="n">
        <f aca="false">IFERROR(SUMPRODUCT((('Loan Tape'!$R$4:$R$303&lt;&gt;""))*(('Loan Tape'!$H$4:$H$303-$C$4)/30.4375)*'Loan Tape'!$R$4:$R$303)/E152,"-")</f>
        <v>17.6772942206432</v>
      </c>
      <c r="J152" s="89" t="n">
        <f aca="false">IFERROR(SUMPRODUCT((('Loan Tape'!$R$4:$R$303&lt;&gt;""))*('Loan Tape'!$K$4:$K$303="Floating")*'Loan Tape'!$R$4:$R$303)/E152,"-")</f>
        <v>0.664477622705471</v>
      </c>
      <c r="K152" s="89" t="n">
        <f aca="false">IFERROR(SUMPRODUCT((('Loan Tape'!$R$4:$R$303&lt;&gt;""))*'Loan Tape'!$T$4:$T$303*'Loan Tape'!$R$4:$R$303)/E152,"-")</f>
        <v>0.0861540568438177</v>
      </c>
      <c r="L152" s="89" t="n">
        <f aca="false">IFERROR(SUMPRODUCT((('Loan Tape'!$R$4:$R$303&lt;&gt;""))*'Loan Tape'!$V$4:$V$303*'Loan Tape'!$R$4:$R$303)/E152,"-")</f>
        <v>0.683559256454334</v>
      </c>
      <c r="M152" s="89" t="n">
        <f aca="false">IFERROR(SUMPRODUCT((('Loan Tape'!$R$4:$R$303&lt;&gt;""))*'Loan Tape'!$W$4:$W$303*'Loan Tape'!$R$4:$R$303)/E152,"-")</f>
        <v>0.716164459190338</v>
      </c>
      <c r="N152" s="89" t="n">
        <f aca="false">IFERROR(SUMPRODUCT((('Loan Tape'!$R$4:$R$303&lt;&gt;""))*'Loan Tape'!$AI$4:$AI$303*'Loan Tape'!$R$4:$R$303)/E152,"-")</f>
        <v>0.0704574522862146</v>
      </c>
      <c r="O152" s="89" t="n">
        <f aca="false">IFERROR(SUMPRODUCT((('Loan Tape'!$R$4:$R$303&lt;&gt;""))*'Loan Tape'!$AK$4:$AK$303*'Loan Tape'!$R$4:$R$303)/E152,"-")</f>
        <v>0.0792103169165054</v>
      </c>
      <c r="P152" s="89" t="n">
        <f aca="false">IFERROR(SUMPRODUCT((('Loan Tape'!$R$4:$R$303&lt;&gt;""))*'Loan Tape'!$S$4:$S$303*'Loan Tape'!$R$4:$R$303)/E152,"-")</f>
        <v>0.886687142221741</v>
      </c>
    </row>
    <row r="154" customFormat="false" ht="19.5" hidden="false" customHeight="true" outlineLevel="0" collapsed="false">
      <c r="B154" s="5" t="s">
        <v>422</v>
      </c>
      <c r="C154" s="5"/>
      <c r="D154" s="5"/>
      <c r="E154" s="5"/>
      <c r="F154" s="5"/>
      <c r="G154" s="5"/>
      <c r="H154" s="5"/>
      <c r="I154" s="5"/>
      <c r="J154" s="5"/>
      <c r="K154" s="5"/>
      <c r="L154" s="5"/>
      <c r="M154" s="5"/>
      <c r="N154" s="5"/>
      <c r="O154" s="5"/>
      <c r="P154" s="5"/>
    </row>
    <row r="155" customFormat="false" ht="42" hidden="false" customHeight="true" outlineLevel="0" collapsed="false">
      <c r="B155" s="82" t="s">
        <v>423</v>
      </c>
      <c r="C155" s="83" t="s">
        <v>368</v>
      </c>
      <c r="D155" s="83" t="s">
        <v>153</v>
      </c>
      <c r="E155" s="83" t="s">
        <v>393</v>
      </c>
      <c r="F155" s="83" t="s">
        <v>394</v>
      </c>
      <c r="G155" s="83" t="s">
        <v>395</v>
      </c>
      <c r="H155" s="83" t="s">
        <v>396</v>
      </c>
      <c r="I155" s="83" t="s">
        <v>397</v>
      </c>
      <c r="J155" s="83" t="s">
        <v>398</v>
      </c>
      <c r="K155" s="83" t="s">
        <v>399</v>
      </c>
      <c r="L155" s="83" t="s">
        <v>400</v>
      </c>
      <c r="M155" s="83" t="s">
        <v>401</v>
      </c>
      <c r="N155" s="83" t="s">
        <v>402</v>
      </c>
      <c r="O155" s="83" t="s">
        <v>403</v>
      </c>
      <c r="P155" s="83" t="s">
        <v>365</v>
      </c>
    </row>
    <row r="156" customFormat="false" ht="14.25" hidden="false" customHeight="false" outlineLevel="0" collapsed="false">
      <c r="B156" s="7" t="s">
        <v>424</v>
      </c>
      <c r="C156" s="68" t="n">
        <f aca="false">COUNTIFS('Loan Tape'!$R$4:$R$303,"&gt;="&amp;R156,'Loan Tape'!$R$4:$R$303,"&lt;="&amp;S156,'Loan Tape'!$R$4:$R$303,"&lt;&gt;")</f>
        <v>12</v>
      </c>
      <c r="D156" s="68" t="n">
        <f aca="false">SUMPRODUCT((('Loan Tape'!$R$4:$R$303&lt;&gt;"")*('Loan Tape'!$R$4:$R$303&gt;=R156)*('Loan Tape'!$R$4:$R$303&lt;=S156))*'Loan Tape'!$F$4:$F$303)</f>
        <v>546</v>
      </c>
      <c r="E156" s="84" t="n">
        <f aca="false">SUMIFS('Loan Tape'!$R$4:$R$303,'Loan Tape'!$R$4:$R$303,"&gt;="&amp;R156,'Loan Tape'!$R$4:$R$303,"&lt;="&amp;S156,'Loan Tape'!$R$4:$R$303,"&lt;&gt;")</f>
        <v>75781000</v>
      </c>
      <c r="F156" s="69" t="n">
        <f aca="false">IFERROR(E156/C5,0)</f>
        <v>0.0303657222081976</v>
      </c>
      <c r="G156" s="85" t="n">
        <f aca="false">IFERROR(SUMPRODUCT((('Loan Tape'!$R$4:$R$303&lt;&gt;"")*('Loan Tape'!$R$4:$R$303&gt;=R156)*('Loan Tape'!$R$4:$R$303&lt;=S156))*'Loan Tape'!$U$4:$U$303*'Loan Tape'!$R$4:$R$303)/E156,"-")</f>
        <v>1.38013868911732</v>
      </c>
      <c r="H156" s="68" t="n">
        <f aca="false">IFERROR(SUMPRODUCT((('Loan Tape'!$R$4:$R$303&lt;&gt;"")*('Loan Tape'!$R$4:$R$303&gt;=R156)*('Loan Tape'!$R$4:$R$303&lt;=S156))*'Loan Tape'!$AH$4:$AH$303*'Loan Tape'!$R$4:$R$303)/E156,"-")</f>
        <v>80.9498964120294</v>
      </c>
      <c r="I156" s="68" t="n">
        <f aca="false">IFERROR(SUMPRODUCT((('Loan Tape'!$R$4:$R$303&lt;&gt;"")*('Loan Tape'!$R$4:$R$303&gt;=R156)*('Loan Tape'!$R$4:$R$303&lt;=S156))*(('Loan Tape'!$H$4:$H$303-$C$4)/30.4375)*'Loan Tape'!$R$4:$R$303)/E156,"-")</f>
        <v>18.0836508053968</v>
      </c>
      <c r="J156" s="69" t="n">
        <f aca="false">IFERROR(SUMPRODUCT((('Loan Tape'!$R$4:$R$303&lt;&gt;"")*('Loan Tape'!$R$4:$R$303&gt;=R156)*('Loan Tape'!$R$4:$R$303&lt;=S156))*('Loan Tape'!$K$4:$K$303="Floating")*'Loan Tape'!$R$4:$R$303)/E156,"-")</f>
        <v>0.698737150473074</v>
      </c>
      <c r="K156" s="69" t="n">
        <f aca="false">IFERROR(SUMPRODUCT((('Loan Tape'!$R$4:$R$303&lt;&gt;"")*('Loan Tape'!$R$4:$R$303&gt;=R156)*('Loan Tape'!$R$4:$R$303&lt;=S156))*'Loan Tape'!$T$4:$T$303*'Loan Tape'!$R$4:$R$303)/E156,"-")</f>
        <v>0.077835799210884</v>
      </c>
      <c r="L156" s="69" t="n">
        <f aca="false">IFERROR(SUMPRODUCT((('Loan Tape'!$R$4:$R$303&lt;&gt;"")*('Loan Tape'!$R$4:$R$303&gt;=R156)*('Loan Tape'!$R$4:$R$303&lt;=S156))*'Loan Tape'!$V$4:$V$303*'Loan Tape'!$R$4:$R$303)/E156,"-")</f>
        <v>0.654085971417638</v>
      </c>
      <c r="M156" s="69" t="n">
        <f aca="false">IFERROR(SUMPRODUCT((('Loan Tape'!$R$4:$R$303&lt;&gt;"")*('Loan Tape'!$R$4:$R$303&gt;=R156)*('Loan Tape'!$R$4:$R$303&lt;=S156))*'Loan Tape'!$W$4:$W$303*'Loan Tape'!$R$4:$R$303)/E156,"-")</f>
        <v>0.68544602208997</v>
      </c>
      <c r="N156" s="69" t="n">
        <f aca="false">IFERROR(SUMPRODUCT((('Loan Tape'!$R$4:$R$303&lt;&gt;"")*('Loan Tape'!$R$4:$R$303&gt;=R156)*('Loan Tape'!$R$4:$R$303&lt;=S156))*'Loan Tape'!$AI$4:$AI$303*'Loan Tape'!$R$4:$R$303)/E156,"-")</f>
        <v>0.0679672279331231</v>
      </c>
      <c r="O156" s="69" t="n">
        <f aca="false">IFERROR(SUMPRODUCT((('Loan Tape'!$R$4:$R$303&lt;&gt;"")*('Loan Tape'!$R$4:$R$303&gt;=R156)*('Loan Tape'!$R$4:$R$303&lt;=S156))*'Loan Tape'!$AK$4:$AK$303*'Loan Tape'!$R$4:$R$303)/E156,"-")</f>
        <v>0.0782653435557726</v>
      </c>
      <c r="P156" s="69" t="n">
        <f aca="false">IFERROR(SUMPRODUCT((('Loan Tape'!$R$4:$R$303&lt;&gt;"")*('Loan Tape'!$R$4:$R$303&gt;=R156)*('Loan Tape'!$R$4:$R$303&lt;=S156))*'Loan Tape'!$S$4:$S$303*'Loan Tape'!$R$4:$R$303)/E156,"-")</f>
        <v>0.8656760533643</v>
      </c>
      <c r="R156" s="91" t="n">
        <v>-1000000000000</v>
      </c>
      <c r="S156" s="91" t="n">
        <v>9999999</v>
      </c>
    </row>
    <row r="157" customFormat="false" ht="14.25" hidden="false" customHeight="false" outlineLevel="0" collapsed="false">
      <c r="B157" s="7" t="s">
        <v>425</v>
      </c>
      <c r="C157" s="68" t="n">
        <f aca="false">COUNTIFS('Loan Tape'!$R$4:$R$303,"&gt;="&amp;R157,'Loan Tape'!$R$4:$R$303,"&lt;="&amp;S157,'Loan Tape'!$R$4:$R$303,"&lt;&gt;")</f>
        <v>7</v>
      </c>
      <c r="D157" s="68" t="n">
        <f aca="false">SUMPRODUCT((('Loan Tape'!$R$4:$R$303&lt;&gt;"")*('Loan Tape'!$R$4:$R$303&gt;=R157)*('Loan Tape'!$R$4:$R$303&lt;=S157))*'Loan Tape'!$F$4:$F$303)</f>
        <v>314</v>
      </c>
      <c r="E157" s="84" t="n">
        <f aca="false">SUMIFS('Loan Tape'!$R$4:$R$303,'Loan Tape'!$R$4:$R$303,"&gt;="&amp;R157,'Loan Tape'!$R$4:$R$303,"&lt;="&amp;S157,'Loan Tape'!$R$4:$R$303,"&lt;&gt;")</f>
        <v>96729000</v>
      </c>
      <c r="F157" s="69" t="n">
        <f aca="false">IFERROR(E157/C5,0)</f>
        <v>0.038759661966413</v>
      </c>
      <c r="G157" s="85" t="n">
        <f aca="false">IFERROR(SUMPRODUCT((('Loan Tape'!$R$4:$R$303&lt;&gt;"")*('Loan Tape'!$R$4:$R$303&gt;=R157)*('Loan Tape'!$R$4:$R$303&lt;=S157))*'Loan Tape'!$U$4:$U$303*'Loan Tape'!$R$4:$R$303)/E157,"-")</f>
        <v>1.49946313928605</v>
      </c>
      <c r="H157" s="68" t="n">
        <f aca="false">IFERROR(SUMPRODUCT((('Loan Tape'!$R$4:$R$303&lt;&gt;"")*('Loan Tape'!$R$4:$R$303&gt;=R157)*('Loan Tape'!$R$4:$R$303&lt;=S157))*'Loan Tape'!$AH$4:$AH$303*'Loan Tape'!$R$4:$R$303)/E157,"-")</f>
        <v>57.3731269836347</v>
      </c>
      <c r="I157" s="68" t="n">
        <f aca="false">IFERROR(SUMPRODUCT((('Loan Tape'!$R$4:$R$303&lt;&gt;"")*('Loan Tape'!$R$4:$R$303&gt;=R157)*('Loan Tape'!$R$4:$R$303&lt;=S157))*(('Loan Tape'!$H$4:$H$303-$C$4)/30.4375)*'Loan Tape'!$R$4:$R$303)/E157,"-")</f>
        <v>46.2344196957638</v>
      </c>
      <c r="J157" s="69" t="n">
        <f aca="false">IFERROR(SUMPRODUCT((('Loan Tape'!$R$4:$R$303&lt;&gt;"")*('Loan Tape'!$R$4:$R$303&gt;=R157)*('Loan Tape'!$R$4:$R$303&lt;=S157))*('Loan Tape'!$K$4:$K$303="Floating")*'Loan Tape'!$R$4:$R$303)/E157,"-")</f>
        <v>0.559966504357535</v>
      </c>
      <c r="K157" s="69" t="n">
        <f aca="false">IFERROR(SUMPRODUCT((('Loan Tape'!$R$4:$R$303&lt;&gt;"")*('Loan Tape'!$R$4:$R$303&gt;=R157)*('Loan Tape'!$R$4:$R$303&lt;=S157))*'Loan Tape'!$T$4:$T$303*'Loan Tape'!$R$4:$R$303)/E157,"-")</f>
        <v>0.0902673831012416</v>
      </c>
      <c r="L157" s="69" t="n">
        <f aca="false">IFERROR(SUMPRODUCT((('Loan Tape'!$R$4:$R$303&lt;&gt;"")*('Loan Tape'!$R$4:$R$303&gt;=R157)*('Loan Tape'!$R$4:$R$303&lt;=S157))*'Loan Tape'!$V$4:$V$303*'Loan Tape'!$R$4:$R$303)/E157,"-")</f>
        <v>0.594714615058566</v>
      </c>
      <c r="M157" s="69" t="n">
        <f aca="false">IFERROR(SUMPRODUCT((('Loan Tape'!$R$4:$R$303&lt;&gt;"")*('Loan Tape'!$R$4:$R$303&gt;=R157)*('Loan Tape'!$R$4:$R$303&lt;=S157))*'Loan Tape'!$W$4:$W$303*'Loan Tape'!$R$4:$R$303)/E157,"-")</f>
        <v>0.625373290326583</v>
      </c>
      <c r="N157" s="69" t="n">
        <f aca="false">IFERROR(SUMPRODUCT((('Loan Tape'!$R$4:$R$303&lt;&gt;"")*('Loan Tape'!$R$4:$R$303&gt;=R157)*('Loan Tape'!$R$4:$R$303&lt;=S157))*'Loan Tape'!$AI$4:$AI$303*'Loan Tape'!$R$4:$R$303)/E157,"-")</f>
        <v>0.0644028988204158</v>
      </c>
      <c r="O157" s="69" t="n">
        <f aca="false">IFERROR(SUMPRODUCT((('Loan Tape'!$R$4:$R$303&lt;&gt;"")*('Loan Tape'!$R$4:$R$303&gt;=R157)*('Loan Tape'!$R$4:$R$303&lt;=S157))*'Loan Tape'!$AK$4:$AK$303*'Loan Tape'!$R$4:$R$303)/E157,"-")</f>
        <v>0.0698976201552792</v>
      </c>
      <c r="P157" s="69" t="n">
        <f aca="false">IFERROR(SUMPRODUCT((('Loan Tape'!$R$4:$R$303&lt;&gt;"")*('Loan Tape'!$R$4:$R$303&gt;=R157)*('Loan Tape'!$R$4:$R$303&lt;=S157))*'Loan Tape'!$S$4:$S$303*'Loan Tape'!$R$4:$R$303)/E157,"-")</f>
        <v>0.8878243236258</v>
      </c>
      <c r="R157" s="91" t="n">
        <v>10000000</v>
      </c>
      <c r="S157" s="91" t="n">
        <v>24999999</v>
      </c>
    </row>
    <row r="158" customFormat="false" ht="14.25" hidden="false" customHeight="false" outlineLevel="0" collapsed="false">
      <c r="B158" s="7" t="s">
        <v>426</v>
      </c>
      <c r="C158" s="68" t="n">
        <f aca="false">COUNTIFS('Loan Tape'!$R$4:$R$303,"&gt;="&amp;R158,'Loan Tape'!$R$4:$R$303,"&lt;="&amp;S158,'Loan Tape'!$R$4:$R$303,"&lt;&gt;")</f>
        <v>10</v>
      </c>
      <c r="D158" s="68" t="n">
        <f aca="false">SUMPRODUCT((('Loan Tape'!$R$4:$R$303&lt;&gt;"")*('Loan Tape'!$R$4:$R$303&gt;=R158)*('Loan Tape'!$R$4:$R$303&lt;=S158))*'Loan Tape'!$F$4:$F$303)</f>
        <v>1755</v>
      </c>
      <c r="E158" s="84" t="n">
        <f aca="false">SUMIFS('Loan Tape'!$R$4:$R$303,'Loan Tape'!$R$4:$R$303,"&gt;="&amp;R158,'Loan Tape'!$R$4:$R$303,"&lt;="&amp;S158,'Loan Tape'!$R$4:$R$303,"&lt;&gt;")</f>
        <v>393007000</v>
      </c>
      <c r="F158" s="69" t="n">
        <f aca="false">IFERROR(E158/C5,0)</f>
        <v>0.157479333709995</v>
      </c>
      <c r="G158" s="85" t="n">
        <f aca="false">IFERROR(SUMPRODUCT((('Loan Tape'!$R$4:$R$303&lt;&gt;"")*('Loan Tape'!$R$4:$R$303&gt;=R158)*('Loan Tape'!$R$4:$R$303&lt;=S158))*'Loan Tape'!$U$4:$U$303*'Loan Tape'!$R$4:$R$303)/E158,"-")</f>
        <v>1.30451348194816</v>
      </c>
      <c r="H158" s="68" t="n">
        <f aca="false">IFERROR(SUMPRODUCT((('Loan Tape'!$R$4:$R$303&lt;&gt;"")*('Loan Tape'!$R$4:$R$303&gt;=R158)*('Loan Tape'!$R$4:$R$303&lt;=S158))*'Loan Tape'!$AH$4:$AH$303*'Loan Tape'!$R$4:$R$303)/E158,"-")</f>
        <v>86.5652563440346</v>
      </c>
      <c r="I158" s="68" t="n">
        <f aca="false">IFERROR(SUMPRODUCT((('Loan Tape'!$R$4:$R$303&lt;&gt;"")*('Loan Tape'!$R$4:$R$303&gt;=R158)*('Loan Tape'!$R$4:$R$303&lt;=S158))*(('Loan Tape'!$H$4:$H$303-$C$4)/30.4375)*'Loan Tape'!$R$4:$R$303)/E158,"-")</f>
        <v>-3.00312396272767</v>
      </c>
      <c r="J158" s="69" t="n">
        <f aca="false">IFERROR(SUMPRODUCT((('Loan Tape'!$R$4:$R$303&lt;&gt;"")*('Loan Tape'!$R$4:$R$303&gt;=R158)*('Loan Tape'!$R$4:$R$303&lt;=S158))*('Loan Tape'!$K$4:$K$303="Floating")*'Loan Tape'!$R$4:$R$303)/E158,"-")</f>
        <v>0.787991053594465</v>
      </c>
      <c r="K158" s="69" t="n">
        <f aca="false">IFERROR(SUMPRODUCT((('Loan Tape'!$R$4:$R$303&lt;&gt;"")*('Loan Tape'!$R$4:$R$303&gt;=R158)*('Loan Tape'!$R$4:$R$303&lt;=S158))*'Loan Tape'!$T$4:$T$303*'Loan Tape'!$R$4:$R$303)/E158,"-")</f>
        <v>0.0914047248522291</v>
      </c>
      <c r="L158" s="69" t="n">
        <f aca="false">IFERROR(SUMPRODUCT((('Loan Tape'!$R$4:$R$303&lt;&gt;"")*('Loan Tape'!$R$4:$R$303&gt;=R158)*('Loan Tape'!$R$4:$R$303&lt;=S158))*'Loan Tape'!$V$4:$V$303*'Loan Tape'!$R$4:$R$303)/E158,"-")</f>
        <v>0.671550074171707</v>
      </c>
      <c r="M158" s="69" t="n">
        <f aca="false">IFERROR(SUMPRODUCT((('Loan Tape'!$R$4:$R$303&lt;&gt;"")*('Loan Tape'!$R$4:$R$303&gt;=R158)*('Loan Tape'!$R$4:$R$303&lt;=S158))*'Loan Tape'!$W$4:$W$303*'Loan Tape'!$R$4:$R$303)/E158,"-")</f>
        <v>0.704818178811065</v>
      </c>
      <c r="N158" s="69" t="n">
        <f aca="false">IFERROR(SUMPRODUCT((('Loan Tape'!$R$4:$R$303&lt;&gt;"")*('Loan Tape'!$R$4:$R$303&gt;=R158)*('Loan Tape'!$R$4:$R$303&lt;=S158))*'Loan Tape'!$AI$4:$AI$303*'Loan Tape'!$R$4:$R$303)/E158,"-")</f>
        <v>0.0716295829336373</v>
      </c>
      <c r="O158" s="69" t="n">
        <f aca="false">IFERROR(SUMPRODUCT((('Loan Tape'!$R$4:$R$303&lt;&gt;"")*('Loan Tape'!$R$4:$R$303&gt;=R158)*('Loan Tape'!$R$4:$R$303&lt;=S158))*'Loan Tape'!$AK$4:$AK$303*'Loan Tape'!$R$4:$R$303)/E158,"-")</f>
        <v>0.0828296175386189</v>
      </c>
      <c r="P158" s="69" t="n">
        <f aca="false">IFERROR(SUMPRODUCT((('Loan Tape'!$R$4:$R$303&lt;&gt;"")*('Loan Tape'!$R$4:$R$303&gt;=R158)*('Loan Tape'!$R$4:$R$303&lt;=S158))*'Loan Tape'!$S$4:$S$303*'Loan Tape'!$R$4:$R$303)/E158,"-")</f>
        <v>0.929906983845071</v>
      </c>
      <c r="R158" s="91" t="n">
        <v>25000000</v>
      </c>
      <c r="S158" s="91" t="n">
        <v>49999999</v>
      </c>
    </row>
    <row r="159" customFormat="false" ht="14.25" hidden="false" customHeight="false" outlineLevel="0" collapsed="false">
      <c r="B159" s="7" t="s">
        <v>427</v>
      </c>
      <c r="C159" s="68" t="n">
        <f aca="false">COUNTIFS('Loan Tape'!$R$4:$R$303,"&gt;="&amp;R159,'Loan Tape'!$R$4:$R$303,"&lt;="&amp;S159,'Loan Tape'!$R$4:$R$303,"&lt;&gt;")</f>
        <v>5</v>
      </c>
      <c r="D159" s="68" t="n">
        <f aca="false">SUMPRODUCT((('Loan Tape'!$R$4:$R$303&lt;&gt;"")*('Loan Tape'!$R$4:$R$303&gt;=R159)*('Loan Tape'!$R$4:$R$303&lt;=S159))*'Loan Tape'!$F$4:$F$303)</f>
        <v>509</v>
      </c>
      <c r="E159" s="84" t="n">
        <f aca="false">SUMIFS('Loan Tape'!$R$4:$R$303,'Loan Tape'!$R$4:$R$303,"&gt;="&amp;R159,'Loan Tape'!$R$4:$R$303,"&lt;="&amp;S159,'Loan Tape'!$R$4:$R$303,"&lt;&gt;")</f>
        <v>296402000</v>
      </c>
      <c r="F159" s="69" t="n">
        <f aca="false">IFERROR(E159/C5,0)</f>
        <v>0.118769358994394</v>
      </c>
      <c r="G159" s="85" t="n">
        <f aca="false">IFERROR(SUMPRODUCT((('Loan Tape'!$R$4:$R$303&lt;&gt;"")*('Loan Tape'!$R$4:$R$303&gt;=R159)*('Loan Tape'!$R$4:$R$303&lt;=S159))*'Loan Tape'!$U$4:$U$303*'Loan Tape'!$R$4:$R$303)/E159,"-")</f>
        <v>1.45486349619773</v>
      </c>
      <c r="H159" s="68" t="n">
        <f aca="false">IFERROR(SUMPRODUCT((('Loan Tape'!$R$4:$R$303&lt;&gt;"")*('Loan Tape'!$R$4:$R$303&gt;=R159)*('Loan Tape'!$R$4:$R$303&lt;=S159))*'Loan Tape'!$AH$4:$AH$303*'Loan Tape'!$R$4:$R$303)/E159,"-")</f>
        <v>69.5646382278122</v>
      </c>
      <c r="I159" s="68" t="n">
        <f aca="false">IFERROR(SUMPRODUCT((('Loan Tape'!$R$4:$R$303&lt;&gt;"")*('Loan Tape'!$R$4:$R$303&gt;=R159)*('Loan Tape'!$R$4:$R$303&lt;=S159))*(('Loan Tape'!$H$4:$H$303-$C$4)/30.4375)*'Loan Tape'!$R$4:$R$303)/E159,"-")</f>
        <v>39.9048077873373</v>
      </c>
      <c r="J159" s="69" t="n">
        <f aca="false">IFERROR(SUMPRODUCT((('Loan Tape'!$R$4:$R$303&lt;&gt;"")*('Loan Tape'!$R$4:$R$303&gt;=R159)*('Loan Tape'!$R$4:$R$303&lt;=S159))*('Loan Tape'!$K$4:$K$303="Floating")*'Loan Tape'!$R$4:$R$303)/E159,"-")</f>
        <v>1</v>
      </c>
      <c r="K159" s="69" t="n">
        <f aca="false">IFERROR(SUMPRODUCT((('Loan Tape'!$R$4:$R$303&lt;&gt;"")*('Loan Tape'!$R$4:$R$303&gt;=R159)*('Loan Tape'!$R$4:$R$303&lt;=S159))*'Loan Tape'!$T$4:$T$303*'Loan Tape'!$R$4:$R$303)/E159,"-")</f>
        <v>0.0673410010728673</v>
      </c>
      <c r="L159" s="69" t="n">
        <f aca="false">IFERROR(SUMPRODUCT((('Loan Tape'!$R$4:$R$303&lt;&gt;"")*('Loan Tape'!$R$4:$R$303&gt;=R159)*('Loan Tape'!$R$4:$R$303&lt;=S159))*'Loan Tape'!$V$4:$V$303*'Loan Tape'!$R$4:$R$303)/E159,"-")</f>
        <v>0.651145741256807</v>
      </c>
      <c r="M159" s="69" t="n">
        <f aca="false">IFERROR(SUMPRODUCT((('Loan Tape'!$R$4:$R$303&lt;&gt;"")*('Loan Tape'!$R$4:$R$303&gt;=R159)*('Loan Tape'!$R$4:$R$303&lt;=S159))*'Loan Tape'!$W$4:$W$303*'Loan Tape'!$R$4:$R$303)/E159,"-")</f>
        <v>0.683208642316853</v>
      </c>
      <c r="N159" s="69" t="n">
        <f aca="false">IFERROR(SUMPRODUCT((('Loan Tape'!$R$4:$R$303&lt;&gt;"")*('Loan Tape'!$R$4:$R$303&gt;=R159)*('Loan Tape'!$R$4:$R$303&lt;=S159))*'Loan Tape'!$AI$4:$AI$303*'Loan Tape'!$R$4:$R$303)/E159,"-")</f>
        <v>0.076698278351698</v>
      </c>
      <c r="O159" s="69" t="n">
        <f aca="false">IFERROR(SUMPRODUCT((('Loan Tape'!$R$4:$R$303&lt;&gt;"")*('Loan Tape'!$R$4:$R$303&gt;=R159)*('Loan Tape'!$R$4:$R$303&lt;=S159))*'Loan Tape'!$AK$4:$AK$303*'Loan Tape'!$R$4:$R$303)/E159,"-")</f>
        <v>0.0876279488667418</v>
      </c>
      <c r="P159" s="69" t="n">
        <f aca="false">IFERROR(SUMPRODUCT((('Loan Tape'!$R$4:$R$303&lt;&gt;"")*('Loan Tape'!$R$4:$R$303&gt;=R159)*('Loan Tape'!$R$4:$R$303&lt;=S159))*'Loan Tape'!$S$4:$S$303*'Loan Tape'!$R$4:$R$303)/E159,"-")</f>
        <v>0.901963728314924</v>
      </c>
      <c r="R159" s="91" t="n">
        <v>50000000</v>
      </c>
      <c r="S159" s="91" t="n">
        <v>74999999</v>
      </c>
    </row>
    <row r="160" customFormat="false" ht="14.25" hidden="false" customHeight="false" outlineLevel="0" collapsed="false">
      <c r="B160" s="7" t="s">
        <v>428</v>
      </c>
      <c r="C160" s="68" t="n">
        <f aca="false">COUNTIFS('Loan Tape'!$R$4:$R$303,"&gt;="&amp;R160,'Loan Tape'!$R$4:$R$303,"&lt;="&amp;S160,'Loan Tape'!$R$4:$R$303,"&lt;&gt;")</f>
        <v>8</v>
      </c>
      <c r="D160" s="68" t="n">
        <f aca="false">SUMPRODUCT((('Loan Tape'!$R$4:$R$303&lt;&gt;"")*('Loan Tape'!$R$4:$R$303&gt;=R160)*('Loan Tape'!$R$4:$R$303&lt;=S160))*'Loan Tape'!$F$4:$F$303)</f>
        <v>863</v>
      </c>
      <c r="E160" s="84" t="n">
        <f aca="false">SUMIFS('Loan Tape'!$R$4:$R$303,'Loan Tape'!$R$4:$R$303,"&gt;="&amp;R160,'Loan Tape'!$R$4:$R$303,"&lt;="&amp;S160,'Loan Tape'!$R$4:$R$303,"&lt;&gt;")</f>
        <v>663074000</v>
      </c>
      <c r="F160" s="69" t="n">
        <f aca="false">IFERROR(E160/C5,0)</f>
        <v>0.265696162461282</v>
      </c>
      <c r="G160" s="85" t="n">
        <f aca="false">IFERROR(SUMPRODUCT((('Loan Tape'!$R$4:$R$303&lt;&gt;"")*('Loan Tape'!$R$4:$R$303&gt;=R160)*('Loan Tape'!$R$4:$R$303&lt;=S160))*'Loan Tape'!$U$4:$U$303*'Loan Tape'!$R$4:$R$303)/E160,"-")</f>
        <v>1.2196020353686</v>
      </c>
      <c r="H160" s="68" t="n">
        <f aca="false">IFERROR(SUMPRODUCT((('Loan Tape'!$R$4:$R$303&lt;&gt;"")*('Loan Tape'!$R$4:$R$303&gt;=R160)*('Loan Tape'!$R$4:$R$303&lt;=S160))*'Loan Tape'!$AH$4:$AH$303*'Loan Tape'!$R$4:$R$303)/E160,"-")</f>
        <v>85.3072934544259</v>
      </c>
      <c r="I160" s="68" t="n">
        <f aca="false">IFERROR(SUMPRODUCT((('Loan Tape'!$R$4:$R$303&lt;&gt;"")*('Loan Tape'!$R$4:$R$303&gt;=R160)*('Loan Tape'!$R$4:$R$303&lt;=S160))*(('Loan Tape'!$H$4:$H$303-$C$4)/30.4375)*'Loan Tape'!$R$4:$R$303)/E160,"-")</f>
        <v>10.1178293602458</v>
      </c>
      <c r="J160" s="69" t="n">
        <f aca="false">IFERROR(SUMPRODUCT((('Loan Tape'!$R$4:$R$303&lt;&gt;"")*('Loan Tape'!$R$4:$R$303&gt;=R160)*('Loan Tape'!$R$4:$R$303&lt;=S160))*('Loan Tape'!$K$4:$K$303="Floating")*'Loan Tape'!$R$4:$R$303)/E160,"-")</f>
        <v>0.503432497730268</v>
      </c>
      <c r="K160" s="69" t="n">
        <f aca="false">IFERROR(SUMPRODUCT((('Loan Tape'!$R$4:$R$303&lt;&gt;"")*('Loan Tape'!$R$4:$R$303&gt;=R160)*('Loan Tape'!$R$4:$R$303&lt;=S160))*'Loan Tape'!$T$4:$T$303*'Loan Tape'!$R$4:$R$303)/E160,"-")</f>
        <v>0.0869658930979046</v>
      </c>
      <c r="L160" s="69" t="n">
        <f aca="false">IFERROR(SUMPRODUCT((('Loan Tape'!$R$4:$R$303&lt;&gt;"")*('Loan Tape'!$R$4:$R$303&gt;=R160)*('Loan Tape'!$R$4:$R$303&lt;=S160))*'Loan Tape'!$V$4:$V$303*'Loan Tape'!$R$4:$R$303)/E160,"-")</f>
        <v>0.653448774948196</v>
      </c>
      <c r="M160" s="69" t="n">
        <f aca="false">IFERROR(SUMPRODUCT((('Loan Tape'!$R$4:$R$303&lt;&gt;"")*('Loan Tape'!$R$4:$R$303&gt;=R160)*('Loan Tape'!$R$4:$R$303&lt;=S160))*'Loan Tape'!$W$4:$W$303*'Loan Tape'!$R$4:$R$303)/E160,"-")</f>
        <v>0.693472423892356</v>
      </c>
      <c r="N160" s="69" t="n">
        <f aca="false">IFERROR(SUMPRODUCT((('Loan Tape'!$R$4:$R$303&lt;&gt;"")*('Loan Tape'!$R$4:$R$303&gt;=R160)*('Loan Tape'!$R$4:$R$303&lt;=S160))*'Loan Tape'!$AI$4:$AI$303*'Loan Tape'!$R$4:$R$303)/E160,"-")</f>
        <v>0.066907766704772</v>
      </c>
      <c r="O160" s="69" t="n">
        <f aca="false">IFERROR(SUMPRODUCT((('Loan Tape'!$R$4:$R$303&lt;&gt;"")*('Loan Tape'!$R$4:$R$303&gt;=R160)*('Loan Tape'!$R$4:$R$303&lt;=S160))*'Loan Tape'!$AK$4:$AK$303*'Loan Tape'!$R$4:$R$303)/E160,"-")</f>
        <v>0.0725205156588857</v>
      </c>
      <c r="P160" s="69" t="n">
        <f aca="false">IFERROR(SUMPRODUCT((('Loan Tape'!$R$4:$R$303&lt;&gt;"")*('Loan Tape'!$R$4:$R$303&gt;=R160)*('Loan Tape'!$R$4:$R$303&lt;=S160))*'Loan Tape'!$S$4:$S$303*'Loan Tape'!$R$4:$R$303)/E160,"-")</f>
        <v>0.868352493085236</v>
      </c>
      <c r="R160" s="91" t="n">
        <v>75000000</v>
      </c>
      <c r="S160" s="91" t="n">
        <v>99999999</v>
      </c>
    </row>
    <row r="161" customFormat="false" ht="14.25" hidden="false" customHeight="false" outlineLevel="0" collapsed="false">
      <c r="B161" s="7" t="s">
        <v>429</v>
      </c>
      <c r="C161" s="68" t="n">
        <f aca="false">COUNTIFS('Loan Tape'!$R$4:$R$303,"&gt;="&amp;R161,'Loan Tape'!$R$4:$R$303,"&lt;="&amp;S161,'Loan Tape'!$R$4:$R$303,"&lt;&gt;")</f>
        <v>8</v>
      </c>
      <c r="D161" s="68" t="n">
        <f aca="false">SUMPRODUCT((('Loan Tape'!$R$4:$R$303&lt;&gt;"")*('Loan Tape'!$R$4:$R$303&gt;=R161)*('Loan Tape'!$R$4:$R$303&lt;=S161))*'Loan Tape'!$F$4:$F$303)</f>
        <v>752</v>
      </c>
      <c r="E161" s="84" t="n">
        <f aca="false">SUMIFS('Loan Tape'!$R$4:$R$303,'Loan Tape'!$R$4:$R$303,"&gt;="&amp;R161,'Loan Tape'!$R$4:$R$303,"&lt;="&amp;S161,'Loan Tape'!$R$4:$R$303,"&lt;&gt;")</f>
        <v>970617000</v>
      </c>
      <c r="F161" s="69" t="n">
        <f aca="false">IFERROR(E161/C5,0)</f>
        <v>0.388929760659718</v>
      </c>
      <c r="G161" s="85" t="n">
        <f aca="false">IFERROR(SUMPRODUCT((('Loan Tape'!$R$4:$R$303&lt;&gt;"")*('Loan Tape'!$R$4:$R$303&gt;=R161)*('Loan Tape'!$R$4:$R$303&lt;=S161))*'Loan Tape'!$U$4:$U$303*'Loan Tape'!$R$4:$R$303)/E161,"-")</f>
        <v>1.4487478377156</v>
      </c>
      <c r="H161" s="68" t="n">
        <f aca="false">IFERROR(SUMPRODUCT((('Loan Tape'!$R$4:$R$303&lt;&gt;"")*('Loan Tape'!$R$4:$R$303&gt;=R161)*('Loan Tape'!$R$4:$R$303&lt;=S161))*'Loan Tape'!$AH$4:$AH$303*'Loan Tape'!$R$4:$R$303)/E161,"-")</f>
        <v>70.1223339381033</v>
      </c>
      <c r="I161" s="68" t="n">
        <f aca="false">IFERROR(SUMPRODUCT((('Loan Tape'!$R$4:$R$303&lt;&gt;"")*('Loan Tape'!$R$4:$R$303&gt;=R161)*('Loan Tape'!$R$4:$R$303&lt;=S161))*(('Loan Tape'!$H$4:$H$303-$C$4)/30.4375)*'Loan Tape'!$R$4:$R$303)/E161,"-")</f>
        <v>21.5497361181248</v>
      </c>
      <c r="J161" s="69" t="n">
        <f aca="false">IFERROR(SUMPRODUCT((('Loan Tape'!$R$4:$R$303&lt;&gt;"")*('Loan Tape'!$R$4:$R$303&gt;=R161)*('Loan Tape'!$R$4:$R$303&lt;=S161))*('Loan Tape'!$K$4:$K$303="Floating")*'Loan Tape'!$R$4:$R$303)/E161,"-")</f>
        <v>0.629764366377263</v>
      </c>
      <c r="K161" s="69" t="n">
        <f aca="false">IFERROR(SUMPRODUCT((('Loan Tape'!$R$4:$R$303&lt;&gt;"")*('Loan Tape'!$R$4:$R$303&gt;=R161)*('Loan Tape'!$R$4:$R$303&lt;=S161))*'Loan Tape'!$T$4:$T$303*'Loan Tape'!$R$4:$R$303)/E161,"-")</f>
        <v>0.0894579949660886</v>
      </c>
      <c r="L161" s="69" t="n">
        <f aca="false">IFERROR(SUMPRODUCT((('Loan Tape'!$R$4:$R$303&lt;&gt;"")*('Loan Tape'!$R$4:$R$303&gt;=R161)*('Loan Tape'!$R$4:$R$303&lt;=S161))*'Loan Tape'!$V$4:$V$303*'Loan Tape'!$R$4:$R$303)/E161,"-")</f>
        <v>0.730045119753724</v>
      </c>
      <c r="M161" s="69" t="n">
        <f aca="false">IFERROR(SUMPRODUCT((('Loan Tape'!$R$4:$R$303&lt;&gt;"")*('Loan Tape'!$R$4:$R$303&gt;=R161)*('Loan Tape'!$R$4:$R$303&lt;=S161))*'Loan Tape'!$W$4:$W$303*'Loan Tape'!$R$4:$R$303)/E161,"-")</f>
        <v>0.757770828246363</v>
      </c>
      <c r="N161" s="69" t="n">
        <f aca="false">IFERROR(SUMPRODUCT((('Loan Tape'!$R$4:$R$303&lt;&gt;"")*('Loan Tape'!$R$4:$R$303&gt;=R161)*('Loan Tape'!$R$4:$R$303&lt;=S161))*'Loan Tape'!$AI$4:$AI$303*'Loan Tape'!$R$4:$R$303)/E161,"-")</f>
        <v>0.0712998215568036</v>
      </c>
      <c r="O161" s="69" t="n">
        <f aca="false">IFERROR(SUMPRODUCT((('Loan Tape'!$R$4:$R$303&lt;&gt;"")*('Loan Tape'!$R$4:$R$303&gt;=R161)*('Loan Tape'!$R$4:$R$303&lt;=S161))*'Loan Tape'!$AK$4:$AK$303*'Loan Tape'!$R$4:$R$303)/E161,"-")</f>
        <v>0.0807462870524625</v>
      </c>
      <c r="P161" s="69" t="n">
        <f aca="false">IFERROR(SUMPRODUCT((('Loan Tape'!$R$4:$R$303&lt;&gt;"")*('Loan Tape'!$R$4:$R$303&gt;=R161)*('Loan Tape'!$R$4:$R$303&lt;=S161))*'Loan Tape'!$S$4:$S$303*'Loan Tape'!$R$4:$R$303)/E161,"-")</f>
        <v>0.878574530427553</v>
      </c>
      <c r="R161" s="91" t="n">
        <v>100000000</v>
      </c>
      <c r="S161" s="91" t="n">
        <v>1000000000000</v>
      </c>
    </row>
    <row r="162" customFormat="false" ht="14.25" hidden="false" customHeight="false" outlineLevel="0" collapsed="false">
      <c r="B162" s="86" t="s">
        <v>405</v>
      </c>
      <c r="C162" s="92" t="n">
        <f aca="false">SUM(C156:C161)</f>
        <v>50</v>
      </c>
      <c r="D162" s="92" t="n">
        <f aca="false">SUM(D156:D161)</f>
        <v>4739</v>
      </c>
      <c r="E162" s="88" t="n">
        <f aca="false">SUM(E156:E161)</f>
        <v>2495610000</v>
      </c>
      <c r="F162" s="89" t="n">
        <f aca="false">SUM(F156:F161)</f>
        <v>1</v>
      </c>
      <c r="G162" s="90" t="n">
        <f aca="false">IFERROR(SUMPRODUCT((('Loan Tape'!$R$4:$R$303&lt;&gt;""))*'Loan Tape'!$U$4:$U$303*'Loan Tape'!$R$4:$R$303)/E162,"-")</f>
        <v>1.36575944157941</v>
      </c>
      <c r="H162" s="92" t="n">
        <f aca="false">IFERROR(SUMPRODUCT((('Loan Tape'!$R$4:$R$303&lt;&gt;""))*'Loan Tape'!$AH$4:$AH$303*'Loan Tape'!$R$4:$R$303)/E162,"-")</f>
        <v>76.5147345138063</v>
      </c>
      <c r="I162" s="92" t="n">
        <f aca="false">IFERROR(SUMPRODUCT((('Loan Tape'!$R$4:$R$303&lt;&gt;""))*(('Loan Tape'!$H$4:$H$303-$C$4)/30.4375)*'Loan Tape'!$R$4:$R$303)/E162,"-")</f>
        <v>17.6772942206432</v>
      </c>
      <c r="J162" s="89" t="n">
        <f aca="false">IFERROR(SUMPRODUCT((('Loan Tape'!$R$4:$R$303&lt;&gt;""))*('Loan Tape'!$K$4:$K$303="Floating")*'Loan Tape'!$R$4:$R$303)/E162,"-")</f>
        <v>0.664477622705471</v>
      </c>
      <c r="K162" s="89" t="n">
        <f aca="false">IFERROR(SUMPRODUCT((('Loan Tape'!$R$4:$R$303&lt;&gt;""))*'Loan Tape'!$T$4:$T$303*'Loan Tape'!$R$4:$R$303)/E162,"-")</f>
        <v>0.0861540568438177</v>
      </c>
      <c r="L162" s="89" t="n">
        <f aca="false">IFERROR(SUMPRODUCT((('Loan Tape'!$R$4:$R$303&lt;&gt;""))*'Loan Tape'!$V$4:$V$303*'Loan Tape'!$R$4:$R$303)/E162,"-")</f>
        <v>0.683559256454334</v>
      </c>
      <c r="M162" s="89" t="n">
        <f aca="false">IFERROR(SUMPRODUCT((('Loan Tape'!$R$4:$R$303&lt;&gt;""))*'Loan Tape'!$W$4:$W$303*'Loan Tape'!$R$4:$R$303)/E162,"-")</f>
        <v>0.716164459190338</v>
      </c>
      <c r="N162" s="89" t="n">
        <f aca="false">IFERROR(SUMPRODUCT((('Loan Tape'!$R$4:$R$303&lt;&gt;""))*'Loan Tape'!$AI$4:$AI$303*'Loan Tape'!$R$4:$R$303)/E162,"-")</f>
        <v>0.0704574522862146</v>
      </c>
      <c r="O162" s="89" t="n">
        <f aca="false">IFERROR(SUMPRODUCT((('Loan Tape'!$R$4:$R$303&lt;&gt;""))*'Loan Tape'!$AK$4:$AK$303*'Loan Tape'!$R$4:$R$303)/E162,"-")</f>
        <v>0.0792103169165054</v>
      </c>
      <c r="P162" s="89" t="n">
        <f aca="false">IFERROR(SUMPRODUCT((('Loan Tape'!$R$4:$R$303&lt;&gt;""))*'Loan Tape'!$S$4:$S$303*'Loan Tape'!$R$4:$R$303)/E162,"-")</f>
        <v>0.886687142221741</v>
      </c>
    </row>
    <row r="164" customFormat="false" ht="19.5" hidden="false" customHeight="true" outlineLevel="0" collapsed="false">
      <c r="B164" s="5" t="s">
        <v>430</v>
      </c>
      <c r="C164" s="5"/>
      <c r="D164" s="5"/>
      <c r="E164" s="5"/>
      <c r="F164" s="5"/>
      <c r="G164" s="5"/>
      <c r="H164" s="5"/>
      <c r="I164" s="5"/>
      <c r="J164" s="5"/>
      <c r="K164" s="5"/>
      <c r="L164" s="5"/>
      <c r="M164" s="5"/>
      <c r="N164" s="5"/>
      <c r="O164" s="5"/>
      <c r="P164" s="5"/>
    </row>
    <row r="165" customFormat="false" ht="42" hidden="false" customHeight="true" outlineLevel="0" collapsed="false">
      <c r="B165" s="82" t="s">
        <v>423</v>
      </c>
      <c r="C165" s="83" t="s">
        <v>368</v>
      </c>
      <c r="D165" s="83" t="s">
        <v>153</v>
      </c>
      <c r="E165" s="83" t="s">
        <v>393</v>
      </c>
      <c r="F165" s="83" t="s">
        <v>394</v>
      </c>
      <c r="G165" s="83" t="s">
        <v>395</v>
      </c>
      <c r="H165" s="83" t="s">
        <v>396</v>
      </c>
      <c r="I165" s="83" t="s">
        <v>397</v>
      </c>
      <c r="J165" s="83" t="s">
        <v>398</v>
      </c>
      <c r="K165" s="83" t="s">
        <v>399</v>
      </c>
      <c r="L165" s="83" t="s">
        <v>400</v>
      </c>
      <c r="M165" s="83" t="s">
        <v>401</v>
      </c>
      <c r="N165" s="83" t="s">
        <v>402</v>
      </c>
      <c r="O165" s="83" t="s">
        <v>403</v>
      </c>
      <c r="P165" s="83" t="s">
        <v>365</v>
      </c>
    </row>
    <row r="166" customFormat="false" ht="14.25" hidden="false" customHeight="false" outlineLevel="0" collapsed="false">
      <c r="B166" s="7" t="s">
        <v>431</v>
      </c>
      <c r="C166" s="68" t="n">
        <f aca="false">COUNTIFS('Loan Tape'!$AI$4:$AI$303,"&gt;="&amp;R166,'Loan Tape'!$AI$4:$AI$303,"&lt;="&amp;S166,'Loan Tape'!$R$4:$R$303,"&lt;&gt;")</f>
        <v>5</v>
      </c>
      <c r="D166" s="68" t="n">
        <f aca="false">SUMPRODUCT((('Loan Tape'!$R$4:$R$303&lt;&gt;"")*('Loan Tape'!$AI$4:$AI$303&gt;=R166)*('Loan Tape'!$AI$4:$AI$303&lt;=S166))*'Loan Tape'!$F$4:$F$303)</f>
        <v>1007</v>
      </c>
      <c r="E166" s="84" t="n">
        <f aca="false">SUMIFS('Loan Tape'!$R$4:$R$303,'Loan Tape'!$AI$4:$AI$303,"&gt;="&amp;R166,'Loan Tape'!$AI$4:$AI$303,"&lt;="&amp;S166,'Loan Tape'!$R$4:$R$303,"&lt;&gt;")</f>
        <v>121053000</v>
      </c>
      <c r="F166" s="69" t="n">
        <f aca="false">IFERROR(E166/C5,0)</f>
        <v>0.0485063771983603</v>
      </c>
      <c r="G166" s="85" t="n">
        <f aca="false">IFERROR(SUMPRODUCT((('Loan Tape'!$R$4:$R$303&lt;&gt;"")*('Loan Tape'!$AI$4:$AI$303&gt;=R166)*('Loan Tape'!$AI$4:$AI$303&lt;=S166))*'Loan Tape'!$U$4:$U$303*'Loan Tape'!$R$4:$R$303)/E166,"-")</f>
        <v>1.45532444466473</v>
      </c>
      <c r="H166" s="68" t="n">
        <f aca="false">IFERROR(SUMPRODUCT((('Loan Tape'!$R$4:$R$303&lt;&gt;"")*('Loan Tape'!$AI$4:$AI$303&gt;=R166)*('Loan Tape'!$AI$4:$AI$303&lt;=S166))*'Loan Tape'!$AH$4:$AH$303*'Loan Tape'!$R$4:$R$303)/E166,"-")</f>
        <v>87.1989368293227</v>
      </c>
      <c r="I166" s="68" t="n">
        <f aca="false">IFERROR(SUMPRODUCT((('Loan Tape'!$R$4:$R$303&lt;&gt;"")*('Loan Tape'!$AI$4:$AI$303&gt;=R166)*('Loan Tape'!$AI$4:$AI$303&lt;=S166))*(('Loan Tape'!$H$4:$H$303-$C$4)/30.4375)*'Loan Tape'!$R$4:$R$303)/E166,"-")</f>
        <v>32.8343188249327</v>
      </c>
      <c r="J166" s="69" t="n">
        <f aca="false">IFERROR(SUMPRODUCT((('Loan Tape'!$R$4:$R$303&lt;&gt;"")*('Loan Tape'!$AI$4:$AI$303&gt;=R166)*('Loan Tape'!$AI$4:$AI$303&lt;=S166))*('Loan Tape'!$K$4:$K$303="Floating")*'Loan Tape'!$R$4:$R$303)/E166,"-")</f>
        <v>0</v>
      </c>
      <c r="K166" s="69" t="n">
        <f aca="false">IFERROR(SUMPRODUCT((('Loan Tape'!$R$4:$R$303&lt;&gt;"")*('Loan Tape'!$AI$4:$AI$303&gt;=R166)*('Loan Tape'!$AI$4:$AI$303&lt;=S166))*'Loan Tape'!$T$4:$T$303*'Loan Tape'!$R$4:$R$303)/E166,"-")</f>
        <v>0.106440706963066</v>
      </c>
      <c r="L166" s="69" t="n">
        <f aca="false">IFERROR(SUMPRODUCT((('Loan Tape'!$R$4:$R$303&lt;&gt;"")*('Loan Tape'!$AI$4:$AI$303&gt;=R166)*('Loan Tape'!$AI$4:$AI$303&lt;=S166))*'Loan Tape'!$V$4:$V$303*'Loan Tape'!$R$4:$R$303)/E166,"-")</f>
        <v>0.586281281752621</v>
      </c>
      <c r="M166" s="69" t="n">
        <f aca="false">IFERROR(SUMPRODUCT((('Loan Tape'!$R$4:$R$303&lt;&gt;"")*('Loan Tape'!$AI$4:$AI$303&gt;=R166)*('Loan Tape'!$AI$4:$AI$303&lt;=S166))*'Loan Tape'!$W$4:$W$303*'Loan Tape'!$R$4:$R$303)/E166,"-")</f>
        <v>0.624667674489686</v>
      </c>
      <c r="N166" s="69" t="n">
        <f aca="false">IFERROR(SUMPRODUCT((('Loan Tape'!$R$4:$R$303&lt;&gt;"")*('Loan Tape'!$AI$4:$AI$303&gt;=R166)*('Loan Tape'!$AI$4:$AI$303&lt;=S166))*'Loan Tape'!$AI$4:$AI$303*'Loan Tape'!$R$4:$R$303)/E166,"-")</f>
        <v>0.0467921868933442</v>
      </c>
      <c r="O166" s="69" t="n">
        <f aca="false">IFERROR(SUMPRODUCT((('Loan Tape'!$R$4:$R$303&lt;&gt;"")*('Loan Tape'!$AI$4:$AI$303&gt;=R166)*('Loan Tape'!$AI$4:$AI$303&lt;=S166))*'Loan Tape'!$AK$4:$AK$303*'Loan Tape'!$R$4:$R$303)/E166,"-")</f>
        <v>0.0467921868933442</v>
      </c>
      <c r="P166" s="69" t="n">
        <f aca="false">IFERROR(SUMPRODUCT((('Loan Tape'!$R$4:$R$303&lt;&gt;"")*('Loan Tape'!$AI$4:$AI$303&gt;=R166)*('Loan Tape'!$AI$4:$AI$303&lt;=S166))*'Loan Tape'!$S$4:$S$303*'Loan Tape'!$R$4:$R$303)/E166,"-")</f>
        <v>0.82283478311153</v>
      </c>
      <c r="R166" s="91" t="n">
        <v>-1000000000000</v>
      </c>
      <c r="S166" s="91" t="n">
        <v>0.04999</v>
      </c>
    </row>
    <row r="167" customFormat="false" ht="14.25" hidden="false" customHeight="false" outlineLevel="0" collapsed="false">
      <c r="B167" s="7" t="s">
        <v>432</v>
      </c>
      <c r="C167" s="68" t="n">
        <f aca="false">COUNTIFS('Loan Tape'!$AI$4:$AI$303,"&gt;="&amp;R167,'Loan Tape'!$AI$4:$AI$303,"&lt;="&amp;S167,'Loan Tape'!$R$4:$R$303,"&lt;&gt;")</f>
        <v>8</v>
      </c>
      <c r="D167" s="68" t="n">
        <f aca="false">SUMPRODUCT((('Loan Tape'!$R$4:$R$303&lt;&gt;"")*('Loan Tape'!$AI$4:$AI$303&gt;=R167)*('Loan Tape'!$AI$4:$AI$303&lt;=S167))*'Loan Tape'!$F$4:$F$303)</f>
        <v>831</v>
      </c>
      <c r="E167" s="84" t="n">
        <f aca="false">SUMIFS('Loan Tape'!$R$4:$R$303,'Loan Tape'!$AI$4:$AI$303,"&gt;="&amp;R167,'Loan Tape'!$AI$4:$AI$303,"&lt;="&amp;S167,'Loan Tape'!$R$4:$R$303,"&lt;&gt;")</f>
        <v>468083000</v>
      </c>
      <c r="F167" s="69" t="n">
        <f aca="false">IFERROR(E167/C5,0)</f>
        <v>0.187562559855106</v>
      </c>
      <c r="G167" s="85" t="n">
        <f aca="false">IFERROR(SUMPRODUCT((('Loan Tape'!$R$4:$R$303&lt;&gt;"")*('Loan Tape'!$AI$4:$AI$303&gt;=R167)*('Loan Tape'!$AI$4:$AI$303&lt;=S167))*'Loan Tape'!$U$4:$U$303*'Loan Tape'!$R$4:$R$303)/E167,"-")</f>
        <v>1.29910263778005</v>
      </c>
      <c r="H167" s="68" t="n">
        <f aca="false">IFERROR(SUMPRODUCT((('Loan Tape'!$R$4:$R$303&lt;&gt;"")*('Loan Tape'!$AI$4:$AI$303&gt;=R167)*('Loan Tape'!$AI$4:$AI$303&lt;=S167))*'Loan Tape'!$AH$4:$AH$303*'Loan Tape'!$R$4:$R$303)/E167,"-")</f>
        <v>83.1953279653395</v>
      </c>
      <c r="I167" s="68" t="n">
        <f aca="false">IFERROR(SUMPRODUCT((('Loan Tape'!$R$4:$R$303&lt;&gt;"")*('Loan Tape'!$AI$4:$AI$303&gt;=R167)*('Loan Tape'!$AI$4:$AI$303&lt;=S167))*(('Loan Tape'!$H$4:$H$303-$C$4)/30.4375)*'Loan Tape'!$R$4:$R$303)/E167,"-")</f>
        <v>-1.33093649509438</v>
      </c>
      <c r="J167" s="69" t="n">
        <f aca="false">IFERROR(SUMPRODUCT((('Loan Tape'!$R$4:$R$303&lt;&gt;"")*('Loan Tape'!$AI$4:$AI$303&gt;=R167)*('Loan Tape'!$AI$4:$AI$303&lt;=S167))*('Loan Tape'!$K$4:$K$303="Floating")*'Loan Tape'!$R$4:$R$303)/E167,"-")</f>
        <v>0</v>
      </c>
      <c r="K167" s="69" t="n">
        <f aca="false">IFERROR(SUMPRODUCT((('Loan Tape'!$R$4:$R$303&lt;&gt;"")*('Loan Tape'!$AI$4:$AI$303&gt;=R167)*('Loan Tape'!$AI$4:$AI$303&lt;=S167))*'Loan Tape'!$T$4:$T$303*'Loan Tape'!$R$4:$R$303)/E167,"-")</f>
        <v>0.0984252051452413</v>
      </c>
      <c r="L167" s="69" t="n">
        <f aca="false">IFERROR(SUMPRODUCT((('Loan Tape'!$R$4:$R$303&lt;&gt;"")*('Loan Tape'!$AI$4:$AI$303&gt;=R167)*('Loan Tape'!$AI$4:$AI$303&lt;=S167))*'Loan Tape'!$V$4:$V$303*'Loan Tape'!$R$4:$R$303)/E167,"-")</f>
        <v>0.752721786520767</v>
      </c>
      <c r="M167" s="69" t="n">
        <f aca="false">IFERROR(SUMPRODUCT((('Loan Tape'!$R$4:$R$303&lt;&gt;"")*('Loan Tape'!$AI$4:$AI$303&gt;=R167)*('Loan Tape'!$AI$4:$AI$303&lt;=S167))*'Loan Tape'!$W$4:$W$303*'Loan Tape'!$R$4:$R$303)/E167,"-")</f>
        <v>0.790509151154817</v>
      </c>
      <c r="N167" s="69" t="n">
        <f aca="false">IFERROR(SUMPRODUCT((('Loan Tape'!$R$4:$R$303&lt;&gt;"")*('Loan Tape'!$AI$4:$AI$303&gt;=R167)*('Loan Tape'!$AI$4:$AI$303&lt;=S167))*'Loan Tape'!$AI$4:$AI$303*'Loan Tape'!$R$4:$R$303)/E167,"-")</f>
        <v>0.0549106267478204</v>
      </c>
      <c r="O167" s="69" t="n">
        <f aca="false">IFERROR(SUMPRODUCT((('Loan Tape'!$R$4:$R$303&lt;&gt;"")*('Loan Tape'!$AI$4:$AI$303&gt;=R167)*('Loan Tape'!$AI$4:$AI$303&lt;=S167))*'Loan Tape'!$AK$4:$AK$303*'Loan Tape'!$R$4:$R$303)/E167,"-")</f>
        <v>0.0549106267478204</v>
      </c>
      <c r="P167" s="69" t="n">
        <f aca="false">IFERROR(SUMPRODUCT((('Loan Tape'!$R$4:$R$303&lt;&gt;"")*('Loan Tape'!$AI$4:$AI$303&gt;=R167)*('Loan Tape'!$AI$4:$AI$303&lt;=S167))*'Loan Tape'!$S$4:$S$303*'Loan Tape'!$R$4:$R$303)/E167,"-")</f>
        <v>0.866786296447425</v>
      </c>
      <c r="R167" s="91" t="n">
        <v>0.05</v>
      </c>
      <c r="S167" s="91" t="n">
        <v>0.05999</v>
      </c>
    </row>
    <row r="168" customFormat="false" ht="14.25" hidden="false" customHeight="false" outlineLevel="0" collapsed="false">
      <c r="B168" s="7" t="s">
        <v>433</v>
      </c>
      <c r="C168" s="68" t="n">
        <f aca="false">COUNTIFS('Loan Tape'!$AI$4:$AI$303,"&gt;="&amp;R168,'Loan Tape'!$AI$4:$AI$303,"&lt;="&amp;S168,'Loan Tape'!$R$4:$R$303,"&lt;&gt;")</f>
        <v>12</v>
      </c>
      <c r="D168" s="68" t="n">
        <f aca="false">SUMPRODUCT((('Loan Tape'!$R$4:$R$303&lt;&gt;"")*('Loan Tape'!$AI$4:$AI$303&gt;=R168)*('Loan Tape'!$AI$4:$AI$303&lt;=S168))*'Loan Tape'!$F$4:$F$303)</f>
        <v>476</v>
      </c>
      <c r="E168" s="84" t="n">
        <f aca="false">SUMIFS('Loan Tape'!$R$4:$R$303,'Loan Tape'!$AI$4:$AI$303,"&gt;="&amp;R168,'Loan Tape'!$AI$4:$AI$303,"&lt;="&amp;S168,'Loan Tape'!$R$4:$R$303,"&lt;&gt;")</f>
        <v>575017000</v>
      </c>
      <c r="F168" s="69" t="n">
        <f aca="false">IFERROR(E168/C5,0)</f>
        <v>0.230411402422654</v>
      </c>
      <c r="G168" s="85" t="n">
        <f aca="false">IFERROR(SUMPRODUCT((('Loan Tape'!$R$4:$R$303&lt;&gt;"")*('Loan Tape'!$AI$4:$AI$303&gt;=R168)*('Loan Tape'!$AI$4:$AI$303&lt;=S168))*'Loan Tape'!$U$4:$U$303*'Loan Tape'!$R$4:$R$303)/E168,"-")</f>
        <v>1.3667028105256</v>
      </c>
      <c r="H168" s="68" t="n">
        <f aca="false">IFERROR(SUMPRODUCT((('Loan Tape'!$R$4:$R$303&lt;&gt;"")*('Loan Tape'!$AI$4:$AI$303&gt;=R168)*('Loan Tape'!$AI$4:$AI$303&lt;=S168))*'Loan Tape'!$AH$4:$AH$303*'Loan Tape'!$R$4:$R$303)/E168,"-")</f>
        <v>86.6700452334453</v>
      </c>
      <c r="I168" s="68" t="n">
        <f aca="false">IFERROR(SUMPRODUCT((('Loan Tape'!$R$4:$R$303&lt;&gt;"")*('Loan Tape'!$AI$4:$AI$303&gt;=R168)*('Loan Tape'!$AI$4:$AI$303&lt;=S168))*(('Loan Tape'!$H$4:$H$303-$C$4)/30.4375)*'Loan Tape'!$R$4:$R$303)/E168,"-")</f>
        <v>10.494252149224</v>
      </c>
      <c r="J168" s="69" t="n">
        <f aca="false">IFERROR(SUMPRODUCT((('Loan Tape'!$R$4:$R$303&lt;&gt;"")*('Loan Tape'!$AI$4:$AI$303&gt;=R168)*('Loan Tape'!$AI$4:$AI$303&lt;=S168))*('Loan Tape'!$K$4:$K$303="Floating")*'Loan Tape'!$R$4:$R$303)/E168,"-")</f>
        <v>0.568365804837074</v>
      </c>
      <c r="K168" s="69" t="n">
        <f aca="false">IFERROR(SUMPRODUCT((('Loan Tape'!$R$4:$R$303&lt;&gt;"")*('Loan Tape'!$AI$4:$AI$303&gt;=R168)*('Loan Tape'!$AI$4:$AI$303&lt;=S168))*'Loan Tape'!$T$4:$T$303*'Loan Tape'!$R$4:$R$303)/E168,"-")</f>
        <v>0.0889168617623479</v>
      </c>
      <c r="L168" s="69" t="n">
        <f aca="false">IFERROR(SUMPRODUCT((('Loan Tape'!$R$4:$R$303&lt;&gt;"")*('Loan Tape'!$AI$4:$AI$303&gt;=R168)*('Loan Tape'!$AI$4:$AI$303&lt;=S168))*'Loan Tape'!$V$4:$V$303*'Loan Tape'!$R$4:$R$303)/E168,"-")</f>
        <v>0.571757073269138</v>
      </c>
      <c r="M168" s="69" t="n">
        <f aca="false">IFERROR(SUMPRODUCT((('Loan Tape'!$R$4:$R$303&lt;&gt;"")*('Loan Tape'!$AI$4:$AI$303&gt;=R168)*('Loan Tape'!$AI$4:$AI$303&lt;=S168))*'Loan Tape'!$W$4:$W$303*'Loan Tape'!$R$4:$R$303)/E168,"-")</f>
        <v>0.604581448896294</v>
      </c>
      <c r="N168" s="69" t="n">
        <f aca="false">IFERROR(SUMPRODUCT((('Loan Tape'!$R$4:$R$303&lt;&gt;"")*('Loan Tape'!$AI$4:$AI$303&gt;=R168)*('Loan Tape'!$AI$4:$AI$303&lt;=S168))*'Loan Tape'!$AI$4:$AI$303*'Loan Tape'!$R$4:$R$303)/E168,"-")</f>
        <v>0.065514992252403</v>
      </c>
      <c r="O168" s="69" t="n">
        <f aca="false">IFERROR(SUMPRODUCT((('Loan Tape'!$R$4:$R$303&lt;&gt;"")*('Loan Tape'!$AI$4:$AI$303&gt;=R168)*('Loan Tape'!$AI$4:$AI$303&lt;=S168))*'Loan Tape'!$AK$4:$AK$303*'Loan Tape'!$R$4:$R$303)/E168,"-")</f>
        <v>0.0740404793249591</v>
      </c>
      <c r="P168" s="69" t="n">
        <f aca="false">IFERROR(SUMPRODUCT((('Loan Tape'!$R$4:$R$303&lt;&gt;"")*('Loan Tape'!$AI$4:$AI$303&gt;=R168)*('Loan Tape'!$AI$4:$AI$303&lt;=S168))*'Loan Tape'!$S$4:$S$303*'Loan Tape'!$R$4:$R$303)/E168,"-")</f>
        <v>0.928684538022354</v>
      </c>
      <c r="R168" s="91" t="n">
        <v>0.06</v>
      </c>
      <c r="S168" s="91" t="n">
        <v>0.06999</v>
      </c>
    </row>
    <row r="169" customFormat="false" ht="14.25" hidden="false" customHeight="false" outlineLevel="0" collapsed="false">
      <c r="B169" s="7" t="s">
        <v>434</v>
      </c>
      <c r="C169" s="68" t="n">
        <f aca="false">COUNTIFS('Loan Tape'!$AI$4:$AI$303,"&gt;="&amp;R169,'Loan Tape'!$AI$4:$AI$303,"&lt;="&amp;S169,'Loan Tape'!$R$4:$R$303,"&lt;&gt;")</f>
        <v>12</v>
      </c>
      <c r="D169" s="68" t="n">
        <f aca="false">SUMPRODUCT((('Loan Tape'!$R$4:$R$303&lt;&gt;"")*('Loan Tape'!$AI$4:$AI$303&gt;=R169)*('Loan Tape'!$AI$4:$AI$303&lt;=S169))*'Loan Tape'!$F$4:$F$303)</f>
        <v>911</v>
      </c>
      <c r="E169" s="84" t="n">
        <f aca="false">SUMIFS('Loan Tape'!$R$4:$R$303,'Loan Tape'!$AI$4:$AI$303,"&gt;="&amp;R169,'Loan Tape'!$AI$4:$AI$303,"&lt;="&amp;S169,'Loan Tape'!$R$4:$R$303,"&lt;&gt;")</f>
        <v>559458000</v>
      </c>
      <c r="F169" s="69" t="n">
        <f aca="false">IFERROR(E169/C5,0)</f>
        <v>0.224176854556601</v>
      </c>
      <c r="G169" s="85" t="n">
        <f aca="false">IFERROR(SUMPRODUCT((('Loan Tape'!$R$4:$R$303&lt;&gt;"")*('Loan Tape'!$AI$4:$AI$303&gt;=R169)*('Loan Tape'!$AI$4:$AI$303&lt;=S169))*'Loan Tape'!$U$4:$U$303*'Loan Tape'!$R$4:$R$303)/E169,"-")</f>
        <v>1.38686450099918</v>
      </c>
      <c r="H169" s="68" t="n">
        <f aca="false">IFERROR(SUMPRODUCT((('Loan Tape'!$R$4:$R$303&lt;&gt;"")*('Loan Tape'!$AI$4:$AI$303&gt;=R169)*('Loan Tape'!$AI$4:$AI$303&lt;=S169))*'Loan Tape'!$AH$4:$AH$303*'Loan Tape'!$R$4:$R$303)/E169,"-")</f>
        <v>62.5887982654641</v>
      </c>
      <c r="I169" s="68" t="n">
        <f aca="false">IFERROR(SUMPRODUCT((('Loan Tape'!$R$4:$R$303&lt;&gt;"")*('Loan Tape'!$AI$4:$AI$303&gt;=R169)*('Loan Tape'!$AI$4:$AI$303&lt;=S169))*(('Loan Tape'!$H$4:$H$303-$C$4)/30.4375)*'Loan Tape'!$R$4:$R$303)/E169,"-")</f>
        <v>26.6364052277262</v>
      </c>
      <c r="J169" s="69" t="n">
        <f aca="false">IFERROR(SUMPRODUCT((('Loan Tape'!$R$4:$R$303&lt;&gt;"")*('Loan Tape'!$AI$4:$AI$303&gt;=R169)*('Loan Tape'!$AI$4:$AI$303&lt;=S169))*('Loan Tape'!$K$4:$K$303="Floating")*'Loan Tape'!$R$4:$R$303)/E169,"-")</f>
        <v>1</v>
      </c>
      <c r="K169" s="69" t="n">
        <f aca="false">IFERROR(SUMPRODUCT((('Loan Tape'!$R$4:$R$303&lt;&gt;"")*('Loan Tape'!$AI$4:$AI$303&gt;=R169)*('Loan Tape'!$AI$4:$AI$303&lt;=S169))*'Loan Tape'!$T$4:$T$303*'Loan Tape'!$R$4:$R$303)/E169,"-")</f>
        <v>0.0939143451340405</v>
      </c>
      <c r="L169" s="69" t="n">
        <f aca="false">IFERROR(SUMPRODUCT((('Loan Tape'!$R$4:$R$303&lt;&gt;"")*('Loan Tape'!$AI$4:$AI$303&gt;=R169)*('Loan Tape'!$AI$4:$AI$303&lt;=S169))*'Loan Tape'!$V$4:$V$303*'Loan Tape'!$R$4:$R$303)/E169,"-")</f>
        <v>0.689526177121428</v>
      </c>
      <c r="M169" s="69" t="n">
        <f aca="false">IFERROR(SUMPRODUCT((('Loan Tape'!$R$4:$R$303&lt;&gt;"")*('Loan Tape'!$AI$4:$AI$303&gt;=R169)*('Loan Tape'!$AI$4:$AI$303&lt;=S169))*'Loan Tape'!$W$4:$W$303*'Loan Tape'!$R$4:$R$303)/E169,"-")</f>
        <v>0.714699680762452</v>
      </c>
      <c r="N169" s="69" t="n">
        <f aca="false">IFERROR(SUMPRODUCT((('Loan Tape'!$R$4:$R$303&lt;&gt;"")*('Loan Tape'!$AI$4:$AI$303&gt;=R169)*('Loan Tape'!$AI$4:$AI$303&lt;=S169))*'Loan Tape'!$AI$4:$AI$303*'Loan Tape'!$R$4:$R$303)/E169,"-")</f>
        <v>0.0746774496030086</v>
      </c>
      <c r="O169" s="69" t="n">
        <f aca="false">IFERROR(SUMPRODUCT((('Loan Tape'!$R$4:$R$303&lt;&gt;"")*('Loan Tape'!$AI$4:$AI$303&gt;=R169)*('Loan Tape'!$AI$4:$AI$303&lt;=S169))*'Loan Tape'!$AK$4:$AK$303*'Loan Tape'!$R$4:$R$303)/E169,"-")</f>
        <v>0.089242188868512</v>
      </c>
      <c r="P169" s="69" t="n">
        <f aca="false">IFERROR(SUMPRODUCT((('Loan Tape'!$R$4:$R$303&lt;&gt;"")*('Loan Tape'!$AI$4:$AI$303&gt;=R169)*('Loan Tape'!$AI$4:$AI$303&lt;=S169))*'Loan Tape'!$S$4:$S$303*'Loan Tape'!$R$4:$R$303)/E169,"-")</f>
        <v>0.913862336404163</v>
      </c>
      <c r="R169" s="91" t="n">
        <v>0.07</v>
      </c>
      <c r="S169" s="91" t="n">
        <v>0.07999</v>
      </c>
    </row>
    <row r="170" customFormat="false" ht="14.25" hidden="false" customHeight="false" outlineLevel="0" collapsed="false">
      <c r="B170" s="7" t="s">
        <v>435</v>
      </c>
      <c r="C170" s="68" t="n">
        <f aca="false">COUNTIFS('Loan Tape'!$AI$4:$AI$303,"&gt;="&amp;R170,'Loan Tape'!$AI$4:$AI$303,"&lt;="&amp;S170,'Loan Tape'!$R$4:$R$303,"&lt;&gt;")</f>
        <v>13</v>
      </c>
      <c r="D170" s="68" t="n">
        <f aca="false">SUMPRODUCT((('Loan Tape'!$R$4:$R$303&lt;&gt;"")*('Loan Tape'!$AI$4:$AI$303&gt;=R170)*('Loan Tape'!$AI$4:$AI$303&lt;=S170))*'Loan Tape'!$F$4:$F$303)</f>
        <v>1514</v>
      </c>
      <c r="E170" s="84" t="n">
        <f aca="false">SUMIFS('Loan Tape'!$R$4:$R$303,'Loan Tape'!$AI$4:$AI$303,"&gt;="&amp;R170,'Loan Tape'!$AI$4:$AI$303,"&lt;="&amp;S170,'Loan Tape'!$R$4:$R$303,"&lt;&gt;")</f>
        <v>771999000</v>
      </c>
      <c r="F170" s="69" t="n">
        <f aca="false">IFERROR(E170/C5,0)</f>
        <v>0.309342805967279</v>
      </c>
      <c r="G170" s="85" t="n">
        <f aca="false">IFERROR(SUMPRODUCT((('Loan Tape'!$R$4:$R$303&lt;&gt;"")*('Loan Tape'!$AI$4:$AI$303&gt;=R170)*('Loan Tape'!$AI$4:$AI$303&lt;=S170))*'Loan Tape'!$U$4:$U$303*'Loan Tape'!$R$4:$R$303)/E170,"-")</f>
        <v>1.37613375146859</v>
      </c>
      <c r="H170" s="68" t="n">
        <f aca="false">IFERROR(SUMPRODUCT((('Loan Tape'!$R$4:$R$303&lt;&gt;"")*('Loan Tape'!$AI$4:$AI$303&gt;=R170)*('Loan Tape'!$AI$4:$AI$303&lt;=S170))*'Loan Tape'!$AH$4:$AH$303*'Loan Tape'!$R$4:$R$303)/E170,"-")</f>
        <v>73.3166386225889</v>
      </c>
      <c r="I170" s="68" t="n">
        <f aca="false">IFERROR(SUMPRODUCT((('Loan Tape'!$R$4:$R$303&lt;&gt;"")*('Loan Tape'!$AI$4:$AI$303&gt;=R170)*('Loan Tape'!$AI$4:$AI$303&lt;=S170))*(('Loan Tape'!$H$4:$H$303-$C$4)/30.4375)*'Loan Tape'!$R$4:$R$303)/E170,"-")</f>
        <v>25.6834591712095</v>
      </c>
      <c r="J170" s="69" t="n">
        <f aca="false">IFERROR(SUMPRODUCT((('Loan Tape'!$R$4:$R$303&lt;&gt;"")*('Loan Tape'!$AI$4:$AI$303&gt;=R170)*('Loan Tape'!$AI$4:$AI$303&lt;=S170))*('Loan Tape'!$K$4:$K$303="Floating")*'Loan Tape'!$R$4:$R$303)/E170,"-")</f>
        <v>1</v>
      </c>
      <c r="K170" s="69" t="n">
        <f aca="false">IFERROR(SUMPRODUCT((('Loan Tape'!$R$4:$R$303&lt;&gt;"")*('Loan Tape'!$AI$4:$AI$303&gt;=R170)*('Loan Tape'!$AI$4:$AI$303&lt;=S170))*'Loan Tape'!$T$4:$T$303*'Loan Tape'!$R$4:$R$303)/E170,"-")</f>
        <v>0.0678510656101886</v>
      </c>
      <c r="L170" s="69" t="n">
        <f aca="false">IFERROR(SUMPRODUCT((('Loan Tape'!$R$4:$R$303&lt;&gt;"")*('Loan Tape'!$AI$4:$AI$303&gt;=R170)*('Loan Tape'!$AI$4:$AI$303&lt;=S170))*'Loan Tape'!$V$4:$V$303*'Loan Tape'!$R$4:$R$303)/E170,"-")</f>
        <v>0.735828625425681</v>
      </c>
      <c r="M170" s="69" t="n">
        <f aca="false">IFERROR(SUMPRODUCT((('Loan Tape'!$R$4:$R$303&lt;&gt;"")*('Loan Tape'!$AI$4:$AI$303&gt;=R170)*('Loan Tape'!$AI$4:$AI$303&lt;=S170))*'Loan Tape'!$W$4:$W$303*'Loan Tape'!$R$4:$R$303)/E170,"-")</f>
        <v>0.769607641978811</v>
      </c>
      <c r="N170" s="69" t="n">
        <f aca="false">IFERROR(SUMPRODUCT((('Loan Tape'!$R$4:$R$303&lt;&gt;"")*('Loan Tape'!$AI$4:$AI$303&gt;=R170)*('Loan Tape'!$AI$4:$AI$303&lt;=S170))*'Loan Tape'!$AI$4:$AI$303*'Loan Tape'!$R$4:$R$303)/E170,"-")</f>
        <v>0.0842178890128096</v>
      </c>
      <c r="O170" s="69" t="n">
        <f aca="false">IFERROR(SUMPRODUCT((('Loan Tape'!$R$4:$R$303&lt;&gt;"")*('Loan Tape'!$AI$4:$AI$303&gt;=R170)*('Loan Tape'!$AI$4:$AI$303&lt;=S170))*'Loan Tape'!$AK$4:$AK$303*'Loan Tape'!$R$4:$R$303)/E170,"-")</f>
        <v>0.095607899362564</v>
      </c>
      <c r="P170" s="69" t="n">
        <f aca="false">IFERROR(SUMPRODUCT((('Loan Tape'!$R$4:$R$303&lt;&gt;"")*('Loan Tape'!$AI$4:$AI$303&gt;=R170)*('Loan Tape'!$AI$4:$AI$303&lt;=S170))*'Loan Tape'!$S$4:$S$303*'Loan Tape'!$R$4:$R$303)/E170,"-")</f>
        <v>0.85779095309709</v>
      </c>
      <c r="R170" s="91" t="n">
        <v>0.08</v>
      </c>
      <c r="S170" s="91" t="n">
        <v>0.08999</v>
      </c>
    </row>
    <row r="171" customFormat="false" ht="14.25" hidden="false" customHeight="false" outlineLevel="0" collapsed="false">
      <c r="B171" s="7" t="s">
        <v>436</v>
      </c>
      <c r="C171" s="68" t="n">
        <f aca="false">COUNTIFS('Loan Tape'!$AI$4:$AI$303,"&gt;="&amp;R171,'Loan Tape'!$AI$4:$AI$303,"&lt;="&amp;S171,'Loan Tape'!$R$4:$R$303,"&lt;&gt;")</f>
        <v>0</v>
      </c>
      <c r="D171" s="68" t="n">
        <f aca="false">SUMPRODUCT((('Loan Tape'!$R$4:$R$303&lt;&gt;"")*('Loan Tape'!$AI$4:$AI$303&gt;=R171)*('Loan Tape'!$AI$4:$AI$303&lt;=S171))*'Loan Tape'!$F$4:$F$303)</f>
        <v>0</v>
      </c>
      <c r="E171" s="84" t="n">
        <f aca="false">SUMIFS('Loan Tape'!$R$4:$R$303,'Loan Tape'!$AI$4:$AI$303,"&gt;="&amp;R171,'Loan Tape'!$AI$4:$AI$303,"&lt;="&amp;S171,'Loan Tape'!$R$4:$R$303,"&lt;&gt;")</f>
        <v>0</v>
      </c>
      <c r="F171" s="69" t="n">
        <f aca="false">IFERROR(E171/C5,0)</f>
        <v>0</v>
      </c>
      <c r="G171" s="85" t="str">
        <f aca="false">IFERROR(SUMPRODUCT((('Loan Tape'!$R$4:$R$303&lt;&gt;"")*('Loan Tape'!$AI$4:$AI$303&gt;=R171)*('Loan Tape'!$AI$4:$AI$303&lt;=S171))*'Loan Tape'!$U$4:$U$303*'Loan Tape'!$R$4:$R$303)/E171,"-")</f>
        <v>-</v>
      </c>
      <c r="H171" s="68" t="str">
        <f aca="false">IFERROR(SUMPRODUCT((('Loan Tape'!$R$4:$R$303&lt;&gt;"")*('Loan Tape'!$AI$4:$AI$303&gt;=R171)*('Loan Tape'!$AI$4:$AI$303&lt;=S171))*'Loan Tape'!$AH$4:$AH$303*'Loan Tape'!$R$4:$R$303)/E171,"-")</f>
        <v>-</v>
      </c>
      <c r="I171" s="68" t="str">
        <f aca="false">IFERROR(SUMPRODUCT((('Loan Tape'!$R$4:$R$303&lt;&gt;"")*('Loan Tape'!$AI$4:$AI$303&gt;=R171)*('Loan Tape'!$AI$4:$AI$303&lt;=S171))*(('Loan Tape'!$H$4:$H$303-$C$4)/30.4375)*'Loan Tape'!$R$4:$R$303)/E171,"-")</f>
        <v>-</v>
      </c>
      <c r="J171" s="69" t="str">
        <f aca="false">IFERROR(SUMPRODUCT((('Loan Tape'!$R$4:$R$303&lt;&gt;"")*('Loan Tape'!$AI$4:$AI$303&gt;=R171)*('Loan Tape'!$AI$4:$AI$303&lt;=S171))*('Loan Tape'!$K$4:$K$303="Floating")*'Loan Tape'!$R$4:$R$303)/E171,"-")</f>
        <v>-</v>
      </c>
      <c r="K171" s="69" t="str">
        <f aca="false">IFERROR(SUMPRODUCT((('Loan Tape'!$R$4:$R$303&lt;&gt;"")*('Loan Tape'!$AI$4:$AI$303&gt;=R171)*('Loan Tape'!$AI$4:$AI$303&lt;=S171))*'Loan Tape'!$T$4:$T$303*'Loan Tape'!$R$4:$R$303)/E171,"-")</f>
        <v>-</v>
      </c>
      <c r="L171" s="69" t="str">
        <f aca="false">IFERROR(SUMPRODUCT((('Loan Tape'!$R$4:$R$303&lt;&gt;"")*('Loan Tape'!$AI$4:$AI$303&gt;=R171)*('Loan Tape'!$AI$4:$AI$303&lt;=S171))*'Loan Tape'!$V$4:$V$303*'Loan Tape'!$R$4:$R$303)/E171,"-")</f>
        <v>-</v>
      </c>
      <c r="M171" s="69" t="str">
        <f aca="false">IFERROR(SUMPRODUCT((('Loan Tape'!$R$4:$R$303&lt;&gt;"")*('Loan Tape'!$AI$4:$AI$303&gt;=R171)*('Loan Tape'!$AI$4:$AI$303&lt;=S171))*'Loan Tape'!$W$4:$W$303*'Loan Tape'!$R$4:$R$303)/E171,"-")</f>
        <v>-</v>
      </c>
      <c r="N171" s="69" t="str">
        <f aca="false">IFERROR(SUMPRODUCT((('Loan Tape'!$R$4:$R$303&lt;&gt;"")*('Loan Tape'!$AI$4:$AI$303&gt;=R171)*('Loan Tape'!$AI$4:$AI$303&lt;=S171))*'Loan Tape'!$AI$4:$AI$303*'Loan Tape'!$R$4:$R$303)/E171,"-")</f>
        <v>-</v>
      </c>
      <c r="O171" s="69" t="str">
        <f aca="false">IFERROR(SUMPRODUCT((('Loan Tape'!$R$4:$R$303&lt;&gt;"")*('Loan Tape'!$AI$4:$AI$303&gt;=R171)*('Loan Tape'!$AI$4:$AI$303&lt;=S171))*'Loan Tape'!$AK$4:$AK$303*'Loan Tape'!$R$4:$R$303)/E171,"-")</f>
        <v>-</v>
      </c>
      <c r="P171" s="69" t="str">
        <f aca="false">IFERROR(SUMPRODUCT((('Loan Tape'!$R$4:$R$303&lt;&gt;"")*('Loan Tape'!$AI$4:$AI$303&gt;=R171)*('Loan Tape'!$AI$4:$AI$303&lt;=S171))*'Loan Tape'!$S$4:$S$303*'Loan Tape'!$R$4:$R$303)/E171,"-")</f>
        <v>-</v>
      </c>
      <c r="R171" s="91" t="n">
        <v>0.09</v>
      </c>
      <c r="S171" s="91" t="n">
        <v>1000000000000</v>
      </c>
    </row>
    <row r="172" customFormat="false" ht="14.25" hidden="false" customHeight="false" outlineLevel="0" collapsed="false">
      <c r="B172" s="86" t="s">
        <v>405</v>
      </c>
      <c r="C172" s="92" t="n">
        <f aca="false">SUM(C166:C171)</f>
        <v>50</v>
      </c>
      <c r="D172" s="92" t="n">
        <f aca="false">SUM(D166:D171)</f>
        <v>4739</v>
      </c>
      <c r="E172" s="88" t="n">
        <f aca="false">SUM(E166:E171)</f>
        <v>2495610000</v>
      </c>
      <c r="F172" s="89" t="n">
        <f aca="false">SUM(F166:F171)</f>
        <v>1</v>
      </c>
      <c r="G172" s="90" t="n">
        <f aca="false">IFERROR(SUMPRODUCT((('Loan Tape'!$R$4:$R$303&lt;&gt;""))*'Loan Tape'!$U$4:$U$303*'Loan Tape'!$R$4:$R$303)/E172,"-")</f>
        <v>1.36575944157941</v>
      </c>
      <c r="H172" s="92" t="n">
        <f aca="false">IFERROR(SUMPRODUCT((('Loan Tape'!$R$4:$R$303&lt;&gt;""))*'Loan Tape'!$AH$4:$AH$303*'Loan Tape'!$R$4:$R$303)/E172,"-")</f>
        <v>76.5147345138063</v>
      </c>
      <c r="I172" s="92" t="n">
        <f aca="false">IFERROR(SUMPRODUCT((('Loan Tape'!$R$4:$R$303&lt;&gt;""))*(('Loan Tape'!$H$4:$H$303-$C$4)/30.4375)*'Loan Tape'!$R$4:$R$303)/E172,"-")</f>
        <v>17.6772942206432</v>
      </c>
      <c r="J172" s="89" t="n">
        <f aca="false">IFERROR(SUMPRODUCT((('Loan Tape'!$R$4:$R$303&lt;&gt;""))*('Loan Tape'!$K$4:$K$303="Floating")*'Loan Tape'!$R$4:$R$303)/E172,"-")</f>
        <v>0.664477622705471</v>
      </c>
      <c r="K172" s="89" t="n">
        <f aca="false">IFERROR(SUMPRODUCT((('Loan Tape'!$R$4:$R$303&lt;&gt;""))*'Loan Tape'!$T$4:$T$303*'Loan Tape'!$R$4:$R$303)/E172,"-")</f>
        <v>0.0861540568438177</v>
      </c>
      <c r="L172" s="89" t="n">
        <f aca="false">IFERROR(SUMPRODUCT((('Loan Tape'!$R$4:$R$303&lt;&gt;""))*'Loan Tape'!$V$4:$V$303*'Loan Tape'!$R$4:$R$303)/E172,"-")</f>
        <v>0.683559256454334</v>
      </c>
      <c r="M172" s="89" t="n">
        <f aca="false">IFERROR(SUMPRODUCT((('Loan Tape'!$R$4:$R$303&lt;&gt;""))*'Loan Tape'!$W$4:$W$303*'Loan Tape'!$R$4:$R$303)/E172,"-")</f>
        <v>0.716164459190338</v>
      </c>
      <c r="N172" s="89" t="n">
        <f aca="false">IFERROR(SUMPRODUCT((('Loan Tape'!$R$4:$R$303&lt;&gt;""))*'Loan Tape'!$AI$4:$AI$303*'Loan Tape'!$R$4:$R$303)/E172,"-")</f>
        <v>0.0704574522862146</v>
      </c>
      <c r="O172" s="89" t="n">
        <f aca="false">IFERROR(SUMPRODUCT((('Loan Tape'!$R$4:$R$303&lt;&gt;""))*'Loan Tape'!$AK$4:$AK$303*'Loan Tape'!$R$4:$R$303)/E172,"-")</f>
        <v>0.0792103169165054</v>
      </c>
      <c r="P172" s="89" t="n">
        <f aca="false">IFERROR(SUMPRODUCT((('Loan Tape'!$R$4:$R$303&lt;&gt;""))*'Loan Tape'!$S$4:$S$303*'Loan Tape'!$R$4:$R$303)/E172,"-")</f>
        <v>0.886687142221741</v>
      </c>
    </row>
    <row r="174" customFormat="false" ht="19.5" hidden="false" customHeight="true" outlineLevel="0" collapsed="false">
      <c r="B174" s="5" t="s">
        <v>437</v>
      </c>
      <c r="C174" s="5"/>
      <c r="D174" s="5"/>
      <c r="E174" s="5"/>
      <c r="F174" s="5"/>
      <c r="G174" s="5"/>
      <c r="H174" s="5"/>
      <c r="I174" s="5"/>
      <c r="J174" s="5"/>
      <c r="K174" s="5"/>
      <c r="L174" s="5"/>
      <c r="M174" s="5"/>
      <c r="N174" s="5"/>
      <c r="O174" s="5"/>
      <c r="P174" s="5"/>
    </row>
    <row r="175" customFormat="false" ht="42" hidden="false" customHeight="true" outlineLevel="0" collapsed="false">
      <c r="B175" s="82" t="s">
        <v>423</v>
      </c>
      <c r="C175" s="83" t="s">
        <v>368</v>
      </c>
      <c r="D175" s="83" t="s">
        <v>153</v>
      </c>
      <c r="E175" s="83" t="s">
        <v>393</v>
      </c>
      <c r="F175" s="83" t="s">
        <v>394</v>
      </c>
      <c r="G175" s="83" t="s">
        <v>395</v>
      </c>
      <c r="H175" s="83" t="s">
        <v>396</v>
      </c>
      <c r="I175" s="83" t="s">
        <v>397</v>
      </c>
      <c r="J175" s="83" t="s">
        <v>398</v>
      </c>
      <c r="K175" s="83" t="s">
        <v>399</v>
      </c>
      <c r="L175" s="83" t="s">
        <v>400</v>
      </c>
      <c r="M175" s="83" t="s">
        <v>401</v>
      </c>
      <c r="N175" s="83" t="s">
        <v>402</v>
      </c>
      <c r="O175" s="83" t="s">
        <v>403</v>
      </c>
      <c r="P175" s="83" t="s">
        <v>365</v>
      </c>
    </row>
    <row r="176" customFormat="false" ht="14.25" hidden="false" customHeight="false" outlineLevel="0" collapsed="false">
      <c r="B176" s="7" t="s">
        <v>438</v>
      </c>
      <c r="C176" s="68" t="n">
        <f aca="false">COUNTIFS('Loan Tape'!$M$4:$M$303,"&gt;="&amp;R176,'Loan Tape'!$M$4:$M$303,"&lt;="&amp;S176,'Loan Tape'!$R$4:$R$303,"&lt;&gt;")</f>
        <v>2</v>
      </c>
      <c r="D176" s="68" t="n">
        <f aca="false">SUMPRODUCT((('Loan Tape'!$M$4:$M$303&lt;&gt;"")*('Loan Tape'!$R$4:$R$303&lt;&gt;"")*('Loan Tape'!$M$4:$M$303&gt;=R176)*('Loan Tape'!$M$4:$M$303&lt;=S176))*'Loan Tape'!$F$4:$F$303)</f>
        <v>184</v>
      </c>
      <c r="E176" s="84" t="n">
        <f aca="false">SUMIFS('Loan Tape'!$R$4:$R$303,'Loan Tape'!$M$4:$M$303,"&gt;="&amp;R176,'Loan Tape'!$M$4:$M$303,"&lt;="&amp;S176,'Loan Tape'!$R$4:$R$303,"&lt;&gt;")</f>
        <v>109167000</v>
      </c>
      <c r="F176" s="69" t="n">
        <f aca="false">IFERROR(E176/C5,0)</f>
        <v>0.0437436137858079</v>
      </c>
      <c r="G176" s="85" t="n">
        <f aca="false">IFERROR(SUMPRODUCT((('Loan Tape'!$M$4:$M$303&lt;&gt;"")*('Loan Tape'!$R$4:$R$303&lt;&gt;"")*('Loan Tape'!$M$4:$M$303&gt;=R176)*('Loan Tape'!$M$4:$M$303&lt;=S176))*'Loan Tape'!$U$4:$U$303*'Loan Tape'!$R$4:$R$303)/E176,"-")</f>
        <v>1.55061089889802</v>
      </c>
      <c r="H176" s="68" t="n">
        <f aca="false">IFERROR(SUMPRODUCT((('Loan Tape'!$M$4:$M$303&lt;&gt;"")*('Loan Tape'!$R$4:$R$303&lt;&gt;"")*('Loan Tape'!$M$4:$M$303&gt;=R176)*('Loan Tape'!$M$4:$M$303&lt;=S176))*'Loan Tape'!$AH$4:$AH$303*'Loan Tape'!$R$4:$R$303)/E176,"-")</f>
        <v>100.469455055099</v>
      </c>
      <c r="I176" s="68" t="n">
        <f aca="false">IFERROR(SUMPRODUCT((('Loan Tape'!$M$4:$M$303&lt;&gt;"")*('Loan Tape'!$R$4:$R$303&lt;&gt;"")*('Loan Tape'!$M$4:$M$303&gt;=R176)*('Loan Tape'!$M$4:$M$303&lt;=S176))*(('Loan Tape'!$H$4:$H$303-$C$4)/30.4375)*'Loan Tape'!$R$4:$R$303)/E176,"-")</f>
        <v>19.5680781375046</v>
      </c>
      <c r="J176" s="69" t="n">
        <f aca="false">IFERROR(SUMPRODUCT((('Loan Tape'!$M$4:$M$303&lt;&gt;"")*('Loan Tape'!$R$4:$R$303&lt;&gt;"")*('Loan Tape'!$M$4:$M$303&gt;=R176)*('Loan Tape'!$M$4:$M$303&lt;=S176))*('Loan Tape'!$K$4:$K$303="Floating")*'Loan Tape'!$R$4:$R$303)/E176,"-")</f>
        <v>1</v>
      </c>
      <c r="K176" s="69" t="n">
        <f aca="false">IFERROR(SUMPRODUCT((('Loan Tape'!$M$4:$M$303&lt;&gt;"")*('Loan Tape'!$R$4:$R$303&lt;&gt;"")*('Loan Tape'!$M$4:$M$303&gt;=R176)*('Loan Tape'!$M$4:$M$303&lt;=S176))*'Loan Tape'!$T$4:$T$303*'Loan Tape'!$R$4:$R$303)/E176,"-")</f>
        <v>0.0883336456987918</v>
      </c>
      <c r="L176" s="69" t="n">
        <f aca="false">IFERROR(SUMPRODUCT((('Loan Tape'!$M$4:$M$303&lt;&gt;"")*('Loan Tape'!$R$4:$R$303&lt;&gt;"")*('Loan Tape'!$M$4:$M$303&gt;=R176)*('Loan Tape'!$M$4:$M$303&lt;=S176))*'Loan Tape'!$V$4:$V$303*'Loan Tape'!$R$4:$R$303)/E176,"-")</f>
        <v>0.487682807075398</v>
      </c>
      <c r="M176" s="69" t="n">
        <f aca="false">IFERROR(SUMPRODUCT((('Loan Tape'!$M$4:$M$303&lt;&gt;"")*('Loan Tape'!$R$4:$R$303&lt;&gt;"")*('Loan Tape'!$M$4:$M$303&gt;=R176)*('Loan Tape'!$M$4:$M$303&lt;=S176))*'Loan Tape'!$W$4:$W$303*'Loan Tape'!$R$4:$R$303)/E176,"-")</f>
        <v>0.520635109511116</v>
      </c>
      <c r="N176" s="69" t="n">
        <f aca="false">IFERROR(SUMPRODUCT((('Loan Tape'!$M$4:$M$303&lt;&gt;"")*('Loan Tape'!$R$4:$R$303&lt;&gt;"")*('Loan Tape'!$M$4:$M$303&gt;=R176)*('Loan Tape'!$M$4:$M$303&lt;=S176))*'Loan Tape'!$AI$4:$AI$303*'Loan Tape'!$R$4:$R$303)/E176,"-")</f>
        <v>0.0643095395128565</v>
      </c>
      <c r="O176" s="69" t="n">
        <f aca="false">IFERROR(SUMPRODUCT((('Loan Tape'!$M$4:$M$303&lt;&gt;"")*('Loan Tape'!$R$4:$R$303&lt;&gt;"")*('Loan Tape'!$M$4:$M$303&gt;=R176)*('Loan Tape'!$M$4:$M$303&lt;=S176))*'Loan Tape'!$AK$4:$AK$303*'Loan Tape'!$R$4:$R$303)/E176,"-")</f>
        <v>0.0793095395128565</v>
      </c>
      <c r="P176" s="69" t="n">
        <f aca="false">IFERROR(SUMPRODUCT((('Loan Tape'!$M$4:$M$303&lt;&gt;"")*('Loan Tape'!$R$4:$R$303&lt;&gt;"")*('Loan Tape'!$M$4:$M$303&gt;=R176)*('Loan Tape'!$M$4:$M$303&lt;=S176))*'Loan Tape'!$S$4:$S$303*'Loan Tape'!$R$4:$R$303)/E176,"-")</f>
        <v>0.88996404591131</v>
      </c>
      <c r="R176" s="91" t="n">
        <v>-1000000000000</v>
      </c>
      <c r="S176" s="91" t="n">
        <v>0.01999</v>
      </c>
    </row>
    <row r="177" customFormat="false" ht="14.25" hidden="false" customHeight="false" outlineLevel="0" collapsed="false">
      <c r="B177" s="7" t="s">
        <v>439</v>
      </c>
      <c r="C177" s="68" t="n">
        <f aca="false">COUNTIFS('Loan Tape'!$M$4:$M$303,"&gt;="&amp;R177,'Loan Tape'!$M$4:$M$303,"&lt;="&amp;S177,'Loan Tape'!$R$4:$R$303,"&lt;&gt;")</f>
        <v>12</v>
      </c>
      <c r="D177" s="68" t="n">
        <f aca="false">SUMPRODUCT((('Loan Tape'!$M$4:$M$303&lt;&gt;"")*('Loan Tape'!$R$4:$R$303&lt;&gt;"")*('Loan Tape'!$M$4:$M$303&gt;=R177)*('Loan Tape'!$M$4:$M$303&lt;=S177))*'Loan Tape'!$F$4:$F$303)</f>
        <v>208</v>
      </c>
      <c r="E177" s="84" t="n">
        <f aca="false">SUMIFS('Loan Tape'!$R$4:$R$303,'Loan Tape'!$M$4:$M$303,"&gt;="&amp;R177,'Loan Tape'!$M$4:$M$303,"&lt;="&amp;S177,'Loan Tape'!$R$4:$R$303,"&lt;&gt;")</f>
        <v>458930000</v>
      </c>
      <c r="F177" s="69" t="n">
        <f aca="false">IFERROR(E177/C5,0)</f>
        <v>0.183894919478604</v>
      </c>
      <c r="G177" s="85" t="n">
        <f aca="false">IFERROR(SUMPRODUCT((('Loan Tape'!$M$4:$M$303&lt;&gt;"")*('Loan Tape'!$R$4:$R$303&lt;&gt;"")*('Loan Tape'!$M$4:$M$303&gt;=R177)*('Loan Tape'!$M$4:$M$303&lt;=S177))*'Loan Tape'!$U$4:$U$303*'Loan Tape'!$R$4:$R$303)/E177,"-")</f>
        <v>1.23964513106574</v>
      </c>
      <c r="H177" s="68" t="n">
        <f aca="false">IFERROR(SUMPRODUCT((('Loan Tape'!$M$4:$M$303&lt;&gt;"")*('Loan Tape'!$R$4:$R$303&lt;&gt;"")*('Loan Tape'!$M$4:$M$303&gt;=R177)*('Loan Tape'!$M$4:$M$303&lt;=S177))*'Loan Tape'!$AH$4:$AH$303*'Loan Tape'!$R$4:$R$303)/E177,"-")</f>
        <v>80.1826483341686</v>
      </c>
      <c r="I177" s="68" t="n">
        <f aca="false">IFERROR(SUMPRODUCT((('Loan Tape'!$M$4:$M$303&lt;&gt;"")*('Loan Tape'!$R$4:$R$303&lt;&gt;"")*('Loan Tape'!$M$4:$M$303&gt;=R177)*('Loan Tape'!$M$4:$M$303&lt;=S177))*(('Loan Tape'!$H$4:$H$303-$C$4)/30.4375)*'Loan Tape'!$R$4:$R$303)/E177,"-")</f>
        <v>22.5819966996707</v>
      </c>
      <c r="J177" s="69" t="n">
        <f aca="false">IFERROR(SUMPRODUCT((('Loan Tape'!$M$4:$M$303&lt;&gt;"")*('Loan Tape'!$R$4:$R$303&lt;&gt;"")*('Loan Tape'!$M$4:$M$303&gt;=R177)*('Loan Tape'!$M$4:$M$303&lt;=S177))*('Loan Tape'!$K$4:$K$303="Floating")*'Loan Tape'!$R$4:$R$303)/E177,"-")</f>
        <v>1</v>
      </c>
      <c r="K177" s="69" t="n">
        <f aca="false">IFERROR(SUMPRODUCT((('Loan Tape'!$M$4:$M$303&lt;&gt;"")*('Loan Tape'!$R$4:$R$303&lt;&gt;"")*('Loan Tape'!$M$4:$M$303&gt;=R177)*('Loan Tape'!$M$4:$M$303&lt;=S177))*'Loan Tape'!$T$4:$T$303*'Loan Tape'!$R$4:$R$303)/E177,"-")</f>
        <v>0.0988382138888284</v>
      </c>
      <c r="L177" s="69" t="n">
        <f aca="false">IFERROR(SUMPRODUCT((('Loan Tape'!$M$4:$M$303&lt;&gt;"")*('Loan Tape'!$R$4:$R$303&lt;&gt;"")*('Loan Tape'!$M$4:$M$303&gt;=R177)*('Loan Tape'!$M$4:$M$303&lt;=S177))*'Loan Tape'!$V$4:$V$303*'Loan Tape'!$R$4:$R$303)/E177,"-")</f>
        <v>0.642755771032619</v>
      </c>
      <c r="M177" s="69" t="n">
        <f aca="false">IFERROR(SUMPRODUCT((('Loan Tape'!$M$4:$M$303&lt;&gt;"")*('Loan Tape'!$R$4:$R$303&lt;&gt;"")*('Loan Tape'!$M$4:$M$303&gt;=R177)*('Loan Tape'!$M$4:$M$303&lt;=S177))*'Loan Tape'!$W$4:$W$303*'Loan Tape'!$R$4:$R$303)/E177,"-")</f>
        <v>0.675788170309198</v>
      </c>
      <c r="N177" s="69" t="n">
        <f aca="false">IFERROR(SUMPRODUCT((('Loan Tape'!$M$4:$M$303&lt;&gt;"")*('Loan Tape'!$R$4:$R$303&lt;&gt;"")*('Loan Tape'!$M$4:$M$303&gt;=R177)*('Loan Tape'!$M$4:$M$303&lt;=S177))*'Loan Tape'!$AI$4:$AI$303*'Loan Tape'!$R$4:$R$303)/E177,"-")</f>
        <v>0.0694270132699976</v>
      </c>
      <c r="O177" s="69" t="n">
        <f aca="false">IFERROR(SUMPRODUCT((('Loan Tape'!$M$4:$M$303&lt;&gt;"")*('Loan Tape'!$R$4:$R$303&lt;&gt;"")*('Loan Tape'!$M$4:$M$303&gt;=R177)*('Loan Tape'!$M$4:$M$303&lt;=S177))*'Loan Tape'!$AK$4:$AK$303*'Loan Tape'!$R$4:$R$303)/E177,"-")</f>
        <v>0.0840106325583422</v>
      </c>
      <c r="P177" s="69" t="n">
        <f aca="false">IFERROR(SUMPRODUCT((('Loan Tape'!$M$4:$M$303&lt;&gt;"")*('Loan Tape'!$R$4:$R$303&lt;&gt;"")*('Loan Tape'!$M$4:$M$303&gt;=R177)*('Loan Tape'!$M$4:$M$303&lt;=S177))*'Loan Tape'!$S$4:$S$303*'Loan Tape'!$R$4:$R$303)/E177,"-")</f>
        <v>0.899852515634193</v>
      </c>
      <c r="R177" s="91" t="n">
        <v>0.02</v>
      </c>
      <c r="S177" s="91" t="n">
        <v>0.02999</v>
      </c>
    </row>
    <row r="178" customFormat="false" ht="14.25" hidden="false" customHeight="false" outlineLevel="0" collapsed="false">
      <c r="B178" s="7" t="s">
        <v>440</v>
      </c>
      <c r="C178" s="68" t="n">
        <f aca="false">COUNTIFS('Loan Tape'!$M$4:$M$303,"&gt;="&amp;R178,'Loan Tape'!$M$4:$M$303,"&lt;="&amp;S178,'Loan Tape'!$R$4:$R$303,"&lt;&gt;")</f>
        <v>16</v>
      </c>
      <c r="D178" s="68" t="n">
        <f aca="false">SUMPRODUCT((('Loan Tape'!$M$4:$M$303&lt;&gt;"")*('Loan Tape'!$R$4:$R$303&lt;&gt;"")*('Loan Tape'!$M$4:$M$303&gt;=R178)*('Loan Tape'!$M$4:$M$303&lt;=S178))*'Loan Tape'!$F$4:$F$303)</f>
        <v>1656</v>
      </c>
      <c r="E178" s="84" t="n">
        <f aca="false">SUMIFS('Loan Tape'!$R$4:$R$303,'Loan Tape'!$M$4:$M$303,"&gt;="&amp;R178,'Loan Tape'!$M$4:$M$303,"&lt;="&amp;S178,'Loan Tape'!$R$4:$R$303,"&lt;&gt;")</f>
        <v>786944000</v>
      </c>
      <c r="F178" s="69" t="n">
        <f aca="false">IFERROR(E178/C5,0)</f>
        <v>0.315331321801083</v>
      </c>
      <c r="G178" s="85" t="n">
        <f aca="false">IFERROR(SUMPRODUCT((('Loan Tape'!$M$4:$M$303&lt;&gt;"")*('Loan Tape'!$R$4:$R$303&lt;&gt;"")*('Loan Tape'!$M$4:$M$303&gt;=R178)*('Loan Tape'!$M$4:$M$303&lt;=S178))*'Loan Tape'!$U$4:$U$303*'Loan Tape'!$R$4:$R$303)/E178,"-")</f>
        <v>1.49497602116542</v>
      </c>
      <c r="H178" s="68" t="n">
        <f aca="false">IFERROR(SUMPRODUCT((('Loan Tape'!$M$4:$M$303&lt;&gt;"")*('Loan Tape'!$R$4:$R$303&lt;&gt;"")*('Loan Tape'!$M$4:$M$303&gt;=R178)*('Loan Tape'!$M$4:$M$303&lt;=S178))*'Loan Tape'!$AH$4:$AH$303*'Loan Tape'!$R$4:$R$303)/E178,"-")</f>
        <v>65.8772889811727</v>
      </c>
      <c r="I178" s="68" t="n">
        <f aca="false">IFERROR(SUMPRODUCT((('Loan Tape'!$M$4:$M$303&lt;&gt;"")*('Loan Tape'!$R$4:$R$303&lt;&gt;"")*('Loan Tape'!$M$4:$M$303&gt;=R178)*('Loan Tape'!$M$4:$M$303&lt;=S178))*(('Loan Tape'!$H$4:$H$303-$C$4)/30.4375)*'Loan Tape'!$R$4:$R$303)/E178,"-")</f>
        <v>28.1816035230903</v>
      </c>
      <c r="J178" s="69" t="n">
        <f aca="false">IFERROR(SUMPRODUCT((('Loan Tape'!$M$4:$M$303&lt;&gt;"")*('Loan Tape'!$R$4:$R$303&lt;&gt;"")*('Loan Tape'!$M$4:$M$303&gt;=R178)*('Loan Tape'!$M$4:$M$303&lt;=S178))*('Loan Tape'!$K$4:$K$303="Floating")*'Loan Tape'!$R$4:$R$303)/E178,"-")</f>
        <v>1</v>
      </c>
      <c r="K178" s="69" t="n">
        <f aca="false">IFERROR(SUMPRODUCT((('Loan Tape'!$M$4:$M$303&lt;&gt;"")*('Loan Tape'!$R$4:$R$303&lt;&gt;"")*('Loan Tape'!$M$4:$M$303&gt;=R178)*('Loan Tape'!$M$4:$M$303&lt;=S178))*'Loan Tape'!$T$4:$T$303*'Loan Tape'!$R$4:$R$303)/E178,"-")</f>
        <v>0.073997736687744</v>
      </c>
      <c r="L178" s="69" t="n">
        <f aca="false">IFERROR(SUMPRODUCT((('Loan Tape'!$M$4:$M$303&lt;&gt;"")*('Loan Tape'!$R$4:$R$303&lt;&gt;"")*('Loan Tape'!$M$4:$M$303&gt;=R178)*('Loan Tape'!$M$4:$M$303&lt;=S178))*'Loan Tape'!$V$4:$V$303*'Loan Tape'!$R$4:$R$303)/E178,"-")</f>
        <v>0.719274839124512</v>
      </c>
      <c r="M178" s="69" t="n">
        <f aca="false">IFERROR(SUMPRODUCT((('Loan Tape'!$M$4:$M$303&lt;&gt;"")*('Loan Tape'!$R$4:$R$303&lt;&gt;"")*('Loan Tape'!$M$4:$M$303&gt;=R178)*('Loan Tape'!$M$4:$M$303&lt;=S178))*'Loan Tape'!$W$4:$W$303*'Loan Tape'!$R$4:$R$303)/E178,"-")</f>
        <v>0.744906482545137</v>
      </c>
      <c r="N178" s="69" t="n">
        <f aca="false">IFERROR(SUMPRODUCT((('Loan Tape'!$M$4:$M$303&lt;&gt;"")*('Loan Tape'!$R$4:$R$303&lt;&gt;"")*('Loan Tape'!$M$4:$M$303&gt;=R178)*('Loan Tape'!$M$4:$M$303&lt;=S178))*'Loan Tape'!$AI$4:$AI$303*'Loan Tape'!$R$4:$R$303)/E178,"-")</f>
        <v>0.0801305842601252</v>
      </c>
      <c r="O178" s="69" t="n">
        <f aca="false">IFERROR(SUMPRODUCT((('Loan Tape'!$M$4:$M$303&lt;&gt;"")*('Loan Tape'!$R$4:$R$303&lt;&gt;"")*('Loan Tape'!$M$4:$M$303&gt;=R178)*('Loan Tape'!$M$4:$M$303&lt;=S178))*'Loan Tape'!$AK$4:$AK$303*'Loan Tape'!$R$4:$R$303)/E178,"-")</f>
        <v>0.0933141836013744</v>
      </c>
      <c r="P178" s="69" t="n">
        <f aca="false">IFERROR(SUMPRODUCT((('Loan Tape'!$M$4:$M$303&lt;&gt;"")*('Loan Tape'!$R$4:$R$303&lt;&gt;"")*('Loan Tape'!$M$4:$M$303&gt;=R178)*('Loan Tape'!$M$4:$M$303&lt;=S178))*'Loan Tape'!$S$4:$S$303*'Loan Tape'!$R$4:$R$303)/E178,"-")</f>
        <v>0.89700740205148</v>
      </c>
      <c r="R178" s="91" t="n">
        <v>0.03</v>
      </c>
      <c r="S178" s="91" t="n">
        <v>0.03999</v>
      </c>
    </row>
    <row r="179" customFormat="false" ht="14.25" hidden="false" customHeight="false" outlineLevel="0" collapsed="false">
      <c r="B179" s="7" t="s">
        <v>441</v>
      </c>
      <c r="C179" s="68" t="n">
        <f aca="false">COUNTIFS('Loan Tape'!$M$4:$M$303,"&gt;="&amp;R179,'Loan Tape'!$M$4:$M$303,"&lt;="&amp;S179,'Loan Tape'!$R$4:$R$303,"&lt;&gt;")</f>
        <v>4</v>
      </c>
      <c r="D179" s="68" t="n">
        <f aca="false">SUMPRODUCT((('Loan Tape'!$M$4:$M$303&lt;&gt;"")*('Loan Tape'!$R$4:$R$303&lt;&gt;"")*('Loan Tape'!$M$4:$M$303&gt;=R179)*('Loan Tape'!$M$4:$M$303&lt;=S179))*'Loan Tape'!$F$4:$F$303)</f>
        <v>682</v>
      </c>
      <c r="E179" s="84" t="n">
        <f aca="false">SUMIFS('Loan Tape'!$R$4:$R$303,'Loan Tape'!$M$4:$M$303,"&gt;="&amp;R179,'Loan Tape'!$M$4:$M$303,"&lt;="&amp;S179,'Loan Tape'!$R$4:$R$303,"&lt;&gt;")</f>
        <v>303236000</v>
      </c>
      <c r="F179" s="69" t="n">
        <f aca="false">IFERROR(E179/C5,0)</f>
        <v>0.121507767639976</v>
      </c>
      <c r="G179" s="85" t="n">
        <f aca="false">IFERROR(SUMPRODUCT((('Loan Tape'!$M$4:$M$303&lt;&gt;"")*('Loan Tape'!$R$4:$R$303&lt;&gt;"")*('Loan Tape'!$M$4:$M$303&gt;=R179)*('Loan Tape'!$M$4:$M$303&lt;=S179))*'Loan Tape'!$U$4:$U$303*'Loan Tape'!$R$4:$R$303)/E179,"-")</f>
        <v>1.25627164980411</v>
      </c>
      <c r="H179" s="68" t="n">
        <f aca="false">IFERROR(SUMPRODUCT((('Loan Tape'!$M$4:$M$303&lt;&gt;"")*('Loan Tape'!$R$4:$R$303&lt;&gt;"")*('Loan Tape'!$M$4:$M$303&gt;=R179)*('Loan Tape'!$M$4:$M$303&lt;=S179))*'Loan Tape'!$AH$4:$AH$303*'Loan Tape'!$R$4:$R$303)/E179,"-")</f>
        <v>76.9810922845573</v>
      </c>
      <c r="I179" s="68" t="n">
        <f aca="false">IFERROR(SUMPRODUCT((('Loan Tape'!$M$4:$M$303&lt;&gt;"")*('Loan Tape'!$R$4:$R$303&lt;&gt;"")*('Loan Tape'!$M$4:$M$303&gt;=R179)*('Loan Tape'!$M$4:$M$303&lt;=S179))*(('Loan Tape'!$H$4:$H$303-$C$4)/30.4375)*'Loan Tape'!$R$4:$R$303)/E179,"-")</f>
        <v>25.2277308938873</v>
      </c>
      <c r="J179" s="69" t="n">
        <f aca="false">IFERROR(SUMPRODUCT((('Loan Tape'!$M$4:$M$303&lt;&gt;"")*('Loan Tape'!$R$4:$R$303&lt;&gt;"")*('Loan Tape'!$M$4:$M$303&gt;=R179)*('Loan Tape'!$M$4:$M$303&lt;=S179))*('Loan Tape'!$K$4:$K$303="Floating")*'Loan Tape'!$R$4:$R$303)/E179,"-")</f>
        <v>1</v>
      </c>
      <c r="K179" s="69" t="n">
        <f aca="false">IFERROR(SUMPRODUCT((('Loan Tape'!$M$4:$M$303&lt;&gt;"")*('Loan Tape'!$R$4:$R$303&lt;&gt;"")*('Loan Tape'!$M$4:$M$303&gt;=R179)*('Loan Tape'!$M$4:$M$303&lt;=S179))*'Loan Tape'!$T$4:$T$303*'Loan Tape'!$R$4:$R$303)/E179,"-")</f>
        <v>0.0760106893640597</v>
      </c>
      <c r="L179" s="69" t="n">
        <f aca="false">IFERROR(SUMPRODUCT((('Loan Tape'!$M$4:$M$303&lt;&gt;"")*('Loan Tape'!$R$4:$R$303&lt;&gt;"")*('Loan Tape'!$M$4:$M$303&gt;=R179)*('Loan Tape'!$M$4:$M$303&lt;=S179))*'Loan Tape'!$V$4:$V$303*'Loan Tape'!$R$4:$R$303)/E179,"-")</f>
        <v>0.722504798242953</v>
      </c>
      <c r="M179" s="69" t="n">
        <f aca="false">IFERROR(SUMPRODUCT((('Loan Tape'!$M$4:$M$303&lt;&gt;"")*('Loan Tape'!$R$4:$R$303&lt;&gt;"")*('Loan Tape'!$M$4:$M$303&gt;=R179)*('Loan Tape'!$M$4:$M$303&lt;=S179))*'Loan Tape'!$W$4:$W$303*'Loan Tape'!$R$4:$R$303)/E179,"-")</f>
        <v>0.760699623395639</v>
      </c>
      <c r="N179" s="69" t="n">
        <f aca="false">IFERROR(SUMPRODUCT((('Loan Tape'!$M$4:$M$303&lt;&gt;"")*('Loan Tape'!$R$4:$R$303&lt;&gt;"")*('Loan Tape'!$M$4:$M$303&gt;=R179)*('Loan Tape'!$M$4:$M$303&lt;=S179))*'Loan Tape'!$AI$4:$AI$303*'Loan Tape'!$R$4:$R$303)/E179,"-")</f>
        <v>0.0870209483702463</v>
      </c>
      <c r="O179" s="69" t="n">
        <f aca="false">IFERROR(SUMPRODUCT((('Loan Tape'!$M$4:$M$303&lt;&gt;"")*('Loan Tape'!$R$4:$R$303&lt;&gt;"")*('Loan Tape'!$M$4:$M$303&gt;=R179)*('Loan Tape'!$M$4:$M$303&lt;=S179))*'Loan Tape'!$AK$4:$AK$303*'Loan Tape'!$R$4:$R$303)/E179,"-")</f>
        <v>0.0973713576224459</v>
      </c>
      <c r="P179" s="69" t="n">
        <f aca="false">IFERROR(SUMPRODUCT((('Loan Tape'!$M$4:$M$303&lt;&gt;"")*('Loan Tape'!$R$4:$R$303&lt;&gt;"")*('Loan Tape'!$M$4:$M$303&gt;=R179)*('Loan Tape'!$M$4:$M$303&lt;=S179))*'Loan Tape'!$S$4:$S$303*'Loan Tape'!$R$4:$R$303)/E179,"-")</f>
        <v>0.831155941247082</v>
      </c>
      <c r="R179" s="91" t="n">
        <v>0.04</v>
      </c>
      <c r="S179" s="91" t="n">
        <v>0.04999</v>
      </c>
    </row>
    <row r="180" customFormat="false" ht="14.25" hidden="false" customHeight="false" outlineLevel="0" collapsed="false">
      <c r="B180" s="7" t="s">
        <v>442</v>
      </c>
      <c r="C180" s="68" t="n">
        <f aca="false">COUNTIFS('Loan Tape'!$M$4:$M$303,"&gt;="&amp;R180,'Loan Tape'!$M$4:$M$303,"&lt;="&amp;S180,'Loan Tape'!$R$4:$R$303,"&lt;&gt;")</f>
        <v>0</v>
      </c>
      <c r="D180" s="68" t="n">
        <f aca="false">SUMPRODUCT((('Loan Tape'!$M$4:$M$303&lt;&gt;"")*('Loan Tape'!$R$4:$R$303&lt;&gt;"")*('Loan Tape'!$M$4:$M$303&gt;=R180)*('Loan Tape'!$M$4:$M$303&lt;=S180))*'Loan Tape'!$F$4:$F$303)</f>
        <v>0</v>
      </c>
      <c r="E180" s="84" t="n">
        <f aca="false">SUMIFS('Loan Tape'!$R$4:$R$303,'Loan Tape'!$M$4:$M$303,"&gt;="&amp;R180,'Loan Tape'!$M$4:$M$303,"&lt;="&amp;S180,'Loan Tape'!$R$4:$R$303,"&lt;&gt;")</f>
        <v>0</v>
      </c>
      <c r="F180" s="69" t="n">
        <f aca="false">IFERROR(E180/C5,0)</f>
        <v>0</v>
      </c>
      <c r="G180" s="85" t="str">
        <f aca="false">IFERROR(SUMPRODUCT((('Loan Tape'!$M$4:$M$303&lt;&gt;"")*('Loan Tape'!$R$4:$R$303&lt;&gt;"")*('Loan Tape'!$M$4:$M$303&gt;=R180)*('Loan Tape'!$M$4:$M$303&lt;=S180))*'Loan Tape'!$U$4:$U$303*'Loan Tape'!$R$4:$R$303)/E180,"-")</f>
        <v>-</v>
      </c>
      <c r="H180" s="68" t="str">
        <f aca="false">IFERROR(SUMPRODUCT((('Loan Tape'!$M$4:$M$303&lt;&gt;"")*('Loan Tape'!$R$4:$R$303&lt;&gt;"")*('Loan Tape'!$M$4:$M$303&gt;=R180)*('Loan Tape'!$M$4:$M$303&lt;=S180))*'Loan Tape'!$AH$4:$AH$303*'Loan Tape'!$R$4:$R$303)/E180,"-")</f>
        <v>-</v>
      </c>
      <c r="I180" s="68" t="str">
        <f aca="false">IFERROR(SUMPRODUCT((('Loan Tape'!$M$4:$M$303&lt;&gt;"")*('Loan Tape'!$R$4:$R$303&lt;&gt;"")*('Loan Tape'!$M$4:$M$303&gt;=R180)*('Loan Tape'!$M$4:$M$303&lt;=S180))*(('Loan Tape'!$H$4:$H$303-$C$4)/30.4375)*'Loan Tape'!$R$4:$R$303)/E180,"-")</f>
        <v>-</v>
      </c>
      <c r="J180" s="69" t="str">
        <f aca="false">IFERROR(SUMPRODUCT((('Loan Tape'!$M$4:$M$303&lt;&gt;"")*('Loan Tape'!$R$4:$R$303&lt;&gt;"")*('Loan Tape'!$M$4:$M$303&gt;=R180)*('Loan Tape'!$M$4:$M$303&lt;=S180))*('Loan Tape'!$K$4:$K$303="Floating")*'Loan Tape'!$R$4:$R$303)/E180,"-")</f>
        <v>-</v>
      </c>
      <c r="K180" s="69" t="str">
        <f aca="false">IFERROR(SUMPRODUCT((('Loan Tape'!$M$4:$M$303&lt;&gt;"")*('Loan Tape'!$R$4:$R$303&lt;&gt;"")*('Loan Tape'!$M$4:$M$303&gt;=R180)*('Loan Tape'!$M$4:$M$303&lt;=S180))*'Loan Tape'!$T$4:$T$303*'Loan Tape'!$R$4:$R$303)/E180,"-")</f>
        <v>-</v>
      </c>
      <c r="L180" s="69" t="str">
        <f aca="false">IFERROR(SUMPRODUCT((('Loan Tape'!$M$4:$M$303&lt;&gt;"")*('Loan Tape'!$R$4:$R$303&lt;&gt;"")*('Loan Tape'!$M$4:$M$303&gt;=R180)*('Loan Tape'!$M$4:$M$303&lt;=S180))*'Loan Tape'!$V$4:$V$303*'Loan Tape'!$R$4:$R$303)/E180,"-")</f>
        <v>-</v>
      </c>
      <c r="M180" s="69" t="str">
        <f aca="false">IFERROR(SUMPRODUCT((('Loan Tape'!$M$4:$M$303&lt;&gt;"")*('Loan Tape'!$R$4:$R$303&lt;&gt;"")*('Loan Tape'!$M$4:$M$303&gt;=R180)*('Loan Tape'!$M$4:$M$303&lt;=S180))*'Loan Tape'!$W$4:$W$303*'Loan Tape'!$R$4:$R$303)/E180,"-")</f>
        <v>-</v>
      </c>
      <c r="N180" s="69" t="str">
        <f aca="false">IFERROR(SUMPRODUCT((('Loan Tape'!$M$4:$M$303&lt;&gt;"")*('Loan Tape'!$R$4:$R$303&lt;&gt;"")*('Loan Tape'!$M$4:$M$303&gt;=R180)*('Loan Tape'!$M$4:$M$303&lt;=S180))*'Loan Tape'!$AI$4:$AI$303*'Loan Tape'!$R$4:$R$303)/E180,"-")</f>
        <v>-</v>
      </c>
      <c r="O180" s="69" t="str">
        <f aca="false">IFERROR(SUMPRODUCT((('Loan Tape'!$M$4:$M$303&lt;&gt;"")*('Loan Tape'!$R$4:$R$303&lt;&gt;"")*('Loan Tape'!$M$4:$M$303&gt;=R180)*('Loan Tape'!$M$4:$M$303&lt;=S180))*'Loan Tape'!$AK$4:$AK$303*'Loan Tape'!$R$4:$R$303)/E180,"-")</f>
        <v>-</v>
      </c>
      <c r="P180" s="69" t="str">
        <f aca="false">IFERROR(SUMPRODUCT((('Loan Tape'!$M$4:$M$303&lt;&gt;"")*('Loan Tape'!$R$4:$R$303&lt;&gt;"")*('Loan Tape'!$M$4:$M$303&gt;=R180)*('Loan Tape'!$M$4:$M$303&lt;=S180))*'Loan Tape'!$S$4:$S$303*'Loan Tape'!$R$4:$R$303)/E180,"-")</f>
        <v>-</v>
      </c>
      <c r="R180" s="91" t="n">
        <v>0.05</v>
      </c>
      <c r="S180" s="91" t="n">
        <v>1000000000000</v>
      </c>
    </row>
    <row r="181" customFormat="false" ht="14.25" hidden="false" customHeight="false" outlineLevel="0" collapsed="false">
      <c r="B181" s="7" t="s">
        <v>443</v>
      </c>
      <c r="C181" s="68" t="n">
        <f aca="false">SUMPRODUCT((('Loan Tape'!$R$4:$R$303&lt;&gt;"")*(('Loan Tape'!$K$4:$K$303="Fixed")*('Loan Tape'!$R$4:$R$303&lt;&gt;"")))*1)</f>
        <v>16</v>
      </c>
      <c r="D181" s="68" t="n">
        <f aca="false">SUMPRODUCT((('Loan Tape'!$R$4:$R$303&lt;&gt;"")*(('Loan Tape'!$K$4:$K$303="Fixed")*('Loan Tape'!$R$4:$R$303&lt;&gt;"")))*'Loan Tape'!$F$4:$F$303)</f>
        <v>2009</v>
      </c>
      <c r="E181" s="84" t="n">
        <f aca="false">SUMPRODUCT((('Loan Tape'!$R$4:$R$303&lt;&gt;"")*(('Loan Tape'!$K$4:$K$303="Fixed")*('Loan Tape'!$R$4:$R$303&lt;&gt;"")))*'Loan Tape'!$R$4:$R$303)</f>
        <v>837333000</v>
      </c>
      <c r="F181" s="69" t="n">
        <f aca="false">IFERROR(E181/C5,0)</f>
        <v>0.335522377294529</v>
      </c>
      <c r="G181" s="85" t="n">
        <f aca="false">IFERROR(SUMPRODUCT((('Loan Tape'!$R$4:$R$303&lt;&gt;"")*(('Loan Tape'!$K$4:$K$303="Fixed")*('Loan Tape'!$R$4:$R$303&lt;&gt;"")))*'Loan Tape'!$U$4:$U$303*'Loan Tape'!$R$4:$R$303)/E181,"-")</f>
        <v>1.32899078383391</v>
      </c>
      <c r="H181" s="68" t="n">
        <f aca="false">IFERROR(SUMPRODUCT((('Loan Tape'!$R$4:$R$303&lt;&gt;"")*(('Loan Tape'!$K$4:$K$303="Fixed")*('Loan Tape'!$R$4:$R$303&lt;&gt;"")))*'Loan Tape'!$AH$4:$AH$303*'Loan Tape'!$R$4:$R$303)/E181,"-")</f>
        <v>81.2097325675687</v>
      </c>
      <c r="I181" s="68" t="n">
        <f aca="false">IFERROR(SUMPRODUCT((('Loan Tape'!$R$4:$R$303&lt;&gt;"")*(('Loan Tape'!$K$4:$K$303="Fixed")*('Loan Tape'!$R$4:$R$303&lt;&gt;"")))*(('Loan Tape'!$H$4:$H$303-$C$4)/30.4375)*'Loan Tape'!$R$4:$R$303)/E181,"-")</f>
        <v>2.13605350601144</v>
      </c>
      <c r="J181" s="69" t="n">
        <f aca="false">IFERROR(SUMPRODUCT((('Loan Tape'!$R$4:$R$303&lt;&gt;"")*(('Loan Tape'!$K$4:$K$303="Fixed")*('Loan Tape'!$R$4:$R$303&lt;&gt;"")))*('Loan Tape'!$K$4:$K$303="Floating")*'Loan Tape'!$R$4:$R$303)/E181,"-")</f>
        <v>0</v>
      </c>
      <c r="K181" s="69" t="n">
        <f aca="false">IFERROR(SUMPRODUCT((('Loan Tape'!$R$4:$R$303&lt;&gt;"")*(('Loan Tape'!$K$4:$K$303="Fixed")*('Loan Tape'!$R$4:$R$303&lt;&gt;"")))*'Loan Tape'!$T$4:$T$303*'Loan Tape'!$R$4:$R$303)/E181,"-")</f>
        <v>0.094016040093965</v>
      </c>
      <c r="L181" s="69" t="n">
        <f aca="false">IFERROR(SUMPRODUCT((('Loan Tape'!$R$4:$R$303&lt;&gt;"")*(('Loan Tape'!$K$4:$K$303="Fixed")*('Loan Tape'!$R$4:$R$303&lt;&gt;"")))*'Loan Tape'!$V$4:$V$303*'Loan Tape'!$R$4:$R$303)/E181,"-")</f>
        <v>0.6837901491999</v>
      </c>
      <c r="M181" s="69" t="n">
        <f aca="false">IFERROR(SUMPRODUCT((('Loan Tape'!$R$4:$R$303&lt;&gt;"")*(('Loan Tape'!$K$4:$K$303="Fixed")*('Loan Tape'!$R$4:$R$303&lt;&gt;"")))*'Loan Tape'!$W$4:$W$303*'Loan Tape'!$R$4:$R$303)/E181,"-")</f>
        <v>0.720645609333443</v>
      </c>
      <c r="N181" s="69" t="n">
        <f aca="false">IFERROR(SUMPRODUCT((('Loan Tape'!$R$4:$R$303&lt;&gt;"")*(('Loan Tape'!$K$4:$K$303="Fixed")*('Loan Tape'!$R$4:$R$303&lt;&gt;"")))*'Loan Tape'!$AI$4:$AI$303*'Loan Tape'!$R$4:$R$303)/E181,"-")</f>
        <v>0.0567343422509324</v>
      </c>
      <c r="O181" s="69" t="n">
        <f aca="false">IFERROR(SUMPRODUCT((('Loan Tape'!$R$4:$R$303&lt;&gt;"")*(('Loan Tape'!$K$4:$K$303="Fixed")*('Loan Tape'!$R$4:$R$303&lt;&gt;"")))*'Loan Tape'!$AK$4:$AK$303*'Loan Tape'!$R$4:$R$303)/E181,"-")</f>
        <v>0.0567343422509324</v>
      </c>
      <c r="P181" s="69" t="n">
        <f aca="false">IFERROR(SUMPRODUCT((('Loan Tape'!$R$4:$R$303&lt;&gt;"")*(('Loan Tape'!$K$4:$K$303="Fixed")*('Loan Tape'!$R$4:$R$303&lt;&gt;"")))*'Loan Tape'!$S$4:$S$303*'Loan Tape'!$R$4:$R$303)/E181,"-")</f>
        <v>0.88945530989463</v>
      </c>
    </row>
    <row r="182" customFormat="false" ht="14.25" hidden="false" customHeight="false" outlineLevel="0" collapsed="false">
      <c r="B182" s="86" t="s">
        <v>405</v>
      </c>
      <c r="C182" s="92" t="n">
        <f aca="false">SUM(C176:C181)</f>
        <v>50</v>
      </c>
      <c r="D182" s="92" t="n">
        <f aca="false">SUM(D176:D181)</f>
        <v>4739</v>
      </c>
      <c r="E182" s="88" t="n">
        <f aca="false">SUM(E176:E181)</f>
        <v>2495610000</v>
      </c>
      <c r="F182" s="89" t="n">
        <f aca="false">SUM(F176:F181)</f>
        <v>1</v>
      </c>
      <c r="G182" s="90" t="n">
        <f aca="false">IFERROR(SUMPRODUCT((('Loan Tape'!$R$4:$R$303&lt;&gt;""))*'Loan Tape'!$U$4:$U$303*'Loan Tape'!$R$4:$R$303)/E182,"-")</f>
        <v>1.36575944157941</v>
      </c>
      <c r="H182" s="92" t="n">
        <f aca="false">IFERROR(SUMPRODUCT((('Loan Tape'!$R$4:$R$303&lt;&gt;""))*'Loan Tape'!$AH$4:$AH$303*'Loan Tape'!$R$4:$R$303)/E182,"-")</f>
        <v>76.5147345138063</v>
      </c>
      <c r="I182" s="92" t="n">
        <f aca="false">IFERROR(SUMPRODUCT((('Loan Tape'!$R$4:$R$303&lt;&gt;""))*(('Loan Tape'!$H$4:$H$303-$C$4)/30.4375)*'Loan Tape'!$R$4:$R$303)/E182,"-")</f>
        <v>17.6772942206432</v>
      </c>
      <c r="J182" s="89" t="n">
        <f aca="false">IFERROR(SUMPRODUCT((('Loan Tape'!$R$4:$R$303&lt;&gt;""))*('Loan Tape'!$K$4:$K$303="Floating")*'Loan Tape'!$R$4:$R$303)/E182,"-")</f>
        <v>0.664477622705471</v>
      </c>
      <c r="K182" s="89" t="n">
        <f aca="false">IFERROR(SUMPRODUCT((('Loan Tape'!$R$4:$R$303&lt;&gt;""))*'Loan Tape'!$T$4:$T$303*'Loan Tape'!$R$4:$R$303)/E182,"-")</f>
        <v>0.0861540568438177</v>
      </c>
      <c r="L182" s="89" t="n">
        <f aca="false">IFERROR(SUMPRODUCT((('Loan Tape'!$R$4:$R$303&lt;&gt;""))*'Loan Tape'!$V$4:$V$303*'Loan Tape'!$R$4:$R$303)/E182,"-")</f>
        <v>0.683559256454334</v>
      </c>
      <c r="M182" s="89" t="n">
        <f aca="false">IFERROR(SUMPRODUCT((('Loan Tape'!$R$4:$R$303&lt;&gt;""))*'Loan Tape'!$W$4:$W$303*'Loan Tape'!$R$4:$R$303)/E182,"-")</f>
        <v>0.716164459190338</v>
      </c>
      <c r="N182" s="89" t="n">
        <f aca="false">IFERROR(SUMPRODUCT((('Loan Tape'!$R$4:$R$303&lt;&gt;""))*'Loan Tape'!$AI$4:$AI$303*'Loan Tape'!$R$4:$R$303)/E182,"-")</f>
        <v>0.0704574522862146</v>
      </c>
      <c r="O182" s="89" t="n">
        <f aca="false">IFERROR(SUMPRODUCT((('Loan Tape'!$R$4:$R$303&lt;&gt;""))*'Loan Tape'!$AK$4:$AK$303*'Loan Tape'!$R$4:$R$303)/E182,"-")</f>
        <v>0.0792103169165054</v>
      </c>
      <c r="P182" s="89" t="n">
        <f aca="false">IFERROR(SUMPRODUCT((('Loan Tape'!$R$4:$R$303&lt;&gt;""))*'Loan Tape'!$S$4:$S$303*'Loan Tape'!$R$4:$R$303)/E182,"-")</f>
        <v>0.886687142221741</v>
      </c>
    </row>
    <row r="184" customFormat="false" ht="19.5" hidden="false" customHeight="true" outlineLevel="0" collapsed="false">
      <c r="B184" s="5" t="s">
        <v>444</v>
      </c>
      <c r="C184" s="5"/>
      <c r="D184" s="5"/>
      <c r="E184" s="5"/>
      <c r="F184" s="5"/>
      <c r="G184" s="5"/>
      <c r="H184" s="5"/>
      <c r="I184" s="5"/>
      <c r="J184" s="5"/>
      <c r="K184" s="5"/>
      <c r="L184" s="5"/>
      <c r="M184" s="5"/>
      <c r="N184" s="5"/>
      <c r="O184" s="5"/>
      <c r="P184" s="5"/>
    </row>
    <row r="185" customFormat="false" ht="42" hidden="false" customHeight="true" outlineLevel="0" collapsed="false">
      <c r="B185" s="82" t="s">
        <v>423</v>
      </c>
      <c r="C185" s="83" t="s">
        <v>368</v>
      </c>
      <c r="D185" s="83" t="s">
        <v>153</v>
      </c>
      <c r="E185" s="83" t="s">
        <v>393</v>
      </c>
      <c r="F185" s="83" t="s">
        <v>394</v>
      </c>
      <c r="G185" s="83" t="s">
        <v>395</v>
      </c>
      <c r="H185" s="83" t="s">
        <v>396</v>
      </c>
      <c r="I185" s="83" t="s">
        <v>397</v>
      </c>
      <c r="J185" s="83" t="s">
        <v>398</v>
      </c>
      <c r="K185" s="83" t="s">
        <v>399</v>
      </c>
      <c r="L185" s="83" t="s">
        <v>400</v>
      </c>
      <c r="M185" s="83" t="s">
        <v>401</v>
      </c>
      <c r="N185" s="83" t="s">
        <v>402</v>
      </c>
      <c r="O185" s="83" t="s">
        <v>403</v>
      </c>
      <c r="P185" s="83" t="s">
        <v>365</v>
      </c>
    </row>
    <row r="186" customFormat="false" ht="14.25" hidden="false" customHeight="false" outlineLevel="0" collapsed="false">
      <c r="B186" s="7" t="s">
        <v>445</v>
      </c>
      <c r="C186" s="68" t="n">
        <f aca="false">COUNTIFS('Loan Tape'!$U$4:$U$303,"&gt;="&amp;R186,'Loan Tape'!$U$4:$U$303,"&lt;="&amp;S186,'Loan Tape'!$R$4:$R$303,"&lt;&gt;")</f>
        <v>10</v>
      </c>
      <c r="D186" s="68" t="n">
        <f aca="false">SUMPRODUCT((('Loan Tape'!$R$4:$R$303&lt;&gt;"")*('Loan Tape'!$U$4:$U$303&gt;=R186)*('Loan Tape'!$U$4:$U$303&lt;=S186))*'Loan Tape'!$F$4:$F$303)</f>
        <v>919</v>
      </c>
      <c r="E186" s="84" t="n">
        <f aca="false">SUMIFS('Loan Tape'!$R$4:$R$303,'Loan Tape'!$U$4:$U$303,"&gt;="&amp;R186,'Loan Tape'!$U$4:$U$303,"&lt;="&amp;S186,'Loan Tape'!$R$4:$R$303,"&lt;&gt;")</f>
        <v>471964000</v>
      </c>
      <c r="F186" s="69" t="n">
        <f aca="false">IFERROR(E186/C5,0)</f>
        <v>0.189117690664807</v>
      </c>
      <c r="G186" s="85" t="n">
        <f aca="false">IFERROR(SUMPRODUCT((('Loan Tape'!$R$4:$R$303&lt;&gt;"")*('Loan Tape'!$U$4:$U$303&gt;=R186)*('Loan Tape'!$U$4:$U$303&lt;=S186))*'Loan Tape'!$U$4:$U$303*'Loan Tape'!$R$4:$R$303)/E186,"-")</f>
        <v>0.806861709791425</v>
      </c>
      <c r="H186" s="68" t="n">
        <f aca="false">IFERROR(SUMPRODUCT((('Loan Tape'!$R$4:$R$303&lt;&gt;"")*('Loan Tape'!$U$4:$U$303&gt;=R186)*('Loan Tape'!$U$4:$U$303&lt;=S186))*'Loan Tape'!$AH$4:$AH$303*'Loan Tape'!$R$4:$R$303)/E186,"-")</f>
        <v>71.6058879490809</v>
      </c>
      <c r="I186" s="68" t="n">
        <f aca="false">IFERROR(SUMPRODUCT((('Loan Tape'!$R$4:$R$303&lt;&gt;"")*('Loan Tape'!$U$4:$U$303&gt;=R186)*('Loan Tape'!$U$4:$U$303&lt;=S186))*(('Loan Tape'!$H$4:$H$303-$C$4)/30.4375)*'Loan Tape'!$R$4:$R$303)/E186,"-")</f>
        <v>5.6374560430487</v>
      </c>
      <c r="J186" s="69" t="n">
        <f aca="false">IFERROR(SUMPRODUCT((('Loan Tape'!$R$4:$R$303&lt;&gt;"")*('Loan Tape'!$U$4:$U$303&gt;=R186)*('Loan Tape'!$U$4:$U$303&lt;=S186))*('Loan Tape'!$K$4:$K$303="Floating")*'Loan Tape'!$R$4:$R$303)/E186,"-")</f>
        <v>0.497673551372562</v>
      </c>
      <c r="K186" s="69" t="n">
        <f aca="false">IFERROR(SUMPRODUCT((('Loan Tape'!$R$4:$R$303&lt;&gt;"")*('Loan Tape'!$U$4:$U$303&gt;=R186)*('Loan Tape'!$U$4:$U$303&lt;=S186))*'Loan Tape'!$T$4:$T$303*'Loan Tape'!$R$4:$R$303)/E186,"-")</f>
        <v>0.102123357713724</v>
      </c>
      <c r="L186" s="69" t="n">
        <f aca="false">IFERROR(SUMPRODUCT((('Loan Tape'!$R$4:$R$303&lt;&gt;"")*('Loan Tape'!$U$4:$U$303&gt;=R186)*('Loan Tape'!$U$4:$U$303&lt;=S186))*'Loan Tape'!$V$4:$V$303*'Loan Tape'!$R$4:$R$303)/E186,"-")</f>
        <v>0.684866862726818</v>
      </c>
      <c r="M186" s="69" t="n">
        <f aca="false">IFERROR(SUMPRODUCT((('Loan Tape'!$R$4:$R$303&lt;&gt;"")*('Loan Tape'!$U$4:$U$303&gt;=R186)*('Loan Tape'!$U$4:$U$303&lt;=S186))*'Loan Tape'!$W$4:$W$303*'Loan Tape'!$R$4:$R$303)/E186,"-")</f>
        <v>0.722013778593283</v>
      </c>
      <c r="N186" s="69" t="n">
        <f aca="false">IFERROR(SUMPRODUCT((('Loan Tape'!$R$4:$R$303&lt;&gt;"")*('Loan Tape'!$U$4:$U$303&gt;=R186)*('Loan Tape'!$U$4:$U$303&lt;=S186))*'Loan Tape'!$AI$4:$AI$303*'Loan Tape'!$R$4:$R$303)/E186,"-")</f>
        <v>0.067235819257401</v>
      </c>
      <c r="O186" s="69" t="n">
        <f aca="false">IFERROR(SUMPRODUCT((('Loan Tape'!$R$4:$R$303&lt;&gt;"")*('Loan Tape'!$U$4:$U$303&gt;=R186)*('Loan Tape'!$U$4:$U$303&lt;=S186))*'Loan Tape'!$AK$4:$AK$303*'Loan Tape'!$R$4:$R$303)/E186,"-")</f>
        <v>0.074296040799722</v>
      </c>
      <c r="P186" s="69" t="n">
        <f aca="false">IFERROR(SUMPRODUCT((('Loan Tape'!$R$4:$R$303&lt;&gt;"")*('Loan Tape'!$U$4:$U$303&gt;=R186)*('Loan Tape'!$U$4:$U$303&lt;=S186))*'Loan Tape'!$S$4:$S$303*'Loan Tape'!$R$4:$R$303)/E186,"-")</f>
        <v>0.937985914179895</v>
      </c>
      <c r="R186" s="91" t="n">
        <v>-1000000000000</v>
      </c>
      <c r="S186" s="91" t="n">
        <v>0.9999</v>
      </c>
    </row>
    <row r="187" customFormat="false" ht="14.25" hidden="false" customHeight="false" outlineLevel="0" collapsed="false">
      <c r="B187" s="7" t="s">
        <v>446</v>
      </c>
      <c r="C187" s="68" t="n">
        <f aca="false">COUNTIFS('Loan Tape'!$U$4:$U$303,"&gt;="&amp;R187,'Loan Tape'!$U$4:$U$303,"&lt;="&amp;S187,'Loan Tape'!$R$4:$R$303,"&lt;&gt;")</f>
        <v>9</v>
      </c>
      <c r="D187" s="68" t="n">
        <f aca="false">SUMPRODUCT((('Loan Tape'!$R$4:$R$303&lt;&gt;"")*('Loan Tape'!$U$4:$U$303&gt;=R187)*('Loan Tape'!$U$4:$U$303&lt;=S187))*'Loan Tape'!$F$4:$F$303)</f>
        <v>1259</v>
      </c>
      <c r="E187" s="84" t="n">
        <f aca="false">SUMIFS('Loan Tape'!$R$4:$R$303,'Loan Tape'!$U$4:$U$303,"&gt;="&amp;R187,'Loan Tape'!$U$4:$U$303,"&lt;="&amp;S187,'Loan Tape'!$R$4:$R$303,"&lt;&gt;")</f>
        <v>291057000</v>
      </c>
      <c r="F187" s="69" t="n">
        <f aca="false">IFERROR(E187/C5,0)</f>
        <v>0.116627598062197</v>
      </c>
      <c r="G187" s="85" t="n">
        <f aca="false">IFERROR(SUMPRODUCT((('Loan Tape'!$R$4:$R$303&lt;&gt;"")*('Loan Tape'!$U$4:$U$303&gt;=R187)*('Loan Tape'!$U$4:$U$303&lt;=S187))*'Loan Tape'!$U$4:$U$303*'Loan Tape'!$R$4:$R$303)/E187,"-")</f>
        <v>1.12276196758711</v>
      </c>
      <c r="H187" s="68" t="n">
        <f aca="false">IFERROR(SUMPRODUCT((('Loan Tape'!$R$4:$R$303&lt;&gt;"")*('Loan Tape'!$U$4:$U$303&gt;=R187)*('Loan Tape'!$U$4:$U$303&lt;=S187))*'Loan Tape'!$AH$4:$AH$303*'Loan Tape'!$R$4:$R$303)/E187,"-")</f>
        <v>89.5080843271249</v>
      </c>
      <c r="I187" s="68" t="n">
        <f aca="false">IFERROR(SUMPRODUCT((('Loan Tape'!$R$4:$R$303&lt;&gt;"")*('Loan Tape'!$U$4:$U$303&gt;=R187)*('Loan Tape'!$U$4:$U$303&lt;=S187))*(('Loan Tape'!$H$4:$H$303-$C$4)/30.4375)*'Loan Tape'!$R$4:$R$303)/E187,"-")</f>
        <v>9.77170013037308</v>
      </c>
      <c r="J187" s="69" t="n">
        <f aca="false">IFERROR(SUMPRODUCT((('Loan Tape'!$R$4:$R$303&lt;&gt;"")*('Loan Tape'!$U$4:$U$303&gt;=R187)*('Loan Tape'!$U$4:$U$303&lt;=S187))*('Loan Tape'!$K$4:$K$303="Floating")*'Loan Tape'!$R$4:$R$303)/E187,"-")</f>
        <v>0.674606692159955</v>
      </c>
      <c r="K187" s="69" t="n">
        <f aca="false">IFERROR(SUMPRODUCT((('Loan Tape'!$R$4:$R$303&lt;&gt;"")*('Loan Tape'!$U$4:$U$303&gt;=R187)*('Loan Tape'!$U$4:$U$303&lt;=S187))*'Loan Tape'!$T$4:$T$303*'Loan Tape'!$R$4:$R$303)/E187,"-")</f>
        <v>0.0706110311725882</v>
      </c>
      <c r="L187" s="69" t="n">
        <f aca="false">IFERROR(SUMPRODUCT((('Loan Tape'!$R$4:$R$303&lt;&gt;"")*('Loan Tape'!$U$4:$U$303&gt;=R187)*('Loan Tape'!$U$4:$U$303&lt;=S187))*'Loan Tape'!$V$4:$V$303*'Loan Tape'!$R$4:$R$303)/E187,"-")</f>
        <v>0.643715925059353</v>
      </c>
      <c r="M187" s="69" t="n">
        <f aca="false">IFERROR(SUMPRODUCT((('Loan Tape'!$R$4:$R$303&lt;&gt;"")*('Loan Tape'!$U$4:$U$303&gt;=R187)*('Loan Tape'!$U$4:$U$303&lt;=S187))*'Loan Tape'!$W$4:$W$303*'Loan Tape'!$R$4:$R$303)/E187,"-")</f>
        <v>0.681676252417911</v>
      </c>
      <c r="N187" s="69" t="n">
        <f aca="false">IFERROR(SUMPRODUCT((('Loan Tape'!$R$4:$R$303&lt;&gt;"")*('Loan Tape'!$U$4:$U$303&gt;=R187)*('Loan Tape'!$U$4:$U$303&lt;=S187))*'Loan Tape'!$AI$4:$AI$303*'Loan Tape'!$R$4:$R$303)/E187,"-")</f>
        <v>0.0761701907186565</v>
      </c>
      <c r="O187" s="69" t="n">
        <f aca="false">IFERROR(SUMPRODUCT((('Loan Tape'!$R$4:$R$303&lt;&gt;"")*('Loan Tape'!$U$4:$U$303&gt;=R187)*('Loan Tape'!$U$4:$U$303&lt;=S187))*'Loan Tape'!$AK$4:$AK$303*'Loan Tape'!$R$4:$R$303)/E187,"-")</f>
        <v>0.0814451427040064</v>
      </c>
      <c r="P187" s="69" t="n">
        <f aca="false">IFERROR(SUMPRODUCT((('Loan Tape'!$R$4:$R$303&lt;&gt;"")*('Loan Tape'!$U$4:$U$303&gt;=R187)*('Loan Tape'!$U$4:$U$303&lt;=S187))*'Loan Tape'!$S$4:$S$303*'Loan Tape'!$R$4:$R$303)/E187,"-")</f>
        <v>0.8617451358325</v>
      </c>
      <c r="R187" s="91" t="n">
        <v>1</v>
      </c>
      <c r="S187" s="91" t="n">
        <v>1.2499</v>
      </c>
    </row>
    <row r="188" customFormat="false" ht="14.25" hidden="false" customHeight="false" outlineLevel="0" collapsed="false">
      <c r="B188" s="7" t="s">
        <v>447</v>
      </c>
      <c r="C188" s="68" t="n">
        <f aca="false">COUNTIFS('Loan Tape'!$U$4:$U$303,"&gt;="&amp;R188,'Loan Tape'!$U$4:$U$303,"&lt;="&amp;S188,'Loan Tape'!$R$4:$R$303,"&lt;&gt;")</f>
        <v>16</v>
      </c>
      <c r="D188" s="68" t="n">
        <f aca="false">SUMPRODUCT((('Loan Tape'!$R$4:$R$303&lt;&gt;"")*('Loan Tape'!$U$4:$U$303&gt;=R188)*('Loan Tape'!$U$4:$U$303&lt;=S188))*'Loan Tape'!$F$4:$F$303)</f>
        <v>1252</v>
      </c>
      <c r="E188" s="84" t="n">
        <f aca="false">SUMIFS('Loan Tape'!$R$4:$R$303,'Loan Tape'!$U$4:$U$303,"&gt;="&amp;R188,'Loan Tape'!$U$4:$U$303,"&lt;="&amp;S188,'Loan Tape'!$R$4:$R$303,"&lt;&gt;")</f>
        <v>982544000</v>
      </c>
      <c r="F188" s="69" t="n">
        <f aca="false">IFERROR(E188/C5,0)</f>
        <v>0.39370895292133</v>
      </c>
      <c r="G188" s="85" t="n">
        <f aca="false">IFERROR(SUMPRODUCT((('Loan Tape'!$R$4:$R$303&lt;&gt;"")*('Loan Tape'!$U$4:$U$303&gt;=R188)*('Loan Tape'!$U$4:$U$303&lt;=S188))*'Loan Tape'!$U$4:$U$303*'Loan Tape'!$R$4:$R$303)/E188,"-")</f>
        <v>1.40169456024361</v>
      </c>
      <c r="H188" s="68" t="n">
        <f aca="false">IFERROR(SUMPRODUCT((('Loan Tape'!$R$4:$R$303&lt;&gt;"")*('Loan Tape'!$U$4:$U$303&gt;=R188)*('Loan Tape'!$U$4:$U$303&lt;=S188))*'Loan Tape'!$AH$4:$AH$303*'Loan Tape'!$R$4:$R$303)/E188,"-")</f>
        <v>86.2250279885685</v>
      </c>
      <c r="I188" s="68" t="n">
        <f aca="false">IFERROR(SUMPRODUCT((('Loan Tape'!$R$4:$R$303&lt;&gt;"")*('Loan Tape'!$U$4:$U$303&gt;=R188)*('Loan Tape'!$U$4:$U$303&lt;=S188))*(('Loan Tape'!$H$4:$H$303-$C$4)/30.4375)*'Loan Tape'!$R$4:$R$303)/E188,"-")</f>
        <v>15.4591682261825</v>
      </c>
      <c r="J188" s="69" t="n">
        <f aca="false">IFERROR(SUMPRODUCT((('Loan Tape'!$R$4:$R$303&lt;&gt;"")*('Loan Tape'!$U$4:$U$303&gt;=R188)*('Loan Tape'!$U$4:$U$303&lt;=S188))*('Loan Tape'!$K$4:$K$303="Floating")*'Loan Tape'!$R$4:$R$303)/E188,"-")</f>
        <v>0.698844021234673</v>
      </c>
      <c r="K188" s="69" t="n">
        <f aca="false">IFERROR(SUMPRODUCT((('Loan Tape'!$R$4:$R$303&lt;&gt;"")*('Loan Tape'!$U$4:$U$303&gt;=R188)*('Loan Tape'!$U$4:$U$303&lt;=S188))*'Loan Tape'!$T$4:$T$303*'Loan Tape'!$R$4:$R$303)/E188,"-")</f>
        <v>0.0846690256110668</v>
      </c>
      <c r="L188" s="69" t="n">
        <f aca="false">IFERROR(SUMPRODUCT((('Loan Tape'!$R$4:$R$303&lt;&gt;"")*('Loan Tape'!$U$4:$U$303&gt;=R188)*('Loan Tape'!$U$4:$U$303&lt;=S188))*'Loan Tape'!$V$4:$V$303*'Loan Tape'!$R$4:$R$303)/E188,"-")</f>
        <v>0.713862831588204</v>
      </c>
      <c r="M188" s="69" t="n">
        <f aca="false">IFERROR(SUMPRODUCT((('Loan Tape'!$R$4:$R$303&lt;&gt;"")*('Loan Tape'!$U$4:$U$303&gt;=R188)*('Loan Tape'!$U$4:$U$303&lt;=S188))*'Loan Tape'!$W$4:$W$303*'Loan Tape'!$R$4:$R$303)/E188,"-")</f>
        <v>0.746580674249703</v>
      </c>
      <c r="N188" s="69" t="n">
        <f aca="false">IFERROR(SUMPRODUCT((('Loan Tape'!$R$4:$R$303&lt;&gt;"")*('Loan Tape'!$U$4:$U$303&gt;=R188)*('Loan Tape'!$U$4:$U$303&lt;=S188))*'Loan Tape'!$AI$4:$AI$303*'Loan Tape'!$R$4:$R$303)/E188,"-")</f>
        <v>0.0714187441987331</v>
      </c>
      <c r="O188" s="69" t="n">
        <f aca="false">IFERROR(SUMPRODUCT((('Loan Tape'!$R$4:$R$303&lt;&gt;"")*('Loan Tape'!$U$4:$U$303&gt;=R188)*('Loan Tape'!$U$4:$U$303&lt;=S188))*'Loan Tape'!$AK$4:$AK$303*'Loan Tape'!$R$4:$R$303)/E188,"-")</f>
        <v>0.0816013267599212</v>
      </c>
      <c r="P188" s="69" t="n">
        <f aca="false">IFERROR(SUMPRODUCT((('Loan Tape'!$R$4:$R$303&lt;&gt;"")*('Loan Tape'!$U$4:$U$303&gt;=R188)*('Loan Tape'!$U$4:$U$303&lt;=S188))*'Loan Tape'!$S$4:$S$303*'Loan Tape'!$R$4:$R$303)/E188,"-")</f>
        <v>0.8653971282711</v>
      </c>
      <c r="R188" s="91" t="n">
        <v>1.25</v>
      </c>
      <c r="S188" s="91" t="n">
        <v>1.4999</v>
      </c>
    </row>
    <row r="189" customFormat="false" ht="14.25" hidden="false" customHeight="false" outlineLevel="0" collapsed="false">
      <c r="B189" s="7" t="s">
        <v>448</v>
      </c>
      <c r="C189" s="68" t="n">
        <f aca="false">COUNTIFS('Loan Tape'!$U$4:$U$303,"&gt;="&amp;R189,'Loan Tape'!$U$4:$U$303,"&lt;="&amp;S189,'Loan Tape'!$R$4:$R$303,"&lt;&gt;")</f>
        <v>14</v>
      </c>
      <c r="D189" s="68" t="n">
        <f aca="false">SUMPRODUCT((('Loan Tape'!$R$4:$R$303&lt;&gt;"")*('Loan Tape'!$U$4:$U$303&gt;=R189)*('Loan Tape'!$U$4:$U$303&lt;=S189))*'Loan Tape'!$F$4:$F$303)</f>
        <v>1147</v>
      </c>
      <c r="E189" s="84" t="n">
        <f aca="false">SUMIFS('Loan Tape'!$R$4:$R$303,'Loan Tape'!$U$4:$U$303,"&gt;="&amp;R189,'Loan Tape'!$U$4:$U$303,"&lt;="&amp;S189,'Loan Tape'!$R$4:$R$303,"&lt;&gt;")</f>
        <v>733630000</v>
      </c>
      <c r="F189" s="69" t="n">
        <f aca="false">IFERROR(E189/C5,0)</f>
        <v>0.293968208173553</v>
      </c>
      <c r="G189" s="85" t="n">
        <f aca="false">IFERROR(SUMPRODUCT((('Loan Tape'!$R$4:$R$303&lt;&gt;"")*('Loan Tape'!$U$4:$U$303&gt;=R189)*('Loan Tape'!$U$4:$U$303&lt;=S189))*'Loan Tape'!$U$4:$U$303*'Loan Tape'!$R$4:$R$303)/E189,"-")</f>
        <v>1.75828166787073</v>
      </c>
      <c r="H189" s="68" t="n">
        <f aca="false">IFERROR(SUMPRODUCT((('Loan Tape'!$R$4:$R$303&lt;&gt;"")*('Loan Tape'!$U$4:$U$303&gt;=R189)*('Loan Tape'!$U$4:$U$303&lt;=S189))*'Loan Tape'!$AH$4:$AH$303*'Loan Tape'!$R$4:$R$303)/E189,"-")</f>
        <v>62.4865421261399</v>
      </c>
      <c r="I189" s="68" t="n">
        <f aca="false">IFERROR(SUMPRODUCT((('Loan Tape'!$R$4:$R$303&lt;&gt;"")*('Loan Tape'!$U$4:$U$303&gt;=R189)*('Loan Tape'!$U$4:$U$303&lt;=S189))*(('Loan Tape'!$H$4:$H$303-$C$4)/30.4375)*'Loan Tape'!$R$4:$R$303)/E189,"-")</f>
        <v>29.9774700029649</v>
      </c>
      <c r="J189" s="69" t="n">
        <f aca="false">IFERROR(SUMPRODUCT((('Loan Tape'!$R$4:$R$303&lt;&gt;"")*('Loan Tape'!$U$4:$U$303&gt;=R189)*('Loan Tape'!$U$4:$U$303&lt;=S189))*('Loan Tape'!$K$4:$K$303="Floating")*'Loan Tape'!$R$4:$R$303)/E189,"-")</f>
        <v>0.736609735152597</v>
      </c>
      <c r="K189" s="69" t="n">
        <f aca="false">IFERROR(SUMPRODUCT((('Loan Tape'!$R$4:$R$303&lt;&gt;"")*('Loan Tape'!$U$4:$U$303&gt;=R189)*('Loan Tape'!$U$4:$U$303&lt;=S189))*'Loan Tape'!$T$4:$T$303*'Loan Tape'!$R$4:$R$303)/E189,"-")</f>
        <v>0.0838089158022436</v>
      </c>
      <c r="L189" s="69" t="n">
        <f aca="false">IFERROR(SUMPRODUCT((('Loan Tape'!$R$4:$R$303&lt;&gt;"")*('Loan Tape'!$U$4:$U$303&gt;=R189)*('Loan Tape'!$U$4:$U$303&lt;=S189))*'Loan Tape'!$V$4:$V$303*'Loan Tape'!$R$4:$R$303)/E189,"-")</f>
        <v>0.663568643594182</v>
      </c>
      <c r="M189" s="69" t="n">
        <f aca="false">IFERROR(SUMPRODUCT((('Loan Tape'!$R$4:$R$303&lt;&gt;"")*('Loan Tape'!$U$4:$U$303&gt;=R189)*('Loan Tape'!$U$4:$U$303&lt;=S189))*'Loan Tape'!$W$4:$W$303*'Loan Tape'!$R$4:$R$303)/E189,"-")</f>
        <v>0.690475529899268</v>
      </c>
      <c r="N189" s="69" t="n">
        <f aca="false">IFERROR(SUMPRODUCT((('Loan Tape'!$R$4:$R$303&lt;&gt;"")*('Loan Tape'!$U$4:$U$303&gt;=R189)*('Loan Tape'!$U$4:$U$303&lt;=S189))*'Loan Tape'!$AI$4:$AI$303*'Loan Tape'!$R$4:$R$303)/E189,"-")</f>
        <v>0.069480844567425</v>
      </c>
      <c r="O189" s="69" t="n">
        <f aca="false">IFERROR(SUMPRODUCT((('Loan Tape'!$R$4:$R$303&lt;&gt;"")*('Loan Tape'!$U$4:$U$303&gt;=R189)*('Loan Tape'!$U$4:$U$303&lt;=S189))*'Loan Tape'!$AK$4:$AK$303*'Loan Tape'!$R$4:$R$303)/E189,"-")</f>
        <v>0.078983480773687</v>
      </c>
      <c r="P189" s="69" t="n">
        <f aca="false">IFERROR(SUMPRODUCT((('Loan Tape'!$R$4:$R$303&lt;&gt;"")*('Loan Tape'!$U$4:$U$303&gt;=R189)*('Loan Tape'!$U$4:$U$303&lt;=S189))*'Loan Tape'!$S$4:$S$303*'Loan Tape'!$R$4:$R$303)/E189,"-")</f>
        <v>0.893340157845235</v>
      </c>
      <c r="R189" s="91" t="n">
        <v>1.5</v>
      </c>
      <c r="S189" s="91" t="n">
        <v>1.9999</v>
      </c>
    </row>
    <row r="190" customFormat="false" ht="14.25" hidden="false" customHeight="false" outlineLevel="0" collapsed="false">
      <c r="B190" s="7" t="s">
        <v>449</v>
      </c>
      <c r="C190" s="68" t="n">
        <f aca="false">COUNTIFS('Loan Tape'!$U$4:$U$303,"&gt;="&amp;R190,'Loan Tape'!$U$4:$U$303,"&lt;="&amp;S190,'Loan Tape'!$R$4:$R$303,"&lt;&gt;")</f>
        <v>1</v>
      </c>
      <c r="D190" s="68" t="n">
        <f aca="false">SUMPRODUCT((('Loan Tape'!$R$4:$R$303&lt;&gt;"")*('Loan Tape'!$U$4:$U$303&gt;=R190)*('Loan Tape'!$U$4:$U$303&lt;=S190))*'Loan Tape'!$F$4:$F$303)</f>
        <v>162</v>
      </c>
      <c r="E190" s="84" t="n">
        <f aca="false">SUMIFS('Loan Tape'!$R$4:$R$303,'Loan Tape'!$U$4:$U$303,"&gt;="&amp;R190,'Loan Tape'!$U$4:$U$303,"&lt;="&amp;S190,'Loan Tape'!$R$4:$R$303,"&lt;&gt;")</f>
        <v>16415000</v>
      </c>
      <c r="F190" s="69" t="n">
        <f aca="false">IFERROR(E190/C5,0)</f>
        <v>0.00657755017811277</v>
      </c>
      <c r="G190" s="85" t="n">
        <f aca="false">IFERROR(SUMPRODUCT((('Loan Tape'!$R$4:$R$303&lt;&gt;"")*('Loan Tape'!$U$4:$U$303&gt;=R190)*('Loan Tape'!$U$4:$U$303&lt;=S190))*'Loan Tape'!$U$4:$U$303*'Loan Tape'!$R$4:$R$303)/E190,"-")</f>
        <v>2.05</v>
      </c>
      <c r="H190" s="68" t="n">
        <f aca="false">IFERROR(SUMPRODUCT((('Loan Tape'!$R$4:$R$303&lt;&gt;"")*('Loan Tape'!$U$4:$U$303&gt;=R190)*('Loan Tape'!$U$4:$U$303&lt;=S190))*'Loan Tape'!$AH$4:$AH$303*'Loan Tape'!$R$4:$R$303)/E190,"-")</f>
        <v>33</v>
      </c>
      <c r="I190" s="68" t="n">
        <f aca="false">IFERROR(SUMPRODUCT((('Loan Tape'!$R$4:$R$303&lt;&gt;"")*('Loan Tape'!$U$4:$U$303&gt;=R190)*('Loan Tape'!$U$4:$U$303&lt;=S190))*(('Loan Tape'!$H$4:$H$303-$C$4)/30.4375)*'Loan Tape'!$R$4:$R$303)/E190,"-")</f>
        <v>87.0636550308008</v>
      </c>
      <c r="J190" s="69" t="n">
        <f aca="false">IFERROR(SUMPRODUCT((('Loan Tape'!$R$4:$R$303&lt;&gt;"")*('Loan Tape'!$U$4:$U$303&gt;=R190)*('Loan Tape'!$U$4:$U$303&lt;=S190))*('Loan Tape'!$K$4:$K$303="Floating")*'Loan Tape'!$R$4:$R$303)/E190,"-")</f>
        <v>0</v>
      </c>
      <c r="K190" s="69" t="n">
        <f aca="false">IFERROR(SUMPRODUCT((('Loan Tape'!$R$4:$R$303&lt;&gt;"")*('Loan Tape'!$U$4:$U$303&gt;=R190)*('Loan Tape'!$U$4:$U$303&lt;=S190))*'Loan Tape'!$T$4:$T$303*'Loan Tape'!$R$4:$R$303)/E190,"-")</f>
        <v>0.0963</v>
      </c>
      <c r="L190" s="69" t="n">
        <f aca="false">IFERROR(SUMPRODUCT((('Loan Tape'!$R$4:$R$303&lt;&gt;"")*('Loan Tape'!$U$4:$U$303&gt;=R190)*('Loan Tape'!$U$4:$U$303&lt;=S190))*'Loan Tape'!$V$4:$V$303*'Loan Tape'!$R$4:$R$303)/E190,"-")</f>
        <v>0.432</v>
      </c>
      <c r="M190" s="69" t="n">
        <f aca="false">IFERROR(SUMPRODUCT((('Loan Tape'!$R$4:$R$303&lt;&gt;"")*('Loan Tape'!$U$4:$U$303&gt;=R190)*('Loan Tape'!$U$4:$U$303&lt;=S190))*'Loan Tape'!$W$4:$W$303*'Loan Tape'!$R$4:$R$303)/E190,"-")</f>
        <v>0.487</v>
      </c>
      <c r="N190" s="69" t="n">
        <f aca="false">IFERROR(SUMPRODUCT((('Loan Tape'!$R$4:$R$303&lt;&gt;"")*('Loan Tape'!$U$4:$U$303&gt;=R190)*('Loan Tape'!$U$4:$U$303&lt;=S190))*'Loan Tape'!$AI$4:$AI$303*'Loan Tape'!$R$4:$R$303)/E190,"-")</f>
        <v>0.0479</v>
      </c>
      <c r="O190" s="69" t="n">
        <f aca="false">IFERROR(SUMPRODUCT((('Loan Tape'!$R$4:$R$303&lt;&gt;"")*('Loan Tape'!$U$4:$U$303&gt;=R190)*('Loan Tape'!$U$4:$U$303&lt;=S190))*'Loan Tape'!$AK$4:$AK$303*'Loan Tape'!$R$4:$R$303)/E190,"-")</f>
        <v>0.0479</v>
      </c>
      <c r="P190" s="69" t="n">
        <f aca="false">IFERROR(SUMPRODUCT((('Loan Tape'!$R$4:$R$303&lt;&gt;"")*('Loan Tape'!$U$4:$U$303&gt;=R190)*('Loan Tape'!$U$4:$U$303&lt;=S190))*'Loan Tape'!$S$4:$S$303*'Loan Tape'!$R$4:$R$303)/E190,"-")</f>
        <v>0.831</v>
      </c>
      <c r="R190" s="91" t="n">
        <v>2</v>
      </c>
      <c r="S190" s="91" t="n">
        <v>1000000000000</v>
      </c>
    </row>
    <row r="191" customFormat="false" ht="14.25" hidden="false" customHeight="false" outlineLevel="0" collapsed="false">
      <c r="B191" s="86" t="s">
        <v>405</v>
      </c>
      <c r="C191" s="92" t="n">
        <f aca="false">SUM(C186:C190)</f>
        <v>50</v>
      </c>
      <c r="D191" s="92" t="n">
        <f aca="false">SUM(D186:D190)</f>
        <v>4739</v>
      </c>
      <c r="E191" s="88" t="n">
        <f aca="false">SUM(E186:E190)</f>
        <v>2495610000</v>
      </c>
      <c r="F191" s="89" t="n">
        <f aca="false">SUM(F186:F190)</f>
        <v>1</v>
      </c>
      <c r="G191" s="90" t="n">
        <f aca="false">IFERROR(SUMPRODUCT((('Loan Tape'!$R$4:$R$303&lt;&gt;""))*'Loan Tape'!$U$4:$U$303*'Loan Tape'!$R$4:$R$303)/E191,"-")</f>
        <v>1.36575944157941</v>
      </c>
      <c r="H191" s="92" t="n">
        <f aca="false">IFERROR(SUMPRODUCT((('Loan Tape'!$R$4:$R$303&lt;&gt;""))*'Loan Tape'!$AH$4:$AH$303*'Loan Tape'!$R$4:$R$303)/E191,"-")</f>
        <v>76.5147345138063</v>
      </c>
      <c r="I191" s="92" t="n">
        <f aca="false">IFERROR(SUMPRODUCT((('Loan Tape'!$R$4:$R$303&lt;&gt;""))*(('Loan Tape'!$H$4:$H$303-$C$4)/30.4375)*'Loan Tape'!$R$4:$R$303)/E191,"-")</f>
        <v>17.6772942206432</v>
      </c>
      <c r="J191" s="89" t="n">
        <f aca="false">IFERROR(SUMPRODUCT((('Loan Tape'!$R$4:$R$303&lt;&gt;""))*('Loan Tape'!$K$4:$K$303="Floating")*'Loan Tape'!$R$4:$R$303)/E191,"-")</f>
        <v>0.664477622705471</v>
      </c>
      <c r="K191" s="89" t="n">
        <f aca="false">IFERROR(SUMPRODUCT((('Loan Tape'!$R$4:$R$303&lt;&gt;""))*'Loan Tape'!$T$4:$T$303*'Loan Tape'!$R$4:$R$303)/E191,"-")</f>
        <v>0.0861540568438177</v>
      </c>
      <c r="L191" s="89" t="n">
        <f aca="false">IFERROR(SUMPRODUCT((('Loan Tape'!$R$4:$R$303&lt;&gt;""))*'Loan Tape'!$V$4:$V$303*'Loan Tape'!$R$4:$R$303)/E191,"-")</f>
        <v>0.683559256454334</v>
      </c>
      <c r="M191" s="89" t="n">
        <f aca="false">IFERROR(SUMPRODUCT((('Loan Tape'!$R$4:$R$303&lt;&gt;""))*'Loan Tape'!$W$4:$W$303*'Loan Tape'!$R$4:$R$303)/E191,"-")</f>
        <v>0.716164459190338</v>
      </c>
      <c r="N191" s="89" t="n">
        <f aca="false">IFERROR(SUMPRODUCT((('Loan Tape'!$R$4:$R$303&lt;&gt;""))*'Loan Tape'!$AI$4:$AI$303*'Loan Tape'!$R$4:$R$303)/E191,"-")</f>
        <v>0.0704574522862146</v>
      </c>
      <c r="O191" s="89" t="n">
        <f aca="false">IFERROR(SUMPRODUCT((('Loan Tape'!$R$4:$R$303&lt;&gt;""))*'Loan Tape'!$AK$4:$AK$303*'Loan Tape'!$R$4:$R$303)/E191,"-")</f>
        <v>0.0792103169165054</v>
      </c>
      <c r="P191" s="89" t="n">
        <f aca="false">IFERROR(SUMPRODUCT((('Loan Tape'!$R$4:$R$303&lt;&gt;""))*'Loan Tape'!$S$4:$S$303*'Loan Tape'!$R$4:$R$303)/E191,"-")</f>
        <v>0.886687142221741</v>
      </c>
    </row>
    <row r="193" customFormat="false" ht="19.5" hidden="false" customHeight="true" outlineLevel="0" collapsed="false">
      <c r="B193" s="5" t="s">
        <v>450</v>
      </c>
      <c r="C193" s="5"/>
      <c r="D193" s="5"/>
      <c r="E193" s="5"/>
      <c r="F193" s="5"/>
      <c r="G193" s="5"/>
      <c r="H193" s="5"/>
      <c r="I193" s="5"/>
      <c r="J193" s="5"/>
      <c r="K193" s="5"/>
      <c r="L193" s="5"/>
      <c r="M193" s="5"/>
      <c r="N193" s="5"/>
      <c r="O193" s="5"/>
      <c r="P193" s="5"/>
    </row>
    <row r="194" customFormat="false" ht="42" hidden="false" customHeight="true" outlineLevel="0" collapsed="false">
      <c r="B194" s="82" t="s">
        <v>423</v>
      </c>
      <c r="C194" s="83" t="s">
        <v>368</v>
      </c>
      <c r="D194" s="83" t="s">
        <v>153</v>
      </c>
      <c r="E194" s="83" t="s">
        <v>393</v>
      </c>
      <c r="F194" s="83" t="s">
        <v>394</v>
      </c>
      <c r="G194" s="83" t="s">
        <v>395</v>
      </c>
      <c r="H194" s="83" t="s">
        <v>396</v>
      </c>
      <c r="I194" s="83" t="s">
        <v>397</v>
      </c>
      <c r="J194" s="83" t="s">
        <v>398</v>
      </c>
      <c r="K194" s="83" t="s">
        <v>399</v>
      </c>
      <c r="L194" s="83" t="s">
        <v>400</v>
      </c>
      <c r="M194" s="83" t="s">
        <v>401</v>
      </c>
      <c r="N194" s="83" t="s">
        <v>402</v>
      </c>
      <c r="O194" s="83" t="s">
        <v>403</v>
      </c>
      <c r="P194" s="83" t="s">
        <v>365</v>
      </c>
    </row>
    <row r="195" customFormat="false" ht="14.25" hidden="false" customHeight="false" outlineLevel="0" collapsed="false">
      <c r="B195" s="7" t="s">
        <v>451</v>
      </c>
      <c r="C195" s="68" t="n">
        <f aca="false">COUNTIFS('Loan Tape'!$T$4:$T$303,"&gt;="&amp;R195,'Loan Tape'!$T$4:$T$303,"&lt;="&amp;S195,'Loan Tape'!$R$4:$R$303,"&lt;&gt;")</f>
        <v>6</v>
      </c>
      <c r="D195" s="68" t="n">
        <f aca="false">SUMPRODUCT((('Loan Tape'!$R$4:$R$303&lt;&gt;"")*('Loan Tape'!$T$4:$T$303&gt;=R195)*('Loan Tape'!$T$4:$T$303&lt;=S195))*'Loan Tape'!$F$4:$F$303)</f>
        <v>953</v>
      </c>
      <c r="E195" s="84" t="n">
        <f aca="false">SUMIFS('Loan Tape'!$R$4:$R$303,'Loan Tape'!$T$4:$T$303,"&gt;="&amp;R195,'Loan Tape'!$T$4:$T$303,"&lt;="&amp;S195,'Loan Tape'!$R$4:$R$303,"&lt;&gt;")</f>
        <v>307727000</v>
      </c>
      <c r="F195" s="69" t="n">
        <f aca="false">IFERROR(E195/C5,0)</f>
        <v>0.123307327667384</v>
      </c>
      <c r="G195" s="85" t="n">
        <f aca="false">IFERROR(SUMPRODUCT((('Loan Tape'!$R$4:$R$303&lt;&gt;"")*('Loan Tape'!$T$4:$T$303&gt;=R195)*('Loan Tape'!$T$4:$T$303&lt;=S195))*'Loan Tape'!$U$4:$U$303*'Loan Tape'!$R$4:$R$303)/E195,"-")</f>
        <v>1.46217770946326</v>
      </c>
      <c r="H195" s="68" t="n">
        <f aca="false">IFERROR(SUMPRODUCT((('Loan Tape'!$R$4:$R$303&lt;&gt;"")*('Loan Tape'!$T$4:$T$303&gt;=R195)*('Loan Tape'!$T$4:$T$303&lt;=S195))*'Loan Tape'!$AH$4:$AH$303*'Loan Tape'!$R$4:$R$303)/E195,"-")</f>
        <v>71.7730260913082</v>
      </c>
      <c r="I195" s="68" t="n">
        <f aca="false">IFERROR(SUMPRODUCT((('Loan Tape'!$R$4:$R$303&lt;&gt;"")*('Loan Tape'!$T$4:$T$303&gt;=R195)*('Loan Tape'!$T$4:$T$303&lt;=S195))*(('Loan Tape'!$H$4:$H$303-$C$4)/30.4375)*'Loan Tape'!$R$4:$R$303)/E195,"-")</f>
        <v>24.1459394837216</v>
      </c>
      <c r="J195" s="69" t="n">
        <f aca="false">IFERROR(SUMPRODUCT((('Loan Tape'!$R$4:$R$303&lt;&gt;"")*('Loan Tape'!$T$4:$T$303&gt;=R195)*('Loan Tape'!$T$4:$T$303&lt;=S195))*('Loan Tape'!$K$4:$K$303="Floating")*'Loan Tape'!$R$4:$R$303)/E195,"-")</f>
        <v>0.733660029831637</v>
      </c>
      <c r="K195" s="69" t="n">
        <f aca="false">IFERROR(SUMPRODUCT((('Loan Tape'!$R$4:$R$303&lt;&gt;"")*('Loan Tape'!$T$4:$T$303&gt;=R195)*('Loan Tape'!$T$4:$T$303&lt;=S195))*'Loan Tape'!$T$4:$T$303*'Loan Tape'!$R$4:$R$303)/E195,"-")</f>
        <v>0.0415586854582146</v>
      </c>
      <c r="L195" s="69" t="n">
        <f aca="false">IFERROR(SUMPRODUCT((('Loan Tape'!$R$4:$R$303&lt;&gt;"")*('Loan Tape'!$T$4:$T$303&gt;=R195)*('Loan Tape'!$T$4:$T$303&lt;=S195))*'Loan Tape'!$V$4:$V$303*'Loan Tape'!$R$4:$R$303)/E195,"-")</f>
        <v>0.742364118195673</v>
      </c>
      <c r="M195" s="69" t="n">
        <f aca="false">IFERROR(SUMPRODUCT((('Loan Tape'!$R$4:$R$303&lt;&gt;"")*('Loan Tape'!$T$4:$T$303&gt;=R195)*('Loan Tape'!$T$4:$T$303&lt;=S195))*'Loan Tape'!$W$4:$W$303*'Loan Tape'!$R$4:$R$303)/E195,"-")</f>
        <v>0.77789940434216</v>
      </c>
      <c r="N195" s="69" t="n">
        <f aca="false">IFERROR(SUMPRODUCT((('Loan Tape'!$R$4:$R$303&lt;&gt;"")*('Loan Tape'!$T$4:$T$303&gt;=R195)*('Loan Tape'!$T$4:$T$303&lt;=S195))*'Loan Tape'!$AI$4:$AI$303*'Loan Tape'!$R$4:$R$303)/E195,"-")</f>
        <v>0.0758524403123548</v>
      </c>
      <c r="O195" s="69" t="n">
        <f aca="false">IFERROR(SUMPRODUCT((('Loan Tape'!$R$4:$R$303&lt;&gt;"")*('Loan Tape'!$T$4:$T$303&gt;=R195)*('Loan Tape'!$T$4:$T$303&lt;=S195))*'Loan Tape'!$AK$4:$AK$303*'Loan Tape'!$R$4:$R$303)/E195,"-")</f>
        <v>0.086686707698707</v>
      </c>
      <c r="P195" s="69" t="n">
        <f aca="false">IFERROR(SUMPRODUCT((('Loan Tape'!$R$4:$R$303&lt;&gt;"")*('Loan Tape'!$T$4:$T$303&gt;=R195)*('Loan Tape'!$T$4:$T$303&lt;=S195))*'Loan Tape'!$S$4:$S$303*'Loan Tape'!$R$4:$R$303)/E195,"-")</f>
        <v>0.906551066367267</v>
      </c>
      <c r="R195" s="91" t="n">
        <v>-1000000000000</v>
      </c>
      <c r="S195" s="91" t="n">
        <v>0.05999</v>
      </c>
    </row>
    <row r="196" customFormat="false" ht="14.25" hidden="false" customHeight="false" outlineLevel="0" collapsed="false">
      <c r="B196" s="7" t="s">
        <v>452</v>
      </c>
      <c r="C196" s="68" t="n">
        <f aca="false">COUNTIFS('Loan Tape'!$T$4:$T$303,"&gt;="&amp;R196,'Loan Tape'!$T$4:$T$303,"&lt;="&amp;S196,'Loan Tape'!$R$4:$R$303,"&lt;&gt;")</f>
        <v>14</v>
      </c>
      <c r="D196" s="68" t="n">
        <f aca="false">SUMPRODUCT((('Loan Tape'!$R$4:$R$303&lt;&gt;"")*('Loan Tape'!$T$4:$T$303&gt;=R196)*('Loan Tape'!$T$4:$T$303&lt;=S196))*'Loan Tape'!$F$4:$F$303)</f>
        <v>1592</v>
      </c>
      <c r="E196" s="84" t="n">
        <f aca="false">SUMIFS('Loan Tape'!$R$4:$R$303,'Loan Tape'!$T$4:$T$303,"&gt;="&amp;R196,'Loan Tape'!$T$4:$T$303,"&lt;="&amp;S196,'Loan Tape'!$R$4:$R$303,"&lt;&gt;")</f>
        <v>662797000</v>
      </c>
      <c r="F196" s="69" t="n">
        <f aca="false">IFERROR(E196/C5,0)</f>
        <v>0.265585167554225</v>
      </c>
      <c r="G196" s="85" t="n">
        <f aca="false">IFERROR(SUMPRODUCT((('Loan Tape'!$R$4:$R$303&lt;&gt;"")*('Loan Tape'!$T$4:$T$303&gt;=R196)*('Loan Tape'!$T$4:$T$303&lt;=S196))*'Loan Tape'!$U$4:$U$303*'Loan Tape'!$R$4:$R$303)/E196,"-")</f>
        <v>1.48420673298159</v>
      </c>
      <c r="H196" s="68" t="n">
        <f aca="false">IFERROR(SUMPRODUCT((('Loan Tape'!$R$4:$R$303&lt;&gt;"")*('Loan Tape'!$T$4:$T$303&gt;=R196)*('Loan Tape'!$T$4:$T$303&lt;=S196))*'Loan Tape'!$AH$4:$AH$303*'Loan Tape'!$R$4:$R$303)/E196,"-")</f>
        <v>81.0857875035645</v>
      </c>
      <c r="I196" s="68" t="n">
        <f aca="false">IFERROR(SUMPRODUCT((('Loan Tape'!$R$4:$R$303&lt;&gt;"")*('Loan Tape'!$T$4:$T$303&gt;=R196)*('Loan Tape'!$T$4:$T$303&lt;=S196))*(('Loan Tape'!$H$4:$H$303-$C$4)/30.4375)*'Loan Tape'!$R$4:$R$303)/E196,"-")</f>
        <v>15.4252698102357</v>
      </c>
      <c r="J196" s="69" t="n">
        <f aca="false">IFERROR(SUMPRODUCT((('Loan Tape'!$R$4:$R$303&lt;&gt;"")*('Loan Tape'!$T$4:$T$303&gt;=R196)*('Loan Tape'!$T$4:$T$303&lt;=S196))*('Loan Tape'!$K$4:$K$303="Floating")*'Loan Tape'!$R$4:$R$303)/E196,"-")</f>
        <v>0.736134894998016</v>
      </c>
      <c r="K196" s="69" t="n">
        <f aca="false">IFERROR(SUMPRODUCT((('Loan Tape'!$R$4:$R$303&lt;&gt;"")*('Loan Tape'!$T$4:$T$303&gt;=R196)*('Loan Tape'!$T$4:$T$303&lt;=S196))*'Loan Tape'!$T$4:$T$303*'Loan Tape'!$R$4:$R$303)/E196,"-")</f>
        <v>0.0720904264805061</v>
      </c>
      <c r="L196" s="69" t="n">
        <f aca="false">IFERROR(SUMPRODUCT((('Loan Tape'!$R$4:$R$303&lt;&gt;"")*('Loan Tape'!$T$4:$T$303&gt;=R196)*('Loan Tape'!$T$4:$T$303&lt;=S196))*'Loan Tape'!$V$4:$V$303*'Loan Tape'!$R$4:$R$303)/E196,"-")</f>
        <v>0.646340997318938</v>
      </c>
      <c r="M196" s="69" t="n">
        <f aca="false">IFERROR(SUMPRODUCT((('Loan Tape'!$R$4:$R$303&lt;&gt;"")*('Loan Tape'!$T$4:$T$303&gt;=R196)*('Loan Tape'!$T$4:$T$303&lt;=S196))*'Loan Tape'!$W$4:$W$303*'Loan Tape'!$R$4:$R$303)/E196,"-")</f>
        <v>0.673436782302877</v>
      </c>
      <c r="N196" s="69" t="n">
        <f aca="false">IFERROR(SUMPRODUCT((('Loan Tape'!$R$4:$R$303&lt;&gt;"")*('Loan Tape'!$T$4:$T$303&gt;=R196)*('Loan Tape'!$T$4:$T$303&lt;=S196))*'Loan Tape'!$AI$4:$AI$303*'Loan Tape'!$R$4:$R$303)/E196,"-")</f>
        <v>0.0760123487281928</v>
      </c>
      <c r="O196" s="69" t="n">
        <f aca="false">IFERROR(SUMPRODUCT((('Loan Tape'!$R$4:$R$303&lt;&gt;"")*('Loan Tape'!$T$4:$T$303&gt;=R196)*('Loan Tape'!$T$4:$T$303&lt;=S196))*'Loan Tape'!$AK$4:$AK$303*'Loan Tape'!$R$4:$R$303)/E196,"-")</f>
        <v>0.0847892843510155</v>
      </c>
      <c r="P196" s="69" t="n">
        <f aca="false">IFERROR(SUMPRODUCT((('Loan Tape'!$R$4:$R$303&lt;&gt;"")*('Loan Tape'!$T$4:$T$303&gt;=R196)*('Loan Tape'!$T$4:$T$303&lt;=S196))*'Loan Tape'!$S$4:$S$303*'Loan Tape'!$R$4:$R$303)/E196,"-")</f>
        <v>0.884658883489213</v>
      </c>
      <c r="R196" s="91" t="n">
        <v>0.06</v>
      </c>
      <c r="S196" s="91" t="n">
        <v>0.07999</v>
      </c>
    </row>
    <row r="197" customFormat="false" ht="14.25" hidden="false" customHeight="false" outlineLevel="0" collapsed="false">
      <c r="B197" s="7" t="s">
        <v>453</v>
      </c>
      <c r="C197" s="68" t="n">
        <f aca="false">COUNTIFS('Loan Tape'!$T$4:$T$303,"&gt;="&amp;R197,'Loan Tape'!$T$4:$T$303,"&lt;="&amp;S197,'Loan Tape'!$R$4:$R$303,"&lt;&gt;")</f>
        <v>16</v>
      </c>
      <c r="D197" s="68" t="n">
        <f aca="false">SUMPRODUCT((('Loan Tape'!$R$4:$R$303&lt;&gt;"")*('Loan Tape'!$T$4:$T$303&gt;=R197)*('Loan Tape'!$T$4:$T$303&lt;=S197))*'Loan Tape'!$F$4:$F$303)</f>
        <v>680</v>
      </c>
      <c r="E197" s="84" t="n">
        <f aca="false">SUMIFS('Loan Tape'!$R$4:$R$303,'Loan Tape'!$T$4:$T$303,"&gt;="&amp;R197,'Loan Tape'!$T$4:$T$303,"&lt;="&amp;S197,'Loan Tape'!$R$4:$R$303,"&lt;&gt;")</f>
        <v>780269000</v>
      </c>
      <c r="F197" s="69" t="n">
        <f aca="false">IFERROR(E197/C5,0)</f>
        <v>0.312656625033559</v>
      </c>
      <c r="G197" s="85" t="n">
        <f aca="false">IFERROR(SUMPRODUCT((('Loan Tape'!$R$4:$R$303&lt;&gt;"")*('Loan Tape'!$T$4:$T$303&gt;=R197)*('Loan Tape'!$T$4:$T$303&lt;=S197))*'Loan Tape'!$U$4:$U$303*'Loan Tape'!$R$4:$R$303)/E197,"-")</f>
        <v>1.26991287620039</v>
      </c>
      <c r="H197" s="68" t="n">
        <f aca="false">IFERROR(SUMPRODUCT((('Loan Tape'!$R$4:$R$303&lt;&gt;"")*('Loan Tape'!$T$4:$T$303&gt;=R197)*('Loan Tape'!$T$4:$T$303&lt;=S197))*'Loan Tape'!$AH$4:$AH$303*'Loan Tape'!$R$4:$R$303)/E197,"-")</f>
        <v>69.8375116786647</v>
      </c>
      <c r="I197" s="68" t="n">
        <f aca="false">IFERROR(SUMPRODUCT((('Loan Tape'!$R$4:$R$303&lt;&gt;"")*('Loan Tape'!$T$4:$T$303&gt;=R197)*('Loan Tape'!$T$4:$T$303&lt;=S197))*(('Loan Tape'!$H$4:$H$303-$C$4)/30.4375)*'Loan Tape'!$R$4:$R$303)/E197,"-")</f>
        <v>25.9096432975283</v>
      </c>
      <c r="J197" s="69" t="n">
        <f aca="false">IFERROR(SUMPRODUCT((('Loan Tape'!$R$4:$R$303&lt;&gt;"")*('Loan Tape'!$T$4:$T$303&gt;=R197)*('Loan Tape'!$T$4:$T$303&lt;=S197))*('Loan Tape'!$K$4:$K$303="Floating")*'Loan Tape'!$R$4:$R$303)/E197,"-")</f>
        <v>0.705036340031451</v>
      </c>
      <c r="K197" s="69" t="n">
        <f aca="false">IFERROR(SUMPRODUCT((('Loan Tape'!$R$4:$R$303&lt;&gt;"")*('Loan Tape'!$T$4:$T$303&gt;=R197)*('Loan Tape'!$T$4:$T$303&lt;=S197))*'Loan Tape'!$T$4:$T$303*'Loan Tape'!$R$4:$R$303)/E197,"-")</f>
        <v>0.0891624696098397</v>
      </c>
      <c r="L197" s="69" t="n">
        <f aca="false">IFERROR(SUMPRODUCT((('Loan Tape'!$R$4:$R$303&lt;&gt;"")*('Loan Tape'!$T$4:$T$303&gt;=R197)*('Loan Tape'!$T$4:$T$303&lt;=S197))*'Loan Tape'!$V$4:$V$303*'Loan Tape'!$R$4:$R$303)/E197,"-")</f>
        <v>0.660286630636358</v>
      </c>
      <c r="M197" s="69" t="n">
        <f aca="false">IFERROR(SUMPRODUCT((('Loan Tape'!$R$4:$R$303&lt;&gt;"")*('Loan Tape'!$T$4:$T$303&gt;=R197)*('Loan Tape'!$T$4:$T$303&lt;=S197))*'Loan Tape'!$W$4:$W$303*'Loan Tape'!$R$4:$R$303)/E197,"-")</f>
        <v>0.696340442847275</v>
      </c>
      <c r="N197" s="69" t="n">
        <f aca="false">IFERROR(SUMPRODUCT((('Loan Tape'!$R$4:$R$303&lt;&gt;"")*('Loan Tape'!$T$4:$T$303&gt;=R197)*('Loan Tape'!$T$4:$T$303&lt;=S197))*'Loan Tape'!$AI$4:$AI$303*'Loan Tape'!$R$4:$R$303)/E197,"-")</f>
        <v>0.0707665920342856</v>
      </c>
      <c r="O197" s="69" t="n">
        <f aca="false">IFERROR(SUMPRODUCT((('Loan Tape'!$R$4:$R$303&lt;&gt;"")*('Loan Tape'!$T$4:$T$303&gt;=R197)*('Loan Tape'!$T$4:$T$303&lt;=S197))*'Loan Tape'!$AK$4:$AK$303*'Loan Tape'!$R$4:$R$303)/E197,"-")</f>
        <v>0.0796945936593662</v>
      </c>
      <c r="P197" s="69" t="n">
        <f aca="false">IFERROR(SUMPRODUCT((('Loan Tape'!$R$4:$R$303&lt;&gt;"")*('Loan Tape'!$T$4:$T$303&gt;=R197)*('Loan Tape'!$T$4:$T$303&lt;=S197))*'Loan Tape'!$S$4:$S$303*'Loan Tape'!$R$4:$R$303)/E197,"-")</f>
        <v>0.862592327774139</v>
      </c>
      <c r="R197" s="91" t="n">
        <v>0.08</v>
      </c>
      <c r="S197" s="91" t="n">
        <v>0.09999</v>
      </c>
    </row>
    <row r="198" customFormat="false" ht="14.25" hidden="false" customHeight="false" outlineLevel="0" collapsed="false">
      <c r="B198" s="7" t="s">
        <v>454</v>
      </c>
      <c r="C198" s="68" t="n">
        <f aca="false">COUNTIFS('Loan Tape'!$T$4:$T$303,"&gt;="&amp;R198,'Loan Tape'!$T$4:$T$303,"&lt;="&amp;S198,'Loan Tape'!$R$4:$R$303,"&lt;&gt;")</f>
        <v>11</v>
      </c>
      <c r="D198" s="68" t="n">
        <f aca="false">SUMPRODUCT((('Loan Tape'!$R$4:$R$303&lt;&gt;"")*('Loan Tape'!$T$4:$T$303&gt;=R198)*('Loan Tape'!$T$4:$T$303&lt;=S198))*'Loan Tape'!$F$4:$F$303)</f>
        <v>1332</v>
      </c>
      <c r="E198" s="84" t="n">
        <f aca="false">SUMIFS('Loan Tape'!$R$4:$R$303,'Loan Tape'!$T$4:$T$303,"&gt;="&amp;R198,'Loan Tape'!$T$4:$T$303,"&lt;="&amp;S198,'Loan Tape'!$R$4:$R$303,"&lt;&gt;")</f>
        <v>516473000</v>
      </c>
      <c r="F198" s="69" t="n">
        <f aca="false">IFERROR(E198/C5,0)</f>
        <v>0.206952608781019</v>
      </c>
      <c r="G198" s="85" t="n">
        <f aca="false">IFERROR(SUMPRODUCT((('Loan Tape'!$R$4:$R$303&lt;&gt;"")*('Loan Tape'!$T$4:$T$303&gt;=R198)*('Loan Tape'!$T$4:$T$303&lt;=S198))*'Loan Tape'!$U$4:$U$303*'Loan Tape'!$R$4:$R$303)/E198,"-")</f>
        <v>1.42185312688175</v>
      </c>
      <c r="H198" s="68" t="n">
        <f aca="false">IFERROR(SUMPRODUCT((('Loan Tape'!$R$4:$R$303&lt;&gt;"")*('Loan Tape'!$T$4:$T$303&gt;=R198)*('Loan Tape'!$T$4:$T$303&lt;=S198))*'Loan Tape'!$AH$4:$AH$303*'Loan Tape'!$R$4:$R$303)/E198,"-")</f>
        <v>75.6323153388464</v>
      </c>
      <c r="I198" s="68" t="n">
        <f aca="false">IFERROR(SUMPRODUCT((('Loan Tape'!$R$4:$R$303&lt;&gt;"")*('Loan Tape'!$T$4:$T$303&gt;=R198)*('Loan Tape'!$T$4:$T$303&lt;=S198))*(('Loan Tape'!$H$4:$H$303-$C$4)/30.4375)*'Loan Tape'!$R$4:$R$303)/E198,"-")</f>
        <v>14.9829028275901</v>
      </c>
      <c r="J198" s="69" t="n">
        <f aca="false">IFERROR(SUMPRODUCT((('Loan Tape'!$R$4:$R$303&lt;&gt;"")*('Loan Tape'!$T$4:$T$303&gt;=R198)*('Loan Tape'!$T$4:$T$303&lt;=S198))*('Loan Tape'!$K$4:$K$303="Floating")*'Loan Tape'!$R$4:$R$303)/E198,"-")</f>
        <v>0.569793580690569</v>
      </c>
      <c r="K198" s="69" t="n">
        <f aca="false">IFERROR(SUMPRODUCT((('Loan Tape'!$R$4:$R$303&lt;&gt;"")*('Loan Tape'!$T$4:$T$303&gt;=R198)*('Loan Tape'!$T$4:$T$303&lt;=S198))*'Loan Tape'!$T$4:$T$303*'Loan Tape'!$R$4:$R$303)/E198,"-")</f>
        <v>0.107910824767219</v>
      </c>
      <c r="L198" s="69" t="n">
        <f aca="false">IFERROR(SUMPRODUCT((('Loan Tape'!$R$4:$R$303&lt;&gt;"")*('Loan Tape'!$T$4:$T$303&gt;=R198)*('Loan Tape'!$T$4:$T$303&lt;=S198))*'Loan Tape'!$V$4:$V$303*'Loan Tape'!$R$4:$R$303)/E198,"-")</f>
        <v>0.721532231113727</v>
      </c>
      <c r="M198" s="69" t="n">
        <f aca="false">IFERROR(SUMPRODUCT((('Loan Tape'!$R$4:$R$303&lt;&gt;"")*('Loan Tape'!$T$4:$T$303&gt;=R198)*('Loan Tape'!$T$4:$T$303&lt;=S198))*'Loan Tape'!$W$4:$W$303*'Loan Tape'!$R$4:$R$303)/E198,"-")</f>
        <v>0.753119074956484</v>
      </c>
      <c r="N198" s="69" t="n">
        <f aca="false">IFERROR(SUMPRODUCT((('Loan Tape'!$R$4:$R$303&lt;&gt;"")*('Loan Tape'!$T$4:$T$303&gt;=R198)*('Loan Tape'!$T$4:$T$303&lt;=S198))*'Loan Tape'!$AI$4:$AI$303*'Loan Tape'!$R$4:$R$303)/E198,"-")</f>
        <v>0.0638579182261222</v>
      </c>
      <c r="O198" s="69" t="n">
        <f aca="false">IFERROR(SUMPRODUCT((('Loan Tape'!$R$4:$R$303&lt;&gt;"")*('Loan Tape'!$T$4:$T$303&gt;=R198)*('Loan Tape'!$T$4:$T$303&lt;=S198))*'Loan Tape'!$AK$4:$AK$303*'Loan Tape'!$R$4:$R$303)/E198,"-")</f>
        <v>0.0720348324113748</v>
      </c>
      <c r="P198" s="69" t="n">
        <f aca="false">IFERROR(SUMPRODUCT((('Loan Tape'!$R$4:$R$303&lt;&gt;"")*('Loan Tape'!$T$4:$T$303&gt;=R198)*('Loan Tape'!$T$4:$T$303&lt;=S198))*'Loan Tape'!$S$4:$S$303*'Loan Tape'!$R$4:$R$303)/E198,"-")</f>
        <v>0.897513643501209</v>
      </c>
      <c r="R198" s="91" t="n">
        <v>0.1</v>
      </c>
      <c r="S198" s="91" t="n">
        <v>0.11999</v>
      </c>
    </row>
    <row r="199" customFormat="false" ht="14.25" hidden="false" customHeight="false" outlineLevel="0" collapsed="false">
      <c r="B199" s="7" t="s">
        <v>455</v>
      </c>
      <c r="C199" s="68" t="n">
        <f aca="false">COUNTIFS('Loan Tape'!$T$4:$T$303,"&gt;="&amp;R199,'Loan Tape'!$T$4:$T$303,"&lt;="&amp;S199,'Loan Tape'!$R$4:$R$303,"&lt;&gt;")</f>
        <v>3</v>
      </c>
      <c r="D199" s="68" t="n">
        <f aca="false">SUMPRODUCT((('Loan Tape'!$R$4:$R$303&lt;&gt;"")*('Loan Tape'!$T$4:$T$303&gt;=R199)*('Loan Tape'!$T$4:$T$303&lt;=S199))*'Loan Tape'!$F$4:$F$303)</f>
        <v>182</v>
      </c>
      <c r="E199" s="84" t="n">
        <f aca="false">SUMIFS('Loan Tape'!$R$4:$R$303,'Loan Tape'!$T$4:$T$303,"&gt;="&amp;R199,'Loan Tape'!$T$4:$T$303,"&lt;="&amp;S199,'Loan Tape'!$R$4:$R$303,"&lt;&gt;")</f>
        <v>228344000</v>
      </c>
      <c r="F199" s="69" t="n">
        <f aca="false">IFERROR(E199/C5,0)</f>
        <v>0.0914982709638125</v>
      </c>
      <c r="G199" s="85" t="n">
        <f aca="false">IFERROR(SUMPRODUCT((('Loan Tape'!$R$4:$R$303&lt;&gt;"")*('Loan Tape'!$T$4:$T$303&gt;=R199)*('Loan Tape'!$T$4:$T$303&lt;=S199))*'Loan Tape'!$U$4:$U$303*'Loan Tape'!$R$4:$R$303)/E199,"-")</f>
        <v>1.09265489787338</v>
      </c>
      <c r="H199" s="68" t="n">
        <f aca="false">IFERROR(SUMPRODUCT((('Loan Tape'!$R$4:$R$303&lt;&gt;"")*('Loan Tape'!$T$4:$T$303&gt;=R199)*('Loan Tape'!$T$4:$T$303&lt;=S199))*'Loan Tape'!$AH$4:$AH$303*'Loan Tape'!$R$4:$R$303)/E199,"-")</f>
        <v>94.4492857267982</v>
      </c>
      <c r="I199" s="68" t="n">
        <f aca="false">IFERROR(SUMPRODUCT((('Loan Tape'!$R$4:$R$303&lt;&gt;"")*('Loan Tape'!$T$4:$T$303&gt;=R199)*('Loan Tape'!$T$4:$T$303&lt;=S199))*(('Loan Tape'!$H$4:$H$303-$C$4)/30.4375)*'Loan Tape'!$R$4:$R$303)/E199,"-")</f>
        <v>-6.5397123731542</v>
      </c>
      <c r="J199" s="69" t="n">
        <f aca="false">IFERROR(SUMPRODUCT((('Loan Tape'!$R$4:$R$303&lt;&gt;"")*('Loan Tape'!$T$4:$T$303&gt;=R199)*('Loan Tape'!$T$4:$T$303&lt;=S199))*('Loan Tape'!$K$4:$K$303="Floating")*'Loan Tape'!$R$4:$R$303)/E199,"-")</f>
        <v>0.438815996916932</v>
      </c>
      <c r="K199" s="69" t="n">
        <f aca="false">IFERROR(SUMPRODUCT((('Loan Tape'!$R$4:$R$303&lt;&gt;"")*('Loan Tape'!$T$4:$T$303&gt;=R199)*('Loan Tape'!$T$4:$T$303&lt;=S199))*'Loan Tape'!$T$4:$T$303*'Loan Tape'!$R$4:$R$303)/E199,"-")</f>
        <v>0.127584431384227</v>
      </c>
      <c r="L199" s="69" t="n">
        <f aca="false">IFERROR(SUMPRODUCT((('Loan Tape'!$R$4:$R$303&lt;&gt;"")*('Loan Tape'!$T$4:$T$303&gt;=R199)*('Loan Tape'!$T$4:$T$303&lt;=S199))*'Loan Tape'!$V$4:$V$303*'Loan Tape'!$R$4:$R$303)/E199,"-")</f>
        <v>0.705978059419122</v>
      </c>
      <c r="M199" s="69" t="n">
        <f aca="false">IFERROR(SUMPRODUCT((('Loan Tape'!$R$4:$R$303&lt;&gt;"")*('Loan Tape'!$T$4:$T$303&gt;=R199)*('Loan Tape'!$T$4:$T$303&lt;=S199))*'Loan Tape'!$W$4:$W$303*'Loan Tape'!$R$4:$R$303)/E199,"-")</f>
        <v>0.741145499772273</v>
      </c>
      <c r="N199" s="69" t="n">
        <f aca="false">IFERROR(SUMPRODUCT((('Loan Tape'!$R$4:$R$303&lt;&gt;"")*('Loan Tape'!$T$4:$T$303&gt;=R199)*('Loan Tape'!$T$4:$T$303&lt;=S199))*'Loan Tape'!$AI$4:$AI$303*'Loan Tape'!$R$4:$R$303)/E199,"-")</f>
        <v>0.0609337372560698</v>
      </c>
      <c r="O199" s="69" t="n">
        <f aca="false">IFERROR(SUMPRODUCT((('Loan Tape'!$R$4:$R$303&lt;&gt;"")*('Loan Tape'!$T$4:$T$303&gt;=R199)*('Loan Tape'!$T$4:$T$303&lt;=S199))*'Loan Tape'!$AK$4:$AK$303*'Loan Tape'!$R$4:$R$303)/E199,"-")</f>
        <v>0.0675159772098238</v>
      </c>
      <c r="P199" s="69" t="n">
        <f aca="false">IFERROR(SUMPRODUCT((('Loan Tape'!$R$4:$R$303&lt;&gt;"")*('Loan Tape'!$T$4:$T$303&gt;=R199)*('Loan Tape'!$T$4:$T$303&lt;=S199))*'Loan Tape'!$S$4:$S$303*'Loan Tape'!$R$4:$R$303)/E199,"-")</f>
        <v>0.923651105349823</v>
      </c>
      <c r="R199" s="91" t="n">
        <v>0.12</v>
      </c>
      <c r="S199" s="91" t="n">
        <v>1000000000000</v>
      </c>
    </row>
    <row r="200" customFormat="false" ht="14.25" hidden="false" customHeight="false" outlineLevel="0" collapsed="false">
      <c r="B200" s="86" t="s">
        <v>405</v>
      </c>
      <c r="C200" s="92" t="n">
        <f aca="false">SUM(C195:C199)</f>
        <v>50</v>
      </c>
      <c r="D200" s="92" t="n">
        <f aca="false">SUM(D195:D199)</f>
        <v>4739</v>
      </c>
      <c r="E200" s="88" t="n">
        <f aca="false">SUM(E195:E199)</f>
        <v>2495610000</v>
      </c>
      <c r="F200" s="89" t="n">
        <f aca="false">SUM(F195:F199)</f>
        <v>1</v>
      </c>
      <c r="G200" s="90" t="n">
        <f aca="false">IFERROR(SUMPRODUCT((('Loan Tape'!$R$4:$R$303&lt;&gt;""))*'Loan Tape'!$U$4:$U$303*'Loan Tape'!$R$4:$R$303)/E200,"-")</f>
        <v>1.36575944157941</v>
      </c>
      <c r="H200" s="92" t="n">
        <f aca="false">IFERROR(SUMPRODUCT((('Loan Tape'!$R$4:$R$303&lt;&gt;""))*'Loan Tape'!$AH$4:$AH$303*'Loan Tape'!$R$4:$R$303)/E200,"-")</f>
        <v>76.5147345138063</v>
      </c>
      <c r="I200" s="92" t="n">
        <f aca="false">IFERROR(SUMPRODUCT((('Loan Tape'!$R$4:$R$303&lt;&gt;""))*(('Loan Tape'!$H$4:$H$303-$C$4)/30.4375)*'Loan Tape'!$R$4:$R$303)/E200,"-")</f>
        <v>17.6772942206432</v>
      </c>
      <c r="J200" s="89" t="n">
        <f aca="false">IFERROR(SUMPRODUCT((('Loan Tape'!$R$4:$R$303&lt;&gt;""))*('Loan Tape'!$K$4:$K$303="Floating")*'Loan Tape'!$R$4:$R$303)/E200,"-")</f>
        <v>0.664477622705471</v>
      </c>
      <c r="K200" s="89" t="n">
        <f aca="false">IFERROR(SUMPRODUCT((('Loan Tape'!$R$4:$R$303&lt;&gt;""))*'Loan Tape'!$T$4:$T$303*'Loan Tape'!$R$4:$R$303)/E200,"-")</f>
        <v>0.0861540568438177</v>
      </c>
      <c r="L200" s="89" t="n">
        <f aca="false">IFERROR(SUMPRODUCT((('Loan Tape'!$R$4:$R$303&lt;&gt;""))*'Loan Tape'!$V$4:$V$303*'Loan Tape'!$R$4:$R$303)/E200,"-")</f>
        <v>0.683559256454334</v>
      </c>
      <c r="M200" s="89" t="n">
        <f aca="false">IFERROR(SUMPRODUCT((('Loan Tape'!$R$4:$R$303&lt;&gt;""))*'Loan Tape'!$W$4:$W$303*'Loan Tape'!$R$4:$R$303)/E200,"-")</f>
        <v>0.716164459190338</v>
      </c>
      <c r="N200" s="89" t="n">
        <f aca="false">IFERROR(SUMPRODUCT((('Loan Tape'!$R$4:$R$303&lt;&gt;""))*'Loan Tape'!$AI$4:$AI$303*'Loan Tape'!$R$4:$R$303)/E200,"-")</f>
        <v>0.0704574522862146</v>
      </c>
      <c r="O200" s="89" t="n">
        <f aca="false">IFERROR(SUMPRODUCT((('Loan Tape'!$R$4:$R$303&lt;&gt;""))*'Loan Tape'!$AK$4:$AK$303*'Loan Tape'!$R$4:$R$303)/E200,"-")</f>
        <v>0.0792103169165054</v>
      </c>
      <c r="P200" s="89" t="n">
        <f aca="false">IFERROR(SUMPRODUCT((('Loan Tape'!$R$4:$R$303&lt;&gt;""))*'Loan Tape'!$S$4:$S$303*'Loan Tape'!$R$4:$R$303)/E200,"-")</f>
        <v>0.886687142221741</v>
      </c>
    </row>
    <row r="202" customFormat="false" ht="19.5" hidden="false" customHeight="true" outlineLevel="0" collapsed="false">
      <c r="B202" s="5" t="s">
        <v>456</v>
      </c>
      <c r="C202" s="5"/>
      <c r="D202" s="5"/>
      <c r="E202" s="5"/>
      <c r="F202" s="5"/>
      <c r="G202" s="5"/>
      <c r="H202" s="5"/>
      <c r="I202" s="5"/>
      <c r="J202" s="5"/>
      <c r="K202" s="5"/>
      <c r="L202" s="5"/>
      <c r="M202" s="5"/>
      <c r="N202" s="5"/>
      <c r="O202" s="5"/>
      <c r="P202" s="5"/>
    </row>
    <row r="203" customFormat="false" ht="42" hidden="false" customHeight="true" outlineLevel="0" collapsed="false">
      <c r="B203" s="82" t="s">
        <v>423</v>
      </c>
      <c r="C203" s="83" t="s">
        <v>368</v>
      </c>
      <c r="D203" s="83" t="s">
        <v>153</v>
      </c>
      <c r="E203" s="83" t="s">
        <v>393</v>
      </c>
      <c r="F203" s="83" t="s">
        <v>394</v>
      </c>
      <c r="G203" s="83" t="s">
        <v>395</v>
      </c>
      <c r="H203" s="83" t="s">
        <v>396</v>
      </c>
      <c r="I203" s="83" t="s">
        <v>397</v>
      </c>
      <c r="J203" s="83" t="s">
        <v>398</v>
      </c>
      <c r="K203" s="83" t="s">
        <v>399</v>
      </c>
      <c r="L203" s="83" t="s">
        <v>400</v>
      </c>
      <c r="M203" s="83" t="s">
        <v>401</v>
      </c>
      <c r="N203" s="83" t="s">
        <v>402</v>
      </c>
      <c r="O203" s="83" t="s">
        <v>403</v>
      </c>
      <c r="P203" s="83" t="s">
        <v>365</v>
      </c>
    </row>
    <row r="204" customFormat="false" ht="14.25" hidden="false" customHeight="false" outlineLevel="0" collapsed="false">
      <c r="B204" s="7" t="s">
        <v>457</v>
      </c>
      <c r="C204" s="68" t="n">
        <f aca="false">COUNTIFS('Loan Tape'!$V$4:$V$303,"&gt;="&amp;R204,'Loan Tape'!$V$4:$V$303,"&lt;="&amp;S204,'Loan Tape'!$R$4:$R$303,"&lt;&gt;")</f>
        <v>5</v>
      </c>
      <c r="D204" s="68" t="n">
        <f aca="false">SUMPRODUCT((('Loan Tape'!$R$4:$R$303&lt;&gt;"")*('Loan Tape'!$V$4:$V$303&gt;=R204)*('Loan Tape'!$V$4:$V$303&lt;=S204))*'Loan Tape'!$F$4:$F$303)</f>
        <v>283</v>
      </c>
      <c r="E204" s="84" t="n">
        <f aca="false">SUMIFS('Loan Tape'!$R$4:$R$303,'Loan Tape'!$V$4:$V$303,"&gt;="&amp;R204,'Loan Tape'!$V$4:$V$303,"&lt;="&amp;S204,'Loan Tape'!$R$4:$R$303,"&lt;&gt;")</f>
        <v>195929000</v>
      </c>
      <c r="F204" s="69" t="n">
        <f aca="false">IFERROR(E204/C5,0)</f>
        <v>0.0785094626163543</v>
      </c>
      <c r="G204" s="85" t="n">
        <f aca="false">IFERROR(SUMPRODUCT((('Loan Tape'!$R$4:$R$303&lt;&gt;"")*('Loan Tape'!$V$4:$V$303&gt;=R204)*('Loan Tape'!$V$4:$V$303&lt;=S204))*'Loan Tape'!$U$4:$U$303*'Loan Tape'!$R$4:$R$303)/E204,"-")</f>
        <v>1.60521648148054</v>
      </c>
      <c r="H204" s="68" t="n">
        <f aca="false">IFERROR(SUMPRODUCT((('Loan Tape'!$R$4:$R$303&lt;&gt;"")*('Loan Tape'!$V$4:$V$303&gt;=R204)*('Loan Tape'!$V$4:$V$303&lt;=S204))*'Loan Tape'!$AH$4:$AH$303*'Loan Tape'!$R$4:$R$303)/E204,"-")</f>
        <v>74.3184633208969</v>
      </c>
      <c r="I204" s="68" t="n">
        <f aca="false">IFERROR(SUMPRODUCT((('Loan Tape'!$R$4:$R$303&lt;&gt;"")*('Loan Tape'!$V$4:$V$303&gt;=R204)*('Loan Tape'!$V$4:$V$303&lt;=S204))*(('Loan Tape'!$H$4:$H$303-$C$4)/30.4375)*'Loan Tape'!$R$4:$R$303)/E204,"-")</f>
        <v>37.4416213692965</v>
      </c>
      <c r="J204" s="69" t="n">
        <f aca="false">IFERROR(SUMPRODUCT((('Loan Tape'!$R$4:$R$303&lt;&gt;"")*('Loan Tape'!$V$4:$V$303&gt;=R204)*('Loan Tape'!$V$4:$V$303&lt;=S204))*('Loan Tape'!$K$4:$K$303="Floating")*'Loan Tape'!$R$4:$R$303)/E204,"-")</f>
        <v>0.916219650996024</v>
      </c>
      <c r="K204" s="69" t="n">
        <f aca="false">IFERROR(SUMPRODUCT((('Loan Tape'!$R$4:$R$303&lt;&gt;"")*('Loan Tape'!$V$4:$V$303&gt;=R204)*('Loan Tape'!$V$4:$V$303&lt;=S204))*'Loan Tape'!$T$4:$T$303*'Loan Tape'!$R$4:$R$303)/E204,"-")</f>
        <v>0.0874198357568303</v>
      </c>
      <c r="L204" s="69" t="n">
        <f aca="false">IFERROR(SUMPRODUCT((('Loan Tape'!$R$4:$R$303&lt;&gt;"")*('Loan Tape'!$V$4:$V$303&gt;=R204)*('Loan Tape'!$V$4:$V$303&lt;=S204))*'Loan Tape'!$V$4:$V$303*'Loan Tape'!$R$4:$R$303)/E204,"-")</f>
        <v>0.434079809522837</v>
      </c>
      <c r="M204" s="69" t="n">
        <f aca="false">IFERROR(SUMPRODUCT((('Loan Tape'!$R$4:$R$303&lt;&gt;"")*('Loan Tape'!$V$4:$V$303&gt;=R204)*('Loan Tape'!$V$4:$V$303&lt;=S204))*'Loan Tape'!$W$4:$W$303*'Loan Tape'!$R$4:$R$303)/E204,"-")</f>
        <v>0.460738777822579</v>
      </c>
      <c r="N204" s="69" t="n">
        <f aca="false">IFERROR(SUMPRODUCT((('Loan Tape'!$R$4:$R$303&lt;&gt;"")*('Loan Tape'!$V$4:$V$303&gt;=R204)*('Loan Tape'!$V$4:$V$303&lt;=S204))*'Loan Tape'!$AI$4:$AI$303*'Loan Tape'!$R$4:$R$303)/E204,"-")</f>
        <v>0.0711069678301834</v>
      </c>
      <c r="O204" s="69" t="n">
        <f aca="false">IFERROR(SUMPRODUCT((('Loan Tape'!$R$4:$R$303&lt;&gt;"")*('Loan Tape'!$V$4:$V$303&gt;=R204)*('Loan Tape'!$V$4:$V$303&lt;=S204))*'Loan Tape'!$AK$4:$AK$303*'Loan Tape'!$R$4:$R$303)/E204,"-")</f>
        <v>0.0838749623588137</v>
      </c>
      <c r="P204" s="69" t="n">
        <f aca="false">IFERROR(SUMPRODUCT((('Loan Tape'!$R$4:$R$303&lt;&gt;"")*('Loan Tape'!$V$4:$V$303&gt;=R204)*('Loan Tape'!$V$4:$V$303&lt;=S204))*'Loan Tape'!$S$4:$S$303*'Loan Tape'!$R$4:$R$303)/E204,"-")</f>
        <v>0.913115434672764</v>
      </c>
      <c r="R204" s="91" t="n">
        <v>-1000000000000</v>
      </c>
      <c r="S204" s="91" t="n">
        <v>0.4999</v>
      </c>
    </row>
    <row r="205" customFormat="false" ht="14.25" hidden="false" customHeight="false" outlineLevel="0" collapsed="false">
      <c r="B205" s="7" t="s">
        <v>458</v>
      </c>
      <c r="C205" s="68" t="n">
        <f aca="false">COUNTIFS('Loan Tape'!$V$4:$V$303,"&gt;="&amp;R205,'Loan Tape'!$V$4:$V$303,"&lt;="&amp;S205,'Loan Tape'!$R$4:$R$303,"&lt;&gt;")</f>
        <v>15</v>
      </c>
      <c r="D205" s="68" t="n">
        <f aca="false">SUMPRODUCT((('Loan Tape'!$R$4:$R$303&lt;&gt;"")*('Loan Tape'!$V$4:$V$303&gt;=R205)*('Loan Tape'!$V$4:$V$303&lt;=S205))*'Loan Tape'!$F$4:$F$303)</f>
        <v>875</v>
      </c>
      <c r="E205" s="84" t="n">
        <f aca="false">SUMIFS('Loan Tape'!$R$4:$R$303,'Loan Tape'!$V$4:$V$303,"&gt;="&amp;R205,'Loan Tape'!$V$4:$V$303,"&lt;="&amp;S205,'Loan Tape'!$R$4:$R$303,"&lt;&gt;")</f>
        <v>720552000</v>
      </c>
      <c r="F205" s="69" t="n">
        <f aca="false">IFERROR(E205/C5,0)</f>
        <v>0.288727806027384</v>
      </c>
      <c r="G205" s="85" t="n">
        <f aca="false">IFERROR(SUMPRODUCT((('Loan Tape'!$R$4:$R$303&lt;&gt;"")*('Loan Tape'!$V$4:$V$303&gt;=R205)*('Loan Tape'!$V$4:$V$303&lt;=S205))*'Loan Tape'!$U$4:$U$303*'Loan Tape'!$R$4:$R$303)/E205,"-")</f>
        <v>1.29452479487948</v>
      </c>
      <c r="H205" s="68" t="n">
        <f aca="false">IFERROR(SUMPRODUCT((('Loan Tape'!$R$4:$R$303&lt;&gt;"")*('Loan Tape'!$V$4:$V$303&gt;=R205)*('Loan Tape'!$V$4:$V$303&lt;=S205))*'Loan Tape'!$AH$4:$AH$303*'Loan Tape'!$R$4:$R$303)/E205,"-")</f>
        <v>88.9549802096171</v>
      </c>
      <c r="I205" s="68" t="n">
        <f aca="false">IFERROR(SUMPRODUCT((('Loan Tape'!$R$4:$R$303&lt;&gt;"")*('Loan Tape'!$V$4:$V$303&gt;=R205)*('Loan Tape'!$V$4:$V$303&lt;=S205))*(('Loan Tape'!$H$4:$H$303-$C$4)/30.4375)*'Loan Tape'!$R$4:$R$303)/E205,"-")</f>
        <v>11.4738641967009</v>
      </c>
      <c r="J205" s="69" t="n">
        <f aca="false">IFERROR(SUMPRODUCT((('Loan Tape'!$R$4:$R$303&lt;&gt;"")*('Loan Tape'!$V$4:$V$303&gt;=R205)*('Loan Tape'!$V$4:$V$303&lt;=S205))*('Loan Tape'!$K$4:$K$303="Floating")*'Loan Tape'!$R$4:$R$303)/E205,"-")</f>
        <v>0.499589203832617</v>
      </c>
      <c r="K205" s="69" t="n">
        <f aca="false">IFERROR(SUMPRODUCT((('Loan Tape'!$R$4:$R$303&lt;&gt;"")*('Loan Tape'!$V$4:$V$303&gt;=R205)*('Loan Tape'!$V$4:$V$303&lt;=S205))*'Loan Tape'!$T$4:$T$303*'Loan Tape'!$R$4:$R$303)/E205,"-")</f>
        <v>0.0846358576480254</v>
      </c>
      <c r="L205" s="69" t="n">
        <f aca="false">IFERROR(SUMPRODUCT((('Loan Tape'!$R$4:$R$303&lt;&gt;"")*('Loan Tape'!$V$4:$V$303&gt;=R205)*('Loan Tape'!$V$4:$V$303&lt;=S205))*'Loan Tape'!$V$4:$V$303*'Loan Tape'!$R$4:$R$303)/E205,"-")</f>
        <v>0.578145371881558</v>
      </c>
      <c r="M205" s="69" t="n">
        <f aca="false">IFERROR(SUMPRODUCT((('Loan Tape'!$R$4:$R$303&lt;&gt;"")*('Loan Tape'!$V$4:$V$303&gt;=R205)*('Loan Tape'!$V$4:$V$303&lt;=S205))*'Loan Tape'!$W$4:$W$303*'Loan Tape'!$R$4:$R$303)/E205,"-")</f>
        <v>0.610074989730096</v>
      </c>
      <c r="N205" s="69" t="n">
        <f aca="false">IFERROR(SUMPRODUCT((('Loan Tape'!$R$4:$R$303&lt;&gt;"")*('Loan Tape'!$V$4:$V$303&gt;=R205)*('Loan Tape'!$V$4:$V$303&lt;=S205))*'Loan Tape'!$AI$4:$AI$303*'Loan Tape'!$R$4:$R$303)/E205,"-")</f>
        <v>0.0647835362333322</v>
      </c>
      <c r="O205" s="69" t="n">
        <f aca="false">IFERROR(SUMPRODUCT((('Loan Tape'!$R$4:$R$303&lt;&gt;"")*('Loan Tape'!$V$4:$V$303&gt;=R205)*('Loan Tape'!$V$4:$V$303&lt;=S205))*'Loan Tape'!$AK$4:$AK$303*'Loan Tape'!$R$4:$R$303)/E205,"-")</f>
        <v>0.0717953160909969</v>
      </c>
      <c r="P205" s="69" t="n">
        <f aca="false">IFERROR(SUMPRODUCT((('Loan Tape'!$R$4:$R$303&lt;&gt;"")*('Loan Tape'!$V$4:$V$303&gt;=R205)*('Loan Tape'!$V$4:$V$303&lt;=S205))*'Loan Tape'!$S$4:$S$303*'Loan Tape'!$R$4:$R$303)/E205,"-")</f>
        <v>0.906229190953602</v>
      </c>
      <c r="R205" s="91" t="n">
        <v>0.5</v>
      </c>
      <c r="S205" s="91" t="n">
        <v>0.5999</v>
      </c>
    </row>
    <row r="206" customFormat="false" ht="14.25" hidden="false" customHeight="false" outlineLevel="0" collapsed="false">
      <c r="B206" s="7" t="s">
        <v>459</v>
      </c>
      <c r="C206" s="68" t="n">
        <f aca="false">COUNTIFS('Loan Tape'!$V$4:$V$303,"&gt;="&amp;R206,'Loan Tape'!$V$4:$V$303,"&lt;="&amp;S206,'Loan Tape'!$R$4:$R$303,"&lt;&gt;")</f>
        <v>8</v>
      </c>
      <c r="D206" s="68" t="n">
        <f aca="false">SUMPRODUCT((('Loan Tape'!$R$4:$R$303&lt;&gt;"")*('Loan Tape'!$V$4:$V$303&gt;=R206)*('Loan Tape'!$V$4:$V$303&lt;=S206))*'Loan Tape'!$F$4:$F$303)</f>
        <v>1082</v>
      </c>
      <c r="E206" s="84" t="n">
        <f aca="false">SUMIFS('Loan Tape'!$R$4:$R$303,'Loan Tape'!$V$4:$V$303,"&gt;="&amp;R206,'Loan Tape'!$V$4:$V$303,"&lt;="&amp;S206,'Loan Tape'!$R$4:$R$303,"&lt;&gt;")</f>
        <v>458065000</v>
      </c>
      <c r="F206" s="69" t="n">
        <f aca="false">IFERROR(E206/C5,0)</f>
        <v>0.183548310833824</v>
      </c>
      <c r="G206" s="85" t="n">
        <f aca="false">IFERROR(SUMPRODUCT((('Loan Tape'!$R$4:$R$303&lt;&gt;"")*('Loan Tape'!$V$4:$V$303&gt;=R206)*('Loan Tape'!$V$4:$V$303&lt;=S206))*'Loan Tape'!$U$4:$U$303*'Loan Tape'!$R$4:$R$303)/E206,"-")</f>
        <v>1.46974612773296</v>
      </c>
      <c r="H206" s="68" t="n">
        <f aca="false">IFERROR(SUMPRODUCT((('Loan Tape'!$R$4:$R$303&lt;&gt;"")*('Loan Tape'!$V$4:$V$303&gt;=R206)*('Loan Tape'!$V$4:$V$303&lt;=S206))*'Loan Tape'!$AH$4:$AH$303*'Loan Tape'!$R$4:$R$303)/E206,"-")</f>
        <v>64.7670005348586</v>
      </c>
      <c r="I206" s="68" t="n">
        <f aca="false">IFERROR(SUMPRODUCT((('Loan Tape'!$R$4:$R$303&lt;&gt;"")*('Loan Tape'!$V$4:$V$303&gt;=R206)*('Loan Tape'!$V$4:$V$303&lt;=S206))*(('Loan Tape'!$H$4:$H$303-$C$4)/30.4375)*'Loan Tape'!$R$4:$R$303)/E206,"-")</f>
        <v>28.3122686402634</v>
      </c>
      <c r="J206" s="69" t="n">
        <f aca="false">IFERROR(SUMPRODUCT((('Loan Tape'!$R$4:$R$303&lt;&gt;"")*('Loan Tape'!$V$4:$V$303&gt;=R206)*('Loan Tape'!$V$4:$V$303&lt;=S206))*('Loan Tape'!$K$4:$K$303="Floating")*'Loan Tape'!$R$4:$R$303)/E206,"-")</f>
        <v>0.595227751519981</v>
      </c>
      <c r="K206" s="69" t="n">
        <f aca="false">IFERROR(SUMPRODUCT((('Loan Tape'!$R$4:$R$303&lt;&gt;"")*('Loan Tape'!$V$4:$V$303&gt;=R206)*('Loan Tape'!$V$4:$V$303&lt;=S206))*'Loan Tape'!$T$4:$T$303*'Loan Tape'!$R$4:$R$303)/E206,"-")</f>
        <v>0.0837640066366127</v>
      </c>
      <c r="L206" s="69" t="n">
        <f aca="false">IFERROR(SUMPRODUCT((('Loan Tape'!$R$4:$R$303&lt;&gt;"")*('Loan Tape'!$V$4:$V$303&gt;=R206)*('Loan Tape'!$V$4:$V$303&lt;=S206))*'Loan Tape'!$V$4:$V$303*'Loan Tape'!$R$4:$R$303)/E206,"-")</f>
        <v>0.666125119797409</v>
      </c>
      <c r="M206" s="69" t="n">
        <f aca="false">IFERROR(SUMPRODUCT((('Loan Tape'!$R$4:$R$303&lt;&gt;"")*('Loan Tape'!$V$4:$V$303&gt;=R206)*('Loan Tape'!$V$4:$V$303&lt;=S206))*'Loan Tape'!$W$4:$W$303*'Loan Tape'!$R$4:$R$303)/E206,"-")</f>
        <v>0.698631259755712</v>
      </c>
      <c r="N206" s="69" t="n">
        <f aca="false">IFERROR(SUMPRODUCT((('Loan Tape'!$R$4:$R$303&lt;&gt;"")*('Loan Tape'!$V$4:$V$303&gt;=R206)*('Loan Tape'!$V$4:$V$303&lt;=S206))*'Loan Tape'!$AI$4:$AI$303*'Loan Tape'!$R$4:$R$303)/E206,"-")</f>
        <v>0.0697362793490007</v>
      </c>
      <c r="O206" s="69" t="n">
        <f aca="false">IFERROR(SUMPRODUCT((('Loan Tape'!$R$4:$R$303&lt;&gt;"")*('Loan Tape'!$V$4:$V$303&gt;=R206)*('Loan Tape'!$V$4:$V$303&lt;=S206))*'Loan Tape'!$AK$4:$AK$303*'Loan Tape'!$R$4:$R$303)/E206,"-")</f>
        <v>0.0783931267396549</v>
      </c>
      <c r="P206" s="69" t="n">
        <f aca="false">IFERROR(SUMPRODUCT((('Loan Tape'!$R$4:$R$303&lt;&gt;"")*('Loan Tape'!$V$4:$V$303&gt;=R206)*('Loan Tape'!$V$4:$V$303&lt;=S206))*'Loan Tape'!$S$4:$S$303*'Loan Tape'!$R$4:$R$303)/E206,"-")</f>
        <v>0.852555486666739</v>
      </c>
      <c r="R206" s="91" t="n">
        <v>0.6</v>
      </c>
      <c r="S206" s="91" t="n">
        <v>0.6999</v>
      </c>
    </row>
    <row r="207" customFormat="false" ht="14.25" hidden="false" customHeight="false" outlineLevel="0" collapsed="false">
      <c r="B207" s="7" t="s">
        <v>460</v>
      </c>
      <c r="C207" s="68" t="n">
        <f aca="false">COUNTIFS('Loan Tape'!$V$4:$V$303,"&gt;="&amp;R207,'Loan Tape'!$V$4:$V$303,"&lt;="&amp;S207,'Loan Tape'!$R$4:$R$303,"&lt;&gt;")</f>
        <v>14</v>
      </c>
      <c r="D207" s="68" t="n">
        <f aca="false">SUMPRODUCT((('Loan Tape'!$R$4:$R$303&lt;&gt;"")*('Loan Tape'!$V$4:$V$303&gt;=R207)*('Loan Tape'!$V$4:$V$303&lt;=S207))*'Loan Tape'!$F$4:$F$303)</f>
        <v>996</v>
      </c>
      <c r="E207" s="84" t="n">
        <f aca="false">SUMIFS('Loan Tape'!$R$4:$R$303,'Loan Tape'!$V$4:$V$303,"&gt;="&amp;R207,'Loan Tape'!$V$4:$V$303,"&lt;="&amp;S207,'Loan Tape'!$R$4:$R$303,"&lt;&gt;")</f>
        <v>670205000</v>
      </c>
      <c r="F207" s="69" t="n">
        <f aca="false">IFERROR(E207/C5,0)</f>
        <v>0.268553580086632</v>
      </c>
      <c r="G207" s="85" t="n">
        <f aca="false">IFERROR(SUMPRODUCT((('Loan Tape'!$R$4:$R$303&lt;&gt;"")*('Loan Tape'!$V$4:$V$303&gt;=R207)*('Loan Tape'!$V$4:$V$303&lt;=S207))*'Loan Tape'!$U$4:$U$303*'Loan Tape'!$R$4:$R$303)/E207,"-")</f>
        <v>1.40870453070329</v>
      </c>
      <c r="H207" s="68" t="n">
        <f aca="false">IFERROR(SUMPRODUCT((('Loan Tape'!$R$4:$R$303&lt;&gt;"")*('Loan Tape'!$V$4:$V$303&gt;=R207)*('Loan Tape'!$V$4:$V$303&lt;=S207))*'Loan Tape'!$AH$4:$AH$303*'Loan Tape'!$R$4:$R$303)/E207,"-")</f>
        <v>65.6183736319484</v>
      </c>
      <c r="I207" s="68" t="n">
        <f aca="false">IFERROR(SUMPRODUCT((('Loan Tape'!$R$4:$R$303&lt;&gt;"")*('Loan Tape'!$V$4:$V$303&gt;=R207)*('Loan Tape'!$V$4:$V$303&lt;=S207))*(('Loan Tape'!$H$4:$H$303-$C$4)/30.4375)*'Loan Tape'!$R$4:$R$303)/E207,"-")</f>
        <v>30.622849709765</v>
      </c>
      <c r="J207" s="69" t="n">
        <f aca="false">IFERROR(SUMPRODUCT((('Loan Tape'!$R$4:$R$303&lt;&gt;"")*('Loan Tape'!$V$4:$V$303&gt;=R207)*('Loan Tape'!$V$4:$V$303&lt;=S207))*('Loan Tape'!$K$4:$K$303="Floating")*'Loan Tape'!$R$4:$R$303)/E207,"-")</f>
        <v>0.966963839422266</v>
      </c>
      <c r="K207" s="69" t="n">
        <f aca="false">IFERROR(SUMPRODUCT((('Loan Tape'!$R$4:$R$303&lt;&gt;"")*('Loan Tape'!$V$4:$V$303&gt;=R207)*('Loan Tape'!$V$4:$V$303&lt;=S207))*'Loan Tape'!$T$4:$T$303*'Loan Tape'!$R$4:$R$303)/E207,"-")</f>
        <v>0.0824806465186025</v>
      </c>
      <c r="L207" s="69" t="n">
        <f aca="false">IFERROR(SUMPRODUCT((('Loan Tape'!$R$4:$R$303&lt;&gt;"")*('Loan Tape'!$V$4:$V$303&gt;=R207)*('Loan Tape'!$V$4:$V$303&lt;=S207))*'Loan Tape'!$V$4:$V$303*'Loan Tape'!$R$4:$R$303)/E207,"-")</f>
        <v>0.755478083571445</v>
      </c>
      <c r="M207" s="69" t="n">
        <f aca="false">IFERROR(SUMPRODUCT((('Loan Tape'!$R$4:$R$303&lt;&gt;"")*('Loan Tape'!$V$4:$V$303&gt;=R207)*('Loan Tape'!$V$4:$V$303&lt;=S207))*'Loan Tape'!$W$4:$W$303*'Loan Tape'!$R$4:$R$303)/E207,"-")</f>
        <v>0.785719754403503</v>
      </c>
      <c r="N207" s="69" t="n">
        <f aca="false">IFERROR(SUMPRODUCT((('Loan Tape'!$R$4:$R$303&lt;&gt;"")*('Loan Tape'!$V$4:$V$303&gt;=R207)*('Loan Tape'!$V$4:$V$303&lt;=S207))*'Loan Tape'!$AI$4:$AI$303*'Loan Tape'!$R$4:$R$303)/E207,"-")</f>
        <v>0.0796212220141598</v>
      </c>
      <c r="O207" s="69" t="n">
        <f aca="false">IFERROR(SUMPRODUCT((('Loan Tape'!$R$4:$R$303&lt;&gt;"")*('Loan Tape'!$V$4:$V$303&gt;=R207)*('Loan Tape'!$V$4:$V$303&lt;=S207))*'Loan Tape'!$AK$4:$AK$303*'Loan Tape'!$R$4:$R$303)/E207,"-")</f>
        <v>0.090593051976634</v>
      </c>
      <c r="P207" s="69" t="n">
        <f aca="false">IFERROR(SUMPRODUCT((('Loan Tape'!$R$4:$R$303&lt;&gt;"")*('Loan Tape'!$V$4:$V$303&gt;=R207)*('Loan Tape'!$V$4:$V$303&lt;=S207))*'Loan Tape'!$S$4:$S$303*'Loan Tape'!$R$4:$R$303)/E207,"-")</f>
        <v>0.880352715960042</v>
      </c>
      <c r="R207" s="91" t="n">
        <v>0.7</v>
      </c>
      <c r="S207" s="91" t="n">
        <v>0.7999</v>
      </c>
    </row>
    <row r="208" customFormat="false" ht="14.25" hidden="false" customHeight="false" outlineLevel="0" collapsed="false">
      <c r="B208" s="7" t="s">
        <v>461</v>
      </c>
      <c r="C208" s="68" t="n">
        <f aca="false">COUNTIFS('Loan Tape'!$V$4:$V$303,"&gt;="&amp;R208,'Loan Tape'!$V$4:$V$303,"&lt;="&amp;S208,'Loan Tape'!$R$4:$R$303,"&lt;&gt;")</f>
        <v>8</v>
      </c>
      <c r="D208" s="68" t="n">
        <f aca="false">SUMPRODUCT((('Loan Tape'!$R$4:$R$303&lt;&gt;"")*('Loan Tape'!$V$4:$V$303&gt;=R208)*('Loan Tape'!$V$4:$V$303&lt;=S208))*'Loan Tape'!$F$4:$F$303)</f>
        <v>1503</v>
      </c>
      <c r="E208" s="84" t="n">
        <f aca="false">SUMIFS('Loan Tape'!$R$4:$R$303,'Loan Tape'!$V$4:$V$303,"&gt;="&amp;R208,'Loan Tape'!$V$4:$V$303,"&lt;="&amp;S208,'Loan Tape'!$R$4:$R$303,"&lt;&gt;")</f>
        <v>450859000</v>
      </c>
      <c r="F208" s="69" t="n">
        <f aca="false">IFERROR(E208/C5,0)</f>
        <v>0.180660840435805</v>
      </c>
      <c r="G208" s="85" t="n">
        <f aca="false">IFERROR(SUMPRODUCT((('Loan Tape'!$R$4:$R$303&lt;&gt;"")*('Loan Tape'!$V$4:$V$303&gt;=R208)*('Loan Tape'!$V$4:$V$303&lt;=S208))*'Loan Tape'!$U$4:$U$303*'Loan Tape'!$R$4:$R$303)/E208,"-")</f>
        <v>1.2060576588246</v>
      </c>
      <c r="H208" s="68" t="n">
        <f aca="false">IFERROR(SUMPRODUCT((('Loan Tape'!$R$4:$R$303&lt;&gt;"")*('Loan Tape'!$V$4:$V$303&gt;=R208)*('Loan Tape'!$V$4:$V$303&lt;=S208))*'Loan Tape'!$AH$4:$AH$303*'Loan Tape'!$R$4:$R$303)/E208,"-")</f>
        <v>85.7204742502645</v>
      </c>
      <c r="I208" s="68" t="n">
        <f aca="false">IFERROR(SUMPRODUCT((('Loan Tape'!$R$4:$R$303&lt;&gt;"")*('Loan Tape'!$V$4:$V$303&gt;=R208)*('Loan Tape'!$V$4:$V$303&lt;=S208))*(('Loan Tape'!$H$4:$H$303-$C$4)/30.4375)*'Loan Tape'!$R$4:$R$303)/E208,"-")</f>
        <v>-11.0460905125148</v>
      </c>
      <c r="J208" s="69" t="n">
        <f aca="false">IFERROR(SUMPRODUCT((('Loan Tape'!$R$4:$R$303&lt;&gt;"")*('Loan Tape'!$V$4:$V$303&gt;=R208)*('Loan Tape'!$V$4:$V$303&lt;=S208))*('Loan Tape'!$K$4:$K$303="Floating")*'Loan Tape'!$R$4:$R$303)/E208,"-")</f>
        <v>0.439308076360902</v>
      </c>
      <c r="K208" s="69" t="n">
        <f aca="false">IFERROR(SUMPRODUCT((('Loan Tape'!$R$4:$R$303&lt;&gt;"")*('Loan Tape'!$V$4:$V$303&gt;=R208)*('Loan Tape'!$V$4:$V$303&lt;=S208))*'Loan Tape'!$T$4:$T$303*'Loan Tape'!$R$4:$R$303)/E208,"-")</f>
        <v>0.0959191385776928</v>
      </c>
      <c r="L208" s="69" t="n">
        <f aca="false">IFERROR(SUMPRODUCT((('Loan Tape'!$R$4:$R$303&lt;&gt;"")*('Loan Tape'!$V$4:$V$303&gt;=R208)*('Loan Tape'!$V$4:$V$303&lt;=S208))*'Loan Tape'!$V$4:$V$303*'Loan Tape'!$R$4:$R$303)/E208,"-")</f>
        <v>0.871249985028579</v>
      </c>
      <c r="M208" s="69" t="n">
        <f aca="false">IFERROR(SUMPRODUCT((('Loan Tape'!$R$4:$R$303&lt;&gt;"")*('Loan Tape'!$V$4:$V$303&gt;=R208)*('Loan Tape'!$V$4:$V$303&lt;=S208))*'Loan Tape'!$W$4:$W$303*'Loan Tape'!$R$4:$R$303)/E208,"-")</f>
        <v>0.911132988362215</v>
      </c>
      <c r="N208" s="69" t="n">
        <f aca="false">IFERROR(SUMPRODUCT((('Loan Tape'!$R$4:$R$303&lt;&gt;"")*('Loan Tape'!$V$4:$V$303&gt;=R208)*('Loan Tape'!$V$4:$V$303&lt;=S208))*'Loan Tape'!$AI$4:$AI$303*'Loan Tape'!$R$4:$R$303)/E208,"-")</f>
        <v>0.0663538021864929</v>
      </c>
      <c r="O208" s="69" t="n">
        <f aca="false">IFERROR(SUMPRODUCT((('Loan Tape'!$R$4:$R$303&lt;&gt;"")*('Loan Tape'!$V$4:$V$303&gt;=R208)*('Loan Tape'!$V$4:$V$303&lt;=S208))*'Loan Tape'!$AK$4:$AK$303*'Loan Tape'!$R$4:$R$303)/E208,"-")</f>
        <v>0.0729434233319064</v>
      </c>
      <c r="P208" s="69" t="n">
        <f aca="false">IFERROR(SUMPRODUCT((('Loan Tape'!$R$4:$R$303&lt;&gt;"")*('Loan Tape'!$V$4:$V$303&gt;=R208)*('Loan Tape'!$V$4:$V$303&lt;=S208))*'Loan Tape'!$S$4:$S$303*'Loan Tape'!$R$4:$R$303)/E208,"-")</f>
        <v>0.888063957911453</v>
      </c>
      <c r="R208" s="91" t="n">
        <v>0.8</v>
      </c>
      <c r="S208" s="91" t="n">
        <v>1000000000000</v>
      </c>
    </row>
    <row r="209" customFormat="false" ht="14.25" hidden="false" customHeight="false" outlineLevel="0" collapsed="false">
      <c r="B209" s="86" t="s">
        <v>405</v>
      </c>
      <c r="C209" s="92" t="n">
        <f aca="false">SUM(C204:C208)</f>
        <v>50</v>
      </c>
      <c r="D209" s="92" t="n">
        <f aca="false">SUM(D204:D208)</f>
        <v>4739</v>
      </c>
      <c r="E209" s="88" t="n">
        <f aca="false">SUM(E204:E208)</f>
        <v>2495610000</v>
      </c>
      <c r="F209" s="89" t="n">
        <f aca="false">SUM(F204:F208)</f>
        <v>1</v>
      </c>
      <c r="G209" s="90" t="n">
        <f aca="false">IFERROR(SUMPRODUCT((('Loan Tape'!$R$4:$R$303&lt;&gt;""))*'Loan Tape'!$U$4:$U$303*'Loan Tape'!$R$4:$R$303)/E209,"-")</f>
        <v>1.36575944157941</v>
      </c>
      <c r="H209" s="92" t="n">
        <f aca="false">IFERROR(SUMPRODUCT((('Loan Tape'!$R$4:$R$303&lt;&gt;""))*'Loan Tape'!$AH$4:$AH$303*'Loan Tape'!$R$4:$R$303)/E209,"-")</f>
        <v>76.5147345138063</v>
      </c>
      <c r="I209" s="92" t="n">
        <f aca="false">IFERROR(SUMPRODUCT((('Loan Tape'!$R$4:$R$303&lt;&gt;""))*(('Loan Tape'!$H$4:$H$303-$C$4)/30.4375)*'Loan Tape'!$R$4:$R$303)/E209,"-")</f>
        <v>17.6772942206432</v>
      </c>
      <c r="J209" s="89" t="n">
        <f aca="false">IFERROR(SUMPRODUCT((('Loan Tape'!$R$4:$R$303&lt;&gt;""))*('Loan Tape'!$K$4:$K$303="Floating")*'Loan Tape'!$R$4:$R$303)/E209,"-")</f>
        <v>0.664477622705471</v>
      </c>
      <c r="K209" s="89" t="n">
        <f aca="false">IFERROR(SUMPRODUCT((('Loan Tape'!$R$4:$R$303&lt;&gt;""))*'Loan Tape'!$T$4:$T$303*'Loan Tape'!$R$4:$R$303)/E209,"-")</f>
        <v>0.0861540568438177</v>
      </c>
      <c r="L209" s="89" t="n">
        <f aca="false">IFERROR(SUMPRODUCT((('Loan Tape'!$R$4:$R$303&lt;&gt;""))*'Loan Tape'!$V$4:$V$303*'Loan Tape'!$R$4:$R$303)/E209,"-")</f>
        <v>0.683559256454334</v>
      </c>
      <c r="M209" s="89" t="n">
        <f aca="false">IFERROR(SUMPRODUCT((('Loan Tape'!$R$4:$R$303&lt;&gt;""))*'Loan Tape'!$W$4:$W$303*'Loan Tape'!$R$4:$R$303)/E209,"-")</f>
        <v>0.716164459190338</v>
      </c>
      <c r="N209" s="89" t="n">
        <f aca="false">IFERROR(SUMPRODUCT((('Loan Tape'!$R$4:$R$303&lt;&gt;""))*'Loan Tape'!$AI$4:$AI$303*'Loan Tape'!$R$4:$R$303)/E209,"-")</f>
        <v>0.0704574522862146</v>
      </c>
      <c r="O209" s="89" t="n">
        <f aca="false">IFERROR(SUMPRODUCT((('Loan Tape'!$R$4:$R$303&lt;&gt;""))*'Loan Tape'!$AK$4:$AK$303*'Loan Tape'!$R$4:$R$303)/E209,"-")</f>
        <v>0.0792103169165054</v>
      </c>
      <c r="P209" s="89" t="n">
        <f aca="false">IFERROR(SUMPRODUCT((('Loan Tape'!$R$4:$R$303&lt;&gt;""))*'Loan Tape'!$S$4:$S$303*'Loan Tape'!$R$4:$R$303)/E209,"-")</f>
        <v>0.886687142221741</v>
      </c>
    </row>
    <row r="211" customFormat="false" ht="19.5" hidden="false" customHeight="true" outlineLevel="0" collapsed="false">
      <c r="B211" s="5" t="s">
        <v>462</v>
      </c>
      <c r="C211" s="5"/>
      <c r="D211" s="5"/>
      <c r="E211" s="5"/>
      <c r="F211" s="5"/>
      <c r="G211" s="5"/>
      <c r="H211" s="5"/>
      <c r="I211" s="5"/>
      <c r="J211" s="5"/>
      <c r="K211" s="5"/>
      <c r="L211" s="5"/>
      <c r="M211" s="5"/>
      <c r="N211" s="5"/>
      <c r="O211" s="5"/>
      <c r="P211" s="5"/>
    </row>
    <row r="212" customFormat="false" ht="42" hidden="false" customHeight="true" outlineLevel="0" collapsed="false">
      <c r="B212" s="82" t="s">
        <v>423</v>
      </c>
      <c r="C212" s="83" t="s">
        <v>368</v>
      </c>
      <c r="D212" s="83" t="s">
        <v>153</v>
      </c>
      <c r="E212" s="83" t="s">
        <v>393</v>
      </c>
      <c r="F212" s="83" t="s">
        <v>394</v>
      </c>
      <c r="G212" s="83" t="s">
        <v>395</v>
      </c>
      <c r="H212" s="83" t="s">
        <v>396</v>
      </c>
      <c r="I212" s="83" t="s">
        <v>397</v>
      </c>
      <c r="J212" s="83" t="s">
        <v>398</v>
      </c>
      <c r="K212" s="83" t="s">
        <v>399</v>
      </c>
      <c r="L212" s="83" t="s">
        <v>400</v>
      </c>
      <c r="M212" s="83" t="s">
        <v>401</v>
      </c>
      <c r="N212" s="83" t="s">
        <v>402</v>
      </c>
      <c r="O212" s="83" t="s">
        <v>403</v>
      </c>
      <c r="P212" s="83" t="s">
        <v>365</v>
      </c>
    </row>
    <row r="213" customFormat="false" ht="14.25" hidden="false" customHeight="false" outlineLevel="0" collapsed="false">
      <c r="B213" s="7" t="s">
        <v>457</v>
      </c>
      <c r="C213" s="68" t="n">
        <f aca="false">COUNTIFS('Loan Tape'!$W$4:$W$303,"&gt;="&amp;R213,'Loan Tape'!$W$4:$W$303,"&lt;="&amp;S213,'Loan Tape'!$R$4:$R$303,"&lt;&gt;")</f>
        <v>4</v>
      </c>
      <c r="D213" s="68" t="n">
        <f aca="false">SUMPRODUCT((('Loan Tape'!$R$4:$R$303&lt;&gt;"")*('Loan Tape'!$W$4:$W$303&gt;=R213)*('Loan Tape'!$W$4:$W$303&lt;=S213))*'Loan Tape'!$F$4:$F$303)</f>
        <v>162</v>
      </c>
      <c r="E213" s="84" t="n">
        <f aca="false">SUMIFS('Loan Tape'!$R$4:$R$303,'Loan Tape'!$W$4:$W$303,"&gt;="&amp;R213,'Loan Tape'!$W$4:$W$303,"&lt;="&amp;S213,'Loan Tape'!$R$4:$R$303,"&lt;&gt;")</f>
        <v>187686000</v>
      </c>
      <c r="F213" s="69" t="n">
        <f aca="false">IFERROR(E213/C5,0)</f>
        <v>0.0752064625482347</v>
      </c>
      <c r="G213" s="85" t="n">
        <f aca="false">IFERROR(SUMPRODUCT((('Loan Tape'!$R$4:$R$303&lt;&gt;"")*('Loan Tape'!$W$4:$W$303&gt;=R213)*('Loan Tape'!$W$4:$W$303&lt;=S213))*'Loan Tape'!$U$4:$U$303*'Loan Tape'!$R$4:$R$303)/E213,"-")</f>
        <v>1.60149286574385</v>
      </c>
      <c r="H213" s="68" t="n">
        <f aca="false">IFERROR(SUMPRODUCT((('Loan Tape'!$R$4:$R$303&lt;&gt;"")*('Loan Tape'!$W$4:$W$303&gt;=R213)*('Loan Tape'!$W$4:$W$303&lt;=S213))*'Loan Tape'!$AH$4:$AH$303*'Loan Tape'!$R$4:$R$303)/E213,"-")</f>
        <v>72.0486567991219</v>
      </c>
      <c r="I213" s="68" t="n">
        <f aca="false">IFERROR(SUMPRODUCT((('Loan Tape'!$R$4:$R$303&lt;&gt;"")*('Loan Tape'!$W$4:$W$303&gt;=R213)*('Loan Tape'!$W$4:$W$303&lt;=S213))*(('Loan Tape'!$H$4:$H$303-$C$4)/30.4375)*'Loan Tape'!$R$4:$R$303)/E213,"-")</f>
        <v>40.9300846988945</v>
      </c>
      <c r="J213" s="69" t="n">
        <f aca="false">IFERROR(SUMPRODUCT((('Loan Tape'!$R$4:$R$303&lt;&gt;"")*('Loan Tape'!$W$4:$W$303&gt;=R213)*('Loan Tape'!$W$4:$W$303&lt;=S213))*('Loan Tape'!$K$4:$K$303="Floating")*'Loan Tape'!$R$4:$R$303)/E213,"-")</f>
        <v>0.912540093560521</v>
      </c>
      <c r="K213" s="69" t="n">
        <f aca="false">IFERROR(SUMPRODUCT((('Loan Tape'!$R$4:$R$303&lt;&gt;"")*('Loan Tape'!$W$4:$W$303&gt;=R213)*('Loan Tape'!$W$4:$W$303&lt;=S213))*'Loan Tape'!$T$4:$T$303*'Loan Tape'!$R$4:$R$303)/E213,"-")</f>
        <v>0.0893048362690877</v>
      </c>
      <c r="L213" s="69" t="n">
        <f aca="false">IFERROR(SUMPRODUCT((('Loan Tape'!$R$4:$R$303&lt;&gt;"")*('Loan Tape'!$W$4:$W$303&gt;=R213)*('Loan Tape'!$W$4:$W$303&lt;=S213))*'Loan Tape'!$V$4:$V$303*'Loan Tape'!$R$4:$R$303)/E213,"-")</f>
        <v>0.432546146222947</v>
      </c>
      <c r="M213" s="69" t="n">
        <f aca="false">IFERROR(SUMPRODUCT((('Loan Tape'!$R$4:$R$303&lt;&gt;"")*('Loan Tape'!$W$4:$W$303&gt;=R213)*('Loan Tape'!$W$4:$W$303&lt;=S213))*'Loan Tape'!$W$4:$W$303*'Loan Tape'!$R$4:$R$303)/E213,"-")</f>
        <v>0.458355673838219</v>
      </c>
      <c r="N213" s="69" t="n">
        <f aca="false">IFERROR(SUMPRODUCT((('Loan Tape'!$R$4:$R$303&lt;&gt;"")*('Loan Tape'!$W$4:$W$303&gt;=R213)*('Loan Tape'!$W$4:$W$303&lt;=S213))*'Loan Tape'!$AI$4:$AI$303*'Loan Tape'!$R$4:$R$303)/E213,"-")</f>
        <v>0.071313693615933</v>
      </c>
      <c r="O213" s="69" t="n">
        <f aca="false">IFERROR(SUMPRODUCT((('Loan Tape'!$R$4:$R$303&lt;&gt;"")*('Loan Tape'!$W$4:$W$303&gt;=R213)*('Loan Tape'!$W$4:$W$303&lt;=S213))*'Loan Tape'!$AK$4:$AK$303*'Loan Tape'!$R$4:$R$303)/E213,"-")</f>
        <v>0.083983660475475</v>
      </c>
      <c r="P213" s="69" t="n">
        <f aca="false">IFERROR(SUMPRODUCT((('Loan Tape'!$R$4:$R$303&lt;&gt;"")*('Loan Tape'!$W$4:$W$303&gt;=R213)*('Loan Tape'!$W$4:$W$303&lt;=S213))*'Loan Tape'!$S$4:$S$303*'Loan Tape'!$R$4:$R$303)/E213,"-")</f>
        <v>0.913823210042305</v>
      </c>
      <c r="R213" s="91" t="n">
        <v>-1000000000000</v>
      </c>
      <c r="S213" s="91" t="n">
        <v>0.4999</v>
      </c>
    </row>
    <row r="214" customFormat="false" ht="14.25" hidden="false" customHeight="false" outlineLevel="0" collapsed="false">
      <c r="B214" s="7" t="s">
        <v>458</v>
      </c>
      <c r="C214" s="68" t="n">
        <f aca="false">COUNTIFS('Loan Tape'!$W$4:$W$303,"&gt;="&amp;R214,'Loan Tape'!$W$4:$W$303,"&lt;="&amp;S214,'Loan Tape'!$R$4:$R$303,"&lt;&gt;")</f>
        <v>6</v>
      </c>
      <c r="D214" s="68" t="n">
        <f aca="false">SUMPRODUCT((('Loan Tape'!$R$4:$R$303&lt;&gt;"")*('Loan Tape'!$W$4:$W$303&gt;=R214)*('Loan Tape'!$W$4:$W$303&lt;=S214))*'Loan Tape'!$F$4:$F$303)</f>
        <v>121</v>
      </c>
      <c r="E214" s="84" t="n">
        <f aca="false">SUMIFS('Loan Tape'!$R$4:$R$303,'Loan Tape'!$W$4:$W$303,"&gt;="&amp;R214,'Loan Tape'!$W$4:$W$303,"&lt;="&amp;S214,'Loan Tape'!$R$4:$R$303,"&lt;&gt;")</f>
        <v>65135000</v>
      </c>
      <c r="F214" s="69" t="n">
        <f aca="false">IFERROR(E214/C5,0)</f>
        <v>0.0260998313037694</v>
      </c>
      <c r="G214" s="85" t="n">
        <f aca="false">IFERROR(SUMPRODUCT((('Loan Tape'!$R$4:$R$303&lt;&gt;"")*('Loan Tape'!$W$4:$W$303&gt;=R214)*('Loan Tape'!$W$4:$W$303&lt;=S214))*'Loan Tape'!$U$4:$U$303*'Loan Tape'!$R$4:$R$303)/E214,"-")</f>
        <v>1.35584631918323</v>
      </c>
      <c r="H214" s="68" t="n">
        <f aca="false">IFERROR(SUMPRODUCT((('Loan Tape'!$R$4:$R$303&lt;&gt;"")*('Loan Tape'!$W$4:$W$303&gt;=R214)*('Loan Tape'!$W$4:$W$303&lt;=S214))*'Loan Tape'!$AH$4:$AH$303*'Loan Tape'!$R$4:$R$303)/E214,"-")</f>
        <v>73.653726874952</v>
      </c>
      <c r="I214" s="68" t="n">
        <f aca="false">IFERROR(SUMPRODUCT((('Loan Tape'!$R$4:$R$303&lt;&gt;"")*('Loan Tape'!$W$4:$W$303&gt;=R214)*('Loan Tape'!$W$4:$W$303&lt;=S214))*(('Loan Tape'!$H$4:$H$303-$C$4)/30.4375)*'Loan Tape'!$R$4:$R$303)/E214,"-")</f>
        <v>21.1045257606655</v>
      </c>
      <c r="J214" s="69" t="n">
        <f aca="false">IFERROR(SUMPRODUCT((('Loan Tape'!$R$4:$R$303&lt;&gt;"")*('Loan Tape'!$W$4:$W$303&gt;=R214)*('Loan Tape'!$W$4:$W$303&lt;=S214))*('Loan Tape'!$K$4:$K$303="Floating")*'Loan Tape'!$R$4:$R$303)/E214,"-")</f>
        <v>1</v>
      </c>
      <c r="K214" s="69" t="n">
        <f aca="false">IFERROR(SUMPRODUCT((('Loan Tape'!$R$4:$R$303&lt;&gt;"")*('Loan Tape'!$W$4:$W$303&gt;=R214)*('Loan Tape'!$W$4:$W$303&lt;=S214))*'Loan Tape'!$T$4:$T$303*'Loan Tape'!$R$4:$R$303)/E214,"-")</f>
        <v>0.0741487618024104</v>
      </c>
      <c r="L214" s="69" t="n">
        <f aca="false">IFERROR(SUMPRODUCT((('Loan Tape'!$R$4:$R$303&lt;&gt;"")*('Loan Tape'!$W$4:$W$303&gt;=R214)*('Loan Tape'!$W$4:$W$303&lt;=S214))*'Loan Tape'!$V$4:$V$303*'Loan Tape'!$R$4:$R$303)/E214,"-")</f>
        <v>0.538215767252629</v>
      </c>
      <c r="M214" s="69" t="n">
        <f aca="false">IFERROR(SUMPRODUCT((('Loan Tape'!$R$4:$R$303&lt;&gt;"")*('Loan Tape'!$W$4:$W$303&gt;=R214)*('Loan Tape'!$W$4:$W$303&lt;=S214))*'Loan Tape'!$W$4:$W$303*'Loan Tape'!$R$4:$R$303)/E214,"-")</f>
        <v>0.569410255622937</v>
      </c>
      <c r="N214" s="69" t="n">
        <f aca="false">IFERROR(SUMPRODUCT((('Loan Tape'!$R$4:$R$303&lt;&gt;"")*('Loan Tape'!$W$4:$W$303&gt;=R214)*('Loan Tape'!$W$4:$W$303&lt;=S214))*'Loan Tape'!$AI$4:$AI$303*'Loan Tape'!$R$4:$R$303)/E214,"-")</f>
        <v>0.0772276103477393</v>
      </c>
      <c r="O214" s="69" t="n">
        <f aca="false">IFERROR(SUMPRODUCT((('Loan Tape'!$R$4:$R$303&lt;&gt;"")*('Loan Tape'!$W$4:$W$303&gt;=R214)*('Loan Tape'!$W$4:$W$303&lt;=S214))*'Loan Tape'!$AK$4:$AK$303*'Loan Tape'!$R$4:$R$303)/E214,"-")</f>
        <v>0.0877010178859292</v>
      </c>
      <c r="P214" s="69" t="n">
        <f aca="false">IFERROR(SUMPRODUCT((('Loan Tape'!$R$4:$R$303&lt;&gt;"")*('Loan Tape'!$W$4:$W$303&gt;=R214)*('Loan Tape'!$W$4:$W$303&lt;=S214))*'Loan Tape'!$S$4:$S$303*'Loan Tape'!$R$4:$R$303)/E214,"-")</f>
        <v>0.894806985491671</v>
      </c>
      <c r="R214" s="91" t="n">
        <v>0.5</v>
      </c>
      <c r="S214" s="91" t="n">
        <v>0.5999</v>
      </c>
    </row>
    <row r="215" customFormat="false" ht="14.25" hidden="false" customHeight="false" outlineLevel="0" collapsed="false">
      <c r="B215" s="7" t="s">
        <v>459</v>
      </c>
      <c r="C215" s="68" t="n">
        <f aca="false">COUNTIFS('Loan Tape'!$W$4:$W$303,"&gt;="&amp;R215,'Loan Tape'!$W$4:$W$303,"&lt;="&amp;S215,'Loan Tape'!$R$4:$R$303,"&lt;&gt;")</f>
        <v>16</v>
      </c>
      <c r="D215" s="68" t="n">
        <f aca="false">SUMPRODUCT((('Loan Tape'!$R$4:$R$303&lt;&gt;"")*('Loan Tape'!$W$4:$W$303&gt;=R215)*('Loan Tape'!$W$4:$W$303&lt;=S215))*'Loan Tape'!$F$4:$F$303)</f>
        <v>1625</v>
      </c>
      <c r="E215" s="84" t="n">
        <f aca="false">SUMIFS('Loan Tape'!$R$4:$R$303,'Loan Tape'!$W$4:$W$303,"&gt;="&amp;R215,'Loan Tape'!$W$4:$W$303,"&lt;="&amp;S215,'Loan Tape'!$R$4:$R$303,"&lt;&gt;")</f>
        <v>948378000</v>
      </c>
      <c r="F215" s="69" t="n">
        <f aca="false">IFERROR(E215/C5,0)</f>
        <v>0.380018512507964</v>
      </c>
      <c r="G215" s="85" t="n">
        <f aca="false">IFERROR(SUMPRODUCT((('Loan Tape'!$R$4:$R$303&lt;&gt;"")*('Loan Tape'!$W$4:$W$303&gt;=R215)*('Loan Tape'!$W$4:$W$303&lt;=S215))*'Loan Tape'!$U$4:$U$303*'Loan Tape'!$R$4:$R$303)/E215,"-")</f>
        <v>1.25308922180818</v>
      </c>
      <c r="H215" s="68" t="n">
        <f aca="false">IFERROR(SUMPRODUCT((('Loan Tape'!$R$4:$R$303&lt;&gt;"")*('Loan Tape'!$W$4:$W$303&gt;=R215)*('Loan Tape'!$W$4:$W$303&lt;=S215))*'Loan Tape'!$AH$4:$AH$303*'Loan Tape'!$R$4:$R$303)/E215,"-")</f>
        <v>85.7041374852643</v>
      </c>
      <c r="I215" s="68" t="n">
        <f aca="false">IFERROR(SUMPRODUCT((('Loan Tape'!$R$4:$R$303&lt;&gt;"")*('Loan Tape'!$W$4:$W$303&gt;=R215)*('Loan Tape'!$W$4:$W$303&lt;=S215))*(('Loan Tape'!$H$4:$H$303-$C$4)/30.4375)*'Loan Tape'!$R$4:$R$303)/E215,"-")</f>
        <v>15.5564462437657</v>
      </c>
      <c r="J215" s="69" t="n">
        <f aca="false">IFERROR(SUMPRODUCT((('Loan Tape'!$R$4:$R$303&lt;&gt;"")*('Loan Tape'!$W$4:$W$303&gt;=R215)*('Loan Tape'!$W$4:$W$303&lt;=S215))*('Loan Tape'!$K$4:$K$303="Floating")*'Loan Tape'!$R$4:$R$303)/E215,"-")</f>
        <v>0.607079666546461</v>
      </c>
      <c r="K215" s="69" t="n">
        <f aca="false">IFERROR(SUMPRODUCT((('Loan Tape'!$R$4:$R$303&lt;&gt;"")*('Loan Tape'!$W$4:$W$303&gt;=R215)*('Loan Tape'!$W$4:$W$303&lt;=S215))*'Loan Tape'!$T$4:$T$303*'Loan Tape'!$R$4:$R$303)/E215,"-")</f>
        <v>0.083950754973228</v>
      </c>
      <c r="L215" s="69" t="n">
        <f aca="false">IFERROR(SUMPRODUCT((('Loan Tape'!$R$4:$R$303&lt;&gt;"")*('Loan Tape'!$W$4:$W$303&gt;=R215)*('Loan Tape'!$W$4:$W$303&lt;=S215))*'Loan Tape'!$V$4:$V$303*'Loan Tape'!$R$4:$R$303)/E215,"-")</f>
        <v>0.601819809190007</v>
      </c>
      <c r="M215" s="69" t="n">
        <f aca="false">IFERROR(SUMPRODUCT((('Loan Tape'!$R$4:$R$303&lt;&gt;"")*('Loan Tape'!$W$4:$W$303&gt;=R215)*('Loan Tape'!$W$4:$W$303&lt;=S215))*'Loan Tape'!$W$4:$W$303*'Loan Tape'!$R$4:$R$303)/E215,"-")</f>
        <v>0.633738475586739</v>
      </c>
      <c r="N215" s="69" t="n">
        <f aca="false">IFERROR(SUMPRODUCT((('Loan Tape'!$R$4:$R$303&lt;&gt;"")*('Loan Tape'!$W$4:$W$303&gt;=R215)*('Loan Tape'!$W$4:$W$303&lt;=S215))*'Loan Tape'!$AI$4:$AI$303*'Loan Tape'!$R$4:$R$303)/E215,"-")</f>
        <v>0.0682847773777966</v>
      </c>
      <c r="O215" s="69" t="n">
        <f aca="false">IFERROR(SUMPRODUCT((('Loan Tape'!$R$4:$R$303&lt;&gt;"")*('Loan Tape'!$W$4:$W$303&gt;=R215)*('Loan Tape'!$W$4:$W$303&lt;=S215))*'Loan Tape'!$AK$4:$AK$303*'Loan Tape'!$R$4:$R$303)/E215,"-")</f>
        <v>0.0772044385255668</v>
      </c>
      <c r="P215" s="69" t="n">
        <f aca="false">IFERROR(SUMPRODUCT((('Loan Tape'!$R$4:$R$303&lt;&gt;"")*('Loan Tape'!$W$4:$W$303&gt;=R215)*('Loan Tape'!$W$4:$W$303&lt;=S215))*'Loan Tape'!$S$4:$S$303*'Loan Tape'!$R$4:$R$303)/E215,"-")</f>
        <v>0.894026851107892</v>
      </c>
      <c r="R215" s="91" t="n">
        <v>0.6</v>
      </c>
      <c r="S215" s="91" t="n">
        <v>0.6999</v>
      </c>
    </row>
    <row r="216" customFormat="false" ht="14.25" hidden="false" customHeight="false" outlineLevel="0" collapsed="false">
      <c r="B216" s="7" t="s">
        <v>460</v>
      </c>
      <c r="C216" s="68" t="n">
        <f aca="false">COUNTIFS('Loan Tape'!$W$4:$W$303,"&gt;="&amp;R216,'Loan Tape'!$W$4:$W$303,"&lt;="&amp;S216,'Loan Tape'!$R$4:$R$303,"&lt;&gt;")</f>
        <v>12</v>
      </c>
      <c r="D216" s="68" t="n">
        <f aca="false">SUMPRODUCT((('Loan Tape'!$R$4:$R$303&lt;&gt;"")*('Loan Tape'!$W$4:$W$303&gt;=R216)*('Loan Tape'!$W$4:$W$303&lt;=S216))*'Loan Tape'!$F$4:$F$303)</f>
        <v>841</v>
      </c>
      <c r="E216" s="84" t="n">
        <f aca="false">SUMIFS('Loan Tape'!$R$4:$R$303,'Loan Tape'!$W$4:$W$303,"&gt;="&amp;R216,'Loan Tape'!$W$4:$W$303,"&lt;="&amp;S216,'Loan Tape'!$R$4:$R$303,"&lt;&gt;")</f>
        <v>588964000</v>
      </c>
      <c r="F216" s="69" t="n">
        <f aca="false">IFERROR(E216/C5,0)</f>
        <v>0.236000016028145</v>
      </c>
      <c r="G216" s="85" t="n">
        <f aca="false">IFERROR(SUMPRODUCT((('Loan Tape'!$R$4:$R$303&lt;&gt;"")*('Loan Tape'!$W$4:$W$303&gt;=R216)*('Loan Tape'!$W$4:$W$303&lt;=S216))*'Loan Tape'!$U$4:$U$303*'Loan Tape'!$R$4:$R$303)/E216,"-")</f>
        <v>1.61591545493443</v>
      </c>
      <c r="H216" s="68" t="n">
        <f aca="false">IFERROR(SUMPRODUCT((('Loan Tape'!$R$4:$R$303&lt;&gt;"")*('Loan Tape'!$W$4:$W$303&gt;=R216)*('Loan Tape'!$W$4:$W$303&lt;=S216))*'Loan Tape'!$AH$4:$AH$303*'Loan Tape'!$R$4:$R$303)/E216,"-")</f>
        <v>57.0448227735481</v>
      </c>
      <c r="I216" s="68" t="n">
        <f aca="false">IFERROR(SUMPRODUCT((('Loan Tape'!$R$4:$R$303&lt;&gt;"")*('Loan Tape'!$W$4:$W$303&gt;=R216)*('Loan Tape'!$W$4:$W$303&lt;=S216))*(('Loan Tape'!$H$4:$H$303-$C$4)/30.4375)*'Loan Tape'!$R$4:$R$303)/E216,"-")</f>
        <v>26.8353217225466</v>
      </c>
      <c r="J216" s="69" t="n">
        <f aca="false">IFERROR(SUMPRODUCT((('Loan Tape'!$R$4:$R$303&lt;&gt;"")*('Loan Tape'!$W$4:$W$303&gt;=R216)*('Loan Tape'!$W$4:$W$303&lt;=S216))*('Loan Tape'!$K$4:$K$303="Floating")*'Loan Tape'!$R$4:$R$303)/E216,"-")</f>
        <v>0.66808158053803</v>
      </c>
      <c r="K216" s="69" t="n">
        <f aca="false">IFERROR(SUMPRODUCT((('Loan Tape'!$R$4:$R$303&lt;&gt;"")*('Loan Tape'!$W$4:$W$303&gt;=R216)*('Loan Tape'!$W$4:$W$303&lt;=S216))*'Loan Tape'!$T$4:$T$303*'Loan Tape'!$R$4:$R$303)/E216,"-")</f>
        <v>0.0860344796965519</v>
      </c>
      <c r="L216" s="69" t="n">
        <f aca="false">IFERROR(SUMPRODUCT((('Loan Tape'!$R$4:$R$303&lt;&gt;"")*('Loan Tape'!$W$4:$W$303&gt;=R216)*('Loan Tape'!$W$4:$W$303&lt;=S216))*'Loan Tape'!$V$4:$V$303*'Loan Tape'!$R$4:$R$303)/E216,"-")</f>
        <v>0.727192852194701</v>
      </c>
      <c r="M216" s="69" t="n">
        <f aca="false">IFERROR(SUMPRODUCT((('Loan Tape'!$R$4:$R$303&lt;&gt;"")*('Loan Tape'!$W$4:$W$303&gt;=R216)*('Loan Tape'!$W$4:$W$303&lt;=S216))*'Loan Tape'!$W$4:$W$303*'Loan Tape'!$R$4:$R$303)/E216,"-")</f>
        <v>0.758313917319225</v>
      </c>
      <c r="N216" s="69" t="n">
        <f aca="false">IFERROR(SUMPRODUCT((('Loan Tape'!$R$4:$R$303&lt;&gt;"")*('Loan Tape'!$W$4:$W$303&gt;=R216)*('Loan Tape'!$W$4:$W$303&lt;=S216))*'Loan Tape'!$AI$4:$AI$303*'Loan Tape'!$R$4:$R$303)/E216,"-")</f>
        <v>0.0718667950842496</v>
      </c>
      <c r="O216" s="69" t="n">
        <f aca="false">IFERROR(SUMPRODUCT((('Loan Tape'!$R$4:$R$303&lt;&gt;"")*('Loan Tape'!$W$4:$W$303&gt;=R216)*('Loan Tape'!$W$4:$W$303&lt;=S216))*'Loan Tape'!$AK$4:$AK$303*'Loan Tape'!$R$4:$R$303)/E216,"-")</f>
        <v>0.0778681046719324</v>
      </c>
      <c r="P216" s="69" t="n">
        <f aca="false">IFERROR(SUMPRODUCT((('Loan Tape'!$R$4:$R$303&lt;&gt;"")*('Loan Tape'!$W$4:$W$303&gt;=R216)*('Loan Tape'!$W$4:$W$303&lt;=S216))*'Loan Tape'!$S$4:$S$303*'Loan Tape'!$R$4:$R$303)/E216,"-")</f>
        <v>0.878784390896557</v>
      </c>
      <c r="R216" s="91" t="n">
        <v>0.7</v>
      </c>
      <c r="S216" s="91" t="n">
        <v>0.7999</v>
      </c>
    </row>
    <row r="217" customFormat="false" ht="14.25" hidden="false" customHeight="false" outlineLevel="0" collapsed="false">
      <c r="B217" s="7" t="s">
        <v>461</v>
      </c>
      <c r="C217" s="68" t="n">
        <f aca="false">COUNTIFS('Loan Tape'!$W$4:$W$303,"&gt;="&amp;R217,'Loan Tape'!$W$4:$W$303,"&lt;="&amp;S217,'Loan Tape'!$R$4:$R$303,"&lt;&gt;")</f>
        <v>12</v>
      </c>
      <c r="D217" s="68" t="n">
        <f aca="false">SUMPRODUCT((('Loan Tape'!$R$4:$R$303&lt;&gt;"")*('Loan Tape'!$W$4:$W$303&gt;=R217)*('Loan Tape'!$W$4:$W$303&lt;=S217))*'Loan Tape'!$F$4:$F$303)</f>
        <v>1990</v>
      </c>
      <c r="E217" s="84" t="n">
        <f aca="false">SUMIFS('Loan Tape'!$R$4:$R$303,'Loan Tape'!$W$4:$W$303,"&gt;="&amp;R217,'Loan Tape'!$W$4:$W$303,"&lt;="&amp;S217,'Loan Tape'!$R$4:$R$303,"&lt;&gt;")</f>
        <v>705447000</v>
      </c>
      <c r="F217" s="69" t="n">
        <f aca="false">IFERROR(E217/C5,0)</f>
        <v>0.282675177611887</v>
      </c>
      <c r="G217" s="85" t="n">
        <f aca="false">IFERROR(SUMPRODUCT((('Loan Tape'!$R$4:$R$303&lt;&gt;"")*('Loan Tape'!$W$4:$W$303&gt;=R217)*('Loan Tape'!$W$4:$W$303&lt;=S217))*'Loan Tape'!$U$4:$U$303*'Loan Tape'!$R$4:$R$303)/E217,"-")</f>
        <v>1.24657670951893</v>
      </c>
      <c r="H217" s="68" t="n">
        <f aca="false">IFERROR(SUMPRODUCT((('Loan Tape'!$R$4:$R$303&lt;&gt;"")*('Loan Tape'!$W$4:$W$303&gt;=R217)*('Loan Tape'!$W$4:$W$303&lt;=S217))*'Loan Tape'!$AH$4:$AH$303*'Loan Tape'!$R$4:$R$303)/E217,"-")</f>
        <v>81.8682500598911</v>
      </c>
      <c r="I217" s="68" t="n">
        <f aca="false">IFERROR(SUMPRODUCT((('Loan Tape'!$R$4:$R$303&lt;&gt;"")*('Loan Tape'!$W$4:$W$303&gt;=R217)*('Loan Tape'!$W$4:$W$303&lt;=S217))*(('Loan Tape'!$H$4:$H$303-$C$4)/30.4375)*'Loan Tape'!$R$4:$R$303)/E217,"-")</f>
        <v>6.37972132420131</v>
      </c>
      <c r="J217" s="69" t="n">
        <f aca="false">IFERROR(SUMPRODUCT((('Loan Tape'!$R$4:$R$303&lt;&gt;"")*('Loan Tape'!$W$4:$W$303&gt;=R217)*('Loan Tape'!$W$4:$W$303&lt;=S217))*('Loan Tape'!$K$4:$K$303="Floating")*'Loan Tape'!$R$4:$R$303)/E217,"-")</f>
        <v>0.64165557440885</v>
      </c>
      <c r="K217" s="69" t="n">
        <f aca="false">IFERROR(SUMPRODUCT((('Loan Tape'!$R$4:$R$303&lt;&gt;"")*('Loan Tape'!$W$4:$W$303&gt;=R217)*('Loan Tape'!$W$4:$W$303&lt;=S217))*'Loan Tape'!$T$4:$T$303*'Loan Tape'!$R$4:$R$303)/E217,"-")</f>
        <v>0.0894861248258197</v>
      </c>
      <c r="L217" s="69" t="n">
        <f aca="false">IFERROR(SUMPRODUCT((('Loan Tape'!$R$4:$R$303&lt;&gt;"")*('Loan Tape'!$W$4:$W$303&gt;=R217)*('Loan Tape'!$W$4:$W$303&lt;=S217))*'Loan Tape'!$V$4:$V$303*'Loan Tape'!$R$4:$R$303)/E217,"-")</f>
        <v>0.837220511250314</v>
      </c>
      <c r="M217" s="69" t="n">
        <f aca="false">IFERROR(SUMPRODUCT((('Loan Tape'!$R$4:$R$303&lt;&gt;"")*('Loan Tape'!$W$4:$W$303&gt;=R217)*('Loan Tape'!$W$4:$W$303&lt;=S217))*'Loan Tape'!$W$4:$W$303*'Loan Tape'!$R$4:$R$303)/E217,"-")</f>
        <v>0.873926007198273</v>
      </c>
      <c r="N217" s="69" t="n">
        <f aca="false">IFERROR(SUMPRODUCT((('Loan Tape'!$R$4:$R$303&lt;&gt;"")*('Loan Tape'!$W$4:$W$303&gt;=R217)*('Loan Tape'!$W$4:$W$303&lt;=S217))*'Loan Tape'!$AI$4:$AI$303*'Loan Tape'!$R$4:$R$303)/E217,"-")</f>
        <v>0.0713487824032139</v>
      </c>
      <c r="O217" s="69" t="n">
        <f aca="false">IFERROR(SUMPRODUCT((('Loan Tape'!$R$4:$R$303&lt;&gt;"")*('Loan Tape'!$W$4:$W$303&gt;=R217)*('Loan Tape'!$W$4:$W$303&lt;=S217))*'Loan Tape'!$AK$4:$AK$303*'Loan Tape'!$R$4:$R$303)/E217,"-")</f>
        <v>0.0809736160193466</v>
      </c>
      <c r="P217" s="69" t="n">
        <f aca="false">IFERROR(SUMPRODUCT((('Loan Tape'!$R$4:$R$303&lt;&gt;"")*('Loan Tape'!$W$4:$W$303&gt;=R217)*('Loan Tape'!$W$4:$W$303&lt;=S217))*'Loan Tape'!$S$4:$S$303*'Loan Tape'!$R$4:$R$303)/E217,"-")</f>
        <v>0.875448412141522</v>
      </c>
      <c r="R217" s="91" t="n">
        <v>0.8</v>
      </c>
      <c r="S217" s="91" t="n">
        <v>1000000000000</v>
      </c>
    </row>
    <row r="218" customFormat="false" ht="14.25" hidden="false" customHeight="false" outlineLevel="0" collapsed="false">
      <c r="B218" s="86" t="s">
        <v>405</v>
      </c>
      <c r="C218" s="92" t="n">
        <f aca="false">SUM(C213:C217)</f>
        <v>50</v>
      </c>
      <c r="D218" s="92" t="n">
        <f aca="false">SUM(D213:D217)</f>
        <v>4739</v>
      </c>
      <c r="E218" s="88" t="n">
        <f aca="false">SUM(E213:E217)</f>
        <v>2495610000</v>
      </c>
      <c r="F218" s="89" t="n">
        <f aca="false">SUM(F213:F217)</f>
        <v>1</v>
      </c>
      <c r="G218" s="90" t="n">
        <f aca="false">IFERROR(SUMPRODUCT((('Loan Tape'!$R$4:$R$303&lt;&gt;""))*'Loan Tape'!$U$4:$U$303*'Loan Tape'!$R$4:$R$303)/E218,"-")</f>
        <v>1.36575944157941</v>
      </c>
      <c r="H218" s="92" t="n">
        <f aca="false">IFERROR(SUMPRODUCT((('Loan Tape'!$R$4:$R$303&lt;&gt;""))*'Loan Tape'!$AH$4:$AH$303*'Loan Tape'!$R$4:$R$303)/E218,"-")</f>
        <v>76.5147345138063</v>
      </c>
      <c r="I218" s="92" t="n">
        <f aca="false">IFERROR(SUMPRODUCT((('Loan Tape'!$R$4:$R$303&lt;&gt;""))*(('Loan Tape'!$H$4:$H$303-$C$4)/30.4375)*'Loan Tape'!$R$4:$R$303)/E218,"-")</f>
        <v>17.6772942206432</v>
      </c>
      <c r="J218" s="89" t="n">
        <f aca="false">IFERROR(SUMPRODUCT((('Loan Tape'!$R$4:$R$303&lt;&gt;""))*('Loan Tape'!$K$4:$K$303="Floating")*'Loan Tape'!$R$4:$R$303)/E218,"-")</f>
        <v>0.664477622705471</v>
      </c>
      <c r="K218" s="89" t="n">
        <f aca="false">IFERROR(SUMPRODUCT((('Loan Tape'!$R$4:$R$303&lt;&gt;""))*'Loan Tape'!$T$4:$T$303*'Loan Tape'!$R$4:$R$303)/E218,"-")</f>
        <v>0.0861540568438177</v>
      </c>
      <c r="L218" s="89" t="n">
        <f aca="false">IFERROR(SUMPRODUCT((('Loan Tape'!$R$4:$R$303&lt;&gt;""))*'Loan Tape'!$V$4:$V$303*'Loan Tape'!$R$4:$R$303)/E218,"-")</f>
        <v>0.683559256454334</v>
      </c>
      <c r="M218" s="89" t="n">
        <f aca="false">IFERROR(SUMPRODUCT((('Loan Tape'!$R$4:$R$303&lt;&gt;""))*'Loan Tape'!$W$4:$W$303*'Loan Tape'!$R$4:$R$303)/E218,"-")</f>
        <v>0.716164459190338</v>
      </c>
      <c r="N218" s="89" t="n">
        <f aca="false">IFERROR(SUMPRODUCT((('Loan Tape'!$R$4:$R$303&lt;&gt;""))*'Loan Tape'!$AI$4:$AI$303*'Loan Tape'!$R$4:$R$303)/E218,"-")</f>
        <v>0.0704574522862146</v>
      </c>
      <c r="O218" s="89" t="n">
        <f aca="false">IFERROR(SUMPRODUCT((('Loan Tape'!$R$4:$R$303&lt;&gt;""))*'Loan Tape'!$AK$4:$AK$303*'Loan Tape'!$R$4:$R$303)/E218,"-")</f>
        <v>0.0792103169165054</v>
      </c>
      <c r="P218" s="89" t="n">
        <f aca="false">IFERROR(SUMPRODUCT((('Loan Tape'!$R$4:$R$303&lt;&gt;""))*'Loan Tape'!$S$4:$S$303*'Loan Tape'!$R$4:$R$303)/E218,"-")</f>
        <v>0.886687142221741</v>
      </c>
    </row>
    <row r="220" customFormat="false" ht="19.5" hidden="false" customHeight="true" outlineLevel="0" collapsed="false">
      <c r="B220" s="5" t="s">
        <v>463</v>
      </c>
      <c r="C220" s="5"/>
      <c r="D220" s="5"/>
      <c r="E220" s="5"/>
      <c r="F220" s="5"/>
      <c r="G220" s="5"/>
      <c r="H220" s="5"/>
      <c r="I220" s="5"/>
      <c r="J220" s="5"/>
      <c r="K220" s="5"/>
      <c r="L220" s="5"/>
      <c r="M220" s="5"/>
      <c r="N220" s="5"/>
      <c r="O220" s="5"/>
      <c r="P220" s="5"/>
    </row>
    <row r="221" customFormat="false" ht="42" hidden="false" customHeight="true" outlineLevel="0" collapsed="false">
      <c r="B221" s="82" t="s">
        <v>423</v>
      </c>
      <c r="C221" s="83" t="s">
        <v>368</v>
      </c>
      <c r="D221" s="83" t="s">
        <v>153</v>
      </c>
      <c r="E221" s="83" t="s">
        <v>393</v>
      </c>
      <c r="F221" s="83" t="s">
        <v>394</v>
      </c>
      <c r="G221" s="83" t="s">
        <v>395</v>
      </c>
      <c r="H221" s="83" t="s">
        <v>396</v>
      </c>
      <c r="I221" s="83" t="s">
        <v>397</v>
      </c>
      <c r="J221" s="83" t="s">
        <v>398</v>
      </c>
      <c r="K221" s="83" t="s">
        <v>399</v>
      </c>
      <c r="L221" s="83" t="s">
        <v>400</v>
      </c>
      <c r="M221" s="83" t="s">
        <v>401</v>
      </c>
      <c r="N221" s="83" t="s">
        <v>402</v>
      </c>
      <c r="O221" s="83" t="s">
        <v>403</v>
      </c>
      <c r="P221" s="83" t="s">
        <v>365</v>
      </c>
    </row>
    <row r="222" customFormat="false" ht="14.25" hidden="false" customHeight="false" outlineLevel="0" collapsed="false">
      <c r="B222" s="7" t="s">
        <v>464</v>
      </c>
      <c r="C222" s="68" t="n">
        <f aca="false">COUNTIFS('Loan Tape'!$S$4:$S$303,"&gt;="&amp;R222,'Loan Tape'!$S$4:$S$303,"&lt;="&amp;S222,'Loan Tape'!$R$4:$R$303,"&lt;&gt;")</f>
        <v>0</v>
      </c>
      <c r="D222" s="68" t="n">
        <f aca="false">SUMPRODUCT((('Loan Tape'!$R$4:$R$303&lt;&gt;"")*('Loan Tape'!$S$4:$S$303&gt;=R222)*('Loan Tape'!$S$4:$S$303&lt;=S222))*'Loan Tape'!$F$4:$F$303)</f>
        <v>0</v>
      </c>
      <c r="E222" s="84" t="n">
        <f aca="false">SUMIFS('Loan Tape'!$R$4:$R$303,'Loan Tape'!$S$4:$S$303,"&gt;="&amp;R222,'Loan Tape'!$S$4:$S$303,"&lt;="&amp;S222,'Loan Tape'!$R$4:$R$303,"&lt;&gt;")</f>
        <v>0</v>
      </c>
      <c r="F222" s="69" t="n">
        <f aca="false">IFERROR(E222/C5,0)</f>
        <v>0</v>
      </c>
      <c r="G222" s="85" t="str">
        <f aca="false">IFERROR(SUMPRODUCT((('Loan Tape'!$R$4:$R$303&lt;&gt;"")*('Loan Tape'!$S$4:$S$303&gt;=R222)*('Loan Tape'!$S$4:$S$303&lt;=S222))*'Loan Tape'!$U$4:$U$303*'Loan Tape'!$R$4:$R$303)/E222,"-")</f>
        <v>-</v>
      </c>
      <c r="H222" s="68" t="str">
        <f aca="false">IFERROR(SUMPRODUCT((('Loan Tape'!$R$4:$R$303&lt;&gt;"")*('Loan Tape'!$S$4:$S$303&gt;=R222)*('Loan Tape'!$S$4:$S$303&lt;=S222))*'Loan Tape'!$AH$4:$AH$303*'Loan Tape'!$R$4:$R$303)/E222,"-")</f>
        <v>-</v>
      </c>
      <c r="I222" s="68" t="str">
        <f aca="false">IFERROR(SUMPRODUCT((('Loan Tape'!$R$4:$R$303&lt;&gt;"")*('Loan Tape'!$S$4:$S$303&gt;=R222)*('Loan Tape'!$S$4:$S$303&lt;=S222))*(('Loan Tape'!$H$4:$H$303-$C$4)/30.4375)*'Loan Tape'!$R$4:$R$303)/E222,"-")</f>
        <v>-</v>
      </c>
      <c r="J222" s="69" t="str">
        <f aca="false">IFERROR(SUMPRODUCT((('Loan Tape'!$R$4:$R$303&lt;&gt;"")*('Loan Tape'!$S$4:$S$303&gt;=R222)*('Loan Tape'!$S$4:$S$303&lt;=S222))*('Loan Tape'!$K$4:$K$303="Floating")*'Loan Tape'!$R$4:$R$303)/E222,"-")</f>
        <v>-</v>
      </c>
      <c r="K222" s="69" t="str">
        <f aca="false">IFERROR(SUMPRODUCT((('Loan Tape'!$R$4:$R$303&lt;&gt;"")*('Loan Tape'!$S$4:$S$303&gt;=R222)*('Loan Tape'!$S$4:$S$303&lt;=S222))*'Loan Tape'!$T$4:$T$303*'Loan Tape'!$R$4:$R$303)/E222,"-")</f>
        <v>-</v>
      </c>
      <c r="L222" s="69" t="str">
        <f aca="false">IFERROR(SUMPRODUCT((('Loan Tape'!$R$4:$R$303&lt;&gt;"")*('Loan Tape'!$S$4:$S$303&gt;=R222)*('Loan Tape'!$S$4:$S$303&lt;=S222))*'Loan Tape'!$V$4:$V$303*'Loan Tape'!$R$4:$R$303)/E222,"-")</f>
        <v>-</v>
      </c>
      <c r="M222" s="69" t="str">
        <f aca="false">IFERROR(SUMPRODUCT((('Loan Tape'!$R$4:$R$303&lt;&gt;"")*('Loan Tape'!$S$4:$S$303&gt;=R222)*('Loan Tape'!$S$4:$S$303&lt;=S222))*'Loan Tape'!$W$4:$W$303*'Loan Tape'!$R$4:$R$303)/E222,"-")</f>
        <v>-</v>
      </c>
      <c r="N222" s="69" t="str">
        <f aca="false">IFERROR(SUMPRODUCT((('Loan Tape'!$R$4:$R$303&lt;&gt;"")*('Loan Tape'!$S$4:$S$303&gt;=R222)*('Loan Tape'!$S$4:$S$303&lt;=S222))*'Loan Tape'!$AI$4:$AI$303*'Loan Tape'!$R$4:$R$303)/E222,"-")</f>
        <v>-</v>
      </c>
      <c r="O222" s="69" t="str">
        <f aca="false">IFERROR(SUMPRODUCT((('Loan Tape'!$R$4:$R$303&lt;&gt;"")*('Loan Tape'!$S$4:$S$303&gt;=R222)*('Loan Tape'!$S$4:$S$303&lt;=S222))*'Loan Tape'!$AK$4:$AK$303*'Loan Tape'!$R$4:$R$303)/E222,"-")</f>
        <v>-</v>
      </c>
      <c r="P222" s="69" t="str">
        <f aca="false">IFERROR(SUMPRODUCT((('Loan Tape'!$R$4:$R$303&lt;&gt;"")*('Loan Tape'!$S$4:$S$303&gt;=R222)*('Loan Tape'!$S$4:$S$303&lt;=S222))*'Loan Tape'!$S$4:$S$303*'Loan Tape'!$R$4:$R$303)/E222,"-")</f>
        <v>-</v>
      </c>
      <c r="R222" s="91" t="n">
        <v>-1000000000000</v>
      </c>
      <c r="S222" s="91" t="n">
        <v>0.6999</v>
      </c>
    </row>
    <row r="223" customFormat="false" ht="14.25" hidden="false" customHeight="false" outlineLevel="0" collapsed="false">
      <c r="B223" s="7" t="s">
        <v>460</v>
      </c>
      <c r="C223" s="68" t="n">
        <f aca="false">COUNTIFS('Loan Tape'!$S$4:$S$303,"&gt;="&amp;R223,'Loan Tape'!$S$4:$S$303,"&lt;="&amp;S223,'Loan Tape'!$R$4:$R$303,"&lt;&gt;")</f>
        <v>5</v>
      </c>
      <c r="D223" s="68" t="n">
        <f aca="false">SUMPRODUCT((('Loan Tape'!$R$4:$R$303&lt;&gt;"")*('Loan Tape'!$S$4:$S$303&gt;=R223)*('Loan Tape'!$S$4:$S$303&lt;=S223))*'Loan Tape'!$F$4:$F$303)</f>
        <v>782</v>
      </c>
      <c r="E223" s="84" t="n">
        <f aca="false">SUMIFS('Loan Tape'!$R$4:$R$303,'Loan Tape'!$S$4:$S$303,"&gt;="&amp;R223,'Loan Tape'!$S$4:$S$303,"&lt;="&amp;S223,'Loan Tape'!$R$4:$R$303,"&lt;&gt;")</f>
        <v>236471000</v>
      </c>
      <c r="F223" s="69" t="n">
        <f aca="false">IFERROR(E223/C5,0)</f>
        <v>0.0947547894102043</v>
      </c>
      <c r="G223" s="85" t="n">
        <f aca="false">IFERROR(SUMPRODUCT((('Loan Tape'!$R$4:$R$303&lt;&gt;"")*('Loan Tape'!$S$4:$S$303&gt;=R223)*('Loan Tape'!$S$4:$S$303&lt;=S223))*'Loan Tape'!$U$4:$U$303*'Loan Tape'!$R$4:$R$303)/E223,"-")</f>
        <v>1.2731178030287</v>
      </c>
      <c r="H223" s="68" t="n">
        <f aca="false">IFERROR(SUMPRODUCT((('Loan Tape'!$R$4:$R$303&lt;&gt;"")*('Loan Tape'!$S$4:$S$303&gt;=R223)*('Loan Tape'!$S$4:$S$303&lt;=S223))*'Loan Tape'!$AH$4:$AH$303*'Loan Tape'!$R$4:$R$303)/E223,"-")</f>
        <v>99.1023749212377</v>
      </c>
      <c r="I223" s="68" t="n">
        <f aca="false">IFERROR(SUMPRODUCT((('Loan Tape'!$R$4:$R$303&lt;&gt;"")*('Loan Tape'!$S$4:$S$303&gt;=R223)*('Loan Tape'!$S$4:$S$303&lt;=S223))*(('Loan Tape'!$H$4:$H$303-$C$4)/30.4375)*'Loan Tape'!$R$4:$R$303)/E223,"-")</f>
        <v>-3.18770095984524</v>
      </c>
      <c r="J223" s="69" t="n">
        <f aca="false">IFERROR(SUMPRODUCT((('Loan Tape'!$R$4:$R$303&lt;&gt;"")*('Loan Tape'!$S$4:$S$303&gt;=R223)*('Loan Tape'!$S$4:$S$303&lt;=S223))*('Loan Tape'!$K$4:$K$303="Floating")*'Loan Tape'!$R$4:$R$303)/E223,"-")</f>
        <v>0.948978944564027</v>
      </c>
      <c r="K223" s="69" t="n">
        <f aca="false">IFERROR(SUMPRODUCT((('Loan Tape'!$R$4:$R$303&lt;&gt;"")*('Loan Tape'!$S$4:$S$303&gt;=R223)*('Loan Tape'!$S$4:$S$303&lt;=S223))*'Loan Tape'!$T$4:$T$303*'Loan Tape'!$R$4:$R$303)/E223,"-")</f>
        <v>0.0836958489624521</v>
      </c>
      <c r="L223" s="69" t="n">
        <f aca="false">IFERROR(SUMPRODUCT((('Loan Tape'!$R$4:$R$303&lt;&gt;"")*('Loan Tape'!$S$4:$S$303&gt;=R223)*('Loan Tape'!$S$4:$S$303&lt;=S223))*'Loan Tape'!$V$4:$V$303*'Loan Tape'!$R$4:$R$303)/E223,"-")</f>
        <v>0.670163880560407</v>
      </c>
      <c r="M223" s="69" t="n">
        <f aca="false">IFERROR(SUMPRODUCT((('Loan Tape'!$R$4:$R$303&lt;&gt;"")*('Loan Tape'!$S$4:$S$303&gt;=R223)*('Loan Tape'!$S$4:$S$303&lt;=S223))*'Loan Tape'!$W$4:$W$303*'Loan Tape'!$R$4:$R$303)/E223,"-")</f>
        <v>0.706126751271826</v>
      </c>
      <c r="N223" s="69" t="n">
        <f aca="false">IFERROR(SUMPRODUCT((('Loan Tape'!$R$4:$R$303&lt;&gt;"")*('Loan Tape'!$S$4:$S$303&gt;=R223)*('Loan Tape'!$S$4:$S$303&lt;=S223))*'Loan Tape'!$AI$4:$AI$303*'Loan Tape'!$R$4:$R$303)/E223,"-")</f>
        <v>0.0828943946615018</v>
      </c>
      <c r="O223" s="69" t="n">
        <f aca="false">IFERROR(SUMPRODUCT((('Loan Tape'!$R$4:$R$303&lt;&gt;"")*('Loan Tape'!$S$4:$S$303&gt;=R223)*('Loan Tape'!$S$4:$S$303&lt;=S223))*'Loan Tape'!$AK$4:$AK$303*'Loan Tape'!$R$4:$R$303)/E223,"-")</f>
        <v>0.0907262526906048</v>
      </c>
      <c r="P223" s="69" t="n">
        <f aca="false">IFERROR(SUMPRODUCT((('Loan Tape'!$R$4:$R$303&lt;&gt;"")*('Loan Tape'!$S$4:$S$303&gt;=R223)*('Loan Tape'!$S$4:$S$303&lt;=S223))*'Loan Tape'!$S$4:$S$303*'Loan Tape'!$R$4:$R$303)/E223,"-")</f>
        <v>0.771899996194037</v>
      </c>
      <c r="R223" s="91" t="n">
        <v>0.7</v>
      </c>
      <c r="S223" s="91" t="n">
        <v>0.7999</v>
      </c>
    </row>
    <row r="224" customFormat="false" ht="14.25" hidden="false" customHeight="false" outlineLevel="0" collapsed="false">
      <c r="B224" s="7" t="s">
        <v>465</v>
      </c>
      <c r="C224" s="68" t="n">
        <f aca="false">COUNTIFS('Loan Tape'!$S$4:$S$303,"&gt;="&amp;R224,'Loan Tape'!$S$4:$S$303,"&lt;="&amp;S224,'Loan Tape'!$R$4:$R$303,"&lt;&gt;")</f>
        <v>22</v>
      </c>
      <c r="D224" s="68" t="n">
        <f aca="false">SUMPRODUCT((('Loan Tape'!$R$4:$R$303&lt;&gt;"")*('Loan Tape'!$S$4:$S$303&gt;=R224)*('Loan Tape'!$S$4:$S$303&lt;=S224))*'Loan Tape'!$F$4:$F$303)</f>
        <v>1630</v>
      </c>
      <c r="E224" s="84" t="n">
        <f aca="false">SUMIFS('Loan Tape'!$R$4:$R$303,'Loan Tape'!$S$4:$S$303,"&gt;="&amp;R224,'Loan Tape'!$S$4:$S$303,"&lt;="&amp;S224,'Loan Tape'!$R$4:$R$303,"&lt;&gt;")</f>
        <v>996340000</v>
      </c>
      <c r="F224" s="69" t="n">
        <f aca="false">IFERROR(E224/C5,0)</f>
        <v>0.399237060277848</v>
      </c>
      <c r="G224" s="85" t="n">
        <f aca="false">IFERROR(SUMPRODUCT((('Loan Tape'!$R$4:$R$303&lt;&gt;"")*('Loan Tape'!$S$4:$S$303&gt;=R224)*('Loan Tape'!$S$4:$S$303&lt;=S224))*'Loan Tape'!$U$4:$U$303*'Loan Tape'!$R$4:$R$303)/E224,"-")</f>
        <v>1.52062619186222</v>
      </c>
      <c r="H224" s="68" t="n">
        <f aca="false">IFERROR(SUMPRODUCT((('Loan Tape'!$R$4:$R$303&lt;&gt;"")*('Loan Tape'!$S$4:$S$303&gt;=R224)*('Loan Tape'!$S$4:$S$303&lt;=S224))*'Loan Tape'!$AH$4:$AH$303*'Loan Tape'!$R$4:$R$303)/E224,"-")</f>
        <v>73.4642757492422</v>
      </c>
      <c r="I224" s="68" t="n">
        <f aca="false">IFERROR(SUMPRODUCT((('Loan Tape'!$R$4:$R$303&lt;&gt;"")*('Loan Tape'!$S$4:$S$303&gt;=R224)*('Loan Tape'!$S$4:$S$303&lt;=S224))*(('Loan Tape'!$H$4:$H$303-$C$4)/30.4375)*'Loan Tape'!$R$4:$R$303)/E224,"-")</f>
        <v>28.360467368062</v>
      </c>
      <c r="J224" s="69" t="n">
        <f aca="false">IFERROR(SUMPRODUCT((('Loan Tape'!$R$4:$R$303&lt;&gt;"")*('Loan Tape'!$S$4:$S$303&gt;=R224)*('Loan Tape'!$S$4:$S$303&lt;=S224))*('Loan Tape'!$K$4:$K$303="Floating")*'Loan Tape'!$R$4:$R$303)/E224,"-")</f>
        <v>0.675832547122468</v>
      </c>
      <c r="K224" s="69" t="n">
        <f aca="false">IFERROR(SUMPRODUCT((('Loan Tape'!$R$4:$R$303&lt;&gt;"")*('Loan Tape'!$S$4:$S$303&gt;=R224)*('Loan Tape'!$S$4:$S$303&lt;=S224))*'Loan Tape'!$T$4:$T$303*'Loan Tape'!$R$4:$R$303)/E224,"-")</f>
        <v>0.0812291072324708</v>
      </c>
      <c r="L224" s="69" t="n">
        <f aca="false">IFERROR(SUMPRODUCT((('Loan Tape'!$R$4:$R$303&lt;&gt;"")*('Loan Tape'!$S$4:$S$303&gt;=R224)*('Loan Tape'!$S$4:$S$303&lt;=S224))*'Loan Tape'!$V$4:$V$303*'Loan Tape'!$R$4:$R$303)/E224,"-")</f>
        <v>0.72089402713933</v>
      </c>
      <c r="M224" s="69" t="n">
        <f aca="false">IFERROR(SUMPRODUCT((('Loan Tape'!$R$4:$R$303&lt;&gt;"")*('Loan Tape'!$S$4:$S$303&gt;=R224)*('Loan Tape'!$S$4:$S$303&lt;=S224))*'Loan Tape'!$W$4:$W$303*'Loan Tape'!$R$4:$R$303)/E224,"-")</f>
        <v>0.754757282654516</v>
      </c>
      <c r="N224" s="69" t="n">
        <f aca="false">IFERROR(SUMPRODUCT((('Loan Tape'!$R$4:$R$303&lt;&gt;"")*('Loan Tape'!$S$4:$S$303&gt;=R224)*('Loan Tape'!$S$4:$S$303&lt;=S224))*'Loan Tape'!$AI$4:$AI$303*'Loan Tape'!$R$4:$R$303)/E224,"-")</f>
        <v>0.0689636331975029</v>
      </c>
      <c r="O224" s="69" t="n">
        <f aca="false">IFERROR(SUMPRODUCT((('Loan Tape'!$R$4:$R$303&lt;&gt;"")*('Loan Tape'!$S$4:$S$303&gt;=R224)*('Loan Tape'!$S$4:$S$303&lt;=S224))*'Loan Tape'!$AK$4:$AK$303*'Loan Tape'!$R$4:$R$303)/E224,"-")</f>
        <v>0.0779624758616537</v>
      </c>
      <c r="P224" s="69" t="n">
        <f aca="false">IFERROR(SUMPRODUCT((('Loan Tape'!$R$4:$R$303&lt;&gt;"")*('Loan Tape'!$S$4:$S$303&gt;=R224)*('Loan Tape'!$S$4:$S$303&lt;=S224))*'Loan Tape'!$S$4:$S$303*'Loan Tape'!$R$4:$R$303)/E224,"-")</f>
        <v>0.839861745990325</v>
      </c>
      <c r="R224" s="91" t="n">
        <v>0.8</v>
      </c>
      <c r="S224" s="91" t="n">
        <v>0.8999</v>
      </c>
    </row>
    <row r="225" customFormat="false" ht="14.25" hidden="false" customHeight="false" outlineLevel="0" collapsed="false">
      <c r="B225" s="7" t="s">
        <v>466</v>
      </c>
      <c r="C225" s="68" t="n">
        <f aca="false">COUNTIFS('Loan Tape'!$S$4:$S$303,"&gt;="&amp;R225,'Loan Tape'!$S$4:$S$303,"&lt;="&amp;S225,'Loan Tape'!$R$4:$R$303,"&lt;&gt;")</f>
        <v>23</v>
      </c>
      <c r="D225" s="68" t="n">
        <f aca="false">SUMPRODUCT((('Loan Tape'!$R$4:$R$303&lt;&gt;"")*('Loan Tape'!$S$4:$S$303&gt;=R225)*('Loan Tape'!$S$4:$S$303&lt;=S225))*'Loan Tape'!$F$4:$F$303)</f>
        <v>2327</v>
      </c>
      <c r="E225" s="84" t="n">
        <f aca="false">SUMIFS('Loan Tape'!$R$4:$R$303,'Loan Tape'!$S$4:$S$303,"&gt;="&amp;R225,'Loan Tape'!$S$4:$S$303,"&lt;="&amp;S225,'Loan Tape'!$R$4:$R$303,"&lt;&gt;")</f>
        <v>1262799000</v>
      </c>
      <c r="F225" s="69" t="n">
        <f aca="false">IFERROR(E225/C5,0)</f>
        <v>0.506008150311948</v>
      </c>
      <c r="G225" s="85" t="n">
        <f aca="false">IFERROR(SUMPRODUCT((('Loan Tape'!$R$4:$R$303&lt;&gt;"")*('Loan Tape'!$S$4:$S$303&gt;=R225)*('Loan Tape'!$S$4:$S$303&lt;=S225))*'Loan Tape'!$U$4:$U$303*'Loan Tape'!$R$4:$R$303)/E225,"-")</f>
        <v>1.26091862600461</v>
      </c>
      <c r="H225" s="68" t="n">
        <f aca="false">IFERROR(SUMPRODUCT((('Loan Tape'!$R$4:$R$303&lt;&gt;"")*('Loan Tape'!$S$4:$S$303&gt;=R225)*('Loan Tape'!$S$4:$S$303&lt;=S225))*'Loan Tape'!$AH$4:$AH$303*'Loan Tape'!$R$4:$R$303)/E225,"-")</f>
        <v>74.6917778680534</v>
      </c>
      <c r="I225" s="68" t="n">
        <f aca="false">IFERROR(SUMPRODUCT((('Loan Tape'!$R$4:$R$303&lt;&gt;"")*('Loan Tape'!$S$4:$S$303&gt;=R225)*('Loan Tape'!$S$4:$S$303&lt;=S225))*(('Loan Tape'!$H$4:$H$303-$C$4)/30.4375)*'Loan Tape'!$R$4:$R$303)/E225,"-")</f>
        <v>13.155508522069</v>
      </c>
      <c r="J225" s="69" t="n">
        <f aca="false">IFERROR(SUMPRODUCT((('Loan Tape'!$R$4:$R$303&lt;&gt;"")*('Loan Tape'!$S$4:$S$303&gt;=R225)*('Loan Tape'!$S$4:$S$303&lt;=S225))*('Loan Tape'!$K$4:$K$303="Floating")*'Loan Tape'!$R$4:$R$303)/E225,"-")</f>
        <v>0.602243112324289</v>
      </c>
      <c r="K225" s="69" t="n">
        <f aca="false">IFERROR(SUMPRODUCT((('Loan Tape'!$R$4:$R$303&lt;&gt;"")*('Loan Tape'!$S$4:$S$303&gt;=R225)*('Loan Tape'!$S$4:$S$303&lt;=S225))*'Loan Tape'!$T$4:$T$303*'Loan Tape'!$R$4:$R$303)/E225,"-")</f>
        <v>0.0905001318499619</v>
      </c>
      <c r="L225" s="69" t="n">
        <f aca="false">IFERROR(SUMPRODUCT((('Loan Tape'!$R$4:$R$303&lt;&gt;"")*('Loan Tape'!$S$4:$S$303&gt;=R225)*('Loan Tape'!$S$4:$S$303&lt;=S225))*'Loan Tape'!$V$4:$V$303*'Loan Tape'!$R$4:$R$303)/E225,"-")</f>
        <v>0.656610781288234</v>
      </c>
      <c r="M225" s="69" t="n">
        <f aca="false">IFERROR(SUMPRODUCT((('Loan Tape'!$R$4:$R$303&lt;&gt;"")*('Loan Tape'!$S$4:$S$303&gt;=R225)*('Loan Tape'!$S$4:$S$303&lt;=S225))*'Loan Tape'!$W$4:$W$303*'Loan Tape'!$R$4:$R$303)/E225,"-")</f>
        <v>0.687594633825336</v>
      </c>
      <c r="N225" s="69" t="n">
        <f aca="false">IFERROR(SUMPRODUCT((('Loan Tape'!$R$4:$R$303&lt;&gt;"")*('Loan Tape'!$S$4:$S$303&gt;=R225)*('Loan Tape'!$S$4:$S$303&lt;=S225))*'Loan Tape'!$AI$4:$AI$303*'Loan Tape'!$R$4:$R$303)/E225,"-")</f>
        <v>0.0693071310636134</v>
      </c>
      <c r="O225" s="69" t="n">
        <f aca="false">IFERROR(SUMPRODUCT((('Loan Tape'!$R$4:$R$303&lt;&gt;"")*('Loan Tape'!$S$4:$S$303&gt;=R225)*('Loan Tape'!$S$4:$S$303&lt;=S225))*'Loan Tape'!$AK$4:$AK$303*'Loan Tape'!$R$4:$R$303)/E225,"-")</f>
        <v>0.0780383878194392</v>
      </c>
      <c r="P225" s="69" t="n">
        <f aca="false">IFERROR(SUMPRODUCT((('Loan Tape'!$R$4:$R$303&lt;&gt;"")*('Loan Tape'!$S$4:$S$303&gt;=R225)*('Loan Tape'!$S$4:$S$303&lt;=S225))*'Loan Tape'!$S$4:$S$303*'Loan Tape'!$R$4:$R$303)/E225,"-")</f>
        <v>0.945127041595693</v>
      </c>
      <c r="R225" s="91" t="n">
        <v>0.9</v>
      </c>
      <c r="S225" s="91" t="n">
        <v>1000000000000</v>
      </c>
    </row>
    <row r="226" customFormat="false" ht="14.25" hidden="false" customHeight="false" outlineLevel="0" collapsed="false">
      <c r="B226" s="86" t="s">
        <v>405</v>
      </c>
      <c r="C226" s="92" t="n">
        <f aca="false">SUM(C222:C225)</f>
        <v>50</v>
      </c>
      <c r="D226" s="92" t="n">
        <f aca="false">SUM(D222:D225)</f>
        <v>4739</v>
      </c>
      <c r="E226" s="88" t="n">
        <f aca="false">SUM(E222:E225)</f>
        <v>2495610000</v>
      </c>
      <c r="F226" s="89" t="n">
        <f aca="false">SUM(F222:F225)</f>
        <v>1</v>
      </c>
      <c r="G226" s="90" t="n">
        <f aca="false">IFERROR(SUMPRODUCT((('Loan Tape'!$R$4:$R$303&lt;&gt;""))*'Loan Tape'!$U$4:$U$303*'Loan Tape'!$R$4:$R$303)/E226,"-")</f>
        <v>1.36575944157941</v>
      </c>
      <c r="H226" s="92" t="n">
        <f aca="false">IFERROR(SUMPRODUCT((('Loan Tape'!$R$4:$R$303&lt;&gt;""))*'Loan Tape'!$AH$4:$AH$303*'Loan Tape'!$R$4:$R$303)/E226,"-")</f>
        <v>76.5147345138063</v>
      </c>
      <c r="I226" s="92" t="n">
        <f aca="false">IFERROR(SUMPRODUCT((('Loan Tape'!$R$4:$R$303&lt;&gt;""))*(('Loan Tape'!$H$4:$H$303-$C$4)/30.4375)*'Loan Tape'!$R$4:$R$303)/E226,"-")</f>
        <v>17.6772942206432</v>
      </c>
      <c r="J226" s="89" t="n">
        <f aca="false">IFERROR(SUMPRODUCT((('Loan Tape'!$R$4:$R$303&lt;&gt;""))*('Loan Tape'!$K$4:$K$303="Floating")*'Loan Tape'!$R$4:$R$303)/E226,"-")</f>
        <v>0.664477622705471</v>
      </c>
      <c r="K226" s="89" t="n">
        <f aca="false">IFERROR(SUMPRODUCT((('Loan Tape'!$R$4:$R$303&lt;&gt;""))*'Loan Tape'!$T$4:$T$303*'Loan Tape'!$R$4:$R$303)/E226,"-")</f>
        <v>0.0861540568438177</v>
      </c>
      <c r="L226" s="89" t="n">
        <f aca="false">IFERROR(SUMPRODUCT((('Loan Tape'!$R$4:$R$303&lt;&gt;""))*'Loan Tape'!$V$4:$V$303*'Loan Tape'!$R$4:$R$303)/E226,"-")</f>
        <v>0.683559256454334</v>
      </c>
      <c r="M226" s="89" t="n">
        <f aca="false">IFERROR(SUMPRODUCT((('Loan Tape'!$R$4:$R$303&lt;&gt;""))*'Loan Tape'!$W$4:$W$303*'Loan Tape'!$R$4:$R$303)/E226,"-")</f>
        <v>0.716164459190338</v>
      </c>
      <c r="N226" s="89" t="n">
        <f aca="false">IFERROR(SUMPRODUCT((('Loan Tape'!$R$4:$R$303&lt;&gt;""))*'Loan Tape'!$AI$4:$AI$303*'Loan Tape'!$R$4:$R$303)/E226,"-")</f>
        <v>0.0704574522862146</v>
      </c>
      <c r="O226" s="89" t="n">
        <f aca="false">IFERROR(SUMPRODUCT((('Loan Tape'!$R$4:$R$303&lt;&gt;""))*'Loan Tape'!$AK$4:$AK$303*'Loan Tape'!$R$4:$R$303)/E226,"-")</f>
        <v>0.0792103169165054</v>
      </c>
      <c r="P226" s="89" t="n">
        <f aca="false">IFERROR(SUMPRODUCT((('Loan Tape'!$R$4:$R$303&lt;&gt;""))*'Loan Tape'!$S$4:$S$303*'Loan Tape'!$R$4:$R$303)/E226,"-")</f>
        <v>0.886687142221741</v>
      </c>
    </row>
    <row r="228" customFormat="false" ht="19.5" hidden="false" customHeight="true" outlineLevel="0" collapsed="false">
      <c r="B228" s="5" t="s">
        <v>467</v>
      </c>
      <c r="C228" s="5"/>
      <c r="D228" s="5"/>
      <c r="E228" s="5"/>
      <c r="F228" s="5"/>
      <c r="G228" s="5"/>
      <c r="H228" s="5"/>
      <c r="I228" s="5"/>
      <c r="J228" s="5"/>
      <c r="K228" s="5"/>
      <c r="L228" s="5"/>
      <c r="M228" s="5"/>
      <c r="N228" s="5"/>
      <c r="O228" s="5"/>
      <c r="P228" s="5"/>
    </row>
    <row r="229" customFormat="false" ht="42" hidden="false" customHeight="true" outlineLevel="0" collapsed="false">
      <c r="B229" s="82" t="s">
        <v>423</v>
      </c>
      <c r="C229" s="83" t="s">
        <v>368</v>
      </c>
      <c r="D229" s="83" t="s">
        <v>153</v>
      </c>
      <c r="E229" s="83" t="s">
        <v>393</v>
      </c>
      <c r="F229" s="83" t="s">
        <v>394</v>
      </c>
      <c r="G229" s="83" t="s">
        <v>395</v>
      </c>
      <c r="H229" s="83" t="s">
        <v>396</v>
      </c>
      <c r="I229" s="83" t="s">
        <v>397</v>
      </c>
      <c r="J229" s="83" t="s">
        <v>398</v>
      </c>
      <c r="K229" s="83" t="s">
        <v>399</v>
      </c>
      <c r="L229" s="83" t="s">
        <v>400</v>
      </c>
      <c r="M229" s="83" t="s">
        <v>401</v>
      </c>
      <c r="N229" s="83" t="s">
        <v>402</v>
      </c>
      <c r="O229" s="83" t="s">
        <v>403</v>
      </c>
      <c r="P229" s="83" t="s">
        <v>365</v>
      </c>
    </row>
    <row r="230" customFormat="false" ht="14.25" hidden="false" customHeight="false" outlineLevel="0" collapsed="false">
      <c r="B230" s="7" t="s">
        <v>468</v>
      </c>
      <c r="C230" s="68" t="n">
        <f aca="false">COUNTIFS('Loan Tape'!$I$4:$I$303,"&gt;="&amp;R230,'Loan Tape'!$I$4:$I$303,"&lt;="&amp;S230,'Loan Tape'!$R$4:$R$303,"&lt;&gt;")</f>
        <v>4</v>
      </c>
      <c r="D230" s="68" t="n">
        <f aca="false">SUMPRODUCT((('Loan Tape'!$R$4:$R$303&lt;&gt;"")*('Loan Tape'!$I$4:$I$303&gt;=R230)*('Loan Tape'!$I$4:$I$303&lt;=S230))*'Loan Tape'!$F$4:$F$303)</f>
        <v>910</v>
      </c>
      <c r="E230" s="84" t="n">
        <f aca="false">SUMIFS('Loan Tape'!$R$4:$R$303,'Loan Tape'!$I$4:$I$303,"&gt;="&amp;R230,'Loan Tape'!$I$4:$I$303,"&lt;="&amp;S230,'Loan Tape'!$R$4:$R$303,"&lt;&gt;")</f>
        <v>89778000</v>
      </c>
      <c r="F230" s="69" t="n">
        <f aca="false">IFERROR(E230/C5,0)</f>
        <v>0.035974370995468</v>
      </c>
      <c r="G230" s="85" t="n">
        <f aca="false">IFERROR(SUMPRODUCT((('Loan Tape'!$R$4:$R$303&lt;&gt;"")*('Loan Tape'!$I$4:$I$303&gt;=R230)*('Loan Tape'!$I$4:$I$303&lt;=S230))*'Loan Tape'!$U$4:$U$303*'Loan Tape'!$R$4:$R$303)/E230,"-")</f>
        <v>1.36021987569338</v>
      </c>
      <c r="H230" s="68" t="n">
        <f aca="false">IFERROR(SUMPRODUCT((('Loan Tape'!$R$4:$R$303&lt;&gt;"")*('Loan Tape'!$I$4:$I$303&gt;=R230)*('Loan Tape'!$I$4:$I$303&lt;=S230))*'Loan Tape'!$AH$4:$AH$303*'Loan Tape'!$R$4:$R$303)/E230,"-")</f>
        <v>85.6802780191138</v>
      </c>
      <c r="I230" s="68" t="n">
        <f aca="false">IFERROR(SUMPRODUCT((('Loan Tape'!$R$4:$R$303&lt;&gt;"")*('Loan Tape'!$I$4:$I$303&gt;=R230)*('Loan Tape'!$I$4:$I$303&lt;=S230))*(('Loan Tape'!$H$4:$H$303-$C$4)/30.4375)*'Loan Tape'!$R$4:$R$303)/E230,"-")</f>
        <v>-25.6764180758351</v>
      </c>
      <c r="J230" s="69" t="n">
        <f aca="false">IFERROR(SUMPRODUCT((('Loan Tape'!$R$4:$R$303&lt;&gt;"")*('Loan Tape'!$I$4:$I$303&gt;=R230)*('Loan Tape'!$I$4:$I$303&lt;=S230))*('Loan Tape'!$K$4:$K$303="Floating")*'Loan Tape'!$R$4:$R$303)/E230,"-")</f>
        <v>0.943872663681526</v>
      </c>
      <c r="K230" s="69" t="n">
        <f aca="false">IFERROR(SUMPRODUCT((('Loan Tape'!$R$4:$R$303&lt;&gt;"")*('Loan Tape'!$I$4:$I$303&gt;=R230)*('Loan Tape'!$I$4:$I$303&lt;=S230))*'Loan Tape'!$T$4:$T$303*'Loan Tape'!$R$4:$R$303)/E230,"-")</f>
        <v>0.067761089576511</v>
      </c>
      <c r="L230" s="69" t="n">
        <f aca="false">IFERROR(SUMPRODUCT((('Loan Tape'!$R$4:$R$303&lt;&gt;"")*('Loan Tape'!$I$4:$I$303&gt;=R230)*('Loan Tape'!$I$4:$I$303&lt;=S230))*'Loan Tape'!$V$4:$V$303*'Loan Tape'!$R$4:$R$303)/E230,"-")</f>
        <v>0.671040522176925</v>
      </c>
      <c r="M230" s="69" t="n">
        <f aca="false">IFERROR(SUMPRODUCT((('Loan Tape'!$R$4:$R$303&lt;&gt;"")*('Loan Tape'!$I$4:$I$303&gt;=R230)*('Loan Tape'!$I$4:$I$303&lt;=S230))*'Loan Tape'!$W$4:$W$303*'Loan Tape'!$R$4:$R$303)/E230,"-")</f>
        <v>0.700132370959478</v>
      </c>
      <c r="N230" s="69" t="n">
        <f aca="false">IFERROR(SUMPRODUCT((('Loan Tape'!$R$4:$R$303&lt;&gt;"")*('Loan Tape'!$I$4:$I$303&gt;=R230)*('Loan Tape'!$I$4:$I$303&lt;=S230))*'Loan Tape'!$AI$4:$AI$303*'Loan Tape'!$R$4:$R$303)/E230,"-")</f>
        <v>0.0773863429793491</v>
      </c>
      <c r="O230" s="69" t="n">
        <f aca="false">IFERROR(SUMPRODUCT((('Loan Tape'!$R$4:$R$303&lt;&gt;"")*('Loan Tape'!$I$4:$I$303&gt;=R230)*('Loan Tape'!$I$4:$I$303&lt;=S230))*'Loan Tape'!$AK$4:$AK$303*'Loan Tape'!$R$4:$R$303)/E230,"-")</f>
        <v>0.0909595635901891</v>
      </c>
      <c r="P230" s="69" t="n">
        <f aca="false">IFERROR(SUMPRODUCT((('Loan Tape'!$R$4:$R$303&lt;&gt;"")*('Loan Tape'!$I$4:$I$303&gt;=R230)*('Loan Tape'!$I$4:$I$303&lt;=S230))*'Loan Tape'!$S$4:$S$303*'Loan Tape'!$R$4:$R$303)/E230,"-")</f>
        <v>0.910581189155472</v>
      </c>
      <c r="R230" s="91" t="n">
        <v>-1000000000000</v>
      </c>
      <c r="S230" s="91" t="n">
        <v>59.99</v>
      </c>
    </row>
    <row r="231" customFormat="false" ht="14.25" hidden="false" customHeight="false" outlineLevel="0" collapsed="false">
      <c r="B231" s="7" t="s">
        <v>469</v>
      </c>
      <c r="C231" s="68" t="n">
        <f aca="false">COUNTIFS('Loan Tape'!$I$4:$I$303,"&gt;="&amp;R231,'Loan Tape'!$I$4:$I$303,"&lt;="&amp;S231,'Loan Tape'!$R$4:$R$303,"&lt;&gt;")</f>
        <v>17</v>
      </c>
      <c r="D231" s="68" t="n">
        <f aca="false">SUMPRODUCT((('Loan Tape'!$R$4:$R$303&lt;&gt;"")*('Loan Tape'!$I$4:$I$303&gt;=R231)*('Loan Tape'!$I$4:$I$303&lt;=S231))*'Loan Tape'!$F$4:$F$303)</f>
        <v>2226</v>
      </c>
      <c r="E231" s="84" t="n">
        <f aca="false">SUMIFS('Loan Tape'!$R$4:$R$303,'Loan Tape'!$I$4:$I$303,"&gt;="&amp;R231,'Loan Tape'!$I$4:$I$303,"&lt;="&amp;S231,'Loan Tape'!$R$4:$R$303,"&lt;&gt;")</f>
        <v>1064544000</v>
      </c>
      <c r="F231" s="69" t="n">
        <f aca="false">IFERROR(E231/C5,0)</f>
        <v>0.426566651039225</v>
      </c>
      <c r="G231" s="85" t="n">
        <f aca="false">IFERROR(SUMPRODUCT((('Loan Tape'!$R$4:$R$303&lt;&gt;"")*('Loan Tape'!$I$4:$I$303&gt;=R231)*('Loan Tape'!$I$4:$I$303&lt;=S231))*'Loan Tape'!$U$4:$U$303*'Loan Tape'!$R$4:$R$303)/E231,"-")</f>
        <v>1.28614621847476</v>
      </c>
      <c r="H231" s="68" t="n">
        <f aca="false">IFERROR(SUMPRODUCT((('Loan Tape'!$R$4:$R$303&lt;&gt;"")*('Loan Tape'!$I$4:$I$303&gt;=R231)*('Loan Tape'!$I$4:$I$303&lt;=S231))*'Loan Tape'!$AH$4:$AH$303*'Loan Tape'!$R$4:$R$303)/E231,"-")</f>
        <v>74.4659736939009</v>
      </c>
      <c r="I231" s="68" t="n">
        <f aca="false">IFERROR(SUMPRODUCT((('Loan Tape'!$R$4:$R$303&lt;&gt;"")*('Loan Tape'!$I$4:$I$303&gt;=R231)*('Loan Tape'!$I$4:$I$303&lt;=S231))*(('Loan Tape'!$H$4:$H$303-$C$4)/30.4375)*'Loan Tape'!$R$4:$R$303)/E231,"-")</f>
        <v>-3.21212164980385</v>
      </c>
      <c r="J231" s="69" t="n">
        <f aca="false">IFERROR(SUMPRODUCT((('Loan Tape'!$R$4:$R$303&lt;&gt;"")*('Loan Tape'!$I$4:$I$303&gt;=R231)*('Loan Tape'!$I$4:$I$303&lt;=S231))*('Loan Tape'!$K$4:$K$303="Floating")*'Loan Tape'!$R$4:$R$303)/E231,"-")</f>
        <v>0.40887271921123</v>
      </c>
      <c r="K231" s="69" t="n">
        <f aca="false">IFERROR(SUMPRODUCT((('Loan Tape'!$R$4:$R$303&lt;&gt;"")*('Loan Tape'!$I$4:$I$303&gt;=R231)*('Loan Tape'!$I$4:$I$303&lt;=S231))*'Loan Tape'!$T$4:$T$303*'Loan Tape'!$R$4:$R$303)/E231,"-")</f>
        <v>0.0886410759912225</v>
      </c>
      <c r="L231" s="69" t="n">
        <f aca="false">IFERROR(SUMPRODUCT((('Loan Tape'!$R$4:$R$303&lt;&gt;"")*('Loan Tape'!$I$4:$I$303&gt;=R231)*('Loan Tape'!$I$4:$I$303&lt;=S231))*'Loan Tape'!$V$4:$V$303*'Loan Tape'!$R$4:$R$303)/E231,"-")</f>
        <v>0.724305109041994</v>
      </c>
      <c r="M231" s="69" t="n">
        <f aca="false">IFERROR(SUMPRODUCT((('Loan Tape'!$R$4:$R$303&lt;&gt;"")*('Loan Tape'!$I$4:$I$303&gt;=R231)*('Loan Tape'!$I$4:$I$303&lt;=S231))*'Loan Tape'!$W$4:$W$303*'Loan Tape'!$R$4:$R$303)/E231,"-")</f>
        <v>0.763026363400667</v>
      </c>
      <c r="N231" s="69" t="n">
        <f aca="false">IFERROR(SUMPRODUCT((('Loan Tape'!$R$4:$R$303&lt;&gt;"")*('Loan Tape'!$I$4:$I$303&gt;=R231)*('Loan Tape'!$I$4:$I$303&lt;=S231))*'Loan Tape'!$AI$4:$AI$303*'Loan Tape'!$R$4:$R$303)/E231,"-")</f>
        <v>0.0671989739268645</v>
      </c>
      <c r="O231" s="69" t="n">
        <f aca="false">IFERROR(SUMPRODUCT((('Loan Tape'!$R$4:$R$303&lt;&gt;"")*('Loan Tape'!$I$4:$I$303&gt;=R231)*('Loan Tape'!$I$4:$I$303&lt;=S231))*'Loan Tape'!$AK$4:$AK$303*'Loan Tape'!$R$4:$R$303)/E231,"-")</f>
        <v>0.0708662593561187</v>
      </c>
      <c r="P231" s="69" t="n">
        <f aca="false">IFERROR(SUMPRODUCT((('Loan Tape'!$R$4:$R$303&lt;&gt;"")*('Loan Tape'!$I$4:$I$303&gt;=R231)*('Loan Tape'!$I$4:$I$303&lt;=S231))*'Loan Tape'!$S$4:$S$303*'Loan Tape'!$R$4:$R$303)/E231,"-")</f>
        <v>0.889241029022755</v>
      </c>
      <c r="R231" s="91" t="n">
        <v>60</v>
      </c>
      <c r="S231" s="91" t="n">
        <v>84</v>
      </c>
    </row>
    <row r="232" customFormat="false" ht="14.25" hidden="false" customHeight="false" outlineLevel="0" collapsed="false">
      <c r="B232" s="7" t="s">
        <v>470</v>
      </c>
      <c r="C232" s="68" t="n">
        <f aca="false">COUNTIFS('Loan Tape'!$I$4:$I$303,"&gt;="&amp;R232,'Loan Tape'!$I$4:$I$303,"&lt;="&amp;S232,'Loan Tape'!$R$4:$R$303,"&lt;&gt;")</f>
        <v>26</v>
      </c>
      <c r="D232" s="68" t="n">
        <f aca="false">SUMPRODUCT((('Loan Tape'!$R$4:$R$303&lt;&gt;"")*('Loan Tape'!$I$4:$I$303&gt;=R232)*('Loan Tape'!$I$4:$I$303&lt;=S232))*'Loan Tape'!$F$4:$F$303)</f>
        <v>1178</v>
      </c>
      <c r="E232" s="84" t="n">
        <f aca="false">SUMIFS('Loan Tape'!$R$4:$R$303,'Loan Tape'!$I$4:$I$303,"&gt;="&amp;R232,'Loan Tape'!$I$4:$I$303,"&lt;="&amp;S232,'Loan Tape'!$R$4:$R$303,"&lt;&gt;")</f>
        <v>1235094000</v>
      </c>
      <c r="F232" s="69" t="n">
        <f aca="false">IFERROR(E232/C5,0)</f>
        <v>0.494906656088091</v>
      </c>
      <c r="G232" s="85" t="n">
        <f aca="false">IFERROR(SUMPRODUCT((('Loan Tape'!$R$4:$R$303&lt;&gt;"")*('Loan Tape'!$I$4:$I$303&gt;=R232)*('Loan Tape'!$I$4:$I$303&lt;=S232))*'Loan Tape'!$U$4:$U$303*'Loan Tape'!$R$4:$R$303)/E232,"-")</f>
        <v>1.40653277402368</v>
      </c>
      <c r="H232" s="68" t="n">
        <f aca="false">IFERROR(SUMPRODUCT((('Loan Tape'!$R$4:$R$303&lt;&gt;"")*('Loan Tape'!$I$4:$I$303&gt;=R232)*('Loan Tape'!$I$4:$I$303&lt;=S232))*'Loan Tape'!$AH$4:$AH$303*'Loan Tape'!$R$4:$R$303)/E232,"-")</f>
        <v>77.087334324351</v>
      </c>
      <c r="I232" s="68" t="n">
        <f aca="false">IFERROR(SUMPRODUCT((('Loan Tape'!$R$4:$R$303&lt;&gt;"")*('Loan Tape'!$I$4:$I$303&gt;=R232)*('Loan Tape'!$I$4:$I$303&lt;=S232))*(('Loan Tape'!$H$4:$H$303-$C$4)/30.4375)*'Loan Tape'!$R$4:$R$303)/E232,"-")</f>
        <v>37.1397977177299</v>
      </c>
      <c r="J232" s="69" t="n">
        <f aca="false">IFERROR(SUMPRODUCT((('Loan Tape'!$R$4:$R$303&lt;&gt;"")*('Loan Tape'!$I$4:$I$303&gt;=R232)*('Loan Tape'!$I$4:$I$303&lt;=S232))*('Loan Tape'!$K$4:$K$303="Floating")*'Loan Tape'!$R$4:$R$303)/E232,"-")</f>
        <v>0.841318150683268</v>
      </c>
      <c r="K232" s="69" t="n">
        <f aca="false">IFERROR(SUMPRODUCT((('Loan Tape'!$R$4:$R$303&lt;&gt;"")*('Loan Tape'!$I$4:$I$303&gt;=R232)*('Loan Tape'!$I$4:$I$303&lt;=S232))*'Loan Tape'!$T$4:$T$303*'Loan Tape'!$R$4:$R$303)/E232,"-")</f>
        <v>0.0864413020385493</v>
      </c>
      <c r="L232" s="69" t="n">
        <f aca="false">IFERROR(SUMPRODUCT((('Loan Tape'!$R$4:$R$303&lt;&gt;"")*('Loan Tape'!$I$4:$I$303&gt;=R232)*('Loan Tape'!$I$4:$I$303&lt;=S232))*'Loan Tape'!$V$4:$V$303*'Loan Tape'!$R$4:$R$303)/E232,"-")</f>
        <v>0.665011070412454</v>
      </c>
      <c r="M232" s="69" t="n">
        <f aca="false">IFERROR(SUMPRODUCT((('Loan Tape'!$R$4:$R$303&lt;&gt;"")*('Loan Tape'!$I$4:$I$303&gt;=R232)*('Loan Tape'!$I$4:$I$303&lt;=S232))*'Loan Tape'!$W$4:$W$303*'Loan Tape'!$R$4:$R$303)/E232,"-")</f>
        <v>0.694139368339576</v>
      </c>
      <c r="N232" s="69" t="n">
        <f aca="false">IFERROR(SUMPRODUCT((('Loan Tape'!$R$4:$R$303&lt;&gt;"")*('Loan Tape'!$I$4:$I$303&gt;=R232)*('Loan Tape'!$I$4:$I$303&lt;=S232))*'Loan Tape'!$AI$4:$AI$303*'Loan Tape'!$R$4:$R$303)/E232,"-")</f>
        <v>0.0723407072660057</v>
      </c>
      <c r="O232" s="69" t="n">
        <f aca="false">IFERROR(SUMPRODUCT((('Loan Tape'!$R$4:$R$303&lt;&gt;"")*('Loan Tape'!$I$4:$I$303&gt;=R232)*('Loan Tape'!$I$4:$I$303&lt;=S232))*'Loan Tape'!$AK$4:$AK$303*'Loan Tape'!$R$4:$R$303)/E232,"-")</f>
        <v>0.0846747103459332</v>
      </c>
      <c r="P232" s="69" t="n">
        <f aca="false">IFERROR(SUMPRODUCT((('Loan Tape'!$R$4:$R$303&lt;&gt;"")*('Loan Tape'!$I$4:$I$303&gt;=R232)*('Loan Tape'!$I$4:$I$303&lt;=S232))*'Loan Tape'!$S$4:$S$303*'Loan Tape'!$R$4:$R$303)/E232,"-")</f>
        <v>0.883891750749336</v>
      </c>
      <c r="R232" s="91" t="n">
        <v>85</v>
      </c>
      <c r="S232" s="91" t="n">
        <v>120</v>
      </c>
    </row>
    <row r="233" customFormat="false" ht="14.25" hidden="false" customHeight="false" outlineLevel="0" collapsed="false">
      <c r="B233" s="7" t="s">
        <v>471</v>
      </c>
      <c r="C233" s="68" t="n">
        <f aca="false">COUNTIFS('Loan Tape'!$I$4:$I$303,"&gt;="&amp;R233,'Loan Tape'!$I$4:$I$303,"&lt;="&amp;S233,'Loan Tape'!$R$4:$R$303,"&lt;&gt;")</f>
        <v>3</v>
      </c>
      <c r="D233" s="68" t="n">
        <f aca="false">SUMPRODUCT((('Loan Tape'!$R$4:$R$303&lt;&gt;"")*('Loan Tape'!$I$4:$I$303&gt;=R233)*('Loan Tape'!$I$4:$I$303&lt;=S233))*'Loan Tape'!$F$4:$F$303)</f>
        <v>425</v>
      </c>
      <c r="E233" s="84" t="n">
        <f aca="false">SUMIFS('Loan Tape'!$R$4:$R$303,'Loan Tape'!$I$4:$I$303,"&gt;="&amp;R233,'Loan Tape'!$I$4:$I$303,"&lt;="&amp;S233,'Loan Tape'!$R$4:$R$303,"&lt;&gt;")</f>
        <v>106194000</v>
      </c>
      <c r="F233" s="69" t="n">
        <f aca="false">IFERROR(E233/C5,0)</f>
        <v>0.0425523218772164</v>
      </c>
      <c r="G233" s="85" t="n">
        <f aca="false">IFERROR(SUMPRODUCT((('Loan Tape'!$R$4:$R$303&lt;&gt;"")*('Loan Tape'!$I$4:$I$303&gt;=R233)*('Loan Tape'!$I$4:$I$303&lt;=S233))*'Loan Tape'!$U$4:$U$303*'Loan Tape'!$R$4:$R$303)/E233,"-")</f>
        <v>1.69431107218864</v>
      </c>
      <c r="H233" s="68" t="n">
        <f aca="false">IFERROR(SUMPRODUCT((('Loan Tape'!$R$4:$R$303&lt;&gt;"")*('Loan Tape'!$I$4:$I$303&gt;=R233)*('Loan Tape'!$I$4:$I$303&lt;=S233))*'Loan Tape'!$AH$4:$AH$303*'Loan Tape'!$R$4:$R$303)/E233,"-")</f>
        <v>82.6442454375953</v>
      </c>
      <c r="I233" s="68" t="n">
        <f aca="false">IFERROR(SUMPRODUCT((('Loan Tape'!$R$4:$R$303&lt;&gt;"")*('Loan Tape'!$I$4:$I$303&gt;=R233)*('Loan Tape'!$I$4:$I$303&lt;=S233))*(('Loan Tape'!$H$4:$H$303-$C$4)/30.4375)*'Loan Tape'!$R$4:$R$303)/E233,"-")</f>
        <v>37.3760589033151</v>
      </c>
      <c r="J233" s="69" t="n">
        <f aca="false">IFERROR(SUMPRODUCT((('Loan Tape'!$R$4:$R$303&lt;&gt;"")*('Loan Tape'!$I$4:$I$303&gt;=R233)*('Loan Tape'!$I$4:$I$303&lt;=S233))*('Loan Tape'!$K$4:$K$303="Floating")*'Loan Tape'!$R$4:$R$303)/E233,"-")</f>
        <v>0.933838069947455</v>
      </c>
      <c r="K233" s="69" t="n">
        <f aca="false">IFERROR(SUMPRODUCT((('Loan Tape'!$R$4:$R$303&lt;&gt;"")*('Loan Tape'!$I$4:$I$303&gt;=R233)*('Loan Tape'!$I$4:$I$303&lt;=S233))*'Loan Tape'!$T$4:$T$303*'Loan Tape'!$R$4:$R$303)/E233,"-")</f>
        <v>0.0734317532063958</v>
      </c>
      <c r="L233" s="69" t="n">
        <f aca="false">IFERROR(SUMPRODUCT((('Loan Tape'!$R$4:$R$303&lt;&gt;"")*('Loan Tape'!$I$4:$I$303&gt;=R233)*('Loan Tape'!$I$4:$I$303&lt;=S233))*'Loan Tape'!$V$4:$V$303*'Loan Tape'!$R$4:$R$303)/E233,"-")</f>
        <v>0.501410616419007</v>
      </c>
      <c r="M233" s="69" t="n">
        <f aca="false">IFERROR(SUMPRODUCT((('Loan Tape'!$R$4:$R$303&lt;&gt;"")*('Loan Tape'!$I$4:$I$303&gt;=R233)*('Loan Tape'!$I$4:$I$303&lt;=S233))*'Loan Tape'!$W$4:$W$303*'Loan Tape'!$R$4:$R$303)/E233,"-")</f>
        <v>0.516113867073469</v>
      </c>
      <c r="N233" s="69" t="n">
        <f aca="false">IFERROR(SUMPRODUCT((('Loan Tape'!$R$4:$R$303&lt;&gt;"")*('Loan Tape'!$I$4:$I$303&gt;=R233)*('Loan Tape'!$I$4:$I$303&lt;=S233))*'Loan Tape'!$AI$4:$AI$303*'Loan Tape'!$R$4:$R$303)/E233,"-")</f>
        <v>0.0753610693636175</v>
      </c>
      <c r="O233" s="69" t="n">
        <f aca="false">IFERROR(SUMPRODUCT((('Loan Tape'!$R$4:$R$303&lt;&gt;"")*('Loan Tape'!$I$4:$I$303&gt;=R233)*('Loan Tape'!$I$4:$I$303&lt;=S233))*'Loan Tape'!$AK$4:$AK$303*'Loan Tape'!$R$4:$R$303)/E233,"-")</f>
        <v>0.0893686404128294</v>
      </c>
      <c r="P233" s="69" t="n">
        <f aca="false">IFERROR(SUMPRODUCT((('Loan Tape'!$R$4:$R$303&lt;&gt;"")*('Loan Tape'!$I$4:$I$303&gt;=R233)*('Loan Tape'!$I$4:$I$303&lt;=S233))*'Loan Tape'!$S$4:$S$303*'Loan Tape'!$R$4:$R$303)/E233,"-")</f>
        <v>0.873397188165056</v>
      </c>
      <c r="R233" s="91" t="n">
        <v>120.01</v>
      </c>
      <c r="S233" s="91" t="n">
        <v>1000000000000</v>
      </c>
    </row>
    <row r="234" customFormat="false" ht="14.25" hidden="false" customHeight="false" outlineLevel="0" collapsed="false">
      <c r="B234" s="86" t="s">
        <v>405</v>
      </c>
      <c r="C234" s="92" t="n">
        <f aca="false">SUM(C230:C233)</f>
        <v>50</v>
      </c>
      <c r="D234" s="92" t="n">
        <f aca="false">SUM(D230:D233)</f>
        <v>4739</v>
      </c>
      <c r="E234" s="88" t="n">
        <f aca="false">SUM(E230:E233)</f>
        <v>2495610000</v>
      </c>
      <c r="F234" s="89" t="n">
        <f aca="false">SUM(F230:F233)</f>
        <v>1</v>
      </c>
      <c r="G234" s="90" t="n">
        <f aca="false">IFERROR(SUMPRODUCT((('Loan Tape'!$R$4:$R$303&lt;&gt;""))*'Loan Tape'!$U$4:$U$303*'Loan Tape'!$R$4:$R$303)/E234,"-")</f>
        <v>1.36575944157941</v>
      </c>
      <c r="H234" s="92" t="n">
        <f aca="false">IFERROR(SUMPRODUCT((('Loan Tape'!$R$4:$R$303&lt;&gt;""))*'Loan Tape'!$AH$4:$AH$303*'Loan Tape'!$R$4:$R$303)/E234,"-")</f>
        <v>76.5147345138063</v>
      </c>
      <c r="I234" s="92" t="n">
        <f aca="false">IFERROR(SUMPRODUCT((('Loan Tape'!$R$4:$R$303&lt;&gt;""))*(('Loan Tape'!$H$4:$H$303-$C$4)/30.4375)*'Loan Tape'!$R$4:$R$303)/E234,"-")</f>
        <v>17.6772942206432</v>
      </c>
      <c r="J234" s="89" t="n">
        <f aca="false">IFERROR(SUMPRODUCT((('Loan Tape'!$R$4:$R$303&lt;&gt;""))*('Loan Tape'!$K$4:$K$303="Floating")*'Loan Tape'!$R$4:$R$303)/E234,"-")</f>
        <v>0.664477622705471</v>
      </c>
      <c r="K234" s="89" t="n">
        <f aca="false">IFERROR(SUMPRODUCT((('Loan Tape'!$R$4:$R$303&lt;&gt;""))*'Loan Tape'!$T$4:$T$303*'Loan Tape'!$R$4:$R$303)/E234,"-")</f>
        <v>0.0861540568438177</v>
      </c>
      <c r="L234" s="89" t="n">
        <f aca="false">IFERROR(SUMPRODUCT((('Loan Tape'!$R$4:$R$303&lt;&gt;""))*'Loan Tape'!$V$4:$V$303*'Loan Tape'!$R$4:$R$303)/E234,"-")</f>
        <v>0.683559256454334</v>
      </c>
      <c r="M234" s="89" t="n">
        <f aca="false">IFERROR(SUMPRODUCT((('Loan Tape'!$R$4:$R$303&lt;&gt;""))*'Loan Tape'!$W$4:$W$303*'Loan Tape'!$R$4:$R$303)/E234,"-")</f>
        <v>0.716164459190338</v>
      </c>
      <c r="N234" s="89" t="n">
        <f aca="false">IFERROR(SUMPRODUCT((('Loan Tape'!$R$4:$R$303&lt;&gt;""))*'Loan Tape'!$AI$4:$AI$303*'Loan Tape'!$R$4:$R$303)/E234,"-")</f>
        <v>0.0704574522862146</v>
      </c>
      <c r="O234" s="89" t="n">
        <f aca="false">IFERROR(SUMPRODUCT((('Loan Tape'!$R$4:$R$303&lt;&gt;""))*'Loan Tape'!$AK$4:$AK$303*'Loan Tape'!$R$4:$R$303)/E234,"-")</f>
        <v>0.0792103169165054</v>
      </c>
      <c r="P234" s="89" t="n">
        <f aca="false">IFERROR(SUMPRODUCT((('Loan Tape'!$R$4:$R$303&lt;&gt;""))*'Loan Tape'!$S$4:$S$303*'Loan Tape'!$R$4:$R$303)/E234,"-")</f>
        <v>0.886687142221741</v>
      </c>
    </row>
    <row r="236" customFormat="false" ht="19.5" hidden="false" customHeight="true" outlineLevel="0" collapsed="false">
      <c r="B236" s="5" t="s">
        <v>472</v>
      </c>
      <c r="C236" s="5"/>
      <c r="D236" s="5"/>
      <c r="E236" s="5"/>
      <c r="F236" s="5"/>
      <c r="G236" s="5"/>
      <c r="H236" s="5"/>
      <c r="I236" s="5"/>
      <c r="J236" s="5"/>
      <c r="K236" s="5"/>
      <c r="L236" s="5"/>
      <c r="M236" s="5"/>
      <c r="N236" s="5"/>
      <c r="O236" s="5"/>
      <c r="P236" s="5"/>
    </row>
    <row r="237" customFormat="false" ht="42" hidden="false" customHeight="true" outlineLevel="0" collapsed="false">
      <c r="B237" s="82" t="s">
        <v>423</v>
      </c>
      <c r="C237" s="83" t="s">
        <v>368</v>
      </c>
      <c r="D237" s="83" t="s">
        <v>153</v>
      </c>
      <c r="E237" s="83" t="s">
        <v>393</v>
      </c>
      <c r="F237" s="83" t="s">
        <v>394</v>
      </c>
      <c r="G237" s="83" t="s">
        <v>395</v>
      </c>
      <c r="H237" s="83" t="s">
        <v>396</v>
      </c>
      <c r="I237" s="83" t="s">
        <v>397</v>
      </c>
      <c r="J237" s="83" t="s">
        <v>398</v>
      </c>
      <c r="K237" s="83" t="s">
        <v>399</v>
      </c>
      <c r="L237" s="83" t="s">
        <v>400</v>
      </c>
      <c r="M237" s="83" t="s">
        <v>401</v>
      </c>
      <c r="N237" s="83" t="s">
        <v>402</v>
      </c>
      <c r="O237" s="83" t="s">
        <v>403</v>
      </c>
      <c r="P237" s="83" t="s">
        <v>365</v>
      </c>
    </row>
    <row r="238" customFormat="false" ht="14.25" hidden="false" customHeight="false" outlineLevel="0" collapsed="false">
      <c r="B238" s="7" t="s">
        <v>473</v>
      </c>
      <c r="C238" s="68" t="n">
        <f aca="false">COUNTIFS('Loan Tape'!$AH$4:$AH$303,"&gt;="&amp;R238,'Loan Tape'!$AH$4:$AH$303,"&lt;="&amp;S238,'Loan Tape'!$R$4:$R$303,"&lt;&gt;")</f>
        <v>0</v>
      </c>
      <c r="D238" s="68" t="n">
        <f aca="false">SUMPRODUCT((('Loan Tape'!$R$4:$R$303&lt;&gt;"")*('Loan Tape'!$AH$4:$AH$303&gt;=R238)*('Loan Tape'!$AH$4:$AH$303&lt;=S238))*'Loan Tape'!$F$4:$F$303)</f>
        <v>0</v>
      </c>
      <c r="E238" s="84" t="n">
        <f aca="false">SUMIFS('Loan Tape'!$R$4:$R$303,'Loan Tape'!$AH$4:$AH$303,"&gt;="&amp;R238,'Loan Tape'!$AH$4:$AH$303,"&lt;="&amp;S238,'Loan Tape'!$R$4:$R$303,"&lt;&gt;")</f>
        <v>0</v>
      </c>
      <c r="F238" s="69" t="n">
        <f aca="false">IFERROR(E238/C5,0)</f>
        <v>0</v>
      </c>
      <c r="G238" s="85" t="str">
        <f aca="false">IFERROR(SUMPRODUCT((('Loan Tape'!$R$4:$R$303&lt;&gt;"")*('Loan Tape'!$AH$4:$AH$303&gt;=R238)*('Loan Tape'!$AH$4:$AH$303&lt;=S238))*'Loan Tape'!$U$4:$U$303*'Loan Tape'!$R$4:$R$303)/E238,"-")</f>
        <v>-</v>
      </c>
      <c r="H238" s="68" t="str">
        <f aca="false">IFERROR(SUMPRODUCT((('Loan Tape'!$R$4:$R$303&lt;&gt;"")*('Loan Tape'!$AH$4:$AH$303&gt;=R238)*('Loan Tape'!$AH$4:$AH$303&lt;=S238))*'Loan Tape'!$AH$4:$AH$303*'Loan Tape'!$R$4:$R$303)/E238,"-")</f>
        <v>-</v>
      </c>
      <c r="I238" s="68" t="str">
        <f aca="false">IFERROR(SUMPRODUCT((('Loan Tape'!$R$4:$R$303&lt;&gt;"")*('Loan Tape'!$AH$4:$AH$303&gt;=R238)*('Loan Tape'!$AH$4:$AH$303&lt;=S238))*(('Loan Tape'!$H$4:$H$303-$C$4)/30.4375)*'Loan Tape'!$R$4:$R$303)/E238,"-")</f>
        <v>-</v>
      </c>
      <c r="J238" s="69" t="str">
        <f aca="false">IFERROR(SUMPRODUCT((('Loan Tape'!$R$4:$R$303&lt;&gt;"")*('Loan Tape'!$AH$4:$AH$303&gt;=R238)*('Loan Tape'!$AH$4:$AH$303&lt;=S238))*('Loan Tape'!$K$4:$K$303="Floating")*'Loan Tape'!$R$4:$R$303)/E238,"-")</f>
        <v>-</v>
      </c>
      <c r="K238" s="69" t="str">
        <f aca="false">IFERROR(SUMPRODUCT((('Loan Tape'!$R$4:$R$303&lt;&gt;"")*('Loan Tape'!$AH$4:$AH$303&gt;=R238)*('Loan Tape'!$AH$4:$AH$303&lt;=S238))*'Loan Tape'!$T$4:$T$303*'Loan Tape'!$R$4:$R$303)/E238,"-")</f>
        <v>-</v>
      </c>
      <c r="L238" s="69" t="str">
        <f aca="false">IFERROR(SUMPRODUCT((('Loan Tape'!$R$4:$R$303&lt;&gt;"")*('Loan Tape'!$AH$4:$AH$303&gt;=R238)*('Loan Tape'!$AH$4:$AH$303&lt;=S238))*'Loan Tape'!$V$4:$V$303*'Loan Tape'!$R$4:$R$303)/E238,"-")</f>
        <v>-</v>
      </c>
      <c r="M238" s="69" t="str">
        <f aca="false">IFERROR(SUMPRODUCT((('Loan Tape'!$R$4:$R$303&lt;&gt;"")*('Loan Tape'!$AH$4:$AH$303&gt;=R238)*('Loan Tape'!$AH$4:$AH$303&lt;=S238))*'Loan Tape'!$W$4:$W$303*'Loan Tape'!$R$4:$R$303)/E238,"-")</f>
        <v>-</v>
      </c>
      <c r="N238" s="69" t="str">
        <f aca="false">IFERROR(SUMPRODUCT((('Loan Tape'!$R$4:$R$303&lt;&gt;"")*('Loan Tape'!$AH$4:$AH$303&gt;=R238)*('Loan Tape'!$AH$4:$AH$303&lt;=S238))*'Loan Tape'!$AI$4:$AI$303*'Loan Tape'!$R$4:$R$303)/E238,"-")</f>
        <v>-</v>
      </c>
      <c r="O238" s="69" t="str">
        <f aca="false">IFERROR(SUMPRODUCT((('Loan Tape'!$R$4:$R$303&lt;&gt;"")*('Loan Tape'!$AH$4:$AH$303&gt;=R238)*('Loan Tape'!$AH$4:$AH$303&lt;=S238))*'Loan Tape'!$AK$4:$AK$303*'Loan Tape'!$R$4:$R$303)/E238,"-")</f>
        <v>-</v>
      </c>
      <c r="P238" s="69" t="str">
        <f aca="false">IFERROR(SUMPRODUCT((('Loan Tape'!$R$4:$R$303&lt;&gt;"")*('Loan Tape'!$AH$4:$AH$303&gt;=R238)*('Loan Tape'!$AH$4:$AH$303&lt;=S238))*'Loan Tape'!$S$4:$S$303*'Loan Tape'!$R$4:$R$303)/E238,"-")</f>
        <v>-</v>
      </c>
      <c r="R238" s="91" t="n">
        <v>-1000000000000</v>
      </c>
      <c r="S238" s="91" t="n">
        <v>11.99</v>
      </c>
    </row>
    <row r="239" customFormat="false" ht="14.25" hidden="false" customHeight="false" outlineLevel="0" collapsed="false">
      <c r="B239" s="7" t="s">
        <v>474</v>
      </c>
      <c r="C239" s="68" t="n">
        <f aca="false">COUNTIFS('Loan Tape'!$AH$4:$AH$303,"&gt;="&amp;R239,'Loan Tape'!$AH$4:$AH$303,"&lt;="&amp;S239,'Loan Tape'!$R$4:$R$303,"&lt;&gt;")</f>
        <v>2</v>
      </c>
      <c r="D239" s="68" t="n">
        <f aca="false">SUMPRODUCT((('Loan Tape'!$R$4:$R$303&lt;&gt;"")*('Loan Tape'!$AH$4:$AH$303&gt;=R239)*('Loan Tape'!$AH$4:$AH$303&lt;=S239))*'Loan Tape'!$F$4:$F$303)</f>
        <v>0</v>
      </c>
      <c r="E239" s="84" t="n">
        <f aca="false">SUMIFS('Loan Tape'!$R$4:$R$303,'Loan Tape'!$AH$4:$AH$303,"&gt;="&amp;R239,'Loan Tape'!$AH$4:$AH$303,"&lt;="&amp;S239,'Loan Tape'!$R$4:$R$303,"&lt;&gt;")</f>
        <v>137155000</v>
      </c>
      <c r="F239" s="69" t="n">
        <f aca="false">IFERROR(E239/C5,0)</f>
        <v>0.0549585071385353</v>
      </c>
      <c r="G239" s="85" t="n">
        <f aca="false">IFERROR(SUMPRODUCT((('Loan Tape'!$R$4:$R$303&lt;&gt;"")*('Loan Tape'!$AH$4:$AH$303&gt;=R239)*('Loan Tape'!$AH$4:$AH$303&lt;=S239))*'Loan Tape'!$U$4:$U$303*'Loan Tape'!$R$4:$R$303)/E239,"-")</f>
        <v>1.65985797090883</v>
      </c>
      <c r="H239" s="68" t="n">
        <f aca="false">IFERROR(SUMPRODUCT((('Loan Tape'!$R$4:$R$303&lt;&gt;"")*('Loan Tape'!$AH$4:$AH$303&gt;=R239)*('Loan Tape'!$AH$4:$AH$303&lt;=S239))*'Loan Tape'!$AH$4:$AH$303*'Loan Tape'!$R$4:$R$303)/E239,"-")</f>
        <v>23.9569399584412</v>
      </c>
      <c r="I239" s="68" t="n">
        <f aca="false">IFERROR(SUMPRODUCT((('Loan Tape'!$R$4:$R$303&lt;&gt;"")*('Loan Tape'!$AH$4:$AH$303&gt;=R239)*('Loan Tape'!$AH$4:$AH$303&lt;=S239))*(('Loan Tape'!$H$4:$H$303-$C$4)/30.4375)*'Loan Tape'!$R$4:$R$303)/E239,"-")</f>
        <v>61.4740688246941</v>
      </c>
      <c r="J239" s="69" t="n">
        <f aca="false">IFERROR(SUMPRODUCT((('Loan Tape'!$R$4:$R$303&lt;&gt;"")*('Loan Tape'!$AH$4:$AH$303&gt;=R239)*('Loan Tape'!$AH$4:$AH$303&lt;=S239))*('Loan Tape'!$K$4:$K$303="Floating")*'Loan Tape'!$R$4:$R$303)/E239,"-")</f>
        <v>1</v>
      </c>
      <c r="K239" s="69" t="n">
        <f aca="false">IFERROR(SUMPRODUCT((('Loan Tape'!$R$4:$R$303&lt;&gt;"")*('Loan Tape'!$AH$4:$AH$303&gt;=R239)*('Loan Tape'!$AH$4:$AH$303&lt;=S239))*'Loan Tape'!$T$4:$T$303*'Loan Tape'!$R$4:$R$303)/E239,"-")</f>
        <v>0.10449003463235</v>
      </c>
      <c r="L239" s="69" t="n">
        <f aca="false">IFERROR(SUMPRODUCT((('Loan Tape'!$R$4:$R$303&lt;&gt;"")*('Loan Tape'!$AH$4:$AH$303&gt;=R239)*('Loan Tape'!$AH$4:$AH$303&lt;=S239))*'Loan Tape'!$V$4:$V$303*'Loan Tape'!$R$4:$R$303)/E239,"-")</f>
        <v>0.780665473369545</v>
      </c>
      <c r="M239" s="69" t="n">
        <f aca="false">IFERROR(SUMPRODUCT((('Loan Tape'!$R$4:$R$303&lt;&gt;"")*('Loan Tape'!$AH$4:$AH$303&gt;=R239)*('Loan Tape'!$AH$4:$AH$303&lt;=S239))*'Loan Tape'!$W$4:$W$303*'Loan Tape'!$R$4:$R$303)/E239,"-")</f>
        <v>0.791782909846524</v>
      </c>
      <c r="N239" s="69" t="n">
        <f aca="false">IFERROR(SUMPRODUCT((('Loan Tape'!$R$4:$R$303&lt;&gt;"")*('Loan Tape'!$AH$4:$AH$303&gt;=R239)*('Loan Tape'!$AH$4:$AH$303&lt;=S239))*'Loan Tape'!$AI$4:$AI$303*'Loan Tape'!$R$4:$R$303)/E239,"-")</f>
        <v>0.0759395034814626</v>
      </c>
      <c r="O239" s="69" t="n">
        <f aca="false">IFERROR(SUMPRODUCT((('Loan Tape'!$R$4:$R$303&lt;&gt;"")*('Loan Tape'!$AH$4:$AH$303&gt;=R239)*('Loan Tape'!$AH$4:$AH$303&lt;=S239))*'Loan Tape'!$AK$4:$AK$303*'Loan Tape'!$R$4:$R$303)/E239,"-")</f>
        <v>0.0909395034814626</v>
      </c>
      <c r="P239" s="69" t="n">
        <f aca="false">IFERROR(SUMPRODUCT((('Loan Tape'!$R$4:$R$303&lt;&gt;"")*('Loan Tape'!$AH$4:$AH$303&gt;=R239)*('Loan Tape'!$AH$4:$AH$303&lt;=S239))*'Loan Tape'!$S$4:$S$303*'Loan Tape'!$R$4:$R$303)/E239,"-")</f>
        <v>0.946106813459225</v>
      </c>
      <c r="R239" s="91" t="n">
        <v>12</v>
      </c>
      <c r="S239" s="91" t="n">
        <v>24</v>
      </c>
    </row>
    <row r="240" customFormat="false" ht="14.25" hidden="false" customHeight="false" outlineLevel="0" collapsed="false">
      <c r="B240" s="7" t="s">
        <v>475</v>
      </c>
      <c r="C240" s="68" t="n">
        <f aca="false">COUNTIFS('Loan Tape'!$AH$4:$AH$303,"&gt;="&amp;R240,'Loan Tape'!$AH$4:$AH$303,"&lt;="&amp;S240,'Loan Tape'!$R$4:$R$303,"&lt;&gt;")</f>
        <v>4</v>
      </c>
      <c r="D240" s="68" t="n">
        <f aca="false">SUMPRODUCT((('Loan Tape'!$R$4:$R$303&lt;&gt;"")*('Loan Tape'!$AH$4:$AH$303&gt;=R240)*('Loan Tape'!$AH$4:$AH$303&lt;=S240))*'Loan Tape'!$F$4:$F$303)</f>
        <v>323</v>
      </c>
      <c r="E240" s="84" t="n">
        <f aca="false">SUMIFS('Loan Tape'!$R$4:$R$303,'Loan Tape'!$AH$4:$AH$303,"&gt;="&amp;R240,'Loan Tape'!$AH$4:$AH$303,"&lt;="&amp;S240,'Loan Tape'!$R$4:$R$303,"&lt;&gt;")</f>
        <v>204283000</v>
      </c>
      <c r="F240" s="69" t="n">
        <f aca="false">IFERROR(E240/C5,0)</f>
        <v>0.0818569407880238</v>
      </c>
      <c r="G240" s="85" t="n">
        <f aca="false">IFERROR(SUMPRODUCT((('Loan Tape'!$R$4:$R$303&lt;&gt;"")*('Loan Tape'!$AH$4:$AH$303&gt;=R240)*('Loan Tape'!$AH$4:$AH$303&lt;=S240))*'Loan Tape'!$U$4:$U$303*'Loan Tape'!$R$4:$R$303)/E240,"-")</f>
        <v>1.93225882721519</v>
      </c>
      <c r="H240" s="68" t="n">
        <f aca="false">IFERROR(SUMPRODUCT((('Loan Tape'!$R$4:$R$303&lt;&gt;"")*('Loan Tape'!$AH$4:$AH$303&gt;=R240)*('Loan Tape'!$AH$4:$AH$303&lt;=S240))*'Loan Tape'!$AH$4:$AH$303*'Loan Tape'!$R$4:$R$303)/E240,"-")</f>
        <v>32.5308420181807</v>
      </c>
      <c r="I240" s="68" t="n">
        <f aca="false">IFERROR(SUMPRODUCT((('Loan Tape'!$R$4:$R$303&lt;&gt;"")*('Loan Tape'!$AH$4:$AH$303&gt;=R240)*('Loan Tape'!$AH$4:$AH$303&lt;=S240))*(('Loan Tape'!$H$4:$H$303-$C$4)/30.4375)*'Loan Tape'!$R$4:$R$303)/E240,"-")</f>
        <v>63.4218323031178</v>
      </c>
      <c r="J240" s="69" t="n">
        <f aca="false">IFERROR(SUMPRODUCT((('Loan Tape'!$R$4:$R$303&lt;&gt;"")*('Loan Tape'!$AH$4:$AH$303&gt;=R240)*('Loan Tape'!$AH$4:$AH$303&lt;=S240))*('Loan Tape'!$K$4:$K$303="Floating")*'Loan Tape'!$R$4:$R$303)/E240,"-")</f>
        <v>0.266972777959987</v>
      </c>
      <c r="K240" s="69" t="n">
        <f aca="false">IFERROR(SUMPRODUCT((('Loan Tape'!$R$4:$R$303&lt;&gt;"")*('Loan Tape'!$AH$4:$AH$303&gt;=R240)*('Loan Tape'!$AH$4:$AH$303&lt;=S240))*'Loan Tape'!$T$4:$T$303*'Loan Tape'!$R$4:$R$303)/E240,"-")</f>
        <v>0.0816438132394766</v>
      </c>
      <c r="L240" s="69" t="n">
        <f aca="false">IFERROR(SUMPRODUCT((('Loan Tape'!$R$4:$R$303&lt;&gt;"")*('Loan Tape'!$AH$4:$AH$303&gt;=R240)*('Loan Tape'!$AH$4:$AH$303&lt;=S240))*'Loan Tape'!$V$4:$V$303*'Loan Tape'!$R$4:$R$303)/E240,"-")</f>
        <v>0.682422041971187</v>
      </c>
      <c r="M240" s="69" t="n">
        <f aca="false">IFERROR(SUMPRODUCT((('Loan Tape'!$R$4:$R$303&lt;&gt;"")*('Loan Tape'!$AH$4:$AH$303&gt;=R240)*('Loan Tape'!$AH$4:$AH$303&lt;=S240))*'Loan Tape'!$W$4:$W$303*'Loan Tape'!$R$4:$R$303)/E240,"-")</f>
        <v>0.713868168178458</v>
      </c>
      <c r="N240" s="69" t="n">
        <f aca="false">IFERROR(SUMPRODUCT((('Loan Tape'!$R$4:$R$303&lt;&gt;"")*('Loan Tape'!$AH$4:$AH$303&gt;=R240)*('Loan Tape'!$AH$4:$AH$303&lt;=S240))*'Loan Tape'!$AI$4:$AI$303*'Loan Tape'!$R$4:$R$303)/E240,"-")</f>
        <v>0.058724254587998</v>
      </c>
      <c r="O240" s="69" t="n">
        <f aca="false">IFERROR(SUMPRODUCT((('Loan Tape'!$R$4:$R$303&lt;&gt;"")*('Loan Tape'!$AH$4:$AH$303&gt;=R240)*('Loan Tape'!$AH$4:$AH$303&lt;=S240))*'Loan Tape'!$AK$4:$AK$303*'Loan Tape'!$R$4:$R$303)/E240,"-")</f>
        <v>0.0627288462573978</v>
      </c>
      <c r="P240" s="69" t="n">
        <f aca="false">IFERROR(SUMPRODUCT((('Loan Tape'!$R$4:$R$303&lt;&gt;"")*('Loan Tape'!$AH$4:$AH$303&gt;=R240)*('Loan Tape'!$AH$4:$AH$303&lt;=S240))*'Loan Tape'!$S$4:$S$303*'Loan Tape'!$R$4:$R$303)/E240,"-")</f>
        <v>0.853830485160292</v>
      </c>
      <c r="R240" s="91" t="n">
        <v>24.01</v>
      </c>
      <c r="S240" s="91" t="n">
        <v>36</v>
      </c>
    </row>
    <row r="241" customFormat="false" ht="14.25" hidden="false" customHeight="false" outlineLevel="0" collapsed="false">
      <c r="B241" s="7" t="s">
        <v>476</v>
      </c>
      <c r="C241" s="68" t="n">
        <f aca="false">COUNTIFS('Loan Tape'!$AH$4:$AH$303,"&gt;="&amp;R241,'Loan Tape'!$AH$4:$AH$303,"&lt;="&amp;S241,'Loan Tape'!$R$4:$R$303,"&lt;&gt;")</f>
        <v>8</v>
      </c>
      <c r="D241" s="68" t="n">
        <f aca="false">SUMPRODUCT((('Loan Tape'!$R$4:$R$303&lt;&gt;"")*('Loan Tape'!$AH$4:$AH$303&gt;=R241)*('Loan Tape'!$AH$4:$AH$303&lt;=S241))*'Loan Tape'!$F$4:$F$303)</f>
        <v>734</v>
      </c>
      <c r="E241" s="84" t="n">
        <f aca="false">SUMIFS('Loan Tape'!$R$4:$R$303,'Loan Tape'!$AH$4:$AH$303,"&gt;="&amp;R241,'Loan Tape'!$AH$4:$AH$303,"&lt;="&amp;S241,'Loan Tape'!$R$4:$R$303,"&lt;&gt;")</f>
        <v>375171000</v>
      </c>
      <c r="F241" s="69" t="n">
        <f aca="false">IFERROR(E241/C5,0)</f>
        <v>0.150332383665717</v>
      </c>
      <c r="G241" s="85" t="n">
        <f aca="false">IFERROR(SUMPRODUCT((('Loan Tape'!$R$4:$R$303&lt;&gt;"")*('Loan Tape'!$AH$4:$AH$303&gt;=R241)*('Loan Tape'!$AH$4:$AH$303&lt;=S241))*'Loan Tape'!$U$4:$U$303*'Loan Tape'!$R$4:$R$303)/E241,"-")</f>
        <v>1.10220054321896</v>
      </c>
      <c r="H241" s="68" t="n">
        <f aca="false">IFERROR(SUMPRODUCT((('Loan Tape'!$R$4:$R$303&lt;&gt;"")*('Loan Tape'!$AH$4:$AH$303&gt;=R241)*('Loan Tape'!$AH$4:$AH$303&lt;=S241))*'Loan Tape'!$AH$4:$AH$303*'Loan Tape'!$R$4:$R$303)/E241,"-")</f>
        <v>45.2928984383121</v>
      </c>
      <c r="I241" s="68" t="n">
        <f aca="false">IFERROR(SUMPRODUCT((('Loan Tape'!$R$4:$R$303&lt;&gt;"")*('Loan Tape'!$AH$4:$AH$303&gt;=R241)*('Loan Tape'!$AH$4:$AH$303&lt;=S241))*(('Loan Tape'!$H$4:$H$303-$C$4)/30.4375)*'Loan Tape'!$R$4:$R$303)/E241,"-")</f>
        <v>48.4459439349866</v>
      </c>
      <c r="J241" s="69" t="n">
        <f aca="false">IFERROR(SUMPRODUCT((('Loan Tape'!$R$4:$R$303&lt;&gt;"")*('Loan Tape'!$AH$4:$AH$303&gt;=R241)*('Loan Tape'!$AH$4:$AH$303&lt;=S241))*('Loan Tape'!$K$4:$K$303="Floating")*'Loan Tape'!$R$4:$R$303)/E241,"-")</f>
        <v>0.732873809542848</v>
      </c>
      <c r="K241" s="69" t="n">
        <f aca="false">IFERROR(SUMPRODUCT((('Loan Tape'!$R$4:$R$303&lt;&gt;"")*('Loan Tape'!$AH$4:$AH$303&gt;=R241)*('Loan Tape'!$AH$4:$AH$303&lt;=S241))*'Loan Tape'!$T$4:$T$303*'Loan Tape'!$R$4:$R$303)/E241,"-")</f>
        <v>0.0695775910184956</v>
      </c>
      <c r="L241" s="69" t="n">
        <f aca="false">IFERROR(SUMPRODUCT((('Loan Tape'!$R$4:$R$303&lt;&gt;"")*('Loan Tape'!$AH$4:$AH$303&gt;=R241)*('Loan Tape'!$AH$4:$AH$303&lt;=S241))*'Loan Tape'!$V$4:$V$303*'Loan Tape'!$R$4:$R$303)/E241,"-")</f>
        <v>0.695956068032977</v>
      </c>
      <c r="M241" s="69" t="n">
        <f aca="false">IFERROR(SUMPRODUCT((('Loan Tape'!$R$4:$R$303&lt;&gt;"")*('Loan Tape'!$AH$4:$AH$303&gt;=R241)*('Loan Tape'!$AH$4:$AH$303&lt;=S241))*'Loan Tape'!$W$4:$W$303*'Loan Tape'!$R$4:$R$303)/E241,"-")</f>
        <v>0.731953791737634</v>
      </c>
      <c r="N241" s="69" t="n">
        <f aca="false">IFERROR(SUMPRODUCT((('Loan Tape'!$R$4:$R$303&lt;&gt;"")*('Loan Tape'!$AH$4:$AH$303&gt;=R241)*('Loan Tape'!$AH$4:$AH$303&lt;=S241))*'Loan Tape'!$AI$4:$AI$303*'Loan Tape'!$R$4:$R$303)/E241,"-")</f>
        <v>0.0766651318998537</v>
      </c>
      <c r="O241" s="69" t="n">
        <f aca="false">IFERROR(SUMPRODUCT((('Loan Tape'!$R$4:$R$303&lt;&gt;"")*('Loan Tape'!$AH$4:$AH$303&gt;=R241)*('Loan Tape'!$AH$4:$AH$303&lt;=S241))*'Loan Tape'!$AK$4:$AK$303*'Loan Tape'!$R$4:$R$303)/E241,"-")</f>
        <v>0.0868173270322066</v>
      </c>
      <c r="P241" s="69" t="n">
        <f aca="false">IFERROR(SUMPRODUCT((('Loan Tape'!$R$4:$R$303&lt;&gt;"")*('Loan Tape'!$AH$4:$AH$303&gt;=R241)*('Loan Tape'!$AH$4:$AH$303&lt;=S241))*'Loan Tape'!$S$4:$S$303*'Loan Tape'!$R$4:$R$303)/E241,"-")</f>
        <v>0.920091795474597</v>
      </c>
      <c r="R241" s="91" t="n">
        <v>36.01</v>
      </c>
      <c r="S241" s="91" t="n">
        <v>60</v>
      </c>
    </row>
    <row r="242" customFormat="false" ht="14.25" hidden="false" customHeight="false" outlineLevel="0" collapsed="false">
      <c r="B242" s="7" t="s">
        <v>477</v>
      </c>
      <c r="C242" s="68" t="n">
        <f aca="false">COUNTIFS('Loan Tape'!$AH$4:$AH$303,"&gt;="&amp;R242,'Loan Tape'!$AH$4:$AH$303,"&lt;="&amp;S242,'Loan Tape'!$R$4:$R$303,"&lt;&gt;")</f>
        <v>36</v>
      </c>
      <c r="D242" s="68" t="n">
        <f aca="false">SUMPRODUCT((('Loan Tape'!$R$4:$R$303&lt;&gt;"")*('Loan Tape'!$AH$4:$AH$303&gt;=R242)*('Loan Tape'!$AH$4:$AH$303&lt;=S242))*'Loan Tape'!$F$4:$F$303)</f>
        <v>3682</v>
      </c>
      <c r="E242" s="84" t="n">
        <f aca="false">SUMIFS('Loan Tape'!$R$4:$R$303,'Loan Tape'!$AH$4:$AH$303,"&gt;="&amp;R242,'Loan Tape'!$AH$4:$AH$303,"&lt;="&amp;S242,'Loan Tape'!$R$4:$R$303,"&lt;&gt;")</f>
        <v>1779001000</v>
      </c>
      <c r="F242" s="69" t="n">
        <f aca="false">IFERROR(E242/C5,0)</f>
        <v>0.712852168407724</v>
      </c>
      <c r="G242" s="85" t="n">
        <f aca="false">IFERROR(SUMPRODUCT((('Loan Tape'!$R$4:$R$303&lt;&gt;"")*('Loan Tape'!$AH$4:$AH$303&gt;=R242)*('Loan Tape'!$AH$4:$AH$303&lt;=S242))*'Loan Tape'!$U$4:$U$303*'Loan Tape'!$R$4:$R$303)/E242,"-")</f>
        <v>1.33361577087365</v>
      </c>
      <c r="H242" s="68" t="n">
        <f aca="false">IFERROR(SUMPRODUCT((('Loan Tape'!$R$4:$R$303&lt;&gt;"")*('Loan Tape'!$AH$4:$AH$303&gt;=R242)*('Loan Tape'!$AH$4:$AH$303&lt;=S242))*'Loan Tape'!$AH$4:$AH$303*'Loan Tape'!$R$4:$R$303)/E242,"-")</f>
        <v>92.2017708253115</v>
      </c>
      <c r="I242" s="68" t="n">
        <f aca="false">IFERROR(SUMPRODUCT((('Loan Tape'!$R$4:$R$303&lt;&gt;"")*('Loan Tape'!$AH$4:$AH$303&gt;=R242)*('Loan Tape'!$AH$4:$AH$303&lt;=S242))*(('Loan Tape'!$H$4:$H$303-$C$4)/30.4375)*'Loan Tape'!$R$4:$R$303)/E242,"-")</f>
        <v>2.55909969691859</v>
      </c>
      <c r="J242" s="69" t="n">
        <f aca="false">IFERROR(SUMPRODUCT((('Loan Tape'!$R$4:$R$303&lt;&gt;"")*('Loan Tape'!$AH$4:$AH$303&gt;=R242)*('Loan Tape'!$AH$4:$AH$303&lt;=S242))*('Loan Tape'!$K$4:$K$303="Floating")*'Loan Tape'!$R$4:$R$303)/E242,"-")</f>
        <v>0.669831551528077</v>
      </c>
      <c r="K242" s="69" t="n">
        <f aca="false">IFERROR(SUMPRODUCT((('Loan Tape'!$R$4:$R$303&lt;&gt;"")*('Loan Tape'!$AH$4:$AH$303&gt;=R242)*('Loan Tape'!$AH$4:$AH$303&lt;=S242))*'Loan Tape'!$T$4:$T$303*'Loan Tape'!$R$4:$R$303)/E242,"-")</f>
        <v>0.0887541140224205</v>
      </c>
      <c r="L242" s="69" t="n">
        <f aca="false">IFERROR(SUMPRODUCT((('Loan Tape'!$R$4:$R$303&lt;&gt;"")*('Loan Tape'!$AH$4:$AH$303&gt;=R242)*('Loan Tape'!$AH$4:$AH$303&lt;=S242))*'Loan Tape'!$V$4:$V$303*'Loan Tape'!$R$4:$R$303)/E242,"-")</f>
        <v>0.673588933901667</v>
      </c>
      <c r="M242" s="69" t="n">
        <f aca="false">IFERROR(SUMPRODUCT((('Loan Tape'!$R$4:$R$303&lt;&gt;"")*('Loan Tape'!$AH$4:$AH$303&gt;=R242)*('Loan Tape'!$AH$4:$AH$303&lt;=S242))*'Loan Tape'!$W$4:$W$303*'Loan Tape'!$R$4:$R$303)/E242,"-")</f>
        <v>0.707268424244843</v>
      </c>
      <c r="N242" s="69" t="n">
        <f aca="false">IFERROR(SUMPRODUCT((('Loan Tape'!$R$4:$R$303&lt;&gt;"")*('Loan Tape'!$AH$4:$AH$303&gt;=R242)*('Loan Tape'!$AH$4:$AH$303&lt;=S242))*'Loan Tape'!$AI$4:$AI$303*'Loan Tape'!$R$4:$R$303)/E242,"-")</f>
        <v>0.0700730009707695</v>
      </c>
      <c r="O242" s="69" t="n">
        <f aca="false">IFERROR(SUMPRODUCT((('Loan Tape'!$R$4:$R$303&lt;&gt;"")*('Loan Tape'!$AH$4:$AH$303&gt;=R242)*('Loan Tape'!$AH$4:$AH$303&lt;=S242))*'Loan Tape'!$AK$4:$AK$303*'Loan Tape'!$R$4:$R$303)/E242,"-")</f>
        <v>0.0785943746518411</v>
      </c>
      <c r="P242" s="69" t="n">
        <f aca="false">IFERROR(SUMPRODUCT((('Loan Tape'!$R$4:$R$303&lt;&gt;"")*('Loan Tape'!$AH$4:$AH$303&gt;=R242)*('Loan Tape'!$AH$4:$AH$303&lt;=S242))*'Loan Tape'!$S$4:$S$303*'Loan Tape'!$R$4:$R$303)/E242,"-")</f>
        <v>0.878834360970005</v>
      </c>
      <c r="R242" s="91" t="n">
        <v>60.01</v>
      </c>
      <c r="S242" s="91" t="n">
        <v>1000000000000</v>
      </c>
    </row>
    <row r="243" customFormat="false" ht="14.25" hidden="false" customHeight="false" outlineLevel="0" collapsed="false">
      <c r="B243" s="86" t="s">
        <v>405</v>
      </c>
      <c r="C243" s="92" t="n">
        <f aca="false">SUM(C238:C242)</f>
        <v>50</v>
      </c>
      <c r="D243" s="92" t="n">
        <f aca="false">SUM(D238:D242)</f>
        <v>4739</v>
      </c>
      <c r="E243" s="88" t="n">
        <f aca="false">SUM(E238:E242)</f>
        <v>2495610000</v>
      </c>
      <c r="F243" s="89" t="n">
        <f aca="false">SUM(F238:F242)</f>
        <v>1</v>
      </c>
      <c r="G243" s="90" t="n">
        <f aca="false">IFERROR(SUMPRODUCT((('Loan Tape'!$R$4:$R$303&lt;&gt;""))*'Loan Tape'!$U$4:$U$303*'Loan Tape'!$R$4:$R$303)/E243,"-")</f>
        <v>1.36575944157941</v>
      </c>
      <c r="H243" s="92" t="n">
        <f aca="false">IFERROR(SUMPRODUCT((('Loan Tape'!$R$4:$R$303&lt;&gt;""))*'Loan Tape'!$AH$4:$AH$303*'Loan Tape'!$R$4:$R$303)/E243,"-")</f>
        <v>76.5147345138063</v>
      </c>
      <c r="I243" s="92" t="n">
        <f aca="false">IFERROR(SUMPRODUCT((('Loan Tape'!$R$4:$R$303&lt;&gt;""))*(('Loan Tape'!$H$4:$H$303-$C$4)/30.4375)*'Loan Tape'!$R$4:$R$303)/E243,"-")</f>
        <v>17.6772942206432</v>
      </c>
      <c r="J243" s="89" t="n">
        <f aca="false">IFERROR(SUMPRODUCT((('Loan Tape'!$R$4:$R$303&lt;&gt;""))*('Loan Tape'!$K$4:$K$303="Floating")*'Loan Tape'!$R$4:$R$303)/E243,"-")</f>
        <v>0.664477622705471</v>
      </c>
      <c r="K243" s="89" t="n">
        <f aca="false">IFERROR(SUMPRODUCT((('Loan Tape'!$R$4:$R$303&lt;&gt;""))*'Loan Tape'!$T$4:$T$303*'Loan Tape'!$R$4:$R$303)/E243,"-")</f>
        <v>0.0861540568438177</v>
      </c>
      <c r="L243" s="89" t="n">
        <f aca="false">IFERROR(SUMPRODUCT((('Loan Tape'!$R$4:$R$303&lt;&gt;""))*'Loan Tape'!$V$4:$V$303*'Loan Tape'!$R$4:$R$303)/E243,"-")</f>
        <v>0.683559256454334</v>
      </c>
      <c r="M243" s="89" t="n">
        <f aca="false">IFERROR(SUMPRODUCT((('Loan Tape'!$R$4:$R$303&lt;&gt;""))*'Loan Tape'!$W$4:$W$303*'Loan Tape'!$R$4:$R$303)/E243,"-")</f>
        <v>0.716164459190338</v>
      </c>
      <c r="N243" s="89" t="n">
        <f aca="false">IFERROR(SUMPRODUCT((('Loan Tape'!$R$4:$R$303&lt;&gt;""))*'Loan Tape'!$AI$4:$AI$303*'Loan Tape'!$R$4:$R$303)/E243,"-")</f>
        <v>0.0704574522862146</v>
      </c>
      <c r="O243" s="89" t="n">
        <f aca="false">IFERROR(SUMPRODUCT((('Loan Tape'!$R$4:$R$303&lt;&gt;""))*'Loan Tape'!$AK$4:$AK$303*'Loan Tape'!$R$4:$R$303)/E243,"-")</f>
        <v>0.0792103169165054</v>
      </c>
      <c r="P243" s="89" t="n">
        <f aca="false">IFERROR(SUMPRODUCT((('Loan Tape'!$R$4:$R$303&lt;&gt;""))*'Loan Tape'!$S$4:$S$303*'Loan Tape'!$R$4:$R$303)/E243,"-")</f>
        <v>0.886687142221741</v>
      </c>
    </row>
    <row r="245" customFormat="false" ht="19.5" hidden="false" customHeight="true" outlineLevel="0" collapsed="false">
      <c r="B245" s="5" t="s">
        <v>478</v>
      </c>
      <c r="C245" s="5"/>
      <c r="D245" s="5"/>
      <c r="E245" s="5"/>
      <c r="F245" s="5"/>
      <c r="G245" s="5"/>
      <c r="H245" s="5"/>
      <c r="I245" s="5"/>
      <c r="J245" s="5"/>
      <c r="K245" s="5"/>
      <c r="L245" s="5"/>
      <c r="M245" s="5"/>
      <c r="N245" s="5"/>
      <c r="O245" s="5"/>
      <c r="P245" s="5"/>
    </row>
    <row r="246" customFormat="false" ht="42" hidden="false" customHeight="true" outlineLevel="0" collapsed="false">
      <c r="B246" s="82" t="s">
        <v>423</v>
      </c>
      <c r="C246" s="83" t="s">
        <v>368</v>
      </c>
      <c r="D246" s="83" t="s">
        <v>153</v>
      </c>
      <c r="E246" s="83" t="s">
        <v>393</v>
      </c>
      <c r="F246" s="83" t="s">
        <v>394</v>
      </c>
      <c r="G246" s="83" t="s">
        <v>395</v>
      </c>
      <c r="H246" s="83" t="s">
        <v>396</v>
      </c>
      <c r="I246" s="83" t="s">
        <v>397</v>
      </c>
      <c r="J246" s="83" t="s">
        <v>398</v>
      </c>
      <c r="K246" s="83" t="s">
        <v>399</v>
      </c>
      <c r="L246" s="83" t="s">
        <v>400</v>
      </c>
      <c r="M246" s="83" t="s">
        <v>401</v>
      </c>
      <c r="N246" s="83" t="s">
        <v>402</v>
      </c>
      <c r="O246" s="83" t="s">
        <v>403</v>
      </c>
      <c r="P246" s="83" t="s">
        <v>365</v>
      </c>
    </row>
    <row r="247" customFormat="false" ht="14.25" hidden="false" customHeight="false" outlineLevel="0" collapsed="false">
      <c r="B247" s="7" t="s">
        <v>473</v>
      </c>
      <c r="C247" s="68" t="n">
        <f aca="false">COUNTIFS('Loan Tape'!$AJ$4:$AJ$303,"&gt;="&amp;R247,'Loan Tape'!$AJ$4:$AJ$303,"&lt;="&amp;S247,'Loan Tape'!$R$4:$R$303,"&lt;&gt;")</f>
        <v>32</v>
      </c>
      <c r="D247" s="68" t="n">
        <f aca="false">SUMPRODUCT((('Loan Tape'!$AJ$4:$AJ$303&lt;&gt;"")*('Loan Tape'!$R$4:$R$303&lt;&gt;"")*('Loan Tape'!$AJ$4:$AJ$303&gt;=R247)*('Loan Tape'!$AJ$4:$AJ$303&lt;=S247))*'Loan Tape'!$F$4:$F$303)</f>
        <v>2726</v>
      </c>
      <c r="E247" s="84" t="n">
        <f aca="false">SUMIFS('Loan Tape'!$R$4:$R$303,'Loan Tape'!$AJ$4:$AJ$303,"&gt;="&amp;R247,'Loan Tape'!$AJ$4:$AJ$303,"&lt;="&amp;S247,'Loan Tape'!$R$4:$R$303,"&lt;&gt;")</f>
        <v>1642401000</v>
      </c>
      <c r="F247" s="69" t="n">
        <f aca="false">IFERROR(E247/C5,0)</f>
        <v>0.658116051786938</v>
      </c>
      <c r="G247" s="85" t="n">
        <f aca="false">IFERROR(SUMPRODUCT((('Loan Tape'!$AJ$4:$AJ$303&lt;&gt;"")*('Loan Tape'!$R$4:$R$303&lt;&gt;"")*('Loan Tape'!$AJ$4:$AJ$303&gt;=R247)*('Loan Tape'!$AJ$4:$AJ$303&lt;=S247))*'Loan Tape'!$U$4:$U$303*'Loan Tape'!$R$4:$R$303)/E247,"-")</f>
        <v>1.31191501344678</v>
      </c>
      <c r="H247" s="68" t="n">
        <f aca="false">IFERROR(SUMPRODUCT((('Loan Tape'!$AJ$4:$AJ$303&lt;&gt;"")*('Loan Tape'!$R$4:$R$303&lt;&gt;"")*('Loan Tape'!$AJ$4:$AJ$303&gt;=R247)*('Loan Tape'!$AJ$4:$AJ$303&lt;=S247))*'Loan Tape'!$AH$4:$AH$303*'Loan Tape'!$R$4:$R$303)/E247,"-")</f>
        <v>74.875429203952</v>
      </c>
      <c r="I247" s="68" t="n">
        <f aca="false">IFERROR(SUMPRODUCT((('Loan Tape'!$AJ$4:$AJ$303&lt;&gt;"")*('Loan Tape'!$R$4:$R$303&lt;&gt;"")*('Loan Tape'!$AJ$4:$AJ$303&gt;=R247)*('Loan Tape'!$AJ$4:$AJ$303&lt;=S247))*(('Loan Tape'!$H$4:$H$303-$C$4)/30.4375)*'Loan Tape'!$R$4:$R$303)/E247,"-")</f>
        <v>15.4130620860327</v>
      </c>
      <c r="J247" s="69" t="n">
        <f aca="false">IFERROR(SUMPRODUCT((('Loan Tape'!$AJ$4:$AJ$303&lt;&gt;"")*('Loan Tape'!$R$4:$R$303&lt;&gt;"")*('Loan Tape'!$AJ$4:$AJ$303&gt;=R247)*('Loan Tape'!$AJ$4:$AJ$303&lt;=S247))*('Loan Tape'!$K$4:$K$303="Floating")*'Loan Tape'!$R$4:$R$303)/E247,"-")</f>
        <v>0.642868580815526</v>
      </c>
      <c r="K247" s="69" t="n">
        <f aca="false">IFERROR(SUMPRODUCT((('Loan Tape'!$AJ$4:$AJ$303&lt;&gt;"")*('Loan Tape'!$R$4:$R$303&lt;&gt;"")*('Loan Tape'!$AJ$4:$AJ$303&gt;=R247)*('Loan Tape'!$AJ$4:$AJ$303&lt;=S247))*'Loan Tape'!$T$4:$T$303*'Loan Tape'!$R$4:$R$303)/E247,"-")</f>
        <v>0.080157171482482</v>
      </c>
      <c r="L247" s="69" t="n">
        <f aca="false">IFERROR(SUMPRODUCT((('Loan Tape'!$AJ$4:$AJ$303&lt;&gt;"")*('Loan Tape'!$R$4:$R$303&lt;&gt;"")*('Loan Tape'!$AJ$4:$AJ$303&gt;=R247)*('Loan Tape'!$AJ$4:$AJ$303&lt;=S247))*'Loan Tape'!$V$4:$V$303*'Loan Tape'!$R$4:$R$303)/E247,"-")</f>
        <v>0.67788644307937</v>
      </c>
      <c r="M247" s="69" t="n">
        <f aca="false">IFERROR(SUMPRODUCT((('Loan Tape'!$AJ$4:$AJ$303&lt;&gt;"")*('Loan Tape'!$R$4:$R$303&lt;&gt;"")*('Loan Tape'!$AJ$4:$AJ$303&gt;=R247)*('Loan Tape'!$AJ$4:$AJ$303&lt;=S247))*'Loan Tape'!$W$4:$W$303*'Loan Tape'!$R$4:$R$303)/E247,"-")</f>
        <v>0.711336529873033</v>
      </c>
      <c r="N247" s="69" t="n">
        <f aca="false">IFERROR(SUMPRODUCT((('Loan Tape'!$AJ$4:$AJ$303&lt;&gt;"")*('Loan Tape'!$R$4:$R$303&lt;&gt;"")*('Loan Tape'!$AJ$4:$AJ$303&gt;=R247)*('Loan Tape'!$AJ$4:$AJ$303&lt;=S247))*'Loan Tape'!$AI$4:$AI$303*'Loan Tape'!$R$4:$R$303)/E247,"-")</f>
        <v>0.0711083741424902</v>
      </c>
      <c r="O247" s="69" t="n">
        <f aca="false">IFERROR(SUMPRODUCT((('Loan Tape'!$AJ$4:$AJ$303&lt;&gt;"")*('Loan Tape'!$R$4:$R$303&lt;&gt;"")*('Loan Tape'!$AJ$4:$AJ$303&gt;=R247)*('Loan Tape'!$AJ$4:$AJ$303&lt;=S247))*'Loan Tape'!$AK$4:$AK$303*'Loan Tape'!$R$4:$R$303)/E247,"-")</f>
        <v>0.0791211878828617</v>
      </c>
      <c r="P247" s="69" t="n">
        <f aca="false">IFERROR(SUMPRODUCT((('Loan Tape'!$AJ$4:$AJ$303&lt;&gt;"")*('Loan Tape'!$R$4:$R$303&lt;&gt;"")*('Loan Tape'!$AJ$4:$AJ$303&gt;=R247)*('Loan Tape'!$AJ$4:$AJ$303&lt;=S247))*'Loan Tape'!$S$4:$S$303*'Loan Tape'!$R$4:$R$303)/E247,"-")</f>
        <v>0.888601918167366</v>
      </c>
      <c r="R247" s="91" t="n">
        <v>-1000000000000</v>
      </c>
      <c r="S247" s="91" t="n">
        <v>11.99</v>
      </c>
    </row>
    <row r="248" customFormat="false" ht="14.25" hidden="false" customHeight="false" outlineLevel="0" collapsed="false">
      <c r="B248" s="7" t="s">
        <v>474</v>
      </c>
      <c r="C248" s="68" t="n">
        <f aca="false">COUNTIFS('Loan Tape'!$AJ$4:$AJ$303,"&gt;="&amp;R248,'Loan Tape'!$AJ$4:$AJ$303,"&lt;="&amp;S248,'Loan Tape'!$R$4:$R$303,"&lt;&gt;")</f>
        <v>2</v>
      </c>
      <c r="D248" s="68" t="n">
        <f aca="false">SUMPRODUCT((('Loan Tape'!$AJ$4:$AJ$303&lt;&gt;"")*('Loan Tape'!$R$4:$R$303&lt;&gt;"")*('Loan Tape'!$AJ$4:$AJ$303&gt;=R248)*('Loan Tape'!$AJ$4:$AJ$303&lt;=S248))*'Loan Tape'!$F$4:$F$303)</f>
        <v>87</v>
      </c>
      <c r="E248" s="84" t="n">
        <f aca="false">SUMIFS('Loan Tape'!$R$4:$R$303,'Loan Tape'!$AJ$4:$AJ$303,"&gt;="&amp;R248,'Loan Tape'!$AJ$4:$AJ$303,"&lt;="&amp;S248,'Loan Tape'!$R$4:$R$303,"&lt;&gt;")</f>
        <v>164038000</v>
      </c>
      <c r="F248" s="69" t="n">
        <f aca="false">IFERROR(E248/C5,0)</f>
        <v>0.0657306229739423</v>
      </c>
      <c r="G248" s="85" t="n">
        <f aca="false">IFERROR(SUMPRODUCT((('Loan Tape'!$AJ$4:$AJ$303&lt;&gt;"")*('Loan Tape'!$R$4:$R$303&lt;&gt;"")*('Loan Tape'!$AJ$4:$AJ$303&gt;=R248)*('Loan Tape'!$AJ$4:$AJ$303&lt;=S248))*'Loan Tape'!$U$4:$U$303*'Loan Tape'!$R$4:$R$303)/E248,"-")</f>
        <v>1.46263176824882</v>
      </c>
      <c r="H248" s="68" t="n">
        <f aca="false">IFERROR(SUMPRODUCT((('Loan Tape'!$AJ$4:$AJ$303&lt;&gt;"")*('Loan Tape'!$R$4:$R$303&lt;&gt;"")*('Loan Tape'!$AJ$4:$AJ$303&gt;=R248)*('Loan Tape'!$AJ$4:$AJ$303&lt;=S248))*'Loan Tape'!$AH$4:$AH$303*'Loan Tape'!$R$4:$R$303)/E248,"-")</f>
        <v>101.839223228764</v>
      </c>
      <c r="I248" s="68" t="n">
        <f aca="false">IFERROR(SUMPRODUCT((('Loan Tape'!$AJ$4:$AJ$303&lt;&gt;"")*('Loan Tape'!$R$4:$R$303&lt;&gt;"")*('Loan Tape'!$AJ$4:$AJ$303&gt;=R248)*('Loan Tape'!$AJ$4:$AJ$303&lt;=S248))*(('Loan Tape'!$H$4:$H$303-$C$4)/30.4375)*'Loan Tape'!$R$4:$R$303)/E248,"-")</f>
        <v>8.58635725037217</v>
      </c>
      <c r="J248" s="69" t="n">
        <f aca="false">IFERROR(SUMPRODUCT((('Loan Tape'!$AJ$4:$AJ$303&lt;&gt;"")*('Loan Tape'!$R$4:$R$303&lt;&gt;"")*('Loan Tape'!$AJ$4:$AJ$303&gt;=R248)*('Loan Tape'!$AJ$4:$AJ$303&lt;=S248))*('Loan Tape'!$K$4:$K$303="Floating")*'Loan Tape'!$R$4:$R$303)/E248,"-")</f>
        <v>1</v>
      </c>
      <c r="K248" s="69" t="n">
        <f aca="false">IFERROR(SUMPRODUCT((('Loan Tape'!$AJ$4:$AJ$303&lt;&gt;"")*('Loan Tape'!$R$4:$R$303&lt;&gt;"")*('Loan Tape'!$AJ$4:$AJ$303&gt;=R248)*('Loan Tape'!$AJ$4:$AJ$303&lt;=S248))*'Loan Tape'!$T$4:$T$303*'Loan Tape'!$R$4:$R$303)/E248,"-")</f>
        <v>0.0905961161438203</v>
      </c>
      <c r="L248" s="69" t="n">
        <f aca="false">IFERROR(SUMPRODUCT((('Loan Tape'!$AJ$4:$AJ$303&lt;&gt;"")*('Loan Tape'!$R$4:$R$303&lt;&gt;"")*('Loan Tape'!$AJ$4:$AJ$303&gt;=R248)*('Loan Tape'!$AJ$4:$AJ$303&lt;=S248))*'Loan Tape'!$V$4:$V$303*'Loan Tape'!$R$4:$R$303)/E248,"-")</f>
        <v>0.72164190004755</v>
      </c>
      <c r="M248" s="69" t="n">
        <f aca="false">IFERROR(SUMPRODUCT((('Loan Tape'!$AJ$4:$AJ$303&lt;&gt;"")*('Loan Tape'!$R$4:$R$303&lt;&gt;"")*('Loan Tape'!$AJ$4:$AJ$303&gt;=R248)*('Loan Tape'!$AJ$4:$AJ$303&lt;=S248))*'Loan Tape'!$W$4:$W$303*'Loan Tape'!$R$4:$R$303)/E248,"-")</f>
        <v>0.7481087918653</v>
      </c>
      <c r="N248" s="69" t="n">
        <f aca="false">IFERROR(SUMPRODUCT((('Loan Tape'!$AJ$4:$AJ$303&lt;&gt;"")*('Loan Tape'!$R$4:$R$303&lt;&gt;"")*('Loan Tape'!$AJ$4:$AJ$303&gt;=R248)*('Loan Tape'!$AJ$4:$AJ$303&lt;=S248))*'Loan Tape'!$AI$4:$AI$303*'Loan Tape'!$R$4:$R$303)/E248,"-")</f>
        <v>0.08004124958851</v>
      </c>
      <c r="O248" s="69" t="n">
        <f aca="false">IFERROR(SUMPRODUCT((('Loan Tape'!$AJ$4:$AJ$303&lt;&gt;"")*('Loan Tape'!$R$4:$R$303&lt;&gt;"")*('Loan Tape'!$AJ$4:$AJ$303&gt;=R248)*('Loan Tape'!$AJ$4:$AJ$303&lt;=S248))*'Loan Tape'!$AK$4:$AK$303*'Loan Tape'!$R$4:$R$303)/E248,"-")</f>
        <v>0.09504124958851</v>
      </c>
      <c r="P248" s="69" t="n">
        <f aca="false">IFERROR(SUMPRODUCT((('Loan Tape'!$AJ$4:$AJ$303&lt;&gt;"")*('Loan Tape'!$R$4:$R$303&lt;&gt;"")*('Loan Tape'!$AJ$4:$AJ$303&gt;=R248)*('Loan Tape'!$AJ$4:$AJ$303&lt;=S248))*'Loan Tape'!$S$4:$S$303*'Loan Tape'!$R$4:$R$303)/E248,"-")</f>
        <v>0.80692365183677</v>
      </c>
      <c r="R248" s="91" t="n">
        <v>12</v>
      </c>
      <c r="S248" s="91" t="n">
        <v>24</v>
      </c>
    </row>
    <row r="249" customFormat="false" ht="14.25" hidden="false" customHeight="false" outlineLevel="0" collapsed="false">
      <c r="B249" s="7" t="s">
        <v>475</v>
      </c>
      <c r="C249" s="68" t="n">
        <f aca="false">COUNTIFS('Loan Tape'!$AJ$4:$AJ$303,"&gt;="&amp;R249,'Loan Tape'!$AJ$4:$AJ$303,"&lt;="&amp;S249,'Loan Tape'!$R$4:$R$303,"&lt;&gt;")</f>
        <v>2</v>
      </c>
      <c r="D249" s="68" t="n">
        <f aca="false">SUMPRODUCT((('Loan Tape'!$AJ$4:$AJ$303&lt;&gt;"")*('Loan Tape'!$R$4:$R$303&lt;&gt;"")*('Loan Tape'!$AJ$4:$AJ$303&gt;=R249)*('Loan Tape'!$AJ$4:$AJ$303&lt;=S249))*'Loan Tape'!$F$4:$F$303)</f>
        <v>162</v>
      </c>
      <c r="E249" s="84" t="n">
        <f aca="false">SUMIFS('Loan Tape'!$R$4:$R$303,'Loan Tape'!$AJ$4:$AJ$303,"&gt;="&amp;R249,'Loan Tape'!$AJ$4:$AJ$303,"&lt;="&amp;S249,'Loan Tape'!$R$4:$R$303,"&lt;&gt;")</f>
        <v>148201000</v>
      </c>
      <c r="F249" s="69" t="n">
        <f aca="false">IFERROR(E249/C5,0)</f>
        <v>0.0593846794971971</v>
      </c>
      <c r="G249" s="85" t="n">
        <f aca="false">IFERROR(SUMPRODUCT((('Loan Tape'!$AJ$4:$AJ$303&lt;&gt;"")*('Loan Tape'!$R$4:$R$303&lt;&gt;"")*('Loan Tape'!$AJ$4:$AJ$303&gt;=R249)*('Loan Tape'!$AJ$4:$AJ$303&lt;=S249))*'Loan Tape'!$U$4:$U$303*'Loan Tape'!$R$4:$R$303)/E249,"-")</f>
        <v>1.72987422487028</v>
      </c>
      <c r="H249" s="68" t="n">
        <f aca="false">IFERROR(SUMPRODUCT((('Loan Tape'!$AJ$4:$AJ$303&lt;&gt;"")*('Loan Tape'!$R$4:$R$303&lt;&gt;"")*('Loan Tape'!$AJ$4:$AJ$303&gt;=R249)*('Loan Tape'!$AJ$4:$AJ$303&lt;=S249))*'Loan Tape'!$AH$4:$AH$303*'Loan Tape'!$R$4:$R$303)/E249,"-")</f>
        <v>24.9968556217569</v>
      </c>
      <c r="I249" s="68" t="n">
        <f aca="false">IFERROR(SUMPRODUCT((('Loan Tape'!$AJ$4:$AJ$303&lt;&gt;"")*('Loan Tape'!$R$4:$R$303&lt;&gt;"")*('Loan Tape'!$AJ$4:$AJ$303&gt;=R249)*('Loan Tape'!$AJ$4:$AJ$303&lt;=S249))*(('Loan Tape'!$H$4:$H$303-$C$4)/30.4375)*'Loan Tape'!$R$4:$R$303)/E249,"-")</f>
        <v>63.0195288221071</v>
      </c>
      <c r="J249" s="69" t="n">
        <f aca="false">IFERROR(SUMPRODUCT((('Loan Tape'!$AJ$4:$AJ$303&lt;&gt;"")*('Loan Tape'!$R$4:$R$303&lt;&gt;"")*('Loan Tape'!$AJ$4:$AJ$303&gt;=R249)*('Loan Tape'!$AJ$4:$AJ$303&lt;=S249))*('Loan Tape'!$K$4:$K$303="Floating")*'Loan Tape'!$R$4:$R$303)/E249,"-")</f>
        <v>0.889238264249229</v>
      </c>
      <c r="K249" s="69" t="n">
        <f aca="false">IFERROR(SUMPRODUCT((('Loan Tape'!$AJ$4:$AJ$303&lt;&gt;"")*('Loan Tape'!$R$4:$R$303&lt;&gt;"")*('Loan Tape'!$AJ$4:$AJ$303&gt;=R249)*('Loan Tape'!$AJ$4:$AJ$303&lt;=S249))*'Loan Tape'!$T$4:$T$303*'Loan Tape'!$R$4:$R$303)/E249,"-")</f>
        <v>0.103502829940419</v>
      </c>
      <c r="L249" s="69" t="n">
        <f aca="false">IFERROR(SUMPRODUCT((('Loan Tape'!$AJ$4:$AJ$303&lt;&gt;"")*('Loan Tape'!$R$4:$R$303&lt;&gt;"")*('Loan Tape'!$AJ$4:$AJ$303&gt;=R249)*('Loan Tape'!$AJ$4:$AJ$303&lt;=S249))*'Loan Tape'!$V$4:$V$303*'Loan Tape'!$R$4:$R$303)/E249,"-")</f>
        <v>0.741454915958732</v>
      </c>
      <c r="M249" s="69" t="n">
        <f aca="false">IFERROR(SUMPRODUCT((('Loan Tape'!$AJ$4:$AJ$303&lt;&gt;"")*('Loan Tape'!$R$4:$R$303&lt;&gt;"")*('Loan Tape'!$AJ$4:$AJ$303&gt;=R249)*('Loan Tape'!$AJ$4:$AJ$303&lt;=S249))*'Loan Tape'!$W$4:$W$303*'Loan Tape'!$R$4:$R$303)/E249,"-")</f>
        <v>0.757328432331766</v>
      </c>
      <c r="N249" s="69" t="n">
        <f aca="false">IFERROR(SUMPRODUCT((('Loan Tape'!$AJ$4:$AJ$303&lt;&gt;"")*('Loan Tape'!$R$4:$R$303&lt;&gt;"")*('Loan Tape'!$AJ$4:$AJ$303&gt;=R249)*('Loan Tape'!$AJ$4:$AJ$303&lt;=S249))*'Loan Tape'!$AI$4:$AI$303*'Loan Tape'!$R$4:$R$303)/E249,"-")</f>
        <v>0.0729765190518283</v>
      </c>
      <c r="O249" s="69" t="n">
        <f aca="false">IFERROR(SUMPRODUCT((('Loan Tape'!$AJ$4:$AJ$303&lt;&gt;"")*('Loan Tape'!$R$4:$R$303&lt;&gt;"")*('Loan Tape'!$AJ$4:$AJ$303&gt;=R249)*('Loan Tape'!$AJ$4:$AJ$303&lt;=S249))*'Loan Tape'!$AK$4:$AK$303*'Loan Tape'!$R$4:$R$303)/E249,"-")</f>
        <v>0.0863150930155667</v>
      </c>
      <c r="P249" s="69" t="n">
        <f aca="false">IFERROR(SUMPRODUCT((('Loan Tape'!$AJ$4:$AJ$303&lt;&gt;"")*('Loan Tape'!$R$4:$R$303&lt;&gt;"")*('Loan Tape'!$AJ$4:$AJ$303&gt;=R249)*('Loan Tape'!$AJ$4:$AJ$303&lt;=S249))*'Loan Tape'!$S$4:$S$303*'Loan Tape'!$R$4:$R$303)/E249,"-")</f>
        <v>0.937708591709908</v>
      </c>
      <c r="R249" s="91" t="n">
        <v>24.01</v>
      </c>
      <c r="S249" s="91" t="n">
        <v>36</v>
      </c>
    </row>
    <row r="250" customFormat="false" ht="14.25" hidden="false" customHeight="false" outlineLevel="0" collapsed="false">
      <c r="B250" s="7" t="s">
        <v>479</v>
      </c>
      <c r="C250" s="68" t="n">
        <f aca="false">COUNTIFS('Loan Tape'!$AJ$4:$AJ$303,"&gt;="&amp;R250,'Loan Tape'!$AJ$4:$AJ$303,"&lt;="&amp;S250,'Loan Tape'!$R$4:$R$303,"&lt;&gt;")</f>
        <v>3</v>
      </c>
      <c r="D250" s="68" t="n">
        <f aca="false">SUMPRODUCT((('Loan Tape'!$AJ$4:$AJ$303&lt;&gt;"")*('Loan Tape'!$R$4:$R$303&lt;&gt;"")*('Loan Tape'!$AJ$4:$AJ$303&gt;=R250)*('Loan Tape'!$AJ$4:$AJ$303&lt;=S250))*'Loan Tape'!$F$4:$F$303)</f>
        <v>325</v>
      </c>
      <c r="E250" s="84" t="n">
        <f aca="false">SUMIFS('Loan Tape'!$R$4:$R$303,'Loan Tape'!$AJ$4:$AJ$303,"&gt;="&amp;R250,'Loan Tape'!$AJ$4:$AJ$303,"&lt;="&amp;S250,'Loan Tape'!$R$4:$R$303,"&lt;&gt;")</f>
        <v>91266000</v>
      </c>
      <c r="F250" s="69" t="n">
        <f aca="false">IFERROR(E250/C5,0)</f>
        <v>0.0365706180052172</v>
      </c>
      <c r="G250" s="85" t="n">
        <f aca="false">IFERROR(SUMPRODUCT((('Loan Tape'!$AJ$4:$AJ$303&lt;&gt;"")*('Loan Tape'!$R$4:$R$303&lt;&gt;"")*('Loan Tape'!$AJ$4:$AJ$303&gt;=R250)*('Loan Tape'!$AJ$4:$AJ$303&lt;=S250))*'Loan Tape'!$U$4:$U$303*'Loan Tape'!$R$4:$R$303)/E250,"-")</f>
        <v>1.12748986479083</v>
      </c>
      <c r="H250" s="68" t="n">
        <f aca="false">IFERROR(SUMPRODUCT((('Loan Tape'!$AJ$4:$AJ$303&lt;&gt;"")*('Loan Tape'!$R$4:$R$303&lt;&gt;"")*('Loan Tape'!$AJ$4:$AJ$303&gt;=R250)*('Loan Tape'!$AJ$4:$AJ$303&lt;=S250))*'Loan Tape'!$AH$4:$AH$303*'Loan Tape'!$R$4:$R$303)/E250,"-")</f>
        <v>42.2248602984682</v>
      </c>
      <c r="I250" s="68" t="n">
        <f aca="false">IFERROR(SUMPRODUCT((('Loan Tape'!$AJ$4:$AJ$303&lt;&gt;"")*('Loan Tape'!$R$4:$R$303&lt;&gt;"")*('Loan Tape'!$AJ$4:$AJ$303&gt;=R250)*('Loan Tape'!$AJ$4:$AJ$303&lt;=S250))*(('Loan Tape'!$H$4:$H$303-$C$4)/30.4375)*'Loan Tape'!$R$4:$R$303)/E250,"-")</f>
        <v>70.8243433651149</v>
      </c>
      <c r="J250" s="69" t="n">
        <f aca="false">IFERROR(SUMPRODUCT((('Loan Tape'!$AJ$4:$AJ$303&lt;&gt;"")*('Loan Tape'!$R$4:$R$303&lt;&gt;"")*('Loan Tape'!$AJ$4:$AJ$303&gt;=R250)*('Loan Tape'!$AJ$4:$AJ$303&lt;=S250))*('Loan Tape'!$K$4:$K$303="Floating")*'Loan Tape'!$R$4:$R$303)/E250,"-")</f>
        <v>1</v>
      </c>
      <c r="K250" s="69" t="n">
        <f aca="false">IFERROR(SUMPRODUCT((('Loan Tape'!$AJ$4:$AJ$303&lt;&gt;"")*('Loan Tape'!$R$4:$R$303&lt;&gt;"")*('Loan Tape'!$AJ$4:$AJ$303&gt;=R250)*('Loan Tape'!$AJ$4:$AJ$303&lt;=S250))*'Loan Tape'!$T$4:$T$303*'Loan Tape'!$R$4:$R$303)/E250,"-")</f>
        <v>0.0696727773760217</v>
      </c>
      <c r="L250" s="69" t="n">
        <f aca="false">IFERROR(SUMPRODUCT((('Loan Tape'!$AJ$4:$AJ$303&lt;&gt;"")*('Loan Tape'!$R$4:$R$303&lt;&gt;"")*('Loan Tape'!$AJ$4:$AJ$303&gt;=R250)*('Loan Tape'!$AJ$4:$AJ$303&lt;=S250))*'Loan Tape'!$V$4:$V$303*'Loan Tape'!$R$4:$R$303)/E250,"-")</f>
        <v>0.62781759910591</v>
      </c>
      <c r="M250" s="69" t="n">
        <f aca="false">IFERROR(SUMPRODUCT((('Loan Tape'!$AJ$4:$AJ$303&lt;&gt;"")*('Loan Tape'!$R$4:$R$303&lt;&gt;"")*('Loan Tape'!$AJ$4:$AJ$303&gt;=R250)*('Loan Tape'!$AJ$4:$AJ$303&lt;=S250))*'Loan Tape'!$W$4:$W$303*'Loan Tape'!$R$4:$R$303)/E250,"-")</f>
        <v>0.657572918721101</v>
      </c>
      <c r="N250" s="69" t="n">
        <f aca="false">IFERROR(SUMPRODUCT((('Loan Tape'!$AJ$4:$AJ$303&lt;&gt;"")*('Loan Tape'!$R$4:$R$303&lt;&gt;"")*('Loan Tape'!$AJ$4:$AJ$303&gt;=R250)*('Loan Tape'!$AJ$4:$AJ$303&lt;=S250))*'Loan Tape'!$AI$4:$AI$303*'Loan Tape'!$R$4:$R$303)/E250,"-")</f>
        <v>0.0851409429579471</v>
      </c>
      <c r="O250" s="69" t="n">
        <f aca="false">IFERROR(SUMPRODUCT((('Loan Tape'!$AJ$4:$AJ$303&lt;&gt;"")*('Loan Tape'!$R$4:$R$303&lt;&gt;"")*('Loan Tape'!$AJ$4:$AJ$303&gt;=R250)*('Loan Tape'!$AJ$4:$AJ$303&lt;=S250))*'Loan Tape'!$AK$4:$AK$303*'Loan Tape'!$R$4:$R$303)/E250,"-")</f>
        <v>0.0987779359235641</v>
      </c>
      <c r="P250" s="69" t="n">
        <f aca="false">IFERROR(SUMPRODUCT((('Loan Tape'!$AJ$4:$AJ$303&lt;&gt;"")*('Loan Tape'!$R$4:$R$303&lt;&gt;"")*('Loan Tape'!$AJ$4:$AJ$303&gt;=R250)*('Loan Tape'!$AJ$4:$AJ$303&lt;=S250))*'Loan Tape'!$S$4:$S$303*'Loan Tape'!$R$4:$R$303)/E250,"-")</f>
        <v>0.933965266364254</v>
      </c>
      <c r="R250" s="91" t="n">
        <v>36.01</v>
      </c>
      <c r="S250" s="91" t="n">
        <v>1000000000000</v>
      </c>
    </row>
    <row r="251" customFormat="false" ht="14.25" hidden="false" customHeight="false" outlineLevel="0" collapsed="false">
      <c r="B251" s="7" t="s">
        <v>480</v>
      </c>
      <c r="C251" s="68" t="n">
        <f aca="false">SUMPRODUCT((('Loan Tape'!$R$4:$R$303&lt;&gt;"")*(('Loan Tape'!$Z$4:$Z$303="Full Amortizing")*('Loan Tape'!$R$4:$R$303&lt;&gt;"")))*1)</f>
        <v>11</v>
      </c>
      <c r="D251" s="68" t="n">
        <f aca="false">SUMPRODUCT((('Loan Tape'!$R$4:$R$303&lt;&gt;"")*(('Loan Tape'!$Z$4:$Z$303="Full Amortizing")*('Loan Tape'!$R$4:$R$303&lt;&gt;"")))*'Loan Tape'!$F$4:$F$303)</f>
        <v>1439</v>
      </c>
      <c r="E251" s="84" t="n">
        <f aca="false">SUMPRODUCT((('Loan Tape'!$R$4:$R$303&lt;&gt;"")*(('Loan Tape'!$Z$4:$Z$303="Full Amortizing")*('Loan Tape'!$R$4:$R$303&lt;&gt;"")))*'Loan Tape'!$R$4:$R$303)</f>
        <v>449704000</v>
      </c>
      <c r="F251" s="69" t="n">
        <f aca="false">IFERROR(E251/C5,0)</f>
        <v>0.180198027736706</v>
      </c>
      <c r="G251" s="85" t="n">
        <f aca="false">IFERROR(SUMPRODUCT((('Loan Tape'!$R$4:$R$303&lt;&gt;"")*(('Loan Tape'!$Z$4:$Z$303="Full Amortizing")*('Loan Tape'!$R$4:$R$303&lt;&gt;"")))*'Loan Tape'!$U$4:$U$303*'Loan Tape'!$R$4:$R$303)/E251,"-")</f>
        <v>1.45543428566346</v>
      </c>
      <c r="H251" s="68" t="n">
        <f aca="false">IFERROR(SUMPRODUCT((('Loan Tape'!$R$4:$R$303&lt;&gt;"")*(('Loan Tape'!$Z$4:$Z$303="Full Amortizing")*('Loan Tape'!$R$4:$R$303&lt;&gt;"")))*'Loan Tape'!$AH$4:$AH$303*'Loan Tape'!$R$4:$R$303)/E251,"-")</f>
        <v>97.2010504687528</v>
      </c>
      <c r="I251" s="68" t="n">
        <f aca="false">IFERROR(SUMPRODUCT((('Loan Tape'!$R$4:$R$303&lt;&gt;"")*(('Loan Tape'!$Z$4:$Z$303="Full Amortizing")*('Loan Tape'!$R$4:$R$303&lt;&gt;"")))*(('Loan Tape'!$H$4:$H$303-$C$4)/30.4375)*'Loan Tape'!$R$4:$R$303)/E251,"-")</f>
        <v>3.53410924442529</v>
      </c>
      <c r="J251" s="69" t="n">
        <f aca="false">IFERROR(SUMPRODUCT((('Loan Tape'!$R$4:$R$303&lt;&gt;"")*(('Loan Tape'!$Z$4:$Z$303="Full Amortizing")*('Loan Tape'!$R$4:$R$303&lt;&gt;"")))*('Loan Tape'!$K$4:$K$303="Floating")*'Loan Tape'!$R$4:$R$303)/E251,"-")</f>
        <v>0.47884608542508</v>
      </c>
      <c r="K251" s="69" t="n">
        <f aca="false">IFERROR(SUMPRODUCT((('Loan Tape'!$R$4:$R$303&lt;&gt;"")*(('Loan Tape'!$Z$4:$Z$303="Full Amortizing")*('Loan Tape'!$R$4:$R$303&lt;&gt;"")))*'Loan Tape'!$T$4:$T$303*'Loan Tape'!$R$4:$R$303)/E251,"-")</f>
        <v>0.104062945626457</v>
      </c>
      <c r="L251" s="69" t="n">
        <f aca="false">IFERROR(SUMPRODUCT((('Loan Tape'!$R$4:$R$303&lt;&gt;"")*(('Loan Tape'!$Z$4:$Z$303="Full Amortizing")*('Loan Tape'!$R$4:$R$303&lt;&gt;"")))*'Loan Tape'!$V$4:$V$303*'Loan Tape'!$R$4:$R$303)/E251,"-")</f>
        <v>0.682618987155996</v>
      </c>
      <c r="M251" s="69" t="n">
        <f aca="false">IFERROR(SUMPRODUCT((('Loan Tape'!$R$4:$R$303&lt;&gt;"")*(('Loan Tape'!$Z$4:$Z$303="Full Amortizing")*('Loan Tape'!$R$4:$R$303&lt;&gt;"")))*'Loan Tape'!$W$4:$W$303*'Loan Tape'!$R$4:$R$303)/E251,"-")</f>
        <v>0.720469924661555</v>
      </c>
      <c r="N251" s="69" t="n">
        <f aca="false">IFERROR(SUMPRODUCT((('Loan Tape'!$R$4:$R$303&lt;&gt;"")*(('Loan Tape'!$Z$4:$Z$303="Full Amortizing")*('Loan Tape'!$R$4:$R$303&lt;&gt;"")))*'Loan Tape'!$AI$4:$AI$303*'Loan Tape'!$R$4:$R$303)/E251,"-")</f>
        <v>0.0607741643392098</v>
      </c>
      <c r="O251" s="69" t="n">
        <f aca="false">IFERROR(SUMPRODUCT((('Loan Tape'!$R$4:$R$303&lt;&gt;"")*(('Loan Tape'!$Z$4:$Z$303="Full Amortizing")*('Loan Tape'!$R$4:$R$303&lt;&gt;"")))*'Loan Tape'!$AK$4:$AK$303*'Loan Tape'!$R$4:$R$303)/E251,"-")</f>
        <v>0.0674486199811432</v>
      </c>
      <c r="P251" s="69" t="n">
        <f aca="false">IFERROR(SUMPRODUCT((('Loan Tape'!$R$4:$R$303&lt;&gt;"")*(('Loan Tape'!$Z$4:$Z$303="Full Amortizing")*('Loan Tape'!$R$4:$R$303&lt;&gt;"")))*'Loan Tape'!$S$4:$S$303*'Loan Tape'!$R$4:$R$303)/E251,"-")</f>
        <v>0.882380083343711</v>
      </c>
    </row>
    <row r="252" customFormat="false" ht="14.25" hidden="false" customHeight="false" outlineLevel="0" collapsed="false">
      <c r="B252" s="86" t="s">
        <v>405</v>
      </c>
      <c r="C252" s="92" t="n">
        <f aca="false">SUM(C247:C251)</f>
        <v>50</v>
      </c>
      <c r="D252" s="92" t="n">
        <f aca="false">SUM(D247:D251)</f>
        <v>4739</v>
      </c>
      <c r="E252" s="88" t="n">
        <f aca="false">SUM(E247:E251)</f>
        <v>2495610000</v>
      </c>
      <c r="F252" s="89" t="n">
        <f aca="false">SUM(F247:F251)</f>
        <v>1</v>
      </c>
      <c r="G252" s="90" t="n">
        <f aca="false">IFERROR(SUMPRODUCT((('Loan Tape'!$R$4:$R$303&lt;&gt;""))*'Loan Tape'!$U$4:$U$303*'Loan Tape'!$R$4:$R$303)/E252,"-")</f>
        <v>1.36575944157941</v>
      </c>
      <c r="H252" s="92" t="n">
        <f aca="false">IFERROR(SUMPRODUCT((('Loan Tape'!$R$4:$R$303&lt;&gt;""))*'Loan Tape'!$AH$4:$AH$303*'Loan Tape'!$R$4:$R$303)/E252,"-")</f>
        <v>76.5147345138063</v>
      </c>
      <c r="I252" s="92" t="n">
        <f aca="false">IFERROR(SUMPRODUCT((('Loan Tape'!$R$4:$R$303&lt;&gt;""))*(('Loan Tape'!$H$4:$H$303-$C$4)/30.4375)*'Loan Tape'!$R$4:$R$303)/E252,"-")</f>
        <v>17.6772942206432</v>
      </c>
      <c r="J252" s="89" t="n">
        <f aca="false">IFERROR(SUMPRODUCT((('Loan Tape'!$R$4:$R$303&lt;&gt;""))*('Loan Tape'!$K$4:$K$303="Floating")*'Loan Tape'!$R$4:$R$303)/E252,"-")</f>
        <v>0.664477622705471</v>
      </c>
      <c r="K252" s="89" t="n">
        <f aca="false">IFERROR(SUMPRODUCT((('Loan Tape'!$R$4:$R$303&lt;&gt;""))*'Loan Tape'!$T$4:$T$303*'Loan Tape'!$R$4:$R$303)/E252,"-")</f>
        <v>0.0861540568438177</v>
      </c>
      <c r="L252" s="89" t="n">
        <f aca="false">IFERROR(SUMPRODUCT((('Loan Tape'!$R$4:$R$303&lt;&gt;""))*'Loan Tape'!$V$4:$V$303*'Loan Tape'!$R$4:$R$303)/E252,"-")</f>
        <v>0.683559256454334</v>
      </c>
      <c r="M252" s="89" t="n">
        <f aca="false">IFERROR(SUMPRODUCT((('Loan Tape'!$R$4:$R$303&lt;&gt;""))*'Loan Tape'!$W$4:$W$303*'Loan Tape'!$R$4:$R$303)/E252,"-")</f>
        <v>0.716164459190338</v>
      </c>
      <c r="N252" s="89" t="n">
        <f aca="false">IFERROR(SUMPRODUCT((('Loan Tape'!$R$4:$R$303&lt;&gt;""))*'Loan Tape'!$AI$4:$AI$303*'Loan Tape'!$R$4:$R$303)/E252,"-")</f>
        <v>0.0704574522862146</v>
      </c>
      <c r="O252" s="89" t="n">
        <f aca="false">IFERROR(SUMPRODUCT((('Loan Tape'!$R$4:$R$303&lt;&gt;""))*'Loan Tape'!$AK$4:$AK$303*'Loan Tape'!$R$4:$R$303)/E252,"-")</f>
        <v>0.0792103169165054</v>
      </c>
      <c r="P252" s="89" t="n">
        <f aca="false">IFERROR(SUMPRODUCT((('Loan Tape'!$R$4:$R$303&lt;&gt;""))*'Loan Tape'!$S$4:$S$303*'Loan Tape'!$R$4:$R$303)/E252,"-")</f>
        <v>0.886687142221741</v>
      </c>
    </row>
    <row r="254" customFormat="false" ht="19.5" hidden="false" customHeight="true" outlineLevel="0" collapsed="false">
      <c r="B254" s="5" t="s">
        <v>481</v>
      </c>
      <c r="C254" s="5"/>
      <c r="D254" s="5"/>
      <c r="E254" s="5"/>
      <c r="F254" s="5"/>
      <c r="G254" s="5"/>
      <c r="H254" s="5"/>
      <c r="I254" s="5"/>
      <c r="J254" s="5"/>
      <c r="K254" s="5"/>
      <c r="L254" s="5"/>
      <c r="M254" s="5"/>
      <c r="N254" s="5"/>
      <c r="O254" s="5"/>
      <c r="P254" s="5"/>
    </row>
    <row r="255" customFormat="false" ht="42" hidden="false" customHeight="true" outlineLevel="0" collapsed="false">
      <c r="B255" s="82" t="s">
        <v>423</v>
      </c>
      <c r="C255" s="83" t="s">
        <v>368</v>
      </c>
      <c r="D255" s="83" t="s">
        <v>153</v>
      </c>
      <c r="E255" s="83" t="s">
        <v>393</v>
      </c>
      <c r="F255" s="83" t="s">
        <v>394</v>
      </c>
      <c r="G255" s="83" t="s">
        <v>395</v>
      </c>
      <c r="H255" s="83" t="s">
        <v>396</v>
      </c>
      <c r="I255" s="83" t="s">
        <v>397</v>
      </c>
      <c r="J255" s="83" t="s">
        <v>398</v>
      </c>
      <c r="K255" s="83" t="s">
        <v>399</v>
      </c>
      <c r="L255" s="83" t="s">
        <v>400</v>
      </c>
      <c r="M255" s="83" t="s">
        <v>401</v>
      </c>
      <c r="N255" s="83" t="s">
        <v>402</v>
      </c>
      <c r="O255" s="83" t="s">
        <v>403</v>
      </c>
      <c r="P255" s="83" t="s">
        <v>365</v>
      </c>
    </row>
    <row r="256" customFormat="false" ht="14.25" hidden="false" customHeight="false" outlineLevel="0" collapsed="false">
      <c r="B256" s="7" t="s">
        <v>482</v>
      </c>
      <c r="C256" s="68" t="n">
        <f aca="false">COUNTIFS('Loan Tape'!$H$4:$H$303,"&lt;"&amp;C4)</f>
        <v>16</v>
      </c>
      <c r="D256" s="68" t="n">
        <f aca="false">SUMPRODUCT((('Loan Tape'!$R$4:$R$303&lt;&gt;"")*('Loan Tape'!$H$4:$H$303&lt;C4)*('Loan Tape'!$H$4:$H$303&lt;&gt;""))*'Loan Tape'!$F$4:$F$303)</f>
        <v>2653</v>
      </c>
      <c r="E256" s="84" t="n">
        <f aca="false">SUMIFS('Loan Tape'!$R$4:$R$303,'Loan Tape'!$H$4:$H$303,"&lt;"&amp;C4)</f>
        <v>873179000</v>
      </c>
      <c r="F256" s="69" t="n">
        <f aca="false">IFERROR(E256/C5,0)</f>
        <v>0.349885999815676</v>
      </c>
      <c r="G256" s="85" t="n">
        <f aca="false">IFERROR(SUMPRODUCT((('Loan Tape'!$R$4:$R$303&lt;&gt;"")*('Loan Tape'!$H$4:$H$303&lt;C4)*('Loan Tape'!$H$4:$H$303&lt;&gt;""))*'Loan Tape'!$U$4:$U$303*'Loan Tape'!$R$4:$R$303)/E256,"-")</f>
        <v>1.23401691978392</v>
      </c>
      <c r="H256" s="68" t="n">
        <f aca="false">IFERROR(SUMPRODUCT((('Loan Tape'!$R$4:$R$303&lt;&gt;"")*('Loan Tape'!$H$4:$H$303&lt;C4)*('Loan Tape'!$H$4:$H$303&lt;&gt;""))*'Loan Tape'!$AH$4:$AH$303*'Loan Tape'!$R$4:$R$303)/E256,"-")</f>
        <v>96.212308129261</v>
      </c>
      <c r="I256" s="68" t="n">
        <f aca="false">IFERROR(SUMPRODUCT((('Loan Tape'!$R$4:$R$303&lt;&gt;"")*('Loan Tape'!$H$4:$H$303&lt;C4)*('Loan Tape'!$H$4:$H$303&lt;&gt;""))*(('Loan Tape'!$H$4:$H$303-$C$4)/30.4375)*'Loan Tape'!$R$4:$R$303)/E256,"-")</f>
        <v>-26.9455863737802</v>
      </c>
      <c r="J256" s="69" t="n">
        <f aca="false">IFERROR(SUMPRODUCT((('Loan Tape'!$R$4:$R$303&lt;&gt;"")*('Loan Tape'!$H$4:$H$303&lt;C4)*('Loan Tape'!$H$4:$H$303&lt;&gt;""))*('Loan Tape'!$K$4:$K$303="Floating")*'Loan Tape'!$R$4:$R$303)/E256,"-")</f>
        <v>0.453630927908253</v>
      </c>
      <c r="K256" s="69" t="n">
        <f aca="false">IFERROR(SUMPRODUCT((('Loan Tape'!$R$4:$R$303&lt;&gt;"")*('Loan Tape'!$H$4:$H$303&lt;C4)*('Loan Tape'!$H$4:$H$303&lt;&gt;""))*'Loan Tape'!$T$4:$T$303*'Loan Tape'!$R$4:$R$303)/E256,"-")</f>
        <v>0.0891504082209948</v>
      </c>
      <c r="L256" s="69" t="n">
        <f aca="false">IFERROR(SUMPRODUCT((('Loan Tape'!$R$4:$R$303&lt;&gt;"")*('Loan Tape'!$H$4:$H$303&lt;C4)*('Loan Tape'!$H$4:$H$303&lt;&gt;""))*'Loan Tape'!$V$4:$V$303*'Loan Tape'!$R$4:$R$303)/E256,"-")</f>
        <v>0.718962434964652</v>
      </c>
      <c r="M256" s="69" t="n">
        <f aca="false">IFERROR(SUMPRODUCT((('Loan Tape'!$R$4:$R$303&lt;&gt;"")*('Loan Tape'!$H$4:$H$303&lt;C4)*('Loan Tape'!$H$4:$H$303&lt;&gt;""))*'Loan Tape'!$W$4:$W$303*'Loan Tape'!$R$4:$R$303)/E256,"-")</f>
        <v>0.756810010318617</v>
      </c>
      <c r="N256" s="69" t="n">
        <f aca="false">IFERROR(SUMPRODUCT((('Loan Tape'!$R$4:$R$303&lt;&gt;"")*('Loan Tape'!$H$4:$H$303&lt;C4)*('Loan Tape'!$H$4:$H$303&lt;&gt;""))*'Loan Tape'!$AI$4:$AI$303*'Loan Tape'!$R$4:$R$303)/E256,"-")</f>
        <v>0.0681049961119083</v>
      </c>
      <c r="O256" s="69" t="n">
        <f aca="false">IFERROR(SUMPRODUCT((('Loan Tape'!$R$4:$R$303&lt;&gt;"")*('Loan Tape'!$H$4:$H$303&lt;C4)*('Loan Tape'!$H$4:$H$303&lt;&gt;""))*'Loan Tape'!$AK$4:$AK$303*'Loan Tape'!$R$4:$R$303)/E256,"-")</f>
        <v>0.0721219942302781</v>
      </c>
      <c r="P256" s="69" t="n">
        <f aca="false">IFERROR(SUMPRODUCT((('Loan Tape'!$R$4:$R$303&lt;&gt;"")*('Loan Tape'!$H$4:$H$303&lt;C4)*('Loan Tape'!$H$4:$H$303&lt;&gt;""))*'Loan Tape'!$S$4:$S$303*'Loan Tape'!$R$4:$R$303)/E256,"-")</f>
        <v>0.895041268743293</v>
      </c>
    </row>
    <row r="257" customFormat="false" ht="14.25" hidden="false" customHeight="false" outlineLevel="0" collapsed="false">
      <c r="B257" s="7" t="s">
        <v>483</v>
      </c>
      <c r="C257" s="68" t="n">
        <f aca="false">COUNTIFS('Loan Tape'!$H$4:$H$303,"&gt;="&amp;EDATE(C4,0.0001),'Loan Tape'!$H$4:$H$303,"&lt;="&amp;EDATE(C4,12))</f>
        <v>2</v>
      </c>
      <c r="D257" s="68" t="n">
        <f aca="false">SUMPRODUCT((('Loan Tape'!$R$4:$R$303&lt;&gt;"")*('Loan Tape'!$H$4:$H$303&gt;=EDATE(C4,0.0001))*('Loan Tape'!$H$4:$H$303&lt;=EDATE(C4,12)))*'Loan Tape'!$F$4:$F$303)</f>
        <v>0</v>
      </c>
      <c r="E257" s="84" t="n">
        <f aca="false">SUMIFS('Loan Tape'!$R$4:$R$303,'Loan Tape'!$H$4:$H$303,"&gt;="&amp;EDATE(C4,0.0001),'Loan Tape'!$H$4:$H$303,"&lt;="&amp;EDATE(C4,12))</f>
        <v>16341000</v>
      </c>
      <c r="F257" s="69" t="n">
        <f aca="false">IFERROR(E257/C5,0)</f>
        <v>0.00654789810907954</v>
      </c>
      <c r="G257" s="85" t="n">
        <f aca="false">IFERROR(SUMPRODUCT((('Loan Tape'!$R$4:$R$303&lt;&gt;"")*('Loan Tape'!$H$4:$H$303&gt;=EDATE(C4,0.0001))*('Loan Tape'!$H$4:$H$303&lt;=EDATE(C4,12)))*'Loan Tape'!$U$4:$U$303*'Loan Tape'!$R$4:$R$303)/E257,"-")</f>
        <v>1.28958019705036</v>
      </c>
      <c r="H257" s="68" t="n">
        <f aca="false">IFERROR(SUMPRODUCT((('Loan Tape'!$R$4:$R$303&lt;&gt;"")*('Loan Tape'!$H$4:$H$303&gt;=EDATE(C4,0.0001))*('Loan Tape'!$H$4:$H$303&lt;=EDATE(C4,12)))*'Loan Tape'!$AH$4:$AH$303*'Loan Tape'!$R$4:$R$303)/E257,"-")</f>
        <v>99.2359708708157</v>
      </c>
      <c r="I257" s="68" t="n">
        <f aca="false">IFERROR(SUMPRODUCT((('Loan Tape'!$R$4:$R$303&lt;&gt;"")*('Loan Tape'!$H$4:$H$303&gt;=EDATE(C4,0.0001))*('Loan Tape'!$H$4:$H$303&lt;=EDATE(C4,12)))*(('Loan Tape'!$H$4:$H$303-$C$4)/30.4375)*'Loan Tape'!$R$4:$R$303)/E257,"-")</f>
        <v>8.30863072653196</v>
      </c>
      <c r="J257" s="69" t="n">
        <f aca="false">IFERROR(SUMPRODUCT((('Loan Tape'!$R$4:$R$303&lt;&gt;"")*('Loan Tape'!$H$4:$H$303&gt;=EDATE(C4,0.0001))*('Loan Tape'!$H$4:$H$303&lt;=EDATE(C4,12)))*('Loan Tape'!$K$4:$K$303="Floating")*'Loan Tape'!$R$4:$R$303)/E257,"-")</f>
        <v>0.653999143259286</v>
      </c>
      <c r="K257" s="69" t="n">
        <f aca="false">IFERROR(SUMPRODUCT((('Loan Tape'!$R$4:$R$303&lt;&gt;"")*('Loan Tape'!$H$4:$H$303&gt;=EDATE(C4,0.0001))*('Loan Tape'!$H$4:$H$303&lt;=EDATE(C4,12)))*'Loan Tape'!$T$4:$T$303*'Loan Tape'!$R$4:$R$303)/E257,"-")</f>
        <v>0.0692831650449789</v>
      </c>
      <c r="L257" s="69" t="n">
        <f aca="false">IFERROR(SUMPRODUCT((('Loan Tape'!$R$4:$R$303&lt;&gt;"")*('Loan Tape'!$H$4:$H$303&gt;=EDATE(C4,0.0001))*('Loan Tape'!$H$4:$H$303&lt;=EDATE(C4,12)))*'Loan Tape'!$V$4:$V$303*'Loan Tape'!$R$4:$R$303)/E257,"-")</f>
        <v>0.628444097668441</v>
      </c>
      <c r="M257" s="69" t="n">
        <f aca="false">IFERROR(SUMPRODUCT((('Loan Tape'!$R$4:$R$303&lt;&gt;"")*('Loan Tape'!$H$4:$H$303&gt;=EDATE(C4,0.0001))*('Loan Tape'!$H$4:$H$303&lt;=EDATE(C4,12)))*'Loan Tape'!$W$4:$W$303*'Loan Tape'!$R$4:$R$303)/E257,"-")</f>
        <v>0.664710115659996</v>
      </c>
      <c r="N257" s="69" t="n">
        <f aca="false">IFERROR(SUMPRODUCT((('Loan Tape'!$R$4:$R$303&lt;&gt;"")*('Loan Tape'!$H$4:$H$303&gt;=EDATE(C4,0.0001))*('Loan Tape'!$H$4:$H$303&lt;=EDATE(C4,12)))*'Loan Tape'!$AI$4:$AI$303*'Loan Tape'!$R$4:$R$303)/E257,"-")</f>
        <v>0.0633517899761337</v>
      </c>
      <c r="O257" s="69" t="n">
        <f aca="false">IFERROR(SUMPRODUCT((('Loan Tape'!$R$4:$R$303&lt;&gt;"")*('Loan Tape'!$H$4:$H$303&gt;=EDATE(C4,0.0001))*('Loan Tape'!$H$4:$H$303&lt;=EDATE(C4,12)))*'Loan Tape'!$AK$4:$AK$303*'Loan Tape'!$R$4:$R$303)/E257,"-")</f>
        <v>0.073161777125023</v>
      </c>
      <c r="P257" s="69" t="n">
        <f aca="false">IFERROR(SUMPRODUCT((('Loan Tape'!$R$4:$R$303&lt;&gt;"")*('Loan Tape'!$H$4:$H$303&gt;=EDATE(C4,0.0001))*('Loan Tape'!$H$4:$H$303&lt;=EDATE(C4,12)))*'Loan Tape'!$S$4:$S$303*'Loan Tape'!$R$4:$R$303)/E257,"-")</f>
        <v>0.851809987148889</v>
      </c>
    </row>
    <row r="258" customFormat="false" ht="14.25" hidden="false" customHeight="false" outlineLevel="0" collapsed="false">
      <c r="B258" s="7" t="s">
        <v>474</v>
      </c>
      <c r="C258" s="68" t="n">
        <f aca="false">COUNTIFS('Loan Tape'!$H$4:$H$303,"&gt;="&amp;EDATE(C4,12.0001),'Loan Tape'!$H$4:$H$303,"&lt;="&amp;EDATE(C4,24))</f>
        <v>8</v>
      </c>
      <c r="D258" s="68" t="n">
        <f aca="false">SUMPRODUCT((('Loan Tape'!$R$4:$R$303&lt;&gt;"")*('Loan Tape'!$H$4:$H$303&gt;=EDATE(C4,12.0001))*('Loan Tape'!$H$4:$H$303&lt;=EDATE(C4,24)))*'Loan Tape'!$F$4:$F$303)</f>
        <v>877</v>
      </c>
      <c r="E258" s="84" t="n">
        <f aca="false">SUMIFS('Loan Tape'!$R$4:$R$303,'Loan Tape'!$H$4:$H$303,"&gt;="&amp;EDATE(C4,12.0001),'Loan Tape'!$H$4:$H$303,"&lt;="&amp;EDATE(C4,24))</f>
        <v>487089000</v>
      </c>
      <c r="F258" s="69" t="n">
        <f aca="false">IFERROR(E258/C5,0)</f>
        <v>0.195178333153017</v>
      </c>
      <c r="G258" s="85" t="n">
        <f aca="false">IFERROR(SUMPRODUCT((('Loan Tape'!$R$4:$R$303&lt;&gt;"")*('Loan Tape'!$H$4:$H$303&gt;=EDATE(C4,12.0001))*('Loan Tape'!$H$4:$H$303&lt;=EDATE(C4,24)))*'Loan Tape'!$U$4:$U$303*'Loan Tape'!$R$4:$R$303)/E258,"-")</f>
        <v>1.42679824426337</v>
      </c>
      <c r="H258" s="68" t="n">
        <f aca="false">IFERROR(SUMPRODUCT((('Loan Tape'!$R$4:$R$303&lt;&gt;"")*('Loan Tape'!$H$4:$H$303&gt;=EDATE(C4,12.0001))*('Loan Tape'!$H$4:$H$303&lt;=EDATE(C4,24)))*'Loan Tape'!$AH$4:$AH$303*'Loan Tape'!$R$4:$R$303)/E258,"-")</f>
        <v>99.783963710944</v>
      </c>
      <c r="I258" s="68" t="n">
        <f aca="false">IFERROR(SUMPRODUCT((('Loan Tape'!$R$4:$R$303&lt;&gt;"")*('Loan Tape'!$H$4:$H$303&gt;=EDATE(C4,12.0001))*('Loan Tape'!$H$4:$H$303&lt;=EDATE(C4,24)))*(('Loan Tape'!$H$4:$H$303-$C$4)/30.4375)*'Loan Tape'!$R$4:$R$303)/E258,"-")</f>
        <v>19.3902975107834</v>
      </c>
      <c r="J258" s="69" t="n">
        <f aca="false">IFERROR(SUMPRODUCT((('Loan Tape'!$R$4:$R$303&lt;&gt;"")*('Loan Tape'!$H$4:$H$303&gt;=EDATE(C4,12.0001))*('Loan Tape'!$H$4:$H$303&lt;=EDATE(C4,24)))*('Loan Tape'!$K$4:$K$303="Floating")*'Loan Tape'!$R$4:$R$303)/E258,"-")</f>
        <v>0.819024859933195</v>
      </c>
      <c r="K258" s="69" t="n">
        <f aca="false">IFERROR(SUMPRODUCT((('Loan Tape'!$R$4:$R$303&lt;&gt;"")*('Loan Tape'!$H$4:$H$303&gt;=EDATE(C4,12.0001))*('Loan Tape'!$H$4:$H$303&lt;=EDATE(C4,24)))*'Loan Tape'!$T$4:$T$303*'Loan Tape'!$R$4:$R$303)/E258,"-")</f>
        <v>0.0967373165889601</v>
      </c>
      <c r="L258" s="69" t="n">
        <f aca="false">IFERROR(SUMPRODUCT((('Loan Tape'!$R$4:$R$303&lt;&gt;"")*('Loan Tape'!$H$4:$H$303&gt;=EDATE(C4,12.0001))*('Loan Tape'!$H$4:$H$303&lt;=EDATE(C4,24)))*'Loan Tape'!$V$4:$V$303*'Loan Tape'!$R$4:$R$303)/E258,"-")</f>
        <v>0.579374711808314</v>
      </c>
      <c r="M258" s="69" t="n">
        <f aca="false">IFERROR(SUMPRODUCT((('Loan Tape'!$R$4:$R$303&lt;&gt;"")*('Loan Tape'!$H$4:$H$303&gt;=EDATE(C4,12.0001))*('Loan Tape'!$H$4:$H$303&lt;=EDATE(C4,24)))*'Loan Tape'!$W$4:$W$303*'Loan Tape'!$R$4:$R$303)/E258,"-")</f>
        <v>0.611055006374605</v>
      </c>
      <c r="N258" s="69" t="n">
        <f aca="false">IFERROR(SUMPRODUCT((('Loan Tape'!$R$4:$R$303&lt;&gt;"")*('Loan Tape'!$H$4:$H$303&gt;=EDATE(C4,12.0001))*('Loan Tape'!$H$4:$H$303&lt;=EDATE(C4,24)))*'Loan Tape'!$AI$4:$AI$303*'Loan Tape'!$R$4:$R$303)/E258,"-")</f>
        <v>0.0665326090303825</v>
      </c>
      <c r="O258" s="69" t="n">
        <f aca="false">IFERROR(SUMPRODUCT((('Loan Tape'!$R$4:$R$303&lt;&gt;"")*('Loan Tape'!$H$4:$H$303&gt;=EDATE(C4,12.0001))*('Loan Tape'!$H$4:$H$303&lt;=EDATE(C4,24)))*'Loan Tape'!$AK$4:$AK$303*'Loan Tape'!$R$4:$R$303)/E258,"-")</f>
        <v>0.0787103619667042</v>
      </c>
      <c r="P258" s="69" t="n">
        <f aca="false">IFERROR(SUMPRODUCT((('Loan Tape'!$R$4:$R$303&lt;&gt;"")*('Loan Tape'!$H$4:$H$303&gt;=EDATE(C4,12.0001))*('Loan Tape'!$H$4:$H$303&lt;=EDATE(C4,24)))*'Loan Tape'!$S$4:$S$303*'Loan Tape'!$R$4:$R$303)/E258,"-")</f>
        <v>0.860163001012135</v>
      </c>
    </row>
    <row r="259" customFormat="false" ht="14.25" hidden="false" customHeight="false" outlineLevel="0" collapsed="false">
      <c r="B259" s="7" t="s">
        <v>475</v>
      </c>
      <c r="C259" s="68" t="n">
        <f aca="false">COUNTIFS('Loan Tape'!$H$4:$H$303,"&gt;="&amp;EDATE(C4,24.0001),'Loan Tape'!$H$4:$H$303,"&lt;="&amp;EDATE(C4,36))</f>
        <v>3</v>
      </c>
      <c r="D259" s="68" t="n">
        <f aca="false">SUMPRODUCT((('Loan Tape'!$R$4:$R$303&lt;&gt;"")*('Loan Tape'!$H$4:$H$303&gt;=EDATE(C4,24.0001))*('Loan Tape'!$H$4:$H$303&lt;=EDATE(C4,36)))*'Loan Tape'!$F$4:$F$303)</f>
        <v>409</v>
      </c>
      <c r="E259" s="84" t="n">
        <f aca="false">SUMIFS('Loan Tape'!$R$4:$R$303,'Loan Tape'!$H$4:$H$303,"&gt;="&amp;EDATE(C4,24.0001),'Loan Tape'!$H$4:$H$303,"&lt;="&amp;EDATE(C4,36))</f>
        <v>132948000</v>
      </c>
      <c r="F259" s="69" t="n">
        <f aca="false">IFERROR(E259/C5,0)</f>
        <v>0.053272746943633</v>
      </c>
      <c r="G259" s="85" t="n">
        <f aca="false">IFERROR(SUMPRODUCT((('Loan Tape'!$R$4:$R$303&lt;&gt;"")*('Loan Tape'!$H$4:$H$303&gt;=EDATE(C4,24.0001))*('Loan Tape'!$H$4:$H$303&lt;=EDATE(C4,36)))*'Loan Tape'!$U$4:$U$303*'Loan Tape'!$R$4:$R$303)/E259,"-")</f>
        <v>1.44769872431327</v>
      </c>
      <c r="H259" s="68" t="n">
        <f aca="false">IFERROR(SUMPRODUCT((('Loan Tape'!$R$4:$R$303&lt;&gt;"")*('Loan Tape'!$H$4:$H$303&gt;=EDATE(C4,24.0001))*('Loan Tape'!$H$4:$H$303&lt;=EDATE(C4,36)))*'Loan Tape'!$AH$4:$AH$303*'Loan Tape'!$R$4:$R$303)/E259,"-")</f>
        <v>53.7606583024942</v>
      </c>
      <c r="I259" s="68" t="n">
        <f aca="false">IFERROR(SUMPRODUCT((('Loan Tape'!$R$4:$R$303&lt;&gt;"")*('Loan Tape'!$H$4:$H$303&gt;=EDATE(C4,24.0001))*('Loan Tape'!$H$4:$H$303&lt;=EDATE(C4,36)))*(('Loan Tape'!$H$4:$H$303-$C$4)/30.4375)*'Loan Tape'!$R$4:$R$303)/E259,"-")</f>
        <v>31.7089579850861</v>
      </c>
      <c r="J259" s="69" t="n">
        <f aca="false">IFERROR(SUMPRODUCT((('Loan Tape'!$R$4:$R$303&lt;&gt;"")*('Loan Tape'!$H$4:$H$303&gt;=EDATE(C4,24.0001))*('Loan Tape'!$H$4:$H$303&lt;=EDATE(C4,36)))*('Loan Tape'!$K$4:$K$303="Floating")*'Loan Tape'!$R$4:$R$303)/E259,"-")</f>
        <v>0.962097963113398</v>
      </c>
      <c r="K259" s="69" t="n">
        <f aca="false">IFERROR(SUMPRODUCT((('Loan Tape'!$R$4:$R$303&lt;&gt;"")*('Loan Tape'!$H$4:$H$303&gt;=EDATE(C4,24.0001))*('Loan Tape'!$H$4:$H$303&lt;=EDATE(C4,36)))*'Loan Tape'!$T$4:$T$303*'Loan Tape'!$R$4:$R$303)/E259,"-")</f>
        <v>0.0404115579023378</v>
      </c>
      <c r="L259" s="69" t="n">
        <f aca="false">IFERROR(SUMPRODUCT((('Loan Tape'!$R$4:$R$303&lt;&gt;"")*('Loan Tape'!$H$4:$H$303&gt;=EDATE(C4,24.0001))*('Loan Tape'!$H$4:$H$303&lt;=EDATE(C4,36)))*'Loan Tape'!$V$4:$V$303*'Loan Tape'!$R$4:$R$303)/E259,"-")</f>
        <v>0.905686960315311</v>
      </c>
      <c r="M259" s="69" t="n">
        <f aca="false">IFERROR(SUMPRODUCT((('Loan Tape'!$R$4:$R$303&lt;&gt;"")*('Loan Tape'!$H$4:$H$303&gt;=EDATE(C4,24.0001))*('Loan Tape'!$H$4:$H$303&lt;=EDATE(C4,36)))*'Loan Tape'!$W$4:$W$303*'Loan Tape'!$R$4:$R$303)/E259,"-")</f>
        <v>0.940478254655956</v>
      </c>
      <c r="N259" s="69" t="n">
        <f aca="false">IFERROR(SUMPRODUCT((('Loan Tape'!$R$4:$R$303&lt;&gt;"")*('Loan Tape'!$H$4:$H$303&gt;=EDATE(C4,24.0001))*('Loan Tape'!$H$4:$H$303&lt;=EDATE(C4,36)))*'Loan Tape'!$AI$4:$AI$303*'Loan Tape'!$R$4:$R$303)/E259,"-")</f>
        <v>0.0813977540090863</v>
      </c>
      <c r="O259" s="69" t="n">
        <f aca="false">IFERROR(SUMPRODUCT((('Loan Tape'!$R$4:$R$303&lt;&gt;"")*('Loan Tape'!$H$4:$H$303&gt;=EDATE(C4,24.0001))*('Loan Tape'!$H$4:$H$303&lt;=EDATE(C4,36)))*'Loan Tape'!$AK$4:$AK$303*'Loan Tape'!$R$4:$R$303)/E259,"-")</f>
        <v>0.0958292234557872</v>
      </c>
      <c r="P259" s="69" t="n">
        <f aca="false">IFERROR(SUMPRODUCT((('Loan Tape'!$R$4:$R$303&lt;&gt;"")*('Loan Tape'!$H$4:$H$303&gt;=EDATE(C4,24.0001))*('Loan Tape'!$H$4:$H$303&lt;=EDATE(C4,36)))*'Loan Tape'!$S$4:$S$303*'Loan Tape'!$R$4:$R$303)/E259,"-")</f>
        <v>0.867715234527785</v>
      </c>
    </row>
    <row r="260" customFormat="false" ht="14.25" hidden="false" customHeight="false" outlineLevel="0" collapsed="false">
      <c r="B260" s="7" t="s">
        <v>476</v>
      </c>
      <c r="C260" s="68" t="n">
        <f aca="false">COUNTIFS('Loan Tape'!$H$4:$H$303,"&gt;="&amp;EDATE(C4,36.0001),'Loan Tape'!$H$4:$H$303,"&lt;="&amp;EDATE(C4,60))</f>
        <v>14</v>
      </c>
      <c r="D260" s="68" t="n">
        <f aca="false">SUMPRODUCT((('Loan Tape'!$R$4:$R$303&lt;&gt;"")*('Loan Tape'!$H$4:$H$303&gt;=EDATE(C4,36.0001))*('Loan Tape'!$H$4:$H$303&lt;=EDATE(C4,60)))*'Loan Tape'!$F$4:$F$303)</f>
        <v>313</v>
      </c>
      <c r="E260" s="84" t="n">
        <f aca="false">SUMIFS('Loan Tape'!$R$4:$R$303,'Loan Tape'!$H$4:$H$303,"&gt;="&amp;EDATE(C4,36.0001),'Loan Tape'!$H$4:$H$303,"&lt;="&amp;EDATE(C4,60))</f>
        <v>676602000</v>
      </c>
      <c r="F260" s="69" t="n">
        <f aca="false">IFERROR(E260/C5,0)</f>
        <v>0.271116881243464</v>
      </c>
      <c r="G260" s="85" t="n">
        <f aca="false">IFERROR(SUMPRODUCT((('Loan Tape'!$R$4:$R$303&lt;&gt;"")*('Loan Tape'!$H$4:$H$303&gt;=EDATE(C4,36.0001))*('Loan Tape'!$H$4:$H$303&lt;=EDATE(C4,60)))*'Loan Tape'!$U$4:$U$303*'Loan Tape'!$R$4:$R$303)/E260,"-")</f>
        <v>1.42341641023822</v>
      </c>
      <c r="H260" s="68" t="n">
        <f aca="false">IFERROR(SUMPRODUCT((('Loan Tape'!$R$4:$R$303&lt;&gt;"")*('Loan Tape'!$H$4:$H$303&gt;=EDATE(C4,36.0001))*('Loan Tape'!$H$4:$H$303&lt;=EDATE(C4,60)))*'Loan Tape'!$AH$4:$AH$303*'Loan Tape'!$R$4:$R$303)/E260,"-")</f>
        <v>58.7292430409606</v>
      </c>
      <c r="I260" s="68" t="n">
        <f aca="false">IFERROR(SUMPRODUCT((('Loan Tape'!$R$4:$R$303&lt;&gt;"")*('Loan Tape'!$H$4:$H$303&gt;=EDATE(C4,36.0001))*('Loan Tape'!$H$4:$H$303&lt;=EDATE(C4,60)))*(('Loan Tape'!$H$4:$H$303-$C$4)/30.4375)*'Loan Tape'!$R$4:$R$303)/E260,"-")</f>
        <v>46.2365789740224</v>
      </c>
      <c r="J260" s="69" t="n">
        <f aca="false">IFERROR(SUMPRODUCT((('Loan Tape'!$R$4:$R$303&lt;&gt;"")*('Loan Tape'!$H$4:$H$303&gt;=EDATE(C4,36.0001))*('Loan Tape'!$H$4:$H$303&lt;=EDATE(C4,60)))*('Loan Tape'!$K$4:$K$303="Floating")*'Loan Tape'!$R$4:$R$303)/E260,"-")</f>
        <v>0.637902341406026</v>
      </c>
      <c r="K260" s="69" t="n">
        <f aca="false">IFERROR(SUMPRODUCT((('Loan Tape'!$R$4:$R$303&lt;&gt;"")*('Loan Tape'!$H$4:$H$303&gt;=EDATE(C4,36.0001))*('Loan Tape'!$H$4:$H$303&lt;=EDATE(C4,60)))*'Loan Tape'!$T$4:$T$303*'Loan Tape'!$R$4:$R$303)/E260,"-")</f>
        <v>0.0859583285299186</v>
      </c>
      <c r="L260" s="69" t="n">
        <f aca="false">IFERROR(SUMPRODUCT((('Loan Tape'!$R$4:$R$303&lt;&gt;"")*('Loan Tape'!$H$4:$H$303&gt;=EDATE(C4,36.0001))*('Loan Tape'!$H$4:$H$303&lt;=EDATE(C4,60)))*'Loan Tape'!$V$4:$V$303*'Loan Tape'!$R$4:$R$303)/E260,"-")</f>
        <v>0.661560911732451</v>
      </c>
      <c r="M260" s="69" t="n">
        <f aca="false">IFERROR(SUMPRODUCT((('Loan Tape'!$R$4:$R$303&lt;&gt;"")*('Loan Tape'!$H$4:$H$303&gt;=EDATE(C4,36.0001))*('Loan Tape'!$H$4:$H$303&lt;=EDATE(C4,60)))*'Loan Tape'!$W$4:$W$303*'Loan Tape'!$R$4:$R$303)/E260,"-")</f>
        <v>0.691620808096931</v>
      </c>
      <c r="N260" s="69" t="n">
        <f aca="false">IFERROR(SUMPRODUCT((('Loan Tape'!$R$4:$R$303&lt;&gt;"")*('Loan Tape'!$H$4:$H$303&gt;=EDATE(C4,36.0001))*('Loan Tape'!$H$4:$H$303&lt;=EDATE(C4,60)))*'Loan Tape'!$AI$4:$AI$303*'Loan Tape'!$R$4:$R$303)/E260,"-")</f>
        <v>0.0710512821422343</v>
      </c>
      <c r="O260" s="69" t="n">
        <f aca="false">IFERROR(SUMPRODUCT((('Loan Tape'!$R$4:$R$303&lt;&gt;"")*('Loan Tape'!$H$4:$H$303&gt;=EDATE(C4,36.0001))*('Loan Tape'!$H$4:$H$303&lt;=EDATE(C4,60)))*'Loan Tape'!$AK$4:$AK$303*'Loan Tape'!$R$4:$R$303)/E260,"-")</f>
        <v>0.0799995926704325</v>
      </c>
      <c r="P260" s="69" t="n">
        <f aca="false">IFERROR(SUMPRODUCT((('Loan Tape'!$R$4:$R$303&lt;&gt;"")*('Loan Tape'!$H$4:$H$303&gt;=EDATE(C4,36.0001))*('Loan Tape'!$H$4:$H$303&lt;=EDATE(C4,60)))*'Loan Tape'!$S$4:$S$303*'Loan Tape'!$R$4:$R$303)/E260,"-")</f>
        <v>0.879718434175483</v>
      </c>
    </row>
    <row r="261" customFormat="false" ht="14.25" hidden="false" customHeight="false" outlineLevel="0" collapsed="false">
      <c r="B261" s="7" t="s">
        <v>477</v>
      </c>
      <c r="C261" s="68" t="n">
        <f aca="false">COUNTIFS('Loan Tape'!$H$4:$H$303,"&gt;="&amp;EDATE(C4,60.0001),'Loan Tape'!$H$4:$H$303,"&lt;="&amp;DATE(2200,1,1))</f>
        <v>7</v>
      </c>
      <c r="D261" s="68" t="n">
        <f aca="false">SUMPRODUCT((('Loan Tape'!$R$4:$R$303&lt;&gt;"")*('Loan Tape'!$H$4:$H$303&gt;=EDATE(C4,60.0001))*('Loan Tape'!$H$4:$H$303&lt;=DATE(2200,1,1)))*'Loan Tape'!$F$4:$F$303)</f>
        <v>487</v>
      </c>
      <c r="E261" s="84" t="n">
        <f aca="false">SUMIFS('Loan Tape'!$R$4:$R$303,'Loan Tape'!$H$4:$H$303,"&gt;="&amp;EDATE(C4,60.0001),'Loan Tape'!$H$4:$H$303,"&lt;="&amp;DATE(2200,1,1))</f>
        <v>309451000</v>
      </c>
      <c r="F261" s="69" t="n">
        <f aca="false">IFERROR(E261/C5,0)</f>
        <v>0.123998140735131</v>
      </c>
      <c r="G261" s="85" t="n">
        <f aca="false">IFERROR(SUMPRODUCT((('Loan Tape'!$R$4:$R$303&lt;&gt;"")*('Loan Tape'!$H$4:$H$303&gt;=EDATE(C4,60.0001))*('Loan Tape'!$H$4:$H$303&lt;=DATE(2200,1,1)))*'Loan Tape'!$U$4:$U$303*'Loan Tape'!$R$4:$R$303)/E261,"-")</f>
        <v>1.48417507133601</v>
      </c>
      <c r="H261" s="68" t="n">
        <f aca="false">IFERROR(SUMPRODUCT((('Loan Tape'!$R$4:$R$303&lt;&gt;"")*('Loan Tape'!$H$4:$H$303&gt;=EDATE(C4,60.0001))*('Loan Tape'!$H$4:$H$303&lt;=DATE(2200,1,1)))*'Loan Tape'!$AH$4:$AH$303*'Loan Tape'!$R$4:$R$303)/E261,"-")</f>
        <v>31.7704198726131</v>
      </c>
      <c r="I261" s="68" t="n">
        <f aca="false">IFERROR(SUMPRODUCT((('Loan Tape'!$R$4:$R$303&lt;&gt;"")*('Loan Tape'!$H$4:$H$303&gt;=EDATE(C4,60.0001))*('Loan Tape'!$H$4:$H$303&lt;=DATE(2200,1,1)))*(('Loan Tape'!$H$4:$H$303-$C$4)/30.4375)*'Loan Tape'!$R$4:$R$303)/E261,"-")</f>
        <v>72.9161517724471</v>
      </c>
      <c r="J261" s="69" t="n">
        <f aca="false">IFERROR(SUMPRODUCT((('Loan Tape'!$R$4:$R$303&lt;&gt;"")*('Loan Tape'!$H$4:$H$303&gt;=EDATE(C4,60.0001))*('Loan Tape'!$H$4:$H$303&lt;=DATE(2200,1,1)))*('Loan Tape'!$K$4:$K$303="Floating")*'Loan Tape'!$R$4:$R$303)/E261,"-")</f>
        <v>0.946954445130247</v>
      </c>
      <c r="K261" s="69" t="n">
        <f aca="false">IFERROR(SUMPRODUCT((('Loan Tape'!$R$4:$R$303&lt;&gt;"")*('Loan Tape'!$H$4:$H$303&gt;=EDATE(C4,60.0001))*('Loan Tape'!$H$4:$H$303&lt;=DATE(2200,1,1)))*'Loan Tape'!$T$4:$T$303*'Loan Tape'!$R$4:$R$303)/E261,"-")</f>
        <v>0.0820117230191533</v>
      </c>
      <c r="L261" s="69" t="n">
        <f aca="false">IFERROR(SUMPRODUCT((('Loan Tape'!$R$4:$R$303&lt;&gt;"")*('Loan Tape'!$H$4:$H$303&gt;=EDATE(C4,60.0001))*('Loan Tape'!$H$4:$H$303&lt;=DATE(2200,1,1)))*'Loan Tape'!$V$4:$V$303*'Loan Tape'!$R$4:$R$303)/E261,"-")</f>
        <v>0.703230094586865</v>
      </c>
      <c r="M261" s="69" t="n">
        <f aca="false">IFERROR(SUMPRODUCT((('Loan Tape'!$R$4:$R$303&lt;&gt;"")*('Loan Tape'!$H$4:$H$303&gt;=EDATE(C4,60.0001))*('Loan Tape'!$H$4:$H$303&lt;=DATE(2200,1,1)))*'Loan Tape'!$W$4:$W$303*'Loan Tape'!$R$4:$R$303)/E261,"-")</f>
        <v>0.726931414020313</v>
      </c>
      <c r="N261" s="69" t="n">
        <f aca="false">IFERROR(SUMPRODUCT((('Loan Tape'!$R$4:$R$303&lt;&gt;"")*('Loan Tape'!$H$4:$H$303&gt;=EDATE(C4,60.0001))*('Loan Tape'!$H$4:$H$303&lt;=DATE(2200,1,1)))*'Loan Tape'!$AI$4:$AI$303*'Loan Tape'!$R$4:$R$303)/E261,"-")</f>
        <v>0.0776498647604952</v>
      </c>
      <c r="O261" s="69" t="n">
        <f aca="false">IFERROR(SUMPRODUCT((('Loan Tape'!$R$4:$R$303&lt;&gt;"")*('Loan Tape'!$H$4:$H$303&gt;=EDATE(C4,60.0001))*('Loan Tape'!$H$4:$H$303&lt;=DATE(2200,1,1)))*'Loan Tape'!$AK$4:$AK$303*'Loan Tape'!$R$4:$R$303)/E261,"-")</f>
        <v>0.0914521914616531</v>
      </c>
      <c r="P261" s="69" t="n">
        <f aca="false">IFERROR(SUMPRODUCT((('Loan Tape'!$R$4:$R$303&lt;&gt;"")*('Loan Tape'!$H$4:$H$303&gt;=EDATE(C4,60.0001))*('Loan Tape'!$H$4:$H$303&lt;=DATE(2200,1,1)))*'Loan Tape'!$S$4:$S$303*'Loan Tape'!$R$4:$R$303)/E261,"-")</f>
        <v>0.930093743435956</v>
      </c>
    </row>
    <row r="262" customFormat="false" ht="14.25" hidden="false" customHeight="false" outlineLevel="0" collapsed="false">
      <c r="B262" s="86" t="s">
        <v>405</v>
      </c>
      <c r="C262" s="92" t="n">
        <f aca="false">SUM(C256:C261)</f>
        <v>50</v>
      </c>
      <c r="D262" s="92" t="n">
        <f aca="false">SUM(D256:D261)</f>
        <v>4739</v>
      </c>
      <c r="E262" s="88" t="n">
        <f aca="false">SUM(E256:E261)</f>
        <v>2495610000</v>
      </c>
      <c r="F262" s="89" t="n">
        <f aca="false">SUM(F256:F261)</f>
        <v>1</v>
      </c>
      <c r="G262" s="90" t="n">
        <f aca="false">IFERROR(SUMPRODUCT((('Loan Tape'!$R$4:$R$303&lt;&gt;""))*'Loan Tape'!$U$4:$U$303*'Loan Tape'!$R$4:$R$303)/E262,"-")</f>
        <v>1.36575944157941</v>
      </c>
      <c r="H262" s="92" t="n">
        <f aca="false">IFERROR(SUMPRODUCT((('Loan Tape'!$R$4:$R$303&lt;&gt;""))*'Loan Tape'!$AH$4:$AH$303*'Loan Tape'!$R$4:$R$303)/E262,"-")</f>
        <v>76.5147345138063</v>
      </c>
      <c r="I262" s="92" t="n">
        <f aca="false">IFERROR(SUMPRODUCT((('Loan Tape'!$R$4:$R$303&lt;&gt;""))*(('Loan Tape'!$H$4:$H$303-$C$4)/30.4375)*'Loan Tape'!$R$4:$R$303)/E262,"-")</f>
        <v>17.6772942206432</v>
      </c>
      <c r="J262" s="89" t="n">
        <f aca="false">IFERROR(SUMPRODUCT((('Loan Tape'!$R$4:$R$303&lt;&gt;""))*('Loan Tape'!$K$4:$K$303="Floating")*'Loan Tape'!$R$4:$R$303)/E262,"-")</f>
        <v>0.664477622705471</v>
      </c>
      <c r="K262" s="89" t="n">
        <f aca="false">IFERROR(SUMPRODUCT((('Loan Tape'!$R$4:$R$303&lt;&gt;""))*'Loan Tape'!$T$4:$T$303*'Loan Tape'!$R$4:$R$303)/E262,"-")</f>
        <v>0.0861540568438177</v>
      </c>
      <c r="L262" s="89" t="n">
        <f aca="false">IFERROR(SUMPRODUCT((('Loan Tape'!$R$4:$R$303&lt;&gt;""))*'Loan Tape'!$V$4:$V$303*'Loan Tape'!$R$4:$R$303)/E262,"-")</f>
        <v>0.683559256454334</v>
      </c>
      <c r="M262" s="89" t="n">
        <f aca="false">IFERROR(SUMPRODUCT((('Loan Tape'!$R$4:$R$303&lt;&gt;""))*'Loan Tape'!$W$4:$W$303*'Loan Tape'!$R$4:$R$303)/E262,"-")</f>
        <v>0.716164459190338</v>
      </c>
      <c r="N262" s="89" t="n">
        <f aca="false">IFERROR(SUMPRODUCT((('Loan Tape'!$R$4:$R$303&lt;&gt;""))*'Loan Tape'!$AI$4:$AI$303*'Loan Tape'!$R$4:$R$303)/E262,"-")</f>
        <v>0.0704574522862146</v>
      </c>
      <c r="O262" s="89" t="n">
        <f aca="false">IFERROR(SUMPRODUCT((('Loan Tape'!$R$4:$R$303&lt;&gt;""))*'Loan Tape'!$AK$4:$AK$303*'Loan Tape'!$R$4:$R$303)/E262,"-")</f>
        <v>0.0792103169165054</v>
      </c>
      <c r="P262" s="89" t="n">
        <f aca="false">IFERROR(SUMPRODUCT((('Loan Tape'!$R$4:$R$303&lt;&gt;""))*'Loan Tape'!$S$4:$S$303*'Loan Tape'!$R$4:$R$303)/E262,"-")</f>
        <v>0.886687142221741</v>
      </c>
    </row>
    <row r="264" customFormat="false" ht="19.5" hidden="false" customHeight="true" outlineLevel="0" collapsed="false">
      <c r="B264" s="5" t="s">
        <v>484</v>
      </c>
      <c r="C264" s="5"/>
      <c r="D264" s="5"/>
      <c r="E264" s="5"/>
      <c r="F264" s="5"/>
      <c r="G264" s="5"/>
      <c r="H264" s="5"/>
      <c r="I264" s="5"/>
      <c r="J264" s="5"/>
      <c r="K264" s="5"/>
      <c r="L264" s="5"/>
      <c r="M264" s="5"/>
      <c r="N264" s="5"/>
      <c r="O264" s="5"/>
      <c r="P264" s="5"/>
    </row>
    <row r="265" customFormat="false" ht="42" hidden="false" customHeight="true" outlineLevel="0" collapsed="false">
      <c r="B265" s="82" t="s">
        <v>423</v>
      </c>
      <c r="C265" s="83" t="s">
        <v>368</v>
      </c>
      <c r="D265" s="83" t="s">
        <v>153</v>
      </c>
      <c r="E265" s="83" t="s">
        <v>393</v>
      </c>
      <c r="F265" s="83" t="s">
        <v>394</v>
      </c>
      <c r="G265" s="83" t="s">
        <v>395</v>
      </c>
      <c r="H265" s="83" t="s">
        <v>396</v>
      </c>
      <c r="I265" s="83" t="s">
        <v>397</v>
      </c>
      <c r="J265" s="83" t="s">
        <v>398</v>
      </c>
      <c r="K265" s="83" t="s">
        <v>399</v>
      </c>
      <c r="L265" s="83" t="s">
        <v>400</v>
      </c>
      <c r="M265" s="83" t="s">
        <v>401</v>
      </c>
      <c r="N265" s="83" t="s">
        <v>402</v>
      </c>
      <c r="O265" s="83" t="s">
        <v>403</v>
      </c>
      <c r="P265" s="83" t="s">
        <v>365</v>
      </c>
    </row>
    <row r="266" customFormat="false" ht="14.25" hidden="false" customHeight="false" outlineLevel="0" collapsed="false">
      <c r="B266" s="7" t="s">
        <v>485</v>
      </c>
      <c r="C266" s="68" t="n">
        <f aca="false">COUNTIFS('Loan Tape'!$O$4:$O$303,"&lt;"&amp;C4)</f>
        <v>0</v>
      </c>
      <c r="D266" s="68" t="n">
        <f aca="false">SUMPRODUCT((('Loan Tape'!$R$4:$R$303&lt;&gt;"")*('Loan Tape'!$O$4:$O$303&lt;C4)*('Loan Tape'!$O$4:$O$303&lt;&gt;""))*'Loan Tape'!$F$4:$F$303)</f>
        <v>0</v>
      </c>
      <c r="E266" s="84" t="n">
        <f aca="false">SUMIFS('Loan Tape'!$R$4:$R$303,'Loan Tape'!$O$4:$O$303,"&lt;"&amp;C4)</f>
        <v>0</v>
      </c>
      <c r="F266" s="69" t="n">
        <f aca="false">IFERROR(E266/C5,0)</f>
        <v>0</v>
      </c>
      <c r="G266" s="85" t="str">
        <f aca="false">IFERROR(SUMPRODUCT((('Loan Tape'!$R$4:$R$303&lt;&gt;"")*('Loan Tape'!$O$4:$O$303&lt;C4)*('Loan Tape'!$O$4:$O$303&lt;&gt;""))*'Loan Tape'!$U$4:$U$303*'Loan Tape'!$R$4:$R$303)/E266,"-")</f>
        <v>-</v>
      </c>
      <c r="H266" s="68" t="str">
        <f aca="false">IFERROR(SUMPRODUCT((('Loan Tape'!$R$4:$R$303&lt;&gt;"")*('Loan Tape'!$O$4:$O$303&lt;C4)*('Loan Tape'!$O$4:$O$303&lt;&gt;""))*'Loan Tape'!$AH$4:$AH$303*'Loan Tape'!$R$4:$R$303)/E266,"-")</f>
        <v>-</v>
      </c>
      <c r="I266" s="68" t="str">
        <f aca="false">IFERROR(SUMPRODUCT((('Loan Tape'!$R$4:$R$303&lt;&gt;"")*('Loan Tape'!$O$4:$O$303&lt;C4)*('Loan Tape'!$O$4:$O$303&lt;&gt;""))*(('Loan Tape'!$H$4:$H$303-$C$4)/30.4375)*'Loan Tape'!$R$4:$R$303)/E266,"-")</f>
        <v>-</v>
      </c>
      <c r="J266" s="69" t="str">
        <f aca="false">IFERROR(SUMPRODUCT((('Loan Tape'!$R$4:$R$303&lt;&gt;"")*('Loan Tape'!$O$4:$O$303&lt;C4)*('Loan Tape'!$O$4:$O$303&lt;&gt;""))*('Loan Tape'!$K$4:$K$303="Floating")*'Loan Tape'!$R$4:$R$303)/E266,"-")</f>
        <v>-</v>
      </c>
      <c r="K266" s="69" t="str">
        <f aca="false">IFERROR(SUMPRODUCT((('Loan Tape'!$R$4:$R$303&lt;&gt;"")*('Loan Tape'!$O$4:$O$303&lt;C4)*('Loan Tape'!$O$4:$O$303&lt;&gt;""))*'Loan Tape'!$T$4:$T$303*'Loan Tape'!$R$4:$R$303)/E266,"-")</f>
        <v>-</v>
      </c>
      <c r="L266" s="69" t="str">
        <f aca="false">IFERROR(SUMPRODUCT((('Loan Tape'!$R$4:$R$303&lt;&gt;"")*('Loan Tape'!$O$4:$O$303&lt;C4)*('Loan Tape'!$O$4:$O$303&lt;&gt;""))*'Loan Tape'!$V$4:$V$303*'Loan Tape'!$R$4:$R$303)/E266,"-")</f>
        <v>-</v>
      </c>
      <c r="M266" s="69" t="str">
        <f aca="false">IFERROR(SUMPRODUCT((('Loan Tape'!$R$4:$R$303&lt;&gt;"")*('Loan Tape'!$O$4:$O$303&lt;C4)*('Loan Tape'!$O$4:$O$303&lt;&gt;""))*'Loan Tape'!$W$4:$W$303*'Loan Tape'!$R$4:$R$303)/E266,"-")</f>
        <v>-</v>
      </c>
      <c r="N266" s="69" t="str">
        <f aca="false">IFERROR(SUMPRODUCT((('Loan Tape'!$R$4:$R$303&lt;&gt;"")*('Loan Tape'!$O$4:$O$303&lt;C4)*('Loan Tape'!$O$4:$O$303&lt;&gt;""))*'Loan Tape'!$AI$4:$AI$303*'Loan Tape'!$R$4:$R$303)/E266,"-")</f>
        <v>-</v>
      </c>
      <c r="O266" s="69" t="str">
        <f aca="false">IFERROR(SUMPRODUCT((('Loan Tape'!$R$4:$R$303&lt;&gt;"")*('Loan Tape'!$O$4:$O$303&lt;C4)*('Loan Tape'!$O$4:$O$303&lt;&gt;""))*'Loan Tape'!$AK$4:$AK$303*'Loan Tape'!$R$4:$R$303)/E266,"-")</f>
        <v>-</v>
      </c>
      <c r="P266" s="69" t="str">
        <f aca="false">IFERROR(SUMPRODUCT((('Loan Tape'!$R$4:$R$303&lt;&gt;"")*('Loan Tape'!$O$4:$O$303&lt;C4)*('Loan Tape'!$O$4:$O$303&lt;&gt;""))*'Loan Tape'!$S$4:$S$303*'Loan Tape'!$R$4:$R$303)/E266,"-")</f>
        <v>-</v>
      </c>
    </row>
    <row r="267" customFormat="false" ht="14.25" hidden="false" customHeight="false" outlineLevel="0" collapsed="false">
      <c r="B267" s="7" t="s">
        <v>483</v>
      </c>
      <c r="C267" s="68" t="n">
        <f aca="false">COUNTIFS('Loan Tape'!$O$4:$O$303,"&gt;="&amp;EDATE(C4,0.0001),'Loan Tape'!$O$4:$O$303,"&lt;="&amp;EDATE(C4,12))</f>
        <v>34</v>
      </c>
      <c r="D267" s="68" t="n">
        <f aca="false">SUMPRODUCT((('Loan Tape'!$R$4:$R$303&lt;&gt;"")*('Loan Tape'!$O$4:$O$303&gt;=EDATE(C4,0.0001))*('Loan Tape'!$O$4:$O$303&lt;=EDATE(C4,12)))*'Loan Tape'!$F$4:$F$303)</f>
        <v>2730</v>
      </c>
      <c r="E267" s="84" t="n">
        <f aca="false">SUMIFS('Loan Tape'!$R$4:$R$303,'Loan Tape'!$O$4:$O$303,"&gt;="&amp;EDATE(C4,0.0001),'Loan Tape'!$O$4:$O$303,"&lt;="&amp;EDATE(C4,12))</f>
        <v>1658277000</v>
      </c>
      <c r="F267" s="69" t="n">
        <f aca="false">IFERROR(E267/C5,0)</f>
        <v>0.664477622705471</v>
      </c>
      <c r="G267" s="85" t="n">
        <f aca="false">IFERROR(SUMPRODUCT((('Loan Tape'!$R$4:$R$303&lt;&gt;"")*('Loan Tape'!$O$4:$O$303&gt;=EDATE(C4,0.0001))*('Loan Tape'!$O$4:$O$303&lt;=EDATE(C4,12)))*'Loan Tape'!$U$4:$U$303*'Loan Tape'!$R$4:$R$303)/E267,"-")</f>
        <v>1.38432546552838</v>
      </c>
      <c r="H267" s="68" t="n">
        <f aca="false">IFERROR(SUMPRODUCT((('Loan Tape'!$R$4:$R$303&lt;&gt;"")*('Loan Tape'!$O$4:$O$303&gt;=EDATE(C4,0.0001))*('Loan Tape'!$O$4:$O$303&lt;=EDATE(C4,12)))*'Loan Tape'!$AH$4:$AH$303*'Loan Tape'!$R$4:$R$303)/E267,"-")</f>
        <v>74.1440348023883</v>
      </c>
      <c r="I267" s="68" t="n">
        <f aca="false">IFERROR(SUMPRODUCT((('Loan Tape'!$R$4:$R$303&lt;&gt;"")*('Loan Tape'!$O$4:$O$303&gt;=EDATE(C4,0.0001))*('Loan Tape'!$O$4:$O$303&lt;=EDATE(C4,12)))*(('Loan Tape'!$H$4:$H$303-$C$4)/30.4375)*'Loan Tape'!$R$4:$R$303)/E267,"-")</f>
        <v>25.5247127829852</v>
      </c>
      <c r="J267" s="69" t="n">
        <f aca="false">IFERROR(SUMPRODUCT((('Loan Tape'!$R$4:$R$303&lt;&gt;"")*('Loan Tape'!$O$4:$O$303&gt;=EDATE(C4,0.0001))*('Loan Tape'!$O$4:$O$303&lt;=EDATE(C4,12)))*('Loan Tape'!$K$4:$K$303="Floating")*'Loan Tape'!$R$4:$R$303)/E267,"-")</f>
        <v>1</v>
      </c>
      <c r="K267" s="69" t="n">
        <f aca="false">IFERROR(SUMPRODUCT((('Loan Tape'!$R$4:$R$303&lt;&gt;"")*('Loan Tape'!$O$4:$O$303&gt;=EDATE(C4,0.0001))*('Loan Tape'!$O$4:$O$303&lt;=EDATE(C4,12)))*'Loan Tape'!$T$4:$T$303*'Loan Tape'!$R$4:$R$303)/E267,"-")</f>
        <v>0.0821842146396531</v>
      </c>
      <c r="L267" s="69" t="n">
        <f aca="false">IFERROR(SUMPRODUCT((('Loan Tape'!$R$4:$R$303&lt;&gt;"")*('Loan Tape'!$O$4:$O$303&gt;=EDATE(C4,0.0001))*('Loan Tape'!$O$4:$O$303&lt;=EDATE(C4,12)))*'Loan Tape'!$V$4:$V$303*'Loan Tape'!$R$4:$R$303)/E267,"-")</f>
        <v>0.683442669107755</v>
      </c>
      <c r="M267" s="69" t="n">
        <f aca="false">IFERROR(SUMPRODUCT((('Loan Tape'!$R$4:$R$303&lt;&gt;"")*('Loan Tape'!$O$4:$O$303&gt;=EDATE(C4,0.0001))*('Loan Tape'!$O$4:$O$303&lt;=EDATE(C4,12)))*'Loan Tape'!$W$4:$W$303*'Loan Tape'!$R$4:$R$303)/E267,"-")</f>
        <v>0.713901740179717</v>
      </c>
      <c r="N267" s="69" t="n">
        <f aca="false">IFERROR(SUMPRODUCT((('Loan Tape'!$R$4:$R$303&lt;&gt;"")*('Loan Tape'!$O$4:$O$303&gt;=EDATE(C4,0.0001))*('Loan Tape'!$O$4:$O$303&lt;=EDATE(C4,12)))*'Loan Tape'!$AI$4:$AI$303*'Loan Tape'!$R$4:$R$303)/E267,"-")</f>
        <v>0.0773868210799523</v>
      </c>
      <c r="O267" s="69" t="n">
        <f aca="false">IFERROR(SUMPRODUCT((('Loan Tape'!$R$4:$R$303&lt;&gt;"")*('Loan Tape'!$O$4:$O$303&gt;=EDATE(C4,0.0001))*('Loan Tape'!$O$4:$O$303&lt;=EDATE(C4,12)))*'Loan Tape'!$AK$4:$AK$303*'Loan Tape'!$R$4:$R$303)/E267,"-")</f>
        <v>0.0905593709615462</v>
      </c>
      <c r="P267" s="69" t="n">
        <f aca="false">IFERROR(SUMPRODUCT((('Loan Tape'!$R$4:$R$303&lt;&gt;"")*('Loan Tape'!$O$4:$O$303&gt;=EDATE(C4,0.0001))*('Loan Tape'!$O$4:$O$303&lt;=EDATE(C4,12)))*'Loan Tape'!$S$4:$S$303*'Loan Tape'!$R$4:$R$303)/E267,"-")</f>
        <v>0.885289379277407</v>
      </c>
    </row>
    <row r="268" customFormat="false" ht="14.25" hidden="false" customHeight="false" outlineLevel="0" collapsed="false">
      <c r="B268" s="7" t="s">
        <v>474</v>
      </c>
      <c r="C268" s="68" t="n">
        <f aca="false">COUNTIFS('Loan Tape'!$O$4:$O$303,"&gt;="&amp;EDATE(C4,12.0001),'Loan Tape'!$O$4:$O$303,"&lt;="&amp;EDATE(C4,24))</f>
        <v>0</v>
      </c>
      <c r="D268" s="68" t="n">
        <f aca="false">SUMPRODUCT((('Loan Tape'!$R$4:$R$303&lt;&gt;"")*('Loan Tape'!$O$4:$O$303&gt;=EDATE(C4,12.0001))*('Loan Tape'!$O$4:$O$303&lt;=EDATE(C4,24)))*'Loan Tape'!$F$4:$F$303)</f>
        <v>0</v>
      </c>
      <c r="E268" s="84" t="n">
        <f aca="false">SUMIFS('Loan Tape'!$R$4:$R$303,'Loan Tape'!$O$4:$O$303,"&gt;="&amp;EDATE(C4,12.0001),'Loan Tape'!$O$4:$O$303,"&lt;="&amp;EDATE(C4,24))</f>
        <v>0</v>
      </c>
      <c r="F268" s="69" t="n">
        <f aca="false">IFERROR(E268/C5,0)</f>
        <v>0</v>
      </c>
      <c r="G268" s="85" t="str">
        <f aca="false">IFERROR(SUMPRODUCT((('Loan Tape'!$R$4:$R$303&lt;&gt;"")*('Loan Tape'!$O$4:$O$303&gt;=EDATE(C4,12.0001))*('Loan Tape'!$O$4:$O$303&lt;=EDATE(C4,24)))*'Loan Tape'!$U$4:$U$303*'Loan Tape'!$R$4:$R$303)/E268,"-")</f>
        <v>-</v>
      </c>
      <c r="H268" s="68" t="str">
        <f aca="false">IFERROR(SUMPRODUCT((('Loan Tape'!$R$4:$R$303&lt;&gt;"")*('Loan Tape'!$O$4:$O$303&gt;=EDATE(C4,12.0001))*('Loan Tape'!$O$4:$O$303&lt;=EDATE(C4,24)))*'Loan Tape'!$AH$4:$AH$303*'Loan Tape'!$R$4:$R$303)/E268,"-")</f>
        <v>-</v>
      </c>
      <c r="I268" s="68" t="str">
        <f aca="false">IFERROR(SUMPRODUCT((('Loan Tape'!$R$4:$R$303&lt;&gt;"")*('Loan Tape'!$O$4:$O$303&gt;=EDATE(C4,12.0001))*('Loan Tape'!$O$4:$O$303&lt;=EDATE(C4,24)))*(('Loan Tape'!$H$4:$H$303-$C$4)/30.4375)*'Loan Tape'!$R$4:$R$303)/E268,"-")</f>
        <v>-</v>
      </c>
      <c r="J268" s="69" t="str">
        <f aca="false">IFERROR(SUMPRODUCT((('Loan Tape'!$R$4:$R$303&lt;&gt;"")*('Loan Tape'!$O$4:$O$303&gt;=EDATE(C4,12.0001))*('Loan Tape'!$O$4:$O$303&lt;=EDATE(C4,24)))*('Loan Tape'!$K$4:$K$303="Floating")*'Loan Tape'!$R$4:$R$303)/E268,"-")</f>
        <v>-</v>
      </c>
      <c r="K268" s="69" t="str">
        <f aca="false">IFERROR(SUMPRODUCT((('Loan Tape'!$R$4:$R$303&lt;&gt;"")*('Loan Tape'!$O$4:$O$303&gt;=EDATE(C4,12.0001))*('Loan Tape'!$O$4:$O$303&lt;=EDATE(C4,24)))*'Loan Tape'!$T$4:$T$303*'Loan Tape'!$R$4:$R$303)/E268,"-")</f>
        <v>-</v>
      </c>
      <c r="L268" s="69" t="str">
        <f aca="false">IFERROR(SUMPRODUCT((('Loan Tape'!$R$4:$R$303&lt;&gt;"")*('Loan Tape'!$O$4:$O$303&gt;=EDATE(C4,12.0001))*('Loan Tape'!$O$4:$O$303&lt;=EDATE(C4,24)))*'Loan Tape'!$V$4:$V$303*'Loan Tape'!$R$4:$R$303)/E268,"-")</f>
        <v>-</v>
      </c>
      <c r="M268" s="69" t="str">
        <f aca="false">IFERROR(SUMPRODUCT((('Loan Tape'!$R$4:$R$303&lt;&gt;"")*('Loan Tape'!$O$4:$O$303&gt;=EDATE(C4,12.0001))*('Loan Tape'!$O$4:$O$303&lt;=EDATE(C4,24)))*'Loan Tape'!$W$4:$W$303*'Loan Tape'!$R$4:$R$303)/E268,"-")</f>
        <v>-</v>
      </c>
      <c r="N268" s="69" t="str">
        <f aca="false">IFERROR(SUMPRODUCT((('Loan Tape'!$R$4:$R$303&lt;&gt;"")*('Loan Tape'!$O$4:$O$303&gt;=EDATE(C4,12.0001))*('Loan Tape'!$O$4:$O$303&lt;=EDATE(C4,24)))*'Loan Tape'!$AI$4:$AI$303*'Loan Tape'!$R$4:$R$303)/E268,"-")</f>
        <v>-</v>
      </c>
      <c r="O268" s="69" t="str">
        <f aca="false">IFERROR(SUMPRODUCT((('Loan Tape'!$R$4:$R$303&lt;&gt;"")*('Loan Tape'!$O$4:$O$303&gt;=EDATE(C4,12.0001))*('Loan Tape'!$O$4:$O$303&lt;=EDATE(C4,24)))*'Loan Tape'!$AK$4:$AK$303*'Loan Tape'!$R$4:$R$303)/E268,"-")</f>
        <v>-</v>
      </c>
      <c r="P268" s="69" t="str">
        <f aca="false">IFERROR(SUMPRODUCT((('Loan Tape'!$R$4:$R$303&lt;&gt;"")*('Loan Tape'!$O$4:$O$303&gt;=EDATE(C4,12.0001))*('Loan Tape'!$O$4:$O$303&lt;=EDATE(C4,24)))*'Loan Tape'!$S$4:$S$303*'Loan Tape'!$R$4:$R$303)/E268,"-")</f>
        <v>-</v>
      </c>
    </row>
    <row r="269" customFormat="false" ht="14.25" hidden="false" customHeight="false" outlineLevel="0" collapsed="false">
      <c r="B269" s="7" t="s">
        <v>475</v>
      </c>
      <c r="C269" s="68" t="n">
        <f aca="false">COUNTIFS('Loan Tape'!$O$4:$O$303,"&gt;="&amp;EDATE(C4,24.0001),'Loan Tape'!$O$4:$O$303,"&lt;="&amp;EDATE(C4,36))</f>
        <v>0</v>
      </c>
      <c r="D269" s="68" t="n">
        <f aca="false">SUMPRODUCT((('Loan Tape'!$R$4:$R$303&lt;&gt;"")*('Loan Tape'!$O$4:$O$303&gt;=EDATE(C4,24.0001))*('Loan Tape'!$O$4:$O$303&lt;=EDATE(C4,36)))*'Loan Tape'!$F$4:$F$303)</f>
        <v>0</v>
      </c>
      <c r="E269" s="84" t="n">
        <f aca="false">SUMIFS('Loan Tape'!$R$4:$R$303,'Loan Tape'!$O$4:$O$303,"&gt;="&amp;EDATE(C4,24.0001),'Loan Tape'!$O$4:$O$303,"&lt;="&amp;EDATE(C4,36))</f>
        <v>0</v>
      </c>
      <c r="F269" s="69" t="n">
        <f aca="false">IFERROR(E269/C5,0)</f>
        <v>0</v>
      </c>
      <c r="G269" s="85" t="str">
        <f aca="false">IFERROR(SUMPRODUCT((('Loan Tape'!$R$4:$R$303&lt;&gt;"")*('Loan Tape'!$O$4:$O$303&gt;=EDATE(C4,24.0001))*('Loan Tape'!$O$4:$O$303&lt;=EDATE(C4,36)))*'Loan Tape'!$U$4:$U$303*'Loan Tape'!$R$4:$R$303)/E269,"-")</f>
        <v>-</v>
      </c>
      <c r="H269" s="68" t="str">
        <f aca="false">IFERROR(SUMPRODUCT((('Loan Tape'!$R$4:$R$303&lt;&gt;"")*('Loan Tape'!$O$4:$O$303&gt;=EDATE(C4,24.0001))*('Loan Tape'!$O$4:$O$303&lt;=EDATE(C4,36)))*'Loan Tape'!$AH$4:$AH$303*'Loan Tape'!$R$4:$R$303)/E269,"-")</f>
        <v>-</v>
      </c>
      <c r="I269" s="68" t="str">
        <f aca="false">IFERROR(SUMPRODUCT((('Loan Tape'!$R$4:$R$303&lt;&gt;"")*('Loan Tape'!$O$4:$O$303&gt;=EDATE(C4,24.0001))*('Loan Tape'!$O$4:$O$303&lt;=EDATE(C4,36)))*(('Loan Tape'!$H$4:$H$303-$C$4)/30.4375)*'Loan Tape'!$R$4:$R$303)/E269,"-")</f>
        <v>-</v>
      </c>
      <c r="J269" s="69" t="str">
        <f aca="false">IFERROR(SUMPRODUCT((('Loan Tape'!$R$4:$R$303&lt;&gt;"")*('Loan Tape'!$O$4:$O$303&gt;=EDATE(C4,24.0001))*('Loan Tape'!$O$4:$O$303&lt;=EDATE(C4,36)))*('Loan Tape'!$K$4:$K$303="Floating")*'Loan Tape'!$R$4:$R$303)/E269,"-")</f>
        <v>-</v>
      </c>
      <c r="K269" s="69" t="str">
        <f aca="false">IFERROR(SUMPRODUCT((('Loan Tape'!$R$4:$R$303&lt;&gt;"")*('Loan Tape'!$O$4:$O$303&gt;=EDATE(C4,24.0001))*('Loan Tape'!$O$4:$O$303&lt;=EDATE(C4,36)))*'Loan Tape'!$T$4:$T$303*'Loan Tape'!$R$4:$R$303)/E269,"-")</f>
        <v>-</v>
      </c>
      <c r="L269" s="69" t="str">
        <f aca="false">IFERROR(SUMPRODUCT((('Loan Tape'!$R$4:$R$303&lt;&gt;"")*('Loan Tape'!$O$4:$O$303&gt;=EDATE(C4,24.0001))*('Loan Tape'!$O$4:$O$303&lt;=EDATE(C4,36)))*'Loan Tape'!$V$4:$V$303*'Loan Tape'!$R$4:$R$303)/E269,"-")</f>
        <v>-</v>
      </c>
      <c r="M269" s="69" t="str">
        <f aca="false">IFERROR(SUMPRODUCT((('Loan Tape'!$R$4:$R$303&lt;&gt;"")*('Loan Tape'!$O$4:$O$303&gt;=EDATE(C4,24.0001))*('Loan Tape'!$O$4:$O$303&lt;=EDATE(C4,36)))*'Loan Tape'!$W$4:$W$303*'Loan Tape'!$R$4:$R$303)/E269,"-")</f>
        <v>-</v>
      </c>
      <c r="N269" s="69" t="str">
        <f aca="false">IFERROR(SUMPRODUCT((('Loan Tape'!$R$4:$R$303&lt;&gt;"")*('Loan Tape'!$O$4:$O$303&gt;=EDATE(C4,24.0001))*('Loan Tape'!$O$4:$O$303&lt;=EDATE(C4,36)))*'Loan Tape'!$AI$4:$AI$303*'Loan Tape'!$R$4:$R$303)/E269,"-")</f>
        <v>-</v>
      </c>
      <c r="O269" s="69" t="str">
        <f aca="false">IFERROR(SUMPRODUCT((('Loan Tape'!$R$4:$R$303&lt;&gt;"")*('Loan Tape'!$O$4:$O$303&gt;=EDATE(C4,24.0001))*('Loan Tape'!$O$4:$O$303&lt;=EDATE(C4,36)))*'Loan Tape'!$AK$4:$AK$303*'Loan Tape'!$R$4:$R$303)/E269,"-")</f>
        <v>-</v>
      </c>
      <c r="P269" s="69" t="str">
        <f aca="false">IFERROR(SUMPRODUCT((('Loan Tape'!$R$4:$R$303&lt;&gt;"")*('Loan Tape'!$O$4:$O$303&gt;=EDATE(C4,24.0001))*('Loan Tape'!$O$4:$O$303&lt;=EDATE(C4,36)))*'Loan Tape'!$S$4:$S$303*'Loan Tape'!$R$4:$R$303)/E269,"-")</f>
        <v>-</v>
      </c>
    </row>
    <row r="270" customFormat="false" ht="14.25" hidden="false" customHeight="false" outlineLevel="0" collapsed="false">
      <c r="B270" s="7" t="s">
        <v>479</v>
      </c>
      <c r="C270" s="68" t="n">
        <f aca="false">COUNTIFS('Loan Tape'!$O$4:$O$303,"&gt;="&amp;EDATE(C4,36.0001),'Loan Tape'!$O$4:$O$303,"&lt;="&amp;DATE(2200,1,1))</f>
        <v>0</v>
      </c>
      <c r="D270" s="68" t="n">
        <f aca="false">SUMPRODUCT((('Loan Tape'!$R$4:$R$303&lt;&gt;"")*('Loan Tape'!$O$4:$O$303&gt;=EDATE(C4,36.0001))*('Loan Tape'!$O$4:$O$303&lt;=DATE(2200,1,1)))*'Loan Tape'!$F$4:$F$303)</f>
        <v>0</v>
      </c>
      <c r="E270" s="84" t="n">
        <f aca="false">SUMIFS('Loan Tape'!$R$4:$R$303,'Loan Tape'!$O$4:$O$303,"&gt;="&amp;EDATE(C4,36.0001),'Loan Tape'!$O$4:$O$303,"&lt;="&amp;DATE(2200,1,1))</f>
        <v>0</v>
      </c>
      <c r="F270" s="69" t="n">
        <f aca="false">IFERROR(E270/C5,0)</f>
        <v>0</v>
      </c>
      <c r="G270" s="85" t="str">
        <f aca="false">IFERROR(SUMPRODUCT((('Loan Tape'!$R$4:$R$303&lt;&gt;"")*('Loan Tape'!$O$4:$O$303&gt;=EDATE(C4,36.0001))*('Loan Tape'!$O$4:$O$303&lt;=DATE(2200,1,1)))*'Loan Tape'!$U$4:$U$303*'Loan Tape'!$R$4:$R$303)/E270,"-")</f>
        <v>-</v>
      </c>
      <c r="H270" s="68" t="str">
        <f aca="false">IFERROR(SUMPRODUCT((('Loan Tape'!$R$4:$R$303&lt;&gt;"")*('Loan Tape'!$O$4:$O$303&gt;=EDATE(C4,36.0001))*('Loan Tape'!$O$4:$O$303&lt;=DATE(2200,1,1)))*'Loan Tape'!$AH$4:$AH$303*'Loan Tape'!$R$4:$R$303)/E270,"-")</f>
        <v>-</v>
      </c>
      <c r="I270" s="68" t="str">
        <f aca="false">IFERROR(SUMPRODUCT((('Loan Tape'!$R$4:$R$303&lt;&gt;"")*('Loan Tape'!$O$4:$O$303&gt;=EDATE(C4,36.0001))*('Loan Tape'!$O$4:$O$303&lt;=DATE(2200,1,1)))*(('Loan Tape'!$H$4:$H$303-$C$4)/30.4375)*'Loan Tape'!$R$4:$R$303)/E270,"-")</f>
        <v>-</v>
      </c>
      <c r="J270" s="69" t="str">
        <f aca="false">IFERROR(SUMPRODUCT((('Loan Tape'!$R$4:$R$303&lt;&gt;"")*('Loan Tape'!$O$4:$O$303&gt;=EDATE(C4,36.0001))*('Loan Tape'!$O$4:$O$303&lt;=DATE(2200,1,1)))*('Loan Tape'!$K$4:$K$303="Floating")*'Loan Tape'!$R$4:$R$303)/E270,"-")</f>
        <v>-</v>
      </c>
      <c r="K270" s="69" t="str">
        <f aca="false">IFERROR(SUMPRODUCT((('Loan Tape'!$R$4:$R$303&lt;&gt;"")*('Loan Tape'!$O$4:$O$303&gt;=EDATE(C4,36.0001))*('Loan Tape'!$O$4:$O$303&lt;=DATE(2200,1,1)))*'Loan Tape'!$T$4:$T$303*'Loan Tape'!$R$4:$R$303)/E270,"-")</f>
        <v>-</v>
      </c>
      <c r="L270" s="69" t="str">
        <f aca="false">IFERROR(SUMPRODUCT((('Loan Tape'!$R$4:$R$303&lt;&gt;"")*('Loan Tape'!$O$4:$O$303&gt;=EDATE(C4,36.0001))*('Loan Tape'!$O$4:$O$303&lt;=DATE(2200,1,1)))*'Loan Tape'!$V$4:$V$303*'Loan Tape'!$R$4:$R$303)/E270,"-")</f>
        <v>-</v>
      </c>
      <c r="M270" s="69" t="str">
        <f aca="false">IFERROR(SUMPRODUCT((('Loan Tape'!$R$4:$R$303&lt;&gt;"")*('Loan Tape'!$O$4:$O$303&gt;=EDATE(C4,36.0001))*('Loan Tape'!$O$4:$O$303&lt;=DATE(2200,1,1)))*'Loan Tape'!$W$4:$W$303*'Loan Tape'!$R$4:$R$303)/E270,"-")</f>
        <v>-</v>
      </c>
      <c r="N270" s="69" t="str">
        <f aca="false">IFERROR(SUMPRODUCT((('Loan Tape'!$R$4:$R$303&lt;&gt;"")*('Loan Tape'!$O$4:$O$303&gt;=EDATE(C4,36.0001))*('Loan Tape'!$O$4:$O$303&lt;=DATE(2200,1,1)))*'Loan Tape'!$AI$4:$AI$303*'Loan Tape'!$R$4:$R$303)/E270,"-")</f>
        <v>-</v>
      </c>
      <c r="O270" s="69" t="str">
        <f aca="false">IFERROR(SUMPRODUCT((('Loan Tape'!$R$4:$R$303&lt;&gt;"")*('Loan Tape'!$O$4:$O$303&gt;=EDATE(C4,36.0001))*('Loan Tape'!$O$4:$O$303&lt;=DATE(2200,1,1)))*'Loan Tape'!$AK$4:$AK$303*'Loan Tape'!$R$4:$R$303)/E270,"-")</f>
        <v>-</v>
      </c>
      <c r="P270" s="69" t="str">
        <f aca="false">IFERROR(SUMPRODUCT((('Loan Tape'!$R$4:$R$303&lt;&gt;"")*('Loan Tape'!$O$4:$O$303&gt;=EDATE(C4,36.0001))*('Loan Tape'!$O$4:$O$303&lt;=DATE(2200,1,1)))*'Loan Tape'!$S$4:$S$303*'Loan Tape'!$R$4:$R$303)/E270,"-")</f>
        <v>-</v>
      </c>
    </row>
    <row r="271" customFormat="false" ht="14.25" hidden="false" customHeight="false" outlineLevel="0" collapsed="false">
      <c r="B271" s="7" t="s">
        <v>443</v>
      </c>
      <c r="C271" s="68" t="n">
        <f aca="false">SUMPRODUCT((('Loan Tape'!$R$4:$R$303&lt;&gt;"")*(('Loan Tape'!$K$4:$K$303="Fixed")*('Loan Tape'!$R$4:$R$303&lt;&gt;"")))*1)</f>
        <v>16</v>
      </c>
      <c r="D271" s="68" t="n">
        <f aca="false">SUMPRODUCT((('Loan Tape'!$R$4:$R$303&lt;&gt;"")*(('Loan Tape'!$K$4:$K$303="Fixed")*('Loan Tape'!$R$4:$R$303&lt;&gt;"")))*'Loan Tape'!$F$4:$F$303)</f>
        <v>2009</v>
      </c>
      <c r="E271" s="84" t="n">
        <f aca="false">SUMPRODUCT((('Loan Tape'!$R$4:$R$303&lt;&gt;"")*(('Loan Tape'!$K$4:$K$303="Fixed")*('Loan Tape'!$R$4:$R$303&lt;&gt;"")))*'Loan Tape'!$R$4:$R$303)</f>
        <v>837333000</v>
      </c>
      <c r="F271" s="69" t="n">
        <f aca="false">IFERROR(E271/C5,0)</f>
        <v>0.335522377294529</v>
      </c>
      <c r="G271" s="85" t="n">
        <f aca="false">IFERROR(SUMPRODUCT((('Loan Tape'!$R$4:$R$303&lt;&gt;"")*(('Loan Tape'!$K$4:$K$303="Fixed")*('Loan Tape'!$R$4:$R$303&lt;&gt;"")))*'Loan Tape'!$U$4:$U$303*'Loan Tape'!$R$4:$R$303)/E271,"-")</f>
        <v>1.32899078383391</v>
      </c>
      <c r="H271" s="68" t="n">
        <f aca="false">IFERROR(SUMPRODUCT((('Loan Tape'!$R$4:$R$303&lt;&gt;"")*(('Loan Tape'!$K$4:$K$303="Fixed")*('Loan Tape'!$R$4:$R$303&lt;&gt;"")))*'Loan Tape'!$AH$4:$AH$303*'Loan Tape'!$R$4:$R$303)/E271,"-")</f>
        <v>81.2097325675687</v>
      </c>
      <c r="I271" s="68" t="n">
        <f aca="false">IFERROR(SUMPRODUCT((('Loan Tape'!$R$4:$R$303&lt;&gt;"")*(('Loan Tape'!$K$4:$K$303="Fixed")*('Loan Tape'!$R$4:$R$303&lt;&gt;"")))*(('Loan Tape'!$H$4:$H$303-$C$4)/30.4375)*'Loan Tape'!$R$4:$R$303)/E271,"-")</f>
        <v>2.13605350601144</v>
      </c>
      <c r="J271" s="69" t="n">
        <f aca="false">IFERROR(SUMPRODUCT((('Loan Tape'!$R$4:$R$303&lt;&gt;"")*(('Loan Tape'!$K$4:$K$303="Fixed")*('Loan Tape'!$R$4:$R$303&lt;&gt;"")))*('Loan Tape'!$K$4:$K$303="Floating")*'Loan Tape'!$R$4:$R$303)/E271,"-")</f>
        <v>0</v>
      </c>
      <c r="K271" s="69" t="n">
        <f aca="false">IFERROR(SUMPRODUCT((('Loan Tape'!$R$4:$R$303&lt;&gt;"")*(('Loan Tape'!$K$4:$K$303="Fixed")*('Loan Tape'!$R$4:$R$303&lt;&gt;"")))*'Loan Tape'!$T$4:$T$303*'Loan Tape'!$R$4:$R$303)/E271,"-")</f>
        <v>0.094016040093965</v>
      </c>
      <c r="L271" s="69" t="n">
        <f aca="false">IFERROR(SUMPRODUCT((('Loan Tape'!$R$4:$R$303&lt;&gt;"")*(('Loan Tape'!$K$4:$K$303="Fixed")*('Loan Tape'!$R$4:$R$303&lt;&gt;"")))*'Loan Tape'!$V$4:$V$303*'Loan Tape'!$R$4:$R$303)/E271,"-")</f>
        <v>0.6837901491999</v>
      </c>
      <c r="M271" s="69" t="n">
        <f aca="false">IFERROR(SUMPRODUCT((('Loan Tape'!$R$4:$R$303&lt;&gt;"")*(('Loan Tape'!$K$4:$K$303="Fixed")*('Loan Tape'!$R$4:$R$303&lt;&gt;"")))*'Loan Tape'!$W$4:$W$303*'Loan Tape'!$R$4:$R$303)/E271,"-")</f>
        <v>0.720645609333443</v>
      </c>
      <c r="N271" s="69" t="n">
        <f aca="false">IFERROR(SUMPRODUCT((('Loan Tape'!$R$4:$R$303&lt;&gt;"")*(('Loan Tape'!$K$4:$K$303="Fixed")*('Loan Tape'!$R$4:$R$303&lt;&gt;"")))*'Loan Tape'!$AI$4:$AI$303*'Loan Tape'!$R$4:$R$303)/E271,"-")</f>
        <v>0.0567343422509324</v>
      </c>
      <c r="O271" s="69" t="n">
        <f aca="false">IFERROR(SUMPRODUCT((('Loan Tape'!$R$4:$R$303&lt;&gt;"")*(('Loan Tape'!$K$4:$K$303="Fixed")*('Loan Tape'!$R$4:$R$303&lt;&gt;"")))*'Loan Tape'!$AK$4:$AK$303*'Loan Tape'!$R$4:$R$303)/E271,"-")</f>
        <v>0.0567343422509324</v>
      </c>
      <c r="P271" s="69" t="n">
        <f aca="false">IFERROR(SUMPRODUCT((('Loan Tape'!$R$4:$R$303&lt;&gt;"")*(('Loan Tape'!$K$4:$K$303="Fixed")*('Loan Tape'!$R$4:$R$303&lt;&gt;"")))*'Loan Tape'!$S$4:$S$303*'Loan Tape'!$R$4:$R$303)/E271,"-")</f>
        <v>0.88945530989463</v>
      </c>
    </row>
    <row r="272" customFormat="false" ht="14.25" hidden="false" customHeight="false" outlineLevel="0" collapsed="false">
      <c r="B272" s="86" t="s">
        <v>405</v>
      </c>
      <c r="C272" s="92" t="n">
        <f aca="false">SUM(C266:C271)</f>
        <v>50</v>
      </c>
      <c r="D272" s="92" t="n">
        <f aca="false">SUM(D266:D271)</f>
        <v>4739</v>
      </c>
      <c r="E272" s="88" t="n">
        <f aca="false">SUM(E266:E271)</f>
        <v>2495610000</v>
      </c>
      <c r="F272" s="89" t="n">
        <f aca="false">SUM(F266:F271)</f>
        <v>1</v>
      </c>
      <c r="G272" s="90" t="n">
        <f aca="false">IFERROR(SUMPRODUCT((('Loan Tape'!$R$4:$R$303&lt;&gt;""))*'Loan Tape'!$U$4:$U$303*'Loan Tape'!$R$4:$R$303)/E272,"-")</f>
        <v>1.36575944157941</v>
      </c>
      <c r="H272" s="92" t="n">
        <f aca="false">IFERROR(SUMPRODUCT((('Loan Tape'!$R$4:$R$303&lt;&gt;""))*'Loan Tape'!$AH$4:$AH$303*'Loan Tape'!$R$4:$R$303)/E272,"-")</f>
        <v>76.5147345138063</v>
      </c>
      <c r="I272" s="92" t="n">
        <f aca="false">IFERROR(SUMPRODUCT((('Loan Tape'!$R$4:$R$303&lt;&gt;""))*(('Loan Tape'!$H$4:$H$303-$C$4)/30.4375)*'Loan Tape'!$R$4:$R$303)/E272,"-")</f>
        <v>17.6772942206432</v>
      </c>
      <c r="J272" s="89" t="n">
        <f aca="false">IFERROR(SUMPRODUCT((('Loan Tape'!$R$4:$R$303&lt;&gt;""))*('Loan Tape'!$K$4:$K$303="Floating")*'Loan Tape'!$R$4:$R$303)/E272,"-")</f>
        <v>0.664477622705471</v>
      </c>
      <c r="K272" s="89" t="n">
        <f aca="false">IFERROR(SUMPRODUCT((('Loan Tape'!$R$4:$R$303&lt;&gt;""))*'Loan Tape'!$T$4:$T$303*'Loan Tape'!$R$4:$R$303)/E272,"-")</f>
        <v>0.0861540568438177</v>
      </c>
      <c r="L272" s="89" t="n">
        <f aca="false">IFERROR(SUMPRODUCT((('Loan Tape'!$R$4:$R$303&lt;&gt;""))*'Loan Tape'!$V$4:$V$303*'Loan Tape'!$R$4:$R$303)/E272,"-")</f>
        <v>0.683559256454334</v>
      </c>
      <c r="M272" s="89" t="n">
        <f aca="false">IFERROR(SUMPRODUCT((('Loan Tape'!$R$4:$R$303&lt;&gt;""))*'Loan Tape'!$W$4:$W$303*'Loan Tape'!$R$4:$R$303)/E272,"-")</f>
        <v>0.716164459190338</v>
      </c>
      <c r="N272" s="89" t="n">
        <f aca="false">IFERROR(SUMPRODUCT((('Loan Tape'!$R$4:$R$303&lt;&gt;""))*'Loan Tape'!$AI$4:$AI$303*'Loan Tape'!$R$4:$R$303)/E272,"-")</f>
        <v>0.0704574522862146</v>
      </c>
      <c r="O272" s="89" t="n">
        <f aca="false">IFERROR(SUMPRODUCT((('Loan Tape'!$R$4:$R$303&lt;&gt;""))*'Loan Tape'!$AK$4:$AK$303*'Loan Tape'!$R$4:$R$303)/E272,"-")</f>
        <v>0.0792103169165054</v>
      </c>
      <c r="P272" s="89" t="n">
        <f aca="false">IFERROR(SUMPRODUCT((('Loan Tape'!$R$4:$R$303&lt;&gt;""))*'Loan Tape'!$S$4:$S$303*'Loan Tape'!$R$4:$R$303)/E272,"-")</f>
        <v>0.886687142221741</v>
      </c>
    </row>
    <row r="274" customFormat="false" ht="19.5" hidden="false" customHeight="true" outlineLevel="0" collapsed="false">
      <c r="B274" s="5" t="s">
        <v>486</v>
      </c>
      <c r="C274" s="5"/>
      <c r="D274" s="5"/>
      <c r="E274" s="5"/>
      <c r="F274" s="5"/>
      <c r="G274" s="5"/>
      <c r="H274" s="5"/>
      <c r="I274" s="5"/>
      <c r="J274" s="5"/>
      <c r="K274" s="5"/>
      <c r="L274" s="5"/>
      <c r="M274" s="5"/>
      <c r="N274" s="5"/>
      <c r="O274" s="5"/>
      <c r="P274" s="5"/>
    </row>
    <row r="275" customFormat="false" ht="42" hidden="false" customHeight="true" outlineLevel="0" collapsed="false">
      <c r="B275" s="82" t="s">
        <v>423</v>
      </c>
      <c r="C275" s="83" t="s">
        <v>368</v>
      </c>
      <c r="D275" s="83" t="s">
        <v>153</v>
      </c>
      <c r="E275" s="83" t="s">
        <v>393</v>
      </c>
      <c r="F275" s="83" t="s">
        <v>394</v>
      </c>
      <c r="G275" s="83" t="s">
        <v>395</v>
      </c>
      <c r="H275" s="83" t="s">
        <v>396</v>
      </c>
      <c r="I275" s="83" t="s">
        <v>397</v>
      </c>
      <c r="J275" s="83" t="s">
        <v>398</v>
      </c>
      <c r="K275" s="83" t="s">
        <v>399</v>
      </c>
      <c r="L275" s="83" t="s">
        <v>400</v>
      </c>
      <c r="M275" s="83" t="s">
        <v>401</v>
      </c>
      <c r="N275" s="83" t="s">
        <v>402</v>
      </c>
      <c r="O275" s="83" t="s">
        <v>403</v>
      </c>
      <c r="P275" s="83" t="s">
        <v>365</v>
      </c>
    </row>
    <row r="276" customFormat="false" ht="14.25" hidden="false" customHeight="false" outlineLevel="0" collapsed="false">
      <c r="B276" s="7" t="s">
        <v>487</v>
      </c>
      <c r="C276" s="68" t="n">
        <f aca="false">COUNTIFS('Loan Tape'!$X$4:$X$303,"&gt;="&amp;R276,'Loan Tape'!$X$4:$X$303,"&lt;="&amp;S276,'Loan Tape'!$R$4:$R$303,"&lt;&gt;")</f>
        <v>13</v>
      </c>
      <c r="D276" s="68" t="n">
        <f aca="false">SUMPRODUCT((('Loan Tape'!$R$4:$R$303&lt;&gt;"")*('Loan Tape'!$X$4:$X$303&gt;=R276)*('Loan Tape'!$X$4:$X$303&lt;=S276))*'Loan Tape'!$F$4:$F$303)</f>
        <v>1249</v>
      </c>
      <c r="E276" s="84" t="n">
        <f aca="false">SUMIFS('Loan Tape'!$R$4:$R$303,'Loan Tape'!$X$4:$X$303,"&gt;="&amp;R276,'Loan Tape'!$X$4:$X$303,"&lt;="&amp;S276,'Loan Tape'!$R$4:$R$303,"&lt;&gt;")</f>
        <v>698179000</v>
      </c>
      <c r="F276" s="69" t="n">
        <f aca="false">IFERROR(E276/C5,0)</f>
        <v>0.279762863588461</v>
      </c>
      <c r="G276" s="85" t="n">
        <f aca="false">IFERROR(SUMPRODUCT((('Loan Tape'!$R$4:$R$303&lt;&gt;"")*('Loan Tape'!$X$4:$X$303&gt;=R276)*('Loan Tape'!$X$4:$X$303&lt;=S276))*'Loan Tape'!$U$4:$U$303*'Loan Tape'!$R$4:$R$303)/E276,"-")</f>
        <v>1.58713375796178</v>
      </c>
      <c r="H276" s="68" t="n">
        <f aca="false">IFERROR(SUMPRODUCT((('Loan Tape'!$R$4:$R$303&lt;&gt;"")*('Loan Tape'!$X$4:$X$303&gt;=R276)*('Loan Tape'!$X$4:$X$303&lt;=S276))*'Loan Tape'!$AH$4:$AH$303*'Loan Tape'!$R$4:$R$303)/E276,"-")</f>
        <v>73.8869769786831</v>
      </c>
      <c r="I276" s="68" t="n">
        <f aca="false">IFERROR(SUMPRODUCT((('Loan Tape'!$R$4:$R$303&lt;&gt;"")*('Loan Tape'!$X$4:$X$303&gt;=R276)*('Loan Tape'!$X$4:$X$303&lt;=S276))*(('Loan Tape'!$H$4:$H$303-$C$4)/30.4375)*'Loan Tape'!$R$4:$R$303)/E276,"-")</f>
        <v>31.0832782940442</v>
      </c>
      <c r="J276" s="69" t="n">
        <f aca="false">IFERROR(SUMPRODUCT((('Loan Tape'!$R$4:$R$303&lt;&gt;"")*('Loan Tape'!$X$4:$X$303&gt;=R276)*('Loan Tape'!$X$4:$X$303&lt;=S276))*('Loan Tape'!$K$4:$K$303="Floating")*'Loan Tape'!$R$4:$R$303)/E276,"-")</f>
        <v>0.582751701211294</v>
      </c>
      <c r="K276" s="69" t="n">
        <f aca="false">IFERROR(SUMPRODUCT((('Loan Tape'!$R$4:$R$303&lt;&gt;"")*('Loan Tape'!$X$4:$X$303&gt;=R276)*('Loan Tape'!$X$4:$X$303&lt;=S276))*'Loan Tape'!$T$4:$T$303*'Loan Tape'!$R$4:$R$303)/E276,"-")</f>
        <v>0.0848865780838438</v>
      </c>
      <c r="L276" s="69" t="n">
        <f aca="false">IFERROR(SUMPRODUCT((('Loan Tape'!$R$4:$R$303&lt;&gt;"")*('Loan Tape'!$X$4:$X$303&gt;=R276)*('Loan Tape'!$X$4:$X$303&lt;=S276))*'Loan Tape'!$V$4:$V$303*'Loan Tape'!$R$4:$R$303)/E276,"-")</f>
        <v>0.67135424583094</v>
      </c>
      <c r="M276" s="69" t="n">
        <f aca="false">IFERROR(SUMPRODUCT((('Loan Tape'!$R$4:$R$303&lt;&gt;"")*('Loan Tape'!$X$4:$X$303&gt;=R276)*('Loan Tape'!$X$4:$X$303&lt;=S276))*'Loan Tape'!$W$4:$W$303*'Loan Tape'!$R$4:$R$303)/E276,"-")</f>
        <v>0.703296197679965</v>
      </c>
      <c r="N276" s="69" t="n">
        <f aca="false">IFERROR(SUMPRODUCT((('Loan Tape'!$R$4:$R$303&lt;&gt;"")*('Loan Tape'!$X$4:$X$303&gt;=R276)*('Loan Tape'!$X$4:$X$303&lt;=S276))*'Loan Tape'!$AI$4:$AI$303*'Loan Tape'!$R$4:$R$303)/E276,"-")</f>
        <v>0.0687055472880164</v>
      </c>
      <c r="O276" s="69" t="n">
        <f aca="false">IFERROR(SUMPRODUCT((('Loan Tape'!$R$4:$R$303&lt;&gt;"")*('Loan Tape'!$X$4:$X$303&gt;=R276)*('Loan Tape'!$X$4:$X$303&lt;=S276))*'Loan Tape'!$AK$4:$AK$303*'Loan Tape'!$R$4:$R$303)/E276,"-")</f>
        <v>0.0774468228061858</v>
      </c>
      <c r="P276" s="69" t="n">
        <f aca="false">IFERROR(SUMPRODUCT((('Loan Tape'!$R$4:$R$303&lt;&gt;"")*('Loan Tape'!$X$4:$X$303&gt;=R276)*('Loan Tape'!$X$4:$X$303&lt;=S276))*'Loan Tape'!$S$4:$S$303*'Loan Tape'!$R$4:$R$303)/E276,"-")</f>
        <v>0.855470224684501</v>
      </c>
      <c r="R276" s="91" t="n">
        <v>-1000000000000</v>
      </c>
      <c r="S276" s="91" t="n">
        <v>1979</v>
      </c>
    </row>
    <row r="277" customFormat="false" ht="14.25" hidden="false" customHeight="false" outlineLevel="0" collapsed="false">
      <c r="B277" s="7" t="s">
        <v>488</v>
      </c>
      <c r="C277" s="68" t="n">
        <f aca="false">COUNTIFS('Loan Tape'!$X$4:$X$303,"&gt;="&amp;R277,'Loan Tape'!$X$4:$X$303,"&lt;="&amp;S277,'Loan Tape'!$R$4:$R$303,"&lt;&gt;")</f>
        <v>12</v>
      </c>
      <c r="D277" s="68" t="n">
        <f aca="false">SUMPRODUCT((('Loan Tape'!$R$4:$R$303&lt;&gt;"")*('Loan Tape'!$X$4:$X$303&gt;=R277)*('Loan Tape'!$X$4:$X$303&lt;=S277))*'Loan Tape'!$F$4:$F$303)</f>
        <v>1215</v>
      </c>
      <c r="E277" s="84" t="n">
        <f aca="false">SUMIFS('Loan Tape'!$R$4:$R$303,'Loan Tape'!$X$4:$X$303,"&gt;="&amp;R277,'Loan Tape'!$X$4:$X$303,"&lt;="&amp;S277,'Loan Tape'!$R$4:$R$303,"&lt;&gt;")</f>
        <v>622851000</v>
      </c>
      <c r="F277" s="69" t="n">
        <f aca="false">IFERROR(E277/C5,0)</f>
        <v>0.249578660127183</v>
      </c>
      <c r="G277" s="85" t="n">
        <f aca="false">IFERROR(SUMPRODUCT((('Loan Tape'!$R$4:$R$303&lt;&gt;"")*('Loan Tape'!$X$4:$X$303&gt;=R277)*('Loan Tape'!$X$4:$X$303&lt;=S277))*'Loan Tape'!$U$4:$U$303*'Loan Tape'!$R$4:$R$303)/E277,"-")</f>
        <v>1.29483452703777</v>
      </c>
      <c r="H277" s="68" t="n">
        <f aca="false">IFERROR(SUMPRODUCT((('Loan Tape'!$R$4:$R$303&lt;&gt;"")*('Loan Tape'!$X$4:$X$303&gt;=R277)*('Loan Tape'!$X$4:$X$303&lt;=S277))*'Loan Tape'!$AH$4:$AH$303*'Loan Tape'!$R$4:$R$303)/E277,"-")</f>
        <v>74.7728599616923</v>
      </c>
      <c r="I277" s="68" t="n">
        <f aca="false">IFERROR(SUMPRODUCT((('Loan Tape'!$R$4:$R$303&lt;&gt;"")*('Loan Tape'!$X$4:$X$303&gt;=R277)*('Loan Tape'!$X$4:$X$303&lt;=S277))*(('Loan Tape'!$H$4:$H$303-$C$4)/30.4375)*'Loan Tape'!$R$4:$R$303)/E277,"-")</f>
        <v>19.0978378726819</v>
      </c>
      <c r="J277" s="69" t="n">
        <f aca="false">IFERROR(SUMPRODUCT((('Loan Tape'!$R$4:$R$303&lt;&gt;"")*('Loan Tape'!$X$4:$X$303&gt;=R277)*('Loan Tape'!$X$4:$X$303&lt;=S277))*('Loan Tape'!$K$4:$K$303="Floating")*'Loan Tape'!$R$4:$R$303)/E277,"-")</f>
        <v>0.798495948469217</v>
      </c>
      <c r="K277" s="69" t="n">
        <f aca="false">IFERROR(SUMPRODUCT((('Loan Tape'!$R$4:$R$303&lt;&gt;"")*('Loan Tape'!$X$4:$X$303&gt;=R277)*('Loan Tape'!$X$4:$X$303&lt;=S277))*'Loan Tape'!$T$4:$T$303*'Loan Tape'!$R$4:$R$303)/E277,"-")</f>
        <v>0.101871037535462</v>
      </c>
      <c r="L277" s="69" t="n">
        <f aca="false">IFERROR(SUMPRODUCT((('Loan Tape'!$R$4:$R$303&lt;&gt;"")*('Loan Tape'!$X$4:$X$303&gt;=R277)*('Loan Tape'!$X$4:$X$303&lt;=S277))*'Loan Tape'!$V$4:$V$303*'Loan Tape'!$R$4:$R$303)/E277,"-")</f>
        <v>0.73071978852085</v>
      </c>
      <c r="M277" s="69" t="n">
        <f aca="false">IFERROR(SUMPRODUCT((('Loan Tape'!$R$4:$R$303&lt;&gt;"")*('Loan Tape'!$X$4:$X$303&gt;=R277)*('Loan Tape'!$X$4:$X$303&lt;=S277))*'Loan Tape'!$W$4:$W$303*'Loan Tape'!$R$4:$R$303)/E277,"-")</f>
        <v>0.759628691292139</v>
      </c>
      <c r="N277" s="69" t="n">
        <f aca="false">IFERROR(SUMPRODUCT((('Loan Tape'!$R$4:$R$303&lt;&gt;"")*('Loan Tape'!$X$4:$X$303&gt;=R277)*('Loan Tape'!$X$4:$X$303&lt;=S277))*'Loan Tape'!$AI$4:$AI$303*'Loan Tape'!$R$4:$R$303)/E277,"-")</f>
        <v>0.0693317295789844</v>
      </c>
      <c r="O277" s="69" t="n">
        <f aca="false">IFERROR(SUMPRODUCT((('Loan Tape'!$R$4:$R$303&lt;&gt;"")*('Loan Tape'!$X$4:$X$303&gt;=R277)*('Loan Tape'!$X$4:$X$303&lt;=S277))*'Loan Tape'!$AK$4:$AK$303*'Loan Tape'!$R$4:$R$303)/E277,"-")</f>
        <v>0.0810023705509022</v>
      </c>
      <c r="P277" s="69" t="n">
        <f aca="false">IFERROR(SUMPRODUCT((('Loan Tape'!$R$4:$R$303&lt;&gt;"")*('Loan Tape'!$X$4:$X$303&gt;=R277)*('Loan Tape'!$X$4:$X$303&lt;=S277))*'Loan Tape'!$S$4:$S$303*'Loan Tape'!$R$4:$R$303)/E277,"-")</f>
        <v>0.910070589916369</v>
      </c>
      <c r="R277" s="91" t="n">
        <v>1980</v>
      </c>
      <c r="S277" s="91" t="n">
        <v>1999</v>
      </c>
    </row>
    <row r="278" customFormat="false" ht="14.25" hidden="false" customHeight="false" outlineLevel="0" collapsed="false">
      <c r="B278" s="7" t="s">
        <v>489</v>
      </c>
      <c r="C278" s="68" t="n">
        <f aca="false">COUNTIFS('Loan Tape'!$X$4:$X$303,"&gt;="&amp;R278,'Loan Tape'!$X$4:$X$303,"&lt;="&amp;S278,'Loan Tape'!$R$4:$R$303,"&lt;&gt;")</f>
        <v>13</v>
      </c>
      <c r="D278" s="68" t="n">
        <f aca="false">SUMPRODUCT((('Loan Tape'!$R$4:$R$303&lt;&gt;"")*('Loan Tape'!$X$4:$X$303&gt;=R278)*('Loan Tape'!$X$4:$X$303&lt;=S278))*'Loan Tape'!$F$4:$F$303)</f>
        <v>1341</v>
      </c>
      <c r="E278" s="84" t="n">
        <f aca="false">SUMIFS('Loan Tape'!$R$4:$R$303,'Loan Tape'!$X$4:$X$303,"&gt;="&amp;R278,'Loan Tape'!$X$4:$X$303,"&lt;="&amp;S278,'Loan Tape'!$R$4:$R$303,"&lt;&gt;")</f>
        <v>592063000</v>
      </c>
      <c r="F278" s="69" t="n">
        <f aca="false">IFERROR(E278/C5,0)</f>
        <v>0.237241796594821</v>
      </c>
      <c r="G278" s="85" t="n">
        <f aca="false">IFERROR(SUMPRODUCT((('Loan Tape'!$R$4:$R$303&lt;&gt;"")*('Loan Tape'!$X$4:$X$303&gt;=R278)*('Loan Tape'!$X$4:$X$303&lt;=S278))*'Loan Tape'!$U$4:$U$303*'Loan Tape'!$R$4:$R$303)/E278,"-")</f>
        <v>1.25748359549575</v>
      </c>
      <c r="H278" s="68" t="n">
        <f aca="false">IFERROR(SUMPRODUCT((('Loan Tape'!$R$4:$R$303&lt;&gt;"")*('Loan Tape'!$X$4:$X$303&gt;=R278)*('Loan Tape'!$X$4:$X$303&lt;=S278))*'Loan Tape'!$AH$4:$AH$303*'Loan Tape'!$R$4:$R$303)/E278,"-")</f>
        <v>74.2910982446125</v>
      </c>
      <c r="I278" s="68" t="n">
        <f aca="false">IFERROR(SUMPRODUCT((('Loan Tape'!$R$4:$R$303&lt;&gt;"")*('Loan Tape'!$X$4:$X$303&gt;=R278)*('Loan Tape'!$X$4:$X$303&lt;=S278))*(('Loan Tape'!$H$4:$H$303-$C$4)/30.4375)*'Loan Tape'!$R$4:$R$303)/E278,"-")</f>
        <v>17.9502960311597</v>
      </c>
      <c r="J278" s="69" t="n">
        <f aca="false">IFERROR(SUMPRODUCT((('Loan Tape'!$R$4:$R$303&lt;&gt;"")*('Loan Tape'!$X$4:$X$303&gt;=R278)*('Loan Tape'!$X$4:$X$303&lt;=S278))*('Loan Tape'!$K$4:$K$303="Floating")*'Loan Tape'!$R$4:$R$303)/E278,"-")</f>
        <v>0.707586861533317</v>
      </c>
      <c r="K278" s="69" t="n">
        <f aca="false">IFERROR(SUMPRODUCT((('Loan Tape'!$R$4:$R$303&lt;&gt;"")*('Loan Tape'!$X$4:$X$303&gt;=R278)*('Loan Tape'!$X$4:$X$303&lt;=S278))*'Loan Tape'!$T$4:$T$303*'Loan Tape'!$R$4:$R$303)/E278,"-")</f>
        <v>0.066341354551796</v>
      </c>
      <c r="L278" s="69" t="n">
        <f aca="false">IFERROR(SUMPRODUCT((('Loan Tape'!$R$4:$R$303&lt;&gt;"")*('Loan Tape'!$X$4:$X$303&gt;=R278)*('Loan Tape'!$X$4:$X$303&lt;=S278))*'Loan Tape'!$V$4:$V$303*'Loan Tape'!$R$4:$R$303)/E278,"-")</f>
        <v>0.657640031550697</v>
      </c>
      <c r="M278" s="69" t="n">
        <f aca="false">IFERROR(SUMPRODUCT((('Loan Tape'!$R$4:$R$303&lt;&gt;"")*('Loan Tape'!$X$4:$X$303&gt;=R278)*('Loan Tape'!$X$4:$X$303&lt;=S278))*'Loan Tape'!$W$4:$W$303*'Loan Tape'!$R$4:$R$303)/E278,"-")</f>
        <v>0.693929841925606</v>
      </c>
      <c r="N278" s="69" t="n">
        <f aca="false">IFERROR(SUMPRODUCT((('Loan Tape'!$R$4:$R$303&lt;&gt;"")*('Loan Tape'!$X$4:$X$303&gt;=R278)*('Loan Tape'!$X$4:$X$303&lt;=S278))*'Loan Tape'!$AI$4:$AI$303*'Loan Tape'!$R$4:$R$303)/E278,"-")</f>
        <v>0.0752308685055476</v>
      </c>
      <c r="O278" s="69" t="n">
        <f aca="false">IFERROR(SUMPRODUCT((('Loan Tape'!$R$4:$R$303&lt;&gt;"")*('Loan Tape'!$X$4:$X$303&gt;=R278)*('Loan Tape'!$X$4:$X$303&lt;=S278))*'Loan Tape'!$AK$4:$AK$303*'Loan Tape'!$R$4:$R$303)/E278,"-")</f>
        <v>0.0834961781094242</v>
      </c>
      <c r="P278" s="69" t="n">
        <f aca="false">IFERROR(SUMPRODUCT((('Loan Tape'!$R$4:$R$303&lt;&gt;"")*('Loan Tape'!$X$4:$X$303&gt;=R278)*('Loan Tape'!$X$4:$X$303&lt;=S278))*'Loan Tape'!$S$4:$S$303*'Loan Tape'!$R$4:$R$303)/E278,"-")</f>
        <v>0.880695890471115</v>
      </c>
      <c r="R278" s="91" t="n">
        <v>2000</v>
      </c>
      <c r="S278" s="91" t="n">
        <v>2009</v>
      </c>
    </row>
    <row r="279" customFormat="false" ht="14.25" hidden="false" customHeight="false" outlineLevel="0" collapsed="false">
      <c r="B279" s="7" t="s">
        <v>490</v>
      </c>
      <c r="C279" s="68" t="n">
        <f aca="false">COUNTIFS('Loan Tape'!$X$4:$X$303,"&gt;="&amp;R279,'Loan Tape'!$X$4:$X$303,"&lt;="&amp;S279,'Loan Tape'!$R$4:$R$303,"&lt;&gt;")</f>
        <v>8</v>
      </c>
      <c r="D279" s="68" t="n">
        <f aca="false">SUMPRODUCT((('Loan Tape'!$R$4:$R$303&lt;&gt;"")*('Loan Tape'!$X$4:$X$303&gt;=R279)*('Loan Tape'!$X$4:$X$303&lt;=S279))*'Loan Tape'!$F$4:$F$303)</f>
        <v>609</v>
      </c>
      <c r="E279" s="84" t="n">
        <f aca="false">SUMIFS('Loan Tape'!$R$4:$R$303,'Loan Tape'!$X$4:$X$303,"&gt;="&amp;R279,'Loan Tape'!$X$4:$X$303,"&lt;="&amp;S279,'Loan Tape'!$R$4:$R$303,"&lt;&gt;")</f>
        <v>291012000</v>
      </c>
      <c r="F279" s="69" t="n">
        <f aca="false">IFERROR(E279/C5,0)</f>
        <v>0.116609566398596</v>
      </c>
      <c r="G279" s="85" t="n">
        <f aca="false">IFERROR(SUMPRODUCT((('Loan Tape'!$R$4:$R$303&lt;&gt;"")*('Loan Tape'!$X$4:$X$303&gt;=R279)*('Loan Tape'!$X$4:$X$303&lt;=S279))*'Loan Tape'!$U$4:$U$303*'Loan Tape'!$R$4:$R$303)/E279,"-")</f>
        <v>1.20589738567482</v>
      </c>
      <c r="H279" s="68" t="n">
        <f aca="false">IFERROR(SUMPRODUCT((('Loan Tape'!$R$4:$R$303&lt;&gt;"")*('Loan Tape'!$X$4:$X$303&gt;=R279)*('Loan Tape'!$X$4:$X$303&lt;=S279))*'Loan Tape'!$AH$4:$AH$303*'Loan Tape'!$R$4:$R$303)/E279,"-")</f>
        <v>84.0509195497093</v>
      </c>
      <c r="I279" s="68" t="n">
        <f aca="false">IFERROR(SUMPRODUCT((('Loan Tape'!$R$4:$R$303&lt;&gt;"")*('Loan Tape'!$X$4:$X$303&gt;=R279)*('Loan Tape'!$X$4:$X$303&lt;=S279))*(('Loan Tape'!$H$4:$H$303-$C$4)/30.4375)*'Loan Tape'!$R$4:$R$303)/E279,"-")</f>
        <v>-12.6367864308453</v>
      </c>
      <c r="J279" s="69" t="n">
        <f aca="false">IFERROR(SUMPRODUCT((('Loan Tape'!$R$4:$R$303&lt;&gt;"")*('Loan Tape'!$X$4:$X$303&gt;=R279)*('Loan Tape'!$X$4:$X$303&lt;=S279))*('Loan Tape'!$K$4:$K$303="Floating")*'Loan Tape'!$R$4:$R$303)/E279,"-")</f>
        <v>0.554351710582382</v>
      </c>
      <c r="K279" s="69" t="n">
        <f aca="false">IFERROR(SUMPRODUCT((('Loan Tape'!$R$4:$R$303&lt;&gt;"")*('Loan Tape'!$X$4:$X$303&gt;=R279)*('Loan Tape'!$X$4:$X$303&lt;=S279))*'Loan Tape'!$T$4:$T$303*'Loan Tape'!$R$4:$R$303)/E279,"-")</f>
        <v>0.0917784799252265</v>
      </c>
      <c r="L279" s="69" t="n">
        <f aca="false">IFERROR(SUMPRODUCT((('Loan Tape'!$R$4:$R$303&lt;&gt;"")*('Loan Tape'!$X$4:$X$303&gt;=R279)*('Loan Tape'!$X$4:$X$303&lt;=S279))*'Loan Tape'!$V$4:$V$303*'Loan Tape'!$R$4:$R$303)/E279,"-")</f>
        <v>0.747579226973458</v>
      </c>
      <c r="M279" s="69" t="n">
        <f aca="false">IFERROR(SUMPRODUCT((('Loan Tape'!$R$4:$R$303&lt;&gt;"")*('Loan Tape'!$X$4:$X$303&gt;=R279)*('Loan Tape'!$X$4:$X$303&lt;=S279))*'Loan Tape'!$W$4:$W$303*'Loan Tape'!$R$4:$R$303)/E279,"-")</f>
        <v>0.789068467966957</v>
      </c>
      <c r="N279" s="69" t="n">
        <f aca="false">IFERROR(SUMPRODUCT((('Loan Tape'!$R$4:$R$303&lt;&gt;"")*('Loan Tape'!$X$4:$X$303&gt;=R279)*('Loan Tape'!$X$4:$X$303&lt;=S279))*'Loan Tape'!$AI$4:$AI$303*'Loan Tape'!$R$4:$R$303)/E279,"-")</f>
        <v>0.0664464475691724</v>
      </c>
      <c r="O279" s="69" t="n">
        <f aca="false">IFERROR(SUMPRODUCT((('Loan Tape'!$R$4:$R$303&lt;&gt;"")*('Loan Tape'!$X$4:$X$303&gt;=R279)*('Loan Tape'!$X$4:$X$303&lt;=S279))*'Loan Tape'!$AK$4:$AK$303*'Loan Tape'!$R$4:$R$303)/E279,"-")</f>
        <v>0.0702104445864775</v>
      </c>
      <c r="P279" s="69" t="n">
        <f aca="false">IFERROR(SUMPRODUCT((('Loan Tape'!$R$4:$R$303&lt;&gt;"")*('Loan Tape'!$X$4:$X$303&gt;=R279)*('Loan Tape'!$X$4:$X$303&lt;=S279))*'Loan Tape'!$S$4:$S$303*'Loan Tape'!$R$4:$R$303)/E279,"-")</f>
        <v>0.876788448586313</v>
      </c>
      <c r="R279" s="91" t="n">
        <v>2010</v>
      </c>
      <c r="S279" s="91" t="n">
        <v>2019</v>
      </c>
    </row>
    <row r="280" customFormat="false" ht="14.25" hidden="false" customHeight="false" outlineLevel="0" collapsed="false">
      <c r="B280" s="7" t="s">
        <v>491</v>
      </c>
      <c r="C280" s="68" t="n">
        <f aca="false">COUNTIFS('Loan Tape'!$X$4:$X$303,"&gt;="&amp;R280,'Loan Tape'!$X$4:$X$303,"&lt;="&amp;S280,'Loan Tape'!$R$4:$R$303,"&lt;&gt;")</f>
        <v>4</v>
      </c>
      <c r="D280" s="68" t="n">
        <f aca="false">SUMPRODUCT((('Loan Tape'!$R$4:$R$303&lt;&gt;"")*('Loan Tape'!$X$4:$X$303&gt;=R280)*('Loan Tape'!$X$4:$X$303&lt;=S280))*'Loan Tape'!$F$4:$F$303)</f>
        <v>325</v>
      </c>
      <c r="E280" s="84" t="n">
        <f aca="false">SUMIFS('Loan Tape'!$R$4:$R$303,'Loan Tape'!$X$4:$X$303,"&gt;="&amp;R280,'Loan Tape'!$X$4:$X$303,"&lt;="&amp;S280,'Loan Tape'!$R$4:$R$303,"&lt;&gt;")</f>
        <v>291505000</v>
      </c>
      <c r="F280" s="69" t="n">
        <f aca="false">IFERROR(E280/C5,0)</f>
        <v>0.116807113290939</v>
      </c>
      <c r="G280" s="85" t="n">
        <f aca="false">IFERROR(SUMPRODUCT((('Loan Tape'!$R$4:$R$303&lt;&gt;"")*('Loan Tape'!$X$4:$X$303&gt;=R280)*('Loan Tape'!$X$4:$X$303&lt;=S280))*'Loan Tape'!$U$4:$U$303*'Loan Tape'!$R$4:$R$303)/E280,"-")</f>
        <v>1.36659872043361</v>
      </c>
      <c r="H280" s="68" t="n">
        <f aca="false">IFERROR(SUMPRODUCT((('Loan Tape'!$R$4:$R$303&lt;&gt;"")*('Loan Tape'!$X$4:$X$303&gt;=R280)*('Loan Tape'!$X$4:$X$303&lt;=S280))*'Loan Tape'!$AH$4:$AH$303*'Loan Tape'!$R$4:$R$303)/E280,"-")</f>
        <v>83.5231423131679</v>
      </c>
      <c r="I280" s="68" t="n">
        <f aca="false">IFERROR(SUMPRODUCT((('Loan Tape'!$R$4:$R$303&lt;&gt;"")*('Loan Tape'!$X$4:$X$303&gt;=R280)*('Loan Tape'!$X$4:$X$303&lt;=S280))*(('Loan Tape'!$H$4:$H$303-$C$4)/30.4375)*'Loan Tape'!$R$4:$R$303)/E280,"-")</f>
        <v>12.2419273453314</v>
      </c>
      <c r="J280" s="69" t="n">
        <f aca="false">IFERROR(SUMPRODUCT((('Loan Tape'!$R$4:$R$303&lt;&gt;"")*('Loan Tape'!$X$4:$X$303&gt;=R280)*('Loan Tape'!$X$4:$X$303&lt;=S280))*('Loan Tape'!$K$4:$K$303="Floating")*'Loan Tape'!$R$4:$R$303)/E280,"-")</f>
        <v>0.596247062657587</v>
      </c>
      <c r="K280" s="69" t="n">
        <f aca="false">IFERROR(SUMPRODUCT((('Loan Tape'!$R$4:$R$303&lt;&gt;"")*('Loan Tape'!$X$4:$X$303&gt;=R280)*('Loan Tape'!$X$4:$X$303&lt;=S280))*'Loan Tape'!$T$4:$T$303*'Loan Tape'!$R$4:$R$303)/E280,"-")</f>
        <v>0.0902335177784258</v>
      </c>
      <c r="L280" s="69" t="n">
        <f aca="false">IFERROR(SUMPRODUCT((('Loan Tape'!$R$4:$R$303&lt;&gt;"")*('Loan Tape'!$X$4:$X$303&gt;=R280)*('Loan Tape'!$X$4:$X$303&lt;=S280))*'Loan Tape'!$V$4:$V$303*'Loan Tape'!$R$4:$R$303)/E280,"-")</f>
        <v>0.600756326649629</v>
      </c>
      <c r="M280" s="69" t="n">
        <f aca="false">IFERROR(SUMPRODUCT((('Loan Tape'!$R$4:$R$303&lt;&gt;"")*('Loan Tape'!$X$4:$X$303&gt;=R280)*('Loan Tape'!$X$4:$X$303&lt;=S280))*'Loan Tape'!$W$4:$W$303*'Loan Tape'!$R$4:$R$303)/E280,"-")</f>
        <v>0.62649519905319</v>
      </c>
      <c r="N280" s="69" t="n">
        <f aca="false">IFERROR(SUMPRODUCT((('Loan Tape'!$R$4:$R$303&lt;&gt;"")*('Loan Tape'!$X$4:$X$303&gt;=R280)*('Loan Tape'!$X$4:$X$303&lt;=S280))*'Loan Tape'!$AI$4:$AI$303*'Loan Tape'!$R$4:$R$303)/E280,"-")</f>
        <v>0.0713678592133926</v>
      </c>
      <c r="O280" s="69" t="n">
        <f aca="false">IFERROR(SUMPRODUCT((('Loan Tape'!$R$4:$R$303&lt;&gt;"")*('Loan Tape'!$X$4:$X$303&gt;=R280)*('Loan Tape'!$X$4:$X$303&lt;=S280))*'Loan Tape'!$AK$4:$AK$303*'Loan Tape'!$R$4:$R$303)/E280,"-")</f>
        <v>0.0798848273614518</v>
      </c>
      <c r="P280" s="69" t="n">
        <f aca="false">IFERROR(SUMPRODUCT((('Loan Tape'!$R$4:$R$303&lt;&gt;"")*('Loan Tape'!$X$4:$X$303&gt;=R280)*('Loan Tape'!$X$4:$X$303&lt;=S280))*'Loan Tape'!$S$4:$S$303*'Loan Tape'!$R$4:$R$303)/E280,"-")</f>
        <v>0.933542014716729</v>
      </c>
      <c r="R280" s="91" t="n">
        <v>2020</v>
      </c>
      <c r="S280" s="91" t="n">
        <v>1000000000000</v>
      </c>
    </row>
    <row r="281" customFormat="false" ht="14.25" hidden="false" customHeight="false" outlineLevel="0" collapsed="false">
      <c r="B281" s="86" t="s">
        <v>405</v>
      </c>
      <c r="C281" s="92" t="n">
        <f aca="false">SUM(C276:C280)</f>
        <v>50</v>
      </c>
      <c r="D281" s="92" t="n">
        <f aca="false">SUM(D276:D280)</f>
        <v>4739</v>
      </c>
      <c r="E281" s="88" t="n">
        <f aca="false">SUM(E276:E280)</f>
        <v>2495610000</v>
      </c>
      <c r="F281" s="89" t="n">
        <f aca="false">SUM(F276:F280)</f>
        <v>1</v>
      </c>
      <c r="G281" s="90" t="n">
        <f aca="false">IFERROR(SUMPRODUCT((('Loan Tape'!$R$4:$R$303&lt;&gt;""))*'Loan Tape'!$U$4:$U$303*'Loan Tape'!$R$4:$R$303)/E281,"-")</f>
        <v>1.36575944157941</v>
      </c>
      <c r="H281" s="92" t="n">
        <f aca="false">IFERROR(SUMPRODUCT((('Loan Tape'!$R$4:$R$303&lt;&gt;""))*'Loan Tape'!$AH$4:$AH$303*'Loan Tape'!$R$4:$R$303)/E281,"-")</f>
        <v>76.5147345138063</v>
      </c>
      <c r="I281" s="92" t="n">
        <f aca="false">IFERROR(SUMPRODUCT((('Loan Tape'!$R$4:$R$303&lt;&gt;""))*(('Loan Tape'!$H$4:$H$303-$C$4)/30.4375)*'Loan Tape'!$R$4:$R$303)/E281,"-")</f>
        <v>17.6772942206432</v>
      </c>
      <c r="J281" s="89" t="n">
        <f aca="false">IFERROR(SUMPRODUCT((('Loan Tape'!$R$4:$R$303&lt;&gt;""))*('Loan Tape'!$K$4:$K$303="Floating")*'Loan Tape'!$R$4:$R$303)/E281,"-")</f>
        <v>0.664477622705471</v>
      </c>
      <c r="K281" s="89" t="n">
        <f aca="false">IFERROR(SUMPRODUCT((('Loan Tape'!$R$4:$R$303&lt;&gt;""))*'Loan Tape'!$T$4:$T$303*'Loan Tape'!$R$4:$R$303)/E281,"-")</f>
        <v>0.0861540568438177</v>
      </c>
      <c r="L281" s="89" t="n">
        <f aca="false">IFERROR(SUMPRODUCT((('Loan Tape'!$R$4:$R$303&lt;&gt;""))*'Loan Tape'!$V$4:$V$303*'Loan Tape'!$R$4:$R$303)/E281,"-")</f>
        <v>0.683559256454334</v>
      </c>
      <c r="M281" s="89" t="n">
        <f aca="false">IFERROR(SUMPRODUCT((('Loan Tape'!$R$4:$R$303&lt;&gt;""))*'Loan Tape'!$W$4:$W$303*'Loan Tape'!$R$4:$R$303)/E281,"-")</f>
        <v>0.716164459190338</v>
      </c>
      <c r="N281" s="89" t="n">
        <f aca="false">IFERROR(SUMPRODUCT((('Loan Tape'!$R$4:$R$303&lt;&gt;""))*'Loan Tape'!$AI$4:$AI$303*'Loan Tape'!$R$4:$R$303)/E281,"-")</f>
        <v>0.0704574522862146</v>
      </c>
      <c r="O281" s="89" t="n">
        <f aca="false">IFERROR(SUMPRODUCT((('Loan Tape'!$R$4:$R$303&lt;&gt;""))*'Loan Tape'!$AK$4:$AK$303*'Loan Tape'!$R$4:$R$303)/E281,"-")</f>
        <v>0.0792103169165054</v>
      </c>
      <c r="P281" s="89" t="n">
        <f aca="false">IFERROR(SUMPRODUCT((('Loan Tape'!$R$4:$R$303&lt;&gt;""))*'Loan Tape'!$S$4:$S$303*'Loan Tape'!$R$4:$R$303)/E281,"-")</f>
        <v>0.886687142221741</v>
      </c>
    </row>
    <row r="283" customFormat="false" ht="19.5" hidden="false" customHeight="true" outlineLevel="0" collapsed="false">
      <c r="B283" s="5" t="s">
        <v>492</v>
      </c>
      <c r="C283" s="5"/>
      <c r="D283" s="5"/>
      <c r="E283" s="5"/>
      <c r="F283" s="5"/>
      <c r="G283" s="5"/>
      <c r="H283" s="5"/>
      <c r="I283" s="5"/>
      <c r="J283" s="5"/>
      <c r="K283" s="5"/>
      <c r="L283" s="5"/>
      <c r="M283" s="5"/>
      <c r="N283" s="5"/>
      <c r="O283" s="5"/>
      <c r="P283" s="5"/>
    </row>
    <row r="284" customFormat="false" ht="42" hidden="false" customHeight="true" outlineLevel="0" collapsed="false">
      <c r="B284" s="82" t="s">
        <v>423</v>
      </c>
      <c r="C284" s="83" t="s">
        <v>368</v>
      </c>
      <c r="D284" s="83" t="s">
        <v>153</v>
      </c>
      <c r="E284" s="83" t="s">
        <v>393</v>
      </c>
      <c r="F284" s="83" t="s">
        <v>394</v>
      </c>
      <c r="G284" s="83" t="s">
        <v>395</v>
      </c>
      <c r="H284" s="83" t="s">
        <v>396</v>
      </c>
      <c r="I284" s="83" t="s">
        <v>397</v>
      </c>
      <c r="J284" s="83" t="s">
        <v>398</v>
      </c>
      <c r="K284" s="83" t="s">
        <v>399</v>
      </c>
      <c r="L284" s="83" t="s">
        <v>400</v>
      </c>
      <c r="M284" s="83" t="s">
        <v>401</v>
      </c>
      <c r="N284" s="83" t="s">
        <v>402</v>
      </c>
      <c r="O284" s="83" t="s">
        <v>403</v>
      </c>
      <c r="P284" s="83" t="s">
        <v>365</v>
      </c>
    </row>
    <row r="285" customFormat="false" ht="14.25" hidden="false" customHeight="false" outlineLevel="0" collapsed="false">
      <c r="B285" s="7" t="s">
        <v>493</v>
      </c>
      <c r="C285" s="68" t="n">
        <f aca="false">COUNTIFS('Loan Tape'!$Y$4:$Y$303,"&gt;="&amp;R285,'Loan Tape'!$Y$4:$Y$303,"&lt;="&amp;S285,'Loan Tape'!$R$4:$R$303,"&lt;&gt;")</f>
        <v>14</v>
      </c>
      <c r="D285" s="68" t="n">
        <f aca="false">SUMPRODUCT((('Loan Tape'!$Y$4:$Y$303&lt;&gt;"")*('Loan Tape'!$R$4:$R$303&lt;&gt;"")*('Loan Tape'!$Y$4:$Y$303&gt;=R285)*('Loan Tape'!$Y$4:$Y$303&lt;=S285))*'Loan Tape'!$F$4:$F$303)</f>
        <v>1959</v>
      </c>
      <c r="E285" s="84" t="n">
        <f aca="false">SUMIFS('Loan Tape'!$R$4:$R$303,'Loan Tape'!$Y$4:$Y$303,"&gt;="&amp;R285,'Loan Tape'!$Y$4:$Y$303,"&lt;="&amp;S285,'Loan Tape'!$R$4:$R$303,"&lt;&gt;")</f>
        <v>657923000</v>
      </c>
      <c r="F285" s="69" t="n">
        <f aca="false">IFERROR(E285/C5,0)</f>
        <v>0.263632138034388</v>
      </c>
      <c r="G285" s="85" t="n">
        <f aca="false">IFERROR(SUMPRODUCT((('Loan Tape'!$Y$4:$Y$303&lt;&gt;"")*('Loan Tape'!$R$4:$R$303&lt;&gt;"")*('Loan Tape'!$Y$4:$Y$303&gt;=R285)*('Loan Tape'!$Y$4:$Y$303&lt;=S285))*'Loan Tape'!$U$4:$U$303*'Loan Tape'!$R$4:$R$303)/E285,"-")</f>
        <v>1.5272813383937</v>
      </c>
      <c r="H285" s="68" t="n">
        <f aca="false">IFERROR(SUMPRODUCT((('Loan Tape'!$Y$4:$Y$303&lt;&gt;"")*('Loan Tape'!$R$4:$R$303&lt;&gt;"")*('Loan Tape'!$Y$4:$Y$303&gt;=R285)*('Loan Tape'!$Y$4:$Y$303&lt;=S285))*'Loan Tape'!$AH$4:$AH$303*'Loan Tape'!$R$4:$R$303)/E285,"-")</f>
        <v>78.4320843016584</v>
      </c>
      <c r="I285" s="68" t="n">
        <f aca="false">IFERROR(SUMPRODUCT((('Loan Tape'!$Y$4:$Y$303&lt;&gt;"")*('Loan Tape'!$R$4:$R$303&lt;&gt;"")*('Loan Tape'!$Y$4:$Y$303&gt;=R285)*('Loan Tape'!$Y$4:$Y$303&lt;=S285))*(('Loan Tape'!$H$4:$H$303-$C$4)/30.4375)*'Loan Tape'!$R$4:$R$303)/E285,"-")</f>
        <v>20.5368235470132</v>
      </c>
      <c r="J285" s="69" t="n">
        <f aca="false">IFERROR(SUMPRODUCT((('Loan Tape'!$Y$4:$Y$303&lt;&gt;"")*('Loan Tape'!$R$4:$R$303&lt;&gt;"")*('Loan Tape'!$Y$4:$Y$303&gt;=R285)*('Loan Tape'!$Y$4:$Y$303&lt;=S285))*('Loan Tape'!$K$4:$K$303="Floating")*'Loan Tape'!$R$4:$R$303)/E285,"-")</f>
        <v>0.775080062560512</v>
      </c>
      <c r="K285" s="69" t="n">
        <f aca="false">IFERROR(SUMPRODUCT((('Loan Tape'!$Y$4:$Y$303&lt;&gt;"")*('Loan Tape'!$R$4:$R$303&lt;&gt;"")*('Loan Tape'!$Y$4:$Y$303&gt;=R285)*('Loan Tape'!$Y$4:$Y$303&lt;=S285))*'Loan Tape'!$T$4:$T$303*'Loan Tape'!$R$4:$R$303)/E285,"-")</f>
        <v>0.0929561476038989</v>
      </c>
      <c r="L285" s="69" t="n">
        <f aca="false">IFERROR(SUMPRODUCT((('Loan Tape'!$Y$4:$Y$303&lt;&gt;"")*('Loan Tape'!$R$4:$R$303&lt;&gt;"")*('Loan Tape'!$Y$4:$Y$303&gt;=R285)*('Loan Tape'!$Y$4:$Y$303&lt;=S285))*'Loan Tape'!$V$4:$V$303*'Loan Tape'!$R$4:$R$303)/E285,"-")</f>
        <v>0.706907863078202</v>
      </c>
      <c r="M285" s="69" t="n">
        <f aca="false">IFERROR(SUMPRODUCT((('Loan Tape'!$Y$4:$Y$303&lt;&gt;"")*('Loan Tape'!$R$4:$R$303&lt;&gt;"")*('Loan Tape'!$Y$4:$Y$303&gt;=R285)*('Loan Tape'!$Y$4:$Y$303&lt;=S285))*'Loan Tape'!$W$4:$W$303*'Loan Tape'!$R$4:$R$303)/E285,"-")</f>
        <v>0.735072362571304</v>
      </c>
      <c r="N285" s="69" t="n">
        <f aca="false">IFERROR(SUMPRODUCT((('Loan Tape'!$Y$4:$Y$303&lt;&gt;"")*('Loan Tape'!$R$4:$R$303&lt;&gt;"")*('Loan Tape'!$Y$4:$Y$303&gt;=R285)*('Loan Tape'!$Y$4:$Y$303&lt;=S285))*'Loan Tape'!$AI$4:$AI$303*'Loan Tape'!$R$4:$R$303)/E285,"-")</f>
        <v>0.0706544167022585</v>
      </c>
      <c r="O285" s="69" t="n">
        <f aca="false">IFERROR(SUMPRODUCT((('Loan Tape'!$Y$4:$Y$303&lt;&gt;"")*('Loan Tape'!$R$4:$R$303&lt;&gt;"")*('Loan Tape'!$Y$4:$Y$303&gt;=R285)*('Loan Tape'!$Y$4:$Y$303&lt;=S285))*'Loan Tape'!$AK$4:$AK$303*'Loan Tape'!$R$4:$R$303)/E285,"-")</f>
        <v>0.0822806176406662</v>
      </c>
      <c r="P285" s="69" t="n">
        <f aca="false">IFERROR(SUMPRODUCT((('Loan Tape'!$Y$4:$Y$303&lt;&gt;"")*('Loan Tape'!$R$4:$R$303&lt;&gt;"")*('Loan Tape'!$Y$4:$Y$303&gt;=R285)*('Loan Tape'!$Y$4:$Y$303&lt;=S285))*'Loan Tape'!$S$4:$S$303*'Loan Tape'!$R$4:$R$303)/E285,"-")</f>
        <v>0.889492214134481</v>
      </c>
      <c r="R285" s="91" t="n">
        <v>-1000000000000</v>
      </c>
      <c r="S285" s="91" t="n">
        <v>2009</v>
      </c>
    </row>
    <row r="286" customFormat="false" ht="14.25" hidden="false" customHeight="false" outlineLevel="0" collapsed="false">
      <c r="B286" s="7" t="s">
        <v>494</v>
      </c>
      <c r="C286" s="68" t="n">
        <f aca="false">COUNTIFS('Loan Tape'!$Y$4:$Y$303,"&gt;="&amp;R286,'Loan Tape'!$Y$4:$Y$303,"&lt;="&amp;S286,'Loan Tape'!$R$4:$R$303,"&lt;&gt;")</f>
        <v>7</v>
      </c>
      <c r="D286" s="68" t="n">
        <f aca="false">SUMPRODUCT((('Loan Tape'!$Y$4:$Y$303&lt;&gt;"")*('Loan Tape'!$R$4:$R$303&lt;&gt;"")*('Loan Tape'!$Y$4:$Y$303&gt;=R286)*('Loan Tape'!$Y$4:$Y$303&lt;=S286))*'Loan Tape'!$F$4:$F$303)</f>
        <v>605</v>
      </c>
      <c r="E286" s="84" t="n">
        <f aca="false">SUMIFS('Loan Tape'!$R$4:$R$303,'Loan Tape'!$Y$4:$Y$303,"&gt;="&amp;R286,'Loan Tape'!$Y$4:$Y$303,"&lt;="&amp;S286,'Loan Tape'!$R$4:$R$303,"&lt;&gt;")</f>
        <v>430186000</v>
      </c>
      <c r="F286" s="69" t="n">
        <f aca="false">IFERROR(E286/C5,0)</f>
        <v>0.172377094177375</v>
      </c>
      <c r="G286" s="85" t="n">
        <f aca="false">IFERROR(SUMPRODUCT((('Loan Tape'!$Y$4:$Y$303&lt;&gt;"")*('Loan Tape'!$R$4:$R$303&lt;&gt;"")*('Loan Tape'!$Y$4:$Y$303&gt;=R286)*('Loan Tape'!$Y$4:$Y$303&lt;=S286))*'Loan Tape'!$U$4:$U$303*'Loan Tape'!$R$4:$R$303)/E286,"-")</f>
        <v>1.01693916120004</v>
      </c>
      <c r="H286" s="68" t="n">
        <f aca="false">IFERROR(SUMPRODUCT((('Loan Tape'!$Y$4:$Y$303&lt;&gt;"")*('Loan Tape'!$R$4:$R$303&lt;&gt;"")*('Loan Tape'!$Y$4:$Y$303&gt;=R286)*('Loan Tape'!$Y$4:$Y$303&lt;=S286))*'Loan Tape'!$AH$4:$AH$303*'Loan Tape'!$R$4:$R$303)/E286,"-")</f>
        <v>85.8128114350537</v>
      </c>
      <c r="I286" s="68" t="n">
        <f aca="false">IFERROR(SUMPRODUCT((('Loan Tape'!$Y$4:$Y$303&lt;&gt;"")*('Loan Tape'!$R$4:$R$303&lt;&gt;"")*('Loan Tape'!$Y$4:$Y$303&gt;=R286)*('Loan Tape'!$Y$4:$Y$303&lt;=S286))*(('Loan Tape'!$H$4:$H$303-$C$4)/30.4375)*'Loan Tape'!$R$4:$R$303)/E286,"-")</f>
        <v>5.13969375034958</v>
      </c>
      <c r="J286" s="69" t="n">
        <f aca="false">IFERROR(SUMPRODUCT((('Loan Tape'!$Y$4:$Y$303&lt;&gt;"")*('Loan Tape'!$R$4:$R$303&lt;&gt;"")*('Loan Tape'!$Y$4:$Y$303&gt;=R286)*('Loan Tape'!$Y$4:$Y$303&lt;=S286))*('Loan Tape'!$K$4:$K$303="Floating")*'Loan Tape'!$R$4:$R$303)/E286,"-")</f>
        <v>0.360460359007499</v>
      </c>
      <c r="K286" s="69" t="n">
        <f aca="false">IFERROR(SUMPRODUCT((('Loan Tape'!$Y$4:$Y$303&lt;&gt;"")*('Loan Tape'!$R$4:$R$303&lt;&gt;"")*('Loan Tape'!$Y$4:$Y$303&gt;=R286)*('Loan Tape'!$Y$4:$Y$303&lt;=S286))*'Loan Tape'!$T$4:$T$303*'Loan Tape'!$R$4:$R$303)/E286,"-")</f>
        <v>0.0884774915966582</v>
      </c>
      <c r="L286" s="69" t="n">
        <f aca="false">IFERROR(SUMPRODUCT((('Loan Tape'!$Y$4:$Y$303&lt;&gt;"")*('Loan Tape'!$R$4:$R$303&lt;&gt;"")*('Loan Tape'!$Y$4:$Y$303&gt;=R286)*('Loan Tape'!$Y$4:$Y$303&lt;=S286))*'Loan Tape'!$V$4:$V$303*'Loan Tape'!$R$4:$R$303)/E286,"-")</f>
        <v>0.657757277084796</v>
      </c>
      <c r="M286" s="69" t="n">
        <f aca="false">IFERROR(SUMPRODUCT((('Loan Tape'!$Y$4:$Y$303&lt;&gt;"")*('Loan Tape'!$R$4:$R$303&lt;&gt;"")*('Loan Tape'!$Y$4:$Y$303&gt;=R286)*('Loan Tape'!$Y$4:$Y$303&lt;=S286))*'Loan Tape'!$W$4:$W$303*'Loan Tape'!$R$4:$R$303)/E286,"-")</f>
        <v>0.695154998070602</v>
      </c>
      <c r="N286" s="69" t="n">
        <f aca="false">IFERROR(SUMPRODUCT((('Loan Tape'!$Y$4:$Y$303&lt;&gt;"")*('Loan Tape'!$R$4:$R$303&lt;&gt;"")*('Loan Tape'!$Y$4:$Y$303&gt;=R286)*('Loan Tape'!$Y$4:$Y$303&lt;=S286))*'Loan Tape'!$AI$4:$AI$303*'Loan Tape'!$R$4:$R$303)/E286,"-")</f>
        <v>0.0655059434756129</v>
      </c>
      <c r="O286" s="69" t="n">
        <f aca="false">IFERROR(SUMPRODUCT((('Loan Tape'!$Y$4:$Y$303&lt;&gt;"")*('Loan Tape'!$R$4:$R$303&lt;&gt;"")*('Loan Tape'!$Y$4:$Y$303&gt;=R286)*('Loan Tape'!$Y$4:$Y$303&lt;=S286))*'Loan Tape'!$AK$4:$AK$303*'Loan Tape'!$R$4:$R$303)/E286,"-")</f>
        <v>0.0707907891005286</v>
      </c>
      <c r="P286" s="69" t="n">
        <f aca="false">IFERROR(SUMPRODUCT((('Loan Tape'!$Y$4:$Y$303&lt;&gt;"")*('Loan Tape'!$R$4:$R$303&lt;&gt;"")*('Loan Tape'!$Y$4:$Y$303&gt;=R286)*('Loan Tape'!$Y$4:$Y$303&lt;=S286))*'Loan Tape'!$S$4:$S$303*'Loan Tape'!$R$4:$R$303)/E286,"-")</f>
        <v>0.939824810663295</v>
      </c>
      <c r="R286" s="91" t="n">
        <v>2010</v>
      </c>
      <c r="S286" s="91" t="n">
        <v>2015</v>
      </c>
    </row>
    <row r="287" customFormat="false" ht="14.25" hidden="false" customHeight="false" outlineLevel="0" collapsed="false">
      <c r="B287" s="7" t="s">
        <v>495</v>
      </c>
      <c r="C287" s="68" t="n">
        <f aca="false">COUNTIFS('Loan Tape'!$Y$4:$Y$303,"&gt;="&amp;R287,'Loan Tape'!$Y$4:$Y$303,"&lt;="&amp;S287,'Loan Tape'!$R$4:$R$303,"&lt;&gt;")</f>
        <v>2</v>
      </c>
      <c r="D287" s="68" t="n">
        <f aca="false">SUMPRODUCT((('Loan Tape'!$Y$4:$Y$303&lt;&gt;"")*('Loan Tape'!$R$4:$R$303&lt;&gt;"")*('Loan Tape'!$Y$4:$Y$303&gt;=R287)*('Loan Tape'!$Y$4:$Y$303&lt;=S287))*'Loan Tape'!$F$4:$F$303)</f>
        <v>152</v>
      </c>
      <c r="E287" s="84" t="n">
        <f aca="false">SUMIFS('Loan Tape'!$R$4:$R$303,'Loan Tape'!$Y$4:$Y$303,"&gt;="&amp;R287,'Loan Tape'!$Y$4:$Y$303,"&lt;="&amp;S287,'Loan Tape'!$R$4:$R$303,"&lt;&gt;")</f>
        <v>19531000</v>
      </c>
      <c r="F287" s="69" t="n">
        <f aca="false">IFERROR(E287/C5,0)</f>
        <v>0.00782614270659278</v>
      </c>
      <c r="G287" s="85" t="n">
        <f aca="false">IFERROR(SUMPRODUCT((('Loan Tape'!$Y$4:$Y$303&lt;&gt;"")*('Loan Tape'!$R$4:$R$303&lt;&gt;"")*('Loan Tape'!$Y$4:$Y$303&gt;=R287)*('Loan Tape'!$Y$4:$Y$303&lt;=S287))*'Loan Tape'!$U$4:$U$303*'Loan Tape'!$R$4:$R$303)/E287,"-")</f>
        <v>1.29845578823409</v>
      </c>
      <c r="H287" s="68" t="n">
        <f aca="false">IFERROR(SUMPRODUCT((('Loan Tape'!$Y$4:$Y$303&lt;&gt;"")*('Loan Tape'!$R$4:$R$303&lt;&gt;"")*('Loan Tape'!$Y$4:$Y$303&gt;=R287)*('Loan Tape'!$Y$4:$Y$303&lt;=S287))*'Loan Tape'!$AH$4:$AH$303*'Loan Tape'!$R$4:$R$303)/E287,"-")</f>
        <v>85.4595258819313</v>
      </c>
      <c r="I287" s="68" t="n">
        <f aca="false">IFERROR(SUMPRODUCT((('Loan Tape'!$Y$4:$Y$303&lt;&gt;"")*('Loan Tape'!$R$4:$R$303&lt;&gt;"")*('Loan Tape'!$Y$4:$Y$303&gt;=R287)*('Loan Tape'!$Y$4:$Y$303&lt;=S287))*(('Loan Tape'!$H$4:$H$303-$C$4)/30.4375)*'Loan Tape'!$R$4:$R$303)/E287,"-")</f>
        <v>19.5232224409844</v>
      </c>
      <c r="J287" s="69" t="n">
        <f aca="false">IFERROR(SUMPRODUCT((('Loan Tape'!$Y$4:$Y$303&lt;&gt;"")*('Loan Tape'!$R$4:$R$303&lt;&gt;"")*('Loan Tape'!$Y$4:$Y$303&gt;=R287)*('Loan Tape'!$Y$4:$Y$303&lt;=S287))*('Loan Tape'!$K$4:$K$303="Floating")*'Loan Tape'!$R$4:$R$303)/E287,"-")</f>
        <v>0.41754134452921</v>
      </c>
      <c r="K287" s="69" t="n">
        <f aca="false">IFERROR(SUMPRODUCT((('Loan Tape'!$Y$4:$Y$303&lt;&gt;"")*('Loan Tape'!$R$4:$R$303&lt;&gt;"")*('Loan Tape'!$Y$4:$Y$303&gt;=R287)*('Loan Tape'!$Y$4:$Y$303&lt;=S287))*'Loan Tape'!$T$4:$T$303*'Loan Tape'!$R$4:$R$303)/E287,"-")</f>
        <v>0.0935867287901285</v>
      </c>
      <c r="L287" s="69" t="n">
        <f aca="false">IFERROR(SUMPRODUCT((('Loan Tape'!$Y$4:$Y$303&lt;&gt;"")*('Loan Tape'!$R$4:$R$303&lt;&gt;"")*('Loan Tape'!$Y$4:$Y$303&gt;=R287)*('Loan Tape'!$Y$4:$Y$303&lt;=S287))*'Loan Tape'!$V$4:$V$303*'Loan Tape'!$R$4:$R$303)/E287,"-")</f>
        <v>0.653853054119093</v>
      </c>
      <c r="M287" s="69" t="n">
        <f aca="false">IFERROR(SUMPRODUCT((('Loan Tape'!$Y$4:$Y$303&lt;&gt;"")*('Loan Tape'!$R$4:$R$303&lt;&gt;"")*('Loan Tape'!$Y$4:$Y$303&gt;=R287)*('Loan Tape'!$Y$4:$Y$303&lt;=S287))*'Loan Tape'!$W$4:$W$303*'Loan Tape'!$R$4:$R$303)/E287,"-")</f>
        <v>0.679425016640213</v>
      </c>
      <c r="N287" s="69" t="n">
        <f aca="false">IFERROR(SUMPRODUCT((('Loan Tape'!$Y$4:$Y$303&lt;&gt;"")*('Loan Tape'!$R$4:$R$303&lt;&gt;"")*('Loan Tape'!$Y$4:$Y$303&gt;=R287)*('Loan Tape'!$Y$4:$Y$303&lt;=S287))*'Loan Tape'!$AI$4:$AI$303*'Loan Tape'!$R$4:$R$303)/E287,"-")</f>
        <v>0.0626711433106344</v>
      </c>
      <c r="O287" s="69" t="n">
        <f aca="false">IFERROR(SUMPRODUCT((('Loan Tape'!$Y$4:$Y$303&lt;&gt;"")*('Loan Tape'!$R$4:$R$303&lt;&gt;"")*('Loan Tape'!$Y$4:$Y$303&gt;=R287)*('Loan Tape'!$Y$4:$Y$303&lt;=S287))*'Loan Tape'!$AK$4:$AK$303*'Loan Tape'!$R$4:$R$303)/E287,"-")</f>
        <v>0.0682244431928729</v>
      </c>
      <c r="P287" s="69" t="n">
        <f aca="false">IFERROR(SUMPRODUCT((('Loan Tape'!$Y$4:$Y$303&lt;&gt;"")*('Loan Tape'!$R$4:$R$303&lt;&gt;"")*('Loan Tape'!$Y$4:$Y$303&gt;=R287)*('Loan Tape'!$Y$4:$Y$303&lt;=S287))*'Loan Tape'!$S$4:$S$303*'Loan Tape'!$R$4:$R$303)/E287,"-")</f>
        <v>0.9381611796631</v>
      </c>
      <c r="R287" s="91" t="n">
        <v>2016</v>
      </c>
      <c r="S287" s="91" t="n">
        <v>2020</v>
      </c>
    </row>
    <row r="288" customFormat="false" ht="14.25" hidden="false" customHeight="false" outlineLevel="0" collapsed="false">
      <c r="B288" s="7" t="s">
        <v>496</v>
      </c>
      <c r="C288" s="68" t="n">
        <f aca="false">COUNTIFS('Loan Tape'!$Y$4:$Y$303,"&gt;="&amp;R288,'Loan Tape'!$Y$4:$Y$303,"&lt;="&amp;S288,'Loan Tape'!$R$4:$R$303,"&lt;&gt;")</f>
        <v>4</v>
      </c>
      <c r="D288" s="68" t="n">
        <f aca="false">SUMPRODUCT((('Loan Tape'!$Y$4:$Y$303&lt;&gt;"")*('Loan Tape'!$R$4:$R$303&lt;&gt;"")*('Loan Tape'!$Y$4:$Y$303&gt;=R288)*('Loan Tape'!$Y$4:$Y$303&lt;=S288))*'Loan Tape'!$F$4:$F$303)</f>
        <v>0</v>
      </c>
      <c r="E288" s="84" t="n">
        <f aca="false">SUMIFS('Loan Tape'!$R$4:$R$303,'Loan Tape'!$Y$4:$Y$303,"&gt;="&amp;R288,'Loan Tape'!$Y$4:$Y$303,"&lt;="&amp;S288,'Loan Tape'!$R$4:$R$303,"&lt;&gt;")</f>
        <v>122185000</v>
      </c>
      <c r="F288" s="69" t="n">
        <f aca="false">IFERROR(E288/C5,0)</f>
        <v>0.0489599737138415</v>
      </c>
      <c r="G288" s="85" t="n">
        <f aca="false">IFERROR(SUMPRODUCT((('Loan Tape'!$Y$4:$Y$303&lt;&gt;"")*('Loan Tape'!$R$4:$R$303&lt;&gt;"")*('Loan Tape'!$Y$4:$Y$303&gt;=R288)*('Loan Tape'!$Y$4:$Y$303&lt;=S288))*'Loan Tape'!$U$4:$U$303*'Loan Tape'!$R$4:$R$303)/E288,"-")</f>
        <v>1.02632491713385</v>
      </c>
      <c r="H288" s="68" t="n">
        <f aca="false">IFERROR(SUMPRODUCT((('Loan Tape'!$Y$4:$Y$303&lt;&gt;"")*('Loan Tape'!$R$4:$R$303&lt;&gt;"")*('Loan Tape'!$Y$4:$Y$303&gt;=R288)*('Loan Tape'!$Y$4:$Y$303&lt;=S288))*'Loan Tape'!$AH$4:$AH$303*'Loan Tape'!$R$4:$R$303)/E288,"-")</f>
        <v>59.7354789867823</v>
      </c>
      <c r="I288" s="68" t="n">
        <f aca="false">IFERROR(SUMPRODUCT((('Loan Tape'!$Y$4:$Y$303&lt;&gt;"")*('Loan Tape'!$R$4:$R$303&lt;&gt;"")*('Loan Tape'!$Y$4:$Y$303&gt;=R288)*('Loan Tape'!$Y$4:$Y$303&lt;=S288))*(('Loan Tape'!$H$4:$H$303-$C$4)/30.4375)*'Loan Tape'!$R$4:$R$303)/E288,"-")</f>
        <v>13.0045336879756</v>
      </c>
      <c r="J288" s="69" t="n">
        <f aca="false">IFERROR(SUMPRODUCT((('Loan Tape'!$Y$4:$Y$303&lt;&gt;"")*('Loan Tape'!$R$4:$R$303&lt;&gt;"")*('Loan Tape'!$Y$4:$Y$303&gt;=R288)*('Loan Tape'!$Y$4:$Y$303&lt;=S288))*('Loan Tape'!$K$4:$K$303="Floating")*'Loan Tape'!$R$4:$R$303)/E288,"-")</f>
        <v>1</v>
      </c>
      <c r="K288" s="69" t="n">
        <f aca="false">IFERROR(SUMPRODUCT((('Loan Tape'!$Y$4:$Y$303&lt;&gt;"")*('Loan Tape'!$R$4:$R$303&lt;&gt;"")*('Loan Tape'!$Y$4:$Y$303&gt;=R288)*('Loan Tape'!$Y$4:$Y$303&lt;=S288))*'Loan Tape'!$T$4:$T$303*'Loan Tape'!$R$4:$R$303)/E288,"-")</f>
        <v>0.0885559798665957</v>
      </c>
      <c r="L288" s="69" t="n">
        <f aca="false">IFERROR(SUMPRODUCT((('Loan Tape'!$Y$4:$Y$303&lt;&gt;"")*('Loan Tape'!$R$4:$R$303&lt;&gt;"")*('Loan Tape'!$Y$4:$Y$303&gt;=R288)*('Loan Tape'!$Y$4:$Y$303&lt;=S288))*'Loan Tape'!$V$4:$V$303*'Loan Tape'!$R$4:$R$303)/E288,"-")</f>
        <v>0.608218643859721</v>
      </c>
      <c r="M288" s="69" t="n">
        <f aca="false">IFERROR(SUMPRODUCT((('Loan Tape'!$Y$4:$Y$303&lt;&gt;"")*('Loan Tape'!$R$4:$R$303&lt;&gt;"")*('Loan Tape'!$Y$4:$Y$303&gt;=R288)*('Loan Tape'!$Y$4:$Y$303&lt;=S288))*'Loan Tape'!$W$4:$W$303*'Loan Tape'!$R$4:$R$303)/E288,"-")</f>
        <v>0.644114670376888</v>
      </c>
      <c r="N288" s="69" t="n">
        <f aca="false">IFERROR(SUMPRODUCT((('Loan Tape'!$Y$4:$Y$303&lt;&gt;"")*('Loan Tape'!$R$4:$R$303&lt;&gt;"")*('Loan Tape'!$Y$4:$Y$303&gt;=R288)*('Loan Tape'!$Y$4:$Y$303&lt;=S288))*'Loan Tape'!$AI$4:$AI$303*'Loan Tape'!$R$4:$R$303)/E288,"-")</f>
        <v>0.0731193280680934</v>
      </c>
      <c r="O288" s="69" t="n">
        <f aca="false">IFERROR(SUMPRODUCT((('Loan Tape'!$Y$4:$Y$303&lt;&gt;"")*('Loan Tape'!$R$4:$R$303&lt;&gt;"")*('Loan Tape'!$Y$4:$Y$303&gt;=R288)*('Loan Tape'!$Y$4:$Y$303&lt;=S288))*'Loan Tape'!$AK$4:$AK$303*'Loan Tape'!$R$4:$R$303)/E288,"-")</f>
        <v>0.0858197323730409</v>
      </c>
      <c r="P288" s="69" t="n">
        <f aca="false">IFERROR(SUMPRODUCT((('Loan Tape'!$Y$4:$Y$303&lt;&gt;"")*('Loan Tape'!$R$4:$R$303&lt;&gt;"")*('Loan Tape'!$Y$4:$Y$303&gt;=R288)*('Loan Tape'!$Y$4:$Y$303&lt;=S288))*'Loan Tape'!$S$4:$S$303*'Loan Tape'!$R$4:$R$303)/E288,"-")</f>
        <v>0.920116135368499</v>
      </c>
      <c r="R288" s="91" t="n">
        <v>2021</v>
      </c>
      <c r="S288" s="91" t="n">
        <v>1000000000000</v>
      </c>
    </row>
    <row r="289" customFormat="false" ht="14.25" hidden="false" customHeight="false" outlineLevel="0" collapsed="false">
      <c r="B289" s="7" t="s">
        <v>497</v>
      </c>
      <c r="C289" s="68" t="n">
        <f aca="false">SUMPRODUCT((('Loan Tape'!$R$4:$R$303&lt;&gt;"")*(('Loan Tape'!$Y$4:$Y$303="")*('Loan Tape'!$R$4:$R$303&lt;&gt;"")))*1)</f>
        <v>23</v>
      </c>
      <c r="D289" s="68" t="n">
        <f aca="false">SUMPRODUCT((('Loan Tape'!$R$4:$R$303&lt;&gt;"")*(('Loan Tape'!$Y$4:$Y$303="")*('Loan Tape'!$R$4:$R$303&lt;&gt;"")))*'Loan Tape'!$F$4:$F$303)</f>
        <v>2023</v>
      </c>
      <c r="E289" s="84" t="n">
        <f aca="false">SUMPRODUCT((('Loan Tape'!$R$4:$R$303&lt;&gt;"")*(('Loan Tape'!$Y$4:$Y$303="")*('Loan Tape'!$R$4:$R$303&lt;&gt;"")))*'Loan Tape'!$R$4:$R$303)</f>
        <v>1265785000</v>
      </c>
      <c r="F289" s="69" t="n">
        <f aca="false">IFERROR(E289/C5,0)</f>
        <v>0.507204651367802</v>
      </c>
      <c r="G289" s="85" t="n">
        <f aca="false">IFERROR(SUMPRODUCT((('Loan Tape'!$R$4:$R$303&lt;&gt;"")*(('Loan Tape'!$Y$4:$Y$303="")*('Loan Tape'!$R$4:$R$303&lt;&gt;"")))*'Loan Tape'!$U$4:$U$303*'Loan Tape'!$R$4:$R$303)/E289,"-")</f>
        <v>1.43415726999451</v>
      </c>
      <c r="H289" s="68" t="n">
        <f aca="false">IFERROR(SUMPRODUCT((('Loan Tape'!$R$4:$R$303&lt;&gt;"")*(('Loan Tape'!$Y$4:$Y$303="")*('Loan Tape'!$R$4:$R$303&lt;&gt;"")))*'Loan Tape'!$AH$4:$AH$303*'Loan Tape'!$R$4:$R$303)/E289,"-")</f>
        <v>73.8397949098781</v>
      </c>
      <c r="I289" s="68" t="n">
        <f aca="false">IFERROR(SUMPRODUCT((('Loan Tape'!$R$4:$R$303&lt;&gt;"")*(('Loan Tape'!$Y$4:$Y$303="")*('Loan Tape'!$R$4:$R$303&lt;&gt;"")))*(('Loan Tape'!$H$4:$H$303-$C$4)/30.4375)*'Loan Tape'!$R$4:$R$303)/E289,"-")</f>
        <v>20.8745500773116</v>
      </c>
      <c r="J289" s="69" t="n">
        <f aca="false">IFERROR(SUMPRODUCT((('Loan Tape'!$R$4:$R$303&lt;&gt;"")*(('Loan Tape'!$Y$4:$Y$303="")*('Loan Tape'!$R$4:$R$303&lt;&gt;"")))*('Loan Tape'!$K$4:$K$303="Floating")*'Loan Tape'!$R$4:$R$303)/E289,"-")</f>
        <v>0.681734259767654</v>
      </c>
      <c r="K289" s="69" t="n">
        <f aca="false">IFERROR(SUMPRODUCT((('Loan Tape'!$R$4:$R$303&lt;&gt;"")*(('Loan Tape'!$Y$4:$Y$303="")*('Loan Tape'!$R$4:$R$303&lt;&gt;"")))*'Loan Tape'!$T$4:$T$303*'Loan Tape'!$R$4:$R$303)/E289,"-")</f>
        <v>0.0814823254344142</v>
      </c>
      <c r="L289" s="69" t="n">
        <f aca="false">IFERROR(SUMPRODUCT((('Loan Tape'!$R$4:$R$303&lt;&gt;"")*(('Loan Tape'!$Y$4:$Y$303="")*('Loan Tape'!$R$4:$R$303&lt;&gt;"")))*'Loan Tape'!$V$4:$V$303*'Loan Tape'!$R$4:$R$303)/E289,"-")</f>
        <v>0.687923148875994</v>
      </c>
      <c r="M289" s="69" t="n">
        <f aca="false">IFERROR(SUMPRODUCT((('Loan Tape'!$R$4:$R$303&lt;&gt;"")*(('Loan Tape'!$Y$4:$Y$303="")*('Loan Tape'!$R$4:$R$303&lt;&gt;"")))*'Loan Tape'!$W$4:$W$303*'Loan Tape'!$R$4:$R$303)/E289,"-")</f>
        <v>0.720998607978448</v>
      </c>
      <c r="N289" s="69" t="n">
        <f aca="false">IFERROR(SUMPRODUCT((('Loan Tape'!$R$4:$R$303&lt;&gt;"")*(('Loan Tape'!$Y$4:$Y$303="")*('Loan Tape'!$R$4:$R$303&lt;&gt;"")))*'Loan Tape'!$AI$4:$AI$303*'Loan Tape'!$R$4:$R$303)/E289,"-")</f>
        <v>0.0719010745900765</v>
      </c>
      <c r="O289" s="69" t="n">
        <f aca="false">IFERROR(SUMPRODUCT((('Loan Tape'!$R$4:$R$303&lt;&gt;"")*(('Loan Tape'!$Y$4:$Y$303="")*('Loan Tape'!$R$4:$R$303&lt;&gt;"")))*'Loan Tape'!$AK$4:$AK$303*'Loan Tape'!$R$4:$R$303)/E289,"-")</f>
        <v>0.0800073995188756</v>
      </c>
      <c r="P289" s="69" t="n">
        <f aca="false">IFERROR(SUMPRODUCT((('Loan Tape'!$R$4:$R$303&lt;&gt;"")*(('Loan Tape'!$Y$4:$Y$303="")*('Loan Tape'!$R$4:$R$303&lt;&gt;"")))*'Loan Tape'!$S$4:$S$303*'Loan Tape'!$R$4:$R$303)/E289,"-")</f>
        <v>0.863148813582085</v>
      </c>
    </row>
    <row r="290" customFormat="false" ht="14.25" hidden="false" customHeight="false" outlineLevel="0" collapsed="false">
      <c r="B290" s="86" t="s">
        <v>405</v>
      </c>
      <c r="C290" s="92" t="n">
        <f aca="false">SUM(C285:C289)</f>
        <v>50</v>
      </c>
      <c r="D290" s="92" t="n">
        <f aca="false">SUM(D285:D289)</f>
        <v>4739</v>
      </c>
      <c r="E290" s="88" t="n">
        <f aca="false">SUM(E285:E289)</f>
        <v>2495610000</v>
      </c>
      <c r="F290" s="89" t="n">
        <f aca="false">SUM(F285:F289)</f>
        <v>1</v>
      </c>
      <c r="G290" s="90" t="n">
        <f aca="false">IFERROR(SUMPRODUCT((('Loan Tape'!$R$4:$R$303&lt;&gt;""))*'Loan Tape'!$U$4:$U$303*'Loan Tape'!$R$4:$R$303)/E290,"-")</f>
        <v>1.36575944157941</v>
      </c>
      <c r="H290" s="92" t="n">
        <f aca="false">IFERROR(SUMPRODUCT((('Loan Tape'!$R$4:$R$303&lt;&gt;""))*'Loan Tape'!$AH$4:$AH$303*'Loan Tape'!$R$4:$R$303)/E290,"-")</f>
        <v>76.5147345138063</v>
      </c>
      <c r="I290" s="92" t="n">
        <f aca="false">IFERROR(SUMPRODUCT((('Loan Tape'!$R$4:$R$303&lt;&gt;""))*(('Loan Tape'!$H$4:$H$303-$C$4)/30.4375)*'Loan Tape'!$R$4:$R$303)/E290,"-")</f>
        <v>17.6772942206432</v>
      </c>
      <c r="J290" s="89" t="n">
        <f aca="false">IFERROR(SUMPRODUCT((('Loan Tape'!$R$4:$R$303&lt;&gt;""))*('Loan Tape'!$K$4:$K$303="Floating")*'Loan Tape'!$R$4:$R$303)/E290,"-")</f>
        <v>0.664477622705471</v>
      </c>
      <c r="K290" s="89" t="n">
        <f aca="false">IFERROR(SUMPRODUCT((('Loan Tape'!$R$4:$R$303&lt;&gt;""))*'Loan Tape'!$T$4:$T$303*'Loan Tape'!$R$4:$R$303)/E290,"-")</f>
        <v>0.0861540568438177</v>
      </c>
      <c r="L290" s="89" t="n">
        <f aca="false">IFERROR(SUMPRODUCT((('Loan Tape'!$R$4:$R$303&lt;&gt;""))*'Loan Tape'!$V$4:$V$303*'Loan Tape'!$R$4:$R$303)/E290,"-")</f>
        <v>0.683559256454334</v>
      </c>
      <c r="M290" s="89" t="n">
        <f aca="false">IFERROR(SUMPRODUCT((('Loan Tape'!$R$4:$R$303&lt;&gt;""))*'Loan Tape'!$W$4:$W$303*'Loan Tape'!$R$4:$R$303)/E290,"-")</f>
        <v>0.716164459190338</v>
      </c>
      <c r="N290" s="89" t="n">
        <f aca="false">IFERROR(SUMPRODUCT((('Loan Tape'!$R$4:$R$303&lt;&gt;""))*'Loan Tape'!$AI$4:$AI$303*'Loan Tape'!$R$4:$R$303)/E290,"-")</f>
        <v>0.0704574522862146</v>
      </c>
      <c r="O290" s="89" t="n">
        <f aca="false">IFERROR(SUMPRODUCT((('Loan Tape'!$R$4:$R$303&lt;&gt;""))*'Loan Tape'!$AK$4:$AK$303*'Loan Tape'!$R$4:$R$303)/E290,"-")</f>
        <v>0.0792103169165054</v>
      </c>
      <c r="P290" s="89" t="n">
        <f aca="false">IFERROR(SUMPRODUCT((('Loan Tape'!$R$4:$R$303&lt;&gt;""))*'Loan Tape'!$S$4:$S$303*'Loan Tape'!$R$4:$R$303)/E290,"-")</f>
        <v>0.886687142221741</v>
      </c>
    </row>
    <row r="292" customFormat="false" ht="19.5" hidden="false" customHeight="true" outlineLevel="0" collapsed="false">
      <c r="B292" s="5" t="s">
        <v>498</v>
      </c>
      <c r="C292" s="5"/>
      <c r="D292" s="5"/>
      <c r="E292" s="5"/>
      <c r="F292" s="5"/>
      <c r="G292" s="5"/>
      <c r="H292" s="5"/>
      <c r="I292" s="5"/>
      <c r="J292" s="5"/>
      <c r="K292" s="5"/>
      <c r="L292" s="5"/>
      <c r="M292" s="5"/>
      <c r="N292" s="5"/>
      <c r="O292" s="5"/>
      <c r="P292" s="5"/>
    </row>
    <row r="293" customFormat="false" ht="30" hidden="false" customHeight="true" outlineLevel="0" collapsed="false">
      <c r="B293" s="82" t="s">
        <v>499</v>
      </c>
      <c r="C293" s="83" t="s">
        <v>500</v>
      </c>
      <c r="D293" s="83" t="s">
        <v>501</v>
      </c>
      <c r="E293" s="83" t="s">
        <v>502</v>
      </c>
      <c r="F293" s="83" t="s">
        <v>503</v>
      </c>
      <c r="G293" s="83" t="s">
        <v>504</v>
      </c>
      <c r="H293" s="83" t="s">
        <v>505</v>
      </c>
      <c r="I293" s="83" t="s">
        <v>506</v>
      </c>
      <c r="J293" s="83" t="s">
        <v>507</v>
      </c>
      <c r="K293" s="83" t="s">
        <v>508</v>
      </c>
      <c r="L293" s="83" t="s">
        <v>509</v>
      </c>
      <c r="M293" s="83" t="s">
        <v>510</v>
      </c>
      <c r="N293" s="83" t="s">
        <v>511</v>
      </c>
      <c r="O293" s="83" t="s">
        <v>512</v>
      </c>
      <c r="P293" s="83" t="s">
        <v>513</v>
      </c>
    </row>
    <row r="294" customFormat="false" ht="14.25" hidden="false" customHeight="false" outlineLevel="0" collapsed="false">
      <c r="B294" s="7" t="s">
        <v>158</v>
      </c>
      <c r="C294" s="84" t="n">
        <f aca="false">IFERROR(N(E34)-N(E34),0)</f>
        <v>0</v>
      </c>
      <c r="D294" s="93" t="n">
        <f aca="false">IFERROR(N(C34)-N(C34),0)</f>
        <v>0</v>
      </c>
      <c r="E294" s="93" t="n">
        <f aca="false">IFERROR(N(D34)-N(D34),0)</f>
        <v>0</v>
      </c>
      <c r="F294" s="93" t="n">
        <f aca="false">IFERROR(N(G34)-N(G34),0)</f>
        <v>0</v>
      </c>
      <c r="G294" s="93" t="n">
        <f aca="false">IFERROR(N(H34)-N(H34),0)</f>
        <v>0</v>
      </c>
      <c r="H294" s="93" t="n">
        <f aca="false">IFERROR(N(I34)-N(I34),0)</f>
        <v>0</v>
      </c>
      <c r="I294" s="93" t="n">
        <f aca="false">IFERROR(N(J34)-N(J34),0)</f>
        <v>0</v>
      </c>
      <c r="J294" s="93" t="n">
        <f aca="false">IFERROR(N(K34)-N(K34),0)</f>
        <v>0</v>
      </c>
      <c r="K294" s="93" t="n">
        <f aca="false">IFERROR(N(L34)-N(L34),0)</f>
        <v>0</v>
      </c>
      <c r="L294" s="93" t="n">
        <f aca="false">IFERROR(N(M34)-N(M34),0)</f>
        <v>0</v>
      </c>
      <c r="M294" s="93" t="n">
        <f aca="false">IFERROR(N(N34)-N(N34),0)</f>
        <v>0</v>
      </c>
      <c r="N294" s="93" t="n">
        <f aca="false">IFERROR(N(O34)-N(O34),0)</f>
        <v>0</v>
      </c>
      <c r="O294" s="93" t="n">
        <f aca="false">IFERROR(N(P34)-N(P34),0)</f>
        <v>0</v>
      </c>
      <c r="P294" s="94" t="str">
        <f aca="false">IF(AND(ABS(C294)&lt;=1,ABS(D294)&lt;=0.001,ABS(E294)&lt;=0.001,ABS(F294)&lt;=0.0005,ABS(G294)&lt;=0.01,ABS(H294)&lt;=0.01,ABS(I294)&lt;=0.0005,ABS(J294)&lt;=0.0005,ABS(K294)&lt;=0.0005,ABS(L294)&lt;=0.0005,ABS(M294)&lt;=0.0005,ABS(N294)&lt;=0.0005,ABS(O294)&lt;=0.0005),"PASS","FAIL")</f>
        <v>PASS</v>
      </c>
    </row>
    <row r="295" customFormat="false" ht="14.25" hidden="false" customHeight="false" outlineLevel="0" collapsed="false">
      <c r="B295" s="7" t="s">
        <v>514</v>
      </c>
      <c r="C295" s="84" t="n">
        <f aca="false">IFERROR(N(E41)-N(E34),0)</f>
        <v>0</v>
      </c>
      <c r="D295" s="93" t="n">
        <f aca="false">IFERROR(N(C41)-N(C34),0)</f>
        <v>0</v>
      </c>
      <c r="E295" s="93" t="n">
        <f aca="false">IFERROR(N(D41)-N(D34),0)</f>
        <v>0</v>
      </c>
      <c r="F295" s="93" t="n">
        <f aca="false">IFERROR(N(G41)-N(G34),0)</f>
        <v>0</v>
      </c>
      <c r="G295" s="93" t="n">
        <f aca="false">IFERROR(N(H41)-N(H34),0)</f>
        <v>0</v>
      </c>
      <c r="H295" s="93" t="n">
        <f aca="false">IFERROR(N(I41)-N(I34),0)</f>
        <v>0</v>
      </c>
      <c r="I295" s="93" t="n">
        <f aca="false">IFERROR(N(J41)-N(J34),0)</f>
        <v>0</v>
      </c>
      <c r="J295" s="93" t="n">
        <f aca="false">IFERROR(N(K41)-N(K34),0)</f>
        <v>0</v>
      </c>
      <c r="K295" s="93" t="n">
        <f aca="false">IFERROR(N(L41)-N(L34),0)</f>
        <v>0</v>
      </c>
      <c r="L295" s="93" t="n">
        <f aca="false">IFERROR(N(M41)-N(M34),0)</f>
        <v>0</v>
      </c>
      <c r="M295" s="93" t="n">
        <f aca="false">IFERROR(N(N41)-N(N34),0)</f>
        <v>0</v>
      </c>
      <c r="N295" s="93" t="n">
        <f aca="false">IFERROR(N(O41)-N(O34),0)</f>
        <v>0</v>
      </c>
      <c r="O295" s="93" t="n">
        <f aca="false">IFERROR(N(P41)-N(P34),0)</f>
        <v>0</v>
      </c>
      <c r="P295" s="94" t="str">
        <f aca="false">IF(AND(ABS(C295)&lt;=1,ABS(D295)&lt;=0.001,ABS(E295)&lt;=0.001,ABS(F295)&lt;=0.0005,ABS(G295)&lt;=0.01,ABS(H295)&lt;=0.01,ABS(I295)&lt;=0.0005,ABS(J295)&lt;=0.0005,ABS(K295)&lt;=0.0005,ABS(L295)&lt;=0.0005,ABS(M295)&lt;=0.0005,ABS(N295)&lt;=0.0005,ABS(O295)&lt;=0.0005),"PASS","FAIL")</f>
        <v>PASS</v>
      </c>
    </row>
    <row r="296" customFormat="false" ht="14.25" hidden="false" customHeight="false" outlineLevel="0" collapsed="false">
      <c r="B296" s="7" t="s">
        <v>515</v>
      </c>
      <c r="C296" s="84" t="n">
        <f aca="false">IFERROR(N(E61)-N(E34),0)</f>
        <v>0</v>
      </c>
      <c r="D296" s="93" t="n">
        <f aca="false">IFERROR(N(C61)-N(C34),0)</f>
        <v>0</v>
      </c>
      <c r="E296" s="93" t="n">
        <f aca="false">IFERROR(N(D61)-N(D34),0)</f>
        <v>0</v>
      </c>
      <c r="F296" s="93" t="n">
        <f aca="false">IFERROR(N(G61)-N(G34),0)</f>
        <v>0</v>
      </c>
      <c r="G296" s="93" t="n">
        <f aca="false">IFERROR(N(H61)-N(H34),0)</f>
        <v>0</v>
      </c>
      <c r="H296" s="93" t="n">
        <f aca="false">IFERROR(N(I61)-N(I34),0)</f>
        <v>0</v>
      </c>
      <c r="I296" s="93" t="n">
        <f aca="false">IFERROR(N(J61)-N(J34),0)</f>
        <v>0</v>
      </c>
      <c r="J296" s="93" t="n">
        <f aca="false">IFERROR(N(K61)-N(K34),0)</f>
        <v>0</v>
      </c>
      <c r="K296" s="93" t="n">
        <f aca="false">IFERROR(N(L61)-N(L34),0)</f>
        <v>0</v>
      </c>
      <c r="L296" s="93" t="n">
        <f aca="false">IFERROR(N(M61)-N(M34),0)</f>
        <v>0</v>
      </c>
      <c r="M296" s="93" t="n">
        <f aca="false">IFERROR(N(N61)-N(N34),0)</f>
        <v>0</v>
      </c>
      <c r="N296" s="93" t="n">
        <f aca="false">IFERROR(N(O61)-N(O34),0)</f>
        <v>0</v>
      </c>
      <c r="O296" s="93" t="n">
        <f aca="false">IFERROR(N(P61)-N(P34),0)</f>
        <v>0</v>
      </c>
      <c r="P296" s="94" t="str">
        <f aca="false">IF(AND(ABS(C296)&lt;=1,ABS(D296)&lt;=0.001,ABS(E296)&lt;=0.001,ABS(F296)&lt;=0.0005,ABS(G296)&lt;=0.01,ABS(H296)&lt;=0.01,ABS(I296)&lt;=0.0005,ABS(J296)&lt;=0.0005,ABS(K296)&lt;=0.0005,ABS(L296)&lt;=0.0005,ABS(M296)&lt;=0.0005,ABS(N296)&lt;=0.0005,ABS(O296)&lt;=0.0005),"PASS","FAIL")</f>
        <v>PASS</v>
      </c>
    </row>
    <row r="297" customFormat="false" ht="14.25" hidden="false" customHeight="false" outlineLevel="0" collapsed="false">
      <c r="B297" s="7" t="s">
        <v>516</v>
      </c>
      <c r="C297" s="84" t="n">
        <f aca="false">IFERROR(N(E74)-N(E34),0)</f>
        <v>0</v>
      </c>
      <c r="D297" s="93" t="n">
        <f aca="false">IFERROR(N(C74)-N(C34),0)</f>
        <v>0</v>
      </c>
      <c r="E297" s="93" t="n">
        <f aca="false">IFERROR(N(D74)-N(D34),0)</f>
        <v>0</v>
      </c>
      <c r="F297" s="93" t="n">
        <f aca="false">IFERROR(N(G74)-N(G34),0)</f>
        <v>0</v>
      </c>
      <c r="G297" s="93" t="n">
        <f aca="false">IFERROR(N(H74)-N(H34),0)</f>
        <v>0</v>
      </c>
      <c r="H297" s="93" t="n">
        <f aca="false">IFERROR(N(I74)-N(I34),0)</f>
        <v>0</v>
      </c>
      <c r="I297" s="93" t="n">
        <f aca="false">IFERROR(N(J74)-N(J34),0)</f>
        <v>0</v>
      </c>
      <c r="J297" s="93" t="n">
        <f aca="false">IFERROR(N(K74)-N(K34),0)</f>
        <v>0</v>
      </c>
      <c r="K297" s="93" t="n">
        <f aca="false">IFERROR(N(L74)-N(L34),0)</f>
        <v>0</v>
      </c>
      <c r="L297" s="93" t="n">
        <f aca="false">IFERROR(N(M74)-N(M34),0)</f>
        <v>0</v>
      </c>
      <c r="M297" s="93" t="n">
        <f aca="false">IFERROR(N(N74)-N(N34),0)</f>
        <v>0</v>
      </c>
      <c r="N297" s="93" t="n">
        <f aca="false">IFERROR(N(O74)-N(O34),0)</f>
        <v>0</v>
      </c>
      <c r="O297" s="93" t="n">
        <f aca="false">IFERROR(N(P74)-N(P34),0)</f>
        <v>0</v>
      </c>
      <c r="P297" s="94" t="str">
        <f aca="false">IF(AND(ABS(C297)&lt;=1,ABS(D297)&lt;=0.001,ABS(E297)&lt;=0.001,ABS(F297)&lt;=0.0005,ABS(G297)&lt;=0.01,ABS(H297)&lt;=0.01,ABS(I297)&lt;=0.0005,ABS(J297)&lt;=0.0005,ABS(K297)&lt;=0.0005,ABS(L297)&lt;=0.0005,ABS(M297)&lt;=0.0005,ABS(N297)&lt;=0.0005,ABS(O297)&lt;=0.0005),"PASS","FAIL")</f>
        <v>PASS</v>
      </c>
    </row>
    <row r="298" customFormat="false" ht="14.25" hidden="false" customHeight="false" outlineLevel="0" collapsed="false">
      <c r="B298" s="7" t="s">
        <v>151</v>
      </c>
      <c r="C298" s="84" t="n">
        <f aca="false">IFERROR(N(E85)-N(E34),0)</f>
        <v>0</v>
      </c>
      <c r="D298" s="93" t="n">
        <f aca="false">IFERROR(N(C85)-N(C34),0)</f>
        <v>0</v>
      </c>
      <c r="E298" s="93" t="n">
        <f aca="false">IFERROR(N(D85)-N(D34),0)</f>
        <v>0</v>
      </c>
      <c r="F298" s="93" t="n">
        <f aca="false">IFERROR(N(G85)-N(G34),0)</f>
        <v>0</v>
      </c>
      <c r="G298" s="93" t="n">
        <f aca="false">IFERROR(N(H85)-N(H34),0)</f>
        <v>0</v>
      </c>
      <c r="H298" s="93" t="n">
        <f aca="false">IFERROR(N(I85)-N(I34),0)</f>
        <v>0</v>
      </c>
      <c r="I298" s="93" t="n">
        <f aca="false">IFERROR(N(J85)-N(J34),0)</f>
        <v>0</v>
      </c>
      <c r="J298" s="93" t="n">
        <f aca="false">IFERROR(N(K85)-N(K34),0)</f>
        <v>0</v>
      </c>
      <c r="K298" s="93" t="n">
        <f aca="false">IFERROR(N(L85)-N(L34),0)</f>
        <v>0</v>
      </c>
      <c r="L298" s="93" t="n">
        <f aca="false">IFERROR(N(M85)-N(M34),0)</f>
        <v>0</v>
      </c>
      <c r="M298" s="93" t="n">
        <f aca="false">IFERROR(N(N85)-N(N34),0)</f>
        <v>0</v>
      </c>
      <c r="N298" s="93" t="n">
        <f aca="false">IFERROR(N(O85)-N(O34),0)</f>
        <v>0</v>
      </c>
      <c r="O298" s="93" t="n">
        <f aca="false">IFERROR(N(P85)-N(P34),0)</f>
        <v>0</v>
      </c>
      <c r="P298" s="94" t="str">
        <f aca="false">IF(AND(ABS(C298)&lt;=1,ABS(D298)&lt;=0.001,ABS(E298)&lt;=0.001,ABS(F298)&lt;=0.0005,ABS(G298)&lt;=0.01,ABS(H298)&lt;=0.01,ABS(I298)&lt;=0.0005,ABS(J298)&lt;=0.0005,ABS(K298)&lt;=0.0005,ABS(L298)&lt;=0.0005,ABS(M298)&lt;=0.0005,ABS(N298)&lt;=0.0005,ABS(O298)&lt;=0.0005),"PASS","FAIL")</f>
        <v>PASS</v>
      </c>
    </row>
    <row r="299" customFormat="false" ht="14.25" hidden="false" customHeight="false" outlineLevel="0" collapsed="false">
      <c r="B299" s="7" t="s">
        <v>177</v>
      </c>
      <c r="C299" s="84" t="n">
        <f aca="false">IFERROR(N(E94)-N(E34),0)</f>
        <v>0</v>
      </c>
      <c r="D299" s="93" t="n">
        <f aca="false">IFERROR(N(C94)-N(C34),0)</f>
        <v>0</v>
      </c>
      <c r="E299" s="93" t="n">
        <f aca="false">IFERROR(N(D94)-N(D34),0)</f>
        <v>0</v>
      </c>
      <c r="F299" s="93" t="n">
        <f aca="false">IFERROR(N(G94)-N(G34),0)</f>
        <v>0</v>
      </c>
      <c r="G299" s="93" t="n">
        <f aca="false">IFERROR(N(H94)-N(H34),0)</f>
        <v>0</v>
      </c>
      <c r="H299" s="93" t="n">
        <f aca="false">IFERROR(N(I94)-N(I34),0)</f>
        <v>0</v>
      </c>
      <c r="I299" s="93" t="n">
        <f aca="false">IFERROR(N(J94)-N(J34),0)</f>
        <v>0</v>
      </c>
      <c r="J299" s="93" t="n">
        <f aca="false">IFERROR(N(K94)-N(K34),0)</f>
        <v>0</v>
      </c>
      <c r="K299" s="93" t="n">
        <f aca="false">IFERROR(N(L94)-N(L34),0)</f>
        <v>0</v>
      </c>
      <c r="L299" s="93" t="n">
        <f aca="false">IFERROR(N(M94)-N(M34),0)</f>
        <v>0</v>
      </c>
      <c r="M299" s="93" t="n">
        <f aca="false">IFERROR(N(N94)-N(N34),0)</f>
        <v>0</v>
      </c>
      <c r="N299" s="93" t="n">
        <f aca="false">IFERROR(N(O94)-N(O34),0)</f>
        <v>0</v>
      </c>
      <c r="O299" s="93" t="n">
        <f aca="false">IFERROR(N(P94)-N(P34),0)</f>
        <v>0</v>
      </c>
      <c r="P299" s="94" t="str">
        <f aca="false">IF(AND(ABS(C299)&lt;=1,ABS(D299)&lt;=0.001,ABS(E299)&lt;=0.001,ABS(F299)&lt;=0.0005,ABS(G299)&lt;=0.01,ABS(H299)&lt;=0.01,ABS(I299)&lt;=0.0005,ABS(J299)&lt;=0.0005,ABS(K299)&lt;=0.0005,ABS(L299)&lt;=0.0005,ABS(M299)&lt;=0.0005,ABS(N299)&lt;=0.0005,ABS(O299)&lt;=0.0005),"PASS","FAIL")</f>
        <v>PASS</v>
      </c>
    </row>
    <row r="300" customFormat="false" ht="14.25" hidden="false" customHeight="false" outlineLevel="0" collapsed="false">
      <c r="B300" s="7" t="s">
        <v>178</v>
      </c>
      <c r="C300" s="84" t="n">
        <f aca="false">IFERROR(N(E102)-N(E34),0)</f>
        <v>0</v>
      </c>
      <c r="D300" s="93" t="n">
        <f aca="false">IFERROR(N(C102)-N(C34),0)</f>
        <v>0</v>
      </c>
      <c r="E300" s="93" t="n">
        <f aca="false">IFERROR(N(D102)-N(D34),0)</f>
        <v>0</v>
      </c>
      <c r="F300" s="93" t="n">
        <f aca="false">IFERROR(N(G102)-N(G34),0)</f>
        <v>0</v>
      </c>
      <c r="G300" s="93" t="n">
        <f aca="false">IFERROR(N(H102)-N(H34),0)</f>
        <v>0</v>
      </c>
      <c r="H300" s="93" t="n">
        <f aca="false">IFERROR(N(I102)-N(I34),0)</f>
        <v>0</v>
      </c>
      <c r="I300" s="93" t="n">
        <f aca="false">IFERROR(N(J102)-N(J34),0)</f>
        <v>0</v>
      </c>
      <c r="J300" s="93" t="n">
        <f aca="false">IFERROR(N(K102)-N(K34),0)</f>
        <v>0</v>
      </c>
      <c r="K300" s="93" t="n">
        <f aca="false">IFERROR(N(L102)-N(L34),0)</f>
        <v>0</v>
      </c>
      <c r="L300" s="93" t="n">
        <f aca="false">IFERROR(N(M102)-N(M34),0)</f>
        <v>0</v>
      </c>
      <c r="M300" s="93" t="n">
        <f aca="false">IFERROR(N(N102)-N(N34),0)</f>
        <v>0</v>
      </c>
      <c r="N300" s="93" t="n">
        <f aca="false">IFERROR(N(O102)-N(O34),0)</f>
        <v>0</v>
      </c>
      <c r="O300" s="93" t="n">
        <f aca="false">IFERROR(N(P102)-N(P34),0)</f>
        <v>0</v>
      </c>
      <c r="P300" s="94" t="str">
        <f aca="false">IF(AND(ABS(C300)&lt;=1,ABS(D300)&lt;=0.001,ABS(E300)&lt;=0.001,ABS(F300)&lt;=0.0005,ABS(G300)&lt;=0.01,ABS(H300)&lt;=0.01,ABS(I300)&lt;=0.0005,ABS(J300)&lt;=0.0005,ABS(K300)&lt;=0.0005,ABS(L300)&lt;=0.0005,ABS(M300)&lt;=0.0005,ABS(N300)&lt;=0.0005,ABS(O300)&lt;=0.0005),"PASS","FAIL")</f>
        <v>PASS</v>
      </c>
    </row>
    <row r="301" customFormat="false" ht="14.25" hidden="false" customHeight="false" outlineLevel="0" collapsed="false">
      <c r="B301" s="7" t="s">
        <v>180</v>
      </c>
      <c r="C301" s="84" t="n">
        <f aca="false">IFERROR(N(E110)-N(E34),0)</f>
        <v>0</v>
      </c>
      <c r="D301" s="93" t="n">
        <f aca="false">IFERROR(N(C110)-N(C34),0)</f>
        <v>0</v>
      </c>
      <c r="E301" s="93" t="n">
        <f aca="false">IFERROR(N(D110)-N(D34),0)</f>
        <v>0</v>
      </c>
      <c r="F301" s="93" t="n">
        <f aca="false">IFERROR(N(G110)-N(G34),0)</f>
        <v>0</v>
      </c>
      <c r="G301" s="93" t="n">
        <f aca="false">IFERROR(N(H110)-N(H34),0)</f>
        <v>0</v>
      </c>
      <c r="H301" s="93" t="n">
        <f aca="false">IFERROR(N(I110)-N(I34),0)</f>
        <v>0</v>
      </c>
      <c r="I301" s="93" t="n">
        <f aca="false">IFERROR(N(J110)-N(J34),0)</f>
        <v>0</v>
      </c>
      <c r="J301" s="93" t="n">
        <f aca="false">IFERROR(N(K110)-N(K34),0)</f>
        <v>0</v>
      </c>
      <c r="K301" s="93" t="n">
        <f aca="false">IFERROR(N(L110)-N(L34),0)</f>
        <v>0</v>
      </c>
      <c r="L301" s="93" t="n">
        <f aca="false">IFERROR(N(M110)-N(M34),0)</f>
        <v>0</v>
      </c>
      <c r="M301" s="93" t="n">
        <f aca="false">IFERROR(N(N110)-N(N34),0)</f>
        <v>0</v>
      </c>
      <c r="N301" s="93" t="n">
        <f aca="false">IFERROR(N(O110)-N(O34),0)</f>
        <v>0</v>
      </c>
      <c r="O301" s="93" t="n">
        <f aca="false">IFERROR(N(P110)-N(P34),0)</f>
        <v>0</v>
      </c>
      <c r="P301" s="94" t="str">
        <f aca="false">IF(AND(ABS(C301)&lt;=1,ABS(D301)&lt;=0.001,ABS(E301)&lt;=0.001,ABS(F301)&lt;=0.0005,ABS(G301)&lt;=0.01,ABS(H301)&lt;=0.01,ABS(I301)&lt;=0.0005,ABS(J301)&lt;=0.0005,ABS(K301)&lt;=0.0005,ABS(L301)&lt;=0.0005,ABS(M301)&lt;=0.0005,ABS(N301)&lt;=0.0005,ABS(O301)&lt;=0.0005),"PASS","FAIL")</f>
        <v>PASS</v>
      </c>
    </row>
    <row r="302" customFormat="false" ht="14.25" hidden="false" customHeight="false" outlineLevel="0" collapsed="false">
      <c r="B302" s="7" t="s">
        <v>179</v>
      </c>
      <c r="C302" s="84" t="n">
        <f aca="false">IFERROR(N(E119)-N(E34),0)</f>
        <v>0</v>
      </c>
      <c r="D302" s="93" t="n">
        <f aca="false">IFERROR(N(C119)-N(C34),0)</f>
        <v>0</v>
      </c>
      <c r="E302" s="93" t="n">
        <f aca="false">IFERROR(N(D119)-N(D34),0)</f>
        <v>0</v>
      </c>
      <c r="F302" s="93" t="n">
        <f aca="false">IFERROR(N(G119)-N(G34),0)</f>
        <v>0</v>
      </c>
      <c r="G302" s="93" t="n">
        <f aca="false">IFERROR(N(H119)-N(H34),0)</f>
        <v>0</v>
      </c>
      <c r="H302" s="93" t="n">
        <f aca="false">IFERROR(N(I119)-N(I34),0)</f>
        <v>0</v>
      </c>
      <c r="I302" s="93" t="n">
        <f aca="false">IFERROR(N(J119)-N(J34),0)</f>
        <v>0</v>
      </c>
      <c r="J302" s="93" t="n">
        <f aca="false">IFERROR(N(K119)-N(K34),0)</f>
        <v>0</v>
      </c>
      <c r="K302" s="93" t="n">
        <f aca="false">IFERROR(N(L119)-N(L34),0)</f>
        <v>0</v>
      </c>
      <c r="L302" s="93" t="n">
        <f aca="false">IFERROR(N(M119)-N(M34),0)</f>
        <v>0</v>
      </c>
      <c r="M302" s="93" t="n">
        <f aca="false">IFERROR(N(N119)-N(N34),0)</f>
        <v>0</v>
      </c>
      <c r="N302" s="93" t="n">
        <f aca="false">IFERROR(N(O119)-N(O34),0)</f>
        <v>0</v>
      </c>
      <c r="O302" s="93" t="n">
        <f aca="false">IFERROR(N(P119)-N(P34),0)</f>
        <v>0</v>
      </c>
      <c r="P302" s="94" t="str">
        <f aca="false">IF(AND(ABS(C302)&lt;=1,ABS(D302)&lt;=0.001,ABS(E302)&lt;=0.001,ABS(F302)&lt;=0.0005,ABS(G302)&lt;=0.01,ABS(H302)&lt;=0.01,ABS(I302)&lt;=0.0005,ABS(J302)&lt;=0.0005,ABS(K302)&lt;=0.0005,ABS(L302)&lt;=0.0005,ABS(M302)&lt;=0.0005,ABS(N302)&lt;=0.0005,ABS(O302)&lt;=0.0005),"PASS","FAIL")</f>
        <v>PASS</v>
      </c>
    </row>
    <row r="303" customFormat="false" ht="14.25" hidden="false" customHeight="false" outlineLevel="0" collapsed="false">
      <c r="B303" s="7" t="s">
        <v>173</v>
      </c>
      <c r="C303" s="84" t="n">
        <f aca="false">IFERROR(N(E127)-N(E34),0)</f>
        <v>0</v>
      </c>
      <c r="D303" s="93" t="n">
        <f aca="false">IFERROR(N(C127)-N(C34),0)</f>
        <v>0</v>
      </c>
      <c r="E303" s="93" t="n">
        <f aca="false">IFERROR(N(D127)-N(D34),0)</f>
        <v>0</v>
      </c>
      <c r="F303" s="93" t="n">
        <f aca="false">IFERROR(N(G127)-N(G34),0)</f>
        <v>0</v>
      </c>
      <c r="G303" s="93" t="n">
        <f aca="false">IFERROR(N(H127)-N(H34),0)</f>
        <v>0</v>
      </c>
      <c r="H303" s="93" t="n">
        <f aca="false">IFERROR(N(I127)-N(I34),0)</f>
        <v>0</v>
      </c>
      <c r="I303" s="93" t="n">
        <f aca="false">IFERROR(N(J127)-N(J34),0)</f>
        <v>0</v>
      </c>
      <c r="J303" s="93" t="n">
        <f aca="false">IFERROR(N(K127)-N(K34),0)</f>
        <v>0</v>
      </c>
      <c r="K303" s="93" t="n">
        <f aca="false">IFERROR(N(L127)-N(L34),0)</f>
        <v>0</v>
      </c>
      <c r="L303" s="93" t="n">
        <f aca="false">IFERROR(N(M127)-N(M34),0)</f>
        <v>0</v>
      </c>
      <c r="M303" s="93" t="n">
        <f aca="false">IFERROR(N(N127)-N(N34),0)</f>
        <v>0</v>
      </c>
      <c r="N303" s="93" t="n">
        <f aca="false">IFERROR(N(O127)-N(O34),0)</f>
        <v>0</v>
      </c>
      <c r="O303" s="93" t="n">
        <f aca="false">IFERROR(N(P127)-N(P34),0)</f>
        <v>0</v>
      </c>
      <c r="P303" s="94" t="str">
        <f aca="false">IF(AND(ABS(C303)&lt;=1,ABS(D303)&lt;=0.001,ABS(E303)&lt;=0.001,ABS(F303)&lt;=0.0005,ABS(G303)&lt;=0.01,ABS(H303)&lt;=0.01,ABS(I303)&lt;=0.0005,ABS(J303)&lt;=0.0005,ABS(K303)&lt;=0.0005,ABS(L303)&lt;=0.0005,ABS(M303)&lt;=0.0005,ABS(N303)&lt;=0.0005,ABS(O303)&lt;=0.0005),"PASS","FAIL")</f>
        <v>PASS</v>
      </c>
    </row>
    <row r="304" customFormat="false" ht="14.25" hidden="false" customHeight="false" outlineLevel="0" collapsed="false">
      <c r="B304" s="7" t="s">
        <v>174</v>
      </c>
      <c r="C304" s="84" t="n">
        <f aca="false">IFERROR(N(E134)-N(E34),0)</f>
        <v>0</v>
      </c>
      <c r="D304" s="93" t="n">
        <f aca="false">IFERROR(N(C134)-N(C34),0)</f>
        <v>0</v>
      </c>
      <c r="E304" s="93" t="n">
        <f aca="false">IFERROR(N(D134)-N(D34),0)</f>
        <v>0</v>
      </c>
      <c r="F304" s="93" t="n">
        <f aca="false">IFERROR(N(G134)-N(G34),0)</f>
        <v>0</v>
      </c>
      <c r="G304" s="93" t="n">
        <f aca="false">IFERROR(N(H134)-N(H34),0)</f>
        <v>0</v>
      </c>
      <c r="H304" s="93" t="n">
        <f aca="false">IFERROR(N(I134)-N(I34),0)</f>
        <v>0</v>
      </c>
      <c r="I304" s="93" t="n">
        <f aca="false">IFERROR(N(J134)-N(J34),0)</f>
        <v>0</v>
      </c>
      <c r="J304" s="93" t="n">
        <f aca="false">IFERROR(N(K134)-N(K34),0)</f>
        <v>0</v>
      </c>
      <c r="K304" s="93" t="n">
        <f aca="false">IFERROR(N(L134)-N(L34),0)</f>
        <v>0</v>
      </c>
      <c r="L304" s="93" t="n">
        <f aca="false">IFERROR(N(M134)-N(M34),0)</f>
        <v>0</v>
      </c>
      <c r="M304" s="93" t="n">
        <f aca="false">IFERROR(N(N134)-N(N34),0)</f>
        <v>0</v>
      </c>
      <c r="N304" s="93" t="n">
        <f aca="false">IFERROR(N(O134)-N(O34),0)</f>
        <v>0</v>
      </c>
      <c r="O304" s="93" t="n">
        <f aca="false">IFERROR(N(P134)-N(P34),0)</f>
        <v>0</v>
      </c>
      <c r="P304" s="94" t="str">
        <f aca="false">IF(AND(ABS(C304)&lt;=1,ABS(D304)&lt;=0.001,ABS(E304)&lt;=0.001,ABS(F304)&lt;=0.0005,ABS(G304)&lt;=0.01,ABS(H304)&lt;=0.01,ABS(I304)&lt;=0.0005,ABS(J304)&lt;=0.0005,ABS(K304)&lt;=0.0005,ABS(L304)&lt;=0.0005,ABS(M304)&lt;=0.0005,ABS(N304)&lt;=0.0005,ABS(O304)&lt;=0.0005),"PASS","FAIL")</f>
        <v>PASS</v>
      </c>
    </row>
    <row r="305" customFormat="false" ht="14.25" hidden="false" customHeight="false" outlineLevel="0" collapsed="false">
      <c r="B305" s="7" t="s">
        <v>175</v>
      </c>
      <c r="C305" s="84" t="n">
        <f aca="false">IFERROR(N(E143)-N(E34),0)</f>
        <v>0</v>
      </c>
      <c r="D305" s="93" t="n">
        <f aca="false">IFERROR(N(C143)-N(C34),0)</f>
        <v>0</v>
      </c>
      <c r="E305" s="93" t="n">
        <f aca="false">IFERROR(N(D143)-N(D34),0)</f>
        <v>0</v>
      </c>
      <c r="F305" s="93" t="n">
        <f aca="false">IFERROR(N(G143)-N(G34),0)</f>
        <v>0</v>
      </c>
      <c r="G305" s="93" t="n">
        <f aca="false">IFERROR(N(H143)-N(H34),0)</f>
        <v>0</v>
      </c>
      <c r="H305" s="93" t="n">
        <f aca="false">IFERROR(N(I143)-N(I34),0)</f>
        <v>0</v>
      </c>
      <c r="I305" s="93" t="n">
        <f aca="false">IFERROR(N(J143)-N(J34),0)</f>
        <v>0</v>
      </c>
      <c r="J305" s="93" t="n">
        <f aca="false">IFERROR(N(K143)-N(K34),0)</f>
        <v>0</v>
      </c>
      <c r="K305" s="93" t="n">
        <f aca="false">IFERROR(N(L143)-N(L34),0)</f>
        <v>0</v>
      </c>
      <c r="L305" s="93" t="n">
        <f aca="false">IFERROR(N(M143)-N(M34),0)</f>
        <v>0</v>
      </c>
      <c r="M305" s="93" t="n">
        <f aca="false">IFERROR(N(N143)-N(N34),0)</f>
        <v>0</v>
      </c>
      <c r="N305" s="93" t="n">
        <f aca="false">IFERROR(N(O143)-N(O34),0)</f>
        <v>0</v>
      </c>
      <c r="O305" s="93" t="n">
        <f aca="false">IFERROR(N(P143)-N(P34),0)</f>
        <v>0</v>
      </c>
      <c r="P305" s="94" t="str">
        <f aca="false">IF(AND(ABS(C305)&lt;=1,ABS(D305)&lt;=0.001,ABS(E305)&lt;=0.001,ABS(F305)&lt;=0.0005,ABS(G305)&lt;=0.01,ABS(H305)&lt;=0.01,ABS(I305)&lt;=0.0005,ABS(J305)&lt;=0.0005,ABS(K305)&lt;=0.0005,ABS(L305)&lt;=0.0005,ABS(M305)&lt;=0.0005,ABS(N305)&lt;=0.0005,ABS(O305)&lt;=0.0005),"PASS","FAIL")</f>
        <v>PASS</v>
      </c>
    </row>
    <row r="306" customFormat="false" ht="14.25" hidden="false" customHeight="false" outlineLevel="0" collapsed="false">
      <c r="B306" s="7" t="s">
        <v>161</v>
      </c>
      <c r="C306" s="84" t="n">
        <f aca="false">IFERROR(N(E152)-N(E34),0)</f>
        <v>0</v>
      </c>
      <c r="D306" s="93" t="n">
        <f aca="false">IFERROR(N(C152)-N(C34),0)</f>
        <v>0</v>
      </c>
      <c r="E306" s="93" t="n">
        <f aca="false">IFERROR(N(D152)-N(D34),0)</f>
        <v>0</v>
      </c>
      <c r="F306" s="93" t="n">
        <f aca="false">IFERROR(N(G152)-N(G34),0)</f>
        <v>0</v>
      </c>
      <c r="G306" s="93" t="n">
        <f aca="false">IFERROR(N(H152)-N(H34),0)</f>
        <v>0</v>
      </c>
      <c r="H306" s="93" t="n">
        <f aca="false">IFERROR(N(I152)-N(I34),0)</f>
        <v>0</v>
      </c>
      <c r="I306" s="93" t="n">
        <f aca="false">IFERROR(N(J152)-N(J34),0)</f>
        <v>0</v>
      </c>
      <c r="J306" s="93" t="n">
        <f aca="false">IFERROR(N(K152)-N(K34),0)</f>
        <v>0</v>
      </c>
      <c r="K306" s="93" t="n">
        <f aca="false">IFERROR(N(L152)-N(L34),0)</f>
        <v>0</v>
      </c>
      <c r="L306" s="93" t="n">
        <f aca="false">IFERROR(N(M152)-N(M34),0)</f>
        <v>0</v>
      </c>
      <c r="M306" s="93" t="n">
        <f aca="false">IFERROR(N(N152)-N(N34),0)</f>
        <v>0</v>
      </c>
      <c r="N306" s="93" t="n">
        <f aca="false">IFERROR(N(O152)-N(O34),0)</f>
        <v>0</v>
      </c>
      <c r="O306" s="93" t="n">
        <f aca="false">IFERROR(N(P152)-N(P34),0)</f>
        <v>0</v>
      </c>
      <c r="P306" s="94" t="str">
        <f aca="false">IF(AND(ABS(C306)&lt;=1,ABS(D306)&lt;=0.001,ABS(E306)&lt;=0.001,ABS(F306)&lt;=0.0005,ABS(G306)&lt;=0.01,ABS(H306)&lt;=0.01,ABS(I306)&lt;=0.0005,ABS(J306)&lt;=0.0005,ABS(K306)&lt;=0.0005,ABS(L306)&lt;=0.0005,ABS(M306)&lt;=0.0005,ABS(N306)&lt;=0.0005,ABS(O306)&lt;=0.0005),"PASS","FAIL")</f>
        <v>PASS</v>
      </c>
    </row>
    <row r="307" customFormat="false" ht="14.25" hidden="false" customHeight="false" outlineLevel="0" collapsed="false">
      <c r="B307" s="7" t="s">
        <v>517</v>
      </c>
      <c r="C307" s="84" t="n">
        <f aca="false">IFERROR(N(E162)-N(E34),0)</f>
        <v>0</v>
      </c>
      <c r="D307" s="93" t="n">
        <f aca="false">IFERROR(N(C162)-N(C34),0)</f>
        <v>0</v>
      </c>
      <c r="E307" s="93" t="n">
        <f aca="false">IFERROR(N(D162)-N(D34),0)</f>
        <v>0</v>
      </c>
      <c r="F307" s="93" t="n">
        <f aca="false">IFERROR(N(G162)-N(G34),0)</f>
        <v>0</v>
      </c>
      <c r="G307" s="93" t="n">
        <f aca="false">IFERROR(N(H162)-N(H34),0)</f>
        <v>0</v>
      </c>
      <c r="H307" s="93" t="n">
        <f aca="false">IFERROR(N(I162)-N(I34),0)</f>
        <v>0</v>
      </c>
      <c r="I307" s="93" t="n">
        <f aca="false">IFERROR(N(J162)-N(J34),0)</f>
        <v>0</v>
      </c>
      <c r="J307" s="93" t="n">
        <f aca="false">IFERROR(N(K162)-N(K34),0)</f>
        <v>0</v>
      </c>
      <c r="K307" s="93" t="n">
        <f aca="false">IFERROR(N(L162)-N(L34),0)</f>
        <v>0</v>
      </c>
      <c r="L307" s="93" t="n">
        <f aca="false">IFERROR(N(M162)-N(M34),0)</f>
        <v>0</v>
      </c>
      <c r="M307" s="93" t="n">
        <f aca="false">IFERROR(N(N162)-N(N34),0)</f>
        <v>0</v>
      </c>
      <c r="N307" s="93" t="n">
        <f aca="false">IFERROR(N(O162)-N(O34),0)</f>
        <v>0</v>
      </c>
      <c r="O307" s="93" t="n">
        <f aca="false">IFERROR(N(P162)-N(P34),0)</f>
        <v>0</v>
      </c>
      <c r="P307" s="94" t="str">
        <f aca="false">IF(AND(ABS(C307)&lt;=1,ABS(D307)&lt;=0.001,ABS(E307)&lt;=0.001,ABS(F307)&lt;=0.0005,ABS(G307)&lt;=0.01,ABS(H307)&lt;=0.01,ABS(I307)&lt;=0.0005,ABS(J307)&lt;=0.0005,ABS(K307)&lt;=0.0005,ABS(L307)&lt;=0.0005,ABS(M307)&lt;=0.0005,ABS(N307)&lt;=0.0005,ABS(O307)&lt;=0.0005),"PASS","FAIL")</f>
        <v>PASS</v>
      </c>
    </row>
    <row r="308" customFormat="false" ht="14.25" hidden="false" customHeight="false" outlineLevel="0" collapsed="false">
      <c r="B308" s="7" t="s">
        <v>182</v>
      </c>
      <c r="C308" s="84" t="n">
        <f aca="false">IFERROR(N(E172)-N(E34),0)</f>
        <v>0</v>
      </c>
      <c r="D308" s="93" t="n">
        <f aca="false">IFERROR(N(C172)-N(C34),0)</f>
        <v>0</v>
      </c>
      <c r="E308" s="93" t="n">
        <f aca="false">IFERROR(N(D172)-N(D34),0)</f>
        <v>0</v>
      </c>
      <c r="F308" s="93" t="n">
        <f aca="false">IFERROR(N(G172)-N(G34),0)</f>
        <v>0</v>
      </c>
      <c r="G308" s="93" t="n">
        <f aca="false">IFERROR(N(H172)-N(H34),0)</f>
        <v>0</v>
      </c>
      <c r="H308" s="93" t="n">
        <f aca="false">IFERROR(N(I172)-N(I34),0)</f>
        <v>0</v>
      </c>
      <c r="I308" s="93" t="n">
        <f aca="false">IFERROR(N(J172)-N(J34),0)</f>
        <v>0</v>
      </c>
      <c r="J308" s="93" t="n">
        <f aca="false">IFERROR(N(K172)-N(K34),0)</f>
        <v>0</v>
      </c>
      <c r="K308" s="93" t="n">
        <f aca="false">IFERROR(N(L172)-N(L34),0)</f>
        <v>0</v>
      </c>
      <c r="L308" s="93" t="n">
        <f aca="false">IFERROR(N(M172)-N(M34),0)</f>
        <v>0</v>
      </c>
      <c r="M308" s="93" t="n">
        <f aca="false">IFERROR(N(N172)-N(N34),0)</f>
        <v>0</v>
      </c>
      <c r="N308" s="93" t="n">
        <f aca="false">IFERROR(N(O172)-N(O34),0)</f>
        <v>0</v>
      </c>
      <c r="O308" s="93" t="n">
        <f aca="false">IFERROR(N(P172)-N(P34),0)</f>
        <v>0</v>
      </c>
      <c r="P308" s="94" t="str">
        <f aca="false">IF(AND(ABS(C308)&lt;=1,ABS(D308)&lt;=0.001,ABS(E308)&lt;=0.001,ABS(F308)&lt;=0.0005,ABS(G308)&lt;=0.01,ABS(H308)&lt;=0.01,ABS(I308)&lt;=0.0005,ABS(J308)&lt;=0.0005,ABS(K308)&lt;=0.0005,ABS(L308)&lt;=0.0005,ABS(M308)&lt;=0.0005,ABS(N308)&lt;=0.0005,ABS(O308)&lt;=0.0005),"PASS","FAIL")</f>
        <v>PASS</v>
      </c>
    </row>
    <row r="309" customFormat="false" ht="14.25" hidden="false" customHeight="false" outlineLevel="0" collapsed="false">
      <c r="B309" s="7" t="s">
        <v>160</v>
      </c>
      <c r="C309" s="84" t="n">
        <f aca="false">IFERROR(N(E182)-N(E34),0)</f>
        <v>0</v>
      </c>
      <c r="D309" s="93" t="n">
        <f aca="false">IFERROR(N(C182)-N(C34),0)</f>
        <v>0</v>
      </c>
      <c r="E309" s="93" t="n">
        <f aca="false">IFERROR(N(D182)-N(D34),0)</f>
        <v>0</v>
      </c>
      <c r="F309" s="93" t="n">
        <f aca="false">IFERROR(N(G182)-N(G34),0)</f>
        <v>0</v>
      </c>
      <c r="G309" s="93" t="n">
        <f aca="false">IFERROR(N(H182)-N(H34),0)</f>
        <v>0</v>
      </c>
      <c r="H309" s="93" t="n">
        <f aca="false">IFERROR(N(I182)-N(I34),0)</f>
        <v>0</v>
      </c>
      <c r="I309" s="93" t="n">
        <f aca="false">IFERROR(N(J182)-N(J34),0)</f>
        <v>0</v>
      </c>
      <c r="J309" s="93" t="n">
        <f aca="false">IFERROR(N(K182)-N(K34),0)</f>
        <v>0</v>
      </c>
      <c r="K309" s="93" t="n">
        <f aca="false">IFERROR(N(L182)-N(L34),0)</f>
        <v>0</v>
      </c>
      <c r="L309" s="93" t="n">
        <f aca="false">IFERROR(N(M182)-N(M34),0)</f>
        <v>0</v>
      </c>
      <c r="M309" s="93" t="n">
        <f aca="false">IFERROR(N(N182)-N(N34),0)</f>
        <v>0</v>
      </c>
      <c r="N309" s="93" t="n">
        <f aca="false">IFERROR(N(O182)-N(O34),0)</f>
        <v>0</v>
      </c>
      <c r="O309" s="93" t="n">
        <f aca="false">IFERROR(N(P182)-N(P34),0)</f>
        <v>0</v>
      </c>
      <c r="P309" s="94" t="str">
        <f aca="false">IF(AND(ABS(C309)&lt;=1,ABS(D309)&lt;=0.001,ABS(E309)&lt;=0.001,ABS(F309)&lt;=0.0005,ABS(G309)&lt;=0.01,ABS(H309)&lt;=0.01,ABS(I309)&lt;=0.0005,ABS(J309)&lt;=0.0005,ABS(K309)&lt;=0.0005,ABS(L309)&lt;=0.0005,ABS(M309)&lt;=0.0005,ABS(N309)&lt;=0.0005,ABS(O309)&lt;=0.0005),"PASS","FAIL")</f>
        <v>PASS</v>
      </c>
    </row>
    <row r="310" customFormat="false" ht="14.25" hidden="false" customHeight="false" outlineLevel="0" collapsed="false">
      <c r="B310" s="7" t="s">
        <v>518</v>
      </c>
      <c r="C310" s="84" t="n">
        <f aca="false">IFERROR(N(E191)-N(E34),0)</f>
        <v>0</v>
      </c>
      <c r="D310" s="93" t="n">
        <f aca="false">IFERROR(N(C191)-N(C34),0)</f>
        <v>0</v>
      </c>
      <c r="E310" s="93" t="n">
        <f aca="false">IFERROR(N(D191)-N(D34),0)</f>
        <v>0</v>
      </c>
      <c r="F310" s="93" t="n">
        <f aca="false">IFERROR(N(G191)-N(G34),0)</f>
        <v>0</v>
      </c>
      <c r="G310" s="93" t="n">
        <f aca="false">IFERROR(N(H191)-N(H34),0)</f>
        <v>0</v>
      </c>
      <c r="H310" s="93" t="n">
        <f aca="false">IFERROR(N(I191)-N(I34),0)</f>
        <v>0</v>
      </c>
      <c r="I310" s="93" t="n">
        <f aca="false">IFERROR(N(J191)-N(J34),0)</f>
        <v>0</v>
      </c>
      <c r="J310" s="93" t="n">
        <f aca="false">IFERROR(N(K191)-N(K34),0)</f>
        <v>0</v>
      </c>
      <c r="K310" s="93" t="n">
        <f aca="false">IFERROR(N(L191)-N(L34),0)</f>
        <v>0</v>
      </c>
      <c r="L310" s="93" t="n">
        <f aca="false">IFERROR(N(M191)-N(M34),0)</f>
        <v>0</v>
      </c>
      <c r="M310" s="93" t="n">
        <f aca="false">IFERROR(N(N191)-N(N34),0)</f>
        <v>0</v>
      </c>
      <c r="N310" s="93" t="n">
        <f aca="false">IFERROR(N(O191)-N(O34),0)</f>
        <v>0</v>
      </c>
      <c r="O310" s="93" t="n">
        <f aca="false">IFERROR(N(P191)-N(P34),0)</f>
        <v>0</v>
      </c>
      <c r="P310" s="94" t="str">
        <f aca="false">IF(AND(ABS(C310)&lt;=1,ABS(D310)&lt;=0.001,ABS(E310)&lt;=0.001,ABS(F310)&lt;=0.0005,ABS(G310)&lt;=0.01,ABS(H310)&lt;=0.01,ABS(I310)&lt;=0.0005,ABS(J310)&lt;=0.0005,ABS(K310)&lt;=0.0005,ABS(L310)&lt;=0.0005,ABS(M310)&lt;=0.0005,ABS(N310)&lt;=0.0005,ABS(O310)&lt;=0.0005),"PASS","FAIL")</f>
        <v>PASS</v>
      </c>
    </row>
    <row r="311" customFormat="false" ht="14.25" hidden="false" customHeight="false" outlineLevel="0" collapsed="false">
      <c r="B311" s="7" t="s">
        <v>519</v>
      </c>
      <c r="C311" s="84" t="n">
        <f aca="false">IFERROR(N(E200)-N(E34),0)</f>
        <v>0</v>
      </c>
      <c r="D311" s="93" t="n">
        <f aca="false">IFERROR(N(C200)-N(C34),0)</f>
        <v>0</v>
      </c>
      <c r="E311" s="93" t="n">
        <f aca="false">IFERROR(N(D200)-N(D34),0)</f>
        <v>0</v>
      </c>
      <c r="F311" s="93" t="n">
        <f aca="false">IFERROR(N(G200)-N(G34),0)</f>
        <v>0</v>
      </c>
      <c r="G311" s="93" t="n">
        <f aca="false">IFERROR(N(H200)-N(H34),0)</f>
        <v>0</v>
      </c>
      <c r="H311" s="93" t="n">
        <f aca="false">IFERROR(N(I200)-N(I34),0)</f>
        <v>0</v>
      </c>
      <c r="I311" s="93" t="n">
        <f aca="false">IFERROR(N(J200)-N(J34),0)</f>
        <v>0</v>
      </c>
      <c r="J311" s="93" t="n">
        <f aca="false">IFERROR(N(K200)-N(K34),0)</f>
        <v>0</v>
      </c>
      <c r="K311" s="93" t="n">
        <f aca="false">IFERROR(N(L200)-N(L34),0)</f>
        <v>0</v>
      </c>
      <c r="L311" s="93" t="n">
        <f aca="false">IFERROR(N(M200)-N(M34),0)</f>
        <v>0</v>
      </c>
      <c r="M311" s="93" t="n">
        <f aca="false">IFERROR(N(N200)-N(N34),0)</f>
        <v>0</v>
      </c>
      <c r="N311" s="93" t="n">
        <f aca="false">IFERROR(N(O200)-N(O34),0)</f>
        <v>0</v>
      </c>
      <c r="O311" s="93" t="n">
        <f aca="false">IFERROR(N(P200)-N(P34),0)</f>
        <v>0</v>
      </c>
      <c r="P311" s="94" t="str">
        <f aca="false">IF(AND(ABS(C311)&lt;=1,ABS(D311)&lt;=0.001,ABS(E311)&lt;=0.001,ABS(F311)&lt;=0.0005,ABS(G311)&lt;=0.01,ABS(H311)&lt;=0.01,ABS(I311)&lt;=0.0005,ABS(J311)&lt;=0.0005,ABS(K311)&lt;=0.0005,ABS(L311)&lt;=0.0005,ABS(M311)&lt;=0.0005,ABS(N311)&lt;=0.0005,ABS(O311)&lt;=0.0005),"PASS","FAIL")</f>
        <v>PASS</v>
      </c>
    </row>
    <row r="312" customFormat="false" ht="14.25" hidden="false" customHeight="false" outlineLevel="0" collapsed="false">
      <c r="B312" s="7" t="s">
        <v>520</v>
      </c>
      <c r="C312" s="84" t="n">
        <f aca="false">IFERROR(N(E209)-N(E34),0)</f>
        <v>0</v>
      </c>
      <c r="D312" s="93" t="n">
        <f aca="false">IFERROR(N(C209)-N(C34),0)</f>
        <v>0</v>
      </c>
      <c r="E312" s="93" t="n">
        <f aca="false">IFERROR(N(D209)-N(D34),0)</f>
        <v>0</v>
      </c>
      <c r="F312" s="93" t="n">
        <f aca="false">IFERROR(N(G209)-N(G34),0)</f>
        <v>0</v>
      </c>
      <c r="G312" s="93" t="n">
        <f aca="false">IFERROR(N(H209)-N(H34),0)</f>
        <v>0</v>
      </c>
      <c r="H312" s="93" t="n">
        <f aca="false">IFERROR(N(I209)-N(I34),0)</f>
        <v>0</v>
      </c>
      <c r="I312" s="93" t="n">
        <f aca="false">IFERROR(N(J209)-N(J34),0)</f>
        <v>0</v>
      </c>
      <c r="J312" s="93" t="n">
        <f aca="false">IFERROR(N(K209)-N(K34),0)</f>
        <v>0</v>
      </c>
      <c r="K312" s="93" t="n">
        <f aca="false">IFERROR(N(L209)-N(L34),0)</f>
        <v>0</v>
      </c>
      <c r="L312" s="93" t="n">
        <f aca="false">IFERROR(N(M209)-N(M34),0)</f>
        <v>0</v>
      </c>
      <c r="M312" s="93" t="n">
        <f aca="false">IFERROR(N(N209)-N(N34),0)</f>
        <v>0</v>
      </c>
      <c r="N312" s="93" t="n">
        <f aca="false">IFERROR(N(O209)-N(O34),0)</f>
        <v>0</v>
      </c>
      <c r="O312" s="93" t="n">
        <f aca="false">IFERROR(N(P209)-N(P34),0)</f>
        <v>0</v>
      </c>
      <c r="P312" s="94" t="str">
        <f aca="false">IF(AND(ABS(C312)&lt;=1,ABS(D312)&lt;=0.001,ABS(E312)&lt;=0.001,ABS(F312)&lt;=0.0005,ABS(G312)&lt;=0.01,ABS(H312)&lt;=0.01,ABS(I312)&lt;=0.0005,ABS(J312)&lt;=0.0005,ABS(K312)&lt;=0.0005,ABS(L312)&lt;=0.0005,ABS(M312)&lt;=0.0005,ABS(N312)&lt;=0.0005,ABS(O312)&lt;=0.0005),"PASS","FAIL")</f>
        <v>PASS</v>
      </c>
    </row>
    <row r="313" customFormat="false" ht="14.25" hidden="false" customHeight="false" outlineLevel="0" collapsed="false">
      <c r="B313" s="7" t="s">
        <v>521</v>
      </c>
      <c r="C313" s="84" t="n">
        <f aca="false">IFERROR(N(E218)-N(E34),0)</f>
        <v>0</v>
      </c>
      <c r="D313" s="93" t="n">
        <f aca="false">IFERROR(N(C218)-N(C34),0)</f>
        <v>0</v>
      </c>
      <c r="E313" s="93" t="n">
        <f aca="false">IFERROR(N(D218)-N(D34),0)</f>
        <v>0</v>
      </c>
      <c r="F313" s="93" t="n">
        <f aca="false">IFERROR(N(G218)-N(G34),0)</f>
        <v>0</v>
      </c>
      <c r="G313" s="93" t="n">
        <f aca="false">IFERROR(N(H218)-N(H34),0)</f>
        <v>0</v>
      </c>
      <c r="H313" s="93" t="n">
        <f aca="false">IFERROR(N(I218)-N(I34),0)</f>
        <v>0</v>
      </c>
      <c r="I313" s="93" t="n">
        <f aca="false">IFERROR(N(J218)-N(J34),0)</f>
        <v>0</v>
      </c>
      <c r="J313" s="93" t="n">
        <f aca="false">IFERROR(N(K218)-N(K34),0)</f>
        <v>0</v>
      </c>
      <c r="K313" s="93" t="n">
        <f aca="false">IFERROR(N(L218)-N(L34),0)</f>
        <v>0</v>
      </c>
      <c r="L313" s="93" t="n">
        <f aca="false">IFERROR(N(M218)-N(M34),0)</f>
        <v>0</v>
      </c>
      <c r="M313" s="93" t="n">
        <f aca="false">IFERROR(N(N218)-N(N34),0)</f>
        <v>0</v>
      </c>
      <c r="N313" s="93" t="n">
        <f aca="false">IFERROR(N(O218)-N(O34),0)</f>
        <v>0</v>
      </c>
      <c r="O313" s="93" t="n">
        <f aca="false">IFERROR(N(P218)-N(P34),0)</f>
        <v>0</v>
      </c>
      <c r="P313" s="94" t="str">
        <f aca="false">IF(AND(ABS(C313)&lt;=1,ABS(D313)&lt;=0.001,ABS(E313)&lt;=0.001,ABS(F313)&lt;=0.0005,ABS(G313)&lt;=0.01,ABS(H313)&lt;=0.01,ABS(I313)&lt;=0.0005,ABS(J313)&lt;=0.0005,ABS(K313)&lt;=0.0005,ABS(L313)&lt;=0.0005,ABS(M313)&lt;=0.0005,ABS(N313)&lt;=0.0005,ABS(O313)&lt;=0.0005),"PASS","FAIL")</f>
        <v>PASS</v>
      </c>
    </row>
    <row r="314" customFormat="false" ht="14.25" hidden="false" customHeight="false" outlineLevel="0" collapsed="false">
      <c r="B314" s="7" t="s">
        <v>522</v>
      </c>
      <c r="C314" s="84" t="n">
        <f aca="false">IFERROR(N(E226)-N(E34),0)</f>
        <v>0</v>
      </c>
      <c r="D314" s="93" t="n">
        <f aca="false">IFERROR(N(C226)-N(C34),0)</f>
        <v>0</v>
      </c>
      <c r="E314" s="93" t="n">
        <f aca="false">IFERROR(N(D226)-N(D34),0)</f>
        <v>0</v>
      </c>
      <c r="F314" s="93" t="n">
        <f aca="false">IFERROR(N(G226)-N(G34),0)</f>
        <v>0</v>
      </c>
      <c r="G314" s="93" t="n">
        <f aca="false">IFERROR(N(H226)-N(H34),0)</f>
        <v>0</v>
      </c>
      <c r="H314" s="93" t="n">
        <f aca="false">IFERROR(N(I226)-N(I34),0)</f>
        <v>0</v>
      </c>
      <c r="I314" s="93" t="n">
        <f aca="false">IFERROR(N(J226)-N(J34),0)</f>
        <v>0</v>
      </c>
      <c r="J314" s="93" t="n">
        <f aca="false">IFERROR(N(K226)-N(K34),0)</f>
        <v>0</v>
      </c>
      <c r="K314" s="93" t="n">
        <f aca="false">IFERROR(N(L226)-N(L34),0)</f>
        <v>0</v>
      </c>
      <c r="L314" s="93" t="n">
        <f aca="false">IFERROR(N(M226)-N(M34),0)</f>
        <v>0</v>
      </c>
      <c r="M314" s="93" t="n">
        <f aca="false">IFERROR(N(N226)-N(N34),0)</f>
        <v>0</v>
      </c>
      <c r="N314" s="93" t="n">
        <f aca="false">IFERROR(N(O226)-N(O34),0)</f>
        <v>0</v>
      </c>
      <c r="O314" s="93" t="n">
        <f aca="false">IFERROR(N(P226)-N(P34),0)</f>
        <v>0</v>
      </c>
      <c r="P314" s="94" t="str">
        <f aca="false">IF(AND(ABS(C314)&lt;=1,ABS(D314)&lt;=0.001,ABS(E314)&lt;=0.001,ABS(F314)&lt;=0.0005,ABS(G314)&lt;=0.01,ABS(H314)&lt;=0.01,ABS(I314)&lt;=0.0005,ABS(J314)&lt;=0.0005,ABS(K314)&lt;=0.0005,ABS(L314)&lt;=0.0005,ABS(M314)&lt;=0.0005,ABS(N314)&lt;=0.0005,ABS(O314)&lt;=0.0005),"PASS","FAIL")</f>
        <v>PASS</v>
      </c>
    </row>
    <row r="315" customFormat="false" ht="14.25" hidden="false" customHeight="false" outlineLevel="0" collapsed="false">
      <c r="B315" s="7" t="s">
        <v>523</v>
      </c>
      <c r="C315" s="84" t="n">
        <f aca="false">IFERROR(N(E234)-N(E34),0)</f>
        <v>0</v>
      </c>
      <c r="D315" s="93" t="n">
        <f aca="false">IFERROR(N(C234)-N(C34),0)</f>
        <v>0</v>
      </c>
      <c r="E315" s="93" t="n">
        <f aca="false">IFERROR(N(D234)-N(D34),0)</f>
        <v>0</v>
      </c>
      <c r="F315" s="93" t="n">
        <f aca="false">IFERROR(N(G234)-N(G34),0)</f>
        <v>0</v>
      </c>
      <c r="G315" s="93" t="n">
        <f aca="false">IFERROR(N(H234)-N(H34),0)</f>
        <v>0</v>
      </c>
      <c r="H315" s="93" t="n">
        <f aca="false">IFERROR(N(I234)-N(I34),0)</f>
        <v>0</v>
      </c>
      <c r="I315" s="93" t="n">
        <f aca="false">IFERROR(N(J234)-N(J34),0)</f>
        <v>0</v>
      </c>
      <c r="J315" s="93" t="n">
        <f aca="false">IFERROR(N(K234)-N(K34),0)</f>
        <v>0</v>
      </c>
      <c r="K315" s="93" t="n">
        <f aca="false">IFERROR(N(L234)-N(L34),0)</f>
        <v>0</v>
      </c>
      <c r="L315" s="93" t="n">
        <f aca="false">IFERROR(N(M234)-N(M34),0)</f>
        <v>0</v>
      </c>
      <c r="M315" s="93" t="n">
        <f aca="false">IFERROR(N(N234)-N(N34),0)</f>
        <v>0</v>
      </c>
      <c r="N315" s="93" t="n">
        <f aca="false">IFERROR(N(O234)-N(O34),0)</f>
        <v>0</v>
      </c>
      <c r="O315" s="93" t="n">
        <f aca="false">IFERROR(N(P234)-N(P34),0)</f>
        <v>0</v>
      </c>
      <c r="P315" s="94" t="str">
        <f aca="false">IF(AND(ABS(C315)&lt;=1,ABS(D315)&lt;=0.001,ABS(E315)&lt;=0.001,ABS(F315)&lt;=0.0005,ABS(G315)&lt;=0.01,ABS(H315)&lt;=0.01,ABS(I315)&lt;=0.0005,ABS(J315)&lt;=0.0005,ABS(K315)&lt;=0.0005,ABS(L315)&lt;=0.0005,ABS(M315)&lt;=0.0005,ABS(N315)&lt;=0.0005,ABS(O315)&lt;=0.0005),"PASS","FAIL")</f>
        <v>PASS</v>
      </c>
    </row>
    <row r="316" customFormat="false" ht="14.25" hidden="false" customHeight="false" outlineLevel="0" collapsed="false">
      <c r="B316" s="7" t="s">
        <v>524</v>
      </c>
      <c r="C316" s="84" t="n">
        <f aca="false">IFERROR(N(E243)-N(E34),0)</f>
        <v>0</v>
      </c>
      <c r="D316" s="93" t="n">
        <f aca="false">IFERROR(N(C243)-N(C34),0)</f>
        <v>0</v>
      </c>
      <c r="E316" s="93" t="n">
        <f aca="false">IFERROR(N(D243)-N(D34),0)</f>
        <v>0</v>
      </c>
      <c r="F316" s="93" t="n">
        <f aca="false">IFERROR(N(G243)-N(G34),0)</f>
        <v>0</v>
      </c>
      <c r="G316" s="93" t="n">
        <f aca="false">IFERROR(N(H243)-N(H34),0)</f>
        <v>0</v>
      </c>
      <c r="H316" s="93" t="n">
        <f aca="false">IFERROR(N(I243)-N(I34),0)</f>
        <v>0</v>
      </c>
      <c r="I316" s="93" t="n">
        <f aca="false">IFERROR(N(J243)-N(J34),0)</f>
        <v>0</v>
      </c>
      <c r="J316" s="93" t="n">
        <f aca="false">IFERROR(N(K243)-N(K34),0)</f>
        <v>0</v>
      </c>
      <c r="K316" s="93" t="n">
        <f aca="false">IFERROR(N(L243)-N(L34),0)</f>
        <v>0</v>
      </c>
      <c r="L316" s="93" t="n">
        <f aca="false">IFERROR(N(M243)-N(M34),0)</f>
        <v>0</v>
      </c>
      <c r="M316" s="93" t="n">
        <f aca="false">IFERROR(N(N243)-N(N34),0)</f>
        <v>0</v>
      </c>
      <c r="N316" s="93" t="n">
        <f aca="false">IFERROR(N(O243)-N(O34),0)</f>
        <v>0</v>
      </c>
      <c r="O316" s="93" t="n">
        <f aca="false">IFERROR(N(P243)-N(P34),0)</f>
        <v>0</v>
      </c>
      <c r="P316" s="94" t="str">
        <f aca="false">IF(AND(ABS(C316)&lt;=1,ABS(D316)&lt;=0.001,ABS(E316)&lt;=0.001,ABS(F316)&lt;=0.0005,ABS(G316)&lt;=0.01,ABS(H316)&lt;=0.01,ABS(I316)&lt;=0.0005,ABS(J316)&lt;=0.0005,ABS(K316)&lt;=0.0005,ABS(L316)&lt;=0.0005,ABS(M316)&lt;=0.0005,ABS(N316)&lt;=0.0005,ABS(O316)&lt;=0.0005),"PASS","FAIL")</f>
        <v>PASS</v>
      </c>
    </row>
    <row r="317" customFormat="false" ht="14.25" hidden="false" customHeight="false" outlineLevel="0" collapsed="false">
      <c r="B317" s="7" t="s">
        <v>525</v>
      </c>
      <c r="C317" s="84" t="n">
        <f aca="false">IFERROR(N(E252)-N(E34),0)</f>
        <v>0</v>
      </c>
      <c r="D317" s="93" t="n">
        <f aca="false">IFERROR(N(C252)-N(C34),0)</f>
        <v>0</v>
      </c>
      <c r="E317" s="93" t="n">
        <f aca="false">IFERROR(N(D252)-N(D34),0)</f>
        <v>0</v>
      </c>
      <c r="F317" s="93" t="n">
        <f aca="false">IFERROR(N(G252)-N(G34),0)</f>
        <v>0</v>
      </c>
      <c r="G317" s="93" t="n">
        <f aca="false">IFERROR(N(H252)-N(H34),0)</f>
        <v>0</v>
      </c>
      <c r="H317" s="93" t="n">
        <f aca="false">IFERROR(N(I252)-N(I34),0)</f>
        <v>0</v>
      </c>
      <c r="I317" s="93" t="n">
        <f aca="false">IFERROR(N(J252)-N(J34),0)</f>
        <v>0</v>
      </c>
      <c r="J317" s="93" t="n">
        <f aca="false">IFERROR(N(K252)-N(K34),0)</f>
        <v>0</v>
      </c>
      <c r="K317" s="93" t="n">
        <f aca="false">IFERROR(N(L252)-N(L34),0)</f>
        <v>0</v>
      </c>
      <c r="L317" s="93" t="n">
        <f aca="false">IFERROR(N(M252)-N(M34),0)</f>
        <v>0</v>
      </c>
      <c r="M317" s="93" t="n">
        <f aca="false">IFERROR(N(N252)-N(N34),0)</f>
        <v>0</v>
      </c>
      <c r="N317" s="93" t="n">
        <f aca="false">IFERROR(N(O252)-N(O34),0)</f>
        <v>0</v>
      </c>
      <c r="O317" s="93" t="n">
        <f aca="false">IFERROR(N(P252)-N(P34),0)</f>
        <v>0</v>
      </c>
      <c r="P317" s="94" t="str">
        <f aca="false">IF(AND(ABS(C317)&lt;=1,ABS(D317)&lt;=0.001,ABS(E317)&lt;=0.001,ABS(F317)&lt;=0.0005,ABS(G317)&lt;=0.01,ABS(H317)&lt;=0.01,ABS(I317)&lt;=0.0005,ABS(J317)&lt;=0.0005,ABS(K317)&lt;=0.0005,ABS(L317)&lt;=0.0005,ABS(M317)&lt;=0.0005,ABS(N317)&lt;=0.0005,ABS(O317)&lt;=0.0005),"PASS","FAIL")</f>
        <v>PASS</v>
      </c>
    </row>
    <row r="318" customFormat="false" ht="14.25" hidden="false" customHeight="false" outlineLevel="0" collapsed="false">
      <c r="B318" s="7" t="s">
        <v>526</v>
      </c>
      <c r="C318" s="84" t="n">
        <f aca="false">IFERROR(N(E262)-N(E34),0)</f>
        <v>0</v>
      </c>
      <c r="D318" s="93" t="n">
        <f aca="false">IFERROR(N(C262)-N(C34),0)</f>
        <v>0</v>
      </c>
      <c r="E318" s="93" t="n">
        <f aca="false">IFERROR(N(D262)-N(D34),0)</f>
        <v>0</v>
      </c>
      <c r="F318" s="93" t="n">
        <f aca="false">IFERROR(N(G262)-N(G34),0)</f>
        <v>0</v>
      </c>
      <c r="G318" s="93" t="n">
        <f aca="false">IFERROR(N(H262)-N(H34),0)</f>
        <v>0</v>
      </c>
      <c r="H318" s="93" t="n">
        <f aca="false">IFERROR(N(I262)-N(I34),0)</f>
        <v>0</v>
      </c>
      <c r="I318" s="93" t="n">
        <f aca="false">IFERROR(N(J262)-N(J34),0)</f>
        <v>0</v>
      </c>
      <c r="J318" s="93" t="n">
        <f aca="false">IFERROR(N(K262)-N(K34),0)</f>
        <v>0</v>
      </c>
      <c r="K318" s="93" t="n">
        <f aca="false">IFERROR(N(L262)-N(L34),0)</f>
        <v>0</v>
      </c>
      <c r="L318" s="93" t="n">
        <f aca="false">IFERROR(N(M262)-N(M34),0)</f>
        <v>0</v>
      </c>
      <c r="M318" s="93" t="n">
        <f aca="false">IFERROR(N(N262)-N(N34),0)</f>
        <v>0</v>
      </c>
      <c r="N318" s="93" t="n">
        <f aca="false">IFERROR(N(O262)-N(O34),0)</f>
        <v>0</v>
      </c>
      <c r="O318" s="93" t="n">
        <f aca="false">IFERROR(N(P262)-N(P34),0)</f>
        <v>0</v>
      </c>
      <c r="P318" s="94" t="str">
        <f aca="false">IF(AND(ABS(C318)&lt;=1,ABS(D318)&lt;=0.001,ABS(E318)&lt;=0.001,ABS(F318)&lt;=0.0005,ABS(G318)&lt;=0.01,ABS(H318)&lt;=0.01,ABS(I318)&lt;=0.0005,ABS(J318)&lt;=0.0005,ABS(K318)&lt;=0.0005,ABS(L318)&lt;=0.0005,ABS(M318)&lt;=0.0005,ABS(N318)&lt;=0.0005,ABS(O318)&lt;=0.0005),"PASS","FAIL")</f>
        <v>PASS</v>
      </c>
    </row>
    <row r="319" customFormat="false" ht="14.25" hidden="false" customHeight="false" outlineLevel="0" collapsed="false">
      <c r="B319" s="7" t="s">
        <v>527</v>
      </c>
      <c r="C319" s="84" t="n">
        <f aca="false">IFERROR(N(E272)-N(E34),0)</f>
        <v>0</v>
      </c>
      <c r="D319" s="93" t="n">
        <f aca="false">IFERROR(N(C272)-N(C34),0)</f>
        <v>0</v>
      </c>
      <c r="E319" s="93" t="n">
        <f aca="false">IFERROR(N(D272)-N(D34),0)</f>
        <v>0</v>
      </c>
      <c r="F319" s="93" t="n">
        <f aca="false">IFERROR(N(G272)-N(G34),0)</f>
        <v>0</v>
      </c>
      <c r="G319" s="93" t="n">
        <f aca="false">IFERROR(N(H272)-N(H34),0)</f>
        <v>0</v>
      </c>
      <c r="H319" s="93" t="n">
        <f aca="false">IFERROR(N(I272)-N(I34),0)</f>
        <v>0</v>
      </c>
      <c r="I319" s="93" t="n">
        <f aca="false">IFERROR(N(J272)-N(J34),0)</f>
        <v>0</v>
      </c>
      <c r="J319" s="93" t="n">
        <f aca="false">IFERROR(N(K272)-N(K34),0)</f>
        <v>0</v>
      </c>
      <c r="K319" s="93" t="n">
        <f aca="false">IFERROR(N(L272)-N(L34),0)</f>
        <v>0</v>
      </c>
      <c r="L319" s="93" t="n">
        <f aca="false">IFERROR(N(M272)-N(M34),0)</f>
        <v>0</v>
      </c>
      <c r="M319" s="93" t="n">
        <f aca="false">IFERROR(N(N272)-N(N34),0)</f>
        <v>0</v>
      </c>
      <c r="N319" s="93" t="n">
        <f aca="false">IFERROR(N(O272)-N(O34),0)</f>
        <v>0</v>
      </c>
      <c r="O319" s="93" t="n">
        <f aca="false">IFERROR(N(P272)-N(P34),0)</f>
        <v>0</v>
      </c>
      <c r="P319" s="94" t="str">
        <f aca="false">IF(AND(ABS(C319)&lt;=1,ABS(D319)&lt;=0.001,ABS(E319)&lt;=0.001,ABS(F319)&lt;=0.0005,ABS(G319)&lt;=0.01,ABS(H319)&lt;=0.01,ABS(I319)&lt;=0.0005,ABS(J319)&lt;=0.0005,ABS(K319)&lt;=0.0005,ABS(L319)&lt;=0.0005,ABS(M319)&lt;=0.0005,ABS(N319)&lt;=0.0005,ABS(O319)&lt;=0.0005),"PASS","FAIL")</f>
        <v>PASS</v>
      </c>
    </row>
    <row r="320" customFormat="false" ht="14.25" hidden="false" customHeight="false" outlineLevel="0" collapsed="false">
      <c r="B320" s="7" t="s">
        <v>528</v>
      </c>
      <c r="C320" s="84" t="n">
        <f aca="false">IFERROR(N(E281)-N(E34),0)</f>
        <v>0</v>
      </c>
      <c r="D320" s="93" t="n">
        <f aca="false">IFERROR(N(C281)-N(C34),0)</f>
        <v>0</v>
      </c>
      <c r="E320" s="93" t="n">
        <f aca="false">IFERROR(N(D281)-N(D34),0)</f>
        <v>0</v>
      </c>
      <c r="F320" s="93" t="n">
        <f aca="false">IFERROR(N(G281)-N(G34),0)</f>
        <v>0</v>
      </c>
      <c r="G320" s="93" t="n">
        <f aca="false">IFERROR(N(H281)-N(H34),0)</f>
        <v>0</v>
      </c>
      <c r="H320" s="93" t="n">
        <f aca="false">IFERROR(N(I281)-N(I34),0)</f>
        <v>0</v>
      </c>
      <c r="I320" s="93" t="n">
        <f aca="false">IFERROR(N(J281)-N(J34),0)</f>
        <v>0</v>
      </c>
      <c r="J320" s="93" t="n">
        <f aca="false">IFERROR(N(K281)-N(K34),0)</f>
        <v>0</v>
      </c>
      <c r="K320" s="93" t="n">
        <f aca="false">IFERROR(N(L281)-N(L34),0)</f>
        <v>0</v>
      </c>
      <c r="L320" s="93" t="n">
        <f aca="false">IFERROR(N(M281)-N(M34),0)</f>
        <v>0</v>
      </c>
      <c r="M320" s="93" t="n">
        <f aca="false">IFERROR(N(N281)-N(N34),0)</f>
        <v>0</v>
      </c>
      <c r="N320" s="93" t="n">
        <f aca="false">IFERROR(N(O281)-N(O34),0)</f>
        <v>0</v>
      </c>
      <c r="O320" s="93" t="n">
        <f aca="false">IFERROR(N(P281)-N(P34),0)</f>
        <v>0</v>
      </c>
      <c r="P320" s="94" t="str">
        <f aca="false">IF(AND(ABS(C320)&lt;=1,ABS(D320)&lt;=0.001,ABS(E320)&lt;=0.001,ABS(F320)&lt;=0.0005,ABS(G320)&lt;=0.01,ABS(H320)&lt;=0.01,ABS(I320)&lt;=0.0005,ABS(J320)&lt;=0.0005,ABS(K320)&lt;=0.0005,ABS(L320)&lt;=0.0005,ABS(M320)&lt;=0.0005,ABS(N320)&lt;=0.0005,ABS(O320)&lt;=0.0005),"PASS","FAIL")</f>
        <v>PASS</v>
      </c>
    </row>
    <row r="321" customFormat="false" ht="14.25" hidden="false" customHeight="false" outlineLevel="0" collapsed="false">
      <c r="B321" s="7" t="s">
        <v>172</v>
      </c>
      <c r="C321" s="84" t="n">
        <f aca="false">IFERROR(N(E290)-N(E34),0)</f>
        <v>0</v>
      </c>
      <c r="D321" s="93" t="n">
        <f aca="false">IFERROR(N(C290)-N(C34),0)</f>
        <v>0</v>
      </c>
      <c r="E321" s="93" t="n">
        <f aca="false">IFERROR(N(D290)-N(D34),0)</f>
        <v>0</v>
      </c>
      <c r="F321" s="93" t="n">
        <f aca="false">IFERROR(N(G290)-N(G34),0)</f>
        <v>0</v>
      </c>
      <c r="G321" s="93" t="n">
        <f aca="false">IFERROR(N(H290)-N(H34),0)</f>
        <v>0</v>
      </c>
      <c r="H321" s="93" t="n">
        <f aca="false">IFERROR(N(I290)-N(I34),0)</f>
        <v>0</v>
      </c>
      <c r="I321" s="93" t="n">
        <f aca="false">IFERROR(N(J290)-N(J34),0)</f>
        <v>0</v>
      </c>
      <c r="J321" s="93" t="n">
        <f aca="false">IFERROR(N(K290)-N(K34),0)</f>
        <v>0</v>
      </c>
      <c r="K321" s="93" t="n">
        <f aca="false">IFERROR(N(L290)-N(L34),0)</f>
        <v>0</v>
      </c>
      <c r="L321" s="93" t="n">
        <f aca="false">IFERROR(N(M290)-N(M34),0)</f>
        <v>0</v>
      </c>
      <c r="M321" s="93" t="n">
        <f aca="false">IFERROR(N(N290)-N(N34),0)</f>
        <v>0</v>
      </c>
      <c r="N321" s="93" t="n">
        <f aca="false">IFERROR(N(O290)-N(O34),0)</f>
        <v>0</v>
      </c>
      <c r="O321" s="93" t="n">
        <f aca="false">IFERROR(N(P290)-N(P34),0)</f>
        <v>0</v>
      </c>
      <c r="P321" s="94" t="str">
        <f aca="false">IF(AND(ABS(C321)&lt;=1,ABS(D321)&lt;=0.001,ABS(E321)&lt;=0.001,ABS(F321)&lt;=0.0005,ABS(G321)&lt;=0.01,ABS(H321)&lt;=0.01,ABS(I321)&lt;=0.0005,ABS(J321)&lt;=0.0005,ABS(K321)&lt;=0.0005,ABS(L321)&lt;=0.0005,ABS(M321)&lt;=0.0005,ABS(N321)&lt;=0.0005,ABS(O321)&lt;=0.0005),"PASS","FAIL")</f>
        <v>PASS</v>
      </c>
    </row>
    <row r="322" customFormat="false" ht="14.25" hidden="false" customHeight="false" outlineLevel="0" collapsed="false">
      <c r="B322" s="95" t="str">
        <f aca="false">IF(COUNTIF(P294:P321,"FAIL")=0,"ALL "&amp;COUNTA(P294:P321)&amp;" STRATS TIE OUT — NO EXCEPTIONS FLAGGED",COUNTIF(P294:P321,"FAIL")&amp;" OF "&amp;COUNTA(P294:P321)&amp;" STRATS DO NOT TIE — REVIEW FLAGGED ROWS ABOVE")</f>
        <v>ALL 28 STRATS TIE OUT — NO EXCEPTIONS FLAGGED</v>
      </c>
      <c r="C322" s="95"/>
      <c r="D322" s="95"/>
      <c r="E322" s="95"/>
      <c r="F322" s="95"/>
      <c r="G322" s="95"/>
      <c r="H322" s="95"/>
      <c r="I322" s="95"/>
      <c r="J322" s="95"/>
      <c r="K322" s="95"/>
      <c r="L322" s="95"/>
      <c r="M322" s="95"/>
      <c r="N322" s="95"/>
      <c r="O322" s="95"/>
      <c r="P322" s="95" t="str">
        <f aca="false">IF(COUNTIF(P294:P321,"FAIL")=0,"PASS","FAIL")</f>
        <v>PASS</v>
      </c>
    </row>
  </sheetData>
  <mergeCells count="32">
    <mergeCell ref="B2:P2"/>
    <mergeCell ref="B15:I15"/>
    <mergeCell ref="B29:P29"/>
    <mergeCell ref="B36:P36"/>
    <mergeCell ref="B43:P43"/>
    <mergeCell ref="B63:P63"/>
    <mergeCell ref="B76:P76"/>
    <mergeCell ref="B87:P87"/>
    <mergeCell ref="B96:P96"/>
    <mergeCell ref="B104:P104"/>
    <mergeCell ref="B112:P112"/>
    <mergeCell ref="B121:P121"/>
    <mergeCell ref="B129:P129"/>
    <mergeCell ref="B136:P136"/>
    <mergeCell ref="B145:P145"/>
    <mergeCell ref="B154:P154"/>
    <mergeCell ref="B164:P164"/>
    <mergeCell ref="B174:P174"/>
    <mergeCell ref="B184:P184"/>
    <mergeCell ref="B193:P193"/>
    <mergeCell ref="B202:P202"/>
    <mergeCell ref="B211:P211"/>
    <mergeCell ref="B220:P220"/>
    <mergeCell ref="B228:P228"/>
    <mergeCell ref="B236:P236"/>
    <mergeCell ref="B245:P245"/>
    <mergeCell ref="B254:P254"/>
    <mergeCell ref="B264:P264"/>
    <mergeCell ref="B274:P274"/>
    <mergeCell ref="B283:P283"/>
    <mergeCell ref="B292:P292"/>
    <mergeCell ref="B322:O322"/>
  </mergeCells>
  <conditionalFormatting sqref="P294:P322">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3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 activeCellId="0" sqref="A3"/>
    </sheetView>
  </sheetViews>
  <sheetFormatPr defaultColWidth="8.5390625" defaultRowHeight="14.2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16" min="3" style="0" width="12.63"/>
    <col collapsed="false" customWidth="true" hidden="false" outlineLevel="0" max="17" min="17" style="0" width="2"/>
    <col collapsed="false" customWidth="true" hidden="false" outlineLevel="0" max="19" min="18" style="0" width="11"/>
  </cols>
  <sheetData>
    <row r="1" customFormat="false" ht="14.25" hidden="false" customHeight="false" outlineLevel="0" collapsed="false">
      <c r="A1" s="96" t="s">
        <v>529</v>
      </c>
      <c r="B1" s="96"/>
      <c r="C1" s="96"/>
      <c r="D1" s="96"/>
      <c r="E1" s="96"/>
      <c r="F1" s="96"/>
      <c r="G1" s="96"/>
      <c r="H1" s="96"/>
      <c r="I1" s="96"/>
      <c r="J1" s="96"/>
      <c r="K1" s="96"/>
      <c r="L1" s="96"/>
      <c r="M1" s="96"/>
      <c r="N1" s="96"/>
      <c r="O1" s="96"/>
      <c r="P1" s="96"/>
      <c r="R1" s="72" t="s">
        <v>362</v>
      </c>
    </row>
    <row r="2" customFormat="false" ht="19.5" hidden="false" customHeight="true" outlineLevel="0" collapsed="false">
      <c r="B2" s="5" t="s">
        <v>530</v>
      </c>
      <c r="C2" s="5"/>
      <c r="D2" s="5"/>
      <c r="E2" s="5"/>
      <c r="F2" s="5"/>
      <c r="G2" s="5"/>
      <c r="H2" s="5"/>
      <c r="I2" s="5"/>
      <c r="J2" s="5"/>
      <c r="K2" s="5"/>
      <c r="L2" s="5"/>
      <c r="M2" s="5"/>
      <c r="N2" s="5"/>
      <c r="O2" s="5"/>
      <c r="P2" s="5"/>
    </row>
    <row r="4" customFormat="false" ht="14.25" hidden="false" customHeight="false" outlineLevel="0" collapsed="false">
      <c r="B4" s="31" t="s">
        <v>364</v>
      </c>
      <c r="C4" s="97" t="n">
        <f aca="false">Strats!$C$4</f>
        <v>46295</v>
      </c>
      <c r="D4" s="31" t="s">
        <v>365</v>
      </c>
      <c r="E4" s="74" t="n">
        <f aca="false">IFERROR(SUMPRODUCT('Loan Tape'!$S$4:$S$303*('Loan Tape'!$E$4:$E$303='Deal Strat'!$C$12)*'Loan Tape'!$R$4:$R$303)/C5,0)</f>
        <v>0.841462496677736</v>
      </c>
    </row>
    <row r="5" customFormat="false" ht="14.25" hidden="false" customHeight="false" outlineLevel="0" collapsed="false">
      <c r="B5" s="31" t="s">
        <v>531</v>
      </c>
      <c r="C5" s="75" t="n">
        <f aca="false">SUMIFS('Loan Tape'!$R$4:$R$303,'Loan Tape'!$E$4:$E$303,'Deal Strat'!$C$12)</f>
        <v>372487000</v>
      </c>
      <c r="D5" s="31" t="s">
        <v>367</v>
      </c>
      <c r="E5" s="74" t="n">
        <f aca="false">IFERROR(SUMPRODUCT('Loan Tape'!$T$4:$T$303*('Loan Tape'!$E$4:$E$303='Deal Strat'!$C$12)*'Loan Tape'!$R$4:$R$303)/C5,0)</f>
        <v>0.0853727877751438</v>
      </c>
    </row>
    <row r="6" customFormat="false" ht="14.25" hidden="false" customHeight="false" outlineLevel="0" collapsed="false">
      <c r="B6" s="31" t="s">
        <v>368</v>
      </c>
      <c r="C6" s="76" t="n">
        <f aca="false">COUNTIFS('Loan Tape'!$E$4:$E$303,'Deal Strat'!$C$12)</f>
        <v>5</v>
      </c>
      <c r="D6" s="31" t="s">
        <v>369</v>
      </c>
      <c r="E6" s="77" t="n">
        <f aca="false">IFERROR(SUMPRODUCT('Loan Tape'!$U$4:$U$303*('Loan Tape'!$E$4:$E$303='Deal Strat'!$C$12)*'Loan Tape'!$R$4:$R$303)/C5,0)</f>
        <v>1.46286165691689</v>
      </c>
    </row>
    <row r="7" customFormat="false" ht="14.25" hidden="false" customHeight="false" outlineLevel="0" collapsed="false">
      <c r="B7" s="31" t="s">
        <v>370</v>
      </c>
      <c r="C7" s="75" t="n">
        <f aca="false">IFERROR(C5/C6,0)</f>
        <v>74497400</v>
      </c>
      <c r="D7" s="31" t="s">
        <v>371</v>
      </c>
      <c r="E7" s="74" t="n">
        <f aca="false">IFERROR(SUMPRODUCT('Loan Tape'!$V$4:$V$303*('Loan Tape'!$E$4:$E$303='Deal Strat'!$C$12)*'Loan Tape'!$R$4:$R$303)/C5,0)</f>
        <v>0.69021042345102</v>
      </c>
    </row>
    <row r="8" customFormat="false" ht="14.25" hidden="false" customHeight="false" outlineLevel="0" collapsed="false">
      <c r="B8" s="31" t="s">
        <v>372</v>
      </c>
      <c r="C8" s="74" t="n">
        <f aca="false">IFERROR(SUMPRODUCT('Loan Tape'!$AI$4:$AI$303*('Loan Tape'!$E$4:$E$303='Deal Strat'!$C$12)*'Loan Tape'!$R$4:$R$303)/C5,0)</f>
        <v>0.0680705466231036</v>
      </c>
      <c r="D8" s="31" t="s">
        <v>373</v>
      </c>
      <c r="E8" s="74" t="n">
        <f aca="false">IFERROR(SUMPRODUCT('Loan Tape'!$W$4:$W$303*('Loan Tape'!$E$4:$E$303='Deal Strat'!$C$12)*'Loan Tape'!$R$4:$R$303)/C5,0)</f>
        <v>0.727922306013364</v>
      </c>
    </row>
    <row r="9" customFormat="false" ht="14.25" hidden="false" customHeight="false" outlineLevel="0" collapsed="false">
      <c r="B9" s="31" t="s">
        <v>374</v>
      </c>
      <c r="C9" s="76" t="n">
        <f aca="false">IFERROR(SUMPRODUCT('Loan Tape'!$I$4:$I$303*('Loan Tape'!$E$4:$E$303='Deal Strat'!$C$12)*'Loan Tape'!$R$4:$R$303)/C5,0)</f>
        <v>104.113072402527</v>
      </c>
      <c r="D9" s="31" t="s">
        <v>375</v>
      </c>
      <c r="E9" s="78" t="str">
        <f aca="false">IFERROR(TEXT(SUMIFS('Loan Tape'!$R$4:$R$303,'Loan Tape'!$K$4:$K$303,"Floating",'Loan Tape'!$E$4:$E$303,'Deal Strat'!$C$12)/C5,"0.0%"),"0.0%")&amp;" / "&amp;IFERROR(TEXT(SUMIFS('Loan Tape'!$R$4:$R$303,'Loan Tape'!$K$4:$K$303,"Fixed",'Loan Tape'!$E$4:$E$303,'Deal Strat'!$C$12)/C5,"0.0%"),"0.0%")</f>
        <v>64.7% / 35.3%</v>
      </c>
    </row>
    <row r="10" customFormat="false" ht="14.25" hidden="false" customHeight="false" outlineLevel="0" collapsed="false">
      <c r="B10" s="31" t="s">
        <v>376</v>
      </c>
      <c r="C10" s="74" t="n">
        <f aca="false">Strats!$C$10</f>
        <v>0.045</v>
      </c>
      <c r="D10" s="31" t="s">
        <v>377</v>
      </c>
      <c r="E10" s="74" t="n">
        <f aca="false">IFERROR(SUMPRODUCT('Loan Tape'!$AK$4:$AK$303*('Loan Tape'!$E$4:$E$303='Deal Strat'!$C$12)*'Loan Tape'!$R$4:$R$303)/C5,0)</f>
        <v>0.077777435722589</v>
      </c>
    </row>
    <row r="11" customFormat="false" ht="14.25" hidden="false" customHeight="false" outlineLevel="0" collapsed="false">
      <c r="B11" s="31" t="s">
        <v>378</v>
      </c>
      <c r="C11" s="74" t="n">
        <f aca="false">Strats!$C$11</f>
        <v>0.015</v>
      </c>
      <c r="D11" s="31" t="s">
        <v>379</v>
      </c>
      <c r="E11" s="76" t="n">
        <f aca="false">(E10-C8)*10000</f>
        <v>97.0688909948536</v>
      </c>
    </row>
    <row r="12" customFormat="false" ht="14.25" hidden="false" customHeight="false" outlineLevel="0" collapsed="false">
      <c r="B12" s="31" t="s">
        <v>532</v>
      </c>
      <c r="C12" s="98" t="s">
        <v>252</v>
      </c>
    </row>
    <row r="15" customFormat="false" ht="19.5" hidden="false" customHeight="true" outlineLevel="0" collapsed="false">
      <c r="B15" s="5" t="s">
        <v>533</v>
      </c>
      <c r="C15" s="5"/>
      <c r="D15" s="5"/>
      <c r="E15" s="5"/>
      <c r="F15" s="5"/>
      <c r="G15" s="5"/>
      <c r="H15" s="5"/>
      <c r="I15" s="5"/>
    </row>
    <row r="16" customFormat="false" ht="14.25" hidden="false" customHeight="false" outlineLevel="0" collapsed="false">
      <c r="B16" s="82" t="s">
        <v>383</v>
      </c>
      <c r="C16" s="83" t="s">
        <v>150</v>
      </c>
      <c r="D16" s="83" t="s">
        <v>384</v>
      </c>
      <c r="E16" s="83" t="s">
        <v>385</v>
      </c>
      <c r="F16" s="83" t="s">
        <v>386</v>
      </c>
      <c r="G16" s="83" t="s">
        <v>387</v>
      </c>
      <c r="H16" s="83" t="s">
        <v>388</v>
      </c>
      <c r="I16" s="83" t="s">
        <v>389</v>
      </c>
    </row>
    <row r="17" customFormat="false" ht="14.25" hidden="false" customHeight="false" outlineLevel="0" collapsed="false">
      <c r="B17" s="7" t="str">
        <f aca="false">IFERROR(INDEX('Loan Tape'!$B$4:$B$303,MATCH(1,'Loan Tape'!$AL$4:$AL$303,0)),"")</f>
        <v>Foxhollow Warehouse</v>
      </c>
      <c r="C17" s="17" t="str">
        <f aca="false">IFERROR(INDEX('Loan Tape'!$C$4:$C$303,MATCH(1,'Loan Tape'!$AL$4:$AL$303,0)),"")</f>
        <v>AZ</v>
      </c>
      <c r="D17" s="17" t="str">
        <f aca="false">IFERROR(INDEX('Loan Tape'!$E$4:$E$303,MATCH(1,'Loan Tape'!$AL$4:$AL$303,0)),"")</f>
        <v>Deal 1</v>
      </c>
      <c r="E17" s="84" t="n">
        <f aca="false">IFERROR(INDEX('Loan Tape'!$R$4:$R$303,MATCH(1,'Loan Tape'!$AL$4:$AL$303,0)),"")</f>
        <v>120313000</v>
      </c>
      <c r="F17" s="69" t="n">
        <f aca="false">IFERROR(E17/C5,"")</f>
        <v>0.322999191918107</v>
      </c>
      <c r="G17" s="85" t="n">
        <f aca="false">IFERROR(INDEX('Loan Tape'!$U$4:$U$303,MATCH(1,'Loan Tape'!$AL$4:$AL$303,0)),"")</f>
        <v>1.38</v>
      </c>
      <c r="H17" s="69" t="n">
        <f aca="false">IFERROR(INDEX('Loan Tape'!$T$4:$T$303,MATCH(1,'Loan Tape'!$AL$4:$AL$303,0)),"")</f>
        <v>0.0814</v>
      </c>
      <c r="I17" s="69" t="n">
        <f aca="false">IFERROR(INDEX('Loan Tape'!$V$4:$V$303,MATCH(1,'Loan Tape'!$AL$4:$AL$303,0)),"")</f>
        <v>0.663</v>
      </c>
    </row>
    <row r="18" customFormat="false" ht="14.25" hidden="false" customHeight="false" outlineLevel="0" collapsed="false">
      <c r="B18" s="7" t="str">
        <f aca="false">IFERROR(INDEX('Loan Tape'!$B$4:$B$303,MATCH(2,'Loan Tape'!$AL$4:$AL$303,0)),"")</f>
        <v>Hillcrest Residences</v>
      </c>
      <c r="C18" s="17" t="str">
        <f aca="false">IFERROR(INDEX('Loan Tape'!$C$4:$C$303,MATCH(2,'Loan Tape'!$AL$4:$AL$303,0)),"")</f>
        <v>GA</v>
      </c>
      <c r="D18" s="17" t="str">
        <f aca="false">IFERROR(INDEX('Loan Tape'!$E$4:$E$303,MATCH(2,'Loan Tape'!$AL$4:$AL$303,0)),"")</f>
        <v>Deal 1</v>
      </c>
      <c r="E18" s="84" t="n">
        <f aca="false">IFERROR(INDEX('Loan Tape'!$R$4:$R$303,MATCH(2,'Loan Tape'!$AL$4:$AL$303,0)),"")</f>
        <v>86385000</v>
      </c>
      <c r="F18" s="69" t="n">
        <f aca="false">IFERROR(E18/C5,"")</f>
        <v>0.231914133916083</v>
      </c>
      <c r="G18" s="85" t="n">
        <f aca="false">IFERROR(INDEX('Loan Tape'!$U$4:$U$303,MATCH(2,'Loan Tape'!$AL$4:$AL$303,0)),"")</f>
        <v>1.35</v>
      </c>
      <c r="H18" s="69" t="n">
        <f aca="false">IFERROR(INDEX('Loan Tape'!$T$4:$T$303,MATCH(2,'Loan Tape'!$AL$4:$AL$303,0)),"")</f>
        <v>0.1077</v>
      </c>
      <c r="I18" s="69" t="n">
        <f aca="false">IFERROR(INDEX('Loan Tape'!$V$4:$V$303,MATCH(2,'Loan Tape'!$AL$4:$AL$303,0)),"")</f>
        <v>0.888</v>
      </c>
    </row>
    <row r="19" customFormat="false" ht="14.25" hidden="false" customHeight="false" outlineLevel="0" collapsed="false">
      <c r="B19" s="7" t="str">
        <f aca="false">IFERROR(INDEX('Loan Tape'!$B$4:$B$303,MATCH(3,'Loan Tape'!$AL$4:$AL$303,0)),"")</f>
        <v>Pinehurst Apartments</v>
      </c>
      <c r="C19" s="17" t="str">
        <f aca="false">IFERROR(INDEX('Loan Tape'!$C$4:$C$303,MATCH(3,'Loan Tape'!$AL$4:$AL$303,0)),"")</f>
        <v>VA</v>
      </c>
      <c r="D19" s="17" t="str">
        <f aca="false">IFERROR(INDEX('Loan Tape'!$E$4:$E$303,MATCH(3,'Loan Tape'!$AL$4:$AL$303,0)),"")</f>
        <v>Deal 1</v>
      </c>
      <c r="E19" s="84" t="n">
        <f aca="false">IFERROR(INDEX('Loan Tape'!$R$4:$R$303,MATCH(3,'Loan Tape'!$AL$4:$AL$303,0)),"")</f>
        <v>63125000</v>
      </c>
      <c r="F19" s="69" t="n">
        <f aca="false">IFERROR(E19/C5,"")</f>
        <v>0.169469001602741</v>
      </c>
      <c r="G19" s="85" t="n">
        <f aca="false">IFERROR(INDEX('Loan Tape'!$U$4:$U$303,MATCH(3,'Loan Tape'!$AL$4:$AL$303,0)),"")</f>
        <v>1.5</v>
      </c>
      <c r="H19" s="69" t="n">
        <f aca="false">IFERROR(INDEX('Loan Tape'!$T$4:$T$303,MATCH(3,'Loan Tape'!$AL$4:$AL$303,0)),"")</f>
        <v>0.0745</v>
      </c>
      <c r="I19" s="69" t="n">
        <f aca="false">IFERROR(INDEX('Loan Tape'!$V$4:$V$303,MATCH(3,'Loan Tape'!$AL$4:$AL$303,0)),"")</f>
        <v>0.583</v>
      </c>
    </row>
    <row r="20" customFormat="false" ht="14.25" hidden="false" customHeight="false" outlineLevel="0" collapsed="false">
      <c r="B20" s="7" t="str">
        <f aca="false">IFERROR(INDEX('Loan Tape'!$B$4:$B$303,MATCH(4,'Loan Tape'!$AL$4:$AL$303,0)),"")</f>
        <v>Keystone Distribution Center</v>
      </c>
      <c r="C20" s="17" t="str">
        <f aca="false">IFERROR(INDEX('Loan Tape'!$C$4:$C$303,MATCH(4,'Loan Tape'!$AL$4:$AL$303,0)),"")</f>
        <v>CA</v>
      </c>
      <c r="D20" s="17" t="str">
        <f aca="false">IFERROR(INDEX('Loan Tape'!$E$4:$E$303,MATCH(4,'Loan Tape'!$AL$4:$AL$303,0)),"")</f>
        <v>Deal 1</v>
      </c>
      <c r="E20" s="84" t="n">
        <f aca="false">IFERROR(INDEX('Loan Tape'!$R$4:$R$303,MATCH(4,'Loan Tape'!$AL$4:$AL$303,0)),"")</f>
        <v>57608000</v>
      </c>
      <c r="F20" s="69" t="n">
        <f aca="false">IFERROR(E20/C5,"")</f>
        <v>0.154657746444842</v>
      </c>
      <c r="G20" s="85" t="n">
        <f aca="false">IFERROR(INDEX('Loan Tape'!$U$4:$U$303,MATCH(4,'Loan Tape'!$AL$4:$AL$303,0)),"")</f>
        <v>1.36</v>
      </c>
      <c r="H20" s="69" t="n">
        <f aca="false">IFERROR(INDEX('Loan Tape'!$T$4:$T$303,MATCH(4,'Loan Tape'!$AL$4:$AL$303,0)),"")</f>
        <v>0.0853</v>
      </c>
      <c r="I20" s="69" t="n">
        <f aca="false">IFERROR(INDEX('Loan Tape'!$V$4:$V$303,MATCH(4,'Loan Tape'!$AL$4:$AL$303,0)),"")</f>
        <v>0.572</v>
      </c>
    </row>
    <row r="21" customFormat="false" ht="14.25" hidden="false" customHeight="false" outlineLevel="0" collapsed="false">
      <c r="B21" s="7" t="str">
        <f aca="false">IFERROR(INDEX('Loan Tape'!$B$4:$B$303,MATCH(5,'Loan Tape'!$AL$4:$AL$303,0)),"")</f>
        <v>Brookstone Landing</v>
      </c>
      <c r="C21" s="17" t="str">
        <f aca="false">IFERROR(INDEX('Loan Tape'!$C$4:$C$303,MATCH(5,'Loan Tape'!$AL$4:$AL$303,0)),"")</f>
        <v>NC</v>
      </c>
      <c r="D21" s="17" t="str">
        <f aca="false">IFERROR(INDEX('Loan Tape'!$E$4:$E$303,MATCH(5,'Loan Tape'!$AL$4:$AL$303,0)),"")</f>
        <v>Deal 1</v>
      </c>
      <c r="E21" s="84" t="n">
        <f aca="false">IFERROR(INDEX('Loan Tape'!$R$4:$R$303,MATCH(5,'Loan Tape'!$AL$4:$AL$303,0)),"")</f>
        <v>45056000</v>
      </c>
      <c r="F21" s="69" t="n">
        <f aca="false">IFERROR(E21/C5,"")</f>
        <v>0.120959926118227</v>
      </c>
      <c r="G21" s="85" t="n">
        <f aca="false">IFERROR(INDEX('Loan Tape'!$U$4:$U$303,MATCH(5,'Loan Tape'!$AL$4:$AL$303,0)),"")</f>
        <v>1.98</v>
      </c>
      <c r="H21" s="69" t="n">
        <f aca="false">IFERROR(INDEX('Loan Tape'!$T$4:$T$303,MATCH(5,'Loan Tape'!$AL$4:$AL$303,0)),"")</f>
        <v>0.0685</v>
      </c>
      <c r="I21" s="69" t="n">
        <f aca="false">IFERROR(INDEX('Loan Tape'!$V$4:$V$303,MATCH(5,'Loan Tape'!$AL$4:$AL$303,0)),"")</f>
        <v>0.685</v>
      </c>
    </row>
    <row r="22" customFormat="false" ht="14.25" hidden="false" customHeight="false" outlineLevel="0" collapsed="false">
      <c r="B22" s="7" t="str">
        <f aca="false">IFERROR(INDEX('Loan Tape'!$B$4:$B$303,MATCH(6,'Loan Tape'!$AL$4:$AL$303,0)),"")</f>
        <v/>
      </c>
      <c r="C22" s="17" t="str">
        <f aca="false">IFERROR(INDEX('Loan Tape'!$C$4:$C$303,MATCH(6,'Loan Tape'!$AL$4:$AL$303,0)),"")</f>
        <v/>
      </c>
      <c r="D22" s="17" t="str">
        <f aca="false">IFERROR(INDEX('Loan Tape'!$E$4:$E$303,MATCH(6,'Loan Tape'!$AL$4:$AL$303,0)),"")</f>
        <v/>
      </c>
      <c r="E22" s="84" t="str">
        <f aca="false">IFERROR(INDEX('Loan Tape'!$R$4:$R$303,MATCH(6,'Loan Tape'!$AL$4:$AL$303,0)),"")</f>
        <v/>
      </c>
      <c r="F22" s="69" t="str">
        <f aca="false">IFERROR(E22/C5,"")</f>
        <v/>
      </c>
      <c r="G22" s="85" t="str">
        <f aca="false">IFERROR(INDEX('Loan Tape'!$U$4:$U$303,MATCH(6,'Loan Tape'!$AL$4:$AL$303,0)),"")</f>
        <v/>
      </c>
      <c r="H22" s="69" t="str">
        <f aca="false">IFERROR(INDEX('Loan Tape'!$T$4:$T$303,MATCH(6,'Loan Tape'!$AL$4:$AL$303,0)),"")</f>
        <v/>
      </c>
      <c r="I22" s="69" t="str">
        <f aca="false">IFERROR(INDEX('Loan Tape'!$V$4:$V$303,MATCH(6,'Loan Tape'!$AL$4:$AL$303,0)),"")</f>
        <v/>
      </c>
    </row>
    <row r="23" customFormat="false" ht="14.25" hidden="false" customHeight="false" outlineLevel="0" collapsed="false">
      <c r="B23" s="7" t="str">
        <f aca="false">IFERROR(INDEX('Loan Tape'!$B$4:$B$303,MATCH(7,'Loan Tape'!$AL$4:$AL$303,0)),"")</f>
        <v/>
      </c>
      <c r="C23" s="17" t="str">
        <f aca="false">IFERROR(INDEX('Loan Tape'!$C$4:$C$303,MATCH(7,'Loan Tape'!$AL$4:$AL$303,0)),"")</f>
        <v/>
      </c>
      <c r="D23" s="17" t="str">
        <f aca="false">IFERROR(INDEX('Loan Tape'!$E$4:$E$303,MATCH(7,'Loan Tape'!$AL$4:$AL$303,0)),"")</f>
        <v/>
      </c>
      <c r="E23" s="84" t="str">
        <f aca="false">IFERROR(INDEX('Loan Tape'!$R$4:$R$303,MATCH(7,'Loan Tape'!$AL$4:$AL$303,0)),"")</f>
        <v/>
      </c>
      <c r="F23" s="69" t="str">
        <f aca="false">IFERROR(E23/C5,"")</f>
        <v/>
      </c>
      <c r="G23" s="85" t="str">
        <f aca="false">IFERROR(INDEX('Loan Tape'!$U$4:$U$303,MATCH(7,'Loan Tape'!$AL$4:$AL$303,0)),"")</f>
        <v/>
      </c>
      <c r="H23" s="69" t="str">
        <f aca="false">IFERROR(INDEX('Loan Tape'!$T$4:$T$303,MATCH(7,'Loan Tape'!$AL$4:$AL$303,0)),"")</f>
        <v/>
      </c>
      <c r="I23" s="69" t="str">
        <f aca="false">IFERROR(INDEX('Loan Tape'!$V$4:$V$303,MATCH(7,'Loan Tape'!$AL$4:$AL$303,0)),"")</f>
        <v/>
      </c>
    </row>
    <row r="24" customFormat="false" ht="14.25" hidden="false" customHeight="false" outlineLevel="0" collapsed="false">
      <c r="B24" s="7" t="str">
        <f aca="false">IFERROR(INDEX('Loan Tape'!$B$4:$B$303,MATCH(8,'Loan Tape'!$AL$4:$AL$303,0)),"")</f>
        <v/>
      </c>
      <c r="C24" s="17" t="str">
        <f aca="false">IFERROR(INDEX('Loan Tape'!$C$4:$C$303,MATCH(8,'Loan Tape'!$AL$4:$AL$303,0)),"")</f>
        <v/>
      </c>
      <c r="D24" s="17" t="str">
        <f aca="false">IFERROR(INDEX('Loan Tape'!$E$4:$E$303,MATCH(8,'Loan Tape'!$AL$4:$AL$303,0)),"")</f>
        <v/>
      </c>
      <c r="E24" s="84" t="str">
        <f aca="false">IFERROR(INDEX('Loan Tape'!$R$4:$R$303,MATCH(8,'Loan Tape'!$AL$4:$AL$303,0)),"")</f>
        <v/>
      </c>
      <c r="F24" s="69" t="str">
        <f aca="false">IFERROR(E24/C5,"")</f>
        <v/>
      </c>
      <c r="G24" s="85" t="str">
        <f aca="false">IFERROR(INDEX('Loan Tape'!$U$4:$U$303,MATCH(8,'Loan Tape'!$AL$4:$AL$303,0)),"")</f>
        <v/>
      </c>
      <c r="H24" s="69" t="str">
        <f aca="false">IFERROR(INDEX('Loan Tape'!$T$4:$T$303,MATCH(8,'Loan Tape'!$AL$4:$AL$303,0)),"")</f>
        <v/>
      </c>
      <c r="I24" s="69" t="str">
        <f aca="false">IFERROR(INDEX('Loan Tape'!$V$4:$V$303,MATCH(8,'Loan Tape'!$AL$4:$AL$303,0)),"")</f>
        <v/>
      </c>
    </row>
    <row r="25" customFormat="false" ht="14.25" hidden="false" customHeight="false" outlineLevel="0" collapsed="false">
      <c r="B25" s="7" t="str">
        <f aca="false">IFERROR(INDEX('Loan Tape'!$B$4:$B$303,MATCH(9,'Loan Tape'!$AL$4:$AL$303,0)),"")</f>
        <v/>
      </c>
      <c r="C25" s="17" t="str">
        <f aca="false">IFERROR(INDEX('Loan Tape'!$C$4:$C$303,MATCH(9,'Loan Tape'!$AL$4:$AL$303,0)),"")</f>
        <v/>
      </c>
      <c r="D25" s="17" t="str">
        <f aca="false">IFERROR(INDEX('Loan Tape'!$E$4:$E$303,MATCH(9,'Loan Tape'!$AL$4:$AL$303,0)),"")</f>
        <v/>
      </c>
      <c r="E25" s="84" t="str">
        <f aca="false">IFERROR(INDEX('Loan Tape'!$R$4:$R$303,MATCH(9,'Loan Tape'!$AL$4:$AL$303,0)),"")</f>
        <v/>
      </c>
      <c r="F25" s="69" t="str">
        <f aca="false">IFERROR(E25/C5,"")</f>
        <v/>
      </c>
      <c r="G25" s="85" t="str">
        <f aca="false">IFERROR(INDEX('Loan Tape'!$U$4:$U$303,MATCH(9,'Loan Tape'!$AL$4:$AL$303,0)),"")</f>
        <v/>
      </c>
      <c r="H25" s="69" t="str">
        <f aca="false">IFERROR(INDEX('Loan Tape'!$T$4:$T$303,MATCH(9,'Loan Tape'!$AL$4:$AL$303,0)),"")</f>
        <v/>
      </c>
      <c r="I25" s="69" t="str">
        <f aca="false">IFERROR(INDEX('Loan Tape'!$V$4:$V$303,MATCH(9,'Loan Tape'!$AL$4:$AL$303,0)),"")</f>
        <v/>
      </c>
    </row>
    <row r="26" customFormat="false" ht="14.25" hidden="false" customHeight="false" outlineLevel="0" collapsed="false">
      <c r="B26" s="7" t="str">
        <f aca="false">IFERROR(INDEX('Loan Tape'!$B$4:$B$303,MATCH(10,'Loan Tape'!$AL$4:$AL$303,0)),"")</f>
        <v/>
      </c>
      <c r="C26" s="17" t="str">
        <f aca="false">IFERROR(INDEX('Loan Tape'!$C$4:$C$303,MATCH(10,'Loan Tape'!$AL$4:$AL$303,0)),"")</f>
        <v/>
      </c>
      <c r="D26" s="17" t="str">
        <f aca="false">IFERROR(INDEX('Loan Tape'!$E$4:$E$303,MATCH(10,'Loan Tape'!$AL$4:$AL$303,0)),"")</f>
        <v/>
      </c>
      <c r="E26" s="84" t="str">
        <f aca="false">IFERROR(INDEX('Loan Tape'!$R$4:$R$303,MATCH(10,'Loan Tape'!$AL$4:$AL$303,0)),"")</f>
        <v/>
      </c>
      <c r="F26" s="69" t="str">
        <f aca="false">IFERROR(E26/C5,"")</f>
        <v/>
      </c>
      <c r="G26" s="85" t="str">
        <f aca="false">IFERROR(INDEX('Loan Tape'!$U$4:$U$303,MATCH(10,'Loan Tape'!$AL$4:$AL$303,0)),"")</f>
        <v/>
      </c>
      <c r="H26" s="69" t="str">
        <f aca="false">IFERROR(INDEX('Loan Tape'!$T$4:$T$303,MATCH(10,'Loan Tape'!$AL$4:$AL$303,0)),"")</f>
        <v/>
      </c>
      <c r="I26" s="69" t="str">
        <f aca="false">IFERROR(INDEX('Loan Tape'!$V$4:$V$303,MATCH(10,'Loan Tape'!$AL$4:$AL$303,0)),"")</f>
        <v/>
      </c>
    </row>
    <row r="27" customFormat="false" ht="14.25" hidden="false" customHeight="false" outlineLevel="0" collapsed="false">
      <c r="B27" s="86" t="s">
        <v>390</v>
      </c>
      <c r="C27" s="87"/>
      <c r="D27" s="87"/>
      <c r="E27" s="88" t="n">
        <f aca="false">SUM(E17:E26)</f>
        <v>372487000</v>
      </c>
      <c r="F27" s="89" t="n">
        <f aca="false">IFERROR(E27/C5,0)</f>
        <v>1</v>
      </c>
      <c r="G27" s="90" t="n">
        <f aca="false">IFERROR(SUMPRODUCT(E17:E26,G17:G26)/E27,"-")</f>
        <v>1.46286165691689</v>
      </c>
      <c r="H27" s="89" t="n">
        <f aca="false">IFERROR(SUMPRODUCT(E17:E26,H17:H26)/E27,"-")</f>
        <v>0.0853727877751438</v>
      </c>
      <c r="I27" s="89" t="n">
        <f aca="false">IFERROR(SUMPRODUCT(E17:E26,I17:I26)/E27,"-")</f>
        <v>0.69021042345102</v>
      </c>
    </row>
    <row r="29" customFormat="false" ht="19.5" hidden="false" customHeight="true" outlineLevel="0" collapsed="false">
      <c r="B29" s="5" t="s">
        <v>391</v>
      </c>
      <c r="C29" s="5"/>
      <c r="D29" s="5"/>
      <c r="E29" s="5"/>
      <c r="F29" s="5"/>
      <c r="G29" s="5"/>
      <c r="H29" s="5"/>
      <c r="I29" s="5"/>
      <c r="J29" s="5"/>
      <c r="K29" s="5"/>
      <c r="L29" s="5"/>
      <c r="M29" s="5"/>
      <c r="N29" s="5"/>
      <c r="O29" s="5"/>
      <c r="P29" s="5"/>
    </row>
    <row r="30" customFormat="false" ht="42" hidden="false" customHeight="true" outlineLevel="0" collapsed="false">
      <c r="B30" s="82" t="s">
        <v>392</v>
      </c>
      <c r="C30" s="83" t="s">
        <v>368</v>
      </c>
      <c r="D30" s="83" t="s">
        <v>153</v>
      </c>
      <c r="E30" s="83" t="s">
        <v>393</v>
      </c>
      <c r="F30" s="83" t="s">
        <v>394</v>
      </c>
      <c r="G30" s="83" t="s">
        <v>395</v>
      </c>
      <c r="H30" s="83" t="s">
        <v>396</v>
      </c>
      <c r="I30" s="83" t="s">
        <v>397</v>
      </c>
      <c r="J30" s="83" t="s">
        <v>398</v>
      </c>
      <c r="K30" s="83" t="s">
        <v>399</v>
      </c>
      <c r="L30" s="83" t="s">
        <v>400</v>
      </c>
      <c r="M30" s="83" t="s">
        <v>401</v>
      </c>
      <c r="N30" s="83" t="s">
        <v>402</v>
      </c>
      <c r="O30" s="83" t="s">
        <v>403</v>
      </c>
      <c r="P30" s="83" t="s">
        <v>365</v>
      </c>
    </row>
    <row r="31" customFormat="false" ht="14.25" hidden="false" customHeight="false" outlineLevel="0" collapsed="false">
      <c r="B31" s="7" t="str">
        <f aca="false">R31</f>
        <v>Floating</v>
      </c>
      <c r="C31" s="68" t="n">
        <f aca="false">COUNTIFS('Loan Tape'!$K$4:$K$303,R31,'Loan Tape'!$E$4:$E$303,'Deal Strat'!$C$12)</f>
        <v>3</v>
      </c>
      <c r="D31" s="68" t="n">
        <f aca="false">SUMPRODUCT((('Loan Tape'!$R$4:$R$303&lt;&gt;"")*('Loan Tape'!$K$4:$K$303=R31)*('Loan Tape'!$E$4:$E$303='Deal Strat'!$C$12))*'Loan Tape'!$F$4:$F$303)</f>
        <v>184</v>
      </c>
      <c r="E31" s="84" t="n">
        <f aca="false">SUMIFS('Loan Tape'!$R$4:$R$303,'Loan Tape'!$K$4:$K$303,R31,'Loan Tape'!$E$4:$E$303,'Deal Strat'!$C$12)</f>
        <v>241046000</v>
      </c>
      <c r="F31" s="69" t="n">
        <f aca="false">IFERROR(E31/C5,0)</f>
        <v>0.64712593996569</v>
      </c>
      <c r="G31" s="85" t="n">
        <f aca="false">IFERROR(SUMPRODUCT((('Loan Tape'!$R$4:$R$303&lt;&gt;"")*('Loan Tape'!$K$4:$K$303=R31)*('Loan Tape'!$E$4:$E$303='Deal Strat'!$C$12))*'Loan Tape'!$U$4:$U$303*'Loan Tape'!$R$4:$R$303)/E31,"-")</f>
        <v>1.40664570248002</v>
      </c>
      <c r="H31" s="68" t="n">
        <f aca="false">IFERROR(SUMPRODUCT((('Loan Tape'!$R$4:$R$303&lt;&gt;"")*('Loan Tape'!$K$4:$K$303=R31)*('Loan Tape'!$E$4:$E$303='Deal Strat'!$C$12))*'Loan Tape'!$AH$4:$AH$303*'Loan Tape'!$R$4:$R$303)/E31,"-")</f>
        <v>101.024630153581</v>
      </c>
      <c r="I31" s="68" t="n">
        <f aca="false">IFERROR(SUMPRODUCT((('Loan Tape'!$R$4:$R$303&lt;&gt;"")*('Loan Tape'!$K$4:$K$303=R31)*('Loan Tape'!$E$4:$E$303='Deal Strat'!$C$12))*(('Loan Tape'!$H$4:$H$303-$C$4)/30.4375)*'Loan Tape'!$R$4:$R$303)/E31,"-")</f>
        <v>19.0061057811675</v>
      </c>
      <c r="J31" s="69" t="n">
        <f aca="false">IFERROR(SUMPRODUCT((('Loan Tape'!$R$4:$R$303&lt;&gt;"")*('Loan Tape'!$K$4:$K$303=R31)*('Loan Tape'!$E$4:$E$303='Deal Strat'!$C$12))*('Loan Tape'!$K$4:$K$303="Floating")*'Loan Tape'!$R$4:$R$303)/E31,"-")</f>
        <v>1</v>
      </c>
      <c r="K31" s="69" t="n">
        <f aca="false">IFERROR(SUMPRODUCT((('Loan Tape'!$R$4:$R$303&lt;&gt;"")*('Loan Tape'!$K$4:$K$303=R31)*('Loan Tape'!$E$4:$E$303='Deal Strat'!$C$12))*'Loan Tape'!$T$4:$T$303*'Loan Tape'!$R$4:$R$303)/E31,"-")</f>
        <v>0.0805250993586286</v>
      </c>
      <c r="L31" s="69" t="n">
        <f aca="false">IFERROR(SUMPRODUCT((('Loan Tape'!$R$4:$R$303&lt;&gt;"")*('Loan Tape'!$K$4:$K$303=R31)*('Loan Tape'!$E$4:$E$303='Deal Strat'!$C$12))*'Loan Tape'!$V$4:$V$303*'Loan Tape'!$R$4:$R$303)/E31,"-")</f>
        <v>0.620301394754528</v>
      </c>
      <c r="M31" s="69" t="n">
        <f aca="false">IFERROR(SUMPRODUCT((('Loan Tape'!$R$4:$R$303&lt;&gt;"")*('Loan Tape'!$K$4:$K$303=R31)*('Loan Tape'!$E$4:$E$303='Deal Strat'!$C$12))*'Loan Tape'!$W$4:$W$303*'Loan Tape'!$R$4:$R$303)/E31,"-")</f>
        <v>0.648804008363549</v>
      </c>
      <c r="N31" s="69" t="n">
        <f aca="false">IFERROR(SUMPRODUCT((('Loan Tape'!$R$4:$R$303&lt;&gt;"")*('Loan Tape'!$K$4:$K$303=R31)*('Loan Tape'!$E$4:$E$303='Deal Strat'!$C$12))*'Loan Tape'!$AI$4:$AI$303*'Loan Tape'!$R$4:$R$303)/E31,"-")</f>
        <v>0.0739581303983472</v>
      </c>
      <c r="O31" s="69" t="n">
        <f aca="false">IFERROR(SUMPRODUCT((('Loan Tape'!$R$4:$R$303&lt;&gt;"")*('Loan Tape'!$K$4:$K$303=R31)*('Loan Tape'!$E$4:$E$303='Deal Strat'!$C$12))*'Loan Tape'!$AK$4:$AK$303*'Loan Tape'!$R$4:$R$303)/E31,"-")</f>
        <v>0.0889581303983472</v>
      </c>
      <c r="P31" s="69" t="n">
        <f aca="false">IFERROR(SUMPRODUCT((('Loan Tape'!$R$4:$R$303&lt;&gt;"")*('Loan Tape'!$K$4:$K$303=R31)*('Loan Tape'!$E$4:$E$303='Deal Strat'!$C$12))*'Loan Tape'!$S$4:$S$303*'Loan Tape'!$R$4:$R$303)/E31,"-")</f>
        <v>0.82992473220879</v>
      </c>
      <c r="R31" s="91" t="s">
        <v>209</v>
      </c>
    </row>
    <row r="32" customFormat="false" ht="14.25" hidden="false" customHeight="false" outlineLevel="0" collapsed="false">
      <c r="B32" s="7" t="str">
        <f aca="false">R32</f>
        <v>Fixed</v>
      </c>
      <c r="C32" s="68" t="n">
        <f aca="false">COUNTIFS('Loan Tape'!$K$4:$K$303,R32,'Loan Tape'!$E$4:$E$303,'Deal Strat'!$C$12)</f>
        <v>2</v>
      </c>
      <c r="D32" s="68" t="n">
        <f aca="false">SUMPRODUCT((('Loan Tape'!$R$4:$R$303&lt;&gt;"")*('Loan Tape'!$K$4:$K$303=R32)*('Loan Tape'!$E$4:$E$303='Deal Strat'!$C$12))*'Loan Tape'!$F$4:$F$303)</f>
        <v>409</v>
      </c>
      <c r="E32" s="84" t="n">
        <f aca="false">SUMIFS('Loan Tape'!$R$4:$R$303,'Loan Tape'!$K$4:$K$303,R32,'Loan Tape'!$E$4:$E$303,'Deal Strat'!$C$12)</f>
        <v>131441000</v>
      </c>
      <c r="F32" s="69" t="n">
        <f aca="false">IFERROR(E32/C5,0)</f>
        <v>0.35287406003431</v>
      </c>
      <c r="G32" s="85" t="n">
        <f aca="false">IFERROR(SUMPRODUCT((('Loan Tape'!$R$4:$R$303&lt;&gt;"")*('Loan Tape'!$K$4:$K$303=R32)*('Loan Tape'!$E$4:$E$303='Deal Strat'!$C$12))*'Loan Tape'!$U$4:$U$303*'Loan Tape'!$R$4:$R$303)/E32,"-")</f>
        <v>1.56595453473422</v>
      </c>
      <c r="H32" s="68" t="n">
        <f aca="false">IFERROR(SUMPRODUCT((('Loan Tape'!$R$4:$R$303&lt;&gt;"")*('Loan Tape'!$K$4:$K$303=R32)*('Loan Tape'!$E$4:$E$303='Deal Strat'!$C$12))*'Loan Tape'!$AH$4:$AH$303*'Loan Tape'!$R$4:$R$303)/E32,"-")</f>
        <v>99.2577201938512</v>
      </c>
      <c r="I32" s="68" t="n">
        <f aca="false">IFERROR(SUMPRODUCT((('Loan Tape'!$R$4:$R$303&lt;&gt;"")*('Loan Tape'!$K$4:$K$303=R32)*('Loan Tape'!$E$4:$E$303='Deal Strat'!$C$12))*(('Loan Tape'!$H$4:$H$303-$C$4)/30.4375)*'Loan Tape'!$R$4:$R$303)/E32,"-")</f>
        <v>-23.4558121790326</v>
      </c>
      <c r="J32" s="69" t="n">
        <f aca="false">IFERROR(SUMPRODUCT((('Loan Tape'!$R$4:$R$303&lt;&gt;"")*('Loan Tape'!$K$4:$K$303=R32)*('Loan Tape'!$E$4:$E$303='Deal Strat'!$C$12))*('Loan Tape'!$K$4:$K$303="Floating")*'Loan Tape'!$R$4:$R$303)/E32,"-")</f>
        <v>0</v>
      </c>
      <c r="K32" s="69" t="n">
        <f aca="false">IFERROR(SUMPRODUCT((('Loan Tape'!$R$4:$R$303&lt;&gt;"")*('Loan Tape'!$K$4:$K$303=R32)*('Loan Tape'!$E$4:$E$303='Deal Strat'!$C$12))*'Loan Tape'!$T$4:$T$303*'Loan Tape'!$R$4:$R$303)/E32,"-")</f>
        <v>0.0942628289498711</v>
      </c>
      <c r="L32" s="69" t="n">
        <f aca="false">IFERROR(SUMPRODUCT((('Loan Tape'!$R$4:$R$303&lt;&gt;"")*('Loan Tape'!$K$4:$K$303=R32)*('Loan Tape'!$E$4:$E$303='Deal Strat'!$C$12))*'Loan Tape'!$V$4:$V$303*'Loan Tape'!$R$4:$R$303)/E32,"-")</f>
        <v>0.818414649918975</v>
      </c>
      <c r="M32" s="69" t="n">
        <f aca="false">IFERROR(SUMPRODUCT((('Loan Tape'!$R$4:$R$303&lt;&gt;"")*('Loan Tape'!$K$4:$K$303=R32)*('Loan Tape'!$E$4:$E$303='Deal Strat'!$C$12))*'Loan Tape'!$W$4:$W$303*'Loan Tape'!$R$4:$R$303)/E32,"-")</f>
        <v>0.873015155088595</v>
      </c>
      <c r="N32" s="69" t="n">
        <f aca="false">IFERROR(SUMPRODUCT((('Loan Tape'!$R$4:$R$303&lt;&gt;"")*('Loan Tape'!$K$4:$K$303=R32)*('Loan Tape'!$E$4:$E$303='Deal Strat'!$C$12))*'Loan Tape'!$AI$4:$AI$303*'Loan Tape'!$R$4:$R$303)/E32,"-")</f>
        <v>0.0572734702261851</v>
      </c>
      <c r="O32" s="69" t="n">
        <f aca="false">IFERROR(SUMPRODUCT((('Loan Tape'!$R$4:$R$303&lt;&gt;"")*('Loan Tape'!$K$4:$K$303=R32)*('Loan Tape'!$E$4:$E$303='Deal Strat'!$C$12))*'Loan Tape'!$AK$4:$AK$303*'Loan Tape'!$R$4:$R$303)/E32,"-")</f>
        <v>0.0572734702261851</v>
      </c>
      <c r="P32" s="69" t="n">
        <f aca="false">IFERROR(SUMPRODUCT((('Loan Tape'!$R$4:$R$303&lt;&gt;"")*('Loan Tape'!$K$4:$K$303=R32)*('Loan Tape'!$E$4:$E$303='Deal Strat'!$C$12))*'Loan Tape'!$S$4:$S$303*'Loan Tape'!$R$4:$R$303)/E32,"-")</f>
        <v>0.862621282552628</v>
      </c>
      <c r="R32" s="91" t="s">
        <v>245</v>
      </c>
    </row>
    <row r="33" customFormat="false" ht="14.25" hidden="false" customHeight="false" outlineLevel="0" collapsed="false">
      <c r="B33" s="7" t="s">
        <v>404</v>
      </c>
      <c r="C33" s="68" t="n">
        <f aca="false">C6-SUM(C31:C32)</f>
        <v>0</v>
      </c>
      <c r="D33" s="68" t="n">
        <f aca="false">SUMPRODUCT(('Loan Tape'!$E$4:$E$303='Deal Strat'!$C$12)*'Loan Tape'!$F$4:$F$303)-SUM(D31:D32)</f>
        <v>0</v>
      </c>
      <c r="E33" s="84" t="n">
        <f aca="false">C5-SUM(E31:E32)</f>
        <v>0</v>
      </c>
      <c r="F33" s="69" t="n">
        <f aca="false">IFERROR(E33/C5,0)</f>
        <v>0</v>
      </c>
      <c r="G33" s="85" t="str">
        <f aca="false">IFERROR(SUMPRODUCT((('Loan Tape'!$R$4:$R$303&lt;&gt;"")*(1-(('Loan Tape'!$K$4:$K$303=R31)+('Loan Tape'!$K$4:$K$303=R32)))*('Loan Tape'!$E$4:$E$303='Deal Strat'!$C$12))*'Loan Tape'!$U$4:$U$303*'Loan Tape'!$R$4:$R$303)/E33,"-")</f>
        <v>-</v>
      </c>
      <c r="H33" s="68" t="str">
        <f aca="false">IFERROR(SUMPRODUCT((('Loan Tape'!$R$4:$R$303&lt;&gt;"")*(1-(('Loan Tape'!$K$4:$K$303=R31)+('Loan Tape'!$K$4:$K$303=R32)))*('Loan Tape'!$E$4:$E$303='Deal Strat'!$C$12))*'Loan Tape'!$AH$4:$AH$303*'Loan Tape'!$R$4:$R$303)/E33,"-")</f>
        <v>-</v>
      </c>
      <c r="I33" s="68" t="str">
        <f aca="false">IFERROR(SUMPRODUCT((('Loan Tape'!$R$4:$R$303&lt;&gt;"")*(1-(('Loan Tape'!$K$4:$K$303=R31)+('Loan Tape'!$K$4:$K$303=R32)))*('Loan Tape'!$E$4:$E$303='Deal Strat'!$C$12))*(('Loan Tape'!$H$4:$H$303-$C$4)/30.4375)*'Loan Tape'!$R$4:$R$303)/E33,"-")</f>
        <v>-</v>
      </c>
      <c r="J33" s="69" t="str">
        <f aca="false">IFERROR(SUMPRODUCT((('Loan Tape'!$R$4:$R$303&lt;&gt;"")*(1-(('Loan Tape'!$K$4:$K$303=R31)+('Loan Tape'!$K$4:$K$303=R32)))*('Loan Tape'!$E$4:$E$303='Deal Strat'!$C$12))*('Loan Tape'!$K$4:$K$303="Floating")*'Loan Tape'!$R$4:$R$303)/E33,"-")</f>
        <v>-</v>
      </c>
      <c r="K33" s="69" t="str">
        <f aca="false">IFERROR(SUMPRODUCT((('Loan Tape'!$R$4:$R$303&lt;&gt;"")*(1-(('Loan Tape'!$K$4:$K$303=R31)+('Loan Tape'!$K$4:$K$303=R32)))*('Loan Tape'!$E$4:$E$303='Deal Strat'!$C$12))*'Loan Tape'!$T$4:$T$303*'Loan Tape'!$R$4:$R$303)/E33,"-")</f>
        <v>-</v>
      </c>
      <c r="L33" s="69" t="str">
        <f aca="false">IFERROR(SUMPRODUCT((('Loan Tape'!$R$4:$R$303&lt;&gt;"")*(1-(('Loan Tape'!$K$4:$K$303=R31)+('Loan Tape'!$K$4:$K$303=R32)))*('Loan Tape'!$E$4:$E$303='Deal Strat'!$C$12))*'Loan Tape'!$V$4:$V$303*'Loan Tape'!$R$4:$R$303)/E33,"-")</f>
        <v>-</v>
      </c>
      <c r="M33" s="69" t="str">
        <f aca="false">IFERROR(SUMPRODUCT((('Loan Tape'!$R$4:$R$303&lt;&gt;"")*(1-(('Loan Tape'!$K$4:$K$303=R31)+('Loan Tape'!$K$4:$K$303=R32)))*('Loan Tape'!$E$4:$E$303='Deal Strat'!$C$12))*'Loan Tape'!$W$4:$W$303*'Loan Tape'!$R$4:$R$303)/E33,"-")</f>
        <v>-</v>
      </c>
      <c r="N33" s="69" t="str">
        <f aca="false">IFERROR(SUMPRODUCT((('Loan Tape'!$R$4:$R$303&lt;&gt;"")*(1-(('Loan Tape'!$K$4:$K$303=R31)+('Loan Tape'!$K$4:$K$303=R32)))*('Loan Tape'!$E$4:$E$303='Deal Strat'!$C$12))*'Loan Tape'!$AI$4:$AI$303*'Loan Tape'!$R$4:$R$303)/E33,"-")</f>
        <v>-</v>
      </c>
      <c r="O33" s="69" t="str">
        <f aca="false">IFERROR(SUMPRODUCT((('Loan Tape'!$R$4:$R$303&lt;&gt;"")*(1-(('Loan Tape'!$K$4:$K$303=R31)+('Loan Tape'!$K$4:$K$303=R32)))*('Loan Tape'!$E$4:$E$303='Deal Strat'!$C$12))*'Loan Tape'!$AK$4:$AK$303*'Loan Tape'!$R$4:$R$303)/E33,"-")</f>
        <v>-</v>
      </c>
      <c r="P33" s="69" t="str">
        <f aca="false">IFERROR(SUMPRODUCT((('Loan Tape'!$R$4:$R$303&lt;&gt;"")*(1-(('Loan Tape'!$K$4:$K$303=R31)+('Loan Tape'!$K$4:$K$303=R32)))*('Loan Tape'!$E$4:$E$303='Deal Strat'!$C$12))*'Loan Tape'!$S$4:$S$303*'Loan Tape'!$R$4:$R$303)/E33,"-")</f>
        <v>-</v>
      </c>
    </row>
    <row r="34" customFormat="false" ht="14.25" hidden="false" customHeight="false" outlineLevel="0" collapsed="false">
      <c r="B34" s="86" t="s">
        <v>405</v>
      </c>
      <c r="C34" s="92" t="n">
        <f aca="false">C6</f>
        <v>5</v>
      </c>
      <c r="D34" s="92" t="n">
        <f aca="false">SUMPRODUCT(('Loan Tape'!$E$4:$E$303='Deal Strat'!$C$12)*'Loan Tape'!$F$4:$F$303)</f>
        <v>593</v>
      </c>
      <c r="E34" s="88" t="n">
        <f aca="false">C5</f>
        <v>372487000</v>
      </c>
      <c r="F34" s="89" t="n">
        <f aca="false">1</f>
        <v>1</v>
      </c>
      <c r="G34" s="90" t="n">
        <f aca="false">IFERROR(SUMPRODUCT((('Loan Tape'!$R$4:$R$303&lt;&gt;"")*('Loan Tape'!$E$4:$E$303='Deal Strat'!$C$12))*'Loan Tape'!$U$4:$U$303*'Loan Tape'!$R$4:$R$303)/E34,"-")</f>
        <v>1.46286165691689</v>
      </c>
      <c r="H34" s="92" t="n">
        <f aca="false">IFERROR(SUMPRODUCT((('Loan Tape'!$R$4:$R$303&lt;&gt;"")*('Loan Tape'!$E$4:$E$303='Deal Strat'!$C$12))*'Loan Tape'!$AH$4:$AH$303*'Loan Tape'!$R$4:$R$303)/E34,"-")</f>
        <v>100.401133462376</v>
      </c>
      <c r="I34" s="92" t="n">
        <f aca="false">IFERROR(SUMPRODUCT((('Loan Tape'!$R$4:$R$303&lt;&gt;"")*('Loan Tape'!$E$4:$E$303='Deal Strat'!$C$12))*(('Loan Tape'!$H$4:$H$303-$C$4)/30.4375)*'Loan Tape'!$R$4:$R$303)/E34,"-")</f>
        <v>4.02239639370792</v>
      </c>
      <c r="J34" s="89" t="n">
        <f aca="false">IFERROR(SUMPRODUCT((('Loan Tape'!$R$4:$R$303&lt;&gt;"")*('Loan Tape'!$E$4:$E$303='Deal Strat'!$C$12))*('Loan Tape'!$K$4:$K$303="Floating")*'Loan Tape'!$R$4:$R$303)/E34,"-")</f>
        <v>0.64712593996569</v>
      </c>
      <c r="K34" s="89" t="n">
        <f aca="false">IFERROR(SUMPRODUCT((('Loan Tape'!$R$4:$R$303&lt;&gt;"")*('Loan Tape'!$E$4:$E$303='Deal Strat'!$C$12))*'Loan Tape'!$T$4:$T$303*'Loan Tape'!$R$4:$R$303)/E34,"-")</f>
        <v>0.0853727877751438</v>
      </c>
      <c r="L34" s="89" t="n">
        <f aca="false">IFERROR(SUMPRODUCT((('Loan Tape'!$R$4:$R$303&lt;&gt;"")*('Loan Tape'!$E$4:$E$303='Deal Strat'!$C$12))*'Loan Tape'!$V$4:$V$303*'Loan Tape'!$R$4:$R$303)/E34,"-")</f>
        <v>0.69021042345102</v>
      </c>
      <c r="M34" s="89" t="n">
        <f aca="false">IFERROR(SUMPRODUCT((('Loan Tape'!$R$4:$R$303&lt;&gt;"")*('Loan Tape'!$E$4:$E$303='Deal Strat'!$C$12))*'Loan Tape'!$W$4:$W$303*'Loan Tape'!$R$4:$R$303)/E34,"-")</f>
        <v>0.727922306013364</v>
      </c>
      <c r="N34" s="89" t="n">
        <f aca="false">IFERROR(SUMPRODUCT((('Loan Tape'!$R$4:$R$303&lt;&gt;"")*('Loan Tape'!$E$4:$E$303='Deal Strat'!$C$12))*'Loan Tape'!$AI$4:$AI$303*'Loan Tape'!$R$4:$R$303)/E34,"-")</f>
        <v>0.0680705466231036</v>
      </c>
      <c r="O34" s="89" t="n">
        <f aca="false">IFERROR(SUMPRODUCT((('Loan Tape'!$R$4:$R$303&lt;&gt;"")*('Loan Tape'!$E$4:$E$303='Deal Strat'!$C$12))*'Loan Tape'!$AK$4:$AK$303*'Loan Tape'!$R$4:$R$303)/E34,"-")</f>
        <v>0.077777435722589</v>
      </c>
      <c r="P34" s="89" t="n">
        <f aca="false">IFERROR(SUMPRODUCT((('Loan Tape'!$R$4:$R$303&lt;&gt;"")*('Loan Tape'!$E$4:$E$303='Deal Strat'!$C$12))*'Loan Tape'!$S$4:$S$303*'Loan Tape'!$R$4:$R$303)/E34,"-")</f>
        <v>0.841462496677736</v>
      </c>
    </row>
    <row r="36" customFormat="false" ht="19.5" hidden="false" customHeight="true" outlineLevel="0" collapsed="false">
      <c r="B36" s="5" t="s">
        <v>406</v>
      </c>
      <c r="C36" s="5"/>
      <c r="D36" s="5"/>
      <c r="E36" s="5"/>
      <c r="F36" s="5"/>
      <c r="G36" s="5"/>
      <c r="H36" s="5"/>
      <c r="I36" s="5"/>
      <c r="J36" s="5"/>
      <c r="K36" s="5"/>
      <c r="L36" s="5"/>
      <c r="M36" s="5"/>
      <c r="N36" s="5"/>
      <c r="O36" s="5"/>
      <c r="P36" s="5"/>
    </row>
    <row r="37" customFormat="false" ht="42" hidden="false" customHeight="true" outlineLevel="0" collapsed="false">
      <c r="B37" s="82" t="s">
        <v>392</v>
      </c>
      <c r="C37" s="83" t="s">
        <v>368</v>
      </c>
      <c r="D37" s="83" t="s">
        <v>153</v>
      </c>
      <c r="E37" s="83" t="s">
        <v>393</v>
      </c>
      <c r="F37" s="83" t="s">
        <v>394</v>
      </c>
      <c r="G37" s="83" t="s">
        <v>395</v>
      </c>
      <c r="H37" s="83" t="s">
        <v>396</v>
      </c>
      <c r="I37" s="83" t="s">
        <v>397</v>
      </c>
      <c r="J37" s="83" t="s">
        <v>398</v>
      </c>
      <c r="K37" s="83" t="s">
        <v>399</v>
      </c>
      <c r="L37" s="83" t="s">
        <v>400</v>
      </c>
      <c r="M37" s="83" t="s">
        <v>401</v>
      </c>
      <c r="N37" s="83" t="s">
        <v>402</v>
      </c>
      <c r="O37" s="83" t="s">
        <v>403</v>
      </c>
      <c r="P37" s="83" t="s">
        <v>365</v>
      </c>
    </row>
    <row r="38" customFormat="false" ht="14.25" hidden="false" customHeight="false" outlineLevel="0" collapsed="false">
      <c r="B38" s="7" t="str">
        <f aca="false">R38</f>
        <v>First Lien</v>
      </c>
      <c r="C38" s="68" t="n">
        <f aca="false">COUNTIFS('Loan Tape'!$AC$4:$AC$303,R38,'Loan Tape'!$E$4:$E$303,'Deal Strat'!$C$12)</f>
        <v>5</v>
      </c>
      <c r="D38" s="68" t="n">
        <f aca="false">SUMPRODUCT((('Loan Tape'!$R$4:$R$303&lt;&gt;"")*('Loan Tape'!$AC$4:$AC$303=R38)*('Loan Tape'!$E$4:$E$303='Deal Strat'!$C$12))*'Loan Tape'!$F$4:$F$303)</f>
        <v>593</v>
      </c>
      <c r="E38" s="84" t="n">
        <f aca="false">SUMIFS('Loan Tape'!$R$4:$R$303,'Loan Tape'!$AC$4:$AC$303,R38,'Loan Tape'!$E$4:$E$303,'Deal Strat'!$C$12)</f>
        <v>372487000</v>
      </c>
      <c r="F38" s="69" t="n">
        <f aca="false">IFERROR(E38/C5,0)</f>
        <v>1</v>
      </c>
      <c r="G38" s="85" t="n">
        <f aca="false">IFERROR(SUMPRODUCT((('Loan Tape'!$R$4:$R$303&lt;&gt;"")*('Loan Tape'!$AC$4:$AC$303=R38)*('Loan Tape'!$E$4:$E$303='Deal Strat'!$C$12))*'Loan Tape'!$U$4:$U$303*'Loan Tape'!$R$4:$R$303)/E38,"-")</f>
        <v>1.46286165691689</v>
      </c>
      <c r="H38" s="68" t="n">
        <f aca="false">IFERROR(SUMPRODUCT((('Loan Tape'!$R$4:$R$303&lt;&gt;"")*('Loan Tape'!$AC$4:$AC$303=R38)*('Loan Tape'!$E$4:$E$303='Deal Strat'!$C$12))*'Loan Tape'!$AH$4:$AH$303*'Loan Tape'!$R$4:$R$303)/E38,"-")</f>
        <v>100.401133462376</v>
      </c>
      <c r="I38" s="68" t="n">
        <f aca="false">IFERROR(SUMPRODUCT((('Loan Tape'!$R$4:$R$303&lt;&gt;"")*('Loan Tape'!$AC$4:$AC$303=R38)*('Loan Tape'!$E$4:$E$303='Deal Strat'!$C$12))*(('Loan Tape'!$H$4:$H$303-$C$4)/30.4375)*'Loan Tape'!$R$4:$R$303)/E38,"-")</f>
        <v>4.02239639370792</v>
      </c>
      <c r="J38" s="69" t="n">
        <f aca="false">IFERROR(SUMPRODUCT((('Loan Tape'!$R$4:$R$303&lt;&gt;"")*('Loan Tape'!$AC$4:$AC$303=R38)*('Loan Tape'!$E$4:$E$303='Deal Strat'!$C$12))*('Loan Tape'!$K$4:$K$303="Floating")*'Loan Tape'!$R$4:$R$303)/E38,"-")</f>
        <v>0.64712593996569</v>
      </c>
      <c r="K38" s="69" t="n">
        <f aca="false">IFERROR(SUMPRODUCT((('Loan Tape'!$R$4:$R$303&lt;&gt;"")*('Loan Tape'!$AC$4:$AC$303=R38)*('Loan Tape'!$E$4:$E$303='Deal Strat'!$C$12))*'Loan Tape'!$T$4:$T$303*'Loan Tape'!$R$4:$R$303)/E38,"-")</f>
        <v>0.0853727877751438</v>
      </c>
      <c r="L38" s="69" t="n">
        <f aca="false">IFERROR(SUMPRODUCT((('Loan Tape'!$R$4:$R$303&lt;&gt;"")*('Loan Tape'!$AC$4:$AC$303=R38)*('Loan Tape'!$E$4:$E$303='Deal Strat'!$C$12))*'Loan Tape'!$V$4:$V$303*'Loan Tape'!$R$4:$R$303)/E38,"-")</f>
        <v>0.69021042345102</v>
      </c>
      <c r="M38" s="69" t="n">
        <f aca="false">IFERROR(SUMPRODUCT((('Loan Tape'!$R$4:$R$303&lt;&gt;"")*('Loan Tape'!$AC$4:$AC$303=R38)*('Loan Tape'!$E$4:$E$303='Deal Strat'!$C$12))*'Loan Tape'!$W$4:$W$303*'Loan Tape'!$R$4:$R$303)/E38,"-")</f>
        <v>0.727922306013364</v>
      </c>
      <c r="N38" s="69" t="n">
        <f aca="false">IFERROR(SUMPRODUCT((('Loan Tape'!$R$4:$R$303&lt;&gt;"")*('Loan Tape'!$AC$4:$AC$303=R38)*('Loan Tape'!$E$4:$E$303='Deal Strat'!$C$12))*'Loan Tape'!$AI$4:$AI$303*'Loan Tape'!$R$4:$R$303)/E38,"-")</f>
        <v>0.0680705466231036</v>
      </c>
      <c r="O38" s="69" t="n">
        <f aca="false">IFERROR(SUMPRODUCT((('Loan Tape'!$R$4:$R$303&lt;&gt;"")*('Loan Tape'!$AC$4:$AC$303=R38)*('Loan Tape'!$E$4:$E$303='Deal Strat'!$C$12))*'Loan Tape'!$AK$4:$AK$303*'Loan Tape'!$R$4:$R$303)/E38,"-")</f>
        <v>0.077777435722589</v>
      </c>
      <c r="P38" s="69" t="n">
        <f aca="false">IFERROR(SUMPRODUCT((('Loan Tape'!$R$4:$R$303&lt;&gt;"")*('Loan Tape'!$AC$4:$AC$303=R38)*('Loan Tape'!$E$4:$E$303='Deal Strat'!$C$12))*'Loan Tape'!$S$4:$S$303*'Loan Tape'!$R$4:$R$303)/E38,"-")</f>
        <v>0.841462496677736</v>
      </c>
      <c r="R38" s="91" t="s">
        <v>213</v>
      </c>
    </row>
    <row r="39" customFormat="false" ht="14.25" hidden="false" customHeight="false" outlineLevel="0" collapsed="false">
      <c r="B39" s="7" t="str">
        <f aca="false">R39</f>
        <v>Second Lien</v>
      </c>
      <c r="C39" s="68" t="n">
        <f aca="false">COUNTIFS('Loan Tape'!$AC$4:$AC$303,R39,'Loan Tape'!$E$4:$E$303,'Deal Strat'!$C$12)</f>
        <v>0</v>
      </c>
      <c r="D39" s="68" t="n">
        <f aca="false">SUMPRODUCT((('Loan Tape'!$R$4:$R$303&lt;&gt;"")*('Loan Tape'!$AC$4:$AC$303=R39)*('Loan Tape'!$E$4:$E$303='Deal Strat'!$C$12))*'Loan Tape'!$F$4:$F$303)</f>
        <v>0</v>
      </c>
      <c r="E39" s="84" t="n">
        <f aca="false">SUMIFS('Loan Tape'!$R$4:$R$303,'Loan Tape'!$AC$4:$AC$303,R39,'Loan Tape'!$E$4:$E$303,'Deal Strat'!$C$12)</f>
        <v>0</v>
      </c>
      <c r="F39" s="69" t="n">
        <f aca="false">IFERROR(E39/C5,0)</f>
        <v>0</v>
      </c>
      <c r="G39" s="85" t="str">
        <f aca="false">IFERROR(SUMPRODUCT((('Loan Tape'!$R$4:$R$303&lt;&gt;"")*('Loan Tape'!$AC$4:$AC$303=R39)*('Loan Tape'!$E$4:$E$303='Deal Strat'!$C$12))*'Loan Tape'!$U$4:$U$303*'Loan Tape'!$R$4:$R$303)/E39,"-")</f>
        <v>-</v>
      </c>
      <c r="H39" s="68" t="str">
        <f aca="false">IFERROR(SUMPRODUCT((('Loan Tape'!$R$4:$R$303&lt;&gt;"")*('Loan Tape'!$AC$4:$AC$303=R39)*('Loan Tape'!$E$4:$E$303='Deal Strat'!$C$12))*'Loan Tape'!$AH$4:$AH$303*'Loan Tape'!$R$4:$R$303)/E39,"-")</f>
        <v>-</v>
      </c>
      <c r="I39" s="68" t="str">
        <f aca="false">IFERROR(SUMPRODUCT((('Loan Tape'!$R$4:$R$303&lt;&gt;"")*('Loan Tape'!$AC$4:$AC$303=R39)*('Loan Tape'!$E$4:$E$303='Deal Strat'!$C$12))*(('Loan Tape'!$H$4:$H$303-$C$4)/30.4375)*'Loan Tape'!$R$4:$R$303)/E39,"-")</f>
        <v>-</v>
      </c>
      <c r="J39" s="69" t="str">
        <f aca="false">IFERROR(SUMPRODUCT((('Loan Tape'!$R$4:$R$303&lt;&gt;"")*('Loan Tape'!$AC$4:$AC$303=R39)*('Loan Tape'!$E$4:$E$303='Deal Strat'!$C$12))*('Loan Tape'!$K$4:$K$303="Floating")*'Loan Tape'!$R$4:$R$303)/E39,"-")</f>
        <v>-</v>
      </c>
      <c r="K39" s="69" t="str">
        <f aca="false">IFERROR(SUMPRODUCT((('Loan Tape'!$R$4:$R$303&lt;&gt;"")*('Loan Tape'!$AC$4:$AC$303=R39)*('Loan Tape'!$E$4:$E$303='Deal Strat'!$C$12))*'Loan Tape'!$T$4:$T$303*'Loan Tape'!$R$4:$R$303)/E39,"-")</f>
        <v>-</v>
      </c>
      <c r="L39" s="69" t="str">
        <f aca="false">IFERROR(SUMPRODUCT((('Loan Tape'!$R$4:$R$303&lt;&gt;"")*('Loan Tape'!$AC$4:$AC$303=R39)*('Loan Tape'!$E$4:$E$303='Deal Strat'!$C$12))*'Loan Tape'!$V$4:$V$303*'Loan Tape'!$R$4:$R$303)/E39,"-")</f>
        <v>-</v>
      </c>
      <c r="M39" s="69" t="str">
        <f aca="false">IFERROR(SUMPRODUCT((('Loan Tape'!$R$4:$R$303&lt;&gt;"")*('Loan Tape'!$AC$4:$AC$303=R39)*('Loan Tape'!$E$4:$E$303='Deal Strat'!$C$12))*'Loan Tape'!$W$4:$W$303*'Loan Tape'!$R$4:$R$303)/E39,"-")</f>
        <v>-</v>
      </c>
      <c r="N39" s="69" t="str">
        <f aca="false">IFERROR(SUMPRODUCT((('Loan Tape'!$R$4:$R$303&lt;&gt;"")*('Loan Tape'!$AC$4:$AC$303=R39)*('Loan Tape'!$E$4:$E$303='Deal Strat'!$C$12))*'Loan Tape'!$AI$4:$AI$303*'Loan Tape'!$R$4:$R$303)/E39,"-")</f>
        <v>-</v>
      </c>
      <c r="O39" s="69" t="str">
        <f aca="false">IFERROR(SUMPRODUCT((('Loan Tape'!$R$4:$R$303&lt;&gt;"")*('Loan Tape'!$AC$4:$AC$303=R39)*('Loan Tape'!$E$4:$E$303='Deal Strat'!$C$12))*'Loan Tape'!$AK$4:$AK$303*'Loan Tape'!$R$4:$R$303)/E39,"-")</f>
        <v>-</v>
      </c>
      <c r="P39" s="69" t="str">
        <f aca="false">IFERROR(SUMPRODUCT((('Loan Tape'!$R$4:$R$303&lt;&gt;"")*('Loan Tape'!$AC$4:$AC$303=R39)*('Loan Tape'!$E$4:$E$303='Deal Strat'!$C$12))*'Loan Tape'!$S$4:$S$303*'Loan Tape'!$R$4:$R$303)/E39,"-")</f>
        <v>-</v>
      </c>
      <c r="R39" s="91" t="s">
        <v>285</v>
      </c>
    </row>
    <row r="40" customFormat="false" ht="14.25" hidden="false" customHeight="false" outlineLevel="0" collapsed="false">
      <c r="B40" s="7" t="s">
        <v>407</v>
      </c>
      <c r="C40" s="68" t="n">
        <f aca="false">C6-SUM(C38:C39)</f>
        <v>0</v>
      </c>
      <c r="D40" s="68" t="n">
        <f aca="false">SUMPRODUCT(('Loan Tape'!$E$4:$E$303='Deal Strat'!$C$12)*'Loan Tape'!$F$4:$F$303)-SUM(D38:D39)</f>
        <v>0</v>
      </c>
      <c r="E40" s="84" t="n">
        <f aca="false">C5-SUM(E38:E39)</f>
        <v>0</v>
      </c>
      <c r="F40" s="69" t="n">
        <f aca="false">IFERROR(E40/C5,0)</f>
        <v>0</v>
      </c>
      <c r="G40" s="85" t="str">
        <f aca="false">IFERROR(SUMPRODUCT((('Loan Tape'!$R$4:$R$303&lt;&gt;"")*(1-(('Loan Tape'!$AC$4:$AC$303=R38)+('Loan Tape'!$AC$4:$AC$303=R39)))*('Loan Tape'!$E$4:$E$303='Deal Strat'!$C$12))*'Loan Tape'!$U$4:$U$303*'Loan Tape'!$R$4:$R$303)/E40,"-")</f>
        <v>-</v>
      </c>
      <c r="H40" s="68" t="str">
        <f aca="false">IFERROR(SUMPRODUCT((('Loan Tape'!$R$4:$R$303&lt;&gt;"")*(1-(('Loan Tape'!$AC$4:$AC$303=R38)+('Loan Tape'!$AC$4:$AC$303=R39)))*('Loan Tape'!$E$4:$E$303='Deal Strat'!$C$12))*'Loan Tape'!$AH$4:$AH$303*'Loan Tape'!$R$4:$R$303)/E40,"-")</f>
        <v>-</v>
      </c>
      <c r="I40" s="68" t="str">
        <f aca="false">IFERROR(SUMPRODUCT((('Loan Tape'!$R$4:$R$303&lt;&gt;"")*(1-(('Loan Tape'!$AC$4:$AC$303=R38)+('Loan Tape'!$AC$4:$AC$303=R39)))*('Loan Tape'!$E$4:$E$303='Deal Strat'!$C$12))*(('Loan Tape'!$H$4:$H$303-$C$4)/30.4375)*'Loan Tape'!$R$4:$R$303)/E40,"-")</f>
        <v>-</v>
      </c>
      <c r="J40" s="69" t="str">
        <f aca="false">IFERROR(SUMPRODUCT((('Loan Tape'!$R$4:$R$303&lt;&gt;"")*(1-(('Loan Tape'!$AC$4:$AC$303=R38)+('Loan Tape'!$AC$4:$AC$303=R39)))*('Loan Tape'!$E$4:$E$303='Deal Strat'!$C$12))*('Loan Tape'!$K$4:$K$303="Floating")*'Loan Tape'!$R$4:$R$303)/E40,"-")</f>
        <v>-</v>
      </c>
      <c r="K40" s="69" t="str">
        <f aca="false">IFERROR(SUMPRODUCT((('Loan Tape'!$R$4:$R$303&lt;&gt;"")*(1-(('Loan Tape'!$AC$4:$AC$303=R38)+('Loan Tape'!$AC$4:$AC$303=R39)))*('Loan Tape'!$E$4:$E$303='Deal Strat'!$C$12))*'Loan Tape'!$T$4:$T$303*'Loan Tape'!$R$4:$R$303)/E40,"-")</f>
        <v>-</v>
      </c>
      <c r="L40" s="69" t="str">
        <f aca="false">IFERROR(SUMPRODUCT((('Loan Tape'!$R$4:$R$303&lt;&gt;"")*(1-(('Loan Tape'!$AC$4:$AC$303=R38)+('Loan Tape'!$AC$4:$AC$303=R39)))*('Loan Tape'!$E$4:$E$303='Deal Strat'!$C$12))*'Loan Tape'!$V$4:$V$303*'Loan Tape'!$R$4:$R$303)/E40,"-")</f>
        <v>-</v>
      </c>
      <c r="M40" s="69" t="str">
        <f aca="false">IFERROR(SUMPRODUCT((('Loan Tape'!$R$4:$R$303&lt;&gt;"")*(1-(('Loan Tape'!$AC$4:$AC$303=R38)+('Loan Tape'!$AC$4:$AC$303=R39)))*('Loan Tape'!$E$4:$E$303='Deal Strat'!$C$12))*'Loan Tape'!$W$4:$W$303*'Loan Tape'!$R$4:$R$303)/E40,"-")</f>
        <v>-</v>
      </c>
      <c r="N40" s="69" t="str">
        <f aca="false">IFERROR(SUMPRODUCT((('Loan Tape'!$R$4:$R$303&lt;&gt;"")*(1-(('Loan Tape'!$AC$4:$AC$303=R38)+('Loan Tape'!$AC$4:$AC$303=R39)))*('Loan Tape'!$E$4:$E$303='Deal Strat'!$C$12))*'Loan Tape'!$AI$4:$AI$303*'Loan Tape'!$R$4:$R$303)/E40,"-")</f>
        <v>-</v>
      </c>
      <c r="O40" s="69" t="str">
        <f aca="false">IFERROR(SUMPRODUCT((('Loan Tape'!$R$4:$R$303&lt;&gt;"")*(1-(('Loan Tape'!$AC$4:$AC$303=R38)+('Loan Tape'!$AC$4:$AC$303=R39)))*('Loan Tape'!$E$4:$E$303='Deal Strat'!$C$12))*'Loan Tape'!$AK$4:$AK$303*'Loan Tape'!$R$4:$R$303)/E40,"-")</f>
        <v>-</v>
      </c>
      <c r="P40" s="69" t="str">
        <f aca="false">IFERROR(SUMPRODUCT((('Loan Tape'!$R$4:$R$303&lt;&gt;"")*(1-(('Loan Tape'!$AC$4:$AC$303=R38)+('Loan Tape'!$AC$4:$AC$303=R39)))*('Loan Tape'!$E$4:$E$303='Deal Strat'!$C$12))*'Loan Tape'!$S$4:$S$303*'Loan Tape'!$R$4:$R$303)/E40,"-")</f>
        <v>-</v>
      </c>
    </row>
    <row r="41" customFormat="false" ht="14.25" hidden="false" customHeight="false" outlineLevel="0" collapsed="false">
      <c r="B41" s="86" t="s">
        <v>405</v>
      </c>
      <c r="C41" s="92" t="n">
        <f aca="false">C6</f>
        <v>5</v>
      </c>
      <c r="D41" s="92" t="n">
        <f aca="false">SUMPRODUCT(('Loan Tape'!$E$4:$E$303='Deal Strat'!$C$12)*'Loan Tape'!$F$4:$F$303)</f>
        <v>593</v>
      </c>
      <c r="E41" s="88" t="n">
        <f aca="false">C5</f>
        <v>372487000</v>
      </c>
      <c r="F41" s="89" t="n">
        <f aca="false">1</f>
        <v>1</v>
      </c>
      <c r="G41" s="90" t="n">
        <f aca="false">IFERROR(SUMPRODUCT((('Loan Tape'!$R$4:$R$303&lt;&gt;"")*('Loan Tape'!$E$4:$E$303='Deal Strat'!$C$12))*'Loan Tape'!$U$4:$U$303*'Loan Tape'!$R$4:$R$303)/E41,"-")</f>
        <v>1.46286165691689</v>
      </c>
      <c r="H41" s="92" t="n">
        <f aca="false">IFERROR(SUMPRODUCT((('Loan Tape'!$R$4:$R$303&lt;&gt;"")*('Loan Tape'!$E$4:$E$303='Deal Strat'!$C$12))*'Loan Tape'!$AH$4:$AH$303*'Loan Tape'!$R$4:$R$303)/E41,"-")</f>
        <v>100.401133462376</v>
      </c>
      <c r="I41" s="92" t="n">
        <f aca="false">IFERROR(SUMPRODUCT((('Loan Tape'!$R$4:$R$303&lt;&gt;"")*('Loan Tape'!$E$4:$E$303='Deal Strat'!$C$12))*(('Loan Tape'!$H$4:$H$303-$C$4)/30.4375)*'Loan Tape'!$R$4:$R$303)/E41,"-")</f>
        <v>4.02239639370792</v>
      </c>
      <c r="J41" s="89" t="n">
        <f aca="false">IFERROR(SUMPRODUCT((('Loan Tape'!$R$4:$R$303&lt;&gt;"")*('Loan Tape'!$E$4:$E$303='Deal Strat'!$C$12))*('Loan Tape'!$K$4:$K$303="Floating")*'Loan Tape'!$R$4:$R$303)/E41,"-")</f>
        <v>0.64712593996569</v>
      </c>
      <c r="K41" s="89" t="n">
        <f aca="false">IFERROR(SUMPRODUCT((('Loan Tape'!$R$4:$R$303&lt;&gt;"")*('Loan Tape'!$E$4:$E$303='Deal Strat'!$C$12))*'Loan Tape'!$T$4:$T$303*'Loan Tape'!$R$4:$R$303)/E41,"-")</f>
        <v>0.0853727877751438</v>
      </c>
      <c r="L41" s="89" t="n">
        <f aca="false">IFERROR(SUMPRODUCT((('Loan Tape'!$R$4:$R$303&lt;&gt;"")*('Loan Tape'!$E$4:$E$303='Deal Strat'!$C$12))*'Loan Tape'!$V$4:$V$303*'Loan Tape'!$R$4:$R$303)/E41,"-")</f>
        <v>0.69021042345102</v>
      </c>
      <c r="M41" s="89" t="n">
        <f aca="false">IFERROR(SUMPRODUCT((('Loan Tape'!$R$4:$R$303&lt;&gt;"")*('Loan Tape'!$E$4:$E$303='Deal Strat'!$C$12))*'Loan Tape'!$W$4:$W$303*'Loan Tape'!$R$4:$R$303)/E41,"-")</f>
        <v>0.727922306013364</v>
      </c>
      <c r="N41" s="89" t="n">
        <f aca="false">IFERROR(SUMPRODUCT((('Loan Tape'!$R$4:$R$303&lt;&gt;"")*('Loan Tape'!$E$4:$E$303='Deal Strat'!$C$12))*'Loan Tape'!$AI$4:$AI$303*'Loan Tape'!$R$4:$R$303)/E41,"-")</f>
        <v>0.0680705466231036</v>
      </c>
      <c r="O41" s="89" t="n">
        <f aca="false">IFERROR(SUMPRODUCT((('Loan Tape'!$R$4:$R$303&lt;&gt;"")*('Loan Tape'!$E$4:$E$303='Deal Strat'!$C$12))*'Loan Tape'!$AK$4:$AK$303*'Loan Tape'!$R$4:$R$303)/E41,"-")</f>
        <v>0.077777435722589</v>
      </c>
      <c r="P41" s="89" t="n">
        <f aca="false">IFERROR(SUMPRODUCT((('Loan Tape'!$R$4:$R$303&lt;&gt;"")*('Loan Tape'!$E$4:$E$303='Deal Strat'!$C$12))*'Loan Tape'!$S$4:$S$303*'Loan Tape'!$R$4:$R$303)/E41,"-")</f>
        <v>0.841462496677736</v>
      </c>
    </row>
    <row r="43" customFormat="false" ht="19.5" hidden="false" customHeight="true" outlineLevel="0" collapsed="false">
      <c r="B43" s="5" t="s">
        <v>408</v>
      </c>
      <c r="C43" s="5"/>
      <c r="D43" s="5"/>
      <c r="E43" s="5"/>
      <c r="F43" s="5"/>
      <c r="G43" s="5"/>
      <c r="H43" s="5"/>
      <c r="I43" s="5"/>
      <c r="J43" s="5"/>
      <c r="K43" s="5"/>
      <c r="L43" s="5"/>
      <c r="M43" s="5"/>
      <c r="N43" s="5"/>
      <c r="O43" s="5"/>
      <c r="P43" s="5"/>
    </row>
    <row r="44" customFormat="false" ht="42" hidden="false" customHeight="true" outlineLevel="0" collapsed="false">
      <c r="B44" s="82" t="s">
        <v>392</v>
      </c>
      <c r="C44" s="83" t="s">
        <v>368</v>
      </c>
      <c r="D44" s="83" t="s">
        <v>153</v>
      </c>
      <c r="E44" s="83" t="s">
        <v>393</v>
      </c>
      <c r="F44" s="83" t="s">
        <v>394</v>
      </c>
      <c r="G44" s="83" t="s">
        <v>395</v>
      </c>
      <c r="H44" s="83" t="s">
        <v>396</v>
      </c>
      <c r="I44" s="83" t="s">
        <v>397</v>
      </c>
      <c r="J44" s="83" t="s">
        <v>398</v>
      </c>
      <c r="K44" s="83" t="s">
        <v>399</v>
      </c>
      <c r="L44" s="83" t="s">
        <v>400</v>
      </c>
      <c r="M44" s="83" t="s">
        <v>401</v>
      </c>
      <c r="N44" s="83" t="s">
        <v>402</v>
      </c>
      <c r="O44" s="83" t="s">
        <v>403</v>
      </c>
      <c r="P44" s="83" t="s">
        <v>365</v>
      </c>
    </row>
    <row r="45" customFormat="false" ht="14.25" hidden="false" customHeight="false" outlineLevel="0" collapsed="false">
      <c r="B45" s="7" t="str">
        <f aca="false">R45</f>
        <v>TX</v>
      </c>
      <c r="C45" s="68" t="n">
        <f aca="false">COUNTIFS('Loan Tape'!$C$4:$C$303,R45,'Loan Tape'!$E$4:$E$303,'Deal Strat'!$C$12)</f>
        <v>0</v>
      </c>
      <c r="D45" s="68" t="n">
        <f aca="false">SUMPRODUCT((('Loan Tape'!$R$4:$R$303&lt;&gt;"")*('Loan Tape'!$C$4:$C$303=R45)*('Loan Tape'!$E$4:$E$303='Deal Strat'!$C$12))*'Loan Tape'!$F$4:$F$303)</f>
        <v>0</v>
      </c>
      <c r="E45" s="84" t="n">
        <f aca="false">SUMIFS('Loan Tape'!$R$4:$R$303,'Loan Tape'!$C$4:$C$303,R45,'Loan Tape'!$E$4:$E$303,'Deal Strat'!$C$12)</f>
        <v>0</v>
      </c>
      <c r="F45" s="69" t="n">
        <f aca="false">IFERROR(E45/C5,0)</f>
        <v>0</v>
      </c>
      <c r="G45" s="85" t="str">
        <f aca="false">IFERROR(SUMPRODUCT((('Loan Tape'!$R$4:$R$303&lt;&gt;"")*('Loan Tape'!$C$4:$C$303=R45)*('Loan Tape'!$E$4:$E$303='Deal Strat'!$C$12))*'Loan Tape'!$U$4:$U$303*'Loan Tape'!$R$4:$R$303)/E45,"-")</f>
        <v>-</v>
      </c>
      <c r="H45" s="68" t="str">
        <f aca="false">IFERROR(SUMPRODUCT((('Loan Tape'!$R$4:$R$303&lt;&gt;"")*('Loan Tape'!$C$4:$C$303=R45)*('Loan Tape'!$E$4:$E$303='Deal Strat'!$C$12))*'Loan Tape'!$AH$4:$AH$303*'Loan Tape'!$R$4:$R$303)/E45,"-")</f>
        <v>-</v>
      </c>
      <c r="I45" s="68" t="str">
        <f aca="false">IFERROR(SUMPRODUCT((('Loan Tape'!$R$4:$R$303&lt;&gt;"")*('Loan Tape'!$C$4:$C$303=R45)*('Loan Tape'!$E$4:$E$303='Deal Strat'!$C$12))*(('Loan Tape'!$H$4:$H$303-$C$4)/30.4375)*'Loan Tape'!$R$4:$R$303)/E45,"-")</f>
        <v>-</v>
      </c>
      <c r="J45" s="69" t="str">
        <f aca="false">IFERROR(SUMPRODUCT((('Loan Tape'!$R$4:$R$303&lt;&gt;"")*('Loan Tape'!$C$4:$C$303=R45)*('Loan Tape'!$E$4:$E$303='Deal Strat'!$C$12))*('Loan Tape'!$K$4:$K$303="Floating")*'Loan Tape'!$R$4:$R$303)/E45,"-")</f>
        <v>-</v>
      </c>
      <c r="K45" s="69" t="str">
        <f aca="false">IFERROR(SUMPRODUCT((('Loan Tape'!$R$4:$R$303&lt;&gt;"")*('Loan Tape'!$C$4:$C$303=R45)*('Loan Tape'!$E$4:$E$303='Deal Strat'!$C$12))*'Loan Tape'!$T$4:$T$303*'Loan Tape'!$R$4:$R$303)/E45,"-")</f>
        <v>-</v>
      </c>
      <c r="L45" s="69" t="str">
        <f aca="false">IFERROR(SUMPRODUCT((('Loan Tape'!$R$4:$R$303&lt;&gt;"")*('Loan Tape'!$C$4:$C$303=R45)*('Loan Tape'!$E$4:$E$303='Deal Strat'!$C$12))*'Loan Tape'!$V$4:$V$303*'Loan Tape'!$R$4:$R$303)/E45,"-")</f>
        <v>-</v>
      </c>
      <c r="M45" s="69" t="str">
        <f aca="false">IFERROR(SUMPRODUCT((('Loan Tape'!$R$4:$R$303&lt;&gt;"")*('Loan Tape'!$C$4:$C$303=R45)*('Loan Tape'!$E$4:$E$303='Deal Strat'!$C$12))*'Loan Tape'!$W$4:$W$303*'Loan Tape'!$R$4:$R$303)/E45,"-")</f>
        <v>-</v>
      </c>
      <c r="N45" s="69" t="str">
        <f aca="false">IFERROR(SUMPRODUCT((('Loan Tape'!$R$4:$R$303&lt;&gt;"")*('Loan Tape'!$C$4:$C$303=R45)*('Loan Tape'!$E$4:$E$303='Deal Strat'!$C$12))*'Loan Tape'!$AI$4:$AI$303*'Loan Tape'!$R$4:$R$303)/E45,"-")</f>
        <v>-</v>
      </c>
      <c r="O45" s="69" t="str">
        <f aca="false">IFERROR(SUMPRODUCT((('Loan Tape'!$R$4:$R$303&lt;&gt;"")*('Loan Tape'!$C$4:$C$303=R45)*('Loan Tape'!$E$4:$E$303='Deal Strat'!$C$12))*'Loan Tape'!$AK$4:$AK$303*'Loan Tape'!$R$4:$R$303)/E45,"-")</f>
        <v>-</v>
      </c>
      <c r="P45" s="69" t="str">
        <f aca="false">IFERROR(SUMPRODUCT((('Loan Tape'!$R$4:$R$303&lt;&gt;"")*('Loan Tape'!$C$4:$C$303=R45)*('Loan Tape'!$E$4:$E$303='Deal Strat'!$C$12))*'Loan Tape'!$S$4:$S$303*'Loan Tape'!$R$4:$R$303)/E45,"-")</f>
        <v>-</v>
      </c>
      <c r="R45" s="91" t="s">
        <v>206</v>
      </c>
    </row>
    <row r="46" customFormat="false" ht="14.25" hidden="false" customHeight="false" outlineLevel="0" collapsed="false">
      <c r="B46" s="7" t="str">
        <f aca="false">R46</f>
        <v>CA</v>
      </c>
      <c r="C46" s="68" t="n">
        <f aca="false">COUNTIFS('Loan Tape'!$C$4:$C$303,R46,'Loan Tape'!$E$4:$E$303,'Deal Strat'!$C$12)</f>
        <v>1</v>
      </c>
      <c r="D46" s="68" t="n">
        <f aca="false">SUMPRODUCT((('Loan Tape'!$R$4:$R$303&lt;&gt;"")*('Loan Tape'!$C$4:$C$303=R46)*('Loan Tape'!$E$4:$E$303='Deal Strat'!$C$12))*'Loan Tape'!$F$4:$F$303)</f>
        <v>0</v>
      </c>
      <c r="E46" s="84" t="n">
        <f aca="false">SUMIFS('Loan Tape'!$R$4:$R$303,'Loan Tape'!$C$4:$C$303,R46,'Loan Tape'!$E$4:$E$303,'Deal Strat'!$C$12)</f>
        <v>57608000</v>
      </c>
      <c r="F46" s="69" t="n">
        <f aca="false">IFERROR(E46/C5,0)</f>
        <v>0.154657746444842</v>
      </c>
      <c r="G46" s="85" t="n">
        <f aca="false">IFERROR(SUMPRODUCT((('Loan Tape'!$R$4:$R$303&lt;&gt;"")*('Loan Tape'!$C$4:$C$303=R46)*('Loan Tape'!$E$4:$E$303='Deal Strat'!$C$12))*'Loan Tape'!$U$4:$U$303*'Loan Tape'!$R$4:$R$303)/E46,"-")</f>
        <v>1.36</v>
      </c>
      <c r="H46" s="68" t="n">
        <f aca="false">IFERROR(SUMPRODUCT((('Loan Tape'!$R$4:$R$303&lt;&gt;"")*('Loan Tape'!$C$4:$C$303=R46)*('Loan Tape'!$E$4:$E$303='Deal Strat'!$C$12))*'Loan Tape'!$AH$4:$AH$303*'Loan Tape'!$R$4:$R$303)/E46,"-")</f>
        <v>101</v>
      </c>
      <c r="I46" s="68" t="n">
        <f aca="false">IFERROR(SUMPRODUCT((('Loan Tape'!$R$4:$R$303&lt;&gt;"")*('Loan Tape'!$C$4:$C$303=R46)*('Loan Tape'!$E$4:$E$303='Deal Strat'!$C$12))*(('Loan Tape'!$H$4:$H$303-$C$4)/30.4375)*'Loan Tape'!$R$4:$R$303)/E46,"-")</f>
        <v>19.0225872689938</v>
      </c>
      <c r="J46" s="69" t="n">
        <f aca="false">IFERROR(SUMPRODUCT((('Loan Tape'!$R$4:$R$303&lt;&gt;"")*('Loan Tape'!$C$4:$C$303=R46)*('Loan Tape'!$E$4:$E$303='Deal Strat'!$C$12))*('Loan Tape'!$K$4:$K$303="Floating")*'Loan Tape'!$R$4:$R$303)/E46,"-")</f>
        <v>1</v>
      </c>
      <c r="K46" s="69" t="n">
        <f aca="false">IFERROR(SUMPRODUCT((('Loan Tape'!$R$4:$R$303&lt;&gt;"")*('Loan Tape'!$C$4:$C$303=R46)*('Loan Tape'!$E$4:$E$303='Deal Strat'!$C$12))*'Loan Tape'!$T$4:$T$303*'Loan Tape'!$R$4:$R$303)/E46,"-")</f>
        <v>0.0853</v>
      </c>
      <c r="L46" s="69" t="n">
        <f aca="false">IFERROR(SUMPRODUCT((('Loan Tape'!$R$4:$R$303&lt;&gt;"")*('Loan Tape'!$C$4:$C$303=R46)*('Loan Tape'!$E$4:$E$303='Deal Strat'!$C$12))*'Loan Tape'!$V$4:$V$303*'Loan Tape'!$R$4:$R$303)/E46,"-")</f>
        <v>0.572</v>
      </c>
      <c r="M46" s="69" t="n">
        <f aca="false">IFERROR(SUMPRODUCT((('Loan Tape'!$R$4:$R$303&lt;&gt;"")*('Loan Tape'!$C$4:$C$303=R46)*('Loan Tape'!$E$4:$E$303='Deal Strat'!$C$12))*'Loan Tape'!$W$4:$W$303*'Loan Tape'!$R$4:$R$303)/E46,"-")</f>
        <v>0.602</v>
      </c>
      <c r="N46" s="69" t="n">
        <f aca="false">IFERROR(SUMPRODUCT((('Loan Tape'!$R$4:$R$303&lt;&gt;"")*('Loan Tape'!$C$4:$C$303=R46)*('Loan Tape'!$E$4:$E$303='Deal Strat'!$C$12))*'Loan Tape'!$AI$4:$AI$303*'Loan Tape'!$R$4:$R$303)/E46,"-")</f>
        <v>0.065</v>
      </c>
      <c r="O46" s="69" t="n">
        <f aca="false">IFERROR(SUMPRODUCT((('Loan Tape'!$R$4:$R$303&lt;&gt;"")*('Loan Tape'!$C$4:$C$303=R46)*('Loan Tape'!$E$4:$E$303='Deal Strat'!$C$12))*'Loan Tape'!$AK$4:$AK$303*'Loan Tape'!$R$4:$R$303)/E46,"-")</f>
        <v>0.08</v>
      </c>
      <c r="P46" s="69" t="n">
        <f aca="false">IFERROR(SUMPRODUCT((('Loan Tape'!$R$4:$R$303&lt;&gt;"")*('Loan Tape'!$C$4:$C$303=R46)*('Loan Tape'!$E$4:$E$303='Deal Strat'!$C$12))*'Loan Tape'!$S$4:$S$303*'Loan Tape'!$R$4:$R$303)/E46,"-")</f>
        <v>0.94</v>
      </c>
      <c r="R46" s="91" t="s">
        <v>250</v>
      </c>
    </row>
    <row r="47" customFormat="false" ht="14.25" hidden="false" customHeight="false" outlineLevel="0" collapsed="false">
      <c r="B47" s="7" t="str">
        <f aca="false">R47</f>
        <v>FL</v>
      </c>
      <c r="C47" s="68" t="n">
        <f aca="false">COUNTIFS('Loan Tape'!$C$4:$C$303,R47,'Loan Tape'!$E$4:$E$303,'Deal Strat'!$C$12)</f>
        <v>0</v>
      </c>
      <c r="D47" s="68" t="n">
        <f aca="false">SUMPRODUCT((('Loan Tape'!$R$4:$R$303&lt;&gt;"")*('Loan Tape'!$C$4:$C$303=R47)*('Loan Tape'!$E$4:$E$303='Deal Strat'!$C$12))*'Loan Tape'!$F$4:$F$303)</f>
        <v>0</v>
      </c>
      <c r="E47" s="84" t="n">
        <f aca="false">SUMIFS('Loan Tape'!$R$4:$R$303,'Loan Tape'!$C$4:$C$303,R47,'Loan Tape'!$E$4:$E$303,'Deal Strat'!$C$12)</f>
        <v>0</v>
      </c>
      <c r="F47" s="69" t="n">
        <f aca="false">IFERROR(E47/C5,0)</f>
        <v>0</v>
      </c>
      <c r="G47" s="85" t="str">
        <f aca="false">IFERROR(SUMPRODUCT((('Loan Tape'!$R$4:$R$303&lt;&gt;"")*('Loan Tape'!$C$4:$C$303=R47)*('Loan Tape'!$E$4:$E$303='Deal Strat'!$C$12))*'Loan Tape'!$U$4:$U$303*'Loan Tape'!$R$4:$R$303)/E47,"-")</f>
        <v>-</v>
      </c>
      <c r="H47" s="68" t="str">
        <f aca="false">IFERROR(SUMPRODUCT((('Loan Tape'!$R$4:$R$303&lt;&gt;"")*('Loan Tape'!$C$4:$C$303=R47)*('Loan Tape'!$E$4:$E$303='Deal Strat'!$C$12))*'Loan Tape'!$AH$4:$AH$303*'Loan Tape'!$R$4:$R$303)/E47,"-")</f>
        <v>-</v>
      </c>
      <c r="I47" s="68" t="str">
        <f aca="false">IFERROR(SUMPRODUCT((('Loan Tape'!$R$4:$R$303&lt;&gt;"")*('Loan Tape'!$C$4:$C$303=R47)*('Loan Tape'!$E$4:$E$303='Deal Strat'!$C$12))*(('Loan Tape'!$H$4:$H$303-$C$4)/30.4375)*'Loan Tape'!$R$4:$R$303)/E47,"-")</f>
        <v>-</v>
      </c>
      <c r="J47" s="69" t="str">
        <f aca="false">IFERROR(SUMPRODUCT((('Loan Tape'!$R$4:$R$303&lt;&gt;"")*('Loan Tape'!$C$4:$C$303=R47)*('Loan Tape'!$E$4:$E$303='Deal Strat'!$C$12))*('Loan Tape'!$K$4:$K$303="Floating")*'Loan Tape'!$R$4:$R$303)/E47,"-")</f>
        <v>-</v>
      </c>
      <c r="K47" s="69" t="str">
        <f aca="false">IFERROR(SUMPRODUCT((('Loan Tape'!$R$4:$R$303&lt;&gt;"")*('Loan Tape'!$C$4:$C$303=R47)*('Loan Tape'!$E$4:$E$303='Deal Strat'!$C$12))*'Loan Tape'!$T$4:$T$303*'Loan Tape'!$R$4:$R$303)/E47,"-")</f>
        <v>-</v>
      </c>
      <c r="L47" s="69" t="str">
        <f aca="false">IFERROR(SUMPRODUCT((('Loan Tape'!$R$4:$R$303&lt;&gt;"")*('Loan Tape'!$C$4:$C$303=R47)*('Loan Tape'!$E$4:$E$303='Deal Strat'!$C$12))*'Loan Tape'!$V$4:$V$303*'Loan Tape'!$R$4:$R$303)/E47,"-")</f>
        <v>-</v>
      </c>
      <c r="M47" s="69" t="str">
        <f aca="false">IFERROR(SUMPRODUCT((('Loan Tape'!$R$4:$R$303&lt;&gt;"")*('Loan Tape'!$C$4:$C$303=R47)*('Loan Tape'!$E$4:$E$303='Deal Strat'!$C$12))*'Loan Tape'!$W$4:$W$303*'Loan Tape'!$R$4:$R$303)/E47,"-")</f>
        <v>-</v>
      </c>
      <c r="N47" s="69" t="str">
        <f aca="false">IFERROR(SUMPRODUCT((('Loan Tape'!$R$4:$R$303&lt;&gt;"")*('Loan Tape'!$C$4:$C$303=R47)*('Loan Tape'!$E$4:$E$303='Deal Strat'!$C$12))*'Loan Tape'!$AI$4:$AI$303*'Loan Tape'!$R$4:$R$303)/E47,"-")</f>
        <v>-</v>
      </c>
      <c r="O47" s="69" t="str">
        <f aca="false">IFERROR(SUMPRODUCT((('Loan Tape'!$R$4:$R$303&lt;&gt;"")*('Loan Tape'!$C$4:$C$303=R47)*('Loan Tape'!$E$4:$E$303='Deal Strat'!$C$12))*'Loan Tape'!$AK$4:$AK$303*'Loan Tape'!$R$4:$R$303)/E47,"-")</f>
        <v>-</v>
      </c>
      <c r="P47" s="69" t="str">
        <f aca="false">IFERROR(SUMPRODUCT((('Loan Tape'!$R$4:$R$303&lt;&gt;"")*('Loan Tape'!$C$4:$C$303=R47)*('Loan Tape'!$E$4:$E$303='Deal Strat'!$C$12))*'Loan Tape'!$S$4:$S$303*'Loan Tape'!$R$4:$R$303)/E47,"-")</f>
        <v>-</v>
      </c>
      <c r="R47" s="91" t="s">
        <v>220</v>
      </c>
    </row>
    <row r="48" customFormat="false" ht="14.25" hidden="false" customHeight="false" outlineLevel="0" collapsed="false">
      <c r="B48" s="7" t="str">
        <f aca="false">R48</f>
        <v>NY</v>
      </c>
      <c r="C48" s="68" t="n">
        <f aca="false">COUNTIFS('Loan Tape'!$C$4:$C$303,R48,'Loan Tape'!$E$4:$E$303,'Deal Strat'!$C$12)</f>
        <v>0</v>
      </c>
      <c r="D48" s="68" t="n">
        <f aca="false">SUMPRODUCT((('Loan Tape'!$R$4:$R$303&lt;&gt;"")*('Loan Tape'!$C$4:$C$303=R48)*('Loan Tape'!$E$4:$E$303='Deal Strat'!$C$12))*'Loan Tape'!$F$4:$F$303)</f>
        <v>0</v>
      </c>
      <c r="E48" s="84" t="n">
        <f aca="false">SUMIFS('Loan Tape'!$R$4:$R$303,'Loan Tape'!$C$4:$C$303,R48,'Loan Tape'!$E$4:$E$303,'Deal Strat'!$C$12)</f>
        <v>0</v>
      </c>
      <c r="F48" s="69" t="n">
        <f aca="false">IFERROR(E48/C5,0)</f>
        <v>0</v>
      </c>
      <c r="G48" s="85" t="str">
        <f aca="false">IFERROR(SUMPRODUCT((('Loan Tape'!$R$4:$R$303&lt;&gt;"")*('Loan Tape'!$C$4:$C$303=R48)*('Loan Tape'!$E$4:$E$303='Deal Strat'!$C$12))*'Loan Tape'!$U$4:$U$303*'Loan Tape'!$R$4:$R$303)/E48,"-")</f>
        <v>-</v>
      </c>
      <c r="H48" s="68" t="str">
        <f aca="false">IFERROR(SUMPRODUCT((('Loan Tape'!$R$4:$R$303&lt;&gt;"")*('Loan Tape'!$C$4:$C$303=R48)*('Loan Tape'!$E$4:$E$303='Deal Strat'!$C$12))*'Loan Tape'!$AH$4:$AH$303*'Loan Tape'!$R$4:$R$303)/E48,"-")</f>
        <v>-</v>
      </c>
      <c r="I48" s="68" t="str">
        <f aca="false">IFERROR(SUMPRODUCT((('Loan Tape'!$R$4:$R$303&lt;&gt;"")*('Loan Tape'!$C$4:$C$303=R48)*('Loan Tape'!$E$4:$E$303='Deal Strat'!$C$12))*(('Loan Tape'!$H$4:$H$303-$C$4)/30.4375)*'Loan Tape'!$R$4:$R$303)/E48,"-")</f>
        <v>-</v>
      </c>
      <c r="J48" s="69" t="str">
        <f aca="false">IFERROR(SUMPRODUCT((('Loan Tape'!$R$4:$R$303&lt;&gt;"")*('Loan Tape'!$C$4:$C$303=R48)*('Loan Tape'!$E$4:$E$303='Deal Strat'!$C$12))*('Loan Tape'!$K$4:$K$303="Floating")*'Loan Tape'!$R$4:$R$303)/E48,"-")</f>
        <v>-</v>
      </c>
      <c r="K48" s="69" t="str">
        <f aca="false">IFERROR(SUMPRODUCT((('Loan Tape'!$R$4:$R$303&lt;&gt;"")*('Loan Tape'!$C$4:$C$303=R48)*('Loan Tape'!$E$4:$E$303='Deal Strat'!$C$12))*'Loan Tape'!$T$4:$T$303*'Loan Tape'!$R$4:$R$303)/E48,"-")</f>
        <v>-</v>
      </c>
      <c r="L48" s="69" t="str">
        <f aca="false">IFERROR(SUMPRODUCT((('Loan Tape'!$R$4:$R$303&lt;&gt;"")*('Loan Tape'!$C$4:$C$303=R48)*('Loan Tape'!$E$4:$E$303='Deal Strat'!$C$12))*'Loan Tape'!$V$4:$V$303*'Loan Tape'!$R$4:$R$303)/E48,"-")</f>
        <v>-</v>
      </c>
      <c r="M48" s="69" t="str">
        <f aca="false">IFERROR(SUMPRODUCT((('Loan Tape'!$R$4:$R$303&lt;&gt;"")*('Loan Tape'!$C$4:$C$303=R48)*('Loan Tape'!$E$4:$E$303='Deal Strat'!$C$12))*'Loan Tape'!$W$4:$W$303*'Loan Tape'!$R$4:$R$303)/E48,"-")</f>
        <v>-</v>
      </c>
      <c r="N48" s="69" t="str">
        <f aca="false">IFERROR(SUMPRODUCT((('Loan Tape'!$R$4:$R$303&lt;&gt;"")*('Loan Tape'!$C$4:$C$303=R48)*('Loan Tape'!$E$4:$E$303='Deal Strat'!$C$12))*'Loan Tape'!$AI$4:$AI$303*'Loan Tape'!$R$4:$R$303)/E48,"-")</f>
        <v>-</v>
      </c>
      <c r="O48" s="69" t="str">
        <f aca="false">IFERROR(SUMPRODUCT((('Loan Tape'!$R$4:$R$303&lt;&gt;"")*('Loan Tape'!$C$4:$C$303=R48)*('Loan Tape'!$E$4:$E$303='Deal Strat'!$C$12))*'Loan Tape'!$AK$4:$AK$303*'Loan Tape'!$R$4:$R$303)/E48,"-")</f>
        <v>-</v>
      </c>
      <c r="P48" s="69" t="str">
        <f aca="false">IFERROR(SUMPRODUCT((('Loan Tape'!$R$4:$R$303&lt;&gt;"")*('Loan Tape'!$C$4:$C$303=R48)*('Loan Tape'!$E$4:$E$303='Deal Strat'!$C$12))*'Loan Tape'!$S$4:$S$303*'Loan Tape'!$R$4:$R$303)/E48,"-")</f>
        <v>-</v>
      </c>
      <c r="R48" s="91" t="s">
        <v>302</v>
      </c>
    </row>
    <row r="49" customFormat="false" ht="14.25" hidden="false" customHeight="false" outlineLevel="0" collapsed="false">
      <c r="B49" s="7" t="str">
        <f aca="false">R49</f>
        <v>GA</v>
      </c>
      <c r="C49" s="68" t="n">
        <f aca="false">COUNTIFS('Loan Tape'!$C$4:$C$303,R49,'Loan Tape'!$E$4:$E$303,'Deal Strat'!$C$12)</f>
        <v>1</v>
      </c>
      <c r="D49" s="68" t="n">
        <f aca="false">SUMPRODUCT((('Loan Tape'!$R$4:$R$303&lt;&gt;"")*('Loan Tape'!$C$4:$C$303=R49)*('Loan Tape'!$E$4:$E$303='Deal Strat'!$C$12))*'Loan Tape'!$F$4:$F$303)</f>
        <v>238</v>
      </c>
      <c r="E49" s="84" t="n">
        <f aca="false">SUMIFS('Loan Tape'!$R$4:$R$303,'Loan Tape'!$C$4:$C$303,R49,'Loan Tape'!$E$4:$E$303,'Deal Strat'!$C$12)</f>
        <v>86385000</v>
      </c>
      <c r="F49" s="69" t="n">
        <f aca="false">IFERROR(E49/C5,0)</f>
        <v>0.231914133916083</v>
      </c>
      <c r="G49" s="85" t="n">
        <f aca="false">IFERROR(SUMPRODUCT((('Loan Tape'!$R$4:$R$303&lt;&gt;"")*('Loan Tape'!$C$4:$C$303=R49)*('Loan Tape'!$E$4:$E$303='Deal Strat'!$C$12))*'Loan Tape'!$U$4:$U$303*'Loan Tape'!$R$4:$R$303)/E49,"-")</f>
        <v>1.35</v>
      </c>
      <c r="H49" s="68" t="n">
        <f aca="false">IFERROR(SUMPRODUCT((('Loan Tape'!$R$4:$R$303&lt;&gt;"")*('Loan Tape'!$C$4:$C$303=R49)*('Loan Tape'!$E$4:$E$303='Deal Strat'!$C$12))*'Loan Tape'!$AH$4:$AH$303*'Loan Tape'!$R$4:$R$303)/E49,"-")</f>
        <v>102</v>
      </c>
      <c r="I49" s="68" t="n">
        <f aca="false">IFERROR(SUMPRODUCT((('Loan Tape'!$R$4:$R$303&lt;&gt;"")*('Loan Tape'!$C$4:$C$303=R49)*('Loan Tape'!$E$4:$E$303='Deal Strat'!$C$12))*(('Loan Tape'!$H$4:$H$303-$C$4)/30.4375)*'Loan Tape'!$R$4:$R$303)/E49,"-")</f>
        <v>-17.9712525667351</v>
      </c>
      <c r="J49" s="69" t="n">
        <f aca="false">IFERROR(SUMPRODUCT((('Loan Tape'!$R$4:$R$303&lt;&gt;"")*('Loan Tape'!$C$4:$C$303=R49)*('Loan Tape'!$E$4:$E$303='Deal Strat'!$C$12))*('Loan Tape'!$K$4:$K$303="Floating")*'Loan Tape'!$R$4:$R$303)/E49,"-")</f>
        <v>0</v>
      </c>
      <c r="K49" s="69" t="n">
        <f aca="false">IFERROR(SUMPRODUCT((('Loan Tape'!$R$4:$R$303&lt;&gt;"")*('Loan Tape'!$C$4:$C$303=R49)*('Loan Tape'!$E$4:$E$303='Deal Strat'!$C$12))*'Loan Tape'!$T$4:$T$303*'Loan Tape'!$R$4:$R$303)/E49,"-")</f>
        <v>0.1077</v>
      </c>
      <c r="L49" s="69" t="n">
        <f aca="false">IFERROR(SUMPRODUCT((('Loan Tape'!$R$4:$R$303&lt;&gt;"")*('Loan Tape'!$C$4:$C$303=R49)*('Loan Tape'!$E$4:$E$303='Deal Strat'!$C$12))*'Loan Tape'!$V$4:$V$303*'Loan Tape'!$R$4:$R$303)/E49,"-")</f>
        <v>0.888</v>
      </c>
      <c r="M49" s="69" t="n">
        <f aca="false">IFERROR(SUMPRODUCT((('Loan Tape'!$R$4:$R$303&lt;&gt;"")*('Loan Tape'!$C$4:$C$303=R49)*('Loan Tape'!$E$4:$E$303='Deal Strat'!$C$12))*'Loan Tape'!$W$4:$W$303*'Loan Tape'!$R$4:$R$303)/E49,"-")</f>
        <v>0.945</v>
      </c>
      <c r="N49" s="69" t="n">
        <f aca="false">IFERROR(SUMPRODUCT((('Loan Tape'!$R$4:$R$303&lt;&gt;"")*('Loan Tape'!$C$4:$C$303=R49)*('Loan Tape'!$E$4:$E$303='Deal Strat'!$C$12))*'Loan Tape'!$AI$4:$AI$303*'Loan Tape'!$R$4:$R$303)/E49,"-")</f>
        <v>0.0534</v>
      </c>
      <c r="O49" s="69" t="n">
        <f aca="false">IFERROR(SUMPRODUCT((('Loan Tape'!$R$4:$R$303&lt;&gt;"")*('Loan Tape'!$C$4:$C$303=R49)*('Loan Tape'!$E$4:$E$303='Deal Strat'!$C$12))*'Loan Tape'!$AK$4:$AK$303*'Loan Tape'!$R$4:$R$303)/E49,"-")</f>
        <v>0.0534</v>
      </c>
      <c r="P49" s="69" t="n">
        <f aca="false">IFERROR(SUMPRODUCT((('Loan Tape'!$R$4:$R$303&lt;&gt;"")*('Loan Tape'!$C$4:$C$303=R49)*('Loan Tape'!$E$4:$E$303='Deal Strat'!$C$12))*'Loan Tape'!$S$4:$S$303*'Loan Tape'!$R$4:$R$303)/E49,"-")</f>
        <v>0.828</v>
      </c>
      <c r="R49" s="91" t="s">
        <v>274</v>
      </c>
    </row>
    <row r="50" customFormat="false" ht="14.25" hidden="false" customHeight="false" outlineLevel="0" collapsed="false">
      <c r="B50" s="7" t="str">
        <f aca="false">R50</f>
        <v>NC</v>
      </c>
      <c r="C50" s="68" t="n">
        <f aca="false">COUNTIFS('Loan Tape'!$C$4:$C$303,R50,'Loan Tape'!$E$4:$E$303,'Deal Strat'!$C$12)</f>
        <v>1</v>
      </c>
      <c r="D50" s="68" t="n">
        <f aca="false">SUMPRODUCT((('Loan Tape'!$R$4:$R$303&lt;&gt;"")*('Loan Tape'!$C$4:$C$303=R50)*('Loan Tape'!$E$4:$E$303='Deal Strat'!$C$12))*'Loan Tape'!$F$4:$F$303)</f>
        <v>171</v>
      </c>
      <c r="E50" s="84" t="n">
        <f aca="false">SUMIFS('Loan Tape'!$R$4:$R$303,'Loan Tape'!$C$4:$C$303,R50,'Loan Tape'!$E$4:$E$303,'Deal Strat'!$C$12)</f>
        <v>45056000</v>
      </c>
      <c r="F50" s="69" t="n">
        <f aca="false">IFERROR(E50/C5,0)</f>
        <v>0.120959926118227</v>
      </c>
      <c r="G50" s="85" t="n">
        <f aca="false">IFERROR(SUMPRODUCT((('Loan Tape'!$R$4:$R$303&lt;&gt;"")*('Loan Tape'!$C$4:$C$303=R50)*('Loan Tape'!$E$4:$E$303='Deal Strat'!$C$12))*'Loan Tape'!$U$4:$U$303*'Loan Tape'!$R$4:$R$303)/E50,"-")</f>
        <v>1.98</v>
      </c>
      <c r="H50" s="68" t="n">
        <f aca="false">IFERROR(SUMPRODUCT((('Loan Tape'!$R$4:$R$303&lt;&gt;"")*('Loan Tape'!$C$4:$C$303=R50)*('Loan Tape'!$E$4:$E$303='Deal Strat'!$C$12))*'Loan Tape'!$AH$4:$AH$303*'Loan Tape'!$R$4:$R$303)/E50,"-")</f>
        <v>94</v>
      </c>
      <c r="I50" s="68" t="n">
        <f aca="false">IFERROR(SUMPRODUCT((('Loan Tape'!$R$4:$R$303&lt;&gt;"")*('Loan Tape'!$C$4:$C$303=R50)*('Loan Tape'!$E$4:$E$303='Deal Strat'!$C$12))*(('Loan Tape'!$H$4:$H$303-$C$4)/30.4375)*'Loan Tape'!$R$4:$R$303)/E50,"-")</f>
        <v>-33.9712525667351</v>
      </c>
      <c r="J50" s="69" t="n">
        <f aca="false">IFERROR(SUMPRODUCT((('Loan Tape'!$R$4:$R$303&lt;&gt;"")*('Loan Tape'!$C$4:$C$303=R50)*('Loan Tape'!$E$4:$E$303='Deal Strat'!$C$12))*('Loan Tape'!$K$4:$K$303="Floating")*'Loan Tape'!$R$4:$R$303)/E50,"-")</f>
        <v>0</v>
      </c>
      <c r="K50" s="69" t="n">
        <f aca="false">IFERROR(SUMPRODUCT((('Loan Tape'!$R$4:$R$303&lt;&gt;"")*('Loan Tape'!$C$4:$C$303=R50)*('Loan Tape'!$E$4:$E$303='Deal Strat'!$C$12))*'Loan Tape'!$T$4:$T$303*'Loan Tape'!$R$4:$R$303)/E50,"-")</f>
        <v>0.0685</v>
      </c>
      <c r="L50" s="69" t="n">
        <f aca="false">IFERROR(SUMPRODUCT((('Loan Tape'!$R$4:$R$303&lt;&gt;"")*('Loan Tape'!$C$4:$C$303=R50)*('Loan Tape'!$E$4:$E$303='Deal Strat'!$C$12))*'Loan Tape'!$V$4:$V$303*'Loan Tape'!$R$4:$R$303)/E50,"-")</f>
        <v>0.685</v>
      </c>
      <c r="M50" s="69" t="n">
        <f aca="false">IFERROR(SUMPRODUCT((('Loan Tape'!$R$4:$R$303&lt;&gt;"")*('Loan Tape'!$C$4:$C$303=R50)*('Loan Tape'!$E$4:$E$303='Deal Strat'!$C$12))*'Loan Tape'!$W$4:$W$303*'Loan Tape'!$R$4:$R$303)/E50,"-")</f>
        <v>0.735</v>
      </c>
      <c r="N50" s="69" t="n">
        <f aca="false">IFERROR(SUMPRODUCT((('Loan Tape'!$R$4:$R$303&lt;&gt;"")*('Loan Tape'!$C$4:$C$303=R50)*('Loan Tape'!$E$4:$E$303='Deal Strat'!$C$12))*'Loan Tape'!$AI$4:$AI$303*'Loan Tape'!$R$4:$R$303)/E50,"-")</f>
        <v>0.0647</v>
      </c>
      <c r="O50" s="69" t="n">
        <f aca="false">IFERROR(SUMPRODUCT((('Loan Tape'!$R$4:$R$303&lt;&gt;"")*('Loan Tape'!$C$4:$C$303=R50)*('Loan Tape'!$E$4:$E$303='Deal Strat'!$C$12))*'Loan Tape'!$AK$4:$AK$303*'Loan Tape'!$R$4:$R$303)/E50,"-")</f>
        <v>0.0647</v>
      </c>
      <c r="P50" s="69" t="n">
        <f aca="false">IFERROR(SUMPRODUCT((('Loan Tape'!$R$4:$R$303&lt;&gt;"")*('Loan Tape'!$C$4:$C$303=R50)*('Loan Tape'!$E$4:$E$303='Deal Strat'!$C$12))*'Loan Tape'!$S$4:$S$303*'Loan Tape'!$R$4:$R$303)/E50,"-")</f>
        <v>0.929</v>
      </c>
      <c r="R50" s="91" t="s">
        <v>268</v>
      </c>
    </row>
    <row r="51" customFormat="false" ht="14.25" hidden="false" customHeight="false" outlineLevel="0" collapsed="false">
      <c r="B51" s="7" t="str">
        <f aca="false">R51</f>
        <v>AZ</v>
      </c>
      <c r="C51" s="68" t="n">
        <f aca="false">COUNTIFS('Loan Tape'!$C$4:$C$303,R51,'Loan Tape'!$E$4:$E$303,'Deal Strat'!$C$12)</f>
        <v>1</v>
      </c>
      <c r="D51" s="68" t="n">
        <f aca="false">SUMPRODUCT((('Loan Tape'!$R$4:$R$303&lt;&gt;"")*('Loan Tape'!$C$4:$C$303=R51)*('Loan Tape'!$E$4:$E$303='Deal Strat'!$C$12))*'Loan Tape'!$F$4:$F$303)</f>
        <v>0</v>
      </c>
      <c r="E51" s="84" t="n">
        <f aca="false">SUMIFS('Loan Tape'!$R$4:$R$303,'Loan Tape'!$C$4:$C$303,R51,'Loan Tape'!$E$4:$E$303,'Deal Strat'!$C$12)</f>
        <v>120313000</v>
      </c>
      <c r="F51" s="69" t="n">
        <f aca="false">IFERROR(E51/C5,0)</f>
        <v>0.322999191918107</v>
      </c>
      <c r="G51" s="85" t="n">
        <f aca="false">IFERROR(SUMPRODUCT((('Loan Tape'!$R$4:$R$303&lt;&gt;"")*('Loan Tape'!$C$4:$C$303=R51)*('Loan Tape'!$E$4:$E$303='Deal Strat'!$C$12))*'Loan Tape'!$U$4:$U$303*'Loan Tape'!$R$4:$R$303)/E51,"-")</f>
        <v>1.38</v>
      </c>
      <c r="H51" s="68" t="n">
        <f aca="false">IFERROR(SUMPRODUCT((('Loan Tape'!$R$4:$R$303&lt;&gt;"")*('Loan Tape'!$C$4:$C$303=R51)*('Loan Tape'!$E$4:$E$303='Deal Strat'!$C$12))*'Loan Tape'!$AH$4:$AH$303*'Loan Tape'!$R$4:$R$303)/E51,"-")</f>
        <v>100</v>
      </c>
      <c r="I51" s="68" t="n">
        <f aca="false">IFERROR(SUMPRODUCT((('Loan Tape'!$R$4:$R$303&lt;&gt;"")*('Loan Tape'!$C$4:$C$303=R51)*('Loan Tape'!$E$4:$E$303='Deal Strat'!$C$12))*(('Loan Tape'!$H$4:$H$303-$C$4)/30.4375)*'Loan Tape'!$R$4:$R$303)/E51,"-")</f>
        <v>20.041067761807</v>
      </c>
      <c r="J51" s="69" t="n">
        <f aca="false">IFERROR(SUMPRODUCT((('Loan Tape'!$R$4:$R$303&lt;&gt;"")*('Loan Tape'!$C$4:$C$303=R51)*('Loan Tape'!$E$4:$E$303='Deal Strat'!$C$12))*('Loan Tape'!$K$4:$K$303="Floating")*'Loan Tape'!$R$4:$R$303)/E51,"-")</f>
        <v>1</v>
      </c>
      <c r="K51" s="69" t="n">
        <f aca="false">IFERROR(SUMPRODUCT((('Loan Tape'!$R$4:$R$303&lt;&gt;"")*('Loan Tape'!$C$4:$C$303=R51)*('Loan Tape'!$E$4:$E$303='Deal Strat'!$C$12))*'Loan Tape'!$T$4:$T$303*'Loan Tape'!$R$4:$R$303)/E51,"-")</f>
        <v>0.0814</v>
      </c>
      <c r="L51" s="69" t="n">
        <f aca="false">IFERROR(SUMPRODUCT((('Loan Tape'!$R$4:$R$303&lt;&gt;"")*('Loan Tape'!$C$4:$C$303=R51)*('Loan Tape'!$E$4:$E$303='Deal Strat'!$C$12))*'Loan Tape'!$V$4:$V$303*'Loan Tape'!$R$4:$R$303)/E51,"-")</f>
        <v>0.663</v>
      </c>
      <c r="M51" s="69" t="n">
        <f aca="false">IFERROR(SUMPRODUCT((('Loan Tape'!$R$4:$R$303&lt;&gt;"")*('Loan Tape'!$C$4:$C$303=R51)*('Loan Tape'!$E$4:$E$303='Deal Strat'!$C$12))*'Loan Tape'!$W$4:$W$303*'Loan Tape'!$R$4:$R$303)/E51,"-")</f>
        <v>0.69</v>
      </c>
      <c r="N51" s="69" t="n">
        <f aca="false">IFERROR(SUMPRODUCT((('Loan Tape'!$R$4:$R$303&lt;&gt;"")*('Loan Tape'!$C$4:$C$303=R51)*('Loan Tape'!$E$4:$E$303='Deal Strat'!$C$12))*'Loan Tape'!$AI$4:$AI$303*'Loan Tape'!$R$4:$R$303)/E51,"-")</f>
        <v>0.083</v>
      </c>
      <c r="O51" s="69" t="n">
        <f aca="false">IFERROR(SUMPRODUCT((('Loan Tape'!$R$4:$R$303&lt;&gt;"")*('Loan Tape'!$C$4:$C$303=R51)*('Loan Tape'!$E$4:$E$303='Deal Strat'!$C$12))*'Loan Tape'!$AK$4:$AK$303*'Loan Tape'!$R$4:$R$303)/E51,"-")</f>
        <v>0.098</v>
      </c>
      <c r="P51" s="69" t="n">
        <f aca="false">IFERROR(SUMPRODUCT((('Loan Tape'!$R$4:$R$303&lt;&gt;"")*('Loan Tape'!$C$4:$C$303=R51)*('Loan Tape'!$E$4:$E$303='Deal Strat'!$C$12))*'Loan Tape'!$S$4:$S$303*'Loan Tape'!$R$4:$R$303)/E51,"-")</f>
        <v>0.784</v>
      </c>
      <c r="R51" s="91" t="s">
        <v>360</v>
      </c>
    </row>
    <row r="52" customFormat="false" ht="14.25" hidden="false" customHeight="false" outlineLevel="0" collapsed="false">
      <c r="B52" s="7" t="str">
        <f aca="false">R52</f>
        <v>VA</v>
      </c>
      <c r="C52" s="68" t="n">
        <f aca="false">COUNTIFS('Loan Tape'!$C$4:$C$303,R52,'Loan Tape'!$E$4:$E$303,'Deal Strat'!$C$12)</f>
        <v>1</v>
      </c>
      <c r="D52" s="68" t="n">
        <f aca="false">SUMPRODUCT((('Loan Tape'!$R$4:$R$303&lt;&gt;"")*('Loan Tape'!$C$4:$C$303=R52)*('Loan Tape'!$E$4:$E$303='Deal Strat'!$C$12))*'Loan Tape'!$F$4:$F$303)</f>
        <v>184</v>
      </c>
      <c r="E52" s="84" t="n">
        <f aca="false">SUMIFS('Loan Tape'!$R$4:$R$303,'Loan Tape'!$C$4:$C$303,R52,'Loan Tape'!$E$4:$E$303,'Deal Strat'!$C$12)</f>
        <v>63125000</v>
      </c>
      <c r="F52" s="69" t="n">
        <f aca="false">IFERROR(E52/C5,0)</f>
        <v>0.169469001602741</v>
      </c>
      <c r="G52" s="85" t="n">
        <f aca="false">IFERROR(SUMPRODUCT((('Loan Tape'!$R$4:$R$303&lt;&gt;"")*('Loan Tape'!$C$4:$C$303=R52)*('Loan Tape'!$E$4:$E$303='Deal Strat'!$C$12))*'Loan Tape'!$U$4:$U$303*'Loan Tape'!$R$4:$R$303)/E52,"-")</f>
        <v>1.5</v>
      </c>
      <c r="H52" s="68" t="n">
        <f aca="false">IFERROR(SUMPRODUCT((('Loan Tape'!$R$4:$R$303&lt;&gt;"")*('Loan Tape'!$C$4:$C$303=R52)*('Loan Tape'!$E$4:$E$303='Deal Strat'!$C$12))*'Loan Tape'!$AH$4:$AH$303*'Loan Tape'!$R$4:$R$303)/E52,"-")</f>
        <v>103</v>
      </c>
      <c r="I52" s="68" t="n">
        <f aca="false">IFERROR(SUMPRODUCT((('Loan Tape'!$R$4:$R$303&lt;&gt;"")*('Loan Tape'!$C$4:$C$303=R52)*('Loan Tape'!$E$4:$E$303='Deal Strat'!$C$12))*(('Loan Tape'!$H$4:$H$303-$C$4)/30.4375)*'Loan Tape'!$R$4:$R$303)/E52,"-")</f>
        <v>17.0184804928131</v>
      </c>
      <c r="J52" s="69" t="n">
        <f aca="false">IFERROR(SUMPRODUCT((('Loan Tape'!$R$4:$R$303&lt;&gt;"")*('Loan Tape'!$C$4:$C$303=R52)*('Loan Tape'!$E$4:$E$303='Deal Strat'!$C$12))*('Loan Tape'!$K$4:$K$303="Floating")*'Loan Tape'!$R$4:$R$303)/E52,"-")</f>
        <v>1</v>
      </c>
      <c r="K52" s="69" t="n">
        <f aca="false">IFERROR(SUMPRODUCT((('Loan Tape'!$R$4:$R$303&lt;&gt;"")*('Loan Tape'!$C$4:$C$303=R52)*('Loan Tape'!$E$4:$E$303='Deal Strat'!$C$12))*'Loan Tape'!$T$4:$T$303*'Loan Tape'!$R$4:$R$303)/E52,"-")</f>
        <v>0.0745</v>
      </c>
      <c r="L52" s="69" t="n">
        <f aca="false">IFERROR(SUMPRODUCT((('Loan Tape'!$R$4:$R$303&lt;&gt;"")*('Loan Tape'!$C$4:$C$303=R52)*('Loan Tape'!$E$4:$E$303='Deal Strat'!$C$12))*'Loan Tape'!$V$4:$V$303*'Loan Tape'!$R$4:$R$303)/E52,"-")</f>
        <v>0.583</v>
      </c>
      <c r="M52" s="69" t="n">
        <f aca="false">IFERROR(SUMPRODUCT((('Loan Tape'!$R$4:$R$303&lt;&gt;"")*('Loan Tape'!$C$4:$C$303=R52)*('Loan Tape'!$E$4:$E$303='Deal Strat'!$C$12))*'Loan Tape'!$W$4:$W$303*'Loan Tape'!$R$4:$R$303)/E52,"-")</f>
        <v>0.613</v>
      </c>
      <c r="N52" s="69" t="n">
        <f aca="false">IFERROR(SUMPRODUCT((('Loan Tape'!$R$4:$R$303&lt;&gt;"")*('Loan Tape'!$C$4:$C$303=R52)*('Loan Tape'!$E$4:$E$303='Deal Strat'!$C$12))*'Loan Tape'!$AI$4:$AI$303*'Loan Tape'!$R$4:$R$303)/E52,"-")</f>
        <v>0.0649</v>
      </c>
      <c r="O52" s="69" t="n">
        <f aca="false">IFERROR(SUMPRODUCT((('Loan Tape'!$R$4:$R$303&lt;&gt;"")*('Loan Tape'!$C$4:$C$303=R52)*('Loan Tape'!$E$4:$E$303='Deal Strat'!$C$12))*'Loan Tape'!$AK$4:$AK$303*'Loan Tape'!$R$4:$R$303)/E52,"-")</f>
        <v>0.0799</v>
      </c>
      <c r="P52" s="69" t="n">
        <f aca="false">IFERROR(SUMPRODUCT((('Loan Tape'!$R$4:$R$303&lt;&gt;"")*('Loan Tape'!$C$4:$C$303=R52)*('Loan Tape'!$E$4:$E$303='Deal Strat'!$C$12))*'Loan Tape'!$S$4:$S$303*'Loan Tape'!$R$4:$R$303)/E52,"-")</f>
        <v>0.817</v>
      </c>
      <c r="R52" s="91" t="s">
        <v>306</v>
      </c>
    </row>
    <row r="53" customFormat="false" ht="14.25" hidden="false" customHeight="false" outlineLevel="0" collapsed="false">
      <c r="B53" s="7" t="str">
        <f aca="false">R53</f>
        <v>IL</v>
      </c>
      <c r="C53" s="68" t="n">
        <f aca="false">COUNTIFS('Loan Tape'!$C$4:$C$303,R53,'Loan Tape'!$E$4:$E$303,'Deal Strat'!$C$12)</f>
        <v>0</v>
      </c>
      <c r="D53" s="68" t="n">
        <f aca="false">SUMPRODUCT((('Loan Tape'!$R$4:$R$303&lt;&gt;"")*('Loan Tape'!$C$4:$C$303=R53)*('Loan Tape'!$E$4:$E$303='Deal Strat'!$C$12))*'Loan Tape'!$F$4:$F$303)</f>
        <v>0</v>
      </c>
      <c r="E53" s="84" t="n">
        <f aca="false">SUMIFS('Loan Tape'!$R$4:$R$303,'Loan Tape'!$C$4:$C$303,R53,'Loan Tape'!$E$4:$E$303,'Deal Strat'!$C$12)</f>
        <v>0</v>
      </c>
      <c r="F53" s="69" t="n">
        <f aca="false">IFERROR(E53/C5,0)</f>
        <v>0</v>
      </c>
      <c r="G53" s="85" t="str">
        <f aca="false">IFERROR(SUMPRODUCT((('Loan Tape'!$R$4:$R$303&lt;&gt;"")*('Loan Tape'!$C$4:$C$303=R53)*('Loan Tape'!$E$4:$E$303='Deal Strat'!$C$12))*'Loan Tape'!$U$4:$U$303*'Loan Tape'!$R$4:$R$303)/E53,"-")</f>
        <v>-</v>
      </c>
      <c r="H53" s="68" t="str">
        <f aca="false">IFERROR(SUMPRODUCT((('Loan Tape'!$R$4:$R$303&lt;&gt;"")*('Loan Tape'!$C$4:$C$303=R53)*('Loan Tape'!$E$4:$E$303='Deal Strat'!$C$12))*'Loan Tape'!$AH$4:$AH$303*'Loan Tape'!$R$4:$R$303)/E53,"-")</f>
        <v>-</v>
      </c>
      <c r="I53" s="68" t="str">
        <f aca="false">IFERROR(SUMPRODUCT((('Loan Tape'!$R$4:$R$303&lt;&gt;"")*('Loan Tape'!$C$4:$C$303=R53)*('Loan Tape'!$E$4:$E$303='Deal Strat'!$C$12))*(('Loan Tape'!$H$4:$H$303-$C$4)/30.4375)*'Loan Tape'!$R$4:$R$303)/E53,"-")</f>
        <v>-</v>
      </c>
      <c r="J53" s="69" t="str">
        <f aca="false">IFERROR(SUMPRODUCT((('Loan Tape'!$R$4:$R$303&lt;&gt;"")*('Loan Tape'!$C$4:$C$303=R53)*('Loan Tape'!$E$4:$E$303='Deal Strat'!$C$12))*('Loan Tape'!$K$4:$K$303="Floating")*'Loan Tape'!$R$4:$R$303)/E53,"-")</f>
        <v>-</v>
      </c>
      <c r="K53" s="69" t="str">
        <f aca="false">IFERROR(SUMPRODUCT((('Loan Tape'!$R$4:$R$303&lt;&gt;"")*('Loan Tape'!$C$4:$C$303=R53)*('Loan Tape'!$E$4:$E$303='Deal Strat'!$C$12))*'Loan Tape'!$T$4:$T$303*'Loan Tape'!$R$4:$R$303)/E53,"-")</f>
        <v>-</v>
      </c>
      <c r="L53" s="69" t="str">
        <f aca="false">IFERROR(SUMPRODUCT((('Loan Tape'!$R$4:$R$303&lt;&gt;"")*('Loan Tape'!$C$4:$C$303=R53)*('Loan Tape'!$E$4:$E$303='Deal Strat'!$C$12))*'Loan Tape'!$V$4:$V$303*'Loan Tape'!$R$4:$R$303)/E53,"-")</f>
        <v>-</v>
      </c>
      <c r="M53" s="69" t="str">
        <f aca="false">IFERROR(SUMPRODUCT((('Loan Tape'!$R$4:$R$303&lt;&gt;"")*('Loan Tape'!$C$4:$C$303=R53)*('Loan Tape'!$E$4:$E$303='Deal Strat'!$C$12))*'Loan Tape'!$W$4:$W$303*'Loan Tape'!$R$4:$R$303)/E53,"-")</f>
        <v>-</v>
      </c>
      <c r="N53" s="69" t="str">
        <f aca="false">IFERROR(SUMPRODUCT((('Loan Tape'!$R$4:$R$303&lt;&gt;"")*('Loan Tape'!$C$4:$C$303=R53)*('Loan Tape'!$E$4:$E$303='Deal Strat'!$C$12))*'Loan Tape'!$AI$4:$AI$303*'Loan Tape'!$R$4:$R$303)/E53,"-")</f>
        <v>-</v>
      </c>
      <c r="O53" s="69" t="str">
        <f aca="false">IFERROR(SUMPRODUCT((('Loan Tape'!$R$4:$R$303&lt;&gt;"")*('Loan Tape'!$C$4:$C$303=R53)*('Loan Tape'!$E$4:$E$303='Deal Strat'!$C$12))*'Loan Tape'!$AK$4:$AK$303*'Loan Tape'!$R$4:$R$303)/E53,"-")</f>
        <v>-</v>
      </c>
      <c r="P53" s="69" t="str">
        <f aca="false">IFERROR(SUMPRODUCT((('Loan Tape'!$R$4:$R$303&lt;&gt;"")*('Loan Tape'!$C$4:$C$303=R53)*('Loan Tape'!$E$4:$E$303='Deal Strat'!$C$12))*'Loan Tape'!$S$4:$S$303*'Loan Tape'!$R$4:$R$303)/E53,"-")</f>
        <v>-</v>
      </c>
      <c r="R53" s="91" t="s">
        <v>288</v>
      </c>
    </row>
    <row r="54" customFormat="false" ht="14.25" hidden="false" customHeight="false" outlineLevel="0" collapsed="false">
      <c r="B54" s="7" t="str">
        <f aca="false">R54</f>
        <v>WA</v>
      </c>
      <c r="C54" s="68" t="n">
        <f aca="false">COUNTIFS('Loan Tape'!$C$4:$C$303,R54,'Loan Tape'!$E$4:$E$303,'Deal Strat'!$C$12)</f>
        <v>0</v>
      </c>
      <c r="D54" s="68" t="n">
        <f aca="false">SUMPRODUCT((('Loan Tape'!$R$4:$R$303&lt;&gt;"")*('Loan Tape'!$C$4:$C$303=R54)*('Loan Tape'!$E$4:$E$303='Deal Strat'!$C$12))*'Loan Tape'!$F$4:$F$303)</f>
        <v>0</v>
      </c>
      <c r="E54" s="84" t="n">
        <f aca="false">SUMIFS('Loan Tape'!$R$4:$R$303,'Loan Tape'!$C$4:$C$303,R54,'Loan Tape'!$E$4:$E$303,'Deal Strat'!$C$12)</f>
        <v>0</v>
      </c>
      <c r="F54" s="69" t="n">
        <f aca="false">IFERROR(E54/C5,0)</f>
        <v>0</v>
      </c>
      <c r="G54" s="85" t="str">
        <f aca="false">IFERROR(SUMPRODUCT((('Loan Tape'!$R$4:$R$303&lt;&gt;"")*('Loan Tape'!$C$4:$C$303=R54)*('Loan Tape'!$E$4:$E$303='Deal Strat'!$C$12))*'Loan Tape'!$U$4:$U$303*'Loan Tape'!$R$4:$R$303)/E54,"-")</f>
        <v>-</v>
      </c>
      <c r="H54" s="68" t="str">
        <f aca="false">IFERROR(SUMPRODUCT((('Loan Tape'!$R$4:$R$303&lt;&gt;"")*('Loan Tape'!$C$4:$C$303=R54)*('Loan Tape'!$E$4:$E$303='Deal Strat'!$C$12))*'Loan Tape'!$AH$4:$AH$303*'Loan Tape'!$R$4:$R$303)/E54,"-")</f>
        <v>-</v>
      </c>
      <c r="I54" s="68" t="str">
        <f aca="false">IFERROR(SUMPRODUCT((('Loan Tape'!$R$4:$R$303&lt;&gt;"")*('Loan Tape'!$C$4:$C$303=R54)*('Loan Tape'!$E$4:$E$303='Deal Strat'!$C$12))*(('Loan Tape'!$H$4:$H$303-$C$4)/30.4375)*'Loan Tape'!$R$4:$R$303)/E54,"-")</f>
        <v>-</v>
      </c>
      <c r="J54" s="69" t="str">
        <f aca="false">IFERROR(SUMPRODUCT((('Loan Tape'!$R$4:$R$303&lt;&gt;"")*('Loan Tape'!$C$4:$C$303=R54)*('Loan Tape'!$E$4:$E$303='Deal Strat'!$C$12))*('Loan Tape'!$K$4:$K$303="Floating")*'Loan Tape'!$R$4:$R$303)/E54,"-")</f>
        <v>-</v>
      </c>
      <c r="K54" s="69" t="str">
        <f aca="false">IFERROR(SUMPRODUCT((('Loan Tape'!$R$4:$R$303&lt;&gt;"")*('Loan Tape'!$C$4:$C$303=R54)*('Loan Tape'!$E$4:$E$303='Deal Strat'!$C$12))*'Loan Tape'!$T$4:$T$303*'Loan Tape'!$R$4:$R$303)/E54,"-")</f>
        <v>-</v>
      </c>
      <c r="L54" s="69" t="str">
        <f aca="false">IFERROR(SUMPRODUCT((('Loan Tape'!$R$4:$R$303&lt;&gt;"")*('Loan Tape'!$C$4:$C$303=R54)*('Loan Tape'!$E$4:$E$303='Deal Strat'!$C$12))*'Loan Tape'!$V$4:$V$303*'Loan Tape'!$R$4:$R$303)/E54,"-")</f>
        <v>-</v>
      </c>
      <c r="M54" s="69" t="str">
        <f aca="false">IFERROR(SUMPRODUCT((('Loan Tape'!$R$4:$R$303&lt;&gt;"")*('Loan Tape'!$C$4:$C$303=R54)*('Loan Tape'!$E$4:$E$303='Deal Strat'!$C$12))*'Loan Tape'!$W$4:$W$303*'Loan Tape'!$R$4:$R$303)/E54,"-")</f>
        <v>-</v>
      </c>
      <c r="N54" s="69" t="str">
        <f aca="false">IFERROR(SUMPRODUCT((('Loan Tape'!$R$4:$R$303&lt;&gt;"")*('Loan Tape'!$C$4:$C$303=R54)*('Loan Tape'!$E$4:$E$303='Deal Strat'!$C$12))*'Loan Tape'!$AI$4:$AI$303*'Loan Tape'!$R$4:$R$303)/E54,"-")</f>
        <v>-</v>
      </c>
      <c r="O54" s="69" t="str">
        <f aca="false">IFERROR(SUMPRODUCT((('Loan Tape'!$R$4:$R$303&lt;&gt;"")*('Loan Tape'!$C$4:$C$303=R54)*('Loan Tape'!$E$4:$E$303='Deal Strat'!$C$12))*'Loan Tape'!$AK$4:$AK$303*'Loan Tape'!$R$4:$R$303)/E54,"-")</f>
        <v>-</v>
      </c>
      <c r="P54" s="69" t="str">
        <f aca="false">IFERROR(SUMPRODUCT((('Loan Tape'!$R$4:$R$303&lt;&gt;"")*('Loan Tape'!$C$4:$C$303=R54)*('Loan Tape'!$E$4:$E$303='Deal Strat'!$C$12))*'Loan Tape'!$S$4:$S$303*'Loan Tape'!$R$4:$R$303)/E54,"-")</f>
        <v>-</v>
      </c>
      <c r="R54" s="91" t="s">
        <v>243</v>
      </c>
    </row>
    <row r="55" customFormat="false" ht="14.25" hidden="false" customHeight="false" outlineLevel="0" collapsed="false">
      <c r="B55" s="7" t="str">
        <f aca="false">R55</f>
        <v>CO</v>
      </c>
      <c r="C55" s="68" t="n">
        <f aca="false">COUNTIFS('Loan Tape'!$C$4:$C$303,R55,'Loan Tape'!$E$4:$E$303,'Deal Strat'!$C$12)</f>
        <v>0</v>
      </c>
      <c r="D55" s="68" t="n">
        <f aca="false">SUMPRODUCT((('Loan Tape'!$R$4:$R$303&lt;&gt;"")*('Loan Tape'!$C$4:$C$303=R55)*('Loan Tape'!$E$4:$E$303='Deal Strat'!$C$12))*'Loan Tape'!$F$4:$F$303)</f>
        <v>0</v>
      </c>
      <c r="E55" s="84" t="n">
        <f aca="false">SUMIFS('Loan Tape'!$R$4:$R$303,'Loan Tape'!$C$4:$C$303,R55,'Loan Tape'!$E$4:$E$303,'Deal Strat'!$C$12)</f>
        <v>0</v>
      </c>
      <c r="F55" s="69" t="n">
        <f aca="false">IFERROR(E55/C5,0)</f>
        <v>0</v>
      </c>
      <c r="G55" s="85" t="str">
        <f aca="false">IFERROR(SUMPRODUCT((('Loan Tape'!$R$4:$R$303&lt;&gt;"")*('Loan Tape'!$C$4:$C$303=R55)*('Loan Tape'!$E$4:$E$303='Deal Strat'!$C$12))*'Loan Tape'!$U$4:$U$303*'Loan Tape'!$R$4:$R$303)/E55,"-")</f>
        <v>-</v>
      </c>
      <c r="H55" s="68" t="str">
        <f aca="false">IFERROR(SUMPRODUCT((('Loan Tape'!$R$4:$R$303&lt;&gt;"")*('Loan Tape'!$C$4:$C$303=R55)*('Loan Tape'!$E$4:$E$303='Deal Strat'!$C$12))*'Loan Tape'!$AH$4:$AH$303*'Loan Tape'!$R$4:$R$303)/E55,"-")</f>
        <v>-</v>
      </c>
      <c r="I55" s="68" t="str">
        <f aca="false">IFERROR(SUMPRODUCT((('Loan Tape'!$R$4:$R$303&lt;&gt;"")*('Loan Tape'!$C$4:$C$303=R55)*('Loan Tape'!$E$4:$E$303='Deal Strat'!$C$12))*(('Loan Tape'!$H$4:$H$303-$C$4)/30.4375)*'Loan Tape'!$R$4:$R$303)/E55,"-")</f>
        <v>-</v>
      </c>
      <c r="J55" s="69" t="str">
        <f aca="false">IFERROR(SUMPRODUCT((('Loan Tape'!$R$4:$R$303&lt;&gt;"")*('Loan Tape'!$C$4:$C$303=R55)*('Loan Tape'!$E$4:$E$303='Deal Strat'!$C$12))*('Loan Tape'!$K$4:$K$303="Floating")*'Loan Tape'!$R$4:$R$303)/E55,"-")</f>
        <v>-</v>
      </c>
      <c r="K55" s="69" t="str">
        <f aca="false">IFERROR(SUMPRODUCT((('Loan Tape'!$R$4:$R$303&lt;&gt;"")*('Loan Tape'!$C$4:$C$303=R55)*('Loan Tape'!$E$4:$E$303='Deal Strat'!$C$12))*'Loan Tape'!$T$4:$T$303*'Loan Tape'!$R$4:$R$303)/E55,"-")</f>
        <v>-</v>
      </c>
      <c r="L55" s="69" t="str">
        <f aca="false">IFERROR(SUMPRODUCT((('Loan Tape'!$R$4:$R$303&lt;&gt;"")*('Loan Tape'!$C$4:$C$303=R55)*('Loan Tape'!$E$4:$E$303='Deal Strat'!$C$12))*'Loan Tape'!$V$4:$V$303*'Loan Tape'!$R$4:$R$303)/E55,"-")</f>
        <v>-</v>
      </c>
      <c r="M55" s="69" t="str">
        <f aca="false">IFERROR(SUMPRODUCT((('Loan Tape'!$R$4:$R$303&lt;&gt;"")*('Loan Tape'!$C$4:$C$303=R55)*('Loan Tape'!$E$4:$E$303='Deal Strat'!$C$12))*'Loan Tape'!$W$4:$W$303*'Loan Tape'!$R$4:$R$303)/E55,"-")</f>
        <v>-</v>
      </c>
      <c r="N55" s="69" t="str">
        <f aca="false">IFERROR(SUMPRODUCT((('Loan Tape'!$R$4:$R$303&lt;&gt;"")*('Loan Tape'!$C$4:$C$303=R55)*('Loan Tape'!$E$4:$E$303='Deal Strat'!$C$12))*'Loan Tape'!$AI$4:$AI$303*'Loan Tape'!$R$4:$R$303)/E55,"-")</f>
        <v>-</v>
      </c>
      <c r="O55" s="69" t="str">
        <f aca="false">IFERROR(SUMPRODUCT((('Loan Tape'!$R$4:$R$303&lt;&gt;"")*('Loan Tape'!$C$4:$C$303=R55)*('Loan Tape'!$E$4:$E$303='Deal Strat'!$C$12))*'Loan Tape'!$AK$4:$AK$303*'Loan Tape'!$R$4:$R$303)/E55,"-")</f>
        <v>-</v>
      </c>
      <c r="P55" s="69" t="str">
        <f aca="false">IFERROR(SUMPRODUCT((('Loan Tape'!$R$4:$R$303&lt;&gt;"")*('Loan Tape'!$C$4:$C$303=R55)*('Loan Tape'!$E$4:$E$303='Deal Strat'!$C$12))*'Loan Tape'!$S$4:$S$303*'Loan Tape'!$R$4:$R$303)/E55,"-")</f>
        <v>-</v>
      </c>
      <c r="R55" s="91" t="s">
        <v>227</v>
      </c>
    </row>
    <row r="56" customFormat="false" ht="14.25" hidden="false" customHeight="false" outlineLevel="0" collapsed="false">
      <c r="B56" s="7" t="str">
        <f aca="false">R56</f>
        <v>OH</v>
      </c>
      <c r="C56" s="68" t="n">
        <f aca="false">COUNTIFS('Loan Tape'!$C$4:$C$303,R56,'Loan Tape'!$E$4:$E$303,'Deal Strat'!$C$12)</f>
        <v>0</v>
      </c>
      <c r="D56" s="68" t="n">
        <f aca="false">SUMPRODUCT((('Loan Tape'!$R$4:$R$303&lt;&gt;"")*('Loan Tape'!$C$4:$C$303=R56)*('Loan Tape'!$E$4:$E$303='Deal Strat'!$C$12))*'Loan Tape'!$F$4:$F$303)</f>
        <v>0</v>
      </c>
      <c r="E56" s="84" t="n">
        <f aca="false">SUMIFS('Loan Tape'!$R$4:$R$303,'Loan Tape'!$C$4:$C$303,R56,'Loan Tape'!$E$4:$E$303,'Deal Strat'!$C$12)</f>
        <v>0</v>
      </c>
      <c r="F56" s="69" t="n">
        <f aca="false">IFERROR(E56/C5,0)</f>
        <v>0</v>
      </c>
      <c r="G56" s="85" t="str">
        <f aca="false">IFERROR(SUMPRODUCT((('Loan Tape'!$R$4:$R$303&lt;&gt;"")*('Loan Tape'!$C$4:$C$303=R56)*('Loan Tape'!$E$4:$E$303='Deal Strat'!$C$12))*'Loan Tape'!$U$4:$U$303*'Loan Tape'!$R$4:$R$303)/E56,"-")</f>
        <v>-</v>
      </c>
      <c r="H56" s="68" t="str">
        <f aca="false">IFERROR(SUMPRODUCT((('Loan Tape'!$R$4:$R$303&lt;&gt;"")*('Loan Tape'!$C$4:$C$303=R56)*('Loan Tape'!$E$4:$E$303='Deal Strat'!$C$12))*'Loan Tape'!$AH$4:$AH$303*'Loan Tape'!$R$4:$R$303)/E56,"-")</f>
        <v>-</v>
      </c>
      <c r="I56" s="68" t="str">
        <f aca="false">IFERROR(SUMPRODUCT((('Loan Tape'!$R$4:$R$303&lt;&gt;"")*('Loan Tape'!$C$4:$C$303=R56)*('Loan Tape'!$E$4:$E$303='Deal Strat'!$C$12))*(('Loan Tape'!$H$4:$H$303-$C$4)/30.4375)*'Loan Tape'!$R$4:$R$303)/E56,"-")</f>
        <v>-</v>
      </c>
      <c r="J56" s="69" t="str">
        <f aca="false">IFERROR(SUMPRODUCT((('Loan Tape'!$R$4:$R$303&lt;&gt;"")*('Loan Tape'!$C$4:$C$303=R56)*('Loan Tape'!$E$4:$E$303='Deal Strat'!$C$12))*('Loan Tape'!$K$4:$K$303="Floating")*'Loan Tape'!$R$4:$R$303)/E56,"-")</f>
        <v>-</v>
      </c>
      <c r="K56" s="69" t="str">
        <f aca="false">IFERROR(SUMPRODUCT((('Loan Tape'!$R$4:$R$303&lt;&gt;"")*('Loan Tape'!$C$4:$C$303=R56)*('Loan Tape'!$E$4:$E$303='Deal Strat'!$C$12))*'Loan Tape'!$T$4:$T$303*'Loan Tape'!$R$4:$R$303)/E56,"-")</f>
        <v>-</v>
      </c>
      <c r="L56" s="69" t="str">
        <f aca="false">IFERROR(SUMPRODUCT((('Loan Tape'!$R$4:$R$303&lt;&gt;"")*('Loan Tape'!$C$4:$C$303=R56)*('Loan Tape'!$E$4:$E$303='Deal Strat'!$C$12))*'Loan Tape'!$V$4:$V$303*'Loan Tape'!$R$4:$R$303)/E56,"-")</f>
        <v>-</v>
      </c>
      <c r="M56" s="69" t="str">
        <f aca="false">IFERROR(SUMPRODUCT((('Loan Tape'!$R$4:$R$303&lt;&gt;"")*('Loan Tape'!$C$4:$C$303=R56)*('Loan Tape'!$E$4:$E$303='Deal Strat'!$C$12))*'Loan Tape'!$W$4:$W$303*'Loan Tape'!$R$4:$R$303)/E56,"-")</f>
        <v>-</v>
      </c>
      <c r="N56" s="69" t="str">
        <f aca="false">IFERROR(SUMPRODUCT((('Loan Tape'!$R$4:$R$303&lt;&gt;"")*('Loan Tape'!$C$4:$C$303=R56)*('Loan Tape'!$E$4:$E$303='Deal Strat'!$C$12))*'Loan Tape'!$AI$4:$AI$303*'Loan Tape'!$R$4:$R$303)/E56,"-")</f>
        <v>-</v>
      </c>
      <c r="O56" s="69" t="str">
        <f aca="false">IFERROR(SUMPRODUCT((('Loan Tape'!$R$4:$R$303&lt;&gt;"")*('Loan Tape'!$C$4:$C$303=R56)*('Loan Tape'!$E$4:$E$303='Deal Strat'!$C$12))*'Loan Tape'!$AK$4:$AK$303*'Loan Tape'!$R$4:$R$303)/E56,"-")</f>
        <v>-</v>
      </c>
      <c r="P56" s="69" t="str">
        <f aca="false">IFERROR(SUMPRODUCT((('Loan Tape'!$R$4:$R$303&lt;&gt;"")*('Loan Tape'!$C$4:$C$303=R56)*('Loan Tape'!$E$4:$E$303='Deal Strat'!$C$12))*'Loan Tape'!$S$4:$S$303*'Loan Tape'!$R$4:$R$303)/E56,"-")</f>
        <v>-</v>
      </c>
      <c r="R56" s="91" t="s">
        <v>323</v>
      </c>
    </row>
    <row r="57" customFormat="false" ht="14.25" hidden="false" customHeight="false" outlineLevel="0" collapsed="false">
      <c r="B57" s="7" t="str">
        <f aca="false">R57</f>
        <v>TN</v>
      </c>
      <c r="C57" s="68" t="n">
        <f aca="false">COUNTIFS('Loan Tape'!$C$4:$C$303,R57,'Loan Tape'!$E$4:$E$303,'Deal Strat'!$C$12)</f>
        <v>0</v>
      </c>
      <c r="D57" s="68" t="n">
        <f aca="false">SUMPRODUCT((('Loan Tape'!$R$4:$R$303&lt;&gt;"")*('Loan Tape'!$C$4:$C$303=R57)*('Loan Tape'!$E$4:$E$303='Deal Strat'!$C$12))*'Loan Tape'!$F$4:$F$303)</f>
        <v>0</v>
      </c>
      <c r="E57" s="84" t="n">
        <f aca="false">SUMIFS('Loan Tape'!$R$4:$R$303,'Loan Tape'!$C$4:$C$303,R57,'Loan Tape'!$E$4:$E$303,'Deal Strat'!$C$12)</f>
        <v>0</v>
      </c>
      <c r="F57" s="69" t="n">
        <f aca="false">IFERROR(E57/C5,0)</f>
        <v>0</v>
      </c>
      <c r="G57" s="85" t="str">
        <f aca="false">IFERROR(SUMPRODUCT((('Loan Tape'!$R$4:$R$303&lt;&gt;"")*('Loan Tape'!$C$4:$C$303=R57)*('Loan Tape'!$E$4:$E$303='Deal Strat'!$C$12))*'Loan Tape'!$U$4:$U$303*'Loan Tape'!$R$4:$R$303)/E57,"-")</f>
        <v>-</v>
      </c>
      <c r="H57" s="68" t="str">
        <f aca="false">IFERROR(SUMPRODUCT((('Loan Tape'!$R$4:$R$303&lt;&gt;"")*('Loan Tape'!$C$4:$C$303=R57)*('Loan Tape'!$E$4:$E$303='Deal Strat'!$C$12))*'Loan Tape'!$AH$4:$AH$303*'Loan Tape'!$R$4:$R$303)/E57,"-")</f>
        <v>-</v>
      </c>
      <c r="I57" s="68" t="str">
        <f aca="false">IFERROR(SUMPRODUCT((('Loan Tape'!$R$4:$R$303&lt;&gt;"")*('Loan Tape'!$C$4:$C$303=R57)*('Loan Tape'!$E$4:$E$303='Deal Strat'!$C$12))*(('Loan Tape'!$H$4:$H$303-$C$4)/30.4375)*'Loan Tape'!$R$4:$R$303)/E57,"-")</f>
        <v>-</v>
      </c>
      <c r="J57" s="69" t="str">
        <f aca="false">IFERROR(SUMPRODUCT((('Loan Tape'!$R$4:$R$303&lt;&gt;"")*('Loan Tape'!$C$4:$C$303=R57)*('Loan Tape'!$E$4:$E$303='Deal Strat'!$C$12))*('Loan Tape'!$K$4:$K$303="Floating")*'Loan Tape'!$R$4:$R$303)/E57,"-")</f>
        <v>-</v>
      </c>
      <c r="K57" s="69" t="str">
        <f aca="false">IFERROR(SUMPRODUCT((('Loan Tape'!$R$4:$R$303&lt;&gt;"")*('Loan Tape'!$C$4:$C$303=R57)*('Loan Tape'!$E$4:$E$303='Deal Strat'!$C$12))*'Loan Tape'!$T$4:$T$303*'Loan Tape'!$R$4:$R$303)/E57,"-")</f>
        <v>-</v>
      </c>
      <c r="L57" s="69" t="str">
        <f aca="false">IFERROR(SUMPRODUCT((('Loan Tape'!$R$4:$R$303&lt;&gt;"")*('Loan Tape'!$C$4:$C$303=R57)*('Loan Tape'!$E$4:$E$303='Deal Strat'!$C$12))*'Loan Tape'!$V$4:$V$303*'Loan Tape'!$R$4:$R$303)/E57,"-")</f>
        <v>-</v>
      </c>
      <c r="M57" s="69" t="str">
        <f aca="false">IFERROR(SUMPRODUCT((('Loan Tape'!$R$4:$R$303&lt;&gt;"")*('Loan Tape'!$C$4:$C$303=R57)*('Loan Tape'!$E$4:$E$303='Deal Strat'!$C$12))*'Loan Tape'!$W$4:$W$303*'Loan Tape'!$R$4:$R$303)/E57,"-")</f>
        <v>-</v>
      </c>
      <c r="N57" s="69" t="str">
        <f aca="false">IFERROR(SUMPRODUCT((('Loan Tape'!$R$4:$R$303&lt;&gt;"")*('Loan Tape'!$C$4:$C$303=R57)*('Loan Tape'!$E$4:$E$303='Deal Strat'!$C$12))*'Loan Tape'!$AI$4:$AI$303*'Loan Tape'!$R$4:$R$303)/E57,"-")</f>
        <v>-</v>
      </c>
      <c r="O57" s="69" t="str">
        <f aca="false">IFERROR(SUMPRODUCT((('Loan Tape'!$R$4:$R$303&lt;&gt;"")*('Loan Tape'!$C$4:$C$303=R57)*('Loan Tape'!$E$4:$E$303='Deal Strat'!$C$12))*'Loan Tape'!$AK$4:$AK$303*'Loan Tape'!$R$4:$R$303)/E57,"-")</f>
        <v>-</v>
      </c>
      <c r="P57" s="69" t="str">
        <f aca="false">IFERROR(SUMPRODUCT((('Loan Tape'!$R$4:$R$303&lt;&gt;"")*('Loan Tape'!$C$4:$C$303=R57)*('Loan Tape'!$E$4:$E$303='Deal Strat'!$C$12))*'Loan Tape'!$S$4:$S$303*'Loan Tape'!$R$4:$R$303)/E57,"-")</f>
        <v>-</v>
      </c>
      <c r="R57" s="91" t="s">
        <v>282</v>
      </c>
    </row>
    <row r="58" customFormat="false" ht="14.25" hidden="false" customHeight="false" outlineLevel="0" collapsed="false">
      <c r="B58" s="7" t="str">
        <f aca="false">R58</f>
        <v>MA</v>
      </c>
      <c r="C58" s="68" t="n">
        <f aca="false">COUNTIFS('Loan Tape'!$C$4:$C$303,R58,'Loan Tape'!$E$4:$E$303,'Deal Strat'!$C$12)</f>
        <v>0</v>
      </c>
      <c r="D58" s="68" t="n">
        <f aca="false">SUMPRODUCT((('Loan Tape'!$R$4:$R$303&lt;&gt;"")*('Loan Tape'!$C$4:$C$303=R58)*('Loan Tape'!$E$4:$E$303='Deal Strat'!$C$12))*'Loan Tape'!$F$4:$F$303)</f>
        <v>0</v>
      </c>
      <c r="E58" s="84" t="n">
        <f aca="false">SUMIFS('Loan Tape'!$R$4:$R$303,'Loan Tape'!$C$4:$C$303,R58,'Loan Tape'!$E$4:$E$303,'Deal Strat'!$C$12)</f>
        <v>0</v>
      </c>
      <c r="F58" s="69" t="n">
        <f aca="false">IFERROR(E58/C5,0)</f>
        <v>0</v>
      </c>
      <c r="G58" s="85" t="str">
        <f aca="false">IFERROR(SUMPRODUCT((('Loan Tape'!$R$4:$R$303&lt;&gt;"")*('Loan Tape'!$C$4:$C$303=R58)*('Loan Tape'!$E$4:$E$303='Deal Strat'!$C$12))*'Loan Tape'!$U$4:$U$303*'Loan Tape'!$R$4:$R$303)/E58,"-")</f>
        <v>-</v>
      </c>
      <c r="H58" s="68" t="str">
        <f aca="false">IFERROR(SUMPRODUCT((('Loan Tape'!$R$4:$R$303&lt;&gt;"")*('Loan Tape'!$C$4:$C$303=R58)*('Loan Tape'!$E$4:$E$303='Deal Strat'!$C$12))*'Loan Tape'!$AH$4:$AH$303*'Loan Tape'!$R$4:$R$303)/E58,"-")</f>
        <v>-</v>
      </c>
      <c r="I58" s="68" t="str">
        <f aca="false">IFERROR(SUMPRODUCT((('Loan Tape'!$R$4:$R$303&lt;&gt;"")*('Loan Tape'!$C$4:$C$303=R58)*('Loan Tape'!$E$4:$E$303='Deal Strat'!$C$12))*(('Loan Tape'!$H$4:$H$303-$C$4)/30.4375)*'Loan Tape'!$R$4:$R$303)/E58,"-")</f>
        <v>-</v>
      </c>
      <c r="J58" s="69" t="str">
        <f aca="false">IFERROR(SUMPRODUCT((('Loan Tape'!$R$4:$R$303&lt;&gt;"")*('Loan Tape'!$C$4:$C$303=R58)*('Loan Tape'!$E$4:$E$303='Deal Strat'!$C$12))*('Loan Tape'!$K$4:$K$303="Floating")*'Loan Tape'!$R$4:$R$303)/E58,"-")</f>
        <v>-</v>
      </c>
      <c r="K58" s="69" t="str">
        <f aca="false">IFERROR(SUMPRODUCT((('Loan Tape'!$R$4:$R$303&lt;&gt;"")*('Loan Tape'!$C$4:$C$303=R58)*('Loan Tape'!$E$4:$E$303='Deal Strat'!$C$12))*'Loan Tape'!$T$4:$T$303*'Loan Tape'!$R$4:$R$303)/E58,"-")</f>
        <v>-</v>
      </c>
      <c r="L58" s="69" t="str">
        <f aca="false">IFERROR(SUMPRODUCT((('Loan Tape'!$R$4:$R$303&lt;&gt;"")*('Loan Tape'!$C$4:$C$303=R58)*('Loan Tape'!$E$4:$E$303='Deal Strat'!$C$12))*'Loan Tape'!$V$4:$V$303*'Loan Tape'!$R$4:$R$303)/E58,"-")</f>
        <v>-</v>
      </c>
      <c r="M58" s="69" t="str">
        <f aca="false">IFERROR(SUMPRODUCT((('Loan Tape'!$R$4:$R$303&lt;&gt;"")*('Loan Tape'!$C$4:$C$303=R58)*('Loan Tape'!$E$4:$E$303='Deal Strat'!$C$12))*'Loan Tape'!$W$4:$W$303*'Loan Tape'!$R$4:$R$303)/E58,"-")</f>
        <v>-</v>
      </c>
      <c r="N58" s="69" t="str">
        <f aca="false">IFERROR(SUMPRODUCT((('Loan Tape'!$R$4:$R$303&lt;&gt;"")*('Loan Tape'!$C$4:$C$303=R58)*('Loan Tape'!$E$4:$E$303='Deal Strat'!$C$12))*'Loan Tape'!$AI$4:$AI$303*'Loan Tape'!$R$4:$R$303)/E58,"-")</f>
        <v>-</v>
      </c>
      <c r="O58" s="69" t="str">
        <f aca="false">IFERROR(SUMPRODUCT((('Loan Tape'!$R$4:$R$303&lt;&gt;"")*('Loan Tape'!$C$4:$C$303=R58)*('Loan Tape'!$E$4:$E$303='Deal Strat'!$C$12))*'Loan Tape'!$AK$4:$AK$303*'Loan Tape'!$R$4:$R$303)/E58,"-")</f>
        <v>-</v>
      </c>
      <c r="P58" s="69" t="str">
        <f aca="false">IFERROR(SUMPRODUCT((('Loan Tape'!$R$4:$R$303&lt;&gt;"")*('Loan Tape'!$C$4:$C$303=R58)*('Loan Tape'!$E$4:$E$303='Deal Strat'!$C$12))*'Loan Tape'!$S$4:$S$303*'Loan Tape'!$R$4:$R$303)/E58,"-")</f>
        <v>-</v>
      </c>
      <c r="R58" s="91" t="s">
        <v>409</v>
      </c>
    </row>
    <row r="59" customFormat="false" ht="14.25" hidden="false" customHeight="false" outlineLevel="0" collapsed="false">
      <c r="B59" s="7" t="str">
        <f aca="false">R59</f>
        <v>NV</v>
      </c>
      <c r="C59" s="68" t="n">
        <f aca="false">COUNTIFS('Loan Tape'!$C$4:$C$303,R59,'Loan Tape'!$E$4:$E$303,'Deal Strat'!$C$12)</f>
        <v>0</v>
      </c>
      <c r="D59" s="68" t="n">
        <f aca="false">SUMPRODUCT((('Loan Tape'!$R$4:$R$303&lt;&gt;"")*('Loan Tape'!$C$4:$C$303=R59)*('Loan Tape'!$E$4:$E$303='Deal Strat'!$C$12))*'Loan Tape'!$F$4:$F$303)</f>
        <v>0</v>
      </c>
      <c r="E59" s="84" t="n">
        <f aca="false">SUMIFS('Loan Tape'!$R$4:$R$303,'Loan Tape'!$C$4:$C$303,R59,'Loan Tape'!$E$4:$E$303,'Deal Strat'!$C$12)</f>
        <v>0</v>
      </c>
      <c r="F59" s="69" t="n">
        <f aca="false">IFERROR(E59/C5,0)</f>
        <v>0</v>
      </c>
      <c r="G59" s="85" t="str">
        <f aca="false">IFERROR(SUMPRODUCT((('Loan Tape'!$R$4:$R$303&lt;&gt;"")*('Loan Tape'!$C$4:$C$303=R59)*('Loan Tape'!$E$4:$E$303='Deal Strat'!$C$12))*'Loan Tape'!$U$4:$U$303*'Loan Tape'!$R$4:$R$303)/E59,"-")</f>
        <v>-</v>
      </c>
      <c r="H59" s="68" t="str">
        <f aca="false">IFERROR(SUMPRODUCT((('Loan Tape'!$R$4:$R$303&lt;&gt;"")*('Loan Tape'!$C$4:$C$303=R59)*('Loan Tape'!$E$4:$E$303='Deal Strat'!$C$12))*'Loan Tape'!$AH$4:$AH$303*'Loan Tape'!$R$4:$R$303)/E59,"-")</f>
        <v>-</v>
      </c>
      <c r="I59" s="68" t="str">
        <f aca="false">IFERROR(SUMPRODUCT((('Loan Tape'!$R$4:$R$303&lt;&gt;"")*('Loan Tape'!$C$4:$C$303=R59)*('Loan Tape'!$E$4:$E$303='Deal Strat'!$C$12))*(('Loan Tape'!$H$4:$H$303-$C$4)/30.4375)*'Loan Tape'!$R$4:$R$303)/E59,"-")</f>
        <v>-</v>
      </c>
      <c r="J59" s="69" t="str">
        <f aca="false">IFERROR(SUMPRODUCT((('Loan Tape'!$R$4:$R$303&lt;&gt;"")*('Loan Tape'!$C$4:$C$303=R59)*('Loan Tape'!$E$4:$E$303='Deal Strat'!$C$12))*('Loan Tape'!$K$4:$K$303="Floating")*'Loan Tape'!$R$4:$R$303)/E59,"-")</f>
        <v>-</v>
      </c>
      <c r="K59" s="69" t="str">
        <f aca="false">IFERROR(SUMPRODUCT((('Loan Tape'!$R$4:$R$303&lt;&gt;"")*('Loan Tape'!$C$4:$C$303=R59)*('Loan Tape'!$E$4:$E$303='Deal Strat'!$C$12))*'Loan Tape'!$T$4:$T$303*'Loan Tape'!$R$4:$R$303)/E59,"-")</f>
        <v>-</v>
      </c>
      <c r="L59" s="69" t="str">
        <f aca="false">IFERROR(SUMPRODUCT((('Loan Tape'!$R$4:$R$303&lt;&gt;"")*('Loan Tape'!$C$4:$C$303=R59)*('Loan Tape'!$E$4:$E$303='Deal Strat'!$C$12))*'Loan Tape'!$V$4:$V$303*'Loan Tape'!$R$4:$R$303)/E59,"-")</f>
        <v>-</v>
      </c>
      <c r="M59" s="69" t="str">
        <f aca="false">IFERROR(SUMPRODUCT((('Loan Tape'!$R$4:$R$303&lt;&gt;"")*('Loan Tape'!$C$4:$C$303=R59)*('Loan Tape'!$E$4:$E$303='Deal Strat'!$C$12))*'Loan Tape'!$W$4:$W$303*'Loan Tape'!$R$4:$R$303)/E59,"-")</f>
        <v>-</v>
      </c>
      <c r="N59" s="69" t="str">
        <f aca="false">IFERROR(SUMPRODUCT((('Loan Tape'!$R$4:$R$303&lt;&gt;"")*('Loan Tape'!$C$4:$C$303=R59)*('Loan Tape'!$E$4:$E$303='Deal Strat'!$C$12))*'Loan Tape'!$AI$4:$AI$303*'Loan Tape'!$R$4:$R$303)/E59,"-")</f>
        <v>-</v>
      </c>
      <c r="O59" s="69" t="str">
        <f aca="false">IFERROR(SUMPRODUCT((('Loan Tape'!$R$4:$R$303&lt;&gt;"")*('Loan Tape'!$C$4:$C$303=R59)*('Loan Tape'!$E$4:$E$303='Deal Strat'!$C$12))*'Loan Tape'!$AK$4:$AK$303*'Loan Tape'!$R$4:$R$303)/E59,"-")</f>
        <v>-</v>
      </c>
      <c r="P59" s="69" t="str">
        <f aca="false">IFERROR(SUMPRODUCT((('Loan Tape'!$R$4:$R$303&lt;&gt;"")*('Loan Tape'!$C$4:$C$303=R59)*('Loan Tape'!$E$4:$E$303='Deal Strat'!$C$12))*'Loan Tape'!$S$4:$S$303*'Loan Tape'!$R$4:$R$303)/E59,"-")</f>
        <v>-</v>
      </c>
      <c r="R59" s="91" t="s">
        <v>235</v>
      </c>
    </row>
    <row r="60" customFormat="false" ht="14.25" hidden="false" customHeight="false" outlineLevel="0" collapsed="false">
      <c r="B60" s="7" t="s">
        <v>407</v>
      </c>
      <c r="C60" s="68" t="n">
        <f aca="false">C6-SUM(C45:C59)</f>
        <v>0</v>
      </c>
      <c r="D60" s="68" t="n">
        <f aca="false">SUMPRODUCT(('Loan Tape'!$E$4:$E$303='Deal Strat'!$C$12)*'Loan Tape'!$F$4:$F$303)-SUM(D45:D59)</f>
        <v>0</v>
      </c>
      <c r="E60" s="84" t="n">
        <f aca="false">C5-SUM(E45:E59)</f>
        <v>0</v>
      </c>
      <c r="F60" s="69" t="n">
        <f aca="false">IFERROR(E60/C5,0)</f>
        <v>0</v>
      </c>
      <c r="G60" s="85" t="str">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Tape'!$E$4:$E$303='Deal Strat'!$C$12))*'Loan Tape'!$U$4:$U$303*'Loan Tape'!$R$4:$R$303)/E60,"-")</f>
        <v>-</v>
      </c>
      <c r="H60" s="68" t="str">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Tape'!$E$4:$E$303='Deal Strat'!$C$12))*'Loan Tape'!$AH$4:$AH$303*'Loan Tape'!$R$4:$R$303)/E60,"-")</f>
        <v>-</v>
      </c>
      <c r="I60" s="68" t="str">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Tape'!$E$4:$E$303='Deal Strat'!$C$12))*(('Loan Tape'!$H$4:$H$303-$C$4)/30.4375)*'Loan Tape'!$R$4:$R$303)/E60,"-")</f>
        <v>-</v>
      </c>
      <c r="J60" s="69" t="str">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Tape'!$E$4:$E$303='Deal Strat'!$C$12))*('Loan Tape'!$K$4:$K$303="Floating")*'Loan Tape'!$R$4:$R$303)/E60,"-")</f>
        <v>-</v>
      </c>
      <c r="K60" s="69" t="str">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Tape'!$E$4:$E$303='Deal Strat'!$C$12))*'Loan Tape'!$T$4:$T$303*'Loan Tape'!$R$4:$R$303)/E60,"-")</f>
        <v>-</v>
      </c>
      <c r="L60" s="69" t="str">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Tape'!$E$4:$E$303='Deal Strat'!$C$12))*'Loan Tape'!$V$4:$V$303*'Loan Tape'!$R$4:$R$303)/E60,"-")</f>
        <v>-</v>
      </c>
      <c r="M60" s="69" t="str">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Tape'!$E$4:$E$303='Deal Strat'!$C$12))*'Loan Tape'!$W$4:$W$303*'Loan Tape'!$R$4:$R$303)/E60,"-")</f>
        <v>-</v>
      </c>
      <c r="N60" s="69" t="str">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Tape'!$E$4:$E$303='Deal Strat'!$C$12))*'Loan Tape'!$AI$4:$AI$303*'Loan Tape'!$R$4:$R$303)/E60,"-")</f>
        <v>-</v>
      </c>
      <c r="O60" s="69" t="str">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Tape'!$E$4:$E$303='Deal Strat'!$C$12))*'Loan Tape'!$AK$4:$AK$303*'Loan Tape'!$R$4:$R$303)/E60,"-")</f>
        <v>-</v>
      </c>
      <c r="P60" s="69" t="str">
        <f aca="false">IFERROR(SUMPRODUCT((('Loan Tape'!$R$4:$R$303&lt;&gt;"")*(1-(('Loan Tape'!$C$4:$C$303=R45)+('Loan Tape'!$C$4:$C$303=R46)+('Loan Tape'!$C$4:$C$303=R47)+('Loan Tape'!$C$4:$C$303=R48)+('Loan Tape'!$C$4:$C$303=R49)+('Loan Tape'!$C$4:$C$303=R50)+('Loan Tape'!$C$4:$C$303=R51)+('Loan Tape'!$C$4:$C$303=R52)+('Loan Tape'!$C$4:$C$303=R53)+('Loan Tape'!$C$4:$C$303=R54)+('Loan Tape'!$C$4:$C$303=R55)+('Loan Tape'!$C$4:$C$303=R56)+('Loan Tape'!$C$4:$C$303=R57)+('Loan Tape'!$C$4:$C$303=R58)+('Loan Tape'!$C$4:$C$303=R59)))*('Loan Tape'!$E$4:$E$303='Deal Strat'!$C$12))*'Loan Tape'!$S$4:$S$303*'Loan Tape'!$R$4:$R$303)/E60,"-")</f>
        <v>-</v>
      </c>
    </row>
    <row r="61" customFormat="false" ht="14.25" hidden="false" customHeight="false" outlineLevel="0" collapsed="false">
      <c r="B61" s="86" t="s">
        <v>405</v>
      </c>
      <c r="C61" s="92" t="n">
        <f aca="false">C6</f>
        <v>5</v>
      </c>
      <c r="D61" s="92" t="n">
        <f aca="false">SUMPRODUCT(('Loan Tape'!$E$4:$E$303='Deal Strat'!$C$12)*'Loan Tape'!$F$4:$F$303)</f>
        <v>593</v>
      </c>
      <c r="E61" s="88" t="n">
        <f aca="false">C5</f>
        <v>372487000</v>
      </c>
      <c r="F61" s="89" t="n">
        <f aca="false">1</f>
        <v>1</v>
      </c>
      <c r="G61" s="90" t="n">
        <f aca="false">IFERROR(SUMPRODUCT((('Loan Tape'!$R$4:$R$303&lt;&gt;"")*('Loan Tape'!$E$4:$E$303='Deal Strat'!$C$12))*'Loan Tape'!$U$4:$U$303*'Loan Tape'!$R$4:$R$303)/E61,"-")</f>
        <v>1.46286165691689</v>
      </c>
      <c r="H61" s="92" t="n">
        <f aca="false">IFERROR(SUMPRODUCT((('Loan Tape'!$R$4:$R$303&lt;&gt;"")*('Loan Tape'!$E$4:$E$303='Deal Strat'!$C$12))*'Loan Tape'!$AH$4:$AH$303*'Loan Tape'!$R$4:$R$303)/E61,"-")</f>
        <v>100.401133462376</v>
      </c>
      <c r="I61" s="92" t="n">
        <f aca="false">IFERROR(SUMPRODUCT((('Loan Tape'!$R$4:$R$303&lt;&gt;"")*('Loan Tape'!$E$4:$E$303='Deal Strat'!$C$12))*(('Loan Tape'!$H$4:$H$303-$C$4)/30.4375)*'Loan Tape'!$R$4:$R$303)/E61,"-")</f>
        <v>4.02239639370792</v>
      </c>
      <c r="J61" s="89" t="n">
        <f aca="false">IFERROR(SUMPRODUCT((('Loan Tape'!$R$4:$R$303&lt;&gt;"")*('Loan Tape'!$E$4:$E$303='Deal Strat'!$C$12))*('Loan Tape'!$K$4:$K$303="Floating")*'Loan Tape'!$R$4:$R$303)/E61,"-")</f>
        <v>0.64712593996569</v>
      </c>
      <c r="K61" s="89" t="n">
        <f aca="false">IFERROR(SUMPRODUCT((('Loan Tape'!$R$4:$R$303&lt;&gt;"")*('Loan Tape'!$E$4:$E$303='Deal Strat'!$C$12))*'Loan Tape'!$T$4:$T$303*'Loan Tape'!$R$4:$R$303)/E61,"-")</f>
        <v>0.0853727877751438</v>
      </c>
      <c r="L61" s="89" t="n">
        <f aca="false">IFERROR(SUMPRODUCT((('Loan Tape'!$R$4:$R$303&lt;&gt;"")*('Loan Tape'!$E$4:$E$303='Deal Strat'!$C$12))*'Loan Tape'!$V$4:$V$303*'Loan Tape'!$R$4:$R$303)/E61,"-")</f>
        <v>0.69021042345102</v>
      </c>
      <c r="M61" s="89" t="n">
        <f aca="false">IFERROR(SUMPRODUCT((('Loan Tape'!$R$4:$R$303&lt;&gt;"")*('Loan Tape'!$E$4:$E$303='Deal Strat'!$C$12))*'Loan Tape'!$W$4:$W$303*'Loan Tape'!$R$4:$R$303)/E61,"-")</f>
        <v>0.727922306013364</v>
      </c>
      <c r="N61" s="89" t="n">
        <f aca="false">IFERROR(SUMPRODUCT((('Loan Tape'!$R$4:$R$303&lt;&gt;"")*('Loan Tape'!$E$4:$E$303='Deal Strat'!$C$12))*'Loan Tape'!$AI$4:$AI$303*'Loan Tape'!$R$4:$R$303)/E61,"-")</f>
        <v>0.0680705466231036</v>
      </c>
      <c r="O61" s="89" t="n">
        <f aca="false">IFERROR(SUMPRODUCT((('Loan Tape'!$R$4:$R$303&lt;&gt;"")*('Loan Tape'!$E$4:$E$303='Deal Strat'!$C$12))*'Loan Tape'!$AK$4:$AK$303*'Loan Tape'!$R$4:$R$303)/E61,"-")</f>
        <v>0.077777435722589</v>
      </c>
      <c r="P61" s="89" t="n">
        <f aca="false">IFERROR(SUMPRODUCT((('Loan Tape'!$R$4:$R$303&lt;&gt;"")*('Loan Tape'!$E$4:$E$303='Deal Strat'!$C$12))*'Loan Tape'!$S$4:$S$303*'Loan Tape'!$R$4:$R$303)/E61,"-")</f>
        <v>0.841462496677736</v>
      </c>
    </row>
    <row r="63" customFormat="false" ht="19.5" hidden="false" customHeight="true" outlineLevel="0" collapsed="false">
      <c r="B63" s="5" t="s">
        <v>410</v>
      </c>
      <c r="C63" s="5"/>
      <c r="D63" s="5"/>
      <c r="E63" s="5"/>
      <c r="F63" s="5"/>
      <c r="G63" s="5"/>
      <c r="H63" s="5"/>
      <c r="I63" s="5"/>
      <c r="J63" s="5"/>
      <c r="K63" s="5"/>
      <c r="L63" s="5"/>
      <c r="M63" s="5"/>
      <c r="N63" s="5"/>
      <c r="O63" s="5"/>
      <c r="P63" s="5"/>
    </row>
    <row r="64" customFormat="false" ht="42" hidden="false" customHeight="true" outlineLevel="0" collapsed="false">
      <c r="B64" s="82" t="s">
        <v>392</v>
      </c>
      <c r="C64" s="83" t="s">
        <v>368</v>
      </c>
      <c r="D64" s="83" t="s">
        <v>153</v>
      </c>
      <c r="E64" s="83" t="s">
        <v>393</v>
      </c>
      <c r="F64" s="83" t="s">
        <v>394</v>
      </c>
      <c r="G64" s="83" t="s">
        <v>395</v>
      </c>
      <c r="H64" s="83" t="s">
        <v>396</v>
      </c>
      <c r="I64" s="83" t="s">
        <v>397</v>
      </c>
      <c r="J64" s="83" t="s">
        <v>398</v>
      </c>
      <c r="K64" s="83" t="s">
        <v>399</v>
      </c>
      <c r="L64" s="83" t="s">
        <v>400</v>
      </c>
      <c r="M64" s="83" t="s">
        <v>401</v>
      </c>
      <c r="N64" s="83" t="s">
        <v>402</v>
      </c>
      <c r="O64" s="83" t="s">
        <v>403</v>
      </c>
      <c r="P64" s="83" t="s">
        <v>365</v>
      </c>
    </row>
    <row r="65" customFormat="false" ht="14.25" hidden="false" customHeight="false" outlineLevel="0" collapsed="false">
      <c r="B65" s="7" t="str">
        <f aca="false">R65</f>
        <v>Deal 1</v>
      </c>
      <c r="C65" s="68" t="n">
        <f aca="false">COUNTIFS('Loan Tape'!$E$4:$E$303,R65,'Loan Tape'!$E$4:$E$303,'Deal Strat'!$C$12)</f>
        <v>5</v>
      </c>
      <c r="D65" s="68" t="n">
        <f aca="false">SUMPRODUCT((('Loan Tape'!$R$4:$R$303&lt;&gt;"")*('Loan Tape'!$E$4:$E$303=R65)*('Loan Tape'!$E$4:$E$303='Deal Strat'!$C$12))*'Loan Tape'!$F$4:$F$303)</f>
        <v>593</v>
      </c>
      <c r="E65" s="84" t="n">
        <f aca="false">SUMIFS('Loan Tape'!$R$4:$R$303,'Loan Tape'!$E$4:$E$303,R65,'Loan Tape'!$E$4:$E$303,'Deal Strat'!$C$12)</f>
        <v>372487000</v>
      </c>
      <c r="F65" s="69" t="n">
        <f aca="false">IFERROR(E65/C5,0)</f>
        <v>1</v>
      </c>
      <c r="G65" s="85" t="n">
        <f aca="false">IFERROR(SUMPRODUCT((('Loan Tape'!$R$4:$R$303&lt;&gt;"")*('Loan Tape'!$E$4:$E$303=R65)*('Loan Tape'!$E$4:$E$303='Deal Strat'!$C$12))*'Loan Tape'!$U$4:$U$303*'Loan Tape'!$R$4:$R$303)/E65,"-")</f>
        <v>1.46286165691689</v>
      </c>
      <c r="H65" s="68" t="n">
        <f aca="false">IFERROR(SUMPRODUCT((('Loan Tape'!$R$4:$R$303&lt;&gt;"")*('Loan Tape'!$E$4:$E$303=R65)*('Loan Tape'!$E$4:$E$303='Deal Strat'!$C$12))*'Loan Tape'!$AH$4:$AH$303*'Loan Tape'!$R$4:$R$303)/E65,"-")</f>
        <v>100.401133462376</v>
      </c>
      <c r="I65" s="68" t="n">
        <f aca="false">IFERROR(SUMPRODUCT((('Loan Tape'!$R$4:$R$303&lt;&gt;"")*('Loan Tape'!$E$4:$E$303=R65)*('Loan Tape'!$E$4:$E$303='Deal Strat'!$C$12))*(('Loan Tape'!$H$4:$H$303-$C$4)/30.4375)*'Loan Tape'!$R$4:$R$303)/E65,"-")</f>
        <v>4.02239639370792</v>
      </c>
      <c r="J65" s="69" t="n">
        <f aca="false">IFERROR(SUMPRODUCT((('Loan Tape'!$R$4:$R$303&lt;&gt;"")*('Loan Tape'!$E$4:$E$303=R65)*('Loan Tape'!$E$4:$E$303='Deal Strat'!$C$12))*('Loan Tape'!$K$4:$K$303="Floating")*'Loan Tape'!$R$4:$R$303)/E65,"-")</f>
        <v>0.64712593996569</v>
      </c>
      <c r="K65" s="69" t="n">
        <f aca="false">IFERROR(SUMPRODUCT((('Loan Tape'!$R$4:$R$303&lt;&gt;"")*('Loan Tape'!$E$4:$E$303=R65)*('Loan Tape'!$E$4:$E$303='Deal Strat'!$C$12))*'Loan Tape'!$T$4:$T$303*'Loan Tape'!$R$4:$R$303)/E65,"-")</f>
        <v>0.0853727877751438</v>
      </c>
      <c r="L65" s="69" t="n">
        <f aca="false">IFERROR(SUMPRODUCT((('Loan Tape'!$R$4:$R$303&lt;&gt;"")*('Loan Tape'!$E$4:$E$303=R65)*('Loan Tape'!$E$4:$E$303='Deal Strat'!$C$12))*'Loan Tape'!$V$4:$V$303*'Loan Tape'!$R$4:$R$303)/E65,"-")</f>
        <v>0.69021042345102</v>
      </c>
      <c r="M65" s="69" t="n">
        <f aca="false">IFERROR(SUMPRODUCT((('Loan Tape'!$R$4:$R$303&lt;&gt;"")*('Loan Tape'!$E$4:$E$303=R65)*('Loan Tape'!$E$4:$E$303='Deal Strat'!$C$12))*'Loan Tape'!$W$4:$W$303*'Loan Tape'!$R$4:$R$303)/E65,"-")</f>
        <v>0.727922306013364</v>
      </c>
      <c r="N65" s="69" t="n">
        <f aca="false">IFERROR(SUMPRODUCT((('Loan Tape'!$R$4:$R$303&lt;&gt;"")*('Loan Tape'!$E$4:$E$303=R65)*('Loan Tape'!$E$4:$E$303='Deal Strat'!$C$12))*'Loan Tape'!$AI$4:$AI$303*'Loan Tape'!$R$4:$R$303)/E65,"-")</f>
        <v>0.0680705466231036</v>
      </c>
      <c r="O65" s="69" t="n">
        <f aca="false">IFERROR(SUMPRODUCT((('Loan Tape'!$R$4:$R$303&lt;&gt;"")*('Loan Tape'!$E$4:$E$303=R65)*('Loan Tape'!$E$4:$E$303='Deal Strat'!$C$12))*'Loan Tape'!$AK$4:$AK$303*'Loan Tape'!$R$4:$R$303)/E65,"-")</f>
        <v>0.077777435722589</v>
      </c>
      <c r="P65" s="69" t="n">
        <f aca="false">IFERROR(SUMPRODUCT((('Loan Tape'!$R$4:$R$303&lt;&gt;"")*('Loan Tape'!$E$4:$E$303=R65)*('Loan Tape'!$E$4:$E$303='Deal Strat'!$C$12))*'Loan Tape'!$S$4:$S$303*'Loan Tape'!$R$4:$R$303)/E65,"-")</f>
        <v>0.841462496677736</v>
      </c>
      <c r="R65" s="91" t="s">
        <v>252</v>
      </c>
    </row>
    <row r="66" customFormat="false" ht="14.25" hidden="false" customHeight="false" outlineLevel="0" collapsed="false">
      <c r="B66" s="7" t="str">
        <f aca="false">R66</f>
        <v>Deal 2</v>
      </c>
      <c r="C66" s="68" t="n">
        <f aca="false">COUNTIFS('Loan Tape'!$E$4:$E$303,R66,'Loan Tape'!$E$4:$E$303,'Deal Strat'!$C$12)</f>
        <v>0</v>
      </c>
      <c r="D66" s="68" t="n">
        <f aca="false">SUMPRODUCT((('Loan Tape'!$R$4:$R$303&lt;&gt;"")*('Loan Tape'!$E$4:$E$303=R66)*('Loan Tape'!$E$4:$E$303='Deal Strat'!$C$12))*'Loan Tape'!$F$4:$F$303)</f>
        <v>0</v>
      </c>
      <c r="E66" s="84" t="n">
        <f aca="false">SUMIFS('Loan Tape'!$R$4:$R$303,'Loan Tape'!$E$4:$E$303,R66,'Loan Tape'!$E$4:$E$303,'Deal Strat'!$C$12)</f>
        <v>0</v>
      </c>
      <c r="F66" s="69" t="n">
        <f aca="false">IFERROR(E66/C5,0)</f>
        <v>0</v>
      </c>
      <c r="G66" s="85" t="str">
        <f aca="false">IFERROR(SUMPRODUCT((('Loan Tape'!$R$4:$R$303&lt;&gt;"")*('Loan Tape'!$E$4:$E$303=R66)*('Loan Tape'!$E$4:$E$303='Deal Strat'!$C$12))*'Loan Tape'!$U$4:$U$303*'Loan Tape'!$R$4:$R$303)/E66,"-")</f>
        <v>-</v>
      </c>
      <c r="H66" s="68" t="str">
        <f aca="false">IFERROR(SUMPRODUCT((('Loan Tape'!$R$4:$R$303&lt;&gt;"")*('Loan Tape'!$E$4:$E$303=R66)*('Loan Tape'!$E$4:$E$303='Deal Strat'!$C$12))*'Loan Tape'!$AH$4:$AH$303*'Loan Tape'!$R$4:$R$303)/E66,"-")</f>
        <v>-</v>
      </c>
      <c r="I66" s="68" t="str">
        <f aca="false">IFERROR(SUMPRODUCT((('Loan Tape'!$R$4:$R$303&lt;&gt;"")*('Loan Tape'!$E$4:$E$303=R66)*('Loan Tape'!$E$4:$E$303='Deal Strat'!$C$12))*(('Loan Tape'!$H$4:$H$303-$C$4)/30.4375)*'Loan Tape'!$R$4:$R$303)/E66,"-")</f>
        <v>-</v>
      </c>
      <c r="J66" s="69" t="str">
        <f aca="false">IFERROR(SUMPRODUCT((('Loan Tape'!$R$4:$R$303&lt;&gt;"")*('Loan Tape'!$E$4:$E$303=R66)*('Loan Tape'!$E$4:$E$303='Deal Strat'!$C$12))*('Loan Tape'!$K$4:$K$303="Floating")*'Loan Tape'!$R$4:$R$303)/E66,"-")</f>
        <v>-</v>
      </c>
      <c r="K66" s="69" t="str">
        <f aca="false">IFERROR(SUMPRODUCT((('Loan Tape'!$R$4:$R$303&lt;&gt;"")*('Loan Tape'!$E$4:$E$303=R66)*('Loan Tape'!$E$4:$E$303='Deal Strat'!$C$12))*'Loan Tape'!$T$4:$T$303*'Loan Tape'!$R$4:$R$303)/E66,"-")</f>
        <v>-</v>
      </c>
      <c r="L66" s="69" t="str">
        <f aca="false">IFERROR(SUMPRODUCT((('Loan Tape'!$R$4:$R$303&lt;&gt;"")*('Loan Tape'!$E$4:$E$303=R66)*('Loan Tape'!$E$4:$E$303='Deal Strat'!$C$12))*'Loan Tape'!$V$4:$V$303*'Loan Tape'!$R$4:$R$303)/E66,"-")</f>
        <v>-</v>
      </c>
      <c r="M66" s="69" t="str">
        <f aca="false">IFERROR(SUMPRODUCT((('Loan Tape'!$R$4:$R$303&lt;&gt;"")*('Loan Tape'!$E$4:$E$303=R66)*('Loan Tape'!$E$4:$E$303='Deal Strat'!$C$12))*'Loan Tape'!$W$4:$W$303*'Loan Tape'!$R$4:$R$303)/E66,"-")</f>
        <v>-</v>
      </c>
      <c r="N66" s="69" t="str">
        <f aca="false">IFERROR(SUMPRODUCT((('Loan Tape'!$R$4:$R$303&lt;&gt;"")*('Loan Tape'!$E$4:$E$303=R66)*('Loan Tape'!$E$4:$E$303='Deal Strat'!$C$12))*'Loan Tape'!$AI$4:$AI$303*'Loan Tape'!$R$4:$R$303)/E66,"-")</f>
        <v>-</v>
      </c>
      <c r="O66" s="69" t="str">
        <f aca="false">IFERROR(SUMPRODUCT((('Loan Tape'!$R$4:$R$303&lt;&gt;"")*('Loan Tape'!$E$4:$E$303=R66)*('Loan Tape'!$E$4:$E$303='Deal Strat'!$C$12))*'Loan Tape'!$AK$4:$AK$303*'Loan Tape'!$R$4:$R$303)/E66,"-")</f>
        <v>-</v>
      </c>
      <c r="P66" s="69" t="str">
        <f aca="false">IFERROR(SUMPRODUCT((('Loan Tape'!$R$4:$R$303&lt;&gt;"")*('Loan Tape'!$E$4:$E$303=R66)*('Loan Tape'!$E$4:$E$303='Deal Strat'!$C$12))*'Loan Tape'!$S$4:$S$303*'Loan Tape'!$R$4:$R$303)/E66,"-")</f>
        <v>-</v>
      </c>
      <c r="R66" s="91" t="s">
        <v>259</v>
      </c>
    </row>
    <row r="67" customFormat="false" ht="14.25" hidden="false" customHeight="false" outlineLevel="0" collapsed="false">
      <c r="B67" s="7" t="str">
        <f aca="false">R67</f>
        <v>Deal 3</v>
      </c>
      <c r="C67" s="68" t="n">
        <f aca="false">COUNTIFS('Loan Tape'!$E$4:$E$303,R67,'Loan Tape'!$E$4:$E$303,'Deal Strat'!$C$12)</f>
        <v>0</v>
      </c>
      <c r="D67" s="68" t="n">
        <f aca="false">SUMPRODUCT((('Loan Tape'!$R$4:$R$303&lt;&gt;"")*('Loan Tape'!$E$4:$E$303=R67)*('Loan Tape'!$E$4:$E$303='Deal Strat'!$C$12))*'Loan Tape'!$F$4:$F$303)</f>
        <v>0</v>
      </c>
      <c r="E67" s="84" t="n">
        <f aca="false">SUMIFS('Loan Tape'!$R$4:$R$303,'Loan Tape'!$E$4:$E$303,R67,'Loan Tape'!$E$4:$E$303,'Deal Strat'!$C$12)</f>
        <v>0</v>
      </c>
      <c r="F67" s="69" t="n">
        <f aca="false">IFERROR(E67/C5,0)</f>
        <v>0</v>
      </c>
      <c r="G67" s="85" t="str">
        <f aca="false">IFERROR(SUMPRODUCT((('Loan Tape'!$R$4:$R$303&lt;&gt;"")*('Loan Tape'!$E$4:$E$303=R67)*('Loan Tape'!$E$4:$E$303='Deal Strat'!$C$12))*'Loan Tape'!$U$4:$U$303*'Loan Tape'!$R$4:$R$303)/E67,"-")</f>
        <v>-</v>
      </c>
      <c r="H67" s="68" t="str">
        <f aca="false">IFERROR(SUMPRODUCT((('Loan Tape'!$R$4:$R$303&lt;&gt;"")*('Loan Tape'!$E$4:$E$303=R67)*('Loan Tape'!$E$4:$E$303='Deal Strat'!$C$12))*'Loan Tape'!$AH$4:$AH$303*'Loan Tape'!$R$4:$R$303)/E67,"-")</f>
        <v>-</v>
      </c>
      <c r="I67" s="68" t="str">
        <f aca="false">IFERROR(SUMPRODUCT((('Loan Tape'!$R$4:$R$303&lt;&gt;"")*('Loan Tape'!$E$4:$E$303=R67)*('Loan Tape'!$E$4:$E$303='Deal Strat'!$C$12))*(('Loan Tape'!$H$4:$H$303-$C$4)/30.4375)*'Loan Tape'!$R$4:$R$303)/E67,"-")</f>
        <v>-</v>
      </c>
      <c r="J67" s="69" t="str">
        <f aca="false">IFERROR(SUMPRODUCT((('Loan Tape'!$R$4:$R$303&lt;&gt;"")*('Loan Tape'!$E$4:$E$303=R67)*('Loan Tape'!$E$4:$E$303='Deal Strat'!$C$12))*('Loan Tape'!$K$4:$K$303="Floating")*'Loan Tape'!$R$4:$R$303)/E67,"-")</f>
        <v>-</v>
      </c>
      <c r="K67" s="69" t="str">
        <f aca="false">IFERROR(SUMPRODUCT((('Loan Tape'!$R$4:$R$303&lt;&gt;"")*('Loan Tape'!$E$4:$E$303=R67)*('Loan Tape'!$E$4:$E$303='Deal Strat'!$C$12))*'Loan Tape'!$T$4:$T$303*'Loan Tape'!$R$4:$R$303)/E67,"-")</f>
        <v>-</v>
      </c>
      <c r="L67" s="69" t="str">
        <f aca="false">IFERROR(SUMPRODUCT((('Loan Tape'!$R$4:$R$303&lt;&gt;"")*('Loan Tape'!$E$4:$E$303=R67)*('Loan Tape'!$E$4:$E$303='Deal Strat'!$C$12))*'Loan Tape'!$V$4:$V$303*'Loan Tape'!$R$4:$R$303)/E67,"-")</f>
        <v>-</v>
      </c>
      <c r="M67" s="69" t="str">
        <f aca="false">IFERROR(SUMPRODUCT((('Loan Tape'!$R$4:$R$303&lt;&gt;"")*('Loan Tape'!$E$4:$E$303=R67)*('Loan Tape'!$E$4:$E$303='Deal Strat'!$C$12))*'Loan Tape'!$W$4:$W$303*'Loan Tape'!$R$4:$R$303)/E67,"-")</f>
        <v>-</v>
      </c>
      <c r="N67" s="69" t="str">
        <f aca="false">IFERROR(SUMPRODUCT((('Loan Tape'!$R$4:$R$303&lt;&gt;"")*('Loan Tape'!$E$4:$E$303=R67)*('Loan Tape'!$E$4:$E$303='Deal Strat'!$C$12))*'Loan Tape'!$AI$4:$AI$303*'Loan Tape'!$R$4:$R$303)/E67,"-")</f>
        <v>-</v>
      </c>
      <c r="O67" s="69" t="str">
        <f aca="false">IFERROR(SUMPRODUCT((('Loan Tape'!$R$4:$R$303&lt;&gt;"")*('Loan Tape'!$E$4:$E$303=R67)*('Loan Tape'!$E$4:$E$303='Deal Strat'!$C$12))*'Loan Tape'!$AK$4:$AK$303*'Loan Tape'!$R$4:$R$303)/E67,"-")</f>
        <v>-</v>
      </c>
      <c r="P67" s="69" t="str">
        <f aca="false">IFERROR(SUMPRODUCT((('Loan Tape'!$R$4:$R$303&lt;&gt;"")*('Loan Tape'!$E$4:$E$303=R67)*('Loan Tape'!$E$4:$E$303='Deal Strat'!$C$12))*'Loan Tape'!$S$4:$S$303*'Loan Tape'!$R$4:$R$303)/E67,"-")</f>
        <v>-</v>
      </c>
      <c r="R67" s="91" t="s">
        <v>237</v>
      </c>
    </row>
    <row r="68" customFormat="false" ht="14.25" hidden="false" customHeight="false" outlineLevel="0" collapsed="false">
      <c r="B68" s="7" t="str">
        <f aca="false">R68</f>
        <v>Deal 4</v>
      </c>
      <c r="C68" s="68" t="n">
        <f aca="false">COUNTIFS('Loan Tape'!$E$4:$E$303,R68,'Loan Tape'!$E$4:$E$303,'Deal Strat'!$C$12)</f>
        <v>0</v>
      </c>
      <c r="D68" s="68" t="n">
        <f aca="false">SUMPRODUCT((('Loan Tape'!$R$4:$R$303&lt;&gt;"")*('Loan Tape'!$E$4:$E$303=R68)*('Loan Tape'!$E$4:$E$303='Deal Strat'!$C$12))*'Loan Tape'!$F$4:$F$303)</f>
        <v>0</v>
      </c>
      <c r="E68" s="84" t="n">
        <f aca="false">SUMIFS('Loan Tape'!$R$4:$R$303,'Loan Tape'!$E$4:$E$303,R68,'Loan Tape'!$E$4:$E$303,'Deal Strat'!$C$12)</f>
        <v>0</v>
      </c>
      <c r="F68" s="69" t="n">
        <f aca="false">IFERROR(E68/C5,0)</f>
        <v>0</v>
      </c>
      <c r="G68" s="85" t="str">
        <f aca="false">IFERROR(SUMPRODUCT((('Loan Tape'!$R$4:$R$303&lt;&gt;"")*('Loan Tape'!$E$4:$E$303=R68)*('Loan Tape'!$E$4:$E$303='Deal Strat'!$C$12))*'Loan Tape'!$U$4:$U$303*'Loan Tape'!$R$4:$R$303)/E68,"-")</f>
        <v>-</v>
      </c>
      <c r="H68" s="68" t="str">
        <f aca="false">IFERROR(SUMPRODUCT((('Loan Tape'!$R$4:$R$303&lt;&gt;"")*('Loan Tape'!$E$4:$E$303=R68)*('Loan Tape'!$E$4:$E$303='Deal Strat'!$C$12))*'Loan Tape'!$AH$4:$AH$303*'Loan Tape'!$R$4:$R$303)/E68,"-")</f>
        <v>-</v>
      </c>
      <c r="I68" s="68" t="str">
        <f aca="false">IFERROR(SUMPRODUCT((('Loan Tape'!$R$4:$R$303&lt;&gt;"")*('Loan Tape'!$E$4:$E$303=R68)*('Loan Tape'!$E$4:$E$303='Deal Strat'!$C$12))*(('Loan Tape'!$H$4:$H$303-$C$4)/30.4375)*'Loan Tape'!$R$4:$R$303)/E68,"-")</f>
        <v>-</v>
      </c>
      <c r="J68" s="69" t="str">
        <f aca="false">IFERROR(SUMPRODUCT((('Loan Tape'!$R$4:$R$303&lt;&gt;"")*('Loan Tape'!$E$4:$E$303=R68)*('Loan Tape'!$E$4:$E$303='Deal Strat'!$C$12))*('Loan Tape'!$K$4:$K$303="Floating")*'Loan Tape'!$R$4:$R$303)/E68,"-")</f>
        <v>-</v>
      </c>
      <c r="K68" s="69" t="str">
        <f aca="false">IFERROR(SUMPRODUCT((('Loan Tape'!$R$4:$R$303&lt;&gt;"")*('Loan Tape'!$E$4:$E$303=R68)*('Loan Tape'!$E$4:$E$303='Deal Strat'!$C$12))*'Loan Tape'!$T$4:$T$303*'Loan Tape'!$R$4:$R$303)/E68,"-")</f>
        <v>-</v>
      </c>
      <c r="L68" s="69" t="str">
        <f aca="false">IFERROR(SUMPRODUCT((('Loan Tape'!$R$4:$R$303&lt;&gt;"")*('Loan Tape'!$E$4:$E$303=R68)*('Loan Tape'!$E$4:$E$303='Deal Strat'!$C$12))*'Loan Tape'!$V$4:$V$303*'Loan Tape'!$R$4:$R$303)/E68,"-")</f>
        <v>-</v>
      </c>
      <c r="M68" s="69" t="str">
        <f aca="false">IFERROR(SUMPRODUCT((('Loan Tape'!$R$4:$R$303&lt;&gt;"")*('Loan Tape'!$E$4:$E$303=R68)*('Loan Tape'!$E$4:$E$303='Deal Strat'!$C$12))*'Loan Tape'!$W$4:$W$303*'Loan Tape'!$R$4:$R$303)/E68,"-")</f>
        <v>-</v>
      </c>
      <c r="N68" s="69" t="str">
        <f aca="false">IFERROR(SUMPRODUCT((('Loan Tape'!$R$4:$R$303&lt;&gt;"")*('Loan Tape'!$E$4:$E$303=R68)*('Loan Tape'!$E$4:$E$303='Deal Strat'!$C$12))*'Loan Tape'!$AI$4:$AI$303*'Loan Tape'!$R$4:$R$303)/E68,"-")</f>
        <v>-</v>
      </c>
      <c r="O68" s="69" t="str">
        <f aca="false">IFERROR(SUMPRODUCT((('Loan Tape'!$R$4:$R$303&lt;&gt;"")*('Loan Tape'!$E$4:$E$303=R68)*('Loan Tape'!$E$4:$E$303='Deal Strat'!$C$12))*'Loan Tape'!$AK$4:$AK$303*'Loan Tape'!$R$4:$R$303)/E68,"-")</f>
        <v>-</v>
      </c>
      <c r="P68" s="69" t="str">
        <f aca="false">IFERROR(SUMPRODUCT((('Loan Tape'!$R$4:$R$303&lt;&gt;"")*('Loan Tape'!$E$4:$E$303=R68)*('Loan Tape'!$E$4:$E$303='Deal Strat'!$C$12))*'Loan Tape'!$S$4:$S$303*'Loan Tape'!$R$4:$R$303)/E68,"-")</f>
        <v>-</v>
      </c>
      <c r="R68" s="91" t="s">
        <v>208</v>
      </c>
    </row>
    <row r="69" customFormat="false" ht="14.25" hidden="false" customHeight="false" outlineLevel="0" collapsed="false">
      <c r="B69" s="7" t="str">
        <f aca="false">R69</f>
        <v>Deal 5</v>
      </c>
      <c r="C69" s="68" t="n">
        <f aca="false">COUNTIFS('Loan Tape'!$E$4:$E$303,R69,'Loan Tape'!$E$4:$E$303,'Deal Strat'!$C$12)</f>
        <v>0</v>
      </c>
      <c r="D69" s="68" t="n">
        <f aca="false">SUMPRODUCT((('Loan Tape'!$R$4:$R$303&lt;&gt;"")*('Loan Tape'!$E$4:$E$303=R69)*('Loan Tape'!$E$4:$E$303='Deal Strat'!$C$12))*'Loan Tape'!$F$4:$F$303)</f>
        <v>0</v>
      </c>
      <c r="E69" s="84" t="n">
        <f aca="false">SUMIFS('Loan Tape'!$R$4:$R$303,'Loan Tape'!$E$4:$E$303,R69,'Loan Tape'!$E$4:$E$303,'Deal Strat'!$C$12)</f>
        <v>0</v>
      </c>
      <c r="F69" s="69" t="n">
        <f aca="false">IFERROR(E69/C5,0)</f>
        <v>0</v>
      </c>
      <c r="G69" s="85" t="str">
        <f aca="false">IFERROR(SUMPRODUCT((('Loan Tape'!$R$4:$R$303&lt;&gt;"")*('Loan Tape'!$E$4:$E$303=R69)*('Loan Tape'!$E$4:$E$303='Deal Strat'!$C$12))*'Loan Tape'!$U$4:$U$303*'Loan Tape'!$R$4:$R$303)/E69,"-")</f>
        <v>-</v>
      </c>
      <c r="H69" s="68" t="str">
        <f aca="false">IFERROR(SUMPRODUCT((('Loan Tape'!$R$4:$R$303&lt;&gt;"")*('Loan Tape'!$E$4:$E$303=R69)*('Loan Tape'!$E$4:$E$303='Deal Strat'!$C$12))*'Loan Tape'!$AH$4:$AH$303*'Loan Tape'!$R$4:$R$303)/E69,"-")</f>
        <v>-</v>
      </c>
      <c r="I69" s="68" t="str">
        <f aca="false">IFERROR(SUMPRODUCT((('Loan Tape'!$R$4:$R$303&lt;&gt;"")*('Loan Tape'!$E$4:$E$303=R69)*('Loan Tape'!$E$4:$E$303='Deal Strat'!$C$12))*(('Loan Tape'!$H$4:$H$303-$C$4)/30.4375)*'Loan Tape'!$R$4:$R$303)/E69,"-")</f>
        <v>-</v>
      </c>
      <c r="J69" s="69" t="str">
        <f aca="false">IFERROR(SUMPRODUCT((('Loan Tape'!$R$4:$R$303&lt;&gt;"")*('Loan Tape'!$E$4:$E$303=R69)*('Loan Tape'!$E$4:$E$303='Deal Strat'!$C$12))*('Loan Tape'!$K$4:$K$303="Floating")*'Loan Tape'!$R$4:$R$303)/E69,"-")</f>
        <v>-</v>
      </c>
      <c r="K69" s="69" t="str">
        <f aca="false">IFERROR(SUMPRODUCT((('Loan Tape'!$R$4:$R$303&lt;&gt;"")*('Loan Tape'!$E$4:$E$303=R69)*('Loan Tape'!$E$4:$E$303='Deal Strat'!$C$12))*'Loan Tape'!$T$4:$T$303*'Loan Tape'!$R$4:$R$303)/E69,"-")</f>
        <v>-</v>
      </c>
      <c r="L69" s="69" t="str">
        <f aca="false">IFERROR(SUMPRODUCT((('Loan Tape'!$R$4:$R$303&lt;&gt;"")*('Loan Tape'!$E$4:$E$303=R69)*('Loan Tape'!$E$4:$E$303='Deal Strat'!$C$12))*'Loan Tape'!$V$4:$V$303*'Loan Tape'!$R$4:$R$303)/E69,"-")</f>
        <v>-</v>
      </c>
      <c r="M69" s="69" t="str">
        <f aca="false">IFERROR(SUMPRODUCT((('Loan Tape'!$R$4:$R$303&lt;&gt;"")*('Loan Tape'!$E$4:$E$303=R69)*('Loan Tape'!$E$4:$E$303='Deal Strat'!$C$12))*'Loan Tape'!$W$4:$W$303*'Loan Tape'!$R$4:$R$303)/E69,"-")</f>
        <v>-</v>
      </c>
      <c r="N69" s="69" t="str">
        <f aca="false">IFERROR(SUMPRODUCT((('Loan Tape'!$R$4:$R$303&lt;&gt;"")*('Loan Tape'!$E$4:$E$303=R69)*('Loan Tape'!$E$4:$E$303='Deal Strat'!$C$12))*'Loan Tape'!$AI$4:$AI$303*'Loan Tape'!$R$4:$R$303)/E69,"-")</f>
        <v>-</v>
      </c>
      <c r="O69" s="69" t="str">
        <f aca="false">IFERROR(SUMPRODUCT((('Loan Tape'!$R$4:$R$303&lt;&gt;"")*('Loan Tape'!$E$4:$E$303=R69)*('Loan Tape'!$E$4:$E$303='Deal Strat'!$C$12))*'Loan Tape'!$AK$4:$AK$303*'Loan Tape'!$R$4:$R$303)/E69,"-")</f>
        <v>-</v>
      </c>
      <c r="P69" s="69" t="str">
        <f aca="false">IFERROR(SUMPRODUCT((('Loan Tape'!$R$4:$R$303&lt;&gt;"")*('Loan Tape'!$E$4:$E$303=R69)*('Loan Tape'!$E$4:$E$303='Deal Strat'!$C$12))*'Loan Tape'!$S$4:$S$303*'Loan Tape'!$R$4:$R$303)/E69,"-")</f>
        <v>-</v>
      </c>
      <c r="R69" s="91" t="s">
        <v>263</v>
      </c>
    </row>
    <row r="70" customFormat="false" ht="14.25" hidden="false" customHeight="false" outlineLevel="0" collapsed="false">
      <c r="B70" s="7" t="str">
        <f aca="false">R70</f>
        <v>Deal 6</v>
      </c>
      <c r="C70" s="68" t="n">
        <f aca="false">COUNTIFS('Loan Tape'!$E$4:$E$303,R70,'Loan Tape'!$E$4:$E$303,'Deal Strat'!$C$12)</f>
        <v>0</v>
      </c>
      <c r="D70" s="68" t="n">
        <f aca="false">SUMPRODUCT((('Loan Tape'!$R$4:$R$303&lt;&gt;"")*('Loan Tape'!$E$4:$E$303=R70)*('Loan Tape'!$E$4:$E$303='Deal Strat'!$C$12))*'Loan Tape'!$F$4:$F$303)</f>
        <v>0</v>
      </c>
      <c r="E70" s="84" t="n">
        <f aca="false">SUMIFS('Loan Tape'!$R$4:$R$303,'Loan Tape'!$E$4:$E$303,R70,'Loan Tape'!$E$4:$E$303,'Deal Strat'!$C$12)</f>
        <v>0</v>
      </c>
      <c r="F70" s="69" t="n">
        <f aca="false">IFERROR(E70/C5,0)</f>
        <v>0</v>
      </c>
      <c r="G70" s="85" t="str">
        <f aca="false">IFERROR(SUMPRODUCT((('Loan Tape'!$R$4:$R$303&lt;&gt;"")*('Loan Tape'!$E$4:$E$303=R70)*('Loan Tape'!$E$4:$E$303='Deal Strat'!$C$12))*'Loan Tape'!$U$4:$U$303*'Loan Tape'!$R$4:$R$303)/E70,"-")</f>
        <v>-</v>
      </c>
      <c r="H70" s="68" t="str">
        <f aca="false">IFERROR(SUMPRODUCT((('Loan Tape'!$R$4:$R$303&lt;&gt;"")*('Loan Tape'!$E$4:$E$303=R70)*('Loan Tape'!$E$4:$E$303='Deal Strat'!$C$12))*'Loan Tape'!$AH$4:$AH$303*'Loan Tape'!$R$4:$R$303)/E70,"-")</f>
        <v>-</v>
      </c>
      <c r="I70" s="68" t="str">
        <f aca="false">IFERROR(SUMPRODUCT((('Loan Tape'!$R$4:$R$303&lt;&gt;"")*('Loan Tape'!$E$4:$E$303=R70)*('Loan Tape'!$E$4:$E$303='Deal Strat'!$C$12))*(('Loan Tape'!$H$4:$H$303-$C$4)/30.4375)*'Loan Tape'!$R$4:$R$303)/E70,"-")</f>
        <v>-</v>
      </c>
      <c r="J70" s="69" t="str">
        <f aca="false">IFERROR(SUMPRODUCT((('Loan Tape'!$R$4:$R$303&lt;&gt;"")*('Loan Tape'!$E$4:$E$303=R70)*('Loan Tape'!$E$4:$E$303='Deal Strat'!$C$12))*('Loan Tape'!$K$4:$K$303="Floating")*'Loan Tape'!$R$4:$R$303)/E70,"-")</f>
        <v>-</v>
      </c>
      <c r="K70" s="69" t="str">
        <f aca="false">IFERROR(SUMPRODUCT((('Loan Tape'!$R$4:$R$303&lt;&gt;"")*('Loan Tape'!$E$4:$E$303=R70)*('Loan Tape'!$E$4:$E$303='Deal Strat'!$C$12))*'Loan Tape'!$T$4:$T$303*'Loan Tape'!$R$4:$R$303)/E70,"-")</f>
        <v>-</v>
      </c>
      <c r="L70" s="69" t="str">
        <f aca="false">IFERROR(SUMPRODUCT((('Loan Tape'!$R$4:$R$303&lt;&gt;"")*('Loan Tape'!$E$4:$E$303=R70)*('Loan Tape'!$E$4:$E$303='Deal Strat'!$C$12))*'Loan Tape'!$V$4:$V$303*'Loan Tape'!$R$4:$R$303)/E70,"-")</f>
        <v>-</v>
      </c>
      <c r="M70" s="69" t="str">
        <f aca="false">IFERROR(SUMPRODUCT((('Loan Tape'!$R$4:$R$303&lt;&gt;"")*('Loan Tape'!$E$4:$E$303=R70)*('Loan Tape'!$E$4:$E$303='Deal Strat'!$C$12))*'Loan Tape'!$W$4:$W$303*'Loan Tape'!$R$4:$R$303)/E70,"-")</f>
        <v>-</v>
      </c>
      <c r="N70" s="69" t="str">
        <f aca="false">IFERROR(SUMPRODUCT((('Loan Tape'!$R$4:$R$303&lt;&gt;"")*('Loan Tape'!$E$4:$E$303=R70)*('Loan Tape'!$E$4:$E$303='Deal Strat'!$C$12))*'Loan Tape'!$AI$4:$AI$303*'Loan Tape'!$R$4:$R$303)/E70,"-")</f>
        <v>-</v>
      </c>
      <c r="O70" s="69" t="str">
        <f aca="false">IFERROR(SUMPRODUCT((('Loan Tape'!$R$4:$R$303&lt;&gt;"")*('Loan Tape'!$E$4:$E$303=R70)*('Loan Tape'!$E$4:$E$303='Deal Strat'!$C$12))*'Loan Tape'!$AK$4:$AK$303*'Loan Tape'!$R$4:$R$303)/E70,"-")</f>
        <v>-</v>
      </c>
      <c r="P70" s="69" t="str">
        <f aca="false">IFERROR(SUMPRODUCT((('Loan Tape'!$R$4:$R$303&lt;&gt;"")*('Loan Tape'!$E$4:$E$303=R70)*('Loan Tape'!$E$4:$E$303='Deal Strat'!$C$12))*'Loan Tape'!$S$4:$S$303*'Loan Tape'!$R$4:$R$303)/E70,"-")</f>
        <v>-</v>
      </c>
      <c r="R70" s="91" t="s">
        <v>222</v>
      </c>
    </row>
    <row r="71" customFormat="false" ht="14.25" hidden="false" customHeight="false" outlineLevel="0" collapsed="false">
      <c r="B71" s="7" t="str">
        <f aca="false">R71</f>
        <v>Deal 7</v>
      </c>
      <c r="C71" s="68" t="n">
        <f aca="false">COUNTIFS('Loan Tape'!$E$4:$E$303,R71,'Loan Tape'!$E$4:$E$303,'Deal Strat'!$C$12)</f>
        <v>0</v>
      </c>
      <c r="D71" s="68" t="n">
        <f aca="false">SUMPRODUCT((('Loan Tape'!$R$4:$R$303&lt;&gt;"")*('Loan Tape'!$E$4:$E$303=R71)*('Loan Tape'!$E$4:$E$303='Deal Strat'!$C$12))*'Loan Tape'!$F$4:$F$303)</f>
        <v>0</v>
      </c>
      <c r="E71" s="84" t="n">
        <f aca="false">SUMIFS('Loan Tape'!$R$4:$R$303,'Loan Tape'!$E$4:$E$303,R71,'Loan Tape'!$E$4:$E$303,'Deal Strat'!$C$12)</f>
        <v>0</v>
      </c>
      <c r="F71" s="69" t="n">
        <f aca="false">IFERROR(E71/C5,0)</f>
        <v>0</v>
      </c>
      <c r="G71" s="85" t="str">
        <f aca="false">IFERROR(SUMPRODUCT((('Loan Tape'!$R$4:$R$303&lt;&gt;"")*('Loan Tape'!$E$4:$E$303=R71)*('Loan Tape'!$E$4:$E$303='Deal Strat'!$C$12))*'Loan Tape'!$U$4:$U$303*'Loan Tape'!$R$4:$R$303)/E71,"-")</f>
        <v>-</v>
      </c>
      <c r="H71" s="68" t="str">
        <f aca="false">IFERROR(SUMPRODUCT((('Loan Tape'!$R$4:$R$303&lt;&gt;"")*('Loan Tape'!$E$4:$E$303=R71)*('Loan Tape'!$E$4:$E$303='Deal Strat'!$C$12))*'Loan Tape'!$AH$4:$AH$303*'Loan Tape'!$R$4:$R$303)/E71,"-")</f>
        <v>-</v>
      </c>
      <c r="I71" s="68" t="str">
        <f aca="false">IFERROR(SUMPRODUCT((('Loan Tape'!$R$4:$R$303&lt;&gt;"")*('Loan Tape'!$E$4:$E$303=R71)*('Loan Tape'!$E$4:$E$303='Deal Strat'!$C$12))*(('Loan Tape'!$H$4:$H$303-$C$4)/30.4375)*'Loan Tape'!$R$4:$R$303)/E71,"-")</f>
        <v>-</v>
      </c>
      <c r="J71" s="69" t="str">
        <f aca="false">IFERROR(SUMPRODUCT((('Loan Tape'!$R$4:$R$303&lt;&gt;"")*('Loan Tape'!$E$4:$E$303=R71)*('Loan Tape'!$E$4:$E$303='Deal Strat'!$C$12))*('Loan Tape'!$K$4:$K$303="Floating")*'Loan Tape'!$R$4:$R$303)/E71,"-")</f>
        <v>-</v>
      </c>
      <c r="K71" s="69" t="str">
        <f aca="false">IFERROR(SUMPRODUCT((('Loan Tape'!$R$4:$R$303&lt;&gt;"")*('Loan Tape'!$E$4:$E$303=R71)*('Loan Tape'!$E$4:$E$303='Deal Strat'!$C$12))*'Loan Tape'!$T$4:$T$303*'Loan Tape'!$R$4:$R$303)/E71,"-")</f>
        <v>-</v>
      </c>
      <c r="L71" s="69" t="str">
        <f aca="false">IFERROR(SUMPRODUCT((('Loan Tape'!$R$4:$R$303&lt;&gt;"")*('Loan Tape'!$E$4:$E$303=R71)*('Loan Tape'!$E$4:$E$303='Deal Strat'!$C$12))*'Loan Tape'!$V$4:$V$303*'Loan Tape'!$R$4:$R$303)/E71,"-")</f>
        <v>-</v>
      </c>
      <c r="M71" s="69" t="str">
        <f aca="false">IFERROR(SUMPRODUCT((('Loan Tape'!$R$4:$R$303&lt;&gt;"")*('Loan Tape'!$E$4:$E$303=R71)*('Loan Tape'!$E$4:$E$303='Deal Strat'!$C$12))*'Loan Tape'!$W$4:$W$303*'Loan Tape'!$R$4:$R$303)/E71,"-")</f>
        <v>-</v>
      </c>
      <c r="N71" s="69" t="str">
        <f aca="false">IFERROR(SUMPRODUCT((('Loan Tape'!$R$4:$R$303&lt;&gt;"")*('Loan Tape'!$E$4:$E$303=R71)*('Loan Tape'!$E$4:$E$303='Deal Strat'!$C$12))*'Loan Tape'!$AI$4:$AI$303*'Loan Tape'!$R$4:$R$303)/E71,"-")</f>
        <v>-</v>
      </c>
      <c r="O71" s="69" t="str">
        <f aca="false">IFERROR(SUMPRODUCT((('Loan Tape'!$R$4:$R$303&lt;&gt;"")*('Loan Tape'!$E$4:$E$303=R71)*('Loan Tape'!$E$4:$E$303='Deal Strat'!$C$12))*'Loan Tape'!$AK$4:$AK$303*'Loan Tape'!$R$4:$R$303)/E71,"-")</f>
        <v>-</v>
      </c>
      <c r="P71" s="69" t="str">
        <f aca="false">IFERROR(SUMPRODUCT((('Loan Tape'!$R$4:$R$303&lt;&gt;"")*('Loan Tape'!$E$4:$E$303=R71)*('Loan Tape'!$E$4:$E$303='Deal Strat'!$C$12))*'Loan Tape'!$S$4:$S$303*'Loan Tape'!$R$4:$R$303)/E71,"-")</f>
        <v>-</v>
      </c>
      <c r="R71" s="91" t="s">
        <v>229</v>
      </c>
    </row>
    <row r="72" customFormat="false" ht="14.25" hidden="false" customHeight="false" outlineLevel="0" collapsed="false">
      <c r="B72" s="7" t="str">
        <f aca="false">R72</f>
        <v>Deal 8</v>
      </c>
      <c r="C72" s="68" t="n">
        <f aca="false">COUNTIFS('Loan Tape'!$E$4:$E$303,R72,'Loan Tape'!$E$4:$E$303,'Deal Strat'!$C$12)</f>
        <v>0</v>
      </c>
      <c r="D72" s="68" t="n">
        <f aca="false">SUMPRODUCT((('Loan Tape'!$R$4:$R$303&lt;&gt;"")*('Loan Tape'!$E$4:$E$303=R72)*('Loan Tape'!$E$4:$E$303='Deal Strat'!$C$12))*'Loan Tape'!$F$4:$F$303)</f>
        <v>0</v>
      </c>
      <c r="E72" s="84" t="n">
        <f aca="false">SUMIFS('Loan Tape'!$R$4:$R$303,'Loan Tape'!$E$4:$E$303,R72,'Loan Tape'!$E$4:$E$303,'Deal Strat'!$C$12)</f>
        <v>0</v>
      </c>
      <c r="F72" s="69" t="n">
        <f aca="false">IFERROR(E72/C5,0)</f>
        <v>0</v>
      </c>
      <c r="G72" s="85" t="str">
        <f aca="false">IFERROR(SUMPRODUCT((('Loan Tape'!$R$4:$R$303&lt;&gt;"")*('Loan Tape'!$E$4:$E$303=R72)*('Loan Tape'!$E$4:$E$303='Deal Strat'!$C$12))*'Loan Tape'!$U$4:$U$303*'Loan Tape'!$R$4:$R$303)/E72,"-")</f>
        <v>-</v>
      </c>
      <c r="H72" s="68" t="str">
        <f aca="false">IFERROR(SUMPRODUCT((('Loan Tape'!$R$4:$R$303&lt;&gt;"")*('Loan Tape'!$E$4:$E$303=R72)*('Loan Tape'!$E$4:$E$303='Deal Strat'!$C$12))*'Loan Tape'!$AH$4:$AH$303*'Loan Tape'!$R$4:$R$303)/E72,"-")</f>
        <v>-</v>
      </c>
      <c r="I72" s="68" t="str">
        <f aca="false">IFERROR(SUMPRODUCT((('Loan Tape'!$R$4:$R$303&lt;&gt;"")*('Loan Tape'!$E$4:$E$303=R72)*('Loan Tape'!$E$4:$E$303='Deal Strat'!$C$12))*(('Loan Tape'!$H$4:$H$303-$C$4)/30.4375)*'Loan Tape'!$R$4:$R$303)/E72,"-")</f>
        <v>-</v>
      </c>
      <c r="J72" s="69" t="str">
        <f aca="false">IFERROR(SUMPRODUCT((('Loan Tape'!$R$4:$R$303&lt;&gt;"")*('Loan Tape'!$E$4:$E$303=R72)*('Loan Tape'!$E$4:$E$303='Deal Strat'!$C$12))*('Loan Tape'!$K$4:$K$303="Floating")*'Loan Tape'!$R$4:$R$303)/E72,"-")</f>
        <v>-</v>
      </c>
      <c r="K72" s="69" t="str">
        <f aca="false">IFERROR(SUMPRODUCT((('Loan Tape'!$R$4:$R$303&lt;&gt;"")*('Loan Tape'!$E$4:$E$303=R72)*('Loan Tape'!$E$4:$E$303='Deal Strat'!$C$12))*'Loan Tape'!$T$4:$T$303*'Loan Tape'!$R$4:$R$303)/E72,"-")</f>
        <v>-</v>
      </c>
      <c r="L72" s="69" t="str">
        <f aca="false">IFERROR(SUMPRODUCT((('Loan Tape'!$R$4:$R$303&lt;&gt;"")*('Loan Tape'!$E$4:$E$303=R72)*('Loan Tape'!$E$4:$E$303='Deal Strat'!$C$12))*'Loan Tape'!$V$4:$V$303*'Loan Tape'!$R$4:$R$303)/E72,"-")</f>
        <v>-</v>
      </c>
      <c r="M72" s="69" t="str">
        <f aca="false">IFERROR(SUMPRODUCT((('Loan Tape'!$R$4:$R$303&lt;&gt;"")*('Loan Tape'!$E$4:$E$303=R72)*('Loan Tape'!$E$4:$E$303='Deal Strat'!$C$12))*'Loan Tape'!$W$4:$W$303*'Loan Tape'!$R$4:$R$303)/E72,"-")</f>
        <v>-</v>
      </c>
      <c r="N72" s="69" t="str">
        <f aca="false">IFERROR(SUMPRODUCT((('Loan Tape'!$R$4:$R$303&lt;&gt;"")*('Loan Tape'!$E$4:$E$303=R72)*('Loan Tape'!$E$4:$E$303='Deal Strat'!$C$12))*'Loan Tape'!$AI$4:$AI$303*'Loan Tape'!$R$4:$R$303)/E72,"-")</f>
        <v>-</v>
      </c>
      <c r="O72" s="69" t="str">
        <f aca="false">IFERROR(SUMPRODUCT((('Loan Tape'!$R$4:$R$303&lt;&gt;"")*('Loan Tape'!$E$4:$E$303=R72)*('Loan Tape'!$E$4:$E$303='Deal Strat'!$C$12))*'Loan Tape'!$AK$4:$AK$303*'Loan Tape'!$R$4:$R$303)/E72,"-")</f>
        <v>-</v>
      </c>
      <c r="P72" s="69" t="str">
        <f aca="false">IFERROR(SUMPRODUCT((('Loan Tape'!$R$4:$R$303&lt;&gt;"")*('Loan Tape'!$E$4:$E$303=R72)*('Loan Tape'!$E$4:$E$303='Deal Strat'!$C$12))*'Loan Tape'!$S$4:$S$303*'Loan Tape'!$R$4:$R$303)/E72,"-")</f>
        <v>-</v>
      </c>
      <c r="R72" s="91" t="s">
        <v>244</v>
      </c>
    </row>
    <row r="73" customFormat="false" ht="14.25" hidden="false" customHeight="false" outlineLevel="0" collapsed="false">
      <c r="B73" s="7" t="s">
        <v>411</v>
      </c>
      <c r="C73" s="68" t="n">
        <f aca="false">C6-SUM(C65:C72)</f>
        <v>0</v>
      </c>
      <c r="D73" s="68" t="n">
        <f aca="false">SUMPRODUCT(('Loan Tape'!$E$4:$E$303='Deal Strat'!$C$12)*'Loan Tape'!$F$4:$F$303)-SUM(D65:D72)</f>
        <v>0</v>
      </c>
      <c r="E73" s="84" t="n">
        <f aca="false">C5-SUM(E65:E72)</f>
        <v>0</v>
      </c>
      <c r="F73" s="69" t="n">
        <f aca="false">IFERROR(E73/C5,0)</f>
        <v>0</v>
      </c>
      <c r="G73" s="85" t="str">
        <f aca="false">IFERROR(SUMPRODUCT((('Loan Tape'!$R$4:$R$303&lt;&gt;"")*(1-(('Loan Tape'!$E$4:$E$303=R65)+('Loan Tape'!$E$4:$E$303=R66)+('Loan Tape'!$E$4:$E$303=R67)+('Loan Tape'!$E$4:$E$303=R68)+('Loan Tape'!$E$4:$E$303=R69)+('Loan Tape'!$E$4:$E$303=R70)+('Loan Tape'!$E$4:$E$303=R71)+('Loan Tape'!$E$4:$E$303=R72)))*('Loan Tape'!$E$4:$E$303='Deal Strat'!$C$12))*'Loan Tape'!$U$4:$U$303*'Loan Tape'!$R$4:$R$303)/E73,"-")</f>
        <v>-</v>
      </c>
      <c r="H73" s="68" t="str">
        <f aca="false">IFERROR(SUMPRODUCT((('Loan Tape'!$R$4:$R$303&lt;&gt;"")*(1-(('Loan Tape'!$E$4:$E$303=R65)+('Loan Tape'!$E$4:$E$303=R66)+('Loan Tape'!$E$4:$E$303=R67)+('Loan Tape'!$E$4:$E$303=R68)+('Loan Tape'!$E$4:$E$303=R69)+('Loan Tape'!$E$4:$E$303=R70)+('Loan Tape'!$E$4:$E$303=R71)+('Loan Tape'!$E$4:$E$303=R72)))*('Loan Tape'!$E$4:$E$303='Deal Strat'!$C$12))*'Loan Tape'!$AH$4:$AH$303*'Loan Tape'!$R$4:$R$303)/E73,"-")</f>
        <v>-</v>
      </c>
      <c r="I73" s="68" t="str">
        <f aca="false">IFERROR(SUMPRODUCT((('Loan Tape'!$R$4:$R$303&lt;&gt;"")*(1-(('Loan Tape'!$E$4:$E$303=R65)+('Loan Tape'!$E$4:$E$303=R66)+('Loan Tape'!$E$4:$E$303=R67)+('Loan Tape'!$E$4:$E$303=R68)+('Loan Tape'!$E$4:$E$303=R69)+('Loan Tape'!$E$4:$E$303=R70)+('Loan Tape'!$E$4:$E$303=R71)+('Loan Tape'!$E$4:$E$303=R72)))*('Loan Tape'!$E$4:$E$303='Deal Strat'!$C$12))*(('Loan Tape'!$H$4:$H$303-$C$4)/30.4375)*'Loan Tape'!$R$4:$R$303)/E73,"-")</f>
        <v>-</v>
      </c>
      <c r="J73" s="69" t="str">
        <f aca="false">IFERROR(SUMPRODUCT((('Loan Tape'!$R$4:$R$303&lt;&gt;"")*(1-(('Loan Tape'!$E$4:$E$303=R65)+('Loan Tape'!$E$4:$E$303=R66)+('Loan Tape'!$E$4:$E$303=R67)+('Loan Tape'!$E$4:$E$303=R68)+('Loan Tape'!$E$4:$E$303=R69)+('Loan Tape'!$E$4:$E$303=R70)+('Loan Tape'!$E$4:$E$303=R71)+('Loan Tape'!$E$4:$E$303=R72)))*('Loan Tape'!$E$4:$E$303='Deal Strat'!$C$12))*('Loan Tape'!$K$4:$K$303="Floating")*'Loan Tape'!$R$4:$R$303)/E73,"-")</f>
        <v>-</v>
      </c>
      <c r="K73" s="69" t="str">
        <f aca="false">IFERROR(SUMPRODUCT((('Loan Tape'!$R$4:$R$303&lt;&gt;"")*(1-(('Loan Tape'!$E$4:$E$303=R65)+('Loan Tape'!$E$4:$E$303=R66)+('Loan Tape'!$E$4:$E$303=R67)+('Loan Tape'!$E$4:$E$303=R68)+('Loan Tape'!$E$4:$E$303=R69)+('Loan Tape'!$E$4:$E$303=R70)+('Loan Tape'!$E$4:$E$303=R71)+('Loan Tape'!$E$4:$E$303=R72)))*('Loan Tape'!$E$4:$E$303='Deal Strat'!$C$12))*'Loan Tape'!$T$4:$T$303*'Loan Tape'!$R$4:$R$303)/E73,"-")</f>
        <v>-</v>
      </c>
      <c r="L73" s="69" t="str">
        <f aca="false">IFERROR(SUMPRODUCT((('Loan Tape'!$R$4:$R$303&lt;&gt;"")*(1-(('Loan Tape'!$E$4:$E$303=R65)+('Loan Tape'!$E$4:$E$303=R66)+('Loan Tape'!$E$4:$E$303=R67)+('Loan Tape'!$E$4:$E$303=R68)+('Loan Tape'!$E$4:$E$303=R69)+('Loan Tape'!$E$4:$E$303=R70)+('Loan Tape'!$E$4:$E$303=R71)+('Loan Tape'!$E$4:$E$303=R72)))*('Loan Tape'!$E$4:$E$303='Deal Strat'!$C$12))*'Loan Tape'!$V$4:$V$303*'Loan Tape'!$R$4:$R$303)/E73,"-")</f>
        <v>-</v>
      </c>
      <c r="M73" s="69" t="str">
        <f aca="false">IFERROR(SUMPRODUCT((('Loan Tape'!$R$4:$R$303&lt;&gt;"")*(1-(('Loan Tape'!$E$4:$E$303=R65)+('Loan Tape'!$E$4:$E$303=R66)+('Loan Tape'!$E$4:$E$303=R67)+('Loan Tape'!$E$4:$E$303=R68)+('Loan Tape'!$E$4:$E$303=R69)+('Loan Tape'!$E$4:$E$303=R70)+('Loan Tape'!$E$4:$E$303=R71)+('Loan Tape'!$E$4:$E$303=R72)))*('Loan Tape'!$E$4:$E$303='Deal Strat'!$C$12))*'Loan Tape'!$W$4:$W$303*'Loan Tape'!$R$4:$R$303)/E73,"-")</f>
        <v>-</v>
      </c>
      <c r="N73" s="69" t="str">
        <f aca="false">IFERROR(SUMPRODUCT((('Loan Tape'!$R$4:$R$303&lt;&gt;"")*(1-(('Loan Tape'!$E$4:$E$303=R65)+('Loan Tape'!$E$4:$E$303=R66)+('Loan Tape'!$E$4:$E$303=R67)+('Loan Tape'!$E$4:$E$303=R68)+('Loan Tape'!$E$4:$E$303=R69)+('Loan Tape'!$E$4:$E$303=R70)+('Loan Tape'!$E$4:$E$303=R71)+('Loan Tape'!$E$4:$E$303=R72)))*('Loan Tape'!$E$4:$E$303='Deal Strat'!$C$12))*'Loan Tape'!$AI$4:$AI$303*'Loan Tape'!$R$4:$R$303)/E73,"-")</f>
        <v>-</v>
      </c>
      <c r="O73" s="69" t="str">
        <f aca="false">IFERROR(SUMPRODUCT((('Loan Tape'!$R$4:$R$303&lt;&gt;"")*(1-(('Loan Tape'!$E$4:$E$303=R65)+('Loan Tape'!$E$4:$E$303=R66)+('Loan Tape'!$E$4:$E$303=R67)+('Loan Tape'!$E$4:$E$303=R68)+('Loan Tape'!$E$4:$E$303=R69)+('Loan Tape'!$E$4:$E$303=R70)+('Loan Tape'!$E$4:$E$303=R71)+('Loan Tape'!$E$4:$E$303=R72)))*('Loan Tape'!$E$4:$E$303='Deal Strat'!$C$12))*'Loan Tape'!$AK$4:$AK$303*'Loan Tape'!$R$4:$R$303)/E73,"-")</f>
        <v>-</v>
      </c>
      <c r="P73" s="69" t="str">
        <f aca="false">IFERROR(SUMPRODUCT((('Loan Tape'!$R$4:$R$303&lt;&gt;"")*(1-(('Loan Tape'!$E$4:$E$303=R65)+('Loan Tape'!$E$4:$E$303=R66)+('Loan Tape'!$E$4:$E$303=R67)+('Loan Tape'!$E$4:$E$303=R68)+('Loan Tape'!$E$4:$E$303=R69)+('Loan Tape'!$E$4:$E$303=R70)+('Loan Tape'!$E$4:$E$303=R71)+('Loan Tape'!$E$4:$E$303=R72)))*('Loan Tape'!$E$4:$E$303='Deal Strat'!$C$12))*'Loan Tape'!$S$4:$S$303*'Loan Tape'!$R$4:$R$303)/E73,"-")</f>
        <v>-</v>
      </c>
    </row>
    <row r="74" customFormat="false" ht="14.25" hidden="false" customHeight="false" outlineLevel="0" collapsed="false">
      <c r="B74" s="86" t="s">
        <v>405</v>
      </c>
      <c r="C74" s="92" t="n">
        <f aca="false">C6</f>
        <v>5</v>
      </c>
      <c r="D74" s="92" t="n">
        <f aca="false">SUMPRODUCT(('Loan Tape'!$E$4:$E$303='Deal Strat'!$C$12)*'Loan Tape'!$F$4:$F$303)</f>
        <v>593</v>
      </c>
      <c r="E74" s="88" t="n">
        <f aca="false">C5</f>
        <v>372487000</v>
      </c>
      <c r="F74" s="89" t="n">
        <f aca="false">1</f>
        <v>1</v>
      </c>
      <c r="G74" s="90" t="n">
        <f aca="false">IFERROR(SUMPRODUCT((('Loan Tape'!$R$4:$R$303&lt;&gt;"")*('Loan Tape'!$E$4:$E$303='Deal Strat'!$C$12))*'Loan Tape'!$U$4:$U$303*'Loan Tape'!$R$4:$R$303)/E74,"-")</f>
        <v>1.46286165691689</v>
      </c>
      <c r="H74" s="92" t="n">
        <f aca="false">IFERROR(SUMPRODUCT((('Loan Tape'!$R$4:$R$303&lt;&gt;"")*('Loan Tape'!$E$4:$E$303='Deal Strat'!$C$12))*'Loan Tape'!$AH$4:$AH$303*'Loan Tape'!$R$4:$R$303)/E74,"-")</f>
        <v>100.401133462376</v>
      </c>
      <c r="I74" s="92" t="n">
        <f aca="false">IFERROR(SUMPRODUCT((('Loan Tape'!$R$4:$R$303&lt;&gt;"")*('Loan Tape'!$E$4:$E$303='Deal Strat'!$C$12))*(('Loan Tape'!$H$4:$H$303-$C$4)/30.4375)*'Loan Tape'!$R$4:$R$303)/E74,"-")</f>
        <v>4.02239639370792</v>
      </c>
      <c r="J74" s="89" t="n">
        <f aca="false">IFERROR(SUMPRODUCT((('Loan Tape'!$R$4:$R$303&lt;&gt;"")*('Loan Tape'!$E$4:$E$303='Deal Strat'!$C$12))*('Loan Tape'!$K$4:$K$303="Floating")*'Loan Tape'!$R$4:$R$303)/E74,"-")</f>
        <v>0.64712593996569</v>
      </c>
      <c r="K74" s="89" t="n">
        <f aca="false">IFERROR(SUMPRODUCT((('Loan Tape'!$R$4:$R$303&lt;&gt;"")*('Loan Tape'!$E$4:$E$303='Deal Strat'!$C$12))*'Loan Tape'!$T$4:$T$303*'Loan Tape'!$R$4:$R$303)/E74,"-")</f>
        <v>0.0853727877751438</v>
      </c>
      <c r="L74" s="89" t="n">
        <f aca="false">IFERROR(SUMPRODUCT((('Loan Tape'!$R$4:$R$303&lt;&gt;"")*('Loan Tape'!$E$4:$E$303='Deal Strat'!$C$12))*'Loan Tape'!$V$4:$V$303*'Loan Tape'!$R$4:$R$303)/E74,"-")</f>
        <v>0.69021042345102</v>
      </c>
      <c r="M74" s="89" t="n">
        <f aca="false">IFERROR(SUMPRODUCT((('Loan Tape'!$R$4:$R$303&lt;&gt;"")*('Loan Tape'!$E$4:$E$303='Deal Strat'!$C$12))*'Loan Tape'!$W$4:$W$303*'Loan Tape'!$R$4:$R$303)/E74,"-")</f>
        <v>0.727922306013364</v>
      </c>
      <c r="N74" s="89" t="n">
        <f aca="false">IFERROR(SUMPRODUCT((('Loan Tape'!$R$4:$R$303&lt;&gt;"")*('Loan Tape'!$E$4:$E$303='Deal Strat'!$C$12))*'Loan Tape'!$AI$4:$AI$303*'Loan Tape'!$R$4:$R$303)/E74,"-")</f>
        <v>0.0680705466231036</v>
      </c>
      <c r="O74" s="89" t="n">
        <f aca="false">IFERROR(SUMPRODUCT((('Loan Tape'!$R$4:$R$303&lt;&gt;"")*('Loan Tape'!$E$4:$E$303='Deal Strat'!$C$12))*'Loan Tape'!$AK$4:$AK$303*'Loan Tape'!$R$4:$R$303)/E74,"-")</f>
        <v>0.077777435722589</v>
      </c>
      <c r="P74" s="89" t="n">
        <f aca="false">IFERROR(SUMPRODUCT((('Loan Tape'!$R$4:$R$303&lt;&gt;"")*('Loan Tape'!$E$4:$E$303='Deal Strat'!$C$12))*'Loan Tape'!$S$4:$S$303*'Loan Tape'!$R$4:$R$303)/E74,"-")</f>
        <v>0.841462496677736</v>
      </c>
    </row>
    <row r="76" customFormat="false" ht="19.5" hidden="false" customHeight="true" outlineLevel="0" collapsed="false">
      <c r="B76" s="5" t="s">
        <v>412</v>
      </c>
      <c r="C76" s="5"/>
      <c r="D76" s="5"/>
      <c r="E76" s="5"/>
      <c r="F76" s="5"/>
      <c r="G76" s="5"/>
      <c r="H76" s="5"/>
      <c r="I76" s="5"/>
      <c r="J76" s="5"/>
      <c r="K76" s="5"/>
      <c r="L76" s="5"/>
      <c r="M76" s="5"/>
      <c r="N76" s="5"/>
      <c r="O76" s="5"/>
      <c r="P76" s="5"/>
    </row>
    <row r="77" customFormat="false" ht="42" hidden="false" customHeight="true" outlineLevel="0" collapsed="false">
      <c r="B77" s="82" t="s">
        <v>392</v>
      </c>
      <c r="C77" s="83" t="s">
        <v>368</v>
      </c>
      <c r="D77" s="83" t="s">
        <v>153</v>
      </c>
      <c r="E77" s="83" t="s">
        <v>393</v>
      </c>
      <c r="F77" s="83" t="s">
        <v>394</v>
      </c>
      <c r="G77" s="83" t="s">
        <v>395</v>
      </c>
      <c r="H77" s="83" t="s">
        <v>396</v>
      </c>
      <c r="I77" s="83" t="s">
        <v>397</v>
      </c>
      <c r="J77" s="83" t="s">
        <v>398</v>
      </c>
      <c r="K77" s="83" t="s">
        <v>399</v>
      </c>
      <c r="L77" s="83" t="s">
        <v>400</v>
      </c>
      <c r="M77" s="83" t="s">
        <v>401</v>
      </c>
      <c r="N77" s="83" t="s">
        <v>402</v>
      </c>
      <c r="O77" s="83" t="s">
        <v>403</v>
      </c>
      <c r="P77" s="83" t="s">
        <v>365</v>
      </c>
    </row>
    <row r="78" customFormat="false" ht="14.25" hidden="false" customHeight="false" outlineLevel="0" collapsed="false">
      <c r="B78" s="7" t="str">
        <f aca="false">R78</f>
        <v>Multifamily</v>
      </c>
      <c r="C78" s="68" t="n">
        <f aca="false">COUNTIFS('Loan Tape'!$D$4:$D$303,R78,'Loan Tape'!$E$4:$E$303,'Deal Strat'!$C$12)</f>
        <v>3</v>
      </c>
      <c r="D78" s="68" t="n">
        <f aca="false">SUMPRODUCT((('Loan Tape'!$R$4:$R$303&lt;&gt;"")*('Loan Tape'!$D$4:$D$303=R78)*('Loan Tape'!$E$4:$E$303='Deal Strat'!$C$12))*'Loan Tape'!$F$4:$F$303)</f>
        <v>593</v>
      </c>
      <c r="E78" s="84" t="n">
        <f aca="false">SUMIFS('Loan Tape'!$R$4:$R$303,'Loan Tape'!$D$4:$D$303,R78,'Loan Tape'!$E$4:$E$303,'Deal Strat'!$C$12)</f>
        <v>194566000</v>
      </c>
      <c r="F78" s="69" t="n">
        <f aca="false">IFERROR(E78/C5,0)</f>
        <v>0.522343061637051</v>
      </c>
      <c r="G78" s="85" t="n">
        <f aca="false">IFERROR(SUMPRODUCT((('Loan Tape'!$R$4:$R$303&lt;&gt;"")*('Loan Tape'!$D$4:$D$303=R78)*('Loan Tape'!$E$4:$E$303='Deal Strat'!$C$12))*'Loan Tape'!$U$4:$U$303*'Loan Tape'!$R$4:$R$303)/E78,"-")</f>
        <v>1.54455624312573</v>
      </c>
      <c r="H78" s="68" t="n">
        <f aca="false">IFERROR(SUMPRODUCT((('Loan Tape'!$R$4:$R$303&lt;&gt;"")*('Loan Tape'!$D$4:$D$303=R78)*('Loan Tape'!$E$4:$E$303='Deal Strat'!$C$12))*'Loan Tape'!$AH$4:$AH$303*'Loan Tape'!$R$4:$R$303)/E78,"-")</f>
        <v>100.471865588027</v>
      </c>
      <c r="I78" s="68" t="n">
        <f aca="false">IFERROR(SUMPRODUCT((('Loan Tape'!$R$4:$R$303&lt;&gt;"")*('Loan Tape'!$D$4:$D$303=R78)*('Loan Tape'!$E$4:$E$303='Deal Strat'!$C$12))*(('Loan Tape'!$H$4:$H$303-$C$4)/30.4375)*'Loan Tape'!$R$4:$R$303)/E78,"-")</f>
        <v>-10.3243312167357</v>
      </c>
      <c r="J78" s="69" t="n">
        <f aca="false">IFERROR(SUMPRODUCT((('Loan Tape'!$R$4:$R$303&lt;&gt;"")*('Loan Tape'!$D$4:$D$303=R78)*('Loan Tape'!$E$4:$E$303='Deal Strat'!$C$12))*('Loan Tape'!$K$4:$K$303="Floating")*'Loan Tape'!$R$4:$R$303)/E78,"-")</f>
        <v>0.324440035771923</v>
      </c>
      <c r="K78" s="69" t="n">
        <f aca="false">IFERROR(SUMPRODUCT((('Loan Tape'!$R$4:$R$303&lt;&gt;"")*('Loan Tape'!$D$4:$D$303=R78)*('Loan Tape'!$E$4:$E$303='Deal Strat'!$C$12))*'Loan Tape'!$T$4:$T$303*'Loan Tape'!$R$4:$R$303)/E78,"-")</f>
        <v>0.0878509760184205</v>
      </c>
      <c r="L78" s="69" t="n">
        <f aca="false">IFERROR(SUMPRODUCT((('Loan Tape'!$R$4:$R$303&lt;&gt;"")*('Loan Tape'!$D$4:$D$303=R78)*('Loan Tape'!$E$4:$E$303='Deal Strat'!$C$12))*'Loan Tape'!$V$4:$V$303*'Loan Tape'!$R$4:$R$303)/E78,"-")</f>
        <v>0.742036712478028</v>
      </c>
      <c r="M78" s="69" t="n">
        <f aca="false">IFERROR(SUMPRODUCT((('Loan Tape'!$R$4:$R$303&lt;&gt;"")*('Loan Tape'!$D$4:$D$303=R78)*('Loan Tape'!$E$4:$E$303='Deal Strat'!$C$12))*'Loan Tape'!$W$4:$W$303*'Loan Tape'!$R$4:$R$303)/E78,"-")</f>
        <v>0.788655828870409</v>
      </c>
      <c r="N78" s="69" t="n">
        <f aca="false">IFERROR(SUMPRODUCT((('Loan Tape'!$R$4:$R$303&lt;&gt;"")*('Loan Tape'!$D$4:$D$303=R78)*('Loan Tape'!$E$4:$E$303='Deal Strat'!$C$12))*'Loan Tape'!$AI$4:$AI$303*'Loan Tape'!$R$4:$R$303)/E78,"-")</f>
        <v>0.0597478218188173</v>
      </c>
      <c r="O78" s="69" t="n">
        <f aca="false">IFERROR(SUMPRODUCT((('Loan Tape'!$R$4:$R$303&lt;&gt;"")*('Loan Tape'!$D$4:$D$303=R78)*('Loan Tape'!$E$4:$E$303='Deal Strat'!$C$12))*'Loan Tape'!$AK$4:$AK$303*'Loan Tape'!$R$4:$R$303)/E78,"-")</f>
        <v>0.0646144223553961</v>
      </c>
      <c r="P78" s="69" t="n">
        <f aca="false">IFERROR(SUMPRODUCT((('Loan Tape'!$R$4:$R$303&lt;&gt;"")*('Loan Tape'!$D$4:$D$303=R78)*('Loan Tape'!$E$4:$E$303='Deal Strat'!$C$12))*'Loan Tape'!$S$4:$S$303*'Loan Tape'!$R$4:$R$303)/E78,"-")</f>
        <v>0.847819912009293</v>
      </c>
      <c r="R78" s="91" t="s">
        <v>228</v>
      </c>
    </row>
    <row r="79" customFormat="false" ht="14.25" hidden="false" customHeight="false" outlineLevel="0" collapsed="false">
      <c r="B79" s="7" t="str">
        <f aca="false">R79</f>
        <v>Office</v>
      </c>
      <c r="C79" s="68" t="n">
        <f aca="false">COUNTIFS('Loan Tape'!$D$4:$D$303,R79,'Loan Tape'!$E$4:$E$303,'Deal Strat'!$C$12)</f>
        <v>0</v>
      </c>
      <c r="D79" s="68" t="n">
        <f aca="false">SUMPRODUCT((('Loan Tape'!$R$4:$R$303&lt;&gt;"")*('Loan Tape'!$D$4:$D$303=R79)*('Loan Tape'!$E$4:$E$303='Deal Strat'!$C$12))*'Loan Tape'!$F$4:$F$303)</f>
        <v>0</v>
      </c>
      <c r="E79" s="84" t="n">
        <f aca="false">SUMIFS('Loan Tape'!$R$4:$R$303,'Loan Tape'!$D$4:$D$303,R79,'Loan Tape'!$E$4:$E$303,'Deal Strat'!$C$12)</f>
        <v>0</v>
      </c>
      <c r="F79" s="69" t="n">
        <f aca="false">IFERROR(E79/C5,0)</f>
        <v>0</v>
      </c>
      <c r="G79" s="85" t="str">
        <f aca="false">IFERROR(SUMPRODUCT((('Loan Tape'!$R$4:$R$303&lt;&gt;"")*('Loan Tape'!$D$4:$D$303=R79)*('Loan Tape'!$E$4:$E$303='Deal Strat'!$C$12))*'Loan Tape'!$U$4:$U$303*'Loan Tape'!$R$4:$R$303)/E79,"-")</f>
        <v>-</v>
      </c>
      <c r="H79" s="68" t="str">
        <f aca="false">IFERROR(SUMPRODUCT((('Loan Tape'!$R$4:$R$303&lt;&gt;"")*('Loan Tape'!$D$4:$D$303=R79)*('Loan Tape'!$E$4:$E$303='Deal Strat'!$C$12))*'Loan Tape'!$AH$4:$AH$303*'Loan Tape'!$R$4:$R$303)/E79,"-")</f>
        <v>-</v>
      </c>
      <c r="I79" s="68" t="str">
        <f aca="false">IFERROR(SUMPRODUCT((('Loan Tape'!$R$4:$R$303&lt;&gt;"")*('Loan Tape'!$D$4:$D$303=R79)*('Loan Tape'!$E$4:$E$303='Deal Strat'!$C$12))*(('Loan Tape'!$H$4:$H$303-$C$4)/30.4375)*'Loan Tape'!$R$4:$R$303)/E79,"-")</f>
        <v>-</v>
      </c>
      <c r="J79" s="69" t="str">
        <f aca="false">IFERROR(SUMPRODUCT((('Loan Tape'!$R$4:$R$303&lt;&gt;"")*('Loan Tape'!$D$4:$D$303=R79)*('Loan Tape'!$E$4:$E$303='Deal Strat'!$C$12))*('Loan Tape'!$K$4:$K$303="Floating")*'Loan Tape'!$R$4:$R$303)/E79,"-")</f>
        <v>-</v>
      </c>
      <c r="K79" s="69" t="str">
        <f aca="false">IFERROR(SUMPRODUCT((('Loan Tape'!$R$4:$R$303&lt;&gt;"")*('Loan Tape'!$D$4:$D$303=R79)*('Loan Tape'!$E$4:$E$303='Deal Strat'!$C$12))*'Loan Tape'!$T$4:$T$303*'Loan Tape'!$R$4:$R$303)/E79,"-")</f>
        <v>-</v>
      </c>
      <c r="L79" s="69" t="str">
        <f aca="false">IFERROR(SUMPRODUCT((('Loan Tape'!$R$4:$R$303&lt;&gt;"")*('Loan Tape'!$D$4:$D$303=R79)*('Loan Tape'!$E$4:$E$303='Deal Strat'!$C$12))*'Loan Tape'!$V$4:$V$303*'Loan Tape'!$R$4:$R$303)/E79,"-")</f>
        <v>-</v>
      </c>
      <c r="M79" s="69" t="str">
        <f aca="false">IFERROR(SUMPRODUCT((('Loan Tape'!$R$4:$R$303&lt;&gt;"")*('Loan Tape'!$D$4:$D$303=R79)*('Loan Tape'!$E$4:$E$303='Deal Strat'!$C$12))*'Loan Tape'!$W$4:$W$303*'Loan Tape'!$R$4:$R$303)/E79,"-")</f>
        <v>-</v>
      </c>
      <c r="N79" s="69" t="str">
        <f aca="false">IFERROR(SUMPRODUCT((('Loan Tape'!$R$4:$R$303&lt;&gt;"")*('Loan Tape'!$D$4:$D$303=R79)*('Loan Tape'!$E$4:$E$303='Deal Strat'!$C$12))*'Loan Tape'!$AI$4:$AI$303*'Loan Tape'!$R$4:$R$303)/E79,"-")</f>
        <v>-</v>
      </c>
      <c r="O79" s="69" t="str">
        <f aca="false">IFERROR(SUMPRODUCT((('Loan Tape'!$R$4:$R$303&lt;&gt;"")*('Loan Tape'!$D$4:$D$303=R79)*('Loan Tape'!$E$4:$E$303='Deal Strat'!$C$12))*'Loan Tape'!$AK$4:$AK$303*'Loan Tape'!$R$4:$R$303)/E79,"-")</f>
        <v>-</v>
      </c>
      <c r="P79" s="69" t="str">
        <f aca="false">IFERROR(SUMPRODUCT((('Loan Tape'!$R$4:$R$303&lt;&gt;"")*('Loan Tape'!$D$4:$D$303=R79)*('Loan Tape'!$E$4:$E$303='Deal Strat'!$C$12))*'Loan Tape'!$S$4:$S$303*'Loan Tape'!$R$4:$R$303)/E79,"-")</f>
        <v>-</v>
      </c>
      <c r="R79" s="91" t="s">
        <v>236</v>
      </c>
    </row>
    <row r="80" customFormat="false" ht="14.25" hidden="false" customHeight="false" outlineLevel="0" collapsed="false">
      <c r="B80" s="7" t="str">
        <f aca="false">R80</f>
        <v>Retail</v>
      </c>
      <c r="C80" s="68" t="n">
        <f aca="false">COUNTIFS('Loan Tape'!$D$4:$D$303,R80,'Loan Tape'!$E$4:$E$303,'Deal Strat'!$C$12)</f>
        <v>0</v>
      </c>
      <c r="D80" s="68" t="n">
        <f aca="false">SUMPRODUCT((('Loan Tape'!$R$4:$R$303&lt;&gt;"")*('Loan Tape'!$D$4:$D$303=R80)*('Loan Tape'!$E$4:$E$303='Deal Strat'!$C$12))*'Loan Tape'!$F$4:$F$303)</f>
        <v>0</v>
      </c>
      <c r="E80" s="84" t="n">
        <f aca="false">SUMIFS('Loan Tape'!$R$4:$R$303,'Loan Tape'!$D$4:$D$303,R80,'Loan Tape'!$E$4:$E$303,'Deal Strat'!$C$12)</f>
        <v>0</v>
      </c>
      <c r="F80" s="69" t="n">
        <f aca="false">IFERROR(E80/C5,0)</f>
        <v>0</v>
      </c>
      <c r="G80" s="85" t="str">
        <f aca="false">IFERROR(SUMPRODUCT((('Loan Tape'!$R$4:$R$303&lt;&gt;"")*('Loan Tape'!$D$4:$D$303=R80)*('Loan Tape'!$E$4:$E$303='Deal Strat'!$C$12))*'Loan Tape'!$U$4:$U$303*'Loan Tape'!$R$4:$R$303)/E80,"-")</f>
        <v>-</v>
      </c>
      <c r="H80" s="68" t="str">
        <f aca="false">IFERROR(SUMPRODUCT((('Loan Tape'!$R$4:$R$303&lt;&gt;"")*('Loan Tape'!$D$4:$D$303=R80)*('Loan Tape'!$E$4:$E$303='Deal Strat'!$C$12))*'Loan Tape'!$AH$4:$AH$303*'Loan Tape'!$R$4:$R$303)/E80,"-")</f>
        <v>-</v>
      </c>
      <c r="I80" s="68" t="str">
        <f aca="false">IFERROR(SUMPRODUCT((('Loan Tape'!$R$4:$R$303&lt;&gt;"")*('Loan Tape'!$D$4:$D$303=R80)*('Loan Tape'!$E$4:$E$303='Deal Strat'!$C$12))*(('Loan Tape'!$H$4:$H$303-$C$4)/30.4375)*'Loan Tape'!$R$4:$R$303)/E80,"-")</f>
        <v>-</v>
      </c>
      <c r="J80" s="69" t="str">
        <f aca="false">IFERROR(SUMPRODUCT((('Loan Tape'!$R$4:$R$303&lt;&gt;"")*('Loan Tape'!$D$4:$D$303=R80)*('Loan Tape'!$E$4:$E$303='Deal Strat'!$C$12))*('Loan Tape'!$K$4:$K$303="Floating")*'Loan Tape'!$R$4:$R$303)/E80,"-")</f>
        <v>-</v>
      </c>
      <c r="K80" s="69" t="str">
        <f aca="false">IFERROR(SUMPRODUCT((('Loan Tape'!$R$4:$R$303&lt;&gt;"")*('Loan Tape'!$D$4:$D$303=R80)*('Loan Tape'!$E$4:$E$303='Deal Strat'!$C$12))*'Loan Tape'!$T$4:$T$303*'Loan Tape'!$R$4:$R$303)/E80,"-")</f>
        <v>-</v>
      </c>
      <c r="L80" s="69" t="str">
        <f aca="false">IFERROR(SUMPRODUCT((('Loan Tape'!$R$4:$R$303&lt;&gt;"")*('Loan Tape'!$D$4:$D$303=R80)*('Loan Tape'!$E$4:$E$303='Deal Strat'!$C$12))*'Loan Tape'!$V$4:$V$303*'Loan Tape'!$R$4:$R$303)/E80,"-")</f>
        <v>-</v>
      </c>
      <c r="M80" s="69" t="str">
        <f aca="false">IFERROR(SUMPRODUCT((('Loan Tape'!$R$4:$R$303&lt;&gt;"")*('Loan Tape'!$D$4:$D$303=R80)*('Loan Tape'!$E$4:$E$303='Deal Strat'!$C$12))*'Loan Tape'!$W$4:$W$303*'Loan Tape'!$R$4:$R$303)/E80,"-")</f>
        <v>-</v>
      </c>
      <c r="N80" s="69" t="str">
        <f aca="false">IFERROR(SUMPRODUCT((('Loan Tape'!$R$4:$R$303&lt;&gt;"")*('Loan Tape'!$D$4:$D$303=R80)*('Loan Tape'!$E$4:$E$303='Deal Strat'!$C$12))*'Loan Tape'!$AI$4:$AI$303*'Loan Tape'!$R$4:$R$303)/E80,"-")</f>
        <v>-</v>
      </c>
      <c r="O80" s="69" t="str">
        <f aca="false">IFERROR(SUMPRODUCT((('Loan Tape'!$R$4:$R$303&lt;&gt;"")*('Loan Tape'!$D$4:$D$303=R80)*('Loan Tape'!$E$4:$E$303='Deal Strat'!$C$12))*'Loan Tape'!$AK$4:$AK$303*'Loan Tape'!$R$4:$R$303)/E80,"-")</f>
        <v>-</v>
      </c>
      <c r="P80" s="69" t="str">
        <f aca="false">IFERROR(SUMPRODUCT((('Loan Tape'!$R$4:$R$303&lt;&gt;"")*('Loan Tape'!$D$4:$D$303=R80)*('Loan Tape'!$E$4:$E$303='Deal Strat'!$C$12))*'Loan Tape'!$S$4:$S$303*'Loan Tape'!$R$4:$R$303)/E80,"-")</f>
        <v>-</v>
      </c>
      <c r="R80" s="91" t="s">
        <v>207</v>
      </c>
    </row>
    <row r="81" customFormat="false" ht="14.25" hidden="false" customHeight="false" outlineLevel="0" collapsed="false">
      <c r="B81" s="7" t="str">
        <f aca="false">R81</f>
        <v>Industrial</v>
      </c>
      <c r="C81" s="68" t="n">
        <f aca="false">COUNTIFS('Loan Tape'!$D$4:$D$303,R81,'Loan Tape'!$E$4:$E$303,'Deal Strat'!$C$12)</f>
        <v>2</v>
      </c>
      <c r="D81" s="68" t="n">
        <f aca="false">SUMPRODUCT((('Loan Tape'!$R$4:$R$303&lt;&gt;"")*('Loan Tape'!$D$4:$D$303=R81)*('Loan Tape'!$E$4:$E$303='Deal Strat'!$C$12))*'Loan Tape'!$F$4:$F$303)</f>
        <v>0</v>
      </c>
      <c r="E81" s="84" t="n">
        <f aca="false">SUMIFS('Loan Tape'!$R$4:$R$303,'Loan Tape'!$D$4:$D$303,R81,'Loan Tape'!$E$4:$E$303,'Deal Strat'!$C$12)</f>
        <v>177921000</v>
      </c>
      <c r="F81" s="69" t="n">
        <f aca="false">IFERROR(E81/C5,0)</f>
        <v>0.47765693836295</v>
      </c>
      <c r="G81" s="85" t="n">
        <f aca="false">IFERROR(SUMPRODUCT((('Loan Tape'!$R$4:$R$303&lt;&gt;"")*('Loan Tape'!$D$4:$D$303=R81)*('Loan Tape'!$E$4:$E$303='Deal Strat'!$C$12))*'Loan Tape'!$U$4:$U$303*'Loan Tape'!$R$4:$R$303)/E81,"-")</f>
        <v>1.37352431697214</v>
      </c>
      <c r="H81" s="68" t="n">
        <f aca="false">IFERROR(SUMPRODUCT((('Loan Tape'!$R$4:$R$303&lt;&gt;"")*('Loan Tape'!$D$4:$D$303=R81)*('Loan Tape'!$E$4:$E$303='Deal Strat'!$C$12))*'Loan Tape'!$AH$4:$AH$303*'Loan Tape'!$R$4:$R$303)/E81,"-")</f>
        <v>100.323784151393</v>
      </c>
      <c r="I81" s="68" t="n">
        <f aca="false">IFERROR(SUMPRODUCT((('Loan Tape'!$R$4:$R$303&lt;&gt;"")*('Loan Tape'!$D$4:$D$303=R81)*('Loan Tape'!$E$4:$E$303='Deal Strat'!$C$12))*(('Loan Tape'!$H$4:$H$303-$C$4)/30.4375)*'Loan Tape'!$R$4:$R$303)/E81,"-")</f>
        <v>19.7112999197311</v>
      </c>
      <c r="J81" s="69" t="n">
        <f aca="false">IFERROR(SUMPRODUCT((('Loan Tape'!$R$4:$R$303&lt;&gt;"")*('Loan Tape'!$D$4:$D$303=R81)*('Loan Tape'!$E$4:$E$303='Deal Strat'!$C$12))*('Loan Tape'!$K$4:$K$303="Floating")*'Loan Tape'!$R$4:$R$303)/E81,"-")</f>
        <v>1</v>
      </c>
      <c r="K81" s="69" t="n">
        <f aca="false">IFERROR(SUMPRODUCT((('Loan Tape'!$R$4:$R$303&lt;&gt;"")*('Loan Tape'!$D$4:$D$303=R81)*('Loan Tape'!$E$4:$E$303='Deal Strat'!$C$12))*'Loan Tape'!$T$4:$T$303*'Loan Tape'!$R$4:$R$303)/E81,"-")</f>
        <v>0.0826627581904328</v>
      </c>
      <c r="L81" s="69" t="n">
        <f aca="false">IFERROR(SUMPRODUCT((('Loan Tape'!$R$4:$R$303&lt;&gt;"")*('Loan Tape'!$D$4:$D$303=R81)*('Loan Tape'!$E$4:$E$303='Deal Strat'!$C$12))*'Loan Tape'!$V$4:$V$303*'Loan Tape'!$R$4:$R$303)/E81,"-")</f>
        <v>0.633535642223234</v>
      </c>
      <c r="M81" s="69" t="n">
        <f aca="false">IFERROR(SUMPRODUCT((('Loan Tape'!$R$4:$R$303&lt;&gt;"")*('Loan Tape'!$D$4:$D$303=R81)*('Loan Tape'!$E$4:$E$303='Deal Strat'!$C$12))*'Loan Tape'!$W$4:$W$303*'Loan Tape'!$R$4:$R$303)/E81,"-")</f>
        <v>0.661506994677413</v>
      </c>
      <c r="N81" s="69" t="n">
        <f aca="false">IFERROR(SUMPRODUCT((('Loan Tape'!$R$4:$R$303&lt;&gt;"")*('Loan Tape'!$D$4:$D$303=R81)*('Loan Tape'!$E$4:$E$303='Deal Strat'!$C$12))*'Loan Tape'!$AI$4:$AI$303*'Loan Tape'!$R$4:$R$303)/E81,"-")</f>
        <v>0.0771718852749254</v>
      </c>
      <c r="O81" s="69" t="n">
        <f aca="false">IFERROR(SUMPRODUCT((('Loan Tape'!$R$4:$R$303&lt;&gt;"")*('Loan Tape'!$D$4:$D$303=R81)*('Loan Tape'!$E$4:$E$303='Deal Strat'!$C$12))*'Loan Tape'!$AK$4:$AK$303*'Loan Tape'!$R$4:$R$303)/E81,"-")</f>
        <v>0.0921718852749254</v>
      </c>
      <c r="P81" s="69" t="n">
        <f aca="false">IFERROR(SUMPRODUCT((('Loan Tape'!$R$4:$R$303&lt;&gt;"")*('Loan Tape'!$D$4:$D$303=R81)*('Loan Tape'!$E$4:$E$303='Deal Strat'!$C$12))*'Loan Tape'!$S$4:$S$303*'Loan Tape'!$R$4:$R$303)/E81,"-")</f>
        <v>0.834510327617313</v>
      </c>
      <c r="R81" s="91" t="s">
        <v>251</v>
      </c>
    </row>
    <row r="82" customFormat="false" ht="14.25" hidden="false" customHeight="false" outlineLevel="0" collapsed="false">
      <c r="B82" s="7" t="str">
        <f aca="false">R82</f>
        <v>Hotel</v>
      </c>
      <c r="C82" s="68" t="n">
        <f aca="false">COUNTIFS('Loan Tape'!$D$4:$D$303,R82,'Loan Tape'!$E$4:$E$303,'Deal Strat'!$C$12)</f>
        <v>0</v>
      </c>
      <c r="D82" s="68" t="n">
        <f aca="false">SUMPRODUCT((('Loan Tape'!$R$4:$R$303&lt;&gt;"")*('Loan Tape'!$D$4:$D$303=R82)*('Loan Tape'!$E$4:$E$303='Deal Strat'!$C$12))*'Loan Tape'!$F$4:$F$303)</f>
        <v>0</v>
      </c>
      <c r="E82" s="84" t="n">
        <f aca="false">SUMIFS('Loan Tape'!$R$4:$R$303,'Loan Tape'!$D$4:$D$303,R82,'Loan Tape'!$E$4:$E$303,'Deal Strat'!$C$12)</f>
        <v>0</v>
      </c>
      <c r="F82" s="69" t="n">
        <f aca="false">IFERROR(E82/C5,0)</f>
        <v>0</v>
      </c>
      <c r="G82" s="85" t="str">
        <f aca="false">IFERROR(SUMPRODUCT((('Loan Tape'!$R$4:$R$303&lt;&gt;"")*('Loan Tape'!$D$4:$D$303=R82)*('Loan Tape'!$E$4:$E$303='Deal Strat'!$C$12))*'Loan Tape'!$U$4:$U$303*'Loan Tape'!$R$4:$R$303)/E82,"-")</f>
        <v>-</v>
      </c>
      <c r="H82" s="68" t="str">
        <f aca="false">IFERROR(SUMPRODUCT((('Loan Tape'!$R$4:$R$303&lt;&gt;"")*('Loan Tape'!$D$4:$D$303=R82)*('Loan Tape'!$E$4:$E$303='Deal Strat'!$C$12))*'Loan Tape'!$AH$4:$AH$303*'Loan Tape'!$R$4:$R$303)/E82,"-")</f>
        <v>-</v>
      </c>
      <c r="I82" s="68" t="str">
        <f aca="false">IFERROR(SUMPRODUCT((('Loan Tape'!$R$4:$R$303&lt;&gt;"")*('Loan Tape'!$D$4:$D$303=R82)*('Loan Tape'!$E$4:$E$303='Deal Strat'!$C$12))*(('Loan Tape'!$H$4:$H$303-$C$4)/30.4375)*'Loan Tape'!$R$4:$R$303)/E82,"-")</f>
        <v>-</v>
      </c>
      <c r="J82" s="69" t="str">
        <f aca="false">IFERROR(SUMPRODUCT((('Loan Tape'!$R$4:$R$303&lt;&gt;"")*('Loan Tape'!$D$4:$D$303=R82)*('Loan Tape'!$E$4:$E$303='Deal Strat'!$C$12))*('Loan Tape'!$K$4:$K$303="Floating")*'Loan Tape'!$R$4:$R$303)/E82,"-")</f>
        <v>-</v>
      </c>
      <c r="K82" s="69" t="str">
        <f aca="false">IFERROR(SUMPRODUCT((('Loan Tape'!$R$4:$R$303&lt;&gt;"")*('Loan Tape'!$D$4:$D$303=R82)*('Loan Tape'!$E$4:$E$303='Deal Strat'!$C$12))*'Loan Tape'!$T$4:$T$303*'Loan Tape'!$R$4:$R$303)/E82,"-")</f>
        <v>-</v>
      </c>
      <c r="L82" s="69" t="str">
        <f aca="false">IFERROR(SUMPRODUCT((('Loan Tape'!$R$4:$R$303&lt;&gt;"")*('Loan Tape'!$D$4:$D$303=R82)*('Loan Tape'!$E$4:$E$303='Deal Strat'!$C$12))*'Loan Tape'!$V$4:$V$303*'Loan Tape'!$R$4:$R$303)/E82,"-")</f>
        <v>-</v>
      </c>
      <c r="M82" s="69" t="str">
        <f aca="false">IFERROR(SUMPRODUCT((('Loan Tape'!$R$4:$R$303&lt;&gt;"")*('Loan Tape'!$D$4:$D$303=R82)*('Loan Tape'!$E$4:$E$303='Deal Strat'!$C$12))*'Loan Tape'!$W$4:$W$303*'Loan Tape'!$R$4:$R$303)/E82,"-")</f>
        <v>-</v>
      </c>
      <c r="N82" s="69" t="str">
        <f aca="false">IFERROR(SUMPRODUCT((('Loan Tape'!$R$4:$R$303&lt;&gt;"")*('Loan Tape'!$D$4:$D$303=R82)*('Loan Tape'!$E$4:$E$303='Deal Strat'!$C$12))*'Loan Tape'!$AI$4:$AI$303*'Loan Tape'!$R$4:$R$303)/E82,"-")</f>
        <v>-</v>
      </c>
      <c r="O82" s="69" t="str">
        <f aca="false">IFERROR(SUMPRODUCT((('Loan Tape'!$R$4:$R$303&lt;&gt;"")*('Loan Tape'!$D$4:$D$303=R82)*('Loan Tape'!$E$4:$E$303='Deal Strat'!$C$12))*'Loan Tape'!$AK$4:$AK$303*'Loan Tape'!$R$4:$R$303)/E82,"-")</f>
        <v>-</v>
      </c>
      <c r="P82" s="69" t="str">
        <f aca="false">IFERROR(SUMPRODUCT((('Loan Tape'!$R$4:$R$303&lt;&gt;"")*('Loan Tape'!$D$4:$D$303=R82)*('Loan Tape'!$E$4:$E$303='Deal Strat'!$C$12))*'Loan Tape'!$S$4:$S$303*'Loan Tape'!$R$4:$R$303)/E82,"-")</f>
        <v>-</v>
      </c>
      <c r="R82" s="91" t="s">
        <v>221</v>
      </c>
    </row>
    <row r="83" customFormat="false" ht="14.25" hidden="false" customHeight="false" outlineLevel="0" collapsed="false">
      <c r="B83" s="7" t="str">
        <f aca="false">R83</f>
        <v>Mixed-Use</v>
      </c>
      <c r="C83" s="68" t="n">
        <f aca="false">COUNTIFS('Loan Tape'!$D$4:$D$303,R83,'Loan Tape'!$E$4:$E$303,'Deal Strat'!$C$12)</f>
        <v>0</v>
      </c>
      <c r="D83" s="68" t="n">
        <f aca="false">SUMPRODUCT((('Loan Tape'!$R$4:$R$303&lt;&gt;"")*('Loan Tape'!$D$4:$D$303=R83)*('Loan Tape'!$E$4:$E$303='Deal Strat'!$C$12))*'Loan Tape'!$F$4:$F$303)</f>
        <v>0</v>
      </c>
      <c r="E83" s="84" t="n">
        <f aca="false">SUMIFS('Loan Tape'!$R$4:$R$303,'Loan Tape'!$D$4:$D$303,R83,'Loan Tape'!$E$4:$E$303,'Deal Strat'!$C$12)</f>
        <v>0</v>
      </c>
      <c r="F83" s="69" t="n">
        <f aca="false">IFERROR(E83/C5,0)</f>
        <v>0</v>
      </c>
      <c r="G83" s="85" t="str">
        <f aca="false">IFERROR(SUMPRODUCT((('Loan Tape'!$R$4:$R$303&lt;&gt;"")*('Loan Tape'!$D$4:$D$303=R83)*('Loan Tape'!$E$4:$E$303='Deal Strat'!$C$12))*'Loan Tape'!$U$4:$U$303*'Loan Tape'!$R$4:$R$303)/E83,"-")</f>
        <v>-</v>
      </c>
      <c r="H83" s="68" t="str">
        <f aca="false">IFERROR(SUMPRODUCT((('Loan Tape'!$R$4:$R$303&lt;&gt;"")*('Loan Tape'!$D$4:$D$303=R83)*('Loan Tape'!$E$4:$E$303='Deal Strat'!$C$12))*'Loan Tape'!$AH$4:$AH$303*'Loan Tape'!$R$4:$R$303)/E83,"-")</f>
        <v>-</v>
      </c>
      <c r="I83" s="68" t="str">
        <f aca="false">IFERROR(SUMPRODUCT((('Loan Tape'!$R$4:$R$303&lt;&gt;"")*('Loan Tape'!$D$4:$D$303=R83)*('Loan Tape'!$E$4:$E$303='Deal Strat'!$C$12))*(('Loan Tape'!$H$4:$H$303-$C$4)/30.4375)*'Loan Tape'!$R$4:$R$303)/E83,"-")</f>
        <v>-</v>
      </c>
      <c r="J83" s="69" t="str">
        <f aca="false">IFERROR(SUMPRODUCT((('Loan Tape'!$R$4:$R$303&lt;&gt;"")*('Loan Tape'!$D$4:$D$303=R83)*('Loan Tape'!$E$4:$E$303='Deal Strat'!$C$12))*('Loan Tape'!$K$4:$K$303="Floating")*'Loan Tape'!$R$4:$R$303)/E83,"-")</f>
        <v>-</v>
      </c>
      <c r="K83" s="69" t="str">
        <f aca="false">IFERROR(SUMPRODUCT((('Loan Tape'!$R$4:$R$303&lt;&gt;"")*('Loan Tape'!$D$4:$D$303=R83)*('Loan Tape'!$E$4:$E$303='Deal Strat'!$C$12))*'Loan Tape'!$T$4:$T$303*'Loan Tape'!$R$4:$R$303)/E83,"-")</f>
        <v>-</v>
      </c>
      <c r="L83" s="69" t="str">
        <f aca="false">IFERROR(SUMPRODUCT((('Loan Tape'!$R$4:$R$303&lt;&gt;"")*('Loan Tape'!$D$4:$D$303=R83)*('Loan Tape'!$E$4:$E$303='Deal Strat'!$C$12))*'Loan Tape'!$V$4:$V$303*'Loan Tape'!$R$4:$R$303)/E83,"-")</f>
        <v>-</v>
      </c>
      <c r="M83" s="69" t="str">
        <f aca="false">IFERROR(SUMPRODUCT((('Loan Tape'!$R$4:$R$303&lt;&gt;"")*('Loan Tape'!$D$4:$D$303=R83)*('Loan Tape'!$E$4:$E$303='Deal Strat'!$C$12))*'Loan Tape'!$W$4:$W$303*'Loan Tape'!$R$4:$R$303)/E83,"-")</f>
        <v>-</v>
      </c>
      <c r="N83" s="69" t="str">
        <f aca="false">IFERROR(SUMPRODUCT((('Loan Tape'!$R$4:$R$303&lt;&gt;"")*('Loan Tape'!$D$4:$D$303=R83)*('Loan Tape'!$E$4:$E$303='Deal Strat'!$C$12))*'Loan Tape'!$AI$4:$AI$303*'Loan Tape'!$R$4:$R$303)/E83,"-")</f>
        <v>-</v>
      </c>
      <c r="O83" s="69" t="str">
        <f aca="false">IFERROR(SUMPRODUCT((('Loan Tape'!$R$4:$R$303&lt;&gt;"")*('Loan Tape'!$D$4:$D$303=R83)*('Loan Tape'!$E$4:$E$303='Deal Strat'!$C$12))*'Loan Tape'!$AK$4:$AK$303*'Loan Tape'!$R$4:$R$303)/E83,"-")</f>
        <v>-</v>
      </c>
      <c r="P83" s="69" t="str">
        <f aca="false">IFERROR(SUMPRODUCT((('Loan Tape'!$R$4:$R$303&lt;&gt;"")*('Loan Tape'!$D$4:$D$303=R83)*('Loan Tape'!$E$4:$E$303='Deal Strat'!$C$12))*'Loan Tape'!$S$4:$S$303*'Loan Tape'!$R$4:$R$303)/E83,"-")</f>
        <v>-</v>
      </c>
      <c r="R83" s="91" t="s">
        <v>303</v>
      </c>
    </row>
    <row r="84" customFormat="false" ht="14.25" hidden="false" customHeight="false" outlineLevel="0" collapsed="false">
      <c r="B84" s="7" t="s">
        <v>407</v>
      </c>
      <c r="C84" s="68" t="n">
        <f aca="false">C6-SUM(C78:C83)</f>
        <v>0</v>
      </c>
      <c r="D84" s="68" t="n">
        <f aca="false">SUMPRODUCT(('Loan Tape'!$E$4:$E$303='Deal Strat'!$C$12)*'Loan Tape'!$F$4:$F$303)-SUM(D78:D83)</f>
        <v>0</v>
      </c>
      <c r="E84" s="84" t="n">
        <f aca="false">C5-SUM(E78:E83)</f>
        <v>0</v>
      </c>
      <c r="F84" s="69" t="n">
        <f aca="false">IFERROR(E84/C5,0)</f>
        <v>0</v>
      </c>
      <c r="G84" s="85" t="str">
        <f aca="false">IFERROR(SUMPRODUCT((('Loan Tape'!$R$4:$R$303&lt;&gt;"")*(1-(('Loan Tape'!$D$4:$D$303=R78)+('Loan Tape'!$D$4:$D$303=R79)+('Loan Tape'!$D$4:$D$303=R80)+('Loan Tape'!$D$4:$D$303=R81)+('Loan Tape'!$D$4:$D$303=R82)+('Loan Tape'!$D$4:$D$303=R83)))*('Loan Tape'!$E$4:$E$303='Deal Strat'!$C$12))*'Loan Tape'!$U$4:$U$303*'Loan Tape'!$R$4:$R$303)/E84,"-")</f>
        <v>-</v>
      </c>
      <c r="H84" s="68" t="str">
        <f aca="false">IFERROR(SUMPRODUCT((('Loan Tape'!$R$4:$R$303&lt;&gt;"")*(1-(('Loan Tape'!$D$4:$D$303=R78)+('Loan Tape'!$D$4:$D$303=R79)+('Loan Tape'!$D$4:$D$303=R80)+('Loan Tape'!$D$4:$D$303=R81)+('Loan Tape'!$D$4:$D$303=R82)+('Loan Tape'!$D$4:$D$303=R83)))*('Loan Tape'!$E$4:$E$303='Deal Strat'!$C$12))*'Loan Tape'!$AH$4:$AH$303*'Loan Tape'!$R$4:$R$303)/E84,"-")</f>
        <v>-</v>
      </c>
      <c r="I84" s="68" t="str">
        <f aca="false">IFERROR(SUMPRODUCT((('Loan Tape'!$R$4:$R$303&lt;&gt;"")*(1-(('Loan Tape'!$D$4:$D$303=R78)+('Loan Tape'!$D$4:$D$303=R79)+('Loan Tape'!$D$4:$D$303=R80)+('Loan Tape'!$D$4:$D$303=R81)+('Loan Tape'!$D$4:$D$303=R82)+('Loan Tape'!$D$4:$D$303=R83)))*('Loan Tape'!$E$4:$E$303='Deal Strat'!$C$12))*(('Loan Tape'!$H$4:$H$303-$C$4)/30.4375)*'Loan Tape'!$R$4:$R$303)/E84,"-")</f>
        <v>-</v>
      </c>
      <c r="J84" s="69" t="str">
        <f aca="false">IFERROR(SUMPRODUCT((('Loan Tape'!$R$4:$R$303&lt;&gt;"")*(1-(('Loan Tape'!$D$4:$D$303=R78)+('Loan Tape'!$D$4:$D$303=R79)+('Loan Tape'!$D$4:$D$303=R80)+('Loan Tape'!$D$4:$D$303=R81)+('Loan Tape'!$D$4:$D$303=R82)+('Loan Tape'!$D$4:$D$303=R83)))*('Loan Tape'!$E$4:$E$303='Deal Strat'!$C$12))*('Loan Tape'!$K$4:$K$303="Floating")*'Loan Tape'!$R$4:$R$303)/E84,"-")</f>
        <v>-</v>
      </c>
      <c r="K84" s="69" t="str">
        <f aca="false">IFERROR(SUMPRODUCT((('Loan Tape'!$R$4:$R$303&lt;&gt;"")*(1-(('Loan Tape'!$D$4:$D$303=R78)+('Loan Tape'!$D$4:$D$303=R79)+('Loan Tape'!$D$4:$D$303=R80)+('Loan Tape'!$D$4:$D$303=R81)+('Loan Tape'!$D$4:$D$303=R82)+('Loan Tape'!$D$4:$D$303=R83)))*('Loan Tape'!$E$4:$E$303='Deal Strat'!$C$12))*'Loan Tape'!$T$4:$T$303*'Loan Tape'!$R$4:$R$303)/E84,"-")</f>
        <v>-</v>
      </c>
      <c r="L84" s="69" t="str">
        <f aca="false">IFERROR(SUMPRODUCT((('Loan Tape'!$R$4:$R$303&lt;&gt;"")*(1-(('Loan Tape'!$D$4:$D$303=R78)+('Loan Tape'!$D$4:$D$303=R79)+('Loan Tape'!$D$4:$D$303=R80)+('Loan Tape'!$D$4:$D$303=R81)+('Loan Tape'!$D$4:$D$303=R82)+('Loan Tape'!$D$4:$D$303=R83)))*('Loan Tape'!$E$4:$E$303='Deal Strat'!$C$12))*'Loan Tape'!$V$4:$V$303*'Loan Tape'!$R$4:$R$303)/E84,"-")</f>
        <v>-</v>
      </c>
      <c r="M84" s="69" t="str">
        <f aca="false">IFERROR(SUMPRODUCT((('Loan Tape'!$R$4:$R$303&lt;&gt;"")*(1-(('Loan Tape'!$D$4:$D$303=R78)+('Loan Tape'!$D$4:$D$303=R79)+('Loan Tape'!$D$4:$D$303=R80)+('Loan Tape'!$D$4:$D$303=R81)+('Loan Tape'!$D$4:$D$303=R82)+('Loan Tape'!$D$4:$D$303=R83)))*('Loan Tape'!$E$4:$E$303='Deal Strat'!$C$12))*'Loan Tape'!$W$4:$W$303*'Loan Tape'!$R$4:$R$303)/E84,"-")</f>
        <v>-</v>
      </c>
      <c r="N84" s="69" t="str">
        <f aca="false">IFERROR(SUMPRODUCT((('Loan Tape'!$R$4:$R$303&lt;&gt;"")*(1-(('Loan Tape'!$D$4:$D$303=R78)+('Loan Tape'!$D$4:$D$303=R79)+('Loan Tape'!$D$4:$D$303=R80)+('Loan Tape'!$D$4:$D$303=R81)+('Loan Tape'!$D$4:$D$303=R82)+('Loan Tape'!$D$4:$D$303=R83)))*('Loan Tape'!$E$4:$E$303='Deal Strat'!$C$12))*'Loan Tape'!$AI$4:$AI$303*'Loan Tape'!$R$4:$R$303)/E84,"-")</f>
        <v>-</v>
      </c>
      <c r="O84" s="69" t="str">
        <f aca="false">IFERROR(SUMPRODUCT((('Loan Tape'!$R$4:$R$303&lt;&gt;"")*(1-(('Loan Tape'!$D$4:$D$303=R78)+('Loan Tape'!$D$4:$D$303=R79)+('Loan Tape'!$D$4:$D$303=R80)+('Loan Tape'!$D$4:$D$303=R81)+('Loan Tape'!$D$4:$D$303=R82)+('Loan Tape'!$D$4:$D$303=R83)))*('Loan Tape'!$E$4:$E$303='Deal Strat'!$C$12))*'Loan Tape'!$AK$4:$AK$303*'Loan Tape'!$R$4:$R$303)/E84,"-")</f>
        <v>-</v>
      </c>
      <c r="P84" s="69" t="str">
        <f aca="false">IFERROR(SUMPRODUCT((('Loan Tape'!$R$4:$R$303&lt;&gt;"")*(1-(('Loan Tape'!$D$4:$D$303=R78)+('Loan Tape'!$D$4:$D$303=R79)+('Loan Tape'!$D$4:$D$303=R80)+('Loan Tape'!$D$4:$D$303=R81)+('Loan Tape'!$D$4:$D$303=R82)+('Loan Tape'!$D$4:$D$303=R83)))*('Loan Tape'!$E$4:$E$303='Deal Strat'!$C$12))*'Loan Tape'!$S$4:$S$303*'Loan Tape'!$R$4:$R$303)/E84,"-")</f>
        <v>-</v>
      </c>
    </row>
    <row r="85" customFormat="false" ht="14.25" hidden="false" customHeight="false" outlineLevel="0" collapsed="false">
      <c r="B85" s="86" t="s">
        <v>405</v>
      </c>
      <c r="C85" s="92" t="n">
        <f aca="false">C6</f>
        <v>5</v>
      </c>
      <c r="D85" s="92" t="n">
        <f aca="false">SUMPRODUCT(('Loan Tape'!$E$4:$E$303='Deal Strat'!$C$12)*'Loan Tape'!$F$4:$F$303)</f>
        <v>593</v>
      </c>
      <c r="E85" s="88" t="n">
        <f aca="false">C5</f>
        <v>372487000</v>
      </c>
      <c r="F85" s="89" t="n">
        <f aca="false">1</f>
        <v>1</v>
      </c>
      <c r="G85" s="90" t="n">
        <f aca="false">IFERROR(SUMPRODUCT((('Loan Tape'!$R$4:$R$303&lt;&gt;"")*('Loan Tape'!$E$4:$E$303='Deal Strat'!$C$12))*'Loan Tape'!$U$4:$U$303*'Loan Tape'!$R$4:$R$303)/E85,"-")</f>
        <v>1.46286165691689</v>
      </c>
      <c r="H85" s="92" t="n">
        <f aca="false">IFERROR(SUMPRODUCT((('Loan Tape'!$R$4:$R$303&lt;&gt;"")*('Loan Tape'!$E$4:$E$303='Deal Strat'!$C$12))*'Loan Tape'!$AH$4:$AH$303*'Loan Tape'!$R$4:$R$303)/E85,"-")</f>
        <v>100.401133462376</v>
      </c>
      <c r="I85" s="92" t="n">
        <f aca="false">IFERROR(SUMPRODUCT((('Loan Tape'!$R$4:$R$303&lt;&gt;"")*('Loan Tape'!$E$4:$E$303='Deal Strat'!$C$12))*(('Loan Tape'!$H$4:$H$303-$C$4)/30.4375)*'Loan Tape'!$R$4:$R$303)/E85,"-")</f>
        <v>4.02239639370792</v>
      </c>
      <c r="J85" s="89" t="n">
        <f aca="false">IFERROR(SUMPRODUCT((('Loan Tape'!$R$4:$R$303&lt;&gt;"")*('Loan Tape'!$E$4:$E$303='Deal Strat'!$C$12))*('Loan Tape'!$K$4:$K$303="Floating")*'Loan Tape'!$R$4:$R$303)/E85,"-")</f>
        <v>0.64712593996569</v>
      </c>
      <c r="K85" s="89" t="n">
        <f aca="false">IFERROR(SUMPRODUCT((('Loan Tape'!$R$4:$R$303&lt;&gt;"")*('Loan Tape'!$E$4:$E$303='Deal Strat'!$C$12))*'Loan Tape'!$T$4:$T$303*'Loan Tape'!$R$4:$R$303)/E85,"-")</f>
        <v>0.0853727877751438</v>
      </c>
      <c r="L85" s="89" t="n">
        <f aca="false">IFERROR(SUMPRODUCT((('Loan Tape'!$R$4:$R$303&lt;&gt;"")*('Loan Tape'!$E$4:$E$303='Deal Strat'!$C$12))*'Loan Tape'!$V$4:$V$303*'Loan Tape'!$R$4:$R$303)/E85,"-")</f>
        <v>0.69021042345102</v>
      </c>
      <c r="M85" s="89" t="n">
        <f aca="false">IFERROR(SUMPRODUCT((('Loan Tape'!$R$4:$R$303&lt;&gt;"")*('Loan Tape'!$E$4:$E$303='Deal Strat'!$C$12))*'Loan Tape'!$W$4:$W$303*'Loan Tape'!$R$4:$R$303)/E85,"-")</f>
        <v>0.727922306013364</v>
      </c>
      <c r="N85" s="89" t="n">
        <f aca="false">IFERROR(SUMPRODUCT((('Loan Tape'!$R$4:$R$303&lt;&gt;"")*('Loan Tape'!$E$4:$E$303='Deal Strat'!$C$12))*'Loan Tape'!$AI$4:$AI$303*'Loan Tape'!$R$4:$R$303)/E85,"-")</f>
        <v>0.0680705466231036</v>
      </c>
      <c r="O85" s="89" t="n">
        <f aca="false">IFERROR(SUMPRODUCT((('Loan Tape'!$R$4:$R$303&lt;&gt;"")*('Loan Tape'!$E$4:$E$303='Deal Strat'!$C$12))*'Loan Tape'!$AK$4:$AK$303*'Loan Tape'!$R$4:$R$303)/E85,"-")</f>
        <v>0.077777435722589</v>
      </c>
      <c r="P85" s="89" t="n">
        <f aca="false">IFERROR(SUMPRODUCT((('Loan Tape'!$R$4:$R$303&lt;&gt;"")*('Loan Tape'!$E$4:$E$303='Deal Strat'!$C$12))*'Loan Tape'!$S$4:$S$303*'Loan Tape'!$R$4:$R$303)/E85,"-")</f>
        <v>0.841462496677736</v>
      </c>
    </row>
    <row r="87" customFormat="false" ht="19.5" hidden="false" customHeight="true" outlineLevel="0" collapsed="false">
      <c r="B87" s="5" t="s">
        <v>413</v>
      </c>
      <c r="C87" s="5"/>
      <c r="D87" s="5"/>
      <c r="E87" s="5"/>
      <c r="F87" s="5"/>
      <c r="G87" s="5"/>
      <c r="H87" s="5"/>
      <c r="I87" s="5"/>
      <c r="J87" s="5"/>
      <c r="K87" s="5"/>
      <c r="L87" s="5"/>
      <c r="M87" s="5"/>
      <c r="N87" s="5"/>
      <c r="O87" s="5"/>
      <c r="P87" s="5"/>
    </row>
    <row r="88" customFormat="false" ht="42" hidden="false" customHeight="true" outlineLevel="0" collapsed="false">
      <c r="B88" s="82" t="s">
        <v>392</v>
      </c>
      <c r="C88" s="83" t="s">
        <v>368</v>
      </c>
      <c r="D88" s="83" t="s">
        <v>153</v>
      </c>
      <c r="E88" s="83" t="s">
        <v>393</v>
      </c>
      <c r="F88" s="83" t="s">
        <v>394</v>
      </c>
      <c r="G88" s="83" t="s">
        <v>395</v>
      </c>
      <c r="H88" s="83" t="s">
        <v>396</v>
      </c>
      <c r="I88" s="83" t="s">
        <v>397</v>
      </c>
      <c r="J88" s="83" t="s">
        <v>398</v>
      </c>
      <c r="K88" s="83" t="s">
        <v>399</v>
      </c>
      <c r="L88" s="83" t="s">
        <v>400</v>
      </c>
      <c r="M88" s="83" t="s">
        <v>401</v>
      </c>
      <c r="N88" s="83" t="s">
        <v>402</v>
      </c>
      <c r="O88" s="83" t="s">
        <v>403</v>
      </c>
      <c r="P88" s="83" t="s">
        <v>365</v>
      </c>
    </row>
    <row r="89" customFormat="false" ht="14.25" hidden="false" customHeight="false" outlineLevel="0" collapsed="false">
      <c r="B89" s="7" t="str">
        <f aca="false">R89</f>
        <v>PE Fund</v>
      </c>
      <c r="C89" s="68" t="n">
        <f aca="false">COUNTIFS('Loan Tape'!$AD$4:$AD$303,R89,'Loan Tape'!$E$4:$E$303,'Deal Strat'!$C$12)</f>
        <v>0</v>
      </c>
      <c r="D89" s="68" t="n">
        <f aca="false">SUMPRODUCT((('Loan Tape'!$R$4:$R$303&lt;&gt;"")*('Loan Tape'!$AD$4:$AD$303=R89)*('Loan Tape'!$E$4:$E$303='Deal Strat'!$C$12))*'Loan Tape'!$F$4:$F$303)</f>
        <v>0</v>
      </c>
      <c r="E89" s="84" t="n">
        <f aca="false">SUMIFS('Loan Tape'!$R$4:$R$303,'Loan Tape'!$AD$4:$AD$303,R89,'Loan Tape'!$E$4:$E$303,'Deal Strat'!$C$12)</f>
        <v>0</v>
      </c>
      <c r="F89" s="69" t="n">
        <f aca="false">IFERROR(E89/C5,0)</f>
        <v>0</v>
      </c>
      <c r="G89" s="85" t="str">
        <f aca="false">IFERROR(SUMPRODUCT((('Loan Tape'!$R$4:$R$303&lt;&gt;"")*('Loan Tape'!$AD$4:$AD$303=R89)*('Loan Tape'!$E$4:$E$303='Deal Strat'!$C$12))*'Loan Tape'!$U$4:$U$303*'Loan Tape'!$R$4:$R$303)/E89,"-")</f>
        <v>-</v>
      </c>
      <c r="H89" s="68" t="str">
        <f aca="false">IFERROR(SUMPRODUCT((('Loan Tape'!$R$4:$R$303&lt;&gt;"")*('Loan Tape'!$AD$4:$AD$303=R89)*('Loan Tape'!$E$4:$E$303='Deal Strat'!$C$12))*'Loan Tape'!$AH$4:$AH$303*'Loan Tape'!$R$4:$R$303)/E89,"-")</f>
        <v>-</v>
      </c>
      <c r="I89" s="68" t="str">
        <f aca="false">IFERROR(SUMPRODUCT((('Loan Tape'!$R$4:$R$303&lt;&gt;"")*('Loan Tape'!$AD$4:$AD$303=R89)*('Loan Tape'!$E$4:$E$303='Deal Strat'!$C$12))*(('Loan Tape'!$H$4:$H$303-$C$4)/30.4375)*'Loan Tape'!$R$4:$R$303)/E89,"-")</f>
        <v>-</v>
      </c>
      <c r="J89" s="69" t="str">
        <f aca="false">IFERROR(SUMPRODUCT((('Loan Tape'!$R$4:$R$303&lt;&gt;"")*('Loan Tape'!$AD$4:$AD$303=R89)*('Loan Tape'!$E$4:$E$303='Deal Strat'!$C$12))*('Loan Tape'!$K$4:$K$303="Floating")*'Loan Tape'!$R$4:$R$303)/E89,"-")</f>
        <v>-</v>
      </c>
      <c r="K89" s="69" t="str">
        <f aca="false">IFERROR(SUMPRODUCT((('Loan Tape'!$R$4:$R$303&lt;&gt;"")*('Loan Tape'!$AD$4:$AD$303=R89)*('Loan Tape'!$E$4:$E$303='Deal Strat'!$C$12))*'Loan Tape'!$T$4:$T$303*'Loan Tape'!$R$4:$R$303)/E89,"-")</f>
        <v>-</v>
      </c>
      <c r="L89" s="69" t="str">
        <f aca="false">IFERROR(SUMPRODUCT((('Loan Tape'!$R$4:$R$303&lt;&gt;"")*('Loan Tape'!$AD$4:$AD$303=R89)*('Loan Tape'!$E$4:$E$303='Deal Strat'!$C$12))*'Loan Tape'!$V$4:$V$303*'Loan Tape'!$R$4:$R$303)/E89,"-")</f>
        <v>-</v>
      </c>
      <c r="M89" s="69" t="str">
        <f aca="false">IFERROR(SUMPRODUCT((('Loan Tape'!$R$4:$R$303&lt;&gt;"")*('Loan Tape'!$AD$4:$AD$303=R89)*('Loan Tape'!$E$4:$E$303='Deal Strat'!$C$12))*'Loan Tape'!$W$4:$W$303*'Loan Tape'!$R$4:$R$303)/E89,"-")</f>
        <v>-</v>
      </c>
      <c r="N89" s="69" t="str">
        <f aca="false">IFERROR(SUMPRODUCT((('Loan Tape'!$R$4:$R$303&lt;&gt;"")*('Loan Tape'!$AD$4:$AD$303=R89)*('Loan Tape'!$E$4:$E$303='Deal Strat'!$C$12))*'Loan Tape'!$AI$4:$AI$303*'Loan Tape'!$R$4:$R$303)/E89,"-")</f>
        <v>-</v>
      </c>
      <c r="O89" s="69" t="str">
        <f aca="false">IFERROR(SUMPRODUCT((('Loan Tape'!$R$4:$R$303&lt;&gt;"")*('Loan Tape'!$AD$4:$AD$303=R89)*('Loan Tape'!$E$4:$E$303='Deal Strat'!$C$12))*'Loan Tape'!$AK$4:$AK$303*'Loan Tape'!$R$4:$R$303)/E89,"-")</f>
        <v>-</v>
      </c>
      <c r="P89" s="69" t="str">
        <f aca="false">IFERROR(SUMPRODUCT((('Loan Tape'!$R$4:$R$303&lt;&gt;"")*('Loan Tape'!$AD$4:$AD$303=R89)*('Loan Tape'!$E$4:$E$303='Deal Strat'!$C$12))*'Loan Tape'!$S$4:$S$303*'Loan Tape'!$R$4:$R$303)/E89,"-")</f>
        <v>-</v>
      </c>
      <c r="R89" s="91" t="s">
        <v>214</v>
      </c>
    </row>
    <row r="90" customFormat="false" ht="14.25" hidden="false" customHeight="false" outlineLevel="0" collapsed="false">
      <c r="B90" s="7" t="str">
        <f aca="false">R90</f>
        <v>Institutional Owner/Operator</v>
      </c>
      <c r="C90" s="68" t="n">
        <f aca="false">COUNTIFS('Loan Tape'!$AD$4:$AD$303,R90,'Loan Tape'!$E$4:$E$303,'Deal Strat'!$C$12)</f>
        <v>3</v>
      </c>
      <c r="D90" s="68" t="n">
        <f aca="false">SUMPRODUCT((('Loan Tape'!$R$4:$R$303&lt;&gt;"")*('Loan Tape'!$AD$4:$AD$303=R90)*('Loan Tape'!$E$4:$E$303='Deal Strat'!$C$12))*'Loan Tape'!$F$4:$F$303)</f>
        <v>184</v>
      </c>
      <c r="E90" s="84" t="n">
        <f aca="false">SUMIFS('Loan Tape'!$R$4:$R$303,'Loan Tape'!$AD$4:$AD$303,R90,'Loan Tape'!$E$4:$E$303,'Deal Strat'!$C$12)</f>
        <v>241046000</v>
      </c>
      <c r="F90" s="69" t="n">
        <f aca="false">IFERROR(E90/C5,0)</f>
        <v>0.64712593996569</v>
      </c>
      <c r="G90" s="85" t="n">
        <f aca="false">IFERROR(SUMPRODUCT((('Loan Tape'!$R$4:$R$303&lt;&gt;"")*('Loan Tape'!$AD$4:$AD$303=R90)*('Loan Tape'!$E$4:$E$303='Deal Strat'!$C$12))*'Loan Tape'!$U$4:$U$303*'Loan Tape'!$R$4:$R$303)/E90,"-")</f>
        <v>1.40664570248002</v>
      </c>
      <c r="H90" s="68" t="n">
        <f aca="false">IFERROR(SUMPRODUCT((('Loan Tape'!$R$4:$R$303&lt;&gt;"")*('Loan Tape'!$AD$4:$AD$303=R90)*('Loan Tape'!$E$4:$E$303='Deal Strat'!$C$12))*'Loan Tape'!$AH$4:$AH$303*'Loan Tape'!$R$4:$R$303)/E90,"-")</f>
        <v>101.024630153581</v>
      </c>
      <c r="I90" s="68" t="n">
        <f aca="false">IFERROR(SUMPRODUCT((('Loan Tape'!$R$4:$R$303&lt;&gt;"")*('Loan Tape'!$AD$4:$AD$303=R90)*('Loan Tape'!$E$4:$E$303='Deal Strat'!$C$12))*(('Loan Tape'!$H$4:$H$303-$C$4)/30.4375)*'Loan Tape'!$R$4:$R$303)/E90,"-")</f>
        <v>19.0061057811675</v>
      </c>
      <c r="J90" s="69" t="n">
        <f aca="false">IFERROR(SUMPRODUCT((('Loan Tape'!$R$4:$R$303&lt;&gt;"")*('Loan Tape'!$AD$4:$AD$303=R90)*('Loan Tape'!$E$4:$E$303='Deal Strat'!$C$12))*('Loan Tape'!$K$4:$K$303="Floating")*'Loan Tape'!$R$4:$R$303)/E90,"-")</f>
        <v>1</v>
      </c>
      <c r="K90" s="69" t="n">
        <f aca="false">IFERROR(SUMPRODUCT((('Loan Tape'!$R$4:$R$303&lt;&gt;"")*('Loan Tape'!$AD$4:$AD$303=R90)*('Loan Tape'!$E$4:$E$303='Deal Strat'!$C$12))*'Loan Tape'!$T$4:$T$303*'Loan Tape'!$R$4:$R$303)/E90,"-")</f>
        <v>0.0805250993586286</v>
      </c>
      <c r="L90" s="69" t="n">
        <f aca="false">IFERROR(SUMPRODUCT((('Loan Tape'!$R$4:$R$303&lt;&gt;"")*('Loan Tape'!$AD$4:$AD$303=R90)*('Loan Tape'!$E$4:$E$303='Deal Strat'!$C$12))*'Loan Tape'!$V$4:$V$303*'Loan Tape'!$R$4:$R$303)/E90,"-")</f>
        <v>0.620301394754528</v>
      </c>
      <c r="M90" s="69" t="n">
        <f aca="false">IFERROR(SUMPRODUCT((('Loan Tape'!$R$4:$R$303&lt;&gt;"")*('Loan Tape'!$AD$4:$AD$303=R90)*('Loan Tape'!$E$4:$E$303='Deal Strat'!$C$12))*'Loan Tape'!$W$4:$W$303*'Loan Tape'!$R$4:$R$303)/E90,"-")</f>
        <v>0.648804008363549</v>
      </c>
      <c r="N90" s="69" t="n">
        <f aca="false">IFERROR(SUMPRODUCT((('Loan Tape'!$R$4:$R$303&lt;&gt;"")*('Loan Tape'!$AD$4:$AD$303=R90)*('Loan Tape'!$E$4:$E$303='Deal Strat'!$C$12))*'Loan Tape'!$AI$4:$AI$303*'Loan Tape'!$R$4:$R$303)/E90,"-")</f>
        <v>0.0739581303983472</v>
      </c>
      <c r="O90" s="69" t="n">
        <f aca="false">IFERROR(SUMPRODUCT((('Loan Tape'!$R$4:$R$303&lt;&gt;"")*('Loan Tape'!$AD$4:$AD$303=R90)*('Loan Tape'!$E$4:$E$303='Deal Strat'!$C$12))*'Loan Tape'!$AK$4:$AK$303*'Loan Tape'!$R$4:$R$303)/E90,"-")</f>
        <v>0.0889581303983472</v>
      </c>
      <c r="P90" s="69" t="n">
        <f aca="false">IFERROR(SUMPRODUCT((('Loan Tape'!$R$4:$R$303&lt;&gt;"")*('Loan Tape'!$AD$4:$AD$303=R90)*('Loan Tape'!$E$4:$E$303='Deal Strat'!$C$12))*'Loan Tape'!$S$4:$S$303*'Loan Tape'!$R$4:$R$303)/E90,"-")</f>
        <v>0.82992473220879</v>
      </c>
      <c r="R90" s="91" t="s">
        <v>232</v>
      </c>
    </row>
    <row r="91" customFormat="false" ht="14.25" hidden="false" customHeight="false" outlineLevel="0" collapsed="false">
      <c r="B91" s="7" t="str">
        <f aca="false">R91</f>
        <v>HNW Investors</v>
      </c>
      <c r="C91" s="68" t="n">
        <f aca="false">COUNTIFS('Loan Tape'!$AD$4:$AD$303,R91,'Loan Tape'!$E$4:$E$303,'Deal Strat'!$C$12)</f>
        <v>2</v>
      </c>
      <c r="D91" s="68" t="n">
        <f aca="false">SUMPRODUCT((('Loan Tape'!$R$4:$R$303&lt;&gt;"")*('Loan Tape'!$AD$4:$AD$303=R91)*('Loan Tape'!$E$4:$E$303='Deal Strat'!$C$12))*'Loan Tape'!$F$4:$F$303)</f>
        <v>409</v>
      </c>
      <c r="E91" s="84" t="n">
        <f aca="false">SUMIFS('Loan Tape'!$R$4:$R$303,'Loan Tape'!$AD$4:$AD$303,R91,'Loan Tape'!$E$4:$E$303,'Deal Strat'!$C$12)</f>
        <v>131441000</v>
      </c>
      <c r="F91" s="69" t="n">
        <f aca="false">IFERROR(E91/C5,0)</f>
        <v>0.35287406003431</v>
      </c>
      <c r="G91" s="85" t="n">
        <f aca="false">IFERROR(SUMPRODUCT((('Loan Tape'!$R$4:$R$303&lt;&gt;"")*('Loan Tape'!$AD$4:$AD$303=R91)*('Loan Tape'!$E$4:$E$303='Deal Strat'!$C$12))*'Loan Tape'!$U$4:$U$303*'Loan Tape'!$R$4:$R$303)/E91,"-")</f>
        <v>1.56595453473422</v>
      </c>
      <c r="H91" s="68" t="n">
        <f aca="false">IFERROR(SUMPRODUCT((('Loan Tape'!$R$4:$R$303&lt;&gt;"")*('Loan Tape'!$AD$4:$AD$303=R91)*('Loan Tape'!$E$4:$E$303='Deal Strat'!$C$12))*'Loan Tape'!$AH$4:$AH$303*'Loan Tape'!$R$4:$R$303)/E91,"-")</f>
        <v>99.2577201938512</v>
      </c>
      <c r="I91" s="68" t="n">
        <f aca="false">IFERROR(SUMPRODUCT((('Loan Tape'!$R$4:$R$303&lt;&gt;"")*('Loan Tape'!$AD$4:$AD$303=R91)*('Loan Tape'!$E$4:$E$303='Deal Strat'!$C$12))*(('Loan Tape'!$H$4:$H$303-$C$4)/30.4375)*'Loan Tape'!$R$4:$R$303)/E91,"-")</f>
        <v>-23.4558121790326</v>
      </c>
      <c r="J91" s="69" t="n">
        <f aca="false">IFERROR(SUMPRODUCT((('Loan Tape'!$R$4:$R$303&lt;&gt;"")*('Loan Tape'!$AD$4:$AD$303=R91)*('Loan Tape'!$E$4:$E$303='Deal Strat'!$C$12))*('Loan Tape'!$K$4:$K$303="Floating")*'Loan Tape'!$R$4:$R$303)/E91,"-")</f>
        <v>0</v>
      </c>
      <c r="K91" s="69" t="n">
        <f aca="false">IFERROR(SUMPRODUCT((('Loan Tape'!$R$4:$R$303&lt;&gt;"")*('Loan Tape'!$AD$4:$AD$303=R91)*('Loan Tape'!$E$4:$E$303='Deal Strat'!$C$12))*'Loan Tape'!$T$4:$T$303*'Loan Tape'!$R$4:$R$303)/E91,"-")</f>
        <v>0.0942628289498711</v>
      </c>
      <c r="L91" s="69" t="n">
        <f aca="false">IFERROR(SUMPRODUCT((('Loan Tape'!$R$4:$R$303&lt;&gt;"")*('Loan Tape'!$AD$4:$AD$303=R91)*('Loan Tape'!$E$4:$E$303='Deal Strat'!$C$12))*'Loan Tape'!$V$4:$V$303*'Loan Tape'!$R$4:$R$303)/E91,"-")</f>
        <v>0.818414649918975</v>
      </c>
      <c r="M91" s="69" t="n">
        <f aca="false">IFERROR(SUMPRODUCT((('Loan Tape'!$R$4:$R$303&lt;&gt;"")*('Loan Tape'!$AD$4:$AD$303=R91)*('Loan Tape'!$E$4:$E$303='Deal Strat'!$C$12))*'Loan Tape'!$W$4:$W$303*'Loan Tape'!$R$4:$R$303)/E91,"-")</f>
        <v>0.873015155088595</v>
      </c>
      <c r="N91" s="69" t="n">
        <f aca="false">IFERROR(SUMPRODUCT((('Loan Tape'!$R$4:$R$303&lt;&gt;"")*('Loan Tape'!$AD$4:$AD$303=R91)*('Loan Tape'!$E$4:$E$303='Deal Strat'!$C$12))*'Loan Tape'!$AI$4:$AI$303*'Loan Tape'!$R$4:$R$303)/E91,"-")</f>
        <v>0.0572734702261851</v>
      </c>
      <c r="O91" s="69" t="n">
        <f aca="false">IFERROR(SUMPRODUCT((('Loan Tape'!$R$4:$R$303&lt;&gt;"")*('Loan Tape'!$AD$4:$AD$303=R91)*('Loan Tape'!$E$4:$E$303='Deal Strat'!$C$12))*'Loan Tape'!$AK$4:$AK$303*'Loan Tape'!$R$4:$R$303)/E91,"-")</f>
        <v>0.0572734702261851</v>
      </c>
      <c r="P91" s="69" t="n">
        <f aca="false">IFERROR(SUMPRODUCT((('Loan Tape'!$R$4:$R$303&lt;&gt;"")*('Loan Tape'!$AD$4:$AD$303=R91)*('Loan Tape'!$E$4:$E$303='Deal Strat'!$C$12))*'Loan Tape'!$S$4:$S$303*'Loan Tape'!$R$4:$R$303)/E91,"-")</f>
        <v>0.862621282552628</v>
      </c>
      <c r="R91" s="91" t="s">
        <v>264</v>
      </c>
    </row>
    <row r="92" customFormat="false" ht="14.25" hidden="false" customHeight="false" outlineLevel="0" collapsed="false">
      <c r="B92" s="7" t="str">
        <f aca="false">R92</f>
        <v>Private REIT</v>
      </c>
      <c r="C92" s="68" t="n">
        <f aca="false">COUNTIFS('Loan Tape'!$AD$4:$AD$303,R92,'Loan Tape'!$E$4:$E$303,'Deal Strat'!$C$12)</f>
        <v>0</v>
      </c>
      <c r="D92" s="68" t="n">
        <f aca="false">SUMPRODUCT((('Loan Tape'!$R$4:$R$303&lt;&gt;"")*('Loan Tape'!$AD$4:$AD$303=R92)*('Loan Tape'!$E$4:$E$303='Deal Strat'!$C$12))*'Loan Tape'!$F$4:$F$303)</f>
        <v>0</v>
      </c>
      <c r="E92" s="84" t="n">
        <f aca="false">SUMIFS('Loan Tape'!$R$4:$R$303,'Loan Tape'!$AD$4:$AD$303,R92,'Loan Tape'!$E$4:$E$303,'Deal Strat'!$C$12)</f>
        <v>0</v>
      </c>
      <c r="F92" s="69" t="n">
        <f aca="false">IFERROR(E92/C5,0)</f>
        <v>0</v>
      </c>
      <c r="G92" s="85" t="str">
        <f aca="false">IFERROR(SUMPRODUCT((('Loan Tape'!$R$4:$R$303&lt;&gt;"")*('Loan Tape'!$AD$4:$AD$303=R92)*('Loan Tape'!$E$4:$E$303='Deal Strat'!$C$12))*'Loan Tape'!$U$4:$U$303*'Loan Tape'!$R$4:$R$303)/E92,"-")</f>
        <v>-</v>
      </c>
      <c r="H92" s="68" t="str">
        <f aca="false">IFERROR(SUMPRODUCT((('Loan Tape'!$R$4:$R$303&lt;&gt;"")*('Loan Tape'!$AD$4:$AD$303=R92)*('Loan Tape'!$E$4:$E$303='Deal Strat'!$C$12))*'Loan Tape'!$AH$4:$AH$303*'Loan Tape'!$R$4:$R$303)/E92,"-")</f>
        <v>-</v>
      </c>
      <c r="I92" s="68" t="str">
        <f aca="false">IFERROR(SUMPRODUCT((('Loan Tape'!$R$4:$R$303&lt;&gt;"")*('Loan Tape'!$AD$4:$AD$303=R92)*('Loan Tape'!$E$4:$E$303='Deal Strat'!$C$12))*(('Loan Tape'!$H$4:$H$303-$C$4)/30.4375)*'Loan Tape'!$R$4:$R$303)/E92,"-")</f>
        <v>-</v>
      </c>
      <c r="J92" s="69" t="str">
        <f aca="false">IFERROR(SUMPRODUCT((('Loan Tape'!$R$4:$R$303&lt;&gt;"")*('Loan Tape'!$AD$4:$AD$303=R92)*('Loan Tape'!$E$4:$E$303='Deal Strat'!$C$12))*('Loan Tape'!$K$4:$K$303="Floating")*'Loan Tape'!$R$4:$R$303)/E92,"-")</f>
        <v>-</v>
      </c>
      <c r="K92" s="69" t="str">
        <f aca="false">IFERROR(SUMPRODUCT((('Loan Tape'!$R$4:$R$303&lt;&gt;"")*('Loan Tape'!$AD$4:$AD$303=R92)*('Loan Tape'!$E$4:$E$303='Deal Strat'!$C$12))*'Loan Tape'!$T$4:$T$303*'Loan Tape'!$R$4:$R$303)/E92,"-")</f>
        <v>-</v>
      </c>
      <c r="L92" s="69" t="str">
        <f aca="false">IFERROR(SUMPRODUCT((('Loan Tape'!$R$4:$R$303&lt;&gt;"")*('Loan Tape'!$AD$4:$AD$303=R92)*('Loan Tape'!$E$4:$E$303='Deal Strat'!$C$12))*'Loan Tape'!$V$4:$V$303*'Loan Tape'!$R$4:$R$303)/E92,"-")</f>
        <v>-</v>
      </c>
      <c r="M92" s="69" t="str">
        <f aca="false">IFERROR(SUMPRODUCT((('Loan Tape'!$R$4:$R$303&lt;&gt;"")*('Loan Tape'!$AD$4:$AD$303=R92)*('Loan Tape'!$E$4:$E$303='Deal Strat'!$C$12))*'Loan Tape'!$W$4:$W$303*'Loan Tape'!$R$4:$R$303)/E92,"-")</f>
        <v>-</v>
      </c>
      <c r="N92" s="69" t="str">
        <f aca="false">IFERROR(SUMPRODUCT((('Loan Tape'!$R$4:$R$303&lt;&gt;"")*('Loan Tape'!$AD$4:$AD$303=R92)*('Loan Tape'!$E$4:$E$303='Deal Strat'!$C$12))*'Loan Tape'!$AI$4:$AI$303*'Loan Tape'!$R$4:$R$303)/E92,"-")</f>
        <v>-</v>
      </c>
      <c r="O92" s="69" t="str">
        <f aca="false">IFERROR(SUMPRODUCT((('Loan Tape'!$R$4:$R$303&lt;&gt;"")*('Loan Tape'!$AD$4:$AD$303=R92)*('Loan Tape'!$E$4:$E$303='Deal Strat'!$C$12))*'Loan Tape'!$AK$4:$AK$303*'Loan Tape'!$R$4:$R$303)/E92,"-")</f>
        <v>-</v>
      </c>
      <c r="P92" s="69" t="str">
        <f aca="false">IFERROR(SUMPRODUCT((('Loan Tape'!$R$4:$R$303&lt;&gt;"")*('Loan Tape'!$AD$4:$AD$303=R92)*('Loan Tape'!$E$4:$E$303='Deal Strat'!$C$12))*'Loan Tape'!$S$4:$S$303*'Loan Tape'!$R$4:$R$303)/E92,"-")</f>
        <v>-</v>
      </c>
      <c r="R92" s="91" t="s">
        <v>260</v>
      </c>
    </row>
    <row r="93" customFormat="false" ht="14.25" hidden="false" customHeight="false" outlineLevel="0" collapsed="false">
      <c r="B93" s="7" t="s">
        <v>407</v>
      </c>
      <c r="C93" s="68" t="n">
        <f aca="false">C6-SUM(C89:C92)</f>
        <v>0</v>
      </c>
      <c r="D93" s="68" t="n">
        <f aca="false">SUMPRODUCT(('Loan Tape'!$E$4:$E$303='Deal Strat'!$C$12)*'Loan Tape'!$F$4:$F$303)-SUM(D89:D92)</f>
        <v>0</v>
      </c>
      <c r="E93" s="84" t="n">
        <f aca="false">C5-SUM(E89:E92)</f>
        <v>0</v>
      </c>
      <c r="F93" s="69" t="n">
        <f aca="false">IFERROR(E93/C5,0)</f>
        <v>0</v>
      </c>
      <c r="G93" s="85" t="str">
        <f aca="false">IFERROR(SUMPRODUCT((('Loan Tape'!$R$4:$R$303&lt;&gt;"")*(1-(('Loan Tape'!$AD$4:$AD$303=R89)+('Loan Tape'!$AD$4:$AD$303=R90)+('Loan Tape'!$AD$4:$AD$303=R91)+('Loan Tape'!$AD$4:$AD$303=R92)))*('Loan Tape'!$E$4:$E$303='Deal Strat'!$C$12))*'Loan Tape'!$U$4:$U$303*'Loan Tape'!$R$4:$R$303)/E93,"-")</f>
        <v>-</v>
      </c>
      <c r="H93" s="68" t="str">
        <f aca="false">IFERROR(SUMPRODUCT((('Loan Tape'!$R$4:$R$303&lt;&gt;"")*(1-(('Loan Tape'!$AD$4:$AD$303=R89)+('Loan Tape'!$AD$4:$AD$303=R90)+('Loan Tape'!$AD$4:$AD$303=R91)+('Loan Tape'!$AD$4:$AD$303=R92)))*('Loan Tape'!$E$4:$E$303='Deal Strat'!$C$12))*'Loan Tape'!$AH$4:$AH$303*'Loan Tape'!$R$4:$R$303)/E93,"-")</f>
        <v>-</v>
      </c>
      <c r="I93" s="68" t="str">
        <f aca="false">IFERROR(SUMPRODUCT((('Loan Tape'!$R$4:$R$303&lt;&gt;"")*(1-(('Loan Tape'!$AD$4:$AD$303=R89)+('Loan Tape'!$AD$4:$AD$303=R90)+('Loan Tape'!$AD$4:$AD$303=R91)+('Loan Tape'!$AD$4:$AD$303=R92)))*('Loan Tape'!$E$4:$E$303='Deal Strat'!$C$12))*(('Loan Tape'!$H$4:$H$303-$C$4)/30.4375)*'Loan Tape'!$R$4:$R$303)/E93,"-")</f>
        <v>-</v>
      </c>
      <c r="J93" s="69" t="str">
        <f aca="false">IFERROR(SUMPRODUCT((('Loan Tape'!$R$4:$R$303&lt;&gt;"")*(1-(('Loan Tape'!$AD$4:$AD$303=R89)+('Loan Tape'!$AD$4:$AD$303=R90)+('Loan Tape'!$AD$4:$AD$303=R91)+('Loan Tape'!$AD$4:$AD$303=R92)))*('Loan Tape'!$E$4:$E$303='Deal Strat'!$C$12))*('Loan Tape'!$K$4:$K$303="Floating")*'Loan Tape'!$R$4:$R$303)/E93,"-")</f>
        <v>-</v>
      </c>
      <c r="K93" s="69" t="str">
        <f aca="false">IFERROR(SUMPRODUCT((('Loan Tape'!$R$4:$R$303&lt;&gt;"")*(1-(('Loan Tape'!$AD$4:$AD$303=R89)+('Loan Tape'!$AD$4:$AD$303=R90)+('Loan Tape'!$AD$4:$AD$303=R91)+('Loan Tape'!$AD$4:$AD$303=R92)))*('Loan Tape'!$E$4:$E$303='Deal Strat'!$C$12))*'Loan Tape'!$T$4:$T$303*'Loan Tape'!$R$4:$R$303)/E93,"-")</f>
        <v>-</v>
      </c>
      <c r="L93" s="69" t="str">
        <f aca="false">IFERROR(SUMPRODUCT((('Loan Tape'!$R$4:$R$303&lt;&gt;"")*(1-(('Loan Tape'!$AD$4:$AD$303=R89)+('Loan Tape'!$AD$4:$AD$303=R90)+('Loan Tape'!$AD$4:$AD$303=R91)+('Loan Tape'!$AD$4:$AD$303=R92)))*('Loan Tape'!$E$4:$E$303='Deal Strat'!$C$12))*'Loan Tape'!$V$4:$V$303*'Loan Tape'!$R$4:$R$303)/E93,"-")</f>
        <v>-</v>
      </c>
      <c r="M93" s="69" t="str">
        <f aca="false">IFERROR(SUMPRODUCT((('Loan Tape'!$R$4:$R$303&lt;&gt;"")*(1-(('Loan Tape'!$AD$4:$AD$303=R89)+('Loan Tape'!$AD$4:$AD$303=R90)+('Loan Tape'!$AD$4:$AD$303=R91)+('Loan Tape'!$AD$4:$AD$303=R92)))*('Loan Tape'!$E$4:$E$303='Deal Strat'!$C$12))*'Loan Tape'!$W$4:$W$303*'Loan Tape'!$R$4:$R$303)/E93,"-")</f>
        <v>-</v>
      </c>
      <c r="N93" s="69" t="str">
        <f aca="false">IFERROR(SUMPRODUCT((('Loan Tape'!$R$4:$R$303&lt;&gt;"")*(1-(('Loan Tape'!$AD$4:$AD$303=R89)+('Loan Tape'!$AD$4:$AD$303=R90)+('Loan Tape'!$AD$4:$AD$303=R91)+('Loan Tape'!$AD$4:$AD$303=R92)))*('Loan Tape'!$E$4:$E$303='Deal Strat'!$C$12))*'Loan Tape'!$AI$4:$AI$303*'Loan Tape'!$R$4:$R$303)/E93,"-")</f>
        <v>-</v>
      </c>
      <c r="O93" s="69" t="str">
        <f aca="false">IFERROR(SUMPRODUCT((('Loan Tape'!$R$4:$R$303&lt;&gt;"")*(1-(('Loan Tape'!$AD$4:$AD$303=R89)+('Loan Tape'!$AD$4:$AD$303=R90)+('Loan Tape'!$AD$4:$AD$303=R91)+('Loan Tape'!$AD$4:$AD$303=R92)))*('Loan Tape'!$E$4:$E$303='Deal Strat'!$C$12))*'Loan Tape'!$AK$4:$AK$303*'Loan Tape'!$R$4:$R$303)/E93,"-")</f>
        <v>-</v>
      </c>
      <c r="P93" s="69" t="str">
        <f aca="false">IFERROR(SUMPRODUCT((('Loan Tape'!$R$4:$R$303&lt;&gt;"")*(1-(('Loan Tape'!$AD$4:$AD$303=R89)+('Loan Tape'!$AD$4:$AD$303=R90)+('Loan Tape'!$AD$4:$AD$303=R91)+('Loan Tape'!$AD$4:$AD$303=R92)))*('Loan Tape'!$E$4:$E$303='Deal Strat'!$C$12))*'Loan Tape'!$S$4:$S$303*'Loan Tape'!$R$4:$R$303)/E93,"-")</f>
        <v>-</v>
      </c>
    </row>
    <row r="94" customFormat="false" ht="14.25" hidden="false" customHeight="false" outlineLevel="0" collapsed="false">
      <c r="B94" s="86" t="s">
        <v>405</v>
      </c>
      <c r="C94" s="92" t="n">
        <f aca="false">C6</f>
        <v>5</v>
      </c>
      <c r="D94" s="92" t="n">
        <f aca="false">SUMPRODUCT(('Loan Tape'!$E$4:$E$303='Deal Strat'!$C$12)*'Loan Tape'!$F$4:$F$303)</f>
        <v>593</v>
      </c>
      <c r="E94" s="88" t="n">
        <f aca="false">C5</f>
        <v>372487000</v>
      </c>
      <c r="F94" s="89" t="n">
        <f aca="false">1</f>
        <v>1</v>
      </c>
      <c r="G94" s="90" t="n">
        <f aca="false">IFERROR(SUMPRODUCT((('Loan Tape'!$R$4:$R$303&lt;&gt;"")*('Loan Tape'!$E$4:$E$303='Deal Strat'!$C$12))*'Loan Tape'!$U$4:$U$303*'Loan Tape'!$R$4:$R$303)/E94,"-")</f>
        <v>1.46286165691689</v>
      </c>
      <c r="H94" s="92" t="n">
        <f aca="false">IFERROR(SUMPRODUCT((('Loan Tape'!$R$4:$R$303&lt;&gt;"")*('Loan Tape'!$E$4:$E$303='Deal Strat'!$C$12))*'Loan Tape'!$AH$4:$AH$303*'Loan Tape'!$R$4:$R$303)/E94,"-")</f>
        <v>100.401133462376</v>
      </c>
      <c r="I94" s="92" t="n">
        <f aca="false">IFERROR(SUMPRODUCT((('Loan Tape'!$R$4:$R$303&lt;&gt;"")*('Loan Tape'!$E$4:$E$303='Deal Strat'!$C$12))*(('Loan Tape'!$H$4:$H$303-$C$4)/30.4375)*'Loan Tape'!$R$4:$R$303)/E94,"-")</f>
        <v>4.02239639370792</v>
      </c>
      <c r="J94" s="89" t="n">
        <f aca="false">IFERROR(SUMPRODUCT((('Loan Tape'!$R$4:$R$303&lt;&gt;"")*('Loan Tape'!$E$4:$E$303='Deal Strat'!$C$12))*('Loan Tape'!$K$4:$K$303="Floating")*'Loan Tape'!$R$4:$R$303)/E94,"-")</f>
        <v>0.64712593996569</v>
      </c>
      <c r="K94" s="89" t="n">
        <f aca="false">IFERROR(SUMPRODUCT((('Loan Tape'!$R$4:$R$303&lt;&gt;"")*('Loan Tape'!$E$4:$E$303='Deal Strat'!$C$12))*'Loan Tape'!$T$4:$T$303*'Loan Tape'!$R$4:$R$303)/E94,"-")</f>
        <v>0.0853727877751438</v>
      </c>
      <c r="L94" s="89" t="n">
        <f aca="false">IFERROR(SUMPRODUCT((('Loan Tape'!$R$4:$R$303&lt;&gt;"")*('Loan Tape'!$E$4:$E$303='Deal Strat'!$C$12))*'Loan Tape'!$V$4:$V$303*'Loan Tape'!$R$4:$R$303)/E94,"-")</f>
        <v>0.69021042345102</v>
      </c>
      <c r="M94" s="89" t="n">
        <f aca="false">IFERROR(SUMPRODUCT((('Loan Tape'!$R$4:$R$303&lt;&gt;"")*('Loan Tape'!$E$4:$E$303='Deal Strat'!$C$12))*'Loan Tape'!$W$4:$W$303*'Loan Tape'!$R$4:$R$303)/E94,"-")</f>
        <v>0.727922306013364</v>
      </c>
      <c r="N94" s="89" t="n">
        <f aca="false">IFERROR(SUMPRODUCT((('Loan Tape'!$R$4:$R$303&lt;&gt;"")*('Loan Tape'!$E$4:$E$303='Deal Strat'!$C$12))*'Loan Tape'!$AI$4:$AI$303*'Loan Tape'!$R$4:$R$303)/E94,"-")</f>
        <v>0.0680705466231036</v>
      </c>
      <c r="O94" s="89" t="n">
        <f aca="false">IFERROR(SUMPRODUCT((('Loan Tape'!$R$4:$R$303&lt;&gt;"")*('Loan Tape'!$E$4:$E$303='Deal Strat'!$C$12))*'Loan Tape'!$AK$4:$AK$303*'Loan Tape'!$R$4:$R$303)/E94,"-")</f>
        <v>0.077777435722589</v>
      </c>
      <c r="P94" s="89" t="n">
        <f aca="false">IFERROR(SUMPRODUCT((('Loan Tape'!$R$4:$R$303&lt;&gt;"")*('Loan Tape'!$E$4:$E$303='Deal Strat'!$C$12))*'Loan Tape'!$S$4:$S$303*'Loan Tape'!$R$4:$R$303)/E94,"-")</f>
        <v>0.841462496677736</v>
      </c>
    </row>
    <row r="96" customFormat="false" ht="19.5" hidden="false" customHeight="true" outlineLevel="0" collapsed="false">
      <c r="B96" s="5" t="s">
        <v>414</v>
      </c>
      <c r="C96" s="5"/>
      <c r="D96" s="5"/>
      <c r="E96" s="5"/>
      <c r="F96" s="5"/>
      <c r="G96" s="5"/>
      <c r="H96" s="5"/>
      <c r="I96" s="5"/>
      <c r="J96" s="5"/>
      <c r="K96" s="5"/>
      <c r="L96" s="5"/>
      <c r="M96" s="5"/>
      <c r="N96" s="5"/>
      <c r="O96" s="5"/>
      <c r="P96" s="5"/>
    </row>
    <row r="97" customFormat="false" ht="42" hidden="false" customHeight="true" outlineLevel="0" collapsed="false">
      <c r="B97" s="82" t="s">
        <v>392</v>
      </c>
      <c r="C97" s="83" t="s">
        <v>368</v>
      </c>
      <c r="D97" s="83" t="s">
        <v>153</v>
      </c>
      <c r="E97" s="83" t="s">
        <v>393</v>
      </c>
      <c r="F97" s="83" t="s">
        <v>394</v>
      </c>
      <c r="G97" s="83" t="s">
        <v>395</v>
      </c>
      <c r="H97" s="83" t="s">
        <v>396</v>
      </c>
      <c r="I97" s="83" t="s">
        <v>397</v>
      </c>
      <c r="J97" s="83" t="s">
        <v>398</v>
      </c>
      <c r="K97" s="83" t="s">
        <v>399</v>
      </c>
      <c r="L97" s="83" t="s">
        <v>400</v>
      </c>
      <c r="M97" s="83" t="s">
        <v>401</v>
      </c>
      <c r="N97" s="83" t="s">
        <v>402</v>
      </c>
      <c r="O97" s="83" t="s">
        <v>403</v>
      </c>
      <c r="P97" s="83" t="s">
        <v>365</v>
      </c>
    </row>
    <row r="98" customFormat="false" ht="14.25" hidden="false" customHeight="false" outlineLevel="0" collapsed="false">
      <c r="B98" s="7" t="str">
        <f aca="false">R98</f>
        <v>Acquisition</v>
      </c>
      <c r="C98" s="68" t="n">
        <f aca="false">COUNTIFS('Loan Tape'!$AE$4:$AE$303,R98,'Loan Tape'!$E$4:$E$303,'Deal Strat'!$C$12)</f>
        <v>4</v>
      </c>
      <c r="D98" s="68" t="n">
        <f aca="false">SUMPRODUCT((('Loan Tape'!$R$4:$R$303&lt;&gt;"")*('Loan Tape'!$AE$4:$AE$303=R98)*('Loan Tape'!$E$4:$E$303='Deal Strat'!$C$12))*'Loan Tape'!$F$4:$F$303)</f>
        <v>593</v>
      </c>
      <c r="E98" s="84" t="n">
        <f aca="false">SUMIFS('Loan Tape'!$R$4:$R$303,'Loan Tape'!$AE$4:$AE$303,R98,'Loan Tape'!$E$4:$E$303,'Deal Strat'!$C$12)</f>
        <v>314879000</v>
      </c>
      <c r="F98" s="69" t="n">
        <f aca="false">IFERROR(E98/C5,0)</f>
        <v>0.845342253555158</v>
      </c>
      <c r="G98" s="85" t="n">
        <f aca="false">IFERROR(SUMPRODUCT((('Loan Tape'!$R$4:$R$303&lt;&gt;"")*('Loan Tape'!$AE$4:$AE$303=R98)*('Loan Tape'!$E$4:$E$303='Deal Strat'!$C$12))*'Loan Tape'!$U$4:$U$303*'Loan Tape'!$R$4:$R$303)/E98,"-")</f>
        <v>1.48168048679016</v>
      </c>
      <c r="H98" s="68" t="n">
        <f aca="false">IFERROR(SUMPRODUCT((('Loan Tape'!$R$4:$R$303&lt;&gt;"")*('Loan Tape'!$AE$4:$AE$303=R98)*('Loan Tape'!$E$4:$E$303='Deal Strat'!$C$12))*'Loan Tape'!$AH$4:$AH$303*'Loan Tape'!$R$4:$R$303)/E98,"-")</f>
        <v>100.291569142433</v>
      </c>
      <c r="I98" s="68" t="n">
        <f aca="false">IFERROR(SUMPRODUCT((('Loan Tape'!$R$4:$R$303&lt;&gt;"")*('Loan Tape'!$AE$4:$AE$303=R98)*('Loan Tape'!$E$4:$E$303='Deal Strat'!$C$12))*(('Loan Tape'!$H$4:$H$303-$C$4)/30.4375)*'Loan Tape'!$R$4:$R$303)/E98,"-")</f>
        <v>1.2780692205923</v>
      </c>
      <c r="J98" s="69" t="n">
        <f aca="false">IFERROR(SUMPRODUCT((('Loan Tape'!$R$4:$R$303&lt;&gt;"")*('Loan Tape'!$AE$4:$AE$303=R98)*('Loan Tape'!$E$4:$E$303='Deal Strat'!$C$12))*('Loan Tape'!$K$4:$K$303="Floating")*'Loan Tape'!$R$4:$R$303)/E98,"-")</f>
        <v>0.582566636708069</v>
      </c>
      <c r="K98" s="69" t="n">
        <f aca="false">IFERROR(SUMPRODUCT((('Loan Tape'!$R$4:$R$303&lt;&gt;"")*('Loan Tape'!$AE$4:$AE$303=R98)*('Loan Tape'!$E$4:$E$303='Deal Strat'!$C$12))*'Loan Tape'!$T$4:$T$303*'Loan Tape'!$R$4:$R$303)/E98,"-")</f>
        <v>0.0853861045036347</v>
      </c>
      <c r="L98" s="69" t="n">
        <f aca="false">IFERROR(SUMPRODUCT((('Loan Tape'!$R$4:$R$303&lt;&gt;"")*('Loan Tape'!$AE$4:$AE$303=R98)*('Loan Tape'!$E$4:$E$303='Deal Strat'!$C$12))*'Loan Tape'!$V$4:$V$303*'Loan Tape'!$R$4:$R$303)/E98,"-")</f>
        <v>0.711837353396067</v>
      </c>
      <c r="M98" s="69" t="n">
        <f aca="false">IFERROR(SUMPRODUCT((('Loan Tape'!$R$4:$R$303&lt;&gt;"")*('Loan Tape'!$AE$4:$AE$303=R98)*('Loan Tape'!$E$4:$E$303='Deal Strat'!$C$12))*'Loan Tape'!$W$4:$W$303*'Loan Tape'!$R$4:$R$303)/E98,"-")</f>
        <v>0.750960146595994</v>
      </c>
      <c r="N98" s="69" t="n">
        <f aca="false">IFERROR(SUMPRODUCT((('Loan Tape'!$R$4:$R$303&lt;&gt;"")*('Loan Tape'!$AE$4:$AE$303=R98)*('Loan Tape'!$E$4:$E$303='Deal Strat'!$C$12))*'Loan Tape'!$AI$4:$AI$303*'Loan Tape'!$R$4:$R$303)/E98,"-")</f>
        <v>0.0686323117769048</v>
      </c>
      <c r="O98" s="69" t="n">
        <f aca="false">IFERROR(SUMPRODUCT((('Loan Tape'!$R$4:$R$303&lt;&gt;"")*('Loan Tape'!$AE$4:$AE$303=R98)*('Loan Tape'!$E$4:$E$303='Deal Strat'!$C$12))*'Loan Tape'!$AK$4:$AK$303*'Loan Tape'!$R$4:$R$303)/E98,"-")</f>
        <v>0.0773708113275258</v>
      </c>
      <c r="P98" s="69" t="n">
        <f aca="false">IFERROR(SUMPRODUCT((('Loan Tape'!$R$4:$R$303&lt;&gt;"")*('Loan Tape'!$AE$4:$AE$303=R98)*('Loan Tape'!$E$4:$E$303='Deal Strat'!$C$12))*'Loan Tape'!$S$4:$S$303*'Loan Tape'!$R$4:$R$303)/E98,"-")</f>
        <v>0.823434782884854</v>
      </c>
      <c r="R98" s="91" t="s">
        <v>215</v>
      </c>
    </row>
    <row r="99" customFormat="false" ht="14.25" hidden="false" customHeight="false" outlineLevel="0" collapsed="false">
      <c r="B99" s="7" t="str">
        <f aca="false">R99</f>
        <v>Refinance</v>
      </c>
      <c r="C99" s="68" t="n">
        <f aca="false">COUNTIFS('Loan Tape'!$AE$4:$AE$303,R99,'Loan Tape'!$E$4:$E$303,'Deal Strat'!$C$12)</f>
        <v>0</v>
      </c>
      <c r="D99" s="68" t="n">
        <f aca="false">SUMPRODUCT((('Loan Tape'!$R$4:$R$303&lt;&gt;"")*('Loan Tape'!$AE$4:$AE$303=R99)*('Loan Tape'!$E$4:$E$303='Deal Strat'!$C$12))*'Loan Tape'!$F$4:$F$303)</f>
        <v>0</v>
      </c>
      <c r="E99" s="84" t="n">
        <f aca="false">SUMIFS('Loan Tape'!$R$4:$R$303,'Loan Tape'!$AE$4:$AE$303,R99,'Loan Tape'!$E$4:$E$303,'Deal Strat'!$C$12)</f>
        <v>0</v>
      </c>
      <c r="F99" s="69" t="n">
        <f aca="false">IFERROR(E99/C5,0)</f>
        <v>0</v>
      </c>
      <c r="G99" s="85" t="str">
        <f aca="false">IFERROR(SUMPRODUCT((('Loan Tape'!$R$4:$R$303&lt;&gt;"")*('Loan Tape'!$AE$4:$AE$303=R99)*('Loan Tape'!$E$4:$E$303='Deal Strat'!$C$12))*'Loan Tape'!$U$4:$U$303*'Loan Tape'!$R$4:$R$303)/E99,"-")</f>
        <v>-</v>
      </c>
      <c r="H99" s="68" t="str">
        <f aca="false">IFERROR(SUMPRODUCT((('Loan Tape'!$R$4:$R$303&lt;&gt;"")*('Loan Tape'!$AE$4:$AE$303=R99)*('Loan Tape'!$E$4:$E$303='Deal Strat'!$C$12))*'Loan Tape'!$AH$4:$AH$303*'Loan Tape'!$R$4:$R$303)/E99,"-")</f>
        <v>-</v>
      </c>
      <c r="I99" s="68" t="str">
        <f aca="false">IFERROR(SUMPRODUCT((('Loan Tape'!$R$4:$R$303&lt;&gt;"")*('Loan Tape'!$AE$4:$AE$303=R99)*('Loan Tape'!$E$4:$E$303='Deal Strat'!$C$12))*(('Loan Tape'!$H$4:$H$303-$C$4)/30.4375)*'Loan Tape'!$R$4:$R$303)/E99,"-")</f>
        <v>-</v>
      </c>
      <c r="J99" s="69" t="str">
        <f aca="false">IFERROR(SUMPRODUCT((('Loan Tape'!$R$4:$R$303&lt;&gt;"")*('Loan Tape'!$AE$4:$AE$303=R99)*('Loan Tape'!$E$4:$E$303='Deal Strat'!$C$12))*('Loan Tape'!$K$4:$K$303="Floating")*'Loan Tape'!$R$4:$R$303)/E99,"-")</f>
        <v>-</v>
      </c>
      <c r="K99" s="69" t="str">
        <f aca="false">IFERROR(SUMPRODUCT((('Loan Tape'!$R$4:$R$303&lt;&gt;"")*('Loan Tape'!$AE$4:$AE$303=R99)*('Loan Tape'!$E$4:$E$303='Deal Strat'!$C$12))*'Loan Tape'!$T$4:$T$303*'Loan Tape'!$R$4:$R$303)/E99,"-")</f>
        <v>-</v>
      </c>
      <c r="L99" s="69" t="str">
        <f aca="false">IFERROR(SUMPRODUCT((('Loan Tape'!$R$4:$R$303&lt;&gt;"")*('Loan Tape'!$AE$4:$AE$303=R99)*('Loan Tape'!$E$4:$E$303='Deal Strat'!$C$12))*'Loan Tape'!$V$4:$V$303*'Loan Tape'!$R$4:$R$303)/E99,"-")</f>
        <v>-</v>
      </c>
      <c r="M99" s="69" t="str">
        <f aca="false">IFERROR(SUMPRODUCT((('Loan Tape'!$R$4:$R$303&lt;&gt;"")*('Loan Tape'!$AE$4:$AE$303=R99)*('Loan Tape'!$E$4:$E$303='Deal Strat'!$C$12))*'Loan Tape'!$W$4:$W$303*'Loan Tape'!$R$4:$R$303)/E99,"-")</f>
        <v>-</v>
      </c>
      <c r="N99" s="69" t="str">
        <f aca="false">IFERROR(SUMPRODUCT((('Loan Tape'!$R$4:$R$303&lt;&gt;"")*('Loan Tape'!$AE$4:$AE$303=R99)*('Loan Tape'!$E$4:$E$303='Deal Strat'!$C$12))*'Loan Tape'!$AI$4:$AI$303*'Loan Tape'!$R$4:$R$303)/E99,"-")</f>
        <v>-</v>
      </c>
      <c r="O99" s="69" t="str">
        <f aca="false">IFERROR(SUMPRODUCT((('Loan Tape'!$R$4:$R$303&lt;&gt;"")*('Loan Tape'!$AE$4:$AE$303=R99)*('Loan Tape'!$E$4:$E$303='Deal Strat'!$C$12))*'Loan Tape'!$AK$4:$AK$303*'Loan Tape'!$R$4:$R$303)/E99,"-")</f>
        <v>-</v>
      </c>
      <c r="P99" s="69" t="str">
        <f aca="false">IFERROR(SUMPRODUCT((('Loan Tape'!$R$4:$R$303&lt;&gt;"")*('Loan Tape'!$AE$4:$AE$303=R99)*('Loan Tape'!$E$4:$E$303='Deal Strat'!$C$12))*'Loan Tape'!$S$4:$S$303*'Loan Tape'!$R$4:$R$303)/E99,"-")</f>
        <v>-</v>
      </c>
      <c r="R99" s="91" t="s">
        <v>224</v>
      </c>
    </row>
    <row r="100" customFormat="false" ht="14.25" hidden="false" customHeight="false" outlineLevel="0" collapsed="false">
      <c r="B100" s="7" t="str">
        <f aca="false">R100</f>
        <v>Recapitalization</v>
      </c>
      <c r="C100" s="68" t="n">
        <f aca="false">COUNTIFS('Loan Tape'!$AE$4:$AE$303,R100,'Loan Tape'!$E$4:$E$303,'Deal Strat'!$C$12)</f>
        <v>1</v>
      </c>
      <c r="D100" s="68" t="n">
        <f aca="false">SUMPRODUCT((('Loan Tape'!$R$4:$R$303&lt;&gt;"")*('Loan Tape'!$AE$4:$AE$303=R100)*('Loan Tape'!$E$4:$E$303='Deal Strat'!$C$12))*'Loan Tape'!$F$4:$F$303)</f>
        <v>0</v>
      </c>
      <c r="E100" s="84" t="n">
        <f aca="false">SUMIFS('Loan Tape'!$R$4:$R$303,'Loan Tape'!$AE$4:$AE$303,R100,'Loan Tape'!$E$4:$E$303,'Deal Strat'!$C$12)</f>
        <v>57608000</v>
      </c>
      <c r="F100" s="69" t="n">
        <f aca="false">IFERROR(E100/C5,0)</f>
        <v>0.154657746444842</v>
      </c>
      <c r="G100" s="85" t="n">
        <f aca="false">IFERROR(SUMPRODUCT((('Loan Tape'!$R$4:$R$303&lt;&gt;"")*('Loan Tape'!$AE$4:$AE$303=R100)*('Loan Tape'!$E$4:$E$303='Deal Strat'!$C$12))*'Loan Tape'!$U$4:$U$303*'Loan Tape'!$R$4:$R$303)/E100,"-")</f>
        <v>1.36</v>
      </c>
      <c r="H100" s="68" t="n">
        <f aca="false">IFERROR(SUMPRODUCT((('Loan Tape'!$R$4:$R$303&lt;&gt;"")*('Loan Tape'!$AE$4:$AE$303=R100)*('Loan Tape'!$E$4:$E$303='Deal Strat'!$C$12))*'Loan Tape'!$AH$4:$AH$303*'Loan Tape'!$R$4:$R$303)/E100,"-")</f>
        <v>101</v>
      </c>
      <c r="I100" s="68" t="n">
        <f aca="false">IFERROR(SUMPRODUCT((('Loan Tape'!$R$4:$R$303&lt;&gt;"")*('Loan Tape'!$AE$4:$AE$303=R100)*('Loan Tape'!$E$4:$E$303='Deal Strat'!$C$12))*(('Loan Tape'!$H$4:$H$303-$C$4)/30.4375)*'Loan Tape'!$R$4:$R$303)/E100,"-")</f>
        <v>19.0225872689938</v>
      </c>
      <c r="J100" s="69" t="n">
        <f aca="false">IFERROR(SUMPRODUCT((('Loan Tape'!$R$4:$R$303&lt;&gt;"")*('Loan Tape'!$AE$4:$AE$303=R100)*('Loan Tape'!$E$4:$E$303='Deal Strat'!$C$12))*('Loan Tape'!$K$4:$K$303="Floating")*'Loan Tape'!$R$4:$R$303)/E100,"-")</f>
        <v>1</v>
      </c>
      <c r="K100" s="69" t="n">
        <f aca="false">IFERROR(SUMPRODUCT((('Loan Tape'!$R$4:$R$303&lt;&gt;"")*('Loan Tape'!$AE$4:$AE$303=R100)*('Loan Tape'!$E$4:$E$303='Deal Strat'!$C$12))*'Loan Tape'!$T$4:$T$303*'Loan Tape'!$R$4:$R$303)/E100,"-")</f>
        <v>0.0853</v>
      </c>
      <c r="L100" s="69" t="n">
        <f aca="false">IFERROR(SUMPRODUCT((('Loan Tape'!$R$4:$R$303&lt;&gt;"")*('Loan Tape'!$AE$4:$AE$303=R100)*('Loan Tape'!$E$4:$E$303='Deal Strat'!$C$12))*'Loan Tape'!$V$4:$V$303*'Loan Tape'!$R$4:$R$303)/E100,"-")</f>
        <v>0.572</v>
      </c>
      <c r="M100" s="69" t="n">
        <f aca="false">IFERROR(SUMPRODUCT((('Loan Tape'!$R$4:$R$303&lt;&gt;"")*('Loan Tape'!$AE$4:$AE$303=R100)*('Loan Tape'!$E$4:$E$303='Deal Strat'!$C$12))*'Loan Tape'!$W$4:$W$303*'Loan Tape'!$R$4:$R$303)/E100,"-")</f>
        <v>0.602</v>
      </c>
      <c r="N100" s="69" t="n">
        <f aca="false">IFERROR(SUMPRODUCT((('Loan Tape'!$R$4:$R$303&lt;&gt;"")*('Loan Tape'!$AE$4:$AE$303=R100)*('Loan Tape'!$E$4:$E$303='Deal Strat'!$C$12))*'Loan Tape'!$AI$4:$AI$303*'Loan Tape'!$R$4:$R$303)/E100,"-")</f>
        <v>0.065</v>
      </c>
      <c r="O100" s="69" t="n">
        <f aca="false">IFERROR(SUMPRODUCT((('Loan Tape'!$R$4:$R$303&lt;&gt;"")*('Loan Tape'!$AE$4:$AE$303=R100)*('Loan Tape'!$E$4:$E$303='Deal Strat'!$C$12))*'Loan Tape'!$AK$4:$AK$303*'Loan Tape'!$R$4:$R$303)/E100,"-")</f>
        <v>0.08</v>
      </c>
      <c r="P100" s="69" t="n">
        <f aca="false">IFERROR(SUMPRODUCT((('Loan Tape'!$R$4:$R$303&lt;&gt;"")*('Loan Tape'!$AE$4:$AE$303=R100)*('Loan Tape'!$E$4:$E$303='Deal Strat'!$C$12))*'Loan Tape'!$S$4:$S$303*'Loan Tape'!$R$4:$R$303)/E100,"-")</f>
        <v>0.94</v>
      </c>
      <c r="R100" s="91" t="s">
        <v>239</v>
      </c>
    </row>
    <row r="101" customFormat="false" ht="14.25" hidden="false" customHeight="false" outlineLevel="0" collapsed="false">
      <c r="B101" s="7" t="s">
        <v>407</v>
      </c>
      <c r="C101" s="68" t="n">
        <f aca="false">C6-SUM(C98:C100)</f>
        <v>0</v>
      </c>
      <c r="D101" s="68" t="n">
        <f aca="false">SUMPRODUCT(('Loan Tape'!$E$4:$E$303='Deal Strat'!$C$12)*'Loan Tape'!$F$4:$F$303)-SUM(D98:D100)</f>
        <v>0</v>
      </c>
      <c r="E101" s="84" t="n">
        <f aca="false">C5-SUM(E98:E100)</f>
        <v>0</v>
      </c>
      <c r="F101" s="69" t="n">
        <f aca="false">IFERROR(E101/C5,0)</f>
        <v>0</v>
      </c>
      <c r="G101" s="85" t="str">
        <f aca="false">IFERROR(SUMPRODUCT((('Loan Tape'!$R$4:$R$303&lt;&gt;"")*(1-(('Loan Tape'!$AE$4:$AE$303=R98)+('Loan Tape'!$AE$4:$AE$303=R99)+('Loan Tape'!$AE$4:$AE$303=R100)))*('Loan Tape'!$E$4:$E$303='Deal Strat'!$C$12))*'Loan Tape'!$U$4:$U$303*'Loan Tape'!$R$4:$R$303)/E101,"-")</f>
        <v>-</v>
      </c>
      <c r="H101" s="68" t="str">
        <f aca="false">IFERROR(SUMPRODUCT((('Loan Tape'!$R$4:$R$303&lt;&gt;"")*(1-(('Loan Tape'!$AE$4:$AE$303=R98)+('Loan Tape'!$AE$4:$AE$303=R99)+('Loan Tape'!$AE$4:$AE$303=R100)))*('Loan Tape'!$E$4:$E$303='Deal Strat'!$C$12))*'Loan Tape'!$AH$4:$AH$303*'Loan Tape'!$R$4:$R$303)/E101,"-")</f>
        <v>-</v>
      </c>
      <c r="I101" s="68" t="str">
        <f aca="false">IFERROR(SUMPRODUCT((('Loan Tape'!$R$4:$R$303&lt;&gt;"")*(1-(('Loan Tape'!$AE$4:$AE$303=R98)+('Loan Tape'!$AE$4:$AE$303=R99)+('Loan Tape'!$AE$4:$AE$303=R100)))*('Loan Tape'!$E$4:$E$303='Deal Strat'!$C$12))*(('Loan Tape'!$H$4:$H$303-$C$4)/30.4375)*'Loan Tape'!$R$4:$R$303)/E101,"-")</f>
        <v>-</v>
      </c>
      <c r="J101" s="69" t="str">
        <f aca="false">IFERROR(SUMPRODUCT((('Loan Tape'!$R$4:$R$303&lt;&gt;"")*(1-(('Loan Tape'!$AE$4:$AE$303=R98)+('Loan Tape'!$AE$4:$AE$303=R99)+('Loan Tape'!$AE$4:$AE$303=R100)))*('Loan Tape'!$E$4:$E$303='Deal Strat'!$C$12))*('Loan Tape'!$K$4:$K$303="Floating")*'Loan Tape'!$R$4:$R$303)/E101,"-")</f>
        <v>-</v>
      </c>
      <c r="K101" s="69" t="str">
        <f aca="false">IFERROR(SUMPRODUCT((('Loan Tape'!$R$4:$R$303&lt;&gt;"")*(1-(('Loan Tape'!$AE$4:$AE$303=R98)+('Loan Tape'!$AE$4:$AE$303=R99)+('Loan Tape'!$AE$4:$AE$303=R100)))*('Loan Tape'!$E$4:$E$303='Deal Strat'!$C$12))*'Loan Tape'!$T$4:$T$303*'Loan Tape'!$R$4:$R$303)/E101,"-")</f>
        <v>-</v>
      </c>
      <c r="L101" s="69" t="str">
        <f aca="false">IFERROR(SUMPRODUCT((('Loan Tape'!$R$4:$R$303&lt;&gt;"")*(1-(('Loan Tape'!$AE$4:$AE$303=R98)+('Loan Tape'!$AE$4:$AE$303=R99)+('Loan Tape'!$AE$4:$AE$303=R100)))*('Loan Tape'!$E$4:$E$303='Deal Strat'!$C$12))*'Loan Tape'!$V$4:$V$303*'Loan Tape'!$R$4:$R$303)/E101,"-")</f>
        <v>-</v>
      </c>
      <c r="M101" s="69" t="str">
        <f aca="false">IFERROR(SUMPRODUCT((('Loan Tape'!$R$4:$R$303&lt;&gt;"")*(1-(('Loan Tape'!$AE$4:$AE$303=R98)+('Loan Tape'!$AE$4:$AE$303=R99)+('Loan Tape'!$AE$4:$AE$303=R100)))*('Loan Tape'!$E$4:$E$303='Deal Strat'!$C$12))*'Loan Tape'!$W$4:$W$303*'Loan Tape'!$R$4:$R$303)/E101,"-")</f>
        <v>-</v>
      </c>
      <c r="N101" s="69" t="str">
        <f aca="false">IFERROR(SUMPRODUCT((('Loan Tape'!$R$4:$R$303&lt;&gt;"")*(1-(('Loan Tape'!$AE$4:$AE$303=R98)+('Loan Tape'!$AE$4:$AE$303=R99)+('Loan Tape'!$AE$4:$AE$303=R100)))*('Loan Tape'!$E$4:$E$303='Deal Strat'!$C$12))*'Loan Tape'!$AI$4:$AI$303*'Loan Tape'!$R$4:$R$303)/E101,"-")</f>
        <v>-</v>
      </c>
      <c r="O101" s="69" t="str">
        <f aca="false">IFERROR(SUMPRODUCT((('Loan Tape'!$R$4:$R$303&lt;&gt;"")*(1-(('Loan Tape'!$AE$4:$AE$303=R98)+('Loan Tape'!$AE$4:$AE$303=R99)+('Loan Tape'!$AE$4:$AE$303=R100)))*('Loan Tape'!$E$4:$E$303='Deal Strat'!$C$12))*'Loan Tape'!$AK$4:$AK$303*'Loan Tape'!$R$4:$R$303)/E101,"-")</f>
        <v>-</v>
      </c>
      <c r="P101" s="69" t="str">
        <f aca="false">IFERROR(SUMPRODUCT((('Loan Tape'!$R$4:$R$303&lt;&gt;"")*(1-(('Loan Tape'!$AE$4:$AE$303=R98)+('Loan Tape'!$AE$4:$AE$303=R99)+('Loan Tape'!$AE$4:$AE$303=R100)))*('Loan Tape'!$E$4:$E$303='Deal Strat'!$C$12))*'Loan Tape'!$S$4:$S$303*'Loan Tape'!$R$4:$R$303)/E101,"-")</f>
        <v>-</v>
      </c>
    </row>
    <row r="102" customFormat="false" ht="14.25" hidden="false" customHeight="false" outlineLevel="0" collapsed="false">
      <c r="B102" s="86" t="s">
        <v>405</v>
      </c>
      <c r="C102" s="92" t="n">
        <f aca="false">C6</f>
        <v>5</v>
      </c>
      <c r="D102" s="92" t="n">
        <f aca="false">SUMPRODUCT(('Loan Tape'!$E$4:$E$303='Deal Strat'!$C$12)*'Loan Tape'!$F$4:$F$303)</f>
        <v>593</v>
      </c>
      <c r="E102" s="88" t="n">
        <f aca="false">C5</f>
        <v>372487000</v>
      </c>
      <c r="F102" s="89" t="n">
        <f aca="false">1</f>
        <v>1</v>
      </c>
      <c r="G102" s="90" t="n">
        <f aca="false">IFERROR(SUMPRODUCT((('Loan Tape'!$R$4:$R$303&lt;&gt;"")*('Loan Tape'!$E$4:$E$303='Deal Strat'!$C$12))*'Loan Tape'!$U$4:$U$303*'Loan Tape'!$R$4:$R$303)/E102,"-")</f>
        <v>1.46286165691689</v>
      </c>
      <c r="H102" s="92" t="n">
        <f aca="false">IFERROR(SUMPRODUCT((('Loan Tape'!$R$4:$R$303&lt;&gt;"")*('Loan Tape'!$E$4:$E$303='Deal Strat'!$C$12))*'Loan Tape'!$AH$4:$AH$303*'Loan Tape'!$R$4:$R$303)/E102,"-")</f>
        <v>100.401133462376</v>
      </c>
      <c r="I102" s="92" t="n">
        <f aca="false">IFERROR(SUMPRODUCT((('Loan Tape'!$R$4:$R$303&lt;&gt;"")*('Loan Tape'!$E$4:$E$303='Deal Strat'!$C$12))*(('Loan Tape'!$H$4:$H$303-$C$4)/30.4375)*'Loan Tape'!$R$4:$R$303)/E102,"-")</f>
        <v>4.02239639370792</v>
      </c>
      <c r="J102" s="89" t="n">
        <f aca="false">IFERROR(SUMPRODUCT((('Loan Tape'!$R$4:$R$303&lt;&gt;"")*('Loan Tape'!$E$4:$E$303='Deal Strat'!$C$12))*('Loan Tape'!$K$4:$K$303="Floating")*'Loan Tape'!$R$4:$R$303)/E102,"-")</f>
        <v>0.64712593996569</v>
      </c>
      <c r="K102" s="89" t="n">
        <f aca="false">IFERROR(SUMPRODUCT((('Loan Tape'!$R$4:$R$303&lt;&gt;"")*('Loan Tape'!$E$4:$E$303='Deal Strat'!$C$12))*'Loan Tape'!$T$4:$T$303*'Loan Tape'!$R$4:$R$303)/E102,"-")</f>
        <v>0.0853727877751438</v>
      </c>
      <c r="L102" s="89" t="n">
        <f aca="false">IFERROR(SUMPRODUCT((('Loan Tape'!$R$4:$R$303&lt;&gt;"")*('Loan Tape'!$E$4:$E$303='Deal Strat'!$C$12))*'Loan Tape'!$V$4:$V$303*'Loan Tape'!$R$4:$R$303)/E102,"-")</f>
        <v>0.69021042345102</v>
      </c>
      <c r="M102" s="89" t="n">
        <f aca="false">IFERROR(SUMPRODUCT((('Loan Tape'!$R$4:$R$303&lt;&gt;"")*('Loan Tape'!$E$4:$E$303='Deal Strat'!$C$12))*'Loan Tape'!$W$4:$W$303*'Loan Tape'!$R$4:$R$303)/E102,"-")</f>
        <v>0.727922306013364</v>
      </c>
      <c r="N102" s="89" t="n">
        <f aca="false">IFERROR(SUMPRODUCT((('Loan Tape'!$R$4:$R$303&lt;&gt;"")*('Loan Tape'!$E$4:$E$303='Deal Strat'!$C$12))*'Loan Tape'!$AI$4:$AI$303*'Loan Tape'!$R$4:$R$303)/E102,"-")</f>
        <v>0.0680705466231036</v>
      </c>
      <c r="O102" s="89" t="n">
        <f aca="false">IFERROR(SUMPRODUCT((('Loan Tape'!$R$4:$R$303&lt;&gt;"")*('Loan Tape'!$E$4:$E$303='Deal Strat'!$C$12))*'Loan Tape'!$AK$4:$AK$303*'Loan Tape'!$R$4:$R$303)/E102,"-")</f>
        <v>0.077777435722589</v>
      </c>
      <c r="P102" s="89" t="n">
        <f aca="false">IFERROR(SUMPRODUCT((('Loan Tape'!$R$4:$R$303&lt;&gt;"")*('Loan Tape'!$E$4:$E$303='Deal Strat'!$C$12))*'Loan Tape'!$S$4:$S$303*'Loan Tape'!$R$4:$R$303)/E102,"-")</f>
        <v>0.841462496677736</v>
      </c>
    </row>
    <row r="104" customFormat="false" ht="19.5" hidden="false" customHeight="true" outlineLevel="0" collapsed="false">
      <c r="B104" s="5" t="s">
        <v>415</v>
      </c>
      <c r="C104" s="5"/>
      <c r="D104" s="5"/>
      <c r="E104" s="5"/>
      <c r="F104" s="5"/>
      <c r="G104" s="5"/>
      <c r="H104" s="5"/>
      <c r="I104" s="5"/>
      <c r="J104" s="5"/>
      <c r="K104" s="5"/>
      <c r="L104" s="5"/>
      <c r="M104" s="5"/>
      <c r="N104" s="5"/>
      <c r="O104" s="5"/>
      <c r="P104" s="5"/>
    </row>
    <row r="105" customFormat="false" ht="42" hidden="false" customHeight="true" outlineLevel="0" collapsed="false">
      <c r="B105" s="82" t="s">
        <v>392</v>
      </c>
      <c r="C105" s="83" t="s">
        <v>368</v>
      </c>
      <c r="D105" s="83" t="s">
        <v>153</v>
      </c>
      <c r="E105" s="83" t="s">
        <v>393</v>
      </c>
      <c r="F105" s="83" t="s">
        <v>394</v>
      </c>
      <c r="G105" s="83" t="s">
        <v>395</v>
      </c>
      <c r="H105" s="83" t="s">
        <v>396</v>
      </c>
      <c r="I105" s="83" t="s">
        <v>397</v>
      </c>
      <c r="J105" s="83" t="s">
        <v>398</v>
      </c>
      <c r="K105" s="83" t="s">
        <v>399</v>
      </c>
      <c r="L105" s="83" t="s">
        <v>400</v>
      </c>
      <c r="M105" s="83" t="s">
        <v>401</v>
      </c>
      <c r="N105" s="83" t="s">
        <v>402</v>
      </c>
      <c r="O105" s="83" t="s">
        <v>403</v>
      </c>
      <c r="P105" s="83" t="s">
        <v>365</v>
      </c>
    </row>
    <row r="106" customFormat="false" ht="14.25" hidden="false" customHeight="false" outlineLevel="0" collapsed="false">
      <c r="B106" s="7" t="str">
        <f aca="false">R106</f>
        <v>Fee Simple</v>
      </c>
      <c r="C106" s="68" t="n">
        <f aca="false">COUNTIFS('Loan Tape'!$AG$4:$AG$303,R106,'Loan Tape'!$E$4:$E$303,'Deal Strat'!$C$12)</f>
        <v>4</v>
      </c>
      <c r="D106" s="68" t="n">
        <f aca="false">SUMPRODUCT((('Loan Tape'!$R$4:$R$303&lt;&gt;"")*('Loan Tape'!$AG$4:$AG$303=R106)*('Loan Tape'!$E$4:$E$303='Deal Strat'!$C$12))*'Loan Tape'!$F$4:$F$303)</f>
        <v>593</v>
      </c>
      <c r="E106" s="84" t="n">
        <f aca="false">SUMIFS('Loan Tape'!$R$4:$R$303,'Loan Tape'!$AG$4:$AG$303,R106,'Loan Tape'!$E$4:$E$303,'Deal Strat'!$C$12)</f>
        <v>252174000</v>
      </c>
      <c r="F106" s="69" t="n">
        <f aca="false">IFERROR(E106/C5,0)</f>
        <v>0.677000808081893</v>
      </c>
      <c r="G106" s="85" t="n">
        <f aca="false">IFERROR(SUMPRODUCT((('Loan Tape'!$R$4:$R$303&lt;&gt;"")*('Loan Tape'!$AG$4:$AG$303=R106)*('Loan Tape'!$E$4:$E$303='Deal Strat'!$C$12))*'Loan Tape'!$U$4:$U$303*'Loan Tape'!$R$4:$R$303)/E106,"-")</f>
        <v>1.50239521124303</v>
      </c>
      <c r="H106" s="68" t="n">
        <f aca="false">IFERROR(SUMPRODUCT((('Loan Tape'!$R$4:$R$303&lt;&gt;"")*('Loan Tape'!$AG$4:$AG$303=R106)*('Loan Tape'!$E$4:$E$303='Deal Strat'!$C$12))*'Loan Tape'!$AH$4:$AH$303*'Loan Tape'!$R$4:$R$303)/E106,"-")</f>
        <v>100.592515485339</v>
      </c>
      <c r="I106" s="68" t="n">
        <f aca="false">IFERROR(SUMPRODUCT((('Loan Tape'!$R$4:$R$303&lt;&gt;"")*('Loan Tape'!$AG$4:$AG$303=R106)*('Loan Tape'!$E$4:$E$303='Deal Strat'!$C$12))*(('Loan Tape'!$H$4:$H$303-$C$4)/30.4375)*'Loan Tape'!$R$4:$R$303)/E106,"-")</f>
        <v>-3.62016155560527</v>
      </c>
      <c r="J106" s="69" t="n">
        <f aca="false">IFERROR(SUMPRODUCT((('Loan Tape'!$R$4:$R$303&lt;&gt;"")*('Loan Tape'!$AG$4:$AG$303=R106)*('Loan Tape'!$E$4:$E$303='Deal Strat'!$C$12))*('Loan Tape'!$K$4:$K$303="Floating")*'Loan Tape'!$R$4:$R$303)/E106,"-")</f>
        <v>0.478768628010818</v>
      </c>
      <c r="K106" s="69" t="n">
        <f aca="false">IFERROR(SUMPRODUCT((('Loan Tape'!$R$4:$R$303&lt;&gt;"")*('Loan Tape'!$AG$4:$AG$303=R106)*('Loan Tape'!$E$4:$E$303='Deal Strat'!$C$12))*'Loan Tape'!$T$4:$T$303*'Loan Tape'!$R$4:$R$303)/E106,"-")</f>
        <v>0.0872682171833734</v>
      </c>
      <c r="L106" s="69" t="n">
        <f aca="false">IFERROR(SUMPRODUCT((('Loan Tape'!$R$4:$R$303&lt;&gt;"")*('Loan Tape'!$AG$4:$AG$303=R106)*('Loan Tape'!$E$4:$E$303='Deal Strat'!$C$12))*'Loan Tape'!$V$4:$V$303*'Loan Tape'!$R$4:$R$303)/E106,"-")</f>
        <v>0.703192601140482</v>
      </c>
      <c r="M106" s="69" t="n">
        <f aca="false">IFERROR(SUMPRODUCT((('Loan Tape'!$R$4:$R$303&lt;&gt;"")*('Loan Tape'!$AG$4:$AG$303=R106)*('Loan Tape'!$E$4:$E$303='Deal Strat'!$C$12))*'Loan Tape'!$W$4:$W$303*'Loan Tape'!$R$4:$R$303)/E106,"-")</f>
        <v>0.74601515620167</v>
      </c>
      <c r="N106" s="69" t="n">
        <f aca="false">IFERROR(SUMPRODUCT((('Loan Tape'!$R$4:$R$303&lt;&gt;"")*('Loan Tape'!$AG$4:$AG$303=R106)*('Loan Tape'!$E$4:$E$303='Deal Strat'!$C$12))*'Loan Tape'!$AI$4:$AI$303*'Loan Tape'!$R$4:$R$303)/E106,"-")</f>
        <v>0.0609476579663248</v>
      </c>
      <c r="O106" s="69" t="n">
        <f aca="false">IFERROR(SUMPRODUCT((('Loan Tape'!$R$4:$R$303&lt;&gt;"")*('Loan Tape'!$AG$4:$AG$303=R106)*('Loan Tape'!$E$4:$E$303='Deal Strat'!$C$12))*'Loan Tape'!$AK$4:$AK$303*'Loan Tape'!$R$4:$R$303)/E106,"-")</f>
        <v>0.0681291873864871</v>
      </c>
      <c r="P106" s="69" t="n">
        <f aca="false">IFERROR(SUMPRODUCT((('Loan Tape'!$R$4:$R$303&lt;&gt;"")*('Loan Tape'!$AG$4:$AG$303=R106)*('Loan Tape'!$E$4:$E$303='Deal Strat'!$C$12))*'Loan Tape'!$S$4:$S$303*'Loan Tape'!$R$4:$R$303)/E106,"-")</f>
        <v>0.868878032628265</v>
      </c>
      <c r="R106" s="91" t="s">
        <v>217</v>
      </c>
    </row>
    <row r="107" customFormat="false" ht="14.25" hidden="false" customHeight="false" outlineLevel="0" collapsed="false">
      <c r="B107" s="7" t="str">
        <f aca="false">R107</f>
        <v>Fee &amp; Leasehold</v>
      </c>
      <c r="C107" s="68" t="n">
        <f aca="false">COUNTIFS('Loan Tape'!$AG$4:$AG$303,R107,'Loan Tape'!$E$4:$E$303,'Deal Strat'!$C$12)</f>
        <v>0</v>
      </c>
      <c r="D107" s="68" t="n">
        <f aca="false">SUMPRODUCT((('Loan Tape'!$R$4:$R$303&lt;&gt;"")*('Loan Tape'!$AG$4:$AG$303=R107)*('Loan Tape'!$E$4:$E$303='Deal Strat'!$C$12))*'Loan Tape'!$F$4:$F$303)</f>
        <v>0</v>
      </c>
      <c r="E107" s="84" t="n">
        <f aca="false">SUMIFS('Loan Tape'!$R$4:$R$303,'Loan Tape'!$AG$4:$AG$303,R107,'Loan Tape'!$E$4:$E$303,'Deal Strat'!$C$12)</f>
        <v>0</v>
      </c>
      <c r="F107" s="69" t="n">
        <f aca="false">IFERROR(E107/C5,0)</f>
        <v>0</v>
      </c>
      <c r="G107" s="85" t="str">
        <f aca="false">IFERROR(SUMPRODUCT((('Loan Tape'!$R$4:$R$303&lt;&gt;"")*('Loan Tape'!$AG$4:$AG$303=R107)*('Loan Tape'!$E$4:$E$303='Deal Strat'!$C$12))*'Loan Tape'!$U$4:$U$303*'Loan Tape'!$R$4:$R$303)/E107,"-")</f>
        <v>-</v>
      </c>
      <c r="H107" s="68" t="str">
        <f aca="false">IFERROR(SUMPRODUCT((('Loan Tape'!$R$4:$R$303&lt;&gt;"")*('Loan Tape'!$AG$4:$AG$303=R107)*('Loan Tape'!$E$4:$E$303='Deal Strat'!$C$12))*'Loan Tape'!$AH$4:$AH$303*'Loan Tape'!$R$4:$R$303)/E107,"-")</f>
        <v>-</v>
      </c>
      <c r="I107" s="68" t="str">
        <f aca="false">IFERROR(SUMPRODUCT((('Loan Tape'!$R$4:$R$303&lt;&gt;"")*('Loan Tape'!$AG$4:$AG$303=R107)*('Loan Tape'!$E$4:$E$303='Deal Strat'!$C$12))*(('Loan Tape'!$H$4:$H$303-$C$4)/30.4375)*'Loan Tape'!$R$4:$R$303)/E107,"-")</f>
        <v>-</v>
      </c>
      <c r="J107" s="69" t="str">
        <f aca="false">IFERROR(SUMPRODUCT((('Loan Tape'!$R$4:$R$303&lt;&gt;"")*('Loan Tape'!$AG$4:$AG$303=R107)*('Loan Tape'!$E$4:$E$303='Deal Strat'!$C$12))*('Loan Tape'!$K$4:$K$303="Floating")*'Loan Tape'!$R$4:$R$303)/E107,"-")</f>
        <v>-</v>
      </c>
      <c r="K107" s="69" t="str">
        <f aca="false">IFERROR(SUMPRODUCT((('Loan Tape'!$R$4:$R$303&lt;&gt;"")*('Loan Tape'!$AG$4:$AG$303=R107)*('Loan Tape'!$E$4:$E$303='Deal Strat'!$C$12))*'Loan Tape'!$T$4:$T$303*'Loan Tape'!$R$4:$R$303)/E107,"-")</f>
        <v>-</v>
      </c>
      <c r="L107" s="69" t="str">
        <f aca="false">IFERROR(SUMPRODUCT((('Loan Tape'!$R$4:$R$303&lt;&gt;"")*('Loan Tape'!$AG$4:$AG$303=R107)*('Loan Tape'!$E$4:$E$303='Deal Strat'!$C$12))*'Loan Tape'!$V$4:$V$303*'Loan Tape'!$R$4:$R$303)/E107,"-")</f>
        <v>-</v>
      </c>
      <c r="M107" s="69" t="str">
        <f aca="false">IFERROR(SUMPRODUCT((('Loan Tape'!$R$4:$R$303&lt;&gt;"")*('Loan Tape'!$AG$4:$AG$303=R107)*('Loan Tape'!$E$4:$E$303='Deal Strat'!$C$12))*'Loan Tape'!$W$4:$W$303*'Loan Tape'!$R$4:$R$303)/E107,"-")</f>
        <v>-</v>
      </c>
      <c r="N107" s="69" t="str">
        <f aca="false">IFERROR(SUMPRODUCT((('Loan Tape'!$R$4:$R$303&lt;&gt;"")*('Loan Tape'!$AG$4:$AG$303=R107)*('Loan Tape'!$E$4:$E$303='Deal Strat'!$C$12))*'Loan Tape'!$AI$4:$AI$303*'Loan Tape'!$R$4:$R$303)/E107,"-")</f>
        <v>-</v>
      </c>
      <c r="O107" s="69" t="str">
        <f aca="false">IFERROR(SUMPRODUCT((('Loan Tape'!$R$4:$R$303&lt;&gt;"")*('Loan Tape'!$AG$4:$AG$303=R107)*('Loan Tape'!$E$4:$E$303='Deal Strat'!$C$12))*'Loan Tape'!$AK$4:$AK$303*'Loan Tape'!$R$4:$R$303)/E107,"-")</f>
        <v>-</v>
      </c>
      <c r="P107" s="69" t="str">
        <f aca="false">IFERROR(SUMPRODUCT((('Loan Tape'!$R$4:$R$303&lt;&gt;"")*('Loan Tape'!$AG$4:$AG$303=R107)*('Loan Tape'!$E$4:$E$303='Deal Strat'!$C$12))*'Loan Tape'!$S$4:$S$303*'Loan Tape'!$R$4:$R$303)/E107,"-")</f>
        <v>-</v>
      </c>
      <c r="R107" s="91" t="s">
        <v>265</v>
      </c>
    </row>
    <row r="108" customFormat="false" ht="14.25" hidden="false" customHeight="false" outlineLevel="0" collapsed="false">
      <c r="B108" s="7" t="str">
        <f aca="false">R108</f>
        <v>Leasehold</v>
      </c>
      <c r="C108" s="68" t="n">
        <f aca="false">COUNTIFS('Loan Tape'!$AG$4:$AG$303,R108,'Loan Tape'!$E$4:$E$303,'Deal Strat'!$C$12)</f>
        <v>1</v>
      </c>
      <c r="D108" s="68" t="n">
        <f aca="false">SUMPRODUCT((('Loan Tape'!$R$4:$R$303&lt;&gt;"")*('Loan Tape'!$AG$4:$AG$303=R108)*('Loan Tape'!$E$4:$E$303='Deal Strat'!$C$12))*'Loan Tape'!$F$4:$F$303)</f>
        <v>0</v>
      </c>
      <c r="E108" s="84" t="n">
        <f aca="false">SUMIFS('Loan Tape'!$R$4:$R$303,'Loan Tape'!$AG$4:$AG$303,R108,'Loan Tape'!$E$4:$E$303,'Deal Strat'!$C$12)</f>
        <v>120313000</v>
      </c>
      <c r="F108" s="69" t="n">
        <f aca="false">IFERROR(E108/C5,0)</f>
        <v>0.322999191918107</v>
      </c>
      <c r="G108" s="85" t="n">
        <f aca="false">IFERROR(SUMPRODUCT((('Loan Tape'!$R$4:$R$303&lt;&gt;"")*('Loan Tape'!$AG$4:$AG$303=R108)*('Loan Tape'!$E$4:$E$303='Deal Strat'!$C$12))*'Loan Tape'!$U$4:$U$303*'Loan Tape'!$R$4:$R$303)/E108,"-")</f>
        <v>1.38</v>
      </c>
      <c r="H108" s="68" t="n">
        <f aca="false">IFERROR(SUMPRODUCT((('Loan Tape'!$R$4:$R$303&lt;&gt;"")*('Loan Tape'!$AG$4:$AG$303=R108)*('Loan Tape'!$E$4:$E$303='Deal Strat'!$C$12))*'Loan Tape'!$AH$4:$AH$303*'Loan Tape'!$R$4:$R$303)/E108,"-")</f>
        <v>100</v>
      </c>
      <c r="I108" s="68" t="n">
        <f aca="false">IFERROR(SUMPRODUCT((('Loan Tape'!$R$4:$R$303&lt;&gt;"")*('Loan Tape'!$AG$4:$AG$303=R108)*('Loan Tape'!$E$4:$E$303='Deal Strat'!$C$12))*(('Loan Tape'!$H$4:$H$303-$C$4)/30.4375)*'Loan Tape'!$R$4:$R$303)/E108,"-")</f>
        <v>20.041067761807</v>
      </c>
      <c r="J108" s="69" t="n">
        <f aca="false">IFERROR(SUMPRODUCT((('Loan Tape'!$R$4:$R$303&lt;&gt;"")*('Loan Tape'!$AG$4:$AG$303=R108)*('Loan Tape'!$E$4:$E$303='Deal Strat'!$C$12))*('Loan Tape'!$K$4:$K$303="Floating")*'Loan Tape'!$R$4:$R$303)/E108,"-")</f>
        <v>1</v>
      </c>
      <c r="K108" s="69" t="n">
        <f aca="false">IFERROR(SUMPRODUCT((('Loan Tape'!$R$4:$R$303&lt;&gt;"")*('Loan Tape'!$AG$4:$AG$303=R108)*('Loan Tape'!$E$4:$E$303='Deal Strat'!$C$12))*'Loan Tape'!$T$4:$T$303*'Loan Tape'!$R$4:$R$303)/E108,"-")</f>
        <v>0.0814</v>
      </c>
      <c r="L108" s="69" t="n">
        <f aca="false">IFERROR(SUMPRODUCT((('Loan Tape'!$R$4:$R$303&lt;&gt;"")*('Loan Tape'!$AG$4:$AG$303=R108)*('Loan Tape'!$E$4:$E$303='Deal Strat'!$C$12))*'Loan Tape'!$V$4:$V$303*'Loan Tape'!$R$4:$R$303)/E108,"-")</f>
        <v>0.663</v>
      </c>
      <c r="M108" s="69" t="n">
        <f aca="false">IFERROR(SUMPRODUCT((('Loan Tape'!$R$4:$R$303&lt;&gt;"")*('Loan Tape'!$AG$4:$AG$303=R108)*('Loan Tape'!$E$4:$E$303='Deal Strat'!$C$12))*'Loan Tape'!$W$4:$W$303*'Loan Tape'!$R$4:$R$303)/E108,"-")</f>
        <v>0.69</v>
      </c>
      <c r="N108" s="69" t="n">
        <f aca="false">IFERROR(SUMPRODUCT((('Loan Tape'!$R$4:$R$303&lt;&gt;"")*('Loan Tape'!$AG$4:$AG$303=R108)*('Loan Tape'!$E$4:$E$303='Deal Strat'!$C$12))*'Loan Tape'!$AI$4:$AI$303*'Loan Tape'!$R$4:$R$303)/E108,"-")</f>
        <v>0.083</v>
      </c>
      <c r="O108" s="69" t="n">
        <f aca="false">IFERROR(SUMPRODUCT((('Loan Tape'!$R$4:$R$303&lt;&gt;"")*('Loan Tape'!$AG$4:$AG$303=R108)*('Loan Tape'!$E$4:$E$303='Deal Strat'!$C$12))*'Loan Tape'!$AK$4:$AK$303*'Loan Tape'!$R$4:$R$303)/E108,"-")</f>
        <v>0.098</v>
      </c>
      <c r="P108" s="69" t="n">
        <f aca="false">IFERROR(SUMPRODUCT((('Loan Tape'!$R$4:$R$303&lt;&gt;"")*('Loan Tape'!$AG$4:$AG$303=R108)*('Loan Tape'!$E$4:$E$303='Deal Strat'!$C$12))*'Loan Tape'!$S$4:$S$303*'Loan Tape'!$R$4:$R$303)/E108,"-")</f>
        <v>0.784</v>
      </c>
      <c r="R108" s="91" t="s">
        <v>361</v>
      </c>
    </row>
    <row r="109" customFormat="false" ht="14.25" hidden="false" customHeight="false" outlineLevel="0" collapsed="false">
      <c r="B109" s="7" t="s">
        <v>407</v>
      </c>
      <c r="C109" s="68" t="n">
        <f aca="false">C6-SUM(C106:C108)</f>
        <v>0</v>
      </c>
      <c r="D109" s="68" t="n">
        <f aca="false">SUMPRODUCT(('Loan Tape'!$E$4:$E$303='Deal Strat'!$C$12)*'Loan Tape'!$F$4:$F$303)-SUM(D106:D108)</f>
        <v>0</v>
      </c>
      <c r="E109" s="84" t="n">
        <f aca="false">C5-SUM(E106:E108)</f>
        <v>0</v>
      </c>
      <c r="F109" s="69" t="n">
        <f aca="false">IFERROR(E109/C5,0)</f>
        <v>0</v>
      </c>
      <c r="G109" s="85" t="str">
        <f aca="false">IFERROR(SUMPRODUCT((('Loan Tape'!$R$4:$R$303&lt;&gt;"")*(1-(('Loan Tape'!$AG$4:$AG$303=R106)+('Loan Tape'!$AG$4:$AG$303=R107)+('Loan Tape'!$AG$4:$AG$303=R108)))*('Loan Tape'!$E$4:$E$303='Deal Strat'!$C$12))*'Loan Tape'!$U$4:$U$303*'Loan Tape'!$R$4:$R$303)/E109,"-")</f>
        <v>-</v>
      </c>
      <c r="H109" s="68" t="str">
        <f aca="false">IFERROR(SUMPRODUCT((('Loan Tape'!$R$4:$R$303&lt;&gt;"")*(1-(('Loan Tape'!$AG$4:$AG$303=R106)+('Loan Tape'!$AG$4:$AG$303=R107)+('Loan Tape'!$AG$4:$AG$303=R108)))*('Loan Tape'!$E$4:$E$303='Deal Strat'!$C$12))*'Loan Tape'!$AH$4:$AH$303*'Loan Tape'!$R$4:$R$303)/E109,"-")</f>
        <v>-</v>
      </c>
      <c r="I109" s="68" t="str">
        <f aca="false">IFERROR(SUMPRODUCT((('Loan Tape'!$R$4:$R$303&lt;&gt;"")*(1-(('Loan Tape'!$AG$4:$AG$303=R106)+('Loan Tape'!$AG$4:$AG$303=R107)+('Loan Tape'!$AG$4:$AG$303=R108)))*('Loan Tape'!$E$4:$E$303='Deal Strat'!$C$12))*(('Loan Tape'!$H$4:$H$303-$C$4)/30.4375)*'Loan Tape'!$R$4:$R$303)/E109,"-")</f>
        <v>-</v>
      </c>
      <c r="J109" s="69" t="str">
        <f aca="false">IFERROR(SUMPRODUCT((('Loan Tape'!$R$4:$R$303&lt;&gt;"")*(1-(('Loan Tape'!$AG$4:$AG$303=R106)+('Loan Tape'!$AG$4:$AG$303=R107)+('Loan Tape'!$AG$4:$AG$303=R108)))*('Loan Tape'!$E$4:$E$303='Deal Strat'!$C$12))*('Loan Tape'!$K$4:$K$303="Floating")*'Loan Tape'!$R$4:$R$303)/E109,"-")</f>
        <v>-</v>
      </c>
      <c r="K109" s="69" t="str">
        <f aca="false">IFERROR(SUMPRODUCT((('Loan Tape'!$R$4:$R$303&lt;&gt;"")*(1-(('Loan Tape'!$AG$4:$AG$303=R106)+('Loan Tape'!$AG$4:$AG$303=R107)+('Loan Tape'!$AG$4:$AG$303=R108)))*('Loan Tape'!$E$4:$E$303='Deal Strat'!$C$12))*'Loan Tape'!$T$4:$T$303*'Loan Tape'!$R$4:$R$303)/E109,"-")</f>
        <v>-</v>
      </c>
      <c r="L109" s="69" t="str">
        <f aca="false">IFERROR(SUMPRODUCT((('Loan Tape'!$R$4:$R$303&lt;&gt;"")*(1-(('Loan Tape'!$AG$4:$AG$303=R106)+('Loan Tape'!$AG$4:$AG$303=R107)+('Loan Tape'!$AG$4:$AG$303=R108)))*('Loan Tape'!$E$4:$E$303='Deal Strat'!$C$12))*'Loan Tape'!$V$4:$V$303*'Loan Tape'!$R$4:$R$303)/E109,"-")</f>
        <v>-</v>
      </c>
      <c r="M109" s="69" t="str">
        <f aca="false">IFERROR(SUMPRODUCT((('Loan Tape'!$R$4:$R$303&lt;&gt;"")*(1-(('Loan Tape'!$AG$4:$AG$303=R106)+('Loan Tape'!$AG$4:$AG$303=R107)+('Loan Tape'!$AG$4:$AG$303=R108)))*('Loan Tape'!$E$4:$E$303='Deal Strat'!$C$12))*'Loan Tape'!$W$4:$W$303*'Loan Tape'!$R$4:$R$303)/E109,"-")</f>
        <v>-</v>
      </c>
      <c r="N109" s="69" t="str">
        <f aca="false">IFERROR(SUMPRODUCT((('Loan Tape'!$R$4:$R$303&lt;&gt;"")*(1-(('Loan Tape'!$AG$4:$AG$303=R106)+('Loan Tape'!$AG$4:$AG$303=R107)+('Loan Tape'!$AG$4:$AG$303=R108)))*('Loan Tape'!$E$4:$E$303='Deal Strat'!$C$12))*'Loan Tape'!$AI$4:$AI$303*'Loan Tape'!$R$4:$R$303)/E109,"-")</f>
        <v>-</v>
      </c>
      <c r="O109" s="69" t="str">
        <f aca="false">IFERROR(SUMPRODUCT((('Loan Tape'!$R$4:$R$303&lt;&gt;"")*(1-(('Loan Tape'!$AG$4:$AG$303=R106)+('Loan Tape'!$AG$4:$AG$303=R107)+('Loan Tape'!$AG$4:$AG$303=R108)))*('Loan Tape'!$E$4:$E$303='Deal Strat'!$C$12))*'Loan Tape'!$AK$4:$AK$303*'Loan Tape'!$R$4:$R$303)/E109,"-")</f>
        <v>-</v>
      </c>
      <c r="P109" s="69" t="str">
        <f aca="false">IFERROR(SUMPRODUCT((('Loan Tape'!$R$4:$R$303&lt;&gt;"")*(1-(('Loan Tape'!$AG$4:$AG$303=R106)+('Loan Tape'!$AG$4:$AG$303=R107)+('Loan Tape'!$AG$4:$AG$303=R108)))*('Loan Tape'!$E$4:$E$303='Deal Strat'!$C$12))*'Loan Tape'!$S$4:$S$303*'Loan Tape'!$R$4:$R$303)/E109,"-")</f>
        <v>-</v>
      </c>
    </row>
    <row r="110" customFormat="false" ht="14.25" hidden="false" customHeight="false" outlineLevel="0" collapsed="false">
      <c r="B110" s="86" t="s">
        <v>405</v>
      </c>
      <c r="C110" s="92" t="n">
        <f aca="false">C6</f>
        <v>5</v>
      </c>
      <c r="D110" s="92" t="n">
        <f aca="false">SUMPRODUCT(('Loan Tape'!$E$4:$E$303='Deal Strat'!$C$12)*'Loan Tape'!$F$4:$F$303)</f>
        <v>593</v>
      </c>
      <c r="E110" s="88" t="n">
        <f aca="false">C5</f>
        <v>372487000</v>
      </c>
      <c r="F110" s="89" t="n">
        <f aca="false">1</f>
        <v>1</v>
      </c>
      <c r="G110" s="90" t="n">
        <f aca="false">IFERROR(SUMPRODUCT((('Loan Tape'!$R$4:$R$303&lt;&gt;"")*('Loan Tape'!$E$4:$E$303='Deal Strat'!$C$12))*'Loan Tape'!$U$4:$U$303*'Loan Tape'!$R$4:$R$303)/E110,"-")</f>
        <v>1.46286165691689</v>
      </c>
      <c r="H110" s="92" t="n">
        <f aca="false">IFERROR(SUMPRODUCT((('Loan Tape'!$R$4:$R$303&lt;&gt;"")*('Loan Tape'!$E$4:$E$303='Deal Strat'!$C$12))*'Loan Tape'!$AH$4:$AH$303*'Loan Tape'!$R$4:$R$303)/E110,"-")</f>
        <v>100.401133462376</v>
      </c>
      <c r="I110" s="92" t="n">
        <f aca="false">IFERROR(SUMPRODUCT((('Loan Tape'!$R$4:$R$303&lt;&gt;"")*('Loan Tape'!$E$4:$E$303='Deal Strat'!$C$12))*(('Loan Tape'!$H$4:$H$303-$C$4)/30.4375)*'Loan Tape'!$R$4:$R$303)/E110,"-")</f>
        <v>4.02239639370792</v>
      </c>
      <c r="J110" s="89" t="n">
        <f aca="false">IFERROR(SUMPRODUCT((('Loan Tape'!$R$4:$R$303&lt;&gt;"")*('Loan Tape'!$E$4:$E$303='Deal Strat'!$C$12))*('Loan Tape'!$K$4:$K$303="Floating")*'Loan Tape'!$R$4:$R$303)/E110,"-")</f>
        <v>0.64712593996569</v>
      </c>
      <c r="K110" s="89" t="n">
        <f aca="false">IFERROR(SUMPRODUCT((('Loan Tape'!$R$4:$R$303&lt;&gt;"")*('Loan Tape'!$E$4:$E$303='Deal Strat'!$C$12))*'Loan Tape'!$T$4:$T$303*'Loan Tape'!$R$4:$R$303)/E110,"-")</f>
        <v>0.0853727877751438</v>
      </c>
      <c r="L110" s="89" t="n">
        <f aca="false">IFERROR(SUMPRODUCT((('Loan Tape'!$R$4:$R$303&lt;&gt;"")*('Loan Tape'!$E$4:$E$303='Deal Strat'!$C$12))*'Loan Tape'!$V$4:$V$303*'Loan Tape'!$R$4:$R$303)/E110,"-")</f>
        <v>0.69021042345102</v>
      </c>
      <c r="M110" s="89" t="n">
        <f aca="false">IFERROR(SUMPRODUCT((('Loan Tape'!$R$4:$R$303&lt;&gt;"")*('Loan Tape'!$E$4:$E$303='Deal Strat'!$C$12))*'Loan Tape'!$W$4:$W$303*'Loan Tape'!$R$4:$R$303)/E110,"-")</f>
        <v>0.727922306013364</v>
      </c>
      <c r="N110" s="89" t="n">
        <f aca="false">IFERROR(SUMPRODUCT((('Loan Tape'!$R$4:$R$303&lt;&gt;"")*('Loan Tape'!$E$4:$E$303='Deal Strat'!$C$12))*'Loan Tape'!$AI$4:$AI$303*'Loan Tape'!$R$4:$R$303)/E110,"-")</f>
        <v>0.0680705466231036</v>
      </c>
      <c r="O110" s="89" t="n">
        <f aca="false">IFERROR(SUMPRODUCT((('Loan Tape'!$R$4:$R$303&lt;&gt;"")*('Loan Tape'!$E$4:$E$303='Deal Strat'!$C$12))*'Loan Tape'!$AK$4:$AK$303*'Loan Tape'!$R$4:$R$303)/E110,"-")</f>
        <v>0.077777435722589</v>
      </c>
      <c r="P110" s="89" t="n">
        <f aca="false">IFERROR(SUMPRODUCT((('Loan Tape'!$R$4:$R$303&lt;&gt;"")*('Loan Tape'!$E$4:$E$303='Deal Strat'!$C$12))*'Loan Tape'!$S$4:$S$303*'Loan Tape'!$R$4:$R$303)/E110,"-")</f>
        <v>0.841462496677736</v>
      </c>
    </row>
    <row r="112" customFormat="false" ht="19.5" hidden="false" customHeight="true" outlineLevel="0" collapsed="false">
      <c r="B112" s="5" t="s">
        <v>416</v>
      </c>
      <c r="C112" s="5"/>
      <c r="D112" s="5"/>
      <c r="E112" s="5"/>
      <c r="F112" s="5"/>
      <c r="G112" s="5"/>
      <c r="H112" s="5"/>
      <c r="I112" s="5"/>
      <c r="J112" s="5"/>
      <c r="K112" s="5"/>
      <c r="L112" s="5"/>
      <c r="M112" s="5"/>
      <c r="N112" s="5"/>
      <c r="O112" s="5"/>
      <c r="P112" s="5"/>
    </row>
    <row r="113" customFormat="false" ht="42" hidden="false" customHeight="true" outlineLevel="0" collapsed="false">
      <c r="B113" s="82" t="s">
        <v>392</v>
      </c>
      <c r="C113" s="83" t="s">
        <v>368</v>
      </c>
      <c r="D113" s="83" t="s">
        <v>153</v>
      </c>
      <c r="E113" s="83" t="s">
        <v>393</v>
      </c>
      <c r="F113" s="83" t="s">
        <v>394</v>
      </c>
      <c r="G113" s="83" t="s">
        <v>395</v>
      </c>
      <c r="H113" s="83" t="s">
        <v>396</v>
      </c>
      <c r="I113" s="83" t="s">
        <v>397</v>
      </c>
      <c r="J113" s="83" t="s">
        <v>398</v>
      </c>
      <c r="K113" s="83" t="s">
        <v>399</v>
      </c>
      <c r="L113" s="83" t="s">
        <v>400</v>
      </c>
      <c r="M113" s="83" t="s">
        <v>401</v>
      </c>
      <c r="N113" s="83" t="s">
        <v>402</v>
      </c>
      <c r="O113" s="83" t="s">
        <v>403</v>
      </c>
      <c r="P113" s="83" t="s">
        <v>365</v>
      </c>
    </row>
    <row r="114" customFormat="false" ht="14.25" hidden="false" customHeight="false" outlineLevel="0" collapsed="false">
      <c r="B114" s="7" t="str">
        <f aca="false">R114</f>
        <v>Current</v>
      </c>
      <c r="C114" s="68" t="n">
        <f aca="false">COUNTIFS('Loan Tape'!$AF$4:$AF$303,R114,'Loan Tape'!$E$4:$E$303,'Deal Strat'!$C$12)</f>
        <v>5</v>
      </c>
      <c r="D114" s="68" t="n">
        <f aca="false">SUMPRODUCT((('Loan Tape'!$R$4:$R$303&lt;&gt;"")*('Loan Tape'!$AF$4:$AF$303=R114)*('Loan Tape'!$E$4:$E$303='Deal Strat'!$C$12))*'Loan Tape'!$F$4:$F$303)</f>
        <v>593</v>
      </c>
      <c r="E114" s="84" t="n">
        <f aca="false">SUMIFS('Loan Tape'!$R$4:$R$303,'Loan Tape'!$AF$4:$AF$303,R114,'Loan Tape'!$E$4:$E$303,'Deal Strat'!$C$12)</f>
        <v>372487000</v>
      </c>
      <c r="F114" s="69" t="n">
        <f aca="false">IFERROR(E114/C5,0)</f>
        <v>1</v>
      </c>
      <c r="G114" s="85" t="n">
        <f aca="false">IFERROR(SUMPRODUCT((('Loan Tape'!$R$4:$R$303&lt;&gt;"")*('Loan Tape'!$AF$4:$AF$303=R114)*('Loan Tape'!$E$4:$E$303='Deal Strat'!$C$12))*'Loan Tape'!$U$4:$U$303*'Loan Tape'!$R$4:$R$303)/E114,"-")</f>
        <v>1.46286165691689</v>
      </c>
      <c r="H114" s="68" t="n">
        <f aca="false">IFERROR(SUMPRODUCT((('Loan Tape'!$R$4:$R$303&lt;&gt;"")*('Loan Tape'!$AF$4:$AF$303=R114)*('Loan Tape'!$E$4:$E$303='Deal Strat'!$C$12))*'Loan Tape'!$AH$4:$AH$303*'Loan Tape'!$R$4:$R$303)/E114,"-")</f>
        <v>100.401133462376</v>
      </c>
      <c r="I114" s="68" t="n">
        <f aca="false">IFERROR(SUMPRODUCT((('Loan Tape'!$R$4:$R$303&lt;&gt;"")*('Loan Tape'!$AF$4:$AF$303=R114)*('Loan Tape'!$E$4:$E$303='Deal Strat'!$C$12))*(('Loan Tape'!$H$4:$H$303-$C$4)/30.4375)*'Loan Tape'!$R$4:$R$303)/E114,"-")</f>
        <v>4.02239639370792</v>
      </c>
      <c r="J114" s="69" t="n">
        <f aca="false">IFERROR(SUMPRODUCT((('Loan Tape'!$R$4:$R$303&lt;&gt;"")*('Loan Tape'!$AF$4:$AF$303=R114)*('Loan Tape'!$E$4:$E$303='Deal Strat'!$C$12))*('Loan Tape'!$K$4:$K$303="Floating")*'Loan Tape'!$R$4:$R$303)/E114,"-")</f>
        <v>0.64712593996569</v>
      </c>
      <c r="K114" s="69" t="n">
        <f aca="false">IFERROR(SUMPRODUCT((('Loan Tape'!$R$4:$R$303&lt;&gt;"")*('Loan Tape'!$AF$4:$AF$303=R114)*('Loan Tape'!$E$4:$E$303='Deal Strat'!$C$12))*'Loan Tape'!$T$4:$T$303*'Loan Tape'!$R$4:$R$303)/E114,"-")</f>
        <v>0.0853727877751438</v>
      </c>
      <c r="L114" s="69" t="n">
        <f aca="false">IFERROR(SUMPRODUCT((('Loan Tape'!$R$4:$R$303&lt;&gt;"")*('Loan Tape'!$AF$4:$AF$303=R114)*('Loan Tape'!$E$4:$E$303='Deal Strat'!$C$12))*'Loan Tape'!$V$4:$V$303*'Loan Tape'!$R$4:$R$303)/E114,"-")</f>
        <v>0.69021042345102</v>
      </c>
      <c r="M114" s="69" t="n">
        <f aca="false">IFERROR(SUMPRODUCT((('Loan Tape'!$R$4:$R$303&lt;&gt;"")*('Loan Tape'!$AF$4:$AF$303=R114)*('Loan Tape'!$E$4:$E$303='Deal Strat'!$C$12))*'Loan Tape'!$W$4:$W$303*'Loan Tape'!$R$4:$R$303)/E114,"-")</f>
        <v>0.727922306013364</v>
      </c>
      <c r="N114" s="69" t="n">
        <f aca="false">IFERROR(SUMPRODUCT((('Loan Tape'!$R$4:$R$303&lt;&gt;"")*('Loan Tape'!$AF$4:$AF$303=R114)*('Loan Tape'!$E$4:$E$303='Deal Strat'!$C$12))*'Loan Tape'!$AI$4:$AI$303*'Loan Tape'!$R$4:$R$303)/E114,"-")</f>
        <v>0.0680705466231036</v>
      </c>
      <c r="O114" s="69" t="n">
        <f aca="false">IFERROR(SUMPRODUCT((('Loan Tape'!$R$4:$R$303&lt;&gt;"")*('Loan Tape'!$AF$4:$AF$303=R114)*('Loan Tape'!$E$4:$E$303='Deal Strat'!$C$12))*'Loan Tape'!$AK$4:$AK$303*'Loan Tape'!$R$4:$R$303)/E114,"-")</f>
        <v>0.077777435722589</v>
      </c>
      <c r="P114" s="69" t="n">
        <f aca="false">IFERROR(SUMPRODUCT((('Loan Tape'!$R$4:$R$303&lt;&gt;"")*('Loan Tape'!$AF$4:$AF$303=R114)*('Loan Tape'!$E$4:$E$303='Deal Strat'!$C$12))*'Loan Tape'!$S$4:$S$303*'Loan Tape'!$R$4:$R$303)/E114,"-")</f>
        <v>0.841462496677736</v>
      </c>
      <c r="R114" s="91" t="s">
        <v>216</v>
      </c>
    </row>
    <row r="115" customFormat="false" ht="14.25" hidden="false" customHeight="false" outlineLevel="0" collapsed="false">
      <c r="B115" s="7" t="str">
        <f aca="false">R115</f>
        <v>Delinquent</v>
      </c>
      <c r="C115" s="68" t="n">
        <f aca="false">COUNTIFS('Loan Tape'!$AF$4:$AF$303,R115,'Loan Tape'!$E$4:$E$303,'Deal Strat'!$C$12)</f>
        <v>0</v>
      </c>
      <c r="D115" s="68" t="n">
        <f aca="false">SUMPRODUCT((('Loan Tape'!$R$4:$R$303&lt;&gt;"")*('Loan Tape'!$AF$4:$AF$303=R115)*('Loan Tape'!$E$4:$E$303='Deal Strat'!$C$12))*'Loan Tape'!$F$4:$F$303)</f>
        <v>0</v>
      </c>
      <c r="E115" s="84" t="n">
        <f aca="false">SUMIFS('Loan Tape'!$R$4:$R$303,'Loan Tape'!$AF$4:$AF$303,R115,'Loan Tape'!$E$4:$E$303,'Deal Strat'!$C$12)</f>
        <v>0</v>
      </c>
      <c r="F115" s="69" t="n">
        <f aca="false">IFERROR(E115/C5,0)</f>
        <v>0</v>
      </c>
      <c r="G115" s="85" t="str">
        <f aca="false">IFERROR(SUMPRODUCT((('Loan Tape'!$R$4:$R$303&lt;&gt;"")*('Loan Tape'!$AF$4:$AF$303=R115)*('Loan Tape'!$E$4:$E$303='Deal Strat'!$C$12))*'Loan Tape'!$U$4:$U$303*'Loan Tape'!$R$4:$R$303)/E115,"-")</f>
        <v>-</v>
      </c>
      <c r="H115" s="68" t="str">
        <f aca="false">IFERROR(SUMPRODUCT((('Loan Tape'!$R$4:$R$303&lt;&gt;"")*('Loan Tape'!$AF$4:$AF$303=R115)*('Loan Tape'!$E$4:$E$303='Deal Strat'!$C$12))*'Loan Tape'!$AH$4:$AH$303*'Loan Tape'!$R$4:$R$303)/E115,"-")</f>
        <v>-</v>
      </c>
      <c r="I115" s="68" t="str">
        <f aca="false">IFERROR(SUMPRODUCT((('Loan Tape'!$R$4:$R$303&lt;&gt;"")*('Loan Tape'!$AF$4:$AF$303=R115)*('Loan Tape'!$E$4:$E$303='Deal Strat'!$C$12))*(('Loan Tape'!$H$4:$H$303-$C$4)/30.4375)*'Loan Tape'!$R$4:$R$303)/E115,"-")</f>
        <v>-</v>
      </c>
      <c r="J115" s="69" t="str">
        <f aca="false">IFERROR(SUMPRODUCT((('Loan Tape'!$R$4:$R$303&lt;&gt;"")*('Loan Tape'!$AF$4:$AF$303=R115)*('Loan Tape'!$E$4:$E$303='Deal Strat'!$C$12))*('Loan Tape'!$K$4:$K$303="Floating")*'Loan Tape'!$R$4:$R$303)/E115,"-")</f>
        <v>-</v>
      </c>
      <c r="K115" s="69" t="str">
        <f aca="false">IFERROR(SUMPRODUCT((('Loan Tape'!$R$4:$R$303&lt;&gt;"")*('Loan Tape'!$AF$4:$AF$303=R115)*('Loan Tape'!$E$4:$E$303='Deal Strat'!$C$12))*'Loan Tape'!$T$4:$T$303*'Loan Tape'!$R$4:$R$303)/E115,"-")</f>
        <v>-</v>
      </c>
      <c r="L115" s="69" t="str">
        <f aca="false">IFERROR(SUMPRODUCT((('Loan Tape'!$R$4:$R$303&lt;&gt;"")*('Loan Tape'!$AF$4:$AF$303=R115)*('Loan Tape'!$E$4:$E$303='Deal Strat'!$C$12))*'Loan Tape'!$V$4:$V$303*'Loan Tape'!$R$4:$R$303)/E115,"-")</f>
        <v>-</v>
      </c>
      <c r="M115" s="69" t="str">
        <f aca="false">IFERROR(SUMPRODUCT((('Loan Tape'!$R$4:$R$303&lt;&gt;"")*('Loan Tape'!$AF$4:$AF$303=R115)*('Loan Tape'!$E$4:$E$303='Deal Strat'!$C$12))*'Loan Tape'!$W$4:$W$303*'Loan Tape'!$R$4:$R$303)/E115,"-")</f>
        <v>-</v>
      </c>
      <c r="N115" s="69" t="str">
        <f aca="false">IFERROR(SUMPRODUCT((('Loan Tape'!$R$4:$R$303&lt;&gt;"")*('Loan Tape'!$AF$4:$AF$303=R115)*('Loan Tape'!$E$4:$E$303='Deal Strat'!$C$12))*'Loan Tape'!$AI$4:$AI$303*'Loan Tape'!$R$4:$R$303)/E115,"-")</f>
        <v>-</v>
      </c>
      <c r="O115" s="69" t="str">
        <f aca="false">IFERROR(SUMPRODUCT((('Loan Tape'!$R$4:$R$303&lt;&gt;"")*('Loan Tape'!$AF$4:$AF$303=R115)*('Loan Tape'!$E$4:$E$303='Deal Strat'!$C$12))*'Loan Tape'!$AK$4:$AK$303*'Loan Tape'!$R$4:$R$303)/E115,"-")</f>
        <v>-</v>
      </c>
      <c r="P115" s="69" t="str">
        <f aca="false">IFERROR(SUMPRODUCT((('Loan Tape'!$R$4:$R$303&lt;&gt;"")*('Loan Tape'!$AF$4:$AF$303=R115)*('Loan Tape'!$E$4:$E$303='Deal Strat'!$C$12))*'Loan Tape'!$S$4:$S$303*'Loan Tape'!$R$4:$R$303)/E115,"-")</f>
        <v>-</v>
      </c>
      <c r="R115" s="91" t="s">
        <v>330</v>
      </c>
    </row>
    <row r="116" customFormat="false" ht="14.25" hidden="false" customHeight="false" outlineLevel="0" collapsed="false">
      <c r="B116" s="7" t="str">
        <f aca="false">R116</f>
        <v>Matured</v>
      </c>
      <c r="C116" s="68" t="n">
        <f aca="false">COUNTIFS('Loan Tape'!$AF$4:$AF$303,R116,'Loan Tape'!$E$4:$E$303,'Deal Strat'!$C$12)</f>
        <v>0</v>
      </c>
      <c r="D116" s="68" t="n">
        <f aca="false">SUMPRODUCT((('Loan Tape'!$R$4:$R$303&lt;&gt;"")*('Loan Tape'!$AF$4:$AF$303=R116)*('Loan Tape'!$E$4:$E$303='Deal Strat'!$C$12))*'Loan Tape'!$F$4:$F$303)</f>
        <v>0</v>
      </c>
      <c r="E116" s="84" t="n">
        <f aca="false">SUMIFS('Loan Tape'!$R$4:$R$303,'Loan Tape'!$AF$4:$AF$303,R116,'Loan Tape'!$E$4:$E$303,'Deal Strat'!$C$12)</f>
        <v>0</v>
      </c>
      <c r="F116" s="69" t="n">
        <f aca="false">IFERROR(E116/C5,0)</f>
        <v>0</v>
      </c>
      <c r="G116" s="85" t="str">
        <f aca="false">IFERROR(SUMPRODUCT((('Loan Tape'!$R$4:$R$303&lt;&gt;"")*('Loan Tape'!$AF$4:$AF$303=R116)*('Loan Tape'!$E$4:$E$303='Deal Strat'!$C$12))*'Loan Tape'!$U$4:$U$303*'Loan Tape'!$R$4:$R$303)/E116,"-")</f>
        <v>-</v>
      </c>
      <c r="H116" s="68" t="str">
        <f aca="false">IFERROR(SUMPRODUCT((('Loan Tape'!$R$4:$R$303&lt;&gt;"")*('Loan Tape'!$AF$4:$AF$303=R116)*('Loan Tape'!$E$4:$E$303='Deal Strat'!$C$12))*'Loan Tape'!$AH$4:$AH$303*'Loan Tape'!$R$4:$R$303)/E116,"-")</f>
        <v>-</v>
      </c>
      <c r="I116" s="68" t="str">
        <f aca="false">IFERROR(SUMPRODUCT((('Loan Tape'!$R$4:$R$303&lt;&gt;"")*('Loan Tape'!$AF$4:$AF$303=R116)*('Loan Tape'!$E$4:$E$303='Deal Strat'!$C$12))*(('Loan Tape'!$H$4:$H$303-$C$4)/30.4375)*'Loan Tape'!$R$4:$R$303)/E116,"-")</f>
        <v>-</v>
      </c>
      <c r="J116" s="69" t="str">
        <f aca="false">IFERROR(SUMPRODUCT((('Loan Tape'!$R$4:$R$303&lt;&gt;"")*('Loan Tape'!$AF$4:$AF$303=R116)*('Loan Tape'!$E$4:$E$303='Deal Strat'!$C$12))*('Loan Tape'!$K$4:$K$303="Floating")*'Loan Tape'!$R$4:$R$303)/E116,"-")</f>
        <v>-</v>
      </c>
      <c r="K116" s="69" t="str">
        <f aca="false">IFERROR(SUMPRODUCT((('Loan Tape'!$R$4:$R$303&lt;&gt;"")*('Loan Tape'!$AF$4:$AF$303=R116)*('Loan Tape'!$E$4:$E$303='Deal Strat'!$C$12))*'Loan Tape'!$T$4:$T$303*'Loan Tape'!$R$4:$R$303)/E116,"-")</f>
        <v>-</v>
      </c>
      <c r="L116" s="69" t="str">
        <f aca="false">IFERROR(SUMPRODUCT((('Loan Tape'!$R$4:$R$303&lt;&gt;"")*('Loan Tape'!$AF$4:$AF$303=R116)*('Loan Tape'!$E$4:$E$303='Deal Strat'!$C$12))*'Loan Tape'!$V$4:$V$303*'Loan Tape'!$R$4:$R$303)/E116,"-")</f>
        <v>-</v>
      </c>
      <c r="M116" s="69" t="str">
        <f aca="false">IFERROR(SUMPRODUCT((('Loan Tape'!$R$4:$R$303&lt;&gt;"")*('Loan Tape'!$AF$4:$AF$303=R116)*('Loan Tape'!$E$4:$E$303='Deal Strat'!$C$12))*'Loan Tape'!$W$4:$W$303*'Loan Tape'!$R$4:$R$303)/E116,"-")</f>
        <v>-</v>
      </c>
      <c r="N116" s="69" t="str">
        <f aca="false">IFERROR(SUMPRODUCT((('Loan Tape'!$R$4:$R$303&lt;&gt;"")*('Loan Tape'!$AF$4:$AF$303=R116)*('Loan Tape'!$E$4:$E$303='Deal Strat'!$C$12))*'Loan Tape'!$AI$4:$AI$303*'Loan Tape'!$R$4:$R$303)/E116,"-")</f>
        <v>-</v>
      </c>
      <c r="O116" s="69" t="str">
        <f aca="false">IFERROR(SUMPRODUCT((('Loan Tape'!$R$4:$R$303&lt;&gt;"")*('Loan Tape'!$AF$4:$AF$303=R116)*('Loan Tape'!$E$4:$E$303='Deal Strat'!$C$12))*'Loan Tape'!$AK$4:$AK$303*'Loan Tape'!$R$4:$R$303)/E116,"-")</f>
        <v>-</v>
      </c>
      <c r="P116" s="69" t="str">
        <f aca="false">IFERROR(SUMPRODUCT((('Loan Tape'!$R$4:$R$303&lt;&gt;"")*('Loan Tape'!$AF$4:$AF$303=R116)*('Loan Tape'!$E$4:$E$303='Deal Strat'!$C$12))*'Loan Tape'!$S$4:$S$303*'Loan Tape'!$R$4:$R$303)/E116,"-")</f>
        <v>-</v>
      </c>
      <c r="R116" s="91" t="s">
        <v>240</v>
      </c>
    </row>
    <row r="117" customFormat="false" ht="14.25" hidden="false" customHeight="false" outlineLevel="0" collapsed="false">
      <c r="B117" s="7" t="str">
        <f aca="false">R117</f>
        <v>REO</v>
      </c>
      <c r="C117" s="68" t="n">
        <f aca="false">COUNTIFS('Loan Tape'!$AF$4:$AF$303,R117,'Loan Tape'!$E$4:$E$303,'Deal Strat'!$C$12)</f>
        <v>0</v>
      </c>
      <c r="D117" s="68" t="n">
        <f aca="false">SUMPRODUCT((('Loan Tape'!$R$4:$R$303&lt;&gt;"")*('Loan Tape'!$AF$4:$AF$303=R117)*('Loan Tape'!$E$4:$E$303='Deal Strat'!$C$12))*'Loan Tape'!$F$4:$F$303)</f>
        <v>0</v>
      </c>
      <c r="E117" s="84" t="n">
        <f aca="false">SUMIFS('Loan Tape'!$R$4:$R$303,'Loan Tape'!$AF$4:$AF$303,R117,'Loan Tape'!$E$4:$E$303,'Deal Strat'!$C$12)</f>
        <v>0</v>
      </c>
      <c r="F117" s="69" t="n">
        <f aca="false">IFERROR(E117/C5,0)</f>
        <v>0</v>
      </c>
      <c r="G117" s="85" t="str">
        <f aca="false">IFERROR(SUMPRODUCT((('Loan Tape'!$R$4:$R$303&lt;&gt;"")*('Loan Tape'!$AF$4:$AF$303=R117)*('Loan Tape'!$E$4:$E$303='Deal Strat'!$C$12))*'Loan Tape'!$U$4:$U$303*'Loan Tape'!$R$4:$R$303)/E117,"-")</f>
        <v>-</v>
      </c>
      <c r="H117" s="68" t="str">
        <f aca="false">IFERROR(SUMPRODUCT((('Loan Tape'!$R$4:$R$303&lt;&gt;"")*('Loan Tape'!$AF$4:$AF$303=R117)*('Loan Tape'!$E$4:$E$303='Deal Strat'!$C$12))*'Loan Tape'!$AH$4:$AH$303*'Loan Tape'!$R$4:$R$303)/E117,"-")</f>
        <v>-</v>
      </c>
      <c r="I117" s="68" t="str">
        <f aca="false">IFERROR(SUMPRODUCT((('Loan Tape'!$R$4:$R$303&lt;&gt;"")*('Loan Tape'!$AF$4:$AF$303=R117)*('Loan Tape'!$E$4:$E$303='Deal Strat'!$C$12))*(('Loan Tape'!$H$4:$H$303-$C$4)/30.4375)*'Loan Tape'!$R$4:$R$303)/E117,"-")</f>
        <v>-</v>
      </c>
      <c r="J117" s="69" t="str">
        <f aca="false">IFERROR(SUMPRODUCT((('Loan Tape'!$R$4:$R$303&lt;&gt;"")*('Loan Tape'!$AF$4:$AF$303=R117)*('Loan Tape'!$E$4:$E$303='Deal Strat'!$C$12))*('Loan Tape'!$K$4:$K$303="Floating")*'Loan Tape'!$R$4:$R$303)/E117,"-")</f>
        <v>-</v>
      </c>
      <c r="K117" s="69" t="str">
        <f aca="false">IFERROR(SUMPRODUCT((('Loan Tape'!$R$4:$R$303&lt;&gt;"")*('Loan Tape'!$AF$4:$AF$303=R117)*('Loan Tape'!$E$4:$E$303='Deal Strat'!$C$12))*'Loan Tape'!$T$4:$T$303*'Loan Tape'!$R$4:$R$303)/E117,"-")</f>
        <v>-</v>
      </c>
      <c r="L117" s="69" t="str">
        <f aca="false">IFERROR(SUMPRODUCT((('Loan Tape'!$R$4:$R$303&lt;&gt;"")*('Loan Tape'!$AF$4:$AF$303=R117)*('Loan Tape'!$E$4:$E$303='Deal Strat'!$C$12))*'Loan Tape'!$V$4:$V$303*'Loan Tape'!$R$4:$R$303)/E117,"-")</f>
        <v>-</v>
      </c>
      <c r="M117" s="69" t="str">
        <f aca="false">IFERROR(SUMPRODUCT((('Loan Tape'!$R$4:$R$303&lt;&gt;"")*('Loan Tape'!$AF$4:$AF$303=R117)*('Loan Tape'!$E$4:$E$303='Deal Strat'!$C$12))*'Loan Tape'!$W$4:$W$303*'Loan Tape'!$R$4:$R$303)/E117,"-")</f>
        <v>-</v>
      </c>
      <c r="N117" s="69" t="str">
        <f aca="false">IFERROR(SUMPRODUCT((('Loan Tape'!$R$4:$R$303&lt;&gt;"")*('Loan Tape'!$AF$4:$AF$303=R117)*('Loan Tape'!$E$4:$E$303='Deal Strat'!$C$12))*'Loan Tape'!$AI$4:$AI$303*'Loan Tape'!$R$4:$R$303)/E117,"-")</f>
        <v>-</v>
      </c>
      <c r="O117" s="69" t="str">
        <f aca="false">IFERROR(SUMPRODUCT((('Loan Tape'!$R$4:$R$303&lt;&gt;"")*('Loan Tape'!$AF$4:$AF$303=R117)*('Loan Tape'!$E$4:$E$303='Deal Strat'!$C$12))*'Loan Tape'!$AK$4:$AK$303*'Loan Tape'!$R$4:$R$303)/E117,"-")</f>
        <v>-</v>
      </c>
      <c r="P117" s="69" t="str">
        <f aca="false">IFERROR(SUMPRODUCT((('Loan Tape'!$R$4:$R$303&lt;&gt;"")*('Loan Tape'!$AF$4:$AF$303=R117)*('Loan Tape'!$E$4:$E$303='Deal Strat'!$C$12))*'Loan Tape'!$S$4:$S$303*'Loan Tape'!$R$4:$R$303)/E117,"-")</f>
        <v>-</v>
      </c>
      <c r="R117" s="91" t="s">
        <v>333</v>
      </c>
    </row>
    <row r="118" customFormat="false" ht="14.25" hidden="false" customHeight="false" outlineLevel="0" collapsed="false">
      <c r="B118" s="7" t="s">
        <v>407</v>
      </c>
      <c r="C118" s="68" t="n">
        <f aca="false">C6-SUM(C114:C117)</f>
        <v>0</v>
      </c>
      <c r="D118" s="68" t="n">
        <f aca="false">SUMPRODUCT(('Loan Tape'!$E$4:$E$303='Deal Strat'!$C$12)*'Loan Tape'!$F$4:$F$303)-SUM(D114:D117)</f>
        <v>0</v>
      </c>
      <c r="E118" s="84" t="n">
        <f aca="false">C5-SUM(E114:E117)</f>
        <v>0</v>
      </c>
      <c r="F118" s="69" t="n">
        <f aca="false">IFERROR(E118/C5,0)</f>
        <v>0</v>
      </c>
      <c r="G118" s="85" t="str">
        <f aca="false">IFERROR(SUMPRODUCT((('Loan Tape'!$R$4:$R$303&lt;&gt;"")*(1-(('Loan Tape'!$AF$4:$AF$303=R114)+('Loan Tape'!$AF$4:$AF$303=R115)+('Loan Tape'!$AF$4:$AF$303=R116)+('Loan Tape'!$AF$4:$AF$303=R117)))*('Loan Tape'!$E$4:$E$303='Deal Strat'!$C$12))*'Loan Tape'!$U$4:$U$303*'Loan Tape'!$R$4:$R$303)/E118,"-")</f>
        <v>-</v>
      </c>
      <c r="H118" s="68" t="str">
        <f aca="false">IFERROR(SUMPRODUCT((('Loan Tape'!$R$4:$R$303&lt;&gt;"")*(1-(('Loan Tape'!$AF$4:$AF$303=R114)+('Loan Tape'!$AF$4:$AF$303=R115)+('Loan Tape'!$AF$4:$AF$303=R116)+('Loan Tape'!$AF$4:$AF$303=R117)))*('Loan Tape'!$E$4:$E$303='Deal Strat'!$C$12))*'Loan Tape'!$AH$4:$AH$303*'Loan Tape'!$R$4:$R$303)/E118,"-")</f>
        <v>-</v>
      </c>
      <c r="I118" s="68" t="str">
        <f aca="false">IFERROR(SUMPRODUCT((('Loan Tape'!$R$4:$R$303&lt;&gt;"")*(1-(('Loan Tape'!$AF$4:$AF$303=R114)+('Loan Tape'!$AF$4:$AF$303=R115)+('Loan Tape'!$AF$4:$AF$303=R116)+('Loan Tape'!$AF$4:$AF$303=R117)))*('Loan Tape'!$E$4:$E$303='Deal Strat'!$C$12))*(('Loan Tape'!$H$4:$H$303-$C$4)/30.4375)*'Loan Tape'!$R$4:$R$303)/E118,"-")</f>
        <v>-</v>
      </c>
      <c r="J118" s="69" t="str">
        <f aca="false">IFERROR(SUMPRODUCT((('Loan Tape'!$R$4:$R$303&lt;&gt;"")*(1-(('Loan Tape'!$AF$4:$AF$303=R114)+('Loan Tape'!$AF$4:$AF$303=R115)+('Loan Tape'!$AF$4:$AF$303=R116)+('Loan Tape'!$AF$4:$AF$303=R117)))*('Loan Tape'!$E$4:$E$303='Deal Strat'!$C$12))*('Loan Tape'!$K$4:$K$303="Floating")*'Loan Tape'!$R$4:$R$303)/E118,"-")</f>
        <v>-</v>
      </c>
      <c r="K118" s="69" t="str">
        <f aca="false">IFERROR(SUMPRODUCT((('Loan Tape'!$R$4:$R$303&lt;&gt;"")*(1-(('Loan Tape'!$AF$4:$AF$303=R114)+('Loan Tape'!$AF$4:$AF$303=R115)+('Loan Tape'!$AF$4:$AF$303=R116)+('Loan Tape'!$AF$4:$AF$303=R117)))*('Loan Tape'!$E$4:$E$303='Deal Strat'!$C$12))*'Loan Tape'!$T$4:$T$303*'Loan Tape'!$R$4:$R$303)/E118,"-")</f>
        <v>-</v>
      </c>
      <c r="L118" s="69" t="str">
        <f aca="false">IFERROR(SUMPRODUCT((('Loan Tape'!$R$4:$R$303&lt;&gt;"")*(1-(('Loan Tape'!$AF$4:$AF$303=R114)+('Loan Tape'!$AF$4:$AF$303=R115)+('Loan Tape'!$AF$4:$AF$303=R116)+('Loan Tape'!$AF$4:$AF$303=R117)))*('Loan Tape'!$E$4:$E$303='Deal Strat'!$C$12))*'Loan Tape'!$V$4:$V$303*'Loan Tape'!$R$4:$R$303)/E118,"-")</f>
        <v>-</v>
      </c>
      <c r="M118" s="69" t="str">
        <f aca="false">IFERROR(SUMPRODUCT((('Loan Tape'!$R$4:$R$303&lt;&gt;"")*(1-(('Loan Tape'!$AF$4:$AF$303=R114)+('Loan Tape'!$AF$4:$AF$303=R115)+('Loan Tape'!$AF$4:$AF$303=R116)+('Loan Tape'!$AF$4:$AF$303=R117)))*('Loan Tape'!$E$4:$E$303='Deal Strat'!$C$12))*'Loan Tape'!$W$4:$W$303*'Loan Tape'!$R$4:$R$303)/E118,"-")</f>
        <v>-</v>
      </c>
      <c r="N118" s="69" t="str">
        <f aca="false">IFERROR(SUMPRODUCT((('Loan Tape'!$R$4:$R$303&lt;&gt;"")*(1-(('Loan Tape'!$AF$4:$AF$303=R114)+('Loan Tape'!$AF$4:$AF$303=R115)+('Loan Tape'!$AF$4:$AF$303=R116)+('Loan Tape'!$AF$4:$AF$303=R117)))*('Loan Tape'!$E$4:$E$303='Deal Strat'!$C$12))*'Loan Tape'!$AI$4:$AI$303*'Loan Tape'!$R$4:$R$303)/E118,"-")</f>
        <v>-</v>
      </c>
      <c r="O118" s="69" t="str">
        <f aca="false">IFERROR(SUMPRODUCT((('Loan Tape'!$R$4:$R$303&lt;&gt;"")*(1-(('Loan Tape'!$AF$4:$AF$303=R114)+('Loan Tape'!$AF$4:$AF$303=R115)+('Loan Tape'!$AF$4:$AF$303=R116)+('Loan Tape'!$AF$4:$AF$303=R117)))*('Loan Tape'!$E$4:$E$303='Deal Strat'!$C$12))*'Loan Tape'!$AK$4:$AK$303*'Loan Tape'!$R$4:$R$303)/E118,"-")</f>
        <v>-</v>
      </c>
      <c r="P118" s="69" t="str">
        <f aca="false">IFERROR(SUMPRODUCT((('Loan Tape'!$R$4:$R$303&lt;&gt;"")*(1-(('Loan Tape'!$AF$4:$AF$303=R114)+('Loan Tape'!$AF$4:$AF$303=R115)+('Loan Tape'!$AF$4:$AF$303=R116)+('Loan Tape'!$AF$4:$AF$303=R117)))*('Loan Tape'!$E$4:$E$303='Deal Strat'!$C$12))*'Loan Tape'!$S$4:$S$303*'Loan Tape'!$R$4:$R$303)/E118,"-")</f>
        <v>-</v>
      </c>
    </row>
    <row r="119" customFormat="false" ht="14.25" hidden="false" customHeight="false" outlineLevel="0" collapsed="false">
      <c r="B119" s="86" t="s">
        <v>405</v>
      </c>
      <c r="C119" s="92" t="n">
        <f aca="false">C6</f>
        <v>5</v>
      </c>
      <c r="D119" s="92" t="n">
        <f aca="false">SUMPRODUCT(('Loan Tape'!$E$4:$E$303='Deal Strat'!$C$12)*'Loan Tape'!$F$4:$F$303)</f>
        <v>593</v>
      </c>
      <c r="E119" s="88" t="n">
        <f aca="false">C5</f>
        <v>372487000</v>
      </c>
      <c r="F119" s="89" t="n">
        <f aca="false">1</f>
        <v>1</v>
      </c>
      <c r="G119" s="90" t="n">
        <f aca="false">IFERROR(SUMPRODUCT((('Loan Tape'!$R$4:$R$303&lt;&gt;"")*('Loan Tape'!$E$4:$E$303='Deal Strat'!$C$12))*'Loan Tape'!$U$4:$U$303*'Loan Tape'!$R$4:$R$303)/E119,"-")</f>
        <v>1.46286165691689</v>
      </c>
      <c r="H119" s="92" t="n">
        <f aca="false">IFERROR(SUMPRODUCT((('Loan Tape'!$R$4:$R$303&lt;&gt;"")*('Loan Tape'!$E$4:$E$303='Deal Strat'!$C$12))*'Loan Tape'!$AH$4:$AH$303*'Loan Tape'!$R$4:$R$303)/E119,"-")</f>
        <v>100.401133462376</v>
      </c>
      <c r="I119" s="92" t="n">
        <f aca="false">IFERROR(SUMPRODUCT((('Loan Tape'!$R$4:$R$303&lt;&gt;"")*('Loan Tape'!$E$4:$E$303='Deal Strat'!$C$12))*(('Loan Tape'!$H$4:$H$303-$C$4)/30.4375)*'Loan Tape'!$R$4:$R$303)/E119,"-")</f>
        <v>4.02239639370792</v>
      </c>
      <c r="J119" s="89" t="n">
        <f aca="false">IFERROR(SUMPRODUCT((('Loan Tape'!$R$4:$R$303&lt;&gt;"")*('Loan Tape'!$E$4:$E$303='Deal Strat'!$C$12))*('Loan Tape'!$K$4:$K$303="Floating")*'Loan Tape'!$R$4:$R$303)/E119,"-")</f>
        <v>0.64712593996569</v>
      </c>
      <c r="K119" s="89" t="n">
        <f aca="false">IFERROR(SUMPRODUCT((('Loan Tape'!$R$4:$R$303&lt;&gt;"")*('Loan Tape'!$E$4:$E$303='Deal Strat'!$C$12))*'Loan Tape'!$T$4:$T$303*'Loan Tape'!$R$4:$R$303)/E119,"-")</f>
        <v>0.0853727877751438</v>
      </c>
      <c r="L119" s="89" t="n">
        <f aca="false">IFERROR(SUMPRODUCT((('Loan Tape'!$R$4:$R$303&lt;&gt;"")*('Loan Tape'!$E$4:$E$303='Deal Strat'!$C$12))*'Loan Tape'!$V$4:$V$303*'Loan Tape'!$R$4:$R$303)/E119,"-")</f>
        <v>0.69021042345102</v>
      </c>
      <c r="M119" s="89" t="n">
        <f aca="false">IFERROR(SUMPRODUCT((('Loan Tape'!$R$4:$R$303&lt;&gt;"")*('Loan Tape'!$E$4:$E$303='Deal Strat'!$C$12))*'Loan Tape'!$W$4:$W$303*'Loan Tape'!$R$4:$R$303)/E119,"-")</f>
        <v>0.727922306013364</v>
      </c>
      <c r="N119" s="89" t="n">
        <f aca="false">IFERROR(SUMPRODUCT((('Loan Tape'!$R$4:$R$303&lt;&gt;"")*('Loan Tape'!$E$4:$E$303='Deal Strat'!$C$12))*'Loan Tape'!$AI$4:$AI$303*'Loan Tape'!$R$4:$R$303)/E119,"-")</f>
        <v>0.0680705466231036</v>
      </c>
      <c r="O119" s="89" t="n">
        <f aca="false">IFERROR(SUMPRODUCT((('Loan Tape'!$R$4:$R$303&lt;&gt;"")*('Loan Tape'!$E$4:$E$303='Deal Strat'!$C$12))*'Loan Tape'!$AK$4:$AK$303*'Loan Tape'!$R$4:$R$303)/E119,"-")</f>
        <v>0.077777435722589</v>
      </c>
      <c r="P119" s="89" t="n">
        <f aca="false">IFERROR(SUMPRODUCT((('Loan Tape'!$R$4:$R$303&lt;&gt;"")*('Loan Tape'!$E$4:$E$303='Deal Strat'!$C$12))*'Loan Tape'!$S$4:$S$303*'Loan Tape'!$R$4:$R$303)/E119,"-")</f>
        <v>0.841462496677736</v>
      </c>
    </row>
    <row r="121" customFormat="false" ht="19.5" hidden="false" customHeight="true" outlineLevel="0" collapsed="false">
      <c r="B121" s="5" t="s">
        <v>417</v>
      </c>
      <c r="C121" s="5"/>
      <c r="D121" s="5"/>
      <c r="E121" s="5"/>
      <c r="F121" s="5"/>
      <c r="G121" s="5"/>
      <c r="H121" s="5"/>
      <c r="I121" s="5"/>
      <c r="J121" s="5"/>
      <c r="K121" s="5"/>
      <c r="L121" s="5"/>
      <c r="M121" s="5"/>
      <c r="N121" s="5"/>
      <c r="O121" s="5"/>
      <c r="P121" s="5"/>
    </row>
    <row r="122" customFormat="false" ht="42" hidden="false" customHeight="true" outlineLevel="0" collapsed="false">
      <c r="B122" s="82" t="s">
        <v>392</v>
      </c>
      <c r="C122" s="83" t="s">
        <v>368</v>
      </c>
      <c r="D122" s="83" t="s">
        <v>153</v>
      </c>
      <c r="E122" s="83" t="s">
        <v>393</v>
      </c>
      <c r="F122" s="83" t="s">
        <v>394</v>
      </c>
      <c r="G122" s="83" t="s">
        <v>395</v>
      </c>
      <c r="H122" s="83" t="s">
        <v>396</v>
      </c>
      <c r="I122" s="83" t="s">
        <v>397</v>
      </c>
      <c r="J122" s="83" t="s">
        <v>398</v>
      </c>
      <c r="K122" s="83" t="s">
        <v>399</v>
      </c>
      <c r="L122" s="83" t="s">
        <v>400</v>
      </c>
      <c r="M122" s="83" t="s">
        <v>401</v>
      </c>
      <c r="N122" s="83" t="s">
        <v>402</v>
      </c>
      <c r="O122" s="83" t="s">
        <v>403</v>
      </c>
      <c r="P122" s="83" t="s">
        <v>365</v>
      </c>
    </row>
    <row r="123" customFormat="false" ht="14.25" hidden="false" customHeight="false" outlineLevel="0" collapsed="false">
      <c r="B123" s="7" t="str">
        <f aca="false">R123</f>
        <v>Interest Only</v>
      </c>
      <c r="C123" s="68" t="n">
        <f aca="false">COUNTIFS('Loan Tape'!$Z$4:$Z$303,R123,'Loan Tape'!$E$4:$E$303,'Deal Strat'!$C$12)</f>
        <v>1</v>
      </c>
      <c r="D123" s="68" t="n">
        <f aca="false">SUMPRODUCT((('Loan Tape'!$R$4:$R$303&lt;&gt;"")*('Loan Tape'!$Z$4:$Z$303=R123)*('Loan Tape'!$E$4:$E$303='Deal Strat'!$C$12))*'Loan Tape'!$F$4:$F$303)</f>
        <v>0</v>
      </c>
      <c r="E123" s="84" t="n">
        <f aca="false">SUMIFS('Loan Tape'!$R$4:$R$303,'Loan Tape'!$Z$4:$Z$303,R123,'Loan Tape'!$E$4:$E$303,'Deal Strat'!$C$12)</f>
        <v>120313000</v>
      </c>
      <c r="F123" s="69" t="n">
        <f aca="false">IFERROR(E123/C5,0)</f>
        <v>0.322999191918107</v>
      </c>
      <c r="G123" s="85" t="n">
        <f aca="false">IFERROR(SUMPRODUCT((('Loan Tape'!$R$4:$R$303&lt;&gt;"")*('Loan Tape'!$Z$4:$Z$303=R123)*('Loan Tape'!$E$4:$E$303='Deal Strat'!$C$12))*'Loan Tape'!$U$4:$U$303*'Loan Tape'!$R$4:$R$303)/E123,"-")</f>
        <v>1.38</v>
      </c>
      <c r="H123" s="68" t="n">
        <f aca="false">IFERROR(SUMPRODUCT((('Loan Tape'!$R$4:$R$303&lt;&gt;"")*('Loan Tape'!$Z$4:$Z$303=R123)*('Loan Tape'!$E$4:$E$303='Deal Strat'!$C$12))*'Loan Tape'!$AH$4:$AH$303*'Loan Tape'!$R$4:$R$303)/E123,"-")</f>
        <v>100</v>
      </c>
      <c r="I123" s="68" t="n">
        <f aca="false">IFERROR(SUMPRODUCT((('Loan Tape'!$R$4:$R$303&lt;&gt;"")*('Loan Tape'!$Z$4:$Z$303=R123)*('Loan Tape'!$E$4:$E$303='Deal Strat'!$C$12))*(('Loan Tape'!$H$4:$H$303-$C$4)/30.4375)*'Loan Tape'!$R$4:$R$303)/E123,"-")</f>
        <v>20.041067761807</v>
      </c>
      <c r="J123" s="69" t="n">
        <f aca="false">IFERROR(SUMPRODUCT((('Loan Tape'!$R$4:$R$303&lt;&gt;"")*('Loan Tape'!$Z$4:$Z$303=R123)*('Loan Tape'!$E$4:$E$303='Deal Strat'!$C$12))*('Loan Tape'!$K$4:$K$303="Floating")*'Loan Tape'!$R$4:$R$303)/E123,"-")</f>
        <v>1</v>
      </c>
      <c r="K123" s="69" t="n">
        <f aca="false">IFERROR(SUMPRODUCT((('Loan Tape'!$R$4:$R$303&lt;&gt;"")*('Loan Tape'!$Z$4:$Z$303=R123)*('Loan Tape'!$E$4:$E$303='Deal Strat'!$C$12))*'Loan Tape'!$T$4:$T$303*'Loan Tape'!$R$4:$R$303)/E123,"-")</f>
        <v>0.0814</v>
      </c>
      <c r="L123" s="69" t="n">
        <f aca="false">IFERROR(SUMPRODUCT((('Loan Tape'!$R$4:$R$303&lt;&gt;"")*('Loan Tape'!$Z$4:$Z$303=R123)*('Loan Tape'!$E$4:$E$303='Deal Strat'!$C$12))*'Loan Tape'!$V$4:$V$303*'Loan Tape'!$R$4:$R$303)/E123,"-")</f>
        <v>0.663</v>
      </c>
      <c r="M123" s="69" t="n">
        <f aca="false">IFERROR(SUMPRODUCT((('Loan Tape'!$R$4:$R$303&lt;&gt;"")*('Loan Tape'!$Z$4:$Z$303=R123)*('Loan Tape'!$E$4:$E$303='Deal Strat'!$C$12))*'Loan Tape'!$W$4:$W$303*'Loan Tape'!$R$4:$R$303)/E123,"-")</f>
        <v>0.69</v>
      </c>
      <c r="N123" s="69" t="n">
        <f aca="false">IFERROR(SUMPRODUCT((('Loan Tape'!$R$4:$R$303&lt;&gt;"")*('Loan Tape'!$Z$4:$Z$303=R123)*('Loan Tape'!$E$4:$E$303='Deal Strat'!$C$12))*'Loan Tape'!$AI$4:$AI$303*'Loan Tape'!$R$4:$R$303)/E123,"-")</f>
        <v>0.083</v>
      </c>
      <c r="O123" s="69" t="n">
        <f aca="false">IFERROR(SUMPRODUCT((('Loan Tape'!$R$4:$R$303&lt;&gt;"")*('Loan Tape'!$Z$4:$Z$303=R123)*('Loan Tape'!$E$4:$E$303='Deal Strat'!$C$12))*'Loan Tape'!$AK$4:$AK$303*'Loan Tape'!$R$4:$R$303)/E123,"-")</f>
        <v>0.098</v>
      </c>
      <c r="P123" s="69" t="n">
        <f aca="false">IFERROR(SUMPRODUCT((('Loan Tape'!$R$4:$R$303&lt;&gt;"")*('Loan Tape'!$Z$4:$Z$303=R123)*('Loan Tape'!$E$4:$E$303='Deal Strat'!$C$12))*'Loan Tape'!$S$4:$S$303*'Loan Tape'!$R$4:$R$303)/E123,"-")</f>
        <v>0.784</v>
      </c>
      <c r="R123" s="91" t="s">
        <v>247</v>
      </c>
    </row>
    <row r="124" customFormat="false" ht="14.25" hidden="false" customHeight="false" outlineLevel="0" collapsed="false">
      <c r="B124" s="7" t="str">
        <f aca="false">R124</f>
        <v>Partial IO</v>
      </c>
      <c r="C124" s="68" t="n">
        <f aca="false">COUNTIFS('Loan Tape'!$Z$4:$Z$303,R124,'Loan Tape'!$E$4:$E$303,'Deal Strat'!$C$12)</f>
        <v>1</v>
      </c>
      <c r="D124" s="68" t="n">
        <f aca="false">SUMPRODUCT((('Loan Tape'!$R$4:$R$303&lt;&gt;"")*('Loan Tape'!$Z$4:$Z$303=R124)*('Loan Tape'!$E$4:$E$303='Deal Strat'!$C$12))*'Loan Tape'!$F$4:$F$303)</f>
        <v>184</v>
      </c>
      <c r="E124" s="84" t="n">
        <f aca="false">SUMIFS('Loan Tape'!$R$4:$R$303,'Loan Tape'!$Z$4:$Z$303,R124,'Loan Tape'!$E$4:$E$303,'Deal Strat'!$C$12)</f>
        <v>63125000</v>
      </c>
      <c r="F124" s="69" t="n">
        <f aca="false">IFERROR(E124/C5,0)</f>
        <v>0.169469001602741</v>
      </c>
      <c r="G124" s="85" t="n">
        <f aca="false">IFERROR(SUMPRODUCT((('Loan Tape'!$R$4:$R$303&lt;&gt;"")*('Loan Tape'!$Z$4:$Z$303=R124)*('Loan Tape'!$E$4:$E$303='Deal Strat'!$C$12))*'Loan Tape'!$U$4:$U$303*'Loan Tape'!$R$4:$R$303)/E124,"-")</f>
        <v>1.5</v>
      </c>
      <c r="H124" s="68" t="n">
        <f aca="false">IFERROR(SUMPRODUCT((('Loan Tape'!$R$4:$R$303&lt;&gt;"")*('Loan Tape'!$Z$4:$Z$303=R124)*('Loan Tape'!$E$4:$E$303='Deal Strat'!$C$12))*'Loan Tape'!$AH$4:$AH$303*'Loan Tape'!$R$4:$R$303)/E124,"-")</f>
        <v>103</v>
      </c>
      <c r="I124" s="68" t="n">
        <f aca="false">IFERROR(SUMPRODUCT((('Loan Tape'!$R$4:$R$303&lt;&gt;"")*('Loan Tape'!$Z$4:$Z$303=R124)*('Loan Tape'!$E$4:$E$303='Deal Strat'!$C$12))*(('Loan Tape'!$H$4:$H$303-$C$4)/30.4375)*'Loan Tape'!$R$4:$R$303)/E124,"-")</f>
        <v>17.0184804928131</v>
      </c>
      <c r="J124" s="69" t="n">
        <f aca="false">IFERROR(SUMPRODUCT((('Loan Tape'!$R$4:$R$303&lt;&gt;"")*('Loan Tape'!$Z$4:$Z$303=R124)*('Loan Tape'!$E$4:$E$303='Deal Strat'!$C$12))*('Loan Tape'!$K$4:$K$303="Floating")*'Loan Tape'!$R$4:$R$303)/E124,"-")</f>
        <v>1</v>
      </c>
      <c r="K124" s="69" t="n">
        <f aca="false">IFERROR(SUMPRODUCT((('Loan Tape'!$R$4:$R$303&lt;&gt;"")*('Loan Tape'!$Z$4:$Z$303=R124)*('Loan Tape'!$E$4:$E$303='Deal Strat'!$C$12))*'Loan Tape'!$T$4:$T$303*'Loan Tape'!$R$4:$R$303)/E124,"-")</f>
        <v>0.0745</v>
      </c>
      <c r="L124" s="69" t="n">
        <f aca="false">IFERROR(SUMPRODUCT((('Loan Tape'!$R$4:$R$303&lt;&gt;"")*('Loan Tape'!$Z$4:$Z$303=R124)*('Loan Tape'!$E$4:$E$303='Deal Strat'!$C$12))*'Loan Tape'!$V$4:$V$303*'Loan Tape'!$R$4:$R$303)/E124,"-")</f>
        <v>0.583</v>
      </c>
      <c r="M124" s="69" t="n">
        <f aca="false">IFERROR(SUMPRODUCT((('Loan Tape'!$R$4:$R$303&lt;&gt;"")*('Loan Tape'!$Z$4:$Z$303=R124)*('Loan Tape'!$E$4:$E$303='Deal Strat'!$C$12))*'Loan Tape'!$W$4:$W$303*'Loan Tape'!$R$4:$R$303)/E124,"-")</f>
        <v>0.613</v>
      </c>
      <c r="N124" s="69" t="n">
        <f aca="false">IFERROR(SUMPRODUCT((('Loan Tape'!$R$4:$R$303&lt;&gt;"")*('Loan Tape'!$Z$4:$Z$303=R124)*('Loan Tape'!$E$4:$E$303='Deal Strat'!$C$12))*'Loan Tape'!$AI$4:$AI$303*'Loan Tape'!$R$4:$R$303)/E124,"-")</f>
        <v>0.0649</v>
      </c>
      <c r="O124" s="69" t="n">
        <f aca="false">IFERROR(SUMPRODUCT((('Loan Tape'!$R$4:$R$303&lt;&gt;"")*('Loan Tape'!$Z$4:$Z$303=R124)*('Loan Tape'!$E$4:$E$303='Deal Strat'!$C$12))*'Loan Tape'!$AK$4:$AK$303*'Loan Tape'!$R$4:$R$303)/E124,"-")</f>
        <v>0.0799</v>
      </c>
      <c r="P124" s="69" t="n">
        <f aca="false">IFERROR(SUMPRODUCT((('Loan Tape'!$R$4:$R$303&lt;&gt;"")*('Loan Tape'!$Z$4:$Z$303=R124)*('Loan Tape'!$E$4:$E$303='Deal Strat'!$C$12))*'Loan Tape'!$S$4:$S$303*'Loan Tape'!$R$4:$R$303)/E124,"-")</f>
        <v>0.817</v>
      </c>
      <c r="R124" s="91" t="s">
        <v>211</v>
      </c>
    </row>
    <row r="125" customFormat="false" ht="14.25" hidden="false" customHeight="false" outlineLevel="0" collapsed="false">
      <c r="B125" s="7" t="str">
        <f aca="false">R125</f>
        <v>Full Amortizing</v>
      </c>
      <c r="C125" s="68" t="n">
        <f aca="false">COUNTIFS('Loan Tape'!$Z$4:$Z$303,R125,'Loan Tape'!$E$4:$E$303,'Deal Strat'!$C$12)</f>
        <v>3</v>
      </c>
      <c r="D125" s="68" t="n">
        <f aca="false">SUMPRODUCT((('Loan Tape'!$R$4:$R$303&lt;&gt;"")*('Loan Tape'!$Z$4:$Z$303=R125)*('Loan Tape'!$E$4:$E$303='Deal Strat'!$C$12))*'Loan Tape'!$F$4:$F$303)</f>
        <v>409</v>
      </c>
      <c r="E125" s="84" t="n">
        <f aca="false">SUMIFS('Loan Tape'!$R$4:$R$303,'Loan Tape'!$Z$4:$Z$303,R125,'Loan Tape'!$E$4:$E$303,'Deal Strat'!$C$12)</f>
        <v>189049000</v>
      </c>
      <c r="F125" s="69" t="n">
        <f aca="false">IFERROR(E125/C5,0)</f>
        <v>0.507531806479152</v>
      </c>
      <c r="G125" s="85" t="n">
        <f aca="false">IFERROR(SUMPRODUCT((('Loan Tape'!$R$4:$R$303&lt;&gt;"")*('Loan Tape'!$Z$4:$Z$303=R125)*('Loan Tape'!$E$4:$E$303='Deal Strat'!$C$12))*'Loan Tape'!$U$4:$U$303*'Loan Tape'!$R$4:$R$303)/E125,"-")</f>
        <v>1.50319499177462</v>
      </c>
      <c r="H125" s="68" t="n">
        <f aca="false">IFERROR(SUMPRODUCT((('Loan Tape'!$R$4:$R$303&lt;&gt;"")*('Loan Tape'!$Z$4:$Z$303=R125)*('Loan Tape'!$E$4:$E$303='Deal Strat'!$C$12))*'Loan Tape'!$AH$4:$AH$303*'Loan Tape'!$R$4:$R$303)/E125,"-")</f>
        <v>99.7886368084465</v>
      </c>
      <c r="I125" s="68" t="n">
        <f aca="false">IFERROR(SUMPRODUCT((('Loan Tape'!$R$4:$R$303&lt;&gt;"")*('Loan Tape'!$Z$4:$Z$303=R125)*('Loan Tape'!$E$4:$E$303='Deal Strat'!$C$12))*(('Loan Tape'!$H$4:$H$303-$C$4)/30.4375)*'Loan Tape'!$R$4:$R$303)/E125,"-")</f>
        <v>-10.5115721386097</v>
      </c>
      <c r="J125" s="69" t="n">
        <f aca="false">IFERROR(SUMPRODUCT((('Loan Tape'!$R$4:$R$303&lt;&gt;"")*('Loan Tape'!$Z$4:$Z$303=R125)*('Loan Tape'!$E$4:$E$303='Deal Strat'!$C$12))*('Loan Tape'!$K$4:$K$303="Floating")*'Loan Tape'!$R$4:$R$303)/E125,"-")</f>
        <v>0.304725229966834</v>
      </c>
      <c r="K125" s="69" t="n">
        <f aca="false">IFERROR(SUMPRODUCT((('Loan Tape'!$R$4:$R$303&lt;&gt;"")*('Loan Tape'!$Z$4:$Z$303=R125)*('Loan Tape'!$E$4:$E$303='Deal Strat'!$C$12))*'Loan Tape'!$T$4:$T$303*'Loan Tape'!$R$4:$R$303)/E125,"-")</f>
        <v>0.0915316288369682</v>
      </c>
      <c r="L125" s="69" t="n">
        <f aca="false">IFERROR(SUMPRODUCT((('Loan Tape'!$R$4:$R$303&lt;&gt;"")*('Loan Tape'!$Z$4:$Z$303=R125)*('Loan Tape'!$E$4:$E$303='Deal Strat'!$C$12))*'Loan Tape'!$V$4:$V$303*'Loan Tape'!$R$4:$R$303)/E125,"-")</f>
        <v>0.743325889055219</v>
      </c>
      <c r="M125" s="69" t="n">
        <f aca="false">IFERROR(SUMPRODUCT((('Loan Tape'!$R$4:$R$303&lt;&gt;"")*('Loan Tape'!$Z$4:$Z$303=R125)*('Loan Tape'!$E$4:$E$303='Deal Strat'!$C$12))*'Loan Tape'!$W$4:$W$303*'Loan Tape'!$R$4:$R$303)/E125,"-")</f>
        <v>0.790429999629726</v>
      </c>
      <c r="N125" s="69" t="n">
        <f aca="false">IFERROR(SUMPRODUCT((('Loan Tape'!$R$4:$R$303&lt;&gt;"")*('Loan Tape'!$Z$4:$Z$303=R125)*('Loan Tape'!$E$4:$E$303='Deal Strat'!$C$12))*'Loan Tape'!$AI$4:$AI$303*'Loan Tape'!$R$4:$R$303)/E125,"-")</f>
        <v>0.0596279387883565</v>
      </c>
      <c r="O125" s="69" t="n">
        <f aca="false">IFERROR(SUMPRODUCT((('Loan Tape'!$R$4:$R$303&lt;&gt;"")*('Loan Tape'!$Z$4:$Z$303=R125)*('Loan Tape'!$E$4:$E$303='Deal Strat'!$C$12))*'Loan Tape'!$AK$4:$AK$303*'Loan Tape'!$R$4:$R$303)/E125,"-")</f>
        <v>0.064198817237859</v>
      </c>
      <c r="P125" s="69" t="n">
        <f aca="false">IFERROR(SUMPRODUCT((('Loan Tape'!$R$4:$R$303&lt;&gt;"")*('Loan Tape'!$Z$4:$Z$303=R125)*('Loan Tape'!$E$4:$E$303='Deal Strat'!$C$12))*'Loan Tape'!$S$4:$S$303*'Loan Tape'!$R$4:$R$303)/E125,"-")</f>
        <v>0.886200530021317</v>
      </c>
      <c r="R125" s="91" t="s">
        <v>253</v>
      </c>
    </row>
    <row r="126" customFormat="false" ht="14.25" hidden="false" customHeight="false" outlineLevel="0" collapsed="false">
      <c r="B126" s="7" t="s">
        <v>407</v>
      </c>
      <c r="C126" s="68" t="n">
        <f aca="false">C6-SUM(C123:C125)</f>
        <v>0</v>
      </c>
      <c r="D126" s="68" t="n">
        <f aca="false">SUMPRODUCT(('Loan Tape'!$E$4:$E$303='Deal Strat'!$C$12)*'Loan Tape'!$F$4:$F$303)-SUM(D123:D125)</f>
        <v>0</v>
      </c>
      <c r="E126" s="84" t="n">
        <f aca="false">C5-SUM(E123:E125)</f>
        <v>0</v>
      </c>
      <c r="F126" s="69" t="n">
        <f aca="false">IFERROR(E126/C5,0)</f>
        <v>0</v>
      </c>
      <c r="G126" s="85" t="str">
        <f aca="false">IFERROR(SUMPRODUCT((('Loan Tape'!$R$4:$R$303&lt;&gt;"")*(1-(('Loan Tape'!$Z$4:$Z$303=R123)+('Loan Tape'!$Z$4:$Z$303=R124)+('Loan Tape'!$Z$4:$Z$303=R125)))*('Loan Tape'!$E$4:$E$303='Deal Strat'!$C$12))*'Loan Tape'!$U$4:$U$303*'Loan Tape'!$R$4:$R$303)/E126,"-")</f>
        <v>-</v>
      </c>
      <c r="H126" s="68" t="str">
        <f aca="false">IFERROR(SUMPRODUCT((('Loan Tape'!$R$4:$R$303&lt;&gt;"")*(1-(('Loan Tape'!$Z$4:$Z$303=R123)+('Loan Tape'!$Z$4:$Z$303=R124)+('Loan Tape'!$Z$4:$Z$303=R125)))*('Loan Tape'!$E$4:$E$303='Deal Strat'!$C$12))*'Loan Tape'!$AH$4:$AH$303*'Loan Tape'!$R$4:$R$303)/E126,"-")</f>
        <v>-</v>
      </c>
      <c r="I126" s="68" t="str">
        <f aca="false">IFERROR(SUMPRODUCT((('Loan Tape'!$R$4:$R$303&lt;&gt;"")*(1-(('Loan Tape'!$Z$4:$Z$303=R123)+('Loan Tape'!$Z$4:$Z$303=R124)+('Loan Tape'!$Z$4:$Z$303=R125)))*('Loan Tape'!$E$4:$E$303='Deal Strat'!$C$12))*(('Loan Tape'!$H$4:$H$303-$C$4)/30.4375)*'Loan Tape'!$R$4:$R$303)/E126,"-")</f>
        <v>-</v>
      </c>
      <c r="J126" s="69" t="str">
        <f aca="false">IFERROR(SUMPRODUCT((('Loan Tape'!$R$4:$R$303&lt;&gt;"")*(1-(('Loan Tape'!$Z$4:$Z$303=R123)+('Loan Tape'!$Z$4:$Z$303=R124)+('Loan Tape'!$Z$4:$Z$303=R125)))*('Loan Tape'!$E$4:$E$303='Deal Strat'!$C$12))*('Loan Tape'!$K$4:$K$303="Floating")*'Loan Tape'!$R$4:$R$303)/E126,"-")</f>
        <v>-</v>
      </c>
      <c r="K126" s="69" t="str">
        <f aca="false">IFERROR(SUMPRODUCT((('Loan Tape'!$R$4:$R$303&lt;&gt;"")*(1-(('Loan Tape'!$Z$4:$Z$303=R123)+('Loan Tape'!$Z$4:$Z$303=R124)+('Loan Tape'!$Z$4:$Z$303=R125)))*('Loan Tape'!$E$4:$E$303='Deal Strat'!$C$12))*'Loan Tape'!$T$4:$T$303*'Loan Tape'!$R$4:$R$303)/E126,"-")</f>
        <v>-</v>
      </c>
      <c r="L126" s="69" t="str">
        <f aca="false">IFERROR(SUMPRODUCT((('Loan Tape'!$R$4:$R$303&lt;&gt;"")*(1-(('Loan Tape'!$Z$4:$Z$303=R123)+('Loan Tape'!$Z$4:$Z$303=R124)+('Loan Tape'!$Z$4:$Z$303=R125)))*('Loan Tape'!$E$4:$E$303='Deal Strat'!$C$12))*'Loan Tape'!$V$4:$V$303*'Loan Tape'!$R$4:$R$303)/E126,"-")</f>
        <v>-</v>
      </c>
      <c r="M126" s="69" t="str">
        <f aca="false">IFERROR(SUMPRODUCT((('Loan Tape'!$R$4:$R$303&lt;&gt;"")*(1-(('Loan Tape'!$Z$4:$Z$303=R123)+('Loan Tape'!$Z$4:$Z$303=R124)+('Loan Tape'!$Z$4:$Z$303=R125)))*('Loan Tape'!$E$4:$E$303='Deal Strat'!$C$12))*'Loan Tape'!$W$4:$W$303*'Loan Tape'!$R$4:$R$303)/E126,"-")</f>
        <v>-</v>
      </c>
      <c r="N126" s="69" t="str">
        <f aca="false">IFERROR(SUMPRODUCT((('Loan Tape'!$R$4:$R$303&lt;&gt;"")*(1-(('Loan Tape'!$Z$4:$Z$303=R123)+('Loan Tape'!$Z$4:$Z$303=R124)+('Loan Tape'!$Z$4:$Z$303=R125)))*('Loan Tape'!$E$4:$E$303='Deal Strat'!$C$12))*'Loan Tape'!$AI$4:$AI$303*'Loan Tape'!$R$4:$R$303)/E126,"-")</f>
        <v>-</v>
      </c>
      <c r="O126" s="69" t="str">
        <f aca="false">IFERROR(SUMPRODUCT((('Loan Tape'!$R$4:$R$303&lt;&gt;"")*(1-(('Loan Tape'!$Z$4:$Z$303=R123)+('Loan Tape'!$Z$4:$Z$303=R124)+('Loan Tape'!$Z$4:$Z$303=R125)))*('Loan Tape'!$E$4:$E$303='Deal Strat'!$C$12))*'Loan Tape'!$AK$4:$AK$303*'Loan Tape'!$R$4:$R$303)/E126,"-")</f>
        <v>-</v>
      </c>
      <c r="P126" s="69" t="str">
        <f aca="false">IFERROR(SUMPRODUCT((('Loan Tape'!$R$4:$R$303&lt;&gt;"")*(1-(('Loan Tape'!$Z$4:$Z$303=R123)+('Loan Tape'!$Z$4:$Z$303=R124)+('Loan Tape'!$Z$4:$Z$303=R125)))*('Loan Tape'!$E$4:$E$303='Deal Strat'!$C$12))*'Loan Tape'!$S$4:$S$303*'Loan Tape'!$R$4:$R$303)/E126,"-")</f>
        <v>-</v>
      </c>
    </row>
    <row r="127" customFormat="false" ht="14.25" hidden="false" customHeight="false" outlineLevel="0" collapsed="false">
      <c r="B127" s="86" t="s">
        <v>405</v>
      </c>
      <c r="C127" s="92" t="n">
        <f aca="false">C6</f>
        <v>5</v>
      </c>
      <c r="D127" s="92" t="n">
        <f aca="false">SUMPRODUCT(('Loan Tape'!$E$4:$E$303='Deal Strat'!$C$12)*'Loan Tape'!$F$4:$F$303)</f>
        <v>593</v>
      </c>
      <c r="E127" s="88" t="n">
        <f aca="false">C5</f>
        <v>372487000</v>
      </c>
      <c r="F127" s="89" t="n">
        <f aca="false">1</f>
        <v>1</v>
      </c>
      <c r="G127" s="90" t="n">
        <f aca="false">IFERROR(SUMPRODUCT((('Loan Tape'!$R$4:$R$303&lt;&gt;"")*('Loan Tape'!$E$4:$E$303='Deal Strat'!$C$12))*'Loan Tape'!$U$4:$U$303*'Loan Tape'!$R$4:$R$303)/E127,"-")</f>
        <v>1.46286165691689</v>
      </c>
      <c r="H127" s="92" t="n">
        <f aca="false">IFERROR(SUMPRODUCT((('Loan Tape'!$R$4:$R$303&lt;&gt;"")*('Loan Tape'!$E$4:$E$303='Deal Strat'!$C$12))*'Loan Tape'!$AH$4:$AH$303*'Loan Tape'!$R$4:$R$303)/E127,"-")</f>
        <v>100.401133462376</v>
      </c>
      <c r="I127" s="92" t="n">
        <f aca="false">IFERROR(SUMPRODUCT((('Loan Tape'!$R$4:$R$303&lt;&gt;"")*('Loan Tape'!$E$4:$E$303='Deal Strat'!$C$12))*(('Loan Tape'!$H$4:$H$303-$C$4)/30.4375)*'Loan Tape'!$R$4:$R$303)/E127,"-")</f>
        <v>4.02239639370792</v>
      </c>
      <c r="J127" s="89" t="n">
        <f aca="false">IFERROR(SUMPRODUCT((('Loan Tape'!$R$4:$R$303&lt;&gt;"")*('Loan Tape'!$E$4:$E$303='Deal Strat'!$C$12))*('Loan Tape'!$K$4:$K$303="Floating")*'Loan Tape'!$R$4:$R$303)/E127,"-")</f>
        <v>0.64712593996569</v>
      </c>
      <c r="K127" s="89" t="n">
        <f aca="false">IFERROR(SUMPRODUCT((('Loan Tape'!$R$4:$R$303&lt;&gt;"")*('Loan Tape'!$E$4:$E$303='Deal Strat'!$C$12))*'Loan Tape'!$T$4:$T$303*'Loan Tape'!$R$4:$R$303)/E127,"-")</f>
        <v>0.0853727877751438</v>
      </c>
      <c r="L127" s="89" t="n">
        <f aca="false">IFERROR(SUMPRODUCT((('Loan Tape'!$R$4:$R$303&lt;&gt;"")*('Loan Tape'!$E$4:$E$303='Deal Strat'!$C$12))*'Loan Tape'!$V$4:$V$303*'Loan Tape'!$R$4:$R$303)/E127,"-")</f>
        <v>0.69021042345102</v>
      </c>
      <c r="M127" s="89" t="n">
        <f aca="false">IFERROR(SUMPRODUCT((('Loan Tape'!$R$4:$R$303&lt;&gt;"")*('Loan Tape'!$E$4:$E$303='Deal Strat'!$C$12))*'Loan Tape'!$W$4:$W$303*'Loan Tape'!$R$4:$R$303)/E127,"-")</f>
        <v>0.727922306013364</v>
      </c>
      <c r="N127" s="89" t="n">
        <f aca="false">IFERROR(SUMPRODUCT((('Loan Tape'!$R$4:$R$303&lt;&gt;"")*('Loan Tape'!$E$4:$E$303='Deal Strat'!$C$12))*'Loan Tape'!$AI$4:$AI$303*'Loan Tape'!$R$4:$R$303)/E127,"-")</f>
        <v>0.0680705466231036</v>
      </c>
      <c r="O127" s="89" t="n">
        <f aca="false">IFERROR(SUMPRODUCT((('Loan Tape'!$R$4:$R$303&lt;&gt;"")*('Loan Tape'!$E$4:$E$303='Deal Strat'!$C$12))*'Loan Tape'!$AK$4:$AK$303*'Loan Tape'!$R$4:$R$303)/E127,"-")</f>
        <v>0.077777435722589</v>
      </c>
      <c r="P127" s="89" t="n">
        <f aca="false">IFERROR(SUMPRODUCT((('Loan Tape'!$R$4:$R$303&lt;&gt;"")*('Loan Tape'!$E$4:$E$303='Deal Strat'!$C$12))*'Loan Tape'!$S$4:$S$303*'Loan Tape'!$R$4:$R$303)/E127,"-")</f>
        <v>0.841462496677736</v>
      </c>
    </row>
    <row r="129" customFormat="false" ht="19.5" hidden="false" customHeight="true" outlineLevel="0" collapsed="false">
      <c r="B129" s="5" t="s">
        <v>418</v>
      </c>
      <c r="C129" s="5"/>
      <c r="D129" s="5"/>
      <c r="E129" s="5"/>
      <c r="F129" s="5"/>
      <c r="G129" s="5"/>
      <c r="H129" s="5"/>
      <c r="I129" s="5"/>
      <c r="J129" s="5"/>
      <c r="K129" s="5"/>
      <c r="L129" s="5"/>
      <c r="M129" s="5"/>
      <c r="N129" s="5"/>
      <c r="O129" s="5"/>
      <c r="P129" s="5"/>
    </row>
    <row r="130" customFormat="false" ht="42" hidden="false" customHeight="true" outlineLevel="0" collapsed="false">
      <c r="B130" s="82" t="s">
        <v>392</v>
      </c>
      <c r="C130" s="83" t="s">
        <v>368</v>
      </c>
      <c r="D130" s="83" t="s">
        <v>153</v>
      </c>
      <c r="E130" s="83" t="s">
        <v>393</v>
      </c>
      <c r="F130" s="83" t="s">
        <v>394</v>
      </c>
      <c r="G130" s="83" t="s">
        <v>395</v>
      </c>
      <c r="H130" s="83" t="s">
        <v>396</v>
      </c>
      <c r="I130" s="83" t="s">
        <v>397</v>
      </c>
      <c r="J130" s="83" t="s">
        <v>398</v>
      </c>
      <c r="K130" s="83" t="s">
        <v>399</v>
      </c>
      <c r="L130" s="83" t="s">
        <v>400</v>
      </c>
      <c r="M130" s="83" t="s">
        <v>401</v>
      </c>
      <c r="N130" s="83" t="s">
        <v>402</v>
      </c>
      <c r="O130" s="83" t="s">
        <v>403</v>
      </c>
      <c r="P130" s="83" t="s">
        <v>365</v>
      </c>
    </row>
    <row r="131" customFormat="false" ht="14.25" hidden="false" customHeight="false" outlineLevel="0" collapsed="false">
      <c r="B131" s="7" t="str">
        <f aca="false">R131</f>
        <v>Yes</v>
      </c>
      <c r="C131" s="68" t="n">
        <f aca="false">COUNTIFS('Loan Tape'!$AA$4:$AA$303,R131,'Loan Tape'!$E$4:$E$303,'Deal Strat'!$C$12)</f>
        <v>3</v>
      </c>
      <c r="D131" s="68" t="n">
        <f aca="false">SUMPRODUCT((('Loan Tape'!$R$4:$R$303&lt;&gt;"")*('Loan Tape'!$AA$4:$AA$303=R131)*('Loan Tape'!$E$4:$E$303='Deal Strat'!$C$12))*'Loan Tape'!$F$4:$F$303)</f>
        <v>355</v>
      </c>
      <c r="E131" s="84" t="n">
        <f aca="false">SUMIFS('Loan Tape'!$R$4:$R$303,'Loan Tape'!$AA$4:$AA$303,R131,'Loan Tape'!$E$4:$E$303,'Deal Strat'!$C$12)</f>
        <v>228494000</v>
      </c>
      <c r="F131" s="69" t="n">
        <f aca="false">IFERROR(E131/C5,0)</f>
        <v>0.613428119639075</v>
      </c>
      <c r="G131" s="85" t="n">
        <f aca="false">IFERROR(SUMPRODUCT((('Loan Tape'!$R$4:$R$303&lt;&gt;"")*('Loan Tape'!$AA$4:$AA$303=R131)*('Loan Tape'!$E$4:$E$303='Deal Strat'!$C$12))*'Loan Tape'!$U$4:$U$303*'Loan Tape'!$R$4:$R$303)/E131,"-")</f>
        <v>1.53146393340744</v>
      </c>
      <c r="H131" s="68" t="n">
        <f aca="false">IFERROR(SUMPRODUCT((('Loan Tape'!$R$4:$R$303&lt;&gt;"")*('Loan Tape'!$AA$4:$AA$303=R131)*('Loan Tape'!$E$4:$E$303='Deal Strat'!$C$12))*'Loan Tape'!$AH$4:$AH$303*'Loan Tape'!$R$4:$R$303)/E131,"-")</f>
        <v>99.6456755976087</v>
      </c>
      <c r="I131" s="68" t="n">
        <f aca="false">IFERROR(SUMPRODUCT((('Loan Tape'!$R$4:$R$303&lt;&gt;"")*('Loan Tape'!$AA$4:$AA$303=R131)*('Loan Tape'!$E$4:$E$303='Deal Strat'!$C$12))*(('Loan Tape'!$H$4:$H$303-$C$4)/30.4375)*'Loan Tape'!$R$4:$R$303)/E131,"-")</f>
        <v>8.55551485416815</v>
      </c>
      <c r="J131" s="69" t="n">
        <f aca="false">IFERROR(SUMPRODUCT((('Loan Tape'!$R$4:$R$303&lt;&gt;"")*('Loan Tape'!$AA$4:$AA$303=R131)*('Loan Tape'!$E$4:$E$303='Deal Strat'!$C$12))*('Loan Tape'!$K$4:$K$303="Floating")*'Loan Tape'!$R$4:$R$303)/E131,"-")</f>
        <v>0.802813202972507</v>
      </c>
      <c r="K131" s="69" t="n">
        <f aca="false">IFERROR(SUMPRODUCT((('Loan Tape'!$R$4:$R$303&lt;&gt;"")*('Loan Tape'!$AA$4:$AA$303=R131)*('Loan Tape'!$E$4:$E$303='Deal Strat'!$C$12))*'Loan Tape'!$T$4:$T$303*'Loan Tape'!$R$4:$R$303)/E131,"-")</f>
        <v>0.0769500586448659</v>
      </c>
      <c r="L131" s="69" t="n">
        <f aca="false">IFERROR(SUMPRODUCT((('Loan Tape'!$R$4:$R$303&lt;&gt;"")*('Loan Tape'!$AA$4:$AA$303=R131)*('Loan Tape'!$E$4:$E$303='Deal Strat'!$C$12))*'Loan Tape'!$V$4:$V$303*'Loan Tape'!$R$4:$R$303)/E131,"-")</f>
        <v>0.645236872740641</v>
      </c>
      <c r="M131" s="69" t="n">
        <f aca="false">IFERROR(SUMPRODUCT((('Loan Tape'!$R$4:$R$303&lt;&gt;"")*('Loan Tape'!$AA$4:$AA$303=R131)*('Loan Tape'!$E$4:$E$303='Deal Strat'!$C$12))*'Loan Tape'!$W$4:$W$303*'Loan Tape'!$R$4:$R$303)/E131,"-")</f>
        <v>0.677600965452047</v>
      </c>
      <c r="N131" s="69" t="n">
        <f aca="false">IFERROR(SUMPRODUCT((('Loan Tape'!$R$4:$R$303&lt;&gt;"")*('Loan Tape'!$AA$4:$AA$303=R131)*('Loan Tape'!$E$4:$E$303='Deal Strat'!$C$12))*'Loan Tape'!$AI$4:$AI$303*'Loan Tape'!$R$4:$R$303)/E131,"-")</f>
        <v>0.0743910767897625</v>
      </c>
      <c r="O131" s="69" t="n">
        <f aca="false">IFERROR(SUMPRODUCT((('Loan Tape'!$R$4:$R$303&lt;&gt;"")*('Loan Tape'!$AA$4:$AA$303=R131)*('Loan Tape'!$E$4:$E$303='Deal Strat'!$C$12))*'Loan Tape'!$AK$4:$AK$303*'Loan Tape'!$R$4:$R$303)/E131,"-")</f>
        <v>0.0864332748343501</v>
      </c>
      <c r="P131" s="69" t="n">
        <f aca="false">IFERROR(SUMPRODUCT((('Loan Tape'!$R$4:$R$303&lt;&gt;"")*('Loan Tape'!$AA$4:$AA$303=R131)*('Loan Tape'!$E$4:$E$303='Deal Strat'!$C$12))*'Loan Tape'!$S$4:$S$303*'Loan Tape'!$R$4:$R$303)/E131,"-")</f>
        <v>0.821708845746497</v>
      </c>
      <c r="R131" s="91" t="s">
        <v>87</v>
      </c>
    </row>
    <row r="132" customFormat="false" ht="14.25" hidden="false" customHeight="false" outlineLevel="0" collapsed="false">
      <c r="B132" s="7" t="str">
        <f aca="false">R132</f>
        <v>No</v>
      </c>
      <c r="C132" s="68" t="n">
        <f aca="false">COUNTIFS('Loan Tape'!$AA$4:$AA$303,R132,'Loan Tape'!$E$4:$E$303,'Deal Strat'!$C$12)</f>
        <v>2</v>
      </c>
      <c r="D132" s="68" t="n">
        <f aca="false">SUMPRODUCT((('Loan Tape'!$R$4:$R$303&lt;&gt;"")*('Loan Tape'!$AA$4:$AA$303=R132)*('Loan Tape'!$E$4:$E$303='Deal Strat'!$C$12))*'Loan Tape'!$F$4:$F$303)</f>
        <v>238</v>
      </c>
      <c r="E132" s="84" t="n">
        <f aca="false">SUMIFS('Loan Tape'!$R$4:$R$303,'Loan Tape'!$AA$4:$AA$303,R132,'Loan Tape'!$E$4:$E$303,'Deal Strat'!$C$12)</f>
        <v>143993000</v>
      </c>
      <c r="F132" s="69" t="n">
        <f aca="false">IFERROR(E132/C5,0)</f>
        <v>0.386571880360925</v>
      </c>
      <c r="G132" s="85" t="n">
        <f aca="false">IFERROR(SUMPRODUCT((('Loan Tape'!$R$4:$R$303&lt;&gt;"")*('Loan Tape'!$AA$4:$AA$303=R132)*('Loan Tape'!$E$4:$E$303='Deal Strat'!$C$12))*'Loan Tape'!$U$4:$U$303*'Loan Tape'!$R$4:$R$303)/E132,"-")</f>
        <v>1.35400075003646</v>
      </c>
      <c r="H132" s="68" t="n">
        <f aca="false">IFERROR(SUMPRODUCT((('Loan Tape'!$R$4:$R$303&lt;&gt;"")*('Loan Tape'!$AA$4:$AA$303=R132)*('Loan Tape'!$E$4:$E$303='Deal Strat'!$C$12))*'Loan Tape'!$AH$4:$AH$303*'Loan Tape'!$R$4:$R$303)/E132,"-")</f>
        <v>101.599924996354</v>
      </c>
      <c r="I132" s="68" t="n">
        <f aca="false">IFERROR(SUMPRODUCT((('Loan Tape'!$R$4:$R$303&lt;&gt;"")*('Loan Tape'!$AA$4:$AA$303=R132)*('Loan Tape'!$E$4:$E$303='Deal Strat'!$C$12))*(('Loan Tape'!$H$4:$H$303-$C$4)/30.4375)*'Loan Tape'!$R$4:$R$303)/E132,"-")</f>
        <v>-3.17094195957592</v>
      </c>
      <c r="J132" s="69" t="n">
        <f aca="false">IFERROR(SUMPRODUCT((('Loan Tape'!$R$4:$R$303&lt;&gt;"")*('Loan Tape'!$AA$4:$AA$303=R132)*('Loan Tape'!$E$4:$E$303='Deal Strat'!$C$12))*('Loan Tape'!$K$4:$K$303="Floating")*'Loan Tape'!$R$4:$R$303)/E132,"-")</f>
        <v>0.400075003646011</v>
      </c>
      <c r="K132" s="69" t="n">
        <f aca="false">IFERROR(SUMPRODUCT((('Loan Tape'!$R$4:$R$303&lt;&gt;"")*('Loan Tape'!$AA$4:$AA$303=R132)*('Loan Tape'!$E$4:$E$303='Deal Strat'!$C$12))*'Loan Tape'!$T$4:$T$303*'Loan Tape'!$R$4:$R$303)/E132,"-")</f>
        <v>0.0987383199183294</v>
      </c>
      <c r="L132" s="69" t="n">
        <f aca="false">IFERROR(SUMPRODUCT((('Loan Tape'!$R$4:$R$303&lt;&gt;"")*('Loan Tape'!$AA$4:$AA$303=R132)*('Loan Tape'!$E$4:$E$303='Deal Strat'!$C$12))*'Loan Tape'!$V$4:$V$303*'Loan Tape'!$R$4:$R$303)/E132,"-")</f>
        <v>0.761576298847861</v>
      </c>
      <c r="M132" s="69" t="n">
        <f aca="false">IFERROR(SUMPRODUCT((('Loan Tape'!$R$4:$R$303&lt;&gt;"")*('Loan Tape'!$AA$4:$AA$303=R132)*('Loan Tape'!$E$4:$E$303='Deal Strat'!$C$12))*'Loan Tape'!$W$4:$W$303*'Loan Tape'!$R$4:$R$303)/E132,"-")</f>
        <v>0.807774273749418</v>
      </c>
      <c r="N132" s="69" t="n">
        <f aca="false">IFERROR(SUMPRODUCT((('Loan Tape'!$R$4:$R$303&lt;&gt;"")*('Loan Tape'!$AA$4:$AA$303=R132)*('Loan Tape'!$E$4:$E$303='Deal Strat'!$C$12))*'Loan Tape'!$AI$4:$AI$303*'Loan Tape'!$R$4:$R$303)/E132,"-")</f>
        <v>0.0580408700422937</v>
      </c>
      <c r="O132" s="69" t="n">
        <f aca="false">IFERROR(SUMPRODUCT((('Loan Tape'!$R$4:$R$303&lt;&gt;"")*('Loan Tape'!$AA$4:$AA$303=R132)*('Loan Tape'!$E$4:$E$303='Deal Strat'!$C$12))*'Loan Tape'!$AK$4:$AK$303*'Loan Tape'!$R$4:$R$303)/E132,"-")</f>
        <v>0.0640419950969839</v>
      </c>
      <c r="P132" s="69" t="n">
        <f aca="false">IFERROR(SUMPRODUCT((('Loan Tape'!$R$4:$R$303&lt;&gt;"")*('Loan Tape'!$AA$4:$AA$303=R132)*('Loan Tape'!$E$4:$E$303='Deal Strat'!$C$12))*'Loan Tape'!$S$4:$S$303*'Loan Tape'!$R$4:$R$303)/E132,"-")</f>
        <v>0.872808400408353</v>
      </c>
      <c r="R132" s="91" t="s">
        <v>238</v>
      </c>
    </row>
    <row r="133" customFormat="false" ht="14.25" hidden="false" customHeight="false" outlineLevel="0" collapsed="false">
      <c r="B133" s="7" t="s">
        <v>404</v>
      </c>
      <c r="C133" s="68" t="n">
        <f aca="false">C6-SUM(C131:C132)</f>
        <v>0</v>
      </c>
      <c r="D133" s="68" t="n">
        <f aca="false">SUMPRODUCT(('Loan Tape'!$E$4:$E$303='Deal Strat'!$C$12)*'Loan Tape'!$F$4:$F$303)-SUM(D131:D132)</f>
        <v>0</v>
      </c>
      <c r="E133" s="84" t="n">
        <f aca="false">C5-SUM(E131:E132)</f>
        <v>0</v>
      </c>
      <c r="F133" s="69" t="n">
        <f aca="false">IFERROR(E133/C5,0)</f>
        <v>0</v>
      </c>
      <c r="G133" s="85" t="str">
        <f aca="false">IFERROR(SUMPRODUCT((('Loan Tape'!$R$4:$R$303&lt;&gt;"")*(1-(('Loan Tape'!$AA$4:$AA$303=R131)+('Loan Tape'!$AA$4:$AA$303=R132)))*('Loan Tape'!$E$4:$E$303='Deal Strat'!$C$12))*'Loan Tape'!$U$4:$U$303*'Loan Tape'!$R$4:$R$303)/E133,"-")</f>
        <v>-</v>
      </c>
      <c r="H133" s="68" t="str">
        <f aca="false">IFERROR(SUMPRODUCT((('Loan Tape'!$R$4:$R$303&lt;&gt;"")*(1-(('Loan Tape'!$AA$4:$AA$303=R131)+('Loan Tape'!$AA$4:$AA$303=R132)))*('Loan Tape'!$E$4:$E$303='Deal Strat'!$C$12))*'Loan Tape'!$AH$4:$AH$303*'Loan Tape'!$R$4:$R$303)/E133,"-")</f>
        <v>-</v>
      </c>
      <c r="I133" s="68" t="str">
        <f aca="false">IFERROR(SUMPRODUCT((('Loan Tape'!$R$4:$R$303&lt;&gt;"")*(1-(('Loan Tape'!$AA$4:$AA$303=R131)+('Loan Tape'!$AA$4:$AA$303=R132)))*('Loan Tape'!$E$4:$E$303='Deal Strat'!$C$12))*(('Loan Tape'!$H$4:$H$303-$C$4)/30.4375)*'Loan Tape'!$R$4:$R$303)/E133,"-")</f>
        <v>-</v>
      </c>
      <c r="J133" s="69" t="str">
        <f aca="false">IFERROR(SUMPRODUCT((('Loan Tape'!$R$4:$R$303&lt;&gt;"")*(1-(('Loan Tape'!$AA$4:$AA$303=R131)+('Loan Tape'!$AA$4:$AA$303=R132)))*('Loan Tape'!$E$4:$E$303='Deal Strat'!$C$12))*('Loan Tape'!$K$4:$K$303="Floating")*'Loan Tape'!$R$4:$R$303)/E133,"-")</f>
        <v>-</v>
      </c>
      <c r="K133" s="69" t="str">
        <f aca="false">IFERROR(SUMPRODUCT((('Loan Tape'!$R$4:$R$303&lt;&gt;"")*(1-(('Loan Tape'!$AA$4:$AA$303=R131)+('Loan Tape'!$AA$4:$AA$303=R132)))*('Loan Tape'!$E$4:$E$303='Deal Strat'!$C$12))*'Loan Tape'!$T$4:$T$303*'Loan Tape'!$R$4:$R$303)/E133,"-")</f>
        <v>-</v>
      </c>
      <c r="L133" s="69" t="str">
        <f aca="false">IFERROR(SUMPRODUCT((('Loan Tape'!$R$4:$R$303&lt;&gt;"")*(1-(('Loan Tape'!$AA$4:$AA$303=R131)+('Loan Tape'!$AA$4:$AA$303=R132)))*('Loan Tape'!$E$4:$E$303='Deal Strat'!$C$12))*'Loan Tape'!$V$4:$V$303*'Loan Tape'!$R$4:$R$303)/E133,"-")</f>
        <v>-</v>
      </c>
      <c r="M133" s="69" t="str">
        <f aca="false">IFERROR(SUMPRODUCT((('Loan Tape'!$R$4:$R$303&lt;&gt;"")*(1-(('Loan Tape'!$AA$4:$AA$303=R131)+('Loan Tape'!$AA$4:$AA$303=R132)))*('Loan Tape'!$E$4:$E$303='Deal Strat'!$C$12))*'Loan Tape'!$W$4:$W$303*'Loan Tape'!$R$4:$R$303)/E133,"-")</f>
        <v>-</v>
      </c>
      <c r="N133" s="69" t="str">
        <f aca="false">IFERROR(SUMPRODUCT((('Loan Tape'!$R$4:$R$303&lt;&gt;"")*(1-(('Loan Tape'!$AA$4:$AA$303=R131)+('Loan Tape'!$AA$4:$AA$303=R132)))*('Loan Tape'!$E$4:$E$303='Deal Strat'!$C$12))*'Loan Tape'!$AI$4:$AI$303*'Loan Tape'!$R$4:$R$303)/E133,"-")</f>
        <v>-</v>
      </c>
      <c r="O133" s="69" t="str">
        <f aca="false">IFERROR(SUMPRODUCT((('Loan Tape'!$R$4:$R$303&lt;&gt;"")*(1-(('Loan Tape'!$AA$4:$AA$303=R131)+('Loan Tape'!$AA$4:$AA$303=R132)))*('Loan Tape'!$E$4:$E$303='Deal Strat'!$C$12))*'Loan Tape'!$AK$4:$AK$303*'Loan Tape'!$R$4:$R$303)/E133,"-")</f>
        <v>-</v>
      </c>
      <c r="P133" s="69" t="str">
        <f aca="false">IFERROR(SUMPRODUCT((('Loan Tape'!$R$4:$R$303&lt;&gt;"")*(1-(('Loan Tape'!$AA$4:$AA$303=R131)+('Loan Tape'!$AA$4:$AA$303=R132)))*('Loan Tape'!$E$4:$E$303='Deal Strat'!$C$12))*'Loan Tape'!$S$4:$S$303*'Loan Tape'!$R$4:$R$303)/E133,"-")</f>
        <v>-</v>
      </c>
    </row>
    <row r="134" customFormat="false" ht="14.25" hidden="false" customHeight="false" outlineLevel="0" collapsed="false">
      <c r="B134" s="86" t="s">
        <v>405</v>
      </c>
      <c r="C134" s="92" t="n">
        <f aca="false">C6</f>
        <v>5</v>
      </c>
      <c r="D134" s="92" t="n">
        <f aca="false">SUMPRODUCT(('Loan Tape'!$E$4:$E$303='Deal Strat'!$C$12)*'Loan Tape'!$F$4:$F$303)</f>
        <v>593</v>
      </c>
      <c r="E134" s="88" t="n">
        <f aca="false">C5</f>
        <v>372487000</v>
      </c>
      <c r="F134" s="89" t="n">
        <f aca="false">1</f>
        <v>1</v>
      </c>
      <c r="G134" s="90" t="n">
        <f aca="false">IFERROR(SUMPRODUCT((('Loan Tape'!$R$4:$R$303&lt;&gt;"")*('Loan Tape'!$E$4:$E$303='Deal Strat'!$C$12))*'Loan Tape'!$U$4:$U$303*'Loan Tape'!$R$4:$R$303)/E134,"-")</f>
        <v>1.46286165691689</v>
      </c>
      <c r="H134" s="92" t="n">
        <f aca="false">IFERROR(SUMPRODUCT((('Loan Tape'!$R$4:$R$303&lt;&gt;"")*('Loan Tape'!$E$4:$E$303='Deal Strat'!$C$12))*'Loan Tape'!$AH$4:$AH$303*'Loan Tape'!$R$4:$R$303)/E134,"-")</f>
        <v>100.401133462376</v>
      </c>
      <c r="I134" s="92" t="n">
        <f aca="false">IFERROR(SUMPRODUCT((('Loan Tape'!$R$4:$R$303&lt;&gt;"")*('Loan Tape'!$E$4:$E$303='Deal Strat'!$C$12))*(('Loan Tape'!$H$4:$H$303-$C$4)/30.4375)*'Loan Tape'!$R$4:$R$303)/E134,"-")</f>
        <v>4.02239639370792</v>
      </c>
      <c r="J134" s="89" t="n">
        <f aca="false">IFERROR(SUMPRODUCT((('Loan Tape'!$R$4:$R$303&lt;&gt;"")*('Loan Tape'!$E$4:$E$303='Deal Strat'!$C$12))*('Loan Tape'!$K$4:$K$303="Floating")*'Loan Tape'!$R$4:$R$303)/E134,"-")</f>
        <v>0.64712593996569</v>
      </c>
      <c r="K134" s="89" t="n">
        <f aca="false">IFERROR(SUMPRODUCT((('Loan Tape'!$R$4:$R$303&lt;&gt;"")*('Loan Tape'!$E$4:$E$303='Deal Strat'!$C$12))*'Loan Tape'!$T$4:$T$303*'Loan Tape'!$R$4:$R$303)/E134,"-")</f>
        <v>0.0853727877751438</v>
      </c>
      <c r="L134" s="89" t="n">
        <f aca="false">IFERROR(SUMPRODUCT((('Loan Tape'!$R$4:$R$303&lt;&gt;"")*('Loan Tape'!$E$4:$E$303='Deal Strat'!$C$12))*'Loan Tape'!$V$4:$V$303*'Loan Tape'!$R$4:$R$303)/E134,"-")</f>
        <v>0.69021042345102</v>
      </c>
      <c r="M134" s="89" t="n">
        <f aca="false">IFERROR(SUMPRODUCT((('Loan Tape'!$R$4:$R$303&lt;&gt;"")*('Loan Tape'!$E$4:$E$303='Deal Strat'!$C$12))*'Loan Tape'!$W$4:$W$303*'Loan Tape'!$R$4:$R$303)/E134,"-")</f>
        <v>0.727922306013364</v>
      </c>
      <c r="N134" s="89" t="n">
        <f aca="false">IFERROR(SUMPRODUCT((('Loan Tape'!$R$4:$R$303&lt;&gt;"")*('Loan Tape'!$E$4:$E$303='Deal Strat'!$C$12))*'Loan Tape'!$AI$4:$AI$303*'Loan Tape'!$R$4:$R$303)/E134,"-")</f>
        <v>0.0680705466231036</v>
      </c>
      <c r="O134" s="89" t="n">
        <f aca="false">IFERROR(SUMPRODUCT((('Loan Tape'!$R$4:$R$303&lt;&gt;"")*('Loan Tape'!$E$4:$E$303='Deal Strat'!$C$12))*'Loan Tape'!$AK$4:$AK$303*'Loan Tape'!$R$4:$R$303)/E134,"-")</f>
        <v>0.077777435722589</v>
      </c>
      <c r="P134" s="89" t="n">
        <f aca="false">IFERROR(SUMPRODUCT((('Loan Tape'!$R$4:$R$303&lt;&gt;"")*('Loan Tape'!$E$4:$E$303='Deal Strat'!$C$12))*'Loan Tape'!$S$4:$S$303*'Loan Tape'!$R$4:$R$303)/E134,"-")</f>
        <v>0.841462496677736</v>
      </c>
    </row>
    <row r="136" customFormat="false" ht="19.5" hidden="false" customHeight="true" outlineLevel="0" collapsed="false">
      <c r="B136" s="5" t="s">
        <v>419</v>
      </c>
      <c r="C136" s="5"/>
      <c r="D136" s="5"/>
      <c r="E136" s="5"/>
      <c r="F136" s="5"/>
      <c r="G136" s="5"/>
      <c r="H136" s="5"/>
      <c r="I136" s="5"/>
      <c r="J136" s="5"/>
      <c r="K136" s="5"/>
      <c r="L136" s="5"/>
      <c r="M136" s="5"/>
      <c r="N136" s="5"/>
      <c r="O136" s="5"/>
      <c r="P136" s="5"/>
    </row>
    <row r="137" customFormat="false" ht="42" hidden="false" customHeight="true" outlineLevel="0" collapsed="false">
      <c r="B137" s="82" t="s">
        <v>392</v>
      </c>
      <c r="C137" s="83" t="s">
        <v>368</v>
      </c>
      <c r="D137" s="83" t="s">
        <v>153</v>
      </c>
      <c r="E137" s="83" t="s">
        <v>393</v>
      </c>
      <c r="F137" s="83" t="s">
        <v>394</v>
      </c>
      <c r="G137" s="83" t="s">
        <v>395</v>
      </c>
      <c r="H137" s="83" t="s">
        <v>396</v>
      </c>
      <c r="I137" s="83" t="s">
        <v>397</v>
      </c>
      <c r="J137" s="83" t="s">
        <v>398</v>
      </c>
      <c r="K137" s="83" t="s">
        <v>399</v>
      </c>
      <c r="L137" s="83" t="s">
        <v>400</v>
      </c>
      <c r="M137" s="83" t="s">
        <v>401</v>
      </c>
      <c r="N137" s="83" t="s">
        <v>402</v>
      </c>
      <c r="O137" s="83" t="s">
        <v>403</v>
      </c>
      <c r="P137" s="83" t="s">
        <v>365</v>
      </c>
    </row>
    <row r="138" customFormat="false" ht="14.25" hidden="false" customHeight="false" outlineLevel="0" collapsed="false">
      <c r="B138" s="7" t="str">
        <f aca="false">R138</f>
        <v>Prepayable with Penalty</v>
      </c>
      <c r="C138" s="68" t="n">
        <f aca="false">COUNTIFS('Loan Tape'!$AB$4:$AB$303,R138,'Loan Tape'!$E$4:$E$303,'Deal Strat'!$C$12)</f>
        <v>2</v>
      </c>
      <c r="D138" s="68" t="n">
        <f aca="false">SUMPRODUCT((('Loan Tape'!$R$4:$R$303&lt;&gt;"")*('Loan Tape'!$AB$4:$AB$303=R138)*('Loan Tape'!$E$4:$E$303='Deal Strat'!$C$12))*'Loan Tape'!$F$4:$F$303)</f>
        <v>171</v>
      </c>
      <c r="E138" s="84" t="n">
        <f aca="false">SUMIFS('Loan Tape'!$R$4:$R$303,'Loan Tape'!$AB$4:$AB$303,R138,'Loan Tape'!$E$4:$E$303,'Deal Strat'!$C$12)</f>
        <v>102664000</v>
      </c>
      <c r="F138" s="69" t="n">
        <f aca="false">IFERROR(E138/C5,0)</f>
        <v>0.275617672563069</v>
      </c>
      <c r="G138" s="85" t="n">
        <f aca="false">IFERROR(SUMPRODUCT((('Loan Tape'!$R$4:$R$303&lt;&gt;"")*('Loan Tape'!$AB$4:$AB$303=R138)*('Loan Tape'!$E$4:$E$303='Deal Strat'!$C$12))*'Loan Tape'!$U$4:$U$303*'Loan Tape'!$R$4:$R$303)/E138,"-")</f>
        <v>1.63209849606483</v>
      </c>
      <c r="H138" s="68" t="n">
        <f aca="false">IFERROR(SUMPRODUCT((('Loan Tape'!$R$4:$R$303&lt;&gt;"")*('Loan Tape'!$AB$4:$AB$303=R138)*('Loan Tape'!$E$4:$E$303='Deal Strat'!$C$12))*'Loan Tape'!$AH$4:$AH$303*'Loan Tape'!$R$4:$R$303)/E138,"-")</f>
        <v>97.9279202057196</v>
      </c>
      <c r="I138" s="68" t="n">
        <f aca="false">IFERROR(SUMPRODUCT((('Loan Tape'!$R$4:$R$303&lt;&gt;"")*('Loan Tape'!$AB$4:$AB$303=R138)*('Loan Tape'!$E$4:$E$303='Deal Strat'!$C$12))*(('Loan Tape'!$H$4:$H$303-$C$4)/30.4375)*'Loan Tape'!$R$4:$R$303)/E138,"-")</f>
        <v>-4.23474195681661</v>
      </c>
      <c r="J138" s="69" t="n">
        <f aca="false">IFERROR(SUMPRODUCT((('Loan Tape'!$R$4:$R$303&lt;&gt;"")*('Loan Tape'!$AB$4:$AB$303=R138)*('Loan Tape'!$E$4:$E$303='Deal Strat'!$C$12))*('Loan Tape'!$K$4:$K$303="Floating")*'Loan Tape'!$R$4:$R$303)/E138,"-")</f>
        <v>0.561131457959947</v>
      </c>
      <c r="K138" s="69" t="n">
        <f aca="false">IFERROR(SUMPRODUCT((('Loan Tape'!$R$4:$R$303&lt;&gt;"")*('Loan Tape'!$AB$4:$AB$303=R138)*('Loan Tape'!$E$4:$E$303='Deal Strat'!$C$12))*'Loan Tape'!$T$4:$T$303*'Loan Tape'!$R$4:$R$303)/E138,"-")</f>
        <v>0.0779270084937271</v>
      </c>
      <c r="L138" s="69" t="n">
        <f aca="false">IFERROR(SUMPRODUCT((('Loan Tape'!$R$4:$R$303&lt;&gt;"")*('Loan Tape'!$AB$4:$AB$303=R138)*('Loan Tape'!$E$4:$E$303='Deal Strat'!$C$12))*'Loan Tape'!$V$4:$V$303*'Loan Tape'!$R$4:$R$303)/E138,"-")</f>
        <v>0.621592145250526</v>
      </c>
      <c r="M138" s="69" t="n">
        <f aca="false">IFERROR(SUMPRODUCT((('Loan Tape'!$R$4:$R$303&lt;&gt;"")*('Loan Tape'!$AB$4:$AB$303=R138)*('Loan Tape'!$E$4:$E$303='Deal Strat'!$C$12))*'Loan Tape'!$W$4:$W$303*'Loan Tape'!$R$4:$R$303)/E138,"-")</f>
        <v>0.660369516091327</v>
      </c>
      <c r="N138" s="69" t="n">
        <f aca="false">IFERROR(SUMPRODUCT((('Loan Tape'!$R$4:$R$303&lt;&gt;"")*('Loan Tape'!$AB$4:$AB$303=R138)*('Loan Tape'!$E$4:$E$303='Deal Strat'!$C$12))*'Loan Tape'!$AI$4:$AI$303*'Loan Tape'!$R$4:$R$303)/E138,"-")</f>
        <v>0.064868339437388</v>
      </c>
      <c r="O138" s="69" t="n">
        <f aca="false">IFERROR(SUMPRODUCT((('Loan Tape'!$R$4:$R$303&lt;&gt;"")*('Loan Tape'!$AB$4:$AB$303=R138)*('Loan Tape'!$E$4:$E$303='Deal Strat'!$C$12))*'Loan Tape'!$AK$4:$AK$303*'Loan Tape'!$R$4:$R$303)/E138,"-")</f>
        <v>0.0732853113067872</v>
      </c>
      <c r="P138" s="69" t="n">
        <f aca="false">IFERROR(SUMPRODUCT((('Loan Tape'!$R$4:$R$303&lt;&gt;"")*('Loan Tape'!$AB$4:$AB$303=R138)*('Loan Tape'!$E$4:$E$303='Deal Strat'!$C$12))*'Loan Tape'!$S$4:$S$303*'Loan Tape'!$R$4:$R$303)/E138,"-")</f>
        <v>0.935172446037559</v>
      </c>
      <c r="R138" s="91" t="s">
        <v>223</v>
      </c>
    </row>
    <row r="139" customFormat="false" ht="14.25" hidden="false" customHeight="false" outlineLevel="0" collapsed="false">
      <c r="B139" s="7" t="str">
        <f aca="false">R139</f>
        <v>Freely Prepayable</v>
      </c>
      <c r="C139" s="68" t="n">
        <f aca="false">COUNTIFS('Loan Tape'!$AB$4:$AB$303,R139,'Loan Tape'!$E$4:$E$303,'Deal Strat'!$C$12)</f>
        <v>0</v>
      </c>
      <c r="D139" s="68" t="n">
        <f aca="false">SUMPRODUCT((('Loan Tape'!$R$4:$R$303&lt;&gt;"")*('Loan Tape'!$AB$4:$AB$303=R139)*('Loan Tape'!$E$4:$E$303='Deal Strat'!$C$12))*'Loan Tape'!$F$4:$F$303)</f>
        <v>0</v>
      </c>
      <c r="E139" s="84" t="n">
        <f aca="false">SUMIFS('Loan Tape'!$R$4:$R$303,'Loan Tape'!$AB$4:$AB$303,R139,'Loan Tape'!$E$4:$E$303,'Deal Strat'!$C$12)</f>
        <v>0</v>
      </c>
      <c r="F139" s="69" t="n">
        <f aca="false">IFERROR(E139/C5,0)</f>
        <v>0</v>
      </c>
      <c r="G139" s="85" t="str">
        <f aca="false">IFERROR(SUMPRODUCT((('Loan Tape'!$R$4:$R$303&lt;&gt;"")*('Loan Tape'!$AB$4:$AB$303=R139)*('Loan Tape'!$E$4:$E$303='Deal Strat'!$C$12))*'Loan Tape'!$U$4:$U$303*'Loan Tape'!$R$4:$R$303)/E139,"-")</f>
        <v>-</v>
      </c>
      <c r="H139" s="68" t="str">
        <f aca="false">IFERROR(SUMPRODUCT((('Loan Tape'!$R$4:$R$303&lt;&gt;"")*('Loan Tape'!$AB$4:$AB$303=R139)*('Loan Tape'!$E$4:$E$303='Deal Strat'!$C$12))*'Loan Tape'!$AH$4:$AH$303*'Loan Tape'!$R$4:$R$303)/E139,"-")</f>
        <v>-</v>
      </c>
      <c r="I139" s="68" t="str">
        <f aca="false">IFERROR(SUMPRODUCT((('Loan Tape'!$R$4:$R$303&lt;&gt;"")*('Loan Tape'!$AB$4:$AB$303=R139)*('Loan Tape'!$E$4:$E$303='Deal Strat'!$C$12))*(('Loan Tape'!$H$4:$H$303-$C$4)/30.4375)*'Loan Tape'!$R$4:$R$303)/E139,"-")</f>
        <v>-</v>
      </c>
      <c r="J139" s="69" t="str">
        <f aca="false">IFERROR(SUMPRODUCT((('Loan Tape'!$R$4:$R$303&lt;&gt;"")*('Loan Tape'!$AB$4:$AB$303=R139)*('Loan Tape'!$E$4:$E$303='Deal Strat'!$C$12))*('Loan Tape'!$K$4:$K$303="Floating")*'Loan Tape'!$R$4:$R$303)/E139,"-")</f>
        <v>-</v>
      </c>
      <c r="K139" s="69" t="str">
        <f aca="false">IFERROR(SUMPRODUCT((('Loan Tape'!$R$4:$R$303&lt;&gt;"")*('Loan Tape'!$AB$4:$AB$303=R139)*('Loan Tape'!$E$4:$E$303='Deal Strat'!$C$12))*'Loan Tape'!$T$4:$T$303*'Loan Tape'!$R$4:$R$303)/E139,"-")</f>
        <v>-</v>
      </c>
      <c r="L139" s="69" t="str">
        <f aca="false">IFERROR(SUMPRODUCT((('Loan Tape'!$R$4:$R$303&lt;&gt;"")*('Loan Tape'!$AB$4:$AB$303=R139)*('Loan Tape'!$E$4:$E$303='Deal Strat'!$C$12))*'Loan Tape'!$V$4:$V$303*'Loan Tape'!$R$4:$R$303)/E139,"-")</f>
        <v>-</v>
      </c>
      <c r="M139" s="69" t="str">
        <f aca="false">IFERROR(SUMPRODUCT((('Loan Tape'!$R$4:$R$303&lt;&gt;"")*('Loan Tape'!$AB$4:$AB$303=R139)*('Loan Tape'!$E$4:$E$303='Deal Strat'!$C$12))*'Loan Tape'!$W$4:$W$303*'Loan Tape'!$R$4:$R$303)/E139,"-")</f>
        <v>-</v>
      </c>
      <c r="N139" s="69" t="str">
        <f aca="false">IFERROR(SUMPRODUCT((('Loan Tape'!$R$4:$R$303&lt;&gt;"")*('Loan Tape'!$AB$4:$AB$303=R139)*('Loan Tape'!$E$4:$E$303='Deal Strat'!$C$12))*'Loan Tape'!$AI$4:$AI$303*'Loan Tape'!$R$4:$R$303)/E139,"-")</f>
        <v>-</v>
      </c>
      <c r="O139" s="69" t="str">
        <f aca="false">IFERROR(SUMPRODUCT((('Loan Tape'!$R$4:$R$303&lt;&gt;"")*('Loan Tape'!$AB$4:$AB$303=R139)*('Loan Tape'!$E$4:$E$303='Deal Strat'!$C$12))*'Loan Tape'!$AK$4:$AK$303*'Loan Tape'!$R$4:$R$303)/E139,"-")</f>
        <v>-</v>
      </c>
      <c r="P139" s="69" t="str">
        <f aca="false">IFERROR(SUMPRODUCT((('Loan Tape'!$R$4:$R$303&lt;&gt;"")*('Loan Tape'!$AB$4:$AB$303=R139)*('Loan Tape'!$E$4:$E$303='Deal Strat'!$C$12))*'Loan Tape'!$S$4:$S$303*'Loan Tape'!$R$4:$R$303)/E139,"-")</f>
        <v>-</v>
      </c>
      <c r="R139" s="91" t="s">
        <v>212</v>
      </c>
    </row>
    <row r="140" customFormat="false" ht="14.25" hidden="false" customHeight="false" outlineLevel="0" collapsed="false">
      <c r="B140" s="7" t="str">
        <f aca="false">R140</f>
        <v>Defeasance</v>
      </c>
      <c r="C140" s="68" t="n">
        <f aca="false">COUNTIFS('Loan Tape'!$AB$4:$AB$303,R140,'Loan Tape'!$E$4:$E$303,'Deal Strat'!$C$12)</f>
        <v>2</v>
      </c>
      <c r="D140" s="68" t="n">
        <f aca="false">SUMPRODUCT((('Loan Tape'!$R$4:$R$303&lt;&gt;"")*('Loan Tape'!$AB$4:$AB$303=R140)*('Loan Tape'!$E$4:$E$303='Deal Strat'!$C$12))*'Loan Tape'!$F$4:$F$303)</f>
        <v>422</v>
      </c>
      <c r="E140" s="84" t="n">
        <f aca="false">SUMIFS('Loan Tape'!$R$4:$R$303,'Loan Tape'!$AB$4:$AB$303,R140,'Loan Tape'!$E$4:$E$303,'Deal Strat'!$C$12)</f>
        <v>149510000</v>
      </c>
      <c r="F140" s="69" t="n">
        <f aca="false">IFERROR(E140/C5,0)</f>
        <v>0.401383135518824</v>
      </c>
      <c r="G140" s="85" t="n">
        <f aca="false">IFERROR(SUMPRODUCT((('Loan Tape'!$R$4:$R$303&lt;&gt;"")*('Loan Tape'!$AB$4:$AB$303=R140)*('Loan Tape'!$E$4:$E$303='Deal Strat'!$C$12))*'Loan Tape'!$U$4:$U$303*'Loan Tape'!$R$4:$R$303)/E140,"-")</f>
        <v>1.41333188415491</v>
      </c>
      <c r="H140" s="68" t="n">
        <f aca="false">IFERROR(SUMPRODUCT((('Loan Tape'!$R$4:$R$303&lt;&gt;"")*('Loan Tape'!$AB$4:$AB$303=R140)*('Loan Tape'!$E$4:$E$303='Deal Strat'!$C$12))*'Loan Tape'!$AH$4:$AH$303*'Loan Tape'!$R$4:$R$303)/E140,"-")</f>
        <v>102.422212561033</v>
      </c>
      <c r="I140" s="68" t="n">
        <f aca="false">IFERROR(SUMPRODUCT((('Loan Tape'!$R$4:$R$303&lt;&gt;"")*('Loan Tape'!$AB$4:$AB$303=R140)*('Loan Tape'!$E$4:$E$303='Deal Strat'!$C$12))*(('Loan Tape'!$H$4:$H$303-$C$4)/30.4375)*'Loan Tape'!$R$4:$R$303)/E140,"-")</f>
        <v>-3.19814776181247</v>
      </c>
      <c r="J140" s="69" t="n">
        <f aca="false">IFERROR(SUMPRODUCT((('Loan Tape'!$R$4:$R$303&lt;&gt;"")*('Loan Tape'!$AB$4:$AB$303=R140)*('Loan Tape'!$E$4:$E$303='Deal Strat'!$C$12))*('Loan Tape'!$K$4:$K$303="Floating")*'Loan Tape'!$R$4:$R$303)/E140,"-")</f>
        <v>0.422212561032707</v>
      </c>
      <c r="K140" s="69" t="n">
        <f aca="false">IFERROR(SUMPRODUCT((('Loan Tape'!$R$4:$R$303&lt;&gt;"")*('Loan Tape'!$AB$4:$AB$303=R140)*('Loan Tape'!$E$4:$E$303='Deal Strat'!$C$12))*'Loan Tape'!$T$4:$T$303*'Loan Tape'!$R$4:$R$303)/E140,"-")</f>
        <v>0.0936825429737141</v>
      </c>
      <c r="L140" s="69" t="n">
        <f aca="false">IFERROR(SUMPRODUCT((('Loan Tape'!$R$4:$R$303&lt;&gt;"")*('Loan Tape'!$AB$4:$AB$303=R140)*('Loan Tape'!$E$4:$E$303='Deal Strat'!$C$12))*'Loan Tape'!$V$4:$V$303*'Loan Tape'!$R$4:$R$303)/E140,"-")</f>
        <v>0.759225168885024</v>
      </c>
      <c r="M140" s="69" t="n">
        <f aca="false">IFERROR(SUMPRODUCT((('Loan Tape'!$R$4:$R$303&lt;&gt;"")*('Loan Tape'!$AB$4:$AB$303=R140)*('Loan Tape'!$E$4:$E$303='Deal Strat'!$C$12))*'Loan Tape'!$W$4:$W$303*'Loan Tape'!$R$4:$R$303)/E140,"-")</f>
        <v>0.804825429737141</v>
      </c>
      <c r="N140" s="69" t="n">
        <f aca="false">IFERROR(SUMPRODUCT((('Loan Tape'!$R$4:$R$303&lt;&gt;"")*('Loan Tape'!$AB$4:$AB$303=R140)*('Loan Tape'!$E$4:$E$303='Deal Strat'!$C$12))*'Loan Tape'!$AI$4:$AI$303*'Loan Tape'!$R$4:$R$303)/E140,"-")</f>
        <v>0.0582554444518761</v>
      </c>
      <c r="O140" s="69" t="n">
        <f aca="false">IFERROR(SUMPRODUCT((('Loan Tape'!$R$4:$R$303&lt;&gt;"")*('Loan Tape'!$AB$4:$AB$303=R140)*('Loan Tape'!$E$4:$E$303='Deal Strat'!$C$12))*'Loan Tape'!$AK$4:$AK$303*'Loan Tape'!$R$4:$R$303)/E140,"-")</f>
        <v>0.0645886328673667</v>
      </c>
      <c r="P140" s="69" t="n">
        <f aca="false">IFERROR(SUMPRODUCT((('Loan Tape'!$R$4:$R$303&lt;&gt;"")*('Loan Tape'!$AB$4:$AB$303=R140)*('Loan Tape'!$E$4:$E$303='Deal Strat'!$C$12))*'Loan Tape'!$S$4:$S$303*'Loan Tape'!$R$4:$R$303)/E140,"-")</f>
        <v>0.82335566182864</v>
      </c>
      <c r="R140" s="91" t="s">
        <v>231</v>
      </c>
    </row>
    <row r="141" customFormat="false" ht="14.25" hidden="false" customHeight="false" outlineLevel="0" collapsed="false">
      <c r="B141" s="7" t="str">
        <f aca="false">R141</f>
        <v>Yield Maintenance</v>
      </c>
      <c r="C141" s="68" t="n">
        <f aca="false">COUNTIFS('Loan Tape'!$AB$4:$AB$303,R141,'Loan Tape'!$E$4:$E$303,'Deal Strat'!$C$12)</f>
        <v>1</v>
      </c>
      <c r="D141" s="68" t="n">
        <f aca="false">SUMPRODUCT((('Loan Tape'!$R$4:$R$303&lt;&gt;"")*('Loan Tape'!$AB$4:$AB$303=R141)*('Loan Tape'!$E$4:$E$303='Deal Strat'!$C$12))*'Loan Tape'!$F$4:$F$303)</f>
        <v>0</v>
      </c>
      <c r="E141" s="84" t="n">
        <f aca="false">SUMIFS('Loan Tape'!$R$4:$R$303,'Loan Tape'!$AB$4:$AB$303,R141,'Loan Tape'!$E$4:$E$303,'Deal Strat'!$C$12)</f>
        <v>120313000</v>
      </c>
      <c r="F141" s="69" t="n">
        <f aca="false">IFERROR(E141/C5,0)</f>
        <v>0.322999191918107</v>
      </c>
      <c r="G141" s="85" t="n">
        <f aca="false">IFERROR(SUMPRODUCT((('Loan Tape'!$R$4:$R$303&lt;&gt;"")*('Loan Tape'!$AB$4:$AB$303=R141)*('Loan Tape'!$E$4:$E$303='Deal Strat'!$C$12))*'Loan Tape'!$U$4:$U$303*'Loan Tape'!$R$4:$R$303)/E141,"-")</f>
        <v>1.38</v>
      </c>
      <c r="H141" s="68" t="n">
        <f aca="false">IFERROR(SUMPRODUCT((('Loan Tape'!$R$4:$R$303&lt;&gt;"")*('Loan Tape'!$AB$4:$AB$303=R141)*('Loan Tape'!$E$4:$E$303='Deal Strat'!$C$12))*'Loan Tape'!$AH$4:$AH$303*'Loan Tape'!$R$4:$R$303)/E141,"-")</f>
        <v>100</v>
      </c>
      <c r="I141" s="68" t="n">
        <f aca="false">IFERROR(SUMPRODUCT((('Loan Tape'!$R$4:$R$303&lt;&gt;"")*('Loan Tape'!$AB$4:$AB$303=R141)*('Loan Tape'!$E$4:$E$303='Deal Strat'!$C$12))*(('Loan Tape'!$H$4:$H$303-$C$4)/30.4375)*'Loan Tape'!$R$4:$R$303)/E141,"-")</f>
        <v>20.041067761807</v>
      </c>
      <c r="J141" s="69" t="n">
        <f aca="false">IFERROR(SUMPRODUCT((('Loan Tape'!$R$4:$R$303&lt;&gt;"")*('Loan Tape'!$AB$4:$AB$303=R141)*('Loan Tape'!$E$4:$E$303='Deal Strat'!$C$12))*('Loan Tape'!$K$4:$K$303="Floating")*'Loan Tape'!$R$4:$R$303)/E141,"-")</f>
        <v>1</v>
      </c>
      <c r="K141" s="69" t="n">
        <f aca="false">IFERROR(SUMPRODUCT((('Loan Tape'!$R$4:$R$303&lt;&gt;"")*('Loan Tape'!$AB$4:$AB$303=R141)*('Loan Tape'!$E$4:$E$303='Deal Strat'!$C$12))*'Loan Tape'!$T$4:$T$303*'Loan Tape'!$R$4:$R$303)/E141,"-")</f>
        <v>0.0814</v>
      </c>
      <c r="L141" s="69" t="n">
        <f aca="false">IFERROR(SUMPRODUCT((('Loan Tape'!$R$4:$R$303&lt;&gt;"")*('Loan Tape'!$AB$4:$AB$303=R141)*('Loan Tape'!$E$4:$E$303='Deal Strat'!$C$12))*'Loan Tape'!$V$4:$V$303*'Loan Tape'!$R$4:$R$303)/E141,"-")</f>
        <v>0.663</v>
      </c>
      <c r="M141" s="69" t="n">
        <f aca="false">IFERROR(SUMPRODUCT((('Loan Tape'!$R$4:$R$303&lt;&gt;"")*('Loan Tape'!$AB$4:$AB$303=R141)*('Loan Tape'!$E$4:$E$303='Deal Strat'!$C$12))*'Loan Tape'!$W$4:$W$303*'Loan Tape'!$R$4:$R$303)/E141,"-")</f>
        <v>0.69</v>
      </c>
      <c r="N141" s="69" t="n">
        <f aca="false">IFERROR(SUMPRODUCT((('Loan Tape'!$R$4:$R$303&lt;&gt;"")*('Loan Tape'!$AB$4:$AB$303=R141)*('Loan Tape'!$E$4:$E$303='Deal Strat'!$C$12))*'Loan Tape'!$AI$4:$AI$303*'Loan Tape'!$R$4:$R$303)/E141,"-")</f>
        <v>0.083</v>
      </c>
      <c r="O141" s="69" t="n">
        <f aca="false">IFERROR(SUMPRODUCT((('Loan Tape'!$R$4:$R$303&lt;&gt;"")*('Loan Tape'!$AB$4:$AB$303=R141)*('Loan Tape'!$E$4:$E$303='Deal Strat'!$C$12))*'Loan Tape'!$AK$4:$AK$303*'Loan Tape'!$R$4:$R$303)/E141,"-")</f>
        <v>0.098</v>
      </c>
      <c r="P141" s="69" t="n">
        <f aca="false">IFERROR(SUMPRODUCT((('Loan Tape'!$R$4:$R$303&lt;&gt;"")*('Loan Tape'!$AB$4:$AB$303=R141)*('Loan Tape'!$E$4:$E$303='Deal Strat'!$C$12))*'Loan Tape'!$S$4:$S$303*'Loan Tape'!$R$4:$R$303)/E141,"-")</f>
        <v>0.784</v>
      </c>
      <c r="R141" s="91" t="s">
        <v>275</v>
      </c>
    </row>
    <row r="142" customFormat="false" ht="14.25" hidden="false" customHeight="false" outlineLevel="0" collapsed="false">
      <c r="B142" s="7" t="s">
        <v>407</v>
      </c>
      <c r="C142" s="68" t="n">
        <f aca="false">C6-SUM(C138:C141)</f>
        <v>0</v>
      </c>
      <c r="D142" s="68" t="n">
        <f aca="false">SUMPRODUCT(('Loan Tape'!$E$4:$E$303='Deal Strat'!$C$12)*'Loan Tape'!$F$4:$F$303)-SUM(D138:D141)</f>
        <v>0</v>
      </c>
      <c r="E142" s="84" t="n">
        <f aca="false">C5-SUM(E138:E141)</f>
        <v>0</v>
      </c>
      <c r="F142" s="69" t="n">
        <f aca="false">IFERROR(E142/C5,0)</f>
        <v>0</v>
      </c>
      <c r="G142" s="85" t="str">
        <f aca="false">IFERROR(SUMPRODUCT((('Loan Tape'!$R$4:$R$303&lt;&gt;"")*(1-(('Loan Tape'!$AB$4:$AB$303=R138)+('Loan Tape'!$AB$4:$AB$303=R139)+('Loan Tape'!$AB$4:$AB$303=R140)+('Loan Tape'!$AB$4:$AB$303=R141)))*('Loan Tape'!$E$4:$E$303='Deal Strat'!$C$12))*'Loan Tape'!$U$4:$U$303*'Loan Tape'!$R$4:$R$303)/E142,"-")</f>
        <v>-</v>
      </c>
      <c r="H142" s="68" t="str">
        <f aca="false">IFERROR(SUMPRODUCT((('Loan Tape'!$R$4:$R$303&lt;&gt;"")*(1-(('Loan Tape'!$AB$4:$AB$303=R138)+('Loan Tape'!$AB$4:$AB$303=R139)+('Loan Tape'!$AB$4:$AB$303=R140)+('Loan Tape'!$AB$4:$AB$303=R141)))*('Loan Tape'!$E$4:$E$303='Deal Strat'!$C$12))*'Loan Tape'!$AH$4:$AH$303*'Loan Tape'!$R$4:$R$303)/E142,"-")</f>
        <v>-</v>
      </c>
      <c r="I142" s="68" t="str">
        <f aca="false">IFERROR(SUMPRODUCT((('Loan Tape'!$R$4:$R$303&lt;&gt;"")*(1-(('Loan Tape'!$AB$4:$AB$303=R138)+('Loan Tape'!$AB$4:$AB$303=R139)+('Loan Tape'!$AB$4:$AB$303=R140)+('Loan Tape'!$AB$4:$AB$303=R141)))*('Loan Tape'!$E$4:$E$303='Deal Strat'!$C$12))*(('Loan Tape'!$H$4:$H$303-$C$4)/30.4375)*'Loan Tape'!$R$4:$R$303)/E142,"-")</f>
        <v>-</v>
      </c>
      <c r="J142" s="69" t="str">
        <f aca="false">IFERROR(SUMPRODUCT((('Loan Tape'!$R$4:$R$303&lt;&gt;"")*(1-(('Loan Tape'!$AB$4:$AB$303=R138)+('Loan Tape'!$AB$4:$AB$303=R139)+('Loan Tape'!$AB$4:$AB$303=R140)+('Loan Tape'!$AB$4:$AB$303=R141)))*('Loan Tape'!$E$4:$E$303='Deal Strat'!$C$12))*('Loan Tape'!$K$4:$K$303="Floating")*'Loan Tape'!$R$4:$R$303)/E142,"-")</f>
        <v>-</v>
      </c>
      <c r="K142" s="69" t="str">
        <f aca="false">IFERROR(SUMPRODUCT((('Loan Tape'!$R$4:$R$303&lt;&gt;"")*(1-(('Loan Tape'!$AB$4:$AB$303=R138)+('Loan Tape'!$AB$4:$AB$303=R139)+('Loan Tape'!$AB$4:$AB$303=R140)+('Loan Tape'!$AB$4:$AB$303=R141)))*('Loan Tape'!$E$4:$E$303='Deal Strat'!$C$12))*'Loan Tape'!$T$4:$T$303*'Loan Tape'!$R$4:$R$303)/E142,"-")</f>
        <v>-</v>
      </c>
      <c r="L142" s="69" t="str">
        <f aca="false">IFERROR(SUMPRODUCT((('Loan Tape'!$R$4:$R$303&lt;&gt;"")*(1-(('Loan Tape'!$AB$4:$AB$303=R138)+('Loan Tape'!$AB$4:$AB$303=R139)+('Loan Tape'!$AB$4:$AB$303=R140)+('Loan Tape'!$AB$4:$AB$303=R141)))*('Loan Tape'!$E$4:$E$303='Deal Strat'!$C$12))*'Loan Tape'!$V$4:$V$303*'Loan Tape'!$R$4:$R$303)/E142,"-")</f>
        <v>-</v>
      </c>
      <c r="M142" s="69" t="str">
        <f aca="false">IFERROR(SUMPRODUCT((('Loan Tape'!$R$4:$R$303&lt;&gt;"")*(1-(('Loan Tape'!$AB$4:$AB$303=R138)+('Loan Tape'!$AB$4:$AB$303=R139)+('Loan Tape'!$AB$4:$AB$303=R140)+('Loan Tape'!$AB$4:$AB$303=R141)))*('Loan Tape'!$E$4:$E$303='Deal Strat'!$C$12))*'Loan Tape'!$W$4:$W$303*'Loan Tape'!$R$4:$R$303)/E142,"-")</f>
        <v>-</v>
      </c>
      <c r="N142" s="69" t="str">
        <f aca="false">IFERROR(SUMPRODUCT((('Loan Tape'!$R$4:$R$303&lt;&gt;"")*(1-(('Loan Tape'!$AB$4:$AB$303=R138)+('Loan Tape'!$AB$4:$AB$303=R139)+('Loan Tape'!$AB$4:$AB$303=R140)+('Loan Tape'!$AB$4:$AB$303=R141)))*('Loan Tape'!$E$4:$E$303='Deal Strat'!$C$12))*'Loan Tape'!$AI$4:$AI$303*'Loan Tape'!$R$4:$R$303)/E142,"-")</f>
        <v>-</v>
      </c>
      <c r="O142" s="69" t="str">
        <f aca="false">IFERROR(SUMPRODUCT((('Loan Tape'!$R$4:$R$303&lt;&gt;"")*(1-(('Loan Tape'!$AB$4:$AB$303=R138)+('Loan Tape'!$AB$4:$AB$303=R139)+('Loan Tape'!$AB$4:$AB$303=R140)+('Loan Tape'!$AB$4:$AB$303=R141)))*('Loan Tape'!$E$4:$E$303='Deal Strat'!$C$12))*'Loan Tape'!$AK$4:$AK$303*'Loan Tape'!$R$4:$R$303)/E142,"-")</f>
        <v>-</v>
      </c>
      <c r="P142" s="69" t="str">
        <f aca="false">IFERROR(SUMPRODUCT((('Loan Tape'!$R$4:$R$303&lt;&gt;"")*(1-(('Loan Tape'!$AB$4:$AB$303=R138)+('Loan Tape'!$AB$4:$AB$303=R139)+('Loan Tape'!$AB$4:$AB$303=R140)+('Loan Tape'!$AB$4:$AB$303=R141)))*('Loan Tape'!$E$4:$E$303='Deal Strat'!$C$12))*'Loan Tape'!$S$4:$S$303*'Loan Tape'!$R$4:$R$303)/E142,"-")</f>
        <v>-</v>
      </c>
    </row>
    <row r="143" customFormat="false" ht="14.25" hidden="false" customHeight="false" outlineLevel="0" collapsed="false">
      <c r="B143" s="86" t="s">
        <v>405</v>
      </c>
      <c r="C143" s="92" t="n">
        <f aca="false">C6</f>
        <v>5</v>
      </c>
      <c r="D143" s="92" t="n">
        <f aca="false">SUMPRODUCT(('Loan Tape'!$E$4:$E$303='Deal Strat'!$C$12)*'Loan Tape'!$F$4:$F$303)</f>
        <v>593</v>
      </c>
      <c r="E143" s="88" t="n">
        <f aca="false">C5</f>
        <v>372487000</v>
      </c>
      <c r="F143" s="89" t="n">
        <f aca="false">1</f>
        <v>1</v>
      </c>
      <c r="G143" s="90" t="n">
        <f aca="false">IFERROR(SUMPRODUCT((('Loan Tape'!$R$4:$R$303&lt;&gt;"")*('Loan Tape'!$E$4:$E$303='Deal Strat'!$C$12))*'Loan Tape'!$U$4:$U$303*'Loan Tape'!$R$4:$R$303)/E143,"-")</f>
        <v>1.46286165691689</v>
      </c>
      <c r="H143" s="92" t="n">
        <f aca="false">IFERROR(SUMPRODUCT((('Loan Tape'!$R$4:$R$303&lt;&gt;"")*('Loan Tape'!$E$4:$E$303='Deal Strat'!$C$12))*'Loan Tape'!$AH$4:$AH$303*'Loan Tape'!$R$4:$R$303)/E143,"-")</f>
        <v>100.401133462376</v>
      </c>
      <c r="I143" s="92" t="n">
        <f aca="false">IFERROR(SUMPRODUCT((('Loan Tape'!$R$4:$R$303&lt;&gt;"")*('Loan Tape'!$E$4:$E$303='Deal Strat'!$C$12))*(('Loan Tape'!$H$4:$H$303-$C$4)/30.4375)*'Loan Tape'!$R$4:$R$303)/E143,"-")</f>
        <v>4.02239639370792</v>
      </c>
      <c r="J143" s="89" t="n">
        <f aca="false">IFERROR(SUMPRODUCT((('Loan Tape'!$R$4:$R$303&lt;&gt;"")*('Loan Tape'!$E$4:$E$303='Deal Strat'!$C$12))*('Loan Tape'!$K$4:$K$303="Floating")*'Loan Tape'!$R$4:$R$303)/E143,"-")</f>
        <v>0.64712593996569</v>
      </c>
      <c r="K143" s="89" t="n">
        <f aca="false">IFERROR(SUMPRODUCT((('Loan Tape'!$R$4:$R$303&lt;&gt;"")*('Loan Tape'!$E$4:$E$303='Deal Strat'!$C$12))*'Loan Tape'!$T$4:$T$303*'Loan Tape'!$R$4:$R$303)/E143,"-")</f>
        <v>0.0853727877751438</v>
      </c>
      <c r="L143" s="89" t="n">
        <f aca="false">IFERROR(SUMPRODUCT((('Loan Tape'!$R$4:$R$303&lt;&gt;"")*('Loan Tape'!$E$4:$E$303='Deal Strat'!$C$12))*'Loan Tape'!$V$4:$V$303*'Loan Tape'!$R$4:$R$303)/E143,"-")</f>
        <v>0.69021042345102</v>
      </c>
      <c r="M143" s="89" t="n">
        <f aca="false">IFERROR(SUMPRODUCT((('Loan Tape'!$R$4:$R$303&lt;&gt;"")*('Loan Tape'!$E$4:$E$303='Deal Strat'!$C$12))*'Loan Tape'!$W$4:$W$303*'Loan Tape'!$R$4:$R$303)/E143,"-")</f>
        <v>0.727922306013364</v>
      </c>
      <c r="N143" s="89" t="n">
        <f aca="false">IFERROR(SUMPRODUCT((('Loan Tape'!$R$4:$R$303&lt;&gt;"")*('Loan Tape'!$E$4:$E$303='Deal Strat'!$C$12))*'Loan Tape'!$AI$4:$AI$303*'Loan Tape'!$R$4:$R$303)/E143,"-")</f>
        <v>0.0680705466231036</v>
      </c>
      <c r="O143" s="89" t="n">
        <f aca="false">IFERROR(SUMPRODUCT((('Loan Tape'!$R$4:$R$303&lt;&gt;"")*('Loan Tape'!$E$4:$E$303='Deal Strat'!$C$12))*'Loan Tape'!$AK$4:$AK$303*'Loan Tape'!$R$4:$R$303)/E143,"-")</f>
        <v>0.077777435722589</v>
      </c>
      <c r="P143" s="89" t="n">
        <f aca="false">IFERROR(SUMPRODUCT((('Loan Tape'!$R$4:$R$303&lt;&gt;"")*('Loan Tape'!$E$4:$E$303='Deal Strat'!$C$12))*'Loan Tape'!$S$4:$S$303*'Loan Tape'!$R$4:$R$303)/E143,"-")</f>
        <v>0.841462496677736</v>
      </c>
    </row>
    <row r="145" customFormat="false" ht="19.5" hidden="false" customHeight="true" outlineLevel="0" collapsed="false">
      <c r="B145" s="5" t="s">
        <v>420</v>
      </c>
      <c r="C145" s="5"/>
      <c r="D145" s="5"/>
      <c r="E145" s="5"/>
      <c r="F145" s="5"/>
      <c r="G145" s="5"/>
      <c r="H145" s="5"/>
      <c r="I145" s="5"/>
      <c r="J145" s="5"/>
      <c r="K145" s="5"/>
      <c r="L145" s="5"/>
      <c r="M145" s="5"/>
      <c r="N145" s="5"/>
      <c r="O145" s="5"/>
      <c r="P145" s="5"/>
    </row>
    <row r="146" customFormat="false" ht="42" hidden="false" customHeight="true" outlineLevel="0" collapsed="false">
      <c r="B146" s="82" t="s">
        <v>392</v>
      </c>
      <c r="C146" s="83" t="s">
        <v>368</v>
      </c>
      <c r="D146" s="83" t="s">
        <v>153</v>
      </c>
      <c r="E146" s="83" t="s">
        <v>393</v>
      </c>
      <c r="F146" s="83" t="s">
        <v>394</v>
      </c>
      <c r="G146" s="83" t="s">
        <v>395</v>
      </c>
      <c r="H146" s="83" t="s">
        <v>396</v>
      </c>
      <c r="I146" s="83" t="s">
        <v>397</v>
      </c>
      <c r="J146" s="83" t="s">
        <v>398</v>
      </c>
      <c r="K146" s="83" t="s">
        <v>399</v>
      </c>
      <c r="L146" s="83" t="s">
        <v>400</v>
      </c>
      <c r="M146" s="83" t="s">
        <v>401</v>
      </c>
      <c r="N146" s="83" t="s">
        <v>402</v>
      </c>
      <c r="O146" s="83" t="s">
        <v>403</v>
      </c>
      <c r="P146" s="83" t="s">
        <v>365</v>
      </c>
    </row>
    <row r="147" customFormat="false" ht="14.25" hidden="false" customHeight="false" outlineLevel="0" collapsed="false">
      <c r="B147" s="7" t="str">
        <f aca="false">R147</f>
        <v>Monthly</v>
      </c>
      <c r="C147" s="68" t="n">
        <f aca="false">COUNTIFS('Loan Tape'!$N$4:$N$303,R147,'Loan Tape'!$E$4:$E$303,'Deal Strat'!$C$12)</f>
        <v>1</v>
      </c>
      <c r="D147" s="68" t="n">
        <f aca="false">SUMPRODUCT((('Loan Tape'!$R$4:$R$303&lt;&gt;"")*('Loan Tape'!$N$4:$N$303=R147)*('Loan Tape'!$E$4:$E$303='Deal Strat'!$C$12))*'Loan Tape'!$F$4:$F$303)</f>
        <v>0</v>
      </c>
      <c r="E147" s="84" t="n">
        <f aca="false">SUMIFS('Loan Tape'!$R$4:$R$303,'Loan Tape'!$N$4:$N$303,R147,'Loan Tape'!$E$4:$E$303,'Deal Strat'!$C$12)</f>
        <v>120313000</v>
      </c>
      <c r="F147" s="69" t="n">
        <f aca="false">IFERROR(E147/C5,0)</f>
        <v>0.322999191918107</v>
      </c>
      <c r="G147" s="85" t="n">
        <f aca="false">IFERROR(SUMPRODUCT((('Loan Tape'!$R$4:$R$303&lt;&gt;"")*('Loan Tape'!$N$4:$N$303=R147)*('Loan Tape'!$E$4:$E$303='Deal Strat'!$C$12))*'Loan Tape'!$U$4:$U$303*'Loan Tape'!$R$4:$R$303)/E147,"-")</f>
        <v>1.38</v>
      </c>
      <c r="H147" s="68" t="n">
        <f aca="false">IFERROR(SUMPRODUCT((('Loan Tape'!$R$4:$R$303&lt;&gt;"")*('Loan Tape'!$N$4:$N$303=R147)*('Loan Tape'!$E$4:$E$303='Deal Strat'!$C$12))*'Loan Tape'!$AH$4:$AH$303*'Loan Tape'!$R$4:$R$303)/E147,"-")</f>
        <v>100</v>
      </c>
      <c r="I147" s="68" t="n">
        <f aca="false">IFERROR(SUMPRODUCT((('Loan Tape'!$R$4:$R$303&lt;&gt;"")*('Loan Tape'!$N$4:$N$303=R147)*('Loan Tape'!$E$4:$E$303='Deal Strat'!$C$12))*(('Loan Tape'!$H$4:$H$303-$C$4)/30.4375)*'Loan Tape'!$R$4:$R$303)/E147,"-")</f>
        <v>20.041067761807</v>
      </c>
      <c r="J147" s="69" t="n">
        <f aca="false">IFERROR(SUMPRODUCT((('Loan Tape'!$R$4:$R$303&lt;&gt;"")*('Loan Tape'!$N$4:$N$303=R147)*('Loan Tape'!$E$4:$E$303='Deal Strat'!$C$12))*('Loan Tape'!$K$4:$K$303="Floating")*'Loan Tape'!$R$4:$R$303)/E147,"-")</f>
        <v>1</v>
      </c>
      <c r="K147" s="69" t="n">
        <f aca="false">IFERROR(SUMPRODUCT((('Loan Tape'!$R$4:$R$303&lt;&gt;"")*('Loan Tape'!$N$4:$N$303=R147)*('Loan Tape'!$E$4:$E$303='Deal Strat'!$C$12))*'Loan Tape'!$T$4:$T$303*'Loan Tape'!$R$4:$R$303)/E147,"-")</f>
        <v>0.0814</v>
      </c>
      <c r="L147" s="69" t="n">
        <f aca="false">IFERROR(SUMPRODUCT((('Loan Tape'!$R$4:$R$303&lt;&gt;"")*('Loan Tape'!$N$4:$N$303=R147)*('Loan Tape'!$E$4:$E$303='Deal Strat'!$C$12))*'Loan Tape'!$V$4:$V$303*'Loan Tape'!$R$4:$R$303)/E147,"-")</f>
        <v>0.663</v>
      </c>
      <c r="M147" s="69" t="n">
        <f aca="false">IFERROR(SUMPRODUCT((('Loan Tape'!$R$4:$R$303&lt;&gt;"")*('Loan Tape'!$N$4:$N$303=R147)*('Loan Tape'!$E$4:$E$303='Deal Strat'!$C$12))*'Loan Tape'!$W$4:$W$303*'Loan Tape'!$R$4:$R$303)/E147,"-")</f>
        <v>0.69</v>
      </c>
      <c r="N147" s="69" t="n">
        <f aca="false">IFERROR(SUMPRODUCT((('Loan Tape'!$R$4:$R$303&lt;&gt;"")*('Loan Tape'!$N$4:$N$303=R147)*('Loan Tape'!$E$4:$E$303='Deal Strat'!$C$12))*'Loan Tape'!$AI$4:$AI$303*'Loan Tape'!$R$4:$R$303)/E147,"-")</f>
        <v>0.083</v>
      </c>
      <c r="O147" s="69" t="n">
        <f aca="false">IFERROR(SUMPRODUCT((('Loan Tape'!$R$4:$R$303&lt;&gt;"")*('Loan Tape'!$N$4:$N$303=R147)*('Loan Tape'!$E$4:$E$303='Deal Strat'!$C$12))*'Loan Tape'!$AK$4:$AK$303*'Loan Tape'!$R$4:$R$303)/E147,"-")</f>
        <v>0.098</v>
      </c>
      <c r="P147" s="69" t="n">
        <f aca="false">IFERROR(SUMPRODUCT((('Loan Tape'!$R$4:$R$303&lt;&gt;"")*('Loan Tape'!$N$4:$N$303=R147)*('Loan Tape'!$E$4:$E$303='Deal Strat'!$C$12))*'Loan Tape'!$S$4:$S$303*'Loan Tape'!$R$4:$R$303)/E147,"-")</f>
        <v>0.784</v>
      </c>
      <c r="R147" s="91" t="s">
        <v>210</v>
      </c>
    </row>
    <row r="148" customFormat="false" ht="14.25" hidden="false" customHeight="false" outlineLevel="0" collapsed="false">
      <c r="B148" s="7" t="str">
        <f aca="false">R148</f>
        <v>Quarterly</v>
      </c>
      <c r="C148" s="68" t="n">
        <f aca="false">COUNTIFS('Loan Tape'!$N$4:$N$303,R148,'Loan Tape'!$E$4:$E$303,'Deal Strat'!$C$12)</f>
        <v>2</v>
      </c>
      <c r="D148" s="68" t="n">
        <f aca="false">SUMPRODUCT((('Loan Tape'!$R$4:$R$303&lt;&gt;"")*('Loan Tape'!$N$4:$N$303=R148)*('Loan Tape'!$E$4:$E$303='Deal Strat'!$C$12))*'Loan Tape'!$F$4:$F$303)</f>
        <v>184</v>
      </c>
      <c r="E148" s="84" t="n">
        <f aca="false">SUMIFS('Loan Tape'!$R$4:$R$303,'Loan Tape'!$N$4:$N$303,R148,'Loan Tape'!$E$4:$E$303,'Deal Strat'!$C$12)</f>
        <v>120733000</v>
      </c>
      <c r="F148" s="69" t="n">
        <f aca="false">IFERROR(E148/C5,0)</f>
        <v>0.324126748047583</v>
      </c>
      <c r="G148" s="85" t="n">
        <f aca="false">IFERROR(SUMPRODUCT((('Loan Tape'!$R$4:$R$303&lt;&gt;"")*('Loan Tape'!$N$4:$N$303=R148)*('Loan Tape'!$E$4:$E$303='Deal Strat'!$C$12))*'Loan Tape'!$U$4:$U$303*'Loan Tape'!$R$4:$R$303)/E148,"-")</f>
        <v>1.43319871120572</v>
      </c>
      <c r="H148" s="68" t="n">
        <f aca="false">IFERROR(SUMPRODUCT((('Loan Tape'!$R$4:$R$303&lt;&gt;"")*('Loan Tape'!$N$4:$N$303=R148)*('Loan Tape'!$E$4:$E$303='Deal Strat'!$C$12))*'Loan Tape'!$AH$4:$AH$303*'Loan Tape'!$R$4:$R$303)/E148,"-")</f>
        <v>102.045695874367</v>
      </c>
      <c r="I148" s="68" t="n">
        <f aca="false">IFERROR(SUMPRODUCT((('Loan Tape'!$R$4:$R$303&lt;&gt;"")*('Loan Tape'!$N$4:$N$303=R148)*('Loan Tape'!$E$4:$E$303='Deal Strat'!$C$12))*(('Loan Tape'!$H$4:$H$303-$C$4)/30.4375)*'Loan Tape'!$R$4:$R$303)/E148,"-")</f>
        <v>17.9747441751719</v>
      </c>
      <c r="J148" s="69" t="n">
        <f aca="false">IFERROR(SUMPRODUCT((('Loan Tape'!$R$4:$R$303&lt;&gt;"")*('Loan Tape'!$N$4:$N$303=R148)*('Loan Tape'!$E$4:$E$303='Deal Strat'!$C$12))*('Loan Tape'!$K$4:$K$303="Floating")*'Loan Tape'!$R$4:$R$303)/E148,"-")</f>
        <v>1</v>
      </c>
      <c r="K148" s="69" t="n">
        <f aca="false">IFERROR(SUMPRODUCT((('Loan Tape'!$R$4:$R$303&lt;&gt;"")*('Loan Tape'!$N$4:$N$303=R148)*('Loan Tape'!$E$4:$E$303='Deal Strat'!$C$12))*'Loan Tape'!$T$4:$T$303*'Loan Tape'!$R$4:$R$303)/E148,"-")</f>
        <v>0.079653242278416</v>
      </c>
      <c r="L148" s="69" t="n">
        <f aca="false">IFERROR(SUMPRODUCT((('Loan Tape'!$R$4:$R$303&lt;&gt;"")*('Loan Tape'!$N$4:$N$303=R148)*('Loan Tape'!$E$4:$E$303='Deal Strat'!$C$12))*'Loan Tape'!$V$4:$V$303*'Loan Tape'!$R$4:$R$303)/E148,"-")</f>
        <v>0.577751327309021</v>
      </c>
      <c r="M148" s="69" t="n">
        <f aca="false">IFERROR(SUMPRODUCT((('Loan Tape'!$R$4:$R$303&lt;&gt;"")*('Loan Tape'!$N$4:$N$303=R148)*('Loan Tape'!$E$4:$E$303='Deal Strat'!$C$12))*'Loan Tape'!$W$4:$W$303*'Loan Tape'!$R$4:$R$303)/E148,"-")</f>
        <v>0.607751327309021</v>
      </c>
      <c r="N148" s="69" t="n">
        <f aca="false">IFERROR(SUMPRODUCT((('Loan Tape'!$R$4:$R$303&lt;&gt;"")*('Loan Tape'!$N$4:$N$303=R148)*('Loan Tape'!$E$4:$E$303='Deal Strat'!$C$12))*'Loan Tape'!$AI$4:$AI$303*'Loan Tape'!$R$4:$R$303)/E148,"-")</f>
        <v>0.0649477152062816</v>
      </c>
      <c r="O148" s="69" t="n">
        <f aca="false">IFERROR(SUMPRODUCT((('Loan Tape'!$R$4:$R$303&lt;&gt;"")*('Loan Tape'!$N$4:$N$303=R148)*('Loan Tape'!$E$4:$E$303='Deal Strat'!$C$12))*'Loan Tape'!$AK$4:$AK$303*'Loan Tape'!$R$4:$R$303)/E148,"-")</f>
        <v>0.0799477152062816</v>
      </c>
      <c r="P148" s="69" t="n">
        <f aca="false">IFERROR(SUMPRODUCT((('Loan Tape'!$R$4:$R$303&lt;&gt;"")*('Loan Tape'!$N$4:$N$303=R148)*('Loan Tape'!$E$4:$E$303='Deal Strat'!$C$12))*'Loan Tape'!$S$4:$S$303*'Loan Tape'!$R$4:$R$303)/E148,"-")</f>
        <v>0.875689703726405</v>
      </c>
      <c r="R148" s="91" t="s">
        <v>230</v>
      </c>
    </row>
    <row r="149" customFormat="false" ht="14.25" hidden="false" customHeight="false" outlineLevel="0" collapsed="false">
      <c r="B149" s="7" t="str">
        <f aca="false">R149</f>
        <v>Annual</v>
      </c>
      <c r="C149" s="68" t="n">
        <f aca="false">COUNTIFS('Loan Tape'!$N$4:$N$303,R149,'Loan Tape'!$E$4:$E$303,'Deal Strat'!$C$12)</f>
        <v>0</v>
      </c>
      <c r="D149" s="68" t="n">
        <f aca="false">SUMPRODUCT((('Loan Tape'!$R$4:$R$303&lt;&gt;"")*('Loan Tape'!$N$4:$N$303=R149)*('Loan Tape'!$E$4:$E$303='Deal Strat'!$C$12))*'Loan Tape'!$F$4:$F$303)</f>
        <v>0</v>
      </c>
      <c r="E149" s="84" t="n">
        <f aca="false">SUMIFS('Loan Tape'!$R$4:$R$303,'Loan Tape'!$N$4:$N$303,R149,'Loan Tape'!$E$4:$E$303,'Deal Strat'!$C$12)</f>
        <v>0</v>
      </c>
      <c r="F149" s="69" t="n">
        <f aca="false">IFERROR(E149/C5,0)</f>
        <v>0</v>
      </c>
      <c r="G149" s="85" t="str">
        <f aca="false">IFERROR(SUMPRODUCT((('Loan Tape'!$R$4:$R$303&lt;&gt;"")*('Loan Tape'!$N$4:$N$303=R149)*('Loan Tape'!$E$4:$E$303='Deal Strat'!$C$12))*'Loan Tape'!$U$4:$U$303*'Loan Tape'!$R$4:$R$303)/E149,"-")</f>
        <v>-</v>
      </c>
      <c r="H149" s="68" t="str">
        <f aca="false">IFERROR(SUMPRODUCT((('Loan Tape'!$R$4:$R$303&lt;&gt;"")*('Loan Tape'!$N$4:$N$303=R149)*('Loan Tape'!$E$4:$E$303='Deal Strat'!$C$12))*'Loan Tape'!$AH$4:$AH$303*'Loan Tape'!$R$4:$R$303)/E149,"-")</f>
        <v>-</v>
      </c>
      <c r="I149" s="68" t="str">
        <f aca="false">IFERROR(SUMPRODUCT((('Loan Tape'!$R$4:$R$303&lt;&gt;"")*('Loan Tape'!$N$4:$N$303=R149)*('Loan Tape'!$E$4:$E$303='Deal Strat'!$C$12))*(('Loan Tape'!$H$4:$H$303-$C$4)/30.4375)*'Loan Tape'!$R$4:$R$303)/E149,"-")</f>
        <v>-</v>
      </c>
      <c r="J149" s="69" t="str">
        <f aca="false">IFERROR(SUMPRODUCT((('Loan Tape'!$R$4:$R$303&lt;&gt;"")*('Loan Tape'!$N$4:$N$303=R149)*('Loan Tape'!$E$4:$E$303='Deal Strat'!$C$12))*('Loan Tape'!$K$4:$K$303="Floating")*'Loan Tape'!$R$4:$R$303)/E149,"-")</f>
        <v>-</v>
      </c>
      <c r="K149" s="69" t="str">
        <f aca="false">IFERROR(SUMPRODUCT((('Loan Tape'!$R$4:$R$303&lt;&gt;"")*('Loan Tape'!$N$4:$N$303=R149)*('Loan Tape'!$E$4:$E$303='Deal Strat'!$C$12))*'Loan Tape'!$T$4:$T$303*'Loan Tape'!$R$4:$R$303)/E149,"-")</f>
        <v>-</v>
      </c>
      <c r="L149" s="69" t="str">
        <f aca="false">IFERROR(SUMPRODUCT((('Loan Tape'!$R$4:$R$303&lt;&gt;"")*('Loan Tape'!$N$4:$N$303=R149)*('Loan Tape'!$E$4:$E$303='Deal Strat'!$C$12))*'Loan Tape'!$V$4:$V$303*'Loan Tape'!$R$4:$R$303)/E149,"-")</f>
        <v>-</v>
      </c>
      <c r="M149" s="69" t="str">
        <f aca="false">IFERROR(SUMPRODUCT((('Loan Tape'!$R$4:$R$303&lt;&gt;"")*('Loan Tape'!$N$4:$N$303=R149)*('Loan Tape'!$E$4:$E$303='Deal Strat'!$C$12))*'Loan Tape'!$W$4:$W$303*'Loan Tape'!$R$4:$R$303)/E149,"-")</f>
        <v>-</v>
      </c>
      <c r="N149" s="69" t="str">
        <f aca="false">IFERROR(SUMPRODUCT((('Loan Tape'!$R$4:$R$303&lt;&gt;"")*('Loan Tape'!$N$4:$N$303=R149)*('Loan Tape'!$E$4:$E$303='Deal Strat'!$C$12))*'Loan Tape'!$AI$4:$AI$303*'Loan Tape'!$R$4:$R$303)/E149,"-")</f>
        <v>-</v>
      </c>
      <c r="O149" s="69" t="str">
        <f aca="false">IFERROR(SUMPRODUCT((('Loan Tape'!$R$4:$R$303&lt;&gt;"")*('Loan Tape'!$N$4:$N$303=R149)*('Loan Tape'!$E$4:$E$303='Deal Strat'!$C$12))*'Loan Tape'!$AK$4:$AK$303*'Loan Tape'!$R$4:$R$303)/E149,"-")</f>
        <v>-</v>
      </c>
      <c r="P149" s="69" t="str">
        <f aca="false">IFERROR(SUMPRODUCT((('Loan Tape'!$R$4:$R$303&lt;&gt;"")*('Loan Tape'!$N$4:$N$303=R149)*('Loan Tape'!$E$4:$E$303='Deal Strat'!$C$12))*'Loan Tape'!$S$4:$S$303*'Loan Tape'!$R$4:$R$303)/E149,"-")</f>
        <v>-</v>
      </c>
      <c r="R149" s="91" t="s">
        <v>421</v>
      </c>
    </row>
    <row r="150" customFormat="false" ht="14.25" hidden="false" customHeight="false" outlineLevel="0" collapsed="false">
      <c r="B150" s="7" t="str">
        <f aca="false">R150</f>
        <v>N/A</v>
      </c>
      <c r="C150" s="68" t="n">
        <f aca="false">COUNTIFS('Loan Tape'!$N$4:$N$303,R150,'Loan Tape'!$E$4:$E$303,'Deal Strat'!$C$12)</f>
        <v>2</v>
      </c>
      <c r="D150" s="68" t="n">
        <f aca="false">SUMPRODUCT((('Loan Tape'!$R$4:$R$303&lt;&gt;"")*('Loan Tape'!$N$4:$N$303=R150)*('Loan Tape'!$E$4:$E$303='Deal Strat'!$C$12))*'Loan Tape'!$F$4:$F$303)</f>
        <v>409</v>
      </c>
      <c r="E150" s="84" t="n">
        <f aca="false">SUMIFS('Loan Tape'!$R$4:$R$303,'Loan Tape'!$N$4:$N$303,R150,'Loan Tape'!$E$4:$E$303,'Deal Strat'!$C$12)</f>
        <v>131441000</v>
      </c>
      <c r="F150" s="69" t="n">
        <f aca="false">IFERROR(E150/C5,0)</f>
        <v>0.35287406003431</v>
      </c>
      <c r="G150" s="85" t="n">
        <f aca="false">IFERROR(SUMPRODUCT((('Loan Tape'!$R$4:$R$303&lt;&gt;"")*('Loan Tape'!$N$4:$N$303=R150)*('Loan Tape'!$E$4:$E$303='Deal Strat'!$C$12))*'Loan Tape'!$U$4:$U$303*'Loan Tape'!$R$4:$R$303)/E150,"-")</f>
        <v>1.56595453473422</v>
      </c>
      <c r="H150" s="68" t="n">
        <f aca="false">IFERROR(SUMPRODUCT((('Loan Tape'!$R$4:$R$303&lt;&gt;"")*('Loan Tape'!$N$4:$N$303=R150)*('Loan Tape'!$E$4:$E$303='Deal Strat'!$C$12))*'Loan Tape'!$AH$4:$AH$303*'Loan Tape'!$R$4:$R$303)/E150,"-")</f>
        <v>99.2577201938512</v>
      </c>
      <c r="I150" s="68" t="n">
        <f aca="false">IFERROR(SUMPRODUCT((('Loan Tape'!$R$4:$R$303&lt;&gt;"")*('Loan Tape'!$N$4:$N$303=R150)*('Loan Tape'!$E$4:$E$303='Deal Strat'!$C$12))*(('Loan Tape'!$H$4:$H$303-$C$4)/30.4375)*'Loan Tape'!$R$4:$R$303)/E150,"-")</f>
        <v>-23.4558121790326</v>
      </c>
      <c r="J150" s="69" t="n">
        <f aca="false">IFERROR(SUMPRODUCT((('Loan Tape'!$R$4:$R$303&lt;&gt;"")*('Loan Tape'!$N$4:$N$303=R150)*('Loan Tape'!$E$4:$E$303='Deal Strat'!$C$12))*('Loan Tape'!$K$4:$K$303="Floating")*'Loan Tape'!$R$4:$R$303)/E150,"-")</f>
        <v>0</v>
      </c>
      <c r="K150" s="69" t="n">
        <f aca="false">IFERROR(SUMPRODUCT((('Loan Tape'!$R$4:$R$303&lt;&gt;"")*('Loan Tape'!$N$4:$N$303=R150)*('Loan Tape'!$E$4:$E$303='Deal Strat'!$C$12))*'Loan Tape'!$T$4:$T$303*'Loan Tape'!$R$4:$R$303)/E150,"-")</f>
        <v>0.0942628289498711</v>
      </c>
      <c r="L150" s="69" t="n">
        <f aca="false">IFERROR(SUMPRODUCT((('Loan Tape'!$R$4:$R$303&lt;&gt;"")*('Loan Tape'!$N$4:$N$303=R150)*('Loan Tape'!$E$4:$E$303='Deal Strat'!$C$12))*'Loan Tape'!$V$4:$V$303*'Loan Tape'!$R$4:$R$303)/E150,"-")</f>
        <v>0.818414649918975</v>
      </c>
      <c r="M150" s="69" t="n">
        <f aca="false">IFERROR(SUMPRODUCT((('Loan Tape'!$R$4:$R$303&lt;&gt;"")*('Loan Tape'!$N$4:$N$303=R150)*('Loan Tape'!$E$4:$E$303='Deal Strat'!$C$12))*'Loan Tape'!$W$4:$W$303*'Loan Tape'!$R$4:$R$303)/E150,"-")</f>
        <v>0.873015155088595</v>
      </c>
      <c r="N150" s="69" t="n">
        <f aca="false">IFERROR(SUMPRODUCT((('Loan Tape'!$R$4:$R$303&lt;&gt;"")*('Loan Tape'!$N$4:$N$303=R150)*('Loan Tape'!$E$4:$E$303='Deal Strat'!$C$12))*'Loan Tape'!$AI$4:$AI$303*'Loan Tape'!$R$4:$R$303)/E150,"-")</f>
        <v>0.0572734702261851</v>
      </c>
      <c r="O150" s="69" t="n">
        <f aca="false">IFERROR(SUMPRODUCT((('Loan Tape'!$R$4:$R$303&lt;&gt;"")*('Loan Tape'!$N$4:$N$303=R150)*('Loan Tape'!$E$4:$E$303='Deal Strat'!$C$12))*'Loan Tape'!$AK$4:$AK$303*'Loan Tape'!$R$4:$R$303)/E150,"-")</f>
        <v>0.0572734702261851</v>
      </c>
      <c r="P150" s="69" t="n">
        <f aca="false">IFERROR(SUMPRODUCT((('Loan Tape'!$R$4:$R$303&lt;&gt;"")*('Loan Tape'!$N$4:$N$303=R150)*('Loan Tape'!$E$4:$E$303='Deal Strat'!$C$12))*'Loan Tape'!$S$4:$S$303*'Loan Tape'!$R$4:$R$303)/E150,"-")</f>
        <v>0.862621282552628</v>
      </c>
      <c r="R150" s="91" t="s">
        <v>246</v>
      </c>
    </row>
    <row r="151" customFormat="false" ht="14.25" hidden="false" customHeight="false" outlineLevel="0" collapsed="false">
      <c r="B151" s="7" t="s">
        <v>407</v>
      </c>
      <c r="C151" s="68" t="n">
        <f aca="false">C6-SUM(C147:C150)</f>
        <v>0</v>
      </c>
      <c r="D151" s="68" t="n">
        <f aca="false">SUMPRODUCT(('Loan Tape'!$E$4:$E$303='Deal Strat'!$C$12)*'Loan Tape'!$F$4:$F$303)-SUM(D147:D150)</f>
        <v>0</v>
      </c>
      <c r="E151" s="84" t="n">
        <f aca="false">C5-SUM(E147:E150)</f>
        <v>0</v>
      </c>
      <c r="F151" s="69" t="n">
        <f aca="false">IFERROR(E151/C5,0)</f>
        <v>0</v>
      </c>
      <c r="G151" s="85" t="str">
        <f aca="false">IFERROR(SUMPRODUCT((('Loan Tape'!$R$4:$R$303&lt;&gt;"")*(1-(('Loan Tape'!$N$4:$N$303=R147)+('Loan Tape'!$N$4:$N$303=R148)+('Loan Tape'!$N$4:$N$303=R149)+('Loan Tape'!$N$4:$N$303=R150)))*('Loan Tape'!$E$4:$E$303='Deal Strat'!$C$12))*'Loan Tape'!$U$4:$U$303*'Loan Tape'!$R$4:$R$303)/E151,"-")</f>
        <v>-</v>
      </c>
      <c r="H151" s="68" t="str">
        <f aca="false">IFERROR(SUMPRODUCT((('Loan Tape'!$R$4:$R$303&lt;&gt;"")*(1-(('Loan Tape'!$N$4:$N$303=R147)+('Loan Tape'!$N$4:$N$303=R148)+('Loan Tape'!$N$4:$N$303=R149)+('Loan Tape'!$N$4:$N$303=R150)))*('Loan Tape'!$E$4:$E$303='Deal Strat'!$C$12))*'Loan Tape'!$AH$4:$AH$303*'Loan Tape'!$R$4:$R$303)/E151,"-")</f>
        <v>-</v>
      </c>
      <c r="I151" s="68" t="str">
        <f aca="false">IFERROR(SUMPRODUCT((('Loan Tape'!$R$4:$R$303&lt;&gt;"")*(1-(('Loan Tape'!$N$4:$N$303=R147)+('Loan Tape'!$N$4:$N$303=R148)+('Loan Tape'!$N$4:$N$303=R149)+('Loan Tape'!$N$4:$N$303=R150)))*('Loan Tape'!$E$4:$E$303='Deal Strat'!$C$12))*(('Loan Tape'!$H$4:$H$303-$C$4)/30.4375)*'Loan Tape'!$R$4:$R$303)/E151,"-")</f>
        <v>-</v>
      </c>
      <c r="J151" s="69" t="str">
        <f aca="false">IFERROR(SUMPRODUCT((('Loan Tape'!$R$4:$R$303&lt;&gt;"")*(1-(('Loan Tape'!$N$4:$N$303=R147)+('Loan Tape'!$N$4:$N$303=R148)+('Loan Tape'!$N$4:$N$303=R149)+('Loan Tape'!$N$4:$N$303=R150)))*('Loan Tape'!$E$4:$E$303='Deal Strat'!$C$12))*('Loan Tape'!$K$4:$K$303="Floating")*'Loan Tape'!$R$4:$R$303)/E151,"-")</f>
        <v>-</v>
      </c>
      <c r="K151" s="69" t="str">
        <f aca="false">IFERROR(SUMPRODUCT((('Loan Tape'!$R$4:$R$303&lt;&gt;"")*(1-(('Loan Tape'!$N$4:$N$303=R147)+('Loan Tape'!$N$4:$N$303=R148)+('Loan Tape'!$N$4:$N$303=R149)+('Loan Tape'!$N$4:$N$303=R150)))*('Loan Tape'!$E$4:$E$303='Deal Strat'!$C$12))*'Loan Tape'!$T$4:$T$303*'Loan Tape'!$R$4:$R$303)/E151,"-")</f>
        <v>-</v>
      </c>
      <c r="L151" s="69" t="str">
        <f aca="false">IFERROR(SUMPRODUCT((('Loan Tape'!$R$4:$R$303&lt;&gt;"")*(1-(('Loan Tape'!$N$4:$N$303=R147)+('Loan Tape'!$N$4:$N$303=R148)+('Loan Tape'!$N$4:$N$303=R149)+('Loan Tape'!$N$4:$N$303=R150)))*('Loan Tape'!$E$4:$E$303='Deal Strat'!$C$12))*'Loan Tape'!$V$4:$V$303*'Loan Tape'!$R$4:$R$303)/E151,"-")</f>
        <v>-</v>
      </c>
      <c r="M151" s="69" t="str">
        <f aca="false">IFERROR(SUMPRODUCT((('Loan Tape'!$R$4:$R$303&lt;&gt;"")*(1-(('Loan Tape'!$N$4:$N$303=R147)+('Loan Tape'!$N$4:$N$303=R148)+('Loan Tape'!$N$4:$N$303=R149)+('Loan Tape'!$N$4:$N$303=R150)))*('Loan Tape'!$E$4:$E$303='Deal Strat'!$C$12))*'Loan Tape'!$W$4:$W$303*'Loan Tape'!$R$4:$R$303)/E151,"-")</f>
        <v>-</v>
      </c>
      <c r="N151" s="69" t="str">
        <f aca="false">IFERROR(SUMPRODUCT((('Loan Tape'!$R$4:$R$303&lt;&gt;"")*(1-(('Loan Tape'!$N$4:$N$303=R147)+('Loan Tape'!$N$4:$N$303=R148)+('Loan Tape'!$N$4:$N$303=R149)+('Loan Tape'!$N$4:$N$303=R150)))*('Loan Tape'!$E$4:$E$303='Deal Strat'!$C$12))*'Loan Tape'!$AI$4:$AI$303*'Loan Tape'!$R$4:$R$303)/E151,"-")</f>
        <v>-</v>
      </c>
      <c r="O151" s="69" t="str">
        <f aca="false">IFERROR(SUMPRODUCT((('Loan Tape'!$R$4:$R$303&lt;&gt;"")*(1-(('Loan Tape'!$N$4:$N$303=R147)+('Loan Tape'!$N$4:$N$303=R148)+('Loan Tape'!$N$4:$N$303=R149)+('Loan Tape'!$N$4:$N$303=R150)))*('Loan Tape'!$E$4:$E$303='Deal Strat'!$C$12))*'Loan Tape'!$AK$4:$AK$303*'Loan Tape'!$R$4:$R$303)/E151,"-")</f>
        <v>-</v>
      </c>
      <c r="P151" s="69" t="str">
        <f aca="false">IFERROR(SUMPRODUCT((('Loan Tape'!$R$4:$R$303&lt;&gt;"")*(1-(('Loan Tape'!$N$4:$N$303=R147)+('Loan Tape'!$N$4:$N$303=R148)+('Loan Tape'!$N$4:$N$303=R149)+('Loan Tape'!$N$4:$N$303=R150)))*('Loan Tape'!$E$4:$E$303='Deal Strat'!$C$12))*'Loan Tape'!$S$4:$S$303*'Loan Tape'!$R$4:$R$303)/E151,"-")</f>
        <v>-</v>
      </c>
    </row>
    <row r="152" customFormat="false" ht="14.25" hidden="false" customHeight="false" outlineLevel="0" collapsed="false">
      <c r="B152" s="86" t="s">
        <v>405</v>
      </c>
      <c r="C152" s="92" t="n">
        <f aca="false">C6</f>
        <v>5</v>
      </c>
      <c r="D152" s="92" t="n">
        <f aca="false">SUMPRODUCT(('Loan Tape'!$E$4:$E$303='Deal Strat'!$C$12)*'Loan Tape'!$F$4:$F$303)</f>
        <v>593</v>
      </c>
      <c r="E152" s="88" t="n">
        <f aca="false">C5</f>
        <v>372487000</v>
      </c>
      <c r="F152" s="89" t="n">
        <f aca="false">1</f>
        <v>1</v>
      </c>
      <c r="G152" s="90" t="n">
        <f aca="false">IFERROR(SUMPRODUCT((('Loan Tape'!$R$4:$R$303&lt;&gt;"")*('Loan Tape'!$E$4:$E$303='Deal Strat'!$C$12))*'Loan Tape'!$U$4:$U$303*'Loan Tape'!$R$4:$R$303)/E152,"-")</f>
        <v>1.46286165691689</v>
      </c>
      <c r="H152" s="92" t="n">
        <f aca="false">IFERROR(SUMPRODUCT((('Loan Tape'!$R$4:$R$303&lt;&gt;"")*('Loan Tape'!$E$4:$E$303='Deal Strat'!$C$12))*'Loan Tape'!$AH$4:$AH$303*'Loan Tape'!$R$4:$R$303)/E152,"-")</f>
        <v>100.401133462376</v>
      </c>
      <c r="I152" s="92" t="n">
        <f aca="false">IFERROR(SUMPRODUCT((('Loan Tape'!$R$4:$R$303&lt;&gt;"")*('Loan Tape'!$E$4:$E$303='Deal Strat'!$C$12))*(('Loan Tape'!$H$4:$H$303-$C$4)/30.4375)*'Loan Tape'!$R$4:$R$303)/E152,"-")</f>
        <v>4.02239639370792</v>
      </c>
      <c r="J152" s="89" t="n">
        <f aca="false">IFERROR(SUMPRODUCT((('Loan Tape'!$R$4:$R$303&lt;&gt;"")*('Loan Tape'!$E$4:$E$303='Deal Strat'!$C$12))*('Loan Tape'!$K$4:$K$303="Floating")*'Loan Tape'!$R$4:$R$303)/E152,"-")</f>
        <v>0.64712593996569</v>
      </c>
      <c r="K152" s="89" t="n">
        <f aca="false">IFERROR(SUMPRODUCT((('Loan Tape'!$R$4:$R$303&lt;&gt;"")*('Loan Tape'!$E$4:$E$303='Deal Strat'!$C$12))*'Loan Tape'!$T$4:$T$303*'Loan Tape'!$R$4:$R$303)/E152,"-")</f>
        <v>0.0853727877751438</v>
      </c>
      <c r="L152" s="89" t="n">
        <f aca="false">IFERROR(SUMPRODUCT((('Loan Tape'!$R$4:$R$303&lt;&gt;"")*('Loan Tape'!$E$4:$E$303='Deal Strat'!$C$12))*'Loan Tape'!$V$4:$V$303*'Loan Tape'!$R$4:$R$303)/E152,"-")</f>
        <v>0.69021042345102</v>
      </c>
      <c r="M152" s="89" t="n">
        <f aca="false">IFERROR(SUMPRODUCT((('Loan Tape'!$R$4:$R$303&lt;&gt;"")*('Loan Tape'!$E$4:$E$303='Deal Strat'!$C$12))*'Loan Tape'!$W$4:$W$303*'Loan Tape'!$R$4:$R$303)/E152,"-")</f>
        <v>0.727922306013364</v>
      </c>
      <c r="N152" s="89" t="n">
        <f aca="false">IFERROR(SUMPRODUCT((('Loan Tape'!$R$4:$R$303&lt;&gt;"")*('Loan Tape'!$E$4:$E$303='Deal Strat'!$C$12))*'Loan Tape'!$AI$4:$AI$303*'Loan Tape'!$R$4:$R$303)/E152,"-")</f>
        <v>0.0680705466231036</v>
      </c>
      <c r="O152" s="89" t="n">
        <f aca="false">IFERROR(SUMPRODUCT((('Loan Tape'!$R$4:$R$303&lt;&gt;"")*('Loan Tape'!$E$4:$E$303='Deal Strat'!$C$12))*'Loan Tape'!$AK$4:$AK$303*'Loan Tape'!$R$4:$R$303)/E152,"-")</f>
        <v>0.077777435722589</v>
      </c>
      <c r="P152" s="89" t="n">
        <f aca="false">IFERROR(SUMPRODUCT((('Loan Tape'!$R$4:$R$303&lt;&gt;"")*('Loan Tape'!$E$4:$E$303='Deal Strat'!$C$12))*'Loan Tape'!$S$4:$S$303*'Loan Tape'!$R$4:$R$303)/E152,"-")</f>
        <v>0.841462496677736</v>
      </c>
    </row>
    <row r="154" customFormat="false" ht="19.5" hidden="false" customHeight="true" outlineLevel="0" collapsed="false">
      <c r="B154" s="5" t="s">
        <v>422</v>
      </c>
      <c r="C154" s="5"/>
      <c r="D154" s="5"/>
      <c r="E154" s="5"/>
      <c r="F154" s="5"/>
      <c r="G154" s="5"/>
      <c r="H154" s="5"/>
      <c r="I154" s="5"/>
      <c r="J154" s="5"/>
      <c r="K154" s="5"/>
      <c r="L154" s="5"/>
      <c r="M154" s="5"/>
      <c r="N154" s="5"/>
      <c r="O154" s="5"/>
      <c r="P154" s="5"/>
    </row>
    <row r="155" customFormat="false" ht="42" hidden="false" customHeight="true" outlineLevel="0" collapsed="false">
      <c r="B155" s="82" t="s">
        <v>423</v>
      </c>
      <c r="C155" s="83" t="s">
        <v>368</v>
      </c>
      <c r="D155" s="83" t="s">
        <v>153</v>
      </c>
      <c r="E155" s="83" t="s">
        <v>393</v>
      </c>
      <c r="F155" s="83" t="s">
        <v>394</v>
      </c>
      <c r="G155" s="83" t="s">
        <v>395</v>
      </c>
      <c r="H155" s="83" t="s">
        <v>396</v>
      </c>
      <c r="I155" s="83" t="s">
        <v>397</v>
      </c>
      <c r="J155" s="83" t="s">
        <v>398</v>
      </c>
      <c r="K155" s="83" t="s">
        <v>399</v>
      </c>
      <c r="L155" s="83" t="s">
        <v>400</v>
      </c>
      <c r="M155" s="83" t="s">
        <v>401</v>
      </c>
      <c r="N155" s="83" t="s">
        <v>402</v>
      </c>
      <c r="O155" s="83" t="s">
        <v>403</v>
      </c>
      <c r="P155" s="83" t="s">
        <v>365</v>
      </c>
    </row>
    <row r="156" customFormat="false" ht="14.25" hidden="false" customHeight="false" outlineLevel="0" collapsed="false">
      <c r="B156" s="7" t="s">
        <v>424</v>
      </c>
      <c r="C156" s="68" t="n">
        <f aca="false">COUNTIFS('Loan Tape'!$R$4:$R$303,"&gt;="&amp;R156,'Loan Tape'!$R$4:$R$303,"&lt;="&amp;S156,'Loan Tape'!$R$4:$R$303,"&lt;&gt;",'Loan Tape'!$E$4:$E$303,'Deal Strat'!$C$12)</f>
        <v>0</v>
      </c>
      <c r="D156" s="68" t="n">
        <f aca="false">SUMPRODUCT((('Loan Tape'!$R$4:$R$303&lt;&gt;"")*('Loan Tape'!$R$4:$R$303&gt;=R156)*('Loan Tape'!$R$4:$R$303&lt;=S156)*('Loan Tape'!$E$4:$E$303='Deal Strat'!$C$12))*'Loan Tape'!$F$4:$F$303)</f>
        <v>0</v>
      </c>
      <c r="E156" s="84" t="n">
        <f aca="false">SUMIFS('Loan Tape'!$R$4:$R$303,'Loan Tape'!$R$4:$R$303,"&gt;="&amp;R156,'Loan Tape'!$R$4:$R$303,"&lt;="&amp;S156,'Loan Tape'!$R$4:$R$303,"&lt;&gt;",'Loan Tape'!$E$4:$E$303,'Deal Strat'!$C$12)</f>
        <v>0</v>
      </c>
      <c r="F156" s="69" t="n">
        <f aca="false">IFERROR(E156/C5,0)</f>
        <v>0</v>
      </c>
      <c r="G156" s="85" t="str">
        <f aca="false">IFERROR(SUMPRODUCT((('Loan Tape'!$R$4:$R$303&lt;&gt;"")*('Loan Tape'!$R$4:$R$303&gt;=R156)*('Loan Tape'!$R$4:$R$303&lt;=S156)*('Loan Tape'!$E$4:$E$303='Deal Strat'!$C$12))*'Loan Tape'!$U$4:$U$303*'Loan Tape'!$R$4:$R$303)/E156,"-")</f>
        <v>-</v>
      </c>
      <c r="H156" s="68" t="str">
        <f aca="false">IFERROR(SUMPRODUCT((('Loan Tape'!$R$4:$R$303&lt;&gt;"")*('Loan Tape'!$R$4:$R$303&gt;=R156)*('Loan Tape'!$R$4:$R$303&lt;=S156)*('Loan Tape'!$E$4:$E$303='Deal Strat'!$C$12))*'Loan Tape'!$AH$4:$AH$303*'Loan Tape'!$R$4:$R$303)/E156,"-")</f>
        <v>-</v>
      </c>
      <c r="I156" s="68" t="str">
        <f aca="false">IFERROR(SUMPRODUCT((('Loan Tape'!$R$4:$R$303&lt;&gt;"")*('Loan Tape'!$R$4:$R$303&gt;=R156)*('Loan Tape'!$R$4:$R$303&lt;=S156)*('Loan Tape'!$E$4:$E$303='Deal Strat'!$C$12))*(('Loan Tape'!$H$4:$H$303-$C$4)/30.4375)*'Loan Tape'!$R$4:$R$303)/E156,"-")</f>
        <v>-</v>
      </c>
      <c r="J156" s="69" t="str">
        <f aca="false">IFERROR(SUMPRODUCT((('Loan Tape'!$R$4:$R$303&lt;&gt;"")*('Loan Tape'!$R$4:$R$303&gt;=R156)*('Loan Tape'!$R$4:$R$303&lt;=S156)*('Loan Tape'!$E$4:$E$303='Deal Strat'!$C$12))*('Loan Tape'!$K$4:$K$303="Floating")*'Loan Tape'!$R$4:$R$303)/E156,"-")</f>
        <v>-</v>
      </c>
      <c r="K156" s="69" t="str">
        <f aca="false">IFERROR(SUMPRODUCT((('Loan Tape'!$R$4:$R$303&lt;&gt;"")*('Loan Tape'!$R$4:$R$303&gt;=R156)*('Loan Tape'!$R$4:$R$303&lt;=S156)*('Loan Tape'!$E$4:$E$303='Deal Strat'!$C$12))*'Loan Tape'!$T$4:$T$303*'Loan Tape'!$R$4:$R$303)/E156,"-")</f>
        <v>-</v>
      </c>
      <c r="L156" s="69" t="str">
        <f aca="false">IFERROR(SUMPRODUCT((('Loan Tape'!$R$4:$R$303&lt;&gt;"")*('Loan Tape'!$R$4:$R$303&gt;=R156)*('Loan Tape'!$R$4:$R$303&lt;=S156)*('Loan Tape'!$E$4:$E$303='Deal Strat'!$C$12))*'Loan Tape'!$V$4:$V$303*'Loan Tape'!$R$4:$R$303)/E156,"-")</f>
        <v>-</v>
      </c>
      <c r="M156" s="69" t="str">
        <f aca="false">IFERROR(SUMPRODUCT((('Loan Tape'!$R$4:$R$303&lt;&gt;"")*('Loan Tape'!$R$4:$R$303&gt;=R156)*('Loan Tape'!$R$4:$R$303&lt;=S156)*('Loan Tape'!$E$4:$E$303='Deal Strat'!$C$12))*'Loan Tape'!$W$4:$W$303*'Loan Tape'!$R$4:$R$303)/E156,"-")</f>
        <v>-</v>
      </c>
      <c r="N156" s="69" t="str">
        <f aca="false">IFERROR(SUMPRODUCT((('Loan Tape'!$R$4:$R$303&lt;&gt;"")*('Loan Tape'!$R$4:$R$303&gt;=R156)*('Loan Tape'!$R$4:$R$303&lt;=S156)*('Loan Tape'!$E$4:$E$303='Deal Strat'!$C$12))*'Loan Tape'!$AI$4:$AI$303*'Loan Tape'!$R$4:$R$303)/E156,"-")</f>
        <v>-</v>
      </c>
      <c r="O156" s="69" t="str">
        <f aca="false">IFERROR(SUMPRODUCT((('Loan Tape'!$R$4:$R$303&lt;&gt;"")*('Loan Tape'!$R$4:$R$303&gt;=R156)*('Loan Tape'!$R$4:$R$303&lt;=S156)*('Loan Tape'!$E$4:$E$303='Deal Strat'!$C$12))*'Loan Tape'!$AK$4:$AK$303*'Loan Tape'!$R$4:$R$303)/E156,"-")</f>
        <v>-</v>
      </c>
      <c r="P156" s="69" t="str">
        <f aca="false">IFERROR(SUMPRODUCT((('Loan Tape'!$R$4:$R$303&lt;&gt;"")*('Loan Tape'!$R$4:$R$303&gt;=R156)*('Loan Tape'!$R$4:$R$303&lt;=S156)*('Loan Tape'!$E$4:$E$303='Deal Strat'!$C$12))*'Loan Tape'!$S$4:$S$303*'Loan Tape'!$R$4:$R$303)/E156,"-")</f>
        <v>-</v>
      </c>
      <c r="R156" s="91" t="n">
        <v>-1000000000000</v>
      </c>
      <c r="S156" s="91" t="n">
        <v>9999999</v>
      </c>
    </row>
    <row r="157" customFormat="false" ht="14.25" hidden="false" customHeight="false" outlineLevel="0" collapsed="false">
      <c r="B157" s="7" t="s">
        <v>425</v>
      </c>
      <c r="C157" s="68" t="n">
        <f aca="false">COUNTIFS('Loan Tape'!$R$4:$R$303,"&gt;="&amp;R157,'Loan Tape'!$R$4:$R$303,"&lt;="&amp;S157,'Loan Tape'!$R$4:$R$303,"&lt;&gt;",'Loan Tape'!$E$4:$E$303,'Deal Strat'!$C$12)</f>
        <v>0</v>
      </c>
      <c r="D157" s="68" t="n">
        <f aca="false">SUMPRODUCT((('Loan Tape'!$R$4:$R$303&lt;&gt;"")*('Loan Tape'!$R$4:$R$303&gt;=R157)*('Loan Tape'!$R$4:$R$303&lt;=S157)*('Loan Tape'!$E$4:$E$303='Deal Strat'!$C$12))*'Loan Tape'!$F$4:$F$303)</f>
        <v>0</v>
      </c>
      <c r="E157" s="84" t="n">
        <f aca="false">SUMIFS('Loan Tape'!$R$4:$R$303,'Loan Tape'!$R$4:$R$303,"&gt;="&amp;R157,'Loan Tape'!$R$4:$R$303,"&lt;="&amp;S157,'Loan Tape'!$R$4:$R$303,"&lt;&gt;",'Loan Tape'!$E$4:$E$303,'Deal Strat'!$C$12)</f>
        <v>0</v>
      </c>
      <c r="F157" s="69" t="n">
        <f aca="false">IFERROR(E157/C5,0)</f>
        <v>0</v>
      </c>
      <c r="G157" s="85" t="str">
        <f aca="false">IFERROR(SUMPRODUCT((('Loan Tape'!$R$4:$R$303&lt;&gt;"")*('Loan Tape'!$R$4:$R$303&gt;=R157)*('Loan Tape'!$R$4:$R$303&lt;=S157)*('Loan Tape'!$E$4:$E$303='Deal Strat'!$C$12))*'Loan Tape'!$U$4:$U$303*'Loan Tape'!$R$4:$R$303)/E157,"-")</f>
        <v>-</v>
      </c>
      <c r="H157" s="68" t="str">
        <f aca="false">IFERROR(SUMPRODUCT((('Loan Tape'!$R$4:$R$303&lt;&gt;"")*('Loan Tape'!$R$4:$R$303&gt;=R157)*('Loan Tape'!$R$4:$R$303&lt;=S157)*('Loan Tape'!$E$4:$E$303='Deal Strat'!$C$12))*'Loan Tape'!$AH$4:$AH$303*'Loan Tape'!$R$4:$R$303)/E157,"-")</f>
        <v>-</v>
      </c>
      <c r="I157" s="68" t="str">
        <f aca="false">IFERROR(SUMPRODUCT((('Loan Tape'!$R$4:$R$303&lt;&gt;"")*('Loan Tape'!$R$4:$R$303&gt;=R157)*('Loan Tape'!$R$4:$R$303&lt;=S157)*('Loan Tape'!$E$4:$E$303='Deal Strat'!$C$12))*(('Loan Tape'!$H$4:$H$303-$C$4)/30.4375)*'Loan Tape'!$R$4:$R$303)/E157,"-")</f>
        <v>-</v>
      </c>
      <c r="J157" s="69" t="str">
        <f aca="false">IFERROR(SUMPRODUCT((('Loan Tape'!$R$4:$R$303&lt;&gt;"")*('Loan Tape'!$R$4:$R$303&gt;=R157)*('Loan Tape'!$R$4:$R$303&lt;=S157)*('Loan Tape'!$E$4:$E$303='Deal Strat'!$C$12))*('Loan Tape'!$K$4:$K$303="Floating")*'Loan Tape'!$R$4:$R$303)/E157,"-")</f>
        <v>-</v>
      </c>
      <c r="K157" s="69" t="str">
        <f aca="false">IFERROR(SUMPRODUCT((('Loan Tape'!$R$4:$R$303&lt;&gt;"")*('Loan Tape'!$R$4:$R$303&gt;=R157)*('Loan Tape'!$R$4:$R$303&lt;=S157)*('Loan Tape'!$E$4:$E$303='Deal Strat'!$C$12))*'Loan Tape'!$T$4:$T$303*'Loan Tape'!$R$4:$R$303)/E157,"-")</f>
        <v>-</v>
      </c>
      <c r="L157" s="69" t="str">
        <f aca="false">IFERROR(SUMPRODUCT((('Loan Tape'!$R$4:$R$303&lt;&gt;"")*('Loan Tape'!$R$4:$R$303&gt;=R157)*('Loan Tape'!$R$4:$R$303&lt;=S157)*('Loan Tape'!$E$4:$E$303='Deal Strat'!$C$12))*'Loan Tape'!$V$4:$V$303*'Loan Tape'!$R$4:$R$303)/E157,"-")</f>
        <v>-</v>
      </c>
      <c r="M157" s="69" t="str">
        <f aca="false">IFERROR(SUMPRODUCT((('Loan Tape'!$R$4:$R$303&lt;&gt;"")*('Loan Tape'!$R$4:$R$303&gt;=R157)*('Loan Tape'!$R$4:$R$303&lt;=S157)*('Loan Tape'!$E$4:$E$303='Deal Strat'!$C$12))*'Loan Tape'!$W$4:$W$303*'Loan Tape'!$R$4:$R$303)/E157,"-")</f>
        <v>-</v>
      </c>
      <c r="N157" s="69" t="str">
        <f aca="false">IFERROR(SUMPRODUCT((('Loan Tape'!$R$4:$R$303&lt;&gt;"")*('Loan Tape'!$R$4:$R$303&gt;=R157)*('Loan Tape'!$R$4:$R$303&lt;=S157)*('Loan Tape'!$E$4:$E$303='Deal Strat'!$C$12))*'Loan Tape'!$AI$4:$AI$303*'Loan Tape'!$R$4:$R$303)/E157,"-")</f>
        <v>-</v>
      </c>
      <c r="O157" s="69" t="str">
        <f aca="false">IFERROR(SUMPRODUCT((('Loan Tape'!$R$4:$R$303&lt;&gt;"")*('Loan Tape'!$R$4:$R$303&gt;=R157)*('Loan Tape'!$R$4:$R$303&lt;=S157)*('Loan Tape'!$E$4:$E$303='Deal Strat'!$C$12))*'Loan Tape'!$AK$4:$AK$303*'Loan Tape'!$R$4:$R$303)/E157,"-")</f>
        <v>-</v>
      </c>
      <c r="P157" s="69" t="str">
        <f aca="false">IFERROR(SUMPRODUCT((('Loan Tape'!$R$4:$R$303&lt;&gt;"")*('Loan Tape'!$R$4:$R$303&gt;=R157)*('Loan Tape'!$R$4:$R$303&lt;=S157)*('Loan Tape'!$E$4:$E$303='Deal Strat'!$C$12))*'Loan Tape'!$S$4:$S$303*'Loan Tape'!$R$4:$R$303)/E157,"-")</f>
        <v>-</v>
      </c>
      <c r="R157" s="91" t="n">
        <v>10000000</v>
      </c>
      <c r="S157" s="91" t="n">
        <v>24999999</v>
      </c>
    </row>
    <row r="158" customFormat="false" ht="14.25" hidden="false" customHeight="false" outlineLevel="0" collapsed="false">
      <c r="B158" s="7" t="s">
        <v>426</v>
      </c>
      <c r="C158" s="68" t="n">
        <f aca="false">COUNTIFS('Loan Tape'!$R$4:$R$303,"&gt;="&amp;R158,'Loan Tape'!$R$4:$R$303,"&lt;="&amp;S158,'Loan Tape'!$R$4:$R$303,"&lt;&gt;",'Loan Tape'!$E$4:$E$303,'Deal Strat'!$C$12)</f>
        <v>1</v>
      </c>
      <c r="D158" s="68" t="n">
        <f aca="false">SUMPRODUCT((('Loan Tape'!$R$4:$R$303&lt;&gt;"")*('Loan Tape'!$R$4:$R$303&gt;=R158)*('Loan Tape'!$R$4:$R$303&lt;=S158)*('Loan Tape'!$E$4:$E$303='Deal Strat'!$C$12))*'Loan Tape'!$F$4:$F$303)</f>
        <v>171</v>
      </c>
      <c r="E158" s="84" t="n">
        <f aca="false">SUMIFS('Loan Tape'!$R$4:$R$303,'Loan Tape'!$R$4:$R$303,"&gt;="&amp;R158,'Loan Tape'!$R$4:$R$303,"&lt;="&amp;S158,'Loan Tape'!$R$4:$R$303,"&lt;&gt;",'Loan Tape'!$E$4:$E$303,'Deal Strat'!$C$12)</f>
        <v>45056000</v>
      </c>
      <c r="F158" s="69" t="n">
        <f aca="false">IFERROR(E158/C5,0)</f>
        <v>0.120959926118227</v>
      </c>
      <c r="G158" s="85" t="n">
        <f aca="false">IFERROR(SUMPRODUCT((('Loan Tape'!$R$4:$R$303&lt;&gt;"")*('Loan Tape'!$R$4:$R$303&gt;=R158)*('Loan Tape'!$R$4:$R$303&lt;=S158)*('Loan Tape'!$E$4:$E$303='Deal Strat'!$C$12))*'Loan Tape'!$U$4:$U$303*'Loan Tape'!$R$4:$R$303)/E158,"-")</f>
        <v>1.98</v>
      </c>
      <c r="H158" s="68" t="n">
        <f aca="false">IFERROR(SUMPRODUCT((('Loan Tape'!$R$4:$R$303&lt;&gt;"")*('Loan Tape'!$R$4:$R$303&gt;=R158)*('Loan Tape'!$R$4:$R$303&lt;=S158)*('Loan Tape'!$E$4:$E$303='Deal Strat'!$C$12))*'Loan Tape'!$AH$4:$AH$303*'Loan Tape'!$R$4:$R$303)/E158,"-")</f>
        <v>94</v>
      </c>
      <c r="I158" s="68" t="n">
        <f aca="false">IFERROR(SUMPRODUCT((('Loan Tape'!$R$4:$R$303&lt;&gt;"")*('Loan Tape'!$R$4:$R$303&gt;=R158)*('Loan Tape'!$R$4:$R$303&lt;=S158)*('Loan Tape'!$E$4:$E$303='Deal Strat'!$C$12))*(('Loan Tape'!$H$4:$H$303-$C$4)/30.4375)*'Loan Tape'!$R$4:$R$303)/E158,"-")</f>
        <v>-33.9712525667351</v>
      </c>
      <c r="J158" s="69" t="n">
        <f aca="false">IFERROR(SUMPRODUCT((('Loan Tape'!$R$4:$R$303&lt;&gt;"")*('Loan Tape'!$R$4:$R$303&gt;=R158)*('Loan Tape'!$R$4:$R$303&lt;=S158)*('Loan Tape'!$E$4:$E$303='Deal Strat'!$C$12))*('Loan Tape'!$K$4:$K$303="Floating")*'Loan Tape'!$R$4:$R$303)/E158,"-")</f>
        <v>0</v>
      </c>
      <c r="K158" s="69" t="n">
        <f aca="false">IFERROR(SUMPRODUCT((('Loan Tape'!$R$4:$R$303&lt;&gt;"")*('Loan Tape'!$R$4:$R$303&gt;=R158)*('Loan Tape'!$R$4:$R$303&lt;=S158)*('Loan Tape'!$E$4:$E$303='Deal Strat'!$C$12))*'Loan Tape'!$T$4:$T$303*'Loan Tape'!$R$4:$R$303)/E158,"-")</f>
        <v>0.0685</v>
      </c>
      <c r="L158" s="69" t="n">
        <f aca="false">IFERROR(SUMPRODUCT((('Loan Tape'!$R$4:$R$303&lt;&gt;"")*('Loan Tape'!$R$4:$R$303&gt;=R158)*('Loan Tape'!$R$4:$R$303&lt;=S158)*('Loan Tape'!$E$4:$E$303='Deal Strat'!$C$12))*'Loan Tape'!$V$4:$V$303*'Loan Tape'!$R$4:$R$303)/E158,"-")</f>
        <v>0.685</v>
      </c>
      <c r="M158" s="69" t="n">
        <f aca="false">IFERROR(SUMPRODUCT((('Loan Tape'!$R$4:$R$303&lt;&gt;"")*('Loan Tape'!$R$4:$R$303&gt;=R158)*('Loan Tape'!$R$4:$R$303&lt;=S158)*('Loan Tape'!$E$4:$E$303='Deal Strat'!$C$12))*'Loan Tape'!$W$4:$W$303*'Loan Tape'!$R$4:$R$303)/E158,"-")</f>
        <v>0.735</v>
      </c>
      <c r="N158" s="69" t="n">
        <f aca="false">IFERROR(SUMPRODUCT((('Loan Tape'!$R$4:$R$303&lt;&gt;"")*('Loan Tape'!$R$4:$R$303&gt;=R158)*('Loan Tape'!$R$4:$R$303&lt;=S158)*('Loan Tape'!$E$4:$E$303='Deal Strat'!$C$12))*'Loan Tape'!$AI$4:$AI$303*'Loan Tape'!$R$4:$R$303)/E158,"-")</f>
        <v>0.0647</v>
      </c>
      <c r="O158" s="69" t="n">
        <f aca="false">IFERROR(SUMPRODUCT((('Loan Tape'!$R$4:$R$303&lt;&gt;"")*('Loan Tape'!$R$4:$R$303&gt;=R158)*('Loan Tape'!$R$4:$R$303&lt;=S158)*('Loan Tape'!$E$4:$E$303='Deal Strat'!$C$12))*'Loan Tape'!$AK$4:$AK$303*'Loan Tape'!$R$4:$R$303)/E158,"-")</f>
        <v>0.0647</v>
      </c>
      <c r="P158" s="69" t="n">
        <f aca="false">IFERROR(SUMPRODUCT((('Loan Tape'!$R$4:$R$303&lt;&gt;"")*('Loan Tape'!$R$4:$R$303&gt;=R158)*('Loan Tape'!$R$4:$R$303&lt;=S158)*('Loan Tape'!$E$4:$E$303='Deal Strat'!$C$12))*'Loan Tape'!$S$4:$S$303*'Loan Tape'!$R$4:$R$303)/E158,"-")</f>
        <v>0.929</v>
      </c>
      <c r="R158" s="91" t="n">
        <v>25000000</v>
      </c>
      <c r="S158" s="91" t="n">
        <v>49999999</v>
      </c>
    </row>
    <row r="159" customFormat="false" ht="14.25" hidden="false" customHeight="false" outlineLevel="0" collapsed="false">
      <c r="B159" s="7" t="s">
        <v>427</v>
      </c>
      <c r="C159" s="68" t="n">
        <f aca="false">COUNTIFS('Loan Tape'!$R$4:$R$303,"&gt;="&amp;R159,'Loan Tape'!$R$4:$R$303,"&lt;="&amp;S159,'Loan Tape'!$R$4:$R$303,"&lt;&gt;",'Loan Tape'!$E$4:$E$303,'Deal Strat'!$C$12)</f>
        <v>2</v>
      </c>
      <c r="D159" s="68" t="n">
        <f aca="false">SUMPRODUCT((('Loan Tape'!$R$4:$R$303&lt;&gt;"")*('Loan Tape'!$R$4:$R$303&gt;=R159)*('Loan Tape'!$R$4:$R$303&lt;=S159)*('Loan Tape'!$E$4:$E$303='Deal Strat'!$C$12))*'Loan Tape'!$F$4:$F$303)</f>
        <v>184</v>
      </c>
      <c r="E159" s="84" t="n">
        <f aca="false">SUMIFS('Loan Tape'!$R$4:$R$303,'Loan Tape'!$R$4:$R$303,"&gt;="&amp;R159,'Loan Tape'!$R$4:$R$303,"&lt;="&amp;S159,'Loan Tape'!$R$4:$R$303,"&lt;&gt;",'Loan Tape'!$E$4:$E$303,'Deal Strat'!$C$12)</f>
        <v>120733000</v>
      </c>
      <c r="F159" s="69" t="n">
        <f aca="false">IFERROR(E159/C5,0)</f>
        <v>0.324126748047583</v>
      </c>
      <c r="G159" s="85" t="n">
        <f aca="false">IFERROR(SUMPRODUCT((('Loan Tape'!$R$4:$R$303&lt;&gt;"")*('Loan Tape'!$R$4:$R$303&gt;=R159)*('Loan Tape'!$R$4:$R$303&lt;=S159)*('Loan Tape'!$E$4:$E$303='Deal Strat'!$C$12))*'Loan Tape'!$U$4:$U$303*'Loan Tape'!$R$4:$R$303)/E159,"-")</f>
        <v>1.43319871120572</v>
      </c>
      <c r="H159" s="68" t="n">
        <f aca="false">IFERROR(SUMPRODUCT((('Loan Tape'!$R$4:$R$303&lt;&gt;"")*('Loan Tape'!$R$4:$R$303&gt;=R159)*('Loan Tape'!$R$4:$R$303&lt;=S159)*('Loan Tape'!$E$4:$E$303='Deal Strat'!$C$12))*'Loan Tape'!$AH$4:$AH$303*'Loan Tape'!$R$4:$R$303)/E159,"-")</f>
        <v>102.045695874367</v>
      </c>
      <c r="I159" s="68" t="n">
        <f aca="false">IFERROR(SUMPRODUCT((('Loan Tape'!$R$4:$R$303&lt;&gt;"")*('Loan Tape'!$R$4:$R$303&gt;=R159)*('Loan Tape'!$R$4:$R$303&lt;=S159)*('Loan Tape'!$E$4:$E$303='Deal Strat'!$C$12))*(('Loan Tape'!$H$4:$H$303-$C$4)/30.4375)*'Loan Tape'!$R$4:$R$303)/E159,"-")</f>
        <v>17.9747441751719</v>
      </c>
      <c r="J159" s="69" t="n">
        <f aca="false">IFERROR(SUMPRODUCT((('Loan Tape'!$R$4:$R$303&lt;&gt;"")*('Loan Tape'!$R$4:$R$303&gt;=R159)*('Loan Tape'!$R$4:$R$303&lt;=S159)*('Loan Tape'!$E$4:$E$303='Deal Strat'!$C$12))*('Loan Tape'!$K$4:$K$303="Floating")*'Loan Tape'!$R$4:$R$303)/E159,"-")</f>
        <v>1</v>
      </c>
      <c r="K159" s="69" t="n">
        <f aca="false">IFERROR(SUMPRODUCT((('Loan Tape'!$R$4:$R$303&lt;&gt;"")*('Loan Tape'!$R$4:$R$303&gt;=R159)*('Loan Tape'!$R$4:$R$303&lt;=S159)*('Loan Tape'!$E$4:$E$303='Deal Strat'!$C$12))*'Loan Tape'!$T$4:$T$303*'Loan Tape'!$R$4:$R$303)/E159,"-")</f>
        <v>0.079653242278416</v>
      </c>
      <c r="L159" s="69" t="n">
        <f aca="false">IFERROR(SUMPRODUCT((('Loan Tape'!$R$4:$R$303&lt;&gt;"")*('Loan Tape'!$R$4:$R$303&gt;=R159)*('Loan Tape'!$R$4:$R$303&lt;=S159)*('Loan Tape'!$E$4:$E$303='Deal Strat'!$C$12))*'Loan Tape'!$V$4:$V$303*'Loan Tape'!$R$4:$R$303)/E159,"-")</f>
        <v>0.577751327309021</v>
      </c>
      <c r="M159" s="69" t="n">
        <f aca="false">IFERROR(SUMPRODUCT((('Loan Tape'!$R$4:$R$303&lt;&gt;"")*('Loan Tape'!$R$4:$R$303&gt;=R159)*('Loan Tape'!$R$4:$R$303&lt;=S159)*('Loan Tape'!$E$4:$E$303='Deal Strat'!$C$12))*'Loan Tape'!$W$4:$W$303*'Loan Tape'!$R$4:$R$303)/E159,"-")</f>
        <v>0.607751327309021</v>
      </c>
      <c r="N159" s="69" t="n">
        <f aca="false">IFERROR(SUMPRODUCT((('Loan Tape'!$R$4:$R$303&lt;&gt;"")*('Loan Tape'!$R$4:$R$303&gt;=R159)*('Loan Tape'!$R$4:$R$303&lt;=S159)*('Loan Tape'!$E$4:$E$303='Deal Strat'!$C$12))*'Loan Tape'!$AI$4:$AI$303*'Loan Tape'!$R$4:$R$303)/E159,"-")</f>
        <v>0.0649477152062816</v>
      </c>
      <c r="O159" s="69" t="n">
        <f aca="false">IFERROR(SUMPRODUCT((('Loan Tape'!$R$4:$R$303&lt;&gt;"")*('Loan Tape'!$R$4:$R$303&gt;=R159)*('Loan Tape'!$R$4:$R$303&lt;=S159)*('Loan Tape'!$E$4:$E$303='Deal Strat'!$C$12))*'Loan Tape'!$AK$4:$AK$303*'Loan Tape'!$R$4:$R$303)/E159,"-")</f>
        <v>0.0799477152062816</v>
      </c>
      <c r="P159" s="69" t="n">
        <f aca="false">IFERROR(SUMPRODUCT((('Loan Tape'!$R$4:$R$303&lt;&gt;"")*('Loan Tape'!$R$4:$R$303&gt;=R159)*('Loan Tape'!$R$4:$R$303&lt;=S159)*('Loan Tape'!$E$4:$E$303='Deal Strat'!$C$12))*'Loan Tape'!$S$4:$S$303*'Loan Tape'!$R$4:$R$303)/E159,"-")</f>
        <v>0.875689703726405</v>
      </c>
      <c r="R159" s="91" t="n">
        <v>50000000</v>
      </c>
      <c r="S159" s="91" t="n">
        <v>74999999</v>
      </c>
    </row>
    <row r="160" customFormat="false" ht="14.25" hidden="false" customHeight="false" outlineLevel="0" collapsed="false">
      <c r="B160" s="7" t="s">
        <v>428</v>
      </c>
      <c r="C160" s="68" t="n">
        <f aca="false">COUNTIFS('Loan Tape'!$R$4:$R$303,"&gt;="&amp;R160,'Loan Tape'!$R$4:$R$303,"&lt;="&amp;S160,'Loan Tape'!$R$4:$R$303,"&lt;&gt;",'Loan Tape'!$E$4:$E$303,'Deal Strat'!$C$12)</f>
        <v>1</v>
      </c>
      <c r="D160" s="68" t="n">
        <f aca="false">SUMPRODUCT((('Loan Tape'!$R$4:$R$303&lt;&gt;"")*('Loan Tape'!$R$4:$R$303&gt;=R160)*('Loan Tape'!$R$4:$R$303&lt;=S160)*('Loan Tape'!$E$4:$E$303='Deal Strat'!$C$12))*'Loan Tape'!$F$4:$F$303)</f>
        <v>238</v>
      </c>
      <c r="E160" s="84" t="n">
        <f aca="false">SUMIFS('Loan Tape'!$R$4:$R$303,'Loan Tape'!$R$4:$R$303,"&gt;="&amp;R160,'Loan Tape'!$R$4:$R$303,"&lt;="&amp;S160,'Loan Tape'!$R$4:$R$303,"&lt;&gt;",'Loan Tape'!$E$4:$E$303,'Deal Strat'!$C$12)</f>
        <v>86385000</v>
      </c>
      <c r="F160" s="69" t="n">
        <f aca="false">IFERROR(E160/C5,0)</f>
        <v>0.231914133916083</v>
      </c>
      <c r="G160" s="85" t="n">
        <f aca="false">IFERROR(SUMPRODUCT((('Loan Tape'!$R$4:$R$303&lt;&gt;"")*('Loan Tape'!$R$4:$R$303&gt;=R160)*('Loan Tape'!$R$4:$R$303&lt;=S160)*('Loan Tape'!$E$4:$E$303='Deal Strat'!$C$12))*'Loan Tape'!$U$4:$U$303*'Loan Tape'!$R$4:$R$303)/E160,"-")</f>
        <v>1.35</v>
      </c>
      <c r="H160" s="68" t="n">
        <f aca="false">IFERROR(SUMPRODUCT((('Loan Tape'!$R$4:$R$303&lt;&gt;"")*('Loan Tape'!$R$4:$R$303&gt;=R160)*('Loan Tape'!$R$4:$R$303&lt;=S160)*('Loan Tape'!$E$4:$E$303='Deal Strat'!$C$12))*'Loan Tape'!$AH$4:$AH$303*'Loan Tape'!$R$4:$R$303)/E160,"-")</f>
        <v>102</v>
      </c>
      <c r="I160" s="68" t="n">
        <f aca="false">IFERROR(SUMPRODUCT((('Loan Tape'!$R$4:$R$303&lt;&gt;"")*('Loan Tape'!$R$4:$R$303&gt;=R160)*('Loan Tape'!$R$4:$R$303&lt;=S160)*('Loan Tape'!$E$4:$E$303='Deal Strat'!$C$12))*(('Loan Tape'!$H$4:$H$303-$C$4)/30.4375)*'Loan Tape'!$R$4:$R$303)/E160,"-")</f>
        <v>-17.9712525667351</v>
      </c>
      <c r="J160" s="69" t="n">
        <f aca="false">IFERROR(SUMPRODUCT((('Loan Tape'!$R$4:$R$303&lt;&gt;"")*('Loan Tape'!$R$4:$R$303&gt;=R160)*('Loan Tape'!$R$4:$R$303&lt;=S160)*('Loan Tape'!$E$4:$E$303='Deal Strat'!$C$12))*('Loan Tape'!$K$4:$K$303="Floating")*'Loan Tape'!$R$4:$R$303)/E160,"-")</f>
        <v>0</v>
      </c>
      <c r="K160" s="69" t="n">
        <f aca="false">IFERROR(SUMPRODUCT((('Loan Tape'!$R$4:$R$303&lt;&gt;"")*('Loan Tape'!$R$4:$R$303&gt;=R160)*('Loan Tape'!$R$4:$R$303&lt;=S160)*('Loan Tape'!$E$4:$E$303='Deal Strat'!$C$12))*'Loan Tape'!$T$4:$T$303*'Loan Tape'!$R$4:$R$303)/E160,"-")</f>
        <v>0.1077</v>
      </c>
      <c r="L160" s="69" t="n">
        <f aca="false">IFERROR(SUMPRODUCT((('Loan Tape'!$R$4:$R$303&lt;&gt;"")*('Loan Tape'!$R$4:$R$303&gt;=R160)*('Loan Tape'!$R$4:$R$303&lt;=S160)*('Loan Tape'!$E$4:$E$303='Deal Strat'!$C$12))*'Loan Tape'!$V$4:$V$303*'Loan Tape'!$R$4:$R$303)/E160,"-")</f>
        <v>0.888</v>
      </c>
      <c r="M160" s="69" t="n">
        <f aca="false">IFERROR(SUMPRODUCT((('Loan Tape'!$R$4:$R$303&lt;&gt;"")*('Loan Tape'!$R$4:$R$303&gt;=R160)*('Loan Tape'!$R$4:$R$303&lt;=S160)*('Loan Tape'!$E$4:$E$303='Deal Strat'!$C$12))*'Loan Tape'!$W$4:$W$303*'Loan Tape'!$R$4:$R$303)/E160,"-")</f>
        <v>0.945</v>
      </c>
      <c r="N160" s="69" t="n">
        <f aca="false">IFERROR(SUMPRODUCT((('Loan Tape'!$R$4:$R$303&lt;&gt;"")*('Loan Tape'!$R$4:$R$303&gt;=R160)*('Loan Tape'!$R$4:$R$303&lt;=S160)*('Loan Tape'!$E$4:$E$303='Deal Strat'!$C$12))*'Loan Tape'!$AI$4:$AI$303*'Loan Tape'!$R$4:$R$303)/E160,"-")</f>
        <v>0.0534</v>
      </c>
      <c r="O160" s="69" t="n">
        <f aca="false">IFERROR(SUMPRODUCT((('Loan Tape'!$R$4:$R$303&lt;&gt;"")*('Loan Tape'!$R$4:$R$303&gt;=R160)*('Loan Tape'!$R$4:$R$303&lt;=S160)*('Loan Tape'!$E$4:$E$303='Deal Strat'!$C$12))*'Loan Tape'!$AK$4:$AK$303*'Loan Tape'!$R$4:$R$303)/E160,"-")</f>
        <v>0.0534</v>
      </c>
      <c r="P160" s="69" t="n">
        <f aca="false">IFERROR(SUMPRODUCT((('Loan Tape'!$R$4:$R$303&lt;&gt;"")*('Loan Tape'!$R$4:$R$303&gt;=R160)*('Loan Tape'!$R$4:$R$303&lt;=S160)*('Loan Tape'!$E$4:$E$303='Deal Strat'!$C$12))*'Loan Tape'!$S$4:$S$303*'Loan Tape'!$R$4:$R$303)/E160,"-")</f>
        <v>0.828</v>
      </c>
      <c r="R160" s="91" t="n">
        <v>75000000</v>
      </c>
      <c r="S160" s="91" t="n">
        <v>99999999</v>
      </c>
    </row>
    <row r="161" customFormat="false" ht="14.25" hidden="false" customHeight="false" outlineLevel="0" collapsed="false">
      <c r="B161" s="7" t="s">
        <v>429</v>
      </c>
      <c r="C161" s="68" t="n">
        <f aca="false">COUNTIFS('Loan Tape'!$R$4:$R$303,"&gt;="&amp;R161,'Loan Tape'!$R$4:$R$303,"&lt;="&amp;S161,'Loan Tape'!$R$4:$R$303,"&lt;&gt;",'Loan Tape'!$E$4:$E$303,'Deal Strat'!$C$12)</f>
        <v>1</v>
      </c>
      <c r="D161" s="68" t="n">
        <f aca="false">SUMPRODUCT((('Loan Tape'!$R$4:$R$303&lt;&gt;"")*('Loan Tape'!$R$4:$R$303&gt;=R161)*('Loan Tape'!$R$4:$R$303&lt;=S161)*('Loan Tape'!$E$4:$E$303='Deal Strat'!$C$12))*'Loan Tape'!$F$4:$F$303)</f>
        <v>0</v>
      </c>
      <c r="E161" s="84" t="n">
        <f aca="false">SUMIFS('Loan Tape'!$R$4:$R$303,'Loan Tape'!$R$4:$R$303,"&gt;="&amp;R161,'Loan Tape'!$R$4:$R$303,"&lt;="&amp;S161,'Loan Tape'!$R$4:$R$303,"&lt;&gt;",'Loan Tape'!$E$4:$E$303,'Deal Strat'!$C$12)</f>
        <v>120313000</v>
      </c>
      <c r="F161" s="69" t="n">
        <f aca="false">IFERROR(E161/C5,0)</f>
        <v>0.322999191918107</v>
      </c>
      <c r="G161" s="85" t="n">
        <f aca="false">IFERROR(SUMPRODUCT((('Loan Tape'!$R$4:$R$303&lt;&gt;"")*('Loan Tape'!$R$4:$R$303&gt;=R161)*('Loan Tape'!$R$4:$R$303&lt;=S161)*('Loan Tape'!$E$4:$E$303='Deal Strat'!$C$12))*'Loan Tape'!$U$4:$U$303*'Loan Tape'!$R$4:$R$303)/E161,"-")</f>
        <v>1.38</v>
      </c>
      <c r="H161" s="68" t="n">
        <f aca="false">IFERROR(SUMPRODUCT((('Loan Tape'!$R$4:$R$303&lt;&gt;"")*('Loan Tape'!$R$4:$R$303&gt;=R161)*('Loan Tape'!$R$4:$R$303&lt;=S161)*('Loan Tape'!$E$4:$E$303='Deal Strat'!$C$12))*'Loan Tape'!$AH$4:$AH$303*'Loan Tape'!$R$4:$R$303)/E161,"-")</f>
        <v>100</v>
      </c>
      <c r="I161" s="68" t="n">
        <f aca="false">IFERROR(SUMPRODUCT((('Loan Tape'!$R$4:$R$303&lt;&gt;"")*('Loan Tape'!$R$4:$R$303&gt;=R161)*('Loan Tape'!$R$4:$R$303&lt;=S161)*('Loan Tape'!$E$4:$E$303='Deal Strat'!$C$12))*(('Loan Tape'!$H$4:$H$303-$C$4)/30.4375)*'Loan Tape'!$R$4:$R$303)/E161,"-")</f>
        <v>20.041067761807</v>
      </c>
      <c r="J161" s="69" t="n">
        <f aca="false">IFERROR(SUMPRODUCT((('Loan Tape'!$R$4:$R$303&lt;&gt;"")*('Loan Tape'!$R$4:$R$303&gt;=R161)*('Loan Tape'!$R$4:$R$303&lt;=S161)*('Loan Tape'!$E$4:$E$303='Deal Strat'!$C$12))*('Loan Tape'!$K$4:$K$303="Floating")*'Loan Tape'!$R$4:$R$303)/E161,"-")</f>
        <v>1</v>
      </c>
      <c r="K161" s="69" t="n">
        <f aca="false">IFERROR(SUMPRODUCT((('Loan Tape'!$R$4:$R$303&lt;&gt;"")*('Loan Tape'!$R$4:$R$303&gt;=R161)*('Loan Tape'!$R$4:$R$303&lt;=S161)*('Loan Tape'!$E$4:$E$303='Deal Strat'!$C$12))*'Loan Tape'!$T$4:$T$303*'Loan Tape'!$R$4:$R$303)/E161,"-")</f>
        <v>0.0814</v>
      </c>
      <c r="L161" s="69" t="n">
        <f aca="false">IFERROR(SUMPRODUCT((('Loan Tape'!$R$4:$R$303&lt;&gt;"")*('Loan Tape'!$R$4:$R$303&gt;=R161)*('Loan Tape'!$R$4:$R$303&lt;=S161)*('Loan Tape'!$E$4:$E$303='Deal Strat'!$C$12))*'Loan Tape'!$V$4:$V$303*'Loan Tape'!$R$4:$R$303)/E161,"-")</f>
        <v>0.663</v>
      </c>
      <c r="M161" s="69" t="n">
        <f aca="false">IFERROR(SUMPRODUCT((('Loan Tape'!$R$4:$R$303&lt;&gt;"")*('Loan Tape'!$R$4:$R$303&gt;=R161)*('Loan Tape'!$R$4:$R$303&lt;=S161)*('Loan Tape'!$E$4:$E$303='Deal Strat'!$C$12))*'Loan Tape'!$W$4:$W$303*'Loan Tape'!$R$4:$R$303)/E161,"-")</f>
        <v>0.69</v>
      </c>
      <c r="N161" s="69" t="n">
        <f aca="false">IFERROR(SUMPRODUCT((('Loan Tape'!$R$4:$R$303&lt;&gt;"")*('Loan Tape'!$R$4:$R$303&gt;=R161)*('Loan Tape'!$R$4:$R$303&lt;=S161)*('Loan Tape'!$E$4:$E$303='Deal Strat'!$C$12))*'Loan Tape'!$AI$4:$AI$303*'Loan Tape'!$R$4:$R$303)/E161,"-")</f>
        <v>0.083</v>
      </c>
      <c r="O161" s="69" t="n">
        <f aca="false">IFERROR(SUMPRODUCT((('Loan Tape'!$R$4:$R$303&lt;&gt;"")*('Loan Tape'!$R$4:$R$303&gt;=R161)*('Loan Tape'!$R$4:$R$303&lt;=S161)*('Loan Tape'!$E$4:$E$303='Deal Strat'!$C$12))*'Loan Tape'!$AK$4:$AK$303*'Loan Tape'!$R$4:$R$303)/E161,"-")</f>
        <v>0.098</v>
      </c>
      <c r="P161" s="69" t="n">
        <f aca="false">IFERROR(SUMPRODUCT((('Loan Tape'!$R$4:$R$303&lt;&gt;"")*('Loan Tape'!$R$4:$R$303&gt;=R161)*('Loan Tape'!$R$4:$R$303&lt;=S161)*('Loan Tape'!$E$4:$E$303='Deal Strat'!$C$12))*'Loan Tape'!$S$4:$S$303*'Loan Tape'!$R$4:$R$303)/E161,"-")</f>
        <v>0.784</v>
      </c>
      <c r="R161" s="91" t="n">
        <v>100000000</v>
      </c>
      <c r="S161" s="91" t="n">
        <v>1000000000000</v>
      </c>
    </row>
    <row r="162" customFormat="false" ht="14.25" hidden="false" customHeight="false" outlineLevel="0" collapsed="false">
      <c r="B162" s="86" t="s">
        <v>405</v>
      </c>
      <c r="C162" s="92" t="n">
        <f aca="false">SUM(C156:C161)</f>
        <v>5</v>
      </c>
      <c r="D162" s="92" t="n">
        <f aca="false">SUM(D156:D161)</f>
        <v>593</v>
      </c>
      <c r="E162" s="88" t="n">
        <f aca="false">SUM(E156:E161)</f>
        <v>372487000</v>
      </c>
      <c r="F162" s="89" t="n">
        <f aca="false">SUM(F156:F161)</f>
        <v>1</v>
      </c>
      <c r="G162" s="90" t="n">
        <f aca="false">IFERROR(SUMPRODUCT((('Loan Tape'!$R$4:$R$303&lt;&gt;"")*('Loan Tape'!$E$4:$E$303='Deal Strat'!$C$12))*'Loan Tape'!$U$4:$U$303*'Loan Tape'!$R$4:$R$303)/E162,"-")</f>
        <v>1.46286165691689</v>
      </c>
      <c r="H162" s="92" t="n">
        <f aca="false">IFERROR(SUMPRODUCT((('Loan Tape'!$R$4:$R$303&lt;&gt;"")*('Loan Tape'!$E$4:$E$303='Deal Strat'!$C$12))*'Loan Tape'!$AH$4:$AH$303*'Loan Tape'!$R$4:$R$303)/E162,"-")</f>
        <v>100.401133462376</v>
      </c>
      <c r="I162" s="92" t="n">
        <f aca="false">IFERROR(SUMPRODUCT((('Loan Tape'!$R$4:$R$303&lt;&gt;"")*('Loan Tape'!$E$4:$E$303='Deal Strat'!$C$12))*(('Loan Tape'!$H$4:$H$303-$C$4)/30.4375)*'Loan Tape'!$R$4:$R$303)/E162,"-")</f>
        <v>4.02239639370792</v>
      </c>
      <c r="J162" s="89" t="n">
        <f aca="false">IFERROR(SUMPRODUCT((('Loan Tape'!$R$4:$R$303&lt;&gt;"")*('Loan Tape'!$E$4:$E$303='Deal Strat'!$C$12))*('Loan Tape'!$K$4:$K$303="Floating")*'Loan Tape'!$R$4:$R$303)/E162,"-")</f>
        <v>0.64712593996569</v>
      </c>
      <c r="K162" s="89" t="n">
        <f aca="false">IFERROR(SUMPRODUCT((('Loan Tape'!$R$4:$R$303&lt;&gt;"")*('Loan Tape'!$E$4:$E$303='Deal Strat'!$C$12))*'Loan Tape'!$T$4:$T$303*'Loan Tape'!$R$4:$R$303)/E162,"-")</f>
        <v>0.0853727877751438</v>
      </c>
      <c r="L162" s="89" t="n">
        <f aca="false">IFERROR(SUMPRODUCT((('Loan Tape'!$R$4:$R$303&lt;&gt;"")*('Loan Tape'!$E$4:$E$303='Deal Strat'!$C$12))*'Loan Tape'!$V$4:$V$303*'Loan Tape'!$R$4:$R$303)/E162,"-")</f>
        <v>0.69021042345102</v>
      </c>
      <c r="M162" s="89" t="n">
        <f aca="false">IFERROR(SUMPRODUCT((('Loan Tape'!$R$4:$R$303&lt;&gt;"")*('Loan Tape'!$E$4:$E$303='Deal Strat'!$C$12))*'Loan Tape'!$W$4:$W$303*'Loan Tape'!$R$4:$R$303)/E162,"-")</f>
        <v>0.727922306013364</v>
      </c>
      <c r="N162" s="89" t="n">
        <f aca="false">IFERROR(SUMPRODUCT((('Loan Tape'!$R$4:$R$303&lt;&gt;"")*('Loan Tape'!$E$4:$E$303='Deal Strat'!$C$12))*'Loan Tape'!$AI$4:$AI$303*'Loan Tape'!$R$4:$R$303)/E162,"-")</f>
        <v>0.0680705466231036</v>
      </c>
      <c r="O162" s="89" t="n">
        <f aca="false">IFERROR(SUMPRODUCT((('Loan Tape'!$R$4:$R$303&lt;&gt;"")*('Loan Tape'!$E$4:$E$303='Deal Strat'!$C$12))*'Loan Tape'!$AK$4:$AK$303*'Loan Tape'!$R$4:$R$303)/E162,"-")</f>
        <v>0.077777435722589</v>
      </c>
      <c r="P162" s="89" t="n">
        <f aca="false">IFERROR(SUMPRODUCT((('Loan Tape'!$R$4:$R$303&lt;&gt;"")*('Loan Tape'!$E$4:$E$303='Deal Strat'!$C$12))*'Loan Tape'!$S$4:$S$303*'Loan Tape'!$R$4:$R$303)/E162,"-")</f>
        <v>0.841462496677736</v>
      </c>
    </row>
    <row r="164" customFormat="false" ht="19.5" hidden="false" customHeight="true" outlineLevel="0" collapsed="false">
      <c r="B164" s="5" t="s">
        <v>430</v>
      </c>
      <c r="C164" s="5"/>
      <c r="D164" s="5"/>
      <c r="E164" s="5"/>
      <c r="F164" s="5"/>
      <c r="G164" s="5"/>
      <c r="H164" s="5"/>
      <c r="I164" s="5"/>
      <c r="J164" s="5"/>
      <c r="K164" s="5"/>
      <c r="L164" s="5"/>
      <c r="M164" s="5"/>
      <c r="N164" s="5"/>
      <c r="O164" s="5"/>
      <c r="P164" s="5"/>
    </row>
    <row r="165" customFormat="false" ht="42" hidden="false" customHeight="true" outlineLevel="0" collapsed="false">
      <c r="B165" s="82" t="s">
        <v>423</v>
      </c>
      <c r="C165" s="83" t="s">
        <v>368</v>
      </c>
      <c r="D165" s="83" t="s">
        <v>153</v>
      </c>
      <c r="E165" s="83" t="s">
        <v>393</v>
      </c>
      <c r="F165" s="83" t="s">
        <v>394</v>
      </c>
      <c r="G165" s="83" t="s">
        <v>395</v>
      </c>
      <c r="H165" s="83" t="s">
        <v>396</v>
      </c>
      <c r="I165" s="83" t="s">
        <v>397</v>
      </c>
      <c r="J165" s="83" t="s">
        <v>398</v>
      </c>
      <c r="K165" s="83" t="s">
        <v>399</v>
      </c>
      <c r="L165" s="83" t="s">
        <v>400</v>
      </c>
      <c r="M165" s="83" t="s">
        <v>401</v>
      </c>
      <c r="N165" s="83" t="s">
        <v>402</v>
      </c>
      <c r="O165" s="83" t="s">
        <v>403</v>
      </c>
      <c r="P165" s="83" t="s">
        <v>365</v>
      </c>
    </row>
    <row r="166" customFormat="false" ht="14.25" hidden="false" customHeight="false" outlineLevel="0" collapsed="false">
      <c r="B166" s="7" t="s">
        <v>431</v>
      </c>
      <c r="C166" s="68" t="n">
        <f aca="false">COUNTIFS('Loan Tape'!$AI$4:$AI$303,"&gt;="&amp;R166,'Loan Tape'!$AI$4:$AI$303,"&lt;="&amp;S166,'Loan Tape'!$R$4:$R$303,"&lt;&gt;",'Loan Tape'!$E$4:$E$303,'Deal Strat'!$C$12)</f>
        <v>0</v>
      </c>
      <c r="D166" s="68" t="n">
        <f aca="false">SUMPRODUCT((('Loan Tape'!$R$4:$R$303&lt;&gt;"")*('Loan Tape'!$AI$4:$AI$303&gt;=R166)*('Loan Tape'!$AI$4:$AI$303&lt;=S166)*('Loan Tape'!$E$4:$E$303='Deal Strat'!$C$12))*'Loan Tape'!$F$4:$F$303)</f>
        <v>0</v>
      </c>
      <c r="E166" s="84" t="n">
        <f aca="false">SUMIFS('Loan Tape'!$R$4:$R$303,'Loan Tape'!$AI$4:$AI$303,"&gt;="&amp;R166,'Loan Tape'!$AI$4:$AI$303,"&lt;="&amp;S166,'Loan Tape'!$R$4:$R$303,"&lt;&gt;",'Loan Tape'!$E$4:$E$303,'Deal Strat'!$C$12)</f>
        <v>0</v>
      </c>
      <c r="F166" s="69" t="n">
        <f aca="false">IFERROR(E166/C5,0)</f>
        <v>0</v>
      </c>
      <c r="G166" s="85" t="str">
        <f aca="false">IFERROR(SUMPRODUCT((('Loan Tape'!$R$4:$R$303&lt;&gt;"")*('Loan Tape'!$AI$4:$AI$303&gt;=R166)*('Loan Tape'!$AI$4:$AI$303&lt;=S166)*('Loan Tape'!$E$4:$E$303='Deal Strat'!$C$12))*'Loan Tape'!$U$4:$U$303*'Loan Tape'!$R$4:$R$303)/E166,"-")</f>
        <v>-</v>
      </c>
      <c r="H166" s="68" t="str">
        <f aca="false">IFERROR(SUMPRODUCT((('Loan Tape'!$R$4:$R$303&lt;&gt;"")*('Loan Tape'!$AI$4:$AI$303&gt;=R166)*('Loan Tape'!$AI$4:$AI$303&lt;=S166)*('Loan Tape'!$E$4:$E$303='Deal Strat'!$C$12))*'Loan Tape'!$AH$4:$AH$303*'Loan Tape'!$R$4:$R$303)/E166,"-")</f>
        <v>-</v>
      </c>
      <c r="I166" s="68" t="str">
        <f aca="false">IFERROR(SUMPRODUCT((('Loan Tape'!$R$4:$R$303&lt;&gt;"")*('Loan Tape'!$AI$4:$AI$303&gt;=R166)*('Loan Tape'!$AI$4:$AI$303&lt;=S166)*('Loan Tape'!$E$4:$E$303='Deal Strat'!$C$12))*(('Loan Tape'!$H$4:$H$303-$C$4)/30.4375)*'Loan Tape'!$R$4:$R$303)/E166,"-")</f>
        <v>-</v>
      </c>
      <c r="J166" s="69" t="str">
        <f aca="false">IFERROR(SUMPRODUCT((('Loan Tape'!$R$4:$R$303&lt;&gt;"")*('Loan Tape'!$AI$4:$AI$303&gt;=R166)*('Loan Tape'!$AI$4:$AI$303&lt;=S166)*('Loan Tape'!$E$4:$E$303='Deal Strat'!$C$12))*('Loan Tape'!$K$4:$K$303="Floating")*'Loan Tape'!$R$4:$R$303)/E166,"-")</f>
        <v>-</v>
      </c>
      <c r="K166" s="69" t="str">
        <f aca="false">IFERROR(SUMPRODUCT((('Loan Tape'!$R$4:$R$303&lt;&gt;"")*('Loan Tape'!$AI$4:$AI$303&gt;=R166)*('Loan Tape'!$AI$4:$AI$303&lt;=S166)*('Loan Tape'!$E$4:$E$303='Deal Strat'!$C$12))*'Loan Tape'!$T$4:$T$303*'Loan Tape'!$R$4:$R$303)/E166,"-")</f>
        <v>-</v>
      </c>
      <c r="L166" s="69" t="str">
        <f aca="false">IFERROR(SUMPRODUCT((('Loan Tape'!$R$4:$R$303&lt;&gt;"")*('Loan Tape'!$AI$4:$AI$303&gt;=R166)*('Loan Tape'!$AI$4:$AI$303&lt;=S166)*('Loan Tape'!$E$4:$E$303='Deal Strat'!$C$12))*'Loan Tape'!$V$4:$V$303*'Loan Tape'!$R$4:$R$303)/E166,"-")</f>
        <v>-</v>
      </c>
      <c r="M166" s="69" t="str">
        <f aca="false">IFERROR(SUMPRODUCT((('Loan Tape'!$R$4:$R$303&lt;&gt;"")*('Loan Tape'!$AI$4:$AI$303&gt;=R166)*('Loan Tape'!$AI$4:$AI$303&lt;=S166)*('Loan Tape'!$E$4:$E$303='Deal Strat'!$C$12))*'Loan Tape'!$W$4:$W$303*'Loan Tape'!$R$4:$R$303)/E166,"-")</f>
        <v>-</v>
      </c>
      <c r="N166" s="69" t="str">
        <f aca="false">IFERROR(SUMPRODUCT((('Loan Tape'!$R$4:$R$303&lt;&gt;"")*('Loan Tape'!$AI$4:$AI$303&gt;=R166)*('Loan Tape'!$AI$4:$AI$303&lt;=S166)*('Loan Tape'!$E$4:$E$303='Deal Strat'!$C$12))*'Loan Tape'!$AI$4:$AI$303*'Loan Tape'!$R$4:$R$303)/E166,"-")</f>
        <v>-</v>
      </c>
      <c r="O166" s="69" t="str">
        <f aca="false">IFERROR(SUMPRODUCT((('Loan Tape'!$R$4:$R$303&lt;&gt;"")*('Loan Tape'!$AI$4:$AI$303&gt;=R166)*('Loan Tape'!$AI$4:$AI$303&lt;=S166)*('Loan Tape'!$E$4:$E$303='Deal Strat'!$C$12))*'Loan Tape'!$AK$4:$AK$303*'Loan Tape'!$R$4:$R$303)/E166,"-")</f>
        <v>-</v>
      </c>
      <c r="P166" s="69" t="str">
        <f aca="false">IFERROR(SUMPRODUCT((('Loan Tape'!$R$4:$R$303&lt;&gt;"")*('Loan Tape'!$AI$4:$AI$303&gt;=R166)*('Loan Tape'!$AI$4:$AI$303&lt;=S166)*('Loan Tape'!$E$4:$E$303='Deal Strat'!$C$12))*'Loan Tape'!$S$4:$S$303*'Loan Tape'!$R$4:$R$303)/E166,"-")</f>
        <v>-</v>
      </c>
      <c r="R166" s="91" t="n">
        <v>-1000000000000</v>
      </c>
      <c r="S166" s="91" t="n">
        <v>0.04999</v>
      </c>
    </row>
    <row r="167" customFormat="false" ht="14.25" hidden="false" customHeight="false" outlineLevel="0" collapsed="false">
      <c r="B167" s="7" t="s">
        <v>432</v>
      </c>
      <c r="C167" s="68" t="n">
        <f aca="false">COUNTIFS('Loan Tape'!$AI$4:$AI$303,"&gt;="&amp;R167,'Loan Tape'!$AI$4:$AI$303,"&lt;="&amp;S167,'Loan Tape'!$R$4:$R$303,"&lt;&gt;",'Loan Tape'!$E$4:$E$303,'Deal Strat'!$C$12)</f>
        <v>1</v>
      </c>
      <c r="D167" s="68" t="n">
        <f aca="false">SUMPRODUCT((('Loan Tape'!$R$4:$R$303&lt;&gt;"")*('Loan Tape'!$AI$4:$AI$303&gt;=R167)*('Loan Tape'!$AI$4:$AI$303&lt;=S167)*('Loan Tape'!$E$4:$E$303='Deal Strat'!$C$12))*'Loan Tape'!$F$4:$F$303)</f>
        <v>238</v>
      </c>
      <c r="E167" s="84" t="n">
        <f aca="false">SUMIFS('Loan Tape'!$R$4:$R$303,'Loan Tape'!$AI$4:$AI$303,"&gt;="&amp;R167,'Loan Tape'!$AI$4:$AI$303,"&lt;="&amp;S167,'Loan Tape'!$R$4:$R$303,"&lt;&gt;",'Loan Tape'!$E$4:$E$303,'Deal Strat'!$C$12)</f>
        <v>86385000</v>
      </c>
      <c r="F167" s="69" t="n">
        <f aca="false">IFERROR(E167/C5,0)</f>
        <v>0.231914133916083</v>
      </c>
      <c r="G167" s="85" t="n">
        <f aca="false">IFERROR(SUMPRODUCT((('Loan Tape'!$R$4:$R$303&lt;&gt;"")*('Loan Tape'!$AI$4:$AI$303&gt;=R167)*('Loan Tape'!$AI$4:$AI$303&lt;=S167)*('Loan Tape'!$E$4:$E$303='Deal Strat'!$C$12))*'Loan Tape'!$U$4:$U$303*'Loan Tape'!$R$4:$R$303)/E167,"-")</f>
        <v>1.35</v>
      </c>
      <c r="H167" s="68" t="n">
        <f aca="false">IFERROR(SUMPRODUCT((('Loan Tape'!$R$4:$R$303&lt;&gt;"")*('Loan Tape'!$AI$4:$AI$303&gt;=R167)*('Loan Tape'!$AI$4:$AI$303&lt;=S167)*('Loan Tape'!$E$4:$E$303='Deal Strat'!$C$12))*'Loan Tape'!$AH$4:$AH$303*'Loan Tape'!$R$4:$R$303)/E167,"-")</f>
        <v>102</v>
      </c>
      <c r="I167" s="68" t="n">
        <f aca="false">IFERROR(SUMPRODUCT((('Loan Tape'!$R$4:$R$303&lt;&gt;"")*('Loan Tape'!$AI$4:$AI$303&gt;=R167)*('Loan Tape'!$AI$4:$AI$303&lt;=S167)*('Loan Tape'!$E$4:$E$303='Deal Strat'!$C$12))*(('Loan Tape'!$H$4:$H$303-$C$4)/30.4375)*'Loan Tape'!$R$4:$R$303)/E167,"-")</f>
        <v>-17.9712525667351</v>
      </c>
      <c r="J167" s="69" t="n">
        <f aca="false">IFERROR(SUMPRODUCT((('Loan Tape'!$R$4:$R$303&lt;&gt;"")*('Loan Tape'!$AI$4:$AI$303&gt;=R167)*('Loan Tape'!$AI$4:$AI$303&lt;=S167)*('Loan Tape'!$E$4:$E$303='Deal Strat'!$C$12))*('Loan Tape'!$K$4:$K$303="Floating")*'Loan Tape'!$R$4:$R$303)/E167,"-")</f>
        <v>0</v>
      </c>
      <c r="K167" s="69" t="n">
        <f aca="false">IFERROR(SUMPRODUCT((('Loan Tape'!$R$4:$R$303&lt;&gt;"")*('Loan Tape'!$AI$4:$AI$303&gt;=R167)*('Loan Tape'!$AI$4:$AI$303&lt;=S167)*('Loan Tape'!$E$4:$E$303='Deal Strat'!$C$12))*'Loan Tape'!$T$4:$T$303*'Loan Tape'!$R$4:$R$303)/E167,"-")</f>
        <v>0.1077</v>
      </c>
      <c r="L167" s="69" t="n">
        <f aca="false">IFERROR(SUMPRODUCT((('Loan Tape'!$R$4:$R$303&lt;&gt;"")*('Loan Tape'!$AI$4:$AI$303&gt;=R167)*('Loan Tape'!$AI$4:$AI$303&lt;=S167)*('Loan Tape'!$E$4:$E$303='Deal Strat'!$C$12))*'Loan Tape'!$V$4:$V$303*'Loan Tape'!$R$4:$R$303)/E167,"-")</f>
        <v>0.888</v>
      </c>
      <c r="M167" s="69" t="n">
        <f aca="false">IFERROR(SUMPRODUCT((('Loan Tape'!$R$4:$R$303&lt;&gt;"")*('Loan Tape'!$AI$4:$AI$303&gt;=R167)*('Loan Tape'!$AI$4:$AI$303&lt;=S167)*('Loan Tape'!$E$4:$E$303='Deal Strat'!$C$12))*'Loan Tape'!$W$4:$W$303*'Loan Tape'!$R$4:$R$303)/E167,"-")</f>
        <v>0.945</v>
      </c>
      <c r="N167" s="69" t="n">
        <f aca="false">IFERROR(SUMPRODUCT((('Loan Tape'!$R$4:$R$303&lt;&gt;"")*('Loan Tape'!$AI$4:$AI$303&gt;=R167)*('Loan Tape'!$AI$4:$AI$303&lt;=S167)*('Loan Tape'!$E$4:$E$303='Deal Strat'!$C$12))*'Loan Tape'!$AI$4:$AI$303*'Loan Tape'!$R$4:$R$303)/E167,"-")</f>
        <v>0.0534</v>
      </c>
      <c r="O167" s="69" t="n">
        <f aca="false">IFERROR(SUMPRODUCT((('Loan Tape'!$R$4:$R$303&lt;&gt;"")*('Loan Tape'!$AI$4:$AI$303&gt;=R167)*('Loan Tape'!$AI$4:$AI$303&lt;=S167)*('Loan Tape'!$E$4:$E$303='Deal Strat'!$C$12))*'Loan Tape'!$AK$4:$AK$303*'Loan Tape'!$R$4:$R$303)/E167,"-")</f>
        <v>0.0534</v>
      </c>
      <c r="P167" s="69" t="n">
        <f aca="false">IFERROR(SUMPRODUCT((('Loan Tape'!$R$4:$R$303&lt;&gt;"")*('Loan Tape'!$AI$4:$AI$303&gt;=R167)*('Loan Tape'!$AI$4:$AI$303&lt;=S167)*('Loan Tape'!$E$4:$E$303='Deal Strat'!$C$12))*'Loan Tape'!$S$4:$S$303*'Loan Tape'!$R$4:$R$303)/E167,"-")</f>
        <v>0.828</v>
      </c>
      <c r="R167" s="91" t="n">
        <v>0.05</v>
      </c>
      <c r="S167" s="91" t="n">
        <v>0.05999</v>
      </c>
    </row>
    <row r="168" customFormat="false" ht="14.25" hidden="false" customHeight="false" outlineLevel="0" collapsed="false">
      <c r="B168" s="7" t="s">
        <v>433</v>
      </c>
      <c r="C168" s="68" t="n">
        <f aca="false">COUNTIFS('Loan Tape'!$AI$4:$AI$303,"&gt;="&amp;R168,'Loan Tape'!$AI$4:$AI$303,"&lt;="&amp;S168,'Loan Tape'!$R$4:$R$303,"&lt;&gt;",'Loan Tape'!$E$4:$E$303,'Deal Strat'!$C$12)</f>
        <v>3</v>
      </c>
      <c r="D168" s="68" t="n">
        <f aca="false">SUMPRODUCT((('Loan Tape'!$R$4:$R$303&lt;&gt;"")*('Loan Tape'!$AI$4:$AI$303&gt;=R168)*('Loan Tape'!$AI$4:$AI$303&lt;=S168)*('Loan Tape'!$E$4:$E$303='Deal Strat'!$C$12))*'Loan Tape'!$F$4:$F$303)</f>
        <v>355</v>
      </c>
      <c r="E168" s="84" t="n">
        <f aca="false">SUMIFS('Loan Tape'!$R$4:$R$303,'Loan Tape'!$AI$4:$AI$303,"&gt;="&amp;R168,'Loan Tape'!$AI$4:$AI$303,"&lt;="&amp;S168,'Loan Tape'!$R$4:$R$303,"&lt;&gt;",'Loan Tape'!$E$4:$E$303,'Deal Strat'!$C$12)</f>
        <v>165789000</v>
      </c>
      <c r="F168" s="69" t="n">
        <f aca="false">IFERROR(E168/C5,0)</f>
        <v>0.44508667416581</v>
      </c>
      <c r="G168" s="85" t="n">
        <f aca="false">IFERROR(SUMPRODUCT((('Loan Tape'!$R$4:$R$303&lt;&gt;"")*('Loan Tape'!$AI$4:$AI$303&gt;=R168)*('Loan Tape'!$AI$4:$AI$303&lt;=S168)*('Loan Tape'!$E$4:$E$303='Deal Strat'!$C$12))*'Loan Tape'!$U$4:$U$303*'Loan Tape'!$R$4:$R$303)/E168,"-")</f>
        <v>1.58180132578157</v>
      </c>
      <c r="H168" s="68" t="n">
        <f aca="false">IFERROR(SUMPRODUCT((('Loan Tape'!$R$4:$R$303&lt;&gt;"")*('Loan Tape'!$AI$4:$AI$303&gt;=R168)*('Loan Tape'!$AI$4:$AI$303&lt;=S168)*('Loan Tape'!$E$4:$E$303='Deal Strat'!$C$12))*'Loan Tape'!$AH$4:$AH$303*'Loan Tape'!$R$4:$R$303)/E168,"-")</f>
        <v>99.8591402324642</v>
      </c>
      <c r="I168" s="68" t="n">
        <f aca="false">IFERROR(SUMPRODUCT((('Loan Tape'!$R$4:$R$303&lt;&gt;"")*('Loan Tape'!$AI$4:$AI$303&gt;=R168)*('Loan Tape'!$AI$4:$AI$303&lt;=S168)*('Loan Tape'!$E$4:$E$303='Deal Strat'!$C$12))*(('Loan Tape'!$H$4:$H$303-$C$4)/30.4375)*'Loan Tape'!$R$4:$R$303)/E168,"-")</f>
        <v>3.85752994984112</v>
      </c>
      <c r="J168" s="69" t="n">
        <f aca="false">IFERROR(SUMPRODUCT((('Loan Tape'!$R$4:$R$303&lt;&gt;"")*('Loan Tape'!$AI$4:$AI$303&gt;=R168)*('Loan Tape'!$AI$4:$AI$303&lt;=S168)*('Loan Tape'!$E$4:$E$303='Deal Strat'!$C$12))*('Loan Tape'!$K$4:$K$303="Floating")*'Loan Tape'!$R$4:$R$303)/E168,"-")</f>
        <v>0.728232874316149</v>
      </c>
      <c r="K168" s="69" t="n">
        <f aca="false">IFERROR(SUMPRODUCT((('Loan Tape'!$R$4:$R$303&lt;&gt;"")*('Loan Tape'!$AI$4:$AI$303&gt;=R168)*('Loan Tape'!$AI$4:$AI$303&lt;=S168)*('Loan Tape'!$E$4:$E$303='Deal Strat'!$C$12))*'Loan Tape'!$T$4:$T$303*'Loan Tape'!$R$4:$R$303)/E168,"-")</f>
        <v>0.0766221576823553</v>
      </c>
      <c r="L168" s="69" t="n">
        <f aca="false">IFERROR(SUMPRODUCT((('Loan Tape'!$R$4:$R$303&lt;&gt;"")*('Loan Tape'!$AI$4:$AI$303&gt;=R168)*('Loan Tape'!$AI$4:$AI$303&lt;=S168)*('Loan Tape'!$E$4:$E$303='Deal Strat'!$C$12))*'Loan Tape'!$V$4:$V$303*'Loan Tape'!$R$4:$R$303)/E168,"-")</f>
        <v>0.606897990819656</v>
      </c>
      <c r="M168" s="69" t="n">
        <f aca="false">IFERROR(SUMPRODUCT((('Loan Tape'!$R$4:$R$303&lt;&gt;"")*('Loan Tape'!$AI$4:$AI$303&gt;=R168)*('Loan Tape'!$AI$4:$AI$303&lt;=S168)*('Loan Tape'!$E$4:$E$303='Deal Strat'!$C$12))*'Loan Tape'!$W$4:$W$303*'Loan Tape'!$R$4:$R$303)/E168,"-")</f>
        <v>0.642333333333333</v>
      </c>
      <c r="N168" s="69" t="n">
        <f aca="false">IFERROR(SUMPRODUCT((('Loan Tape'!$R$4:$R$303&lt;&gt;"")*('Loan Tape'!$AI$4:$AI$303&gt;=R168)*('Loan Tape'!$AI$4:$AI$303&lt;=S168)*('Loan Tape'!$E$4:$E$303='Deal Strat'!$C$12))*'Loan Tape'!$AI$4:$AI$303*'Loan Tape'!$R$4:$R$303)/E168,"-")</f>
        <v>0.0648803943566823</v>
      </c>
      <c r="O168" s="69" t="n">
        <f aca="false">IFERROR(SUMPRODUCT((('Loan Tape'!$R$4:$R$303&lt;&gt;"")*('Loan Tape'!$AI$4:$AI$303&gt;=R168)*('Loan Tape'!$AI$4:$AI$303&lt;=S168)*('Loan Tape'!$E$4:$E$303='Deal Strat'!$C$12))*'Loan Tape'!$AK$4:$AK$303*'Loan Tape'!$R$4:$R$303)/E168,"-")</f>
        <v>0.0758038874714245</v>
      </c>
      <c r="P168" s="69" t="n">
        <f aca="false">IFERROR(SUMPRODUCT((('Loan Tape'!$R$4:$R$303&lt;&gt;"")*('Loan Tape'!$AI$4:$AI$303&gt;=R168)*('Loan Tape'!$AI$4:$AI$303&lt;=S168)*('Loan Tape'!$E$4:$E$303='Deal Strat'!$C$12))*'Loan Tape'!$S$4:$S$303*'Loan Tape'!$R$4:$R$303)/E168,"-")</f>
        <v>0.890177689714034</v>
      </c>
      <c r="R168" s="91" t="n">
        <v>0.06</v>
      </c>
      <c r="S168" s="91" t="n">
        <v>0.06999</v>
      </c>
    </row>
    <row r="169" customFormat="false" ht="14.25" hidden="false" customHeight="false" outlineLevel="0" collapsed="false">
      <c r="B169" s="7" t="s">
        <v>434</v>
      </c>
      <c r="C169" s="68" t="n">
        <f aca="false">COUNTIFS('Loan Tape'!$AI$4:$AI$303,"&gt;="&amp;R169,'Loan Tape'!$AI$4:$AI$303,"&lt;="&amp;S169,'Loan Tape'!$R$4:$R$303,"&lt;&gt;",'Loan Tape'!$E$4:$E$303,'Deal Strat'!$C$12)</f>
        <v>0</v>
      </c>
      <c r="D169" s="68" t="n">
        <f aca="false">SUMPRODUCT((('Loan Tape'!$R$4:$R$303&lt;&gt;"")*('Loan Tape'!$AI$4:$AI$303&gt;=R169)*('Loan Tape'!$AI$4:$AI$303&lt;=S169)*('Loan Tape'!$E$4:$E$303='Deal Strat'!$C$12))*'Loan Tape'!$F$4:$F$303)</f>
        <v>0</v>
      </c>
      <c r="E169" s="84" t="n">
        <f aca="false">SUMIFS('Loan Tape'!$R$4:$R$303,'Loan Tape'!$AI$4:$AI$303,"&gt;="&amp;R169,'Loan Tape'!$AI$4:$AI$303,"&lt;="&amp;S169,'Loan Tape'!$R$4:$R$303,"&lt;&gt;",'Loan Tape'!$E$4:$E$303,'Deal Strat'!$C$12)</f>
        <v>0</v>
      </c>
      <c r="F169" s="69" t="n">
        <f aca="false">IFERROR(E169/C5,0)</f>
        <v>0</v>
      </c>
      <c r="G169" s="85" t="str">
        <f aca="false">IFERROR(SUMPRODUCT((('Loan Tape'!$R$4:$R$303&lt;&gt;"")*('Loan Tape'!$AI$4:$AI$303&gt;=R169)*('Loan Tape'!$AI$4:$AI$303&lt;=S169)*('Loan Tape'!$E$4:$E$303='Deal Strat'!$C$12))*'Loan Tape'!$U$4:$U$303*'Loan Tape'!$R$4:$R$303)/E169,"-")</f>
        <v>-</v>
      </c>
      <c r="H169" s="68" t="str">
        <f aca="false">IFERROR(SUMPRODUCT((('Loan Tape'!$R$4:$R$303&lt;&gt;"")*('Loan Tape'!$AI$4:$AI$303&gt;=R169)*('Loan Tape'!$AI$4:$AI$303&lt;=S169)*('Loan Tape'!$E$4:$E$303='Deal Strat'!$C$12))*'Loan Tape'!$AH$4:$AH$303*'Loan Tape'!$R$4:$R$303)/E169,"-")</f>
        <v>-</v>
      </c>
      <c r="I169" s="68" t="str">
        <f aca="false">IFERROR(SUMPRODUCT((('Loan Tape'!$R$4:$R$303&lt;&gt;"")*('Loan Tape'!$AI$4:$AI$303&gt;=R169)*('Loan Tape'!$AI$4:$AI$303&lt;=S169)*('Loan Tape'!$E$4:$E$303='Deal Strat'!$C$12))*(('Loan Tape'!$H$4:$H$303-$C$4)/30.4375)*'Loan Tape'!$R$4:$R$303)/E169,"-")</f>
        <v>-</v>
      </c>
      <c r="J169" s="69" t="str">
        <f aca="false">IFERROR(SUMPRODUCT((('Loan Tape'!$R$4:$R$303&lt;&gt;"")*('Loan Tape'!$AI$4:$AI$303&gt;=R169)*('Loan Tape'!$AI$4:$AI$303&lt;=S169)*('Loan Tape'!$E$4:$E$303='Deal Strat'!$C$12))*('Loan Tape'!$K$4:$K$303="Floating")*'Loan Tape'!$R$4:$R$303)/E169,"-")</f>
        <v>-</v>
      </c>
      <c r="K169" s="69" t="str">
        <f aca="false">IFERROR(SUMPRODUCT((('Loan Tape'!$R$4:$R$303&lt;&gt;"")*('Loan Tape'!$AI$4:$AI$303&gt;=R169)*('Loan Tape'!$AI$4:$AI$303&lt;=S169)*('Loan Tape'!$E$4:$E$303='Deal Strat'!$C$12))*'Loan Tape'!$T$4:$T$303*'Loan Tape'!$R$4:$R$303)/E169,"-")</f>
        <v>-</v>
      </c>
      <c r="L169" s="69" t="str">
        <f aca="false">IFERROR(SUMPRODUCT((('Loan Tape'!$R$4:$R$303&lt;&gt;"")*('Loan Tape'!$AI$4:$AI$303&gt;=R169)*('Loan Tape'!$AI$4:$AI$303&lt;=S169)*('Loan Tape'!$E$4:$E$303='Deal Strat'!$C$12))*'Loan Tape'!$V$4:$V$303*'Loan Tape'!$R$4:$R$303)/E169,"-")</f>
        <v>-</v>
      </c>
      <c r="M169" s="69" t="str">
        <f aca="false">IFERROR(SUMPRODUCT((('Loan Tape'!$R$4:$R$303&lt;&gt;"")*('Loan Tape'!$AI$4:$AI$303&gt;=R169)*('Loan Tape'!$AI$4:$AI$303&lt;=S169)*('Loan Tape'!$E$4:$E$303='Deal Strat'!$C$12))*'Loan Tape'!$W$4:$W$303*'Loan Tape'!$R$4:$R$303)/E169,"-")</f>
        <v>-</v>
      </c>
      <c r="N169" s="69" t="str">
        <f aca="false">IFERROR(SUMPRODUCT((('Loan Tape'!$R$4:$R$303&lt;&gt;"")*('Loan Tape'!$AI$4:$AI$303&gt;=R169)*('Loan Tape'!$AI$4:$AI$303&lt;=S169)*('Loan Tape'!$E$4:$E$303='Deal Strat'!$C$12))*'Loan Tape'!$AI$4:$AI$303*'Loan Tape'!$R$4:$R$303)/E169,"-")</f>
        <v>-</v>
      </c>
      <c r="O169" s="69" t="str">
        <f aca="false">IFERROR(SUMPRODUCT((('Loan Tape'!$R$4:$R$303&lt;&gt;"")*('Loan Tape'!$AI$4:$AI$303&gt;=R169)*('Loan Tape'!$AI$4:$AI$303&lt;=S169)*('Loan Tape'!$E$4:$E$303='Deal Strat'!$C$12))*'Loan Tape'!$AK$4:$AK$303*'Loan Tape'!$R$4:$R$303)/E169,"-")</f>
        <v>-</v>
      </c>
      <c r="P169" s="69" t="str">
        <f aca="false">IFERROR(SUMPRODUCT((('Loan Tape'!$R$4:$R$303&lt;&gt;"")*('Loan Tape'!$AI$4:$AI$303&gt;=R169)*('Loan Tape'!$AI$4:$AI$303&lt;=S169)*('Loan Tape'!$E$4:$E$303='Deal Strat'!$C$12))*'Loan Tape'!$S$4:$S$303*'Loan Tape'!$R$4:$R$303)/E169,"-")</f>
        <v>-</v>
      </c>
      <c r="R169" s="91" t="n">
        <v>0.07</v>
      </c>
      <c r="S169" s="91" t="n">
        <v>0.07999</v>
      </c>
    </row>
    <row r="170" customFormat="false" ht="14.25" hidden="false" customHeight="false" outlineLevel="0" collapsed="false">
      <c r="B170" s="7" t="s">
        <v>435</v>
      </c>
      <c r="C170" s="68" t="n">
        <f aca="false">COUNTIFS('Loan Tape'!$AI$4:$AI$303,"&gt;="&amp;R170,'Loan Tape'!$AI$4:$AI$303,"&lt;="&amp;S170,'Loan Tape'!$R$4:$R$303,"&lt;&gt;",'Loan Tape'!$E$4:$E$303,'Deal Strat'!$C$12)</f>
        <v>1</v>
      </c>
      <c r="D170" s="68" t="n">
        <f aca="false">SUMPRODUCT((('Loan Tape'!$R$4:$R$303&lt;&gt;"")*('Loan Tape'!$AI$4:$AI$303&gt;=R170)*('Loan Tape'!$AI$4:$AI$303&lt;=S170)*('Loan Tape'!$E$4:$E$303='Deal Strat'!$C$12))*'Loan Tape'!$F$4:$F$303)</f>
        <v>0</v>
      </c>
      <c r="E170" s="84" t="n">
        <f aca="false">SUMIFS('Loan Tape'!$R$4:$R$303,'Loan Tape'!$AI$4:$AI$303,"&gt;="&amp;R170,'Loan Tape'!$AI$4:$AI$303,"&lt;="&amp;S170,'Loan Tape'!$R$4:$R$303,"&lt;&gt;",'Loan Tape'!$E$4:$E$303,'Deal Strat'!$C$12)</f>
        <v>120313000</v>
      </c>
      <c r="F170" s="69" t="n">
        <f aca="false">IFERROR(E170/C5,0)</f>
        <v>0.322999191918107</v>
      </c>
      <c r="G170" s="85" t="n">
        <f aca="false">IFERROR(SUMPRODUCT((('Loan Tape'!$R$4:$R$303&lt;&gt;"")*('Loan Tape'!$AI$4:$AI$303&gt;=R170)*('Loan Tape'!$AI$4:$AI$303&lt;=S170)*('Loan Tape'!$E$4:$E$303='Deal Strat'!$C$12))*'Loan Tape'!$U$4:$U$303*'Loan Tape'!$R$4:$R$303)/E170,"-")</f>
        <v>1.38</v>
      </c>
      <c r="H170" s="68" t="n">
        <f aca="false">IFERROR(SUMPRODUCT((('Loan Tape'!$R$4:$R$303&lt;&gt;"")*('Loan Tape'!$AI$4:$AI$303&gt;=R170)*('Loan Tape'!$AI$4:$AI$303&lt;=S170)*('Loan Tape'!$E$4:$E$303='Deal Strat'!$C$12))*'Loan Tape'!$AH$4:$AH$303*'Loan Tape'!$R$4:$R$303)/E170,"-")</f>
        <v>100</v>
      </c>
      <c r="I170" s="68" t="n">
        <f aca="false">IFERROR(SUMPRODUCT((('Loan Tape'!$R$4:$R$303&lt;&gt;"")*('Loan Tape'!$AI$4:$AI$303&gt;=R170)*('Loan Tape'!$AI$4:$AI$303&lt;=S170)*('Loan Tape'!$E$4:$E$303='Deal Strat'!$C$12))*(('Loan Tape'!$H$4:$H$303-$C$4)/30.4375)*'Loan Tape'!$R$4:$R$303)/E170,"-")</f>
        <v>20.041067761807</v>
      </c>
      <c r="J170" s="69" t="n">
        <f aca="false">IFERROR(SUMPRODUCT((('Loan Tape'!$R$4:$R$303&lt;&gt;"")*('Loan Tape'!$AI$4:$AI$303&gt;=R170)*('Loan Tape'!$AI$4:$AI$303&lt;=S170)*('Loan Tape'!$E$4:$E$303='Deal Strat'!$C$12))*('Loan Tape'!$K$4:$K$303="Floating")*'Loan Tape'!$R$4:$R$303)/E170,"-")</f>
        <v>1</v>
      </c>
      <c r="K170" s="69" t="n">
        <f aca="false">IFERROR(SUMPRODUCT((('Loan Tape'!$R$4:$R$303&lt;&gt;"")*('Loan Tape'!$AI$4:$AI$303&gt;=R170)*('Loan Tape'!$AI$4:$AI$303&lt;=S170)*('Loan Tape'!$E$4:$E$303='Deal Strat'!$C$12))*'Loan Tape'!$T$4:$T$303*'Loan Tape'!$R$4:$R$303)/E170,"-")</f>
        <v>0.0814</v>
      </c>
      <c r="L170" s="69" t="n">
        <f aca="false">IFERROR(SUMPRODUCT((('Loan Tape'!$R$4:$R$303&lt;&gt;"")*('Loan Tape'!$AI$4:$AI$303&gt;=R170)*('Loan Tape'!$AI$4:$AI$303&lt;=S170)*('Loan Tape'!$E$4:$E$303='Deal Strat'!$C$12))*'Loan Tape'!$V$4:$V$303*'Loan Tape'!$R$4:$R$303)/E170,"-")</f>
        <v>0.663</v>
      </c>
      <c r="M170" s="69" t="n">
        <f aca="false">IFERROR(SUMPRODUCT((('Loan Tape'!$R$4:$R$303&lt;&gt;"")*('Loan Tape'!$AI$4:$AI$303&gt;=R170)*('Loan Tape'!$AI$4:$AI$303&lt;=S170)*('Loan Tape'!$E$4:$E$303='Deal Strat'!$C$12))*'Loan Tape'!$W$4:$W$303*'Loan Tape'!$R$4:$R$303)/E170,"-")</f>
        <v>0.69</v>
      </c>
      <c r="N170" s="69" t="n">
        <f aca="false">IFERROR(SUMPRODUCT((('Loan Tape'!$R$4:$R$303&lt;&gt;"")*('Loan Tape'!$AI$4:$AI$303&gt;=R170)*('Loan Tape'!$AI$4:$AI$303&lt;=S170)*('Loan Tape'!$E$4:$E$303='Deal Strat'!$C$12))*'Loan Tape'!$AI$4:$AI$303*'Loan Tape'!$R$4:$R$303)/E170,"-")</f>
        <v>0.083</v>
      </c>
      <c r="O170" s="69" t="n">
        <f aca="false">IFERROR(SUMPRODUCT((('Loan Tape'!$R$4:$R$303&lt;&gt;"")*('Loan Tape'!$AI$4:$AI$303&gt;=R170)*('Loan Tape'!$AI$4:$AI$303&lt;=S170)*('Loan Tape'!$E$4:$E$303='Deal Strat'!$C$12))*'Loan Tape'!$AK$4:$AK$303*'Loan Tape'!$R$4:$R$303)/E170,"-")</f>
        <v>0.098</v>
      </c>
      <c r="P170" s="69" t="n">
        <f aca="false">IFERROR(SUMPRODUCT((('Loan Tape'!$R$4:$R$303&lt;&gt;"")*('Loan Tape'!$AI$4:$AI$303&gt;=R170)*('Loan Tape'!$AI$4:$AI$303&lt;=S170)*('Loan Tape'!$E$4:$E$303='Deal Strat'!$C$12))*'Loan Tape'!$S$4:$S$303*'Loan Tape'!$R$4:$R$303)/E170,"-")</f>
        <v>0.784</v>
      </c>
      <c r="R170" s="91" t="n">
        <v>0.08</v>
      </c>
      <c r="S170" s="91" t="n">
        <v>0.08999</v>
      </c>
    </row>
    <row r="171" customFormat="false" ht="14.25" hidden="false" customHeight="false" outlineLevel="0" collapsed="false">
      <c r="B171" s="7" t="s">
        <v>436</v>
      </c>
      <c r="C171" s="68" t="n">
        <f aca="false">COUNTIFS('Loan Tape'!$AI$4:$AI$303,"&gt;="&amp;R171,'Loan Tape'!$AI$4:$AI$303,"&lt;="&amp;S171,'Loan Tape'!$R$4:$R$303,"&lt;&gt;",'Loan Tape'!$E$4:$E$303,'Deal Strat'!$C$12)</f>
        <v>0</v>
      </c>
      <c r="D171" s="68" t="n">
        <f aca="false">SUMPRODUCT((('Loan Tape'!$R$4:$R$303&lt;&gt;"")*('Loan Tape'!$AI$4:$AI$303&gt;=R171)*('Loan Tape'!$AI$4:$AI$303&lt;=S171)*('Loan Tape'!$E$4:$E$303='Deal Strat'!$C$12))*'Loan Tape'!$F$4:$F$303)</f>
        <v>0</v>
      </c>
      <c r="E171" s="84" t="n">
        <f aca="false">SUMIFS('Loan Tape'!$R$4:$R$303,'Loan Tape'!$AI$4:$AI$303,"&gt;="&amp;R171,'Loan Tape'!$AI$4:$AI$303,"&lt;="&amp;S171,'Loan Tape'!$R$4:$R$303,"&lt;&gt;",'Loan Tape'!$E$4:$E$303,'Deal Strat'!$C$12)</f>
        <v>0</v>
      </c>
      <c r="F171" s="69" t="n">
        <f aca="false">IFERROR(E171/C5,0)</f>
        <v>0</v>
      </c>
      <c r="G171" s="85" t="str">
        <f aca="false">IFERROR(SUMPRODUCT((('Loan Tape'!$R$4:$R$303&lt;&gt;"")*('Loan Tape'!$AI$4:$AI$303&gt;=R171)*('Loan Tape'!$AI$4:$AI$303&lt;=S171)*('Loan Tape'!$E$4:$E$303='Deal Strat'!$C$12))*'Loan Tape'!$U$4:$U$303*'Loan Tape'!$R$4:$R$303)/E171,"-")</f>
        <v>-</v>
      </c>
      <c r="H171" s="68" t="str">
        <f aca="false">IFERROR(SUMPRODUCT((('Loan Tape'!$R$4:$R$303&lt;&gt;"")*('Loan Tape'!$AI$4:$AI$303&gt;=R171)*('Loan Tape'!$AI$4:$AI$303&lt;=S171)*('Loan Tape'!$E$4:$E$303='Deal Strat'!$C$12))*'Loan Tape'!$AH$4:$AH$303*'Loan Tape'!$R$4:$R$303)/E171,"-")</f>
        <v>-</v>
      </c>
      <c r="I171" s="68" t="str">
        <f aca="false">IFERROR(SUMPRODUCT((('Loan Tape'!$R$4:$R$303&lt;&gt;"")*('Loan Tape'!$AI$4:$AI$303&gt;=R171)*('Loan Tape'!$AI$4:$AI$303&lt;=S171)*('Loan Tape'!$E$4:$E$303='Deal Strat'!$C$12))*(('Loan Tape'!$H$4:$H$303-$C$4)/30.4375)*'Loan Tape'!$R$4:$R$303)/E171,"-")</f>
        <v>-</v>
      </c>
      <c r="J171" s="69" t="str">
        <f aca="false">IFERROR(SUMPRODUCT((('Loan Tape'!$R$4:$R$303&lt;&gt;"")*('Loan Tape'!$AI$4:$AI$303&gt;=R171)*('Loan Tape'!$AI$4:$AI$303&lt;=S171)*('Loan Tape'!$E$4:$E$303='Deal Strat'!$C$12))*('Loan Tape'!$K$4:$K$303="Floating")*'Loan Tape'!$R$4:$R$303)/E171,"-")</f>
        <v>-</v>
      </c>
      <c r="K171" s="69" t="str">
        <f aca="false">IFERROR(SUMPRODUCT((('Loan Tape'!$R$4:$R$303&lt;&gt;"")*('Loan Tape'!$AI$4:$AI$303&gt;=R171)*('Loan Tape'!$AI$4:$AI$303&lt;=S171)*('Loan Tape'!$E$4:$E$303='Deal Strat'!$C$12))*'Loan Tape'!$T$4:$T$303*'Loan Tape'!$R$4:$R$303)/E171,"-")</f>
        <v>-</v>
      </c>
      <c r="L171" s="69" t="str">
        <f aca="false">IFERROR(SUMPRODUCT((('Loan Tape'!$R$4:$R$303&lt;&gt;"")*('Loan Tape'!$AI$4:$AI$303&gt;=R171)*('Loan Tape'!$AI$4:$AI$303&lt;=S171)*('Loan Tape'!$E$4:$E$303='Deal Strat'!$C$12))*'Loan Tape'!$V$4:$V$303*'Loan Tape'!$R$4:$R$303)/E171,"-")</f>
        <v>-</v>
      </c>
      <c r="M171" s="69" t="str">
        <f aca="false">IFERROR(SUMPRODUCT((('Loan Tape'!$R$4:$R$303&lt;&gt;"")*('Loan Tape'!$AI$4:$AI$303&gt;=R171)*('Loan Tape'!$AI$4:$AI$303&lt;=S171)*('Loan Tape'!$E$4:$E$303='Deal Strat'!$C$12))*'Loan Tape'!$W$4:$W$303*'Loan Tape'!$R$4:$R$303)/E171,"-")</f>
        <v>-</v>
      </c>
      <c r="N171" s="69" t="str">
        <f aca="false">IFERROR(SUMPRODUCT((('Loan Tape'!$R$4:$R$303&lt;&gt;"")*('Loan Tape'!$AI$4:$AI$303&gt;=R171)*('Loan Tape'!$AI$4:$AI$303&lt;=S171)*('Loan Tape'!$E$4:$E$303='Deal Strat'!$C$12))*'Loan Tape'!$AI$4:$AI$303*'Loan Tape'!$R$4:$R$303)/E171,"-")</f>
        <v>-</v>
      </c>
      <c r="O171" s="69" t="str">
        <f aca="false">IFERROR(SUMPRODUCT((('Loan Tape'!$R$4:$R$303&lt;&gt;"")*('Loan Tape'!$AI$4:$AI$303&gt;=R171)*('Loan Tape'!$AI$4:$AI$303&lt;=S171)*('Loan Tape'!$E$4:$E$303='Deal Strat'!$C$12))*'Loan Tape'!$AK$4:$AK$303*'Loan Tape'!$R$4:$R$303)/E171,"-")</f>
        <v>-</v>
      </c>
      <c r="P171" s="69" t="str">
        <f aca="false">IFERROR(SUMPRODUCT((('Loan Tape'!$R$4:$R$303&lt;&gt;"")*('Loan Tape'!$AI$4:$AI$303&gt;=R171)*('Loan Tape'!$AI$4:$AI$303&lt;=S171)*('Loan Tape'!$E$4:$E$303='Deal Strat'!$C$12))*'Loan Tape'!$S$4:$S$303*'Loan Tape'!$R$4:$R$303)/E171,"-")</f>
        <v>-</v>
      </c>
      <c r="R171" s="91" t="n">
        <v>0.09</v>
      </c>
      <c r="S171" s="91" t="n">
        <v>1000000000000</v>
      </c>
    </row>
    <row r="172" customFormat="false" ht="14.25" hidden="false" customHeight="false" outlineLevel="0" collapsed="false">
      <c r="B172" s="86" t="s">
        <v>405</v>
      </c>
      <c r="C172" s="92" t="n">
        <f aca="false">SUM(C166:C171)</f>
        <v>5</v>
      </c>
      <c r="D172" s="92" t="n">
        <f aca="false">SUM(D166:D171)</f>
        <v>593</v>
      </c>
      <c r="E172" s="88" t="n">
        <f aca="false">SUM(E166:E171)</f>
        <v>372487000</v>
      </c>
      <c r="F172" s="89" t="n">
        <f aca="false">SUM(F166:F171)</f>
        <v>1</v>
      </c>
      <c r="G172" s="90" t="n">
        <f aca="false">IFERROR(SUMPRODUCT((('Loan Tape'!$R$4:$R$303&lt;&gt;"")*('Loan Tape'!$E$4:$E$303='Deal Strat'!$C$12))*'Loan Tape'!$U$4:$U$303*'Loan Tape'!$R$4:$R$303)/E172,"-")</f>
        <v>1.46286165691689</v>
      </c>
      <c r="H172" s="92" t="n">
        <f aca="false">IFERROR(SUMPRODUCT((('Loan Tape'!$R$4:$R$303&lt;&gt;"")*('Loan Tape'!$E$4:$E$303='Deal Strat'!$C$12))*'Loan Tape'!$AH$4:$AH$303*'Loan Tape'!$R$4:$R$303)/E172,"-")</f>
        <v>100.401133462376</v>
      </c>
      <c r="I172" s="92" t="n">
        <f aca="false">IFERROR(SUMPRODUCT((('Loan Tape'!$R$4:$R$303&lt;&gt;"")*('Loan Tape'!$E$4:$E$303='Deal Strat'!$C$12))*(('Loan Tape'!$H$4:$H$303-$C$4)/30.4375)*'Loan Tape'!$R$4:$R$303)/E172,"-")</f>
        <v>4.02239639370792</v>
      </c>
      <c r="J172" s="89" t="n">
        <f aca="false">IFERROR(SUMPRODUCT((('Loan Tape'!$R$4:$R$303&lt;&gt;"")*('Loan Tape'!$E$4:$E$303='Deal Strat'!$C$12))*('Loan Tape'!$K$4:$K$303="Floating")*'Loan Tape'!$R$4:$R$303)/E172,"-")</f>
        <v>0.64712593996569</v>
      </c>
      <c r="K172" s="89" t="n">
        <f aca="false">IFERROR(SUMPRODUCT((('Loan Tape'!$R$4:$R$303&lt;&gt;"")*('Loan Tape'!$E$4:$E$303='Deal Strat'!$C$12))*'Loan Tape'!$T$4:$T$303*'Loan Tape'!$R$4:$R$303)/E172,"-")</f>
        <v>0.0853727877751438</v>
      </c>
      <c r="L172" s="89" t="n">
        <f aca="false">IFERROR(SUMPRODUCT((('Loan Tape'!$R$4:$R$303&lt;&gt;"")*('Loan Tape'!$E$4:$E$303='Deal Strat'!$C$12))*'Loan Tape'!$V$4:$V$303*'Loan Tape'!$R$4:$R$303)/E172,"-")</f>
        <v>0.69021042345102</v>
      </c>
      <c r="M172" s="89" t="n">
        <f aca="false">IFERROR(SUMPRODUCT((('Loan Tape'!$R$4:$R$303&lt;&gt;"")*('Loan Tape'!$E$4:$E$303='Deal Strat'!$C$12))*'Loan Tape'!$W$4:$W$303*'Loan Tape'!$R$4:$R$303)/E172,"-")</f>
        <v>0.727922306013364</v>
      </c>
      <c r="N172" s="89" t="n">
        <f aca="false">IFERROR(SUMPRODUCT((('Loan Tape'!$R$4:$R$303&lt;&gt;"")*('Loan Tape'!$E$4:$E$303='Deal Strat'!$C$12))*'Loan Tape'!$AI$4:$AI$303*'Loan Tape'!$R$4:$R$303)/E172,"-")</f>
        <v>0.0680705466231036</v>
      </c>
      <c r="O172" s="89" t="n">
        <f aca="false">IFERROR(SUMPRODUCT((('Loan Tape'!$R$4:$R$303&lt;&gt;"")*('Loan Tape'!$E$4:$E$303='Deal Strat'!$C$12))*'Loan Tape'!$AK$4:$AK$303*'Loan Tape'!$R$4:$R$303)/E172,"-")</f>
        <v>0.077777435722589</v>
      </c>
      <c r="P172" s="89" t="n">
        <f aca="false">IFERROR(SUMPRODUCT((('Loan Tape'!$R$4:$R$303&lt;&gt;"")*('Loan Tape'!$E$4:$E$303='Deal Strat'!$C$12))*'Loan Tape'!$S$4:$S$303*'Loan Tape'!$R$4:$R$303)/E172,"-")</f>
        <v>0.841462496677736</v>
      </c>
    </row>
    <row r="174" customFormat="false" ht="19.5" hidden="false" customHeight="true" outlineLevel="0" collapsed="false">
      <c r="B174" s="5" t="s">
        <v>437</v>
      </c>
      <c r="C174" s="5"/>
      <c r="D174" s="5"/>
      <c r="E174" s="5"/>
      <c r="F174" s="5"/>
      <c r="G174" s="5"/>
      <c r="H174" s="5"/>
      <c r="I174" s="5"/>
      <c r="J174" s="5"/>
      <c r="K174" s="5"/>
      <c r="L174" s="5"/>
      <c r="M174" s="5"/>
      <c r="N174" s="5"/>
      <c r="O174" s="5"/>
      <c r="P174" s="5"/>
    </row>
    <row r="175" customFormat="false" ht="42" hidden="false" customHeight="true" outlineLevel="0" collapsed="false">
      <c r="B175" s="82" t="s">
        <v>423</v>
      </c>
      <c r="C175" s="83" t="s">
        <v>368</v>
      </c>
      <c r="D175" s="83" t="s">
        <v>153</v>
      </c>
      <c r="E175" s="83" t="s">
        <v>393</v>
      </c>
      <c r="F175" s="83" t="s">
        <v>394</v>
      </c>
      <c r="G175" s="83" t="s">
        <v>395</v>
      </c>
      <c r="H175" s="83" t="s">
        <v>396</v>
      </c>
      <c r="I175" s="83" t="s">
        <v>397</v>
      </c>
      <c r="J175" s="83" t="s">
        <v>398</v>
      </c>
      <c r="K175" s="83" t="s">
        <v>399</v>
      </c>
      <c r="L175" s="83" t="s">
        <v>400</v>
      </c>
      <c r="M175" s="83" t="s">
        <v>401</v>
      </c>
      <c r="N175" s="83" t="s">
        <v>402</v>
      </c>
      <c r="O175" s="83" t="s">
        <v>403</v>
      </c>
      <c r="P175" s="83" t="s">
        <v>365</v>
      </c>
    </row>
    <row r="176" customFormat="false" ht="14.25" hidden="false" customHeight="false" outlineLevel="0" collapsed="false">
      <c r="B176" s="7" t="s">
        <v>438</v>
      </c>
      <c r="C176" s="68" t="n">
        <f aca="false">COUNTIFS('Loan Tape'!$M$4:$M$303,"&gt;="&amp;R176,'Loan Tape'!$M$4:$M$303,"&lt;="&amp;S176,'Loan Tape'!$R$4:$R$303,"&lt;&gt;",'Loan Tape'!$E$4:$E$303,'Deal Strat'!$C$12)</f>
        <v>1</v>
      </c>
      <c r="D176" s="68" t="n">
        <f aca="false">SUMPRODUCT((('Loan Tape'!$M$4:$M$303&lt;&gt;"")*('Loan Tape'!$R$4:$R$303&lt;&gt;"")*('Loan Tape'!$M$4:$M$303&gt;=R176)*('Loan Tape'!$M$4:$M$303&lt;=S176)*('Loan Tape'!$E$4:$E$303='Deal Strat'!$C$12))*'Loan Tape'!$F$4:$F$303)</f>
        <v>184</v>
      </c>
      <c r="E176" s="84" t="n">
        <f aca="false">SUMIFS('Loan Tape'!$R$4:$R$303,'Loan Tape'!$M$4:$M$303,"&gt;="&amp;R176,'Loan Tape'!$M$4:$M$303,"&lt;="&amp;S176,'Loan Tape'!$R$4:$R$303,"&lt;&gt;",'Loan Tape'!$E$4:$E$303,'Deal Strat'!$C$12)</f>
        <v>63125000</v>
      </c>
      <c r="F176" s="69" t="n">
        <f aca="false">IFERROR(E176/C5,0)</f>
        <v>0.169469001602741</v>
      </c>
      <c r="G176" s="85" t="n">
        <f aca="false">IFERROR(SUMPRODUCT((('Loan Tape'!$M$4:$M$303&lt;&gt;"")*('Loan Tape'!$R$4:$R$303&lt;&gt;"")*('Loan Tape'!$M$4:$M$303&gt;=R176)*('Loan Tape'!$M$4:$M$303&lt;=S176)*('Loan Tape'!$E$4:$E$303='Deal Strat'!$C$12))*'Loan Tape'!$U$4:$U$303*'Loan Tape'!$R$4:$R$303)/E176,"-")</f>
        <v>1.5</v>
      </c>
      <c r="H176" s="68" t="n">
        <f aca="false">IFERROR(SUMPRODUCT((('Loan Tape'!$M$4:$M$303&lt;&gt;"")*('Loan Tape'!$R$4:$R$303&lt;&gt;"")*('Loan Tape'!$M$4:$M$303&gt;=R176)*('Loan Tape'!$M$4:$M$303&lt;=S176)*('Loan Tape'!$E$4:$E$303='Deal Strat'!$C$12))*'Loan Tape'!$AH$4:$AH$303*'Loan Tape'!$R$4:$R$303)/E176,"-")</f>
        <v>103</v>
      </c>
      <c r="I176" s="68" t="n">
        <f aca="false">IFERROR(SUMPRODUCT((('Loan Tape'!$M$4:$M$303&lt;&gt;"")*('Loan Tape'!$R$4:$R$303&lt;&gt;"")*('Loan Tape'!$M$4:$M$303&gt;=R176)*('Loan Tape'!$M$4:$M$303&lt;=S176)*('Loan Tape'!$E$4:$E$303='Deal Strat'!$C$12))*(('Loan Tape'!$H$4:$H$303-$C$4)/30.4375)*'Loan Tape'!$R$4:$R$303)/E176,"-")</f>
        <v>17.0184804928131</v>
      </c>
      <c r="J176" s="69" t="n">
        <f aca="false">IFERROR(SUMPRODUCT((('Loan Tape'!$M$4:$M$303&lt;&gt;"")*('Loan Tape'!$R$4:$R$303&lt;&gt;"")*('Loan Tape'!$M$4:$M$303&gt;=R176)*('Loan Tape'!$M$4:$M$303&lt;=S176)*('Loan Tape'!$E$4:$E$303='Deal Strat'!$C$12))*('Loan Tape'!$K$4:$K$303="Floating")*'Loan Tape'!$R$4:$R$303)/E176,"-")</f>
        <v>1</v>
      </c>
      <c r="K176" s="69" t="n">
        <f aca="false">IFERROR(SUMPRODUCT((('Loan Tape'!$M$4:$M$303&lt;&gt;"")*('Loan Tape'!$R$4:$R$303&lt;&gt;"")*('Loan Tape'!$M$4:$M$303&gt;=R176)*('Loan Tape'!$M$4:$M$303&lt;=S176)*('Loan Tape'!$E$4:$E$303='Deal Strat'!$C$12))*'Loan Tape'!$T$4:$T$303*'Loan Tape'!$R$4:$R$303)/E176,"-")</f>
        <v>0.0745</v>
      </c>
      <c r="L176" s="69" t="n">
        <f aca="false">IFERROR(SUMPRODUCT((('Loan Tape'!$M$4:$M$303&lt;&gt;"")*('Loan Tape'!$R$4:$R$303&lt;&gt;"")*('Loan Tape'!$M$4:$M$303&gt;=R176)*('Loan Tape'!$M$4:$M$303&lt;=S176)*('Loan Tape'!$E$4:$E$303='Deal Strat'!$C$12))*'Loan Tape'!$V$4:$V$303*'Loan Tape'!$R$4:$R$303)/E176,"-")</f>
        <v>0.583</v>
      </c>
      <c r="M176" s="69" t="n">
        <f aca="false">IFERROR(SUMPRODUCT((('Loan Tape'!$M$4:$M$303&lt;&gt;"")*('Loan Tape'!$R$4:$R$303&lt;&gt;"")*('Loan Tape'!$M$4:$M$303&gt;=R176)*('Loan Tape'!$M$4:$M$303&lt;=S176)*('Loan Tape'!$E$4:$E$303='Deal Strat'!$C$12))*'Loan Tape'!$W$4:$W$303*'Loan Tape'!$R$4:$R$303)/E176,"-")</f>
        <v>0.613</v>
      </c>
      <c r="N176" s="69" t="n">
        <f aca="false">IFERROR(SUMPRODUCT((('Loan Tape'!$M$4:$M$303&lt;&gt;"")*('Loan Tape'!$R$4:$R$303&lt;&gt;"")*('Loan Tape'!$M$4:$M$303&gt;=R176)*('Loan Tape'!$M$4:$M$303&lt;=S176)*('Loan Tape'!$E$4:$E$303='Deal Strat'!$C$12))*'Loan Tape'!$AI$4:$AI$303*'Loan Tape'!$R$4:$R$303)/E176,"-")</f>
        <v>0.0649</v>
      </c>
      <c r="O176" s="69" t="n">
        <f aca="false">IFERROR(SUMPRODUCT((('Loan Tape'!$M$4:$M$303&lt;&gt;"")*('Loan Tape'!$R$4:$R$303&lt;&gt;"")*('Loan Tape'!$M$4:$M$303&gt;=R176)*('Loan Tape'!$M$4:$M$303&lt;=S176)*('Loan Tape'!$E$4:$E$303='Deal Strat'!$C$12))*'Loan Tape'!$AK$4:$AK$303*'Loan Tape'!$R$4:$R$303)/E176,"-")</f>
        <v>0.0799</v>
      </c>
      <c r="P176" s="69" t="n">
        <f aca="false">IFERROR(SUMPRODUCT((('Loan Tape'!$M$4:$M$303&lt;&gt;"")*('Loan Tape'!$R$4:$R$303&lt;&gt;"")*('Loan Tape'!$M$4:$M$303&gt;=R176)*('Loan Tape'!$M$4:$M$303&lt;=S176)*('Loan Tape'!$E$4:$E$303='Deal Strat'!$C$12))*'Loan Tape'!$S$4:$S$303*'Loan Tape'!$R$4:$R$303)/E176,"-")</f>
        <v>0.817</v>
      </c>
      <c r="R176" s="91" t="n">
        <v>-1000000000000</v>
      </c>
      <c r="S176" s="91" t="n">
        <v>0.01999</v>
      </c>
    </row>
    <row r="177" customFormat="false" ht="14.25" hidden="false" customHeight="false" outlineLevel="0" collapsed="false">
      <c r="B177" s="7" t="s">
        <v>439</v>
      </c>
      <c r="C177" s="68" t="n">
        <f aca="false">COUNTIFS('Loan Tape'!$M$4:$M$303,"&gt;="&amp;R177,'Loan Tape'!$M$4:$M$303,"&lt;="&amp;S177,'Loan Tape'!$R$4:$R$303,"&lt;&gt;",'Loan Tape'!$E$4:$E$303,'Deal Strat'!$C$12)</f>
        <v>1</v>
      </c>
      <c r="D177" s="68" t="n">
        <f aca="false">SUMPRODUCT((('Loan Tape'!$M$4:$M$303&lt;&gt;"")*('Loan Tape'!$R$4:$R$303&lt;&gt;"")*('Loan Tape'!$M$4:$M$303&gt;=R177)*('Loan Tape'!$M$4:$M$303&lt;=S177)*('Loan Tape'!$E$4:$E$303='Deal Strat'!$C$12))*'Loan Tape'!$F$4:$F$303)</f>
        <v>0</v>
      </c>
      <c r="E177" s="84" t="n">
        <f aca="false">SUMIFS('Loan Tape'!$R$4:$R$303,'Loan Tape'!$M$4:$M$303,"&gt;="&amp;R177,'Loan Tape'!$M$4:$M$303,"&lt;="&amp;S177,'Loan Tape'!$R$4:$R$303,"&lt;&gt;",'Loan Tape'!$E$4:$E$303,'Deal Strat'!$C$12)</f>
        <v>57608000</v>
      </c>
      <c r="F177" s="69" t="n">
        <f aca="false">IFERROR(E177/C5,0)</f>
        <v>0.154657746444842</v>
      </c>
      <c r="G177" s="85" t="n">
        <f aca="false">IFERROR(SUMPRODUCT((('Loan Tape'!$M$4:$M$303&lt;&gt;"")*('Loan Tape'!$R$4:$R$303&lt;&gt;"")*('Loan Tape'!$M$4:$M$303&gt;=R177)*('Loan Tape'!$M$4:$M$303&lt;=S177)*('Loan Tape'!$E$4:$E$303='Deal Strat'!$C$12))*'Loan Tape'!$U$4:$U$303*'Loan Tape'!$R$4:$R$303)/E177,"-")</f>
        <v>1.36</v>
      </c>
      <c r="H177" s="68" t="n">
        <f aca="false">IFERROR(SUMPRODUCT((('Loan Tape'!$M$4:$M$303&lt;&gt;"")*('Loan Tape'!$R$4:$R$303&lt;&gt;"")*('Loan Tape'!$M$4:$M$303&gt;=R177)*('Loan Tape'!$M$4:$M$303&lt;=S177)*('Loan Tape'!$E$4:$E$303='Deal Strat'!$C$12))*'Loan Tape'!$AH$4:$AH$303*'Loan Tape'!$R$4:$R$303)/E177,"-")</f>
        <v>101</v>
      </c>
      <c r="I177" s="68" t="n">
        <f aca="false">IFERROR(SUMPRODUCT((('Loan Tape'!$M$4:$M$303&lt;&gt;"")*('Loan Tape'!$R$4:$R$303&lt;&gt;"")*('Loan Tape'!$M$4:$M$303&gt;=R177)*('Loan Tape'!$M$4:$M$303&lt;=S177)*('Loan Tape'!$E$4:$E$303='Deal Strat'!$C$12))*(('Loan Tape'!$H$4:$H$303-$C$4)/30.4375)*'Loan Tape'!$R$4:$R$303)/E177,"-")</f>
        <v>19.0225872689938</v>
      </c>
      <c r="J177" s="69" t="n">
        <f aca="false">IFERROR(SUMPRODUCT((('Loan Tape'!$M$4:$M$303&lt;&gt;"")*('Loan Tape'!$R$4:$R$303&lt;&gt;"")*('Loan Tape'!$M$4:$M$303&gt;=R177)*('Loan Tape'!$M$4:$M$303&lt;=S177)*('Loan Tape'!$E$4:$E$303='Deal Strat'!$C$12))*('Loan Tape'!$K$4:$K$303="Floating")*'Loan Tape'!$R$4:$R$303)/E177,"-")</f>
        <v>1</v>
      </c>
      <c r="K177" s="69" t="n">
        <f aca="false">IFERROR(SUMPRODUCT((('Loan Tape'!$M$4:$M$303&lt;&gt;"")*('Loan Tape'!$R$4:$R$303&lt;&gt;"")*('Loan Tape'!$M$4:$M$303&gt;=R177)*('Loan Tape'!$M$4:$M$303&lt;=S177)*('Loan Tape'!$E$4:$E$303='Deal Strat'!$C$12))*'Loan Tape'!$T$4:$T$303*'Loan Tape'!$R$4:$R$303)/E177,"-")</f>
        <v>0.0853</v>
      </c>
      <c r="L177" s="69" t="n">
        <f aca="false">IFERROR(SUMPRODUCT((('Loan Tape'!$M$4:$M$303&lt;&gt;"")*('Loan Tape'!$R$4:$R$303&lt;&gt;"")*('Loan Tape'!$M$4:$M$303&gt;=R177)*('Loan Tape'!$M$4:$M$303&lt;=S177)*('Loan Tape'!$E$4:$E$303='Deal Strat'!$C$12))*'Loan Tape'!$V$4:$V$303*'Loan Tape'!$R$4:$R$303)/E177,"-")</f>
        <v>0.572</v>
      </c>
      <c r="M177" s="69" t="n">
        <f aca="false">IFERROR(SUMPRODUCT((('Loan Tape'!$M$4:$M$303&lt;&gt;"")*('Loan Tape'!$R$4:$R$303&lt;&gt;"")*('Loan Tape'!$M$4:$M$303&gt;=R177)*('Loan Tape'!$M$4:$M$303&lt;=S177)*('Loan Tape'!$E$4:$E$303='Deal Strat'!$C$12))*'Loan Tape'!$W$4:$W$303*'Loan Tape'!$R$4:$R$303)/E177,"-")</f>
        <v>0.602</v>
      </c>
      <c r="N177" s="69" t="n">
        <f aca="false">IFERROR(SUMPRODUCT((('Loan Tape'!$M$4:$M$303&lt;&gt;"")*('Loan Tape'!$R$4:$R$303&lt;&gt;"")*('Loan Tape'!$M$4:$M$303&gt;=R177)*('Loan Tape'!$M$4:$M$303&lt;=S177)*('Loan Tape'!$E$4:$E$303='Deal Strat'!$C$12))*'Loan Tape'!$AI$4:$AI$303*'Loan Tape'!$R$4:$R$303)/E177,"-")</f>
        <v>0.065</v>
      </c>
      <c r="O177" s="69" t="n">
        <f aca="false">IFERROR(SUMPRODUCT((('Loan Tape'!$M$4:$M$303&lt;&gt;"")*('Loan Tape'!$R$4:$R$303&lt;&gt;"")*('Loan Tape'!$M$4:$M$303&gt;=R177)*('Loan Tape'!$M$4:$M$303&lt;=S177)*('Loan Tape'!$E$4:$E$303='Deal Strat'!$C$12))*'Loan Tape'!$AK$4:$AK$303*'Loan Tape'!$R$4:$R$303)/E177,"-")</f>
        <v>0.08</v>
      </c>
      <c r="P177" s="69" t="n">
        <f aca="false">IFERROR(SUMPRODUCT((('Loan Tape'!$M$4:$M$303&lt;&gt;"")*('Loan Tape'!$R$4:$R$303&lt;&gt;"")*('Loan Tape'!$M$4:$M$303&gt;=R177)*('Loan Tape'!$M$4:$M$303&lt;=S177)*('Loan Tape'!$E$4:$E$303='Deal Strat'!$C$12))*'Loan Tape'!$S$4:$S$303*'Loan Tape'!$R$4:$R$303)/E177,"-")</f>
        <v>0.94</v>
      </c>
      <c r="R177" s="91" t="n">
        <v>0.02</v>
      </c>
      <c r="S177" s="91" t="n">
        <v>0.02999</v>
      </c>
    </row>
    <row r="178" customFormat="false" ht="14.25" hidden="false" customHeight="false" outlineLevel="0" collapsed="false">
      <c r="B178" s="7" t="s">
        <v>440</v>
      </c>
      <c r="C178" s="68" t="n">
        <f aca="false">COUNTIFS('Loan Tape'!$M$4:$M$303,"&gt;="&amp;R178,'Loan Tape'!$M$4:$M$303,"&lt;="&amp;S178,'Loan Tape'!$R$4:$R$303,"&lt;&gt;",'Loan Tape'!$E$4:$E$303,'Deal Strat'!$C$12)</f>
        <v>1</v>
      </c>
      <c r="D178" s="68" t="n">
        <f aca="false">SUMPRODUCT((('Loan Tape'!$M$4:$M$303&lt;&gt;"")*('Loan Tape'!$R$4:$R$303&lt;&gt;"")*('Loan Tape'!$M$4:$M$303&gt;=R178)*('Loan Tape'!$M$4:$M$303&lt;=S178)*('Loan Tape'!$E$4:$E$303='Deal Strat'!$C$12))*'Loan Tape'!$F$4:$F$303)</f>
        <v>0</v>
      </c>
      <c r="E178" s="84" t="n">
        <f aca="false">SUMIFS('Loan Tape'!$R$4:$R$303,'Loan Tape'!$M$4:$M$303,"&gt;="&amp;R178,'Loan Tape'!$M$4:$M$303,"&lt;="&amp;S178,'Loan Tape'!$R$4:$R$303,"&lt;&gt;",'Loan Tape'!$E$4:$E$303,'Deal Strat'!$C$12)</f>
        <v>120313000</v>
      </c>
      <c r="F178" s="69" t="n">
        <f aca="false">IFERROR(E178/C5,0)</f>
        <v>0.322999191918107</v>
      </c>
      <c r="G178" s="85" t="n">
        <f aca="false">IFERROR(SUMPRODUCT((('Loan Tape'!$M$4:$M$303&lt;&gt;"")*('Loan Tape'!$R$4:$R$303&lt;&gt;"")*('Loan Tape'!$M$4:$M$303&gt;=R178)*('Loan Tape'!$M$4:$M$303&lt;=S178)*('Loan Tape'!$E$4:$E$303='Deal Strat'!$C$12))*'Loan Tape'!$U$4:$U$303*'Loan Tape'!$R$4:$R$303)/E178,"-")</f>
        <v>1.38</v>
      </c>
      <c r="H178" s="68" t="n">
        <f aca="false">IFERROR(SUMPRODUCT((('Loan Tape'!$M$4:$M$303&lt;&gt;"")*('Loan Tape'!$R$4:$R$303&lt;&gt;"")*('Loan Tape'!$M$4:$M$303&gt;=R178)*('Loan Tape'!$M$4:$M$303&lt;=S178)*('Loan Tape'!$E$4:$E$303='Deal Strat'!$C$12))*'Loan Tape'!$AH$4:$AH$303*'Loan Tape'!$R$4:$R$303)/E178,"-")</f>
        <v>100</v>
      </c>
      <c r="I178" s="68" t="n">
        <f aca="false">IFERROR(SUMPRODUCT((('Loan Tape'!$M$4:$M$303&lt;&gt;"")*('Loan Tape'!$R$4:$R$303&lt;&gt;"")*('Loan Tape'!$M$4:$M$303&gt;=R178)*('Loan Tape'!$M$4:$M$303&lt;=S178)*('Loan Tape'!$E$4:$E$303='Deal Strat'!$C$12))*(('Loan Tape'!$H$4:$H$303-$C$4)/30.4375)*'Loan Tape'!$R$4:$R$303)/E178,"-")</f>
        <v>20.041067761807</v>
      </c>
      <c r="J178" s="69" t="n">
        <f aca="false">IFERROR(SUMPRODUCT((('Loan Tape'!$M$4:$M$303&lt;&gt;"")*('Loan Tape'!$R$4:$R$303&lt;&gt;"")*('Loan Tape'!$M$4:$M$303&gt;=R178)*('Loan Tape'!$M$4:$M$303&lt;=S178)*('Loan Tape'!$E$4:$E$303='Deal Strat'!$C$12))*('Loan Tape'!$K$4:$K$303="Floating")*'Loan Tape'!$R$4:$R$303)/E178,"-")</f>
        <v>1</v>
      </c>
      <c r="K178" s="69" t="n">
        <f aca="false">IFERROR(SUMPRODUCT((('Loan Tape'!$M$4:$M$303&lt;&gt;"")*('Loan Tape'!$R$4:$R$303&lt;&gt;"")*('Loan Tape'!$M$4:$M$303&gt;=R178)*('Loan Tape'!$M$4:$M$303&lt;=S178)*('Loan Tape'!$E$4:$E$303='Deal Strat'!$C$12))*'Loan Tape'!$T$4:$T$303*'Loan Tape'!$R$4:$R$303)/E178,"-")</f>
        <v>0.0814</v>
      </c>
      <c r="L178" s="69" t="n">
        <f aca="false">IFERROR(SUMPRODUCT((('Loan Tape'!$M$4:$M$303&lt;&gt;"")*('Loan Tape'!$R$4:$R$303&lt;&gt;"")*('Loan Tape'!$M$4:$M$303&gt;=R178)*('Loan Tape'!$M$4:$M$303&lt;=S178)*('Loan Tape'!$E$4:$E$303='Deal Strat'!$C$12))*'Loan Tape'!$V$4:$V$303*'Loan Tape'!$R$4:$R$303)/E178,"-")</f>
        <v>0.663</v>
      </c>
      <c r="M178" s="69" t="n">
        <f aca="false">IFERROR(SUMPRODUCT((('Loan Tape'!$M$4:$M$303&lt;&gt;"")*('Loan Tape'!$R$4:$R$303&lt;&gt;"")*('Loan Tape'!$M$4:$M$303&gt;=R178)*('Loan Tape'!$M$4:$M$303&lt;=S178)*('Loan Tape'!$E$4:$E$303='Deal Strat'!$C$12))*'Loan Tape'!$W$4:$W$303*'Loan Tape'!$R$4:$R$303)/E178,"-")</f>
        <v>0.69</v>
      </c>
      <c r="N178" s="69" t="n">
        <f aca="false">IFERROR(SUMPRODUCT((('Loan Tape'!$M$4:$M$303&lt;&gt;"")*('Loan Tape'!$R$4:$R$303&lt;&gt;"")*('Loan Tape'!$M$4:$M$303&gt;=R178)*('Loan Tape'!$M$4:$M$303&lt;=S178)*('Loan Tape'!$E$4:$E$303='Deal Strat'!$C$12))*'Loan Tape'!$AI$4:$AI$303*'Loan Tape'!$R$4:$R$303)/E178,"-")</f>
        <v>0.083</v>
      </c>
      <c r="O178" s="69" t="n">
        <f aca="false">IFERROR(SUMPRODUCT((('Loan Tape'!$M$4:$M$303&lt;&gt;"")*('Loan Tape'!$R$4:$R$303&lt;&gt;"")*('Loan Tape'!$M$4:$M$303&gt;=R178)*('Loan Tape'!$M$4:$M$303&lt;=S178)*('Loan Tape'!$E$4:$E$303='Deal Strat'!$C$12))*'Loan Tape'!$AK$4:$AK$303*'Loan Tape'!$R$4:$R$303)/E178,"-")</f>
        <v>0.098</v>
      </c>
      <c r="P178" s="69" t="n">
        <f aca="false">IFERROR(SUMPRODUCT((('Loan Tape'!$M$4:$M$303&lt;&gt;"")*('Loan Tape'!$R$4:$R$303&lt;&gt;"")*('Loan Tape'!$M$4:$M$303&gt;=R178)*('Loan Tape'!$M$4:$M$303&lt;=S178)*('Loan Tape'!$E$4:$E$303='Deal Strat'!$C$12))*'Loan Tape'!$S$4:$S$303*'Loan Tape'!$R$4:$R$303)/E178,"-")</f>
        <v>0.784</v>
      </c>
      <c r="R178" s="91" t="n">
        <v>0.03</v>
      </c>
      <c r="S178" s="91" t="n">
        <v>0.03999</v>
      </c>
    </row>
    <row r="179" customFormat="false" ht="14.25" hidden="false" customHeight="false" outlineLevel="0" collapsed="false">
      <c r="B179" s="7" t="s">
        <v>441</v>
      </c>
      <c r="C179" s="68" t="n">
        <f aca="false">COUNTIFS('Loan Tape'!$M$4:$M$303,"&gt;="&amp;R179,'Loan Tape'!$M$4:$M$303,"&lt;="&amp;S179,'Loan Tape'!$R$4:$R$303,"&lt;&gt;",'Loan Tape'!$E$4:$E$303,'Deal Strat'!$C$12)</f>
        <v>0</v>
      </c>
      <c r="D179" s="68" t="n">
        <f aca="false">SUMPRODUCT((('Loan Tape'!$M$4:$M$303&lt;&gt;"")*('Loan Tape'!$R$4:$R$303&lt;&gt;"")*('Loan Tape'!$M$4:$M$303&gt;=R179)*('Loan Tape'!$M$4:$M$303&lt;=S179)*('Loan Tape'!$E$4:$E$303='Deal Strat'!$C$12))*'Loan Tape'!$F$4:$F$303)</f>
        <v>0</v>
      </c>
      <c r="E179" s="84" t="n">
        <f aca="false">SUMIFS('Loan Tape'!$R$4:$R$303,'Loan Tape'!$M$4:$M$303,"&gt;="&amp;R179,'Loan Tape'!$M$4:$M$303,"&lt;="&amp;S179,'Loan Tape'!$R$4:$R$303,"&lt;&gt;",'Loan Tape'!$E$4:$E$303,'Deal Strat'!$C$12)</f>
        <v>0</v>
      </c>
      <c r="F179" s="69" t="n">
        <f aca="false">IFERROR(E179/C5,0)</f>
        <v>0</v>
      </c>
      <c r="G179" s="85" t="str">
        <f aca="false">IFERROR(SUMPRODUCT((('Loan Tape'!$M$4:$M$303&lt;&gt;"")*('Loan Tape'!$R$4:$R$303&lt;&gt;"")*('Loan Tape'!$M$4:$M$303&gt;=R179)*('Loan Tape'!$M$4:$M$303&lt;=S179)*('Loan Tape'!$E$4:$E$303='Deal Strat'!$C$12))*'Loan Tape'!$U$4:$U$303*'Loan Tape'!$R$4:$R$303)/E179,"-")</f>
        <v>-</v>
      </c>
      <c r="H179" s="68" t="str">
        <f aca="false">IFERROR(SUMPRODUCT((('Loan Tape'!$M$4:$M$303&lt;&gt;"")*('Loan Tape'!$R$4:$R$303&lt;&gt;"")*('Loan Tape'!$M$4:$M$303&gt;=R179)*('Loan Tape'!$M$4:$M$303&lt;=S179)*('Loan Tape'!$E$4:$E$303='Deal Strat'!$C$12))*'Loan Tape'!$AH$4:$AH$303*'Loan Tape'!$R$4:$R$303)/E179,"-")</f>
        <v>-</v>
      </c>
      <c r="I179" s="68" t="str">
        <f aca="false">IFERROR(SUMPRODUCT((('Loan Tape'!$M$4:$M$303&lt;&gt;"")*('Loan Tape'!$R$4:$R$303&lt;&gt;"")*('Loan Tape'!$M$4:$M$303&gt;=R179)*('Loan Tape'!$M$4:$M$303&lt;=S179)*('Loan Tape'!$E$4:$E$303='Deal Strat'!$C$12))*(('Loan Tape'!$H$4:$H$303-$C$4)/30.4375)*'Loan Tape'!$R$4:$R$303)/E179,"-")</f>
        <v>-</v>
      </c>
      <c r="J179" s="69" t="str">
        <f aca="false">IFERROR(SUMPRODUCT((('Loan Tape'!$M$4:$M$303&lt;&gt;"")*('Loan Tape'!$R$4:$R$303&lt;&gt;"")*('Loan Tape'!$M$4:$M$303&gt;=R179)*('Loan Tape'!$M$4:$M$303&lt;=S179)*('Loan Tape'!$E$4:$E$303='Deal Strat'!$C$12))*('Loan Tape'!$K$4:$K$303="Floating")*'Loan Tape'!$R$4:$R$303)/E179,"-")</f>
        <v>-</v>
      </c>
      <c r="K179" s="69" t="str">
        <f aca="false">IFERROR(SUMPRODUCT((('Loan Tape'!$M$4:$M$303&lt;&gt;"")*('Loan Tape'!$R$4:$R$303&lt;&gt;"")*('Loan Tape'!$M$4:$M$303&gt;=R179)*('Loan Tape'!$M$4:$M$303&lt;=S179)*('Loan Tape'!$E$4:$E$303='Deal Strat'!$C$12))*'Loan Tape'!$T$4:$T$303*'Loan Tape'!$R$4:$R$303)/E179,"-")</f>
        <v>-</v>
      </c>
      <c r="L179" s="69" t="str">
        <f aca="false">IFERROR(SUMPRODUCT((('Loan Tape'!$M$4:$M$303&lt;&gt;"")*('Loan Tape'!$R$4:$R$303&lt;&gt;"")*('Loan Tape'!$M$4:$M$303&gt;=R179)*('Loan Tape'!$M$4:$M$303&lt;=S179)*('Loan Tape'!$E$4:$E$303='Deal Strat'!$C$12))*'Loan Tape'!$V$4:$V$303*'Loan Tape'!$R$4:$R$303)/E179,"-")</f>
        <v>-</v>
      </c>
      <c r="M179" s="69" t="str">
        <f aca="false">IFERROR(SUMPRODUCT((('Loan Tape'!$M$4:$M$303&lt;&gt;"")*('Loan Tape'!$R$4:$R$303&lt;&gt;"")*('Loan Tape'!$M$4:$M$303&gt;=R179)*('Loan Tape'!$M$4:$M$303&lt;=S179)*('Loan Tape'!$E$4:$E$303='Deal Strat'!$C$12))*'Loan Tape'!$W$4:$W$303*'Loan Tape'!$R$4:$R$303)/E179,"-")</f>
        <v>-</v>
      </c>
      <c r="N179" s="69" t="str">
        <f aca="false">IFERROR(SUMPRODUCT((('Loan Tape'!$M$4:$M$303&lt;&gt;"")*('Loan Tape'!$R$4:$R$303&lt;&gt;"")*('Loan Tape'!$M$4:$M$303&gt;=R179)*('Loan Tape'!$M$4:$M$303&lt;=S179)*('Loan Tape'!$E$4:$E$303='Deal Strat'!$C$12))*'Loan Tape'!$AI$4:$AI$303*'Loan Tape'!$R$4:$R$303)/E179,"-")</f>
        <v>-</v>
      </c>
      <c r="O179" s="69" t="str">
        <f aca="false">IFERROR(SUMPRODUCT((('Loan Tape'!$M$4:$M$303&lt;&gt;"")*('Loan Tape'!$R$4:$R$303&lt;&gt;"")*('Loan Tape'!$M$4:$M$303&gt;=R179)*('Loan Tape'!$M$4:$M$303&lt;=S179)*('Loan Tape'!$E$4:$E$303='Deal Strat'!$C$12))*'Loan Tape'!$AK$4:$AK$303*'Loan Tape'!$R$4:$R$303)/E179,"-")</f>
        <v>-</v>
      </c>
      <c r="P179" s="69" t="str">
        <f aca="false">IFERROR(SUMPRODUCT((('Loan Tape'!$M$4:$M$303&lt;&gt;"")*('Loan Tape'!$R$4:$R$303&lt;&gt;"")*('Loan Tape'!$M$4:$M$303&gt;=R179)*('Loan Tape'!$M$4:$M$303&lt;=S179)*('Loan Tape'!$E$4:$E$303='Deal Strat'!$C$12))*'Loan Tape'!$S$4:$S$303*'Loan Tape'!$R$4:$R$303)/E179,"-")</f>
        <v>-</v>
      </c>
      <c r="R179" s="91" t="n">
        <v>0.04</v>
      </c>
      <c r="S179" s="91" t="n">
        <v>0.04999</v>
      </c>
    </row>
    <row r="180" customFormat="false" ht="14.25" hidden="false" customHeight="false" outlineLevel="0" collapsed="false">
      <c r="B180" s="7" t="s">
        <v>442</v>
      </c>
      <c r="C180" s="68" t="n">
        <f aca="false">COUNTIFS('Loan Tape'!$M$4:$M$303,"&gt;="&amp;R180,'Loan Tape'!$M$4:$M$303,"&lt;="&amp;S180,'Loan Tape'!$R$4:$R$303,"&lt;&gt;",'Loan Tape'!$E$4:$E$303,'Deal Strat'!$C$12)</f>
        <v>0</v>
      </c>
      <c r="D180" s="68" t="n">
        <f aca="false">SUMPRODUCT((('Loan Tape'!$M$4:$M$303&lt;&gt;"")*('Loan Tape'!$R$4:$R$303&lt;&gt;"")*('Loan Tape'!$M$4:$M$303&gt;=R180)*('Loan Tape'!$M$4:$M$303&lt;=S180)*('Loan Tape'!$E$4:$E$303='Deal Strat'!$C$12))*'Loan Tape'!$F$4:$F$303)</f>
        <v>0</v>
      </c>
      <c r="E180" s="84" t="n">
        <f aca="false">SUMIFS('Loan Tape'!$R$4:$R$303,'Loan Tape'!$M$4:$M$303,"&gt;="&amp;R180,'Loan Tape'!$M$4:$M$303,"&lt;="&amp;S180,'Loan Tape'!$R$4:$R$303,"&lt;&gt;",'Loan Tape'!$E$4:$E$303,'Deal Strat'!$C$12)</f>
        <v>0</v>
      </c>
      <c r="F180" s="69" t="n">
        <f aca="false">IFERROR(E180/C5,0)</f>
        <v>0</v>
      </c>
      <c r="G180" s="85" t="str">
        <f aca="false">IFERROR(SUMPRODUCT((('Loan Tape'!$M$4:$M$303&lt;&gt;"")*('Loan Tape'!$R$4:$R$303&lt;&gt;"")*('Loan Tape'!$M$4:$M$303&gt;=R180)*('Loan Tape'!$M$4:$M$303&lt;=S180)*('Loan Tape'!$E$4:$E$303='Deal Strat'!$C$12))*'Loan Tape'!$U$4:$U$303*'Loan Tape'!$R$4:$R$303)/E180,"-")</f>
        <v>-</v>
      </c>
      <c r="H180" s="68" t="str">
        <f aca="false">IFERROR(SUMPRODUCT((('Loan Tape'!$M$4:$M$303&lt;&gt;"")*('Loan Tape'!$R$4:$R$303&lt;&gt;"")*('Loan Tape'!$M$4:$M$303&gt;=R180)*('Loan Tape'!$M$4:$M$303&lt;=S180)*('Loan Tape'!$E$4:$E$303='Deal Strat'!$C$12))*'Loan Tape'!$AH$4:$AH$303*'Loan Tape'!$R$4:$R$303)/E180,"-")</f>
        <v>-</v>
      </c>
      <c r="I180" s="68" t="str">
        <f aca="false">IFERROR(SUMPRODUCT((('Loan Tape'!$M$4:$M$303&lt;&gt;"")*('Loan Tape'!$R$4:$R$303&lt;&gt;"")*('Loan Tape'!$M$4:$M$303&gt;=R180)*('Loan Tape'!$M$4:$M$303&lt;=S180)*('Loan Tape'!$E$4:$E$303='Deal Strat'!$C$12))*(('Loan Tape'!$H$4:$H$303-$C$4)/30.4375)*'Loan Tape'!$R$4:$R$303)/E180,"-")</f>
        <v>-</v>
      </c>
      <c r="J180" s="69" t="str">
        <f aca="false">IFERROR(SUMPRODUCT((('Loan Tape'!$M$4:$M$303&lt;&gt;"")*('Loan Tape'!$R$4:$R$303&lt;&gt;"")*('Loan Tape'!$M$4:$M$303&gt;=R180)*('Loan Tape'!$M$4:$M$303&lt;=S180)*('Loan Tape'!$E$4:$E$303='Deal Strat'!$C$12))*('Loan Tape'!$K$4:$K$303="Floating")*'Loan Tape'!$R$4:$R$303)/E180,"-")</f>
        <v>-</v>
      </c>
      <c r="K180" s="69" t="str">
        <f aca="false">IFERROR(SUMPRODUCT((('Loan Tape'!$M$4:$M$303&lt;&gt;"")*('Loan Tape'!$R$4:$R$303&lt;&gt;"")*('Loan Tape'!$M$4:$M$303&gt;=R180)*('Loan Tape'!$M$4:$M$303&lt;=S180)*('Loan Tape'!$E$4:$E$303='Deal Strat'!$C$12))*'Loan Tape'!$T$4:$T$303*'Loan Tape'!$R$4:$R$303)/E180,"-")</f>
        <v>-</v>
      </c>
      <c r="L180" s="69" t="str">
        <f aca="false">IFERROR(SUMPRODUCT((('Loan Tape'!$M$4:$M$303&lt;&gt;"")*('Loan Tape'!$R$4:$R$303&lt;&gt;"")*('Loan Tape'!$M$4:$M$303&gt;=R180)*('Loan Tape'!$M$4:$M$303&lt;=S180)*('Loan Tape'!$E$4:$E$303='Deal Strat'!$C$12))*'Loan Tape'!$V$4:$V$303*'Loan Tape'!$R$4:$R$303)/E180,"-")</f>
        <v>-</v>
      </c>
      <c r="M180" s="69" t="str">
        <f aca="false">IFERROR(SUMPRODUCT((('Loan Tape'!$M$4:$M$303&lt;&gt;"")*('Loan Tape'!$R$4:$R$303&lt;&gt;"")*('Loan Tape'!$M$4:$M$303&gt;=R180)*('Loan Tape'!$M$4:$M$303&lt;=S180)*('Loan Tape'!$E$4:$E$303='Deal Strat'!$C$12))*'Loan Tape'!$W$4:$W$303*'Loan Tape'!$R$4:$R$303)/E180,"-")</f>
        <v>-</v>
      </c>
      <c r="N180" s="69" t="str">
        <f aca="false">IFERROR(SUMPRODUCT((('Loan Tape'!$M$4:$M$303&lt;&gt;"")*('Loan Tape'!$R$4:$R$303&lt;&gt;"")*('Loan Tape'!$M$4:$M$303&gt;=R180)*('Loan Tape'!$M$4:$M$303&lt;=S180)*('Loan Tape'!$E$4:$E$303='Deal Strat'!$C$12))*'Loan Tape'!$AI$4:$AI$303*'Loan Tape'!$R$4:$R$303)/E180,"-")</f>
        <v>-</v>
      </c>
      <c r="O180" s="69" t="str">
        <f aca="false">IFERROR(SUMPRODUCT((('Loan Tape'!$M$4:$M$303&lt;&gt;"")*('Loan Tape'!$R$4:$R$303&lt;&gt;"")*('Loan Tape'!$M$4:$M$303&gt;=R180)*('Loan Tape'!$M$4:$M$303&lt;=S180)*('Loan Tape'!$E$4:$E$303='Deal Strat'!$C$12))*'Loan Tape'!$AK$4:$AK$303*'Loan Tape'!$R$4:$R$303)/E180,"-")</f>
        <v>-</v>
      </c>
      <c r="P180" s="69" t="str">
        <f aca="false">IFERROR(SUMPRODUCT((('Loan Tape'!$M$4:$M$303&lt;&gt;"")*('Loan Tape'!$R$4:$R$303&lt;&gt;"")*('Loan Tape'!$M$4:$M$303&gt;=R180)*('Loan Tape'!$M$4:$M$303&lt;=S180)*('Loan Tape'!$E$4:$E$303='Deal Strat'!$C$12))*'Loan Tape'!$S$4:$S$303*'Loan Tape'!$R$4:$R$303)/E180,"-")</f>
        <v>-</v>
      </c>
      <c r="R180" s="91" t="n">
        <v>0.05</v>
      </c>
      <c r="S180" s="91" t="n">
        <v>1000000000000</v>
      </c>
    </row>
    <row r="181" customFormat="false" ht="14.25" hidden="false" customHeight="false" outlineLevel="0" collapsed="false">
      <c r="B181" s="7" t="s">
        <v>443</v>
      </c>
      <c r="C181" s="68" t="n">
        <f aca="false">SUMPRODUCT((('Loan Tape'!$R$4:$R$303&lt;&gt;"")*(('Loan Tape'!$K$4:$K$303="Fixed")*('Loan Tape'!$R$4:$R$303&lt;&gt;""))*('Loan Tape'!$E$4:$E$303='Deal Strat'!$C$12))*1)</f>
        <v>2</v>
      </c>
      <c r="D181" s="68" t="n">
        <f aca="false">SUMPRODUCT((('Loan Tape'!$R$4:$R$303&lt;&gt;"")*(('Loan Tape'!$K$4:$K$303="Fixed")*('Loan Tape'!$R$4:$R$303&lt;&gt;""))*('Loan Tape'!$E$4:$E$303='Deal Strat'!$C$12))*'Loan Tape'!$F$4:$F$303)</f>
        <v>409</v>
      </c>
      <c r="E181" s="84" t="n">
        <f aca="false">SUMPRODUCT((('Loan Tape'!$R$4:$R$303&lt;&gt;"")*(('Loan Tape'!$K$4:$K$303="Fixed")*('Loan Tape'!$R$4:$R$303&lt;&gt;""))*('Loan Tape'!$E$4:$E$303='Deal Strat'!$C$12))*'Loan Tape'!$R$4:$R$303)</f>
        <v>131441000</v>
      </c>
      <c r="F181" s="69" t="n">
        <f aca="false">IFERROR(E181/C5,0)</f>
        <v>0.35287406003431</v>
      </c>
      <c r="G181" s="85" t="n">
        <f aca="false">IFERROR(SUMPRODUCT((('Loan Tape'!$R$4:$R$303&lt;&gt;"")*(('Loan Tape'!$K$4:$K$303="Fixed")*('Loan Tape'!$R$4:$R$303&lt;&gt;""))*('Loan Tape'!$E$4:$E$303='Deal Strat'!$C$12))*'Loan Tape'!$U$4:$U$303*'Loan Tape'!$R$4:$R$303)/E181,"-")</f>
        <v>1.56595453473422</v>
      </c>
      <c r="H181" s="68" t="n">
        <f aca="false">IFERROR(SUMPRODUCT((('Loan Tape'!$R$4:$R$303&lt;&gt;"")*(('Loan Tape'!$K$4:$K$303="Fixed")*('Loan Tape'!$R$4:$R$303&lt;&gt;""))*('Loan Tape'!$E$4:$E$303='Deal Strat'!$C$12))*'Loan Tape'!$AH$4:$AH$303*'Loan Tape'!$R$4:$R$303)/E181,"-")</f>
        <v>99.2577201938512</v>
      </c>
      <c r="I181" s="68" t="n">
        <f aca="false">IFERROR(SUMPRODUCT((('Loan Tape'!$R$4:$R$303&lt;&gt;"")*(('Loan Tape'!$K$4:$K$303="Fixed")*('Loan Tape'!$R$4:$R$303&lt;&gt;""))*('Loan Tape'!$E$4:$E$303='Deal Strat'!$C$12))*(('Loan Tape'!$H$4:$H$303-$C$4)/30.4375)*'Loan Tape'!$R$4:$R$303)/E181,"-")</f>
        <v>-23.4558121790326</v>
      </c>
      <c r="J181" s="69" t="n">
        <f aca="false">IFERROR(SUMPRODUCT((('Loan Tape'!$R$4:$R$303&lt;&gt;"")*(('Loan Tape'!$K$4:$K$303="Fixed")*('Loan Tape'!$R$4:$R$303&lt;&gt;""))*('Loan Tape'!$E$4:$E$303='Deal Strat'!$C$12))*('Loan Tape'!$K$4:$K$303="Floating")*'Loan Tape'!$R$4:$R$303)/E181,"-")</f>
        <v>0</v>
      </c>
      <c r="K181" s="69" t="n">
        <f aca="false">IFERROR(SUMPRODUCT((('Loan Tape'!$R$4:$R$303&lt;&gt;"")*(('Loan Tape'!$K$4:$K$303="Fixed")*('Loan Tape'!$R$4:$R$303&lt;&gt;""))*('Loan Tape'!$E$4:$E$303='Deal Strat'!$C$12))*'Loan Tape'!$T$4:$T$303*'Loan Tape'!$R$4:$R$303)/E181,"-")</f>
        <v>0.0942628289498711</v>
      </c>
      <c r="L181" s="69" t="n">
        <f aca="false">IFERROR(SUMPRODUCT((('Loan Tape'!$R$4:$R$303&lt;&gt;"")*(('Loan Tape'!$K$4:$K$303="Fixed")*('Loan Tape'!$R$4:$R$303&lt;&gt;""))*('Loan Tape'!$E$4:$E$303='Deal Strat'!$C$12))*'Loan Tape'!$V$4:$V$303*'Loan Tape'!$R$4:$R$303)/E181,"-")</f>
        <v>0.818414649918975</v>
      </c>
      <c r="M181" s="69" t="n">
        <f aca="false">IFERROR(SUMPRODUCT((('Loan Tape'!$R$4:$R$303&lt;&gt;"")*(('Loan Tape'!$K$4:$K$303="Fixed")*('Loan Tape'!$R$4:$R$303&lt;&gt;""))*('Loan Tape'!$E$4:$E$303='Deal Strat'!$C$12))*'Loan Tape'!$W$4:$W$303*'Loan Tape'!$R$4:$R$303)/E181,"-")</f>
        <v>0.873015155088595</v>
      </c>
      <c r="N181" s="69" t="n">
        <f aca="false">IFERROR(SUMPRODUCT((('Loan Tape'!$R$4:$R$303&lt;&gt;"")*(('Loan Tape'!$K$4:$K$303="Fixed")*('Loan Tape'!$R$4:$R$303&lt;&gt;""))*('Loan Tape'!$E$4:$E$303='Deal Strat'!$C$12))*'Loan Tape'!$AI$4:$AI$303*'Loan Tape'!$R$4:$R$303)/E181,"-")</f>
        <v>0.0572734702261851</v>
      </c>
      <c r="O181" s="69" t="n">
        <f aca="false">IFERROR(SUMPRODUCT((('Loan Tape'!$R$4:$R$303&lt;&gt;"")*(('Loan Tape'!$K$4:$K$303="Fixed")*('Loan Tape'!$R$4:$R$303&lt;&gt;""))*('Loan Tape'!$E$4:$E$303='Deal Strat'!$C$12))*'Loan Tape'!$AK$4:$AK$303*'Loan Tape'!$R$4:$R$303)/E181,"-")</f>
        <v>0.0572734702261851</v>
      </c>
      <c r="P181" s="69" t="n">
        <f aca="false">IFERROR(SUMPRODUCT((('Loan Tape'!$R$4:$R$303&lt;&gt;"")*(('Loan Tape'!$K$4:$K$303="Fixed")*('Loan Tape'!$R$4:$R$303&lt;&gt;""))*('Loan Tape'!$E$4:$E$303='Deal Strat'!$C$12))*'Loan Tape'!$S$4:$S$303*'Loan Tape'!$R$4:$R$303)/E181,"-")</f>
        <v>0.862621282552628</v>
      </c>
    </row>
    <row r="182" customFormat="false" ht="14.25" hidden="false" customHeight="false" outlineLevel="0" collapsed="false">
      <c r="B182" s="86" t="s">
        <v>405</v>
      </c>
      <c r="C182" s="92" t="n">
        <f aca="false">SUM(C176:C181)</f>
        <v>5</v>
      </c>
      <c r="D182" s="92" t="n">
        <f aca="false">SUM(D176:D181)</f>
        <v>593</v>
      </c>
      <c r="E182" s="88" t="n">
        <f aca="false">SUM(E176:E181)</f>
        <v>372487000</v>
      </c>
      <c r="F182" s="89" t="n">
        <f aca="false">SUM(F176:F181)</f>
        <v>1</v>
      </c>
      <c r="G182" s="90" t="n">
        <f aca="false">IFERROR(SUMPRODUCT((('Loan Tape'!$R$4:$R$303&lt;&gt;"")*('Loan Tape'!$E$4:$E$303='Deal Strat'!$C$12))*'Loan Tape'!$U$4:$U$303*'Loan Tape'!$R$4:$R$303)/E182,"-")</f>
        <v>1.46286165691689</v>
      </c>
      <c r="H182" s="92" t="n">
        <f aca="false">IFERROR(SUMPRODUCT((('Loan Tape'!$R$4:$R$303&lt;&gt;"")*('Loan Tape'!$E$4:$E$303='Deal Strat'!$C$12))*'Loan Tape'!$AH$4:$AH$303*'Loan Tape'!$R$4:$R$303)/E182,"-")</f>
        <v>100.401133462376</v>
      </c>
      <c r="I182" s="92" t="n">
        <f aca="false">IFERROR(SUMPRODUCT((('Loan Tape'!$R$4:$R$303&lt;&gt;"")*('Loan Tape'!$E$4:$E$303='Deal Strat'!$C$12))*(('Loan Tape'!$H$4:$H$303-$C$4)/30.4375)*'Loan Tape'!$R$4:$R$303)/E182,"-")</f>
        <v>4.02239639370792</v>
      </c>
      <c r="J182" s="89" t="n">
        <f aca="false">IFERROR(SUMPRODUCT((('Loan Tape'!$R$4:$R$303&lt;&gt;"")*('Loan Tape'!$E$4:$E$303='Deal Strat'!$C$12))*('Loan Tape'!$K$4:$K$303="Floating")*'Loan Tape'!$R$4:$R$303)/E182,"-")</f>
        <v>0.64712593996569</v>
      </c>
      <c r="K182" s="89" t="n">
        <f aca="false">IFERROR(SUMPRODUCT((('Loan Tape'!$R$4:$R$303&lt;&gt;"")*('Loan Tape'!$E$4:$E$303='Deal Strat'!$C$12))*'Loan Tape'!$T$4:$T$303*'Loan Tape'!$R$4:$R$303)/E182,"-")</f>
        <v>0.0853727877751438</v>
      </c>
      <c r="L182" s="89" t="n">
        <f aca="false">IFERROR(SUMPRODUCT((('Loan Tape'!$R$4:$R$303&lt;&gt;"")*('Loan Tape'!$E$4:$E$303='Deal Strat'!$C$12))*'Loan Tape'!$V$4:$V$303*'Loan Tape'!$R$4:$R$303)/E182,"-")</f>
        <v>0.69021042345102</v>
      </c>
      <c r="M182" s="89" t="n">
        <f aca="false">IFERROR(SUMPRODUCT((('Loan Tape'!$R$4:$R$303&lt;&gt;"")*('Loan Tape'!$E$4:$E$303='Deal Strat'!$C$12))*'Loan Tape'!$W$4:$W$303*'Loan Tape'!$R$4:$R$303)/E182,"-")</f>
        <v>0.727922306013364</v>
      </c>
      <c r="N182" s="89" t="n">
        <f aca="false">IFERROR(SUMPRODUCT((('Loan Tape'!$R$4:$R$303&lt;&gt;"")*('Loan Tape'!$E$4:$E$303='Deal Strat'!$C$12))*'Loan Tape'!$AI$4:$AI$303*'Loan Tape'!$R$4:$R$303)/E182,"-")</f>
        <v>0.0680705466231036</v>
      </c>
      <c r="O182" s="89" t="n">
        <f aca="false">IFERROR(SUMPRODUCT((('Loan Tape'!$R$4:$R$303&lt;&gt;"")*('Loan Tape'!$E$4:$E$303='Deal Strat'!$C$12))*'Loan Tape'!$AK$4:$AK$303*'Loan Tape'!$R$4:$R$303)/E182,"-")</f>
        <v>0.077777435722589</v>
      </c>
      <c r="P182" s="89" t="n">
        <f aca="false">IFERROR(SUMPRODUCT((('Loan Tape'!$R$4:$R$303&lt;&gt;"")*('Loan Tape'!$E$4:$E$303='Deal Strat'!$C$12))*'Loan Tape'!$S$4:$S$303*'Loan Tape'!$R$4:$R$303)/E182,"-")</f>
        <v>0.841462496677736</v>
      </c>
    </row>
    <row r="184" customFormat="false" ht="19.5" hidden="false" customHeight="true" outlineLevel="0" collapsed="false">
      <c r="B184" s="5" t="s">
        <v>444</v>
      </c>
      <c r="C184" s="5"/>
      <c r="D184" s="5"/>
      <c r="E184" s="5"/>
      <c r="F184" s="5"/>
      <c r="G184" s="5"/>
      <c r="H184" s="5"/>
      <c r="I184" s="5"/>
      <c r="J184" s="5"/>
      <c r="K184" s="5"/>
      <c r="L184" s="5"/>
      <c r="M184" s="5"/>
      <c r="N184" s="5"/>
      <c r="O184" s="5"/>
      <c r="P184" s="5"/>
    </row>
    <row r="185" customFormat="false" ht="42" hidden="false" customHeight="true" outlineLevel="0" collapsed="false">
      <c r="B185" s="82" t="s">
        <v>423</v>
      </c>
      <c r="C185" s="83" t="s">
        <v>368</v>
      </c>
      <c r="D185" s="83" t="s">
        <v>153</v>
      </c>
      <c r="E185" s="83" t="s">
        <v>393</v>
      </c>
      <c r="F185" s="83" t="s">
        <v>394</v>
      </c>
      <c r="G185" s="83" t="s">
        <v>395</v>
      </c>
      <c r="H185" s="83" t="s">
        <v>396</v>
      </c>
      <c r="I185" s="83" t="s">
        <v>397</v>
      </c>
      <c r="J185" s="83" t="s">
        <v>398</v>
      </c>
      <c r="K185" s="83" t="s">
        <v>399</v>
      </c>
      <c r="L185" s="83" t="s">
        <v>400</v>
      </c>
      <c r="M185" s="83" t="s">
        <v>401</v>
      </c>
      <c r="N185" s="83" t="s">
        <v>402</v>
      </c>
      <c r="O185" s="83" t="s">
        <v>403</v>
      </c>
      <c r="P185" s="83" t="s">
        <v>365</v>
      </c>
    </row>
    <row r="186" customFormat="false" ht="14.25" hidden="false" customHeight="false" outlineLevel="0" collapsed="false">
      <c r="B186" s="7" t="s">
        <v>445</v>
      </c>
      <c r="C186" s="68" t="n">
        <f aca="false">COUNTIFS('Loan Tape'!$U$4:$U$303,"&gt;="&amp;R186,'Loan Tape'!$U$4:$U$303,"&lt;="&amp;S186,'Loan Tape'!$R$4:$R$303,"&lt;&gt;",'Loan Tape'!$E$4:$E$303,'Deal Strat'!$C$12)</f>
        <v>0</v>
      </c>
      <c r="D186" s="68" t="n">
        <f aca="false">SUMPRODUCT((('Loan Tape'!$R$4:$R$303&lt;&gt;"")*('Loan Tape'!$U$4:$U$303&gt;=R186)*('Loan Tape'!$U$4:$U$303&lt;=S186)*('Loan Tape'!$E$4:$E$303='Deal Strat'!$C$12))*'Loan Tape'!$F$4:$F$303)</f>
        <v>0</v>
      </c>
      <c r="E186" s="84" t="n">
        <f aca="false">SUMIFS('Loan Tape'!$R$4:$R$303,'Loan Tape'!$U$4:$U$303,"&gt;="&amp;R186,'Loan Tape'!$U$4:$U$303,"&lt;="&amp;S186,'Loan Tape'!$R$4:$R$303,"&lt;&gt;",'Loan Tape'!$E$4:$E$303,'Deal Strat'!$C$12)</f>
        <v>0</v>
      </c>
      <c r="F186" s="69" t="n">
        <f aca="false">IFERROR(E186/C5,0)</f>
        <v>0</v>
      </c>
      <c r="G186" s="85" t="str">
        <f aca="false">IFERROR(SUMPRODUCT((('Loan Tape'!$R$4:$R$303&lt;&gt;"")*('Loan Tape'!$U$4:$U$303&gt;=R186)*('Loan Tape'!$U$4:$U$303&lt;=S186)*('Loan Tape'!$E$4:$E$303='Deal Strat'!$C$12))*'Loan Tape'!$U$4:$U$303*'Loan Tape'!$R$4:$R$303)/E186,"-")</f>
        <v>-</v>
      </c>
      <c r="H186" s="68" t="str">
        <f aca="false">IFERROR(SUMPRODUCT((('Loan Tape'!$R$4:$R$303&lt;&gt;"")*('Loan Tape'!$U$4:$U$303&gt;=R186)*('Loan Tape'!$U$4:$U$303&lt;=S186)*('Loan Tape'!$E$4:$E$303='Deal Strat'!$C$12))*'Loan Tape'!$AH$4:$AH$303*'Loan Tape'!$R$4:$R$303)/E186,"-")</f>
        <v>-</v>
      </c>
      <c r="I186" s="68" t="str">
        <f aca="false">IFERROR(SUMPRODUCT((('Loan Tape'!$R$4:$R$303&lt;&gt;"")*('Loan Tape'!$U$4:$U$303&gt;=R186)*('Loan Tape'!$U$4:$U$303&lt;=S186)*('Loan Tape'!$E$4:$E$303='Deal Strat'!$C$12))*(('Loan Tape'!$H$4:$H$303-$C$4)/30.4375)*'Loan Tape'!$R$4:$R$303)/E186,"-")</f>
        <v>-</v>
      </c>
      <c r="J186" s="69" t="str">
        <f aca="false">IFERROR(SUMPRODUCT((('Loan Tape'!$R$4:$R$303&lt;&gt;"")*('Loan Tape'!$U$4:$U$303&gt;=R186)*('Loan Tape'!$U$4:$U$303&lt;=S186)*('Loan Tape'!$E$4:$E$303='Deal Strat'!$C$12))*('Loan Tape'!$K$4:$K$303="Floating")*'Loan Tape'!$R$4:$R$303)/E186,"-")</f>
        <v>-</v>
      </c>
      <c r="K186" s="69" t="str">
        <f aca="false">IFERROR(SUMPRODUCT((('Loan Tape'!$R$4:$R$303&lt;&gt;"")*('Loan Tape'!$U$4:$U$303&gt;=R186)*('Loan Tape'!$U$4:$U$303&lt;=S186)*('Loan Tape'!$E$4:$E$303='Deal Strat'!$C$12))*'Loan Tape'!$T$4:$T$303*'Loan Tape'!$R$4:$R$303)/E186,"-")</f>
        <v>-</v>
      </c>
      <c r="L186" s="69" t="str">
        <f aca="false">IFERROR(SUMPRODUCT((('Loan Tape'!$R$4:$R$303&lt;&gt;"")*('Loan Tape'!$U$4:$U$303&gt;=R186)*('Loan Tape'!$U$4:$U$303&lt;=S186)*('Loan Tape'!$E$4:$E$303='Deal Strat'!$C$12))*'Loan Tape'!$V$4:$V$303*'Loan Tape'!$R$4:$R$303)/E186,"-")</f>
        <v>-</v>
      </c>
      <c r="M186" s="69" t="str">
        <f aca="false">IFERROR(SUMPRODUCT((('Loan Tape'!$R$4:$R$303&lt;&gt;"")*('Loan Tape'!$U$4:$U$303&gt;=R186)*('Loan Tape'!$U$4:$U$303&lt;=S186)*('Loan Tape'!$E$4:$E$303='Deal Strat'!$C$12))*'Loan Tape'!$W$4:$W$303*'Loan Tape'!$R$4:$R$303)/E186,"-")</f>
        <v>-</v>
      </c>
      <c r="N186" s="69" t="str">
        <f aca="false">IFERROR(SUMPRODUCT((('Loan Tape'!$R$4:$R$303&lt;&gt;"")*('Loan Tape'!$U$4:$U$303&gt;=R186)*('Loan Tape'!$U$4:$U$303&lt;=S186)*('Loan Tape'!$E$4:$E$303='Deal Strat'!$C$12))*'Loan Tape'!$AI$4:$AI$303*'Loan Tape'!$R$4:$R$303)/E186,"-")</f>
        <v>-</v>
      </c>
      <c r="O186" s="69" t="str">
        <f aca="false">IFERROR(SUMPRODUCT((('Loan Tape'!$R$4:$R$303&lt;&gt;"")*('Loan Tape'!$U$4:$U$303&gt;=R186)*('Loan Tape'!$U$4:$U$303&lt;=S186)*('Loan Tape'!$E$4:$E$303='Deal Strat'!$C$12))*'Loan Tape'!$AK$4:$AK$303*'Loan Tape'!$R$4:$R$303)/E186,"-")</f>
        <v>-</v>
      </c>
      <c r="P186" s="69" t="str">
        <f aca="false">IFERROR(SUMPRODUCT((('Loan Tape'!$R$4:$R$303&lt;&gt;"")*('Loan Tape'!$U$4:$U$303&gt;=R186)*('Loan Tape'!$U$4:$U$303&lt;=S186)*('Loan Tape'!$E$4:$E$303='Deal Strat'!$C$12))*'Loan Tape'!$S$4:$S$303*'Loan Tape'!$R$4:$R$303)/E186,"-")</f>
        <v>-</v>
      </c>
      <c r="R186" s="91" t="n">
        <v>-1000000000000</v>
      </c>
      <c r="S186" s="91" t="n">
        <v>0.9999</v>
      </c>
    </row>
    <row r="187" customFormat="false" ht="14.25" hidden="false" customHeight="false" outlineLevel="0" collapsed="false">
      <c r="B187" s="7" t="s">
        <v>446</v>
      </c>
      <c r="C187" s="68" t="n">
        <f aca="false">COUNTIFS('Loan Tape'!$U$4:$U$303,"&gt;="&amp;R187,'Loan Tape'!$U$4:$U$303,"&lt;="&amp;S187,'Loan Tape'!$R$4:$R$303,"&lt;&gt;",'Loan Tape'!$E$4:$E$303,'Deal Strat'!$C$12)</f>
        <v>0</v>
      </c>
      <c r="D187" s="68" t="n">
        <f aca="false">SUMPRODUCT((('Loan Tape'!$R$4:$R$303&lt;&gt;"")*('Loan Tape'!$U$4:$U$303&gt;=R187)*('Loan Tape'!$U$4:$U$303&lt;=S187)*('Loan Tape'!$E$4:$E$303='Deal Strat'!$C$12))*'Loan Tape'!$F$4:$F$303)</f>
        <v>0</v>
      </c>
      <c r="E187" s="84" t="n">
        <f aca="false">SUMIFS('Loan Tape'!$R$4:$R$303,'Loan Tape'!$U$4:$U$303,"&gt;="&amp;R187,'Loan Tape'!$U$4:$U$303,"&lt;="&amp;S187,'Loan Tape'!$R$4:$R$303,"&lt;&gt;",'Loan Tape'!$E$4:$E$303,'Deal Strat'!$C$12)</f>
        <v>0</v>
      </c>
      <c r="F187" s="69" t="n">
        <f aca="false">IFERROR(E187/C5,0)</f>
        <v>0</v>
      </c>
      <c r="G187" s="85" t="str">
        <f aca="false">IFERROR(SUMPRODUCT((('Loan Tape'!$R$4:$R$303&lt;&gt;"")*('Loan Tape'!$U$4:$U$303&gt;=R187)*('Loan Tape'!$U$4:$U$303&lt;=S187)*('Loan Tape'!$E$4:$E$303='Deal Strat'!$C$12))*'Loan Tape'!$U$4:$U$303*'Loan Tape'!$R$4:$R$303)/E187,"-")</f>
        <v>-</v>
      </c>
      <c r="H187" s="68" t="str">
        <f aca="false">IFERROR(SUMPRODUCT((('Loan Tape'!$R$4:$R$303&lt;&gt;"")*('Loan Tape'!$U$4:$U$303&gt;=R187)*('Loan Tape'!$U$4:$U$303&lt;=S187)*('Loan Tape'!$E$4:$E$303='Deal Strat'!$C$12))*'Loan Tape'!$AH$4:$AH$303*'Loan Tape'!$R$4:$R$303)/E187,"-")</f>
        <v>-</v>
      </c>
      <c r="I187" s="68" t="str">
        <f aca="false">IFERROR(SUMPRODUCT((('Loan Tape'!$R$4:$R$303&lt;&gt;"")*('Loan Tape'!$U$4:$U$303&gt;=R187)*('Loan Tape'!$U$4:$U$303&lt;=S187)*('Loan Tape'!$E$4:$E$303='Deal Strat'!$C$12))*(('Loan Tape'!$H$4:$H$303-$C$4)/30.4375)*'Loan Tape'!$R$4:$R$303)/E187,"-")</f>
        <v>-</v>
      </c>
      <c r="J187" s="69" t="str">
        <f aca="false">IFERROR(SUMPRODUCT((('Loan Tape'!$R$4:$R$303&lt;&gt;"")*('Loan Tape'!$U$4:$U$303&gt;=R187)*('Loan Tape'!$U$4:$U$303&lt;=S187)*('Loan Tape'!$E$4:$E$303='Deal Strat'!$C$12))*('Loan Tape'!$K$4:$K$303="Floating")*'Loan Tape'!$R$4:$R$303)/E187,"-")</f>
        <v>-</v>
      </c>
      <c r="K187" s="69" t="str">
        <f aca="false">IFERROR(SUMPRODUCT((('Loan Tape'!$R$4:$R$303&lt;&gt;"")*('Loan Tape'!$U$4:$U$303&gt;=R187)*('Loan Tape'!$U$4:$U$303&lt;=S187)*('Loan Tape'!$E$4:$E$303='Deal Strat'!$C$12))*'Loan Tape'!$T$4:$T$303*'Loan Tape'!$R$4:$R$303)/E187,"-")</f>
        <v>-</v>
      </c>
      <c r="L187" s="69" t="str">
        <f aca="false">IFERROR(SUMPRODUCT((('Loan Tape'!$R$4:$R$303&lt;&gt;"")*('Loan Tape'!$U$4:$U$303&gt;=R187)*('Loan Tape'!$U$4:$U$303&lt;=S187)*('Loan Tape'!$E$4:$E$303='Deal Strat'!$C$12))*'Loan Tape'!$V$4:$V$303*'Loan Tape'!$R$4:$R$303)/E187,"-")</f>
        <v>-</v>
      </c>
      <c r="M187" s="69" t="str">
        <f aca="false">IFERROR(SUMPRODUCT((('Loan Tape'!$R$4:$R$303&lt;&gt;"")*('Loan Tape'!$U$4:$U$303&gt;=R187)*('Loan Tape'!$U$4:$U$303&lt;=S187)*('Loan Tape'!$E$4:$E$303='Deal Strat'!$C$12))*'Loan Tape'!$W$4:$W$303*'Loan Tape'!$R$4:$R$303)/E187,"-")</f>
        <v>-</v>
      </c>
      <c r="N187" s="69" t="str">
        <f aca="false">IFERROR(SUMPRODUCT((('Loan Tape'!$R$4:$R$303&lt;&gt;"")*('Loan Tape'!$U$4:$U$303&gt;=R187)*('Loan Tape'!$U$4:$U$303&lt;=S187)*('Loan Tape'!$E$4:$E$303='Deal Strat'!$C$12))*'Loan Tape'!$AI$4:$AI$303*'Loan Tape'!$R$4:$R$303)/E187,"-")</f>
        <v>-</v>
      </c>
      <c r="O187" s="69" t="str">
        <f aca="false">IFERROR(SUMPRODUCT((('Loan Tape'!$R$4:$R$303&lt;&gt;"")*('Loan Tape'!$U$4:$U$303&gt;=R187)*('Loan Tape'!$U$4:$U$303&lt;=S187)*('Loan Tape'!$E$4:$E$303='Deal Strat'!$C$12))*'Loan Tape'!$AK$4:$AK$303*'Loan Tape'!$R$4:$R$303)/E187,"-")</f>
        <v>-</v>
      </c>
      <c r="P187" s="69" t="str">
        <f aca="false">IFERROR(SUMPRODUCT((('Loan Tape'!$R$4:$R$303&lt;&gt;"")*('Loan Tape'!$U$4:$U$303&gt;=R187)*('Loan Tape'!$U$4:$U$303&lt;=S187)*('Loan Tape'!$E$4:$E$303='Deal Strat'!$C$12))*'Loan Tape'!$S$4:$S$303*'Loan Tape'!$R$4:$R$303)/E187,"-")</f>
        <v>-</v>
      </c>
      <c r="R187" s="91" t="n">
        <v>1</v>
      </c>
      <c r="S187" s="91" t="n">
        <v>1.2499</v>
      </c>
    </row>
    <row r="188" customFormat="false" ht="14.25" hidden="false" customHeight="false" outlineLevel="0" collapsed="false">
      <c r="B188" s="7" t="s">
        <v>447</v>
      </c>
      <c r="C188" s="68" t="n">
        <f aca="false">COUNTIFS('Loan Tape'!$U$4:$U$303,"&gt;="&amp;R188,'Loan Tape'!$U$4:$U$303,"&lt;="&amp;S188,'Loan Tape'!$R$4:$R$303,"&lt;&gt;",'Loan Tape'!$E$4:$E$303,'Deal Strat'!$C$12)</f>
        <v>3</v>
      </c>
      <c r="D188" s="68" t="n">
        <f aca="false">SUMPRODUCT((('Loan Tape'!$R$4:$R$303&lt;&gt;"")*('Loan Tape'!$U$4:$U$303&gt;=R188)*('Loan Tape'!$U$4:$U$303&lt;=S188)*('Loan Tape'!$E$4:$E$303='Deal Strat'!$C$12))*'Loan Tape'!$F$4:$F$303)</f>
        <v>238</v>
      </c>
      <c r="E188" s="84" t="n">
        <f aca="false">SUMIFS('Loan Tape'!$R$4:$R$303,'Loan Tape'!$U$4:$U$303,"&gt;="&amp;R188,'Loan Tape'!$U$4:$U$303,"&lt;="&amp;S188,'Loan Tape'!$R$4:$R$303,"&lt;&gt;",'Loan Tape'!$E$4:$E$303,'Deal Strat'!$C$12)</f>
        <v>264306000</v>
      </c>
      <c r="F188" s="69" t="n">
        <f aca="false">IFERROR(E188/C5,0)</f>
        <v>0.709571072279033</v>
      </c>
      <c r="G188" s="85" t="n">
        <f aca="false">IFERROR(SUMPRODUCT((('Loan Tape'!$R$4:$R$303&lt;&gt;"")*('Loan Tape'!$U$4:$U$303&gt;=R188)*('Loan Tape'!$U$4:$U$303&lt;=S188)*('Loan Tape'!$E$4:$E$303='Deal Strat'!$C$12))*'Loan Tape'!$U$4:$U$303*'Loan Tape'!$R$4:$R$303)/E188,"-")</f>
        <v>1.36583569801669</v>
      </c>
      <c r="H188" s="68" t="n">
        <f aca="false">IFERROR(SUMPRODUCT((('Loan Tape'!$R$4:$R$303&lt;&gt;"")*('Loan Tape'!$U$4:$U$303&gt;=R188)*('Loan Tape'!$U$4:$U$303&lt;=S188)*('Loan Tape'!$E$4:$E$303='Deal Strat'!$C$12))*'Loan Tape'!$AH$4:$AH$303*'Loan Tape'!$R$4:$R$303)/E188,"-")</f>
        <v>100.87163363677</v>
      </c>
      <c r="I188" s="68" t="n">
        <f aca="false">IFERROR(SUMPRODUCT((('Loan Tape'!$R$4:$R$303&lt;&gt;"")*('Loan Tape'!$U$4:$U$303&gt;=R188)*('Loan Tape'!$U$4:$U$303&lt;=S188)*('Loan Tape'!$E$4:$E$303='Deal Strat'!$C$12))*(('Loan Tape'!$H$4:$H$303-$C$4)/30.4375)*'Loan Tape'!$R$4:$R$303)/E188,"-")</f>
        <v>7.39524467867195</v>
      </c>
      <c r="J188" s="69" t="n">
        <f aca="false">IFERROR(SUMPRODUCT((('Loan Tape'!$R$4:$R$303&lt;&gt;"")*('Loan Tape'!$U$4:$U$303&gt;=R188)*('Loan Tape'!$U$4:$U$303&lt;=S188)*('Loan Tape'!$E$4:$E$303='Deal Strat'!$C$12))*('Loan Tape'!$K$4:$K$303="Floating")*'Loan Tape'!$R$4:$R$303)/E188,"-")</f>
        <v>0.673162924791719</v>
      </c>
      <c r="K188" s="69" t="n">
        <f aca="false">IFERROR(SUMPRODUCT((('Loan Tape'!$R$4:$R$303&lt;&gt;"")*('Loan Tape'!$U$4:$U$303&gt;=R188)*('Loan Tape'!$U$4:$U$303&lt;=S188)*('Loan Tape'!$E$4:$E$303='Deal Strat'!$C$12))*'Loan Tape'!$T$4:$T$303*'Loan Tape'!$R$4:$R$303)/E188,"-")</f>
        <v>0.0908458570747543</v>
      </c>
      <c r="L188" s="69" t="n">
        <f aca="false">IFERROR(SUMPRODUCT((('Loan Tape'!$R$4:$R$303&lt;&gt;"")*('Loan Tape'!$U$4:$U$303&gt;=R188)*('Loan Tape'!$U$4:$U$303&lt;=S188)*('Loan Tape'!$E$4:$E$303='Deal Strat'!$C$12))*'Loan Tape'!$V$4:$V$303*'Loan Tape'!$R$4:$R$303)/E188,"-")</f>
        <v>0.716704028663746</v>
      </c>
      <c r="M188" s="69" t="n">
        <f aca="false">IFERROR(SUMPRODUCT((('Loan Tape'!$R$4:$R$303&lt;&gt;"")*('Loan Tape'!$U$4:$U$303&gt;=R188)*('Loan Tape'!$U$4:$U$303&lt;=S188)*('Loan Tape'!$E$4:$E$303='Deal Strat'!$C$12))*'Loan Tape'!$W$4:$W$303*'Loan Tape'!$R$4:$R$303)/E188,"-")</f>
        <v>0.754163019379053</v>
      </c>
      <c r="N188" s="69" t="n">
        <f aca="false">IFERROR(SUMPRODUCT((('Loan Tape'!$R$4:$R$303&lt;&gt;"")*('Loan Tape'!$U$4:$U$303&gt;=R188)*('Loan Tape'!$U$4:$U$303&lt;=S188)*('Loan Tape'!$E$4:$E$303='Deal Strat'!$C$12))*'Loan Tape'!$AI$4:$AI$303*'Loan Tape'!$R$4:$R$303)/E188,"-")</f>
        <v>0.069402351819482</v>
      </c>
      <c r="O188" s="69" t="n">
        <f aca="false">IFERROR(SUMPRODUCT((('Loan Tape'!$R$4:$R$303&lt;&gt;"")*('Loan Tape'!$U$4:$U$303&gt;=R188)*('Loan Tape'!$U$4:$U$303&lt;=S188)*('Loan Tape'!$E$4:$E$303='Deal Strat'!$C$12))*'Loan Tape'!$AK$4:$AK$303*'Loan Tape'!$R$4:$R$303)/E188,"-")</f>
        <v>0.0794997956913578</v>
      </c>
      <c r="P188" s="69" t="n">
        <f aca="false">IFERROR(SUMPRODUCT((('Loan Tape'!$R$4:$R$303&lt;&gt;"")*('Loan Tape'!$U$4:$U$303&gt;=R188)*('Loan Tape'!$U$4:$U$303&lt;=S188)*('Loan Tape'!$E$4:$E$303='Deal Strat'!$C$12))*'Loan Tape'!$S$4:$S$303*'Loan Tape'!$R$4:$R$303)/E188,"-")</f>
        <v>0.832382511180223</v>
      </c>
      <c r="R188" s="91" t="n">
        <v>1.25</v>
      </c>
      <c r="S188" s="91" t="n">
        <v>1.4999</v>
      </c>
    </row>
    <row r="189" customFormat="false" ht="14.25" hidden="false" customHeight="false" outlineLevel="0" collapsed="false">
      <c r="B189" s="7" t="s">
        <v>448</v>
      </c>
      <c r="C189" s="68" t="n">
        <f aca="false">COUNTIFS('Loan Tape'!$U$4:$U$303,"&gt;="&amp;R189,'Loan Tape'!$U$4:$U$303,"&lt;="&amp;S189,'Loan Tape'!$R$4:$R$303,"&lt;&gt;",'Loan Tape'!$E$4:$E$303,'Deal Strat'!$C$12)</f>
        <v>2</v>
      </c>
      <c r="D189" s="68" t="n">
        <f aca="false">SUMPRODUCT((('Loan Tape'!$R$4:$R$303&lt;&gt;"")*('Loan Tape'!$U$4:$U$303&gt;=R189)*('Loan Tape'!$U$4:$U$303&lt;=S189)*('Loan Tape'!$E$4:$E$303='Deal Strat'!$C$12))*'Loan Tape'!$F$4:$F$303)</f>
        <v>355</v>
      </c>
      <c r="E189" s="84" t="n">
        <f aca="false">SUMIFS('Loan Tape'!$R$4:$R$303,'Loan Tape'!$U$4:$U$303,"&gt;="&amp;R189,'Loan Tape'!$U$4:$U$303,"&lt;="&amp;S189,'Loan Tape'!$R$4:$R$303,"&lt;&gt;",'Loan Tape'!$E$4:$E$303,'Deal Strat'!$C$12)</f>
        <v>108181000</v>
      </c>
      <c r="F189" s="69" t="n">
        <f aca="false">IFERROR(E189/C5,0)</f>
        <v>0.290428927720967</v>
      </c>
      <c r="G189" s="85" t="n">
        <f aca="false">IFERROR(SUMPRODUCT((('Loan Tape'!$R$4:$R$303&lt;&gt;"")*('Loan Tape'!$U$4:$U$303&gt;=R189)*('Loan Tape'!$U$4:$U$303&lt;=S189)*('Loan Tape'!$E$4:$E$303='Deal Strat'!$C$12))*'Loan Tape'!$U$4:$U$303*'Loan Tape'!$R$4:$R$303)/E189,"-")</f>
        <v>1.69991384808793</v>
      </c>
      <c r="H189" s="68" t="n">
        <f aca="false">IFERROR(SUMPRODUCT((('Loan Tape'!$R$4:$R$303&lt;&gt;"")*('Loan Tape'!$U$4:$U$303&gt;=R189)*('Loan Tape'!$U$4:$U$303&lt;=S189)*('Loan Tape'!$E$4:$E$303='Deal Strat'!$C$12))*'Loan Tape'!$AH$4:$AH$303*'Loan Tape'!$R$4:$R$303)/E189,"-")</f>
        <v>99.2516153483514</v>
      </c>
      <c r="I189" s="68" t="n">
        <f aca="false">IFERROR(SUMPRODUCT((('Loan Tape'!$R$4:$R$303&lt;&gt;"")*('Loan Tape'!$U$4:$U$303&gt;=R189)*('Loan Tape'!$U$4:$U$303&lt;=S189)*('Loan Tape'!$E$4:$E$303='Deal Strat'!$C$12))*(('Loan Tape'!$H$4:$H$303-$C$4)/30.4375)*'Loan Tape'!$R$4:$R$303)/E189,"-")</f>
        <v>-4.21808981741699</v>
      </c>
      <c r="J189" s="69" t="n">
        <f aca="false">IFERROR(SUMPRODUCT((('Loan Tape'!$R$4:$R$303&lt;&gt;"")*('Loan Tape'!$U$4:$U$303&gt;=R189)*('Loan Tape'!$U$4:$U$303&lt;=S189)*('Loan Tape'!$E$4:$E$303='Deal Strat'!$C$12))*('Loan Tape'!$K$4:$K$303="Floating")*'Loan Tape'!$R$4:$R$303)/E189,"-")</f>
        <v>0.583512816483486</v>
      </c>
      <c r="K189" s="69" t="n">
        <f aca="false">IFERROR(SUMPRODUCT((('Loan Tape'!$R$4:$R$303&lt;&gt;"")*('Loan Tape'!$U$4:$U$303&gt;=R189)*('Loan Tape'!$U$4:$U$303&lt;=S189)*('Loan Tape'!$E$4:$E$303='Deal Strat'!$C$12))*'Loan Tape'!$T$4:$T$303*'Loan Tape'!$R$4:$R$303)/E189,"-")</f>
        <v>0.0720010768989009</v>
      </c>
      <c r="L189" s="69" t="n">
        <f aca="false">IFERROR(SUMPRODUCT((('Loan Tape'!$R$4:$R$303&lt;&gt;"")*('Loan Tape'!$U$4:$U$303&gt;=R189)*('Loan Tape'!$U$4:$U$303&lt;=S189)*('Loan Tape'!$E$4:$E$303='Deal Strat'!$C$12))*'Loan Tape'!$V$4:$V$303*'Loan Tape'!$R$4:$R$303)/E189,"-")</f>
        <v>0.625481692718685</v>
      </c>
      <c r="M189" s="69" t="n">
        <f aca="false">IFERROR(SUMPRODUCT((('Loan Tape'!$R$4:$R$303&lt;&gt;"")*('Loan Tape'!$U$4:$U$303&gt;=R189)*('Loan Tape'!$U$4:$U$303&lt;=S189)*('Loan Tape'!$E$4:$E$303='Deal Strat'!$C$12))*'Loan Tape'!$W$4:$W$303*'Loan Tape'!$R$4:$R$303)/E189,"-")</f>
        <v>0.663811436389015</v>
      </c>
      <c r="N189" s="69" t="n">
        <f aca="false">IFERROR(SUMPRODUCT((('Loan Tape'!$R$4:$R$303&lt;&gt;"")*('Loan Tape'!$U$4:$U$303&gt;=R189)*('Loan Tape'!$U$4:$U$303&lt;=S189)*('Loan Tape'!$E$4:$E$303='Deal Strat'!$C$12))*'Loan Tape'!$AI$4:$AI$303*'Loan Tape'!$R$4:$R$303)/E189,"-")</f>
        <v>0.0648167025632967</v>
      </c>
      <c r="O189" s="69" t="n">
        <f aca="false">IFERROR(SUMPRODUCT((('Loan Tape'!$R$4:$R$303&lt;&gt;"")*('Loan Tape'!$U$4:$U$303&gt;=R189)*('Loan Tape'!$U$4:$U$303&lt;=S189)*('Loan Tape'!$E$4:$E$303='Deal Strat'!$C$12))*'Loan Tape'!$AK$4:$AK$303*'Loan Tape'!$R$4:$R$303)/E189,"-")</f>
        <v>0.073569394810549</v>
      </c>
      <c r="P189" s="69" t="n">
        <f aca="false">IFERROR(SUMPRODUCT((('Loan Tape'!$R$4:$R$303&lt;&gt;"")*('Loan Tape'!$U$4:$U$303&gt;=R189)*('Loan Tape'!$U$4:$U$303&lt;=S189)*('Loan Tape'!$E$4:$E$303='Deal Strat'!$C$12))*'Loan Tape'!$S$4:$S$303*'Loan Tape'!$R$4:$R$303)/E189,"-")</f>
        <v>0.86364656455385</v>
      </c>
      <c r="R189" s="91" t="n">
        <v>1.5</v>
      </c>
      <c r="S189" s="91" t="n">
        <v>1.9999</v>
      </c>
    </row>
    <row r="190" customFormat="false" ht="14.25" hidden="false" customHeight="false" outlineLevel="0" collapsed="false">
      <c r="B190" s="7" t="s">
        <v>449</v>
      </c>
      <c r="C190" s="68" t="n">
        <f aca="false">COUNTIFS('Loan Tape'!$U$4:$U$303,"&gt;="&amp;R190,'Loan Tape'!$U$4:$U$303,"&lt;="&amp;S190,'Loan Tape'!$R$4:$R$303,"&lt;&gt;",'Loan Tape'!$E$4:$E$303,'Deal Strat'!$C$12)</f>
        <v>0</v>
      </c>
      <c r="D190" s="68" t="n">
        <f aca="false">SUMPRODUCT((('Loan Tape'!$R$4:$R$303&lt;&gt;"")*('Loan Tape'!$U$4:$U$303&gt;=R190)*('Loan Tape'!$U$4:$U$303&lt;=S190)*('Loan Tape'!$E$4:$E$303='Deal Strat'!$C$12))*'Loan Tape'!$F$4:$F$303)</f>
        <v>0</v>
      </c>
      <c r="E190" s="84" t="n">
        <f aca="false">SUMIFS('Loan Tape'!$R$4:$R$303,'Loan Tape'!$U$4:$U$303,"&gt;="&amp;R190,'Loan Tape'!$U$4:$U$303,"&lt;="&amp;S190,'Loan Tape'!$R$4:$R$303,"&lt;&gt;",'Loan Tape'!$E$4:$E$303,'Deal Strat'!$C$12)</f>
        <v>0</v>
      </c>
      <c r="F190" s="69" t="n">
        <f aca="false">IFERROR(E190/C5,0)</f>
        <v>0</v>
      </c>
      <c r="G190" s="85" t="str">
        <f aca="false">IFERROR(SUMPRODUCT((('Loan Tape'!$R$4:$R$303&lt;&gt;"")*('Loan Tape'!$U$4:$U$303&gt;=R190)*('Loan Tape'!$U$4:$U$303&lt;=S190)*('Loan Tape'!$E$4:$E$303='Deal Strat'!$C$12))*'Loan Tape'!$U$4:$U$303*'Loan Tape'!$R$4:$R$303)/E190,"-")</f>
        <v>-</v>
      </c>
      <c r="H190" s="68" t="str">
        <f aca="false">IFERROR(SUMPRODUCT((('Loan Tape'!$R$4:$R$303&lt;&gt;"")*('Loan Tape'!$U$4:$U$303&gt;=R190)*('Loan Tape'!$U$4:$U$303&lt;=S190)*('Loan Tape'!$E$4:$E$303='Deal Strat'!$C$12))*'Loan Tape'!$AH$4:$AH$303*'Loan Tape'!$R$4:$R$303)/E190,"-")</f>
        <v>-</v>
      </c>
      <c r="I190" s="68" t="str">
        <f aca="false">IFERROR(SUMPRODUCT((('Loan Tape'!$R$4:$R$303&lt;&gt;"")*('Loan Tape'!$U$4:$U$303&gt;=R190)*('Loan Tape'!$U$4:$U$303&lt;=S190)*('Loan Tape'!$E$4:$E$303='Deal Strat'!$C$12))*(('Loan Tape'!$H$4:$H$303-$C$4)/30.4375)*'Loan Tape'!$R$4:$R$303)/E190,"-")</f>
        <v>-</v>
      </c>
      <c r="J190" s="69" t="str">
        <f aca="false">IFERROR(SUMPRODUCT((('Loan Tape'!$R$4:$R$303&lt;&gt;"")*('Loan Tape'!$U$4:$U$303&gt;=R190)*('Loan Tape'!$U$4:$U$303&lt;=S190)*('Loan Tape'!$E$4:$E$303='Deal Strat'!$C$12))*('Loan Tape'!$K$4:$K$303="Floating")*'Loan Tape'!$R$4:$R$303)/E190,"-")</f>
        <v>-</v>
      </c>
      <c r="K190" s="69" t="str">
        <f aca="false">IFERROR(SUMPRODUCT((('Loan Tape'!$R$4:$R$303&lt;&gt;"")*('Loan Tape'!$U$4:$U$303&gt;=R190)*('Loan Tape'!$U$4:$U$303&lt;=S190)*('Loan Tape'!$E$4:$E$303='Deal Strat'!$C$12))*'Loan Tape'!$T$4:$T$303*'Loan Tape'!$R$4:$R$303)/E190,"-")</f>
        <v>-</v>
      </c>
      <c r="L190" s="69" t="str">
        <f aca="false">IFERROR(SUMPRODUCT((('Loan Tape'!$R$4:$R$303&lt;&gt;"")*('Loan Tape'!$U$4:$U$303&gt;=R190)*('Loan Tape'!$U$4:$U$303&lt;=S190)*('Loan Tape'!$E$4:$E$303='Deal Strat'!$C$12))*'Loan Tape'!$V$4:$V$303*'Loan Tape'!$R$4:$R$303)/E190,"-")</f>
        <v>-</v>
      </c>
      <c r="M190" s="69" t="str">
        <f aca="false">IFERROR(SUMPRODUCT((('Loan Tape'!$R$4:$R$303&lt;&gt;"")*('Loan Tape'!$U$4:$U$303&gt;=R190)*('Loan Tape'!$U$4:$U$303&lt;=S190)*('Loan Tape'!$E$4:$E$303='Deal Strat'!$C$12))*'Loan Tape'!$W$4:$W$303*'Loan Tape'!$R$4:$R$303)/E190,"-")</f>
        <v>-</v>
      </c>
      <c r="N190" s="69" t="str">
        <f aca="false">IFERROR(SUMPRODUCT((('Loan Tape'!$R$4:$R$303&lt;&gt;"")*('Loan Tape'!$U$4:$U$303&gt;=R190)*('Loan Tape'!$U$4:$U$303&lt;=S190)*('Loan Tape'!$E$4:$E$303='Deal Strat'!$C$12))*'Loan Tape'!$AI$4:$AI$303*'Loan Tape'!$R$4:$R$303)/E190,"-")</f>
        <v>-</v>
      </c>
      <c r="O190" s="69" t="str">
        <f aca="false">IFERROR(SUMPRODUCT((('Loan Tape'!$R$4:$R$303&lt;&gt;"")*('Loan Tape'!$U$4:$U$303&gt;=R190)*('Loan Tape'!$U$4:$U$303&lt;=S190)*('Loan Tape'!$E$4:$E$303='Deal Strat'!$C$12))*'Loan Tape'!$AK$4:$AK$303*'Loan Tape'!$R$4:$R$303)/E190,"-")</f>
        <v>-</v>
      </c>
      <c r="P190" s="69" t="str">
        <f aca="false">IFERROR(SUMPRODUCT((('Loan Tape'!$R$4:$R$303&lt;&gt;"")*('Loan Tape'!$U$4:$U$303&gt;=R190)*('Loan Tape'!$U$4:$U$303&lt;=S190)*('Loan Tape'!$E$4:$E$303='Deal Strat'!$C$12))*'Loan Tape'!$S$4:$S$303*'Loan Tape'!$R$4:$R$303)/E190,"-")</f>
        <v>-</v>
      </c>
      <c r="R190" s="91" t="n">
        <v>2</v>
      </c>
      <c r="S190" s="91" t="n">
        <v>1000000000000</v>
      </c>
    </row>
    <row r="191" customFormat="false" ht="14.25" hidden="false" customHeight="false" outlineLevel="0" collapsed="false">
      <c r="B191" s="86" t="s">
        <v>405</v>
      </c>
      <c r="C191" s="92" t="n">
        <f aca="false">SUM(C186:C190)</f>
        <v>5</v>
      </c>
      <c r="D191" s="92" t="n">
        <f aca="false">SUM(D186:D190)</f>
        <v>593</v>
      </c>
      <c r="E191" s="88" t="n">
        <f aca="false">SUM(E186:E190)</f>
        <v>372487000</v>
      </c>
      <c r="F191" s="89" t="n">
        <f aca="false">SUM(F186:F190)</f>
        <v>1</v>
      </c>
      <c r="G191" s="90" t="n">
        <f aca="false">IFERROR(SUMPRODUCT((('Loan Tape'!$R$4:$R$303&lt;&gt;"")*('Loan Tape'!$E$4:$E$303='Deal Strat'!$C$12))*'Loan Tape'!$U$4:$U$303*'Loan Tape'!$R$4:$R$303)/E191,"-")</f>
        <v>1.46286165691689</v>
      </c>
      <c r="H191" s="92" t="n">
        <f aca="false">IFERROR(SUMPRODUCT((('Loan Tape'!$R$4:$R$303&lt;&gt;"")*('Loan Tape'!$E$4:$E$303='Deal Strat'!$C$12))*'Loan Tape'!$AH$4:$AH$303*'Loan Tape'!$R$4:$R$303)/E191,"-")</f>
        <v>100.401133462376</v>
      </c>
      <c r="I191" s="92" t="n">
        <f aca="false">IFERROR(SUMPRODUCT((('Loan Tape'!$R$4:$R$303&lt;&gt;"")*('Loan Tape'!$E$4:$E$303='Deal Strat'!$C$12))*(('Loan Tape'!$H$4:$H$303-$C$4)/30.4375)*'Loan Tape'!$R$4:$R$303)/E191,"-")</f>
        <v>4.02239639370792</v>
      </c>
      <c r="J191" s="89" t="n">
        <f aca="false">IFERROR(SUMPRODUCT((('Loan Tape'!$R$4:$R$303&lt;&gt;"")*('Loan Tape'!$E$4:$E$303='Deal Strat'!$C$12))*('Loan Tape'!$K$4:$K$303="Floating")*'Loan Tape'!$R$4:$R$303)/E191,"-")</f>
        <v>0.64712593996569</v>
      </c>
      <c r="K191" s="89" t="n">
        <f aca="false">IFERROR(SUMPRODUCT((('Loan Tape'!$R$4:$R$303&lt;&gt;"")*('Loan Tape'!$E$4:$E$303='Deal Strat'!$C$12))*'Loan Tape'!$T$4:$T$303*'Loan Tape'!$R$4:$R$303)/E191,"-")</f>
        <v>0.0853727877751438</v>
      </c>
      <c r="L191" s="89" t="n">
        <f aca="false">IFERROR(SUMPRODUCT((('Loan Tape'!$R$4:$R$303&lt;&gt;"")*('Loan Tape'!$E$4:$E$303='Deal Strat'!$C$12))*'Loan Tape'!$V$4:$V$303*'Loan Tape'!$R$4:$R$303)/E191,"-")</f>
        <v>0.69021042345102</v>
      </c>
      <c r="M191" s="89" t="n">
        <f aca="false">IFERROR(SUMPRODUCT((('Loan Tape'!$R$4:$R$303&lt;&gt;"")*('Loan Tape'!$E$4:$E$303='Deal Strat'!$C$12))*'Loan Tape'!$W$4:$W$303*'Loan Tape'!$R$4:$R$303)/E191,"-")</f>
        <v>0.727922306013364</v>
      </c>
      <c r="N191" s="89" t="n">
        <f aca="false">IFERROR(SUMPRODUCT((('Loan Tape'!$R$4:$R$303&lt;&gt;"")*('Loan Tape'!$E$4:$E$303='Deal Strat'!$C$12))*'Loan Tape'!$AI$4:$AI$303*'Loan Tape'!$R$4:$R$303)/E191,"-")</f>
        <v>0.0680705466231036</v>
      </c>
      <c r="O191" s="89" t="n">
        <f aca="false">IFERROR(SUMPRODUCT((('Loan Tape'!$R$4:$R$303&lt;&gt;"")*('Loan Tape'!$E$4:$E$303='Deal Strat'!$C$12))*'Loan Tape'!$AK$4:$AK$303*'Loan Tape'!$R$4:$R$303)/E191,"-")</f>
        <v>0.077777435722589</v>
      </c>
      <c r="P191" s="89" t="n">
        <f aca="false">IFERROR(SUMPRODUCT((('Loan Tape'!$R$4:$R$303&lt;&gt;"")*('Loan Tape'!$E$4:$E$303='Deal Strat'!$C$12))*'Loan Tape'!$S$4:$S$303*'Loan Tape'!$R$4:$R$303)/E191,"-")</f>
        <v>0.841462496677736</v>
      </c>
    </row>
    <row r="193" customFormat="false" ht="19.5" hidden="false" customHeight="true" outlineLevel="0" collapsed="false">
      <c r="B193" s="5" t="s">
        <v>450</v>
      </c>
      <c r="C193" s="5"/>
      <c r="D193" s="5"/>
      <c r="E193" s="5"/>
      <c r="F193" s="5"/>
      <c r="G193" s="5"/>
      <c r="H193" s="5"/>
      <c r="I193" s="5"/>
      <c r="J193" s="5"/>
      <c r="K193" s="5"/>
      <c r="L193" s="5"/>
      <c r="M193" s="5"/>
      <c r="N193" s="5"/>
      <c r="O193" s="5"/>
      <c r="P193" s="5"/>
    </row>
    <row r="194" customFormat="false" ht="42" hidden="false" customHeight="true" outlineLevel="0" collapsed="false">
      <c r="B194" s="82" t="s">
        <v>423</v>
      </c>
      <c r="C194" s="83" t="s">
        <v>368</v>
      </c>
      <c r="D194" s="83" t="s">
        <v>153</v>
      </c>
      <c r="E194" s="83" t="s">
        <v>393</v>
      </c>
      <c r="F194" s="83" t="s">
        <v>394</v>
      </c>
      <c r="G194" s="83" t="s">
        <v>395</v>
      </c>
      <c r="H194" s="83" t="s">
        <v>396</v>
      </c>
      <c r="I194" s="83" t="s">
        <v>397</v>
      </c>
      <c r="J194" s="83" t="s">
        <v>398</v>
      </c>
      <c r="K194" s="83" t="s">
        <v>399</v>
      </c>
      <c r="L194" s="83" t="s">
        <v>400</v>
      </c>
      <c r="M194" s="83" t="s">
        <v>401</v>
      </c>
      <c r="N194" s="83" t="s">
        <v>402</v>
      </c>
      <c r="O194" s="83" t="s">
        <v>403</v>
      </c>
      <c r="P194" s="83" t="s">
        <v>365</v>
      </c>
    </row>
    <row r="195" customFormat="false" ht="14.25" hidden="false" customHeight="false" outlineLevel="0" collapsed="false">
      <c r="B195" s="7" t="s">
        <v>451</v>
      </c>
      <c r="C195" s="68" t="n">
        <f aca="false">COUNTIFS('Loan Tape'!$T$4:$T$303,"&gt;="&amp;R195,'Loan Tape'!$T$4:$T$303,"&lt;="&amp;S195,'Loan Tape'!$R$4:$R$303,"&lt;&gt;",'Loan Tape'!$E$4:$E$303,'Deal Strat'!$C$12)</f>
        <v>0</v>
      </c>
      <c r="D195" s="68" t="n">
        <f aca="false">SUMPRODUCT((('Loan Tape'!$R$4:$R$303&lt;&gt;"")*('Loan Tape'!$T$4:$T$303&gt;=R195)*('Loan Tape'!$T$4:$T$303&lt;=S195)*('Loan Tape'!$E$4:$E$303='Deal Strat'!$C$12))*'Loan Tape'!$F$4:$F$303)</f>
        <v>0</v>
      </c>
      <c r="E195" s="84" t="n">
        <f aca="false">SUMIFS('Loan Tape'!$R$4:$R$303,'Loan Tape'!$T$4:$T$303,"&gt;="&amp;R195,'Loan Tape'!$T$4:$T$303,"&lt;="&amp;S195,'Loan Tape'!$R$4:$R$303,"&lt;&gt;",'Loan Tape'!$E$4:$E$303,'Deal Strat'!$C$12)</f>
        <v>0</v>
      </c>
      <c r="F195" s="69" t="n">
        <f aca="false">IFERROR(E195/C5,0)</f>
        <v>0</v>
      </c>
      <c r="G195" s="85" t="str">
        <f aca="false">IFERROR(SUMPRODUCT((('Loan Tape'!$R$4:$R$303&lt;&gt;"")*('Loan Tape'!$T$4:$T$303&gt;=R195)*('Loan Tape'!$T$4:$T$303&lt;=S195)*('Loan Tape'!$E$4:$E$303='Deal Strat'!$C$12))*'Loan Tape'!$U$4:$U$303*'Loan Tape'!$R$4:$R$303)/E195,"-")</f>
        <v>-</v>
      </c>
      <c r="H195" s="68" t="str">
        <f aca="false">IFERROR(SUMPRODUCT((('Loan Tape'!$R$4:$R$303&lt;&gt;"")*('Loan Tape'!$T$4:$T$303&gt;=R195)*('Loan Tape'!$T$4:$T$303&lt;=S195)*('Loan Tape'!$E$4:$E$303='Deal Strat'!$C$12))*'Loan Tape'!$AH$4:$AH$303*'Loan Tape'!$R$4:$R$303)/E195,"-")</f>
        <v>-</v>
      </c>
      <c r="I195" s="68" t="str">
        <f aca="false">IFERROR(SUMPRODUCT((('Loan Tape'!$R$4:$R$303&lt;&gt;"")*('Loan Tape'!$T$4:$T$303&gt;=R195)*('Loan Tape'!$T$4:$T$303&lt;=S195)*('Loan Tape'!$E$4:$E$303='Deal Strat'!$C$12))*(('Loan Tape'!$H$4:$H$303-$C$4)/30.4375)*'Loan Tape'!$R$4:$R$303)/E195,"-")</f>
        <v>-</v>
      </c>
      <c r="J195" s="69" t="str">
        <f aca="false">IFERROR(SUMPRODUCT((('Loan Tape'!$R$4:$R$303&lt;&gt;"")*('Loan Tape'!$T$4:$T$303&gt;=R195)*('Loan Tape'!$T$4:$T$303&lt;=S195)*('Loan Tape'!$E$4:$E$303='Deal Strat'!$C$12))*('Loan Tape'!$K$4:$K$303="Floating")*'Loan Tape'!$R$4:$R$303)/E195,"-")</f>
        <v>-</v>
      </c>
      <c r="K195" s="69" t="str">
        <f aca="false">IFERROR(SUMPRODUCT((('Loan Tape'!$R$4:$R$303&lt;&gt;"")*('Loan Tape'!$T$4:$T$303&gt;=R195)*('Loan Tape'!$T$4:$T$303&lt;=S195)*('Loan Tape'!$E$4:$E$303='Deal Strat'!$C$12))*'Loan Tape'!$T$4:$T$303*'Loan Tape'!$R$4:$R$303)/E195,"-")</f>
        <v>-</v>
      </c>
      <c r="L195" s="69" t="str">
        <f aca="false">IFERROR(SUMPRODUCT((('Loan Tape'!$R$4:$R$303&lt;&gt;"")*('Loan Tape'!$T$4:$T$303&gt;=R195)*('Loan Tape'!$T$4:$T$303&lt;=S195)*('Loan Tape'!$E$4:$E$303='Deal Strat'!$C$12))*'Loan Tape'!$V$4:$V$303*'Loan Tape'!$R$4:$R$303)/E195,"-")</f>
        <v>-</v>
      </c>
      <c r="M195" s="69" t="str">
        <f aca="false">IFERROR(SUMPRODUCT((('Loan Tape'!$R$4:$R$303&lt;&gt;"")*('Loan Tape'!$T$4:$T$303&gt;=R195)*('Loan Tape'!$T$4:$T$303&lt;=S195)*('Loan Tape'!$E$4:$E$303='Deal Strat'!$C$12))*'Loan Tape'!$W$4:$W$303*'Loan Tape'!$R$4:$R$303)/E195,"-")</f>
        <v>-</v>
      </c>
      <c r="N195" s="69" t="str">
        <f aca="false">IFERROR(SUMPRODUCT((('Loan Tape'!$R$4:$R$303&lt;&gt;"")*('Loan Tape'!$T$4:$T$303&gt;=R195)*('Loan Tape'!$T$4:$T$303&lt;=S195)*('Loan Tape'!$E$4:$E$303='Deal Strat'!$C$12))*'Loan Tape'!$AI$4:$AI$303*'Loan Tape'!$R$4:$R$303)/E195,"-")</f>
        <v>-</v>
      </c>
      <c r="O195" s="69" t="str">
        <f aca="false">IFERROR(SUMPRODUCT((('Loan Tape'!$R$4:$R$303&lt;&gt;"")*('Loan Tape'!$T$4:$T$303&gt;=R195)*('Loan Tape'!$T$4:$T$303&lt;=S195)*('Loan Tape'!$E$4:$E$303='Deal Strat'!$C$12))*'Loan Tape'!$AK$4:$AK$303*'Loan Tape'!$R$4:$R$303)/E195,"-")</f>
        <v>-</v>
      </c>
      <c r="P195" s="69" t="str">
        <f aca="false">IFERROR(SUMPRODUCT((('Loan Tape'!$R$4:$R$303&lt;&gt;"")*('Loan Tape'!$T$4:$T$303&gt;=R195)*('Loan Tape'!$T$4:$T$303&lt;=S195)*('Loan Tape'!$E$4:$E$303='Deal Strat'!$C$12))*'Loan Tape'!$S$4:$S$303*'Loan Tape'!$R$4:$R$303)/E195,"-")</f>
        <v>-</v>
      </c>
      <c r="R195" s="91" t="n">
        <v>-1000000000000</v>
      </c>
      <c r="S195" s="91" t="n">
        <v>0.05999</v>
      </c>
    </row>
    <row r="196" customFormat="false" ht="14.25" hidden="false" customHeight="false" outlineLevel="0" collapsed="false">
      <c r="B196" s="7" t="s">
        <v>452</v>
      </c>
      <c r="C196" s="68" t="n">
        <f aca="false">COUNTIFS('Loan Tape'!$T$4:$T$303,"&gt;="&amp;R196,'Loan Tape'!$T$4:$T$303,"&lt;="&amp;S196,'Loan Tape'!$R$4:$R$303,"&lt;&gt;",'Loan Tape'!$E$4:$E$303,'Deal Strat'!$C$12)</f>
        <v>2</v>
      </c>
      <c r="D196" s="68" t="n">
        <f aca="false">SUMPRODUCT((('Loan Tape'!$R$4:$R$303&lt;&gt;"")*('Loan Tape'!$T$4:$T$303&gt;=R196)*('Loan Tape'!$T$4:$T$303&lt;=S196)*('Loan Tape'!$E$4:$E$303='Deal Strat'!$C$12))*'Loan Tape'!$F$4:$F$303)</f>
        <v>355</v>
      </c>
      <c r="E196" s="84" t="n">
        <f aca="false">SUMIFS('Loan Tape'!$R$4:$R$303,'Loan Tape'!$T$4:$T$303,"&gt;="&amp;R196,'Loan Tape'!$T$4:$T$303,"&lt;="&amp;S196,'Loan Tape'!$R$4:$R$303,"&lt;&gt;",'Loan Tape'!$E$4:$E$303,'Deal Strat'!$C$12)</f>
        <v>108181000</v>
      </c>
      <c r="F196" s="69" t="n">
        <f aca="false">IFERROR(E196/C5,0)</f>
        <v>0.290428927720967</v>
      </c>
      <c r="G196" s="85" t="n">
        <f aca="false">IFERROR(SUMPRODUCT((('Loan Tape'!$R$4:$R$303&lt;&gt;"")*('Loan Tape'!$T$4:$T$303&gt;=R196)*('Loan Tape'!$T$4:$T$303&lt;=S196)*('Loan Tape'!$E$4:$E$303='Deal Strat'!$C$12))*'Loan Tape'!$U$4:$U$303*'Loan Tape'!$R$4:$R$303)/E196,"-")</f>
        <v>1.69991384808793</v>
      </c>
      <c r="H196" s="68" t="n">
        <f aca="false">IFERROR(SUMPRODUCT((('Loan Tape'!$R$4:$R$303&lt;&gt;"")*('Loan Tape'!$T$4:$T$303&gt;=R196)*('Loan Tape'!$T$4:$T$303&lt;=S196)*('Loan Tape'!$E$4:$E$303='Deal Strat'!$C$12))*'Loan Tape'!$AH$4:$AH$303*'Loan Tape'!$R$4:$R$303)/E196,"-")</f>
        <v>99.2516153483514</v>
      </c>
      <c r="I196" s="68" t="n">
        <f aca="false">IFERROR(SUMPRODUCT((('Loan Tape'!$R$4:$R$303&lt;&gt;"")*('Loan Tape'!$T$4:$T$303&gt;=R196)*('Loan Tape'!$T$4:$T$303&lt;=S196)*('Loan Tape'!$E$4:$E$303='Deal Strat'!$C$12))*(('Loan Tape'!$H$4:$H$303-$C$4)/30.4375)*'Loan Tape'!$R$4:$R$303)/E196,"-")</f>
        <v>-4.21808981741699</v>
      </c>
      <c r="J196" s="69" t="n">
        <f aca="false">IFERROR(SUMPRODUCT((('Loan Tape'!$R$4:$R$303&lt;&gt;"")*('Loan Tape'!$T$4:$T$303&gt;=R196)*('Loan Tape'!$T$4:$T$303&lt;=S196)*('Loan Tape'!$E$4:$E$303='Deal Strat'!$C$12))*('Loan Tape'!$K$4:$K$303="Floating")*'Loan Tape'!$R$4:$R$303)/E196,"-")</f>
        <v>0.583512816483486</v>
      </c>
      <c r="K196" s="69" t="n">
        <f aca="false">IFERROR(SUMPRODUCT((('Loan Tape'!$R$4:$R$303&lt;&gt;"")*('Loan Tape'!$T$4:$T$303&gt;=R196)*('Loan Tape'!$T$4:$T$303&lt;=S196)*('Loan Tape'!$E$4:$E$303='Deal Strat'!$C$12))*'Loan Tape'!$T$4:$T$303*'Loan Tape'!$R$4:$R$303)/E196,"-")</f>
        <v>0.0720010768989009</v>
      </c>
      <c r="L196" s="69" t="n">
        <f aca="false">IFERROR(SUMPRODUCT((('Loan Tape'!$R$4:$R$303&lt;&gt;"")*('Loan Tape'!$T$4:$T$303&gt;=R196)*('Loan Tape'!$T$4:$T$303&lt;=S196)*('Loan Tape'!$E$4:$E$303='Deal Strat'!$C$12))*'Loan Tape'!$V$4:$V$303*'Loan Tape'!$R$4:$R$303)/E196,"-")</f>
        <v>0.625481692718685</v>
      </c>
      <c r="M196" s="69" t="n">
        <f aca="false">IFERROR(SUMPRODUCT((('Loan Tape'!$R$4:$R$303&lt;&gt;"")*('Loan Tape'!$T$4:$T$303&gt;=R196)*('Loan Tape'!$T$4:$T$303&lt;=S196)*('Loan Tape'!$E$4:$E$303='Deal Strat'!$C$12))*'Loan Tape'!$W$4:$W$303*'Loan Tape'!$R$4:$R$303)/E196,"-")</f>
        <v>0.663811436389015</v>
      </c>
      <c r="N196" s="69" t="n">
        <f aca="false">IFERROR(SUMPRODUCT((('Loan Tape'!$R$4:$R$303&lt;&gt;"")*('Loan Tape'!$T$4:$T$303&gt;=R196)*('Loan Tape'!$T$4:$T$303&lt;=S196)*('Loan Tape'!$E$4:$E$303='Deal Strat'!$C$12))*'Loan Tape'!$AI$4:$AI$303*'Loan Tape'!$R$4:$R$303)/E196,"-")</f>
        <v>0.0648167025632967</v>
      </c>
      <c r="O196" s="69" t="n">
        <f aca="false">IFERROR(SUMPRODUCT((('Loan Tape'!$R$4:$R$303&lt;&gt;"")*('Loan Tape'!$T$4:$T$303&gt;=R196)*('Loan Tape'!$T$4:$T$303&lt;=S196)*('Loan Tape'!$E$4:$E$303='Deal Strat'!$C$12))*'Loan Tape'!$AK$4:$AK$303*'Loan Tape'!$R$4:$R$303)/E196,"-")</f>
        <v>0.073569394810549</v>
      </c>
      <c r="P196" s="69" t="n">
        <f aca="false">IFERROR(SUMPRODUCT((('Loan Tape'!$R$4:$R$303&lt;&gt;"")*('Loan Tape'!$T$4:$T$303&gt;=R196)*('Loan Tape'!$T$4:$T$303&lt;=S196)*('Loan Tape'!$E$4:$E$303='Deal Strat'!$C$12))*'Loan Tape'!$S$4:$S$303*'Loan Tape'!$R$4:$R$303)/E196,"-")</f>
        <v>0.86364656455385</v>
      </c>
      <c r="R196" s="91" t="n">
        <v>0.06</v>
      </c>
      <c r="S196" s="91" t="n">
        <v>0.07999</v>
      </c>
    </row>
    <row r="197" customFormat="false" ht="14.25" hidden="false" customHeight="false" outlineLevel="0" collapsed="false">
      <c r="B197" s="7" t="s">
        <v>453</v>
      </c>
      <c r="C197" s="68" t="n">
        <f aca="false">COUNTIFS('Loan Tape'!$T$4:$T$303,"&gt;="&amp;R197,'Loan Tape'!$T$4:$T$303,"&lt;="&amp;S197,'Loan Tape'!$R$4:$R$303,"&lt;&gt;",'Loan Tape'!$E$4:$E$303,'Deal Strat'!$C$12)</f>
        <v>2</v>
      </c>
      <c r="D197" s="68" t="n">
        <f aca="false">SUMPRODUCT((('Loan Tape'!$R$4:$R$303&lt;&gt;"")*('Loan Tape'!$T$4:$T$303&gt;=R197)*('Loan Tape'!$T$4:$T$303&lt;=S197)*('Loan Tape'!$E$4:$E$303='Deal Strat'!$C$12))*'Loan Tape'!$F$4:$F$303)</f>
        <v>0</v>
      </c>
      <c r="E197" s="84" t="n">
        <f aca="false">SUMIFS('Loan Tape'!$R$4:$R$303,'Loan Tape'!$T$4:$T$303,"&gt;="&amp;R197,'Loan Tape'!$T$4:$T$303,"&lt;="&amp;S197,'Loan Tape'!$R$4:$R$303,"&lt;&gt;",'Loan Tape'!$E$4:$E$303,'Deal Strat'!$C$12)</f>
        <v>177921000</v>
      </c>
      <c r="F197" s="69" t="n">
        <f aca="false">IFERROR(E197/C5,0)</f>
        <v>0.47765693836295</v>
      </c>
      <c r="G197" s="85" t="n">
        <f aca="false">IFERROR(SUMPRODUCT((('Loan Tape'!$R$4:$R$303&lt;&gt;"")*('Loan Tape'!$T$4:$T$303&gt;=R197)*('Loan Tape'!$T$4:$T$303&lt;=S197)*('Loan Tape'!$E$4:$E$303='Deal Strat'!$C$12))*'Loan Tape'!$U$4:$U$303*'Loan Tape'!$R$4:$R$303)/E197,"-")</f>
        <v>1.37352431697214</v>
      </c>
      <c r="H197" s="68" t="n">
        <f aca="false">IFERROR(SUMPRODUCT((('Loan Tape'!$R$4:$R$303&lt;&gt;"")*('Loan Tape'!$T$4:$T$303&gt;=R197)*('Loan Tape'!$T$4:$T$303&lt;=S197)*('Loan Tape'!$E$4:$E$303='Deal Strat'!$C$12))*'Loan Tape'!$AH$4:$AH$303*'Loan Tape'!$R$4:$R$303)/E197,"-")</f>
        <v>100.323784151393</v>
      </c>
      <c r="I197" s="68" t="n">
        <f aca="false">IFERROR(SUMPRODUCT((('Loan Tape'!$R$4:$R$303&lt;&gt;"")*('Loan Tape'!$T$4:$T$303&gt;=R197)*('Loan Tape'!$T$4:$T$303&lt;=S197)*('Loan Tape'!$E$4:$E$303='Deal Strat'!$C$12))*(('Loan Tape'!$H$4:$H$303-$C$4)/30.4375)*'Loan Tape'!$R$4:$R$303)/E197,"-")</f>
        <v>19.7112999197311</v>
      </c>
      <c r="J197" s="69" t="n">
        <f aca="false">IFERROR(SUMPRODUCT((('Loan Tape'!$R$4:$R$303&lt;&gt;"")*('Loan Tape'!$T$4:$T$303&gt;=R197)*('Loan Tape'!$T$4:$T$303&lt;=S197)*('Loan Tape'!$E$4:$E$303='Deal Strat'!$C$12))*('Loan Tape'!$K$4:$K$303="Floating")*'Loan Tape'!$R$4:$R$303)/E197,"-")</f>
        <v>1</v>
      </c>
      <c r="K197" s="69" t="n">
        <f aca="false">IFERROR(SUMPRODUCT((('Loan Tape'!$R$4:$R$303&lt;&gt;"")*('Loan Tape'!$T$4:$T$303&gt;=R197)*('Loan Tape'!$T$4:$T$303&lt;=S197)*('Loan Tape'!$E$4:$E$303='Deal Strat'!$C$12))*'Loan Tape'!$T$4:$T$303*'Loan Tape'!$R$4:$R$303)/E197,"-")</f>
        <v>0.0826627581904328</v>
      </c>
      <c r="L197" s="69" t="n">
        <f aca="false">IFERROR(SUMPRODUCT((('Loan Tape'!$R$4:$R$303&lt;&gt;"")*('Loan Tape'!$T$4:$T$303&gt;=R197)*('Loan Tape'!$T$4:$T$303&lt;=S197)*('Loan Tape'!$E$4:$E$303='Deal Strat'!$C$12))*'Loan Tape'!$V$4:$V$303*'Loan Tape'!$R$4:$R$303)/E197,"-")</f>
        <v>0.633535642223234</v>
      </c>
      <c r="M197" s="69" t="n">
        <f aca="false">IFERROR(SUMPRODUCT((('Loan Tape'!$R$4:$R$303&lt;&gt;"")*('Loan Tape'!$T$4:$T$303&gt;=R197)*('Loan Tape'!$T$4:$T$303&lt;=S197)*('Loan Tape'!$E$4:$E$303='Deal Strat'!$C$12))*'Loan Tape'!$W$4:$W$303*'Loan Tape'!$R$4:$R$303)/E197,"-")</f>
        <v>0.661506994677413</v>
      </c>
      <c r="N197" s="69" t="n">
        <f aca="false">IFERROR(SUMPRODUCT((('Loan Tape'!$R$4:$R$303&lt;&gt;"")*('Loan Tape'!$T$4:$T$303&gt;=R197)*('Loan Tape'!$T$4:$T$303&lt;=S197)*('Loan Tape'!$E$4:$E$303='Deal Strat'!$C$12))*'Loan Tape'!$AI$4:$AI$303*'Loan Tape'!$R$4:$R$303)/E197,"-")</f>
        <v>0.0771718852749254</v>
      </c>
      <c r="O197" s="69" t="n">
        <f aca="false">IFERROR(SUMPRODUCT((('Loan Tape'!$R$4:$R$303&lt;&gt;"")*('Loan Tape'!$T$4:$T$303&gt;=R197)*('Loan Tape'!$T$4:$T$303&lt;=S197)*('Loan Tape'!$E$4:$E$303='Deal Strat'!$C$12))*'Loan Tape'!$AK$4:$AK$303*'Loan Tape'!$R$4:$R$303)/E197,"-")</f>
        <v>0.0921718852749254</v>
      </c>
      <c r="P197" s="69" t="n">
        <f aca="false">IFERROR(SUMPRODUCT((('Loan Tape'!$R$4:$R$303&lt;&gt;"")*('Loan Tape'!$T$4:$T$303&gt;=R197)*('Loan Tape'!$T$4:$T$303&lt;=S197)*('Loan Tape'!$E$4:$E$303='Deal Strat'!$C$12))*'Loan Tape'!$S$4:$S$303*'Loan Tape'!$R$4:$R$303)/E197,"-")</f>
        <v>0.834510327617313</v>
      </c>
      <c r="R197" s="91" t="n">
        <v>0.08</v>
      </c>
      <c r="S197" s="91" t="n">
        <v>0.09999</v>
      </c>
    </row>
    <row r="198" customFormat="false" ht="14.25" hidden="false" customHeight="false" outlineLevel="0" collapsed="false">
      <c r="B198" s="7" t="s">
        <v>454</v>
      </c>
      <c r="C198" s="68" t="n">
        <f aca="false">COUNTIFS('Loan Tape'!$T$4:$T$303,"&gt;="&amp;R198,'Loan Tape'!$T$4:$T$303,"&lt;="&amp;S198,'Loan Tape'!$R$4:$R$303,"&lt;&gt;",'Loan Tape'!$E$4:$E$303,'Deal Strat'!$C$12)</f>
        <v>1</v>
      </c>
      <c r="D198" s="68" t="n">
        <f aca="false">SUMPRODUCT((('Loan Tape'!$R$4:$R$303&lt;&gt;"")*('Loan Tape'!$T$4:$T$303&gt;=R198)*('Loan Tape'!$T$4:$T$303&lt;=S198)*('Loan Tape'!$E$4:$E$303='Deal Strat'!$C$12))*'Loan Tape'!$F$4:$F$303)</f>
        <v>238</v>
      </c>
      <c r="E198" s="84" t="n">
        <f aca="false">SUMIFS('Loan Tape'!$R$4:$R$303,'Loan Tape'!$T$4:$T$303,"&gt;="&amp;R198,'Loan Tape'!$T$4:$T$303,"&lt;="&amp;S198,'Loan Tape'!$R$4:$R$303,"&lt;&gt;",'Loan Tape'!$E$4:$E$303,'Deal Strat'!$C$12)</f>
        <v>86385000</v>
      </c>
      <c r="F198" s="69" t="n">
        <f aca="false">IFERROR(E198/C5,0)</f>
        <v>0.231914133916083</v>
      </c>
      <c r="G198" s="85" t="n">
        <f aca="false">IFERROR(SUMPRODUCT((('Loan Tape'!$R$4:$R$303&lt;&gt;"")*('Loan Tape'!$T$4:$T$303&gt;=R198)*('Loan Tape'!$T$4:$T$303&lt;=S198)*('Loan Tape'!$E$4:$E$303='Deal Strat'!$C$12))*'Loan Tape'!$U$4:$U$303*'Loan Tape'!$R$4:$R$303)/E198,"-")</f>
        <v>1.35</v>
      </c>
      <c r="H198" s="68" t="n">
        <f aca="false">IFERROR(SUMPRODUCT((('Loan Tape'!$R$4:$R$303&lt;&gt;"")*('Loan Tape'!$T$4:$T$303&gt;=R198)*('Loan Tape'!$T$4:$T$303&lt;=S198)*('Loan Tape'!$E$4:$E$303='Deal Strat'!$C$12))*'Loan Tape'!$AH$4:$AH$303*'Loan Tape'!$R$4:$R$303)/E198,"-")</f>
        <v>102</v>
      </c>
      <c r="I198" s="68" t="n">
        <f aca="false">IFERROR(SUMPRODUCT((('Loan Tape'!$R$4:$R$303&lt;&gt;"")*('Loan Tape'!$T$4:$T$303&gt;=R198)*('Loan Tape'!$T$4:$T$303&lt;=S198)*('Loan Tape'!$E$4:$E$303='Deal Strat'!$C$12))*(('Loan Tape'!$H$4:$H$303-$C$4)/30.4375)*'Loan Tape'!$R$4:$R$303)/E198,"-")</f>
        <v>-17.9712525667351</v>
      </c>
      <c r="J198" s="69" t="n">
        <f aca="false">IFERROR(SUMPRODUCT((('Loan Tape'!$R$4:$R$303&lt;&gt;"")*('Loan Tape'!$T$4:$T$303&gt;=R198)*('Loan Tape'!$T$4:$T$303&lt;=S198)*('Loan Tape'!$E$4:$E$303='Deal Strat'!$C$12))*('Loan Tape'!$K$4:$K$303="Floating")*'Loan Tape'!$R$4:$R$303)/E198,"-")</f>
        <v>0</v>
      </c>
      <c r="K198" s="69" t="n">
        <f aca="false">IFERROR(SUMPRODUCT((('Loan Tape'!$R$4:$R$303&lt;&gt;"")*('Loan Tape'!$T$4:$T$303&gt;=R198)*('Loan Tape'!$T$4:$T$303&lt;=S198)*('Loan Tape'!$E$4:$E$303='Deal Strat'!$C$12))*'Loan Tape'!$T$4:$T$303*'Loan Tape'!$R$4:$R$303)/E198,"-")</f>
        <v>0.1077</v>
      </c>
      <c r="L198" s="69" t="n">
        <f aca="false">IFERROR(SUMPRODUCT((('Loan Tape'!$R$4:$R$303&lt;&gt;"")*('Loan Tape'!$T$4:$T$303&gt;=R198)*('Loan Tape'!$T$4:$T$303&lt;=S198)*('Loan Tape'!$E$4:$E$303='Deal Strat'!$C$12))*'Loan Tape'!$V$4:$V$303*'Loan Tape'!$R$4:$R$303)/E198,"-")</f>
        <v>0.888</v>
      </c>
      <c r="M198" s="69" t="n">
        <f aca="false">IFERROR(SUMPRODUCT((('Loan Tape'!$R$4:$R$303&lt;&gt;"")*('Loan Tape'!$T$4:$T$303&gt;=R198)*('Loan Tape'!$T$4:$T$303&lt;=S198)*('Loan Tape'!$E$4:$E$303='Deal Strat'!$C$12))*'Loan Tape'!$W$4:$W$303*'Loan Tape'!$R$4:$R$303)/E198,"-")</f>
        <v>0.945</v>
      </c>
      <c r="N198" s="69" t="n">
        <f aca="false">IFERROR(SUMPRODUCT((('Loan Tape'!$R$4:$R$303&lt;&gt;"")*('Loan Tape'!$T$4:$T$303&gt;=R198)*('Loan Tape'!$T$4:$T$303&lt;=S198)*('Loan Tape'!$E$4:$E$303='Deal Strat'!$C$12))*'Loan Tape'!$AI$4:$AI$303*'Loan Tape'!$R$4:$R$303)/E198,"-")</f>
        <v>0.0534</v>
      </c>
      <c r="O198" s="69" t="n">
        <f aca="false">IFERROR(SUMPRODUCT((('Loan Tape'!$R$4:$R$303&lt;&gt;"")*('Loan Tape'!$T$4:$T$303&gt;=R198)*('Loan Tape'!$T$4:$T$303&lt;=S198)*('Loan Tape'!$E$4:$E$303='Deal Strat'!$C$12))*'Loan Tape'!$AK$4:$AK$303*'Loan Tape'!$R$4:$R$303)/E198,"-")</f>
        <v>0.0534</v>
      </c>
      <c r="P198" s="69" t="n">
        <f aca="false">IFERROR(SUMPRODUCT((('Loan Tape'!$R$4:$R$303&lt;&gt;"")*('Loan Tape'!$T$4:$T$303&gt;=R198)*('Loan Tape'!$T$4:$T$303&lt;=S198)*('Loan Tape'!$E$4:$E$303='Deal Strat'!$C$12))*'Loan Tape'!$S$4:$S$303*'Loan Tape'!$R$4:$R$303)/E198,"-")</f>
        <v>0.828</v>
      </c>
      <c r="R198" s="91" t="n">
        <v>0.1</v>
      </c>
      <c r="S198" s="91" t="n">
        <v>0.11999</v>
      </c>
    </row>
    <row r="199" customFormat="false" ht="14.25" hidden="false" customHeight="false" outlineLevel="0" collapsed="false">
      <c r="B199" s="7" t="s">
        <v>455</v>
      </c>
      <c r="C199" s="68" t="n">
        <f aca="false">COUNTIFS('Loan Tape'!$T$4:$T$303,"&gt;="&amp;R199,'Loan Tape'!$T$4:$T$303,"&lt;="&amp;S199,'Loan Tape'!$R$4:$R$303,"&lt;&gt;",'Loan Tape'!$E$4:$E$303,'Deal Strat'!$C$12)</f>
        <v>0</v>
      </c>
      <c r="D199" s="68" t="n">
        <f aca="false">SUMPRODUCT((('Loan Tape'!$R$4:$R$303&lt;&gt;"")*('Loan Tape'!$T$4:$T$303&gt;=R199)*('Loan Tape'!$T$4:$T$303&lt;=S199)*('Loan Tape'!$E$4:$E$303='Deal Strat'!$C$12))*'Loan Tape'!$F$4:$F$303)</f>
        <v>0</v>
      </c>
      <c r="E199" s="84" t="n">
        <f aca="false">SUMIFS('Loan Tape'!$R$4:$R$303,'Loan Tape'!$T$4:$T$303,"&gt;="&amp;R199,'Loan Tape'!$T$4:$T$303,"&lt;="&amp;S199,'Loan Tape'!$R$4:$R$303,"&lt;&gt;",'Loan Tape'!$E$4:$E$303,'Deal Strat'!$C$12)</f>
        <v>0</v>
      </c>
      <c r="F199" s="69" t="n">
        <f aca="false">IFERROR(E199/C5,0)</f>
        <v>0</v>
      </c>
      <c r="G199" s="85" t="str">
        <f aca="false">IFERROR(SUMPRODUCT((('Loan Tape'!$R$4:$R$303&lt;&gt;"")*('Loan Tape'!$T$4:$T$303&gt;=R199)*('Loan Tape'!$T$4:$T$303&lt;=S199)*('Loan Tape'!$E$4:$E$303='Deal Strat'!$C$12))*'Loan Tape'!$U$4:$U$303*'Loan Tape'!$R$4:$R$303)/E199,"-")</f>
        <v>-</v>
      </c>
      <c r="H199" s="68" t="str">
        <f aca="false">IFERROR(SUMPRODUCT((('Loan Tape'!$R$4:$R$303&lt;&gt;"")*('Loan Tape'!$T$4:$T$303&gt;=R199)*('Loan Tape'!$T$4:$T$303&lt;=S199)*('Loan Tape'!$E$4:$E$303='Deal Strat'!$C$12))*'Loan Tape'!$AH$4:$AH$303*'Loan Tape'!$R$4:$R$303)/E199,"-")</f>
        <v>-</v>
      </c>
      <c r="I199" s="68" t="str">
        <f aca="false">IFERROR(SUMPRODUCT((('Loan Tape'!$R$4:$R$303&lt;&gt;"")*('Loan Tape'!$T$4:$T$303&gt;=R199)*('Loan Tape'!$T$4:$T$303&lt;=S199)*('Loan Tape'!$E$4:$E$303='Deal Strat'!$C$12))*(('Loan Tape'!$H$4:$H$303-$C$4)/30.4375)*'Loan Tape'!$R$4:$R$303)/E199,"-")</f>
        <v>-</v>
      </c>
      <c r="J199" s="69" t="str">
        <f aca="false">IFERROR(SUMPRODUCT((('Loan Tape'!$R$4:$R$303&lt;&gt;"")*('Loan Tape'!$T$4:$T$303&gt;=R199)*('Loan Tape'!$T$4:$T$303&lt;=S199)*('Loan Tape'!$E$4:$E$303='Deal Strat'!$C$12))*('Loan Tape'!$K$4:$K$303="Floating")*'Loan Tape'!$R$4:$R$303)/E199,"-")</f>
        <v>-</v>
      </c>
      <c r="K199" s="69" t="str">
        <f aca="false">IFERROR(SUMPRODUCT((('Loan Tape'!$R$4:$R$303&lt;&gt;"")*('Loan Tape'!$T$4:$T$303&gt;=R199)*('Loan Tape'!$T$4:$T$303&lt;=S199)*('Loan Tape'!$E$4:$E$303='Deal Strat'!$C$12))*'Loan Tape'!$T$4:$T$303*'Loan Tape'!$R$4:$R$303)/E199,"-")</f>
        <v>-</v>
      </c>
      <c r="L199" s="69" t="str">
        <f aca="false">IFERROR(SUMPRODUCT((('Loan Tape'!$R$4:$R$303&lt;&gt;"")*('Loan Tape'!$T$4:$T$303&gt;=R199)*('Loan Tape'!$T$4:$T$303&lt;=S199)*('Loan Tape'!$E$4:$E$303='Deal Strat'!$C$12))*'Loan Tape'!$V$4:$V$303*'Loan Tape'!$R$4:$R$303)/E199,"-")</f>
        <v>-</v>
      </c>
      <c r="M199" s="69" t="str">
        <f aca="false">IFERROR(SUMPRODUCT((('Loan Tape'!$R$4:$R$303&lt;&gt;"")*('Loan Tape'!$T$4:$T$303&gt;=R199)*('Loan Tape'!$T$4:$T$303&lt;=S199)*('Loan Tape'!$E$4:$E$303='Deal Strat'!$C$12))*'Loan Tape'!$W$4:$W$303*'Loan Tape'!$R$4:$R$303)/E199,"-")</f>
        <v>-</v>
      </c>
      <c r="N199" s="69" t="str">
        <f aca="false">IFERROR(SUMPRODUCT((('Loan Tape'!$R$4:$R$303&lt;&gt;"")*('Loan Tape'!$T$4:$T$303&gt;=R199)*('Loan Tape'!$T$4:$T$303&lt;=S199)*('Loan Tape'!$E$4:$E$303='Deal Strat'!$C$12))*'Loan Tape'!$AI$4:$AI$303*'Loan Tape'!$R$4:$R$303)/E199,"-")</f>
        <v>-</v>
      </c>
      <c r="O199" s="69" t="str">
        <f aca="false">IFERROR(SUMPRODUCT((('Loan Tape'!$R$4:$R$303&lt;&gt;"")*('Loan Tape'!$T$4:$T$303&gt;=R199)*('Loan Tape'!$T$4:$T$303&lt;=S199)*('Loan Tape'!$E$4:$E$303='Deal Strat'!$C$12))*'Loan Tape'!$AK$4:$AK$303*'Loan Tape'!$R$4:$R$303)/E199,"-")</f>
        <v>-</v>
      </c>
      <c r="P199" s="69" t="str">
        <f aca="false">IFERROR(SUMPRODUCT((('Loan Tape'!$R$4:$R$303&lt;&gt;"")*('Loan Tape'!$T$4:$T$303&gt;=R199)*('Loan Tape'!$T$4:$T$303&lt;=S199)*('Loan Tape'!$E$4:$E$303='Deal Strat'!$C$12))*'Loan Tape'!$S$4:$S$303*'Loan Tape'!$R$4:$R$303)/E199,"-")</f>
        <v>-</v>
      </c>
      <c r="R199" s="91" t="n">
        <v>0.12</v>
      </c>
      <c r="S199" s="91" t="n">
        <v>1000000000000</v>
      </c>
    </row>
    <row r="200" customFormat="false" ht="14.25" hidden="false" customHeight="false" outlineLevel="0" collapsed="false">
      <c r="B200" s="86" t="s">
        <v>405</v>
      </c>
      <c r="C200" s="92" t="n">
        <f aca="false">SUM(C195:C199)</f>
        <v>5</v>
      </c>
      <c r="D200" s="92" t="n">
        <f aca="false">SUM(D195:D199)</f>
        <v>593</v>
      </c>
      <c r="E200" s="88" t="n">
        <f aca="false">SUM(E195:E199)</f>
        <v>372487000</v>
      </c>
      <c r="F200" s="89" t="n">
        <f aca="false">SUM(F195:F199)</f>
        <v>1</v>
      </c>
      <c r="G200" s="90" t="n">
        <f aca="false">IFERROR(SUMPRODUCT((('Loan Tape'!$R$4:$R$303&lt;&gt;"")*('Loan Tape'!$E$4:$E$303='Deal Strat'!$C$12))*'Loan Tape'!$U$4:$U$303*'Loan Tape'!$R$4:$R$303)/E200,"-")</f>
        <v>1.46286165691689</v>
      </c>
      <c r="H200" s="92" t="n">
        <f aca="false">IFERROR(SUMPRODUCT((('Loan Tape'!$R$4:$R$303&lt;&gt;"")*('Loan Tape'!$E$4:$E$303='Deal Strat'!$C$12))*'Loan Tape'!$AH$4:$AH$303*'Loan Tape'!$R$4:$R$303)/E200,"-")</f>
        <v>100.401133462376</v>
      </c>
      <c r="I200" s="92" t="n">
        <f aca="false">IFERROR(SUMPRODUCT((('Loan Tape'!$R$4:$R$303&lt;&gt;"")*('Loan Tape'!$E$4:$E$303='Deal Strat'!$C$12))*(('Loan Tape'!$H$4:$H$303-$C$4)/30.4375)*'Loan Tape'!$R$4:$R$303)/E200,"-")</f>
        <v>4.02239639370792</v>
      </c>
      <c r="J200" s="89" t="n">
        <f aca="false">IFERROR(SUMPRODUCT((('Loan Tape'!$R$4:$R$303&lt;&gt;"")*('Loan Tape'!$E$4:$E$303='Deal Strat'!$C$12))*('Loan Tape'!$K$4:$K$303="Floating")*'Loan Tape'!$R$4:$R$303)/E200,"-")</f>
        <v>0.64712593996569</v>
      </c>
      <c r="K200" s="89" t="n">
        <f aca="false">IFERROR(SUMPRODUCT((('Loan Tape'!$R$4:$R$303&lt;&gt;"")*('Loan Tape'!$E$4:$E$303='Deal Strat'!$C$12))*'Loan Tape'!$T$4:$T$303*'Loan Tape'!$R$4:$R$303)/E200,"-")</f>
        <v>0.0853727877751438</v>
      </c>
      <c r="L200" s="89" t="n">
        <f aca="false">IFERROR(SUMPRODUCT((('Loan Tape'!$R$4:$R$303&lt;&gt;"")*('Loan Tape'!$E$4:$E$303='Deal Strat'!$C$12))*'Loan Tape'!$V$4:$V$303*'Loan Tape'!$R$4:$R$303)/E200,"-")</f>
        <v>0.69021042345102</v>
      </c>
      <c r="M200" s="89" t="n">
        <f aca="false">IFERROR(SUMPRODUCT((('Loan Tape'!$R$4:$R$303&lt;&gt;"")*('Loan Tape'!$E$4:$E$303='Deal Strat'!$C$12))*'Loan Tape'!$W$4:$W$303*'Loan Tape'!$R$4:$R$303)/E200,"-")</f>
        <v>0.727922306013364</v>
      </c>
      <c r="N200" s="89" t="n">
        <f aca="false">IFERROR(SUMPRODUCT((('Loan Tape'!$R$4:$R$303&lt;&gt;"")*('Loan Tape'!$E$4:$E$303='Deal Strat'!$C$12))*'Loan Tape'!$AI$4:$AI$303*'Loan Tape'!$R$4:$R$303)/E200,"-")</f>
        <v>0.0680705466231036</v>
      </c>
      <c r="O200" s="89" t="n">
        <f aca="false">IFERROR(SUMPRODUCT((('Loan Tape'!$R$4:$R$303&lt;&gt;"")*('Loan Tape'!$E$4:$E$303='Deal Strat'!$C$12))*'Loan Tape'!$AK$4:$AK$303*'Loan Tape'!$R$4:$R$303)/E200,"-")</f>
        <v>0.077777435722589</v>
      </c>
      <c r="P200" s="89" t="n">
        <f aca="false">IFERROR(SUMPRODUCT((('Loan Tape'!$R$4:$R$303&lt;&gt;"")*('Loan Tape'!$E$4:$E$303='Deal Strat'!$C$12))*'Loan Tape'!$S$4:$S$303*'Loan Tape'!$R$4:$R$303)/E200,"-")</f>
        <v>0.841462496677736</v>
      </c>
    </row>
    <row r="202" customFormat="false" ht="19.5" hidden="false" customHeight="true" outlineLevel="0" collapsed="false">
      <c r="B202" s="5" t="s">
        <v>456</v>
      </c>
      <c r="C202" s="5"/>
      <c r="D202" s="5"/>
      <c r="E202" s="5"/>
      <c r="F202" s="5"/>
      <c r="G202" s="5"/>
      <c r="H202" s="5"/>
      <c r="I202" s="5"/>
      <c r="J202" s="5"/>
      <c r="K202" s="5"/>
      <c r="L202" s="5"/>
      <c r="M202" s="5"/>
      <c r="N202" s="5"/>
      <c r="O202" s="5"/>
      <c r="P202" s="5"/>
    </row>
    <row r="203" customFormat="false" ht="42" hidden="false" customHeight="true" outlineLevel="0" collapsed="false">
      <c r="B203" s="82" t="s">
        <v>423</v>
      </c>
      <c r="C203" s="83" t="s">
        <v>368</v>
      </c>
      <c r="D203" s="83" t="s">
        <v>153</v>
      </c>
      <c r="E203" s="83" t="s">
        <v>393</v>
      </c>
      <c r="F203" s="83" t="s">
        <v>394</v>
      </c>
      <c r="G203" s="83" t="s">
        <v>395</v>
      </c>
      <c r="H203" s="83" t="s">
        <v>396</v>
      </c>
      <c r="I203" s="83" t="s">
        <v>397</v>
      </c>
      <c r="J203" s="83" t="s">
        <v>398</v>
      </c>
      <c r="K203" s="83" t="s">
        <v>399</v>
      </c>
      <c r="L203" s="83" t="s">
        <v>400</v>
      </c>
      <c r="M203" s="83" t="s">
        <v>401</v>
      </c>
      <c r="N203" s="83" t="s">
        <v>402</v>
      </c>
      <c r="O203" s="83" t="s">
        <v>403</v>
      </c>
      <c r="P203" s="83" t="s">
        <v>365</v>
      </c>
    </row>
    <row r="204" customFormat="false" ht="14.25" hidden="false" customHeight="false" outlineLevel="0" collapsed="false">
      <c r="B204" s="7" t="s">
        <v>457</v>
      </c>
      <c r="C204" s="68" t="n">
        <f aca="false">COUNTIFS('Loan Tape'!$V$4:$V$303,"&gt;="&amp;R204,'Loan Tape'!$V$4:$V$303,"&lt;="&amp;S204,'Loan Tape'!$R$4:$R$303,"&lt;&gt;",'Loan Tape'!$E$4:$E$303,'Deal Strat'!$C$12)</f>
        <v>0</v>
      </c>
      <c r="D204" s="68" t="n">
        <f aca="false">SUMPRODUCT((('Loan Tape'!$R$4:$R$303&lt;&gt;"")*('Loan Tape'!$V$4:$V$303&gt;=R204)*('Loan Tape'!$V$4:$V$303&lt;=S204)*('Loan Tape'!$E$4:$E$303='Deal Strat'!$C$12))*'Loan Tape'!$F$4:$F$303)</f>
        <v>0</v>
      </c>
      <c r="E204" s="84" t="n">
        <f aca="false">SUMIFS('Loan Tape'!$R$4:$R$303,'Loan Tape'!$V$4:$V$303,"&gt;="&amp;R204,'Loan Tape'!$V$4:$V$303,"&lt;="&amp;S204,'Loan Tape'!$R$4:$R$303,"&lt;&gt;",'Loan Tape'!$E$4:$E$303,'Deal Strat'!$C$12)</f>
        <v>0</v>
      </c>
      <c r="F204" s="69" t="n">
        <f aca="false">IFERROR(E204/C5,0)</f>
        <v>0</v>
      </c>
      <c r="G204" s="85" t="str">
        <f aca="false">IFERROR(SUMPRODUCT((('Loan Tape'!$R$4:$R$303&lt;&gt;"")*('Loan Tape'!$V$4:$V$303&gt;=R204)*('Loan Tape'!$V$4:$V$303&lt;=S204)*('Loan Tape'!$E$4:$E$303='Deal Strat'!$C$12))*'Loan Tape'!$U$4:$U$303*'Loan Tape'!$R$4:$R$303)/E204,"-")</f>
        <v>-</v>
      </c>
      <c r="H204" s="68" t="str">
        <f aca="false">IFERROR(SUMPRODUCT((('Loan Tape'!$R$4:$R$303&lt;&gt;"")*('Loan Tape'!$V$4:$V$303&gt;=R204)*('Loan Tape'!$V$4:$V$303&lt;=S204)*('Loan Tape'!$E$4:$E$303='Deal Strat'!$C$12))*'Loan Tape'!$AH$4:$AH$303*'Loan Tape'!$R$4:$R$303)/E204,"-")</f>
        <v>-</v>
      </c>
      <c r="I204" s="68" t="str">
        <f aca="false">IFERROR(SUMPRODUCT((('Loan Tape'!$R$4:$R$303&lt;&gt;"")*('Loan Tape'!$V$4:$V$303&gt;=R204)*('Loan Tape'!$V$4:$V$303&lt;=S204)*('Loan Tape'!$E$4:$E$303='Deal Strat'!$C$12))*(('Loan Tape'!$H$4:$H$303-$C$4)/30.4375)*'Loan Tape'!$R$4:$R$303)/E204,"-")</f>
        <v>-</v>
      </c>
      <c r="J204" s="69" t="str">
        <f aca="false">IFERROR(SUMPRODUCT((('Loan Tape'!$R$4:$R$303&lt;&gt;"")*('Loan Tape'!$V$4:$V$303&gt;=R204)*('Loan Tape'!$V$4:$V$303&lt;=S204)*('Loan Tape'!$E$4:$E$303='Deal Strat'!$C$12))*('Loan Tape'!$K$4:$K$303="Floating")*'Loan Tape'!$R$4:$R$303)/E204,"-")</f>
        <v>-</v>
      </c>
      <c r="K204" s="69" t="str">
        <f aca="false">IFERROR(SUMPRODUCT((('Loan Tape'!$R$4:$R$303&lt;&gt;"")*('Loan Tape'!$V$4:$V$303&gt;=R204)*('Loan Tape'!$V$4:$V$303&lt;=S204)*('Loan Tape'!$E$4:$E$303='Deal Strat'!$C$12))*'Loan Tape'!$T$4:$T$303*'Loan Tape'!$R$4:$R$303)/E204,"-")</f>
        <v>-</v>
      </c>
      <c r="L204" s="69" t="str">
        <f aca="false">IFERROR(SUMPRODUCT((('Loan Tape'!$R$4:$R$303&lt;&gt;"")*('Loan Tape'!$V$4:$V$303&gt;=R204)*('Loan Tape'!$V$4:$V$303&lt;=S204)*('Loan Tape'!$E$4:$E$303='Deal Strat'!$C$12))*'Loan Tape'!$V$4:$V$303*'Loan Tape'!$R$4:$R$303)/E204,"-")</f>
        <v>-</v>
      </c>
      <c r="M204" s="69" t="str">
        <f aca="false">IFERROR(SUMPRODUCT((('Loan Tape'!$R$4:$R$303&lt;&gt;"")*('Loan Tape'!$V$4:$V$303&gt;=R204)*('Loan Tape'!$V$4:$V$303&lt;=S204)*('Loan Tape'!$E$4:$E$303='Deal Strat'!$C$12))*'Loan Tape'!$W$4:$W$303*'Loan Tape'!$R$4:$R$303)/E204,"-")</f>
        <v>-</v>
      </c>
      <c r="N204" s="69" t="str">
        <f aca="false">IFERROR(SUMPRODUCT((('Loan Tape'!$R$4:$R$303&lt;&gt;"")*('Loan Tape'!$V$4:$V$303&gt;=R204)*('Loan Tape'!$V$4:$V$303&lt;=S204)*('Loan Tape'!$E$4:$E$303='Deal Strat'!$C$12))*'Loan Tape'!$AI$4:$AI$303*'Loan Tape'!$R$4:$R$303)/E204,"-")</f>
        <v>-</v>
      </c>
      <c r="O204" s="69" t="str">
        <f aca="false">IFERROR(SUMPRODUCT((('Loan Tape'!$R$4:$R$303&lt;&gt;"")*('Loan Tape'!$V$4:$V$303&gt;=R204)*('Loan Tape'!$V$4:$V$303&lt;=S204)*('Loan Tape'!$E$4:$E$303='Deal Strat'!$C$12))*'Loan Tape'!$AK$4:$AK$303*'Loan Tape'!$R$4:$R$303)/E204,"-")</f>
        <v>-</v>
      </c>
      <c r="P204" s="69" t="str">
        <f aca="false">IFERROR(SUMPRODUCT((('Loan Tape'!$R$4:$R$303&lt;&gt;"")*('Loan Tape'!$V$4:$V$303&gt;=R204)*('Loan Tape'!$V$4:$V$303&lt;=S204)*('Loan Tape'!$E$4:$E$303='Deal Strat'!$C$12))*'Loan Tape'!$S$4:$S$303*'Loan Tape'!$R$4:$R$303)/E204,"-")</f>
        <v>-</v>
      </c>
      <c r="R204" s="91" t="n">
        <v>-1000000000000</v>
      </c>
      <c r="S204" s="91" t="n">
        <v>0.4999</v>
      </c>
    </row>
    <row r="205" customFormat="false" ht="14.25" hidden="false" customHeight="false" outlineLevel="0" collapsed="false">
      <c r="B205" s="7" t="s">
        <v>458</v>
      </c>
      <c r="C205" s="68" t="n">
        <f aca="false">COUNTIFS('Loan Tape'!$V$4:$V$303,"&gt;="&amp;R205,'Loan Tape'!$V$4:$V$303,"&lt;="&amp;S205,'Loan Tape'!$R$4:$R$303,"&lt;&gt;",'Loan Tape'!$E$4:$E$303,'Deal Strat'!$C$12)</f>
        <v>2</v>
      </c>
      <c r="D205" s="68" t="n">
        <f aca="false">SUMPRODUCT((('Loan Tape'!$R$4:$R$303&lt;&gt;"")*('Loan Tape'!$V$4:$V$303&gt;=R205)*('Loan Tape'!$V$4:$V$303&lt;=S205)*('Loan Tape'!$E$4:$E$303='Deal Strat'!$C$12))*'Loan Tape'!$F$4:$F$303)</f>
        <v>184</v>
      </c>
      <c r="E205" s="84" t="n">
        <f aca="false">SUMIFS('Loan Tape'!$R$4:$R$303,'Loan Tape'!$V$4:$V$303,"&gt;="&amp;R205,'Loan Tape'!$V$4:$V$303,"&lt;="&amp;S205,'Loan Tape'!$R$4:$R$303,"&lt;&gt;",'Loan Tape'!$E$4:$E$303,'Deal Strat'!$C$12)</f>
        <v>120733000</v>
      </c>
      <c r="F205" s="69" t="n">
        <f aca="false">IFERROR(E205/C5,0)</f>
        <v>0.324126748047583</v>
      </c>
      <c r="G205" s="85" t="n">
        <f aca="false">IFERROR(SUMPRODUCT((('Loan Tape'!$R$4:$R$303&lt;&gt;"")*('Loan Tape'!$V$4:$V$303&gt;=R205)*('Loan Tape'!$V$4:$V$303&lt;=S205)*('Loan Tape'!$E$4:$E$303='Deal Strat'!$C$12))*'Loan Tape'!$U$4:$U$303*'Loan Tape'!$R$4:$R$303)/E205,"-")</f>
        <v>1.43319871120572</v>
      </c>
      <c r="H205" s="68" t="n">
        <f aca="false">IFERROR(SUMPRODUCT((('Loan Tape'!$R$4:$R$303&lt;&gt;"")*('Loan Tape'!$V$4:$V$303&gt;=R205)*('Loan Tape'!$V$4:$V$303&lt;=S205)*('Loan Tape'!$E$4:$E$303='Deal Strat'!$C$12))*'Loan Tape'!$AH$4:$AH$303*'Loan Tape'!$R$4:$R$303)/E205,"-")</f>
        <v>102.045695874367</v>
      </c>
      <c r="I205" s="68" t="n">
        <f aca="false">IFERROR(SUMPRODUCT((('Loan Tape'!$R$4:$R$303&lt;&gt;"")*('Loan Tape'!$V$4:$V$303&gt;=R205)*('Loan Tape'!$V$4:$V$303&lt;=S205)*('Loan Tape'!$E$4:$E$303='Deal Strat'!$C$12))*(('Loan Tape'!$H$4:$H$303-$C$4)/30.4375)*'Loan Tape'!$R$4:$R$303)/E205,"-")</f>
        <v>17.9747441751719</v>
      </c>
      <c r="J205" s="69" t="n">
        <f aca="false">IFERROR(SUMPRODUCT((('Loan Tape'!$R$4:$R$303&lt;&gt;"")*('Loan Tape'!$V$4:$V$303&gt;=R205)*('Loan Tape'!$V$4:$V$303&lt;=S205)*('Loan Tape'!$E$4:$E$303='Deal Strat'!$C$12))*('Loan Tape'!$K$4:$K$303="Floating")*'Loan Tape'!$R$4:$R$303)/E205,"-")</f>
        <v>1</v>
      </c>
      <c r="K205" s="69" t="n">
        <f aca="false">IFERROR(SUMPRODUCT((('Loan Tape'!$R$4:$R$303&lt;&gt;"")*('Loan Tape'!$V$4:$V$303&gt;=R205)*('Loan Tape'!$V$4:$V$303&lt;=S205)*('Loan Tape'!$E$4:$E$303='Deal Strat'!$C$12))*'Loan Tape'!$T$4:$T$303*'Loan Tape'!$R$4:$R$303)/E205,"-")</f>
        <v>0.079653242278416</v>
      </c>
      <c r="L205" s="69" t="n">
        <f aca="false">IFERROR(SUMPRODUCT((('Loan Tape'!$R$4:$R$303&lt;&gt;"")*('Loan Tape'!$V$4:$V$303&gt;=R205)*('Loan Tape'!$V$4:$V$303&lt;=S205)*('Loan Tape'!$E$4:$E$303='Deal Strat'!$C$12))*'Loan Tape'!$V$4:$V$303*'Loan Tape'!$R$4:$R$303)/E205,"-")</f>
        <v>0.577751327309021</v>
      </c>
      <c r="M205" s="69" t="n">
        <f aca="false">IFERROR(SUMPRODUCT((('Loan Tape'!$R$4:$R$303&lt;&gt;"")*('Loan Tape'!$V$4:$V$303&gt;=R205)*('Loan Tape'!$V$4:$V$303&lt;=S205)*('Loan Tape'!$E$4:$E$303='Deal Strat'!$C$12))*'Loan Tape'!$W$4:$W$303*'Loan Tape'!$R$4:$R$303)/E205,"-")</f>
        <v>0.607751327309021</v>
      </c>
      <c r="N205" s="69" t="n">
        <f aca="false">IFERROR(SUMPRODUCT((('Loan Tape'!$R$4:$R$303&lt;&gt;"")*('Loan Tape'!$V$4:$V$303&gt;=R205)*('Loan Tape'!$V$4:$V$303&lt;=S205)*('Loan Tape'!$E$4:$E$303='Deal Strat'!$C$12))*'Loan Tape'!$AI$4:$AI$303*'Loan Tape'!$R$4:$R$303)/E205,"-")</f>
        <v>0.0649477152062816</v>
      </c>
      <c r="O205" s="69" t="n">
        <f aca="false">IFERROR(SUMPRODUCT((('Loan Tape'!$R$4:$R$303&lt;&gt;"")*('Loan Tape'!$V$4:$V$303&gt;=R205)*('Loan Tape'!$V$4:$V$303&lt;=S205)*('Loan Tape'!$E$4:$E$303='Deal Strat'!$C$12))*'Loan Tape'!$AK$4:$AK$303*'Loan Tape'!$R$4:$R$303)/E205,"-")</f>
        <v>0.0799477152062816</v>
      </c>
      <c r="P205" s="69" t="n">
        <f aca="false">IFERROR(SUMPRODUCT((('Loan Tape'!$R$4:$R$303&lt;&gt;"")*('Loan Tape'!$V$4:$V$303&gt;=R205)*('Loan Tape'!$V$4:$V$303&lt;=S205)*('Loan Tape'!$E$4:$E$303='Deal Strat'!$C$12))*'Loan Tape'!$S$4:$S$303*'Loan Tape'!$R$4:$R$303)/E205,"-")</f>
        <v>0.875689703726405</v>
      </c>
      <c r="R205" s="91" t="n">
        <v>0.5</v>
      </c>
      <c r="S205" s="91" t="n">
        <v>0.5999</v>
      </c>
    </row>
    <row r="206" customFormat="false" ht="14.25" hidden="false" customHeight="false" outlineLevel="0" collapsed="false">
      <c r="B206" s="7" t="s">
        <v>459</v>
      </c>
      <c r="C206" s="68" t="n">
        <f aca="false">COUNTIFS('Loan Tape'!$V$4:$V$303,"&gt;="&amp;R206,'Loan Tape'!$V$4:$V$303,"&lt;="&amp;S206,'Loan Tape'!$R$4:$R$303,"&lt;&gt;",'Loan Tape'!$E$4:$E$303,'Deal Strat'!$C$12)</f>
        <v>2</v>
      </c>
      <c r="D206" s="68" t="n">
        <f aca="false">SUMPRODUCT((('Loan Tape'!$R$4:$R$303&lt;&gt;"")*('Loan Tape'!$V$4:$V$303&gt;=R206)*('Loan Tape'!$V$4:$V$303&lt;=S206)*('Loan Tape'!$E$4:$E$303='Deal Strat'!$C$12))*'Loan Tape'!$F$4:$F$303)</f>
        <v>171</v>
      </c>
      <c r="E206" s="84" t="n">
        <f aca="false">SUMIFS('Loan Tape'!$R$4:$R$303,'Loan Tape'!$V$4:$V$303,"&gt;="&amp;R206,'Loan Tape'!$V$4:$V$303,"&lt;="&amp;S206,'Loan Tape'!$R$4:$R$303,"&lt;&gt;",'Loan Tape'!$E$4:$E$303,'Deal Strat'!$C$12)</f>
        <v>165369000</v>
      </c>
      <c r="F206" s="69" t="n">
        <f aca="false">IFERROR(E206/C5,0)</f>
        <v>0.443959118036334</v>
      </c>
      <c r="G206" s="85" t="n">
        <f aca="false">IFERROR(SUMPRODUCT((('Loan Tape'!$R$4:$R$303&lt;&gt;"")*('Loan Tape'!$V$4:$V$303&gt;=R206)*('Loan Tape'!$V$4:$V$303&lt;=S206)*('Loan Tape'!$E$4:$E$303='Deal Strat'!$C$12))*'Loan Tape'!$U$4:$U$303*'Loan Tape'!$R$4:$R$303)/E206,"-")</f>
        <v>1.54347441177004</v>
      </c>
      <c r="H206" s="68" t="n">
        <f aca="false">IFERROR(SUMPRODUCT((('Loan Tape'!$R$4:$R$303&lt;&gt;"")*('Loan Tape'!$V$4:$V$303&gt;=R206)*('Loan Tape'!$V$4:$V$303&lt;=S206)*('Loan Tape'!$E$4:$E$303='Deal Strat'!$C$12))*'Loan Tape'!$AH$4:$AH$303*'Loan Tape'!$R$4:$R$303)/E206,"-")</f>
        <v>98.3652558822996</v>
      </c>
      <c r="I206" s="68" t="n">
        <f aca="false">IFERROR(SUMPRODUCT((('Loan Tape'!$R$4:$R$303&lt;&gt;"")*('Loan Tape'!$V$4:$V$303&gt;=R206)*('Loan Tape'!$V$4:$V$303&lt;=S206)*('Loan Tape'!$E$4:$E$303='Deal Strat'!$C$12))*(('Loan Tape'!$H$4:$H$303-$C$4)/30.4375)*'Loan Tape'!$R$4:$R$303)/E206,"-")</f>
        <v>5.32501393840119</v>
      </c>
      <c r="J206" s="69" t="n">
        <f aca="false">IFERROR(SUMPRODUCT((('Loan Tape'!$R$4:$R$303&lt;&gt;"")*('Loan Tape'!$V$4:$V$303&gt;=R206)*('Loan Tape'!$V$4:$V$303&lt;=S206)*('Loan Tape'!$E$4:$E$303='Deal Strat'!$C$12))*('Loan Tape'!$K$4:$K$303="Floating")*'Loan Tape'!$R$4:$R$303)/E206,"-")</f>
        <v>0.727542647049931</v>
      </c>
      <c r="K206" s="69" t="n">
        <f aca="false">IFERROR(SUMPRODUCT((('Loan Tape'!$R$4:$R$303&lt;&gt;"")*('Loan Tape'!$V$4:$V$303&gt;=R206)*('Loan Tape'!$V$4:$V$303&lt;=S206)*('Loan Tape'!$E$4:$E$303='Deal Strat'!$C$12))*'Loan Tape'!$T$4:$T$303*'Loan Tape'!$R$4:$R$303)/E206,"-")</f>
        <v>0.0778853001469441</v>
      </c>
      <c r="L206" s="69" t="n">
        <f aca="false">IFERROR(SUMPRODUCT((('Loan Tape'!$R$4:$R$303&lt;&gt;"")*('Loan Tape'!$V$4:$V$303&gt;=R206)*('Loan Tape'!$V$4:$V$303&lt;=S206)*('Loan Tape'!$E$4:$E$303='Deal Strat'!$C$12))*'Loan Tape'!$V$4:$V$303*'Loan Tape'!$R$4:$R$303)/E206,"-")</f>
        <v>0.668994061764902</v>
      </c>
      <c r="M206" s="69" t="n">
        <f aca="false">IFERROR(SUMPRODUCT((('Loan Tape'!$R$4:$R$303&lt;&gt;"")*('Loan Tape'!$V$4:$V$303&gt;=R206)*('Loan Tape'!$V$4:$V$303&lt;=S206)*('Loan Tape'!$E$4:$E$303='Deal Strat'!$C$12))*'Loan Tape'!$W$4:$W$303*'Loan Tape'!$R$4:$R$303)/E206,"-")</f>
        <v>0.702260580882753</v>
      </c>
      <c r="N206" s="69" t="n">
        <f aca="false">IFERROR(SUMPRODUCT((('Loan Tape'!$R$4:$R$303&lt;&gt;"")*('Loan Tape'!$V$4:$V$303&gt;=R206)*('Loan Tape'!$V$4:$V$303&lt;=S206)*('Loan Tape'!$E$4:$E$303='Deal Strat'!$C$12))*'Loan Tape'!$AI$4:$AI$303*'Loan Tape'!$R$4:$R$303)/E206,"-")</f>
        <v>0.0780140304410137</v>
      </c>
      <c r="O206" s="69" t="n">
        <f aca="false">IFERROR(SUMPRODUCT((('Loan Tape'!$R$4:$R$303&lt;&gt;"")*('Loan Tape'!$V$4:$V$303&gt;=R206)*('Loan Tape'!$V$4:$V$303&lt;=S206)*('Loan Tape'!$E$4:$E$303='Deal Strat'!$C$12))*'Loan Tape'!$AK$4:$AK$303*'Loan Tape'!$R$4:$R$303)/E206,"-")</f>
        <v>0.0889271701467627</v>
      </c>
      <c r="P206" s="69" t="n">
        <f aca="false">IFERROR(SUMPRODUCT((('Loan Tape'!$R$4:$R$303&lt;&gt;"")*('Loan Tape'!$V$4:$V$303&gt;=R206)*('Loan Tape'!$V$4:$V$303&lt;=S206)*('Loan Tape'!$E$4:$E$303='Deal Strat'!$C$12))*'Loan Tape'!$S$4:$S$303*'Loan Tape'!$R$4:$R$303)/E206,"-")</f>
        <v>0.82350631617776</v>
      </c>
      <c r="R206" s="91" t="n">
        <v>0.6</v>
      </c>
      <c r="S206" s="91" t="n">
        <v>0.6999</v>
      </c>
    </row>
    <row r="207" customFormat="false" ht="14.25" hidden="false" customHeight="false" outlineLevel="0" collapsed="false">
      <c r="B207" s="7" t="s">
        <v>460</v>
      </c>
      <c r="C207" s="68" t="n">
        <f aca="false">COUNTIFS('Loan Tape'!$V$4:$V$303,"&gt;="&amp;R207,'Loan Tape'!$V$4:$V$303,"&lt;="&amp;S207,'Loan Tape'!$R$4:$R$303,"&lt;&gt;",'Loan Tape'!$E$4:$E$303,'Deal Strat'!$C$12)</f>
        <v>0</v>
      </c>
      <c r="D207" s="68" t="n">
        <f aca="false">SUMPRODUCT((('Loan Tape'!$R$4:$R$303&lt;&gt;"")*('Loan Tape'!$V$4:$V$303&gt;=R207)*('Loan Tape'!$V$4:$V$303&lt;=S207)*('Loan Tape'!$E$4:$E$303='Deal Strat'!$C$12))*'Loan Tape'!$F$4:$F$303)</f>
        <v>0</v>
      </c>
      <c r="E207" s="84" t="n">
        <f aca="false">SUMIFS('Loan Tape'!$R$4:$R$303,'Loan Tape'!$V$4:$V$303,"&gt;="&amp;R207,'Loan Tape'!$V$4:$V$303,"&lt;="&amp;S207,'Loan Tape'!$R$4:$R$303,"&lt;&gt;",'Loan Tape'!$E$4:$E$303,'Deal Strat'!$C$12)</f>
        <v>0</v>
      </c>
      <c r="F207" s="69" t="n">
        <f aca="false">IFERROR(E207/C5,0)</f>
        <v>0</v>
      </c>
      <c r="G207" s="85" t="str">
        <f aca="false">IFERROR(SUMPRODUCT((('Loan Tape'!$R$4:$R$303&lt;&gt;"")*('Loan Tape'!$V$4:$V$303&gt;=R207)*('Loan Tape'!$V$4:$V$303&lt;=S207)*('Loan Tape'!$E$4:$E$303='Deal Strat'!$C$12))*'Loan Tape'!$U$4:$U$303*'Loan Tape'!$R$4:$R$303)/E207,"-")</f>
        <v>-</v>
      </c>
      <c r="H207" s="68" t="str">
        <f aca="false">IFERROR(SUMPRODUCT((('Loan Tape'!$R$4:$R$303&lt;&gt;"")*('Loan Tape'!$V$4:$V$303&gt;=R207)*('Loan Tape'!$V$4:$V$303&lt;=S207)*('Loan Tape'!$E$4:$E$303='Deal Strat'!$C$12))*'Loan Tape'!$AH$4:$AH$303*'Loan Tape'!$R$4:$R$303)/E207,"-")</f>
        <v>-</v>
      </c>
      <c r="I207" s="68" t="str">
        <f aca="false">IFERROR(SUMPRODUCT((('Loan Tape'!$R$4:$R$303&lt;&gt;"")*('Loan Tape'!$V$4:$V$303&gt;=R207)*('Loan Tape'!$V$4:$V$303&lt;=S207)*('Loan Tape'!$E$4:$E$303='Deal Strat'!$C$12))*(('Loan Tape'!$H$4:$H$303-$C$4)/30.4375)*'Loan Tape'!$R$4:$R$303)/E207,"-")</f>
        <v>-</v>
      </c>
      <c r="J207" s="69" t="str">
        <f aca="false">IFERROR(SUMPRODUCT((('Loan Tape'!$R$4:$R$303&lt;&gt;"")*('Loan Tape'!$V$4:$V$303&gt;=R207)*('Loan Tape'!$V$4:$V$303&lt;=S207)*('Loan Tape'!$E$4:$E$303='Deal Strat'!$C$12))*('Loan Tape'!$K$4:$K$303="Floating")*'Loan Tape'!$R$4:$R$303)/E207,"-")</f>
        <v>-</v>
      </c>
      <c r="K207" s="69" t="str">
        <f aca="false">IFERROR(SUMPRODUCT((('Loan Tape'!$R$4:$R$303&lt;&gt;"")*('Loan Tape'!$V$4:$V$303&gt;=R207)*('Loan Tape'!$V$4:$V$303&lt;=S207)*('Loan Tape'!$E$4:$E$303='Deal Strat'!$C$12))*'Loan Tape'!$T$4:$T$303*'Loan Tape'!$R$4:$R$303)/E207,"-")</f>
        <v>-</v>
      </c>
      <c r="L207" s="69" t="str">
        <f aca="false">IFERROR(SUMPRODUCT((('Loan Tape'!$R$4:$R$303&lt;&gt;"")*('Loan Tape'!$V$4:$V$303&gt;=R207)*('Loan Tape'!$V$4:$V$303&lt;=S207)*('Loan Tape'!$E$4:$E$303='Deal Strat'!$C$12))*'Loan Tape'!$V$4:$V$303*'Loan Tape'!$R$4:$R$303)/E207,"-")</f>
        <v>-</v>
      </c>
      <c r="M207" s="69" t="str">
        <f aca="false">IFERROR(SUMPRODUCT((('Loan Tape'!$R$4:$R$303&lt;&gt;"")*('Loan Tape'!$V$4:$V$303&gt;=R207)*('Loan Tape'!$V$4:$V$303&lt;=S207)*('Loan Tape'!$E$4:$E$303='Deal Strat'!$C$12))*'Loan Tape'!$W$4:$W$303*'Loan Tape'!$R$4:$R$303)/E207,"-")</f>
        <v>-</v>
      </c>
      <c r="N207" s="69" t="str">
        <f aca="false">IFERROR(SUMPRODUCT((('Loan Tape'!$R$4:$R$303&lt;&gt;"")*('Loan Tape'!$V$4:$V$303&gt;=R207)*('Loan Tape'!$V$4:$V$303&lt;=S207)*('Loan Tape'!$E$4:$E$303='Deal Strat'!$C$12))*'Loan Tape'!$AI$4:$AI$303*'Loan Tape'!$R$4:$R$303)/E207,"-")</f>
        <v>-</v>
      </c>
      <c r="O207" s="69" t="str">
        <f aca="false">IFERROR(SUMPRODUCT((('Loan Tape'!$R$4:$R$303&lt;&gt;"")*('Loan Tape'!$V$4:$V$303&gt;=R207)*('Loan Tape'!$V$4:$V$303&lt;=S207)*('Loan Tape'!$E$4:$E$303='Deal Strat'!$C$12))*'Loan Tape'!$AK$4:$AK$303*'Loan Tape'!$R$4:$R$303)/E207,"-")</f>
        <v>-</v>
      </c>
      <c r="P207" s="69" t="str">
        <f aca="false">IFERROR(SUMPRODUCT((('Loan Tape'!$R$4:$R$303&lt;&gt;"")*('Loan Tape'!$V$4:$V$303&gt;=R207)*('Loan Tape'!$V$4:$V$303&lt;=S207)*('Loan Tape'!$E$4:$E$303='Deal Strat'!$C$12))*'Loan Tape'!$S$4:$S$303*'Loan Tape'!$R$4:$R$303)/E207,"-")</f>
        <v>-</v>
      </c>
      <c r="R207" s="91" t="n">
        <v>0.7</v>
      </c>
      <c r="S207" s="91" t="n">
        <v>0.7999</v>
      </c>
    </row>
    <row r="208" customFormat="false" ht="14.25" hidden="false" customHeight="false" outlineLevel="0" collapsed="false">
      <c r="B208" s="7" t="s">
        <v>461</v>
      </c>
      <c r="C208" s="68" t="n">
        <f aca="false">COUNTIFS('Loan Tape'!$V$4:$V$303,"&gt;="&amp;R208,'Loan Tape'!$V$4:$V$303,"&lt;="&amp;S208,'Loan Tape'!$R$4:$R$303,"&lt;&gt;",'Loan Tape'!$E$4:$E$303,'Deal Strat'!$C$12)</f>
        <v>1</v>
      </c>
      <c r="D208" s="68" t="n">
        <f aca="false">SUMPRODUCT((('Loan Tape'!$R$4:$R$303&lt;&gt;"")*('Loan Tape'!$V$4:$V$303&gt;=R208)*('Loan Tape'!$V$4:$V$303&lt;=S208)*('Loan Tape'!$E$4:$E$303='Deal Strat'!$C$12))*'Loan Tape'!$F$4:$F$303)</f>
        <v>238</v>
      </c>
      <c r="E208" s="84" t="n">
        <f aca="false">SUMIFS('Loan Tape'!$R$4:$R$303,'Loan Tape'!$V$4:$V$303,"&gt;="&amp;R208,'Loan Tape'!$V$4:$V$303,"&lt;="&amp;S208,'Loan Tape'!$R$4:$R$303,"&lt;&gt;",'Loan Tape'!$E$4:$E$303,'Deal Strat'!$C$12)</f>
        <v>86385000</v>
      </c>
      <c r="F208" s="69" t="n">
        <f aca="false">IFERROR(E208/C5,0)</f>
        <v>0.231914133916083</v>
      </c>
      <c r="G208" s="85" t="n">
        <f aca="false">IFERROR(SUMPRODUCT((('Loan Tape'!$R$4:$R$303&lt;&gt;"")*('Loan Tape'!$V$4:$V$303&gt;=R208)*('Loan Tape'!$V$4:$V$303&lt;=S208)*('Loan Tape'!$E$4:$E$303='Deal Strat'!$C$12))*'Loan Tape'!$U$4:$U$303*'Loan Tape'!$R$4:$R$303)/E208,"-")</f>
        <v>1.35</v>
      </c>
      <c r="H208" s="68" t="n">
        <f aca="false">IFERROR(SUMPRODUCT((('Loan Tape'!$R$4:$R$303&lt;&gt;"")*('Loan Tape'!$V$4:$V$303&gt;=R208)*('Loan Tape'!$V$4:$V$303&lt;=S208)*('Loan Tape'!$E$4:$E$303='Deal Strat'!$C$12))*'Loan Tape'!$AH$4:$AH$303*'Loan Tape'!$R$4:$R$303)/E208,"-")</f>
        <v>102</v>
      </c>
      <c r="I208" s="68" t="n">
        <f aca="false">IFERROR(SUMPRODUCT((('Loan Tape'!$R$4:$R$303&lt;&gt;"")*('Loan Tape'!$V$4:$V$303&gt;=R208)*('Loan Tape'!$V$4:$V$303&lt;=S208)*('Loan Tape'!$E$4:$E$303='Deal Strat'!$C$12))*(('Loan Tape'!$H$4:$H$303-$C$4)/30.4375)*'Loan Tape'!$R$4:$R$303)/E208,"-")</f>
        <v>-17.9712525667351</v>
      </c>
      <c r="J208" s="69" t="n">
        <f aca="false">IFERROR(SUMPRODUCT((('Loan Tape'!$R$4:$R$303&lt;&gt;"")*('Loan Tape'!$V$4:$V$303&gt;=R208)*('Loan Tape'!$V$4:$V$303&lt;=S208)*('Loan Tape'!$E$4:$E$303='Deal Strat'!$C$12))*('Loan Tape'!$K$4:$K$303="Floating")*'Loan Tape'!$R$4:$R$303)/E208,"-")</f>
        <v>0</v>
      </c>
      <c r="K208" s="69" t="n">
        <f aca="false">IFERROR(SUMPRODUCT((('Loan Tape'!$R$4:$R$303&lt;&gt;"")*('Loan Tape'!$V$4:$V$303&gt;=R208)*('Loan Tape'!$V$4:$V$303&lt;=S208)*('Loan Tape'!$E$4:$E$303='Deal Strat'!$C$12))*'Loan Tape'!$T$4:$T$303*'Loan Tape'!$R$4:$R$303)/E208,"-")</f>
        <v>0.1077</v>
      </c>
      <c r="L208" s="69" t="n">
        <f aca="false">IFERROR(SUMPRODUCT((('Loan Tape'!$R$4:$R$303&lt;&gt;"")*('Loan Tape'!$V$4:$V$303&gt;=R208)*('Loan Tape'!$V$4:$V$303&lt;=S208)*('Loan Tape'!$E$4:$E$303='Deal Strat'!$C$12))*'Loan Tape'!$V$4:$V$303*'Loan Tape'!$R$4:$R$303)/E208,"-")</f>
        <v>0.888</v>
      </c>
      <c r="M208" s="69" t="n">
        <f aca="false">IFERROR(SUMPRODUCT((('Loan Tape'!$R$4:$R$303&lt;&gt;"")*('Loan Tape'!$V$4:$V$303&gt;=R208)*('Loan Tape'!$V$4:$V$303&lt;=S208)*('Loan Tape'!$E$4:$E$303='Deal Strat'!$C$12))*'Loan Tape'!$W$4:$W$303*'Loan Tape'!$R$4:$R$303)/E208,"-")</f>
        <v>0.945</v>
      </c>
      <c r="N208" s="69" t="n">
        <f aca="false">IFERROR(SUMPRODUCT((('Loan Tape'!$R$4:$R$303&lt;&gt;"")*('Loan Tape'!$V$4:$V$303&gt;=R208)*('Loan Tape'!$V$4:$V$303&lt;=S208)*('Loan Tape'!$E$4:$E$303='Deal Strat'!$C$12))*'Loan Tape'!$AI$4:$AI$303*'Loan Tape'!$R$4:$R$303)/E208,"-")</f>
        <v>0.0534</v>
      </c>
      <c r="O208" s="69" t="n">
        <f aca="false">IFERROR(SUMPRODUCT((('Loan Tape'!$R$4:$R$303&lt;&gt;"")*('Loan Tape'!$V$4:$V$303&gt;=R208)*('Loan Tape'!$V$4:$V$303&lt;=S208)*('Loan Tape'!$E$4:$E$303='Deal Strat'!$C$12))*'Loan Tape'!$AK$4:$AK$303*'Loan Tape'!$R$4:$R$303)/E208,"-")</f>
        <v>0.0534</v>
      </c>
      <c r="P208" s="69" t="n">
        <f aca="false">IFERROR(SUMPRODUCT((('Loan Tape'!$R$4:$R$303&lt;&gt;"")*('Loan Tape'!$V$4:$V$303&gt;=R208)*('Loan Tape'!$V$4:$V$303&lt;=S208)*('Loan Tape'!$E$4:$E$303='Deal Strat'!$C$12))*'Loan Tape'!$S$4:$S$303*'Loan Tape'!$R$4:$R$303)/E208,"-")</f>
        <v>0.828</v>
      </c>
      <c r="R208" s="91" t="n">
        <v>0.8</v>
      </c>
      <c r="S208" s="91" t="n">
        <v>1000000000000</v>
      </c>
    </row>
    <row r="209" customFormat="false" ht="14.25" hidden="false" customHeight="false" outlineLevel="0" collapsed="false">
      <c r="B209" s="86" t="s">
        <v>405</v>
      </c>
      <c r="C209" s="92" t="n">
        <f aca="false">SUM(C204:C208)</f>
        <v>5</v>
      </c>
      <c r="D209" s="92" t="n">
        <f aca="false">SUM(D204:D208)</f>
        <v>593</v>
      </c>
      <c r="E209" s="88" t="n">
        <f aca="false">SUM(E204:E208)</f>
        <v>372487000</v>
      </c>
      <c r="F209" s="89" t="n">
        <f aca="false">SUM(F204:F208)</f>
        <v>1</v>
      </c>
      <c r="G209" s="90" t="n">
        <f aca="false">IFERROR(SUMPRODUCT((('Loan Tape'!$R$4:$R$303&lt;&gt;"")*('Loan Tape'!$E$4:$E$303='Deal Strat'!$C$12))*'Loan Tape'!$U$4:$U$303*'Loan Tape'!$R$4:$R$303)/E209,"-")</f>
        <v>1.46286165691689</v>
      </c>
      <c r="H209" s="92" t="n">
        <f aca="false">IFERROR(SUMPRODUCT((('Loan Tape'!$R$4:$R$303&lt;&gt;"")*('Loan Tape'!$E$4:$E$303='Deal Strat'!$C$12))*'Loan Tape'!$AH$4:$AH$303*'Loan Tape'!$R$4:$R$303)/E209,"-")</f>
        <v>100.401133462376</v>
      </c>
      <c r="I209" s="92" t="n">
        <f aca="false">IFERROR(SUMPRODUCT((('Loan Tape'!$R$4:$R$303&lt;&gt;"")*('Loan Tape'!$E$4:$E$303='Deal Strat'!$C$12))*(('Loan Tape'!$H$4:$H$303-$C$4)/30.4375)*'Loan Tape'!$R$4:$R$303)/E209,"-")</f>
        <v>4.02239639370792</v>
      </c>
      <c r="J209" s="89" t="n">
        <f aca="false">IFERROR(SUMPRODUCT((('Loan Tape'!$R$4:$R$303&lt;&gt;"")*('Loan Tape'!$E$4:$E$303='Deal Strat'!$C$12))*('Loan Tape'!$K$4:$K$303="Floating")*'Loan Tape'!$R$4:$R$303)/E209,"-")</f>
        <v>0.64712593996569</v>
      </c>
      <c r="K209" s="89" t="n">
        <f aca="false">IFERROR(SUMPRODUCT((('Loan Tape'!$R$4:$R$303&lt;&gt;"")*('Loan Tape'!$E$4:$E$303='Deal Strat'!$C$12))*'Loan Tape'!$T$4:$T$303*'Loan Tape'!$R$4:$R$303)/E209,"-")</f>
        <v>0.0853727877751438</v>
      </c>
      <c r="L209" s="89" t="n">
        <f aca="false">IFERROR(SUMPRODUCT((('Loan Tape'!$R$4:$R$303&lt;&gt;"")*('Loan Tape'!$E$4:$E$303='Deal Strat'!$C$12))*'Loan Tape'!$V$4:$V$303*'Loan Tape'!$R$4:$R$303)/E209,"-")</f>
        <v>0.69021042345102</v>
      </c>
      <c r="M209" s="89" t="n">
        <f aca="false">IFERROR(SUMPRODUCT((('Loan Tape'!$R$4:$R$303&lt;&gt;"")*('Loan Tape'!$E$4:$E$303='Deal Strat'!$C$12))*'Loan Tape'!$W$4:$W$303*'Loan Tape'!$R$4:$R$303)/E209,"-")</f>
        <v>0.727922306013364</v>
      </c>
      <c r="N209" s="89" t="n">
        <f aca="false">IFERROR(SUMPRODUCT((('Loan Tape'!$R$4:$R$303&lt;&gt;"")*('Loan Tape'!$E$4:$E$303='Deal Strat'!$C$12))*'Loan Tape'!$AI$4:$AI$303*'Loan Tape'!$R$4:$R$303)/E209,"-")</f>
        <v>0.0680705466231036</v>
      </c>
      <c r="O209" s="89" t="n">
        <f aca="false">IFERROR(SUMPRODUCT((('Loan Tape'!$R$4:$R$303&lt;&gt;"")*('Loan Tape'!$E$4:$E$303='Deal Strat'!$C$12))*'Loan Tape'!$AK$4:$AK$303*'Loan Tape'!$R$4:$R$303)/E209,"-")</f>
        <v>0.077777435722589</v>
      </c>
      <c r="P209" s="89" t="n">
        <f aca="false">IFERROR(SUMPRODUCT((('Loan Tape'!$R$4:$R$303&lt;&gt;"")*('Loan Tape'!$E$4:$E$303='Deal Strat'!$C$12))*'Loan Tape'!$S$4:$S$303*'Loan Tape'!$R$4:$R$303)/E209,"-")</f>
        <v>0.841462496677736</v>
      </c>
    </row>
    <row r="211" customFormat="false" ht="19.5" hidden="false" customHeight="true" outlineLevel="0" collapsed="false">
      <c r="B211" s="5" t="s">
        <v>462</v>
      </c>
      <c r="C211" s="5"/>
      <c r="D211" s="5"/>
      <c r="E211" s="5"/>
      <c r="F211" s="5"/>
      <c r="G211" s="5"/>
      <c r="H211" s="5"/>
      <c r="I211" s="5"/>
      <c r="J211" s="5"/>
      <c r="K211" s="5"/>
      <c r="L211" s="5"/>
      <c r="M211" s="5"/>
      <c r="N211" s="5"/>
      <c r="O211" s="5"/>
      <c r="P211" s="5"/>
    </row>
    <row r="212" customFormat="false" ht="42" hidden="false" customHeight="true" outlineLevel="0" collapsed="false">
      <c r="B212" s="82" t="s">
        <v>423</v>
      </c>
      <c r="C212" s="83" t="s">
        <v>368</v>
      </c>
      <c r="D212" s="83" t="s">
        <v>153</v>
      </c>
      <c r="E212" s="83" t="s">
        <v>393</v>
      </c>
      <c r="F212" s="83" t="s">
        <v>394</v>
      </c>
      <c r="G212" s="83" t="s">
        <v>395</v>
      </c>
      <c r="H212" s="83" t="s">
        <v>396</v>
      </c>
      <c r="I212" s="83" t="s">
        <v>397</v>
      </c>
      <c r="J212" s="83" t="s">
        <v>398</v>
      </c>
      <c r="K212" s="83" t="s">
        <v>399</v>
      </c>
      <c r="L212" s="83" t="s">
        <v>400</v>
      </c>
      <c r="M212" s="83" t="s">
        <v>401</v>
      </c>
      <c r="N212" s="83" t="s">
        <v>402</v>
      </c>
      <c r="O212" s="83" t="s">
        <v>403</v>
      </c>
      <c r="P212" s="83" t="s">
        <v>365</v>
      </c>
    </row>
    <row r="213" customFormat="false" ht="14.25" hidden="false" customHeight="false" outlineLevel="0" collapsed="false">
      <c r="B213" s="7" t="s">
        <v>457</v>
      </c>
      <c r="C213" s="68" t="n">
        <f aca="false">COUNTIFS('Loan Tape'!$W$4:$W$303,"&gt;="&amp;R213,'Loan Tape'!$W$4:$W$303,"&lt;="&amp;S213,'Loan Tape'!$R$4:$R$303,"&lt;&gt;",'Loan Tape'!$E$4:$E$303,'Deal Strat'!$C$12)</f>
        <v>0</v>
      </c>
      <c r="D213" s="68" t="n">
        <f aca="false">SUMPRODUCT((('Loan Tape'!$R$4:$R$303&lt;&gt;"")*('Loan Tape'!$W$4:$W$303&gt;=R213)*('Loan Tape'!$W$4:$W$303&lt;=S213)*('Loan Tape'!$E$4:$E$303='Deal Strat'!$C$12))*'Loan Tape'!$F$4:$F$303)</f>
        <v>0</v>
      </c>
      <c r="E213" s="84" t="n">
        <f aca="false">SUMIFS('Loan Tape'!$R$4:$R$303,'Loan Tape'!$W$4:$W$303,"&gt;="&amp;R213,'Loan Tape'!$W$4:$W$303,"&lt;="&amp;S213,'Loan Tape'!$R$4:$R$303,"&lt;&gt;",'Loan Tape'!$E$4:$E$303,'Deal Strat'!$C$12)</f>
        <v>0</v>
      </c>
      <c r="F213" s="69" t="n">
        <f aca="false">IFERROR(E213/C5,0)</f>
        <v>0</v>
      </c>
      <c r="G213" s="85" t="str">
        <f aca="false">IFERROR(SUMPRODUCT((('Loan Tape'!$R$4:$R$303&lt;&gt;"")*('Loan Tape'!$W$4:$W$303&gt;=R213)*('Loan Tape'!$W$4:$W$303&lt;=S213)*('Loan Tape'!$E$4:$E$303='Deal Strat'!$C$12))*'Loan Tape'!$U$4:$U$303*'Loan Tape'!$R$4:$R$303)/E213,"-")</f>
        <v>-</v>
      </c>
      <c r="H213" s="68" t="str">
        <f aca="false">IFERROR(SUMPRODUCT((('Loan Tape'!$R$4:$R$303&lt;&gt;"")*('Loan Tape'!$W$4:$W$303&gt;=R213)*('Loan Tape'!$W$4:$W$303&lt;=S213)*('Loan Tape'!$E$4:$E$303='Deal Strat'!$C$12))*'Loan Tape'!$AH$4:$AH$303*'Loan Tape'!$R$4:$R$303)/E213,"-")</f>
        <v>-</v>
      </c>
      <c r="I213" s="68" t="str">
        <f aca="false">IFERROR(SUMPRODUCT((('Loan Tape'!$R$4:$R$303&lt;&gt;"")*('Loan Tape'!$W$4:$W$303&gt;=R213)*('Loan Tape'!$W$4:$W$303&lt;=S213)*('Loan Tape'!$E$4:$E$303='Deal Strat'!$C$12))*(('Loan Tape'!$H$4:$H$303-$C$4)/30.4375)*'Loan Tape'!$R$4:$R$303)/E213,"-")</f>
        <v>-</v>
      </c>
      <c r="J213" s="69" t="str">
        <f aca="false">IFERROR(SUMPRODUCT((('Loan Tape'!$R$4:$R$303&lt;&gt;"")*('Loan Tape'!$W$4:$W$303&gt;=R213)*('Loan Tape'!$W$4:$W$303&lt;=S213)*('Loan Tape'!$E$4:$E$303='Deal Strat'!$C$12))*('Loan Tape'!$K$4:$K$303="Floating")*'Loan Tape'!$R$4:$R$303)/E213,"-")</f>
        <v>-</v>
      </c>
      <c r="K213" s="69" t="str">
        <f aca="false">IFERROR(SUMPRODUCT((('Loan Tape'!$R$4:$R$303&lt;&gt;"")*('Loan Tape'!$W$4:$W$303&gt;=R213)*('Loan Tape'!$W$4:$W$303&lt;=S213)*('Loan Tape'!$E$4:$E$303='Deal Strat'!$C$12))*'Loan Tape'!$T$4:$T$303*'Loan Tape'!$R$4:$R$303)/E213,"-")</f>
        <v>-</v>
      </c>
      <c r="L213" s="69" t="str">
        <f aca="false">IFERROR(SUMPRODUCT((('Loan Tape'!$R$4:$R$303&lt;&gt;"")*('Loan Tape'!$W$4:$W$303&gt;=R213)*('Loan Tape'!$W$4:$W$303&lt;=S213)*('Loan Tape'!$E$4:$E$303='Deal Strat'!$C$12))*'Loan Tape'!$V$4:$V$303*'Loan Tape'!$R$4:$R$303)/E213,"-")</f>
        <v>-</v>
      </c>
      <c r="M213" s="69" t="str">
        <f aca="false">IFERROR(SUMPRODUCT((('Loan Tape'!$R$4:$R$303&lt;&gt;"")*('Loan Tape'!$W$4:$W$303&gt;=R213)*('Loan Tape'!$W$4:$W$303&lt;=S213)*('Loan Tape'!$E$4:$E$303='Deal Strat'!$C$12))*'Loan Tape'!$W$4:$W$303*'Loan Tape'!$R$4:$R$303)/E213,"-")</f>
        <v>-</v>
      </c>
      <c r="N213" s="69" t="str">
        <f aca="false">IFERROR(SUMPRODUCT((('Loan Tape'!$R$4:$R$303&lt;&gt;"")*('Loan Tape'!$W$4:$W$303&gt;=R213)*('Loan Tape'!$W$4:$W$303&lt;=S213)*('Loan Tape'!$E$4:$E$303='Deal Strat'!$C$12))*'Loan Tape'!$AI$4:$AI$303*'Loan Tape'!$R$4:$R$303)/E213,"-")</f>
        <v>-</v>
      </c>
      <c r="O213" s="69" t="str">
        <f aca="false">IFERROR(SUMPRODUCT((('Loan Tape'!$R$4:$R$303&lt;&gt;"")*('Loan Tape'!$W$4:$W$303&gt;=R213)*('Loan Tape'!$W$4:$W$303&lt;=S213)*('Loan Tape'!$E$4:$E$303='Deal Strat'!$C$12))*'Loan Tape'!$AK$4:$AK$303*'Loan Tape'!$R$4:$R$303)/E213,"-")</f>
        <v>-</v>
      </c>
      <c r="P213" s="69" t="str">
        <f aca="false">IFERROR(SUMPRODUCT((('Loan Tape'!$R$4:$R$303&lt;&gt;"")*('Loan Tape'!$W$4:$W$303&gt;=R213)*('Loan Tape'!$W$4:$W$303&lt;=S213)*('Loan Tape'!$E$4:$E$303='Deal Strat'!$C$12))*'Loan Tape'!$S$4:$S$303*'Loan Tape'!$R$4:$R$303)/E213,"-")</f>
        <v>-</v>
      </c>
      <c r="R213" s="91" t="n">
        <v>-1000000000000</v>
      </c>
      <c r="S213" s="91" t="n">
        <v>0.4999</v>
      </c>
    </row>
    <row r="214" customFormat="false" ht="14.25" hidden="false" customHeight="false" outlineLevel="0" collapsed="false">
      <c r="B214" s="7" t="s">
        <v>458</v>
      </c>
      <c r="C214" s="68" t="n">
        <f aca="false">COUNTIFS('Loan Tape'!$W$4:$W$303,"&gt;="&amp;R214,'Loan Tape'!$W$4:$W$303,"&lt;="&amp;S214,'Loan Tape'!$R$4:$R$303,"&lt;&gt;",'Loan Tape'!$E$4:$E$303,'Deal Strat'!$C$12)</f>
        <v>0</v>
      </c>
      <c r="D214" s="68" t="n">
        <f aca="false">SUMPRODUCT((('Loan Tape'!$R$4:$R$303&lt;&gt;"")*('Loan Tape'!$W$4:$W$303&gt;=R214)*('Loan Tape'!$W$4:$W$303&lt;=S214)*('Loan Tape'!$E$4:$E$303='Deal Strat'!$C$12))*'Loan Tape'!$F$4:$F$303)</f>
        <v>0</v>
      </c>
      <c r="E214" s="84" t="n">
        <f aca="false">SUMIFS('Loan Tape'!$R$4:$R$303,'Loan Tape'!$W$4:$W$303,"&gt;="&amp;R214,'Loan Tape'!$W$4:$W$303,"&lt;="&amp;S214,'Loan Tape'!$R$4:$R$303,"&lt;&gt;",'Loan Tape'!$E$4:$E$303,'Deal Strat'!$C$12)</f>
        <v>0</v>
      </c>
      <c r="F214" s="69" t="n">
        <f aca="false">IFERROR(E214/C5,0)</f>
        <v>0</v>
      </c>
      <c r="G214" s="85" t="str">
        <f aca="false">IFERROR(SUMPRODUCT((('Loan Tape'!$R$4:$R$303&lt;&gt;"")*('Loan Tape'!$W$4:$W$303&gt;=R214)*('Loan Tape'!$W$4:$W$303&lt;=S214)*('Loan Tape'!$E$4:$E$303='Deal Strat'!$C$12))*'Loan Tape'!$U$4:$U$303*'Loan Tape'!$R$4:$R$303)/E214,"-")</f>
        <v>-</v>
      </c>
      <c r="H214" s="68" t="str">
        <f aca="false">IFERROR(SUMPRODUCT((('Loan Tape'!$R$4:$R$303&lt;&gt;"")*('Loan Tape'!$W$4:$W$303&gt;=R214)*('Loan Tape'!$W$4:$W$303&lt;=S214)*('Loan Tape'!$E$4:$E$303='Deal Strat'!$C$12))*'Loan Tape'!$AH$4:$AH$303*'Loan Tape'!$R$4:$R$303)/E214,"-")</f>
        <v>-</v>
      </c>
      <c r="I214" s="68" t="str">
        <f aca="false">IFERROR(SUMPRODUCT((('Loan Tape'!$R$4:$R$303&lt;&gt;"")*('Loan Tape'!$W$4:$W$303&gt;=R214)*('Loan Tape'!$W$4:$W$303&lt;=S214)*('Loan Tape'!$E$4:$E$303='Deal Strat'!$C$12))*(('Loan Tape'!$H$4:$H$303-$C$4)/30.4375)*'Loan Tape'!$R$4:$R$303)/E214,"-")</f>
        <v>-</v>
      </c>
      <c r="J214" s="69" t="str">
        <f aca="false">IFERROR(SUMPRODUCT((('Loan Tape'!$R$4:$R$303&lt;&gt;"")*('Loan Tape'!$W$4:$W$303&gt;=R214)*('Loan Tape'!$W$4:$W$303&lt;=S214)*('Loan Tape'!$E$4:$E$303='Deal Strat'!$C$12))*('Loan Tape'!$K$4:$K$303="Floating")*'Loan Tape'!$R$4:$R$303)/E214,"-")</f>
        <v>-</v>
      </c>
      <c r="K214" s="69" t="str">
        <f aca="false">IFERROR(SUMPRODUCT((('Loan Tape'!$R$4:$R$303&lt;&gt;"")*('Loan Tape'!$W$4:$W$303&gt;=R214)*('Loan Tape'!$W$4:$W$303&lt;=S214)*('Loan Tape'!$E$4:$E$303='Deal Strat'!$C$12))*'Loan Tape'!$T$4:$T$303*'Loan Tape'!$R$4:$R$303)/E214,"-")</f>
        <v>-</v>
      </c>
      <c r="L214" s="69" t="str">
        <f aca="false">IFERROR(SUMPRODUCT((('Loan Tape'!$R$4:$R$303&lt;&gt;"")*('Loan Tape'!$W$4:$W$303&gt;=R214)*('Loan Tape'!$W$4:$W$303&lt;=S214)*('Loan Tape'!$E$4:$E$303='Deal Strat'!$C$12))*'Loan Tape'!$V$4:$V$303*'Loan Tape'!$R$4:$R$303)/E214,"-")</f>
        <v>-</v>
      </c>
      <c r="M214" s="69" t="str">
        <f aca="false">IFERROR(SUMPRODUCT((('Loan Tape'!$R$4:$R$303&lt;&gt;"")*('Loan Tape'!$W$4:$W$303&gt;=R214)*('Loan Tape'!$W$4:$W$303&lt;=S214)*('Loan Tape'!$E$4:$E$303='Deal Strat'!$C$12))*'Loan Tape'!$W$4:$W$303*'Loan Tape'!$R$4:$R$303)/E214,"-")</f>
        <v>-</v>
      </c>
      <c r="N214" s="69" t="str">
        <f aca="false">IFERROR(SUMPRODUCT((('Loan Tape'!$R$4:$R$303&lt;&gt;"")*('Loan Tape'!$W$4:$W$303&gt;=R214)*('Loan Tape'!$W$4:$W$303&lt;=S214)*('Loan Tape'!$E$4:$E$303='Deal Strat'!$C$12))*'Loan Tape'!$AI$4:$AI$303*'Loan Tape'!$R$4:$R$303)/E214,"-")</f>
        <v>-</v>
      </c>
      <c r="O214" s="69" t="str">
        <f aca="false">IFERROR(SUMPRODUCT((('Loan Tape'!$R$4:$R$303&lt;&gt;"")*('Loan Tape'!$W$4:$W$303&gt;=R214)*('Loan Tape'!$W$4:$W$303&lt;=S214)*('Loan Tape'!$E$4:$E$303='Deal Strat'!$C$12))*'Loan Tape'!$AK$4:$AK$303*'Loan Tape'!$R$4:$R$303)/E214,"-")</f>
        <v>-</v>
      </c>
      <c r="P214" s="69" t="str">
        <f aca="false">IFERROR(SUMPRODUCT((('Loan Tape'!$R$4:$R$303&lt;&gt;"")*('Loan Tape'!$W$4:$W$303&gt;=R214)*('Loan Tape'!$W$4:$W$303&lt;=S214)*('Loan Tape'!$E$4:$E$303='Deal Strat'!$C$12))*'Loan Tape'!$S$4:$S$303*'Loan Tape'!$R$4:$R$303)/E214,"-")</f>
        <v>-</v>
      </c>
      <c r="R214" s="91" t="n">
        <v>0.5</v>
      </c>
      <c r="S214" s="91" t="n">
        <v>0.5999</v>
      </c>
    </row>
    <row r="215" customFormat="false" ht="14.25" hidden="false" customHeight="false" outlineLevel="0" collapsed="false">
      <c r="B215" s="7" t="s">
        <v>459</v>
      </c>
      <c r="C215" s="68" t="n">
        <f aca="false">COUNTIFS('Loan Tape'!$W$4:$W$303,"&gt;="&amp;R215,'Loan Tape'!$W$4:$W$303,"&lt;="&amp;S215,'Loan Tape'!$R$4:$R$303,"&lt;&gt;",'Loan Tape'!$E$4:$E$303,'Deal Strat'!$C$12)</f>
        <v>3</v>
      </c>
      <c r="D215" s="68" t="n">
        <f aca="false">SUMPRODUCT((('Loan Tape'!$R$4:$R$303&lt;&gt;"")*('Loan Tape'!$W$4:$W$303&gt;=R215)*('Loan Tape'!$W$4:$W$303&lt;=S215)*('Loan Tape'!$E$4:$E$303='Deal Strat'!$C$12))*'Loan Tape'!$F$4:$F$303)</f>
        <v>184</v>
      </c>
      <c r="E215" s="84" t="n">
        <f aca="false">SUMIFS('Loan Tape'!$R$4:$R$303,'Loan Tape'!$W$4:$W$303,"&gt;="&amp;R215,'Loan Tape'!$W$4:$W$303,"&lt;="&amp;S215,'Loan Tape'!$R$4:$R$303,"&lt;&gt;",'Loan Tape'!$E$4:$E$303,'Deal Strat'!$C$12)</f>
        <v>241046000</v>
      </c>
      <c r="F215" s="69" t="n">
        <f aca="false">IFERROR(E215/C5,0)</f>
        <v>0.64712593996569</v>
      </c>
      <c r="G215" s="85" t="n">
        <f aca="false">IFERROR(SUMPRODUCT((('Loan Tape'!$R$4:$R$303&lt;&gt;"")*('Loan Tape'!$W$4:$W$303&gt;=R215)*('Loan Tape'!$W$4:$W$303&lt;=S215)*('Loan Tape'!$E$4:$E$303='Deal Strat'!$C$12))*'Loan Tape'!$U$4:$U$303*'Loan Tape'!$R$4:$R$303)/E215,"-")</f>
        <v>1.40664570248002</v>
      </c>
      <c r="H215" s="68" t="n">
        <f aca="false">IFERROR(SUMPRODUCT((('Loan Tape'!$R$4:$R$303&lt;&gt;"")*('Loan Tape'!$W$4:$W$303&gt;=R215)*('Loan Tape'!$W$4:$W$303&lt;=S215)*('Loan Tape'!$E$4:$E$303='Deal Strat'!$C$12))*'Loan Tape'!$AH$4:$AH$303*'Loan Tape'!$R$4:$R$303)/E215,"-")</f>
        <v>101.024630153581</v>
      </c>
      <c r="I215" s="68" t="n">
        <f aca="false">IFERROR(SUMPRODUCT((('Loan Tape'!$R$4:$R$303&lt;&gt;"")*('Loan Tape'!$W$4:$W$303&gt;=R215)*('Loan Tape'!$W$4:$W$303&lt;=S215)*('Loan Tape'!$E$4:$E$303='Deal Strat'!$C$12))*(('Loan Tape'!$H$4:$H$303-$C$4)/30.4375)*'Loan Tape'!$R$4:$R$303)/E215,"-")</f>
        <v>19.0061057811675</v>
      </c>
      <c r="J215" s="69" t="n">
        <f aca="false">IFERROR(SUMPRODUCT((('Loan Tape'!$R$4:$R$303&lt;&gt;"")*('Loan Tape'!$W$4:$W$303&gt;=R215)*('Loan Tape'!$W$4:$W$303&lt;=S215)*('Loan Tape'!$E$4:$E$303='Deal Strat'!$C$12))*('Loan Tape'!$K$4:$K$303="Floating")*'Loan Tape'!$R$4:$R$303)/E215,"-")</f>
        <v>1</v>
      </c>
      <c r="K215" s="69" t="n">
        <f aca="false">IFERROR(SUMPRODUCT((('Loan Tape'!$R$4:$R$303&lt;&gt;"")*('Loan Tape'!$W$4:$W$303&gt;=R215)*('Loan Tape'!$W$4:$W$303&lt;=S215)*('Loan Tape'!$E$4:$E$303='Deal Strat'!$C$12))*'Loan Tape'!$T$4:$T$303*'Loan Tape'!$R$4:$R$303)/E215,"-")</f>
        <v>0.0805250993586286</v>
      </c>
      <c r="L215" s="69" t="n">
        <f aca="false">IFERROR(SUMPRODUCT((('Loan Tape'!$R$4:$R$303&lt;&gt;"")*('Loan Tape'!$W$4:$W$303&gt;=R215)*('Loan Tape'!$W$4:$W$303&lt;=S215)*('Loan Tape'!$E$4:$E$303='Deal Strat'!$C$12))*'Loan Tape'!$V$4:$V$303*'Loan Tape'!$R$4:$R$303)/E215,"-")</f>
        <v>0.620301394754528</v>
      </c>
      <c r="M215" s="69" t="n">
        <f aca="false">IFERROR(SUMPRODUCT((('Loan Tape'!$R$4:$R$303&lt;&gt;"")*('Loan Tape'!$W$4:$W$303&gt;=R215)*('Loan Tape'!$W$4:$W$303&lt;=S215)*('Loan Tape'!$E$4:$E$303='Deal Strat'!$C$12))*'Loan Tape'!$W$4:$W$303*'Loan Tape'!$R$4:$R$303)/E215,"-")</f>
        <v>0.648804008363549</v>
      </c>
      <c r="N215" s="69" t="n">
        <f aca="false">IFERROR(SUMPRODUCT((('Loan Tape'!$R$4:$R$303&lt;&gt;"")*('Loan Tape'!$W$4:$W$303&gt;=R215)*('Loan Tape'!$W$4:$W$303&lt;=S215)*('Loan Tape'!$E$4:$E$303='Deal Strat'!$C$12))*'Loan Tape'!$AI$4:$AI$303*'Loan Tape'!$R$4:$R$303)/E215,"-")</f>
        <v>0.0739581303983472</v>
      </c>
      <c r="O215" s="69" t="n">
        <f aca="false">IFERROR(SUMPRODUCT((('Loan Tape'!$R$4:$R$303&lt;&gt;"")*('Loan Tape'!$W$4:$W$303&gt;=R215)*('Loan Tape'!$W$4:$W$303&lt;=S215)*('Loan Tape'!$E$4:$E$303='Deal Strat'!$C$12))*'Loan Tape'!$AK$4:$AK$303*'Loan Tape'!$R$4:$R$303)/E215,"-")</f>
        <v>0.0889581303983472</v>
      </c>
      <c r="P215" s="69" t="n">
        <f aca="false">IFERROR(SUMPRODUCT((('Loan Tape'!$R$4:$R$303&lt;&gt;"")*('Loan Tape'!$W$4:$W$303&gt;=R215)*('Loan Tape'!$W$4:$W$303&lt;=S215)*('Loan Tape'!$E$4:$E$303='Deal Strat'!$C$12))*'Loan Tape'!$S$4:$S$303*'Loan Tape'!$R$4:$R$303)/E215,"-")</f>
        <v>0.82992473220879</v>
      </c>
      <c r="R215" s="91" t="n">
        <v>0.6</v>
      </c>
      <c r="S215" s="91" t="n">
        <v>0.6999</v>
      </c>
    </row>
    <row r="216" customFormat="false" ht="14.25" hidden="false" customHeight="false" outlineLevel="0" collapsed="false">
      <c r="B216" s="7" t="s">
        <v>460</v>
      </c>
      <c r="C216" s="68" t="n">
        <f aca="false">COUNTIFS('Loan Tape'!$W$4:$W$303,"&gt;="&amp;R216,'Loan Tape'!$W$4:$W$303,"&lt;="&amp;S216,'Loan Tape'!$R$4:$R$303,"&lt;&gt;",'Loan Tape'!$E$4:$E$303,'Deal Strat'!$C$12)</f>
        <v>1</v>
      </c>
      <c r="D216" s="68" t="n">
        <f aca="false">SUMPRODUCT((('Loan Tape'!$R$4:$R$303&lt;&gt;"")*('Loan Tape'!$W$4:$W$303&gt;=R216)*('Loan Tape'!$W$4:$W$303&lt;=S216)*('Loan Tape'!$E$4:$E$303='Deal Strat'!$C$12))*'Loan Tape'!$F$4:$F$303)</f>
        <v>171</v>
      </c>
      <c r="E216" s="84" t="n">
        <f aca="false">SUMIFS('Loan Tape'!$R$4:$R$303,'Loan Tape'!$W$4:$W$303,"&gt;="&amp;R216,'Loan Tape'!$W$4:$W$303,"&lt;="&amp;S216,'Loan Tape'!$R$4:$R$303,"&lt;&gt;",'Loan Tape'!$E$4:$E$303,'Deal Strat'!$C$12)</f>
        <v>45056000</v>
      </c>
      <c r="F216" s="69" t="n">
        <f aca="false">IFERROR(E216/C5,0)</f>
        <v>0.120959926118227</v>
      </c>
      <c r="G216" s="85" t="n">
        <f aca="false">IFERROR(SUMPRODUCT((('Loan Tape'!$R$4:$R$303&lt;&gt;"")*('Loan Tape'!$W$4:$W$303&gt;=R216)*('Loan Tape'!$W$4:$W$303&lt;=S216)*('Loan Tape'!$E$4:$E$303='Deal Strat'!$C$12))*'Loan Tape'!$U$4:$U$303*'Loan Tape'!$R$4:$R$303)/E216,"-")</f>
        <v>1.98</v>
      </c>
      <c r="H216" s="68" t="n">
        <f aca="false">IFERROR(SUMPRODUCT((('Loan Tape'!$R$4:$R$303&lt;&gt;"")*('Loan Tape'!$W$4:$W$303&gt;=R216)*('Loan Tape'!$W$4:$W$303&lt;=S216)*('Loan Tape'!$E$4:$E$303='Deal Strat'!$C$12))*'Loan Tape'!$AH$4:$AH$303*'Loan Tape'!$R$4:$R$303)/E216,"-")</f>
        <v>94</v>
      </c>
      <c r="I216" s="68" t="n">
        <f aca="false">IFERROR(SUMPRODUCT((('Loan Tape'!$R$4:$R$303&lt;&gt;"")*('Loan Tape'!$W$4:$W$303&gt;=R216)*('Loan Tape'!$W$4:$W$303&lt;=S216)*('Loan Tape'!$E$4:$E$303='Deal Strat'!$C$12))*(('Loan Tape'!$H$4:$H$303-$C$4)/30.4375)*'Loan Tape'!$R$4:$R$303)/E216,"-")</f>
        <v>-33.9712525667351</v>
      </c>
      <c r="J216" s="69" t="n">
        <f aca="false">IFERROR(SUMPRODUCT((('Loan Tape'!$R$4:$R$303&lt;&gt;"")*('Loan Tape'!$W$4:$W$303&gt;=R216)*('Loan Tape'!$W$4:$W$303&lt;=S216)*('Loan Tape'!$E$4:$E$303='Deal Strat'!$C$12))*('Loan Tape'!$K$4:$K$303="Floating")*'Loan Tape'!$R$4:$R$303)/E216,"-")</f>
        <v>0</v>
      </c>
      <c r="K216" s="69" t="n">
        <f aca="false">IFERROR(SUMPRODUCT((('Loan Tape'!$R$4:$R$303&lt;&gt;"")*('Loan Tape'!$W$4:$W$303&gt;=R216)*('Loan Tape'!$W$4:$W$303&lt;=S216)*('Loan Tape'!$E$4:$E$303='Deal Strat'!$C$12))*'Loan Tape'!$T$4:$T$303*'Loan Tape'!$R$4:$R$303)/E216,"-")</f>
        <v>0.0685</v>
      </c>
      <c r="L216" s="69" t="n">
        <f aca="false">IFERROR(SUMPRODUCT((('Loan Tape'!$R$4:$R$303&lt;&gt;"")*('Loan Tape'!$W$4:$W$303&gt;=R216)*('Loan Tape'!$W$4:$W$303&lt;=S216)*('Loan Tape'!$E$4:$E$303='Deal Strat'!$C$12))*'Loan Tape'!$V$4:$V$303*'Loan Tape'!$R$4:$R$303)/E216,"-")</f>
        <v>0.685</v>
      </c>
      <c r="M216" s="69" t="n">
        <f aca="false">IFERROR(SUMPRODUCT((('Loan Tape'!$R$4:$R$303&lt;&gt;"")*('Loan Tape'!$W$4:$W$303&gt;=R216)*('Loan Tape'!$W$4:$W$303&lt;=S216)*('Loan Tape'!$E$4:$E$303='Deal Strat'!$C$12))*'Loan Tape'!$W$4:$W$303*'Loan Tape'!$R$4:$R$303)/E216,"-")</f>
        <v>0.735</v>
      </c>
      <c r="N216" s="69" t="n">
        <f aca="false">IFERROR(SUMPRODUCT((('Loan Tape'!$R$4:$R$303&lt;&gt;"")*('Loan Tape'!$W$4:$W$303&gt;=R216)*('Loan Tape'!$W$4:$W$303&lt;=S216)*('Loan Tape'!$E$4:$E$303='Deal Strat'!$C$12))*'Loan Tape'!$AI$4:$AI$303*'Loan Tape'!$R$4:$R$303)/E216,"-")</f>
        <v>0.0647</v>
      </c>
      <c r="O216" s="69" t="n">
        <f aca="false">IFERROR(SUMPRODUCT((('Loan Tape'!$R$4:$R$303&lt;&gt;"")*('Loan Tape'!$W$4:$W$303&gt;=R216)*('Loan Tape'!$W$4:$W$303&lt;=S216)*('Loan Tape'!$E$4:$E$303='Deal Strat'!$C$12))*'Loan Tape'!$AK$4:$AK$303*'Loan Tape'!$R$4:$R$303)/E216,"-")</f>
        <v>0.0647</v>
      </c>
      <c r="P216" s="69" t="n">
        <f aca="false">IFERROR(SUMPRODUCT((('Loan Tape'!$R$4:$R$303&lt;&gt;"")*('Loan Tape'!$W$4:$W$303&gt;=R216)*('Loan Tape'!$W$4:$W$303&lt;=S216)*('Loan Tape'!$E$4:$E$303='Deal Strat'!$C$12))*'Loan Tape'!$S$4:$S$303*'Loan Tape'!$R$4:$R$303)/E216,"-")</f>
        <v>0.929</v>
      </c>
      <c r="R216" s="91" t="n">
        <v>0.7</v>
      </c>
      <c r="S216" s="91" t="n">
        <v>0.7999</v>
      </c>
    </row>
    <row r="217" customFormat="false" ht="14.25" hidden="false" customHeight="false" outlineLevel="0" collapsed="false">
      <c r="B217" s="7" t="s">
        <v>461</v>
      </c>
      <c r="C217" s="68" t="n">
        <f aca="false">COUNTIFS('Loan Tape'!$W$4:$W$303,"&gt;="&amp;R217,'Loan Tape'!$W$4:$W$303,"&lt;="&amp;S217,'Loan Tape'!$R$4:$R$303,"&lt;&gt;",'Loan Tape'!$E$4:$E$303,'Deal Strat'!$C$12)</f>
        <v>1</v>
      </c>
      <c r="D217" s="68" t="n">
        <f aca="false">SUMPRODUCT((('Loan Tape'!$R$4:$R$303&lt;&gt;"")*('Loan Tape'!$W$4:$W$303&gt;=R217)*('Loan Tape'!$W$4:$W$303&lt;=S217)*('Loan Tape'!$E$4:$E$303='Deal Strat'!$C$12))*'Loan Tape'!$F$4:$F$303)</f>
        <v>238</v>
      </c>
      <c r="E217" s="84" t="n">
        <f aca="false">SUMIFS('Loan Tape'!$R$4:$R$303,'Loan Tape'!$W$4:$W$303,"&gt;="&amp;R217,'Loan Tape'!$W$4:$W$303,"&lt;="&amp;S217,'Loan Tape'!$R$4:$R$303,"&lt;&gt;",'Loan Tape'!$E$4:$E$303,'Deal Strat'!$C$12)</f>
        <v>86385000</v>
      </c>
      <c r="F217" s="69" t="n">
        <f aca="false">IFERROR(E217/C5,0)</f>
        <v>0.231914133916083</v>
      </c>
      <c r="G217" s="85" t="n">
        <f aca="false">IFERROR(SUMPRODUCT((('Loan Tape'!$R$4:$R$303&lt;&gt;"")*('Loan Tape'!$W$4:$W$303&gt;=R217)*('Loan Tape'!$W$4:$W$303&lt;=S217)*('Loan Tape'!$E$4:$E$303='Deal Strat'!$C$12))*'Loan Tape'!$U$4:$U$303*'Loan Tape'!$R$4:$R$303)/E217,"-")</f>
        <v>1.35</v>
      </c>
      <c r="H217" s="68" t="n">
        <f aca="false">IFERROR(SUMPRODUCT((('Loan Tape'!$R$4:$R$303&lt;&gt;"")*('Loan Tape'!$W$4:$W$303&gt;=R217)*('Loan Tape'!$W$4:$W$303&lt;=S217)*('Loan Tape'!$E$4:$E$303='Deal Strat'!$C$12))*'Loan Tape'!$AH$4:$AH$303*'Loan Tape'!$R$4:$R$303)/E217,"-")</f>
        <v>102</v>
      </c>
      <c r="I217" s="68" t="n">
        <f aca="false">IFERROR(SUMPRODUCT((('Loan Tape'!$R$4:$R$303&lt;&gt;"")*('Loan Tape'!$W$4:$W$303&gt;=R217)*('Loan Tape'!$W$4:$W$303&lt;=S217)*('Loan Tape'!$E$4:$E$303='Deal Strat'!$C$12))*(('Loan Tape'!$H$4:$H$303-$C$4)/30.4375)*'Loan Tape'!$R$4:$R$303)/E217,"-")</f>
        <v>-17.9712525667351</v>
      </c>
      <c r="J217" s="69" t="n">
        <f aca="false">IFERROR(SUMPRODUCT((('Loan Tape'!$R$4:$R$303&lt;&gt;"")*('Loan Tape'!$W$4:$W$303&gt;=R217)*('Loan Tape'!$W$4:$W$303&lt;=S217)*('Loan Tape'!$E$4:$E$303='Deal Strat'!$C$12))*('Loan Tape'!$K$4:$K$303="Floating")*'Loan Tape'!$R$4:$R$303)/E217,"-")</f>
        <v>0</v>
      </c>
      <c r="K217" s="69" t="n">
        <f aca="false">IFERROR(SUMPRODUCT((('Loan Tape'!$R$4:$R$303&lt;&gt;"")*('Loan Tape'!$W$4:$W$303&gt;=R217)*('Loan Tape'!$W$4:$W$303&lt;=S217)*('Loan Tape'!$E$4:$E$303='Deal Strat'!$C$12))*'Loan Tape'!$T$4:$T$303*'Loan Tape'!$R$4:$R$303)/E217,"-")</f>
        <v>0.1077</v>
      </c>
      <c r="L217" s="69" t="n">
        <f aca="false">IFERROR(SUMPRODUCT((('Loan Tape'!$R$4:$R$303&lt;&gt;"")*('Loan Tape'!$W$4:$W$303&gt;=R217)*('Loan Tape'!$W$4:$W$303&lt;=S217)*('Loan Tape'!$E$4:$E$303='Deal Strat'!$C$12))*'Loan Tape'!$V$4:$V$303*'Loan Tape'!$R$4:$R$303)/E217,"-")</f>
        <v>0.888</v>
      </c>
      <c r="M217" s="69" t="n">
        <f aca="false">IFERROR(SUMPRODUCT((('Loan Tape'!$R$4:$R$303&lt;&gt;"")*('Loan Tape'!$W$4:$W$303&gt;=R217)*('Loan Tape'!$W$4:$W$303&lt;=S217)*('Loan Tape'!$E$4:$E$303='Deal Strat'!$C$12))*'Loan Tape'!$W$4:$W$303*'Loan Tape'!$R$4:$R$303)/E217,"-")</f>
        <v>0.945</v>
      </c>
      <c r="N217" s="69" t="n">
        <f aca="false">IFERROR(SUMPRODUCT((('Loan Tape'!$R$4:$R$303&lt;&gt;"")*('Loan Tape'!$W$4:$W$303&gt;=R217)*('Loan Tape'!$W$4:$W$303&lt;=S217)*('Loan Tape'!$E$4:$E$303='Deal Strat'!$C$12))*'Loan Tape'!$AI$4:$AI$303*'Loan Tape'!$R$4:$R$303)/E217,"-")</f>
        <v>0.0534</v>
      </c>
      <c r="O217" s="69" t="n">
        <f aca="false">IFERROR(SUMPRODUCT((('Loan Tape'!$R$4:$R$303&lt;&gt;"")*('Loan Tape'!$W$4:$W$303&gt;=R217)*('Loan Tape'!$W$4:$W$303&lt;=S217)*('Loan Tape'!$E$4:$E$303='Deal Strat'!$C$12))*'Loan Tape'!$AK$4:$AK$303*'Loan Tape'!$R$4:$R$303)/E217,"-")</f>
        <v>0.0534</v>
      </c>
      <c r="P217" s="69" t="n">
        <f aca="false">IFERROR(SUMPRODUCT((('Loan Tape'!$R$4:$R$303&lt;&gt;"")*('Loan Tape'!$W$4:$W$303&gt;=R217)*('Loan Tape'!$W$4:$W$303&lt;=S217)*('Loan Tape'!$E$4:$E$303='Deal Strat'!$C$12))*'Loan Tape'!$S$4:$S$303*'Loan Tape'!$R$4:$R$303)/E217,"-")</f>
        <v>0.828</v>
      </c>
      <c r="R217" s="91" t="n">
        <v>0.8</v>
      </c>
      <c r="S217" s="91" t="n">
        <v>1000000000000</v>
      </c>
    </row>
    <row r="218" customFormat="false" ht="14.25" hidden="false" customHeight="false" outlineLevel="0" collapsed="false">
      <c r="B218" s="86" t="s">
        <v>405</v>
      </c>
      <c r="C218" s="92" t="n">
        <f aca="false">SUM(C213:C217)</f>
        <v>5</v>
      </c>
      <c r="D218" s="92" t="n">
        <f aca="false">SUM(D213:D217)</f>
        <v>593</v>
      </c>
      <c r="E218" s="88" t="n">
        <f aca="false">SUM(E213:E217)</f>
        <v>372487000</v>
      </c>
      <c r="F218" s="89" t="n">
        <f aca="false">SUM(F213:F217)</f>
        <v>1</v>
      </c>
      <c r="G218" s="90" t="n">
        <f aca="false">IFERROR(SUMPRODUCT((('Loan Tape'!$R$4:$R$303&lt;&gt;"")*('Loan Tape'!$E$4:$E$303='Deal Strat'!$C$12))*'Loan Tape'!$U$4:$U$303*'Loan Tape'!$R$4:$R$303)/E218,"-")</f>
        <v>1.46286165691689</v>
      </c>
      <c r="H218" s="92" t="n">
        <f aca="false">IFERROR(SUMPRODUCT((('Loan Tape'!$R$4:$R$303&lt;&gt;"")*('Loan Tape'!$E$4:$E$303='Deal Strat'!$C$12))*'Loan Tape'!$AH$4:$AH$303*'Loan Tape'!$R$4:$R$303)/E218,"-")</f>
        <v>100.401133462376</v>
      </c>
      <c r="I218" s="92" t="n">
        <f aca="false">IFERROR(SUMPRODUCT((('Loan Tape'!$R$4:$R$303&lt;&gt;"")*('Loan Tape'!$E$4:$E$303='Deal Strat'!$C$12))*(('Loan Tape'!$H$4:$H$303-$C$4)/30.4375)*'Loan Tape'!$R$4:$R$303)/E218,"-")</f>
        <v>4.02239639370792</v>
      </c>
      <c r="J218" s="89" t="n">
        <f aca="false">IFERROR(SUMPRODUCT((('Loan Tape'!$R$4:$R$303&lt;&gt;"")*('Loan Tape'!$E$4:$E$303='Deal Strat'!$C$12))*('Loan Tape'!$K$4:$K$303="Floating")*'Loan Tape'!$R$4:$R$303)/E218,"-")</f>
        <v>0.64712593996569</v>
      </c>
      <c r="K218" s="89" t="n">
        <f aca="false">IFERROR(SUMPRODUCT((('Loan Tape'!$R$4:$R$303&lt;&gt;"")*('Loan Tape'!$E$4:$E$303='Deal Strat'!$C$12))*'Loan Tape'!$T$4:$T$303*'Loan Tape'!$R$4:$R$303)/E218,"-")</f>
        <v>0.0853727877751438</v>
      </c>
      <c r="L218" s="89" t="n">
        <f aca="false">IFERROR(SUMPRODUCT((('Loan Tape'!$R$4:$R$303&lt;&gt;"")*('Loan Tape'!$E$4:$E$303='Deal Strat'!$C$12))*'Loan Tape'!$V$4:$V$303*'Loan Tape'!$R$4:$R$303)/E218,"-")</f>
        <v>0.69021042345102</v>
      </c>
      <c r="M218" s="89" t="n">
        <f aca="false">IFERROR(SUMPRODUCT((('Loan Tape'!$R$4:$R$303&lt;&gt;"")*('Loan Tape'!$E$4:$E$303='Deal Strat'!$C$12))*'Loan Tape'!$W$4:$W$303*'Loan Tape'!$R$4:$R$303)/E218,"-")</f>
        <v>0.727922306013364</v>
      </c>
      <c r="N218" s="89" t="n">
        <f aca="false">IFERROR(SUMPRODUCT((('Loan Tape'!$R$4:$R$303&lt;&gt;"")*('Loan Tape'!$E$4:$E$303='Deal Strat'!$C$12))*'Loan Tape'!$AI$4:$AI$303*'Loan Tape'!$R$4:$R$303)/E218,"-")</f>
        <v>0.0680705466231036</v>
      </c>
      <c r="O218" s="89" t="n">
        <f aca="false">IFERROR(SUMPRODUCT((('Loan Tape'!$R$4:$R$303&lt;&gt;"")*('Loan Tape'!$E$4:$E$303='Deal Strat'!$C$12))*'Loan Tape'!$AK$4:$AK$303*'Loan Tape'!$R$4:$R$303)/E218,"-")</f>
        <v>0.077777435722589</v>
      </c>
      <c r="P218" s="89" t="n">
        <f aca="false">IFERROR(SUMPRODUCT((('Loan Tape'!$R$4:$R$303&lt;&gt;"")*('Loan Tape'!$E$4:$E$303='Deal Strat'!$C$12))*'Loan Tape'!$S$4:$S$303*'Loan Tape'!$R$4:$R$303)/E218,"-")</f>
        <v>0.841462496677736</v>
      </c>
    </row>
    <row r="220" customFormat="false" ht="19.5" hidden="false" customHeight="true" outlineLevel="0" collapsed="false">
      <c r="B220" s="5" t="s">
        <v>463</v>
      </c>
      <c r="C220" s="5"/>
      <c r="D220" s="5"/>
      <c r="E220" s="5"/>
      <c r="F220" s="5"/>
      <c r="G220" s="5"/>
      <c r="H220" s="5"/>
      <c r="I220" s="5"/>
      <c r="J220" s="5"/>
      <c r="K220" s="5"/>
      <c r="L220" s="5"/>
      <c r="M220" s="5"/>
      <c r="N220" s="5"/>
      <c r="O220" s="5"/>
      <c r="P220" s="5"/>
    </row>
    <row r="221" customFormat="false" ht="42" hidden="false" customHeight="true" outlineLevel="0" collapsed="false">
      <c r="B221" s="82" t="s">
        <v>423</v>
      </c>
      <c r="C221" s="83" t="s">
        <v>368</v>
      </c>
      <c r="D221" s="83" t="s">
        <v>153</v>
      </c>
      <c r="E221" s="83" t="s">
        <v>393</v>
      </c>
      <c r="F221" s="83" t="s">
        <v>394</v>
      </c>
      <c r="G221" s="83" t="s">
        <v>395</v>
      </c>
      <c r="H221" s="83" t="s">
        <v>396</v>
      </c>
      <c r="I221" s="83" t="s">
        <v>397</v>
      </c>
      <c r="J221" s="83" t="s">
        <v>398</v>
      </c>
      <c r="K221" s="83" t="s">
        <v>399</v>
      </c>
      <c r="L221" s="83" t="s">
        <v>400</v>
      </c>
      <c r="M221" s="83" t="s">
        <v>401</v>
      </c>
      <c r="N221" s="83" t="s">
        <v>402</v>
      </c>
      <c r="O221" s="83" t="s">
        <v>403</v>
      </c>
      <c r="P221" s="83" t="s">
        <v>365</v>
      </c>
    </row>
    <row r="222" customFormat="false" ht="14.25" hidden="false" customHeight="false" outlineLevel="0" collapsed="false">
      <c r="B222" s="7" t="s">
        <v>464</v>
      </c>
      <c r="C222" s="68" t="n">
        <f aca="false">COUNTIFS('Loan Tape'!$S$4:$S$303,"&gt;="&amp;R222,'Loan Tape'!$S$4:$S$303,"&lt;="&amp;S222,'Loan Tape'!$R$4:$R$303,"&lt;&gt;",'Loan Tape'!$E$4:$E$303,'Deal Strat'!$C$12)</f>
        <v>0</v>
      </c>
      <c r="D222" s="68" t="n">
        <f aca="false">SUMPRODUCT((('Loan Tape'!$R$4:$R$303&lt;&gt;"")*('Loan Tape'!$S$4:$S$303&gt;=R222)*('Loan Tape'!$S$4:$S$303&lt;=S222)*('Loan Tape'!$E$4:$E$303='Deal Strat'!$C$12))*'Loan Tape'!$F$4:$F$303)</f>
        <v>0</v>
      </c>
      <c r="E222" s="84" t="n">
        <f aca="false">SUMIFS('Loan Tape'!$R$4:$R$303,'Loan Tape'!$S$4:$S$303,"&gt;="&amp;R222,'Loan Tape'!$S$4:$S$303,"&lt;="&amp;S222,'Loan Tape'!$R$4:$R$303,"&lt;&gt;",'Loan Tape'!$E$4:$E$303,'Deal Strat'!$C$12)</f>
        <v>0</v>
      </c>
      <c r="F222" s="69" t="n">
        <f aca="false">IFERROR(E222/C5,0)</f>
        <v>0</v>
      </c>
      <c r="G222" s="85" t="str">
        <f aca="false">IFERROR(SUMPRODUCT((('Loan Tape'!$R$4:$R$303&lt;&gt;"")*('Loan Tape'!$S$4:$S$303&gt;=R222)*('Loan Tape'!$S$4:$S$303&lt;=S222)*('Loan Tape'!$E$4:$E$303='Deal Strat'!$C$12))*'Loan Tape'!$U$4:$U$303*'Loan Tape'!$R$4:$R$303)/E222,"-")</f>
        <v>-</v>
      </c>
      <c r="H222" s="68" t="str">
        <f aca="false">IFERROR(SUMPRODUCT((('Loan Tape'!$R$4:$R$303&lt;&gt;"")*('Loan Tape'!$S$4:$S$303&gt;=R222)*('Loan Tape'!$S$4:$S$303&lt;=S222)*('Loan Tape'!$E$4:$E$303='Deal Strat'!$C$12))*'Loan Tape'!$AH$4:$AH$303*'Loan Tape'!$R$4:$R$303)/E222,"-")</f>
        <v>-</v>
      </c>
      <c r="I222" s="68" t="str">
        <f aca="false">IFERROR(SUMPRODUCT((('Loan Tape'!$R$4:$R$303&lt;&gt;"")*('Loan Tape'!$S$4:$S$303&gt;=R222)*('Loan Tape'!$S$4:$S$303&lt;=S222)*('Loan Tape'!$E$4:$E$303='Deal Strat'!$C$12))*(('Loan Tape'!$H$4:$H$303-$C$4)/30.4375)*'Loan Tape'!$R$4:$R$303)/E222,"-")</f>
        <v>-</v>
      </c>
      <c r="J222" s="69" t="str">
        <f aca="false">IFERROR(SUMPRODUCT((('Loan Tape'!$R$4:$R$303&lt;&gt;"")*('Loan Tape'!$S$4:$S$303&gt;=R222)*('Loan Tape'!$S$4:$S$303&lt;=S222)*('Loan Tape'!$E$4:$E$303='Deal Strat'!$C$12))*('Loan Tape'!$K$4:$K$303="Floating")*'Loan Tape'!$R$4:$R$303)/E222,"-")</f>
        <v>-</v>
      </c>
      <c r="K222" s="69" t="str">
        <f aca="false">IFERROR(SUMPRODUCT((('Loan Tape'!$R$4:$R$303&lt;&gt;"")*('Loan Tape'!$S$4:$S$303&gt;=R222)*('Loan Tape'!$S$4:$S$303&lt;=S222)*('Loan Tape'!$E$4:$E$303='Deal Strat'!$C$12))*'Loan Tape'!$T$4:$T$303*'Loan Tape'!$R$4:$R$303)/E222,"-")</f>
        <v>-</v>
      </c>
      <c r="L222" s="69" t="str">
        <f aca="false">IFERROR(SUMPRODUCT((('Loan Tape'!$R$4:$R$303&lt;&gt;"")*('Loan Tape'!$S$4:$S$303&gt;=R222)*('Loan Tape'!$S$4:$S$303&lt;=S222)*('Loan Tape'!$E$4:$E$303='Deal Strat'!$C$12))*'Loan Tape'!$V$4:$V$303*'Loan Tape'!$R$4:$R$303)/E222,"-")</f>
        <v>-</v>
      </c>
      <c r="M222" s="69" t="str">
        <f aca="false">IFERROR(SUMPRODUCT((('Loan Tape'!$R$4:$R$303&lt;&gt;"")*('Loan Tape'!$S$4:$S$303&gt;=R222)*('Loan Tape'!$S$4:$S$303&lt;=S222)*('Loan Tape'!$E$4:$E$303='Deal Strat'!$C$12))*'Loan Tape'!$W$4:$W$303*'Loan Tape'!$R$4:$R$303)/E222,"-")</f>
        <v>-</v>
      </c>
      <c r="N222" s="69" t="str">
        <f aca="false">IFERROR(SUMPRODUCT((('Loan Tape'!$R$4:$R$303&lt;&gt;"")*('Loan Tape'!$S$4:$S$303&gt;=R222)*('Loan Tape'!$S$4:$S$303&lt;=S222)*('Loan Tape'!$E$4:$E$303='Deal Strat'!$C$12))*'Loan Tape'!$AI$4:$AI$303*'Loan Tape'!$R$4:$R$303)/E222,"-")</f>
        <v>-</v>
      </c>
      <c r="O222" s="69" t="str">
        <f aca="false">IFERROR(SUMPRODUCT((('Loan Tape'!$R$4:$R$303&lt;&gt;"")*('Loan Tape'!$S$4:$S$303&gt;=R222)*('Loan Tape'!$S$4:$S$303&lt;=S222)*('Loan Tape'!$E$4:$E$303='Deal Strat'!$C$12))*'Loan Tape'!$AK$4:$AK$303*'Loan Tape'!$R$4:$R$303)/E222,"-")</f>
        <v>-</v>
      </c>
      <c r="P222" s="69" t="str">
        <f aca="false">IFERROR(SUMPRODUCT((('Loan Tape'!$R$4:$R$303&lt;&gt;"")*('Loan Tape'!$S$4:$S$303&gt;=R222)*('Loan Tape'!$S$4:$S$303&lt;=S222)*('Loan Tape'!$E$4:$E$303='Deal Strat'!$C$12))*'Loan Tape'!$S$4:$S$303*'Loan Tape'!$R$4:$R$303)/E222,"-")</f>
        <v>-</v>
      </c>
      <c r="R222" s="91" t="n">
        <v>-1000000000000</v>
      </c>
      <c r="S222" s="91" t="n">
        <v>0.6999</v>
      </c>
    </row>
    <row r="223" customFormat="false" ht="14.25" hidden="false" customHeight="false" outlineLevel="0" collapsed="false">
      <c r="B223" s="7" t="s">
        <v>460</v>
      </c>
      <c r="C223" s="68" t="n">
        <f aca="false">COUNTIFS('Loan Tape'!$S$4:$S$303,"&gt;="&amp;R223,'Loan Tape'!$S$4:$S$303,"&lt;="&amp;S223,'Loan Tape'!$R$4:$R$303,"&lt;&gt;",'Loan Tape'!$E$4:$E$303,'Deal Strat'!$C$12)</f>
        <v>1</v>
      </c>
      <c r="D223" s="68" t="n">
        <f aca="false">SUMPRODUCT((('Loan Tape'!$R$4:$R$303&lt;&gt;"")*('Loan Tape'!$S$4:$S$303&gt;=R223)*('Loan Tape'!$S$4:$S$303&lt;=S223)*('Loan Tape'!$E$4:$E$303='Deal Strat'!$C$12))*'Loan Tape'!$F$4:$F$303)</f>
        <v>0</v>
      </c>
      <c r="E223" s="84" t="n">
        <f aca="false">SUMIFS('Loan Tape'!$R$4:$R$303,'Loan Tape'!$S$4:$S$303,"&gt;="&amp;R223,'Loan Tape'!$S$4:$S$303,"&lt;="&amp;S223,'Loan Tape'!$R$4:$R$303,"&lt;&gt;",'Loan Tape'!$E$4:$E$303,'Deal Strat'!$C$12)</f>
        <v>120313000</v>
      </c>
      <c r="F223" s="69" t="n">
        <f aca="false">IFERROR(E223/C5,0)</f>
        <v>0.322999191918107</v>
      </c>
      <c r="G223" s="85" t="n">
        <f aca="false">IFERROR(SUMPRODUCT((('Loan Tape'!$R$4:$R$303&lt;&gt;"")*('Loan Tape'!$S$4:$S$303&gt;=R223)*('Loan Tape'!$S$4:$S$303&lt;=S223)*('Loan Tape'!$E$4:$E$303='Deal Strat'!$C$12))*'Loan Tape'!$U$4:$U$303*'Loan Tape'!$R$4:$R$303)/E223,"-")</f>
        <v>1.38</v>
      </c>
      <c r="H223" s="68" t="n">
        <f aca="false">IFERROR(SUMPRODUCT((('Loan Tape'!$R$4:$R$303&lt;&gt;"")*('Loan Tape'!$S$4:$S$303&gt;=R223)*('Loan Tape'!$S$4:$S$303&lt;=S223)*('Loan Tape'!$E$4:$E$303='Deal Strat'!$C$12))*'Loan Tape'!$AH$4:$AH$303*'Loan Tape'!$R$4:$R$303)/E223,"-")</f>
        <v>100</v>
      </c>
      <c r="I223" s="68" t="n">
        <f aca="false">IFERROR(SUMPRODUCT((('Loan Tape'!$R$4:$R$303&lt;&gt;"")*('Loan Tape'!$S$4:$S$303&gt;=R223)*('Loan Tape'!$S$4:$S$303&lt;=S223)*('Loan Tape'!$E$4:$E$303='Deal Strat'!$C$12))*(('Loan Tape'!$H$4:$H$303-$C$4)/30.4375)*'Loan Tape'!$R$4:$R$303)/E223,"-")</f>
        <v>20.041067761807</v>
      </c>
      <c r="J223" s="69" t="n">
        <f aca="false">IFERROR(SUMPRODUCT((('Loan Tape'!$R$4:$R$303&lt;&gt;"")*('Loan Tape'!$S$4:$S$303&gt;=R223)*('Loan Tape'!$S$4:$S$303&lt;=S223)*('Loan Tape'!$E$4:$E$303='Deal Strat'!$C$12))*('Loan Tape'!$K$4:$K$303="Floating")*'Loan Tape'!$R$4:$R$303)/E223,"-")</f>
        <v>1</v>
      </c>
      <c r="K223" s="69" t="n">
        <f aca="false">IFERROR(SUMPRODUCT((('Loan Tape'!$R$4:$R$303&lt;&gt;"")*('Loan Tape'!$S$4:$S$303&gt;=R223)*('Loan Tape'!$S$4:$S$303&lt;=S223)*('Loan Tape'!$E$4:$E$303='Deal Strat'!$C$12))*'Loan Tape'!$T$4:$T$303*'Loan Tape'!$R$4:$R$303)/E223,"-")</f>
        <v>0.0814</v>
      </c>
      <c r="L223" s="69" t="n">
        <f aca="false">IFERROR(SUMPRODUCT((('Loan Tape'!$R$4:$R$303&lt;&gt;"")*('Loan Tape'!$S$4:$S$303&gt;=R223)*('Loan Tape'!$S$4:$S$303&lt;=S223)*('Loan Tape'!$E$4:$E$303='Deal Strat'!$C$12))*'Loan Tape'!$V$4:$V$303*'Loan Tape'!$R$4:$R$303)/E223,"-")</f>
        <v>0.663</v>
      </c>
      <c r="M223" s="69" t="n">
        <f aca="false">IFERROR(SUMPRODUCT((('Loan Tape'!$R$4:$R$303&lt;&gt;"")*('Loan Tape'!$S$4:$S$303&gt;=R223)*('Loan Tape'!$S$4:$S$303&lt;=S223)*('Loan Tape'!$E$4:$E$303='Deal Strat'!$C$12))*'Loan Tape'!$W$4:$W$303*'Loan Tape'!$R$4:$R$303)/E223,"-")</f>
        <v>0.69</v>
      </c>
      <c r="N223" s="69" t="n">
        <f aca="false">IFERROR(SUMPRODUCT((('Loan Tape'!$R$4:$R$303&lt;&gt;"")*('Loan Tape'!$S$4:$S$303&gt;=R223)*('Loan Tape'!$S$4:$S$303&lt;=S223)*('Loan Tape'!$E$4:$E$303='Deal Strat'!$C$12))*'Loan Tape'!$AI$4:$AI$303*'Loan Tape'!$R$4:$R$303)/E223,"-")</f>
        <v>0.083</v>
      </c>
      <c r="O223" s="69" t="n">
        <f aca="false">IFERROR(SUMPRODUCT((('Loan Tape'!$R$4:$R$303&lt;&gt;"")*('Loan Tape'!$S$4:$S$303&gt;=R223)*('Loan Tape'!$S$4:$S$303&lt;=S223)*('Loan Tape'!$E$4:$E$303='Deal Strat'!$C$12))*'Loan Tape'!$AK$4:$AK$303*'Loan Tape'!$R$4:$R$303)/E223,"-")</f>
        <v>0.098</v>
      </c>
      <c r="P223" s="69" t="n">
        <f aca="false">IFERROR(SUMPRODUCT((('Loan Tape'!$R$4:$R$303&lt;&gt;"")*('Loan Tape'!$S$4:$S$303&gt;=R223)*('Loan Tape'!$S$4:$S$303&lt;=S223)*('Loan Tape'!$E$4:$E$303='Deal Strat'!$C$12))*'Loan Tape'!$S$4:$S$303*'Loan Tape'!$R$4:$R$303)/E223,"-")</f>
        <v>0.784</v>
      </c>
      <c r="R223" s="91" t="n">
        <v>0.7</v>
      </c>
      <c r="S223" s="91" t="n">
        <v>0.7999</v>
      </c>
    </row>
    <row r="224" customFormat="false" ht="14.25" hidden="false" customHeight="false" outlineLevel="0" collapsed="false">
      <c r="B224" s="7" t="s">
        <v>465</v>
      </c>
      <c r="C224" s="68" t="n">
        <f aca="false">COUNTIFS('Loan Tape'!$S$4:$S$303,"&gt;="&amp;R224,'Loan Tape'!$S$4:$S$303,"&lt;="&amp;S224,'Loan Tape'!$R$4:$R$303,"&lt;&gt;",'Loan Tape'!$E$4:$E$303,'Deal Strat'!$C$12)</f>
        <v>2</v>
      </c>
      <c r="D224" s="68" t="n">
        <f aca="false">SUMPRODUCT((('Loan Tape'!$R$4:$R$303&lt;&gt;"")*('Loan Tape'!$S$4:$S$303&gt;=R224)*('Loan Tape'!$S$4:$S$303&lt;=S224)*('Loan Tape'!$E$4:$E$303='Deal Strat'!$C$12))*'Loan Tape'!$F$4:$F$303)</f>
        <v>422</v>
      </c>
      <c r="E224" s="84" t="n">
        <f aca="false">SUMIFS('Loan Tape'!$R$4:$R$303,'Loan Tape'!$S$4:$S$303,"&gt;="&amp;R224,'Loan Tape'!$S$4:$S$303,"&lt;="&amp;S224,'Loan Tape'!$R$4:$R$303,"&lt;&gt;",'Loan Tape'!$E$4:$E$303,'Deal Strat'!$C$12)</f>
        <v>149510000</v>
      </c>
      <c r="F224" s="69" t="n">
        <f aca="false">IFERROR(E224/C5,0)</f>
        <v>0.401383135518824</v>
      </c>
      <c r="G224" s="85" t="n">
        <f aca="false">IFERROR(SUMPRODUCT((('Loan Tape'!$R$4:$R$303&lt;&gt;"")*('Loan Tape'!$S$4:$S$303&gt;=R224)*('Loan Tape'!$S$4:$S$303&lt;=S224)*('Loan Tape'!$E$4:$E$303='Deal Strat'!$C$12))*'Loan Tape'!$U$4:$U$303*'Loan Tape'!$R$4:$R$303)/E224,"-")</f>
        <v>1.41333188415491</v>
      </c>
      <c r="H224" s="68" t="n">
        <f aca="false">IFERROR(SUMPRODUCT((('Loan Tape'!$R$4:$R$303&lt;&gt;"")*('Loan Tape'!$S$4:$S$303&gt;=R224)*('Loan Tape'!$S$4:$S$303&lt;=S224)*('Loan Tape'!$E$4:$E$303='Deal Strat'!$C$12))*'Loan Tape'!$AH$4:$AH$303*'Loan Tape'!$R$4:$R$303)/E224,"-")</f>
        <v>102.422212561033</v>
      </c>
      <c r="I224" s="68" t="n">
        <f aca="false">IFERROR(SUMPRODUCT((('Loan Tape'!$R$4:$R$303&lt;&gt;"")*('Loan Tape'!$S$4:$S$303&gt;=R224)*('Loan Tape'!$S$4:$S$303&lt;=S224)*('Loan Tape'!$E$4:$E$303='Deal Strat'!$C$12))*(('Loan Tape'!$H$4:$H$303-$C$4)/30.4375)*'Loan Tape'!$R$4:$R$303)/E224,"-")</f>
        <v>-3.19814776181247</v>
      </c>
      <c r="J224" s="69" t="n">
        <f aca="false">IFERROR(SUMPRODUCT((('Loan Tape'!$R$4:$R$303&lt;&gt;"")*('Loan Tape'!$S$4:$S$303&gt;=R224)*('Loan Tape'!$S$4:$S$303&lt;=S224)*('Loan Tape'!$E$4:$E$303='Deal Strat'!$C$12))*('Loan Tape'!$K$4:$K$303="Floating")*'Loan Tape'!$R$4:$R$303)/E224,"-")</f>
        <v>0.422212561032707</v>
      </c>
      <c r="K224" s="69" t="n">
        <f aca="false">IFERROR(SUMPRODUCT((('Loan Tape'!$R$4:$R$303&lt;&gt;"")*('Loan Tape'!$S$4:$S$303&gt;=R224)*('Loan Tape'!$S$4:$S$303&lt;=S224)*('Loan Tape'!$E$4:$E$303='Deal Strat'!$C$12))*'Loan Tape'!$T$4:$T$303*'Loan Tape'!$R$4:$R$303)/E224,"-")</f>
        <v>0.0936825429737141</v>
      </c>
      <c r="L224" s="69" t="n">
        <f aca="false">IFERROR(SUMPRODUCT((('Loan Tape'!$R$4:$R$303&lt;&gt;"")*('Loan Tape'!$S$4:$S$303&gt;=R224)*('Loan Tape'!$S$4:$S$303&lt;=S224)*('Loan Tape'!$E$4:$E$303='Deal Strat'!$C$12))*'Loan Tape'!$V$4:$V$303*'Loan Tape'!$R$4:$R$303)/E224,"-")</f>
        <v>0.759225168885024</v>
      </c>
      <c r="M224" s="69" t="n">
        <f aca="false">IFERROR(SUMPRODUCT((('Loan Tape'!$R$4:$R$303&lt;&gt;"")*('Loan Tape'!$S$4:$S$303&gt;=R224)*('Loan Tape'!$S$4:$S$303&lt;=S224)*('Loan Tape'!$E$4:$E$303='Deal Strat'!$C$12))*'Loan Tape'!$W$4:$W$303*'Loan Tape'!$R$4:$R$303)/E224,"-")</f>
        <v>0.804825429737141</v>
      </c>
      <c r="N224" s="69" t="n">
        <f aca="false">IFERROR(SUMPRODUCT((('Loan Tape'!$R$4:$R$303&lt;&gt;"")*('Loan Tape'!$S$4:$S$303&gt;=R224)*('Loan Tape'!$S$4:$S$303&lt;=S224)*('Loan Tape'!$E$4:$E$303='Deal Strat'!$C$12))*'Loan Tape'!$AI$4:$AI$303*'Loan Tape'!$R$4:$R$303)/E224,"-")</f>
        <v>0.0582554444518761</v>
      </c>
      <c r="O224" s="69" t="n">
        <f aca="false">IFERROR(SUMPRODUCT((('Loan Tape'!$R$4:$R$303&lt;&gt;"")*('Loan Tape'!$S$4:$S$303&gt;=R224)*('Loan Tape'!$S$4:$S$303&lt;=S224)*('Loan Tape'!$E$4:$E$303='Deal Strat'!$C$12))*'Loan Tape'!$AK$4:$AK$303*'Loan Tape'!$R$4:$R$303)/E224,"-")</f>
        <v>0.0645886328673667</v>
      </c>
      <c r="P224" s="69" t="n">
        <f aca="false">IFERROR(SUMPRODUCT((('Loan Tape'!$R$4:$R$303&lt;&gt;"")*('Loan Tape'!$S$4:$S$303&gt;=R224)*('Loan Tape'!$S$4:$S$303&lt;=S224)*('Loan Tape'!$E$4:$E$303='Deal Strat'!$C$12))*'Loan Tape'!$S$4:$S$303*'Loan Tape'!$R$4:$R$303)/E224,"-")</f>
        <v>0.82335566182864</v>
      </c>
      <c r="R224" s="91" t="n">
        <v>0.8</v>
      </c>
      <c r="S224" s="91" t="n">
        <v>0.8999</v>
      </c>
    </row>
    <row r="225" customFormat="false" ht="14.25" hidden="false" customHeight="false" outlineLevel="0" collapsed="false">
      <c r="B225" s="7" t="s">
        <v>466</v>
      </c>
      <c r="C225" s="68" t="n">
        <f aca="false">COUNTIFS('Loan Tape'!$S$4:$S$303,"&gt;="&amp;R225,'Loan Tape'!$S$4:$S$303,"&lt;="&amp;S225,'Loan Tape'!$R$4:$R$303,"&lt;&gt;",'Loan Tape'!$E$4:$E$303,'Deal Strat'!$C$12)</f>
        <v>2</v>
      </c>
      <c r="D225" s="68" t="n">
        <f aca="false">SUMPRODUCT((('Loan Tape'!$R$4:$R$303&lt;&gt;"")*('Loan Tape'!$S$4:$S$303&gt;=R225)*('Loan Tape'!$S$4:$S$303&lt;=S225)*('Loan Tape'!$E$4:$E$303='Deal Strat'!$C$12))*'Loan Tape'!$F$4:$F$303)</f>
        <v>171</v>
      </c>
      <c r="E225" s="84" t="n">
        <f aca="false">SUMIFS('Loan Tape'!$R$4:$R$303,'Loan Tape'!$S$4:$S$303,"&gt;="&amp;R225,'Loan Tape'!$S$4:$S$303,"&lt;="&amp;S225,'Loan Tape'!$R$4:$R$303,"&lt;&gt;",'Loan Tape'!$E$4:$E$303,'Deal Strat'!$C$12)</f>
        <v>102664000</v>
      </c>
      <c r="F225" s="69" t="n">
        <f aca="false">IFERROR(E225/C5,0)</f>
        <v>0.275617672563069</v>
      </c>
      <c r="G225" s="85" t="n">
        <f aca="false">IFERROR(SUMPRODUCT((('Loan Tape'!$R$4:$R$303&lt;&gt;"")*('Loan Tape'!$S$4:$S$303&gt;=R225)*('Loan Tape'!$S$4:$S$303&lt;=S225)*('Loan Tape'!$E$4:$E$303='Deal Strat'!$C$12))*'Loan Tape'!$U$4:$U$303*'Loan Tape'!$R$4:$R$303)/E225,"-")</f>
        <v>1.63209849606483</v>
      </c>
      <c r="H225" s="68" t="n">
        <f aca="false">IFERROR(SUMPRODUCT((('Loan Tape'!$R$4:$R$303&lt;&gt;"")*('Loan Tape'!$S$4:$S$303&gt;=R225)*('Loan Tape'!$S$4:$S$303&lt;=S225)*('Loan Tape'!$E$4:$E$303='Deal Strat'!$C$12))*'Loan Tape'!$AH$4:$AH$303*'Loan Tape'!$R$4:$R$303)/E225,"-")</f>
        <v>97.9279202057196</v>
      </c>
      <c r="I225" s="68" t="n">
        <f aca="false">IFERROR(SUMPRODUCT((('Loan Tape'!$R$4:$R$303&lt;&gt;"")*('Loan Tape'!$S$4:$S$303&gt;=R225)*('Loan Tape'!$S$4:$S$303&lt;=S225)*('Loan Tape'!$E$4:$E$303='Deal Strat'!$C$12))*(('Loan Tape'!$H$4:$H$303-$C$4)/30.4375)*'Loan Tape'!$R$4:$R$303)/E225,"-")</f>
        <v>-4.23474195681661</v>
      </c>
      <c r="J225" s="69" t="n">
        <f aca="false">IFERROR(SUMPRODUCT((('Loan Tape'!$R$4:$R$303&lt;&gt;"")*('Loan Tape'!$S$4:$S$303&gt;=R225)*('Loan Tape'!$S$4:$S$303&lt;=S225)*('Loan Tape'!$E$4:$E$303='Deal Strat'!$C$12))*('Loan Tape'!$K$4:$K$303="Floating")*'Loan Tape'!$R$4:$R$303)/E225,"-")</f>
        <v>0.561131457959947</v>
      </c>
      <c r="K225" s="69" t="n">
        <f aca="false">IFERROR(SUMPRODUCT((('Loan Tape'!$R$4:$R$303&lt;&gt;"")*('Loan Tape'!$S$4:$S$303&gt;=R225)*('Loan Tape'!$S$4:$S$303&lt;=S225)*('Loan Tape'!$E$4:$E$303='Deal Strat'!$C$12))*'Loan Tape'!$T$4:$T$303*'Loan Tape'!$R$4:$R$303)/E225,"-")</f>
        <v>0.0779270084937271</v>
      </c>
      <c r="L225" s="69" t="n">
        <f aca="false">IFERROR(SUMPRODUCT((('Loan Tape'!$R$4:$R$303&lt;&gt;"")*('Loan Tape'!$S$4:$S$303&gt;=R225)*('Loan Tape'!$S$4:$S$303&lt;=S225)*('Loan Tape'!$E$4:$E$303='Deal Strat'!$C$12))*'Loan Tape'!$V$4:$V$303*'Loan Tape'!$R$4:$R$303)/E225,"-")</f>
        <v>0.621592145250526</v>
      </c>
      <c r="M225" s="69" t="n">
        <f aca="false">IFERROR(SUMPRODUCT((('Loan Tape'!$R$4:$R$303&lt;&gt;"")*('Loan Tape'!$S$4:$S$303&gt;=R225)*('Loan Tape'!$S$4:$S$303&lt;=S225)*('Loan Tape'!$E$4:$E$303='Deal Strat'!$C$12))*'Loan Tape'!$W$4:$W$303*'Loan Tape'!$R$4:$R$303)/E225,"-")</f>
        <v>0.660369516091327</v>
      </c>
      <c r="N225" s="69" t="n">
        <f aca="false">IFERROR(SUMPRODUCT((('Loan Tape'!$R$4:$R$303&lt;&gt;"")*('Loan Tape'!$S$4:$S$303&gt;=R225)*('Loan Tape'!$S$4:$S$303&lt;=S225)*('Loan Tape'!$E$4:$E$303='Deal Strat'!$C$12))*'Loan Tape'!$AI$4:$AI$303*'Loan Tape'!$R$4:$R$303)/E225,"-")</f>
        <v>0.064868339437388</v>
      </c>
      <c r="O225" s="69" t="n">
        <f aca="false">IFERROR(SUMPRODUCT((('Loan Tape'!$R$4:$R$303&lt;&gt;"")*('Loan Tape'!$S$4:$S$303&gt;=R225)*('Loan Tape'!$S$4:$S$303&lt;=S225)*('Loan Tape'!$E$4:$E$303='Deal Strat'!$C$12))*'Loan Tape'!$AK$4:$AK$303*'Loan Tape'!$R$4:$R$303)/E225,"-")</f>
        <v>0.0732853113067872</v>
      </c>
      <c r="P225" s="69" t="n">
        <f aca="false">IFERROR(SUMPRODUCT((('Loan Tape'!$R$4:$R$303&lt;&gt;"")*('Loan Tape'!$S$4:$S$303&gt;=R225)*('Loan Tape'!$S$4:$S$303&lt;=S225)*('Loan Tape'!$E$4:$E$303='Deal Strat'!$C$12))*'Loan Tape'!$S$4:$S$303*'Loan Tape'!$R$4:$R$303)/E225,"-")</f>
        <v>0.935172446037559</v>
      </c>
      <c r="R225" s="91" t="n">
        <v>0.9</v>
      </c>
      <c r="S225" s="91" t="n">
        <v>1000000000000</v>
      </c>
    </row>
    <row r="226" customFormat="false" ht="14.25" hidden="false" customHeight="false" outlineLevel="0" collapsed="false">
      <c r="B226" s="86" t="s">
        <v>405</v>
      </c>
      <c r="C226" s="92" t="n">
        <f aca="false">SUM(C222:C225)</f>
        <v>5</v>
      </c>
      <c r="D226" s="92" t="n">
        <f aca="false">SUM(D222:D225)</f>
        <v>593</v>
      </c>
      <c r="E226" s="88" t="n">
        <f aca="false">SUM(E222:E225)</f>
        <v>372487000</v>
      </c>
      <c r="F226" s="89" t="n">
        <f aca="false">SUM(F222:F225)</f>
        <v>1</v>
      </c>
      <c r="G226" s="90" t="n">
        <f aca="false">IFERROR(SUMPRODUCT((('Loan Tape'!$R$4:$R$303&lt;&gt;"")*('Loan Tape'!$E$4:$E$303='Deal Strat'!$C$12))*'Loan Tape'!$U$4:$U$303*'Loan Tape'!$R$4:$R$303)/E226,"-")</f>
        <v>1.46286165691689</v>
      </c>
      <c r="H226" s="92" t="n">
        <f aca="false">IFERROR(SUMPRODUCT((('Loan Tape'!$R$4:$R$303&lt;&gt;"")*('Loan Tape'!$E$4:$E$303='Deal Strat'!$C$12))*'Loan Tape'!$AH$4:$AH$303*'Loan Tape'!$R$4:$R$303)/E226,"-")</f>
        <v>100.401133462376</v>
      </c>
      <c r="I226" s="92" t="n">
        <f aca="false">IFERROR(SUMPRODUCT((('Loan Tape'!$R$4:$R$303&lt;&gt;"")*('Loan Tape'!$E$4:$E$303='Deal Strat'!$C$12))*(('Loan Tape'!$H$4:$H$303-$C$4)/30.4375)*'Loan Tape'!$R$4:$R$303)/E226,"-")</f>
        <v>4.02239639370792</v>
      </c>
      <c r="J226" s="89" t="n">
        <f aca="false">IFERROR(SUMPRODUCT((('Loan Tape'!$R$4:$R$303&lt;&gt;"")*('Loan Tape'!$E$4:$E$303='Deal Strat'!$C$12))*('Loan Tape'!$K$4:$K$303="Floating")*'Loan Tape'!$R$4:$R$303)/E226,"-")</f>
        <v>0.64712593996569</v>
      </c>
      <c r="K226" s="89" t="n">
        <f aca="false">IFERROR(SUMPRODUCT((('Loan Tape'!$R$4:$R$303&lt;&gt;"")*('Loan Tape'!$E$4:$E$303='Deal Strat'!$C$12))*'Loan Tape'!$T$4:$T$303*'Loan Tape'!$R$4:$R$303)/E226,"-")</f>
        <v>0.0853727877751438</v>
      </c>
      <c r="L226" s="89" t="n">
        <f aca="false">IFERROR(SUMPRODUCT((('Loan Tape'!$R$4:$R$303&lt;&gt;"")*('Loan Tape'!$E$4:$E$303='Deal Strat'!$C$12))*'Loan Tape'!$V$4:$V$303*'Loan Tape'!$R$4:$R$303)/E226,"-")</f>
        <v>0.69021042345102</v>
      </c>
      <c r="M226" s="89" t="n">
        <f aca="false">IFERROR(SUMPRODUCT((('Loan Tape'!$R$4:$R$303&lt;&gt;"")*('Loan Tape'!$E$4:$E$303='Deal Strat'!$C$12))*'Loan Tape'!$W$4:$W$303*'Loan Tape'!$R$4:$R$303)/E226,"-")</f>
        <v>0.727922306013364</v>
      </c>
      <c r="N226" s="89" t="n">
        <f aca="false">IFERROR(SUMPRODUCT((('Loan Tape'!$R$4:$R$303&lt;&gt;"")*('Loan Tape'!$E$4:$E$303='Deal Strat'!$C$12))*'Loan Tape'!$AI$4:$AI$303*'Loan Tape'!$R$4:$R$303)/E226,"-")</f>
        <v>0.0680705466231036</v>
      </c>
      <c r="O226" s="89" t="n">
        <f aca="false">IFERROR(SUMPRODUCT((('Loan Tape'!$R$4:$R$303&lt;&gt;"")*('Loan Tape'!$E$4:$E$303='Deal Strat'!$C$12))*'Loan Tape'!$AK$4:$AK$303*'Loan Tape'!$R$4:$R$303)/E226,"-")</f>
        <v>0.077777435722589</v>
      </c>
      <c r="P226" s="89" t="n">
        <f aca="false">IFERROR(SUMPRODUCT((('Loan Tape'!$R$4:$R$303&lt;&gt;"")*('Loan Tape'!$E$4:$E$303='Deal Strat'!$C$12))*'Loan Tape'!$S$4:$S$303*'Loan Tape'!$R$4:$R$303)/E226,"-")</f>
        <v>0.841462496677736</v>
      </c>
    </row>
    <row r="228" customFormat="false" ht="19.5" hidden="false" customHeight="true" outlineLevel="0" collapsed="false">
      <c r="B228" s="5" t="s">
        <v>467</v>
      </c>
      <c r="C228" s="5"/>
      <c r="D228" s="5"/>
      <c r="E228" s="5"/>
      <c r="F228" s="5"/>
      <c r="G228" s="5"/>
      <c r="H228" s="5"/>
      <c r="I228" s="5"/>
      <c r="J228" s="5"/>
      <c r="K228" s="5"/>
      <c r="L228" s="5"/>
      <c r="M228" s="5"/>
      <c r="N228" s="5"/>
      <c r="O228" s="5"/>
      <c r="P228" s="5"/>
    </row>
    <row r="229" customFormat="false" ht="42" hidden="false" customHeight="true" outlineLevel="0" collapsed="false">
      <c r="B229" s="82" t="s">
        <v>423</v>
      </c>
      <c r="C229" s="83" t="s">
        <v>368</v>
      </c>
      <c r="D229" s="83" t="s">
        <v>153</v>
      </c>
      <c r="E229" s="83" t="s">
        <v>393</v>
      </c>
      <c r="F229" s="83" t="s">
        <v>394</v>
      </c>
      <c r="G229" s="83" t="s">
        <v>395</v>
      </c>
      <c r="H229" s="83" t="s">
        <v>396</v>
      </c>
      <c r="I229" s="83" t="s">
        <v>397</v>
      </c>
      <c r="J229" s="83" t="s">
        <v>398</v>
      </c>
      <c r="K229" s="83" t="s">
        <v>399</v>
      </c>
      <c r="L229" s="83" t="s">
        <v>400</v>
      </c>
      <c r="M229" s="83" t="s">
        <v>401</v>
      </c>
      <c r="N229" s="83" t="s">
        <v>402</v>
      </c>
      <c r="O229" s="83" t="s">
        <v>403</v>
      </c>
      <c r="P229" s="83" t="s">
        <v>365</v>
      </c>
    </row>
    <row r="230" customFormat="false" ht="14.25" hidden="false" customHeight="false" outlineLevel="0" collapsed="false">
      <c r="B230" s="7" t="s">
        <v>468</v>
      </c>
      <c r="C230" s="68" t="n">
        <f aca="false">COUNTIFS('Loan Tape'!$I$4:$I$303,"&gt;="&amp;R230,'Loan Tape'!$I$4:$I$303,"&lt;="&amp;S230,'Loan Tape'!$R$4:$R$303,"&lt;&gt;",'Loan Tape'!$E$4:$E$303,'Deal Strat'!$C$12)</f>
        <v>0</v>
      </c>
      <c r="D230" s="68" t="n">
        <f aca="false">SUMPRODUCT((('Loan Tape'!$R$4:$R$303&lt;&gt;"")*('Loan Tape'!$I$4:$I$303&gt;=R230)*('Loan Tape'!$I$4:$I$303&lt;=S230)*('Loan Tape'!$E$4:$E$303='Deal Strat'!$C$12))*'Loan Tape'!$F$4:$F$303)</f>
        <v>0</v>
      </c>
      <c r="E230" s="84" t="n">
        <f aca="false">SUMIFS('Loan Tape'!$R$4:$R$303,'Loan Tape'!$I$4:$I$303,"&gt;="&amp;R230,'Loan Tape'!$I$4:$I$303,"&lt;="&amp;S230,'Loan Tape'!$R$4:$R$303,"&lt;&gt;",'Loan Tape'!$E$4:$E$303,'Deal Strat'!$C$12)</f>
        <v>0</v>
      </c>
      <c r="F230" s="69" t="n">
        <f aca="false">IFERROR(E230/C5,0)</f>
        <v>0</v>
      </c>
      <c r="G230" s="85" t="str">
        <f aca="false">IFERROR(SUMPRODUCT((('Loan Tape'!$R$4:$R$303&lt;&gt;"")*('Loan Tape'!$I$4:$I$303&gt;=R230)*('Loan Tape'!$I$4:$I$303&lt;=S230)*('Loan Tape'!$E$4:$E$303='Deal Strat'!$C$12))*'Loan Tape'!$U$4:$U$303*'Loan Tape'!$R$4:$R$303)/E230,"-")</f>
        <v>-</v>
      </c>
      <c r="H230" s="68" t="str">
        <f aca="false">IFERROR(SUMPRODUCT((('Loan Tape'!$R$4:$R$303&lt;&gt;"")*('Loan Tape'!$I$4:$I$303&gt;=R230)*('Loan Tape'!$I$4:$I$303&lt;=S230)*('Loan Tape'!$E$4:$E$303='Deal Strat'!$C$12))*'Loan Tape'!$AH$4:$AH$303*'Loan Tape'!$R$4:$R$303)/E230,"-")</f>
        <v>-</v>
      </c>
      <c r="I230" s="68" t="str">
        <f aca="false">IFERROR(SUMPRODUCT((('Loan Tape'!$R$4:$R$303&lt;&gt;"")*('Loan Tape'!$I$4:$I$303&gt;=R230)*('Loan Tape'!$I$4:$I$303&lt;=S230)*('Loan Tape'!$E$4:$E$303='Deal Strat'!$C$12))*(('Loan Tape'!$H$4:$H$303-$C$4)/30.4375)*'Loan Tape'!$R$4:$R$303)/E230,"-")</f>
        <v>-</v>
      </c>
      <c r="J230" s="69" t="str">
        <f aca="false">IFERROR(SUMPRODUCT((('Loan Tape'!$R$4:$R$303&lt;&gt;"")*('Loan Tape'!$I$4:$I$303&gt;=R230)*('Loan Tape'!$I$4:$I$303&lt;=S230)*('Loan Tape'!$E$4:$E$303='Deal Strat'!$C$12))*('Loan Tape'!$K$4:$K$303="Floating")*'Loan Tape'!$R$4:$R$303)/E230,"-")</f>
        <v>-</v>
      </c>
      <c r="K230" s="69" t="str">
        <f aca="false">IFERROR(SUMPRODUCT((('Loan Tape'!$R$4:$R$303&lt;&gt;"")*('Loan Tape'!$I$4:$I$303&gt;=R230)*('Loan Tape'!$I$4:$I$303&lt;=S230)*('Loan Tape'!$E$4:$E$303='Deal Strat'!$C$12))*'Loan Tape'!$T$4:$T$303*'Loan Tape'!$R$4:$R$303)/E230,"-")</f>
        <v>-</v>
      </c>
      <c r="L230" s="69" t="str">
        <f aca="false">IFERROR(SUMPRODUCT((('Loan Tape'!$R$4:$R$303&lt;&gt;"")*('Loan Tape'!$I$4:$I$303&gt;=R230)*('Loan Tape'!$I$4:$I$303&lt;=S230)*('Loan Tape'!$E$4:$E$303='Deal Strat'!$C$12))*'Loan Tape'!$V$4:$V$303*'Loan Tape'!$R$4:$R$303)/E230,"-")</f>
        <v>-</v>
      </c>
      <c r="M230" s="69" t="str">
        <f aca="false">IFERROR(SUMPRODUCT((('Loan Tape'!$R$4:$R$303&lt;&gt;"")*('Loan Tape'!$I$4:$I$303&gt;=R230)*('Loan Tape'!$I$4:$I$303&lt;=S230)*('Loan Tape'!$E$4:$E$303='Deal Strat'!$C$12))*'Loan Tape'!$W$4:$W$303*'Loan Tape'!$R$4:$R$303)/E230,"-")</f>
        <v>-</v>
      </c>
      <c r="N230" s="69" t="str">
        <f aca="false">IFERROR(SUMPRODUCT((('Loan Tape'!$R$4:$R$303&lt;&gt;"")*('Loan Tape'!$I$4:$I$303&gt;=R230)*('Loan Tape'!$I$4:$I$303&lt;=S230)*('Loan Tape'!$E$4:$E$303='Deal Strat'!$C$12))*'Loan Tape'!$AI$4:$AI$303*'Loan Tape'!$R$4:$R$303)/E230,"-")</f>
        <v>-</v>
      </c>
      <c r="O230" s="69" t="str">
        <f aca="false">IFERROR(SUMPRODUCT((('Loan Tape'!$R$4:$R$303&lt;&gt;"")*('Loan Tape'!$I$4:$I$303&gt;=R230)*('Loan Tape'!$I$4:$I$303&lt;=S230)*('Loan Tape'!$E$4:$E$303='Deal Strat'!$C$12))*'Loan Tape'!$AK$4:$AK$303*'Loan Tape'!$R$4:$R$303)/E230,"-")</f>
        <v>-</v>
      </c>
      <c r="P230" s="69" t="str">
        <f aca="false">IFERROR(SUMPRODUCT((('Loan Tape'!$R$4:$R$303&lt;&gt;"")*('Loan Tape'!$I$4:$I$303&gt;=R230)*('Loan Tape'!$I$4:$I$303&lt;=S230)*('Loan Tape'!$E$4:$E$303='Deal Strat'!$C$12))*'Loan Tape'!$S$4:$S$303*'Loan Tape'!$R$4:$R$303)/E230,"-")</f>
        <v>-</v>
      </c>
      <c r="R230" s="91" t="n">
        <v>-1000000000000</v>
      </c>
      <c r="S230" s="91" t="n">
        <v>59.99</v>
      </c>
    </row>
    <row r="231" customFormat="false" ht="14.25" hidden="false" customHeight="false" outlineLevel="0" collapsed="false">
      <c r="B231" s="7" t="s">
        <v>469</v>
      </c>
      <c r="C231" s="68" t="n">
        <f aca="false">COUNTIFS('Loan Tape'!$I$4:$I$303,"&gt;="&amp;R231,'Loan Tape'!$I$4:$I$303,"&lt;="&amp;S231,'Loan Tape'!$R$4:$R$303,"&lt;&gt;",'Loan Tape'!$E$4:$E$303,'Deal Strat'!$C$12)</f>
        <v>2</v>
      </c>
      <c r="D231" s="68" t="n">
        <f aca="false">SUMPRODUCT((('Loan Tape'!$R$4:$R$303&lt;&gt;"")*('Loan Tape'!$I$4:$I$303&gt;=R231)*('Loan Tape'!$I$4:$I$303&lt;=S231)*('Loan Tape'!$E$4:$E$303='Deal Strat'!$C$12))*'Loan Tape'!$F$4:$F$303)</f>
        <v>409</v>
      </c>
      <c r="E231" s="84" t="n">
        <f aca="false">SUMIFS('Loan Tape'!$R$4:$R$303,'Loan Tape'!$I$4:$I$303,"&gt;="&amp;R231,'Loan Tape'!$I$4:$I$303,"&lt;="&amp;S231,'Loan Tape'!$R$4:$R$303,"&lt;&gt;",'Loan Tape'!$E$4:$E$303,'Deal Strat'!$C$12)</f>
        <v>131441000</v>
      </c>
      <c r="F231" s="69" t="n">
        <f aca="false">IFERROR(E231/C5,0)</f>
        <v>0.35287406003431</v>
      </c>
      <c r="G231" s="85" t="n">
        <f aca="false">IFERROR(SUMPRODUCT((('Loan Tape'!$R$4:$R$303&lt;&gt;"")*('Loan Tape'!$I$4:$I$303&gt;=R231)*('Loan Tape'!$I$4:$I$303&lt;=S231)*('Loan Tape'!$E$4:$E$303='Deal Strat'!$C$12))*'Loan Tape'!$U$4:$U$303*'Loan Tape'!$R$4:$R$303)/E231,"-")</f>
        <v>1.56595453473422</v>
      </c>
      <c r="H231" s="68" t="n">
        <f aca="false">IFERROR(SUMPRODUCT((('Loan Tape'!$R$4:$R$303&lt;&gt;"")*('Loan Tape'!$I$4:$I$303&gt;=R231)*('Loan Tape'!$I$4:$I$303&lt;=S231)*('Loan Tape'!$E$4:$E$303='Deal Strat'!$C$12))*'Loan Tape'!$AH$4:$AH$303*'Loan Tape'!$R$4:$R$303)/E231,"-")</f>
        <v>99.2577201938512</v>
      </c>
      <c r="I231" s="68" t="n">
        <f aca="false">IFERROR(SUMPRODUCT((('Loan Tape'!$R$4:$R$303&lt;&gt;"")*('Loan Tape'!$I$4:$I$303&gt;=R231)*('Loan Tape'!$I$4:$I$303&lt;=S231)*('Loan Tape'!$E$4:$E$303='Deal Strat'!$C$12))*(('Loan Tape'!$H$4:$H$303-$C$4)/30.4375)*'Loan Tape'!$R$4:$R$303)/E231,"-")</f>
        <v>-23.4558121790326</v>
      </c>
      <c r="J231" s="69" t="n">
        <f aca="false">IFERROR(SUMPRODUCT((('Loan Tape'!$R$4:$R$303&lt;&gt;"")*('Loan Tape'!$I$4:$I$303&gt;=R231)*('Loan Tape'!$I$4:$I$303&lt;=S231)*('Loan Tape'!$E$4:$E$303='Deal Strat'!$C$12))*('Loan Tape'!$K$4:$K$303="Floating")*'Loan Tape'!$R$4:$R$303)/E231,"-")</f>
        <v>0</v>
      </c>
      <c r="K231" s="69" t="n">
        <f aca="false">IFERROR(SUMPRODUCT((('Loan Tape'!$R$4:$R$303&lt;&gt;"")*('Loan Tape'!$I$4:$I$303&gt;=R231)*('Loan Tape'!$I$4:$I$303&lt;=S231)*('Loan Tape'!$E$4:$E$303='Deal Strat'!$C$12))*'Loan Tape'!$T$4:$T$303*'Loan Tape'!$R$4:$R$303)/E231,"-")</f>
        <v>0.0942628289498711</v>
      </c>
      <c r="L231" s="69" t="n">
        <f aca="false">IFERROR(SUMPRODUCT((('Loan Tape'!$R$4:$R$303&lt;&gt;"")*('Loan Tape'!$I$4:$I$303&gt;=R231)*('Loan Tape'!$I$4:$I$303&lt;=S231)*('Loan Tape'!$E$4:$E$303='Deal Strat'!$C$12))*'Loan Tape'!$V$4:$V$303*'Loan Tape'!$R$4:$R$303)/E231,"-")</f>
        <v>0.818414649918975</v>
      </c>
      <c r="M231" s="69" t="n">
        <f aca="false">IFERROR(SUMPRODUCT((('Loan Tape'!$R$4:$R$303&lt;&gt;"")*('Loan Tape'!$I$4:$I$303&gt;=R231)*('Loan Tape'!$I$4:$I$303&lt;=S231)*('Loan Tape'!$E$4:$E$303='Deal Strat'!$C$12))*'Loan Tape'!$W$4:$W$303*'Loan Tape'!$R$4:$R$303)/E231,"-")</f>
        <v>0.873015155088595</v>
      </c>
      <c r="N231" s="69" t="n">
        <f aca="false">IFERROR(SUMPRODUCT((('Loan Tape'!$R$4:$R$303&lt;&gt;"")*('Loan Tape'!$I$4:$I$303&gt;=R231)*('Loan Tape'!$I$4:$I$303&lt;=S231)*('Loan Tape'!$E$4:$E$303='Deal Strat'!$C$12))*'Loan Tape'!$AI$4:$AI$303*'Loan Tape'!$R$4:$R$303)/E231,"-")</f>
        <v>0.0572734702261851</v>
      </c>
      <c r="O231" s="69" t="n">
        <f aca="false">IFERROR(SUMPRODUCT((('Loan Tape'!$R$4:$R$303&lt;&gt;"")*('Loan Tape'!$I$4:$I$303&gt;=R231)*('Loan Tape'!$I$4:$I$303&lt;=S231)*('Loan Tape'!$E$4:$E$303='Deal Strat'!$C$12))*'Loan Tape'!$AK$4:$AK$303*'Loan Tape'!$R$4:$R$303)/E231,"-")</f>
        <v>0.0572734702261851</v>
      </c>
      <c r="P231" s="69" t="n">
        <f aca="false">IFERROR(SUMPRODUCT((('Loan Tape'!$R$4:$R$303&lt;&gt;"")*('Loan Tape'!$I$4:$I$303&gt;=R231)*('Loan Tape'!$I$4:$I$303&lt;=S231)*('Loan Tape'!$E$4:$E$303='Deal Strat'!$C$12))*'Loan Tape'!$S$4:$S$303*'Loan Tape'!$R$4:$R$303)/E231,"-")</f>
        <v>0.862621282552628</v>
      </c>
      <c r="R231" s="91" t="n">
        <v>60</v>
      </c>
      <c r="S231" s="91" t="n">
        <v>84</v>
      </c>
    </row>
    <row r="232" customFormat="false" ht="14.25" hidden="false" customHeight="false" outlineLevel="0" collapsed="false">
      <c r="B232" s="7" t="s">
        <v>470</v>
      </c>
      <c r="C232" s="68" t="n">
        <f aca="false">COUNTIFS('Loan Tape'!$I$4:$I$303,"&gt;="&amp;R232,'Loan Tape'!$I$4:$I$303,"&lt;="&amp;S232,'Loan Tape'!$R$4:$R$303,"&lt;&gt;",'Loan Tape'!$E$4:$E$303,'Deal Strat'!$C$12)</f>
        <v>3</v>
      </c>
      <c r="D232" s="68" t="n">
        <f aca="false">SUMPRODUCT((('Loan Tape'!$R$4:$R$303&lt;&gt;"")*('Loan Tape'!$I$4:$I$303&gt;=R232)*('Loan Tape'!$I$4:$I$303&lt;=S232)*('Loan Tape'!$E$4:$E$303='Deal Strat'!$C$12))*'Loan Tape'!$F$4:$F$303)</f>
        <v>184</v>
      </c>
      <c r="E232" s="84" t="n">
        <f aca="false">SUMIFS('Loan Tape'!$R$4:$R$303,'Loan Tape'!$I$4:$I$303,"&gt;="&amp;R232,'Loan Tape'!$I$4:$I$303,"&lt;="&amp;S232,'Loan Tape'!$R$4:$R$303,"&lt;&gt;",'Loan Tape'!$E$4:$E$303,'Deal Strat'!$C$12)</f>
        <v>241046000</v>
      </c>
      <c r="F232" s="69" t="n">
        <f aca="false">IFERROR(E232/C5,0)</f>
        <v>0.64712593996569</v>
      </c>
      <c r="G232" s="85" t="n">
        <f aca="false">IFERROR(SUMPRODUCT((('Loan Tape'!$R$4:$R$303&lt;&gt;"")*('Loan Tape'!$I$4:$I$303&gt;=R232)*('Loan Tape'!$I$4:$I$303&lt;=S232)*('Loan Tape'!$E$4:$E$303='Deal Strat'!$C$12))*'Loan Tape'!$U$4:$U$303*'Loan Tape'!$R$4:$R$303)/E232,"-")</f>
        <v>1.40664570248002</v>
      </c>
      <c r="H232" s="68" t="n">
        <f aca="false">IFERROR(SUMPRODUCT((('Loan Tape'!$R$4:$R$303&lt;&gt;"")*('Loan Tape'!$I$4:$I$303&gt;=R232)*('Loan Tape'!$I$4:$I$303&lt;=S232)*('Loan Tape'!$E$4:$E$303='Deal Strat'!$C$12))*'Loan Tape'!$AH$4:$AH$303*'Loan Tape'!$R$4:$R$303)/E232,"-")</f>
        <v>101.024630153581</v>
      </c>
      <c r="I232" s="68" t="n">
        <f aca="false">IFERROR(SUMPRODUCT((('Loan Tape'!$R$4:$R$303&lt;&gt;"")*('Loan Tape'!$I$4:$I$303&gt;=R232)*('Loan Tape'!$I$4:$I$303&lt;=S232)*('Loan Tape'!$E$4:$E$303='Deal Strat'!$C$12))*(('Loan Tape'!$H$4:$H$303-$C$4)/30.4375)*'Loan Tape'!$R$4:$R$303)/E232,"-")</f>
        <v>19.0061057811675</v>
      </c>
      <c r="J232" s="69" t="n">
        <f aca="false">IFERROR(SUMPRODUCT((('Loan Tape'!$R$4:$R$303&lt;&gt;"")*('Loan Tape'!$I$4:$I$303&gt;=R232)*('Loan Tape'!$I$4:$I$303&lt;=S232)*('Loan Tape'!$E$4:$E$303='Deal Strat'!$C$12))*('Loan Tape'!$K$4:$K$303="Floating")*'Loan Tape'!$R$4:$R$303)/E232,"-")</f>
        <v>1</v>
      </c>
      <c r="K232" s="69" t="n">
        <f aca="false">IFERROR(SUMPRODUCT((('Loan Tape'!$R$4:$R$303&lt;&gt;"")*('Loan Tape'!$I$4:$I$303&gt;=R232)*('Loan Tape'!$I$4:$I$303&lt;=S232)*('Loan Tape'!$E$4:$E$303='Deal Strat'!$C$12))*'Loan Tape'!$T$4:$T$303*'Loan Tape'!$R$4:$R$303)/E232,"-")</f>
        <v>0.0805250993586286</v>
      </c>
      <c r="L232" s="69" t="n">
        <f aca="false">IFERROR(SUMPRODUCT((('Loan Tape'!$R$4:$R$303&lt;&gt;"")*('Loan Tape'!$I$4:$I$303&gt;=R232)*('Loan Tape'!$I$4:$I$303&lt;=S232)*('Loan Tape'!$E$4:$E$303='Deal Strat'!$C$12))*'Loan Tape'!$V$4:$V$303*'Loan Tape'!$R$4:$R$303)/E232,"-")</f>
        <v>0.620301394754528</v>
      </c>
      <c r="M232" s="69" t="n">
        <f aca="false">IFERROR(SUMPRODUCT((('Loan Tape'!$R$4:$R$303&lt;&gt;"")*('Loan Tape'!$I$4:$I$303&gt;=R232)*('Loan Tape'!$I$4:$I$303&lt;=S232)*('Loan Tape'!$E$4:$E$303='Deal Strat'!$C$12))*'Loan Tape'!$W$4:$W$303*'Loan Tape'!$R$4:$R$303)/E232,"-")</f>
        <v>0.648804008363549</v>
      </c>
      <c r="N232" s="69" t="n">
        <f aca="false">IFERROR(SUMPRODUCT((('Loan Tape'!$R$4:$R$303&lt;&gt;"")*('Loan Tape'!$I$4:$I$303&gt;=R232)*('Loan Tape'!$I$4:$I$303&lt;=S232)*('Loan Tape'!$E$4:$E$303='Deal Strat'!$C$12))*'Loan Tape'!$AI$4:$AI$303*'Loan Tape'!$R$4:$R$303)/E232,"-")</f>
        <v>0.0739581303983472</v>
      </c>
      <c r="O232" s="69" t="n">
        <f aca="false">IFERROR(SUMPRODUCT((('Loan Tape'!$R$4:$R$303&lt;&gt;"")*('Loan Tape'!$I$4:$I$303&gt;=R232)*('Loan Tape'!$I$4:$I$303&lt;=S232)*('Loan Tape'!$E$4:$E$303='Deal Strat'!$C$12))*'Loan Tape'!$AK$4:$AK$303*'Loan Tape'!$R$4:$R$303)/E232,"-")</f>
        <v>0.0889581303983472</v>
      </c>
      <c r="P232" s="69" t="n">
        <f aca="false">IFERROR(SUMPRODUCT((('Loan Tape'!$R$4:$R$303&lt;&gt;"")*('Loan Tape'!$I$4:$I$303&gt;=R232)*('Loan Tape'!$I$4:$I$303&lt;=S232)*('Loan Tape'!$E$4:$E$303='Deal Strat'!$C$12))*'Loan Tape'!$S$4:$S$303*'Loan Tape'!$R$4:$R$303)/E232,"-")</f>
        <v>0.82992473220879</v>
      </c>
      <c r="R232" s="91" t="n">
        <v>85</v>
      </c>
      <c r="S232" s="91" t="n">
        <v>120</v>
      </c>
    </row>
    <row r="233" customFormat="false" ht="14.25" hidden="false" customHeight="false" outlineLevel="0" collapsed="false">
      <c r="B233" s="7" t="s">
        <v>471</v>
      </c>
      <c r="C233" s="68" t="n">
        <f aca="false">COUNTIFS('Loan Tape'!$I$4:$I$303,"&gt;="&amp;R233,'Loan Tape'!$I$4:$I$303,"&lt;="&amp;S233,'Loan Tape'!$R$4:$R$303,"&lt;&gt;",'Loan Tape'!$E$4:$E$303,'Deal Strat'!$C$12)</f>
        <v>0</v>
      </c>
      <c r="D233" s="68" t="n">
        <f aca="false">SUMPRODUCT((('Loan Tape'!$R$4:$R$303&lt;&gt;"")*('Loan Tape'!$I$4:$I$303&gt;=R233)*('Loan Tape'!$I$4:$I$303&lt;=S233)*('Loan Tape'!$E$4:$E$303='Deal Strat'!$C$12))*'Loan Tape'!$F$4:$F$303)</f>
        <v>0</v>
      </c>
      <c r="E233" s="84" t="n">
        <f aca="false">SUMIFS('Loan Tape'!$R$4:$R$303,'Loan Tape'!$I$4:$I$303,"&gt;="&amp;R233,'Loan Tape'!$I$4:$I$303,"&lt;="&amp;S233,'Loan Tape'!$R$4:$R$303,"&lt;&gt;",'Loan Tape'!$E$4:$E$303,'Deal Strat'!$C$12)</f>
        <v>0</v>
      </c>
      <c r="F233" s="69" t="n">
        <f aca="false">IFERROR(E233/C5,0)</f>
        <v>0</v>
      </c>
      <c r="G233" s="85" t="str">
        <f aca="false">IFERROR(SUMPRODUCT((('Loan Tape'!$R$4:$R$303&lt;&gt;"")*('Loan Tape'!$I$4:$I$303&gt;=R233)*('Loan Tape'!$I$4:$I$303&lt;=S233)*('Loan Tape'!$E$4:$E$303='Deal Strat'!$C$12))*'Loan Tape'!$U$4:$U$303*'Loan Tape'!$R$4:$R$303)/E233,"-")</f>
        <v>-</v>
      </c>
      <c r="H233" s="68" t="str">
        <f aca="false">IFERROR(SUMPRODUCT((('Loan Tape'!$R$4:$R$303&lt;&gt;"")*('Loan Tape'!$I$4:$I$303&gt;=R233)*('Loan Tape'!$I$4:$I$303&lt;=S233)*('Loan Tape'!$E$4:$E$303='Deal Strat'!$C$12))*'Loan Tape'!$AH$4:$AH$303*'Loan Tape'!$R$4:$R$303)/E233,"-")</f>
        <v>-</v>
      </c>
      <c r="I233" s="68" t="str">
        <f aca="false">IFERROR(SUMPRODUCT((('Loan Tape'!$R$4:$R$303&lt;&gt;"")*('Loan Tape'!$I$4:$I$303&gt;=R233)*('Loan Tape'!$I$4:$I$303&lt;=S233)*('Loan Tape'!$E$4:$E$303='Deal Strat'!$C$12))*(('Loan Tape'!$H$4:$H$303-$C$4)/30.4375)*'Loan Tape'!$R$4:$R$303)/E233,"-")</f>
        <v>-</v>
      </c>
      <c r="J233" s="69" t="str">
        <f aca="false">IFERROR(SUMPRODUCT((('Loan Tape'!$R$4:$R$303&lt;&gt;"")*('Loan Tape'!$I$4:$I$303&gt;=R233)*('Loan Tape'!$I$4:$I$303&lt;=S233)*('Loan Tape'!$E$4:$E$303='Deal Strat'!$C$12))*('Loan Tape'!$K$4:$K$303="Floating")*'Loan Tape'!$R$4:$R$303)/E233,"-")</f>
        <v>-</v>
      </c>
      <c r="K233" s="69" t="str">
        <f aca="false">IFERROR(SUMPRODUCT((('Loan Tape'!$R$4:$R$303&lt;&gt;"")*('Loan Tape'!$I$4:$I$303&gt;=R233)*('Loan Tape'!$I$4:$I$303&lt;=S233)*('Loan Tape'!$E$4:$E$303='Deal Strat'!$C$12))*'Loan Tape'!$T$4:$T$303*'Loan Tape'!$R$4:$R$303)/E233,"-")</f>
        <v>-</v>
      </c>
      <c r="L233" s="69" t="str">
        <f aca="false">IFERROR(SUMPRODUCT((('Loan Tape'!$R$4:$R$303&lt;&gt;"")*('Loan Tape'!$I$4:$I$303&gt;=R233)*('Loan Tape'!$I$4:$I$303&lt;=S233)*('Loan Tape'!$E$4:$E$303='Deal Strat'!$C$12))*'Loan Tape'!$V$4:$V$303*'Loan Tape'!$R$4:$R$303)/E233,"-")</f>
        <v>-</v>
      </c>
      <c r="M233" s="69" t="str">
        <f aca="false">IFERROR(SUMPRODUCT((('Loan Tape'!$R$4:$R$303&lt;&gt;"")*('Loan Tape'!$I$4:$I$303&gt;=R233)*('Loan Tape'!$I$4:$I$303&lt;=S233)*('Loan Tape'!$E$4:$E$303='Deal Strat'!$C$12))*'Loan Tape'!$W$4:$W$303*'Loan Tape'!$R$4:$R$303)/E233,"-")</f>
        <v>-</v>
      </c>
      <c r="N233" s="69" t="str">
        <f aca="false">IFERROR(SUMPRODUCT((('Loan Tape'!$R$4:$R$303&lt;&gt;"")*('Loan Tape'!$I$4:$I$303&gt;=R233)*('Loan Tape'!$I$4:$I$303&lt;=S233)*('Loan Tape'!$E$4:$E$303='Deal Strat'!$C$12))*'Loan Tape'!$AI$4:$AI$303*'Loan Tape'!$R$4:$R$303)/E233,"-")</f>
        <v>-</v>
      </c>
      <c r="O233" s="69" t="str">
        <f aca="false">IFERROR(SUMPRODUCT((('Loan Tape'!$R$4:$R$303&lt;&gt;"")*('Loan Tape'!$I$4:$I$303&gt;=R233)*('Loan Tape'!$I$4:$I$303&lt;=S233)*('Loan Tape'!$E$4:$E$303='Deal Strat'!$C$12))*'Loan Tape'!$AK$4:$AK$303*'Loan Tape'!$R$4:$R$303)/E233,"-")</f>
        <v>-</v>
      </c>
      <c r="P233" s="69" t="str">
        <f aca="false">IFERROR(SUMPRODUCT((('Loan Tape'!$R$4:$R$303&lt;&gt;"")*('Loan Tape'!$I$4:$I$303&gt;=R233)*('Loan Tape'!$I$4:$I$303&lt;=S233)*('Loan Tape'!$E$4:$E$303='Deal Strat'!$C$12))*'Loan Tape'!$S$4:$S$303*'Loan Tape'!$R$4:$R$303)/E233,"-")</f>
        <v>-</v>
      </c>
      <c r="R233" s="91" t="n">
        <v>120.01</v>
      </c>
      <c r="S233" s="91" t="n">
        <v>1000000000000</v>
      </c>
    </row>
    <row r="234" customFormat="false" ht="14.25" hidden="false" customHeight="false" outlineLevel="0" collapsed="false">
      <c r="B234" s="86" t="s">
        <v>405</v>
      </c>
      <c r="C234" s="92" t="n">
        <f aca="false">SUM(C230:C233)</f>
        <v>5</v>
      </c>
      <c r="D234" s="92" t="n">
        <f aca="false">SUM(D230:D233)</f>
        <v>593</v>
      </c>
      <c r="E234" s="88" t="n">
        <f aca="false">SUM(E230:E233)</f>
        <v>372487000</v>
      </c>
      <c r="F234" s="89" t="n">
        <f aca="false">SUM(F230:F233)</f>
        <v>1</v>
      </c>
      <c r="G234" s="90" t="n">
        <f aca="false">IFERROR(SUMPRODUCT((('Loan Tape'!$R$4:$R$303&lt;&gt;"")*('Loan Tape'!$E$4:$E$303='Deal Strat'!$C$12))*'Loan Tape'!$U$4:$U$303*'Loan Tape'!$R$4:$R$303)/E234,"-")</f>
        <v>1.46286165691689</v>
      </c>
      <c r="H234" s="92" t="n">
        <f aca="false">IFERROR(SUMPRODUCT((('Loan Tape'!$R$4:$R$303&lt;&gt;"")*('Loan Tape'!$E$4:$E$303='Deal Strat'!$C$12))*'Loan Tape'!$AH$4:$AH$303*'Loan Tape'!$R$4:$R$303)/E234,"-")</f>
        <v>100.401133462376</v>
      </c>
      <c r="I234" s="92" t="n">
        <f aca="false">IFERROR(SUMPRODUCT((('Loan Tape'!$R$4:$R$303&lt;&gt;"")*('Loan Tape'!$E$4:$E$303='Deal Strat'!$C$12))*(('Loan Tape'!$H$4:$H$303-$C$4)/30.4375)*'Loan Tape'!$R$4:$R$303)/E234,"-")</f>
        <v>4.02239639370792</v>
      </c>
      <c r="J234" s="89" t="n">
        <f aca="false">IFERROR(SUMPRODUCT((('Loan Tape'!$R$4:$R$303&lt;&gt;"")*('Loan Tape'!$E$4:$E$303='Deal Strat'!$C$12))*('Loan Tape'!$K$4:$K$303="Floating")*'Loan Tape'!$R$4:$R$303)/E234,"-")</f>
        <v>0.64712593996569</v>
      </c>
      <c r="K234" s="89" t="n">
        <f aca="false">IFERROR(SUMPRODUCT((('Loan Tape'!$R$4:$R$303&lt;&gt;"")*('Loan Tape'!$E$4:$E$303='Deal Strat'!$C$12))*'Loan Tape'!$T$4:$T$303*'Loan Tape'!$R$4:$R$303)/E234,"-")</f>
        <v>0.0853727877751438</v>
      </c>
      <c r="L234" s="89" t="n">
        <f aca="false">IFERROR(SUMPRODUCT((('Loan Tape'!$R$4:$R$303&lt;&gt;"")*('Loan Tape'!$E$4:$E$303='Deal Strat'!$C$12))*'Loan Tape'!$V$4:$V$303*'Loan Tape'!$R$4:$R$303)/E234,"-")</f>
        <v>0.69021042345102</v>
      </c>
      <c r="M234" s="89" t="n">
        <f aca="false">IFERROR(SUMPRODUCT((('Loan Tape'!$R$4:$R$303&lt;&gt;"")*('Loan Tape'!$E$4:$E$303='Deal Strat'!$C$12))*'Loan Tape'!$W$4:$W$303*'Loan Tape'!$R$4:$R$303)/E234,"-")</f>
        <v>0.727922306013364</v>
      </c>
      <c r="N234" s="89" t="n">
        <f aca="false">IFERROR(SUMPRODUCT((('Loan Tape'!$R$4:$R$303&lt;&gt;"")*('Loan Tape'!$E$4:$E$303='Deal Strat'!$C$12))*'Loan Tape'!$AI$4:$AI$303*'Loan Tape'!$R$4:$R$303)/E234,"-")</f>
        <v>0.0680705466231036</v>
      </c>
      <c r="O234" s="89" t="n">
        <f aca="false">IFERROR(SUMPRODUCT((('Loan Tape'!$R$4:$R$303&lt;&gt;"")*('Loan Tape'!$E$4:$E$303='Deal Strat'!$C$12))*'Loan Tape'!$AK$4:$AK$303*'Loan Tape'!$R$4:$R$303)/E234,"-")</f>
        <v>0.077777435722589</v>
      </c>
      <c r="P234" s="89" t="n">
        <f aca="false">IFERROR(SUMPRODUCT((('Loan Tape'!$R$4:$R$303&lt;&gt;"")*('Loan Tape'!$E$4:$E$303='Deal Strat'!$C$12))*'Loan Tape'!$S$4:$S$303*'Loan Tape'!$R$4:$R$303)/E234,"-")</f>
        <v>0.841462496677736</v>
      </c>
    </row>
    <row r="236" customFormat="false" ht="19.5" hidden="false" customHeight="true" outlineLevel="0" collapsed="false">
      <c r="B236" s="5" t="s">
        <v>472</v>
      </c>
      <c r="C236" s="5"/>
      <c r="D236" s="5"/>
      <c r="E236" s="5"/>
      <c r="F236" s="5"/>
      <c r="G236" s="5"/>
      <c r="H236" s="5"/>
      <c r="I236" s="5"/>
      <c r="J236" s="5"/>
      <c r="K236" s="5"/>
      <c r="L236" s="5"/>
      <c r="M236" s="5"/>
      <c r="N236" s="5"/>
      <c r="O236" s="5"/>
      <c r="P236" s="5"/>
    </row>
    <row r="237" customFormat="false" ht="42" hidden="false" customHeight="true" outlineLevel="0" collapsed="false">
      <c r="B237" s="82" t="s">
        <v>423</v>
      </c>
      <c r="C237" s="83" t="s">
        <v>368</v>
      </c>
      <c r="D237" s="83" t="s">
        <v>153</v>
      </c>
      <c r="E237" s="83" t="s">
        <v>393</v>
      </c>
      <c r="F237" s="83" t="s">
        <v>394</v>
      </c>
      <c r="G237" s="83" t="s">
        <v>395</v>
      </c>
      <c r="H237" s="83" t="s">
        <v>396</v>
      </c>
      <c r="I237" s="83" t="s">
        <v>397</v>
      </c>
      <c r="J237" s="83" t="s">
        <v>398</v>
      </c>
      <c r="K237" s="83" t="s">
        <v>399</v>
      </c>
      <c r="L237" s="83" t="s">
        <v>400</v>
      </c>
      <c r="M237" s="83" t="s">
        <v>401</v>
      </c>
      <c r="N237" s="83" t="s">
        <v>402</v>
      </c>
      <c r="O237" s="83" t="s">
        <v>403</v>
      </c>
      <c r="P237" s="83" t="s">
        <v>365</v>
      </c>
    </row>
    <row r="238" customFormat="false" ht="14.25" hidden="false" customHeight="false" outlineLevel="0" collapsed="false">
      <c r="B238" s="7" t="s">
        <v>473</v>
      </c>
      <c r="C238" s="68" t="n">
        <f aca="false">COUNTIFS('Loan Tape'!$AH$4:$AH$303,"&gt;="&amp;R238,'Loan Tape'!$AH$4:$AH$303,"&lt;="&amp;S238,'Loan Tape'!$R$4:$R$303,"&lt;&gt;",'Loan Tape'!$E$4:$E$303,'Deal Strat'!$C$12)</f>
        <v>0</v>
      </c>
      <c r="D238" s="68" t="n">
        <f aca="false">SUMPRODUCT((('Loan Tape'!$R$4:$R$303&lt;&gt;"")*('Loan Tape'!$AH$4:$AH$303&gt;=R238)*('Loan Tape'!$AH$4:$AH$303&lt;=S238)*('Loan Tape'!$E$4:$E$303='Deal Strat'!$C$12))*'Loan Tape'!$F$4:$F$303)</f>
        <v>0</v>
      </c>
      <c r="E238" s="84" t="n">
        <f aca="false">SUMIFS('Loan Tape'!$R$4:$R$303,'Loan Tape'!$AH$4:$AH$303,"&gt;="&amp;R238,'Loan Tape'!$AH$4:$AH$303,"&lt;="&amp;S238,'Loan Tape'!$R$4:$R$303,"&lt;&gt;",'Loan Tape'!$E$4:$E$303,'Deal Strat'!$C$12)</f>
        <v>0</v>
      </c>
      <c r="F238" s="69" t="n">
        <f aca="false">IFERROR(E238/C5,0)</f>
        <v>0</v>
      </c>
      <c r="G238" s="85" t="str">
        <f aca="false">IFERROR(SUMPRODUCT((('Loan Tape'!$R$4:$R$303&lt;&gt;"")*('Loan Tape'!$AH$4:$AH$303&gt;=R238)*('Loan Tape'!$AH$4:$AH$303&lt;=S238)*('Loan Tape'!$E$4:$E$303='Deal Strat'!$C$12))*'Loan Tape'!$U$4:$U$303*'Loan Tape'!$R$4:$R$303)/E238,"-")</f>
        <v>-</v>
      </c>
      <c r="H238" s="68" t="str">
        <f aca="false">IFERROR(SUMPRODUCT((('Loan Tape'!$R$4:$R$303&lt;&gt;"")*('Loan Tape'!$AH$4:$AH$303&gt;=R238)*('Loan Tape'!$AH$4:$AH$303&lt;=S238)*('Loan Tape'!$E$4:$E$303='Deal Strat'!$C$12))*'Loan Tape'!$AH$4:$AH$303*'Loan Tape'!$R$4:$R$303)/E238,"-")</f>
        <v>-</v>
      </c>
      <c r="I238" s="68" t="str">
        <f aca="false">IFERROR(SUMPRODUCT((('Loan Tape'!$R$4:$R$303&lt;&gt;"")*('Loan Tape'!$AH$4:$AH$303&gt;=R238)*('Loan Tape'!$AH$4:$AH$303&lt;=S238)*('Loan Tape'!$E$4:$E$303='Deal Strat'!$C$12))*(('Loan Tape'!$H$4:$H$303-$C$4)/30.4375)*'Loan Tape'!$R$4:$R$303)/E238,"-")</f>
        <v>-</v>
      </c>
      <c r="J238" s="69" t="str">
        <f aca="false">IFERROR(SUMPRODUCT((('Loan Tape'!$R$4:$R$303&lt;&gt;"")*('Loan Tape'!$AH$4:$AH$303&gt;=R238)*('Loan Tape'!$AH$4:$AH$303&lt;=S238)*('Loan Tape'!$E$4:$E$303='Deal Strat'!$C$12))*('Loan Tape'!$K$4:$K$303="Floating")*'Loan Tape'!$R$4:$R$303)/E238,"-")</f>
        <v>-</v>
      </c>
      <c r="K238" s="69" t="str">
        <f aca="false">IFERROR(SUMPRODUCT((('Loan Tape'!$R$4:$R$303&lt;&gt;"")*('Loan Tape'!$AH$4:$AH$303&gt;=R238)*('Loan Tape'!$AH$4:$AH$303&lt;=S238)*('Loan Tape'!$E$4:$E$303='Deal Strat'!$C$12))*'Loan Tape'!$T$4:$T$303*'Loan Tape'!$R$4:$R$303)/E238,"-")</f>
        <v>-</v>
      </c>
      <c r="L238" s="69" t="str">
        <f aca="false">IFERROR(SUMPRODUCT((('Loan Tape'!$R$4:$R$303&lt;&gt;"")*('Loan Tape'!$AH$4:$AH$303&gt;=R238)*('Loan Tape'!$AH$4:$AH$303&lt;=S238)*('Loan Tape'!$E$4:$E$303='Deal Strat'!$C$12))*'Loan Tape'!$V$4:$V$303*'Loan Tape'!$R$4:$R$303)/E238,"-")</f>
        <v>-</v>
      </c>
      <c r="M238" s="69" t="str">
        <f aca="false">IFERROR(SUMPRODUCT((('Loan Tape'!$R$4:$R$303&lt;&gt;"")*('Loan Tape'!$AH$4:$AH$303&gt;=R238)*('Loan Tape'!$AH$4:$AH$303&lt;=S238)*('Loan Tape'!$E$4:$E$303='Deal Strat'!$C$12))*'Loan Tape'!$W$4:$W$303*'Loan Tape'!$R$4:$R$303)/E238,"-")</f>
        <v>-</v>
      </c>
      <c r="N238" s="69" t="str">
        <f aca="false">IFERROR(SUMPRODUCT((('Loan Tape'!$R$4:$R$303&lt;&gt;"")*('Loan Tape'!$AH$4:$AH$303&gt;=R238)*('Loan Tape'!$AH$4:$AH$303&lt;=S238)*('Loan Tape'!$E$4:$E$303='Deal Strat'!$C$12))*'Loan Tape'!$AI$4:$AI$303*'Loan Tape'!$R$4:$R$303)/E238,"-")</f>
        <v>-</v>
      </c>
      <c r="O238" s="69" t="str">
        <f aca="false">IFERROR(SUMPRODUCT((('Loan Tape'!$R$4:$R$303&lt;&gt;"")*('Loan Tape'!$AH$4:$AH$303&gt;=R238)*('Loan Tape'!$AH$4:$AH$303&lt;=S238)*('Loan Tape'!$E$4:$E$303='Deal Strat'!$C$12))*'Loan Tape'!$AK$4:$AK$303*'Loan Tape'!$R$4:$R$303)/E238,"-")</f>
        <v>-</v>
      </c>
      <c r="P238" s="69" t="str">
        <f aca="false">IFERROR(SUMPRODUCT((('Loan Tape'!$R$4:$R$303&lt;&gt;"")*('Loan Tape'!$AH$4:$AH$303&gt;=R238)*('Loan Tape'!$AH$4:$AH$303&lt;=S238)*('Loan Tape'!$E$4:$E$303='Deal Strat'!$C$12))*'Loan Tape'!$S$4:$S$303*'Loan Tape'!$R$4:$R$303)/E238,"-")</f>
        <v>-</v>
      </c>
      <c r="R238" s="91" t="n">
        <v>-1000000000000</v>
      </c>
      <c r="S238" s="91" t="n">
        <v>11.99</v>
      </c>
    </row>
    <row r="239" customFormat="false" ht="14.25" hidden="false" customHeight="false" outlineLevel="0" collapsed="false">
      <c r="B239" s="7" t="s">
        <v>474</v>
      </c>
      <c r="C239" s="68" t="n">
        <f aca="false">COUNTIFS('Loan Tape'!$AH$4:$AH$303,"&gt;="&amp;R239,'Loan Tape'!$AH$4:$AH$303,"&lt;="&amp;S239,'Loan Tape'!$R$4:$R$303,"&lt;&gt;",'Loan Tape'!$E$4:$E$303,'Deal Strat'!$C$12)</f>
        <v>0</v>
      </c>
      <c r="D239" s="68" t="n">
        <f aca="false">SUMPRODUCT((('Loan Tape'!$R$4:$R$303&lt;&gt;"")*('Loan Tape'!$AH$4:$AH$303&gt;=R239)*('Loan Tape'!$AH$4:$AH$303&lt;=S239)*('Loan Tape'!$E$4:$E$303='Deal Strat'!$C$12))*'Loan Tape'!$F$4:$F$303)</f>
        <v>0</v>
      </c>
      <c r="E239" s="84" t="n">
        <f aca="false">SUMIFS('Loan Tape'!$R$4:$R$303,'Loan Tape'!$AH$4:$AH$303,"&gt;="&amp;R239,'Loan Tape'!$AH$4:$AH$303,"&lt;="&amp;S239,'Loan Tape'!$R$4:$R$303,"&lt;&gt;",'Loan Tape'!$E$4:$E$303,'Deal Strat'!$C$12)</f>
        <v>0</v>
      </c>
      <c r="F239" s="69" t="n">
        <f aca="false">IFERROR(E239/C5,0)</f>
        <v>0</v>
      </c>
      <c r="G239" s="85" t="str">
        <f aca="false">IFERROR(SUMPRODUCT((('Loan Tape'!$R$4:$R$303&lt;&gt;"")*('Loan Tape'!$AH$4:$AH$303&gt;=R239)*('Loan Tape'!$AH$4:$AH$303&lt;=S239)*('Loan Tape'!$E$4:$E$303='Deal Strat'!$C$12))*'Loan Tape'!$U$4:$U$303*'Loan Tape'!$R$4:$R$303)/E239,"-")</f>
        <v>-</v>
      </c>
      <c r="H239" s="68" t="str">
        <f aca="false">IFERROR(SUMPRODUCT((('Loan Tape'!$R$4:$R$303&lt;&gt;"")*('Loan Tape'!$AH$4:$AH$303&gt;=R239)*('Loan Tape'!$AH$4:$AH$303&lt;=S239)*('Loan Tape'!$E$4:$E$303='Deal Strat'!$C$12))*'Loan Tape'!$AH$4:$AH$303*'Loan Tape'!$R$4:$R$303)/E239,"-")</f>
        <v>-</v>
      </c>
      <c r="I239" s="68" t="str">
        <f aca="false">IFERROR(SUMPRODUCT((('Loan Tape'!$R$4:$R$303&lt;&gt;"")*('Loan Tape'!$AH$4:$AH$303&gt;=R239)*('Loan Tape'!$AH$4:$AH$303&lt;=S239)*('Loan Tape'!$E$4:$E$303='Deal Strat'!$C$12))*(('Loan Tape'!$H$4:$H$303-$C$4)/30.4375)*'Loan Tape'!$R$4:$R$303)/E239,"-")</f>
        <v>-</v>
      </c>
      <c r="J239" s="69" t="str">
        <f aca="false">IFERROR(SUMPRODUCT((('Loan Tape'!$R$4:$R$303&lt;&gt;"")*('Loan Tape'!$AH$4:$AH$303&gt;=R239)*('Loan Tape'!$AH$4:$AH$303&lt;=S239)*('Loan Tape'!$E$4:$E$303='Deal Strat'!$C$12))*('Loan Tape'!$K$4:$K$303="Floating")*'Loan Tape'!$R$4:$R$303)/E239,"-")</f>
        <v>-</v>
      </c>
      <c r="K239" s="69" t="str">
        <f aca="false">IFERROR(SUMPRODUCT((('Loan Tape'!$R$4:$R$303&lt;&gt;"")*('Loan Tape'!$AH$4:$AH$303&gt;=R239)*('Loan Tape'!$AH$4:$AH$303&lt;=S239)*('Loan Tape'!$E$4:$E$303='Deal Strat'!$C$12))*'Loan Tape'!$T$4:$T$303*'Loan Tape'!$R$4:$R$303)/E239,"-")</f>
        <v>-</v>
      </c>
      <c r="L239" s="69" t="str">
        <f aca="false">IFERROR(SUMPRODUCT((('Loan Tape'!$R$4:$R$303&lt;&gt;"")*('Loan Tape'!$AH$4:$AH$303&gt;=R239)*('Loan Tape'!$AH$4:$AH$303&lt;=S239)*('Loan Tape'!$E$4:$E$303='Deal Strat'!$C$12))*'Loan Tape'!$V$4:$V$303*'Loan Tape'!$R$4:$R$303)/E239,"-")</f>
        <v>-</v>
      </c>
      <c r="M239" s="69" t="str">
        <f aca="false">IFERROR(SUMPRODUCT((('Loan Tape'!$R$4:$R$303&lt;&gt;"")*('Loan Tape'!$AH$4:$AH$303&gt;=R239)*('Loan Tape'!$AH$4:$AH$303&lt;=S239)*('Loan Tape'!$E$4:$E$303='Deal Strat'!$C$12))*'Loan Tape'!$W$4:$W$303*'Loan Tape'!$R$4:$R$303)/E239,"-")</f>
        <v>-</v>
      </c>
      <c r="N239" s="69" t="str">
        <f aca="false">IFERROR(SUMPRODUCT((('Loan Tape'!$R$4:$R$303&lt;&gt;"")*('Loan Tape'!$AH$4:$AH$303&gt;=R239)*('Loan Tape'!$AH$4:$AH$303&lt;=S239)*('Loan Tape'!$E$4:$E$303='Deal Strat'!$C$12))*'Loan Tape'!$AI$4:$AI$303*'Loan Tape'!$R$4:$R$303)/E239,"-")</f>
        <v>-</v>
      </c>
      <c r="O239" s="69" t="str">
        <f aca="false">IFERROR(SUMPRODUCT((('Loan Tape'!$R$4:$R$303&lt;&gt;"")*('Loan Tape'!$AH$4:$AH$303&gt;=R239)*('Loan Tape'!$AH$4:$AH$303&lt;=S239)*('Loan Tape'!$E$4:$E$303='Deal Strat'!$C$12))*'Loan Tape'!$AK$4:$AK$303*'Loan Tape'!$R$4:$R$303)/E239,"-")</f>
        <v>-</v>
      </c>
      <c r="P239" s="69" t="str">
        <f aca="false">IFERROR(SUMPRODUCT((('Loan Tape'!$R$4:$R$303&lt;&gt;"")*('Loan Tape'!$AH$4:$AH$303&gt;=R239)*('Loan Tape'!$AH$4:$AH$303&lt;=S239)*('Loan Tape'!$E$4:$E$303='Deal Strat'!$C$12))*'Loan Tape'!$S$4:$S$303*'Loan Tape'!$R$4:$R$303)/E239,"-")</f>
        <v>-</v>
      </c>
      <c r="R239" s="91" t="n">
        <v>12</v>
      </c>
      <c r="S239" s="91" t="n">
        <v>24</v>
      </c>
    </row>
    <row r="240" customFormat="false" ht="14.25" hidden="false" customHeight="false" outlineLevel="0" collapsed="false">
      <c r="B240" s="7" t="s">
        <v>475</v>
      </c>
      <c r="C240" s="68" t="n">
        <f aca="false">COUNTIFS('Loan Tape'!$AH$4:$AH$303,"&gt;="&amp;R240,'Loan Tape'!$AH$4:$AH$303,"&lt;="&amp;S240,'Loan Tape'!$R$4:$R$303,"&lt;&gt;",'Loan Tape'!$E$4:$E$303,'Deal Strat'!$C$12)</f>
        <v>0</v>
      </c>
      <c r="D240" s="68" t="n">
        <f aca="false">SUMPRODUCT((('Loan Tape'!$R$4:$R$303&lt;&gt;"")*('Loan Tape'!$AH$4:$AH$303&gt;=R240)*('Loan Tape'!$AH$4:$AH$303&lt;=S240)*('Loan Tape'!$E$4:$E$303='Deal Strat'!$C$12))*'Loan Tape'!$F$4:$F$303)</f>
        <v>0</v>
      </c>
      <c r="E240" s="84" t="n">
        <f aca="false">SUMIFS('Loan Tape'!$R$4:$R$303,'Loan Tape'!$AH$4:$AH$303,"&gt;="&amp;R240,'Loan Tape'!$AH$4:$AH$303,"&lt;="&amp;S240,'Loan Tape'!$R$4:$R$303,"&lt;&gt;",'Loan Tape'!$E$4:$E$303,'Deal Strat'!$C$12)</f>
        <v>0</v>
      </c>
      <c r="F240" s="69" t="n">
        <f aca="false">IFERROR(E240/C5,0)</f>
        <v>0</v>
      </c>
      <c r="G240" s="85" t="str">
        <f aca="false">IFERROR(SUMPRODUCT((('Loan Tape'!$R$4:$R$303&lt;&gt;"")*('Loan Tape'!$AH$4:$AH$303&gt;=R240)*('Loan Tape'!$AH$4:$AH$303&lt;=S240)*('Loan Tape'!$E$4:$E$303='Deal Strat'!$C$12))*'Loan Tape'!$U$4:$U$303*'Loan Tape'!$R$4:$R$303)/E240,"-")</f>
        <v>-</v>
      </c>
      <c r="H240" s="68" t="str">
        <f aca="false">IFERROR(SUMPRODUCT((('Loan Tape'!$R$4:$R$303&lt;&gt;"")*('Loan Tape'!$AH$4:$AH$303&gt;=R240)*('Loan Tape'!$AH$4:$AH$303&lt;=S240)*('Loan Tape'!$E$4:$E$303='Deal Strat'!$C$12))*'Loan Tape'!$AH$4:$AH$303*'Loan Tape'!$R$4:$R$303)/E240,"-")</f>
        <v>-</v>
      </c>
      <c r="I240" s="68" t="str">
        <f aca="false">IFERROR(SUMPRODUCT((('Loan Tape'!$R$4:$R$303&lt;&gt;"")*('Loan Tape'!$AH$4:$AH$303&gt;=R240)*('Loan Tape'!$AH$4:$AH$303&lt;=S240)*('Loan Tape'!$E$4:$E$303='Deal Strat'!$C$12))*(('Loan Tape'!$H$4:$H$303-$C$4)/30.4375)*'Loan Tape'!$R$4:$R$303)/E240,"-")</f>
        <v>-</v>
      </c>
      <c r="J240" s="69" t="str">
        <f aca="false">IFERROR(SUMPRODUCT((('Loan Tape'!$R$4:$R$303&lt;&gt;"")*('Loan Tape'!$AH$4:$AH$303&gt;=R240)*('Loan Tape'!$AH$4:$AH$303&lt;=S240)*('Loan Tape'!$E$4:$E$303='Deal Strat'!$C$12))*('Loan Tape'!$K$4:$K$303="Floating")*'Loan Tape'!$R$4:$R$303)/E240,"-")</f>
        <v>-</v>
      </c>
      <c r="K240" s="69" t="str">
        <f aca="false">IFERROR(SUMPRODUCT((('Loan Tape'!$R$4:$R$303&lt;&gt;"")*('Loan Tape'!$AH$4:$AH$303&gt;=R240)*('Loan Tape'!$AH$4:$AH$303&lt;=S240)*('Loan Tape'!$E$4:$E$303='Deal Strat'!$C$12))*'Loan Tape'!$T$4:$T$303*'Loan Tape'!$R$4:$R$303)/E240,"-")</f>
        <v>-</v>
      </c>
      <c r="L240" s="69" t="str">
        <f aca="false">IFERROR(SUMPRODUCT((('Loan Tape'!$R$4:$R$303&lt;&gt;"")*('Loan Tape'!$AH$4:$AH$303&gt;=R240)*('Loan Tape'!$AH$4:$AH$303&lt;=S240)*('Loan Tape'!$E$4:$E$303='Deal Strat'!$C$12))*'Loan Tape'!$V$4:$V$303*'Loan Tape'!$R$4:$R$303)/E240,"-")</f>
        <v>-</v>
      </c>
      <c r="M240" s="69" t="str">
        <f aca="false">IFERROR(SUMPRODUCT((('Loan Tape'!$R$4:$R$303&lt;&gt;"")*('Loan Tape'!$AH$4:$AH$303&gt;=R240)*('Loan Tape'!$AH$4:$AH$303&lt;=S240)*('Loan Tape'!$E$4:$E$303='Deal Strat'!$C$12))*'Loan Tape'!$W$4:$W$303*'Loan Tape'!$R$4:$R$303)/E240,"-")</f>
        <v>-</v>
      </c>
      <c r="N240" s="69" t="str">
        <f aca="false">IFERROR(SUMPRODUCT((('Loan Tape'!$R$4:$R$303&lt;&gt;"")*('Loan Tape'!$AH$4:$AH$303&gt;=R240)*('Loan Tape'!$AH$4:$AH$303&lt;=S240)*('Loan Tape'!$E$4:$E$303='Deal Strat'!$C$12))*'Loan Tape'!$AI$4:$AI$303*'Loan Tape'!$R$4:$R$303)/E240,"-")</f>
        <v>-</v>
      </c>
      <c r="O240" s="69" t="str">
        <f aca="false">IFERROR(SUMPRODUCT((('Loan Tape'!$R$4:$R$303&lt;&gt;"")*('Loan Tape'!$AH$4:$AH$303&gt;=R240)*('Loan Tape'!$AH$4:$AH$303&lt;=S240)*('Loan Tape'!$E$4:$E$303='Deal Strat'!$C$12))*'Loan Tape'!$AK$4:$AK$303*'Loan Tape'!$R$4:$R$303)/E240,"-")</f>
        <v>-</v>
      </c>
      <c r="P240" s="69" t="str">
        <f aca="false">IFERROR(SUMPRODUCT((('Loan Tape'!$R$4:$R$303&lt;&gt;"")*('Loan Tape'!$AH$4:$AH$303&gt;=R240)*('Loan Tape'!$AH$4:$AH$303&lt;=S240)*('Loan Tape'!$E$4:$E$303='Deal Strat'!$C$12))*'Loan Tape'!$S$4:$S$303*'Loan Tape'!$R$4:$R$303)/E240,"-")</f>
        <v>-</v>
      </c>
      <c r="R240" s="91" t="n">
        <v>24.01</v>
      </c>
      <c r="S240" s="91" t="n">
        <v>36</v>
      </c>
    </row>
    <row r="241" customFormat="false" ht="14.25" hidden="false" customHeight="false" outlineLevel="0" collapsed="false">
      <c r="B241" s="7" t="s">
        <v>476</v>
      </c>
      <c r="C241" s="68" t="n">
        <f aca="false">COUNTIFS('Loan Tape'!$AH$4:$AH$303,"&gt;="&amp;R241,'Loan Tape'!$AH$4:$AH$303,"&lt;="&amp;S241,'Loan Tape'!$R$4:$R$303,"&lt;&gt;",'Loan Tape'!$E$4:$E$303,'Deal Strat'!$C$12)</f>
        <v>0</v>
      </c>
      <c r="D241" s="68" t="n">
        <f aca="false">SUMPRODUCT((('Loan Tape'!$R$4:$R$303&lt;&gt;"")*('Loan Tape'!$AH$4:$AH$303&gt;=R241)*('Loan Tape'!$AH$4:$AH$303&lt;=S241)*('Loan Tape'!$E$4:$E$303='Deal Strat'!$C$12))*'Loan Tape'!$F$4:$F$303)</f>
        <v>0</v>
      </c>
      <c r="E241" s="84" t="n">
        <f aca="false">SUMIFS('Loan Tape'!$R$4:$R$303,'Loan Tape'!$AH$4:$AH$303,"&gt;="&amp;R241,'Loan Tape'!$AH$4:$AH$303,"&lt;="&amp;S241,'Loan Tape'!$R$4:$R$303,"&lt;&gt;",'Loan Tape'!$E$4:$E$303,'Deal Strat'!$C$12)</f>
        <v>0</v>
      </c>
      <c r="F241" s="69" t="n">
        <f aca="false">IFERROR(E241/C5,0)</f>
        <v>0</v>
      </c>
      <c r="G241" s="85" t="str">
        <f aca="false">IFERROR(SUMPRODUCT((('Loan Tape'!$R$4:$R$303&lt;&gt;"")*('Loan Tape'!$AH$4:$AH$303&gt;=R241)*('Loan Tape'!$AH$4:$AH$303&lt;=S241)*('Loan Tape'!$E$4:$E$303='Deal Strat'!$C$12))*'Loan Tape'!$U$4:$U$303*'Loan Tape'!$R$4:$R$303)/E241,"-")</f>
        <v>-</v>
      </c>
      <c r="H241" s="68" t="str">
        <f aca="false">IFERROR(SUMPRODUCT((('Loan Tape'!$R$4:$R$303&lt;&gt;"")*('Loan Tape'!$AH$4:$AH$303&gt;=R241)*('Loan Tape'!$AH$4:$AH$303&lt;=S241)*('Loan Tape'!$E$4:$E$303='Deal Strat'!$C$12))*'Loan Tape'!$AH$4:$AH$303*'Loan Tape'!$R$4:$R$303)/E241,"-")</f>
        <v>-</v>
      </c>
      <c r="I241" s="68" t="str">
        <f aca="false">IFERROR(SUMPRODUCT((('Loan Tape'!$R$4:$R$303&lt;&gt;"")*('Loan Tape'!$AH$4:$AH$303&gt;=R241)*('Loan Tape'!$AH$4:$AH$303&lt;=S241)*('Loan Tape'!$E$4:$E$303='Deal Strat'!$C$12))*(('Loan Tape'!$H$4:$H$303-$C$4)/30.4375)*'Loan Tape'!$R$4:$R$303)/E241,"-")</f>
        <v>-</v>
      </c>
      <c r="J241" s="69" t="str">
        <f aca="false">IFERROR(SUMPRODUCT((('Loan Tape'!$R$4:$R$303&lt;&gt;"")*('Loan Tape'!$AH$4:$AH$303&gt;=R241)*('Loan Tape'!$AH$4:$AH$303&lt;=S241)*('Loan Tape'!$E$4:$E$303='Deal Strat'!$C$12))*('Loan Tape'!$K$4:$K$303="Floating")*'Loan Tape'!$R$4:$R$303)/E241,"-")</f>
        <v>-</v>
      </c>
      <c r="K241" s="69" t="str">
        <f aca="false">IFERROR(SUMPRODUCT((('Loan Tape'!$R$4:$R$303&lt;&gt;"")*('Loan Tape'!$AH$4:$AH$303&gt;=R241)*('Loan Tape'!$AH$4:$AH$303&lt;=S241)*('Loan Tape'!$E$4:$E$303='Deal Strat'!$C$12))*'Loan Tape'!$T$4:$T$303*'Loan Tape'!$R$4:$R$303)/E241,"-")</f>
        <v>-</v>
      </c>
      <c r="L241" s="69" t="str">
        <f aca="false">IFERROR(SUMPRODUCT((('Loan Tape'!$R$4:$R$303&lt;&gt;"")*('Loan Tape'!$AH$4:$AH$303&gt;=R241)*('Loan Tape'!$AH$4:$AH$303&lt;=S241)*('Loan Tape'!$E$4:$E$303='Deal Strat'!$C$12))*'Loan Tape'!$V$4:$V$303*'Loan Tape'!$R$4:$R$303)/E241,"-")</f>
        <v>-</v>
      </c>
      <c r="M241" s="69" t="str">
        <f aca="false">IFERROR(SUMPRODUCT((('Loan Tape'!$R$4:$R$303&lt;&gt;"")*('Loan Tape'!$AH$4:$AH$303&gt;=R241)*('Loan Tape'!$AH$4:$AH$303&lt;=S241)*('Loan Tape'!$E$4:$E$303='Deal Strat'!$C$12))*'Loan Tape'!$W$4:$W$303*'Loan Tape'!$R$4:$R$303)/E241,"-")</f>
        <v>-</v>
      </c>
      <c r="N241" s="69" t="str">
        <f aca="false">IFERROR(SUMPRODUCT((('Loan Tape'!$R$4:$R$303&lt;&gt;"")*('Loan Tape'!$AH$4:$AH$303&gt;=R241)*('Loan Tape'!$AH$4:$AH$303&lt;=S241)*('Loan Tape'!$E$4:$E$303='Deal Strat'!$C$12))*'Loan Tape'!$AI$4:$AI$303*'Loan Tape'!$R$4:$R$303)/E241,"-")</f>
        <v>-</v>
      </c>
      <c r="O241" s="69" t="str">
        <f aca="false">IFERROR(SUMPRODUCT((('Loan Tape'!$R$4:$R$303&lt;&gt;"")*('Loan Tape'!$AH$4:$AH$303&gt;=R241)*('Loan Tape'!$AH$4:$AH$303&lt;=S241)*('Loan Tape'!$E$4:$E$303='Deal Strat'!$C$12))*'Loan Tape'!$AK$4:$AK$303*'Loan Tape'!$R$4:$R$303)/E241,"-")</f>
        <v>-</v>
      </c>
      <c r="P241" s="69" t="str">
        <f aca="false">IFERROR(SUMPRODUCT((('Loan Tape'!$R$4:$R$303&lt;&gt;"")*('Loan Tape'!$AH$4:$AH$303&gt;=R241)*('Loan Tape'!$AH$4:$AH$303&lt;=S241)*('Loan Tape'!$E$4:$E$303='Deal Strat'!$C$12))*'Loan Tape'!$S$4:$S$303*'Loan Tape'!$R$4:$R$303)/E241,"-")</f>
        <v>-</v>
      </c>
      <c r="R241" s="91" t="n">
        <v>36.01</v>
      </c>
      <c r="S241" s="91" t="n">
        <v>60</v>
      </c>
    </row>
    <row r="242" customFormat="false" ht="14.25" hidden="false" customHeight="false" outlineLevel="0" collapsed="false">
      <c r="B242" s="7" t="s">
        <v>477</v>
      </c>
      <c r="C242" s="68" t="n">
        <f aca="false">COUNTIFS('Loan Tape'!$AH$4:$AH$303,"&gt;="&amp;R242,'Loan Tape'!$AH$4:$AH$303,"&lt;="&amp;S242,'Loan Tape'!$R$4:$R$303,"&lt;&gt;",'Loan Tape'!$E$4:$E$303,'Deal Strat'!$C$12)</f>
        <v>5</v>
      </c>
      <c r="D242" s="68" t="n">
        <f aca="false">SUMPRODUCT((('Loan Tape'!$R$4:$R$303&lt;&gt;"")*('Loan Tape'!$AH$4:$AH$303&gt;=R242)*('Loan Tape'!$AH$4:$AH$303&lt;=S242)*('Loan Tape'!$E$4:$E$303='Deal Strat'!$C$12))*'Loan Tape'!$F$4:$F$303)</f>
        <v>593</v>
      </c>
      <c r="E242" s="84" t="n">
        <f aca="false">SUMIFS('Loan Tape'!$R$4:$R$303,'Loan Tape'!$AH$4:$AH$303,"&gt;="&amp;R242,'Loan Tape'!$AH$4:$AH$303,"&lt;="&amp;S242,'Loan Tape'!$R$4:$R$303,"&lt;&gt;",'Loan Tape'!$E$4:$E$303,'Deal Strat'!$C$12)</f>
        <v>372487000</v>
      </c>
      <c r="F242" s="69" t="n">
        <f aca="false">IFERROR(E242/C5,0)</f>
        <v>1</v>
      </c>
      <c r="G242" s="85" t="n">
        <f aca="false">IFERROR(SUMPRODUCT((('Loan Tape'!$R$4:$R$303&lt;&gt;"")*('Loan Tape'!$AH$4:$AH$303&gt;=R242)*('Loan Tape'!$AH$4:$AH$303&lt;=S242)*('Loan Tape'!$E$4:$E$303='Deal Strat'!$C$12))*'Loan Tape'!$U$4:$U$303*'Loan Tape'!$R$4:$R$303)/E242,"-")</f>
        <v>1.46286165691689</v>
      </c>
      <c r="H242" s="68" t="n">
        <f aca="false">IFERROR(SUMPRODUCT((('Loan Tape'!$R$4:$R$303&lt;&gt;"")*('Loan Tape'!$AH$4:$AH$303&gt;=R242)*('Loan Tape'!$AH$4:$AH$303&lt;=S242)*('Loan Tape'!$E$4:$E$303='Deal Strat'!$C$12))*'Loan Tape'!$AH$4:$AH$303*'Loan Tape'!$R$4:$R$303)/E242,"-")</f>
        <v>100.401133462376</v>
      </c>
      <c r="I242" s="68" t="n">
        <f aca="false">IFERROR(SUMPRODUCT((('Loan Tape'!$R$4:$R$303&lt;&gt;"")*('Loan Tape'!$AH$4:$AH$303&gt;=R242)*('Loan Tape'!$AH$4:$AH$303&lt;=S242)*('Loan Tape'!$E$4:$E$303='Deal Strat'!$C$12))*(('Loan Tape'!$H$4:$H$303-$C$4)/30.4375)*'Loan Tape'!$R$4:$R$303)/E242,"-")</f>
        <v>4.02239639370792</v>
      </c>
      <c r="J242" s="69" t="n">
        <f aca="false">IFERROR(SUMPRODUCT((('Loan Tape'!$R$4:$R$303&lt;&gt;"")*('Loan Tape'!$AH$4:$AH$303&gt;=R242)*('Loan Tape'!$AH$4:$AH$303&lt;=S242)*('Loan Tape'!$E$4:$E$303='Deal Strat'!$C$12))*('Loan Tape'!$K$4:$K$303="Floating")*'Loan Tape'!$R$4:$R$303)/E242,"-")</f>
        <v>0.64712593996569</v>
      </c>
      <c r="K242" s="69" t="n">
        <f aca="false">IFERROR(SUMPRODUCT((('Loan Tape'!$R$4:$R$303&lt;&gt;"")*('Loan Tape'!$AH$4:$AH$303&gt;=R242)*('Loan Tape'!$AH$4:$AH$303&lt;=S242)*('Loan Tape'!$E$4:$E$303='Deal Strat'!$C$12))*'Loan Tape'!$T$4:$T$303*'Loan Tape'!$R$4:$R$303)/E242,"-")</f>
        <v>0.0853727877751438</v>
      </c>
      <c r="L242" s="69" t="n">
        <f aca="false">IFERROR(SUMPRODUCT((('Loan Tape'!$R$4:$R$303&lt;&gt;"")*('Loan Tape'!$AH$4:$AH$303&gt;=R242)*('Loan Tape'!$AH$4:$AH$303&lt;=S242)*('Loan Tape'!$E$4:$E$303='Deal Strat'!$C$12))*'Loan Tape'!$V$4:$V$303*'Loan Tape'!$R$4:$R$303)/E242,"-")</f>
        <v>0.69021042345102</v>
      </c>
      <c r="M242" s="69" t="n">
        <f aca="false">IFERROR(SUMPRODUCT((('Loan Tape'!$R$4:$R$303&lt;&gt;"")*('Loan Tape'!$AH$4:$AH$303&gt;=R242)*('Loan Tape'!$AH$4:$AH$303&lt;=S242)*('Loan Tape'!$E$4:$E$303='Deal Strat'!$C$12))*'Loan Tape'!$W$4:$W$303*'Loan Tape'!$R$4:$R$303)/E242,"-")</f>
        <v>0.727922306013364</v>
      </c>
      <c r="N242" s="69" t="n">
        <f aca="false">IFERROR(SUMPRODUCT((('Loan Tape'!$R$4:$R$303&lt;&gt;"")*('Loan Tape'!$AH$4:$AH$303&gt;=R242)*('Loan Tape'!$AH$4:$AH$303&lt;=S242)*('Loan Tape'!$E$4:$E$303='Deal Strat'!$C$12))*'Loan Tape'!$AI$4:$AI$303*'Loan Tape'!$R$4:$R$303)/E242,"-")</f>
        <v>0.0680705466231036</v>
      </c>
      <c r="O242" s="69" t="n">
        <f aca="false">IFERROR(SUMPRODUCT((('Loan Tape'!$R$4:$R$303&lt;&gt;"")*('Loan Tape'!$AH$4:$AH$303&gt;=R242)*('Loan Tape'!$AH$4:$AH$303&lt;=S242)*('Loan Tape'!$E$4:$E$303='Deal Strat'!$C$12))*'Loan Tape'!$AK$4:$AK$303*'Loan Tape'!$R$4:$R$303)/E242,"-")</f>
        <v>0.077777435722589</v>
      </c>
      <c r="P242" s="69" t="n">
        <f aca="false">IFERROR(SUMPRODUCT((('Loan Tape'!$R$4:$R$303&lt;&gt;"")*('Loan Tape'!$AH$4:$AH$303&gt;=R242)*('Loan Tape'!$AH$4:$AH$303&lt;=S242)*('Loan Tape'!$E$4:$E$303='Deal Strat'!$C$12))*'Loan Tape'!$S$4:$S$303*'Loan Tape'!$R$4:$R$303)/E242,"-")</f>
        <v>0.841462496677736</v>
      </c>
      <c r="R242" s="91" t="n">
        <v>60.01</v>
      </c>
      <c r="S242" s="91" t="n">
        <v>1000000000000</v>
      </c>
    </row>
    <row r="243" customFormat="false" ht="14.25" hidden="false" customHeight="false" outlineLevel="0" collapsed="false">
      <c r="B243" s="86" t="s">
        <v>405</v>
      </c>
      <c r="C243" s="92" t="n">
        <f aca="false">SUM(C238:C242)</f>
        <v>5</v>
      </c>
      <c r="D243" s="92" t="n">
        <f aca="false">SUM(D238:D242)</f>
        <v>593</v>
      </c>
      <c r="E243" s="88" t="n">
        <f aca="false">SUM(E238:E242)</f>
        <v>372487000</v>
      </c>
      <c r="F243" s="89" t="n">
        <f aca="false">SUM(F238:F242)</f>
        <v>1</v>
      </c>
      <c r="G243" s="90" t="n">
        <f aca="false">IFERROR(SUMPRODUCT((('Loan Tape'!$R$4:$R$303&lt;&gt;"")*('Loan Tape'!$E$4:$E$303='Deal Strat'!$C$12))*'Loan Tape'!$U$4:$U$303*'Loan Tape'!$R$4:$R$303)/E243,"-")</f>
        <v>1.46286165691689</v>
      </c>
      <c r="H243" s="92" t="n">
        <f aca="false">IFERROR(SUMPRODUCT((('Loan Tape'!$R$4:$R$303&lt;&gt;"")*('Loan Tape'!$E$4:$E$303='Deal Strat'!$C$12))*'Loan Tape'!$AH$4:$AH$303*'Loan Tape'!$R$4:$R$303)/E243,"-")</f>
        <v>100.401133462376</v>
      </c>
      <c r="I243" s="92" t="n">
        <f aca="false">IFERROR(SUMPRODUCT((('Loan Tape'!$R$4:$R$303&lt;&gt;"")*('Loan Tape'!$E$4:$E$303='Deal Strat'!$C$12))*(('Loan Tape'!$H$4:$H$303-$C$4)/30.4375)*'Loan Tape'!$R$4:$R$303)/E243,"-")</f>
        <v>4.02239639370792</v>
      </c>
      <c r="J243" s="89" t="n">
        <f aca="false">IFERROR(SUMPRODUCT((('Loan Tape'!$R$4:$R$303&lt;&gt;"")*('Loan Tape'!$E$4:$E$303='Deal Strat'!$C$12))*('Loan Tape'!$K$4:$K$303="Floating")*'Loan Tape'!$R$4:$R$303)/E243,"-")</f>
        <v>0.64712593996569</v>
      </c>
      <c r="K243" s="89" t="n">
        <f aca="false">IFERROR(SUMPRODUCT((('Loan Tape'!$R$4:$R$303&lt;&gt;"")*('Loan Tape'!$E$4:$E$303='Deal Strat'!$C$12))*'Loan Tape'!$T$4:$T$303*'Loan Tape'!$R$4:$R$303)/E243,"-")</f>
        <v>0.0853727877751438</v>
      </c>
      <c r="L243" s="89" t="n">
        <f aca="false">IFERROR(SUMPRODUCT((('Loan Tape'!$R$4:$R$303&lt;&gt;"")*('Loan Tape'!$E$4:$E$303='Deal Strat'!$C$12))*'Loan Tape'!$V$4:$V$303*'Loan Tape'!$R$4:$R$303)/E243,"-")</f>
        <v>0.69021042345102</v>
      </c>
      <c r="M243" s="89" t="n">
        <f aca="false">IFERROR(SUMPRODUCT((('Loan Tape'!$R$4:$R$303&lt;&gt;"")*('Loan Tape'!$E$4:$E$303='Deal Strat'!$C$12))*'Loan Tape'!$W$4:$W$303*'Loan Tape'!$R$4:$R$303)/E243,"-")</f>
        <v>0.727922306013364</v>
      </c>
      <c r="N243" s="89" t="n">
        <f aca="false">IFERROR(SUMPRODUCT((('Loan Tape'!$R$4:$R$303&lt;&gt;"")*('Loan Tape'!$E$4:$E$303='Deal Strat'!$C$12))*'Loan Tape'!$AI$4:$AI$303*'Loan Tape'!$R$4:$R$303)/E243,"-")</f>
        <v>0.0680705466231036</v>
      </c>
      <c r="O243" s="89" t="n">
        <f aca="false">IFERROR(SUMPRODUCT((('Loan Tape'!$R$4:$R$303&lt;&gt;"")*('Loan Tape'!$E$4:$E$303='Deal Strat'!$C$12))*'Loan Tape'!$AK$4:$AK$303*'Loan Tape'!$R$4:$R$303)/E243,"-")</f>
        <v>0.077777435722589</v>
      </c>
      <c r="P243" s="89" t="n">
        <f aca="false">IFERROR(SUMPRODUCT((('Loan Tape'!$R$4:$R$303&lt;&gt;"")*('Loan Tape'!$E$4:$E$303='Deal Strat'!$C$12))*'Loan Tape'!$S$4:$S$303*'Loan Tape'!$R$4:$R$303)/E243,"-")</f>
        <v>0.841462496677736</v>
      </c>
    </row>
    <row r="245" customFormat="false" ht="19.5" hidden="false" customHeight="true" outlineLevel="0" collapsed="false">
      <c r="B245" s="5" t="s">
        <v>478</v>
      </c>
      <c r="C245" s="5"/>
      <c r="D245" s="5"/>
      <c r="E245" s="5"/>
      <c r="F245" s="5"/>
      <c r="G245" s="5"/>
      <c r="H245" s="5"/>
      <c r="I245" s="5"/>
      <c r="J245" s="5"/>
      <c r="K245" s="5"/>
      <c r="L245" s="5"/>
      <c r="M245" s="5"/>
      <c r="N245" s="5"/>
      <c r="O245" s="5"/>
      <c r="P245" s="5"/>
    </row>
    <row r="246" customFormat="false" ht="42" hidden="false" customHeight="true" outlineLevel="0" collapsed="false">
      <c r="B246" s="82" t="s">
        <v>423</v>
      </c>
      <c r="C246" s="83" t="s">
        <v>368</v>
      </c>
      <c r="D246" s="83" t="s">
        <v>153</v>
      </c>
      <c r="E246" s="83" t="s">
        <v>393</v>
      </c>
      <c r="F246" s="83" t="s">
        <v>394</v>
      </c>
      <c r="G246" s="83" t="s">
        <v>395</v>
      </c>
      <c r="H246" s="83" t="s">
        <v>396</v>
      </c>
      <c r="I246" s="83" t="s">
        <v>397</v>
      </c>
      <c r="J246" s="83" t="s">
        <v>398</v>
      </c>
      <c r="K246" s="83" t="s">
        <v>399</v>
      </c>
      <c r="L246" s="83" t="s">
        <v>400</v>
      </c>
      <c r="M246" s="83" t="s">
        <v>401</v>
      </c>
      <c r="N246" s="83" t="s">
        <v>402</v>
      </c>
      <c r="O246" s="83" t="s">
        <v>403</v>
      </c>
      <c r="P246" s="83" t="s">
        <v>365</v>
      </c>
    </row>
    <row r="247" customFormat="false" ht="14.25" hidden="false" customHeight="false" outlineLevel="0" collapsed="false">
      <c r="B247" s="7" t="s">
        <v>473</v>
      </c>
      <c r="C247" s="68" t="n">
        <f aca="false">COUNTIFS('Loan Tape'!$AJ$4:$AJ$303,"&gt;="&amp;R247,'Loan Tape'!$AJ$4:$AJ$303,"&lt;="&amp;S247,'Loan Tape'!$R$4:$R$303,"&lt;&gt;",'Loan Tape'!$E$4:$E$303,'Deal Strat'!$C$12)</f>
        <v>1</v>
      </c>
      <c r="D247" s="68" t="n">
        <f aca="false">SUMPRODUCT((('Loan Tape'!$AJ$4:$AJ$303&lt;&gt;"")*('Loan Tape'!$R$4:$R$303&lt;&gt;"")*('Loan Tape'!$AJ$4:$AJ$303&gt;=R247)*('Loan Tape'!$AJ$4:$AJ$303&lt;=S247)*('Loan Tape'!$E$4:$E$303='Deal Strat'!$C$12))*'Loan Tape'!$F$4:$F$303)</f>
        <v>184</v>
      </c>
      <c r="E247" s="84" t="n">
        <f aca="false">SUMIFS('Loan Tape'!$R$4:$R$303,'Loan Tape'!$AJ$4:$AJ$303,"&gt;="&amp;R247,'Loan Tape'!$AJ$4:$AJ$303,"&lt;="&amp;S247,'Loan Tape'!$R$4:$R$303,"&lt;&gt;",'Loan Tape'!$E$4:$E$303,'Deal Strat'!$C$12)</f>
        <v>63125000</v>
      </c>
      <c r="F247" s="69" t="n">
        <f aca="false">IFERROR(E247/C5,0)</f>
        <v>0.169469001602741</v>
      </c>
      <c r="G247" s="85" t="n">
        <f aca="false">IFERROR(SUMPRODUCT((('Loan Tape'!$AJ$4:$AJ$303&lt;&gt;"")*('Loan Tape'!$R$4:$R$303&lt;&gt;"")*('Loan Tape'!$AJ$4:$AJ$303&gt;=R247)*('Loan Tape'!$AJ$4:$AJ$303&lt;=S247)*('Loan Tape'!$E$4:$E$303='Deal Strat'!$C$12))*'Loan Tape'!$U$4:$U$303*'Loan Tape'!$R$4:$R$303)/E247,"-")</f>
        <v>1.5</v>
      </c>
      <c r="H247" s="68" t="n">
        <f aca="false">IFERROR(SUMPRODUCT((('Loan Tape'!$AJ$4:$AJ$303&lt;&gt;"")*('Loan Tape'!$R$4:$R$303&lt;&gt;"")*('Loan Tape'!$AJ$4:$AJ$303&gt;=R247)*('Loan Tape'!$AJ$4:$AJ$303&lt;=S247)*('Loan Tape'!$E$4:$E$303='Deal Strat'!$C$12))*'Loan Tape'!$AH$4:$AH$303*'Loan Tape'!$R$4:$R$303)/E247,"-")</f>
        <v>103</v>
      </c>
      <c r="I247" s="68" t="n">
        <f aca="false">IFERROR(SUMPRODUCT((('Loan Tape'!$AJ$4:$AJ$303&lt;&gt;"")*('Loan Tape'!$R$4:$R$303&lt;&gt;"")*('Loan Tape'!$AJ$4:$AJ$303&gt;=R247)*('Loan Tape'!$AJ$4:$AJ$303&lt;=S247)*('Loan Tape'!$E$4:$E$303='Deal Strat'!$C$12))*(('Loan Tape'!$H$4:$H$303-$C$4)/30.4375)*'Loan Tape'!$R$4:$R$303)/E247,"-")</f>
        <v>17.0184804928131</v>
      </c>
      <c r="J247" s="69" t="n">
        <f aca="false">IFERROR(SUMPRODUCT((('Loan Tape'!$AJ$4:$AJ$303&lt;&gt;"")*('Loan Tape'!$R$4:$R$303&lt;&gt;"")*('Loan Tape'!$AJ$4:$AJ$303&gt;=R247)*('Loan Tape'!$AJ$4:$AJ$303&lt;=S247)*('Loan Tape'!$E$4:$E$303='Deal Strat'!$C$12))*('Loan Tape'!$K$4:$K$303="Floating")*'Loan Tape'!$R$4:$R$303)/E247,"-")</f>
        <v>1</v>
      </c>
      <c r="K247" s="69" t="n">
        <f aca="false">IFERROR(SUMPRODUCT((('Loan Tape'!$AJ$4:$AJ$303&lt;&gt;"")*('Loan Tape'!$R$4:$R$303&lt;&gt;"")*('Loan Tape'!$AJ$4:$AJ$303&gt;=R247)*('Loan Tape'!$AJ$4:$AJ$303&lt;=S247)*('Loan Tape'!$E$4:$E$303='Deal Strat'!$C$12))*'Loan Tape'!$T$4:$T$303*'Loan Tape'!$R$4:$R$303)/E247,"-")</f>
        <v>0.0745</v>
      </c>
      <c r="L247" s="69" t="n">
        <f aca="false">IFERROR(SUMPRODUCT((('Loan Tape'!$AJ$4:$AJ$303&lt;&gt;"")*('Loan Tape'!$R$4:$R$303&lt;&gt;"")*('Loan Tape'!$AJ$4:$AJ$303&gt;=R247)*('Loan Tape'!$AJ$4:$AJ$303&lt;=S247)*('Loan Tape'!$E$4:$E$303='Deal Strat'!$C$12))*'Loan Tape'!$V$4:$V$303*'Loan Tape'!$R$4:$R$303)/E247,"-")</f>
        <v>0.583</v>
      </c>
      <c r="M247" s="69" t="n">
        <f aca="false">IFERROR(SUMPRODUCT((('Loan Tape'!$AJ$4:$AJ$303&lt;&gt;"")*('Loan Tape'!$R$4:$R$303&lt;&gt;"")*('Loan Tape'!$AJ$4:$AJ$303&gt;=R247)*('Loan Tape'!$AJ$4:$AJ$303&lt;=S247)*('Loan Tape'!$E$4:$E$303='Deal Strat'!$C$12))*'Loan Tape'!$W$4:$W$303*'Loan Tape'!$R$4:$R$303)/E247,"-")</f>
        <v>0.613</v>
      </c>
      <c r="N247" s="69" t="n">
        <f aca="false">IFERROR(SUMPRODUCT((('Loan Tape'!$AJ$4:$AJ$303&lt;&gt;"")*('Loan Tape'!$R$4:$R$303&lt;&gt;"")*('Loan Tape'!$AJ$4:$AJ$303&gt;=R247)*('Loan Tape'!$AJ$4:$AJ$303&lt;=S247)*('Loan Tape'!$E$4:$E$303='Deal Strat'!$C$12))*'Loan Tape'!$AI$4:$AI$303*'Loan Tape'!$R$4:$R$303)/E247,"-")</f>
        <v>0.0649</v>
      </c>
      <c r="O247" s="69" t="n">
        <f aca="false">IFERROR(SUMPRODUCT((('Loan Tape'!$AJ$4:$AJ$303&lt;&gt;"")*('Loan Tape'!$R$4:$R$303&lt;&gt;"")*('Loan Tape'!$AJ$4:$AJ$303&gt;=R247)*('Loan Tape'!$AJ$4:$AJ$303&lt;=S247)*('Loan Tape'!$E$4:$E$303='Deal Strat'!$C$12))*'Loan Tape'!$AK$4:$AK$303*'Loan Tape'!$R$4:$R$303)/E247,"-")</f>
        <v>0.0799</v>
      </c>
      <c r="P247" s="69" t="n">
        <f aca="false">IFERROR(SUMPRODUCT((('Loan Tape'!$AJ$4:$AJ$303&lt;&gt;"")*('Loan Tape'!$R$4:$R$303&lt;&gt;"")*('Loan Tape'!$AJ$4:$AJ$303&gt;=R247)*('Loan Tape'!$AJ$4:$AJ$303&lt;=S247)*('Loan Tape'!$E$4:$E$303='Deal Strat'!$C$12))*'Loan Tape'!$S$4:$S$303*'Loan Tape'!$R$4:$R$303)/E247,"-")</f>
        <v>0.817</v>
      </c>
      <c r="R247" s="91" t="n">
        <v>-1000000000000</v>
      </c>
      <c r="S247" s="91" t="n">
        <v>11.99</v>
      </c>
    </row>
    <row r="248" customFormat="false" ht="14.25" hidden="false" customHeight="false" outlineLevel="0" collapsed="false">
      <c r="B248" s="7" t="s">
        <v>474</v>
      </c>
      <c r="C248" s="68" t="n">
        <f aca="false">COUNTIFS('Loan Tape'!$AJ$4:$AJ$303,"&gt;="&amp;R248,'Loan Tape'!$AJ$4:$AJ$303,"&lt;="&amp;S248,'Loan Tape'!$R$4:$R$303,"&lt;&gt;",'Loan Tape'!$E$4:$E$303,'Deal Strat'!$C$12)</f>
        <v>1</v>
      </c>
      <c r="D248" s="68" t="n">
        <f aca="false">SUMPRODUCT((('Loan Tape'!$AJ$4:$AJ$303&lt;&gt;"")*('Loan Tape'!$R$4:$R$303&lt;&gt;"")*('Loan Tape'!$AJ$4:$AJ$303&gt;=R248)*('Loan Tape'!$AJ$4:$AJ$303&lt;=S248)*('Loan Tape'!$E$4:$E$303='Deal Strat'!$C$12))*'Loan Tape'!$F$4:$F$303)</f>
        <v>0</v>
      </c>
      <c r="E248" s="84" t="n">
        <f aca="false">SUMIFS('Loan Tape'!$R$4:$R$303,'Loan Tape'!$AJ$4:$AJ$303,"&gt;="&amp;R248,'Loan Tape'!$AJ$4:$AJ$303,"&lt;="&amp;S248,'Loan Tape'!$R$4:$R$303,"&lt;&gt;",'Loan Tape'!$E$4:$E$303,'Deal Strat'!$C$12)</f>
        <v>120313000</v>
      </c>
      <c r="F248" s="69" t="n">
        <f aca="false">IFERROR(E248/C5,0)</f>
        <v>0.322999191918107</v>
      </c>
      <c r="G248" s="85" t="n">
        <f aca="false">IFERROR(SUMPRODUCT((('Loan Tape'!$AJ$4:$AJ$303&lt;&gt;"")*('Loan Tape'!$R$4:$R$303&lt;&gt;"")*('Loan Tape'!$AJ$4:$AJ$303&gt;=R248)*('Loan Tape'!$AJ$4:$AJ$303&lt;=S248)*('Loan Tape'!$E$4:$E$303='Deal Strat'!$C$12))*'Loan Tape'!$U$4:$U$303*'Loan Tape'!$R$4:$R$303)/E248,"-")</f>
        <v>1.38</v>
      </c>
      <c r="H248" s="68" t="n">
        <f aca="false">IFERROR(SUMPRODUCT((('Loan Tape'!$AJ$4:$AJ$303&lt;&gt;"")*('Loan Tape'!$R$4:$R$303&lt;&gt;"")*('Loan Tape'!$AJ$4:$AJ$303&gt;=R248)*('Loan Tape'!$AJ$4:$AJ$303&lt;=S248)*('Loan Tape'!$E$4:$E$303='Deal Strat'!$C$12))*'Loan Tape'!$AH$4:$AH$303*'Loan Tape'!$R$4:$R$303)/E248,"-")</f>
        <v>100</v>
      </c>
      <c r="I248" s="68" t="n">
        <f aca="false">IFERROR(SUMPRODUCT((('Loan Tape'!$AJ$4:$AJ$303&lt;&gt;"")*('Loan Tape'!$R$4:$R$303&lt;&gt;"")*('Loan Tape'!$AJ$4:$AJ$303&gt;=R248)*('Loan Tape'!$AJ$4:$AJ$303&lt;=S248)*('Loan Tape'!$E$4:$E$303='Deal Strat'!$C$12))*(('Loan Tape'!$H$4:$H$303-$C$4)/30.4375)*'Loan Tape'!$R$4:$R$303)/E248,"-")</f>
        <v>20.041067761807</v>
      </c>
      <c r="J248" s="69" t="n">
        <f aca="false">IFERROR(SUMPRODUCT((('Loan Tape'!$AJ$4:$AJ$303&lt;&gt;"")*('Loan Tape'!$R$4:$R$303&lt;&gt;"")*('Loan Tape'!$AJ$4:$AJ$303&gt;=R248)*('Loan Tape'!$AJ$4:$AJ$303&lt;=S248)*('Loan Tape'!$E$4:$E$303='Deal Strat'!$C$12))*('Loan Tape'!$K$4:$K$303="Floating")*'Loan Tape'!$R$4:$R$303)/E248,"-")</f>
        <v>1</v>
      </c>
      <c r="K248" s="69" t="n">
        <f aca="false">IFERROR(SUMPRODUCT((('Loan Tape'!$AJ$4:$AJ$303&lt;&gt;"")*('Loan Tape'!$R$4:$R$303&lt;&gt;"")*('Loan Tape'!$AJ$4:$AJ$303&gt;=R248)*('Loan Tape'!$AJ$4:$AJ$303&lt;=S248)*('Loan Tape'!$E$4:$E$303='Deal Strat'!$C$12))*'Loan Tape'!$T$4:$T$303*'Loan Tape'!$R$4:$R$303)/E248,"-")</f>
        <v>0.0814</v>
      </c>
      <c r="L248" s="69" t="n">
        <f aca="false">IFERROR(SUMPRODUCT((('Loan Tape'!$AJ$4:$AJ$303&lt;&gt;"")*('Loan Tape'!$R$4:$R$303&lt;&gt;"")*('Loan Tape'!$AJ$4:$AJ$303&gt;=R248)*('Loan Tape'!$AJ$4:$AJ$303&lt;=S248)*('Loan Tape'!$E$4:$E$303='Deal Strat'!$C$12))*'Loan Tape'!$V$4:$V$303*'Loan Tape'!$R$4:$R$303)/E248,"-")</f>
        <v>0.663</v>
      </c>
      <c r="M248" s="69" t="n">
        <f aca="false">IFERROR(SUMPRODUCT((('Loan Tape'!$AJ$4:$AJ$303&lt;&gt;"")*('Loan Tape'!$R$4:$R$303&lt;&gt;"")*('Loan Tape'!$AJ$4:$AJ$303&gt;=R248)*('Loan Tape'!$AJ$4:$AJ$303&lt;=S248)*('Loan Tape'!$E$4:$E$303='Deal Strat'!$C$12))*'Loan Tape'!$W$4:$W$303*'Loan Tape'!$R$4:$R$303)/E248,"-")</f>
        <v>0.69</v>
      </c>
      <c r="N248" s="69" t="n">
        <f aca="false">IFERROR(SUMPRODUCT((('Loan Tape'!$AJ$4:$AJ$303&lt;&gt;"")*('Loan Tape'!$R$4:$R$303&lt;&gt;"")*('Loan Tape'!$AJ$4:$AJ$303&gt;=R248)*('Loan Tape'!$AJ$4:$AJ$303&lt;=S248)*('Loan Tape'!$E$4:$E$303='Deal Strat'!$C$12))*'Loan Tape'!$AI$4:$AI$303*'Loan Tape'!$R$4:$R$303)/E248,"-")</f>
        <v>0.083</v>
      </c>
      <c r="O248" s="69" t="n">
        <f aca="false">IFERROR(SUMPRODUCT((('Loan Tape'!$AJ$4:$AJ$303&lt;&gt;"")*('Loan Tape'!$R$4:$R$303&lt;&gt;"")*('Loan Tape'!$AJ$4:$AJ$303&gt;=R248)*('Loan Tape'!$AJ$4:$AJ$303&lt;=S248)*('Loan Tape'!$E$4:$E$303='Deal Strat'!$C$12))*'Loan Tape'!$AK$4:$AK$303*'Loan Tape'!$R$4:$R$303)/E248,"-")</f>
        <v>0.098</v>
      </c>
      <c r="P248" s="69" t="n">
        <f aca="false">IFERROR(SUMPRODUCT((('Loan Tape'!$AJ$4:$AJ$303&lt;&gt;"")*('Loan Tape'!$R$4:$R$303&lt;&gt;"")*('Loan Tape'!$AJ$4:$AJ$303&gt;=R248)*('Loan Tape'!$AJ$4:$AJ$303&lt;=S248)*('Loan Tape'!$E$4:$E$303='Deal Strat'!$C$12))*'Loan Tape'!$S$4:$S$303*'Loan Tape'!$R$4:$R$303)/E248,"-")</f>
        <v>0.784</v>
      </c>
      <c r="R248" s="91" t="n">
        <v>12</v>
      </c>
      <c r="S248" s="91" t="n">
        <v>24</v>
      </c>
    </row>
    <row r="249" customFormat="false" ht="14.25" hidden="false" customHeight="false" outlineLevel="0" collapsed="false">
      <c r="B249" s="7" t="s">
        <v>475</v>
      </c>
      <c r="C249" s="68" t="n">
        <f aca="false">COUNTIFS('Loan Tape'!$AJ$4:$AJ$303,"&gt;="&amp;R249,'Loan Tape'!$AJ$4:$AJ$303,"&lt;="&amp;S249,'Loan Tape'!$R$4:$R$303,"&lt;&gt;",'Loan Tape'!$E$4:$E$303,'Deal Strat'!$C$12)</f>
        <v>0</v>
      </c>
      <c r="D249" s="68" t="n">
        <f aca="false">SUMPRODUCT((('Loan Tape'!$AJ$4:$AJ$303&lt;&gt;"")*('Loan Tape'!$R$4:$R$303&lt;&gt;"")*('Loan Tape'!$AJ$4:$AJ$303&gt;=R249)*('Loan Tape'!$AJ$4:$AJ$303&lt;=S249)*('Loan Tape'!$E$4:$E$303='Deal Strat'!$C$12))*'Loan Tape'!$F$4:$F$303)</f>
        <v>0</v>
      </c>
      <c r="E249" s="84" t="n">
        <f aca="false">SUMIFS('Loan Tape'!$R$4:$R$303,'Loan Tape'!$AJ$4:$AJ$303,"&gt;="&amp;R249,'Loan Tape'!$AJ$4:$AJ$303,"&lt;="&amp;S249,'Loan Tape'!$R$4:$R$303,"&lt;&gt;",'Loan Tape'!$E$4:$E$303,'Deal Strat'!$C$12)</f>
        <v>0</v>
      </c>
      <c r="F249" s="69" t="n">
        <f aca="false">IFERROR(E249/C5,0)</f>
        <v>0</v>
      </c>
      <c r="G249" s="85" t="str">
        <f aca="false">IFERROR(SUMPRODUCT((('Loan Tape'!$AJ$4:$AJ$303&lt;&gt;"")*('Loan Tape'!$R$4:$R$303&lt;&gt;"")*('Loan Tape'!$AJ$4:$AJ$303&gt;=R249)*('Loan Tape'!$AJ$4:$AJ$303&lt;=S249)*('Loan Tape'!$E$4:$E$303='Deal Strat'!$C$12))*'Loan Tape'!$U$4:$U$303*'Loan Tape'!$R$4:$R$303)/E249,"-")</f>
        <v>-</v>
      </c>
      <c r="H249" s="68" t="str">
        <f aca="false">IFERROR(SUMPRODUCT((('Loan Tape'!$AJ$4:$AJ$303&lt;&gt;"")*('Loan Tape'!$R$4:$R$303&lt;&gt;"")*('Loan Tape'!$AJ$4:$AJ$303&gt;=R249)*('Loan Tape'!$AJ$4:$AJ$303&lt;=S249)*('Loan Tape'!$E$4:$E$303='Deal Strat'!$C$12))*'Loan Tape'!$AH$4:$AH$303*'Loan Tape'!$R$4:$R$303)/E249,"-")</f>
        <v>-</v>
      </c>
      <c r="I249" s="68" t="str">
        <f aca="false">IFERROR(SUMPRODUCT((('Loan Tape'!$AJ$4:$AJ$303&lt;&gt;"")*('Loan Tape'!$R$4:$R$303&lt;&gt;"")*('Loan Tape'!$AJ$4:$AJ$303&gt;=R249)*('Loan Tape'!$AJ$4:$AJ$303&lt;=S249)*('Loan Tape'!$E$4:$E$303='Deal Strat'!$C$12))*(('Loan Tape'!$H$4:$H$303-$C$4)/30.4375)*'Loan Tape'!$R$4:$R$303)/E249,"-")</f>
        <v>-</v>
      </c>
      <c r="J249" s="69" t="str">
        <f aca="false">IFERROR(SUMPRODUCT((('Loan Tape'!$AJ$4:$AJ$303&lt;&gt;"")*('Loan Tape'!$R$4:$R$303&lt;&gt;"")*('Loan Tape'!$AJ$4:$AJ$303&gt;=R249)*('Loan Tape'!$AJ$4:$AJ$303&lt;=S249)*('Loan Tape'!$E$4:$E$303='Deal Strat'!$C$12))*('Loan Tape'!$K$4:$K$303="Floating")*'Loan Tape'!$R$4:$R$303)/E249,"-")</f>
        <v>-</v>
      </c>
      <c r="K249" s="69" t="str">
        <f aca="false">IFERROR(SUMPRODUCT((('Loan Tape'!$AJ$4:$AJ$303&lt;&gt;"")*('Loan Tape'!$R$4:$R$303&lt;&gt;"")*('Loan Tape'!$AJ$4:$AJ$303&gt;=R249)*('Loan Tape'!$AJ$4:$AJ$303&lt;=S249)*('Loan Tape'!$E$4:$E$303='Deal Strat'!$C$12))*'Loan Tape'!$T$4:$T$303*'Loan Tape'!$R$4:$R$303)/E249,"-")</f>
        <v>-</v>
      </c>
      <c r="L249" s="69" t="str">
        <f aca="false">IFERROR(SUMPRODUCT((('Loan Tape'!$AJ$4:$AJ$303&lt;&gt;"")*('Loan Tape'!$R$4:$R$303&lt;&gt;"")*('Loan Tape'!$AJ$4:$AJ$303&gt;=R249)*('Loan Tape'!$AJ$4:$AJ$303&lt;=S249)*('Loan Tape'!$E$4:$E$303='Deal Strat'!$C$12))*'Loan Tape'!$V$4:$V$303*'Loan Tape'!$R$4:$R$303)/E249,"-")</f>
        <v>-</v>
      </c>
      <c r="M249" s="69" t="str">
        <f aca="false">IFERROR(SUMPRODUCT((('Loan Tape'!$AJ$4:$AJ$303&lt;&gt;"")*('Loan Tape'!$R$4:$R$303&lt;&gt;"")*('Loan Tape'!$AJ$4:$AJ$303&gt;=R249)*('Loan Tape'!$AJ$4:$AJ$303&lt;=S249)*('Loan Tape'!$E$4:$E$303='Deal Strat'!$C$12))*'Loan Tape'!$W$4:$W$303*'Loan Tape'!$R$4:$R$303)/E249,"-")</f>
        <v>-</v>
      </c>
      <c r="N249" s="69" t="str">
        <f aca="false">IFERROR(SUMPRODUCT((('Loan Tape'!$AJ$4:$AJ$303&lt;&gt;"")*('Loan Tape'!$R$4:$R$303&lt;&gt;"")*('Loan Tape'!$AJ$4:$AJ$303&gt;=R249)*('Loan Tape'!$AJ$4:$AJ$303&lt;=S249)*('Loan Tape'!$E$4:$E$303='Deal Strat'!$C$12))*'Loan Tape'!$AI$4:$AI$303*'Loan Tape'!$R$4:$R$303)/E249,"-")</f>
        <v>-</v>
      </c>
      <c r="O249" s="69" t="str">
        <f aca="false">IFERROR(SUMPRODUCT((('Loan Tape'!$AJ$4:$AJ$303&lt;&gt;"")*('Loan Tape'!$R$4:$R$303&lt;&gt;"")*('Loan Tape'!$AJ$4:$AJ$303&gt;=R249)*('Loan Tape'!$AJ$4:$AJ$303&lt;=S249)*('Loan Tape'!$E$4:$E$303='Deal Strat'!$C$12))*'Loan Tape'!$AK$4:$AK$303*'Loan Tape'!$R$4:$R$303)/E249,"-")</f>
        <v>-</v>
      </c>
      <c r="P249" s="69" t="str">
        <f aca="false">IFERROR(SUMPRODUCT((('Loan Tape'!$AJ$4:$AJ$303&lt;&gt;"")*('Loan Tape'!$R$4:$R$303&lt;&gt;"")*('Loan Tape'!$AJ$4:$AJ$303&gt;=R249)*('Loan Tape'!$AJ$4:$AJ$303&lt;=S249)*('Loan Tape'!$E$4:$E$303='Deal Strat'!$C$12))*'Loan Tape'!$S$4:$S$303*'Loan Tape'!$R$4:$R$303)/E249,"-")</f>
        <v>-</v>
      </c>
      <c r="R249" s="91" t="n">
        <v>24.01</v>
      </c>
      <c r="S249" s="91" t="n">
        <v>36</v>
      </c>
    </row>
    <row r="250" customFormat="false" ht="14.25" hidden="false" customHeight="false" outlineLevel="0" collapsed="false">
      <c r="B250" s="7" t="s">
        <v>479</v>
      </c>
      <c r="C250" s="68" t="n">
        <f aca="false">COUNTIFS('Loan Tape'!$AJ$4:$AJ$303,"&gt;="&amp;R250,'Loan Tape'!$AJ$4:$AJ$303,"&lt;="&amp;S250,'Loan Tape'!$R$4:$R$303,"&lt;&gt;",'Loan Tape'!$E$4:$E$303,'Deal Strat'!$C$12)</f>
        <v>0</v>
      </c>
      <c r="D250" s="68" t="n">
        <f aca="false">SUMPRODUCT((('Loan Tape'!$AJ$4:$AJ$303&lt;&gt;"")*('Loan Tape'!$R$4:$R$303&lt;&gt;"")*('Loan Tape'!$AJ$4:$AJ$303&gt;=R250)*('Loan Tape'!$AJ$4:$AJ$303&lt;=S250)*('Loan Tape'!$E$4:$E$303='Deal Strat'!$C$12))*'Loan Tape'!$F$4:$F$303)</f>
        <v>0</v>
      </c>
      <c r="E250" s="84" t="n">
        <f aca="false">SUMIFS('Loan Tape'!$R$4:$R$303,'Loan Tape'!$AJ$4:$AJ$303,"&gt;="&amp;R250,'Loan Tape'!$AJ$4:$AJ$303,"&lt;="&amp;S250,'Loan Tape'!$R$4:$R$303,"&lt;&gt;",'Loan Tape'!$E$4:$E$303,'Deal Strat'!$C$12)</f>
        <v>0</v>
      </c>
      <c r="F250" s="69" t="n">
        <f aca="false">IFERROR(E250/C5,0)</f>
        <v>0</v>
      </c>
      <c r="G250" s="85" t="str">
        <f aca="false">IFERROR(SUMPRODUCT((('Loan Tape'!$AJ$4:$AJ$303&lt;&gt;"")*('Loan Tape'!$R$4:$R$303&lt;&gt;"")*('Loan Tape'!$AJ$4:$AJ$303&gt;=R250)*('Loan Tape'!$AJ$4:$AJ$303&lt;=S250)*('Loan Tape'!$E$4:$E$303='Deal Strat'!$C$12))*'Loan Tape'!$U$4:$U$303*'Loan Tape'!$R$4:$R$303)/E250,"-")</f>
        <v>-</v>
      </c>
      <c r="H250" s="68" t="str">
        <f aca="false">IFERROR(SUMPRODUCT((('Loan Tape'!$AJ$4:$AJ$303&lt;&gt;"")*('Loan Tape'!$R$4:$R$303&lt;&gt;"")*('Loan Tape'!$AJ$4:$AJ$303&gt;=R250)*('Loan Tape'!$AJ$4:$AJ$303&lt;=S250)*('Loan Tape'!$E$4:$E$303='Deal Strat'!$C$12))*'Loan Tape'!$AH$4:$AH$303*'Loan Tape'!$R$4:$R$303)/E250,"-")</f>
        <v>-</v>
      </c>
      <c r="I250" s="68" t="str">
        <f aca="false">IFERROR(SUMPRODUCT((('Loan Tape'!$AJ$4:$AJ$303&lt;&gt;"")*('Loan Tape'!$R$4:$R$303&lt;&gt;"")*('Loan Tape'!$AJ$4:$AJ$303&gt;=R250)*('Loan Tape'!$AJ$4:$AJ$303&lt;=S250)*('Loan Tape'!$E$4:$E$303='Deal Strat'!$C$12))*(('Loan Tape'!$H$4:$H$303-$C$4)/30.4375)*'Loan Tape'!$R$4:$R$303)/E250,"-")</f>
        <v>-</v>
      </c>
      <c r="J250" s="69" t="str">
        <f aca="false">IFERROR(SUMPRODUCT((('Loan Tape'!$AJ$4:$AJ$303&lt;&gt;"")*('Loan Tape'!$R$4:$R$303&lt;&gt;"")*('Loan Tape'!$AJ$4:$AJ$303&gt;=R250)*('Loan Tape'!$AJ$4:$AJ$303&lt;=S250)*('Loan Tape'!$E$4:$E$303='Deal Strat'!$C$12))*('Loan Tape'!$K$4:$K$303="Floating")*'Loan Tape'!$R$4:$R$303)/E250,"-")</f>
        <v>-</v>
      </c>
      <c r="K250" s="69" t="str">
        <f aca="false">IFERROR(SUMPRODUCT((('Loan Tape'!$AJ$4:$AJ$303&lt;&gt;"")*('Loan Tape'!$R$4:$R$303&lt;&gt;"")*('Loan Tape'!$AJ$4:$AJ$303&gt;=R250)*('Loan Tape'!$AJ$4:$AJ$303&lt;=S250)*('Loan Tape'!$E$4:$E$303='Deal Strat'!$C$12))*'Loan Tape'!$T$4:$T$303*'Loan Tape'!$R$4:$R$303)/E250,"-")</f>
        <v>-</v>
      </c>
      <c r="L250" s="69" t="str">
        <f aca="false">IFERROR(SUMPRODUCT((('Loan Tape'!$AJ$4:$AJ$303&lt;&gt;"")*('Loan Tape'!$R$4:$R$303&lt;&gt;"")*('Loan Tape'!$AJ$4:$AJ$303&gt;=R250)*('Loan Tape'!$AJ$4:$AJ$303&lt;=S250)*('Loan Tape'!$E$4:$E$303='Deal Strat'!$C$12))*'Loan Tape'!$V$4:$V$303*'Loan Tape'!$R$4:$R$303)/E250,"-")</f>
        <v>-</v>
      </c>
      <c r="M250" s="69" t="str">
        <f aca="false">IFERROR(SUMPRODUCT((('Loan Tape'!$AJ$4:$AJ$303&lt;&gt;"")*('Loan Tape'!$R$4:$R$303&lt;&gt;"")*('Loan Tape'!$AJ$4:$AJ$303&gt;=R250)*('Loan Tape'!$AJ$4:$AJ$303&lt;=S250)*('Loan Tape'!$E$4:$E$303='Deal Strat'!$C$12))*'Loan Tape'!$W$4:$W$303*'Loan Tape'!$R$4:$R$303)/E250,"-")</f>
        <v>-</v>
      </c>
      <c r="N250" s="69" t="str">
        <f aca="false">IFERROR(SUMPRODUCT((('Loan Tape'!$AJ$4:$AJ$303&lt;&gt;"")*('Loan Tape'!$R$4:$R$303&lt;&gt;"")*('Loan Tape'!$AJ$4:$AJ$303&gt;=R250)*('Loan Tape'!$AJ$4:$AJ$303&lt;=S250)*('Loan Tape'!$E$4:$E$303='Deal Strat'!$C$12))*'Loan Tape'!$AI$4:$AI$303*'Loan Tape'!$R$4:$R$303)/E250,"-")</f>
        <v>-</v>
      </c>
      <c r="O250" s="69" t="str">
        <f aca="false">IFERROR(SUMPRODUCT((('Loan Tape'!$AJ$4:$AJ$303&lt;&gt;"")*('Loan Tape'!$R$4:$R$303&lt;&gt;"")*('Loan Tape'!$AJ$4:$AJ$303&gt;=R250)*('Loan Tape'!$AJ$4:$AJ$303&lt;=S250)*('Loan Tape'!$E$4:$E$303='Deal Strat'!$C$12))*'Loan Tape'!$AK$4:$AK$303*'Loan Tape'!$R$4:$R$303)/E250,"-")</f>
        <v>-</v>
      </c>
      <c r="P250" s="69" t="str">
        <f aca="false">IFERROR(SUMPRODUCT((('Loan Tape'!$AJ$4:$AJ$303&lt;&gt;"")*('Loan Tape'!$R$4:$R$303&lt;&gt;"")*('Loan Tape'!$AJ$4:$AJ$303&gt;=R250)*('Loan Tape'!$AJ$4:$AJ$303&lt;=S250)*('Loan Tape'!$E$4:$E$303='Deal Strat'!$C$12))*'Loan Tape'!$S$4:$S$303*'Loan Tape'!$R$4:$R$303)/E250,"-")</f>
        <v>-</v>
      </c>
      <c r="R250" s="91" t="n">
        <v>36.01</v>
      </c>
      <c r="S250" s="91" t="n">
        <v>1000000000000</v>
      </c>
    </row>
    <row r="251" customFormat="false" ht="14.25" hidden="false" customHeight="false" outlineLevel="0" collapsed="false">
      <c r="B251" s="7" t="s">
        <v>480</v>
      </c>
      <c r="C251" s="68" t="n">
        <f aca="false">SUMPRODUCT((('Loan Tape'!$R$4:$R$303&lt;&gt;"")*(('Loan Tape'!$Z$4:$Z$303="Full Amortizing")*('Loan Tape'!$R$4:$R$303&lt;&gt;""))*('Loan Tape'!$E$4:$E$303='Deal Strat'!$C$12))*1)</f>
        <v>3</v>
      </c>
      <c r="D251" s="68" t="n">
        <f aca="false">SUMPRODUCT((('Loan Tape'!$R$4:$R$303&lt;&gt;"")*(('Loan Tape'!$Z$4:$Z$303="Full Amortizing")*('Loan Tape'!$R$4:$R$303&lt;&gt;""))*('Loan Tape'!$E$4:$E$303='Deal Strat'!$C$12))*'Loan Tape'!$F$4:$F$303)</f>
        <v>409</v>
      </c>
      <c r="E251" s="84" t="n">
        <f aca="false">SUMPRODUCT((('Loan Tape'!$R$4:$R$303&lt;&gt;"")*(('Loan Tape'!$Z$4:$Z$303="Full Amortizing")*('Loan Tape'!$R$4:$R$303&lt;&gt;""))*('Loan Tape'!$E$4:$E$303='Deal Strat'!$C$12))*'Loan Tape'!$R$4:$R$303)</f>
        <v>189049000</v>
      </c>
      <c r="F251" s="69" t="n">
        <f aca="false">IFERROR(E251/C5,0)</f>
        <v>0.507531806479152</v>
      </c>
      <c r="G251" s="85" t="n">
        <f aca="false">IFERROR(SUMPRODUCT((('Loan Tape'!$R$4:$R$303&lt;&gt;"")*(('Loan Tape'!$Z$4:$Z$303="Full Amortizing")*('Loan Tape'!$R$4:$R$303&lt;&gt;""))*('Loan Tape'!$E$4:$E$303='Deal Strat'!$C$12))*'Loan Tape'!$U$4:$U$303*'Loan Tape'!$R$4:$R$303)/E251,"-")</f>
        <v>1.50319499177462</v>
      </c>
      <c r="H251" s="68" t="n">
        <f aca="false">IFERROR(SUMPRODUCT((('Loan Tape'!$R$4:$R$303&lt;&gt;"")*(('Loan Tape'!$Z$4:$Z$303="Full Amortizing")*('Loan Tape'!$R$4:$R$303&lt;&gt;""))*('Loan Tape'!$E$4:$E$303='Deal Strat'!$C$12))*'Loan Tape'!$AH$4:$AH$303*'Loan Tape'!$R$4:$R$303)/E251,"-")</f>
        <v>99.7886368084465</v>
      </c>
      <c r="I251" s="68" t="n">
        <f aca="false">IFERROR(SUMPRODUCT((('Loan Tape'!$R$4:$R$303&lt;&gt;"")*(('Loan Tape'!$Z$4:$Z$303="Full Amortizing")*('Loan Tape'!$R$4:$R$303&lt;&gt;""))*('Loan Tape'!$E$4:$E$303='Deal Strat'!$C$12))*(('Loan Tape'!$H$4:$H$303-$C$4)/30.4375)*'Loan Tape'!$R$4:$R$303)/E251,"-")</f>
        <v>-10.5115721386097</v>
      </c>
      <c r="J251" s="69" t="n">
        <f aca="false">IFERROR(SUMPRODUCT((('Loan Tape'!$R$4:$R$303&lt;&gt;"")*(('Loan Tape'!$Z$4:$Z$303="Full Amortizing")*('Loan Tape'!$R$4:$R$303&lt;&gt;""))*('Loan Tape'!$E$4:$E$303='Deal Strat'!$C$12))*('Loan Tape'!$K$4:$K$303="Floating")*'Loan Tape'!$R$4:$R$303)/E251,"-")</f>
        <v>0.304725229966834</v>
      </c>
      <c r="K251" s="69" t="n">
        <f aca="false">IFERROR(SUMPRODUCT((('Loan Tape'!$R$4:$R$303&lt;&gt;"")*(('Loan Tape'!$Z$4:$Z$303="Full Amortizing")*('Loan Tape'!$R$4:$R$303&lt;&gt;""))*('Loan Tape'!$E$4:$E$303='Deal Strat'!$C$12))*'Loan Tape'!$T$4:$T$303*'Loan Tape'!$R$4:$R$303)/E251,"-")</f>
        <v>0.0915316288369682</v>
      </c>
      <c r="L251" s="69" t="n">
        <f aca="false">IFERROR(SUMPRODUCT((('Loan Tape'!$R$4:$R$303&lt;&gt;"")*(('Loan Tape'!$Z$4:$Z$303="Full Amortizing")*('Loan Tape'!$R$4:$R$303&lt;&gt;""))*('Loan Tape'!$E$4:$E$303='Deal Strat'!$C$12))*'Loan Tape'!$V$4:$V$303*'Loan Tape'!$R$4:$R$303)/E251,"-")</f>
        <v>0.743325889055219</v>
      </c>
      <c r="M251" s="69" t="n">
        <f aca="false">IFERROR(SUMPRODUCT((('Loan Tape'!$R$4:$R$303&lt;&gt;"")*(('Loan Tape'!$Z$4:$Z$303="Full Amortizing")*('Loan Tape'!$R$4:$R$303&lt;&gt;""))*('Loan Tape'!$E$4:$E$303='Deal Strat'!$C$12))*'Loan Tape'!$W$4:$W$303*'Loan Tape'!$R$4:$R$303)/E251,"-")</f>
        <v>0.790429999629726</v>
      </c>
      <c r="N251" s="69" t="n">
        <f aca="false">IFERROR(SUMPRODUCT((('Loan Tape'!$R$4:$R$303&lt;&gt;"")*(('Loan Tape'!$Z$4:$Z$303="Full Amortizing")*('Loan Tape'!$R$4:$R$303&lt;&gt;""))*('Loan Tape'!$E$4:$E$303='Deal Strat'!$C$12))*'Loan Tape'!$AI$4:$AI$303*'Loan Tape'!$R$4:$R$303)/E251,"-")</f>
        <v>0.0596279387883565</v>
      </c>
      <c r="O251" s="69" t="n">
        <f aca="false">IFERROR(SUMPRODUCT((('Loan Tape'!$R$4:$R$303&lt;&gt;"")*(('Loan Tape'!$Z$4:$Z$303="Full Amortizing")*('Loan Tape'!$R$4:$R$303&lt;&gt;""))*('Loan Tape'!$E$4:$E$303='Deal Strat'!$C$12))*'Loan Tape'!$AK$4:$AK$303*'Loan Tape'!$R$4:$R$303)/E251,"-")</f>
        <v>0.064198817237859</v>
      </c>
      <c r="P251" s="69" t="n">
        <f aca="false">IFERROR(SUMPRODUCT((('Loan Tape'!$R$4:$R$303&lt;&gt;"")*(('Loan Tape'!$Z$4:$Z$303="Full Amortizing")*('Loan Tape'!$R$4:$R$303&lt;&gt;""))*('Loan Tape'!$E$4:$E$303='Deal Strat'!$C$12))*'Loan Tape'!$S$4:$S$303*'Loan Tape'!$R$4:$R$303)/E251,"-")</f>
        <v>0.886200530021317</v>
      </c>
    </row>
    <row r="252" customFormat="false" ht="14.25" hidden="false" customHeight="false" outlineLevel="0" collapsed="false">
      <c r="B252" s="86" t="s">
        <v>405</v>
      </c>
      <c r="C252" s="92" t="n">
        <f aca="false">SUM(C247:C251)</f>
        <v>5</v>
      </c>
      <c r="D252" s="92" t="n">
        <f aca="false">SUM(D247:D251)</f>
        <v>593</v>
      </c>
      <c r="E252" s="88" t="n">
        <f aca="false">SUM(E247:E251)</f>
        <v>372487000</v>
      </c>
      <c r="F252" s="89" t="n">
        <f aca="false">SUM(F247:F251)</f>
        <v>1</v>
      </c>
      <c r="G252" s="90" t="n">
        <f aca="false">IFERROR(SUMPRODUCT((('Loan Tape'!$R$4:$R$303&lt;&gt;"")*('Loan Tape'!$E$4:$E$303='Deal Strat'!$C$12))*'Loan Tape'!$U$4:$U$303*'Loan Tape'!$R$4:$R$303)/E252,"-")</f>
        <v>1.46286165691689</v>
      </c>
      <c r="H252" s="92" t="n">
        <f aca="false">IFERROR(SUMPRODUCT((('Loan Tape'!$R$4:$R$303&lt;&gt;"")*('Loan Tape'!$E$4:$E$303='Deal Strat'!$C$12))*'Loan Tape'!$AH$4:$AH$303*'Loan Tape'!$R$4:$R$303)/E252,"-")</f>
        <v>100.401133462376</v>
      </c>
      <c r="I252" s="92" t="n">
        <f aca="false">IFERROR(SUMPRODUCT((('Loan Tape'!$R$4:$R$303&lt;&gt;"")*('Loan Tape'!$E$4:$E$303='Deal Strat'!$C$12))*(('Loan Tape'!$H$4:$H$303-$C$4)/30.4375)*'Loan Tape'!$R$4:$R$303)/E252,"-")</f>
        <v>4.02239639370792</v>
      </c>
      <c r="J252" s="89" t="n">
        <f aca="false">IFERROR(SUMPRODUCT((('Loan Tape'!$R$4:$R$303&lt;&gt;"")*('Loan Tape'!$E$4:$E$303='Deal Strat'!$C$12))*('Loan Tape'!$K$4:$K$303="Floating")*'Loan Tape'!$R$4:$R$303)/E252,"-")</f>
        <v>0.64712593996569</v>
      </c>
      <c r="K252" s="89" t="n">
        <f aca="false">IFERROR(SUMPRODUCT((('Loan Tape'!$R$4:$R$303&lt;&gt;"")*('Loan Tape'!$E$4:$E$303='Deal Strat'!$C$12))*'Loan Tape'!$T$4:$T$303*'Loan Tape'!$R$4:$R$303)/E252,"-")</f>
        <v>0.0853727877751438</v>
      </c>
      <c r="L252" s="89" t="n">
        <f aca="false">IFERROR(SUMPRODUCT((('Loan Tape'!$R$4:$R$303&lt;&gt;"")*('Loan Tape'!$E$4:$E$303='Deal Strat'!$C$12))*'Loan Tape'!$V$4:$V$303*'Loan Tape'!$R$4:$R$303)/E252,"-")</f>
        <v>0.69021042345102</v>
      </c>
      <c r="M252" s="89" t="n">
        <f aca="false">IFERROR(SUMPRODUCT((('Loan Tape'!$R$4:$R$303&lt;&gt;"")*('Loan Tape'!$E$4:$E$303='Deal Strat'!$C$12))*'Loan Tape'!$W$4:$W$303*'Loan Tape'!$R$4:$R$303)/E252,"-")</f>
        <v>0.727922306013364</v>
      </c>
      <c r="N252" s="89" t="n">
        <f aca="false">IFERROR(SUMPRODUCT((('Loan Tape'!$R$4:$R$303&lt;&gt;"")*('Loan Tape'!$E$4:$E$303='Deal Strat'!$C$12))*'Loan Tape'!$AI$4:$AI$303*'Loan Tape'!$R$4:$R$303)/E252,"-")</f>
        <v>0.0680705466231036</v>
      </c>
      <c r="O252" s="89" t="n">
        <f aca="false">IFERROR(SUMPRODUCT((('Loan Tape'!$R$4:$R$303&lt;&gt;"")*('Loan Tape'!$E$4:$E$303='Deal Strat'!$C$12))*'Loan Tape'!$AK$4:$AK$303*'Loan Tape'!$R$4:$R$303)/E252,"-")</f>
        <v>0.077777435722589</v>
      </c>
      <c r="P252" s="89" t="n">
        <f aca="false">IFERROR(SUMPRODUCT((('Loan Tape'!$R$4:$R$303&lt;&gt;"")*('Loan Tape'!$E$4:$E$303='Deal Strat'!$C$12))*'Loan Tape'!$S$4:$S$303*'Loan Tape'!$R$4:$R$303)/E252,"-")</f>
        <v>0.841462496677736</v>
      </c>
    </row>
    <row r="254" customFormat="false" ht="19.5" hidden="false" customHeight="true" outlineLevel="0" collapsed="false">
      <c r="B254" s="5" t="s">
        <v>481</v>
      </c>
      <c r="C254" s="5"/>
      <c r="D254" s="5"/>
      <c r="E254" s="5"/>
      <c r="F254" s="5"/>
      <c r="G254" s="5"/>
      <c r="H254" s="5"/>
      <c r="I254" s="5"/>
      <c r="J254" s="5"/>
      <c r="K254" s="5"/>
      <c r="L254" s="5"/>
      <c r="M254" s="5"/>
      <c r="N254" s="5"/>
      <c r="O254" s="5"/>
      <c r="P254" s="5"/>
    </row>
    <row r="255" customFormat="false" ht="42" hidden="false" customHeight="true" outlineLevel="0" collapsed="false">
      <c r="B255" s="82" t="s">
        <v>423</v>
      </c>
      <c r="C255" s="83" t="s">
        <v>368</v>
      </c>
      <c r="D255" s="83" t="s">
        <v>153</v>
      </c>
      <c r="E255" s="83" t="s">
        <v>393</v>
      </c>
      <c r="F255" s="83" t="s">
        <v>394</v>
      </c>
      <c r="G255" s="83" t="s">
        <v>395</v>
      </c>
      <c r="H255" s="83" t="s">
        <v>396</v>
      </c>
      <c r="I255" s="83" t="s">
        <v>397</v>
      </c>
      <c r="J255" s="83" t="s">
        <v>398</v>
      </c>
      <c r="K255" s="83" t="s">
        <v>399</v>
      </c>
      <c r="L255" s="83" t="s">
        <v>400</v>
      </c>
      <c r="M255" s="83" t="s">
        <v>401</v>
      </c>
      <c r="N255" s="83" t="s">
        <v>402</v>
      </c>
      <c r="O255" s="83" t="s">
        <v>403</v>
      </c>
      <c r="P255" s="83" t="s">
        <v>365</v>
      </c>
    </row>
    <row r="256" customFormat="false" ht="14.25" hidden="false" customHeight="false" outlineLevel="0" collapsed="false">
      <c r="B256" s="7" t="s">
        <v>482</v>
      </c>
      <c r="C256" s="68" t="n">
        <f aca="false">COUNTIFS('Loan Tape'!$H$4:$H$303,"&lt;"&amp;C4,'Loan Tape'!$E$4:$E$303,'Deal Strat'!$C$12)</f>
        <v>2</v>
      </c>
      <c r="D256" s="68" t="n">
        <f aca="false">SUMPRODUCT((('Loan Tape'!$R$4:$R$303&lt;&gt;"")*('Loan Tape'!$H$4:$H$303&lt;C4)*('Loan Tape'!$H$4:$H$303&lt;&gt;"")*('Loan Tape'!$E$4:$E$303='Deal Strat'!$C$12))*'Loan Tape'!$F$4:$F$303)</f>
        <v>409</v>
      </c>
      <c r="E256" s="84" t="n">
        <f aca="false">SUMIFS('Loan Tape'!$R$4:$R$303,'Loan Tape'!$H$4:$H$303,"&lt;"&amp;C4,'Loan Tape'!$E$4:$E$303,'Deal Strat'!$C$12)</f>
        <v>131441000</v>
      </c>
      <c r="F256" s="69" t="n">
        <f aca="false">IFERROR(E256/C5,0)</f>
        <v>0.35287406003431</v>
      </c>
      <c r="G256" s="85" t="n">
        <f aca="false">IFERROR(SUMPRODUCT((('Loan Tape'!$R$4:$R$303&lt;&gt;"")*('Loan Tape'!$H$4:$H$303&lt;C4)*('Loan Tape'!$H$4:$H$303&lt;&gt;"")*('Loan Tape'!$E$4:$E$303='Deal Strat'!$C$12))*'Loan Tape'!$U$4:$U$303*'Loan Tape'!$R$4:$R$303)/E256,"-")</f>
        <v>1.56595453473422</v>
      </c>
      <c r="H256" s="68" t="n">
        <f aca="false">IFERROR(SUMPRODUCT((('Loan Tape'!$R$4:$R$303&lt;&gt;"")*('Loan Tape'!$H$4:$H$303&lt;C4)*('Loan Tape'!$H$4:$H$303&lt;&gt;"")*('Loan Tape'!$E$4:$E$303='Deal Strat'!$C$12))*'Loan Tape'!$AH$4:$AH$303*'Loan Tape'!$R$4:$R$303)/E256,"-")</f>
        <v>99.2577201938512</v>
      </c>
      <c r="I256" s="68" t="n">
        <f aca="false">IFERROR(SUMPRODUCT((('Loan Tape'!$R$4:$R$303&lt;&gt;"")*('Loan Tape'!$H$4:$H$303&lt;C4)*('Loan Tape'!$H$4:$H$303&lt;&gt;"")*('Loan Tape'!$E$4:$E$303='Deal Strat'!$C$12))*(('Loan Tape'!$H$4:$H$303-$C$4)/30.4375)*'Loan Tape'!$R$4:$R$303)/E256,"-")</f>
        <v>-23.4558121790326</v>
      </c>
      <c r="J256" s="69" t="n">
        <f aca="false">IFERROR(SUMPRODUCT((('Loan Tape'!$R$4:$R$303&lt;&gt;"")*('Loan Tape'!$H$4:$H$303&lt;C4)*('Loan Tape'!$H$4:$H$303&lt;&gt;"")*('Loan Tape'!$E$4:$E$303='Deal Strat'!$C$12))*('Loan Tape'!$K$4:$K$303="Floating")*'Loan Tape'!$R$4:$R$303)/E256,"-")</f>
        <v>0</v>
      </c>
      <c r="K256" s="69" t="n">
        <f aca="false">IFERROR(SUMPRODUCT((('Loan Tape'!$R$4:$R$303&lt;&gt;"")*('Loan Tape'!$H$4:$H$303&lt;C4)*('Loan Tape'!$H$4:$H$303&lt;&gt;"")*('Loan Tape'!$E$4:$E$303='Deal Strat'!$C$12))*'Loan Tape'!$T$4:$T$303*'Loan Tape'!$R$4:$R$303)/E256,"-")</f>
        <v>0.0942628289498711</v>
      </c>
      <c r="L256" s="69" t="n">
        <f aca="false">IFERROR(SUMPRODUCT((('Loan Tape'!$R$4:$R$303&lt;&gt;"")*('Loan Tape'!$H$4:$H$303&lt;C4)*('Loan Tape'!$H$4:$H$303&lt;&gt;"")*('Loan Tape'!$E$4:$E$303='Deal Strat'!$C$12))*'Loan Tape'!$V$4:$V$303*'Loan Tape'!$R$4:$R$303)/E256,"-")</f>
        <v>0.818414649918975</v>
      </c>
      <c r="M256" s="69" t="n">
        <f aca="false">IFERROR(SUMPRODUCT((('Loan Tape'!$R$4:$R$303&lt;&gt;"")*('Loan Tape'!$H$4:$H$303&lt;C4)*('Loan Tape'!$H$4:$H$303&lt;&gt;"")*('Loan Tape'!$E$4:$E$303='Deal Strat'!$C$12))*'Loan Tape'!$W$4:$W$303*'Loan Tape'!$R$4:$R$303)/E256,"-")</f>
        <v>0.873015155088595</v>
      </c>
      <c r="N256" s="69" t="n">
        <f aca="false">IFERROR(SUMPRODUCT((('Loan Tape'!$R$4:$R$303&lt;&gt;"")*('Loan Tape'!$H$4:$H$303&lt;C4)*('Loan Tape'!$H$4:$H$303&lt;&gt;"")*('Loan Tape'!$E$4:$E$303='Deal Strat'!$C$12))*'Loan Tape'!$AI$4:$AI$303*'Loan Tape'!$R$4:$R$303)/E256,"-")</f>
        <v>0.0572734702261851</v>
      </c>
      <c r="O256" s="69" t="n">
        <f aca="false">IFERROR(SUMPRODUCT((('Loan Tape'!$R$4:$R$303&lt;&gt;"")*('Loan Tape'!$H$4:$H$303&lt;C4)*('Loan Tape'!$H$4:$H$303&lt;&gt;"")*('Loan Tape'!$E$4:$E$303='Deal Strat'!$C$12))*'Loan Tape'!$AK$4:$AK$303*'Loan Tape'!$R$4:$R$303)/E256,"-")</f>
        <v>0.0572734702261851</v>
      </c>
      <c r="P256" s="69" t="n">
        <f aca="false">IFERROR(SUMPRODUCT((('Loan Tape'!$R$4:$R$303&lt;&gt;"")*('Loan Tape'!$H$4:$H$303&lt;C4)*('Loan Tape'!$H$4:$H$303&lt;&gt;"")*('Loan Tape'!$E$4:$E$303='Deal Strat'!$C$12))*'Loan Tape'!$S$4:$S$303*'Loan Tape'!$R$4:$R$303)/E256,"-")</f>
        <v>0.862621282552628</v>
      </c>
    </row>
    <row r="257" customFormat="false" ht="14.25" hidden="false" customHeight="false" outlineLevel="0" collapsed="false">
      <c r="B257" s="7" t="s">
        <v>483</v>
      </c>
      <c r="C257" s="68" t="n">
        <f aca="false">COUNTIFS('Loan Tape'!$H$4:$H$303,"&gt;="&amp;EDATE(C4,0.0001),'Loan Tape'!$H$4:$H$303,"&lt;="&amp;EDATE(C4,12),'Loan Tape'!$E$4:$E$303,'Deal Strat'!$C$12)</f>
        <v>0</v>
      </c>
      <c r="D257" s="68" t="n">
        <f aca="false">SUMPRODUCT((('Loan Tape'!$R$4:$R$303&lt;&gt;"")*('Loan Tape'!$H$4:$H$303&gt;=EDATE(C4,0.0001))*('Loan Tape'!$H$4:$H$303&lt;=EDATE(C4,12))*('Loan Tape'!$E$4:$E$303='Deal Strat'!$C$12))*'Loan Tape'!$F$4:$F$303)</f>
        <v>0</v>
      </c>
      <c r="E257" s="84" t="n">
        <f aca="false">SUMIFS('Loan Tape'!$R$4:$R$303,'Loan Tape'!$H$4:$H$303,"&gt;="&amp;EDATE(C4,0.0001),'Loan Tape'!$H$4:$H$303,"&lt;="&amp;EDATE(C4,12),'Loan Tape'!$E$4:$E$303,'Deal Strat'!$C$12)</f>
        <v>0</v>
      </c>
      <c r="F257" s="69" t="n">
        <f aca="false">IFERROR(E257/C5,0)</f>
        <v>0</v>
      </c>
      <c r="G257" s="85" t="str">
        <f aca="false">IFERROR(SUMPRODUCT((('Loan Tape'!$R$4:$R$303&lt;&gt;"")*('Loan Tape'!$H$4:$H$303&gt;=EDATE(C4,0.0001))*('Loan Tape'!$H$4:$H$303&lt;=EDATE(C4,12))*('Loan Tape'!$E$4:$E$303='Deal Strat'!$C$12))*'Loan Tape'!$U$4:$U$303*'Loan Tape'!$R$4:$R$303)/E257,"-")</f>
        <v>-</v>
      </c>
      <c r="H257" s="68" t="str">
        <f aca="false">IFERROR(SUMPRODUCT((('Loan Tape'!$R$4:$R$303&lt;&gt;"")*('Loan Tape'!$H$4:$H$303&gt;=EDATE(C4,0.0001))*('Loan Tape'!$H$4:$H$303&lt;=EDATE(C4,12))*('Loan Tape'!$E$4:$E$303='Deal Strat'!$C$12))*'Loan Tape'!$AH$4:$AH$303*'Loan Tape'!$R$4:$R$303)/E257,"-")</f>
        <v>-</v>
      </c>
      <c r="I257" s="68" t="str">
        <f aca="false">IFERROR(SUMPRODUCT((('Loan Tape'!$R$4:$R$303&lt;&gt;"")*('Loan Tape'!$H$4:$H$303&gt;=EDATE(C4,0.0001))*('Loan Tape'!$H$4:$H$303&lt;=EDATE(C4,12))*('Loan Tape'!$E$4:$E$303='Deal Strat'!$C$12))*(('Loan Tape'!$H$4:$H$303-$C$4)/30.4375)*'Loan Tape'!$R$4:$R$303)/E257,"-")</f>
        <v>-</v>
      </c>
      <c r="J257" s="69" t="str">
        <f aca="false">IFERROR(SUMPRODUCT((('Loan Tape'!$R$4:$R$303&lt;&gt;"")*('Loan Tape'!$H$4:$H$303&gt;=EDATE(C4,0.0001))*('Loan Tape'!$H$4:$H$303&lt;=EDATE(C4,12))*('Loan Tape'!$E$4:$E$303='Deal Strat'!$C$12))*('Loan Tape'!$K$4:$K$303="Floating")*'Loan Tape'!$R$4:$R$303)/E257,"-")</f>
        <v>-</v>
      </c>
      <c r="K257" s="69" t="str">
        <f aca="false">IFERROR(SUMPRODUCT((('Loan Tape'!$R$4:$R$303&lt;&gt;"")*('Loan Tape'!$H$4:$H$303&gt;=EDATE(C4,0.0001))*('Loan Tape'!$H$4:$H$303&lt;=EDATE(C4,12))*('Loan Tape'!$E$4:$E$303='Deal Strat'!$C$12))*'Loan Tape'!$T$4:$T$303*'Loan Tape'!$R$4:$R$303)/E257,"-")</f>
        <v>-</v>
      </c>
      <c r="L257" s="69" t="str">
        <f aca="false">IFERROR(SUMPRODUCT((('Loan Tape'!$R$4:$R$303&lt;&gt;"")*('Loan Tape'!$H$4:$H$303&gt;=EDATE(C4,0.0001))*('Loan Tape'!$H$4:$H$303&lt;=EDATE(C4,12))*('Loan Tape'!$E$4:$E$303='Deal Strat'!$C$12))*'Loan Tape'!$V$4:$V$303*'Loan Tape'!$R$4:$R$303)/E257,"-")</f>
        <v>-</v>
      </c>
      <c r="M257" s="69" t="str">
        <f aca="false">IFERROR(SUMPRODUCT((('Loan Tape'!$R$4:$R$303&lt;&gt;"")*('Loan Tape'!$H$4:$H$303&gt;=EDATE(C4,0.0001))*('Loan Tape'!$H$4:$H$303&lt;=EDATE(C4,12))*('Loan Tape'!$E$4:$E$303='Deal Strat'!$C$12))*'Loan Tape'!$W$4:$W$303*'Loan Tape'!$R$4:$R$303)/E257,"-")</f>
        <v>-</v>
      </c>
      <c r="N257" s="69" t="str">
        <f aca="false">IFERROR(SUMPRODUCT((('Loan Tape'!$R$4:$R$303&lt;&gt;"")*('Loan Tape'!$H$4:$H$303&gt;=EDATE(C4,0.0001))*('Loan Tape'!$H$4:$H$303&lt;=EDATE(C4,12))*('Loan Tape'!$E$4:$E$303='Deal Strat'!$C$12))*'Loan Tape'!$AI$4:$AI$303*'Loan Tape'!$R$4:$R$303)/E257,"-")</f>
        <v>-</v>
      </c>
      <c r="O257" s="69" t="str">
        <f aca="false">IFERROR(SUMPRODUCT((('Loan Tape'!$R$4:$R$303&lt;&gt;"")*('Loan Tape'!$H$4:$H$303&gt;=EDATE(C4,0.0001))*('Loan Tape'!$H$4:$H$303&lt;=EDATE(C4,12))*('Loan Tape'!$E$4:$E$303='Deal Strat'!$C$12))*'Loan Tape'!$AK$4:$AK$303*'Loan Tape'!$R$4:$R$303)/E257,"-")</f>
        <v>-</v>
      </c>
      <c r="P257" s="69" t="str">
        <f aca="false">IFERROR(SUMPRODUCT((('Loan Tape'!$R$4:$R$303&lt;&gt;"")*('Loan Tape'!$H$4:$H$303&gt;=EDATE(C4,0.0001))*('Loan Tape'!$H$4:$H$303&lt;=EDATE(C4,12))*('Loan Tape'!$E$4:$E$303='Deal Strat'!$C$12))*'Loan Tape'!$S$4:$S$303*'Loan Tape'!$R$4:$R$303)/E257,"-")</f>
        <v>-</v>
      </c>
    </row>
    <row r="258" customFormat="false" ht="14.25" hidden="false" customHeight="false" outlineLevel="0" collapsed="false">
      <c r="B258" s="7" t="s">
        <v>474</v>
      </c>
      <c r="C258" s="68" t="n">
        <f aca="false">COUNTIFS('Loan Tape'!$H$4:$H$303,"&gt;="&amp;EDATE(C4,12.0001),'Loan Tape'!$H$4:$H$303,"&lt;="&amp;EDATE(C4,24),'Loan Tape'!$E$4:$E$303,'Deal Strat'!$C$12)</f>
        <v>3</v>
      </c>
      <c r="D258" s="68" t="n">
        <f aca="false">SUMPRODUCT((('Loan Tape'!$R$4:$R$303&lt;&gt;"")*('Loan Tape'!$H$4:$H$303&gt;=EDATE(C4,12.0001))*('Loan Tape'!$H$4:$H$303&lt;=EDATE(C4,24))*('Loan Tape'!$E$4:$E$303='Deal Strat'!$C$12))*'Loan Tape'!$F$4:$F$303)</f>
        <v>184</v>
      </c>
      <c r="E258" s="84" t="n">
        <f aca="false">SUMIFS('Loan Tape'!$R$4:$R$303,'Loan Tape'!$H$4:$H$303,"&gt;="&amp;EDATE(C4,12.0001),'Loan Tape'!$H$4:$H$303,"&lt;="&amp;EDATE(C4,24),'Loan Tape'!$E$4:$E$303,'Deal Strat'!$C$12)</f>
        <v>241046000</v>
      </c>
      <c r="F258" s="69" t="n">
        <f aca="false">IFERROR(E258/C5,0)</f>
        <v>0.64712593996569</v>
      </c>
      <c r="G258" s="85" t="n">
        <f aca="false">IFERROR(SUMPRODUCT((('Loan Tape'!$R$4:$R$303&lt;&gt;"")*('Loan Tape'!$H$4:$H$303&gt;=EDATE(C4,12.0001))*('Loan Tape'!$H$4:$H$303&lt;=EDATE(C4,24))*('Loan Tape'!$E$4:$E$303='Deal Strat'!$C$12))*'Loan Tape'!$U$4:$U$303*'Loan Tape'!$R$4:$R$303)/E258,"-")</f>
        <v>1.40664570248002</v>
      </c>
      <c r="H258" s="68" t="n">
        <f aca="false">IFERROR(SUMPRODUCT((('Loan Tape'!$R$4:$R$303&lt;&gt;"")*('Loan Tape'!$H$4:$H$303&gt;=EDATE(C4,12.0001))*('Loan Tape'!$H$4:$H$303&lt;=EDATE(C4,24))*('Loan Tape'!$E$4:$E$303='Deal Strat'!$C$12))*'Loan Tape'!$AH$4:$AH$303*'Loan Tape'!$R$4:$R$303)/E258,"-")</f>
        <v>101.024630153581</v>
      </c>
      <c r="I258" s="68" t="n">
        <f aca="false">IFERROR(SUMPRODUCT((('Loan Tape'!$R$4:$R$303&lt;&gt;"")*('Loan Tape'!$H$4:$H$303&gt;=EDATE(C4,12.0001))*('Loan Tape'!$H$4:$H$303&lt;=EDATE(C4,24))*('Loan Tape'!$E$4:$E$303='Deal Strat'!$C$12))*(('Loan Tape'!$H$4:$H$303-$C$4)/30.4375)*'Loan Tape'!$R$4:$R$303)/E258,"-")</f>
        <v>19.0061057811675</v>
      </c>
      <c r="J258" s="69" t="n">
        <f aca="false">IFERROR(SUMPRODUCT((('Loan Tape'!$R$4:$R$303&lt;&gt;"")*('Loan Tape'!$H$4:$H$303&gt;=EDATE(C4,12.0001))*('Loan Tape'!$H$4:$H$303&lt;=EDATE(C4,24))*('Loan Tape'!$E$4:$E$303='Deal Strat'!$C$12))*('Loan Tape'!$K$4:$K$303="Floating")*'Loan Tape'!$R$4:$R$303)/E258,"-")</f>
        <v>1</v>
      </c>
      <c r="K258" s="69" t="n">
        <f aca="false">IFERROR(SUMPRODUCT((('Loan Tape'!$R$4:$R$303&lt;&gt;"")*('Loan Tape'!$H$4:$H$303&gt;=EDATE(C4,12.0001))*('Loan Tape'!$H$4:$H$303&lt;=EDATE(C4,24))*('Loan Tape'!$E$4:$E$303='Deal Strat'!$C$12))*'Loan Tape'!$T$4:$T$303*'Loan Tape'!$R$4:$R$303)/E258,"-")</f>
        <v>0.0805250993586286</v>
      </c>
      <c r="L258" s="69" t="n">
        <f aca="false">IFERROR(SUMPRODUCT((('Loan Tape'!$R$4:$R$303&lt;&gt;"")*('Loan Tape'!$H$4:$H$303&gt;=EDATE(C4,12.0001))*('Loan Tape'!$H$4:$H$303&lt;=EDATE(C4,24))*('Loan Tape'!$E$4:$E$303='Deal Strat'!$C$12))*'Loan Tape'!$V$4:$V$303*'Loan Tape'!$R$4:$R$303)/E258,"-")</f>
        <v>0.620301394754528</v>
      </c>
      <c r="M258" s="69" t="n">
        <f aca="false">IFERROR(SUMPRODUCT((('Loan Tape'!$R$4:$R$303&lt;&gt;"")*('Loan Tape'!$H$4:$H$303&gt;=EDATE(C4,12.0001))*('Loan Tape'!$H$4:$H$303&lt;=EDATE(C4,24))*('Loan Tape'!$E$4:$E$303='Deal Strat'!$C$12))*'Loan Tape'!$W$4:$W$303*'Loan Tape'!$R$4:$R$303)/E258,"-")</f>
        <v>0.648804008363549</v>
      </c>
      <c r="N258" s="69" t="n">
        <f aca="false">IFERROR(SUMPRODUCT((('Loan Tape'!$R$4:$R$303&lt;&gt;"")*('Loan Tape'!$H$4:$H$303&gt;=EDATE(C4,12.0001))*('Loan Tape'!$H$4:$H$303&lt;=EDATE(C4,24))*('Loan Tape'!$E$4:$E$303='Deal Strat'!$C$12))*'Loan Tape'!$AI$4:$AI$303*'Loan Tape'!$R$4:$R$303)/E258,"-")</f>
        <v>0.0739581303983472</v>
      </c>
      <c r="O258" s="69" t="n">
        <f aca="false">IFERROR(SUMPRODUCT((('Loan Tape'!$R$4:$R$303&lt;&gt;"")*('Loan Tape'!$H$4:$H$303&gt;=EDATE(C4,12.0001))*('Loan Tape'!$H$4:$H$303&lt;=EDATE(C4,24))*('Loan Tape'!$E$4:$E$303='Deal Strat'!$C$12))*'Loan Tape'!$AK$4:$AK$303*'Loan Tape'!$R$4:$R$303)/E258,"-")</f>
        <v>0.0889581303983472</v>
      </c>
      <c r="P258" s="69" t="n">
        <f aca="false">IFERROR(SUMPRODUCT((('Loan Tape'!$R$4:$R$303&lt;&gt;"")*('Loan Tape'!$H$4:$H$303&gt;=EDATE(C4,12.0001))*('Loan Tape'!$H$4:$H$303&lt;=EDATE(C4,24))*('Loan Tape'!$E$4:$E$303='Deal Strat'!$C$12))*'Loan Tape'!$S$4:$S$303*'Loan Tape'!$R$4:$R$303)/E258,"-")</f>
        <v>0.82992473220879</v>
      </c>
    </row>
    <row r="259" customFormat="false" ht="14.25" hidden="false" customHeight="false" outlineLevel="0" collapsed="false">
      <c r="B259" s="7" t="s">
        <v>475</v>
      </c>
      <c r="C259" s="68" t="n">
        <f aca="false">COUNTIFS('Loan Tape'!$H$4:$H$303,"&gt;="&amp;EDATE(C4,24.0001),'Loan Tape'!$H$4:$H$303,"&lt;="&amp;EDATE(C4,36),'Loan Tape'!$E$4:$E$303,'Deal Strat'!$C$12)</f>
        <v>0</v>
      </c>
      <c r="D259" s="68" t="n">
        <f aca="false">SUMPRODUCT((('Loan Tape'!$R$4:$R$303&lt;&gt;"")*('Loan Tape'!$H$4:$H$303&gt;=EDATE(C4,24.0001))*('Loan Tape'!$H$4:$H$303&lt;=EDATE(C4,36))*('Loan Tape'!$E$4:$E$303='Deal Strat'!$C$12))*'Loan Tape'!$F$4:$F$303)</f>
        <v>0</v>
      </c>
      <c r="E259" s="84" t="n">
        <f aca="false">SUMIFS('Loan Tape'!$R$4:$R$303,'Loan Tape'!$H$4:$H$303,"&gt;="&amp;EDATE(C4,24.0001),'Loan Tape'!$H$4:$H$303,"&lt;="&amp;EDATE(C4,36),'Loan Tape'!$E$4:$E$303,'Deal Strat'!$C$12)</f>
        <v>0</v>
      </c>
      <c r="F259" s="69" t="n">
        <f aca="false">IFERROR(E259/C5,0)</f>
        <v>0</v>
      </c>
      <c r="G259" s="85" t="str">
        <f aca="false">IFERROR(SUMPRODUCT((('Loan Tape'!$R$4:$R$303&lt;&gt;"")*('Loan Tape'!$H$4:$H$303&gt;=EDATE(C4,24.0001))*('Loan Tape'!$H$4:$H$303&lt;=EDATE(C4,36))*('Loan Tape'!$E$4:$E$303='Deal Strat'!$C$12))*'Loan Tape'!$U$4:$U$303*'Loan Tape'!$R$4:$R$303)/E259,"-")</f>
        <v>-</v>
      </c>
      <c r="H259" s="68" t="str">
        <f aca="false">IFERROR(SUMPRODUCT((('Loan Tape'!$R$4:$R$303&lt;&gt;"")*('Loan Tape'!$H$4:$H$303&gt;=EDATE(C4,24.0001))*('Loan Tape'!$H$4:$H$303&lt;=EDATE(C4,36))*('Loan Tape'!$E$4:$E$303='Deal Strat'!$C$12))*'Loan Tape'!$AH$4:$AH$303*'Loan Tape'!$R$4:$R$303)/E259,"-")</f>
        <v>-</v>
      </c>
      <c r="I259" s="68" t="str">
        <f aca="false">IFERROR(SUMPRODUCT((('Loan Tape'!$R$4:$R$303&lt;&gt;"")*('Loan Tape'!$H$4:$H$303&gt;=EDATE(C4,24.0001))*('Loan Tape'!$H$4:$H$303&lt;=EDATE(C4,36))*('Loan Tape'!$E$4:$E$303='Deal Strat'!$C$12))*(('Loan Tape'!$H$4:$H$303-$C$4)/30.4375)*'Loan Tape'!$R$4:$R$303)/E259,"-")</f>
        <v>-</v>
      </c>
      <c r="J259" s="69" t="str">
        <f aca="false">IFERROR(SUMPRODUCT((('Loan Tape'!$R$4:$R$303&lt;&gt;"")*('Loan Tape'!$H$4:$H$303&gt;=EDATE(C4,24.0001))*('Loan Tape'!$H$4:$H$303&lt;=EDATE(C4,36))*('Loan Tape'!$E$4:$E$303='Deal Strat'!$C$12))*('Loan Tape'!$K$4:$K$303="Floating")*'Loan Tape'!$R$4:$R$303)/E259,"-")</f>
        <v>-</v>
      </c>
      <c r="K259" s="69" t="str">
        <f aca="false">IFERROR(SUMPRODUCT((('Loan Tape'!$R$4:$R$303&lt;&gt;"")*('Loan Tape'!$H$4:$H$303&gt;=EDATE(C4,24.0001))*('Loan Tape'!$H$4:$H$303&lt;=EDATE(C4,36))*('Loan Tape'!$E$4:$E$303='Deal Strat'!$C$12))*'Loan Tape'!$T$4:$T$303*'Loan Tape'!$R$4:$R$303)/E259,"-")</f>
        <v>-</v>
      </c>
      <c r="L259" s="69" t="str">
        <f aca="false">IFERROR(SUMPRODUCT((('Loan Tape'!$R$4:$R$303&lt;&gt;"")*('Loan Tape'!$H$4:$H$303&gt;=EDATE(C4,24.0001))*('Loan Tape'!$H$4:$H$303&lt;=EDATE(C4,36))*('Loan Tape'!$E$4:$E$303='Deal Strat'!$C$12))*'Loan Tape'!$V$4:$V$303*'Loan Tape'!$R$4:$R$303)/E259,"-")</f>
        <v>-</v>
      </c>
      <c r="M259" s="69" t="str">
        <f aca="false">IFERROR(SUMPRODUCT((('Loan Tape'!$R$4:$R$303&lt;&gt;"")*('Loan Tape'!$H$4:$H$303&gt;=EDATE(C4,24.0001))*('Loan Tape'!$H$4:$H$303&lt;=EDATE(C4,36))*('Loan Tape'!$E$4:$E$303='Deal Strat'!$C$12))*'Loan Tape'!$W$4:$W$303*'Loan Tape'!$R$4:$R$303)/E259,"-")</f>
        <v>-</v>
      </c>
      <c r="N259" s="69" t="str">
        <f aca="false">IFERROR(SUMPRODUCT((('Loan Tape'!$R$4:$R$303&lt;&gt;"")*('Loan Tape'!$H$4:$H$303&gt;=EDATE(C4,24.0001))*('Loan Tape'!$H$4:$H$303&lt;=EDATE(C4,36))*('Loan Tape'!$E$4:$E$303='Deal Strat'!$C$12))*'Loan Tape'!$AI$4:$AI$303*'Loan Tape'!$R$4:$R$303)/E259,"-")</f>
        <v>-</v>
      </c>
      <c r="O259" s="69" t="str">
        <f aca="false">IFERROR(SUMPRODUCT((('Loan Tape'!$R$4:$R$303&lt;&gt;"")*('Loan Tape'!$H$4:$H$303&gt;=EDATE(C4,24.0001))*('Loan Tape'!$H$4:$H$303&lt;=EDATE(C4,36))*('Loan Tape'!$E$4:$E$303='Deal Strat'!$C$12))*'Loan Tape'!$AK$4:$AK$303*'Loan Tape'!$R$4:$R$303)/E259,"-")</f>
        <v>-</v>
      </c>
      <c r="P259" s="69" t="str">
        <f aca="false">IFERROR(SUMPRODUCT((('Loan Tape'!$R$4:$R$303&lt;&gt;"")*('Loan Tape'!$H$4:$H$303&gt;=EDATE(C4,24.0001))*('Loan Tape'!$H$4:$H$303&lt;=EDATE(C4,36))*('Loan Tape'!$E$4:$E$303='Deal Strat'!$C$12))*'Loan Tape'!$S$4:$S$303*'Loan Tape'!$R$4:$R$303)/E259,"-")</f>
        <v>-</v>
      </c>
    </row>
    <row r="260" customFormat="false" ht="14.25" hidden="false" customHeight="false" outlineLevel="0" collapsed="false">
      <c r="B260" s="7" t="s">
        <v>476</v>
      </c>
      <c r="C260" s="68" t="n">
        <f aca="false">COUNTIFS('Loan Tape'!$H$4:$H$303,"&gt;="&amp;EDATE(C4,36.0001),'Loan Tape'!$H$4:$H$303,"&lt;="&amp;EDATE(C4,60),'Loan Tape'!$E$4:$E$303,'Deal Strat'!$C$12)</f>
        <v>0</v>
      </c>
      <c r="D260" s="68" t="n">
        <f aca="false">SUMPRODUCT((('Loan Tape'!$R$4:$R$303&lt;&gt;"")*('Loan Tape'!$H$4:$H$303&gt;=EDATE(C4,36.0001))*('Loan Tape'!$H$4:$H$303&lt;=EDATE(C4,60))*('Loan Tape'!$E$4:$E$303='Deal Strat'!$C$12))*'Loan Tape'!$F$4:$F$303)</f>
        <v>0</v>
      </c>
      <c r="E260" s="84" t="n">
        <f aca="false">SUMIFS('Loan Tape'!$R$4:$R$303,'Loan Tape'!$H$4:$H$303,"&gt;="&amp;EDATE(C4,36.0001),'Loan Tape'!$H$4:$H$303,"&lt;="&amp;EDATE(C4,60),'Loan Tape'!$E$4:$E$303,'Deal Strat'!$C$12)</f>
        <v>0</v>
      </c>
      <c r="F260" s="69" t="n">
        <f aca="false">IFERROR(E260/C5,0)</f>
        <v>0</v>
      </c>
      <c r="G260" s="85" t="str">
        <f aca="false">IFERROR(SUMPRODUCT((('Loan Tape'!$R$4:$R$303&lt;&gt;"")*('Loan Tape'!$H$4:$H$303&gt;=EDATE(C4,36.0001))*('Loan Tape'!$H$4:$H$303&lt;=EDATE(C4,60))*('Loan Tape'!$E$4:$E$303='Deal Strat'!$C$12))*'Loan Tape'!$U$4:$U$303*'Loan Tape'!$R$4:$R$303)/E260,"-")</f>
        <v>-</v>
      </c>
      <c r="H260" s="68" t="str">
        <f aca="false">IFERROR(SUMPRODUCT((('Loan Tape'!$R$4:$R$303&lt;&gt;"")*('Loan Tape'!$H$4:$H$303&gt;=EDATE(C4,36.0001))*('Loan Tape'!$H$4:$H$303&lt;=EDATE(C4,60))*('Loan Tape'!$E$4:$E$303='Deal Strat'!$C$12))*'Loan Tape'!$AH$4:$AH$303*'Loan Tape'!$R$4:$R$303)/E260,"-")</f>
        <v>-</v>
      </c>
      <c r="I260" s="68" t="str">
        <f aca="false">IFERROR(SUMPRODUCT((('Loan Tape'!$R$4:$R$303&lt;&gt;"")*('Loan Tape'!$H$4:$H$303&gt;=EDATE(C4,36.0001))*('Loan Tape'!$H$4:$H$303&lt;=EDATE(C4,60))*('Loan Tape'!$E$4:$E$303='Deal Strat'!$C$12))*(('Loan Tape'!$H$4:$H$303-$C$4)/30.4375)*'Loan Tape'!$R$4:$R$303)/E260,"-")</f>
        <v>-</v>
      </c>
      <c r="J260" s="69" t="str">
        <f aca="false">IFERROR(SUMPRODUCT((('Loan Tape'!$R$4:$R$303&lt;&gt;"")*('Loan Tape'!$H$4:$H$303&gt;=EDATE(C4,36.0001))*('Loan Tape'!$H$4:$H$303&lt;=EDATE(C4,60))*('Loan Tape'!$E$4:$E$303='Deal Strat'!$C$12))*('Loan Tape'!$K$4:$K$303="Floating")*'Loan Tape'!$R$4:$R$303)/E260,"-")</f>
        <v>-</v>
      </c>
      <c r="K260" s="69" t="str">
        <f aca="false">IFERROR(SUMPRODUCT((('Loan Tape'!$R$4:$R$303&lt;&gt;"")*('Loan Tape'!$H$4:$H$303&gt;=EDATE(C4,36.0001))*('Loan Tape'!$H$4:$H$303&lt;=EDATE(C4,60))*('Loan Tape'!$E$4:$E$303='Deal Strat'!$C$12))*'Loan Tape'!$T$4:$T$303*'Loan Tape'!$R$4:$R$303)/E260,"-")</f>
        <v>-</v>
      </c>
      <c r="L260" s="69" t="str">
        <f aca="false">IFERROR(SUMPRODUCT((('Loan Tape'!$R$4:$R$303&lt;&gt;"")*('Loan Tape'!$H$4:$H$303&gt;=EDATE(C4,36.0001))*('Loan Tape'!$H$4:$H$303&lt;=EDATE(C4,60))*('Loan Tape'!$E$4:$E$303='Deal Strat'!$C$12))*'Loan Tape'!$V$4:$V$303*'Loan Tape'!$R$4:$R$303)/E260,"-")</f>
        <v>-</v>
      </c>
      <c r="M260" s="69" t="str">
        <f aca="false">IFERROR(SUMPRODUCT((('Loan Tape'!$R$4:$R$303&lt;&gt;"")*('Loan Tape'!$H$4:$H$303&gt;=EDATE(C4,36.0001))*('Loan Tape'!$H$4:$H$303&lt;=EDATE(C4,60))*('Loan Tape'!$E$4:$E$303='Deal Strat'!$C$12))*'Loan Tape'!$W$4:$W$303*'Loan Tape'!$R$4:$R$303)/E260,"-")</f>
        <v>-</v>
      </c>
      <c r="N260" s="69" t="str">
        <f aca="false">IFERROR(SUMPRODUCT((('Loan Tape'!$R$4:$R$303&lt;&gt;"")*('Loan Tape'!$H$4:$H$303&gt;=EDATE(C4,36.0001))*('Loan Tape'!$H$4:$H$303&lt;=EDATE(C4,60))*('Loan Tape'!$E$4:$E$303='Deal Strat'!$C$12))*'Loan Tape'!$AI$4:$AI$303*'Loan Tape'!$R$4:$R$303)/E260,"-")</f>
        <v>-</v>
      </c>
      <c r="O260" s="69" t="str">
        <f aca="false">IFERROR(SUMPRODUCT((('Loan Tape'!$R$4:$R$303&lt;&gt;"")*('Loan Tape'!$H$4:$H$303&gt;=EDATE(C4,36.0001))*('Loan Tape'!$H$4:$H$303&lt;=EDATE(C4,60))*('Loan Tape'!$E$4:$E$303='Deal Strat'!$C$12))*'Loan Tape'!$AK$4:$AK$303*'Loan Tape'!$R$4:$R$303)/E260,"-")</f>
        <v>-</v>
      </c>
      <c r="P260" s="69" t="str">
        <f aca="false">IFERROR(SUMPRODUCT((('Loan Tape'!$R$4:$R$303&lt;&gt;"")*('Loan Tape'!$H$4:$H$303&gt;=EDATE(C4,36.0001))*('Loan Tape'!$H$4:$H$303&lt;=EDATE(C4,60))*('Loan Tape'!$E$4:$E$303='Deal Strat'!$C$12))*'Loan Tape'!$S$4:$S$303*'Loan Tape'!$R$4:$R$303)/E260,"-")</f>
        <v>-</v>
      </c>
    </row>
    <row r="261" customFormat="false" ht="14.25" hidden="false" customHeight="false" outlineLevel="0" collapsed="false">
      <c r="B261" s="7" t="s">
        <v>477</v>
      </c>
      <c r="C261" s="68" t="n">
        <f aca="false">COUNTIFS('Loan Tape'!$H$4:$H$303,"&gt;="&amp;EDATE(C4,60.0001),'Loan Tape'!$H$4:$H$303,"&lt;="&amp;DATE(2200,1,1),'Loan Tape'!$E$4:$E$303,'Deal Strat'!$C$12)</f>
        <v>0</v>
      </c>
      <c r="D261" s="68" t="n">
        <f aca="false">SUMPRODUCT((('Loan Tape'!$R$4:$R$303&lt;&gt;"")*('Loan Tape'!$H$4:$H$303&gt;=EDATE(C4,60.0001))*('Loan Tape'!$H$4:$H$303&lt;=DATE(2200,1,1))*('Loan Tape'!$E$4:$E$303='Deal Strat'!$C$12))*'Loan Tape'!$F$4:$F$303)</f>
        <v>0</v>
      </c>
      <c r="E261" s="84" t="n">
        <f aca="false">SUMIFS('Loan Tape'!$R$4:$R$303,'Loan Tape'!$H$4:$H$303,"&gt;="&amp;EDATE(C4,60.0001),'Loan Tape'!$H$4:$H$303,"&lt;="&amp;DATE(2200,1,1),'Loan Tape'!$E$4:$E$303,'Deal Strat'!$C$12)</f>
        <v>0</v>
      </c>
      <c r="F261" s="69" t="n">
        <f aca="false">IFERROR(E261/C5,0)</f>
        <v>0</v>
      </c>
      <c r="G261" s="85" t="str">
        <f aca="false">IFERROR(SUMPRODUCT((('Loan Tape'!$R$4:$R$303&lt;&gt;"")*('Loan Tape'!$H$4:$H$303&gt;=EDATE(C4,60.0001))*('Loan Tape'!$H$4:$H$303&lt;=DATE(2200,1,1))*('Loan Tape'!$E$4:$E$303='Deal Strat'!$C$12))*'Loan Tape'!$U$4:$U$303*'Loan Tape'!$R$4:$R$303)/E261,"-")</f>
        <v>-</v>
      </c>
      <c r="H261" s="68" t="str">
        <f aca="false">IFERROR(SUMPRODUCT((('Loan Tape'!$R$4:$R$303&lt;&gt;"")*('Loan Tape'!$H$4:$H$303&gt;=EDATE(C4,60.0001))*('Loan Tape'!$H$4:$H$303&lt;=DATE(2200,1,1))*('Loan Tape'!$E$4:$E$303='Deal Strat'!$C$12))*'Loan Tape'!$AH$4:$AH$303*'Loan Tape'!$R$4:$R$303)/E261,"-")</f>
        <v>-</v>
      </c>
      <c r="I261" s="68" t="str">
        <f aca="false">IFERROR(SUMPRODUCT((('Loan Tape'!$R$4:$R$303&lt;&gt;"")*('Loan Tape'!$H$4:$H$303&gt;=EDATE(C4,60.0001))*('Loan Tape'!$H$4:$H$303&lt;=DATE(2200,1,1))*('Loan Tape'!$E$4:$E$303='Deal Strat'!$C$12))*(('Loan Tape'!$H$4:$H$303-$C$4)/30.4375)*'Loan Tape'!$R$4:$R$303)/E261,"-")</f>
        <v>-</v>
      </c>
      <c r="J261" s="69" t="str">
        <f aca="false">IFERROR(SUMPRODUCT((('Loan Tape'!$R$4:$R$303&lt;&gt;"")*('Loan Tape'!$H$4:$H$303&gt;=EDATE(C4,60.0001))*('Loan Tape'!$H$4:$H$303&lt;=DATE(2200,1,1))*('Loan Tape'!$E$4:$E$303='Deal Strat'!$C$12))*('Loan Tape'!$K$4:$K$303="Floating")*'Loan Tape'!$R$4:$R$303)/E261,"-")</f>
        <v>-</v>
      </c>
      <c r="K261" s="69" t="str">
        <f aca="false">IFERROR(SUMPRODUCT((('Loan Tape'!$R$4:$R$303&lt;&gt;"")*('Loan Tape'!$H$4:$H$303&gt;=EDATE(C4,60.0001))*('Loan Tape'!$H$4:$H$303&lt;=DATE(2200,1,1))*('Loan Tape'!$E$4:$E$303='Deal Strat'!$C$12))*'Loan Tape'!$T$4:$T$303*'Loan Tape'!$R$4:$R$303)/E261,"-")</f>
        <v>-</v>
      </c>
      <c r="L261" s="69" t="str">
        <f aca="false">IFERROR(SUMPRODUCT((('Loan Tape'!$R$4:$R$303&lt;&gt;"")*('Loan Tape'!$H$4:$H$303&gt;=EDATE(C4,60.0001))*('Loan Tape'!$H$4:$H$303&lt;=DATE(2200,1,1))*('Loan Tape'!$E$4:$E$303='Deal Strat'!$C$12))*'Loan Tape'!$V$4:$V$303*'Loan Tape'!$R$4:$R$303)/E261,"-")</f>
        <v>-</v>
      </c>
      <c r="M261" s="69" t="str">
        <f aca="false">IFERROR(SUMPRODUCT((('Loan Tape'!$R$4:$R$303&lt;&gt;"")*('Loan Tape'!$H$4:$H$303&gt;=EDATE(C4,60.0001))*('Loan Tape'!$H$4:$H$303&lt;=DATE(2200,1,1))*('Loan Tape'!$E$4:$E$303='Deal Strat'!$C$12))*'Loan Tape'!$W$4:$W$303*'Loan Tape'!$R$4:$R$303)/E261,"-")</f>
        <v>-</v>
      </c>
      <c r="N261" s="69" t="str">
        <f aca="false">IFERROR(SUMPRODUCT((('Loan Tape'!$R$4:$R$303&lt;&gt;"")*('Loan Tape'!$H$4:$H$303&gt;=EDATE(C4,60.0001))*('Loan Tape'!$H$4:$H$303&lt;=DATE(2200,1,1))*('Loan Tape'!$E$4:$E$303='Deal Strat'!$C$12))*'Loan Tape'!$AI$4:$AI$303*'Loan Tape'!$R$4:$R$303)/E261,"-")</f>
        <v>-</v>
      </c>
      <c r="O261" s="69" t="str">
        <f aca="false">IFERROR(SUMPRODUCT((('Loan Tape'!$R$4:$R$303&lt;&gt;"")*('Loan Tape'!$H$4:$H$303&gt;=EDATE(C4,60.0001))*('Loan Tape'!$H$4:$H$303&lt;=DATE(2200,1,1))*('Loan Tape'!$E$4:$E$303='Deal Strat'!$C$12))*'Loan Tape'!$AK$4:$AK$303*'Loan Tape'!$R$4:$R$303)/E261,"-")</f>
        <v>-</v>
      </c>
      <c r="P261" s="69" t="str">
        <f aca="false">IFERROR(SUMPRODUCT((('Loan Tape'!$R$4:$R$303&lt;&gt;"")*('Loan Tape'!$H$4:$H$303&gt;=EDATE(C4,60.0001))*('Loan Tape'!$H$4:$H$303&lt;=DATE(2200,1,1))*('Loan Tape'!$E$4:$E$303='Deal Strat'!$C$12))*'Loan Tape'!$S$4:$S$303*'Loan Tape'!$R$4:$R$303)/E261,"-")</f>
        <v>-</v>
      </c>
    </row>
    <row r="262" customFormat="false" ht="14.25" hidden="false" customHeight="false" outlineLevel="0" collapsed="false">
      <c r="B262" s="86" t="s">
        <v>405</v>
      </c>
      <c r="C262" s="92" t="n">
        <f aca="false">SUM(C256:C261)</f>
        <v>5</v>
      </c>
      <c r="D262" s="92" t="n">
        <f aca="false">SUM(D256:D261)</f>
        <v>593</v>
      </c>
      <c r="E262" s="88" t="n">
        <f aca="false">SUM(E256:E261)</f>
        <v>372487000</v>
      </c>
      <c r="F262" s="89" t="n">
        <f aca="false">SUM(F256:F261)</f>
        <v>1</v>
      </c>
      <c r="G262" s="90" t="n">
        <f aca="false">IFERROR(SUMPRODUCT((('Loan Tape'!$R$4:$R$303&lt;&gt;"")*('Loan Tape'!$E$4:$E$303='Deal Strat'!$C$12))*'Loan Tape'!$U$4:$U$303*'Loan Tape'!$R$4:$R$303)/E262,"-")</f>
        <v>1.46286165691689</v>
      </c>
      <c r="H262" s="92" t="n">
        <f aca="false">IFERROR(SUMPRODUCT((('Loan Tape'!$R$4:$R$303&lt;&gt;"")*('Loan Tape'!$E$4:$E$303='Deal Strat'!$C$12))*'Loan Tape'!$AH$4:$AH$303*'Loan Tape'!$R$4:$R$303)/E262,"-")</f>
        <v>100.401133462376</v>
      </c>
      <c r="I262" s="92" t="n">
        <f aca="false">IFERROR(SUMPRODUCT((('Loan Tape'!$R$4:$R$303&lt;&gt;"")*('Loan Tape'!$E$4:$E$303='Deal Strat'!$C$12))*(('Loan Tape'!$H$4:$H$303-$C$4)/30.4375)*'Loan Tape'!$R$4:$R$303)/E262,"-")</f>
        <v>4.02239639370792</v>
      </c>
      <c r="J262" s="89" t="n">
        <f aca="false">IFERROR(SUMPRODUCT((('Loan Tape'!$R$4:$R$303&lt;&gt;"")*('Loan Tape'!$E$4:$E$303='Deal Strat'!$C$12))*('Loan Tape'!$K$4:$K$303="Floating")*'Loan Tape'!$R$4:$R$303)/E262,"-")</f>
        <v>0.64712593996569</v>
      </c>
      <c r="K262" s="89" t="n">
        <f aca="false">IFERROR(SUMPRODUCT((('Loan Tape'!$R$4:$R$303&lt;&gt;"")*('Loan Tape'!$E$4:$E$303='Deal Strat'!$C$12))*'Loan Tape'!$T$4:$T$303*'Loan Tape'!$R$4:$R$303)/E262,"-")</f>
        <v>0.0853727877751438</v>
      </c>
      <c r="L262" s="89" t="n">
        <f aca="false">IFERROR(SUMPRODUCT((('Loan Tape'!$R$4:$R$303&lt;&gt;"")*('Loan Tape'!$E$4:$E$303='Deal Strat'!$C$12))*'Loan Tape'!$V$4:$V$303*'Loan Tape'!$R$4:$R$303)/E262,"-")</f>
        <v>0.69021042345102</v>
      </c>
      <c r="M262" s="89" t="n">
        <f aca="false">IFERROR(SUMPRODUCT((('Loan Tape'!$R$4:$R$303&lt;&gt;"")*('Loan Tape'!$E$4:$E$303='Deal Strat'!$C$12))*'Loan Tape'!$W$4:$W$303*'Loan Tape'!$R$4:$R$303)/E262,"-")</f>
        <v>0.727922306013364</v>
      </c>
      <c r="N262" s="89" t="n">
        <f aca="false">IFERROR(SUMPRODUCT((('Loan Tape'!$R$4:$R$303&lt;&gt;"")*('Loan Tape'!$E$4:$E$303='Deal Strat'!$C$12))*'Loan Tape'!$AI$4:$AI$303*'Loan Tape'!$R$4:$R$303)/E262,"-")</f>
        <v>0.0680705466231036</v>
      </c>
      <c r="O262" s="89" t="n">
        <f aca="false">IFERROR(SUMPRODUCT((('Loan Tape'!$R$4:$R$303&lt;&gt;"")*('Loan Tape'!$E$4:$E$303='Deal Strat'!$C$12))*'Loan Tape'!$AK$4:$AK$303*'Loan Tape'!$R$4:$R$303)/E262,"-")</f>
        <v>0.077777435722589</v>
      </c>
      <c r="P262" s="89" t="n">
        <f aca="false">IFERROR(SUMPRODUCT((('Loan Tape'!$R$4:$R$303&lt;&gt;"")*('Loan Tape'!$E$4:$E$303='Deal Strat'!$C$12))*'Loan Tape'!$S$4:$S$303*'Loan Tape'!$R$4:$R$303)/E262,"-")</f>
        <v>0.841462496677736</v>
      </c>
    </row>
    <row r="264" customFormat="false" ht="19.5" hidden="false" customHeight="true" outlineLevel="0" collapsed="false">
      <c r="B264" s="5" t="s">
        <v>484</v>
      </c>
      <c r="C264" s="5"/>
      <c r="D264" s="5"/>
      <c r="E264" s="5"/>
      <c r="F264" s="5"/>
      <c r="G264" s="5"/>
      <c r="H264" s="5"/>
      <c r="I264" s="5"/>
      <c r="J264" s="5"/>
      <c r="K264" s="5"/>
      <c r="L264" s="5"/>
      <c r="M264" s="5"/>
      <c r="N264" s="5"/>
      <c r="O264" s="5"/>
      <c r="P264" s="5"/>
    </row>
    <row r="265" customFormat="false" ht="42" hidden="false" customHeight="true" outlineLevel="0" collapsed="false">
      <c r="B265" s="82" t="s">
        <v>423</v>
      </c>
      <c r="C265" s="83" t="s">
        <v>368</v>
      </c>
      <c r="D265" s="83" t="s">
        <v>153</v>
      </c>
      <c r="E265" s="83" t="s">
        <v>393</v>
      </c>
      <c r="F265" s="83" t="s">
        <v>394</v>
      </c>
      <c r="G265" s="83" t="s">
        <v>395</v>
      </c>
      <c r="H265" s="83" t="s">
        <v>396</v>
      </c>
      <c r="I265" s="83" t="s">
        <v>397</v>
      </c>
      <c r="J265" s="83" t="s">
        <v>398</v>
      </c>
      <c r="K265" s="83" t="s">
        <v>399</v>
      </c>
      <c r="L265" s="83" t="s">
        <v>400</v>
      </c>
      <c r="M265" s="83" t="s">
        <v>401</v>
      </c>
      <c r="N265" s="83" t="s">
        <v>402</v>
      </c>
      <c r="O265" s="83" t="s">
        <v>403</v>
      </c>
      <c r="P265" s="83" t="s">
        <v>365</v>
      </c>
    </row>
    <row r="266" customFormat="false" ht="14.25" hidden="false" customHeight="false" outlineLevel="0" collapsed="false">
      <c r="B266" s="7" t="s">
        <v>485</v>
      </c>
      <c r="C266" s="68" t="n">
        <f aca="false">COUNTIFS('Loan Tape'!$O$4:$O$303,"&lt;"&amp;C4,'Loan Tape'!$E$4:$E$303,'Deal Strat'!$C$12)</f>
        <v>0</v>
      </c>
      <c r="D266" s="68" t="n">
        <f aca="false">SUMPRODUCT((('Loan Tape'!$R$4:$R$303&lt;&gt;"")*('Loan Tape'!$O$4:$O$303&lt;C4)*('Loan Tape'!$O$4:$O$303&lt;&gt;"")*('Loan Tape'!$E$4:$E$303='Deal Strat'!$C$12))*'Loan Tape'!$F$4:$F$303)</f>
        <v>0</v>
      </c>
      <c r="E266" s="84" t="n">
        <f aca="false">SUMIFS('Loan Tape'!$R$4:$R$303,'Loan Tape'!$O$4:$O$303,"&lt;"&amp;C4,'Loan Tape'!$E$4:$E$303,'Deal Strat'!$C$12)</f>
        <v>0</v>
      </c>
      <c r="F266" s="69" t="n">
        <f aca="false">IFERROR(E266/C5,0)</f>
        <v>0</v>
      </c>
      <c r="G266" s="85" t="str">
        <f aca="false">IFERROR(SUMPRODUCT((('Loan Tape'!$R$4:$R$303&lt;&gt;"")*('Loan Tape'!$O$4:$O$303&lt;C4)*('Loan Tape'!$O$4:$O$303&lt;&gt;"")*('Loan Tape'!$E$4:$E$303='Deal Strat'!$C$12))*'Loan Tape'!$U$4:$U$303*'Loan Tape'!$R$4:$R$303)/E266,"-")</f>
        <v>-</v>
      </c>
      <c r="H266" s="68" t="str">
        <f aca="false">IFERROR(SUMPRODUCT((('Loan Tape'!$R$4:$R$303&lt;&gt;"")*('Loan Tape'!$O$4:$O$303&lt;C4)*('Loan Tape'!$O$4:$O$303&lt;&gt;"")*('Loan Tape'!$E$4:$E$303='Deal Strat'!$C$12))*'Loan Tape'!$AH$4:$AH$303*'Loan Tape'!$R$4:$R$303)/E266,"-")</f>
        <v>-</v>
      </c>
      <c r="I266" s="68" t="str">
        <f aca="false">IFERROR(SUMPRODUCT((('Loan Tape'!$R$4:$R$303&lt;&gt;"")*('Loan Tape'!$O$4:$O$303&lt;C4)*('Loan Tape'!$O$4:$O$303&lt;&gt;"")*('Loan Tape'!$E$4:$E$303='Deal Strat'!$C$12))*(('Loan Tape'!$H$4:$H$303-$C$4)/30.4375)*'Loan Tape'!$R$4:$R$303)/E266,"-")</f>
        <v>-</v>
      </c>
      <c r="J266" s="69" t="str">
        <f aca="false">IFERROR(SUMPRODUCT((('Loan Tape'!$R$4:$R$303&lt;&gt;"")*('Loan Tape'!$O$4:$O$303&lt;C4)*('Loan Tape'!$O$4:$O$303&lt;&gt;"")*('Loan Tape'!$E$4:$E$303='Deal Strat'!$C$12))*('Loan Tape'!$K$4:$K$303="Floating")*'Loan Tape'!$R$4:$R$303)/E266,"-")</f>
        <v>-</v>
      </c>
      <c r="K266" s="69" t="str">
        <f aca="false">IFERROR(SUMPRODUCT((('Loan Tape'!$R$4:$R$303&lt;&gt;"")*('Loan Tape'!$O$4:$O$303&lt;C4)*('Loan Tape'!$O$4:$O$303&lt;&gt;"")*('Loan Tape'!$E$4:$E$303='Deal Strat'!$C$12))*'Loan Tape'!$T$4:$T$303*'Loan Tape'!$R$4:$R$303)/E266,"-")</f>
        <v>-</v>
      </c>
      <c r="L266" s="69" t="str">
        <f aca="false">IFERROR(SUMPRODUCT((('Loan Tape'!$R$4:$R$303&lt;&gt;"")*('Loan Tape'!$O$4:$O$303&lt;C4)*('Loan Tape'!$O$4:$O$303&lt;&gt;"")*('Loan Tape'!$E$4:$E$303='Deal Strat'!$C$12))*'Loan Tape'!$V$4:$V$303*'Loan Tape'!$R$4:$R$303)/E266,"-")</f>
        <v>-</v>
      </c>
      <c r="M266" s="69" t="str">
        <f aca="false">IFERROR(SUMPRODUCT((('Loan Tape'!$R$4:$R$303&lt;&gt;"")*('Loan Tape'!$O$4:$O$303&lt;C4)*('Loan Tape'!$O$4:$O$303&lt;&gt;"")*('Loan Tape'!$E$4:$E$303='Deal Strat'!$C$12))*'Loan Tape'!$W$4:$W$303*'Loan Tape'!$R$4:$R$303)/E266,"-")</f>
        <v>-</v>
      </c>
      <c r="N266" s="69" t="str">
        <f aca="false">IFERROR(SUMPRODUCT((('Loan Tape'!$R$4:$R$303&lt;&gt;"")*('Loan Tape'!$O$4:$O$303&lt;C4)*('Loan Tape'!$O$4:$O$303&lt;&gt;"")*('Loan Tape'!$E$4:$E$303='Deal Strat'!$C$12))*'Loan Tape'!$AI$4:$AI$303*'Loan Tape'!$R$4:$R$303)/E266,"-")</f>
        <v>-</v>
      </c>
      <c r="O266" s="69" t="str">
        <f aca="false">IFERROR(SUMPRODUCT((('Loan Tape'!$R$4:$R$303&lt;&gt;"")*('Loan Tape'!$O$4:$O$303&lt;C4)*('Loan Tape'!$O$4:$O$303&lt;&gt;"")*('Loan Tape'!$E$4:$E$303='Deal Strat'!$C$12))*'Loan Tape'!$AK$4:$AK$303*'Loan Tape'!$R$4:$R$303)/E266,"-")</f>
        <v>-</v>
      </c>
      <c r="P266" s="69" t="str">
        <f aca="false">IFERROR(SUMPRODUCT((('Loan Tape'!$R$4:$R$303&lt;&gt;"")*('Loan Tape'!$O$4:$O$303&lt;C4)*('Loan Tape'!$O$4:$O$303&lt;&gt;"")*('Loan Tape'!$E$4:$E$303='Deal Strat'!$C$12))*'Loan Tape'!$S$4:$S$303*'Loan Tape'!$R$4:$R$303)/E266,"-")</f>
        <v>-</v>
      </c>
    </row>
    <row r="267" customFormat="false" ht="14.25" hidden="false" customHeight="false" outlineLevel="0" collapsed="false">
      <c r="B267" s="7" t="s">
        <v>483</v>
      </c>
      <c r="C267" s="68" t="n">
        <f aca="false">COUNTIFS('Loan Tape'!$O$4:$O$303,"&gt;="&amp;EDATE(C4,0.0001),'Loan Tape'!$O$4:$O$303,"&lt;="&amp;EDATE(C4,12),'Loan Tape'!$E$4:$E$303,'Deal Strat'!$C$12)</f>
        <v>3</v>
      </c>
      <c r="D267" s="68" t="n">
        <f aca="false">SUMPRODUCT((('Loan Tape'!$R$4:$R$303&lt;&gt;"")*('Loan Tape'!$O$4:$O$303&gt;=EDATE(C4,0.0001))*('Loan Tape'!$O$4:$O$303&lt;=EDATE(C4,12))*('Loan Tape'!$E$4:$E$303='Deal Strat'!$C$12))*'Loan Tape'!$F$4:$F$303)</f>
        <v>184</v>
      </c>
      <c r="E267" s="84" t="n">
        <f aca="false">SUMIFS('Loan Tape'!$R$4:$R$303,'Loan Tape'!$O$4:$O$303,"&gt;="&amp;EDATE(C4,0.0001),'Loan Tape'!$O$4:$O$303,"&lt;="&amp;EDATE(C4,12),'Loan Tape'!$E$4:$E$303,'Deal Strat'!$C$12)</f>
        <v>241046000</v>
      </c>
      <c r="F267" s="69" t="n">
        <f aca="false">IFERROR(E267/C5,0)</f>
        <v>0.64712593996569</v>
      </c>
      <c r="G267" s="85" t="n">
        <f aca="false">IFERROR(SUMPRODUCT((('Loan Tape'!$R$4:$R$303&lt;&gt;"")*('Loan Tape'!$O$4:$O$303&gt;=EDATE(C4,0.0001))*('Loan Tape'!$O$4:$O$303&lt;=EDATE(C4,12))*('Loan Tape'!$E$4:$E$303='Deal Strat'!$C$12))*'Loan Tape'!$U$4:$U$303*'Loan Tape'!$R$4:$R$303)/E267,"-")</f>
        <v>1.40664570248002</v>
      </c>
      <c r="H267" s="68" t="n">
        <f aca="false">IFERROR(SUMPRODUCT((('Loan Tape'!$R$4:$R$303&lt;&gt;"")*('Loan Tape'!$O$4:$O$303&gt;=EDATE(C4,0.0001))*('Loan Tape'!$O$4:$O$303&lt;=EDATE(C4,12))*('Loan Tape'!$E$4:$E$303='Deal Strat'!$C$12))*'Loan Tape'!$AH$4:$AH$303*'Loan Tape'!$R$4:$R$303)/E267,"-")</f>
        <v>101.024630153581</v>
      </c>
      <c r="I267" s="68" t="n">
        <f aca="false">IFERROR(SUMPRODUCT((('Loan Tape'!$R$4:$R$303&lt;&gt;"")*('Loan Tape'!$O$4:$O$303&gt;=EDATE(C4,0.0001))*('Loan Tape'!$O$4:$O$303&lt;=EDATE(C4,12))*('Loan Tape'!$E$4:$E$303='Deal Strat'!$C$12))*(('Loan Tape'!$H$4:$H$303-$C$4)/30.4375)*'Loan Tape'!$R$4:$R$303)/E267,"-")</f>
        <v>19.0061057811675</v>
      </c>
      <c r="J267" s="69" t="n">
        <f aca="false">IFERROR(SUMPRODUCT((('Loan Tape'!$R$4:$R$303&lt;&gt;"")*('Loan Tape'!$O$4:$O$303&gt;=EDATE(C4,0.0001))*('Loan Tape'!$O$4:$O$303&lt;=EDATE(C4,12))*('Loan Tape'!$E$4:$E$303='Deal Strat'!$C$12))*('Loan Tape'!$K$4:$K$303="Floating")*'Loan Tape'!$R$4:$R$303)/E267,"-")</f>
        <v>1</v>
      </c>
      <c r="K267" s="69" t="n">
        <f aca="false">IFERROR(SUMPRODUCT((('Loan Tape'!$R$4:$R$303&lt;&gt;"")*('Loan Tape'!$O$4:$O$303&gt;=EDATE(C4,0.0001))*('Loan Tape'!$O$4:$O$303&lt;=EDATE(C4,12))*('Loan Tape'!$E$4:$E$303='Deal Strat'!$C$12))*'Loan Tape'!$T$4:$T$303*'Loan Tape'!$R$4:$R$303)/E267,"-")</f>
        <v>0.0805250993586286</v>
      </c>
      <c r="L267" s="69" t="n">
        <f aca="false">IFERROR(SUMPRODUCT((('Loan Tape'!$R$4:$R$303&lt;&gt;"")*('Loan Tape'!$O$4:$O$303&gt;=EDATE(C4,0.0001))*('Loan Tape'!$O$4:$O$303&lt;=EDATE(C4,12))*('Loan Tape'!$E$4:$E$303='Deal Strat'!$C$12))*'Loan Tape'!$V$4:$V$303*'Loan Tape'!$R$4:$R$303)/E267,"-")</f>
        <v>0.620301394754528</v>
      </c>
      <c r="M267" s="69" t="n">
        <f aca="false">IFERROR(SUMPRODUCT((('Loan Tape'!$R$4:$R$303&lt;&gt;"")*('Loan Tape'!$O$4:$O$303&gt;=EDATE(C4,0.0001))*('Loan Tape'!$O$4:$O$303&lt;=EDATE(C4,12))*('Loan Tape'!$E$4:$E$303='Deal Strat'!$C$12))*'Loan Tape'!$W$4:$W$303*'Loan Tape'!$R$4:$R$303)/E267,"-")</f>
        <v>0.648804008363549</v>
      </c>
      <c r="N267" s="69" t="n">
        <f aca="false">IFERROR(SUMPRODUCT((('Loan Tape'!$R$4:$R$303&lt;&gt;"")*('Loan Tape'!$O$4:$O$303&gt;=EDATE(C4,0.0001))*('Loan Tape'!$O$4:$O$303&lt;=EDATE(C4,12))*('Loan Tape'!$E$4:$E$303='Deal Strat'!$C$12))*'Loan Tape'!$AI$4:$AI$303*'Loan Tape'!$R$4:$R$303)/E267,"-")</f>
        <v>0.0739581303983472</v>
      </c>
      <c r="O267" s="69" t="n">
        <f aca="false">IFERROR(SUMPRODUCT((('Loan Tape'!$R$4:$R$303&lt;&gt;"")*('Loan Tape'!$O$4:$O$303&gt;=EDATE(C4,0.0001))*('Loan Tape'!$O$4:$O$303&lt;=EDATE(C4,12))*('Loan Tape'!$E$4:$E$303='Deal Strat'!$C$12))*'Loan Tape'!$AK$4:$AK$303*'Loan Tape'!$R$4:$R$303)/E267,"-")</f>
        <v>0.0889581303983472</v>
      </c>
      <c r="P267" s="69" t="n">
        <f aca="false">IFERROR(SUMPRODUCT((('Loan Tape'!$R$4:$R$303&lt;&gt;"")*('Loan Tape'!$O$4:$O$303&gt;=EDATE(C4,0.0001))*('Loan Tape'!$O$4:$O$303&lt;=EDATE(C4,12))*('Loan Tape'!$E$4:$E$303='Deal Strat'!$C$12))*'Loan Tape'!$S$4:$S$303*'Loan Tape'!$R$4:$R$303)/E267,"-")</f>
        <v>0.82992473220879</v>
      </c>
    </row>
    <row r="268" customFormat="false" ht="14.25" hidden="false" customHeight="false" outlineLevel="0" collapsed="false">
      <c r="B268" s="7" t="s">
        <v>474</v>
      </c>
      <c r="C268" s="68" t="n">
        <f aca="false">COUNTIFS('Loan Tape'!$O$4:$O$303,"&gt;="&amp;EDATE(C4,12.0001),'Loan Tape'!$O$4:$O$303,"&lt;="&amp;EDATE(C4,24),'Loan Tape'!$E$4:$E$303,'Deal Strat'!$C$12)</f>
        <v>0</v>
      </c>
      <c r="D268" s="68" t="n">
        <f aca="false">SUMPRODUCT((('Loan Tape'!$R$4:$R$303&lt;&gt;"")*('Loan Tape'!$O$4:$O$303&gt;=EDATE(C4,12.0001))*('Loan Tape'!$O$4:$O$303&lt;=EDATE(C4,24))*('Loan Tape'!$E$4:$E$303='Deal Strat'!$C$12))*'Loan Tape'!$F$4:$F$303)</f>
        <v>0</v>
      </c>
      <c r="E268" s="84" t="n">
        <f aca="false">SUMIFS('Loan Tape'!$R$4:$R$303,'Loan Tape'!$O$4:$O$303,"&gt;="&amp;EDATE(C4,12.0001),'Loan Tape'!$O$4:$O$303,"&lt;="&amp;EDATE(C4,24),'Loan Tape'!$E$4:$E$303,'Deal Strat'!$C$12)</f>
        <v>0</v>
      </c>
      <c r="F268" s="69" t="n">
        <f aca="false">IFERROR(E268/C5,0)</f>
        <v>0</v>
      </c>
      <c r="G268" s="85" t="str">
        <f aca="false">IFERROR(SUMPRODUCT((('Loan Tape'!$R$4:$R$303&lt;&gt;"")*('Loan Tape'!$O$4:$O$303&gt;=EDATE(C4,12.0001))*('Loan Tape'!$O$4:$O$303&lt;=EDATE(C4,24))*('Loan Tape'!$E$4:$E$303='Deal Strat'!$C$12))*'Loan Tape'!$U$4:$U$303*'Loan Tape'!$R$4:$R$303)/E268,"-")</f>
        <v>-</v>
      </c>
      <c r="H268" s="68" t="str">
        <f aca="false">IFERROR(SUMPRODUCT((('Loan Tape'!$R$4:$R$303&lt;&gt;"")*('Loan Tape'!$O$4:$O$303&gt;=EDATE(C4,12.0001))*('Loan Tape'!$O$4:$O$303&lt;=EDATE(C4,24))*('Loan Tape'!$E$4:$E$303='Deal Strat'!$C$12))*'Loan Tape'!$AH$4:$AH$303*'Loan Tape'!$R$4:$R$303)/E268,"-")</f>
        <v>-</v>
      </c>
      <c r="I268" s="68" t="str">
        <f aca="false">IFERROR(SUMPRODUCT((('Loan Tape'!$R$4:$R$303&lt;&gt;"")*('Loan Tape'!$O$4:$O$303&gt;=EDATE(C4,12.0001))*('Loan Tape'!$O$4:$O$303&lt;=EDATE(C4,24))*('Loan Tape'!$E$4:$E$303='Deal Strat'!$C$12))*(('Loan Tape'!$H$4:$H$303-$C$4)/30.4375)*'Loan Tape'!$R$4:$R$303)/E268,"-")</f>
        <v>-</v>
      </c>
      <c r="J268" s="69" t="str">
        <f aca="false">IFERROR(SUMPRODUCT((('Loan Tape'!$R$4:$R$303&lt;&gt;"")*('Loan Tape'!$O$4:$O$303&gt;=EDATE(C4,12.0001))*('Loan Tape'!$O$4:$O$303&lt;=EDATE(C4,24))*('Loan Tape'!$E$4:$E$303='Deal Strat'!$C$12))*('Loan Tape'!$K$4:$K$303="Floating")*'Loan Tape'!$R$4:$R$303)/E268,"-")</f>
        <v>-</v>
      </c>
      <c r="K268" s="69" t="str">
        <f aca="false">IFERROR(SUMPRODUCT((('Loan Tape'!$R$4:$R$303&lt;&gt;"")*('Loan Tape'!$O$4:$O$303&gt;=EDATE(C4,12.0001))*('Loan Tape'!$O$4:$O$303&lt;=EDATE(C4,24))*('Loan Tape'!$E$4:$E$303='Deal Strat'!$C$12))*'Loan Tape'!$T$4:$T$303*'Loan Tape'!$R$4:$R$303)/E268,"-")</f>
        <v>-</v>
      </c>
      <c r="L268" s="69" t="str">
        <f aca="false">IFERROR(SUMPRODUCT((('Loan Tape'!$R$4:$R$303&lt;&gt;"")*('Loan Tape'!$O$4:$O$303&gt;=EDATE(C4,12.0001))*('Loan Tape'!$O$4:$O$303&lt;=EDATE(C4,24))*('Loan Tape'!$E$4:$E$303='Deal Strat'!$C$12))*'Loan Tape'!$V$4:$V$303*'Loan Tape'!$R$4:$R$303)/E268,"-")</f>
        <v>-</v>
      </c>
      <c r="M268" s="69" t="str">
        <f aca="false">IFERROR(SUMPRODUCT((('Loan Tape'!$R$4:$R$303&lt;&gt;"")*('Loan Tape'!$O$4:$O$303&gt;=EDATE(C4,12.0001))*('Loan Tape'!$O$4:$O$303&lt;=EDATE(C4,24))*('Loan Tape'!$E$4:$E$303='Deal Strat'!$C$12))*'Loan Tape'!$W$4:$W$303*'Loan Tape'!$R$4:$R$303)/E268,"-")</f>
        <v>-</v>
      </c>
      <c r="N268" s="69" t="str">
        <f aca="false">IFERROR(SUMPRODUCT((('Loan Tape'!$R$4:$R$303&lt;&gt;"")*('Loan Tape'!$O$4:$O$303&gt;=EDATE(C4,12.0001))*('Loan Tape'!$O$4:$O$303&lt;=EDATE(C4,24))*('Loan Tape'!$E$4:$E$303='Deal Strat'!$C$12))*'Loan Tape'!$AI$4:$AI$303*'Loan Tape'!$R$4:$R$303)/E268,"-")</f>
        <v>-</v>
      </c>
      <c r="O268" s="69" t="str">
        <f aca="false">IFERROR(SUMPRODUCT((('Loan Tape'!$R$4:$R$303&lt;&gt;"")*('Loan Tape'!$O$4:$O$303&gt;=EDATE(C4,12.0001))*('Loan Tape'!$O$4:$O$303&lt;=EDATE(C4,24))*('Loan Tape'!$E$4:$E$303='Deal Strat'!$C$12))*'Loan Tape'!$AK$4:$AK$303*'Loan Tape'!$R$4:$R$303)/E268,"-")</f>
        <v>-</v>
      </c>
      <c r="P268" s="69" t="str">
        <f aca="false">IFERROR(SUMPRODUCT((('Loan Tape'!$R$4:$R$303&lt;&gt;"")*('Loan Tape'!$O$4:$O$303&gt;=EDATE(C4,12.0001))*('Loan Tape'!$O$4:$O$303&lt;=EDATE(C4,24))*('Loan Tape'!$E$4:$E$303='Deal Strat'!$C$12))*'Loan Tape'!$S$4:$S$303*'Loan Tape'!$R$4:$R$303)/E268,"-")</f>
        <v>-</v>
      </c>
    </row>
    <row r="269" customFormat="false" ht="14.25" hidden="false" customHeight="false" outlineLevel="0" collapsed="false">
      <c r="B269" s="7" t="s">
        <v>475</v>
      </c>
      <c r="C269" s="68" t="n">
        <f aca="false">COUNTIFS('Loan Tape'!$O$4:$O$303,"&gt;="&amp;EDATE(C4,24.0001),'Loan Tape'!$O$4:$O$303,"&lt;="&amp;EDATE(C4,36),'Loan Tape'!$E$4:$E$303,'Deal Strat'!$C$12)</f>
        <v>0</v>
      </c>
      <c r="D269" s="68" t="n">
        <f aca="false">SUMPRODUCT((('Loan Tape'!$R$4:$R$303&lt;&gt;"")*('Loan Tape'!$O$4:$O$303&gt;=EDATE(C4,24.0001))*('Loan Tape'!$O$4:$O$303&lt;=EDATE(C4,36))*('Loan Tape'!$E$4:$E$303='Deal Strat'!$C$12))*'Loan Tape'!$F$4:$F$303)</f>
        <v>0</v>
      </c>
      <c r="E269" s="84" t="n">
        <f aca="false">SUMIFS('Loan Tape'!$R$4:$R$303,'Loan Tape'!$O$4:$O$303,"&gt;="&amp;EDATE(C4,24.0001),'Loan Tape'!$O$4:$O$303,"&lt;="&amp;EDATE(C4,36),'Loan Tape'!$E$4:$E$303,'Deal Strat'!$C$12)</f>
        <v>0</v>
      </c>
      <c r="F269" s="69" t="n">
        <f aca="false">IFERROR(E269/C5,0)</f>
        <v>0</v>
      </c>
      <c r="G269" s="85" t="str">
        <f aca="false">IFERROR(SUMPRODUCT((('Loan Tape'!$R$4:$R$303&lt;&gt;"")*('Loan Tape'!$O$4:$O$303&gt;=EDATE(C4,24.0001))*('Loan Tape'!$O$4:$O$303&lt;=EDATE(C4,36))*('Loan Tape'!$E$4:$E$303='Deal Strat'!$C$12))*'Loan Tape'!$U$4:$U$303*'Loan Tape'!$R$4:$R$303)/E269,"-")</f>
        <v>-</v>
      </c>
      <c r="H269" s="68" t="str">
        <f aca="false">IFERROR(SUMPRODUCT((('Loan Tape'!$R$4:$R$303&lt;&gt;"")*('Loan Tape'!$O$4:$O$303&gt;=EDATE(C4,24.0001))*('Loan Tape'!$O$4:$O$303&lt;=EDATE(C4,36))*('Loan Tape'!$E$4:$E$303='Deal Strat'!$C$12))*'Loan Tape'!$AH$4:$AH$303*'Loan Tape'!$R$4:$R$303)/E269,"-")</f>
        <v>-</v>
      </c>
      <c r="I269" s="68" t="str">
        <f aca="false">IFERROR(SUMPRODUCT((('Loan Tape'!$R$4:$R$303&lt;&gt;"")*('Loan Tape'!$O$4:$O$303&gt;=EDATE(C4,24.0001))*('Loan Tape'!$O$4:$O$303&lt;=EDATE(C4,36))*('Loan Tape'!$E$4:$E$303='Deal Strat'!$C$12))*(('Loan Tape'!$H$4:$H$303-$C$4)/30.4375)*'Loan Tape'!$R$4:$R$303)/E269,"-")</f>
        <v>-</v>
      </c>
      <c r="J269" s="69" t="str">
        <f aca="false">IFERROR(SUMPRODUCT((('Loan Tape'!$R$4:$R$303&lt;&gt;"")*('Loan Tape'!$O$4:$O$303&gt;=EDATE(C4,24.0001))*('Loan Tape'!$O$4:$O$303&lt;=EDATE(C4,36))*('Loan Tape'!$E$4:$E$303='Deal Strat'!$C$12))*('Loan Tape'!$K$4:$K$303="Floating")*'Loan Tape'!$R$4:$R$303)/E269,"-")</f>
        <v>-</v>
      </c>
      <c r="K269" s="69" t="str">
        <f aca="false">IFERROR(SUMPRODUCT((('Loan Tape'!$R$4:$R$303&lt;&gt;"")*('Loan Tape'!$O$4:$O$303&gt;=EDATE(C4,24.0001))*('Loan Tape'!$O$4:$O$303&lt;=EDATE(C4,36))*('Loan Tape'!$E$4:$E$303='Deal Strat'!$C$12))*'Loan Tape'!$T$4:$T$303*'Loan Tape'!$R$4:$R$303)/E269,"-")</f>
        <v>-</v>
      </c>
      <c r="L269" s="69" t="str">
        <f aca="false">IFERROR(SUMPRODUCT((('Loan Tape'!$R$4:$R$303&lt;&gt;"")*('Loan Tape'!$O$4:$O$303&gt;=EDATE(C4,24.0001))*('Loan Tape'!$O$4:$O$303&lt;=EDATE(C4,36))*('Loan Tape'!$E$4:$E$303='Deal Strat'!$C$12))*'Loan Tape'!$V$4:$V$303*'Loan Tape'!$R$4:$R$303)/E269,"-")</f>
        <v>-</v>
      </c>
      <c r="M269" s="69" t="str">
        <f aca="false">IFERROR(SUMPRODUCT((('Loan Tape'!$R$4:$R$303&lt;&gt;"")*('Loan Tape'!$O$4:$O$303&gt;=EDATE(C4,24.0001))*('Loan Tape'!$O$4:$O$303&lt;=EDATE(C4,36))*('Loan Tape'!$E$4:$E$303='Deal Strat'!$C$12))*'Loan Tape'!$W$4:$W$303*'Loan Tape'!$R$4:$R$303)/E269,"-")</f>
        <v>-</v>
      </c>
      <c r="N269" s="69" t="str">
        <f aca="false">IFERROR(SUMPRODUCT((('Loan Tape'!$R$4:$R$303&lt;&gt;"")*('Loan Tape'!$O$4:$O$303&gt;=EDATE(C4,24.0001))*('Loan Tape'!$O$4:$O$303&lt;=EDATE(C4,36))*('Loan Tape'!$E$4:$E$303='Deal Strat'!$C$12))*'Loan Tape'!$AI$4:$AI$303*'Loan Tape'!$R$4:$R$303)/E269,"-")</f>
        <v>-</v>
      </c>
      <c r="O269" s="69" t="str">
        <f aca="false">IFERROR(SUMPRODUCT((('Loan Tape'!$R$4:$R$303&lt;&gt;"")*('Loan Tape'!$O$4:$O$303&gt;=EDATE(C4,24.0001))*('Loan Tape'!$O$4:$O$303&lt;=EDATE(C4,36))*('Loan Tape'!$E$4:$E$303='Deal Strat'!$C$12))*'Loan Tape'!$AK$4:$AK$303*'Loan Tape'!$R$4:$R$303)/E269,"-")</f>
        <v>-</v>
      </c>
      <c r="P269" s="69" t="str">
        <f aca="false">IFERROR(SUMPRODUCT((('Loan Tape'!$R$4:$R$303&lt;&gt;"")*('Loan Tape'!$O$4:$O$303&gt;=EDATE(C4,24.0001))*('Loan Tape'!$O$4:$O$303&lt;=EDATE(C4,36))*('Loan Tape'!$E$4:$E$303='Deal Strat'!$C$12))*'Loan Tape'!$S$4:$S$303*'Loan Tape'!$R$4:$R$303)/E269,"-")</f>
        <v>-</v>
      </c>
    </row>
    <row r="270" customFormat="false" ht="14.25" hidden="false" customHeight="false" outlineLevel="0" collapsed="false">
      <c r="B270" s="7" t="s">
        <v>479</v>
      </c>
      <c r="C270" s="68" t="n">
        <f aca="false">COUNTIFS('Loan Tape'!$O$4:$O$303,"&gt;="&amp;EDATE(C4,36.0001),'Loan Tape'!$O$4:$O$303,"&lt;="&amp;DATE(2200,1,1),'Loan Tape'!$E$4:$E$303,'Deal Strat'!$C$12)</f>
        <v>0</v>
      </c>
      <c r="D270" s="68" t="n">
        <f aca="false">SUMPRODUCT((('Loan Tape'!$R$4:$R$303&lt;&gt;"")*('Loan Tape'!$O$4:$O$303&gt;=EDATE(C4,36.0001))*('Loan Tape'!$O$4:$O$303&lt;=DATE(2200,1,1))*('Loan Tape'!$E$4:$E$303='Deal Strat'!$C$12))*'Loan Tape'!$F$4:$F$303)</f>
        <v>0</v>
      </c>
      <c r="E270" s="84" t="n">
        <f aca="false">SUMIFS('Loan Tape'!$R$4:$R$303,'Loan Tape'!$O$4:$O$303,"&gt;="&amp;EDATE(C4,36.0001),'Loan Tape'!$O$4:$O$303,"&lt;="&amp;DATE(2200,1,1),'Loan Tape'!$E$4:$E$303,'Deal Strat'!$C$12)</f>
        <v>0</v>
      </c>
      <c r="F270" s="69" t="n">
        <f aca="false">IFERROR(E270/C5,0)</f>
        <v>0</v>
      </c>
      <c r="G270" s="85" t="str">
        <f aca="false">IFERROR(SUMPRODUCT((('Loan Tape'!$R$4:$R$303&lt;&gt;"")*('Loan Tape'!$O$4:$O$303&gt;=EDATE(C4,36.0001))*('Loan Tape'!$O$4:$O$303&lt;=DATE(2200,1,1))*('Loan Tape'!$E$4:$E$303='Deal Strat'!$C$12))*'Loan Tape'!$U$4:$U$303*'Loan Tape'!$R$4:$R$303)/E270,"-")</f>
        <v>-</v>
      </c>
      <c r="H270" s="68" t="str">
        <f aca="false">IFERROR(SUMPRODUCT((('Loan Tape'!$R$4:$R$303&lt;&gt;"")*('Loan Tape'!$O$4:$O$303&gt;=EDATE(C4,36.0001))*('Loan Tape'!$O$4:$O$303&lt;=DATE(2200,1,1))*('Loan Tape'!$E$4:$E$303='Deal Strat'!$C$12))*'Loan Tape'!$AH$4:$AH$303*'Loan Tape'!$R$4:$R$303)/E270,"-")</f>
        <v>-</v>
      </c>
      <c r="I270" s="68" t="str">
        <f aca="false">IFERROR(SUMPRODUCT((('Loan Tape'!$R$4:$R$303&lt;&gt;"")*('Loan Tape'!$O$4:$O$303&gt;=EDATE(C4,36.0001))*('Loan Tape'!$O$4:$O$303&lt;=DATE(2200,1,1))*('Loan Tape'!$E$4:$E$303='Deal Strat'!$C$12))*(('Loan Tape'!$H$4:$H$303-$C$4)/30.4375)*'Loan Tape'!$R$4:$R$303)/E270,"-")</f>
        <v>-</v>
      </c>
      <c r="J270" s="69" t="str">
        <f aca="false">IFERROR(SUMPRODUCT((('Loan Tape'!$R$4:$R$303&lt;&gt;"")*('Loan Tape'!$O$4:$O$303&gt;=EDATE(C4,36.0001))*('Loan Tape'!$O$4:$O$303&lt;=DATE(2200,1,1))*('Loan Tape'!$E$4:$E$303='Deal Strat'!$C$12))*('Loan Tape'!$K$4:$K$303="Floating")*'Loan Tape'!$R$4:$R$303)/E270,"-")</f>
        <v>-</v>
      </c>
      <c r="K270" s="69" t="str">
        <f aca="false">IFERROR(SUMPRODUCT((('Loan Tape'!$R$4:$R$303&lt;&gt;"")*('Loan Tape'!$O$4:$O$303&gt;=EDATE(C4,36.0001))*('Loan Tape'!$O$4:$O$303&lt;=DATE(2200,1,1))*('Loan Tape'!$E$4:$E$303='Deal Strat'!$C$12))*'Loan Tape'!$T$4:$T$303*'Loan Tape'!$R$4:$R$303)/E270,"-")</f>
        <v>-</v>
      </c>
      <c r="L270" s="69" t="str">
        <f aca="false">IFERROR(SUMPRODUCT((('Loan Tape'!$R$4:$R$303&lt;&gt;"")*('Loan Tape'!$O$4:$O$303&gt;=EDATE(C4,36.0001))*('Loan Tape'!$O$4:$O$303&lt;=DATE(2200,1,1))*('Loan Tape'!$E$4:$E$303='Deal Strat'!$C$12))*'Loan Tape'!$V$4:$V$303*'Loan Tape'!$R$4:$R$303)/E270,"-")</f>
        <v>-</v>
      </c>
      <c r="M270" s="69" t="str">
        <f aca="false">IFERROR(SUMPRODUCT((('Loan Tape'!$R$4:$R$303&lt;&gt;"")*('Loan Tape'!$O$4:$O$303&gt;=EDATE(C4,36.0001))*('Loan Tape'!$O$4:$O$303&lt;=DATE(2200,1,1))*('Loan Tape'!$E$4:$E$303='Deal Strat'!$C$12))*'Loan Tape'!$W$4:$W$303*'Loan Tape'!$R$4:$R$303)/E270,"-")</f>
        <v>-</v>
      </c>
      <c r="N270" s="69" t="str">
        <f aca="false">IFERROR(SUMPRODUCT((('Loan Tape'!$R$4:$R$303&lt;&gt;"")*('Loan Tape'!$O$4:$O$303&gt;=EDATE(C4,36.0001))*('Loan Tape'!$O$4:$O$303&lt;=DATE(2200,1,1))*('Loan Tape'!$E$4:$E$303='Deal Strat'!$C$12))*'Loan Tape'!$AI$4:$AI$303*'Loan Tape'!$R$4:$R$303)/E270,"-")</f>
        <v>-</v>
      </c>
      <c r="O270" s="69" t="str">
        <f aca="false">IFERROR(SUMPRODUCT((('Loan Tape'!$R$4:$R$303&lt;&gt;"")*('Loan Tape'!$O$4:$O$303&gt;=EDATE(C4,36.0001))*('Loan Tape'!$O$4:$O$303&lt;=DATE(2200,1,1))*('Loan Tape'!$E$4:$E$303='Deal Strat'!$C$12))*'Loan Tape'!$AK$4:$AK$303*'Loan Tape'!$R$4:$R$303)/E270,"-")</f>
        <v>-</v>
      </c>
      <c r="P270" s="69" t="str">
        <f aca="false">IFERROR(SUMPRODUCT((('Loan Tape'!$R$4:$R$303&lt;&gt;"")*('Loan Tape'!$O$4:$O$303&gt;=EDATE(C4,36.0001))*('Loan Tape'!$O$4:$O$303&lt;=DATE(2200,1,1))*('Loan Tape'!$E$4:$E$303='Deal Strat'!$C$12))*'Loan Tape'!$S$4:$S$303*'Loan Tape'!$R$4:$R$303)/E270,"-")</f>
        <v>-</v>
      </c>
    </row>
    <row r="271" customFormat="false" ht="14.25" hidden="false" customHeight="false" outlineLevel="0" collapsed="false">
      <c r="B271" s="7" t="s">
        <v>443</v>
      </c>
      <c r="C271" s="68" t="n">
        <f aca="false">SUMPRODUCT((('Loan Tape'!$R$4:$R$303&lt;&gt;"")*(('Loan Tape'!$K$4:$K$303="Fixed")*('Loan Tape'!$R$4:$R$303&lt;&gt;""))*('Loan Tape'!$E$4:$E$303='Deal Strat'!$C$12))*1)</f>
        <v>2</v>
      </c>
      <c r="D271" s="68" t="n">
        <f aca="false">SUMPRODUCT((('Loan Tape'!$R$4:$R$303&lt;&gt;"")*(('Loan Tape'!$K$4:$K$303="Fixed")*('Loan Tape'!$R$4:$R$303&lt;&gt;""))*('Loan Tape'!$E$4:$E$303='Deal Strat'!$C$12))*'Loan Tape'!$F$4:$F$303)</f>
        <v>409</v>
      </c>
      <c r="E271" s="84" t="n">
        <f aca="false">SUMPRODUCT((('Loan Tape'!$R$4:$R$303&lt;&gt;"")*(('Loan Tape'!$K$4:$K$303="Fixed")*('Loan Tape'!$R$4:$R$303&lt;&gt;""))*('Loan Tape'!$E$4:$E$303='Deal Strat'!$C$12))*'Loan Tape'!$R$4:$R$303)</f>
        <v>131441000</v>
      </c>
      <c r="F271" s="69" t="n">
        <f aca="false">IFERROR(E271/C5,0)</f>
        <v>0.35287406003431</v>
      </c>
      <c r="G271" s="85" t="n">
        <f aca="false">IFERROR(SUMPRODUCT((('Loan Tape'!$R$4:$R$303&lt;&gt;"")*(('Loan Tape'!$K$4:$K$303="Fixed")*('Loan Tape'!$R$4:$R$303&lt;&gt;""))*('Loan Tape'!$E$4:$E$303='Deal Strat'!$C$12))*'Loan Tape'!$U$4:$U$303*'Loan Tape'!$R$4:$R$303)/E271,"-")</f>
        <v>1.56595453473422</v>
      </c>
      <c r="H271" s="68" t="n">
        <f aca="false">IFERROR(SUMPRODUCT((('Loan Tape'!$R$4:$R$303&lt;&gt;"")*(('Loan Tape'!$K$4:$K$303="Fixed")*('Loan Tape'!$R$4:$R$303&lt;&gt;""))*('Loan Tape'!$E$4:$E$303='Deal Strat'!$C$12))*'Loan Tape'!$AH$4:$AH$303*'Loan Tape'!$R$4:$R$303)/E271,"-")</f>
        <v>99.2577201938512</v>
      </c>
      <c r="I271" s="68" t="n">
        <f aca="false">IFERROR(SUMPRODUCT((('Loan Tape'!$R$4:$R$303&lt;&gt;"")*(('Loan Tape'!$K$4:$K$303="Fixed")*('Loan Tape'!$R$4:$R$303&lt;&gt;""))*('Loan Tape'!$E$4:$E$303='Deal Strat'!$C$12))*(('Loan Tape'!$H$4:$H$303-$C$4)/30.4375)*'Loan Tape'!$R$4:$R$303)/E271,"-")</f>
        <v>-23.4558121790326</v>
      </c>
      <c r="J271" s="69" t="n">
        <f aca="false">IFERROR(SUMPRODUCT((('Loan Tape'!$R$4:$R$303&lt;&gt;"")*(('Loan Tape'!$K$4:$K$303="Fixed")*('Loan Tape'!$R$4:$R$303&lt;&gt;""))*('Loan Tape'!$E$4:$E$303='Deal Strat'!$C$12))*('Loan Tape'!$K$4:$K$303="Floating")*'Loan Tape'!$R$4:$R$303)/E271,"-")</f>
        <v>0</v>
      </c>
      <c r="K271" s="69" t="n">
        <f aca="false">IFERROR(SUMPRODUCT((('Loan Tape'!$R$4:$R$303&lt;&gt;"")*(('Loan Tape'!$K$4:$K$303="Fixed")*('Loan Tape'!$R$4:$R$303&lt;&gt;""))*('Loan Tape'!$E$4:$E$303='Deal Strat'!$C$12))*'Loan Tape'!$T$4:$T$303*'Loan Tape'!$R$4:$R$303)/E271,"-")</f>
        <v>0.0942628289498711</v>
      </c>
      <c r="L271" s="69" t="n">
        <f aca="false">IFERROR(SUMPRODUCT((('Loan Tape'!$R$4:$R$303&lt;&gt;"")*(('Loan Tape'!$K$4:$K$303="Fixed")*('Loan Tape'!$R$4:$R$303&lt;&gt;""))*('Loan Tape'!$E$4:$E$303='Deal Strat'!$C$12))*'Loan Tape'!$V$4:$V$303*'Loan Tape'!$R$4:$R$303)/E271,"-")</f>
        <v>0.818414649918975</v>
      </c>
      <c r="M271" s="69" t="n">
        <f aca="false">IFERROR(SUMPRODUCT((('Loan Tape'!$R$4:$R$303&lt;&gt;"")*(('Loan Tape'!$K$4:$K$303="Fixed")*('Loan Tape'!$R$4:$R$303&lt;&gt;""))*('Loan Tape'!$E$4:$E$303='Deal Strat'!$C$12))*'Loan Tape'!$W$4:$W$303*'Loan Tape'!$R$4:$R$303)/E271,"-")</f>
        <v>0.873015155088595</v>
      </c>
      <c r="N271" s="69" t="n">
        <f aca="false">IFERROR(SUMPRODUCT((('Loan Tape'!$R$4:$R$303&lt;&gt;"")*(('Loan Tape'!$K$4:$K$303="Fixed")*('Loan Tape'!$R$4:$R$303&lt;&gt;""))*('Loan Tape'!$E$4:$E$303='Deal Strat'!$C$12))*'Loan Tape'!$AI$4:$AI$303*'Loan Tape'!$R$4:$R$303)/E271,"-")</f>
        <v>0.0572734702261851</v>
      </c>
      <c r="O271" s="69" t="n">
        <f aca="false">IFERROR(SUMPRODUCT((('Loan Tape'!$R$4:$R$303&lt;&gt;"")*(('Loan Tape'!$K$4:$K$303="Fixed")*('Loan Tape'!$R$4:$R$303&lt;&gt;""))*('Loan Tape'!$E$4:$E$303='Deal Strat'!$C$12))*'Loan Tape'!$AK$4:$AK$303*'Loan Tape'!$R$4:$R$303)/E271,"-")</f>
        <v>0.0572734702261851</v>
      </c>
      <c r="P271" s="69" t="n">
        <f aca="false">IFERROR(SUMPRODUCT((('Loan Tape'!$R$4:$R$303&lt;&gt;"")*(('Loan Tape'!$K$4:$K$303="Fixed")*('Loan Tape'!$R$4:$R$303&lt;&gt;""))*('Loan Tape'!$E$4:$E$303='Deal Strat'!$C$12))*'Loan Tape'!$S$4:$S$303*'Loan Tape'!$R$4:$R$303)/E271,"-")</f>
        <v>0.862621282552628</v>
      </c>
    </row>
    <row r="272" customFormat="false" ht="14.25" hidden="false" customHeight="false" outlineLevel="0" collapsed="false">
      <c r="B272" s="86" t="s">
        <v>405</v>
      </c>
      <c r="C272" s="92" t="n">
        <f aca="false">SUM(C266:C271)</f>
        <v>5</v>
      </c>
      <c r="D272" s="92" t="n">
        <f aca="false">SUM(D266:D271)</f>
        <v>593</v>
      </c>
      <c r="E272" s="88" t="n">
        <f aca="false">SUM(E266:E271)</f>
        <v>372487000</v>
      </c>
      <c r="F272" s="89" t="n">
        <f aca="false">SUM(F266:F271)</f>
        <v>1</v>
      </c>
      <c r="G272" s="90" t="n">
        <f aca="false">IFERROR(SUMPRODUCT((('Loan Tape'!$R$4:$R$303&lt;&gt;"")*('Loan Tape'!$E$4:$E$303='Deal Strat'!$C$12))*'Loan Tape'!$U$4:$U$303*'Loan Tape'!$R$4:$R$303)/E272,"-")</f>
        <v>1.46286165691689</v>
      </c>
      <c r="H272" s="92" t="n">
        <f aca="false">IFERROR(SUMPRODUCT((('Loan Tape'!$R$4:$R$303&lt;&gt;"")*('Loan Tape'!$E$4:$E$303='Deal Strat'!$C$12))*'Loan Tape'!$AH$4:$AH$303*'Loan Tape'!$R$4:$R$303)/E272,"-")</f>
        <v>100.401133462376</v>
      </c>
      <c r="I272" s="92" t="n">
        <f aca="false">IFERROR(SUMPRODUCT((('Loan Tape'!$R$4:$R$303&lt;&gt;"")*('Loan Tape'!$E$4:$E$303='Deal Strat'!$C$12))*(('Loan Tape'!$H$4:$H$303-$C$4)/30.4375)*'Loan Tape'!$R$4:$R$303)/E272,"-")</f>
        <v>4.02239639370792</v>
      </c>
      <c r="J272" s="89" t="n">
        <f aca="false">IFERROR(SUMPRODUCT((('Loan Tape'!$R$4:$R$303&lt;&gt;"")*('Loan Tape'!$E$4:$E$303='Deal Strat'!$C$12))*('Loan Tape'!$K$4:$K$303="Floating")*'Loan Tape'!$R$4:$R$303)/E272,"-")</f>
        <v>0.64712593996569</v>
      </c>
      <c r="K272" s="89" t="n">
        <f aca="false">IFERROR(SUMPRODUCT((('Loan Tape'!$R$4:$R$303&lt;&gt;"")*('Loan Tape'!$E$4:$E$303='Deal Strat'!$C$12))*'Loan Tape'!$T$4:$T$303*'Loan Tape'!$R$4:$R$303)/E272,"-")</f>
        <v>0.0853727877751438</v>
      </c>
      <c r="L272" s="89" t="n">
        <f aca="false">IFERROR(SUMPRODUCT((('Loan Tape'!$R$4:$R$303&lt;&gt;"")*('Loan Tape'!$E$4:$E$303='Deal Strat'!$C$12))*'Loan Tape'!$V$4:$V$303*'Loan Tape'!$R$4:$R$303)/E272,"-")</f>
        <v>0.69021042345102</v>
      </c>
      <c r="M272" s="89" t="n">
        <f aca="false">IFERROR(SUMPRODUCT((('Loan Tape'!$R$4:$R$303&lt;&gt;"")*('Loan Tape'!$E$4:$E$303='Deal Strat'!$C$12))*'Loan Tape'!$W$4:$W$303*'Loan Tape'!$R$4:$R$303)/E272,"-")</f>
        <v>0.727922306013364</v>
      </c>
      <c r="N272" s="89" t="n">
        <f aca="false">IFERROR(SUMPRODUCT((('Loan Tape'!$R$4:$R$303&lt;&gt;"")*('Loan Tape'!$E$4:$E$303='Deal Strat'!$C$12))*'Loan Tape'!$AI$4:$AI$303*'Loan Tape'!$R$4:$R$303)/E272,"-")</f>
        <v>0.0680705466231036</v>
      </c>
      <c r="O272" s="89" t="n">
        <f aca="false">IFERROR(SUMPRODUCT((('Loan Tape'!$R$4:$R$303&lt;&gt;"")*('Loan Tape'!$E$4:$E$303='Deal Strat'!$C$12))*'Loan Tape'!$AK$4:$AK$303*'Loan Tape'!$R$4:$R$303)/E272,"-")</f>
        <v>0.077777435722589</v>
      </c>
      <c r="P272" s="89" t="n">
        <f aca="false">IFERROR(SUMPRODUCT((('Loan Tape'!$R$4:$R$303&lt;&gt;"")*('Loan Tape'!$E$4:$E$303='Deal Strat'!$C$12))*'Loan Tape'!$S$4:$S$303*'Loan Tape'!$R$4:$R$303)/E272,"-")</f>
        <v>0.841462496677736</v>
      </c>
    </row>
    <row r="274" customFormat="false" ht="19.5" hidden="false" customHeight="true" outlineLevel="0" collapsed="false">
      <c r="B274" s="5" t="s">
        <v>486</v>
      </c>
      <c r="C274" s="5"/>
      <c r="D274" s="5"/>
      <c r="E274" s="5"/>
      <c r="F274" s="5"/>
      <c r="G274" s="5"/>
      <c r="H274" s="5"/>
      <c r="I274" s="5"/>
      <c r="J274" s="5"/>
      <c r="K274" s="5"/>
      <c r="L274" s="5"/>
      <c r="M274" s="5"/>
      <c r="N274" s="5"/>
      <c r="O274" s="5"/>
      <c r="P274" s="5"/>
    </row>
    <row r="275" customFormat="false" ht="42" hidden="false" customHeight="true" outlineLevel="0" collapsed="false">
      <c r="B275" s="82" t="s">
        <v>423</v>
      </c>
      <c r="C275" s="83" t="s">
        <v>368</v>
      </c>
      <c r="D275" s="83" t="s">
        <v>153</v>
      </c>
      <c r="E275" s="83" t="s">
        <v>393</v>
      </c>
      <c r="F275" s="83" t="s">
        <v>394</v>
      </c>
      <c r="G275" s="83" t="s">
        <v>395</v>
      </c>
      <c r="H275" s="83" t="s">
        <v>396</v>
      </c>
      <c r="I275" s="83" t="s">
        <v>397</v>
      </c>
      <c r="J275" s="83" t="s">
        <v>398</v>
      </c>
      <c r="K275" s="83" t="s">
        <v>399</v>
      </c>
      <c r="L275" s="83" t="s">
        <v>400</v>
      </c>
      <c r="M275" s="83" t="s">
        <v>401</v>
      </c>
      <c r="N275" s="83" t="s">
        <v>402</v>
      </c>
      <c r="O275" s="83" t="s">
        <v>403</v>
      </c>
      <c r="P275" s="83" t="s">
        <v>365</v>
      </c>
    </row>
    <row r="276" customFormat="false" ht="14.25" hidden="false" customHeight="false" outlineLevel="0" collapsed="false">
      <c r="B276" s="7" t="s">
        <v>487</v>
      </c>
      <c r="C276" s="68" t="n">
        <f aca="false">COUNTIFS('Loan Tape'!$X$4:$X$303,"&gt;="&amp;R276,'Loan Tape'!$X$4:$X$303,"&lt;="&amp;S276,'Loan Tape'!$R$4:$R$303,"&lt;&gt;",'Loan Tape'!$E$4:$E$303,'Deal Strat'!$C$12)</f>
        <v>2</v>
      </c>
      <c r="D276" s="68" t="n">
        <f aca="false">SUMPRODUCT((('Loan Tape'!$R$4:$R$303&lt;&gt;"")*('Loan Tape'!$X$4:$X$303&gt;=R276)*('Loan Tape'!$X$4:$X$303&lt;=S276)*('Loan Tape'!$E$4:$E$303='Deal Strat'!$C$12))*'Loan Tape'!$F$4:$F$303)</f>
        <v>171</v>
      </c>
      <c r="E276" s="84" t="n">
        <f aca="false">SUMIFS('Loan Tape'!$R$4:$R$303,'Loan Tape'!$X$4:$X$303,"&gt;="&amp;R276,'Loan Tape'!$X$4:$X$303,"&lt;="&amp;S276,'Loan Tape'!$R$4:$R$303,"&lt;&gt;",'Loan Tape'!$E$4:$E$303,'Deal Strat'!$C$12)</f>
        <v>165369000</v>
      </c>
      <c r="F276" s="69" t="n">
        <f aca="false">IFERROR(E276/C5,0)</f>
        <v>0.443959118036334</v>
      </c>
      <c r="G276" s="85" t="n">
        <f aca="false">IFERROR(SUMPRODUCT((('Loan Tape'!$R$4:$R$303&lt;&gt;"")*('Loan Tape'!$X$4:$X$303&gt;=R276)*('Loan Tape'!$X$4:$X$303&lt;=S276)*('Loan Tape'!$E$4:$E$303='Deal Strat'!$C$12))*'Loan Tape'!$U$4:$U$303*'Loan Tape'!$R$4:$R$303)/E276,"-")</f>
        <v>1.54347441177004</v>
      </c>
      <c r="H276" s="68" t="n">
        <f aca="false">IFERROR(SUMPRODUCT((('Loan Tape'!$R$4:$R$303&lt;&gt;"")*('Loan Tape'!$X$4:$X$303&gt;=R276)*('Loan Tape'!$X$4:$X$303&lt;=S276)*('Loan Tape'!$E$4:$E$303='Deal Strat'!$C$12))*'Loan Tape'!$AH$4:$AH$303*'Loan Tape'!$R$4:$R$303)/E276,"-")</f>
        <v>98.3652558822996</v>
      </c>
      <c r="I276" s="68" t="n">
        <f aca="false">IFERROR(SUMPRODUCT((('Loan Tape'!$R$4:$R$303&lt;&gt;"")*('Loan Tape'!$X$4:$X$303&gt;=R276)*('Loan Tape'!$X$4:$X$303&lt;=S276)*('Loan Tape'!$E$4:$E$303='Deal Strat'!$C$12))*(('Loan Tape'!$H$4:$H$303-$C$4)/30.4375)*'Loan Tape'!$R$4:$R$303)/E276,"-")</f>
        <v>5.32501393840119</v>
      </c>
      <c r="J276" s="69" t="n">
        <f aca="false">IFERROR(SUMPRODUCT((('Loan Tape'!$R$4:$R$303&lt;&gt;"")*('Loan Tape'!$X$4:$X$303&gt;=R276)*('Loan Tape'!$X$4:$X$303&lt;=S276)*('Loan Tape'!$E$4:$E$303='Deal Strat'!$C$12))*('Loan Tape'!$K$4:$K$303="Floating")*'Loan Tape'!$R$4:$R$303)/E276,"-")</f>
        <v>0.727542647049931</v>
      </c>
      <c r="K276" s="69" t="n">
        <f aca="false">IFERROR(SUMPRODUCT((('Loan Tape'!$R$4:$R$303&lt;&gt;"")*('Loan Tape'!$X$4:$X$303&gt;=R276)*('Loan Tape'!$X$4:$X$303&lt;=S276)*('Loan Tape'!$E$4:$E$303='Deal Strat'!$C$12))*'Loan Tape'!$T$4:$T$303*'Loan Tape'!$R$4:$R$303)/E276,"-")</f>
        <v>0.0778853001469441</v>
      </c>
      <c r="L276" s="69" t="n">
        <f aca="false">IFERROR(SUMPRODUCT((('Loan Tape'!$R$4:$R$303&lt;&gt;"")*('Loan Tape'!$X$4:$X$303&gt;=R276)*('Loan Tape'!$X$4:$X$303&lt;=S276)*('Loan Tape'!$E$4:$E$303='Deal Strat'!$C$12))*'Loan Tape'!$V$4:$V$303*'Loan Tape'!$R$4:$R$303)/E276,"-")</f>
        <v>0.668994061764902</v>
      </c>
      <c r="M276" s="69" t="n">
        <f aca="false">IFERROR(SUMPRODUCT((('Loan Tape'!$R$4:$R$303&lt;&gt;"")*('Loan Tape'!$X$4:$X$303&gt;=R276)*('Loan Tape'!$X$4:$X$303&lt;=S276)*('Loan Tape'!$E$4:$E$303='Deal Strat'!$C$12))*'Loan Tape'!$W$4:$W$303*'Loan Tape'!$R$4:$R$303)/E276,"-")</f>
        <v>0.702260580882753</v>
      </c>
      <c r="N276" s="69" t="n">
        <f aca="false">IFERROR(SUMPRODUCT((('Loan Tape'!$R$4:$R$303&lt;&gt;"")*('Loan Tape'!$X$4:$X$303&gt;=R276)*('Loan Tape'!$X$4:$X$303&lt;=S276)*('Loan Tape'!$E$4:$E$303='Deal Strat'!$C$12))*'Loan Tape'!$AI$4:$AI$303*'Loan Tape'!$R$4:$R$303)/E276,"-")</f>
        <v>0.0780140304410137</v>
      </c>
      <c r="O276" s="69" t="n">
        <f aca="false">IFERROR(SUMPRODUCT((('Loan Tape'!$R$4:$R$303&lt;&gt;"")*('Loan Tape'!$X$4:$X$303&gt;=R276)*('Loan Tape'!$X$4:$X$303&lt;=S276)*('Loan Tape'!$E$4:$E$303='Deal Strat'!$C$12))*'Loan Tape'!$AK$4:$AK$303*'Loan Tape'!$R$4:$R$303)/E276,"-")</f>
        <v>0.0889271701467627</v>
      </c>
      <c r="P276" s="69" t="n">
        <f aca="false">IFERROR(SUMPRODUCT((('Loan Tape'!$R$4:$R$303&lt;&gt;"")*('Loan Tape'!$X$4:$X$303&gt;=R276)*('Loan Tape'!$X$4:$X$303&lt;=S276)*('Loan Tape'!$E$4:$E$303='Deal Strat'!$C$12))*'Loan Tape'!$S$4:$S$303*'Loan Tape'!$R$4:$R$303)/E276,"-")</f>
        <v>0.82350631617776</v>
      </c>
      <c r="R276" s="91" t="n">
        <v>-1000000000000</v>
      </c>
      <c r="S276" s="91" t="n">
        <v>1979</v>
      </c>
    </row>
    <row r="277" customFormat="false" ht="14.25" hidden="false" customHeight="false" outlineLevel="0" collapsed="false">
      <c r="B277" s="7" t="s">
        <v>488</v>
      </c>
      <c r="C277" s="68" t="n">
        <f aca="false">COUNTIFS('Loan Tape'!$X$4:$X$303,"&gt;="&amp;R277,'Loan Tape'!$X$4:$X$303,"&lt;="&amp;S277,'Loan Tape'!$R$4:$R$303,"&lt;&gt;",'Loan Tape'!$E$4:$E$303,'Deal Strat'!$C$12)</f>
        <v>2</v>
      </c>
      <c r="D277" s="68" t="n">
        <f aca="false">SUMPRODUCT((('Loan Tape'!$R$4:$R$303&lt;&gt;"")*('Loan Tape'!$X$4:$X$303&gt;=R277)*('Loan Tape'!$X$4:$X$303&lt;=S277)*('Loan Tape'!$E$4:$E$303='Deal Strat'!$C$12))*'Loan Tape'!$F$4:$F$303)</f>
        <v>184</v>
      </c>
      <c r="E277" s="84" t="n">
        <f aca="false">SUMIFS('Loan Tape'!$R$4:$R$303,'Loan Tape'!$X$4:$X$303,"&gt;="&amp;R277,'Loan Tape'!$X$4:$X$303,"&lt;="&amp;S277,'Loan Tape'!$R$4:$R$303,"&lt;&gt;",'Loan Tape'!$E$4:$E$303,'Deal Strat'!$C$12)</f>
        <v>120733000</v>
      </c>
      <c r="F277" s="69" t="n">
        <f aca="false">IFERROR(E277/C5,0)</f>
        <v>0.324126748047583</v>
      </c>
      <c r="G277" s="85" t="n">
        <f aca="false">IFERROR(SUMPRODUCT((('Loan Tape'!$R$4:$R$303&lt;&gt;"")*('Loan Tape'!$X$4:$X$303&gt;=R277)*('Loan Tape'!$X$4:$X$303&lt;=S277)*('Loan Tape'!$E$4:$E$303='Deal Strat'!$C$12))*'Loan Tape'!$U$4:$U$303*'Loan Tape'!$R$4:$R$303)/E277,"-")</f>
        <v>1.43319871120572</v>
      </c>
      <c r="H277" s="68" t="n">
        <f aca="false">IFERROR(SUMPRODUCT((('Loan Tape'!$R$4:$R$303&lt;&gt;"")*('Loan Tape'!$X$4:$X$303&gt;=R277)*('Loan Tape'!$X$4:$X$303&lt;=S277)*('Loan Tape'!$E$4:$E$303='Deal Strat'!$C$12))*'Loan Tape'!$AH$4:$AH$303*'Loan Tape'!$R$4:$R$303)/E277,"-")</f>
        <v>102.045695874367</v>
      </c>
      <c r="I277" s="68" t="n">
        <f aca="false">IFERROR(SUMPRODUCT((('Loan Tape'!$R$4:$R$303&lt;&gt;"")*('Loan Tape'!$X$4:$X$303&gt;=R277)*('Loan Tape'!$X$4:$X$303&lt;=S277)*('Loan Tape'!$E$4:$E$303='Deal Strat'!$C$12))*(('Loan Tape'!$H$4:$H$303-$C$4)/30.4375)*'Loan Tape'!$R$4:$R$303)/E277,"-")</f>
        <v>17.9747441751719</v>
      </c>
      <c r="J277" s="69" t="n">
        <f aca="false">IFERROR(SUMPRODUCT((('Loan Tape'!$R$4:$R$303&lt;&gt;"")*('Loan Tape'!$X$4:$X$303&gt;=R277)*('Loan Tape'!$X$4:$X$303&lt;=S277)*('Loan Tape'!$E$4:$E$303='Deal Strat'!$C$12))*('Loan Tape'!$K$4:$K$303="Floating")*'Loan Tape'!$R$4:$R$303)/E277,"-")</f>
        <v>1</v>
      </c>
      <c r="K277" s="69" t="n">
        <f aca="false">IFERROR(SUMPRODUCT((('Loan Tape'!$R$4:$R$303&lt;&gt;"")*('Loan Tape'!$X$4:$X$303&gt;=R277)*('Loan Tape'!$X$4:$X$303&lt;=S277)*('Loan Tape'!$E$4:$E$303='Deal Strat'!$C$12))*'Loan Tape'!$T$4:$T$303*'Loan Tape'!$R$4:$R$303)/E277,"-")</f>
        <v>0.079653242278416</v>
      </c>
      <c r="L277" s="69" t="n">
        <f aca="false">IFERROR(SUMPRODUCT((('Loan Tape'!$R$4:$R$303&lt;&gt;"")*('Loan Tape'!$X$4:$X$303&gt;=R277)*('Loan Tape'!$X$4:$X$303&lt;=S277)*('Loan Tape'!$E$4:$E$303='Deal Strat'!$C$12))*'Loan Tape'!$V$4:$V$303*'Loan Tape'!$R$4:$R$303)/E277,"-")</f>
        <v>0.577751327309021</v>
      </c>
      <c r="M277" s="69" t="n">
        <f aca="false">IFERROR(SUMPRODUCT((('Loan Tape'!$R$4:$R$303&lt;&gt;"")*('Loan Tape'!$X$4:$X$303&gt;=R277)*('Loan Tape'!$X$4:$X$303&lt;=S277)*('Loan Tape'!$E$4:$E$303='Deal Strat'!$C$12))*'Loan Tape'!$W$4:$W$303*'Loan Tape'!$R$4:$R$303)/E277,"-")</f>
        <v>0.607751327309021</v>
      </c>
      <c r="N277" s="69" t="n">
        <f aca="false">IFERROR(SUMPRODUCT((('Loan Tape'!$R$4:$R$303&lt;&gt;"")*('Loan Tape'!$X$4:$X$303&gt;=R277)*('Loan Tape'!$X$4:$X$303&lt;=S277)*('Loan Tape'!$E$4:$E$303='Deal Strat'!$C$12))*'Loan Tape'!$AI$4:$AI$303*'Loan Tape'!$R$4:$R$303)/E277,"-")</f>
        <v>0.0649477152062816</v>
      </c>
      <c r="O277" s="69" t="n">
        <f aca="false">IFERROR(SUMPRODUCT((('Loan Tape'!$R$4:$R$303&lt;&gt;"")*('Loan Tape'!$X$4:$X$303&gt;=R277)*('Loan Tape'!$X$4:$X$303&lt;=S277)*('Loan Tape'!$E$4:$E$303='Deal Strat'!$C$12))*'Loan Tape'!$AK$4:$AK$303*'Loan Tape'!$R$4:$R$303)/E277,"-")</f>
        <v>0.0799477152062816</v>
      </c>
      <c r="P277" s="69" t="n">
        <f aca="false">IFERROR(SUMPRODUCT((('Loan Tape'!$R$4:$R$303&lt;&gt;"")*('Loan Tape'!$X$4:$X$303&gt;=R277)*('Loan Tape'!$X$4:$X$303&lt;=S277)*('Loan Tape'!$E$4:$E$303='Deal Strat'!$C$12))*'Loan Tape'!$S$4:$S$303*'Loan Tape'!$R$4:$R$303)/E277,"-")</f>
        <v>0.875689703726405</v>
      </c>
      <c r="R277" s="91" t="n">
        <v>1980</v>
      </c>
      <c r="S277" s="91" t="n">
        <v>1999</v>
      </c>
    </row>
    <row r="278" customFormat="false" ht="14.25" hidden="false" customHeight="false" outlineLevel="0" collapsed="false">
      <c r="B278" s="7" t="s">
        <v>489</v>
      </c>
      <c r="C278" s="68" t="n">
        <f aca="false">COUNTIFS('Loan Tape'!$X$4:$X$303,"&gt;="&amp;R278,'Loan Tape'!$X$4:$X$303,"&lt;="&amp;S278,'Loan Tape'!$R$4:$R$303,"&lt;&gt;",'Loan Tape'!$E$4:$E$303,'Deal Strat'!$C$12)</f>
        <v>0</v>
      </c>
      <c r="D278" s="68" t="n">
        <f aca="false">SUMPRODUCT((('Loan Tape'!$R$4:$R$303&lt;&gt;"")*('Loan Tape'!$X$4:$X$303&gt;=R278)*('Loan Tape'!$X$4:$X$303&lt;=S278)*('Loan Tape'!$E$4:$E$303='Deal Strat'!$C$12))*'Loan Tape'!$F$4:$F$303)</f>
        <v>0</v>
      </c>
      <c r="E278" s="84" t="n">
        <f aca="false">SUMIFS('Loan Tape'!$R$4:$R$303,'Loan Tape'!$X$4:$X$303,"&gt;="&amp;R278,'Loan Tape'!$X$4:$X$303,"&lt;="&amp;S278,'Loan Tape'!$R$4:$R$303,"&lt;&gt;",'Loan Tape'!$E$4:$E$303,'Deal Strat'!$C$12)</f>
        <v>0</v>
      </c>
      <c r="F278" s="69" t="n">
        <f aca="false">IFERROR(E278/C5,0)</f>
        <v>0</v>
      </c>
      <c r="G278" s="85" t="str">
        <f aca="false">IFERROR(SUMPRODUCT((('Loan Tape'!$R$4:$R$303&lt;&gt;"")*('Loan Tape'!$X$4:$X$303&gt;=R278)*('Loan Tape'!$X$4:$X$303&lt;=S278)*('Loan Tape'!$E$4:$E$303='Deal Strat'!$C$12))*'Loan Tape'!$U$4:$U$303*'Loan Tape'!$R$4:$R$303)/E278,"-")</f>
        <v>-</v>
      </c>
      <c r="H278" s="68" t="str">
        <f aca="false">IFERROR(SUMPRODUCT((('Loan Tape'!$R$4:$R$303&lt;&gt;"")*('Loan Tape'!$X$4:$X$303&gt;=R278)*('Loan Tape'!$X$4:$X$303&lt;=S278)*('Loan Tape'!$E$4:$E$303='Deal Strat'!$C$12))*'Loan Tape'!$AH$4:$AH$303*'Loan Tape'!$R$4:$R$303)/E278,"-")</f>
        <v>-</v>
      </c>
      <c r="I278" s="68" t="str">
        <f aca="false">IFERROR(SUMPRODUCT((('Loan Tape'!$R$4:$R$303&lt;&gt;"")*('Loan Tape'!$X$4:$X$303&gt;=R278)*('Loan Tape'!$X$4:$X$303&lt;=S278)*('Loan Tape'!$E$4:$E$303='Deal Strat'!$C$12))*(('Loan Tape'!$H$4:$H$303-$C$4)/30.4375)*'Loan Tape'!$R$4:$R$303)/E278,"-")</f>
        <v>-</v>
      </c>
      <c r="J278" s="69" t="str">
        <f aca="false">IFERROR(SUMPRODUCT((('Loan Tape'!$R$4:$R$303&lt;&gt;"")*('Loan Tape'!$X$4:$X$303&gt;=R278)*('Loan Tape'!$X$4:$X$303&lt;=S278)*('Loan Tape'!$E$4:$E$303='Deal Strat'!$C$12))*('Loan Tape'!$K$4:$K$303="Floating")*'Loan Tape'!$R$4:$R$303)/E278,"-")</f>
        <v>-</v>
      </c>
      <c r="K278" s="69" t="str">
        <f aca="false">IFERROR(SUMPRODUCT((('Loan Tape'!$R$4:$R$303&lt;&gt;"")*('Loan Tape'!$X$4:$X$303&gt;=R278)*('Loan Tape'!$X$4:$X$303&lt;=S278)*('Loan Tape'!$E$4:$E$303='Deal Strat'!$C$12))*'Loan Tape'!$T$4:$T$303*'Loan Tape'!$R$4:$R$303)/E278,"-")</f>
        <v>-</v>
      </c>
      <c r="L278" s="69" t="str">
        <f aca="false">IFERROR(SUMPRODUCT((('Loan Tape'!$R$4:$R$303&lt;&gt;"")*('Loan Tape'!$X$4:$X$303&gt;=R278)*('Loan Tape'!$X$4:$X$303&lt;=S278)*('Loan Tape'!$E$4:$E$303='Deal Strat'!$C$12))*'Loan Tape'!$V$4:$V$303*'Loan Tape'!$R$4:$R$303)/E278,"-")</f>
        <v>-</v>
      </c>
      <c r="M278" s="69" t="str">
        <f aca="false">IFERROR(SUMPRODUCT((('Loan Tape'!$R$4:$R$303&lt;&gt;"")*('Loan Tape'!$X$4:$X$303&gt;=R278)*('Loan Tape'!$X$4:$X$303&lt;=S278)*('Loan Tape'!$E$4:$E$303='Deal Strat'!$C$12))*'Loan Tape'!$W$4:$W$303*'Loan Tape'!$R$4:$R$303)/E278,"-")</f>
        <v>-</v>
      </c>
      <c r="N278" s="69" t="str">
        <f aca="false">IFERROR(SUMPRODUCT((('Loan Tape'!$R$4:$R$303&lt;&gt;"")*('Loan Tape'!$X$4:$X$303&gt;=R278)*('Loan Tape'!$X$4:$X$303&lt;=S278)*('Loan Tape'!$E$4:$E$303='Deal Strat'!$C$12))*'Loan Tape'!$AI$4:$AI$303*'Loan Tape'!$R$4:$R$303)/E278,"-")</f>
        <v>-</v>
      </c>
      <c r="O278" s="69" t="str">
        <f aca="false">IFERROR(SUMPRODUCT((('Loan Tape'!$R$4:$R$303&lt;&gt;"")*('Loan Tape'!$X$4:$X$303&gt;=R278)*('Loan Tape'!$X$4:$X$303&lt;=S278)*('Loan Tape'!$E$4:$E$303='Deal Strat'!$C$12))*'Loan Tape'!$AK$4:$AK$303*'Loan Tape'!$R$4:$R$303)/E278,"-")</f>
        <v>-</v>
      </c>
      <c r="P278" s="69" t="str">
        <f aca="false">IFERROR(SUMPRODUCT((('Loan Tape'!$R$4:$R$303&lt;&gt;"")*('Loan Tape'!$X$4:$X$303&gt;=R278)*('Loan Tape'!$X$4:$X$303&lt;=S278)*('Loan Tape'!$E$4:$E$303='Deal Strat'!$C$12))*'Loan Tape'!$S$4:$S$303*'Loan Tape'!$R$4:$R$303)/E278,"-")</f>
        <v>-</v>
      </c>
      <c r="R278" s="91" t="n">
        <v>2000</v>
      </c>
      <c r="S278" s="91" t="n">
        <v>2009</v>
      </c>
    </row>
    <row r="279" customFormat="false" ht="14.25" hidden="false" customHeight="false" outlineLevel="0" collapsed="false">
      <c r="B279" s="7" t="s">
        <v>490</v>
      </c>
      <c r="C279" s="68" t="n">
        <f aca="false">COUNTIFS('Loan Tape'!$X$4:$X$303,"&gt;="&amp;R279,'Loan Tape'!$X$4:$X$303,"&lt;="&amp;S279,'Loan Tape'!$R$4:$R$303,"&lt;&gt;",'Loan Tape'!$E$4:$E$303,'Deal Strat'!$C$12)</f>
        <v>1</v>
      </c>
      <c r="D279" s="68" t="n">
        <f aca="false">SUMPRODUCT((('Loan Tape'!$R$4:$R$303&lt;&gt;"")*('Loan Tape'!$X$4:$X$303&gt;=R279)*('Loan Tape'!$X$4:$X$303&lt;=S279)*('Loan Tape'!$E$4:$E$303='Deal Strat'!$C$12))*'Loan Tape'!$F$4:$F$303)</f>
        <v>238</v>
      </c>
      <c r="E279" s="84" t="n">
        <f aca="false">SUMIFS('Loan Tape'!$R$4:$R$303,'Loan Tape'!$X$4:$X$303,"&gt;="&amp;R279,'Loan Tape'!$X$4:$X$303,"&lt;="&amp;S279,'Loan Tape'!$R$4:$R$303,"&lt;&gt;",'Loan Tape'!$E$4:$E$303,'Deal Strat'!$C$12)</f>
        <v>86385000</v>
      </c>
      <c r="F279" s="69" t="n">
        <f aca="false">IFERROR(E279/C5,0)</f>
        <v>0.231914133916083</v>
      </c>
      <c r="G279" s="85" t="n">
        <f aca="false">IFERROR(SUMPRODUCT((('Loan Tape'!$R$4:$R$303&lt;&gt;"")*('Loan Tape'!$X$4:$X$303&gt;=R279)*('Loan Tape'!$X$4:$X$303&lt;=S279)*('Loan Tape'!$E$4:$E$303='Deal Strat'!$C$12))*'Loan Tape'!$U$4:$U$303*'Loan Tape'!$R$4:$R$303)/E279,"-")</f>
        <v>1.35</v>
      </c>
      <c r="H279" s="68" t="n">
        <f aca="false">IFERROR(SUMPRODUCT((('Loan Tape'!$R$4:$R$303&lt;&gt;"")*('Loan Tape'!$X$4:$X$303&gt;=R279)*('Loan Tape'!$X$4:$X$303&lt;=S279)*('Loan Tape'!$E$4:$E$303='Deal Strat'!$C$12))*'Loan Tape'!$AH$4:$AH$303*'Loan Tape'!$R$4:$R$303)/E279,"-")</f>
        <v>102</v>
      </c>
      <c r="I279" s="68" t="n">
        <f aca="false">IFERROR(SUMPRODUCT((('Loan Tape'!$R$4:$R$303&lt;&gt;"")*('Loan Tape'!$X$4:$X$303&gt;=R279)*('Loan Tape'!$X$4:$X$303&lt;=S279)*('Loan Tape'!$E$4:$E$303='Deal Strat'!$C$12))*(('Loan Tape'!$H$4:$H$303-$C$4)/30.4375)*'Loan Tape'!$R$4:$R$303)/E279,"-")</f>
        <v>-17.9712525667351</v>
      </c>
      <c r="J279" s="69" t="n">
        <f aca="false">IFERROR(SUMPRODUCT((('Loan Tape'!$R$4:$R$303&lt;&gt;"")*('Loan Tape'!$X$4:$X$303&gt;=R279)*('Loan Tape'!$X$4:$X$303&lt;=S279)*('Loan Tape'!$E$4:$E$303='Deal Strat'!$C$12))*('Loan Tape'!$K$4:$K$303="Floating")*'Loan Tape'!$R$4:$R$303)/E279,"-")</f>
        <v>0</v>
      </c>
      <c r="K279" s="69" t="n">
        <f aca="false">IFERROR(SUMPRODUCT((('Loan Tape'!$R$4:$R$303&lt;&gt;"")*('Loan Tape'!$X$4:$X$303&gt;=R279)*('Loan Tape'!$X$4:$X$303&lt;=S279)*('Loan Tape'!$E$4:$E$303='Deal Strat'!$C$12))*'Loan Tape'!$T$4:$T$303*'Loan Tape'!$R$4:$R$303)/E279,"-")</f>
        <v>0.1077</v>
      </c>
      <c r="L279" s="69" t="n">
        <f aca="false">IFERROR(SUMPRODUCT((('Loan Tape'!$R$4:$R$303&lt;&gt;"")*('Loan Tape'!$X$4:$X$303&gt;=R279)*('Loan Tape'!$X$4:$X$303&lt;=S279)*('Loan Tape'!$E$4:$E$303='Deal Strat'!$C$12))*'Loan Tape'!$V$4:$V$303*'Loan Tape'!$R$4:$R$303)/E279,"-")</f>
        <v>0.888</v>
      </c>
      <c r="M279" s="69" t="n">
        <f aca="false">IFERROR(SUMPRODUCT((('Loan Tape'!$R$4:$R$303&lt;&gt;"")*('Loan Tape'!$X$4:$X$303&gt;=R279)*('Loan Tape'!$X$4:$X$303&lt;=S279)*('Loan Tape'!$E$4:$E$303='Deal Strat'!$C$12))*'Loan Tape'!$W$4:$W$303*'Loan Tape'!$R$4:$R$303)/E279,"-")</f>
        <v>0.945</v>
      </c>
      <c r="N279" s="69" t="n">
        <f aca="false">IFERROR(SUMPRODUCT((('Loan Tape'!$R$4:$R$303&lt;&gt;"")*('Loan Tape'!$X$4:$X$303&gt;=R279)*('Loan Tape'!$X$4:$X$303&lt;=S279)*('Loan Tape'!$E$4:$E$303='Deal Strat'!$C$12))*'Loan Tape'!$AI$4:$AI$303*'Loan Tape'!$R$4:$R$303)/E279,"-")</f>
        <v>0.0534</v>
      </c>
      <c r="O279" s="69" t="n">
        <f aca="false">IFERROR(SUMPRODUCT((('Loan Tape'!$R$4:$R$303&lt;&gt;"")*('Loan Tape'!$X$4:$X$303&gt;=R279)*('Loan Tape'!$X$4:$X$303&lt;=S279)*('Loan Tape'!$E$4:$E$303='Deal Strat'!$C$12))*'Loan Tape'!$AK$4:$AK$303*'Loan Tape'!$R$4:$R$303)/E279,"-")</f>
        <v>0.0534</v>
      </c>
      <c r="P279" s="69" t="n">
        <f aca="false">IFERROR(SUMPRODUCT((('Loan Tape'!$R$4:$R$303&lt;&gt;"")*('Loan Tape'!$X$4:$X$303&gt;=R279)*('Loan Tape'!$X$4:$X$303&lt;=S279)*('Loan Tape'!$E$4:$E$303='Deal Strat'!$C$12))*'Loan Tape'!$S$4:$S$303*'Loan Tape'!$R$4:$R$303)/E279,"-")</f>
        <v>0.828</v>
      </c>
      <c r="R279" s="91" t="n">
        <v>2010</v>
      </c>
      <c r="S279" s="91" t="n">
        <v>2019</v>
      </c>
    </row>
    <row r="280" customFormat="false" ht="14.25" hidden="false" customHeight="false" outlineLevel="0" collapsed="false">
      <c r="B280" s="7" t="s">
        <v>491</v>
      </c>
      <c r="C280" s="68" t="n">
        <f aca="false">COUNTIFS('Loan Tape'!$X$4:$X$303,"&gt;="&amp;R280,'Loan Tape'!$X$4:$X$303,"&lt;="&amp;S280,'Loan Tape'!$R$4:$R$303,"&lt;&gt;",'Loan Tape'!$E$4:$E$303,'Deal Strat'!$C$12)</f>
        <v>0</v>
      </c>
      <c r="D280" s="68" t="n">
        <f aca="false">SUMPRODUCT((('Loan Tape'!$R$4:$R$303&lt;&gt;"")*('Loan Tape'!$X$4:$X$303&gt;=R280)*('Loan Tape'!$X$4:$X$303&lt;=S280)*('Loan Tape'!$E$4:$E$303='Deal Strat'!$C$12))*'Loan Tape'!$F$4:$F$303)</f>
        <v>0</v>
      </c>
      <c r="E280" s="84" t="n">
        <f aca="false">SUMIFS('Loan Tape'!$R$4:$R$303,'Loan Tape'!$X$4:$X$303,"&gt;="&amp;R280,'Loan Tape'!$X$4:$X$303,"&lt;="&amp;S280,'Loan Tape'!$R$4:$R$303,"&lt;&gt;",'Loan Tape'!$E$4:$E$303,'Deal Strat'!$C$12)</f>
        <v>0</v>
      </c>
      <c r="F280" s="69" t="n">
        <f aca="false">IFERROR(E280/C5,0)</f>
        <v>0</v>
      </c>
      <c r="G280" s="85" t="str">
        <f aca="false">IFERROR(SUMPRODUCT((('Loan Tape'!$R$4:$R$303&lt;&gt;"")*('Loan Tape'!$X$4:$X$303&gt;=R280)*('Loan Tape'!$X$4:$X$303&lt;=S280)*('Loan Tape'!$E$4:$E$303='Deal Strat'!$C$12))*'Loan Tape'!$U$4:$U$303*'Loan Tape'!$R$4:$R$303)/E280,"-")</f>
        <v>-</v>
      </c>
      <c r="H280" s="68" t="str">
        <f aca="false">IFERROR(SUMPRODUCT((('Loan Tape'!$R$4:$R$303&lt;&gt;"")*('Loan Tape'!$X$4:$X$303&gt;=R280)*('Loan Tape'!$X$4:$X$303&lt;=S280)*('Loan Tape'!$E$4:$E$303='Deal Strat'!$C$12))*'Loan Tape'!$AH$4:$AH$303*'Loan Tape'!$R$4:$R$303)/E280,"-")</f>
        <v>-</v>
      </c>
      <c r="I280" s="68" t="str">
        <f aca="false">IFERROR(SUMPRODUCT((('Loan Tape'!$R$4:$R$303&lt;&gt;"")*('Loan Tape'!$X$4:$X$303&gt;=R280)*('Loan Tape'!$X$4:$X$303&lt;=S280)*('Loan Tape'!$E$4:$E$303='Deal Strat'!$C$12))*(('Loan Tape'!$H$4:$H$303-$C$4)/30.4375)*'Loan Tape'!$R$4:$R$303)/E280,"-")</f>
        <v>-</v>
      </c>
      <c r="J280" s="69" t="str">
        <f aca="false">IFERROR(SUMPRODUCT((('Loan Tape'!$R$4:$R$303&lt;&gt;"")*('Loan Tape'!$X$4:$X$303&gt;=R280)*('Loan Tape'!$X$4:$X$303&lt;=S280)*('Loan Tape'!$E$4:$E$303='Deal Strat'!$C$12))*('Loan Tape'!$K$4:$K$303="Floating")*'Loan Tape'!$R$4:$R$303)/E280,"-")</f>
        <v>-</v>
      </c>
      <c r="K280" s="69" t="str">
        <f aca="false">IFERROR(SUMPRODUCT((('Loan Tape'!$R$4:$R$303&lt;&gt;"")*('Loan Tape'!$X$4:$X$303&gt;=R280)*('Loan Tape'!$X$4:$X$303&lt;=S280)*('Loan Tape'!$E$4:$E$303='Deal Strat'!$C$12))*'Loan Tape'!$T$4:$T$303*'Loan Tape'!$R$4:$R$303)/E280,"-")</f>
        <v>-</v>
      </c>
      <c r="L280" s="69" t="str">
        <f aca="false">IFERROR(SUMPRODUCT((('Loan Tape'!$R$4:$R$303&lt;&gt;"")*('Loan Tape'!$X$4:$X$303&gt;=R280)*('Loan Tape'!$X$4:$X$303&lt;=S280)*('Loan Tape'!$E$4:$E$303='Deal Strat'!$C$12))*'Loan Tape'!$V$4:$V$303*'Loan Tape'!$R$4:$R$303)/E280,"-")</f>
        <v>-</v>
      </c>
      <c r="M280" s="69" t="str">
        <f aca="false">IFERROR(SUMPRODUCT((('Loan Tape'!$R$4:$R$303&lt;&gt;"")*('Loan Tape'!$X$4:$X$303&gt;=R280)*('Loan Tape'!$X$4:$X$303&lt;=S280)*('Loan Tape'!$E$4:$E$303='Deal Strat'!$C$12))*'Loan Tape'!$W$4:$W$303*'Loan Tape'!$R$4:$R$303)/E280,"-")</f>
        <v>-</v>
      </c>
      <c r="N280" s="69" t="str">
        <f aca="false">IFERROR(SUMPRODUCT((('Loan Tape'!$R$4:$R$303&lt;&gt;"")*('Loan Tape'!$X$4:$X$303&gt;=R280)*('Loan Tape'!$X$4:$X$303&lt;=S280)*('Loan Tape'!$E$4:$E$303='Deal Strat'!$C$12))*'Loan Tape'!$AI$4:$AI$303*'Loan Tape'!$R$4:$R$303)/E280,"-")</f>
        <v>-</v>
      </c>
      <c r="O280" s="69" t="str">
        <f aca="false">IFERROR(SUMPRODUCT((('Loan Tape'!$R$4:$R$303&lt;&gt;"")*('Loan Tape'!$X$4:$X$303&gt;=R280)*('Loan Tape'!$X$4:$X$303&lt;=S280)*('Loan Tape'!$E$4:$E$303='Deal Strat'!$C$12))*'Loan Tape'!$AK$4:$AK$303*'Loan Tape'!$R$4:$R$303)/E280,"-")</f>
        <v>-</v>
      </c>
      <c r="P280" s="69" t="str">
        <f aca="false">IFERROR(SUMPRODUCT((('Loan Tape'!$R$4:$R$303&lt;&gt;"")*('Loan Tape'!$X$4:$X$303&gt;=R280)*('Loan Tape'!$X$4:$X$303&lt;=S280)*('Loan Tape'!$E$4:$E$303='Deal Strat'!$C$12))*'Loan Tape'!$S$4:$S$303*'Loan Tape'!$R$4:$R$303)/E280,"-")</f>
        <v>-</v>
      </c>
      <c r="R280" s="91" t="n">
        <v>2020</v>
      </c>
      <c r="S280" s="91" t="n">
        <v>1000000000000</v>
      </c>
    </row>
    <row r="281" customFormat="false" ht="14.25" hidden="false" customHeight="false" outlineLevel="0" collapsed="false">
      <c r="B281" s="86" t="s">
        <v>405</v>
      </c>
      <c r="C281" s="92" t="n">
        <f aca="false">SUM(C276:C280)</f>
        <v>5</v>
      </c>
      <c r="D281" s="92" t="n">
        <f aca="false">SUM(D276:D280)</f>
        <v>593</v>
      </c>
      <c r="E281" s="88" t="n">
        <f aca="false">SUM(E276:E280)</f>
        <v>372487000</v>
      </c>
      <c r="F281" s="89" t="n">
        <f aca="false">SUM(F276:F280)</f>
        <v>1</v>
      </c>
      <c r="G281" s="90" t="n">
        <f aca="false">IFERROR(SUMPRODUCT((('Loan Tape'!$R$4:$R$303&lt;&gt;"")*('Loan Tape'!$E$4:$E$303='Deal Strat'!$C$12))*'Loan Tape'!$U$4:$U$303*'Loan Tape'!$R$4:$R$303)/E281,"-")</f>
        <v>1.46286165691689</v>
      </c>
      <c r="H281" s="92" t="n">
        <f aca="false">IFERROR(SUMPRODUCT((('Loan Tape'!$R$4:$R$303&lt;&gt;"")*('Loan Tape'!$E$4:$E$303='Deal Strat'!$C$12))*'Loan Tape'!$AH$4:$AH$303*'Loan Tape'!$R$4:$R$303)/E281,"-")</f>
        <v>100.401133462376</v>
      </c>
      <c r="I281" s="92" t="n">
        <f aca="false">IFERROR(SUMPRODUCT((('Loan Tape'!$R$4:$R$303&lt;&gt;"")*('Loan Tape'!$E$4:$E$303='Deal Strat'!$C$12))*(('Loan Tape'!$H$4:$H$303-$C$4)/30.4375)*'Loan Tape'!$R$4:$R$303)/E281,"-")</f>
        <v>4.02239639370792</v>
      </c>
      <c r="J281" s="89" t="n">
        <f aca="false">IFERROR(SUMPRODUCT((('Loan Tape'!$R$4:$R$303&lt;&gt;"")*('Loan Tape'!$E$4:$E$303='Deal Strat'!$C$12))*('Loan Tape'!$K$4:$K$303="Floating")*'Loan Tape'!$R$4:$R$303)/E281,"-")</f>
        <v>0.64712593996569</v>
      </c>
      <c r="K281" s="89" t="n">
        <f aca="false">IFERROR(SUMPRODUCT((('Loan Tape'!$R$4:$R$303&lt;&gt;"")*('Loan Tape'!$E$4:$E$303='Deal Strat'!$C$12))*'Loan Tape'!$T$4:$T$303*'Loan Tape'!$R$4:$R$303)/E281,"-")</f>
        <v>0.0853727877751438</v>
      </c>
      <c r="L281" s="89" t="n">
        <f aca="false">IFERROR(SUMPRODUCT((('Loan Tape'!$R$4:$R$303&lt;&gt;"")*('Loan Tape'!$E$4:$E$303='Deal Strat'!$C$12))*'Loan Tape'!$V$4:$V$303*'Loan Tape'!$R$4:$R$303)/E281,"-")</f>
        <v>0.69021042345102</v>
      </c>
      <c r="M281" s="89" t="n">
        <f aca="false">IFERROR(SUMPRODUCT((('Loan Tape'!$R$4:$R$303&lt;&gt;"")*('Loan Tape'!$E$4:$E$303='Deal Strat'!$C$12))*'Loan Tape'!$W$4:$W$303*'Loan Tape'!$R$4:$R$303)/E281,"-")</f>
        <v>0.727922306013364</v>
      </c>
      <c r="N281" s="89" t="n">
        <f aca="false">IFERROR(SUMPRODUCT((('Loan Tape'!$R$4:$R$303&lt;&gt;"")*('Loan Tape'!$E$4:$E$303='Deal Strat'!$C$12))*'Loan Tape'!$AI$4:$AI$303*'Loan Tape'!$R$4:$R$303)/E281,"-")</f>
        <v>0.0680705466231036</v>
      </c>
      <c r="O281" s="89" t="n">
        <f aca="false">IFERROR(SUMPRODUCT((('Loan Tape'!$R$4:$R$303&lt;&gt;"")*('Loan Tape'!$E$4:$E$303='Deal Strat'!$C$12))*'Loan Tape'!$AK$4:$AK$303*'Loan Tape'!$R$4:$R$303)/E281,"-")</f>
        <v>0.077777435722589</v>
      </c>
      <c r="P281" s="89" t="n">
        <f aca="false">IFERROR(SUMPRODUCT((('Loan Tape'!$R$4:$R$303&lt;&gt;"")*('Loan Tape'!$E$4:$E$303='Deal Strat'!$C$12))*'Loan Tape'!$S$4:$S$303*'Loan Tape'!$R$4:$R$303)/E281,"-")</f>
        <v>0.841462496677736</v>
      </c>
    </row>
    <row r="283" customFormat="false" ht="19.5" hidden="false" customHeight="true" outlineLevel="0" collapsed="false">
      <c r="B283" s="5" t="s">
        <v>492</v>
      </c>
      <c r="C283" s="5"/>
      <c r="D283" s="5"/>
      <c r="E283" s="5"/>
      <c r="F283" s="5"/>
      <c r="G283" s="5"/>
      <c r="H283" s="5"/>
      <c r="I283" s="5"/>
      <c r="J283" s="5"/>
      <c r="K283" s="5"/>
      <c r="L283" s="5"/>
      <c r="M283" s="5"/>
      <c r="N283" s="5"/>
      <c r="O283" s="5"/>
      <c r="P283" s="5"/>
    </row>
    <row r="284" customFormat="false" ht="42" hidden="false" customHeight="true" outlineLevel="0" collapsed="false">
      <c r="B284" s="82" t="s">
        <v>423</v>
      </c>
      <c r="C284" s="83" t="s">
        <v>368</v>
      </c>
      <c r="D284" s="83" t="s">
        <v>153</v>
      </c>
      <c r="E284" s="83" t="s">
        <v>393</v>
      </c>
      <c r="F284" s="83" t="s">
        <v>394</v>
      </c>
      <c r="G284" s="83" t="s">
        <v>395</v>
      </c>
      <c r="H284" s="83" t="s">
        <v>396</v>
      </c>
      <c r="I284" s="83" t="s">
        <v>397</v>
      </c>
      <c r="J284" s="83" t="s">
        <v>398</v>
      </c>
      <c r="K284" s="83" t="s">
        <v>399</v>
      </c>
      <c r="L284" s="83" t="s">
        <v>400</v>
      </c>
      <c r="M284" s="83" t="s">
        <v>401</v>
      </c>
      <c r="N284" s="83" t="s">
        <v>402</v>
      </c>
      <c r="O284" s="83" t="s">
        <v>403</v>
      </c>
      <c r="P284" s="83" t="s">
        <v>365</v>
      </c>
    </row>
    <row r="285" customFormat="false" ht="14.25" hidden="false" customHeight="false" outlineLevel="0" collapsed="false">
      <c r="B285" s="7" t="s">
        <v>493</v>
      </c>
      <c r="C285" s="68" t="n">
        <f aca="false">COUNTIFS('Loan Tape'!$Y$4:$Y$303,"&gt;="&amp;R285,'Loan Tape'!$Y$4:$Y$303,"&lt;="&amp;S285,'Loan Tape'!$R$4:$R$303,"&lt;&gt;",'Loan Tape'!$E$4:$E$303,'Deal Strat'!$C$12)</f>
        <v>2</v>
      </c>
      <c r="D285" s="68" t="n">
        <f aca="false">SUMPRODUCT((('Loan Tape'!$Y$4:$Y$303&lt;&gt;"")*('Loan Tape'!$R$4:$R$303&lt;&gt;"")*('Loan Tape'!$Y$4:$Y$303&gt;=R285)*('Loan Tape'!$Y$4:$Y$303&lt;=S285)*('Loan Tape'!$E$4:$E$303='Deal Strat'!$C$12))*'Loan Tape'!$F$4:$F$303)</f>
        <v>355</v>
      </c>
      <c r="E285" s="84" t="n">
        <f aca="false">SUMIFS('Loan Tape'!$R$4:$R$303,'Loan Tape'!$Y$4:$Y$303,"&gt;="&amp;R285,'Loan Tape'!$Y$4:$Y$303,"&lt;="&amp;S285,'Loan Tape'!$R$4:$R$303,"&lt;&gt;",'Loan Tape'!$E$4:$E$303,'Deal Strat'!$C$12)</f>
        <v>108181000</v>
      </c>
      <c r="F285" s="69" t="n">
        <f aca="false">IFERROR(E285/C5,0)</f>
        <v>0.290428927720967</v>
      </c>
      <c r="G285" s="85" t="n">
        <f aca="false">IFERROR(SUMPRODUCT((('Loan Tape'!$Y$4:$Y$303&lt;&gt;"")*('Loan Tape'!$R$4:$R$303&lt;&gt;"")*('Loan Tape'!$Y$4:$Y$303&gt;=R285)*('Loan Tape'!$Y$4:$Y$303&lt;=S285)*('Loan Tape'!$E$4:$E$303='Deal Strat'!$C$12))*'Loan Tape'!$U$4:$U$303*'Loan Tape'!$R$4:$R$303)/E285,"-")</f>
        <v>1.69991384808793</v>
      </c>
      <c r="H285" s="68" t="n">
        <f aca="false">IFERROR(SUMPRODUCT((('Loan Tape'!$Y$4:$Y$303&lt;&gt;"")*('Loan Tape'!$R$4:$R$303&lt;&gt;"")*('Loan Tape'!$Y$4:$Y$303&gt;=R285)*('Loan Tape'!$Y$4:$Y$303&lt;=S285)*('Loan Tape'!$E$4:$E$303='Deal Strat'!$C$12))*'Loan Tape'!$AH$4:$AH$303*'Loan Tape'!$R$4:$R$303)/E285,"-")</f>
        <v>99.2516153483514</v>
      </c>
      <c r="I285" s="68" t="n">
        <f aca="false">IFERROR(SUMPRODUCT((('Loan Tape'!$Y$4:$Y$303&lt;&gt;"")*('Loan Tape'!$R$4:$R$303&lt;&gt;"")*('Loan Tape'!$Y$4:$Y$303&gt;=R285)*('Loan Tape'!$Y$4:$Y$303&lt;=S285)*('Loan Tape'!$E$4:$E$303='Deal Strat'!$C$12))*(('Loan Tape'!$H$4:$H$303-$C$4)/30.4375)*'Loan Tape'!$R$4:$R$303)/E285,"-")</f>
        <v>-4.21808981741699</v>
      </c>
      <c r="J285" s="69" t="n">
        <f aca="false">IFERROR(SUMPRODUCT((('Loan Tape'!$Y$4:$Y$303&lt;&gt;"")*('Loan Tape'!$R$4:$R$303&lt;&gt;"")*('Loan Tape'!$Y$4:$Y$303&gt;=R285)*('Loan Tape'!$Y$4:$Y$303&lt;=S285)*('Loan Tape'!$E$4:$E$303='Deal Strat'!$C$12))*('Loan Tape'!$K$4:$K$303="Floating")*'Loan Tape'!$R$4:$R$303)/E285,"-")</f>
        <v>0.583512816483486</v>
      </c>
      <c r="K285" s="69" t="n">
        <f aca="false">IFERROR(SUMPRODUCT((('Loan Tape'!$Y$4:$Y$303&lt;&gt;"")*('Loan Tape'!$R$4:$R$303&lt;&gt;"")*('Loan Tape'!$Y$4:$Y$303&gt;=R285)*('Loan Tape'!$Y$4:$Y$303&lt;=S285)*('Loan Tape'!$E$4:$E$303='Deal Strat'!$C$12))*'Loan Tape'!$T$4:$T$303*'Loan Tape'!$R$4:$R$303)/E285,"-")</f>
        <v>0.0720010768989009</v>
      </c>
      <c r="L285" s="69" t="n">
        <f aca="false">IFERROR(SUMPRODUCT((('Loan Tape'!$Y$4:$Y$303&lt;&gt;"")*('Loan Tape'!$R$4:$R$303&lt;&gt;"")*('Loan Tape'!$Y$4:$Y$303&gt;=R285)*('Loan Tape'!$Y$4:$Y$303&lt;=S285)*('Loan Tape'!$E$4:$E$303='Deal Strat'!$C$12))*'Loan Tape'!$V$4:$V$303*'Loan Tape'!$R$4:$R$303)/E285,"-")</f>
        <v>0.625481692718685</v>
      </c>
      <c r="M285" s="69" t="n">
        <f aca="false">IFERROR(SUMPRODUCT((('Loan Tape'!$Y$4:$Y$303&lt;&gt;"")*('Loan Tape'!$R$4:$R$303&lt;&gt;"")*('Loan Tape'!$Y$4:$Y$303&gt;=R285)*('Loan Tape'!$Y$4:$Y$303&lt;=S285)*('Loan Tape'!$E$4:$E$303='Deal Strat'!$C$12))*'Loan Tape'!$W$4:$W$303*'Loan Tape'!$R$4:$R$303)/E285,"-")</f>
        <v>0.663811436389015</v>
      </c>
      <c r="N285" s="69" t="n">
        <f aca="false">IFERROR(SUMPRODUCT((('Loan Tape'!$Y$4:$Y$303&lt;&gt;"")*('Loan Tape'!$R$4:$R$303&lt;&gt;"")*('Loan Tape'!$Y$4:$Y$303&gt;=R285)*('Loan Tape'!$Y$4:$Y$303&lt;=S285)*('Loan Tape'!$E$4:$E$303='Deal Strat'!$C$12))*'Loan Tape'!$AI$4:$AI$303*'Loan Tape'!$R$4:$R$303)/E285,"-")</f>
        <v>0.0648167025632967</v>
      </c>
      <c r="O285" s="69" t="n">
        <f aca="false">IFERROR(SUMPRODUCT((('Loan Tape'!$Y$4:$Y$303&lt;&gt;"")*('Loan Tape'!$R$4:$R$303&lt;&gt;"")*('Loan Tape'!$Y$4:$Y$303&gt;=R285)*('Loan Tape'!$Y$4:$Y$303&lt;=S285)*('Loan Tape'!$E$4:$E$303='Deal Strat'!$C$12))*'Loan Tape'!$AK$4:$AK$303*'Loan Tape'!$R$4:$R$303)/E285,"-")</f>
        <v>0.073569394810549</v>
      </c>
      <c r="P285" s="69" t="n">
        <f aca="false">IFERROR(SUMPRODUCT((('Loan Tape'!$Y$4:$Y$303&lt;&gt;"")*('Loan Tape'!$R$4:$R$303&lt;&gt;"")*('Loan Tape'!$Y$4:$Y$303&gt;=R285)*('Loan Tape'!$Y$4:$Y$303&lt;=S285)*('Loan Tape'!$E$4:$E$303='Deal Strat'!$C$12))*'Loan Tape'!$S$4:$S$303*'Loan Tape'!$R$4:$R$303)/E285,"-")</f>
        <v>0.86364656455385</v>
      </c>
      <c r="R285" s="91" t="n">
        <v>-1000000000000</v>
      </c>
      <c r="S285" s="91" t="n">
        <v>2009</v>
      </c>
    </row>
    <row r="286" customFormat="false" ht="14.25" hidden="false" customHeight="false" outlineLevel="0" collapsed="false">
      <c r="B286" s="7" t="s">
        <v>494</v>
      </c>
      <c r="C286" s="68" t="n">
        <f aca="false">COUNTIFS('Loan Tape'!$Y$4:$Y$303,"&gt;="&amp;R286,'Loan Tape'!$Y$4:$Y$303,"&lt;="&amp;S286,'Loan Tape'!$R$4:$R$303,"&lt;&gt;",'Loan Tape'!$E$4:$E$303,'Deal Strat'!$C$12)</f>
        <v>1</v>
      </c>
      <c r="D286" s="68" t="n">
        <f aca="false">SUMPRODUCT((('Loan Tape'!$Y$4:$Y$303&lt;&gt;"")*('Loan Tape'!$R$4:$R$303&lt;&gt;"")*('Loan Tape'!$Y$4:$Y$303&gt;=R286)*('Loan Tape'!$Y$4:$Y$303&lt;=S286)*('Loan Tape'!$E$4:$E$303='Deal Strat'!$C$12))*'Loan Tape'!$F$4:$F$303)</f>
        <v>0</v>
      </c>
      <c r="E286" s="84" t="n">
        <f aca="false">SUMIFS('Loan Tape'!$R$4:$R$303,'Loan Tape'!$Y$4:$Y$303,"&gt;="&amp;R286,'Loan Tape'!$Y$4:$Y$303,"&lt;="&amp;S286,'Loan Tape'!$R$4:$R$303,"&lt;&gt;",'Loan Tape'!$E$4:$E$303,'Deal Strat'!$C$12)</f>
        <v>57608000</v>
      </c>
      <c r="F286" s="69" t="n">
        <f aca="false">IFERROR(E286/C5,0)</f>
        <v>0.154657746444842</v>
      </c>
      <c r="G286" s="85" t="n">
        <f aca="false">IFERROR(SUMPRODUCT((('Loan Tape'!$Y$4:$Y$303&lt;&gt;"")*('Loan Tape'!$R$4:$R$303&lt;&gt;"")*('Loan Tape'!$Y$4:$Y$303&gt;=R286)*('Loan Tape'!$Y$4:$Y$303&lt;=S286)*('Loan Tape'!$E$4:$E$303='Deal Strat'!$C$12))*'Loan Tape'!$U$4:$U$303*'Loan Tape'!$R$4:$R$303)/E286,"-")</f>
        <v>1.36</v>
      </c>
      <c r="H286" s="68" t="n">
        <f aca="false">IFERROR(SUMPRODUCT((('Loan Tape'!$Y$4:$Y$303&lt;&gt;"")*('Loan Tape'!$R$4:$R$303&lt;&gt;"")*('Loan Tape'!$Y$4:$Y$303&gt;=R286)*('Loan Tape'!$Y$4:$Y$303&lt;=S286)*('Loan Tape'!$E$4:$E$303='Deal Strat'!$C$12))*'Loan Tape'!$AH$4:$AH$303*'Loan Tape'!$R$4:$R$303)/E286,"-")</f>
        <v>101</v>
      </c>
      <c r="I286" s="68" t="n">
        <f aca="false">IFERROR(SUMPRODUCT((('Loan Tape'!$Y$4:$Y$303&lt;&gt;"")*('Loan Tape'!$R$4:$R$303&lt;&gt;"")*('Loan Tape'!$Y$4:$Y$303&gt;=R286)*('Loan Tape'!$Y$4:$Y$303&lt;=S286)*('Loan Tape'!$E$4:$E$303='Deal Strat'!$C$12))*(('Loan Tape'!$H$4:$H$303-$C$4)/30.4375)*'Loan Tape'!$R$4:$R$303)/E286,"-")</f>
        <v>19.0225872689938</v>
      </c>
      <c r="J286" s="69" t="n">
        <f aca="false">IFERROR(SUMPRODUCT((('Loan Tape'!$Y$4:$Y$303&lt;&gt;"")*('Loan Tape'!$R$4:$R$303&lt;&gt;"")*('Loan Tape'!$Y$4:$Y$303&gt;=R286)*('Loan Tape'!$Y$4:$Y$303&lt;=S286)*('Loan Tape'!$E$4:$E$303='Deal Strat'!$C$12))*('Loan Tape'!$K$4:$K$303="Floating")*'Loan Tape'!$R$4:$R$303)/E286,"-")</f>
        <v>1</v>
      </c>
      <c r="K286" s="69" t="n">
        <f aca="false">IFERROR(SUMPRODUCT((('Loan Tape'!$Y$4:$Y$303&lt;&gt;"")*('Loan Tape'!$R$4:$R$303&lt;&gt;"")*('Loan Tape'!$Y$4:$Y$303&gt;=R286)*('Loan Tape'!$Y$4:$Y$303&lt;=S286)*('Loan Tape'!$E$4:$E$303='Deal Strat'!$C$12))*'Loan Tape'!$T$4:$T$303*'Loan Tape'!$R$4:$R$303)/E286,"-")</f>
        <v>0.0853</v>
      </c>
      <c r="L286" s="69" t="n">
        <f aca="false">IFERROR(SUMPRODUCT((('Loan Tape'!$Y$4:$Y$303&lt;&gt;"")*('Loan Tape'!$R$4:$R$303&lt;&gt;"")*('Loan Tape'!$Y$4:$Y$303&gt;=R286)*('Loan Tape'!$Y$4:$Y$303&lt;=S286)*('Loan Tape'!$E$4:$E$303='Deal Strat'!$C$12))*'Loan Tape'!$V$4:$V$303*'Loan Tape'!$R$4:$R$303)/E286,"-")</f>
        <v>0.572</v>
      </c>
      <c r="M286" s="69" t="n">
        <f aca="false">IFERROR(SUMPRODUCT((('Loan Tape'!$Y$4:$Y$303&lt;&gt;"")*('Loan Tape'!$R$4:$R$303&lt;&gt;"")*('Loan Tape'!$Y$4:$Y$303&gt;=R286)*('Loan Tape'!$Y$4:$Y$303&lt;=S286)*('Loan Tape'!$E$4:$E$303='Deal Strat'!$C$12))*'Loan Tape'!$W$4:$W$303*'Loan Tape'!$R$4:$R$303)/E286,"-")</f>
        <v>0.602</v>
      </c>
      <c r="N286" s="69" t="n">
        <f aca="false">IFERROR(SUMPRODUCT((('Loan Tape'!$Y$4:$Y$303&lt;&gt;"")*('Loan Tape'!$R$4:$R$303&lt;&gt;"")*('Loan Tape'!$Y$4:$Y$303&gt;=R286)*('Loan Tape'!$Y$4:$Y$303&lt;=S286)*('Loan Tape'!$E$4:$E$303='Deal Strat'!$C$12))*'Loan Tape'!$AI$4:$AI$303*'Loan Tape'!$R$4:$R$303)/E286,"-")</f>
        <v>0.065</v>
      </c>
      <c r="O286" s="69" t="n">
        <f aca="false">IFERROR(SUMPRODUCT((('Loan Tape'!$Y$4:$Y$303&lt;&gt;"")*('Loan Tape'!$R$4:$R$303&lt;&gt;"")*('Loan Tape'!$Y$4:$Y$303&gt;=R286)*('Loan Tape'!$Y$4:$Y$303&lt;=S286)*('Loan Tape'!$E$4:$E$303='Deal Strat'!$C$12))*'Loan Tape'!$AK$4:$AK$303*'Loan Tape'!$R$4:$R$303)/E286,"-")</f>
        <v>0.08</v>
      </c>
      <c r="P286" s="69" t="n">
        <f aca="false">IFERROR(SUMPRODUCT((('Loan Tape'!$Y$4:$Y$303&lt;&gt;"")*('Loan Tape'!$R$4:$R$303&lt;&gt;"")*('Loan Tape'!$Y$4:$Y$303&gt;=R286)*('Loan Tape'!$Y$4:$Y$303&lt;=S286)*('Loan Tape'!$E$4:$E$303='Deal Strat'!$C$12))*'Loan Tape'!$S$4:$S$303*'Loan Tape'!$R$4:$R$303)/E286,"-")</f>
        <v>0.94</v>
      </c>
      <c r="R286" s="91" t="n">
        <v>2010</v>
      </c>
      <c r="S286" s="91" t="n">
        <v>2015</v>
      </c>
    </row>
    <row r="287" customFormat="false" ht="14.25" hidden="false" customHeight="false" outlineLevel="0" collapsed="false">
      <c r="B287" s="7" t="s">
        <v>495</v>
      </c>
      <c r="C287" s="68" t="n">
        <f aca="false">COUNTIFS('Loan Tape'!$Y$4:$Y$303,"&gt;="&amp;R287,'Loan Tape'!$Y$4:$Y$303,"&lt;="&amp;S287,'Loan Tape'!$R$4:$R$303,"&lt;&gt;",'Loan Tape'!$E$4:$E$303,'Deal Strat'!$C$12)</f>
        <v>0</v>
      </c>
      <c r="D287" s="68" t="n">
        <f aca="false">SUMPRODUCT((('Loan Tape'!$Y$4:$Y$303&lt;&gt;"")*('Loan Tape'!$R$4:$R$303&lt;&gt;"")*('Loan Tape'!$Y$4:$Y$303&gt;=R287)*('Loan Tape'!$Y$4:$Y$303&lt;=S287)*('Loan Tape'!$E$4:$E$303='Deal Strat'!$C$12))*'Loan Tape'!$F$4:$F$303)</f>
        <v>0</v>
      </c>
      <c r="E287" s="84" t="n">
        <f aca="false">SUMIFS('Loan Tape'!$R$4:$R$303,'Loan Tape'!$Y$4:$Y$303,"&gt;="&amp;R287,'Loan Tape'!$Y$4:$Y$303,"&lt;="&amp;S287,'Loan Tape'!$R$4:$R$303,"&lt;&gt;",'Loan Tape'!$E$4:$E$303,'Deal Strat'!$C$12)</f>
        <v>0</v>
      </c>
      <c r="F287" s="69" t="n">
        <f aca="false">IFERROR(E287/C5,0)</f>
        <v>0</v>
      </c>
      <c r="G287" s="85" t="str">
        <f aca="false">IFERROR(SUMPRODUCT((('Loan Tape'!$Y$4:$Y$303&lt;&gt;"")*('Loan Tape'!$R$4:$R$303&lt;&gt;"")*('Loan Tape'!$Y$4:$Y$303&gt;=R287)*('Loan Tape'!$Y$4:$Y$303&lt;=S287)*('Loan Tape'!$E$4:$E$303='Deal Strat'!$C$12))*'Loan Tape'!$U$4:$U$303*'Loan Tape'!$R$4:$R$303)/E287,"-")</f>
        <v>-</v>
      </c>
      <c r="H287" s="68" t="str">
        <f aca="false">IFERROR(SUMPRODUCT((('Loan Tape'!$Y$4:$Y$303&lt;&gt;"")*('Loan Tape'!$R$4:$R$303&lt;&gt;"")*('Loan Tape'!$Y$4:$Y$303&gt;=R287)*('Loan Tape'!$Y$4:$Y$303&lt;=S287)*('Loan Tape'!$E$4:$E$303='Deal Strat'!$C$12))*'Loan Tape'!$AH$4:$AH$303*'Loan Tape'!$R$4:$R$303)/E287,"-")</f>
        <v>-</v>
      </c>
      <c r="I287" s="68" t="str">
        <f aca="false">IFERROR(SUMPRODUCT((('Loan Tape'!$Y$4:$Y$303&lt;&gt;"")*('Loan Tape'!$R$4:$R$303&lt;&gt;"")*('Loan Tape'!$Y$4:$Y$303&gt;=R287)*('Loan Tape'!$Y$4:$Y$303&lt;=S287)*('Loan Tape'!$E$4:$E$303='Deal Strat'!$C$12))*(('Loan Tape'!$H$4:$H$303-$C$4)/30.4375)*'Loan Tape'!$R$4:$R$303)/E287,"-")</f>
        <v>-</v>
      </c>
      <c r="J287" s="69" t="str">
        <f aca="false">IFERROR(SUMPRODUCT((('Loan Tape'!$Y$4:$Y$303&lt;&gt;"")*('Loan Tape'!$R$4:$R$303&lt;&gt;"")*('Loan Tape'!$Y$4:$Y$303&gt;=R287)*('Loan Tape'!$Y$4:$Y$303&lt;=S287)*('Loan Tape'!$E$4:$E$303='Deal Strat'!$C$12))*('Loan Tape'!$K$4:$K$303="Floating")*'Loan Tape'!$R$4:$R$303)/E287,"-")</f>
        <v>-</v>
      </c>
      <c r="K287" s="69" t="str">
        <f aca="false">IFERROR(SUMPRODUCT((('Loan Tape'!$Y$4:$Y$303&lt;&gt;"")*('Loan Tape'!$R$4:$R$303&lt;&gt;"")*('Loan Tape'!$Y$4:$Y$303&gt;=R287)*('Loan Tape'!$Y$4:$Y$303&lt;=S287)*('Loan Tape'!$E$4:$E$303='Deal Strat'!$C$12))*'Loan Tape'!$T$4:$T$303*'Loan Tape'!$R$4:$R$303)/E287,"-")</f>
        <v>-</v>
      </c>
      <c r="L287" s="69" t="str">
        <f aca="false">IFERROR(SUMPRODUCT((('Loan Tape'!$Y$4:$Y$303&lt;&gt;"")*('Loan Tape'!$R$4:$R$303&lt;&gt;"")*('Loan Tape'!$Y$4:$Y$303&gt;=R287)*('Loan Tape'!$Y$4:$Y$303&lt;=S287)*('Loan Tape'!$E$4:$E$303='Deal Strat'!$C$12))*'Loan Tape'!$V$4:$V$303*'Loan Tape'!$R$4:$R$303)/E287,"-")</f>
        <v>-</v>
      </c>
      <c r="M287" s="69" t="str">
        <f aca="false">IFERROR(SUMPRODUCT((('Loan Tape'!$Y$4:$Y$303&lt;&gt;"")*('Loan Tape'!$R$4:$R$303&lt;&gt;"")*('Loan Tape'!$Y$4:$Y$303&gt;=R287)*('Loan Tape'!$Y$4:$Y$303&lt;=S287)*('Loan Tape'!$E$4:$E$303='Deal Strat'!$C$12))*'Loan Tape'!$W$4:$W$303*'Loan Tape'!$R$4:$R$303)/E287,"-")</f>
        <v>-</v>
      </c>
      <c r="N287" s="69" t="str">
        <f aca="false">IFERROR(SUMPRODUCT((('Loan Tape'!$Y$4:$Y$303&lt;&gt;"")*('Loan Tape'!$R$4:$R$303&lt;&gt;"")*('Loan Tape'!$Y$4:$Y$303&gt;=R287)*('Loan Tape'!$Y$4:$Y$303&lt;=S287)*('Loan Tape'!$E$4:$E$303='Deal Strat'!$C$12))*'Loan Tape'!$AI$4:$AI$303*'Loan Tape'!$R$4:$R$303)/E287,"-")</f>
        <v>-</v>
      </c>
      <c r="O287" s="69" t="str">
        <f aca="false">IFERROR(SUMPRODUCT((('Loan Tape'!$Y$4:$Y$303&lt;&gt;"")*('Loan Tape'!$R$4:$R$303&lt;&gt;"")*('Loan Tape'!$Y$4:$Y$303&gt;=R287)*('Loan Tape'!$Y$4:$Y$303&lt;=S287)*('Loan Tape'!$E$4:$E$303='Deal Strat'!$C$12))*'Loan Tape'!$AK$4:$AK$303*'Loan Tape'!$R$4:$R$303)/E287,"-")</f>
        <v>-</v>
      </c>
      <c r="P287" s="69" t="str">
        <f aca="false">IFERROR(SUMPRODUCT((('Loan Tape'!$Y$4:$Y$303&lt;&gt;"")*('Loan Tape'!$R$4:$R$303&lt;&gt;"")*('Loan Tape'!$Y$4:$Y$303&gt;=R287)*('Loan Tape'!$Y$4:$Y$303&lt;=S287)*('Loan Tape'!$E$4:$E$303='Deal Strat'!$C$12))*'Loan Tape'!$S$4:$S$303*'Loan Tape'!$R$4:$R$303)/E287,"-")</f>
        <v>-</v>
      </c>
      <c r="R287" s="91" t="n">
        <v>2016</v>
      </c>
      <c r="S287" s="91" t="n">
        <v>2020</v>
      </c>
    </row>
    <row r="288" customFormat="false" ht="14.25" hidden="false" customHeight="false" outlineLevel="0" collapsed="false">
      <c r="B288" s="7" t="s">
        <v>496</v>
      </c>
      <c r="C288" s="68" t="n">
        <f aca="false">COUNTIFS('Loan Tape'!$Y$4:$Y$303,"&gt;="&amp;R288,'Loan Tape'!$Y$4:$Y$303,"&lt;="&amp;S288,'Loan Tape'!$R$4:$R$303,"&lt;&gt;",'Loan Tape'!$E$4:$E$303,'Deal Strat'!$C$12)</f>
        <v>0</v>
      </c>
      <c r="D288" s="68" t="n">
        <f aca="false">SUMPRODUCT((('Loan Tape'!$Y$4:$Y$303&lt;&gt;"")*('Loan Tape'!$R$4:$R$303&lt;&gt;"")*('Loan Tape'!$Y$4:$Y$303&gt;=R288)*('Loan Tape'!$Y$4:$Y$303&lt;=S288)*('Loan Tape'!$E$4:$E$303='Deal Strat'!$C$12))*'Loan Tape'!$F$4:$F$303)</f>
        <v>0</v>
      </c>
      <c r="E288" s="84" t="n">
        <f aca="false">SUMIFS('Loan Tape'!$R$4:$R$303,'Loan Tape'!$Y$4:$Y$303,"&gt;="&amp;R288,'Loan Tape'!$Y$4:$Y$303,"&lt;="&amp;S288,'Loan Tape'!$R$4:$R$303,"&lt;&gt;",'Loan Tape'!$E$4:$E$303,'Deal Strat'!$C$12)</f>
        <v>0</v>
      </c>
      <c r="F288" s="69" t="n">
        <f aca="false">IFERROR(E288/C5,0)</f>
        <v>0</v>
      </c>
      <c r="G288" s="85" t="str">
        <f aca="false">IFERROR(SUMPRODUCT((('Loan Tape'!$Y$4:$Y$303&lt;&gt;"")*('Loan Tape'!$R$4:$R$303&lt;&gt;"")*('Loan Tape'!$Y$4:$Y$303&gt;=R288)*('Loan Tape'!$Y$4:$Y$303&lt;=S288)*('Loan Tape'!$E$4:$E$303='Deal Strat'!$C$12))*'Loan Tape'!$U$4:$U$303*'Loan Tape'!$R$4:$R$303)/E288,"-")</f>
        <v>-</v>
      </c>
      <c r="H288" s="68" t="str">
        <f aca="false">IFERROR(SUMPRODUCT((('Loan Tape'!$Y$4:$Y$303&lt;&gt;"")*('Loan Tape'!$R$4:$R$303&lt;&gt;"")*('Loan Tape'!$Y$4:$Y$303&gt;=R288)*('Loan Tape'!$Y$4:$Y$303&lt;=S288)*('Loan Tape'!$E$4:$E$303='Deal Strat'!$C$12))*'Loan Tape'!$AH$4:$AH$303*'Loan Tape'!$R$4:$R$303)/E288,"-")</f>
        <v>-</v>
      </c>
      <c r="I288" s="68" t="str">
        <f aca="false">IFERROR(SUMPRODUCT((('Loan Tape'!$Y$4:$Y$303&lt;&gt;"")*('Loan Tape'!$R$4:$R$303&lt;&gt;"")*('Loan Tape'!$Y$4:$Y$303&gt;=R288)*('Loan Tape'!$Y$4:$Y$303&lt;=S288)*('Loan Tape'!$E$4:$E$303='Deal Strat'!$C$12))*(('Loan Tape'!$H$4:$H$303-$C$4)/30.4375)*'Loan Tape'!$R$4:$R$303)/E288,"-")</f>
        <v>-</v>
      </c>
      <c r="J288" s="69" t="str">
        <f aca="false">IFERROR(SUMPRODUCT((('Loan Tape'!$Y$4:$Y$303&lt;&gt;"")*('Loan Tape'!$R$4:$R$303&lt;&gt;"")*('Loan Tape'!$Y$4:$Y$303&gt;=R288)*('Loan Tape'!$Y$4:$Y$303&lt;=S288)*('Loan Tape'!$E$4:$E$303='Deal Strat'!$C$12))*('Loan Tape'!$K$4:$K$303="Floating")*'Loan Tape'!$R$4:$R$303)/E288,"-")</f>
        <v>-</v>
      </c>
      <c r="K288" s="69" t="str">
        <f aca="false">IFERROR(SUMPRODUCT((('Loan Tape'!$Y$4:$Y$303&lt;&gt;"")*('Loan Tape'!$R$4:$R$303&lt;&gt;"")*('Loan Tape'!$Y$4:$Y$303&gt;=R288)*('Loan Tape'!$Y$4:$Y$303&lt;=S288)*('Loan Tape'!$E$4:$E$303='Deal Strat'!$C$12))*'Loan Tape'!$T$4:$T$303*'Loan Tape'!$R$4:$R$303)/E288,"-")</f>
        <v>-</v>
      </c>
      <c r="L288" s="69" t="str">
        <f aca="false">IFERROR(SUMPRODUCT((('Loan Tape'!$Y$4:$Y$303&lt;&gt;"")*('Loan Tape'!$R$4:$R$303&lt;&gt;"")*('Loan Tape'!$Y$4:$Y$303&gt;=R288)*('Loan Tape'!$Y$4:$Y$303&lt;=S288)*('Loan Tape'!$E$4:$E$303='Deal Strat'!$C$12))*'Loan Tape'!$V$4:$V$303*'Loan Tape'!$R$4:$R$303)/E288,"-")</f>
        <v>-</v>
      </c>
      <c r="M288" s="69" t="str">
        <f aca="false">IFERROR(SUMPRODUCT((('Loan Tape'!$Y$4:$Y$303&lt;&gt;"")*('Loan Tape'!$R$4:$R$303&lt;&gt;"")*('Loan Tape'!$Y$4:$Y$303&gt;=R288)*('Loan Tape'!$Y$4:$Y$303&lt;=S288)*('Loan Tape'!$E$4:$E$303='Deal Strat'!$C$12))*'Loan Tape'!$W$4:$W$303*'Loan Tape'!$R$4:$R$303)/E288,"-")</f>
        <v>-</v>
      </c>
      <c r="N288" s="69" t="str">
        <f aca="false">IFERROR(SUMPRODUCT((('Loan Tape'!$Y$4:$Y$303&lt;&gt;"")*('Loan Tape'!$R$4:$R$303&lt;&gt;"")*('Loan Tape'!$Y$4:$Y$303&gt;=R288)*('Loan Tape'!$Y$4:$Y$303&lt;=S288)*('Loan Tape'!$E$4:$E$303='Deal Strat'!$C$12))*'Loan Tape'!$AI$4:$AI$303*'Loan Tape'!$R$4:$R$303)/E288,"-")</f>
        <v>-</v>
      </c>
      <c r="O288" s="69" t="str">
        <f aca="false">IFERROR(SUMPRODUCT((('Loan Tape'!$Y$4:$Y$303&lt;&gt;"")*('Loan Tape'!$R$4:$R$303&lt;&gt;"")*('Loan Tape'!$Y$4:$Y$303&gt;=R288)*('Loan Tape'!$Y$4:$Y$303&lt;=S288)*('Loan Tape'!$E$4:$E$303='Deal Strat'!$C$12))*'Loan Tape'!$AK$4:$AK$303*'Loan Tape'!$R$4:$R$303)/E288,"-")</f>
        <v>-</v>
      </c>
      <c r="P288" s="69" t="str">
        <f aca="false">IFERROR(SUMPRODUCT((('Loan Tape'!$Y$4:$Y$303&lt;&gt;"")*('Loan Tape'!$R$4:$R$303&lt;&gt;"")*('Loan Tape'!$Y$4:$Y$303&gt;=R288)*('Loan Tape'!$Y$4:$Y$303&lt;=S288)*('Loan Tape'!$E$4:$E$303='Deal Strat'!$C$12))*'Loan Tape'!$S$4:$S$303*'Loan Tape'!$R$4:$R$303)/E288,"-")</f>
        <v>-</v>
      </c>
      <c r="R288" s="91" t="n">
        <v>2021</v>
      </c>
      <c r="S288" s="91" t="n">
        <v>1000000000000</v>
      </c>
    </row>
    <row r="289" customFormat="false" ht="14.25" hidden="false" customHeight="false" outlineLevel="0" collapsed="false">
      <c r="B289" s="7" t="s">
        <v>497</v>
      </c>
      <c r="C289" s="68" t="n">
        <f aca="false">SUMPRODUCT((('Loan Tape'!$R$4:$R$303&lt;&gt;"")*(('Loan Tape'!$Y$4:$Y$303="")*('Loan Tape'!$R$4:$R$303&lt;&gt;""))*('Loan Tape'!$E$4:$E$303='Deal Strat'!$C$12))*1)</f>
        <v>2</v>
      </c>
      <c r="D289" s="68" t="n">
        <f aca="false">SUMPRODUCT((('Loan Tape'!$R$4:$R$303&lt;&gt;"")*(('Loan Tape'!$Y$4:$Y$303="")*('Loan Tape'!$R$4:$R$303&lt;&gt;""))*('Loan Tape'!$E$4:$E$303='Deal Strat'!$C$12))*'Loan Tape'!$F$4:$F$303)</f>
        <v>238</v>
      </c>
      <c r="E289" s="84" t="n">
        <f aca="false">SUMPRODUCT((('Loan Tape'!$R$4:$R$303&lt;&gt;"")*(('Loan Tape'!$Y$4:$Y$303="")*('Loan Tape'!$R$4:$R$303&lt;&gt;""))*('Loan Tape'!$E$4:$E$303='Deal Strat'!$C$12))*'Loan Tape'!$R$4:$R$303)</f>
        <v>206698000</v>
      </c>
      <c r="F289" s="69" t="n">
        <f aca="false">IFERROR(E289/C5,0)</f>
        <v>0.55491332583419</v>
      </c>
      <c r="G289" s="85" t="n">
        <f aca="false">IFERROR(SUMPRODUCT((('Loan Tape'!$R$4:$R$303&lt;&gt;"")*(('Loan Tape'!$Y$4:$Y$303="")*('Loan Tape'!$R$4:$R$303&lt;&gt;""))*('Loan Tape'!$E$4:$E$303='Deal Strat'!$C$12))*'Loan Tape'!$U$4:$U$303*'Loan Tape'!$R$4:$R$303)/E289,"-")</f>
        <v>1.36746214283641</v>
      </c>
      <c r="H289" s="68" t="n">
        <f aca="false">IFERROR(SUMPRODUCT((('Loan Tape'!$R$4:$R$303&lt;&gt;"")*(('Loan Tape'!$Y$4:$Y$303="")*('Loan Tape'!$R$4:$R$303&lt;&gt;""))*('Loan Tape'!$E$4:$E$303='Deal Strat'!$C$12))*'Loan Tape'!$AH$4:$AH$303*'Loan Tape'!$R$4:$R$303)/E289,"-")</f>
        <v>100.835857144239</v>
      </c>
      <c r="I289" s="68" t="n">
        <f aca="false">IFERROR(SUMPRODUCT((('Loan Tape'!$R$4:$R$303&lt;&gt;"")*(('Loan Tape'!$Y$4:$Y$303="")*('Loan Tape'!$R$4:$R$303&lt;&gt;""))*('Loan Tape'!$E$4:$E$303='Deal Strat'!$C$12))*(('Loan Tape'!$H$4:$H$303-$C$4)/30.4375)*'Loan Tape'!$R$4:$R$303)/E289,"-")</f>
        <v>4.15463300394233</v>
      </c>
      <c r="J289" s="69" t="n">
        <f aca="false">IFERROR(SUMPRODUCT((('Loan Tape'!$R$4:$R$303&lt;&gt;"")*(('Loan Tape'!$Y$4:$Y$303="")*('Loan Tape'!$R$4:$R$303&lt;&gt;""))*('Loan Tape'!$E$4:$E$303='Deal Strat'!$C$12))*('Loan Tape'!$K$4:$K$303="Floating")*'Loan Tape'!$R$4:$R$303)/E289,"-")</f>
        <v>0.582071427880289</v>
      </c>
      <c r="K289" s="69" t="n">
        <f aca="false">IFERROR(SUMPRODUCT((('Loan Tape'!$R$4:$R$303&lt;&gt;"")*(('Loan Tape'!$Y$4:$Y$303="")*('Loan Tape'!$R$4:$R$303&lt;&gt;""))*('Loan Tape'!$E$4:$E$303='Deal Strat'!$C$12))*'Loan Tape'!$T$4:$T$303*'Loan Tape'!$R$4:$R$303)/E289,"-")</f>
        <v>0.0923915214467484</v>
      </c>
      <c r="L289" s="69" t="n">
        <f aca="false">IFERROR(SUMPRODUCT((('Loan Tape'!$R$4:$R$303&lt;&gt;"")*(('Loan Tape'!$Y$4:$Y$303="")*('Loan Tape'!$R$4:$R$303&lt;&gt;""))*('Loan Tape'!$E$4:$E$303='Deal Strat'!$C$12))*'Loan Tape'!$V$4:$V$303*'Loan Tape'!$R$4:$R$303)/E289,"-")</f>
        <v>0.757033928726935</v>
      </c>
      <c r="M289" s="69" t="n">
        <f aca="false">IFERROR(SUMPRODUCT((('Loan Tape'!$R$4:$R$303&lt;&gt;"")*(('Loan Tape'!$Y$4:$Y$303="")*('Loan Tape'!$R$4:$R$303&lt;&gt;""))*('Loan Tape'!$E$4:$E$303='Deal Strat'!$C$12))*'Loan Tape'!$W$4:$W$303*'Loan Tape'!$R$4:$R$303)/E289,"-")</f>
        <v>0.796571785890526</v>
      </c>
      <c r="N289" s="69" t="n">
        <f aca="false">IFERROR(SUMPRODUCT((('Loan Tape'!$R$4:$R$303&lt;&gt;"")*(('Loan Tape'!$Y$4:$Y$303="")*('Loan Tape'!$R$4:$R$303&lt;&gt;""))*('Loan Tape'!$E$4:$E$303='Deal Strat'!$C$12))*'Loan Tape'!$AI$4:$AI$303*'Loan Tape'!$R$4:$R$303)/E289,"-")</f>
        <v>0.0706293142652566</v>
      </c>
      <c r="O289" s="69" t="n">
        <f aca="false">IFERROR(SUMPRODUCT((('Loan Tape'!$R$4:$R$303&lt;&gt;"")*(('Loan Tape'!$Y$4:$Y$303="")*('Loan Tape'!$R$4:$R$303&lt;&gt;""))*('Loan Tape'!$E$4:$E$303='Deal Strat'!$C$12))*'Loan Tape'!$AK$4:$AK$303*'Loan Tape'!$R$4:$R$303)/E289,"-")</f>
        <v>0.0793603856834609</v>
      </c>
      <c r="P289" s="69" t="n">
        <f aca="false">IFERROR(SUMPRODUCT((('Loan Tape'!$R$4:$R$303&lt;&gt;"")*(('Loan Tape'!$Y$4:$Y$303="")*('Loan Tape'!$R$4:$R$303&lt;&gt;""))*('Loan Tape'!$E$4:$E$303='Deal Strat'!$C$12))*'Loan Tape'!$S$4:$S$303*'Loan Tape'!$R$4:$R$303)/E289,"-")</f>
        <v>0.802388857173267</v>
      </c>
    </row>
    <row r="290" customFormat="false" ht="14.25" hidden="false" customHeight="false" outlineLevel="0" collapsed="false">
      <c r="B290" s="86" t="s">
        <v>405</v>
      </c>
      <c r="C290" s="92" t="n">
        <f aca="false">SUM(C285:C289)</f>
        <v>5</v>
      </c>
      <c r="D290" s="92" t="n">
        <f aca="false">SUM(D285:D289)</f>
        <v>593</v>
      </c>
      <c r="E290" s="88" t="n">
        <f aca="false">SUM(E285:E289)</f>
        <v>372487000</v>
      </c>
      <c r="F290" s="89" t="n">
        <f aca="false">SUM(F285:F289)</f>
        <v>1</v>
      </c>
      <c r="G290" s="90" t="n">
        <f aca="false">IFERROR(SUMPRODUCT((('Loan Tape'!$R$4:$R$303&lt;&gt;"")*('Loan Tape'!$E$4:$E$303='Deal Strat'!$C$12))*'Loan Tape'!$U$4:$U$303*'Loan Tape'!$R$4:$R$303)/E290,"-")</f>
        <v>1.46286165691689</v>
      </c>
      <c r="H290" s="92" t="n">
        <f aca="false">IFERROR(SUMPRODUCT((('Loan Tape'!$R$4:$R$303&lt;&gt;"")*('Loan Tape'!$E$4:$E$303='Deal Strat'!$C$12))*'Loan Tape'!$AH$4:$AH$303*'Loan Tape'!$R$4:$R$303)/E290,"-")</f>
        <v>100.401133462376</v>
      </c>
      <c r="I290" s="92" t="n">
        <f aca="false">IFERROR(SUMPRODUCT((('Loan Tape'!$R$4:$R$303&lt;&gt;"")*('Loan Tape'!$E$4:$E$303='Deal Strat'!$C$12))*(('Loan Tape'!$H$4:$H$303-$C$4)/30.4375)*'Loan Tape'!$R$4:$R$303)/E290,"-")</f>
        <v>4.02239639370792</v>
      </c>
      <c r="J290" s="89" t="n">
        <f aca="false">IFERROR(SUMPRODUCT((('Loan Tape'!$R$4:$R$303&lt;&gt;"")*('Loan Tape'!$E$4:$E$303='Deal Strat'!$C$12))*('Loan Tape'!$K$4:$K$303="Floating")*'Loan Tape'!$R$4:$R$303)/E290,"-")</f>
        <v>0.64712593996569</v>
      </c>
      <c r="K290" s="89" t="n">
        <f aca="false">IFERROR(SUMPRODUCT((('Loan Tape'!$R$4:$R$303&lt;&gt;"")*('Loan Tape'!$E$4:$E$303='Deal Strat'!$C$12))*'Loan Tape'!$T$4:$T$303*'Loan Tape'!$R$4:$R$303)/E290,"-")</f>
        <v>0.0853727877751438</v>
      </c>
      <c r="L290" s="89" t="n">
        <f aca="false">IFERROR(SUMPRODUCT((('Loan Tape'!$R$4:$R$303&lt;&gt;"")*('Loan Tape'!$E$4:$E$303='Deal Strat'!$C$12))*'Loan Tape'!$V$4:$V$303*'Loan Tape'!$R$4:$R$303)/E290,"-")</f>
        <v>0.69021042345102</v>
      </c>
      <c r="M290" s="89" t="n">
        <f aca="false">IFERROR(SUMPRODUCT((('Loan Tape'!$R$4:$R$303&lt;&gt;"")*('Loan Tape'!$E$4:$E$303='Deal Strat'!$C$12))*'Loan Tape'!$W$4:$W$303*'Loan Tape'!$R$4:$R$303)/E290,"-")</f>
        <v>0.727922306013364</v>
      </c>
      <c r="N290" s="89" t="n">
        <f aca="false">IFERROR(SUMPRODUCT((('Loan Tape'!$R$4:$R$303&lt;&gt;"")*('Loan Tape'!$E$4:$E$303='Deal Strat'!$C$12))*'Loan Tape'!$AI$4:$AI$303*'Loan Tape'!$R$4:$R$303)/E290,"-")</f>
        <v>0.0680705466231036</v>
      </c>
      <c r="O290" s="89" t="n">
        <f aca="false">IFERROR(SUMPRODUCT((('Loan Tape'!$R$4:$R$303&lt;&gt;"")*('Loan Tape'!$E$4:$E$303='Deal Strat'!$C$12))*'Loan Tape'!$AK$4:$AK$303*'Loan Tape'!$R$4:$R$303)/E290,"-")</f>
        <v>0.077777435722589</v>
      </c>
      <c r="P290" s="89" t="n">
        <f aca="false">IFERROR(SUMPRODUCT((('Loan Tape'!$R$4:$R$303&lt;&gt;"")*('Loan Tape'!$E$4:$E$303='Deal Strat'!$C$12))*'Loan Tape'!$S$4:$S$303*'Loan Tape'!$R$4:$R$303)/E290,"-")</f>
        <v>0.841462496677736</v>
      </c>
    </row>
    <row r="292" customFormat="false" ht="19.5" hidden="false" customHeight="true" outlineLevel="0" collapsed="false">
      <c r="B292" s="5" t="s">
        <v>498</v>
      </c>
      <c r="C292" s="5"/>
      <c r="D292" s="5"/>
      <c r="E292" s="5"/>
      <c r="F292" s="5"/>
      <c r="G292" s="5"/>
      <c r="H292" s="5"/>
      <c r="I292" s="5"/>
      <c r="J292" s="5"/>
      <c r="K292" s="5"/>
      <c r="L292" s="5"/>
      <c r="M292" s="5"/>
      <c r="N292" s="5"/>
      <c r="O292" s="5"/>
      <c r="P292" s="5"/>
    </row>
    <row r="293" customFormat="false" ht="30" hidden="false" customHeight="true" outlineLevel="0" collapsed="false">
      <c r="B293" s="82" t="s">
        <v>499</v>
      </c>
      <c r="C293" s="83" t="s">
        <v>500</v>
      </c>
      <c r="D293" s="83" t="s">
        <v>501</v>
      </c>
      <c r="E293" s="83" t="s">
        <v>502</v>
      </c>
      <c r="F293" s="83" t="s">
        <v>503</v>
      </c>
      <c r="G293" s="83" t="s">
        <v>504</v>
      </c>
      <c r="H293" s="83" t="s">
        <v>505</v>
      </c>
      <c r="I293" s="83" t="s">
        <v>506</v>
      </c>
      <c r="J293" s="83" t="s">
        <v>507</v>
      </c>
      <c r="K293" s="83" t="s">
        <v>508</v>
      </c>
      <c r="L293" s="83" t="s">
        <v>509</v>
      </c>
      <c r="M293" s="83" t="s">
        <v>510</v>
      </c>
      <c r="N293" s="83" t="s">
        <v>511</v>
      </c>
      <c r="O293" s="83" t="s">
        <v>512</v>
      </c>
      <c r="P293" s="83" t="s">
        <v>513</v>
      </c>
    </row>
    <row r="294" customFormat="false" ht="14.25" hidden="false" customHeight="false" outlineLevel="0" collapsed="false">
      <c r="B294" s="7" t="s">
        <v>158</v>
      </c>
      <c r="C294" s="84" t="n">
        <f aca="false">IFERROR(N(E34)-N(E34),0)</f>
        <v>0</v>
      </c>
      <c r="D294" s="93" t="n">
        <f aca="false">IFERROR(N(C34)-N(C34),0)</f>
        <v>0</v>
      </c>
      <c r="E294" s="93" t="n">
        <f aca="false">IFERROR(N(D34)-N(D34),0)</f>
        <v>0</v>
      </c>
      <c r="F294" s="93" t="n">
        <f aca="false">IFERROR(N(G34)-N(G34),0)</f>
        <v>0</v>
      </c>
      <c r="G294" s="93" t="n">
        <f aca="false">IFERROR(N(H34)-N(H34),0)</f>
        <v>0</v>
      </c>
      <c r="H294" s="93" t="n">
        <f aca="false">IFERROR(N(I34)-N(I34),0)</f>
        <v>0</v>
      </c>
      <c r="I294" s="93" t="n">
        <f aca="false">IFERROR(N(J34)-N(J34),0)</f>
        <v>0</v>
      </c>
      <c r="J294" s="93" t="n">
        <f aca="false">IFERROR(N(K34)-N(K34),0)</f>
        <v>0</v>
      </c>
      <c r="K294" s="93" t="n">
        <f aca="false">IFERROR(N(L34)-N(L34),0)</f>
        <v>0</v>
      </c>
      <c r="L294" s="93" t="n">
        <f aca="false">IFERROR(N(M34)-N(M34),0)</f>
        <v>0</v>
      </c>
      <c r="M294" s="93" t="n">
        <f aca="false">IFERROR(N(N34)-N(N34),0)</f>
        <v>0</v>
      </c>
      <c r="N294" s="93" t="n">
        <f aca="false">IFERROR(N(O34)-N(O34),0)</f>
        <v>0</v>
      </c>
      <c r="O294" s="93" t="n">
        <f aca="false">IFERROR(N(P34)-N(P34),0)</f>
        <v>0</v>
      </c>
      <c r="P294" s="94" t="str">
        <f aca="false">IF(AND(ABS(C294)&lt;=1,ABS(D294)&lt;=0.001,ABS(E294)&lt;=0.001,ABS(F294)&lt;=0.0005,ABS(G294)&lt;=0.01,ABS(H294)&lt;=0.01,ABS(I294)&lt;=0.0005,ABS(J294)&lt;=0.0005,ABS(K294)&lt;=0.0005,ABS(L294)&lt;=0.0005,ABS(M294)&lt;=0.0005,ABS(N294)&lt;=0.0005,ABS(O294)&lt;=0.0005),"PASS","FAIL")</f>
        <v>PASS</v>
      </c>
    </row>
    <row r="295" customFormat="false" ht="14.25" hidden="false" customHeight="false" outlineLevel="0" collapsed="false">
      <c r="B295" s="7" t="s">
        <v>514</v>
      </c>
      <c r="C295" s="84" t="n">
        <f aca="false">IFERROR(N(E41)-N(E34),0)</f>
        <v>0</v>
      </c>
      <c r="D295" s="93" t="n">
        <f aca="false">IFERROR(N(C41)-N(C34),0)</f>
        <v>0</v>
      </c>
      <c r="E295" s="93" t="n">
        <f aca="false">IFERROR(N(D41)-N(D34),0)</f>
        <v>0</v>
      </c>
      <c r="F295" s="93" t="n">
        <f aca="false">IFERROR(N(G41)-N(G34),0)</f>
        <v>0</v>
      </c>
      <c r="G295" s="93" t="n">
        <f aca="false">IFERROR(N(H41)-N(H34),0)</f>
        <v>0</v>
      </c>
      <c r="H295" s="93" t="n">
        <f aca="false">IFERROR(N(I41)-N(I34),0)</f>
        <v>0</v>
      </c>
      <c r="I295" s="93" t="n">
        <f aca="false">IFERROR(N(J41)-N(J34),0)</f>
        <v>0</v>
      </c>
      <c r="J295" s="93" t="n">
        <f aca="false">IFERROR(N(K41)-N(K34),0)</f>
        <v>0</v>
      </c>
      <c r="K295" s="93" t="n">
        <f aca="false">IFERROR(N(L41)-N(L34),0)</f>
        <v>0</v>
      </c>
      <c r="L295" s="93" t="n">
        <f aca="false">IFERROR(N(M41)-N(M34),0)</f>
        <v>0</v>
      </c>
      <c r="M295" s="93" t="n">
        <f aca="false">IFERROR(N(N41)-N(N34),0)</f>
        <v>0</v>
      </c>
      <c r="N295" s="93" t="n">
        <f aca="false">IFERROR(N(O41)-N(O34),0)</f>
        <v>0</v>
      </c>
      <c r="O295" s="93" t="n">
        <f aca="false">IFERROR(N(P41)-N(P34),0)</f>
        <v>0</v>
      </c>
      <c r="P295" s="94" t="str">
        <f aca="false">IF(AND(ABS(C295)&lt;=1,ABS(D295)&lt;=0.001,ABS(E295)&lt;=0.001,ABS(F295)&lt;=0.0005,ABS(G295)&lt;=0.01,ABS(H295)&lt;=0.01,ABS(I295)&lt;=0.0005,ABS(J295)&lt;=0.0005,ABS(K295)&lt;=0.0005,ABS(L295)&lt;=0.0005,ABS(M295)&lt;=0.0005,ABS(N295)&lt;=0.0005,ABS(O295)&lt;=0.0005),"PASS","FAIL")</f>
        <v>PASS</v>
      </c>
    </row>
    <row r="296" customFormat="false" ht="14.25" hidden="false" customHeight="false" outlineLevel="0" collapsed="false">
      <c r="B296" s="7" t="s">
        <v>515</v>
      </c>
      <c r="C296" s="84" t="n">
        <f aca="false">IFERROR(N(E61)-N(E34),0)</f>
        <v>0</v>
      </c>
      <c r="D296" s="93" t="n">
        <f aca="false">IFERROR(N(C61)-N(C34),0)</f>
        <v>0</v>
      </c>
      <c r="E296" s="93" t="n">
        <f aca="false">IFERROR(N(D61)-N(D34),0)</f>
        <v>0</v>
      </c>
      <c r="F296" s="93" t="n">
        <f aca="false">IFERROR(N(G61)-N(G34),0)</f>
        <v>0</v>
      </c>
      <c r="G296" s="93" t="n">
        <f aca="false">IFERROR(N(H61)-N(H34),0)</f>
        <v>0</v>
      </c>
      <c r="H296" s="93" t="n">
        <f aca="false">IFERROR(N(I61)-N(I34),0)</f>
        <v>0</v>
      </c>
      <c r="I296" s="93" t="n">
        <f aca="false">IFERROR(N(J61)-N(J34),0)</f>
        <v>0</v>
      </c>
      <c r="J296" s="93" t="n">
        <f aca="false">IFERROR(N(K61)-N(K34),0)</f>
        <v>0</v>
      </c>
      <c r="K296" s="93" t="n">
        <f aca="false">IFERROR(N(L61)-N(L34),0)</f>
        <v>0</v>
      </c>
      <c r="L296" s="93" t="n">
        <f aca="false">IFERROR(N(M61)-N(M34),0)</f>
        <v>0</v>
      </c>
      <c r="M296" s="93" t="n">
        <f aca="false">IFERROR(N(N61)-N(N34),0)</f>
        <v>0</v>
      </c>
      <c r="N296" s="93" t="n">
        <f aca="false">IFERROR(N(O61)-N(O34),0)</f>
        <v>0</v>
      </c>
      <c r="O296" s="93" t="n">
        <f aca="false">IFERROR(N(P61)-N(P34),0)</f>
        <v>0</v>
      </c>
      <c r="P296" s="94" t="str">
        <f aca="false">IF(AND(ABS(C296)&lt;=1,ABS(D296)&lt;=0.001,ABS(E296)&lt;=0.001,ABS(F296)&lt;=0.0005,ABS(G296)&lt;=0.01,ABS(H296)&lt;=0.01,ABS(I296)&lt;=0.0005,ABS(J296)&lt;=0.0005,ABS(K296)&lt;=0.0005,ABS(L296)&lt;=0.0005,ABS(M296)&lt;=0.0005,ABS(N296)&lt;=0.0005,ABS(O296)&lt;=0.0005),"PASS","FAIL")</f>
        <v>PASS</v>
      </c>
    </row>
    <row r="297" customFormat="false" ht="14.25" hidden="false" customHeight="false" outlineLevel="0" collapsed="false">
      <c r="B297" s="7" t="s">
        <v>516</v>
      </c>
      <c r="C297" s="84" t="n">
        <f aca="false">IFERROR(N(E74)-N(E34),0)</f>
        <v>0</v>
      </c>
      <c r="D297" s="93" t="n">
        <f aca="false">IFERROR(N(C74)-N(C34),0)</f>
        <v>0</v>
      </c>
      <c r="E297" s="93" t="n">
        <f aca="false">IFERROR(N(D74)-N(D34),0)</f>
        <v>0</v>
      </c>
      <c r="F297" s="93" t="n">
        <f aca="false">IFERROR(N(G74)-N(G34),0)</f>
        <v>0</v>
      </c>
      <c r="G297" s="93" t="n">
        <f aca="false">IFERROR(N(H74)-N(H34),0)</f>
        <v>0</v>
      </c>
      <c r="H297" s="93" t="n">
        <f aca="false">IFERROR(N(I74)-N(I34),0)</f>
        <v>0</v>
      </c>
      <c r="I297" s="93" t="n">
        <f aca="false">IFERROR(N(J74)-N(J34),0)</f>
        <v>0</v>
      </c>
      <c r="J297" s="93" t="n">
        <f aca="false">IFERROR(N(K74)-N(K34),0)</f>
        <v>0</v>
      </c>
      <c r="K297" s="93" t="n">
        <f aca="false">IFERROR(N(L74)-N(L34),0)</f>
        <v>0</v>
      </c>
      <c r="L297" s="93" t="n">
        <f aca="false">IFERROR(N(M74)-N(M34),0)</f>
        <v>0</v>
      </c>
      <c r="M297" s="93" t="n">
        <f aca="false">IFERROR(N(N74)-N(N34),0)</f>
        <v>0</v>
      </c>
      <c r="N297" s="93" t="n">
        <f aca="false">IFERROR(N(O74)-N(O34),0)</f>
        <v>0</v>
      </c>
      <c r="O297" s="93" t="n">
        <f aca="false">IFERROR(N(P74)-N(P34),0)</f>
        <v>0</v>
      </c>
      <c r="P297" s="94" t="str">
        <f aca="false">IF(AND(ABS(C297)&lt;=1,ABS(D297)&lt;=0.001,ABS(E297)&lt;=0.001,ABS(F297)&lt;=0.0005,ABS(G297)&lt;=0.01,ABS(H297)&lt;=0.01,ABS(I297)&lt;=0.0005,ABS(J297)&lt;=0.0005,ABS(K297)&lt;=0.0005,ABS(L297)&lt;=0.0005,ABS(M297)&lt;=0.0005,ABS(N297)&lt;=0.0005,ABS(O297)&lt;=0.0005),"PASS","FAIL")</f>
        <v>PASS</v>
      </c>
    </row>
    <row r="298" customFormat="false" ht="14.25" hidden="false" customHeight="false" outlineLevel="0" collapsed="false">
      <c r="B298" s="7" t="s">
        <v>151</v>
      </c>
      <c r="C298" s="84" t="n">
        <f aca="false">IFERROR(N(E85)-N(E34),0)</f>
        <v>0</v>
      </c>
      <c r="D298" s="93" t="n">
        <f aca="false">IFERROR(N(C85)-N(C34),0)</f>
        <v>0</v>
      </c>
      <c r="E298" s="93" t="n">
        <f aca="false">IFERROR(N(D85)-N(D34),0)</f>
        <v>0</v>
      </c>
      <c r="F298" s="93" t="n">
        <f aca="false">IFERROR(N(G85)-N(G34),0)</f>
        <v>0</v>
      </c>
      <c r="G298" s="93" t="n">
        <f aca="false">IFERROR(N(H85)-N(H34),0)</f>
        <v>0</v>
      </c>
      <c r="H298" s="93" t="n">
        <f aca="false">IFERROR(N(I85)-N(I34),0)</f>
        <v>0</v>
      </c>
      <c r="I298" s="93" t="n">
        <f aca="false">IFERROR(N(J85)-N(J34),0)</f>
        <v>0</v>
      </c>
      <c r="J298" s="93" t="n">
        <f aca="false">IFERROR(N(K85)-N(K34),0)</f>
        <v>0</v>
      </c>
      <c r="K298" s="93" t="n">
        <f aca="false">IFERROR(N(L85)-N(L34),0)</f>
        <v>0</v>
      </c>
      <c r="L298" s="93" t="n">
        <f aca="false">IFERROR(N(M85)-N(M34),0)</f>
        <v>0</v>
      </c>
      <c r="M298" s="93" t="n">
        <f aca="false">IFERROR(N(N85)-N(N34),0)</f>
        <v>0</v>
      </c>
      <c r="N298" s="93" t="n">
        <f aca="false">IFERROR(N(O85)-N(O34),0)</f>
        <v>0</v>
      </c>
      <c r="O298" s="93" t="n">
        <f aca="false">IFERROR(N(P85)-N(P34),0)</f>
        <v>0</v>
      </c>
      <c r="P298" s="94" t="str">
        <f aca="false">IF(AND(ABS(C298)&lt;=1,ABS(D298)&lt;=0.001,ABS(E298)&lt;=0.001,ABS(F298)&lt;=0.0005,ABS(G298)&lt;=0.01,ABS(H298)&lt;=0.01,ABS(I298)&lt;=0.0005,ABS(J298)&lt;=0.0005,ABS(K298)&lt;=0.0005,ABS(L298)&lt;=0.0005,ABS(M298)&lt;=0.0005,ABS(N298)&lt;=0.0005,ABS(O298)&lt;=0.0005),"PASS","FAIL")</f>
        <v>PASS</v>
      </c>
    </row>
    <row r="299" customFormat="false" ht="14.25" hidden="false" customHeight="false" outlineLevel="0" collapsed="false">
      <c r="B299" s="7" t="s">
        <v>177</v>
      </c>
      <c r="C299" s="84" t="n">
        <f aca="false">IFERROR(N(E94)-N(E34),0)</f>
        <v>0</v>
      </c>
      <c r="D299" s="93" t="n">
        <f aca="false">IFERROR(N(C94)-N(C34),0)</f>
        <v>0</v>
      </c>
      <c r="E299" s="93" t="n">
        <f aca="false">IFERROR(N(D94)-N(D34),0)</f>
        <v>0</v>
      </c>
      <c r="F299" s="93" t="n">
        <f aca="false">IFERROR(N(G94)-N(G34),0)</f>
        <v>0</v>
      </c>
      <c r="G299" s="93" t="n">
        <f aca="false">IFERROR(N(H94)-N(H34),0)</f>
        <v>0</v>
      </c>
      <c r="H299" s="93" t="n">
        <f aca="false">IFERROR(N(I94)-N(I34),0)</f>
        <v>0</v>
      </c>
      <c r="I299" s="93" t="n">
        <f aca="false">IFERROR(N(J94)-N(J34),0)</f>
        <v>0</v>
      </c>
      <c r="J299" s="93" t="n">
        <f aca="false">IFERROR(N(K94)-N(K34),0)</f>
        <v>0</v>
      </c>
      <c r="K299" s="93" t="n">
        <f aca="false">IFERROR(N(L94)-N(L34),0)</f>
        <v>0</v>
      </c>
      <c r="L299" s="93" t="n">
        <f aca="false">IFERROR(N(M94)-N(M34),0)</f>
        <v>0</v>
      </c>
      <c r="M299" s="93" t="n">
        <f aca="false">IFERROR(N(N94)-N(N34),0)</f>
        <v>0</v>
      </c>
      <c r="N299" s="93" t="n">
        <f aca="false">IFERROR(N(O94)-N(O34),0)</f>
        <v>0</v>
      </c>
      <c r="O299" s="93" t="n">
        <f aca="false">IFERROR(N(P94)-N(P34),0)</f>
        <v>0</v>
      </c>
      <c r="P299" s="94" t="str">
        <f aca="false">IF(AND(ABS(C299)&lt;=1,ABS(D299)&lt;=0.001,ABS(E299)&lt;=0.001,ABS(F299)&lt;=0.0005,ABS(G299)&lt;=0.01,ABS(H299)&lt;=0.01,ABS(I299)&lt;=0.0005,ABS(J299)&lt;=0.0005,ABS(K299)&lt;=0.0005,ABS(L299)&lt;=0.0005,ABS(M299)&lt;=0.0005,ABS(N299)&lt;=0.0005,ABS(O299)&lt;=0.0005),"PASS","FAIL")</f>
        <v>PASS</v>
      </c>
    </row>
    <row r="300" customFormat="false" ht="14.25" hidden="false" customHeight="false" outlineLevel="0" collapsed="false">
      <c r="B300" s="7" t="s">
        <v>178</v>
      </c>
      <c r="C300" s="84" t="n">
        <f aca="false">IFERROR(N(E102)-N(E34),0)</f>
        <v>0</v>
      </c>
      <c r="D300" s="93" t="n">
        <f aca="false">IFERROR(N(C102)-N(C34),0)</f>
        <v>0</v>
      </c>
      <c r="E300" s="93" t="n">
        <f aca="false">IFERROR(N(D102)-N(D34),0)</f>
        <v>0</v>
      </c>
      <c r="F300" s="93" t="n">
        <f aca="false">IFERROR(N(G102)-N(G34),0)</f>
        <v>0</v>
      </c>
      <c r="G300" s="93" t="n">
        <f aca="false">IFERROR(N(H102)-N(H34),0)</f>
        <v>0</v>
      </c>
      <c r="H300" s="93" t="n">
        <f aca="false">IFERROR(N(I102)-N(I34),0)</f>
        <v>0</v>
      </c>
      <c r="I300" s="93" t="n">
        <f aca="false">IFERROR(N(J102)-N(J34),0)</f>
        <v>0</v>
      </c>
      <c r="J300" s="93" t="n">
        <f aca="false">IFERROR(N(K102)-N(K34),0)</f>
        <v>0</v>
      </c>
      <c r="K300" s="93" t="n">
        <f aca="false">IFERROR(N(L102)-N(L34),0)</f>
        <v>0</v>
      </c>
      <c r="L300" s="93" t="n">
        <f aca="false">IFERROR(N(M102)-N(M34),0)</f>
        <v>0</v>
      </c>
      <c r="M300" s="93" t="n">
        <f aca="false">IFERROR(N(N102)-N(N34),0)</f>
        <v>0</v>
      </c>
      <c r="N300" s="93" t="n">
        <f aca="false">IFERROR(N(O102)-N(O34),0)</f>
        <v>0</v>
      </c>
      <c r="O300" s="93" t="n">
        <f aca="false">IFERROR(N(P102)-N(P34),0)</f>
        <v>0</v>
      </c>
      <c r="P300" s="94" t="str">
        <f aca="false">IF(AND(ABS(C300)&lt;=1,ABS(D300)&lt;=0.001,ABS(E300)&lt;=0.001,ABS(F300)&lt;=0.0005,ABS(G300)&lt;=0.01,ABS(H300)&lt;=0.01,ABS(I300)&lt;=0.0005,ABS(J300)&lt;=0.0005,ABS(K300)&lt;=0.0005,ABS(L300)&lt;=0.0005,ABS(M300)&lt;=0.0005,ABS(N300)&lt;=0.0005,ABS(O300)&lt;=0.0005),"PASS","FAIL")</f>
        <v>PASS</v>
      </c>
    </row>
    <row r="301" customFormat="false" ht="14.25" hidden="false" customHeight="false" outlineLevel="0" collapsed="false">
      <c r="B301" s="7" t="s">
        <v>180</v>
      </c>
      <c r="C301" s="84" t="n">
        <f aca="false">IFERROR(N(E110)-N(E34),0)</f>
        <v>0</v>
      </c>
      <c r="D301" s="93" t="n">
        <f aca="false">IFERROR(N(C110)-N(C34),0)</f>
        <v>0</v>
      </c>
      <c r="E301" s="93" t="n">
        <f aca="false">IFERROR(N(D110)-N(D34),0)</f>
        <v>0</v>
      </c>
      <c r="F301" s="93" t="n">
        <f aca="false">IFERROR(N(G110)-N(G34),0)</f>
        <v>0</v>
      </c>
      <c r="G301" s="93" t="n">
        <f aca="false">IFERROR(N(H110)-N(H34),0)</f>
        <v>0</v>
      </c>
      <c r="H301" s="93" t="n">
        <f aca="false">IFERROR(N(I110)-N(I34),0)</f>
        <v>0</v>
      </c>
      <c r="I301" s="93" t="n">
        <f aca="false">IFERROR(N(J110)-N(J34),0)</f>
        <v>0</v>
      </c>
      <c r="J301" s="93" t="n">
        <f aca="false">IFERROR(N(K110)-N(K34),0)</f>
        <v>0</v>
      </c>
      <c r="K301" s="93" t="n">
        <f aca="false">IFERROR(N(L110)-N(L34),0)</f>
        <v>0</v>
      </c>
      <c r="L301" s="93" t="n">
        <f aca="false">IFERROR(N(M110)-N(M34),0)</f>
        <v>0</v>
      </c>
      <c r="M301" s="93" t="n">
        <f aca="false">IFERROR(N(N110)-N(N34),0)</f>
        <v>0</v>
      </c>
      <c r="N301" s="93" t="n">
        <f aca="false">IFERROR(N(O110)-N(O34),0)</f>
        <v>0</v>
      </c>
      <c r="O301" s="93" t="n">
        <f aca="false">IFERROR(N(P110)-N(P34),0)</f>
        <v>0</v>
      </c>
      <c r="P301" s="94" t="str">
        <f aca="false">IF(AND(ABS(C301)&lt;=1,ABS(D301)&lt;=0.001,ABS(E301)&lt;=0.001,ABS(F301)&lt;=0.0005,ABS(G301)&lt;=0.01,ABS(H301)&lt;=0.01,ABS(I301)&lt;=0.0005,ABS(J301)&lt;=0.0005,ABS(K301)&lt;=0.0005,ABS(L301)&lt;=0.0005,ABS(M301)&lt;=0.0005,ABS(N301)&lt;=0.0005,ABS(O301)&lt;=0.0005),"PASS","FAIL")</f>
        <v>PASS</v>
      </c>
    </row>
    <row r="302" customFormat="false" ht="14.25" hidden="false" customHeight="false" outlineLevel="0" collapsed="false">
      <c r="B302" s="7" t="s">
        <v>179</v>
      </c>
      <c r="C302" s="84" t="n">
        <f aca="false">IFERROR(N(E119)-N(E34),0)</f>
        <v>0</v>
      </c>
      <c r="D302" s="93" t="n">
        <f aca="false">IFERROR(N(C119)-N(C34),0)</f>
        <v>0</v>
      </c>
      <c r="E302" s="93" t="n">
        <f aca="false">IFERROR(N(D119)-N(D34),0)</f>
        <v>0</v>
      </c>
      <c r="F302" s="93" t="n">
        <f aca="false">IFERROR(N(G119)-N(G34),0)</f>
        <v>0</v>
      </c>
      <c r="G302" s="93" t="n">
        <f aca="false">IFERROR(N(H119)-N(H34),0)</f>
        <v>0</v>
      </c>
      <c r="H302" s="93" t="n">
        <f aca="false">IFERROR(N(I119)-N(I34),0)</f>
        <v>0</v>
      </c>
      <c r="I302" s="93" t="n">
        <f aca="false">IFERROR(N(J119)-N(J34),0)</f>
        <v>0</v>
      </c>
      <c r="J302" s="93" t="n">
        <f aca="false">IFERROR(N(K119)-N(K34),0)</f>
        <v>0</v>
      </c>
      <c r="K302" s="93" t="n">
        <f aca="false">IFERROR(N(L119)-N(L34),0)</f>
        <v>0</v>
      </c>
      <c r="L302" s="93" t="n">
        <f aca="false">IFERROR(N(M119)-N(M34),0)</f>
        <v>0</v>
      </c>
      <c r="M302" s="93" t="n">
        <f aca="false">IFERROR(N(N119)-N(N34),0)</f>
        <v>0</v>
      </c>
      <c r="N302" s="93" t="n">
        <f aca="false">IFERROR(N(O119)-N(O34),0)</f>
        <v>0</v>
      </c>
      <c r="O302" s="93" t="n">
        <f aca="false">IFERROR(N(P119)-N(P34),0)</f>
        <v>0</v>
      </c>
      <c r="P302" s="94" t="str">
        <f aca="false">IF(AND(ABS(C302)&lt;=1,ABS(D302)&lt;=0.001,ABS(E302)&lt;=0.001,ABS(F302)&lt;=0.0005,ABS(G302)&lt;=0.01,ABS(H302)&lt;=0.01,ABS(I302)&lt;=0.0005,ABS(J302)&lt;=0.0005,ABS(K302)&lt;=0.0005,ABS(L302)&lt;=0.0005,ABS(M302)&lt;=0.0005,ABS(N302)&lt;=0.0005,ABS(O302)&lt;=0.0005),"PASS","FAIL")</f>
        <v>PASS</v>
      </c>
    </row>
    <row r="303" customFormat="false" ht="14.25" hidden="false" customHeight="false" outlineLevel="0" collapsed="false">
      <c r="B303" s="7" t="s">
        <v>173</v>
      </c>
      <c r="C303" s="84" t="n">
        <f aca="false">IFERROR(N(E127)-N(E34),0)</f>
        <v>0</v>
      </c>
      <c r="D303" s="93" t="n">
        <f aca="false">IFERROR(N(C127)-N(C34),0)</f>
        <v>0</v>
      </c>
      <c r="E303" s="93" t="n">
        <f aca="false">IFERROR(N(D127)-N(D34),0)</f>
        <v>0</v>
      </c>
      <c r="F303" s="93" t="n">
        <f aca="false">IFERROR(N(G127)-N(G34),0)</f>
        <v>0</v>
      </c>
      <c r="G303" s="93" t="n">
        <f aca="false">IFERROR(N(H127)-N(H34),0)</f>
        <v>0</v>
      </c>
      <c r="H303" s="93" t="n">
        <f aca="false">IFERROR(N(I127)-N(I34),0)</f>
        <v>0</v>
      </c>
      <c r="I303" s="93" t="n">
        <f aca="false">IFERROR(N(J127)-N(J34),0)</f>
        <v>0</v>
      </c>
      <c r="J303" s="93" t="n">
        <f aca="false">IFERROR(N(K127)-N(K34),0)</f>
        <v>0</v>
      </c>
      <c r="K303" s="93" t="n">
        <f aca="false">IFERROR(N(L127)-N(L34),0)</f>
        <v>0</v>
      </c>
      <c r="L303" s="93" t="n">
        <f aca="false">IFERROR(N(M127)-N(M34),0)</f>
        <v>0</v>
      </c>
      <c r="M303" s="93" t="n">
        <f aca="false">IFERROR(N(N127)-N(N34),0)</f>
        <v>0</v>
      </c>
      <c r="N303" s="93" t="n">
        <f aca="false">IFERROR(N(O127)-N(O34),0)</f>
        <v>0</v>
      </c>
      <c r="O303" s="93" t="n">
        <f aca="false">IFERROR(N(P127)-N(P34),0)</f>
        <v>0</v>
      </c>
      <c r="P303" s="94" t="str">
        <f aca="false">IF(AND(ABS(C303)&lt;=1,ABS(D303)&lt;=0.001,ABS(E303)&lt;=0.001,ABS(F303)&lt;=0.0005,ABS(G303)&lt;=0.01,ABS(H303)&lt;=0.01,ABS(I303)&lt;=0.0005,ABS(J303)&lt;=0.0005,ABS(K303)&lt;=0.0005,ABS(L303)&lt;=0.0005,ABS(M303)&lt;=0.0005,ABS(N303)&lt;=0.0005,ABS(O303)&lt;=0.0005),"PASS","FAIL")</f>
        <v>PASS</v>
      </c>
    </row>
    <row r="304" customFormat="false" ht="14.25" hidden="false" customHeight="false" outlineLevel="0" collapsed="false">
      <c r="B304" s="7" t="s">
        <v>174</v>
      </c>
      <c r="C304" s="84" t="n">
        <f aca="false">IFERROR(N(E134)-N(E34),0)</f>
        <v>0</v>
      </c>
      <c r="D304" s="93" t="n">
        <f aca="false">IFERROR(N(C134)-N(C34),0)</f>
        <v>0</v>
      </c>
      <c r="E304" s="93" t="n">
        <f aca="false">IFERROR(N(D134)-N(D34),0)</f>
        <v>0</v>
      </c>
      <c r="F304" s="93" t="n">
        <f aca="false">IFERROR(N(G134)-N(G34),0)</f>
        <v>0</v>
      </c>
      <c r="G304" s="93" t="n">
        <f aca="false">IFERROR(N(H134)-N(H34),0)</f>
        <v>0</v>
      </c>
      <c r="H304" s="93" t="n">
        <f aca="false">IFERROR(N(I134)-N(I34),0)</f>
        <v>0</v>
      </c>
      <c r="I304" s="93" t="n">
        <f aca="false">IFERROR(N(J134)-N(J34),0)</f>
        <v>0</v>
      </c>
      <c r="J304" s="93" t="n">
        <f aca="false">IFERROR(N(K134)-N(K34),0)</f>
        <v>0</v>
      </c>
      <c r="K304" s="93" t="n">
        <f aca="false">IFERROR(N(L134)-N(L34),0)</f>
        <v>0</v>
      </c>
      <c r="L304" s="93" t="n">
        <f aca="false">IFERROR(N(M134)-N(M34),0)</f>
        <v>0</v>
      </c>
      <c r="M304" s="93" t="n">
        <f aca="false">IFERROR(N(N134)-N(N34),0)</f>
        <v>0</v>
      </c>
      <c r="N304" s="93" t="n">
        <f aca="false">IFERROR(N(O134)-N(O34),0)</f>
        <v>0</v>
      </c>
      <c r="O304" s="93" t="n">
        <f aca="false">IFERROR(N(P134)-N(P34),0)</f>
        <v>0</v>
      </c>
      <c r="P304" s="94" t="str">
        <f aca="false">IF(AND(ABS(C304)&lt;=1,ABS(D304)&lt;=0.001,ABS(E304)&lt;=0.001,ABS(F304)&lt;=0.0005,ABS(G304)&lt;=0.01,ABS(H304)&lt;=0.01,ABS(I304)&lt;=0.0005,ABS(J304)&lt;=0.0005,ABS(K304)&lt;=0.0005,ABS(L304)&lt;=0.0005,ABS(M304)&lt;=0.0005,ABS(N304)&lt;=0.0005,ABS(O304)&lt;=0.0005),"PASS","FAIL")</f>
        <v>PASS</v>
      </c>
    </row>
    <row r="305" customFormat="false" ht="14.25" hidden="false" customHeight="false" outlineLevel="0" collapsed="false">
      <c r="B305" s="7" t="s">
        <v>175</v>
      </c>
      <c r="C305" s="84" t="n">
        <f aca="false">IFERROR(N(E143)-N(E34),0)</f>
        <v>0</v>
      </c>
      <c r="D305" s="93" t="n">
        <f aca="false">IFERROR(N(C143)-N(C34),0)</f>
        <v>0</v>
      </c>
      <c r="E305" s="93" t="n">
        <f aca="false">IFERROR(N(D143)-N(D34),0)</f>
        <v>0</v>
      </c>
      <c r="F305" s="93" t="n">
        <f aca="false">IFERROR(N(G143)-N(G34),0)</f>
        <v>0</v>
      </c>
      <c r="G305" s="93" t="n">
        <f aca="false">IFERROR(N(H143)-N(H34),0)</f>
        <v>0</v>
      </c>
      <c r="H305" s="93" t="n">
        <f aca="false">IFERROR(N(I143)-N(I34),0)</f>
        <v>0</v>
      </c>
      <c r="I305" s="93" t="n">
        <f aca="false">IFERROR(N(J143)-N(J34),0)</f>
        <v>0</v>
      </c>
      <c r="J305" s="93" t="n">
        <f aca="false">IFERROR(N(K143)-N(K34),0)</f>
        <v>0</v>
      </c>
      <c r="K305" s="93" t="n">
        <f aca="false">IFERROR(N(L143)-N(L34),0)</f>
        <v>0</v>
      </c>
      <c r="L305" s="93" t="n">
        <f aca="false">IFERROR(N(M143)-N(M34),0)</f>
        <v>0</v>
      </c>
      <c r="M305" s="93" t="n">
        <f aca="false">IFERROR(N(N143)-N(N34),0)</f>
        <v>0</v>
      </c>
      <c r="N305" s="93" t="n">
        <f aca="false">IFERROR(N(O143)-N(O34),0)</f>
        <v>0</v>
      </c>
      <c r="O305" s="93" t="n">
        <f aca="false">IFERROR(N(P143)-N(P34),0)</f>
        <v>0</v>
      </c>
      <c r="P305" s="94" t="str">
        <f aca="false">IF(AND(ABS(C305)&lt;=1,ABS(D305)&lt;=0.001,ABS(E305)&lt;=0.001,ABS(F305)&lt;=0.0005,ABS(G305)&lt;=0.01,ABS(H305)&lt;=0.01,ABS(I305)&lt;=0.0005,ABS(J305)&lt;=0.0005,ABS(K305)&lt;=0.0005,ABS(L305)&lt;=0.0005,ABS(M305)&lt;=0.0005,ABS(N305)&lt;=0.0005,ABS(O305)&lt;=0.0005),"PASS","FAIL")</f>
        <v>PASS</v>
      </c>
    </row>
    <row r="306" customFormat="false" ht="14.25" hidden="false" customHeight="false" outlineLevel="0" collapsed="false">
      <c r="B306" s="7" t="s">
        <v>161</v>
      </c>
      <c r="C306" s="84" t="n">
        <f aca="false">IFERROR(N(E152)-N(E34),0)</f>
        <v>0</v>
      </c>
      <c r="D306" s="93" t="n">
        <f aca="false">IFERROR(N(C152)-N(C34),0)</f>
        <v>0</v>
      </c>
      <c r="E306" s="93" t="n">
        <f aca="false">IFERROR(N(D152)-N(D34),0)</f>
        <v>0</v>
      </c>
      <c r="F306" s="93" t="n">
        <f aca="false">IFERROR(N(G152)-N(G34),0)</f>
        <v>0</v>
      </c>
      <c r="G306" s="93" t="n">
        <f aca="false">IFERROR(N(H152)-N(H34),0)</f>
        <v>0</v>
      </c>
      <c r="H306" s="93" t="n">
        <f aca="false">IFERROR(N(I152)-N(I34),0)</f>
        <v>0</v>
      </c>
      <c r="I306" s="93" t="n">
        <f aca="false">IFERROR(N(J152)-N(J34),0)</f>
        <v>0</v>
      </c>
      <c r="J306" s="93" t="n">
        <f aca="false">IFERROR(N(K152)-N(K34),0)</f>
        <v>0</v>
      </c>
      <c r="K306" s="93" t="n">
        <f aca="false">IFERROR(N(L152)-N(L34),0)</f>
        <v>0</v>
      </c>
      <c r="L306" s="93" t="n">
        <f aca="false">IFERROR(N(M152)-N(M34),0)</f>
        <v>0</v>
      </c>
      <c r="M306" s="93" t="n">
        <f aca="false">IFERROR(N(N152)-N(N34),0)</f>
        <v>0</v>
      </c>
      <c r="N306" s="93" t="n">
        <f aca="false">IFERROR(N(O152)-N(O34),0)</f>
        <v>0</v>
      </c>
      <c r="O306" s="93" t="n">
        <f aca="false">IFERROR(N(P152)-N(P34),0)</f>
        <v>0</v>
      </c>
      <c r="P306" s="94" t="str">
        <f aca="false">IF(AND(ABS(C306)&lt;=1,ABS(D306)&lt;=0.001,ABS(E306)&lt;=0.001,ABS(F306)&lt;=0.0005,ABS(G306)&lt;=0.01,ABS(H306)&lt;=0.01,ABS(I306)&lt;=0.0005,ABS(J306)&lt;=0.0005,ABS(K306)&lt;=0.0005,ABS(L306)&lt;=0.0005,ABS(M306)&lt;=0.0005,ABS(N306)&lt;=0.0005,ABS(O306)&lt;=0.0005),"PASS","FAIL")</f>
        <v>PASS</v>
      </c>
    </row>
    <row r="307" customFormat="false" ht="14.25" hidden="false" customHeight="false" outlineLevel="0" collapsed="false">
      <c r="B307" s="7" t="s">
        <v>517</v>
      </c>
      <c r="C307" s="84" t="n">
        <f aca="false">IFERROR(N(E162)-N(E34),0)</f>
        <v>0</v>
      </c>
      <c r="D307" s="93" t="n">
        <f aca="false">IFERROR(N(C162)-N(C34),0)</f>
        <v>0</v>
      </c>
      <c r="E307" s="93" t="n">
        <f aca="false">IFERROR(N(D162)-N(D34),0)</f>
        <v>0</v>
      </c>
      <c r="F307" s="93" t="n">
        <f aca="false">IFERROR(N(G162)-N(G34),0)</f>
        <v>0</v>
      </c>
      <c r="G307" s="93" t="n">
        <f aca="false">IFERROR(N(H162)-N(H34),0)</f>
        <v>0</v>
      </c>
      <c r="H307" s="93" t="n">
        <f aca="false">IFERROR(N(I162)-N(I34),0)</f>
        <v>0</v>
      </c>
      <c r="I307" s="93" t="n">
        <f aca="false">IFERROR(N(J162)-N(J34),0)</f>
        <v>0</v>
      </c>
      <c r="J307" s="93" t="n">
        <f aca="false">IFERROR(N(K162)-N(K34),0)</f>
        <v>0</v>
      </c>
      <c r="K307" s="93" t="n">
        <f aca="false">IFERROR(N(L162)-N(L34),0)</f>
        <v>0</v>
      </c>
      <c r="L307" s="93" t="n">
        <f aca="false">IFERROR(N(M162)-N(M34),0)</f>
        <v>0</v>
      </c>
      <c r="M307" s="93" t="n">
        <f aca="false">IFERROR(N(N162)-N(N34),0)</f>
        <v>0</v>
      </c>
      <c r="N307" s="93" t="n">
        <f aca="false">IFERROR(N(O162)-N(O34),0)</f>
        <v>0</v>
      </c>
      <c r="O307" s="93" t="n">
        <f aca="false">IFERROR(N(P162)-N(P34),0)</f>
        <v>0</v>
      </c>
      <c r="P307" s="94" t="str">
        <f aca="false">IF(AND(ABS(C307)&lt;=1,ABS(D307)&lt;=0.001,ABS(E307)&lt;=0.001,ABS(F307)&lt;=0.0005,ABS(G307)&lt;=0.01,ABS(H307)&lt;=0.01,ABS(I307)&lt;=0.0005,ABS(J307)&lt;=0.0005,ABS(K307)&lt;=0.0005,ABS(L307)&lt;=0.0005,ABS(M307)&lt;=0.0005,ABS(N307)&lt;=0.0005,ABS(O307)&lt;=0.0005),"PASS","FAIL")</f>
        <v>PASS</v>
      </c>
    </row>
    <row r="308" customFormat="false" ht="14.25" hidden="false" customHeight="false" outlineLevel="0" collapsed="false">
      <c r="B308" s="7" t="s">
        <v>182</v>
      </c>
      <c r="C308" s="84" t="n">
        <f aca="false">IFERROR(N(E172)-N(E34),0)</f>
        <v>0</v>
      </c>
      <c r="D308" s="93" t="n">
        <f aca="false">IFERROR(N(C172)-N(C34),0)</f>
        <v>0</v>
      </c>
      <c r="E308" s="93" t="n">
        <f aca="false">IFERROR(N(D172)-N(D34),0)</f>
        <v>0</v>
      </c>
      <c r="F308" s="93" t="n">
        <f aca="false">IFERROR(N(G172)-N(G34),0)</f>
        <v>0</v>
      </c>
      <c r="G308" s="93" t="n">
        <f aca="false">IFERROR(N(H172)-N(H34),0)</f>
        <v>0</v>
      </c>
      <c r="H308" s="93" t="n">
        <f aca="false">IFERROR(N(I172)-N(I34),0)</f>
        <v>0</v>
      </c>
      <c r="I308" s="93" t="n">
        <f aca="false">IFERROR(N(J172)-N(J34),0)</f>
        <v>0</v>
      </c>
      <c r="J308" s="93" t="n">
        <f aca="false">IFERROR(N(K172)-N(K34),0)</f>
        <v>0</v>
      </c>
      <c r="K308" s="93" t="n">
        <f aca="false">IFERROR(N(L172)-N(L34),0)</f>
        <v>0</v>
      </c>
      <c r="L308" s="93" t="n">
        <f aca="false">IFERROR(N(M172)-N(M34),0)</f>
        <v>0</v>
      </c>
      <c r="M308" s="93" t="n">
        <f aca="false">IFERROR(N(N172)-N(N34),0)</f>
        <v>0</v>
      </c>
      <c r="N308" s="93" t="n">
        <f aca="false">IFERROR(N(O172)-N(O34),0)</f>
        <v>0</v>
      </c>
      <c r="O308" s="93" t="n">
        <f aca="false">IFERROR(N(P172)-N(P34),0)</f>
        <v>0</v>
      </c>
      <c r="P308" s="94" t="str">
        <f aca="false">IF(AND(ABS(C308)&lt;=1,ABS(D308)&lt;=0.001,ABS(E308)&lt;=0.001,ABS(F308)&lt;=0.0005,ABS(G308)&lt;=0.01,ABS(H308)&lt;=0.01,ABS(I308)&lt;=0.0005,ABS(J308)&lt;=0.0005,ABS(K308)&lt;=0.0005,ABS(L308)&lt;=0.0005,ABS(M308)&lt;=0.0005,ABS(N308)&lt;=0.0005,ABS(O308)&lt;=0.0005),"PASS","FAIL")</f>
        <v>PASS</v>
      </c>
    </row>
    <row r="309" customFormat="false" ht="14.25" hidden="false" customHeight="false" outlineLevel="0" collapsed="false">
      <c r="B309" s="7" t="s">
        <v>160</v>
      </c>
      <c r="C309" s="84" t="n">
        <f aca="false">IFERROR(N(E182)-N(E34),0)</f>
        <v>0</v>
      </c>
      <c r="D309" s="93" t="n">
        <f aca="false">IFERROR(N(C182)-N(C34),0)</f>
        <v>0</v>
      </c>
      <c r="E309" s="93" t="n">
        <f aca="false">IFERROR(N(D182)-N(D34),0)</f>
        <v>0</v>
      </c>
      <c r="F309" s="93" t="n">
        <f aca="false">IFERROR(N(G182)-N(G34),0)</f>
        <v>0</v>
      </c>
      <c r="G309" s="93" t="n">
        <f aca="false">IFERROR(N(H182)-N(H34),0)</f>
        <v>0</v>
      </c>
      <c r="H309" s="93" t="n">
        <f aca="false">IFERROR(N(I182)-N(I34),0)</f>
        <v>0</v>
      </c>
      <c r="I309" s="93" t="n">
        <f aca="false">IFERROR(N(J182)-N(J34),0)</f>
        <v>0</v>
      </c>
      <c r="J309" s="93" t="n">
        <f aca="false">IFERROR(N(K182)-N(K34),0)</f>
        <v>0</v>
      </c>
      <c r="K309" s="93" t="n">
        <f aca="false">IFERROR(N(L182)-N(L34),0)</f>
        <v>0</v>
      </c>
      <c r="L309" s="93" t="n">
        <f aca="false">IFERROR(N(M182)-N(M34),0)</f>
        <v>0</v>
      </c>
      <c r="M309" s="93" t="n">
        <f aca="false">IFERROR(N(N182)-N(N34),0)</f>
        <v>0</v>
      </c>
      <c r="N309" s="93" t="n">
        <f aca="false">IFERROR(N(O182)-N(O34),0)</f>
        <v>0</v>
      </c>
      <c r="O309" s="93" t="n">
        <f aca="false">IFERROR(N(P182)-N(P34),0)</f>
        <v>0</v>
      </c>
      <c r="P309" s="94" t="str">
        <f aca="false">IF(AND(ABS(C309)&lt;=1,ABS(D309)&lt;=0.001,ABS(E309)&lt;=0.001,ABS(F309)&lt;=0.0005,ABS(G309)&lt;=0.01,ABS(H309)&lt;=0.01,ABS(I309)&lt;=0.0005,ABS(J309)&lt;=0.0005,ABS(K309)&lt;=0.0005,ABS(L309)&lt;=0.0005,ABS(M309)&lt;=0.0005,ABS(N309)&lt;=0.0005,ABS(O309)&lt;=0.0005),"PASS","FAIL")</f>
        <v>PASS</v>
      </c>
    </row>
    <row r="310" customFormat="false" ht="14.25" hidden="false" customHeight="false" outlineLevel="0" collapsed="false">
      <c r="B310" s="7" t="s">
        <v>518</v>
      </c>
      <c r="C310" s="84" t="n">
        <f aca="false">IFERROR(N(E191)-N(E34),0)</f>
        <v>0</v>
      </c>
      <c r="D310" s="93" t="n">
        <f aca="false">IFERROR(N(C191)-N(C34),0)</f>
        <v>0</v>
      </c>
      <c r="E310" s="93" t="n">
        <f aca="false">IFERROR(N(D191)-N(D34),0)</f>
        <v>0</v>
      </c>
      <c r="F310" s="93" t="n">
        <f aca="false">IFERROR(N(G191)-N(G34),0)</f>
        <v>0</v>
      </c>
      <c r="G310" s="93" t="n">
        <f aca="false">IFERROR(N(H191)-N(H34),0)</f>
        <v>0</v>
      </c>
      <c r="H310" s="93" t="n">
        <f aca="false">IFERROR(N(I191)-N(I34),0)</f>
        <v>0</v>
      </c>
      <c r="I310" s="93" t="n">
        <f aca="false">IFERROR(N(J191)-N(J34),0)</f>
        <v>0</v>
      </c>
      <c r="J310" s="93" t="n">
        <f aca="false">IFERROR(N(K191)-N(K34),0)</f>
        <v>0</v>
      </c>
      <c r="K310" s="93" t="n">
        <f aca="false">IFERROR(N(L191)-N(L34),0)</f>
        <v>0</v>
      </c>
      <c r="L310" s="93" t="n">
        <f aca="false">IFERROR(N(M191)-N(M34),0)</f>
        <v>0</v>
      </c>
      <c r="M310" s="93" t="n">
        <f aca="false">IFERROR(N(N191)-N(N34),0)</f>
        <v>0</v>
      </c>
      <c r="N310" s="93" t="n">
        <f aca="false">IFERROR(N(O191)-N(O34),0)</f>
        <v>0</v>
      </c>
      <c r="O310" s="93" t="n">
        <f aca="false">IFERROR(N(P191)-N(P34),0)</f>
        <v>0</v>
      </c>
      <c r="P310" s="94" t="str">
        <f aca="false">IF(AND(ABS(C310)&lt;=1,ABS(D310)&lt;=0.001,ABS(E310)&lt;=0.001,ABS(F310)&lt;=0.0005,ABS(G310)&lt;=0.01,ABS(H310)&lt;=0.01,ABS(I310)&lt;=0.0005,ABS(J310)&lt;=0.0005,ABS(K310)&lt;=0.0005,ABS(L310)&lt;=0.0005,ABS(M310)&lt;=0.0005,ABS(N310)&lt;=0.0005,ABS(O310)&lt;=0.0005),"PASS","FAIL")</f>
        <v>PASS</v>
      </c>
    </row>
    <row r="311" customFormat="false" ht="14.25" hidden="false" customHeight="false" outlineLevel="0" collapsed="false">
      <c r="B311" s="7" t="s">
        <v>519</v>
      </c>
      <c r="C311" s="84" t="n">
        <f aca="false">IFERROR(N(E200)-N(E34),0)</f>
        <v>0</v>
      </c>
      <c r="D311" s="93" t="n">
        <f aca="false">IFERROR(N(C200)-N(C34),0)</f>
        <v>0</v>
      </c>
      <c r="E311" s="93" t="n">
        <f aca="false">IFERROR(N(D200)-N(D34),0)</f>
        <v>0</v>
      </c>
      <c r="F311" s="93" t="n">
        <f aca="false">IFERROR(N(G200)-N(G34),0)</f>
        <v>0</v>
      </c>
      <c r="G311" s="93" t="n">
        <f aca="false">IFERROR(N(H200)-N(H34),0)</f>
        <v>0</v>
      </c>
      <c r="H311" s="93" t="n">
        <f aca="false">IFERROR(N(I200)-N(I34),0)</f>
        <v>0</v>
      </c>
      <c r="I311" s="93" t="n">
        <f aca="false">IFERROR(N(J200)-N(J34),0)</f>
        <v>0</v>
      </c>
      <c r="J311" s="93" t="n">
        <f aca="false">IFERROR(N(K200)-N(K34),0)</f>
        <v>0</v>
      </c>
      <c r="K311" s="93" t="n">
        <f aca="false">IFERROR(N(L200)-N(L34),0)</f>
        <v>0</v>
      </c>
      <c r="L311" s="93" t="n">
        <f aca="false">IFERROR(N(M200)-N(M34),0)</f>
        <v>0</v>
      </c>
      <c r="M311" s="93" t="n">
        <f aca="false">IFERROR(N(N200)-N(N34),0)</f>
        <v>0</v>
      </c>
      <c r="N311" s="93" t="n">
        <f aca="false">IFERROR(N(O200)-N(O34),0)</f>
        <v>0</v>
      </c>
      <c r="O311" s="93" t="n">
        <f aca="false">IFERROR(N(P200)-N(P34),0)</f>
        <v>0</v>
      </c>
      <c r="P311" s="94" t="str">
        <f aca="false">IF(AND(ABS(C311)&lt;=1,ABS(D311)&lt;=0.001,ABS(E311)&lt;=0.001,ABS(F311)&lt;=0.0005,ABS(G311)&lt;=0.01,ABS(H311)&lt;=0.01,ABS(I311)&lt;=0.0005,ABS(J311)&lt;=0.0005,ABS(K311)&lt;=0.0005,ABS(L311)&lt;=0.0005,ABS(M311)&lt;=0.0005,ABS(N311)&lt;=0.0005,ABS(O311)&lt;=0.0005),"PASS","FAIL")</f>
        <v>PASS</v>
      </c>
    </row>
    <row r="312" customFormat="false" ht="14.25" hidden="false" customHeight="false" outlineLevel="0" collapsed="false">
      <c r="B312" s="7" t="s">
        <v>520</v>
      </c>
      <c r="C312" s="84" t="n">
        <f aca="false">IFERROR(N(E209)-N(E34),0)</f>
        <v>0</v>
      </c>
      <c r="D312" s="93" t="n">
        <f aca="false">IFERROR(N(C209)-N(C34),0)</f>
        <v>0</v>
      </c>
      <c r="E312" s="93" t="n">
        <f aca="false">IFERROR(N(D209)-N(D34),0)</f>
        <v>0</v>
      </c>
      <c r="F312" s="93" t="n">
        <f aca="false">IFERROR(N(G209)-N(G34),0)</f>
        <v>0</v>
      </c>
      <c r="G312" s="93" t="n">
        <f aca="false">IFERROR(N(H209)-N(H34),0)</f>
        <v>0</v>
      </c>
      <c r="H312" s="93" t="n">
        <f aca="false">IFERROR(N(I209)-N(I34),0)</f>
        <v>0</v>
      </c>
      <c r="I312" s="93" t="n">
        <f aca="false">IFERROR(N(J209)-N(J34),0)</f>
        <v>0</v>
      </c>
      <c r="J312" s="93" t="n">
        <f aca="false">IFERROR(N(K209)-N(K34),0)</f>
        <v>0</v>
      </c>
      <c r="K312" s="93" t="n">
        <f aca="false">IFERROR(N(L209)-N(L34),0)</f>
        <v>0</v>
      </c>
      <c r="L312" s="93" t="n">
        <f aca="false">IFERROR(N(M209)-N(M34),0)</f>
        <v>0</v>
      </c>
      <c r="M312" s="93" t="n">
        <f aca="false">IFERROR(N(N209)-N(N34),0)</f>
        <v>0</v>
      </c>
      <c r="N312" s="93" t="n">
        <f aca="false">IFERROR(N(O209)-N(O34),0)</f>
        <v>0</v>
      </c>
      <c r="O312" s="93" t="n">
        <f aca="false">IFERROR(N(P209)-N(P34),0)</f>
        <v>0</v>
      </c>
      <c r="P312" s="94" t="str">
        <f aca="false">IF(AND(ABS(C312)&lt;=1,ABS(D312)&lt;=0.001,ABS(E312)&lt;=0.001,ABS(F312)&lt;=0.0005,ABS(G312)&lt;=0.01,ABS(H312)&lt;=0.01,ABS(I312)&lt;=0.0005,ABS(J312)&lt;=0.0005,ABS(K312)&lt;=0.0005,ABS(L312)&lt;=0.0005,ABS(M312)&lt;=0.0005,ABS(N312)&lt;=0.0005,ABS(O312)&lt;=0.0005),"PASS","FAIL")</f>
        <v>PASS</v>
      </c>
    </row>
    <row r="313" customFormat="false" ht="14.25" hidden="false" customHeight="false" outlineLevel="0" collapsed="false">
      <c r="B313" s="7" t="s">
        <v>521</v>
      </c>
      <c r="C313" s="84" t="n">
        <f aca="false">IFERROR(N(E218)-N(E34),0)</f>
        <v>0</v>
      </c>
      <c r="D313" s="93" t="n">
        <f aca="false">IFERROR(N(C218)-N(C34),0)</f>
        <v>0</v>
      </c>
      <c r="E313" s="93" t="n">
        <f aca="false">IFERROR(N(D218)-N(D34),0)</f>
        <v>0</v>
      </c>
      <c r="F313" s="93" t="n">
        <f aca="false">IFERROR(N(G218)-N(G34),0)</f>
        <v>0</v>
      </c>
      <c r="G313" s="93" t="n">
        <f aca="false">IFERROR(N(H218)-N(H34),0)</f>
        <v>0</v>
      </c>
      <c r="H313" s="93" t="n">
        <f aca="false">IFERROR(N(I218)-N(I34),0)</f>
        <v>0</v>
      </c>
      <c r="I313" s="93" t="n">
        <f aca="false">IFERROR(N(J218)-N(J34),0)</f>
        <v>0</v>
      </c>
      <c r="J313" s="93" t="n">
        <f aca="false">IFERROR(N(K218)-N(K34),0)</f>
        <v>0</v>
      </c>
      <c r="K313" s="93" t="n">
        <f aca="false">IFERROR(N(L218)-N(L34),0)</f>
        <v>0</v>
      </c>
      <c r="L313" s="93" t="n">
        <f aca="false">IFERROR(N(M218)-N(M34),0)</f>
        <v>0</v>
      </c>
      <c r="M313" s="93" t="n">
        <f aca="false">IFERROR(N(N218)-N(N34),0)</f>
        <v>0</v>
      </c>
      <c r="N313" s="93" t="n">
        <f aca="false">IFERROR(N(O218)-N(O34),0)</f>
        <v>0</v>
      </c>
      <c r="O313" s="93" t="n">
        <f aca="false">IFERROR(N(P218)-N(P34),0)</f>
        <v>0</v>
      </c>
      <c r="P313" s="94" t="str">
        <f aca="false">IF(AND(ABS(C313)&lt;=1,ABS(D313)&lt;=0.001,ABS(E313)&lt;=0.001,ABS(F313)&lt;=0.0005,ABS(G313)&lt;=0.01,ABS(H313)&lt;=0.01,ABS(I313)&lt;=0.0005,ABS(J313)&lt;=0.0005,ABS(K313)&lt;=0.0005,ABS(L313)&lt;=0.0005,ABS(M313)&lt;=0.0005,ABS(N313)&lt;=0.0005,ABS(O313)&lt;=0.0005),"PASS","FAIL")</f>
        <v>PASS</v>
      </c>
    </row>
    <row r="314" customFormat="false" ht="14.25" hidden="false" customHeight="false" outlineLevel="0" collapsed="false">
      <c r="B314" s="7" t="s">
        <v>522</v>
      </c>
      <c r="C314" s="84" t="n">
        <f aca="false">IFERROR(N(E226)-N(E34),0)</f>
        <v>0</v>
      </c>
      <c r="D314" s="93" t="n">
        <f aca="false">IFERROR(N(C226)-N(C34),0)</f>
        <v>0</v>
      </c>
      <c r="E314" s="93" t="n">
        <f aca="false">IFERROR(N(D226)-N(D34),0)</f>
        <v>0</v>
      </c>
      <c r="F314" s="93" t="n">
        <f aca="false">IFERROR(N(G226)-N(G34),0)</f>
        <v>0</v>
      </c>
      <c r="G314" s="93" t="n">
        <f aca="false">IFERROR(N(H226)-N(H34),0)</f>
        <v>0</v>
      </c>
      <c r="H314" s="93" t="n">
        <f aca="false">IFERROR(N(I226)-N(I34),0)</f>
        <v>0</v>
      </c>
      <c r="I314" s="93" t="n">
        <f aca="false">IFERROR(N(J226)-N(J34),0)</f>
        <v>0</v>
      </c>
      <c r="J314" s="93" t="n">
        <f aca="false">IFERROR(N(K226)-N(K34),0)</f>
        <v>0</v>
      </c>
      <c r="K314" s="93" t="n">
        <f aca="false">IFERROR(N(L226)-N(L34),0)</f>
        <v>0</v>
      </c>
      <c r="L314" s="93" t="n">
        <f aca="false">IFERROR(N(M226)-N(M34),0)</f>
        <v>0</v>
      </c>
      <c r="M314" s="93" t="n">
        <f aca="false">IFERROR(N(N226)-N(N34),0)</f>
        <v>0</v>
      </c>
      <c r="N314" s="93" t="n">
        <f aca="false">IFERROR(N(O226)-N(O34),0)</f>
        <v>0</v>
      </c>
      <c r="O314" s="93" t="n">
        <f aca="false">IFERROR(N(P226)-N(P34),0)</f>
        <v>0</v>
      </c>
      <c r="P314" s="94" t="str">
        <f aca="false">IF(AND(ABS(C314)&lt;=1,ABS(D314)&lt;=0.001,ABS(E314)&lt;=0.001,ABS(F314)&lt;=0.0005,ABS(G314)&lt;=0.01,ABS(H314)&lt;=0.01,ABS(I314)&lt;=0.0005,ABS(J314)&lt;=0.0005,ABS(K314)&lt;=0.0005,ABS(L314)&lt;=0.0005,ABS(M314)&lt;=0.0005,ABS(N314)&lt;=0.0005,ABS(O314)&lt;=0.0005),"PASS","FAIL")</f>
        <v>PASS</v>
      </c>
    </row>
    <row r="315" customFormat="false" ht="14.25" hidden="false" customHeight="false" outlineLevel="0" collapsed="false">
      <c r="B315" s="7" t="s">
        <v>523</v>
      </c>
      <c r="C315" s="84" t="n">
        <f aca="false">IFERROR(N(E234)-N(E34),0)</f>
        <v>0</v>
      </c>
      <c r="D315" s="93" t="n">
        <f aca="false">IFERROR(N(C234)-N(C34),0)</f>
        <v>0</v>
      </c>
      <c r="E315" s="93" t="n">
        <f aca="false">IFERROR(N(D234)-N(D34),0)</f>
        <v>0</v>
      </c>
      <c r="F315" s="93" t="n">
        <f aca="false">IFERROR(N(G234)-N(G34),0)</f>
        <v>0</v>
      </c>
      <c r="G315" s="93" t="n">
        <f aca="false">IFERROR(N(H234)-N(H34),0)</f>
        <v>0</v>
      </c>
      <c r="H315" s="93" t="n">
        <f aca="false">IFERROR(N(I234)-N(I34),0)</f>
        <v>0</v>
      </c>
      <c r="I315" s="93" t="n">
        <f aca="false">IFERROR(N(J234)-N(J34),0)</f>
        <v>0</v>
      </c>
      <c r="J315" s="93" t="n">
        <f aca="false">IFERROR(N(K234)-N(K34),0)</f>
        <v>0</v>
      </c>
      <c r="K315" s="93" t="n">
        <f aca="false">IFERROR(N(L234)-N(L34),0)</f>
        <v>0</v>
      </c>
      <c r="L315" s="93" t="n">
        <f aca="false">IFERROR(N(M234)-N(M34),0)</f>
        <v>0</v>
      </c>
      <c r="M315" s="93" t="n">
        <f aca="false">IFERROR(N(N234)-N(N34),0)</f>
        <v>0</v>
      </c>
      <c r="N315" s="93" t="n">
        <f aca="false">IFERROR(N(O234)-N(O34),0)</f>
        <v>0</v>
      </c>
      <c r="O315" s="93" t="n">
        <f aca="false">IFERROR(N(P234)-N(P34),0)</f>
        <v>0</v>
      </c>
      <c r="P315" s="94" t="str">
        <f aca="false">IF(AND(ABS(C315)&lt;=1,ABS(D315)&lt;=0.001,ABS(E315)&lt;=0.001,ABS(F315)&lt;=0.0005,ABS(G315)&lt;=0.01,ABS(H315)&lt;=0.01,ABS(I315)&lt;=0.0005,ABS(J315)&lt;=0.0005,ABS(K315)&lt;=0.0005,ABS(L315)&lt;=0.0005,ABS(M315)&lt;=0.0005,ABS(N315)&lt;=0.0005,ABS(O315)&lt;=0.0005),"PASS","FAIL")</f>
        <v>PASS</v>
      </c>
    </row>
    <row r="316" customFormat="false" ht="14.25" hidden="false" customHeight="false" outlineLevel="0" collapsed="false">
      <c r="B316" s="7" t="s">
        <v>524</v>
      </c>
      <c r="C316" s="84" t="n">
        <f aca="false">IFERROR(N(E243)-N(E34),0)</f>
        <v>0</v>
      </c>
      <c r="D316" s="93" t="n">
        <f aca="false">IFERROR(N(C243)-N(C34),0)</f>
        <v>0</v>
      </c>
      <c r="E316" s="93" t="n">
        <f aca="false">IFERROR(N(D243)-N(D34),0)</f>
        <v>0</v>
      </c>
      <c r="F316" s="93" t="n">
        <f aca="false">IFERROR(N(G243)-N(G34),0)</f>
        <v>0</v>
      </c>
      <c r="G316" s="93" t="n">
        <f aca="false">IFERROR(N(H243)-N(H34),0)</f>
        <v>0</v>
      </c>
      <c r="H316" s="93" t="n">
        <f aca="false">IFERROR(N(I243)-N(I34),0)</f>
        <v>0</v>
      </c>
      <c r="I316" s="93" t="n">
        <f aca="false">IFERROR(N(J243)-N(J34),0)</f>
        <v>0</v>
      </c>
      <c r="J316" s="93" t="n">
        <f aca="false">IFERROR(N(K243)-N(K34),0)</f>
        <v>0</v>
      </c>
      <c r="K316" s="93" t="n">
        <f aca="false">IFERROR(N(L243)-N(L34),0)</f>
        <v>0</v>
      </c>
      <c r="L316" s="93" t="n">
        <f aca="false">IFERROR(N(M243)-N(M34),0)</f>
        <v>0</v>
      </c>
      <c r="M316" s="93" t="n">
        <f aca="false">IFERROR(N(N243)-N(N34),0)</f>
        <v>0</v>
      </c>
      <c r="N316" s="93" t="n">
        <f aca="false">IFERROR(N(O243)-N(O34),0)</f>
        <v>0</v>
      </c>
      <c r="O316" s="93" t="n">
        <f aca="false">IFERROR(N(P243)-N(P34),0)</f>
        <v>0</v>
      </c>
      <c r="P316" s="94" t="str">
        <f aca="false">IF(AND(ABS(C316)&lt;=1,ABS(D316)&lt;=0.001,ABS(E316)&lt;=0.001,ABS(F316)&lt;=0.0005,ABS(G316)&lt;=0.01,ABS(H316)&lt;=0.01,ABS(I316)&lt;=0.0005,ABS(J316)&lt;=0.0005,ABS(K316)&lt;=0.0005,ABS(L316)&lt;=0.0005,ABS(M316)&lt;=0.0005,ABS(N316)&lt;=0.0005,ABS(O316)&lt;=0.0005),"PASS","FAIL")</f>
        <v>PASS</v>
      </c>
    </row>
    <row r="317" customFormat="false" ht="14.25" hidden="false" customHeight="false" outlineLevel="0" collapsed="false">
      <c r="B317" s="7" t="s">
        <v>525</v>
      </c>
      <c r="C317" s="84" t="n">
        <f aca="false">IFERROR(N(E252)-N(E34),0)</f>
        <v>0</v>
      </c>
      <c r="D317" s="93" t="n">
        <f aca="false">IFERROR(N(C252)-N(C34),0)</f>
        <v>0</v>
      </c>
      <c r="E317" s="93" t="n">
        <f aca="false">IFERROR(N(D252)-N(D34),0)</f>
        <v>0</v>
      </c>
      <c r="F317" s="93" t="n">
        <f aca="false">IFERROR(N(G252)-N(G34),0)</f>
        <v>0</v>
      </c>
      <c r="G317" s="93" t="n">
        <f aca="false">IFERROR(N(H252)-N(H34),0)</f>
        <v>0</v>
      </c>
      <c r="H317" s="93" t="n">
        <f aca="false">IFERROR(N(I252)-N(I34),0)</f>
        <v>0</v>
      </c>
      <c r="I317" s="93" t="n">
        <f aca="false">IFERROR(N(J252)-N(J34),0)</f>
        <v>0</v>
      </c>
      <c r="J317" s="93" t="n">
        <f aca="false">IFERROR(N(K252)-N(K34),0)</f>
        <v>0</v>
      </c>
      <c r="K317" s="93" t="n">
        <f aca="false">IFERROR(N(L252)-N(L34),0)</f>
        <v>0</v>
      </c>
      <c r="L317" s="93" t="n">
        <f aca="false">IFERROR(N(M252)-N(M34),0)</f>
        <v>0</v>
      </c>
      <c r="M317" s="93" t="n">
        <f aca="false">IFERROR(N(N252)-N(N34),0)</f>
        <v>0</v>
      </c>
      <c r="N317" s="93" t="n">
        <f aca="false">IFERROR(N(O252)-N(O34),0)</f>
        <v>0</v>
      </c>
      <c r="O317" s="93" t="n">
        <f aca="false">IFERROR(N(P252)-N(P34),0)</f>
        <v>0</v>
      </c>
      <c r="P317" s="94" t="str">
        <f aca="false">IF(AND(ABS(C317)&lt;=1,ABS(D317)&lt;=0.001,ABS(E317)&lt;=0.001,ABS(F317)&lt;=0.0005,ABS(G317)&lt;=0.01,ABS(H317)&lt;=0.01,ABS(I317)&lt;=0.0005,ABS(J317)&lt;=0.0005,ABS(K317)&lt;=0.0005,ABS(L317)&lt;=0.0005,ABS(M317)&lt;=0.0005,ABS(N317)&lt;=0.0005,ABS(O317)&lt;=0.0005),"PASS","FAIL")</f>
        <v>PASS</v>
      </c>
    </row>
    <row r="318" customFormat="false" ht="14.25" hidden="false" customHeight="false" outlineLevel="0" collapsed="false">
      <c r="B318" s="7" t="s">
        <v>526</v>
      </c>
      <c r="C318" s="84" t="n">
        <f aca="false">IFERROR(N(E262)-N(E34),0)</f>
        <v>0</v>
      </c>
      <c r="D318" s="93" t="n">
        <f aca="false">IFERROR(N(C262)-N(C34),0)</f>
        <v>0</v>
      </c>
      <c r="E318" s="93" t="n">
        <f aca="false">IFERROR(N(D262)-N(D34),0)</f>
        <v>0</v>
      </c>
      <c r="F318" s="93" t="n">
        <f aca="false">IFERROR(N(G262)-N(G34),0)</f>
        <v>0</v>
      </c>
      <c r="G318" s="93" t="n">
        <f aca="false">IFERROR(N(H262)-N(H34),0)</f>
        <v>0</v>
      </c>
      <c r="H318" s="93" t="n">
        <f aca="false">IFERROR(N(I262)-N(I34),0)</f>
        <v>0</v>
      </c>
      <c r="I318" s="93" t="n">
        <f aca="false">IFERROR(N(J262)-N(J34),0)</f>
        <v>0</v>
      </c>
      <c r="J318" s="93" t="n">
        <f aca="false">IFERROR(N(K262)-N(K34),0)</f>
        <v>0</v>
      </c>
      <c r="K318" s="93" t="n">
        <f aca="false">IFERROR(N(L262)-N(L34),0)</f>
        <v>0</v>
      </c>
      <c r="L318" s="93" t="n">
        <f aca="false">IFERROR(N(M262)-N(M34),0)</f>
        <v>0</v>
      </c>
      <c r="M318" s="93" t="n">
        <f aca="false">IFERROR(N(N262)-N(N34),0)</f>
        <v>0</v>
      </c>
      <c r="N318" s="93" t="n">
        <f aca="false">IFERROR(N(O262)-N(O34),0)</f>
        <v>0</v>
      </c>
      <c r="O318" s="93" t="n">
        <f aca="false">IFERROR(N(P262)-N(P34),0)</f>
        <v>0</v>
      </c>
      <c r="P318" s="94" t="str">
        <f aca="false">IF(AND(ABS(C318)&lt;=1,ABS(D318)&lt;=0.001,ABS(E318)&lt;=0.001,ABS(F318)&lt;=0.0005,ABS(G318)&lt;=0.01,ABS(H318)&lt;=0.01,ABS(I318)&lt;=0.0005,ABS(J318)&lt;=0.0005,ABS(K318)&lt;=0.0005,ABS(L318)&lt;=0.0005,ABS(M318)&lt;=0.0005,ABS(N318)&lt;=0.0005,ABS(O318)&lt;=0.0005),"PASS","FAIL")</f>
        <v>PASS</v>
      </c>
    </row>
    <row r="319" customFormat="false" ht="14.25" hidden="false" customHeight="false" outlineLevel="0" collapsed="false">
      <c r="B319" s="7" t="s">
        <v>527</v>
      </c>
      <c r="C319" s="84" t="n">
        <f aca="false">IFERROR(N(E272)-N(E34),0)</f>
        <v>0</v>
      </c>
      <c r="D319" s="93" t="n">
        <f aca="false">IFERROR(N(C272)-N(C34),0)</f>
        <v>0</v>
      </c>
      <c r="E319" s="93" t="n">
        <f aca="false">IFERROR(N(D272)-N(D34),0)</f>
        <v>0</v>
      </c>
      <c r="F319" s="93" t="n">
        <f aca="false">IFERROR(N(G272)-N(G34),0)</f>
        <v>0</v>
      </c>
      <c r="G319" s="93" t="n">
        <f aca="false">IFERROR(N(H272)-N(H34),0)</f>
        <v>0</v>
      </c>
      <c r="H319" s="93" t="n">
        <f aca="false">IFERROR(N(I272)-N(I34),0)</f>
        <v>0</v>
      </c>
      <c r="I319" s="93" t="n">
        <f aca="false">IFERROR(N(J272)-N(J34),0)</f>
        <v>0</v>
      </c>
      <c r="J319" s="93" t="n">
        <f aca="false">IFERROR(N(K272)-N(K34),0)</f>
        <v>0</v>
      </c>
      <c r="K319" s="93" t="n">
        <f aca="false">IFERROR(N(L272)-N(L34),0)</f>
        <v>0</v>
      </c>
      <c r="L319" s="93" t="n">
        <f aca="false">IFERROR(N(M272)-N(M34),0)</f>
        <v>0</v>
      </c>
      <c r="M319" s="93" t="n">
        <f aca="false">IFERROR(N(N272)-N(N34),0)</f>
        <v>0</v>
      </c>
      <c r="N319" s="93" t="n">
        <f aca="false">IFERROR(N(O272)-N(O34),0)</f>
        <v>0</v>
      </c>
      <c r="O319" s="93" t="n">
        <f aca="false">IFERROR(N(P272)-N(P34),0)</f>
        <v>0</v>
      </c>
      <c r="P319" s="94" t="str">
        <f aca="false">IF(AND(ABS(C319)&lt;=1,ABS(D319)&lt;=0.001,ABS(E319)&lt;=0.001,ABS(F319)&lt;=0.0005,ABS(G319)&lt;=0.01,ABS(H319)&lt;=0.01,ABS(I319)&lt;=0.0005,ABS(J319)&lt;=0.0005,ABS(K319)&lt;=0.0005,ABS(L319)&lt;=0.0005,ABS(M319)&lt;=0.0005,ABS(N319)&lt;=0.0005,ABS(O319)&lt;=0.0005),"PASS","FAIL")</f>
        <v>PASS</v>
      </c>
    </row>
    <row r="320" customFormat="false" ht="14.25" hidden="false" customHeight="false" outlineLevel="0" collapsed="false">
      <c r="B320" s="7" t="s">
        <v>528</v>
      </c>
      <c r="C320" s="84" t="n">
        <f aca="false">IFERROR(N(E281)-N(E34),0)</f>
        <v>0</v>
      </c>
      <c r="D320" s="93" t="n">
        <f aca="false">IFERROR(N(C281)-N(C34),0)</f>
        <v>0</v>
      </c>
      <c r="E320" s="93" t="n">
        <f aca="false">IFERROR(N(D281)-N(D34),0)</f>
        <v>0</v>
      </c>
      <c r="F320" s="93" t="n">
        <f aca="false">IFERROR(N(G281)-N(G34),0)</f>
        <v>0</v>
      </c>
      <c r="G320" s="93" t="n">
        <f aca="false">IFERROR(N(H281)-N(H34),0)</f>
        <v>0</v>
      </c>
      <c r="H320" s="93" t="n">
        <f aca="false">IFERROR(N(I281)-N(I34),0)</f>
        <v>0</v>
      </c>
      <c r="I320" s="93" t="n">
        <f aca="false">IFERROR(N(J281)-N(J34),0)</f>
        <v>0</v>
      </c>
      <c r="J320" s="93" t="n">
        <f aca="false">IFERROR(N(K281)-N(K34),0)</f>
        <v>0</v>
      </c>
      <c r="K320" s="93" t="n">
        <f aca="false">IFERROR(N(L281)-N(L34),0)</f>
        <v>0</v>
      </c>
      <c r="L320" s="93" t="n">
        <f aca="false">IFERROR(N(M281)-N(M34),0)</f>
        <v>0</v>
      </c>
      <c r="M320" s="93" t="n">
        <f aca="false">IFERROR(N(N281)-N(N34),0)</f>
        <v>0</v>
      </c>
      <c r="N320" s="93" t="n">
        <f aca="false">IFERROR(N(O281)-N(O34),0)</f>
        <v>0</v>
      </c>
      <c r="O320" s="93" t="n">
        <f aca="false">IFERROR(N(P281)-N(P34),0)</f>
        <v>0</v>
      </c>
      <c r="P320" s="94" t="str">
        <f aca="false">IF(AND(ABS(C320)&lt;=1,ABS(D320)&lt;=0.001,ABS(E320)&lt;=0.001,ABS(F320)&lt;=0.0005,ABS(G320)&lt;=0.01,ABS(H320)&lt;=0.01,ABS(I320)&lt;=0.0005,ABS(J320)&lt;=0.0005,ABS(K320)&lt;=0.0005,ABS(L320)&lt;=0.0005,ABS(M320)&lt;=0.0005,ABS(N320)&lt;=0.0005,ABS(O320)&lt;=0.0005),"PASS","FAIL")</f>
        <v>PASS</v>
      </c>
    </row>
    <row r="321" customFormat="false" ht="14.25" hidden="false" customHeight="false" outlineLevel="0" collapsed="false">
      <c r="B321" s="7" t="s">
        <v>172</v>
      </c>
      <c r="C321" s="84" t="n">
        <f aca="false">IFERROR(N(E290)-N(E34),0)</f>
        <v>0</v>
      </c>
      <c r="D321" s="93" t="n">
        <f aca="false">IFERROR(N(C290)-N(C34),0)</f>
        <v>0</v>
      </c>
      <c r="E321" s="93" t="n">
        <f aca="false">IFERROR(N(D290)-N(D34),0)</f>
        <v>0</v>
      </c>
      <c r="F321" s="93" t="n">
        <f aca="false">IFERROR(N(G290)-N(G34),0)</f>
        <v>0</v>
      </c>
      <c r="G321" s="93" t="n">
        <f aca="false">IFERROR(N(H290)-N(H34),0)</f>
        <v>0</v>
      </c>
      <c r="H321" s="93" t="n">
        <f aca="false">IFERROR(N(I290)-N(I34),0)</f>
        <v>0</v>
      </c>
      <c r="I321" s="93" t="n">
        <f aca="false">IFERROR(N(J290)-N(J34),0)</f>
        <v>0</v>
      </c>
      <c r="J321" s="93" t="n">
        <f aca="false">IFERROR(N(K290)-N(K34),0)</f>
        <v>0</v>
      </c>
      <c r="K321" s="93" t="n">
        <f aca="false">IFERROR(N(L290)-N(L34),0)</f>
        <v>0</v>
      </c>
      <c r="L321" s="93" t="n">
        <f aca="false">IFERROR(N(M290)-N(M34),0)</f>
        <v>0</v>
      </c>
      <c r="M321" s="93" t="n">
        <f aca="false">IFERROR(N(N290)-N(N34),0)</f>
        <v>0</v>
      </c>
      <c r="N321" s="93" t="n">
        <f aca="false">IFERROR(N(O290)-N(O34),0)</f>
        <v>0</v>
      </c>
      <c r="O321" s="93" t="n">
        <f aca="false">IFERROR(N(P290)-N(P34),0)</f>
        <v>0</v>
      </c>
      <c r="P321" s="94" t="str">
        <f aca="false">IF(AND(ABS(C321)&lt;=1,ABS(D321)&lt;=0.001,ABS(E321)&lt;=0.001,ABS(F321)&lt;=0.0005,ABS(G321)&lt;=0.01,ABS(H321)&lt;=0.01,ABS(I321)&lt;=0.0005,ABS(J321)&lt;=0.0005,ABS(K321)&lt;=0.0005,ABS(L321)&lt;=0.0005,ABS(M321)&lt;=0.0005,ABS(N321)&lt;=0.0005,ABS(O321)&lt;=0.0005),"PASS","FAIL")</f>
        <v>PASS</v>
      </c>
    </row>
    <row r="322" customFormat="false" ht="14.25" hidden="false" customHeight="false" outlineLevel="0" collapsed="false">
      <c r="B322" s="95" t="str">
        <f aca="false">IF(COUNTIF(P294:P321,"FAIL")=0,"ALL "&amp;COUNTA(P294:P321)&amp;" STRATS TIE OUT — NO EXCEPTIONS FLAGGED",COUNTIF(P294:P321,"FAIL")&amp;" OF "&amp;COUNTA(P294:P321)&amp;" STRATS DO NOT TIE — REVIEW FLAGGED ROWS ABOVE")</f>
        <v>ALL 28 STRATS TIE OUT — NO EXCEPTIONS FLAGGED</v>
      </c>
      <c r="C322" s="95"/>
      <c r="D322" s="95"/>
      <c r="E322" s="95"/>
      <c r="F322" s="95"/>
      <c r="G322" s="95"/>
      <c r="H322" s="95"/>
      <c r="I322" s="95"/>
      <c r="J322" s="95"/>
      <c r="K322" s="95"/>
      <c r="L322" s="95"/>
      <c r="M322" s="95"/>
      <c r="N322" s="95"/>
      <c r="O322" s="95"/>
      <c r="P322" s="95" t="str">
        <f aca="false">IF(COUNTIF(P294:P321,"FAIL")=0,"PASS","FAIL")</f>
        <v>PASS</v>
      </c>
    </row>
  </sheetData>
  <mergeCells count="33">
    <mergeCell ref="A1:P1"/>
    <mergeCell ref="B2:P2"/>
    <mergeCell ref="B15:I15"/>
    <mergeCell ref="B29:P29"/>
    <mergeCell ref="B36:P36"/>
    <mergeCell ref="B43:P43"/>
    <mergeCell ref="B63:P63"/>
    <mergeCell ref="B76:P76"/>
    <mergeCell ref="B87:P87"/>
    <mergeCell ref="B96:P96"/>
    <mergeCell ref="B104:P104"/>
    <mergeCell ref="B112:P112"/>
    <mergeCell ref="B121:P121"/>
    <mergeCell ref="B129:P129"/>
    <mergeCell ref="B136:P136"/>
    <mergeCell ref="B145:P145"/>
    <mergeCell ref="B154:P154"/>
    <mergeCell ref="B164:P164"/>
    <mergeCell ref="B174:P174"/>
    <mergeCell ref="B184:P184"/>
    <mergeCell ref="B193:P193"/>
    <mergeCell ref="B202:P202"/>
    <mergeCell ref="B211:P211"/>
    <mergeCell ref="B220:P220"/>
    <mergeCell ref="B228:P228"/>
    <mergeCell ref="B236:P236"/>
    <mergeCell ref="B245:P245"/>
    <mergeCell ref="B254:P254"/>
    <mergeCell ref="B264:P264"/>
    <mergeCell ref="B274:P274"/>
    <mergeCell ref="B283:P283"/>
    <mergeCell ref="B292:P292"/>
    <mergeCell ref="B322:O322"/>
  </mergeCells>
  <conditionalFormatting sqref="P294:P322">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B2:AD3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6" topLeftCell="C27" activePane="bottomRight" state="frozen"/>
      <selection pane="topLeft" activeCell="A1" activeCellId="0" sqref="A1"/>
      <selection pane="topRight" activeCell="C1" activeCellId="0" sqref="C1"/>
      <selection pane="bottomLeft" activeCell="A27" activeCellId="0" sqref="A2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26"/>
    <col collapsed="false" customWidth="true" hidden="false" outlineLevel="0" max="4" min="4" style="0" width="7"/>
    <col collapsed="false" customWidth="true" hidden="false" outlineLevel="0" max="5" min="5" style="0" width="13"/>
    <col collapsed="false" customWidth="true" hidden="false" outlineLevel="0" max="6" min="6" style="0" width="12"/>
    <col collapsed="false" customWidth="true" hidden="false" outlineLevel="0" max="7" min="7" style="0" width="9"/>
    <col collapsed="false" customWidth="true" hidden="false" outlineLevel="0" max="8" min="8" style="0" width="13"/>
    <col collapsed="false" customWidth="true" hidden="false" outlineLevel="0" max="9" min="9" style="0" width="11"/>
    <col collapsed="false" customWidth="true" hidden="false" outlineLevel="0" max="11" min="10" style="0" width="13"/>
    <col collapsed="false" customWidth="true" hidden="false" outlineLevel="0" max="13" min="12" style="0" width="10"/>
    <col collapsed="false" customWidth="true" hidden="false" outlineLevel="0" max="14" min="14" style="0" width="9"/>
    <col collapsed="false" customWidth="true" hidden="false" outlineLevel="0" max="16" min="15" style="0" width="13"/>
    <col collapsed="false" customWidth="true" hidden="false" outlineLevel="0" max="18" min="17" style="0" width="12"/>
    <col collapsed="false" customWidth="true" hidden="false" outlineLevel="0" max="19" min="19" style="0" width="13"/>
    <col collapsed="false" customWidth="true" hidden="false" outlineLevel="0" max="20" min="20" style="0" width="14"/>
    <col collapsed="false" customWidth="true" hidden="false" outlineLevel="0" max="21" min="21" style="0" width="13"/>
    <col collapsed="false" customWidth="true" hidden="false" outlineLevel="0" max="22" min="22" style="0" width="12"/>
    <col collapsed="false" customWidth="true" hidden="false" outlineLevel="0" max="23" min="23" style="0" width="13"/>
    <col collapsed="false" customWidth="true" hidden="false" outlineLevel="0" max="25" min="24" style="0" width="11"/>
    <col collapsed="false" customWidth="true" hidden="false" outlineLevel="0" max="28" min="26" style="0" width="13"/>
    <col collapsed="false" customWidth="true" hidden="false" outlineLevel="0" max="30" min="29" style="0" width="11"/>
  </cols>
  <sheetData>
    <row r="2" customFormat="false" ht="18" hidden="false" customHeight="true" outlineLevel="0" collapsed="false">
      <c r="B2" s="5" t="s">
        <v>534</v>
      </c>
      <c r="C2" s="5"/>
      <c r="D2" s="5"/>
      <c r="E2" s="5"/>
      <c r="F2" s="5"/>
      <c r="G2" s="5"/>
      <c r="H2" s="5"/>
      <c r="I2" s="5"/>
      <c r="J2" s="5"/>
      <c r="K2" s="5"/>
      <c r="L2" s="5"/>
      <c r="M2" s="5"/>
      <c r="N2" s="5"/>
      <c r="O2" s="5"/>
      <c r="P2" s="5"/>
      <c r="Q2" s="5"/>
      <c r="R2" s="5"/>
      <c r="S2" s="5"/>
      <c r="T2" s="5"/>
      <c r="U2" s="5"/>
      <c r="V2" s="5"/>
      <c r="W2" s="5"/>
      <c r="X2" s="5"/>
      <c r="Y2" s="5"/>
      <c r="Z2" s="5"/>
      <c r="AA2" s="5"/>
      <c r="AB2" s="5"/>
      <c r="AC2" s="5"/>
      <c r="AD2" s="5"/>
    </row>
    <row r="3" customFormat="false" ht="15" hidden="false" customHeight="false" outlineLevel="0" collapsed="false">
      <c r="B3" s="30" t="s">
        <v>535</v>
      </c>
    </row>
    <row r="5" customFormat="false" ht="15" hidden="false" customHeight="false" outlineLevel="0" collapsed="false">
      <c r="B5" s="34" t="s">
        <v>536</v>
      </c>
      <c r="C5" s="34"/>
      <c r="D5" s="34"/>
      <c r="E5" s="34"/>
      <c r="F5" s="34"/>
      <c r="G5" s="34"/>
      <c r="H5" s="34"/>
      <c r="I5" s="34"/>
      <c r="J5" s="34"/>
      <c r="K5" s="34"/>
      <c r="L5" s="34"/>
      <c r="M5" s="34"/>
    </row>
    <row r="6" customFormat="false" ht="15" hidden="false" customHeight="false" outlineLevel="0" collapsed="false">
      <c r="B6" s="31" t="s">
        <v>537</v>
      </c>
      <c r="C6" s="40" t="s">
        <v>204</v>
      </c>
      <c r="D6" s="30" t="s">
        <v>538</v>
      </c>
    </row>
    <row r="7" customFormat="false" ht="15" hidden="false" customHeight="false" outlineLevel="0" collapsed="false">
      <c r="B7" s="31" t="s">
        <v>539</v>
      </c>
      <c r="C7" s="26" t="n">
        <f aca="false">IFERROR(MATCH($C$6,'Loan Tape'!$A$4:$A$303,0),0)</f>
        <v>1</v>
      </c>
    </row>
    <row r="8" customFormat="false" ht="15" hidden="false" customHeight="false" outlineLevel="0" collapsed="false">
      <c r="B8" s="31" t="s">
        <v>149</v>
      </c>
      <c r="C8" s="7" t="str">
        <f aca="false">IFERROR(INDEX('Loan Tape'!$B$4:$B$303,$C$7),"not found")</f>
        <v>Oceanview Plaza</v>
      </c>
    </row>
    <row r="10" customFormat="false" ht="15" hidden="false" customHeight="false" outlineLevel="0" collapsed="false">
      <c r="B10" s="54" t="s">
        <v>540</v>
      </c>
      <c r="C10" s="55" t="n">
        <v>0</v>
      </c>
      <c r="D10" s="55" t="n">
        <v>1</v>
      </c>
      <c r="E10" s="55" t="n">
        <v>2</v>
      </c>
      <c r="F10" s="55" t="n">
        <v>3</v>
      </c>
      <c r="G10" s="55" t="n">
        <v>4</v>
      </c>
      <c r="H10" s="55" t="n">
        <v>5</v>
      </c>
      <c r="I10" s="55" t="n">
        <v>6</v>
      </c>
      <c r="J10" s="55" t="n">
        <v>7</v>
      </c>
      <c r="K10" s="55" t="n">
        <v>8</v>
      </c>
      <c r="L10" s="55" t="n">
        <v>9</v>
      </c>
      <c r="M10" s="55" t="n">
        <v>10</v>
      </c>
    </row>
    <row r="11" customFormat="false" ht="15" hidden="false" customHeight="false" outlineLevel="0" collapsed="false">
      <c r="B11" s="20" t="s">
        <v>541</v>
      </c>
      <c r="C11" s="99" t="n">
        <v>0</v>
      </c>
      <c r="D11" s="99" t="n">
        <f aca="false">IFERROR(INDEX('Loan CF'!$C$8:$M$307,$C$7,1),0)</f>
        <v>8155000</v>
      </c>
      <c r="E11" s="99" t="n">
        <f aca="false">IFERROR(INDEX('Loan CF'!$C$8:$M$307,$C$7,2),0)</f>
        <v>0</v>
      </c>
      <c r="F11" s="99" t="n">
        <f aca="false">IFERROR(INDEX('Loan CF'!$C$8:$M$307,$C$7,3),0)</f>
        <v>0</v>
      </c>
      <c r="G11" s="99" t="n">
        <f aca="false">IFERROR(INDEX('Loan CF'!$C$8:$M$307,$C$7,4),0)</f>
        <v>0</v>
      </c>
      <c r="H11" s="99" t="n">
        <f aca="false">IFERROR(INDEX('Loan CF'!$C$8:$M$307,$C$7,5),0)</f>
        <v>0</v>
      </c>
      <c r="I11" s="99" t="n">
        <f aca="false">IFERROR(INDEX('Loan CF'!$C$8:$M$307,$C$7,6),0)</f>
        <v>0</v>
      </c>
      <c r="J11" s="99" t="n">
        <f aca="false">IFERROR(INDEX('Loan CF'!$C$8:$M$307,$C$7,7),0)</f>
        <v>0</v>
      </c>
      <c r="K11" s="99" t="n">
        <f aca="false">IFERROR(INDEX('Loan CF'!$C$8:$M$307,$C$7,8),0)</f>
        <v>0</v>
      </c>
      <c r="L11" s="99" t="n">
        <f aca="false">IFERROR(INDEX('Loan CF'!$C$8:$M$307,$C$7,9),0)</f>
        <v>0</v>
      </c>
      <c r="M11" s="99" t="n">
        <f aca="false">IFERROR(INDEX('Loan CF'!$C$8:$M$307,$C$7,10),0)</f>
        <v>0</v>
      </c>
    </row>
    <row r="12" customFormat="false" ht="15" hidden="false" customHeight="false" outlineLevel="0" collapsed="false">
      <c r="B12" s="7" t="s">
        <v>542</v>
      </c>
      <c r="C12" s="56" t="n">
        <v>0</v>
      </c>
      <c r="D12" s="56" t="n">
        <f aca="false">IFERROR(INDEX('Loan CF'!$C$311:$L$610,$C$7,1),0)</f>
        <v>0.0823</v>
      </c>
      <c r="E12" s="56" t="n">
        <f aca="false">IFERROR(INDEX('Loan CF'!$C$311:$L$610,$C$7,2),0)</f>
        <v>0.0773</v>
      </c>
      <c r="F12" s="56" t="n">
        <f aca="false">IFERROR(INDEX('Loan CF'!$C$311:$L$610,$C$7,3),0)</f>
        <v>0.0733</v>
      </c>
      <c r="G12" s="56" t="n">
        <f aca="false">IFERROR(INDEX('Loan CF'!$C$311:$L$610,$C$7,4),0)</f>
        <v>0.0713</v>
      </c>
      <c r="H12" s="56" t="n">
        <f aca="false">IFERROR(INDEX('Loan CF'!$C$311:$L$610,$C$7,5),0)</f>
        <v>0.0703</v>
      </c>
      <c r="I12" s="56" t="n">
        <f aca="false">IFERROR(INDEX('Loan CF'!$C$311:$L$610,$C$7,6),0)</f>
        <v>0.0703</v>
      </c>
      <c r="J12" s="56" t="n">
        <f aca="false">IFERROR(INDEX('Loan CF'!$C$311:$L$610,$C$7,7),0)</f>
        <v>0.0703</v>
      </c>
      <c r="K12" s="56" t="n">
        <f aca="false">IFERROR(INDEX('Loan CF'!$C$311:$L$610,$C$7,8),0)</f>
        <v>0.0703</v>
      </c>
      <c r="L12" s="56" t="n">
        <f aca="false">IFERROR(INDEX('Loan CF'!$C$311:$L$610,$C$7,9),0)</f>
        <v>0.0703</v>
      </c>
      <c r="M12" s="56" t="n">
        <f aca="false">IFERROR(INDEX('Loan CF'!$C$311:$L$610,$C$7,10),0)</f>
        <v>0.0703</v>
      </c>
    </row>
    <row r="13" customFormat="false" ht="15" hidden="false" customHeight="false" outlineLevel="0" collapsed="false">
      <c r="B13" s="20" t="s">
        <v>543</v>
      </c>
      <c r="C13" s="99" t="n">
        <v>0</v>
      </c>
      <c r="D13" s="99" t="n">
        <f aca="false">IFERROR(INDEX('Loan CF'!$C$1826:$L$2125,$C$7,1),0)</f>
        <v>624084.165651742</v>
      </c>
      <c r="E13" s="99" t="n">
        <f aca="false">IFERROR(INDEX('Loan CF'!$C$1826:$L$2125,$C$7,2),0)</f>
        <v>0</v>
      </c>
      <c r="F13" s="99" t="n">
        <f aca="false">IFERROR(INDEX('Loan CF'!$C$1826:$L$2125,$C$7,3),0)</f>
        <v>0</v>
      </c>
      <c r="G13" s="99" t="n">
        <f aca="false">IFERROR(INDEX('Loan CF'!$C$1826:$L$2125,$C$7,4),0)</f>
        <v>0</v>
      </c>
      <c r="H13" s="99" t="n">
        <f aca="false">IFERROR(INDEX('Loan CF'!$C$1826:$L$2125,$C$7,5),0)</f>
        <v>0</v>
      </c>
      <c r="I13" s="99" t="n">
        <f aca="false">IFERROR(INDEX('Loan CF'!$C$1826:$L$2125,$C$7,6),0)</f>
        <v>0</v>
      </c>
      <c r="J13" s="99" t="n">
        <f aca="false">IFERROR(INDEX('Loan CF'!$C$1826:$L$2125,$C$7,7),0)</f>
        <v>0</v>
      </c>
      <c r="K13" s="99" t="n">
        <f aca="false">IFERROR(INDEX('Loan CF'!$C$1826:$L$2125,$C$7,8),0)</f>
        <v>0</v>
      </c>
      <c r="L13" s="99" t="n">
        <f aca="false">IFERROR(INDEX('Loan CF'!$C$1826:$L$2125,$C$7,9),0)</f>
        <v>0</v>
      </c>
      <c r="M13" s="99" t="n">
        <f aca="false">IFERROR(INDEX('Loan CF'!$C$1826:$L$2125,$C$7,10),0)</f>
        <v>0</v>
      </c>
    </row>
    <row r="14" customFormat="false" ht="15" hidden="false" customHeight="false" outlineLevel="0" collapsed="false">
      <c r="B14" s="7" t="s">
        <v>544</v>
      </c>
      <c r="C14" s="71" t="n">
        <v>0</v>
      </c>
      <c r="D14" s="71" t="n">
        <f aca="false">IFERROR(INDEX('Loan CF'!$C$917:$L$1216,$C$7,1),0)</f>
        <v>165320.640297877</v>
      </c>
      <c r="E14" s="71" t="n">
        <f aca="false">IFERROR(INDEX('Loan CF'!$C$917:$L$1216,$C$7,2),0)</f>
        <v>0</v>
      </c>
      <c r="F14" s="71" t="n">
        <f aca="false">IFERROR(INDEX('Loan CF'!$C$917:$L$1216,$C$7,3),0)</f>
        <v>0</v>
      </c>
      <c r="G14" s="71" t="n">
        <f aca="false">IFERROR(INDEX('Loan CF'!$C$917:$L$1216,$C$7,4),0)</f>
        <v>0</v>
      </c>
      <c r="H14" s="71" t="n">
        <f aca="false">IFERROR(INDEX('Loan CF'!$C$917:$L$1216,$C$7,5),0)</f>
        <v>0</v>
      </c>
      <c r="I14" s="71" t="n">
        <f aca="false">IFERROR(INDEX('Loan CF'!$C$917:$L$1216,$C$7,6),0)</f>
        <v>0</v>
      </c>
      <c r="J14" s="71" t="n">
        <f aca="false">IFERROR(INDEX('Loan CF'!$C$917:$L$1216,$C$7,7),0)</f>
        <v>0</v>
      </c>
      <c r="K14" s="71" t="n">
        <f aca="false">IFERROR(INDEX('Loan CF'!$C$917:$L$1216,$C$7,8),0)</f>
        <v>0</v>
      </c>
      <c r="L14" s="71" t="n">
        <f aca="false">IFERROR(INDEX('Loan CF'!$C$917:$L$1216,$C$7,9),0)</f>
        <v>0</v>
      </c>
      <c r="M14" s="71" t="n">
        <f aca="false">IFERROR(INDEX('Loan CF'!$C$917:$L$1216,$C$7,10),0)</f>
        <v>0</v>
      </c>
    </row>
    <row r="15" customFormat="false" ht="15" hidden="false" customHeight="false" outlineLevel="0" collapsed="false">
      <c r="B15" s="20" t="s">
        <v>545</v>
      </c>
      <c r="C15" s="99" t="n">
        <v>0</v>
      </c>
      <c r="D15" s="99" t="n">
        <f aca="false">IFERROR(INDEX('Loan CF'!$C$1220:$L$1519,$C$7,1),0)</f>
        <v>815500</v>
      </c>
      <c r="E15" s="99" t="n">
        <f aca="false">IFERROR(INDEX('Loan CF'!$C$1220:$L$1519,$C$7,2),0)</f>
        <v>0</v>
      </c>
      <c r="F15" s="99" t="n">
        <f aca="false">IFERROR(INDEX('Loan CF'!$C$1220:$L$1519,$C$7,3),0)</f>
        <v>0</v>
      </c>
      <c r="G15" s="99" t="n">
        <f aca="false">IFERROR(INDEX('Loan CF'!$C$1220:$L$1519,$C$7,4),0)</f>
        <v>0</v>
      </c>
      <c r="H15" s="99" t="n">
        <f aca="false">IFERROR(INDEX('Loan CF'!$C$1220:$L$1519,$C$7,5),0)</f>
        <v>0</v>
      </c>
      <c r="I15" s="99" t="n">
        <f aca="false">IFERROR(INDEX('Loan CF'!$C$1220:$L$1519,$C$7,6),0)</f>
        <v>0</v>
      </c>
      <c r="J15" s="99" t="n">
        <f aca="false">IFERROR(INDEX('Loan CF'!$C$1220:$L$1519,$C$7,7),0)</f>
        <v>0</v>
      </c>
      <c r="K15" s="99" t="n">
        <f aca="false">IFERROR(INDEX('Loan CF'!$C$1220:$L$1519,$C$7,8),0)</f>
        <v>0</v>
      </c>
      <c r="L15" s="99" t="n">
        <f aca="false">IFERROR(INDEX('Loan CF'!$C$1220:$L$1519,$C$7,9),0)</f>
        <v>0</v>
      </c>
      <c r="M15" s="99" t="n">
        <f aca="false">IFERROR(INDEX('Loan CF'!$C$1220:$L$1519,$C$7,10),0)</f>
        <v>0</v>
      </c>
    </row>
    <row r="16" customFormat="false" ht="15" hidden="false" customHeight="false" outlineLevel="0" collapsed="false">
      <c r="B16" s="7" t="s">
        <v>546</v>
      </c>
      <c r="C16" s="71" t="n">
        <v>0</v>
      </c>
      <c r="D16" s="71" t="n">
        <f aca="false">IFERROR(INDEX('Loan CF'!$C$1523:$L$1822,$C$7,1),0)</f>
        <v>7011079.35970212</v>
      </c>
      <c r="E16" s="71" t="n">
        <f aca="false">IFERROR(INDEX('Loan CF'!$C$1523:$L$1822,$C$7,2),0)</f>
        <v>0</v>
      </c>
      <c r="F16" s="71" t="n">
        <f aca="false">IFERROR(INDEX('Loan CF'!$C$1523:$L$1822,$C$7,3),0)</f>
        <v>0</v>
      </c>
      <c r="G16" s="71" t="n">
        <f aca="false">IFERROR(INDEX('Loan CF'!$C$1523:$L$1822,$C$7,4),0)</f>
        <v>0</v>
      </c>
      <c r="H16" s="71" t="n">
        <f aca="false">IFERROR(INDEX('Loan CF'!$C$1523:$L$1822,$C$7,5),0)</f>
        <v>0</v>
      </c>
      <c r="I16" s="71" t="n">
        <f aca="false">IFERROR(INDEX('Loan CF'!$C$1523:$L$1822,$C$7,6),0)</f>
        <v>0</v>
      </c>
      <c r="J16" s="71" t="n">
        <f aca="false">IFERROR(INDEX('Loan CF'!$C$1523:$L$1822,$C$7,7),0)</f>
        <v>0</v>
      </c>
      <c r="K16" s="71" t="n">
        <f aca="false">IFERROR(INDEX('Loan CF'!$C$1523:$L$1822,$C$7,8),0)</f>
        <v>0</v>
      </c>
      <c r="L16" s="71" t="n">
        <f aca="false">IFERROR(INDEX('Loan CF'!$C$1523:$L$1822,$C$7,9),0)</f>
        <v>0</v>
      </c>
      <c r="M16" s="71" t="n">
        <f aca="false">IFERROR(INDEX('Loan CF'!$C$1523:$L$1822,$C$7,10),0)</f>
        <v>0</v>
      </c>
    </row>
    <row r="17" customFormat="false" ht="15" hidden="false" customHeight="false" outlineLevel="0" collapsed="false">
      <c r="B17" s="20" t="s">
        <v>547</v>
      </c>
      <c r="C17" s="99" t="n">
        <v>0</v>
      </c>
      <c r="D17" s="99" t="n">
        <f aca="false">IFERROR(INDEX('Loan CF'!$C$614:$L$913,$C$7,1),0)</f>
        <v>163100</v>
      </c>
      <c r="E17" s="99" t="n">
        <f aca="false">IFERROR(INDEX('Loan CF'!$C$614:$L$913,$C$7,2),0)</f>
        <v>0</v>
      </c>
      <c r="F17" s="99" t="n">
        <f aca="false">IFERROR(INDEX('Loan CF'!$C$614:$L$913,$C$7,3),0)</f>
        <v>0</v>
      </c>
      <c r="G17" s="99" t="n">
        <f aca="false">IFERROR(INDEX('Loan CF'!$C$614:$L$913,$C$7,4),0)</f>
        <v>0</v>
      </c>
      <c r="H17" s="99" t="n">
        <f aca="false">IFERROR(INDEX('Loan CF'!$C$614:$L$913,$C$7,5),0)</f>
        <v>0</v>
      </c>
      <c r="I17" s="99" t="n">
        <f aca="false">IFERROR(INDEX('Loan CF'!$C$614:$L$913,$C$7,6),0)</f>
        <v>0</v>
      </c>
      <c r="J17" s="99" t="n">
        <f aca="false">IFERROR(INDEX('Loan CF'!$C$614:$L$913,$C$7,7),0)</f>
        <v>0</v>
      </c>
      <c r="K17" s="99" t="n">
        <f aca="false">IFERROR(INDEX('Loan CF'!$C$614:$L$913,$C$7,8),0)</f>
        <v>0</v>
      </c>
      <c r="L17" s="99" t="n">
        <f aca="false">IFERROR(INDEX('Loan CF'!$C$614:$L$913,$C$7,9),0)</f>
        <v>0</v>
      </c>
      <c r="M17" s="99" t="n">
        <f aca="false">IFERROR(INDEX('Loan CF'!$C$614:$L$913,$C$7,10),0)</f>
        <v>0</v>
      </c>
    </row>
    <row r="18" customFormat="false" ht="15" hidden="false" customHeight="false" outlineLevel="0" collapsed="false">
      <c r="B18" s="7" t="s">
        <v>548</v>
      </c>
      <c r="C18" s="71" t="n">
        <v>0</v>
      </c>
      <c r="D18" s="71" t="n">
        <f aca="false">IFERROR(INDEX('Loan CF'!$C$2129:$L$2428,$C$7,1),0)</f>
        <v>0</v>
      </c>
      <c r="E18" s="71" t="n">
        <f aca="false">IFERROR(INDEX('Loan CF'!$C$2129:$L$2428,$C$7,2),0)</f>
        <v>114170</v>
      </c>
      <c r="F18" s="71" t="n">
        <f aca="false">IFERROR(INDEX('Loan CF'!$C$2129:$L$2428,$C$7,3),0)</f>
        <v>0</v>
      </c>
      <c r="G18" s="71" t="n">
        <f aca="false">IFERROR(INDEX('Loan CF'!$C$2129:$L$2428,$C$7,4),0)</f>
        <v>0</v>
      </c>
      <c r="H18" s="71" t="n">
        <f aca="false">IFERROR(INDEX('Loan CF'!$C$2129:$L$2428,$C$7,5),0)</f>
        <v>0</v>
      </c>
      <c r="I18" s="71" t="n">
        <f aca="false">IFERROR(INDEX('Loan CF'!$C$2129:$L$2428,$C$7,6),0)</f>
        <v>0</v>
      </c>
      <c r="J18" s="71" t="n">
        <f aca="false">IFERROR(INDEX('Loan CF'!$C$2129:$L$2428,$C$7,7),0)</f>
        <v>0</v>
      </c>
      <c r="K18" s="71" t="n">
        <f aca="false">IFERROR(INDEX('Loan CF'!$C$2129:$L$2428,$C$7,8),0)</f>
        <v>0</v>
      </c>
      <c r="L18" s="71" t="n">
        <f aca="false">IFERROR(INDEX('Loan CF'!$C$2129:$L$2428,$C$7,9),0)</f>
        <v>0</v>
      </c>
      <c r="M18" s="71" t="n">
        <f aca="false">IFERROR(INDEX('Loan CF'!$C$2129:$L$2428,$C$7,10),0)</f>
        <v>0</v>
      </c>
    </row>
    <row r="19" customFormat="false" ht="15" hidden="false" customHeight="false" outlineLevel="0" collapsed="false">
      <c r="B19" s="31" t="s">
        <v>549</v>
      </c>
      <c r="C19" s="100" t="n">
        <f aca="false">IFERROR(INDEX('Loan CF'!$C$2735:$M$3034,$C$7,1),0)</f>
        <v>-7735425.25</v>
      </c>
      <c r="D19" s="100" t="n">
        <f aca="false">IFERROR(INDEX('Loan CF'!$C$2735:$M$3034,$C$7,2),0)</f>
        <v>8624139.16565174</v>
      </c>
      <c r="E19" s="100" t="n">
        <f aca="false">IFERROR(INDEX('Loan CF'!$C$2735:$M$3034,$C$7,3),0)</f>
        <v>114170</v>
      </c>
      <c r="F19" s="100" t="n">
        <f aca="false">IFERROR(INDEX('Loan CF'!$C$2735:$M$3034,$C$7,4),0)</f>
        <v>0</v>
      </c>
      <c r="G19" s="100" t="n">
        <f aca="false">IFERROR(INDEX('Loan CF'!$C$2735:$M$3034,$C$7,5),0)</f>
        <v>0</v>
      </c>
      <c r="H19" s="100" t="n">
        <f aca="false">IFERROR(INDEX('Loan CF'!$C$2735:$M$3034,$C$7,6),0)</f>
        <v>0</v>
      </c>
      <c r="I19" s="100" t="n">
        <f aca="false">IFERROR(INDEX('Loan CF'!$C$2735:$M$3034,$C$7,7),0)</f>
        <v>0</v>
      </c>
      <c r="J19" s="100" t="n">
        <f aca="false">IFERROR(INDEX('Loan CF'!$C$2735:$M$3034,$C$7,8),0)</f>
        <v>0</v>
      </c>
      <c r="K19" s="100" t="n">
        <f aca="false">IFERROR(INDEX('Loan CF'!$C$2735:$M$3034,$C$7,9),0)</f>
        <v>0</v>
      </c>
      <c r="L19" s="100" t="n">
        <f aca="false">IFERROR(INDEX('Loan CF'!$C$2735:$M$3034,$C$7,10),0)</f>
        <v>0</v>
      </c>
      <c r="M19" s="100" t="n">
        <f aca="false">IFERROR(INDEX('Loan CF'!$C$2735:$M$3034,$C$7,11),0)</f>
        <v>0</v>
      </c>
    </row>
    <row r="20" customFormat="false" ht="15" hidden="false" customHeight="false" outlineLevel="0" collapsed="false">
      <c r="B20" s="7" t="s">
        <v>550</v>
      </c>
      <c r="C20" s="71" t="n">
        <v>0</v>
      </c>
      <c r="D20" s="71" t="n">
        <f aca="false">IFERROR(INDEX('Loan CF'!$C$3038:$M$3337,$C$7,1),0)</f>
        <v>4599420</v>
      </c>
      <c r="E20" s="71" t="n">
        <f aca="false">IFERROR(INDEX('Loan CF'!$C$3038:$M$3337,$C$7,2),0)</f>
        <v>0</v>
      </c>
      <c r="F20" s="71" t="n">
        <f aca="false">IFERROR(INDEX('Loan CF'!$C$3038:$M$3337,$C$7,3),0)</f>
        <v>0</v>
      </c>
      <c r="G20" s="71" t="n">
        <f aca="false">IFERROR(INDEX('Loan CF'!$C$3038:$M$3337,$C$7,4),0)</f>
        <v>0</v>
      </c>
      <c r="H20" s="71" t="n">
        <f aca="false">IFERROR(INDEX('Loan CF'!$C$3038:$M$3337,$C$7,5),0)</f>
        <v>0</v>
      </c>
      <c r="I20" s="71" t="n">
        <f aca="false">IFERROR(INDEX('Loan CF'!$C$3038:$M$3337,$C$7,6),0)</f>
        <v>0</v>
      </c>
      <c r="J20" s="71" t="n">
        <f aca="false">IFERROR(INDEX('Loan CF'!$C$3038:$M$3337,$C$7,7),0)</f>
        <v>0</v>
      </c>
      <c r="K20" s="71" t="n">
        <f aca="false">IFERROR(INDEX('Loan CF'!$C$3038:$M$3337,$C$7,8),0)</f>
        <v>0</v>
      </c>
      <c r="L20" s="71" t="n">
        <f aca="false">IFERROR(INDEX('Loan CF'!$C$3038:$M$3337,$C$7,9),0)</f>
        <v>0</v>
      </c>
      <c r="M20" s="71" t="n">
        <f aca="false">IFERROR(INDEX('Loan CF'!$C$3038:$M$3337,$C$7,10),0)</f>
        <v>0</v>
      </c>
    </row>
    <row r="21" customFormat="false" ht="15" hidden="false" customHeight="false" outlineLevel="0" collapsed="false">
      <c r="B21" s="20" t="s">
        <v>551</v>
      </c>
      <c r="C21" s="99" t="n">
        <v>0</v>
      </c>
      <c r="D21" s="99" t="n">
        <f aca="false">IFERROR(INDEX('Loan CF'!$C$3341:$L$3640,$C$7,1),0)</f>
        <v>4599420</v>
      </c>
      <c r="E21" s="99" t="n">
        <f aca="false">IFERROR(INDEX('Loan CF'!$C$3341:$L$3640,$C$7,2),0)</f>
        <v>0</v>
      </c>
      <c r="F21" s="99" t="n">
        <f aca="false">IFERROR(INDEX('Loan CF'!$C$3341:$L$3640,$C$7,3),0)</f>
        <v>0</v>
      </c>
      <c r="G21" s="99" t="n">
        <f aca="false">IFERROR(INDEX('Loan CF'!$C$3341:$L$3640,$C$7,4),0)</f>
        <v>0</v>
      </c>
      <c r="H21" s="99" t="n">
        <f aca="false">IFERROR(INDEX('Loan CF'!$C$3341:$L$3640,$C$7,5),0)</f>
        <v>0</v>
      </c>
      <c r="I21" s="99" t="n">
        <f aca="false">IFERROR(INDEX('Loan CF'!$C$3341:$L$3640,$C$7,6),0)</f>
        <v>0</v>
      </c>
      <c r="J21" s="99" t="n">
        <f aca="false">IFERROR(INDEX('Loan CF'!$C$3341:$L$3640,$C$7,7),0)</f>
        <v>0</v>
      </c>
      <c r="K21" s="99" t="n">
        <f aca="false">IFERROR(INDEX('Loan CF'!$C$3341:$L$3640,$C$7,8),0)</f>
        <v>0</v>
      </c>
      <c r="L21" s="99" t="n">
        <f aca="false">IFERROR(INDEX('Loan CF'!$C$3341:$L$3640,$C$7,9),0)</f>
        <v>0</v>
      </c>
      <c r="M21" s="99" t="n">
        <f aca="false">IFERROR(INDEX('Loan CF'!$C$3341:$L$3640,$C$7,10),0)</f>
        <v>0</v>
      </c>
    </row>
    <row r="22" customFormat="false" ht="15" hidden="false" customHeight="false" outlineLevel="0" collapsed="false">
      <c r="B22" s="25" t="s">
        <v>552</v>
      </c>
      <c r="C22" s="101" t="n">
        <f aca="false">IFERROR(INDEX('Loan CF'!$C$3644:$M$3943,$C$7,1),0)</f>
        <v>-3159002.35</v>
      </c>
      <c r="D22" s="101" t="n">
        <f aca="false">IFERROR(INDEX('Loan CF'!$C$3644:$M$3943,$C$7,2),0)</f>
        <v>3852240.91565174</v>
      </c>
      <c r="E22" s="101" t="n">
        <f aca="false">IFERROR(INDEX('Loan CF'!$C$3644:$M$3943,$C$7,3),0)</f>
        <v>114170</v>
      </c>
      <c r="F22" s="101" t="n">
        <f aca="false">IFERROR(INDEX('Loan CF'!$C$3644:$M$3943,$C$7,4),0)</f>
        <v>0</v>
      </c>
      <c r="G22" s="101" t="n">
        <f aca="false">IFERROR(INDEX('Loan CF'!$C$3644:$M$3943,$C$7,5),0)</f>
        <v>0</v>
      </c>
      <c r="H22" s="101" t="n">
        <f aca="false">IFERROR(INDEX('Loan CF'!$C$3644:$M$3943,$C$7,6),0)</f>
        <v>0</v>
      </c>
      <c r="I22" s="101" t="n">
        <f aca="false">IFERROR(INDEX('Loan CF'!$C$3644:$M$3943,$C$7,7),0)</f>
        <v>0</v>
      </c>
      <c r="J22" s="101" t="n">
        <f aca="false">IFERROR(INDEX('Loan CF'!$C$3644:$M$3943,$C$7,8),0)</f>
        <v>0</v>
      </c>
      <c r="K22" s="101" t="n">
        <f aca="false">IFERROR(INDEX('Loan CF'!$C$3644:$M$3943,$C$7,9),0)</f>
        <v>0</v>
      </c>
      <c r="L22" s="101" t="n">
        <f aca="false">IFERROR(INDEX('Loan CF'!$C$3644:$M$3943,$C$7,10),0)</f>
        <v>0</v>
      </c>
      <c r="M22" s="101" t="n">
        <f aca="false">IFERROR(INDEX('Loan CF'!$C$3644:$M$3943,$C$7,11),0)</f>
        <v>0</v>
      </c>
    </row>
    <row r="23" customFormat="false" ht="15" hidden="false" customHeight="false" outlineLevel="0" collapsed="false">
      <c r="B23" s="31" t="s">
        <v>553</v>
      </c>
      <c r="C23" s="71" t="n">
        <f aca="false">IFERROR(INDEX('Loan CF'!$C$2432:$C$2731,$C$7,1),0)</f>
        <v>0</v>
      </c>
      <c r="D23" s="30" t="s">
        <v>554</v>
      </c>
    </row>
    <row r="25" customFormat="false" ht="15" hidden="false" customHeight="false" outlineLevel="0" collapsed="false">
      <c r="B25" s="34" t="s">
        <v>555</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row>
    <row r="26" customFormat="false" ht="27.75" hidden="false" customHeight="true" outlineLevel="0" collapsed="false">
      <c r="B26" s="8" t="s">
        <v>148</v>
      </c>
      <c r="C26" s="9" t="s">
        <v>149</v>
      </c>
      <c r="D26" s="9" t="s">
        <v>150</v>
      </c>
      <c r="E26" s="9" t="s">
        <v>151</v>
      </c>
      <c r="F26" s="9" t="s">
        <v>152</v>
      </c>
      <c r="G26" s="9" t="s">
        <v>556</v>
      </c>
      <c r="H26" s="9" t="s">
        <v>557</v>
      </c>
      <c r="I26" s="9" t="s">
        <v>75</v>
      </c>
      <c r="J26" s="9" t="s">
        <v>197</v>
      </c>
      <c r="K26" s="9" t="s">
        <v>200</v>
      </c>
      <c r="L26" s="9" t="s">
        <v>558</v>
      </c>
      <c r="M26" s="9" t="s">
        <v>191</v>
      </c>
      <c r="N26" s="9" t="s">
        <v>559</v>
      </c>
      <c r="O26" s="9" t="s">
        <v>560</v>
      </c>
      <c r="P26" s="9" t="s">
        <v>561</v>
      </c>
      <c r="Q26" s="9" t="s">
        <v>562</v>
      </c>
      <c r="R26" s="9" t="s">
        <v>563</v>
      </c>
      <c r="S26" s="9" t="s">
        <v>564</v>
      </c>
      <c r="T26" s="9" t="s">
        <v>565</v>
      </c>
      <c r="U26" s="9" t="s">
        <v>566</v>
      </c>
      <c r="V26" s="9" t="s">
        <v>567</v>
      </c>
      <c r="W26" s="9" t="s">
        <v>568</v>
      </c>
      <c r="X26" s="9" t="s">
        <v>569</v>
      </c>
      <c r="Y26" s="9" t="s">
        <v>570</v>
      </c>
      <c r="Z26" s="9" t="s">
        <v>201</v>
      </c>
      <c r="AA26" s="9" t="s">
        <v>203</v>
      </c>
      <c r="AB26" s="9" t="s">
        <v>571</v>
      </c>
      <c r="AC26" s="9" t="s">
        <v>572</v>
      </c>
      <c r="AD26" s="9" t="s">
        <v>573</v>
      </c>
    </row>
    <row r="27" customFormat="false" ht="15" hidden="false" customHeight="false" outlineLevel="0" collapsed="false">
      <c r="B27" s="102" t="str">
        <f aca="false">IF('Loan Tape'!$A4="","",'Loan Tape'!$A4)</f>
        <v>L-001</v>
      </c>
      <c r="C27" s="102" t="str">
        <f aca="false">IF('Loan Tape'!$A4="","",'Loan Tape'!$B4)</f>
        <v>Oceanview Plaza</v>
      </c>
      <c r="D27" s="102" t="str">
        <f aca="false">IF('Loan Tape'!$A4="","",'Loan Tape'!$C4)</f>
        <v>TX</v>
      </c>
      <c r="E27" s="102" t="str">
        <f aca="false">IF('Loan Tape'!$A4="","",'Loan Tape'!$D4)</f>
        <v>Retail</v>
      </c>
      <c r="F27" s="102" t="str">
        <f aca="false">IF('Loan Tape'!$A4="","",'Loan Tape'!$E4)</f>
        <v>Deal 4</v>
      </c>
      <c r="G27" s="103" t="n">
        <f aca="false">'Loan Tape'!$AN4</f>
        <v>1</v>
      </c>
      <c r="H27" s="99" t="n">
        <f aca="false">'Loan Tape'!$R4*'Loan Tape'!$AN4</f>
        <v>8155000</v>
      </c>
      <c r="I27" s="104" t="n">
        <f aca="false">'Loan Tape'!$AO4</f>
        <v>0.94</v>
      </c>
      <c r="J27" s="99" t="n">
        <f aca="false">'Loan Tape'!$AY4</f>
        <v>7665700</v>
      </c>
      <c r="K27" s="99" t="n">
        <f aca="false">'Loan Tape'!$BB4</f>
        <v>7735425.25</v>
      </c>
      <c r="L27" s="104" t="n">
        <f aca="false">'Loan CF'!C311</f>
        <v>0.0823</v>
      </c>
      <c r="M27" s="105" t="n">
        <f aca="false">'Loan Tape'!$AS4*'Loan Tape'!$AN4</f>
        <v>1</v>
      </c>
      <c r="N27" s="105" t="n">
        <f aca="false">IFERROR(SUMPRODUCT(('Loan CF'!$C$916:$L$916-0.5)*('Loan CF'!C917:L917+'Loan CF'!C1220:L1220+'Loan CF'!C1523:L1523))/(SUM('Loan CF'!C917:L917)+SUM('Loan CF'!C1220:L1220)+SUM('Loan CF'!C1523:L1523)),0)</f>
        <v>0.5</v>
      </c>
      <c r="O27" s="99" t="n">
        <f aca="false">SUM('Loan CF'!C1826:L1826)</f>
        <v>624084.165651742</v>
      </c>
      <c r="P27" s="99" t="n">
        <f aca="false">SUM('Loan CF'!C917:L917)+SUM('Loan CF'!C1220:L1220)+SUM('Loan CF'!C1523:L1523)</f>
        <v>7991900</v>
      </c>
      <c r="Q27" s="99" t="n">
        <f aca="false">SUM('Loan CF'!C2129:L2129)</f>
        <v>114170</v>
      </c>
      <c r="R27" s="99" t="n">
        <f aca="false">SUM('Loan CF'!C1220:L1220)*Prepay_Pen</f>
        <v>8155</v>
      </c>
      <c r="S27" s="99" t="n">
        <f aca="false">'Loan CF'!$C2432</f>
        <v>0</v>
      </c>
      <c r="T27" s="99" t="n">
        <f aca="false">SUM(O27:S27)</f>
        <v>8738309.16565174</v>
      </c>
      <c r="U27" s="99" t="n">
        <f aca="false">SUM('Loan CF'!C614:L614)</f>
        <v>163100</v>
      </c>
      <c r="V27" s="99" t="n">
        <f aca="false">U27*Sev</f>
        <v>48930</v>
      </c>
      <c r="W27" s="99" t="n">
        <f aca="false">T27-K27</f>
        <v>1002883.91565174</v>
      </c>
      <c r="X27" s="106" t="n">
        <f aca="false">IFERROR(IRR('Loan CF'!C2735:M2735),"-")</f>
        <v>0.127973677543705</v>
      </c>
      <c r="Y27" s="107" t="n">
        <f aca="false">IFERROR(T27/K27,"-")</f>
        <v>1.12964819428017</v>
      </c>
      <c r="Z27" s="99" t="n">
        <f aca="false">'Loan Tape'!$BC4</f>
        <v>4599420</v>
      </c>
      <c r="AA27" s="99" t="n">
        <f aca="false">'Loan Tape'!$BE4</f>
        <v>3159002.35</v>
      </c>
      <c r="AB27" s="99" t="n">
        <f aca="false">SUM('Loan CF'!D3644:M3644)-AA27</f>
        <v>807408.565651743</v>
      </c>
      <c r="AC27" s="106" t="n">
        <f aca="false">IFERROR(IRR('Loan CF'!C3644:M3644),"-")</f>
        <v>0.248398589787493</v>
      </c>
      <c r="AD27" s="107" t="n">
        <f aca="false">IFERROR(SUM('Loan CF'!D3644:M3644)/AA27,"-")</f>
        <v>1.25558973251531</v>
      </c>
    </row>
    <row r="28" customFormat="false" ht="15" hidden="false" customHeight="false" outlineLevel="0" collapsed="false">
      <c r="B28" s="108" t="str">
        <f aca="false">IF('Loan Tape'!$A5="","",'Loan Tape'!$A5)</f>
        <v>L-002</v>
      </c>
      <c r="C28" s="108" t="str">
        <f aca="false">IF('Loan Tape'!$A5="","",'Loan Tape'!$B5)</f>
        <v>Chandler Resort</v>
      </c>
      <c r="D28" s="108" t="str">
        <f aca="false">IF('Loan Tape'!$A5="","",'Loan Tape'!$C5)</f>
        <v>FL</v>
      </c>
      <c r="E28" s="108" t="str">
        <f aca="false">IF('Loan Tape'!$A5="","",'Loan Tape'!$D5)</f>
        <v>Hotel</v>
      </c>
      <c r="F28" s="108" t="str">
        <f aca="false">IF('Loan Tape'!$A5="","",'Loan Tape'!$E5)</f>
        <v>Deal 6</v>
      </c>
      <c r="G28" s="26" t="n">
        <f aca="false">'Loan Tape'!$AN5</f>
        <v>1</v>
      </c>
      <c r="H28" s="71" t="n">
        <f aca="false">'Loan Tape'!$R5*'Loan Tape'!$AN5</f>
        <v>10687000</v>
      </c>
      <c r="I28" s="56" t="n">
        <f aca="false">'Loan Tape'!$AO5</f>
        <v>0.94</v>
      </c>
      <c r="J28" s="71" t="n">
        <f aca="false">'Loan Tape'!$AY5</f>
        <v>10045780</v>
      </c>
      <c r="K28" s="71" t="n">
        <f aca="false">'Loan Tape'!$BB5</f>
        <v>10137153.85</v>
      </c>
      <c r="L28" s="56" t="n">
        <f aca="false">'Loan CF'!C312</f>
        <v>0.0674</v>
      </c>
      <c r="M28" s="70" t="n">
        <f aca="false">'Loan Tape'!$AS5*'Loan Tape'!$AN5</f>
        <v>1.7501711156742</v>
      </c>
      <c r="N28" s="70" t="n">
        <f aca="false">IFERROR(SUMPRODUCT(('Loan CF'!$C$916:$L$916-0.5)*('Loan CF'!C918:L918+'Loan CF'!C1221:L1221+'Loan CF'!C1524:L1524))/(SUM('Loan CF'!C918:L918)+SUM('Loan CF'!C1221:L1221)+SUM('Loan CF'!C1524:L1524)),0)</f>
        <v>1.37232724952176</v>
      </c>
      <c r="O28" s="71" t="n">
        <f aca="false">SUM('Loan CF'!C1827:L1827)</f>
        <v>1073480.93781972</v>
      </c>
      <c r="P28" s="71" t="n">
        <f aca="false">SUM('Loan CF'!C918:L918)+SUM('Loan CF'!C1221:L1221)+SUM('Loan CF'!C1524:L1524)</f>
        <v>10335924.0110686</v>
      </c>
      <c r="Q28" s="71" t="n">
        <f aca="false">SUM('Loan CF'!C2130:L2130)</f>
        <v>245753.192251982</v>
      </c>
      <c r="R28" s="71" t="n">
        <f aca="false">SUM('Loan CF'!C1221:L1221)*Prepay_Pen</f>
        <v>17553.7994465702</v>
      </c>
      <c r="S28" s="71" t="n">
        <f aca="false">'Loan CF'!$C2433</f>
        <v>0</v>
      </c>
      <c r="T28" s="71" t="n">
        <f aca="false">SUM(O28:S28)</f>
        <v>11672711.9405869</v>
      </c>
      <c r="U28" s="71" t="n">
        <f aca="false">SUM('Loan CF'!C615:L615)</f>
        <v>351075.988931404</v>
      </c>
      <c r="V28" s="71" t="n">
        <f aca="false">U28*Sev</f>
        <v>105322.796679421</v>
      </c>
      <c r="W28" s="71" t="n">
        <f aca="false">T28-K28</f>
        <v>1535558.09058687</v>
      </c>
      <c r="X28" s="109" t="n">
        <f aca="false">IFERROR(IRR('Loan CF'!C2736:M2736),"-")</f>
        <v>0.0800765330311959</v>
      </c>
      <c r="Y28" s="110" t="n">
        <f aca="false">IFERROR(T28/K28,"-")</f>
        <v>1.15147822685821</v>
      </c>
      <c r="Z28" s="71" t="n">
        <f aca="false">'Loan Tape'!$BC5</f>
        <v>6027468</v>
      </c>
      <c r="AA28" s="71" t="n">
        <f aca="false">'Loan Tape'!$BE5</f>
        <v>4139823.19</v>
      </c>
      <c r="AB28" s="71" t="n">
        <f aca="false">SUM('Loan CF'!D3645:M3645)-AA28</f>
        <v>961610.680274703</v>
      </c>
      <c r="AC28" s="109" t="n">
        <f aca="false">IFERROR(IRR('Loan CF'!C3645:M3645),"-")</f>
        <v>0.112702012283106</v>
      </c>
      <c r="AD28" s="110" t="n">
        <f aca="false">IFERROR(SUM('Loan CF'!D3645:M3645)/AA28,"-")</f>
        <v>1.23228303145833</v>
      </c>
    </row>
    <row r="29" customFormat="false" ht="15" hidden="false" customHeight="false" outlineLevel="0" collapsed="false">
      <c r="B29" s="102" t="str">
        <f aca="false">IF('Loan Tape'!$A6="","",'Loan Tape'!$A6)</f>
        <v>L-003</v>
      </c>
      <c r="C29" s="102" t="str">
        <f aca="false">IF('Loan Tape'!$A6="","",'Loan Tape'!$B6)</f>
        <v>Deerfield Terrace</v>
      </c>
      <c r="D29" s="102" t="str">
        <f aca="false">IF('Loan Tape'!$A6="","",'Loan Tape'!$C6)</f>
        <v>CO</v>
      </c>
      <c r="E29" s="102" t="str">
        <f aca="false">IF('Loan Tape'!$A6="","",'Loan Tape'!$D6)</f>
        <v>Multifamily</v>
      </c>
      <c r="F29" s="102" t="str">
        <f aca="false">IF('Loan Tape'!$A6="","",'Loan Tape'!$E6)</f>
        <v>Deal 7</v>
      </c>
      <c r="G29" s="103" t="n">
        <f aca="false">'Loan Tape'!$AN6</f>
        <v>1</v>
      </c>
      <c r="H29" s="99" t="n">
        <f aca="false">'Loan Tape'!$R6*'Loan Tape'!$AN6</f>
        <v>119229000</v>
      </c>
      <c r="I29" s="104" t="n">
        <f aca="false">'Loan Tape'!$AO6</f>
        <v>0.94</v>
      </c>
      <c r="J29" s="99" t="n">
        <f aca="false">'Loan Tape'!$AY6</f>
        <v>112075260</v>
      </c>
      <c r="K29" s="99" t="n">
        <f aca="false">'Loan Tape'!$BB6</f>
        <v>113094667.95</v>
      </c>
      <c r="L29" s="104" t="n">
        <f aca="false">'Loan CF'!C313</f>
        <v>0.0834</v>
      </c>
      <c r="M29" s="105" t="n">
        <f aca="false">'Loan Tape'!$AS6*'Loan Tape'!$AN6</f>
        <v>3.6694045174538</v>
      </c>
      <c r="N29" s="105" t="n">
        <f aca="false">IFERROR(SUMPRODUCT(('Loan CF'!$C$916:$L$916-0.5)*('Loan CF'!C919:L919+'Loan CF'!C1222:L1222+'Loan CF'!C1525:L1525))/(SUM('Loan CF'!C919:L919)+SUM('Loan CF'!C1222:L1222)+SUM('Loan CF'!C1525:L1525)),0)</f>
        <v>2.83656367990092</v>
      </c>
      <c r="O29" s="99" t="n">
        <f aca="false">SUM('Loan CF'!C1828:L1828)</f>
        <v>26633242.6002522</v>
      </c>
      <c r="P29" s="99" t="n">
        <f aca="false">SUM('Loan CF'!C919:L919)+SUM('Loan CF'!C1222:L1222)+SUM('Loan CF'!C1525:L1525)</f>
        <v>111948971.629922</v>
      </c>
      <c r="Q29" s="99" t="n">
        <f aca="false">SUM('Loan CF'!C2131:L2131)</f>
        <v>5096019.85905491</v>
      </c>
      <c r="R29" s="99" t="n">
        <f aca="false">SUM('Loan CF'!C1222:L1222)*Prepay_Pen</f>
        <v>364001.418503922</v>
      </c>
      <c r="S29" s="99" t="n">
        <f aca="false">'Loan CF'!$C2434</f>
        <v>0</v>
      </c>
      <c r="T29" s="99" t="n">
        <f aca="false">SUM(O29:S29)</f>
        <v>144042235.507733</v>
      </c>
      <c r="U29" s="99" t="n">
        <f aca="false">SUM('Loan CF'!C616:L616)</f>
        <v>7280028.37007844</v>
      </c>
      <c r="V29" s="99" t="n">
        <f aca="false">U29*Sev</f>
        <v>2184008.51102353</v>
      </c>
      <c r="W29" s="99" t="n">
        <f aca="false">T29-K29</f>
        <v>30947567.5577326</v>
      </c>
      <c r="X29" s="106" t="n">
        <f aca="false">IFERROR(IRR('Loan CF'!C2737:M2737),"-")</f>
        <v>0.0823854498623797</v>
      </c>
      <c r="Y29" s="107" t="n">
        <f aca="false">IFERROR(T29/K29,"-")</f>
        <v>1.27364302949645</v>
      </c>
      <c r="Z29" s="99" t="n">
        <f aca="false">'Loan Tape'!$BC6</f>
        <v>67245156</v>
      </c>
      <c r="AA29" s="99" t="n">
        <f aca="false">'Loan Tape'!$BE6</f>
        <v>46185737.73</v>
      </c>
      <c r="AB29" s="99" t="n">
        <f aca="false">SUM('Loan CF'!D3646:M3646)-AA29</f>
        <v>20203955.0792245</v>
      </c>
      <c r="AC29" s="106" t="n">
        <f aca="false">IFERROR(IRR('Loan CF'!C3646:M3646),"-")</f>
        <v>0.10823120259166</v>
      </c>
      <c r="AD29" s="107" t="n">
        <f aca="false">IFERROR(SUM('Loan CF'!D3646:M3646)/AA29,"-")</f>
        <v>1.43745008897197</v>
      </c>
    </row>
    <row r="30" customFormat="false" ht="15" hidden="false" customHeight="false" outlineLevel="0" collapsed="false">
      <c r="B30" s="108" t="str">
        <f aca="false">IF('Loan Tape'!$A7="","",'Loan Tape'!$A7)</f>
        <v>L-004</v>
      </c>
      <c r="C30" s="108" t="str">
        <f aca="false">IF('Loan Tape'!$A7="","",'Loan Tape'!$B7)</f>
        <v>Riverwalk Plaza</v>
      </c>
      <c r="D30" s="108" t="str">
        <f aca="false">IF('Loan Tape'!$A7="","",'Loan Tape'!$C7)</f>
        <v>NV</v>
      </c>
      <c r="E30" s="108" t="str">
        <f aca="false">IF('Loan Tape'!$A7="","",'Loan Tape'!$D7)</f>
        <v>Office</v>
      </c>
      <c r="F30" s="108" t="str">
        <f aca="false">IF('Loan Tape'!$A7="","",'Loan Tape'!$E7)</f>
        <v>Deal 3</v>
      </c>
      <c r="G30" s="26" t="n">
        <f aca="false">'Loan Tape'!$AN7</f>
        <v>1</v>
      </c>
      <c r="H30" s="71" t="n">
        <f aca="false">'Loan Tape'!$R7*'Loan Tape'!$AN7</f>
        <v>46042000</v>
      </c>
      <c r="I30" s="56" t="n">
        <f aca="false">'Loan Tape'!$AO7</f>
        <v>0.94</v>
      </c>
      <c r="J30" s="71" t="n">
        <f aca="false">'Loan Tape'!$AY7</f>
        <v>43279480</v>
      </c>
      <c r="K30" s="71" t="n">
        <f aca="false">'Loan Tape'!$BB7</f>
        <v>43673139.1</v>
      </c>
      <c r="L30" s="56" t="n">
        <f aca="false">'Loan CF'!C314</f>
        <v>0.0635</v>
      </c>
      <c r="M30" s="70" t="n">
        <f aca="false">'Loan Tape'!$AS7*'Loan Tape'!$AN7</f>
        <v>1.92197125256674</v>
      </c>
      <c r="N30" s="70" t="n">
        <f aca="false">IFERROR(SUMPRODUCT(('Loan CF'!$C$916:$L$916-0.5)*('Loan CF'!C920:L920+'Loan CF'!C1223:L1223+'Loan CF'!C1526:L1526))/(SUM('Loan CF'!C920:L920)+SUM('Loan CF'!C1223:L1223)+SUM('Loan CF'!C1526:L1526)),0)</f>
        <v>1.37321542350667</v>
      </c>
      <c r="O30" s="71" t="n">
        <f aca="false">SUM('Loan CF'!C1829:L1829)</f>
        <v>4702811.18338095</v>
      </c>
      <c r="P30" s="71" t="n">
        <f aca="false">SUM('Loan CF'!C920:L920)+SUM('Loan CF'!C1223:L1223)+SUM('Loan CF'!C1526:L1526)</f>
        <v>44392935.0958713</v>
      </c>
      <c r="Q30" s="71" t="n">
        <f aca="false">SUM('Loan CF'!C2132:L2132)</f>
        <v>1154345.43289009</v>
      </c>
      <c r="R30" s="71" t="n">
        <f aca="false">SUM('Loan CF'!C1223:L1223)*Prepay_Pen</f>
        <v>82453.2452064348</v>
      </c>
      <c r="S30" s="71" t="n">
        <f aca="false">'Loan CF'!$C2435</f>
        <v>0</v>
      </c>
      <c r="T30" s="71" t="n">
        <f aca="false">SUM(O30:S30)</f>
        <v>50332544.9573488</v>
      </c>
      <c r="U30" s="71" t="n">
        <f aca="false">SUM('Loan CF'!C617:L617)</f>
        <v>1649064.9041287</v>
      </c>
      <c r="V30" s="71" t="n">
        <f aca="false">U30*Sev</f>
        <v>494719.471238609</v>
      </c>
      <c r="W30" s="71" t="n">
        <f aca="false">T30-K30</f>
        <v>6659405.85734879</v>
      </c>
      <c r="X30" s="109" t="n">
        <f aca="false">IFERROR(IRR('Loan CF'!C2738:M2738),"-")</f>
        <v>0.0802968347172849</v>
      </c>
      <c r="Y30" s="110" t="n">
        <f aca="false">IFERROR(T30/K30,"-")</f>
        <v>1.1524828760786</v>
      </c>
      <c r="Z30" s="71" t="n">
        <f aca="false">'Loan Tape'!$BC7</f>
        <v>25967688</v>
      </c>
      <c r="AA30" s="71" t="n">
        <f aca="false">'Loan Tape'!$BE7</f>
        <v>17835289.54</v>
      </c>
      <c r="AB30" s="71" t="n">
        <f aca="false">SUM('Loan CF'!D3647:M3647)-AA30</f>
        <v>4182873.09194005</v>
      </c>
      <c r="AC30" s="109" t="n">
        <f aca="false">IFERROR(IRR('Loan CF'!C3647:M3647),"-")</f>
        <v>0.112998729237657</v>
      </c>
      <c r="AD30" s="110" t="n">
        <f aca="false">IFERROR(SUM('Loan CF'!D3647:M3647)/AA30,"-")</f>
        <v>1.23452790505918</v>
      </c>
    </row>
    <row r="31" customFormat="false" ht="15" hidden="false" customHeight="false" outlineLevel="0" collapsed="false">
      <c r="B31" s="102" t="str">
        <f aca="false">IF('Loan Tape'!$A8="","",'Loan Tape'!$A8)</f>
        <v>L-005</v>
      </c>
      <c r="C31" s="102" t="str">
        <f aca="false">IF('Loan Tape'!$A8="","",'Loan Tape'!$B8)</f>
        <v>Pinehurst Plaza</v>
      </c>
      <c r="D31" s="102" t="str">
        <f aca="false">IF('Loan Tape'!$A8="","",'Loan Tape'!$C8)</f>
        <v>WA</v>
      </c>
      <c r="E31" s="102" t="str">
        <f aca="false">IF('Loan Tape'!$A8="","",'Loan Tape'!$D8)</f>
        <v>Retail</v>
      </c>
      <c r="F31" s="102" t="str">
        <f aca="false">IF('Loan Tape'!$A8="","",'Loan Tape'!$E8)</f>
        <v>Deal 8</v>
      </c>
      <c r="G31" s="103" t="n">
        <f aca="false">'Loan Tape'!$AN8</f>
        <v>1</v>
      </c>
      <c r="H31" s="99" t="n">
        <f aca="false">'Loan Tape'!$R8*'Loan Tape'!$AN8</f>
        <v>117696000</v>
      </c>
      <c r="I31" s="104" t="n">
        <f aca="false">'Loan Tape'!$AO8</f>
        <v>0.94</v>
      </c>
      <c r="J31" s="99" t="n">
        <f aca="false">'Loan Tape'!$AY8</f>
        <v>110634240</v>
      </c>
      <c r="K31" s="99" t="n">
        <f aca="false">'Loan Tape'!$BB8</f>
        <v>111640540.8</v>
      </c>
      <c r="L31" s="104" t="n">
        <f aca="false">'Loan CF'!C315</f>
        <v>0.0648</v>
      </c>
      <c r="M31" s="105" t="n">
        <f aca="false">'Loan Tape'!$AS8*'Loan Tape'!$AN8</f>
        <v>1</v>
      </c>
      <c r="N31" s="105" t="n">
        <f aca="false">IFERROR(SUMPRODUCT(('Loan CF'!$C$916:$L$916-0.5)*('Loan CF'!C921:L921+'Loan CF'!C1224:L1224+'Loan CF'!C1527:L1527))/(SUM('Loan CF'!C921:L921)+SUM('Loan CF'!C1224:L1224)+SUM('Loan CF'!C1527:L1527)),0)</f>
        <v>0.5</v>
      </c>
      <c r="O31" s="99" t="n">
        <f aca="false">SUM('Loan CF'!C1830:L1830)</f>
        <v>7169098.752</v>
      </c>
      <c r="P31" s="99" t="n">
        <f aca="false">SUM('Loan CF'!C921:L921)+SUM('Loan CF'!C1224:L1224)+SUM('Loan CF'!C1527:L1527)</f>
        <v>115342080</v>
      </c>
      <c r="Q31" s="99" t="n">
        <f aca="false">SUM('Loan CF'!C2133:L2133)</f>
        <v>1647744</v>
      </c>
      <c r="R31" s="99" t="n">
        <f aca="false">SUM('Loan CF'!C1224:L1224)*Prepay_Pen</f>
        <v>117696</v>
      </c>
      <c r="S31" s="99" t="n">
        <f aca="false">'Loan CF'!$C2436</f>
        <v>0</v>
      </c>
      <c r="T31" s="99" t="n">
        <f aca="false">SUM(O31:S31)</f>
        <v>124276618.752</v>
      </c>
      <c r="U31" s="99" t="n">
        <f aca="false">SUM('Loan CF'!C618:L618)</f>
        <v>2353920</v>
      </c>
      <c r="V31" s="99" t="n">
        <f aca="false">U31*Sev</f>
        <v>706176</v>
      </c>
      <c r="W31" s="99" t="n">
        <f aca="false">T31-K31</f>
        <v>12636077.952</v>
      </c>
      <c r="X31" s="106" t="n">
        <f aca="false">IFERROR(IRR('Loan CF'!C2739:M2739),"-")</f>
        <v>0.11170238627987</v>
      </c>
      <c r="Y31" s="107" t="n">
        <f aca="false">IFERROR(T31/K31,"-")</f>
        <v>1.11318538822413</v>
      </c>
      <c r="Z31" s="99" t="n">
        <f aca="false">'Loan Tape'!$BC8</f>
        <v>66380544</v>
      </c>
      <c r="AA31" s="99" t="n">
        <f aca="false">'Loan Tape'!$BE8</f>
        <v>45591899.52</v>
      </c>
      <c r="AB31" s="99" t="n">
        <f aca="false">SUM('Loan CF'!D3648:M3648)-AA31</f>
        <v>9814904.832</v>
      </c>
      <c r="AC31" s="106" t="n">
        <f aca="false">IFERROR(IRR('Loan CF'!C3648:M3648),"-")</f>
        <v>0.209028940913375</v>
      </c>
      <c r="AD31" s="107" t="n">
        <f aca="false">IFERROR(SUM('Loan CF'!D3648:M3648)/AA31,"-")</f>
        <v>1.21527738338023</v>
      </c>
    </row>
    <row r="32" customFormat="false" ht="15" hidden="false" customHeight="false" outlineLevel="0" collapsed="false">
      <c r="B32" s="108" t="str">
        <f aca="false">IF('Loan Tape'!$A9="","",'Loan Tape'!$A9)</f>
        <v>L-006</v>
      </c>
      <c r="C32" s="108" t="str">
        <f aca="false">IF('Loan Tape'!$A9="","",'Loan Tape'!$B9)</f>
        <v>Keystone Distribution Center</v>
      </c>
      <c r="D32" s="108" t="str">
        <f aca="false">IF('Loan Tape'!$A9="","",'Loan Tape'!$C9)</f>
        <v>CA</v>
      </c>
      <c r="E32" s="108" t="str">
        <f aca="false">IF('Loan Tape'!$A9="","",'Loan Tape'!$D9)</f>
        <v>Industrial</v>
      </c>
      <c r="F32" s="108" t="str">
        <f aca="false">IF('Loan Tape'!$A9="","",'Loan Tape'!$E9)</f>
        <v>Deal 1</v>
      </c>
      <c r="G32" s="26" t="n">
        <f aca="false">'Loan Tape'!$AN9</f>
        <v>1</v>
      </c>
      <c r="H32" s="71" t="n">
        <f aca="false">'Loan Tape'!$R9*'Loan Tape'!$AN9</f>
        <v>57608000</v>
      </c>
      <c r="I32" s="56" t="n">
        <f aca="false">'Loan Tape'!$AO9</f>
        <v>0.94</v>
      </c>
      <c r="J32" s="71" t="n">
        <f aca="false">'Loan Tape'!$AY9</f>
        <v>54151520</v>
      </c>
      <c r="K32" s="71" t="n">
        <f aca="false">'Loan Tape'!$BB9</f>
        <v>54644068.4</v>
      </c>
      <c r="L32" s="56" t="n">
        <f aca="false">'Loan CF'!C316</f>
        <v>0.065</v>
      </c>
      <c r="M32" s="70" t="n">
        <f aca="false">'Loan Tape'!$AS9*'Loan Tape'!$AN9</f>
        <v>1.58521560574949</v>
      </c>
      <c r="N32" s="70" t="n">
        <f aca="false">IFERROR(SUMPRODUCT(('Loan CF'!$C$916:$L$916-0.5)*('Loan CF'!C922:L922+'Loan CF'!C1225:L1225+'Loan CF'!C1528:L1528))/(SUM('Loan CF'!C922:L922)+SUM('Loan CF'!C1225:L1225)+SUM('Loan CF'!C1528:L1528)),0)</f>
        <v>1.37374031951293</v>
      </c>
      <c r="O32" s="71" t="n">
        <f aca="false">SUM('Loan CF'!C1831:L1831)</f>
        <v>5138344.75719757</v>
      </c>
      <c r="P32" s="71" t="n">
        <f aca="false">SUM('Loan CF'!C922:L922)+SUM('Loan CF'!C1225:L1225)+SUM('Loan CF'!C1528:L1528)</f>
        <v>55877638.2354721</v>
      </c>
      <c r="Q32" s="71" t="n">
        <f aca="false">SUM('Loan CF'!C2134:L2134)</f>
        <v>1211253.23516955</v>
      </c>
      <c r="R32" s="71" t="n">
        <f aca="false">SUM('Loan CF'!C1225:L1225)*Prepay_Pen</f>
        <v>86518.0882263961</v>
      </c>
      <c r="S32" s="71" t="n">
        <f aca="false">'Loan CF'!$C2437</f>
        <v>0</v>
      </c>
      <c r="T32" s="71" t="n">
        <f aca="false">SUM(O32:S32)</f>
        <v>62313754.3160656</v>
      </c>
      <c r="U32" s="71" t="n">
        <f aca="false">SUM('Loan CF'!C619:L619)</f>
        <v>1730361.76452792</v>
      </c>
      <c r="V32" s="71" t="n">
        <f aca="false">U32*Sev</f>
        <v>519108.529358377</v>
      </c>
      <c r="W32" s="71" t="n">
        <f aca="false">T32-K32</f>
        <v>7669685.91606559</v>
      </c>
      <c r="X32" s="109" t="n">
        <f aca="false">IFERROR(IRR('Loan CF'!C2740:M2740),"-")</f>
        <v>0.0743634114091804</v>
      </c>
      <c r="Y32" s="110" t="n">
        <f aca="false">IFERROR(T32/K32,"-")</f>
        <v>1.14035715386202</v>
      </c>
      <c r="Z32" s="71" t="n">
        <f aca="false">'Loan Tape'!$BC9</f>
        <v>32490912</v>
      </c>
      <c r="AA32" s="71" t="n">
        <f aca="false">'Loan Tape'!$BE9</f>
        <v>22315610.96</v>
      </c>
      <c r="AB32" s="71" t="n">
        <f aca="false">SUM('Loan CF'!D3649:M3649)-AA32</f>
        <v>4571904.35668943</v>
      </c>
      <c r="AC32" s="109" t="n">
        <f aca="false">IFERROR(IRR('Loan CF'!C3649:M3649),"-")</f>
        <v>0.0999554272786649</v>
      </c>
      <c r="AD32" s="110" t="n">
        <f aca="false">IFERROR(SUM('Loan CF'!D3649:M3649)/AA32,"-")</f>
        <v>1.20487471146922</v>
      </c>
    </row>
    <row r="33" customFormat="false" ht="15" hidden="false" customHeight="false" outlineLevel="0" collapsed="false">
      <c r="B33" s="102" t="str">
        <f aca="false">IF('Loan Tape'!$A10="","",'Loan Tape'!$A10)</f>
        <v>L-007</v>
      </c>
      <c r="C33" s="102" t="str">
        <f aca="false">IF('Loan Tape'!$A10="","",'Loan Tape'!$B10)</f>
        <v>Jasper Retail Center</v>
      </c>
      <c r="D33" s="102" t="str">
        <f aca="false">IF('Loan Tape'!$A10="","",'Loan Tape'!$C10)</f>
        <v>MD</v>
      </c>
      <c r="E33" s="102" t="str">
        <f aca="false">IF('Loan Tape'!$A10="","",'Loan Tape'!$D10)</f>
        <v>Retail</v>
      </c>
      <c r="F33" s="102" t="str">
        <f aca="false">IF('Loan Tape'!$A10="","",'Loan Tape'!$E10)</f>
        <v>Deal 3</v>
      </c>
      <c r="G33" s="103" t="n">
        <f aca="false">'Loan Tape'!$AN10</f>
        <v>1</v>
      </c>
      <c r="H33" s="99" t="n">
        <f aca="false">'Loan Tape'!$R10*'Loan Tape'!$AN10</f>
        <v>4524000</v>
      </c>
      <c r="I33" s="104" t="n">
        <f aca="false">'Loan Tape'!$AO10</f>
        <v>0.94</v>
      </c>
      <c r="J33" s="99" t="n">
        <f aca="false">'Loan Tape'!$AY10</f>
        <v>4252560</v>
      </c>
      <c r="K33" s="99" t="n">
        <f aca="false">'Loan Tape'!$BB10</f>
        <v>4291240.2</v>
      </c>
      <c r="L33" s="104" t="n">
        <f aca="false">'Loan CF'!C317</f>
        <v>0.0652</v>
      </c>
      <c r="M33" s="105" t="n">
        <f aca="false">'Loan Tape'!$AS10*'Loan Tape'!$AN10</f>
        <v>7.92128678986995</v>
      </c>
      <c r="N33" s="105" t="n">
        <f aca="false">IFERROR(SUMPRODUCT(('Loan CF'!$C$916:$L$916-0.5)*('Loan CF'!C923:L923+'Loan CF'!C1226:L1226+'Loan CF'!C1529:L1529))/(SUM('Loan CF'!C923:L923)+SUM('Loan CF'!C1226:L1226)+SUM('Loan CF'!C1529:L1529)),0)</f>
        <v>2.2461262408681</v>
      </c>
      <c r="O33" s="99" t="n">
        <f aca="false">SUM('Loan CF'!C1832:L1832)</f>
        <v>980371.810446213</v>
      </c>
      <c r="P33" s="99" t="n">
        <f aca="false">SUM('Loan CF'!C923:L923)+SUM('Loan CF'!C1226:L1226)+SUM('Loan CF'!C1529:L1529)</f>
        <v>1780450.673664</v>
      </c>
      <c r="Q33" s="99" t="n">
        <f aca="false">SUM('Loan CF'!C2135:L2135)</f>
        <v>211280.788992</v>
      </c>
      <c r="R33" s="99" t="n">
        <f aca="false">SUM('Loan CF'!C1226:L1226)*Prepay_Pen</f>
        <v>17804.50673664</v>
      </c>
      <c r="S33" s="99" t="n">
        <f aca="false">'Loan CF'!$C2438</f>
        <v>2342238.54409679</v>
      </c>
      <c r="T33" s="99" t="n">
        <f aca="false">SUM(O33:S33)</f>
        <v>5332146.32393564</v>
      </c>
      <c r="U33" s="99" t="n">
        <f aca="false">SUM('Loan CF'!C620:L620)</f>
        <v>356090.1347328</v>
      </c>
      <c r="V33" s="99" t="n">
        <f aca="false">U33*Sev</f>
        <v>106827.04041984</v>
      </c>
      <c r="W33" s="99" t="n">
        <f aca="false">T33-K33</f>
        <v>1040906.12393564</v>
      </c>
      <c r="X33" s="106" t="n">
        <f aca="false">IFERROR(IRR('Loan CF'!C2741:M2741),"-")</f>
        <v>0.0609574008076564</v>
      </c>
      <c r="Y33" s="107" t="n">
        <f aca="false">IFERROR(T33/K33,"-")</f>
        <v>1.24256533669116</v>
      </c>
      <c r="Z33" s="99" t="n">
        <f aca="false">'Loan Tape'!$BC10</f>
        <v>2551536</v>
      </c>
      <c r="AA33" s="99" t="n">
        <f aca="false">'Loan Tape'!$BE10</f>
        <v>1752461.88</v>
      </c>
      <c r="AB33" s="99" t="n">
        <f aca="false">SUM('Loan CF'!D3650:M3650)-AA33</f>
        <v>537204.506815641</v>
      </c>
      <c r="AC33" s="106" t="n">
        <f aca="false">IFERROR(IRR('Loan CF'!C3650:M3650),"-")</f>
        <v>0.0614187789836781</v>
      </c>
      <c r="AD33" s="107" t="n">
        <f aca="false">IFERROR(SUM('Loan CF'!D3650:M3650)/AA33,"-")</f>
        <v>1.30654276303895</v>
      </c>
    </row>
    <row r="34" customFormat="false" ht="15" hidden="false" customHeight="false" outlineLevel="0" collapsed="false">
      <c r="B34" s="108" t="str">
        <f aca="false">IF('Loan Tape'!$A11="","",'Loan Tape'!$A11)</f>
        <v>L-008</v>
      </c>
      <c r="C34" s="108" t="str">
        <f aca="false">IF('Loan Tape'!$A11="","",'Loan Tape'!$B11)</f>
        <v>Riverwalk Business Park</v>
      </c>
      <c r="D34" s="108" t="str">
        <f aca="false">IF('Loan Tape'!$A11="","",'Loan Tape'!$C11)</f>
        <v>FL</v>
      </c>
      <c r="E34" s="108" t="str">
        <f aca="false">IF('Loan Tape'!$A11="","",'Loan Tape'!$D11)</f>
        <v>Office</v>
      </c>
      <c r="F34" s="108" t="str">
        <f aca="false">IF('Loan Tape'!$A11="","",'Loan Tape'!$E11)</f>
        <v>Deal 2</v>
      </c>
      <c r="G34" s="26" t="n">
        <f aca="false">'Loan Tape'!$AN11</f>
        <v>1</v>
      </c>
      <c r="H34" s="71" t="n">
        <f aca="false">'Loan Tape'!$R11*'Loan Tape'!$AN11</f>
        <v>48331000</v>
      </c>
      <c r="I34" s="56" t="n">
        <f aca="false">'Loan Tape'!$AO11</f>
        <v>0.94</v>
      </c>
      <c r="J34" s="71" t="n">
        <f aca="false">'Loan Tape'!$AY11</f>
        <v>45431140</v>
      </c>
      <c r="K34" s="71" t="n">
        <f aca="false">'Loan Tape'!$BB11</f>
        <v>45844370.05</v>
      </c>
      <c r="L34" s="56" t="n">
        <f aca="false">'Loan CF'!C318</f>
        <v>0.081</v>
      </c>
      <c r="M34" s="70" t="n">
        <f aca="false">'Loan Tape'!$AS11*'Loan Tape'!$AN11</f>
        <v>3.41683778234086</v>
      </c>
      <c r="N34" s="70" t="n">
        <f aca="false">IFERROR(SUMPRODUCT(('Loan CF'!$C$916:$L$916-0.5)*('Loan CF'!C924:L924+'Loan CF'!C1227:L1227+'Loan CF'!C1530:L1530))/(SUM('Loan CF'!C924:L924)+SUM('Loan CF'!C1227:L1227)+SUM('Loan CF'!C1530:L1530)),0)</f>
        <v>2.81955122367355</v>
      </c>
      <c r="O34" s="71" t="n">
        <f aca="false">SUM('Loan CF'!C1833:L1833)</f>
        <v>9889912.31469345</v>
      </c>
      <c r="P34" s="71" t="n">
        <f aca="false">SUM('Loan CF'!C924:L924)+SUM('Loan CF'!C1227:L1227)+SUM('Loan CF'!C1530:L1530)</f>
        <v>45550949.4877655</v>
      </c>
      <c r="Q34" s="71" t="n">
        <f aca="false">SUM('Loan CF'!C2136:L2136)</f>
        <v>1946035.35856412</v>
      </c>
      <c r="R34" s="71" t="n">
        <f aca="false">SUM('Loan CF'!C1227:L1227)*Prepay_Pen</f>
        <v>139002.525611723</v>
      </c>
      <c r="S34" s="71" t="n">
        <f aca="false">'Loan CF'!$C2439</f>
        <v>0</v>
      </c>
      <c r="T34" s="71" t="n">
        <f aca="false">SUM(O34:S34)</f>
        <v>57525899.6866348</v>
      </c>
      <c r="U34" s="71" t="n">
        <f aca="false">SUM('Loan CF'!C621:L621)</f>
        <v>2780050.51223446</v>
      </c>
      <c r="V34" s="71" t="n">
        <f aca="false">U34*Sev</f>
        <v>834015.153670339</v>
      </c>
      <c r="W34" s="71" t="n">
        <f aca="false">T34-K34</f>
        <v>11681529.6366348</v>
      </c>
      <c r="X34" s="109" t="n">
        <f aca="false">IFERROR(IRR('Loan CF'!C2742:M2742),"-")</f>
        <v>0.0775419684765822</v>
      </c>
      <c r="Y34" s="110" t="n">
        <f aca="false">IFERROR(T34/K34,"-")</f>
        <v>1.25480837939085</v>
      </c>
      <c r="Z34" s="71" t="n">
        <f aca="false">'Loan Tape'!$BC11</f>
        <v>27258684</v>
      </c>
      <c r="AA34" s="71" t="n">
        <f aca="false">'Loan Tape'!$BE11</f>
        <v>18721979.47</v>
      </c>
      <c r="AB34" s="71" t="n">
        <f aca="false">SUM('Loan CF'!D3651:M3651)-AA34</f>
        <v>7381759.96039933</v>
      </c>
      <c r="AC34" s="109" t="n">
        <f aca="false">IFERROR(IRR('Loan CF'!C3651:M3651),"-")</f>
        <v>0.0983723181547097</v>
      </c>
      <c r="AD34" s="110" t="n">
        <f aca="false">IFERROR(SUM('Loan CF'!D3651:M3651)/AA34,"-")</f>
        <v>1.39428309235291</v>
      </c>
    </row>
    <row r="35" customFormat="false" ht="15" hidden="false" customHeight="false" outlineLevel="0" collapsed="false">
      <c r="B35" s="102" t="str">
        <f aca="false">IF('Loan Tape'!$A12="","",'Loan Tape'!$A12)</f>
        <v>L-009</v>
      </c>
      <c r="C35" s="102" t="str">
        <f aca="false">IF('Loan Tape'!$A12="","",'Loan Tape'!$B12)</f>
        <v>Quarry Commons</v>
      </c>
      <c r="D35" s="102" t="str">
        <f aca="false">IF('Loan Tape'!$A12="","",'Loan Tape'!$C12)</f>
        <v>CO</v>
      </c>
      <c r="E35" s="102" t="str">
        <f aca="false">IF('Loan Tape'!$A12="","",'Loan Tape'!$D12)</f>
        <v>Multifamily</v>
      </c>
      <c r="F35" s="102" t="str">
        <f aca="false">IF('Loan Tape'!$A12="","",'Loan Tape'!$E12)</f>
        <v>Deal 5</v>
      </c>
      <c r="G35" s="103" t="n">
        <f aca="false">'Loan Tape'!$AN12</f>
        <v>1</v>
      </c>
      <c r="H35" s="99" t="n">
        <f aca="false">'Loan Tape'!$R12*'Loan Tape'!$AN12</f>
        <v>16415000</v>
      </c>
      <c r="I35" s="104" t="n">
        <f aca="false">'Loan Tape'!$AO12</f>
        <v>0.94</v>
      </c>
      <c r="J35" s="99" t="n">
        <f aca="false">'Loan Tape'!$AY12</f>
        <v>15430100</v>
      </c>
      <c r="K35" s="99" t="n">
        <f aca="false">'Loan Tape'!$BB12</f>
        <v>15570448.25</v>
      </c>
      <c r="L35" s="104" t="n">
        <f aca="false">'Loan CF'!C319</f>
        <v>0.0479</v>
      </c>
      <c r="M35" s="105" t="n">
        <f aca="false">'Loan Tape'!$AS12*'Loan Tape'!$AN12</f>
        <v>7.25530458590007</v>
      </c>
      <c r="N35" s="105" t="n">
        <f aca="false">IFERROR(SUMPRODUCT(('Loan CF'!$C$916:$L$916-0.5)*('Loan CF'!C925:L925+'Loan CF'!C1228:L1228+'Loan CF'!C1531:L1531))/(SUM('Loan CF'!C925:L925)+SUM('Loan CF'!C1228:L1228)+SUM('Loan CF'!C1531:L1531)),0)</f>
        <v>2.35335587620993</v>
      </c>
      <c r="O35" s="99" t="n">
        <f aca="false">SUM('Loan CF'!C1834:L1834)</f>
        <v>2864140.63153911</v>
      </c>
      <c r="P35" s="99" t="n">
        <f aca="false">SUM('Loan CF'!C925:L925)+SUM('Loan CF'!C1228:L1228)+SUM('Loan CF'!C1531:L1531)</f>
        <v>7078033.63463915</v>
      </c>
      <c r="Q35" s="99" t="n">
        <f aca="false">SUM('Loan CF'!C2137:L2137)</f>
        <v>763786.480503964</v>
      </c>
      <c r="R35" s="99" t="n">
        <f aca="false">SUM('Loan CF'!C1228:L1228)*Prepay_Pen</f>
        <v>63972.9136266363</v>
      </c>
      <c r="S35" s="99" t="n">
        <f aca="false">'Loan CF'!$C2440</f>
        <v>7908538.24606201</v>
      </c>
      <c r="T35" s="99" t="n">
        <f aca="false">SUM(O35:S35)</f>
        <v>18678471.9063709</v>
      </c>
      <c r="U35" s="99" t="n">
        <f aca="false">SUM('Loan CF'!C622:L622)</f>
        <v>1279458.27253273</v>
      </c>
      <c r="V35" s="99" t="n">
        <f aca="false">U35*Sev</f>
        <v>383837.481759818</v>
      </c>
      <c r="W35" s="99" t="n">
        <f aca="false">T35-K35</f>
        <v>3108023.65637087</v>
      </c>
      <c r="X35" s="106" t="n">
        <f aca="false">IFERROR(IRR('Loan CF'!C2743:M2743),"-")</f>
        <v>0.0503469408741202</v>
      </c>
      <c r="Y35" s="107" t="n">
        <f aca="false">IFERROR(T35/K35,"-")</f>
        <v>1.19961041624931</v>
      </c>
      <c r="Z35" s="99" t="n">
        <f aca="false">'Loan Tape'!$BC12</f>
        <v>9258060</v>
      </c>
      <c r="AA35" s="99" t="n">
        <f aca="false">'Loan Tape'!$BE12</f>
        <v>6358678.55</v>
      </c>
      <c r="AB35" s="99" t="n">
        <f aca="false">SUM('Loan CF'!D3652:M3652)-AA35</f>
        <v>1330248.5137957</v>
      </c>
      <c r="AC35" s="106" t="n">
        <f aca="false">IFERROR(IRR('Loan CF'!C3652:M3652),"-")</f>
        <v>0.0411591119217467</v>
      </c>
      <c r="AD35" s="107" t="n">
        <f aca="false">IFERROR(SUM('Loan CF'!D3652:M3652)/AA35,"-")</f>
        <v>1.20920203833793</v>
      </c>
    </row>
    <row r="36" customFormat="false" ht="15" hidden="false" customHeight="false" outlineLevel="0" collapsed="false">
      <c r="B36" s="108" t="str">
        <f aca="false">IF('Loan Tape'!$A13="","",'Loan Tape'!$A13)</f>
        <v>L-010</v>
      </c>
      <c r="C36" s="108" t="str">
        <f aca="false">IF('Loan Tape'!$A13="","",'Loan Tape'!$B13)</f>
        <v>Brookstone Landing</v>
      </c>
      <c r="D36" s="108" t="str">
        <f aca="false">IF('Loan Tape'!$A13="","",'Loan Tape'!$C13)</f>
        <v>NC</v>
      </c>
      <c r="E36" s="108" t="str">
        <f aca="false">IF('Loan Tape'!$A13="","",'Loan Tape'!$D13)</f>
        <v>Multifamily</v>
      </c>
      <c r="F36" s="108" t="str">
        <f aca="false">IF('Loan Tape'!$A13="","",'Loan Tape'!$E13)</f>
        <v>Deal 1</v>
      </c>
      <c r="G36" s="26" t="n">
        <f aca="false">'Loan Tape'!$AN13</f>
        <v>1</v>
      </c>
      <c r="H36" s="71" t="n">
        <f aca="false">'Loan Tape'!$R13*'Loan Tape'!$AN13</f>
        <v>45056000</v>
      </c>
      <c r="I36" s="56" t="n">
        <f aca="false">'Loan Tape'!$AO13</f>
        <v>0.94</v>
      </c>
      <c r="J36" s="71" t="n">
        <f aca="false">'Loan Tape'!$AY13</f>
        <v>42352640</v>
      </c>
      <c r="K36" s="71" t="n">
        <f aca="false">'Loan Tape'!$BB13</f>
        <v>42737868.8</v>
      </c>
      <c r="L36" s="56" t="n">
        <f aca="false">'Loan CF'!C320</f>
        <v>0.0647</v>
      </c>
      <c r="M36" s="70" t="n">
        <f aca="false">'Loan Tape'!$AS13*'Loan Tape'!$AN13</f>
        <v>1</v>
      </c>
      <c r="N36" s="70" t="n">
        <f aca="false">IFERROR(SUMPRODUCT(('Loan CF'!$C$916:$L$916-0.5)*('Loan CF'!C926:L926+'Loan CF'!C1229:L1229+'Loan CF'!C1532:L1532))/(SUM('Loan CF'!C926:L926)+SUM('Loan CF'!C1229:L1229)+SUM('Loan CF'!C1532:L1532)),0)</f>
        <v>0.5</v>
      </c>
      <c r="O36" s="71" t="n">
        <f aca="false">SUM('Loan CF'!C1835:L1835)</f>
        <v>2708923.24798386</v>
      </c>
      <c r="P36" s="71" t="n">
        <f aca="false">SUM('Loan CF'!C926:L926)+SUM('Loan CF'!C1229:L1229)+SUM('Loan CF'!C1532:L1532)</f>
        <v>44154880</v>
      </c>
      <c r="Q36" s="71" t="n">
        <f aca="false">SUM('Loan CF'!C2138:L2138)</f>
        <v>630784</v>
      </c>
      <c r="R36" s="71" t="n">
        <f aca="false">SUM('Loan CF'!C1229:L1229)*Prepay_Pen</f>
        <v>45056</v>
      </c>
      <c r="S36" s="71" t="n">
        <f aca="false">'Loan CF'!$C2441</f>
        <v>0</v>
      </c>
      <c r="T36" s="71" t="n">
        <f aca="false">SUM(O36:S36)</f>
        <v>47539643.2479839</v>
      </c>
      <c r="U36" s="71" t="n">
        <f aca="false">SUM('Loan CF'!C623:L623)</f>
        <v>901120</v>
      </c>
      <c r="V36" s="71" t="n">
        <f aca="false">U36*Sev</f>
        <v>270336</v>
      </c>
      <c r="W36" s="71" t="n">
        <f aca="false">T36-K36</f>
        <v>4801774.44798386</v>
      </c>
      <c r="X36" s="109" t="n">
        <f aca="false">IFERROR(IRR('Loan CF'!C2744:M2744),"-")</f>
        <v>0.110880907830388</v>
      </c>
      <c r="Y36" s="110" t="n">
        <f aca="false">IFERROR(T36/K36,"-")</f>
        <v>1.1123540921157</v>
      </c>
      <c r="Z36" s="71" t="n">
        <f aca="false">'Loan Tape'!$BC13</f>
        <v>25411584</v>
      </c>
      <c r="AA36" s="71" t="n">
        <f aca="false">'Loan Tape'!$BE13</f>
        <v>17453342.72</v>
      </c>
      <c r="AB36" s="71" t="n">
        <f aca="false">SUM('Loan CF'!D3653:M3653)-AA36</f>
        <v>3721782.12798387</v>
      </c>
      <c r="AC36" s="109" t="n">
        <f aca="false">IFERROR(IRR('Loan CF'!C3653:M3653),"-")</f>
        <v>0.207042545971016</v>
      </c>
      <c r="AD36" s="110" t="n">
        <f aca="false">IFERROR(SUM('Loan CF'!D3653:M3653)/AA36,"-")</f>
        <v>1.21324179486369</v>
      </c>
    </row>
    <row r="37" customFormat="false" ht="15" hidden="false" customHeight="false" outlineLevel="0" collapsed="false">
      <c r="B37" s="102" t="str">
        <f aca="false">IF('Loan Tape'!$A14="","",'Loan Tape'!$A14)</f>
        <v>L-011</v>
      </c>
      <c r="C37" s="102" t="str">
        <f aca="false">IF('Loan Tape'!$A14="","",'Loan Tape'!$B14)</f>
        <v>Summit Distribution Center</v>
      </c>
      <c r="D37" s="102" t="str">
        <f aca="false">IF('Loan Tape'!$A14="","",'Loan Tape'!$C14)</f>
        <v>CO</v>
      </c>
      <c r="E37" s="102" t="str">
        <f aca="false">IF('Loan Tape'!$A14="","",'Loan Tape'!$D14)</f>
        <v>Industrial</v>
      </c>
      <c r="F37" s="102" t="str">
        <f aca="false">IF('Loan Tape'!$A14="","",'Loan Tape'!$E14)</f>
        <v>Deal 5</v>
      </c>
      <c r="G37" s="103" t="n">
        <f aca="false">'Loan Tape'!$AN14</f>
        <v>1</v>
      </c>
      <c r="H37" s="99" t="n">
        <f aca="false">'Loan Tape'!$R14*'Loan Tape'!$AN14</f>
        <v>27710000</v>
      </c>
      <c r="I37" s="104" t="n">
        <f aca="false">'Loan Tape'!$AO14</f>
        <v>0.94</v>
      </c>
      <c r="J37" s="99" t="n">
        <f aca="false">'Loan Tape'!$AY14</f>
        <v>26047400</v>
      </c>
      <c r="K37" s="99" t="n">
        <f aca="false">'Loan Tape'!$BB14</f>
        <v>26284320.5</v>
      </c>
      <c r="L37" s="104" t="n">
        <f aca="false">'Loan CF'!C321</f>
        <v>0.0699</v>
      </c>
      <c r="M37" s="105" t="n">
        <f aca="false">'Loan Tape'!$AS14*'Loan Tape'!$AN14</f>
        <v>6.0041067761807</v>
      </c>
      <c r="N37" s="105" t="n">
        <f aca="false">IFERROR(SUMPRODUCT(('Loan CF'!$C$916:$L$916-0.5)*('Loan CF'!C927:L927+'Loan CF'!C1230:L1230+'Loan CF'!C1533:L1533))/(SUM('Loan CF'!C927:L927)+SUM('Loan CF'!C1230:L1230)+SUM('Loan CF'!C1533:L1533)),0)</f>
        <v>2.24332492419503</v>
      </c>
      <c r="O37" s="99" t="n">
        <f aca="false">SUM('Loan CF'!C1836:L1836)</f>
        <v>6225111.46064854</v>
      </c>
      <c r="P37" s="99" t="n">
        <f aca="false">SUM('Loan CF'!C927:L927)+SUM('Loan CF'!C1230:L1230)+SUM('Loan CF'!C1533:L1533)</f>
        <v>12508242.4844256</v>
      </c>
      <c r="Q37" s="99" t="n">
        <f aca="false">SUM('Loan CF'!C2139:L2139)</f>
        <v>1262734.65186597</v>
      </c>
      <c r="R37" s="99" t="n">
        <f aca="false">SUM('Loan CF'!C1230:L1230)*Prepay_Pen</f>
        <v>105483.321806747</v>
      </c>
      <c r="S37" s="99" t="n">
        <f aca="false">'Loan CF'!$C2442</f>
        <v>12849863.5587495</v>
      </c>
      <c r="T37" s="99" t="n">
        <f aca="false">SUM(O37:S37)</f>
        <v>32951435.4774963</v>
      </c>
      <c r="U37" s="99" t="n">
        <f aca="false">SUM('Loan CF'!C624:L624)</f>
        <v>2109666.43613494</v>
      </c>
      <c r="V37" s="99" t="n">
        <f aca="false">U37*Sev</f>
        <v>632899.930840483</v>
      </c>
      <c r="W37" s="99" t="n">
        <f aca="false">T37-K37</f>
        <v>6667114.97749633</v>
      </c>
      <c r="X37" s="106" t="n">
        <f aca="false">IFERROR(IRR('Loan CF'!C2745:M2745),"-")</f>
        <v>0.0659071416429682</v>
      </c>
      <c r="Y37" s="107" t="n">
        <f aca="false">IFERROR(T37/K37,"-")</f>
        <v>1.25365369355835</v>
      </c>
      <c r="Z37" s="99" t="n">
        <f aca="false">'Loan Tape'!$BC14</f>
        <v>15628440</v>
      </c>
      <c r="AA37" s="99" t="n">
        <f aca="false">'Loan Tape'!$BE14</f>
        <v>10734022.7</v>
      </c>
      <c r="AB37" s="99" t="n">
        <f aca="false">SUM('Loan CF'!D3654:M3654)-AA37</f>
        <v>3842109.44519148</v>
      </c>
      <c r="AC37" s="106" t="n">
        <f aca="false">IFERROR(IRR('Loan CF'!C3654:M3654),"-")</f>
        <v>0.0716912358773443</v>
      </c>
      <c r="AD37" s="107" t="n">
        <f aca="false">IFERROR(SUM('Loan CF'!D3654:M3654)/AA37,"-")</f>
        <v>1.35793751816749</v>
      </c>
    </row>
    <row r="38" customFormat="false" ht="15" hidden="false" customHeight="false" outlineLevel="0" collapsed="false">
      <c r="B38" s="108" t="str">
        <f aca="false">IF('Loan Tape'!$A15="","",'Loan Tape'!$A15)</f>
        <v>L-012</v>
      </c>
      <c r="C38" s="108" t="str">
        <f aca="false">IF('Loan Tape'!$A15="","",'Loan Tape'!$B15)</f>
        <v>Parkside Marketplace</v>
      </c>
      <c r="D38" s="108" t="str">
        <f aca="false">IF('Loan Tape'!$A15="","",'Loan Tape'!$C15)</f>
        <v>MD</v>
      </c>
      <c r="E38" s="108" t="str">
        <f aca="false">IF('Loan Tape'!$A15="","",'Loan Tape'!$D15)</f>
        <v>Retail</v>
      </c>
      <c r="F38" s="108" t="str">
        <f aca="false">IF('Loan Tape'!$A15="","",'Loan Tape'!$E15)</f>
        <v>Deal 7</v>
      </c>
      <c r="G38" s="26" t="n">
        <f aca="false">'Loan Tape'!$AN15</f>
        <v>1</v>
      </c>
      <c r="H38" s="71" t="n">
        <f aca="false">'Loan Tape'!$R15*'Loan Tape'!$AN15</f>
        <v>5654000</v>
      </c>
      <c r="I38" s="56" t="n">
        <f aca="false">'Loan Tape'!$AO15</f>
        <v>0.94</v>
      </c>
      <c r="J38" s="71" t="n">
        <f aca="false">'Loan Tape'!$AY15</f>
        <v>5314760</v>
      </c>
      <c r="K38" s="71" t="n">
        <f aca="false">'Loan Tape'!$BB15</f>
        <v>5363101.7</v>
      </c>
      <c r="L38" s="56" t="n">
        <f aca="false">'Loan CF'!C322</f>
        <v>0.0557</v>
      </c>
      <c r="M38" s="70" t="n">
        <f aca="false">'Loan Tape'!$AS15*'Loan Tape'!$AN15</f>
        <v>1.58316221765914</v>
      </c>
      <c r="N38" s="70" t="n">
        <f aca="false">IFERROR(SUMPRODUCT(('Loan CF'!$C$916:$L$916-0.5)*('Loan CF'!C928:L928+'Loan CF'!C1231:L1231+'Loan CF'!C1534:L1534))/(SUM('Loan CF'!C928:L928)+SUM('Loan CF'!C1231:L1231)+SUM('Loan CF'!C1534:L1534)),0)</f>
        <v>1.37473955220207</v>
      </c>
      <c r="O38" s="71" t="n">
        <f aca="false">SUM('Loan CF'!C1837:L1837)</f>
        <v>443730.100256102</v>
      </c>
      <c r="P38" s="71" t="n">
        <f aca="false">SUM('Loan CF'!C928:L928)+SUM('Loan CF'!C1231:L1231)+SUM('Loan CF'!C1534:L1534)</f>
        <v>5484307.15740423</v>
      </c>
      <c r="Q38" s="71" t="n">
        <f aca="false">SUM('Loan CF'!C2140:L2140)</f>
        <v>118784.989817039</v>
      </c>
      <c r="R38" s="71" t="n">
        <f aca="false">SUM('Loan CF'!C1231:L1231)*Prepay_Pen</f>
        <v>8484.64212978852</v>
      </c>
      <c r="S38" s="71" t="n">
        <f aca="false">'Loan CF'!$C2443</f>
        <v>0</v>
      </c>
      <c r="T38" s="71" t="n">
        <f aca="false">SUM(O38:S38)</f>
        <v>6055306.88960716</v>
      </c>
      <c r="U38" s="71" t="n">
        <f aca="false">SUM('Loan CF'!C625:L625)</f>
        <v>169692.842595771</v>
      </c>
      <c r="V38" s="71" t="n">
        <f aca="false">U38*Sev</f>
        <v>50907.8527787312</v>
      </c>
      <c r="W38" s="71" t="n">
        <f aca="false">T38-K38</f>
        <v>692205.189607158</v>
      </c>
      <c r="X38" s="109" t="n">
        <f aca="false">IFERROR(IRR('Loan CF'!C2746:M2746),"-")</f>
        <v>0.0682378905302957</v>
      </c>
      <c r="Y38" s="110" t="n">
        <f aca="false">IFERROR(T38/K38,"-")</f>
        <v>1.12906807074107</v>
      </c>
      <c r="Z38" s="71" t="n">
        <f aca="false">'Loan Tape'!$BC15</f>
        <v>3188856</v>
      </c>
      <c r="AA38" s="71" t="n">
        <f aca="false">'Loan Tape'!$BE15</f>
        <v>2190189.98</v>
      </c>
      <c r="AB38" s="71" t="n">
        <f aca="false">SUM('Loan CF'!D3655:M3655)-AA38</f>
        <v>387801.286609013</v>
      </c>
      <c r="AC38" s="109" t="n">
        <f aca="false">IFERROR(IRR('Loan CF'!C3655:M3655),"-")</f>
        <v>0.0860274344667123</v>
      </c>
      <c r="AD38" s="110" t="n">
        <f aca="false">IFERROR(SUM('Loan CF'!D3655:M3655)/AA38,"-")</f>
        <v>1.1770628530631</v>
      </c>
    </row>
    <row r="39" customFormat="false" ht="15" hidden="false" customHeight="false" outlineLevel="0" collapsed="false">
      <c r="B39" s="102" t="str">
        <f aca="false">IF('Loan Tape'!$A16="","",'Loan Tape'!$A16)</f>
        <v>L-013</v>
      </c>
      <c r="C39" s="102" t="str">
        <f aca="false">IF('Loan Tape'!$A16="","",'Loan Tape'!$B16)</f>
        <v>Summit Distribution Center</v>
      </c>
      <c r="D39" s="102" t="str">
        <f aca="false">IF('Loan Tape'!$A16="","",'Loan Tape'!$C16)</f>
        <v>GA</v>
      </c>
      <c r="E39" s="102" t="str">
        <f aca="false">IF('Loan Tape'!$A16="","",'Loan Tape'!$D16)</f>
        <v>Industrial</v>
      </c>
      <c r="F39" s="102" t="str">
        <f aca="false">IF('Loan Tape'!$A16="","",'Loan Tape'!$E16)</f>
        <v>Deal 4</v>
      </c>
      <c r="G39" s="103" t="n">
        <f aca="false">'Loan Tape'!$AN16</f>
        <v>1</v>
      </c>
      <c r="H39" s="99" t="n">
        <f aca="false">'Loan Tape'!$R16*'Loan Tape'!$AN16</f>
        <v>85445000</v>
      </c>
      <c r="I39" s="104" t="n">
        <f aca="false">'Loan Tape'!$AO16</f>
        <v>0.94</v>
      </c>
      <c r="J39" s="99" t="n">
        <f aca="false">'Loan Tape'!$AY16</f>
        <v>80318300</v>
      </c>
      <c r="K39" s="99" t="n">
        <f aca="false">'Loan Tape'!$BB16</f>
        <v>81048854.75</v>
      </c>
      <c r="L39" s="104" t="n">
        <f aca="false">'Loan CF'!C323</f>
        <v>0.0655</v>
      </c>
      <c r="M39" s="105" t="n">
        <f aca="false">'Loan Tape'!$AS16*'Loan Tape'!$AN16</f>
        <v>4.75085557837098</v>
      </c>
      <c r="N39" s="105" t="n">
        <f aca="false">IFERROR(SUMPRODUCT(('Loan CF'!$C$916:$L$916-0.5)*('Loan CF'!C929:L929+'Loan CF'!C1232:L1232+'Loan CF'!C1535:L1535))/(SUM('Loan CF'!C929:L929)+SUM('Loan CF'!C1232:L1232)+SUM('Loan CF'!C1535:L1535)),0)</f>
        <v>3.40833830935115</v>
      </c>
      <c r="O39" s="99" t="n">
        <f aca="false">SUM('Loan CF'!C1838:L1838)</f>
        <v>19203678.8457244</v>
      </c>
      <c r="P39" s="99" t="n">
        <f aca="false">SUM('Loan CF'!C929:L929)+SUM('Loan CF'!C1232:L1232)+SUM('Loan CF'!C1535:L1535)</f>
        <v>79164095.6899184</v>
      </c>
      <c r="Q39" s="99" t="n">
        <f aca="false">SUM('Loan CF'!C2141:L2141)</f>
        <v>3897516.67578616</v>
      </c>
      <c r="R39" s="99" t="n">
        <f aca="false">SUM('Loan CF'!C1232:L1232)*Prepay_Pen</f>
        <v>314045.215504079</v>
      </c>
      <c r="S39" s="99" t="n">
        <f aca="false">'Loan CF'!$C2444</f>
        <v>499116.341270947</v>
      </c>
      <c r="T39" s="99" t="n">
        <f aca="false">SUM(O39:S39)</f>
        <v>103078452.768204</v>
      </c>
      <c r="U39" s="99" t="n">
        <f aca="false">SUM('Loan CF'!C626:L626)</f>
        <v>6280904.31008158</v>
      </c>
      <c r="V39" s="99" t="n">
        <f aca="false">U39*Sev</f>
        <v>1884271.29302448</v>
      </c>
      <c r="W39" s="99" t="n">
        <f aca="false">T39-K39</f>
        <v>22029598.018204</v>
      </c>
      <c r="X39" s="106" t="n">
        <f aca="false">IFERROR(IRR('Loan CF'!C2747:M2747),"-")</f>
        <v>0.0697195841147983</v>
      </c>
      <c r="Y39" s="107" t="n">
        <f aca="false">IFERROR(T39/K39,"-")</f>
        <v>1.2718064072115</v>
      </c>
      <c r="Z39" s="99" t="n">
        <f aca="false">'Loan Tape'!$BC16</f>
        <v>48190980</v>
      </c>
      <c r="AA39" s="99" t="n">
        <f aca="false">'Loan Tape'!$BE16</f>
        <v>33098829.65</v>
      </c>
      <c r="AB39" s="99" t="n">
        <f aca="false">SUM('Loan CF'!D3656:M3656)-AA39</f>
        <v>13271866.7118877</v>
      </c>
      <c r="AC39" s="106" t="n">
        <f aca="false">IFERROR(IRR('Loan CF'!C3656:M3656),"-")</f>
        <v>0.0788396745534329</v>
      </c>
      <c r="AD39" s="107" t="n">
        <f aca="false">IFERROR(SUM('Loan CF'!D3656:M3656)/AA39,"-")</f>
        <v>1.40097691828471</v>
      </c>
    </row>
    <row r="40" customFormat="false" ht="15" hidden="false" customHeight="false" outlineLevel="0" collapsed="false">
      <c r="B40" s="108" t="str">
        <f aca="false">IF('Loan Tape'!$A17="","",'Loan Tape'!$A17)</f>
        <v>L-014</v>
      </c>
      <c r="C40" s="108" t="str">
        <f aca="false">IF('Loan Tape'!$A17="","",'Loan Tape'!$B17)</f>
        <v>Glenwood Landing</v>
      </c>
      <c r="D40" s="108" t="str">
        <f aca="false">IF('Loan Tape'!$A17="","",'Loan Tape'!$C17)</f>
        <v>NV</v>
      </c>
      <c r="E40" s="108" t="str">
        <f aca="false">IF('Loan Tape'!$A17="","",'Loan Tape'!$D17)</f>
        <v>Multifamily</v>
      </c>
      <c r="F40" s="108" t="str">
        <f aca="false">IF('Loan Tape'!$A17="","",'Loan Tape'!$E17)</f>
        <v>Deal 8</v>
      </c>
      <c r="G40" s="26" t="n">
        <f aca="false">'Loan Tape'!$AN17</f>
        <v>1</v>
      </c>
      <c r="H40" s="71" t="n">
        <f aca="false">'Loan Tape'!$R17*'Loan Tape'!$AN17</f>
        <v>128291000</v>
      </c>
      <c r="I40" s="56" t="n">
        <f aca="false">'Loan Tape'!$AO17</f>
        <v>0.94</v>
      </c>
      <c r="J40" s="71" t="n">
        <f aca="false">'Loan Tape'!$AY17</f>
        <v>120593540</v>
      </c>
      <c r="K40" s="71" t="n">
        <f aca="false">'Loan Tape'!$BB17</f>
        <v>121690428.05</v>
      </c>
      <c r="L40" s="56" t="n">
        <f aca="false">'Loan CF'!C324</f>
        <v>0.0504</v>
      </c>
      <c r="M40" s="70" t="n">
        <f aca="false">'Loan Tape'!$AS17*'Loan Tape'!$AN17</f>
        <v>5.08761122518823</v>
      </c>
      <c r="N40" s="70" t="n">
        <f aca="false">IFERROR(SUMPRODUCT(('Loan CF'!$C$916:$L$916-0.5)*('Loan CF'!C930:L930+'Loan CF'!C1233:L1233+'Loan CF'!C1536:L1536))/(SUM('Loan CF'!C930:L930)+SUM('Loan CF'!C1233:L1233)+SUM('Loan CF'!C1536:L1536)),0)</f>
        <v>2.23100860565946</v>
      </c>
      <c r="O40" s="71" t="n">
        <f aca="false">SUM('Loan CF'!C1839:L1839)</f>
        <v>22806941.0638861</v>
      </c>
      <c r="P40" s="71" t="n">
        <f aca="false">SUM('Loan CF'!C930:L930)+SUM('Loan CF'!C1233:L1233)+SUM('Loan CF'!C1536:L1536)</f>
        <v>58400044.0959226</v>
      </c>
      <c r="Q40" s="71" t="n">
        <f aca="false">SUM('Loan CF'!C2142:L2142)</f>
        <v>5828417.59482344</v>
      </c>
      <c r="R40" s="71" t="n">
        <f aca="false">SUM('Loan CF'!C1233:L1233)*Prepay_Pen</f>
        <v>486584.539343903</v>
      </c>
      <c r="S40" s="71" t="n">
        <f aca="false">'Loan CF'!$C2445</f>
        <v>59046480.6838562</v>
      </c>
      <c r="T40" s="71" t="n">
        <f aca="false">SUM(O40:S40)</f>
        <v>146568467.977832</v>
      </c>
      <c r="U40" s="71" t="n">
        <f aca="false">SUM('Loan CF'!C627:L627)</f>
        <v>9731690.78687805</v>
      </c>
      <c r="V40" s="71" t="n">
        <f aca="false">U40*Sev</f>
        <v>2919507.23606341</v>
      </c>
      <c r="W40" s="71" t="n">
        <f aca="false">T40-K40</f>
        <v>24878039.9278322</v>
      </c>
      <c r="X40" s="109" t="n">
        <f aca="false">IFERROR(IRR('Loan CF'!C2748:M2748),"-")</f>
        <v>0.0530013038843398</v>
      </c>
      <c r="Y40" s="110" t="n">
        <f aca="false">IFERROR(T40/K40,"-")</f>
        <v>1.20443711413038</v>
      </c>
      <c r="Z40" s="71" t="n">
        <f aca="false">'Loan Tape'!$BC17</f>
        <v>72356124</v>
      </c>
      <c r="AA40" s="71" t="n">
        <f aca="false">'Loan Tape'!$BE17</f>
        <v>49696084.67</v>
      </c>
      <c r="AB40" s="71" t="n">
        <f aca="false">SUM('Loan CF'!D3657:M3657)-AA40</f>
        <v>11925373.8081907</v>
      </c>
      <c r="AC40" s="109" t="n">
        <f aca="false">IFERROR(IRR('Loan CF'!C3657:M3657),"-")</f>
        <v>0.04719866835846</v>
      </c>
      <c r="AD40" s="110" t="n">
        <f aca="false">IFERROR(SUM('Loan CF'!D3657:M3657)/AA40,"-")</f>
        <v>1.23996606347119</v>
      </c>
    </row>
    <row r="41" customFormat="false" ht="15" hidden="false" customHeight="false" outlineLevel="0" collapsed="false">
      <c r="B41" s="102" t="str">
        <f aca="false">IF('Loan Tape'!$A18="","",'Loan Tape'!$A18)</f>
        <v>L-015</v>
      </c>
      <c r="C41" s="102" t="str">
        <f aca="false">IF('Loan Tape'!$A18="","",'Loan Tape'!$B18)</f>
        <v>Palisades Exchange</v>
      </c>
      <c r="D41" s="102" t="str">
        <f aca="false">IF('Loan Tape'!$A18="","",'Loan Tape'!$C18)</f>
        <v>TX</v>
      </c>
      <c r="E41" s="102" t="str">
        <f aca="false">IF('Loan Tape'!$A18="","",'Loan Tape'!$D18)</f>
        <v>Office</v>
      </c>
      <c r="F41" s="102" t="str">
        <f aca="false">IF('Loan Tape'!$A18="","",'Loan Tape'!$E18)</f>
        <v>Deal 7</v>
      </c>
      <c r="G41" s="103" t="n">
        <f aca="false">'Loan Tape'!$AN18</f>
        <v>1</v>
      </c>
      <c r="H41" s="99" t="n">
        <f aca="false">'Loan Tape'!$R18*'Loan Tape'!$AN18</f>
        <v>131786000</v>
      </c>
      <c r="I41" s="104" t="n">
        <f aca="false">'Loan Tape'!$AO18</f>
        <v>0.94</v>
      </c>
      <c r="J41" s="99" t="n">
        <f aca="false">'Loan Tape'!$AY18</f>
        <v>123878840</v>
      </c>
      <c r="K41" s="99" t="n">
        <f aca="false">'Loan Tape'!$BB18</f>
        <v>125005610.3</v>
      </c>
      <c r="L41" s="104" t="n">
        <f aca="false">'Loan CF'!C325</f>
        <v>0.0761</v>
      </c>
      <c r="M41" s="105" t="n">
        <f aca="false">'Loan Tape'!$AS18*'Loan Tape'!$AN18</f>
        <v>6.00205338809035</v>
      </c>
      <c r="N41" s="105" t="n">
        <f aca="false">IFERROR(SUMPRODUCT(('Loan CF'!$C$916:$L$916-0.5)*('Loan CF'!C931:L931+'Loan CF'!C1234:L1234+'Loan CF'!C1537:L1537))/(SUM('Loan CF'!C931:L931)+SUM('Loan CF'!C1234:L1234)+SUM('Loan CF'!C1537:L1537)),0)</f>
        <v>2.2461262408681</v>
      </c>
      <c r="O41" s="99" t="n">
        <f aca="false">SUM('Loan CF'!C1840:L1840)</f>
        <v>33872753.6033847</v>
      </c>
      <c r="P41" s="99" t="n">
        <f aca="false">SUM('Loan CF'!C931:L931)+SUM('Loan CF'!C1234:L1234)+SUM('Loan CF'!C1537:L1537)</f>
        <v>51865268.010496</v>
      </c>
      <c r="Q41" s="99" t="n">
        <f aca="false">SUM('Loan CF'!C2143:L2143)</f>
        <v>6154697.183488</v>
      </c>
      <c r="R41" s="99" t="n">
        <f aca="false">SUM('Loan CF'!C1234:L1234)*Prepay_Pen</f>
        <v>518652.68010496</v>
      </c>
      <c r="S41" s="99" t="n">
        <f aca="false">'Loan CF'!$C2446</f>
        <v>68230382.1335852</v>
      </c>
      <c r="T41" s="99" t="n">
        <f aca="false">SUM(O41:S41)</f>
        <v>160641753.611059</v>
      </c>
      <c r="U41" s="99" t="n">
        <f aca="false">SUM('Loan CF'!C628:L628)</f>
        <v>10373053.6020992</v>
      </c>
      <c r="V41" s="99" t="n">
        <f aca="false">U41*Sev</f>
        <v>3111916.08062976</v>
      </c>
      <c r="W41" s="99" t="n">
        <f aca="false">T41-K41</f>
        <v>35636143.3110589</v>
      </c>
      <c r="X41" s="106" t="n">
        <f aca="false">IFERROR(IRR('Loan CF'!C2749:M2749),"-")</f>
        <v>0.0716480058337264</v>
      </c>
      <c r="Y41" s="107" t="n">
        <f aca="false">IFERROR(T41/K41,"-")</f>
        <v>1.28507635157763</v>
      </c>
      <c r="Z41" s="99" t="n">
        <f aca="false">'Loan Tape'!$BC18</f>
        <v>74327304</v>
      </c>
      <c r="AA41" s="99" t="n">
        <f aca="false">'Loan Tape'!$BE18</f>
        <v>51049942.82</v>
      </c>
      <c r="AB41" s="99" t="n">
        <f aca="false">SUM('Loan CF'!D3658:M3658)-AA41</f>
        <v>20963105.8853789</v>
      </c>
      <c r="AC41" s="106" t="n">
        <f aca="false">IFERROR(IRR('Loan CF'!C3658:M3658),"-")</f>
        <v>0.0827004476556471</v>
      </c>
      <c r="AD41" s="107" t="n">
        <f aca="false">IFERROR(SUM('Loan CF'!D3658:M3658)/AA41,"-")</f>
        <v>1.41063916485262</v>
      </c>
    </row>
    <row r="42" customFormat="false" ht="15" hidden="false" customHeight="false" outlineLevel="0" collapsed="false">
      <c r="B42" s="108" t="str">
        <f aca="false">IF('Loan Tape'!$A19="","",'Loan Tape'!$A19)</f>
        <v>L-016</v>
      </c>
      <c r="C42" s="108" t="str">
        <f aca="false">IF('Loan Tape'!$A19="","",'Loan Tape'!$B19)</f>
        <v>Harborview Landing</v>
      </c>
      <c r="D42" s="108" t="str">
        <f aca="false">IF('Loan Tape'!$A19="","",'Loan Tape'!$C19)</f>
        <v>TN</v>
      </c>
      <c r="E42" s="108" t="str">
        <f aca="false">IF('Loan Tape'!$A19="","",'Loan Tape'!$D19)</f>
        <v>Multifamily</v>
      </c>
      <c r="F42" s="108" t="str">
        <f aca="false">IF('Loan Tape'!$A19="","",'Loan Tape'!$E19)</f>
        <v>Deal 5</v>
      </c>
      <c r="G42" s="26" t="n">
        <f aca="false">'Loan Tape'!$AN19</f>
        <v>1</v>
      </c>
      <c r="H42" s="71" t="n">
        <f aca="false">'Loan Tape'!$R19*'Loan Tape'!$AN19</f>
        <v>8243000</v>
      </c>
      <c r="I42" s="56" t="n">
        <f aca="false">'Loan Tape'!$AO19</f>
        <v>0.94</v>
      </c>
      <c r="J42" s="71" t="n">
        <f aca="false">'Loan Tape'!$AY19</f>
        <v>7748420</v>
      </c>
      <c r="K42" s="71" t="n">
        <f aca="false">'Loan Tape'!$BB19</f>
        <v>7818897.65</v>
      </c>
      <c r="L42" s="56" t="n">
        <f aca="false">'Loan CF'!C326</f>
        <v>0.0664</v>
      </c>
      <c r="M42" s="70" t="n">
        <f aca="false">'Loan Tape'!$AS19*'Loan Tape'!$AN19</f>
        <v>0</v>
      </c>
      <c r="N42" s="70" t="n">
        <f aca="false">IFERROR(SUMPRODUCT(('Loan CF'!$C$916:$L$916-0.5)*('Loan CF'!C932:L932+'Loan CF'!C1235:L1235+'Loan CF'!C1538:L1538))/(SUM('Loan CF'!C932:L932)+SUM('Loan CF'!C1235:L1235)+SUM('Loan CF'!C1538:L1538)),0)</f>
        <v>0.5</v>
      </c>
      <c r="O42" s="71" t="n">
        <f aca="false">SUM('Loan CF'!C1841:L1841)</f>
        <v>0</v>
      </c>
      <c r="P42" s="71" t="n">
        <f aca="false">SUM('Loan CF'!C932:L932)+SUM('Loan CF'!C1235:L1235)+SUM('Loan CF'!C1538:L1538)</f>
        <v>8243000</v>
      </c>
      <c r="Q42" s="71" t="n">
        <f aca="false">SUM('Loan CF'!C2144:L2144)</f>
        <v>0</v>
      </c>
      <c r="R42" s="71" t="n">
        <f aca="false">SUM('Loan CF'!C1235:L1235)*Prepay_Pen</f>
        <v>0</v>
      </c>
      <c r="S42" s="71" t="n">
        <f aca="false">'Loan CF'!$C2447</f>
        <v>0</v>
      </c>
      <c r="T42" s="71" t="n">
        <f aca="false">SUM(O42:S42)</f>
        <v>8243000</v>
      </c>
      <c r="U42" s="71" t="n">
        <f aca="false">SUM('Loan CF'!C629:L629)</f>
        <v>0</v>
      </c>
      <c r="V42" s="71" t="n">
        <f aca="false">U42*Sev</f>
        <v>0</v>
      </c>
      <c r="W42" s="71" t="n">
        <f aca="false">T42-K42</f>
        <v>424102.35</v>
      </c>
      <c r="X42" s="109" t="n">
        <f aca="false">IFERROR(IRR('Loan CF'!C2750:M2750),"-")</f>
        <v>0.0542406831479627</v>
      </c>
      <c r="Y42" s="110" t="n">
        <f aca="false">IFERROR(T42/K42,"-")</f>
        <v>1.05424068314796</v>
      </c>
      <c r="Z42" s="71" t="n">
        <f aca="false">'Loan Tape'!$BC19</f>
        <v>4649052</v>
      </c>
      <c r="AA42" s="71" t="n">
        <f aca="false">'Loan Tape'!$BE19</f>
        <v>3193090.91</v>
      </c>
      <c r="AB42" s="71" t="n">
        <f aca="false">SUM('Loan CF'!D3659:M3659)-AA42</f>
        <v>226517.64</v>
      </c>
      <c r="AC42" s="109" t="n">
        <f aca="false">IFERROR(IRR('Loan CF'!C3659:M3659),"-")</f>
        <v>0.070939928233988</v>
      </c>
      <c r="AD42" s="110" t="n">
        <f aca="false">IFERROR(SUM('Loan CF'!D3659:M3659)/AA42,"-")</f>
        <v>1.07093992823399</v>
      </c>
    </row>
    <row r="43" customFormat="false" ht="15" hidden="false" customHeight="false" outlineLevel="0" collapsed="false">
      <c r="B43" s="102" t="str">
        <f aca="false">IF('Loan Tape'!$A20="","",'Loan Tape'!$A20)</f>
        <v>L-017</v>
      </c>
      <c r="C43" s="102" t="str">
        <f aca="false">IF('Loan Tape'!$A20="","",'Loan Tape'!$B20)</f>
        <v>Emerson Marketplace</v>
      </c>
      <c r="D43" s="102" t="str">
        <f aca="false">IF('Loan Tape'!$A20="","",'Loan Tape'!$C20)</f>
        <v>FL</v>
      </c>
      <c r="E43" s="102" t="str">
        <f aca="false">IF('Loan Tape'!$A20="","",'Loan Tape'!$D20)</f>
        <v>Retail</v>
      </c>
      <c r="F43" s="102" t="str">
        <f aca="false">IF('Loan Tape'!$A20="","",'Loan Tape'!$E20)</f>
        <v>Deal 2</v>
      </c>
      <c r="G43" s="103" t="n">
        <f aca="false">'Loan Tape'!$AN20</f>
        <v>1</v>
      </c>
      <c r="H43" s="99" t="n">
        <f aca="false">'Loan Tape'!$R20*'Loan Tape'!$AN20</f>
        <v>5111000</v>
      </c>
      <c r="I43" s="104" t="n">
        <f aca="false">'Loan Tape'!$AO20</f>
        <v>0.94</v>
      </c>
      <c r="J43" s="99" t="n">
        <f aca="false">'Loan Tape'!$AY20</f>
        <v>4804340</v>
      </c>
      <c r="K43" s="99" t="n">
        <f aca="false">'Loan Tape'!$BB20</f>
        <v>4848039.05</v>
      </c>
      <c r="L43" s="104" t="n">
        <f aca="false">'Loan CF'!C327</f>
        <v>0.0453</v>
      </c>
      <c r="M43" s="105" t="n">
        <f aca="false">'Loan Tape'!$AS20*'Loan Tape'!$AN20</f>
        <v>5.91991786447639</v>
      </c>
      <c r="N43" s="105" t="n">
        <f aca="false">IFERROR(SUMPRODUCT(('Loan CF'!$C$916:$L$916-0.5)*('Loan CF'!C933:L933+'Loan CF'!C1236:L1236+'Loan CF'!C1539:L1539))/(SUM('Loan CF'!C933:L933)+SUM('Loan CF'!C1236:L1236)+SUM('Loan CF'!C1539:L1539)),0)</f>
        <v>2.2461262408681</v>
      </c>
      <c r="O43" s="99" t="n">
        <f aca="false">SUM('Loan CF'!C1842:L1842)</f>
        <v>856523.507172511</v>
      </c>
      <c r="P43" s="99" t="n">
        <f aca="false">SUM('Loan CF'!C933:L933)+SUM('Loan CF'!C1236:L1236)+SUM('Loan CF'!C1539:L1539)</f>
        <v>2011468.477696</v>
      </c>
      <c r="Q43" s="99" t="n">
        <f aca="false">SUM('Loan CF'!C2145:L2145)</f>
        <v>238694.985088</v>
      </c>
      <c r="R43" s="99" t="n">
        <f aca="false">SUM('Loan CF'!C1236:L1236)*Prepay_Pen</f>
        <v>20114.68477696</v>
      </c>
      <c r="S43" s="99" t="n">
        <f aca="false">'Loan CF'!$C2448</f>
        <v>2646149.69029149</v>
      </c>
      <c r="T43" s="99" t="n">
        <f aca="false">SUM(O43:S43)</f>
        <v>5772951.34502496</v>
      </c>
      <c r="U43" s="99" t="n">
        <f aca="false">SUM('Loan CF'!C630:L630)</f>
        <v>402293.6955392</v>
      </c>
      <c r="V43" s="99" t="n">
        <f aca="false">U43*Sev</f>
        <v>120688.10866176</v>
      </c>
      <c r="W43" s="99" t="n">
        <f aca="false">T43-K43</f>
        <v>924912.295024958</v>
      </c>
      <c r="X43" s="106" t="n">
        <f aca="false">IFERROR(IRR('Loan CF'!C2751:M2751),"-")</f>
        <v>0.0476583257400386</v>
      </c>
      <c r="Y43" s="107" t="n">
        <f aca="false">IFERROR(T43/K43,"-")</f>
        <v>1.19078070235943</v>
      </c>
      <c r="Z43" s="99" t="n">
        <f aca="false">'Loan Tape'!$BC20</f>
        <v>2882604</v>
      </c>
      <c r="AA43" s="99" t="n">
        <f aca="false">'Loan Tape'!$BE20</f>
        <v>1979848.07</v>
      </c>
      <c r="AB43" s="99" t="n">
        <f aca="false">SUM('Loan CF'!D3660:M3660)-AA43</f>
        <v>355854.168344958</v>
      </c>
      <c r="AC43" s="106" t="n">
        <f aca="false">IFERROR(IRR('Loan CF'!C3660:M3660),"-")</f>
        <v>0.0353748497000519</v>
      </c>
      <c r="AD43" s="107" t="n">
        <f aca="false">IFERROR(SUM('Loan CF'!D3660:M3660)/AA43,"-")</f>
        <v>1.17973811917041</v>
      </c>
    </row>
    <row r="44" customFormat="false" ht="15" hidden="false" customHeight="false" outlineLevel="0" collapsed="false">
      <c r="B44" s="108" t="str">
        <f aca="false">IF('Loan Tape'!$A21="","",'Loan Tape'!$A21)</f>
        <v>L-018</v>
      </c>
      <c r="C44" s="108" t="str">
        <f aca="false">IF('Loan Tape'!$A21="","",'Loan Tape'!$B21)</f>
        <v>Kingston Corporate Center</v>
      </c>
      <c r="D44" s="108" t="str">
        <f aca="false">IF('Loan Tape'!$A21="","",'Loan Tape'!$C21)</f>
        <v>IL</v>
      </c>
      <c r="E44" s="108" t="str">
        <f aca="false">IF('Loan Tape'!$A21="","",'Loan Tape'!$D21)</f>
        <v>Office</v>
      </c>
      <c r="F44" s="108" t="str">
        <f aca="false">IF('Loan Tape'!$A21="","",'Loan Tape'!$E21)</f>
        <v>Deal 2</v>
      </c>
      <c r="G44" s="26" t="n">
        <f aca="false">'Loan Tape'!$AN21</f>
        <v>1</v>
      </c>
      <c r="H44" s="71" t="n">
        <f aca="false">'Loan Tape'!$R21*'Loan Tape'!$AN21</f>
        <v>76728000</v>
      </c>
      <c r="I44" s="56" t="n">
        <f aca="false">'Loan Tape'!$AO21</f>
        <v>0.94</v>
      </c>
      <c r="J44" s="71" t="n">
        <f aca="false">'Loan Tape'!$AY21</f>
        <v>72124320</v>
      </c>
      <c r="K44" s="71" t="n">
        <f aca="false">'Loan Tape'!$BB21</f>
        <v>72780344.4</v>
      </c>
      <c r="L44" s="56" t="n">
        <f aca="false">'Loan CF'!C328</f>
        <v>0.0722</v>
      </c>
      <c r="M44" s="70" t="n">
        <f aca="false">'Loan Tape'!$AS21*'Loan Tape'!$AN21</f>
        <v>4.41615331964408</v>
      </c>
      <c r="N44" s="70" t="n">
        <f aca="false">IFERROR(SUMPRODUCT(('Loan CF'!$C$916:$L$916-0.5)*('Loan CF'!C934:L934+'Loan CF'!C1237:L1237+'Loan CF'!C1540:L1540))/(SUM('Loan CF'!C934:L934)+SUM('Loan CF'!C1237:L1237)+SUM('Loan CF'!C1540:L1540)),0)</f>
        <v>3.3910267756177</v>
      </c>
      <c r="O44" s="71" t="n">
        <f aca="false">SUM('Loan CF'!C1843:L1843)</f>
        <v>16464486.2618033</v>
      </c>
      <c r="P44" s="71" t="n">
        <f aca="false">SUM('Loan CF'!C934:L934)+SUM('Loan CF'!C1237:L1237)+SUM('Loan CF'!C1540:L1540)</f>
        <v>71396349.3181127</v>
      </c>
      <c r="Q44" s="71" t="n">
        <f aca="false">SUM('Loan CF'!C2146:L2146)</f>
        <v>3487656.81829093</v>
      </c>
      <c r="R44" s="71" t="n">
        <f aca="false">SUM('Loan CF'!C1237:L1237)*Prepay_Pen</f>
        <v>266582.534094367</v>
      </c>
      <c r="S44" s="71" t="n">
        <f aca="false">'Loan CF'!$C2449</f>
        <v>244498.65903021</v>
      </c>
      <c r="T44" s="71" t="n">
        <f aca="false">SUM(O44:S44)</f>
        <v>91859573.5913314</v>
      </c>
      <c r="U44" s="71" t="n">
        <f aca="false">SUM('Loan CF'!C631:L631)</f>
        <v>5331650.68188734</v>
      </c>
      <c r="V44" s="71" t="n">
        <f aca="false">U44*Sev</f>
        <v>1599495.2045662</v>
      </c>
      <c r="W44" s="71" t="n">
        <f aca="false">T44-K44</f>
        <v>19079229.1913314</v>
      </c>
      <c r="X44" s="109" t="n">
        <f aca="false">IFERROR(IRR('Loan CF'!C2752:M2752),"-")</f>
        <v>0.068324024624187</v>
      </c>
      <c r="Y44" s="110" t="n">
        <f aca="false">IFERROR(T44/K44,"-")</f>
        <v>1.26214810260408</v>
      </c>
      <c r="Z44" s="71" t="n">
        <f aca="false">'Loan Tape'!$BC21</f>
        <v>43274592</v>
      </c>
      <c r="AA44" s="71" t="n">
        <f aca="false">'Loan Tape'!$BE21</f>
        <v>29722125.36</v>
      </c>
      <c r="AB44" s="71" t="n">
        <f aca="false">SUM('Loan CF'!D3661:M3661)-AA44</f>
        <v>11329342.8871105</v>
      </c>
      <c r="AC44" s="109" t="n">
        <f aca="false">IFERROR(IRR('Loan CF'!C3661:M3661),"-")</f>
        <v>0.076373608742496</v>
      </c>
      <c r="AD44" s="110" t="n">
        <f aca="false">IFERROR(SUM('Loan CF'!D3661:M3661)/AA44,"-")</f>
        <v>1.38117539542975</v>
      </c>
    </row>
    <row r="45" customFormat="false" ht="15" hidden="false" customHeight="false" outlineLevel="0" collapsed="false">
      <c r="B45" s="102" t="str">
        <f aca="false">IF('Loan Tape'!$A22="","",'Loan Tape'!$A22)</f>
        <v>L-019</v>
      </c>
      <c r="C45" s="102" t="str">
        <f aca="false">IF('Loan Tape'!$A22="","",'Loan Tape'!$B22)</f>
        <v>Chandler Exchange</v>
      </c>
      <c r="D45" s="102" t="str">
        <f aca="false">IF('Loan Tape'!$A22="","",'Loan Tape'!$C22)</f>
        <v>OR</v>
      </c>
      <c r="E45" s="102" t="str">
        <f aca="false">IF('Loan Tape'!$A22="","",'Loan Tape'!$D22)</f>
        <v>Office</v>
      </c>
      <c r="F45" s="102" t="str">
        <f aca="false">IF('Loan Tape'!$A22="","",'Loan Tape'!$E22)</f>
        <v>Deal 6</v>
      </c>
      <c r="G45" s="103" t="n">
        <f aca="false">'Loan Tape'!$AN22</f>
        <v>1</v>
      </c>
      <c r="H45" s="99" t="n">
        <f aca="false">'Loan Tape'!$R22*'Loan Tape'!$AN22</f>
        <v>8222000</v>
      </c>
      <c r="I45" s="104" t="n">
        <f aca="false">'Loan Tape'!$AO22</f>
        <v>0.94</v>
      </c>
      <c r="J45" s="99" t="n">
        <f aca="false">'Loan Tape'!$AY22</f>
        <v>7728680</v>
      </c>
      <c r="K45" s="99" t="n">
        <f aca="false">'Loan Tape'!$BB22</f>
        <v>7798978.1</v>
      </c>
      <c r="L45" s="104" t="n">
        <f aca="false">'Loan CF'!C329</f>
        <v>0.0816</v>
      </c>
      <c r="M45" s="105" t="n">
        <f aca="false">'Loan Tape'!$AS22*'Loan Tape'!$AN22</f>
        <v>1</v>
      </c>
      <c r="N45" s="105" t="n">
        <f aca="false">IFERROR(SUMPRODUCT(('Loan CF'!$C$916:$L$916-0.5)*('Loan CF'!C935:L935+'Loan CF'!C1238:L1238+'Loan CF'!C1541:L1541))/(SUM('Loan CF'!C935:L935)+SUM('Loan CF'!C1238:L1238)+SUM('Loan CF'!C1541:L1541)),0)</f>
        <v>0.5</v>
      </c>
      <c r="O45" s="99" t="n">
        <f aca="false">SUM('Loan CF'!C1844:L1844)</f>
        <v>625094.386007986</v>
      </c>
      <c r="P45" s="99" t="n">
        <f aca="false">SUM('Loan CF'!C935:L935)+SUM('Loan CF'!C1238:L1238)+SUM('Loan CF'!C1541:L1541)</f>
        <v>8057560</v>
      </c>
      <c r="Q45" s="99" t="n">
        <f aca="false">SUM('Loan CF'!C2147:L2147)</f>
        <v>115108</v>
      </c>
      <c r="R45" s="99" t="n">
        <f aca="false">SUM('Loan CF'!C1238:L1238)*Prepay_Pen</f>
        <v>8222</v>
      </c>
      <c r="S45" s="99" t="n">
        <f aca="false">'Loan CF'!$C2450</f>
        <v>0</v>
      </c>
      <c r="T45" s="99" t="n">
        <f aca="false">SUM(O45:S45)</f>
        <v>8805984.38600799</v>
      </c>
      <c r="U45" s="99" t="n">
        <f aca="false">SUM('Loan CF'!C632:L632)</f>
        <v>164440</v>
      </c>
      <c r="V45" s="99" t="n">
        <f aca="false">U45*Sev</f>
        <v>49332</v>
      </c>
      <c r="W45" s="99" t="n">
        <f aca="false">T45-K45</f>
        <v>1007006.28600799</v>
      </c>
      <c r="X45" s="106" t="n">
        <f aca="false">IFERROR(IRR('Loan CF'!C2753:M2753),"-")</f>
        <v>0.12745182612165</v>
      </c>
      <c r="Y45" s="107" t="n">
        <f aca="false">IFERROR(T45/K45,"-")</f>
        <v>1.12912028641393</v>
      </c>
      <c r="Z45" s="99" t="n">
        <f aca="false">'Loan Tape'!$BC22</f>
        <v>4637208</v>
      </c>
      <c r="AA45" s="99" t="n">
        <f aca="false">'Loan Tape'!$BE22</f>
        <v>3184956.14</v>
      </c>
      <c r="AB45" s="99" t="n">
        <f aca="false">SUM('Loan CF'!D3662:M3662)-AA45</f>
        <v>809924.946007988</v>
      </c>
      <c r="AC45" s="106" t="n">
        <f aca="false">IFERROR(IRR('Loan CF'!C3662:M3662),"-")</f>
        <v>0.247135232357073</v>
      </c>
      <c r="AD45" s="107" t="n">
        <f aca="false">IFERROR(SUM('Loan CF'!D3662:M3662)/AA45,"-")</f>
        <v>1.25429704850127</v>
      </c>
    </row>
    <row r="46" customFormat="false" ht="15" hidden="false" customHeight="false" outlineLevel="0" collapsed="false">
      <c r="B46" s="108" t="str">
        <f aca="false">IF('Loan Tape'!$A23="","",'Loan Tape'!$A23)</f>
        <v>L-020</v>
      </c>
      <c r="C46" s="108" t="str">
        <f aca="false">IF('Loan Tape'!$A23="","",'Loan Tape'!$B23)</f>
        <v>Dogwood Pointe</v>
      </c>
      <c r="D46" s="108" t="str">
        <f aca="false">IF('Loan Tape'!$A23="","",'Loan Tape'!$C23)</f>
        <v>TX</v>
      </c>
      <c r="E46" s="108" t="str">
        <f aca="false">IF('Loan Tape'!$A23="","",'Loan Tape'!$D23)</f>
        <v>Multifamily</v>
      </c>
      <c r="F46" s="108" t="str">
        <f aca="false">IF('Loan Tape'!$A23="","",'Loan Tape'!$E23)</f>
        <v>Deal 8</v>
      </c>
      <c r="G46" s="26" t="n">
        <f aca="false">'Loan Tape'!$AN23</f>
        <v>1</v>
      </c>
      <c r="H46" s="71" t="n">
        <f aca="false">'Loan Tape'!$R23*'Loan Tape'!$AN23</f>
        <v>69109000</v>
      </c>
      <c r="I46" s="56" t="n">
        <f aca="false">'Loan Tape'!$AO23</f>
        <v>0.94</v>
      </c>
      <c r="J46" s="71" t="n">
        <f aca="false">'Loan Tape'!$AY23</f>
        <v>64962460</v>
      </c>
      <c r="K46" s="71" t="n">
        <f aca="false">'Loan Tape'!$BB23</f>
        <v>65553341.95</v>
      </c>
      <c r="L46" s="56" t="n">
        <f aca="false">'Loan CF'!C330</f>
        <v>0.0886</v>
      </c>
      <c r="M46" s="70" t="n">
        <f aca="false">'Loan Tape'!$AS23*'Loan Tape'!$AN23</f>
        <v>7.34086242299795</v>
      </c>
      <c r="N46" s="70" t="n">
        <f aca="false">IFERROR(SUMPRODUCT(('Loan CF'!$C$916:$L$916-0.5)*('Loan CF'!C936:L936+'Loan CF'!C1239:L1239+'Loan CF'!C1542:L1542))/(SUM('Loan CF'!C936:L936)+SUM('Loan CF'!C1239:L1239)+SUM('Loan CF'!C1542:L1542)),0)</f>
        <v>2.2461262408681</v>
      </c>
      <c r="O46" s="71" t="n">
        <f aca="false">SUM('Loan CF'!C1845:L1845)</f>
        <v>20958782.0678331</v>
      </c>
      <c r="P46" s="71" t="n">
        <f aca="false">SUM('Loan CF'!C936:L936)+SUM('Loan CF'!C1239:L1239)+SUM('Loan CF'!C1542:L1542)</f>
        <v>27198312.468224</v>
      </c>
      <c r="Q46" s="71" t="n">
        <f aca="false">SUM('Loan CF'!C2148:L2148)</f>
        <v>3227542.892672</v>
      </c>
      <c r="R46" s="71" t="n">
        <f aca="false">SUM('Loan CF'!C1239:L1239)*Prepay_Pen</f>
        <v>271983.12468224</v>
      </c>
      <c r="S46" s="71" t="n">
        <f aca="false">'Loan CF'!$C2451</f>
        <v>35780230.6684317</v>
      </c>
      <c r="T46" s="71" t="n">
        <f aca="false">SUM(O46:S46)</f>
        <v>87436851.2218431</v>
      </c>
      <c r="U46" s="71" t="n">
        <f aca="false">SUM('Loan CF'!C633:L633)</f>
        <v>5439662.4936448</v>
      </c>
      <c r="V46" s="71" t="n">
        <f aca="false">U46*Sev</f>
        <v>1631898.74809344</v>
      </c>
      <c r="W46" s="71" t="n">
        <f aca="false">T46-K46</f>
        <v>21883509.271843</v>
      </c>
      <c r="X46" s="109" t="n">
        <f aca="false">IFERROR(IRR('Loan CF'!C2754:M2754),"-")</f>
        <v>0.0839104720648022</v>
      </c>
      <c r="Y46" s="110" t="n">
        <f aca="false">IFERROR(T46/K46,"-")</f>
        <v>1.33382751543826</v>
      </c>
      <c r="Z46" s="71" t="n">
        <f aca="false">'Loan Tape'!$BC23</f>
        <v>38977476</v>
      </c>
      <c r="AA46" s="71" t="n">
        <f aca="false">'Loan Tape'!$BE23</f>
        <v>26770753.33</v>
      </c>
      <c r="AB46" s="71" t="n">
        <f aca="false">SUM('Loan CF'!D3663:M3663)-AA46</f>
        <v>14188921.504923</v>
      </c>
      <c r="AC46" s="109" t="n">
        <f aca="false">IFERROR(IRR('Loan CF'!C3663:M3663),"-")</f>
        <v>0.107363503717498</v>
      </c>
      <c r="AD46" s="110" t="n">
        <f aca="false">IFERROR(SUM('Loan CF'!D3663:M3663)/AA46,"-")</f>
        <v>1.5300157724371</v>
      </c>
    </row>
    <row r="47" customFormat="false" ht="15" hidden="false" customHeight="false" outlineLevel="0" collapsed="false">
      <c r="B47" s="102" t="str">
        <f aca="false">IF('Loan Tape'!$A24="","",'Loan Tape'!$A24)</f>
        <v>L-021</v>
      </c>
      <c r="C47" s="102" t="str">
        <f aca="false">IF('Loan Tape'!$A24="","",'Loan Tape'!$B24)</f>
        <v>Fairhaven Marketplace</v>
      </c>
      <c r="D47" s="102" t="str">
        <f aca="false">IF('Loan Tape'!$A24="","",'Loan Tape'!$C24)</f>
        <v>NC</v>
      </c>
      <c r="E47" s="102" t="str">
        <f aca="false">IF('Loan Tape'!$A24="","",'Loan Tape'!$D24)</f>
        <v>Retail</v>
      </c>
      <c r="F47" s="102" t="str">
        <f aca="false">IF('Loan Tape'!$A24="","",'Loan Tape'!$E24)</f>
        <v>Deal 2</v>
      </c>
      <c r="G47" s="103" t="n">
        <f aca="false">'Loan Tape'!$AN24</f>
        <v>1</v>
      </c>
      <c r="H47" s="99" t="n">
        <f aca="false">'Loan Tape'!$R24*'Loan Tape'!$AN24</f>
        <v>36748000</v>
      </c>
      <c r="I47" s="104" t="n">
        <f aca="false">'Loan Tape'!$AO24</f>
        <v>0.94</v>
      </c>
      <c r="J47" s="99" t="n">
        <f aca="false">'Loan Tape'!$AY24</f>
        <v>34543120</v>
      </c>
      <c r="K47" s="99" t="n">
        <f aca="false">'Loan Tape'!$BB24</f>
        <v>34857315.4</v>
      </c>
      <c r="L47" s="104" t="n">
        <f aca="false">'Loan CF'!C331</f>
        <v>0.0745</v>
      </c>
      <c r="M47" s="105" t="n">
        <f aca="false">'Loan Tape'!$AS24*'Loan Tape'!$AN24</f>
        <v>3.34017796030116</v>
      </c>
      <c r="N47" s="105" t="n">
        <f aca="false">IFERROR(SUMPRODUCT(('Loan CF'!$C$916:$L$916-0.5)*('Loan CF'!C937:L937+'Loan CF'!C1240:L1240+'Loan CF'!C1543:L1543))/(SUM('Loan CF'!C937:L937)+SUM('Loan CF'!C1240:L1240)+SUM('Loan CF'!C1543:L1543)),0)</f>
        <v>2.83413840941361</v>
      </c>
      <c r="O47" s="99" t="n">
        <f aca="false">SUM('Loan CF'!C1846:L1846)</f>
        <v>6799292.64368928</v>
      </c>
      <c r="P47" s="99" t="n">
        <f aca="false">SUM('Loan CF'!C937:L937)+SUM('Loan CF'!C1240:L1240)+SUM('Loan CF'!C1543:L1543)</f>
        <v>34663705.2518294</v>
      </c>
      <c r="Q47" s="99" t="n">
        <f aca="false">SUM('Loan CF'!C2149:L2149)</f>
        <v>1459006.32371942</v>
      </c>
      <c r="R47" s="99" t="n">
        <f aca="false">SUM('Loan CF'!C1240:L1240)*Prepay_Pen</f>
        <v>104214.73740853</v>
      </c>
      <c r="S47" s="99" t="n">
        <f aca="false">'Loan CF'!$C2452</f>
        <v>0</v>
      </c>
      <c r="T47" s="99" t="n">
        <f aca="false">SUM(O47:S47)</f>
        <v>43026218.9566466</v>
      </c>
      <c r="U47" s="99" t="n">
        <f aca="false">SUM('Loan CF'!C634:L634)</f>
        <v>2084294.7481706</v>
      </c>
      <c r="V47" s="99" t="n">
        <f aca="false">U47*Sev</f>
        <v>625288.424451178</v>
      </c>
      <c r="W47" s="99" t="n">
        <f aca="false">T47-K47</f>
        <v>8168903.55664662</v>
      </c>
      <c r="X47" s="106" t="n">
        <f aca="false">IFERROR(IRR('Loan CF'!C2755:M2755),"-")</f>
        <v>0.0710577353521562</v>
      </c>
      <c r="Y47" s="107" t="n">
        <f aca="false">IFERROR(T47/K47,"-")</f>
        <v>1.23435263051401</v>
      </c>
      <c r="Z47" s="99" t="n">
        <f aca="false">'Loan Tape'!$BC24</f>
        <v>20725872</v>
      </c>
      <c r="AA47" s="99" t="n">
        <f aca="false">'Loan Tape'!$BE24</f>
        <v>14235072.76</v>
      </c>
      <c r="AB47" s="99" t="n">
        <f aca="false">SUM('Loan CF'!D3664:M3664)-AA47</f>
        <v>4869404.8671441</v>
      </c>
      <c r="AC47" s="106" t="n">
        <f aca="false">IFERROR(IRR('Loan CF'!C3664:M3664),"-")</f>
        <v>0.0852218010390347</v>
      </c>
      <c r="AD47" s="107" t="n">
        <f aca="false">IFERROR(SUM('Loan CF'!D3664:M3664)/AA47,"-")</f>
        <v>1.34207095033802</v>
      </c>
    </row>
    <row r="48" customFormat="false" ht="15" hidden="false" customHeight="false" outlineLevel="0" collapsed="false">
      <c r="B48" s="108" t="str">
        <f aca="false">IF('Loan Tape'!$A25="","",'Loan Tape'!$A25)</f>
        <v>L-022</v>
      </c>
      <c r="C48" s="108" t="str">
        <f aca="false">IF('Loan Tape'!$A25="","",'Loan Tape'!$B25)</f>
        <v>Summit Residences</v>
      </c>
      <c r="D48" s="108" t="str">
        <f aca="false">IF('Loan Tape'!$A25="","",'Loan Tape'!$C25)</f>
        <v>IL</v>
      </c>
      <c r="E48" s="108" t="str">
        <f aca="false">IF('Loan Tape'!$A25="","",'Loan Tape'!$D25)</f>
        <v>Multifamily</v>
      </c>
      <c r="F48" s="108" t="str">
        <f aca="false">IF('Loan Tape'!$A25="","",'Loan Tape'!$E25)</f>
        <v>Deal 4</v>
      </c>
      <c r="G48" s="26" t="n">
        <f aca="false">'Loan Tape'!$AN25</f>
        <v>1</v>
      </c>
      <c r="H48" s="71" t="n">
        <f aca="false">'Loan Tape'!$R25*'Loan Tape'!$AN25</f>
        <v>7026000</v>
      </c>
      <c r="I48" s="56" t="n">
        <f aca="false">'Loan Tape'!$AO25</f>
        <v>0.94</v>
      </c>
      <c r="J48" s="71" t="n">
        <f aca="false">'Loan Tape'!$AY25</f>
        <v>6604440</v>
      </c>
      <c r="K48" s="71" t="n">
        <f aca="false">'Loan Tape'!$BB25</f>
        <v>6664512.3</v>
      </c>
      <c r="L48" s="56" t="n">
        <f aca="false">'Loan CF'!C332</f>
        <v>0.0492</v>
      </c>
      <c r="M48" s="70" t="n">
        <f aca="false">'Loan Tape'!$AS25*'Loan Tape'!$AN25</f>
        <v>1.83709787816564</v>
      </c>
      <c r="N48" s="70" t="n">
        <f aca="false">IFERROR(SUMPRODUCT(('Loan CF'!$C$916:$L$916-0.5)*('Loan CF'!C938:L938+'Loan CF'!C1241:L1241+'Loan CF'!C1544:L1544))/(SUM('Loan CF'!C938:L938)+SUM('Loan CF'!C1241:L1241)+SUM('Loan CF'!C1544:L1544)),0)</f>
        <v>1.3689652610931</v>
      </c>
      <c r="O48" s="71" t="n">
        <f aca="false">SUM('Loan CF'!C1847:L1847)</f>
        <v>551953.005733917</v>
      </c>
      <c r="P48" s="71" t="n">
        <f aca="false">SUM('Loan CF'!C938:L938)+SUM('Loan CF'!C1241:L1241)+SUM('Loan CF'!C1544:L1544)</f>
        <v>6785088.56431592</v>
      </c>
      <c r="Q48" s="71" t="n">
        <f aca="false">SUM('Loan CF'!C2150:L2150)</f>
        <v>168638.00497886</v>
      </c>
      <c r="R48" s="71" t="n">
        <f aca="false">SUM('Loan CF'!C1241:L1241)*Prepay_Pen</f>
        <v>12045.5717842043</v>
      </c>
      <c r="S48" s="71" t="n">
        <f aca="false">'Loan CF'!$C2453</f>
        <v>0</v>
      </c>
      <c r="T48" s="71" t="n">
        <f aca="false">SUM(O48:S48)</f>
        <v>7517725.1468129</v>
      </c>
      <c r="U48" s="71" t="n">
        <f aca="false">SUM('Loan CF'!C635:L635)</f>
        <v>240911.435684086</v>
      </c>
      <c r="V48" s="71" t="n">
        <f aca="false">U48*Sev</f>
        <v>72273.4307052258</v>
      </c>
      <c r="W48" s="71" t="n">
        <f aca="false">T48-K48</f>
        <v>853212.846812896</v>
      </c>
      <c r="X48" s="109" t="n">
        <f aca="false">IFERROR(IRR('Loan CF'!C2756:M2756),"-")</f>
        <v>0.0675616435241686</v>
      </c>
      <c r="Y48" s="110" t="n">
        <f aca="false">IFERROR(T48/K48,"-")</f>
        <v>1.12802329839093</v>
      </c>
      <c r="Z48" s="71" t="n">
        <f aca="false">'Loan Tape'!$BC25</f>
        <v>3962664</v>
      </c>
      <c r="AA48" s="71" t="n">
        <f aca="false">'Loan Tape'!$BE25</f>
        <v>2721661.62</v>
      </c>
      <c r="AB48" s="71" t="n">
        <f aca="false">SUM('Loan CF'!D3665:M3665)-AA48</f>
        <v>477332.862635654</v>
      </c>
      <c r="AC48" s="109" t="n">
        <f aca="false">IFERROR(IRR('Loan CF'!C3665:M3665),"-")</f>
        <v>0.0843519768952315</v>
      </c>
      <c r="AD48" s="110" t="n">
        <f aca="false">IFERROR(SUM('Loan CF'!D3665:M3665)/AA48,"-")</f>
        <v>1.17538288342974</v>
      </c>
    </row>
    <row r="49" customFormat="false" ht="15" hidden="false" customHeight="false" outlineLevel="0" collapsed="false">
      <c r="B49" s="102" t="str">
        <f aca="false">IF('Loan Tape'!$A26="","",'Loan Tape'!$A26)</f>
        <v>L-023</v>
      </c>
      <c r="C49" s="102" t="str">
        <f aca="false">IF('Loan Tape'!$A26="","",'Loan Tape'!$B26)</f>
        <v>Grandview Plaza</v>
      </c>
      <c r="D49" s="102" t="str">
        <f aca="false">IF('Loan Tape'!$A26="","",'Loan Tape'!$C26)</f>
        <v>CO</v>
      </c>
      <c r="E49" s="102" t="str">
        <f aca="false">IF('Loan Tape'!$A26="","",'Loan Tape'!$D26)</f>
        <v>Office</v>
      </c>
      <c r="F49" s="102" t="str">
        <f aca="false">IF('Loan Tape'!$A26="","",'Loan Tape'!$E26)</f>
        <v>Deal 2</v>
      </c>
      <c r="G49" s="103" t="n">
        <f aca="false">'Loan Tape'!$AN26</f>
        <v>1</v>
      </c>
      <c r="H49" s="99" t="n">
        <f aca="false">'Loan Tape'!$R26*'Loan Tape'!$AN26</f>
        <v>76306000</v>
      </c>
      <c r="I49" s="104" t="n">
        <f aca="false">'Loan Tape'!$AO26</f>
        <v>0.94</v>
      </c>
      <c r="J49" s="99" t="n">
        <f aca="false">'Loan Tape'!$AY26</f>
        <v>71727640</v>
      </c>
      <c r="K49" s="99" t="n">
        <f aca="false">'Loan Tape'!$BB26</f>
        <v>72380056.3</v>
      </c>
      <c r="L49" s="104" t="n">
        <f aca="false">'Loan CF'!C333</f>
        <v>0.0594</v>
      </c>
      <c r="M49" s="105" t="n">
        <f aca="false">'Loan Tape'!$AS26*'Loan Tape'!$AN26</f>
        <v>0</v>
      </c>
      <c r="N49" s="105" t="n">
        <f aca="false">IFERROR(SUMPRODUCT(('Loan CF'!$C$916:$L$916-0.5)*('Loan CF'!C939:L939+'Loan CF'!C1242:L1242+'Loan CF'!C1545:L1545))/(SUM('Loan CF'!C939:L939)+SUM('Loan CF'!C1242:L1242)+SUM('Loan CF'!C1545:L1545)),0)</f>
        <v>0.5</v>
      </c>
      <c r="O49" s="99" t="n">
        <f aca="false">SUM('Loan CF'!C1848:L1848)</f>
        <v>0</v>
      </c>
      <c r="P49" s="99" t="n">
        <f aca="false">SUM('Loan CF'!C939:L939)+SUM('Loan CF'!C1242:L1242)+SUM('Loan CF'!C1545:L1545)</f>
        <v>76306000</v>
      </c>
      <c r="Q49" s="99" t="n">
        <f aca="false">SUM('Loan CF'!C2151:L2151)</f>
        <v>0</v>
      </c>
      <c r="R49" s="99" t="n">
        <f aca="false">SUM('Loan CF'!C1242:L1242)*Prepay_Pen</f>
        <v>0</v>
      </c>
      <c r="S49" s="99" t="n">
        <f aca="false">'Loan CF'!$C2454</f>
        <v>0</v>
      </c>
      <c r="T49" s="99" t="n">
        <f aca="false">SUM(O49:S49)</f>
        <v>76306000</v>
      </c>
      <c r="U49" s="99" t="n">
        <f aca="false">SUM('Loan CF'!C636:L636)</f>
        <v>0</v>
      </c>
      <c r="V49" s="99" t="n">
        <f aca="false">U49*Sev</f>
        <v>0</v>
      </c>
      <c r="W49" s="99" t="n">
        <f aca="false">T49-K49</f>
        <v>3925943.7</v>
      </c>
      <c r="X49" s="106" t="n">
        <f aca="false">IFERROR(IRR('Loan CF'!C2757:M2757),"-")</f>
        <v>0.0542406831479627</v>
      </c>
      <c r="Y49" s="107" t="n">
        <f aca="false">IFERROR(T49/K49,"-")</f>
        <v>1.05424068314796</v>
      </c>
      <c r="Z49" s="99" t="n">
        <f aca="false">'Loan Tape'!$BC26</f>
        <v>43036584</v>
      </c>
      <c r="AA49" s="99" t="n">
        <f aca="false">'Loan Tape'!$BE26</f>
        <v>29558655.22</v>
      </c>
      <c r="AB49" s="99" t="n">
        <f aca="false">SUM('Loan CF'!D3666:M3666)-AA49</f>
        <v>2096888.88</v>
      </c>
      <c r="AC49" s="106" t="n">
        <f aca="false">IFERROR(IRR('Loan CF'!C3666:M3666),"-")</f>
        <v>0.0709399282339883</v>
      </c>
      <c r="AD49" s="107" t="n">
        <f aca="false">IFERROR(SUM('Loan CF'!D3666:M3666)/AA49,"-")</f>
        <v>1.07093992823399</v>
      </c>
    </row>
    <row r="50" customFormat="false" ht="15" hidden="false" customHeight="false" outlineLevel="0" collapsed="false">
      <c r="B50" s="108" t="str">
        <f aca="false">IF('Loan Tape'!$A27="","",'Loan Tape'!$A27)</f>
        <v>L-024</v>
      </c>
      <c r="C50" s="108" t="str">
        <f aca="false">IF('Loan Tape'!$A27="","",'Loan Tape'!$B27)</f>
        <v>Union Square Mixed-Use Development</v>
      </c>
      <c r="D50" s="108" t="str">
        <f aca="false">IF('Loan Tape'!$A27="","",'Loan Tape'!$C27)</f>
        <v>NY</v>
      </c>
      <c r="E50" s="108" t="str">
        <f aca="false">IF('Loan Tape'!$A27="","",'Loan Tape'!$D27)</f>
        <v>Mixed-Use</v>
      </c>
      <c r="F50" s="108" t="str">
        <f aca="false">IF('Loan Tape'!$A27="","",'Loan Tape'!$E27)</f>
        <v>Deal 3</v>
      </c>
      <c r="G50" s="26" t="n">
        <f aca="false">'Loan Tape'!$AN27</f>
        <v>1</v>
      </c>
      <c r="H50" s="71" t="n">
        <f aca="false">'Loan Tape'!$R27*'Loan Tape'!$AN27</f>
        <v>17633000</v>
      </c>
      <c r="I50" s="56" t="n">
        <f aca="false">'Loan Tape'!$AO27</f>
        <v>0.94</v>
      </c>
      <c r="J50" s="71" t="n">
        <f aca="false">'Loan Tape'!$AY27</f>
        <v>16575020</v>
      </c>
      <c r="K50" s="71" t="n">
        <f aca="false">'Loan Tape'!$BB27</f>
        <v>16725782.15</v>
      </c>
      <c r="L50" s="56" t="n">
        <f aca="false">'Loan CF'!C334</f>
        <v>0.0767</v>
      </c>
      <c r="M50" s="70" t="n">
        <f aca="false">'Loan Tape'!$AS27*'Loan Tape'!$AN27</f>
        <v>3.92060232717317</v>
      </c>
      <c r="N50" s="70" t="n">
        <f aca="false">IFERROR(SUMPRODUCT(('Loan CF'!$C$916:$L$916-0.5)*('Loan CF'!C940:L940+'Loan CF'!C1243:L1243+'Loan CF'!C1546:L1546))/(SUM('Loan CF'!C940:L940)+SUM('Loan CF'!C1243:L1243)+SUM('Loan CF'!C1546:L1546)),0)</f>
        <v>2.90768310644233</v>
      </c>
      <c r="O50" s="71" t="n">
        <f aca="false">SUM('Loan CF'!C1849:L1849)</f>
        <v>3872747.30507533</v>
      </c>
      <c r="P50" s="71" t="n">
        <f aca="false">SUM('Loan CF'!C940:L940)+SUM('Loan CF'!C1243:L1243)+SUM('Loan CF'!C1546:L1546)</f>
        <v>16475652.8576876</v>
      </c>
      <c r="Q50" s="71" t="n">
        <f aca="false">SUM('Loan CF'!C2152:L2152)</f>
        <v>810142.999618672</v>
      </c>
      <c r="R50" s="71" t="n">
        <f aca="false">SUM('Loan CF'!C1243:L1243)*Prepay_Pen</f>
        <v>57867.3571156194</v>
      </c>
      <c r="S50" s="71" t="n">
        <f aca="false">'Loan CF'!$C2455</f>
        <v>0</v>
      </c>
      <c r="T50" s="71" t="n">
        <f aca="false">SUM(O50:S50)</f>
        <v>21216410.5194972</v>
      </c>
      <c r="U50" s="71" t="n">
        <f aca="false">SUM('Loan CF'!C637:L637)</f>
        <v>1157347.14231239</v>
      </c>
      <c r="V50" s="71" t="n">
        <f aca="false">U50*Sev</f>
        <v>347204.142693717</v>
      </c>
      <c r="W50" s="71" t="n">
        <f aca="false">T50-K50</f>
        <v>4490628.36949724</v>
      </c>
      <c r="X50" s="109" t="n">
        <f aca="false">IFERROR(IRR('Loan CF'!C2758:M2758),"-")</f>
        <v>0.0786993058708547</v>
      </c>
      <c r="Y50" s="110" t="n">
        <f aca="false">IFERROR(T50/K50,"-")</f>
        <v>1.26848540350606</v>
      </c>
      <c r="Z50" s="71" t="n">
        <f aca="false">'Loan Tape'!$BC27</f>
        <v>9945012</v>
      </c>
      <c r="AA50" s="71" t="n">
        <f aca="false">'Loan Tape'!$BE27</f>
        <v>6830495.21</v>
      </c>
      <c r="AB50" s="71" t="n">
        <f aca="false">SUM('Loan CF'!D3667:M3667)-AA50</f>
        <v>2825537.12629724</v>
      </c>
      <c r="AC50" s="109" t="n">
        <f aca="false">IFERROR(IRR('Loan CF'!C3667:M3667),"-")</f>
        <v>0.10101651302629</v>
      </c>
      <c r="AD50" s="110" t="n">
        <f aca="false">IFERROR(SUM('Loan CF'!D3667:M3667)/AA50,"-")</f>
        <v>1.41366504761772</v>
      </c>
    </row>
    <row r="51" customFormat="false" ht="15" hidden="false" customHeight="false" outlineLevel="0" collapsed="false">
      <c r="B51" s="102" t="str">
        <f aca="false">IF('Loan Tape'!$A28="","",'Loan Tape'!$A28)</f>
        <v>L-025</v>
      </c>
      <c r="C51" s="102" t="str">
        <f aca="false">IF('Loan Tape'!$A28="","",'Loan Tape'!$B28)</f>
        <v>Dogwood Warehouse</v>
      </c>
      <c r="D51" s="102" t="str">
        <f aca="false">IF('Loan Tape'!$A28="","",'Loan Tape'!$C28)</f>
        <v>VA</v>
      </c>
      <c r="E51" s="102" t="str">
        <f aca="false">IF('Loan Tape'!$A28="","",'Loan Tape'!$D28)</f>
        <v>Industrial</v>
      </c>
      <c r="F51" s="102" t="str">
        <f aca="false">IF('Loan Tape'!$A28="","",'Loan Tape'!$E28)</f>
        <v>Deal 4</v>
      </c>
      <c r="G51" s="103" t="n">
        <f aca="false">'Loan Tape'!$AN28</f>
        <v>1</v>
      </c>
      <c r="H51" s="99" t="n">
        <f aca="false">'Loan Tape'!$R28*'Loan Tape'!$AN28</f>
        <v>14773000</v>
      </c>
      <c r="I51" s="104" t="n">
        <f aca="false">'Loan Tape'!$AO28</f>
        <v>0.94</v>
      </c>
      <c r="J51" s="99" t="n">
        <f aca="false">'Loan Tape'!$AY28</f>
        <v>13886620</v>
      </c>
      <c r="K51" s="99" t="n">
        <f aca="false">'Loan Tape'!$BB28</f>
        <v>14012929.15</v>
      </c>
      <c r="L51" s="104" t="n">
        <f aca="false">'Loan CF'!C335</f>
        <v>0.0526</v>
      </c>
      <c r="M51" s="105" t="n">
        <f aca="false">'Loan Tape'!$AS28*'Loan Tape'!$AN28</f>
        <v>3.25530458590007</v>
      </c>
      <c r="N51" s="105" t="n">
        <f aca="false">IFERROR(SUMPRODUCT(('Loan CF'!$C$916:$L$916-0.5)*('Loan CF'!C941:L941+'Loan CF'!C1244:L1244+'Loan CF'!C1547:L1547))/(SUM('Loan CF'!C941:L941)+SUM('Loan CF'!C1244:L1244)+SUM('Loan CF'!C1547:L1547)),0)</f>
        <v>2.80993354702498</v>
      </c>
      <c r="O51" s="99" t="n">
        <f aca="false">SUM('Loan CF'!C1850:L1850)</f>
        <v>2004930.54658622</v>
      </c>
      <c r="P51" s="99" t="n">
        <f aca="false">SUM('Loan CF'!C941:L941)+SUM('Loan CF'!C1244:L1244)+SUM('Loan CF'!C1547:L1547)</f>
        <v>13956064.1730733</v>
      </c>
      <c r="Q51" s="99" t="n">
        <f aca="false">SUM('Loan CF'!C2153:L2153)</f>
        <v>571855.078848679</v>
      </c>
      <c r="R51" s="99" t="n">
        <f aca="false">SUM('Loan CF'!C1244:L1244)*Prepay_Pen</f>
        <v>40846.7913463342</v>
      </c>
      <c r="S51" s="99" t="n">
        <f aca="false">'Loan CF'!$C2456</f>
        <v>0</v>
      </c>
      <c r="T51" s="99" t="n">
        <f aca="false">SUM(O51:S51)</f>
        <v>16573696.5898545</v>
      </c>
      <c r="U51" s="99" t="n">
        <f aca="false">SUM('Loan CF'!C638:L638)</f>
        <v>816935.826926684</v>
      </c>
      <c r="V51" s="99" t="n">
        <f aca="false">U51*Sev</f>
        <v>245080.748078005</v>
      </c>
      <c r="W51" s="99" t="n">
        <f aca="false">T51-K51</f>
        <v>2560767.43985454</v>
      </c>
      <c r="X51" s="106" t="n">
        <f aca="false">IFERROR(IRR('Loan CF'!C2759:M2759),"-")</f>
        <v>0.055523863507114</v>
      </c>
      <c r="Y51" s="107" t="n">
        <f aca="false">IFERROR(T51/K51,"-")</f>
        <v>1.18274319469135</v>
      </c>
      <c r="Z51" s="99" t="n">
        <f aca="false">'Loan Tape'!$BC28</f>
        <v>8331972</v>
      </c>
      <c r="AA51" s="99" t="n">
        <f aca="false">'Loan Tape'!$BE28</f>
        <v>5722617.01</v>
      </c>
      <c r="AB51" s="99" t="n">
        <f aca="false">SUM('Loan CF'!D3668:M3668)-AA51</f>
        <v>1256342.32227842</v>
      </c>
      <c r="AC51" s="106" t="n">
        <f aca="false">IFERROR(IRR('Loan CF'!C3668:M3668),"-")</f>
        <v>0.0538225930834724</v>
      </c>
      <c r="AD51" s="107" t="n">
        <f aca="false">IFERROR(SUM('Loan CF'!D3668:M3668)/AA51,"-")</f>
        <v>1.2195398224419</v>
      </c>
    </row>
    <row r="52" customFormat="false" ht="15" hidden="false" customHeight="false" outlineLevel="0" collapsed="false">
      <c r="B52" s="108" t="str">
        <f aca="false">IF('Loan Tape'!$A29="","",'Loan Tape'!$A29)</f>
        <v>L-026</v>
      </c>
      <c r="C52" s="108" t="str">
        <f aca="false">IF('Loan Tape'!$A29="","",'Loan Tape'!$B29)</f>
        <v>Oakmont Village</v>
      </c>
      <c r="D52" s="108" t="str">
        <f aca="false">IF('Loan Tape'!$A29="","",'Loan Tape'!$C29)</f>
        <v>MD</v>
      </c>
      <c r="E52" s="108" t="str">
        <f aca="false">IF('Loan Tape'!$A29="","",'Loan Tape'!$D29)</f>
        <v>Multifamily</v>
      </c>
      <c r="F52" s="108" t="str">
        <f aca="false">IF('Loan Tape'!$A29="","",'Loan Tape'!$E29)</f>
        <v>Deal 8</v>
      </c>
      <c r="G52" s="26" t="n">
        <f aca="false">'Loan Tape'!$AN29</f>
        <v>1</v>
      </c>
      <c r="H52" s="71" t="n">
        <f aca="false">'Loan Tape'!$R29*'Loan Tape'!$AN29</f>
        <v>89897000</v>
      </c>
      <c r="I52" s="56" t="n">
        <f aca="false">'Loan Tape'!$AO29</f>
        <v>0.94</v>
      </c>
      <c r="J52" s="71" t="n">
        <f aca="false">'Loan Tape'!$AY29</f>
        <v>84503180</v>
      </c>
      <c r="K52" s="71" t="n">
        <f aca="false">'Loan Tape'!$BB29</f>
        <v>85271799.35</v>
      </c>
      <c r="L52" s="56" t="n">
        <f aca="false">'Loan CF'!C336</f>
        <v>0.0874</v>
      </c>
      <c r="M52" s="70" t="n">
        <f aca="false">'Loan Tape'!$AS29*'Loan Tape'!$AN29</f>
        <v>1</v>
      </c>
      <c r="N52" s="70" t="n">
        <f aca="false">IFERROR(SUMPRODUCT(('Loan CF'!$C$916:$L$916-0.5)*('Loan CF'!C942:L942+'Loan CF'!C1245:L1245+'Loan CF'!C1548:L1548))/(SUM('Loan CF'!C942:L942)+SUM('Loan CF'!C1245:L1245)+SUM('Loan CF'!C1548:L1548)),0)</f>
        <v>0.5</v>
      </c>
      <c r="O52" s="71" t="n">
        <f aca="false">SUM('Loan CF'!C1851:L1851)</f>
        <v>7385577.932</v>
      </c>
      <c r="P52" s="71" t="n">
        <f aca="false">SUM('Loan CF'!C942:L942)+SUM('Loan CF'!C1245:L1245)+SUM('Loan CF'!C1548:L1548)</f>
        <v>88099060</v>
      </c>
      <c r="Q52" s="71" t="n">
        <f aca="false">SUM('Loan CF'!C2154:L2154)</f>
        <v>1258558</v>
      </c>
      <c r="R52" s="71" t="n">
        <f aca="false">SUM('Loan CF'!C1245:L1245)*Prepay_Pen</f>
        <v>89897</v>
      </c>
      <c r="S52" s="71" t="n">
        <f aca="false">'Loan CF'!$C2457</f>
        <v>0</v>
      </c>
      <c r="T52" s="71" t="n">
        <f aca="false">SUM(O52:S52)</f>
        <v>96833092.932</v>
      </c>
      <c r="U52" s="71" t="n">
        <f aca="false">SUM('Loan CF'!C639:L639)</f>
        <v>1797940</v>
      </c>
      <c r="V52" s="71" t="n">
        <f aca="false">U52*Sev</f>
        <v>539382</v>
      </c>
      <c r="W52" s="71" t="n">
        <f aca="false">T52-K52</f>
        <v>11561293.582</v>
      </c>
      <c r="X52" s="109" t="n">
        <f aca="false">IFERROR(IRR('Loan CF'!C2760:M2760),"-")</f>
        <v>0.133839467556964</v>
      </c>
      <c r="Y52" s="110" t="n">
        <f aca="false">IFERROR(T52/K52,"-")</f>
        <v>1.13558167729693</v>
      </c>
      <c r="Z52" s="71" t="n">
        <f aca="false">'Loan Tape'!$BC29</f>
        <v>50701908</v>
      </c>
      <c r="AA52" s="71" t="n">
        <f aca="false">'Loan Tape'!$BE29</f>
        <v>34823400.89</v>
      </c>
      <c r="AB52" s="71" t="n">
        <f aca="false">SUM('Loan CF'!D3669:M3669)-AA52</f>
        <v>9406462.492</v>
      </c>
      <c r="AC52" s="109" t="n">
        <f aca="false">IFERROR(IRR('Loan CF'!C3669:M3669),"-")</f>
        <v>0.262602192681335</v>
      </c>
      <c r="AD52" s="110" t="n">
        <f aca="false">IFERROR(SUM('Loan CF'!D3669:M3669)/AA52,"-")</f>
        <v>1.27011900766709</v>
      </c>
    </row>
    <row r="53" customFormat="false" ht="15" hidden="false" customHeight="false" outlineLevel="0" collapsed="false">
      <c r="B53" s="102" t="str">
        <f aca="false">IF('Loan Tape'!$A30="","",'Loan Tape'!$A30)</f>
        <v>L-027</v>
      </c>
      <c r="C53" s="102" t="str">
        <f aca="false">IF('Loan Tape'!$A30="","",'Loan Tape'!$B30)</f>
        <v>Keystone Exchange</v>
      </c>
      <c r="D53" s="102" t="str">
        <f aca="false">IF('Loan Tape'!$A30="","",'Loan Tape'!$C30)</f>
        <v>WA</v>
      </c>
      <c r="E53" s="102" t="str">
        <f aca="false">IF('Loan Tape'!$A30="","",'Loan Tape'!$D30)</f>
        <v>Office</v>
      </c>
      <c r="F53" s="102" t="str">
        <f aca="false">IF('Loan Tape'!$A30="","",'Loan Tape'!$E30)</f>
        <v>Deal 3</v>
      </c>
      <c r="G53" s="103" t="n">
        <f aca="false">'Loan Tape'!$AN30</f>
        <v>1</v>
      </c>
      <c r="H53" s="99" t="n">
        <f aca="false">'Loan Tape'!$R30*'Loan Tape'!$AN30</f>
        <v>88481000</v>
      </c>
      <c r="I53" s="104" t="n">
        <f aca="false">'Loan Tape'!$AO30</f>
        <v>0.94</v>
      </c>
      <c r="J53" s="99" t="n">
        <f aca="false">'Loan Tape'!$AY30</f>
        <v>83172140</v>
      </c>
      <c r="K53" s="99" t="n">
        <f aca="false">'Loan Tape'!$BB30</f>
        <v>83928652.55</v>
      </c>
      <c r="L53" s="104" t="n">
        <f aca="false">'Loan CF'!C337</f>
        <v>0.0784</v>
      </c>
      <c r="M53" s="105" t="n">
        <f aca="false">'Loan Tape'!$AS30*'Loan Tape'!$AN30</f>
        <v>3.50171115674196</v>
      </c>
      <c r="N53" s="105" t="n">
        <f aca="false">IFERROR(SUMPRODUCT(('Loan CF'!$C$916:$L$916-0.5)*('Loan CF'!C943:L943+'Loan CF'!C1246:L1246+'Loan CF'!C1549:L1549))/(SUM('Loan CF'!C943:L943)+SUM('Loan CF'!C1246:L1246)+SUM('Loan CF'!C1549:L1549)),0)</f>
        <v>2.91128036219501</v>
      </c>
      <c r="O53" s="99" t="n">
        <f aca="false">SUM('Loan CF'!C1852:L1852)</f>
        <v>18340496.3724674</v>
      </c>
      <c r="P53" s="99" t="n">
        <f aca="false">SUM('Loan CF'!C943:L943)+SUM('Loan CF'!C1246:L1246)+SUM('Loan CF'!C1549:L1549)</f>
        <v>83178683.8682292</v>
      </c>
      <c r="Q53" s="99" t="n">
        <f aca="false">SUM('Loan CF'!C2155:L2155)</f>
        <v>3711621.29223955</v>
      </c>
      <c r="R53" s="99" t="n">
        <f aca="false">SUM('Loan CF'!C1246:L1246)*Prepay_Pen</f>
        <v>265115.806588539</v>
      </c>
      <c r="S53" s="99" t="n">
        <f aca="false">'Loan CF'!$C2458</f>
        <v>0</v>
      </c>
      <c r="T53" s="99" t="n">
        <f aca="false">SUM(O53:S53)</f>
        <v>105495917.339525</v>
      </c>
      <c r="U53" s="99" t="n">
        <f aca="false">SUM('Loan CF'!C640:L640)</f>
        <v>5302316.13177079</v>
      </c>
      <c r="V53" s="99" t="n">
        <f aca="false">U53*Sev</f>
        <v>1590694.83953124</v>
      </c>
      <c r="W53" s="99" t="n">
        <f aca="false">T53-K53</f>
        <v>21567264.7895247</v>
      </c>
      <c r="X53" s="106" t="n">
        <f aca="false">IFERROR(IRR('Loan CF'!C2761:M2761),"-")</f>
        <v>0.0759859364650456</v>
      </c>
      <c r="Y53" s="107" t="n">
        <f aca="false">IFERROR(T53/K53,"-")</f>
        <v>1.25697141720077</v>
      </c>
      <c r="Z53" s="99" t="n">
        <f aca="false">'Loan Tape'!$BC30</f>
        <v>49903284</v>
      </c>
      <c r="AA53" s="99" t="n">
        <f aca="false">'Loan Tape'!$BE30</f>
        <v>34274884.97</v>
      </c>
      <c r="AB53" s="99" t="n">
        <f aca="false">SUM('Loan CF'!D3670:M3670)-AA53</f>
        <v>13211968.5671247</v>
      </c>
      <c r="AC53" s="106" t="n">
        <f aca="false">IFERROR(IRR('Loan CF'!C3670:M3670),"-")</f>
        <v>0.095715803200491</v>
      </c>
      <c r="AD53" s="107" t="n">
        <f aca="false">IFERROR(SUM('Loan CF'!D3670:M3670)/AA53,"-")</f>
        <v>1.38547083611481</v>
      </c>
    </row>
    <row r="54" customFormat="false" ht="15" hidden="false" customHeight="false" outlineLevel="0" collapsed="false">
      <c r="B54" s="108" t="str">
        <f aca="false">IF('Loan Tape'!$A31="","",'Loan Tape'!$A31)</f>
        <v>L-028</v>
      </c>
      <c r="C54" s="108" t="str">
        <f aca="false">IF('Loan Tape'!$A31="","",'Loan Tape'!$B31)</f>
        <v>Hillcrest Residences</v>
      </c>
      <c r="D54" s="108" t="str">
        <f aca="false">IF('Loan Tape'!$A31="","",'Loan Tape'!$C31)</f>
        <v>GA</v>
      </c>
      <c r="E54" s="108" t="str">
        <f aca="false">IF('Loan Tape'!$A31="","",'Loan Tape'!$D31)</f>
        <v>Multifamily</v>
      </c>
      <c r="F54" s="108" t="str">
        <f aca="false">IF('Loan Tape'!$A31="","",'Loan Tape'!$E31)</f>
        <v>Deal 1</v>
      </c>
      <c r="G54" s="26" t="n">
        <f aca="false">'Loan Tape'!$AN31</f>
        <v>1</v>
      </c>
      <c r="H54" s="71" t="n">
        <f aca="false">'Loan Tape'!$R31*'Loan Tape'!$AN31</f>
        <v>86385000</v>
      </c>
      <c r="I54" s="56" t="n">
        <f aca="false">'Loan Tape'!$AO31</f>
        <v>0.94</v>
      </c>
      <c r="J54" s="71" t="n">
        <f aca="false">'Loan Tape'!$AY31</f>
        <v>81201900</v>
      </c>
      <c r="K54" s="71" t="n">
        <f aca="false">'Loan Tape'!$BB31</f>
        <v>81940491.75</v>
      </c>
      <c r="L54" s="56" t="n">
        <f aca="false">'Loan CF'!C338</f>
        <v>0.0534</v>
      </c>
      <c r="M54" s="70" t="n">
        <f aca="false">'Loan Tape'!$AS31*'Loan Tape'!$AN31</f>
        <v>0</v>
      </c>
      <c r="N54" s="70" t="n">
        <f aca="false">IFERROR(SUMPRODUCT(('Loan CF'!$C$916:$L$916-0.5)*('Loan CF'!C944:L944+'Loan CF'!C1247:L1247+'Loan CF'!C1550:L1550))/(SUM('Loan CF'!C944:L944)+SUM('Loan CF'!C1247:L1247)+SUM('Loan CF'!C1550:L1550)),0)</f>
        <v>0.5</v>
      </c>
      <c r="O54" s="71" t="n">
        <f aca="false">SUM('Loan CF'!C1853:L1853)</f>
        <v>0</v>
      </c>
      <c r="P54" s="71" t="n">
        <f aca="false">SUM('Loan CF'!C944:L944)+SUM('Loan CF'!C1247:L1247)+SUM('Loan CF'!C1550:L1550)</f>
        <v>86385000</v>
      </c>
      <c r="Q54" s="71" t="n">
        <f aca="false">SUM('Loan CF'!C2156:L2156)</f>
        <v>0</v>
      </c>
      <c r="R54" s="71" t="n">
        <f aca="false">SUM('Loan CF'!C1247:L1247)*Prepay_Pen</f>
        <v>0</v>
      </c>
      <c r="S54" s="71" t="n">
        <f aca="false">'Loan CF'!$C2459</f>
        <v>0</v>
      </c>
      <c r="T54" s="71" t="n">
        <f aca="false">SUM(O54:S54)</f>
        <v>86385000</v>
      </c>
      <c r="U54" s="71" t="n">
        <f aca="false">SUM('Loan CF'!C641:L641)</f>
        <v>0</v>
      </c>
      <c r="V54" s="71" t="n">
        <f aca="false">U54*Sev</f>
        <v>0</v>
      </c>
      <c r="W54" s="71" t="n">
        <f aca="false">T54-K54</f>
        <v>4444508.25</v>
      </c>
      <c r="X54" s="109" t="n">
        <f aca="false">IFERROR(IRR('Loan CF'!C2762:M2762),"-")</f>
        <v>0.0542406831479628</v>
      </c>
      <c r="Y54" s="110" t="n">
        <f aca="false">IFERROR(T54/K54,"-")</f>
        <v>1.05424068314796</v>
      </c>
      <c r="Z54" s="71" t="n">
        <f aca="false">'Loan Tape'!$BC31</f>
        <v>48721140</v>
      </c>
      <c r="AA54" s="71" t="n">
        <f aca="false">'Loan Tape'!$BE31</f>
        <v>33462957.45</v>
      </c>
      <c r="AB54" s="71" t="n">
        <f aca="false">SUM('Loan CF'!D3671:M3671)-AA54</f>
        <v>2373859.79999999</v>
      </c>
      <c r="AC54" s="109" t="n">
        <f aca="false">IFERROR(IRR('Loan CF'!C3671:M3671),"-")</f>
        <v>0.0709399282339881</v>
      </c>
      <c r="AD54" s="110" t="n">
        <f aca="false">IFERROR(SUM('Loan CF'!D3671:M3671)/AA54,"-")</f>
        <v>1.07093992823399</v>
      </c>
    </row>
    <row r="55" customFormat="false" ht="15" hidden="false" customHeight="false" outlineLevel="0" collapsed="false">
      <c r="B55" s="102" t="str">
        <f aca="false">IF('Loan Tape'!$A32="","",'Loan Tape'!$A32)</f>
        <v>L-029</v>
      </c>
      <c r="C55" s="102" t="str">
        <f aca="false">IF('Loan Tape'!$A32="","",'Loan Tape'!$B32)</f>
        <v>Northgate Residences</v>
      </c>
      <c r="D55" s="102" t="str">
        <f aca="false">IF('Loan Tape'!$A32="","",'Loan Tape'!$C32)</f>
        <v>MD</v>
      </c>
      <c r="E55" s="102" t="str">
        <f aca="false">IF('Loan Tape'!$A32="","",'Loan Tape'!$D32)</f>
        <v>Multifamily</v>
      </c>
      <c r="F55" s="102" t="str">
        <f aca="false">IF('Loan Tape'!$A32="","",'Loan Tape'!$E32)</f>
        <v>Deal 7</v>
      </c>
      <c r="G55" s="103" t="n">
        <f aca="false">'Loan Tape'!$AN32</f>
        <v>1</v>
      </c>
      <c r="H55" s="99" t="n">
        <f aca="false">'Loan Tape'!$R32*'Loan Tape'!$AN32</f>
        <v>43725000</v>
      </c>
      <c r="I55" s="104" t="n">
        <f aca="false">'Loan Tape'!$AO32</f>
        <v>0.94</v>
      </c>
      <c r="J55" s="99" t="n">
        <f aca="false">'Loan Tape'!$AY32</f>
        <v>41101500</v>
      </c>
      <c r="K55" s="99" t="n">
        <f aca="false">'Loan Tape'!$BB32</f>
        <v>41475348.75</v>
      </c>
      <c r="L55" s="104" t="n">
        <f aca="false">'Loan CF'!C339</f>
        <v>0.0719</v>
      </c>
      <c r="M55" s="105" t="n">
        <f aca="false">'Loan Tape'!$AS32*'Loan Tape'!$AN32</f>
        <v>0</v>
      </c>
      <c r="N55" s="105" t="n">
        <f aca="false">IFERROR(SUMPRODUCT(('Loan CF'!$C$916:$L$916-0.5)*('Loan CF'!C945:L945+'Loan CF'!C1248:L1248+'Loan CF'!C1551:L1551))/(SUM('Loan CF'!C945:L945)+SUM('Loan CF'!C1248:L1248)+SUM('Loan CF'!C1551:L1551)),0)</f>
        <v>0.5</v>
      </c>
      <c r="O55" s="99" t="n">
        <f aca="false">SUM('Loan CF'!C1854:L1854)</f>
        <v>0</v>
      </c>
      <c r="P55" s="99" t="n">
        <f aca="false">SUM('Loan CF'!C945:L945)+SUM('Loan CF'!C1248:L1248)+SUM('Loan CF'!C1551:L1551)</f>
        <v>43725000</v>
      </c>
      <c r="Q55" s="99" t="n">
        <f aca="false">SUM('Loan CF'!C2157:L2157)</f>
        <v>0</v>
      </c>
      <c r="R55" s="99" t="n">
        <f aca="false">SUM('Loan CF'!C1248:L1248)*Prepay_Pen</f>
        <v>0</v>
      </c>
      <c r="S55" s="99" t="n">
        <f aca="false">'Loan CF'!$C2460</f>
        <v>0</v>
      </c>
      <c r="T55" s="99" t="n">
        <f aca="false">SUM(O55:S55)</f>
        <v>43725000</v>
      </c>
      <c r="U55" s="99" t="n">
        <f aca="false">SUM('Loan CF'!C642:L642)</f>
        <v>0</v>
      </c>
      <c r="V55" s="99" t="n">
        <f aca="false">U55*Sev</f>
        <v>0</v>
      </c>
      <c r="W55" s="99" t="n">
        <f aca="false">T55-K55</f>
        <v>2249651.25</v>
      </c>
      <c r="X55" s="106" t="n">
        <f aca="false">IFERROR(IRR('Loan CF'!C2763:M2763),"-")</f>
        <v>0.0542406831479626</v>
      </c>
      <c r="Y55" s="107" t="n">
        <f aca="false">IFERROR(T55/K55,"-")</f>
        <v>1.05424068314796</v>
      </c>
      <c r="Z55" s="99" t="n">
        <f aca="false">'Loan Tape'!$BC32</f>
        <v>24660900</v>
      </c>
      <c r="AA55" s="99" t="n">
        <f aca="false">'Loan Tape'!$BE32</f>
        <v>16937753.25</v>
      </c>
      <c r="AB55" s="99" t="n">
        <f aca="false">SUM('Loan CF'!D3672:M3672)-AA55</f>
        <v>1201563</v>
      </c>
      <c r="AC55" s="106" t="n">
        <f aca="false">IFERROR(IRR('Loan CF'!C3672:M3672),"-")</f>
        <v>0.0709399282339883</v>
      </c>
      <c r="AD55" s="107" t="n">
        <f aca="false">IFERROR(SUM('Loan CF'!D3672:M3672)/AA55,"-")</f>
        <v>1.07093992823399</v>
      </c>
    </row>
    <row r="56" customFormat="false" ht="15" hidden="false" customHeight="false" outlineLevel="0" collapsed="false">
      <c r="B56" s="108" t="str">
        <f aca="false">IF('Loan Tape'!$A33="","",'Loan Tape'!$A33)</f>
        <v>L-030</v>
      </c>
      <c r="C56" s="108" t="str">
        <f aca="false">IF('Loan Tape'!$A33="","",'Loan Tape'!$B33)</f>
        <v>Ridgeline Distribution Center</v>
      </c>
      <c r="D56" s="108" t="str">
        <f aca="false">IF('Loan Tape'!$A33="","",'Loan Tape'!$C33)</f>
        <v>GA</v>
      </c>
      <c r="E56" s="108" t="str">
        <f aca="false">IF('Loan Tape'!$A33="","",'Loan Tape'!$D33)</f>
        <v>Industrial</v>
      </c>
      <c r="F56" s="108" t="str">
        <f aca="false">IF('Loan Tape'!$A33="","",'Loan Tape'!$E33)</f>
        <v>Deal 8</v>
      </c>
      <c r="G56" s="26" t="n">
        <f aca="false">'Loan Tape'!$AN33</f>
        <v>1</v>
      </c>
      <c r="H56" s="71" t="n">
        <f aca="false">'Loan Tape'!$R33*'Loan Tape'!$AN33</f>
        <v>14196000</v>
      </c>
      <c r="I56" s="56" t="n">
        <f aca="false">'Loan Tape'!$AO33</f>
        <v>0.94</v>
      </c>
      <c r="J56" s="71" t="n">
        <f aca="false">'Loan Tape'!$AY33</f>
        <v>13344240</v>
      </c>
      <c r="K56" s="71" t="n">
        <f aca="false">'Loan Tape'!$BB33</f>
        <v>13465615.8</v>
      </c>
      <c r="L56" s="56" t="n">
        <f aca="false">'Loan CF'!C340</f>
        <v>0.0793</v>
      </c>
      <c r="M56" s="70" t="n">
        <f aca="false">'Loan Tape'!$AS33*'Loan Tape'!$AN33</f>
        <v>4.33949349760438</v>
      </c>
      <c r="N56" s="70" t="n">
        <f aca="false">IFERROR(SUMPRODUCT(('Loan CF'!$C$916:$L$916-0.5)*('Loan CF'!C946:L946+'Loan CF'!C1249:L1249+'Loan CF'!C1552:L1552))/(SUM('Loan CF'!C946:L946)+SUM('Loan CF'!C1249:L1249)+SUM('Loan CF'!C1552:L1552)),0)</f>
        <v>3.40578508032083</v>
      </c>
      <c r="O56" s="71" t="n">
        <f aca="false">SUM('Loan CF'!C1855:L1855)</f>
        <v>3382674.92126232</v>
      </c>
      <c r="P56" s="71" t="n">
        <f aca="false">SUM('Loan CF'!C946:L946)+SUM('Loan CF'!C1249:L1249)+SUM('Loan CF'!C1552:L1552)</f>
        <v>13218706.0969722</v>
      </c>
      <c r="Q56" s="71" t="n">
        <f aca="false">SUM('Loan CF'!C2158:L2158)</f>
        <v>646889.552232308</v>
      </c>
      <c r="R56" s="71" t="n">
        <f aca="false">SUM('Loan CF'!C1249:L1249)*Prepay_Pen</f>
        <v>48864.695151391</v>
      </c>
      <c r="S56" s="71" t="n">
        <f aca="false">'Loan CF'!$C2461</f>
        <v>37216.1798871657</v>
      </c>
      <c r="T56" s="71" t="n">
        <f aca="false">SUM(O56:S56)</f>
        <v>17334351.4455054</v>
      </c>
      <c r="U56" s="71" t="n">
        <f aca="false">SUM('Loan CF'!C643:L643)</f>
        <v>977293.90302782</v>
      </c>
      <c r="V56" s="71" t="n">
        <f aca="false">U56*Sev</f>
        <v>293188.170908346</v>
      </c>
      <c r="W56" s="71" t="n">
        <f aca="false">T56-K56</f>
        <v>3868735.64550536</v>
      </c>
      <c r="X56" s="109" t="n">
        <f aca="false">IFERROR(IRR('Loan CF'!C2764:M2764),"-")</f>
        <v>0.0748101162830815</v>
      </c>
      <c r="Y56" s="110" t="n">
        <f aca="false">IFERROR(T56/K56,"-")</f>
        <v>1.2873047696419</v>
      </c>
      <c r="Z56" s="71" t="n">
        <f aca="false">'Loan Tape'!$BC33</f>
        <v>8006544</v>
      </c>
      <c r="AA56" s="71" t="n">
        <f aca="false">'Loan Tape'!$BE33</f>
        <v>5499104.52</v>
      </c>
      <c r="AB56" s="71" t="n">
        <f aca="false">SUM('Loan CF'!D3673:M3673)-AA56</f>
        <v>2421721.78168819</v>
      </c>
      <c r="AC56" s="109" t="n">
        <f aca="false">IFERROR(IRR('Loan CF'!C3673:M3673),"-")</f>
        <v>0.0889588288115599</v>
      </c>
      <c r="AD56" s="110" t="n">
        <f aca="false">IFERROR(SUM('Loan CF'!D3673:M3673)/AA56,"-")</f>
        <v>1.4403847522593</v>
      </c>
    </row>
    <row r="57" customFormat="false" ht="15" hidden="false" customHeight="false" outlineLevel="0" collapsed="false">
      <c r="B57" s="102" t="str">
        <f aca="false">IF('Loan Tape'!$A34="","",'Loan Tape'!$A34)</f>
        <v>L-031</v>
      </c>
      <c r="C57" s="102" t="str">
        <f aca="false">IF('Loan Tape'!$A34="","",'Loan Tape'!$B34)</f>
        <v>Harborview Logistics Park</v>
      </c>
      <c r="D57" s="102" t="str">
        <f aca="false">IF('Loan Tape'!$A34="","",'Loan Tape'!$C34)</f>
        <v>TX</v>
      </c>
      <c r="E57" s="102" t="str">
        <f aca="false">IF('Loan Tape'!$A34="","",'Loan Tape'!$D34)</f>
        <v>Industrial</v>
      </c>
      <c r="F57" s="102" t="str">
        <f aca="false">IF('Loan Tape'!$A34="","",'Loan Tape'!$E34)</f>
        <v>Deal 3</v>
      </c>
      <c r="G57" s="103" t="n">
        <f aca="false">'Loan Tape'!$AN34</f>
        <v>1</v>
      </c>
      <c r="H57" s="99" t="n">
        <f aca="false">'Loan Tape'!$R34*'Loan Tape'!$AN34</f>
        <v>11649000</v>
      </c>
      <c r="I57" s="104" t="n">
        <f aca="false">'Loan Tape'!$AO34</f>
        <v>0.94</v>
      </c>
      <c r="J57" s="99" t="n">
        <f aca="false">'Loan Tape'!$AY34</f>
        <v>10950060</v>
      </c>
      <c r="K57" s="99" t="n">
        <f aca="false">'Loan Tape'!$BB34</f>
        <v>11049658.95</v>
      </c>
      <c r="L57" s="104" t="n">
        <f aca="false">'Loan CF'!C341</f>
        <v>0.0772</v>
      </c>
      <c r="M57" s="105" t="n">
        <f aca="false">'Loan Tape'!$AS34*'Loan Tape'!$AN34</f>
        <v>1.2539356605065</v>
      </c>
      <c r="N57" s="105" t="n">
        <f aca="false">IFERROR(SUMPRODUCT(('Loan CF'!$C$916:$L$916-0.5)*('Loan CF'!C947:L947+'Loan CF'!C1250:L1250+'Loan CF'!C1553:L1553))/(SUM('Loan CF'!C947:L947)+SUM('Loan CF'!C1250:L1250)+SUM('Loan CF'!C1553:L1553)),0)</f>
        <v>1.39749169689761</v>
      </c>
      <c r="O57" s="99" t="n">
        <f aca="false">SUM('Loan CF'!C1856:L1856)</f>
        <v>1030426.68610473</v>
      </c>
      <c r="P57" s="99" t="n">
        <f aca="false">SUM('Loan CF'!C947:L947)+SUM('Loan CF'!C1250:L1250)+SUM('Loan CF'!C1553:L1553)</f>
        <v>11363957.5014374</v>
      </c>
      <c r="Q57" s="99" t="n">
        <f aca="false">SUM('Loan CF'!C2159:L2159)</f>
        <v>199529.74899384</v>
      </c>
      <c r="R57" s="99" t="n">
        <f aca="false">SUM('Loan CF'!C1250:L1250)*Prepay_Pen</f>
        <v>14252.1249281314</v>
      </c>
      <c r="S57" s="99" t="n">
        <f aca="false">'Loan CF'!$C2462</f>
        <v>0</v>
      </c>
      <c r="T57" s="99" t="n">
        <f aca="false">SUM(O57:S57)</f>
        <v>12608166.0614641</v>
      </c>
      <c r="U57" s="99" t="n">
        <f aca="false">SUM('Loan CF'!C644:L644)</f>
        <v>285042.498562628</v>
      </c>
      <c r="V57" s="99" t="n">
        <f aca="false">U57*Sev</f>
        <v>85512.7495687885</v>
      </c>
      <c r="W57" s="99" t="n">
        <f aca="false">T57-K57</f>
        <v>1558507.11146407</v>
      </c>
      <c r="X57" s="106" t="n">
        <f aca="false">IFERROR(IRR('Loan CF'!C2765:M2765),"-")</f>
        <v>0.0744486928535094</v>
      </c>
      <c r="Y57" s="107" t="n">
        <f aca="false">IFERROR(T57/K57,"-")</f>
        <v>1.14104572082418</v>
      </c>
      <c r="Z57" s="99" t="n">
        <f aca="false">'Loan Tape'!$BC34</f>
        <v>6570036</v>
      </c>
      <c r="AA57" s="99" t="n">
        <f aca="false">'Loan Tape'!$BE34</f>
        <v>4512473.13</v>
      </c>
      <c r="AB57" s="99" t="n">
        <f aca="false">SUM('Loan CF'!D3674:M3674)-AA57</f>
        <v>914433.901464071</v>
      </c>
      <c r="AC57" s="106" t="n">
        <f aca="false">IFERROR(IRR('Loan CF'!C3674:M3674),"-")</f>
        <v>0.100734472301043</v>
      </c>
      <c r="AD57" s="107" t="n">
        <f aca="false">IFERROR(SUM('Loan CF'!D3674:M3674)/AA57,"-")</f>
        <v>1.20264583857236</v>
      </c>
    </row>
    <row r="58" customFormat="false" ht="15" hidden="false" customHeight="false" outlineLevel="0" collapsed="false">
      <c r="B58" s="108" t="str">
        <f aca="false">IF('Loan Tape'!$A35="","",'Loan Tape'!$A35)</f>
        <v>L-032</v>
      </c>
      <c r="C58" s="108" t="str">
        <f aca="false">IF('Loan Tape'!$A35="","",'Loan Tape'!$B35)</f>
        <v>Kingston Exchange</v>
      </c>
      <c r="D58" s="108" t="str">
        <f aca="false">IF('Loan Tape'!$A35="","",'Loan Tape'!$C35)</f>
        <v>FL</v>
      </c>
      <c r="E58" s="108" t="str">
        <f aca="false">IF('Loan Tape'!$A35="","",'Loan Tape'!$D35)</f>
        <v>Office</v>
      </c>
      <c r="F58" s="108" t="str">
        <f aca="false">IF('Loan Tape'!$A35="","",'Loan Tape'!$E35)</f>
        <v>Deal 3</v>
      </c>
      <c r="G58" s="26" t="n">
        <f aca="false">'Loan Tape'!$AN35</f>
        <v>1</v>
      </c>
      <c r="H58" s="71" t="n">
        <f aca="false">'Loan Tape'!$R35*'Loan Tape'!$AN35</f>
        <v>139731000</v>
      </c>
      <c r="I58" s="56" t="n">
        <f aca="false">'Loan Tape'!$AO35</f>
        <v>0.94</v>
      </c>
      <c r="J58" s="71" t="n">
        <f aca="false">'Loan Tape'!$AY35</f>
        <v>131347140</v>
      </c>
      <c r="K58" s="71" t="n">
        <f aca="false">'Loan Tape'!$BB35</f>
        <v>132541840.05</v>
      </c>
      <c r="L58" s="56" t="n">
        <f aca="false">'Loan CF'!C342</f>
        <v>0.086</v>
      </c>
      <c r="M58" s="70" t="n">
        <f aca="false">'Loan Tape'!$AS35*'Loan Tape'!$AN35</f>
        <v>3.83572895277207</v>
      </c>
      <c r="N58" s="70" t="n">
        <f aca="false">IFERROR(SUMPRODUCT(('Loan CF'!$C$916:$L$916-0.5)*('Loan CF'!C948:L948+'Loan CF'!C1251:L1251+'Loan CF'!C1554:L1554))/(SUM('Loan CF'!C948:L948)+SUM('Loan CF'!C1251:L1251)+SUM('Loan CF'!C1554:L1554)),0)</f>
        <v>2.82473016469397</v>
      </c>
      <c r="O58" s="71" t="n">
        <f aca="false">SUM('Loan CF'!C1857:L1857)</f>
        <v>33137551.9552696</v>
      </c>
      <c r="P58" s="71" t="n">
        <f aca="false">SUM('Loan CF'!C948:L948)+SUM('Loan CF'!C1251:L1251)+SUM('Loan CF'!C1554:L1554)</f>
        <v>130922547.825138</v>
      </c>
      <c r="Q58" s="71" t="n">
        <f aca="false">SUM('Loan CF'!C2160:L2160)</f>
        <v>6165916.52240317</v>
      </c>
      <c r="R58" s="71" t="n">
        <f aca="false">SUM('Loan CF'!C1251:L1251)*Prepay_Pen</f>
        <v>440422.608743084</v>
      </c>
      <c r="S58" s="71" t="n">
        <f aca="false">'Loan CF'!$C2463</f>
        <v>0</v>
      </c>
      <c r="T58" s="71" t="n">
        <f aca="false">SUM(O58:S58)</f>
        <v>170666438.911554</v>
      </c>
      <c r="U58" s="71" t="n">
        <f aca="false">SUM('Loan CF'!C645:L645)</f>
        <v>8808452.17486167</v>
      </c>
      <c r="V58" s="71" t="n">
        <f aca="false">U58*Sev</f>
        <v>2642535.6524585</v>
      </c>
      <c r="W58" s="71" t="n">
        <f aca="false">T58-K58</f>
        <v>38124598.8615542</v>
      </c>
      <c r="X58" s="109" t="n">
        <f aca="false">IFERROR(IRR('Loan CF'!C2766:M2766),"-")</f>
        <v>0.0865696812752609</v>
      </c>
      <c r="Y58" s="110" t="n">
        <f aca="false">IFERROR(T58/K58,"-")</f>
        <v>1.28764199174519</v>
      </c>
      <c r="Z58" s="71" t="n">
        <f aca="false">'Loan Tape'!$BC35</f>
        <v>78808284</v>
      </c>
      <c r="AA58" s="71" t="n">
        <f aca="false">'Loan Tape'!$BE35</f>
        <v>54127597.47</v>
      </c>
      <c r="AB58" s="71" t="n">
        <f aca="false">SUM('Loan CF'!D3675:M3675)-AA58</f>
        <v>25618546.8723939</v>
      </c>
      <c r="AC58" s="109" t="n">
        <f aca="false">IFERROR(IRR('Loan CF'!C3675:M3675),"-")</f>
        <v>0.116516998897296</v>
      </c>
      <c r="AD58" s="110" t="n">
        <f aca="false">IFERROR(SUM('Loan CF'!D3675:M3675)/AA58,"-")</f>
        <v>1.47329916844347</v>
      </c>
    </row>
    <row r="59" customFormat="false" ht="15" hidden="false" customHeight="false" outlineLevel="0" collapsed="false">
      <c r="B59" s="102" t="str">
        <f aca="false">IF('Loan Tape'!$A36="","",'Loan Tape'!$A36)</f>
        <v>L-033</v>
      </c>
      <c r="C59" s="102" t="str">
        <f aca="false">IF('Loan Tape'!$A36="","",'Loan Tape'!$B36)</f>
        <v>Parkside Apartments</v>
      </c>
      <c r="D59" s="102" t="str">
        <f aca="false">IF('Loan Tape'!$A36="","",'Loan Tape'!$C36)</f>
        <v>OH</v>
      </c>
      <c r="E59" s="102" t="str">
        <f aca="false">IF('Loan Tape'!$A36="","",'Loan Tape'!$D36)</f>
        <v>Multifamily</v>
      </c>
      <c r="F59" s="102" t="str">
        <f aca="false">IF('Loan Tape'!$A36="","",'Loan Tape'!$E36)</f>
        <v>Deal 6</v>
      </c>
      <c r="G59" s="103" t="n">
        <f aca="false">'Loan Tape'!$AN36</f>
        <v>1</v>
      </c>
      <c r="H59" s="99" t="n">
        <f aca="false">'Loan Tape'!$R36*'Loan Tape'!$AN36</f>
        <v>43757000</v>
      </c>
      <c r="I59" s="104" t="n">
        <f aca="false">'Loan Tape'!$AO36</f>
        <v>0.94</v>
      </c>
      <c r="J59" s="99" t="n">
        <f aca="false">'Loan Tape'!$AY36</f>
        <v>41131580</v>
      </c>
      <c r="K59" s="99" t="n">
        <f aca="false">'Loan Tape'!$BB36</f>
        <v>41505702.35</v>
      </c>
      <c r="L59" s="104" t="n">
        <f aca="false">'Loan CF'!C343</f>
        <v>0.0807</v>
      </c>
      <c r="M59" s="105" t="n">
        <f aca="false">'Loan Tape'!$AS36*'Loan Tape'!$AN36</f>
        <v>0</v>
      </c>
      <c r="N59" s="105" t="n">
        <f aca="false">IFERROR(SUMPRODUCT(('Loan CF'!$C$916:$L$916-0.5)*('Loan CF'!C949:L949+'Loan CF'!C1252:L1252+'Loan CF'!C1555:L1555))/(SUM('Loan CF'!C949:L949)+SUM('Loan CF'!C1252:L1252)+SUM('Loan CF'!C1555:L1555)),0)</f>
        <v>0.5</v>
      </c>
      <c r="O59" s="99" t="n">
        <f aca="false">SUM('Loan CF'!C1858:L1858)</f>
        <v>0</v>
      </c>
      <c r="P59" s="99" t="n">
        <f aca="false">SUM('Loan CF'!C949:L949)+SUM('Loan CF'!C1252:L1252)+SUM('Loan CF'!C1555:L1555)</f>
        <v>43757000</v>
      </c>
      <c r="Q59" s="99" t="n">
        <f aca="false">SUM('Loan CF'!C2161:L2161)</f>
        <v>0</v>
      </c>
      <c r="R59" s="99" t="n">
        <f aca="false">SUM('Loan CF'!C1252:L1252)*Prepay_Pen</f>
        <v>0</v>
      </c>
      <c r="S59" s="99" t="n">
        <f aca="false">'Loan CF'!$C2464</f>
        <v>0</v>
      </c>
      <c r="T59" s="99" t="n">
        <f aca="false">SUM(O59:S59)</f>
        <v>43757000</v>
      </c>
      <c r="U59" s="99" t="n">
        <f aca="false">SUM('Loan CF'!C646:L646)</f>
        <v>0</v>
      </c>
      <c r="V59" s="99" t="n">
        <f aca="false">U59*Sev</f>
        <v>0</v>
      </c>
      <c r="W59" s="99" t="n">
        <f aca="false">T59-K59</f>
        <v>2251297.65</v>
      </c>
      <c r="X59" s="106" t="n">
        <f aca="false">IFERROR(IRR('Loan CF'!C2767:M2767),"-")</f>
        <v>0.0542406831479625</v>
      </c>
      <c r="Y59" s="107" t="n">
        <f aca="false">IFERROR(T59/K59,"-")</f>
        <v>1.05424068314796</v>
      </c>
      <c r="Z59" s="99" t="n">
        <f aca="false">'Loan Tape'!$BC36</f>
        <v>24678948</v>
      </c>
      <c r="AA59" s="99" t="n">
        <f aca="false">'Loan Tape'!$BE36</f>
        <v>16950149.09</v>
      </c>
      <c r="AB59" s="99" t="n">
        <f aca="false">SUM('Loan CF'!D3676:M3676)-AA59</f>
        <v>1202442.36</v>
      </c>
      <c r="AC59" s="106" t="n">
        <f aca="false">IFERROR(IRR('Loan CF'!C3676:M3676),"-")</f>
        <v>0.070939928233988</v>
      </c>
      <c r="AD59" s="107" t="n">
        <f aca="false">IFERROR(SUM('Loan CF'!D3676:M3676)/AA59,"-")</f>
        <v>1.07093992823399</v>
      </c>
    </row>
    <row r="60" customFormat="false" ht="15" hidden="false" customHeight="false" outlineLevel="0" collapsed="false">
      <c r="B60" s="108" t="str">
        <f aca="false">IF('Loan Tape'!$A37="","",'Loan Tape'!$A37)</f>
        <v>L-034</v>
      </c>
      <c r="C60" s="108" t="str">
        <f aca="false">IF('Loan Tape'!$A37="","",'Loan Tape'!$B37)</f>
        <v>Meridian Landing</v>
      </c>
      <c r="D60" s="108" t="str">
        <f aca="false">IF('Loan Tape'!$A37="","",'Loan Tape'!$C37)</f>
        <v>NC</v>
      </c>
      <c r="E60" s="108" t="str">
        <f aca="false">IF('Loan Tape'!$A37="","",'Loan Tape'!$D37)</f>
        <v>Multifamily</v>
      </c>
      <c r="F60" s="108" t="str">
        <f aca="false">IF('Loan Tape'!$A37="","",'Loan Tape'!$E37)</f>
        <v>Deal 2</v>
      </c>
      <c r="G60" s="26" t="n">
        <f aca="false">'Loan Tape'!$AN37</f>
        <v>1</v>
      </c>
      <c r="H60" s="71" t="n">
        <f aca="false">'Loan Tape'!$R37*'Loan Tape'!$AN37</f>
        <v>11376000</v>
      </c>
      <c r="I60" s="56" t="n">
        <f aca="false">'Loan Tape'!$AO37</f>
        <v>0.94</v>
      </c>
      <c r="J60" s="71" t="n">
        <f aca="false">'Loan Tape'!$AY37</f>
        <v>10693440</v>
      </c>
      <c r="K60" s="71" t="n">
        <f aca="false">'Loan Tape'!$BB37</f>
        <v>10790704.8</v>
      </c>
      <c r="L60" s="56" t="n">
        <f aca="false">'Loan CF'!C344</f>
        <v>0.0486</v>
      </c>
      <c r="M60" s="70" t="n">
        <f aca="false">'Loan Tape'!$AS37*'Loan Tape'!$AN37</f>
        <v>5.58316221765914</v>
      </c>
      <c r="N60" s="70" t="n">
        <f aca="false">IFERROR(SUMPRODUCT(('Loan CF'!$C$916:$L$916-0.5)*('Loan CF'!C950:L950+'Loan CF'!C1253:L1253+'Loan CF'!C1556:L1556))/(SUM('Loan CF'!C950:L950)+SUM('Loan CF'!C1253:L1253)+SUM('Loan CF'!C1556:L1556)),0)</f>
        <v>2.21973572928326</v>
      </c>
      <c r="O60" s="71" t="n">
        <f aca="false">SUM('Loan CF'!C1859:L1859)</f>
        <v>1926385.0914931</v>
      </c>
      <c r="P60" s="71" t="n">
        <f aca="false">SUM('Loan CF'!C950:L950)+SUM('Loan CF'!C1253:L1253)+SUM('Loan CF'!C1556:L1556)</f>
        <v>5338376.87152471</v>
      </c>
      <c r="Q60" s="71" t="n">
        <f aca="false">SUM('Loan CF'!C2162:L2162)</f>
        <v>512976.415992048</v>
      </c>
      <c r="R60" s="71" t="n">
        <f aca="false">SUM('Loan CF'!C1253:L1253)*Prepay_Pen</f>
        <v>42734.0825845107</v>
      </c>
      <c r="S60" s="71" t="n">
        <f aca="false">'Loan CF'!$C2465</f>
        <v>5087616.70651022</v>
      </c>
      <c r="T60" s="71" t="n">
        <f aca="false">SUM(O60:S60)</f>
        <v>12908089.1681046</v>
      </c>
      <c r="U60" s="71" t="n">
        <f aca="false">SUM('Loan CF'!C647:L647)</f>
        <v>854681.651690215</v>
      </c>
      <c r="V60" s="71" t="n">
        <f aca="false">U60*Sev</f>
        <v>256404.495507064</v>
      </c>
      <c r="W60" s="71" t="n">
        <f aca="false">T60-K60</f>
        <v>2117384.36810458</v>
      </c>
      <c r="X60" s="109" t="n">
        <f aca="false">IFERROR(IRR('Loan CF'!C2768:M2768),"-")</f>
        <v>0.0513644066643081</v>
      </c>
      <c r="Y60" s="110" t="n">
        <f aca="false">IFERROR(T60/K60,"-")</f>
        <v>1.1962229907452</v>
      </c>
      <c r="Z60" s="71" t="n">
        <f aca="false">'Loan Tape'!$BC37</f>
        <v>6416064</v>
      </c>
      <c r="AA60" s="71" t="n">
        <f aca="false">'Loan Tape'!$BE37</f>
        <v>4406721.12</v>
      </c>
      <c r="AB60" s="71" t="n">
        <f aca="false">SUM('Loan CF'!D3677:M3677)-AA60</f>
        <v>998652.944409631</v>
      </c>
      <c r="AC60" s="109" t="n">
        <f aca="false">IFERROR(IRR('Loan CF'!C3677:M3677),"-")</f>
        <v>0.0444971360593232</v>
      </c>
      <c r="AD60" s="110" t="n">
        <f aca="false">IFERROR(SUM('Loan CF'!D3677:M3677)/AA60,"-")</f>
        <v>1.22662040941897</v>
      </c>
    </row>
    <row r="61" customFormat="false" ht="15" hidden="false" customHeight="false" outlineLevel="0" collapsed="false">
      <c r="B61" s="102" t="str">
        <f aca="false">IF('Loan Tape'!$A38="","",'Loan Tape'!$A38)</f>
        <v>L-035</v>
      </c>
      <c r="C61" s="102" t="str">
        <f aca="false">IF('Loan Tape'!$A38="","",'Loan Tape'!$B38)</f>
        <v>Pinehurst Apartments</v>
      </c>
      <c r="D61" s="102" t="str">
        <f aca="false">IF('Loan Tape'!$A38="","",'Loan Tape'!$C38)</f>
        <v>VA</v>
      </c>
      <c r="E61" s="102" t="str">
        <f aca="false">IF('Loan Tape'!$A38="","",'Loan Tape'!$D38)</f>
        <v>Multifamily</v>
      </c>
      <c r="F61" s="102" t="str">
        <f aca="false">IF('Loan Tape'!$A38="","",'Loan Tape'!$E38)</f>
        <v>Deal 1</v>
      </c>
      <c r="G61" s="103" t="n">
        <f aca="false">'Loan Tape'!$AN38</f>
        <v>1</v>
      </c>
      <c r="H61" s="99" t="n">
        <f aca="false">'Loan Tape'!$R38*'Loan Tape'!$AN38</f>
        <v>63125000</v>
      </c>
      <c r="I61" s="104" t="n">
        <f aca="false">'Loan Tape'!$AO38</f>
        <v>0.94</v>
      </c>
      <c r="J61" s="99" t="n">
        <f aca="false">'Loan Tape'!$AY38</f>
        <v>59337500</v>
      </c>
      <c r="K61" s="99" t="n">
        <f aca="false">'Loan Tape'!$BB38</f>
        <v>59877218.75</v>
      </c>
      <c r="L61" s="104" t="n">
        <f aca="false">'Loan CF'!C345</f>
        <v>0.0649</v>
      </c>
      <c r="M61" s="105" t="n">
        <f aca="false">'Loan Tape'!$AS38*'Loan Tape'!$AN38</f>
        <v>2.41820670773443</v>
      </c>
      <c r="N61" s="105" t="n">
        <f aca="false">IFERROR(SUMPRODUCT(('Loan CF'!$C$916:$L$916-0.5)*('Loan CF'!C951:L951+'Loan CF'!C1254:L1254+'Loan CF'!C1557:L1557))/(SUM('Loan CF'!C951:L951)+SUM('Loan CF'!C1254:L1254)+SUM('Loan CF'!C1557:L1557)),0)</f>
        <v>2.13012695523114</v>
      </c>
      <c r="O61" s="99" t="n">
        <f aca="false">SUM('Loan CF'!C1860:L1860)</f>
        <v>7854499.97879084</v>
      </c>
      <c r="P61" s="99" t="n">
        <f aca="false">SUM('Loan CF'!C951:L951)+SUM('Loan CF'!C1254:L1254)+SUM('Loan CF'!C1557:L1557)</f>
        <v>60393922.9098179</v>
      </c>
      <c r="Q61" s="99" t="n">
        <f aca="false">SUM('Loan CF'!C2163:L2163)</f>
        <v>1911753.96312749</v>
      </c>
      <c r="R61" s="99" t="n">
        <f aca="false">SUM('Loan CF'!C1254:L1254)*Prepay_Pen</f>
        <v>136553.854509106</v>
      </c>
      <c r="S61" s="99" t="n">
        <f aca="false">'Loan CF'!$C2466</f>
        <v>0</v>
      </c>
      <c r="T61" s="99" t="n">
        <f aca="false">SUM(O61:S61)</f>
        <v>70296730.7062453</v>
      </c>
      <c r="U61" s="99" t="n">
        <f aca="false">SUM('Loan CF'!C648:L648)</f>
        <v>2731077.09018212</v>
      </c>
      <c r="V61" s="99" t="n">
        <f aca="false">U61*Sev</f>
        <v>819323.127054637</v>
      </c>
      <c r="W61" s="99" t="n">
        <f aca="false">T61-K61</f>
        <v>10419511.9562453</v>
      </c>
      <c r="X61" s="106" t="n">
        <f aca="false">IFERROR(IRR('Loan CF'!C2769:M2769),"-")</f>
        <v>0.0662545588903225</v>
      </c>
      <c r="Y61" s="107" t="n">
        <f aca="false">IFERROR(T61/K61,"-")</f>
        <v>1.17401462816349</v>
      </c>
      <c r="Z61" s="99" t="n">
        <f aca="false">'Loan Tape'!$BC38</f>
        <v>35602500</v>
      </c>
      <c r="AA61" s="99" t="n">
        <f aca="false">'Loan Tape'!$BE38</f>
        <v>24452731.25</v>
      </c>
      <c r="AB61" s="99" t="n">
        <f aca="false">SUM('Loan CF'!D3678:M3678)-AA61</f>
        <v>5758141.92895628</v>
      </c>
      <c r="AC61" s="106" t="n">
        <f aca="false">IFERROR(IRR('Loan CF'!C3678:M3678),"-")</f>
        <v>0.0772274154906885</v>
      </c>
      <c r="AD61" s="107" t="n">
        <f aca="false">IFERROR(SUM('Loan CF'!D3678:M3678)/AA61,"-")</f>
        <v>1.23548052240407</v>
      </c>
    </row>
    <row r="62" customFormat="false" ht="15" hidden="false" customHeight="false" outlineLevel="0" collapsed="false">
      <c r="B62" s="108" t="str">
        <f aca="false">IF('Loan Tape'!$A39="","",'Loan Tape'!$A39)</f>
        <v>L-036</v>
      </c>
      <c r="C62" s="108" t="str">
        <f aca="false">IF('Loan Tape'!$A39="","",'Loan Tape'!$B39)</f>
        <v>Oceanview Village</v>
      </c>
      <c r="D62" s="108" t="str">
        <f aca="false">IF('Loan Tape'!$A39="","",'Loan Tape'!$C39)</f>
        <v>WA</v>
      </c>
      <c r="E62" s="108" t="str">
        <f aca="false">IF('Loan Tape'!$A39="","",'Loan Tape'!$D39)</f>
        <v>Multifamily</v>
      </c>
      <c r="F62" s="108" t="str">
        <f aca="false">IF('Loan Tape'!$A39="","",'Loan Tape'!$E39)</f>
        <v>Deal 4</v>
      </c>
      <c r="G62" s="26" t="n">
        <f aca="false">'Loan Tape'!$AN39</f>
        <v>1</v>
      </c>
      <c r="H62" s="71" t="n">
        <f aca="false">'Loan Tape'!$R39*'Loan Tape'!$AN39</f>
        <v>38265000</v>
      </c>
      <c r="I62" s="56" t="n">
        <f aca="false">'Loan Tape'!$AO39</f>
        <v>0.94</v>
      </c>
      <c r="J62" s="71" t="n">
        <f aca="false">'Loan Tape'!$AY39</f>
        <v>35969100</v>
      </c>
      <c r="K62" s="71" t="n">
        <f aca="false">'Loan Tape'!$BB39</f>
        <v>36296265.75</v>
      </c>
      <c r="L62" s="56" t="n">
        <f aca="false">'Loan CF'!C346</f>
        <v>0.0589</v>
      </c>
      <c r="M62" s="70" t="n">
        <f aca="false">'Loan Tape'!$AS39*'Loan Tape'!$AN39</f>
        <v>1</v>
      </c>
      <c r="N62" s="70" t="n">
        <f aca="false">IFERROR(SUMPRODUCT(('Loan CF'!$C$916:$L$916-0.5)*('Loan CF'!C952:L952+'Loan CF'!C1255:L1255+'Loan CF'!C1558:L1558))/(SUM('Loan CF'!C952:L952)+SUM('Loan CF'!C1255:L1255)+SUM('Loan CF'!C1558:L1558)),0)</f>
        <v>0.5</v>
      </c>
      <c r="O62" s="71" t="n">
        <f aca="false">SUM('Loan CF'!C1861:L1861)</f>
        <v>2091184.13007697</v>
      </c>
      <c r="P62" s="71" t="n">
        <f aca="false">SUM('Loan CF'!C952:L952)+SUM('Loan CF'!C1255:L1255)+SUM('Loan CF'!C1558:L1558)</f>
        <v>37499700</v>
      </c>
      <c r="Q62" s="71" t="n">
        <f aca="false">SUM('Loan CF'!C2164:L2164)</f>
        <v>535710</v>
      </c>
      <c r="R62" s="71" t="n">
        <f aca="false">SUM('Loan CF'!C1255:L1255)*Prepay_Pen</f>
        <v>38265</v>
      </c>
      <c r="S62" s="71" t="n">
        <f aca="false">'Loan CF'!$C2467</f>
        <v>0</v>
      </c>
      <c r="T62" s="71" t="n">
        <f aca="false">SUM(O62:S62)</f>
        <v>40164859.130077</v>
      </c>
      <c r="U62" s="71" t="n">
        <f aca="false">SUM('Loan CF'!C649:L649)</f>
        <v>765300</v>
      </c>
      <c r="V62" s="71" t="n">
        <f aca="false">U62*Sev</f>
        <v>229590</v>
      </c>
      <c r="W62" s="71" t="n">
        <f aca="false">T62-K62</f>
        <v>3868593.38007697</v>
      </c>
      <c r="X62" s="109" t="n">
        <f aca="false">IFERROR(IRR('Loan CF'!C2770:M2770),"-")</f>
        <v>0.105179145726681</v>
      </c>
      <c r="Y62" s="110" t="n">
        <f aca="false">IFERROR(T62/K62,"-")</f>
        <v>1.10658378486434</v>
      </c>
      <c r="Z62" s="71" t="n">
        <f aca="false">'Loan Tape'!$BC39</f>
        <v>21581460</v>
      </c>
      <c r="AA62" s="71" t="n">
        <f aca="false">'Loan Tape'!$BE39</f>
        <v>14822713.05</v>
      </c>
      <c r="AB62" s="71" t="n">
        <f aca="false">SUM('Loan CF'!D3679:M3679)-AA62</f>
        <v>2951381.33007697</v>
      </c>
      <c r="AC62" s="109" t="n">
        <f aca="false">IFERROR(IRR('Loan CF'!C3679:M3679),"-")</f>
        <v>0.193258709736002</v>
      </c>
      <c r="AD62" s="110" t="n">
        <f aca="false">IFERROR(SUM('Loan CF'!D3679:M3679)/AA62,"-")</f>
        <v>1.19911208697904</v>
      </c>
    </row>
    <row r="63" customFormat="false" ht="15" hidden="false" customHeight="false" outlineLevel="0" collapsed="false">
      <c r="B63" s="102" t="str">
        <f aca="false">IF('Loan Tape'!$A40="","",'Loan Tape'!$A40)</f>
        <v>L-037</v>
      </c>
      <c r="C63" s="102" t="str">
        <f aca="false">IF('Loan Tape'!$A40="","",'Loan Tape'!$B40)</f>
        <v>Vista Terrace</v>
      </c>
      <c r="D63" s="102" t="str">
        <f aca="false">IF('Loan Tape'!$A40="","",'Loan Tape'!$C40)</f>
        <v>FL</v>
      </c>
      <c r="E63" s="102" t="str">
        <f aca="false">IF('Loan Tape'!$A40="","",'Loan Tape'!$D40)</f>
        <v>Multifamily</v>
      </c>
      <c r="F63" s="102" t="str">
        <f aca="false">IF('Loan Tape'!$A40="","",'Loan Tape'!$E40)</f>
        <v>Deal 5</v>
      </c>
      <c r="G63" s="103" t="n">
        <f aca="false">'Loan Tape'!$AN40</f>
        <v>1</v>
      </c>
      <c r="H63" s="99" t="n">
        <f aca="false">'Loan Tape'!$R40*'Loan Tape'!$AN40</f>
        <v>32760000</v>
      </c>
      <c r="I63" s="104" t="n">
        <f aca="false">'Loan Tape'!$AO40</f>
        <v>0.94</v>
      </c>
      <c r="J63" s="99" t="n">
        <f aca="false">'Loan Tape'!$AY40</f>
        <v>30794400</v>
      </c>
      <c r="K63" s="99" t="n">
        <f aca="false">'Loan Tape'!$BB40</f>
        <v>31074498</v>
      </c>
      <c r="L63" s="104" t="n">
        <f aca="false">'Loan CF'!C347</f>
        <v>0.0755</v>
      </c>
      <c r="M63" s="105" t="n">
        <f aca="false">'Loan Tape'!$AS40*'Loan Tape'!$AN40</f>
        <v>0</v>
      </c>
      <c r="N63" s="105" t="n">
        <f aca="false">IFERROR(SUMPRODUCT(('Loan CF'!$C$916:$L$916-0.5)*('Loan CF'!C953:L953+'Loan CF'!C1256:L1256+'Loan CF'!C1559:L1559))/(SUM('Loan CF'!C953:L953)+SUM('Loan CF'!C1256:L1256)+SUM('Loan CF'!C1559:L1559)),0)</f>
        <v>0.5</v>
      </c>
      <c r="O63" s="99" t="n">
        <f aca="false">SUM('Loan CF'!C1862:L1862)</f>
        <v>0</v>
      </c>
      <c r="P63" s="99" t="n">
        <f aca="false">SUM('Loan CF'!C953:L953)+SUM('Loan CF'!C1256:L1256)+SUM('Loan CF'!C1559:L1559)</f>
        <v>32760000</v>
      </c>
      <c r="Q63" s="99" t="n">
        <f aca="false">SUM('Loan CF'!C2165:L2165)</f>
        <v>0</v>
      </c>
      <c r="R63" s="99" t="n">
        <f aca="false">SUM('Loan CF'!C1256:L1256)*Prepay_Pen</f>
        <v>0</v>
      </c>
      <c r="S63" s="99" t="n">
        <f aca="false">'Loan CF'!$C2468</f>
        <v>0</v>
      </c>
      <c r="T63" s="99" t="n">
        <f aca="false">SUM(O63:S63)</f>
        <v>32760000</v>
      </c>
      <c r="U63" s="99" t="n">
        <f aca="false">SUM('Loan CF'!C650:L650)</f>
        <v>0</v>
      </c>
      <c r="V63" s="99" t="n">
        <f aca="false">U63*Sev</f>
        <v>0</v>
      </c>
      <c r="W63" s="99" t="n">
        <f aca="false">T63-K63</f>
        <v>1685502</v>
      </c>
      <c r="X63" s="106" t="n">
        <f aca="false">IFERROR(IRR('Loan CF'!C2771:M2771),"-")</f>
        <v>0.0542406831479626</v>
      </c>
      <c r="Y63" s="107" t="n">
        <f aca="false">IFERROR(T63/K63,"-")</f>
        <v>1.05424068314796</v>
      </c>
      <c r="Z63" s="99" t="n">
        <f aca="false">'Loan Tape'!$BC40</f>
        <v>18476640</v>
      </c>
      <c r="AA63" s="99" t="n">
        <f aca="false">'Loan Tape'!$BE40</f>
        <v>12690241.2</v>
      </c>
      <c r="AB63" s="99" t="n">
        <f aca="false">SUM('Loan CF'!D3680:M3680)-AA63</f>
        <v>900244.800000003</v>
      </c>
      <c r="AC63" s="106" t="n">
        <f aca="false">IFERROR(IRR('Loan CF'!C3680:M3680),"-")</f>
        <v>0.0709399282339885</v>
      </c>
      <c r="AD63" s="107" t="n">
        <f aca="false">IFERROR(SUM('Loan CF'!D3680:M3680)/AA63,"-")</f>
        <v>1.07093992823399</v>
      </c>
    </row>
    <row r="64" customFormat="false" ht="15" hidden="false" customHeight="false" outlineLevel="0" collapsed="false">
      <c r="B64" s="108" t="str">
        <f aca="false">IF('Loan Tape'!$A41="","",'Loan Tape'!$A41)</f>
        <v>L-038</v>
      </c>
      <c r="C64" s="108" t="str">
        <f aca="false">IF('Loan Tape'!$A41="","",'Loan Tape'!$B41)</f>
        <v>Northgate Plaza</v>
      </c>
      <c r="D64" s="108" t="str">
        <f aca="false">IF('Loan Tape'!$A41="","",'Loan Tape'!$C41)</f>
        <v>OH</v>
      </c>
      <c r="E64" s="108" t="str">
        <f aca="false">IF('Loan Tape'!$A41="","",'Loan Tape'!$D41)</f>
        <v>Retail</v>
      </c>
      <c r="F64" s="108" t="str">
        <f aca="false">IF('Loan Tape'!$A41="","",'Loan Tape'!$E41)</f>
        <v>Deal 7</v>
      </c>
      <c r="G64" s="26" t="n">
        <f aca="false">'Loan Tape'!$AN41</f>
        <v>1</v>
      </c>
      <c r="H64" s="71" t="n">
        <f aca="false">'Loan Tape'!$R41*'Loan Tape'!$AN41</f>
        <v>5369000</v>
      </c>
      <c r="I64" s="56" t="n">
        <f aca="false">'Loan Tape'!$AO41</f>
        <v>0.94</v>
      </c>
      <c r="J64" s="71" t="n">
        <f aca="false">'Loan Tape'!$AY41</f>
        <v>5046860</v>
      </c>
      <c r="K64" s="71" t="n">
        <f aca="false">'Loan Tape'!$BB41</f>
        <v>5092764.95</v>
      </c>
      <c r="L64" s="56" t="n">
        <f aca="false">'Loan CF'!C348</f>
        <v>0.072</v>
      </c>
      <c r="M64" s="70" t="n">
        <f aca="false">'Loan Tape'!$AS41*'Loan Tape'!$AN41</f>
        <v>8.08761122518823</v>
      </c>
      <c r="N64" s="70" t="n">
        <f aca="false">IFERROR(SUMPRODUCT(('Loan CF'!$C$916:$L$916-0.5)*('Loan CF'!C954:L954+'Loan CF'!C1257:L1257+'Loan CF'!C1560:L1560))/(SUM('Loan CF'!C954:L954)+SUM('Loan CF'!C1257:L1257)+SUM('Loan CF'!C1560:L1560)),0)</f>
        <v>2.25051518789864</v>
      </c>
      <c r="O64" s="71" t="n">
        <f aca="false">SUM('Loan CF'!C1863:L1863)</f>
        <v>1256624.42108824</v>
      </c>
      <c r="P64" s="71" t="n">
        <f aca="false">SUM('Loan CF'!C954:L954)+SUM('Loan CF'!C1257:L1257)+SUM('Loan CF'!C1560:L1560)</f>
        <v>2367174.69036823</v>
      </c>
      <c r="Q64" s="71" t="n">
        <f aca="false">SUM('Loan CF'!C2166:L2166)</f>
        <v>245962.678230845</v>
      </c>
      <c r="R64" s="71" t="n">
        <f aca="false">SUM('Loan CF'!C1257:L1257)*Prepay_Pen</f>
        <v>20579.0643401074</v>
      </c>
      <c r="S64" s="71" t="n">
        <f aca="false">'Loan CF'!$C2469</f>
        <v>2542118.24116467</v>
      </c>
      <c r="T64" s="71" t="n">
        <f aca="false">SUM(O64:S64)</f>
        <v>6432459.09519209</v>
      </c>
      <c r="U64" s="71" t="n">
        <f aca="false">SUM('Loan CF'!C651:L651)</f>
        <v>411581.286802148</v>
      </c>
      <c r="V64" s="71" t="n">
        <f aca="false">U64*Sev</f>
        <v>123474.386040644</v>
      </c>
      <c r="W64" s="71" t="n">
        <f aca="false">T64-K64</f>
        <v>1339694.14519209</v>
      </c>
      <c r="X64" s="109" t="n">
        <f aca="false">IFERROR(IRR('Loan CF'!C2772:M2772),"-")</f>
        <v>0.0678831294562932</v>
      </c>
      <c r="Y64" s="110" t="n">
        <f aca="false">IFERROR(T64/K64,"-")</f>
        <v>1.26305831082821</v>
      </c>
      <c r="Z64" s="71" t="n">
        <f aca="false">'Loan Tape'!$BC41</f>
        <v>3028116</v>
      </c>
      <c r="AA64" s="71" t="n">
        <f aca="false">'Loan Tape'!$BE41</f>
        <v>2079789.53</v>
      </c>
      <c r="AB64" s="71" t="n">
        <f aca="false">SUM('Loan CF'!D3681:M3681)-AA64</f>
        <v>782132.162574752</v>
      </c>
      <c r="AC64" s="109" t="n">
        <f aca="false">IFERROR(IRR('Loan CF'!C3681:M3681),"-")</f>
        <v>0.0754415304870122</v>
      </c>
      <c r="AD64" s="110" t="n">
        <f aca="false">IFERROR(SUM('Loan CF'!D3681:M3681)/AA64,"-")</f>
        <v>1.37606313104901</v>
      </c>
    </row>
    <row r="65" customFormat="false" ht="15" hidden="false" customHeight="false" outlineLevel="0" collapsed="false">
      <c r="B65" s="102" t="str">
        <f aca="false">IF('Loan Tape'!$A42="","",'Loan Tape'!$A42)</f>
        <v>L-039</v>
      </c>
      <c r="C65" s="102" t="str">
        <f aca="false">IF('Loan Tape'!$A42="","",'Loan Tape'!$B42)</f>
        <v>Summit Plaza</v>
      </c>
      <c r="D65" s="102" t="str">
        <f aca="false">IF('Loan Tape'!$A42="","",'Loan Tape'!$C42)</f>
        <v>OH</v>
      </c>
      <c r="E65" s="102" t="str">
        <f aca="false">IF('Loan Tape'!$A42="","",'Loan Tape'!$D42)</f>
        <v>Office</v>
      </c>
      <c r="F65" s="102" t="str">
        <f aca="false">IF('Loan Tape'!$A42="","",'Loan Tape'!$E42)</f>
        <v>Deal 5</v>
      </c>
      <c r="G65" s="103" t="n">
        <f aca="false">'Loan Tape'!$AN42</f>
        <v>1</v>
      </c>
      <c r="H65" s="99" t="n">
        <f aca="false">'Loan Tape'!$R42*'Loan Tape'!$AN42</f>
        <v>4499000</v>
      </c>
      <c r="I65" s="104" t="n">
        <f aca="false">'Loan Tape'!$AO42</f>
        <v>0.94</v>
      </c>
      <c r="J65" s="99" t="n">
        <f aca="false">'Loan Tape'!$AY42</f>
        <v>4229060</v>
      </c>
      <c r="K65" s="99" t="n">
        <f aca="false">'Loan Tape'!$BB42</f>
        <v>4267526.45</v>
      </c>
      <c r="L65" s="104" t="n">
        <f aca="false">'Loan CF'!C349</f>
        <v>0.0869</v>
      </c>
      <c r="M65" s="105" t="n">
        <f aca="false">'Loan Tape'!$AS42*'Loan Tape'!$AN42</f>
        <v>4.34017796030116</v>
      </c>
      <c r="N65" s="105" t="n">
        <f aca="false">IFERROR(SUMPRODUCT(('Loan CF'!$C$916:$L$916-0.5)*('Loan CF'!C955:L955+'Loan CF'!C1258:L1258+'Loan CF'!C1561:L1561))/(SUM('Loan CF'!C955:L955)+SUM('Loan CF'!C1258:L1258)+SUM('Loan CF'!C1561:L1561)),0)</f>
        <v>3.40548394804666</v>
      </c>
      <c r="O65" s="99" t="n">
        <f aca="false">SUM('Loan CF'!C1864:L1864)</f>
        <v>1170669.28336903</v>
      </c>
      <c r="P65" s="99" t="n">
        <f aca="false">SUM('Loan CF'!C955:L955)+SUM('Loan CF'!C1258:L1258)+SUM('Loan CF'!C1561:L1561)</f>
        <v>4189246.58339447</v>
      </c>
      <c r="Q65" s="99" t="n">
        <f aca="false">SUM('Loan CF'!C2167:L2167)</f>
        <v>205016.475479993</v>
      </c>
      <c r="R65" s="99" t="n">
        <f aca="false">SUM('Loan CF'!C1258:L1258)*Prepay_Pen</f>
        <v>15487.6708302767</v>
      </c>
      <c r="S65" s="99" t="n">
        <f aca="false">'Loan CF'!$C2470</f>
        <v>11810.9161438814</v>
      </c>
      <c r="T65" s="99" t="n">
        <f aca="false">SUM(O65:S65)</f>
        <v>5592230.92921765</v>
      </c>
      <c r="U65" s="99" t="n">
        <f aca="false">SUM('Loan CF'!C652:L652)</f>
        <v>309753.416605534</v>
      </c>
      <c r="V65" s="99" t="n">
        <f aca="false">U65*Sev</f>
        <v>92926.0249816603</v>
      </c>
      <c r="W65" s="99" t="n">
        <f aca="false">T65-K65</f>
        <v>1324704.47921765</v>
      </c>
      <c r="X65" s="106" t="n">
        <f aca="false">IFERROR(IRR('Loan CF'!C2773:M2773),"-")</f>
        <v>0.0809740115293377</v>
      </c>
      <c r="Y65" s="107" t="n">
        <f aca="false">IFERROR(T65/K65,"-")</f>
        <v>1.31041506004436</v>
      </c>
      <c r="Z65" s="99" t="n">
        <f aca="false">'Loan Tape'!$BC42</f>
        <v>2537436</v>
      </c>
      <c r="AA65" s="99" t="n">
        <f aca="false">'Loan Tape'!$BE42</f>
        <v>1742777.63</v>
      </c>
      <c r="AB65" s="99" t="n">
        <f aca="false">SUM('Loan CF'!D3682:M3682)-AA65</f>
        <v>866228.602849846</v>
      </c>
      <c r="AC65" s="106" t="n">
        <f aca="false">IFERROR(IRR('Loan CF'!C3682:M3682),"-")</f>
        <v>0.101050803307556</v>
      </c>
      <c r="AD65" s="107" t="n">
        <f aca="false">IFERROR(SUM('Loan CF'!D3682:M3682)/AA65,"-")</f>
        <v>1.49703908745366</v>
      </c>
    </row>
    <row r="66" customFormat="false" ht="15" hidden="false" customHeight="false" outlineLevel="0" collapsed="false">
      <c r="B66" s="108" t="str">
        <f aca="false">IF('Loan Tape'!$A43="","",'Loan Tape'!$A43)</f>
        <v>L-040</v>
      </c>
      <c r="C66" s="108" t="str">
        <f aca="false">IF('Loan Tape'!$A43="","",'Loan Tape'!$B43)</f>
        <v>Juniper Terrace</v>
      </c>
      <c r="D66" s="108" t="str">
        <f aca="false">IF('Loan Tape'!$A43="","",'Loan Tape'!$C43)</f>
        <v>VA</v>
      </c>
      <c r="E66" s="108" t="str">
        <f aca="false">IF('Loan Tape'!$A43="","",'Loan Tape'!$D43)</f>
        <v>Multifamily</v>
      </c>
      <c r="F66" s="108" t="str">
        <f aca="false">IF('Loan Tape'!$A43="","",'Loan Tape'!$E43)</f>
        <v>Deal 4</v>
      </c>
      <c r="G66" s="26" t="n">
        <f aca="false">'Loan Tape'!$AN43</f>
        <v>1</v>
      </c>
      <c r="H66" s="71" t="n">
        <f aca="false">'Loan Tape'!$R43*'Loan Tape'!$AN43</f>
        <v>81125000</v>
      </c>
      <c r="I66" s="56" t="n">
        <f aca="false">'Loan Tape'!$AO43</f>
        <v>0.94</v>
      </c>
      <c r="J66" s="71" t="n">
        <f aca="false">'Loan Tape'!$AY43</f>
        <v>76257500</v>
      </c>
      <c r="K66" s="71" t="n">
        <f aca="false">'Loan Tape'!$BB43</f>
        <v>76951118.75</v>
      </c>
      <c r="L66" s="56" t="n">
        <f aca="false">'Loan CF'!C350</f>
        <v>0.0462</v>
      </c>
      <c r="M66" s="70" t="n">
        <f aca="false">'Loan Tape'!$AS43*'Loan Tape'!$AN43</f>
        <v>2.50308008213552</v>
      </c>
      <c r="N66" s="70" t="n">
        <f aca="false">IFERROR(SUMPRODUCT(('Loan CF'!$C$916:$L$916-0.5)*('Loan CF'!C956:L956+'Loan CF'!C1259:L1259+'Loan CF'!C1562:L1562))/(SUM('Loan CF'!C956:L956)+SUM('Loan CF'!C1259:L1259)+SUM('Loan CF'!C1562:L1562)),0)</f>
        <v>2.11564104914433</v>
      </c>
      <c r="O66" s="71" t="n">
        <f aca="false">SUM('Loan CF'!C1865:L1865)</f>
        <v>7735375.94292423</v>
      </c>
      <c r="P66" s="71" t="n">
        <f aca="false">SUM('Loan CF'!C956:L956)+SUM('Loan CF'!C1259:L1259)+SUM('Loan CF'!C1562:L1562)</f>
        <v>77529589.8900238</v>
      </c>
      <c r="Q66" s="71" t="n">
        <f aca="false">SUM('Loan CF'!C2168:L2168)</f>
        <v>2516787.07698332</v>
      </c>
      <c r="R66" s="71" t="n">
        <f aca="false">SUM('Loan CF'!C1259:L1259)*Prepay_Pen</f>
        <v>179770.505498808</v>
      </c>
      <c r="S66" s="71" t="n">
        <f aca="false">'Loan CF'!$C2471</f>
        <v>0</v>
      </c>
      <c r="T66" s="71" t="n">
        <f aca="false">SUM(O66:S66)</f>
        <v>87961523.4154302</v>
      </c>
      <c r="U66" s="71" t="n">
        <f aca="false">SUM('Loan CF'!C653:L653)</f>
        <v>3595410.10997617</v>
      </c>
      <c r="V66" s="71" t="n">
        <f aca="false">U66*Sev</f>
        <v>1078623.03299285</v>
      </c>
      <c r="W66" s="71" t="n">
        <f aca="false">T66-K66</f>
        <v>11010404.6654302</v>
      </c>
      <c r="X66" s="109" t="n">
        <f aca="false">IFERROR(IRR('Loan CF'!C2774:M2774),"-")</f>
        <v>0.0544466450452861</v>
      </c>
      <c r="Y66" s="110" t="n">
        <f aca="false">IFERROR(T66/K66,"-")</f>
        <v>1.14308310060054</v>
      </c>
      <c r="Z66" s="71" t="n">
        <f aca="false">'Loan Tape'!$BC43</f>
        <v>45754500</v>
      </c>
      <c r="AA66" s="71" t="n">
        <f aca="false">'Loan Tape'!$BE43</f>
        <v>31425391.25</v>
      </c>
      <c r="AB66" s="71" t="n">
        <f aca="false">SUM('Loan CF'!D3683:M3683)-AA66</f>
        <v>5090563.54284301</v>
      </c>
      <c r="AC66" s="109" t="n">
        <f aca="false">IFERROR(IRR('Loan CF'!C3683:M3683),"-")</f>
        <v>0.05234342085793</v>
      </c>
      <c r="AD66" s="110" t="n">
        <f aca="false">IFERROR(SUM('Loan CF'!D3683:M3683)/AA66,"-")</f>
        <v>1.16198886761173</v>
      </c>
    </row>
    <row r="67" customFormat="false" ht="15" hidden="false" customHeight="false" outlineLevel="0" collapsed="false">
      <c r="B67" s="102" t="str">
        <f aca="false">IF('Loan Tape'!$A44="","",'Loan Tape'!$A44)</f>
        <v>L-041</v>
      </c>
      <c r="C67" s="102" t="str">
        <f aca="false">IF('Loan Tape'!$A44="","",'Loan Tape'!$B44)</f>
        <v>Ridgeline Apartments</v>
      </c>
      <c r="D67" s="102" t="str">
        <f aca="false">IF('Loan Tape'!$A44="","",'Loan Tape'!$C44)</f>
        <v>TX</v>
      </c>
      <c r="E67" s="102" t="str">
        <f aca="false">IF('Loan Tape'!$A44="","",'Loan Tape'!$D44)</f>
        <v>Multifamily</v>
      </c>
      <c r="F67" s="102" t="str">
        <f aca="false">IF('Loan Tape'!$A44="","",'Loan Tape'!$E44)</f>
        <v>Deal 7</v>
      </c>
      <c r="G67" s="103" t="n">
        <f aca="false">'Loan Tape'!$AN44</f>
        <v>1</v>
      </c>
      <c r="H67" s="99" t="n">
        <f aca="false">'Loan Tape'!$R44*'Loan Tape'!$AN44</f>
        <v>30613000</v>
      </c>
      <c r="I67" s="104" t="n">
        <f aca="false">'Loan Tape'!$AO44</f>
        <v>0.94</v>
      </c>
      <c r="J67" s="99" t="n">
        <f aca="false">'Loan Tape'!$AY44</f>
        <v>28776220</v>
      </c>
      <c r="K67" s="99" t="n">
        <f aca="false">'Loan Tape'!$BB44</f>
        <v>29037961.15</v>
      </c>
      <c r="L67" s="104" t="n">
        <f aca="false">'Loan CF'!C351</f>
        <v>0.0758</v>
      </c>
      <c r="M67" s="105" t="n">
        <f aca="false">'Loan Tape'!$AS44*'Loan Tape'!$AN44</f>
        <v>1</v>
      </c>
      <c r="N67" s="105" t="n">
        <f aca="false">IFERROR(SUMPRODUCT(('Loan CF'!$C$916:$L$916-0.5)*('Loan CF'!C957:L957+'Loan CF'!C1260:L1260+'Loan CF'!C1563:L1563))/(SUM('Loan CF'!C957:L957)+SUM('Loan CF'!C1260:L1260)+SUM('Loan CF'!C1563:L1563)),0)</f>
        <v>0.5</v>
      </c>
      <c r="O67" s="99" t="n">
        <f aca="false">SUM('Loan CF'!C1866:L1866)</f>
        <v>2157981.99366863</v>
      </c>
      <c r="P67" s="99" t="n">
        <f aca="false">SUM('Loan CF'!C957:L957)+SUM('Loan CF'!C1260:L1260)+SUM('Loan CF'!C1563:L1563)</f>
        <v>30000740</v>
      </c>
      <c r="Q67" s="99" t="n">
        <f aca="false">SUM('Loan CF'!C2169:L2169)</f>
        <v>428582</v>
      </c>
      <c r="R67" s="99" t="n">
        <f aca="false">SUM('Loan CF'!C1260:L1260)*Prepay_Pen</f>
        <v>30613</v>
      </c>
      <c r="S67" s="99" t="n">
        <f aca="false">'Loan CF'!$C2472</f>
        <v>0</v>
      </c>
      <c r="T67" s="99" t="n">
        <f aca="false">SUM(O67:S67)</f>
        <v>32617916.9936686</v>
      </c>
      <c r="U67" s="99" t="n">
        <f aca="false">SUM('Loan CF'!C654:L654)</f>
        <v>612260</v>
      </c>
      <c r="V67" s="99" t="n">
        <f aca="false">U67*Sev</f>
        <v>183678</v>
      </c>
      <c r="W67" s="99" t="n">
        <f aca="false">T67-K67</f>
        <v>3579955.84366863</v>
      </c>
      <c r="X67" s="106" t="n">
        <f aca="false">IFERROR(IRR('Loan CF'!C2775:M2775),"-")</f>
        <v>0.121684224057211</v>
      </c>
      <c r="Y67" s="107" t="n">
        <f aca="false">IFERROR(T67/K67,"-")</f>
        <v>1.12328537204027</v>
      </c>
      <c r="Z67" s="99" t="n">
        <f aca="false">'Loan Tape'!$BC44</f>
        <v>17265732</v>
      </c>
      <c r="AA67" s="99" t="n">
        <f aca="false">'Loan Tape'!$BE44</f>
        <v>11858557.81</v>
      </c>
      <c r="AB67" s="99" t="n">
        <f aca="false">SUM('Loan CF'!D3684:M3684)-AA67</f>
        <v>2846162.23366863</v>
      </c>
      <c r="AC67" s="106" t="n">
        <f aca="false">IFERROR(IRR('Loan CF'!C3684:M3684),"-")</f>
        <v>0.233175374972952</v>
      </c>
      <c r="AD67" s="107" t="n">
        <f aca="false">IFERROR(SUM('Loan CF'!D3684:M3684)/AA67,"-")</f>
        <v>1.24000913764307</v>
      </c>
    </row>
    <row r="68" customFormat="false" ht="15" hidden="false" customHeight="false" outlineLevel="0" collapsed="false">
      <c r="B68" s="108" t="str">
        <f aca="false">IF('Loan Tape'!$A45="","",'Loan Tape'!$A45)</f>
        <v>L-042</v>
      </c>
      <c r="C68" s="108" t="str">
        <f aca="false">IF('Loan Tape'!$A45="","",'Loan Tape'!$B45)</f>
        <v>Summit Exchange</v>
      </c>
      <c r="D68" s="108" t="str">
        <f aca="false">IF('Loan Tape'!$A45="","",'Loan Tape'!$C45)</f>
        <v>MD</v>
      </c>
      <c r="E68" s="108" t="str">
        <f aca="false">IF('Loan Tape'!$A45="","",'Loan Tape'!$D45)</f>
        <v>Office</v>
      </c>
      <c r="F68" s="108" t="str">
        <f aca="false">IF('Loan Tape'!$A45="","",'Loan Tape'!$E45)</f>
        <v>Deal 4</v>
      </c>
      <c r="G68" s="26" t="n">
        <f aca="false">'Loan Tape'!$AN45</f>
        <v>1</v>
      </c>
      <c r="H68" s="71" t="n">
        <f aca="false">'Loan Tape'!$R45*'Loan Tape'!$AN45</f>
        <v>5039000</v>
      </c>
      <c r="I68" s="56" t="n">
        <f aca="false">'Loan Tape'!$AO45</f>
        <v>0.94</v>
      </c>
      <c r="J68" s="71" t="n">
        <f aca="false">'Loan Tape'!$AY45</f>
        <v>4736660</v>
      </c>
      <c r="K68" s="71" t="n">
        <f aca="false">'Loan Tape'!$BB45</f>
        <v>4779743.45</v>
      </c>
      <c r="L68" s="56" t="n">
        <f aca="false">'Loan CF'!C352</f>
        <v>0.054</v>
      </c>
      <c r="M68" s="70" t="n">
        <f aca="false">'Loan Tape'!$AS45*'Loan Tape'!$AN45</f>
        <v>2.6694045174538</v>
      </c>
      <c r="N68" s="70" t="n">
        <f aca="false">IFERROR(SUMPRODUCT(('Loan CF'!$C$916:$L$916-0.5)*('Loan CF'!C958:L958+'Loan CF'!C1261:L1261+'Loan CF'!C1564:L1564))/(SUM('Loan CF'!C958:L958)+SUM('Loan CF'!C1261:L1261)+SUM('Loan CF'!C1564:L1564)),0)</f>
        <v>2.14896785469366</v>
      </c>
      <c r="O68" s="71" t="n">
        <f aca="false">SUM('Loan CF'!C1867:L1867)</f>
        <v>601697.767083919</v>
      </c>
      <c r="P68" s="71" t="n">
        <f aca="false">SUM('Loan CF'!C958:L958)+SUM('Loan CF'!C1261:L1261)+SUM('Loan CF'!C1564:L1564)</f>
        <v>4800949.67785009</v>
      </c>
      <c r="Q68" s="71" t="n">
        <f aca="false">SUM('Loan CF'!C2170:L2170)</f>
        <v>166635.225504939</v>
      </c>
      <c r="R68" s="71" t="n">
        <f aca="false">SUM('Loan CF'!C1261:L1261)*Prepay_Pen</f>
        <v>11902.5161074956</v>
      </c>
      <c r="S68" s="71" t="n">
        <f aca="false">'Loan CF'!$C2473</f>
        <v>0</v>
      </c>
      <c r="T68" s="71" t="n">
        <f aca="false">SUM(O68:S68)</f>
        <v>5581185.18654644</v>
      </c>
      <c r="U68" s="71" t="n">
        <f aca="false">SUM('Loan CF'!C655:L655)</f>
        <v>238050.322149912</v>
      </c>
      <c r="V68" s="71" t="n">
        <f aca="false">U68*Sev</f>
        <v>71415.0966449737</v>
      </c>
      <c r="W68" s="71" t="n">
        <f aca="false">T68-K68</f>
        <v>801441.736546441</v>
      </c>
      <c r="X68" s="109" t="n">
        <f aca="false">IFERROR(IRR('Loan CF'!C2776:M2776),"-")</f>
        <v>0.0628893259765448</v>
      </c>
      <c r="Y68" s="110" t="n">
        <f aca="false">IFERROR(T68/K68,"-")</f>
        <v>1.16767463461798</v>
      </c>
      <c r="Z68" s="71" t="n">
        <f aca="false">'Loan Tape'!$BC45</f>
        <v>2841996</v>
      </c>
      <c r="AA68" s="71" t="n">
        <f aca="false">'Loan Tape'!$BE45</f>
        <v>1951957.43</v>
      </c>
      <c r="AB68" s="71" t="n">
        <f aca="false">SUM('Loan CF'!D3685:M3685)-AA68</f>
        <v>423034.277901022</v>
      </c>
      <c r="AC68" s="109" t="n">
        <f aca="false">IFERROR(IRR('Loan CF'!C3685:M3685),"-")</f>
        <v>0.0699146131248269</v>
      </c>
      <c r="AD68" s="110" t="n">
        <f aca="false">IFERROR(SUM('Loan CF'!D3685:M3685)/AA68,"-")</f>
        <v>1.2167231064568</v>
      </c>
    </row>
    <row r="69" customFormat="false" ht="15" hidden="false" customHeight="false" outlineLevel="0" collapsed="false">
      <c r="B69" s="102" t="str">
        <f aca="false">IF('Loan Tape'!$A46="","",'Loan Tape'!$A46)</f>
        <v>L-043</v>
      </c>
      <c r="C69" s="102" t="str">
        <f aca="false">IF('Loan Tape'!$A46="","",'Loan Tape'!$B46)</f>
        <v>Quarry Warehouse</v>
      </c>
      <c r="D69" s="102" t="str">
        <f aca="false">IF('Loan Tape'!$A46="","",'Loan Tape'!$C46)</f>
        <v>NC</v>
      </c>
      <c r="E69" s="102" t="str">
        <f aca="false">IF('Loan Tape'!$A46="","",'Loan Tape'!$D46)</f>
        <v>Industrial</v>
      </c>
      <c r="F69" s="102" t="str">
        <f aca="false">IF('Loan Tape'!$A46="","",'Loan Tape'!$E46)</f>
        <v>Deal 8</v>
      </c>
      <c r="G69" s="103" t="n">
        <f aca="false">'Loan Tape'!$AN46</f>
        <v>1</v>
      </c>
      <c r="H69" s="99" t="n">
        <f aca="false">'Loan Tape'!$R46*'Loan Tape'!$AN46</f>
        <v>8680000</v>
      </c>
      <c r="I69" s="104" t="n">
        <f aca="false">'Loan Tape'!$AO46</f>
        <v>0.94</v>
      </c>
      <c r="J69" s="99" t="n">
        <f aca="false">'Loan Tape'!$AY46</f>
        <v>8159200</v>
      </c>
      <c r="K69" s="99" t="n">
        <f aca="false">'Loan Tape'!$BB46</f>
        <v>8233414</v>
      </c>
      <c r="L69" s="104" t="n">
        <f aca="false">'Loan CF'!C353</f>
        <v>0.0698</v>
      </c>
      <c r="M69" s="105" t="n">
        <f aca="false">'Loan Tape'!$AS46*'Loan Tape'!$AN46</f>
        <v>3.25598904859685</v>
      </c>
      <c r="N69" s="105" t="n">
        <f aca="false">IFERROR(SUMPRODUCT(('Loan CF'!$C$916:$L$916-0.5)*('Loan CF'!C959:L959+'Loan CF'!C1262:L1262+'Loan CF'!C1565:L1565))/(SUM('Loan CF'!C959:L959)+SUM('Loan CF'!C1262:L1262)+SUM('Loan CF'!C1565:L1565)),0)</f>
        <v>2.79624079162384</v>
      </c>
      <c r="O69" s="99" t="n">
        <f aca="false">SUM('Loan CF'!C1868:L1868)</f>
        <v>1453591.98617149</v>
      </c>
      <c r="P69" s="99" t="n">
        <f aca="false">SUM('Loan CF'!C959:L959)+SUM('Loan CF'!C1262:L1262)+SUM('Loan CF'!C1565:L1565)</f>
        <v>8201226.18040818</v>
      </c>
      <c r="Q69" s="99" t="n">
        <f aca="false">SUM('Loan CF'!C2171:L2171)</f>
        <v>335141.673714276</v>
      </c>
      <c r="R69" s="99" t="n">
        <f aca="false">SUM('Loan CF'!C1262:L1262)*Prepay_Pen</f>
        <v>23938.6909795912</v>
      </c>
      <c r="S69" s="99" t="n">
        <f aca="false">'Loan CF'!$C2474</f>
        <v>0</v>
      </c>
      <c r="T69" s="99" t="n">
        <f aca="false">SUM(O69:S69)</f>
        <v>10013898.5312735</v>
      </c>
      <c r="U69" s="99" t="n">
        <f aca="false">SUM('Loan CF'!C656:L656)</f>
        <v>478773.819591823</v>
      </c>
      <c r="V69" s="99" t="n">
        <f aca="false">U69*Sev</f>
        <v>143632.145877547</v>
      </c>
      <c r="W69" s="99" t="n">
        <f aca="false">T69-K69</f>
        <v>1780484.53127354</v>
      </c>
      <c r="X69" s="106" t="n">
        <f aca="false">IFERROR(IRR('Loan CF'!C2777:M2777),"-")</f>
        <v>0.066351919877497</v>
      </c>
      <c r="Y69" s="107" t="n">
        <f aca="false">IFERROR(T69/K69,"-")</f>
        <v>1.21625106320094</v>
      </c>
      <c r="Z69" s="99" t="n">
        <f aca="false">'Loan Tape'!$BC46</f>
        <v>4895520</v>
      </c>
      <c r="AA69" s="99" t="n">
        <f aca="false">'Loan Tape'!$BE46</f>
        <v>3362371.6</v>
      </c>
      <c r="AB69" s="99" t="n">
        <f aca="false">SUM('Loan CF'!D3686:M3686)-AA69</f>
        <v>1021041.85218897</v>
      </c>
      <c r="AC69" s="106" t="n">
        <f aca="false">IFERROR(IRR('Loan CF'!C3686:M3686),"-")</f>
        <v>0.0755953732413745</v>
      </c>
      <c r="AD69" s="107" t="n">
        <f aca="false">IFERROR(SUM('Loan CF'!D3686:M3686)/AA69,"-")</f>
        <v>1.30366716522022</v>
      </c>
    </row>
    <row r="70" customFormat="false" ht="15" hidden="false" customHeight="false" outlineLevel="0" collapsed="false">
      <c r="B70" s="108" t="str">
        <f aca="false">IF('Loan Tape'!$A47="","",'Loan Tape'!$A47)</f>
        <v>L-044</v>
      </c>
      <c r="C70" s="108" t="str">
        <f aca="false">IF('Loan Tape'!$A47="","",'Loan Tape'!$B47)</f>
        <v>Belmont Plaza</v>
      </c>
      <c r="D70" s="108" t="str">
        <f aca="false">IF('Loan Tape'!$A47="","",'Loan Tape'!$C47)</f>
        <v>NC</v>
      </c>
      <c r="E70" s="108" t="str">
        <f aca="false">IF('Loan Tape'!$A47="","",'Loan Tape'!$D47)</f>
        <v>Retail</v>
      </c>
      <c r="F70" s="108" t="str">
        <f aca="false">IF('Loan Tape'!$A47="","",'Loan Tape'!$E47)</f>
        <v>Deal 6</v>
      </c>
      <c r="G70" s="26" t="n">
        <f aca="false">'Loan Tape'!$AN47</f>
        <v>1</v>
      </c>
      <c r="H70" s="71" t="n">
        <f aca="false">'Loan Tape'!$R47*'Loan Tape'!$AN47</f>
        <v>78707000</v>
      </c>
      <c r="I70" s="56" t="n">
        <f aca="false">'Loan Tape'!$AO47</f>
        <v>0.94</v>
      </c>
      <c r="J70" s="71" t="n">
        <f aca="false">'Loan Tape'!$AY47</f>
        <v>73984580</v>
      </c>
      <c r="K70" s="71" t="n">
        <f aca="false">'Loan Tape'!$BB47</f>
        <v>74657524.85</v>
      </c>
      <c r="L70" s="56" t="n">
        <f aca="false">'Loan CF'!C354</f>
        <v>0.0704</v>
      </c>
      <c r="M70" s="70" t="n">
        <f aca="false">'Loan Tape'!$AS47*'Loan Tape'!$AN47</f>
        <v>1</v>
      </c>
      <c r="N70" s="70" t="n">
        <f aca="false">IFERROR(SUMPRODUCT(('Loan CF'!$C$916:$L$916-0.5)*('Loan CF'!C960:L960+'Loan CF'!C1263:L1263+'Loan CF'!C1566:L1566))/(SUM('Loan CF'!C960:L960)+SUM('Loan CF'!C1263:L1263)+SUM('Loan CF'!C1566:L1566)),0)</f>
        <v>0.5</v>
      </c>
      <c r="O70" s="71" t="n">
        <f aca="false">SUM('Loan CF'!C1869:L1869)</f>
        <v>5164353.43164974</v>
      </c>
      <c r="P70" s="71" t="n">
        <f aca="false">SUM('Loan CF'!C960:L960)+SUM('Loan CF'!C1263:L1263)+SUM('Loan CF'!C1566:L1566)</f>
        <v>77132860</v>
      </c>
      <c r="Q70" s="71" t="n">
        <f aca="false">SUM('Loan CF'!C2172:L2172)</f>
        <v>1101898</v>
      </c>
      <c r="R70" s="71" t="n">
        <f aca="false">SUM('Loan CF'!C1263:L1263)*Prepay_Pen</f>
        <v>78707</v>
      </c>
      <c r="S70" s="71" t="n">
        <f aca="false">'Loan CF'!$C2475</f>
        <v>0</v>
      </c>
      <c r="T70" s="71" t="n">
        <f aca="false">SUM(O70:S70)</f>
        <v>83477818.4316497</v>
      </c>
      <c r="U70" s="71" t="n">
        <f aca="false">SUM('Loan CF'!C657:L657)</f>
        <v>1574140</v>
      </c>
      <c r="V70" s="71" t="n">
        <f aca="false">U70*Sev</f>
        <v>472242</v>
      </c>
      <c r="W70" s="71" t="n">
        <f aca="false">T70-K70</f>
        <v>8820293.58164975</v>
      </c>
      <c r="X70" s="109" t="n">
        <f aca="false">IFERROR(IRR('Loan CF'!C2778:M2778),"-")</f>
        <v>0.116602136948926</v>
      </c>
      <c r="Y70" s="110" t="n">
        <f aca="false">IFERROR(T70/K70,"-")</f>
        <v>1.11814339678916</v>
      </c>
      <c r="Z70" s="71" t="n">
        <f aca="false">'Loan Tape'!$BC47</f>
        <v>44390748</v>
      </c>
      <c r="AA70" s="71" t="n">
        <f aca="false">'Loan Tape'!$BE47</f>
        <v>30488730.59</v>
      </c>
      <c r="AB70" s="71" t="n">
        <f aca="false">SUM('Loan CF'!D3687:M3687)-AA70</f>
        <v>6933686.79164975</v>
      </c>
      <c r="AC70" s="109" t="n">
        <f aca="false">IFERROR(IRR('Loan CF'!C3687:M3687),"-")</f>
        <v>0.220879425051189</v>
      </c>
      <c r="AD70" s="110" t="n">
        <f aca="false">IFERROR(SUM('Loan CF'!D3687:M3687)/AA70,"-")</f>
        <v>1.22741802159267</v>
      </c>
    </row>
    <row r="71" customFormat="false" ht="15" hidden="false" customHeight="false" outlineLevel="0" collapsed="false">
      <c r="B71" s="102" t="str">
        <f aca="false">IF('Loan Tape'!$A48="","",'Loan Tape'!$A48)</f>
        <v>L-045</v>
      </c>
      <c r="C71" s="102" t="str">
        <f aca="false">IF('Loan Tape'!$A48="","",'Loan Tape'!$B48)</f>
        <v>Timberline Hotel &amp; Suites</v>
      </c>
      <c r="D71" s="102" t="str">
        <f aca="false">IF('Loan Tape'!$A48="","",'Loan Tape'!$C48)</f>
        <v>OH</v>
      </c>
      <c r="E71" s="102" t="str">
        <f aca="false">IF('Loan Tape'!$A48="","",'Loan Tape'!$D48)</f>
        <v>Hotel</v>
      </c>
      <c r="F71" s="102" t="str">
        <f aca="false">IF('Loan Tape'!$A48="","",'Loan Tape'!$E48)</f>
        <v>Deal 3</v>
      </c>
      <c r="G71" s="103" t="n">
        <f aca="false">'Loan Tape'!$AN48</f>
        <v>1</v>
      </c>
      <c r="H71" s="99" t="n">
        <f aca="false">'Loan Tape'!$R48*'Loan Tape'!$AN48</f>
        <v>54538000</v>
      </c>
      <c r="I71" s="104" t="n">
        <f aca="false">'Loan Tape'!$AO48</f>
        <v>0.94</v>
      </c>
      <c r="J71" s="99" t="n">
        <f aca="false">'Loan Tape'!$AY48</f>
        <v>51265720</v>
      </c>
      <c r="K71" s="99" t="n">
        <f aca="false">'Loan Tape'!$BB48</f>
        <v>51732019.9</v>
      </c>
      <c r="L71" s="104" t="n">
        <f aca="false">'Loan CF'!C355</f>
        <v>0.082</v>
      </c>
      <c r="M71" s="105" t="n">
        <f aca="false">'Loan Tape'!$AS48*'Loan Tape'!$AN48</f>
        <v>7.75085557837098</v>
      </c>
      <c r="N71" s="105" t="n">
        <f aca="false">IFERROR(SUMPRODUCT(('Loan CF'!$C$916:$L$916-0.5)*('Loan CF'!C961:L961+'Loan CF'!C1264:L1264+'Loan CF'!C1567:L1567))/(SUM('Loan CF'!C961:L961)+SUM('Loan CF'!C1264:L1264)+SUM('Loan CF'!C1567:L1567)),0)</f>
        <v>2.28357181486035</v>
      </c>
      <c r="O71" s="99" t="n">
        <f aca="false">SUM('Loan CF'!C1870:L1870)</f>
        <v>14870529.0187155</v>
      </c>
      <c r="P71" s="99" t="n">
        <f aca="false">SUM('Loan CF'!C961:L961)+SUM('Loan CF'!C1264:L1264)+SUM('Loan CF'!C1567:L1567)</f>
        <v>23528823.7655853</v>
      </c>
      <c r="Q71" s="99" t="n">
        <f aca="false">SUM('Loan CF'!C2173:L2173)</f>
        <v>2518072.92501142</v>
      </c>
      <c r="R71" s="99" t="n">
        <f aca="false">SUM('Loan CF'!C1264:L1264)*Prepay_Pen</f>
        <v>210925.99131478</v>
      </c>
      <c r="S71" s="99" t="n">
        <f aca="false">'Loan CF'!$C2476</f>
        <v>26291892.9856917</v>
      </c>
      <c r="T71" s="99" t="n">
        <f aca="false">SUM(O71:S71)</f>
        <v>67420244.6863187</v>
      </c>
      <c r="U71" s="99" t="n">
        <f aca="false">SUM('Loan CF'!C658:L658)</f>
        <v>4218519.82629559</v>
      </c>
      <c r="V71" s="99" t="n">
        <f aca="false">U71*Sev</f>
        <v>1265555.94788868</v>
      </c>
      <c r="W71" s="99" t="n">
        <f aca="false">T71-K71</f>
        <v>15688224.7863187</v>
      </c>
      <c r="X71" s="106" t="n">
        <f aca="false">IFERROR(IRR('Loan CF'!C2779:M2779),"-")</f>
        <v>0.0775631340034433</v>
      </c>
      <c r="Y71" s="107" t="n">
        <f aca="false">IFERROR(T71/K71,"-")</f>
        <v>1.30325946708914</v>
      </c>
      <c r="Z71" s="99" t="n">
        <f aca="false">'Loan Tape'!$BC48</f>
        <v>30759432</v>
      </c>
      <c r="AA71" s="99" t="n">
        <f aca="false">'Loan Tape'!$BE48</f>
        <v>21126385.06</v>
      </c>
      <c r="AB71" s="99" t="n">
        <f aca="false">SUM('Loan CF'!D3688:M3688)-AA71</f>
        <v>9890714.22136901</v>
      </c>
      <c r="AC71" s="106" t="n">
        <f aca="false">IFERROR(IRR('Loan CF'!C3688:M3688),"-")</f>
        <v>0.0944510822505649</v>
      </c>
      <c r="AD71" s="107" t="n">
        <f aca="false">IFERROR(SUM('Loan CF'!D3688:M3688)/AA71,"-")</f>
        <v>1.4681687942958</v>
      </c>
    </row>
    <row r="72" customFormat="false" ht="15" hidden="false" customHeight="false" outlineLevel="0" collapsed="false">
      <c r="B72" s="108" t="str">
        <f aca="false">IF('Loan Tape'!$A49="","",'Loan Tape'!$A49)</f>
        <v>L-046</v>
      </c>
      <c r="C72" s="108" t="str">
        <f aca="false">IF('Loan Tape'!$A49="","",'Loan Tape'!$B49)</f>
        <v>Northgate Flats</v>
      </c>
      <c r="D72" s="108" t="str">
        <f aca="false">IF('Loan Tape'!$A49="","",'Loan Tape'!$C49)</f>
        <v>NC</v>
      </c>
      <c r="E72" s="108" t="str">
        <f aca="false">IF('Loan Tape'!$A49="","",'Loan Tape'!$D49)</f>
        <v>Multifamily</v>
      </c>
      <c r="F72" s="108" t="str">
        <f aca="false">IF('Loan Tape'!$A49="","",'Loan Tape'!$E49)</f>
        <v>Deal 2</v>
      </c>
      <c r="G72" s="26" t="n">
        <f aca="false">'Loan Tape'!$AN49</f>
        <v>1</v>
      </c>
      <c r="H72" s="71" t="n">
        <f aca="false">'Loan Tape'!$R49*'Loan Tape'!$AN49</f>
        <v>113370000</v>
      </c>
      <c r="I72" s="56" t="n">
        <f aca="false">'Loan Tape'!$AO49</f>
        <v>0.94</v>
      </c>
      <c r="J72" s="71" t="n">
        <f aca="false">'Loan Tape'!$AY49</f>
        <v>106567800</v>
      </c>
      <c r="K72" s="71" t="n">
        <f aca="false">'Loan Tape'!$BB49</f>
        <v>107537113.5</v>
      </c>
      <c r="L72" s="56" t="n">
        <f aca="false">'Loan CF'!C356</f>
        <v>0.0571</v>
      </c>
      <c r="M72" s="70" t="n">
        <f aca="false">'Loan Tape'!$AS49*'Loan Tape'!$AN49</f>
        <v>1</v>
      </c>
      <c r="N72" s="70" t="n">
        <f aca="false">IFERROR(SUMPRODUCT(('Loan CF'!$C$916:$L$916-0.5)*('Loan CF'!C962:L962+'Loan CF'!C1265:L1265+'Loan CF'!C1568:L1568))/(SUM('Loan CF'!C962:L962)+SUM('Loan CF'!C1265:L1265)+SUM('Loan CF'!C1568:L1568)),0)</f>
        <v>0.5</v>
      </c>
      <c r="O72" s="71" t="n">
        <f aca="false">SUM('Loan CF'!C1871:L1871)</f>
        <v>6007781.68128433</v>
      </c>
      <c r="P72" s="71" t="n">
        <f aca="false">SUM('Loan CF'!C962:L962)+SUM('Loan CF'!C1265:L1265)+SUM('Loan CF'!C1568:L1568)</f>
        <v>111102600</v>
      </c>
      <c r="Q72" s="71" t="n">
        <f aca="false">SUM('Loan CF'!C2174:L2174)</f>
        <v>1587180</v>
      </c>
      <c r="R72" s="71" t="n">
        <f aca="false">SUM('Loan CF'!C1265:L1265)*Prepay_Pen</f>
        <v>113370</v>
      </c>
      <c r="S72" s="71" t="n">
        <f aca="false">'Loan CF'!$C2477</f>
        <v>0</v>
      </c>
      <c r="T72" s="71" t="n">
        <f aca="false">SUM(O72:S72)</f>
        <v>118810931.681284</v>
      </c>
      <c r="U72" s="71" t="n">
        <f aca="false">SUM('Loan CF'!C659:L659)</f>
        <v>2267400</v>
      </c>
      <c r="V72" s="71" t="n">
        <f aca="false">U72*Sev</f>
        <v>680220</v>
      </c>
      <c r="W72" s="71" t="n">
        <f aca="false">T72-K72</f>
        <v>11273818.1812843</v>
      </c>
      <c r="X72" s="109" t="n">
        <f aca="false">IFERROR(IRR('Loan CF'!C2780:M2780),"-")</f>
        <v>0.10345278772012</v>
      </c>
      <c r="Y72" s="110" t="n">
        <f aca="false">IFERROR(T72/K72,"-")</f>
        <v>1.10483653330796</v>
      </c>
      <c r="Z72" s="71" t="n">
        <f aca="false">'Loan Tape'!$BC49</f>
        <v>63940680</v>
      </c>
      <c r="AA72" s="71" t="n">
        <f aca="false">'Loan Tape'!$BE49</f>
        <v>43916136.9</v>
      </c>
      <c r="AB72" s="71" t="n">
        <f aca="false">SUM('Loan CF'!D3689:M3689)-AA72</f>
        <v>8556339.28128433</v>
      </c>
      <c r="AC72" s="109" t="n">
        <f aca="false">IFERROR(IRR('Loan CF'!C3689:M3689),"-")</f>
        <v>0.189086500318522</v>
      </c>
      <c r="AD72" s="110" t="n">
        <f aca="false">IFERROR(SUM('Loan CF'!D3689:M3689)/AA72,"-")</f>
        <v>1.19483360525922</v>
      </c>
    </row>
    <row r="73" customFormat="false" ht="15" hidden="false" customHeight="false" outlineLevel="0" collapsed="false">
      <c r="B73" s="102" t="str">
        <f aca="false">IF('Loan Tape'!$A50="","",'Loan Tape'!$A50)</f>
        <v>L-047</v>
      </c>
      <c r="C73" s="102" t="str">
        <f aca="false">IF('Loan Tape'!$A50="","",'Loan Tape'!$B50)</f>
        <v>Willow Inn</v>
      </c>
      <c r="D73" s="102" t="str">
        <f aca="false">IF('Loan Tape'!$A50="","",'Loan Tape'!$C50)</f>
        <v>CA</v>
      </c>
      <c r="E73" s="102" t="str">
        <f aca="false">IF('Loan Tape'!$A50="","",'Loan Tape'!$D50)</f>
        <v>Hotel</v>
      </c>
      <c r="F73" s="102" t="str">
        <f aca="false">IF('Loan Tape'!$A50="","",'Loan Tape'!$E50)</f>
        <v>Deal 5</v>
      </c>
      <c r="G73" s="103" t="n">
        <f aca="false">'Loan Tape'!$AN50</f>
        <v>1</v>
      </c>
      <c r="H73" s="99" t="n">
        <f aca="false">'Loan Tape'!$R50*'Loan Tape'!$AN50</f>
        <v>5259000</v>
      </c>
      <c r="I73" s="104" t="n">
        <f aca="false">'Loan Tape'!$AO50</f>
        <v>0.94</v>
      </c>
      <c r="J73" s="99" t="n">
        <f aca="false">'Loan Tape'!$AY50</f>
        <v>4943460</v>
      </c>
      <c r="K73" s="99" t="n">
        <f aca="false">'Loan Tape'!$BB50</f>
        <v>4988424.45</v>
      </c>
      <c r="L73" s="104" t="n">
        <f aca="false">'Loan CF'!C357</f>
        <v>0.0796</v>
      </c>
      <c r="M73" s="105" t="n">
        <f aca="false">'Loan Tape'!$AS50*'Loan Tape'!$AN50</f>
        <v>3.50171115674196</v>
      </c>
      <c r="N73" s="105" t="n">
        <f aca="false">IFERROR(SUMPRODUCT(('Loan CF'!$C$916:$L$916-0.5)*('Loan CF'!C963:L963+'Loan CF'!C1266:L1266+'Loan CF'!C1569:L1569))/(SUM('Loan CF'!C963:L963)+SUM('Loan CF'!C1266:L1266)+SUM('Loan CF'!C1569:L1569)),0)</f>
        <v>2.91128036219501</v>
      </c>
      <c r="O73" s="99" t="n">
        <f aca="false">SUM('Loan CF'!C1872:L1872)</f>
        <v>1107933.74265127</v>
      </c>
      <c r="P73" s="99" t="n">
        <f aca="false">SUM('Loan CF'!C963:L963)+SUM('Loan CF'!C1266:L1266)+SUM('Loan CF'!C1569:L1569)</f>
        <v>4943848.94455326</v>
      </c>
      <c r="Q73" s="99" t="n">
        <f aca="false">SUM('Loan CF'!C2175:L2175)</f>
        <v>220605.738812715</v>
      </c>
      <c r="R73" s="99" t="n">
        <f aca="false">SUM('Loan CF'!C1266:L1266)*Prepay_Pen</f>
        <v>15757.5527723368</v>
      </c>
      <c r="S73" s="99" t="n">
        <f aca="false">'Loan CF'!$C2478</f>
        <v>0</v>
      </c>
      <c r="T73" s="99" t="n">
        <f aca="false">SUM(O73:S73)</f>
        <v>6288145.97878959</v>
      </c>
      <c r="U73" s="99" t="n">
        <f aca="false">SUM('Loan CF'!C660:L660)</f>
        <v>315151.055446735</v>
      </c>
      <c r="V73" s="99" t="n">
        <f aca="false">U73*Sev</f>
        <v>94545.3166340205</v>
      </c>
      <c r="W73" s="99" t="n">
        <f aca="false">T73-K73</f>
        <v>1299721.52878959</v>
      </c>
      <c r="X73" s="106" t="n">
        <f aca="false">IFERROR(IRR('Loan CF'!C2781:M2781),"-")</f>
        <v>0.0770581388072798</v>
      </c>
      <c r="Y73" s="107" t="n">
        <f aca="false">IFERROR(T73/K73,"-")</f>
        <v>1.26054750188501</v>
      </c>
      <c r="Z73" s="99" t="n">
        <f aca="false">'Loan Tape'!$BC50</f>
        <v>2966076</v>
      </c>
      <c r="AA73" s="99" t="n">
        <f aca="false">'Loan Tape'!$BE50</f>
        <v>2037178.83</v>
      </c>
      <c r="AB73" s="99" t="n">
        <f aca="false">SUM('Loan CF'!D3690:M3690)-AA73</f>
        <v>803112.05518959</v>
      </c>
      <c r="AC73" s="106" t="n">
        <f aca="false">IFERROR(IRR('Loan CF'!C3690:M3690),"-")</f>
        <v>0.0979610069135465</v>
      </c>
      <c r="AD73" s="107" t="n">
        <f aca="false">IFERROR(SUM('Loan CF'!D3690:M3690)/AA73,"-")</f>
        <v>1.39422756773375</v>
      </c>
    </row>
    <row r="74" customFormat="false" ht="15" hidden="false" customHeight="false" outlineLevel="0" collapsed="false">
      <c r="B74" s="108" t="str">
        <f aca="false">IF('Loan Tape'!$A51="","",'Loan Tape'!$A51)</f>
        <v>L-048</v>
      </c>
      <c r="C74" s="108" t="str">
        <f aca="false">IF('Loan Tape'!$A51="","",'Loan Tape'!$B51)</f>
        <v>Vista Corporate Center</v>
      </c>
      <c r="D74" s="108" t="str">
        <f aca="false">IF('Loan Tape'!$A51="","",'Loan Tape'!$C51)</f>
        <v>WA</v>
      </c>
      <c r="E74" s="108" t="str">
        <f aca="false">IF('Loan Tape'!$A51="","",'Loan Tape'!$D51)</f>
        <v>Office</v>
      </c>
      <c r="F74" s="108" t="str">
        <f aca="false">IF('Loan Tape'!$A51="","",'Loan Tape'!$E51)</f>
        <v>Deal 7</v>
      </c>
      <c r="G74" s="26" t="n">
        <f aca="false">'Loan Tape'!$AN51</f>
        <v>1</v>
      </c>
      <c r="H74" s="71" t="n">
        <f aca="false">'Loan Tape'!$R51*'Loan Tape'!$AN51</f>
        <v>100201000</v>
      </c>
      <c r="I74" s="56" t="n">
        <f aca="false">'Loan Tape'!$AO51</f>
        <v>0.94</v>
      </c>
      <c r="J74" s="71" t="n">
        <f aca="false">'Loan Tape'!$AY51</f>
        <v>94188940</v>
      </c>
      <c r="K74" s="71" t="n">
        <f aca="false">'Loan Tape'!$BB51</f>
        <v>95045658.55</v>
      </c>
      <c r="L74" s="56" t="n">
        <f aca="false">'Loan CF'!C358</f>
        <v>0.0665</v>
      </c>
      <c r="M74" s="70" t="n">
        <f aca="false">'Loan Tape'!$AS51*'Loan Tape'!$AN51</f>
        <v>1.67008898015058</v>
      </c>
      <c r="N74" s="70" t="n">
        <f aca="false">IFERROR(SUMPRODUCT(('Loan CF'!$C$916:$L$916-0.5)*('Loan CF'!C964:L964+'Loan CF'!C1267:L1267+'Loan CF'!C1570:L1570))/(SUM('Loan CF'!C964:L964)+SUM('Loan CF'!C1267:L1267)+SUM('Loan CF'!C1570:L1570)),0)</f>
        <v>1.37412215193729</v>
      </c>
      <c r="O74" s="71" t="n">
        <f aca="false">SUM('Loan CF'!C1873:L1873)</f>
        <v>9561415.672833</v>
      </c>
      <c r="P74" s="71" t="n">
        <f aca="false">SUM('Loan CF'!C964:L964)+SUM('Loan CF'!C1267:L1267)+SUM('Loan CF'!C1570:L1570)</f>
        <v>97044678.8451313</v>
      </c>
      <c r="Q74" s="71" t="n">
        <f aca="false">SUM('Loan CF'!C2176:L2176)</f>
        <v>2209424.80840807</v>
      </c>
      <c r="R74" s="71" t="n">
        <f aca="false">SUM('Loan CF'!C1267:L1267)*Prepay_Pen</f>
        <v>157816.057743434</v>
      </c>
      <c r="S74" s="71" t="n">
        <f aca="false">'Loan CF'!$C2479</f>
        <v>0</v>
      </c>
      <c r="T74" s="71" t="n">
        <f aca="false">SUM(O74:S74)</f>
        <v>108973335.384116</v>
      </c>
      <c r="U74" s="71" t="n">
        <f aca="false">SUM('Loan CF'!C661:L661)</f>
        <v>3156321.15486867</v>
      </c>
      <c r="V74" s="71" t="n">
        <f aca="false">U74*Sev</f>
        <v>946896.346460601</v>
      </c>
      <c r="W74" s="71" t="n">
        <f aca="false">T74-K74</f>
        <v>13927676.8341158</v>
      </c>
      <c r="X74" s="109" t="n">
        <f aca="false">IFERROR(IRR('Loan CF'!C2782:M2782),"-")</f>
        <v>0.0775051981474378</v>
      </c>
      <c r="Y74" s="110" t="n">
        <f aca="false">IFERROR(T74/K74,"-")</f>
        <v>1.14653669664237</v>
      </c>
      <c r="Z74" s="71" t="n">
        <f aca="false">'Loan Tape'!$BC51</f>
        <v>56513364</v>
      </c>
      <c r="AA74" s="71" t="n">
        <f aca="false">'Loan Tape'!$BE51</f>
        <v>38814861.37</v>
      </c>
      <c r="AB74" s="71" t="n">
        <f aca="false">SUM('Loan CF'!D3691:M3691)-AA74</f>
        <v>8535771.62949576</v>
      </c>
      <c r="AC74" s="109" t="n">
        <f aca="false">IFERROR(IRR('Loan CF'!C3691:M3691),"-")</f>
        <v>0.106992146219412</v>
      </c>
      <c r="AD74" s="110" t="n">
        <f aca="false">IFERROR(SUM('Loan CF'!D3691:M3691)/AA74,"-")</f>
        <v>1.21990988317926</v>
      </c>
    </row>
    <row r="75" customFormat="false" ht="15" hidden="false" customHeight="false" outlineLevel="0" collapsed="false">
      <c r="B75" s="102" t="str">
        <f aca="false">IF('Loan Tape'!$A52="","",'Loan Tape'!$A52)</f>
        <v>L-049</v>
      </c>
      <c r="C75" s="102" t="str">
        <f aca="false">IF('Loan Tape'!$A52="","",'Loan Tape'!$B52)</f>
        <v>Summit Hotel &amp; Suites</v>
      </c>
      <c r="D75" s="102" t="str">
        <f aca="false">IF('Loan Tape'!$A52="","",'Loan Tape'!$C52)</f>
        <v>OR</v>
      </c>
      <c r="E75" s="102" t="str">
        <f aca="false">IF('Loan Tape'!$A52="","",'Loan Tape'!$D52)</f>
        <v>Hotel</v>
      </c>
      <c r="F75" s="102" t="str">
        <f aca="false">IF('Loan Tape'!$A52="","",'Loan Tape'!$E52)</f>
        <v>Deal 7</v>
      </c>
      <c r="G75" s="103" t="n">
        <f aca="false">'Loan Tape'!$AN52</f>
        <v>1</v>
      </c>
      <c r="H75" s="99" t="n">
        <f aca="false">'Loan Tape'!$R52*'Loan Tape'!$AN52</f>
        <v>52022000</v>
      </c>
      <c r="I75" s="104" t="n">
        <f aca="false">'Loan Tape'!$AO52</f>
        <v>0.94</v>
      </c>
      <c r="J75" s="99" t="n">
        <f aca="false">'Loan Tape'!$AY52</f>
        <v>48900680</v>
      </c>
      <c r="K75" s="99" t="n">
        <f aca="false">'Loan Tape'!$BB52</f>
        <v>49345468.1</v>
      </c>
      <c r="L75" s="104" t="n">
        <f aca="false">'Loan CF'!C359</f>
        <v>0.0768</v>
      </c>
      <c r="M75" s="105" t="n">
        <f aca="false">'Loan Tape'!$AS52*'Loan Tape'!$AN52</f>
        <v>0</v>
      </c>
      <c r="N75" s="105" t="n">
        <f aca="false">IFERROR(SUMPRODUCT(('Loan CF'!$C$916:$L$916-0.5)*('Loan CF'!C965:L965+'Loan CF'!C1268:L1268+'Loan CF'!C1571:L1571))/(SUM('Loan CF'!C965:L965)+SUM('Loan CF'!C1268:L1268)+SUM('Loan CF'!C1571:L1571)),0)</f>
        <v>0.5</v>
      </c>
      <c r="O75" s="99" t="n">
        <f aca="false">SUM('Loan CF'!C1874:L1874)</f>
        <v>0</v>
      </c>
      <c r="P75" s="99" t="n">
        <f aca="false">SUM('Loan CF'!C965:L965)+SUM('Loan CF'!C1268:L1268)+SUM('Loan CF'!C1571:L1571)</f>
        <v>52022000</v>
      </c>
      <c r="Q75" s="99" t="n">
        <f aca="false">SUM('Loan CF'!C2177:L2177)</f>
        <v>0</v>
      </c>
      <c r="R75" s="99" t="n">
        <f aca="false">SUM('Loan CF'!C1268:L1268)*Prepay_Pen</f>
        <v>0</v>
      </c>
      <c r="S75" s="99" t="n">
        <f aca="false">'Loan CF'!$C2480</f>
        <v>0</v>
      </c>
      <c r="T75" s="99" t="n">
        <f aca="false">SUM(O75:S75)</f>
        <v>52022000</v>
      </c>
      <c r="U75" s="99" t="n">
        <f aca="false">SUM('Loan CF'!C662:L662)</f>
        <v>0</v>
      </c>
      <c r="V75" s="99" t="n">
        <f aca="false">U75*Sev</f>
        <v>0</v>
      </c>
      <c r="W75" s="99" t="n">
        <f aca="false">T75-K75</f>
        <v>2676531.9</v>
      </c>
      <c r="X75" s="106" t="n">
        <f aca="false">IFERROR(IRR('Loan CF'!C2783:M2783),"-")</f>
        <v>0.0542406831479626</v>
      </c>
      <c r="Y75" s="107" t="n">
        <f aca="false">IFERROR(T75/K75,"-")</f>
        <v>1.05424068314796</v>
      </c>
      <c r="Z75" s="99" t="n">
        <f aca="false">'Loan Tape'!$BC52</f>
        <v>29340408</v>
      </c>
      <c r="AA75" s="99" t="n">
        <f aca="false">'Loan Tape'!$BE52</f>
        <v>20151762.14</v>
      </c>
      <c r="AB75" s="99" t="n">
        <f aca="false">SUM('Loan CF'!D3692:M3692)-AA75</f>
        <v>1429564.56</v>
      </c>
      <c r="AC75" s="106" t="n">
        <f aca="false">IFERROR(IRR('Loan CF'!C3692:M3692),"-")</f>
        <v>0.0709399282339882</v>
      </c>
      <c r="AD75" s="107" t="n">
        <f aca="false">IFERROR(SUM('Loan CF'!D3692:M3692)/AA75,"-")</f>
        <v>1.07093992823399</v>
      </c>
    </row>
    <row r="76" customFormat="false" ht="15" hidden="false" customHeight="false" outlineLevel="0" collapsed="false">
      <c r="B76" s="108" t="str">
        <f aca="false">IF('Loan Tape'!$A53="","",'Loan Tape'!$A53)</f>
        <v>L-050</v>
      </c>
      <c r="C76" s="108" t="str">
        <f aca="false">IF('Loan Tape'!$A53="","",'Loan Tape'!$B53)</f>
        <v>Foxhollow Warehouse</v>
      </c>
      <c r="D76" s="108" t="str">
        <f aca="false">IF('Loan Tape'!$A53="","",'Loan Tape'!$C53)</f>
        <v>AZ</v>
      </c>
      <c r="E76" s="108" t="str">
        <f aca="false">IF('Loan Tape'!$A53="","",'Loan Tape'!$D53)</f>
        <v>Industrial</v>
      </c>
      <c r="F76" s="108" t="str">
        <f aca="false">IF('Loan Tape'!$A53="","",'Loan Tape'!$E53)</f>
        <v>Deal 1</v>
      </c>
      <c r="G76" s="26" t="n">
        <f aca="false">'Loan Tape'!$AN53</f>
        <v>1</v>
      </c>
      <c r="H76" s="71" t="n">
        <f aca="false">'Loan Tape'!$R53*'Loan Tape'!$AN53</f>
        <v>120313000</v>
      </c>
      <c r="I76" s="56" t="n">
        <f aca="false">'Loan Tape'!$AO53</f>
        <v>0.94</v>
      </c>
      <c r="J76" s="71" t="n">
        <f aca="false">'Loan Tape'!$AY53</f>
        <v>113094220</v>
      </c>
      <c r="K76" s="71" t="n">
        <f aca="false">'Loan Tape'!$BB53</f>
        <v>114122896.15</v>
      </c>
      <c r="L76" s="56" t="n">
        <f aca="false">'Loan CF'!C360</f>
        <v>0.083</v>
      </c>
      <c r="M76" s="70" t="n">
        <f aca="false">'Loan Tape'!$AS53*'Loan Tape'!$AN53</f>
        <v>2.67008898015058</v>
      </c>
      <c r="N76" s="70" t="n">
        <f aca="false">IFERROR(SUMPRODUCT(('Loan CF'!$C$916:$L$916-0.5)*('Loan CF'!C966:L966+'Loan CF'!C1269:L1269+'Loan CF'!C1572:L1572))/(SUM('Loan CF'!C966:L966)+SUM('Loan CF'!C1269:L1269)+SUM('Loan CF'!C1572:L1572)),0)</f>
        <v>2.19748587502446</v>
      </c>
      <c r="O76" s="71" t="n">
        <f aca="false">SUM('Loan CF'!C1875:L1875)</f>
        <v>21583860.0847037</v>
      </c>
      <c r="P76" s="71" t="n">
        <f aca="false">SUM('Loan CF'!C966:L966)+SUM('Loan CF'!C1269:L1269)+SUM('Loan CF'!C1572:L1572)</f>
        <v>114540582.205218</v>
      </c>
      <c r="Q76" s="71" t="n">
        <f aca="false">SUM('Loan CF'!C2178:L2178)</f>
        <v>4040692.45634716</v>
      </c>
      <c r="R76" s="71" t="n">
        <f aca="false">SUM('Loan CF'!C1269:L1269)*Prepay_Pen</f>
        <v>288620.889739083</v>
      </c>
      <c r="S76" s="71" t="n">
        <f aca="false">'Loan CF'!$C2481</f>
        <v>0</v>
      </c>
      <c r="T76" s="71" t="n">
        <f aca="false">SUM(O76:S76)</f>
        <v>140453755.636008</v>
      </c>
      <c r="U76" s="71" t="n">
        <f aca="false">SUM('Loan CF'!C663:L663)</f>
        <v>5772417.79478166</v>
      </c>
      <c r="V76" s="71" t="n">
        <f aca="false">U76*Sev</f>
        <v>1731725.3384345</v>
      </c>
      <c r="W76" s="71" t="n">
        <f aca="false">T76-K76</f>
        <v>26330859.4860083</v>
      </c>
      <c r="X76" s="109" t="n">
        <f aca="false">IFERROR(IRR('Loan CF'!C2784:M2784),"-")</f>
        <v>0.0854344803521654</v>
      </c>
      <c r="Y76" s="110" t="n">
        <f aca="false">IFERROR(T76/K76,"-")</f>
        <v>1.23072372305904</v>
      </c>
      <c r="Z76" s="71" t="n">
        <f aca="false">'Loan Tape'!$BC53</f>
        <v>67856532</v>
      </c>
      <c r="AA76" s="71" t="n">
        <f aca="false">'Loan Tape'!$BE53</f>
        <v>46605646.81</v>
      </c>
      <c r="AB76" s="71" t="n">
        <f aca="false">SUM('Loan CF'!D3693:M3693)-AA76</f>
        <v>16934895.4380083</v>
      </c>
      <c r="AC76" s="109" t="n">
        <f aca="false">IFERROR(IRR('Loan CF'!C3693:M3693),"-")</f>
        <v>0.118948567761664</v>
      </c>
      <c r="AD76" s="110" t="n">
        <f aca="false">IFERROR(SUM('Loan CF'!D3693:M3693)/AA76,"-")</f>
        <v>1.36336574207516</v>
      </c>
    </row>
    <row r="77" customFormat="false" ht="15" hidden="false" customHeight="false" outlineLevel="0" collapsed="false">
      <c r="B77" s="102" t="str">
        <f aca="false">IF('Loan Tape'!$A54="","",'Loan Tape'!$A54)</f>
        <v/>
      </c>
      <c r="C77" s="102" t="str">
        <f aca="false">IF('Loan Tape'!$A54="","",'Loan Tape'!$B54)</f>
        <v/>
      </c>
      <c r="D77" s="102" t="str">
        <f aca="false">IF('Loan Tape'!$A54="","",'Loan Tape'!$C54)</f>
        <v/>
      </c>
      <c r="E77" s="102" t="str">
        <f aca="false">IF('Loan Tape'!$A54="","",'Loan Tape'!$D54)</f>
        <v/>
      </c>
      <c r="F77" s="102" t="str">
        <f aca="false">IF('Loan Tape'!$A54="","",'Loan Tape'!$E54)</f>
        <v/>
      </c>
      <c r="G77" s="103" t="n">
        <f aca="false">'Loan Tape'!$AN54</f>
        <v>0</v>
      </c>
      <c r="H77" s="99" t="n">
        <f aca="false">'Loan Tape'!$R54*'Loan Tape'!$AN54</f>
        <v>0</v>
      </c>
      <c r="I77" s="104" t="n">
        <f aca="false">'Loan Tape'!$AO54</f>
        <v>0</v>
      </c>
      <c r="J77" s="99" t="n">
        <f aca="false">'Loan Tape'!$AY54</f>
        <v>0</v>
      </c>
      <c r="K77" s="99" t="n">
        <f aca="false">'Loan Tape'!$BB54</f>
        <v>0</v>
      </c>
      <c r="L77" s="104" t="n">
        <f aca="false">'Loan CF'!C361</f>
        <v>0</v>
      </c>
      <c r="M77" s="105" t="n">
        <f aca="false">'Loan Tape'!$AS54*'Loan Tape'!$AN54</f>
        <v>0</v>
      </c>
      <c r="N77" s="105" t="n">
        <f aca="false">IFERROR(SUMPRODUCT(('Loan CF'!$C$916:$L$916-0.5)*('Loan CF'!C967:L967+'Loan CF'!C1270:L1270+'Loan CF'!C1573:L1573))/(SUM('Loan CF'!C967:L967)+SUM('Loan CF'!C1270:L1270)+SUM('Loan CF'!C1573:L1573)),0)</f>
        <v>0</v>
      </c>
      <c r="O77" s="99" t="n">
        <f aca="false">SUM('Loan CF'!C1876:L1876)</f>
        <v>0</v>
      </c>
      <c r="P77" s="99" t="n">
        <f aca="false">SUM('Loan CF'!C967:L967)+SUM('Loan CF'!C1270:L1270)+SUM('Loan CF'!C1573:L1573)</f>
        <v>0</v>
      </c>
      <c r="Q77" s="99" t="n">
        <f aca="false">SUM('Loan CF'!C2179:L2179)</f>
        <v>0</v>
      </c>
      <c r="R77" s="99" t="n">
        <f aca="false">SUM('Loan CF'!C1270:L1270)*Prepay_Pen</f>
        <v>0</v>
      </c>
      <c r="S77" s="99" t="n">
        <f aca="false">'Loan CF'!$C2482</f>
        <v>0</v>
      </c>
      <c r="T77" s="99" t="n">
        <f aca="false">SUM(O77:S77)</f>
        <v>0</v>
      </c>
      <c r="U77" s="99" t="n">
        <f aca="false">SUM('Loan CF'!C664:L664)</f>
        <v>0</v>
      </c>
      <c r="V77" s="99" t="n">
        <f aca="false">U77*Sev</f>
        <v>0</v>
      </c>
      <c r="W77" s="99" t="n">
        <f aca="false">T77-K77</f>
        <v>0</v>
      </c>
      <c r="X77" s="106" t="str">
        <f aca="false">IFERROR(IRR('Loan CF'!C2785:M2785),"-")</f>
        <v>-</v>
      </c>
      <c r="Y77" s="107" t="str">
        <f aca="false">IFERROR(T77/K77,"-")</f>
        <v>-</v>
      </c>
      <c r="Z77" s="99" t="n">
        <f aca="false">'Loan Tape'!$BC54</f>
        <v>0</v>
      </c>
      <c r="AA77" s="99" t="n">
        <f aca="false">'Loan Tape'!$BE54</f>
        <v>0</v>
      </c>
      <c r="AB77" s="99" t="n">
        <f aca="false">SUM('Loan CF'!D3694:M3694)-AA77</f>
        <v>0</v>
      </c>
      <c r="AC77" s="106" t="str">
        <f aca="false">IFERROR(IRR('Loan CF'!C3694:M3694),"-")</f>
        <v>-</v>
      </c>
      <c r="AD77" s="107" t="str">
        <f aca="false">IFERROR(SUM('Loan CF'!D3694:M3694)/AA77,"-")</f>
        <v>-</v>
      </c>
    </row>
    <row r="78" customFormat="false" ht="15" hidden="false" customHeight="false" outlineLevel="0" collapsed="false">
      <c r="B78" s="108" t="str">
        <f aca="false">IF('Loan Tape'!$A55="","",'Loan Tape'!$A55)</f>
        <v/>
      </c>
      <c r="C78" s="108" t="str">
        <f aca="false">IF('Loan Tape'!$A55="","",'Loan Tape'!$B55)</f>
        <v/>
      </c>
      <c r="D78" s="108" t="str">
        <f aca="false">IF('Loan Tape'!$A55="","",'Loan Tape'!$C55)</f>
        <v/>
      </c>
      <c r="E78" s="108" t="str">
        <f aca="false">IF('Loan Tape'!$A55="","",'Loan Tape'!$D55)</f>
        <v/>
      </c>
      <c r="F78" s="108" t="str">
        <f aca="false">IF('Loan Tape'!$A55="","",'Loan Tape'!$E55)</f>
        <v/>
      </c>
      <c r="G78" s="26" t="n">
        <f aca="false">'Loan Tape'!$AN55</f>
        <v>0</v>
      </c>
      <c r="H78" s="71" t="n">
        <f aca="false">'Loan Tape'!$R55*'Loan Tape'!$AN55</f>
        <v>0</v>
      </c>
      <c r="I78" s="56" t="n">
        <f aca="false">'Loan Tape'!$AO55</f>
        <v>0</v>
      </c>
      <c r="J78" s="71" t="n">
        <f aca="false">'Loan Tape'!$AY55</f>
        <v>0</v>
      </c>
      <c r="K78" s="71" t="n">
        <f aca="false">'Loan Tape'!$BB55</f>
        <v>0</v>
      </c>
      <c r="L78" s="56" t="n">
        <f aca="false">'Loan CF'!C362</f>
        <v>0</v>
      </c>
      <c r="M78" s="70" t="n">
        <f aca="false">'Loan Tape'!$AS55*'Loan Tape'!$AN55</f>
        <v>0</v>
      </c>
      <c r="N78" s="70" t="n">
        <f aca="false">IFERROR(SUMPRODUCT(('Loan CF'!$C$916:$L$916-0.5)*('Loan CF'!C968:L968+'Loan CF'!C1271:L1271+'Loan CF'!C1574:L1574))/(SUM('Loan CF'!C968:L968)+SUM('Loan CF'!C1271:L1271)+SUM('Loan CF'!C1574:L1574)),0)</f>
        <v>0</v>
      </c>
      <c r="O78" s="71" t="n">
        <f aca="false">SUM('Loan CF'!C1877:L1877)</f>
        <v>0</v>
      </c>
      <c r="P78" s="71" t="n">
        <f aca="false">SUM('Loan CF'!C968:L968)+SUM('Loan CF'!C1271:L1271)+SUM('Loan CF'!C1574:L1574)</f>
        <v>0</v>
      </c>
      <c r="Q78" s="71" t="n">
        <f aca="false">SUM('Loan CF'!C2180:L2180)</f>
        <v>0</v>
      </c>
      <c r="R78" s="71" t="n">
        <f aca="false">SUM('Loan CF'!C1271:L1271)*Prepay_Pen</f>
        <v>0</v>
      </c>
      <c r="S78" s="71" t="n">
        <f aca="false">'Loan CF'!$C2483</f>
        <v>0</v>
      </c>
      <c r="T78" s="71" t="n">
        <f aca="false">SUM(O78:S78)</f>
        <v>0</v>
      </c>
      <c r="U78" s="71" t="n">
        <f aca="false">SUM('Loan CF'!C665:L665)</f>
        <v>0</v>
      </c>
      <c r="V78" s="71" t="n">
        <f aca="false">U78*Sev</f>
        <v>0</v>
      </c>
      <c r="W78" s="71" t="n">
        <f aca="false">T78-K78</f>
        <v>0</v>
      </c>
      <c r="X78" s="109" t="str">
        <f aca="false">IFERROR(IRR('Loan CF'!C2786:M2786),"-")</f>
        <v>-</v>
      </c>
      <c r="Y78" s="110" t="str">
        <f aca="false">IFERROR(T78/K78,"-")</f>
        <v>-</v>
      </c>
      <c r="Z78" s="71" t="n">
        <f aca="false">'Loan Tape'!$BC55</f>
        <v>0</v>
      </c>
      <c r="AA78" s="71" t="n">
        <f aca="false">'Loan Tape'!$BE55</f>
        <v>0</v>
      </c>
      <c r="AB78" s="71" t="n">
        <f aca="false">SUM('Loan CF'!D3695:M3695)-AA78</f>
        <v>0</v>
      </c>
      <c r="AC78" s="109" t="str">
        <f aca="false">IFERROR(IRR('Loan CF'!C3695:M3695),"-")</f>
        <v>-</v>
      </c>
      <c r="AD78" s="110" t="str">
        <f aca="false">IFERROR(SUM('Loan CF'!D3695:M3695)/AA78,"-")</f>
        <v>-</v>
      </c>
    </row>
    <row r="79" customFormat="false" ht="15" hidden="false" customHeight="false" outlineLevel="0" collapsed="false">
      <c r="B79" s="102" t="str">
        <f aca="false">IF('Loan Tape'!$A56="","",'Loan Tape'!$A56)</f>
        <v/>
      </c>
      <c r="C79" s="102" t="str">
        <f aca="false">IF('Loan Tape'!$A56="","",'Loan Tape'!$B56)</f>
        <v/>
      </c>
      <c r="D79" s="102" t="str">
        <f aca="false">IF('Loan Tape'!$A56="","",'Loan Tape'!$C56)</f>
        <v/>
      </c>
      <c r="E79" s="102" t="str">
        <f aca="false">IF('Loan Tape'!$A56="","",'Loan Tape'!$D56)</f>
        <v/>
      </c>
      <c r="F79" s="102" t="str">
        <f aca="false">IF('Loan Tape'!$A56="","",'Loan Tape'!$E56)</f>
        <v/>
      </c>
      <c r="G79" s="103" t="n">
        <f aca="false">'Loan Tape'!$AN56</f>
        <v>0</v>
      </c>
      <c r="H79" s="99" t="n">
        <f aca="false">'Loan Tape'!$R56*'Loan Tape'!$AN56</f>
        <v>0</v>
      </c>
      <c r="I79" s="104" t="n">
        <f aca="false">'Loan Tape'!$AO56</f>
        <v>0</v>
      </c>
      <c r="J79" s="99" t="n">
        <f aca="false">'Loan Tape'!$AY56</f>
        <v>0</v>
      </c>
      <c r="K79" s="99" t="n">
        <f aca="false">'Loan Tape'!$BB56</f>
        <v>0</v>
      </c>
      <c r="L79" s="104" t="n">
        <f aca="false">'Loan CF'!C363</f>
        <v>0</v>
      </c>
      <c r="M79" s="105" t="n">
        <f aca="false">'Loan Tape'!$AS56*'Loan Tape'!$AN56</f>
        <v>0</v>
      </c>
      <c r="N79" s="105" t="n">
        <f aca="false">IFERROR(SUMPRODUCT(('Loan CF'!$C$916:$L$916-0.5)*('Loan CF'!C969:L969+'Loan CF'!C1272:L1272+'Loan CF'!C1575:L1575))/(SUM('Loan CF'!C969:L969)+SUM('Loan CF'!C1272:L1272)+SUM('Loan CF'!C1575:L1575)),0)</f>
        <v>0</v>
      </c>
      <c r="O79" s="99" t="n">
        <f aca="false">SUM('Loan CF'!C1878:L1878)</f>
        <v>0</v>
      </c>
      <c r="P79" s="99" t="n">
        <f aca="false">SUM('Loan CF'!C969:L969)+SUM('Loan CF'!C1272:L1272)+SUM('Loan CF'!C1575:L1575)</f>
        <v>0</v>
      </c>
      <c r="Q79" s="99" t="n">
        <f aca="false">SUM('Loan CF'!C2181:L2181)</f>
        <v>0</v>
      </c>
      <c r="R79" s="99" t="n">
        <f aca="false">SUM('Loan CF'!C1272:L1272)*Prepay_Pen</f>
        <v>0</v>
      </c>
      <c r="S79" s="99" t="n">
        <f aca="false">'Loan CF'!$C2484</f>
        <v>0</v>
      </c>
      <c r="T79" s="99" t="n">
        <f aca="false">SUM(O79:S79)</f>
        <v>0</v>
      </c>
      <c r="U79" s="99" t="n">
        <f aca="false">SUM('Loan CF'!C666:L666)</f>
        <v>0</v>
      </c>
      <c r="V79" s="99" t="n">
        <f aca="false">U79*Sev</f>
        <v>0</v>
      </c>
      <c r="W79" s="99" t="n">
        <f aca="false">T79-K79</f>
        <v>0</v>
      </c>
      <c r="X79" s="106" t="str">
        <f aca="false">IFERROR(IRR('Loan CF'!C2787:M2787),"-")</f>
        <v>-</v>
      </c>
      <c r="Y79" s="107" t="str">
        <f aca="false">IFERROR(T79/K79,"-")</f>
        <v>-</v>
      </c>
      <c r="Z79" s="99" t="n">
        <f aca="false">'Loan Tape'!$BC56</f>
        <v>0</v>
      </c>
      <c r="AA79" s="99" t="n">
        <f aca="false">'Loan Tape'!$BE56</f>
        <v>0</v>
      </c>
      <c r="AB79" s="99" t="n">
        <f aca="false">SUM('Loan CF'!D3696:M3696)-AA79</f>
        <v>0</v>
      </c>
      <c r="AC79" s="106" t="str">
        <f aca="false">IFERROR(IRR('Loan CF'!C3696:M3696),"-")</f>
        <v>-</v>
      </c>
      <c r="AD79" s="107" t="str">
        <f aca="false">IFERROR(SUM('Loan CF'!D3696:M3696)/AA79,"-")</f>
        <v>-</v>
      </c>
    </row>
    <row r="80" customFormat="false" ht="15" hidden="false" customHeight="false" outlineLevel="0" collapsed="false">
      <c r="B80" s="108" t="str">
        <f aca="false">IF('Loan Tape'!$A57="","",'Loan Tape'!$A57)</f>
        <v/>
      </c>
      <c r="C80" s="108" t="str">
        <f aca="false">IF('Loan Tape'!$A57="","",'Loan Tape'!$B57)</f>
        <v/>
      </c>
      <c r="D80" s="108" t="str">
        <f aca="false">IF('Loan Tape'!$A57="","",'Loan Tape'!$C57)</f>
        <v/>
      </c>
      <c r="E80" s="108" t="str">
        <f aca="false">IF('Loan Tape'!$A57="","",'Loan Tape'!$D57)</f>
        <v/>
      </c>
      <c r="F80" s="108" t="str">
        <f aca="false">IF('Loan Tape'!$A57="","",'Loan Tape'!$E57)</f>
        <v/>
      </c>
      <c r="G80" s="26" t="n">
        <f aca="false">'Loan Tape'!$AN57</f>
        <v>0</v>
      </c>
      <c r="H80" s="71" t="n">
        <f aca="false">'Loan Tape'!$R57*'Loan Tape'!$AN57</f>
        <v>0</v>
      </c>
      <c r="I80" s="56" t="n">
        <f aca="false">'Loan Tape'!$AO57</f>
        <v>0</v>
      </c>
      <c r="J80" s="71" t="n">
        <f aca="false">'Loan Tape'!$AY57</f>
        <v>0</v>
      </c>
      <c r="K80" s="71" t="n">
        <f aca="false">'Loan Tape'!$BB57</f>
        <v>0</v>
      </c>
      <c r="L80" s="56" t="n">
        <f aca="false">'Loan CF'!C364</f>
        <v>0</v>
      </c>
      <c r="M80" s="70" t="n">
        <f aca="false">'Loan Tape'!$AS57*'Loan Tape'!$AN57</f>
        <v>0</v>
      </c>
      <c r="N80" s="70" t="n">
        <f aca="false">IFERROR(SUMPRODUCT(('Loan CF'!$C$916:$L$916-0.5)*('Loan CF'!C970:L970+'Loan CF'!C1273:L1273+'Loan CF'!C1576:L1576))/(SUM('Loan CF'!C970:L970)+SUM('Loan CF'!C1273:L1273)+SUM('Loan CF'!C1576:L1576)),0)</f>
        <v>0</v>
      </c>
      <c r="O80" s="71" t="n">
        <f aca="false">SUM('Loan CF'!C1879:L1879)</f>
        <v>0</v>
      </c>
      <c r="P80" s="71" t="n">
        <f aca="false">SUM('Loan CF'!C970:L970)+SUM('Loan CF'!C1273:L1273)+SUM('Loan CF'!C1576:L1576)</f>
        <v>0</v>
      </c>
      <c r="Q80" s="71" t="n">
        <f aca="false">SUM('Loan CF'!C2182:L2182)</f>
        <v>0</v>
      </c>
      <c r="R80" s="71" t="n">
        <f aca="false">SUM('Loan CF'!C1273:L1273)*Prepay_Pen</f>
        <v>0</v>
      </c>
      <c r="S80" s="71" t="n">
        <f aca="false">'Loan CF'!$C2485</f>
        <v>0</v>
      </c>
      <c r="T80" s="71" t="n">
        <f aca="false">SUM(O80:S80)</f>
        <v>0</v>
      </c>
      <c r="U80" s="71" t="n">
        <f aca="false">SUM('Loan CF'!C667:L667)</f>
        <v>0</v>
      </c>
      <c r="V80" s="71" t="n">
        <f aca="false">U80*Sev</f>
        <v>0</v>
      </c>
      <c r="W80" s="71" t="n">
        <f aca="false">T80-K80</f>
        <v>0</v>
      </c>
      <c r="X80" s="109" t="str">
        <f aca="false">IFERROR(IRR('Loan CF'!C2788:M2788),"-")</f>
        <v>-</v>
      </c>
      <c r="Y80" s="110" t="str">
        <f aca="false">IFERROR(T80/K80,"-")</f>
        <v>-</v>
      </c>
      <c r="Z80" s="71" t="n">
        <f aca="false">'Loan Tape'!$BC57</f>
        <v>0</v>
      </c>
      <c r="AA80" s="71" t="n">
        <f aca="false">'Loan Tape'!$BE57</f>
        <v>0</v>
      </c>
      <c r="AB80" s="71" t="n">
        <f aca="false">SUM('Loan CF'!D3697:M3697)-AA80</f>
        <v>0</v>
      </c>
      <c r="AC80" s="109" t="str">
        <f aca="false">IFERROR(IRR('Loan CF'!C3697:M3697),"-")</f>
        <v>-</v>
      </c>
      <c r="AD80" s="110" t="str">
        <f aca="false">IFERROR(SUM('Loan CF'!D3697:M3697)/AA80,"-")</f>
        <v>-</v>
      </c>
    </row>
    <row r="81" customFormat="false" ht="15" hidden="false" customHeight="false" outlineLevel="0" collapsed="false">
      <c r="B81" s="102" t="str">
        <f aca="false">IF('Loan Tape'!$A58="","",'Loan Tape'!$A58)</f>
        <v/>
      </c>
      <c r="C81" s="102" t="str">
        <f aca="false">IF('Loan Tape'!$A58="","",'Loan Tape'!$B58)</f>
        <v/>
      </c>
      <c r="D81" s="102" t="str">
        <f aca="false">IF('Loan Tape'!$A58="","",'Loan Tape'!$C58)</f>
        <v/>
      </c>
      <c r="E81" s="102" t="str">
        <f aca="false">IF('Loan Tape'!$A58="","",'Loan Tape'!$D58)</f>
        <v/>
      </c>
      <c r="F81" s="102" t="str">
        <f aca="false">IF('Loan Tape'!$A58="","",'Loan Tape'!$E58)</f>
        <v/>
      </c>
      <c r="G81" s="103" t="n">
        <f aca="false">'Loan Tape'!$AN58</f>
        <v>0</v>
      </c>
      <c r="H81" s="99" t="n">
        <f aca="false">'Loan Tape'!$R58*'Loan Tape'!$AN58</f>
        <v>0</v>
      </c>
      <c r="I81" s="104" t="n">
        <f aca="false">'Loan Tape'!$AO58</f>
        <v>0</v>
      </c>
      <c r="J81" s="99" t="n">
        <f aca="false">'Loan Tape'!$AY58</f>
        <v>0</v>
      </c>
      <c r="K81" s="99" t="n">
        <f aca="false">'Loan Tape'!$BB58</f>
        <v>0</v>
      </c>
      <c r="L81" s="104" t="n">
        <f aca="false">'Loan CF'!C365</f>
        <v>0</v>
      </c>
      <c r="M81" s="105" t="n">
        <f aca="false">'Loan Tape'!$AS58*'Loan Tape'!$AN58</f>
        <v>0</v>
      </c>
      <c r="N81" s="105" t="n">
        <f aca="false">IFERROR(SUMPRODUCT(('Loan CF'!$C$916:$L$916-0.5)*('Loan CF'!C971:L971+'Loan CF'!C1274:L1274+'Loan CF'!C1577:L1577))/(SUM('Loan CF'!C971:L971)+SUM('Loan CF'!C1274:L1274)+SUM('Loan CF'!C1577:L1577)),0)</f>
        <v>0</v>
      </c>
      <c r="O81" s="99" t="n">
        <f aca="false">SUM('Loan CF'!C1880:L1880)</f>
        <v>0</v>
      </c>
      <c r="P81" s="99" t="n">
        <f aca="false">SUM('Loan CF'!C971:L971)+SUM('Loan CF'!C1274:L1274)+SUM('Loan CF'!C1577:L1577)</f>
        <v>0</v>
      </c>
      <c r="Q81" s="99" t="n">
        <f aca="false">SUM('Loan CF'!C2183:L2183)</f>
        <v>0</v>
      </c>
      <c r="R81" s="99" t="n">
        <f aca="false">SUM('Loan CF'!C1274:L1274)*Prepay_Pen</f>
        <v>0</v>
      </c>
      <c r="S81" s="99" t="n">
        <f aca="false">'Loan CF'!$C2486</f>
        <v>0</v>
      </c>
      <c r="T81" s="99" t="n">
        <f aca="false">SUM(O81:S81)</f>
        <v>0</v>
      </c>
      <c r="U81" s="99" t="n">
        <f aca="false">SUM('Loan CF'!C668:L668)</f>
        <v>0</v>
      </c>
      <c r="V81" s="99" t="n">
        <f aca="false">U81*Sev</f>
        <v>0</v>
      </c>
      <c r="W81" s="99" t="n">
        <f aca="false">T81-K81</f>
        <v>0</v>
      </c>
      <c r="X81" s="106" t="str">
        <f aca="false">IFERROR(IRR('Loan CF'!C2789:M2789),"-")</f>
        <v>-</v>
      </c>
      <c r="Y81" s="107" t="str">
        <f aca="false">IFERROR(T81/K81,"-")</f>
        <v>-</v>
      </c>
      <c r="Z81" s="99" t="n">
        <f aca="false">'Loan Tape'!$BC58</f>
        <v>0</v>
      </c>
      <c r="AA81" s="99" t="n">
        <f aca="false">'Loan Tape'!$BE58</f>
        <v>0</v>
      </c>
      <c r="AB81" s="99" t="n">
        <f aca="false">SUM('Loan CF'!D3698:M3698)-AA81</f>
        <v>0</v>
      </c>
      <c r="AC81" s="106" t="str">
        <f aca="false">IFERROR(IRR('Loan CF'!C3698:M3698),"-")</f>
        <v>-</v>
      </c>
      <c r="AD81" s="107" t="str">
        <f aca="false">IFERROR(SUM('Loan CF'!D3698:M3698)/AA81,"-")</f>
        <v>-</v>
      </c>
    </row>
    <row r="82" customFormat="false" ht="15" hidden="false" customHeight="false" outlineLevel="0" collapsed="false">
      <c r="B82" s="108" t="str">
        <f aca="false">IF('Loan Tape'!$A59="","",'Loan Tape'!$A59)</f>
        <v/>
      </c>
      <c r="C82" s="108" t="str">
        <f aca="false">IF('Loan Tape'!$A59="","",'Loan Tape'!$B59)</f>
        <v/>
      </c>
      <c r="D82" s="108" t="str">
        <f aca="false">IF('Loan Tape'!$A59="","",'Loan Tape'!$C59)</f>
        <v/>
      </c>
      <c r="E82" s="108" t="str">
        <f aca="false">IF('Loan Tape'!$A59="","",'Loan Tape'!$D59)</f>
        <v/>
      </c>
      <c r="F82" s="108" t="str">
        <f aca="false">IF('Loan Tape'!$A59="","",'Loan Tape'!$E59)</f>
        <v/>
      </c>
      <c r="G82" s="26" t="n">
        <f aca="false">'Loan Tape'!$AN59</f>
        <v>0</v>
      </c>
      <c r="H82" s="71" t="n">
        <f aca="false">'Loan Tape'!$R59*'Loan Tape'!$AN59</f>
        <v>0</v>
      </c>
      <c r="I82" s="56" t="n">
        <f aca="false">'Loan Tape'!$AO59</f>
        <v>0</v>
      </c>
      <c r="J82" s="71" t="n">
        <f aca="false">'Loan Tape'!$AY59</f>
        <v>0</v>
      </c>
      <c r="K82" s="71" t="n">
        <f aca="false">'Loan Tape'!$BB59</f>
        <v>0</v>
      </c>
      <c r="L82" s="56" t="n">
        <f aca="false">'Loan CF'!C366</f>
        <v>0</v>
      </c>
      <c r="M82" s="70" t="n">
        <f aca="false">'Loan Tape'!$AS59*'Loan Tape'!$AN59</f>
        <v>0</v>
      </c>
      <c r="N82" s="70" t="n">
        <f aca="false">IFERROR(SUMPRODUCT(('Loan CF'!$C$916:$L$916-0.5)*('Loan CF'!C972:L972+'Loan CF'!C1275:L1275+'Loan CF'!C1578:L1578))/(SUM('Loan CF'!C972:L972)+SUM('Loan CF'!C1275:L1275)+SUM('Loan CF'!C1578:L1578)),0)</f>
        <v>0</v>
      </c>
      <c r="O82" s="71" t="n">
        <f aca="false">SUM('Loan CF'!C1881:L1881)</f>
        <v>0</v>
      </c>
      <c r="P82" s="71" t="n">
        <f aca="false">SUM('Loan CF'!C972:L972)+SUM('Loan CF'!C1275:L1275)+SUM('Loan CF'!C1578:L1578)</f>
        <v>0</v>
      </c>
      <c r="Q82" s="71" t="n">
        <f aca="false">SUM('Loan CF'!C2184:L2184)</f>
        <v>0</v>
      </c>
      <c r="R82" s="71" t="n">
        <f aca="false">SUM('Loan CF'!C1275:L1275)*Prepay_Pen</f>
        <v>0</v>
      </c>
      <c r="S82" s="71" t="n">
        <f aca="false">'Loan CF'!$C2487</f>
        <v>0</v>
      </c>
      <c r="T82" s="71" t="n">
        <f aca="false">SUM(O82:S82)</f>
        <v>0</v>
      </c>
      <c r="U82" s="71" t="n">
        <f aca="false">SUM('Loan CF'!C669:L669)</f>
        <v>0</v>
      </c>
      <c r="V82" s="71" t="n">
        <f aca="false">U82*Sev</f>
        <v>0</v>
      </c>
      <c r="W82" s="71" t="n">
        <f aca="false">T82-K82</f>
        <v>0</v>
      </c>
      <c r="X82" s="109" t="str">
        <f aca="false">IFERROR(IRR('Loan CF'!C2790:M2790),"-")</f>
        <v>-</v>
      </c>
      <c r="Y82" s="110" t="str">
        <f aca="false">IFERROR(T82/K82,"-")</f>
        <v>-</v>
      </c>
      <c r="Z82" s="71" t="n">
        <f aca="false">'Loan Tape'!$BC59</f>
        <v>0</v>
      </c>
      <c r="AA82" s="71" t="n">
        <f aca="false">'Loan Tape'!$BE59</f>
        <v>0</v>
      </c>
      <c r="AB82" s="71" t="n">
        <f aca="false">SUM('Loan CF'!D3699:M3699)-AA82</f>
        <v>0</v>
      </c>
      <c r="AC82" s="109" t="str">
        <f aca="false">IFERROR(IRR('Loan CF'!C3699:M3699),"-")</f>
        <v>-</v>
      </c>
      <c r="AD82" s="110" t="str">
        <f aca="false">IFERROR(SUM('Loan CF'!D3699:M3699)/AA82,"-")</f>
        <v>-</v>
      </c>
    </row>
    <row r="83" customFormat="false" ht="15" hidden="false" customHeight="false" outlineLevel="0" collapsed="false">
      <c r="B83" s="102" t="str">
        <f aca="false">IF('Loan Tape'!$A60="","",'Loan Tape'!$A60)</f>
        <v/>
      </c>
      <c r="C83" s="102" t="str">
        <f aca="false">IF('Loan Tape'!$A60="","",'Loan Tape'!$B60)</f>
        <v/>
      </c>
      <c r="D83" s="102" t="str">
        <f aca="false">IF('Loan Tape'!$A60="","",'Loan Tape'!$C60)</f>
        <v/>
      </c>
      <c r="E83" s="102" t="str">
        <f aca="false">IF('Loan Tape'!$A60="","",'Loan Tape'!$D60)</f>
        <v/>
      </c>
      <c r="F83" s="102" t="str">
        <f aca="false">IF('Loan Tape'!$A60="","",'Loan Tape'!$E60)</f>
        <v/>
      </c>
      <c r="G83" s="103" t="n">
        <f aca="false">'Loan Tape'!$AN60</f>
        <v>0</v>
      </c>
      <c r="H83" s="99" t="n">
        <f aca="false">'Loan Tape'!$R60*'Loan Tape'!$AN60</f>
        <v>0</v>
      </c>
      <c r="I83" s="104" t="n">
        <f aca="false">'Loan Tape'!$AO60</f>
        <v>0</v>
      </c>
      <c r="J83" s="99" t="n">
        <f aca="false">'Loan Tape'!$AY60</f>
        <v>0</v>
      </c>
      <c r="K83" s="99" t="n">
        <f aca="false">'Loan Tape'!$BB60</f>
        <v>0</v>
      </c>
      <c r="L83" s="104" t="n">
        <f aca="false">'Loan CF'!C367</f>
        <v>0</v>
      </c>
      <c r="M83" s="105" t="n">
        <f aca="false">'Loan Tape'!$AS60*'Loan Tape'!$AN60</f>
        <v>0</v>
      </c>
      <c r="N83" s="105" t="n">
        <f aca="false">IFERROR(SUMPRODUCT(('Loan CF'!$C$916:$L$916-0.5)*('Loan CF'!C973:L973+'Loan CF'!C1276:L1276+'Loan CF'!C1579:L1579))/(SUM('Loan CF'!C973:L973)+SUM('Loan CF'!C1276:L1276)+SUM('Loan CF'!C1579:L1579)),0)</f>
        <v>0</v>
      </c>
      <c r="O83" s="99" t="n">
        <f aca="false">SUM('Loan CF'!C1882:L1882)</f>
        <v>0</v>
      </c>
      <c r="P83" s="99" t="n">
        <f aca="false">SUM('Loan CF'!C973:L973)+SUM('Loan CF'!C1276:L1276)+SUM('Loan CF'!C1579:L1579)</f>
        <v>0</v>
      </c>
      <c r="Q83" s="99" t="n">
        <f aca="false">SUM('Loan CF'!C2185:L2185)</f>
        <v>0</v>
      </c>
      <c r="R83" s="99" t="n">
        <f aca="false">SUM('Loan CF'!C1276:L1276)*Prepay_Pen</f>
        <v>0</v>
      </c>
      <c r="S83" s="99" t="n">
        <f aca="false">'Loan CF'!$C2488</f>
        <v>0</v>
      </c>
      <c r="T83" s="99" t="n">
        <f aca="false">SUM(O83:S83)</f>
        <v>0</v>
      </c>
      <c r="U83" s="99" t="n">
        <f aca="false">SUM('Loan CF'!C670:L670)</f>
        <v>0</v>
      </c>
      <c r="V83" s="99" t="n">
        <f aca="false">U83*Sev</f>
        <v>0</v>
      </c>
      <c r="W83" s="99" t="n">
        <f aca="false">T83-K83</f>
        <v>0</v>
      </c>
      <c r="X83" s="106" t="str">
        <f aca="false">IFERROR(IRR('Loan CF'!C2791:M2791),"-")</f>
        <v>-</v>
      </c>
      <c r="Y83" s="107" t="str">
        <f aca="false">IFERROR(T83/K83,"-")</f>
        <v>-</v>
      </c>
      <c r="Z83" s="99" t="n">
        <f aca="false">'Loan Tape'!$BC60</f>
        <v>0</v>
      </c>
      <c r="AA83" s="99" t="n">
        <f aca="false">'Loan Tape'!$BE60</f>
        <v>0</v>
      </c>
      <c r="AB83" s="99" t="n">
        <f aca="false">SUM('Loan CF'!D3700:M3700)-AA83</f>
        <v>0</v>
      </c>
      <c r="AC83" s="106" t="str">
        <f aca="false">IFERROR(IRR('Loan CF'!C3700:M3700),"-")</f>
        <v>-</v>
      </c>
      <c r="AD83" s="107" t="str">
        <f aca="false">IFERROR(SUM('Loan CF'!D3700:M3700)/AA83,"-")</f>
        <v>-</v>
      </c>
    </row>
    <row r="84" customFormat="false" ht="15" hidden="false" customHeight="false" outlineLevel="0" collapsed="false">
      <c r="B84" s="108" t="str">
        <f aca="false">IF('Loan Tape'!$A61="","",'Loan Tape'!$A61)</f>
        <v/>
      </c>
      <c r="C84" s="108" t="str">
        <f aca="false">IF('Loan Tape'!$A61="","",'Loan Tape'!$B61)</f>
        <v/>
      </c>
      <c r="D84" s="108" t="str">
        <f aca="false">IF('Loan Tape'!$A61="","",'Loan Tape'!$C61)</f>
        <v/>
      </c>
      <c r="E84" s="108" t="str">
        <f aca="false">IF('Loan Tape'!$A61="","",'Loan Tape'!$D61)</f>
        <v/>
      </c>
      <c r="F84" s="108" t="str">
        <f aca="false">IF('Loan Tape'!$A61="","",'Loan Tape'!$E61)</f>
        <v/>
      </c>
      <c r="G84" s="26" t="n">
        <f aca="false">'Loan Tape'!$AN61</f>
        <v>0</v>
      </c>
      <c r="H84" s="71" t="n">
        <f aca="false">'Loan Tape'!$R61*'Loan Tape'!$AN61</f>
        <v>0</v>
      </c>
      <c r="I84" s="56" t="n">
        <f aca="false">'Loan Tape'!$AO61</f>
        <v>0</v>
      </c>
      <c r="J84" s="71" t="n">
        <f aca="false">'Loan Tape'!$AY61</f>
        <v>0</v>
      </c>
      <c r="K84" s="71" t="n">
        <f aca="false">'Loan Tape'!$BB61</f>
        <v>0</v>
      </c>
      <c r="L84" s="56" t="n">
        <f aca="false">'Loan CF'!C368</f>
        <v>0</v>
      </c>
      <c r="M84" s="70" t="n">
        <f aca="false">'Loan Tape'!$AS61*'Loan Tape'!$AN61</f>
        <v>0</v>
      </c>
      <c r="N84" s="70" t="n">
        <f aca="false">IFERROR(SUMPRODUCT(('Loan CF'!$C$916:$L$916-0.5)*('Loan CF'!C974:L974+'Loan CF'!C1277:L1277+'Loan CF'!C1580:L1580))/(SUM('Loan CF'!C974:L974)+SUM('Loan CF'!C1277:L1277)+SUM('Loan CF'!C1580:L1580)),0)</f>
        <v>0</v>
      </c>
      <c r="O84" s="71" t="n">
        <f aca="false">SUM('Loan CF'!C1883:L1883)</f>
        <v>0</v>
      </c>
      <c r="P84" s="71" t="n">
        <f aca="false">SUM('Loan CF'!C974:L974)+SUM('Loan CF'!C1277:L1277)+SUM('Loan CF'!C1580:L1580)</f>
        <v>0</v>
      </c>
      <c r="Q84" s="71" t="n">
        <f aca="false">SUM('Loan CF'!C2186:L2186)</f>
        <v>0</v>
      </c>
      <c r="R84" s="71" t="n">
        <f aca="false">SUM('Loan CF'!C1277:L1277)*Prepay_Pen</f>
        <v>0</v>
      </c>
      <c r="S84" s="71" t="n">
        <f aca="false">'Loan CF'!$C2489</f>
        <v>0</v>
      </c>
      <c r="T84" s="71" t="n">
        <f aca="false">SUM(O84:S84)</f>
        <v>0</v>
      </c>
      <c r="U84" s="71" t="n">
        <f aca="false">SUM('Loan CF'!C671:L671)</f>
        <v>0</v>
      </c>
      <c r="V84" s="71" t="n">
        <f aca="false">U84*Sev</f>
        <v>0</v>
      </c>
      <c r="W84" s="71" t="n">
        <f aca="false">T84-K84</f>
        <v>0</v>
      </c>
      <c r="X84" s="109" t="str">
        <f aca="false">IFERROR(IRR('Loan CF'!C2792:M2792),"-")</f>
        <v>-</v>
      </c>
      <c r="Y84" s="110" t="str">
        <f aca="false">IFERROR(T84/K84,"-")</f>
        <v>-</v>
      </c>
      <c r="Z84" s="71" t="n">
        <f aca="false">'Loan Tape'!$BC61</f>
        <v>0</v>
      </c>
      <c r="AA84" s="71" t="n">
        <f aca="false">'Loan Tape'!$BE61</f>
        <v>0</v>
      </c>
      <c r="AB84" s="71" t="n">
        <f aca="false">SUM('Loan CF'!D3701:M3701)-AA84</f>
        <v>0</v>
      </c>
      <c r="AC84" s="109" t="str">
        <f aca="false">IFERROR(IRR('Loan CF'!C3701:M3701),"-")</f>
        <v>-</v>
      </c>
      <c r="AD84" s="110" t="str">
        <f aca="false">IFERROR(SUM('Loan CF'!D3701:M3701)/AA84,"-")</f>
        <v>-</v>
      </c>
    </row>
    <row r="85" customFormat="false" ht="15" hidden="false" customHeight="false" outlineLevel="0" collapsed="false">
      <c r="B85" s="102" t="str">
        <f aca="false">IF('Loan Tape'!$A62="","",'Loan Tape'!$A62)</f>
        <v/>
      </c>
      <c r="C85" s="102" t="str">
        <f aca="false">IF('Loan Tape'!$A62="","",'Loan Tape'!$B62)</f>
        <v/>
      </c>
      <c r="D85" s="102" t="str">
        <f aca="false">IF('Loan Tape'!$A62="","",'Loan Tape'!$C62)</f>
        <v/>
      </c>
      <c r="E85" s="102" t="str">
        <f aca="false">IF('Loan Tape'!$A62="","",'Loan Tape'!$D62)</f>
        <v/>
      </c>
      <c r="F85" s="102" t="str">
        <f aca="false">IF('Loan Tape'!$A62="","",'Loan Tape'!$E62)</f>
        <v/>
      </c>
      <c r="G85" s="103" t="n">
        <f aca="false">'Loan Tape'!$AN62</f>
        <v>0</v>
      </c>
      <c r="H85" s="99" t="n">
        <f aca="false">'Loan Tape'!$R62*'Loan Tape'!$AN62</f>
        <v>0</v>
      </c>
      <c r="I85" s="104" t="n">
        <f aca="false">'Loan Tape'!$AO62</f>
        <v>0</v>
      </c>
      <c r="J85" s="99" t="n">
        <f aca="false">'Loan Tape'!$AY62</f>
        <v>0</v>
      </c>
      <c r="K85" s="99" t="n">
        <f aca="false">'Loan Tape'!$BB62</f>
        <v>0</v>
      </c>
      <c r="L85" s="104" t="n">
        <f aca="false">'Loan CF'!C369</f>
        <v>0</v>
      </c>
      <c r="M85" s="105" t="n">
        <f aca="false">'Loan Tape'!$AS62*'Loan Tape'!$AN62</f>
        <v>0</v>
      </c>
      <c r="N85" s="105" t="n">
        <f aca="false">IFERROR(SUMPRODUCT(('Loan CF'!$C$916:$L$916-0.5)*('Loan CF'!C975:L975+'Loan CF'!C1278:L1278+'Loan CF'!C1581:L1581))/(SUM('Loan CF'!C975:L975)+SUM('Loan CF'!C1278:L1278)+SUM('Loan CF'!C1581:L1581)),0)</f>
        <v>0</v>
      </c>
      <c r="O85" s="99" t="n">
        <f aca="false">SUM('Loan CF'!C1884:L1884)</f>
        <v>0</v>
      </c>
      <c r="P85" s="99" t="n">
        <f aca="false">SUM('Loan CF'!C975:L975)+SUM('Loan CF'!C1278:L1278)+SUM('Loan CF'!C1581:L1581)</f>
        <v>0</v>
      </c>
      <c r="Q85" s="99" t="n">
        <f aca="false">SUM('Loan CF'!C2187:L2187)</f>
        <v>0</v>
      </c>
      <c r="R85" s="99" t="n">
        <f aca="false">SUM('Loan CF'!C1278:L1278)*Prepay_Pen</f>
        <v>0</v>
      </c>
      <c r="S85" s="99" t="n">
        <f aca="false">'Loan CF'!$C2490</f>
        <v>0</v>
      </c>
      <c r="T85" s="99" t="n">
        <f aca="false">SUM(O85:S85)</f>
        <v>0</v>
      </c>
      <c r="U85" s="99" t="n">
        <f aca="false">SUM('Loan CF'!C672:L672)</f>
        <v>0</v>
      </c>
      <c r="V85" s="99" t="n">
        <f aca="false">U85*Sev</f>
        <v>0</v>
      </c>
      <c r="W85" s="99" t="n">
        <f aca="false">T85-K85</f>
        <v>0</v>
      </c>
      <c r="X85" s="106" t="str">
        <f aca="false">IFERROR(IRR('Loan CF'!C2793:M2793),"-")</f>
        <v>-</v>
      </c>
      <c r="Y85" s="107" t="str">
        <f aca="false">IFERROR(T85/K85,"-")</f>
        <v>-</v>
      </c>
      <c r="Z85" s="99" t="n">
        <f aca="false">'Loan Tape'!$BC62</f>
        <v>0</v>
      </c>
      <c r="AA85" s="99" t="n">
        <f aca="false">'Loan Tape'!$BE62</f>
        <v>0</v>
      </c>
      <c r="AB85" s="99" t="n">
        <f aca="false">SUM('Loan CF'!D3702:M3702)-AA85</f>
        <v>0</v>
      </c>
      <c r="AC85" s="106" t="str">
        <f aca="false">IFERROR(IRR('Loan CF'!C3702:M3702),"-")</f>
        <v>-</v>
      </c>
      <c r="AD85" s="107" t="str">
        <f aca="false">IFERROR(SUM('Loan CF'!D3702:M3702)/AA85,"-")</f>
        <v>-</v>
      </c>
    </row>
    <row r="86" customFormat="false" ht="15" hidden="false" customHeight="false" outlineLevel="0" collapsed="false">
      <c r="B86" s="108" t="str">
        <f aca="false">IF('Loan Tape'!$A63="","",'Loan Tape'!$A63)</f>
        <v/>
      </c>
      <c r="C86" s="108" t="str">
        <f aca="false">IF('Loan Tape'!$A63="","",'Loan Tape'!$B63)</f>
        <v/>
      </c>
      <c r="D86" s="108" t="str">
        <f aca="false">IF('Loan Tape'!$A63="","",'Loan Tape'!$C63)</f>
        <v/>
      </c>
      <c r="E86" s="108" t="str">
        <f aca="false">IF('Loan Tape'!$A63="","",'Loan Tape'!$D63)</f>
        <v/>
      </c>
      <c r="F86" s="108" t="str">
        <f aca="false">IF('Loan Tape'!$A63="","",'Loan Tape'!$E63)</f>
        <v/>
      </c>
      <c r="G86" s="26" t="n">
        <f aca="false">'Loan Tape'!$AN63</f>
        <v>0</v>
      </c>
      <c r="H86" s="71" t="n">
        <f aca="false">'Loan Tape'!$R63*'Loan Tape'!$AN63</f>
        <v>0</v>
      </c>
      <c r="I86" s="56" t="n">
        <f aca="false">'Loan Tape'!$AO63</f>
        <v>0</v>
      </c>
      <c r="J86" s="71" t="n">
        <f aca="false">'Loan Tape'!$AY63</f>
        <v>0</v>
      </c>
      <c r="K86" s="71" t="n">
        <f aca="false">'Loan Tape'!$BB63</f>
        <v>0</v>
      </c>
      <c r="L86" s="56" t="n">
        <f aca="false">'Loan CF'!C370</f>
        <v>0</v>
      </c>
      <c r="M86" s="70" t="n">
        <f aca="false">'Loan Tape'!$AS63*'Loan Tape'!$AN63</f>
        <v>0</v>
      </c>
      <c r="N86" s="70" t="n">
        <f aca="false">IFERROR(SUMPRODUCT(('Loan CF'!$C$916:$L$916-0.5)*('Loan CF'!C976:L976+'Loan CF'!C1279:L1279+'Loan CF'!C1582:L1582))/(SUM('Loan CF'!C976:L976)+SUM('Loan CF'!C1279:L1279)+SUM('Loan CF'!C1582:L1582)),0)</f>
        <v>0</v>
      </c>
      <c r="O86" s="71" t="n">
        <f aca="false">SUM('Loan CF'!C1885:L1885)</f>
        <v>0</v>
      </c>
      <c r="P86" s="71" t="n">
        <f aca="false">SUM('Loan CF'!C976:L976)+SUM('Loan CF'!C1279:L1279)+SUM('Loan CF'!C1582:L1582)</f>
        <v>0</v>
      </c>
      <c r="Q86" s="71" t="n">
        <f aca="false">SUM('Loan CF'!C2188:L2188)</f>
        <v>0</v>
      </c>
      <c r="R86" s="71" t="n">
        <f aca="false">SUM('Loan CF'!C1279:L1279)*Prepay_Pen</f>
        <v>0</v>
      </c>
      <c r="S86" s="71" t="n">
        <f aca="false">'Loan CF'!$C2491</f>
        <v>0</v>
      </c>
      <c r="T86" s="71" t="n">
        <f aca="false">SUM(O86:S86)</f>
        <v>0</v>
      </c>
      <c r="U86" s="71" t="n">
        <f aca="false">SUM('Loan CF'!C673:L673)</f>
        <v>0</v>
      </c>
      <c r="V86" s="71" t="n">
        <f aca="false">U86*Sev</f>
        <v>0</v>
      </c>
      <c r="W86" s="71" t="n">
        <f aca="false">T86-K86</f>
        <v>0</v>
      </c>
      <c r="X86" s="109" t="str">
        <f aca="false">IFERROR(IRR('Loan CF'!C2794:M2794),"-")</f>
        <v>-</v>
      </c>
      <c r="Y86" s="110" t="str">
        <f aca="false">IFERROR(T86/K86,"-")</f>
        <v>-</v>
      </c>
      <c r="Z86" s="71" t="n">
        <f aca="false">'Loan Tape'!$BC63</f>
        <v>0</v>
      </c>
      <c r="AA86" s="71" t="n">
        <f aca="false">'Loan Tape'!$BE63</f>
        <v>0</v>
      </c>
      <c r="AB86" s="71" t="n">
        <f aca="false">SUM('Loan CF'!D3703:M3703)-AA86</f>
        <v>0</v>
      </c>
      <c r="AC86" s="109" t="str">
        <f aca="false">IFERROR(IRR('Loan CF'!C3703:M3703),"-")</f>
        <v>-</v>
      </c>
      <c r="AD86" s="110" t="str">
        <f aca="false">IFERROR(SUM('Loan CF'!D3703:M3703)/AA86,"-")</f>
        <v>-</v>
      </c>
    </row>
    <row r="87" customFormat="false" ht="15" hidden="false" customHeight="false" outlineLevel="0" collapsed="false">
      <c r="B87" s="102" t="str">
        <f aca="false">IF('Loan Tape'!$A64="","",'Loan Tape'!$A64)</f>
        <v/>
      </c>
      <c r="C87" s="102" t="str">
        <f aca="false">IF('Loan Tape'!$A64="","",'Loan Tape'!$B64)</f>
        <v/>
      </c>
      <c r="D87" s="102" t="str">
        <f aca="false">IF('Loan Tape'!$A64="","",'Loan Tape'!$C64)</f>
        <v/>
      </c>
      <c r="E87" s="102" t="str">
        <f aca="false">IF('Loan Tape'!$A64="","",'Loan Tape'!$D64)</f>
        <v/>
      </c>
      <c r="F87" s="102" t="str">
        <f aca="false">IF('Loan Tape'!$A64="","",'Loan Tape'!$E64)</f>
        <v/>
      </c>
      <c r="G87" s="103" t="n">
        <f aca="false">'Loan Tape'!$AN64</f>
        <v>0</v>
      </c>
      <c r="H87" s="99" t="n">
        <f aca="false">'Loan Tape'!$R64*'Loan Tape'!$AN64</f>
        <v>0</v>
      </c>
      <c r="I87" s="104" t="n">
        <f aca="false">'Loan Tape'!$AO64</f>
        <v>0</v>
      </c>
      <c r="J87" s="99" t="n">
        <f aca="false">'Loan Tape'!$AY64</f>
        <v>0</v>
      </c>
      <c r="K87" s="99" t="n">
        <f aca="false">'Loan Tape'!$BB64</f>
        <v>0</v>
      </c>
      <c r="L87" s="104" t="n">
        <f aca="false">'Loan CF'!C371</f>
        <v>0</v>
      </c>
      <c r="M87" s="105" t="n">
        <f aca="false">'Loan Tape'!$AS64*'Loan Tape'!$AN64</f>
        <v>0</v>
      </c>
      <c r="N87" s="105" t="n">
        <f aca="false">IFERROR(SUMPRODUCT(('Loan CF'!$C$916:$L$916-0.5)*('Loan CF'!C977:L977+'Loan CF'!C1280:L1280+'Loan CF'!C1583:L1583))/(SUM('Loan CF'!C977:L977)+SUM('Loan CF'!C1280:L1280)+SUM('Loan CF'!C1583:L1583)),0)</f>
        <v>0</v>
      </c>
      <c r="O87" s="99" t="n">
        <f aca="false">SUM('Loan CF'!C1886:L1886)</f>
        <v>0</v>
      </c>
      <c r="P87" s="99" t="n">
        <f aca="false">SUM('Loan CF'!C977:L977)+SUM('Loan CF'!C1280:L1280)+SUM('Loan CF'!C1583:L1583)</f>
        <v>0</v>
      </c>
      <c r="Q87" s="99" t="n">
        <f aca="false">SUM('Loan CF'!C2189:L2189)</f>
        <v>0</v>
      </c>
      <c r="R87" s="99" t="n">
        <f aca="false">SUM('Loan CF'!C1280:L1280)*Prepay_Pen</f>
        <v>0</v>
      </c>
      <c r="S87" s="99" t="n">
        <f aca="false">'Loan CF'!$C2492</f>
        <v>0</v>
      </c>
      <c r="T87" s="99" t="n">
        <f aca="false">SUM(O87:S87)</f>
        <v>0</v>
      </c>
      <c r="U87" s="99" t="n">
        <f aca="false">SUM('Loan CF'!C674:L674)</f>
        <v>0</v>
      </c>
      <c r="V87" s="99" t="n">
        <f aca="false">U87*Sev</f>
        <v>0</v>
      </c>
      <c r="W87" s="99" t="n">
        <f aca="false">T87-K87</f>
        <v>0</v>
      </c>
      <c r="X87" s="106" t="str">
        <f aca="false">IFERROR(IRR('Loan CF'!C2795:M2795),"-")</f>
        <v>-</v>
      </c>
      <c r="Y87" s="107" t="str">
        <f aca="false">IFERROR(T87/K87,"-")</f>
        <v>-</v>
      </c>
      <c r="Z87" s="99" t="n">
        <f aca="false">'Loan Tape'!$BC64</f>
        <v>0</v>
      </c>
      <c r="AA87" s="99" t="n">
        <f aca="false">'Loan Tape'!$BE64</f>
        <v>0</v>
      </c>
      <c r="AB87" s="99" t="n">
        <f aca="false">SUM('Loan CF'!D3704:M3704)-AA87</f>
        <v>0</v>
      </c>
      <c r="AC87" s="106" t="str">
        <f aca="false">IFERROR(IRR('Loan CF'!C3704:M3704),"-")</f>
        <v>-</v>
      </c>
      <c r="AD87" s="107" t="str">
        <f aca="false">IFERROR(SUM('Loan CF'!D3704:M3704)/AA87,"-")</f>
        <v>-</v>
      </c>
    </row>
    <row r="88" customFormat="false" ht="15" hidden="false" customHeight="false" outlineLevel="0" collapsed="false">
      <c r="B88" s="108" t="str">
        <f aca="false">IF('Loan Tape'!$A65="","",'Loan Tape'!$A65)</f>
        <v/>
      </c>
      <c r="C88" s="108" t="str">
        <f aca="false">IF('Loan Tape'!$A65="","",'Loan Tape'!$B65)</f>
        <v/>
      </c>
      <c r="D88" s="108" t="str">
        <f aca="false">IF('Loan Tape'!$A65="","",'Loan Tape'!$C65)</f>
        <v/>
      </c>
      <c r="E88" s="108" t="str">
        <f aca="false">IF('Loan Tape'!$A65="","",'Loan Tape'!$D65)</f>
        <v/>
      </c>
      <c r="F88" s="108" t="str">
        <f aca="false">IF('Loan Tape'!$A65="","",'Loan Tape'!$E65)</f>
        <v/>
      </c>
      <c r="G88" s="26" t="n">
        <f aca="false">'Loan Tape'!$AN65</f>
        <v>0</v>
      </c>
      <c r="H88" s="71" t="n">
        <f aca="false">'Loan Tape'!$R65*'Loan Tape'!$AN65</f>
        <v>0</v>
      </c>
      <c r="I88" s="56" t="n">
        <f aca="false">'Loan Tape'!$AO65</f>
        <v>0</v>
      </c>
      <c r="J88" s="71" t="n">
        <f aca="false">'Loan Tape'!$AY65</f>
        <v>0</v>
      </c>
      <c r="K88" s="71" t="n">
        <f aca="false">'Loan Tape'!$BB65</f>
        <v>0</v>
      </c>
      <c r="L88" s="56" t="n">
        <f aca="false">'Loan CF'!C372</f>
        <v>0</v>
      </c>
      <c r="M88" s="70" t="n">
        <f aca="false">'Loan Tape'!$AS65*'Loan Tape'!$AN65</f>
        <v>0</v>
      </c>
      <c r="N88" s="70" t="n">
        <f aca="false">IFERROR(SUMPRODUCT(('Loan CF'!$C$916:$L$916-0.5)*('Loan CF'!C978:L978+'Loan CF'!C1281:L1281+'Loan CF'!C1584:L1584))/(SUM('Loan CF'!C978:L978)+SUM('Loan CF'!C1281:L1281)+SUM('Loan CF'!C1584:L1584)),0)</f>
        <v>0</v>
      </c>
      <c r="O88" s="71" t="n">
        <f aca="false">SUM('Loan CF'!C1887:L1887)</f>
        <v>0</v>
      </c>
      <c r="P88" s="71" t="n">
        <f aca="false">SUM('Loan CF'!C978:L978)+SUM('Loan CF'!C1281:L1281)+SUM('Loan CF'!C1584:L1584)</f>
        <v>0</v>
      </c>
      <c r="Q88" s="71" t="n">
        <f aca="false">SUM('Loan CF'!C2190:L2190)</f>
        <v>0</v>
      </c>
      <c r="R88" s="71" t="n">
        <f aca="false">SUM('Loan CF'!C1281:L1281)*Prepay_Pen</f>
        <v>0</v>
      </c>
      <c r="S88" s="71" t="n">
        <f aca="false">'Loan CF'!$C2493</f>
        <v>0</v>
      </c>
      <c r="T88" s="71" t="n">
        <f aca="false">SUM(O88:S88)</f>
        <v>0</v>
      </c>
      <c r="U88" s="71" t="n">
        <f aca="false">SUM('Loan CF'!C675:L675)</f>
        <v>0</v>
      </c>
      <c r="V88" s="71" t="n">
        <f aca="false">U88*Sev</f>
        <v>0</v>
      </c>
      <c r="W88" s="71" t="n">
        <f aca="false">T88-K88</f>
        <v>0</v>
      </c>
      <c r="X88" s="109" t="str">
        <f aca="false">IFERROR(IRR('Loan CF'!C2796:M2796),"-")</f>
        <v>-</v>
      </c>
      <c r="Y88" s="110" t="str">
        <f aca="false">IFERROR(T88/K88,"-")</f>
        <v>-</v>
      </c>
      <c r="Z88" s="71" t="n">
        <f aca="false">'Loan Tape'!$BC65</f>
        <v>0</v>
      </c>
      <c r="AA88" s="71" t="n">
        <f aca="false">'Loan Tape'!$BE65</f>
        <v>0</v>
      </c>
      <c r="AB88" s="71" t="n">
        <f aca="false">SUM('Loan CF'!D3705:M3705)-AA88</f>
        <v>0</v>
      </c>
      <c r="AC88" s="109" t="str">
        <f aca="false">IFERROR(IRR('Loan CF'!C3705:M3705),"-")</f>
        <v>-</v>
      </c>
      <c r="AD88" s="110" t="str">
        <f aca="false">IFERROR(SUM('Loan CF'!D3705:M3705)/AA88,"-")</f>
        <v>-</v>
      </c>
    </row>
    <row r="89" customFormat="false" ht="15" hidden="false" customHeight="false" outlineLevel="0" collapsed="false">
      <c r="B89" s="102" t="str">
        <f aca="false">IF('Loan Tape'!$A66="","",'Loan Tape'!$A66)</f>
        <v/>
      </c>
      <c r="C89" s="102" t="str">
        <f aca="false">IF('Loan Tape'!$A66="","",'Loan Tape'!$B66)</f>
        <v/>
      </c>
      <c r="D89" s="102" t="str">
        <f aca="false">IF('Loan Tape'!$A66="","",'Loan Tape'!$C66)</f>
        <v/>
      </c>
      <c r="E89" s="102" t="str">
        <f aca="false">IF('Loan Tape'!$A66="","",'Loan Tape'!$D66)</f>
        <v/>
      </c>
      <c r="F89" s="102" t="str">
        <f aca="false">IF('Loan Tape'!$A66="","",'Loan Tape'!$E66)</f>
        <v/>
      </c>
      <c r="G89" s="103" t="n">
        <f aca="false">'Loan Tape'!$AN66</f>
        <v>0</v>
      </c>
      <c r="H89" s="99" t="n">
        <f aca="false">'Loan Tape'!$R66*'Loan Tape'!$AN66</f>
        <v>0</v>
      </c>
      <c r="I89" s="104" t="n">
        <f aca="false">'Loan Tape'!$AO66</f>
        <v>0</v>
      </c>
      <c r="J89" s="99" t="n">
        <f aca="false">'Loan Tape'!$AY66</f>
        <v>0</v>
      </c>
      <c r="K89" s="99" t="n">
        <f aca="false">'Loan Tape'!$BB66</f>
        <v>0</v>
      </c>
      <c r="L89" s="104" t="n">
        <f aca="false">'Loan CF'!C373</f>
        <v>0</v>
      </c>
      <c r="M89" s="105" t="n">
        <f aca="false">'Loan Tape'!$AS66*'Loan Tape'!$AN66</f>
        <v>0</v>
      </c>
      <c r="N89" s="105" t="n">
        <f aca="false">IFERROR(SUMPRODUCT(('Loan CF'!$C$916:$L$916-0.5)*('Loan CF'!C979:L979+'Loan CF'!C1282:L1282+'Loan CF'!C1585:L1585))/(SUM('Loan CF'!C979:L979)+SUM('Loan CF'!C1282:L1282)+SUM('Loan CF'!C1585:L1585)),0)</f>
        <v>0</v>
      </c>
      <c r="O89" s="99" t="n">
        <f aca="false">SUM('Loan CF'!C1888:L1888)</f>
        <v>0</v>
      </c>
      <c r="P89" s="99" t="n">
        <f aca="false">SUM('Loan CF'!C979:L979)+SUM('Loan CF'!C1282:L1282)+SUM('Loan CF'!C1585:L1585)</f>
        <v>0</v>
      </c>
      <c r="Q89" s="99" t="n">
        <f aca="false">SUM('Loan CF'!C2191:L2191)</f>
        <v>0</v>
      </c>
      <c r="R89" s="99" t="n">
        <f aca="false">SUM('Loan CF'!C1282:L1282)*Prepay_Pen</f>
        <v>0</v>
      </c>
      <c r="S89" s="99" t="n">
        <f aca="false">'Loan CF'!$C2494</f>
        <v>0</v>
      </c>
      <c r="T89" s="99" t="n">
        <f aca="false">SUM(O89:S89)</f>
        <v>0</v>
      </c>
      <c r="U89" s="99" t="n">
        <f aca="false">SUM('Loan CF'!C676:L676)</f>
        <v>0</v>
      </c>
      <c r="V89" s="99" t="n">
        <f aca="false">U89*Sev</f>
        <v>0</v>
      </c>
      <c r="W89" s="99" t="n">
        <f aca="false">T89-K89</f>
        <v>0</v>
      </c>
      <c r="X89" s="106" t="str">
        <f aca="false">IFERROR(IRR('Loan CF'!C2797:M2797),"-")</f>
        <v>-</v>
      </c>
      <c r="Y89" s="107" t="str">
        <f aca="false">IFERROR(T89/K89,"-")</f>
        <v>-</v>
      </c>
      <c r="Z89" s="99" t="n">
        <f aca="false">'Loan Tape'!$BC66</f>
        <v>0</v>
      </c>
      <c r="AA89" s="99" t="n">
        <f aca="false">'Loan Tape'!$BE66</f>
        <v>0</v>
      </c>
      <c r="AB89" s="99" t="n">
        <f aca="false">SUM('Loan CF'!D3706:M3706)-AA89</f>
        <v>0</v>
      </c>
      <c r="AC89" s="106" t="str">
        <f aca="false">IFERROR(IRR('Loan CF'!C3706:M3706),"-")</f>
        <v>-</v>
      </c>
      <c r="AD89" s="107" t="str">
        <f aca="false">IFERROR(SUM('Loan CF'!D3706:M3706)/AA89,"-")</f>
        <v>-</v>
      </c>
    </row>
    <row r="90" customFormat="false" ht="15" hidden="false" customHeight="false" outlineLevel="0" collapsed="false">
      <c r="B90" s="108" t="str">
        <f aca="false">IF('Loan Tape'!$A67="","",'Loan Tape'!$A67)</f>
        <v/>
      </c>
      <c r="C90" s="108" t="str">
        <f aca="false">IF('Loan Tape'!$A67="","",'Loan Tape'!$B67)</f>
        <v/>
      </c>
      <c r="D90" s="108" t="str">
        <f aca="false">IF('Loan Tape'!$A67="","",'Loan Tape'!$C67)</f>
        <v/>
      </c>
      <c r="E90" s="108" t="str">
        <f aca="false">IF('Loan Tape'!$A67="","",'Loan Tape'!$D67)</f>
        <v/>
      </c>
      <c r="F90" s="108" t="str">
        <f aca="false">IF('Loan Tape'!$A67="","",'Loan Tape'!$E67)</f>
        <v/>
      </c>
      <c r="G90" s="26" t="n">
        <f aca="false">'Loan Tape'!$AN67</f>
        <v>0</v>
      </c>
      <c r="H90" s="71" t="n">
        <f aca="false">'Loan Tape'!$R67*'Loan Tape'!$AN67</f>
        <v>0</v>
      </c>
      <c r="I90" s="56" t="n">
        <f aca="false">'Loan Tape'!$AO67</f>
        <v>0</v>
      </c>
      <c r="J90" s="71" t="n">
        <f aca="false">'Loan Tape'!$AY67</f>
        <v>0</v>
      </c>
      <c r="K90" s="71" t="n">
        <f aca="false">'Loan Tape'!$BB67</f>
        <v>0</v>
      </c>
      <c r="L90" s="56" t="n">
        <f aca="false">'Loan CF'!C374</f>
        <v>0</v>
      </c>
      <c r="M90" s="70" t="n">
        <f aca="false">'Loan Tape'!$AS67*'Loan Tape'!$AN67</f>
        <v>0</v>
      </c>
      <c r="N90" s="70" t="n">
        <f aca="false">IFERROR(SUMPRODUCT(('Loan CF'!$C$916:$L$916-0.5)*('Loan CF'!C980:L980+'Loan CF'!C1283:L1283+'Loan CF'!C1586:L1586))/(SUM('Loan CF'!C980:L980)+SUM('Loan CF'!C1283:L1283)+SUM('Loan CF'!C1586:L1586)),0)</f>
        <v>0</v>
      </c>
      <c r="O90" s="71" t="n">
        <f aca="false">SUM('Loan CF'!C1889:L1889)</f>
        <v>0</v>
      </c>
      <c r="P90" s="71" t="n">
        <f aca="false">SUM('Loan CF'!C980:L980)+SUM('Loan CF'!C1283:L1283)+SUM('Loan CF'!C1586:L1586)</f>
        <v>0</v>
      </c>
      <c r="Q90" s="71" t="n">
        <f aca="false">SUM('Loan CF'!C2192:L2192)</f>
        <v>0</v>
      </c>
      <c r="R90" s="71" t="n">
        <f aca="false">SUM('Loan CF'!C1283:L1283)*Prepay_Pen</f>
        <v>0</v>
      </c>
      <c r="S90" s="71" t="n">
        <f aca="false">'Loan CF'!$C2495</f>
        <v>0</v>
      </c>
      <c r="T90" s="71" t="n">
        <f aca="false">SUM(O90:S90)</f>
        <v>0</v>
      </c>
      <c r="U90" s="71" t="n">
        <f aca="false">SUM('Loan CF'!C677:L677)</f>
        <v>0</v>
      </c>
      <c r="V90" s="71" t="n">
        <f aca="false">U90*Sev</f>
        <v>0</v>
      </c>
      <c r="W90" s="71" t="n">
        <f aca="false">T90-K90</f>
        <v>0</v>
      </c>
      <c r="X90" s="109" t="str">
        <f aca="false">IFERROR(IRR('Loan CF'!C2798:M2798),"-")</f>
        <v>-</v>
      </c>
      <c r="Y90" s="110" t="str">
        <f aca="false">IFERROR(T90/K90,"-")</f>
        <v>-</v>
      </c>
      <c r="Z90" s="71" t="n">
        <f aca="false">'Loan Tape'!$BC67</f>
        <v>0</v>
      </c>
      <c r="AA90" s="71" t="n">
        <f aca="false">'Loan Tape'!$BE67</f>
        <v>0</v>
      </c>
      <c r="AB90" s="71" t="n">
        <f aca="false">SUM('Loan CF'!D3707:M3707)-AA90</f>
        <v>0</v>
      </c>
      <c r="AC90" s="109" t="str">
        <f aca="false">IFERROR(IRR('Loan CF'!C3707:M3707),"-")</f>
        <v>-</v>
      </c>
      <c r="AD90" s="110" t="str">
        <f aca="false">IFERROR(SUM('Loan CF'!D3707:M3707)/AA90,"-")</f>
        <v>-</v>
      </c>
    </row>
    <row r="91" customFormat="false" ht="15" hidden="false" customHeight="false" outlineLevel="0" collapsed="false">
      <c r="B91" s="102" t="str">
        <f aca="false">IF('Loan Tape'!$A68="","",'Loan Tape'!$A68)</f>
        <v/>
      </c>
      <c r="C91" s="102" t="str">
        <f aca="false">IF('Loan Tape'!$A68="","",'Loan Tape'!$B68)</f>
        <v/>
      </c>
      <c r="D91" s="102" t="str">
        <f aca="false">IF('Loan Tape'!$A68="","",'Loan Tape'!$C68)</f>
        <v/>
      </c>
      <c r="E91" s="102" t="str">
        <f aca="false">IF('Loan Tape'!$A68="","",'Loan Tape'!$D68)</f>
        <v/>
      </c>
      <c r="F91" s="102" t="str">
        <f aca="false">IF('Loan Tape'!$A68="","",'Loan Tape'!$E68)</f>
        <v/>
      </c>
      <c r="G91" s="103" t="n">
        <f aca="false">'Loan Tape'!$AN68</f>
        <v>0</v>
      </c>
      <c r="H91" s="99" t="n">
        <f aca="false">'Loan Tape'!$R68*'Loan Tape'!$AN68</f>
        <v>0</v>
      </c>
      <c r="I91" s="104" t="n">
        <f aca="false">'Loan Tape'!$AO68</f>
        <v>0</v>
      </c>
      <c r="J91" s="99" t="n">
        <f aca="false">'Loan Tape'!$AY68</f>
        <v>0</v>
      </c>
      <c r="K91" s="99" t="n">
        <f aca="false">'Loan Tape'!$BB68</f>
        <v>0</v>
      </c>
      <c r="L91" s="104" t="n">
        <f aca="false">'Loan CF'!C375</f>
        <v>0</v>
      </c>
      <c r="M91" s="105" t="n">
        <f aca="false">'Loan Tape'!$AS68*'Loan Tape'!$AN68</f>
        <v>0</v>
      </c>
      <c r="N91" s="105" t="n">
        <f aca="false">IFERROR(SUMPRODUCT(('Loan CF'!$C$916:$L$916-0.5)*('Loan CF'!C981:L981+'Loan CF'!C1284:L1284+'Loan CF'!C1587:L1587))/(SUM('Loan CF'!C981:L981)+SUM('Loan CF'!C1284:L1284)+SUM('Loan CF'!C1587:L1587)),0)</f>
        <v>0</v>
      </c>
      <c r="O91" s="99" t="n">
        <f aca="false">SUM('Loan CF'!C1890:L1890)</f>
        <v>0</v>
      </c>
      <c r="P91" s="99" t="n">
        <f aca="false">SUM('Loan CF'!C981:L981)+SUM('Loan CF'!C1284:L1284)+SUM('Loan CF'!C1587:L1587)</f>
        <v>0</v>
      </c>
      <c r="Q91" s="99" t="n">
        <f aca="false">SUM('Loan CF'!C2193:L2193)</f>
        <v>0</v>
      </c>
      <c r="R91" s="99" t="n">
        <f aca="false">SUM('Loan CF'!C1284:L1284)*Prepay_Pen</f>
        <v>0</v>
      </c>
      <c r="S91" s="99" t="n">
        <f aca="false">'Loan CF'!$C2496</f>
        <v>0</v>
      </c>
      <c r="T91" s="99" t="n">
        <f aca="false">SUM(O91:S91)</f>
        <v>0</v>
      </c>
      <c r="U91" s="99" t="n">
        <f aca="false">SUM('Loan CF'!C678:L678)</f>
        <v>0</v>
      </c>
      <c r="V91" s="99" t="n">
        <f aca="false">U91*Sev</f>
        <v>0</v>
      </c>
      <c r="W91" s="99" t="n">
        <f aca="false">T91-K91</f>
        <v>0</v>
      </c>
      <c r="X91" s="106" t="str">
        <f aca="false">IFERROR(IRR('Loan CF'!C2799:M2799),"-")</f>
        <v>-</v>
      </c>
      <c r="Y91" s="107" t="str">
        <f aca="false">IFERROR(T91/K91,"-")</f>
        <v>-</v>
      </c>
      <c r="Z91" s="99" t="n">
        <f aca="false">'Loan Tape'!$BC68</f>
        <v>0</v>
      </c>
      <c r="AA91" s="99" t="n">
        <f aca="false">'Loan Tape'!$BE68</f>
        <v>0</v>
      </c>
      <c r="AB91" s="99" t="n">
        <f aca="false">SUM('Loan CF'!D3708:M3708)-AA91</f>
        <v>0</v>
      </c>
      <c r="AC91" s="106" t="str">
        <f aca="false">IFERROR(IRR('Loan CF'!C3708:M3708),"-")</f>
        <v>-</v>
      </c>
      <c r="AD91" s="107" t="str">
        <f aca="false">IFERROR(SUM('Loan CF'!D3708:M3708)/AA91,"-")</f>
        <v>-</v>
      </c>
    </row>
    <row r="92" customFormat="false" ht="15" hidden="false" customHeight="false" outlineLevel="0" collapsed="false">
      <c r="B92" s="108" t="str">
        <f aca="false">IF('Loan Tape'!$A69="","",'Loan Tape'!$A69)</f>
        <v/>
      </c>
      <c r="C92" s="108" t="str">
        <f aca="false">IF('Loan Tape'!$A69="","",'Loan Tape'!$B69)</f>
        <v/>
      </c>
      <c r="D92" s="108" t="str">
        <f aca="false">IF('Loan Tape'!$A69="","",'Loan Tape'!$C69)</f>
        <v/>
      </c>
      <c r="E92" s="108" t="str">
        <f aca="false">IF('Loan Tape'!$A69="","",'Loan Tape'!$D69)</f>
        <v/>
      </c>
      <c r="F92" s="108" t="str">
        <f aca="false">IF('Loan Tape'!$A69="","",'Loan Tape'!$E69)</f>
        <v/>
      </c>
      <c r="G92" s="26" t="n">
        <f aca="false">'Loan Tape'!$AN69</f>
        <v>0</v>
      </c>
      <c r="H92" s="71" t="n">
        <f aca="false">'Loan Tape'!$R69*'Loan Tape'!$AN69</f>
        <v>0</v>
      </c>
      <c r="I92" s="56" t="n">
        <f aca="false">'Loan Tape'!$AO69</f>
        <v>0</v>
      </c>
      <c r="J92" s="71" t="n">
        <f aca="false">'Loan Tape'!$AY69</f>
        <v>0</v>
      </c>
      <c r="K92" s="71" t="n">
        <f aca="false">'Loan Tape'!$BB69</f>
        <v>0</v>
      </c>
      <c r="L92" s="56" t="n">
        <f aca="false">'Loan CF'!C376</f>
        <v>0</v>
      </c>
      <c r="M92" s="70" t="n">
        <f aca="false">'Loan Tape'!$AS69*'Loan Tape'!$AN69</f>
        <v>0</v>
      </c>
      <c r="N92" s="70" t="n">
        <f aca="false">IFERROR(SUMPRODUCT(('Loan CF'!$C$916:$L$916-0.5)*('Loan CF'!C982:L982+'Loan CF'!C1285:L1285+'Loan CF'!C1588:L1588))/(SUM('Loan CF'!C982:L982)+SUM('Loan CF'!C1285:L1285)+SUM('Loan CF'!C1588:L1588)),0)</f>
        <v>0</v>
      </c>
      <c r="O92" s="71" t="n">
        <f aca="false">SUM('Loan CF'!C1891:L1891)</f>
        <v>0</v>
      </c>
      <c r="P92" s="71" t="n">
        <f aca="false">SUM('Loan CF'!C982:L982)+SUM('Loan CF'!C1285:L1285)+SUM('Loan CF'!C1588:L1588)</f>
        <v>0</v>
      </c>
      <c r="Q92" s="71" t="n">
        <f aca="false">SUM('Loan CF'!C2194:L2194)</f>
        <v>0</v>
      </c>
      <c r="R92" s="71" t="n">
        <f aca="false">SUM('Loan CF'!C1285:L1285)*Prepay_Pen</f>
        <v>0</v>
      </c>
      <c r="S92" s="71" t="n">
        <f aca="false">'Loan CF'!$C2497</f>
        <v>0</v>
      </c>
      <c r="T92" s="71" t="n">
        <f aca="false">SUM(O92:S92)</f>
        <v>0</v>
      </c>
      <c r="U92" s="71" t="n">
        <f aca="false">SUM('Loan CF'!C679:L679)</f>
        <v>0</v>
      </c>
      <c r="V92" s="71" t="n">
        <f aca="false">U92*Sev</f>
        <v>0</v>
      </c>
      <c r="W92" s="71" t="n">
        <f aca="false">T92-K92</f>
        <v>0</v>
      </c>
      <c r="X92" s="109" t="str">
        <f aca="false">IFERROR(IRR('Loan CF'!C2800:M2800),"-")</f>
        <v>-</v>
      </c>
      <c r="Y92" s="110" t="str">
        <f aca="false">IFERROR(T92/K92,"-")</f>
        <v>-</v>
      </c>
      <c r="Z92" s="71" t="n">
        <f aca="false">'Loan Tape'!$BC69</f>
        <v>0</v>
      </c>
      <c r="AA92" s="71" t="n">
        <f aca="false">'Loan Tape'!$BE69</f>
        <v>0</v>
      </c>
      <c r="AB92" s="71" t="n">
        <f aca="false">SUM('Loan CF'!D3709:M3709)-AA92</f>
        <v>0</v>
      </c>
      <c r="AC92" s="109" t="str">
        <f aca="false">IFERROR(IRR('Loan CF'!C3709:M3709),"-")</f>
        <v>-</v>
      </c>
      <c r="AD92" s="110" t="str">
        <f aca="false">IFERROR(SUM('Loan CF'!D3709:M3709)/AA92,"-")</f>
        <v>-</v>
      </c>
    </row>
    <row r="93" customFormat="false" ht="15" hidden="false" customHeight="false" outlineLevel="0" collapsed="false">
      <c r="B93" s="102" t="str">
        <f aca="false">IF('Loan Tape'!$A70="","",'Loan Tape'!$A70)</f>
        <v/>
      </c>
      <c r="C93" s="102" t="str">
        <f aca="false">IF('Loan Tape'!$A70="","",'Loan Tape'!$B70)</f>
        <v/>
      </c>
      <c r="D93" s="102" t="str">
        <f aca="false">IF('Loan Tape'!$A70="","",'Loan Tape'!$C70)</f>
        <v/>
      </c>
      <c r="E93" s="102" t="str">
        <f aca="false">IF('Loan Tape'!$A70="","",'Loan Tape'!$D70)</f>
        <v/>
      </c>
      <c r="F93" s="102" t="str">
        <f aca="false">IF('Loan Tape'!$A70="","",'Loan Tape'!$E70)</f>
        <v/>
      </c>
      <c r="G93" s="103" t="n">
        <f aca="false">'Loan Tape'!$AN70</f>
        <v>0</v>
      </c>
      <c r="H93" s="99" t="n">
        <f aca="false">'Loan Tape'!$R70*'Loan Tape'!$AN70</f>
        <v>0</v>
      </c>
      <c r="I93" s="104" t="n">
        <f aca="false">'Loan Tape'!$AO70</f>
        <v>0</v>
      </c>
      <c r="J93" s="99" t="n">
        <f aca="false">'Loan Tape'!$AY70</f>
        <v>0</v>
      </c>
      <c r="K93" s="99" t="n">
        <f aca="false">'Loan Tape'!$BB70</f>
        <v>0</v>
      </c>
      <c r="L93" s="104" t="n">
        <f aca="false">'Loan CF'!C377</f>
        <v>0</v>
      </c>
      <c r="M93" s="105" t="n">
        <f aca="false">'Loan Tape'!$AS70*'Loan Tape'!$AN70</f>
        <v>0</v>
      </c>
      <c r="N93" s="105" t="n">
        <f aca="false">IFERROR(SUMPRODUCT(('Loan CF'!$C$916:$L$916-0.5)*('Loan CF'!C983:L983+'Loan CF'!C1286:L1286+'Loan CF'!C1589:L1589))/(SUM('Loan CF'!C983:L983)+SUM('Loan CF'!C1286:L1286)+SUM('Loan CF'!C1589:L1589)),0)</f>
        <v>0</v>
      </c>
      <c r="O93" s="99" t="n">
        <f aca="false">SUM('Loan CF'!C1892:L1892)</f>
        <v>0</v>
      </c>
      <c r="P93" s="99" t="n">
        <f aca="false">SUM('Loan CF'!C983:L983)+SUM('Loan CF'!C1286:L1286)+SUM('Loan CF'!C1589:L1589)</f>
        <v>0</v>
      </c>
      <c r="Q93" s="99" t="n">
        <f aca="false">SUM('Loan CF'!C2195:L2195)</f>
        <v>0</v>
      </c>
      <c r="R93" s="99" t="n">
        <f aca="false">SUM('Loan CF'!C1286:L1286)*Prepay_Pen</f>
        <v>0</v>
      </c>
      <c r="S93" s="99" t="n">
        <f aca="false">'Loan CF'!$C2498</f>
        <v>0</v>
      </c>
      <c r="T93" s="99" t="n">
        <f aca="false">SUM(O93:S93)</f>
        <v>0</v>
      </c>
      <c r="U93" s="99" t="n">
        <f aca="false">SUM('Loan CF'!C680:L680)</f>
        <v>0</v>
      </c>
      <c r="V93" s="99" t="n">
        <f aca="false">U93*Sev</f>
        <v>0</v>
      </c>
      <c r="W93" s="99" t="n">
        <f aca="false">T93-K93</f>
        <v>0</v>
      </c>
      <c r="X93" s="106" t="str">
        <f aca="false">IFERROR(IRR('Loan CF'!C2801:M2801),"-")</f>
        <v>-</v>
      </c>
      <c r="Y93" s="107" t="str">
        <f aca="false">IFERROR(T93/K93,"-")</f>
        <v>-</v>
      </c>
      <c r="Z93" s="99" t="n">
        <f aca="false">'Loan Tape'!$BC70</f>
        <v>0</v>
      </c>
      <c r="AA93" s="99" t="n">
        <f aca="false">'Loan Tape'!$BE70</f>
        <v>0</v>
      </c>
      <c r="AB93" s="99" t="n">
        <f aca="false">SUM('Loan CF'!D3710:M3710)-AA93</f>
        <v>0</v>
      </c>
      <c r="AC93" s="106" t="str">
        <f aca="false">IFERROR(IRR('Loan CF'!C3710:M3710),"-")</f>
        <v>-</v>
      </c>
      <c r="AD93" s="107" t="str">
        <f aca="false">IFERROR(SUM('Loan CF'!D3710:M3710)/AA93,"-")</f>
        <v>-</v>
      </c>
    </row>
    <row r="94" customFormat="false" ht="15" hidden="false" customHeight="false" outlineLevel="0" collapsed="false">
      <c r="B94" s="108" t="str">
        <f aca="false">IF('Loan Tape'!$A71="","",'Loan Tape'!$A71)</f>
        <v/>
      </c>
      <c r="C94" s="108" t="str">
        <f aca="false">IF('Loan Tape'!$A71="","",'Loan Tape'!$B71)</f>
        <v/>
      </c>
      <c r="D94" s="108" t="str">
        <f aca="false">IF('Loan Tape'!$A71="","",'Loan Tape'!$C71)</f>
        <v/>
      </c>
      <c r="E94" s="108" t="str">
        <f aca="false">IF('Loan Tape'!$A71="","",'Loan Tape'!$D71)</f>
        <v/>
      </c>
      <c r="F94" s="108" t="str">
        <f aca="false">IF('Loan Tape'!$A71="","",'Loan Tape'!$E71)</f>
        <v/>
      </c>
      <c r="G94" s="26" t="n">
        <f aca="false">'Loan Tape'!$AN71</f>
        <v>0</v>
      </c>
      <c r="H94" s="71" t="n">
        <f aca="false">'Loan Tape'!$R71*'Loan Tape'!$AN71</f>
        <v>0</v>
      </c>
      <c r="I94" s="56" t="n">
        <f aca="false">'Loan Tape'!$AO71</f>
        <v>0</v>
      </c>
      <c r="J94" s="71" t="n">
        <f aca="false">'Loan Tape'!$AY71</f>
        <v>0</v>
      </c>
      <c r="K94" s="71" t="n">
        <f aca="false">'Loan Tape'!$BB71</f>
        <v>0</v>
      </c>
      <c r="L94" s="56" t="n">
        <f aca="false">'Loan CF'!C378</f>
        <v>0</v>
      </c>
      <c r="M94" s="70" t="n">
        <f aca="false">'Loan Tape'!$AS71*'Loan Tape'!$AN71</f>
        <v>0</v>
      </c>
      <c r="N94" s="70" t="n">
        <f aca="false">IFERROR(SUMPRODUCT(('Loan CF'!$C$916:$L$916-0.5)*('Loan CF'!C984:L984+'Loan CF'!C1287:L1287+'Loan CF'!C1590:L1590))/(SUM('Loan CF'!C984:L984)+SUM('Loan CF'!C1287:L1287)+SUM('Loan CF'!C1590:L1590)),0)</f>
        <v>0</v>
      </c>
      <c r="O94" s="71" t="n">
        <f aca="false">SUM('Loan CF'!C1893:L1893)</f>
        <v>0</v>
      </c>
      <c r="P94" s="71" t="n">
        <f aca="false">SUM('Loan CF'!C984:L984)+SUM('Loan CF'!C1287:L1287)+SUM('Loan CF'!C1590:L1590)</f>
        <v>0</v>
      </c>
      <c r="Q94" s="71" t="n">
        <f aca="false">SUM('Loan CF'!C2196:L2196)</f>
        <v>0</v>
      </c>
      <c r="R94" s="71" t="n">
        <f aca="false">SUM('Loan CF'!C1287:L1287)*Prepay_Pen</f>
        <v>0</v>
      </c>
      <c r="S94" s="71" t="n">
        <f aca="false">'Loan CF'!$C2499</f>
        <v>0</v>
      </c>
      <c r="T94" s="71" t="n">
        <f aca="false">SUM(O94:S94)</f>
        <v>0</v>
      </c>
      <c r="U94" s="71" t="n">
        <f aca="false">SUM('Loan CF'!C681:L681)</f>
        <v>0</v>
      </c>
      <c r="V94" s="71" t="n">
        <f aca="false">U94*Sev</f>
        <v>0</v>
      </c>
      <c r="W94" s="71" t="n">
        <f aca="false">T94-K94</f>
        <v>0</v>
      </c>
      <c r="X94" s="109" t="str">
        <f aca="false">IFERROR(IRR('Loan CF'!C2802:M2802),"-")</f>
        <v>-</v>
      </c>
      <c r="Y94" s="110" t="str">
        <f aca="false">IFERROR(T94/K94,"-")</f>
        <v>-</v>
      </c>
      <c r="Z94" s="71" t="n">
        <f aca="false">'Loan Tape'!$BC71</f>
        <v>0</v>
      </c>
      <c r="AA94" s="71" t="n">
        <f aca="false">'Loan Tape'!$BE71</f>
        <v>0</v>
      </c>
      <c r="AB94" s="71" t="n">
        <f aca="false">SUM('Loan CF'!D3711:M3711)-AA94</f>
        <v>0</v>
      </c>
      <c r="AC94" s="109" t="str">
        <f aca="false">IFERROR(IRR('Loan CF'!C3711:M3711),"-")</f>
        <v>-</v>
      </c>
      <c r="AD94" s="110" t="str">
        <f aca="false">IFERROR(SUM('Loan CF'!D3711:M3711)/AA94,"-")</f>
        <v>-</v>
      </c>
    </row>
    <row r="95" customFormat="false" ht="15" hidden="false" customHeight="false" outlineLevel="0" collapsed="false">
      <c r="B95" s="102" t="str">
        <f aca="false">IF('Loan Tape'!$A72="","",'Loan Tape'!$A72)</f>
        <v/>
      </c>
      <c r="C95" s="102" t="str">
        <f aca="false">IF('Loan Tape'!$A72="","",'Loan Tape'!$B72)</f>
        <v/>
      </c>
      <c r="D95" s="102" t="str">
        <f aca="false">IF('Loan Tape'!$A72="","",'Loan Tape'!$C72)</f>
        <v/>
      </c>
      <c r="E95" s="102" t="str">
        <f aca="false">IF('Loan Tape'!$A72="","",'Loan Tape'!$D72)</f>
        <v/>
      </c>
      <c r="F95" s="102" t="str">
        <f aca="false">IF('Loan Tape'!$A72="","",'Loan Tape'!$E72)</f>
        <v/>
      </c>
      <c r="G95" s="103" t="n">
        <f aca="false">'Loan Tape'!$AN72</f>
        <v>0</v>
      </c>
      <c r="H95" s="99" t="n">
        <f aca="false">'Loan Tape'!$R72*'Loan Tape'!$AN72</f>
        <v>0</v>
      </c>
      <c r="I95" s="104" t="n">
        <f aca="false">'Loan Tape'!$AO72</f>
        <v>0</v>
      </c>
      <c r="J95" s="99" t="n">
        <f aca="false">'Loan Tape'!$AY72</f>
        <v>0</v>
      </c>
      <c r="K95" s="99" t="n">
        <f aca="false">'Loan Tape'!$BB72</f>
        <v>0</v>
      </c>
      <c r="L95" s="104" t="n">
        <f aca="false">'Loan CF'!C379</f>
        <v>0</v>
      </c>
      <c r="M95" s="105" t="n">
        <f aca="false">'Loan Tape'!$AS72*'Loan Tape'!$AN72</f>
        <v>0</v>
      </c>
      <c r="N95" s="105" t="n">
        <f aca="false">IFERROR(SUMPRODUCT(('Loan CF'!$C$916:$L$916-0.5)*('Loan CF'!C985:L985+'Loan CF'!C1288:L1288+'Loan CF'!C1591:L1591))/(SUM('Loan CF'!C985:L985)+SUM('Loan CF'!C1288:L1288)+SUM('Loan CF'!C1591:L1591)),0)</f>
        <v>0</v>
      </c>
      <c r="O95" s="99" t="n">
        <f aca="false">SUM('Loan CF'!C1894:L1894)</f>
        <v>0</v>
      </c>
      <c r="P95" s="99" t="n">
        <f aca="false">SUM('Loan CF'!C985:L985)+SUM('Loan CF'!C1288:L1288)+SUM('Loan CF'!C1591:L1591)</f>
        <v>0</v>
      </c>
      <c r="Q95" s="99" t="n">
        <f aca="false">SUM('Loan CF'!C2197:L2197)</f>
        <v>0</v>
      </c>
      <c r="R95" s="99" t="n">
        <f aca="false">SUM('Loan CF'!C1288:L1288)*Prepay_Pen</f>
        <v>0</v>
      </c>
      <c r="S95" s="99" t="n">
        <f aca="false">'Loan CF'!$C2500</f>
        <v>0</v>
      </c>
      <c r="T95" s="99" t="n">
        <f aca="false">SUM(O95:S95)</f>
        <v>0</v>
      </c>
      <c r="U95" s="99" t="n">
        <f aca="false">SUM('Loan CF'!C682:L682)</f>
        <v>0</v>
      </c>
      <c r="V95" s="99" t="n">
        <f aca="false">U95*Sev</f>
        <v>0</v>
      </c>
      <c r="W95" s="99" t="n">
        <f aca="false">T95-K95</f>
        <v>0</v>
      </c>
      <c r="X95" s="106" t="str">
        <f aca="false">IFERROR(IRR('Loan CF'!C2803:M2803),"-")</f>
        <v>-</v>
      </c>
      <c r="Y95" s="107" t="str">
        <f aca="false">IFERROR(T95/K95,"-")</f>
        <v>-</v>
      </c>
      <c r="Z95" s="99" t="n">
        <f aca="false">'Loan Tape'!$BC72</f>
        <v>0</v>
      </c>
      <c r="AA95" s="99" t="n">
        <f aca="false">'Loan Tape'!$BE72</f>
        <v>0</v>
      </c>
      <c r="AB95" s="99" t="n">
        <f aca="false">SUM('Loan CF'!D3712:M3712)-AA95</f>
        <v>0</v>
      </c>
      <c r="AC95" s="106" t="str">
        <f aca="false">IFERROR(IRR('Loan CF'!C3712:M3712),"-")</f>
        <v>-</v>
      </c>
      <c r="AD95" s="107" t="str">
        <f aca="false">IFERROR(SUM('Loan CF'!D3712:M3712)/AA95,"-")</f>
        <v>-</v>
      </c>
    </row>
    <row r="96" customFormat="false" ht="15" hidden="false" customHeight="false" outlineLevel="0" collapsed="false">
      <c r="B96" s="108" t="str">
        <f aca="false">IF('Loan Tape'!$A73="","",'Loan Tape'!$A73)</f>
        <v/>
      </c>
      <c r="C96" s="108" t="str">
        <f aca="false">IF('Loan Tape'!$A73="","",'Loan Tape'!$B73)</f>
        <v/>
      </c>
      <c r="D96" s="108" t="str">
        <f aca="false">IF('Loan Tape'!$A73="","",'Loan Tape'!$C73)</f>
        <v/>
      </c>
      <c r="E96" s="108" t="str">
        <f aca="false">IF('Loan Tape'!$A73="","",'Loan Tape'!$D73)</f>
        <v/>
      </c>
      <c r="F96" s="108" t="str">
        <f aca="false">IF('Loan Tape'!$A73="","",'Loan Tape'!$E73)</f>
        <v/>
      </c>
      <c r="G96" s="26" t="n">
        <f aca="false">'Loan Tape'!$AN73</f>
        <v>0</v>
      </c>
      <c r="H96" s="71" t="n">
        <f aca="false">'Loan Tape'!$R73*'Loan Tape'!$AN73</f>
        <v>0</v>
      </c>
      <c r="I96" s="56" t="n">
        <f aca="false">'Loan Tape'!$AO73</f>
        <v>0</v>
      </c>
      <c r="J96" s="71" t="n">
        <f aca="false">'Loan Tape'!$AY73</f>
        <v>0</v>
      </c>
      <c r="K96" s="71" t="n">
        <f aca="false">'Loan Tape'!$BB73</f>
        <v>0</v>
      </c>
      <c r="L96" s="56" t="n">
        <f aca="false">'Loan CF'!C380</f>
        <v>0</v>
      </c>
      <c r="M96" s="70" t="n">
        <f aca="false">'Loan Tape'!$AS73*'Loan Tape'!$AN73</f>
        <v>0</v>
      </c>
      <c r="N96" s="70" t="n">
        <f aca="false">IFERROR(SUMPRODUCT(('Loan CF'!$C$916:$L$916-0.5)*('Loan CF'!C986:L986+'Loan CF'!C1289:L1289+'Loan CF'!C1592:L1592))/(SUM('Loan CF'!C986:L986)+SUM('Loan CF'!C1289:L1289)+SUM('Loan CF'!C1592:L1592)),0)</f>
        <v>0</v>
      </c>
      <c r="O96" s="71" t="n">
        <f aca="false">SUM('Loan CF'!C1895:L1895)</f>
        <v>0</v>
      </c>
      <c r="P96" s="71" t="n">
        <f aca="false">SUM('Loan CF'!C986:L986)+SUM('Loan CF'!C1289:L1289)+SUM('Loan CF'!C1592:L1592)</f>
        <v>0</v>
      </c>
      <c r="Q96" s="71" t="n">
        <f aca="false">SUM('Loan CF'!C2198:L2198)</f>
        <v>0</v>
      </c>
      <c r="R96" s="71" t="n">
        <f aca="false">SUM('Loan CF'!C1289:L1289)*Prepay_Pen</f>
        <v>0</v>
      </c>
      <c r="S96" s="71" t="n">
        <f aca="false">'Loan CF'!$C2501</f>
        <v>0</v>
      </c>
      <c r="T96" s="71" t="n">
        <f aca="false">SUM(O96:S96)</f>
        <v>0</v>
      </c>
      <c r="U96" s="71" t="n">
        <f aca="false">SUM('Loan CF'!C683:L683)</f>
        <v>0</v>
      </c>
      <c r="V96" s="71" t="n">
        <f aca="false">U96*Sev</f>
        <v>0</v>
      </c>
      <c r="W96" s="71" t="n">
        <f aca="false">T96-K96</f>
        <v>0</v>
      </c>
      <c r="X96" s="109" t="str">
        <f aca="false">IFERROR(IRR('Loan CF'!C2804:M2804),"-")</f>
        <v>-</v>
      </c>
      <c r="Y96" s="110" t="str">
        <f aca="false">IFERROR(T96/K96,"-")</f>
        <v>-</v>
      </c>
      <c r="Z96" s="71" t="n">
        <f aca="false">'Loan Tape'!$BC73</f>
        <v>0</v>
      </c>
      <c r="AA96" s="71" t="n">
        <f aca="false">'Loan Tape'!$BE73</f>
        <v>0</v>
      </c>
      <c r="AB96" s="71" t="n">
        <f aca="false">SUM('Loan CF'!D3713:M3713)-AA96</f>
        <v>0</v>
      </c>
      <c r="AC96" s="109" t="str">
        <f aca="false">IFERROR(IRR('Loan CF'!C3713:M3713),"-")</f>
        <v>-</v>
      </c>
      <c r="AD96" s="110" t="str">
        <f aca="false">IFERROR(SUM('Loan CF'!D3713:M3713)/AA96,"-")</f>
        <v>-</v>
      </c>
    </row>
    <row r="97" customFormat="false" ht="15" hidden="false" customHeight="false" outlineLevel="0" collapsed="false">
      <c r="B97" s="102" t="str">
        <f aca="false">IF('Loan Tape'!$A74="","",'Loan Tape'!$A74)</f>
        <v/>
      </c>
      <c r="C97" s="102" t="str">
        <f aca="false">IF('Loan Tape'!$A74="","",'Loan Tape'!$B74)</f>
        <v/>
      </c>
      <c r="D97" s="102" t="str">
        <f aca="false">IF('Loan Tape'!$A74="","",'Loan Tape'!$C74)</f>
        <v/>
      </c>
      <c r="E97" s="102" t="str">
        <f aca="false">IF('Loan Tape'!$A74="","",'Loan Tape'!$D74)</f>
        <v/>
      </c>
      <c r="F97" s="102" t="str">
        <f aca="false">IF('Loan Tape'!$A74="","",'Loan Tape'!$E74)</f>
        <v/>
      </c>
      <c r="G97" s="103" t="n">
        <f aca="false">'Loan Tape'!$AN74</f>
        <v>0</v>
      </c>
      <c r="H97" s="99" t="n">
        <f aca="false">'Loan Tape'!$R74*'Loan Tape'!$AN74</f>
        <v>0</v>
      </c>
      <c r="I97" s="104" t="n">
        <f aca="false">'Loan Tape'!$AO74</f>
        <v>0</v>
      </c>
      <c r="J97" s="99" t="n">
        <f aca="false">'Loan Tape'!$AY74</f>
        <v>0</v>
      </c>
      <c r="K97" s="99" t="n">
        <f aca="false">'Loan Tape'!$BB74</f>
        <v>0</v>
      </c>
      <c r="L97" s="104" t="n">
        <f aca="false">'Loan CF'!C381</f>
        <v>0</v>
      </c>
      <c r="M97" s="105" t="n">
        <f aca="false">'Loan Tape'!$AS74*'Loan Tape'!$AN74</f>
        <v>0</v>
      </c>
      <c r="N97" s="105" t="n">
        <f aca="false">IFERROR(SUMPRODUCT(('Loan CF'!$C$916:$L$916-0.5)*('Loan CF'!C987:L987+'Loan CF'!C1290:L1290+'Loan CF'!C1593:L1593))/(SUM('Loan CF'!C987:L987)+SUM('Loan CF'!C1290:L1290)+SUM('Loan CF'!C1593:L1593)),0)</f>
        <v>0</v>
      </c>
      <c r="O97" s="99" t="n">
        <f aca="false">SUM('Loan CF'!C1896:L1896)</f>
        <v>0</v>
      </c>
      <c r="P97" s="99" t="n">
        <f aca="false">SUM('Loan CF'!C987:L987)+SUM('Loan CF'!C1290:L1290)+SUM('Loan CF'!C1593:L1593)</f>
        <v>0</v>
      </c>
      <c r="Q97" s="99" t="n">
        <f aca="false">SUM('Loan CF'!C2199:L2199)</f>
        <v>0</v>
      </c>
      <c r="R97" s="99" t="n">
        <f aca="false">SUM('Loan CF'!C1290:L1290)*Prepay_Pen</f>
        <v>0</v>
      </c>
      <c r="S97" s="99" t="n">
        <f aca="false">'Loan CF'!$C2502</f>
        <v>0</v>
      </c>
      <c r="T97" s="99" t="n">
        <f aca="false">SUM(O97:S97)</f>
        <v>0</v>
      </c>
      <c r="U97" s="99" t="n">
        <f aca="false">SUM('Loan CF'!C684:L684)</f>
        <v>0</v>
      </c>
      <c r="V97" s="99" t="n">
        <f aca="false">U97*Sev</f>
        <v>0</v>
      </c>
      <c r="W97" s="99" t="n">
        <f aca="false">T97-K97</f>
        <v>0</v>
      </c>
      <c r="X97" s="106" t="str">
        <f aca="false">IFERROR(IRR('Loan CF'!C2805:M2805),"-")</f>
        <v>-</v>
      </c>
      <c r="Y97" s="107" t="str">
        <f aca="false">IFERROR(T97/K97,"-")</f>
        <v>-</v>
      </c>
      <c r="Z97" s="99" t="n">
        <f aca="false">'Loan Tape'!$BC74</f>
        <v>0</v>
      </c>
      <c r="AA97" s="99" t="n">
        <f aca="false">'Loan Tape'!$BE74</f>
        <v>0</v>
      </c>
      <c r="AB97" s="99" t="n">
        <f aca="false">SUM('Loan CF'!D3714:M3714)-AA97</f>
        <v>0</v>
      </c>
      <c r="AC97" s="106" t="str">
        <f aca="false">IFERROR(IRR('Loan CF'!C3714:M3714),"-")</f>
        <v>-</v>
      </c>
      <c r="AD97" s="107" t="str">
        <f aca="false">IFERROR(SUM('Loan CF'!D3714:M3714)/AA97,"-")</f>
        <v>-</v>
      </c>
    </row>
    <row r="98" customFormat="false" ht="15" hidden="false" customHeight="false" outlineLevel="0" collapsed="false">
      <c r="B98" s="108" t="str">
        <f aca="false">IF('Loan Tape'!$A75="","",'Loan Tape'!$A75)</f>
        <v/>
      </c>
      <c r="C98" s="108" t="str">
        <f aca="false">IF('Loan Tape'!$A75="","",'Loan Tape'!$B75)</f>
        <v/>
      </c>
      <c r="D98" s="108" t="str">
        <f aca="false">IF('Loan Tape'!$A75="","",'Loan Tape'!$C75)</f>
        <v/>
      </c>
      <c r="E98" s="108" t="str">
        <f aca="false">IF('Loan Tape'!$A75="","",'Loan Tape'!$D75)</f>
        <v/>
      </c>
      <c r="F98" s="108" t="str">
        <f aca="false">IF('Loan Tape'!$A75="","",'Loan Tape'!$E75)</f>
        <v/>
      </c>
      <c r="G98" s="26" t="n">
        <f aca="false">'Loan Tape'!$AN75</f>
        <v>0</v>
      </c>
      <c r="H98" s="71" t="n">
        <f aca="false">'Loan Tape'!$R75*'Loan Tape'!$AN75</f>
        <v>0</v>
      </c>
      <c r="I98" s="56" t="n">
        <f aca="false">'Loan Tape'!$AO75</f>
        <v>0</v>
      </c>
      <c r="J98" s="71" t="n">
        <f aca="false">'Loan Tape'!$AY75</f>
        <v>0</v>
      </c>
      <c r="K98" s="71" t="n">
        <f aca="false">'Loan Tape'!$BB75</f>
        <v>0</v>
      </c>
      <c r="L98" s="56" t="n">
        <f aca="false">'Loan CF'!C382</f>
        <v>0</v>
      </c>
      <c r="M98" s="70" t="n">
        <f aca="false">'Loan Tape'!$AS75*'Loan Tape'!$AN75</f>
        <v>0</v>
      </c>
      <c r="N98" s="70" t="n">
        <f aca="false">IFERROR(SUMPRODUCT(('Loan CF'!$C$916:$L$916-0.5)*('Loan CF'!C988:L988+'Loan CF'!C1291:L1291+'Loan CF'!C1594:L1594))/(SUM('Loan CF'!C988:L988)+SUM('Loan CF'!C1291:L1291)+SUM('Loan CF'!C1594:L1594)),0)</f>
        <v>0</v>
      </c>
      <c r="O98" s="71" t="n">
        <f aca="false">SUM('Loan CF'!C1897:L1897)</f>
        <v>0</v>
      </c>
      <c r="P98" s="71" t="n">
        <f aca="false">SUM('Loan CF'!C988:L988)+SUM('Loan CF'!C1291:L1291)+SUM('Loan CF'!C1594:L1594)</f>
        <v>0</v>
      </c>
      <c r="Q98" s="71" t="n">
        <f aca="false">SUM('Loan CF'!C2200:L2200)</f>
        <v>0</v>
      </c>
      <c r="R98" s="71" t="n">
        <f aca="false">SUM('Loan CF'!C1291:L1291)*Prepay_Pen</f>
        <v>0</v>
      </c>
      <c r="S98" s="71" t="n">
        <f aca="false">'Loan CF'!$C2503</f>
        <v>0</v>
      </c>
      <c r="T98" s="71" t="n">
        <f aca="false">SUM(O98:S98)</f>
        <v>0</v>
      </c>
      <c r="U98" s="71" t="n">
        <f aca="false">SUM('Loan CF'!C685:L685)</f>
        <v>0</v>
      </c>
      <c r="V98" s="71" t="n">
        <f aca="false">U98*Sev</f>
        <v>0</v>
      </c>
      <c r="W98" s="71" t="n">
        <f aca="false">T98-K98</f>
        <v>0</v>
      </c>
      <c r="X98" s="109" t="str">
        <f aca="false">IFERROR(IRR('Loan CF'!C2806:M2806),"-")</f>
        <v>-</v>
      </c>
      <c r="Y98" s="110" t="str">
        <f aca="false">IFERROR(T98/K98,"-")</f>
        <v>-</v>
      </c>
      <c r="Z98" s="71" t="n">
        <f aca="false">'Loan Tape'!$BC75</f>
        <v>0</v>
      </c>
      <c r="AA98" s="71" t="n">
        <f aca="false">'Loan Tape'!$BE75</f>
        <v>0</v>
      </c>
      <c r="AB98" s="71" t="n">
        <f aca="false">SUM('Loan CF'!D3715:M3715)-AA98</f>
        <v>0</v>
      </c>
      <c r="AC98" s="109" t="str">
        <f aca="false">IFERROR(IRR('Loan CF'!C3715:M3715),"-")</f>
        <v>-</v>
      </c>
      <c r="AD98" s="110" t="str">
        <f aca="false">IFERROR(SUM('Loan CF'!D3715:M3715)/AA98,"-")</f>
        <v>-</v>
      </c>
    </row>
    <row r="99" customFormat="false" ht="15" hidden="false" customHeight="false" outlineLevel="0" collapsed="false">
      <c r="B99" s="102" t="str">
        <f aca="false">IF('Loan Tape'!$A76="","",'Loan Tape'!$A76)</f>
        <v/>
      </c>
      <c r="C99" s="102" t="str">
        <f aca="false">IF('Loan Tape'!$A76="","",'Loan Tape'!$B76)</f>
        <v/>
      </c>
      <c r="D99" s="102" t="str">
        <f aca="false">IF('Loan Tape'!$A76="","",'Loan Tape'!$C76)</f>
        <v/>
      </c>
      <c r="E99" s="102" t="str">
        <f aca="false">IF('Loan Tape'!$A76="","",'Loan Tape'!$D76)</f>
        <v/>
      </c>
      <c r="F99" s="102" t="str">
        <f aca="false">IF('Loan Tape'!$A76="","",'Loan Tape'!$E76)</f>
        <v/>
      </c>
      <c r="G99" s="103" t="n">
        <f aca="false">'Loan Tape'!$AN76</f>
        <v>0</v>
      </c>
      <c r="H99" s="99" t="n">
        <f aca="false">'Loan Tape'!$R76*'Loan Tape'!$AN76</f>
        <v>0</v>
      </c>
      <c r="I99" s="104" t="n">
        <f aca="false">'Loan Tape'!$AO76</f>
        <v>0</v>
      </c>
      <c r="J99" s="99" t="n">
        <f aca="false">'Loan Tape'!$AY76</f>
        <v>0</v>
      </c>
      <c r="K99" s="99" t="n">
        <f aca="false">'Loan Tape'!$BB76</f>
        <v>0</v>
      </c>
      <c r="L99" s="104" t="n">
        <f aca="false">'Loan CF'!C383</f>
        <v>0</v>
      </c>
      <c r="M99" s="105" t="n">
        <f aca="false">'Loan Tape'!$AS76*'Loan Tape'!$AN76</f>
        <v>0</v>
      </c>
      <c r="N99" s="105" t="n">
        <f aca="false">IFERROR(SUMPRODUCT(('Loan CF'!$C$916:$L$916-0.5)*('Loan CF'!C989:L989+'Loan CF'!C1292:L1292+'Loan CF'!C1595:L1595))/(SUM('Loan CF'!C989:L989)+SUM('Loan CF'!C1292:L1292)+SUM('Loan CF'!C1595:L1595)),0)</f>
        <v>0</v>
      </c>
      <c r="O99" s="99" t="n">
        <f aca="false">SUM('Loan CF'!C1898:L1898)</f>
        <v>0</v>
      </c>
      <c r="P99" s="99" t="n">
        <f aca="false">SUM('Loan CF'!C989:L989)+SUM('Loan CF'!C1292:L1292)+SUM('Loan CF'!C1595:L1595)</f>
        <v>0</v>
      </c>
      <c r="Q99" s="99" t="n">
        <f aca="false">SUM('Loan CF'!C2201:L2201)</f>
        <v>0</v>
      </c>
      <c r="R99" s="99" t="n">
        <f aca="false">SUM('Loan CF'!C1292:L1292)*Prepay_Pen</f>
        <v>0</v>
      </c>
      <c r="S99" s="99" t="n">
        <f aca="false">'Loan CF'!$C2504</f>
        <v>0</v>
      </c>
      <c r="T99" s="99" t="n">
        <f aca="false">SUM(O99:S99)</f>
        <v>0</v>
      </c>
      <c r="U99" s="99" t="n">
        <f aca="false">SUM('Loan CF'!C686:L686)</f>
        <v>0</v>
      </c>
      <c r="V99" s="99" t="n">
        <f aca="false">U99*Sev</f>
        <v>0</v>
      </c>
      <c r="W99" s="99" t="n">
        <f aca="false">T99-K99</f>
        <v>0</v>
      </c>
      <c r="X99" s="106" t="str">
        <f aca="false">IFERROR(IRR('Loan CF'!C2807:M2807),"-")</f>
        <v>-</v>
      </c>
      <c r="Y99" s="107" t="str">
        <f aca="false">IFERROR(T99/K99,"-")</f>
        <v>-</v>
      </c>
      <c r="Z99" s="99" t="n">
        <f aca="false">'Loan Tape'!$BC76</f>
        <v>0</v>
      </c>
      <c r="AA99" s="99" t="n">
        <f aca="false">'Loan Tape'!$BE76</f>
        <v>0</v>
      </c>
      <c r="AB99" s="99" t="n">
        <f aca="false">SUM('Loan CF'!D3716:M3716)-AA99</f>
        <v>0</v>
      </c>
      <c r="AC99" s="106" t="str">
        <f aca="false">IFERROR(IRR('Loan CF'!C3716:M3716),"-")</f>
        <v>-</v>
      </c>
      <c r="AD99" s="107" t="str">
        <f aca="false">IFERROR(SUM('Loan CF'!D3716:M3716)/AA99,"-")</f>
        <v>-</v>
      </c>
    </row>
    <row r="100" customFormat="false" ht="15" hidden="false" customHeight="false" outlineLevel="0" collapsed="false">
      <c r="B100" s="108" t="str">
        <f aca="false">IF('Loan Tape'!$A77="","",'Loan Tape'!$A77)</f>
        <v/>
      </c>
      <c r="C100" s="108" t="str">
        <f aca="false">IF('Loan Tape'!$A77="","",'Loan Tape'!$B77)</f>
        <v/>
      </c>
      <c r="D100" s="108" t="str">
        <f aca="false">IF('Loan Tape'!$A77="","",'Loan Tape'!$C77)</f>
        <v/>
      </c>
      <c r="E100" s="108" t="str">
        <f aca="false">IF('Loan Tape'!$A77="","",'Loan Tape'!$D77)</f>
        <v/>
      </c>
      <c r="F100" s="108" t="str">
        <f aca="false">IF('Loan Tape'!$A77="","",'Loan Tape'!$E77)</f>
        <v/>
      </c>
      <c r="G100" s="26" t="n">
        <f aca="false">'Loan Tape'!$AN77</f>
        <v>0</v>
      </c>
      <c r="H100" s="71" t="n">
        <f aca="false">'Loan Tape'!$R77*'Loan Tape'!$AN77</f>
        <v>0</v>
      </c>
      <c r="I100" s="56" t="n">
        <f aca="false">'Loan Tape'!$AO77</f>
        <v>0</v>
      </c>
      <c r="J100" s="71" t="n">
        <f aca="false">'Loan Tape'!$AY77</f>
        <v>0</v>
      </c>
      <c r="K100" s="71" t="n">
        <f aca="false">'Loan Tape'!$BB77</f>
        <v>0</v>
      </c>
      <c r="L100" s="56" t="n">
        <f aca="false">'Loan CF'!C384</f>
        <v>0</v>
      </c>
      <c r="M100" s="70" t="n">
        <f aca="false">'Loan Tape'!$AS77*'Loan Tape'!$AN77</f>
        <v>0</v>
      </c>
      <c r="N100" s="70" t="n">
        <f aca="false">IFERROR(SUMPRODUCT(('Loan CF'!$C$916:$L$916-0.5)*('Loan CF'!C990:L990+'Loan CF'!C1293:L1293+'Loan CF'!C1596:L1596))/(SUM('Loan CF'!C990:L990)+SUM('Loan CF'!C1293:L1293)+SUM('Loan CF'!C1596:L1596)),0)</f>
        <v>0</v>
      </c>
      <c r="O100" s="71" t="n">
        <f aca="false">SUM('Loan CF'!C1899:L1899)</f>
        <v>0</v>
      </c>
      <c r="P100" s="71" t="n">
        <f aca="false">SUM('Loan CF'!C990:L990)+SUM('Loan CF'!C1293:L1293)+SUM('Loan CF'!C1596:L1596)</f>
        <v>0</v>
      </c>
      <c r="Q100" s="71" t="n">
        <f aca="false">SUM('Loan CF'!C2202:L2202)</f>
        <v>0</v>
      </c>
      <c r="R100" s="71" t="n">
        <f aca="false">SUM('Loan CF'!C1293:L1293)*Prepay_Pen</f>
        <v>0</v>
      </c>
      <c r="S100" s="71" t="n">
        <f aca="false">'Loan CF'!$C2505</f>
        <v>0</v>
      </c>
      <c r="T100" s="71" t="n">
        <f aca="false">SUM(O100:S100)</f>
        <v>0</v>
      </c>
      <c r="U100" s="71" t="n">
        <f aca="false">SUM('Loan CF'!C687:L687)</f>
        <v>0</v>
      </c>
      <c r="V100" s="71" t="n">
        <f aca="false">U100*Sev</f>
        <v>0</v>
      </c>
      <c r="W100" s="71" t="n">
        <f aca="false">T100-K100</f>
        <v>0</v>
      </c>
      <c r="X100" s="109" t="str">
        <f aca="false">IFERROR(IRR('Loan CF'!C2808:M2808),"-")</f>
        <v>-</v>
      </c>
      <c r="Y100" s="110" t="str">
        <f aca="false">IFERROR(T100/K100,"-")</f>
        <v>-</v>
      </c>
      <c r="Z100" s="71" t="n">
        <f aca="false">'Loan Tape'!$BC77</f>
        <v>0</v>
      </c>
      <c r="AA100" s="71" t="n">
        <f aca="false">'Loan Tape'!$BE77</f>
        <v>0</v>
      </c>
      <c r="AB100" s="71" t="n">
        <f aca="false">SUM('Loan CF'!D3717:M3717)-AA100</f>
        <v>0</v>
      </c>
      <c r="AC100" s="109" t="str">
        <f aca="false">IFERROR(IRR('Loan CF'!C3717:M3717),"-")</f>
        <v>-</v>
      </c>
      <c r="AD100" s="110" t="str">
        <f aca="false">IFERROR(SUM('Loan CF'!D3717:M3717)/AA100,"-")</f>
        <v>-</v>
      </c>
    </row>
    <row r="101" customFormat="false" ht="15" hidden="false" customHeight="false" outlineLevel="0" collapsed="false">
      <c r="B101" s="102" t="str">
        <f aca="false">IF('Loan Tape'!$A78="","",'Loan Tape'!$A78)</f>
        <v/>
      </c>
      <c r="C101" s="102" t="str">
        <f aca="false">IF('Loan Tape'!$A78="","",'Loan Tape'!$B78)</f>
        <v/>
      </c>
      <c r="D101" s="102" t="str">
        <f aca="false">IF('Loan Tape'!$A78="","",'Loan Tape'!$C78)</f>
        <v/>
      </c>
      <c r="E101" s="102" t="str">
        <f aca="false">IF('Loan Tape'!$A78="","",'Loan Tape'!$D78)</f>
        <v/>
      </c>
      <c r="F101" s="102" t="str">
        <f aca="false">IF('Loan Tape'!$A78="","",'Loan Tape'!$E78)</f>
        <v/>
      </c>
      <c r="G101" s="103" t="n">
        <f aca="false">'Loan Tape'!$AN78</f>
        <v>0</v>
      </c>
      <c r="H101" s="99" t="n">
        <f aca="false">'Loan Tape'!$R78*'Loan Tape'!$AN78</f>
        <v>0</v>
      </c>
      <c r="I101" s="104" t="n">
        <f aca="false">'Loan Tape'!$AO78</f>
        <v>0</v>
      </c>
      <c r="J101" s="99" t="n">
        <f aca="false">'Loan Tape'!$AY78</f>
        <v>0</v>
      </c>
      <c r="K101" s="99" t="n">
        <f aca="false">'Loan Tape'!$BB78</f>
        <v>0</v>
      </c>
      <c r="L101" s="104" t="n">
        <f aca="false">'Loan CF'!C385</f>
        <v>0</v>
      </c>
      <c r="M101" s="105" t="n">
        <f aca="false">'Loan Tape'!$AS78*'Loan Tape'!$AN78</f>
        <v>0</v>
      </c>
      <c r="N101" s="105" t="n">
        <f aca="false">IFERROR(SUMPRODUCT(('Loan CF'!$C$916:$L$916-0.5)*('Loan CF'!C991:L991+'Loan CF'!C1294:L1294+'Loan CF'!C1597:L1597))/(SUM('Loan CF'!C991:L991)+SUM('Loan CF'!C1294:L1294)+SUM('Loan CF'!C1597:L1597)),0)</f>
        <v>0</v>
      </c>
      <c r="O101" s="99" t="n">
        <f aca="false">SUM('Loan CF'!C1900:L1900)</f>
        <v>0</v>
      </c>
      <c r="P101" s="99" t="n">
        <f aca="false">SUM('Loan CF'!C991:L991)+SUM('Loan CF'!C1294:L1294)+SUM('Loan CF'!C1597:L1597)</f>
        <v>0</v>
      </c>
      <c r="Q101" s="99" t="n">
        <f aca="false">SUM('Loan CF'!C2203:L2203)</f>
        <v>0</v>
      </c>
      <c r="R101" s="99" t="n">
        <f aca="false">SUM('Loan CF'!C1294:L1294)*Prepay_Pen</f>
        <v>0</v>
      </c>
      <c r="S101" s="99" t="n">
        <f aca="false">'Loan CF'!$C2506</f>
        <v>0</v>
      </c>
      <c r="T101" s="99" t="n">
        <f aca="false">SUM(O101:S101)</f>
        <v>0</v>
      </c>
      <c r="U101" s="99" t="n">
        <f aca="false">SUM('Loan CF'!C688:L688)</f>
        <v>0</v>
      </c>
      <c r="V101" s="99" t="n">
        <f aca="false">U101*Sev</f>
        <v>0</v>
      </c>
      <c r="W101" s="99" t="n">
        <f aca="false">T101-K101</f>
        <v>0</v>
      </c>
      <c r="X101" s="106" t="str">
        <f aca="false">IFERROR(IRR('Loan CF'!C2809:M2809),"-")</f>
        <v>-</v>
      </c>
      <c r="Y101" s="107" t="str">
        <f aca="false">IFERROR(T101/K101,"-")</f>
        <v>-</v>
      </c>
      <c r="Z101" s="99" t="n">
        <f aca="false">'Loan Tape'!$BC78</f>
        <v>0</v>
      </c>
      <c r="AA101" s="99" t="n">
        <f aca="false">'Loan Tape'!$BE78</f>
        <v>0</v>
      </c>
      <c r="AB101" s="99" t="n">
        <f aca="false">SUM('Loan CF'!D3718:M3718)-AA101</f>
        <v>0</v>
      </c>
      <c r="AC101" s="106" t="str">
        <f aca="false">IFERROR(IRR('Loan CF'!C3718:M3718),"-")</f>
        <v>-</v>
      </c>
      <c r="AD101" s="107" t="str">
        <f aca="false">IFERROR(SUM('Loan CF'!D3718:M3718)/AA101,"-")</f>
        <v>-</v>
      </c>
    </row>
    <row r="102" customFormat="false" ht="15" hidden="false" customHeight="false" outlineLevel="0" collapsed="false">
      <c r="B102" s="108" t="str">
        <f aca="false">IF('Loan Tape'!$A79="","",'Loan Tape'!$A79)</f>
        <v/>
      </c>
      <c r="C102" s="108" t="str">
        <f aca="false">IF('Loan Tape'!$A79="","",'Loan Tape'!$B79)</f>
        <v/>
      </c>
      <c r="D102" s="108" t="str">
        <f aca="false">IF('Loan Tape'!$A79="","",'Loan Tape'!$C79)</f>
        <v/>
      </c>
      <c r="E102" s="108" t="str">
        <f aca="false">IF('Loan Tape'!$A79="","",'Loan Tape'!$D79)</f>
        <v/>
      </c>
      <c r="F102" s="108" t="str">
        <f aca="false">IF('Loan Tape'!$A79="","",'Loan Tape'!$E79)</f>
        <v/>
      </c>
      <c r="G102" s="26" t="n">
        <f aca="false">'Loan Tape'!$AN79</f>
        <v>0</v>
      </c>
      <c r="H102" s="71" t="n">
        <f aca="false">'Loan Tape'!$R79*'Loan Tape'!$AN79</f>
        <v>0</v>
      </c>
      <c r="I102" s="56" t="n">
        <f aca="false">'Loan Tape'!$AO79</f>
        <v>0</v>
      </c>
      <c r="J102" s="71" t="n">
        <f aca="false">'Loan Tape'!$AY79</f>
        <v>0</v>
      </c>
      <c r="K102" s="71" t="n">
        <f aca="false">'Loan Tape'!$BB79</f>
        <v>0</v>
      </c>
      <c r="L102" s="56" t="n">
        <f aca="false">'Loan CF'!C386</f>
        <v>0</v>
      </c>
      <c r="M102" s="70" t="n">
        <f aca="false">'Loan Tape'!$AS79*'Loan Tape'!$AN79</f>
        <v>0</v>
      </c>
      <c r="N102" s="70" t="n">
        <f aca="false">IFERROR(SUMPRODUCT(('Loan CF'!$C$916:$L$916-0.5)*('Loan CF'!C992:L992+'Loan CF'!C1295:L1295+'Loan CF'!C1598:L1598))/(SUM('Loan CF'!C992:L992)+SUM('Loan CF'!C1295:L1295)+SUM('Loan CF'!C1598:L1598)),0)</f>
        <v>0</v>
      </c>
      <c r="O102" s="71" t="n">
        <f aca="false">SUM('Loan CF'!C1901:L1901)</f>
        <v>0</v>
      </c>
      <c r="P102" s="71" t="n">
        <f aca="false">SUM('Loan CF'!C992:L992)+SUM('Loan CF'!C1295:L1295)+SUM('Loan CF'!C1598:L1598)</f>
        <v>0</v>
      </c>
      <c r="Q102" s="71" t="n">
        <f aca="false">SUM('Loan CF'!C2204:L2204)</f>
        <v>0</v>
      </c>
      <c r="R102" s="71" t="n">
        <f aca="false">SUM('Loan CF'!C1295:L1295)*Prepay_Pen</f>
        <v>0</v>
      </c>
      <c r="S102" s="71" t="n">
        <f aca="false">'Loan CF'!$C2507</f>
        <v>0</v>
      </c>
      <c r="T102" s="71" t="n">
        <f aca="false">SUM(O102:S102)</f>
        <v>0</v>
      </c>
      <c r="U102" s="71" t="n">
        <f aca="false">SUM('Loan CF'!C689:L689)</f>
        <v>0</v>
      </c>
      <c r="V102" s="71" t="n">
        <f aca="false">U102*Sev</f>
        <v>0</v>
      </c>
      <c r="W102" s="71" t="n">
        <f aca="false">T102-K102</f>
        <v>0</v>
      </c>
      <c r="X102" s="109" t="str">
        <f aca="false">IFERROR(IRR('Loan CF'!C2810:M2810),"-")</f>
        <v>-</v>
      </c>
      <c r="Y102" s="110" t="str">
        <f aca="false">IFERROR(T102/K102,"-")</f>
        <v>-</v>
      </c>
      <c r="Z102" s="71" t="n">
        <f aca="false">'Loan Tape'!$BC79</f>
        <v>0</v>
      </c>
      <c r="AA102" s="71" t="n">
        <f aca="false">'Loan Tape'!$BE79</f>
        <v>0</v>
      </c>
      <c r="AB102" s="71" t="n">
        <f aca="false">SUM('Loan CF'!D3719:M3719)-AA102</f>
        <v>0</v>
      </c>
      <c r="AC102" s="109" t="str">
        <f aca="false">IFERROR(IRR('Loan CF'!C3719:M3719),"-")</f>
        <v>-</v>
      </c>
      <c r="AD102" s="110" t="str">
        <f aca="false">IFERROR(SUM('Loan CF'!D3719:M3719)/AA102,"-")</f>
        <v>-</v>
      </c>
    </row>
    <row r="103" customFormat="false" ht="15" hidden="false" customHeight="false" outlineLevel="0" collapsed="false">
      <c r="B103" s="102" t="str">
        <f aca="false">IF('Loan Tape'!$A80="","",'Loan Tape'!$A80)</f>
        <v/>
      </c>
      <c r="C103" s="102" t="str">
        <f aca="false">IF('Loan Tape'!$A80="","",'Loan Tape'!$B80)</f>
        <v/>
      </c>
      <c r="D103" s="102" t="str">
        <f aca="false">IF('Loan Tape'!$A80="","",'Loan Tape'!$C80)</f>
        <v/>
      </c>
      <c r="E103" s="102" t="str">
        <f aca="false">IF('Loan Tape'!$A80="","",'Loan Tape'!$D80)</f>
        <v/>
      </c>
      <c r="F103" s="102" t="str">
        <f aca="false">IF('Loan Tape'!$A80="","",'Loan Tape'!$E80)</f>
        <v/>
      </c>
      <c r="G103" s="103" t="n">
        <f aca="false">'Loan Tape'!$AN80</f>
        <v>0</v>
      </c>
      <c r="H103" s="99" t="n">
        <f aca="false">'Loan Tape'!$R80*'Loan Tape'!$AN80</f>
        <v>0</v>
      </c>
      <c r="I103" s="104" t="n">
        <f aca="false">'Loan Tape'!$AO80</f>
        <v>0</v>
      </c>
      <c r="J103" s="99" t="n">
        <f aca="false">'Loan Tape'!$AY80</f>
        <v>0</v>
      </c>
      <c r="K103" s="99" t="n">
        <f aca="false">'Loan Tape'!$BB80</f>
        <v>0</v>
      </c>
      <c r="L103" s="104" t="n">
        <f aca="false">'Loan CF'!C387</f>
        <v>0</v>
      </c>
      <c r="M103" s="105" t="n">
        <f aca="false">'Loan Tape'!$AS80*'Loan Tape'!$AN80</f>
        <v>0</v>
      </c>
      <c r="N103" s="105" t="n">
        <f aca="false">IFERROR(SUMPRODUCT(('Loan CF'!$C$916:$L$916-0.5)*('Loan CF'!C993:L993+'Loan CF'!C1296:L1296+'Loan CF'!C1599:L1599))/(SUM('Loan CF'!C993:L993)+SUM('Loan CF'!C1296:L1296)+SUM('Loan CF'!C1599:L1599)),0)</f>
        <v>0</v>
      </c>
      <c r="O103" s="99" t="n">
        <f aca="false">SUM('Loan CF'!C1902:L1902)</f>
        <v>0</v>
      </c>
      <c r="P103" s="99" t="n">
        <f aca="false">SUM('Loan CF'!C993:L993)+SUM('Loan CF'!C1296:L1296)+SUM('Loan CF'!C1599:L1599)</f>
        <v>0</v>
      </c>
      <c r="Q103" s="99" t="n">
        <f aca="false">SUM('Loan CF'!C2205:L2205)</f>
        <v>0</v>
      </c>
      <c r="R103" s="99" t="n">
        <f aca="false">SUM('Loan CF'!C1296:L1296)*Prepay_Pen</f>
        <v>0</v>
      </c>
      <c r="S103" s="99" t="n">
        <f aca="false">'Loan CF'!$C2508</f>
        <v>0</v>
      </c>
      <c r="T103" s="99" t="n">
        <f aca="false">SUM(O103:S103)</f>
        <v>0</v>
      </c>
      <c r="U103" s="99" t="n">
        <f aca="false">SUM('Loan CF'!C690:L690)</f>
        <v>0</v>
      </c>
      <c r="V103" s="99" t="n">
        <f aca="false">U103*Sev</f>
        <v>0</v>
      </c>
      <c r="W103" s="99" t="n">
        <f aca="false">T103-K103</f>
        <v>0</v>
      </c>
      <c r="X103" s="106" t="str">
        <f aca="false">IFERROR(IRR('Loan CF'!C2811:M2811),"-")</f>
        <v>-</v>
      </c>
      <c r="Y103" s="107" t="str">
        <f aca="false">IFERROR(T103/K103,"-")</f>
        <v>-</v>
      </c>
      <c r="Z103" s="99" t="n">
        <f aca="false">'Loan Tape'!$BC80</f>
        <v>0</v>
      </c>
      <c r="AA103" s="99" t="n">
        <f aca="false">'Loan Tape'!$BE80</f>
        <v>0</v>
      </c>
      <c r="AB103" s="99" t="n">
        <f aca="false">SUM('Loan CF'!D3720:M3720)-AA103</f>
        <v>0</v>
      </c>
      <c r="AC103" s="106" t="str">
        <f aca="false">IFERROR(IRR('Loan CF'!C3720:M3720),"-")</f>
        <v>-</v>
      </c>
      <c r="AD103" s="107" t="str">
        <f aca="false">IFERROR(SUM('Loan CF'!D3720:M3720)/AA103,"-")</f>
        <v>-</v>
      </c>
    </row>
    <row r="104" customFormat="false" ht="15" hidden="false" customHeight="false" outlineLevel="0" collapsed="false">
      <c r="B104" s="108" t="str">
        <f aca="false">IF('Loan Tape'!$A81="","",'Loan Tape'!$A81)</f>
        <v/>
      </c>
      <c r="C104" s="108" t="str">
        <f aca="false">IF('Loan Tape'!$A81="","",'Loan Tape'!$B81)</f>
        <v/>
      </c>
      <c r="D104" s="108" t="str">
        <f aca="false">IF('Loan Tape'!$A81="","",'Loan Tape'!$C81)</f>
        <v/>
      </c>
      <c r="E104" s="108" t="str">
        <f aca="false">IF('Loan Tape'!$A81="","",'Loan Tape'!$D81)</f>
        <v/>
      </c>
      <c r="F104" s="108" t="str">
        <f aca="false">IF('Loan Tape'!$A81="","",'Loan Tape'!$E81)</f>
        <v/>
      </c>
      <c r="G104" s="26" t="n">
        <f aca="false">'Loan Tape'!$AN81</f>
        <v>0</v>
      </c>
      <c r="H104" s="71" t="n">
        <f aca="false">'Loan Tape'!$R81*'Loan Tape'!$AN81</f>
        <v>0</v>
      </c>
      <c r="I104" s="56" t="n">
        <f aca="false">'Loan Tape'!$AO81</f>
        <v>0</v>
      </c>
      <c r="J104" s="71" t="n">
        <f aca="false">'Loan Tape'!$AY81</f>
        <v>0</v>
      </c>
      <c r="K104" s="71" t="n">
        <f aca="false">'Loan Tape'!$BB81</f>
        <v>0</v>
      </c>
      <c r="L104" s="56" t="n">
        <f aca="false">'Loan CF'!C388</f>
        <v>0</v>
      </c>
      <c r="M104" s="70" t="n">
        <f aca="false">'Loan Tape'!$AS81*'Loan Tape'!$AN81</f>
        <v>0</v>
      </c>
      <c r="N104" s="70" t="n">
        <f aca="false">IFERROR(SUMPRODUCT(('Loan CF'!$C$916:$L$916-0.5)*('Loan CF'!C994:L994+'Loan CF'!C1297:L1297+'Loan CF'!C1600:L1600))/(SUM('Loan CF'!C994:L994)+SUM('Loan CF'!C1297:L1297)+SUM('Loan CF'!C1600:L1600)),0)</f>
        <v>0</v>
      </c>
      <c r="O104" s="71" t="n">
        <f aca="false">SUM('Loan CF'!C1903:L1903)</f>
        <v>0</v>
      </c>
      <c r="P104" s="71" t="n">
        <f aca="false">SUM('Loan CF'!C994:L994)+SUM('Loan CF'!C1297:L1297)+SUM('Loan CF'!C1600:L1600)</f>
        <v>0</v>
      </c>
      <c r="Q104" s="71" t="n">
        <f aca="false">SUM('Loan CF'!C2206:L2206)</f>
        <v>0</v>
      </c>
      <c r="R104" s="71" t="n">
        <f aca="false">SUM('Loan CF'!C1297:L1297)*Prepay_Pen</f>
        <v>0</v>
      </c>
      <c r="S104" s="71" t="n">
        <f aca="false">'Loan CF'!$C2509</f>
        <v>0</v>
      </c>
      <c r="T104" s="71" t="n">
        <f aca="false">SUM(O104:S104)</f>
        <v>0</v>
      </c>
      <c r="U104" s="71" t="n">
        <f aca="false">SUM('Loan CF'!C691:L691)</f>
        <v>0</v>
      </c>
      <c r="V104" s="71" t="n">
        <f aca="false">U104*Sev</f>
        <v>0</v>
      </c>
      <c r="W104" s="71" t="n">
        <f aca="false">T104-K104</f>
        <v>0</v>
      </c>
      <c r="X104" s="109" t="str">
        <f aca="false">IFERROR(IRR('Loan CF'!C2812:M2812),"-")</f>
        <v>-</v>
      </c>
      <c r="Y104" s="110" t="str">
        <f aca="false">IFERROR(T104/K104,"-")</f>
        <v>-</v>
      </c>
      <c r="Z104" s="71" t="n">
        <f aca="false">'Loan Tape'!$BC81</f>
        <v>0</v>
      </c>
      <c r="AA104" s="71" t="n">
        <f aca="false">'Loan Tape'!$BE81</f>
        <v>0</v>
      </c>
      <c r="AB104" s="71" t="n">
        <f aca="false">SUM('Loan CF'!D3721:M3721)-AA104</f>
        <v>0</v>
      </c>
      <c r="AC104" s="109" t="str">
        <f aca="false">IFERROR(IRR('Loan CF'!C3721:M3721),"-")</f>
        <v>-</v>
      </c>
      <c r="AD104" s="110" t="str">
        <f aca="false">IFERROR(SUM('Loan CF'!D3721:M3721)/AA104,"-")</f>
        <v>-</v>
      </c>
    </row>
    <row r="105" customFormat="false" ht="15" hidden="false" customHeight="false" outlineLevel="0" collapsed="false">
      <c r="B105" s="102" t="str">
        <f aca="false">IF('Loan Tape'!$A82="","",'Loan Tape'!$A82)</f>
        <v/>
      </c>
      <c r="C105" s="102" t="str">
        <f aca="false">IF('Loan Tape'!$A82="","",'Loan Tape'!$B82)</f>
        <v/>
      </c>
      <c r="D105" s="102" t="str">
        <f aca="false">IF('Loan Tape'!$A82="","",'Loan Tape'!$C82)</f>
        <v/>
      </c>
      <c r="E105" s="102" t="str">
        <f aca="false">IF('Loan Tape'!$A82="","",'Loan Tape'!$D82)</f>
        <v/>
      </c>
      <c r="F105" s="102" t="str">
        <f aca="false">IF('Loan Tape'!$A82="","",'Loan Tape'!$E82)</f>
        <v/>
      </c>
      <c r="G105" s="103" t="n">
        <f aca="false">'Loan Tape'!$AN82</f>
        <v>0</v>
      </c>
      <c r="H105" s="99" t="n">
        <f aca="false">'Loan Tape'!$R82*'Loan Tape'!$AN82</f>
        <v>0</v>
      </c>
      <c r="I105" s="104" t="n">
        <f aca="false">'Loan Tape'!$AO82</f>
        <v>0</v>
      </c>
      <c r="J105" s="99" t="n">
        <f aca="false">'Loan Tape'!$AY82</f>
        <v>0</v>
      </c>
      <c r="K105" s="99" t="n">
        <f aca="false">'Loan Tape'!$BB82</f>
        <v>0</v>
      </c>
      <c r="L105" s="104" t="n">
        <f aca="false">'Loan CF'!C389</f>
        <v>0</v>
      </c>
      <c r="M105" s="105" t="n">
        <f aca="false">'Loan Tape'!$AS82*'Loan Tape'!$AN82</f>
        <v>0</v>
      </c>
      <c r="N105" s="105" t="n">
        <f aca="false">IFERROR(SUMPRODUCT(('Loan CF'!$C$916:$L$916-0.5)*('Loan CF'!C995:L995+'Loan CF'!C1298:L1298+'Loan CF'!C1601:L1601))/(SUM('Loan CF'!C995:L995)+SUM('Loan CF'!C1298:L1298)+SUM('Loan CF'!C1601:L1601)),0)</f>
        <v>0</v>
      </c>
      <c r="O105" s="99" t="n">
        <f aca="false">SUM('Loan CF'!C1904:L1904)</f>
        <v>0</v>
      </c>
      <c r="P105" s="99" t="n">
        <f aca="false">SUM('Loan CF'!C995:L995)+SUM('Loan CF'!C1298:L1298)+SUM('Loan CF'!C1601:L1601)</f>
        <v>0</v>
      </c>
      <c r="Q105" s="99" t="n">
        <f aca="false">SUM('Loan CF'!C2207:L2207)</f>
        <v>0</v>
      </c>
      <c r="R105" s="99" t="n">
        <f aca="false">SUM('Loan CF'!C1298:L1298)*Prepay_Pen</f>
        <v>0</v>
      </c>
      <c r="S105" s="99" t="n">
        <f aca="false">'Loan CF'!$C2510</f>
        <v>0</v>
      </c>
      <c r="T105" s="99" t="n">
        <f aca="false">SUM(O105:S105)</f>
        <v>0</v>
      </c>
      <c r="U105" s="99" t="n">
        <f aca="false">SUM('Loan CF'!C692:L692)</f>
        <v>0</v>
      </c>
      <c r="V105" s="99" t="n">
        <f aca="false">U105*Sev</f>
        <v>0</v>
      </c>
      <c r="W105" s="99" t="n">
        <f aca="false">T105-K105</f>
        <v>0</v>
      </c>
      <c r="X105" s="106" t="str">
        <f aca="false">IFERROR(IRR('Loan CF'!C2813:M2813),"-")</f>
        <v>-</v>
      </c>
      <c r="Y105" s="107" t="str">
        <f aca="false">IFERROR(T105/K105,"-")</f>
        <v>-</v>
      </c>
      <c r="Z105" s="99" t="n">
        <f aca="false">'Loan Tape'!$BC82</f>
        <v>0</v>
      </c>
      <c r="AA105" s="99" t="n">
        <f aca="false">'Loan Tape'!$BE82</f>
        <v>0</v>
      </c>
      <c r="AB105" s="99" t="n">
        <f aca="false">SUM('Loan CF'!D3722:M3722)-AA105</f>
        <v>0</v>
      </c>
      <c r="AC105" s="106" t="str">
        <f aca="false">IFERROR(IRR('Loan CF'!C3722:M3722),"-")</f>
        <v>-</v>
      </c>
      <c r="AD105" s="107" t="str">
        <f aca="false">IFERROR(SUM('Loan CF'!D3722:M3722)/AA105,"-")</f>
        <v>-</v>
      </c>
    </row>
    <row r="106" customFormat="false" ht="15" hidden="false" customHeight="false" outlineLevel="0" collapsed="false">
      <c r="B106" s="108" t="str">
        <f aca="false">IF('Loan Tape'!$A83="","",'Loan Tape'!$A83)</f>
        <v/>
      </c>
      <c r="C106" s="108" t="str">
        <f aca="false">IF('Loan Tape'!$A83="","",'Loan Tape'!$B83)</f>
        <v/>
      </c>
      <c r="D106" s="108" t="str">
        <f aca="false">IF('Loan Tape'!$A83="","",'Loan Tape'!$C83)</f>
        <v/>
      </c>
      <c r="E106" s="108" t="str">
        <f aca="false">IF('Loan Tape'!$A83="","",'Loan Tape'!$D83)</f>
        <v/>
      </c>
      <c r="F106" s="108" t="str">
        <f aca="false">IF('Loan Tape'!$A83="","",'Loan Tape'!$E83)</f>
        <v/>
      </c>
      <c r="G106" s="26" t="n">
        <f aca="false">'Loan Tape'!$AN83</f>
        <v>0</v>
      </c>
      <c r="H106" s="71" t="n">
        <f aca="false">'Loan Tape'!$R83*'Loan Tape'!$AN83</f>
        <v>0</v>
      </c>
      <c r="I106" s="56" t="n">
        <f aca="false">'Loan Tape'!$AO83</f>
        <v>0</v>
      </c>
      <c r="J106" s="71" t="n">
        <f aca="false">'Loan Tape'!$AY83</f>
        <v>0</v>
      </c>
      <c r="K106" s="71" t="n">
        <f aca="false">'Loan Tape'!$BB83</f>
        <v>0</v>
      </c>
      <c r="L106" s="56" t="n">
        <f aca="false">'Loan CF'!C390</f>
        <v>0</v>
      </c>
      <c r="M106" s="70" t="n">
        <f aca="false">'Loan Tape'!$AS83*'Loan Tape'!$AN83</f>
        <v>0</v>
      </c>
      <c r="N106" s="70" t="n">
        <f aca="false">IFERROR(SUMPRODUCT(('Loan CF'!$C$916:$L$916-0.5)*('Loan CF'!C996:L996+'Loan CF'!C1299:L1299+'Loan CF'!C1602:L1602))/(SUM('Loan CF'!C996:L996)+SUM('Loan CF'!C1299:L1299)+SUM('Loan CF'!C1602:L1602)),0)</f>
        <v>0</v>
      </c>
      <c r="O106" s="71" t="n">
        <f aca="false">SUM('Loan CF'!C1905:L1905)</f>
        <v>0</v>
      </c>
      <c r="P106" s="71" t="n">
        <f aca="false">SUM('Loan CF'!C996:L996)+SUM('Loan CF'!C1299:L1299)+SUM('Loan CF'!C1602:L1602)</f>
        <v>0</v>
      </c>
      <c r="Q106" s="71" t="n">
        <f aca="false">SUM('Loan CF'!C2208:L2208)</f>
        <v>0</v>
      </c>
      <c r="R106" s="71" t="n">
        <f aca="false">SUM('Loan CF'!C1299:L1299)*Prepay_Pen</f>
        <v>0</v>
      </c>
      <c r="S106" s="71" t="n">
        <f aca="false">'Loan CF'!$C2511</f>
        <v>0</v>
      </c>
      <c r="T106" s="71" t="n">
        <f aca="false">SUM(O106:S106)</f>
        <v>0</v>
      </c>
      <c r="U106" s="71" t="n">
        <f aca="false">SUM('Loan CF'!C693:L693)</f>
        <v>0</v>
      </c>
      <c r="V106" s="71" t="n">
        <f aca="false">U106*Sev</f>
        <v>0</v>
      </c>
      <c r="W106" s="71" t="n">
        <f aca="false">T106-K106</f>
        <v>0</v>
      </c>
      <c r="X106" s="109" t="str">
        <f aca="false">IFERROR(IRR('Loan CF'!C2814:M2814),"-")</f>
        <v>-</v>
      </c>
      <c r="Y106" s="110" t="str">
        <f aca="false">IFERROR(T106/K106,"-")</f>
        <v>-</v>
      </c>
      <c r="Z106" s="71" t="n">
        <f aca="false">'Loan Tape'!$BC83</f>
        <v>0</v>
      </c>
      <c r="AA106" s="71" t="n">
        <f aca="false">'Loan Tape'!$BE83</f>
        <v>0</v>
      </c>
      <c r="AB106" s="71" t="n">
        <f aca="false">SUM('Loan CF'!D3723:M3723)-AA106</f>
        <v>0</v>
      </c>
      <c r="AC106" s="109" t="str">
        <f aca="false">IFERROR(IRR('Loan CF'!C3723:M3723),"-")</f>
        <v>-</v>
      </c>
      <c r="AD106" s="110" t="str">
        <f aca="false">IFERROR(SUM('Loan CF'!D3723:M3723)/AA106,"-")</f>
        <v>-</v>
      </c>
    </row>
    <row r="107" customFormat="false" ht="15" hidden="false" customHeight="false" outlineLevel="0" collapsed="false">
      <c r="B107" s="102" t="str">
        <f aca="false">IF('Loan Tape'!$A84="","",'Loan Tape'!$A84)</f>
        <v/>
      </c>
      <c r="C107" s="102" t="str">
        <f aca="false">IF('Loan Tape'!$A84="","",'Loan Tape'!$B84)</f>
        <v/>
      </c>
      <c r="D107" s="102" t="str">
        <f aca="false">IF('Loan Tape'!$A84="","",'Loan Tape'!$C84)</f>
        <v/>
      </c>
      <c r="E107" s="102" t="str">
        <f aca="false">IF('Loan Tape'!$A84="","",'Loan Tape'!$D84)</f>
        <v/>
      </c>
      <c r="F107" s="102" t="str">
        <f aca="false">IF('Loan Tape'!$A84="","",'Loan Tape'!$E84)</f>
        <v/>
      </c>
      <c r="G107" s="103" t="n">
        <f aca="false">'Loan Tape'!$AN84</f>
        <v>0</v>
      </c>
      <c r="H107" s="99" t="n">
        <f aca="false">'Loan Tape'!$R84*'Loan Tape'!$AN84</f>
        <v>0</v>
      </c>
      <c r="I107" s="104" t="n">
        <f aca="false">'Loan Tape'!$AO84</f>
        <v>0</v>
      </c>
      <c r="J107" s="99" t="n">
        <f aca="false">'Loan Tape'!$AY84</f>
        <v>0</v>
      </c>
      <c r="K107" s="99" t="n">
        <f aca="false">'Loan Tape'!$BB84</f>
        <v>0</v>
      </c>
      <c r="L107" s="104" t="n">
        <f aca="false">'Loan CF'!C391</f>
        <v>0</v>
      </c>
      <c r="M107" s="105" t="n">
        <f aca="false">'Loan Tape'!$AS84*'Loan Tape'!$AN84</f>
        <v>0</v>
      </c>
      <c r="N107" s="105" t="n">
        <f aca="false">IFERROR(SUMPRODUCT(('Loan CF'!$C$916:$L$916-0.5)*('Loan CF'!C997:L997+'Loan CF'!C1300:L1300+'Loan CF'!C1603:L1603))/(SUM('Loan CF'!C997:L997)+SUM('Loan CF'!C1300:L1300)+SUM('Loan CF'!C1603:L1603)),0)</f>
        <v>0</v>
      </c>
      <c r="O107" s="99" t="n">
        <f aca="false">SUM('Loan CF'!C1906:L1906)</f>
        <v>0</v>
      </c>
      <c r="P107" s="99" t="n">
        <f aca="false">SUM('Loan CF'!C997:L997)+SUM('Loan CF'!C1300:L1300)+SUM('Loan CF'!C1603:L1603)</f>
        <v>0</v>
      </c>
      <c r="Q107" s="99" t="n">
        <f aca="false">SUM('Loan CF'!C2209:L2209)</f>
        <v>0</v>
      </c>
      <c r="R107" s="99" t="n">
        <f aca="false">SUM('Loan CF'!C1300:L1300)*Prepay_Pen</f>
        <v>0</v>
      </c>
      <c r="S107" s="99" t="n">
        <f aca="false">'Loan CF'!$C2512</f>
        <v>0</v>
      </c>
      <c r="T107" s="99" t="n">
        <f aca="false">SUM(O107:S107)</f>
        <v>0</v>
      </c>
      <c r="U107" s="99" t="n">
        <f aca="false">SUM('Loan CF'!C694:L694)</f>
        <v>0</v>
      </c>
      <c r="V107" s="99" t="n">
        <f aca="false">U107*Sev</f>
        <v>0</v>
      </c>
      <c r="W107" s="99" t="n">
        <f aca="false">T107-K107</f>
        <v>0</v>
      </c>
      <c r="X107" s="106" t="str">
        <f aca="false">IFERROR(IRR('Loan CF'!C2815:M2815),"-")</f>
        <v>-</v>
      </c>
      <c r="Y107" s="107" t="str">
        <f aca="false">IFERROR(T107/K107,"-")</f>
        <v>-</v>
      </c>
      <c r="Z107" s="99" t="n">
        <f aca="false">'Loan Tape'!$BC84</f>
        <v>0</v>
      </c>
      <c r="AA107" s="99" t="n">
        <f aca="false">'Loan Tape'!$BE84</f>
        <v>0</v>
      </c>
      <c r="AB107" s="99" t="n">
        <f aca="false">SUM('Loan CF'!D3724:M3724)-AA107</f>
        <v>0</v>
      </c>
      <c r="AC107" s="106" t="str">
        <f aca="false">IFERROR(IRR('Loan CF'!C3724:M3724),"-")</f>
        <v>-</v>
      </c>
      <c r="AD107" s="107" t="str">
        <f aca="false">IFERROR(SUM('Loan CF'!D3724:M3724)/AA107,"-")</f>
        <v>-</v>
      </c>
    </row>
    <row r="108" customFormat="false" ht="15" hidden="false" customHeight="false" outlineLevel="0" collapsed="false">
      <c r="B108" s="108" t="str">
        <f aca="false">IF('Loan Tape'!$A85="","",'Loan Tape'!$A85)</f>
        <v/>
      </c>
      <c r="C108" s="108" t="str">
        <f aca="false">IF('Loan Tape'!$A85="","",'Loan Tape'!$B85)</f>
        <v/>
      </c>
      <c r="D108" s="108" t="str">
        <f aca="false">IF('Loan Tape'!$A85="","",'Loan Tape'!$C85)</f>
        <v/>
      </c>
      <c r="E108" s="108" t="str">
        <f aca="false">IF('Loan Tape'!$A85="","",'Loan Tape'!$D85)</f>
        <v/>
      </c>
      <c r="F108" s="108" t="str">
        <f aca="false">IF('Loan Tape'!$A85="","",'Loan Tape'!$E85)</f>
        <v/>
      </c>
      <c r="G108" s="26" t="n">
        <f aca="false">'Loan Tape'!$AN85</f>
        <v>0</v>
      </c>
      <c r="H108" s="71" t="n">
        <f aca="false">'Loan Tape'!$R85*'Loan Tape'!$AN85</f>
        <v>0</v>
      </c>
      <c r="I108" s="56" t="n">
        <f aca="false">'Loan Tape'!$AO85</f>
        <v>0</v>
      </c>
      <c r="J108" s="71" t="n">
        <f aca="false">'Loan Tape'!$AY85</f>
        <v>0</v>
      </c>
      <c r="K108" s="71" t="n">
        <f aca="false">'Loan Tape'!$BB85</f>
        <v>0</v>
      </c>
      <c r="L108" s="56" t="n">
        <f aca="false">'Loan CF'!C392</f>
        <v>0</v>
      </c>
      <c r="M108" s="70" t="n">
        <f aca="false">'Loan Tape'!$AS85*'Loan Tape'!$AN85</f>
        <v>0</v>
      </c>
      <c r="N108" s="70" t="n">
        <f aca="false">IFERROR(SUMPRODUCT(('Loan CF'!$C$916:$L$916-0.5)*('Loan CF'!C998:L998+'Loan CF'!C1301:L1301+'Loan CF'!C1604:L1604))/(SUM('Loan CF'!C998:L998)+SUM('Loan CF'!C1301:L1301)+SUM('Loan CF'!C1604:L1604)),0)</f>
        <v>0</v>
      </c>
      <c r="O108" s="71" t="n">
        <f aca="false">SUM('Loan CF'!C1907:L1907)</f>
        <v>0</v>
      </c>
      <c r="P108" s="71" t="n">
        <f aca="false">SUM('Loan CF'!C998:L998)+SUM('Loan CF'!C1301:L1301)+SUM('Loan CF'!C1604:L1604)</f>
        <v>0</v>
      </c>
      <c r="Q108" s="71" t="n">
        <f aca="false">SUM('Loan CF'!C2210:L2210)</f>
        <v>0</v>
      </c>
      <c r="R108" s="71" t="n">
        <f aca="false">SUM('Loan CF'!C1301:L1301)*Prepay_Pen</f>
        <v>0</v>
      </c>
      <c r="S108" s="71" t="n">
        <f aca="false">'Loan CF'!$C2513</f>
        <v>0</v>
      </c>
      <c r="T108" s="71" t="n">
        <f aca="false">SUM(O108:S108)</f>
        <v>0</v>
      </c>
      <c r="U108" s="71" t="n">
        <f aca="false">SUM('Loan CF'!C695:L695)</f>
        <v>0</v>
      </c>
      <c r="V108" s="71" t="n">
        <f aca="false">U108*Sev</f>
        <v>0</v>
      </c>
      <c r="W108" s="71" t="n">
        <f aca="false">T108-K108</f>
        <v>0</v>
      </c>
      <c r="X108" s="109" t="str">
        <f aca="false">IFERROR(IRR('Loan CF'!C2816:M2816),"-")</f>
        <v>-</v>
      </c>
      <c r="Y108" s="110" t="str">
        <f aca="false">IFERROR(T108/K108,"-")</f>
        <v>-</v>
      </c>
      <c r="Z108" s="71" t="n">
        <f aca="false">'Loan Tape'!$BC85</f>
        <v>0</v>
      </c>
      <c r="AA108" s="71" t="n">
        <f aca="false">'Loan Tape'!$BE85</f>
        <v>0</v>
      </c>
      <c r="AB108" s="71" t="n">
        <f aca="false">SUM('Loan CF'!D3725:M3725)-AA108</f>
        <v>0</v>
      </c>
      <c r="AC108" s="109" t="str">
        <f aca="false">IFERROR(IRR('Loan CF'!C3725:M3725),"-")</f>
        <v>-</v>
      </c>
      <c r="AD108" s="110" t="str">
        <f aca="false">IFERROR(SUM('Loan CF'!D3725:M3725)/AA108,"-")</f>
        <v>-</v>
      </c>
    </row>
    <row r="109" customFormat="false" ht="15" hidden="false" customHeight="false" outlineLevel="0" collapsed="false">
      <c r="B109" s="102" t="str">
        <f aca="false">IF('Loan Tape'!$A86="","",'Loan Tape'!$A86)</f>
        <v/>
      </c>
      <c r="C109" s="102" t="str">
        <f aca="false">IF('Loan Tape'!$A86="","",'Loan Tape'!$B86)</f>
        <v/>
      </c>
      <c r="D109" s="102" t="str">
        <f aca="false">IF('Loan Tape'!$A86="","",'Loan Tape'!$C86)</f>
        <v/>
      </c>
      <c r="E109" s="102" t="str">
        <f aca="false">IF('Loan Tape'!$A86="","",'Loan Tape'!$D86)</f>
        <v/>
      </c>
      <c r="F109" s="102" t="str">
        <f aca="false">IF('Loan Tape'!$A86="","",'Loan Tape'!$E86)</f>
        <v/>
      </c>
      <c r="G109" s="103" t="n">
        <f aca="false">'Loan Tape'!$AN86</f>
        <v>0</v>
      </c>
      <c r="H109" s="99" t="n">
        <f aca="false">'Loan Tape'!$R86*'Loan Tape'!$AN86</f>
        <v>0</v>
      </c>
      <c r="I109" s="104" t="n">
        <f aca="false">'Loan Tape'!$AO86</f>
        <v>0</v>
      </c>
      <c r="J109" s="99" t="n">
        <f aca="false">'Loan Tape'!$AY86</f>
        <v>0</v>
      </c>
      <c r="K109" s="99" t="n">
        <f aca="false">'Loan Tape'!$BB86</f>
        <v>0</v>
      </c>
      <c r="L109" s="104" t="n">
        <f aca="false">'Loan CF'!C393</f>
        <v>0</v>
      </c>
      <c r="M109" s="105" t="n">
        <f aca="false">'Loan Tape'!$AS86*'Loan Tape'!$AN86</f>
        <v>0</v>
      </c>
      <c r="N109" s="105" t="n">
        <f aca="false">IFERROR(SUMPRODUCT(('Loan CF'!$C$916:$L$916-0.5)*('Loan CF'!C999:L999+'Loan CF'!C1302:L1302+'Loan CF'!C1605:L1605))/(SUM('Loan CF'!C999:L999)+SUM('Loan CF'!C1302:L1302)+SUM('Loan CF'!C1605:L1605)),0)</f>
        <v>0</v>
      </c>
      <c r="O109" s="99" t="n">
        <f aca="false">SUM('Loan CF'!C1908:L1908)</f>
        <v>0</v>
      </c>
      <c r="P109" s="99" t="n">
        <f aca="false">SUM('Loan CF'!C999:L999)+SUM('Loan CF'!C1302:L1302)+SUM('Loan CF'!C1605:L1605)</f>
        <v>0</v>
      </c>
      <c r="Q109" s="99" t="n">
        <f aca="false">SUM('Loan CF'!C2211:L2211)</f>
        <v>0</v>
      </c>
      <c r="R109" s="99" t="n">
        <f aca="false">SUM('Loan CF'!C1302:L1302)*Prepay_Pen</f>
        <v>0</v>
      </c>
      <c r="S109" s="99" t="n">
        <f aca="false">'Loan CF'!$C2514</f>
        <v>0</v>
      </c>
      <c r="T109" s="99" t="n">
        <f aca="false">SUM(O109:S109)</f>
        <v>0</v>
      </c>
      <c r="U109" s="99" t="n">
        <f aca="false">SUM('Loan CF'!C696:L696)</f>
        <v>0</v>
      </c>
      <c r="V109" s="99" t="n">
        <f aca="false">U109*Sev</f>
        <v>0</v>
      </c>
      <c r="W109" s="99" t="n">
        <f aca="false">T109-K109</f>
        <v>0</v>
      </c>
      <c r="X109" s="106" t="str">
        <f aca="false">IFERROR(IRR('Loan CF'!C2817:M2817),"-")</f>
        <v>-</v>
      </c>
      <c r="Y109" s="107" t="str">
        <f aca="false">IFERROR(T109/K109,"-")</f>
        <v>-</v>
      </c>
      <c r="Z109" s="99" t="n">
        <f aca="false">'Loan Tape'!$BC86</f>
        <v>0</v>
      </c>
      <c r="AA109" s="99" t="n">
        <f aca="false">'Loan Tape'!$BE86</f>
        <v>0</v>
      </c>
      <c r="AB109" s="99" t="n">
        <f aca="false">SUM('Loan CF'!D3726:M3726)-AA109</f>
        <v>0</v>
      </c>
      <c r="AC109" s="106" t="str">
        <f aca="false">IFERROR(IRR('Loan CF'!C3726:M3726),"-")</f>
        <v>-</v>
      </c>
      <c r="AD109" s="107" t="str">
        <f aca="false">IFERROR(SUM('Loan CF'!D3726:M3726)/AA109,"-")</f>
        <v>-</v>
      </c>
    </row>
    <row r="110" customFormat="false" ht="15" hidden="false" customHeight="false" outlineLevel="0" collapsed="false">
      <c r="B110" s="108" t="str">
        <f aca="false">IF('Loan Tape'!$A87="","",'Loan Tape'!$A87)</f>
        <v/>
      </c>
      <c r="C110" s="108" t="str">
        <f aca="false">IF('Loan Tape'!$A87="","",'Loan Tape'!$B87)</f>
        <v/>
      </c>
      <c r="D110" s="108" t="str">
        <f aca="false">IF('Loan Tape'!$A87="","",'Loan Tape'!$C87)</f>
        <v/>
      </c>
      <c r="E110" s="108" t="str">
        <f aca="false">IF('Loan Tape'!$A87="","",'Loan Tape'!$D87)</f>
        <v/>
      </c>
      <c r="F110" s="108" t="str">
        <f aca="false">IF('Loan Tape'!$A87="","",'Loan Tape'!$E87)</f>
        <v/>
      </c>
      <c r="G110" s="26" t="n">
        <f aca="false">'Loan Tape'!$AN87</f>
        <v>0</v>
      </c>
      <c r="H110" s="71" t="n">
        <f aca="false">'Loan Tape'!$R87*'Loan Tape'!$AN87</f>
        <v>0</v>
      </c>
      <c r="I110" s="56" t="n">
        <f aca="false">'Loan Tape'!$AO87</f>
        <v>0</v>
      </c>
      <c r="J110" s="71" t="n">
        <f aca="false">'Loan Tape'!$AY87</f>
        <v>0</v>
      </c>
      <c r="K110" s="71" t="n">
        <f aca="false">'Loan Tape'!$BB87</f>
        <v>0</v>
      </c>
      <c r="L110" s="56" t="n">
        <f aca="false">'Loan CF'!C394</f>
        <v>0</v>
      </c>
      <c r="M110" s="70" t="n">
        <f aca="false">'Loan Tape'!$AS87*'Loan Tape'!$AN87</f>
        <v>0</v>
      </c>
      <c r="N110" s="70" t="n">
        <f aca="false">IFERROR(SUMPRODUCT(('Loan CF'!$C$916:$L$916-0.5)*('Loan CF'!C1000:L1000+'Loan CF'!C1303:L1303+'Loan CF'!C1606:L1606))/(SUM('Loan CF'!C1000:L1000)+SUM('Loan CF'!C1303:L1303)+SUM('Loan CF'!C1606:L1606)),0)</f>
        <v>0</v>
      </c>
      <c r="O110" s="71" t="n">
        <f aca="false">SUM('Loan CF'!C1909:L1909)</f>
        <v>0</v>
      </c>
      <c r="P110" s="71" t="n">
        <f aca="false">SUM('Loan CF'!C1000:L1000)+SUM('Loan CF'!C1303:L1303)+SUM('Loan CF'!C1606:L1606)</f>
        <v>0</v>
      </c>
      <c r="Q110" s="71" t="n">
        <f aca="false">SUM('Loan CF'!C2212:L2212)</f>
        <v>0</v>
      </c>
      <c r="R110" s="71" t="n">
        <f aca="false">SUM('Loan CF'!C1303:L1303)*Prepay_Pen</f>
        <v>0</v>
      </c>
      <c r="S110" s="71" t="n">
        <f aca="false">'Loan CF'!$C2515</f>
        <v>0</v>
      </c>
      <c r="T110" s="71" t="n">
        <f aca="false">SUM(O110:S110)</f>
        <v>0</v>
      </c>
      <c r="U110" s="71" t="n">
        <f aca="false">SUM('Loan CF'!C697:L697)</f>
        <v>0</v>
      </c>
      <c r="V110" s="71" t="n">
        <f aca="false">U110*Sev</f>
        <v>0</v>
      </c>
      <c r="W110" s="71" t="n">
        <f aca="false">T110-K110</f>
        <v>0</v>
      </c>
      <c r="X110" s="109" t="str">
        <f aca="false">IFERROR(IRR('Loan CF'!C2818:M2818),"-")</f>
        <v>-</v>
      </c>
      <c r="Y110" s="110" t="str">
        <f aca="false">IFERROR(T110/K110,"-")</f>
        <v>-</v>
      </c>
      <c r="Z110" s="71" t="n">
        <f aca="false">'Loan Tape'!$BC87</f>
        <v>0</v>
      </c>
      <c r="AA110" s="71" t="n">
        <f aca="false">'Loan Tape'!$BE87</f>
        <v>0</v>
      </c>
      <c r="AB110" s="71" t="n">
        <f aca="false">SUM('Loan CF'!D3727:M3727)-AA110</f>
        <v>0</v>
      </c>
      <c r="AC110" s="109" t="str">
        <f aca="false">IFERROR(IRR('Loan CF'!C3727:M3727),"-")</f>
        <v>-</v>
      </c>
      <c r="AD110" s="110" t="str">
        <f aca="false">IFERROR(SUM('Loan CF'!D3727:M3727)/AA110,"-")</f>
        <v>-</v>
      </c>
    </row>
    <row r="111" customFormat="false" ht="15" hidden="false" customHeight="false" outlineLevel="0" collapsed="false">
      <c r="B111" s="102" t="str">
        <f aca="false">IF('Loan Tape'!$A88="","",'Loan Tape'!$A88)</f>
        <v/>
      </c>
      <c r="C111" s="102" t="str">
        <f aca="false">IF('Loan Tape'!$A88="","",'Loan Tape'!$B88)</f>
        <v/>
      </c>
      <c r="D111" s="102" t="str">
        <f aca="false">IF('Loan Tape'!$A88="","",'Loan Tape'!$C88)</f>
        <v/>
      </c>
      <c r="E111" s="102" t="str">
        <f aca="false">IF('Loan Tape'!$A88="","",'Loan Tape'!$D88)</f>
        <v/>
      </c>
      <c r="F111" s="102" t="str">
        <f aca="false">IF('Loan Tape'!$A88="","",'Loan Tape'!$E88)</f>
        <v/>
      </c>
      <c r="G111" s="103" t="n">
        <f aca="false">'Loan Tape'!$AN88</f>
        <v>0</v>
      </c>
      <c r="H111" s="99" t="n">
        <f aca="false">'Loan Tape'!$R88*'Loan Tape'!$AN88</f>
        <v>0</v>
      </c>
      <c r="I111" s="104" t="n">
        <f aca="false">'Loan Tape'!$AO88</f>
        <v>0</v>
      </c>
      <c r="J111" s="99" t="n">
        <f aca="false">'Loan Tape'!$AY88</f>
        <v>0</v>
      </c>
      <c r="K111" s="99" t="n">
        <f aca="false">'Loan Tape'!$BB88</f>
        <v>0</v>
      </c>
      <c r="L111" s="104" t="n">
        <f aca="false">'Loan CF'!C395</f>
        <v>0</v>
      </c>
      <c r="M111" s="105" t="n">
        <f aca="false">'Loan Tape'!$AS88*'Loan Tape'!$AN88</f>
        <v>0</v>
      </c>
      <c r="N111" s="105" t="n">
        <f aca="false">IFERROR(SUMPRODUCT(('Loan CF'!$C$916:$L$916-0.5)*('Loan CF'!C1001:L1001+'Loan CF'!C1304:L1304+'Loan CF'!C1607:L1607))/(SUM('Loan CF'!C1001:L1001)+SUM('Loan CF'!C1304:L1304)+SUM('Loan CF'!C1607:L1607)),0)</f>
        <v>0</v>
      </c>
      <c r="O111" s="99" t="n">
        <f aca="false">SUM('Loan CF'!C1910:L1910)</f>
        <v>0</v>
      </c>
      <c r="P111" s="99" t="n">
        <f aca="false">SUM('Loan CF'!C1001:L1001)+SUM('Loan CF'!C1304:L1304)+SUM('Loan CF'!C1607:L1607)</f>
        <v>0</v>
      </c>
      <c r="Q111" s="99" t="n">
        <f aca="false">SUM('Loan CF'!C2213:L2213)</f>
        <v>0</v>
      </c>
      <c r="R111" s="99" t="n">
        <f aca="false">SUM('Loan CF'!C1304:L1304)*Prepay_Pen</f>
        <v>0</v>
      </c>
      <c r="S111" s="99" t="n">
        <f aca="false">'Loan CF'!$C2516</f>
        <v>0</v>
      </c>
      <c r="T111" s="99" t="n">
        <f aca="false">SUM(O111:S111)</f>
        <v>0</v>
      </c>
      <c r="U111" s="99" t="n">
        <f aca="false">SUM('Loan CF'!C698:L698)</f>
        <v>0</v>
      </c>
      <c r="V111" s="99" t="n">
        <f aca="false">U111*Sev</f>
        <v>0</v>
      </c>
      <c r="W111" s="99" t="n">
        <f aca="false">T111-K111</f>
        <v>0</v>
      </c>
      <c r="X111" s="106" t="str">
        <f aca="false">IFERROR(IRR('Loan CF'!C2819:M2819),"-")</f>
        <v>-</v>
      </c>
      <c r="Y111" s="107" t="str">
        <f aca="false">IFERROR(T111/K111,"-")</f>
        <v>-</v>
      </c>
      <c r="Z111" s="99" t="n">
        <f aca="false">'Loan Tape'!$BC88</f>
        <v>0</v>
      </c>
      <c r="AA111" s="99" t="n">
        <f aca="false">'Loan Tape'!$BE88</f>
        <v>0</v>
      </c>
      <c r="AB111" s="99" t="n">
        <f aca="false">SUM('Loan CF'!D3728:M3728)-AA111</f>
        <v>0</v>
      </c>
      <c r="AC111" s="106" t="str">
        <f aca="false">IFERROR(IRR('Loan CF'!C3728:M3728),"-")</f>
        <v>-</v>
      </c>
      <c r="AD111" s="107" t="str">
        <f aca="false">IFERROR(SUM('Loan CF'!D3728:M3728)/AA111,"-")</f>
        <v>-</v>
      </c>
    </row>
    <row r="112" customFormat="false" ht="15" hidden="false" customHeight="false" outlineLevel="0" collapsed="false">
      <c r="B112" s="108" t="str">
        <f aca="false">IF('Loan Tape'!$A89="","",'Loan Tape'!$A89)</f>
        <v/>
      </c>
      <c r="C112" s="108" t="str">
        <f aca="false">IF('Loan Tape'!$A89="","",'Loan Tape'!$B89)</f>
        <v/>
      </c>
      <c r="D112" s="108" t="str">
        <f aca="false">IF('Loan Tape'!$A89="","",'Loan Tape'!$C89)</f>
        <v/>
      </c>
      <c r="E112" s="108" t="str">
        <f aca="false">IF('Loan Tape'!$A89="","",'Loan Tape'!$D89)</f>
        <v/>
      </c>
      <c r="F112" s="108" t="str">
        <f aca="false">IF('Loan Tape'!$A89="","",'Loan Tape'!$E89)</f>
        <v/>
      </c>
      <c r="G112" s="26" t="n">
        <f aca="false">'Loan Tape'!$AN89</f>
        <v>0</v>
      </c>
      <c r="H112" s="71" t="n">
        <f aca="false">'Loan Tape'!$R89*'Loan Tape'!$AN89</f>
        <v>0</v>
      </c>
      <c r="I112" s="56" t="n">
        <f aca="false">'Loan Tape'!$AO89</f>
        <v>0</v>
      </c>
      <c r="J112" s="71" t="n">
        <f aca="false">'Loan Tape'!$AY89</f>
        <v>0</v>
      </c>
      <c r="K112" s="71" t="n">
        <f aca="false">'Loan Tape'!$BB89</f>
        <v>0</v>
      </c>
      <c r="L112" s="56" t="n">
        <f aca="false">'Loan CF'!C396</f>
        <v>0</v>
      </c>
      <c r="M112" s="70" t="n">
        <f aca="false">'Loan Tape'!$AS89*'Loan Tape'!$AN89</f>
        <v>0</v>
      </c>
      <c r="N112" s="70" t="n">
        <f aca="false">IFERROR(SUMPRODUCT(('Loan CF'!$C$916:$L$916-0.5)*('Loan CF'!C1002:L1002+'Loan CF'!C1305:L1305+'Loan CF'!C1608:L1608))/(SUM('Loan CF'!C1002:L1002)+SUM('Loan CF'!C1305:L1305)+SUM('Loan CF'!C1608:L1608)),0)</f>
        <v>0</v>
      </c>
      <c r="O112" s="71" t="n">
        <f aca="false">SUM('Loan CF'!C1911:L1911)</f>
        <v>0</v>
      </c>
      <c r="P112" s="71" t="n">
        <f aca="false">SUM('Loan CF'!C1002:L1002)+SUM('Loan CF'!C1305:L1305)+SUM('Loan CF'!C1608:L1608)</f>
        <v>0</v>
      </c>
      <c r="Q112" s="71" t="n">
        <f aca="false">SUM('Loan CF'!C2214:L2214)</f>
        <v>0</v>
      </c>
      <c r="R112" s="71" t="n">
        <f aca="false">SUM('Loan CF'!C1305:L1305)*Prepay_Pen</f>
        <v>0</v>
      </c>
      <c r="S112" s="71" t="n">
        <f aca="false">'Loan CF'!$C2517</f>
        <v>0</v>
      </c>
      <c r="T112" s="71" t="n">
        <f aca="false">SUM(O112:S112)</f>
        <v>0</v>
      </c>
      <c r="U112" s="71" t="n">
        <f aca="false">SUM('Loan CF'!C699:L699)</f>
        <v>0</v>
      </c>
      <c r="V112" s="71" t="n">
        <f aca="false">U112*Sev</f>
        <v>0</v>
      </c>
      <c r="W112" s="71" t="n">
        <f aca="false">T112-K112</f>
        <v>0</v>
      </c>
      <c r="X112" s="109" t="str">
        <f aca="false">IFERROR(IRR('Loan CF'!C2820:M2820),"-")</f>
        <v>-</v>
      </c>
      <c r="Y112" s="110" t="str">
        <f aca="false">IFERROR(T112/K112,"-")</f>
        <v>-</v>
      </c>
      <c r="Z112" s="71" t="n">
        <f aca="false">'Loan Tape'!$BC89</f>
        <v>0</v>
      </c>
      <c r="AA112" s="71" t="n">
        <f aca="false">'Loan Tape'!$BE89</f>
        <v>0</v>
      </c>
      <c r="AB112" s="71" t="n">
        <f aca="false">SUM('Loan CF'!D3729:M3729)-AA112</f>
        <v>0</v>
      </c>
      <c r="AC112" s="109" t="str">
        <f aca="false">IFERROR(IRR('Loan CF'!C3729:M3729),"-")</f>
        <v>-</v>
      </c>
      <c r="AD112" s="110" t="str">
        <f aca="false">IFERROR(SUM('Loan CF'!D3729:M3729)/AA112,"-")</f>
        <v>-</v>
      </c>
    </row>
    <row r="113" customFormat="false" ht="15" hidden="false" customHeight="false" outlineLevel="0" collapsed="false">
      <c r="B113" s="102" t="str">
        <f aca="false">IF('Loan Tape'!$A90="","",'Loan Tape'!$A90)</f>
        <v/>
      </c>
      <c r="C113" s="102" t="str">
        <f aca="false">IF('Loan Tape'!$A90="","",'Loan Tape'!$B90)</f>
        <v/>
      </c>
      <c r="D113" s="102" t="str">
        <f aca="false">IF('Loan Tape'!$A90="","",'Loan Tape'!$C90)</f>
        <v/>
      </c>
      <c r="E113" s="102" t="str">
        <f aca="false">IF('Loan Tape'!$A90="","",'Loan Tape'!$D90)</f>
        <v/>
      </c>
      <c r="F113" s="102" t="str">
        <f aca="false">IF('Loan Tape'!$A90="","",'Loan Tape'!$E90)</f>
        <v/>
      </c>
      <c r="G113" s="103" t="n">
        <f aca="false">'Loan Tape'!$AN90</f>
        <v>0</v>
      </c>
      <c r="H113" s="99" t="n">
        <f aca="false">'Loan Tape'!$R90*'Loan Tape'!$AN90</f>
        <v>0</v>
      </c>
      <c r="I113" s="104" t="n">
        <f aca="false">'Loan Tape'!$AO90</f>
        <v>0</v>
      </c>
      <c r="J113" s="99" t="n">
        <f aca="false">'Loan Tape'!$AY90</f>
        <v>0</v>
      </c>
      <c r="K113" s="99" t="n">
        <f aca="false">'Loan Tape'!$BB90</f>
        <v>0</v>
      </c>
      <c r="L113" s="104" t="n">
        <f aca="false">'Loan CF'!C397</f>
        <v>0</v>
      </c>
      <c r="M113" s="105" t="n">
        <f aca="false">'Loan Tape'!$AS90*'Loan Tape'!$AN90</f>
        <v>0</v>
      </c>
      <c r="N113" s="105" t="n">
        <f aca="false">IFERROR(SUMPRODUCT(('Loan CF'!$C$916:$L$916-0.5)*('Loan CF'!C1003:L1003+'Loan CF'!C1306:L1306+'Loan CF'!C1609:L1609))/(SUM('Loan CF'!C1003:L1003)+SUM('Loan CF'!C1306:L1306)+SUM('Loan CF'!C1609:L1609)),0)</f>
        <v>0</v>
      </c>
      <c r="O113" s="99" t="n">
        <f aca="false">SUM('Loan CF'!C1912:L1912)</f>
        <v>0</v>
      </c>
      <c r="P113" s="99" t="n">
        <f aca="false">SUM('Loan CF'!C1003:L1003)+SUM('Loan CF'!C1306:L1306)+SUM('Loan CF'!C1609:L1609)</f>
        <v>0</v>
      </c>
      <c r="Q113" s="99" t="n">
        <f aca="false">SUM('Loan CF'!C2215:L2215)</f>
        <v>0</v>
      </c>
      <c r="R113" s="99" t="n">
        <f aca="false">SUM('Loan CF'!C1306:L1306)*Prepay_Pen</f>
        <v>0</v>
      </c>
      <c r="S113" s="99" t="n">
        <f aca="false">'Loan CF'!$C2518</f>
        <v>0</v>
      </c>
      <c r="T113" s="99" t="n">
        <f aca="false">SUM(O113:S113)</f>
        <v>0</v>
      </c>
      <c r="U113" s="99" t="n">
        <f aca="false">SUM('Loan CF'!C700:L700)</f>
        <v>0</v>
      </c>
      <c r="V113" s="99" t="n">
        <f aca="false">U113*Sev</f>
        <v>0</v>
      </c>
      <c r="W113" s="99" t="n">
        <f aca="false">T113-K113</f>
        <v>0</v>
      </c>
      <c r="X113" s="106" t="str">
        <f aca="false">IFERROR(IRR('Loan CF'!C2821:M2821),"-")</f>
        <v>-</v>
      </c>
      <c r="Y113" s="107" t="str">
        <f aca="false">IFERROR(T113/K113,"-")</f>
        <v>-</v>
      </c>
      <c r="Z113" s="99" t="n">
        <f aca="false">'Loan Tape'!$BC90</f>
        <v>0</v>
      </c>
      <c r="AA113" s="99" t="n">
        <f aca="false">'Loan Tape'!$BE90</f>
        <v>0</v>
      </c>
      <c r="AB113" s="99" t="n">
        <f aca="false">SUM('Loan CF'!D3730:M3730)-AA113</f>
        <v>0</v>
      </c>
      <c r="AC113" s="106" t="str">
        <f aca="false">IFERROR(IRR('Loan CF'!C3730:M3730),"-")</f>
        <v>-</v>
      </c>
      <c r="AD113" s="107" t="str">
        <f aca="false">IFERROR(SUM('Loan CF'!D3730:M3730)/AA113,"-")</f>
        <v>-</v>
      </c>
    </row>
    <row r="114" customFormat="false" ht="15" hidden="false" customHeight="false" outlineLevel="0" collapsed="false">
      <c r="B114" s="108" t="str">
        <f aca="false">IF('Loan Tape'!$A91="","",'Loan Tape'!$A91)</f>
        <v/>
      </c>
      <c r="C114" s="108" t="str">
        <f aca="false">IF('Loan Tape'!$A91="","",'Loan Tape'!$B91)</f>
        <v/>
      </c>
      <c r="D114" s="108" t="str">
        <f aca="false">IF('Loan Tape'!$A91="","",'Loan Tape'!$C91)</f>
        <v/>
      </c>
      <c r="E114" s="108" t="str">
        <f aca="false">IF('Loan Tape'!$A91="","",'Loan Tape'!$D91)</f>
        <v/>
      </c>
      <c r="F114" s="108" t="str">
        <f aca="false">IF('Loan Tape'!$A91="","",'Loan Tape'!$E91)</f>
        <v/>
      </c>
      <c r="G114" s="26" t="n">
        <f aca="false">'Loan Tape'!$AN91</f>
        <v>0</v>
      </c>
      <c r="H114" s="71" t="n">
        <f aca="false">'Loan Tape'!$R91*'Loan Tape'!$AN91</f>
        <v>0</v>
      </c>
      <c r="I114" s="56" t="n">
        <f aca="false">'Loan Tape'!$AO91</f>
        <v>0</v>
      </c>
      <c r="J114" s="71" t="n">
        <f aca="false">'Loan Tape'!$AY91</f>
        <v>0</v>
      </c>
      <c r="K114" s="71" t="n">
        <f aca="false">'Loan Tape'!$BB91</f>
        <v>0</v>
      </c>
      <c r="L114" s="56" t="n">
        <f aca="false">'Loan CF'!C398</f>
        <v>0</v>
      </c>
      <c r="M114" s="70" t="n">
        <f aca="false">'Loan Tape'!$AS91*'Loan Tape'!$AN91</f>
        <v>0</v>
      </c>
      <c r="N114" s="70" t="n">
        <f aca="false">IFERROR(SUMPRODUCT(('Loan CF'!$C$916:$L$916-0.5)*('Loan CF'!C1004:L1004+'Loan CF'!C1307:L1307+'Loan CF'!C1610:L1610))/(SUM('Loan CF'!C1004:L1004)+SUM('Loan CF'!C1307:L1307)+SUM('Loan CF'!C1610:L1610)),0)</f>
        <v>0</v>
      </c>
      <c r="O114" s="71" t="n">
        <f aca="false">SUM('Loan CF'!C1913:L1913)</f>
        <v>0</v>
      </c>
      <c r="P114" s="71" t="n">
        <f aca="false">SUM('Loan CF'!C1004:L1004)+SUM('Loan CF'!C1307:L1307)+SUM('Loan CF'!C1610:L1610)</f>
        <v>0</v>
      </c>
      <c r="Q114" s="71" t="n">
        <f aca="false">SUM('Loan CF'!C2216:L2216)</f>
        <v>0</v>
      </c>
      <c r="R114" s="71" t="n">
        <f aca="false">SUM('Loan CF'!C1307:L1307)*Prepay_Pen</f>
        <v>0</v>
      </c>
      <c r="S114" s="71" t="n">
        <f aca="false">'Loan CF'!$C2519</f>
        <v>0</v>
      </c>
      <c r="T114" s="71" t="n">
        <f aca="false">SUM(O114:S114)</f>
        <v>0</v>
      </c>
      <c r="U114" s="71" t="n">
        <f aca="false">SUM('Loan CF'!C701:L701)</f>
        <v>0</v>
      </c>
      <c r="V114" s="71" t="n">
        <f aca="false">U114*Sev</f>
        <v>0</v>
      </c>
      <c r="W114" s="71" t="n">
        <f aca="false">T114-K114</f>
        <v>0</v>
      </c>
      <c r="X114" s="109" t="str">
        <f aca="false">IFERROR(IRR('Loan CF'!C2822:M2822),"-")</f>
        <v>-</v>
      </c>
      <c r="Y114" s="110" t="str">
        <f aca="false">IFERROR(T114/K114,"-")</f>
        <v>-</v>
      </c>
      <c r="Z114" s="71" t="n">
        <f aca="false">'Loan Tape'!$BC91</f>
        <v>0</v>
      </c>
      <c r="AA114" s="71" t="n">
        <f aca="false">'Loan Tape'!$BE91</f>
        <v>0</v>
      </c>
      <c r="AB114" s="71" t="n">
        <f aca="false">SUM('Loan CF'!D3731:M3731)-AA114</f>
        <v>0</v>
      </c>
      <c r="AC114" s="109" t="str">
        <f aca="false">IFERROR(IRR('Loan CF'!C3731:M3731),"-")</f>
        <v>-</v>
      </c>
      <c r="AD114" s="110" t="str">
        <f aca="false">IFERROR(SUM('Loan CF'!D3731:M3731)/AA114,"-")</f>
        <v>-</v>
      </c>
    </row>
    <row r="115" customFormat="false" ht="15" hidden="false" customHeight="false" outlineLevel="0" collapsed="false">
      <c r="B115" s="102" t="str">
        <f aca="false">IF('Loan Tape'!$A92="","",'Loan Tape'!$A92)</f>
        <v/>
      </c>
      <c r="C115" s="102" t="str">
        <f aca="false">IF('Loan Tape'!$A92="","",'Loan Tape'!$B92)</f>
        <v/>
      </c>
      <c r="D115" s="102" t="str">
        <f aca="false">IF('Loan Tape'!$A92="","",'Loan Tape'!$C92)</f>
        <v/>
      </c>
      <c r="E115" s="102" t="str">
        <f aca="false">IF('Loan Tape'!$A92="","",'Loan Tape'!$D92)</f>
        <v/>
      </c>
      <c r="F115" s="102" t="str">
        <f aca="false">IF('Loan Tape'!$A92="","",'Loan Tape'!$E92)</f>
        <v/>
      </c>
      <c r="G115" s="103" t="n">
        <f aca="false">'Loan Tape'!$AN92</f>
        <v>0</v>
      </c>
      <c r="H115" s="99" t="n">
        <f aca="false">'Loan Tape'!$R92*'Loan Tape'!$AN92</f>
        <v>0</v>
      </c>
      <c r="I115" s="104" t="n">
        <f aca="false">'Loan Tape'!$AO92</f>
        <v>0</v>
      </c>
      <c r="J115" s="99" t="n">
        <f aca="false">'Loan Tape'!$AY92</f>
        <v>0</v>
      </c>
      <c r="K115" s="99" t="n">
        <f aca="false">'Loan Tape'!$BB92</f>
        <v>0</v>
      </c>
      <c r="L115" s="104" t="n">
        <f aca="false">'Loan CF'!C399</f>
        <v>0</v>
      </c>
      <c r="M115" s="105" t="n">
        <f aca="false">'Loan Tape'!$AS92*'Loan Tape'!$AN92</f>
        <v>0</v>
      </c>
      <c r="N115" s="105" t="n">
        <f aca="false">IFERROR(SUMPRODUCT(('Loan CF'!$C$916:$L$916-0.5)*('Loan CF'!C1005:L1005+'Loan CF'!C1308:L1308+'Loan CF'!C1611:L1611))/(SUM('Loan CF'!C1005:L1005)+SUM('Loan CF'!C1308:L1308)+SUM('Loan CF'!C1611:L1611)),0)</f>
        <v>0</v>
      </c>
      <c r="O115" s="99" t="n">
        <f aca="false">SUM('Loan CF'!C1914:L1914)</f>
        <v>0</v>
      </c>
      <c r="P115" s="99" t="n">
        <f aca="false">SUM('Loan CF'!C1005:L1005)+SUM('Loan CF'!C1308:L1308)+SUM('Loan CF'!C1611:L1611)</f>
        <v>0</v>
      </c>
      <c r="Q115" s="99" t="n">
        <f aca="false">SUM('Loan CF'!C2217:L2217)</f>
        <v>0</v>
      </c>
      <c r="R115" s="99" t="n">
        <f aca="false">SUM('Loan CF'!C1308:L1308)*Prepay_Pen</f>
        <v>0</v>
      </c>
      <c r="S115" s="99" t="n">
        <f aca="false">'Loan CF'!$C2520</f>
        <v>0</v>
      </c>
      <c r="T115" s="99" t="n">
        <f aca="false">SUM(O115:S115)</f>
        <v>0</v>
      </c>
      <c r="U115" s="99" t="n">
        <f aca="false">SUM('Loan CF'!C702:L702)</f>
        <v>0</v>
      </c>
      <c r="V115" s="99" t="n">
        <f aca="false">U115*Sev</f>
        <v>0</v>
      </c>
      <c r="W115" s="99" t="n">
        <f aca="false">T115-K115</f>
        <v>0</v>
      </c>
      <c r="X115" s="106" t="str">
        <f aca="false">IFERROR(IRR('Loan CF'!C2823:M2823),"-")</f>
        <v>-</v>
      </c>
      <c r="Y115" s="107" t="str">
        <f aca="false">IFERROR(T115/K115,"-")</f>
        <v>-</v>
      </c>
      <c r="Z115" s="99" t="n">
        <f aca="false">'Loan Tape'!$BC92</f>
        <v>0</v>
      </c>
      <c r="AA115" s="99" t="n">
        <f aca="false">'Loan Tape'!$BE92</f>
        <v>0</v>
      </c>
      <c r="AB115" s="99" t="n">
        <f aca="false">SUM('Loan CF'!D3732:M3732)-AA115</f>
        <v>0</v>
      </c>
      <c r="AC115" s="106" t="str">
        <f aca="false">IFERROR(IRR('Loan CF'!C3732:M3732),"-")</f>
        <v>-</v>
      </c>
      <c r="AD115" s="107" t="str">
        <f aca="false">IFERROR(SUM('Loan CF'!D3732:M3732)/AA115,"-")</f>
        <v>-</v>
      </c>
    </row>
    <row r="116" customFormat="false" ht="15" hidden="false" customHeight="false" outlineLevel="0" collapsed="false">
      <c r="B116" s="108" t="str">
        <f aca="false">IF('Loan Tape'!$A93="","",'Loan Tape'!$A93)</f>
        <v/>
      </c>
      <c r="C116" s="108" t="str">
        <f aca="false">IF('Loan Tape'!$A93="","",'Loan Tape'!$B93)</f>
        <v/>
      </c>
      <c r="D116" s="108" t="str">
        <f aca="false">IF('Loan Tape'!$A93="","",'Loan Tape'!$C93)</f>
        <v/>
      </c>
      <c r="E116" s="108" t="str">
        <f aca="false">IF('Loan Tape'!$A93="","",'Loan Tape'!$D93)</f>
        <v/>
      </c>
      <c r="F116" s="108" t="str">
        <f aca="false">IF('Loan Tape'!$A93="","",'Loan Tape'!$E93)</f>
        <v/>
      </c>
      <c r="G116" s="26" t="n">
        <f aca="false">'Loan Tape'!$AN93</f>
        <v>0</v>
      </c>
      <c r="H116" s="71" t="n">
        <f aca="false">'Loan Tape'!$R93*'Loan Tape'!$AN93</f>
        <v>0</v>
      </c>
      <c r="I116" s="56" t="n">
        <f aca="false">'Loan Tape'!$AO93</f>
        <v>0</v>
      </c>
      <c r="J116" s="71" t="n">
        <f aca="false">'Loan Tape'!$AY93</f>
        <v>0</v>
      </c>
      <c r="K116" s="71" t="n">
        <f aca="false">'Loan Tape'!$BB93</f>
        <v>0</v>
      </c>
      <c r="L116" s="56" t="n">
        <f aca="false">'Loan CF'!C400</f>
        <v>0</v>
      </c>
      <c r="M116" s="70" t="n">
        <f aca="false">'Loan Tape'!$AS93*'Loan Tape'!$AN93</f>
        <v>0</v>
      </c>
      <c r="N116" s="70" t="n">
        <f aca="false">IFERROR(SUMPRODUCT(('Loan CF'!$C$916:$L$916-0.5)*('Loan CF'!C1006:L1006+'Loan CF'!C1309:L1309+'Loan CF'!C1612:L1612))/(SUM('Loan CF'!C1006:L1006)+SUM('Loan CF'!C1309:L1309)+SUM('Loan CF'!C1612:L1612)),0)</f>
        <v>0</v>
      </c>
      <c r="O116" s="71" t="n">
        <f aca="false">SUM('Loan CF'!C1915:L1915)</f>
        <v>0</v>
      </c>
      <c r="P116" s="71" t="n">
        <f aca="false">SUM('Loan CF'!C1006:L1006)+SUM('Loan CF'!C1309:L1309)+SUM('Loan CF'!C1612:L1612)</f>
        <v>0</v>
      </c>
      <c r="Q116" s="71" t="n">
        <f aca="false">SUM('Loan CF'!C2218:L2218)</f>
        <v>0</v>
      </c>
      <c r="R116" s="71" t="n">
        <f aca="false">SUM('Loan CF'!C1309:L1309)*Prepay_Pen</f>
        <v>0</v>
      </c>
      <c r="S116" s="71" t="n">
        <f aca="false">'Loan CF'!$C2521</f>
        <v>0</v>
      </c>
      <c r="T116" s="71" t="n">
        <f aca="false">SUM(O116:S116)</f>
        <v>0</v>
      </c>
      <c r="U116" s="71" t="n">
        <f aca="false">SUM('Loan CF'!C703:L703)</f>
        <v>0</v>
      </c>
      <c r="V116" s="71" t="n">
        <f aca="false">U116*Sev</f>
        <v>0</v>
      </c>
      <c r="W116" s="71" t="n">
        <f aca="false">T116-K116</f>
        <v>0</v>
      </c>
      <c r="X116" s="109" t="str">
        <f aca="false">IFERROR(IRR('Loan CF'!C2824:M2824),"-")</f>
        <v>-</v>
      </c>
      <c r="Y116" s="110" t="str">
        <f aca="false">IFERROR(T116/K116,"-")</f>
        <v>-</v>
      </c>
      <c r="Z116" s="71" t="n">
        <f aca="false">'Loan Tape'!$BC93</f>
        <v>0</v>
      </c>
      <c r="AA116" s="71" t="n">
        <f aca="false">'Loan Tape'!$BE93</f>
        <v>0</v>
      </c>
      <c r="AB116" s="71" t="n">
        <f aca="false">SUM('Loan CF'!D3733:M3733)-AA116</f>
        <v>0</v>
      </c>
      <c r="AC116" s="109" t="str">
        <f aca="false">IFERROR(IRR('Loan CF'!C3733:M3733),"-")</f>
        <v>-</v>
      </c>
      <c r="AD116" s="110" t="str">
        <f aca="false">IFERROR(SUM('Loan CF'!D3733:M3733)/AA116,"-")</f>
        <v>-</v>
      </c>
    </row>
    <row r="117" customFormat="false" ht="15" hidden="false" customHeight="false" outlineLevel="0" collapsed="false">
      <c r="B117" s="102" t="str">
        <f aca="false">IF('Loan Tape'!$A94="","",'Loan Tape'!$A94)</f>
        <v/>
      </c>
      <c r="C117" s="102" t="str">
        <f aca="false">IF('Loan Tape'!$A94="","",'Loan Tape'!$B94)</f>
        <v/>
      </c>
      <c r="D117" s="102" t="str">
        <f aca="false">IF('Loan Tape'!$A94="","",'Loan Tape'!$C94)</f>
        <v/>
      </c>
      <c r="E117" s="102" t="str">
        <f aca="false">IF('Loan Tape'!$A94="","",'Loan Tape'!$D94)</f>
        <v/>
      </c>
      <c r="F117" s="102" t="str">
        <f aca="false">IF('Loan Tape'!$A94="","",'Loan Tape'!$E94)</f>
        <v/>
      </c>
      <c r="G117" s="103" t="n">
        <f aca="false">'Loan Tape'!$AN94</f>
        <v>0</v>
      </c>
      <c r="H117" s="99" t="n">
        <f aca="false">'Loan Tape'!$R94*'Loan Tape'!$AN94</f>
        <v>0</v>
      </c>
      <c r="I117" s="104" t="n">
        <f aca="false">'Loan Tape'!$AO94</f>
        <v>0</v>
      </c>
      <c r="J117" s="99" t="n">
        <f aca="false">'Loan Tape'!$AY94</f>
        <v>0</v>
      </c>
      <c r="K117" s="99" t="n">
        <f aca="false">'Loan Tape'!$BB94</f>
        <v>0</v>
      </c>
      <c r="L117" s="104" t="n">
        <f aca="false">'Loan CF'!C401</f>
        <v>0</v>
      </c>
      <c r="M117" s="105" t="n">
        <f aca="false">'Loan Tape'!$AS94*'Loan Tape'!$AN94</f>
        <v>0</v>
      </c>
      <c r="N117" s="105" t="n">
        <f aca="false">IFERROR(SUMPRODUCT(('Loan CF'!$C$916:$L$916-0.5)*('Loan CF'!C1007:L1007+'Loan CF'!C1310:L1310+'Loan CF'!C1613:L1613))/(SUM('Loan CF'!C1007:L1007)+SUM('Loan CF'!C1310:L1310)+SUM('Loan CF'!C1613:L1613)),0)</f>
        <v>0</v>
      </c>
      <c r="O117" s="99" t="n">
        <f aca="false">SUM('Loan CF'!C1916:L1916)</f>
        <v>0</v>
      </c>
      <c r="P117" s="99" t="n">
        <f aca="false">SUM('Loan CF'!C1007:L1007)+SUM('Loan CF'!C1310:L1310)+SUM('Loan CF'!C1613:L1613)</f>
        <v>0</v>
      </c>
      <c r="Q117" s="99" t="n">
        <f aca="false">SUM('Loan CF'!C2219:L2219)</f>
        <v>0</v>
      </c>
      <c r="R117" s="99" t="n">
        <f aca="false">SUM('Loan CF'!C1310:L1310)*Prepay_Pen</f>
        <v>0</v>
      </c>
      <c r="S117" s="99" t="n">
        <f aca="false">'Loan CF'!$C2522</f>
        <v>0</v>
      </c>
      <c r="T117" s="99" t="n">
        <f aca="false">SUM(O117:S117)</f>
        <v>0</v>
      </c>
      <c r="U117" s="99" t="n">
        <f aca="false">SUM('Loan CF'!C704:L704)</f>
        <v>0</v>
      </c>
      <c r="V117" s="99" t="n">
        <f aca="false">U117*Sev</f>
        <v>0</v>
      </c>
      <c r="W117" s="99" t="n">
        <f aca="false">T117-K117</f>
        <v>0</v>
      </c>
      <c r="X117" s="106" t="str">
        <f aca="false">IFERROR(IRR('Loan CF'!C2825:M2825),"-")</f>
        <v>-</v>
      </c>
      <c r="Y117" s="107" t="str">
        <f aca="false">IFERROR(T117/K117,"-")</f>
        <v>-</v>
      </c>
      <c r="Z117" s="99" t="n">
        <f aca="false">'Loan Tape'!$BC94</f>
        <v>0</v>
      </c>
      <c r="AA117" s="99" t="n">
        <f aca="false">'Loan Tape'!$BE94</f>
        <v>0</v>
      </c>
      <c r="AB117" s="99" t="n">
        <f aca="false">SUM('Loan CF'!D3734:M3734)-AA117</f>
        <v>0</v>
      </c>
      <c r="AC117" s="106" t="str">
        <f aca="false">IFERROR(IRR('Loan CF'!C3734:M3734),"-")</f>
        <v>-</v>
      </c>
      <c r="AD117" s="107" t="str">
        <f aca="false">IFERROR(SUM('Loan CF'!D3734:M3734)/AA117,"-")</f>
        <v>-</v>
      </c>
    </row>
    <row r="118" customFormat="false" ht="15" hidden="false" customHeight="false" outlineLevel="0" collapsed="false">
      <c r="B118" s="108" t="str">
        <f aca="false">IF('Loan Tape'!$A95="","",'Loan Tape'!$A95)</f>
        <v/>
      </c>
      <c r="C118" s="108" t="str">
        <f aca="false">IF('Loan Tape'!$A95="","",'Loan Tape'!$B95)</f>
        <v/>
      </c>
      <c r="D118" s="108" t="str">
        <f aca="false">IF('Loan Tape'!$A95="","",'Loan Tape'!$C95)</f>
        <v/>
      </c>
      <c r="E118" s="108" t="str">
        <f aca="false">IF('Loan Tape'!$A95="","",'Loan Tape'!$D95)</f>
        <v/>
      </c>
      <c r="F118" s="108" t="str">
        <f aca="false">IF('Loan Tape'!$A95="","",'Loan Tape'!$E95)</f>
        <v/>
      </c>
      <c r="G118" s="26" t="n">
        <f aca="false">'Loan Tape'!$AN95</f>
        <v>0</v>
      </c>
      <c r="H118" s="71" t="n">
        <f aca="false">'Loan Tape'!$R95*'Loan Tape'!$AN95</f>
        <v>0</v>
      </c>
      <c r="I118" s="56" t="n">
        <f aca="false">'Loan Tape'!$AO95</f>
        <v>0</v>
      </c>
      <c r="J118" s="71" t="n">
        <f aca="false">'Loan Tape'!$AY95</f>
        <v>0</v>
      </c>
      <c r="K118" s="71" t="n">
        <f aca="false">'Loan Tape'!$BB95</f>
        <v>0</v>
      </c>
      <c r="L118" s="56" t="n">
        <f aca="false">'Loan CF'!C402</f>
        <v>0</v>
      </c>
      <c r="M118" s="70" t="n">
        <f aca="false">'Loan Tape'!$AS95*'Loan Tape'!$AN95</f>
        <v>0</v>
      </c>
      <c r="N118" s="70" t="n">
        <f aca="false">IFERROR(SUMPRODUCT(('Loan CF'!$C$916:$L$916-0.5)*('Loan CF'!C1008:L1008+'Loan CF'!C1311:L1311+'Loan CF'!C1614:L1614))/(SUM('Loan CF'!C1008:L1008)+SUM('Loan CF'!C1311:L1311)+SUM('Loan CF'!C1614:L1614)),0)</f>
        <v>0</v>
      </c>
      <c r="O118" s="71" t="n">
        <f aca="false">SUM('Loan CF'!C1917:L1917)</f>
        <v>0</v>
      </c>
      <c r="P118" s="71" t="n">
        <f aca="false">SUM('Loan CF'!C1008:L1008)+SUM('Loan CF'!C1311:L1311)+SUM('Loan CF'!C1614:L1614)</f>
        <v>0</v>
      </c>
      <c r="Q118" s="71" t="n">
        <f aca="false">SUM('Loan CF'!C2220:L2220)</f>
        <v>0</v>
      </c>
      <c r="R118" s="71" t="n">
        <f aca="false">SUM('Loan CF'!C1311:L1311)*Prepay_Pen</f>
        <v>0</v>
      </c>
      <c r="S118" s="71" t="n">
        <f aca="false">'Loan CF'!$C2523</f>
        <v>0</v>
      </c>
      <c r="T118" s="71" t="n">
        <f aca="false">SUM(O118:S118)</f>
        <v>0</v>
      </c>
      <c r="U118" s="71" t="n">
        <f aca="false">SUM('Loan CF'!C705:L705)</f>
        <v>0</v>
      </c>
      <c r="V118" s="71" t="n">
        <f aca="false">U118*Sev</f>
        <v>0</v>
      </c>
      <c r="W118" s="71" t="n">
        <f aca="false">T118-K118</f>
        <v>0</v>
      </c>
      <c r="X118" s="109" t="str">
        <f aca="false">IFERROR(IRR('Loan CF'!C2826:M2826),"-")</f>
        <v>-</v>
      </c>
      <c r="Y118" s="110" t="str">
        <f aca="false">IFERROR(T118/K118,"-")</f>
        <v>-</v>
      </c>
      <c r="Z118" s="71" t="n">
        <f aca="false">'Loan Tape'!$BC95</f>
        <v>0</v>
      </c>
      <c r="AA118" s="71" t="n">
        <f aca="false">'Loan Tape'!$BE95</f>
        <v>0</v>
      </c>
      <c r="AB118" s="71" t="n">
        <f aca="false">SUM('Loan CF'!D3735:M3735)-AA118</f>
        <v>0</v>
      </c>
      <c r="AC118" s="109" t="str">
        <f aca="false">IFERROR(IRR('Loan CF'!C3735:M3735),"-")</f>
        <v>-</v>
      </c>
      <c r="AD118" s="110" t="str">
        <f aca="false">IFERROR(SUM('Loan CF'!D3735:M3735)/AA118,"-")</f>
        <v>-</v>
      </c>
    </row>
    <row r="119" customFormat="false" ht="15" hidden="false" customHeight="false" outlineLevel="0" collapsed="false">
      <c r="B119" s="102" t="str">
        <f aca="false">IF('Loan Tape'!$A96="","",'Loan Tape'!$A96)</f>
        <v/>
      </c>
      <c r="C119" s="102" t="str">
        <f aca="false">IF('Loan Tape'!$A96="","",'Loan Tape'!$B96)</f>
        <v/>
      </c>
      <c r="D119" s="102" t="str">
        <f aca="false">IF('Loan Tape'!$A96="","",'Loan Tape'!$C96)</f>
        <v/>
      </c>
      <c r="E119" s="102" t="str">
        <f aca="false">IF('Loan Tape'!$A96="","",'Loan Tape'!$D96)</f>
        <v/>
      </c>
      <c r="F119" s="102" t="str">
        <f aca="false">IF('Loan Tape'!$A96="","",'Loan Tape'!$E96)</f>
        <v/>
      </c>
      <c r="G119" s="103" t="n">
        <f aca="false">'Loan Tape'!$AN96</f>
        <v>0</v>
      </c>
      <c r="H119" s="99" t="n">
        <f aca="false">'Loan Tape'!$R96*'Loan Tape'!$AN96</f>
        <v>0</v>
      </c>
      <c r="I119" s="104" t="n">
        <f aca="false">'Loan Tape'!$AO96</f>
        <v>0</v>
      </c>
      <c r="J119" s="99" t="n">
        <f aca="false">'Loan Tape'!$AY96</f>
        <v>0</v>
      </c>
      <c r="K119" s="99" t="n">
        <f aca="false">'Loan Tape'!$BB96</f>
        <v>0</v>
      </c>
      <c r="L119" s="104" t="n">
        <f aca="false">'Loan CF'!C403</f>
        <v>0</v>
      </c>
      <c r="M119" s="105" t="n">
        <f aca="false">'Loan Tape'!$AS96*'Loan Tape'!$AN96</f>
        <v>0</v>
      </c>
      <c r="N119" s="105" t="n">
        <f aca="false">IFERROR(SUMPRODUCT(('Loan CF'!$C$916:$L$916-0.5)*('Loan CF'!C1009:L1009+'Loan CF'!C1312:L1312+'Loan CF'!C1615:L1615))/(SUM('Loan CF'!C1009:L1009)+SUM('Loan CF'!C1312:L1312)+SUM('Loan CF'!C1615:L1615)),0)</f>
        <v>0</v>
      </c>
      <c r="O119" s="99" t="n">
        <f aca="false">SUM('Loan CF'!C1918:L1918)</f>
        <v>0</v>
      </c>
      <c r="P119" s="99" t="n">
        <f aca="false">SUM('Loan CF'!C1009:L1009)+SUM('Loan CF'!C1312:L1312)+SUM('Loan CF'!C1615:L1615)</f>
        <v>0</v>
      </c>
      <c r="Q119" s="99" t="n">
        <f aca="false">SUM('Loan CF'!C2221:L2221)</f>
        <v>0</v>
      </c>
      <c r="R119" s="99" t="n">
        <f aca="false">SUM('Loan CF'!C1312:L1312)*Prepay_Pen</f>
        <v>0</v>
      </c>
      <c r="S119" s="99" t="n">
        <f aca="false">'Loan CF'!$C2524</f>
        <v>0</v>
      </c>
      <c r="T119" s="99" t="n">
        <f aca="false">SUM(O119:S119)</f>
        <v>0</v>
      </c>
      <c r="U119" s="99" t="n">
        <f aca="false">SUM('Loan CF'!C706:L706)</f>
        <v>0</v>
      </c>
      <c r="V119" s="99" t="n">
        <f aca="false">U119*Sev</f>
        <v>0</v>
      </c>
      <c r="W119" s="99" t="n">
        <f aca="false">T119-K119</f>
        <v>0</v>
      </c>
      <c r="X119" s="106" t="str">
        <f aca="false">IFERROR(IRR('Loan CF'!C2827:M2827),"-")</f>
        <v>-</v>
      </c>
      <c r="Y119" s="107" t="str">
        <f aca="false">IFERROR(T119/K119,"-")</f>
        <v>-</v>
      </c>
      <c r="Z119" s="99" t="n">
        <f aca="false">'Loan Tape'!$BC96</f>
        <v>0</v>
      </c>
      <c r="AA119" s="99" t="n">
        <f aca="false">'Loan Tape'!$BE96</f>
        <v>0</v>
      </c>
      <c r="AB119" s="99" t="n">
        <f aca="false">SUM('Loan CF'!D3736:M3736)-AA119</f>
        <v>0</v>
      </c>
      <c r="AC119" s="106" t="str">
        <f aca="false">IFERROR(IRR('Loan CF'!C3736:M3736),"-")</f>
        <v>-</v>
      </c>
      <c r="AD119" s="107" t="str">
        <f aca="false">IFERROR(SUM('Loan CF'!D3736:M3736)/AA119,"-")</f>
        <v>-</v>
      </c>
    </row>
    <row r="120" customFormat="false" ht="15" hidden="false" customHeight="false" outlineLevel="0" collapsed="false">
      <c r="B120" s="108" t="str">
        <f aca="false">IF('Loan Tape'!$A97="","",'Loan Tape'!$A97)</f>
        <v/>
      </c>
      <c r="C120" s="108" t="str">
        <f aca="false">IF('Loan Tape'!$A97="","",'Loan Tape'!$B97)</f>
        <v/>
      </c>
      <c r="D120" s="108" t="str">
        <f aca="false">IF('Loan Tape'!$A97="","",'Loan Tape'!$C97)</f>
        <v/>
      </c>
      <c r="E120" s="108" t="str">
        <f aca="false">IF('Loan Tape'!$A97="","",'Loan Tape'!$D97)</f>
        <v/>
      </c>
      <c r="F120" s="108" t="str">
        <f aca="false">IF('Loan Tape'!$A97="","",'Loan Tape'!$E97)</f>
        <v/>
      </c>
      <c r="G120" s="26" t="n">
        <f aca="false">'Loan Tape'!$AN97</f>
        <v>0</v>
      </c>
      <c r="H120" s="71" t="n">
        <f aca="false">'Loan Tape'!$R97*'Loan Tape'!$AN97</f>
        <v>0</v>
      </c>
      <c r="I120" s="56" t="n">
        <f aca="false">'Loan Tape'!$AO97</f>
        <v>0</v>
      </c>
      <c r="J120" s="71" t="n">
        <f aca="false">'Loan Tape'!$AY97</f>
        <v>0</v>
      </c>
      <c r="K120" s="71" t="n">
        <f aca="false">'Loan Tape'!$BB97</f>
        <v>0</v>
      </c>
      <c r="L120" s="56" t="n">
        <f aca="false">'Loan CF'!C404</f>
        <v>0</v>
      </c>
      <c r="M120" s="70" t="n">
        <f aca="false">'Loan Tape'!$AS97*'Loan Tape'!$AN97</f>
        <v>0</v>
      </c>
      <c r="N120" s="70" t="n">
        <f aca="false">IFERROR(SUMPRODUCT(('Loan CF'!$C$916:$L$916-0.5)*('Loan CF'!C1010:L1010+'Loan CF'!C1313:L1313+'Loan CF'!C1616:L1616))/(SUM('Loan CF'!C1010:L1010)+SUM('Loan CF'!C1313:L1313)+SUM('Loan CF'!C1616:L1616)),0)</f>
        <v>0</v>
      </c>
      <c r="O120" s="71" t="n">
        <f aca="false">SUM('Loan CF'!C1919:L1919)</f>
        <v>0</v>
      </c>
      <c r="P120" s="71" t="n">
        <f aca="false">SUM('Loan CF'!C1010:L1010)+SUM('Loan CF'!C1313:L1313)+SUM('Loan CF'!C1616:L1616)</f>
        <v>0</v>
      </c>
      <c r="Q120" s="71" t="n">
        <f aca="false">SUM('Loan CF'!C2222:L2222)</f>
        <v>0</v>
      </c>
      <c r="R120" s="71" t="n">
        <f aca="false">SUM('Loan CF'!C1313:L1313)*Prepay_Pen</f>
        <v>0</v>
      </c>
      <c r="S120" s="71" t="n">
        <f aca="false">'Loan CF'!$C2525</f>
        <v>0</v>
      </c>
      <c r="T120" s="71" t="n">
        <f aca="false">SUM(O120:S120)</f>
        <v>0</v>
      </c>
      <c r="U120" s="71" t="n">
        <f aca="false">SUM('Loan CF'!C707:L707)</f>
        <v>0</v>
      </c>
      <c r="V120" s="71" t="n">
        <f aca="false">U120*Sev</f>
        <v>0</v>
      </c>
      <c r="W120" s="71" t="n">
        <f aca="false">T120-K120</f>
        <v>0</v>
      </c>
      <c r="X120" s="109" t="str">
        <f aca="false">IFERROR(IRR('Loan CF'!C2828:M2828),"-")</f>
        <v>-</v>
      </c>
      <c r="Y120" s="110" t="str">
        <f aca="false">IFERROR(T120/K120,"-")</f>
        <v>-</v>
      </c>
      <c r="Z120" s="71" t="n">
        <f aca="false">'Loan Tape'!$BC97</f>
        <v>0</v>
      </c>
      <c r="AA120" s="71" t="n">
        <f aca="false">'Loan Tape'!$BE97</f>
        <v>0</v>
      </c>
      <c r="AB120" s="71" t="n">
        <f aca="false">SUM('Loan CF'!D3737:M3737)-AA120</f>
        <v>0</v>
      </c>
      <c r="AC120" s="109" t="str">
        <f aca="false">IFERROR(IRR('Loan CF'!C3737:M3737),"-")</f>
        <v>-</v>
      </c>
      <c r="AD120" s="110" t="str">
        <f aca="false">IFERROR(SUM('Loan CF'!D3737:M3737)/AA120,"-")</f>
        <v>-</v>
      </c>
    </row>
    <row r="121" customFormat="false" ht="15" hidden="false" customHeight="false" outlineLevel="0" collapsed="false">
      <c r="B121" s="102" t="str">
        <f aca="false">IF('Loan Tape'!$A98="","",'Loan Tape'!$A98)</f>
        <v/>
      </c>
      <c r="C121" s="102" t="str">
        <f aca="false">IF('Loan Tape'!$A98="","",'Loan Tape'!$B98)</f>
        <v/>
      </c>
      <c r="D121" s="102" t="str">
        <f aca="false">IF('Loan Tape'!$A98="","",'Loan Tape'!$C98)</f>
        <v/>
      </c>
      <c r="E121" s="102" t="str">
        <f aca="false">IF('Loan Tape'!$A98="","",'Loan Tape'!$D98)</f>
        <v/>
      </c>
      <c r="F121" s="102" t="str">
        <f aca="false">IF('Loan Tape'!$A98="","",'Loan Tape'!$E98)</f>
        <v/>
      </c>
      <c r="G121" s="103" t="n">
        <f aca="false">'Loan Tape'!$AN98</f>
        <v>0</v>
      </c>
      <c r="H121" s="99" t="n">
        <f aca="false">'Loan Tape'!$R98*'Loan Tape'!$AN98</f>
        <v>0</v>
      </c>
      <c r="I121" s="104" t="n">
        <f aca="false">'Loan Tape'!$AO98</f>
        <v>0</v>
      </c>
      <c r="J121" s="99" t="n">
        <f aca="false">'Loan Tape'!$AY98</f>
        <v>0</v>
      </c>
      <c r="K121" s="99" t="n">
        <f aca="false">'Loan Tape'!$BB98</f>
        <v>0</v>
      </c>
      <c r="L121" s="104" t="n">
        <f aca="false">'Loan CF'!C405</f>
        <v>0</v>
      </c>
      <c r="M121" s="105" t="n">
        <f aca="false">'Loan Tape'!$AS98*'Loan Tape'!$AN98</f>
        <v>0</v>
      </c>
      <c r="N121" s="105" t="n">
        <f aca="false">IFERROR(SUMPRODUCT(('Loan CF'!$C$916:$L$916-0.5)*('Loan CF'!C1011:L1011+'Loan CF'!C1314:L1314+'Loan CF'!C1617:L1617))/(SUM('Loan CF'!C1011:L1011)+SUM('Loan CF'!C1314:L1314)+SUM('Loan CF'!C1617:L1617)),0)</f>
        <v>0</v>
      </c>
      <c r="O121" s="99" t="n">
        <f aca="false">SUM('Loan CF'!C1920:L1920)</f>
        <v>0</v>
      </c>
      <c r="P121" s="99" t="n">
        <f aca="false">SUM('Loan CF'!C1011:L1011)+SUM('Loan CF'!C1314:L1314)+SUM('Loan CF'!C1617:L1617)</f>
        <v>0</v>
      </c>
      <c r="Q121" s="99" t="n">
        <f aca="false">SUM('Loan CF'!C2223:L2223)</f>
        <v>0</v>
      </c>
      <c r="R121" s="99" t="n">
        <f aca="false">SUM('Loan CF'!C1314:L1314)*Prepay_Pen</f>
        <v>0</v>
      </c>
      <c r="S121" s="99" t="n">
        <f aca="false">'Loan CF'!$C2526</f>
        <v>0</v>
      </c>
      <c r="T121" s="99" t="n">
        <f aca="false">SUM(O121:S121)</f>
        <v>0</v>
      </c>
      <c r="U121" s="99" t="n">
        <f aca="false">SUM('Loan CF'!C708:L708)</f>
        <v>0</v>
      </c>
      <c r="V121" s="99" t="n">
        <f aca="false">U121*Sev</f>
        <v>0</v>
      </c>
      <c r="W121" s="99" t="n">
        <f aca="false">T121-K121</f>
        <v>0</v>
      </c>
      <c r="X121" s="106" t="str">
        <f aca="false">IFERROR(IRR('Loan CF'!C2829:M2829),"-")</f>
        <v>-</v>
      </c>
      <c r="Y121" s="107" t="str">
        <f aca="false">IFERROR(T121/K121,"-")</f>
        <v>-</v>
      </c>
      <c r="Z121" s="99" t="n">
        <f aca="false">'Loan Tape'!$BC98</f>
        <v>0</v>
      </c>
      <c r="AA121" s="99" t="n">
        <f aca="false">'Loan Tape'!$BE98</f>
        <v>0</v>
      </c>
      <c r="AB121" s="99" t="n">
        <f aca="false">SUM('Loan CF'!D3738:M3738)-AA121</f>
        <v>0</v>
      </c>
      <c r="AC121" s="106" t="str">
        <f aca="false">IFERROR(IRR('Loan CF'!C3738:M3738),"-")</f>
        <v>-</v>
      </c>
      <c r="AD121" s="107" t="str">
        <f aca="false">IFERROR(SUM('Loan CF'!D3738:M3738)/AA121,"-")</f>
        <v>-</v>
      </c>
    </row>
    <row r="122" customFormat="false" ht="15" hidden="false" customHeight="false" outlineLevel="0" collapsed="false">
      <c r="B122" s="108" t="str">
        <f aca="false">IF('Loan Tape'!$A99="","",'Loan Tape'!$A99)</f>
        <v/>
      </c>
      <c r="C122" s="108" t="str">
        <f aca="false">IF('Loan Tape'!$A99="","",'Loan Tape'!$B99)</f>
        <v/>
      </c>
      <c r="D122" s="108" t="str">
        <f aca="false">IF('Loan Tape'!$A99="","",'Loan Tape'!$C99)</f>
        <v/>
      </c>
      <c r="E122" s="108" t="str">
        <f aca="false">IF('Loan Tape'!$A99="","",'Loan Tape'!$D99)</f>
        <v/>
      </c>
      <c r="F122" s="108" t="str">
        <f aca="false">IF('Loan Tape'!$A99="","",'Loan Tape'!$E99)</f>
        <v/>
      </c>
      <c r="G122" s="26" t="n">
        <f aca="false">'Loan Tape'!$AN99</f>
        <v>0</v>
      </c>
      <c r="H122" s="71" t="n">
        <f aca="false">'Loan Tape'!$R99*'Loan Tape'!$AN99</f>
        <v>0</v>
      </c>
      <c r="I122" s="56" t="n">
        <f aca="false">'Loan Tape'!$AO99</f>
        <v>0</v>
      </c>
      <c r="J122" s="71" t="n">
        <f aca="false">'Loan Tape'!$AY99</f>
        <v>0</v>
      </c>
      <c r="K122" s="71" t="n">
        <f aca="false">'Loan Tape'!$BB99</f>
        <v>0</v>
      </c>
      <c r="L122" s="56" t="n">
        <f aca="false">'Loan CF'!C406</f>
        <v>0</v>
      </c>
      <c r="M122" s="70" t="n">
        <f aca="false">'Loan Tape'!$AS99*'Loan Tape'!$AN99</f>
        <v>0</v>
      </c>
      <c r="N122" s="70" t="n">
        <f aca="false">IFERROR(SUMPRODUCT(('Loan CF'!$C$916:$L$916-0.5)*('Loan CF'!C1012:L1012+'Loan CF'!C1315:L1315+'Loan CF'!C1618:L1618))/(SUM('Loan CF'!C1012:L1012)+SUM('Loan CF'!C1315:L1315)+SUM('Loan CF'!C1618:L1618)),0)</f>
        <v>0</v>
      </c>
      <c r="O122" s="71" t="n">
        <f aca="false">SUM('Loan CF'!C1921:L1921)</f>
        <v>0</v>
      </c>
      <c r="P122" s="71" t="n">
        <f aca="false">SUM('Loan CF'!C1012:L1012)+SUM('Loan CF'!C1315:L1315)+SUM('Loan CF'!C1618:L1618)</f>
        <v>0</v>
      </c>
      <c r="Q122" s="71" t="n">
        <f aca="false">SUM('Loan CF'!C2224:L2224)</f>
        <v>0</v>
      </c>
      <c r="R122" s="71" t="n">
        <f aca="false">SUM('Loan CF'!C1315:L1315)*Prepay_Pen</f>
        <v>0</v>
      </c>
      <c r="S122" s="71" t="n">
        <f aca="false">'Loan CF'!$C2527</f>
        <v>0</v>
      </c>
      <c r="T122" s="71" t="n">
        <f aca="false">SUM(O122:S122)</f>
        <v>0</v>
      </c>
      <c r="U122" s="71" t="n">
        <f aca="false">SUM('Loan CF'!C709:L709)</f>
        <v>0</v>
      </c>
      <c r="V122" s="71" t="n">
        <f aca="false">U122*Sev</f>
        <v>0</v>
      </c>
      <c r="W122" s="71" t="n">
        <f aca="false">T122-K122</f>
        <v>0</v>
      </c>
      <c r="X122" s="109" t="str">
        <f aca="false">IFERROR(IRR('Loan CF'!C2830:M2830),"-")</f>
        <v>-</v>
      </c>
      <c r="Y122" s="110" t="str">
        <f aca="false">IFERROR(T122/K122,"-")</f>
        <v>-</v>
      </c>
      <c r="Z122" s="71" t="n">
        <f aca="false">'Loan Tape'!$BC99</f>
        <v>0</v>
      </c>
      <c r="AA122" s="71" t="n">
        <f aca="false">'Loan Tape'!$BE99</f>
        <v>0</v>
      </c>
      <c r="AB122" s="71" t="n">
        <f aca="false">SUM('Loan CF'!D3739:M3739)-AA122</f>
        <v>0</v>
      </c>
      <c r="AC122" s="109" t="str">
        <f aca="false">IFERROR(IRR('Loan CF'!C3739:M3739),"-")</f>
        <v>-</v>
      </c>
      <c r="AD122" s="110" t="str">
        <f aca="false">IFERROR(SUM('Loan CF'!D3739:M3739)/AA122,"-")</f>
        <v>-</v>
      </c>
    </row>
    <row r="123" customFormat="false" ht="15" hidden="false" customHeight="false" outlineLevel="0" collapsed="false">
      <c r="B123" s="102" t="str">
        <f aca="false">IF('Loan Tape'!$A100="","",'Loan Tape'!$A100)</f>
        <v/>
      </c>
      <c r="C123" s="102" t="str">
        <f aca="false">IF('Loan Tape'!$A100="","",'Loan Tape'!$B100)</f>
        <v/>
      </c>
      <c r="D123" s="102" t="str">
        <f aca="false">IF('Loan Tape'!$A100="","",'Loan Tape'!$C100)</f>
        <v/>
      </c>
      <c r="E123" s="102" t="str">
        <f aca="false">IF('Loan Tape'!$A100="","",'Loan Tape'!$D100)</f>
        <v/>
      </c>
      <c r="F123" s="102" t="str">
        <f aca="false">IF('Loan Tape'!$A100="","",'Loan Tape'!$E100)</f>
        <v/>
      </c>
      <c r="G123" s="103" t="n">
        <f aca="false">'Loan Tape'!$AN100</f>
        <v>0</v>
      </c>
      <c r="H123" s="99" t="n">
        <f aca="false">'Loan Tape'!$R100*'Loan Tape'!$AN100</f>
        <v>0</v>
      </c>
      <c r="I123" s="104" t="n">
        <f aca="false">'Loan Tape'!$AO100</f>
        <v>0</v>
      </c>
      <c r="J123" s="99" t="n">
        <f aca="false">'Loan Tape'!$AY100</f>
        <v>0</v>
      </c>
      <c r="K123" s="99" t="n">
        <f aca="false">'Loan Tape'!$BB100</f>
        <v>0</v>
      </c>
      <c r="L123" s="104" t="n">
        <f aca="false">'Loan CF'!C407</f>
        <v>0</v>
      </c>
      <c r="M123" s="105" t="n">
        <f aca="false">'Loan Tape'!$AS100*'Loan Tape'!$AN100</f>
        <v>0</v>
      </c>
      <c r="N123" s="105" t="n">
        <f aca="false">IFERROR(SUMPRODUCT(('Loan CF'!$C$916:$L$916-0.5)*('Loan CF'!C1013:L1013+'Loan CF'!C1316:L1316+'Loan CF'!C1619:L1619))/(SUM('Loan CF'!C1013:L1013)+SUM('Loan CF'!C1316:L1316)+SUM('Loan CF'!C1619:L1619)),0)</f>
        <v>0</v>
      </c>
      <c r="O123" s="99" t="n">
        <f aca="false">SUM('Loan CF'!C1922:L1922)</f>
        <v>0</v>
      </c>
      <c r="P123" s="99" t="n">
        <f aca="false">SUM('Loan CF'!C1013:L1013)+SUM('Loan CF'!C1316:L1316)+SUM('Loan CF'!C1619:L1619)</f>
        <v>0</v>
      </c>
      <c r="Q123" s="99" t="n">
        <f aca="false">SUM('Loan CF'!C2225:L2225)</f>
        <v>0</v>
      </c>
      <c r="R123" s="99" t="n">
        <f aca="false">SUM('Loan CF'!C1316:L1316)*Prepay_Pen</f>
        <v>0</v>
      </c>
      <c r="S123" s="99" t="n">
        <f aca="false">'Loan CF'!$C2528</f>
        <v>0</v>
      </c>
      <c r="T123" s="99" t="n">
        <f aca="false">SUM(O123:S123)</f>
        <v>0</v>
      </c>
      <c r="U123" s="99" t="n">
        <f aca="false">SUM('Loan CF'!C710:L710)</f>
        <v>0</v>
      </c>
      <c r="V123" s="99" t="n">
        <f aca="false">U123*Sev</f>
        <v>0</v>
      </c>
      <c r="W123" s="99" t="n">
        <f aca="false">T123-K123</f>
        <v>0</v>
      </c>
      <c r="X123" s="106" t="str">
        <f aca="false">IFERROR(IRR('Loan CF'!C2831:M2831),"-")</f>
        <v>-</v>
      </c>
      <c r="Y123" s="107" t="str">
        <f aca="false">IFERROR(T123/K123,"-")</f>
        <v>-</v>
      </c>
      <c r="Z123" s="99" t="n">
        <f aca="false">'Loan Tape'!$BC100</f>
        <v>0</v>
      </c>
      <c r="AA123" s="99" t="n">
        <f aca="false">'Loan Tape'!$BE100</f>
        <v>0</v>
      </c>
      <c r="AB123" s="99" t="n">
        <f aca="false">SUM('Loan CF'!D3740:M3740)-AA123</f>
        <v>0</v>
      </c>
      <c r="AC123" s="106" t="str">
        <f aca="false">IFERROR(IRR('Loan CF'!C3740:M3740),"-")</f>
        <v>-</v>
      </c>
      <c r="AD123" s="107" t="str">
        <f aca="false">IFERROR(SUM('Loan CF'!D3740:M3740)/AA123,"-")</f>
        <v>-</v>
      </c>
    </row>
    <row r="124" customFormat="false" ht="15" hidden="false" customHeight="false" outlineLevel="0" collapsed="false">
      <c r="B124" s="108" t="str">
        <f aca="false">IF('Loan Tape'!$A101="","",'Loan Tape'!$A101)</f>
        <v/>
      </c>
      <c r="C124" s="108" t="str">
        <f aca="false">IF('Loan Tape'!$A101="","",'Loan Tape'!$B101)</f>
        <v/>
      </c>
      <c r="D124" s="108" t="str">
        <f aca="false">IF('Loan Tape'!$A101="","",'Loan Tape'!$C101)</f>
        <v/>
      </c>
      <c r="E124" s="108" t="str">
        <f aca="false">IF('Loan Tape'!$A101="","",'Loan Tape'!$D101)</f>
        <v/>
      </c>
      <c r="F124" s="108" t="str">
        <f aca="false">IF('Loan Tape'!$A101="","",'Loan Tape'!$E101)</f>
        <v/>
      </c>
      <c r="G124" s="26" t="n">
        <f aca="false">'Loan Tape'!$AN101</f>
        <v>0</v>
      </c>
      <c r="H124" s="71" t="n">
        <f aca="false">'Loan Tape'!$R101*'Loan Tape'!$AN101</f>
        <v>0</v>
      </c>
      <c r="I124" s="56" t="n">
        <f aca="false">'Loan Tape'!$AO101</f>
        <v>0</v>
      </c>
      <c r="J124" s="71" t="n">
        <f aca="false">'Loan Tape'!$AY101</f>
        <v>0</v>
      </c>
      <c r="K124" s="71" t="n">
        <f aca="false">'Loan Tape'!$BB101</f>
        <v>0</v>
      </c>
      <c r="L124" s="56" t="n">
        <f aca="false">'Loan CF'!C408</f>
        <v>0</v>
      </c>
      <c r="M124" s="70" t="n">
        <f aca="false">'Loan Tape'!$AS101*'Loan Tape'!$AN101</f>
        <v>0</v>
      </c>
      <c r="N124" s="70" t="n">
        <f aca="false">IFERROR(SUMPRODUCT(('Loan CF'!$C$916:$L$916-0.5)*('Loan CF'!C1014:L1014+'Loan CF'!C1317:L1317+'Loan CF'!C1620:L1620))/(SUM('Loan CF'!C1014:L1014)+SUM('Loan CF'!C1317:L1317)+SUM('Loan CF'!C1620:L1620)),0)</f>
        <v>0</v>
      </c>
      <c r="O124" s="71" t="n">
        <f aca="false">SUM('Loan CF'!C1923:L1923)</f>
        <v>0</v>
      </c>
      <c r="P124" s="71" t="n">
        <f aca="false">SUM('Loan CF'!C1014:L1014)+SUM('Loan CF'!C1317:L1317)+SUM('Loan CF'!C1620:L1620)</f>
        <v>0</v>
      </c>
      <c r="Q124" s="71" t="n">
        <f aca="false">SUM('Loan CF'!C2226:L2226)</f>
        <v>0</v>
      </c>
      <c r="R124" s="71" t="n">
        <f aca="false">SUM('Loan CF'!C1317:L1317)*Prepay_Pen</f>
        <v>0</v>
      </c>
      <c r="S124" s="71" t="n">
        <f aca="false">'Loan CF'!$C2529</f>
        <v>0</v>
      </c>
      <c r="T124" s="71" t="n">
        <f aca="false">SUM(O124:S124)</f>
        <v>0</v>
      </c>
      <c r="U124" s="71" t="n">
        <f aca="false">SUM('Loan CF'!C711:L711)</f>
        <v>0</v>
      </c>
      <c r="V124" s="71" t="n">
        <f aca="false">U124*Sev</f>
        <v>0</v>
      </c>
      <c r="W124" s="71" t="n">
        <f aca="false">T124-K124</f>
        <v>0</v>
      </c>
      <c r="X124" s="109" t="str">
        <f aca="false">IFERROR(IRR('Loan CF'!C2832:M2832),"-")</f>
        <v>-</v>
      </c>
      <c r="Y124" s="110" t="str">
        <f aca="false">IFERROR(T124/K124,"-")</f>
        <v>-</v>
      </c>
      <c r="Z124" s="71" t="n">
        <f aca="false">'Loan Tape'!$BC101</f>
        <v>0</v>
      </c>
      <c r="AA124" s="71" t="n">
        <f aca="false">'Loan Tape'!$BE101</f>
        <v>0</v>
      </c>
      <c r="AB124" s="71" t="n">
        <f aca="false">SUM('Loan CF'!D3741:M3741)-AA124</f>
        <v>0</v>
      </c>
      <c r="AC124" s="109" t="str">
        <f aca="false">IFERROR(IRR('Loan CF'!C3741:M3741),"-")</f>
        <v>-</v>
      </c>
      <c r="AD124" s="110" t="str">
        <f aca="false">IFERROR(SUM('Loan CF'!D3741:M3741)/AA124,"-")</f>
        <v>-</v>
      </c>
    </row>
    <row r="125" customFormat="false" ht="15" hidden="false" customHeight="false" outlineLevel="0" collapsed="false">
      <c r="B125" s="102" t="str">
        <f aca="false">IF('Loan Tape'!$A102="","",'Loan Tape'!$A102)</f>
        <v/>
      </c>
      <c r="C125" s="102" t="str">
        <f aca="false">IF('Loan Tape'!$A102="","",'Loan Tape'!$B102)</f>
        <v/>
      </c>
      <c r="D125" s="102" t="str">
        <f aca="false">IF('Loan Tape'!$A102="","",'Loan Tape'!$C102)</f>
        <v/>
      </c>
      <c r="E125" s="102" t="str">
        <f aca="false">IF('Loan Tape'!$A102="","",'Loan Tape'!$D102)</f>
        <v/>
      </c>
      <c r="F125" s="102" t="str">
        <f aca="false">IF('Loan Tape'!$A102="","",'Loan Tape'!$E102)</f>
        <v/>
      </c>
      <c r="G125" s="103" t="n">
        <f aca="false">'Loan Tape'!$AN102</f>
        <v>0</v>
      </c>
      <c r="H125" s="99" t="n">
        <f aca="false">'Loan Tape'!$R102*'Loan Tape'!$AN102</f>
        <v>0</v>
      </c>
      <c r="I125" s="104" t="n">
        <f aca="false">'Loan Tape'!$AO102</f>
        <v>0</v>
      </c>
      <c r="J125" s="99" t="n">
        <f aca="false">'Loan Tape'!$AY102</f>
        <v>0</v>
      </c>
      <c r="K125" s="99" t="n">
        <f aca="false">'Loan Tape'!$BB102</f>
        <v>0</v>
      </c>
      <c r="L125" s="104" t="n">
        <f aca="false">'Loan CF'!C409</f>
        <v>0</v>
      </c>
      <c r="M125" s="105" t="n">
        <f aca="false">'Loan Tape'!$AS102*'Loan Tape'!$AN102</f>
        <v>0</v>
      </c>
      <c r="N125" s="105" t="n">
        <f aca="false">IFERROR(SUMPRODUCT(('Loan CF'!$C$916:$L$916-0.5)*('Loan CF'!C1015:L1015+'Loan CF'!C1318:L1318+'Loan CF'!C1621:L1621))/(SUM('Loan CF'!C1015:L1015)+SUM('Loan CF'!C1318:L1318)+SUM('Loan CF'!C1621:L1621)),0)</f>
        <v>0</v>
      </c>
      <c r="O125" s="99" t="n">
        <f aca="false">SUM('Loan CF'!C1924:L1924)</f>
        <v>0</v>
      </c>
      <c r="P125" s="99" t="n">
        <f aca="false">SUM('Loan CF'!C1015:L1015)+SUM('Loan CF'!C1318:L1318)+SUM('Loan CF'!C1621:L1621)</f>
        <v>0</v>
      </c>
      <c r="Q125" s="99" t="n">
        <f aca="false">SUM('Loan CF'!C2227:L2227)</f>
        <v>0</v>
      </c>
      <c r="R125" s="99" t="n">
        <f aca="false">SUM('Loan CF'!C1318:L1318)*Prepay_Pen</f>
        <v>0</v>
      </c>
      <c r="S125" s="99" t="n">
        <f aca="false">'Loan CF'!$C2530</f>
        <v>0</v>
      </c>
      <c r="T125" s="99" t="n">
        <f aca="false">SUM(O125:S125)</f>
        <v>0</v>
      </c>
      <c r="U125" s="99" t="n">
        <f aca="false">SUM('Loan CF'!C712:L712)</f>
        <v>0</v>
      </c>
      <c r="V125" s="99" t="n">
        <f aca="false">U125*Sev</f>
        <v>0</v>
      </c>
      <c r="W125" s="99" t="n">
        <f aca="false">T125-K125</f>
        <v>0</v>
      </c>
      <c r="X125" s="106" t="str">
        <f aca="false">IFERROR(IRR('Loan CF'!C2833:M2833),"-")</f>
        <v>-</v>
      </c>
      <c r="Y125" s="107" t="str">
        <f aca="false">IFERROR(T125/K125,"-")</f>
        <v>-</v>
      </c>
      <c r="Z125" s="99" t="n">
        <f aca="false">'Loan Tape'!$BC102</f>
        <v>0</v>
      </c>
      <c r="AA125" s="99" t="n">
        <f aca="false">'Loan Tape'!$BE102</f>
        <v>0</v>
      </c>
      <c r="AB125" s="99" t="n">
        <f aca="false">SUM('Loan CF'!D3742:M3742)-AA125</f>
        <v>0</v>
      </c>
      <c r="AC125" s="106" t="str">
        <f aca="false">IFERROR(IRR('Loan CF'!C3742:M3742),"-")</f>
        <v>-</v>
      </c>
      <c r="AD125" s="107" t="str">
        <f aca="false">IFERROR(SUM('Loan CF'!D3742:M3742)/AA125,"-")</f>
        <v>-</v>
      </c>
    </row>
    <row r="126" customFormat="false" ht="15" hidden="false" customHeight="false" outlineLevel="0" collapsed="false">
      <c r="B126" s="108" t="str">
        <f aca="false">IF('Loan Tape'!$A103="","",'Loan Tape'!$A103)</f>
        <v/>
      </c>
      <c r="C126" s="108" t="str">
        <f aca="false">IF('Loan Tape'!$A103="","",'Loan Tape'!$B103)</f>
        <v/>
      </c>
      <c r="D126" s="108" t="str">
        <f aca="false">IF('Loan Tape'!$A103="","",'Loan Tape'!$C103)</f>
        <v/>
      </c>
      <c r="E126" s="108" t="str">
        <f aca="false">IF('Loan Tape'!$A103="","",'Loan Tape'!$D103)</f>
        <v/>
      </c>
      <c r="F126" s="108" t="str">
        <f aca="false">IF('Loan Tape'!$A103="","",'Loan Tape'!$E103)</f>
        <v/>
      </c>
      <c r="G126" s="26" t="n">
        <f aca="false">'Loan Tape'!$AN103</f>
        <v>0</v>
      </c>
      <c r="H126" s="71" t="n">
        <f aca="false">'Loan Tape'!$R103*'Loan Tape'!$AN103</f>
        <v>0</v>
      </c>
      <c r="I126" s="56" t="n">
        <f aca="false">'Loan Tape'!$AO103</f>
        <v>0</v>
      </c>
      <c r="J126" s="71" t="n">
        <f aca="false">'Loan Tape'!$AY103</f>
        <v>0</v>
      </c>
      <c r="K126" s="71" t="n">
        <f aca="false">'Loan Tape'!$BB103</f>
        <v>0</v>
      </c>
      <c r="L126" s="56" t="n">
        <f aca="false">'Loan CF'!C410</f>
        <v>0</v>
      </c>
      <c r="M126" s="70" t="n">
        <f aca="false">'Loan Tape'!$AS103*'Loan Tape'!$AN103</f>
        <v>0</v>
      </c>
      <c r="N126" s="70" t="n">
        <f aca="false">IFERROR(SUMPRODUCT(('Loan CF'!$C$916:$L$916-0.5)*('Loan CF'!C1016:L1016+'Loan CF'!C1319:L1319+'Loan CF'!C1622:L1622))/(SUM('Loan CF'!C1016:L1016)+SUM('Loan CF'!C1319:L1319)+SUM('Loan CF'!C1622:L1622)),0)</f>
        <v>0</v>
      </c>
      <c r="O126" s="71" t="n">
        <f aca="false">SUM('Loan CF'!C1925:L1925)</f>
        <v>0</v>
      </c>
      <c r="P126" s="71" t="n">
        <f aca="false">SUM('Loan CF'!C1016:L1016)+SUM('Loan CF'!C1319:L1319)+SUM('Loan CF'!C1622:L1622)</f>
        <v>0</v>
      </c>
      <c r="Q126" s="71" t="n">
        <f aca="false">SUM('Loan CF'!C2228:L2228)</f>
        <v>0</v>
      </c>
      <c r="R126" s="71" t="n">
        <f aca="false">SUM('Loan CF'!C1319:L1319)*Prepay_Pen</f>
        <v>0</v>
      </c>
      <c r="S126" s="71" t="n">
        <f aca="false">'Loan CF'!$C2531</f>
        <v>0</v>
      </c>
      <c r="T126" s="71" t="n">
        <f aca="false">SUM(O126:S126)</f>
        <v>0</v>
      </c>
      <c r="U126" s="71" t="n">
        <f aca="false">SUM('Loan CF'!C713:L713)</f>
        <v>0</v>
      </c>
      <c r="V126" s="71" t="n">
        <f aca="false">U126*Sev</f>
        <v>0</v>
      </c>
      <c r="W126" s="71" t="n">
        <f aca="false">T126-K126</f>
        <v>0</v>
      </c>
      <c r="X126" s="109" t="str">
        <f aca="false">IFERROR(IRR('Loan CF'!C2834:M2834),"-")</f>
        <v>-</v>
      </c>
      <c r="Y126" s="110" t="str">
        <f aca="false">IFERROR(T126/K126,"-")</f>
        <v>-</v>
      </c>
      <c r="Z126" s="71" t="n">
        <f aca="false">'Loan Tape'!$BC103</f>
        <v>0</v>
      </c>
      <c r="AA126" s="71" t="n">
        <f aca="false">'Loan Tape'!$BE103</f>
        <v>0</v>
      </c>
      <c r="AB126" s="71" t="n">
        <f aca="false">SUM('Loan CF'!D3743:M3743)-AA126</f>
        <v>0</v>
      </c>
      <c r="AC126" s="109" t="str">
        <f aca="false">IFERROR(IRR('Loan CF'!C3743:M3743),"-")</f>
        <v>-</v>
      </c>
      <c r="AD126" s="110" t="str">
        <f aca="false">IFERROR(SUM('Loan CF'!D3743:M3743)/AA126,"-")</f>
        <v>-</v>
      </c>
    </row>
    <row r="127" customFormat="false" ht="15" hidden="false" customHeight="false" outlineLevel="0" collapsed="false">
      <c r="B127" s="102" t="str">
        <f aca="false">IF('Loan Tape'!$A104="","",'Loan Tape'!$A104)</f>
        <v/>
      </c>
      <c r="C127" s="102" t="str">
        <f aca="false">IF('Loan Tape'!$A104="","",'Loan Tape'!$B104)</f>
        <v/>
      </c>
      <c r="D127" s="102" t="str">
        <f aca="false">IF('Loan Tape'!$A104="","",'Loan Tape'!$C104)</f>
        <v/>
      </c>
      <c r="E127" s="102" t="str">
        <f aca="false">IF('Loan Tape'!$A104="","",'Loan Tape'!$D104)</f>
        <v/>
      </c>
      <c r="F127" s="102" t="str">
        <f aca="false">IF('Loan Tape'!$A104="","",'Loan Tape'!$E104)</f>
        <v/>
      </c>
      <c r="G127" s="103" t="n">
        <f aca="false">'Loan Tape'!$AN104</f>
        <v>0</v>
      </c>
      <c r="H127" s="99" t="n">
        <f aca="false">'Loan Tape'!$R104*'Loan Tape'!$AN104</f>
        <v>0</v>
      </c>
      <c r="I127" s="104" t="n">
        <f aca="false">'Loan Tape'!$AO104</f>
        <v>0</v>
      </c>
      <c r="J127" s="99" t="n">
        <f aca="false">'Loan Tape'!$AY104</f>
        <v>0</v>
      </c>
      <c r="K127" s="99" t="n">
        <f aca="false">'Loan Tape'!$BB104</f>
        <v>0</v>
      </c>
      <c r="L127" s="104" t="n">
        <f aca="false">'Loan CF'!C411</f>
        <v>0</v>
      </c>
      <c r="M127" s="105" t="n">
        <f aca="false">'Loan Tape'!$AS104*'Loan Tape'!$AN104</f>
        <v>0</v>
      </c>
      <c r="N127" s="105" t="n">
        <f aca="false">IFERROR(SUMPRODUCT(('Loan CF'!$C$916:$L$916-0.5)*('Loan CF'!C1017:L1017+'Loan CF'!C1320:L1320+'Loan CF'!C1623:L1623))/(SUM('Loan CF'!C1017:L1017)+SUM('Loan CF'!C1320:L1320)+SUM('Loan CF'!C1623:L1623)),0)</f>
        <v>0</v>
      </c>
      <c r="O127" s="99" t="n">
        <f aca="false">SUM('Loan CF'!C1926:L1926)</f>
        <v>0</v>
      </c>
      <c r="P127" s="99" t="n">
        <f aca="false">SUM('Loan CF'!C1017:L1017)+SUM('Loan CF'!C1320:L1320)+SUM('Loan CF'!C1623:L1623)</f>
        <v>0</v>
      </c>
      <c r="Q127" s="99" t="n">
        <f aca="false">SUM('Loan CF'!C2229:L2229)</f>
        <v>0</v>
      </c>
      <c r="R127" s="99" t="n">
        <f aca="false">SUM('Loan CF'!C1320:L1320)*Prepay_Pen</f>
        <v>0</v>
      </c>
      <c r="S127" s="99" t="n">
        <f aca="false">'Loan CF'!$C2532</f>
        <v>0</v>
      </c>
      <c r="T127" s="99" t="n">
        <f aca="false">SUM(O127:S127)</f>
        <v>0</v>
      </c>
      <c r="U127" s="99" t="n">
        <f aca="false">SUM('Loan CF'!C714:L714)</f>
        <v>0</v>
      </c>
      <c r="V127" s="99" t="n">
        <f aca="false">U127*Sev</f>
        <v>0</v>
      </c>
      <c r="W127" s="99" t="n">
        <f aca="false">T127-K127</f>
        <v>0</v>
      </c>
      <c r="X127" s="106" t="str">
        <f aca="false">IFERROR(IRR('Loan CF'!C2835:M2835),"-")</f>
        <v>-</v>
      </c>
      <c r="Y127" s="107" t="str">
        <f aca="false">IFERROR(T127/K127,"-")</f>
        <v>-</v>
      </c>
      <c r="Z127" s="99" t="n">
        <f aca="false">'Loan Tape'!$BC104</f>
        <v>0</v>
      </c>
      <c r="AA127" s="99" t="n">
        <f aca="false">'Loan Tape'!$BE104</f>
        <v>0</v>
      </c>
      <c r="AB127" s="99" t="n">
        <f aca="false">SUM('Loan CF'!D3744:M3744)-AA127</f>
        <v>0</v>
      </c>
      <c r="AC127" s="106" t="str">
        <f aca="false">IFERROR(IRR('Loan CF'!C3744:M3744),"-")</f>
        <v>-</v>
      </c>
      <c r="AD127" s="107" t="str">
        <f aca="false">IFERROR(SUM('Loan CF'!D3744:M3744)/AA127,"-")</f>
        <v>-</v>
      </c>
    </row>
    <row r="128" customFormat="false" ht="15" hidden="false" customHeight="false" outlineLevel="0" collapsed="false">
      <c r="B128" s="108" t="str">
        <f aca="false">IF('Loan Tape'!$A105="","",'Loan Tape'!$A105)</f>
        <v/>
      </c>
      <c r="C128" s="108" t="str">
        <f aca="false">IF('Loan Tape'!$A105="","",'Loan Tape'!$B105)</f>
        <v/>
      </c>
      <c r="D128" s="108" t="str">
        <f aca="false">IF('Loan Tape'!$A105="","",'Loan Tape'!$C105)</f>
        <v/>
      </c>
      <c r="E128" s="108" t="str">
        <f aca="false">IF('Loan Tape'!$A105="","",'Loan Tape'!$D105)</f>
        <v/>
      </c>
      <c r="F128" s="108" t="str">
        <f aca="false">IF('Loan Tape'!$A105="","",'Loan Tape'!$E105)</f>
        <v/>
      </c>
      <c r="G128" s="26" t="n">
        <f aca="false">'Loan Tape'!$AN105</f>
        <v>0</v>
      </c>
      <c r="H128" s="71" t="n">
        <f aca="false">'Loan Tape'!$R105*'Loan Tape'!$AN105</f>
        <v>0</v>
      </c>
      <c r="I128" s="56" t="n">
        <f aca="false">'Loan Tape'!$AO105</f>
        <v>0</v>
      </c>
      <c r="J128" s="71" t="n">
        <f aca="false">'Loan Tape'!$AY105</f>
        <v>0</v>
      </c>
      <c r="K128" s="71" t="n">
        <f aca="false">'Loan Tape'!$BB105</f>
        <v>0</v>
      </c>
      <c r="L128" s="56" t="n">
        <f aca="false">'Loan CF'!C412</f>
        <v>0</v>
      </c>
      <c r="M128" s="70" t="n">
        <f aca="false">'Loan Tape'!$AS105*'Loan Tape'!$AN105</f>
        <v>0</v>
      </c>
      <c r="N128" s="70" t="n">
        <f aca="false">IFERROR(SUMPRODUCT(('Loan CF'!$C$916:$L$916-0.5)*('Loan CF'!C1018:L1018+'Loan CF'!C1321:L1321+'Loan CF'!C1624:L1624))/(SUM('Loan CF'!C1018:L1018)+SUM('Loan CF'!C1321:L1321)+SUM('Loan CF'!C1624:L1624)),0)</f>
        <v>0</v>
      </c>
      <c r="O128" s="71" t="n">
        <f aca="false">SUM('Loan CF'!C1927:L1927)</f>
        <v>0</v>
      </c>
      <c r="P128" s="71" t="n">
        <f aca="false">SUM('Loan CF'!C1018:L1018)+SUM('Loan CF'!C1321:L1321)+SUM('Loan CF'!C1624:L1624)</f>
        <v>0</v>
      </c>
      <c r="Q128" s="71" t="n">
        <f aca="false">SUM('Loan CF'!C2230:L2230)</f>
        <v>0</v>
      </c>
      <c r="R128" s="71" t="n">
        <f aca="false">SUM('Loan CF'!C1321:L1321)*Prepay_Pen</f>
        <v>0</v>
      </c>
      <c r="S128" s="71" t="n">
        <f aca="false">'Loan CF'!$C2533</f>
        <v>0</v>
      </c>
      <c r="T128" s="71" t="n">
        <f aca="false">SUM(O128:S128)</f>
        <v>0</v>
      </c>
      <c r="U128" s="71" t="n">
        <f aca="false">SUM('Loan CF'!C715:L715)</f>
        <v>0</v>
      </c>
      <c r="V128" s="71" t="n">
        <f aca="false">U128*Sev</f>
        <v>0</v>
      </c>
      <c r="W128" s="71" t="n">
        <f aca="false">T128-K128</f>
        <v>0</v>
      </c>
      <c r="X128" s="109" t="str">
        <f aca="false">IFERROR(IRR('Loan CF'!C2836:M2836),"-")</f>
        <v>-</v>
      </c>
      <c r="Y128" s="110" t="str">
        <f aca="false">IFERROR(T128/K128,"-")</f>
        <v>-</v>
      </c>
      <c r="Z128" s="71" t="n">
        <f aca="false">'Loan Tape'!$BC105</f>
        <v>0</v>
      </c>
      <c r="AA128" s="71" t="n">
        <f aca="false">'Loan Tape'!$BE105</f>
        <v>0</v>
      </c>
      <c r="AB128" s="71" t="n">
        <f aca="false">SUM('Loan CF'!D3745:M3745)-AA128</f>
        <v>0</v>
      </c>
      <c r="AC128" s="109" t="str">
        <f aca="false">IFERROR(IRR('Loan CF'!C3745:M3745),"-")</f>
        <v>-</v>
      </c>
      <c r="AD128" s="110" t="str">
        <f aca="false">IFERROR(SUM('Loan CF'!D3745:M3745)/AA128,"-")</f>
        <v>-</v>
      </c>
    </row>
    <row r="129" customFormat="false" ht="15" hidden="false" customHeight="false" outlineLevel="0" collapsed="false">
      <c r="B129" s="102" t="str">
        <f aca="false">IF('Loan Tape'!$A106="","",'Loan Tape'!$A106)</f>
        <v/>
      </c>
      <c r="C129" s="102" t="str">
        <f aca="false">IF('Loan Tape'!$A106="","",'Loan Tape'!$B106)</f>
        <v/>
      </c>
      <c r="D129" s="102" t="str">
        <f aca="false">IF('Loan Tape'!$A106="","",'Loan Tape'!$C106)</f>
        <v/>
      </c>
      <c r="E129" s="102" t="str">
        <f aca="false">IF('Loan Tape'!$A106="","",'Loan Tape'!$D106)</f>
        <v/>
      </c>
      <c r="F129" s="102" t="str">
        <f aca="false">IF('Loan Tape'!$A106="","",'Loan Tape'!$E106)</f>
        <v/>
      </c>
      <c r="G129" s="103" t="n">
        <f aca="false">'Loan Tape'!$AN106</f>
        <v>0</v>
      </c>
      <c r="H129" s="99" t="n">
        <f aca="false">'Loan Tape'!$R106*'Loan Tape'!$AN106</f>
        <v>0</v>
      </c>
      <c r="I129" s="104" t="n">
        <f aca="false">'Loan Tape'!$AO106</f>
        <v>0</v>
      </c>
      <c r="J129" s="99" t="n">
        <f aca="false">'Loan Tape'!$AY106</f>
        <v>0</v>
      </c>
      <c r="K129" s="99" t="n">
        <f aca="false">'Loan Tape'!$BB106</f>
        <v>0</v>
      </c>
      <c r="L129" s="104" t="n">
        <f aca="false">'Loan CF'!C413</f>
        <v>0</v>
      </c>
      <c r="M129" s="105" t="n">
        <f aca="false">'Loan Tape'!$AS106*'Loan Tape'!$AN106</f>
        <v>0</v>
      </c>
      <c r="N129" s="105" t="n">
        <f aca="false">IFERROR(SUMPRODUCT(('Loan CF'!$C$916:$L$916-0.5)*('Loan CF'!C1019:L1019+'Loan CF'!C1322:L1322+'Loan CF'!C1625:L1625))/(SUM('Loan CF'!C1019:L1019)+SUM('Loan CF'!C1322:L1322)+SUM('Loan CF'!C1625:L1625)),0)</f>
        <v>0</v>
      </c>
      <c r="O129" s="99" t="n">
        <f aca="false">SUM('Loan CF'!C1928:L1928)</f>
        <v>0</v>
      </c>
      <c r="P129" s="99" t="n">
        <f aca="false">SUM('Loan CF'!C1019:L1019)+SUM('Loan CF'!C1322:L1322)+SUM('Loan CF'!C1625:L1625)</f>
        <v>0</v>
      </c>
      <c r="Q129" s="99" t="n">
        <f aca="false">SUM('Loan CF'!C2231:L2231)</f>
        <v>0</v>
      </c>
      <c r="R129" s="99" t="n">
        <f aca="false">SUM('Loan CF'!C1322:L1322)*Prepay_Pen</f>
        <v>0</v>
      </c>
      <c r="S129" s="99" t="n">
        <f aca="false">'Loan CF'!$C2534</f>
        <v>0</v>
      </c>
      <c r="T129" s="99" t="n">
        <f aca="false">SUM(O129:S129)</f>
        <v>0</v>
      </c>
      <c r="U129" s="99" t="n">
        <f aca="false">SUM('Loan CF'!C716:L716)</f>
        <v>0</v>
      </c>
      <c r="V129" s="99" t="n">
        <f aca="false">U129*Sev</f>
        <v>0</v>
      </c>
      <c r="W129" s="99" t="n">
        <f aca="false">T129-K129</f>
        <v>0</v>
      </c>
      <c r="X129" s="106" t="str">
        <f aca="false">IFERROR(IRR('Loan CF'!C2837:M2837),"-")</f>
        <v>-</v>
      </c>
      <c r="Y129" s="107" t="str">
        <f aca="false">IFERROR(T129/K129,"-")</f>
        <v>-</v>
      </c>
      <c r="Z129" s="99" t="n">
        <f aca="false">'Loan Tape'!$BC106</f>
        <v>0</v>
      </c>
      <c r="AA129" s="99" t="n">
        <f aca="false">'Loan Tape'!$BE106</f>
        <v>0</v>
      </c>
      <c r="AB129" s="99" t="n">
        <f aca="false">SUM('Loan CF'!D3746:M3746)-AA129</f>
        <v>0</v>
      </c>
      <c r="AC129" s="106" t="str">
        <f aca="false">IFERROR(IRR('Loan CF'!C3746:M3746),"-")</f>
        <v>-</v>
      </c>
      <c r="AD129" s="107" t="str">
        <f aca="false">IFERROR(SUM('Loan CF'!D3746:M3746)/AA129,"-")</f>
        <v>-</v>
      </c>
    </row>
    <row r="130" customFormat="false" ht="15" hidden="false" customHeight="false" outlineLevel="0" collapsed="false">
      <c r="B130" s="108" t="str">
        <f aca="false">IF('Loan Tape'!$A107="","",'Loan Tape'!$A107)</f>
        <v/>
      </c>
      <c r="C130" s="108" t="str">
        <f aca="false">IF('Loan Tape'!$A107="","",'Loan Tape'!$B107)</f>
        <v/>
      </c>
      <c r="D130" s="108" t="str">
        <f aca="false">IF('Loan Tape'!$A107="","",'Loan Tape'!$C107)</f>
        <v/>
      </c>
      <c r="E130" s="108" t="str">
        <f aca="false">IF('Loan Tape'!$A107="","",'Loan Tape'!$D107)</f>
        <v/>
      </c>
      <c r="F130" s="108" t="str">
        <f aca="false">IF('Loan Tape'!$A107="","",'Loan Tape'!$E107)</f>
        <v/>
      </c>
      <c r="G130" s="26" t="n">
        <f aca="false">'Loan Tape'!$AN107</f>
        <v>0</v>
      </c>
      <c r="H130" s="71" t="n">
        <f aca="false">'Loan Tape'!$R107*'Loan Tape'!$AN107</f>
        <v>0</v>
      </c>
      <c r="I130" s="56" t="n">
        <f aca="false">'Loan Tape'!$AO107</f>
        <v>0</v>
      </c>
      <c r="J130" s="71" t="n">
        <f aca="false">'Loan Tape'!$AY107</f>
        <v>0</v>
      </c>
      <c r="K130" s="71" t="n">
        <f aca="false">'Loan Tape'!$BB107</f>
        <v>0</v>
      </c>
      <c r="L130" s="56" t="n">
        <f aca="false">'Loan CF'!C414</f>
        <v>0</v>
      </c>
      <c r="M130" s="70" t="n">
        <f aca="false">'Loan Tape'!$AS107*'Loan Tape'!$AN107</f>
        <v>0</v>
      </c>
      <c r="N130" s="70" t="n">
        <f aca="false">IFERROR(SUMPRODUCT(('Loan CF'!$C$916:$L$916-0.5)*('Loan CF'!C1020:L1020+'Loan CF'!C1323:L1323+'Loan CF'!C1626:L1626))/(SUM('Loan CF'!C1020:L1020)+SUM('Loan CF'!C1323:L1323)+SUM('Loan CF'!C1626:L1626)),0)</f>
        <v>0</v>
      </c>
      <c r="O130" s="71" t="n">
        <f aca="false">SUM('Loan CF'!C1929:L1929)</f>
        <v>0</v>
      </c>
      <c r="P130" s="71" t="n">
        <f aca="false">SUM('Loan CF'!C1020:L1020)+SUM('Loan CF'!C1323:L1323)+SUM('Loan CF'!C1626:L1626)</f>
        <v>0</v>
      </c>
      <c r="Q130" s="71" t="n">
        <f aca="false">SUM('Loan CF'!C2232:L2232)</f>
        <v>0</v>
      </c>
      <c r="R130" s="71" t="n">
        <f aca="false">SUM('Loan CF'!C1323:L1323)*Prepay_Pen</f>
        <v>0</v>
      </c>
      <c r="S130" s="71" t="n">
        <f aca="false">'Loan CF'!$C2535</f>
        <v>0</v>
      </c>
      <c r="T130" s="71" t="n">
        <f aca="false">SUM(O130:S130)</f>
        <v>0</v>
      </c>
      <c r="U130" s="71" t="n">
        <f aca="false">SUM('Loan CF'!C717:L717)</f>
        <v>0</v>
      </c>
      <c r="V130" s="71" t="n">
        <f aca="false">U130*Sev</f>
        <v>0</v>
      </c>
      <c r="W130" s="71" t="n">
        <f aca="false">T130-K130</f>
        <v>0</v>
      </c>
      <c r="X130" s="109" t="str">
        <f aca="false">IFERROR(IRR('Loan CF'!C2838:M2838),"-")</f>
        <v>-</v>
      </c>
      <c r="Y130" s="110" t="str">
        <f aca="false">IFERROR(T130/K130,"-")</f>
        <v>-</v>
      </c>
      <c r="Z130" s="71" t="n">
        <f aca="false">'Loan Tape'!$BC107</f>
        <v>0</v>
      </c>
      <c r="AA130" s="71" t="n">
        <f aca="false">'Loan Tape'!$BE107</f>
        <v>0</v>
      </c>
      <c r="AB130" s="71" t="n">
        <f aca="false">SUM('Loan CF'!D3747:M3747)-AA130</f>
        <v>0</v>
      </c>
      <c r="AC130" s="109" t="str">
        <f aca="false">IFERROR(IRR('Loan CF'!C3747:M3747),"-")</f>
        <v>-</v>
      </c>
      <c r="AD130" s="110" t="str">
        <f aca="false">IFERROR(SUM('Loan CF'!D3747:M3747)/AA130,"-")</f>
        <v>-</v>
      </c>
    </row>
    <row r="131" customFormat="false" ht="15" hidden="false" customHeight="false" outlineLevel="0" collapsed="false">
      <c r="B131" s="102" t="str">
        <f aca="false">IF('Loan Tape'!$A108="","",'Loan Tape'!$A108)</f>
        <v/>
      </c>
      <c r="C131" s="102" t="str">
        <f aca="false">IF('Loan Tape'!$A108="","",'Loan Tape'!$B108)</f>
        <v/>
      </c>
      <c r="D131" s="102" t="str">
        <f aca="false">IF('Loan Tape'!$A108="","",'Loan Tape'!$C108)</f>
        <v/>
      </c>
      <c r="E131" s="102" t="str">
        <f aca="false">IF('Loan Tape'!$A108="","",'Loan Tape'!$D108)</f>
        <v/>
      </c>
      <c r="F131" s="102" t="str">
        <f aca="false">IF('Loan Tape'!$A108="","",'Loan Tape'!$E108)</f>
        <v/>
      </c>
      <c r="G131" s="103" t="n">
        <f aca="false">'Loan Tape'!$AN108</f>
        <v>0</v>
      </c>
      <c r="H131" s="99" t="n">
        <f aca="false">'Loan Tape'!$R108*'Loan Tape'!$AN108</f>
        <v>0</v>
      </c>
      <c r="I131" s="104" t="n">
        <f aca="false">'Loan Tape'!$AO108</f>
        <v>0</v>
      </c>
      <c r="J131" s="99" t="n">
        <f aca="false">'Loan Tape'!$AY108</f>
        <v>0</v>
      </c>
      <c r="K131" s="99" t="n">
        <f aca="false">'Loan Tape'!$BB108</f>
        <v>0</v>
      </c>
      <c r="L131" s="104" t="n">
        <f aca="false">'Loan CF'!C415</f>
        <v>0</v>
      </c>
      <c r="M131" s="105" t="n">
        <f aca="false">'Loan Tape'!$AS108*'Loan Tape'!$AN108</f>
        <v>0</v>
      </c>
      <c r="N131" s="105" t="n">
        <f aca="false">IFERROR(SUMPRODUCT(('Loan CF'!$C$916:$L$916-0.5)*('Loan CF'!C1021:L1021+'Loan CF'!C1324:L1324+'Loan CF'!C1627:L1627))/(SUM('Loan CF'!C1021:L1021)+SUM('Loan CF'!C1324:L1324)+SUM('Loan CF'!C1627:L1627)),0)</f>
        <v>0</v>
      </c>
      <c r="O131" s="99" t="n">
        <f aca="false">SUM('Loan CF'!C1930:L1930)</f>
        <v>0</v>
      </c>
      <c r="P131" s="99" t="n">
        <f aca="false">SUM('Loan CF'!C1021:L1021)+SUM('Loan CF'!C1324:L1324)+SUM('Loan CF'!C1627:L1627)</f>
        <v>0</v>
      </c>
      <c r="Q131" s="99" t="n">
        <f aca="false">SUM('Loan CF'!C2233:L2233)</f>
        <v>0</v>
      </c>
      <c r="R131" s="99" t="n">
        <f aca="false">SUM('Loan CF'!C1324:L1324)*Prepay_Pen</f>
        <v>0</v>
      </c>
      <c r="S131" s="99" t="n">
        <f aca="false">'Loan CF'!$C2536</f>
        <v>0</v>
      </c>
      <c r="T131" s="99" t="n">
        <f aca="false">SUM(O131:S131)</f>
        <v>0</v>
      </c>
      <c r="U131" s="99" t="n">
        <f aca="false">SUM('Loan CF'!C718:L718)</f>
        <v>0</v>
      </c>
      <c r="V131" s="99" t="n">
        <f aca="false">U131*Sev</f>
        <v>0</v>
      </c>
      <c r="W131" s="99" t="n">
        <f aca="false">T131-K131</f>
        <v>0</v>
      </c>
      <c r="X131" s="106" t="str">
        <f aca="false">IFERROR(IRR('Loan CF'!C2839:M2839),"-")</f>
        <v>-</v>
      </c>
      <c r="Y131" s="107" t="str">
        <f aca="false">IFERROR(T131/K131,"-")</f>
        <v>-</v>
      </c>
      <c r="Z131" s="99" t="n">
        <f aca="false">'Loan Tape'!$BC108</f>
        <v>0</v>
      </c>
      <c r="AA131" s="99" t="n">
        <f aca="false">'Loan Tape'!$BE108</f>
        <v>0</v>
      </c>
      <c r="AB131" s="99" t="n">
        <f aca="false">SUM('Loan CF'!D3748:M3748)-AA131</f>
        <v>0</v>
      </c>
      <c r="AC131" s="106" t="str">
        <f aca="false">IFERROR(IRR('Loan CF'!C3748:M3748),"-")</f>
        <v>-</v>
      </c>
      <c r="AD131" s="107" t="str">
        <f aca="false">IFERROR(SUM('Loan CF'!D3748:M3748)/AA131,"-")</f>
        <v>-</v>
      </c>
    </row>
    <row r="132" customFormat="false" ht="15" hidden="false" customHeight="false" outlineLevel="0" collapsed="false">
      <c r="B132" s="108" t="str">
        <f aca="false">IF('Loan Tape'!$A109="","",'Loan Tape'!$A109)</f>
        <v/>
      </c>
      <c r="C132" s="108" t="str">
        <f aca="false">IF('Loan Tape'!$A109="","",'Loan Tape'!$B109)</f>
        <v/>
      </c>
      <c r="D132" s="108" t="str">
        <f aca="false">IF('Loan Tape'!$A109="","",'Loan Tape'!$C109)</f>
        <v/>
      </c>
      <c r="E132" s="108" t="str">
        <f aca="false">IF('Loan Tape'!$A109="","",'Loan Tape'!$D109)</f>
        <v/>
      </c>
      <c r="F132" s="108" t="str">
        <f aca="false">IF('Loan Tape'!$A109="","",'Loan Tape'!$E109)</f>
        <v/>
      </c>
      <c r="G132" s="26" t="n">
        <f aca="false">'Loan Tape'!$AN109</f>
        <v>0</v>
      </c>
      <c r="H132" s="71" t="n">
        <f aca="false">'Loan Tape'!$R109*'Loan Tape'!$AN109</f>
        <v>0</v>
      </c>
      <c r="I132" s="56" t="n">
        <f aca="false">'Loan Tape'!$AO109</f>
        <v>0</v>
      </c>
      <c r="J132" s="71" t="n">
        <f aca="false">'Loan Tape'!$AY109</f>
        <v>0</v>
      </c>
      <c r="K132" s="71" t="n">
        <f aca="false">'Loan Tape'!$BB109</f>
        <v>0</v>
      </c>
      <c r="L132" s="56" t="n">
        <f aca="false">'Loan CF'!C416</f>
        <v>0</v>
      </c>
      <c r="M132" s="70" t="n">
        <f aca="false">'Loan Tape'!$AS109*'Loan Tape'!$AN109</f>
        <v>0</v>
      </c>
      <c r="N132" s="70" t="n">
        <f aca="false">IFERROR(SUMPRODUCT(('Loan CF'!$C$916:$L$916-0.5)*('Loan CF'!C1022:L1022+'Loan CF'!C1325:L1325+'Loan CF'!C1628:L1628))/(SUM('Loan CF'!C1022:L1022)+SUM('Loan CF'!C1325:L1325)+SUM('Loan CF'!C1628:L1628)),0)</f>
        <v>0</v>
      </c>
      <c r="O132" s="71" t="n">
        <f aca="false">SUM('Loan CF'!C1931:L1931)</f>
        <v>0</v>
      </c>
      <c r="P132" s="71" t="n">
        <f aca="false">SUM('Loan CF'!C1022:L1022)+SUM('Loan CF'!C1325:L1325)+SUM('Loan CF'!C1628:L1628)</f>
        <v>0</v>
      </c>
      <c r="Q132" s="71" t="n">
        <f aca="false">SUM('Loan CF'!C2234:L2234)</f>
        <v>0</v>
      </c>
      <c r="R132" s="71" t="n">
        <f aca="false">SUM('Loan CF'!C1325:L1325)*Prepay_Pen</f>
        <v>0</v>
      </c>
      <c r="S132" s="71" t="n">
        <f aca="false">'Loan CF'!$C2537</f>
        <v>0</v>
      </c>
      <c r="T132" s="71" t="n">
        <f aca="false">SUM(O132:S132)</f>
        <v>0</v>
      </c>
      <c r="U132" s="71" t="n">
        <f aca="false">SUM('Loan CF'!C719:L719)</f>
        <v>0</v>
      </c>
      <c r="V132" s="71" t="n">
        <f aca="false">U132*Sev</f>
        <v>0</v>
      </c>
      <c r="W132" s="71" t="n">
        <f aca="false">T132-K132</f>
        <v>0</v>
      </c>
      <c r="X132" s="109" t="str">
        <f aca="false">IFERROR(IRR('Loan CF'!C2840:M2840),"-")</f>
        <v>-</v>
      </c>
      <c r="Y132" s="110" t="str">
        <f aca="false">IFERROR(T132/K132,"-")</f>
        <v>-</v>
      </c>
      <c r="Z132" s="71" t="n">
        <f aca="false">'Loan Tape'!$BC109</f>
        <v>0</v>
      </c>
      <c r="AA132" s="71" t="n">
        <f aca="false">'Loan Tape'!$BE109</f>
        <v>0</v>
      </c>
      <c r="AB132" s="71" t="n">
        <f aca="false">SUM('Loan CF'!D3749:M3749)-AA132</f>
        <v>0</v>
      </c>
      <c r="AC132" s="109" t="str">
        <f aca="false">IFERROR(IRR('Loan CF'!C3749:M3749),"-")</f>
        <v>-</v>
      </c>
      <c r="AD132" s="110" t="str">
        <f aca="false">IFERROR(SUM('Loan CF'!D3749:M3749)/AA132,"-")</f>
        <v>-</v>
      </c>
    </row>
    <row r="133" customFormat="false" ht="15" hidden="false" customHeight="false" outlineLevel="0" collapsed="false">
      <c r="B133" s="102" t="str">
        <f aca="false">IF('Loan Tape'!$A110="","",'Loan Tape'!$A110)</f>
        <v/>
      </c>
      <c r="C133" s="102" t="str">
        <f aca="false">IF('Loan Tape'!$A110="","",'Loan Tape'!$B110)</f>
        <v/>
      </c>
      <c r="D133" s="102" t="str">
        <f aca="false">IF('Loan Tape'!$A110="","",'Loan Tape'!$C110)</f>
        <v/>
      </c>
      <c r="E133" s="102" t="str">
        <f aca="false">IF('Loan Tape'!$A110="","",'Loan Tape'!$D110)</f>
        <v/>
      </c>
      <c r="F133" s="102" t="str">
        <f aca="false">IF('Loan Tape'!$A110="","",'Loan Tape'!$E110)</f>
        <v/>
      </c>
      <c r="G133" s="103" t="n">
        <f aca="false">'Loan Tape'!$AN110</f>
        <v>0</v>
      </c>
      <c r="H133" s="99" t="n">
        <f aca="false">'Loan Tape'!$R110*'Loan Tape'!$AN110</f>
        <v>0</v>
      </c>
      <c r="I133" s="104" t="n">
        <f aca="false">'Loan Tape'!$AO110</f>
        <v>0</v>
      </c>
      <c r="J133" s="99" t="n">
        <f aca="false">'Loan Tape'!$AY110</f>
        <v>0</v>
      </c>
      <c r="K133" s="99" t="n">
        <f aca="false">'Loan Tape'!$BB110</f>
        <v>0</v>
      </c>
      <c r="L133" s="104" t="n">
        <f aca="false">'Loan CF'!C417</f>
        <v>0</v>
      </c>
      <c r="M133" s="105" t="n">
        <f aca="false">'Loan Tape'!$AS110*'Loan Tape'!$AN110</f>
        <v>0</v>
      </c>
      <c r="N133" s="105" t="n">
        <f aca="false">IFERROR(SUMPRODUCT(('Loan CF'!$C$916:$L$916-0.5)*('Loan CF'!C1023:L1023+'Loan CF'!C1326:L1326+'Loan CF'!C1629:L1629))/(SUM('Loan CF'!C1023:L1023)+SUM('Loan CF'!C1326:L1326)+SUM('Loan CF'!C1629:L1629)),0)</f>
        <v>0</v>
      </c>
      <c r="O133" s="99" t="n">
        <f aca="false">SUM('Loan CF'!C1932:L1932)</f>
        <v>0</v>
      </c>
      <c r="P133" s="99" t="n">
        <f aca="false">SUM('Loan CF'!C1023:L1023)+SUM('Loan CF'!C1326:L1326)+SUM('Loan CF'!C1629:L1629)</f>
        <v>0</v>
      </c>
      <c r="Q133" s="99" t="n">
        <f aca="false">SUM('Loan CF'!C2235:L2235)</f>
        <v>0</v>
      </c>
      <c r="R133" s="99" t="n">
        <f aca="false">SUM('Loan CF'!C1326:L1326)*Prepay_Pen</f>
        <v>0</v>
      </c>
      <c r="S133" s="99" t="n">
        <f aca="false">'Loan CF'!$C2538</f>
        <v>0</v>
      </c>
      <c r="T133" s="99" t="n">
        <f aca="false">SUM(O133:S133)</f>
        <v>0</v>
      </c>
      <c r="U133" s="99" t="n">
        <f aca="false">SUM('Loan CF'!C720:L720)</f>
        <v>0</v>
      </c>
      <c r="V133" s="99" t="n">
        <f aca="false">U133*Sev</f>
        <v>0</v>
      </c>
      <c r="W133" s="99" t="n">
        <f aca="false">T133-K133</f>
        <v>0</v>
      </c>
      <c r="X133" s="106" t="str">
        <f aca="false">IFERROR(IRR('Loan CF'!C2841:M2841),"-")</f>
        <v>-</v>
      </c>
      <c r="Y133" s="107" t="str">
        <f aca="false">IFERROR(T133/K133,"-")</f>
        <v>-</v>
      </c>
      <c r="Z133" s="99" t="n">
        <f aca="false">'Loan Tape'!$BC110</f>
        <v>0</v>
      </c>
      <c r="AA133" s="99" t="n">
        <f aca="false">'Loan Tape'!$BE110</f>
        <v>0</v>
      </c>
      <c r="AB133" s="99" t="n">
        <f aca="false">SUM('Loan CF'!D3750:M3750)-AA133</f>
        <v>0</v>
      </c>
      <c r="AC133" s="106" t="str">
        <f aca="false">IFERROR(IRR('Loan CF'!C3750:M3750),"-")</f>
        <v>-</v>
      </c>
      <c r="AD133" s="107" t="str">
        <f aca="false">IFERROR(SUM('Loan CF'!D3750:M3750)/AA133,"-")</f>
        <v>-</v>
      </c>
    </row>
    <row r="134" customFormat="false" ht="15" hidden="false" customHeight="false" outlineLevel="0" collapsed="false">
      <c r="B134" s="108" t="str">
        <f aca="false">IF('Loan Tape'!$A111="","",'Loan Tape'!$A111)</f>
        <v/>
      </c>
      <c r="C134" s="108" t="str">
        <f aca="false">IF('Loan Tape'!$A111="","",'Loan Tape'!$B111)</f>
        <v/>
      </c>
      <c r="D134" s="108" t="str">
        <f aca="false">IF('Loan Tape'!$A111="","",'Loan Tape'!$C111)</f>
        <v/>
      </c>
      <c r="E134" s="108" t="str">
        <f aca="false">IF('Loan Tape'!$A111="","",'Loan Tape'!$D111)</f>
        <v/>
      </c>
      <c r="F134" s="108" t="str">
        <f aca="false">IF('Loan Tape'!$A111="","",'Loan Tape'!$E111)</f>
        <v/>
      </c>
      <c r="G134" s="26" t="n">
        <f aca="false">'Loan Tape'!$AN111</f>
        <v>0</v>
      </c>
      <c r="H134" s="71" t="n">
        <f aca="false">'Loan Tape'!$R111*'Loan Tape'!$AN111</f>
        <v>0</v>
      </c>
      <c r="I134" s="56" t="n">
        <f aca="false">'Loan Tape'!$AO111</f>
        <v>0</v>
      </c>
      <c r="J134" s="71" t="n">
        <f aca="false">'Loan Tape'!$AY111</f>
        <v>0</v>
      </c>
      <c r="K134" s="71" t="n">
        <f aca="false">'Loan Tape'!$BB111</f>
        <v>0</v>
      </c>
      <c r="L134" s="56" t="n">
        <f aca="false">'Loan CF'!C418</f>
        <v>0</v>
      </c>
      <c r="M134" s="70" t="n">
        <f aca="false">'Loan Tape'!$AS111*'Loan Tape'!$AN111</f>
        <v>0</v>
      </c>
      <c r="N134" s="70" t="n">
        <f aca="false">IFERROR(SUMPRODUCT(('Loan CF'!$C$916:$L$916-0.5)*('Loan CF'!C1024:L1024+'Loan CF'!C1327:L1327+'Loan CF'!C1630:L1630))/(SUM('Loan CF'!C1024:L1024)+SUM('Loan CF'!C1327:L1327)+SUM('Loan CF'!C1630:L1630)),0)</f>
        <v>0</v>
      </c>
      <c r="O134" s="71" t="n">
        <f aca="false">SUM('Loan CF'!C1933:L1933)</f>
        <v>0</v>
      </c>
      <c r="P134" s="71" t="n">
        <f aca="false">SUM('Loan CF'!C1024:L1024)+SUM('Loan CF'!C1327:L1327)+SUM('Loan CF'!C1630:L1630)</f>
        <v>0</v>
      </c>
      <c r="Q134" s="71" t="n">
        <f aca="false">SUM('Loan CF'!C2236:L2236)</f>
        <v>0</v>
      </c>
      <c r="R134" s="71" t="n">
        <f aca="false">SUM('Loan CF'!C1327:L1327)*Prepay_Pen</f>
        <v>0</v>
      </c>
      <c r="S134" s="71" t="n">
        <f aca="false">'Loan CF'!$C2539</f>
        <v>0</v>
      </c>
      <c r="T134" s="71" t="n">
        <f aca="false">SUM(O134:S134)</f>
        <v>0</v>
      </c>
      <c r="U134" s="71" t="n">
        <f aca="false">SUM('Loan CF'!C721:L721)</f>
        <v>0</v>
      </c>
      <c r="V134" s="71" t="n">
        <f aca="false">U134*Sev</f>
        <v>0</v>
      </c>
      <c r="W134" s="71" t="n">
        <f aca="false">T134-K134</f>
        <v>0</v>
      </c>
      <c r="X134" s="109" t="str">
        <f aca="false">IFERROR(IRR('Loan CF'!C2842:M2842),"-")</f>
        <v>-</v>
      </c>
      <c r="Y134" s="110" t="str">
        <f aca="false">IFERROR(T134/K134,"-")</f>
        <v>-</v>
      </c>
      <c r="Z134" s="71" t="n">
        <f aca="false">'Loan Tape'!$BC111</f>
        <v>0</v>
      </c>
      <c r="AA134" s="71" t="n">
        <f aca="false">'Loan Tape'!$BE111</f>
        <v>0</v>
      </c>
      <c r="AB134" s="71" t="n">
        <f aca="false">SUM('Loan CF'!D3751:M3751)-AA134</f>
        <v>0</v>
      </c>
      <c r="AC134" s="109" t="str">
        <f aca="false">IFERROR(IRR('Loan CF'!C3751:M3751),"-")</f>
        <v>-</v>
      </c>
      <c r="AD134" s="110" t="str">
        <f aca="false">IFERROR(SUM('Loan CF'!D3751:M3751)/AA134,"-")</f>
        <v>-</v>
      </c>
    </row>
    <row r="135" customFormat="false" ht="15" hidden="false" customHeight="false" outlineLevel="0" collapsed="false">
      <c r="B135" s="102" t="str">
        <f aca="false">IF('Loan Tape'!$A112="","",'Loan Tape'!$A112)</f>
        <v/>
      </c>
      <c r="C135" s="102" t="str">
        <f aca="false">IF('Loan Tape'!$A112="","",'Loan Tape'!$B112)</f>
        <v/>
      </c>
      <c r="D135" s="102" t="str">
        <f aca="false">IF('Loan Tape'!$A112="","",'Loan Tape'!$C112)</f>
        <v/>
      </c>
      <c r="E135" s="102" t="str">
        <f aca="false">IF('Loan Tape'!$A112="","",'Loan Tape'!$D112)</f>
        <v/>
      </c>
      <c r="F135" s="102" t="str">
        <f aca="false">IF('Loan Tape'!$A112="","",'Loan Tape'!$E112)</f>
        <v/>
      </c>
      <c r="G135" s="103" t="n">
        <f aca="false">'Loan Tape'!$AN112</f>
        <v>0</v>
      </c>
      <c r="H135" s="99" t="n">
        <f aca="false">'Loan Tape'!$R112*'Loan Tape'!$AN112</f>
        <v>0</v>
      </c>
      <c r="I135" s="104" t="n">
        <f aca="false">'Loan Tape'!$AO112</f>
        <v>0</v>
      </c>
      <c r="J135" s="99" t="n">
        <f aca="false">'Loan Tape'!$AY112</f>
        <v>0</v>
      </c>
      <c r="K135" s="99" t="n">
        <f aca="false">'Loan Tape'!$BB112</f>
        <v>0</v>
      </c>
      <c r="L135" s="104" t="n">
        <f aca="false">'Loan CF'!C419</f>
        <v>0</v>
      </c>
      <c r="M135" s="105" t="n">
        <f aca="false">'Loan Tape'!$AS112*'Loan Tape'!$AN112</f>
        <v>0</v>
      </c>
      <c r="N135" s="105" t="n">
        <f aca="false">IFERROR(SUMPRODUCT(('Loan CF'!$C$916:$L$916-0.5)*('Loan CF'!C1025:L1025+'Loan CF'!C1328:L1328+'Loan CF'!C1631:L1631))/(SUM('Loan CF'!C1025:L1025)+SUM('Loan CF'!C1328:L1328)+SUM('Loan CF'!C1631:L1631)),0)</f>
        <v>0</v>
      </c>
      <c r="O135" s="99" t="n">
        <f aca="false">SUM('Loan CF'!C1934:L1934)</f>
        <v>0</v>
      </c>
      <c r="P135" s="99" t="n">
        <f aca="false">SUM('Loan CF'!C1025:L1025)+SUM('Loan CF'!C1328:L1328)+SUM('Loan CF'!C1631:L1631)</f>
        <v>0</v>
      </c>
      <c r="Q135" s="99" t="n">
        <f aca="false">SUM('Loan CF'!C2237:L2237)</f>
        <v>0</v>
      </c>
      <c r="R135" s="99" t="n">
        <f aca="false">SUM('Loan CF'!C1328:L1328)*Prepay_Pen</f>
        <v>0</v>
      </c>
      <c r="S135" s="99" t="n">
        <f aca="false">'Loan CF'!$C2540</f>
        <v>0</v>
      </c>
      <c r="T135" s="99" t="n">
        <f aca="false">SUM(O135:S135)</f>
        <v>0</v>
      </c>
      <c r="U135" s="99" t="n">
        <f aca="false">SUM('Loan CF'!C722:L722)</f>
        <v>0</v>
      </c>
      <c r="V135" s="99" t="n">
        <f aca="false">U135*Sev</f>
        <v>0</v>
      </c>
      <c r="W135" s="99" t="n">
        <f aca="false">T135-K135</f>
        <v>0</v>
      </c>
      <c r="X135" s="106" t="str">
        <f aca="false">IFERROR(IRR('Loan CF'!C2843:M2843),"-")</f>
        <v>-</v>
      </c>
      <c r="Y135" s="107" t="str">
        <f aca="false">IFERROR(T135/K135,"-")</f>
        <v>-</v>
      </c>
      <c r="Z135" s="99" t="n">
        <f aca="false">'Loan Tape'!$BC112</f>
        <v>0</v>
      </c>
      <c r="AA135" s="99" t="n">
        <f aca="false">'Loan Tape'!$BE112</f>
        <v>0</v>
      </c>
      <c r="AB135" s="99" t="n">
        <f aca="false">SUM('Loan CF'!D3752:M3752)-AA135</f>
        <v>0</v>
      </c>
      <c r="AC135" s="106" t="str">
        <f aca="false">IFERROR(IRR('Loan CF'!C3752:M3752),"-")</f>
        <v>-</v>
      </c>
      <c r="AD135" s="107" t="str">
        <f aca="false">IFERROR(SUM('Loan CF'!D3752:M3752)/AA135,"-")</f>
        <v>-</v>
      </c>
    </row>
    <row r="136" customFormat="false" ht="15" hidden="false" customHeight="false" outlineLevel="0" collapsed="false">
      <c r="B136" s="108" t="str">
        <f aca="false">IF('Loan Tape'!$A113="","",'Loan Tape'!$A113)</f>
        <v/>
      </c>
      <c r="C136" s="108" t="str">
        <f aca="false">IF('Loan Tape'!$A113="","",'Loan Tape'!$B113)</f>
        <v/>
      </c>
      <c r="D136" s="108" t="str">
        <f aca="false">IF('Loan Tape'!$A113="","",'Loan Tape'!$C113)</f>
        <v/>
      </c>
      <c r="E136" s="108" t="str">
        <f aca="false">IF('Loan Tape'!$A113="","",'Loan Tape'!$D113)</f>
        <v/>
      </c>
      <c r="F136" s="108" t="str">
        <f aca="false">IF('Loan Tape'!$A113="","",'Loan Tape'!$E113)</f>
        <v/>
      </c>
      <c r="G136" s="26" t="n">
        <f aca="false">'Loan Tape'!$AN113</f>
        <v>0</v>
      </c>
      <c r="H136" s="71" t="n">
        <f aca="false">'Loan Tape'!$R113*'Loan Tape'!$AN113</f>
        <v>0</v>
      </c>
      <c r="I136" s="56" t="n">
        <f aca="false">'Loan Tape'!$AO113</f>
        <v>0</v>
      </c>
      <c r="J136" s="71" t="n">
        <f aca="false">'Loan Tape'!$AY113</f>
        <v>0</v>
      </c>
      <c r="K136" s="71" t="n">
        <f aca="false">'Loan Tape'!$BB113</f>
        <v>0</v>
      </c>
      <c r="L136" s="56" t="n">
        <f aca="false">'Loan CF'!C420</f>
        <v>0</v>
      </c>
      <c r="M136" s="70" t="n">
        <f aca="false">'Loan Tape'!$AS113*'Loan Tape'!$AN113</f>
        <v>0</v>
      </c>
      <c r="N136" s="70" t="n">
        <f aca="false">IFERROR(SUMPRODUCT(('Loan CF'!$C$916:$L$916-0.5)*('Loan CF'!C1026:L1026+'Loan CF'!C1329:L1329+'Loan CF'!C1632:L1632))/(SUM('Loan CF'!C1026:L1026)+SUM('Loan CF'!C1329:L1329)+SUM('Loan CF'!C1632:L1632)),0)</f>
        <v>0</v>
      </c>
      <c r="O136" s="71" t="n">
        <f aca="false">SUM('Loan CF'!C1935:L1935)</f>
        <v>0</v>
      </c>
      <c r="P136" s="71" t="n">
        <f aca="false">SUM('Loan CF'!C1026:L1026)+SUM('Loan CF'!C1329:L1329)+SUM('Loan CF'!C1632:L1632)</f>
        <v>0</v>
      </c>
      <c r="Q136" s="71" t="n">
        <f aca="false">SUM('Loan CF'!C2238:L2238)</f>
        <v>0</v>
      </c>
      <c r="R136" s="71" t="n">
        <f aca="false">SUM('Loan CF'!C1329:L1329)*Prepay_Pen</f>
        <v>0</v>
      </c>
      <c r="S136" s="71" t="n">
        <f aca="false">'Loan CF'!$C2541</f>
        <v>0</v>
      </c>
      <c r="T136" s="71" t="n">
        <f aca="false">SUM(O136:S136)</f>
        <v>0</v>
      </c>
      <c r="U136" s="71" t="n">
        <f aca="false">SUM('Loan CF'!C723:L723)</f>
        <v>0</v>
      </c>
      <c r="V136" s="71" t="n">
        <f aca="false">U136*Sev</f>
        <v>0</v>
      </c>
      <c r="W136" s="71" t="n">
        <f aca="false">T136-K136</f>
        <v>0</v>
      </c>
      <c r="X136" s="109" t="str">
        <f aca="false">IFERROR(IRR('Loan CF'!C2844:M2844),"-")</f>
        <v>-</v>
      </c>
      <c r="Y136" s="110" t="str">
        <f aca="false">IFERROR(T136/K136,"-")</f>
        <v>-</v>
      </c>
      <c r="Z136" s="71" t="n">
        <f aca="false">'Loan Tape'!$BC113</f>
        <v>0</v>
      </c>
      <c r="AA136" s="71" t="n">
        <f aca="false">'Loan Tape'!$BE113</f>
        <v>0</v>
      </c>
      <c r="AB136" s="71" t="n">
        <f aca="false">SUM('Loan CF'!D3753:M3753)-AA136</f>
        <v>0</v>
      </c>
      <c r="AC136" s="109" t="str">
        <f aca="false">IFERROR(IRR('Loan CF'!C3753:M3753),"-")</f>
        <v>-</v>
      </c>
      <c r="AD136" s="110" t="str">
        <f aca="false">IFERROR(SUM('Loan CF'!D3753:M3753)/AA136,"-")</f>
        <v>-</v>
      </c>
    </row>
    <row r="137" customFormat="false" ht="15" hidden="false" customHeight="false" outlineLevel="0" collapsed="false">
      <c r="B137" s="102" t="str">
        <f aca="false">IF('Loan Tape'!$A114="","",'Loan Tape'!$A114)</f>
        <v/>
      </c>
      <c r="C137" s="102" t="str">
        <f aca="false">IF('Loan Tape'!$A114="","",'Loan Tape'!$B114)</f>
        <v/>
      </c>
      <c r="D137" s="102" t="str">
        <f aca="false">IF('Loan Tape'!$A114="","",'Loan Tape'!$C114)</f>
        <v/>
      </c>
      <c r="E137" s="102" t="str">
        <f aca="false">IF('Loan Tape'!$A114="","",'Loan Tape'!$D114)</f>
        <v/>
      </c>
      <c r="F137" s="102" t="str">
        <f aca="false">IF('Loan Tape'!$A114="","",'Loan Tape'!$E114)</f>
        <v/>
      </c>
      <c r="G137" s="103" t="n">
        <f aca="false">'Loan Tape'!$AN114</f>
        <v>0</v>
      </c>
      <c r="H137" s="99" t="n">
        <f aca="false">'Loan Tape'!$R114*'Loan Tape'!$AN114</f>
        <v>0</v>
      </c>
      <c r="I137" s="104" t="n">
        <f aca="false">'Loan Tape'!$AO114</f>
        <v>0</v>
      </c>
      <c r="J137" s="99" t="n">
        <f aca="false">'Loan Tape'!$AY114</f>
        <v>0</v>
      </c>
      <c r="K137" s="99" t="n">
        <f aca="false">'Loan Tape'!$BB114</f>
        <v>0</v>
      </c>
      <c r="L137" s="104" t="n">
        <f aca="false">'Loan CF'!C421</f>
        <v>0</v>
      </c>
      <c r="M137" s="105" t="n">
        <f aca="false">'Loan Tape'!$AS114*'Loan Tape'!$AN114</f>
        <v>0</v>
      </c>
      <c r="N137" s="105" t="n">
        <f aca="false">IFERROR(SUMPRODUCT(('Loan CF'!$C$916:$L$916-0.5)*('Loan CF'!C1027:L1027+'Loan CF'!C1330:L1330+'Loan CF'!C1633:L1633))/(SUM('Loan CF'!C1027:L1027)+SUM('Loan CF'!C1330:L1330)+SUM('Loan CF'!C1633:L1633)),0)</f>
        <v>0</v>
      </c>
      <c r="O137" s="99" t="n">
        <f aca="false">SUM('Loan CF'!C1936:L1936)</f>
        <v>0</v>
      </c>
      <c r="P137" s="99" t="n">
        <f aca="false">SUM('Loan CF'!C1027:L1027)+SUM('Loan CF'!C1330:L1330)+SUM('Loan CF'!C1633:L1633)</f>
        <v>0</v>
      </c>
      <c r="Q137" s="99" t="n">
        <f aca="false">SUM('Loan CF'!C2239:L2239)</f>
        <v>0</v>
      </c>
      <c r="R137" s="99" t="n">
        <f aca="false">SUM('Loan CF'!C1330:L1330)*Prepay_Pen</f>
        <v>0</v>
      </c>
      <c r="S137" s="99" t="n">
        <f aca="false">'Loan CF'!$C2542</f>
        <v>0</v>
      </c>
      <c r="T137" s="99" t="n">
        <f aca="false">SUM(O137:S137)</f>
        <v>0</v>
      </c>
      <c r="U137" s="99" t="n">
        <f aca="false">SUM('Loan CF'!C724:L724)</f>
        <v>0</v>
      </c>
      <c r="V137" s="99" t="n">
        <f aca="false">U137*Sev</f>
        <v>0</v>
      </c>
      <c r="W137" s="99" t="n">
        <f aca="false">T137-K137</f>
        <v>0</v>
      </c>
      <c r="X137" s="106" t="str">
        <f aca="false">IFERROR(IRR('Loan CF'!C2845:M2845),"-")</f>
        <v>-</v>
      </c>
      <c r="Y137" s="107" t="str">
        <f aca="false">IFERROR(T137/K137,"-")</f>
        <v>-</v>
      </c>
      <c r="Z137" s="99" t="n">
        <f aca="false">'Loan Tape'!$BC114</f>
        <v>0</v>
      </c>
      <c r="AA137" s="99" t="n">
        <f aca="false">'Loan Tape'!$BE114</f>
        <v>0</v>
      </c>
      <c r="AB137" s="99" t="n">
        <f aca="false">SUM('Loan CF'!D3754:M3754)-AA137</f>
        <v>0</v>
      </c>
      <c r="AC137" s="106" t="str">
        <f aca="false">IFERROR(IRR('Loan CF'!C3754:M3754),"-")</f>
        <v>-</v>
      </c>
      <c r="AD137" s="107" t="str">
        <f aca="false">IFERROR(SUM('Loan CF'!D3754:M3754)/AA137,"-")</f>
        <v>-</v>
      </c>
    </row>
    <row r="138" customFormat="false" ht="15" hidden="false" customHeight="false" outlineLevel="0" collapsed="false">
      <c r="B138" s="108" t="str">
        <f aca="false">IF('Loan Tape'!$A115="","",'Loan Tape'!$A115)</f>
        <v/>
      </c>
      <c r="C138" s="108" t="str">
        <f aca="false">IF('Loan Tape'!$A115="","",'Loan Tape'!$B115)</f>
        <v/>
      </c>
      <c r="D138" s="108" t="str">
        <f aca="false">IF('Loan Tape'!$A115="","",'Loan Tape'!$C115)</f>
        <v/>
      </c>
      <c r="E138" s="108" t="str">
        <f aca="false">IF('Loan Tape'!$A115="","",'Loan Tape'!$D115)</f>
        <v/>
      </c>
      <c r="F138" s="108" t="str">
        <f aca="false">IF('Loan Tape'!$A115="","",'Loan Tape'!$E115)</f>
        <v/>
      </c>
      <c r="G138" s="26" t="n">
        <f aca="false">'Loan Tape'!$AN115</f>
        <v>0</v>
      </c>
      <c r="H138" s="71" t="n">
        <f aca="false">'Loan Tape'!$R115*'Loan Tape'!$AN115</f>
        <v>0</v>
      </c>
      <c r="I138" s="56" t="n">
        <f aca="false">'Loan Tape'!$AO115</f>
        <v>0</v>
      </c>
      <c r="J138" s="71" t="n">
        <f aca="false">'Loan Tape'!$AY115</f>
        <v>0</v>
      </c>
      <c r="K138" s="71" t="n">
        <f aca="false">'Loan Tape'!$BB115</f>
        <v>0</v>
      </c>
      <c r="L138" s="56" t="n">
        <f aca="false">'Loan CF'!C422</f>
        <v>0</v>
      </c>
      <c r="M138" s="70" t="n">
        <f aca="false">'Loan Tape'!$AS115*'Loan Tape'!$AN115</f>
        <v>0</v>
      </c>
      <c r="N138" s="70" t="n">
        <f aca="false">IFERROR(SUMPRODUCT(('Loan CF'!$C$916:$L$916-0.5)*('Loan CF'!C1028:L1028+'Loan CF'!C1331:L1331+'Loan CF'!C1634:L1634))/(SUM('Loan CF'!C1028:L1028)+SUM('Loan CF'!C1331:L1331)+SUM('Loan CF'!C1634:L1634)),0)</f>
        <v>0</v>
      </c>
      <c r="O138" s="71" t="n">
        <f aca="false">SUM('Loan CF'!C1937:L1937)</f>
        <v>0</v>
      </c>
      <c r="P138" s="71" t="n">
        <f aca="false">SUM('Loan CF'!C1028:L1028)+SUM('Loan CF'!C1331:L1331)+SUM('Loan CF'!C1634:L1634)</f>
        <v>0</v>
      </c>
      <c r="Q138" s="71" t="n">
        <f aca="false">SUM('Loan CF'!C2240:L2240)</f>
        <v>0</v>
      </c>
      <c r="R138" s="71" t="n">
        <f aca="false">SUM('Loan CF'!C1331:L1331)*Prepay_Pen</f>
        <v>0</v>
      </c>
      <c r="S138" s="71" t="n">
        <f aca="false">'Loan CF'!$C2543</f>
        <v>0</v>
      </c>
      <c r="T138" s="71" t="n">
        <f aca="false">SUM(O138:S138)</f>
        <v>0</v>
      </c>
      <c r="U138" s="71" t="n">
        <f aca="false">SUM('Loan CF'!C725:L725)</f>
        <v>0</v>
      </c>
      <c r="V138" s="71" t="n">
        <f aca="false">U138*Sev</f>
        <v>0</v>
      </c>
      <c r="W138" s="71" t="n">
        <f aca="false">T138-K138</f>
        <v>0</v>
      </c>
      <c r="X138" s="109" t="str">
        <f aca="false">IFERROR(IRR('Loan CF'!C2846:M2846),"-")</f>
        <v>-</v>
      </c>
      <c r="Y138" s="110" t="str">
        <f aca="false">IFERROR(T138/K138,"-")</f>
        <v>-</v>
      </c>
      <c r="Z138" s="71" t="n">
        <f aca="false">'Loan Tape'!$BC115</f>
        <v>0</v>
      </c>
      <c r="AA138" s="71" t="n">
        <f aca="false">'Loan Tape'!$BE115</f>
        <v>0</v>
      </c>
      <c r="AB138" s="71" t="n">
        <f aca="false">SUM('Loan CF'!D3755:M3755)-AA138</f>
        <v>0</v>
      </c>
      <c r="AC138" s="109" t="str">
        <f aca="false">IFERROR(IRR('Loan CF'!C3755:M3755),"-")</f>
        <v>-</v>
      </c>
      <c r="AD138" s="110" t="str">
        <f aca="false">IFERROR(SUM('Loan CF'!D3755:M3755)/AA138,"-")</f>
        <v>-</v>
      </c>
    </row>
    <row r="139" customFormat="false" ht="15" hidden="false" customHeight="false" outlineLevel="0" collapsed="false">
      <c r="B139" s="102" t="str">
        <f aca="false">IF('Loan Tape'!$A116="","",'Loan Tape'!$A116)</f>
        <v/>
      </c>
      <c r="C139" s="102" t="str">
        <f aca="false">IF('Loan Tape'!$A116="","",'Loan Tape'!$B116)</f>
        <v/>
      </c>
      <c r="D139" s="102" t="str">
        <f aca="false">IF('Loan Tape'!$A116="","",'Loan Tape'!$C116)</f>
        <v/>
      </c>
      <c r="E139" s="102" t="str">
        <f aca="false">IF('Loan Tape'!$A116="","",'Loan Tape'!$D116)</f>
        <v/>
      </c>
      <c r="F139" s="102" t="str">
        <f aca="false">IF('Loan Tape'!$A116="","",'Loan Tape'!$E116)</f>
        <v/>
      </c>
      <c r="G139" s="103" t="n">
        <f aca="false">'Loan Tape'!$AN116</f>
        <v>0</v>
      </c>
      <c r="H139" s="99" t="n">
        <f aca="false">'Loan Tape'!$R116*'Loan Tape'!$AN116</f>
        <v>0</v>
      </c>
      <c r="I139" s="104" t="n">
        <f aca="false">'Loan Tape'!$AO116</f>
        <v>0</v>
      </c>
      <c r="J139" s="99" t="n">
        <f aca="false">'Loan Tape'!$AY116</f>
        <v>0</v>
      </c>
      <c r="K139" s="99" t="n">
        <f aca="false">'Loan Tape'!$BB116</f>
        <v>0</v>
      </c>
      <c r="L139" s="104" t="n">
        <f aca="false">'Loan CF'!C423</f>
        <v>0</v>
      </c>
      <c r="M139" s="105" t="n">
        <f aca="false">'Loan Tape'!$AS116*'Loan Tape'!$AN116</f>
        <v>0</v>
      </c>
      <c r="N139" s="105" t="n">
        <f aca="false">IFERROR(SUMPRODUCT(('Loan CF'!$C$916:$L$916-0.5)*('Loan CF'!C1029:L1029+'Loan CF'!C1332:L1332+'Loan CF'!C1635:L1635))/(SUM('Loan CF'!C1029:L1029)+SUM('Loan CF'!C1332:L1332)+SUM('Loan CF'!C1635:L1635)),0)</f>
        <v>0</v>
      </c>
      <c r="O139" s="99" t="n">
        <f aca="false">SUM('Loan CF'!C1938:L1938)</f>
        <v>0</v>
      </c>
      <c r="P139" s="99" t="n">
        <f aca="false">SUM('Loan CF'!C1029:L1029)+SUM('Loan CF'!C1332:L1332)+SUM('Loan CF'!C1635:L1635)</f>
        <v>0</v>
      </c>
      <c r="Q139" s="99" t="n">
        <f aca="false">SUM('Loan CF'!C2241:L2241)</f>
        <v>0</v>
      </c>
      <c r="R139" s="99" t="n">
        <f aca="false">SUM('Loan CF'!C1332:L1332)*Prepay_Pen</f>
        <v>0</v>
      </c>
      <c r="S139" s="99" t="n">
        <f aca="false">'Loan CF'!$C2544</f>
        <v>0</v>
      </c>
      <c r="T139" s="99" t="n">
        <f aca="false">SUM(O139:S139)</f>
        <v>0</v>
      </c>
      <c r="U139" s="99" t="n">
        <f aca="false">SUM('Loan CF'!C726:L726)</f>
        <v>0</v>
      </c>
      <c r="V139" s="99" t="n">
        <f aca="false">U139*Sev</f>
        <v>0</v>
      </c>
      <c r="W139" s="99" t="n">
        <f aca="false">T139-K139</f>
        <v>0</v>
      </c>
      <c r="X139" s="106" t="str">
        <f aca="false">IFERROR(IRR('Loan CF'!C2847:M2847),"-")</f>
        <v>-</v>
      </c>
      <c r="Y139" s="107" t="str">
        <f aca="false">IFERROR(T139/K139,"-")</f>
        <v>-</v>
      </c>
      <c r="Z139" s="99" t="n">
        <f aca="false">'Loan Tape'!$BC116</f>
        <v>0</v>
      </c>
      <c r="AA139" s="99" t="n">
        <f aca="false">'Loan Tape'!$BE116</f>
        <v>0</v>
      </c>
      <c r="AB139" s="99" t="n">
        <f aca="false">SUM('Loan CF'!D3756:M3756)-AA139</f>
        <v>0</v>
      </c>
      <c r="AC139" s="106" t="str">
        <f aca="false">IFERROR(IRR('Loan CF'!C3756:M3756),"-")</f>
        <v>-</v>
      </c>
      <c r="AD139" s="107" t="str">
        <f aca="false">IFERROR(SUM('Loan CF'!D3756:M3756)/AA139,"-")</f>
        <v>-</v>
      </c>
    </row>
    <row r="140" customFormat="false" ht="15" hidden="false" customHeight="false" outlineLevel="0" collapsed="false">
      <c r="B140" s="108" t="str">
        <f aca="false">IF('Loan Tape'!$A117="","",'Loan Tape'!$A117)</f>
        <v/>
      </c>
      <c r="C140" s="108" t="str">
        <f aca="false">IF('Loan Tape'!$A117="","",'Loan Tape'!$B117)</f>
        <v/>
      </c>
      <c r="D140" s="108" t="str">
        <f aca="false">IF('Loan Tape'!$A117="","",'Loan Tape'!$C117)</f>
        <v/>
      </c>
      <c r="E140" s="108" t="str">
        <f aca="false">IF('Loan Tape'!$A117="","",'Loan Tape'!$D117)</f>
        <v/>
      </c>
      <c r="F140" s="108" t="str">
        <f aca="false">IF('Loan Tape'!$A117="","",'Loan Tape'!$E117)</f>
        <v/>
      </c>
      <c r="G140" s="26" t="n">
        <f aca="false">'Loan Tape'!$AN117</f>
        <v>0</v>
      </c>
      <c r="H140" s="71" t="n">
        <f aca="false">'Loan Tape'!$R117*'Loan Tape'!$AN117</f>
        <v>0</v>
      </c>
      <c r="I140" s="56" t="n">
        <f aca="false">'Loan Tape'!$AO117</f>
        <v>0</v>
      </c>
      <c r="J140" s="71" t="n">
        <f aca="false">'Loan Tape'!$AY117</f>
        <v>0</v>
      </c>
      <c r="K140" s="71" t="n">
        <f aca="false">'Loan Tape'!$BB117</f>
        <v>0</v>
      </c>
      <c r="L140" s="56" t="n">
        <f aca="false">'Loan CF'!C424</f>
        <v>0</v>
      </c>
      <c r="M140" s="70" t="n">
        <f aca="false">'Loan Tape'!$AS117*'Loan Tape'!$AN117</f>
        <v>0</v>
      </c>
      <c r="N140" s="70" t="n">
        <f aca="false">IFERROR(SUMPRODUCT(('Loan CF'!$C$916:$L$916-0.5)*('Loan CF'!C1030:L1030+'Loan CF'!C1333:L1333+'Loan CF'!C1636:L1636))/(SUM('Loan CF'!C1030:L1030)+SUM('Loan CF'!C1333:L1333)+SUM('Loan CF'!C1636:L1636)),0)</f>
        <v>0</v>
      </c>
      <c r="O140" s="71" t="n">
        <f aca="false">SUM('Loan CF'!C1939:L1939)</f>
        <v>0</v>
      </c>
      <c r="P140" s="71" t="n">
        <f aca="false">SUM('Loan CF'!C1030:L1030)+SUM('Loan CF'!C1333:L1333)+SUM('Loan CF'!C1636:L1636)</f>
        <v>0</v>
      </c>
      <c r="Q140" s="71" t="n">
        <f aca="false">SUM('Loan CF'!C2242:L2242)</f>
        <v>0</v>
      </c>
      <c r="R140" s="71" t="n">
        <f aca="false">SUM('Loan CF'!C1333:L1333)*Prepay_Pen</f>
        <v>0</v>
      </c>
      <c r="S140" s="71" t="n">
        <f aca="false">'Loan CF'!$C2545</f>
        <v>0</v>
      </c>
      <c r="T140" s="71" t="n">
        <f aca="false">SUM(O140:S140)</f>
        <v>0</v>
      </c>
      <c r="U140" s="71" t="n">
        <f aca="false">SUM('Loan CF'!C727:L727)</f>
        <v>0</v>
      </c>
      <c r="V140" s="71" t="n">
        <f aca="false">U140*Sev</f>
        <v>0</v>
      </c>
      <c r="W140" s="71" t="n">
        <f aca="false">T140-K140</f>
        <v>0</v>
      </c>
      <c r="X140" s="109" t="str">
        <f aca="false">IFERROR(IRR('Loan CF'!C2848:M2848),"-")</f>
        <v>-</v>
      </c>
      <c r="Y140" s="110" t="str">
        <f aca="false">IFERROR(T140/K140,"-")</f>
        <v>-</v>
      </c>
      <c r="Z140" s="71" t="n">
        <f aca="false">'Loan Tape'!$BC117</f>
        <v>0</v>
      </c>
      <c r="AA140" s="71" t="n">
        <f aca="false">'Loan Tape'!$BE117</f>
        <v>0</v>
      </c>
      <c r="AB140" s="71" t="n">
        <f aca="false">SUM('Loan CF'!D3757:M3757)-AA140</f>
        <v>0</v>
      </c>
      <c r="AC140" s="109" t="str">
        <f aca="false">IFERROR(IRR('Loan CF'!C3757:M3757),"-")</f>
        <v>-</v>
      </c>
      <c r="AD140" s="110" t="str">
        <f aca="false">IFERROR(SUM('Loan CF'!D3757:M3757)/AA140,"-")</f>
        <v>-</v>
      </c>
    </row>
    <row r="141" customFormat="false" ht="15" hidden="false" customHeight="false" outlineLevel="0" collapsed="false">
      <c r="B141" s="102" t="str">
        <f aca="false">IF('Loan Tape'!$A118="","",'Loan Tape'!$A118)</f>
        <v/>
      </c>
      <c r="C141" s="102" t="str">
        <f aca="false">IF('Loan Tape'!$A118="","",'Loan Tape'!$B118)</f>
        <v/>
      </c>
      <c r="D141" s="102" t="str">
        <f aca="false">IF('Loan Tape'!$A118="","",'Loan Tape'!$C118)</f>
        <v/>
      </c>
      <c r="E141" s="102" t="str">
        <f aca="false">IF('Loan Tape'!$A118="","",'Loan Tape'!$D118)</f>
        <v/>
      </c>
      <c r="F141" s="102" t="str">
        <f aca="false">IF('Loan Tape'!$A118="","",'Loan Tape'!$E118)</f>
        <v/>
      </c>
      <c r="G141" s="103" t="n">
        <f aca="false">'Loan Tape'!$AN118</f>
        <v>0</v>
      </c>
      <c r="H141" s="99" t="n">
        <f aca="false">'Loan Tape'!$R118*'Loan Tape'!$AN118</f>
        <v>0</v>
      </c>
      <c r="I141" s="104" t="n">
        <f aca="false">'Loan Tape'!$AO118</f>
        <v>0</v>
      </c>
      <c r="J141" s="99" t="n">
        <f aca="false">'Loan Tape'!$AY118</f>
        <v>0</v>
      </c>
      <c r="K141" s="99" t="n">
        <f aca="false">'Loan Tape'!$BB118</f>
        <v>0</v>
      </c>
      <c r="L141" s="104" t="n">
        <f aca="false">'Loan CF'!C425</f>
        <v>0</v>
      </c>
      <c r="M141" s="105" t="n">
        <f aca="false">'Loan Tape'!$AS118*'Loan Tape'!$AN118</f>
        <v>0</v>
      </c>
      <c r="N141" s="105" t="n">
        <f aca="false">IFERROR(SUMPRODUCT(('Loan CF'!$C$916:$L$916-0.5)*('Loan CF'!C1031:L1031+'Loan CF'!C1334:L1334+'Loan CF'!C1637:L1637))/(SUM('Loan CF'!C1031:L1031)+SUM('Loan CF'!C1334:L1334)+SUM('Loan CF'!C1637:L1637)),0)</f>
        <v>0</v>
      </c>
      <c r="O141" s="99" t="n">
        <f aca="false">SUM('Loan CF'!C1940:L1940)</f>
        <v>0</v>
      </c>
      <c r="P141" s="99" t="n">
        <f aca="false">SUM('Loan CF'!C1031:L1031)+SUM('Loan CF'!C1334:L1334)+SUM('Loan CF'!C1637:L1637)</f>
        <v>0</v>
      </c>
      <c r="Q141" s="99" t="n">
        <f aca="false">SUM('Loan CF'!C2243:L2243)</f>
        <v>0</v>
      </c>
      <c r="R141" s="99" t="n">
        <f aca="false">SUM('Loan CF'!C1334:L1334)*Prepay_Pen</f>
        <v>0</v>
      </c>
      <c r="S141" s="99" t="n">
        <f aca="false">'Loan CF'!$C2546</f>
        <v>0</v>
      </c>
      <c r="T141" s="99" t="n">
        <f aca="false">SUM(O141:S141)</f>
        <v>0</v>
      </c>
      <c r="U141" s="99" t="n">
        <f aca="false">SUM('Loan CF'!C728:L728)</f>
        <v>0</v>
      </c>
      <c r="V141" s="99" t="n">
        <f aca="false">U141*Sev</f>
        <v>0</v>
      </c>
      <c r="W141" s="99" t="n">
        <f aca="false">T141-K141</f>
        <v>0</v>
      </c>
      <c r="X141" s="106" t="str">
        <f aca="false">IFERROR(IRR('Loan CF'!C2849:M2849),"-")</f>
        <v>-</v>
      </c>
      <c r="Y141" s="107" t="str">
        <f aca="false">IFERROR(T141/K141,"-")</f>
        <v>-</v>
      </c>
      <c r="Z141" s="99" t="n">
        <f aca="false">'Loan Tape'!$BC118</f>
        <v>0</v>
      </c>
      <c r="AA141" s="99" t="n">
        <f aca="false">'Loan Tape'!$BE118</f>
        <v>0</v>
      </c>
      <c r="AB141" s="99" t="n">
        <f aca="false">SUM('Loan CF'!D3758:M3758)-AA141</f>
        <v>0</v>
      </c>
      <c r="AC141" s="106" t="str">
        <f aca="false">IFERROR(IRR('Loan CF'!C3758:M3758),"-")</f>
        <v>-</v>
      </c>
      <c r="AD141" s="107" t="str">
        <f aca="false">IFERROR(SUM('Loan CF'!D3758:M3758)/AA141,"-")</f>
        <v>-</v>
      </c>
    </row>
    <row r="142" customFormat="false" ht="15" hidden="false" customHeight="false" outlineLevel="0" collapsed="false">
      <c r="B142" s="108" t="str">
        <f aca="false">IF('Loan Tape'!$A119="","",'Loan Tape'!$A119)</f>
        <v/>
      </c>
      <c r="C142" s="108" t="str">
        <f aca="false">IF('Loan Tape'!$A119="","",'Loan Tape'!$B119)</f>
        <v/>
      </c>
      <c r="D142" s="108" t="str">
        <f aca="false">IF('Loan Tape'!$A119="","",'Loan Tape'!$C119)</f>
        <v/>
      </c>
      <c r="E142" s="108" t="str">
        <f aca="false">IF('Loan Tape'!$A119="","",'Loan Tape'!$D119)</f>
        <v/>
      </c>
      <c r="F142" s="108" t="str">
        <f aca="false">IF('Loan Tape'!$A119="","",'Loan Tape'!$E119)</f>
        <v/>
      </c>
      <c r="G142" s="26" t="n">
        <f aca="false">'Loan Tape'!$AN119</f>
        <v>0</v>
      </c>
      <c r="H142" s="71" t="n">
        <f aca="false">'Loan Tape'!$R119*'Loan Tape'!$AN119</f>
        <v>0</v>
      </c>
      <c r="I142" s="56" t="n">
        <f aca="false">'Loan Tape'!$AO119</f>
        <v>0</v>
      </c>
      <c r="J142" s="71" t="n">
        <f aca="false">'Loan Tape'!$AY119</f>
        <v>0</v>
      </c>
      <c r="K142" s="71" t="n">
        <f aca="false">'Loan Tape'!$BB119</f>
        <v>0</v>
      </c>
      <c r="L142" s="56" t="n">
        <f aca="false">'Loan CF'!C426</f>
        <v>0</v>
      </c>
      <c r="M142" s="70" t="n">
        <f aca="false">'Loan Tape'!$AS119*'Loan Tape'!$AN119</f>
        <v>0</v>
      </c>
      <c r="N142" s="70" t="n">
        <f aca="false">IFERROR(SUMPRODUCT(('Loan CF'!$C$916:$L$916-0.5)*('Loan CF'!C1032:L1032+'Loan CF'!C1335:L1335+'Loan CF'!C1638:L1638))/(SUM('Loan CF'!C1032:L1032)+SUM('Loan CF'!C1335:L1335)+SUM('Loan CF'!C1638:L1638)),0)</f>
        <v>0</v>
      </c>
      <c r="O142" s="71" t="n">
        <f aca="false">SUM('Loan CF'!C1941:L1941)</f>
        <v>0</v>
      </c>
      <c r="P142" s="71" t="n">
        <f aca="false">SUM('Loan CF'!C1032:L1032)+SUM('Loan CF'!C1335:L1335)+SUM('Loan CF'!C1638:L1638)</f>
        <v>0</v>
      </c>
      <c r="Q142" s="71" t="n">
        <f aca="false">SUM('Loan CF'!C2244:L2244)</f>
        <v>0</v>
      </c>
      <c r="R142" s="71" t="n">
        <f aca="false">SUM('Loan CF'!C1335:L1335)*Prepay_Pen</f>
        <v>0</v>
      </c>
      <c r="S142" s="71" t="n">
        <f aca="false">'Loan CF'!$C2547</f>
        <v>0</v>
      </c>
      <c r="T142" s="71" t="n">
        <f aca="false">SUM(O142:S142)</f>
        <v>0</v>
      </c>
      <c r="U142" s="71" t="n">
        <f aca="false">SUM('Loan CF'!C729:L729)</f>
        <v>0</v>
      </c>
      <c r="V142" s="71" t="n">
        <f aca="false">U142*Sev</f>
        <v>0</v>
      </c>
      <c r="W142" s="71" t="n">
        <f aca="false">T142-K142</f>
        <v>0</v>
      </c>
      <c r="X142" s="109" t="str">
        <f aca="false">IFERROR(IRR('Loan CF'!C2850:M2850),"-")</f>
        <v>-</v>
      </c>
      <c r="Y142" s="110" t="str">
        <f aca="false">IFERROR(T142/K142,"-")</f>
        <v>-</v>
      </c>
      <c r="Z142" s="71" t="n">
        <f aca="false">'Loan Tape'!$BC119</f>
        <v>0</v>
      </c>
      <c r="AA142" s="71" t="n">
        <f aca="false">'Loan Tape'!$BE119</f>
        <v>0</v>
      </c>
      <c r="AB142" s="71" t="n">
        <f aca="false">SUM('Loan CF'!D3759:M3759)-AA142</f>
        <v>0</v>
      </c>
      <c r="AC142" s="109" t="str">
        <f aca="false">IFERROR(IRR('Loan CF'!C3759:M3759),"-")</f>
        <v>-</v>
      </c>
      <c r="AD142" s="110" t="str">
        <f aca="false">IFERROR(SUM('Loan CF'!D3759:M3759)/AA142,"-")</f>
        <v>-</v>
      </c>
    </row>
    <row r="143" customFormat="false" ht="15" hidden="false" customHeight="false" outlineLevel="0" collapsed="false">
      <c r="B143" s="102" t="str">
        <f aca="false">IF('Loan Tape'!$A120="","",'Loan Tape'!$A120)</f>
        <v/>
      </c>
      <c r="C143" s="102" t="str">
        <f aca="false">IF('Loan Tape'!$A120="","",'Loan Tape'!$B120)</f>
        <v/>
      </c>
      <c r="D143" s="102" t="str">
        <f aca="false">IF('Loan Tape'!$A120="","",'Loan Tape'!$C120)</f>
        <v/>
      </c>
      <c r="E143" s="102" t="str">
        <f aca="false">IF('Loan Tape'!$A120="","",'Loan Tape'!$D120)</f>
        <v/>
      </c>
      <c r="F143" s="102" t="str">
        <f aca="false">IF('Loan Tape'!$A120="","",'Loan Tape'!$E120)</f>
        <v/>
      </c>
      <c r="G143" s="103" t="n">
        <f aca="false">'Loan Tape'!$AN120</f>
        <v>0</v>
      </c>
      <c r="H143" s="99" t="n">
        <f aca="false">'Loan Tape'!$R120*'Loan Tape'!$AN120</f>
        <v>0</v>
      </c>
      <c r="I143" s="104" t="n">
        <f aca="false">'Loan Tape'!$AO120</f>
        <v>0</v>
      </c>
      <c r="J143" s="99" t="n">
        <f aca="false">'Loan Tape'!$AY120</f>
        <v>0</v>
      </c>
      <c r="K143" s="99" t="n">
        <f aca="false">'Loan Tape'!$BB120</f>
        <v>0</v>
      </c>
      <c r="L143" s="104" t="n">
        <f aca="false">'Loan CF'!C427</f>
        <v>0</v>
      </c>
      <c r="M143" s="105" t="n">
        <f aca="false">'Loan Tape'!$AS120*'Loan Tape'!$AN120</f>
        <v>0</v>
      </c>
      <c r="N143" s="105" t="n">
        <f aca="false">IFERROR(SUMPRODUCT(('Loan CF'!$C$916:$L$916-0.5)*('Loan CF'!C1033:L1033+'Loan CF'!C1336:L1336+'Loan CF'!C1639:L1639))/(SUM('Loan CF'!C1033:L1033)+SUM('Loan CF'!C1336:L1336)+SUM('Loan CF'!C1639:L1639)),0)</f>
        <v>0</v>
      </c>
      <c r="O143" s="99" t="n">
        <f aca="false">SUM('Loan CF'!C1942:L1942)</f>
        <v>0</v>
      </c>
      <c r="P143" s="99" t="n">
        <f aca="false">SUM('Loan CF'!C1033:L1033)+SUM('Loan CF'!C1336:L1336)+SUM('Loan CF'!C1639:L1639)</f>
        <v>0</v>
      </c>
      <c r="Q143" s="99" t="n">
        <f aca="false">SUM('Loan CF'!C2245:L2245)</f>
        <v>0</v>
      </c>
      <c r="R143" s="99" t="n">
        <f aca="false">SUM('Loan CF'!C1336:L1336)*Prepay_Pen</f>
        <v>0</v>
      </c>
      <c r="S143" s="99" t="n">
        <f aca="false">'Loan CF'!$C2548</f>
        <v>0</v>
      </c>
      <c r="T143" s="99" t="n">
        <f aca="false">SUM(O143:S143)</f>
        <v>0</v>
      </c>
      <c r="U143" s="99" t="n">
        <f aca="false">SUM('Loan CF'!C730:L730)</f>
        <v>0</v>
      </c>
      <c r="V143" s="99" t="n">
        <f aca="false">U143*Sev</f>
        <v>0</v>
      </c>
      <c r="W143" s="99" t="n">
        <f aca="false">T143-K143</f>
        <v>0</v>
      </c>
      <c r="X143" s="106" t="str">
        <f aca="false">IFERROR(IRR('Loan CF'!C2851:M2851),"-")</f>
        <v>-</v>
      </c>
      <c r="Y143" s="107" t="str">
        <f aca="false">IFERROR(T143/K143,"-")</f>
        <v>-</v>
      </c>
      <c r="Z143" s="99" t="n">
        <f aca="false">'Loan Tape'!$BC120</f>
        <v>0</v>
      </c>
      <c r="AA143" s="99" t="n">
        <f aca="false">'Loan Tape'!$BE120</f>
        <v>0</v>
      </c>
      <c r="AB143" s="99" t="n">
        <f aca="false">SUM('Loan CF'!D3760:M3760)-AA143</f>
        <v>0</v>
      </c>
      <c r="AC143" s="106" t="str">
        <f aca="false">IFERROR(IRR('Loan CF'!C3760:M3760),"-")</f>
        <v>-</v>
      </c>
      <c r="AD143" s="107" t="str">
        <f aca="false">IFERROR(SUM('Loan CF'!D3760:M3760)/AA143,"-")</f>
        <v>-</v>
      </c>
    </row>
    <row r="144" customFormat="false" ht="15" hidden="false" customHeight="false" outlineLevel="0" collapsed="false">
      <c r="B144" s="108" t="str">
        <f aca="false">IF('Loan Tape'!$A121="","",'Loan Tape'!$A121)</f>
        <v/>
      </c>
      <c r="C144" s="108" t="str">
        <f aca="false">IF('Loan Tape'!$A121="","",'Loan Tape'!$B121)</f>
        <v/>
      </c>
      <c r="D144" s="108" t="str">
        <f aca="false">IF('Loan Tape'!$A121="","",'Loan Tape'!$C121)</f>
        <v/>
      </c>
      <c r="E144" s="108" t="str">
        <f aca="false">IF('Loan Tape'!$A121="","",'Loan Tape'!$D121)</f>
        <v/>
      </c>
      <c r="F144" s="108" t="str">
        <f aca="false">IF('Loan Tape'!$A121="","",'Loan Tape'!$E121)</f>
        <v/>
      </c>
      <c r="G144" s="26" t="n">
        <f aca="false">'Loan Tape'!$AN121</f>
        <v>0</v>
      </c>
      <c r="H144" s="71" t="n">
        <f aca="false">'Loan Tape'!$R121*'Loan Tape'!$AN121</f>
        <v>0</v>
      </c>
      <c r="I144" s="56" t="n">
        <f aca="false">'Loan Tape'!$AO121</f>
        <v>0</v>
      </c>
      <c r="J144" s="71" t="n">
        <f aca="false">'Loan Tape'!$AY121</f>
        <v>0</v>
      </c>
      <c r="K144" s="71" t="n">
        <f aca="false">'Loan Tape'!$BB121</f>
        <v>0</v>
      </c>
      <c r="L144" s="56" t="n">
        <f aca="false">'Loan CF'!C428</f>
        <v>0</v>
      </c>
      <c r="M144" s="70" t="n">
        <f aca="false">'Loan Tape'!$AS121*'Loan Tape'!$AN121</f>
        <v>0</v>
      </c>
      <c r="N144" s="70" t="n">
        <f aca="false">IFERROR(SUMPRODUCT(('Loan CF'!$C$916:$L$916-0.5)*('Loan CF'!C1034:L1034+'Loan CF'!C1337:L1337+'Loan CF'!C1640:L1640))/(SUM('Loan CF'!C1034:L1034)+SUM('Loan CF'!C1337:L1337)+SUM('Loan CF'!C1640:L1640)),0)</f>
        <v>0</v>
      </c>
      <c r="O144" s="71" t="n">
        <f aca="false">SUM('Loan CF'!C1943:L1943)</f>
        <v>0</v>
      </c>
      <c r="P144" s="71" t="n">
        <f aca="false">SUM('Loan CF'!C1034:L1034)+SUM('Loan CF'!C1337:L1337)+SUM('Loan CF'!C1640:L1640)</f>
        <v>0</v>
      </c>
      <c r="Q144" s="71" t="n">
        <f aca="false">SUM('Loan CF'!C2246:L2246)</f>
        <v>0</v>
      </c>
      <c r="R144" s="71" t="n">
        <f aca="false">SUM('Loan CF'!C1337:L1337)*Prepay_Pen</f>
        <v>0</v>
      </c>
      <c r="S144" s="71" t="n">
        <f aca="false">'Loan CF'!$C2549</f>
        <v>0</v>
      </c>
      <c r="T144" s="71" t="n">
        <f aca="false">SUM(O144:S144)</f>
        <v>0</v>
      </c>
      <c r="U144" s="71" t="n">
        <f aca="false">SUM('Loan CF'!C731:L731)</f>
        <v>0</v>
      </c>
      <c r="V144" s="71" t="n">
        <f aca="false">U144*Sev</f>
        <v>0</v>
      </c>
      <c r="W144" s="71" t="n">
        <f aca="false">T144-K144</f>
        <v>0</v>
      </c>
      <c r="X144" s="109" t="str">
        <f aca="false">IFERROR(IRR('Loan CF'!C2852:M2852),"-")</f>
        <v>-</v>
      </c>
      <c r="Y144" s="110" t="str">
        <f aca="false">IFERROR(T144/K144,"-")</f>
        <v>-</v>
      </c>
      <c r="Z144" s="71" t="n">
        <f aca="false">'Loan Tape'!$BC121</f>
        <v>0</v>
      </c>
      <c r="AA144" s="71" t="n">
        <f aca="false">'Loan Tape'!$BE121</f>
        <v>0</v>
      </c>
      <c r="AB144" s="71" t="n">
        <f aca="false">SUM('Loan CF'!D3761:M3761)-AA144</f>
        <v>0</v>
      </c>
      <c r="AC144" s="109" t="str">
        <f aca="false">IFERROR(IRR('Loan CF'!C3761:M3761),"-")</f>
        <v>-</v>
      </c>
      <c r="AD144" s="110" t="str">
        <f aca="false">IFERROR(SUM('Loan CF'!D3761:M3761)/AA144,"-")</f>
        <v>-</v>
      </c>
    </row>
    <row r="145" customFormat="false" ht="15" hidden="false" customHeight="false" outlineLevel="0" collapsed="false">
      <c r="B145" s="102" t="str">
        <f aca="false">IF('Loan Tape'!$A122="","",'Loan Tape'!$A122)</f>
        <v/>
      </c>
      <c r="C145" s="102" t="str">
        <f aca="false">IF('Loan Tape'!$A122="","",'Loan Tape'!$B122)</f>
        <v/>
      </c>
      <c r="D145" s="102" t="str">
        <f aca="false">IF('Loan Tape'!$A122="","",'Loan Tape'!$C122)</f>
        <v/>
      </c>
      <c r="E145" s="102" t="str">
        <f aca="false">IF('Loan Tape'!$A122="","",'Loan Tape'!$D122)</f>
        <v/>
      </c>
      <c r="F145" s="102" t="str">
        <f aca="false">IF('Loan Tape'!$A122="","",'Loan Tape'!$E122)</f>
        <v/>
      </c>
      <c r="G145" s="103" t="n">
        <f aca="false">'Loan Tape'!$AN122</f>
        <v>0</v>
      </c>
      <c r="H145" s="99" t="n">
        <f aca="false">'Loan Tape'!$R122*'Loan Tape'!$AN122</f>
        <v>0</v>
      </c>
      <c r="I145" s="104" t="n">
        <f aca="false">'Loan Tape'!$AO122</f>
        <v>0</v>
      </c>
      <c r="J145" s="99" t="n">
        <f aca="false">'Loan Tape'!$AY122</f>
        <v>0</v>
      </c>
      <c r="K145" s="99" t="n">
        <f aca="false">'Loan Tape'!$BB122</f>
        <v>0</v>
      </c>
      <c r="L145" s="104" t="n">
        <f aca="false">'Loan CF'!C429</f>
        <v>0</v>
      </c>
      <c r="M145" s="105" t="n">
        <f aca="false">'Loan Tape'!$AS122*'Loan Tape'!$AN122</f>
        <v>0</v>
      </c>
      <c r="N145" s="105" t="n">
        <f aca="false">IFERROR(SUMPRODUCT(('Loan CF'!$C$916:$L$916-0.5)*('Loan CF'!C1035:L1035+'Loan CF'!C1338:L1338+'Loan CF'!C1641:L1641))/(SUM('Loan CF'!C1035:L1035)+SUM('Loan CF'!C1338:L1338)+SUM('Loan CF'!C1641:L1641)),0)</f>
        <v>0</v>
      </c>
      <c r="O145" s="99" t="n">
        <f aca="false">SUM('Loan CF'!C1944:L1944)</f>
        <v>0</v>
      </c>
      <c r="P145" s="99" t="n">
        <f aca="false">SUM('Loan CF'!C1035:L1035)+SUM('Loan CF'!C1338:L1338)+SUM('Loan CF'!C1641:L1641)</f>
        <v>0</v>
      </c>
      <c r="Q145" s="99" t="n">
        <f aca="false">SUM('Loan CF'!C2247:L2247)</f>
        <v>0</v>
      </c>
      <c r="R145" s="99" t="n">
        <f aca="false">SUM('Loan CF'!C1338:L1338)*Prepay_Pen</f>
        <v>0</v>
      </c>
      <c r="S145" s="99" t="n">
        <f aca="false">'Loan CF'!$C2550</f>
        <v>0</v>
      </c>
      <c r="T145" s="99" t="n">
        <f aca="false">SUM(O145:S145)</f>
        <v>0</v>
      </c>
      <c r="U145" s="99" t="n">
        <f aca="false">SUM('Loan CF'!C732:L732)</f>
        <v>0</v>
      </c>
      <c r="V145" s="99" t="n">
        <f aca="false">U145*Sev</f>
        <v>0</v>
      </c>
      <c r="W145" s="99" t="n">
        <f aca="false">T145-K145</f>
        <v>0</v>
      </c>
      <c r="X145" s="106" t="str">
        <f aca="false">IFERROR(IRR('Loan CF'!C2853:M2853),"-")</f>
        <v>-</v>
      </c>
      <c r="Y145" s="107" t="str">
        <f aca="false">IFERROR(T145/K145,"-")</f>
        <v>-</v>
      </c>
      <c r="Z145" s="99" t="n">
        <f aca="false">'Loan Tape'!$BC122</f>
        <v>0</v>
      </c>
      <c r="AA145" s="99" t="n">
        <f aca="false">'Loan Tape'!$BE122</f>
        <v>0</v>
      </c>
      <c r="AB145" s="99" t="n">
        <f aca="false">SUM('Loan CF'!D3762:M3762)-AA145</f>
        <v>0</v>
      </c>
      <c r="AC145" s="106" t="str">
        <f aca="false">IFERROR(IRR('Loan CF'!C3762:M3762),"-")</f>
        <v>-</v>
      </c>
      <c r="AD145" s="107" t="str">
        <f aca="false">IFERROR(SUM('Loan CF'!D3762:M3762)/AA145,"-")</f>
        <v>-</v>
      </c>
    </row>
    <row r="146" customFormat="false" ht="15" hidden="false" customHeight="false" outlineLevel="0" collapsed="false">
      <c r="B146" s="108" t="str">
        <f aca="false">IF('Loan Tape'!$A123="","",'Loan Tape'!$A123)</f>
        <v/>
      </c>
      <c r="C146" s="108" t="str">
        <f aca="false">IF('Loan Tape'!$A123="","",'Loan Tape'!$B123)</f>
        <v/>
      </c>
      <c r="D146" s="108" t="str">
        <f aca="false">IF('Loan Tape'!$A123="","",'Loan Tape'!$C123)</f>
        <v/>
      </c>
      <c r="E146" s="108" t="str">
        <f aca="false">IF('Loan Tape'!$A123="","",'Loan Tape'!$D123)</f>
        <v/>
      </c>
      <c r="F146" s="108" t="str">
        <f aca="false">IF('Loan Tape'!$A123="","",'Loan Tape'!$E123)</f>
        <v/>
      </c>
      <c r="G146" s="26" t="n">
        <f aca="false">'Loan Tape'!$AN123</f>
        <v>0</v>
      </c>
      <c r="H146" s="71" t="n">
        <f aca="false">'Loan Tape'!$R123*'Loan Tape'!$AN123</f>
        <v>0</v>
      </c>
      <c r="I146" s="56" t="n">
        <f aca="false">'Loan Tape'!$AO123</f>
        <v>0</v>
      </c>
      <c r="J146" s="71" t="n">
        <f aca="false">'Loan Tape'!$AY123</f>
        <v>0</v>
      </c>
      <c r="K146" s="71" t="n">
        <f aca="false">'Loan Tape'!$BB123</f>
        <v>0</v>
      </c>
      <c r="L146" s="56" t="n">
        <f aca="false">'Loan CF'!C430</f>
        <v>0</v>
      </c>
      <c r="M146" s="70" t="n">
        <f aca="false">'Loan Tape'!$AS123*'Loan Tape'!$AN123</f>
        <v>0</v>
      </c>
      <c r="N146" s="70" t="n">
        <f aca="false">IFERROR(SUMPRODUCT(('Loan CF'!$C$916:$L$916-0.5)*('Loan CF'!C1036:L1036+'Loan CF'!C1339:L1339+'Loan CF'!C1642:L1642))/(SUM('Loan CF'!C1036:L1036)+SUM('Loan CF'!C1339:L1339)+SUM('Loan CF'!C1642:L1642)),0)</f>
        <v>0</v>
      </c>
      <c r="O146" s="71" t="n">
        <f aca="false">SUM('Loan CF'!C1945:L1945)</f>
        <v>0</v>
      </c>
      <c r="P146" s="71" t="n">
        <f aca="false">SUM('Loan CF'!C1036:L1036)+SUM('Loan CF'!C1339:L1339)+SUM('Loan CF'!C1642:L1642)</f>
        <v>0</v>
      </c>
      <c r="Q146" s="71" t="n">
        <f aca="false">SUM('Loan CF'!C2248:L2248)</f>
        <v>0</v>
      </c>
      <c r="R146" s="71" t="n">
        <f aca="false">SUM('Loan CF'!C1339:L1339)*Prepay_Pen</f>
        <v>0</v>
      </c>
      <c r="S146" s="71" t="n">
        <f aca="false">'Loan CF'!$C2551</f>
        <v>0</v>
      </c>
      <c r="T146" s="71" t="n">
        <f aca="false">SUM(O146:S146)</f>
        <v>0</v>
      </c>
      <c r="U146" s="71" t="n">
        <f aca="false">SUM('Loan CF'!C733:L733)</f>
        <v>0</v>
      </c>
      <c r="V146" s="71" t="n">
        <f aca="false">U146*Sev</f>
        <v>0</v>
      </c>
      <c r="W146" s="71" t="n">
        <f aca="false">T146-K146</f>
        <v>0</v>
      </c>
      <c r="X146" s="109" t="str">
        <f aca="false">IFERROR(IRR('Loan CF'!C2854:M2854),"-")</f>
        <v>-</v>
      </c>
      <c r="Y146" s="110" t="str">
        <f aca="false">IFERROR(T146/K146,"-")</f>
        <v>-</v>
      </c>
      <c r="Z146" s="71" t="n">
        <f aca="false">'Loan Tape'!$BC123</f>
        <v>0</v>
      </c>
      <c r="AA146" s="71" t="n">
        <f aca="false">'Loan Tape'!$BE123</f>
        <v>0</v>
      </c>
      <c r="AB146" s="71" t="n">
        <f aca="false">SUM('Loan CF'!D3763:M3763)-AA146</f>
        <v>0</v>
      </c>
      <c r="AC146" s="109" t="str">
        <f aca="false">IFERROR(IRR('Loan CF'!C3763:M3763),"-")</f>
        <v>-</v>
      </c>
      <c r="AD146" s="110" t="str">
        <f aca="false">IFERROR(SUM('Loan CF'!D3763:M3763)/AA146,"-")</f>
        <v>-</v>
      </c>
    </row>
    <row r="147" customFormat="false" ht="15" hidden="false" customHeight="false" outlineLevel="0" collapsed="false">
      <c r="B147" s="102" t="str">
        <f aca="false">IF('Loan Tape'!$A124="","",'Loan Tape'!$A124)</f>
        <v/>
      </c>
      <c r="C147" s="102" t="str">
        <f aca="false">IF('Loan Tape'!$A124="","",'Loan Tape'!$B124)</f>
        <v/>
      </c>
      <c r="D147" s="102" t="str">
        <f aca="false">IF('Loan Tape'!$A124="","",'Loan Tape'!$C124)</f>
        <v/>
      </c>
      <c r="E147" s="102" t="str">
        <f aca="false">IF('Loan Tape'!$A124="","",'Loan Tape'!$D124)</f>
        <v/>
      </c>
      <c r="F147" s="102" t="str">
        <f aca="false">IF('Loan Tape'!$A124="","",'Loan Tape'!$E124)</f>
        <v/>
      </c>
      <c r="G147" s="103" t="n">
        <f aca="false">'Loan Tape'!$AN124</f>
        <v>0</v>
      </c>
      <c r="H147" s="99" t="n">
        <f aca="false">'Loan Tape'!$R124*'Loan Tape'!$AN124</f>
        <v>0</v>
      </c>
      <c r="I147" s="104" t="n">
        <f aca="false">'Loan Tape'!$AO124</f>
        <v>0</v>
      </c>
      <c r="J147" s="99" t="n">
        <f aca="false">'Loan Tape'!$AY124</f>
        <v>0</v>
      </c>
      <c r="K147" s="99" t="n">
        <f aca="false">'Loan Tape'!$BB124</f>
        <v>0</v>
      </c>
      <c r="L147" s="104" t="n">
        <f aca="false">'Loan CF'!C431</f>
        <v>0</v>
      </c>
      <c r="M147" s="105" t="n">
        <f aca="false">'Loan Tape'!$AS124*'Loan Tape'!$AN124</f>
        <v>0</v>
      </c>
      <c r="N147" s="105" t="n">
        <f aca="false">IFERROR(SUMPRODUCT(('Loan CF'!$C$916:$L$916-0.5)*('Loan CF'!C1037:L1037+'Loan CF'!C1340:L1340+'Loan CF'!C1643:L1643))/(SUM('Loan CF'!C1037:L1037)+SUM('Loan CF'!C1340:L1340)+SUM('Loan CF'!C1643:L1643)),0)</f>
        <v>0</v>
      </c>
      <c r="O147" s="99" t="n">
        <f aca="false">SUM('Loan CF'!C1946:L1946)</f>
        <v>0</v>
      </c>
      <c r="P147" s="99" t="n">
        <f aca="false">SUM('Loan CF'!C1037:L1037)+SUM('Loan CF'!C1340:L1340)+SUM('Loan CF'!C1643:L1643)</f>
        <v>0</v>
      </c>
      <c r="Q147" s="99" t="n">
        <f aca="false">SUM('Loan CF'!C2249:L2249)</f>
        <v>0</v>
      </c>
      <c r="R147" s="99" t="n">
        <f aca="false">SUM('Loan CF'!C1340:L1340)*Prepay_Pen</f>
        <v>0</v>
      </c>
      <c r="S147" s="99" t="n">
        <f aca="false">'Loan CF'!$C2552</f>
        <v>0</v>
      </c>
      <c r="T147" s="99" t="n">
        <f aca="false">SUM(O147:S147)</f>
        <v>0</v>
      </c>
      <c r="U147" s="99" t="n">
        <f aca="false">SUM('Loan CF'!C734:L734)</f>
        <v>0</v>
      </c>
      <c r="V147" s="99" t="n">
        <f aca="false">U147*Sev</f>
        <v>0</v>
      </c>
      <c r="W147" s="99" t="n">
        <f aca="false">T147-K147</f>
        <v>0</v>
      </c>
      <c r="X147" s="106" t="str">
        <f aca="false">IFERROR(IRR('Loan CF'!C2855:M2855),"-")</f>
        <v>-</v>
      </c>
      <c r="Y147" s="107" t="str">
        <f aca="false">IFERROR(T147/K147,"-")</f>
        <v>-</v>
      </c>
      <c r="Z147" s="99" t="n">
        <f aca="false">'Loan Tape'!$BC124</f>
        <v>0</v>
      </c>
      <c r="AA147" s="99" t="n">
        <f aca="false">'Loan Tape'!$BE124</f>
        <v>0</v>
      </c>
      <c r="AB147" s="99" t="n">
        <f aca="false">SUM('Loan CF'!D3764:M3764)-AA147</f>
        <v>0</v>
      </c>
      <c r="AC147" s="106" t="str">
        <f aca="false">IFERROR(IRR('Loan CF'!C3764:M3764),"-")</f>
        <v>-</v>
      </c>
      <c r="AD147" s="107" t="str">
        <f aca="false">IFERROR(SUM('Loan CF'!D3764:M3764)/AA147,"-")</f>
        <v>-</v>
      </c>
    </row>
    <row r="148" customFormat="false" ht="15" hidden="false" customHeight="false" outlineLevel="0" collapsed="false">
      <c r="B148" s="108" t="str">
        <f aca="false">IF('Loan Tape'!$A125="","",'Loan Tape'!$A125)</f>
        <v/>
      </c>
      <c r="C148" s="108" t="str">
        <f aca="false">IF('Loan Tape'!$A125="","",'Loan Tape'!$B125)</f>
        <v/>
      </c>
      <c r="D148" s="108" t="str">
        <f aca="false">IF('Loan Tape'!$A125="","",'Loan Tape'!$C125)</f>
        <v/>
      </c>
      <c r="E148" s="108" t="str">
        <f aca="false">IF('Loan Tape'!$A125="","",'Loan Tape'!$D125)</f>
        <v/>
      </c>
      <c r="F148" s="108" t="str">
        <f aca="false">IF('Loan Tape'!$A125="","",'Loan Tape'!$E125)</f>
        <v/>
      </c>
      <c r="G148" s="26" t="n">
        <f aca="false">'Loan Tape'!$AN125</f>
        <v>0</v>
      </c>
      <c r="H148" s="71" t="n">
        <f aca="false">'Loan Tape'!$R125*'Loan Tape'!$AN125</f>
        <v>0</v>
      </c>
      <c r="I148" s="56" t="n">
        <f aca="false">'Loan Tape'!$AO125</f>
        <v>0</v>
      </c>
      <c r="J148" s="71" t="n">
        <f aca="false">'Loan Tape'!$AY125</f>
        <v>0</v>
      </c>
      <c r="K148" s="71" t="n">
        <f aca="false">'Loan Tape'!$BB125</f>
        <v>0</v>
      </c>
      <c r="L148" s="56" t="n">
        <f aca="false">'Loan CF'!C432</f>
        <v>0</v>
      </c>
      <c r="M148" s="70" t="n">
        <f aca="false">'Loan Tape'!$AS125*'Loan Tape'!$AN125</f>
        <v>0</v>
      </c>
      <c r="N148" s="70" t="n">
        <f aca="false">IFERROR(SUMPRODUCT(('Loan CF'!$C$916:$L$916-0.5)*('Loan CF'!C1038:L1038+'Loan CF'!C1341:L1341+'Loan CF'!C1644:L1644))/(SUM('Loan CF'!C1038:L1038)+SUM('Loan CF'!C1341:L1341)+SUM('Loan CF'!C1644:L1644)),0)</f>
        <v>0</v>
      </c>
      <c r="O148" s="71" t="n">
        <f aca="false">SUM('Loan CF'!C1947:L1947)</f>
        <v>0</v>
      </c>
      <c r="P148" s="71" t="n">
        <f aca="false">SUM('Loan CF'!C1038:L1038)+SUM('Loan CF'!C1341:L1341)+SUM('Loan CF'!C1644:L1644)</f>
        <v>0</v>
      </c>
      <c r="Q148" s="71" t="n">
        <f aca="false">SUM('Loan CF'!C2250:L2250)</f>
        <v>0</v>
      </c>
      <c r="R148" s="71" t="n">
        <f aca="false">SUM('Loan CF'!C1341:L1341)*Prepay_Pen</f>
        <v>0</v>
      </c>
      <c r="S148" s="71" t="n">
        <f aca="false">'Loan CF'!$C2553</f>
        <v>0</v>
      </c>
      <c r="T148" s="71" t="n">
        <f aca="false">SUM(O148:S148)</f>
        <v>0</v>
      </c>
      <c r="U148" s="71" t="n">
        <f aca="false">SUM('Loan CF'!C735:L735)</f>
        <v>0</v>
      </c>
      <c r="V148" s="71" t="n">
        <f aca="false">U148*Sev</f>
        <v>0</v>
      </c>
      <c r="W148" s="71" t="n">
        <f aca="false">T148-K148</f>
        <v>0</v>
      </c>
      <c r="X148" s="109" t="str">
        <f aca="false">IFERROR(IRR('Loan CF'!C2856:M2856),"-")</f>
        <v>-</v>
      </c>
      <c r="Y148" s="110" t="str">
        <f aca="false">IFERROR(T148/K148,"-")</f>
        <v>-</v>
      </c>
      <c r="Z148" s="71" t="n">
        <f aca="false">'Loan Tape'!$BC125</f>
        <v>0</v>
      </c>
      <c r="AA148" s="71" t="n">
        <f aca="false">'Loan Tape'!$BE125</f>
        <v>0</v>
      </c>
      <c r="AB148" s="71" t="n">
        <f aca="false">SUM('Loan CF'!D3765:M3765)-AA148</f>
        <v>0</v>
      </c>
      <c r="AC148" s="109" t="str">
        <f aca="false">IFERROR(IRR('Loan CF'!C3765:M3765),"-")</f>
        <v>-</v>
      </c>
      <c r="AD148" s="110" t="str">
        <f aca="false">IFERROR(SUM('Loan CF'!D3765:M3765)/AA148,"-")</f>
        <v>-</v>
      </c>
    </row>
    <row r="149" customFormat="false" ht="15" hidden="false" customHeight="false" outlineLevel="0" collapsed="false">
      <c r="B149" s="102" t="str">
        <f aca="false">IF('Loan Tape'!$A126="","",'Loan Tape'!$A126)</f>
        <v/>
      </c>
      <c r="C149" s="102" t="str">
        <f aca="false">IF('Loan Tape'!$A126="","",'Loan Tape'!$B126)</f>
        <v/>
      </c>
      <c r="D149" s="102" t="str">
        <f aca="false">IF('Loan Tape'!$A126="","",'Loan Tape'!$C126)</f>
        <v/>
      </c>
      <c r="E149" s="102" t="str">
        <f aca="false">IF('Loan Tape'!$A126="","",'Loan Tape'!$D126)</f>
        <v/>
      </c>
      <c r="F149" s="102" t="str">
        <f aca="false">IF('Loan Tape'!$A126="","",'Loan Tape'!$E126)</f>
        <v/>
      </c>
      <c r="G149" s="103" t="n">
        <f aca="false">'Loan Tape'!$AN126</f>
        <v>0</v>
      </c>
      <c r="H149" s="99" t="n">
        <f aca="false">'Loan Tape'!$R126*'Loan Tape'!$AN126</f>
        <v>0</v>
      </c>
      <c r="I149" s="104" t="n">
        <f aca="false">'Loan Tape'!$AO126</f>
        <v>0</v>
      </c>
      <c r="J149" s="99" t="n">
        <f aca="false">'Loan Tape'!$AY126</f>
        <v>0</v>
      </c>
      <c r="K149" s="99" t="n">
        <f aca="false">'Loan Tape'!$BB126</f>
        <v>0</v>
      </c>
      <c r="L149" s="104" t="n">
        <f aca="false">'Loan CF'!C433</f>
        <v>0</v>
      </c>
      <c r="M149" s="105" t="n">
        <f aca="false">'Loan Tape'!$AS126*'Loan Tape'!$AN126</f>
        <v>0</v>
      </c>
      <c r="N149" s="105" t="n">
        <f aca="false">IFERROR(SUMPRODUCT(('Loan CF'!$C$916:$L$916-0.5)*('Loan CF'!C1039:L1039+'Loan CF'!C1342:L1342+'Loan CF'!C1645:L1645))/(SUM('Loan CF'!C1039:L1039)+SUM('Loan CF'!C1342:L1342)+SUM('Loan CF'!C1645:L1645)),0)</f>
        <v>0</v>
      </c>
      <c r="O149" s="99" t="n">
        <f aca="false">SUM('Loan CF'!C1948:L1948)</f>
        <v>0</v>
      </c>
      <c r="P149" s="99" t="n">
        <f aca="false">SUM('Loan CF'!C1039:L1039)+SUM('Loan CF'!C1342:L1342)+SUM('Loan CF'!C1645:L1645)</f>
        <v>0</v>
      </c>
      <c r="Q149" s="99" t="n">
        <f aca="false">SUM('Loan CF'!C2251:L2251)</f>
        <v>0</v>
      </c>
      <c r="R149" s="99" t="n">
        <f aca="false">SUM('Loan CF'!C1342:L1342)*Prepay_Pen</f>
        <v>0</v>
      </c>
      <c r="S149" s="99" t="n">
        <f aca="false">'Loan CF'!$C2554</f>
        <v>0</v>
      </c>
      <c r="T149" s="99" t="n">
        <f aca="false">SUM(O149:S149)</f>
        <v>0</v>
      </c>
      <c r="U149" s="99" t="n">
        <f aca="false">SUM('Loan CF'!C736:L736)</f>
        <v>0</v>
      </c>
      <c r="V149" s="99" t="n">
        <f aca="false">U149*Sev</f>
        <v>0</v>
      </c>
      <c r="W149" s="99" t="n">
        <f aca="false">T149-K149</f>
        <v>0</v>
      </c>
      <c r="X149" s="106" t="str">
        <f aca="false">IFERROR(IRR('Loan CF'!C2857:M2857),"-")</f>
        <v>-</v>
      </c>
      <c r="Y149" s="107" t="str">
        <f aca="false">IFERROR(T149/K149,"-")</f>
        <v>-</v>
      </c>
      <c r="Z149" s="99" t="n">
        <f aca="false">'Loan Tape'!$BC126</f>
        <v>0</v>
      </c>
      <c r="AA149" s="99" t="n">
        <f aca="false">'Loan Tape'!$BE126</f>
        <v>0</v>
      </c>
      <c r="AB149" s="99" t="n">
        <f aca="false">SUM('Loan CF'!D3766:M3766)-AA149</f>
        <v>0</v>
      </c>
      <c r="AC149" s="106" t="str">
        <f aca="false">IFERROR(IRR('Loan CF'!C3766:M3766),"-")</f>
        <v>-</v>
      </c>
      <c r="AD149" s="107" t="str">
        <f aca="false">IFERROR(SUM('Loan CF'!D3766:M3766)/AA149,"-")</f>
        <v>-</v>
      </c>
    </row>
    <row r="150" customFormat="false" ht="15" hidden="false" customHeight="false" outlineLevel="0" collapsed="false">
      <c r="B150" s="108" t="str">
        <f aca="false">IF('Loan Tape'!$A127="","",'Loan Tape'!$A127)</f>
        <v/>
      </c>
      <c r="C150" s="108" t="str">
        <f aca="false">IF('Loan Tape'!$A127="","",'Loan Tape'!$B127)</f>
        <v/>
      </c>
      <c r="D150" s="108" t="str">
        <f aca="false">IF('Loan Tape'!$A127="","",'Loan Tape'!$C127)</f>
        <v/>
      </c>
      <c r="E150" s="108" t="str">
        <f aca="false">IF('Loan Tape'!$A127="","",'Loan Tape'!$D127)</f>
        <v/>
      </c>
      <c r="F150" s="108" t="str">
        <f aca="false">IF('Loan Tape'!$A127="","",'Loan Tape'!$E127)</f>
        <v/>
      </c>
      <c r="G150" s="26" t="n">
        <f aca="false">'Loan Tape'!$AN127</f>
        <v>0</v>
      </c>
      <c r="H150" s="71" t="n">
        <f aca="false">'Loan Tape'!$R127*'Loan Tape'!$AN127</f>
        <v>0</v>
      </c>
      <c r="I150" s="56" t="n">
        <f aca="false">'Loan Tape'!$AO127</f>
        <v>0</v>
      </c>
      <c r="J150" s="71" t="n">
        <f aca="false">'Loan Tape'!$AY127</f>
        <v>0</v>
      </c>
      <c r="K150" s="71" t="n">
        <f aca="false">'Loan Tape'!$BB127</f>
        <v>0</v>
      </c>
      <c r="L150" s="56" t="n">
        <f aca="false">'Loan CF'!C434</f>
        <v>0</v>
      </c>
      <c r="M150" s="70" t="n">
        <f aca="false">'Loan Tape'!$AS127*'Loan Tape'!$AN127</f>
        <v>0</v>
      </c>
      <c r="N150" s="70" t="n">
        <f aca="false">IFERROR(SUMPRODUCT(('Loan CF'!$C$916:$L$916-0.5)*('Loan CF'!C1040:L1040+'Loan CF'!C1343:L1343+'Loan CF'!C1646:L1646))/(SUM('Loan CF'!C1040:L1040)+SUM('Loan CF'!C1343:L1343)+SUM('Loan CF'!C1646:L1646)),0)</f>
        <v>0</v>
      </c>
      <c r="O150" s="71" t="n">
        <f aca="false">SUM('Loan CF'!C1949:L1949)</f>
        <v>0</v>
      </c>
      <c r="P150" s="71" t="n">
        <f aca="false">SUM('Loan CF'!C1040:L1040)+SUM('Loan CF'!C1343:L1343)+SUM('Loan CF'!C1646:L1646)</f>
        <v>0</v>
      </c>
      <c r="Q150" s="71" t="n">
        <f aca="false">SUM('Loan CF'!C2252:L2252)</f>
        <v>0</v>
      </c>
      <c r="R150" s="71" t="n">
        <f aca="false">SUM('Loan CF'!C1343:L1343)*Prepay_Pen</f>
        <v>0</v>
      </c>
      <c r="S150" s="71" t="n">
        <f aca="false">'Loan CF'!$C2555</f>
        <v>0</v>
      </c>
      <c r="T150" s="71" t="n">
        <f aca="false">SUM(O150:S150)</f>
        <v>0</v>
      </c>
      <c r="U150" s="71" t="n">
        <f aca="false">SUM('Loan CF'!C737:L737)</f>
        <v>0</v>
      </c>
      <c r="V150" s="71" t="n">
        <f aca="false">U150*Sev</f>
        <v>0</v>
      </c>
      <c r="W150" s="71" t="n">
        <f aca="false">T150-K150</f>
        <v>0</v>
      </c>
      <c r="X150" s="109" t="str">
        <f aca="false">IFERROR(IRR('Loan CF'!C2858:M2858),"-")</f>
        <v>-</v>
      </c>
      <c r="Y150" s="110" t="str">
        <f aca="false">IFERROR(T150/K150,"-")</f>
        <v>-</v>
      </c>
      <c r="Z150" s="71" t="n">
        <f aca="false">'Loan Tape'!$BC127</f>
        <v>0</v>
      </c>
      <c r="AA150" s="71" t="n">
        <f aca="false">'Loan Tape'!$BE127</f>
        <v>0</v>
      </c>
      <c r="AB150" s="71" t="n">
        <f aca="false">SUM('Loan CF'!D3767:M3767)-AA150</f>
        <v>0</v>
      </c>
      <c r="AC150" s="109" t="str">
        <f aca="false">IFERROR(IRR('Loan CF'!C3767:M3767),"-")</f>
        <v>-</v>
      </c>
      <c r="AD150" s="110" t="str">
        <f aca="false">IFERROR(SUM('Loan CF'!D3767:M3767)/AA150,"-")</f>
        <v>-</v>
      </c>
    </row>
    <row r="151" customFormat="false" ht="15" hidden="false" customHeight="false" outlineLevel="0" collapsed="false">
      <c r="B151" s="102" t="str">
        <f aca="false">IF('Loan Tape'!$A128="","",'Loan Tape'!$A128)</f>
        <v/>
      </c>
      <c r="C151" s="102" t="str">
        <f aca="false">IF('Loan Tape'!$A128="","",'Loan Tape'!$B128)</f>
        <v/>
      </c>
      <c r="D151" s="102" t="str">
        <f aca="false">IF('Loan Tape'!$A128="","",'Loan Tape'!$C128)</f>
        <v/>
      </c>
      <c r="E151" s="102" t="str">
        <f aca="false">IF('Loan Tape'!$A128="","",'Loan Tape'!$D128)</f>
        <v/>
      </c>
      <c r="F151" s="102" t="str">
        <f aca="false">IF('Loan Tape'!$A128="","",'Loan Tape'!$E128)</f>
        <v/>
      </c>
      <c r="G151" s="103" t="n">
        <f aca="false">'Loan Tape'!$AN128</f>
        <v>0</v>
      </c>
      <c r="H151" s="99" t="n">
        <f aca="false">'Loan Tape'!$R128*'Loan Tape'!$AN128</f>
        <v>0</v>
      </c>
      <c r="I151" s="104" t="n">
        <f aca="false">'Loan Tape'!$AO128</f>
        <v>0</v>
      </c>
      <c r="J151" s="99" t="n">
        <f aca="false">'Loan Tape'!$AY128</f>
        <v>0</v>
      </c>
      <c r="K151" s="99" t="n">
        <f aca="false">'Loan Tape'!$BB128</f>
        <v>0</v>
      </c>
      <c r="L151" s="104" t="n">
        <f aca="false">'Loan CF'!C435</f>
        <v>0</v>
      </c>
      <c r="M151" s="105" t="n">
        <f aca="false">'Loan Tape'!$AS128*'Loan Tape'!$AN128</f>
        <v>0</v>
      </c>
      <c r="N151" s="105" t="n">
        <f aca="false">IFERROR(SUMPRODUCT(('Loan CF'!$C$916:$L$916-0.5)*('Loan CF'!C1041:L1041+'Loan CF'!C1344:L1344+'Loan CF'!C1647:L1647))/(SUM('Loan CF'!C1041:L1041)+SUM('Loan CF'!C1344:L1344)+SUM('Loan CF'!C1647:L1647)),0)</f>
        <v>0</v>
      </c>
      <c r="O151" s="99" t="n">
        <f aca="false">SUM('Loan CF'!C1950:L1950)</f>
        <v>0</v>
      </c>
      <c r="P151" s="99" t="n">
        <f aca="false">SUM('Loan CF'!C1041:L1041)+SUM('Loan CF'!C1344:L1344)+SUM('Loan CF'!C1647:L1647)</f>
        <v>0</v>
      </c>
      <c r="Q151" s="99" t="n">
        <f aca="false">SUM('Loan CF'!C2253:L2253)</f>
        <v>0</v>
      </c>
      <c r="R151" s="99" t="n">
        <f aca="false">SUM('Loan CF'!C1344:L1344)*Prepay_Pen</f>
        <v>0</v>
      </c>
      <c r="S151" s="99" t="n">
        <f aca="false">'Loan CF'!$C2556</f>
        <v>0</v>
      </c>
      <c r="T151" s="99" t="n">
        <f aca="false">SUM(O151:S151)</f>
        <v>0</v>
      </c>
      <c r="U151" s="99" t="n">
        <f aca="false">SUM('Loan CF'!C738:L738)</f>
        <v>0</v>
      </c>
      <c r="V151" s="99" t="n">
        <f aca="false">U151*Sev</f>
        <v>0</v>
      </c>
      <c r="W151" s="99" t="n">
        <f aca="false">T151-K151</f>
        <v>0</v>
      </c>
      <c r="X151" s="106" t="str">
        <f aca="false">IFERROR(IRR('Loan CF'!C2859:M2859),"-")</f>
        <v>-</v>
      </c>
      <c r="Y151" s="107" t="str">
        <f aca="false">IFERROR(T151/K151,"-")</f>
        <v>-</v>
      </c>
      <c r="Z151" s="99" t="n">
        <f aca="false">'Loan Tape'!$BC128</f>
        <v>0</v>
      </c>
      <c r="AA151" s="99" t="n">
        <f aca="false">'Loan Tape'!$BE128</f>
        <v>0</v>
      </c>
      <c r="AB151" s="99" t="n">
        <f aca="false">SUM('Loan CF'!D3768:M3768)-AA151</f>
        <v>0</v>
      </c>
      <c r="AC151" s="106" t="str">
        <f aca="false">IFERROR(IRR('Loan CF'!C3768:M3768),"-")</f>
        <v>-</v>
      </c>
      <c r="AD151" s="107" t="str">
        <f aca="false">IFERROR(SUM('Loan CF'!D3768:M3768)/AA151,"-")</f>
        <v>-</v>
      </c>
    </row>
    <row r="152" customFormat="false" ht="15" hidden="false" customHeight="false" outlineLevel="0" collapsed="false">
      <c r="B152" s="108" t="str">
        <f aca="false">IF('Loan Tape'!$A129="","",'Loan Tape'!$A129)</f>
        <v/>
      </c>
      <c r="C152" s="108" t="str">
        <f aca="false">IF('Loan Tape'!$A129="","",'Loan Tape'!$B129)</f>
        <v/>
      </c>
      <c r="D152" s="108" t="str">
        <f aca="false">IF('Loan Tape'!$A129="","",'Loan Tape'!$C129)</f>
        <v/>
      </c>
      <c r="E152" s="108" t="str">
        <f aca="false">IF('Loan Tape'!$A129="","",'Loan Tape'!$D129)</f>
        <v/>
      </c>
      <c r="F152" s="108" t="str">
        <f aca="false">IF('Loan Tape'!$A129="","",'Loan Tape'!$E129)</f>
        <v/>
      </c>
      <c r="G152" s="26" t="n">
        <f aca="false">'Loan Tape'!$AN129</f>
        <v>0</v>
      </c>
      <c r="H152" s="71" t="n">
        <f aca="false">'Loan Tape'!$R129*'Loan Tape'!$AN129</f>
        <v>0</v>
      </c>
      <c r="I152" s="56" t="n">
        <f aca="false">'Loan Tape'!$AO129</f>
        <v>0</v>
      </c>
      <c r="J152" s="71" t="n">
        <f aca="false">'Loan Tape'!$AY129</f>
        <v>0</v>
      </c>
      <c r="K152" s="71" t="n">
        <f aca="false">'Loan Tape'!$BB129</f>
        <v>0</v>
      </c>
      <c r="L152" s="56" t="n">
        <f aca="false">'Loan CF'!C436</f>
        <v>0</v>
      </c>
      <c r="M152" s="70" t="n">
        <f aca="false">'Loan Tape'!$AS129*'Loan Tape'!$AN129</f>
        <v>0</v>
      </c>
      <c r="N152" s="70" t="n">
        <f aca="false">IFERROR(SUMPRODUCT(('Loan CF'!$C$916:$L$916-0.5)*('Loan CF'!C1042:L1042+'Loan CF'!C1345:L1345+'Loan CF'!C1648:L1648))/(SUM('Loan CF'!C1042:L1042)+SUM('Loan CF'!C1345:L1345)+SUM('Loan CF'!C1648:L1648)),0)</f>
        <v>0</v>
      </c>
      <c r="O152" s="71" t="n">
        <f aca="false">SUM('Loan CF'!C1951:L1951)</f>
        <v>0</v>
      </c>
      <c r="P152" s="71" t="n">
        <f aca="false">SUM('Loan CF'!C1042:L1042)+SUM('Loan CF'!C1345:L1345)+SUM('Loan CF'!C1648:L1648)</f>
        <v>0</v>
      </c>
      <c r="Q152" s="71" t="n">
        <f aca="false">SUM('Loan CF'!C2254:L2254)</f>
        <v>0</v>
      </c>
      <c r="R152" s="71" t="n">
        <f aca="false">SUM('Loan CF'!C1345:L1345)*Prepay_Pen</f>
        <v>0</v>
      </c>
      <c r="S152" s="71" t="n">
        <f aca="false">'Loan CF'!$C2557</f>
        <v>0</v>
      </c>
      <c r="T152" s="71" t="n">
        <f aca="false">SUM(O152:S152)</f>
        <v>0</v>
      </c>
      <c r="U152" s="71" t="n">
        <f aca="false">SUM('Loan CF'!C739:L739)</f>
        <v>0</v>
      </c>
      <c r="V152" s="71" t="n">
        <f aca="false">U152*Sev</f>
        <v>0</v>
      </c>
      <c r="W152" s="71" t="n">
        <f aca="false">T152-K152</f>
        <v>0</v>
      </c>
      <c r="X152" s="109" t="str">
        <f aca="false">IFERROR(IRR('Loan CF'!C2860:M2860),"-")</f>
        <v>-</v>
      </c>
      <c r="Y152" s="110" t="str">
        <f aca="false">IFERROR(T152/K152,"-")</f>
        <v>-</v>
      </c>
      <c r="Z152" s="71" t="n">
        <f aca="false">'Loan Tape'!$BC129</f>
        <v>0</v>
      </c>
      <c r="AA152" s="71" t="n">
        <f aca="false">'Loan Tape'!$BE129</f>
        <v>0</v>
      </c>
      <c r="AB152" s="71" t="n">
        <f aca="false">SUM('Loan CF'!D3769:M3769)-AA152</f>
        <v>0</v>
      </c>
      <c r="AC152" s="109" t="str">
        <f aca="false">IFERROR(IRR('Loan CF'!C3769:M3769),"-")</f>
        <v>-</v>
      </c>
      <c r="AD152" s="110" t="str">
        <f aca="false">IFERROR(SUM('Loan CF'!D3769:M3769)/AA152,"-")</f>
        <v>-</v>
      </c>
    </row>
    <row r="153" customFormat="false" ht="15" hidden="false" customHeight="false" outlineLevel="0" collapsed="false">
      <c r="B153" s="102" t="str">
        <f aca="false">IF('Loan Tape'!$A130="","",'Loan Tape'!$A130)</f>
        <v/>
      </c>
      <c r="C153" s="102" t="str">
        <f aca="false">IF('Loan Tape'!$A130="","",'Loan Tape'!$B130)</f>
        <v/>
      </c>
      <c r="D153" s="102" t="str">
        <f aca="false">IF('Loan Tape'!$A130="","",'Loan Tape'!$C130)</f>
        <v/>
      </c>
      <c r="E153" s="102" t="str">
        <f aca="false">IF('Loan Tape'!$A130="","",'Loan Tape'!$D130)</f>
        <v/>
      </c>
      <c r="F153" s="102" t="str">
        <f aca="false">IF('Loan Tape'!$A130="","",'Loan Tape'!$E130)</f>
        <v/>
      </c>
      <c r="G153" s="103" t="n">
        <f aca="false">'Loan Tape'!$AN130</f>
        <v>0</v>
      </c>
      <c r="H153" s="99" t="n">
        <f aca="false">'Loan Tape'!$R130*'Loan Tape'!$AN130</f>
        <v>0</v>
      </c>
      <c r="I153" s="104" t="n">
        <f aca="false">'Loan Tape'!$AO130</f>
        <v>0</v>
      </c>
      <c r="J153" s="99" t="n">
        <f aca="false">'Loan Tape'!$AY130</f>
        <v>0</v>
      </c>
      <c r="K153" s="99" t="n">
        <f aca="false">'Loan Tape'!$BB130</f>
        <v>0</v>
      </c>
      <c r="L153" s="104" t="n">
        <f aca="false">'Loan CF'!C437</f>
        <v>0</v>
      </c>
      <c r="M153" s="105" t="n">
        <f aca="false">'Loan Tape'!$AS130*'Loan Tape'!$AN130</f>
        <v>0</v>
      </c>
      <c r="N153" s="105" t="n">
        <f aca="false">IFERROR(SUMPRODUCT(('Loan CF'!$C$916:$L$916-0.5)*('Loan CF'!C1043:L1043+'Loan CF'!C1346:L1346+'Loan CF'!C1649:L1649))/(SUM('Loan CF'!C1043:L1043)+SUM('Loan CF'!C1346:L1346)+SUM('Loan CF'!C1649:L1649)),0)</f>
        <v>0</v>
      </c>
      <c r="O153" s="99" t="n">
        <f aca="false">SUM('Loan CF'!C1952:L1952)</f>
        <v>0</v>
      </c>
      <c r="P153" s="99" t="n">
        <f aca="false">SUM('Loan CF'!C1043:L1043)+SUM('Loan CF'!C1346:L1346)+SUM('Loan CF'!C1649:L1649)</f>
        <v>0</v>
      </c>
      <c r="Q153" s="99" t="n">
        <f aca="false">SUM('Loan CF'!C2255:L2255)</f>
        <v>0</v>
      </c>
      <c r="R153" s="99" t="n">
        <f aca="false">SUM('Loan CF'!C1346:L1346)*Prepay_Pen</f>
        <v>0</v>
      </c>
      <c r="S153" s="99" t="n">
        <f aca="false">'Loan CF'!$C2558</f>
        <v>0</v>
      </c>
      <c r="T153" s="99" t="n">
        <f aca="false">SUM(O153:S153)</f>
        <v>0</v>
      </c>
      <c r="U153" s="99" t="n">
        <f aca="false">SUM('Loan CF'!C740:L740)</f>
        <v>0</v>
      </c>
      <c r="V153" s="99" t="n">
        <f aca="false">U153*Sev</f>
        <v>0</v>
      </c>
      <c r="W153" s="99" t="n">
        <f aca="false">T153-K153</f>
        <v>0</v>
      </c>
      <c r="X153" s="106" t="str">
        <f aca="false">IFERROR(IRR('Loan CF'!C2861:M2861),"-")</f>
        <v>-</v>
      </c>
      <c r="Y153" s="107" t="str">
        <f aca="false">IFERROR(T153/K153,"-")</f>
        <v>-</v>
      </c>
      <c r="Z153" s="99" t="n">
        <f aca="false">'Loan Tape'!$BC130</f>
        <v>0</v>
      </c>
      <c r="AA153" s="99" t="n">
        <f aca="false">'Loan Tape'!$BE130</f>
        <v>0</v>
      </c>
      <c r="AB153" s="99" t="n">
        <f aca="false">SUM('Loan CF'!D3770:M3770)-AA153</f>
        <v>0</v>
      </c>
      <c r="AC153" s="106" t="str">
        <f aca="false">IFERROR(IRR('Loan CF'!C3770:M3770),"-")</f>
        <v>-</v>
      </c>
      <c r="AD153" s="107" t="str">
        <f aca="false">IFERROR(SUM('Loan CF'!D3770:M3770)/AA153,"-")</f>
        <v>-</v>
      </c>
    </row>
    <row r="154" customFormat="false" ht="15" hidden="false" customHeight="false" outlineLevel="0" collapsed="false">
      <c r="B154" s="108" t="str">
        <f aca="false">IF('Loan Tape'!$A131="","",'Loan Tape'!$A131)</f>
        <v/>
      </c>
      <c r="C154" s="108" t="str">
        <f aca="false">IF('Loan Tape'!$A131="","",'Loan Tape'!$B131)</f>
        <v/>
      </c>
      <c r="D154" s="108" t="str">
        <f aca="false">IF('Loan Tape'!$A131="","",'Loan Tape'!$C131)</f>
        <v/>
      </c>
      <c r="E154" s="108" t="str">
        <f aca="false">IF('Loan Tape'!$A131="","",'Loan Tape'!$D131)</f>
        <v/>
      </c>
      <c r="F154" s="108" t="str">
        <f aca="false">IF('Loan Tape'!$A131="","",'Loan Tape'!$E131)</f>
        <v/>
      </c>
      <c r="G154" s="26" t="n">
        <f aca="false">'Loan Tape'!$AN131</f>
        <v>0</v>
      </c>
      <c r="H154" s="71" t="n">
        <f aca="false">'Loan Tape'!$R131*'Loan Tape'!$AN131</f>
        <v>0</v>
      </c>
      <c r="I154" s="56" t="n">
        <f aca="false">'Loan Tape'!$AO131</f>
        <v>0</v>
      </c>
      <c r="J154" s="71" t="n">
        <f aca="false">'Loan Tape'!$AY131</f>
        <v>0</v>
      </c>
      <c r="K154" s="71" t="n">
        <f aca="false">'Loan Tape'!$BB131</f>
        <v>0</v>
      </c>
      <c r="L154" s="56" t="n">
        <f aca="false">'Loan CF'!C438</f>
        <v>0</v>
      </c>
      <c r="M154" s="70" t="n">
        <f aca="false">'Loan Tape'!$AS131*'Loan Tape'!$AN131</f>
        <v>0</v>
      </c>
      <c r="N154" s="70" t="n">
        <f aca="false">IFERROR(SUMPRODUCT(('Loan CF'!$C$916:$L$916-0.5)*('Loan CF'!C1044:L1044+'Loan CF'!C1347:L1347+'Loan CF'!C1650:L1650))/(SUM('Loan CF'!C1044:L1044)+SUM('Loan CF'!C1347:L1347)+SUM('Loan CF'!C1650:L1650)),0)</f>
        <v>0</v>
      </c>
      <c r="O154" s="71" t="n">
        <f aca="false">SUM('Loan CF'!C1953:L1953)</f>
        <v>0</v>
      </c>
      <c r="P154" s="71" t="n">
        <f aca="false">SUM('Loan CF'!C1044:L1044)+SUM('Loan CF'!C1347:L1347)+SUM('Loan CF'!C1650:L1650)</f>
        <v>0</v>
      </c>
      <c r="Q154" s="71" t="n">
        <f aca="false">SUM('Loan CF'!C2256:L2256)</f>
        <v>0</v>
      </c>
      <c r="R154" s="71" t="n">
        <f aca="false">SUM('Loan CF'!C1347:L1347)*Prepay_Pen</f>
        <v>0</v>
      </c>
      <c r="S154" s="71" t="n">
        <f aca="false">'Loan CF'!$C2559</f>
        <v>0</v>
      </c>
      <c r="T154" s="71" t="n">
        <f aca="false">SUM(O154:S154)</f>
        <v>0</v>
      </c>
      <c r="U154" s="71" t="n">
        <f aca="false">SUM('Loan CF'!C741:L741)</f>
        <v>0</v>
      </c>
      <c r="V154" s="71" t="n">
        <f aca="false">U154*Sev</f>
        <v>0</v>
      </c>
      <c r="W154" s="71" t="n">
        <f aca="false">T154-K154</f>
        <v>0</v>
      </c>
      <c r="X154" s="109" t="str">
        <f aca="false">IFERROR(IRR('Loan CF'!C2862:M2862),"-")</f>
        <v>-</v>
      </c>
      <c r="Y154" s="110" t="str">
        <f aca="false">IFERROR(T154/K154,"-")</f>
        <v>-</v>
      </c>
      <c r="Z154" s="71" t="n">
        <f aca="false">'Loan Tape'!$BC131</f>
        <v>0</v>
      </c>
      <c r="AA154" s="71" t="n">
        <f aca="false">'Loan Tape'!$BE131</f>
        <v>0</v>
      </c>
      <c r="AB154" s="71" t="n">
        <f aca="false">SUM('Loan CF'!D3771:M3771)-AA154</f>
        <v>0</v>
      </c>
      <c r="AC154" s="109" t="str">
        <f aca="false">IFERROR(IRR('Loan CF'!C3771:M3771),"-")</f>
        <v>-</v>
      </c>
      <c r="AD154" s="110" t="str">
        <f aca="false">IFERROR(SUM('Loan CF'!D3771:M3771)/AA154,"-")</f>
        <v>-</v>
      </c>
    </row>
    <row r="155" customFormat="false" ht="15" hidden="false" customHeight="false" outlineLevel="0" collapsed="false">
      <c r="B155" s="102" t="str">
        <f aca="false">IF('Loan Tape'!$A132="","",'Loan Tape'!$A132)</f>
        <v/>
      </c>
      <c r="C155" s="102" t="str">
        <f aca="false">IF('Loan Tape'!$A132="","",'Loan Tape'!$B132)</f>
        <v/>
      </c>
      <c r="D155" s="102" t="str">
        <f aca="false">IF('Loan Tape'!$A132="","",'Loan Tape'!$C132)</f>
        <v/>
      </c>
      <c r="E155" s="102" t="str">
        <f aca="false">IF('Loan Tape'!$A132="","",'Loan Tape'!$D132)</f>
        <v/>
      </c>
      <c r="F155" s="102" t="str">
        <f aca="false">IF('Loan Tape'!$A132="","",'Loan Tape'!$E132)</f>
        <v/>
      </c>
      <c r="G155" s="103" t="n">
        <f aca="false">'Loan Tape'!$AN132</f>
        <v>0</v>
      </c>
      <c r="H155" s="99" t="n">
        <f aca="false">'Loan Tape'!$R132*'Loan Tape'!$AN132</f>
        <v>0</v>
      </c>
      <c r="I155" s="104" t="n">
        <f aca="false">'Loan Tape'!$AO132</f>
        <v>0</v>
      </c>
      <c r="J155" s="99" t="n">
        <f aca="false">'Loan Tape'!$AY132</f>
        <v>0</v>
      </c>
      <c r="K155" s="99" t="n">
        <f aca="false">'Loan Tape'!$BB132</f>
        <v>0</v>
      </c>
      <c r="L155" s="104" t="n">
        <f aca="false">'Loan CF'!C439</f>
        <v>0</v>
      </c>
      <c r="M155" s="105" t="n">
        <f aca="false">'Loan Tape'!$AS132*'Loan Tape'!$AN132</f>
        <v>0</v>
      </c>
      <c r="N155" s="105" t="n">
        <f aca="false">IFERROR(SUMPRODUCT(('Loan CF'!$C$916:$L$916-0.5)*('Loan CF'!C1045:L1045+'Loan CF'!C1348:L1348+'Loan CF'!C1651:L1651))/(SUM('Loan CF'!C1045:L1045)+SUM('Loan CF'!C1348:L1348)+SUM('Loan CF'!C1651:L1651)),0)</f>
        <v>0</v>
      </c>
      <c r="O155" s="99" t="n">
        <f aca="false">SUM('Loan CF'!C1954:L1954)</f>
        <v>0</v>
      </c>
      <c r="P155" s="99" t="n">
        <f aca="false">SUM('Loan CF'!C1045:L1045)+SUM('Loan CF'!C1348:L1348)+SUM('Loan CF'!C1651:L1651)</f>
        <v>0</v>
      </c>
      <c r="Q155" s="99" t="n">
        <f aca="false">SUM('Loan CF'!C2257:L2257)</f>
        <v>0</v>
      </c>
      <c r="R155" s="99" t="n">
        <f aca="false">SUM('Loan CF'!C1348:L1348)*Prepay_Pen</f>
        <v>0</v>
      </c>
      <c r="S155" s="99" t="n">
        <f aca="false">'Loan CF'!$C2560</f>
        <v>0</v>
      </c>
      <c r="T155" s="99" t="n">
        <f aca="false">SUM(O155:S155)</f>
        <v>0</v>
      </c>
      <c r="U155" s="99" t="n">
        <f aca="false">SUM('Loan CF'!C742:L742)</f>
        <v>0</v>
      </c>
      <c r="V155" s="99" t="n">
        <f aca="false">U155*Sev</f>
        <v>0</v>
      </c>
      <c r="W155" s="99" t="n">
        <f aca="false">T155-K155</f>
        <v>0</v>
      </c>
      <c r="X155" s="106" t="str">
        <f aca="false">IFERROR(IRR('Loan CF'!C2863:M2863),"-")</f>
        <v>-</v>
      </c>
      <c r="Y155" s="107" t="str">
        <f aca="false">IFERROR(T155/K155,"-")</f>
        <v>-</v>
      </c>
      <c r="Z155" s="99" t="n">
        <f aca="false">'Loan Tape'!$BC132</f>
        <v>0</v>
      </c>
      <c r="AA155" s="99" t="n">
        <f aca="false">'Loan Tape'!$BE132</f>
        <v>0</v>
      </c>
      <c r="AB155" s="99" t="n">
        <f aca="false">SUM('Loan CF'!D3772:M3772)-AA155</f>
        <v>0</v>
      </c>
      <c r="AC155" s="106" t="str">
        <f aca="false">IFERROR(IRR('Loan CF'!C3772:M3772),"-")</f>
        <v>-</v>
      </c>
      <c r="AD155" s="107" t="str">
        <f aca="false">IFERROR(SUM('Loan CF'!D3772:M3772)/AA155,"-")</f>
        <v>-</v>
      </c>
    </row>
    <row r="156" customFormat="false" ht="15" hidden="false" customHeight="false" outlineLevel="0" collapsed="false">
      <c r="B156" s="108" t="str">
        <f aca="false">IF('Loan Tape'!$A133="","",'Loan Tape'!$A133)</f>
        <v/>
      </c>
      <c r="C156" s="108" t="str">
        <f aca="false">IF('Loan Tape'!$A133="","",'Loan Tape'!$B133)</f>
        <v/>
      </c>
      <c r="D156" s="108" t="str">
        <f aca="false">IF('Loan Tape'!$A133="","",'Loan Tape'!$C133)</f>
        <v/>
      </c>
      <c r="E156" s="108" t="str">
        <f aca="false">IF('Loan Tape'!$A133="","",'Loan Tape'!$D133)</f>
        <v/>
      </c>
      <c r="F156" s="108" t="str">
        <f aca="false">IF('Loan Tape'!$A133="","",'Loan Tape'!$E133)</f>
        <v/>
      </c>
      <c r="G156" s="26" t="n">
        <f aca="false">'Loan Tape'!$AN133</f>
        <v>0</v>
      </c>
      <c r="H156" s="71" t="n">
        <f aca="false">'Loan Tape'!$R133*'Loan Tape'!$AN133</f>
        <v>0</v>
      </c>
      <c r="I156" s="56" t="n">
        <f aca="false">'Loan Tape'!$AO133</f>
        <v>0</v>
      </c>
      <c r="J156" s="71" t="n">
        <f aca="false">'Loan Tape'!$AY133</f>
        <v>0</v>
      </c>
      <c r="K156" s="71" t="n">
        <f aca="false">'Loan Tape'!$BB133</f>
        <v>0</v>
      </c>
      <c r="L156" s="56" t="n">
        <f aca="false">'Loan CF'!C440</f>
        <v>0</v>
      </c>
      <c r="M156" s="70" t="n">
        <f aca="false">'Loan Tape'!$AS133*'Loan Tape'!$AN133</f>
        <v>0</v>
      </c>
      <c r="N156" s="70" t="n">
        <f aca="false">IFERROR(SUMPRODUCT(('Loan CF'!$C$916:$L$916-0.5)*('Loan CF'!C1046:L1046+'Loan CF'!C1349:L1349+'Loan CF'!C1652:L1652))/(SUM('Loan CF'!C1046:L1046)+SUM('Loan CF'!C1349:L1349)+SUM('Loan CF'!C1652:L1652)),0)</f>
        <v>0</v>
      </c>
      <c r="O156" s="71" t="n">
        <f aca="false">SUM('Loan CF'!C1955:L1955)</f>
        <v>0</v>
      </c>
      <c r="P156" s="71" t="n">
        <f aca="false">SUM('Loan CF'!C1046:L1046)+SUM('Loan CF'!C1349:L1349)+SUM('Loan CF'!C1652:L1652)</f>
        <v>0</v>
      </c>
      <c r="Q156" s="71" t="n">
        <f aca="false">SUM('Loan CF'!C2258:L2258)</f>
        <v>0</v>
      </c>
      <c r="R156" s="71" t="n">
        <f aca="false">SUM('Loan CF'!C1349:L1349)*Prepay_Pen</f>
        <v>0</v>
      </c>
      <c r="S156" s="71" t="n">
        <f aca="false">'Loan CF'!$C2561</f>
        <v>0</v>
      </c>
      <c r="T156" s="71" t="n">
        <f aca="false">SUM(O156:S156)</f>
        <v>0</v>
      </c>
      <c r="U156" s="71" t="n">
        <f aca="false">SUM('Loan CF'!C743:L743)</f>
        <v>0</v>
      </c>
      <c r="V156" s="71" t="n">
        <f aca="false">U156*Sev</f>
        <v>0</v>
      </c>
      <c r="W156" s="71" t="n">
        <f aca="false">T156-K156</f>
        <v>0</v>
      </c>
      <c r="X156" s="109" t="str">
        <f aca="false">IFERROR(IRR('Loan CF'!C2864:M2864),"-")</f>
        <v>-</v>
      </c>
      <c r="Y156" s="110" t="str">
        <f aca="false">IFERROR(T156/K156,"-")</f>
        <v>-</v>
      </c>
      <c r="Z156" s="71" t="n">
        <f aca="false">'Loan Tape'!$BC133</f>
        <v>0</v>
      </c>
      <c r="AA156" s="71" t="n">
        <f aca="false">'Loan Tape'!$BE133</f>
        <v>0</v>
      </c>
      <c r="AB156" s="71" t="n">
        <f aca="false">SUM('Loan CF'!D3773:M3773)-AA156</f>
        <v>0</v>
      </c>
      <c r="AC156" s="109" t="str">
        <f aca="false">IFERROR(IRR('Loan CF'!C3773:M3773),"-")</f>
        <v>-</v>
      </c>
      <c r="AD156" s="110" t="str">
        <f aca="false">IFERROR(SUM('Loan CF'!D3773:M3773)/AA156,"-")</f>
        <v>-</v>
      </c>
    </row>
    <row r="157" customFormat="false" ht="15" hidden="false" customHeight="false" outlineLevel="0" collapsed="false">
      <c r="B157" s="102" t="str">
        <f aca="false">IF('Loan Tape'!$A134="","",'Loan Tape'!$A134)</f>
        <v/>
      </c>
      <c r="C157" s="102" t="str">
        <f aca="false">IF('Loan Tape'!$A134="","",'Loan Tape'!$B134)</f>
        <v/>
      </c>
      <c r="D157" s="102" t="str">
        <f aca="false">IF('Loan Tape'!$A134="","",'Loan Tape'!$C134)</f>
        <v/>
      </c>
      <c r="E157" s="102" t="str">
        <f aca="false">IF('Loan Tape'!$A134="","",'Loan Tape'!$D134)</f>
        <v/>
      </c>
      <c r="F157" s="102" t="str">
        <f aca="false">IF('Loan Tape'!$A134="","",'Loan Tape'!$E134)</f>
        <v/>
      </c>
      <c r="G157" s="103" t="n">
        <f aca="false">'Loan Tape'!$AN134</f>
        <v>0</v>
      </c>
      <c r="H157" s="99" t="n">
        <f aca="false">'Loan Tape'!$R134*'Loan Tape'!$AN134</f>
        <v>0</v>
      </c>
      <c r="I157" s="104" t="n">
        <f aca="false">'Loan Tape'!$AO134</f>
        <v>0</v>
      </c>
      <c r="J157" s="99" t="n">
        <f aca="false">'Loan Tape'!$AY134</f>
        <v>0</v>
      </c>
      <c r="K157" s="99" t="n">
        <f aca="false">'Loan Tape'!$BB134</f>
        <v>0</v>
      </c>
      <c r="L157" s="104" t="n">
        <f aca="false">'Loan CF'!C441</f>
        <v>0</v>
      </c>
      <c r="M157" s="105" t="n">
        <f aca="false">'Loan Tape'!$AS134*'Loan Tape'!$AN134</f>
        <v>0</v>
      </c>
      <c r="N157" s="105" t="n">
        <f aca="false">IFERROR(SUMPRODUCT(('Loan CF'!$C$916:$L$916-0.5)*('Loan CF'!C1047:L1047+'Loan CF'!C1350:L1350+'Loan CF'!C1653:L1653))/(SUM('Loan CF'!C1047:L1047)+SUM('Loan CF'!C1350:L1350)+SUM('Loan CF'!C1653:L1653)),0)</f>
        <v>0</v>
      </c>
      <c r="O157" s="99" t="n">
        <f aca="false">SUM('Loan CF'!C1956:L1956)</f>
        <v>0</v>
      </c>
      <c r="P157" s="99" t="n">
        <f aca="false">SUM('Loan CF'!C1047:L1047)+SUM('Loan CF'!C1350:L1350)+SUM('Loan CF'!C1653:L1653)</f>
        <v>0</v>
      </c>
      <c r="Q157" s="99" t="n">
        <f aca="false">SUM('Loan CF'!C2259:L2259)</f>
        <v>0</v>
      </c>
      <c r="R157" s="99" t="n">
        <f aca="false">SUM('Loan CF'!C1350:L1350)*Prepay_Pen</f>
        <v>0</v>
      </c>
      <c r="S157" s="99" t="n">
        <f aca="false">'Loan CF'!$C2562</f>
        <v>0</v>
      </c>
      <c r="T157" s="99" t="n">
        <f aca="false">SUM(O157:S157)</f>
        <v>0</v>
      </c>
      <c r="U157" s="99" t="n">
        <f aca="false">SUM('Loan CF'!C744:L744)</f>
        <v>0</v>
      </c>
      <c r="V157" s="99" t="n">
        <f aca="false">U157*Sev</f>
        <v>0</v>
      </c>
      <c r="W157" s="99" t="n">
        <f aca="false">T157-K157</f>
        <v>0</v>
      </c>
      <c r="X157" s="106" t="str">
        <f aca="false">IFERROR(IRR('Loan CF'!C2865:M2865),"-")</f>
        <v>-</v>
      </c>
      <c r="Y157" s="107" t="str">
        <f aca="false">IFERROR(T157/K157,"-")</f>
        <v>-</v>
      </c>
      <c r="Z157" s="99" t="n">
        <f aca="false">'Loan Tape'!$BC134</f>
        <v>0</v>
      </c>
      <c r="AA157" s="99" t="n">
        <f aca="false">'Loan Tape'!$BE134</f>
        <v>0</v>
      </c>
      <c r="AB157" s="99" t="n">
        <f aca="false">SUM('Loan CF'!D3774:M3774)-AA157</f>
        <v>0</v>
      </c>
      <c r="AC157" s="106" t="str">
        <f aca="false">IFERROR(IRR('Loan CF'!C3774:M3774),"-")</f>
        <v>-</v>
      </c>
      <c r="AD157" s="107" t="str">
        <f aca="false">IFERROR(SUM('Loan CF'!D3774:M3774)/AA157,"-")</f>
        <v>-</v>
      </c>
    </row>
    <row r="158" customFormat="false" ht="15" hidden="false" customHeight="false" outlineLevel="0" collapsed="false">
      <c r="B158" s="108" t="str">
        <f aca="false">IF('Loan Tape'!$A135="","",'Loan Tape'!$A135)</f>
        <v/>
      </c>
      <c r="C158" s="108" t="str">
        <f aca="false">IF('Loan Tape'!$A135="","",'Loan Tape'!$B135)</f>
        <v/>
      </c>
      <c r="D158" s="108" t="str">
        <f aca="false">IF('Loan Tape'!$A135="","",'Loan Tape'!$C135)</f>
        <v/>
      </c>
      <c r="E158" s="108" t="str">
        <f aca="false">IF('Loan Tape'!$A135="","",'Loan Tape'!$D135)</f>
        <v/>
      </c>
      <c r="F158" s="108" t="str">
        <f aca="false">IF('Loan Tape'!$A135="","",'Loan Tape'!$E135)</f>
        <v/>
      </c>
      <c r="G158" s="26" t="n">
        <f aca="false">'Loan Tape'!$AN135</f>
        <v>0</v>
      </c>
      <c r="H158" s="71" t="n">
        <f aca="false">'Loan Tape'!$R135*'Loan Tape'!$AN135</f>
        <v>0</v>
      </c>
      <c r="I158" s="56" t="n">
        <f aca="false">'Loan Tape'!$AO135</f>
        <v>0</v>
      </c>
      <c r="J158" s="71" t="n">
        <f aca="false">'Loan Tape'!$AY135</f>
        <v>0</v>
      </c>
      <c r="K158" s="71" t="n">
        <f aca="false">'Loan Tape'!$BB135</f>
        <v>0</v>
      </c>
      <c r="L158" s="56" t="n">
        <f aca="false">'Loan CF'!C442</f>
        <v>0</v>
      </c>
      <c r="M158" s="70" t="n">
        <f aca="false">'Loan Tape'!$AS135*'Loan Tape'!$AN135</f>
        <v>0</v>
      </c>
      <c r="N158" s="70" t="n">
        <f aca="false">IFERROR(SUMPRODUCT(('Loan CF'!$C$916:$L$916-0.5)*('Loan CF'!C1048:L1048+'Loan CF'!C1351:L1351+'Loan CF'!C1654:L1654))/(SUM('Loan CF'!C1048:L1048)+SUM('Loan CF'!C1351:L1351)+SUM('Loan CF'!C1654:L1654)),0)</f>
        <v>0</v>
      </c>
      <c r="O158" s="71" t="n">
        <f aca="false">SUM('Loan CF'!C1957:L1957)</f>
        <v>0</v>
      </c>
      <c r="P158" s="71" t="n">
        <f aca="false">SUM('Loan CF'!C1048:L1048)+SUM('Loan CF'!C1351:L1351)+SUM('Loan CF'!C1654:L1654)</f>
        <v>0</v>
      </c>
      <c r="Q158" s="71" t="n">
        <f aca="false">SUM('Loan CF'!C2260:L2260)</f>
        <v>0</v>
      </c>
      <c r="R158" s="71" t="n">
        <f aca="false">SUM('Loan CF'!C1351:L1351)*Prepay_Pen</f>
        <v>0</v>
      </c>
      <c r="S158" s="71" t="n">
        <f aca="false">'Loan CF'!$C2563</f>
        <v>0</v>
      </c>
      <c r="T158" s="71" t="n">
        <f aca="false">SUM(O158:S158)</f>
        <v>0</v>
      </c>
      <c r="U158" s="71" t="n">
        <f aca="false">SUM('Loan CF'!C745:L745)</f>
        <v>0</v>
      </c>
      <c r="V158" s="71" t="n">
        <f aca="false">U158*Sev</f>
        <v>0</v>
      </c>
      <c r="W158" s="71" t="n">
        <f aca="false">T158-K158</f>
        <v>0</v>
      </c>
      <c r="X158" s="109" t="str">
        <f aca="false">IFERROR(IRR('Loan CF'!C2866:M2866),"-")</f>
        <v>-</v>
      </c>
      <c r="Y158" s="110" t="str">
        <f aca="false">IFERROR(T158/K158,"-")</f>
        <v>-</v>
      </c>
      <c r="Z158" s="71" t="n">
        <f aca="false">'Loan Tape'!$BC135</f>
        <v>0</v>
      </c>
      <c r="AA158" s="71" t="n">
        <f aca="false">'Loan Tape'!$BE135</f>
        <v>0</v>
      </c>
      <c r="AB158" s="71" t="n">
        <f aca="false">SUM('Loan CF'!D3775:M3775)-AA158</f>
        <v>0</v>
      </c>
      <c r="AC158" s="109" t="str">
        <f aca="false">IFERROR(IRR('Loan CF'!C3775:M3775),"-")</f>
        <v>-</v>
      </c>
      <c r="AD158" s="110" t="str">
        <f aca="false">IFERROR(SUM('Loan CF'!D3775:M3775)/AA158,"-")</f>
        <v>-</v>
      </c>
    </row>
    <row r="159" customFormat="false" ht="15" hidden="false" customHeight="false" outlineLevel="0" collapsed="false">
      <c r="B159" s="102" t="str">
        <f aca="false">IF('Loan Tape'!$A136="","",'Loan Tape'!$A136)</f>
        <v/>
      </c>
      <c r="C159" s="102" t="str">
        <f aca="false">IF('Loan Tape'!$A136="","",'Loan Tape'!$B136)</f>
        <v/>
      </c>
      <c r="D159" s="102" t="str">
        <f aca="false">IF('Loan Tape'!$A136="","",'Loan Tape'!$C136)</f>
        <v/>
      </c>
      <c r="E159" s="102" t="str">
        <f aca="false">IF('Loan Tape'!$A136="","",'Loan Tape'!$D136)</f>
        <v/>
      </c>
      <c r="F159" s="102" t="str">
        <f aca="false">IF('Loan Tape'!$A136="","",'Loan Tape'!$E136)</f>
        <v/>
      </c>
      <c r="G159" s="103" t="n">
        <f aca="false">'Loan Tape'!$AN136</f>
        <v>0</v>
      </c>
      <c r="H159" s="99" t="n">
        <f aca="false">'Loan Tape'!$R136*'Loan Tape'!$AN136</f>
        <v>0</v>
      </c>
      <c r="I159" s="104" t="n">
        <f aca="false">'Loan Tape'!$AO136</f>
        <v>0</v>
      </c>
      <c r="J159" s="99" t="n">
        <f aca="false">'Loan Tape'!$AY136</f>
        <v>0</v>
      </c>
      <c r="K159" s="99" t="n">
        <f aca="false">'Loan Tape'!$BB136</f>
        <v>0</v>
      </c>
      <c r="L159" s="104" t="n">
        <f aca="false">'Loan CF'!C443</f>
        <v>0</v>
      </c>
      <c r="M159" s="105" t="n">
        <f aca="false">'Loan Tape'!$AS136*'Loan Tape'!$AN136</f>
        <v>0</v>
      </c>
      <c r="N159" s="105" t="n">
        <f aca="false">IFERROR(SUMPRODUCT(('Loan CF'!$C$916:$L$916-0.5)*('Loan CF'!C1049:L1049+'Loan CF'!C1352:L1352+'Loan CF'!C1655:L1655))/(SUM('Loan CF'!C1049:L1049)+SUM('Loan CF'!C1352:L1352)+SUM('Loan CF'!C1655:L1655)),0)</f>
        <v>0</v>
      </c>
      <c r="O159" s="99" t="n">
        <f aca="false">SUM('Loan CF'!C1958:L1958)</f>
        <v>0</v>
      </c>
      <c r="P159" s="99" t="n">
        <f aca="false">SUM('Loan CF'!C1049:L1049)+SUM('Loan CF'!C1352:L1352)+SUM('Loan CF'!C1655:L1655)</f>
        <v>0</v>
      </c>
      <c r="Q159" s="99" t="n">
        <f aca="false">SUM('Loan CF'!C2261:L2261)</f>
        <v>0</v>
      </c>
      <c r="R159" s="99" t="n">
        <f aca="false">SUM('Loan CF'!C1352:L1352)*Prepay_Pen</f>
        <v>0</v>
      </c>
      <c r="S159" s="99" t="n">
        <f aca="false">'Loan CF'!$C2564</f>
        <v>0</v>
      </c>
      <c r="T159" s="99" t="n">
        <f aca="false">SUM(O159:S159)</f>
        <v>0</v>
      </c>
      <c r="U159" s="99" t="n">
        <f aca="false">SUM('Loan CF'!C746:L746)</f>
        <v>0</v>
      </c>
      <c r="V159" s="99" t="n">
        <f aca="false">U159*Sev</f>
        <v>0</v>
      </c>
      <c r="W159" s="99" t="n">
        <f aca="false">T159-K159</f>
        <v>0</v>
      </c>
      <c r="X159" s="106" t="str">
        <f aca="false">IFERROR(IRR('Loan CF'!C2867:M2867),"-")</f>
        <v>-</v>
      </c>
      <c r="Y159" s="107" t="str">
        <f aca="false">IFERROR(T159/K159,"-")</f>
        <v>-</v>
      </c>
      <c r="Z159" s="99" t="n">
        <f aca="false">'Loan Tape'!$BC136</f>
        <v>0</v>
      </c>
      <c r="AA159" s="99" t="n">
        <f aca="false">'Loan Tape'!$BE136</f>
        <v>0</v>
      </c>
      <c r="AB159" s="99" t="n">
        <f aca="false">SUM('Loan CF'!D3776:M3776)-AA159</f>
        <v>0</v>
      </c>
      <c r="AC159" s="106" t="str">
        <f aca="false">IFERROR(IRR('Loan CF'!C3776:M3776),"-")</f>
        <v>-</v>
      </c>
      <c r="AD159" s="107" t="str">
        <f aca="false">IFERROR(SUM('Loan CF'!D3776:M3776)/AA159,"-")</f>
        <v>-</v>
      </c>
    </row>
    <row r="160" customFormat="false" ht="15" hidden="false" customHeight="false" outlineLevel="0" collapsed="false">
      <c r="B160" s="108" t="str">
        <f aca="false">IF('Loan Tape'!$A137="","",'Loan Tape'!$A137)</f>
        <v/>
      </c>
      <c r="C160" s="108" t="str">
        <f aca="false">IF('Loan Tape'!$A137="","",'Loan Tape'!$B137)</f>
        <v/>
      </c>
      <c r="D160" s="108" t="str">
        <f aca="false">IF('Loan Tape'!$A137="","",'Loan Tape'!$C137)</f>
        <v/>
      </c>
      <c r="E160" s="108" t="str">
        <f aca="false">IF('Loan Tape'!$A137="","",'Loan Tape'!$D137)</f>
        <v/>
      </c>
      <c r="F160" s="108" t="str">
        <f aca="false">IF('Loan Tape'!$A137="","",'Loan Tape'!$E137)</f>
        <v/>
      </c>
      <c r="G160" s="26" t="n">
        <f aca="false">'Loan Tape'!$AN137</f>
        <v>0</v>
      </c>
      <c r="H160" s="71" t="n">
        <f aca="false">'Loan Tape'!$R137*'Loan Tape'!$AN137</f>
        <v>0</v>
      </c>
      <c r="I160" s="56" t="n">
        <f aca="false">'Loan Tape'!$AO137</f>
        <v>0</v>
      </c>
      <c r="J160" s="71" t="n">
        <f aca="false">'Loan Tape'!$AY137</f>
        <v>0</v>
      </c>
      <c r="K160" s="71" t="n">
        <f aca="false">'Loan Tape'!$BB137</f>
        <v>0</v>
      </c>
      <c r="L160" s="56" t="n">
        <f aca="false">'Loan CF'!C444</f>
        <v>0</v>
      </c>
      <c r="M160" s="70" t="n">
        <f aca="false">'Loan Tape'!$AS137*'Loan Tape'!$AN137</f>
        <v>0</v>
      </c>
      <c r="N160" s="70" t="n">
        <f aca="false">IFERROR(SUMPRODUCT(('Loan CF'!$C$916:$L$916-0.5)*('Loan CF'!C1050:L1050+'Loan CF'!C1353:L1353+'Loan CF'!C1656:L1656))/(SUM('Loan CF'!C1050:L1050)+SUM('Loan CF'!C1353:L1353)+SUM('Loan CF'!C1656:L1656)),0)</f>
        <v>0</v>
      </c>
      <c r="O160" s="71" t="n">
        <f aca="false">SUM('Loan CF'!C1959:L1959)</f>
        <v>0</v>
      </c>
      <c r="P160" s="71" t="n">
        <f aca="false">SUM('Loan CF'!C1050:L1050)+SUM('Loan CF'!C1353:L1353)+SUM('Loan CF'!C1656:L1656)</f>
        <v>0</v>
      </c>
      <c r="Q160" s="71" t="n">
        <f aca="false">SUM('Loan CF'!C2262:L2262)</f>
        <v>0</v>
      </c>
      <c r="R160" s="71" t="n">
        <f aca="false">SUM('Loan CF'!C1353:L1353)*Prepay_Pen</f>
        <v>0</v>
      </c>
      <c r="S160" s="71" t="n">
        <f aca="false">'Loan CF'!$C2565</f>
        <v>0</v>
      </c>
      <c r="T160" s="71" t="n">
        <f aca="false">SUM(O160:S160)</f>
        <v>0</v>
      </c>
      <c r="U160" s="71" t="n">
        <f aca="false">SUM('Loan CF'!C747:L747)</f>
        <v>0</v>
      </c>
      <c r="V160" s="71" t="n">
        <f aca="false">U160*Sev</f>
        <v>0</v>
      </c>
      <c r="W160" s="71" t="n">
        <f aca="false">T160-K160</f>
        <v>0</v>
      </c>
      <c r="X160" s="109" t="str">
        <f aca="false">IFERROR(IRR('Loan CF'!C2868:M2868),"-")</f>
        <v>-</v>
      </c>
      <c r="Y160" s="110" t="str">
        <f aca="false">IFERROR(T160/K160,"-")</f>
        <v>-</v>
      </c>
      <c r="Z160" s="71" t="n">
        <f aca="false">'Loan Tape'!$BC137</f>
        <v>0</v>
      </c>
      <c r="AA160" s="71" t="n">
        <f aca="false">'Loan Tape'!$BE137</f>
        <v>0</v>
      </c>
      <c r="AB160" s="71" t="n">
        <f aca="false">SUM('Loan CF'!D3777:M3777)-AA160</f>
        <v>0</v>
      </c>
      <c r="AC160" s="109" t="str">
        <f aca="false">IFERROR(IRR('Loan CF'!C3777:M3777),"-")</f>
        <v>-</v>
      </c>
      <c r="AD160" s="110" t="str">
        <f aca="false">IFERROR(SUM('Loan CF'!D3777:M3777)/AA160,"-")</f>
        <v>-</v>
      </c>
    </row>
    <row r="161" customFormat="false" ht="15" hidden="false" customHeight="false" outlineLevel="0" collapsed="false">
      <c r="B161" s="102" t="str">
        <f aca="false">IF('Loan Tape'!$A138="","",'Loan Tape'!$A138)</f>
        <v/>
      </c>
      <c r="C161" s="102" t="str">
        <f aca="false">IF('Loan Tape'!$A138="","",'Loan Tape'!$B138)</f>
        <v/>
      </c>
      <c r="D161" s="102" t="str">
        <f aca="false">IF('Loan Tape'!$A138="","",'Loan Tape'!$C138)</f>
        <v/>
      </c>
      <c r="E161" s="102" t="str">
        <f aca="false">IF('Loan Tape'!$A138="","",'Loan Tape'!$D138)</f>
        <v/>
      </c>
      <c r="F161" s="102" t="str">
        <f aca="false">IF('Loan Tape'!$A138="","",'Loan Tape'!$E138)</f>
        <v/>
      </c>
      <c r="G161" s="103" t="n">
        <f aca="false">'Loan Tape'!$AN138</f>
        <v>0</v>
      </c>
      <c r="H161" s="99" t="n">
        <f aca="false">'Loan Tape'!$R138*'Loan Tape'!$AN138</f>
        <v>0</v>
      </c>
      <c r="I161" s="104" t="n">
        <f aca="false">'Loan Tape'!$AO138</f>
        <v>0</v>
      </c>
      <c r="J161" s="99" t="n">
        <f aca="false">'Loan Tape'!$AY138</f>
        <v>0</v>
      </c>
      <c r="K161" s="99" t="n">
        <f aca="false">'Loan Tape'!$BB138</f>
        <v>0</v>
      </c>
      <c r="L161" s="104" t="n">
        <f aca="false">'Loan CF'!C445</f>
        <v>0</v>
      </c>
      <c r="M161" s="105" t="n">
        <f aca="false">'Loan Tape'!$AS138*'Loan Tape'!$AN138</f>
        <v>0</v>
      </c>
      <c r="N161" s="105" t="n">
        <f aca="false">IFERROR(SUMPRODUCT(('Loan CF'!$C$916:$L$916-0.5)*('Loan CF'!C1051:L1051+'Loan CF'!C1354:L1354+'Loan CF'!C1657:L1657))/(SUM('Loan CF'!C1051:L1051)+SUM('Loan CF'!C1354:L1354)+SUM('Loan CF'!C1657:L1657)),0)</f>
        <v>0</v>
      </c>
      <c r="O161" s="99" t="n">
        <f aca="false">SUM('Loan CF'!C1960:L1960)</f>
        <v>0</v>
      </c>
      <c r="P161" s="99" t="n">
        <f aca="false">SUM('Loan CF'!C1051:L1051)+SUM('Loan CF'!C1354:L1354)+SUM('Loan CF'!C1657:L1657)</f>
        <v>0</v>
      </c>
      <c r="Q161" s="99" t="n">
        <f aca="false">SUM('Loan CF'!C2263:L2263)</f>
        <v>0</v>
      </c>
      <c r="R161" s="99" t="n">
        <f aca="false">SUM('Loan CF'!C1354:L1354)*Prepay_Pen</f>
        <v>0</v>
      </c>
      <c r="S161" s="99" t="n">
        <f aca="false">'Loan CF'!$C2566</f>
        <v>0</v>
      </c>
      <c r="T161" s="99" t="n">
        <f aca="false">SUM(O161:S161)</f>
        <v>0</v>
      </c>
      <c r="U161" s="99" t="n">
        <f aca="false">SUM('Loan CF'!C748:L748)</f>
        <v>0</v>
      </c>
      <c r="V161" s="99" t="n">
        <f aca="false">U161*Sev</f>
        <v>0</v>
      </c>
      <c r="W161" s="99" t="n">
        <f aca="false">T161-K161</f>
        <v>0</v>
      </c>
      <c r="X161" s="106" t="str">
        <f aca="false">IFERROR(IRR('Loan CF'!C2869:M2869),"-")</f>
        <v>-</v>
      </c>
      <c r="Y161" s="107" t="str">
        <f aca="false">IFERROR(T161/K161,"-")</f>
        <v>-</v>
      </c>
      <c r="Z161" s="99" t="n">
        <f aca="false">'Loan Tape'!$BC138</f>
        <v>0</v>
      </c>
      <c r="AA161" s="99" t="n">
        <f aca="false">'Loan Tape'!$BE138</f>
        <v>0</v>
      </c>
      <c r="AB161" s="99" t="n">
        <f aca="false">SUM('Loan CF'!D3778:M3778)-AA161</f>
        <v>0</v>
      </c>
      <c r="AC161" s="106" t="str">
        <f aca="false">IFERROR(IRR('Loan CF'!C3778:M3778),"-")</f>
        <v>-</v>
      </c>
      <c r="AD161" s="107" t="str">
        <f aca="false">IFERROR(SUM('Loan CF'!D3778:M3778)/AA161,"-")</f>
        <v>-</v>
      </c>
    </row>
    <row r="162" customFormat="false" ht="15" hidden="false" customHeight="false" outlineLevel="0" collapsed="false">
      <c r="B162" s="108" t="str">
        <f aca="false">IF('Loan Tape'!$A139="","",'Loan Tape'!$A139)</f>
        <v/>
      </c>
      <c r="C162" s="108" t="str">
        <f aca="false">IF('Loan Tape'!$A139="","",'Loan Tape'!$B139)</f>
        <v/>
      </c>
      <c r="D162" s="108" t="str">
        <f aca="false">IF('Loan Tape'!$A139="","",'Loan Tape'!$C139)</f>
        <v/>
      </c>
      <c r="E162" s="108" t="str">
        <f aca="false">IF('Loan Tape'!$A139="","",'Loan Tape'!$D139)</f>
        <v/>
      </c>
      <c r="F162" s="108" t="str">
        <f aca="false">IF('Loan Tape'!$A139="","",'Loan Tape'!$E139)</f>
        <v/>
      </c>
      <c r="G162" s="26" t="n">
        <f aca="false">'Loan Tape'!$AN139</f>
        <v>0</v>
      </c>
      <c r="H162" s="71" t="n">
        <f aca="false">'Loan Tape'!$R139*'Loan Tape'!$AN139</f>
        <v>0</v>
      </c>
      <c r="I162" s="56" t="n">
        <f aca="false">'Loan Tape'!$AO139</f>
        <v>0</v>
      </c>
      <c r="J162" s="71" t="n">
        <f aca="false">'Loan Tape'!$AY139</f>
        <v>0</v>
      </c>
      <c r="K162" s="71" t="n">
        <f aca="false">'Loan Tape'!$BB139</f>
        <v>0</v>
      </c>
      <c r="L162" s="56" t="n">
        <f aca="false">'Loan CF'!C446</f>
        <v>0</v>
      </c>
      <c r="M162" s="70" t="n">
        <f aca="false">'Loan Tape'!$AS139*'Loan Tape'!$AN139</f>
        <v>0</v>
      </c>
      <c r="N162" s="70" t="n">
        <f aca="false">IFERROR(SUMPRODUCT(('Loan CF'!$C$916:$L$916-0.5)*('Loan CF'!C1052:L1052+'Loan CF'!C1355:L1355+'Loan CF'!C1658:L1658))/(SUM('Loan CF'!C1052:L1052)+SUM('Loan CF'!C1355:L1355)+SUM('Loan CF'!C1658:L1658)),0)</f>
        <v>0</v>
      </c>
      <c r="O162" s="71" t="n">
        <f aca="false">SUM('Loan CF'!C1961:L1961)</f>
        <v>0</v>
      </c>
      <c r="P162" s="71" t="n">
        <f aca="false">SUM('Loan CF'!C1052:L1052)+SUM('Loan CF'!C1355:L1355)+SUM('Loan CF'!C1658:L1658)</f>
        <v>0</v>
      </c>
      <c r="Q162" s="71" t="n">
        <f aca="false">SUM('Loan CF'!C2264:L2264)</f>
        <v>0</v>
      </c>
      <c r="R162" s="71" t="n">
        <f aca="false">SUM('Loan CF'!C1355:L1355)*Prepay_Pen</f>
        <v>0</v>
      </c>
      <c r="S162" s="71" t="n">
        <f aca="false">'Loan CF'!$C2567</f>
        <v>0</v>
      </c>
      <c r="T162" s="71" t="n">
        <f aca="false">SUM(O162:S162)</f>
        <v>0</v>
      </c>
      <c r="U162" s="71" t="n">
        <f aca="false">SUM('Loan CF'!C749:L749)</f>
        <v>0</v>
      </c>
      <c r="V162" s="71" t="n">
        <f aca="false">U162*Sev</f>
        <v>0</v>
      </c>
      <c r="W162" s="71" t="n">
        <f aca="false">T162-K162</f>
        <v>0</v>
      </c>
      <c r="X162" s="109" t="str">
        <f aca="false">IFERROR(IRR('Loan CF'!C2870:M2870),"-")</f>
        <v>-</v>
      </c>
      <c r="Y162" s="110" t="str">
        <f aca="false">IFERROR(T162/K162,"-")</f>
        <v>-</v>
      </c>
      <c r="Z162" s="71" t="n">
        <f aca="false">'Loan Tape'!$BC139</f>
        <v>0</v>
      </c>
      <c r="AA162" s="71" t="n">
        <f aca="false">'Loan Tape'!$BE139</f>
        <v>0</v>
      </c>
      <c r="AB162" s="71" t="n">
        <f aca="false">SUM('Loan CF'!D3779:M3779)-AA162</f>
        <v>0</v>
      </c>
      <c r="AC162" s="109" t="str">
        <f aca="false">IFERROR(IRR('Loan CF'!C3779:M3779),"-")</f>
        <v>-</v>
      </c>
      <c r="AD162" s="110" t="str">
        <f aca="false">IFERROR(SUM('Loan CF'!D3779:M3779)/AA162,"-")</f>
        <v>-</v>
      </c>
    </row>
    <row r="163" customFormat="false" ht="15" hidden="false" customHeight="false" outlineLevel="0" collapsed="false">
      <c r="B163" s="102" t="str">
        <f aca="false">IF('Loan Tape'!$A140="","",'Loan Tape'!$A140)</f>
        <v/>
      </c>
      <c r="C163" s="102" t="str">
        <f aca="false">IF('Loan Tape'!$A140="","",'Loan Tape'!$B140)</f>
        <v/>
      </c>
      <c r="D163" s="102" t="str">
        <f aca="false">IF('Loan Tape'!$A140="","",'Loan Tape'!$C140)</f>
        <v/>
      </c>
      <c r="E163" s="102" t="str">
        <f aca="false">IF('Loan Tape'!$A140="","",'Loan Tape'!$D140)</f>
        <v/>
      </c>
      <c r="F163" s="102" t="str">
        <f aca="false">IF('Loan Tape'!$A140="","",'Loan Tape'!$E140)</f>
        <v/>
      </c>
      <c r="G163" s="103" t="n">
        <f aca="false">'Loan Tape'!$AN140</f>
        <v>0</v>
      </c>
      <c r="H163" s="99" t="n">
        <f aca="false">'Loan Tape'!$R140*'Loan Tape'!$AN140</f>
        <v>0</v>
      </c>
      <c r="I163" s="104" t="n">
        <f aca="false">'Loan Tape'!$AO140</f>
        <v>0</v>
      </c>
      <c r="J163" s="99" t="n">
        <f aca="false">'Loan Tape'!$AY140</f>
        <v>0</v>
      </c>
      <c r="K163" s="99" t="n">
        <f aca="false">'Loan Tape'!$BB140</f>
        <v>0</v>
      </c>
      <c r="L163" s="104" t="n">
        <f aca="false">'Loan CF'!C447</f>
        <v>0</v>
      </c>
      <c r="M163" s="105" t="n">
        <f aca="false">'Loan Tape'!$AS140*'Loan Tape'!$AN140</f>
        <v>0</v>
      </c>
      <c r="N163" s="105" t="n">
        <f aca="false">IFERROR(SUMPRODUCT(('Loan CF'!$C$916:$L$916-0.5)*('Loan CF'!C1053:L1053+'Loan CF'!C1356:L1356+'Loan CF'!C1659:L1659))/(SUM('Loan CF'!C1053:L1053)+SUM('Loan CF'!C1356:L1356)+SUM('Loan CF'!C1659:L1659)),0)</f>
        <v>0</v>
      </c>
      <c r="O163" s="99" t="n">
        <f aca="false">SUM('Loan CF'!C1962:L1962)</f>
        <v>0</v>
      </c>
      <c r="P163" s="99" t="n">
        <f aca="false">SUM('Loan CF'!C1053:L1053)+SUM('Loan CF'!C1356:L1356)+SUM('Loan CF'!C1659:L1659)</f>
        <v>0</v>
      </c>
      <c r="Q163" s="99" t="n">
        <f aca="false">SUM('Loan CF'!C2265:L2265)</f>
        <v>0</v>
      </c>
      <c r="R163" s="99" t="n">
        <f aca="false">SUM('Loan CF'!C1356:L1356)*Prepay_Pen</f>
        <v>0</v>
      </c>
      <c r="S163" s="99" t="n">
        <f aca="false">'Loan CF'!$C2568</f>
        <v>0</v>
      </c>
      <c r="T163" s="99" t="n">
        <f aca="false">SUM(O163:S163)</f>
        <v>0</v>
      </c>
      <c r="U163" s="99" t="n">
        <f aca="false">SUM('Loan CF'!C750:L750)</f>
        <v>0</v>
      </c>
      <c r="V163" s="99" t="n">
        <f aca="false">U163*Sev</f>
        <v>0</v>
      </c>
      <c r="W163" s="99" t="n">
        <f aca="false">T163-K163</f>
        <v>0</v>
      </c>
      <c r="X163" s="106" t="str">
        <f aca="false">IFERROR(IRR('Loan CF'!C2871:M2871),"-")</f>
        <v>-</v>
      </c>
      <c r="Y163" s="107" t="str">
        <f aca="false">IFERROR(T163/K163,"-")</f>
        <v>-</v>
      </c>
      <c r="Z163" s="99" t="n">
        <f aca="false">'Loan Tape'!$BC140</f>
        <v>0</v>
      </c>
      <c r="AA163" s="99" t="n">
        <f aca="false">'Loan Tape'!$BE140</f>
        <v>0</v>
      </c>
      <c r="AB163" s="99" t="n">
        <f aca="false">SUM('Loan CF'!D3780:M3780)-AA163</f>
        <v>0</v>
      </c>
      <c r="AC163" s="106" t="str">
        <f aca="false">IFERROR(IRR('Loan CF'!C3780:M3780),"-")</f>
        <v>-</v>
      </c>
      <c r="AD163" s="107" t="str">
        <f aca="false">IFERROR(SUM('Loan CF'!D3780:M3780)/AA163,"-")</f>
        <v>-</v>
      </c>
    </row>
    <row r="164" customFormat="false" ht="15" hidden="false" customHeight="false" outlineLevel="0" collapsed="false">
      <c r="B164" s="108" t="str">
        <f aca="false">IF('Loan Tape'!$A141="","",'Loan Tape'!$A141)</f>
        <v/>
      </c>
      <c r="C164" s="108" t="str">
        <f aca="false">IF('Loan Tape'!$A141="","",'Loan Tape'!$B141)</f>
        <v/>
      </c>
      <c r="D164" s="108" t="str">
        <f aca="false">IF('Loan Tape'!$A141="","",'Loan Tape'!$C141)</f>
        <v/>
      </c>
      <c r="E164" s="108" t="str">
        <f aca="false">IF('Loan Tape'!$A141="","",'Loan Tape'!$D141)</f>
        <v/>
      </c>
      <c r="F164" s="108" t="str">
        <f aca="false">IF('Loan Tape'!$A141="","",'Loan Tape'!$E141)</f>
        <v/>
      </c>
      <c r="G164" s="26" t="n">
        <f aca="false">'Loan Tape'!$AN141</f>
        <v>0</v>
      </c>
      <c r="H164" s="71" t="n">
        <f aca="false">'Loan Tape'!$R141*'Loan Tape'!$AN141</f>
        <v>0</v>
      </c>
      <c r="I164" s="56" t="n">
        <f aca="false">'Loan Tape'!$AO141</f>
        <v>0</v>
      </c>
      <c r="J164" s="71" t="n">
        <f aca="false">'Loan Tape'!$AY141</f>
        <v>0</v>
      </c>
      <c r="K164" s="71" t="n">
        <f aca="false">'Loan Tape'!$BB141</f>
        <v>0</v>
      </c>
      <c r="L164" s="56" t="n">
        <f aca="false">'Loan CF'!C448</f>
        <v>0</v>
      </c>
      <c r="M164" s="70" t="n">
        <f aca="false">'Loan Tape'!$AS141*'Loan Tape'!$AN141</f>
        <v>0</v>
      </c>
      <c r="N164" s="70" t="n">
        <f aca="false">IFERROR(SUMPRODUCT(('Loan CF'!$C$916:$L$916-0.5)*('Loan CF'!C1054:L1054+'Loan CF'!C1357:L1357+'Loan CF'!C1660:L1660))/(SUM('Loan CF'!C1054:L1054)+SUM('Loan CF'!C1357:L1357)+SUM('Loan CF'!C1660:L1660)),0)</f>
        <v>0</v>
      </c>
      <c r="O164" s="71" t="n">
        <f aca="false">SUM('Loan CF'!C1963:L1963)</f>
        <v>0</v>
      </c>
      <c r="P164" s="71" t="n">
        <f aca="false">SUM('Loan CF'!C1054:L1054)+SUM('Loan CF'!C1357:L1357)+SUM('Loan CF'!C1660:L1660)</f>
        <v>0</v>
      </c>
      <c r="Q164" s="71" t="n">
        <f aca="false">SUM('Loan CF'!C2266:L2266)</f>
        <v>0</v>
      </c>
      <c r="R164" s="71" t="n">
        <f aca="false">SUM('Loan CF'!C1357:L1357)*Prepay_Pen</f>
        <v>0</v>
      </c>
      <c r="S164" s="71" t="n">
        <f aca="false">'Loan CF'!$C2569</f>
        <v>0</v>
      </c>
      <c r="T164" s="71" t="n">
        <f aca="false">SUM(O164:S164)</f>
        <v>0</v>
      </c>
      <c r="U164" s="71" t="n">
        <f aca="false">SUM('Loan CF'!C751:L751)</f>
        <v>0</v>
      </c>
      <c r="V164" s="71" t="n">
        <f aca="false">U164*Sev</f>
        <v>0</v>
      </c>
      <c r="W164" s="71" t="n">
        <f aca="false">T164-K164</f>
        <v>0</v>
      </c>
      <c r="X164" s="109" t="str">
        <f aca="false">IFERROR(IRR('Loan CF'!C2872:M2872),"-")</f>
        <v>-</v>
      </c>
      <c r="Y164" s="110" t="str">
        <f aca="false">IFERROR(T164/K164,"-")</f>
        <v>-</v>
      </c>
      <c r="Z164" s="71" t="n">
        <f aca="false">'Loan Tape'!$BC141</f>
        <v>0</v>
      </c>
      <c r="AA164" s="71" t="n">
        <f aca="false">'Loan Tape'!$BE141</f>
        <v>0</v>
      </c>
      <c r="AB164" s="71" t="n">
        <f aca="false">SUM('Loan CF'!D3781:M3781)-AA164</f>
        <v>0</v>
      </c>
      <c r="AC164" s="109" t="str">
        <f aca="false">IFERROR(IRR('Loan CF'!C3781:M3781),"-")</f>
        <v>-</v>
      </c>
      <c r="AD164" s="110" t="str">
        <f aca="false">IFERROR(SUM('Loan CF'!D3781:M3781)/AA164,"-")</f>
        <v>-</v>
      </c>
    </row>
    <row r="165" customFormat="false" ht="15" hidden="false" customHeight="false" outlineLevel="0" collapsed="false">
      <c r="B165" s="102" t="str">
        <f aca="false">IF('Loan Tape'!$A142="","",'Loan Tape'!$A142)</f>
        <v/>
      </c>
      <c r="C165" s="102" t="str">
        <f aca="false">IF('Loan Tape'!$A142="","",'Loan Tape'!$B142)</f>
        <v/>
      </c>
      <c r="D165" s="102" t="str">
        <f aca="false">IF('Loan Tape'!$A142="","",'Loan Tape'!$C142)</f>
        <v/>
      </c>
      <c r="E165" s="102" t="str">
        <f aca="false">IF('Loan Tape'!$A142="","",'Loan Tape'!$D142)</f>
        <v/>
      </c>
      <c r="F165" s="102" t="str">
        <f aca="false">IF('Loan Tape'!$A142="","",'Loan Tape'!$E142)</f>
        <v/>
      </c>
      <c r="G165" s="103" t="n">
        <f aca="false">'Loan Tape'!$AN142</f>
        <v>0</v>
      </c>
      <c r="H165" s="99" t="n">
        <f aca="false">'Loan Tape'!$R142*'Loan Tape'!$AN142</f>
        <v>0</v>
      </c>
      <c r="I165" s="104" t="n">
        <f aca="false">'Loan Tape'!$AO142</f>
        <v>0</v>
      </c>
      <c r="J165" s="99" t="n">
        <f aca="false">'Loan Tape'!$AY142</f>
        <v>0</v>
      </c>
      <c r="K165" s="99" t="n">
        <f aca="false">'Loan Tape'!$BB142</f>
        <v>0</v>
      </c>
      <c r="L165" s="104" t="n">
        <f aca="false">'Loan CF'!C449</f>
        <v>0</v>
      </c>
      <c r="M165" s="105" t="n">
        <f aca="false">'Loan Tape'!$AS142*'Loan Tape'!$AN142</f>
        <v>0</v>
      </c>
      <c r="N165" s="105" t="n">
        <f aca="false">IFERROR(SUMPRODUCT(('Loan CF'!$C$916:$L$916-0.5)*('Loan CF'!C1055:L1055+'Loan CF'!C1358:L1358+'Loan CF'!C1661:L1661))/(SUM('Loan CF'!C1055:L1055)+SUM('Loan CF'!C1358:L1358)+SUM('Loan CF'!C1661:L1661)),0)</f>
        <v>0</v>
      </c>
      <c r="O165" s="99" t="n">
        <f aca="false">SUM('Loan CF'!C1964:L1964)</f>
        <v>0</v>
      </c>
      <c r="P165" s="99" t="n">
        <f aca="false">SUM('Loan CF'!C1055:L1055)+SUM('Loan CF'!C1358:L1358)+SUM('Loan CF'!C1661:L1661)</f>
        <v>0</v>
      </c>
      <c r="Q165" s="99" t="n">
        <f aca="false">SUM('Loan CF'!C2267:L2267)</f>
        <v>0</v>
      </c>
      <c r="R165" s="99" t="n">
        <f aca="false">SUM('Loan CF'!C1358:L1358)*Prepay_Pen</f>
        <v>0</v>
      </c>
      <c r="S165" s="99" t="n">
        <f aca="false">'Loan CF'!$C2570</f>
        <v>0</v>
      </c>
      <c r="T165" s="99" t="n">
        <f aca="false">SUM(O165:S165)</f>
        <v>0</v>
      </c>
      <c r="U165" s="99" t="n">
        <f aca="false">SUM('Loan CF'!C752:L752)</f>
        <v>0</v>
      </c>
      <c r="V165" s="99" t="n">
        <f aca="false">U165*Sev</f>
        <v>0</v>
      </c>
      <c r="W165" s="99" t="n">
        <f aca="false">T165-K165</f>
        <v>0</v>
      </c>
      <c r="X165" s="106" t="str">
        <f aca="false">IFERROR(IRR('Loan CF'!C2873:M2873),"-")</f>
        <v>-</v>
      </c>
      <c r="Y165" s="107" t="str">
        <f aca="false">IFERROR(T165/K165,"-")</f>
        <v>-</v>
      </c>
      <c r="Z165" s="99" t="n">
        <f aca="false">'Loan Tape'!$BC142</f>
        <v>0</v>
      </c>
      <c r="AA165" s="99" t="n">
        <f aca="false">'Loan Tape'!$BE142</f>
        <v>0</v>
      </c>
      <c r="AB165" s="99" t="n">
        <f aca="false">SUM('Loan CF'!D3782:M3782)-AA165</f>
        <v>0</v>
      </c>
      <c r="AC165" s="106" t="str">
        <f aca="false">IFERROR(IRR('Loan CF'!C3782:M3782),"-")</f>
        <v>-</v>
      </c>
      <c r="AD165" s="107" t="str">
        <f aca="false">IFERROR(SUM('Loan CF'!D3782:M3782)/AA165,"-")</f>
        <v>-</v>
      </c>
    </row>
    <row r="166" customFormat="false" ht="15" hidden="false" customHeight="false" outlineLevel="0" collapsed="false">
      <c r="B166" s="108" t="str">
        <f aca="false">IF('Loan Tape'!$A143="","",'Loan Tape'!$A143)</f>
        <v/>
      </c>
      <c r="C166" s="108" t="str">
        <f aca="false">IF('Loan Tape'!$A143="","",'Loan Tape'!$B143)</f>
        <v/>
      </c>
      <c r="D166" s="108" t="str">
        <f aca="false">IF('Loan Tape'!$A143="","",'Loan Tape'!$C143)</f>
        <v/>
      </c>
      <c r="E166" s="108" t="str">
        <f aca="false">IF('Loan Tape'!$A143="","",'Loan Tape'!$D143)</f>
        <v/>
      </c>
      <c r="F166" s="108" t="str">
        <f aca="false">IF('Loan Tape'!$A143="","",'Loan Tape'!$E143)</f>
        <v/>
      </c>
      <c r="G166" s="26" t="n">
        <f aca="false">'Loan Tape'!$AN143</f>
        <v>0</v>
      </c>
      <c r="H166" s="71" t="n">
        <f aca="false">'Loan Tape'!$R143*'Loan Tape'!$AN143</f>
        <v>0</v>
      </c>
      <c r="I166" s="56" t="n">
        <f aca="false">'Loan Tape'!$AO143</f>
        <v>0</v>
      </c>
      <c r="J166" s="71" t="n">
        <f aca="false">'Loan Tape'!$AY143</f>
        <v>0</v>
      </c>
      <c r="K166" s="71" t="n">
        <f aca="false">'Loan Tape'!$BB143</f>
        <v>0</v>
      </c>
      <c r="L166" s="56" t="n">
        <f aca="false">'Loan CF'!C450</f>
        <v>0</v>
      </c>
      <c r="M166" s="70" t="n">
        <f aca="false">'Loan Tape'!$AS143*'Loan Tape'!$AN143</f>
        <v>0</v>
      </c>
      <c r="N166" s="70" t="n">
        <f aca="false">IFERROR(SUMPRODUCT(('Loan CF'!$C$916:$L$916-0.5)*('Loan CF'!C1056:L1056+'Loan CF'!C1359:L1359+'Loan CF'!C1662:L1662))/(SUM('Loan CF'!C1056:L1056)+SUM('Loan CF'!C1359:L1359)+SUM('Loan CF'!C1662:L1662)),0)</f>
        <v>0</v>
      </c>
      <c r="O166" s="71" t="n">
        <f aca="false">SUM('Loan CF'!C1965:L1965)</f>
        <v>0</v>
      </c>
      <c r="P166" s="71" t="n">
        <f aca="false">SUM('Loan CF'!C1056:L1056)+SUM('Loan CF'!C1359:L1359)+SUM('Loan CF'!C1662:L1662)</f>
        <v>0</v>
      </c>
      <c r="Q166" s="71" t="n">
        <f aca="false">SUM('Loan CF'!C2268:L2268)</f>
        <v>0</v>
      </c>
      <c r="R166" s="71" t="n">
        <f aca="false">SUM('Loan CF'!C1359:L1359)*Prepay_Pen</f>
        <v>0</v>
      </c>
      <c r="S166" s="71" t="n">
        <f aca="false">'Loan CF'!$C2571</f>
        <v>0</v>
      </c>
      <c r="T166" s="71" t="n">
        <f aca="false">SUM(O166:S166)</f>
        <v>0</v>
      </c>
      <c r="U166" s="71" t="n">
        <f aca="false">SUM('Loan CF'!C753:L753)</f>
        <v>0</v>
      </c>
      <c r="V166" s="71" t="n">
        <f aca="false">U166*Sev</f>
        <v>0</v>
      </c>
      <c r="W166" s="71" t="n">
        <f aca="false">T166-K166</f>
        <v>0</v>
      </c>
      <c r="X166" s="109" t="str">
        <f aca="false">IFERROR(IRR('Loan CF'!C2874:M2874),"-")</f>
        <v>-</v>
      </c>
      <c r="Y166" s="110" t="str">
        <f aca="false">IFERROR(T166/K166,"-")</f>
        <v>-</v>
      </c>
      <c r="Z166" s="71" t="n">
        <f aca="false">'Loan Tape'!$BC143</f>
        <v>0</v>
      </c>
      <c r="AA166" s="71" t="n">
        <f aca="false">'Loan Tape'!$BE143</f>
        <v>0</v>
      </c>
      <c r="AB166" s="71" t="n">
        <f aca="false">SUM('Loan CF'!D3783:M3783)-AA166</f>
        <v>0</v>
      </c>
      <c r="AC166" s="109" t="str">
        <f aca="false">IFERROR(IRR('Loan CF'!C3783:M3783),"-")</f>
        <v>-</v>
      </c>
      <c r="AD166" s="110" t="str">
        <f aca="false">IFERROR(SUM('Loan CF'!D3783:M3783)/AA166,"-")</f>
        <v>-</v>
      </c>
    </row>
    <row r="167" customFormat="false" ht="15" hidden="false" customHeight="false" outlineLevel="0" collapsed="false">
      <c r="B167" s="102" t="str">
        <f aca="false">IF('Loan Tape'!$A144="","",'Loan Tape'!$A144)</f>
        <v/>
      </c>
      <c r="C167" s="102" t="str">
        <f aca="false">IF('Loan Tape'!$A144="","",'Loan Tape'!$B144)</f>
        <v/>
      </c>
      <c r="D167" s="102" t="str">
        <f aca="false">IF('Loan Tape'!$A144="","",'Loan Tape'!$C144)</f>
        <v/>
      </c>
      <c r="E167" s="102" t="str">
        <f aca="false">IF('Loan Tape'!$A144="","",'Loan Tape'!$D144)</f>
        <v/>
      </c>
      <c r="F167" s="102" t="str">
        <f aca="false">IF('Loan Tape'!$A144="","",'Loan Tape'!$E144)</f>
        <v/>
      </c>
      <c r="G167" s="103" t="n">
        <f aca="false">'Loan Tape'!$AN144</f>
        <v>0</v>
      </c>
      <c r="H167" s="99" t="n">
        <f aca="false">'Loan Tape'!$R144*'Loan Tape'!$AN144</f>
        <v>0</v>
      </c>
      <c r="I167" s="104" t="n">
        <f aca="false">'Loan Tape'!$AO144</f>
        <v>0</v>
      </c>
      <c r="J167" s="99" t="n">
        <f aca="false">'Loan Tape'!$AY144</f>
        <v>0</v>
      </c>
      <c r="K167" s="99" t="n">
        <f aca="false">'Loan Tape'!$BB144</f>
        <v>0</v>
      </c>
      <c r="L167" s="104" t="n">
        <f aca="false">'Loan CF'!C451</f>
        <v>0</v>
      </c>
      <c r="M167" s="105" t="n">
        <f aca="false">'Loan Tape'!$AS144*'Loan Tape'!$AN144</f>
        <v>0</v>
      </c>
      <c r="N167" s="105" t="n">
        <f aca="false">IFERROR(SUMPRODUCT(('Loan CF'!$C$916:$L$916-0.5)*('Loan CF'!C1057:L1057+'Loan CF'!C1360:L1360+'Loan CF'!C1663:L1663))/(SUM('Loan CF'!C1057:L1057)+SUM('Loan CF'!C1360:L1360)+SUM('Loan CF'!C1663:L1663)),0)</f>
        <v>0</v>
      </c>
      <c r="O167" s="99" t="n">
        <f aca="false">SUM('Loan CF'!C1966:L1966)</f>
        <v>0</v>
      </c>
      <c r="P167" s="99" t="n">
        <f aca="false">SUM('Loan CF'!C1057:L1057)+SUM('Loan CF'!C1360:L1360)+SUM('Loan CF'!C1663:L1663)</f>
        <v>0</v>
      </c>
      <c r="Q167" s="99" t="n">
        <f aca="false">SUM('Loan CF'!C2269:L2269)</f>
        <v>0</v>
      </c>
      <c r="R167" s="99" t="n">
        <f aca="false">SUM('Loan CF'!C1360:L1360)*Prepay_Pen</f>
        <v>0</v>
      </c>
      <c r="S167" s="99" t="n">
        <f aca="false">'Loan CF'!$C2572</f>
        <v>0</v>
      </c>
      <c r="T167" s="99" t="n">
        <f aca="false">SUM(O167:S167)</f>
        <v>0</v>
      </c>
      <c r="U167" s="99" t="n">
        <f aca="false">SUM('Loan CF'!C754:L754)</f>
        <v>0</v>
      </c>
      <c r="V167" s="99" t="n">
        <f aca="false">U167*Sev</f>
        <v>0</v>
      </c>
      <c r="W167" s="99" t="n">
        <f aca="false">T167-K167</f>
        <v>0</v>
      </c>
      <c r="X167" s="106" t="str">
        <f aca="false">IFERROR(IRR('Loan CF'!C2875:M2875),"-")</f>
        <v>-</v>
      </c>
      <c r="Y167" s="107" t="str">
        <f aca="false">IFERROR(T167/K167,"-")</f>
        <v>-</v>
      </c>
      <c r="Z167" s="99" t="n">
        <f aca="false">'Loan Tape'!$BC144</f>
        <v>0</v>
      </c>
      <c r="AA167" s="99" t="n">
        <f aca="false">'Loan Tape'!$BE144</f>
        <v>0</v>
      </c>
      <c r="AB167" s="99" t="n">
        <f aca="false">SUM('Loan CF'!D3784:M3784)-AA167</f>
        <v>0</v>
      </c>
      <c r="AC167" s="106" t="str">
        <f aca="false">IFERROR(IRR('Loan CF'!C3784:M3784),"-")</f>
        <v>-</v>
      </c>
      <c r="AD167" s="107" t="str">
        <f aca="false">IFERROR(SUM('Loan CF'!D3784:M3784)/AA167,"-")</f>
        <v>-</v>
      </c>
    </row>
    <row r="168" customFormat="false" ht="15" hidden="false" customHeight="false" outlineLevel="0" collapsed="false">
      <c r="B168" s="108" t="str">
        <f aca="false">IF('Loan Tape'!$A145="","",'Loan Tape'!$A145)</f>
        <v/>
      </c>
      <c r="C168" s="108" t="str">
        <f aca="false">IF('Loan Tape'!$A145="","",'Loan Tape'!$B145)</f>
        <v/>
      </c>
      <c r="D168" s="108" t="str">
        <f aca="false">IF('Loan Tape'!$A145="","",'Loan Tape'!$C145)</f>
        <v/>
      </c>
      <c r="E168" s="108" t="str">
        <f aca="false">IF('Loan Tape'!$A145="","",'Loan Tape'!$D145)</f>
        <v/>
      </c>
      <c r="F168" s="108" t="str">
        <f aca="false">IF('Loan Tape'!$A145="","",'Loan Tape'!$E145)</f>
        <v/>
      </c>
      <c r="G168" s="26" t="n">
        <f aca="false">'Loan Tape'!$AN145</f>
        <v>0</v>
      </c>
      <c r="H168" s="71" t="n">
        <f aca="false">'Loan Tape'!$R145*'Loan Tape'!$AN145</f>
        <v>0</v>
      </c>
      <c r="I168" s="56" t="n">
        <f aca="false">'Loan Tape'!$AO145</f>
        <v>0</v>
      </c>
      <c r="J168" s="71" t="n">
        <f aca="false">'Loan Tape'!$AY145</f>
        <v>0</v>
      </c>
      <c r="K168" s="71" t="n">
        <f aca="false">'Loan Tape'!$BB145</f>
        <v>0</v>
      </c>
      <c r="L168" s="56" t="n">
        <f aca="false">'Loan CF'!C452</f>
        <v>0</v>
      </c>
      <c r="M168" s="70" t="n">
        <f aca="false">'Loan Tape'!$AS145*'Loan Tape'!$AN145</f>
        <v>0</v>
      </c>
      <c r="N168" s="70" t="n">
        <f aca="false">IFERROR(SUMPRODUCT(('Loan CF'!$C$916:$L$916-0.5)*('Loan CF'!C1058:L1058+'Loan CF'!C1361:L1361+'Loan CF'!C1664:L1664))/(SUM('Loan CF'!C1058:L1058)+SUM('Loan CF'!C1361:L1361)+SUM('Loan CF'!C1664:L1664)),0)</f>
        <v>0</v>
      </c>
      <c r="O168" s="71" t="n">
        <f aca="false">SUM('Loan CF'!C1967:L1967)</f>
        <v>0</v>
      </c>
      <c r="P168" s="71" t="n">
        <f aca="false">SUM('Loan CF'!C1058:L1058)+SUM('Loan CF'!C1361:L1361)+SUM('Loan CF'!C1664:L1664)</f>
        <v>0</v>
      </c>
      <c r="Q168" s="71" t="n">
        <f aca="false">SUM('Loan CF'!C2270:L2270)</f>
        <v>0</v>
      </c>
      <c r="R168" s="71" t="n">
        <f aca="false">SUM('Loan CF'!C1361:L1361)*Prepay_Pen</f>
        <v>0</v>
      </c>
      <c r="S168" s="71" t="n">
        <f aca="false">'Loan CF'!$C2573</f>
        <v>0</v>
      </c>
      <c r="T168" s="71" t="n">
        <f aca="false">SUM(O168:S168)</f>
        <v>0</v>
      </c>
      <c r="U168" s="71" t="n">
        <f aca="false">SUM('Loan CF'!C755:L755)</f>
        <v>0</v>
      </c>
      <c r="V168" s="71" t="n">
        <f aca="false">U168*Sev</f>
        <v>0</v>
      </c>
      <c r="W168" s="71" t="n">
        <f aca="false">T168-K168</f>
        <v>0</v>
      </c>
      <c r="X168" s="109" t="str">
        <f aca="false">IFERROR(IRR('Loan CF'!C2876:M2876),"-")</f>
        <v>-</v>
      </c>
      <c r="Y168" s="110" t="str">
        <f aca="false">IFERROR(T168/K168,"-")</f>
        <v>-</v>
      </c>
      <c r="Z168" s="71" t="n">
        <f aca="false">'Loan Tape'!$BC145</f>
        <v>0</v>
      </c>
      <c r="AA168" s="71" t="n">
        <f aca="false">'Loan Tape'!$BE145</f>
        <v>0</v>
      </c>
      <c r="AB168" s="71" t="n">
        <f aca="false">SUM('Loan CF'!D3785:M3785)-AA168</f>
        <v>0</v>
      </c>
      <c r="AC168" s="109" t="str">
        <f aca="false">IFERROR(IRR('Loan CF'!C3785:M3785),"-")</f>
        <v>-</v>
      </c>
      <c r="AD168" s="110" t="str">
        <f aca="false">IFERROR(SUM('Loan CF'!D3785:M3785)/AA168,"-")</f>
        <v>-</v>
      </c>
    </row>
    <row r="169" customFormat="false" ht="15" hidden="false" customHeight="false" outlineLevel="0" collapsed="false">
      <c r="B169" s="102" t="str">
        <f aca="false">IF('Loan Tape'!$A146="","",'Loan Tape'!$A146)</f>
        <v/>
      </c>
      <c r="C169" s="102" t="str">
        <f aca="false">IF('Loan Tape'!$A146="","",'Loan Tape'!$B146)</f>
        <v/>
      </c>
      <c r="D169" s="102" t="str">
        <f aca="false">IF('Loan Tape'!$A146="","",'Loan Tape'!$C146)</f>
        <v/>
      </c>
      <c r="E169" s="102" t="str">
        <f aca="false">IF('Loan Tape'!$A146="","",'Loan Tape'!$D146)</f>
        <v/>
      </c>
      <c r="F169" s="102" t="str">
        <f aca="false">IF('Loan Tape'!$A146="","",'Loan Tape'!$E146)</f>
        <v/>
      </c>
      <c r="G169" s="103" t="n">
        <f aca="false">'Loan Tape'!$AN146</f>
        <v>0</v>
      </c>
      <c r="H169" s="99" t="n">
        <f aca="false">'Loan Tape'!$R146*'Loan Tape'!$AN146</f>
        <v>0</v>
      </c>
      <c r="I169" s="104" t="n">
        <f aca="false">'Loan Tape'!$AO146</f>
        <v>0</v>
      </c>
      <c r="J169" s="99" t="n">
        <f aca="false">'Loan Tape'!$AY146</f>
        <v>0</v>
      </c>
      <c r="K169" s="99" t="n">
        <f aca="false">'Loan Tape'!$BB146</f>
        <v>0</v>
      </c>
      <c r="L169" s="104" t="n">
        <f aca="false">'Loan CF'!C453</f>
        <v>0</v>
      </c>
      <c r="M169" s="105" t="n">
        <f aca="false">'Loan Tape'!$AS146*'Loan Tape'!$AN146</f>
        <v>0</v>
      </c>
      <c r="N169" s="105" t="n">
        <f aca="false">IFERROR(SUMPRODUCT(('Loan CF'!$C$916:$L$916-0.5)*('Loan CF'!C1059:L1059+'Loan CF'!C1362:L1362+'Loan CF'!C1665:L1665))/(SUM('Loan CF'!C1059:L1059)+SUM('Loan CF'!C1362:L1362)+SUM('Loan CF'!C1665:L1665)),0)</f>
        <v>0</v>
      </c>
      <c r="O169" s="99" t="n">
        <f aca="false">SUM('Loan CF'!C1968:L1968)</f>
        <v>0</v>
      </c>
      <c r="P169" s="99" t="n">
        <f aca="false">SUM('Loan CF'!C1059:L1059)+SUM('Loan CF'!C1362:L1362)+SUM('Loan CF'!C1665:L1665)</f>
        <v>0</v>
      </c>
      <c r="Q169" s="99" t="n">
        <f aca="false">SUM('Loan CF'!C2271:L2271)</f>
        <v>0</v>
      </c>
      <c r="R169" s="99" t="n">
        <f aca="false">SUM('Loan CF'!C1362:L1362)*Prepay_Pen</f>
        <v>0</v>
      </c>
      <c r="S169" s="99" t="n">
        <f aca="false">'Loan CF'!$C2574</f>
        <v>0</v>
      </c>
      <c r="T169" s="99" t="n">
        <f aca="false">SUM(O169:S169)</f>
        <v>0</v>
      </c>
      <c r="U169" s="99" t="n">
        <f aca="false">SUM('Loan CF'!C756:L756)</f>
        <v>0</v>
      </c>
      <c r="V169" s="99" t="n">
        <f aca="false">U169*Sev</f>
        <v>0</v>
      </c>
      <c r="W169" s="99" t="n">
        <f aca="false">T169-K169</f>
        <v>0</v>
      </c>
      <c r="X169" s="106" t="str">
        <f aca="false">IFERROR(IRR('Loan CF'!C2877:M2877),"-")</f>
        <v>-</v>
      </c>
      <c r="Y169" s="107" t="str">
        <f aca="false">IFERROR(T169/K169,"-")</f>
        <v>-</v>
      </c>
      <c r="Z169" s="99" t="n">
        <f aca="false">'Loan Tape'!$BC146</f>
        <v>0</v>
      </c>
      <c r="AA169" s="99" t="n">
        <f aca="false">'Loan Tape'!$BE146</f>
        <v>0</v>
      </c>
      <c r="AB169" s="99" t="n">
        <f aca="false">SUM('Loan CF'!D3786:M3786)-AA169</f>
        <v>0</v>
      </c>
      <c r="AC169" s="106" t="str">
        <f aca="false">IFERROR(IRR('Loan CF'!C3786:M3786),"-")</f>
        <v>-</v>
      </c>
      <c r="AD169" s="107" t="str">
        <f aca="false">IFERROR(SUM('Loan CF'!D3786:M3786)/AA169,"-")</f>
        <v>-</v>
      </c>
    </row>
    <row r="170" customFormat="false" ht="15" hidden="false" customHeight="false" outlineLevel="0" collapsed="false">
      <c r="B170" s="108" t="str">
        <f aca="false">IF('Loan Tape'!$A147="","",'Loan Tape'!$A147)</f>
        <v/>
      </c>
      <c r="C170" s="108" t="str">
        <f aca="false">IF('Loan Tape'!$A147="","",'Loan Tape'!$B147)</f>
        <v/>
      </c>
      <c r="D170" s="108" t="str">
        <f aca="false">IF('Loan Tape'!$A147="","",'Loan Tape'!$C147)</f>
        <v/>
      </c>
      <c r="E170" s="108" t="str">
        <f aca="false">IF('Loan Tape'!$A147="","",'Loan Tape'!$D147)</f>
        <v/>
      </c>
      <c r="F170" s="108" t="str">
        <f aca="false">IF('Loan Tape'!$A147="","",'Loan Tape'!$E147)</f>
        <v/>
      </c>
      <c r="G170" s="26" t="n">
        <f aca="false">'Loan Tape'!$AN147</f>
        <v>0</v>
      </c>
      <c r="H170" s="71" t="n">
        <f aca="false">'Loan Tape'!$R147*'Loan Tape'!$AN147</f>
        <v>0</v>
      </c>
      <c r="I170" s="56" t="n">
        <f aca="false">'Loan Tape'!$AO147</f>
        <v>0</v>
      </c>
      <c r="J170" s="71" t="n">
        <f aca="false">'Loan Tape'!$AY147</f>
        <v>0</v>
      </c>
      <c r="K170" s="71" t="n">
        <f aca="false">'Loan Tape'!$BB147</f>
        <v>0</v>
      </c>
      <c r="L170" s="56" t="n">
        <f aca="false">'Loan CF'!C454</f>
        <v>0</v>
      </c>
      <c r="M170" s="70" t="n">
        <f aca="false">'Loan Tape'!$AS147*'Loan Tape'!$AN147</f>
        <v>0</v>
      </c>
      <c r="N170" s="70" t="n">
        <f aca="false">IFERROR(SUMPRODUCT(('Loan CF'!$C$916:$L$916-0.5)*('Loan CF'!C1060:L1060+'Loan CF'!C1363:L1363+'Loan CF'!C1666:L1666))/(SUM('Loan CF'!C1060:L1060)+SUM('Loan CF'!C1363:L1363)+SUM('Loan CF'!C1666:L1666)),0)</f>
        <v>0</v>
      </c>
      <c r="O170" s="71" t="n">
        <f aca="false">SUM('Loan CF'!C1969:L1969)</f>
        <v>0</v>
      </c>
      <c r="P170" s="71" t="n">
        <f aca="false">SUM('Loan CF'!C1060:L1060)+SUM('Loan CF'!C1363:L1363)+SUM('Loan CF'!C1666:L1666)</f>
        <v>0</v>
      </c>
      <c r="Q170" s="71" t="n">
        <f aca="false">SUM('Loan CF'!C2272:L2272)</f>
        <v>0</v>
      </c>
      <c r="R170" s="71" t="n">
        <f aca="false">SUM('Loan CF'!C1363:L1363)*Prepay_Pen</f>
        <v>0</v>
      </c>
      <c r="S170" s="71" t="n">
        <f aca="false">'Loan CF'!$C2575</f>
        <v>0</v>
      </c>
      <c r="T170" s="71" t="n">
        <f aca="false">SUM(O170:S170)</f>
        <v>0</v>
      </c>
      <c r="U170" s="71" t="n">
        <f aca="false">SUM('Loan CF'!C757:L757)</f>
        <v>0</v>
      </c>
      <c r="V170" s="71" t="n">
        <f aca="false">U170*Sev</f>
        <v>0</v>
      </c>
      <c r="W170" s="71" t="n">
        <f aca="false">T170-K170</f>
        <v>0</v>
      </c>
      <c r="X170" s="109" t="str">
        <f aca="false">IFERROR(IRR('Loan CF'!C2878:M2878),"-")</f>
        <v>-</v>
      </c>
      <c r="Y170" s="110" t="str">
        <f aca="false">IFERROR(T170/K170,"-")</f>
        <v>-</v>
      </c>
      <c r="Z170" s="71" t="n">
        <f aca="false">'Loan Tape'!$BC147</f>
        <v>0</v>
      </c>
      <c r="AA170" s="71" t="n">
        <f aca="false">'Loan Tape'!$BE147</f>
        <v>0</v>
      </c>
      <c r="AB170" s="71" t="n">
        <f aca="false">SUM('Loan CF'!D3787:M3787)-AA170</f>
        <v>0</v>
      </c>
      <c r="AC170" s="109" t="str">
        <f aca="false">IFERROR(IRR('Loan CF'!C3787:M3787),"-")</f>
        <v>-</v>
      </c>
      <c r="AD170" s="110" t="str">
        <f aca="false">IFERROR(SUM('Loan CF'!D3787:M3787)/AA170,"-")</f>
        <v>-</v>
      </c>
    </row>
    <row r="171" customFormat="false" ht="15" hidden="false" customHeight="false" outlineLevel="0" collapsed="false">
      <c r="B171" s="102" t="str">
        <f aca="false">IF('Loan Tape'!$A148="","",'Loan Tape'!$A148)</f>
        <v/>
      </c>
      <c r="C171" s="102" t="str">
        <f aca="false">IF('Loan Tape'!$A148="","",'Loan Tape'!$B148)</f>
        <v/>
      </c>
      <c r="D171" s="102" t="str">
        <f aca="false">IF('Loan Tape'!$A148="","",'Loan Tape'!$C148)</f>
        <v/>
      </c>
      <c r="E171" s="102" t="str">
        <f aca="false">IF('Loan Tape'!$A148="","",'Loan Tape'!$D148)</f>
        <v/>
      </c>
      <c r="F171" s="102" t="str">
        <f aca="false">IF('Loan Tape'!$A148="","",'Loan Tape'!$E148)</f>
        <v/>
      </c>
      <c r="G171" s="103" t="n">
        <f aca="false">'Loan Tape'!$AN148</f>
        <v>0</v>
      </c>
      <c r="H171" s="99" t="n">
        <f aca="false">'Loan Tape'!$R148*'Loan Tape'!$AN148</f>
        <v>0</v>
      </c>
      <c r="I171" s="104" t="n">
        <f aca="false">'Loan Tape'!$AO148</f>
        <v>0</v>
      </c>
      <c r="J171" s="99" t="n">
        <f aca="false">'Loan Tape'!$AY148</f>
        <v>0</v>
      </c>
      <c r="K171" s="99" t="n">
        <f aca="false">'Loan Tape'!$BB148</f>
        <v>0</v>
      </c>
      <c r="L171" s="104" t="n">
        <f aca="false">'Loan CF'!C455</f>
        <v>0</v>
      </c>
      <c r="M171" s="105" t="n">
        <f aca="false">'Loan Tape'!$AS148*'Loan Tape'!$AN148</f>
        <v>0</v>
      </c>
      <c r="N171" s="105" t="n">
        <f aca="false">IFERROR(SUMPRODUCT(('Loan CF'!$C$916:$L$916-0.5)*('Loan CF'!C1061:L1061+'Loan CF'!C1364:L1364+'Loan CF'!C1667:L1667))/(SUM('Loan CF'!C1061:L1061)+SUM('Loan CF'!C1364:L1364)+SUM('Loan CF'!C1667:L1667)),0)</f>
        <v>0</v>
      </c>
      <c r="O171" s="99" t="n">
        <f aca="false">SUM('Loan CF'!C1970:L1970)</f>
        <v>0</v>
      </c>
      <c r="P171" s="99" t="n">
        <f aca="false">SUM('Loan CF'!C1061:L1061)+SUM('Loan CF'!C1364:L1364)+SUM('Loan CF'!C1667:L1667)</f>
        <v>0</v>
      </c>
      <c r="Q171" s="99" t="n">
        <f aca="false">SUM('Loan CF'!C2273:L2273)</f>
        <v>0</v>
      </c>
      <c r="R171" s="99" t="n">
        <f aca="false">SUM('Loan CF'!C1364:L1364)*Prepay_Pen</f>
        <v>0</v>
      </c>
      <c r="S171" s="99" t="n">
        <f aca="false">'Loan CF'!$C2576</f>
        <v>0</v>
      </c>
      <c r="T171" s="99" t="n">
        <f aca="false">SUM(O171:S171)</f>
        <v>0</v>
      </c>
      <c r="U171" s="99" t="n">
        <f aca="false">SUM('Loan CF'!C758:L758)</f>
        <v>0</v>
      </c>
      <c r="V171" s="99" t="n">
        <f aca="false">U171*Sev</f>
        <v>0</v>
      </c>
      <c r="W171" s="99" t="n">
        <f aca="false">T171-K171</f>
        <v>0</v>
      </c>
      <c r="X171" s="106" t="str">
        <f aca="false">IFERROR(IRR('Loan CF'!C2879:M2879),"-")</f>
        <v>-</v>
      </c>
      <c r="Y171" s="107" t="str">
        <f aca="false">IFERROR(T171/K171,"-")</f>
        <v>-</v>
      </c>
      <c r="Z171" s="99" t="n">
        <f aca="false">'Loan Tape'!$BC148</f>
        <v>0</v>
      </c>
      <c r="AA171" s="99" t="n">
        <f aca="false">'Loan Tape'!$BE148</f>
        <v>0</v>
      </c>
      <c r="AB171" s="99" t="n">
        <f aca="false">SUM('Loan CF'!D3788:M3788)-AA171</f>
        <v>0</v>
      </c>
      <c r="AC171" s="106" t="str">
        <f aca="false">IFERROR(IRR('Loan CF'!C3788:M3788),"-")</f>
        <v>-</v>
      </c>
      <c r="AD171" s="107" t="str">
        <f aca="false">IFERROR(SUM('Loan CF'!D3788:M3788)/AA171,"-")</f>
        <v>-</v>
      </c>
    </row>
    <row r="172" customFormat="false" ht="15" hidden="false" customHeight="false" outlineLevel="0" collapsed="false">
      <c r="B172" s="108" t="str">
        <f aca="false">IF('Loan Tape'!$A149="","",'Loan Tape'!$A149)</f>
        <v/>
      </c>
      <c r="C172" s="108" t="str">
        <f aca="false">IF('Loan Tape'!$A149="","",'Loan Tape'!$B149)</f>
        <v/>
      </c>
      <c r="D172" s="108" t="str">
        <f aca="false">IF('Loan Tape'!$A149="","",'Loan Tape'!$C149)</f>
        <v/>
      </c>
      <c r="E172" s="108" t="str">
        <f aca="false">IF('Loan Tape'!$A149="","",'Loan Tape'!$D149)</f>
        <v/>
      </c>
      <c r="F172" s="108" t="str">
        <f aca="false">IF('Loan Tape'!$A149="","",'Loan Tape'!$E149)</f>
        <v/>
      </c>
      <c r="G172" s="26" t="n">
        <f aca="false">'Loan Tape'!$AN149</f>
        <v>0</v>
      </c>
      <c r="H172" s="71" t="n">
        <f aca="false">'Loan Tape'!$R149*'Loan Tape'!$AN149</f>
        <v>0</v>
      </c>
      <c r="I172" s="56" t="n">
        <f aca="false">'Loan Tape'!$AO149</f>
        <v>0</v>
      </c>
      <c r="J172" s="71" t="n">
        <f aca="false">'Loan Tape'!$AY149</f>
        <v>0</v>
      </c>
      <c r="K172" s="71" t="n">
        <f aca="false">'Loan Tape'!$BB149</f>
        <v>0</v>
      </c>
      <c r="L172" s="56" t="n">
        <f aca="false">'Loan CF'!C456</f>
        <v>0</v>
      </c>
      <c r="M172" s="70" t="n">
        <f aca="false">'Loan Tape'!$AS149*'Loan Tape'!$AN149</f>
        <v>0</v>
      </c>
      <c r="N172" s="70" t="n">
        <f aca="false">IFERROR(SUMPRODUCT(('Loan CF'!$C$916:$L$916-0.5)*('Loan CF'!C1062:L1062+'Loan CF'!C1365:L1365+'Loan CF'!C1668:L1668))/(SUM('Loan CF'!C1062:L1062)+SUM('Loan CF'!C1365:L1365)+SUM('Loan CF'!C1668:L1668)),0)</f>
        <v>0</v>
      </c>
      <c r="O172" s="71" t="n">
        <f aca="false">SUM('Loan CF'!C1971:L1971)</f>
        <v>0</v>
      </c>
      <c r="P172" s="71" t="n">
        <f aca="false">SUM('Loan CF'!C1062:L1062)+SUM('Loan CF'!C1365:L1365)+SUM('Loan CF'!C1668:L1668)</f>
        <v>0</v>
      </c>
      <c r="Q172" s="71" t="n">
        <f aca="false">SUM('Loan CF'!C2274:L2274)</f>
        <v>0</v>
      </c>
      <c r="R172" s="71" t="n">
        <f aca="false">SUM('Loan CF'!C1365:L1365)*Prepay_Pen</f>
        <v>0</v>
      </c>
      <c r="S172" s="71" t="n">
        <f aca="false">'Loan CF'!$C2577</f>
        <v>0</v>
      </c>
      <c r="T172" s="71" t="n">
        <f aca="false">SUM(O172:S172)</f>
        <v>0</v>
      </c>
      <c r="U172" s="71" t="n">
        <f aca="false">SUM('Loan CF'!C759:L759)</f>
        <v>0</v>
      </c>
      <c r="V172" s="71" t="n">
        <f aca="false">U172*Sev</f>
        <v>0</v>
      </c>
      <c r="W172" s="71" t="n">
        <f aca="false">T172-K172</f>
        <v>0</v>
      </c>
      <c r="X172" s="109" t="str">
        <f aca="false">IFERROR(IRR('Loan CF'!C2880:M2880),"-")</f>
        <v>-</v>
      </c>
      <c r="Y172" s="110" t="str">
        <f aca="false">IFERROR(T172/K172,"-")</f>
        <v>-</v>
      </c>
      <c r="Z172" s="71" t="n">
        <f aca="false">'Loan Tape'!$BC149</f>
        <v>0</v>
      </c>
      <c r="AA172" s="71" t="n">
        <f aca="false">'Loan Tape'!$BE149</f>
        <v>0</v>
      </c>
      <c r="AB172" s="71" t="n">
        <f aca="false">SUM('Loan CF'!D3789:M3789)-AA172</f>
        <v>0</v>
      </c>
      <c r="AC172" s="109" t="str">
        <f aca="false">IFERROR(IRR('Loan CF'!C3789:M3789),"-")</f>
        <v>-</v>
      </c>
      <c r="AD172" s="110" t="str">
        <f aca="false">IFERROR(SUM('Loan CF'!D3789:M3789)/AA172,"-")</f>
        <v>-</v>
      </c>
    </row>
    <row r="173" customFormat="false" ht="15" hidden="false" customHeight="false" outlineLevel="0" collapsed="false">
      <c r="B173" s="102" t="str">
        <f aca="false">IF('Loan Tape'!$A150="","",'Loan Tape'!$A150)</f>
        <v/>
      </c>
      <c r="C173" s="102" t="str">
        <f aca="false">IF('Loan Tape'!$A150="","",'Loan Tape'!$B150)</f>
        <v/>
      </c>
      <c r="D173" s="102" t="str">
        <f aca="false">IF('Loan Tape'!$A150="","",'Loan Tape'!$C150)</f>
        <v/>
      </c>
      <c r="E173" s="102" t="str">
        <f aca="false">IF('Loan Tape'!$A150="","",'Loan Tape'!$D150)</f>
        <v/>
      </c>
      <c r="F173" s="102" t="str">
        <f aca="false">IF('Loan Tape'!$A150="","",'Loan Tape'!$E150)</f>
        <v/>
      </c>
      <c r="G173" s="103" t="n">
        <f aca="false">'Loan Tape'!$AN150</f>
        <v>0</v>
      </c>
      <c r="H173" s="99" t="n">
        <f aca="false">'Loan Tape'!$R150*'Loan Tape'!$AN150</f>
        <v>0</v>
      </c>
      <c r="I173" s="104" t="n">
        <f aca="false">'Loan Tape'!$AO150</f>
        <v>0</v>
      </c>
      <c r="J173" s="99" t="n">
        <f aca="false">'Loan Tape'!$AY150</f>
        <v>0</v>
      </c>
      <c r="K173" s="99" t="n">
        <f aca="false">'Loan Tape'!$BB150</f>
        <v>0</v>
      </c>
      <c r="L173" s="104" t="n">
        <f aca="false">'Loan CF'!C457</f>
        <v>0</v>
      </c>
      <c r="M173" s="105" t="n">
        <f aca="false">'Loan Tape'!$AS150*'Loan Tape'!$AN150</f>
        <v>0</v>
      </c>
      <c r="N173" s="105" t="n">
        <f aca="false">IFERROR(SUMPRODUCT(('Loan CF'!$C$916:$L$916-0.5)*('Loan CF'!C1063:L1063+'Loan CF'!C1366:L1366+'Loan CF'!C1669:L1669))/(SUM('Loan CF'!C1063:L1063)+SUM('Loan CF'!C1366:L1366)+SUM('Loan CF'!C1669:L1669)),0)</f>
        <v>0</v>
      </c>
      <c r="O173" s="99" t="n">
        <f aca="false">SUM('Loan CF'!C1972:L1972)</f>
        <v>0</v>
      </c>
      <c r="P173" s="99" t="n">
        <f aca="false">SUM('Loan CF'!C1063:L1063)+SUM('Loan CF'!C1366:L1366)+SUM('Loan CF'!C1669:L1669)</f>
        <v>0</v>
      </c>
      <c r="Q173" s="99" t="n">
        <f aca="false">SUM('Loan CF'!C2275:L2275)</f>
        <v>0</v>
      </c>
      <c r="R173" s="99" t="n">
        <f aca="false">SUM('Loan CF'!C1366:L1366)*Prepay_Pen</f>
        <v>0</v>
      </c>
      <c r="S173" s="99" t="n">
        <f aca="false">'Loan CF'!$C2578</f>
        <v>0</v>
      </c>
      <c r="T173" s="99" t="n">
        <f aca="false">SUM(O173:S173)</f>
        <v>0</v>
      </c>
      <c r="U173" s="99" t="n">
        <f aca="false">SUM('Loan CF'!C760:L760)</f>
        <v>0</v>
      </c>
      <c r="V173" s="99" t="n">
        <f aca="false">U173*Sev</f>
        <v>0</v>
      </c>
      <c r="W173" s="99" t="n">
        <f aca="false">T173-K173</f>
        <v>0</v>
      </c>
      <c r="X173" s="106" t="str">
        <f aca="false">IFERROR(IRR('Loan CF'!C2881:M2881),"-")</f>
        <v>-</v>
      </c>
      <c r="Y173" s="107" t="str">
        <f aca="false">IFERROR(T173/K173,"-")</f>
        <v>-</v>
      </c>
      <c r="Z173" s="99" t="n">
        <f aca="false">'Loan Tape'!$BC150</f>
        <v>0</v>
      </c>
      <c r="AA173" s="99" t="n">
        <f aca="false">'Loan Tape'!$BE150</f>
        <v>0</v>
      </c>
      <c r="AB173" s="99" t="n">
        <f aca="false">SUM('Loan CF'!D3790:M3790)-AA173</f>
        <v>0</v>
      </c>
      <c r="AC173" s="106" t="str">
        <f aca="false">IFERROR(IRR('Loan CF'!C3790:M3790),"-")</f>
        <v>-</v>
      </c>
      <c r="AD173" s="107" t="str">
        <f aca="false">IFERROR(SUM('Loan CF'!D3790:M3790)/AA173,"-")</f>
        <v>-</v>
      </c>
    </row>
    <row r="174" customFormat="false" ht="15" hidden="false" customHeight="false" outlineLevel="0" collapsed="false">
      <c r="B174" s="108" t="str">
        <f aca="false">IF('Loan Tape'!$A151="","",'Loan Tape'!$A151)</f>
        <v/>
      </c>
      <c r="C174" s="108" t="str">
        <f aca="false">IF('Loan Tape'!$A151="","",'Loan Tape'!$B151)</f>
        <v/>
      </c>
      <c r="D174" s="108" t="str">
        <f aca="false">IF('Loan Tape'!$A151="","",'Loan Tape'!$C151)</f>
        <v/>
      </c>
      <c r="E174" s="108" t="str">
        <f aca="false">IF('Loan Tape'!$A151="","",'Loan Tape'!$D151)</f>
        <v/>
      </c>
      <c r="F174" s="108" t="str">
        <f aca="false">IF('Loan Tape'!$A151="","",'Loan Tape'!$E151)</f>
        <v/>
      </c>
      <c r="G174" s="26" t="n">
        <f aca="false">'Loan Tape'!$AN151</f>
        <v>0</v>
      </c>
      <c r="H174" s="71" t="n">
        <f aca="false">'Loan Tape'!$R151*'Loan Tape'!$AN151</f>
        <v>0</v>
      </c>
      <c r="I174" s="56" t="n">
        <f aca="false">'Loan Tape'!$AO151</f>
        <v>0</v>
      </c>
      <c r="J174" s="71" t="n">
        <f aca="false">'Loan Tape'!$AY151</f>
        <v>0</v>
      </c>
      <c r="K174" s="71" t="n">
        <f aca="false">'Loan Tape'!$BB151</f>
        <v>0</v>
      </c>
      <c r="L174" s="56" t="n">
        <f aca="false">'Loan CF'!C458</f>
        <v>0</v>
      </c>
      <c r="M174" s="70" t="n">
        <f aca="false">'Loan Tape'!$AS151*'Loan Tape'!$AN151</f>
        <v>0</v>
      </c>
      <c r="N174" s="70" t="n">
        <f aca="false">IFERROR(SUMPRODUCT(('Loan CF'!$C$916:$L$916-0.5)*('Loan CF'!C1064:L1064+'Loan CF'!C1367:L1367+'Loan CF'!C1670:L1670))/(SUM('Loan CF'!C1064:L1064)+SUM('Loan CF'!C1367:L1367)+SUM('Loan CF'!C1670:L1670)),0)</f>
        <v>0</v>
      </c>
      <c r="O174" s="71" t="n">
        <f aca="false">SUM('Loan CF'!C1973:L1973)</f>
        <v>0</v>
      </c>
      <c r="P174" s="71" t="n">
        <f aca="false">SUM('Loan CF'!C1064:L1064)+SUM('Loan CF'!C1367:L1367)+SUM('Loan CF'!C1670:L1670)</f>
        <v>0</v>
      </c>
      <c r="Q174" s="71" t="n">
        <f aca="false">SUM('Loan CF'!C2276:L2276)</f>
        <v>0</v>
      </c>
      <c r="R174" s="71" t="n">
        <f aca="false">SUM('Loan CF'!C1367:L1367)*Prepay_Pen</f>
        <v>0</v>
      </c>
      <c r="S174" s="71" t="n">
        <f aca="false">'Loan CF'!$C2579</f>
        <v>0</v>
      </c>
      <c r="T174" s="71" t="n">
        <f aca="false">SUM(O174:S174)</f>
        <v>0</v>
      </c>
      <c r="U174" s="71" t="n">
        <f aca="false">SUM('Loan CF'!C761:L761)</f>
        <v>0</v>
      </c>
      <c r="V174" s="71" t="n">
        <f aca="false">U174*Sev</f>
        <v>0</v>
      </c>
      <c r="W174" s="71" t="n">
        <f aca="false">T174-K174</f>
        <v>0</v>
      </c>
      <c r="X174" s="109" t="str">
        <f aca="false">IFERROR(IRR('Loan CF'!C2882:M2882),"-")</f>
        <v>-</v>
      </c>
      <c r="Y174" s="110" t="str">
        <f aca="false">IFERROR(T174/K174,"-")</f>
        <v>-</v>
      </c>
      <c r="Z174" s="71" t="n">
        <f aca="false">'Loan Tape'!$BC151</f>
        <v>0</v>
      </c>
      <c r="AA174" s="71" t="n">
        <f aca="false">'Loan Tape'!$BE151</f>
        <v>0</v>
      </c>
      <c r="AB174" s="71" t="n">
        <f aca="false">SUM('Loan CF'!D3791:M3791)-AA174</f>
        <v>0</v>
      </c>
      <c r="AC174" s="109" t="str">
        <f aca="false">IFERROR(IRR('Loan CF'!C3791:M3791),"-")</f>
        <v>-</v>
      </c>
      <c r="AD174" s="110" t="str">
        <f aca="false">IFERROR(SUM('Loan CF'!D3791:M3791)/AA174,"-")</f>
        <v>-</v>
      </c>
    </row>
    <row r="175" customFormat="false" ht="15" hidden="false" customHeight="false" outlineLevel="0" collapsed="false">
      <c r="B175" s="102" t="str">
        <f aca="false">IF('Loan Tape'!$A152="","",'Loan Tape'!$A152)</f>
        <v/>
      </c>
      <c r="C175" s="102" t="str">
        <f aca="false">IF('Loan Tape'!$A152="","",'Loan Tape'!$B152)</f>
        <v/>
      </c>
      <c r="D175" s="102" t="str">
        <f aca="false">IF('Loan Tape'!$A152="","",'Loan Tape'!$C152)</f>
        <v/>
      </c>
      <c r="E175" s="102" t="str">
        <f aca="false">IF('Loan Tape'!$A152="","",'Loan Tape'!$D152)</f>
        <v/>
      </c>
      <c r="F175" s="102" t="str">
        <f aca="false">IF('Loan Tape'!$A152="","",'Loan Tape'!$E152)</f>
        <v/>
      </c>
      <c r="G175" s="103" t="n">
        <f aca="false">'Loan Tape'!$AN152</f>
        <v>0</v>
      </c>
      <c r="H175" s="99" t="n">
        <f aca="false">'Loan Tape'!$R152*'Loan Tape'!$AN152</f>
        <v>0</v>
      </c>
      <c r="I175" s="104" t="n">
        <f aca="false">'Loan Tape'!$AO152</f>
        <v>0</v>
      </c>
      <c r="J175" s="99" t="n">
        <f aca="false">'Loan Tape'!$AY152</f>
        <v>0</v>
      </c>
      <c r="K175" s="99" t="n">
        <f aca="false">'Loan Tape'!$BB152</f>
        <v>0</v>
      </c>
      <c r="L175" s="104" t="n">
        <f aca="false">'Loan CF'!C459</f>
        <v>0</v>
      </c>
      <c r="M175" s="105" t="n">
        <f aca="false">'Loan Tape'!$AS152*'Loan Tape'!$AN152</f>
        <v>0</v>
      </c>
      <c r="N175" s="105" t="n">
        <f aca="false">IFERROR(SUMPRODUCT(('Loan CF'!$C$916:$L$916-0.5)*('Loan CF'!C1065:L1065+'Loan CF'!C1368:L1368+'Loan CF'!C1671:L1671))/(SUM('Loan CF'!C1065:L1065)+SUM('Loan CF'!C1368:L1368)+SUM('Loan CF'!C1671:L1671)),0)</f>
        <v>0</v>
      </c>
      <c r="O175" s="99" t="n">
        <f aca="false">SUM('Loan CF'!C1974:L1974)</f>
        <v>0</v>
      </c>
      <c r="P175" s="99" t="n">
        <f aca="false">SUM('Loan CF'!C1065:L1065)+SUM('Loan CF'!C1368:L1368)+SUM('Loan CF'!C1671:L1671)</f>
        <v>0</v>
      </c>
      <c r="Q175" s="99" t="n">
        <f aca="false">SUM('Loan CF'!C2277:L2277)</f>
        <v>0</v>
      </c>
      <c r="R175" s="99" t="n">
        <f aca="false">SUM('Loan CF'!C1368:L1368)*Prepay_Pen</f>
        <v>0</v>
      </c>
      <c r="S175" s="99" t="n">
        <f aca="false">'Loan CF'!$C2580</f>
        <v>0</v>
      </c>
      <c r="T175" s="99" t="n">
        <f aca="false">SUM(O175:S175)</f>
        <v>0</v>
      </c>
      <c r="U175" s="99" t="n">
        <f aca="false">SUM('Loan CF'!C762:L762)</f>
        <v>0</v>
      </c>
      <c r="V175" s="99" t="n">
        <f aca="false">U175*Sev</f>
        <v>0</v>
      </c>
      <c r="W175" s="99" t="n">
        <f aca="false">T175-K175</f>
        <v>0</v>
      </c>
      <c r="X175" s="106" t="str">
        <f aca="false">IFERROR(IRR('Loan CF'!C2883:M2883),"-")</f>
        <v>-</v>
      </c>
      <c r="Y175" s="107" t="str">
        <f aca="false">IFERROR(T175/K175,"-")</f>
        <v>-</v>
      </c>
      <c r="Z175" s="99" t="n">
        <f aca="false">'Loan Tape'!$BC152</f>
        <v>0</v>
      </c>
      <c r="AA175" s="99" t="n">
        <f aca="false">'Loan Tape'!$BE152</f>
        <v>0</v>
      </c>
      <c r="AB175" s="99" t="n">
        <f aca="false">SUM('Loan CF'!D3792:M3792)-AA175</f>
        <v>0</v>
      </c>
      <c r="AC175" s="106" t="str">
        <f aca="false">IFERROR(IRR('Loan CF'!C3792:M3792),"-")</f>
        <v>-</v>
      </c>
      <c r="AD175" s="107" t="str">
        <f aca="false">IFERROR(SUM('Loan CF'!D3792:M3792)/AA175,"-")</f>
        <v>-</v>
      </c>
    </row>
    <row r="176" customFormat="false" ht="15" hidden="false" customHeight="false" outlineLevel="0" collapsed="false">
      <c r="B176" s="108" t="str">
        <f aca="false">IF('Loan Tape'!$A153="","",'Loan Tape'!$A153)</f>
        <v/>
      </c>
      <c r="C176" s="108" t="str">
        <f aca="false">IF('Loan Tape'!$A153="","",'Loan Tape'!$B153)</f>
        <v/>
      </c>
      <c r="D176" s="108" t="str">
        <f aca="false">IF('Loan Tape'!$A153="","",'Loan Tape'!$C153)</f>
        <v/>
      </c>
      <c r="E176" s="108" t="str">
        <f aca="false">IF('Loan Tape'!$A153="","",'Loan Tape'!$D153)</f>
        <v/>
      </c>
      <c r="F176" s="108" t="str">
        <f aca="false">IF('Loan Tape'!$A153="","",'Loan Tape'!$E153)</f>
        <v/>
      </c>
      <c r="G176" s="26" t="n">
        <f aca="false">'Loan Tape'!$AN153</f>
        <v>0</v>
      </c>
      <c r="H176" s="71" t="n">
        <f aca="false">'Loan Tape'!$R153*'Loan Tape'!$AN153</f>
        <v>0</v>
      </c>
      <c r="I176" s="56" t="n">
        <f aca="false">'Loan Tape'!$AO153</f>
        <v>0</v>
      </c>
      <c r="J176" s="71" t="n">
        <f aca="false">'Loan Tape'!$AY153</f>
        <v>0</v>
      </c>
      <c r="K176" s="71" t="n">
        <f aca="false">'Loan Tape'!$BB153</f>
        <v>0</v>
      </c>
      <c r="L176" s="56" t="n">
        <f aca="false">'Loan CF'!C460</f>
        <v>0</v>
      </c>
      <c r="M176" s="70" t="n">
        <f aca="false">'Loan Tape'!$AS153*'Loan Tape'!$AN153</f>
        <v>0</v>
      </c>
      <c r="N176" s="70" t="n">
        <f aca="false">IFERROR(SUMPRODUCT(('Loan CF'!$C$916:$L$916-0.5)*('Loan CF'!C1066:L1066+'Loan CF'!C1369:L1369+'Loan CF'!C1672:L1672))/(SUM('Loan CF'!C1066:L1066)+SUM('Loan CF'!C1369:L1369)+SUM('Loan CF'!C1672:L1672)),0)</f>
        <v>0</v>
      </c>
      <c r="O176" s="71" t="n">
        <f aca="false">SUM('Loan CF'!C1975:L1975)</f>
        <v>0</v>
      </c>
      <c r="P176" s="71" t="n">
        <f aca="false">SUM('Loan CF'!C1066:L1066)+SUM('Loan CF'!C1369:L1369)+SUM('Loan CF'!C1672:L1672)</f>
        <v>0</v>
      </c>
      <c r="Q176" s="71" t="n">
        <f aca="false">SUM('Loan CF'!C2278:L2278)</f>
        <v>0</v>
      </c>
      <c r="R176" s="71" t="n">
        <f aca="false">SUM('Loan CF'!C1369:L1369)*Prepay_Pen</f>
        <v>0</v>
      </c>
      <c r="S176" s="71" t="n">
        <f aca="false">'Loan CF'!$C2581</f>
        <v>0</v>
      </c>
      <c r="T176" s="71" t="n">
        <f aca="false">SUM(O176:S176)</f>
        <v>0</v>
      </c>
      <c r="U176" s="71" t="n">
        <f aca="false">SUM('Loan CF'!C763:L763)</f>
        <v>0</v>
      </c>
      <c r="V176" s="71" t="n">
        <f aca="false">U176*Sev</f>
        <v>0</v>
      </c>
      <c r="W176" s="71" t="n">
        <f aca="false">T176-K176</f>
        <v>0</v>
      </c>
      <c r="X176" s="109" t="str">
        <f aca="false">IFERROR(IRR('Loan CF'!C2884:M2884),"-")</f>
        <v>-</v>
      </c>
      <c r="Y176" s="110" t="str">
        <f aca="false">IFERROR(T176/K176,"-")</f>
        <v>-</v>
      </c>
      <c r="Z176" s="71" t="n">
        <f aca="false">'Loan Tape'!$BC153</f>
        <v>0</v>
      </c>
      <c r="AA176" s="71" t="n">
        <f aca="false">'Loan Tape'!$BE153</f>
        <v>0</v>
      </c>
      <c r="AB176" s="71" t="n">
        <f aca="false">SUM('Loan CF'!D3793:M3793)-AA176</f>
        <v>0</v>
      </c>
      <c r="AC176" s="109" t="str">
        <f aca="false">IFERROR(IRR('Loan CF'!C3793:M3793),"-")</f>
        <v>-</v>
      </c>
      <c r="AD176" s="110" t="str">
        <f aca="false">IFERROR(SUM('Loan CF'!D3793:M3793)/AA176,"-")</f>
        <v>-</v>
      </c>
    </row>
    <row r="177" customFormat="false" ht="15" hidden="false" customHeight="false" outlineLevel="0" collapsed="false">
      <c r="B177" s="102" t="str">
        <f aca="false">IF('Loan Tape'!$A154="","",'Loan Tape'!$A154)</f>
        <v/>
      </c>
      <c r="C177" s="102" t="str">
        <f aca="false">IF('Loan Tape'!$A154="","",'Loan Tape'!$B154)</f>
        <v/>
      </c>
      <c r="D177" s="102" t="str">
        <f aca="false">IF('Loan Tape'!$A154="","",'Loan Tape'!$C154)</f>
        <v/>
      </c>
      <c r="E177" s="102" t="str">
        <f aca="false">IF('Loan Tape'!$A154="","",'Loan Tape'!$D154)</f>
        <v/>
      </c>
      <c r="F177" s="102" t="str">
        <f aca="false">IF('Loan Tape'!$A154="","",'Loan Tape'!$E154)</f>
        <v/>
      </c>
      <c r="G177" s="103" t="n">
        <f aca="false">'Loan Tape'!$AN154</f>
        <v>0</v>
      </c>
      <c r="H177" s="99" t="n">
        <f aca="false">'Loan Tape'!$R154*'Loan Tape'!$AN154</f>
        <v>0</v>
      </c>
      <c r="I177" s="104" t="n">
        <f aca="false">'Loan Tape'!$AO154</f>
        <v>0</v>
      </c>
      <c r="J177" s="99" t="n">
        <f aca="false">'Loan Tape'!$AY154</f>
        <v>0</v>
      </c>
      <c r="K177" s="99" t="n">
        <f aca="false">'Loan Tape'!$BB154</f>
        <v>0</v>
      </c>
      <c r="L177" s="104" t="n">
        <f aca="false">'Loan CF'!C461</f>
        <v>0</v>
      </c>
      <c r="M177" s="105" t="n">
        <f aca="false">'Loan Tape'!$AS154*'Loan Tape'!$AN154</f>
        <v>0</v>
      </c>
      <c r="N177" s="105" t="n">
        <f aca="false">IFERROR(SUMPRODUCT(('Loan CF'!$C$916:$L$916-0.5)*('Loan CF'!C1067:L1067+'Loan CF'!C1370:L1370+'Loan CF'!C1673:L1673))/(SUM('Loan CF'!C1067:L1067)+SUM('Loan CF'!C1370:L1370)+SUM('Loan CF'!C1673:L1673)),0)</f>
        <v>0</v>
      </c>
      <c r="O177" s="99" t="n">
        <f aca="false">SUM('Loan CF'!C1976:L1976)</f>
        <v>0</v>
      </c>
      <c r="P177" s="99" t="n">
        <f aca="false">SUM('Loan CF'!C1067:L1067)+SUM('Loan CF'!C1370:L1370)+SUM('Loan CF'!C1673:L1673)</f>
        <v>0</v>
      </c>
      <c r="Q177" s="99" t="n">
        <f aca="false">SUM('Loan CF'!C2279:L2279)</f>
        <v>0</v>
      </c>
      <c r="R177" s="99" t="n">
        <f aca="false">SUM('Loan CF'!C1370:L1370)*Prepay_Pen</f>
        <v>0</v>
      </c>
      <c r="S177" s="99" t="n">
        <f aca="false">'Loan CF'!$C2582</f>
        <v>0</v>
      </c>
      <c r="T177" s="99" t="n">
        <f aca="false">SUM(O177:S177)</f>
        <v>0</v>
      </c>
      <c r="U177" s="99" t="n">
        <f aca="false">SUM('Loan CF'!C764:L764)</f>
        <v>0</v>
      </c>
      <c r="V177" s="99" t="n">
        <f aca="false">U177*Sev</f>
        <v>0</v>
      </c>
      <c r="W177" s="99" t="n">
        <f aca="false">T177-K177</f>
        <v>0</v>
      </c>
      <c r="X177" s="106" t="str">
        <f aca="false">IFERROR(IRR('Loan CF'!C2885:M2885),"-")</f>
        <v>-</v>
      </c>
      <c r="Y177" s="107" t="str">
        <f aca="false">IFERROR(T177/K177,"-")</f>
        <v>-</v>
      </c>
      <c r="Z177" s="99" t="n">
        <f aca="false">'Loan Tape'!$BC154</f>
        <v>0</v>
      </c>
      <c r="AA177" s="99" t="n">
        <f aca="false">'Loan Tape'!$BE154</f>
        <v>0</v>
      </c>
      <c r="AB177" s="99" t="n">
        <f aca="false">SUM('Loan CF'!D3794:M3794)-AA177</f>
        <v>0</v>
      </c>
      <c r="AC177" s="106" t="str">
        <f aca="false">IFERROR(IRR('Loan CF'!C3794:M3794),"-")</f>
        <v>-</v>
      </c>
      <c r="AD177" s="107" t="str">
        <f aca="false">IFERROR(SUM('Loan CF'!D3794:M3794)/AA177,"-")</f>
        <v>-</v>
      </c>
    </row>
    <row r="178" customFormat="false" ht="15" hidden="false" customHeight="false" outlineLevel="0" collapsed="false">
      <c r="B178" s="108" t="str">
        <f aca="false">IF('Loan Tape'!$A155="","",'Loan Tape'!$A155)</f>
        <v/>
      </c>
      <c r="C178" s="108" t="str">
        <f aca="false">IF('Loan Tape'!$A155="","",'Loan Tape'!$B155)</f>
        <v/>
      </c>
      <c r="D178" s="108" t="str">
        <f aca="false">IF('Loan Tape'!$A155="","",'Loan Tape'!$C155)</f>
        <v/>
      </c>
      <c r="E178" s="108" t="str">
        <f aca="false">IF('Loan Tape'!$A155="","",'Loan Tape'!$D155)</f>
        <v/>
      </c>
      <c r="F178" s="108" t="str">
        <f aca="false">IF('Loan Tape'!$A155="","",'Loan Tape'!$E155)</f>
        <v/>
      </c>
      <c r="G178" s="26" t="n">
        <f aca="false">'Loan Tape'!$AN155</f>
        <v>0</v>
      </c>
      <c r="H178" s="71" t="n">
        <f aca="false">'Loan Tape'!$R155*'Loan Tape'!$AN155</f>
        <v>0</v>
      </c>
      <c r="I178" s="56" t="n">
        <f aca="false">'Loan Tape'!$AO155</f>
        <v>0</v>
      </c>
      <c r="J178" s="71" t="n">
        <f aca="false">'Loan Tape'!$AY155</f>
        <v>0</v>
      </c>
      <c r="K178" s="71" t="n">
        <f aca="false">'Loan Tape'!$BB155</f>
        <v>0</v>
      </c>
      <c r="L178" s="56" t="n">
        <f aca="false">'Loan CF'!C462</f>
        <v>0</v>
      </c>
      <c r="M178" s="70" t="n">
        <f aca="false">'Loan Tape'!$AS155*'Loan Tape'!$AN155</f>
        <v>0</v>
      </c>
      <c r="N178" s="70" t="n">
        <f aca="false">IFERROR(SUMPRODUCT(('Loan CF'!$C$916:$L$916-0.5)*('Loan CF'!C1068:L1068+'Loan CF'!C1371:L1371+'Loan CF'!C1674:L1674))/(SUM('Loan CF'!C1068:L1068)+SUM('Loan CF'!C1371:L1371)+SUM('Loan CF'!C1674:L1674)),0)</f>
        <v>0</v>
      </c>
      <c r="O178" s="71" t="n">
        <f aca="false">SUM('Loan CF'!C1977:L1977)</f>
        <v>0</v>
      </c>
      <c r="P178" s="71" t="n">
        <f aca="false">SUM('Loan CF'!C1068:L1068)+SUM('Loan CF'!C1371:L1371)+SUM('Loan CF'!C1674:L1674)</f>
        <v>0</v>
      </c>
      <c r="Q178" s="71" t="n">
        <f aca="false">SUM('Loan CF'!C2280:L2280)</f>
        <v>0</v>
      </c>
      <c r="R178" s="71" t="n">
        <f aca="false">SUM('Loan CF'!C1371:L1371)*Prepay_Pen</f>
        <v>0</v>
      </c>
      <c r="S178" s="71" t="n">
        <f aca="false">'Loan CF'!$C2583</f>
        <v>0</v>
      </c>
      <c r="T178" s="71" t="n">
        <f aca="false">SUM(O178:S178)</f>
        <v>0</v>
      </c>
      <c r="U178" s="71" t="n">
        <f aca="false">SUM('Loan CF'!C765:L765)</f>
        <v>0</v>
      </c>
      <c r="V178" s="71" t="n">
        <f aca="false">U178*Sev</f>
        <v>0</v>
      </c>
      <c r="W178" s="71" t="n">
        <f aca="false">T178-K178</f>
        <v>0</v>
      </c>
      <c r="X178" s="109" t="str">
        <f aca="false">IFERROR(IRR('Loan CF'!C2886:M2886),"-")</f>
        <v>-</v>
      </c>
      <c r="Y178" s="110" t="str">
        <f aca="false">IFERROR(T178/K178,"-")</f>
        <v>-</v>
      </c>
      <c r="Z178" s="71" t="n">
        <f aca="false">'Loan Tape'!$BC155</f>
        <v>0</v>
      </c>
      <c r="AA178" s="71" t="n">
        <f aca="false">'Loan Tape'!$BE155</f>
        <v>0</v>
      </c>
      <c r="AB178" s="71" t="n">
        <f aca="false">SUM('Loan CF'!D3795:M3795)-AA178</f>
        <v>0</v>
      </c>
      <c r="AC178" s="109" t="str">
        <f aca="false">IFERROR(IRR('Loan CF'!C3795:M3795),"-")</f>
        <v>-</v>
      </c>
      <c r="AD178" s="110" t="str">
        <f aca="false">IFERROR(SUM('Loan CF'!D3795:M3795)/AA178,"-")</f>
        <v>-</v>
      </c>
    </row>
    <row r="179" customFormat="false" ht="15" hidden="false" customHeight="false" outlineLevel="0" collapsed="false">
      <c r="B179" s="102" t="str">
        <f aca="false">IF('Loan Tape'!$A156="","",'Loan Tape'!$A156)</f>
        <v/>
      </c>
      <c r="C179" s="102" t="str">
        <f aca="false">IF('Loan Tape'!$A156="","",'Loan Tape'!$B156)</f>
        <v/>
      </c>
      <c r="D179" s="102" t="str">
        <f aca="false">IF('Loan Tape'!$A156="","",'Loan Tape'!$C156)</f>
        <v/>
      </c>
      <c r="E179" s="102" t="str">
        <f aca="false">IF('Loan Tape'!$A156="","",'Loan Tape'!$D156)</f>
        <v/>
      </c>
      <c r="F179" s="102" t="str">
        <f aca="false">IF('Loan Tape'!$A156="","",'Loan Tape'!$E156)</f>
        <v/>
      </c>
      <c r="G179" s="103" t="n">
        <f aca="false">'Loan Tape'!$AN156</f>
        <v>0</v>
      </c>
      <c r="H179" s="99" t="n">
        <f aca="false">'Loan Tape'!$R156*'Loan Tape'!$AN156</f>
        <v>0</v>
      </c>
      <c r="I179" s="104" t="n">
        <f aca="false">'Loan Tape'!$AO156</f>
        <v>0</v>
      </c>
      <c r="J179" s="99" t="n">
        <f aca="false">'Loan Tape'!$AY156</f>
        <v>0</v>
      </c>
      <c r="K179" s="99" t="n">
        <f aca="false">'Loan Tape'!$BB156</f>
        <v>0</v>
      </c>
      <c r="L179" s="104" t="n">
        <f aca="false">'Loan CF'!C463</f>
        <v>0</v>
      </c>
      <c r="M179" s="105" t="n">
        <f aca="false">'Loan Tape'!$AS156*'Loan Tape'!$AN156</f>
        <v>0</v>
      </c>
      <c r="N179" s="105" t="n">
        <f aca="false">IFERROR(SUMPRODUCT(('Loan CF'!$C$916:$L$916-0.5)*('Loan CF'!C1069:L1069+'Loan CF'!C1372:L1372+'Loan CF'!C1675:L1675))/(SUM('Loan CF'!C1069:L1069)+SUM('Loan CF'!C1372:L1372)+SUM('Loan CF'!C1675:L1675)),0)</f>
        <v>0</v>
      </c>
      <c r="O179" s="99" t="n">
        <f aca="false">SUM('Loan CF'!C1978:L1978)</f>
        <v>0</v>
      </c>
      <c r="P179" s="99" t="n">
        <f aca="false">SUM('Loan CF'!C1069:L1069)+SUM('Loan CF'!C1372:L1372)+SUM('Loan CF'!C1675:L1675)</f>
        <v>0</v>
      </c>
      <c r="Q179" s="99" t="n">
        <f aca="false">SUM('Loan CF'!C2281:L2281)</f>
        <v>0</v>
      </c>
      <c r="R179" s="99" t="n">
        <f aca="false">SUM('Loan CF'!C1372:L1372)*Prepay_Pen</f>
        <v>0</v>
      </c>
      <c r="S179" s="99" t="n">
        <f aca="false">'Loan CF'!$C2584</f>
        <v>0</v>
      </c>
      <c r="T179" s="99" t="n">
        <f aca="false">SUM(O179:S179)</f>
        <v>0</v>
      </c>
      <c r="U179" s="99" t="n">
        <f aca="false">SUM('Loan CF'!C766:L766)</f>
        <v>0</v>
      </c>
      <c r="V179" s="99" t="n">
        <f aca="false">U179*Sev</f>
        <v>0</v>
      </c>
      <c r="W179" s="99" t="n">
        <f aca="false">T179-K179</f>
        <v>0</v>
      </c>
      <c r="X179" s="106" t="str">
        <f aca="false">IFERROR(IRR('Loan CF'!C2887:M2887),"-")</f>
        <v>-</v>
      </c>
      <c r="Y179" s="107" t="str">
        <f aca="false">IFERROR(T179/K179,"-")</f>
        <v>-</v>
      </c>
      <c r="Z179" s="99" t="n">
        <f aca="false">'Loan Tape'!$BC156</f>
        <v>0</v>
      </c>
      <c r="AA179" s="99" t="n">
        <f aca="false">'Loan Tape'!$BE156</f>
        <v>0</v>
      </c>
      <c r="AB179" s="99" t="n">
        <f aca="false">SUM('Loan CF'!D3796:M3796)-AA179</f>
        <v>0</v>
      </c>
      <c r="AC179" s="106" t="str">
        <f aca="false">IFERROR(IRR('Loan CF'!C3796:M3796),"-")</f>
        <v>-</v>
      </c>
      <c r="AD179" s="107" t="str">
        <f aca="false">IFERROR(SUM('Loan CF'!D3796:M3796)/AA179,"-")</f>
        <v>-</v>
      </c>
    </row>
    <row r="180" customFormat="false" ht="15" hidden="false" customHeight="false" outlineLevel="0" collapsed="false">
      <c r="B180" s="108" t="str">
        <f aca="false">IF('Loan Tape'!$A157="","",'Loan Tape'!$A157)</f>
        <v/>
      </c>
      <c r="C180" s="108" t="str">
        <f aca="false">IF('Loan Tape'!$A157="","",'Loan Tape'!$B157)</f>
        <v/>
      </c>
      <c r="D180" s="108" t="str">
        <f aca="false">IF('Loan Tape'!$A157="","",'Loan Tape'!$C157)</f>
        <v/>
      </c>
      <c r="E180" s="108" t="str">
        <f aca="false">IF('Loan Tape'!$A157="","",'Loan Tape'!$D157)</f>
        <v/>
      </c>
      <c r="F180" s="108" t="str">
        <f aca="false">IF('Loan Tape'!$A157="","",'Loan Tape'!$E157)</f>
        <v/>
      </c>
      <c r="G180" s="26" t="n">
        <f aca="false">'Loan Tape'!$AN157</f>
        <v>0</v>
      </c>
      <c r="H180" s="71" t="n">
        <f aca="false">'Loan Tape'!$R157*'Loan Tape'!$AN157</f>
        <v>0</v>
      </c>
      <c r="I180" s="56" t="n">
        <f aca="false">'Loan Tape'!$AO157</f>
        <v>0</v>
      </c>
      <c r="J180" s="71" t="n">
        <f aca="false">'Loan Tape'!$AY157</f>
        <v>0</v>
      </c>
      <c r="K180" s="71" t="n">
        <f aca="false">'Loan Tape'!$BB157</f>
        <v>0</v>
      </c>
      <c r="L180" s="56" t="n">
        <f aca="false">'Loan CF'!C464</f>
        <v>0</v>
      </c>
      <c r="M180" s="70" t="n">
        <f aca="false">'Loan Tape'!$AS157*'Loan Tape'!$AN157</f>
        <v>0</v>
      </c>
      <c r="N180" s="70" t="n">
        <f aca="false">IFERROR(SUMPRODUCT(('Loan CF'!$C$916:$L$916-0.5)*('Loan CF'!C1070:L1070+'Loan CF'!C1373:L1373+'Loan CF'!C1676:L1676))/(SUM('Loan CF'!C1070:L1070)+SUM('Loan CF'!C1373:L1373)+SUM('Loan CF'!C1676:L1676)),0)</f>
        <v>0</v>
      </c>
      <c r="O180" s="71" t="n">
        <f aca="false">SUM('Loan CF'!C1979:L1979)</f>
        <v>0</v>
      </c>
      <c r="P180" s="71" t="n">
        <f aca="false">SUM('Loan CF'!C1070:L1070)+SUM('Loan CF'!C1373:L1373)+SUM('Loan CF'!C1676:L1676)</f>
        <v>0</v>
      </c>
      <c r="Q180" s="71" t="n">
        <f aca="false">SUM('Loan CF'!C2282:L2282)</f>
        <v>0</v>
      </c>
      <c r="R180" s="71" t="n">
        <f aca="false">SUM('Loan CF'!C1373:L1373)*Prepay_Pen</f>
        <v>0</v>
      </c>
      <c r="S180" s="71" t="n">
        <f aca="false">'Loan CF'!$C2585</f>
        <v>0</v>
      </c>
      <c r="T180" s="71" t="n">
        <f aca="false">SUM(O180:S180)</f>
        <v>0</v>
      </c>
      <c r="U180" s="71" t="n">
        <f aca="false">SUM('Loan CF'!C767:L767)</f>
        <v>0</v>
      </c>
      <c r="V180" s="71" t="n">
        <f aca="false">U180*Sev</f>
        <v>0</v>
      </c>
      <c r="W180" s="71" t="n">
        <f aca="false">T180-K180</f>
        <v>0</v>
      </c>
      <c r="X180" s="109" t="str">
        <f aca="false">IFERROR(IRR('Loan CF'!C2888:M2888),"-")</f>
        <v>-</v>
      </c>
      <c r="Y180" s="110" t="str">
        <f aca="false">IFERROR(T180/K180,"-")</f>
        <v>-</v>
      </c>
      <c r="Z180" s="71" t="n">
        <f aca="false">'Loan Tape'!$BC157</f>
        <v>0</v>
      </c>
      <c r="AA180" s="71" t="n">
        <f aca="false">'Loan Tape'!$BE157</f>
        <v>0</v>
      </c>
      <c r="AB180" s="71" t="n">
        <f aca="false">SUM('Loan CF'!D3797:M3797)-AA180</f>
        <v>0</v>
      </c>
      <c r="AC180" s="109" t="str">
        <f aca="false">IFERROR(IRR('Loan CF'!C3797:M3797),"-")</f>
        <v>-</v>
      </c>
      <c r="AD180" s="110" t="str">
        <f aca="false">IFERROR(SUM('Loan CF'!D3797:M3797)/AA180,"-")</f>
        <v>-</v>
      </c>
    </row>
    <row r="181" customFormat="false" ht="15" hidden="false" customHeight="false" outlineLevel="0" collapsed="false">
      <c r="B181" s="102" t="str">
        <f aca="false">IF('Loan Tape'!$A158="","",'Loan Tape'!$A158)</f>
        <v/>
      </c>
      <c r="C181" s="102" t="str">
        <f aca="false">IF('Loan Tape'!$A158="","",'Loan Tape'!$B158)</f>
        <v/>
      </c>
      <c r="D181" s="102" t="str">
        <f aca="false">IF('Loan Tape'!$A158="","",'Loan Tape'!$C158)</f>
        <v/>
      </c>
      <c r="E181" s="102" t="str">
        <f aca="false">IF('Loan Tape'!$A158="","",'Loan Tape'!$D158)</f>
        <v/>
      </c>
      <c r="F181" s="102" t="str">
        <f aca="false">IF('Loan Tape'!$A158="","",'Loan Tape'!$E158)</f>
        <v/>
      </c>
      <c r="G181" s="103" t="n">
        <f aca="false">'Loan Tape'!$AN158</f>
        <v>0</v>
      </c>
      <c r="H181" s="99" t="n">
        <f aca="false">'Loan Tape'!$R158*'Loan Tape'!$AN158</f>
        <v>0</v>
      </c>
      <c r="I181" s="104" t="n">
        <f aca="false">'Loan Tape'!$AO158</f>
        <v>0</v>
      </c>
      <c r="J181" s="99" t="n">
        <f aca="false">'Loan Tape'!$AY158</f>
        <v>0</v>
      </c>
      <c r="K181" s="99" t="n">
        <f aca="false">'Loan Tape'!$BB158</f>
        <v>0</v>
      </c>
      <c r="L181" s="104" t="n">
        <f aca="false">'Loan CF'!C465</f>
        <v>0</v>
      </c>
      <c r="M181" s="105" t="n">
        <f aca="false">'Loan Tape'!$AS158*'Loan Tape'!$AN158</f>
        <v>0</v>
      </c>
      <c r="N181" s="105" t="n">
        <f aca="false">IFERROR(SUMPRODUCT(('Loan CF'!$C$916:$L$916-0.5)*('Loan CF'!C1071:L1071+'Loan CF'!C1374:L1374+'Loan CF'!C1677:L1677))/(SUM('Loan CF'!C1071:L1071)+SUM('Loan CF'!C1374:L1374)+SUM('Loan CF'!C1677:L1677)),0)</f>
        <v>0</v>
      </c>
      <c r="O181" s="99" t="n">
        <f aca="false">SUM('Loan CF'!C1980:L1980)</f>
        <v>0</v>
      </c>
      <c r="P181" s="99" t="n">
        <f aca="false">SUM('Loan CF'!C1071:L1071)+SUM('Loan CF'!C1374:L1374)+SUM('Loan CF'!C1677:L1677)</f>
        <v>0</v>
      </c>
      <c r="Q181" s="99" t="n">
        <f aca="false">SUM('Loan CF'!C2283:L2283)</f>
        <v>0</v>
      </c>
      <c r="R181" s="99" t="n">
        <f aca="false">SUM('Loan CF'!C1374:L1374)*Prepay_Pen</f>
        <v>0</v>
      </c>
      <c r="S181" s="99" t="n">
        <f aca="false">'Loan CF'!$C2586</f>
        <v>0</v>
      </c>
      <c r="T181" s="99" t="n">
        <f aca="false">SUM(O181:S181)</f>
        <v>0</v>
      </c>
      <c r="U181" s="99" t="n">
        <f aca="false">SUM('Loan CF'!C768:L768)</f>
        <v>0</v>
      </c>
      <c r="V181" s="99" t="n">
        <f aca="false">U181*Sev</f>
        <v>0</v>
      </c>
      <c r="W181" s="99" t="n">
        <f aca="false">T181-K181</f>
        <v>0</v>
      </c>
      <c r="X181" s="106" t="str">
        <f aca="false">IFERROR(IRR('Loan CF'!C2889:M2889),"-")</f>
        <v>-</v>
      </c>
      <c r="Y181" s="107" t="str">
        <f aca="false">IFERROR(T181/K181,"-")</f>
        <v>-</v>
      </c>
      <c r="Z181" s="99" t="n">
        <f aca="false">'Loan Tape'!$BC158</f>
        <v>0</v>
      </c>
      <c r="AA181" s="99" t="n">
        <f aca="false">'Loan Tape'!$BE158</f>
        <v>0</v>
      </c>
      <c r="AB181" s="99" t="n">
        <f aca="false">SUM('Loan CF'!D3798:M3798)-AA181</f>
        <v>0</v>
      </c>
      <c r="AC181" s="106" t="str">
        <f aca="false">IFERROR(IRR('Loan CF'!C3798:M3798),"-")</f>
        <v>-</v>
      </c>
      <c r="AD181" s="107" t="str">
        <f aca="false">IFERROR(SUM('Loan CF'!D3798:M3798)/AA181,"-")</f>
        <v>-</v>
      </c>
    </row>
    <row r="182" customFormat="false" ht="15" hidden="false" customHeight="false" outlineLevel="0" collapsed="false">
      <c r="B182" s="108" t="str">
        <f aca="false">IF('Loan Tape'!$A159="","",'Loan Tape'!$A159)</f>
        <v/>
      </c>
      <c r="C182" s="108" t="str">
        <f aca="false">IF('Loan Tape'!$A159="","",'Loan Tape'!$B159)</f>
        <v/>
      </c>
      <c r="D182" s="108" t="str">
        <f aca="false">IF('Loan Tape'!$A159="","",'Loan Tape'!$C159)</f>
        <v/>
      </c>
      <c r="E182" s="108" t="str">
        <f aca="false">IF('Loan Tape'!$A159="","",'Loan Tape'!$D159)</f>
        <v/>
      </c>
      <c r="F182" s="108" t="str">
        <f aca="false">IF('Loan Tape'!$A159="","",'Loan Tape'!$E159)</f>
        <v/>
      </c>
      <c r="G182" s="26" t="n">
        <f aca="false">'Loan Tape'!$AN159</f>
        <v>0</v>
      </c>
      <c r="H182" s="71" t="n">
        <f aca="false">'Loan Tape'!$R159*'Loan Tape'!$AN159</f>
        <v>0</v>
      </c>
      <c r="I182" s="56" t="n">
        <f aca="false">'Loan Tape'!$AO159</f>
        <v>0</v>
      </c>
      <c r="J182" s="71" t="n">
        <f aca="false">'Loan Tape'!$AY159</f>
        <v>0</v>
      </c>
      <c r="K182" s="71" t="n">
        <f aca="false">'Loan Tape'!$BB159</f>
        <v>0</v>
      </c>
      <c r="L182" s="56" t="n">
        <f aca="false">'Loan CF'!C466</f>
        <v>0</v>
      </c>
      <c r="M182" s="70" t="n">
        <f aca="false">'Loan Tape'!$AS159*'Loan Tape'!$AN159</f>
        <v>0</v>
      </c>
      <c r="N182" s="70" t="n">
        <f aca="false">IFERROR(SUMPRODUCT(('Loan CF'!$C$916:$L$916-0.5)*('Loan CF'!C1072:L1072+'Loan CF'!C1375:L1375+'Loan CF'!C1678:L1678))/(SUM('Loan CF'!C1072:L1072)+SUM('Loan CF'!C1375:L1375)+SUM('Loan CF'!C1678:L1678)),0)</f>
        <v>0</v>
      </c>
      <c r="O182" s="71" t="n">
        <f aca="false">SUM('Loan CF'!C1981:L1981)</f>
        <v>0</v>
      </c>
      <c r="P182" s="71" t="n">
        <f aca="false">SUM('Loan CF'!C1072:L1072)+SUM('Loan CF'!C1375:L1375)+SUM('Loan CF'!C1678:L1678)</f>
        <v>0</v>
      </c>
      <c r="Q182" s="71" t="n">
        <f aca="false">SUM('Loan CF'!C2284:L2284)</f>
        <v>0</v>
      </c>
      <c r="R182" s="71" t="n">
        <f aca="false">SUM('Loan CF'!C1375:L1375)*Prepay_Pen</f>
        <v>0</v>
      </c>
      <c r="S182" s="71" t="n">
        <f aca="false">'Loan CF'!$C2587</f>
        <v>0</v>
      </c>
      <c r="T182" s="71" t="n">
        <f aca="false">SUM(O182:S182)</f>
        <v>0</v>
      </c>
      <c r="U182" s="71" t="n">
        <f aca="false">SUM('Loan CF'!C769:L769)</f>
        <v>0</v>
      </c>
      <c r="V182" s="71" t="n">
        <f aca="false">U182*Sev</f>
        <v>0</v>
      </c>
      <c r="W182" s="71" t="n">
        <f aca="false">T182-K182</f>
        <v>0</v>
      </c>
      <c r="X182" s="109" t="str">
        <f aca="false">IFERROR(IRR('Loan CF'!C2890:M2890),"-")</f>
        <v>-</v>
      </c>
      <c r="Y182" s="110" t="str">
        <f aca="false">IFERROR(T182/K182,"-")</f>
        <v>-</v>
      </c>
      <c r="Z182" s="71" t="n">
        <f aca="false">'Loan Tape'!$BC159</f>
        <v>0</v>
      </c>
      <c r="AA182" s="71" t="n">
        <f aca="false">'Loan Tape'!$BE159</f>
        <v>0</v>
      </c>
      <c r="AB182" s="71" t="n">
        <f aca="false">SUM('Loan CF'!D3799:M3799)-AA182</f>
        <v>0</v>
      </c>
      <c r="AC182" s="109" t="str">
        <f aca="false">IFERROR(IRR('Loan CF'!C3799:M3799),"-")</f>
        <v>-</v>
      </c>
      <c r="AD182" s="110" t="str">
        <f aca="false">IFERROR(SUM('Loan CF'!D3799:M3799)/AA182,"-")</f>
        <v>-</v>
      </c>
    </row>
    <row r="183" customFormat="false" ht="15" hidden="false" customHeight="false" outlineLevel="0" collapsed="false">
      <c r="B183" s="102" t="str">
        <f aca="false">IF('Loan Tape'!$A160="","",'Loan Tape'!$A160)</f>
        <v/>
      </c>
      <c r="C183" s="102" t="str">
        <f aca="false">IF('Loan Tape'!$A160="","",'Loan Tape'!$B160)</f>
        <v/>
      </c>
      <c r="D183" s="102" t="str">
        <f aca="false">IF('Loan Tape'!$A160="","",'Loan Tape'!$C160)</f>
        <v/>
      </c>
      <c r="E183" s="102" t="str">
        <f aca="false">IF('Loan Tape'!$A160="","",'Loan Tape'!$D160)</f>
        <v/>
      </c>
      <c r="F183" s="102" t="str">
        <f aca="false">IF('Loan Tape'!$A160="","",'Loan Tape'!$E160)</f>
        <v/>
      </c>
      <c r="G183" s="103" t="n">
        <f aca="false">'Loan Tape'!$AN160</f>
        <v>0</v>
      </c>
      <c r="H183" s="99" t="n">
        <f aca="false">'Loan Tape'!$R160*'Loan Tape'!$AN160</f>
        <v>0</v>
      </c>
      <c r="I183" s="104" t="n">
        <f aca="false">'Loan Tape'!$AO160</f>
        <v>0</v>
      </c>
      <c r="J183" s="99" t="n">
        <f aca="false">'Loan Tape'!$AY160</f>
        <v>0</v>
      </c>
      <c r="K183" s="99" t="n">
        <f aca="false">'Loan Tape'!$BB160</f>
        <v>0</v>
      </c>
      <c r="L183" s="104" t="n">
        <f aca="false">'Loan CF'!C467</f>
        <v>0</v>
      </c>
      <c r="M183" s="105" t="n">
        <f aca="false">'Loan Tape'!$AS160*'Loan Tape'!$AN160</f>
        <v>0</v>
      </c>
      <c r="N183" s="105" t="n">
        <f aca="false">IFERROR(SUMPRODUCT(('Loan CF'!$C$916:$L$916-0.5)*('Loan CF'!C1073:L1073+'Loan CF'!C1376:L1376+'Loan CF'!C1679:L1679))/(SUM('Loan CF'!C1073:L1073)+SUM('Loan CF'!C1376:L1376)+SUM('Loan CF'!C1679:L1679)),0)</f>
        <v>0</v>
      </c>
      <c r="O183" s="99" t="n">
        <f aca="false">SUM('Loan CF'!C1982:L1982)</f>
        <v>0</v>
      </c>
      <c r="P183" s="99" t="n">
        <f aca="false">SUM('Loan CF'!C1073:L1073)+SUM('Loan CF'!C1376:L1376)+SUM('Loan CF'!C1679:L1679)</f>
        <v>0</v>
      </c>
      <c r="Q183" s="99" t="n">
        <f aca="false">SUM('Loan CF'!C2285:L2285)</f>
        <v>0</v>
      </c>
      <c r="R183" s="99" t="n">
        <f aca="false">SUM('Loan CF'!C1376:L1376)*Prepay_Pen</f>
        <v>0</v>
      </c>
      <c r="S183" s="99" t="n">
        <f aca="false">'Loan CF'!$C2588</f>
        <v>0</v>
      </c>
      <c r="T183" s="99" t="n">
        <f aca="false">SUM(O183:S183)</f>
        <v>0</v>
      </c>
      <c r="U183" s="99" t="n">
        <f aca="false">SUM('Loan CF'!C770:L770)</f>
        <v>0</v>
      </c>
      <c r="V183" s="99" t="n">
        <f aca="false">U183*Sev</f>
        <v>0</v>
      </c>
      <c r="W183" s="99" t="n">
        <f aca="false">T183-K183</f>
        <v>0</v>
      </c>
      <c r="X183" s="106" t="str">
        <f aca="false">IFERROR(IRR('Loan CF'!C2891:M2891),"-")</f>
        <v>-</v>
      </c>
      <c r="Y183" s="107" t="str">
        <f aca="false">IFERROR(T183/K183,"-")</f>
        <v>-</v>
      </c>
      <c r="Z183" s="99" t="n">
        <f aca="false">'Loan Tape'!$BC160</f>
        <v>0</v>
      </c>
      <c r="AA183" s="99" t="n">
        <f aca="false">'Loan Tape'!$BE160</f>
        <v>0</v>
      </c>
      <c r="AB183" s="99" t="n">
        <f aca="false">SUM('Loan CF'!D3800:M3800)-AA183</f>
        <v>0</v>
      </c>
      <c r="AC183" s="106" t="str">
        <f aca="false">IFERROR(IRR('Loan CF'!C3800:M3800),"-")</f>
        <v>-</v>
      </c>
      <c r="AD183" s="107" t="str">
        <f aca="false">IFERROR(SUM('Loan CF'!D3800:M3800)/AA183,"-")</f>
        <v>-</v>
      </c>
    </row>
    <row r="184" customFormat="false" ht="15" hidden="false" customHeight="false" outlineLevel="0" collapsed="false">
      <c r="B184" s="108" t="str">
        <f aca="false">IF('Loan Tape'!$A161="","",'Loan Tape'!$A161)</f>
        <v/>
      </c>
      <c r="C184" s="108" t="str">
        <f aca="false">IF('Loan Tape'!$A161="","",'Loan Tape'!$B161)</f>
        <v/>
      </c>
      <c r="D184" s="108" t="str">
        <f aca="false">IF('Loan Tape'!$A161="","",'Loan Tape'!$C161)</f>
        <v/>
      </c>
      <c r="E184" s="108" t="str">
        <f aca="false">IF('Loan Tape'!$A161="","",'Loan Tape'!$D161)</f>
        <v/>
      </c>
      <c r="F184" s="108" t="str">
        <f aca="false">IF('Loan Tape'!$A161="","",'Loan Tape'!$E161)</f>
        <v/>
      </c>
      <c r="G184" s="26" t="n">
        <f aca="false">'Loan Tape'!$AN161</f>
        <v>0</v>
      </c>
      <c r="H184" s="71" t="n">
        <f aca="false">'Loan Tape'!$R161*'Loan Tape'!$AN161</f>
        <v>0</v>
      </c>
      <c r="I184" s="56" t="n">
        <f aca="false">'Loan Tape'!$AO161</f>
        <v>0</v>
      </c>
      <c r="J184" s="71" t="n">
        <f aca="false">'Loan Tape'!$AY161</f>
        <v>0</v>
      </c>
      <c r="K184" s="71" t="n">
        <f aca="false">'Loan Tape'!$BB161</f>
        <v>0</v>
      </c>
      <c r="L184" s="56" t="n">
        <f aca="false">'Loan CF'!C468</f>
        <v>0</v>
      </c>
      <c r="M184" s="70" t="n">
        <f aca="false">'Loan Tape'!$AS161*'Loan Tape'!$AN161</f>
        <v>0</v>
      </c>
      <c r="N184" s="70" t="n">
        <f aca="false">IFERROR(SUMPRODUCT(('Loan CF'!$C$916:$L$916-0.5)*('Loan CF'!C1074:L1074+'Loan CF'!C1377:L1377+'Loan CF'!C1680:L1680))/(SUM('Loan CF'!C1074:L1074)+SUM('Loan CF'!C1377:L1377)+SUM('Loan CF'!C1680:L1680)),0)</f>
        <v>0</v>
      </c>
      <c r="O184" s="71" t="n">
        <f aca="false">SUM('Loan CF'!C1983:L1983)</f>
        <v>0</v>
      </c>
      <c r="P184" s="71" t="n">
        <f aca="false">SUM('Loan CF'!C1074:L1074)+SUM('Loan CF'!C1377:L1377)+SUM('Loan CF'!C1680:L1680)</f>
        <v>0</v>
      </c>
      <c r="Q184" s="71" t="n">
        <f aca="false">SUM('Loan CF'!C2286:L2286)</f>
        <v>0</v>
      </c>
      <c r="R184" s="71" t="n">
        <f aca="false">SUM('Loan CF'!C1377:L1377)*Prepay_Pen</f>
        <v>0</v>
      </c>
      <c r="S184" s="71" t="n">
        <f aca="false">'Loan CF'!$C2589</f>
        <v>0</v>
      </c>
      <c r="T184" s="71" t="n">
        <f aca="false">SUM(O184:S184)</f>
        <v>0</v>
      </c>
      <c r="U184" s="71" t="n">
        <f aca="false">SUM('Loan CF'!C771:L771)</f>
        <v>0</v>
      </c>
      <c r="V184" s="71" t="n">
        <f aca="false">U184*Sev</f>
        <v>0</v>
      </c>
      <c r="W184" s="71" t="n">
        <f aca="false">T184-K184</f>
        <v>0</v>
      </c>
      <c r="X184" s="109" t="str">
        <f aca="false">IFERROR(IRR('Loan CF'!C2892:M2892),"-")</f>
        <v>-</v>
      </c>
      <c r="Y184" s="110" t="str">
        <f aca="false">IFERROR(T184/K184,"-")</f>
        <v>-</v>
      </c>
      <c r="Z184" s="71" t="n">
        <f aca="false">'Loan Tape'!$BC161</f>
        <v>0</v>
      </c>
      <c r="AA184" s="71" t="n">
        <f aca="false">'Loan Tape'!$BE161</f>
        <v>0</v>
      </c>
      <c r="AB184" s="71" t="n">
        <f aca="false">SUM('Loan CF'!D3801:M3801)-AA184</f>
        <v>0</v>
      </c>
      <c r="AC184" s="109" t="str">
        <f aca="false">IFERROR(IRR('Loan CF'!C3801:M3801),"-")</f>
        <v>-</v>
      </c>
      <c r="AD184" s="110" t="str">
        <f aca="false">IFERROR(SUM('Loan CF'!D3801:M3801)/AA184,"-")</f>
        <v>-</v>
      </c>
    </row>
    <row r="185" customFormat="false" ht="15" hidden="false" customHeight="false" outlineLevel="0" collapsed="false">
      <c r="B185" s="102" t="str">
        <f aca="false">IF('Loan Tape'!$A162="","",'Loan Tape'!$A162)</f>
        <v/>
      </c>
      <c r="C185" s="102" t="str">
        <f aca="false">IF('Loan Tape'!$A162="","",'Loan Tape'!$B162)</f>
        <v/>
      </c>
      <c r="D185" s="102" t="str">
        <f aca="false">IF('Loan Tape'!$A162="","",'Loan Tape'!$C162)</f>
        <v/>
      </c>
      <c r="E185" s="102" t="str">
        <f aca="false">IF('Loan Tape'!$A162="","",'Loan Tape'!$D162)</f>
        <v/>
      </c>
      <c r="F185" s="102" t="str">
        <f aca="false">IF('Loan Tape'!$A162="","",'Loan Tape'!$E162)</f>
        <v/>
      </c>
      <c r="G185" s="103" t="n">
        <f aca="false">'Loan Tape'!$AN162</f>
        <v>0</v>
      </c>
      <c r="H185" s="99" t="n">
        <f aca="false">'Loan Tape'!$R162*'Loan Tape'!$AN162</f>
        <v>0</v>
      </c>
      <c r="I185" s="104" t="n">
        <f aca="false">'Loan Tape'!$AO162</f>
        <v>0</v>
      </c>
      <c r="J185" s="99" t="n">
        <f aca="false">'Loan Tape'!$AY162</f>
        <v>0</v>
      </c>
      <c r="K185" s="99" t="n">
        <f aca="false">'Loan Tape'!$BB162</f>
        <v>0</v>
      </c>
      <c r="L185" s="104" t="n">
        <f aca="false">'Loan CF'!C469</f>
        <v>0</v>
      </c>
      <c r="M185" s="105" t="n">
        <f aca="false">'Loan Tape'!$AS162*'Loan Tape'!$AN162</f>
        <v>0</v>
      </c>
      <c r="N185" s="105" t="n">
        <f aca="false">IFERROR(SUMPRODUCT(('Loan CF'!$C$916:$L$916-0.5)*('Loan CF'!C1075:L1075+'Loan CF'!C1378:L1378+'Loan CF'!C1681:L1681))/(SUM('Loan CF'!C1075:L1075)+SUM('Loan CF'!C1378:L1378)+SUM('Loan CF'!C1681:L1681)),0)</f>
        <v>0</v>
      </c>
      <c r="O185" s="99" t="n">
        <f aca="false">SUM('Loan CF'!C1984:L1984)</f>
        <v>0</v>
      </c>
      <c r="P185" s="99" t="n">
        <f aca="false">SUM('Loan CF'!C1075:L1075)+SUM('Loan CF'!C1378:L1378)+SUM('Loan CF'!C1681:L1681)</f>
        <v>0</v>
      </c>
      <c r="Q185" s="99" t="n">
        <f aca="false">SUM('Loan CF'!C2287:L2287)</f>
        <v>0</v>
      </c>
      <c r="R185" s="99" t="n">
        <f aca="false">SUM('Loan CF'!C1378:L1378)*Prepay_Pen</f>
        <v>0</v>
      </c>
      <c r="S185" s="99" t="n">
        <f aca="false">'Loan CF'!$C2590</f>
        <v>0</v>
      </c>
      <c r="T185" s="99" t="n">
        <f aca="false">SUM(O185:S185)</f>
        <v>0</v>
      </c>
      <c r="U185" s="99" t="n">
        <f aca="false">SUM('Loan CF'!C772:L772)</f>
        <v>0</v>
      </c>
      <c r="V185" s="99" t="n">
        <f aca="false">U185*Sev</f>
        <v>0</v>
      </c>
      <c r="W185" s="99" t="n">
        <f aca="false">T185-K185</f>
        <v>0</v>
      </c>
      <c r="X185" s="106" t="str">
        <f aca="false">IFERROR(IRR('Loan CF'!C2893:M2893),"-")</f>
        <v>-</v>
      </c>
      <c r="Y185" s="107" t="str">
        <f aca="false">IFERROR(T185/K185,"-")</f>
        <v>-</v>
      </c>
      <c r="Z185" s="99" t="n">
        <f aca="false">'Loan Tape'!$BC162</f>
        <v>0</v>
      </c>
      <c r="AA185" s="99" t="n">
        <f aca="false">'Loan Tape'!$BE162</f>
        <v>0</v>
      </c>
      <c r="AB185" s="99" t="n">
        <f aca="false">SUM('Loan CF'!D3802:M3802)-AA185</f>
        <v>0</v>
      </c>
      <c r="AC185" s="106" t="str">
        <f aca="false">IFERROR(IRR('Loan CF'!C3802:M3802),"-")</f>
        <v>-</v>
      </c>
      <c r="AD185" s="107" t="str">
        <f aca="false">IFERROR(SUM('Loan CF'!D3802:M3802)/AA185,"-")</f>
        <v>-</v>
      </c>
    </row>
    <row r="186" customFormat="false" ht="15" hidden="false" customHeight="false" outlineLevel="0" collapsed="false">
      <c r="B186" s="108" t="str">
        <f aca="false">IF('Loan Tape'!$A163="","",'Loan Tape'!$A163)</f>
        <v/>
      </c>
      <c r="C186" s="108" t="str">
        <f aca="false">IF('Loan Tape'!$A163="","",'Loan Tape'!$B163)</f>
        <v/>
      </c>
      <c r="D186" s="108" t="str">
        <f aca="false">IF('Loan Tape'!$A163="","",'Loan Tape'!$C163)</f>
        <v/>
      </c>
      <c r="E186" s="108" t="str">
        <f aca="false">IF('Loan Tape'!$A163="","",'Loan Tape'!$D163)</f>
        <v/>
      </c>
      <c r="F186" s="108" t="str">
        <f aca="false">IF('Loan Tape'!$A163="","",'Loan Tape'!$E163)</f>
        <v/>
      </c>
      <c r="G186" s="26" t="n">
        <f aca="false">'Loan Tape'!$AN163</f>
        <v>0</v>
      </c>
      <c r="H186" s="71" t="n">
        <f aca="false">'Loan Tape'!$R163*'Loan Tape'!$AN163</f>
        <v>0</v>
      </c>
      <c r="I186" s="56" t="n">
        <f aca="false">'Loan Tape'!$AO163</f>
        <v>0</v>
      </c>
      <c r="J186" s="71" t="n">
        <f aca="false">'Loan Tape'!$AY163</f>
        <v>0</v>
      </c>
      <c r="K186" s="71" t="n">
        <f aca="false">'Loan Tape'!$BB163</f>
        <v>0</v>
      </c>
      <c r="L186" s="56" t="n">
        <f aca="false">'Loan CF'!C470</f>
        <v>0</v>
      </c>
      <c r="M186" s="70" t="n">
        <f aca="false">'Loan Tape'!$AS163*'Loan Tape'!$AN163</f>
        <v>0</v>
      </c>
      <c r="N186" s="70" t="n">
        <f aca="false">IFERROR(SUMPRODUCT(('Loan CF'!$C$916:$L$916-0.5)*('Loan CF'!C1076:L1076+'Loan CF'!C1379:L1379+'Loan CF'!C1682:L1682))/(SUM('Loan CF'!C1076:L1076)+SUM('Loan CF'!C1379:L1379)+SUM('Loan CF'!C1682:L1682)),0)</f>
        <v>0</v>
      </c>
      <c r="O186" s="71" t="n">
        <f aca="false">SUM('Loan CF'!C1985:L1985)</f>
        <v>0</v>
      </c>
      <c r="P186" s="71" t="n">
        <f aca="false">SUM('Loan CF'!C1076:L1076)+SUM('Loan CF'!C1379:L1379)+SUM('Loan CF'!C1682:L1682)</f>
        <v>0</v>
      </c>
      <c r="Q186" s="71" t="n">
        <f aca="false">SUM('Loan CF'!C2288:L2288)</f>
        <v>0</v>
      </c>
      <c r="R186" s="71" t="n">
        <f aca="false">SUM('Loan CF'!C1379:L1379)*Prepay_Pen</f>
        <v>0</v>
      </c>
      <c r="S186" s="71" t="n">
        <f aca="false">'Loan CF'!$C2591</f>
        <v>0</v>
      </c>
      <c r="T186" s="71" t="n">
        <f aca="false">SUM(O186:S186)</f>
        <v>0</v>
      </c>
      <c r="U186" s="71" t="n">
        <f aca="false">SUM('Loan CF'!C773:L773)</f>
        <v>0</v>
      </c>
      <c r="V186" s="71" t="n">
        <f aca="false">U186*Sev</f>
        <v>0</v>
      </c>
      <c r="W186" s="71" t="n">
        <f aca="false">T186-K186</f>
        <v>0</v>
      </c>
      <c r="X186" s="109" t="str">
        <f aca="false">IFERROR(IRR('Loan CF'!C2894:M2894),"-")</f>
        <v>-</v>
      </c>
      <c r="Y186" s="110" t="str">
        <f aca="false">IFERROR(T186/K186,"-")</f>
        <v>-</v>
      </c>
      <c r="Z186" s="71" t="n">
        <f aca="false">'Loan Tape'!$BC163</f>
        <v>0</v>
      </c>
      <c r="AA186" s="71" t="n">
        <f aca="false">'Loan Tape'!$BE163</f>
        <v>0</v>
      </c>
      <c r="AB186" s="71" t="n">
        <f aca="false">SUM('Loan CF'!D3803:M3803)-AA186</f>
        <v>0</v>
      </c>
      <c r="AC186" s="109" t="str">
        <f aca="false">IFERROR(IRR('Loan CF'!C3803:M3803),"-")</f>
        <v>-</v>
      </c>
      <c r="AD186" s="110" t="str">
        <f aca="false">IFERROR(SUM('Loan CF'!D3803:M3803)/AA186,"-")</f>
        <v>-</v>
      </c>
    </row>
    <row r="187" customFormat="false" ht="15" hidden="false" customHeight="false" outlineLevel="0" collapsed="false">
      <c r="B187" s="102" t="str">
        <f aca="false">IF('Loan Tape'!$A164="","",'Loan Tape'!$A164)</f>
        <v/>
      </c>
      <c r="C187" s="102" t="str">
        <f aca="false">IF('Loan Tape'!$A164="","",'Loan Tape'!$B164)</f>
        <v/>
      </c>
      <c r="D187" s="102" t="str">
        <f aca="false">IF('Loan Tape'!$A164="","",'Loan Tape'!$C164)</f>
        <v/>
      </c>
      <c r="E187" s="102" t="str">
        <f aca="false">IF('Loan Tape'!$A164="","",'Loan Tape'!$D164)</f>
        <v/>
      </c>
      <c r="F187" s="102" t="str">
        <f aca="false">IF('Loan Tape'!$A164="","",'Loan Tape'!$E164)</f>
        <v/>
      </c>
      <c r="G187" s="103" t="n">
        <f aca="false">'Loan Tape'!$AN164</f>
        <v>0</v>
      </c>
      <c r="H187" s="99" t="n">
        <f aca="false">'Loan Tape'!$R164*'Loan Tape'!$AN164</f>
        <v>0</v>
      </c>
      <c r="I187" s="104" t="n">
        <f aca="false">'Loan Tape'!$AO164</f>
        <v>0</v>
      </c>
      <c r="J187" s="99" t="n">
        <f aca="false">'Loan Tape'!$AY164</f>
        <v>0</v>
      </c>
      <c r="K187" s="99" t="n">
        <f aca="false">'Loan Tape'!$BB164</f>
        <v>0</v>
      </c>
      <c r="L187" s="104" t="n">
        <f aca="false">'Loan CF'!C471</f>
        <v>0</v>
      </c>
      <c r="M187" s="105" t="n">
        <f aca="false">'Loan Tape'!$AS164*'Loan Tape'!$AN164</f>
        <v>0</v>
      </c>
      <c r="N187" s="105" t="n">
        <f aca="false">IFERROR(SUMPRODUCT(('Loan CF'!$C$916:$L$916-0.5)*('Loan CF'!C1077:L1077+'Loan CF'!C1380:L1380+'Loan CF'!C1683:L1683))/(SUM('Loan CF'!C1077:L1077)+SUM('Loan CF'!C1380:L1380)+SUM('Loan CF'!C1683:L1683)),0)</f>
        <v>0</v>
      </c>
      <c r="O187" s="99" t="n">
        <f aca="false">SUM('Loan CF'!C1986:L1986)</f>
        <v>0</v>
      </c>
      <c r="P187" s="99" t="n">
        <f aca="false">SUM('Loan CF'!C1077:L1077)+SUM('Loan CF'!C1380:L1380)+SUM('Loan CF'!C1683:L1683)</f>
        <v>0</v>
      </c>
      <c r="Q187" s="99" t="n">
        <f aca="false">SUM('Loan CF'!C2289:L2289)</f>
        <v>0</v>
      </c>
      <c r="R187" s="99" t="n">
        <f aca="false">SUM('Loan CF'!C1380:L1380)*Prepay_Pen</f>
        <v>0</v>
      </c>
      <c r="S187" s="99" t="n">
        <f aca="false">'Loan CF'!$C2592</f>
        <v>0</v>
      </c>
      <c r="T187" s="99" t="n">
        <f aca="false">SUM(O187:S187)</f>
        <v>0</v>
      </c>
      <c r="U187" s="99" t="n">
        <f aca="false">SUM('Loan CF'!C774:L774)</f>
        <v>0</v>
      </c>
      <c r="V187" s="99" t="n">
        <f aca="false">U187*Sev</f>
        <v>0</v>
      </c>
      <c r="W187" s="99" t="n">
        <f aca="false">T187-K187</f>
        <v>0</v>
      </c>
      <c r="X187" s="106" t="str">
        <f aca="false">IFERROR(IRR('Loan CF'!C2895:M2895),"-")</f>
        <v>-</v>
      </c>
      <c r="Y187" s="107" t="str">
        <f aca="false">IFERROR(T187/K187,"-")</f>
        <v>-</v>
      </c>
      <c r="Z187" s="99" t="n">
        <f aca="false">'Loan Tape'!$BC164</f>
        <v>0</v>
      </c>
      <c r="AA187" s="99" t="n">
        <f aca="false">'Loan Tape'!$BE164</f>
        <v>0</v>
      </c>
      <c r="AB187" s="99" t="n">
        <f aca="false">SUM('Loan CF'!D3804:M3804)-AA187</f>
        <v>0</v>
      </c>
      <c r="AC187" s="106" t="str">
        <f aca="false">IFERROR(IRR('Loan CF'!C3804:M3804),"-")</f>
        <v>-</v>
      </c>
      <c r="AD187" s="107" t="str">
        <f aca="false">IFERROR(SUM('Loan CF'!D3804:M3804)/AA187,"-")</f>
        <v>-</v>
      </c>
    </row>
    <row r="188" customFormat="false" ht="15" hidden="false" customHeight="false" outlineLevel="0" collapsed="false">
      <c r="B188" s="108" t="str">
        <f aca="false">IF('Loan Tape'!$A165="","",'Loan Tape'!$A165)</f>
        <v/>
      </c>
      <c r="C188" s="108" t="str">
        <f aca="false">IF('Loan Tape'!$A165="","",'Loan Tape'!$B165)</f>
        <v/>
      </c>
      <c r="D188" s="108" t="str">
        <f aca="false">IF('Loan Tape'!$A165="","",'Loan Tape'!$C165)</f>
        <v/>
      </c>
      <c r="E188" s="108" t="str">
        <f aca="false">IF('Loan Tape'!$A165="","",'Loan Tape'!$D165)</f>
        <v/>
      </c>
      <c r="F188" s="108" t="str">
        <f aca="false">IF('Loan Tape'!$A165="","",'Loan Tape'!$E165)</f>
        <v/>
      </c>
      <c r="G188" s="26" t="n">
        <f aca="false">'Loan Tape'!$AN165</f>
        <v>0</v>
      </c>
      <c r="H188" s="71" t="n">
        <f aca="false">'Loan Tape'!$R165*'Loan Tape'!$AN165</f>
        <v>0</v>
      </c>
      <c r="I188" s="56" t="n">
        <f aca="false">'Loan Tape'!$AO165</f>
        <v>0</v>
      </c>
      <c r="J188" s="71" t="n">
        <f aca="false">'Loan Tape'!$AY165</f>
        <v>0</v>
      </c>
      <c r="K188" s="71" t="n">
        <f aca="false">'Loan Tape'!$BB165</f>
        <v>0</v>
      </c>
      <c r="L188" s="56" t="n">
        <f aca="false">'Loan CF'!C472</f>
        <v>0</v>
      </c>
      <c r="M188" s="70" t="n">
        <f aca="false">'Loan Tape'!$AS165*'Loan Tape'!$AN165</f>
        <v>0</v>
      </c>
      <c r="N188" s="70" t="n">
        <f aca="false">IFERROR(SUMPRODUCT(('Loan CF'!$C$916:$L$916-0.5)*('Loan CF'!C1078:L1078+'Loan CF'!C1381:L1381+'Loan CF'!C1684:L1684))/(SUM('Loan CF'!C1078:L1078)+SUM('Loan CF'!C1381:L1381)+SUM('Loan CF'!C1684:L1684)),0)</f>
        <v>0</v>
      </c>
      <c r="O188" s="71" t="n">
        <f aca="false">SUM('Loan CF'!C1987:L1987)</f>
        <v>0</v>
      </c>
      <c r="P188" s="71" t="n">
        <f aca="false">SUM('Loan CF'!C1078:L1078)+SUM('Loan CF'!C1381:L1381)+SUM('Loan CF'!C1684:L1684)</f>
        <v>0</v>
      </c>
      <c r="Q188" s="71" t="n">
        <f aca="false">SUM('Loan CF'!C2290:L2290)</f>
        <v>0</v>
      </c>
      <c r="R188" s="71" t="n">
        <f aca="false">SUM('Loan CF'!C1381:L1381)*Prepay_Pen</f>
        <v>0</v>
      </c>
      <c r="S188" s="71" t="n">
        <f aca="false">'Loan CF'!$C2593</f>
        <v>0</v>
      </c>
      <c r="T188" s="71" t="n">
        <f aca="false">SUM(O188:S188)</f>
        <v>0</v>
      </c>
      <c r="U188" s="71" t="n">
        <f aca="false">SUM('Loan CF'!C775:L775)</f>
        <v>0</v>
      </c>
      <c r="V188" s="71" t="n">
        <f aca="false">U188*Sev</f>
        <v>0</v>
      </c>
      <c r="W188" s="71" t="n">
        <f aca="false">T188-K188</f>
        <v>0</v>
      </c>
      <c r="X188" s="109" t="str">
        <f aca="false">IFERROR(IRR('Loan CF'!C2896:M2896),"-")</f>
        <v>-</v>
      </c>
      <c r="Y188" s="110" t="str">
        <f aca="false">IFERROR(T188/K188,"-")</f>
        <v>-</v>
      </c>
      <c r="Z188" s="71" t="n">
        <f aca="false">'Loan Tape'!$BC165</f>
        <v>0</v>
      </c>
      <c r="AA188" s="71" t="n">
        <f aca="false">'Loan Tape'!$BE165</f>
        <v>0</v>
      </c>
      <c r="AB188" s="71" t="n">
        <f aca="false">SUM('Loan CF'!D3805:M3805)-AA188</f>
        <v>0</v>
      </c>
      <c r="AC188" s="109" t="str">
        <f aca="false">IFERROR(IRR('Loan CF'!C3805:M3805),"-")</f>
        <v>-</v>
      </c>
      <c r="AD188" s="110" t="str">
        <f aca="false">IFERROR(SUM('Loan CF'!D3805:M3805)/AA188,"-")</f>
        <v>-</v>
      </c>
    </row>
    <row r="189" customFormat="false" ht="15" hidden="false" customHeight="false" outlineLevel="0" collapsed="false">
      <c r="B189" s="102" t="str">
        <f aca="false">IF('Loan Tape'!$A166="","",'Loan Tape'!$A166)</f>
        <v/>
      </c>
      <c r="C189" s="102" t="str">
        <f aca="false">IF('Loan Tape'!$A166="","",'Loan Tape'!$B166)</f>
        <v/>
      </c>
      <c r="D189" s="102" t="str">
        <f aca="false">IF('Loan Tape'!$A166="","",'Loan Tape'!$C166)</f>
        <v/>
      </c>
      <c r="E189" s="102" t="str">
        <f aca="false">IF('Loan Tape'!$A166="","",'Loan Tape'!$D166)</f>
        <v/>
      </c>
      <c r="F189" s="102" t="str">
        <f aca="false">IF('Loan Tape'!$A166="","",'Loan Tape'!$E166)</f>
        <v/>
      </c>
      <c r="G189" s="103" t="n">
        <f aca="false">'Loan Tape'!$AN166</f>
        <v>0</v>
      </c>
      <c r="H189" s="99" t="n">
        <f aca="false">'Loan Tape'!$R166*'Loan Tape'!$AN166</f>
        <v>0</v>
      </c>
      <c r="I189" s="104" t="n">
        <f aca="false">'Loan Tape'!$AO166</f>
        <v>0</v>
      </c>
      <c r="J189" s="99" t="n">
        <f aca="false">'Loan Tape'!$AY166</f>
        <v>0</v>
      </c>
      <c r="K189" s="99" t="n">
        <f aca="false">'Loan Tape'!$BB166</f>
        <v>0</v>
      </c>
      <c r="L189" s="104" t="n">
        <f aca="false">'Loan CF'!C473</f>
        <v>0</v>
      </c>
      <c r="M189" s="105" t="n">
        <f aca="false">'Loan Tape'!$AS166*'Loan Tape'!$AN166</f>
        <v>0</v>
      </c>
      <c r="N189" s="105" t="n">
        <f aca="false">IFERROR(SUMPRODUCT(('Loan CF'!$C$916:$L$916-0.5)*('Loan CF'!C1079:L1079+'Loan CF'!C1382:L1382+'Loan CF'!C1685:L1685))/(SUM('Loan CF'!C1079:L1079)+SUM('Loan CF'!C1382:L1382)+SUM('Loan CF'!C1685:L1685)),0)</f>
        <v>0</v>
      </c>
      <c r="O189" s="99" t="n">
        <f aca="false">SUM('Loan CF'!C1988:L1988)</f>
        <v>0</v>
      </c>
      <c r="P189" s="99" t="n">
        <f aca="false">SUM('Loan CF'!C1079:L1079)+SUM('Loan CF'!C1382:L1382)+SUM('Loan CF'!C1685:L1685)</f>
        <v>0</v>
      </c>
      <c r="Q189" s="99" t="n">
        <f aca="false">SUM('Loan CF'!C2291:L2291)</f>
        <v>0</v>
      </c>
      <c r="R189" s="99" t="n">
        <f aca="false">SUM('Loan CF'!C1382:L1382)*Prepay_Pen</f>
        <v>0</v>
      </c>
      <c r="S189" s="99" t="n">
        <f aca="false">'Loan CF'!$C2594</f>
        <v>0</v>
      </c>
      <c r="T189" s="99" t="n">
        <f aca="false">SUM(O189:S189)</f>
        <v>0</v>
      </c>
      <c r="U189" s="99" t="n">
        <f aca="false">SUM('Loan CF'!C776:L776)</f>
        <v>0</v>
      </c>
      <c r="V189" s="99" t="n">
        <f aca="false">U189*Sev</f>
        <v>0</v>
      </c>
      <c r="W189" s="99" t="n">
        <f aca="false">T189-K189</f>
        <v>0</v>
      </c>
      <c r="X189" s="106" t="str">
        <f aca="false">IFERROR(IRR('Loan CF'!C2897:M2897),"-")</f>
        <v>-</v>
      </c>
      <c r="Y189" s="107" t="str">
        <f aca="false">IFERROR(T189/K189,"-")</f>
        <v>-</v>
      </c>
      <c r="Z189" s="99" t="n">
        <f aca="false">'Loan Tape'!$BC166</f>
        <v>0</v>
      </c>
      <c r="AA189" s="99" t="n">
        <f aca="false">'Loan Tape'!$BE166</f>
        <v>0</v>
      </c>
      <c r="AB189" s="99" t="n">
        <f aca="false">SUM('Loan CF'!D3806:M3806)-AA189</f>
        <v>0</v>
      </c>
      <c r="AC189" s="106" t="str">
        <f aca="false">IFERROR(IRR('Loan CF'!C3806:M3806),"-")</f>
        <v>-</v>
      </c>
      <c r="AD189" s="107" t="str">
        <f aca="false">IFERROR(SUM('Loan CF'!D3806:M3806)/AA189,"-")</f>
        <v>-</v>
      </c>
    </row>
    <row r="190" customFormat="false" ht="15" hidden="false" customHeight="false" outlineLevel="0" collapsed="false">
      <c r="B190" s="108" t="str">
        <f aca="false">IF('Loan Tape'!$A167="","",'Loan Tape'!$A167)</f>
        <v/>
      </c>
      <c r="C190" s="108" t="str">
        <f aca="false">IF('Loan Tape'!$A167="","",'Loan Tape'!$B167)</f>
        <v/>
      </c>
      <c r="D190" s="108" t="str">
        <f aca="false">IF('Loan Tape'!$A167="","",'Loan Tape'!$C167)</f>
        <v/>
      </c>
      <c r="E190" s="108" t="str">
        <f aca="false">IF('Loan Tape'!$A167="","",'Loan Tape'!$D167)</f>
        <v/>
      </c>
      <c r="F190" s="108" t="str">
        <f aca="false">IF('Loan Tape'!$A167="","",'Loan Tape'!$E167)</f>
        <v/>
      </c>
      <c r="G190" s="26" t="n">
        <f aca="false">'Loan Tape'!$AN167</f>
        <v>0</v>
      </c>
      <c r="H190" s="71" t="n">
        <f aca="false">'Loan Tape'!$R167*'Loan Tape'!$AN167</f>
        <v>0</v>
      </c>
      <c r="I190" s="56" t="n">
        <f aca="false">'Loan Tape'!$AO167</f>
        <v>0</v>
      </c>
      <c r="J190" s="71" t="n">
        <f aca="false">'Loan Tape'!$AY167</f>
        <v>0</v>
      </c>
      <c r="K190" s="71" t="n">
        <f aca="false">'Loan Tape'!$BB167</f>
        <v>0</v>
      </c>
      <c r="L190" s="56" t="n">
        <f aca="false">'Loan CF'!C474</f>
        <v>0</v>
      </c>
      <c r="M190" s="70" t="n">
        <f aca="false">'Loan Tape'!$AS167*'Loan Tape'!$AN167</f>
        <v>0</v>
      </c>
      <c r="N190" s="70" t="n">
        <f aca="false">IFERROR(SUMPRODUCT(('Loan CF'!$C$916:$L$916-0.5)*('Loan CF'!C1080:L1080+'Loan CF'!C1383:L1383+'Loan CF'!C1686:L1686))/(SUM('Loan CF'!C1080:L1080)+SUM('Loan CF'!C1383:L1383)+SUM('Loan CF'!C1686:L1686)),0)</f>
        <v>0</v>
      </c>
      <c r="O190" s="71" t="n">
        <f aca="false">SUM('Loan CF'!C1989:L1989)</f>
        <v>0</v>
      </c>
      <c r="P190" s="71" t="n">
        <f aca="false">SUM('Loan CF'!C1080:L1080)+SUM('Loan CF'!C1383:L1383)+SUM('Loan CF'!C1686:L1686)</f>
        <v>0</v>
      </c>
      <c r="Q190" s="71" t="n">
        <f aca="false">SUM('Loan CF'!C2292:L2292)</f>
        <v>0</v>
      </c>
      <c r="R190" s="71" t="n">
        <f aca="false">SUM('Loan CF'!C1383:L1383)*Prepay_Pen</f>
        <v>0</v>
      </c>
      <c r="S190" s="71" t="n">
        <f aca="false">'Loan CF'!$C2595</f>
        <v>0</v>
      </c>
      <c r="T190" s="71" t="n">
        <f aca="false">SUM(O190:S190)</f>
        <v>0</v>
      </c>
      <c r="U190" s="71" t="n">
        <f aca="false">SUM('Loan CF'!C777:L777)</f>
        <v>0</v>
      </c>
      <c r="V190" s="71" t="n">
        <f aca="false">U190*Sev</f>
        <v>0</v>
      </c>
      <c r="W190" s="71" t="n">
        <f aca="false">T190-K190</f>
        <v>0</v>
      </c>
      <c r="X190" s="109" t="str">
        <f aca="false">IFERROR(IRR('Loan CF'!C2898:M2898),"-")</f>
        <v>-</v>
      </c>
      <c r="Y190" s="110" t="str">
        <f aca="false">IFERROR(T190/K190,"-")</f>
        <v>-</v>
      </c>
      <c r="Z190" s="71" t="n">
        <f aca="false">'Loan Tape'!$BC167</f>
        <v>0</v>
      </c>
      <c r="AA190" s="71" t="n">
        <f aca="false">'Loan Tape'!$BE167</f>
        <v>0</v>
      </c>
      <c r="AB190" s="71" t="n">
        <f aca="false">SUM('Loan CF'!D3807:M3807)-AA190</f>
        <v>0</v>
      </c>
      <c r="AC190" s="109" t="str">
        <f aca="false">IFERROR(IRR('Loan CF'!C3807:M3807),"-")</f>
        <v>-</v>
      </c>
      <c r="AD190" s="110" t="str">
        <f aca="false">IFERROR(SUM('Loan CF'!D3807:M3807)/AA190,"-")</f>
        <v>-</v>
      </c>
    </row>
    <row r="191" customFormat="false" ht="15" hidden="false" customHeight="false" outlineLevel="0" collapsed="false">
      <c r="B191" s="102" t="str">
        <f aca="false">IF('Loan Tape'!$A168="","",'Loan Tape'!$A168)</f>
        <v/>
      </c>
      <c r="C191" s="102" t="str">
        <f aca="false">IF('Loan Tape'!$A168="","",'Loan Tape'!$B168)</f>
        <v/>
      </c>
      <c r="D191" s="102" t="str">
        <f aca="false">IF('Loan Tape'!$A168="","",'Loan Tape'!$C168)</f>
        <v/>
      </c>
      <c r="E191" s="102" t="str">
        <f aca="false">IF('Loan Tape'!$A168="","",'Loan Tape'!$D168)</f>
        <v/>
      </c>
      <c r="F191" s="102" t="str">
        <f aca="false">IF('Loan Tape'!$A168="","",'Loan Tape'!$E168)</f>
        <v/>
      </c>
      <c r="G191" s="103" t="n">
        <f aca="false">'Loan Tape'!$AN168</f>
        <v>0</v>
      </c>
      <c r="H191" s="99" t="n">
        <f aca="false">'Loan Tape'!$R168*'Loan Tape'!$AN168</f>
        <v>0</v>
      </c>
      <c r="I191" s="104" t="n">
        <f aca="false">'Loan Tape'!$AO168</f>
        <v>0</v>
      </c>
      <c r="J191" s="99" t="n">
        <f aca="false">'Loan Tape'!$AY168</f>
        <v>0</v>
      </c>
      <c r="K191" s="99" t="n">
        <f aca="false">'Loan Tape'!$BB168</f>
        <v>0</v>
      </c>
      <c r="L191" s="104" t="n">
        <f aca="false">'Loan CF'!C475</f>
        <v>0</v>
      </c>
      <c r="M191" s="105" t="n">
        <f aca="false">'Loan Tape'!$AS168*'Loan Tape'!$AN168</f>
        <v>0</v>
      </c>
      <c r="N191" s="105" t="n">
        <f aca="false">IFERROR(SUMPRODUCT(('Loan CF'!$C$916:$L$916-0.5)*('Loan CF'!C1081:L1081+'Loan CF'!C1384:L1384+'Loan CF'!C1687:L1687))/(SUM('Loan CF'!C1081:L1081)+SUM('Loan CF'!C1384:L1384)+SUM('Loan CF'!C1687:L1687)),0)</f>
        <v>0</v>
      </c>
      <c r="O191" s="99" t="n">
        <f aca="false">SUM('Loan CF'!C1990:L1990)</f>
        <v>0</v>
      </c>
      <c r="P191" s="99" t="n">
        <f aca="false">SUM('Loan CF'!C1081:L1081)+SUM('Loan CF'!C1384:L1384)+SUM('Loan CF'!C1687:L1687)</f>
        <v>0</v>
      </c>
      <c r="Q191" s="99" t="n">
        <f aca="false">SUM('Loan CF'!C2293:L2293)</f>
        <v>0</v>
      </c>
      <c r="R191" s="99" t="n">
        <f aca="false">SUM('Loan CF'!C1384:L1384)*Prepay_Pen</f>
        <v>0</v>
      </c>
      <c r="S191" s="99" t="n">
        <f aca="false">'Loan CF'!$C2596</f>
        <v>0</v>
      </c>
      <c r="T191" s="99" t="n">
        <f aca="false">SUM(O191:S191)</f>
        <v>0</v>
      </c>
      <c r="U191" s="99" t="n">
        <f aca="false">SUM('Loan CF'!C778:L778)</f>
        <v>0</v>
      </c>
      <c r="V191" s="99" t="n">
        <f aca="false">U191*Sev</f>
        <v>0</v>
      </c>
      <c r="W191" s="99" t="n">
        <f aca="false">T191-K191</f>
        <v>0</v>
      </c>
      <c r="X191" s="106" t="str">
        <f aca="false">IFERROR(IRR('Loan CF'!C2899:M2899),"-")</f>
        <v>-</v>
      </c>
      <c r="Y191" s="107" t="str">
        <f aca="false">IFERROR(T191/K191,"-")</f>
        <v>-</v>
      </c>
      <c r="Z191" s="99" t="n">
        <f aca="false">'Loan Tape'!$BC168</f>
        <v>0</v>
      </c>
      <c r="AA191" s="99" t="n">
        <f aca="false">'Loan Tape'!$BE168</f>
        <v>0</v>
      </c>
      <c r="AB191" s="99" t="n">
        <f aca="false">SUM('Loan CF'!D3808:M3808)-AA191</f>
        <v>0</v>
      </c>
      <c r="AC191" s="106" t="str">
        <f aca="false">IFERROR(IRR('Loan CF'!C3808:M3808),"-")</f>
        <v>-</v>
      </c>
      <c r="AD191" s="107" t="str">
        <f aca="false">IFERROR(SUM('Loan CF'!D3808:M3808)/AA191,"-")</f>
        <v>-</v>
      </c>
    </row>
    <row r="192" customFormat="false" ht="15" hidden="false" customHeight="false" outlineLevel="0" collapsed="false">
      <c r="B192" s="108" t="str">
        <f aca="false">IF('Loan Tape'!$A169="","",'Loan Tape'!$A169)</f>
        <v/>
      </c>
      <c r="C192" s="108" t="str">
        <f aca="false">IF('Loan Tape'!$A169="","",'Loan Tape'!$B169)</f>
        <v/>
      </c>
      <c r="D192" s="108" t="str">
        <f aca="false">IF('Loan Tape'!$A169="","",'Loan Tape'!$C169)</f>
        <v/>
      </c>
      <c r="E192" s="108" t="str">
        <f aca="false">IF('Loan Tape'!$A169="","",'Loan Tape'!$D169)</f>
        <v/>
      </c>
      <c r="F192" s="108" t="str">
        <f aca="false">IF('Loan Tape'!$A169="","",'Loan Tape'!$E169)</f>
        <v/>
      </c>
      <c r="G192" s="26" t="n">
        <f aca="false">'Loan Tape'!$AN169</f>
        <v>0</v>
      </c>
      <c r="H192" s="71" t="n">
        <f aca="false">'Loan Tape'!$R169*'Loan Tape'!$AN169</f>
        <v>0</v>
      </c>
      <c r="I192" s="56" t="n">
        <f aca="false">'Loan Tape'!$AO169</f>
        <v>0</v>
      </c>
      <c r="J192" s="71" t="n">
        <f aca="false">'Loan Tape'!$AY169</f>
        <v>0</v>
      </c>
      <c r="K192" s="71" t="n">
        <f aca="false">'Loan Tape'!$BB169</f>
        <v>0</v>
      </c>
      <c r="L192" s="56" t="n">
        <f aca="false">'Loan CF'!C476</f>
        <v>0</v>
      </c>
      <c r="M192" s="70" t="n">
        <f aca="false">'Loan Tape'!$AS169*'Loan Tape'!$AN169</f>
        <v>0</v>
      </c>
      <c r="N192" s="70" t="n">
        <f aca="false">IFERROR(SUMPRODUCT(('Loan CF'!$C$916:$L$916-0.5)*('Loan CF'!C1082:L1082+'Loan CF'!C1385:L1385+'Loan CF'!C1688:L1688))/(SUM('Loan CF'!C1082:L1082)+SUM('Loan CF'!C1385:L1385)+SUM('Loan CF'!C1688:L1688)),0)</f>
        <v>0</v>
      </c>
      <c r="O192" s="71" t="n">
        <f aca="false">SUM('Loan CF'!C1991:L1991)</f>
        <v>0</v>
      </c>
      <c r="P192" s="71" t="n">
        <f aca="false">SUM('Loan CF'!C1082:L1082)+SUM('Loan CF'!C1385:L1385)+SUM('Loan CF'!C1688:L1688)</f>
        <v>0</v>
      </c>
      <c r="Q192" s="71" t="n">
        <f aca="false">SUM('Loan CF'!C2294:L2294)</f>
        <v>0</v>
      </c>
      <c r="R192" s="71" t="n">
        <f aca="false">SUM('Loan CF'!C1385:L1385)*Prepay_Pen</f>
        <v>0</v>
      </c>
      <c r="S192" s="71" t="n">
        <f aca="false">'Loan CF'!$C2597</f>
        <v>0</v>
      </c>
      <c r="T192" s="71" t="n">
        <f aca="false">SUM(O192:S192)</f>
        <v>0</v>
      </c>
      <c r="U192" s="71" t="n">
        <f aca="false">SUM('Loan CF'!C779:L779)</f>
        <v>0</v>
      </c>
      <c r="V192" s="71" t="n">
        <f aca="false">U192*Sev</f>
        <v>0</v>
      </c>
      <c r="W192" s="71" t="n">
        <f aca="false">T192-K192</f>
        <v>0</v>
      </c>
      <c r="X192" s="109" t="str">
        <f aca="false">IFERROR(IRR('Loan CF'!C2900:M2900),"-")</f>
        <v>-</v>
      </c>
      <c r="Y192" s="110" t="str">
        <f aca="false">IFERROR(T192/K192,"-")</f>
        <v>-</v>
      </c>
      <c r="Z192" s="71" t="n">
        <f aca="false">'Loan Tape'!$BC169</f>
        <v>0</v>
      </c>
      <c r="AA192" s="71" t="n">
        <f aca="false">'Loan Tape'!$BE169</f>
        <v>0</v>
      </c>
      <c r="AB192" s="71" t="n">
        <f aca="false">SUM('Loan CF'!D3809:M3809)-AA192</f>
        <v>0</v>
      </c>
      <c r="AC192" s="109" t="str">
        <f aca="false">IFERROR(IRR('Loan CF'!C3809:M3809),"-")</f>
        <v>-</v>
      </c>
      <c r="AD192" s="110" t="str">
        <f aca="false">IFERROR(SUM('Loan CF'!D3809:M3809)/AA192,"-")</f>
        <v>-</v>
      </c>
    </row>
    <row r="193" customFormat="false" ht="15" hidden="false" customHeight="false" outlineLevel="0" collapsed="false">
      <c r="B193" s="102" t="str">
        <f aca="false">IF('Loan Tape'!$A170="","",'Loan Tape'!$A170)</f>
        <v/>
      </c>
      <c r="C193" s="102" t="str">
        <f aca="false">IF('Loan Tape'!$A170="","",'Loan Tape'!$B170)</f>
        <v/>
      </c>
      <c r="D193" s="102" t="str">
        <f aca="false">IF('Loan Tape'!$A170="","",'Loan Tape'!$C170)</f>
        <v/>
      </c>
      <c r="E193" s="102" t="str">
        <f aca="false">IF('Loan Tape'!$A170="","",'Loan Tape'!$D170)</f>
        <v/>
      </c>
      <c r="F193" s="102" t="str">
        <f aca="false">IF('Loan Tape'!$A170="","",'Loan Tape'!$E170)</f>
        <v/>
      </c>
      <c r="G193" s="103" t="n">
        <f aca="false">'Loan Tape'!$AN170</f>
        <v>0</v>
      </c>
      <c r="H193" s="99" t="n">
        <f aca="false">'Loan Tape'!$R170*'Loan Tape'!$AN170</f>
        <v>0</v>
      </c>
      <c r="I193" s="104" t="n">
        <f aca="false">'Loan Tape'!$AO170</f>
        <v>0</v>
      </c>
      <c r="J193" s="99" t="n">
        <f aca="false">'Loan Tape'!$AY170</f>
        <v>0</v>
      </c>
      <c r="K193" s="99" t="n">
        <f aca="false">'Loan Tape'!$BB170</f>
        <v>0</v>
      </c>
      <c r="L193" s="104" t="n">
        <f aca="false">'Loan CF'!C477</f>
        <v>0</v>
      </c>
      <c r="M193" s="105" t="n">
        <f aca="false">'Loan Tape'!$AS170*'Loan Tape'!$AN170</f>
        <v>0</v>
      </c>
      <c r="N193" s="105" t="n">
        <f aca="false">IFERROR(SUMPRODUCT(('Loan CF'!$C$916:$L$916-0.5)*('Loan CF'!C1083:L1083+'Loan CF'!C1386:L1386+'Loan CF'!C1689:L1689))/(SUM('Loan CF'!C1083:L1083)+SUM('Loan CF'!C1386:L1386)+SUM('Loan CF'!C1689:L1689)),0)</f>
        <v>0</v>
      </c>
      <c r="O193" s="99" t="n">
        <f aca="false">SUM('Loan CF'!C1992:L1992)</f>
        <v>0</v>
      </c>
      <c r="P193" s="99" t="n">
        <f aca="false">SUM('Loan CF'!C1083:L1083)+SUM('Loan CF'!C1386:L1386)+SUM('Loan CF'!C1689:L1689)</f>
        <v>0</v>
      </c>
      <c r="Q193" s="99" t="n">
        <f aca="false">SUM('Loan CF'!C2295:L2295)</f>
        <v>0</v>
      </c>
      <c r="R193" s="99" t="n">
        <f aca="false">SUM('Loan CF'!C1386:L1386)*Prepay_Pen</f>
        <v>0</v>
      </c>
      <c r="S193" s="99" t="n">
        <f aca="false">'Loan CF'!$C2598</f>
        <v>0</v>
      </c>
      <c r="T193" s="99" t="n">
        <f aca="false">SUM(O193:S193)</f>
        <v>0</v>
      </c>
      <c r="U193" s="99" t="n">
        <f aca="false">SUM('Loan CF'!C780:L780)</f>
        <v>0</v>
      </c>
      <c r="V193" s="99" t="n">
        <f aca="false">U193*Sev</f>
        <v>0</v>
      </c>
      <c r="W193" s="99" t="n">
        <f aca="false">T193-K193</f>
        <v>0</v>
      </c>
      <c r="X193" s="106" t="str">
        <f aca="false">IFERROR(IRR('Loan CF'!C2901:M2901),"-")</f>
        <v>-</v>
      </c>
      <c r="Y193" s="107" t="str">
        <f aca="false">IFERROR(T193/K193,"-")</f>
        <v>-</v>
      </c>
      <c r="Z193" s="99" t="n">
        <f aca="false">'Loan Tape'!$BC170</f>
        <v>0</v>
      </c>
      <c r="AA193" s="99" t="n">
        <f aca="false">'Loan Tape'!$BE170</f>
        <v>0</v>
      </c>
      <c r="AB193" s="99" t="n">
        <f aca="false">SUM('Loan CF'!D3810:M3810)-AA193</f>
        <v>0</v>
      </c>
      <c r="AC193" s="106" t="str">
        <f aca="false">IFERROR(IRR('Loan CF'!C3810:M3810),"-")</f>
        <v>-</v>
      </c>
      <c r="AD193" s="107" t="str">
        <f aca="false">IFERROR(SUM('Loan CF'!D3810:M3810)/AA193,"-")</f>
        <v>-</v>
      </c>
    </row>
    <row r="194" customFormat="false" ht="15" hidden="false" customHeight="false" outlineLevel="0" collapsed="false">
      <c r="B194" s="108" t="str">
        <f aca="false">IF('Loan Tape'!$A171="","",'Loan Tape'!$A171)</f>
        <v/>
      </c>
      <c r="C194" s="108" t="str">
        <f aca="false">IF('Loan Tape'!$A171="","",'Loan Tape'!$B171)</f>
        <v/>
      </c>
      <c r="D194" s="108" t="str">
        <f aca="false">IF('Loan Tape'!$A171="","",'Loan Tape'!$C171)</f>
        <v/>
      </c>
      <c r="E194" s="108" t="str">
        <f aca="false">IF('Loan Tape'!$A171="","",'Loan Tape'!$D171)</f>
        <v/>
      </c>
      <c r="F194" s="108" t="str">
        <f aca="false">IF('Loan Tape'!$A171="","",'Loan Tape'!$E171)</f>
        <v/>
      </c>
      <c r="G194" s="26" t="n">
        <f aca="false">'Loan Tape'!$AN171</f>
        <v>0</v>
      </c>
      <c r="H194" s="71" t="n">
        <f aca="false">'Loan Tape'!$R171*'Loan Tape'!$AN171</f>
        <v>0</v>
      </c>
      <c r="I194" s="56" t="n">
        <f aca="false">'Loan Tape'!$AO171</f>
        <v>0</v>
      </c>
      <c r="J194" s="71" t="n">
        <f aca="false">'Loan Tape'!$AY171</f>
        <v>0</v>
      </c>
      <c r="K194" s="71" t="n">
        <f aca="false">'Loan Tape'!$BB171</f>
        <v>0</v>
      </c>
      <c r="L194" s="56" t="n">
        <f aca="false">'Loan CF'!C478</f>
        <v>0</v>
      </c>
      <c r="M194" s="70" t="n">
        <f aca="false">'Loan Tape'!$AS171*'Loan Tape'!$AN171</f>
        <v>0</v>
      </c>
      <c r="N194" s="70" t="n">
        <f aca="false">IFERROR(SUMPRODUCT(('Loan CF'!$C$916:$L$916-0.5)*('Loan CF'!C1084:L1084+'Loan CF'!C1387:L1387+'Loan CF'!C1690:L1690))/(SUM('Loan CF'!C1084:L1084)+SUM('Loan CF'!C1387:L1387)+SUM('Loan CF'!C1690:L1690)),0)</f>
        <v>0</v>
      </c>
      <c r="O194" s="71" t="n">
        <f aca="false">SUM('Loan CF'!C1993:L1993)</f>
        <v>0</v>
      </c>
      <c r="P194" s="71" t="n">
        <f aca="false">SUM('Loan CF'!C1084:L1084)+SUM('Loan CF'!C1387:L1387)+SUM('Loan CF'!C1690:L1690)</f>
        <v>0</v>
      </c>
      <c r="Q194" s="71" t="n">
        <f aca="false">SUM('Loan CF'!C2296:L2296)</f>
        <v>0</v>
      </c>
      <c r="R194" s="71" t="n">
        <f aca="false">SUM('Loan CF'!C1387:L1387)*Prepay_Pen</f>
        <v>0</v>
      </c>
      <c r="S194" s="71" t="n">
        <f aca="false">'Loan CF'!$C2599</f>
        <v>0</v>
      </c>
      <c r="T194" s="71" t="n">
        <f aca="false">SUM(O194:S194)</f>
        <v>0</v>
      </c>
      <c r="U194" s="71" t="n">
        <f aca="false">SUM('Loan CF'!C781:L781)</f>
        <v>0</v>
      </c>
      <c r="V194" s="71" t="n">
        <f aca="false">U194*Sev</f>
        <v>0</v>
      </c>
      <c r="W194" s="71" t="n">
        <f aca="false">T194-K194</f>
        <v>0</v>
      </c>
      <c r="X194" s="109" t="str">
        <f aca="false">IFERROR(IRR('Loan CF'!C2902:M2902),"-")</f>
        <v>-</v>
      </c>
      <c r="Y194" s="110" t="str">
        <f aca="false">IFERROR(T194/K194,"-")</f>
        <v>-</v>
      </c>
      <c r="Z194" s="71" t="n">
        <f aca="false">'Loan Tape'!$BC171</f>
        <v>0</v>
      </c>
      <c r="AA194" s="71" t="n">
        <f aca="false">'Loan Tape'!$BE171</f>
        <v>0</v>
      </c>
      <c r="AB194" s="71" t="n">
        <f aca="false">SUM('Loan CF'!D3811:M3811)-AA194</f>
        <v>0</v>
      </c>
      <c r="AC194" s="109" t="str">
        <f aca="false">IFERROR(IRR('Loan CF'!C3811:M3811),"-")</f>
        <v>-</v>
      </c>
      <c r="AD194" s="110" t="str">
        <f aca="false">IFERROR(SUM('Loan CF'!D3811:M3811)/AA194,"-")</f>
        <v>-</v>
      </c>
    </row>
    <row r="195" customFormat="false" ht="15" hidden="false" customHeight="false" outlineLevel="0" collapsed="false">
      <c r="B195" s="102" t="str">
        <f aca="false">IF('Loan Tape'!$A172="","",'Loan Tape'!$A172)</f>
        <v/>
      </c>
      <c r="C195" s="102" t="str">
        <f aca="false">IF('Loan Tape'!$A172="","",'Loan Tape'!$B172)</f>
        <v/>
      </c>
      <c r="D195" s="102" t="str">
        <f aca="false">IF('Loan Tape'!$A172="","",'Loan Tape'!$C172)</f>
        <v/>
      </c>
      <c r="E195" s="102" t="str">
        <f aca="false">IF('Loan Tape'!$A172="","",'Loan Tape'!$D172)</f>
        <v/>
      </c>
      <c r="F195" s="102" t="str">
        <f aca="false">IF('Loan Tape'!$A172="","",'Loan Tape'!$E172)</f>
        <v/>
      </c>
      <c r="G195" s="103" t="n">
        <f aca="false">'Loan Tape'!$AN172</f>
        <v>0</v>
      </c>
      <c r="H195" s="99" t="n">
        <f aca="false">'Loan Tape'!$R172*'Loan Tape'!$AN172</f>
        <v>0</v>
      </c>
      <c r="I195" s="104" t="n">
        <f aca="false">'Loan Tape'!$AO172</f>
        <v>0</v>
      </c>
      <c r="J195" s="99" t="n">
        <f aca="false">'Loan Tape'!$AY172</f>
        <v>0</v>
      </c>
      <c r="K195" s="99" t="n">
        <f aca="false">'Loan Tape'!$BB172</f>
        <v>0</v>
      </c>
      <c r="L195" s="104" t="n">
        <f aca="false">'Loan CF'!C479</f>
        <v>0</v>
      </c>
      <c r="M195" s="105" t="n">
        <f aca="false">'Loan Tape'!$AS172*'Loan Tape'!$AN172</f>
        <v>0</v>
      </c>
      <c r="N195" s="105" t="n">
        <f aca="false">IFERROR(SUMPRODUCT(('Loan CF'!$C$916:$L$916-0.5)*('Loan CF'!C1085:L1085+'Loan CF'!C1388:L1388+'Loan CF'!C1691:L1691))/(SUM('Loan CF'!C1085:L1085)+SUM('Loan CF'!C1388:L1388)+SUM('Loan CF'!C1691:L1691)),0)</f>
        <v>0</v>
      </c>
      <c r="O195" s="99" t="n">
        <f aca="false">SUM('Loan CF'!C1994:L1994)</f>
        <v>0</v>
      </c>
      <c r="P195" s="99" t="n">
        <f aca="false">SUM('Loan CF'!C1085:L1085)+SUM('Loan CF'!C1388:L1388)+SUM('Loan CF'!C1691:L1691)</f>
        <v>0</v>
      </c>
      <c r="Q195" s="99" t="n">
        <f aca="false">SUM('Loan CF'!C2297:L2297)</f>
        <v>0</v>
      </c>
      <c r="R195" s="99" t="n">
        <f aca="false">SUM('Loan CF'!C1388:L1388)*Prepay_Pen</f>
        <v>0</v>
      </c>
      <c r="S195" s="99" t="n">
        <f aca="false">'Loan CF'!$C2600</f>
        <v>0</v>
      </c>
      <c r="T195" s="99" t="n">
        <f aca="false">SUM(O195:S195)</f>
        <v>0</v>
      </c>
      <c r="U195" s="99" t="n">
        <f aca="false">SUM('Loan CF'!C782:L782)</f>
        <v>0</v>
      </c>
      <c r="V195" s="99" t="n">
        <f aca="false">U195*Sev</f>
        <v>0</v>
      </c>
      <c r="W195" s="99" t="n">
        <f aca="false">T195-K195</f>
        <v>0</v>
      </c>
      <c r="X195" s="106" t="str">
        <f aca="false">IFERROR(IRR('Loan CF'!C2903:M2903),"-")</f>
        <v>-</v>
      </c>
      <c r="Y195" s="107" t="str">
        <f aca="false">IFERROR(T195/K195,"-")</f>
        <v>-</v>
      </c>
      <c r="Z195" s="99" t="n">
        <f aca="false">'Loan Tape'!$BC172</f>
        <v>0</v>
      </c>
      <c r="AA195" s="99" t="n">
        <f aca="false">'Loan Tape'!$BE172</f>
        <v>0</v>
      </c>
      <c r="AB195" s="99" t="n">
        <f aca="false">SUM('Loan CF'!D3812:M3812)-AA195</f>
        <v>0</v>
      </c>
      <c r="AC195" s="106" t="str">
        <f aca="false">IFERROR(IRR('Loan CF'!C3812:M3812),"-")</f>
        <v>-</v>
      </c>
      <c r="AD195" s="107" t="str">
        <f aca="false">IFERROR(SUM('Loan CF'!D3812:M3812)/AA195,"-")</f>
        <v>-</v>
      </c>
    </row>
    <row r="196" customFormat="false" ht="15" hidden="false" customHeight="false" outlineLevel="0" collapsed="false">
      <c r="B196" s="108" t="str">
        <f aca="false">IF('Loan Tape'!$A173="","",'Loan Tape'!$A173)</f>
        <v/>
      </c>
      <c r="C196" s="108" t="str">
        <f aca="false">IF('Loan Tape'!$A173="","",'Loan Tape'!$B173)</f>
        <v/>
      </c>
      <c r="D196" s="108" t="str">
        <f aca="false">IF('Loan Tape'!$A173="","",'Loan Tape'!$C173)</f>
        <v/>
      </c>
      <c r="E196" s="108" t="str">
        <f aca="false">IF('Loan Tape'!$A173="","",'Loan Tape'!$D173)</f>
        <v/>
      </c>
      <c r="F196" s="108" t="str">
        <f aca="false">IF('Loan Tape'!$A173="","",'Loan Tape'!$E173)</f>
        <v/>
      </c>
      <c r="G196" s="26" t="n">
        <f aca="false">'Loan Tape'!$AN173</f>
        <v>0</v>
      </c>
      <c r="H196" s="71" t="n">
        <f aca="false">'Loan Tape'!$R173*'Loan Tape'!$AN173</f>
        <v>0</v>
      </c>
      <c r="I196" s="56" t="n">
        <f aca="false">'Loan Tape'!$AO173</f>
        <v>0</v>
      </c>
      <c r="J196" s="71" t="n">
        <f aca="false">'Loan Tape'!$AY173</f>
        <v>0</v>
      </c>
      <c r="K196" s="71" t="n">
        <f aca="false">'Loan Tape'!$BB173</f>
        <v>0</v>
      </c>
      <c r="L196" s="56" t="n">
        <f aca="false">'Loan CF'!C480</f>
        <v>0</v>
      </c>
      <c r="M196" s="70" t="n">
        <f aca="false">'Loan Tape'!$AS173*'Loan Tape'!$AN173</f>
        <v>0</v>
      </c>
      <c r="N196" s="70" t="n">
        <f aca="false">IFERROR(SUMPRODUCT(('Loan CF'!$C$916:$L$916-0.5)*('Loan CF'!C1086:L1086+'Loan CF'!C1389:L1389+'Loan CF'!C1692:L1692))/(SUM('Loan CF'!C1086:L1086)+SUM('Loan CF'!C1389:L1389)+SUM('Loan CF'!C1692:L1692)),0)</f>
        <v>0</v>
      </c>
      <c r="O196" s="71" t="n">
        <f aca="false">SUM('Loan CF'!C1995:L1995)</f>
        <v>0</v>
      </c>
      <c r="P196" s="71" t="n">
        <f aca="false">SUM('Loan CF'!C1086:L1086)+SUM('Loan CF'!C1389:L1389)+SUM('Loan CF'!C1692:L1692)</f>
        <v>0</v>
      </c>
      <c r="Q196" s="71" t="n">
        <f aca="false">SUM('Loan CF'!C2298:L2298)</f>
        <v>0</v>
      </c>
      <c r="R196" s="71" t="n">
        <f aca="false">SUM('Loan CF'!C1389:L1389)*Prepay_Pen</f>
        <v>0</v>
      </c>
      <c r="S196" s="71" t="n">
        <f aca="false">'Loan CF'!$C2601</f>
        <v>0</v>
      </c>
      <c r="T196" s="71" t="n">
        <f aca="false">SUM(O196:S196)</f>
        <v>0</v>
      </c>
      <c r="U196" s="71" t="n">
        <f aca="false">SUM('Loan CF'!C783:L783)</f>
        <v>0</v>
      </c>
      <c r="V196" s="71" t="n">
        <f aca="false">U196*Sev</f>
        <v>0</v>
      </c>
      <c r="W196" s="71" t="n">
        <f aca="false">T196-K196</f>
        <v>0</v>
      </c>
      <c r="X196" s="109" t="str">
        <f aca="false">IFERROR(IRR('Loan CF'!C2904:M2904),"-")</f>
        <v>-</v>
      </c>
      <c r="Y196" s="110" t="str">
        <f aca="false">IFERROR(T196/K196,"-")</f>
        <v>-</v>
      </c>
      <c r="Z196" s="71" t="n">
        <f aca="false">'Loan Tape'!$BC173</f>
        <v>0</v>
      </c>
      <c r="AA196" s="71" t="n">
        <f aca="false">'Loan Tape'!$BE173</f>
        <v>0</v>
      </c>
      <c r="AB196" s="71" t="n">
        <f aca="false">SUM('Loan CF'!D3813:M3813)-AA196</f>
        <v>0</v>
      </c>
      <c r="AC196" s="109" t="str">
        <f aca="false">IFERROR(IRR('Loan CF'!C3813:M3813),"-")</f>
        <v>-</v>
      </c>
      <c r="AD196" s="110" t="str">
        <f aca="false">IFERROR(SUM('Loan CF'!D3813:M3813)/AA196,"-")</f>
        <v>-</v>
      </c>
    </row>
    <row r="197" customFormat="false" ht="15" hidden="false" customHeight="false" outlineLevel="0" collapsed="false">
      <c r="B197" s="102" t="str">
        <f aca="false">IF('Loan Tape'!$A174="","",'Loan Tape'!$A174)</f>
        <v/>
      </c>
      <c r="C197" s="102" t="str">
        <f aca="false">IF('Loan Tape'!$A174="","",'Loan Tape'!$B174)</f>
        <v/>
      </c>
      <c r="D197" s="102" t="str">
        <f aca="false">IF('Loan Tape'!$A174="","",'Loan Tape'!$C174)</f>
        <v/>
      </c>
      <c r="E197" s="102" t="str">
        <f aca="false">IF('Loan Tape'!$A174="","",'Loan Tape'!$D174)</f>
        <v/>
      </c>
      <c r="F197" s="102" t="str">
        <f aca="false">IF('Loan Tape'!$A174="","",'Loan Tape'!$E174)</f>
        <v/>
      </c>
      <c r="G197" s="103" t="n">
        <f aca="false">'Loan Tape'!$AN174</f>
        <v>0</v>
      </c>
      <c r="H197" s="99" t="n">
        <f aca="false">'Loan Tape'!$R174*'Loan Tape'!$AN174</f>
        <v>0</v>
      </c>
      <c r="I197" s="104" t="n">
        <f aca="false">'Loan Tape'!$AO174</f>
        <v>0</v>
      </c>
      <c r="J197" s="99" t="n">
        <f aca="false">'Loan Tape'!$AY174</f>
        <v>0</v>
      </c>
      <c r="K197" s="99" t="n">
        <f aca="false">'Loan Tape'!$BB174</f>
        <v>0</v>
      </c>
      <c r="L197" s="104" t="n">
        <f aca="false">'Loan CF'!C481</f>
        <v>0</v>
      </c>
      <c r="M197" s="105" t="n">
        <f aca="false">'Loan Tape'!$AS174*'Loan Tape'!$AN174</f>
        <v>0</v>
      </c>
      <c r="N197" s="105" t="n">
        <f aca="false">IFERROR(SUMPRODUCT(('Loan CF'!$C$916:$L$916-0.5)*('Loan CF'!C1087:L1087+'Loan CF'!C1390:L1390+'Loan CF'!C1693:L1693))/(SUM('Loan CF'!C1087:L1087)+SUM('Loan CF'!C1390:L1390)+SUM('Loan CF'!C1693:L1693)),0)</f>
        <v>0</v>
      </c>
      <c r="O197" s="99" t="n">
        <f aca="false">SUM('Loan CF'!C1996:L1996)</f>
        <v>0</v>
      </c>
      <c r="P197" s="99" t="n">
        <f aca="false">SUM('Loan CF'!C1087:L1087)+SUM('Loan CF'!C1390:L1390)+SUM('Loan CF'!C1693:L1693)</f>
        <v>0</v>
      </c>
      <c r="Q197" s="99" t="n">
        <f aca="false">SUM('Loan CF'!C2299:L2299)</f>
        <v>0</v>
      </c>
      <c r="R197" s="99" t="n">
        <f aca="false">SUM('Loan CF'!C1390:L1390)*Prepay_Pen</f>
        <v>0</v>
      </c>
      <c r="S197" s="99" t="n">
        <f aca="false">'Loan CF'!$C2602</f>
        <v>0</v>
      </c>
      <c r="T197" s="99" t="n">
        <f aca="false">SUM(O197:S197)</f>
        <v>0</v>
      </c>
      <c r="U197" s="99" t="n">
        <f aca="false">SUM('Loan CF'!C784:L784)</f>
        <v>0</v>
      </c>
      <c r="V197" s="99" t="n">
        <f aca="false">U197*Sev</f>
        <v>0</v>
      </c>
      <c r="W197" s="99" t="n">
        <f aca="false">T197-K197</f>
        <v>0</v>
      </c>
      <c r="X197" s="106" t="str">
        <f aca="false">IFERROR(IRR('Loan CF'!C2905:M2905),"-")</f>
        <v>-</v>
      </c>
      <c r="Y197" s="107" t="str">
        <f aca="false">IFERROR(T197/K197,"-")</f>
        <v>-</v>
      </c>
      <c r="Z197" s="99" t="n">
        <f aca="false">'Loan Tape'!$BC174</f>
        <v>0</v>
      </c>
      <c r="AA197" s="99" t="n">
        <f aca="false">'Loan Tape'!$BE174</f>
        <v>0</v>
      </c>
      <c r="AB197" s="99" t="n">
        <f aca="false">SUM('Loan CF'!D3814:M3814)-AA197</f>
        <v>0</v>
      </c>
      <c r="AC197" s="106" t="str">
        <f aca="false">IFERROR(IRR('Loan CF'!C3814:M3814),"-")</f>
        <v>-</v>
      </c>
      <c r="AD197" s="107" t="str">
        <f aca="false">IFERROR(SUM('Loan CF'!D3814:M3814)/AA197,"-")</f>
        <v>-</v>
      </c>
    </row>
    <row r="198" customFormat="false" ht="15" hidden="false" customHeight="false" outlineLevel="0" collapsed="false">
      <c r="B198" s="108" t="str">
        <f aca="false">IF('Loan Tape'!$A175="","",'Loan Tape'!$A175)</f>
        <v/>
      </c>
      <c r="C198" s="108" t="str">
        <f aca="false">IF('Loan Tape'!$A175="","",'Loan Tape'!$B175)</f>
        <v/>
      </c>
      <c r="D198" s="108" t="str">
        <f aca="false">IF('Loan Tape'!$A175="","",'Loan Tape'!$C175)</f>
        <v/>
      </c>
      <c r="E198" s="108" t="str">
        <f aca="false">IF('Loan Tape'!$A175="","",'Loan Tape'!$D175)</f>
        <v/>
      </c>
      <c r="F198" s="108" t="str">
        <f aca="false">IF('Loan Tape'!$A175="","",'Loan Tape'!$E175)</f>
        <v/>
      </c>
      <c r="G198" s="26" t="n">
        <f aca="false">'Loan Tape'!$AN175</f>
        <v>0</v>
      </c>
      <c r="H198" s="71" t="n">
        <f aca="false">'Loan Tape'!$R175*'Loan Tape'!$AN175</f>
        <v>0</v>
      </c>
      <c r="I198" s="56" t="n">
        <f aca="false">'Loan Tape'!$AO175</f>
        <v>0</v>
      </c>
      <c r="J198" s="71" t="n">
        <f aca="false">'Loan Tape'!$AY175</f>
        <v>0</v>
      </c>
      <c r="K198" s="71" t="n">
        <f aca="false">'Loan Tape'!$BB175</f>
        <v>0</v>
      </c>
      <c r="L198" s="56" t="n">
        <f aca="false">'Loan CF'!C482</f>
        <v>0</v>
      </c>
      <c r="M198" s="70" t="n">
        <f aca="false">'Loan Tape'!$AS175*'Loan Tape'!$AN175</f>
        <v>0</v>
      </c>
      <c r="N198" s="70" t="n">
        <f aca="false">IFERROR(SUMPRODUCT(('Loan CF'!$C$916:$L$916-0.5)*('Loan CF'!C1088:L1088+'Loan CF'!C1391:L1391+'Loan CF'!C1694:L1694))/(SUM('Loan CF'!C1088:L1088)+SUM('Loan CF'!C1391:L1391)+SUM('Loan CF'!C1694:L1694)),0)</f>
        <v>0</v>
      </c>
      <c r="O198" s="71" t="n">
        <f aca="false">SUM('Loan CF'!C1997:L1997)</f>
        <v>0</v>
      </c>
      <c r="P198" s="71" t="n">
        <f aca="false">SUM('Loan CF'!C1088:L1088)+SUM('Loan CF'!C1391:L1391)+SUM('Loan CF'!C1694:L1694)</f>
        <v>0</v>
      </c>
      <c r="Q198" s="71" t="n">
        <f aca="false">SUM('Loan CF'!C2300:L2300)</f>
        <v>0</v>
      </c>
      <c r="R198" s="71" t="n">
        <f aca="false">SUM('Loan CF'!C1391:L1391)*Prepay_Pen</f>
        <v>0</v>
      </c>
      <c r="S198" s="71" t="n">
        <f aca="false">'Loan CF'!$C2603</f>
        <v>0</v>
      </c>
      <c r="T198" s="71" t="n">
        <f aca="false">SUM(O198:S198)</f>
        <v>0</v>
      </c>
      <c r="U198" s="71" t="n">
        <f aca="false">SUM('Loan CF'!C785:L785)</f>
        <v>0</v>
      </c>
      <c r="V198" s="71" t="n">
        <f aca="false">U198*Sev</f>
        <v>0</v>
      </c>
      <c r="W198" s="71" t="n">
        <f aca="false">T198-K198</f>
        <v>0</v>
      </c>
      <c r="X198" s="109" t="str">
        <f aca="false">IFERROR(IRR('Loan CF'!C2906:M2906),"-")</f>
        <v>-</v>
      </c>
      <c r="Y198" s="110" t="str">
        <f aca="false">IFERROR(T198/K198,"-")</f>
        <v>-</v>
      </c>
      <c r="Z198" s="71" t="n">
        <f aca="false">'Loan Tape'!$BC175</f>
        <v>0</v>
      </c>
      <c r="AA198" s="71" t="n">
        <f aca="false">'Loan Tape'!$BE175</f>
        <v>0</v>
      </c>
      <c r="AB198" s="71" t="n">
        <f aca="false">SUM('Loan CF'!D3815:M3815)-AA198</f>
        <v>0</v>
      </c>
      <c r="AC198" s="109" t="str">
        <f aca="false">IFERROR(IRR('Loan CF'!C3815:M3815),"-")</f>
        <v>-</v>
      </c>
      <c r="AD198" s="110" t="str">
        <f aca="false">IFERROR(SUM('Loan CF'!D3815:M3815)/AA198,"-")</f>
        <v>-</v>
      </c>
    </row>
    <row r="199" customFormat="false" ht="15" hidden="false" customHeight="false" outlineLevel="0" collapsed="false">
      <c r="B199" s="102" t="str">
        <f aca="false">IF('Loan Tape'!$A176="","",'Loan Tape'!$A176)</f>
        <v/>
      </c>
      <c r="C199" s="102" t="str">
        <f aca="false">IF('Loan Tape'!$A176="","",'Loan Tape'!$B176)</f>
        <v/>
      </c>
      <c r="D199" s="102" t="str">
        <f aca="false">IF('Loan Tape'!$A176="","",'Loan Tape'!$C176)</f>
        <v/>
      </c>
      <c r="E199" s="102" t="str">
        <f aca="false">IF('Loan Tape'!$A176="","",'Loan Tape'!$D176)</f>
        <v/>
      </c>
      <c r="F199" s="102" t="str">
        <f aca="false">IF('Loan Tape'!$A176="","",'Loan Tape'!$E176)</f>
        <v/>
      </c>
      <c r="G199" s="103" t="n">
        <f aca="false">'Loan Tape'!$AN176</f>
        <v>0</v>
      </c>
      <c r="H199" s="99" t="n">
        <f aca="false">'Loan Tape'!$R176*'Loan Tape'!$AN176</f>
        <v>0</v>
      </c>
      <c r="I199" s="104" t="n">
        <f aca="false">'Loan Tape'!$AO176</f>
        <v>0</v>
      </c>
      <c r="J199" s="99" t="n">
        <f aca="false">'Loan Tape'!$AY176</f>
        <v>0</v>
      </c>
      <c r="K199" s="99" t="n">
        <f aca="false">'Loan Tape'!$BB176</f>
        <v>0</v>
      </c>
      <c r="L199" s="104" t="n">
        <f aca="false">'Loan CF'!C483</f>
        <v>0</v>
      </c>
      <c r="M199" s="105" t="n">
        <f aca="false">'Loan Tape'!$AS176*'Loan Tape'!$AN176</f>
        <v>0</v>
      </c>
      <c r="N199" s="105" t="n">
        <f aca="false">IFERROR(SUMPRODUCT(('Loan CF'!$C$916:$L$916-0.5)*('Loan CF'!C1089:L1089+'Loan CF'!C1392:L1392+'Loan CF'!C1695:L1695))/(SUM('Loan CF'!C1089:L1089)+SUM('Loan CF'!C1392:L1392)+SUM('Loan CF'!C1695:L1695)),0)</f>
        <v>0</v>
      </c>
      <c r="O199" s="99" t="n">
        <f aca="false">SUM('Loan CF'!C1998:L1998)</f>
        <v>0</v>
      </c>
      <c r="P199" s="99" t="n">
        <f aca="false">SUM('Loan CF'!C1089:L1089)+SUM('Loan CF'!C1392:L1392)+SUM('Loan CF'!C1695:L1695)</f>
        <v>0</v>
      </c>
      <c r="Q199" s="99" t="n">
        <f aca="false">SUM('Loan CF'!C2301:L2301)</f>
        <v>0</v>
      </c>
      <c r="R199" s="99" t="n">
        <f aca="false">SUM('Loan CF'!C1392:L1392)*Prepay_Pen</f>
        <v>0</v>
      </c>
      <c r="S199" s="99" t="n">
        <f aca="false">'Loan CF'!$C2604</f>
        <v>0</v>
      </c>
      <c r="T199" s="99" t="n">
        <f aca="false">SUM(O199:S199)</f>
        <v>0</v>
      </c>
      <c r="U199" s="99" t="n">
        <f aca="false">SUM('Loan CF'!C786:L786)</f>
        <v>0</v>
      </c>
      <c r="V199" s="99" t="n">
        <f aca="false">U199*Sev</f>
        <v>0</v>
      </c>
      <c r="W199" s="99" t="n">
        <f aca="false">T199-K199</f>
        <v>0</v>
      </c>
      <c r="X199" s="106" t="str">
        <f aca="false">IFERROR(IRR('Loan CF'!C2907:M2907),"-")</f>
        <v>-</v>
      </c>
      <c r="Y199" s="107" t="str">
        <f aca="false">IFERROR(T199/K199,"-")</f>
        <v>-</v>
      </c>
      <c r="Z199" s="99" t="n">
        <f aca="false">'Loan Tape'!$BC176</f>
        <v>0</v>
      </c>
      <c r="AA199" s="99" t="n">
        <f aca="false">'Loan Tape'!$BE176</f>
        <v>0</v>
      </c>
      <c r="AB199" s="99" t="n">
        <f aca="false">SUM('Loan CF'!D3816:M3816)-AA199</f>
        <v>0</v>
      </c>
      <c r="AC199" s="106" t="str">
        <f aca="false">IFERROR(IRR('Loan CF'!C3816:M3816),"-")</f>
        <v>-</v>
      </c>
      <c r="AD199" s="107" t="str">
        <f aca="false">IFERROR(SUM('Loan CF'!D3816:M3816)/AA199,"-")</f>
        <v>-</v>
      </c>
    </row>
    <row r="200" customFormat="false" ht="15" hidden="false" customHeight="false" outlineLevel="0" collapsed="false">
      <c r="B200" s="108" t="str">
        <f aca="false">IF('Loan Tape'!$A177="","",'Loan Tape'!$A177)</f>
        <v/>
      </c>
      <c r="C200" s="108" t="str">
        <f aca="false">IF('Loan Tape'!$A177="","",'Loan Tape'!$B177)</f>
        <v/>
      </c>
      <c r="D200" s="108" t="str">
        <f aca="false">IF('Loan Tape'!$A177="","",'Loan Tape'!$C177)</f>
        <v/>
      </c>
      <c r="E200" s="108" t="str">
        <f aca="false">IF('Loan Tape'!$A177="","",'Loan Tape'!$D177)</f>
        <v/>
      </c>
      <c r="F200" s="108" t="str">
        <f aca="false">IF('Loan Tape'!$A177="","",'Loan Tape'!$E177)</f>
        <v/>
      </c>
      <c r="G200" s="26" t="n">
        <f aca="false">'Loan Tape'!$AN177</f>
        <v>0</v>
      </c>
      <c r="H200" s="71" t="n">
        <f aca="false">'Loan Tape'!$R177*'Loan Tape'!$AN177</f>
        <v>0</v>
      </c>
      <c r="I200" s="56" t="n">
        <f aca="false">'Loan Tape'!$AO177</f>
        <v>0</v>
      </c>
      <c r="J200" s="71" t="n">
        <f aca="false">'Loan Tape'!$AY177</f>
        <v>0</v>
      </c>
      <c r="K200" s="71" t="n">
        <f aca="false">'Loan Tape'!$BB177</f>
        <v>0</v>
      </c>
      <c r="L200" s="56" t="n">
        <f aca="false">'Loan CF'!C484</f>
        <v>0</v>
      </c>
      <c r="M200" s="70" t="n">
        <f aca="false">'Loan Tape'!$AS177*'Loan Tape'!$AN177</f>
        <v>0</v>
      </c>
      <c r="N200" s="70" t="n">
        <f aca="false">IFERROR(SUMPRODUCT(('Loan CF'!$C$916:$L$916-0.5)*('Loan CF'!C1090:L1090+'Loan CF'!C1393:L1393+'Loan CF'!C1696:L1696))/(SUM('Loan CF'!C1090:L1090)+SUM('Loan CF'!C1393:L1393)+SUM('Loan CF'!C1696:L1696)),0)</f>
        <v>0</v>
      </c>
      <c r="O200" s="71" t="n">
        <f aca="false">SUM('Loan CF'!C1999:L1999)</f>
        <v>0</v>
      </c>
      <c r="P200" s="71" t="n">
        <f aca="false">SUM('Loan CF'!C1090:L1090)+SUM('Loan CF'!C1393:L1393)+SUM('Loan CF'!C1696:L1696)</f>
        <v>0</v>
      </c>
      <c r="Q200" s="71" t="n">
        <f aca="false">SUM('Loan CF'!C2302:L2302)</f>
        <v>0</v>
      </c>
      <c r="R200" s="71" t="n">
        <f aca="false">SUM('Loan CF'!C1393:L1393)*Prepay_Pen</f>
        <v>0</v>
      </c>
      <c r="S200" s="71" t="n">
        <f aca="false">'Loan CF'!$C2605</f>
        <v>0</v>
      </c>
      <c r="T200" s="71" t="n">
        <f aca="false">SUM(O200:S200)</f>
        <v>0</v>
      </c>
      <c r="U200" s="71" t="n">
        <f aca="false">SUM('Loan CF'!C787:L787)</f>
        <v>0</v>
      </c>
      <c r="V200" s="71" t="n">
        <f aca="false">U200*Sev</f>
        <v>0</v>
      </c>
      <c r="W200" s="71" t="n">
        <f aca="false">T200-K200</f>
        <v>0</v>
      </c>
      <c r="X200" s="109" t="str">
        <f aca="false">IFERROR(IRR('Loan CF'!C2908:M2908),"-")</f>
        <v>-</v>
      </c>
      <c r="Y200" s="110" t="str">
        <f aca="false">IFERROR(T200/K200,"-")</f>
        <v>-</v>
      </c>
      <c r="Z200" s="71" t="n">
        <f aca="false">'Loan Tape'!$BC177</f>
        <v>0</v>
      </c>
      <c r="AA200" s="71" t="n">
        <f aca="false">'Loan Tape'!$BE177</f>
        <v>0</v>
      </c>
      <c r="AB200" s="71" t="n">
        <f aca="false">SUM('Loan CF'!D3817:M3817)-AA200</f>
        <v>0</v>
      </c>
      <c r="AC200" s="109" t="str">
        <f aca="false">IFERROR(IRR('Loan CF'!C3817:M3817),"-")</f>
        <v>-</v>
      </c>
      <c r="AD200" s="110" t="str">
        <f aca="false">IFERROR(SUM('Loan CF'!D3817:M3817)/AA200,"-")</f>
        <v>-</v>
      </c>
    </row>
    <row r="201" customFormat="false" ht="15" hidden="false" customHeight="false" outlineLevel="0" collapsed="false">
      <c r="B201" s="102" t="str">
        <f aca="false">IF('Loan Tape'!$A178="","",'Loan Tape'!$A178)</f>
        <v/>
      </c>
      <c r="C201" s="102" t="str">
        <f aca="false">IF('Loan Tape'!$A178="","",'Loan Tape'!$B178)</f>
        <v/>
      </c>
      <c r="D201" s="102" t="str">
        <f aca="false">IF('Loan Tape'!$A178="","",'Loan Tape'!$C178)</f>
        <v/>
      </c>
      <c r="E201" s="102" t="str">
        <f aca="false">IF('Loan Tape'!$A178="","",'Loan Tape'!$D178)</f>
        <v/>
      </c>
      <c r="F201" s="102" t="str">
        <f aca="false">IF('Loan Tape'!$A178="","",'Loan Tape'!$E178)</f>
        <v/>
      </c>
      <c r="G201" s="103" t="n">
        <f aca="false">'Loan Tape'!$AN178</f>
        <v>0</v>
      </c>
      <c r="H201" s="99" t="n">
        <f aca="false">'Loan Tape'!$R178*'Loan Tape'!$AN178</f>
        <v>0</v>
      </c>
      <c r="I201" s="104" t="n">
        <f aca="false">'Loan Tape'!$AO178</f>
        <v>0</v>
      </c>
      <c r="J201" s="99" t="n">
        <f aca="false">'Loan Tape'!$AY178</f>
        <v>0</v>
      </c>
      <c r="K201" s="99" t="n">
        <f aca="false">'Loan Tape'!$BB178</f>
        <v>0</v>
      </c>
      <c r="L201" s="104" t="n">
        <f aca="false">'Loan CF'!C485</f>
        <v>0</v>
      </c>
      <c r="M201" s="105" t="n">
        <f aca="false">'Loan Tape'!$AS178*'Loan Tape'!$AN178</f>
        <v>0</v>
      </c>
      <c r="N201" s="105" t="n">
        <f aca="false">IFERROR(SUMPRODUCT(('Loan CF'!$C$916:$L$916-0.5)*('Loan CF'!C1091:L1091+'Loan CF'!C1394:L1394+'Loan CF'!C1697:L1697))/(SUM('Loan CF'!C1091:L1091)+SUM('Loan CF'!C1394:L1394)+SUM('Loan CF'!C1697:L1697)),0)</f>
        <v>0</v>
      </c>
      <c r="O201" s="99" t="n">
        <f aca="false">SUM('Loan CF'!C2000:L2000)</f>
        <v>0</v>
      </c>
      <c r="P201" s="99" t="n">
        <f aca="false">SUM('Loan CF'!C1091:L1091)+SUM('Loan CF'!C1394:L1394)+SUM('Loan CF'!C1697:L1697)</f>
        <v>0</v>
      </c>
      <c r="Q201" s="99" t="n">
        <f aca="false">SUM('Loan CF'!C2303:L2303)</f>
        <v>0</v>
      </c>
      <c r="R201" s="99" t="n">
        <f aca="false">SUM('Loan CF'!C1394:L1394)*Prepay_Pen</f>
        <v>0</v>
      </c>
      <c r="S201" s="99" t="n">
        <f aca="false">'Loan CF'!$C2606</f>
        <v>0</v>
      </c>
      <c r="T201" s="99" t="n">
        <f aca="false">SUM(O201:S201)</f>
        <v>0</v>
      </c>
      <c r="U201" s="99" t="n">
        <f aca="false">SUM('Loan CF'!C788:L788)</f>
        <v>0</v>
      </c>
      <c r="V201" s="99" t="n">
        <f aca="false">U201*Sev</f>
        <v>0</v>
      </c>
      <c r="W201" s="99" t="n">
        <f aca="false">T201-K201</f>
        <v>0</v>
      </c>
      <c r="X201" s="106" t="str">
        <f aca="false">IFERROR(IRR('Loan CF'!C2909:M2909),"-")</f>
        <v>-</v>
      </c>
      <c r="Y201" s="107" t="str">
        <f aca="false">IFERROR(T201/K201,"-")</f>
        <v>-</v>
      </c>
      <c r="Z201" s="99" t="n">
        <f aca="false">'Loan Tape'!$BC178</f>
        <v>0</v>
      </c>
      <c r="AA201" s="99" t="n">
        <f aca="false">'Loan Tape'!$BE178</f>
        <v>0</v>
      </c>
      <c r="AB201" s="99" t="n">
        <f aca="false">SUM('Loan CF'!D3818:M3818)-AA201</f>
        <v>0</v>
      </c>
      <c r="AC201" s="106" t="str">
        <f aca="false">IFERROR(IRR('Loan CF'!C3818:M3818),"-")</f>
        <v>-</v>
      </c>
      <c r="AD201" s="107" t="str">
        <f aca="false">IFERROR(SUM('Loan CF'!D3818:M3818)/AA201,"-")</f>
        <v>-</v>
      </c>
    </row>
    <row r="202" customFormat="false" ht="15" hidden="false" customHeight="false" outlineLevel="0" collapsed="false">
      <c r="B202" s="108" t="str">
        <f aca="false">IF('Loan Tape'!$A179="","",'Loan Tape'!$A179)</f>
        <v/>
      </c>
      <c r="C202" s="108" t="str">
        <f aca="false">IF('Loan Tape'!$A179="","",'Loan Tape'!$B179)</f>
        <v/>
      </c>
      <c r="D202" s="108" t="str">
        <f aca="false">IF('Loan Tape'!$A179="","",'Loan Tape'!$C179)</f>
        <v/>
      </c>
      <c r="E202" s="108" t="str">
        <f aca="false">IF('Loan Tape'!$A179="","",'Loan Tape'!$D179)</f>
        <v/>
      </c>
      <c r="F202" s="108" t="str">
        <f aca="false">IF('Loan Tape'!$A179="","",'Loan Tape'!$E179)</f>
        <v/>
      </c>
      <c r="G202" s="26" t="n">
        <f aca="false">'Loan Tape'!$AN179</f>
        <v>0</v>
      </c>
      <c r="H202" s="71" t="n">
        <f aca="false">'Loan Tape'!$R179*'Loan Tape'!$AN179</f>
        <v>0</v>
      </c>
      <c r="I202" s="56" t="n">
        <f aca="false">'Loan Tape'!$AO179</f>
        <v>0</v>
      </c>
      <c r="J202" s="71" t="n">
        <f aca="false">'Loan Tape'!$AY179</f>
        <v>0</v>
      </c>
      <c r="K202" s="71" t="n">
        <f aca="false">'Loan Tape'!$BB179</f>
        <v>0</v>
      </c>
      <c r="L202" s="56" t="n">
        <f aca="false">'Loan CF'!C486</f>
        <v>0</v>
      </c>
      <c r="M202" s="70" t="n">
        <f aca="false">'Loan Tape'!$AS179*'Loan Tape'!$AN179</f>
        <v>0</v>
      </c>
      <c r="N202" s="70" t="n">
        <f aca="false">IFERROR(SUMPRODUCT(('Loan CF'!$C$916:$L$916-0.5)*('Loan CF'!C1092:L1092+'Loan CF'!C1395:L1395+'Loan CF'!C1698:L1698))/(SUM('Loan CF'!C1092:L1092)+SUM('Loan CF'!C1395:L1395)+SUM('Loan CF'!C1698:L1698)),0)</f>
        <v>0</v>
      </c>
      <c r="O202" s="71" t="n">
        <f aca="false">SUM('Loan CF'!C2001:L2001)</f>
        <v>0</v>
      </c>
      <c r="P202" s="71" t="n">
        <f aca="false">SUM('Loan CF'!C1092:L1092)+SUM('Loan CF'!C1395:L1395)+SUM('Loan CF'!C1698:L1698)</f>
        <v>0</v>
      </c>
      <c r="Q202" s="71" t="n">
        <f aca="false">SUM('Loan CF'!C2304:L2304)</f>
        <v>0</v>
      </c>
      <c r="R202" s="71" t="n">
        <f aca="false">SUM('Loan CF'!C1395:L1395)*Prepay_Pen</f>
        <v>0</v>
      </c>
      <c r="S202" s="71" t="n">
        <f aca="false">'Loan CF'!$C2607</f>
        <v>0</v>
      </c>
      <c r="T202" s="71" t="n">
        <f aca="false">SUM(O202:S202)</f>
        <v>0</v>
      </c>
      <c r="U202" s="71" t="n">
        <f aca="false">SUM('Loan CF'!C789:L789)</f>
        <v>0</v>
      </c>
      <c r="V202" s="71" t="n">
        <f aca="false">U202*Sev</f>
        <v>0</v>
      </c>
      <c r="W202" s="71" t="n">
        <f aca="false">T202-K202</f>
        <v>0</v>
      </c>
      <c r="X202" s="109" t="str">
        <f aca="false">IFERROR(IRR('Loan CF'!C2910:M2910),"-")</f>
        <v>-</v>
      </c>
      <c r="Y202" s="110" t="str">
        <f aca="false">IFERROR(T202/K202,"-")</f>
        <v>-</v>
      </c>
      <c r="Z202" s="71" t="n">
        <f aca="false">'Loan Tape'!$BC179</f>
        <v>0</v>
      </c>
      <c r="AA202" s="71" t="n">
        <f aca="false">'Loan Tape'!$BE179</f>
        <v>0</v>
      </c>
      <c r="AB202" s="71" t="n">
        <f aca="false">SUM('Loan CF'!D3819:M3819)-AA202</f>
        <v>0</v>
      </c>
      <c r="AC202" s="109" t="str">
        <f aca="false">IFERROR(IRR('Loan CF'!C3819:M3819),"-")</f>
        <v>-</v>
      </c>
      <c r="AD202" s="110" t="str">
        <f aca="false">IFERROR(SUM('Loan CF'!D3819:M3819)/AA202,"-")</f>
        <v>-</v>
      </c>
    </row>
    <row r="203" customFormat="false" ht="15" hidden="false" customHeight="false" outlineLevel="0" collapsed="false">
      <c r="B203" s="102" t="str">
        <f aca="false">IF('Loan Tape'!$A180="","",'Loan Tape'!$A180)</f>
        <v/>
      </c>
      <c r="C203" s="102" t="str">
        <f aca="false">IF('Loan Tape'!$A180="","",'Loan Tape'!$B180)</f>
        <v/>
      </c>
      <c r="D203" s="102" t="str">
        <f aca="false">IF('Loan Tape'!$A180="","",'Loan Tape'!$C180)</f>
        <v/>
      </c>
      <c r="E203" s="102" t="str">
        <f aca="false">IF('Loan Tape'!$A180="","",'Loan Tape'!$D180)</f>
        <v/>
      </c>
      <c r="F203" s="102" t="str">
        <f aca="false">IF('Loan Tape'!$A180="","",'Loan Tape'!$E180)</f>
        <v/>
      </c>
      <c r="G203" s="103" t="n">
        <f aca="false">'Loan Tape'!$AN180</f>
        <v>0</v>
      </c>
      <c r="H203" s="99" t="n">
        <f aca="false">'Loan Tape'!$R180*'Loan Tape'!$AN180</f>
        <v>0</v>
      </c>
      <c r="I203" s="104" t="n">
        <f aca="false">'Loan Tape'!$AO180</f>
        <v>0</v>
      </c>
      <c r="J203" s="99" t="n">
        <f aca="false">'Loan Tape'!$AY180</f>
        <v>0</v>
      </c>
      <c r="K203" s="99" t="n">
        <f aca="false">'Loan Tape'!$BB180</f>
        <v>0</v>
      </c>
      <c r="L203" s="104" t="n">
        <f aca="false">'Loan CF'!C487</f>
        <v>0</v>
      </c>
      <c r="M203" s="105" t="n">
        <f aca="false">'Loan Tape'!$AS180*'Loan Tape'!$AN180</f>
        <v>0</v>
      </c>
      <c r="N203" s="105" t="n">
        <f aca="false">IFERROR(SUMPRODUCT(('Loan CF'!$C$916:$L$916-0.5)*('Loan CF'!C1093:L1093+'Loan CF'!C1396:L1396+'Loan CF'!C1699:L1699))/(SUM('Loan CF'!C1093:L1093)+SUM('Loan CF'!C1396:L1396)+SUM('Loan CF'!C1699:L1699)),0)</f>
        <v>0</v>
      </c>
      <c r="O203" s="99" t="n">
        <f aca="false">SUM('Loan CF'!C2002:L2002)</f>
        <v>0</v>
      </c>
      <c r="P203" s="99" t="n">
        <f aca="false">SUM('Loan CF'!C1093:L1093)+SUM('Loan CF'!C1396:L1396)+SUM('Loan CF'!C1699:L1699)</f>
        <v>0</v>
      </c>
      <c r="Q203" s="99" t="n">
        <f aca="false">SUM('Loan CF'!C2305:L2305)</f>
        <v>0</v>
      </c>
      <c r="R203" s="99" t="n">
        <f aca="false">SUM('Loan CF'!C1396:L1396)*Prepay_Pen</f>
        <v>0</v>
      </c>
      <c r="S203" s="99" t="n">
        <f aca="false">'Loan CF'!$C2608</f>
        <v>0</v>
      </c>
      <c r="T203" s="99" t="n">
        <f aca="false">SUM(O203:S203)</f>
        <v>0</v>
      </c>
      <c r="U203" s="99" t="n">
        <f aca="false">SUM('Loan CF'!C790:L790)</f>
        <v>0</v>
      </c>
      <c r="V203" s="99" t="n">
        <f aca="false">U203*Sev</f>
        <v>0</v>
      </c>
      <c r="W203" s="99" t="n">
        <f aca="false">T203-K203</f>
        <v>0</v>
      </c>
      <c r="X203" s="106" t="str">
        <f aca="false">IFERROR(IRR('Loan CF'!C2911:M2911),"-")</f>
        <v>-</v>
      </c>
      <c r="Y203" s="107" t="str">
        <f aca="false">IFERROR(T203/K203,"-")</f>
        <v>-</v>
      </c>
      <c r="Z203" s="99" t="n">
        <f aca="false">'Loan Tape'!$BC180</f>
        <v>0</v>
      </c>
      <c r="AA203" s="99" t="n">
        <f aca="false">'Loan Tape'!$BE180</f>
        <v>0</v>
      </c>
      <c r="AB203" s="99" t="n">
        <f aca="false">SUM('Loan CF'!D3820:M3820)-AA203</f>
        <v>0</v>
      </c>
      <c r="AC203" s="106" t="str">
        <f aca="false">IFERROR(IRR('Loan CF'!C3820:M3820),"-")</f>
        <v>-</v>
      </c>
      <c r="AD203" s="107" t="str">
        <f aca="false">IFERROR(SUM('Loan CF'!D3820:M3820)/AA203,"-")</f>
        <v>-</v>
      </c>
    </row>
    <row r="204" customFormat="false" ht="15" hidden="false" customHeight="false" outlineLevel="0" collapsed="false">
      <c r="B204" s="108" t="str">
        <f aca="false">IF('Loan Tape'!$A181="","",'Loan Tape'!$A181)</f>
        <v/>
      </c>
      <c r="C204" s="108" t="str">
        <f aca="false">IF('Loan Tape'!$A181="","",'Loan Tape'!$B181)</f>
        <v/>
      </c>
      <c r="D204" s="108" t="str">
        <f aca="false">IF('Loan Tape'!$A181="","",'Loan Tape'!$C181)</f>
        <v/>
      </c>
      <c r="E204" s="108" t="str">
        <f aca="false">IF('Loan Tape'!$A181="","",'Loan Tape'!$D181)</f>
        <v/>
      </c>
      <c r="F204" s="108" t="str">
        <f aca="false">IF('Loan Tape'!$A181="","",'Loan Tape'!$E181)</f>
        <v/>
      </c>
      <c r="G204" s="26" t="n">
        <f aca="false">'Loan Tape'!$AN181</f>
        <v>0</v>
      </c>
      <c r="H204" s="71" t="n">
        <f aca="false">'Loan Tape'!$R181*'Loan Tape'!$AN181</f>
        <v>0</v>
      </c>
      <c r="I204" s="56" t="n">
        <f aca="false">'Loan Tape'!$AO181</f>
        <v>0</v>
      </c>
      <c r="J204" s="71" t="n">
        <f aca="false">'Loan Tape'!$AY181</f>
        <v>0</v>
      </c>
      <c r="K204" s="71" t="n">
        <f aca="false">'Loan Tape'!$BB181</f>
        <v>0</v>
      </c>
      <c r="L204" s="56" t="n">
        <f aca="false">'Loan CF'!C488</f>
        <v>0</v>
      </c>
      <c r="M204" s="70" t="n">
        <f aca="false">'Loan Tape'!$AS181*'Loan Tape'!$AN181</f>
        <v>0</v>
      </c>
      <c r="N204" s="70" t="n">
        <f aca="false">IFERROR(SUMPRODUCT(('Loan CF'!$C$916:$L$916-0.5)*('Loan CF'!C1094:L1094+'Loan CF'!C1397:L1397+'Loan CF'!C1700:L1700))/(SUM('Loan CF'!C1094:L1094)+SUM('Loan CF'!C1397:L1397)+SUM('Loan CF'!C1700:L1700)),0)</f>
        <v>0</v>
      </c>
      <c r="O204" s="71" t="n">
        <f aca="false">SUM('Loan CF'!C2003:L2003)</f>
        <v>0</v>
      </c>
      <c r="P204" s="71" t="n">
        <f aca="false">SUM('Loan CF'!C1094:L1094)+SUM('Loan CF'!C1397:L1397)+SUM('Loan CF'!C1700:L1700)</f>
        <v>0</v>
      </c>
      <c r="Q204" s="71" t="n">
        <f aca="false">SUM('Loan CF'!C2306:L2306)</f>
        <v>0</v>
      </c>
      <c r="R204" s="71" t="n">
        <f aca="false">SUM('Loan CF'!C1397:L1397)*Prepay_Pen</f>
        <v>0</v>
      </c>
      <c r="S204" s="71" t="n">
        <f aca="false">'Loan CF'!$C2609</f>
        <v>0</v>
      </c>
      <c r="T204" s="71" t="n">
        <f aca="false">SUM(O204:S204)</f>
        <v>0</v>
      </c>
      <c r="U204" s="71" t="n">
        <f aca="false">SUM('Loan CF'!C791:L791)</f>
        <v>0</v>
      </c>
      <c r="V204" s="71" t="n">
        <f aca="false">U204*Sev</f>
        <v>0</v>
      </c>
      <c r="W204" s="71" t="n">
        <f aca="false">T204-K204</f>
        <v>0</v>
      </c>
      <c r="X204" s="109" t="str">
        <f aca="false">IFERROR(IRR('Loan CF'!C2912:M2912),"-")</f>
        <v>-</v>
      </c>
      <c r="Y204" s="110" t="str">
        <f aca="false">IFERROR(T204/K204,"-")</f>
        <v>-</v>
      </c>
      <c r="Z204" s="71" t="n">
        <f aca="false">'Loan Tape'!$BC181</f>
        <v>0</v>
      </c>
      <c r="AA204" s="71" t="n">
        <f aca="false">'Loan Tape'!$BE181</f>
        <v>0</v>
      </c>
      <c r="AB204" s="71" t="n">
        <f aca="false">SUM('Loan CF'!D3821:M3821)-AA204</f>
        <v>0</v>
      </c>
      <c r="AC204" s="109" t="str">
        <f aca="false">IFERROR(IRR('Loan CF'!C3821:M3821),"-")</f>
        <v>-</v>
      </c>
      <c r="AD204" s="110" t="str">
        <f aca="false">IFERROR(SUM('Loan CF'!D3821:M3821)/AA204,"-")</f>
        <v>-</v>
      </c>
    </row>
    <row r="205" customFormat="false" ht="15" hidden="false" customHeight="false" outlineLevel="0" collapsed="false">
      <c r="B205" s="102" t="str">
        <f aca="false">IF('Loan Tape'!$A182="","",'Loan Tape'!$A182)</f>
        <v/>
      </c>
      <c r="C205" s="102" t="str">
        <f aca="false">IF('Loan Tape'!$A182="","",'Loan Tape'!$B182)</f>
        <v/>
      </c>
      <c r="D205" s="102" t="str">
        <f aca="false">IF('Loan Tape'!$A182="","",'Loan Tape'!$C182)</f>
        <v/>
      </c>
      <c r="E205" s="102" t="str">
        <f aca="false">IF('Loan Tape'!$A182="","",'Loan Tape'!$D182)</f>
        <v/>
      </c>
      <c r="F205" s="102" t="str">
        <f aca="false">IF('Loan Tape'!$A182="","",'Loan Tape'!$E182)</f>
        <v/>
      </c>
      <c r="G205" s="103" t="n">
        <f aca="false">'Loan Tape'!$AN182</f>
        <v>0</v>
      </c>
      <c r="H205" s="99" t="n">
        <f aca="false">'Loan Tape'!$R182*'Loan Tape'!$AN182</f>
        <v>0</v>
      </c>
      <c r="I205" s="104" t="n">
        <f aca="false">'Loan Tape'!$AO182</f>
        <v>0</v>
      </c>
      <c r="J205" s="99" t="n">
        <f aca="false">'Loan Tape'!$AY182</f>
        <v>0</v>
      </c>
      <c r="K205" s="99" t="n">
        <f aca="false">'Loan Tape'!$BB182</f>
        <v>0</v>
      </c>
      <c r="L205" s="104" t="n">
        <f aca="false">'Loan CF'!C489</f>
        <v>0</v>
      </c>
      <c r="M205" s="105" t="n">
        <f aca="false">'Loan Tape'!$AS182*'Loan Tape'!$AN182</f>
        <v>0</v>
      </c>
      <c r="N205" s="105" t="n">
        <f aca="false">IFERROR(SUMPRODUCT(('Loan CF'!$C$916:$L$916-0.5)*('Loan CF'!C1095:L1095+'Loan CF'!C1398:L1398+'Loan CF'!C1701:L1701))/(SUM('Loan CF'!C1095:L1095)+SUM('Loan CF'!C1398:L1398)+SUM('Loan CF'!C1701:L1701)),0)</f>
        <v>0</v>
      </c>
      <c r="O205" s="99" t="n">
        <f aca="false">SUM('Loan CF'!C2004:L2004)</f>
        <v>0</v>
      </c>
      <c r="P205" s="99" t="n">
        <f aca="false">SUM('Loan CF'!C1095:L1095)+SUM('Loan CF'!C1398:L1398)+SUM('Loan CF'!C1701:L1701)</f>
        <v>0</v>
      </c>
      <c r="Q205" s="99" t="n">
        <f aca="false">SUM('Loan CF'!C2307:L2307)</f>
        <v>0</v>
      </c>
      <c r="R205" s="99" t="n">
        <f aca="false">SUM('Loan CF'!C1398:L1398)*Prepay_Pen</f>
        <v>0</v>
      </c>
      <c r="S205" s="99" t="n">
        <f aca="false">'Loan CF'!$C2610</f>
        <v>0</v>
      </c>
      <c r="T205" s="99" t="n">
        <f aca="false">SUM(O205:S205)</f>
        <v>0</v>
      </c>
      <c r="U205" s="99" t="n">
        <f aca="false">SUM('Loan CF'!C792:L792)</f>
        <v>0</v>
      </c>
      <c r="V205" s="99" t="n">
        <f aca="false">U205*Sev</f>
        <v>0</v>
      </c>
      <c r="W205" s="99" t="n">
        <f aca="false">T205-K205</f>
        <v>0</v>
      </c>
      <c r="X205" s="106" t="str">
        <f aca="false">IFERROR(IRR('Loan CF'!C2913:M2913),"-")</f>
        <v>-</v>
      </c>
      <c r="Y205" s="107" t="str">
        <f aca="false">IFERROR(T205/K205,"-")</f>
        <v>-</v>
      </c>
      <c r="Z205" s="99" t="n">
        <f aca="false">'Loan Tape'!$BC182</f>
        <v>0</v>
      </c>
      <c r="AA205" s="99" t="n">
        <f aca="false">'Loan Tape'!$BE182</f>
        <v>0</v>
      </c>
      <c r="AB205" s="99" t="n">
        <f aca="false">SUM('Loan CF'!D3822:M3822)-AA205</f>
        <v>0</v>
      </c>
      <c r="AC205" s="106" t="str">
        <f aca="false">IFERROR(IRR('Loan CF'!C3822:M3822),"-")</f>
        <v>-</v>
      </c>
      <c r="AD205" s="107" t="str">
        <f aca="false">IFERROR(SUM('Loan CF'!D3822:M3822)/AA205,"-")</f>
        <v>-</v>
      </c>
    </row>
    <row r="206" customFormat="false" ht="15" hidden="false" customHeight="false" outlineLevel="0" collapsed="false">
      <c r="B206" s="108" t="str">
        <f aca="false">IF('Loan Tape'!$A183="","",'Loan Tape'!$A183)</f>
        <v/>
      </c>
      <c r="C206" s="108" t="str">
        <f aca="false">IF('Loan Tape'!$A183="","",'Loan Tape'!$B183)</f>
        <v/>
      </c>
      <c r="D206" s="108" t="str">
        <f aca="false">IF('Loan Tape'!$A183="","",'Loan Tape'!$C183)</f>
        <v/>
      </c>
      <c r="E206" s="108" t="str">
        <f aca="false">IF('Loan Tape'!$A183="","",'Loan Tape'!$D183)</f>
        <v/>
      </c>
      <c r="F206" s="108" t="str">
        <f aca="false">IF('Loan Tape'!$A183="","",'Loan Tape'!$E183)</f>
        <v/>
      </c>
      <c r="G206" s="26" t="n">
        <f aca="false">'Loan Tape'!$AN183</f>
        <v>0</v>
      </c>
      <c r="H206" s="71" t="n">
        <f aca="false">'Loan Tape'!$R183*'Loan Tape'!$AN183</f>
        <v>0</v>
      </c>
      <c r="I206" s="56" t="n">
        <f aca="false">'Loan Tape'!$AO183</f>
        <v>0</v>
      </c>
      <c r="J206" s="71" t="n">
        <f aca="false">'Loan Tape'!$AY183</f>
        <v>0</v>
      </c>
      <c r="K206" s="71" t="n">
        <f aca="false">'Loan Tape'!$BB183</f>
        <v>0</v>
      </c>
      <c r="L206" s="56" t="n">
        <f aca="false">'Loan CF'!C490</f>
        <v>0</v>
      </c>
      <c r="M206" s="70" t="n">
        <f aca="false">'Loan Tape'!$AS183*'Loan Tape'!$AN183</f>
        <v>0</v>
      </c>
      <c r="N206" s="70" t="n">
        <f aca="false">IFERROR(SUMPRODUCT(('Loan CF'!$C$916:$L$916-0.5)*('Loan CF'!C1096:L1096+'Loan CF'!C1399:L1399+'Loan CF'!C1702:L1702))/(SUM('Loan CF'!C1096:L1096)+SUM('Loan CF'!C1399:L1399)+SUM('Loan CF'!C1702:L1702)),0)</f>
        <v>0</v>
      </c>
      <c r="O206" s="71" t="n">
        <f aca="false">SUM('Loan CF'!C2005:L2005)</f>
        <v>0</v>
      </c>
      <c r="P206" s="71" t="n">
        <f aca="false">SUM('Loan CF'!C1096:L1096)+SUM('Loan CF'!C1399:L1399)+SUM('Loan CF'!C1702:L1702)</f>
        <v>0</v>
      </c>
      <c r="Q206" s="71" t="n">
        <f aca="false">SUM('Loan CF'!C2308:L2308)</f>
        <v>0</v>
      </c>
      <c r="R206" s="71" t="n">
        <f aca="false">SUM('Loan CF'!C1399:L1399)*Prepay_Pen</f>
        <v>0</v>
      </c>
      <c r="S206" s="71" t="n">
        <f aca="false">'Loan CF'!$C2611</f>
        <v>0</v>
      </c>
      <c r="T206" s="71" t="n">
        <f aca="false">SUM(O206:S206)</f>
        <v>0</v>
      </c>
      <c r="U206" s="71" t="n">
        <f aca="false">SUM('Loan CF'!C793:L793)</f>
        <v>0</v>
      </c>
      <c r="V206" s="71" t="n">
        <f aca="false">U206*Sev</f>
        <v>0</v>
      </c>
      <c r="W206" s="71" t="n">
        <f aca="false">T206-K206</f>
        <v>0</v>
      </c>
      <c r="X206" s="109" t="str">
        <f aca="false">IFERROR(IRR('Loan CF'!C2914:M2914),"-")</f>
        <v>-</v>
      </c>
      <c r="Y206" s="110" t="str">
        <f aca="false">IFERROR(T206/K206,"-")</f>
        <v>-</v>
      </c>
      <c r="Z206" s="71" t="n">
        <f aca="false">'Loan Tape'!$BC183</f>
        <v>0</v>
      </c>
      <c r="AA206" s="71" t="n">
        <f aca="false">'Loan Tape'!$BE183</f>
        <v>0</v>
      </c>
      <c r="AB206" s="71" t="n">
        <f aca="false">SUM('Loan CF'!D3823:M3823)-AA206</f>
        <v>0</v>
      </c>
      <c r="AC206" s="109" t="str">
        <f aca="false">IFERROR(IRR('Loan CF'!C3823:M3823),"-")</f>
        <v>-</v>
      </c>
      <c r="AD206" s="110" t="str">
        <f aca="false">IFERROR(SUM('Loan CF'!D3823:M3823)/AA206,"-")</f>
        <v>-</v>
      </c>
    </row>
    <row r="207" customFormat="false" ht="15" hidden="false" customHeight="false" outlineLevel="0" collapsed="false">
      <c r="B207" s="102" t="str">
        <f aca="false">IF('Loan Tape'!$A184="","",'Loan Tape'!$A184)</f>
        <v/>
      </c>
      <c r="C207" s="102" t="str">
        <f aca="false">IF('Loan Tape'!$A184="","",'Loan Tape'!$B184)</f>
        <v/>
      </c>
      <c r="D207" s="102" t="str">
        <f aca="false">IF('Loan Tape'!$A184="","",'Loan Tape'!$C184)</f>
        <v/>
      </c>
      <c r="E207" s="102" t="str">
        <f aca="false">IF('Loan Tape'!$A184="","",'Loan Tape'!$D184)</f>
        <v/>
      </c>
      <c r="F207" s="102" t="str">
        <f aca="false">IF('Loan Tape'!$A184="","",'Loan Tape'!$E184)</f>
        <v/>
      </c>
      <c r="G207" s="103" t="n">
        <f aca="false">'Loan Tape'!$AN184</f>
        <v>0</v>
      </c>
      <c r="H207" s="99" t="n">
        <f aca="false">'Loan Tape'!$R184*'Loan Tape'!$AN184</f>
        <v>0</v>
      </c>
      <c r="I207" s="104" t="n">
        <f aca="false">'Loan Tape'!$AO184</f>
        <v>0</v>
      </c>
      <c r="J207" s="99" t="n">
        <f aca="false">'Loan Tape'!$AY184</f>
        <v>0</v>
      </c>
      <c r="K207" s="99" t="n">
        <f aca="false">'Loan Tape'!$BB184</f>
        <v>0</v>
      </c>
      <c r="L207" s="104" t="n">
        <f aca="false">'Loan CF'!C491</f>
        <v>0</v>
      </c>
      <c r="M207" s="105" t="n">
        <f aca="false">'Loan Tape'!$AS184*'Loan Tape'!$AN184</f>
        <v>0</v>
      </c>
      <c r="N207" s="105" t="n">
        <f aca="false">IFERROR(SUMPRODUCT(('Loan CF'!$C$916:$L$916-0.5)*('Loan CF'!C1097:L1097+'Loan CF'!C1400:L1400+'Loan CF'!C1703:L1703))/(SUM('Loan CF'!C1097:L1097)+SUM('Loan CF'!C1400:L1400)+SUM('Loan CF'!C1703:L1703)),0)</f>
        <v>0</v>
      </c>
      <c r="O207" s="99" t="n">
        <f aca="false">SUM('Loan CF'!C2006:L2006)</f>
        <v>0</v>
      </c>
      <c r="P207" s="99" t="n">
        <f aca="false">SUM('Loan CF'!C1097:L1097)+SUM('Loan CF'!C1400:L1400)+SUM('Loan CF'!C1703:L1703)</f>
        <v>0</v>
      </c>
      <c r="Q207" s="99" t="n">
        <f aca="false">SUM('Loan CF'!C2309:L2309)</f>
        <v>0</v>
      </c>
      <c r="R207" s="99" t="n">
        <f aca="false">SUM('Loan CF'!C1400:L1400)*Prepay_Pen</f>
        <v>0</v>
      </c>
      <c r="S207" s="99" t="n">
        <f aca="false">'Loan CF'!$C2612</f>
        <v>0</v>
      </c>
      <c r="T207" s="99" t="n">
        <f aca="false">SUM(O207:S207)</f>
        <v>0</v>
      </c>
      <c r="U207" s="99" t="n">
        <f aca="false">SUM('Loan CF'!C794:L794)</f>
        <v>0</v>
      </c>
      <c r="V207" s="99" t="n">
        <f aca="false">U207*Sev</f>
        <v>0</v>
      </c>
      <c r="W207" s="99" t="n">
        <f aca="false">T207-K207</f>
        <v>0</v>
      </c>
      <c r="X207" s="106" t="str">
        <f aca="false">IFERROR(IRR('Loan CF'!C2915:M2915),"-")</f>
        <v>-</v>
      </c>
      <c r="Y207" s="107" t="str">
        <f aca="false">IFERROR(T207/K207,"-")</f>
        <v>-</v>
      </c>
      <c r="Z207" s="99" t="n">
        <f aca="false">'Loan Tape'!$BC184</f>
        <v>0</v>
      </c>
      <c r="AA207" s="99" t="n">
        <f aca="false">'Loan Tape'!$BE184</f>
        <v>0</v>
      </c>
      <c r="AB207" s="99" t="n">
        <f aca="false">SUM('Loan CF'!D3824:M3824)-AA207</f>
        <v>0</v>
      </c>
      <c r="AC207" s="106" t="str">
        <f aca="false">IFERROR(IRR('Loan CF'!C3824:M3824),"-")</f>
        <v>-</v>
      </c>
      <c r="AD207" s="107" t="str">
        <f aca="false">IFERROR(SUM('Loan CF'!D3824:M3824)/AA207,"-")</f>
        <v>-</v>
      </c>
    </row>
    <row r="208" customFormat="false" ht="15" hidden="false" customHeight="false" outlineLevel="0" collapsed="false">
      <c r="B208" s="108" t="str">
        <f aca="false">IF('Loan Tape'!$A185="","",'Loan Tape'!$A185)</f>
        <v/>
      </c>
      <c r="C208" s="108" t="str">
        <f aca="false">IF('Loan Tape'!$A185="","",'Loan Tape'!$B185)</f>
        <v/>
      </c>
      <c r="D208" s="108" t="str">
        <f aca="false">IF('Loan Tape'!$A185="","",'Loan Tape'!$C185)</f>
        <v/>
      </c>
      <c r="E208" s="108" t="str">
        <f aca="false">IF('Loan Tape'!$A185="","",'Loan Tape'!$D185)</f>
        <v/>
      </c>
      <c r="F208" s="108" t="str">
        <f aca="false">IF('Loan Tape'!$A185="","",'Loan Tape'!$E185)</f>
        <v/>
      </c>
      <c r="G208" s="26" t="n">
        <f aca="false">'Loan Tape'!$AN185</f>
        <v>0</v>
      </c>
      <c r="H208" s="71" t="n">
        <f aca="false">'Loan Tape'!$R185*'Loan Tape'!$AN185</f>
        <v>0</v>
      </c>
      <c r="I208" s="56" t="n">
        <f aca="false">'Loan Tape'!$AO185</f>
        <v>0</v>
      </c>
      <c r="J208" s="71" t="n">
        <f aca="false">'Loan Tape'!$AY185</f>
        <v>0</v>
      </c>
      <c r="K208" s="71" t="n">
        <f aca="false">'Loan Tape'!$BB185</f>
        <v>0</v>
      </c>
      <c r="L208" s="56" t="n">
        <f aca="false">'Loan CF'!C492</f>
        <v>0</v>
      </c>
      <c r="M208" s="70" t="n">
        <f aca="false">'Loan Tape'!$AS185*'Loan Tape'!$AN185</f>
        <v>0</v>
      </c>
      <c r="N208" s="70" t="n">
        <f aca="false">IFERROR(SUMPRODUCT(('Loan CF'!$C$916:$L$916-0.5)*('Loan CF'!C1098:L1098+'Loan CF'!C1401:L1401+'Loan CF'!C1704:L1704))/(SUM('Loan CF'!C1098:L1098)+SUM('Loan CF'!C1401:L1401)+SUM('Loan CF'!C1704:L1704)),0)</f>
        <v>0</v>
      </c>
      <c r="O208" s="71" t="n">
        <f aca="false">SUM('Loan CF'!C2007:L2007)</f>
        <v>0</v>
      </c>
      <c r="P208" s="71" t="n">
        <f aca="false">SUM('Loan CF'!C1098:L1098)+SUM('Loan CF'!C1401:L1401)+SUM('Loan CF'!C1704:L1704)</f>
        <v>0</v>
      </c>
      <c r="Q208" s="71" t="n">
        <f aca="false">SUM('Loan CF'!C2310:L2310)</f>
        <v>0</v>
      </c>
      <c r="R208" s="71" t="n">
        <f aca="false">SUM('Loan CF'!C1401:L1401)*Prepay_Pen</f>
        <v>0</v>
      </c>
      <c r="S208" s="71" t="n">
        <f aca="false">'Loan CF'!$C2613</f>
        <v>0</v>
      </c>
      <c r="T208" s="71" t="n">
        <f aca="false">SUM(O208:S208)</f>
        <v>0</v>
      </c>
      <c r="U208" s="71" t="n">
        <f aca="false">SUM('Loan CF'!C795:L795)</f>
        <v>0</v>
      </c>
      <c r="V208" s="71" t="n">
        <f aca="false">U208*Sev</f>
        <v>0</v>
      </c>
      <c r="W208" s="71" t="n">
        <f aca="false">T208-K208</f>
        <v>0</v>
      </c>
      <c r="X208" s="109" t="str">
        <f aca="false">IFERROR(IRR('Loan CF'!C2916:M2916),"-")</f>
        <v>-</v>
      </c>
      <c r="Y208" s="110" t="str">
        <f aca="false">IFERROR(T208/K208,"-")</f>
        <v>-</v>
      </c>
      <c r="Z208" s="71" t="n">
        <f aca="false">'Loan Tape'!$BC185</f>
        <v>0</v>
      </c>
      <c r="AA208" s="71" t="n">
        <f aca="false">'Loan Tape'!$BE185</f>
        <v>0</v>
      </c>
      <c r="AB208" s="71" t="n">
        <f aca="false">SUM('Loan CF'!D3825:M3825)-AA208</f>
        <v>0</v>
      </c>
      <c r="AC208" s="109" t="str">
        <f aca="false">IFERROR(IRR('Loan CF'!C3825:M3825),"-")</f>
        <v>-</v>
      </c>
      <c r="AD208" s="110" t="str">
        <f aca="false">IFERROR(SUM('Loan CF'!D3825:M3825)/AA208,"-")</f>
        <v>-</v>
      </c>
    </row>
    <row r="209" customFormat="false" ht="15" hidden="false" customHeight="false" outlineLevel="0" collapsed="false">
      <c r="B209" s="102" t="str">
        <f aca="false">IF('Loan Tape'!$A186="","",'Loan Tape'!$A186)</f>
        <v/>
      </c>
      <c r="C209" s="102" t="str">
        <f aca="false">IF('Loan Tape'!$A186="","",'Loan Tape'!$B186)</f>
        <v/>
      </c>
      <c r="D209" s="102" t="str">
        <f aca="false">IF('Loan Tape'!$A186="","",'Loan Tape'!$C186)</f>
        <v/>
      </c>
      <c r="E209" s="102" t="str">
        <f aca="false">IF('Loan Tape'!$A186="","",'Loan Tape'!$D186)</f>
        <v/>
      </c>
      <c r="F209" s="102" t="str">
        <f aca="false">IF('Loan Tape'!$A186="","",'Loan Tape'!$E186)</f>
        <v/>
      </c>
      <c r="G209" s="103" t="n">
        <f aca="false">'Loan Tape'!$AN186</f>
        <v>0</v>
      </c>
      <c r="H209" s="99" t="n">
        <f aca="false">'Loan Tape'!$R186*'Loan Tape'!$AN186</f>
        <v>0</v>
      </c>
      <c r="I209" s="104" t="n">
        <f aca="false">'Loan Tape'!$AO186</f>
        <v>0</v>
      </c>
      <c r="J209" s="99" t="n">
        <f aca="false">'Loan Tape'!$AY186</f>
        <v>0</v>
      </c>
      <c r="K209" s="99" t="n">
        <f aca="false">'Loan Tape'!$BB186</f>
        <v>0</v>
      </c>
      <c r="L209" s="104" t="n">
        <f aca="false">'Loan CF'!C493</f>
        <v>0</v>
      </c>
      <c r="M209" s="105" t="n">
        <f aca="false">'Loan Tape'!$AS186*'Loan Tape'!$AN186</f>
        <v>0</v>
      </c>
      <c r="N209" s="105" t="n">
        <f aca="false">IFERROR(SUMPRODUCT(('Loan CF'!$C$916:$L$916-0.5)*('Loan CF'!C1099:L1099+'Loan CF'!C1402:L1402+'Loan CF'!C1705:L1705))/(SUM('Loan CF'!C1099:L1099)+SUM('Loan CF'!C1402:L1402)+SUM('Loan CF'!C1705:L1705)),0)</f>
        <v>0</v>
      </c>
      <c r="O209" s="99" t="n">
        <f aca="false">SUM('Loan CF'!C2008:L2008)</f>
        <v>0</v>
      </c>
      <c r="P209" s="99" t="n">
        <f aca="false">SUM('Loan CF'!C1099:L1099)+SUM('Loan CF'!C1402:L1402)+SUM('Loan CF'!C1705:L1705)</f>
        <v>0</v>
      </c>
      <c r="Q209" s="99" t="n">
        <f aca="false">SUM('Loan CF'!C2311:L2311)</f>
        <v>0</v>
      </c>
      <c r="R209" s="99" t="n">
        <f aca="false">SUM('Loan CF'!C1402:L1402)*Prepay_Pen</f>
        <v>0</v>
      </c>
      <c r="S209" s="99" t="n">
        <f aca="false">'Loan CF'!$C2614</f>
        <v>0</v>
      </c>
      <c r="T209" s="99" t="n">
        <f aca="false">SUM(O209:S209)</f>
        <v>0</v>
      </c>
      <c r="U209" s="99" t="n">
        <f aca="false">SUM('Loan CF'!C796:L796)</f>
        <v>0</v>
      </c>
      <c r="V209" s="99" t="n">
        <f aca="false">U209*Sev</f>
        <v>0</v>
      </c>
      <c r="W209" s="99" t="n">
        <f aca="false">T209-K209</f>
        <v>0</v>
      </c>
      <c r="X209" s="106" t="str">
        <f aca="false">IFERROR(IRR('Loan CF'!C2917:M2917),"-")</f>
        <v>-</v>
      </c>
      <c r="Y209" s="107" t="str">
        <f aca="false">IFERROR(T209/K209,"-")</f>
        <v>-</v>
      </c>
      <c r="Z209" s="99" t="n">
        <f aca="false">'Loan Tape'!$BC186</f>
        <v>0</v>
      </c>
      <c r="AA209" s="99" t="n">
        <f aca="false">'Loan Tape'!$BE186</f>
        <v>0</v>
      </c>
      <c r="AB209" s="99" t="n">
        <f aca="false">SUM('Loan CF'!D3826:M3826)-AA209</f>
        <v>0</v>
      </c>
      <c r="AC209" s="106" t="str">
        <f aca="false">IFERROR(IRR('Loan CF'!C3826:M3826),"-")</f>
        <v>-</v>
      </c>
      <c r="AD209" s="107" t="str">
        <f aca="false">IFERROR(SUM('Loan CF'!D3826:M3826)/AA209,"-")</f>
        <v>-</v>
      </c>
    </row>
    <row r="210" customFormat="false" ht="15" hidden="false" customHeight="false" outlineLevel="0" collapsed="false">
      <c r="B210" s="108" t="str">
        <f aca="false">IF('Loan Tape'!$A187="","",'Loan Tape'!$A187)</f>
        <v/>
      </c>
      <c r="C210" s="108" t="str">
        <f aca="false">IF('Loan Tape'!$A187="","",'Loan Tape'!$B187)</f>
        <v/>
      </c>
      <c r="D210" s="108" t="str">
        <f aca="false">IF('Loan Tape'!$A187="","",'Loan Tape'!$C187)</f>
        <v/>
      </c>
      <c r="E210" s="108" t="str">
        <f aca="false">IF('Loan Tape'!$A187="","",'Loan Tape'!$D187)</f>
        <v/>
      </c>
      <c r="F210" s="108" t="str">
        <f aca="false">IF('Loan Tape'!$A187="","",'Loan Tape'!$E187)</f>
        <v/>
      </c>
      <c r="G210" s="26" t="n">
        <f aca="false">'Loan Tape'!$AN187</f>
        <v>0</v>
      </c>
      <c r="H210" s="71" t="n">
        <f aca="false">'Loan Tape'!$R187*'Loan Tape'!$AN187</f>
        <v>0</v>
      </c>
      <c r="I210" s="56" t="n">
        <f aca="false">'Loan Tape'!$AO187</f>
        <v>0</v>
      </c>
      <c r="J210" s="71" t="n">
        <f aca="false">'Loan Tape'!$AY187</f>
        <v>0</v>
      </c>
      <c r="K210" s="71" t="n">
        <f aca="false">'Loan Tape'!$BB187</f>
        <v>0</v>
      </c>
      <c r="L210" s="56" t="n">
        <f aca="false">'Loan CF'!C494</f>
        <v>0</v>
      </c>
      <c r="M210" s="70" t="n">
        <f aca="false">'Loan Tape'!$AS187*'Loan Tape'!$AN187</f>
        <v>0</v>
      </c>
      <c r="N210" s="70" t="n">
        <f aca="false">IFERROR(SUMPRODUCT(('Loan CF'!$C$916:$L$916-0.5)*('Loan CF'!C1100:L1100+'Loan CF'!C1403:L1403+'Loan CF'!C1706:L1706))/(SUM('Loan CF'!C1100:L1100)+SUM('Loan CF'!C1403:L1403)+SUM('Loan CF'!C1706:L1706)),0)</f>
        <v>0</v>
      </c>
      <c r="O210" s="71" t="n">
        <f aca="false">SUM('Loan CF'!C2009:L2009)</f>
        <v>0</v>
      </c>
      <c r="P210" s="71" t="n">
        <f aca="false">SUM('Loan CF'!C1100:L1100)+SUM('Loan CF'!C1403:L1403)+SUM('Loan CF'!C1706:L1706)</f>
        <v>0</v>
      </c>
      <c r="Q210" s="71" t="n">
        <f aca="false">SUM('Loan CF'!C2312:L2312)</f>
        <v>0</v>
      </c>
      <c r="R210" s="71" t="n">
        <f aca="false">SUM('Loan CF'!C1403:L1403)*Prepay_Pen</f>
        <v>0</v>
      </c>
      <c r="S210" s="71" t="n">
        <f aca="false">'Loan CF'!$C2615</f>
        <v>0</v>
      </c>
      <c r="T210" s="71" t="n">
        <f aca="false">SUM(O210:S210)</f>
        <v>0</v>
      </c>
      <c r="U210" s="71" t="n">
        <f aca="false">SUM('Loan CF'!C797:L797)</f>
        <v>0</v>
      </c>
      <c r="V210" s="71" t="n">
        <f aca="false">U210*Sev</f>
        <v>0</v>
      </c>
      <c r="W210" s="71" t="n">
        <f aca="false">T210-K210</f>
        <v>0</v>
      </c>
      <c r="X210" s="109" t="str">
        <f aca="false">IFERROR(IRR('Loan CF'!C2918:M2918),"-")</f>
        <v>-</v>
      </c>
      <c r="Y210" s="110" t="str">
        <f aca="false">IFERROR(T210/K210,"-")</f>
        <v>-</v>
      </c>
      <c r="Z210" s="71" t="n">
        <f aca="false">'Loan Tape'!$BC187</f>
        <v>0</v>
      </c>
      <c r="AA210" s="71" t="n">
        <f aca="false">'Loan Tape'!$BE187</f>
        <v>0</v>
      </c>
      <c r="AB210" s="71" t="n">
        <f aca="false">SUM('Loan CF'!D3827:M3827)-AA210</f>
        <v>0</v>
      </c>
      <c r="AC210" s="109" t="str">
        <f aca="false">IFERROR(IRR('Loan CF'!C3827:M3827),"-")</f>
        <v>-</v>
      </c>
      <c r="AD210" s="110" t="str">
        <f aca="false">IFERROR(SUM('Loan CF'!D3827:M3827)/AA210,"-")</f>
        <v>-</v>
      </c>
    </row>
    <row r="211" customFormat="false" ht="15" hidden="false" customHeight="false" outlineLevel="0" collapsed="false">
      <c r="B211" s="102" t="str">
        <f aca="false">IF('Loan Tape'!$A188="","",'Loan Tape'!$A188)</f>
        <v/>
      </c>
      <c r="C211" s="102" t="str">
        <f aca="false">IF('Loan Tape'!$A188="","",'Loan Tape'!$B188)</f>
        <v/>
      </c>
      <c r="D211" s="102" t="str">
        <f aca="false">IF('Loan Tape'!$A188="","",'Loan Tape'!$C188)</f>
        <v/>
      </c>
      <c r="E211" s="102" t="str">
        <f aca="false">IF('Loan Tape'!$A188="","",'Loan Tape'!$D188)</f>
        <v/>
      </c>
      <c r="F211" s="102" t="str">
        <f aca="false">IF('Loan Tape'!$A188="","",'Loan Tape'!$E188)</f>
        <v/>
      </c>
      <c r="G211" s="103" t="n">
        <f aca="false">'Loan Tape'!$AN188</f>
        <v>0</v>
      </c>
      <c r="H211" s="99" t="n">
        <f aca="false">'Loan Tape'!$R188*'Loan Tape'!$AN188</f>
        <v>0</v>
      </c>
      <c r="I211" s="104" t="n">
        <f aca="false">'Loan Tape'!$AO188</f>
        <v>0</v>
      </c>
      <c r="J211" s="99" t="n">
        <f aca="false">'Loan Tape'!$AY188</f>
        <v>0</v>
      </c>
      <c r="K211" s="99" t="n">
        <f aca="false">'Loan Tape'!$BB188</f>
        <v>0</v>
      </c>
      <c r="L211" s="104" t="n">
        <f aca="false">'Loan CF'!C495</f>
        <v>0</v>
      </c>
      <c r="M211" s="105" t="n">
        <f aca="false">'Loan Tape'!$AS188*'Loan Tape'!$AN188</f>
        <v>0</v>
      </c>
      <c r="N211" s="105" t="n">
        <f aca="false">IFERROR(SUMPRODUCT(('Loan CF'!$C$916:$L$916-0.5)*('Loan CF'!C1101:L1101+'Loan CF'!C1404:L1404+'Loan CF'!C1707:L1707))/(SUM('Loan CF'!C1101:L1101)+SUM('Loan CF'!C1404:L1404)+SUM('Loan CF'!C1707:L1707)),0)</f>
        <v>0</v>
      </c>
      <c r="O211" s="99" t="n">
        <f aca="false">SUM('Loan CF'!C2010:L2010)</f>
        <v>0</v>
      </c>
      <c r="P211" s="99" t="n">
        <f aca="false">SUM('Loan CF'!C1101:L1101)+SUM('Loan CF'!C1404:L1404)+SUM('Loan CF'!C1707:L1707)</f>
        <v>0</v>
      </c>
      <c r="Q211" s="99" t="n">
        <f aca="false">SUM('Loan CF'!C2313:L2313)</f>
        <v>0</v>
      </c>
      <c r="R211" s="99" t="n">
        <f aca="false">SUM('Loan CF'!C1404:L1404)*Prepay_Pen</f>
        <v>0</v>
      </c>
      <c r="S211" s="99" t="n">
        <f aca="false">'Loan CF'!$C2616</f>
        <v>0</v>
      </c>
      <c r="T211" s="99" t="n">
        <f aca="false">SUM(O211:S211)</f>
        <v>0</v>
      </c>
      <c r="U211" s="99" t="n">
        <f aca="false">SUM('Loan CF'!C798:L798)</f>
        <v>0</v>
      </c>
      <c r="V211" s="99" t="n">
        <f aca="false">U211*Sev</f>
        <v>0</v>
      </c>
      <c r="W211" s="99" t="n">
        <f aca="false">T211-K211</f>
        <v>0</v>
      </c>
      <c r="X211" s="106" t="str">
        <f aca="false">IFERROR(IRR('Loan CF'!C2919:M2919),"-")</f>
        <v>-</v>
      </c>
      <c r="Y211" s="107" t="str">
        <f aca="false">IFERROR(T211/K211,"-")</f>
        <v>-</v>
      </c>
      <c r="Z211" s="99" t="n">
        <f aca="false">'Loan Tape'!$BC188</f>
        <v>0</v>
      </c>
      <c r="AA211" s="99" t="n">
        <f aca="false">'Loan Tape'!$BE188</f>
        <v>0</v>
      </c>
      <c r="AB211" s="99" t="n">
        <f aca="false">SUM('Loan CF'!D3828:M3828)-AA211</f>
        <v>0</v>
      </c>
      <c r="AC211" s="106" t="str">
        <f aca="false">IFERROR(IRR('Loan CF'!C3828:M3828),"-")</f>
        <v>-</v>
      </c>
      <c r="AD211" s="107" t="str">
        <f aca="false">IFERROR(SUM('Loan CF'!D3828:M3828)/AA211,"-")</f>
        <v>-</v>
      </c>
    </row>
    <row r="212" customFormat="false" ht="15" hidden="false" customHeight="false" outlineLevel="0" collapsed="false">
      <c r="B212" s="108" t="str">
        <f aca="false">IF('Loan Tape'!$A189="","",'Loan Tape'!$A189)</f>
        <v/>
      </c>
      <c r="C212" s="108" t="str">
        <f aca="false">IF('Loan Tape'!$A189="","",'Loan Tape'!$B189)</f>
        <v/>
      </c>
      <c r="D212" s="108" t="str">
        <f aca="false">IF('Loan Tape'!$A189="","",'Loan Tape'!$C189)</f>
        <v/>
      </c>
      <c r="E212" s="108" t="str">
        <f aca="false">IF('Loan Tape'!$A189="","",'Loan Tape'!$D189)</f>
        <v/>
      </c>
      <c r="F212" s="108" t="str">
        <f aca="false">IF('Loan Tape'!$A189="","",'Loan Tape'!$E189)</f>
        <v/>
      </c>
      <c r="G212" s="26" t="n">
        <f aca="false">'Loan Tape'!$AN189</f>
        <v>0</v>
      </c>
      <c r="H212" s="71" t="n">
        <f aca="false">'Loan Tape'!$R189*'Loan Tape'!$AN189</f>
        <v>0</v>
      </c>
      <c r="I212" s="56" t="n">
        <f aca="false">'Loan Tape'!$AO189</f>
        <v>0</v>
      </c>
      <c r="J212" s="71" t="n">
        <f aca="false">'Loan Tape'!$AY189</f>
        <v>0</v>
      </c>
      <c r="K212" s="71" t="n">
        <f aca="false">'Loan Tape'!$BB189</f>
        <v>0</v>
      </c>
      <c r="L212" s="56" t="n">
        <f aca="false">'Loan CF'!C496</f>
        <v>0</v>
      </c>
      <c r="M212" s="70" t="n">
        <f aca="false">'Loan Tape'!$AS189*'Loan Tape'!$AN189</f>
        <v>0</v>
      </c>
      <c r="N212" s="70" t="n">
        <f aca="false">IFERROR(SUMPRODUCT(('Loan CF'!$C$916:$L$916-0.5)*('Loan CF'!C1102:L1102+'Loan CF'!C1405:L1405+'Loan CF'!C1708:L1708))/(SUM('Loan CF'!C1102:L1102)+SUM('Loan CF'!C1405:L1405)+SUM('Loan CF'!C1708:L1708)),0)</f>
        <v>0</v>
      </c>
      <c r="O212" s="71" t="n">
        <f aca="false">SUM('Loan CF'!C2011:L2011)</f>
        <v>0</v>
      </c>
      <c r="P212" s="71" t="n">
        <f aca="false">SUM('Loan CF'!C1102:L1102)+SUM('Loan CF'!C1405:L1405)+SUM('Loan CF'!C1708:L1708)</f>
        <v>0</v>
      </c>
      <c r="Q212" s="71" t="n">
        <f aca="false">SUM('Loan CF'!C2314:L2314)</f>
        <v>0</v>
      </c>
      <c r="R212" s="71" t="n">
        <f aca="false">SUM('Loan CF'!C1405:L1405)*Prepay_Pen</f>
        <v>0</v>
      </c>
      <c r="S212" s="71" t="n">
        <f aca="false">'Loan CF'!$C2617</f>
        <v>0</v>
      </c>
      <c r="T212" s="71" t="n">
        <f aca="false">SUM(O212:S212)</f>
        <v>0</v>
      </c>
      <c r="U212" s="71" t="n">
        <f aca="false">SUM('Loan CF'!C799:L799)</f>
        <v>0</v>
      </c>
      <c r="V212" s="71" t="n">
        <f aca="false">U212*Sev</f>
        <v>0</v>
      </c>
      <c r="W212" s="71" t="n">
        <f aca="false">T212-K212</f>
        <v>0</v>
      </c>
      <c r="X212" s="109" t="str">
        <f aca="false">IFERROR(IRR('Loan CF'!C2920:M2920),"-")</f>
        <v>-</v>
      </c>
      <c r="Y212" s="110" t="str">
        <f aca="false">IFERROR(T212/K212,"-")</f>
        <v>-</v>
      </c>
      <c r="Z212" s="71" t="n">
        <f aca="false">'Loan Tape'!$BC189</f>
        <v>0</v>
      </c>
      <c r="AA212" s="71" t="n">
        <f aca="false">'Loan Tape'!$BE189</f>
        <v>0</v>
      </c>
      <c r="AB212" s="71" t="n">
        <f aca="false">SUM('Loan CF'!D3829:M3829)-AA212</f>
        <v>0</v>
      </c>
      <c r="AC212" s="109" t="str">
        <f aca="false">IFERROR(IRR('Loan CF'!C3829:M3829),"-")</f>
        <v>-</v>
      </c>
      <c r="AD212" s="110" t="str">
        <f aca="false">IFERROR(SUM('Loan CF'!D3829:M3829)/AA212,"-")</f>
        <v>-</v>
      </c>
    </row>
    <row r="213" customFormat="false" ht="15" hidden="false" customHeight="false" outlineLevel="0" collapsed="false">
      <c r="B213" s="102" t="str">
        <f aca="false">IF('Loan Tape'!$A190="","",'Loan Tape'!$A190)</f>
        <v/>
      </c>
      <c r="C213" s="102" t="str">
        <f aca="false">IF('Loan Tape'!$A190="","",'Loan Tape'!$B190)</f>
        <v/>
      </c>
      <c r="D213" s="102" t="str">
        <f aca="false">IF('Loan Tape'!$A190="","",'Loan Tape'!$C190)</f>
        <v/>
      </c>
      <c r="E213" s="102" t="str">
        <f aca="false">IF('Loan Tape'!$A190="","",'Loan Tape'!$D190)</f>
        <v/>
      </c>
      <c r="F213" s="102" t="str">
        <f aca="false">IF('Loan Tape'!$A190="","",'Loan Tape'!$E190)</f>
        <v/>
      </c>
      <c r="G213" s="103" t="n">
        <f aca="false">'Loan Tape'!$AN190</f>
        <v>0</v>
      </c>
      <c r="H213" s="99" t="n">
        <f aca="false">'Loan Tape'!$R190*'Loan Tape'!$AN190</f>
        <v>0</v>
      </c>
      <c r="I213" s="104" t="n">
        <f aca="false">'Loan Tape'!$AO190</f>
        <v>0</v>
      </c>
      <c r="J213" s="99" t="n">
        <f aca="false">'Loan Tape'!$AY190</f>
        <v>0</v>
      </c>
      <c r="K213" s="99" t="n">
        <f aca="false">'Loan Tape'!$BB190</f>
        <v>0</v>
      </c>
      <c r="L213" s="104" t="n">
        <f aca="false">'Loan CF'!C497</f>
        <v>0</v>
      </c>
      <c r="M213" s="105" t="n">
        <f aca="false">'Loan Tape'!$AS190*'Loan Tape'!$AN190</f>
        <v>0</v>
      </c>
      <c r="N213" s="105" t="n">
        <f aca="false">IFERROR(SUMPRODUCT(('Loan CF'!$C$916:$L$916-0.5)*('Loan CF'!C1103:L1103+'Loan CF'!C1406:L1406+'Loan CF'!C1709:L1709))/(SUM('Loan CF'!C1103:L1103)+SUM('Loan CF'!C1406:L1406)+SUM('Loan CF'!C1709:L1709)),0)</f>
        <v>0</v>
      </c>
      <c r="O213" s="99" t="n">
        <f aca="false">SUM('Loan CF'!C2012:L2012)</f>
        <v>0</v>
      </c>
      <c r="P213" s="99" t="n">
        <f aca="false">SUM('Loan CF'!C1103:L1103)+SUM('Loan CF'!C1406:L1406)+SUM('Loan CF'!C1709:L1709)</f>
        <v>0</v>
      </c>
      <c r="Q213" s="99" t="n">
        <f aca="false">SUM('Loan CF'!C2315:L2315)</f>
        <v>0</v>
      </c>
      <c r="R213" s="99" t="n">
        <f aca="false">SUM('Loan CF'!C1406:L1406)*Prepay_Pen</f>
        <v>0</v>
      </c>
      <c r="S213" s="99" t="n">
        <f aca="false">'Loan CF'!$C2618</f>
        <v>0</v>
      </c>
      <c r="T213" s="99" t="n">
        <f aca="false">SUM(O213:S213)</f>
        <v>0</v>
      </c>
      <c r="U213" s="99" t="n">
        <f aca="false">SUM('Loan CF'!C800:L800)</f>
        <v>0</v>
      </c>
      <c r="V213" s="99" t="n">
        <f aca="false">U213*Sev</f>
        <v>0</v>
      </c>
      <c r="W213" s="99" t="n">
        <f aca="false">T213-K213</f>
        <v>0</v>
      </c>
      <c r="X213" s="106" t="str">
        <f aca="false">IFERROR(IRR('Loan CF'!C2921:M2921),"-")</f>
        <v>-</v>
      </c>
      <c r="Y213" s="107" t="str">
        <f aca="false">IFERROR(T213/K213,"-")</f>
        <v>-</v>
      </c>
      <c r="Z213" s="99" t="n">
        <f aca="false">'Loan Tape'!$BC190</f>
        <v>0</v>
      </c>
      <c r="AA213" s="99" t="n">
        <f aca="false">'Loan Tape'!$BE190</f>
        <v>0</v>
      </c>
      <c r="AB213" s="99" t="n">
        <f aca="false">SUM('Loan CF'!D3830:M3830)-AA213</f>
        <v>0</v>
      </c>
      <c r="AC213" s="106" t="str">
        <f aca="false">IFERROR(IRR('Loan CF'!C3830:M3830),"-")</f>
        <v>-</v>
      </c>
      <c r="AD213" s="107" t="str">
        <f aca="false">IFERROR(SUM('Loan CF'!D3830:M3830)/AA213,"-")</f>
        <v>-</v>
      </c>
    </row>
    <row r="214" customFormat="false" ht="15" hidden="false" customHeight="false" outlineLevel="0" collapsed="false">
      <c r="B214" s="108" t="str">
        <f aca="false">IF('Loan Tape'!$A191="","",'Loan Tape'!$A191)</f>
        <v/>
      </c>
      <c r="C214" s="108" t="str">
        <f aca="false">IF('Loan Tape'!$A191="","",'Loan Tape'!$B191)</f>
        <v/>
      </c>
      <c r="D214" s="108" t="str">
        <f aca="false">IF('Loan Tape'!$A191="","",'Loan Tape'!$C191)</f>
        <v/>
      </c>
      <c r="E214" s="108" t="str">
        <f aca="false">IF('Loan Tape'!$A191="","",'Loan Tape'!$D191)</f>
        <v/>
      </c>
      <c r="F214" s="108" t="str">
        <f aca="false">IF('Loan Tape'!$A191="","",'Loan Tape'!$E191)</f>
        <v/>
      </c>
      <c r="G214" s="26" t="n">
        <f aca="false">'Loan Tape'!$AN191</f>
        <v>0</v>
      </c>
      <c r="H214" s="71" t="n">
        <f aca="false">'Loan Tape'!$R191*'Loan Tape'!$AN191</f>
        <v>0</v>
      </c>
      <c r="I214" s="56" t="n">
        <f aca="false">'Loan Tape'!$AO191</f>
        <v>0</v>
      </c>
      <c r="J214" s="71" t="n">
        <f aca="false">'Loan Tape'!$AY191</f>
        <v>0</v>
      </c>
      <c r="K214" s="71" t="n">
        <f aca="false">'Loan Tape'!$BB191</f>
        <v>0</v>
      </c>
      <c r="L214" s="56" t="n">
        <f aca="false">'Loan CF'!C498</f>
        <v>0</v>
      </c>
      <c r="M214" s="70" t="n">
        <f aca="false">'Loan Tape'!$AS191*'Loan Tape'!$AN191</f>
        <v>0</v>
      </c>
      <c r="N214" s="70" t="n">
        <f aca="false">IFERROR(SUMPRODUCT(('Loan CF'!$C$916:$L$916-0.5)*('Loan CF'!C1104:L1104+'Loan CF'!C1407:L1407+'Loan CF'!C1710:L1710))/(SUM('Loan CF'!C1104:L1104)+SUM('Loan CF'!C1407:L1407)+SUM('Loan CF'!C1710:L1710)),0)</f>
        <v>0</v>
      </c>
      <c r="O214" s="71" t="n">
        <f aca="false">SUM('Loan CF'!C2013:L2013)</f>
        <v>0</v>
      </c>
      <c r="P214" s="71" t="n">
        <f aca="false">SUM('Loan CF'!C1104:L1104)+SUM('Loan CF'!C1407:L1407)+SUM('Loan CF'!C1710:L1710)</f>
        <v>0</v>
      </c>
      <c r="Q214" s="71" t="n">
        <f aca="false">SUM('Loan CF'!C2316:L2316)</f>
        <v>0</v>
      </c>
      <c r="R214" s="71" t="n">
        <f aca="false">SUM('Loan CF'!C1407:L1407)*Prepay_Pen</f>
        <v>0</v>
      </c>
      <c r="S214" s="71" t="n">
        <f aca="false">'Loan CF'!$C2619</f>
        <v>0</v>
      </c>
      <c r="T214" s="71" t="n">
        <f aca="false">SUM(O214:S214)</f>
        <v>0</v>
      </c>
      <c r="U214" s="71" t="n">
        <f aca="false">SUM('Loan CF'!C801:L801)</f>
        <v>0</v>
      </c>
      <c r="V214" s="71" t="n">
        <f aca="false">U214*Sev</f>
        <v>0</v>
      </c>
      <c r="W214" s="71" t="n">
        <f aca="false">T214-K214</f>
        <v>0</v>
      </c>
      <c r="X214" s="109" t="str">
        <f aca="false">IFERROR(IRR('Loan CF'!C2922:M2922),"-")</f>
        <v>-</v>
      </c>
      <c r="Y214" s="110" t="str">
        <f aca="false">IFERROR(T214/K214,"-")</f>
        <v>-</v>
      </c>
      <c r="Z214" s="71" t="n">
        <f aca="false">'Loan Tape'!$BC191</f>
        <v>0</v>
      </c>
      <c r="AA214" s="71" t="n">
        <f aca="false">'Loan Tape'!$BE191</f>
        <v>0</v>
      </c>
      <c r="AB214" s="71" t="n">
        <f aca="false">SUM('Loan CF'!D3831:M3831)-AA214</f>
        <v>0</v>
      </c>
      <c r="AC214" s="109" t="str">
        <f aca="false">IFERROR(IRR('Loan CF'!C3831:M3831),"-")</f>
        <v>-</v>
      </c>
      <c r="AD214" s="110" t="str">
        <f aca="false">IFERROR(SUM('Loan CF'!D3831:M3831)/AA214,"-")</f>
        <v>-</v>
      </c>
    </row>
    <row r="215" customFormat="false" ht="15" hidden="false" customHeight="false" outlineLevel="0" collapsed="false">
      <c r="B215" s="102" t="str">
        <f aca="false">IF('Loan Tape'!$A192="","",'Loan Tape'!$A192)</f>
        <v/>
      </c>
      <c r="C215" s="102" t="str">
        <f aca="false">IF('Loan Tape'!$A192="","",'Loan Tape'!$B192)</f>
        <v/>
      </c>
      <c r="D215" s="102" t="str">
        <f aca="false">IF('Loan Tape'!$A192="","",'Loan Tape'!$C192)</f>
        <v/>
      </c>
      <c r="E215" s="102" t="str">
        <f aca="false">IF('Loan Tape'!$A192="","",'Loan Tape'!$D192)</f>
        <v/>
      </c>
      <c r="F215" s="102" t="str">
        <f aca="false">IF('Loan Tape'!$A192="","",'Loan Tape'!$E192)</f>
        <v/>
      </c>
      <c r="G215" s="103" t="n">
        <f aca="false">'Loan Tape'!$AN192</f>
        <v>0</v>
      </c>
      <c r="H215" s="99" t="n">
        <f aca="false">'Loan Tape'!$R192*'Loan Tape'!$AN192</f>
        <v>0</v>
      </c>
      <c r="I215" s="104" t="n">
        <f aca="false">'Loan Tape'!$AO192</f>
        <v>0</v>
      </c>
      <c r="J215" s="99" t="n">
        <f aca="false">'Loan Tape'!$AY192</f>
        <v>0</v>
      </c>
      <c r="K215" s="99" t="n">
        <f aca="false">'Loan Tape'!$BB192</f>
        <v>0</v>
      </c>
      <c r="L215" s="104" t="n">
        <f aca="false">'Loan CF'!C499</f>
        <v>0</v>
      </c>
      <c r="M215" s="105" t="n">
        <f aca="false">'Loan Tape'!$AS192*'Loan Tape'!$AN192</f>
        <v>0</v>
      </c>
      <c r="N215" s="105" t="n">
        <f aca="false">IFERROR(SUMPRODUCT(('Loan CF'!$C$916:$L$916-0.5)*('Loan CF'!C1105:L1105+'Loan CF'!C1408:L1408+'Loan CF'!C1711:L1711))/(SUM('Loan CF'!C1105:L1105)+SUM('Loan CF'!C1408:L1408)+SUM('Loan CF'!C1711:L1711)),0)</f>
        <v>0</v>
      </c>
      <c r="O215" s="99" t="n">
        <f aca="false">SUM('Loan CF'!C2014:L2014)</f>
        <v>0</v>
      </c>
      <c r="P215" s="99" t="n">
        <f aca="false">SUM('Loan CF'!C1105:L1105)+SUM('Loan CF'!C1408:L1408)+SUM('Loan CF'!C1711:L1711)</f>
        <v>0</v>
      </c>
      <c r="Q215" s="99" t="n">
        <f aca="false">SUM('Loan CF'!C2317:L2317)</f>
        <v>0</v>
      </c>
      <c r="R215" s="99" t="n">
        <f aca="false">SUM('Loan CF'!C1408:L1408)*Prepay_Pen</f>
        <v>0</v>
      </c>
      <c r="S215" s="99" t="n">
        <f aca="false">'Loan CF'!$C2620</f>
        <v>0</v>
      </c>
      <c r="T215" s="99" t="n">
        <f aca="false">SUM(O215:S215)</f>
        <v>0</v>
      </c>
      <c r="U215" s="99" t="n">
        <f aca="false">SUM('Loan CF'!C802:L802)</f>
        <v>0</v>
      </c>
      <c r="V215" s="99" t="n">
        <f aca="false">U215*Sev</f>
        <v>0</v>
      </c>
      <c r="W215" s="99" t="n">
        <f aca="false">T215-K215</f>
        <v>0</v>
      </c>
      <c r="X215" s="106" t="str">
        <f aca="false">IFERROR(IRR('Loan CF'!C2923:M2923),"-")</f>
        <v>-</v>
      </c>
      <c r="Y215" s="107" t="str">
        <f aca="false">IFERROR(T215/K215,"-")</f>
        <v>-</v>
      </c>
      <c r="Z215" s="99" t="n">
        <f aca="false">'Loan Tape'!$BC192</f>
        <v>0</v>
      </c>
      <c r="AA215" s="99" t="n">
        <f aca="false">'Loan Tape'!$BE192</f>
        <v>0</v>
      </c>
      <c r="AB215" s="99" t="n">
        <f aca="false">SUM('Loan CF'!D3832:M3832)-AA215</f>
        <v>0</v>
      </c>
      <c r="AC215" s="106" t="str">
        <f aca="false">IFERROR(IRR('Loan CF'!C3832:M3832),"-")</f>
        <v>-</v>
      </c>
      <c r="AD215" s="107" t="str">
        <f aca="false">IFERROR(SUM('Loan CF'!D3832:M3832)/AA215,"-")</f>
        <v>-</v>
      </c>
    </row>
    <row r="216" customFormat="false" ht="15" hidden="false" customHeight="false" outlineLevel="0" collapsed="false">
      <c r="B216" s="108" t="str">
        <f aca="false">IF('Loan Tape'!$A193="","",'Loan Tape'!$A193)</f>
        <v/>
      </c>
      <c r="C216" s="108" t="str">
        <f aca="false">IF('Loan Tape'!$A193="","",'Loan Tape'!$B193)</f>
        <v/>
      </c>
      <c r="D216" s="108" t="str">
        <f aca="false">IF('Loan Tape'!$A193="","",'Loan Tape'!$C193)</f>
        <v/>
      </c>
      <c r="E216" s="108" t="str">
        <f aca="false">IF('Loan Tape'!$A193="","",'Loan Tape'!$D193)</f>
        <v/>
      </c>
      <c r="F216" s="108" t="str">
        <f aca="false">IF('Loan Tape'!$A193="","",'Loan Tape'!$E193)</f>
        <v/>
      </c>
      <c r="G216" s="26" t="n">
        <f aca="false">'Loan Tape'!$AN193</f>
        <v>0</v>
      </c>
      <c r="H216" s="71" t="n">
        <f aca="false">'Loan Tape'!$R193*'Loan Tape'!$AN193</f>
        <v>0</v>
      </c>
      <c r="I216" s="56" t="n">
        <f aca="false">'Loan Tape'!$AO193</f>
        <v>0</v>
      </c>
      <c r="J216" s="71" t="n">
        <f aca="false">'Loan Tape'!$AY193</f>
        <v>0</v>
      </c>
      <c r="K216" s="71" t="n">
        <f aca="false">'Loan Tape'!$BB193</f>
        <v>0</v>
      </c>
      <c r="L216" s="56" t="n">
        <f aca="false">'Loan CF'!C500</f>
        <v>0</v>
      </c>
      <c r="M216" s="70" t="n">
        <f aca="false">'Loan Tape'!$AS193*'Loan Tape'!$AN193</f>
        <v>0</v>
      </c>
      <c r="N216" s="70" t="n">
        <f aca="false">IFERROR(SUMPRODUCT(('Loan CF'!$C$916:$L$916-0.5)*('Loan CF'!C1106:L1106+'Loan CF'!C1409:L1409+'Loan CF'!C1712:L1712))/(SUM('Loan CF'!C1106:L1106)+SUM('Loan CF'!C1409:L1409)+SUM('Loan CF'!C1712:L1712)),0)</f>
        <v>0</v>
      </c>
      <c r="O216" s="71" t="n">
        <f aca="false">SUM('Loan CF'!C2015:L2015)</f>
        <v>0</v>
      </c>
      <c r="P216" s="71" t="n">
        <f aca="false">SUM('Loan CF'!C1106:L1106)+SUM('Loan CF'!C1409:L1409)+SUM('Loan CF'!C1712:L1712)</f>
        <v>0</v>
      </c>
      <c r="Q216" s="71" t="n">
        <f aca="false">SUM('Loan CF'!C2318:L2318)</f>
        <v>0</v>
      </c>
      <c r="R216" s="71" t="n">
        <f aca="false">SUM('Loan CF'!C1409:L1409)*Prepay_Pen</f>
        <v>0</v>
      </c>
      <c r="S216" s="71" t="n">
        <f aca="false">'Loan CF'!$C2621</f>
        <v>0</v>
      </c>
      <c r="T216" s="71" t="n">
        <f aca="false">SUM(O216:S216)</f>
        <v>0</v>
      </c>
      <c r="U216" s="71" t="n">
        <f aca="false">SUM('Loan CF'!C803:L803)</f>
        <v>0</v>
      </c>
      <c r="V216" s="71" t="n">
        <f aca="false">U216*Sev</f>
        <v>0</v>
      </c>
      <c r="W216" s="71" t="n">
        <f aca="false">T216-K216</f>
        <v>0</v>
      </c>
      <c r="X216" s="109" t="str">
        <f aca="false">IFERROR(IRR('Loan CF'!C2924:M2924),"-")</f>
        <v>-</v>
      </c>
      <c r="Y216" s="110" t="str">
        <f aca="false">IFERROR(T216/K216,"-")</f>
        <v>-</v>
      </c>
      <c r="Z216" s="71" t="n">
        <f aca="false">'Loan Tape'!$BC193</f>
        <v>0</v>
      </c>
      <c r="AA216" s="71" t="n">
        <f aca="false">'Loan Tape'!$BE193</f>
        <v>0</v>
      </c>
      <c r="AB216" s="71" t="n">
        <f aca="false">SUM('Loan CF'!D3833:M3833)-AA216</f>
        <v>0</v>
      </c>
      <c r="AC216" s="109" t="str">
        <f aca="false">IFERROR(IRR('Loan CF'!C3833:M3833),"-")</f>
        <v>-</v>
      </c>
      <c r="AD216" s="110" t="str">
        <f aca="false">IFERROR(SUM('Loan CF'!D3833:M3833)/AA216,"-")</f>
        <v>-</v>
      </c>
    </row>
    <row r="217" customFormat="false" ht="15" hidden="false" customHeight="false" outlineLevel="0" collapsed="false">
      <c r="B217" s="102" t="str">
        <f aca="false">IF('Loan Tape'!$A194="","",'Loan Tape'!$A194)</f>
        <v/>
      </c>
      <c r="C217" s="102" t="str">
        <f aca="false">IF('Loan Tape'!$A194="","",'Loan Tape'!$B194)</f>
        <v/>
      </c>
      <c r="D217" s="102" t="str">
        <f aca="false">IF('Loan Tape'!$A194="","",'Loan Tape'!$C194)</f>
        <v/>
      </c>
      <c r="E217" s="102" t="str">
        <f aca="false">IF('Loan Tape'!$A194="","",'Loan Tape'!$D194)</f>
        <v/>
      </c>
      <c r="F217" s="102" t="str">
        <f aca="false">IF('Loan Tape'!$A194="","",'Loan Tape'!$E194)</f>
        <v/>
      </c>
      <c r="G217" s="103" t="n">
        <f aca="false">'Loan Tape'!$AN194</f>
        <v>0</v>
      </c>
      <c r="H217" s="99" t="n">
        <f aca="false">'Loan Tape'!$R194*'Loan Tape'!$AN194</f>
        <v>0</v>
      </c>
      <c r="I217" s="104" t="n">
        <f aca="false">'Loan Tape'!$AO194</f>
        <v>0</v>
      </c>
      <c r="J217" s="99" t="n">
        <f aca="false">'Loan Tape'!$AY194</f>
        <v>0</v>
      </c>
      <c r="K217" s="99" t="n">
        <f aca="false">'Loan Tape'!$BB194</f>
        <v>0</v>
      </c>
      <c r="L217" s="104" t="n">
        <f aca="false">'Loan CF'!C501</f>
        <v>0</v>
      </c>
      <c r="M217" s="105" t="n">
        <f aca="false">'Loan Tape'!$AS194*'Loan Tape'!$AN194</f>
        <v>0</v>
      </c>
      <c r="N217" s="105" t="n">
        <f aca="false">IFERROR(SUMPRODUCT(('Loan CF'!$C$916:$L$916-0.5)*('Loan CF'!C1107:L1107+'Loan CF'!C1410:L1410+'Loan CF'!C1713:L1713))/(SUM('Loan CF'!C1107:L1107)+SUM('Loan CF'!C1410:L1410)+SUM('Loan CF'!C1713:L1713)),0)</f>
        <v>0</v>
      </c>
      <c r="O217" s="99" t="n">
        <f aca="false">SUM('Loan CF'!C2016:L2016)</f>
        <v>0</v>
      </c>
      <c r="P217" s="99" t="n">
        <f aca="false">SUM('Loan CF'!C1107:L1107)+SUM('Loan CF'!C1410:L1410)+SUM('Loan CF'!C1713:L1713)</f>
        <v>0</v>
      </c>
      <c r="Q217" s="99" t="n">
        <f aca="false">SUM('Loan CF'!C2319:L2319)</f>
        <v>0</v>
      </c>
      <c r="R217" s="99" t="n">
        <f aca="false">SUM('Loan CF'!C1410:L1410)*Prepay_Pen</f>
        <v>0</v>
      </c>
      <c r="S217" s="99" t="n">
        <f aca="false">'Loan CF'!$C2622</f>
        <v>0</v>
      </c>
      <c r="T217" s="99" t="n">
        <f aca="false">SUM(O217:S217)</f>
        <v>0</v>
      </c>
      <c r="U217" s="99" t="n">
        <f aca="false">SUM('Loan CF'!C804:L804)</f>
        <v>0</v>
      </c>
      <c r="V217" s="99" t="n">
        <f aca="false">U217*Sev</f>
        <v>0</v>
      </c>
      <c r="W217" s="99" t="n">
        <f aca="false">T217-K217</f>
        <v>0</v>
      </c>
      <c r="X217" s="106" t="str">
        <f aca="false">IFERROR(IRR('Loan CF'!C2925:M2925),"-")</f>
        <v>-</v>
      </c>
      <c r="Y217" s="107" t="str">
        <f aca="false">IFERROR(T217/K217,"-")</f>
        <v>-</v>
      </c>
      <c r="Z217" s="99" t="n">
        <f aca="false">'Loan Tape'!$BC194</f>
        <v>0</v>
      </c>
      <c r="AA217" s="99" t="n">
        <f aca="false">'Loan Tape'!$BE194</f>
        <v>0</v>
      </c>
      <c r="AB217" s="99" t="n">
        <f aca="false">SUM('Loan CF'!D3834:M3834)-AA217</f>
        <v>0</v>
      </c>
      <c r="AC217" s="106" t="str">
        <f aca="false">IFERROR(IRR('Loan CF'!C3834:M3834),"-")</f>
        <v>-</v>
      </c>
      <c r="AD217" s="107" t="str">
        <f aca="false">IFERROR(SUM('Loan CF'!D3834:M3834)/AA217,"-")</f>
        <v>-</v>
      </c>
    </row>
    <row r="218" customFormat="false" ht="15" hidden="false" customHeight="false" outlineLevel="0" collapsed="false">
      <c r="B218" s="108" t="str">
        <f aca="false">IF('Loan Tape'!$A195="","",'Loan Tape'!$A195)</f>
        <v/>
      </c>
      <c r="C218" s="108" t="str">
        <f aca="false">IF('Loan Tape'!$A195="","",'Loan Tape'!$B195)</f>
        <v/>
      </c>
      <c r="D218" s="108" t="str">
        <f aca="false">IF('Loan Tape'!$A195="","",'Loan Tape'!$C195)</f>
        <v/>
      </c>
      <c r="E218" s="108" t="str">
        <f aca="false">IF('Loan Tape'!$A195="","",'Loan Tape'!$D195)</f>
        <v/>
      </c>
      <c r="F218" s="108" t="str">
        <f aca="false">IF('Loan Tape'!$A195="","",'Loan Tape'!$E195)</f>
        <v/>
      </c>
      <c r="G218" s="26" t="n">
        <f aca="false">'Loan Tape'!$AN195</f>
        <v>0</v>
      </c>
      <c r="H218" s="71" t="n">
        <f aca="false">'Loan Tape'!$R195*'Loan Tape'!$AN195</f>
        <v>0</v>
      </c>
      <c r="I218" s="56" t="n">
        <f aca="false">'Loan Tape'!$AO195</f>
        <v>0</v>
      </c>
      <c r="J218" s="71" t="n">
        <f aca="false">'Loan Tape'!$AY195</f>
        <v>0</v>
      </c>
      <c r="K218" s="71" t="n">
        <f aca="false">'Loan Tape'!$BB195</f>
        <v>0</v>
      </c>
      <c r="L218" s="56" t="n">
        <f aca="false">'Loan CF'!C502</f>
        <v>0</v>
      </c>
      <c r="M218" s="70" t="n">
        <f aca="false">'Loan Tape'!$AS195*'Loan Tape'!$AN195</f>
        <v>0</v>
      </c>
      <c r="N218" s="70" t="n">
        <f aca="false">IFERROR(SUMPRODUCT(('Loan CF'!$C$916:$L$916-0.5)*('Loan CF'!C1108:L1108+'Loan CF'!C1411:L1411+'Loan CF'!C1714:L1714))/(SUM('Loan CF'!C1108:L1108)+SUM('Loan CF'!C1411:L1411)+SUM('Loan CF'!C1714:L1714)),0)</f>
        <v>0</v>
      </c>
      <c r="O218" s="71" t="n">
        <f aca="false">SUM('Loan CF'!C2017:L2017)</f>
        <v>0</v>
      </c>
      <c r="P218" s="71" t="n">
        <f aca="false">SUM('Loan CF'!C1108:L1108)+SUM('Loan CF'!C1411:L1411)+SUM('Loan CF'!C1714:L1714)</f>
        <v>0</v>
      </c>
      <c r="Q218" s="71" t="n">
        <f aca="false">SUM('Loan CF'!C2320:L2320)</f>
        <v>0</v>
      </c>
      <c r="R218" s="71" t="n">
        <f aca="false">SUM('Loan CF'!C1411:L1411)*Prepay_Pen</f>
        <v>0</v>
      </c>
      <c r="S218" s="71" t="n">
        <f aca="false">'Loan CF'!$C2623</f>
        <v>0</v>
      </c>
      <c r="T218" s="71" t="n">
        <f aca="false">SUM(O218:S218)</f>
        <v>0</v>
      </c>
      <c r="U218" s="71" t="n">
        <f aca="false">SUM('Loan CF'!C805:L805)</f>
        <v>0</v>
      </c>
      <c r="V218" s="71" t="n">
        <f aca="false">U218*Sev</f>
        <v>0</v>
      </c>
      <c r="W218" s="71" t="n">
        <f aca="false">T218-K218</f>
        <v>0</v>
      </c>
      <c r="X218" s="109" t="str">
        <f aca="false">IFERROR(IRR('Loan CF'!C2926:M2926),"-")</f>
        <v>-</v>
      </c>
      <c r="Y218" s="110" t="str">
        <f aca="false">IFERROR(T218/K218,"-")</f>
        <v>-</v>
      </c>
      <c r="Z218" s="71" t="n">
        <f aca="false">'Loan Tape'!$BC195</f>
        <v>0</v>
      </c>
      <c r="AA218" s="71" t="n">
        <f aca="false">'Loan Tape'!$BE195</f>
        <v>0</v>
      </c>
      <c r="AB218" s="71" t="n">
        <f aca="false">SUM('Loan CF'!D3835:M3835)-AA218</f>
        <v>0</v>
      </c>
      <c r="AC218" s="109" t="str">
        <f aca="false">IFERROR(IRR('Loan CF'!C3835:M3835),"-")</f>
        <v>-</v>
      </c>
      <c r="AD218" s="110" t="str">
        <f aca="false">IFERROR(SUM('Loan CF'!D3835:M3835)/AA218,"-")</f>
        <v>-</v>
      </c>
    </row>
    <row r="219" customFormat="false" ht="15" hidden="false" customHeight="false" outlineLevel="0" collapsed="false">
      <c r="B219" s="102" t="str">
        <f aca="false">IF('Loan Tape'!$A196="","",'Loan Tape'!$A196)</f>
        <v/>
      </c>
      <c r="C219" s="102" t="str">
        <f aca="false">IF('Loan Tape'!$A196="","",'Loan Tape'!$B196)</f>
        <v/>
      </c>
      <c r="D219" s="102" t="str">
        <f aca="false">IF('Loan Tape'!$A196="","",'Loan Tape'!$C196)</f>
        <v/>
      </c>
      <c r="E219" s="102" t="str">
        <f aca="false">IF('Loan Tape'!$A196="","",'Loan Tape'!$D196)</f>
        <v/>
      </c>
      <c r="F219" s="102" t="str">
        <f aca="false">IF('Loan Tape'!$A196="","",'Loan Tape'!$E196)</f>
        <v/>
      </c>
      <c r="G219" s="103" t="n">
        <f aca="false">'Loan Tape'!$AN196</f>
        <v>0</v>
      </c>
      <c r="H219" s="99" t="n">
        <f aca="false">'Loan Tape'!$R196*'Loan Tape'!$AN196</f>
        <v>0</v>
      </c>
      <c r="I219" s="104" t="n">
        <f aca="false">'Loan Tape'!$AO196</f>
        <v>0</v>
      </c>
      <c r="J219" s="99" t="n">
        <f aca="false">'Loan Tape'!$AY196</f>
        <v>0</v>
      </c>
      <c r="K219" s="99" t="n">
        <f aca="false">'Loan Tape'!$BB196</f>
        <v>0</v>
      </c>
      <c r="L219" s="104" t="n">
        <f aca="false">'Loan CF'!C503</f>
        <v>0</v>
      </c>
      <c r="M219" s="105" t="n">
        <f aca="false">'Loan Tape'!$AS196*'Loan Tape'!$AN196</f>
        <v>0</v>
      </c>
      <c r="N219" s="105" t="n">
        <f aca="false">IFERROR(SUMPRODUCT(('Loan CF'!$C$916:$L$916-0.5)*('Loan CF'!C1109:L1109+'Loan CF'!C1412:L1412+'Loan CF'!C1715:L1715))/(SUM('Loan CF'!C1109:L1109)+SUM('Loan CF'!C1412:L1412)+SUM('Loan CF'!C1715:L1715)),0)</f>
        <v>0</v>
      </c>
      <c r="O219" s="99" t="n">
        <f aca="false">SUM('Loan CF'!C2018:L2018)</f>
        <v>0</v>
      </c>
      <c r="P219" s="99" t="n">
        <f aca="false">SUM('Loan CF'!C1109:L1109)+SUM('Loan CF'!C1412:L1412)+SUM('Loan CF'!C1715:L1715)</f>
        <v>0</v>
      </c>
      <c r="Q219" s="99" t="n">
        <f aca="false">SUM('Loan CF'!C2321:L2321)</f>
        <v>0</v>
      </c>
      <c r="R219" s="99" t="n">
        <f aca="false">SUM('Loan CF'!C1412:L1412)*Prepay_Pen</f>
        <v>0</v>
      </c>
      <c r="S219" s="99" t="n">
        <f aca="false">'Loan CF'!$C2624</f>
        <v>0</v>
      </c>
      <c r="T219" s="99" t="n">
        <f aca="false">SUM(O219:S219)</f>
        <v>0</v>
      </c>
      <c r="U219" s="99" t="n">
        <f aca="false">SUM('Loan CF'!C806:L806)</f>
        <v>0</v>
      </c>
      <c r="V219" s="99" t="n">
        <f aca="false">U219*Sev</f>
        <v>0</v>
      </c>
      <c r="W219" s="99" t="n">
        <f aca="false">T219-K219</f>
        <v>0</v>
      </c>
      <c r="X219" s="106" t="str">
        <f aca="false">IFERROR(IRR('Loan CF'!C2927:M2927),"-")</f>
        <v>-</v>
      </c>
      <c r="Y219" s="107" t="str">
        <f aca="false">IFERROR(T219/K219,"-")</f>
        <v>-</v>
      </c>
      <c r="Z219" s="99" t="n">
        <f aca="false">'Loan Tape'!$BC196</f>
        <v>0</v>
      </c>
      <c r="AA219" s="99" t="n">
        <f aca="false">'Loan Tape'!$BE196</f>
        <v>0</v>
      </c>
      <c r="AB219" s="99" t="n">
        <f aca="false">SUM('Loan CF'!D3836:M3836)-AA219</f>
        <v>0</v>
      </c>
      <c r="AC219" s="106" t="str">
        <f aca="false">IFERROR(IRR('Loan CF'!C3836:M3836),"-")</f>
        <v>-</v>
      </c>
      <c r="AD219" s="107" t="str">
        <f aca="false">IFERROR(SUM('Loan CF'!D3836:M3836)/AA219,"-")</f>
        <v>-</v>
      </c>
    </row>
    <row r="220" customFormat="false" ht="15" hidden="false" customHeight="false" outlineLevel="0" collapsed="false">
      <c r="B220" s="108" t="str">
        <f aca="false">IF('Loan Tape'!$A197="","",'Loan Tape'!$A197)</f>
        <v/>
      </c>
      <c r="C220" s="108" t="str">
        <f aca="false">IF('Loan Tape'!$A197="","",'Loan Tape'!$B197)</f>
        <v/>
      </c>
      <c r="D220" s="108" t="str">
        <f aca="false">IF('Loan Tape'!$A197="","",'Loan Tape'!$C197)</f>
        <v/>
      </c>
      <c r="E220" s="108" t="str">
        <f aca="false">IF('Loan Tape'!$A197="","",'Loan Tape'!$D197)</f>
        <v/>
      </c>
      <c r="F220" s="108" t="str">
        <f aca="false">IF('Loan Tape'!$A197="","",'Loan Tape'!$E197)</f>
        <v/>
      </c>
      <c r="G220" s="26" t="n">
        <f aca="false">'Loan Tape'!$AN197</f>
        <v>0</v>
      </c>
      <c r="H220" s="71" t="n">
        <f aca="false">'Loan Tape'!$R197*'Loan Tape'!$AN197</f>
        <v>0</v>
      </c>
      <c r="I220" s="56" t="n">
        <f aca="false">'Loan Tape'!$AO197</f>
        <v>0</v>
      </c>
      <c r="J220" s="71" t="n">
        <f aca="false">'Loan Tape'!$AY197</f>
        <v>0</v>
      </c>
      <c r="K220" s="71" t="n">
        <f aca="false">'Loan Tape'!$BB197</f>
        <v>0</v>
      </c>
      <c r="L220" s="56" t="n">
        <f aca="false">'Loan CF'!C504</f>
        <v>0</v>
      </c>
      <c r="M220" s="70" t="n">
        <f aca="false">'Loan Tape'!$AS197*'Loan Tape'!$AN197</f>
        <v>0</v>
      </c>
      <c r="N220" s="70" t="n">
        <f aca="false">IFERROR(SUMPRODUCT(('Loan CF'!$C$916:$L$916-0.5)*('Loan CF'!C1110:L1110+'Loan CF'!C1413:L1413+'Loan CF'!C1716:L1716))/(SUM('Loan CF'!C1110:L1110)+SUM('Loan CF'!C1413:L1413)+SUM('Loan CF'!C1716:L1716)),0)</f>
        <v>0</v>
      </c>
      <c r="O220" s="71" t="n">
        <f aca="false">SUM('Loan CF'!C2019:L2019)</f>
        <v>0</v>
      </c>
      <c r="P220" s="71" t="n">
        <f aca="false">SUM('Loan CF'!C1110:L1110)+SUM('Loan CF'!C1413:L1413)+SUM('Loan CF'!C1716:L1716)</f>
        <v>0</v>
      </c>
      <c r="Q220" s="71" t="n">
        <f aca="false">SUM('Loan CF'!C2322:L2322)</f>
        <v>0</v>
      </c>
      <c r="R220" s="71" t="n">
        <f aca="false">SUM('Loan CF'!C1413:L1413)*Prepay_Pen</f>
        <v>0</v>
      </c>
      <c r="S220" s="71" t="n">
        <f aca="false">'Loan CF'!$C2625</f>
        <v>0</v>
      </c>
      <c r="T220" s="71" t="n">
        <f aca="false">SUM(O220:S220)</f>
        <v>0</v>
      </c>
      <c r="U220" s="71" t="n">
        <f aca="false">SUM('Loan CF'!C807:L807)</f>
        <v>0</v>
      </c>
      <c r="V220" s="71" t="n">
        <f aca="false">U220*Sev</f>
        <v>0</v>
      </c>
      <c r="W220" s="71" t="n">
        <f aca="false">T220-K220</f>
        <v>0</v>
      </c>
      <c r="X220" s="109" t="str">
        <f aca="false">IFERROR(IRR('Loan CF'!C2928:M2928),"-")</f>
        <v>-</v>
      </c>
      <c r="Y220" s="110" t="str">
        <f aca="false">IFERROR(T220/K220,"-")</f>
        <v>-</v>
      </c>
      <c r="Z220" s="71" t="n">
        <f aca="false">'Loan Tape'!$BC197</f>
        <v>0</v>
      </c>
      <c r="AA220" s="71" t="n">
        <f aca="false">'Loan Tape'!$BE197</f>
        <v>0</v>
      </c>
      <c r="AB220" s="71" t="n">
        <f aca="false">SUM('Loan CF'!D3837:M3837)-AA220</f>
        <v>0</v>
      </c>
      <c r="AC220" s="109" t="str">
        <f aca="false">IFERROR(IRR('Loan CF'!C3837:M3837),"-")</f>
        <v>-</v>
      </c>
      <c r="AD220" s="110" t="str">
        <f aca="false">IFERROR(SUM('Loan CF'!D3837:M3837)/AA220,"-")</f>
        <v>-</v>
      </c>
    </row>
    <row r="221" customFormat="false" ht="15" hidden="false" customHeight="false" outlineLevel="0" collapsed="false">
      <c r="B221" s="102" t="str">
        <f aca="false">IF('Loan Tape'!$A198="","",'Loan Tape'!$A198)</f>
        <v/>
      </c>
      <c r="C221" s="102" t="str">
        <f aca="false">IF('Loan Tape'!$A198="","",'Loan Tape'!$B198)</f>
        <v/>
      </c>
      <c r="D221" s="102" t="str">
        <f aca="false">IF('Loan Tape'!$A198="","",'Loan Tape'!$C198)</f>
        <v/>
      </c>
      <c r="E221" s="102" t="str">
        <f aca="false">IF('Loan Tape'!$A198="","",'Loan Tape'!$D198)</f>
        <v/>
      </c>
      <c r="F221" s="102" t="str">
        <f aca="false">IF('Loan Tape'!$A198="","",'Loan Tape'!$E198)</f>
        <v/>
      </c>
      <c r="G221" s="103" t="n">
        <f aca="false">'Loan Tape'!$AN198</f>
        <v>0</v>
      </c>
      <c r="H221" s="99" t="n">
        <f aca="false">'Loan Tape'!$R198*'Loan Tape'!$AN198</f>
        <v>0</v>
      </c>
      <c r="I221" s="104" t="n">
        <f aca="false">'Loan Tape'!$AO198</f>
        <v>0</v>
      </c>
      <c r="J221" s="99" t="n">
        <f aca="false">'Loan Tape'!$AY198</f>
        <v>0</v>
      </c>
      <c r="K221" s="99" t="n">
        <f aca="false">'Loan Tape'!$BB198</f>
        <v>0</v>
      </c>
      <c r="L221" s="104" t="n">
        <f aca="false">'Loan CF'!C505</f>
        <v>0</v>
      </c>
      <c r="M221" s="105" t="n">
        <f aca="false">'Loan Tape'!$AS198*'Loan Tape'!$AN198</f>
        <v>0</v>
      </c>
      <c r="N221" s="105" t="n">
        <f aca="false">IFERROR(SUMPRODUCT(('Loan CF'!$C$916:$L$916-0.5)*('Loan CF'!C1111:L1111+'Loan CF'!C1414:L1414+'Loan CF'!C1717:L1717))/(SUM('Loan CF'!C1111:L1111)+SUM('Loan CF'!C1414:L1414)+SUM('Loan CF'!C1717:L1717)),0)</f>
        <v>0</v>
      </c>
      <c r="O221" s="99" t="n">
        <f aca="false">SUM('Loan CF'!C2020:L2020)</f>
        <v>0</v>
      </c>
      <c r="P221" s="99" t="n">
        <f aca="false">SUM('Loan CF'!C1111:L1111)+SUM('Loan CF'!C1414:L1414)+SUM('Loan CF'!C1717:L1717)</f>
        <v>0</v>
      </c>
      <c r="Q221" s="99" t="n">
        <f aca="false">SUM('Loan CF'!C2323:L2323)</f>
        <v>0</v>
      </c>
      <c r="R221" s="99" t="n">
        <f aca="false">SUM('Loan CF'!C1414:L1414)*Prepay_Pen</f>
        <v>0</v>
      </c>
      <c r="S221" s="99" t="n">
        <f aca="false">'Loan CF'!$C2626</f>
        <v>0</v>
      </c>
      <c r="T221" s="99" t="n">
        <f aca="false">SUM(O221:S221)</f>
        <v>0</v>
      </c>
      <c r="U221" s="99" t="n">
        <f aca="false">SUM('Loan CF'!C808:L808)</f>
        <v>0</v>
      </c>
      <c r="V221" s="99" t="n">
        <f aca="false">U221*Sev</f>
        <v>0</v>
      </c>
      <c r="W221" s="99" t="n">
        <f aca="false">T221-K221</f>
        <v>0</v>
      </c>
      <c r="X221" s="106" t="str">
        <f aca="false">IFERROR(IRR('Loan CF'!C2929:M2929),"-")</f>
        <v>-</v>
      </c>
      <c r="Y221" s="107" t="str">
        <f aca="false">IFERROR(T221/K221,"-")</f>
        <v>-</v>
      </c>
      <c r="Z221" s="99" t="n">
        <f aca="false">'Loan Tape'!$BC198</f>
        <v>0</v>
      </c>
      <c r="AA221" s="99" t="n">
        <f aca="false">'Loan Tape'!$BE198</f>
        <v>0</v>
      </c>
      <c r="AB221" s="99" t="n">
        <f aca="false">SUM('Loan CF'!D3838:M3838)-AA221</f>
        <v>0</v>
      </c>
      <c r="AC221" s="106" t="str">
        <f aca="false">IFERROR(IRR('Loan CF'!C3838:M3838),"-")</f>
        <v>-</v>
      </c>
      <c r="AD221" s="107" t="str">
        <f aca="false">IFERROR(SUM('Loan CF'!D3838:M3838)/AA221,"-")</f>
        <v>-</v>
      </c>
    </row>
    <row r="222" customFormat="false" ht="15" hidden="false" customHeight="false" outlineLevel="0" collapsed="false">
      <c r="B222" s="108" t="str">
        <f aca="false">IF('Loan Tape'!$A199="","",'Loan Tape'!$A199)</f>
        <v/>
      </c>
      <c r="C222" s="108" t="str">
        <f aca="false">IF('Loan Tape'!$A199="","",'Loan Tape'!$B199)</f>
        <v/>
      </c>
      <c r="D222" s="108" t="str">
        <f aca="false">IF('Loan Tape'!$A199="","",'Loan Tape'!$C199)</f>
        <v/>
      </c>
      <c r="E222" s="108" t="str">
        <f aca="false">IF('Loan Tape'!$A199="","",'Loan Tape'!$D199)</f>
        <v/>
      </c>
      <c r="F222" s="108" t="str">
        <f aca="false">IF('Loan Tape'!$A199="","",'Loan Tape'!$E199)</f>
        <v/>
      </c>
      <c r="G222" s="26" t="n">
        <f aca="false">'Loan Tape'!$AN199</f>
        <v>0</v>
      </c>
      <c r="H222" s="71" t="n">
        <f aca="false">'Loan Tape'!$R199*'Loan Tape'!$AN199</f>
        <v>0</v>
      </c>
      <c r="I222" s="56" t="n">
        <f aca="false">'Loan Tape'!$AO199</f>
        <v>0</v>
      </c>
      <c r="J222" s="71" t="n">
        <f aca="false">'Loan Tape'!$AY199</f>
        <v>0</v>
      </c>
      <c r="K222" s="71" t="n">
        <f aca="false">'Loan Tape'!$BB199</f>
        <v>0</v>
      </c>
      <c r="L222" s="56" t="n">
        <f aca="false">'Loan CF'!C506</f>
        <v>0</v>
      </c>
      <c r="M222" s="70" t="n">
        <f aca="false">'Loan Tape'!$AS199*'Loan Tape'!$AN199</f>
        <v>0</v>
      </c>
      <c r="N222" s="70" t="n">
        <f aca="false">IFERROR(SUMPRODUCT(('Loan CF'!$C$916:$L$916-0.5)*('Loan CF'!C1112:L1112+'Loan CF'!C1415:L1415+'Loan CF'!C1718:L1718))/(SUM('Loan CF'!C1112:L1112)+SUM('Loan CF'!C1415:L1415)+SUM('Loan CF'!C1718:L1718)),0)</f>
        <v>0</v>
      </c>
      <c r="O222" s="71" t="n">
        <f aca="false">SUM('Loan CF'!C2021:L2021)</f>
        <v>0</v>
      </c>
      <c r="P222" s="71" t="n">
        <f aca="false">SUM('Loan CF'!C1112:L1112)+SUM('Loan CF'!C1415:L1415)+SUM('Loan CF'!C1718:L1718)</f>
        <v>0</v>
      </c>
      <c r="Q222" s="71" t="n">
        <f aca="false">SUM('Loan CF'!C2324:L2324)</f>
        <v>0</v>
      </c>
      <c r="R222" s="71" t="n">
        <f aca="false">SUM('Loan CF'!C1415:L1415)*Prepay_Pen</f>
        <v>0</v>
      </c>
      <c r="S222" s="71" t="n">
        <f aca="false">'Loan CF'!$C2627</f>
        <v>0</v>
      </c>
      <c r="T222" s="71" t="n">
        <f aca="false">SUM(O222:S222)</f>
        <v>0</v>
      </c>
      <c r="U222" s="71" t="n">
        <f aca="false">SUM('Loan CF'!C809:L809)</f>
        <v>0</v>
      </c>
      <c r="V222" s="71" t="n">
        <f aca="false">U222*Sev</f>
        <v>0</v>
      </c>
      <c r="W222" s="71" t="n">
        <f aca="false">T222-K222</f>
        <v>0</v>
      </c>
      <c r="X222" s="109" t="str">
        <f aca="false">IFERROR(IRR('Loan CF'!C2930:M2930),"-")</f>
        <v>-</v>
      </c>
      <c r="Y222" s="110" t="str">
        <f aca="false">IFERROR(T222/K222,"-")</f>
        <v>-</v>
      </c>
      <c r="Z222" s="71" t="n">
        <f aca="false">'Loan Tape'!$BC199</f>
        <v>0</v>
      </c>
      <c r="AA222" s="71" t="n">
        <f aca="false">'Loan Tape'!$BE199</f>
        <v>0</v>
      </c>
      <c r="AB222" s="71" t="n">
        <f aca="false">SUM('Loan CF'!D3839:M3839)-AA222</f>
        <v>0</v>
      </c>
      <c r="AC222" s="109" t="str">
        <f aca="false">IFERROR(IRR('Loan CF'!C3839:M3839),"-")</f>
        <v>-</v>
      </c>
      <c r="AD222" s="110" t="str">
        <f aca="false">IFERROR(SUM('Loan CF'!D3839:M3839)/AA222,"-")</f>
        <v>-</v>
      </c>
    </row>
    <row r="223" customFormat="false" ht="15" hidden="false" customHeight="false" outlineLevel="0" collapsed="false">
      <c r="B223" s="102" t="str">
        <f aca="false">IF('Loan Tape'!$A200="","",'Loan Tape'!$A200)</f>
        <v/>
      </c>
      <c r="C223" s="102" t="str">
        <f aca="false">IF('Loan Tape'!$A200="","",'Loan Tape'!$B200)</f>
        <v/>
      </c>
      <c r="D223" s="102" t="str">
        <f aca="false">IF('Loan Tape'!$A200="","",'Loan Tape'!$C200)</f>
        <v/>
      </c>
      <c r="E223" s="102" t="str">
        <f aca="false">IF('Loan Tape'!$A200="","",'Loan Tape'!$D200)</f>
        <v/>
      </c>
      <c r="F223" s="102" t="str">
        <f aca="false">IF('Loan Tape'!$A200="","",'Loan Tape'!$E200)</f>
        <v/>
      </c>
      <c r="G223" s="103" t="n">
        <f aca="false">'Loan Tape'!$AN200</f>
        <v>0</v>
      </c>
      <c r="H223" s="99" t="n">
        <f aca="false">'Loan Tape'!$R200*'Loan Tape'!$AN200</f>
        <v>0</v>
      </c>
      <c r="I223" s="104" t="n">
        <f aca="false">'Loan Tape'!$AO200</f>
        <v>0</v>
      </c>
      <c r="J223" s="99" t="n">
        <f aca="false">'Loan Tape'!$AY200</f>
        <v>0</v>
      </c>
      <c r="K223" s="99" t="n">
        <f aca="false">'Loan Tape'!$BB200</f>
        <v>0</v>
      </c>
      <c r="L223" s="104" t="n">
        <f aca="false">'Loan CF'!C507</f>
        <v>0</v>
      </c>
      <c r="M223" s="105" t="n">
        <f aca="false">'Loan Tape'!$AS200*'Loan Tape'!$AN200</f>
        <v>0</v>
      </c>
      <c r="N223" s="105" t="n">
        <f aca="false">IFERROR(SUMPRODUCT(('Loan CF'!$C$916:$L$916-0.5)*('Loan CF'!C1113:L1113+'Loan CF'!C1416:L1416+'Loan CF'!C1719:L1719))/(SUM('Loan CF'!C1113:L1113)+SUM('Loan CF'!C1416:L1416)+SUM('Loan CF'!C1719:L1719)),0)</f>
        <v>0</v>
      </c>
      <c r="O223" s="99" t="n">
        <f aca="false">SUM('Loan CF'!C2022:L2022)</f>
        <v>0</v>
      </c>
      <c r="P223" s="99" t="n">
        <f aca="false">SUM('Loan CF'!C1113:L1113)+SUM('Loan CF'!C1416:L1416)+SUM('Loan CF'!C1719:L1719)</f>
        <v>0</v>
      </c>
      <c r="Q223" s="99" t="n">
        <f aca="false">SUM('Loan CF'!C2325:L2325)</f>
        <v>0</v>
      </c>
      <c r="R223" s="99" t="n">
        <f aca="false">SUM('Loan CF'!C1416:L1416)*Prepay_Pen</f>
        <v>0</v>
      </c>
      <c r="S223" s="99" t="n">
        <f aca="false">'Loan CF'!$C2628</f>
        <v>0</v>
      </c>
      <c r="T223" s="99" t="n">
        <f aca="false">SUM(O223:S223)</f>
        <v>0</v>
      </c>
      <c r="U223" s="99" t="n">
        <f aca="false">SUM('Loan CF'!C810:L810)</f>
        <v>0</v>
      </c>
      <c r="V223" s="99" t="n">
        <f aca="false">U223*Sev</f>
        <v>0</v>
      </c>
      <c r="W223" s="99" t="n">
        <f aca="false">T223-K223</f>
        <v>0</v>
      </c>
      <c r="X223" s="106" t="str">
        <f aca="false">IFERROR(IRR('Loan CF'!C2931:M2931),"-")</f>
        <v>-</v>
      </c>
      <c r="Y223" s="107" t="str">
        <f aca="false">IFERROR(T223/K223,"-")</f>
        <v>-</v>
      </c>
      <c r="Z223" s="99" t="n">
        <f aca="false">'Loan Tape'!$BC200</f>
        <v>0</v>
      </c>
      <c r="AA223" s="99" t="n">
        <f aca="false">'Loan Tape'!$BE200</f>
        <v>0</v>
      </c>
      <c r="AB223" s="99" t="n">
        <f aca="false">SUM('Loan CF'!D3840:M3840)-AA223</f>
        <v>0</v>
      </c>
      <c r="AC223" s="106" t="str">
        <f aca="false">IFERROR(IRR('Loan CF'!C3840:M3840),"-")</f>
        <v>-</v>
      </c>
      <c r="AD223" s="107" t="str">
        <f aca="false">IFERROR(SUM('Loan CF'!D3840:M3840)/AA223,"-")</f>
        <v>-</v>
      </c>
    </row>
    <row r="224" customFormat="false" ht="15" hidden="false" customHeight="false" outlineLevel="0" collapsed="false">
      <c r="B224" s="108" t="str">
        <f aca="false">IF('Loan Tape'!$A201="","",'Loan Tape'!$A201)</f>
        <v/>
      </c>
      <c r="C224" s="108" t="str">
        <f aca="false">IF('Loan Tape'!$A201="","",'Loan Tape'!$B201)</f>
        <v/>
      </c>
      <c r="D224" s="108" t="str">
        <f aca="false">IF('Loan Tape'!$A201="","",'Loan Tape'!$C201)</f>
        <v/>
      </c>
      <c r="E224" s="108" t="str">
        <f aca="false">IF('Loan Tape'!$A201="","",'Loan Tape'!$D201)</f>
        <v/>
      </c>
      <c r="F224" s="108" t="str">
        <f aca="false">IF('Loan Tape'!$A201="","",'Loan Tape'!$E201)</f>
        <v/>
      </c>
      <c r="G224" s="26" t="n">
        <f aca="false">'Loan Tape'!$AN201</f>
        <v>0</v>
      </c>
      <c r="H224" s="71" t="n">
        <f aca="false">'Loan Tape'!$R201*'Loan Tape'!$AN201</f>
        <v>0</v>
      </c>
      <c r="I224" s="56" t="n">
        <f aca="false">'Loan Tape'!$AO201</f>
        <v>0</v>
      </c>
      <c r="J224" s="71" t="n">
        <f aca="false">'Loan Tape'!$AY201</f>
        <v>0</v>
      </c>
      <c r="K224" s="71" t="n">
        <f aca="false">'Loan Tape'!$BB201</f>
        <v>0</v>
      </c>
      <c r="L224" s="56" t="n">
        <f aca="false">'Loan CF'!C508</f>
        <v>0</v>
      </c>
      <c r="M224" s="70" t="n">
        <f aca="false">'Loan Tape'!$AS201*'Loan Tape'!$AN201</f>
        <v>0</v>
      </c>
      <c r="N224" s="70" t="n">
        <f aca="false">IFERROR(SUMPRODUCT(('Loan CF'!$C$916:$L$916-0.5)*('Loan CF'!C1114:L1114+'Loan CF'!C1417:L1417+'Loan CF'!C1720:L1720))/(SUM('Loan CF'!C1114:L1114)+SUM('Loan CF'!C1417:L1417)+SUM('Loan CF'!C1720:L1720)),0)</f>
        <v>0</v>
      </c>
      <c r="O224" s="71" t="n">
        <f aca="false">SUM('Loan CF'!C2023:L2023)</f>
        <v>0</v>
      </c>
      <c r="P224" s="71" t="n">
        <f aca="false">SUM('Loan CF'!C1114:L1114)+SUM('Loan CF'!C1417:L1417)+SUM('Loan CF'!C1720:L1720)</f>
        <v>0</v>
      </c>
      <c r="Q224" s="71" t="n">
        <f aca="false">SUM('Loan CF'!C2326:L2326)</f>
        <v>0</v>
      </c>
      <c r="R224" s="71" t="n">
        <f aca="false">SUM('Loan CF'!C1417:L1417)*Prepay_Pen</f>
        <v>0</v>
      </c>
      <c r="S224" s="71" t="n">
        <f aca="false">'Loan CF'!$C2629</f>
        <v>0</v>
      </c>
      <c r="T224" s="71" t="n">
        <f aca="false">SUM(O224:S224)</f>
        <v>0</v>
      </c>
      <c r="U224" s="71" t="n">
        <f aca="false">SUM('Loan CF'!C811:L811)</f>
        <v>0</v>
      </c>
      <c r="V224" s="71" t="n">
        <f aca="false">U224*Sev</f>
        <v>0</v>
      </c>
      <c r="W224" s="71" t="n">
        <f aca="false">T224-K224</f>
        <v>0</v>
      </c>
      <c r="X224" s="109" t="str">
        <f aca="false">IFERROR(IRR('Loan CF'!C2932:M2932),"-")</f>
        <v>-</v>
      </c>
      <c r="Y224" s="110" t="str">
        <f aca="false">IFERROR(T224/K224,"-")</f>
        <v>-</v>
      </c>
      <c r="Z224" s="71" t="n">
        <f aca="false">'Loan Tape'!$BC201</f>
        <v>0</v>
      </c>
      <c r="AA224" s="71" t="n">
        <f aca="false">'Loan Tape'!$BE201</f>
        <v>0</v>
      </c>
      <c r="AB224" s="71" t="n">
        <f aca="false">SUM('Loan CF'!D3841:M3841)-AA224</f>
        <v>0</v>
      </c>
      <c r="AC224" s="109" t="str">
        <f aca="false">IFERROR(IRR('Loan CF'!C3841:M3841),"-")</f>
        <v>-</v>
      </c>
      <c r="AD224" s="110" t="str">
        <f aca="false">IFERROR(SUM('Loan CF'!D3841:M3841)/AA224,"-")</f>
        <v>-</v>
      </c>
    </row>
    <row r="225" customFormat="false" ht="15" hidden="false" customHeight="false" outlineLevel="0" collapsed="false">
      <c r="B225" s="102" t="str">
        <f aca="false">IF('Loan Tape'!$A202="","",'Loan Tape'!$A202)</f>
        <v/>
      </c>
      <c r="C225" s="102" t="str">
        <f aca="false">IF('Loan Tape'!$A202="","",'Loan Tape'!$B202)</f>
        <v/>
      </c>
      <c r="D225" s="102" t="str">
        <f aca="false">IF('Loan Tape'!$A202="","",'Loan Tape'!$C202)</f>
        <v/>
      </c>
      <c r="E225" s="102" t="str">
        <f aca="false">IF('Loan Tape'!$A202="","",'Loan Tape'!$D202)</f>
        <v/>
      </c>
      <c r="F225" s="102" t="str">
        <f aca="false">IF('Loan Tape'!$A202="","",'Loan Tape'!$E202)</f>
        <v/>
      </c>
      <c r="G225" s="103" t="n">
        <f aca="false">'Loan Tape'!$AN202</f>
        <v>0</v>
      </c>
      <c r="H225" s="99" t="n">
        <f aca="false">'Loan Tape'!$R202*'Loan Tape'!$AN202</f>
        <v>0</v>
      </c>
      <c r="I225" s="104" t="n">
        <f aca="false">'Loan Tape'!$AO202</f>
        <v>0</v>
      </c>
      <c r="J225" s="99" t="n">
        <f aca="false">'Loan Tape'!$AY202</f>
        <v>0</v>
      </c>
      <c r="K225" s="99" t="n">
        <f aca="false">'Loan Tape'!$BB202</f>
        <v>0</v>
      </c>
      <c r="L225" s="104" t="n">
        <f aca="false">'Loan CF'!C509</f>
        <v>0</v>
      </c>
      <c r="M225" s="105" t="n">
        <f aca="false">'Loan Tape'!$AS202*'Loan Tape'!$AN202</f>
        <v>0</v>
      </c>
      <c r="N225" s="105" t="n">
        <f aca="false">IFERROR(SUMPRODUCT(('Loan CF'!$C$916:$L$916-0.5)*('Loan CF'!C1115:L1115+'Loan CF'!C1418:L1418+'Loan CF'!C1721:L1721))/(SUM('Loan CF'!C1115:L1115)+SUM('Loan CF'!C1418:L1418)+SUM('Loan CF'!C1721:L1721)),0)</f>
        <v>0</v>
      </c>
      <c r="O225" s="99" t="n">
        <f aca="false">SUM('Loan CF'!C2024:L2024)</f>
        <v>0</v>
      </c>
      <c r="P225" s="99" t="n">
        <f aca="false">SUM('Loan CF'!C1115:L1115)+SUM('Loan CF'!C1418:L1418)+SUM('Loan CF'!C1721:L1721)</f>
        <v>0</v>
      </c>
      <c r="Q225" s="99" t="n">
        <f aca="false">SUM('Loan CF'!C2327:L2327)</f>
        <v>0</v>
      </c>
      <c r="R225" s="99" t="n">
        <f aca="false">SUM('Loan CF'!C1418:L1418)*Prepay_Pen</f>
        <v>0</v>
      </c>
      <c r="S225" s="99" t="n">
        <f aca="false">'Loan CF'!$C2630</f>
        <v>0</v>
      </c>
      <c r="T225" s="99" t="n">
        <f aca="false">SUM(O225:S225)</f>
        <v>0</v>
      </c>
      <c r="U225" s="99" t="n">
        <f aca="false">SUM('Loan CF'!C812:L812)</f>
        <v>0</v>
      </c>
      <c r="V225" s="99" t="n">
        <f aca="false">U225*Sev</f>
        <v>0</v>
      </c>
      <c r="W225" s="99" t="n">
        <f aca="false">T225-K225</f>
        <v>0</v>
      </c>
      <c r="X225" s="106" t="str">
        <f aca="false">IFERROR(IRR('Loan CF'!C2933:M2933),"-")</f>
        <v>-</v>
      </c>
      <c r="Y225" s="107" t="str">
        <f aca="false">IFERROR(T225/K225,"-")</f>
        <v>-</v>
      </c>
      <c r="Z225" s="99" t="n">
        <f aca="false">'Loan Tape'!$BC202</f>
        <v>0</v>
      </c>
      <c r="AA225" s="99" t="n">
        <f aca="false">'Loan Tape'!$BE202</f>
        <v>0</v>
      </c>
      <c r="AB225" s="99" t="n">
        <f aca="false">SUM('Loan CF'!D3842:M3842)-AA225</f>
        <v>0</v>
      </c>
      <c r="AC225" s="106" t="str">
        <f aca="false">IFERROR(IRR('Loan CF'!C3842:M3842),"-")</f>
        <v>-</v>
      </c>
      <c r="AD225" s="107" t="str">
        <f aca="false">IFERROR(SUM('Loan CF'!D3842:M3842)/AA225,"-")</f>
        <v>-</v>
      </c>
    </row>
    <row r="226" customFormat="false" ht="15" hidden="false" customHeight="false" outlineLevel="0" collapsed="false">
      <c r="B226" s="108" t="str">
        <f aca="false">IF('Loan Tape'!$A203="","",'Loan Tape'!$A203)</f>
        <v/>
      </c>
      <c r="C226" s="108" t="str">
        <f aca="false">IF('Loan Tape'!$A203="","",'Loan Tape'!$B203)</f>
        <v/>
      </c>
      <c r="D226" s="108" t="str">
        <f aca="false">IF('Loan Tape'!$A203="","",'Loan Tape'!$C203)</f>
        <v/>
      </c>
      <c r="E226" s="108" t="str">
        <f aca="false">IF('Loan Tape'!$A203="","",'Loan Tape'!$D203)</f>
        <v/>
      </c>
      <c r="F226" s="108" t="str">
        <f aca="false">IF('Loan Tape'!$A203="","",'Loan Tape'!$E203)</f>
        <v/>
      </c>
      <c r="G226" s="26" t="n">
        <f aca="false">'Loan Tape'!$AN203</f>
        <v>0</v>
      </c>
      <c r="H226" s="71" t="n">
        <f aca="false">'Loan Tape'!$R203*'Loan Tape'!$AN203</f>
        <v>0</v>
      </c>
      <c r="I226" s="56" t="n">
        <f aca="false">'Loan Tape'!$AO203</f>
        <v>0</v>
      </c>
      <c r="J226" s="71" t="n">
        <f aca="false">'Loan Tape'!$AY203</f>
        <v>0</v>
      </c>
      <c r="K226" s="71" t="n">
        <f aca="false">'Loan Tape'!$BB203</f>
        <v>0</v>
      </c>
      <c r="L226" s="56" t="n">
        <f aca="false">'Loan CF'!C510</f>
        <v>0</v>
      </c>
      <c r="M226" s="70" t="n">
        <f aca="false">'Loan Tape'!$AS203*'Loan Tape'!$AN203</f>
        <v>0</v>
      </c>
      <c r="N226" s="70" t="n">
        <f aca="false">IFERROR(SUMPRODUCT(('Loan CF'!$C$916:$L$916-0.5)*('Loan CF'!C1116:L1116+'Loan CF'!C1419:L1419+'Loan CF'!C1722:L1722))/(SUM('Loan CF'!C1116:L1116)+SUM('Loan CF'!C1419:L1419)+SUM('Loan CF'!C1722:L1722)),0)</f>
        <v>0</v>
      </c>
      <c r="O226" s="71" t="n">
        <f aca="false">SUM('Loan CF'!C2025:L2025)</f>
        <v>0</v>
      </c>
      <c r="P226" s="71" t="n">
        <f aca="false">SUM('Loan CF'!C1116:L1116)+SUM('Loan CF'!C1419:L1419)+SUM('Loan CF'!C1722:L1722)</f>
        <v>0</v>
      </c>
      <c r="Q226" s="71" t="n">
        <f aca="false">SUM('Loan CF'!C2328:L2328)</f>
        <v>0</v>
      </c>
      <c r="R226" s="71" t="n">
        <f aca="false">SUM('Loan CF'!C1419:L1419)*Prepay_Pen</f>
        <v>0</v>
      </c>
      <c r="S226" s="71" t="n">
        <f aca="false">'Loan CF'!$C2631</f>
        <v>0</v>
      </c>
      <c r="T226" s="71" t="n">
        <f aca="false">SUM(O226:S226)</f>
        <v>0</v>
      </c>
      <c r="U226" s="71" t="n">
        <f aca="false">SUM('Loan CF'!C813:L813)</f>
        <v>0</v>
      </c>
      <c r="V226" s="71" t="n">
        <f aca="false">U226*Sev</f>
        <v>0</v>
      </c>
      <c r="W226" s="71" t="n">
        <f aca="false">T226-K226</f>
        <v>0</v>
      </c>
      <c r="X226" s="109" t="str">
        <f aca="false">IFERROR(IRR('Loan CF'!C2934:M2934),"-")</f>
        <v>-</v>
      </c>
      <c r="Y226" s="110" t="str">
        <f aca="false">IFERROR(T226/K226,"-")</f>
        <v>-</v>
      </c>
      <c r="Z226" s="71" t="n">
        <f aca="false">'Loan Tape'!$BC203</f>
        <v>0</v>
      </c>
      <c r="AA226" s="71" t="n">
        <f aca="false">'Loan Tape'!$BE203</f>
        <v>0</v>
      </c>
      <c r="AB226" s="71" t="n">
        <f aca="false">SUM('Loan CF'!D3843:M3843)-AA226</f>
        <v>0</v>
      </c>
      <c r="AC226" s="109" t="str">
        <f aca="false">IFERROR(IRR('Loan CF'!C3843:M3843),"-")</f>
        <v>-</v>
      </c>
      <c r="AD226" s="110" t="str">
        <f aca="false">IFERROR(SUM('Loan CF'!D3843:M3843)/AA226,"-")</f>
        <v>-</v>
      </c>
    </row>
    <row r="227" customFormat="false" ht="15" hidden="false" customHeight="false" outlineLevel="0" collapsed="false">
      <c r="B227" s="102" t="str">
        <f aca="false">IF('Loan Tape'!$A204="","",'Loan Tape'!$A204)</f>
        <v/>
      </c>
      <c r="C227" s="102" t="str">
        <f aca="false">IF('Loan Tape'!$A204="","",'Loan Tape'!$B204)</f>
        <v/>
      </c>
      <c r="D227" s="102" t="str">
        <f aca="false">IF('Loan Tape'!$A204="","",'Loan Tape'!$C204)</f>
        <v/>
      </c>
      <c r="E227" s="102" t="str">
        <f aca="false">IF('Loan Tape'!$A204="","",'Loan Tape'!$D204)</f>
        <v/>
      </c>
      <c r="F227" s="102" t="str">
        <f aca="false">IF('Loan Tape'!$A204="","",'Loan Tape'!$E204)</f>
        <v/>
      </c>
      <c r="G227" s="103" t="n">
        <f aca="false">'Loan Tape'!$AN204</f>
        <v>0</v>
      </c>
      <c r="H227" s="99" t="n">
        <f aca="false">'Loan Tape'!$R204*'Loan Tape'!$AN204</f>
        <v>0</v>
      </c>
      <c r="I227" s="104" t="n">
        <f aca="false">'Loan Tape'!$AO204</f>
        <v>0</v>
      </c>
      <c r="J227" s="99" t="n">
        <f aca="false">'Loan Tape'!$AY204</f>
        <v>0</v>
      </c>
      <c r="K227" s="99" t="n">
        <f aca="false">'Loan Tape'!$BB204</f>
        <v>0</v>
      </c>
      <c r="L227" s="104" t="n">
        <f aca="false">'Loan CF'!C511</f>
        <v>0</v>
      </c>
      <c r="M227" s="105" t="n">
        <f aca="false">'Loan Tape'!$AS204*'Loan Tape'!$AN204</f>
        <v>0</v>
      </c>
      <c r="N227" s="105" t="n">
        <f aca="false">IFERROR(SUMPRODUCT(('Loan CF'!$C$916:$L$916-0.5)*('Loan CF'!C1117:L1117+'Loan CF'!C1420:L1420+'Loan CF'!C1723:L1723))/(SUM('Loan CF'!C1117:L1117)+SUM('Loan CF'!C1420:L1420)+SUM('Loan CF'!C1723:L1723)),0)</f>
        <v>0</v>
      </c>
      <c r="O227" s="99" t="n">
        <f aca="false">SUM('Loan CF'!C2026:L2026)</f>
        <v>0</v>
      </c>
      <c r="P227" s="99" t="n">
        <f aca="false">SUM('Loan CF'!C1117:L1117)+SUM('Loan CF'!C1420:L1420)+SUM('Loan CF'!C1723:L1723)</f>
        <v>0</v>
      </c>
      <c r="Q227" s="99" t="n">
        <f aca="false">SUM('Loan CF'!C2329:L2329)</f>
        <v>0</v>
      </c>
      <c r="R227" s="99" t="n">
        <f aca="false">SUM('Loan CF'!C1420:L1420)*Prepay_Pen</f>
        <v>0</v>
      </c>
      <c r="S227" s="99" t="n">
        <f aca="false">'Loan CF'!$C2632</f>
        <v>0</v>
      </c>
      <c r="T227" s="99" t="n">
        <f aca="false">SUM(O227:S227)</f>
        <v>0</v>
      </c>
      <c r="U227" s="99" t="n">
        <f aca="false">SUM('Loan CF'!C814:L814)</f>
        <v>0</v>
      </c>
      <c r="V227" s="99" t="n">
        <f aca="false">U227*Sev</f>
        <v>0</v>
      </c>
      <c r="W227" s="99" t="n">
        <f aca="false">T227-K227</f>
        <v>0</v>
      </c>
      <c r="X227" s="106" t="str">
        <f aca="false">IFERROR(IRR('Loan CF'!C2935:M2935),"-")</f>
        <v>-</v>
      </c>
      <c r="Y227" s="107" t="str">
        <f aca="false">IFERROR(T227/K227,"-")</f>
        <v>-</v>
      </c>
      <c r="Z227" s="99" t="n">
        <f aca="false">'Loan Tape'!$BC204</f>
        <v>0</v>
      </c>
      <c r="AA227" s="99" t="n">
        <f aca="false">'Loan Tape'!$BE204</f>
        <v>0</v>
      </c>
      <c r="AB227" s="99" t="n">
        <f aca="false">SUM('Loan CF'!D3844:M3844)-AA227</f>
        <v>0</v>
      </c>
      <c r="AC227" s="106" t="str">
        <f aca="false">IFERROR(IRR('Loan CF'!C3844:M3844),"-")</f>
        <v>-</v>
      </c>
      <c r="AD227" s="107" t="str">
        <f aca="false">IFERROR(SUM('Loan CF'!D3844:M3844)/AA227,"-")</f>
        <v>-</v>
      </c>
    </row>
    <row r="228" customFormat="false" ht="15" hidden="false" customHeight="false" outlineLevel="0" collapsed="false">
      <c r="B228" s="108" t="str">
        <f aca="false">IF('Loan Tape'!$A205="","",'Loan Tape'!$A205)</f>
        <v/>
      </c>
      <c r="C228" s="108" t="str">
        <f aca="false">IF('Loan Tape'!$A205="","",'Loan Tape'!$B205)</f>
        <v/>
      </c>
      <c r="D228" s="108" t="str">
        <f aca="false">IF('Loan Tape'!$A205="","",'Loan Tape'!$C205)</f>
        <v/>
      </c>
      <c r="E228" s="108" t="str">
        <f aca="false">IF('Loan Tape'!$A205="","",'Loan Tape'!$D205)</f>
        <v/>
      </c>
      <c r="F228" s="108" t="str">
        <f aca="false">IF('Loan Tape'!$A205="","",'Loan Tape'!$E205)</f>
        <v/>
      </c>
      <c r="G228" s="26" t="n">
        <f aca="false">'Loan Tape'!$AN205</f>
        <v>0</v>
      </c>
      <c r="H228" s="71" t="n">
        <f aca="false">'Loan Tape'!$R205*'Loan Tape'!$AN205</f>
        <v>0</v>
      </c>
      <c r="I228" s="56" t="n">
        <f aca="false">'Loan Tape'!$AO205</f>
        <v>0</v>
      </c>
      <c r="J228" s="71" t="n">
        <f aca="false">'Loan Tape'!$AY205</f>
        <v>0</v>
      </c>
      <c r="K228" s="71" t="n">
        <f aca="false">'Loan Tape'!$BB205</f>
        <v>0</v>
      </c>
      <c r="L228" s="56" t="n">
        <f aca="false">'Loan CF'!C512</f>
        <v>0</v>
      </c>
      <c r="M228" s="70" t="n">
        <f aca="false">'Loan Tape'!$AS205*'Loan Tape'!$AN205</f>
        <v>0</v>
      </c>
      <c r="N228" s="70" t="n">
        <f aca="false">IFERROR(SUMPRODUCT(('Loan CF'!$C$916:$L$916-0.5)*('Loan CF'!C1118:L1118+'Loan CF'!C1421:L1421+'Loan CF'!C1724:L1724))/(SUM('Loan CF'!C1118:L1118)+SUM('Loan CF'!C1421:L1421)+SUM('Loan CF'!C1724:L1724)),0)</f>
        <v>0</v>
      </c>
      <c r="O228" s="71" t="n">
        <f aca="false">SUM('Loan CF'!C2027:L2027)</f>
        <v>0</v>
      </c>
      <c r="P228" s="71" t="n">
        <f aca="false">SUM('Loan CF'!C1118:L1118)+SUM('Loan CF'!C1421:L1421)+SUM('Loan CF'!C1724:L1724)</f>
        <v>0</v>
      </c>
      <c r="Q228" s="71" t="n">
        <f aca="false">SUM('Loan CF'!C2330:L2330)</f>
        <v>0</v>
      </c>
      <c r="R228" s="71" t="n">
        <f aca="false">SUM('Loan CF'!C1421:L1421)*Prepay_Pen</f>
        <v>0</v>
      </c>
      <c r="S228" s="71" t="n">
        <f aca="false">'Loan CF'!$C2633</f>
        <v>0</v>
      </c>
      <c r="T228" s="71" t="n">
        <f aca="false">SUM(O228:S228)</f>
        <v>0</v>
      </c>
      <c r="U228" s="71" t="n">
        <f aca="false">SUM('Loan CF'!C815:L815)</f>
        <v>0</v>
      </c>
      <c r="V228" s="71" t="n">
        <f aca="false">U228*Sev</f>
        <v>0</v>
      </c>
      <c r="W228" s="71" t="n">
        <f aca="false">T228-K228</f>
        <v>0</v>
      </c>
      <c r="X228" s="109" t="str">
        <f aca="false">IFERROR(IRR('Loan CF'!C2936:M2936),"-")</f>
        <v>-</v>
      </c>
      <c r="Y228" s="110" t="str">
        <f aca="false">IFERROR(T228/K228,"-")</f>
        <v>-</v>
      </c>
      <c r="Z228" s="71" t="n">
        <f aca="false">'Loan Tape'!$BC205</f>
        <v>0</v>
      </c>
      <c r="AA228" s="71" t="n">
        <f aca="false">'Loan Tape'!$BE205</f>
        <v>0</v>
      </c>
      <c r="AB228" s="71" t="n">
        <f aca="false">SUM('Loan CF'!D3845:M3845)-AA228</f>
        <v>0</v>
      </c>
      <c r="AC228" s="109" t="str">
        <f aca="false">IFERROR(IRR('Loan CF'!C3845:M3845),"-")</f>
        <v>-</v>
      </c>
      <c r="AD228" s="110" t="str">
        <f aca="false">IFERROR(SUM('Loan CF'!D3845:M3845)/AA228,"-")</f>
        <v>-</v>
      </c>
    </row>
    <row r="229" customFormat="false" ht="15" hidden="false" customHeight="false" outlineLevel="0" collapsed="false">
      <c r="B229" s="102" t="str">
        <f aca="false">IF('Loan Tape'!$A206="","",'Loan Tape'!$A206)</f>
        <v/>
      </c>
      <c r="C229" s="102" t="str">
        <f aca="false">IF('Loan Tape'!$A206="","",'Loan Tape'!$B206)</f>
        <v/>
      </c>
      <c r="D229" s="102" t="str">
        <f aca="false">IF('Loan Tape'!$A206="","",'Loan Tape'!$C206)</f>
        <v/>
      </c>
      <c r="E229" s="102" t="str">
        <f aca="false">IF('Loan Tape'!$A206="","",'Loan Tape'!$D206)</f>
        <v/>
      </c>
      <c r="F229" s="102" t="str">
        <f aca="false">IF('Loan Tape'!$A206="","",'Loan Tape'!$E206)</f>
        <v/>
      </c>
      <c r="G229" s="103" t="n">
        <f aca="false">'Loan Tape'!$AN206</f>
        <v>0</v>
      </c>
      <c r="H229" s="99" t="n">
        <f aca="false">'Loan Tape'!$R206*'Loan Tape'!$AN206</f>
        <v>0</v>
      </c>
      <c r="I229" s="104" t="n">
        <f aca="false">'Loan Tape'!$AO206</f>
        <v>0</v>
      </c>
      <c r="J229" s="99" t="n">
        <f aca="false">'Loan Tape'!$AY206</f>
        <v>0</v>
      </c>
      <c r="K229" s="99" t="n">
        <f aca="false">'Loan Tape'!$BB206</f>
        <v>0</v>
      </c>
      <c r="L229" s="104" t="n">
        <f aca="false">'Loan CF'!C513</f>
        <v>0</v>
      </c>
      <c r="M229" s="105" t="n">
        <f aca="false">'Loan Tape'!$AS206*'Loan Tape'!$AN206</f>
        <v>0</v>
      </c>
      <c r="N229" s="105" t="n">
        <f aca="false">IFERROR(SUMPRODUCT(('Loan CF'!$C$916:$L$916-0.5)*('Loan CF'!C1119:L1119+'Loan CF'!C1422:L1422+'Loan CF'!C1725:L1725))/(SUM('Loan CF'!C1119:L1119)+SUM('Loan CF'!C1422:L1422)+SUM('Loan CF'!C1725:L1725)),0)</f>
        <v>0</v>
      </c>
      <c r="O229" s="99" t="n">
        <f aca="false">SUM('Loan CF'!C2028:L2028)</f>
        <v>0</v>
      </c>
      <c r="P229" s="99" t="n">
        <f aca="false">SUM('Loan CF'!C1119:L1119)+SUM('Loan CF'!C1422:L1422)+SUM('Loan CF'!C1725:L1725)</f>
        <v>0</v>
      </c>
      <c r="Q229" s="99" t="n">
        <f aca="false">SUM('Loan CF'!C2331:L2331)</f>
        <v>0</v>
      </c>
      <c r="R229" s="99" t="n">
        <f aca="false">SUM('Loan CF'!C1422:L1422)*Prepay_Pen</f>
        <v>0</v>
      </c>
      <c r="S229" s="99" t="n">
        <f aca="false">'Loan CF'!$C2634</f>
        <v>0</v>
      </c>
      <c r="T229" s="99" t="n">
        <f aca="false">SUM(O229:S229)</f>
        <v>0</v>
      </c>
      <c r="U229" s="99" t="n">
        <f aca="false">SUM('Loan CF'!C816:L816)</f>
        <v>0</v>
      </c>
      <c r="V229" s="99" t="n">
        <f aca="false">U229*Sev</f>
        <v>0</v>
      </c>
      <c r="W229" s="99" t="n">
        <f aca="false">T229-K229</f>
        <v>0</v>
      </c>
      <c r="X229" s="106" t="str">
        <f aca="false">IFERROR(IRR('Loan CF'!C2937:M2937),"-")</f>
        <v>-</v>
      </c>
      <c r="Y229" s="107" t="str">
        <f aca="false">IFERROR(T229/K229,"-")</f>
        <v>-</v>
      </c>
      <c r="Z229" s="99" t="n">
        <f aca="false">'Loan Tape'!$BC206</f>
        <v>0</v>
      </c>
      <c r="AA229" s="99" t="n">
        <f aca="false">'Loan Tape'!$BE206</f>
        <v>0</v>
      </c>
      <c r="AB229" s="99" t="n">
        <f aca="false">SUM('Loan CF'!D3846:M3846)-AA229</f>
        <v>0</v>
      </c>
      <c r="AC229" s="106" t="str">
        <f aca="false">IFERROR(IRR('Loan CF'!C3846:M3846),"-")</f>
        <v>-</v>
      </c>
      <c r="AD229" s="107" t="str">
        <f aca="false">IFERROR(SUM('Loan CF'!D3846:M3846)/AA229,"-")</f>
        <v>-</v>
      </c>
    </row>
    <row r="230" customFormat="false" ht="15" hidden="false" customHeight="false" outlineLevel="0" collapsed="false">
      <c r="B230" s="108" t="str">
        <f aca="false">IF('Loan Tape'!$A207="","",'Loan Tape'!$A207)</f>
        <v/>
      </c>
      <c r="C230" s="108" t="str">
        <f aca="false">IF('Loan Tape'!$A207="","",'Loan Tape'!$B207)</f>
        <v/>
      </c>
      <c r="D230" s="108" t="str">
        <f aca="false">IF('Loan Tape'!$A207="","",'Loan Tape'!$C207)</f>
        <v/>
      </c>
      <c r="E230" s="108" t="str">
        <f aca="false">IF('Loan Tape'!$A207="","",'Loan Tape'!$D207)</f>
        <v/>
      </c>
      <c r="F230" s="108" t="str">
        <f aca="false">IF('Loan Tape'!$A207="","",'Loan Tape'!$E207)</f>
        <v/>
      </c>
      <c r="G230" s="26" t="n">
        <f aca="false">'Loan Tape'!$AN207</f>
        <v>0</v>
      </c>
      <c r="H230" s="71" t="n">
        <f aca="false">'Loan Tape'!$R207*'Loan Tape'!$AN207</f>
        <v>0</v>
      </c>
      <c r="I230" s="56" t="n">
        <f aca="false">'Loan Tape'!$AO207</f>
        <v>0</v>
      </c>
      <c r="J230" s="71" t="n">
        <f aca="false">'Loan Tape'!$AY207</f>
        <v>0</v>
      </c>
      <c r="K230" s="71" t="n">
        <f aca="false">'Loan Tape'!$BB207</f>
        <v>0</v>
      </c>
      <c r="L230" s="56" t="n">
        <f aca="false">'Loan CF'!C514</f>
        <v>0</v>
      </c>
      <c r="M230" s="70" t="n">
        <f aca="false">'Loan Tape'!$AS207*'Loan Tape'!$AN207</f>
        <v>0</v>
      </c>
      <c r="N230" s="70" t="n">
        <f aca="false">IFERROR(SUMPRODUCT(('Loan CF'!$C$916:$L$916-0.5)*('Loan CF'!C1120:L1120+'Loan CF'!C1423:L1423+'Loan CF'!C1726:L1726))/(SUM('Loan CF'!C1120:L1120)+SUM('Loan CF'!C1423:L1423)+SUM('Loan CF'!C1726:L1726)),0)</f>
        <v>0</v>
      </c>
      <c r="O230" s="71" t="n">
        <f aca="false">SUM('Loan CF'!C2029:L2029)</f>
        <v>0</v>
      </c>
      <c r="P230" s="71" t="n">
        <f aca="false">SUM('Loan CF'!C1120:L1120)+SUM('Loan CF'!C1423:L1423)+SUM('Loan CF'!C1726:L1726)</f>
        <v>0</v>
      </c>
      <c r="Q230" s="71" t="n">
        <f aca="false">SUM('Loan CF'!C2332:L2332)</f>
        <v>0</v>
      </c>
      <c r="R230" s="71" t="n">
        <f aca="false">SUM('Loan CF'!C1423:L1423)*Prepay_Pen</f>
        <v>0</v>
      </c>
      <c r="S230" s="71" t="n">
        <f aca="false">'Loan CF'!$C2635</f>
        <v>0</v>
      </c>
      <c r="T230" s="71" t="n">
        <f aca="false">SUM(O230:S230)</f>
        <v>0</v>
      </c>
      <c r="U230" s="71" t="n">
        <f aca="false">SUM('Loan CF'!C817:L817)</f>
        <v>0</v>
      </c>
      <c r="V230" s="71" t="n">
        <f aca="false">U230*Sev</f>
        <v>0</v>
      </c>
      <c r="W230" s="71" t="n">
        <f aca="false">T230-K230</f>
        <v>0</v>
      </c>
      <c r="X230" s="109" t="str">
        <f aca="false">IFERROR(IRR('Loan CF'!C2938:M2938),"-")</f>
        <v>-</v>
      </c>
      <c r="Y230" s="110" t="str">
        <f aca="false">IFERROR(T230/K230,"-")</f>
        <v>-</v>
      </c>
      <c r="Z230" s="71" t="n">
        <f aca="false">'Loan Tape'!$BC207</f>
        <v>0</v>
      </c>
      <c r="AA230" s="71" t="n">
        <f aca="false">'Loan Tape'!$BE207</f>
        <v>0</v>
      </c>
      <c r="AB230" s="71" t="n">
        <f aca="false">SUM('Loan CF'!D3847:M3847)-AA230</f>
        <v>0</v>
      </c>
      <c r="AC230" s="109" t="str">
        <f aca="false">IFERROR(IRR('Loan CF'!C3847:M3847),"-")</f>
        <v>-</v>
      </c>
      <c r="AD230" s="110" t="str">
        <f aca="false">IFERROR(SUM('Loan CF'!D3847:M3847)/AA230,"-")</f>
        <v>-</v>
      </c>
    </row>
    <row r="231" customFormat="false" ht="15" hidden="false" customHeight="false" outlineLevel="0" collapsed="false">
      <c r="B231" s="102" t="str">
        <f aca="false">IF('Loan Tape'!$A208="","",'Loan Tape'!$A208)</f>
        <v/>
      </c>
      <c r="C231" s="102" t="str">
        <f aca="false">IF('Loan Tape'!$A208="","",'Loan Tape'!$B208)</f>
        <v/>
      </c>
      <c r="D231" s="102" t="str">
        <f aca="false">IF('Loan Tape'!$A208="","",'Loan Tape'!$C208)</f>
        <v/>
      </c>
      <c r="E231" s="102" t="str">
        <f aca="false">IF('Loan Tape'!$A208="","",'Loan Tape'!$D208)</f>
        <v/>
      </c>
      <c r="F231" s="102" t="str">
        <f aca="false">IF('Loan Tape'!$A208="","",'Loan Tape'!$E208)</f>
        <v/>
      </c>
      <c r="G231" s="103" t="n">
        <f aca="false">'Loan Tape'!$AN208</f>
        <v>0</v>
      </c>
      <c r="H231" s="99" t="n">
        <f aca="false">'Loan Tape'!$R208*'Loan Tape'!$AN208</f>
        <v>0</v>
      </c>
      <c r="I231" s="104" t="n">
        <f aca="false">'Loan Tape'!$AO208</f>
        <v>0</v>
      </c>
      <c r="J231" s="99" t="n">
        <f aca="false">'Loan Tape'!$AY208</f>
        <v>0</v>
      </c>
      <c r="K231" s="99" t="n">
        <f aca="false">'Loan Tape'!$BB208</f>
        <v>0</v>
      </c>
      <c r="L231" s="104" t="n">
        <f aca="false">'Loan CF'!C515</f>
        <v>0</v>
      </c>
      <c r="M231" s="105" t="n">
        <f aca="false">'Loan Tape'!$AS208*'Loan Tape'!$AN208</f>
        <v>0</v>
      </c>
      <c r="N231" s="105" t="n">
        <f aca="false">IFERROR(SUMPRODUCT(('Loan CF'!$C$916:$L$916-0.5)*('Loan CF'!C1121:L1121+'Loan CF'!C1424:L1424+'Loan CF'!C1727:L1727))/(SUM('Loan CF'!C1121:L1121)+SUM('Loan CF'!C1424:L1424)+SUM('Loan CF'!C1727:L1727)),0)</f>
        <v>0</v>
      </c>
      <c r="O231" s="99" t="n">
        <f aca="false">SUM('Loan CF'!C2030:L2030)</f>
        <v>0</v>
      </c>
      <c r="P231" s="99" t="n">
        <f aca="false">SUM('Loan CF'!C1121:L1121)+SUM('Loan CF'!C1424:L1424)+SUM('Loan CF'!C1727:L1727)</f>
        <v>0</v>
      </c>
      <c r="Q231" s="99" t="n">
        <f aca="false">SUM('Loan CF'!C2333:L2333)</f>
        <v>0</v>
      </c>
      <c r="R231" s="99" t="n">
        <f aca="false">SUM('Loan CF'!C1424:L1424)*Prepay_Pen</f>
        <v>0</v>
      </c>
      <c r="S231" s="99" t="n">
        <f aca="false">'Loan CF'!$C2636</f>
        <v>0</v>
      </c>
      <c r="T231" s="99" t="n">
        <f aca="false">SUM(O231:S231)</f>
        <v>0</v>
      </c>
      <c r="U231" s="99" t="n">
        <f aca="false">SUM('Loan CF'!C818:L818)</f>
        <v>0</v>
      </c>
      <c r="V231" s="99" t="n">
        <f aca="false">U231*Sev</f>
        <v>0</v>
      </c>
      <c r="W231" s="99" t="n">
        <f aca="false">T231-K231</f>
        <v>0</v>
      </c>
      <c r="X231" s="106" t="str">
        <f aca="false">IFERROR(IRR('Loan CF'!C2939:M2939),"-")</f>
        <v>-</v>
      </c>
      <c r="Y231" s="107" t="str">
        <f aca="false">IFERROR(T231/K231,"-")</f>
        <v>-</v>
      </c>
      <c r="Z231" s="99" t="n">
        <f aca="false">'Loan Tape'!$BC208</f>
        <v>0</v>
      </c>
      <c r="AA231" s="99" t="n">
        <f aca="false">'Loan Tape'!$BE208</f>
        <v>0</v>
      </c>
      <c r="AB231" s="99" t="n">
        <f aca="false">SUM('Loan CF'!D3848:M3848)-AA231</f>
        <v>0</v>
      </c>
      <c r="AC231" s="106" t="str">
        <f aca="false">IFERROR(IRR('Loan CF'!C3848:M3848),"-")</f>
        <v>-</v>
      </c>
      <c r="AD231" s="107" t="str">
        <f aca="false">IFERROR(SUM('Loan CF'!D3848:M3848)/AA231,"-")</f>
        <v>-</v>
      </c>
    </row>
    <row r="232" customFormat="false" ht="15" hidden="false" customHeight="false" outlineLevel="0" collapsed="false">
      <c r="B232" s="108" t="str">
        <f aca="false">IF('Loan Tape'!$A209="","",'Loan Tape'!$A209)</f>
        <v/>
      </c>
      <c r="C232" s="108" t="str">
        <f aca="false">IF('Loan Tape'!$A209="","",'Loan Tape'!$B209)</f>
        <v/>
      </c>
      <c r="D232" s="108" t="str">
        <f aca="false">IF('Loan Tape'!$A209="","",'Loan Tape'!$C209)</f>
        <v/>
      </c>
      <c r="E232" s="108" t="str">
        <f aca="false">IF('Loan Tape'!$A209="","",'Loan Tape'!$D209)</f>
        <v/>
      </c>
      <c r="F232" s="108" t="str">
        <f aca="false">IF('Loan Tape'!$A209="","",'Loan Tape'!$E209)</f>
        <v/>
      </c>
      <c r="G232" s="26" t="n">
        <f aca="false">'Loan Tape'!$AN209</f>
        <v>0</v>
      </c>
      <c r="H232" s="71" t="n">
        <f aca="false">'Loan Tape'!$R209*'Loan Tape'!$AN209</f>
        <v>0</v>
      </c>
      <c r="I232" s="56" t="n">
        <f aca="false">'Loan Tape'!$AO209</f>
        <v>0</v>
      </c>
      <c r="J232" s="71" t="n">
        <f aca="false">'Loan Tape'!$AY209</f>
        <v>0</v>
      </c>
      <c r="K232" s="71" t="n">
        <f aca="false">'Loan Tape'!$BB209</f>
        <v>0</v>
      </c>
      <c r="L232" s="56" t="n">
        <f aca="false">'Loan CF'!C516</f>
        <v>0</v>
      </c>
      <c r="M232" s="70" t="n">
        <f aca="false">'Loan Tape'!$AS209*'Loan Tape'!$AN209</f>
        <v>0</v>
      </c>
      <c r="N232" s="70" t="n">
        <f aca="false">IFERROR(SUMPRODUCT(('Loan CF'!$C$916:$L$916-0.5)*('Loan CF'!C1122:L1122+'Loan CF'!C1425:L1425+'Loan CF'!C1728:L1728))/(SUM('Loan CF'!C1122:L1122)+SUM('Loan CF'!C1425:L1425)+SUM('Loan CF'!C1728:L1728)),0)</f>
        <v>0</v>
      </c>
      <c r="O232" s="71" t="n">
        <f aca="false">SUM('Loan CF'!C2031:L2031)</f>
        <v>0</v>
      </c>
      <c r="P232" s="71" t="n">
        <f aca="false">SUM('Loan CF'!C1122:L1122)+SUM('Loan CF'!C1425:L1425)+SUM('Loan CF'!C1728:L1728)</f>
        <v>0</v>
      </c>
      <c r="Q232" s="71" t="n">
        <f aca="false">SUM('Loan CF'!C2334:L2334)</f>
        <v>0</v>
      </c>
      <c r="R232" s="71" t="n">
        <f aca="false">SUM('Loan CF'!C1425:L1425)*Prepay_Pen</f>
        <v>0</v>
      </c>
      <c r="S232" s="71" t="n">
        <f aca="false">'Loan CF'!$C2637</f>
        <v>0</v>
      </c>
      <c r="T232" s="71" t="n">
        <f aca="false">SUM(O232:S232)</f>
        <v>0</v>
      </c>
      <c r="U232" s="71" t="n">
        <f aca="false">SUM('Loan CF'!C819:L819)</f>
        <v>0</v>
      </c>
      <c r="V232" s="71" t="n">
        <f aca="false">U232*Sev</f>
        <v>0</v>
      </c>
      <c r="W232" s="71" t="n">
        <f aca="false">T232-K232</f>
        <v>0</v>
      </c>
      <c r="X232" s="109" t="str">
        <f aca="false">IFERROR(IRR('Loan CF'!C2940:M2940),"-")</f>
        <v>-</v>
      </c>
      <c r="Y232" s="110" t="str">
        <f aca="false">IFERROR(T232/K232,"-")</f>
        <v>-</v>
      </c>
      <c r="Z232" s="71" t="n">
        <f aca="false">'Loan Tape'!$BC209</f>
        <v>0</v>
      </c>
      <c r="AA232" s="71" t="n">
        <f aca="false">'Loan Tape'!$BE209</f>
        <v>0</v>
      </c>
      <c r="AB232" s="71" t="n">
        <f aca="false">SUM('Loan CF'!D3849:M3849)-AA232</f>
        <v>0</v>
      </c>
      <c r="AC232" s="109" t="str">
        <f aca="false">IFERROR(IRR('Loan CF'!C3849:M3849),"-")</f>
        <v>-</v>
      </c>
      <c r="AD232" s="110" t="str">
        <f aca="false">IFERROR(SUM('Loan CF'!D3849:M3849)/AA232,"-")</f>
        <v>-</v>
      </c>
    </row>
    <row r="233" customFormat="false" ht="15" hidden="false" customHeight="false" outlineLevel="0" collapsed="false">
      <c r="B233" s="102" t="str">
        <f aca="false">IF('Loan Tape'!$A210="","",'Loan Tape'!$A210)</f>
        <v/>
      </c>
      <c r="C233" s="102" t="str">
        <f aca="false">IF('Loan Tape'!$A210="","",'Loan Tape'!$B210)</f>
        <v/>
      </c>
      <c r="D233" s="102" t="str">
        <f aca="false">IF('Loan Tape'!$A210="","",'Loan Tape'!$C210)</f>
        <v/>
      </c>
      <c r="E233" s="102" t="str">
        <f aca="false">IF('Loan Tape'!$A210="","",'Loan Tape'!$D210)</f>
        <v/>
      </c>
      <c r="F233" s="102" t="str">
        <f aca="false">IF('Loan Tape'!$A210="","",'Loan Tape'!$E210)</f>
        <v/>
      </c>
      <c r="G233" s="103" t="n">
        <f aca="false">'Loan Tape'!$AN210</f>
        <v>0</v>
      </c>
      <c r="H233" s="99" t="n">
        <f aca="false">'Loan Tape'!$R210*'Loan Tape'!$AN210</f>
        <v>0</v>
      </c>
      <c r="I233" s="104" t="n">
        <f aca="false">'Loan Tape'!$AO210</f>
        <v>0</v>
      </c>
      <c r="J233" s="99" t="n">
        <f aca="false">'Loan Tape'!$AY210</f>
        <v>0</v>
      </c>
      <c r="K233" s="99" t="n">
        <f aca="false">'Loan Tape'!$BB210</f>
        <v>0</v>
      </c>
      <c r="L233" s="104" t="n">
        <f aca="false">'Loan CF'!C517</f>
        <v>0</v>
      </c>
      <c r="M233" s="105" t="n">
        <f aca="false">'Loan Tape'!$AS210*'Loan Tape'!$AN210</f>
        <v>0</v>
      </c>
      <c r="N233" s="105" t="n">
        <f aca="false">IFERROR(SUMPRODUCT(('Loan CF'!$C$916:$L$916-0.5)*('Loan CF'!C1123:L1123+'Loan CF'!C1426:L1426+'Loan CF'!C1729:L1729))/(SUM('Loan CF'!C1123:L1123)+SUM('Loan CF'!C1426:L1426)+SUM('Loan CF'!C1729:L1729)),0)</f>
        <v>0</v>
      </c>
      <c r="O233" s="99" t="n">
        <f aca="false">SUM('Loan CF'!C2032:L2032)</f>
        <v>0</v>
      </c>
      <c r="P233" s="99" t="n">
        <f aca="false">SUM('Loan CF'!C1123:L1123)+SUM('Loan CF'!C1426:L1426)+SUM('Loan CF'!C1729:L1729)</f>
        <v>0</v>
      </c>
      <c r="Q233" s="99" t="n">
        <f aca="false">SUM('Loan CF'!C2335:L2335)</f>
        <v>0</v>
      </c>
      <c r="R233" s="99" t="n">
        <f aca="false">SUM('Loan CF'!C1426:L1426)*Prepay_Pen</f>
        <v>0</v>
      </c>
      <c r="S233" s="99" t="n">
        <f aca="false">'Loan CF'!$C2638</f>
        <v>0</v>
      </c>
      <c r="T233" s="99" t="n">
        <f aca="false">SUM(O233:S233)</f>
        <v>0</v>
      </c>
      <c r="U233" s="99" t="n">
        <f aca="false">SUM('Loan CF'!C820:L820)</f>
        <v>0</v>
      </c>
      <c r="V233" s="99" t="n">
        <f aca="false">U233*Sev</f>
        <v>0</v>
      </c>
      <c r="W233" s="99" t="n">
        <f aca="false">T233-K233</f>
        <v>0</v>
      </c>
      <c r="X233" s="106" t="str">
        <f aca="false">IFERROR(IRR('Loan CF'!C2941:M2941),"-")</f>
        <v>-</v>
      </c>
      <c r="Y233" s="107" t="str">
        <f aca="false">IFERROR(T233/K233,"-")</f>
        <v>-</v>
      </c>
      <c r="Z233" s="99" t="n">
        <f aca="false">'Loan Tape'!$BC210</f>
        <v>0</v>
      </c>
      <c r="AA233" s="99" t="n">
        <f aca="false">'Loan Tape'!$BE210</f>
        <v>0</v>
      </c>
      <c r="AB233" s="99" t="n">
        <f aca="false">SUM('Loan CF'!D3850:M3850)-AA233</f>
        <v>0</v>
      </c>
      <c r="AC233" s="106" t="str">
        <f aca="false">IFERROR(IRR('Loan CF'!C3850:M3850),"-")</f>
        <v>-</v>
      </c>
      <c r="AD233" s="107" t="str">
        <f aca="false">IFERROR(SUM('Loan CF'!D3850:M3850)/AA233,"-")</f>
        <v>-</v>
      </c>
    </row>
    <row r="234" customFormat="false" ht="15" hidden="false" customHeight="false" outlineLevel="0" collapsed="false">
      <c r="B234" s="108" t="str">
        <f aca="false">IF('Loan Tape'!$A211="","",'Loan Tape'!$A211)</f>
        <v/>
      </c>
      <c r="C234" s="108" t="str">
        <f aca="false">IF('Loan Tape'!$A211="","",'Loan Tape'!$B211)</f>
        <v/>
      </c>
      <c r="D234" s="108" t="str">
        <f aca="false">IF('Loan Tape'!$A211="","",'Loan Tape'!$C211)</f>
        <v/>
      </c>
      <c r="E234" s="108" t="str">
        <f aca="false">IF('Loan Tape'!$A211="","",'Loan Tape'!$D211)</f>
        <v/>
      </c>
      <c r="F234" s="108" t="str">
        <f aca="false">IF('Loan Tape'!$A211="","",'Loan Tape'!$E211)</f>
        <v/>
      </c>
      <c r="G234" s="26" t="n">
        <f aca="false">'Loan Tape'!$AN211</f>
        <v>0</v>
      </c>
      <c r="H234" s="71" t="n">
        <f aca="false">'Loan Tape'!$R211*'Loan Tape'!$AN211</f>
        <v>0</v>
      </c>
      <c r="I234" s="56" t="n">
        <f aca="false">'Loan Tape'!$AO211</f>
        <v>0</v>
      </c>
      <c r="J234" s="71" t="n">
        <f aca="false">'Loan Tape'!$AY211</f>
        <v>0</v>
      </c>
      <c r="K234" s="71" t="n">
        <f aca="false">'Loan Tape'!$BB211</f>
        <v>0</v>
      </c>
      <c r="L234" s="56" t="n">
        <f aca="false">'Loan CF'!C518</f>
        <v>0</v>
      </c>
      <c r="M234" s="70" t="n">
        <f aca="false">'Loan Tape'!$AS211*'Loan Tape'!$AN211</f>
        <v>0</v>
      </c>
      <c r="N234" s="70" t="n">
        <f aca="false">IFERROR(SUMPRODUCT(('Loan CF'!$C$916:$L$916-0.5)*('Loan CF'!C1124:L1124+'Loan CF'!C1427:L1427+'Loan CF'!C1730:L1730))/(SUM('Loan CF'!C1124:L1124)+SUM('Loan CF'!C1427:L1427)+SUM('Loan CF'!C1730:L1730)),0)</f>
        <v>0</v>
      </c>
      <c r="O234" s="71" t="n">
        <f aca="false">SUM('Loan CF'!C2033:L2033)</f>
        <v>0</v>
      </c>
      <c r="P234" s="71" t="n">
        <f aca="false">SUM('Loan CF'!C1124:L1124)+SUM('Loan CF'!C1427:L1427)+SUM('Loan CF'!C1730:L1730)</f>
        <v>0</v>
      </c>
      <c r="Q234" s="71" t="n">
        <f aca="false">SUM('Loan CF'!C2336:L2336)</f>
        <v>0</v>
      </c>
      <c r="R234" s="71" t="n">
        <f aca="false">SUM('Loan CF'!C1427:L1427)*Prepay_Pen</f>
        <v>0</v>
      </c>
      <c r="S234" s="71" t="n">
        <f aca="false">'Loan CF'!$C2639</f>
        <v>0</v>
      </c>
      <c r="T234" s="71" t="n">
        <f aca="false">SUM(O234:S234)</f>
        <v>0</v>
      </c>
      <c r="U234" s="71" t="n">
        <f aca="false">SUM('Loan CF'!C821:L821)</f>
        <v>0</v>
      </c>
      <c r="V234" s="71" t="n">
        <f aca="false">U234*Sev</f>
        <v>0</v>
      </c>
      <c r="W234" s="71" t="n">
        <f aca="false">T234-K234</f>
        <v>0</v>
      </c>
      <c r="X234" s="109" t="str">
        <f aca="false">IFERROR(IRR('Loan CF'!C2942:M2942),"-")</f>
        <v>-</v>
      </c>
      <c r="Y234" s="110" t="str">
        <f aca="false">IFERROR(T234/K234,"-")</f>
        <v>-</v>
      </c>
      <c r="Z234" s="71" t="n">
        <f aca="false">'Loan Tape'!$BC211</f>
        <v>0</v>
      </c>
      <c r="AA234" s="71" t="n">
        <f aca="false">'Loan Tape'!$BE211</f>
        <v>0</v>
      </c>
      <c r="AB234" s="71" t="n">
        <f aca="false">SUM('Loan CF'!D3851:M3851)-AA234</f>
        <v>0</v>
      </c>
      <c r="AC234" s="109" t="str">
        <f aca="false">IFERROR(IRR('Loan CF'!C3851:M3851),"-")</f>
        <v>-</v>
      </c>
      <c r="AD234" s="110" t="str">
        <f aca="false">IFERROR(SUM('Loan CF'!D3851:M3851)/AA234,"-")</f>
        <v>-</v>
      </c>
    </row>
    <row r="235" customFormat="false" ht="15" hidden="false" customHeight="false" outlineLevel="0" collapsed="false">
      <c r="B235" s="102" t="str">
        <f aca="false">IF('Loan Tape'!$A212="","",'Loan Tape'!$A212)</f>
        <v/>
      </c>
      <c r="C235" s="102" t="str">
        <f aca="false">IF('Loan Tape'!$A212="","",'Loan Tape'!$B212)</f>
        <v/>
      </c>
      <c r="D235" s="102" t="str">
        <f aca="false">IF('Loan Tape'!$A212="","",'Loan Tape'!$C212)</f>
        <v/>
      </c>
      <c r="E235" s="102" t="str">
        <f aca="false">IF('Loan Tape'!$A212="","",'Loan Tape'!$D212)</f>
        <v/>
      </c>
      <c r="F235" s="102" t="str">
        <f aca="false">IF('Loan Tape'!$A212="","",'Loan Tape'!$E212)</f>
        <v/>
      </c>
      <c r="G235" s="103" t="n">
        <f aca="false">'Loan Tape'!$AN212</f>
        <v>0</v>
      </c>
      <c r="H235" s="99" t="n">
        <f aca="false">'Loan Tape'!$R212*'Loan Tape'!$AN212</f>
        <v>0</v>
      </c>
      <c r="I235" s="104" t="n">
        <f aca="false">'Loan Tape'!$AO212</f>
        <v>0</v>
      </c>
      <c r="J235" s="99" t="n">
        <f aca="false">'Loan Tape'!$AY212</f>
        <v>0</v>
      </c>
      <c r="K235" s="99" t="n">
        <f aca="false">'Loan Tape'!$BB212</f>
        <v>0</v>
      </c>
      <c r="L235" s="104" t="n">
        <f aca="false">'Loan CF'!C519</f>
        <v>0</v>
      </c>
      <c r="M235" s="105" t="n">
        <f aca="false">'Loan Tape'!$AS212*'Loan Tape'!$AN212</f>
        <v>0</v>
      </c>
      <c r="N235" s="105" t="n">
        <f aca="false">IFERROR(SUMPRODUCT(('Loan CF'!$C$916:$L$916-0.5)*('Loan CF'!C1125:L1125+'Loan CF'!C1428:L1428+'Loan CF'!C1731:L1731))/(SUM('Loan CF'!C1125:L1125)+SUM('Loan CF'!C1428:L1428)+SUM('Loan CF'!C1731:L1731)),0)</f>
        <v>0</v>
      </c>
      <c r="O235" s="99" t="n">
        <f aca="false">SUM('Loan CF'!C2034:L2034)</f>
        <v>0</v>
      </c>
      <c r="P235" s="99" t="n">
        <f aca="false">SUM('Loan CF'!C1125:L1125)+SUM('Loan CF'!C1428:L1428)+SUM('Loan CF'!C1731:L1731)</f>
        <v>0</v>
      </c>
      <c r="Q235" s="99" t="n">
        <f aca="false">SUM('Loan CF'!C2337:L2337)</f>
        <v>0</v>
      </c>
      <c r="R235" s="99" t="n">
        <f aca="false">SUM('Loan CF'!C1428:L1428)*Prepay_Pen</f>
        <v>0</v>
      </c>
      <c r="S235" s="99" t="n">
        <f aca="false">'Loan CF'!$C2640</f>
        <v>0</v>
      </c>
      <c r="T235" s="99" t="n">
        <f aca="false">SUM(O235:S235)</f>
        <v>0</v>
      </c>
      <c r="U235" s="99" t="n">
        <f aca="false">SUM('Loan CF'!C822:L822)</f>
        <v>0</v>
      </c>
      <c r="V235" s="99" t="n">
        <f aca="false">U235*Sev</f>
        <v>0</v>
      </c>
      <c r="W235" s="99" t="n">
        <f aca="false">T235-K235</f>
        <v>0</v>
      </c>
      <c r="X235" s="106" t="str">
        <f aca="false">IFERROR(IRR('Loan CF'!C2943:M2943),"-")</f>
        <v>-</v>
      </c>
      <c r="Y235" s="107" t="str">
        <f aca="false">IFERROR(T235/K235,"-")</f>
        <v>-</v>
      </c>
      <c r="Z235" s="99" t="n">
        <f aca="false">'Loan Tape'!$BC212</f>
        <v>0</v>
      </c>
      <c r="AA235" s="99" t="n">
        <f aca="false">'Loan Tape'!$BE212</f>
        <v>0</v>
      </c>
      <c r="AB235" s="99" t="n">
        <f aca="false">SUM('Loan CF'!D3852:M3852)-AA235</f>
        <v>0</v>
      </c>
      <c r="AC235" s="106" t="str">
        <f aca="false">IFERROR(IRR('Loan CF'!C3852:M3852),"-")</f>
        <v>-</v>
      </c>
      <c r="AD235" s="107" t="str">
        <f aca="false">IFERROR(SUM('Loan CF'!D3852:M3852)/AA235,"-")</f>
        <v>-</v>
      </c>
    </row>
    <row r="236" customFormat="false" ht="15" hidden="false" customHeight="false" outlineLevel="0" collapsed="false">
      <c r="B236" s="108" t="str">
        <f aca="false">IF('Loan Tape'!$A213="","",'Loan Tape'!$A213)</f>
        <v/>
      </c>
      <c r="C236" s="108" t="str">
        <f aca="false">IF('Loan Tape'!$A213="","",'Loan Tape'!$B213)</f>
        <v/>
      </c>
      <c r="D236" s="108" t="str">
        <f aca="false">IF('Loan Tape'!$A213="","",'Loan Tape'!$C213)</f>
        <v/>
      </c>
      <c r="E236" s="108" t="str">
        <f aca="false">IF('Loan Tape'!$A213="","",'Loan Tape'!$D213)</f>
        <v/>
      </c>
      <c r="F236" s="108" t="str">
        <f aca="false">IF('Loan Tape'!$A213="","",'Loan Tape'!$E213)</f>
        <v/>
      </c>
      <c r="G236" s="26" t="n">
        <f aca="false">'Loan Tape'!$AN213</f>
        <v>0</v>
      </c>
      <c r="H236" s="71" t="n">
        <f aca="false">'Loan Tape'!$R213*'Loan Tape'!$AN213</f>
        <v>0</v>
      </c>
      <c r="I236" s="56" t="n">
        <f aca="false">'Loan Tape'!$AO213</f>
        <v>0</v>
      </c>
      <c r="J236" s="71" t="n">
        <f aca="false">'Loan Tape'!$AY213</f>
        <v>0</v>
      </c>
      <c r="K236" s="71" t="n">
        <f aca="false">'Loan Tape'!$BB213</f>
        <v>0</v>
      </c>
      <c r="L236" s="56" t="n">
        <f aca="false">'Loan CF'!C520</f>
        <v>0</v>
      </c>
      <c r="M236" s="70" t="n">
        <f aca="false">'Loan Tape'!$AS213*'Loan Tape'!$AN213</f>
        <v>0</v>
      </c>
      <c r="N236" s="70" t="n">
        <f aca="false">IFERROR(SUMPRODUCT(('Loan CF'!$C$916:$L$916-0.5)*('Loan CF'!C1126:L1126+'Loan CF'!C1429:L1429+'Loan CF'!C1732:L1732))/(SUM('Loan CF'!C1126:L1126)+SUM('Loan CF'!C1429:L1429)+SUM('Loan CF'!C1732:L1732)),0)</f>
        <v>0</v>
      </c>
      <c r="O236" s="71" t="n">
        <f aca="false">SUM('Loan CF'!C2035:L2035)</f>
        <v>0</v>
      </c>
      <c r="P236" s="71" t="n">
        <f aca="false">SUM('Loan CF'!C1126:L1126)+SUM('Loan CF'!C1429:L1429)+SUM('Loan CF'!C1732:L1732)</f>
        <v>0</v>
      </c>
      <c r="Q236" s="71" t="n">
        <f aca="false">SUM('Loan CF'!C2338:L2338)</f>
        <v>0</v>
      </c>
      <c r="R236" s="71" t="n">
        <f aca="false">SUM('Loan CF'!C1429:L1429)*Prepay_Pen</f>
        <v>0</v>
      </c>
      <c r="S236" s="71" t="n">
        <f aca="false">'Loan CF'!$C2641</f>
        <v>0</v>
      </c>
      <c r="T236" s="71" t="n">
        <f aca="false">SUM(O236:S236)</f>
        <v>0</v>
      </c>
      <c r="U236" s="71" t="n">
        <f aca="false">SUM('Loan CF'!C823:L823)</f>
        <v>0</v>
      </c>
      <c r="V236" s="71" t="n">
        <f aca="false">U236*Sev</f>
        <v>0</v>
      </c>
      <c r="W236" s="71" t="n">
        <f aca="false">T236-K236</f>
        <v>0</v>
      </c>
      <c r="X236" s="109" t="str">
        <f aca="false">IFERROR(IRR('Loan CF'!C2944:M2944),"-")</f>
        <v>-</v>
      </c>
      <c r="Y236" s="110" t="str">
        <f aca="false">IFERROR(T236/K236,"-")</f>
        <v>-</v>
      </c>
      <c r="Z236" s="71" t="n">
        <f aca="false">'Loan Tape'!$BC213</f>
        <v>0</v>
      </c>
      <c r="AA236" s="71" t="n">
        <f aca="false">'Loan Tape'!$BE213</f>
        <v>0</v>
      </c>
      <c r="AB236" s="71" t="n">
        <f aca="false">SUM('Loan CF'!D3853:M3853)-AA236</f>
        <v>0</v>
      </c>
      <c r="AC236" s="109" t="str">
        <f aca="false">IFERROR(IRR('Loan CF'!C3853:M3853),"-")</f>
        <v>-</v>
      </c>
      <c r="AD236" s="110" t="str">
        <f aca="false">IFERROR(SUM('Loan CF'!D3853:M3853)/AA236,"-")</f>
        <v>-</v>
      </c>
    </row>
    <row r="237" customFormat="false" ht="15" hidden="false" customHeight="false" outlineLevel="0" collapsed="false">
      <c r="B237" s="102" t="str">
        <f aca="false">IF('Loan Tape'!$A214="","",'Loan Tape'!$A214)</f>
        <v/>
      </c>
      <c r="C237" s="102" t="str">
        <f aca="false">IF('Loan Tape'!$A214="","",'Loan Tape'!$B214)</f>
        <v/>
      </c>
      <c r="D237" s="102" t="str">
        <f aca="false">IF('Loan Tape'!$A214="","",'Loan Tape'!$C214)</f>
        <v/>
      </c>
      <c r="E237" s="102" t="str">
        <f aca="false">IF('Loan Tape'!$A214="","",'Loan Tape'!$D214)</f>
        <v/>
      </c>
      <c r="F237" s="102" t="str">
        <f aca="false">IF('Loan Tape'!$A214="","",'Loan Tape'!$E214)</f>
        <v/>
      </c>
      <c r="G237" s="103" t="n">
        <f aca="false">'Loan Tape'!$AN214</f>
        <v>0</v>
      </c>
      <c r="H237" s="99" t="n">
        <f aca="false">'Loan Tape'!$R214*'Loan Tape'!$AN214</f>
        <v>0</v>
      </c>
      <c r="I237" s="104" t="n">
        <f aca="false">'Loan Tape'!$AO214</f>
        <v>0</v>
      </c>
      <c r="J237" s="99" t="n">
        <f aca="false">'Loan Tape'!$AY214</f>
        <v>0</v>
      </c>
      <c r="K237" s="99" t="n">
        <f aca="false">'Loan Tape'!$BB214</f>
        <v>0</v>
      </c>
      <c r="L237" s="104" t="n">
        <f aca="false">'Loan CF'!C521</f>
        <v>0</v>
      </c>
      <c r="M237" s="105" t="n">
        <f aca="false">'Loan Tape'!$AS214*'Loan Tape'!$AN214</f>
        <v>0</v>
      </c>
      <c r="N237" s="105" t="n">
        <f aca="false">IFERROR(SUMPRODUCT(('Loan CF'!$C$916:$L$916-0.5)*('Loan CF'!C1127:L1127+'Loan CF'!C1430:L1430+'Loan CF'!C1733:L1733))/(SUM('Loan CF'!C1127:L1127)+SUM('Loan CF'!C1430:L1430)+SUM('Loan CF'!C1733:L1733)),0)</f>
        <v>0</v>
      </c>
      <c r="O237" s="99" t="n">
        <f aca="false">SUM('Loan CF'!C2036:L2036)</f>
        <v>0</v>
      </c>
      <c r="P237" s="99" t="n">
        <f aca="false">SUM('Loan CF'!C1127:L1127)+SUM('Loan CF'!C1430:L1430)+SUM('Loan CF'!C1733:L1733)</f>
        <v>0</v>
      </c>
      <c r="Q237" s="99" t="n">
        <f aca="false">SUM('Loan CF'!C2339:L2339)</f>
        <v>0</v>
      </c>
      <c r="R237" s="99" t="n">
        <f aca="false">SUM('Loan CF'!C1430:L1430)*Prepay_Pen</f>
        <v>0</v>
      </c>
      <c r="S237" s="99" t="n">
        <f aca="false">'Loan CF'!$C2642</f>
        <v>0</v>
      </c>
      <c r="T237" s="99" t="n">
        <f aca="false">SUM(O237:S237)</f>
        <v>0</v>
      </c>
      <c r="U237" s="99" t="n">
        <f aca="false">SUM('Loan CF'!C824:L824)</f>
        <v>0</v>
      </c>
      <c r="V237" s="99" t="n">
        <f aca="false">U237*Sev</f>
        <v>0</v>
      </c>
      <c r="W237" s="99" t="n">
        <f aca="false">T237-K237</f>
        <v>0</v>
      </c>
      <c r="X237" s="106" t="str">
        <f aca="false">IFERROR(IRR('Loan CF'!C2945:M2945),"-")</f>
        <v>-</v>
      </c>
      <c r="Y237" s="107" t="str">
        <f aca="false">IFERROR(T237/K237,"-")</f>
        <v>-</v>
      </c>
      <c r="Z237" s="99" t="n">
        <f aca="false">'Loan Tape'!$BC214</f>
        <v>0</v>
      </c>
      <c r="AA237" s="99" t="n">
        <f aca="false">'Loan Tape'!$BE214</f>
        <v>0</v>
      </c>
      <c r="AB237" s="99" t="n">
        <f aca="false">SUM('Loan CF'!D3854:M3854)-AA237</f>
        <v>0</v>
      </c>
      <c r="AC237" s="106" t="str">
        <f aca="false">IFERROR(IRR('Loan CF'!C3854:M3854),"-")</f>
        <v>-</v>
      </c>
      <c r="AD237" s="107" t="str">
        <f aca="false">IFERROR(SUM('Loan CF'!D3854:M3854)/AA237,"-")</f>
        <v>-</v>
      </c>
    </row>
    <row r="238" customFormat="false" ht="15" hidden="false" customHeight="false" outlineLevel="0" collapsed="false">
      <c r="B238" s="108" t="str">
        <f aca="false">IF('Loan Tape'!$A215="","",'Loan Tape'!$A215)</f>
        <v/>
      </c>
      <c r="C238" s="108" t="str">
        <f aca="false">IF('Loan Tape'!$A215="","",'Loan Tape'!$B215)</f>
        <v/>
      </c>
      <c r="D238" s="108" t="str">
        <f aca="false">IF('Loan Tape'!$A215="","",'Loan Tape'!$C215)</f>
        <v/>
      </c>
      <c r="E238" s="108" t="str">
        <f aca="false">IF('Loan Tape'!$A215="","",'Loan Tape'!$D215)</f>
        <v/>
      </c>
      <c r="F238" s="108" t="str">
        <f aca="false">IF('Loan Tape'!$A215="","",'Loan Tape'!$E215)</f>
        <v/>
      </c>
      <c r="G238" s="26" t="n">
        <f aca="false">'Loan Tape'!$AN215</f>
        <v>0</v>
      </c>
      <c r="H238" s="71" t="n">
        <f aca="false">'Loan Tape'!$R215*'Loan Tape'!$AN215</f>
        <v>0</v>
      </c>
      <c r="I238" s="56" t="n">
        <f aca="false">'Loan Tape'!$AO215</f>
        <v>0</v>
      </c>
      <c r="J238" s="71" t="n">
        <f aca="false">'Loan Tape'!$AY215</f>
        <v>0</v>
      </c>
      <c r="K238" s="71" t="n">
        <f aca="false">'Loan Tape'!$BB215</f>
        <v>0</v>
      </c>
      <c r="L238" s="56" t="n">
        <f aca="false">'Loan CF'!C522</f>
        <v>0</v>
      </c>
      <c r="M238" s="70" t="n">
        <f aca="false">'Loan Tape'!$AS215*'Loan Tape'!$AN215</f>
        <v>0</v>
      </c>
      <c r="N238" s="70" t="n">
        <f aca="false">IFERROR(SUMPRODUCT(('Loan CF'!$C$916:$L$916-0.5)*('Loan CF'!C1128:L1128+'Loan CF'!C1431:L1431+'Loan CF'!C1734:L1734))/(SUM('Loan CF'!C1128:L1128)+SUM('Loan CF'!C1431:L1431)+SUM('Loan CF'!C1734:L1734)),0)</f>
        <v>0</v>
      </c>
      <c r="O238" s="71" t="n">
        <f aca="false">SUM('Loan CF'!C2037:L2037)</f>
        <v>0</v>
      </c>
      <c r="P238" s="71" t="n">
        <f aca="false">SUM('Loan CF'!C1128:L1128)+SUM('Loan CF'!C1431:L1431)+SUM('Loan CF'!C1734:L1734)</f>
        <v>0</v>
      </c>
      <c r="Q238" s="71" t="n">
        <f aca="false">SUM('Loan CF'!C2340:L2340)</f>
        <v>0</v>
      </c>
      <c r="R238" s="71" t="n">
        <f aca="false">SUM('Loan CF'!C1431:L1431)*Prepay_Pen</f>
        <v>0</v>
      </c>
      <c r="S238" s="71" t="n">
        <f aca="false">'Loan CF'!$C2643</f>
        <v>0</v>
      </c>
      <c r="T238" s="71" t="n">
        <f aca="false">SUM(O238:S238)</f>
        <v>0</v>
      </c>
      <c r="U238" s="71" t="n">
        <f aca="false">SUM('Loan CF'!C825:L825)</f>
        <v>0</v>
      </c>
      <c r="V238" s="71" t="n">
        <f aca="false">U238*Sev</f>
        <v>0</v>
      </c>
      <c r="W238" s="71" t="n">
        <f aca="false">T238-K238</f>
        <v>0</v>
      </c>
      <c r="X238" s="109" t="str">
        <f aca="false">IFERROR(IRR('Loan CF'!C2946:M2946),"-")</f>
        <v>-</v>
      </c>
      <c r="Y238" s="110" t="str">
        <f aca="false">IFERROR(T238/K238,"-")</f>
        <v>-</v>
      </c>
      <c r="Z238" s="71" t="n">
        <f aca="false">'Loan Tape'!$BC215</f>
        <v>0</v>
      </c>
      <c r="AA238" s="71" t="n">
        <f aca="false">'Loan Tape'!$BE215</f>
        <v>0</v>
      </c>
      <c r="AB238" s="71" t="n">
        <f aca="false">SUM('Loan CF'!D3855:M3855)-AA238</f>
        <v>0</v>
      </c>
      <c r="AC238" s="109" t="str">
        <f aca="false">IFERROR(IRR('Loan CF'!C3855:M3855),"-")</f>
        <v>-</v>
      </c>
      <c r="AD238" s="110" t="str">
        <f aca="false">IFERROR(SUM('Loan CF'!D3855:M3855)/AA238,"-")</f>
        <v>-</v>
      </c>
    </row>
    <row r="239" customFormat="false" ht="15" hidden="false" customHeight="false" outlineLevel="0" collapsed="false">
      <c r="B239" s="102" t="str">
        <f aca="false">IF('Loan Tape'!$A216="","",'Loan Tape'!$A216)</f>
        <v/>
      </c>
      <c r="C239" s="102" t="str">
        <f aca="false">IF('Loan Tape'!$A216="","",'Loan Tape'!$B216)</f>
        <v/>
      </c>
      <c r="D239" s="102" t="str">
        <f aca="false">IF('Loan Tape'!$A216="","",'Loan Tape'!$C216)</f>
        <v/>
      </c>
      <c r="E239" s="102" t="str">
        <f aca="false">IF('Loan Tape'!$A216="","",'Loan Tape'!$D216)</f>
        <v/>
      </c>
      <c r="F239" s="102" t="str">
        <f aca="false">IF('Loan Tape'!$A216="","",'Loan Tape'!$E216)</f>
        <v/>
      </c>
      <c r="G239" s="103" t="n">
        <f aca="false">'Loan Tape'!$AN216</f>
        <v>0</v>
      </c>
      <c r="H239" s="99" t="n">
        <f aca="false">'Loan Tape'!$R216*'Loan Tape'!$AN216</f>
        <v>0</v>
      </c>
      <c r="I239" s="104" t="n">
        <f aca="false">'Loan Tape'!$AO216</f>
        <v>0</v>
      </c>
      <c r="J239" s="99" t="n">
        <f aca="false">'Loan Tape'!$AY216</f>
        <v>0</v>
      </c>
      <c r="K239" s="99" t="n">
        <f aca="false">'Loan Tape'!$BB216</f>
        <v>0</v>
      </c>
      <c r="L239" s="104" t="n">
        <f aca="false">'Loan CF'!C523</f>
        <v>0</v>
      </c>
      <c r="M239" s="105" t="n">
        <f aca="false">'Loan Tape'!$AS216*'Loan Tape'!$AN216</f>
        <v>0</v>
      </c>
      <c r="N239" s="105" t="n">
        <f aca="false">IFERROR(SUMPRODUCT(('Loan CF'!$C$916:$L$916-0.5)*('Loan CF'!C1129:L1129+'Loan CF'!C1432:L1432+'Loan CF'!C1735:L1735))/(SUM('Loan CF'!C1129:L1129)+SUM('Loan CF'!C1432:L1432)+SUM('Loan CF'!C1735:L1735)),0)</f>
        <v>0</v>
      </c>
      <c r="O239" s="99" t="n">
        <f aca="false">SUM('Loan CF'!C2038:L2038)</f>
        <v>0</v>
      </c>
      <c r="P239" s="99" t="n">
        <f aca="false">SUM('Loan CF'!C1129:L1129)+SUM('Loan CF'!C1432:L1432)+SUM('Loan CF'!C1735:L1735)</f>
        <v>0</v>
      </c>
      <c r="Q239" s="99" t="n">
        <f aca="false">SUM('Loan CF'!C2341:L2341)</f>
        <v>0</v>
      </c>
      <c r="R239" s="99" t="n">
        <f aca="false">SUM('Loan CF'!C1432:L1432)*Prepay_Pen</f>
        <v>0</v>
      </c>
      <c r="S239" s="99" t="n">
        <f aca="false">'Loan CF'!$C2644</f>
        <v>0</v>
      </c>
      <c r="T239" s="99" t="n">
        <f aca="false">SUM(O239:S239)</f>
        <v>0</v>
      </c>
      <c r="U239" s="99" t="n">
        <f aca="false">SUM('Loan CF'!C826:L826)</f>
        <v>0</v>
      </c>
      <c r="V239" s="99" t="n">
        <f aca="false">U239*Sev</f>
        <v>0</v>
      </c>
      <c r="W239" s="99" t="n">
        <f aca="false">T239-K239</f>
        <v>0</v>
      </c>
      <c r="X239" s="106" t="str">
        <f aca="false">IFERROR(IRR('Loan CF'!C2947:M2947),"-")</f>
        <v>-</v>
      </c>
      <c r="Y239" s="107" t="str">
        <f aca="false">IFERROR(T239/K239,"-")</f>
        <v>-</v>
      </c>
      <c r="Z239" s="99" t="n">
        <f aca="false">'Loan Tape'!$BC216</f>
        <v>0</v>
      </c>
      <c r="AA239" s="99" t="n">
        <f aca="false">'Loan Tape'!$BE216</f>
        <v>0</v>
      </c>
      <c r="AB239" s="99" t="n">
        <f aca="false">SUM('Loan CF'!D3856:M3856)-AA239</f>
        <v>0</v>
      </c>
      <c r="AC239" s="106" t="str">
        <f aca="false">IFERROR(IRR('Loan CF'!C3856:M3856),"-")</f>
        <v>-</v>
      </c>
      <c r="AD239" s="107" t="str">
        <f aca="false">IFERROR(SUM('Loan CF'!D3856:M3856)/AA239,"-")</f>
        <v>-</v>
      </c>
    </row>
    <row r="240" customFormat="false" ht="15" hidden="false" customHeight="false" outlineLevel="0" collapsed="false">
      <c r="B240" s="108" t="str">
        <f aca="false">IF('Loan Tape'!$A217="","",'Loan Tape'!$A217)</f>
        <v/>
      </c>
      <c r="C240" s="108" t="str">
        <f aca="false">IF('Loan Tape'!$A217="","",'Loan Tape'!$B217)</f>
        <v/>
      </c>
      <c r="D240" s="108" t="str">
        <f aca="false">IF('Loan Tape'!$A217="","",'Loan Tape'!$C217)</f>
        <v/>
      </c>
      <c r="E240" s="108" t="str">
        <f aca="false">IF('Loan Tape'!$A217="","",'Loan Tape'!$D217)</f>
        <v/>
      </c>
      <c r="F240" s="108" t="str">
        <f aca="false">IF('Loan Tape'!$A217="","",'Loan Tape'!$E217)</f>
        <v/>
      </c>
      <c r="G240" s="26" t="n">
        <f aca="false">'Loan Tape'!$AN217</f>
        <v>0</v>
      </c>
      <c r="H240" s="71" t="n">
        <f aca="false">'Loan Tape'!$R217*'Loan Tape'!$AN217</f>
        <v>0</v>
      </c>
      <c r="I240" s="56" t="n">
        <f aca="false">'Loan Tape'!$AO217</f>
        <v>0</v>
      </c>
      <c r="J240" s="71" t="n">
        <f aca="false">'Loan Tape'!$AY217</f>
        <v>0</v>
      </c>
      <c r="K240" s="71" t="n">
        <f aca="false">'Loan Tape'!$BB217</f>
        <v>0</v>
      </c>
      <c r="L240" s="56" t="n">
        <f aca="false">'Loan CF'!C524</f>
        <v>0</v>
      </c>
      <c r="M240" s="70" t="n">
        <f aca="false">'Loan Tape'!$AS217*'Loan Tape'!$AN217</f>
        <v>0</v>
      </c>
      <c r="N240" s="70" t="n">
        <f aca="false">IFERROR(SUMPRODUCT(('Loan CF'!$C$916:$L$916-0.5)*('Loan CF'!C1130:L1130+'Loan CF'!C1433:L1433+'Loan CF'!C1736:L1736))/(SUM('Loan CF'!C1130:L1130)+SUM('Loan CF'!C1433:L1433)+SUM('Loan CF'!C1736:L1736)),0)</f>
        <v>0</v>
      </c>
      <c r="O240" s="71" t="n">
        <f aca="false">SUM('Loan CF'!C2039:L2039)</f>
        <v>0</v>
      </c>
      <c r="P240" s="71" t="n">
        <f aca="false">SUM('Loan CF'!C1130:L1130)+SUM('Loan CF'!C1433:L1433)+SUM('Loan CF'!C1736:L1736)</f>
        <v>0</v>
      </c>
      <c r="Q240" s="71" t="n">
        <f aca="false">SUM('Loan CF'!C2342:L2342)</f>
        <v>0</v>
      </c>
      <c r="R240" s="71" t="n">
        <f aca="false">SUM('Loan CF'!C1433:L1433)*Prepay_Pen</f>
        <v>0</v>
      </c>
      <c r="S240" s="71" t="n">
        <f aca="false">'Loan CF'!$C2645</f>
        <v>0</v>
      </c>
      <c r="T240" s="71" t="n">
        <f aca="false">SUM(O240:S240)</f>
        <v>0</v>
      </c>
      <c r="U240" s="71" t="n">
        <f aca="false">SUM('Loan CF'!C827:L827)</f>
        <v>0</v>
      </c>
      <c r="V240" s="71" t="n">
        <f aca="false">U240*Sev</f>
        <v>0</v>
      </c>
      <c r="W240" s="71" t="n">
        <f aca="false">T240-K240</f>
        <v>0</v>
      </c>
      <c r="X240" s="109" t="str">
        <f aca="false">IFERROR(IRR('Loan CF'!C2948:M2948),"-")</f>
        <v>-</v>
      </c>
      <c r="Y240" s="110" t="str">
        <f aca="false">IFERROR(T240/K240,"-")</f>
        <v>-</v>
      </c>
      <c r="Z240" s="71" t="n">
        <f aca="false">'Loan Tape'!$BC217</f>
        <v>0</v>
      </c>
      <c r="AA240" s="71" t="n">
        <f aca="false">'Loan Tape'!$BE217</f>
        <v>0</v>
      </c>
      <c r="AB240" s="71" t="n">
        <f aca="false">SUM('Loan CF'!D3857:M3857)-AA240</f>
        <v>0</v>
      </c>
      <c r="AC240" s="109" t="str">
        <f aca="false">IFERROR(IRR('Loan CF'!C3857:M3857),"-")</f>
        <v>-</v>
      </c>
      <c r="AD240" s="110" t="str">
        <f aca="false">IFERROR(SUM('Loan CF'!D3857:M3857)/AA240,"-")</f>
        <v>-</v>
      </c>
    </row>
    <row r="241" customFormat="false" ht="15" hidden="false" customHeight="false" outlineLevel="0" collapsed="false">
      <c r="B241" s="102" t="str">
        <f aca="false">IF('Loan Tape'!$A218="","",'Loan Tape'!$A218)</f>
        <v/>
      </c>
      <c r="C241" s="102" t="str">
        <f aca="false">IF('Loan Tape'!$A218="","",'Loan Tape'!$B218)</f>
        <v/>
      </c>
      <c r="D241" s="102" t="str">
        <f aca="false">IF('Loan Tape'!$A218="","",'Loan Tape'!$C218)</f>
        <v/>
      </c>
      <c r="E241" s="102" t="str">
        <f aca="false">IF('Loan Tape'!$A218="","",'Loan Tape'!$D218)</f>
        <v/>
      </c>
      <c r="F241" s="102" t="str">
        <f aca="false">IF('Loan Tape'!$A218="","",'Loan Tape'!$E218)</f>
        <v/>
      </c>
      <c r="G241" s="103" t="n">
        <f aca="false">'Loan Tape'!$AN218</f>
        <v>0</v>
      </c>
      <c r="H241" s="99" t="n">
        <f aca="false">'Loan Tape'!$R218*'Loan Tape'!$AN218</f>
        <v>0</v>
      </c>
      <c r="I241" s="104" t="n">
        <f aca="false">'Loan Tape'!$AO218</f>
        <v>0</v>
      </c>
      <c r="J241" s="99" t="n">
        <f aca="false">'Loan Tape'!$AY218</f>
        <v>0</v>
      </c>
      <c r="K241" s="99" t="n">
        <f aca="false">'Loan Tape'!$BB218</f>
        <v>0</v>
      </c>
      <c r="L241" s="104" t="n">
        <f aca="false">'Loan CF'!C525</f>
        <v>0</v>
      </c>
      <c r="M241" s="105" t="n">
        <f aca="false">'Loan Tape'!$AS218*'Loan Tape'!$AN218</f>
        <v>0</v>
      </c>
      <c r="N241" s="105" t="n">
        <f aca="false">IFERROR(SUMPRODUCT(('Loan CF'!$C$916:$L$916-0.5)*('Loan CF'!C1131:L1131+'Loan CF'!C1434:L1434+'Loan CF'!C1737:L1737))/(SUM('Loan CF'!C1131:L1131)+SUM('Loan CF'!C1434:L1434)+SUM('Loan CF'!C1737:L1737)),0)</f>
        <v>0</v>
      </c>
      <c r="O241" s="99" t="n">
        <f aca="false">SUM('Loan CF'!C2040:L2040)</f>
        <v>0</v>
      </c>
      <c r="P241" s="99" t="n">
        <f aca="false">SUM('Loan CF'!C1131:L1131)+SUM('Loan CF'!C1434:L1434)+SUM('Loan CF'!C1737:L1737)</f>
        <v>0</v>
      </c>
      <c r="Q241" s="99" t="n">
        <f aca="false">SUM('Loan CF'!C2343:L2343)</f>
        <v>0</v>
      </c>
      <c r="R241" s="99" t="n">
        <f aca="false">SUM('Loan CF'!C1434:L1434)*Prepay_Pen</f>
        <v>0</v>
      </c>
      <c r="S241" s="99" t="n">
        <f aca="false">'Loan CF'!$C2646</f>
        <v>0</v>
      </c>
      <c r="T241" s="99" t="n">
        <f aca="false">SUM(O241:S241)</f>
        <v>0</v>
      </c>
      <c r="U241" s="99" t="n">
        <f aca="false">SUM('Loan CF'!C828:L828)</f>
        <v>0</v>
      </c>
      <c r="V241" s="99" t="n">
        <f aca="false">U241*Sev</f>
        <v>0</v>
      </c>
      <c r="W241" s="99" t="n">
        <f aca="false">T241-K241</f>
        <v>0</v>
      </c>
      <c r="X241" s="106" t="str">
        <f aca="false">IFERROR(IRR('Loan CF'!C2949:M2949),"-")</f>
        <v>-</v>
      </c>
      <c r="Y241" s="107" t="str">
        <f aca="false">IFERROR(T241/K241,"-")</f>
        <v>-</v>
      </c>
      <c r="Z241" s="99" t="n">
        <f aca="false">'Loan Tape'!$BC218</f>
        <v>0</v>
      </c>
      <c r="AA241" s="99" t="n">
        <f aca="false">'Loan Tape'!$BE218</f>
        <v>0</v>
      </c>
      <c r="AB241" s="99" t="n">
        <f aca="false">SUM('Loan CF'!D3858:M3858)-AA241</f>
        <v>0</v>
      </c>
      <c r="AC241" s="106" t="str">
        <f aca="false">IFERROR(IRR('Loan CF'!C3858:M3858),"-")</f>
        <v>-</v>
      </c>
      <c r="AD241" s="107" t="str">
        <f aca="false">IFERROR(SUM('Loan CF'!D3858:M3858)/AA241,"-")</f>
        <v>-</v>
      </c>
    </row>
    <row r="242" customFormat="false" ht="15" hidden="false" customHeight="false" outlineLevel="0" collapsed="false">
      <c r="B242" s="108" t="str">
        <f aca="false">IF('Loan Tape'!$A219="","",'Loan Tape'!$A219)</f>
        <v/>
      </c>
      <c r="C242" s="108" t="str">
        <f aca="false">IF('Loan Tape'!$A219="","",'Loan Tape'!$B219)</f>
        <v/>
      </c>
      <c r="D242" s="108" t="str">
        <f aca="false">IF('Loan Tape'!$A219="","",'Loan Tape'!$C219)</f>
        <v/>
      </c>
      <c r="E242" s="108" t="str">
        <f aca="false">IF('Loan Tape'!$A219="","",'Loan Tape'!$D219)</f>
        <v/>
      </c>
      <c r="F242" s="108" t="str">
        <f aca="false">IF('Loan Tape'!$A219="","",'Loan Tape'!$E219)</f>
        <v/>
      </c>
      <c r="G242" s="26" t="n">
        <f aca="false">'Loan Tape'!$AN219</f>
        <v>0</v>
      </c>
      <c r="H242" s="71" t="n">
        <f aca="false">'Loan Tape'!$R219*'Loan Tape'!$AN219</f>
        <v>0</v>
      </c>
      <c r="I242" s="56" t="n">
        <f aca="false">'Loan Tape'!$AO219</f>
        <v>0</v>
      </c>
      <c r="J242" s="71" t="n">
        <f aca="false">'Loan Tape'!$AY219</f>
        <v>0</v>
      </c>
      <c r="K242" s="71" t="n">
        <f aca="false">'Loan Tape'!$BB219</f>
        <v>0</v>
      </c>
      <c r="L242" s="56" t="n">
        <f aca="false">'Loan CF'!C526</f>
        <v>0</v>
      </c>
      <c r="M242" s="70" t="n">
        <f aca="false">'Loan Tape'!$AS219*'Loan Tape'!$AN219</f>
        <v>0</v>
      </c>
      <c r="N242" s="70" t="n">
        <f aca="false">IFERROR(SUMPRODUCT(('Loan CF'!$C$916:$L$916-0.5)*('Loan CF'!C1132:L1132+'Loan CF'!C1435:L1435+'Loan CF'!C1738:L1738))/(SUM('Loan CF'!C1132:L1132)+SUM('Loan CF'!C1435:L1435)+SUM('Loan CF'!C1738:L1738)),0)</f>
        <v>0</v>
      </c>
      <c r="O242" s="71" t="n">
        <f aca="false">SUM('Loan CF'!C2041:L2041)</f>
        <v>0</v>
      </c>
      <c r="P242" s="71" t="n">
        <f aca="false">SUM('Loan CF'!C1132:L1132)+SUM('Loan CF'!C1435:L1435)+SUM('Loan CF'!C1738:L1738)</f>
        <v>0</v>
      </c>
      <c r="Q242" s="71" t="n">
        <f aca="false">SUM('Loan CF'!C2344:L2344)</f>
        <v>0</v>
      </c>
      <c r="R242" s="71" t="n">
        <f aca="false">SUM('Loan CF'!C1435:L1435)*Prepay_Pen</f>
        <v>0</v>
      </c>
      <c r="S242" s="71" t="n">
        <f aca="false">'Loan CF'!$C2647</f>
        <v>0</v>
      </c>
      <c r="T242" s="71" t="n">
        <f aca="false">SUM(O242:S242)</f>
        <v>0</v>
      </c>
      <c r="U242" s="71" t="n">
        <f aca="false">SUM('Loan CF'!C829:L829)</f>
        <v>0</v>
      </c>
      <c r="V242" s="71" t="n">
        <f aca="false">U242*Sev</f>
        <v>0</v>
      </c>
      <c r="W242" s="71" t="n">
        <f aca="false">T242-K242</f>
        <v>0</v>
      </c>
      <c r="X242" s="109" t="str">
        <f aca="false">IFERROR(IRR('Loan CF'!C2950:M2950),"-")</f>
        <v>-</v>
      </c>
      <c r="Y242" s="110" t="str">
        <f aca="false">IFERROR(T242/K242,"-")</f>
        <v>-</v>
      </c>
      <c r="Z242" s="71" t="n">
        <f aca="false">'Loan Tape'!$BC219</f>
        <v>0</v>
      </c>
      <c r="AA242" s="71" t="n">
        <f aca="false">'Loan Tape'!$BE219</f>
        <v>0</v>
      </c>
      <c r="AB242" s="71" t="n">
        <f aca="false">SUM('Loan CF'!D3859:M3859)-AA242</f>
        <v>0</v>
      </c>
      <c r="AC242" s="109" t="str">
        <f aca="false">IFERROR(IRR('Loan CF'!C3859:M3859),"-")</f>
        <v>-</v>
      </c>
      <c r="AD242" s="110" t="str">
        <f aca="false">IFERROR(SUM('Loan CF'!D3859:M3859)/AA242,"-")</f>
        <v>-</v>
      </c>
    </row>
    <row r="243" customFormat="false" ht="15" hidden="false" customHeight="false" outlineLevel="0" collapsed="false">
      <c r="B243" s="102" t="str">
        <f aca="false">IF('Loan Tape'!$A220="","",'Loan Tape'!$A220)</f>
        <v/>
      </c>
      <c r="C243" s="102" t="str">
        <f aca="false">IF('Loan Tape'!$A220="","",'Loan Tape'!$B220)</f>
        <v/>
      </c>
      <c r="D243" s="102" t="str">
        <f aca="false">IF('Loan Tape'!$A220="","",'Loan Tape'!$C220)</f>
        <v/>
      </c>
      <c r="E243" s="102" t="str">
        <f aca="false">IF('Loan Tape'!$A220="","",'Loan Tape'!$D220)</f>
        <v/>
      </c>
      <c r="F243" s="102" t="str">
        <f aca="false">IF('Loan Tape'!$A220="","",'Loan Tape'!$E220)</f>
        <v/>
      </c>
      <c r="G243" s="103" t="n">
        <f aca="false">'Loan Tape'!$AN220</f>
        <v>0</v>
      </c>
      <c r="H243" s="99" t="n">
        <f aca="false">'Loan Tape'!$R220*'Loan Tape'!$AN220</f>
        <v>0</v>
      </c>
      <c r="I243" s="104" t="n">
        <f aca="false">'Loan Tape'!$AO220</f>
        <v>0</v>
      </c>
      <c r="J243" s="99" t="n">
        <f aca="false">'Loan Tape'!$AY220</f>
        <v>0</v>
      </c>
      <c r="K243" s="99" t="n">
        <f aca="false">'Loan Tape'!$BB220</f>
        <v>0</v>
      </c>
      <c r="L243" s="104" t="n">
        <f aca="false">'Loan CF'!C527</f>
        <v>0</v>
      </c>
      <c r="M243" s="105" t="n">
        <f aca="false">'Loan Tape'!$AS220*'Loan Tape'!$AN220</f>
        <v>0</v>
      </c>
      <c r="N243" s="105" t="n">
        <f aca="false">IFERROR(SUMPRODUCT(('Loan CF'!$C$916:$L$916-0.5)*('Loan CF'!C1133:L1133+'Loan CF'!C1436:L1436+'Loan CF'!C1739:L1739))/(SUM('Loan CF'!C1133:L1133)+SUM('Loan CF'!C1436:L1436)+SUM('Loan CF'!C1739:L1739)),0)</f>
        <v>0</v>
      </c>
      <c r="O243" s="99" t="n">
        <f aca="false">SUM('Loan CF'!C2042:L2042)</f>
        <v>0</v>
      </c>
      <c r="P243" s="99" t="n">
        <f aca="false">SUM('Loan CF'!C1133:L1133)+SUM('Loan CF'!C1436:L1436)+SUM('Loan CF'!C1739:L1739)</f>
        <v>0</v>
      </c>
      <c r="Q243" s="99" t="n">
        <f aca="false">SUM('Loan CF'!C2345:L2345)</f>
        <v>0</v>
      </c>
      <c r="R243" s="99" t="n">
        <f aca="false">SUM('Loan CF'!C1436:L1436)*Prepay_Pen</f>
        <v>0</v>
      </c>
      <c r="S243" s="99" t="n">
        <f aca="false">'Loan CF'!$C2648</f>
        <v>0</v>
      </c>
      <c r="T243" s="99" t="n">
        <f aca="false">SUM(O243:S243)</f>
        <v>0</v>
      </c>
      <c r="U243" s="99" t="n">
        <f aca="false">SUM('Loan CF'!C830:L830)</f>
        <v>0</v>
      </c>
      <c r="V243" s="99" t="n">
        <f aca="false">U243*Sev</f>
        <v>0</v>
      </c>
      <c r="W243" s="99" t="n">
        <f aca="false">T243-K243</f>
        <v>0</v>
      </c>
      <c r="X243" s="106" t="str">
        <f aca="false">IFERROR(IRR('Loan CF'!C2951:M2951),"-")</f>
        <v>-</v>
      </c>
      <c r="Y243" s="107" t="str">
        <f aca="false">IFERROR(T243/K243,"-")</f>
        <v>-</v>
      </c>
      <c r="Z243" s="99" t="n">
        <f aca="false">'Loan Tape'!$BC220</f>
        <v>0</v>
      </c>
      <c r="AA243" s="99" t="n">
        <f aca="false">'Loan Tape'!$BE220</f>
        <v>0</v>
      </c>
      <c r="AB243" s="99" t="n">
        <f aca="false">SUM('Loan CF'!D3860:M3860)-AA243</f>
        <v>0</v>
      </c>
      <c r="AC243" s="106" t="str">
        <f aca="false">IFERROR(IRR('Loan CF'!C3860:M3860),"-")</f>
        <v>-</v>
      </c>
      <c r="AD243" s="107" t="str">
        <f aca="false">IFERROR(SUM('Loan CF'!D3860:M3860)/AA243,"-")</f>
        <v>-</v>
      </c>
    </row>
    <row r="244" customFormat="false" ht="15" hidden="false" customHeight="false" outlineLevel="0" collapsed="false">
      <c r="B244" s="108" t="str">
        <f aca="false">IF('Loan Tape'!$A221="","",'Loan Tape'!$A221)</f>
        <v/>
      </c>
      <c r="C244" s="108" t="str">
        <f aca="false">IF('Loan Tape'!$A221="","",'Loan Tape'!$B221)</f>
        <v/>
      </c>
      <c r="D244" s="108" t="str">
        <f aca="false">IF('Loan Tape'!$A221="","",'Loan Tape'!$C221)</f>
        <v/>
      </c>
      <c r="E244" s="108" t="str">
        <f aca="false">IF('Loan Tape'!$A221="","",'Loan Tape'!$D221)</f>
        <v/>
      </c>
      <c r="F244" s="108" t="str">
        <f aca="false">IF('Loan Tape'!$A221="","",'Loan Tape'!$E221)</f>
        <v/>
      </c>
      <c r="G244" s="26" t="n">
        <f aca="false">'Loan Tape'!$AN221</f>
        <v>0</v>
      </c>
      <c r="H244" s="71" t="n">
        <f aca="false">'Loan Tape'!$R221*'Loan Tape'!$AN221</f>
        <v>0</v>
      </c>
      <c r="I244" s="56" t="n">
        <f aca="false">'Loan Tape'!$AO221</f>
        <v>0</v>
      </c>
      <c r="J244" s="71" t="n">
        <f aca="false">'Loan Tape'!$AY221</f>
        <v>0</v>
      </c>
      <c r="K244" s="71" t="n">
        <f aca="false">'Loan Tape'!$BB221</f>
        <v>0</v>
      </c>
      <c r="L244" s="56" t="n">
        <f aca="false">'Loan CF'!C528</f>
        <v>0</v>
      </c>
      <c r="M244" s="70" t="n">
        <f aca="false">'Loan Tape'!$AS221*'Loan Tape'!$AN221</f>
        <v>0</v>
      </c>
      <c r="N244" s="70" t="n">
        <f aca="false">IFERROR(SUMPRODUCT(('Loan CF'!$C$916:$L$916-0.5)*('Loan CF'!C1134:L1134+'Loan CF'!C1437:L1437+'Loan CF'!C1740:L1740))/(SUM('Loan CF'!C1134:L1134)+SUM('Loan CF'!C1437:L1437)+SUM('Loan CF'!C1740:L1740)),0)</f>
        <v>0</v>
      </c>
      <c r="O244" s="71" t="n">
        <f aca="false">SUM('Loan CF'!C2043:L2043)</f>
        <v>0</v>
      </c>
      <c r="P244" s="71" t="n">
        <f aca="false">SUM('Loan CF'!C1134:L1134)+SUM('Loan CF'!C1437:L1437)+SUM('Loan CF'!C1740:L1740)</f>
        <v>0</v>
      </c>
      <c r="Q244" s="71" t="n">
        <f aca="false">SUM('Loan CF'!C2346:L2346)</f>
        <v>0</v>
      </c>
      <c r="R244" s="71" t="n">
        <f aca="false">SUM('Loan CF'!C1437:L1437)*Prepay_Pen</f>
        <v>0</v>
      </c>
      <c r="S244" s="71" t="n">
        <f aca="false">'Loan CF'!$C2649</f>
        <v>0</v>
      </c>
      <c r="T244" s="71" t="n">
        <f aca="false">SUM(O244:S244)</f>
        <v>0</v>
      </c>
      <c r="U244" s="71" t="n">
        <f aca="false">SUM('Loan CF'!C831:L831)</f>
        <v>0</v>
      </c>
      <c r="V244" s="71" t="n">
        <f aca="false">U244*Sev</f>
        <v>0</v>
      </c>
      <c r="W244" s="71" t="n">
        <f aca="false">T244-K244</f>
        <v>0</v>
      </c>
      <c r="X244" s="109" t="str">
        <f aca="false">IFERROR(IRR('Loan CF'!C2952:M2952),"-")</f>
        <v>-</v>
      </c>
      <c r="Y244" s="110" t="str">
        <f aca="false">IFERROR(T244/K244,"-")</f>
        <v>-</v>
      </c>
      <c r="Z244" s="71" t="n">
        <f aca="false">'Loan Tape'!$BC221</f>
        <v>0</v>
      </c>
      <c r="AA244" s="71" t="n">
        <f aca="false">'Loan Tape'!$BE221</f>
        <v>0</v>
      </c>
      <c r="AB244" s="71" t="n">
        <f aca="false">SUM('Loan CF'!D3861:M3861)-AA244</f>
        <v>0</v>
      </c>
      <c r="AC244" s="109" t="str">
        <f aca="false">IFERROR(IRR('Loan CF'!C3861:M3861),"-")</f>
        <v>-</v>
      </c>
      <c r="AD244" s="110" t="str">
        <f aca="false">IFERROR(SUM('Loan CF'!D3861:M3861)/AA244,"-")</f>
        <v>-</v>
      </c>
    </row>
    <row r="245" customFormat="false" ht="15" hidden="false" customHeight="false" outlineLevel="0" collapsed="false">
      <c r="B245" s="102" t="str">
        <f aca="false">IF('Loan Tape'!$A222="","",'Loan Tape'!$A222)</f>
        <v/>
      </c>
      <c r="C245" s="102" t="str">
        <f aca="false">IF('Loan Tape'!$A222="","",'Loan Tape'!$B222)</f>
        <v/>
      </c>
      <c r="D245" s="102" t="str">
        <f aca="false">IF('Loan Tape'!$A222="","",'Loan Tape'!$C222)</f>
        <v/>
      </c>
      <c r="E245" s="102" t="str">
        <f aca="false">IF('Loan Tape'!$A222="","",'Loan Tape'!$D222)</f>
        <v/>
      </c>
      <c r="F245" s="102" t="str">
        <f aca="false">IF('Loan Tape'!$A222="","",'Loan Tape'!$E222)</f>
        <v/>
      </c>
      <c r="G245" s="103" t="n">
        <f aca="false">'Loan Tape'!$AN222</f>
        <v>0</v>
      </c>
      <c r="H245" s="99" t="n">
        <f aca="false">'Loan Tape'!$R222*'Loan Tape'!$AN222</f>
        <v>0</v>
      </c>
      <c r="I245" s="104" t="n">
        <f aca="false">'Loan Tape'!$AO222</f>
        <v>0</v>
      </c>
      <c r="J245" s="99" t="n">
        <f aca="false">'Loan Tape'!$AY222</f>
        <v>0</v>
      </c>
      <c r="K245" s="99" t="n">
        <f aca="false">'Loan Tape'!$BB222</f>
        <v>0</v>
      </c>
      <c r="L245" s="104" t="n">
        <f aca="false">'Loan CF'!C529</f>
        <v>0</v>
      </c>
      <c r="M245" s="105" t="n">
        <f aca="false">'Loan Tape'!$AS222*'Loan Tape'!$AN222</f>
        <v>0</v>
      </c>
      <c r="N245" s="105" t="n">
        <f aca="false">IFERROR(SUMPRODUCT(('Loan CF'!$C$916:$L$916-0.5)*('Loan CF'!C1135:L1135+'Loan CF'!C1438:L1438+'Loan CF'!C1741:L1741))/(SUM('Loan CF'!C1135:L1135)+SUM('Loan CF'!C1438:L1438)+SUM('Loan CF'!C1741:L1741)),0)</f>
        <v>0</v>
      </c>
      <c r="O245" s="99" t="n">
        <f aca="false">SUM('Loan CF'!C2044:L2044)</f>
        <v>0</v>
      </c>
      <c r="P245" s="99" t="n">
        <f aca="false">SUM('Loan CF'!C1135:L1135)+SUM('Loan CF'!C1438:L1438)+SUM('Loan CF'!C1741:L1741)</f>
        <v>0</v>
      </c>
      <c r="Q245" s="99" t="n">
        <f aca="false">SUM('Loan CF'!C2347:L2347)</f>
        <v>0</v>
      </c>
      <c r="R245" s="99" t="n">
        <f aca="false">SUM('Loan CF'!C1438:L1438)*Prepay_Pen</f>
        <v>0</v>
      </c>
      <c r="S245" s="99" t="n">
        <f aca="false">'Loan CF'!$C2650</f>
        <v>0</v>
      </c>
      <c r="T245" s="99" t="n">
        <f aca="false">SUM(O245:S245)</f>
        <v>0</v>
      </c>
      <c r="U245" s="99" t="n">
        <f aca="false">SUM('Loan CF'!C832:L832)</f>
        <v>0</v>
      </c>
      <c r="V245" s="99" t="n">
        <f aca="false">U245*Sev</f>
        <v>0</v>
      </c>
      <c r="W245" s="99" t="n">
        <f aca="false">T245-K245</f>
        <v>0</v>
      </c>
      <c r="X245" s="106" t="str">
        <f aca="false">IFERROR(IRR('Loan CF'!C2953:M2953),"-")</f>
        <v>-</v>
      </c>
      <c r="Y245" s="107" t="str">
        <f aca="false">IFERROR(T245/K245,"-")</f>
        <v>-</v>
      </c>
      <c r="Z245" s="99" t="n">
        <f aca="false">'Loan Tape'!$BC222</f>
        <v>0</v>
      </c>
      <c r="AA245" s="99" t="n">
        <f aca="false">'Loan Tape'!$BE222</f>
        <v>0</v>
      </c>
      <c r="AB245" s="99" t="n">
        <f aca="false">SUM('Loan CF'!D3862:M3862)-AA245</f>
        <v>0</v>
      </c>
      <c r="AC245" s="106" t="str">
        <f aca="false">IFERROR(IRR('Loan CF'!C3862:M3862),"-")</f>
        <v>-</v>
      </c>
      <c r="AD245" s="107" t="str">
        <f aca="false">IFERROR(SUM('Loan CF'!D3862:M3862)/AA245,"-")</f>
        <v>-</v>
      </c>
    </row>
    <row r="246" customFormat="false" ht="15" hidden="false" customHeight="false" outlineLevel="0" collapsed="false">
      <c r="B246" s="108" t="str">
        <f aca="false">IF('Loan Tape'!$A223="","",'Loan Tape'!$A223)</f>
        <v/>
      </c>
      <c r="C246" s="108" t="str">
        <f aca="false">IF('Loan Tape'!$A223="","",'Loan Tape'!$B223)</f>
        <v/>
      </c>
      <c r="D246" s="108" t="str">
        <f aca="false">IF('Loan Tape'!$A223="","",'Loan Tape'!$C223)</f>
        <v/>
      </c>
      <c r="E246" s="108" t="str">
        <f aca="false">IF('Loan Tape'!$A223="","",'Loan Tape'!$D223)</f>
        <v/>
      </c>
      <c r="F246" s="108" t="str">
        <f aca="false">IF('Loan Tape'!$A223="","",'Loan Tape'!$E223)</f>
        <v/>
      </c>
      <c r="G246" s="26" t="n">
        <f aca="false">'Loan Tape'!$AN223</f>
        <v>0</v>
      </c>
      <c r="H246" s="71" t="n">
        <f aca="false">'Loan Tape'!$R223*'Loan Tape'!$AN223</f>
        <v>0</v>
      </c>
      <c r="I246" s="56" t="n">
        <f aca="false">'Loan Tape'!$AO223</f>
        <v>0</v>
      </c>
      <c r="J246" s="71" t="n">
        <f aca="false">'Loan Tape'!$AY223</f>
        <v>0</v>
      </c>
      <c r="K246" s="71" t="n">
        <f aca="false">'Loan Tape'!$BB223</f>
        <v>0</v>
      </c>
      <c r="L246" s="56" t="n">
        <f aca="false">'Loan CF'!C530</f>
        <v>0</v>
      </c>
      <c r="M246" s="70" t="n">
        <f aca="false">'Loan Tape'!$AS223*'Loan Tape'!$AN223</f>
        <v>0</v>
      </c>
      <c r="N246" s="70" t="n">
        <f aca="false">IFERROR(SUMPRODUCT(('Loan CF'!$C$916:$L$916-0.5)*('Loan CF'!C1136:L1136+'Loan CF'!C1439:L1439+'Loan CF'!C1742:L1742))/(SUM('Loan CF'!C1136:L1136)+SUM('Loan CF'!C1439:L1439)+SUM('Loan CF'!C1742:L1742)),0)</f>
        <v>0</v>
      </c>
      <c r="O246" s="71" t="n">
        <f aca="false">SUM('Loan CF'!C2045:L2045)</f>
        <v>0</v>
      </c>
      <c r="P246" s="71" t="n">
        <f aca="false">SUM('Loan CF'!C1136:L1136)+SUM('Loan CF'!C1439:L1439)+SUM('Loan CF'!C1742:L1742)</f>
        <v>0</v>
      </c>
      <c r="Q246" s="71" t="n">
        <f aca="false">SUM('Loan CF'!C2348:L2348)</f>
        <v>0</v>
      </c>
      <c r="R246" s="71" t="n">
        <f aca="false">SUM('Loan CF'!C1439:L1439)*Prepay_Pen</f>
        <v>0</v>
      </c>
      <c r="S246" s="71" t="n">
        <f aca="false">'Loan CF'!$C2651</f>
        <v>0</v>
      </c>
      <c r="T246" s="71" t="n">
        <f aca="false">SUM(O246:S246)</f>
        <v>0</v>
      </c>
      <c r="U246" s="71" t="n">
        <f aca="false">SUM('Loan CF'!C833:L833)</f>
        <v>0</v>
      </c>
      <c r="V246" s="71" t="n">
        <f aca="false">U246*Sev</f>
        <v>0</v>
      </c>
      <c r="W246" s="71" t="n">
        <f aca="false">T246-K246</f>
        <v>0</v>
      </c>
      <c r="X246" s="109" t="str">
        <f aca="false">IFERROR(IRR('Loan CF'!C2954:M2954),"-")</f>
        <v>-</v>
      </c>
      <c r="Y246" s="110" t="str">
        <f aca="false">IFERROR(T246/K246,"-")</f>
        <v>-</v>
      </c>
      <c r="Z246" s="71" t="n">
        <f aca="false">'Loan Tape'!$BC223</f>
        <v>0</v>
      </c>
      <c r="AA246" s="71" t="n">
        <f aca="false">'Loan Tape'!$BE223</f>
        <v>0</v>
      </c>
      <c r="AB246" s="71" t="n">
        <f aca="false">SUM('Loan CF'!D3863:M3863)-AA246</f>
        <v>0</v>
      </c>
      <c r="AC246" s="109" t="str">
        <f aca="false">IFERROR(IRR('Loan CF'!C3863:M3863),"-")</f>
        <v>-</v>
      </c>
      <c r="AD246" s="110" t="str">
        <f aca="false">IFERROR(SUM('Loan CF'!D3863:M3863)/AA246,"-")</f>
        <v>-</v>
      </c>
    </row>
    <row r="247" customFormat="false" ht="15" hidden="false" customHeight="false" outlineLevel="0" collapsed="false">
      <c r="B247" s="102" t="str">
        <f aca="false">IF('Loan Tape'!$A224="","",'Loan Tape'!$A224)</f>
        <v/>
      </c>
      <c r="C247" s="102" t="str">
        <f aca="false">IF('Loan Tape'!$A224="","",'Loan Tape'!$B224)</f>
        <v/>
      </c>
      <c r="D247" s="102" t="str">
        <f aca="false">IF('Loan Tape'!$A224="","",'Loan Tape'!$C224)</f>
        <v/>
      </c>
      <c r="E247" s="102" t="str">
        <f aca="false">IF('Loan Tape'!$A224="","",'Loan Tape'!$D224)</f>
        <v/>
      </c>
      <c r="F247" s="102" t="str">
        <f aca="false">IF('Loan Tape'!$A224="","",'Loan Tape'!$E224)</f>
        <v/>
      </c>
      <c r="G247" s="103" t="n">
        <f aca="false">'Loan Tape'!$AN224</f>
        <v>0</v>
      </c>
      <c r="H247" s="99" t="n">
        <f aca="false">'Loan Tape'!$R224*'Loan Tape'!$AN224</f>
        <v>0</v>
      </c>
      <c r="I247" s="104" t="n">
        <f aca="false">'Loan Tape'!$AO224</f>
        <v>0</v>
      </c>
      <c r="J247" s="99" t="n">
        <f aca="false">'Loan Tape'!$AY224</f>
        <v>0</v>
      </c>
      <c r="K247" s="99" t="n">
        <f aca="false">'Loan Tape'!$BB224</f>
        <v>0</v>
      </c>
      <c r="L247" s="104" t="n">
        <f aca="false">'Loan CF'!C531</f>
        <v>0</v>
      </c>
      <c r="M247" s="105" t="n">
        <f aca="false">'Loan Tape'!$AS224*'Loan Tape'!$AN224</f>
        <v>0</v>
      </c>
      <c r="N247" s="105" t="n">
        <f aca="false">IFERROR(SUMPRODUCT(('Loan CF'!$C$916:$L$916-0.5)*('Loan CF'!C1137:L1137+'Loan CF'!C1440:L1440+'Loan CF'!C1743:L1743))/(SUM('Loan CF'!C1137:L1137)+SUM('Loan CF'!C1440:L1440)+SUM('Loan CF'!C1743:L1743)),0)</f>
        <v>0</v>
      </c>
      <c r="O247" s="99" t="n">
        <f aca="false">SUM('Loan CF'!C2046:L2046)</f>
        <v>0</v>
      </c>
      <c r="P247" s="99" t="n">
        <f aca="false">SUM('Loan CF'!C1137:L1137)+SUM('Loan CF'!C1440:L1440)+SUM('Loan CF'!C1743:L1743)</f>
        <v>0</v>
      </c>
      <c r="Q247" s="99" t="n">
        <f aca="false">SUM('Loan CF'!C2349:L2349)</f>
        <v>0</v>
      </c>
      <c r="R247" s="99" t="n">
        <f aca="false">SUM('Loan CF'!C1440:L1440)*Prepay_Pen</f>
        <v>0</v>
      </c>
      <c r="S247" s="99" t="n">
        <f aca="false">'Loan CF'!$C2652</f>
        <v>0</v>
      </c>
      <c r="T247" s="99" t="n">
        <f aca="false">SUM(O247:S247)</f>
        <v>0</v>
      </c>
      <c r="U247" s="99" t="n">
        <f aca="false">SUM('Loan CF'!C834:L834)</f>
        <v>0</v>
      </c>
      <c r="V247" s="99" t="n">
        <f aca="false">U247*Sev</f>
        <v>0</v>
      </c>
      <c r="W247" s="99" t="n">
        <f aca="false">T247-K247</f>
        <v>0</v>
      </c>
      <c r="X247" s="106" t="str">
        <f aca="false">IFERROR(IRR('Loan CF'!C2955:M2955),"-")</f>
        <v>-</v>
      </c>
      <c r="Y247" s="107" t="str">
        <f aca="false">IFERROR(T247/K247,"-")</f>
        <v>-</v>
      </c>
      <c r="Z247" s="99" t="n">
        <f aca="false">'Loan Tape'!$BC224</f>
        <v>0</v>
      </c>
      <c r="AA247" s="99" t="n">
        <f aca="false">'Loan Tape'!$BE224</f>
        <v>0</v>
      </c>
      <c r="AB247" s="99" t="n">
        <f aca="false">SUM('Loan CF'!D3864:M3864)-AA247</f>
        <v>0</v>
      </c>
      <c r="AC247" s="106" t="str">
        <f aca="false">IFERROR(IRR('Loan CF'!C3864:M3864),"-")</f>
        <v>-</v>
      </c>
      <c r="AD247" s="107" t="str">
        <f aca="false">IFERROR(SUM('Loan CF'!D3864:M3864)/AA247,"-")</f>
        <v>-</v>
      </c>
    </row>
    <row r="248" customFormat="false" ht="15" hidden="false" customHeight="false" outlineLevel="0" collapsed="false">
      <c r="B248" s="108" t="str">
        <f aca="false">IF('Loan Tape'!$A225="","",'Loan Tape'!$A225)</f>
        <v/>
      </c>
      <c r="C248" s="108" t="str">
        <f aca="false">IF('Loan Tape'!$A225="","",'Loan Tape'!$B225)</f>
        <v/>
      </c>
      <c r="D248" s="108" t="str">
        <f aca="false">IF('Loan Tape'!$A225="","",'Loan Tape'!$C225)</f>
        <v/>
      </c>
      <c r="E248" s="108" t="str">
        <f aca="false">IF('Loan Tape'!$A225="","",'Loan Tape'!$D225)</f>
        <v/>
      </c>
      <c r="F248" s="108" t="str">
        <f aca="false">IF('Loan Tape'!$A225="","",'Loan Tape'!$E225)</f>
        <v/>
      </c>
      <c r="G248" s="26" t="n">
        <f aca="false">'Loan Tape'!$AN225</f>
        <v>0</v>
      </c>
      <c r="H248" s="71" t="n">
        <f aca="false">'Loan Tape'!$R225*'Loan Tape'!$AN225</f>
        <v>0</v>
      </c>
      <c r="I248" s="56" t="n">
        <f aca="false">'Loan Tape'!$AO225</f>
        <v>0</v>
      </c>
      <c r="J248" s="71" t="n">
        <f aca="false">'Loan Tape'!$AY225</f>
        <v>0</v>
      </c>
      <c r="K248" s="71" t="n">
        <f aca="false">'Loan Tape'!$BB225</f>
        <v>0</v>
      </c>
      <c r="L248" s="56" t="n">
        <f aca="false">'Loan CF'!C532</f>
        <v>0</v>
      </c>
      <c r="M248" s="70" t="n">
        <f aca="false">'Loan Tape'!$AS225*'Loan Tape'!$AN225</f>
        <v>0</v>
      </c>
      <c r="N248" s="70" t="n">
        <f aca="false">IFERROR(SUMPRODUCT(('Loan CF'!$C$916:$L$916-0.5)*('Loan CF'!C1138:L1138+'Loan CF'!C1441:L1441+'Loan CF'!C1744:L1744))/(SUM('Loan CF'!C1138:L1138)+SUM('Loan CF'!C1441:L1441)+SUM('Loan CF'!C1744:L1744)),0)</f>
        <v>0</v>
      </c>
      <c r="O248" s="71" t="n">
        <f aca="false">SUM('Loan CF'!C2047:L2047)</f>
        <v>0</v>
      </c>
      <c r="P248" s="71" t="n">
        <f aca="false">SUM('Loan CF'!C1138:L1138)+SUM('Loan CF'!C1441:L1441)+SUM('Loan CF'!C1744:L1744)</f>
        <v>0</v>
      </c>
      <c r="Q248" s="71" t="n">
        <f aca="false">SUM('Loan CF'!C2350:L2350)</f>
        <v>0</v>
      </c>
      <c r="R248" s="71" t="n">
        <f aca="false">SUM('Loan CF'!C1441:L1441)*Prepay_Pen</f>
        <v>0</v>
      </c>
      <c r="S248" s="71" t="n">
        <f aca="false">'Loan CF'!$C2653</f>
        <v>0</v>
      </c>
      <c r="T248" s="71" t="n">
        <f aca="false">SUM(O248:S248)</f>
        <v>0</v>
      </c>
      <c r="U248" s="71" t="n">
        <f aca="false">SUM('Loan CF'!C835:L835)</f>
        <v>0</v>
      </c>
      <c r="V248" s="71" t="n">
        <f aca="false">U248*Sev</f>
        <v>0</v>
      </c>
      <c r="W248" s="71" t="n">
        <f aca="false">T248-K248</f>
        <v>0</v>
      </c>
      <c r="X248" s="109" t="str">
        <f aca="false">IFERROR(IRR('Loan CF'!C2956:M2956),"-")</f>
        <v>-</v>
      </c>
      <c r="Y248" s="110" t="str">
        <f aca="false">IFERROR(T248/K248,"-")</f>
        <v>-</v>
      </c>
      <c r="Z248" s="71" t="n">
        <f aca="false">'Loan Tape'!$BC225</f>
        <v>0</v>
      </c>
      <c r="AA248" s="71" t="n">
        <f aca="false">'Loan Tape'!$BE225</f>
        <v>0</v>
      </c>
      <c r="AB248" s="71" t="n">
        <f aca="false">SUM('Loan CF'!D3865:M3865)-AA248</f>
        <v>0</v>
      </c>
      <c r="AC248" s="109" t="str">
        <f aca="false">IFERROR(IRR('Loan CF'!C3865:M3865),"-")</f>
        <v>-</v>
      </c>
      <c r="AD248" s="110" t="str">
        <f aca="false">IFERROR(SUM('Loan CF'!D3865:M3865)/AA248,"-")</f>
        <v>-</v>
      </c>
    </row>
    <row r="249" customFormat="false" ht="15" hidden="false" customHeight="false" outlineLevel="0" collapsed="false">
      <c r="B249" s="102" t="str">
        <f aca="false">IF('Loan Tape'!$A226="","",'Loan Tape'!$A226)</f>
        <v/>
      </c>
      <c r="C249" s="102" t="str">
        <f aca="false">IF('Loan Tape'!$A226="","",'Loan Tape'!$B226)</f>
        <v/>
      </c>
      <c r="D249" s="102" t="str">
        <f aca="false">IF('Loan Tape'!$A226="","",'Loan Tape'!$C226)</f>
        <v/>
      </c>
      <c r="E249" s="102" t="str">
        <f aca="false">IF('Loan Tape'!$A226="","",'Loan Tape'!$D226)</f>
        <v/>
      </c>
      <c r="F249" s="102" t="str">
        <f aca="false">IF('Loan Tape'!$A226="","",'Loan Tape'!$E226)</f>
        <v/>
      </c>
      <c r="G249" s="103" t="n">
        <f aca="false">'Loan Tape'!$AN226</f>
        <v>0</v>
      </c>
      <c r="H249" s="99" t="n">
        <f aca="false">'Loan Tape'!$R226*'Loan Tape'!$AN226</f>
        <v>0</v>
      </c>
      <c r="I249" s="104" t="n">
        <f aca="false">'Loan Tape'!$AO226</f>
        <v>0</v>
      </c>
      <c r="J249" s="99" t="n">
        <f aca="false">'Loan Tape'!$AY226</f>
        <v>0</v>
      </c>
      <c r="K249" s="99" t="n">
        <f aca="false">'Loan Tape'!$BB226</f>
        <v>0</v>
      </c>
      <c r="L249" s="104" t="n">
        <f aca="false">'Loan CF'!C533</f>
        <v>0</v>
      </c>
      <c r="M249" s="105" t="n">
        <f aca="false">'Loan Tape'!$AS226*'Loan Tape'!$AN226</f>
        <v>0</v>
      </c>
      <c r="N249" s="105" t="n">
        <f aca="false">IFERROR(SUMPRODUCT(('Loan CF'!$C$916:$L$916-0.5)*('Loan CF'!C1139:L1139+'Loan CF'!C1442:L1442+'Loan CF'!C1745:L1745))/(SUM('Loan CF'!C1139:L1139)+SUM('Loan CF'!C1442:L1442)+SUM('Loan CF'!C1745:L1745)),0)</f>
        <v>0</v>
      </c>
      <c r="O249" s="99" t="n">
        <f aca="false">SUM('Loan CF'!C2048:L2048)</f>
        <v>0</v>
      </c>
      <c r="P249" s="99" t="n">
        <f aca="false">SUM('Loan CF'!C1139:L1139)+SUM('Loan CF'!C1442:L1442)+SUM('Loan CF'!C1745:L1745)</f>
        <v>0</v>
      </c>
      <c r="Q249" s="99" t="n">
        <f aca="false">SUM('Loan CF'!C2351:L2351)</f>
        <v>0</v>
      </c>
      <c r="R249" s="99" t="n">
        <f aca="false">SUM('Loan CF'!C1442:L1442)*Prepay_Pen</f>
        <v>0</v>
      </c>
      <c r="S249" s="99" t="n">
        <f aca="false">'Loan CF'!$C2654</f>
        <v>0</v>
      </c>
      <c r="T249" s="99" t="n">
        <f aca="false">SUM(O249:S249)</f>
        <v>0</v>
      </c>
      <c r="U249" s="99" t="n">
        <f aca="false">SUM('Loan CF'!C836:L836)</f>
        <v>0</v>
      </c>
      <c r="V249" s="99" t="n">
        <f aca="false">U249*Sev</f>
        <v>0</v>
      </c>
      <c r="W249" s="99" t="n">
        <f aca="false">T249-K249</f>
        <v>0</v>
      </c>
      <c r="X249" s="106" t="str">
        <f aca="false">IFERROR(IRR('Loan CF'!C2957:M2957),"-")</f>
        <v>-</v>
      </c>
      <c r="Y249" s="107" t="str">
        <f aca="false">IFERROR(T249/K249,"-")</f>
        <v>-</v>
      </c>
      <c r="Z249" s="99" t="n">
        <f aca="false">'Loan Tape'!$BC226</f>
        <v>0</v>
      </c>
      <c r="AA249" s="99" t="n">
        <f aca="false">'Loan Tape'!$BE226</f>
        <v>0</v>
      </c>
      <c r="AB249" s="99" t="n">
        <f aca="false">SUM('Loan CF'!D3866:M3866)-AA249</f>
        <v>0</v>
      </c>
      <c r="AC249" s="106" t="str">
        <f aca="false">IFERROR(IRR('Loan CF'!C3866:M3866),"-")</f>
        <v>-</v>
      </c>
      <c r="AD249" s="107" t="str">
        <f aca="false">IFERROR(SUM('Loan CF'!D3866:M3866)/AA249,"-")</f>
        <v>-</v>
      </c>
    </row>
    <row r="250" customFormat="false" ht="15" hidden="false" customHeight="false" outlineLevel="0" collapsed="false">
      <c r="B250" s="108" t="str">
        <f aca="false">IF('Loan Tape'!$A227="","",'Loan Tape'!$A227)</f>
        <v/>
      </c>
      <c r="C250" s="108" t="str">
        <f aca="false">IF('Loan Tape'!$A227="","",'Loan Tape'!$B227)</f>
        <v/>
      </c>
      <c r="D250" s="108" t="str">
        <f aca="false">IF('Loan Tape'!$A227="","",'Loan Tape'!$C227)</f>
        <v/>
      </c>
      <c r="E250" s="108" t="str">
        <f aca="false">IF('Loan Tape'!$A227="","",'Loan Tape'!$D227)</f>
        <v/>
      </c>
      <c r="F250" s="108" t="str">
        <f aca="false">IF('Loan Tape'!$A227="","",'Loan Tape'!$E227)</f>
        <v/>
      </c>
      <c r="G250" s="26" t="n">
        <f aca="false">'Loan Tape'!$AN227</f>
        <v>0</v>
      </c>
      <c r="H250" s="71" t="n">
        <f aca="false">'Loan Tape'!$R227*'Loan Tape'!$AN227</f>
        <v>0</v>
      </c>
      <c r="I250" s="56" t="n">
        <f aca="false">'Loan Tape'!$AO227</f>
        <v>0</v>
      </c>
      <c r="J250" s="71" t="n">
        <f aca="false">'Loan Tape'!$AY227</f>
        <v>0</v>
      </c>
      <c r="K250" s="71" t="n">
        <f aca="false">'Loan Tape'!$BB227</f>
        <v>0</v>
      </c>
      <c r="L250" s="56" t="n">
        <f aca="false">'Loan CF'!C534</f>
        <v>0</v>
      </c>
      <c r="M250" s="70" t="n">
        <f aca="false">'Loan Tape'!$AS227*'Loan Tape'!$AN227</f>
        <v>0</v>
      </c>
      <c r="N250" s="70" t="n">
        <f aca="false">IFERROR(SUMPRODUCT(('Loan CF'!$C$916:$L$916-0.5)*('Loan CF'!C1140:L1140+'Loan CF'!C1443:L1443+'Loan CF'!C1746:L1746))/(SUM('Loan CF'!C1140:L1140)+SUM('Loan CF'!C1443:L1443)+SUM('Loan CF'!C1746:L1746)),0)</f>
        <v>0</v>
      </c>
      <c r="O250" s="71" t="n">
        <f aca="false">SUM('Loan CF'!C2049:L2049)</f>
        <v>0</v>
      </c>
      <c r="P250" s="71" t="n">
        <f aca="false">SUM('Loan CF'!C1140:L1140)+SUM('Loan CF'!C1443:L1443)+SUM('Loan CF'!C1746:L1746)</f>
        <v>0</v>
      </c>
      <c r="Q250" s="71" t="n">
        <f aca="false">SUM('Loan CF'!C2352:L2352)</f>
        <v>0</v>
      </c>
      <c r="R250" s="71" t="n">
        <f aca="false">SUM('Loan CF'!C1443:L1443)*Prepay_Pen</f>
        <v>0</v>
      </c>
      <c r="S250" s="71" t="n">
        <f aca="false">'Loan CF'!$C2655</f>
        <v>0</v>
      </c>
      <c r="T250" s="71" t="n">
        <f aca="false">SUM(O250:S250)</f>
        <v>0</v>
      </c>
      <c r="U250" s="71" t="n">
        <f aca="false">SUM('Loan CF'!C837:L837)</f>
        <v>0</v>
      </c>
      <c r="V250" s="71" t="n">
        <f aca="false">U250*Sev</f>
        <v>0</v>
      </c>
      <c r="W250" s="71" t="n">
        <f aca="false">T250-K250</f>
        <v>0</v>
      </c>
      <c r="X250" s="109" t="str">
        <f aca="false">IFERROR(IRR('Loan CF'!C2958:M2958),"-")</f>
        <v>-</v>
      </c>
      <c r="Y250" s="110" t="str">
        <f aca="false">IFERROR(T250/K250,"-")</f>
        <v>-</v>
      </c>
      <c r="Z250" s="71" t="n">
        <f aca="false">'Loan Tape'!$BC227</f>
        <v>0</v>
      </c>
      <c r="AA250" s="71" t="n">
        <f aca="false">'Loan Tape'!$BE227</f>
        <v>0</v>
      </c>
      <c r="AB250" s="71" t="n">
        <f aca="false">SUM('Loan CF'!D3867:M3867)-AA250</f>
        <v>0</v>
      </c>
      <c r="AC250" s="109" t="str">
        <f aca="false">IFERROR(IRR('Loan CF'!C3867:M3867),"-")</f>
        <v>-</v>
      </c>
      <c r="AD250" s="110" t="str">
        <f aca="false">IFERROR(SUM('Loan CF'!D3867:M3867)/AA250,"-")</f>
        <v>-</v>
      </c>
    </row>
    <row r="251" customFormat="false" ht="15" hidden="false" customHeight="false" outlineLevel="0" collapsed="false">
      <c r="B251" s="102" t="str">
        <f aca="false">IF('Loan Tape'!$A228="","",'Loan Tape'!$A228)</f>
        <v/>
      </c>
      <c r="C251" s="102" t="str">
        <f aca="false">IF('Loan Tape'!$A228="","",'Loan Tape'!$B228)</f>
        <v/>
      </c>
      <c r="D251" s="102" t="str">
        <f aca="false">IF('Loan Tape'!$A228="","",'Loan Tape'!$C228)</f>
        <v/>
      </c>
      <c r="E251" s="102" t="str">
        <f aca="false">IF('Loan Tape'!$A228="","",'Loan Tape'!$D228)</f>
        <v/>
      </c>
      <c r="F251" s="102" t="str">
        <f aca="false">IF('Loan Tape'!$A228="","",'Loan Tape'!$E228)</f>
        <v/>
      </c>
      <c r="G251" s="103" t="n">
        <f aca="false">'Loan Tape'!$AN228</f>
        <v>0</v>
      </c>
      <c r="H251" s="99" t="n">
        <f aca="false">'Loan Tape'!$R228*'Loan Tape'!$AN228</f>
        <v>0</v>
      </c>
      <c r="I251" s="104" t="n">
        <f aca="false">'Loan Tape'!$AO228</f>
        <v>0</v>
      </c>
      <c r="J251" s="99" t="n">
        <f aca="false">'Loan Tape'!$AY228</f>
        <v>0</v>
      </c>
      <c r="K251" s="99" t="n">
        <f aca="false">'Loan Tape'!$BB228</f>
        <v>0</v>
      </c>
      <c r="L251" s="104" t="n">
        <f aca="false">'Loan CF'!C535</f>
        <v>0</v>
      </c>
      <c r="M251" s="105" t="n">
        <f aca="false">'Loan Tape'!$AS228*'Loan Tape'!$AN228</f>
        <v>0</v>
      </c>
      <c r="N251" s="105" t="n">
        <f aca="false">IFERROR(SUMPRODUCT(('Loan CF'!$C$916:$L$916-0.5)*('Loan CF'!C1141:L1141+'Loan CF'!C1444:L1444+'Loan CF'!C1747:L1747))/(SUM('Loan CF'!C1141:L1141)+SUM('Loan CF'!C1444:L1444)+SUM('Loan CF'!C1747:L1747)),0)</f>
        <v>0</v>
      </c>
      <c r="O251" s="99" t="n">
        <f aca="false">SUM('Loan CF'!C2050:L2050)</f>
        <v>0</v>
      </c>
      <c r="P251" s="99" t="n">
        <f aca="false">SUM('Loan CF'!C1141:L1141)+SUM('Loan CF'!C1444:L1444)+SUM('Loan CF'!C1747:L1747)</f>
        <v>0</v>
      </c>
      <c r="Q251" s="99" t="n">
        <f aca="false">SUM('Loan CF'!C2353:L2353)</f>
        <v>0</v>
      </c>
      <c r="R251" s="99" t="n">
        <f aca="false">SUM('Loan CF'!C1444:L1444)*Prepay_Pen</f>
        <v>0</v>
      </c>
      <c r="S251" s="99" t="n">
        <f aca="false">'Loan CF'!$C2656</f>
        <v>0</v>
      </c>
      <c r="T251" s="99" t="n">
        <f aca="false">SUM(O251:S251)</f>
        <v>0</v>
      </c>
      <c r="U251" s="99" t="n">
        <f aca="false">SUM('Loan CF'!C838:L838)</f>
        <v>0</v>
      </c>
      <c r="V251" s="99" t="n">
        <f aca="false">U251*Sev</f>
        <v>0</v>
      </c>
      <c r="W251" s="99" t="n">
        <f aca="false">T251-K251</f>
        <v>0</v>
      </c>
      <c r="X251" s="106" t="str">
        <f aca="false">IFERROR(IRR('Loan CF'!C2959:M2959),"-")</f>
        <v>-</v>
      </c>
      <c r="Y251" s="107" t="str">
        <f aca="false">IFERROR(T251/K251,"-")</f>
        <v>-</v>
      </c>
      <c r="Z251" s="99" t="n">
        <f aca="false">'Loan Tape'!$BC228</f>
        <v>0</v>
      </c>
      <c r="AA251" s="99" t="n">
        <f aca="false">'Loan Tape'!$BE228</f>
        <v>0</v>
      </c>
      <c r="AB251" s="99" t="n">
        <f aca="false">SUM('Loan CF'!D3868:M3868)-AA251</f>
        <v>0</v>
      </c>
      <c r="AC251" s="106" t="str">
        <f aca="false">IFERROR(IRR('Loan CF'!C3868:M3868),"-")</f>
        <v>-</v>
      </c>
      <c r="AD251" s="107" t="str">
        <f aca="false">IFERROR(SUM('Loan CF'!D3868:M3868)/AA251,"-")</f>
        <v>-</v>
      </c>
    </row>
    <row r="252" customFormat="false" ht="15" hidden="false" customHeight="false" outlineLevel="0" collapsed="false">
      <c r="B252" s="108" t="str">
        <f aca="false">IF('Loan Tape'!$A229="","",'Loan Tape'!$A229)</f>
        <v/>
      </c>
      <c r="C252" s="108" t="str">
        <f aca="false">IF('Loan Tape'!$A229="","",'Loan Tape'!$B229)</f>
        <v/>
      </c>
      <c r="D252" s="108" t="str">
        <f aca="false">IF('Loan Tape'!$A229="","",'Loan Tape'!$C229)</f>
        <v/>
      </c>
      <c r="E252" s="108" t="str">
        <f aca="false">IF('Loan Tape'!$A229="","",'Loan Tape'!$D229)</f>
        <v/>
      </c>
      <c r="F252" s="108" t="str">
        <f aca="false">IF('Loan Tape'!$A229="","",'Loan Tape'!$E229)</f>
        <v/>
      </c>
      <c r="G252" s="26" t="n">
        <f aca="false">'Loan Tape'!$AN229</f>
        <v>0</v>
      </c>
      <c r="H252" s="71" t="n">
        <f aca="false">'Loan Tape'!$R229*'Loan Tape'!$AN229</f>
        <v>0</v>
      </c>
      <c r="I252" s="56" t="n">
        <f aca="false">'Loan Tape'!$AO229</f>
        <v>0</v>
      </c>
      <c r="J252" s="71" t="n">
        <f aca="false">'Loan Tape'!$AY229</f>
        <v>0</v>
      </c>
      <c r="K252" s="71" t="n">
        <f aca="false">'Loan Tape'!$BB229</f>
        <v>0</v>
      </c>
      <c r="L252" s="56" t="n">
        <f aca="false">'Loan CF'!C536</f>
        <v>0</v>
      </c>
      <c r="M252" s="70" t="n">
        <f aca="false">'Loan Tape'!$AS229*'Loan Tape'!$AN229</f>
        <v>0</v>
      </c>
      <c r="N252" s="70" t="n">
        <f aca="false">IFERROR(SUMPRODUCT(('Loan CF'!$C$916:$L$916-0.5)*('Loan CF'!C1142:L1142+'Loan CF'!C1445:L1445+'Loan CF'!C1748:L1748))/(SUM('Loan CF'!C1142:L1142)+SUM('Loan CF'!C1445:L1445)+SUM('Loan CF'!C1748:L1748)),0)</f>
        <v>0</v>
      </c>
      <c r="O252" s="71" t="n">
        <f aca="false">SUM('Loan CF'!C2051:L2051)</f>
        <v>0</v>
      </c>
      <c r="P252" s="71" t="n">
        <f aca="false">SUM('Loan CF'!C1142:L1142)+SUM('Loan CF'!C1445:L1445)+SUM('Loan CF'!C1748:L1748)</f>
        <v>0</v>
      </c>
      <c r="Q252" s="71" t="n">
        <f aca="false">SUM('Loan CF'!C2354:L2354)</f>
        <v>0</v>
      </c>
      <c r="R252" s="71" t="n">
        <f aca="false">SUM('Loan CF'!C1445:L1445)*Prepay_Pen</f>
        <v>0</v>
      </c>
      <c r="S252" s="71" t="n">
        <f aca="false">'Loan CF'!$C2657</f>
        <v>0</v>
      </c>
      <c r="T252" s="71" t="n">
        <f aca="false">SUM(O252:S252)</f>
        <v>0</v>
      </c>
      <c r="U252" s="71" t="n">
        <f aca="false">SUM('Loan CF'!C839:L839)</f>
        <v>0</v>
      </c>
      <c r="V252" s="71" t="n">
        <f aca="false">U252*Sev</f>
        <v>0</v>
      </c>
      <c r="W252" s="71" t="n">
        <f aca="false">T252-K252</f>
        <v>0</v>
      </c>
      <c r="X252" s="109" t="str">
        <f aca="false">IFERROR(IRR('Loan CF'!C2960:M2960),"-")</f>
        <v>-</v>
      </c>
      <c r="Y252" s="110" t="str">
        <f aca="false">IFERROR(T252/K252,"-")</f>
        <v>-</v>
      </c>
      <c r="Z252" s="71" t="n">
        <f aca="false">'Loan Tape'!$BC229</f>
        <v>0</v>
      </c>
      <c r="AA252" s="71" t="n">
        <f aca="false">'Loan Tape'!$BE229</f>
        <v>0</v>
      </c>
      <c r="AB252" s="71" t="n">
        <f aca="false">SUM('Loan CF'!D3869:M3869)-AA252</f>
        <v>0</v>
      </c>
      <c r="AC252" s="109" t="str">
        <f aca="false">IFERROR(IRR('Loan CF'!C3869:M3869),"-")</f>
        <v>-</v>
      </c>
      <c r="AD252" s="110" t="str">
        <f aca="false">IFERROR(SUM('Loan CF'!D3869:M3869)/AA252,"-")</f>
        <v>-</v>
      </c>
    </row>
    <row r="253" customFormat="false" ht="15" hidden="false" customHeight="false" outlineLevel="0" collapsed="false">
      <c r="B253" s="102" t="str">
        <f aca="false">IF('Loan Tape'!$A230="","",'Loan Tape'!$A230)</f>
        <v/>
      </c>
      <c r="C253" s="102" t="str">
        <f aca="false">IF('Loan Tape'!$A230="","",'Loan Tape'!$B230)</f>
        <v/>
      </c>
      <c r="D253" s="102" t="str">
        <f aca="false">IF('Loan Tape'!$A230="","",'Loan Tape'!$C230)</f>
        <v/>
      </c>
      <c r="E253" s="102" t="str">
        <f aca="false">IF('Loan Tape'!$A230="","",'Loan Tape'!$D230)</f>
        <v/>
      </c>
      <c r="F253" s="102" t="str">
        <f aca="false">IF('Loan Tape'!$A230="","",'Loan Tape'!$E230)</f>
        <v/>
      </c>
      <c r="G253" s="103" t="n">
        <f aca="false">'Loan Tape'!$AN230</f>
        <v>0</v>
      </c>
      <c r="H253" s="99" t="n">
        <f aca="false">'Loan Tape'!$R230*'Loan Tape'!$AN230</f>
        <v>0</v>
      </c>
      <c r="I253" s="104" t="n">
        <f aca="false">'Loan Tape'!$AO230</f>
        <v>0</v>
      </c>
      <c r="J253" s="99" t="n">
        <f aca="false">'Loan Tape'!$AY230</f>
        <v>0</v>
      </c>
      <c r="K253" s="99" t="n">
        <f aca="false">'Loan Tape'!$BB230</f>
        <v>0</v>
      </c>
      <c r="L253" s="104" t="n">
        <f aca="false">'Loan CF'!C537</f>
        <v>0</v>
      </c>
      <c r="M253" s="105" t="n">
        <f aca="false">'Loan Tape'!$AS230*'Loan Tape'!$AN230</f>
        <v>0</v>
      </c>
      <c r="N253" s="105" t="n">
        <f aca="false">IFERROR(SUMPRODUCT(('Loan CF'!$C$916:$L$916-0.5)*('Loan CF'!C1143:L1143+'Loan CF'!C1446:L1446+'Loan CF'!C1749:L1749))/(SUM('Loan CF'!C1143:L1143)+SUM('Loan CF'!C1446:L1446)+SUM('Loan CF'!C1749:L1749)),0)</f>
        <v>0</v>
      </c>
      <c r="O253" s="99" t="n">
        <f aca="false">SUM('Loan CF'!C2052:L2052)</f>
        <v>0</v>
      </c>
      <c r="P253" s="99" t="n">
        <f aca="false">SUM('Loan CF'!C1143:L1143)+SUM('Loan CF'!C1446:L1446)+SUM('Loan CF'!C1749:L1749)</f>
        <v>0</v>
      </c>
      <c r="Q253" s="99" t="n">
        <f aca="false">SUM('Loan CF'!C2355:L2355)</f>
        <v>0</v>
      </c>
      <c r="R253" s="99" t="n">
        <f aca="false">SUM('Loan CF'!C1446:L1446)*Prepay_Pen</f>
        <v>0</v>
      </c>
      <c r="S253" s="99" t="n">
        <f aca="false">'Loan CF'!$C2658</f>
        <v>0</v>
      </c>
      <c r="T253" s="99" t="n">
        <f aca="false">SUM(O253:S253)</f>
        <v>0</v>
      </c>
      <c r="U253" s="99" t="n">
        <f aca="false">SUM('Loan CF'!C840:L840)</f>
        <v>0</v>
      </c>
      <c r="V253" s="99" t="n">
        <f aca="false">U253*Sev</f>
        <v>0</v>
      </c>
      <c r="W253" s="99" t="n">
        <f aca="false">T253-K253</f>
        <v>0</v>
      </c>
      <c r="X253" s="106" t="str">
        <f aca="false">IFERROR(IRR('Loan CF'!C2961:M2961),"-")</f>
        <v>-</v>
      </c>
      <c r="Y253" s="107" t="str">
        <f aca="false">IFERROR(T253/K253,"-")</f>
        <v>-</v>
      </c>
      <c r="Z253" s="99" t="n">
        <f aca="false">'Loan Tape'!$BC230</f>
        <v>0</v>
      </c>
      <c r="AA253" s="99" t="n">
        <f aca="false">'Loan Tape'!$BE230</f>
        <v>0</v>
      </c>
      <c r="AB253" s="99" t="n">
        <f aca="false">SUM('Loan CF'!D3870:M3870)-AA253</f>
        <v>0</v>
      </c>
      <c r="AC253" s="106" t="str">
        <f aca="false">IFERROR(IRR('Loan CF'!C3870:M3870),"-")</f>
        <v>-</v>
      </c>
      <c r="AD253" s="107" t="str">
        <f aca="false">IFERROR(SUM('Loan CF'!D3870:M3870)/AA253,"-")</f>
        <v>-</v>
      </c>
    </row>
    <row r="254" customFormat="false" ht="15" hidden="false" customHeight="false" outlineLevel="0" collapsed="false">
      <c r="B254" s="108" t="str">
        <f aca="false">IF('Loan Tape'!$A231="","",'Loan Tape'!$A231)</f>
        <v/>
      </c>
      <c r="C254" s="108" t="str">
        <f aca="false">IF('Loan Tape'!$A231="","",'Loan Tape'!$B231)</f>
        <v/>
      </c>
      <c r="D254" s="108" t="str">
        <f aca="false">IF('Loan Tape'!$A231="","",'Loan Tape'!$C231)</f>
        <v/>
      </c>
      <c r="E254" s="108" t="str">
        <f aca="false">IF('Loan Tape'!$A231="","",'Loan Tape'!$D231)</f>
        <v/>
      </c>
      <c r="F254" s="108" t="str">
        <f aca="false">IF('Loan Tape'!$A231="","",'Loan Tape'!$E231)</f>
        <v/>
      </c>
      <c r="G254" s="26" t="n">
        <f aca="false">'Loan Tape'!$AN231</f>
        <v>0</v>
      </c>
      <c r="H254" s="71" t="n">
        <f aca="false">'Loan Tape'!$R231*'Loan Tape'!$AN231</f>
        <v>0</v>
      </c>
      <c r="I254" s="56" t="n">
        <f aca="false">'Loan Tape'!$AO231</f>
        <v>0</v>
      </c>
      <c r="J254" s="71" t="n">
        <f aca="false">'Loan Tape'!$AY231</f>
        <v>0</v>
      </c>
      <c r="K254" s="71" t="n">
        <f aca="false">'Loan Tape'!$BB231</f>
        <v>0</v>
      </c>
      <c r="L254" s="56" t="n">
        <f aca="false">'Loan CF'!C538</f>
        <v>0</v>
      </c>
      <c r="M254" s="70" t="n">
        <f aca="false">'Loan Tape'!$AS231*'Loan Tape'!$AN231</f>
        <v>0</v>
      </c>
      <c r="N254" s="70" t="n">
        <f aca="false">IFERROR(SUMPRODUCT(('Loan CF'!$C$916:$L$916-0.5)*('Loan CF'!C1144:L1144+'Loan CF'!C1447:L1447+'Loan CF'!C1750:L1750))/(SUM('Loan CF'!C1144:L1144)+SUM('Loan CF'!C1447:L1447)+SUM('Loan CF'!C1750:L1750)),0)</f>
        <v>0</v>
      </c>
      <c r="O254" s="71" t="n">
        <f aca="false">SUM('Loan CF'!C2053:L2053)</f>
        <v>0</v>
      </c>
      <c r="P254" s="71" t="n">
        <f aca="false">SUM('Loan CF'!C1144:L1144)+SUM('Loan CF'!C1447:L1447)+SUM('Loan CF'!C1750:L1750)</f>
        <v>0</v>
      </c>
      <c r="Q254" s="71" t="n">
        <f aca="false">SUM('Loan CF'!C2356:L2356)</f>
        <v>0</v>
      </c>
      <c r="R254" s="71" t="n">
        <f aca="false">SUM('Loan CF'!C1447:L1447)*Prepay_Pen</f>
        <v>0</v>
      </c>
      <c r="S254" s="71" t="n">
        <f aca="false">'Loan CF'!$C2659</f>
        <v>0</v>
      </c>
      <c r="T254" s="71" t="n">
        <f aca="false">SUM(O254:S254)</f>
        <v>0</v>
      </c>
      <c r="U254" s="71" t="n">
        <f aca="false">SUM('Loan CF'!C841:L841)</f>
        <v>0</v>
      </c>
      <c r="V254" s="71" t="n">
        <f aca="false">U254*Sev</f>
        <v>0</v>
      </c>
      <c r="W254" s="71" t="n">
        <f aca="false">T254-K254</f>
        <v>0</v>
      </c>
      <c r="X254" s="109" t="str">
        <f aca="false">IFERROR(IRR('Loan CF'!C2962:M2962),"-")</f>
        <v>-</v>
      </c>
      <c r="Y254" s="110" t="str">
        <f aca="false">IFERROR(T254/K254,"-")</f>
        <v>-</v>
      </c>
      <c r="Z254" s="71" t="n">
        <f aca="false">'Loan Tape'!$BC231</f>
        <v>0</v>
      </c>
      <c r="AA254" s="71" t="n">
        <f aca="false">'Loan Tape'!$BE231</f>
        <v>0</v>
      </c>
      <c r="AB254" s="71" t="n">
        <f aca="false">SUM('Loan CF'!D3871:M3871)-AA254</f>
        <v>0</v>
      </c>
      <c r="AC254" s="109" t="str">
        <f aca="false">IFERROR(IRR('Loan CF'!C3871:M3871),"-")</f>
        <v>-</v>
      </c>
      <c r="AD254" s="110" t="str">
        <f aca="false">IFERROR(SUM('Loan CF'!D3871:M3871)/AA254,"-")</f>
        <v>-</v>
      </c>
    </row>
    <row r="255" customFormat="false" ht="15" hidden="false" customHeight="false" outlineLevel="0" collapsed="false">
      <c r="B255" s="102" t="str">
        <f aca="false">IF('Loan Tape'!$A232="","",'Loan Tape'!$A232)</f>
        <v/>
      </c>
      <c r="C255" s="102" t="str">
        <f aca="false">IF('Loan Tape'!$A232="","",'Loan Tape'!$B232)</f>
        <v/>
      </c>
      <c r="D255" s="102" t="str">
        <f aca="false">IF('Loan Tape'!$A232="","",'Loan Tape'!$C232)</f>
        <v/>
      </c>
      <c r="E255" s="102" t="str">
        <f aca="false">IF('Loan Tape'!$A232="","",'Loan Tape'!$D232)</f>
        <v/>
      </c>
      <c r="F255" s="102" t="str">
        <f aca="false">IF('Loan Tape'!$A232="","",'Loan Tape'!$E232)</f>
        <v/>
      </c>
      <c r="G255" s="103" t="n">
        <f aca="false">'Loan Tape'!$AN232</f>
        <v>0</v>
      </c>
      <c r="H255" s="99" t="n">
        <f aca="false">'Loan Tape'!$R232*'Loan Tape'!$AN232</f>
        <v>0</v>
      </c>
      <c r="I255" s="104" t="n">
        <f aca="false">'Loan Tape'!$AO232</f>
        <v>0</v>
      </c>
      <c r="J255" s="99" t="n">
        <f aca="false">'Loan Tape'!$AY232</f>
        <v>0</v>
      </c>
      <c r="K255" s="99" t="n">
        <f aca="false">'Loan Tape'!$BB232</f>
        <v>0</v>
      </c>
      <c r="L255" s="104" t="n">
        <f aca="false">'Loan CF'!C539</f>
        <v>0</v>
      </c>
      <c r="M255" s="105" t="n">
        <f aca="false">'Loan Tape'!$AS232*'Loan Tape'!$AN232</f>
        <v>0</v>
      </c>
      <c r="N255" s="105" t="n">
        <f aca="false">IFERROR(SUMPRODUCT(('Loan CF'!$C$916:$L$916-0.5)*('Loan CF'!C1145:L1145+'Loan CF'!C1448:L1448+'Loan CF'!C1751:L1751))/(SUM('Loan CF'!C1145:L1145)+SUM('Loan CF'!C1448:L1448)+SUM('Loan CF'!C1751:L1751)),0)</f>
        <v>0</v>
      </c>
      <c r="O255" s="99" t="n">
        <f aca="false">SUM('Loan CF'!C2054:L2054)</f>
        <v>0</v>
      </c>
      <c r="P255" s="99" t="n">
        <f aca="false">SUM('Loan CF'!C1145:L1145)+SUM('Loan CF'!C1448:L1448)+SUM('Loan CF'!C1751:L1751)</f>
        <v>0</v>
      </c>
      <c r="Q255" s="99" t="n">
        <f aca="false">SUM('Loan CF'!C2357:L2357)</f>
        <v>0</v>
      </c>
      <c r="R255" s="99" t="n">
        <f aca="false">SUM('Loan CF'!C1448:L1448)*Prepay_Pen</f>
        <v>0</v>
      </c>
      <c r="S255" s="99" t="n">
        <f aca="false">'Loan CF'!$C2660</f>
        <v>0</v>
      </c>
      <c r="T255" s="99" t="n">
        <f aca="false">SUM(O255:S255)</f>
        <v>0</v>
      </c>
      <c r="U255" s="99" t="n">
        <f aca="false">SUM('Loan CF'!C842:L842)</f>
        <v>0</v>
      </c>
      <c r="V255" s="99" t="n">
        <f aca="false">U255*Sev</f>
        <v>0</v>
      </c>
      <c r="W255" s="99" t="n">
        <f aca="false">T255-K255</f>
        <v>0</v>
      </c>
      <c r="X255" s="106" t="str">
        <f aca="false">IFERROR(IRR('Loan CF'!C2963:M2963),"-")</f>
        <v>-</v>
      </c>
      <c r="Y255" s="107" t="str">
        <f aca="false">IFERROR(T255/K255,"-")</f>
        <v>-</v>
      </c>
      <c r="Z255" s="99" t="n">
        <f aca="false">'Loan Tape'!$BC232</f>
        <v>0</v>
      </c>
      <c r="AA255" s="99" t="n">
        <f aca="false">'Loan Tape'!$BE232</f>
        <v>0</v>
      </c>
      <c r="AB255" s="99" t="n">
        <f aca="false">SUM('Loan CF'!D3872:M3872)-AA255</f>
        <v>0</v>
      </c>
      <c r="AC255" s="106" t="str">
        <f aca="false">IFERROR(IRR('Loan CF'!C3872:M3872),"-")</f>
        <v>-</v>
      </c>
      <c r="AD255" s="107" t="str">
        <f aca="false">IFERROR(SUM('Loan CF'!D3872:M3872)/AA255,"-")</f>
        <v>-</v>
      </c>
    </row>
    <row r="256" customFormat="false" ht="15" hidden="false" customHeight="false" outlineLevel="0" collapsed="false">
      <c r="B256" s="108" t="str">
        <f aca="false">IF('Loan Tape'!$A233="","",'Loan Tape'!$A233)</f>
        <v/>
      </c>
      <c r="C256" s="108" t="str">
        <f aca="false">IF('Loan Tape'!$A233="","",'Loan Tape'!$B233)</f>
        <v/>
      </c>
      <c r="D256" s="108" t="str">
        <f aca="false">IF('Loan Tape'!$A233="","",'Loan Tape'!$C233)</f>
        <v/>
      </c>
      <c r="E256" s="108" t="str">
        <f aca="false">IF('Loan Tape'!$A233="","",'Loan Tape'!$D233)</f>
        <v/>
      </c>
      <c r="F256" s="108" t="str">
        <f aca="false">IF('Loan Tape'!$A233="","",'Loan Tape'!$E233)</f>
        <v/>
      </c>
      <c r="G256" s="26" t="n">
        <f aca="false">'Loan Tape'!$AN233</f>
        <v>0</v>
      </c>
      <c r="H256" s="71" t="n">
        <f aca="false">'Loan Tape'!$R233*'Loan Tape'!$AN233</f>
        <v>0</v>
      </c>
      <c r="I256" s="56" t="n">
        <f aca="false">'Loan Tape'!$AO233</f>
        <v>0</v>
      </c>
      <c r="J256" s="71" t="n">
        <f aca="false">'Loan Tape'!$AY233</f>
        <v>0</v>
      </c>
      <c r="K256" s="71" t="n">
        <f aca="false">'Loan Tape'!$BB233</f>
        <v>0</v>
      </c>
      <c r="L256" s="56" t="n">
        <f aca="false">'Loan CF'!C540</f>
        <v>0</v>
      </c>
      <c r="M256" s="70" t="n">
        <f aca="false">'Loan Tape'!$AS233*'Loan Tape'!$AN233</f>
        <v>0</v>
      </c>
      <c r="N256" s="70" t="n">
        <f aca="false">IFERROR(SUMPRODUCT(('Loan CF'!$C$916:$L$916-0.5)*('Loan CF'!C1146:L1146+'Loan CF'!C1449:L1449+'Loan CF'!C1752:L1752))/(SUM('Loan CF'!C1146:L1146)+SUM('Loan CF'!C1449:L1449)+SUM('Loan CF'!C1752:L1752)),0)</f>
        <v>0</v>
      </c>
      <c r="O256" s="71" t="n">
        <f aca="false">SUM('Loan CF'!C2055:L2055)</f>
        <v>0</v>
      </c>
      <c r="P256" s="71" t="n">
        <f aca="false">SUM('Loan CF'!C1146:L1146)+SUM('Loan CF'!C1449:L1449)+SUM('Loan CF'!C1752:L1752)</f>
        <v>0</v>
      </c>
      <c r="Q256" s="71" t="n">
        <f aca="false">SUM('Loan CF'!C2358:L2358)</f>
        <v>0</v>
      </c>
      <c r="R256" s="71" t="n">
        <f aca="false">SUM('Loan CF'!C1449:L1449)*Prepay_Pen</f>
        <v>0</v>
      </c>
      <c r="S256" s="71" t="n">
        <f aca="false">'Loan CF'!$C2661</f>
        <v>0</v>
      </c>
      <c r="T256" s="71" t="n">
        <f aca="false">SUM(O256:S256)</f>
        <v>0</v>
      </c>
      <c r="U256" s="71" t="n">
        <f aca="false">SUM('Loan CF'!C843:L843)</f>
        <v>0</v>
      </c>
      <c r="V256" s="71" t="n">
        <f aca="false">U256*Sev</f>
        <v>0</v>
      </c>
      <c r="W256" s="71" t="n">
        <f aca="false">T256-K256</f>
        <v>0</v>
      </c>
      <c r="X256" s="109" t="str">
        <f aca="false">IFERROR(IRR('Loan CF'!C2964:M2964),"-")</f>
        <v>-</v>
      </c>
      <c r="Y256" s="110" t="str">
        <f aca="false">IFERROR(T256/K256,"-")</f>
        <v>-</v>
      </c>
      <c r="Z256" s="71" t="n">
        <f aca="false">'Loan Tape'!$BC233</f>
        <v>0</v>
      </c>
      <c r="AA256" s="71" t="n">
        <f aca="false">'Loan Tape'!$BE233</f>
        <v>0</v>
      </c>
      <c r="AB256" s="71" t="n">
        <f aca="false">SUM('Loan CF'!D3873:M3873)-AA256</f>
        <v>0</v>
      </c>
      <c r="AC256" s="109" t="str">
        <f aca="false">IFERROR(IRR('Loan CF'!C3873:M3873),"-")</f>
        <v>-</v>
      </c>
      <c r="AD256" s="110" t="str">
        <f aca="false">IFERROR(SUM('Loan CF'!D3873:M3873)/AA256,"-")</f>
        <v>-</v>
      </c>
    </row>
    <row r="257" customFormat="false" ht="15" hidden="false" customHeight="false" outlineLevel="0" collapsed="false">
      <c r="B257" s="102" t="str">
        <f aca="false">IF('Loan Tape'!$A234="","",'Loan Tape'!$A234)</f>
        <v/>
      </c>
      <c r="C257" s="102" t="str">
        <f aca="false">IF('Loan Tape'!$A234="","",'Loan Tape'!$B234)</f>
        <v/>
      </c>
      <c r="D257" s="102" t="str">
        <f aca="false">IF('Loan Tape'!$A234="","",'Loan Tape'!$C234)</f>
        <v/>
      </c>
      <c r="E257" s="102" t="str">
        <f aca="false">IF('Loan Tape'!$A234="","",'Loan Tape'!$D234)</f>
        <v/>
      </c>
      <c r="F257" s="102" t="str">
        <f aca="false">IF('Loan Tape'!$A234="","",'Loan Tape'!$E234)</f>
        <v/>
      </c>
      <c r="G257" s="103" t="n">
        <f aca="false">'Loan Tape'!$AN234</f>
        <v>0</v>
      </c>
      <c r="H257" s="99" t="n">
        <f aca="false">'Loan Tape'!$R234*'Loan Tape'!$AN234</f>
        <v>0</v>
      </c>
      <c r="I257" s="104" t="n">
        <f aca="false">'Loan Tape'!$AO234</f>
        <v>0</v>
      </c>
      <c r="J257" s="99" t="n">
        <f aca="false">'Loan Tape'!$AY234</f>
        <v>0</v>
      </c>
      <c r="K257" s="99" t="n">
        <f aca="false">'Loan Tape'!$BB234</f>
        <v>0</v>
      </c>
      <c r="L257" s="104" t="n">
        <f aca="false">'Loan CF'!C541</f>
        <v>0</v>
      </c>
      <c r="M257" s="105" t="n">
        <f aca="false">'Loan Tape'!$AS234*'Loan Tape'!$AN234</f>
        <v>0</v>
      </c>
      <c r="N257" s="105" t="n">
        <f aca="false">IFERROR(SUMPRODUCT(('Loan CF'!$C$916:$L$916-0.5)*('Loan CF'!C1147:L1147+'Loan CF'!C1450:L1450+'Loan CF'!C1753:L1753))/(SUM('Loan CF'!C1147:L1147)+SUM('Loan CF'!C1450:L1450)+SUM('Loan CF'!C1753:L1753)),0)</f>
        <v>0</v>
      </c>
      <c r="O257" s="99" t="n">
        <f aca="false">SUM('Loan CF'!C2056:L2056)</f>
        <v>0</v>
      </c>
      <c r="P257" s="99" t="n">
        <f aca="false">SUM('Loan CF'!C1147:L1147)+SUM('Loan CF'!C1450:L1450)+SUM('Loan CF'!C1753:L1753)</f>
        <v>0</v>
      </c>
      <c r="Q257" s="99" t="n">
        <f aca="false">SUM('Loan CF'!C2359:L2359)</f>
        <v>0</v>
      </c>
      <c r="R257" s="99" t="n">
        <f aca="false">SUM('Loan CF'!C1450:L1450)*Prepay_Pen</f>
        <v>0</v>
      </c>
      <c r="S257" s="99" t="n">
        <f aca="false">'Loan CF'!$C2662</f>
        <v>0</v>
      </c>
      <c r="T257" s="99" t="n">
        <f aca="false">SUM(O257:S257)</f>
        <v>0</v>
      </c>
      <c r="U257" s="99" t="n">
        <f aca="false">SUM('Loan CF'!C844:L844)</f>
        <v>0</v>
      </c>
      <c r="V257" s="99" t="n">
        <f aca="false">U257*Sev</f>
        <v>0</v>
      </c>
      <c r="W257" s="99" t="n">
        <f aca="false">T257-K257</f>
        <v>0</v>
      </c>
      <c r="X257" s="106" t="str">
        <f aca="false">IFERROR(IRR('Loan CF'!C2965:M2965),"-")</f>
        <v>-</v>
      </c>
      <c r="Y257" s="107" t="str">
        <f aca="false">IFERROR(T257/K257,"-")</f>
        <v>-</v>
      </c>
      <c r="Z257" s="99" t="n">
        <f aca="false">'Loan Tape'!$BC234</f>
        <v>0</v>
      </c>
      <c r="AA257" s="99" t="n">
        <f aca="false">'Loan Tape'!$BE234</f>
        <v>0</v>
      </c>
      <c r="AB257" s="99" t="n">
        <f aca="false">SUM('Loan CF'!D3874:M3874)-AA257</f>
        <v>0</v>
      </c>
      <c r="AC257" s="106" t="str">
        <f aca="false">IFERROR(IRR('Loan CF'!C3874:M3874),"-")</f>
        <v>-</v>
      </c>
      <c r="AD257" s="107" t="str">
        <f aca="false">IFERROR(SUM('Loan CF'!D3874:M3874)/AA257,"-")</f>
        <v>-</v>
      </c>
    </row>
    <row r="258" customFormat="false" ht="15" hidden="false" customHeight="false" outlineLevel="0" collapsed="false">
      <c r="B258" s="108" t="str">
        <f aca="false">IF('Loan Tape'!$A235="","",'Loan Tape'!$A235)</f>
        <v/>
      </c>
      <c r="C258" s="108" t="str">
        <f aca="false">IF('Loan Tape'!$A235="","",'Loan Tape'!$B235)</f>
        <v/>
      </c>
      <c r="D258" s="108" t="str">
        <f aca="false">IF('Loan Tape'!$A235="","",'Loan Tape'!$C235)</f>
        <v/>
      </c>
      <c r="E258" s="108" t="str">
        <f aca="false">IF('Loan Tape'!$A235="","",'Loan Tape'!$D235)</f>
        <v/>
      </c>
      <c r="F258" s="108" t="str">
        <f aca="false">IF('Loan Tape'!$A235="","",'Loan Tape'!$E235)</f>
        <v/>
      </c>
      <c r="G258" s="26" t="n">
        <f aca="false">'Loan Tape'!$AN235</f>
        <v>0</v>
      </c>
      <c r="H258" s="71" t="n">
        <f aca="false">'Loan Tape'!$R235*'Loan Tape'!$AN235</f>
        <v>0</v>
      </c>
      <c r="I258" s="56" t="n">
        <f aca="false">'Loan Tape'!$AO235</f>
        <v>0</v>
      </c>
      <c r="J258" s="71" t="n">
        <f aca="false">'Loan Tape'!$AY235</f>
        <v>0</v>
      </c>
      <c r="K258" s="71" t="n">
        <f aca="false">'Loan Tape'!$BB235</f>
        <v>0</v>
      </c>
      <c r="L258" s="56" t="n">
        <f aca="false">'Loan CF'!C542</f>
        <v>0</v>
      </c>
      <c r="M258" s="70" t="n">
        <f aca="false">'Loan Tape'!$AS235*'Loan Tape'!$AN235</f>
        <v>0</v>
      </c>
      <c r="N258" s="70" t="n">
        <f aca="false">IFERROR(SUMPRODUCT(('Loan CF'!$C$916:$L$916-0.5)*('Loan CF'!C1148:L1148+'Loan CF'!C1451:L1451+'Loan CF'!C1754:L1754))/(SUM('Loan CF'!C1148:L1148)+SUM('Loan CF'!C1451:L1451)+SUM('Loan CF'!C1754:L1754)),0)</f>
        <v>0</v>
      </c>
      <c r="O258" s="71" t="n">
        <f aca="false">SUM('Loan CF'!C2057:L2057)</f>
        <v>0</v>
      </c>
      <c r="P258" s="71" t="n">
        <f aca="false">SUM('Loan CF'!C1148:L1148)+SUM('Loan CF'!C1451:L1451)+SUM('Loan CF'!C1754:L1754)</f>
        <v>0</v>
      </c>
      <c r="Q258" s="71" t="n">
        <f aca="false">SUM('Loan CF'!C2360:L2360)</f>
        <v>0</v>
      </c>
      <c r="R258" s="71" t="n">
        <f aca="false">SUM('Loan CF'!C1451:L1451)*Prepay_Pen</f>
        <v>0</v>
      </c>
      <c r="S258" s="71" t="n">
        <f aca="false">'Loan CF'!$C2663</f>
        <v>0</v>
      </c>
      <c r="T258" s="71" t="n">
        <f aca="false">SUM(O258:S258)</f>
        <v>0</v>
      </c>
      <c r="U258" s="71" t="n">
        <f aca="false">SUM('Loan CF'!C845:L845)</f>
        <v>0</v>
      </c>
      <c r="V258" s="71" t="n">
        <f aca="false">U258*Sev</f>
        <v>0</v>
      </c>
      <c r="W258" s="71" t="n">
        <f aca="false">T258-K258</f>
        <v>0</v>
      </c>
      <c r="X258" s="109" t="str">
        <f aca="false">IFERROR(IRR('Loan CF'!C2966:M2966),"-")</f>
        <v>-</v>
      </c>
      <c r="Y258" s="110" t="str">
        <f aca="false">IFERROR(T258/K258,"-")</f>
        <v>-</v>
      </c>
      <c r="Z258" s="71" t="n">
        <f aca="false">'Loan Tape'!$BC235</f>
        <v>0</v>
      </c>
      <c r="AA258" s="71" t="n">
        <f aca="false">'Loan Tape'!$BE235</f>
        <v>0</v>
      </c>
      <c r="AB258" s="71" t="n">
        <f aca="false">SUM('Loan CF'!D3875:M3875)-AA258</f>
        <v>0</v>
      </c>
      <c r="AC258" s="109" t="str">
        <f aca="false">IFERROR(IRR('Loan CF'!C3875:M3875),"-")</f>
        <v>-</v>
      </c>
      <c r="AD258" s="110" t="str">
        <f aca="false">IFERROR(SUM('Loan CF'!D3875:M3875)/AA258,"-")</f>
        <v>-</v>
      </c>
    </row>
    <row r="259" customFormat="false" ht="15" hidden="false" customHeight="false" outlineLevel="0" collapsed="false">
      <c r="B259" s="102" t="str">
        <f aca="false">IF('Loan Tape'!$A236="","",'Loan Tape'!$A236)</f>
        <v/>
      </c>
      <c r="C259" s="102" t="str">
        <f aca="false">IF('Loan Tape'!$A236="","",'Loan Tape'!$B236)</f>
        <v/>
      </c>
      <c r="D259" s="102" t="str">
        <f aca="false">IF('Loan Tape'!$A236="","",'Loan Tape'!$C236)</f>
        <v/>
      </c>
      <c r="E259" s="102" t="str">
        <f aca="false">IF('Loan Tape'!$A236="","",'Loan Tape'!$D236)</f>
        <v/>
      </c>
      <c r="F259" s="102" t="str">
        <f aca="false">IF('Loan Tape'!$A236="","",'Loan Tape'!$E236)</f>
        <v/>
      </c>
      <c r="G259" s="103" t="n">
        <f aca="false">'Loan Tape'!$AN236</f>
        <v>0</v>
      </c>
      <c r="H259" s="99" t="n">
        <f aca="false">'Loan Tape'!$R236*'Loan Tape'!$AN236</f>
        <v>0</v>
      </c>
      <c r="I259" s="104" t="n">
        <f aca="false">'Loan Tape'!$AO236</f>
        <v>0</v>
      </c>
      <c r="J259" s="99" t="n">
        <f aca="false">'Loan Tape'!$AY236</f>
        <v>0</v>
      </c>
      <c r="K259" s="99" t="n">
        <f aca="false">'Loan Tape'!$BB236</f>
        <v>0</v>
      </c>
      <c r="L259" s="104" t="n">
        <f aca="false">'Loan CF'!C543</f>
        <v>0</v>
      </c>
      <c r="M259" s="105" t="n">
        <f aca="false">'Loan Tape'!$AS236*'Loan Tape'!$AN236</f>
        <v>0</v>
      </c>
      <c r="N259" s="105" t="n">
        <f aca="false">IFERROR(SUMPRODUCT(('Loan CF'!$C$916:$L$916-0.5)*('Loan CF'!C1149:L1149+'Loan CF'!C1452:L1452+'Loan CF'!C1755:L1755))/(SUM('Loan CF'!C1149:L1149)+SUM('Loan CF'!C1452:L1452)+SUM('Loan CF'!C1755:L1755)),0)</f>
        <v>0</v>
      </c>
      <c r="O259" s="99" t="n">
        <f aca="false">SUM('Loan CF'!C2058:L2058)</f>
        <v>0</v>
      </c>
      <c r="P259" s="99" t="n">
        <f aca="false">SUM('Loan CF'!C1149:L1149)+SUM('Loan CF'!C1452:L1452)+SUM('Loan CF'!C1755:L1755)</f>
        <v>0</v>
      </c>
      <c r="Q259" s="99" t="n">
        <f aca="false">SUM('Loan CF'!C2361:L2361)</f>
        <v>0</v>
      </c>
      <c r="R259" s="99" t="n">
        <f aca="false">SUM('Loan CF'!C1452:L1452)*Prepay_Pen</f>
        <v>0</v>
      </c>
      <c r="S259" s="99" t="n">
        <f aca="false">'Loan CF'!$C2664</f>
        <v>0</v>
      </c>
      <c r="T259" s="99" t="n">
        <f aca="false">SUM(O259:S259)</f>
        <v>0</v>
      </c>
      <c r="U259" s="99" t="n">
        <f aca="false">SUM('Loan CF'!C846:L846)</f>
        <v>0</v>
      </c>
      <c r="V259" s="99" t="n">
        <f aca="false">U259*Sev</f>
        <v>0</v>
      </c>
      <c r="W259" s="99" t="n">
        <f aca="false">T259-K259</f>
        <v>0</v>
      </c>
      <c r="X259" s="106" t="str">
        <f aca="false">IFERROR(IRR('Loan CF'!C2967:M2967),"-")</f>
        <v>-</v>
      </c>
      <c r="Y259" s="107" t="str">
        <f aca="false">IFERROR(T259/K259,"-")</f>
        <v>-</v>
      </c>
      <c r="Z259" s="99" t="n">
        <f aca="false">'Loan Tape'!$BC236</f>
        <v>0</v>
      </c>
      <c r="AA259" s="99" t="n">
        <f aca="false">'Loan Tape'!$BE236</f>
        <v>0</v>
      </c>
      <c r="AB259" s="99" t="n">
        <f aca="false">SUM('Loan CF'!D3876:M3876)-AA259</f>
        <v>0</v>
      </c>
      <c r="AC259" s="106" t="str">
        <f aca="false">IFERROR(IRR('Loan CF'!C3876:M3876),"-")</f>
        <v>-</v>
      </c>
      <c r="AD259" s="107" t="str">
        <f aca="false">IFERROR(SUM('Loan CF'!D3876:M3876)/AA259,"-")</f>
        <v>-</v>
      </c>
    </row>
    <row r="260" customFormat="false" ht="15" hidden="false" customHeight="false" outlineLevel="0" collapsed="false">
      <c r="B260" s="108" t="str">
        <f aca="false">IF('Loan Tape'!$A237="","",'Loan Tape'!$A237)</f>
        <v/>
      </c>
      <c r="C260" s="108" t="str">
        <f aca="false">IF('Loan Tape'!$A237="","",'Loan Tape'!$B237)</f>
        <v/>
      </c>
      <c r="D260" s="108" t="str">
        <f aca="false">IF('Loan Tape'!$A237="","",'Loan Tape'!$C237)</f>
        <v/>
      </c>
      <c r="E260" s="108" t="str">
        <f aca="false">IF('Loan Tape'!$A237="","",'Loan Tape'!$D237)</f>
        <v/>
      </c>
      <c r="F260" s="108" t="str">
        <f aca="false">IF('Loan Tape'!$A237="","",'Loan Tape'!$E237)</f>
        <v/>
      </c>
      <c r="G260" s="26" t="n">
        <f aca="false">'Loan Tape'!$AN237</f>
        <v>0</v>
      </c>
      <c r="H260" s="71" t="n">
        <f aca="false">'Loan Tape'!$R237*'Loan Tape'!$AN237</f>
        <v>0</v>
      </c>
      <c r="I260" s="56" t="n">
        <f aca="false">'Loan Tape'!$AO237</f>
        <v>0</v>
      </c>
      <c r="J260" s="71" t="n">
        <f aca="false">'Loan Tape'!$AY237</f>
        <v>0</v>
      </c>
      <c r="K260" s="71" t="n">
        <f aca="false">'Loan Tape'!$BB237</f>
        <v>0</v>
      </c>
      <c r="L260" s="56" t="n">
        <f aca="false">'Loan CF'!C544</f>
        <v>0</v>
      </c>
      <c r="M260" s="70" t="n">
        <f aca="false">'Loan Tape'!$AS237*'Loan Tape'!$AN237</f>
        <v>0</v>
      </c>
      <c r="N260" s="70" t="n">
        <f aca="false">IFERROR(SUMPRODUCT(('Loan CF'!$C$916:$L$916-0.5)*('Loan CF'!C1150:L1150+'Loan CF'!C1453:L1453+'Loan CF'!C1756:L1756))/(SUM('Loan CF'!C1150:L1150)+SUM('Loan CF'!C1453:L1453)+SUM('Loan CF'!C1756:L1756)),0)</f>
        <v>0</v>
      </c>
      <c r="O260" s="71" t="n">
        <f aca="false">SUM('Loan CF'!C2059:L2059)</f>
        <v>0</v>
      </c>
      <c r="P260" s="71" t="n">
        <f aca="false">SUM('Loan CF'!C1150:L1150)+SUM('Loan CF'!C1453:L1453)+SUM('Loan CF'!C1756:L1756)</f>
        <v>0</v>
      </c>
      <c r="Q260" s="71" t="n">
        <f aca="false">SUM('Loan CF'!C2362:L2362)</f>
        <v>0</v>
      </c>
      <c r="R260" s="71" t="n">
        <f aca="false">SUM('Loan CF'!C1453:L1453)*Prepay_Pen</f>
        <v>0</v>
      </c>
      <c r="S260" s="71" t="n">
        <f aca="false">'Loan CF'!$C2665</f>
        <v>0</v>
      </c>
      <c r="T260" s="71" t="n">
        <f aca="false">SUM(O260:S260)</f>
        <v>0</v>
      </c>
      <c r="U260" s="71" t="n">
        <f aca="false">SUM('Loan CF'!C847:L847)</f>
        <v>0</v>
      </c>
      <c r="V260" s="71" t="n">
        <f aca="false">U260*Sev</f>
        <v>0</v>
      </c>
      <c r="W260" s="71" t="n">
        <f aca="false">T260-K260</f>
        <v>0</v>
      </c>
      <c r="X260" s="109" t="str">
        <f aca="false">IFERROR(IRR('Loan CF'!C2968:M2968),"-")</f>
        <v>-</v>
      </c>
      <c r="Y260" s="110" t="str">
        <f aca="false">IFERROR(T260/K260,"-")</f>
        <v>-</v>
      </c>
      <c r="Z260" s="71" t="n">
        <f aca="false">'Loan Tape'!$BC237</f>
        <v>0</v>
      </c>
      <c r="AA260" s="71" t="n">
        <f aca="false">'Loan Tape'!$BE237</f>
        <v>0</v>
      </c>
      <c r="AB260" s="71" t="n">
        <f aca="false">SUM('Loan CF'!D3877:M3877)-AA260</f>
        <v>0</v>
      </c>
      <c r="AC260" s="109" t="str">
        <f aca="false">IFERROR(IRR('Loan CF'!C3877:M3877),"-")</f>
        <v>-</v>
      </c>
      <c r="AD260" s="110" t="str">
        <f aca="false">IFERROR(SUM('Loan CF'!D3877:M3877)/AA260,"-")</f>
        <v>-</v>
      </c>
    </row>
    <row r="261" customFormat="false" ht="15" hidden="false" customHeight="false" outlineLevel="0" collapsed="false">
      <c r="B261" s="102" t="str">
        <f aca="false">IF('Loan Tape'!$A238="","",'Loan Tape'!$A238)</f>
        <v/>
      </c>
      <c r="C261" s="102" t="str">
        <f aca="false">IF('Loan Tape'!$A238="","",'Loan Tape'!$B238)</f>
        <v/>
      </c>
      <c r="D261" s="102" t="str">
        <f aca="false">IF('Loan Tape'!$A238="","",'Loan Tape'!$C238)</f>
        <v/>
      </c>
      <c r="E261" s="102" t="str">
        <f aca="false">IF('Loan Tape'!$A238="","",'Loan Tape'!$D238)</f>
        <v/>
      </c>
      <c r="F261" s="102" t="str">
        <f aca="false">IF('Loan Tape'!$A238="","",'Loan Tape'!$E238)</f>
        <v/>
      </c>
      <c r="G261" s="103" t="n">
        <f aca="false">'Loan Tape'!$AN238</f>
        <v>0</v>
      </c>
      <c r="H261" s="99" t="n">
        <f aca="false">'Loan Tape'!$R238*'Loan Tape'!$AN238</f>
        <v>0</v>
      </c>
      <c r="I261" s="104" t="n">
        <f aca="false">'Loan Tape'!$AO238</f>
        <v>0</v>
      </c>
      <c r="J261" s="99" t="n">
        <f aca="false">'Loan Tape'!$AY238</f>
        <v>0</v>
      </c>
      <c r="K261" s="99" t="n">
        <f aca="false">'Loan Tape'!$BB238</f>
        <v>0</v>
      </c>
      <c r="L261" s="104" t="n">
        <f aca="false">'Loan CF'!C545</f>
        <v>0</v>
      </c>
      <c r="M261" s="105" t="n">
        <f aca="false">'Loan Tape'!$AS238*'Loan Tape'!$AN238</f>
        <v>0</v>
      </c>
      <c r="N261" s="105" t="n">
        <f aca="false">IFERROR(SUMPRODUCT(('Loan CF'!$C$916:$L$916-0.5)*('Loan CF'!C1151:L1151+'Loan CF'!C1454:L1454+'Loan CF'!C1757:L1757))/(SUM('Loan CF'!C1151:L1151)+SUM('Loan CF'!C1454:L1454)+SUM('Loan CF'!C1757:L1757)),0)</f>
        <v>0</v>
      </c>
      <c r="O261" s="99" t="n">
        <f aca="false">SUM('Loan CF'!C2060:L2060)</f>
        <v>0</v>
      </c>
      <c r="P261" s="99" t="n">
        <f aca="false">SUM('Loan CF'!C1151:L1151)+SUM('Loan CF'!C1454:L1454)+SUM('Loan CF'!C1757:L1757)</f>
        <v>0</v>
      </c>
      <c r="Q261" s="99" t="n">
        <f aca="false">SUM('Loan CF'!C2363:L2363)</f>
        <v>0</v>
      </c>
      <c r="R261" s="99" t="n">
        <f aca="false">SUM('Loan CF'!C1454:L1454)*Prepay_Pen</f>
        <v>0</v>
      </c>
      <c r="S261" s="99" t="n">
        <f aca="false">'Loan CF'!$C2666</f>
        <v>0</v>
      </c>
      <c r="T261" s="99" t="n">
        <f aca="false">SUM(O261:S261)</f>
        <v>0</v>
      </c>
      <c r="U261" s="99" t="n">
        <f aca="false">SUM('Loan CF'!C848:L848)</f>
        <v>0</v>
      </c>
      <c r="V261" s="99" t="n">
        <f aca="false">U261*Sev</f>
        <v>0</v>
      </c>
      <c r="W261" s="99" t="n">
        <f aca="false">T261-K261</f>
        <v>0</v>
      </c>
      <c r="X261" s="106" t="str">
        <f aca="false">IFERROR(IRR('Loan CF'!C2969:M2969),"-")</f>
        <v>-</v>
      </c>
      <c r="Y261" s="107" t="str">
        <f aca="false">IFERROR(T261/K261,"-")</f>
        <v>-</v>
      </c>
      <c r="Z261" s="99" t="n">
        <f aca="false">'Loan Tape'!$BC238</f>
        <v>0</v>
      </c>
      <c r="AA261" s="99" t="n">
        <f aca="false">'Loan Tape'!$BE238</f>
        <v>0</v>
      </c>
      <c r="AB261" s="99" t="n">
        <f aca="false">SUM('Loan CF'!D3878:M3878)-AA261</f>
        <v>0</v>
      </c>
      <c r="AC261" s="106" t="str">
        <f aca="false">IFERROR(IRR('Loan CF'!C3878:M3878),"-")</f>
        <v>-</v>
      </c>
      <c r="AD261" s="107" t="str">
        <f aca="false">IFERROR(SUM('Loan CF'!D3878:M3878)/AA261,"-")</f>
        <v>-</v>
      </c>
    </row>
    <row r="262" customFormat="false" ht="15" hidden="false" customHeight="false" outlineLevel="0" collapsed="false">
      <c r="B262" s="108" t="str">
        <f aca="false">IF('Loan Tape'!$A239="","",'Loan Tape'!$A239)</f>
        <v/>
      </c>
      <c r="C262" s="108" t="str">
        <f aca="false">IF('Loan Tape'!$A239="","",'Loan Tape'!$B239)</f>
        <v/>
      </c>
      <c r="D262" s="108" t="str">
        <f aca="false">IF('Loan Tape'!$A239="","",'Loan Tape'!$C239)</f>
        <v/>
      </c>
      <c r="E262" s="108" t="str">
        <f aca="false">IF('Loan Tape'!$A239="","",'Loan Tape'!$D239)</f>
        <v/>
      </c>
      <c r="F262" s="108" t="str">
        <f aca="false">IF('Loan Tape'!$A239="","",'Loan Tape'!$E239)</f>
        <v/>
      </c>
      <c r="G262" s="26" t="n">
        <f aca="false">'Loan Tape'!$AN239</f>
        <v>0</v>
      </c>
      <c r="H262" s="71" t="n">
        <f aca="false">'Loan Tape'!$R239*'Loan Tape'!$AN239</f>
        <v>0</v>
      </c>
      <c r="I262" s="56" t="n">
        <f aca="false">'Loan Tape'!$AO239</f>
        <v>0</v>
      </c>
      <c r="J262" s="71" t="n">
        <f aca="false">'Loan Tape'!$AY239</f>
        <v>0</v>
      </c>
      <c r="K262" s="71" t="n">
        <f aca="false">'Loan Tape'!$BB239</f>
        <v>0</v>
      </c>
      <c r="L262" s="56" t="n">
        <f aca="false">'Loan CF'!C546</f>
        <v>0</v>
      </c>
      <c r="M262" s="70" t="n">
        <f aca="false">'Loan Tape'!$AS239*'Loan Tape'!$AN239</f>
        <v>0</v>
      </c>
      <c r="N262" s="70" t="n">
        <f aca="false">IFERROR(SUMPRODUCT(('Loan CF'!$C$916:$L$916-0.5)*('Loan CF'!C1152:L1152+'Loan CF'!C1455:L1455+'Loan CF'!C1758:L1758))/(SUM('Loan CF'!C1152:L1152)+SUM('Loan CF'!C1455:L1455)+SUM('Loan CF'!C1758:L1758)),0)</f>
        <v>0</v>
      </c>
      <c r="O262" s="71" t="n">
        <f aca="false">SUM('Loan CF'!C2061:L2061)</f>
        <v>0</v>
      </c>
      <c r="P262" s="71" t="n">
        <f aca="false">SUM('Loan CF'!C1152:L1152)+SUM('Loan CF'!C1455:L1455)+SUM('Loan CF'!C1758:L1758)</f>
        <v>0</v>
      </c>
      <c r="Q262" s="71" t="n">
        <f aca="false">SUM('Loan CF'!C2364:L2364)</f>
        <v>0</v>
      </c>
      <c r="R262" s="71" t="n">
        <f aca="false">SUM('Loan CF'!C1455:L1455)*Prepay_Pen</f>
        <v>0</v>
      </c>
      <c r="S262" s="71" t="n">
        <f aca="false">'Loan CF'!$C2667</f>
        <v>0</v>
      </c>
      <c r="T262" s="71" t="n">
        <f aca="false">SUM(O262:S262)</f>
        <v>0</v>
      </c>
      <c r="U262" s="71" t="n">
        <f aca="false">SUM('Loan CF'!C849:L849)</f>
        <v>0</v>
      </c>
      <c r="V262" s="71" t="n">
        <f aca="false">U262*Sev</f>
        <v>0</v>
      </c>
      <c r="W262" s="71" t="n">
        <f aca="false">T262-K262</f>
        <v>0</v>
      </c>
      <c r="X262" s="109" t="str">
        <f aca="false">IFERROR(IRR('Loan CF'!C2970:M2970),"-")</f>
        <v>-</v>
      </c>
      <c r="Y262" s="110" t="str">
        <f aca="false">IFERROR(T262/K262,"-")</f>
        <v>-</v>
      </c>
      <c r="Z262" s="71" t="n">
        <f aca="false">'Loan Tape'!$BC239</f>
        <v>0</v>
      </c>
      <c r="AA262" s="71" t="n">
        <f aca="false">'Loan Tape'!$BE239</f>
        <v>0</v>
      </c>
      <c r="AB262" s="71" t="n">
        <f aca="false">SUM('Loan CF'!D3879:M3879)-AA262</f>
        <v>0</v>
      </c>
      <c r="AC262" s="109" t="str">
        <f aca="false">IFERROR(IRR('Loan CF'!C3879:M3879),"-")</f>
        <v>-</v>
      </c>
      <c r="AD262" s="110" t="str">
        <f aca="false">IFERROR(SUM('Loan CF'!D3879:M3879)/AA262,"-")</f>
        <v>-</v>
      </c>
    </row>
    <row r="263" customFormat="false" ht="15" hidden="false" customHeight="false" outlineLevel="0" collapsed="false">
      <c r="B263" s="102" t="str">
        <f aca="false">IF('Loan Tape'!$A240="","",'Loan Tape'!$A240)</f>
        <v/>
      </c>
      <c r="C263" s="102" t="str">
        <f aca="false">IF('Loan Tape'!$A240="","",'Loan Tape'!$B240)</f>
        <v/>
      </c>
      <c r="D263" s="102" t="str">
        <f aca="false">IF('Loan Tape'!$A240="","",'Loan Tape'!$C240)</f>
        <v/>
      </c>
      <c r="E263" s="102" t="str">
        <f aca="false">IF('Loan Tape'!$A240="","",'Loan Tape'!$D240)</f>
        <v/>
      </c>
      <c r="F263" s="102" t="str">
        <f aca="false">IF('Loan Tape'!$A240="","",'Loan Tape'!$E240)</f>
        <v/>
      </c>
      <c r="G263" s="103" t="n">
        <f aca="false">'Loan Tape'!$AN240</f>
        <v>0</v>
      </c>
      <c r="H263" s="99" t="n">
        <f aca="false">'Loan Tape'!$R240*'Loan Tape'!$AN240</f>
        <v>0</v>
      </c>
      <c r="I263" s="104" t="n">
        <f aca="false">'Loan Tape'!$AO240</f>
        <v>0</v>
      </c>
      <c r="J263" s="99" t="n">
        <f aca="false">'Loan Tape'!$AY240</f>
        <v>0</v>
      </c>
      <c r="K263" s="99" t="n">
        <f aca="false">'Loan Tape'!$BB240</f>
        <v>0</v>
      </c>
      <c r="L263" s="104" t="n">
        <f aca="false">'Loan CF'!C547</f>
        <v>0</v>
      </c>
      <c r="M263" s="105" t="n">
        <f aca="false">'Loan Tape'!$AS240*'Loan Tape'!$AN240</f>
        <v>0</v>
      </c>
      <c r="N263" s="105" t="n">
        <f aca="false">IFERROR(SUMPRODUCT(('Loan CF'!$C$916:$L$916-0.5)*('Loan CF'!C1153:L1153+'Loan CF'!C1456:L1456+'Loan CF'!C1759:L1759))/(SUM('Loan CF'!C1153:L1153)+SUM('Loan CF'!C1456:L1456)+SUM('Loan CF'!C1759:L1759)),0)</f>
        <v>0</v>
      </c>
      <c r="O263" s="99" t="n">
        <f aca="false">SUM('Loan CF'!C2062:L2062)</f>
        <v>0</v>
      </c>
      <c r="P263" s="99" t="n">
        <f aca="false">SUM('Loan CF'!C1153:L1153)+SUM('Loan CF'!C1456:L1456)+SUM('Loan CF'!C1759:L1759)</f>
        <v>0</v>
      </c>
      <c r="Q263" s="99" t="n">
        <f aca="false">SUM('Loan CF'!C2365:L2365)</f>
        <v>0</v>
      </c>
      <c r="R263" s="99" t="n">
        <f aca="false">SUM('Loan CF'!C1456:L1456)*Prepay_Pen</f>
        <v>0</v>
      </c>
      <c r="S263" s="99" t="n">
        <f aca="false">'Loan CF'!$C2668</f>
        <v>0</v>
      </c>
      <c r="T263" s="99" t="n">
        <f aca="false">SUM(O263:S263)</f>
        <v>0</v>
      </c>
      <c r="U263" s="99" t="n">
        <f aca="false">SUM('Loan CF'!C850:L850)</f>
        <v>0</v>
      </c>
      <c r="V263" s="99" t="n">
        <f aca="false">U263*Sev</f>
        <v>0</v>
      </c>
      <c r="W263" s="99" t="n">
        <f aca="false">T263-K263</f>
        <v>0</v>
      </c>
      <c r="X263" s="106" t="str">
        <f aca="false">IFERROR(IRR('Loan CF'!C2971:M2971),"-")</f>
        <v>-</v>
      </c>
      <c r="Y263" s="107" t="str">
        <f aca="false">IFERROR(T263/K263,"-")</f>
        <v>-</v>
      </c>
      <c r="Z263" s="99" t="n">
        <f aca="false">'Loan Tape'!$BC240</f>
        <v>0</v>
      </c>
      <c r="AA263" s="99" t="n">
        <f aca="false">'Loan Tape'!$BE240</f>
        <v>0</v>
      </c>
      <c r="AB263" s="99" t="n">
        <f aca="false">SUM('Loan CF'!D3880:M3880)-AA263</f>
        <v>0</v>
      </c>
      <c r="AC263" s="106" t="str">
        <f aca="false">IFERROR(IRR('Loan CF'!C3880:M3880),"-")</f>
        <v>-</v>
      </c>
      <c r="AD263" s="107" t="str">
        <f aca="false">IFERROR(SUM('Loan CF'!D3880:M3880)/AA263,"-")</f>
        <v>-</v>
      </c>
    </row>
    <row r="264" customFormat="false" ht="15" hidden="false" customHeight="false" outlineLevel="0" collapsed="false">
      <c r="B264" s="108" t="str">
        <f aca="false">IF('Loan Tape'!$A241="","",'Loan Tape'!$A241)</f>
        <v/>
      </c>
      <c r="C264" s="108" t="str">
        <f aca="false">IF('Loan Tape'!$A241="","",'Loan Tape'!$B241)</f>
        <v/>
      </c>
      <c r="D264" s="108" t="str">
        <f aca="false">IF('Loan Tape'!$A241="","",'Loan Tape'!$C241)</f>
        <v/>
      </c>
      <c r="E264" s="108" t="str">
        <f aca="false">IF('Loan Tape'!$A241="","",'Loan Tape'!$D241)</f>
        <v/>
      </c>
      <c r="F264" s="108" t="str">
        <f aca="false">IF('Loan Tape'!$A241="","",'Loan Tape'!$E241)</f>
        <v/>
      </c>
      <c r="G264" s="26" t="n">
        <f aca="false">'Loan Tape'!$AN241</f>
        <v>0</v>
      </c>
      <c r="H264" s="71" t="n">
        <f aca="false">'Loan Tape'!$R241*'Loan Tape'!$AN241</f>
        <v>0</v>
      </c>
      <c r="I264" s="56" t="n">
        <f aca="false">'Loan Tape'!$AO241</f>
        <v>0</v>
      </c>
      <c r="J264" s="71" t="n">
        <f aca="false">'Loan Tape'!$AY241</f>
        <v>0</v>
      </c>
      <c r="K264" s="71" t="n">
        <f aca="false">'Loan Tape'!$BB241</f>
        <v>0</v>
      </c>
      <c r="L264" s="56" t="n">
        <f aca="false">'Loan CF'!C548</f>
        <v>0</v>
      </c>
      <c r="M264" s="70" t="n">
        <f aca="false">'Loan Tape'!$AS241*'Loan Tape'!$AN241</f>
        <v>0</v>
      </c>
      <c r="N264" s="70" t="n">
        <f aca="false">IFERROR(SUMPRODUCT(('Loan CF'!$C$916:$L$916-0.5)*('Loan CF'!C1154:L1154+'Loan CF'!C1457:L1457+'Loan CF'!C1760:L1760))/(SUM('Loan CF'!C1154:L1154)+SUM('Loan CF'!C1457:L1457)+SUM('Loan CF'!C1760:L1760)),0)</f>
        <v>0</v>
      </c>
      <c r="O264" s="71" t="n">
        <f aca="false">SUM('Loan CF'!C2063:L2063)</f>
        <v>0</v>
      </c>
      <c r="P264" s="71" t="n">
        <f aca="false">SUM('Loan CF'!C1154:L1154)+SUM('Loan CF'!C1457:L1457)+SUM('Loan CF'!C1760:L1760)</f>
        <v>0</v>
      </c>
      <c r="Q264" s="71" t="n">
        <f aca="false">SUM('Loan CF'!C2366:L2366)</f>
        <v>0</v>
      </c>
      <c r="R264" s="71" t="n">
        <f aca="false">SUM('Loan CF'!C1457:L1457)*Prepay_Pen</f>
        <v>0</v>
      </c>
      <c r="S264" s="71" t="n">
        <f aca="false">'Loan CF'!$C2669</f>
        <v>0</v>
      </c>
      <c r="T264" s="71" t="n">
        <f aca="false">SUM(O264:S264)</f>
        <v>0</v>
      </c>
      <c r="U264" s="71" t="n">
        <f aca="false">SUM('Loan CF'!C851:L851)</f>
        <v>0</v>
      </c>
      <c r="V264" s="71" t="n">
        <f aca="false">U264*Sev</f>
        <v>0</v>
      </c>
      <c r="W264" s="71" t="n">
        <f aca="false">T264-K264</f>
        <v>0</v>
      </c>
      <c r="X264" s="109" t="str">
        <f aca="false">IFERROR(IRR('Loan CF'!C2972:M2972),"-")</f>
        <v>-</v>
      </c>
      <c r="Y264" s="110" t="str">
        <f aca="false">IFERROR(T264/K264,"-")</f>
        <v>-</v>
      </c>
      <c r="Z264" s="71" t="n">
        <f aca="false">'Loan Tape'!$BC241</f>
        <v>0</v>
      </c>
      <c r="AA264" s="71" t="n">
        <f aca="false">'Loan Tape'!$BE241</f>
        <v>0</v>
      </c>
      <c r="AB264" s="71" t="n">
        <f aca="false">SUM('Loan CF'!D3881:M3881)-AA264</f>
        <v>0</v>
      </c>
      <c r="AC264" s="109" t="str">
        <f aca="false">IFERROR(IRR('Loan CF'!C3881:M3881),"-")</f>
        <v>-</v>
      </c>
      <c r="AD264" s="110" t="str">
        <f aca="false">IFERROR(SUM('Loan CF'!D3881:M3881)/AA264,"-")</f>
        <v>-</v>
      </c>
    </row>
    <row r="265" customFormat="false" ht="15" hidden="false" customHeight="false" outlineLevel="0" collapsed="false">
      <c r="B265" s="102" t="str">
        <f aca="false">IF('Loan Tape'!$A242="","",'Loan Tape'!$A242)</f>
        <v/>
      </c>
      <c r="C265" s="102" t="str">
        <f aca="false">IF('Loan Tape'!$A242="","",'Loan Tape'!$B242)</f>
        <v/>
      </c>
      <c r="D265" s="102" t="str">
        <f aca="false">IF('Loan Tape'!$A242="","",'Loan Tape'!$C242)</f>
        <v/>
      </c>
      <c r="E265" s="102" t="str">
        <f aca="false">IF('Loan Tape'!$A242="","",'Loan Tape'!$D242)</f>
        <v/>
      </c>
      <c r="F265" s="102" t="str">
        <f aca="false">IF('Loan Tape'!$A242="","",'Loan Tape'!$E242)</f>
        <v/>
      </c>
      <c r="G265" s="103" t="n">
        <f aca="false">'Loan Tape'!$AN242</f>
        <v>0</v>
      </c>
      <c r="H265" s="99" t="n">
        <f aca="false">'Loan Tape'!$R242*'Loan Tape'!$AN242</f>
        <v>0</v>
      </c>
      <c r="I265" s="104" t="n">
        <f aca="false">'Loan Tape'!$AO242</f>
        <v>0</v>
      </c>
      <c r="J265" s="99" t="n">
        <f aca="false">'Loan Tape'!$AY242</f>
        <v>0</v>
      </c>
      <c r="K265" s="99" t="n">
        <f aca="false">'Loan Tape'!$BB242</f>
        <v>0</v>
      </c>
      <c r="L265" s="104" t="n">
        <f aca="false">'Loan CF'!C549</f>
        <v>0</v>
      </c>
      <c r="M265" s="105" t="n">
        <f aca="false">'Loan Tape'!$AS242*'Loan Tape'!$AN242</f>
        <v>0</v>
      </c>
      <c r="N265" s="105" t="n">
        <f aca="false">IFERROR(SUMPRODUCT(('Loan CF'!$C$916:$L$916-0.5)*('Loan CF'!C1155:L1155+'Loan CF'!C1458:L1458+'Loan CF'!C1761:L1761))/(SUM('Loan CF'!C1155:L1155)+SUM('Loan CF'!C1458:L1458)+SUM('Loan CF'!C1761:L1761)),0)</f>
        <v>0</v>
      </c>
      <c r="O265" s="99" t="n">
        <f aca="false">SUM('Loan CF'!C2064:L2064)</f>
        <v>0</v>
      </c>
      <c r="P265" s="99" t="n">
        <f aca="false">SUM('Loan CF'!C1155:L1155)+SUM('Loan CF'!C1458:L1458)+SUM('Loan CF'!C1761:L1761)</f>
        <v>0</v>
      </c>
      <c r="Q265" s="99" t="n">
        <f aca="false">SUM('Loan CF'!C2367:L2367)</f>
        <v>0</v>
      </c>
      <c r="R265" s="99" t="n">
        <f aca="false">SUM('Loan CF'!C1458:L1458)*Prepay_Pen</f>
        <v>0</v>
      </c>
      <c r="S265" s="99" t="n">
        <f aca="false">'Loan CF'!$C2670</f>
        <v>0</v>
      </c>
      <c r="T265" s="99" t="n">
        <f aca="false">SUM(O265:S265)</f>
        <v>0</v>
      </c>
      <c r="U265" s="99" t="n">
        <f aca="false">SUM('Loan CF'!C852:L852)</f>
        <v>0</v>
      </c>
      <c r="V265" s="99" t="n">
        <f aca="false">U265*Sev</f>
        <v>0</v>
      </c>
      <c r="W265" s="99" t="n">
        <f aca="false">T265-K265</f>
        <v>0</v>
      </c>
      <c r="X265" s="106" t="str">
        <f aca="false">IFERROR(IRR('Loan CF'!C2973:M2973),"-")</f>
        <v>-</v>
      </c>
      <c r="Y265" s="107" t="str">
        <f aca="false">IFERROR(T265/K265,"-")</f>
        <v>-</v>
      </c>
      <c r="Z265" s="99" t="n">
        <f aca="false">'Loan Tape'!$BC242</f>
        <v>0</v>
      </c>
      <c r="AA265" s="99" t="n">
        <f aca="false">'Loan Tape'!$BE242</f>
        <v>0</v>
      </c>
      <c r="AB265" s="99" t="n">
        <f aca="false">SUM('Loan CF'!D3882:M3882)-AA265</f>
        <v>0</v>
      </c>
      <c r="AC265" s="106" t="str">
        <f aca="false">IFERROR(IRR('Loan CF'!C3882:M3882),"-")</f>
        <v>-</v>
      </c>
      <c r="AD265" s="107" t="str">
        <f aca="false">IFERROR(SUM('Loan CF'!D3882:M3882)/AA265,"-")</f>
        <v>-</v>
      </c>
    </row>
    <row r="266" customFormat="false" ht="15" hidden="false" customHeight="false" outlineLevel="0" collapsed="false">
      <c r="B266" s="108" t="str">
        <f aca="false">IF('Loan Tape'!$A243="","",'Loan Tape'!$A243)</f>
        <v/>
      </c>
      <c r="C266" s="108" t="str">
        <f aca="false">IF('Loan Tape'!$A243="","",'Loan Tape'!$B243)</f>
        <v/>
      </c>
      <c r="D266" s="108" t="str">
        <f aca="false">IF('Loan Tape'!$A243="","",'Loan Tape'!$C243)</f>
        <v/>
      </c>
      <c r="E266" s="108" t="str">
        <f aca="false">IF('Loan Tape'!$A243="","",'Loan Tape'!$D243)</f>
        <v/>
      </c>
      <c r="F266" s="108" t="str">
        <f aca="false">IF('Loan Tape'!$A243="","",'Loan Tape'!$E243)</f>
        <v/>
      </c>
      <c r="G266" s="26" t="n">
        <f aca="false">'Loan Tape'!$AN243</f>
        <v>0</v>
      </c>
      <c r="H266" s="71" t="n">
        <f aca="false">'Loan Tape'!$R243*'Loan Tape'!$AN243</f>
        <v>0</v>
      </c>
      <c r="I266" s="56" t="n">
        <f aca="false">'Loan Tape'!$AO243</f>
        <v>0</v>
      </c>
      <c r="J266" s="71" t="n">
        <f aca="false">'Loan Tape'!$AY243</f>
        <v>0</v>
      </c>
      <c r="K266" s="71" t="n">
        <f aca="false">'Loan Tape'!$BB243</f>
        <v>0</v>
      </c>
      <c r="L266" s="56" t="n">
        <f aca="false">'Loan CF'!C550</f>
        <v>0</v>
      </c>
      <c r="M266" s="70" t="n">
        <f aca="false">'Loan Tape'!$AS243*'Loan Tape'!$AN243</f>
        <v>0</v>
      </c>
      <c r="N266" s="70" t="n">
        <f aca="false">IFERROR(SUMPRODUCT(('Loan CF'!$C$916:$L$916-0.5)*('Loan CF'!C1156:L1156+'Loan CF'!C1459:L1459+'Loan CF'!C1762:L1762))/(SUM('Loan CF'!C1156:L1156)+SUM('Loan CF'!C1459:L1459)+SUM('Loan CF'!C1762:L1762)),0)</f>
        <v>0</v>
      </c>
      <c r="O266" s="71" t="n">
        <f aca="false">SUM('Loan CF'!C2065:L2065)</f>
        <v>0</v>
      </c>
      <c r="P266" s="71" t="n">
        <f aca="false">SUM('Loan CF'!C1156:L1156)+SUM('Loan CF'!C1459:L1459)+SUM('Loan CF'!C1762:L1762)</f>
        <v>0</v>
      </c>
      <c r="Q266" s="71" t="n">
        <f aca="false">SUM('Loan CF'!C2368:L2368)</f>
        <v>0</v>
      </c>
      <c r="R266" s="71" t="n">
        <f aca="false">SUM('Loan CF'!C1459:L1459)*Prepay_Pen</f>
        <v>0</v>
      </c>
      <c r="S266" s="71" t="n">
        <f aca="false">'Loan CF'!$C2671</f>
        <v>0</v>
      </c>
      <c r="T266" s="71" t="n">
        <f aca="false">SUM(O266:S266)</f>
        <v>0</v>
      </c>
      <c r="U266" s="71" t="n">
        <f aca="false">SUM('Loan CF'!C853:L853)</f>
        <v>0</v>
      </c>
      <c r="V266" s="71" t="n">
        <f aca="false">U266*Sev</f>
        <v>0</v>
      </c>
      <c r="W266" s="71" t="n">
        <f aca="false">T266-K266</f>
        <v>0</v>
      </c>
      <c r="X266" s="109" t="str">
        <f aca="false">IFERROR(IRR('Loan CF'!C2974:M2974),"-")</f>
        <v>-</v>
      </c>
      <c r="Y266" s="110" t="str">
        <f aca="false">IFERROR(T266/K266,"-")</f>
        <v>-</v>
      </c>
      <c r="Z266" s="71" t="n">
        <f aca="false">'Loan Tape'!$BC243</f>
        <v>0</v>
      </c>
      <c r="AA266" s="71" t="n">
        <f aca="false">'Loan Tape'!$BE243</f>
        <v>0</v>
      </c>
      <c r="AB266" s="71" t="n">
        <f aca="false">SUM('Loan CF'!D3883:M3883)-AA266</f>
        <v>0</v>
      </c>
      <c r="AC266" s="109" t="str">
        <f aca="false">IFERROR(IRR('Loan CF'!C3883:M3883),"-")</f>
        <v>-</v>
      </c>
      <c r="AD266" s="110" t="str">
        <f aca="false">IFERROR(SUM('Loan CF'!D3883:M3883)/AA266,"-")</f>
        <v>-</v>
      </c>
    </row>
    <row r="267" customFormat="false" ht="15" hidden="false" customHeight="false" outlineLevel="0" collapsed="false">
      <c r="B267" s="102" t="str">
        <f aca="false">IF('Loan Tape'!$A244="","",'Loan Tape'!$A244)</f>
        <v/>
      </c>
      <c r="C267" s="102" t="str">
        <f aca="false">IF('Loan Tape'!$A244="","",'Loan Tape'!$B244)</f>
        <v/>
      </c>
      <c r="D267" s="102" t="str">
        <f aca="false">IF('Loan Tape'!$A244="","",'Loan Tape'!$C244)</f>
        <v/>
      </c>
      <c r="E267" s="102" t="str">
        <f aca="false">IF('Loan Tape'!$A244="","",'Loan Tape'!$D244)</f>
        <v/>
      </c>
      <c r="F267" s="102" t="str">
        <f aca="false">IF('Loan Tape'!$A244="","",'Loan Tape'!$E244)</f>
        <v/>
      </c>
      <c r="G267" s="103" t="n">
        <f aca="false">'Loan Tape'!$AN244</f>
        <v>0</v>
      </c>
      <c r="H267" s="99" t="n">
        <f aca="false">'Loan Tape'!$R244*'Loan Tape'!$AN244</f>
        <v>0</v>
      </c>
      <c r="I267" s="104" t="n">
        <f aca="false">'Loan Tape'!$AO244</f>
        <v>0</v>
      </c>
      <c r="J267" s="99" t="n">
        <f aca="false">'Loan Tape'!$AY244</f>
        <v>0</v>
      </c>
      <c r="K267" s="99" t="n">
        <f aca="false">'Loan Tape'!$BB244</f>
        <v>0</v>
      </c>
      <c r="L267" s="104" t="n">
        <f aca="false">'Loan CF'!C551</f>
        <v>0</v>
      </c>
      <c r="M267" s="105" t="n">
        <f aca="false">'Loan Tape'!$AS244*'Loan Tape'!$AN244</f>
        <v>0</v>
      </c>
      <c r="N267" s="105" t="n">
        <f aca="false">IFERROR(SUMPRODUCT(('Loan CF'!$C$916:$L$916-0.5)*('Loan CF'!C1157:L1157+'Loan CF'!C1460:L1460+'Loan CF'!C1763:L1763))/(SUM('Loan CF'!C1157:L1157)+SUM('Loan CF'!C1460:L1460)+SUM('Loan CF'!C1763:L1763)),0)</f>
        <v>0</v>
      </c>
      <c r="O267" s="99" t="n">
        <f aca="false">SUM('Loan CF'!C2066:L2066)</f>
        <v>0</v>
      </c>
      <c r="P267" s="99" t="n">
        <f aca="false">SUM('Loan CF'!C1157:L1157)+SUM('Loan CF'!C1460:L1460)+SUM('Loan CF'!C1763:L1763)</f>
        <v>0</v>
      </c>
      <c r="Q267" s="99" t="n">
        <f aca="false">SUM('Loan CF'!C2369:L2369)</f>
        <v>0</v>
      </c>
      <c r="R267" s="99" t="n">
        <f aca="false">SUM('Loan CF'!C1460:L1460)*Prepay_Pen</f>
        <v>0</v>
      </c>
      <c r="S267" s="99" t="n">
        <f aca="false">'Loan CF'!$C2672</f>
        <v>0</v>
      </c>
      <c r="T267" s="99" t="n">
        <f aca="false">SUM(O267:S267)</f>
        <v>0</v>
      </c>
      <c r="U267" s="99" t="n">
        <f aca="false">SUM('Loan CF'!C854:L854)</f>
        <v>0</v>
      </c>
      <c r="V267" s="99" t="n">
        <f aca="false">U267*Sev</f>
        <v>0</v>
      </c>
      <c r="W267" s="99" t="n">
        <f aca="false">T267-K267</f>
        <v>0</v>
      </c>
      <c r="X267" s="106" t="str">
        <f aca="false">IFERROR(IRR('Loan CF'!C2975:M2975),"-")</f>
        <v>-</v>
      </c>
      <c r="Y267" s="107" t="str">
        <f aca="false">IFERROR(T267/K267,"-")</f>
        <v>-</v>
      </c>
      <c r="Z267" s="99" t="n">
        <f aca="false">'Loan Tape'!$BC244</f>
        <v>0</v>
      </c>
      <c r="AA267" s="99" t="n">
        <f aca="false">'Loan Tape'!$BE244</f>
        <v>0</v>
      </c>
      <c r="AB267" s="99" t="n">
        <f aca="false">SUM('Loan CF'!D3884:M3884)-AA267</f>
        <v>0</v>
      </c>
      <c r="AC267" s="106" t="str">
        <f aca="false">IFERROR(IRR('Loan CF'!C3884:M3884),"-")</f>
        <v>-</v>
      </c>
      <c r="AD267" s="107" t="str">
        <f aca="false">IFERROR(SUM('Loan CF'!D3884:M3884)/AA267,"-")</f>
        <v>-</v>
      </c>
    </row>
    <row r="268" customFormat="false" ht="15" hidden="false" customHeight="false" outlineLevel="0" collapsed="false">
      <c r="B268" s="108" t="str">
        <f aca="false">IF('Loan Tape'!$A245="","",'Loan Tape'!$A245)</f>
        <v/>
      </c>
      <c r="C268" s="108" t="str">
        <f aca="false">IF('Loan Tape'!$A245="","",'Loan Tape'!$B245)</f>
        <v/>
      </c>
      <c r="D268" s="108" t="str">
        <f aca="false">IF('Loan Tape'!$A245="","",'Loan Tape'!$C245)</f>
        <v/>
      </c>
      <c r="E268" s="108" t="str">
        <f aca="false">IF('Loan Tape'!$A245="","",'Loan Tape'!$D245)</f>
        <v/>
      </c>
      <c r="F268" s="108" t="str">
        <f aca="false">IF('Loan Tape'!$A245="","",'Loan Tape'!$E245)</f>
        <v/>
      </c>
      <c r="G268" s="26" t="n">
        <f aca="false">'Loan Tape'!$AN245</f>
        <v>0</v>
      </c>
      <c r="H268" s="71" t="n">
        <f aca="false">'Loan Tape'!$R245*'Loan Tape'!$AN245</f>
        <v>0</v>
      </c>
      <c r="I268" s="56" t="n">
        <f aca="false">'Loan Tape'!$AO245</f>
        <v>0</v>
      </c>
      <c r="J268" s="71" t="n">
        <f aca="false">'Loan Tape'!$AY245</f>
        <v>0</v>
      </c>
      <c r="K268" s="71" t="n">
        <f aca="false">'Loan Tape'!$BB245</f>
        <v>0</v>
      </c>
      <c r="L268" s="56" t="n">
        <f aca="false">'Loan CF'!C552</f>
        <v>0</v>
      </c>
      <c r="M268" s="70" t="n">
        <f aca="false">'Loan Tape'!$AS245*'Loan Tape'!$AN245</f>
        <v>0</v>
      </c>
      <c r="N268" s="70" t="n">
        <f aca="false">IFERROR(SUMPRODUCT(('Loan CF'!$C$916:$L$916-0.5)*('Loan CF'!C1158:L1158+'Loan CF'!C1461:L1461+'Loan CF'!C1764:L1764))/(SUM('Loan CF'!C1158:L1158)+SUM('Loan CF'!C1461:L1461)+SUM('Loan CF'!C1764:L1764)),0)</f>
        <v>0</v>
      </c>
      <c r="O268" s="71" t="n">
        <f aca="false">SUM('Loan CF'!C2067:L2067)</f>
        <v>0</v>
      </c>
      <c r="P268" s="71" t="n">
        <f aca="false">SUM('Loan CF'!C1158:L1158)+SUM('Loan CF'!C1461:L1461)+SUM('Loan CF'!C1764:L1764)</f>
        <v>0</v>
      </c>
      <c r="Q268" s="71" t="n">
        <f aca="false">SUM('Loan CF'!C2370:L2370)</f>
        <v>0</v>
      </c>
      <c r="R268" s="71" t="n">
        <f aca="false">SUM('Loan CF'!C1461:L1461)*Prepay_Pen</f>
        <v>0</v>
      </c>
      <c r="S268" s="71" t="n">
        <f aca="false">'Loan CF'!$C2673</f>
        <v>0</v>
      </c>
      <c r="T268" s="71" t="n">
        <f aca="false">SUM(O268:S268)</f>
        <v>0</v>
      </c>
      <c r="U268" s="71" t="n">
        <f aca="false">SUM('Loan CF'!C855:L855)</f>
        <v>0</v>
      </c>
      <c r="V268" s="71" t="n">
        <f aca="false">U268*Sev</f>
        <v>0</v>
      </c>
      <c r="W268" s="71" t="n">
        <f aca="false">T268-K268</f>
        <v>0</v>
      </c>
      <c r="X268" s="109" t="str">
        <f aca="false">IFERROR(IRR('Loan CF'!C2976:M2976),"-")</f>
        <v>-</v>
      </c>
      <c r="Y268" s="110" t="str">
        <f aca="false">IFERROR(T268/K268,"-")</f>
        <v>-</v>
      </c>
      <c r="Z268" s="71" t="n">
        <f aca="false">'Loan Tape'!$BC245</f>
        <v>0</v>
      </c>
      <c r="AA268" s="71" t="n">
        <f aca="false">'Loan Tape'!$BE245</f>
        <v>0</v>
      </c>
      <c r="AB268" s="71" t="n">
        <f aca="false">SUM('Loan CF'!D3885:M3885)-AA268</f>
        <v>0</v>
      </c>
      <c r="AC268" s="109" t="str">
        <f aca="false">IFERROR(IRR('Loan CF'!C3885:M3885),"-")</f>
        <v>-</v>
      </c>
      <c r="AD268" s="110" t="str">
        <f aca="false">IFERROR(SUM('Loan CF'!D3885:M3885)/AA268,"-")</f>
        <v>-</v>
      </c>
    </row>
    <row r="269" customFormat="false" ht="15" hidden="false" customHeight="false" outlineLevel="0" collapsed="false">
      <c r="B269" s="102" t="str">
        <f aca="false">IF('Loan Tape'!$A246="","",'Loan Tape'!$A246)</f>
        <v/>
      </c>
      <c r="C269" s="102" t="str">
        <f aca="false">IF('Loan Tape'!$A246="","",'Loan Tape'!$B246)</f>
        <v/>
      </c>
      <c r="D269" s="102" t="str">
        <f aca="false">IF('Loan Tape'!$A246="","",'Loan Tape'!$C246)</f>
        <v/>
      </c>
      <c r="E269" s="102" t="str">
        <f aca="false">IF('Loan Tape'!$A246="","",'Loan Tape'!$D246)</f>
        <v/>
      </c>
      <c r="F269" s="102" t="str">
        <f aca="false">IF('Loan Tape'!$A246="","",'Loan Tape'!$E246)</f>
        <v/>
      </c>
      <c r="G269" s="103" t="n">
        <f aca="false">'Loan Tape'!$AN246</f>
        <v>0</v>
      </c>
      <c r="H269" s="99" t="n">
        <f aca="false">'Loan Tape'!$R246*'Loan Tape'!$AN246</f>
        <v>0</v>
      </c>
      <c r="I269" s="104" t="n">
        <f aca="false">'Loan Tape'!$AO246</f>
        <v>0</v>
      </c>
      <c r="J269" s="99" t="n">
        <f aca="false">'Loan Tape'!$AY246</f>
        <v>0</v>
      </c>
      <c r="K269" s="99" t="n">
        <f aca="false">'Loan Tape'!$BB246</f>
        <v>0</v>
      </c>
      <c r="L269" s="104" t="n">
        <f aca="false">'Loan CF'!C553</f>
        <v>0</v>
      </c>
      <c r="M269" s="105" t="n">
        <f aca="false">'Loan Tape'!$AS246*'Loan Tape'!$AN246</f>
        <v>0</v>
      </c>
      <c r="N269" s="105" t="n">
        <f aca="false">IFERROR(SUMPRODUCT(('Loan CF'!$C$916:$L$916-0.5)*('Loan CF'!C1159:L1159+'Loan CF'!C1462:L1462+'Loan CF'!C1765:L1765))/(SUM('Loan CF'!C1159:L1159)+SUM('Loan CF'!C1462:L1462)+SUM('Loan CF'!C1765:L1765)),0)</f>
        <v>0</v>
      </c>
      <c r="O269" s="99" t="n">
        <f aca="false">SUM('Loan CF'!C2068:L2068)</f>
        <v>0</v>
      </c>
      <c r="P269" s="99" t="n">
        <f aca="false">SUM('Loan CF'!C1159:L1159)+SUM('Loan CF'!C1462:L1462)+SUM('Loan CF'!C1765:L1765)</f>
        <v>0</v>
      </c>
      <c r="Q269" s="99" t="n">
        <f aca="false">SUM('Loan CF'!C2371:L2371)</f>
        <v>0</v>
      </c>
      <c r="R269" s="99" t="n">
        <f aca="false">SUM('Loan CF'!C1462:L1462)*Prepay_Pen</f>
        <v>0</v>
      </c>
      <c r="S269" s="99" t="n">
        <f aca="false">'Loan CF'!$C2674</f>
        <v>0</v>
      </c>
      <c r="T269" s="99" t="n">
        <f aca="false">SUM(O269:S269)</f>
        <v>0</v>
      </c>
      <c r="U269" s="99" t="n">
        <f aca="false">SUM('Loan CF'!C856:L856)</f>
        <v>0</v>
      </c>
      <c r="V269" s="99" t="n">
        <f aca="false">U269*Sev</f>
        <v>0</v>
      </c>
      <c r="W269" s="99" t="n">
        <f aca="false">T269-K269</f>
        <v>0</v>
      </c>
      <c r="X269" s="106" t="str">
        <f aca="false">IFERROR(IRR('Loan CF'!C2977:M2977),"-")</f>
        <v>-</v>
      </c>
      <c r="Y269" s="107" t="str">
        <f aca="false">IFERROR(T269/K269,"-")</f>
        <v>-</v>
      </c>
      <c r="Z269" s="99" t="n">
        <f aca="false">'Loan Tape'!$BC246</f>
        <v>0</v>
      </c>
      <c r="AA269" s="99" t="n">
        <f aca="false">'Loan Tape'!$BE246</f>
        <v>0</v>
      </c>
      <c r="AB269" s="99" t="n">
        <f aca="false">SUM('Loan CF'!D3886:M3886)-AA269</f>
        <v>0</v>
      </c>
      <c r="AC269" s="106" t="str">
        <f aca="false">IFERROR(IRR('Loan CF'!C3886:M3886),"-")</f>
        <v>-</v>
      </c>
      <c r="AD269" s="107" t="str">
        <f aca="false">IFERROR(SUM('Loan CF'!D3886:M3886)/AA269,"-")</f>
        <v>-</v>
      </c>
    </row>
    <row r="270" customFormat="false" ht="15" hidden="false" customHeight="false" outlineLevel="0" collapsed="false">
      <c r="B270" s="108" t="str">
        <f aca="false">IF('Loan Tape'!$A247="","",'Loan Tape'!$A247)</f>
        <v/>
      </c>
      <c r="C270" s="108" t="str">
        <f aca="false">IF('Loan Tape'!$A247="","",'Loan Tape'!$B247)</f>
        <v/>
      </c>
      <c r="D270" s="108" t="str">
        <f aca="false">IF('Loan Tape'!$A247="","",'Loan Tape'!$C247)</f>
        <v/>
      </c>
      <c r="E270" s="108" t="str">
        <f aca="false">IF('Loan Tape'!$A247="","",'Loan Tape'!$D247)</f>
        <v/>
      </c>
      <c r="F270" s="108" t="str">
        <f aca="false">IF('Loan Tape'!$A247="","",'Loan Tape'!$E247)</f>
        <v/>
      </c>
      <c r="G270" s="26" t="n">
        <f aca="false">'Loan Tape'!$AN247</f>
        <v>0</v>
      </c>
      <c r="H270" s="71" t="n">
        <f aca="false">'Loan Tape'!$R247*'Loan Tape'!$AN247</f>
        <v>0</v>
      </c>
      <c r="I270" s="56" t="n">
        <f aca="false">'Loan Tape'!$AO247</f>
        <v>0</v>
      </c>
      <c r="J270" s="71" t="n">
        <f aca="false">'Loan Tape'!$AY247</f>
        <v>0</v>
      </c>
      <c r="K270" s="71" t="n">
        <f aca="false">'Loan Tape'!$BB247</f>
        <v>0</v>
      </c>
      <c r="L270" s="56" t="n">
        <f aca="false">'Loan CF'!C554</f>
        <v>0</v>
      </c>
      <c r="M270" s="70" t="n">
        <f aca="false">'Loan Tape'!$AS247*'Loan Tape'!$AN247</f>
        <v>0</v>
      </c>
      <c r="N270" s="70" t="n">
        <f aca="false">IFERROR(SUMPRODUCT(('Loan CF'!$C$916:$L$916-0.5)*('Loan CF'!C1160:L1160+'Loan CF'!C1463:L1463+'Loan CF'!C1766:L1766))/(SUM('Loan CF'!C1160:L1160)+SUM('Loan CF'!C1463:L1463)+SUM('Loan CF'!C1766:L1766)),0)</f>
        <v>0</v>
      </c>
      <c r="O270" s="71" t="n">
        <f aca="false">SUM('Loan CF'!C2069:L2069)</f>
        <v>0</v>
      </c>
      <c r="P270" s="71" t="n">
        <f aca="false">SUM('Loan CF'!C1160:L1160)+SUM('Loan CF'!C1463:L1463)+SUM('Loan CF'!C1766:L1766)</f>
        <v>0</v>
      </c>
      <c r="Q270" s="71" t="n">
        <f aca="false">SUM('Loan CF'!C2372:L2372)</f>
        <v>0</v>
      </c>
      <c r="R270" s="71" t="n">
        <f aca="false">SUM('Loan CF'!C1463:L1463)*Prepay_Pen</f>
        <v>0</v>
      </c>
      <c r="S270" s="71" t="n">
        <f aca="false">'Loan CF'!$C2675</f>
        <v>0</v>
      </c>
      <c r="T270" s="71" t="n">
        <f aca="false">SUM(O270:S270)</f>
        <v>0</v>
      </c>
      <c r="U270" s="71" t="n">
        <f aca="false">SUM('Loan CF'!C857:L857)</f>
        <v>0</v>
      </c>
      <c r="V270" s="71" t="n">
        <f aca="false">U270*Sev</f>
        <v>0</v>
      </c>
      <c r="W270" s="71" t="n">
        <f aca="false">T270-K270</f>
        <v>0</v>
      </c>
      <c r="X270" s="109" t="str">
        <f aca="false">IFERROR(IRR('Loan CF'!C2978:M2978),"-")</f>
        <v>-</v>
      </c>
      <c r="Y270" s="110" t="str">
        <f aca="false">IFERROR(T270/K270,"-")</f>
        <v>-</v>
      </c>
      <c r="Z270" s="71" t="n">
        <f aca="false">'Loan Tape'!$BC247</f>
        <v>0</v>
      </c>
      <c r="AA270" s="71" t="n">
        <f aca="false">'Loan Tape'!$BE247</f>
        <v>0</v>
      </c>
      <c r="AB270" s="71" t="n">
        <f aca="false">SUM('Loan CF'!D3887:M3887)-AA270</f>
        <v>0</v>
      </c>
      <c r="AC270" s="109" t="str">
        <f aca="false">IFERROR(IRR('Loan CF'!C3887:M3887),"-")</f>
        <v>-</v>
      </c>
      <c r="AD270" s="110" t="str">
        <f aca="false">IFERROR(SUM('Loan CF'!D3887:M3887)/AA270,"-")</f>
        <v>-</v>
      </c>
    </row>
    <row r="271" customFormat="false" ht="15" hidden="false" customHeight="false" outlineLevel="0" collapsed="false">
      <c r="B271" s="102" t="str">
        <f aca="false">IF('Loan Tape'!$A248="","",'Loan Tape'!$A248)</f>
        <v/>
      </c>
      <c r="C271" s="102" t="str">
        <f aca="false">IF('Loan Tape'!$A248="","",'Loan Tape'!$B248)</f>
        <v/>
      </c>
      <c r="D271" s="102" t="str">
        <f aca="false">IF('Loan Tape'!$A248="","",'Loan Tape'!$C248)</f>
        <v/>
      </c>
      <c r="E271" s="102" t="str">
        <f aca="false">IF('Loan Tape'!$A248="","",'Loan Tape'!$D248)</f>
        <v/>
      </c>
      <c r="F271" s="102" t="str">
        <f aca="false">IF('Loan Tape'!$A248="","",'Loan Tape'!$E248)</f>
        <v/>
      </c>
      <c r="G271" s="103" t="n">
        <f aca="false">'Loan Tape'!$AN248</f>
        <v>0</v>
      </c>
      <c r="H271" s="99" t="n">
        <f aca="false">'Loan Tape'!$R248*'Loan Tape'!$AN248</f>
        <v>0</v>
      </c>
      <c r="I271" s="104" t="n">
        <f aca="false">'Loan Tape'!$AO248</f>
        <v>0</v>
      </c>
      <c r="J271" s="99" t="n">
        <f aca="false">'Loan Tape'!$AY248</f>
        <v>0</v>
      </c>
      <c r="K271" s="99" t="n">
        <f aca="false">'Loan Tape'!$BB248</f>
        <v>0</v>
      </c>
      <c r="L271" s="104" t="n">
        <f aca="false">'Loan CF'!C555</f>
        <v>0</v>
      </c>
      <c r="M271" s="105" t="n">
        <f aca="false">'Loan Tape'!$AS248*'Loan Tape'!$AN248</f>
        <v>0</v>
      </c>
      <c r="N271" s="105" t="n">
        <f aca="false">IFERROR(SUMPRODUCT(('Loan CF'!$C$916:$L$916-0.5)*('Loan CF'!C1161:L1161+'Loan CF'!C1464:L1464+'Loan CF'!C1767:L1767))/(SUM('Loan CF'!C1161:L1161)+SUM('Loan CF'!C1464:L1464)+SUM('Loan CF'!C1767:L1767)),0)</f>
        <v>0</v>
      </c>
      <c r="O271" s="99" t="n">
        <f aca="false">SUM('Loan CF'!C2070:L2070)</f>
        <v>0</v>
      </c>
      <c r="P271" s="99" t="n">
        <f aca="false">SUM('Loan CF'!C1161:L1161)+SUM('Loan CF'!C1464:L1464)+SUM('Loan CF'!C1767:L1767)</f>
        <v>0</v>
      </c>
      <c r="Q271" s="99" t="n">
        <f aca="false">SUM('Loan CF'!C2373:L2373)</f>
        <v>0</v>
      </c>
      <c r="R271" s="99" t="n">
        <f aca="false">SUM('Loan CF'!C1464:L1464)*Prepay_Pen</f>
        <v>0</v>
      </c>
      <c r="S271" s="99" t="n">
        <f aca="false">'Loan CF'!$C2676</f>
        <v>0</v>
      </c>
      <c r="T271" s="99" t="n">
        <f aca="false">SUM(O271:S271)</f>
        <v>0</v>
      </c>
      <c r="U271" s="99" t="n">
        <f aca="false">SUM('Loan CF'!C858:L858)</f>
        <v>0</v>
      </c>
      <c r="V271" s="99" t="n">
        <f aca="false">U271*Sev</f>
        <v>0</v>
      </c>
      <c r="W271" s="99" t="n">
        <f aca="false">T271-K271</f>
        <v>0</v>
      </c>
      <c r="X271" s="106" t="str">
        <f aca="false">IFERROR(IRR('Loan CF'!C2979:M2979),"-")</f>
        <v>-</v>
      </c>
      <c r="Y271" s="107" t="str">
        <f aca="false">IFERROR(T271/K271,"-")</f>
        <v>-</v>
      </c>
      <c r="Z271" s="99" t="n">
        <f aca="false">'Loan Tape'!$BC248</f>
        <v>0</v>
      </c>
      <c r="AA271" s="99" t="n">
        <f aca="false">'Loan Tape'!$BE248</f>
        <v>0</v>
      </c>
      <c r="AB271" s="99" t="n">
        <f aca="false">SUM('Loan CF'!D3888:M3888)-AA271</f>
        <v>0</v>
      </c>
      <c r="AC271" s="106" t="str">
        <f aca="false">IFERROR(IRR('Loan CF'!C3888:M3888),"-")</f>
        <v>-</v>
      </c>
      <c r="AD271" s="107" t="str">
        <f aca="false">IFERROR(SUM('Loan CF'!D3888:M3888)/AA271,"-")</f>
        <v>-</v>
      </c>
    </row>
    <row r="272" customFormat="false" ht="15" hidden="false" customHeight="false" outlineLevel="0" collapsed="false">
      <c r="B272" s="108" t="str">
        <f aca="false">IF('Loan Tape'!$A249="","",'Loan Tape'!$A249)</f>
        <v/>
      </c>
      <c r="C272" s="108" t="str">
        <f aca="false">IF('Loan Tape'!$A249="","",'Loan Tape'!$B249)</f>
        <v/>
      </c>
      <c r="D272" s="108" t="str">
        <f aca="false">IF('Loan Tape'!$A249="","",'Loan Tape'!$C249)</f>
        <v/>
      </c>
      <c r="E272" s="108" t="str">
        <f aca="false">IF('Loan Tape'!$A249="","",'Loan Tape'!$D249)</f>
        <v/>
      </c>
      <c r="F272" s="108" t="str">
        <f aca="false">IF('Loan Tape'!$A249="","",'Loan Tape'!$E249)</f>
        <v/>
      </c>
      <c r="G272" s="26" t="n">
        <f aca="false">'Loan Tape'!$AN249</f>
        <v>0</v>
      </c>
      <c r="H272" s="71" t="n">
        <f aca="false">'Loan Tape'!$R249*'Loan Tape'!$AN249</f>
        <v>0</v>
      </c>
      <c r="I272" s="56" t="n">
        <f aca="false">'Loan Tape'!$AO249</f>
        <v>0</v>
      </c>
      <c r="J272" s="71" t="n">
        <f aca="false">'Loan Tape'!$AY249</f>
        <v>0</v>
      </c>
      <c r="K272" s="71" t="n">
        <f aca="false">'Loan Tape'!$BB249</f>
        <v>0</v>
      </c>
      <c r="L272" s="56" t="n">
        <f aca="false">'Loan CF'!C556</f>
        <v>0</v>
      </c>
      <c r="M272" s="70" t="n">
        <f aca="false">'Loan Tape'!$AS249*'Loan Tape'!$AN249</f>
        <v>0</v>
      </c>
      <c r="N272" s="70" t="n">
        <f aca="false">IFERROR(SUMPRODUCT(('Loan CF'!$C$916:$L$916-0.5)*('Loan CF'!C1162:L1162+'Loan CF'!C1465:L1465+'Loan CF'!C1768:L1768))/(SUM('Loan CF'!C1162:L1162)+SUM('Loan CF'!C1465:L1465)+SUM('Loan CF'!C1768:L1768)),0)</f>
        <v>0</v>
      </c>
      <c r="O272" s="71" t="n">
        <f aca="false">SUM('Loan CF'!C2071:L2071)</f>
        <v>0</v>
      </c>
      <c r="P272" s="71" t="n">
        <f aca="false">SUM('Loan CF'!C1162:L1162)+SUM('Loan CF'!C1465:L1465)+SUM('Loan CF'!C1768:L1768)</f>
        <v>0</v>
      </c>
      <c r="Q272" s="71" t="n">
        <f aca="false">SUM('Loan CF'!C2374:L2374)</f>
        <v>0</v>
      </c>
      <c r="R272" s="71" t="n">
        <f aca="false">SUM('Loan CF'!C1465:L1465)*Prepay_Pen</f>
        <v>0</v>
      </c>
      <c r="S272" s="71" t="n">
        <f aca="false">'Loan CF'!$C2677</f>
        <v>0</v>
      </c>
      <c r="T272" s="71" t="n">
        <f aca="false">SUM(O272:S272)</f>
        <v>0</v>
      </c>
      <c r="U272" s="71" t="n">
        <f aca="false">SUM('Loan CF'!C859:L859)</f>
        <v>0</v>
      </c>
      <c r="V272" s="71" t="n">
        <f aca="false">U272*Sev</f>
        <v>0</v>
      </c>
      <c r="W272" s="71" t="n">
        <f aca="false">T272-K272</f>
        <v>0</v>
      </c>
      <c r="X272" s="109" t="str">
        <f aca="false">IFERROR(IRR('Loan CF'!C2980:M2980),"-")</f>
        <v>-</v>
      </c>
      <c r="Y272" s="110" t="str">
        <f aca="false">IFERROR(T272/K272,"-")</f>
        <v>-</v>
      </c>
      <c r="Z272" s="71" t="n">
        <f aca="false">'Loan Tape'!$BC249</f>
        <v>0</v>
      </c>
      <c r="AA272" s="71" t="n">
        <f aca="false">'Loan Tape'!$BE249</f>
        <v>0</v>
      </c>
      <c r="AB272" s="71" t="n">
        <f aca="false">SUM('Loan CF'!D3889:M3889)-AA272</f>
        <v>0</v>
      </c>
      <c r="AC272" s="109" t="str">
        <f aca="false">IFERROR(IRR('Loan CF'!C3889:M3889),"-")</f>
        <v>-</v>
      </c>
      <c r="AD272" s="110" t="str">
        <f aca="false">IFERROR(SUM('Loan CF'!D3889:M3889)/AA272,"-")</f>
        <v>-</v>
      </c>
    </row>
    <row r="273" customFormat="false" ht="15" hidden="false" customHeight="false" outlineLevel="0" collapsed="false">
      <c r="B273" s="102" t="str">
        <f aca="false">IF('Loan Tape'!$A250="","",'Loan Tape'!$A250)</f>
        <v/>
      </c>
      <c r="C273" s="102" t="str">
        <f aca="false">IF('Loan Tape'!$A250="","",'Loan Tape'!$B250)</f>
        <v/>
      </c>
      <c r="D273" s="102" t="str">
        <f aca="false">IF('Loan Tape'!$A250="","",'Loan Tape'!$C250)</f>
        <v/>
      </c>
      <c r="E273" s="102" t="str">
        <f aca="false">IF('Loan Tape'!$A250="","",'Loan Tape'!$D250)</f>
        <v/>
      </c>
      <c r="F273" s="102" t="str">
        <f aca="false">IF('Loan Tape'!$A250="","",'Loan Tape'!$E250)</f>
        <v/>
      </c>
      <c r="G273" s="103" t="n">
        <f aca="false">'Loan Tape'!$AN250</f>
        <v>0</v>
      </c>
      <c r="H273" s="99" t="n">
        <f aca="false">'Loan Tape'!$R250*'Loan Tape'!$AN250</f>
        <v>0</v>
      </c>
      <c r="I273" s="104" t="n">
        <f aca="false">'Loan Tape'!$AO250</f>
        <v>0</v>
      </c>
      <c r="J273" s="99" t="n">
        <f aca="false">'Loan Tape'!$AY250</f>
        <v>0</v>
      </c>
      <c r="K273" s="99" t="n">
        <f aca="false">'Loan Tape'!$BB250</f>
        <v>0</v>
      </c>
      <c r="L273" s="104" t="n">
        <f aca="false">'Loan CF'!C557</f>
        <v>0</v>
      </c>
      <c r="M273" s="105" t="n">
        <f aca="false">'Loan Tape'!$AS250*'Loan Tape'!$AN250</f>
        <v>0</v>
      </c>
      <c r="N273" s="105" t="n">
        <f aca="false">IFERROR(SUMPRODUCT(('Loan CF'!$C$916:$L$916-0.5)*('Loan CF'!C1163:L1163+'Loan CF'!C1466:L1466+'Loan CF'!C1769:L1769))/(SUM('Loan CF'!C1163:L1163)+SUM('Loan CF'!C1466:L1466)+SUM('Loan CF'!C1769:L1769)),0)</f>
        <v>0</v>
      </c>
      <c r="O273" s="99" t="n">
        <f aca="false">SUM('Loan CF'!C2072:L2072)</f>
        <v>0</v>
      </c>
      <c r="P273" s="99" t="n">
        <f aca="false">SUM('Loan CF'!C1163:L1163)+SUM('Loan CF'!C1466:L1466)+SUM('Loan CF'!C1769:L1769)</f>
        <v>0</v>
      </c>
      <c r="Q273" s="99" t="n">
        <f aca="false">SUM('Loan CF'!C2375:L2375)</f>
        <v>0</v>
      </c>
      <c r="R273" s="99" t="n">
        <f aca="false">SUM('Loan CF'!C1466:L1466)*Prepay_Pen</f>
        <v>0</v>
      </c>
      <c r="S273" s="99" t="n">
        <f aca="false">'Loan CF'!$C2678</f>
        <v>0</v>
      </c>
      <c r="T273" s="99" t="n">
        <f aca="false">SUM(O273:S273)</f>
        <v>0</v>
      </c>
      <c r="U273" s="99" t="n">
        <f aca="false">SUM('Loan CF'!C860:L860)</f>
        <v>0</v>
      </c>
      <c r="V273" s="99" t="n">
        <f aca="false">U273*Sev</f>
        <v>0</v>
      </c>
      <c r="W273" s="99" t="n">
        <f aca="false">T273-K273</f>
        <v>0</v>
      </c>
      <c r="X273" s="106" t="str">
        <f aca="false">IFERROR(IRR('Loan CF'!C2981:M2981),"-")</f>
        <v>-</v>
      </c>
      <c r="Y273" s="107" t="str">
        <f aca="false">IFERROR(T273/K273,"-")</f>
        <v>-</v>
      </c>
      <c r="Z273" s="99" t="n">
        <f aca="false">'Loan Tape'!$BC250</f>
        <v>0</v>
      </c>
      <c r="AA273" s="99" t="n">
        <f aca="false">'Loan Tape'!$BE250</f>
        <v>0</v>
      </c>
      <c r="AB273" s="99" t="n">
        <f aca="false">SUM('Loan CF'!D3890:M3890)-AA273</f>
        <v>0</v>
      </c>
      <c r="AC273" s="106" t="str">
        <f aca="false">IFERROR(IRR('Loan CF'!C3890:M3890),"-")</f>
        <v>-</v>
      </c>
      <c r="AD273" s="107" t="str">
        <f aca="false">IFERROR(SUM('Loan CF'!D3890:M3890)/AA273,"-")</f>
        <v>-</v>
      </c>
    </row>
    <row r="274" customFormat="false" ht="15" hidden="false" customHeight="false" outlineLevel="0" collapsed="false">
      <c r="B274" s="108" t="str">
        <f aca="false">IF('Loan Tape'!$A251="","",'Loan Tape'!$A251)</f>
        <v/>
      </c>
      <c r="C274" s="108" t="str">
        <f aca="false">IF('Loan Tape'!$A251="","",'Loan Tape'!$B251)</f>
        <v/>
      </c>
      <c r="D274" s="108" t="str">
        <f aca="false">IF('Loan Tape'!$A251="","",'Loan Tape'!$C251)</f>
        <v/>
      </c>
      <c r="E274" s="108" t="str">
        <f aca="false">IF('Loan Tape'!$A251="","",'Loan Tape'!$D251)</f>
        <v/>
      </c>
      <c r="F274" s="108" t="str">
        <f aca="false">IF('Loan Tape'!$A251="","",'Loan Tape'!$E251)</f>
        <v/>
      </c>
      <c r="G274" s="26" t="n">
        <f aca="false">'Loan Tape'!$AN251</f>
        <v>0</v>
      </c>
      <c r="H274" s="71" t="n">
        <f aca="false">'Loan Tape'!$R251*'Loan Tape'!$AN251</f>
        <v>0</v>
      </c>
      <c r="I274" s="56" t="n">
        <f aca="false">'Loan Tape'!$AO251</f>
        <v>0</v>
      </c>
      <c r="J274" s="71" t="n">
        <f aca="false">'Loan Tape'!$AY251</f>
        <v>0</v>
      </c>
      <c r="K274" s="71" t="n">
        <f aca="false">'Loan Tape'!$BB251</f>
        <v>0</v>
      </c>
      <c r="L274" s="56" t="n">
        <f aca="false">'Loan CF'!C558</f>
        <v>0</v>
      </c>
      <c r="M274" s="70" t="n">
        <f aca="false">'Loan Tape'!$AS251*'Loan Tape'!$AN251</f>
        <v>0</v>
      </c>
      <c r="N274" s="70" t="n">
        <f aca="false">IFERROR(SUMPRODUCT(('Loan CF'!$C$916:$L$916-0.5)*('Loan CF'!C1164:L1164+'Loan CF'!C1467:L1467+'Loan CF'!C1770:L1770))/(SUM('Loan CF'!C1164:L1164)+SUM('Loan CF'!C1467:L1467)+SUM('Loan CF'!C1770:L1770)),0)</f>
        <v>0</v>
      </c>
      <c r="O274" s="71" t="n">
        <f aca="false">SUM('Loan CF'!C2073:L2073)</f>
        <v>0</v>
      </c>
      <c r="P274" s="71" t="n">
        <f aca="false">SUM('Loan CF'!C1164:L1164)+SUM('Loan CF'!C1467:L1467)+SUM('Loan CF'!C1770:L1770)</f>
        <v>0</v>
      </c>
      <c r="Q274" s="71" t="n">
        <f aca="false">SUM('Loan CF'!C2376:L2376)</f>
        <v>0</v>
      </c>
      <c r="R274" s="71" t="n">
        <f aca="false">SUM('Loan CF'!C1467:L1467)*Prepay_Pen</f>
        <v>0</v>
      </c>
      <c r="S274" s="71" t="n">
        <f aca="false">'Loan CF'!$C2679</f>
        <v>0</v>
      </c>
      <c r="T274" s="71" t="n">
        <f aca="false">SUM(O274:S274)</f>
        <v>0</v>
      </c>
      <c r="U274" s="71" t="n">
        <f aca="false">SUM('Loan CF'!C861:L861)</f>
        <v>0</v>
      </c>
      <c r="V274" s="71" t="n">
        <f aca="false">U274*Sev</f>
        <v>0</v>
      </c>
      <c r="W274" s="71" t="n">
        <f aca="false">T274-K274</f>
        <v>0</v>
      </c>
      <c r="X274" s="109" t="str">
        <f aca="false">IFERROR(IRR('Loan CF'!C2982:M2982),"-")</f>
        <v>-</v>
      </c>
      <c r="Y274" s="110" t="str">
        <f aca="false">IFERROR(T274/K274,"-")</f>
        <v>-</v>
      </c>
      <c r="Z274" s="71" t="n">
        <f aca="false">'Loan Tape'!$BC251</f>
        <v>0</v>
      </c>
      <c r="AA274" s="71" t="n">
        <f aca="false">'Loan Tape'!$BE251</f>
        <v>0</v>
      </c>
      <c r="AB274" s="71" t="n">
        <f aca="false">SUM('Loan CF'!D3891:M3891)-AA274</f>
        <v>0</v>
      </c>
      <c r="AC274" s="109" t="str">
        <f aca="false">IFERROR(IRR('Loan CF'!C3891:M3891),"-")</f>
        <v>-</v>
      </c>
      <c r="AD274" s="110" t="str">
        <f aca="false">IFERROR(SUM('Loan CF'!D3891:M3891)/AA274,"-")</f>
        <v>-</v>
      </c>
    </row>
    <row r="275" customFormat="false" ht="15" hidden="false" customHeight="false" outlineLevel="0" collapsed="false">
      <c r="B275" s="102" t="str">
        <f aca="false">IF('Loan Tape'!$A252="","",'Loan Tape'!$A252)</f>
        <v/>
      </c>
      <c r="C275" s="102" t="str">
        <f aca="false">IF('Loan Tape'!$A252="","",'Loan Tape'!$B252)</f>
        <v/>
      </c>
      <c r="D275" s="102" t="str">
        <f aca="false">IF('Loan Tape'!$A252="","",'Loan Tape'!$C252)</f>
        <v/>
      </c>
      <c r="E275" s="102" t="str">
        <f aca="false">IF('Loan Tape'!$A252="","",'Loan Tape'!$D252)</f>
        <v/>
      </c>
      <c r="F275" s="102" t="str">
        <f aca="false">IF('Loan Tape'!$A252="","",'Loan Tape'!$E252)</f>
        <v/>
      </c>
      <c r="G275" s="103" t="n">
        <f aca="false">'Loan Tape'!$AN252</f>
        <v>0</v>
      </c>
      <c r="H275" s="99" t="n">
        <f aca="false">'Loan Tape'!$R252*'Loan Tape'!$AN252</f>
        <v>0</v>
      </c>
      <c r="I275" s="104" t="n">
        <f aca="false">'Loan Tape'!$AO252</f>
        <v>0</v>
      </c>
      <c r="J275" s="99" t="n">
        <f aca="false">'Loan Tape'!$AY252</f>
        <v>0</v>
      </c>
      <c r="K275" s="99" t="n">
        <f aca="false">'Loan Tape'!$BB252</f>
        <v>0</v>
      </c>
      <c r="L275" s="104" t="n">
        <f aca="false">'Loan CF'!C559</f>
        <v>0</v>
      </c>
      <c r="M275" s="105" t="n">
        <f aca="false">'Loan Tape'!$AS252*'Loan Tape'!$AN252</f>
        <v>0</v>
      </c>
      <c r="N275" s="105" t="n">
        <f aca="false">IFERROR(SUMPRODUCT(('Loan CF'!$C$916:$L$916-0.5)*('Loan CF'!C1165:L1165+'Loan CF'!C1468:L1468+'Loan CF'!C1771:L1771))/(SUM('Loan CF'!C1165:L1165)+SUM('Loan CF'!C1468:L1468)+SUM('Loan CF'!C1771:L1771)),0)</f>
        <v>0</v>
      </c>
      <c r="O275" s="99" t="n">
        <f aca="false">SUM('Loan CF'!C2074:L2074)</f>
        <v>0</v>
      </c>
      <c r="P275" s="99" t="n">
        <f aca="false">SUM('Loan CF'!C1165:L1165)+SUM('Loan CF'!C1468:L1468)+SUM('Loan CF'!C1771:L1771)</f>
        <v>0</v>
      </c>
      <c r="Q275" s="99" t="n">
        <f aca="false">SUM('Loan CF'!C2377:L2377)</f>
        <v>0</v>
      </c>
      <c r="R275" s="99" t="n">
        <f aca="false">SUM('Loan CF'!C1468:L1468)*Prepay_Pen</f>
        <v>0</v>
      </c>
      <c r="S275" s="99" t="n">
        <f aca="false">'Loan CF'!$C2680</f>
        <v>0</v>
      </c>
      <c r="T275" s="99" t="n">
        <f aca="false">SUM(O275:S275)</f>
        <v>0</v>
      </c>
      <c r="U275" s="99" t="n">
        <f aca="false">SUM('Loan CF'!C862:L862)</f>
        <v>0</v>
      </c>
      <c r="V275" s="99" t="n">
        <f aca="false">U275*Sev</f>
        <v>0</v>
      </c>
      <c r="W275" s="99" t="n">
        <f aca="false">T275-K275</f>
        <v>0</v>
      </c>
      <c r="X275" s="106" t="str">
        <f aca="false">IFERROR(IRR('Loan CF'!C2983:M2983),"-")</f>
        <v>-</v>
      </c>
      <c r="Y275" s="107" t="str">
        <f aca="false">IFERROR(T275/K275,"-")</f>
        <v>-</v>
      </c>
      <c r="Z275" s="99" t="n">
        <f aca="false">'Loan Tape'!$BC252</f>
        <v>0</v>
      </c>
      <c r="AA275" s="99" t="n">
        <f aca="false">'Loan Tape'!$BE252</f>
        <v>0</v>
      </c>
      <c r="AB275" s="99" t="n">
        <f aca="false">SUM('Loan CF'!D3892:M3892)-AA275</f>
        <v>0</v>
      </c>
      <c r="AC275" s="106" t="str">
        <f aca="false">IFERROR(IRR('Loan CF'!C3892:M3892),"-")</f>
        <v>-</v>
      </c>
      <c r="AD275" s="107" t="str">
        <f aca="false">IFERROR(SUM('Loan CF'!D3892:M3892)/AA275,"-")</f>
        <v>-</v>
      </c>
    </row>
    <row r="276" customFormat="false" ht="15" hidden="false" customHeight="false" outlineLevel="0" collapsed="false">
      <c r="B276" s="108" t="str">
        <f aca="false">IF('Loan Tape'!$A253="","",'Loan Tape'!$A253)</f>
        <v/>
      </c>
      <c r="C276" s="108" t="str">
        <f aca="false">IF('Loan Tape'!$A253="","",'Loan Tape'!$B253)</f>
        <v/>
      </c>
      <c r="D276" s="108" t="str">
        <f aca="false">IF('Loan Tape'!$A253="","",'Loan Tape'!$C253)</f>
        <v/>
      </c>
      <c r="E276" s="108" t="str">
        <f aca="false">IF('Loan Tape'!$A253="","",'Loan Tape'!$D253)</f>
        <v/>
      </c>
      <c r="F276" s="108" t="str">
        <f aca="false">IF('Loan Tape'!$A253="","",'Loan Tape'!$E253)</f>
        <v/>
      </c>
      <c r="G276" s="26" t="n">
        <f aca="false">'Loan Tape'!$AN253</f>
        <v>0</v>
      </c>
      <c r="H276" s="71" t="n">
        <f aca="false">'Loan Tape'!$R253*'Loan Tape'!$AN253</f>
        <v>0</v>
      </c>
      <c r="I276" s="56" t="n">
        <f aca="false">'Loan Tape'!$AO253</f>
        <v>0</v>
      </c>
      <c r="J276" s="71" t="n">
        <f aca="false">'Loan Tape'!$AY253</f>
        <v>0</v>
      </c>
      <c r="K276" s="71" t="n">
        <f aca="false">'Loan Tape'!$BB253</f>
        <v>0</v>
      </c>
      <c r="L276" s="56" t="n">
        <f aca="false">'Loan CF'!C560</f>
        <v>0</v>
      </c>
      <c r="M276" s="70" t="n">
        <f aca="false">'Loan Tape'!$AS253*'Loan Tape'!$AN253</f>
        <v>0</v>
      </c>
      <c r="N276" s="70" t="n">
        <f aca="false">IFERROR(SUMPRODUCT(('Loan CF'!$C$916:$L$916-0.5)*('Loan CF'!C1166:L1166+'Loan CF'!C1469:L1469+'Loan CF'!C1772:L1772))/(SUM('Loan CF'!C1166:L1166)+SUM('Loan CF'!C1469:L1469)+SUM('Loan CF'!C1772:L1772)),0)</f>
        <v>0</v>
      </c>
      <c r="O276" s="71" t="n">
        <f aca="false">SUM('Loan CF'!C2075:L2075)</f>
        <v>0</v>
      </c>
      <c r="P276" s="71" t="n">
        <f aca="false">SUM('Loan CF'!C1166:L1166)+SUM('Loan CF'!C1469:L1469)+SUM('Loan CF'!C1772:L1772)</f>
        <v>0</v>
      </c>
      <c r="Q276" s="71" t="n">
        <f aca="false">SUM('Loan CF'!C2378:L2378)</f>
        <v>0</v>
      </c>
      <c r="R276" s="71" t="n">
        <f aca="false">SUM('Loan CF'!C1469:L1469)*Prepay_Pen</f>
        <v>0</v>
      </c>
      <c r="S276" s="71" t="n">
        <f aca="false">'Loan CF'!$C2681</f>
        <v>0</v>
      </c>
      <c r="T276" s="71" t="n">
        <f aca="false">SUM(O276:S276)</f>
        <v>0</v>
      </c>
      <c r="U276" s="71" t="n">
        <f aca="false">SUM('Loan CF'!C863:L863)</f>
        <v>0</v>
      </c>
      <c r="V276" s="71" t="n">
        <f aca="false">U276*Sev</f>
        <v>0</v>
      </c>
      <c r="W276" s="71" t="n">
        <f aca="false">T276-K276</f>
        <v>0</v>
      </c>
      <c r="X276" s="109" t="str">
        <f aca="false">IFERROR(IRR('Loan CF'!C2984:M2984),"-")</f>
        <v>-</v>
      </c>
      <c r="Y276" s="110" t="str">
        <f aca="false">IFERROR(T276/K276,"-")</f>
        <v>-</v>
      </c>
      <c r="Z276" s="71" t="n">
        <f aca="false">'Loan Tape'!$BC253</f>
        <v>0</v>
      </c>
      <c r="AA276" s="71" t="n">
        <f aca="false">'Loan Tape'!$BE253</f>
        <v>0</v>
      </c>
      <c r="AB276" s="71" t="n">
        <f aca="false">SUM('Loan CF'!D3893:M3893)-AA276</f>
        <v>0</v>
      </c>
      <c r="AC276" s="109" t="str">
        <f aca="false">IFERROR(IRR('Loan CF'!C3893:M3893),"-")</f>
        <v>-</v>
      </c>
      <c r="AD276" s="110" t="str">
        <f aca="false">IFERROR(SUM('Loan CF'!D3893:M3893)/AA276,"-")</f>
        <v>-</v>
      </c>
    </row>
    <row r="277" customFormat="false" ht="15" hidden="false" customHeight="false" outlineLevel="0" collapsed="false">
      <c r="B277" s="102" t="str">
        <f aca="false">IF('Loan Tape'!$A254="","",'Loan Tape'!$A254)</f>
        <v/>
      </c>
      <c r="C277" s="102" t="str">
        <f aca="false">IF('Loan Tape'!$A254="","",'Loan Tape'!$B254)</f>
        <v/>
      </c>
      <c r="D277" s="102" t="str">
        <f aca="false">IF('Loan Tape'!$A254="","",'Loan Tape'!$C254)</f>
        <v/>
      </c>
      <c r="E277" s="102" t="str">
        <f aca="false">IF('Loan Tape'!$A254="","",'Loan Tape'!$D254)</f>
        <v/>
      </c>
      <c r="F277" s="102" t="str">
        <f aca="false">IF('Loan Tape'!$A254="","",'Loan Tape'!$E254)</f>
        <v/>
      </c>
      <c r="G277" s="103" t="n">
        <f aca="false">'Loan Tape'!$AN254</f>
        <v>0</v>
      </c>
      <c r="H277" s="99" t="n">
        <f aca="false">'Loan Tape'!$R254*'Loan Tape'!$AN254</f>
        <v>0</v>
      </c>
      <c r="I277" s="104" t="n">
        <f aca="false">'Loan Tape'!$AO254</f>
        <v>0</v>
      </c>
      <c r="J277" s="99" t="n">
        <f aca="false">'Loan Tape'!$AY254</f>
        <v>0</v>
      </c>
      <c r="K277" s="99" t="n">
        <f aca="false">'Loan Tape'!$BB254</f>
        <v>0</v>
      </c>
      <c r="L277" s="104" t="n">
        <f aca="false">'Loan CF'!C561</f>
        <v>0</v>
      </c>
      <c r="M277" s="105" t="n">
        <f aca="false">'Loan Tape'!$AS254*'Loan Tape'!$AN254</f>
        <v>0</v>
      </c>
      <c r="N277" s="105" t="n">
        <f aca="false">IFERROR(SUMPRODUCT(('Loan CF'!$C$916:$L$916-0.5)*('Loan CF'!C1167:L1167+'Loan CF'!C1470:L1470+'Loan CF'!C1773:L1773))/(SUM('Loan CF'!C1167:L1167)+SUM('Loan CF'!C1470:L1470)+SUM('Loan CF'!C1773:L1773)),0)</f>
        <v>0</v>
      </c>
      <c r="O277" s="99" t="n">
        <f aca="false">SUM('Loan CF'!C2076:L2076)</f>
        <v>0</v>
      </c>
      <c r="P277" s="99" t="n">
        <f aca="false">SUM('Loan CF'!C1167:L1167)+SUM('Loan CF'!C1470:L1470)+SUM('Loan CF'!C1773:L1773)</f>
        <v>0</v>
      </c>
      <c r="Q277" s="99" t="n">
        <f aca="false">SUM('Loan CF'!C2379:L2379)</f>
        <v>0</v>
      </c>
      <c r="R277" s="99" t="n">
        <f aca="false">SUM('Loan CF'!C1470:L1470)*Prepay_Pen</f>
        <v>0</v>
      </c>
      <c r="S277" s="99" t="n">
        <f aca="false">'Loan CF'!$C2682</f>
        <v>0</v>
      </c>
      <c r="T277" s="99" t="n">
        <f aca="false">SUM(O277:S277)</f>
        <v>0</v>
      </c>
      <c r="U277" s="99" t="n">
        <f aca="false">SUM('Loan CF'!C864:L864)</f>
        <v>0</v>
      </c>
      <c r="V277" s="99" t="n">
        <f aca="false">U277*Sev</f>
        <v>0</v>
      </c>
      <c r="W277" s="99" t="n">
        <f aca="false">T277-K277</f>
        <v>0</v>
      </c>
      <c r="X277" s="106" t="str">
        <f aca="false">IFERROR(IRR('Loan CF'!C2985:M2985),"-")</f>
        <v>-</v>
      </c>
      <c r="Y277" s="107" t="str">
        <f aca="false">IFERROR(T277/K277,"-")</f>
        <v>-</v>
      </c>
      <c r="Z277" s="99" t="n">
        <f aca="false">'Loan Tape'!$BC254</f>
        <v>0</v>
      </c>
      <c r="AA277" s="99" t="n">
        <f aca="false">'Loan Tape'!$BE254</f>
        <v>0</v>
      </c>
      <c r="AB277" s="99" t="n">
        <f aca="false">SUM('Loan CF'!D3894:M3894)-AA277</f>
        <v>0</v>
      </c>
      <c r="AC277" s="106" t="str">
        <f aca="false">IFERROR(IRR('Loan CF'!C3894:M3894),"-")</f>
        <v>-</v>
      </c>
      <c r="AD277" s="107" t="str">
        <f aca="false">IFERROR(SUM('Loan CF'!D3894:M3894)/AA277,"-")</f>
        <v>-</v>
      </c>
    </row>
    <row r="278" customFormat="false" ht="15" hidden="false" customHeight="false" outlineLevel="0" collapsed="false">
      <c r="B278" s="108" t="str">
        <f aca="false">IF('Loan Tape'!$A255="","",'Loan Tape'!$A255)</f>
        <v/>
      </c>
      <c r="C278" s="108" t="str">
        <f aca="false">IF('Loan Tape'!$A255="","",'Loan Tape'!$B255)</f>
        <v/>
      </c>
      <c r="D278" s="108" t="str">
        <f aca="false">IF('Loan Tape'!$A255="","",'Loan Tape'!$C255)</f>
        <v/>
      </c>
      <c r="E278" s="108" t="str">
        <f aca="false">IF('Loan Tape'!$A255="","",'Loan Tape'!$D255)</f>
        <v/>
      </c>
      <c r="F278" s="108" t="str">
        <f aca="false">IF('Loan Tape'!$A255="","",'Loan Tape'!$E255)</f>
        <v/>
      </c>
      <c r="G278" s="26" t="n">
        <f aca="false">'Loan Tape'!$AN255</f>
        <v>0</v>
      </c>
      <c r="H278" s="71" t="n">
        <f aca="false">'Loan Tape'!$R255*'Loan Tape'!$AN255</f>
        <v>0</v>
      </c>
      <c r="I278" s="56" t="n">
        <f aca="false">'Loan Tape'!$AO255</f>
        <v>0</v>
      </c>
      <c r="J278" s="71" t="n">
        <f aca="false">'Loan Tape'!$AY255</f>
        <v>0</v>
      </c>
      <c r="K278" s="71" t="n">
        <f aca="false">'Loan Tape'!$BB255</f>
        <v>0</v>
      </c>
      <c r="L278" s="56" t="n">
        <f aca="false">'Loan CF'!C562</f>
        <v>0</v>
      </c>
      <c r="M278" s="70" t="n">
        <f aca="false">'Loan Tape'!$AS255*'Loan Tape'!$AN255</f>
        <v>0</v>
      </c>
      <c r="N278" s="70" t="n">
        <f aca="false">IFERROR(SUMPRODUCT(('Loan CF'!$C$916:$L$916-0.5)*('Loan CF'!C1168:L1168+'Loan CF'!C1471:L1471+'Loan CF'!C1774:L1774))/(SUM('Loan CF'!C1168:L1168)+SUM('Loan CF'!C1471:L1471)+SUM('Loan CF'!C1774:L1774)),0)</f>
        <v>0</v>
      </c>
      <c r="O278" s="71" t="n">
        <f aca="false">SUM('Loan CF'!C2077:L2077)</f>
        <v>0</v>
      </c>
      <c r="P278" s="71" t="n">
        <f aca="false">SUM('Loan CF'!C1168:L1168)+SUM('Loan CF'!C1471:L1471)+SUM('Loan CF'!C1774:L1774)</f>
        <v>0</v>
      </c>
      <c r="Q278" s="71" t="n">
        <f aca="false">SUM('Loan CF'!C2380:L2380)</f>
        <v>0</v>
      </c>
      <c r="R278" s="71" t="n">
        <f aca="false">SUM('Loan CF'!C1471:L1471)*Prepay_Pen</f>
        <v>0</v>
      </c>
      <c r="S278" s="71" t="n">
        <f aca="false">'Loan CF'!$C2683</f>
        <v>0</v>
      </c>
      <c r="T278" s="71" t="n">
        <f aca="false">SUM(O278:S278)</f>
        <v>0</v>
      </c>
      <c r="U278" s="71" t="n">
        <f aca="false">SUM('Loan CF'!C865:L865)</f>
        <v>0</v>
      </c>
      <c r="V278" s="71" t="n">
        <f aca="false">U278*Sev</f>
        <v>0</v>
      </c>
      <c r="W278" s="71" t="n">
        <f aca="false">T278-K278</f>
        <v>0</v>
      </c>
      <c r="X278" s="109" t="str">
        <f aca="false">IFERROR(IRR('Loan CF'!C2986:M2986),"-")</f>
        <v>-</v>
      </c>
      <c r="Y278" s="110" t="str">
        <f aca="false">IFERROR(T278/K278,"-")</f>
        <v>-</v>
      </c>
      <c r="Z278" s="71" t="n">
        <f aca="false">'Loan Tape'!$BC255</f>
        <v>0</v>
      </c>
      <c r="AA278" s="71" t="n">
        <f aca="false">'Loan Tape'!$BE255</f>
        <v>0</v>
      </c>
      <c r="AB278" s="71" t="n">
        <f aca="false">SUM('Loan CF'!D3895:M3895)-AA278</f>
        <v>0</v>
      </c>
      <c r="AC278" s="109" t="str">
        <f aca="false">IFERROR(IRR('Loan CF'!C3895:M3895),"-")</f>
        <v>-</v>
      </c>
      <c r="AD278" s="110" t="str">
        <f aca="false">IFERROR(SUM('Loan CF'!D3895:M3895)/AA278,"-")</f>
        <v>-</v>
      </c>
    </row>
    <row r="279" customFormat="false" ht="15" hidden="false" customHeight="false" outlineLevel="0" collapsed="false">
      <c r="B279" s="102" t="str">
        <f aca="false">IF('Loan Tape'!$A256="","",'Loan Tape'!$A256)</f>
        <v/>
      </c>
      <c r="C279" s="102" t="str">
        <f aca="false">IF('Loan Tape'!$A256="","",'Loan Tape'!$B256)</f>
        <v/>
      </c>
      <c r="D279" s="102" t="str">
        <f aca="false">IF('Loan Tape'!$A256="","",'Loan Tape'!$C256)</f>
        <v/>
      </c>
      <c r="E279" s="102" t="str">
        <f aca="false">IF('Loan Tape'!$A256="","",'Loan Tape'!$D256)</f>
        <v/>
      </c>
      <c r="F279" s="102" t="str">
        <f aca="false">IF('Loan Tape'!$A256="","",'Loan Tape'!$E256)</f>
        <v/>
      </c>
      <c r="G279" s="103" t="n">
        <f aca="false">'Loan Tape'!$AN256</f>
        <v>0</v>
      </c>
      <c r="H279" s="99" t="n">
        <f aca="false">'Loan Tape'!$R256*'Loan Tape'!$AN256</f>
        <v>0</v>
      </c>
      <c r="I279" s="104" t="n">
        <f aca="false">'Loan Tape'!$AO256</f>
        <v>0</v>
      </c>
      <c r="J279" s="99" t="n">
        <f aca="false">'Loan Tape'!$AY256</f>
        <v>0</v>
      </c>
      <c r="K279" s="99" t="n">
        <f aca="false">'Loan Tape'!$BB256</f>
        <v>0</v>
      </c>
      <c r="L279" s="104" t="n">
        <f aca="false">'Loan CF'!C563</f>
        <v>0</v>
      </c>
      <c r="M279" s="105" t="n">
        <f aca="false">'Loan Tape'!$AS256*'Loan Tape'!$AN256</f>
        <v>0</v>
      </c>
      <c r="N279" s="105" t="n">
        <f aca="false">IFERROR(SUMPRODUCT(('Loan CF'!$C$916:$L$916-0.5)*('Loan CF'!C1169:L1169+'Loan CF'!C1472:L1472+'Loan CF'!C1775:L1775))/(SUM('Loan CF'!C1169:L1169)+SUM('Loan CF'!C1472:L1472)+SUM('Loan CF'!C1775:L1775)),0)</f>
        <v>0</v>
      </c>
      <c r="O279" s="99" t="n">
        <f aca="false">SUM('Loan CF'!C2078:L2078)</f>
        <v>0</v>
      </c>
      <c r="P279" s="99" t="n">
        <f aca="false">SUM('Loan CF'!C1169:L1169)+SUM('Loan CF'!C1472:L1472)+SUM('Loan CF'!C1775:L1775)</f>
        <v>0</v>
      </c>
      <c r="Q279" s="99" t="n">
        <f aca="false">SUM('Loan CF'!C2381:L2381)</f>
        <v>0</v>
      </c>
      <c r="R279" s="99" t="n">
        <f aca="false">SUM('Loan CF'!C1472:L1472)*Prepay_Pen</f>
        <v>0</v>
      </c>
      <c r="S279" s="99" t="n">
        <f aca="false">'Loan CF'!$C2684</f>
        <v>0</v>
      </c>
      <c r="T279" s="99" t="n">
        <f aca="false">SUM(O279:S279)</f>
        <v>0</v>
      </c>
      <c r="U279" s="99" t="n">
        <f aca="false">SUM('Loan CF'!C866:L866)</f>
        <v>0</v>
      </c>
      <c r="V279" s="99" t="n">
        <f aca="false">U279*Sev</f>
        <v>0</v>
      </c>
      <c r="W279" s="99" t="n">
        <f aca="false">T279-K279</f>
        <v>0</v>
      </c>
      <c r="X279" s="106" t="str">
        <f aca="false">IFERROR(IRR('Loan CF'!C2987:M2987),"-")</f>
        <v>-</v>
      </c>
      <c r="Y279" s="107" t="str">
        <f aca="false">IFERROR(T279/K279,"-")</f>
        <v>-</v>
      </c>
      <c r="Z279" s="99" t="n">
        <f aca="false">'Loan Tape'!$BC256</f>
        <v>0</v>
      </c>
      <c r="AA279" s="99" t="n">
        <f aca="false">'Loan Tape'!$BE256</f>
        <v>0</v>
      </c>
      <c r="AB279" s="99" t="n">
        <f aca="false">SUM('Loan CF'!D3896:M3896)-AA279</f>
        <v>0</v>
      </c>
      <c r="AC279" s="106" t="str">
        <f aca="false">IFERROR(IRR('Loan CF'!C3896:M3896),"-")</f>
        <v>-</v>
      </c>
      <c r="AD279" s="107" t="str">
        <f aca="false">IFERROR(SUM('Loan CF'!D3896:M3896)/AA279,"-")</f>
        <v>-</v>
      </c>
    </row>
    <row r="280" customFormat="false" ht="15" hidden="false" customHeight="false" outlineLevel="0" collapsed="false">
      <c r="B280" s="108" t="str">
        <f aca="false">IF('Loan Tape'!$A257="","",'Loan Tape'!$A257)</f>
        <v/>
      </c>
      <c r="C280" s="108" t="str">
        <f aca="false">IF('Loan Tape'!$A257="","",'Loan Tape'!$B257)</f>
        <v/>
      </c>
      <c r="D280" s="108" t="str">
        <f aca="false">IF('Loan Tape'!$A257="","",'Loan Tape'!$C257)</f>
        <v/>
      </c>
      <c r="E280" s="108" t="str">
        <f aca="false">IF('Loan Tape'!$A257="","",'Loan Tape'!$D257)</f>
        <v/>
      </c>
      <c r="F280" s="108" t="str">
        <f aca="false">IF('Loan Tape'!$A257="","",'Loan Tape'!$E257)</f>
        <v/>
      </c>
      <c r="G280" s="26" t="n">
        <f aca="false">'Loan Tape'!$AN257</f>
        <v>0</v>
      </c>
      <c r="H280" s="71" t="n">
        <f aca="false">'Loan Tape'!$R257*'Loan Tape'!$AN257</f>
        <v>0</v>
      </c>
      <c r="I280" s="56" t="n">
        <f aca="false">'Loan Tape'!$AO257</f>
        <v>0</v>
      </c>
      <c r="J280" s="71" t="n">
        <f aca="false">'Loan Tape'!$AY257</f>
        <v>0</v>
      </c>
      <c r="K280" s="71" t="n">
        <f aca="false">'Loan Tape'!$BB257</f>
        <v>0</v>
      </c>
      <c r="L280" s="56" t="n">
        <f aca="false">'Loan CF'!C564</f>
        <v>0</v>
      </c>
      <c r="M280" s="70" t="n">
        <f aca="false">'Loan Tape'!$AS257*'Loan Tape'!$AN257</f>
        <v>0</v>
      </c>
      <c r="N280" s="70" t="n">
        <f aca="false">IFERROR(SUMPRODUCT(('Loan CF'!$C$916:$L$916-0.5)*('Loan CF'!C1170:L1170+'Loan CF'!C1473:L1473+'Loan CF'!C1776:L1776))/(SUM('Loan CF'!C1170:L1170)+SUM('Loan CF'!C1473:L1473)+SUM('Loan CF'!C1776:L1776)),0)</f>
        <v>0</v>
      </c>
      <c r="O280" s="71" t="n">
        <f aca="false">SUM('Loan CF'!C2079:L2079)</f>
        <v>0</v>
      </c>
      <c r="P280" s="71" t="n">
        <f aca="false">SUM('Loan CF'!C1170:L1170)+SUM('Loan CF'!C1473:L1473)+SUM('Loan CF'!C1776:L1776)</f>
        <v>0</v>
      </c>
      <c r="Q280" s="71" t="n">
        <f aca="false">SUM('Loan CF'!C2382:L2382)</f>
        <v>0</v>
      </c>
      <c r="R280" s="71" t="n">
        <f aca="false">SUM('Loan CF'!C1473:L1473)*Prepay_Pen</f>
        <v>0</v>
      </c>
      <c r="S280" s="71" t="n">
        <f aca="false">'Loan CF'!$C2685</f>
        <v>0</v>
      </c>
      <c r="T280" s="71" t="n">
        <f aca="false">SUM(O280:S280)</f>
        <v>0</v>
      </c>
      <c r="U280" s="71" t="n">
        <f aca="false">SUM('Loan CF'!C867:L867)</f>
        <v>0</v>
      </c>
      <c r="V280" s="71" t="n">
        <f aca="false">U280*Sev</f>
        <v>0</v>
      </c>
      <c r="W280" s="71" t="n">
        <f aca="false">T280-K280</f>
        <v>0</v>
      </c>
      <c r="X280" s="109" t="str">
        <f aca="false">IFERROR(IRR('Loan CF'!C2988:M2988),"-")</f>
        <v>-</v>
      </c>
      <c r="Y280" s="110" t="str">
        <f aca="false">IFERROR(T280/K280,"-")</f>
        <v>-</v>
      </c>
      <c r="Z280" s="71" t="n">
        <f aca="false">'Loan Tape'!$BC257</f>
        <v>0</v>
      </c>
      <c r="AA280" s="71" t="n">
        <f aca="false">'Loan Tape'!$BE257</f>
        <v>0</v>
      </c>
      <c r="AB280" s="71" t="n">
        <f aca="false">SUM('Loan CF'!D3897:M3897)-AA280</f>
        <v>0</v>
      </c>
      <c r="AC280" s="109" t="str">
        <f aca="false">IFERROR(IRR('Loan CF'!C3897:M3897),"-")</f>
        <v>-</v>
      </c>
      <c r="AD280" s="110" t="str">
        <f aca="false">IFERROR(SUM('Loan CF'!D3897:M3897)/AA280,"-")</f>
        <v>-</v>
      </c>
    </row>
    <row r="281" customFormat="false" ht="15" hidden="false" customHeight="false" outlineLevel="0" collapsed="false">
      <c r="B281" s="102" t="str">
        <f aca="false">IF('Loan Tape'!$A258="","",'Loan Tape'!$A258)</f>
        <v/>
      </c>
      <c r="C281" s="102" t="str">
        <f aca="false">IF('Loan Tape'!$A258="","",'Loan Tape'!$B258)</f>
        <v/>
      </c>
      <c r="D281" s="102" t="str">
        <f aca="false">IF('Loan Tape'!$A258="","",'Loan Tape'!$C258)</f>
        <v/>
      </c>
      <c r="E281" s="102" t="str">
        <f aca="false">IF('Loan Tape'!$A258="","",'Loan Tape'!$D258)</f>
        <v/>
      </c>
      <c r="F281" s="102" t="str">
        <f aca="false">IF('Loan Tape'!$A258="","",'Loan Tape'!$E258)</f>
        <v/>
      </c>
      <c r="G281" s="103" t="n">
        <f aca="false">'Loan Tape'!$AN258</f>
        <v>0</v>
      </c>
      <c r="H281" s="99" t="n">
        <f aca="false">'Loan Tape'!$R258*'Loan Tape'!$AN258</f>
        <v>0</v>
      </c>
      <c r="I281" s="104" t="n">
        <f aca="false">'Loan Tape'!$AO258</f>
        <v>0</v>
      </c>
      <c r="J281" s="99" t="n">
        <f aca="false">'Loan Tape'!$AY258</f>
        <v>0</v>
      </c>
      <c r="K281" s="99" t="n">
        <f aca="false">'Loan Tape'!$BB258</f>
        <v>0</v>
      </c>
      <c r="L281" s="104" t="n">
        <f aca="false">'Loan CF'!C565</f>
        <v>0</v>
      </c>
      <c r="M281" s="105" t="n">
        <f aca="false">'Loan Tape'!$AS258*'Loan Tape'!$AN258</f>
        <v>0</v>
      </c>
      <c r="N281" s="105" t="n">
        <f aca="false">IFERROR(SUMPRODUCT(('Loan CF'!$C$916:$L$916-0.5)*('Loan CF'!C1171:L1171+'Loan CF'!C1474:L1474+'Loan CF'!C1777:L1777))/(SUM('Loan CF'!C1171:L1171)+SUM('Loan CF'!C1474:L1474)+SUM('Loan CF'!C1777:L1777)),0)</f>
        <v>0</v>
      </c>
      <c r="O281" s="99" t="n">
        <f aca="false">SUM('Loan CF'!C2080:L2080)</f>
        <v>0</v>
      </c>
      <c r="P281" s="99" t="n">
        <f aca="false">SUM('Loan CF'!C1171:L1171)+SUM('Loan CF'!C1474:L1474)+SUM('Loan CF'!C1777:L1777)</f>
        <v>0</v>
      </c>
      <c r="Q281" s="99" t="n">
        <f aca="false">SUM('Loan CF'!C2383:L2383)</f>
        <v>0</v>
      </c>
      <c r="R281" s="99" t="n">
        <f aca="false">SUM('Loan CF'!C1474:L1474)*Prepay_Pen</f>
        <v>0</v>
      </c>
      <c r="S281" s="99" t="n">
        <f aca="false">'Loan CF'!$C2686</f>
        <v>0</v>
      </c>
      <c r="T281" s="99" t="n">
        <f aca="false">SUM(O281:S281)</f>
        <v>0</v>
      </c>
      <c r="U281" s="99" t="n">
        <f aca="false">SUM('Loan CF'!C868:L868)</f>
        <v>0</v>
      </c>
      <c r="V281" s="99" t="n">
        <f aca="false">U281*Sev</f>
        <v>0</v>
      </c>
      <c r="W281" s="99" t="n">
        <f aca="false">T281-K281</f>
        <v>0</v>
      </c>
      <c r="X281" s="106" t="str">
        <f aca="false">IFERROR(IRR('Loan CF'!C2989:M2989),"-")</f>
        <v>-</v>
      </c>
      <c r="Y281" s="107" t="str">
        <f aca="false">IFERROR(T281/K281,"-")</f>
        <v>-</v>
      </c>
      <c r="Z281" s="99" t="n">
        <f aca="false">'Loan Tape'!$BC258</f>
        <v>0</v>
      </c>
      <c r="AA281" s="99" t="n">
        <f aca="false">'Loan Tape'!$BE258</f>
        <v>0</v>
      </c>
      <c r="AB281" s="99" t="n">
        <f aca="false">SUM('Loan CF'!D3898:M3898)-AA281</f>
        <v>0</v>
      </c>
      <c r="AC281" s="106" t="str">
        <f aca="false">IFERROR(IRR('Loan CF'!C3898:M3898),"-")</f>
        <v>-</v>
      </c>
      <c r="AD281" s="107" t="str">
        <f aca="false">IFERROR(SUM('Loan CF'!D3898:M3898)/AA281,"-")</f>
        <v>-</v>
      </c>
    </row>
    <row r="282" customFormat="false" ht="15" hidden="false" customHeight="false" outlineLevel="0" collapsed="false">
      <c r="B282" s="108" t="str">
        <f aca="false">IF('Loan Tape'!$A259="","",'Loan Tape'!$A259)</f>
        <v/>
      </c>
      <c r="C282" s="108" t="str">
        <f aca="false">IF('Loan Tape'!$A259="","",'Loan Tape'!$B259)</f>
        <v/>
      </c>
      <c r="D282" s="108" t="str">
        <f aca="false">IF('Loan Tape'!$A259="","",'Loan Tape'!$C259)</f>
        <v/>
      </c>
      <c r="E282" s="108" t="str">
        <f aca="false">IF('Loan Tape'!$A259="","",'Loan Tape'!$D259)</f>
        <v/>
      </c>
      <c r="F282" s="108" t="str">
        <f aca="false">IF('Loan Tape'!$A259="","",'Loan Tape'!$E259)</f>
        <v/>
      </c>
      <c r="G282" s="26" t="n">
        <f aca="false">'Loan Tape'!$AN259</f>
        <v>0</v>
      </c>
      <c r="H282" s="71" t="n">
        <f aca="false">'Loan Tape'!$R259*'Loan Tape'!$AN259</f>
        <v>0</v>
      </c>
      <c r="I282" s="56" t="n">
        <f aca="false">'Loan Tape'!$AO259</f>
        <v>0</v>
      </c>
      <c r="J282" s="71" t="n">
        <f aca="false">'Loan Tape'!$AY259</f>
        <v>0</v>
      </c>
      <c r="K282" s="71" t="n">
        <f aca="false">'Loan Tape'!$BB259</f>
        <v>0</v>
      </c>
      <c r="L282" s="56" t="n">
        <f aca="false">'Loan CF'!C566</f>
        <v>0</v>
      </c>
      <c r="M282" s="70" t="n">
        <f aca="false">'Loan Tape'!$AS259*'Loan Tape'!$AN259</f>
        <v>0</v>
      </c>
      <c r="N282" s="70" t="n">
        <f aca="false">IFERROR(SUMPRODUCT(('Loan CF'!$C$916:$L$916-0.5)*('Loan CF'!C1172:L1172+'Loan CF'!C1475:L1475+'Loan CF'!C1778:L1778))/(SUM('Loan CF'!C1172:L1172)+SUM('Loan CF'!C1475:L1475)+SUM('Loan CF'!C1778:L1778)),0)</f>
        <v>0</v>
      </c>
      <c r="O282" s="71" t="n">
        <f aca="false">SUM('Loan CF'!C2081:L2081)</f>
        <v>0</v>
      </c>
      <c r="P282" s="71" t="n">
        <f aca="false">SUM('Loan CF'!C1172:L1172)+SUM('Loan CF'!C1475:L1475)+SUM('Loan CF'!C1778:L1778)</f>
        <v>0</v>
      </c>
      <c r="Q282" s="71" t="n">
        <f aca="false">SUM('Loan CF'!C2384:L2384)</f>
        <v>0</v>
      </c>
      <c r="R282" s="71" t="n">
        <f aca="false">SUM('Loan CF'!C1475:L1475)*Prepay_Pen</f>
        <v>0</v>
      </c>
      <c r="S282" s="71" t="n">
        <f aca="false">'Loan CF'!$C2687</f>
        <v>0</v>
      </c>
      <c r="T282" s="71" t="n">
        <f aca="false">SUM(O282:S282)</f>
        <v>0</v>
      </c>
      <c r="U282" s="71" t="n">
        <f aca="false">SUM('Loan CF'!C869:L869)</f>
        <v>0</v>
      </c>
      <c r="V282" s="71" t="n">
        <f aca="false">U282*Sev</f>
        <v>0</v>
      </c>
      <c r="W282" s="71" t="n">
        <f aca="false">T282-K282</f>
        <v>0</v>
      </c>
      <c r="X282" s="109" t="str">
        <f aca="false">IFERROR(IRR('Loan CF'!C2990:M2990),"-")</f>
        <v>-</v>
      </c>
      <c r="Y282" s="110" t="str">
        <f aca="false">IFERROR(T282/K282,"-")</f>
        <v>-</v>
      </c>
      <c r="Z282" s="71" t="n">
        <f aca="false">'Loan Tape'!$BC259</f>
        <v>0</v>
      </c>
      <c r="AA282" s="71" t="n">
        <f aca="false">'Loan Tape'!$BE259</f>
        <v>0</v>
      </c>
      <c r="AB282" s="71" t="n">
        <f aca="false">SUM('Loan CF'!D3899:M3899)-AA282</f>
        <v>0</v>
      </c>
      <c r="AC282" s="109" t="str">
        <f aca="false">IFERROR(IRR('Loan CF'!C3899:M3899),"-")</f>
        <v>-</v>
      </c>
      <c r="AD282" s="110" t="str">
        <f aca="false">IFERROR(SUM('Loan CF'!D3899:M3899)/AA282,"-")</f>
        <v>-</v>
      </c>
    </row>
    <row r="283" customFormat="false" ht="15" hidden="false" customHeight="false" outlineLevel="0" collapsed="false">
      <c r="B283" s="102" t="str">
        <f aca="false">IF('Loan Tape'!$A260="","",'Loan Tape'!$A260)</f>
        <v/>
      </c>
      <c r="C283" s="102" t="str">
        <f aca="false">IF('Loan Tape'!$A260="","",'Loan Tape'!$B260)</f>
        <v/>
      </c>
      <c r="D283" s="102" t="str">
        <f aca="false">IF('Loan Tape'!$A260="","",'Loan Tape'!$C260)</f>
        <v/>
      </c>
      <c r="E283" s="102" t="str">
        <f aca="false">IF('Loan Tape'!$A260="","",'Loan Tape'!$D260)</f>
        <v/>
      </c>
      <c r="F283" s="102" t="str">
        <f aca="false">IF('Loan Tape'!$A260="","",'Loan Tape'!$E260)</f>
        <v/>
      </c>
      <c r="G283" s="103" t="n">
        <f aca="false">'Loan Tape'!$AN260</f>
        <v>0</v>
      </c>
      <c r="H283" s="99" t="n">
        <f aca="false">'Loan Tape'!$R260*'Loan Tape'!$AN260</f>
        <v>0</v>
      </c>
      <c r="I283" s="104" t="n">
        <f aca="false">'Loan Tape'!$AO260</f>
        <v>0</v>
      </c>
      <c r="J283" s="99" t="n">
        <f aca="false">'Loan Tape'!$AY260</f>
        <v>0</v>
      </c>
      <c r="K283" s="99" t="n">
        <f aca="false">'Loan Tape'!$BB260</f>
        <v>0</v>
      </c>
      <c r="L283" s="104" t="n">
        <f aca="false">'Loan CF'!C567</f>
        <v>0</v>
      </c>
      <c r="M283" s="105" t="n">
        <f aca="false">'Loan Tape'!$AS260*'Loan Tape'!$AN260</f>
        <v>0</v>
      </c>
      <c r="N283" s="105" t="n">
        <f aca="false">IFERROR(SUMPRODUCT(('Loan CF'!$C$916:$L$916-0.5)*('Loan CF'!C1173:L1173+'Loan CF'!C1476:L1476+'Loan CF'!C1779:L1779))/(SUM('Loan CF'!C1173:L1173)+SUM('Loan CF'!C1476:L1476)+SUM('Loan CF'!C1779:L1779)),0)</f>
        <v>0</v>
      </c>
      <c r="O283" s="99" t="n">
        <f aca="false">SUM('Loan CF'!C2082:L2082)</f>
        <v>0</v>
      </c>
      <c r="P283" s="99" t="n">
        <f aca="false">SUM('Loan CF'!C1173:L1173)+SUM('Loan CF'!C1476:L1476)+SUM('Loan CF'!C1779:L1779)</f>
        <v>0</v>
      </c>
      <c r="Q283" s="99" t="n">
        <f aca="false">SUM('Loan CF'!C2385:L2385)</f>
        <v>0</v>
      </c>
      <c r="R283" s="99" t="n">
        <f aca="false">SUM('Loan CF'!C1476:L1476)*Prepay_Pen</f>
        <v>0</v>
      </c>
      <c r="S283" s="99" t="n">
        <f aca="false">'Loan CF'!$C2688</f>
        <v>0</v>
      </c>
      <c r="T283" s="99" t="n">
        <f aca="false">SUM(O283:S283)</f>
        <v>0</v>
      </c>
      <c r="U283" s="99" t="n">
        <f aca="false">SUM('Loan CF'!C870:L870)</f>
        <v>0</v>
      </c>
      <c r="V283" s="99" t="n">
        <f aca="false">U283*Sev</f>
        <v>0</v>
      </c>
      <c r="W283" s="99" t="n">
        <f aca="false">T283-K283</f>
        <v>0</v>
      </c>
      <c r="X283" s="106" t="str">
        <f aca="false">IFERROR(IRR('Loan CF'!C2991:M2991),"-")</f>
        <v>-</v>
      </c>
      <c r="Y283" s="107" t="str">
        <f aca="false">IFERROR(T283/K283,"-")</f>
        <v>-</v>
      </c>
      <c r="Z283" s="99" t="n">
        <f aca="false">'Loan Tape'!$BC260</f>
        <v>0</v>
      </c>
      <c r="AA283" s="99" t="n">
        <f aca="false">'Loan Tape'!$BE260</f>
        <v>0</v>
      </c>
      <c r="AB283" s="99" t="n">
        <f aca="false">SUM('Loan CF'!D3900:M3900)-AA283</f>
        <v>0</v>
      </c>
      <c r="AC283" s="106" t="str">
        <f aca="false">IFERROR(IRR('Loan CF'!C3900:M3900),"-")</f>
        <v>-</v>
      </c>
      <c r="AD283" s="107" t="str">
        <f aca="false">IFERROR(SUM('Loan CF'!D3900:M3900)/AA283,"-")</f>
        <v>-</v>
      </c>
    </row>
    <row r="284" customFormat="false" ht="15" hidden="false" customHeight="false" outlineLevel="0" collapsed="false">
      <c r="B284" s="108" t="str">
        <f aca="false">IF('Loan Tape'!$A261="","",'Loan Tape'!$A261)</f>
        <v/>
      </c>
      <c r="C284" s="108" t="str">
        <f aca="false">IF('Loan Tape'!$A261="","",'Loan Tape'!$B261)</f>
        <v/>
      </c>
      <c r="D284" s="108" t="str">
        <f aca="false">IF('Loan Tape'!$A261="","",'Loan Tape'!$C261)</f>
        <v/>
      </c>
      <c r="E284" s="108" t="str">
        <f aca="false">IF('Loan Tape'!$A261="","",'Loan Tape'!$D261)</f>
        <v/>
      </c>
      <c r="F284" s="108" t="str">
        <f aca="false">IF('Loan Tape'!$A261="","",'Loan Tape'!$E261)</f>
        <v/>
      </c>
      <c r="G284" s="26" t="n">
        <f aca="false">'Loan Tape'!$AN261</f>
        <v>0</v>
      </c>
      <c r="H284" s="71" t="n">
        <f aca="false">'Loan Tape'!$R261*'Loan Tape'!$AN261</f>
        <v>0</v>
      </c>
      <c r="I284" s="56" t="n">
        <f aca="false">'Loan Tape'!$AO261</f>
        <v>0</v>
      </c>
      <c r="J284" s="71" t="n">
        <f aca="false">'Loan Tape'!$AY261</f>
        <v>0</v>
      </c>
      <c r="K284" s="71" t="n">
        <f aca="false">'Loan Tape'!$BB261</f>
        <v>0</v>
      </c>
      <c r="L284" s="56" t="n">
        <f aca="false">'Loan CF'!C568</f>
        <v>0</v>
      </c>
      <c r="M284" s="70" t="n">
        <f aca="false">'Loan Tape'!$AS261*'Loan Tape'!$AN261</f>
        <v>0</v>
      </c>
      <c r="N284" s="70" t="n">
        <f aca="false">IFERROR(SUMPRODUCT(('Loan CF'!$C$916:$L$916-0.5)*('Loan CF'!C1174:L1174+'Loan CF'!C1477:L1477+'Loan CF'!C1780:L1780))/(SUM('Loan CF'!C1174:L1174)+SUM('Loan CF'!C1477:L1477)+SUM('Loan CF'!C1780:L1780)),0)</f>
        <v>0</v>
      </c>
      <c r="O284" s="71" t="n">
        <f aca="false">SUM('Loan CF'!C2083:L2083)</f>
        <v>0</v>
      </c>
      <c r="P284" s="71" t="n">
        <f aca="false">SUM('Loan CF'!C1174:L1174)+SUM('Loan CF'!C1477:L1477)+SUM('Loan CF'!C1780:L1780)</f>
        <v>0</v>
      </c>
      <c r="Q284" s="71" t="n">
        <f aca="false">SUM('Loan CF'!C2386:L2386)</f>
        <v>0</v>
      </c>
      <c r="R284" s="71" t="n">
        <f aca="false">SUM('Loan CF'!C1477:L1477)*Prepay_Pen</f>
        <v>0</v>
      </c>
      <c r="S284" s="71" t="n">
        <f aca="false">'Loan CF'!$C2689</f>
        <v>0</v>
      </c>
      <c r="T284" s="71" t="n">
        <f aca="false">SUM(O284:S284)</f>
        <v>0</v>
      </c>
      <c r="U284" s="71" t="n">
        <f aca="false">SUM('Loan CF'!C871:L871)</f>
        <v>0</v>
      </c>
      <c r="V284" s="71" t="n">
        <f aca="false">U284*Sev</f>
        <v>0</v>
      </c>
      <c r="W284" s="71" t="n">
        <f aca="false">T284-K284</f>
        <v>0</v>
      </c>
      <c r="X284" s="109" t="str">
        <f aca="false">IFERROR(IRR('Loan CF'!C2992:M2992),"-")</f>
        <v>-</v>
      </c>
      <c r="Y284" s="110" t="str">
        <f aca="false">IFERROR(T284/K284,"-")</f>
        <v>-</v>
      </c>
      <c r="Z284" s="71" t="n">
        <f aca="false">'Loan Tape'!$BC261</f>
        <v>0</v>
      </c>
      <c r="AA284" s="71" t="n">
        <f aca="false">'Loan Tape'!$BE261</f>
        <v>0</v>
      </c>
      <c r="AB284" s="71" t="n">
        <f aca="false">SUM('Loan CF'!D3901:M3901)-AA284</f>
        <v>0</v>
      </c>
      <c r="AC284" s="109" t="str">
        <f aca="false">IFERROR(IRR('Loan CF'!C3901:M3901),"-")</f>
        <v>-</v>
      </c>
      <c r="AD284" s="110" t="str">
        <f aca="false">IFERROR(SUM('Loan CF'!D3901:M3901)/AA284,"-")</f>
        <v>-</v>
      </c>
    </row>
    <row r="285" customFormat="false" ht="15" hidden="false" customHeight="false" outlineLevel="0" collapsed="false">
      <c r="B285" s="102" t="str">
        <f aca="false">IF('Loan Tape'!$A262="","",'Loan Tape'!$A262)</f>
        <v/>
      </c>
      <c r="C285" s="102" t="str">
        <f aca="false">IF('Loan Tape'!$A262="","",'Loan Tape'!$B262)</f>
        <v/>
      </c>
      <c r="D285" s="102" t="str">
        <f aca="false">IF('Loan Tape'!$A262="","",'Loan Tape'!$C262)</f>
        <v/>
      </c>
      <c r="E285" s="102" t="str">
        <f aca="false">IF('Loan Tape'!$A262="","",'Loan Tape'!$D262)</f>
        <v/>
      </c>
      <c r="F285" s="102" t="str">
        <f aca="false">IF('Loan Tape'!$A262="","",'Loan Tape'!$E262)</f>
        <v/>
      </c>
      <c r="G285" s="103" t="n">
        <f aca="false">'Loan Tape'!$AN262</f>
        <v>0</v>
      </c>
      <c r="H285" s="99" t="n">
        <f aca="false">'Loan Tape'!$R262*'Loan Tape'!$AN262</f>
        <v>0</v>
      </c>
      <c r="I285" s="104" t="n">
        <f aca="false">'Loan Tape'!$AO262</f>
        <v>0</v>
      </c>
      <c r="J285" s="99" t="n">
        <f aca="false">'Loan Tape'!$AY262</f>
        <v>0</v>
      </c>
      <c r="K285" s="99" t="n">
        <f aca="false">'Loan Tape'!$BB262</f>
        <v>0</v>
      </c>
      <c r="L285" s="104" t="n">
        <f aca="false">'Loan CF'!C569</f>
        <v>0</v>
      </c>
      <c r="M285" s="105" t="n">
        <f aca="false">'Loan Tape'!$AS262*'Loan Tape'!$AN262</f>
        <v>0</v>
      </c>
      <c r="N285" s="105" t="n">
        <f aca="false">IFERROR(SUMPRODUCT(('Loan CF'!$C$916:$L$916-0.5)*('Loan CF'!C1175:L1175+'Loan CF'!C1478:L1478+'Loan CF'!C1781:L1781))/(SUM('Loan CF'!C1175:L1175)+SUM('Loan CF'!C1478:L1478)+SUM('Loan CF'!C1781:L1781)),0)</f>
        <v>0</v>
      </c>
      <c r="O285" s="99" t="n">
        <f aca="false">SUM('Loan CF'!C2084:L2084)</f>
        <v>0</v>
      </c>
      <c r="P285" s="99" t="n">
        <f aca="false">SUM('Loan CF'!C1175:L1175)+SUM('Loan CF'!C1478:L1478)+SUM('Loan CF'!C1781:L1781)</f>
        <v>0</v>
      </c>
      <c r="Q285" s="99" t="n">
        <f aca="false">SUM('Loan CF'!C2387:L2387)</f>
        <v>0</v>
      </c>
      <c r="R285" s="99" t="n">
        <f aca="false">SUM('Loan CF'!C1478:L1478)*Prepay_Pen</f>
        <v>0</v>
      </c>
      <c r="S285" s="99" t="n">
        <f aca="false">'Loan CF'!$C2690</f>
        <v>0</v>
      </c>
      <c r="T285" s="99" t="n">
        <f aca="false">SUM(O285:S285)</f>
        <v>0</v>
      </c>
      <c r="U285" s="99" t="n">
        <f aca="false">SUM('Loan CF'!C872:L872)</f>
        <v>0</v>
      </c>
      <c r="V285" s="99" t="n">
        <f aca="false">U285*Sev</f>
        <v>0</v>
      </c>
      <c r="W285" s="99" t="n">
        <f aca="false">T285-K285</f>
        <v>0</v>
      </c>
      <c r="X285" s="106" t="str">
        <f aca="false">IFERROR(IRR('Loan CF'!C2993:M2993),"-")</f>
        <v>-</v>
      </c>
      <c r="Y285" s="107" t="str">
        <f aca="false">IFERROR(T285/K285,"-")</f>
        <v>-</v>
      </c>
      <c r="Z285" s="99" t="n">
        <f aca="false">'Loan Tape'!$BC262</f>
        <v>0</v>
      </c>
      <c r="AA285" s="99" t="n">
        <f aca="false">'Loan Tape'!$BE262</f>
        <v>0</v>
      </c>
      <c r="AB285" s="99" t="n">
        <f aca="false">SUM('Loan CF'!D3902:M3902)-AA285</f>
        <v>0</v>
      </c>
      <c r="AC285" s="106" t="str">
        <f aca="false">IFERROR(IRR('Loan CF'!C3902:M3902),"-")</f>
        <v>-</v>
      </c>
      <c r="AD285" s="107" t="str">
        <f aca="false">IFERROR(SUM('Loan CF'!D3902:M3902)/AA285,"-")</f>
        <v>-</v>
      </c>
    </row>
    <row r="286" customFormat="false" ht="15" hidden="false" customHeight="false" outlineLevel="0" collapsed="false">
      <c r="B286" s="108" t="str">
        <f aca="false">IF('Loan Tape'!$A263="","",'Loan Tape'!$A263)</f>
        <v/>
      </c>
      <c r="C286" s="108" t="str">
        <f aca="false">IF('Loan Tape'!$A263="","",'Loan Tape'!$B263)</f>
        <v/>
      </c>
      <c r="D286" s="108" t="str">
        <f aca="false">IF('Loan Tape'!$A263="","",'Loan Tape'!$C263)</f>
        <v/>
      </c>
      <c r="E286" s="108" t="str">
        <f aca="false">IF('Loan Tape'!$A263="","",'Loan Tape'!$D263)</f>
        <v/>
      </c>
      <c r="F286" s="108" t="str">
        <f aca="false">IF('Loan Tape'!$A263="","",'Loan Tape'!$E263)</f>
        <v/>
      </c>
      <c r="G286" s="26" t="n">
        <f aca="false">'Loan Tape'!$AN263</f>
        <v>0</v>
      </c>
      <c r="H286" s="71" t="n">
        <f aca="false">'Loan Tape'!$R263*'Loan Tape'!$AN263</f>
        <v>0</v>
      </c>
      <c r="I286" s="56" t="n">
        <f aca="false">'Loan Tape'!$AO263</f>
        <v>0</v>
      </c>
      <c r="J286" s="71" t="n">
        <f aca="false">'Loan Tape'!$AY263</f>
        <v>0</v>
      </c>
      <c r="K286" s="71" t="n">
        <f aca="false">'Loan Tape'!$BB263</f>
        <v>0</v>
      </c>
      <c r="L286" s="56" t="n">
        <f aca="false">'Loan CF'!C570</f>
        <v>0</v>
      </c>
      <c r="M286" s="70" t="n">
        <f aca="false">'Loan Tape'!$AS263*'Loan Tape'!$AN263</f>
        <v>0</v>
      </c>
      <c r="N286" s="70" t="n">
        <f aca="false">IFERROR(SUMPRODUCT(('Loan CF'!$C$916:$L$916-0.5)*('Loan CF'!C1176:L1176+'Loan CF'!C1479:L1479+'Loan CF'!C1782:L1782))/(SUM('Loan CF'!C1176:L1176)+SUM('Loan CF'!C1479:L1479)+SUM('Loan CF'!C1782:L1782)),0)</f>
        <v>0</v>
      </c>
      <c r="O286" s="71" t="n">
        <f aca="false">SUM('Loan CF'!C2085:L2085)</f>
        <v>0</v>
      </c>
      <c r="P286" s="71" t="n">
        <f aca="false">SUM('Loan CF'!C1176:L1176)+SUM('Loan CF'!C1479:L1479)+SUM('Loan CF'!C1782:L1782)</f>
        <v>0</v>
      </c>
      <c r="Q286" s="71" t="n">
        <f aca="false">SUM('Loan CF'!C2388:L2388)</f>
        <v>0</v>
      </c>
      <c r="R286" s="71" t="n">
        <f aca="false">SUM('Loan CF'!C1479:L1479)*Prepay_Pen</f>
        <v>0</v>
      </c>
      <c r="S286" s="71" t="n">
        <f aca="false">'Loan CF'!$C2691</f>
        <v>0</v>
      </c>
      <c r="T286" s="71" t="n">
        <f aca="false">SUM(O286:S286)</f>
        <v>0</v>
      </c>
      <c r="U286" s="71" t="n">
        <f aca="false">SUM('Loan CF'!C873:L873)</f>
        <v>0</v>
      </c>
      <c r="V286" s="71" t="n">
        <f aca="false">U286*Sev</f>
        <v>0</v>
      </c>
      <c r="W286" s="71" t="n">
        <f aca="false">T286-K286</f>
        <v>0</v>
      </c>
      <c r="X286" s="109" t="str">
        <f aca="false">IFERROR(IRR('Loan CF'!C2994:M2994),"-")</f>
        <v>-</v>
      </c>
      <c r="Y286" s="110" t="str">
        <f aca="false">IFERROR(T286/K286,"-")</f>
        <v>-</v>
      </c>
      <c r="Z286" s="71" t="n">
        <f aca="false">'Loan Tape'!$BC263</f>
        <v>0</v>
      </c>
      <c r="AA286" s="71" t="n">
        <f aca="false">'Loan Tape'!$BE263</f>
        <v>0</v>
      </c>
      <c r="AB286" s="71" t="n">
        <f aca="false">SUM('Loan CF'!D3903:M3903)-AA286</f>
        <v>0</v>
      </c>
      <c r="AC286" s="109" t="str">
        <f aca="false">IFERROR(IRR('Loan CF'!C3903:M3903),"-")</f>
        <v>-</v>
      </c>
      <c r="AD286" s="110" t="str">
        <f aca="false">IFERROR(SUM('Loan CF'!D3903:M3903)/AA286,"-")</f>
        <v>-</v>
      </c>
    </row>
    <row r="287" customFormat="false" ht="15" hidden="false" customHeight="false" outlineLevel="0" collapsed="false">
      <c r="B287" s="102" t="str">
        <f aca="false">IF('Loan Tape'!$A264="","",'Loan Tape'!$A264)</f>
        <v/>
      </c>
      <c r="C287" s="102" t="str">
        <f aca="false">IF('Loan Tape'!$A264="","",'Loan Tape'!$B264)</f>
        <v/>
      </c>
      <c r="D287" s="102" t="str">
        <f aca="false">IF('Loan Tape'!$A264="","",'Loan Tape'!$C264)</f>
        <v/>
      </c>
      <c r="E287" s="102" t="str">
        <f aca="false">IF('Loan Tape'!$A264="","",'Loan Tape'!$D264)</f>
        <v/>
      </c>
      <c r="F287" s="102" t="str">
        <f aca="false">IF('Loan Tape'!$A264="","",'Loan Tape'!$E264)</f>
        <v/>
      </c>
      <c r="G287" s="103" t="n">
        <f aca="false">'Loan Tape'!$AN264</f>
        <v>0</v>
      </c>
      <c r="H287" s="99" t="n">
        <f aca="false">'Loan Tape'!$R264*'Loan Tape'!$AN264</f>
        <v>0</v>
      </c>
      <c r="I287" s="104" t="n">
        <f aca="false">'Loan Tape'!$AO264</f>
        <v>0</v>
      </c>
      <c r="J287" s="99" t="n">
        <f aca="false">'Loan Tape'!$AY264</f>
        <v>0</v>
      </c>
      <c r="K287" s="99" t="n">
        <f aca="false">'Loan Tape'!$BB264</f>
        <v>0</v>
      </c>
      <c r="L287" s="104" t="n">
        <f aca="false">'Loan CF'!C571</f>
        <v>0</v>
      </c>
      <c r="M287" s="105" t="n">
        <f aca="false">'Loan Tape'!$AS264*'Loan Tape'!$AN264</f>
        <v>0</v>
      </c>
      <c r="N287" s="105" t="n">
        <f aca="false">IFERROR(SUMPRODUCT(('Loan CF'!$C$916:$L$916-0.5)*('Loan CF'!C1177:L1177+'Loan CF'!C1480:L1480+'Loan CF'!C1783:L1783))/(SUM('Loan CF'!C1177:L1177)+SUM('Loan CF'!C1480:L1480)+SUM('Loan CF'!C1783:L1783)),0)</f>
        <v>0</v>
      </c>
      <c r="O287" s="99" t="n">
        <f aca="false">SUM('Loan CF'!C2086:L2086)</f>
        <v>0</v>
      </c>
      <c r="P287" s="99" t="n">
        <f aca="false">SUM('Loan CF'!C1177:L1177)+SUM('Loan CF'!C1480:L1480)+SUM('Loan CF'!C1783:L1783)</f>
        <v>0</v>
      </c>
      <c r="Q287" s="99" t="n">
        <f aca="false">SUM('Loan CF'!C2389:L2389)</f>
        <v>0</v>
      </c>
      <c r="R287" s="99" t="n">
        <f aca="false">SUM('Loan CF'!C1480:L1480)*Prepay_Pen</f>
        <v>0</v>
      </c>
      <c r="S287" s="99" t="n">
        <f aca="false">'Loan CF'!$C2692</f>
        <v>0</v>
      </c>
      <c r="T287" s="99" t="n">
        <f aca="false">SUM(O287:S287)</f>
        <v>0</v>
      </c>
      <c r="U287" s="99" t="n">
        <f aca="false">SUM('Loan CF'!C874:L874)</f>
        <v>0</v>
      </c>
      <c r="V287" s="99" t="n">
        <f aca="false">U287*Sev</f>
        <v>0</v>
      </c>
      <c r="W287" s="99" t="n">
        <f aca="false">T287-K287</f>
        <v>0</v>
      </c>
      <c r="X287" s="106" t="str">
        <f aca="false">IFERROR(IRR('Loan CF'!C2995:M2995),"-")</f>
        <v>-</v>
      </c>
      <c r="Y287" s="107" t="str">
        <f aca="false">IFERROR(T287/K287,"-")</f>
        <v>-</v>
      </c>
      <c r="Z287" s="99" t="n">
        <f aca="false">'Loan Tape'!$BC264</f>
        <v>0</v>
      </c>
      <c r="AA287" s="99" t="n">
        <f aca="false">'Loan Tape'!$BE264</f>
        <v>0</v>
      </c>
      <c r="AB287" s="99" t="n">
        <f aca="false">SUM('Loan CF'!D3904:M3904)-AA287</f>
        <v>0</v>
      </c>
      <c r="AC287" s="106" t="str">
        <f aca="false">IFERROR(IRR('Loan CF'!C3904:M3904),"-")</f>
        <v>-</v>
      </c>
      <c r="AD287" s="107" t="str">
        <f aca="false">IFERROR(SUM('Loan CF'!D3904:M3904)/AA287,"-")</f>
        <v>-</v>
      </c>
    </row>
    <row r="288" customFormat="false" ht="15" hidden="false" customHeight="false" outlineLevel="0" collapsed="false">
      <c r="B288" s="108" t="str">
        <f aca="false">IF('Loan Tape'!$A265="","",'Loan Tape'!$A265)</f>
        <v/>
      </c>
      <c r="C288" s="108" t="str">
        <f aca="false">IF('Loan Tape'!$A265="","",'Loan Tape'!$B265)</f>
        <v/>
      </c>
      <c r="D288" s="108" t="str">
        <f aca="false">IF('Loan Tape'!$A265="","",'Loan Tape'!$C265)</f>
        <v/>
      </c>
      <c r="E288" s="108" t="str">
        <f aca="false">IF('Loan Tape'!$A265="","",'Loan Tape'!$D265)</f>
        <v/>
      </c>
      <c r="F288" s="108" t="str">
        <f aca="false">IF('Loan Tape'!$A265="","",'Loan Tape'!$E265)</f>
        <v/>
      </c>
      <c r="G288" s="26" t="n">
        <f aca="false">'Loan Tape'!$AN265</f>
        <v>0</v>
      </c>
      <c r="H288" s="71" t="n">
        <f aca="false">'Loan Tape'!$R265*'Loan Tape'!$AN265</f>
        <v>0</v>
      </c>
      <c r="I288" s="56" t="n">
        <f aca="false">'Loan Tape'!$AO265</f>
        <v>0</v>
      </c>
      <c r="J288" s="71" t="n">
        <f aca="false">'Loan Tape'!$AY265</f>
        <v>0</v>
      </c>
      <c r="K288" s="71" t="n">
        <f aca="false">'Loan Tape'!$BB265</f>
        <v>0</v>
      </c>
      <c r="L288" s="56" t="n">
        <f aca="false">'Loan CF'!C572</f>
        <v>0</v>
      </c>
      <c r="M288" s="70" t="n">
        <f aca="false">'Loan Tape'!$AS265*'Loan Tape'!$AN265</f>
        <v>0</v>
      </c>
      <c r="N288" s="70" t="n">
        <f aca="false">IFERROR(SUMPRODUCT(('Loan CF'!$C$916:$L$916-0.5)*('Loan CF'!C1178:L1178+'Loan CF'!C1481:L1481+'Loan CF'!C1784:L1784))/(SUM('Loan CF'!C1178:L1178)+SUM('Loan CF'!C1481:L1481)+SUM('Loan CF'!C1784:L1784)),0)</f>
        <v>0</v>
      </c>
      <c r="O288" s="71" t="n">
        <f aca="false">SUM('Loan CF'!C2087:L2087)</f>
        <v>0</v>
      </c>
      <c r="P288" s="71" t="n">
        <f aca="false">SUM('Loan CF'!C1178:L1178)+SUM('Loan CF'!C1481:L1481)+SUM('Loan CF'!C1784:L1784)</f>
        <v>0</v>
      </c>
      <c r="Q288" s="71" t="n">
        <f aca="false">SUM('Loan CF'!C2390:L2390)</f>
        <v>0</v>
      </c>
      <c r="R288" s="71" t="n">
        <f aca="false">SUM('Loan CF'!C1481:L1481)*Prepay_Pen</f>
        <v>0</v>
      </c>
      <c r="S288" s="71" t="n">
        <f aca="false">'Loan CF'!$C2693</f>
        <v>0</v>
      </c>
      <c r="T288" s="71" t="n">
        <f aca="false">SUM(O288:S288)</f>
        <v>0</v>
      </c>
      <c r="U288" s="71" t="n">
        <f aca="false">SUM('Loan CF'!C875:L875)</f>
        <v>0</v>
      </c>
      <c r="V288" s="71" t="n">
        <f aca="false">U288*Sev</f>
        <v>0</v>
      </c>
      <c r="W288" s="71" t="n">
        <f aca="false">T288-K288</f>
        <v>0</v>
      </c>
      <c r="X288" s="109" t="str">
        <f aca="false">IFERROR(IRR('Loan CF'!C2996:M2996),"-")</f>
        <v>-</v>
      </c>
      <c r="Y288" s="110" t="str">
        <f aca="false">IFERROR(T288/K288,"-")</f>
        <v>-</v>
      </c>
      <c r="Z288" s="71" t="n">
        <f aca="false">'Loan Tape'!$BC265</f>
        <v>0</v>
      </c>
      <c r="AA288" s="71" t="n">
        <f aca="false">'Loan Tape'!$BE265</f>
        <v>0</v>
      </c>
      <c r="AB288" s="71" t="n">
        <f aca="false">SUM('Loan CF'!D3905:M3905)-AA288</f>
        <v>0</v>
      </c>
      <c r="AC288" s="109" t="str">
        <f aca="false">IFERROR(IRR('Loan CF'!C3905:M3905),"-")</f>
        <v>-</v>
      </c>
      <c r="AD288" s="110" t="str">
        <f aca="false">IFERROR(SUM('Loan CF'!D3905:M3905)/AA288,"-")</f>
        <v>-</v>
      </c>
    </row>
    <row r="289" customFormat="false" ht="15" hidden="false" customHeight="false" outlineLevel="0" collapsed="false">
      <c r="B289" s="102" t="str">
        <f aca="false">IF('Loan Tape'!$A266="","",'Loan Tape'!$A266)</f>
        <v/>
      </c>
      <c r="C289" s="102" t="str">
        <f aca="false">IF('Loan Tape'!$A266="","",'Loan Tape'!$B266)</f>
        <v/>
      </c>
      <c r="D289" s="102" t="str">
        <f aca="false">IF('Loan Tape'!$A266="","",'Loan Tape'!$C266)</f>
        <v/>
      </c>
      <c r="E289" s="102" t="str">
        <f aca="false">IF('Loan Tape'!$A266="","",'Loan Tape'!$D266)</f>
        <v/>
      </c>
      <c r="F289" s="102" t="str">
        <f aca="false">IF('Loan Tape'!$A266="","",'Loan Tape'!$E266)</f>
        <v/>
      </c>
      <c r="G289" s="103" t="n">
        <f aca="false">'Loan Tape'!$AN266</f>
        <v>0</v>
      </c>
      <c r="H289" s="99" t="n">
        <f aca="false">'Loan Tape'!$R266*'Loan Tape'!$AN266</f>
        <v>0</v>
      </c>
      <c r="I289" s="104" t="n">
        <f aca="false">'Loan Tape'!$AO266</f>
        <v>0</v>
      </c>
      <c r="J289" s="99" t="n">
        <f aca="false">'Loan Tape'!$AY266</f>
        <v>0</v>
      </c>
      <c r="K289" s="99" t="n">
        <f aca="false">'Loan Tape'!$BB266</f>
        <v>0</v>
      </c>
      <c r="L289" s="104" t="n">
        <f aca="false">'Loan CF'!C573</f>
        <v>0</v>
      </c>
      <c r="M289" s="105" t="n">
        <f aca="false">'Loan Tape'!$AS266*'Loan Tape'!$AN266</f>
        <v>0</v>
      </c>
      <c r="N289" s="105" t="n">
        <f aca="false">IFERROR(SUMPRODUCT(('Loan CF'!$C$916:$L$916-0.5)*('Loan CF'!C1179:L1179+'Loan CF'!C1482:L1482+'Loan CF'!C1785:L1785))/(SUM('Loan CF'!C1179:L1179)+SUM('Loan CF'!C1482:L1482)+SUM('Loan CF'!C1785:L1785)),0)</f>
        <v>0</v>
      </c>
      <c r="O289" s="99" t="n">
        <f aca="false">SUM('Loan CF'!C2088:L2088)</f>
        <v>0</v>
      </c>
      <c r="P289" s="99" t="n">
        <f aca="false">SUM('Loan CF'!C1179:L1179)+SUM('Loan CF'!C1482:L1482)+SUM('Loan CF'!C1785:L1785)</f>
        <v>0</v>
      </c>
      <c r="Q289" s="99" t="n">
        <f aca="false">SUM('Loan CF'!C2391:L2391)</f>
        <v>0</v>
      </c>
      <c r="R289" s="99" t="n">
        <f aca="false">SUM('Loan CF'!C1482:L1482)*Prepay_Pen</f>
        <v>0</v>
      </c>
      <c r="S289" s="99" t="n">
        <f aca="false">'Loan CF'!$C2694</f>
        <v>0</v>
      </c>
      <c r="T289" s="99" t="n">
        <f aca="false">SUM(O289:S289)</f>
        <v>0</v>
      </c>
      <c r="U289" s="99" t="n">
        <f aca="false">SUM('Loan CF'!C876:L876)</f>
        <v>0</v>
      </c>
      <c r="V289" s="99" t="n">
        <f aca="false">U289*Sev</f>
        <v>0</v>
      </c>
      <c r="W289" s="99" t="n">
        <f aca="false">T289-K289</f>
        <v>0</v>
      </c>
      <c r="X289" s="106" t="str">
        <f aca="false">IFERROR(IRR('Loan CF'!C2997:M2997),"-")</f>
        <v>-</v>
      </c>
      <c r="Y289" s="107" t="str">
        <f aca="false">IFERROR(T289/K289,"-")</f>
        <v>-</v>
      </c>
      <c r="Z289" s="99" t="n">
        <f aca="false">'Loan Tape'!$BC266</f>
        <v>0</v>
      </c>
      <c r="AA289" s="99" t="n">
        <f aca="false">'Loan Tape'!$BE266</f>
        <v>0</v>
      </c>
      <c r="AB289" s="99" t="n">
        <f aca="false">SUM('Loan CF'!D3906:M3906)-AA289</f>
        <v>0</v>
      </c>
      <c r="AC289" s="106" t="str">
        <f aca="false">IFERROR(IRR('Loan CF'!C3906:M3906),"-")</f>
        <v>-</v>
      </c>
      <c r="AD289" s="107" t="str">
        <f aca="false">IFERROR(SUM('Loan CF'!D3906:M3906)/AA289,"-")</f>
        <v>-</v>
      </c>
    </row>
    <row r="290" customFormat="false" ht="15" hidden="false" customHeight="false" outlineLevel="0" collapsed="false">
      <c r="B290" s="108" t="str">
        <f aca="false">IF('Loan Tape'!$A267="","",'Loan Tape'!$A267)</f>
        <v/>
      </c>
      <c r="C290" s="108" t="str">
        <f aca="false">IF('Loan Tape'!$A267="","",'Loan Tape'!$B267)</f>
        <v/>
      </c>
      <c r="D290" s="108" t="str">
        <f aca="false">IF('Loan Tape'!$A267="","",'Loan Tape'!$C267)</f>
        <v/>
      </c>
      <c r="E290" s="108" t="str">
        <f aca="false">IF('Loan Tape'!$A267="","",'Loan Tape'!$D267)</f>
        <v/>
      </c>
      <c r="F290" s="108" t="str">
        <f aca="false">IF('Loan Tape'!$A267="","",'Loan Tape'!$E267)</f>
        <v/>
      </c>
      <c r="G290" s="26" t="n">
        <f aca="false">'Loan Tape'!$AN267</f>
        <v>0</v>
      </c>
      <c r="H290" s="71" t="n">
        <f aca="false">'Loan Tape'!$R267*'Loan Tape'!$AN267</f>
        <v>0</v>
      </c>
      <c r="I290" s="56" t="n">
        <f aca="false">'Loan Tape'!$AO267</f>
        <v>0</v>
      </c>
      <c r="J290" s="71" t="n">
        <f aca="false">'Loan Tape'!$AY267</f>
        <v>0</v>
      </c>
      <c r="K290" s="71" t="n">
        <f aca="false">'Loan Tape'!$BB267</f>
        <v>0</v>
      </c>
      <c r="L290" s="56" t="n">
        <f aca="false">'Loan CF'!C574</f>
        <v>0</v>
      </c>
      <c r="M290" s="70" t="n">
        <f aca="false">'Loan Tape'!$AS267*'Loan Tape'!$AN267</f>
        <v>0</v>
      </c>
      <c r="N290" s="70" t="n">
        <f aca="false">IFERROR(SUMPRODUCT(('Loan CF'!$C$916:$L$916-0.5)*('Loan CF'!C1180:L1180+'Loan CF'!C1483:L1483+'Loan CF'!C1786:L1786))/(SUM('Loan CF'!C1180:L1180)+SUM('Loan CF'!C1483:L1483)+SUM('Loan CF'!C1786:L1786)),0)</f>
        <v>0</v>
      </c>
      <c r="O290" s="71" t="n">
        <f aca="false">SUM('Loan CF'!C2089:L2089)</f>
        <v>0</v>
      </c>
      <c r="P290" s="71" t="n">
        <f aca="false">SUM('Loan CF'!C1180:L1180)+SUM('Loan CF'!C1483:L1483)+SUM('Loan CF'!C1786:L1786)</f>
        <v>0</v>
      </c>
      <c r="Q290" s="71" t="n">
        <f aca="false">SUM('Loan CF'!C2392:L2392)</f>
        <v>0</v>
      </c>
      <c r="R290" s="71" t="n">
        <f aca="false">SUM('Loan CF'!C1483:L1483)*Prepay_Pen</f>
        <v>0</v>
      </c>
      <c r="S290" s="71" t="n">
        <f aca="false">'Loan CF'!$C2695</f>
        <v>0</v>
      </c>
      <c r="T290" s="71" t="n">
        <f aca="false">SUM(O290:S290)</f>
        <v>0</v>
      </c>
      <c r="U290" s="71" t="n">
        <f aca="false">SUM('Loan CF'!C877:L877)</f>
        <v>0</v>
      </c>
      <c r="V290" s="71" t="n">
        <f aca="false">U290*Sev</f>
        <v>0</v>
      </c>
      <c r="W290" s="71" t="n">
        <f aca="false">T290-K290</f>
        <v>0</v>
      </c>
      <c r="X290" s="109" t="str">
        <f aca="false">IFERROR(IRR('Loan CF'!C2998:M2998),"-")</f>
        <v>-</v>
      </c>
      <c r="Y290" s="110" t="str">
        <f aca="false">IFERROR(T290/K290,"-")</f>
        <v>-</v>
      </c>
      <c r="Z290" s="71" t="n">
        <f aca="false">'Loan Tape'!$BC267</f>
        <v>0</v>
      </c>
      <c r="AA290" s="71" t="n">
        <f aca="false">'Loan Tape'!$BE267</f>
        <v>0</v>
      </c>
      <c r="AB290" s="71" t="n">
        <f aca="false">SUM('Loan CF'!D3907:M3907)-AA290</f>
        <v>0</v>
      </c>
      <c r="AC290" s="109" t="str">
        <f aca="false">IFERROR(IRR('Loan CF'!C3907:M3907),"-")</f>
        <v>-</v>
      </c>
      <c r="AD290" s="110" t="str">
        <f aca="false">IFERROR(SUM('Loan CF'!D3907:M3907)/AA290,"-")</f>
        <v>-</v>
      </c>
    </row>
    <row r="291" customFormat="false" ht="15" hidden="false" customHeight="false" outlineLevel="0" collapsed="false">
      <c r="B291" s="102" t="str">
        <f aca="false">IF('Loan Tape'!$A268="","",'Loan Tape'!$A268)</f>
        <v/>
      </c>
      <c r="C291" s="102" t="str">
        <f aca="false">IF('Loan Tape'!$A268="","",'Loan Tape'!$B268)</f>
        <v/>
      </c>
      <c r="D291" s="102" t="str">
        <f aca="false">IF('Loan Tape'!$A268="","",'Loan Tape'!$C268)</f>
        <v/>
      </c>
      <c r="E291" s="102" t="str">
        <f aca="false">IF('Loan Tape'!$A268="","",'Loan Tape'!$D268)</f>
        <v/>
      </c>
      <c r="F291" s="102" t="str">
        <f aca="false">IF('Loan Tape'!$A268="","",'Loan Tape'!$E268)</f>
        <v/>
      </c>
      <c r="G291" s="103" t="n">
        <f aca="false">'Loan Tape'!$AN268</f>
        <v>0</v>
      </c>
      <c r="H291" s="99" t="n">
        <f aca="false">'Loan Tape'!$R268*'Loan Tape'!$AN268</f>
        <v>0</v>
      </c>
      <c r="I291" s="104" t="n">
        <f aca="false">'Loan Tape'!$AO268</f>
        <v>0</v>
      </c>
      <c r="J291" s="99" t="n">
        <f aca="false">'Loan Tape'!$AY268</f>
        <v>0</v>
      </c>
      <c r="K291" s="99" t="n">
        <f aca="false">'Loan Tape'!$BB268</f>
        <v>0</v>
      </c>
      <c r="L291" s="104" t="n">
        <f aca="false">'Loan CF'!C575</f>
        <v>0</v>
      </c>
      <c r="M291" s="105" t="n">
        <f aca="false">'Loan Tape'!$AS268*'Loan Tape'!$AN268</f>
        <v>0</v>
      </c>
      <c r="N291" s="105" t="n">
        <f aca="false">IFERROR(SUMPRODUCT(('Loan CF'!$C$916:$L$916-0.5)*('Loan CF'!C1181:L1181+'Loan CF'!C1484:L1484+'Loan CF'!C1787:L1787))/(SUM('Loan CF'!C1181:L1181)+SUM('Loan CF'!C1484:L1484)+SUM('Loan CF'!C1787:L1787)),0)</f>
        <v>0</v>
      </c>
      <c r="O291" s="99" t="n">
        <f aca="false">SUM('Loan CF'!C2090:L2090)</f>
        <v>0</v>
      </c>
      <c r="P291" s="99" t="n">
        <f aca="false">SUM('Loan CF'!C1181:L1181)+SUM('Loan CF'!C1484:L1484)+SUM('Loan CF'!C1787:L1787)</f>
        <v>0</v>
      </c>
      <c r="Q291" s="99" t="n">
        <f aca="false">SUM('Loan CF'!C2393:L2393)</f>
        <v>0</v>
      </c>
      <c r="R291" s="99" t="n">
        <f aca="false">SUM('Loan CF'!C1484:L1484)*Prepay_Pen</f>
        <v>0</v>
      </c>
      <c r="S291" s="99" t="n">
        <f aca="false">'Loan CF'!$C2696</f>
        <v>0</v>
      </c>
      <c r="T291" s="99" t="n">
        <f aca="false">SUM(O291:S291)</f>
        <v>0</v>
      </c>
      <c r="U291" s="99" t="n">
        <f aca="false">SUM('Loan CF'!C878:L878)</f>
        <v>0</v>
      </c>
      <c r="V291" s="99" t="n">
        <f aca="false">U291*Sev</f>
        <v>0</v>
      </c>
      <c r="W291" s="99" t="n">
        <f aca="false">T291-K291</f>
        <v>0</v>
      </c>
      <c r="X291" s="106" t="str">
        <f aca="false">IFERROR(IRR('Loan CF'!C2999:M2999),"-")</f>
        <v>-</v>
      </c>
      <c r="Y291" s="107" t="str">
        <f aca="false">IFERROR(T291/K291,"-")</f>
        <v>-</v>
      </c>
      <c r="Z291" s="99" t="n">
        <f aca="false">'Loan Tape'!$BC268</f>
        <v>0</v>
      </c>
      <c r="AA291" s="99" t="n">
        <f aca="false">'Loan Tape'!$BE268</f>
        <v>0</v>
      </c>
      <c r="AB291" s="99" t="n">
        <f aca="false">SUM('Loan CF'!D3908:M3908)-AA291</f>
        <v>0</v>
      </c>
      <c r="AC291" s="106" t="str">
        <f aca="false">IFERROR(IRR('Loan CF'!C3908:M3908),"-")</f>
        <v>-</v>
      </c>
      <c r="AD291" s="107" t="str">
        <f aca="false">IFERROR(SUM('Loan CF'!D3908:M3908)/AA291,"-")</f>
        <v>-</v>
      </c>
    </row>
    <row r="292" customFormat="false" ht="15" hidden="false" customHeight="false" outlineLevel="0" collapsed="false">
      <c r="B292" s="108" t="str">
        <f aca="false">IF('Loan Tape'!$A269="","",'Loan Tape'!$A269)</f>
        <v/>
      </c>
      <c r="C292" s="108" t="str">
        <f aca="false">IF('Loan Tape'!$A269="","",'Loan Tape'!$B269)</f>
        <v/>
      </c>
      <c r="D292" s="108" t="str">
        <f aca="false">IF('Loan Tape'!$A269="","",'Loan Tape'!$C269)</f>
        <v/>
      </c>
      <c r="E292" s="108" t="str">
        <f aca="false">IF('Loan Tape'!$A269="","",'Loan Tape'!$D269)</f>
        <v/>
      </c>
      <c r="F292" s="108" t="str">
        <f aca="false">IF('Loan Tape'!$A269="","",'Loan Tape'!$E269)</f>
        <v/>
      </c>
      <c r="G292" s="26" t="n">
        <f aca="false">'Loan Tape'!$AN269</f>
        <v>0</v>
      </c>
      <c r="H292" s="71" t="n">
        <f aca="false">'Loan Tape'!$R269*'Loan Tape'!$AN269</f>
        <v>0</v>
      </c>
      <c r="I292" s="56" t="n">
        <f aca="false">'Loan Tape'!$AO269</f>
        <v>0</v>
      </c>
      <c r="J292" s="71" t="n">
        <f aca="false">'Loan Tape'!$AY269</f>
        <v>0</v>
      </c>
      <c r="K292" s="71" t="n">
        <f aca="false">'Loan Tape'!$BB269</f>
        <v>0</v>
      </c>
      <c r="L292" s="56" t="n">
        <f aca="false">'Loan CF'!C576</f>
        <v>0</v>
      </c>
      <c r="M292" s="70" t="n">
        <f aca="false">'Loan Tape'!$AS269*'Loan Tape'!$AN269</f>
        <v>0</v>
      </c>
      <c r="N292" s="70" t="n">
        <f aca="false">IFERROR(SUMPRODUCT(('Loan CF'!$C$916:$L$916-0.5)*('Loan CF'!C1182:L1182+'Loan CF'!C1485:L1485+'Loan CF'!C1788:L1788))/(SUM('Loan CF'!C1182:L1182)+SUM('Loan CF'!C1485:L1485)+SUM('Loan CF'!C1788:L1788)),0)</f>
        <v>0</v>
      </c>
      <c r="O292" s="71" t="n">
        <f aca="false">SUM('Loan CF'!C2091:L2091)</f>
        <v>0</v>
      </c>
      <c r="P292" s="71" t="n">
        <f aca="false">SUM('Loan CF'!C1182:L1182)+SUM('Loan CF'!C1485:L1485)+SUM('Loan CF'!C1788:L1788)</f>
        <v>0</v>
      </c>
      <c r="Q292" s="71" t="n">
        <f aca="false">SUM('Loan CF'!C2394:L2394)</f>
        <v>0</v>
      </c>
      <c r="R292" s="71" t="n">
        <f aca="false">SUM('Loan CF'!C1485:L1485)*Prepay_Pen</f>
        <v>0</v>
      </c>
      <c r="S292" s="71" t="n">
        <f aca="false">'Loan CF'!$C2697</f>
        <v>0</v>
      </c>
      <c r="T292" s="71" t="n">
        <f aca="false">SUM(O292:S292)</f>
        <v>0</v>
      </c>
      <c r="U292" s="71" t="n">
        <f aca="false">SUM('Loan CF'!C879:L879)</f>
        <v>0</v>
      </c>
      <c r="V292" s="71" t="n">
        <f aca="false">U292*Sev</f>
        <v>0</v>
      </c>
      <c r="W292" s="71" t="n">
        <f aca="false">T292-K292</f>
        <v>0</v>
      </c>
      <c r="X292" s="109" t="str">
        <f aca="false">IFERROR(IRR('Loan CF'!C3000:M3000),"-")</f>
        <v>-</v>
      </c>
      <c r="Y292" s="110" t="str">
        <f aca="false">IFERROR(T292/K292,"-")</f>
        <v>-</v>
      </c>
      <c r="Z292" s="71" t="n">
        <f aca="false">'Loan Tape'!$BC269</f>
        <v>0</v>
      </c>
      <c r="AA292" s="71" t="n">
        <f aca="false">'Loan Tape'!$BE269</f>
        <v>0</v>
      </c>
      <c r="AB292" s="71" t="n">
        <f aca="false">SUM('Loan CF'!D3909:M3909)-AA292</f>
        <v>0</v>
      </c>
      <c r="AC292" s="109" t="str">
        <f aca="false">IFERROR(IRR('Loan CF'!C3909:M3909),"-")</f>
        <v>-</v>
      </c>
      <c r="AD292" s="110" t="str">
        <f aca="false">IFERROR(SUM('Loan CF'!D3909:M3909)/AA292,"-")</f>
        <v>-</v>
      </c>
    </row>
    <row r="293" customFormat="false" ht="15" hidden="false" customHeight="false" outlineLevel="0" collapsed="false">
      <c r="B293" s="102" t="str">
        <f aca="false">IF('Loan Tape'!$A270="","",'Loan Tape'!$A270)</f>
        <v/>
      </c>
      <c r="C293" s="102" t="str">
        <f aca="false">IF('Loan Tape'!$A270="","",'Loan Tape'!$B270)</f>
        <v/>
      </c>
      <c r="D293" s="102" t="str">
        <f aca="false">IF('Loan Tape'!$A270="","",'Loan Tape'!$C270)</f>
        <v/>
      </c>
      <c r="E293" s="102" t="str">
        <f aca="false">IF('Loan Tape'!$A270="","",'Loan Tape'!$D270)</f>
        <v/>
      </c>
      <c r="F293" s="102" t="str">
        <f aca="false">IF('Loan Tape'!$A270="","",'Loan Tape'!$E270)</f>
        <v/>
      </c>
      <c r="G293" s="103" t="n">
        <f aca="false">'Loan Tape'!$AN270</f>
        <v>0</v>
      </c>
      <c r="H293" s="99" t="n">
        <f aca="false">'Loan Tape'!$R270*'Loan Tape'!$AN270</f>
        <v>0</v>
      </c>
      <c r="I293" s="104" t="n">
        <f aca="false">'Loan Tape'!$AO270</f>
        <v>0</v>
      </c>
      <c r="J293" s="99" t="n">
        <f aca="false">'Loan Tape'!$AY270</f>
        <v>0</v>
      </c>
      <c r="K293" s="99" t="n">
        <f aca="false">'Loan Tape'!$BB270</f>
        <v>0</v>
      </c>
      <c r="L293" s="104" t="n">
        <f aca="false">'Loan CF'!C577</f>
        <v>0</v>
      </c>
      <c r="M293" s="105" t="n">
        <f aca="false">'Loan Tape'!$AS270*'Loan Tape'!$AN270</f>
        <v>0</v>
      </c>
      <c r="N293" s="105" t="n">
        <f aca="false">IFERROR(SUMPRODUCT(('Loan CF'!$C$916:$L$916-0.5)*('Loan CF'!C1183:L1183+'Loan CF'!C1486:L1486+'Loan CF'!C1789:L1789))/(SUM('Loan CF'!C1183:L1183)+SUM('Loan CF'!C1486:L1486)+SUM('Loan CF'!C1789:L1789)),0)</f>
        <v>0</v>
      </c>
      <c r="O293" s="99" t="n">
        <f aca="false">SUM('Loan CF'!C2092:L2092)</f>
        <v>0</v>
      </c>
      <c r="P293" s="99" t="n">
        <f aca="false">SUM('Loan CF'!C1183:L1183)+SUM('Loan CF'!C1486:L1486)+SUM('Loan CF'!C1789:L1789)</f>
        <v>0</v>
      </c>
      <c r="Q293" s="99" t="n">
        <f aca="false">SUM('Loan CF'!C2395:L2395)</f>
        <v>0</v>
      </c>
      <c r="R293" s="99" t="n">
        <f aca="false">SUM('Loan CF'!C1486:L1486)*Prepay_Pen</f>
        <v>0</v>
      </c>
      <c r="S293" s="99" t="n">
        <f aca="false">'Loan CF'!$C2698</f>
        <v>0</v>
      </c>
      <c r="T293" s="99" t="n">
        <f aca="false">SUM(O293:S293)</f>
        <v>0</v>
      </c>
      <c r="U293" s="99" t="n">
        <f aca="false">SUM('Loan CF'!C880:L880)</f>
        <v>0</v>
      </c>
      <c r="V293" s="99" t="n">
        <f aca="false">U293*Sev</f>
        <v>0</v>
      </c>
      <c r="W293" s="99" t="n">
        <f aca="false">T293-K293</f>
        <v>0</v>
      </c>
      <c r="X293" s="106" t="str">
        <f aca="false">IFERROR(IRR('Loan CF'!C3001:M3001),"-")</f>
        <v>-</v>
      </c>
      <c r="Y293" s="107" t="str">
        <f aca="false">IFERROR(T293/K293,"-")</f>
        <v>-</v>
      </c>
      <c r="Z293" s="99" t="n">
        <f aca="false">'Loan Tape'!$BC270</f>
        <v>0</v>
      </c>
      <c r="AA293" s="99" t="n">
        <f aca="false">'Loan Tape'!$BE270</f>
        <v>0</v>
      </c>
      <c r="AB293" s="99" t="n">
        <f aca="false">SUM('Loan CF'!D3910:M3910)-AA293</f>
        <v>0</v>
      </c>
      <c r="AC293" s="106" t="str">
        <f aca="false">IFERROR(IRR('Loan CF'!C3910:M3910),"-")</f>
        <v>-</v>
      </c>
      <c r="AD293" s="107" t="str">
        <f aca="false">IFERROR(SUM('Loan CF'!D3910:M3910)/AA293,"-")</f>
        <v>-</v>
      </c>
    </row>
    <row r="294" customFormat="false" ht="15" hidden="false" customHeight="false" outlineLevel="0" collapsed="false">
      <c r="B294" s="108" t="str">
        <f aca="false">IF('Loan Tape'!$A271="","",'Loan Tape'!$A271)</f>
        <v/>
      </c>
      <c r="C294" s="108" t="str">
        <f aca="false">IF('Loan Tape'!$A271="","",'Loan Tape'!$B271)</f>
        <v/>
      </c>
      <c r="D294" s="108" t="str">
        <f aca="false">IF('Loan Tape'!$A271="","",'Loan Tape'!$C271)</f>
        <v/>
      </c>
      <c r="E294" s="108" t="str">
        <f aca="false">IF('Loan Tape'!$A271="","",'Loan Tape'!$D271)</f>
        <v/>
      </c>
      <c r="F294" s="108" t="str">
        <f aca="false">IF('Loan Tape'!$A271="","",'Loan Tape'!$E271)</f>
        <v/>
      </c>
      <c r="G294" s="26" t="n">
        <f aca="false">'Loan Tape'!$AN271</f>
        <v>0</v>
      </c>
      <c r="H294" s="71" t="n">
        <f aca="false">'Loan Tape'!$R271*'Loan Tape'!$AN271</f>
        <v>0</v>
      </c>
      <c r="I294" s="56" t="n">
        <f aca="false">'Loan Tape'!$AO271</f>
        <v>0</v>
      </c>
      <c r="J294" s="71" t="n">
        <f aca="false">'Loan Tape'!$AY271</f>
        <v>0</v>
      </c>
      <c r="K294" s="71" t="n">
        <f aca="false">'Loan Tape'!$BB271</f>
        <v>0</v>
      </c>
      <c r="L294" s="56" t="n">
        <f aca="false">'Loan CF'!C578</f>
        <v>0</v>
      </c>
      <c r="M294" s="70" t="n">
        <f aca="false">'Loan Tape'!$AS271*'Loan Tape'!$AN271</f>
        <v>0</v>
      </c>
      <c r="N294" s="70" t="n">
        <f aca="false">IFERROR(SUMPRODUCT(('Loan CF'!$C$916:$L$916-0.5)*('Loan CF'!C1184:L1184+'Loan CF'!C1487:L1487+'Loan CF'!C1790:L1790))/(SUM('Loan CF'!C1184:L1184)+SUM('Loan CF'!C1487:L1487)+SUM('Loan CF'!C1790:L1790)),0)</f>
        <v>0</v>
      </c>
      <c r="O294" s="71" t="n">
        <f aca="false">SUM('Loan CF'!C2093:L2093)</f>
        <v>0</v>
      </c>
      <c r="P294" s="71" t="n">
        <f aca="false">SUM('Loan CF'!C1184:L1184)+SUM('Loan CF'!C1487:L1487)+SUM('Loan CF'!C1790:L1790)</f>
        <v>0</v>
      </c>
      <c r="Q294" s="71" t="n">
        <f aca="false">SUM('Loan CF'!C2396:L2396)</f>
        <v>0</v>
      </c>
      <c r="R294" s="71" t="n">
        <f aca="false">SUM('Loan CF'!C1487:L1487)*Prepay_Pen</f>
        <v>0</v>
      </c>
      <c r="S294" s="71" t="n">
        <f aca="false">'Loan CF'!$C2699</f>
        <v>0</v>
      </c>
      <c r="T294" s="71" t="n">
        <f aca="false">SUM(O294:S294)</f>
        <v>0</v>
      </c>
      <c r="U294" s="71" t="n">
        <f aca="false">SUM('Loan CF'!C881:L881)</f>
        <v>0</v>
      </c>
      <c r="V294" s="71" t="n">
        <f aca="false">U294*Sev</f>
        <v>0</v>
      </c>
      <c r="W294" s="71" t="n">
        <f aca="false">T294-K294</f>
        <v>0</v>
      </c>
      <c r="X294" s="109" t="str">
        <f aca="false">IFERROR(IRR('Loan CF'!C3002:M3002),"-")</f>
        <v>-</v>
      </c>
      <c r="Y294" s="110" t="str">
        <f aca="false">IFERROR(T294/K294,"-")</f>
        <v>-</v>
      </c>
      <c r="Z294" s="71" t="n">
        <f aca="false">'Loan Tape'!$BC271</f>
        <v>0</v>
      </c>
      <c r="AA294" s="71" t="n">
        <f aca="false">'Loan Tape'!$BE271</f>
        <v>0</v>
      </c>
      <c r="AB294" s="71" t="n">
        <f aca="false">SUM('Loan CF'!D3911:M3911)-AA294</f>
        <v>0</v>
      </c>
      <c r="AC294" s="109" t="str">
        <f aca="false">IFERROR(IRR('Loan CF'!C3911:M3911),"-")</f>
        <v>-</v>
      </c>
      <c r="AD294" s="110" t="str">
        <f aca="false">IFERROR(SUM('Loan CF'!D3911:M3911)/AA294,"-")</f>
        <v>-</v>
      </c>
    </row>
    <row r="295" customFormat="false" ht="15" hidden="false" customHeight="false" outlineLevel="0" collapsed="false">
      <c r="B295" s="102" t="str">
        <f aca="false">IF('Loan Tape'!$A272="","",'Loan Tape'!$A272)</f>
        <v/>
      </c>
      <c r="C295" s="102" t="str">
        <f aca="false">IF('Loan Tape'!$A272="","",'Loan Tape'!$B272)</f>
        <v/>
      </c>
      <c r="D295" s="102" t="str">
        <f aca="false">IF('Loan Tape'!$A272="","",'Loan Tape'!$C272)</f>
        <v/>
      </c>
      <c r="E295" s="102" t="str">
        <f aca="false">IF('Loan Tape'!$A272="","",'Loan Tape'!$D272)</f>
        <v/>
      </c>
      <c r="F295" s="102" t="str">
        <f aca="false">IF('Loan Tape'!$A272="","",'Loan Tape'!$E272)</f>
        <v/>
      </c>
      <c r="G295" s="103" t="n">
        <f aca="false">'Loan Tape'!$AN272</f>
        <v>0</v>
      </c>
      <c r="H295" s="99" t="n">
        <f aca="false">'Loan Tape'!$R272*'Loan Tape'!$AN272</f>
        <v>0</v>
      </c>
      <c r="I295" s="104" t="n">
        <f aca="false">'Loan Tape'!$AO272</f>
        <v>0</v>
      </c>
      <c r="J295" s="99" t="n">
        <f aca="false">'Loan Tape'!$AY272</f>
        <v>0</v>
      </c>
      <c r="K295" s="99" t="n">
        <f aca="false">'Loan Tape'!$BB272</f>
        <v>0</v>
      </c>
      <c r="L295" s="104" t="n">
        <f aca="false">'Loan CF'!C579</f>
        <v>0</v>
      </c>
      <c r="M295" s="105" t="n">
        <f aca="false">'Loan Tape'!$AS272*'Loan Tape'!$AN272</f>
        <v>0</v>
      </c>
      <c r="N295" s="105" t="n">
        <f aca="false">IFERROR(SUMPRODUCT(('Loan CF'!$C$916:$L$916-0.5)*('Loan CF'!C1185:L1185+'Loan CF'!C1488:L1488+'Loan CF'!C1791:L1791))/(SUM('Loan CF'!C1185:L1185)+SUM('Loan CF'!C1488:L1488)+SUM('Loan CF'!C1791:L1791)),0)</f>
        <v>0</v>
      </c>
      <c r="O295" s="99" t="n">
        <f aca="false">SUM('Loan CF'!C2094:L2094)</f>
        <v>0</v>
      </c>
      <c r="P295" s="99" t="n">
        <f aca="false">SUM('Loan CF'!C1185:L1185)+SUM('Loan CF'!C1488:L1488)+SUM('Loan CF'!C1791:L1791)</f>
        <v>0</v>
      </c>
      <c r="Q295" s="99" t="n">
        <f aca="false">SUM('Loan CF'!C2397:L2397)</f>
        <v>0</v>
      </c>
      <c r="R295" s="99" t="n">
        <f aca="false">SUM('Loan CF'!C1488:L1488)*Prepay_Pen</f>
        <v>0</v>
      </c>
      <c r="S295" s="99" t="n">
        <f aca="false">'Loan CF'!$C2700</f>
        <v>0</v>
      </c>
      <c r="T295" s="99" t="n">
        <f aca="false">SUM(O295:S295)</f>
        <v>0</v>
      </c>
      <c r="U295" s="99" t="n">
        <f aca="false">SUM('Loan CF'!C882:L882)</f>
        <v>0</v>
      </c>
      <c r="V295" s="99" t="n">
        <f aca="false">U295*Sev</f>
        <v>0</v>
      </c>
      <c r="W295" s="99" t="n">
        <f aca="false">T295-K295</f>
        <v>0</v>
      </c>
      <c r="X295" s="106" t="str">
        <f aca="false">IFERROR(IRR('Loan CF'!C3003:M3003),"-")</f>
        <v>-</v>
      </c>
      <c r="Y295" s="107" t="str">
        <f aca="false">IFERROR(T295/K295,"-")</f>
        <v>-</v>
      </c>
      <c r="Z295" s="99" t="n">
        <f aca="false">'Loan Tape'!$BC272</f>
        <v>0</v>
      </c>
      <c r="AA295" s="99" t="n">
        <f aca="false">'Loan Tape'!$BE272</f>
        <v>0</v>
      </c>
      <c r="AB295" s="99" t="n">
        <f aca="false">SUM('Loan CF'!D3912:M3912)-AA295</f>
        <v>0</v>
      </c>
      <c r="AC295" s="106" t="str">
        <f aca="false">IFERROR(IRR('Loan CF'!C3912:M3912),"-")</f>
        <v>-</v>
      </c>
      <c r="AD295" s="107" t="str">
        <f aca="false">IFERROR(SUM('Loan CF'!D3912:M3912)/AA295,"-")</f>
        <v>-</v>
      </c>
    </row>
    <row r="296" customFormat="false" ht="15" hidden="false" customHeight="false" outlineLevel="0" collapsed="false">
      <c r="B296" s="108" t="str">
        <f aca="false">IF('Loan Tape'!$A273="","",'Loan Tape'!$A273)</f>
        <v/>
      </c>
      <c r="C296" s="108" t="str">
        <f aca="false">IF('Loan Tape'!$A273="","",'Loan Tape'!$B273)</f>
        <v/>
      </c>
      <c r="D296" s="108" t="str">
        <f aca="false">IF('Loan Tape'!$A273="","",'Loan Tape'!$C273)</f>
        <v/>
      </c>
      <c r="E296" s="108" t="str">
        <f aca="false">IF('Loan Tape'!$A273="","",'Loan Tape'!$D273)</f>
        <v/>
      </c>
      <c r="F296" s="108" t="str">
        <f aca="false">IF('Loan Tape'!$A273="","",'Loan Tape'!$E273)</f>
        <v/>
      </c>
      <c r="G296" s="26" t="n">
        <f aca="false">'Loan Tape'!$AN273</f>
        <v>0</v>
      </c>
      <c r="H296" s="71" t="n">
        <f aca="false">'Loan Tape'!$R273*'Loan Tape'!$AN273</f>
        <v>0</v>
      </c>
      <c r="I296" s="56" t="n">
        <f aca="false">'Loan Tape'!$AO273</f>
        <v>0</v>
      </c>
      <c r="J296" s="71" t="n">
        <f aca="false">'Loan Tape'!$AY273</f>
        <v>0</v>
      </c>
      <c r="K296" s="71" t="n">
        <f aca="false">'Loan Tape'!$BB273</f>
        <v>0</v>
      </c>
      <c r="L296" s="56" t="n">
        <f aca="false">'Loan CF'!C580</f>
        <v>0</v>
      </c>
      <c r="M296" s="70" t="n">
        <f aca="false">'Loan Tape'!$AS273*'Loan Tape'!$AN273</f>
        <v>0</v>
      </c>
      <c r="N296" s="70" t="n">
        <f aca="false">IFERROR(SUMPRODUCT(('Loan CF'!$C$916:$L$916-0.5)*('Loan CF'!C1186:L1186+'Loan CF'!C1489:L1489+'Loan CF'!C1792:L1792))/(SUM('Loan CF'!C1186:L1186)+SUM('Loan CF'!C1489:L1489)+SUM('Loan CF'!C1792:L1792)),0)</f>
        <v>0</v>
      </c>
      <c r="O296" s="71" t="n">
        <f aca="false">SUM('Loan CF'!C2095:L2095)</f>
        <v>0</v>
      </c>
      <c r="P296" s="71" t="n">
        <f aca="false">SUM('Loan CF'!C1186:L1186)+SUM('Loan CF'!C1489:L1489)+SUM('Loan CF'!C1792:L1792)</f>
        <v>0</v>
      </c>
      <c r="Q296" s="71" t="n">
        <f aca="false">SUM('Loan CF'!C2398:L2398)</f>
        <v>0</v>
      </c>
      <c r="R296" s="71" t="n">
        <f aca="false">SUM('Loan CF'!C1489:L1489)*Prepay_Pen</f>
        <v>0</v>
      </c>
      <c r="S296" s="71" t="n">
        <f aca="false">'Loan CF'!$C2701</f>
        <v>0</v>
      </c>
      <c r="T296" s="71" t="n">
        <f aca="false">SUM(O296:S296)</f>
        <v>0</v>
      </c>
      <c r="U296" s="71" t="n">
        <f aca="false">SUM('Loan CF'!C883:L883)</f>
        <v>0</v>
      </c>
      <c r="V296" s="71" t="n">
        <f aca="false">U296*Sev</f>
        <v>0</v>
      </c>
      <c r="W296" s="71" t="n">
        <f aca="false">T296-K296</f>
        <v>0</v>
      </c>
      <c r="X296" s="109" t="str">
        <f aca="false">IFERROR(IRR('Loan CF'!C3004:M3004),"-")</f>
        <v>-</v>
      </c>
      <c r="Y296" s="110" t="str">
        <f aca="false">IFERROR(T296/K296,"-")</f>
        <v>-</v>
      </c>
      <c r="Z296" s="71" t="n">
        <f aca="false">'Loan Tape'!$BC273</f>
        <v>0</v>
      </c>
      <c r="AA296" s="71" t="n">
        <f aca="false">'Loan Tape'!$BE273</f>
        <v>0</v>
      </c>
      <c r="AB296" s="71" t="n">
        <f aca="false">SUM('Loan CF'!D3913:M3913)-AA296</f>
        <v>0</v>
      </c>
      <c r="AC296" s="109" t="str">
        <f aca="false">IFERROR(IRR('Loan CF'!C3913:M3913),"-")</f>
        <v>-</v>
      </c>
      <c r="AD296" s="110" t="str">
        <f aca="false">IFERROR(SUM('Loan CF'!D3913:M3913)/AA296,"-")</f>
        <v>-</v>
      </c>
    </row>
    <row r="297" customFormat="false" ht="15" hidden="false" customHeight="false" outlineLevel="0" collapsed="false">
      <c r="B297" s="102" t="str">
        <f aca="false">IF('Loan Tape'!$A274="","",'Loan Tape'!$A274)</f>
        <v/>
      </c>
      <c r="C297" s="102" t="str">
        <f aca="false">IF('Loan Tape'!$A274="","",'Loan Tape'!$B274)</f>
        <v/>
      </c>
      <c r="D297" s="102" t="str">
        <f aca="false">IF('Loan Tape'!$A274="","",'Loan Tape'!$C274)</f>
        <v/>
      </c>
      <c r="E297" s="102" t="str">
        <f aca="false">IF('Loan Tape'!$A274="","",'Loan Tape'!$D274)</f>
        <v/>
      </c>
      <c r="F297" s="102" t="str">
        <f aca="false">IF('Loan Tape'!$A274="","",'Loan Tape'!$E274)</f>
        <v/>
      </c>
      <c r="G297" s="103" t="n">
        <f aca="false">'Loan Tape'!$AN274</f>
        <v>0</v>
      </c>
      <c r="H297" s="99" t="n">
        <f aca="false">'Loan Tape'!$R274*'Loan Tape'!$AN274</f>
        <v>0</v>
      </c>
      <c r="I297" s="104" t="n">
        <f aca="false">'Loan Tape'!$AO274</f>
        <v>0</v>
      </c>
      <c r="J297" s="99" t="n">
        <f aca="false">'Loan Tape'!$AY274</f>
        <v>0</v>
      </c>
      <c r="K297" s="99" t="n">
        <f aca="false">'Loan Tape'!$BB274</f>
        <v>0</v>
      </c>
      <c r="L297" s="104" t="n">
        <f aca="false">'Loan CF'!C581</f>
        <v>0</v>
      </c>
      <c r="M297" s="105" t="n">
        <f aca="false">'Loan Tape'!$AS274*'Loan Tape'!$AN274</f>
        <v>0</v>
      </c>
      <c r="N297" s="105" t="n">
        <f aca="false">IFERROR(SUMPRODUCT(('Loan CF'!$C$916:$L$916-0.5)*('Loan CF'!C1187:L1187+'Loan CF'!C1490:L1490+'Loan CF'!C1793:L1793))/(SUM('Loan CF'!C1187:L1187)+SUM('Loan CF'!C1490:L1490)+SUM('Loan CF'!C1793:L1793)),0)</f>
        <v>0</v>
      </c>
      <c r="O297" s="99" t="n">
        <f aca="false">SUM('Loan CF'!C2096:L2096)</f>
        <v>0</v>
      </c>
      <c r="P297" s="99" t="n">
        <f aca="false">SUM('Loan CF'!C1187:L1187)+SUM('Loan CF'!C1490:L1490)+SUM('Loan CF'!C1793:L1793)</f>
        <v>0</v>
      </c>
      <c r="Q297" s="99" t="n">
        <f aca="false">SUM('Loan CF'!C2399:L2399)</f>
        <v>0</v>
      </c>
      <c r="R297" s="99" t="n">
        <f aca="false">SUM('Loan CF'!C1490:L1490)*Prepay_Pen</f>
        <v>0</v>
      </c>
      <c r="S297" s="99" t="n">
        <f aca="false">'Loan CF'!$C2702</f>
        <v>0</v>
      </c>
      <c r="T297" s="99" t="n">
        <f aca="false">SUM(O297:S297)</f>
        <v>0</v>
      </c>
      <c r="U297" s="99" t="n">
        <f aca="false">SUM('Loan CF'!C884:L884)</f>
        <v>0</v>
      </c>
      <c r="V297" s="99" t="n">
        <f aca="false">U297*Sev</f>
        <v>0</v>
      </c>
      <c r="W297" s="99" t="n">
        <f aca="false">T297-K297</f>
        <v>0</v>
      </c>
      <c r="X297" s="106" t="str">
        <f aca="false">IFERROR(IRR('Loan CF'!C3005:M3005),"-")</f>
        <v>-</v>
      </c>
      <c r="Y297" s="107" t="str">
        <f aca="false">IFERROR(T297/K297,"-")</f>
        <v>-</v>
      </c>
      <c r="Z297" s="99" t="n">
        <f aca="false">'Loan Tape'!$BC274</f>
        <v>0</v>
      </c>
      <c r="AA297" s="99" t="n">
        <f aca="false">'Loan Tape'!$BE274</f>
        <v>0</v>
      </c>
      <c r="AB297" s="99" t="n">
        <f aca="false">SUM('Loan CF'!D3914:M3914)-AA297</f>
        <v>0</v>
      </c>
      <c r="AC297" s="106" t="str">
        <f aca="false">IFERROR(IRR('Loan CF'!C3914:M3914),"-")</f>
        <v>-</v>
      </c>
      <c r="AD297" s="107" t="str">
        <f aca="false">IFERROR(SUM('Loan CF'!D3914:M3914)/AA297,"-")</f>
        <v>-</v>
      </c>
    </row>
    <row r="298" customFormat="false" ht="15" hidden="false" customHeight="false" outlineLevel="0" collapsed="false">
      <c r="B298" s="108" t="str">
        <f aca="false">IF('Loan Tape'!$A275="","",'Loan Tape'!$A275)</f>
        <v/>
      </c>
      <c r="C298" s="108" t="str">
        <f aca="false">IF('Loan Tape'!$A275="","",'Loan Tape'!$B275)</f>
        <v/>
      </c>
      <c r="D298" s="108" t="str">
        <f aca="false">IF('Loan Tape'!$A275="","",'Loan Tape'!$C275)</f>
        <v/>
      </c>
      <c r="E298" s="108" t="str">
        <f aca="false">IF('Loan Tape'!$A275="","",'Loan Tape'!$D275)</f>
        <v/>
      </c>
      <c r="F298" s="108" t="str">
        <f aca="false">IF('Loan Tape'!$A275="","",'Loan Tape'!$E275)</f>
        <v/>
      </c>
      <c r="G298" s="26" t="n">
        <f aca="false">'Loan Tape'!$AN275</f>
        <v>0</v>
      </c>
      <c r="H298" s="71" t="n">
        <f aca="false">'Loan Tape'!$R275*'Loan Tape'!$AN275</f>
        <v>0</v>
      </c>
      <c r="I298" s="56" t="n">
        <f aca="false">'Loan Tape'!$AO275</f>
        <v>0</v>
      </c>
      <c r="J298" s="71" t="n">
        <f aca="false">'Loan Tape'!$AY275</f>
        <v>0</v>
      </c>
      <c r="K298" s="71" t="n">
        <f aca="false">'Loan Tape'!$BB275</f>
        <v>0</v>
      </c>
      <c r="L298" s="56" t="n">
        <f aca="false">'Loan CF'!C582</f>
        <v>0</v>
      </c>
      <c r="M298" s="70" t="n">
        <f aca="false">'Loan Tape'!$AS275*'Loan Tape'!$AN275</f>
        <v>0</v>
      </c>
      <c r="N298" s="70" t="n">
        <f aca="false">IFERROR(SUMPRODUCT(('Loan CF'!$C$916:$L$916-0.5)*('Loan CF'!C1188:L1188+'Loan CF'!C1491:L1491+'Loan CF'!C1794:L1794))/(SUM('Loan CF'!C1188:L1188)+SUM('Loan CF'!C1491:L1491)+SUM('Loan CF'!C1794:L1794)),0)</f>
        <v>0</v>
      </c>
      <c r="O298" s="71" t="n">
        <f aca="false">SUM('Loan CF'!C2097:L2097)</f>
        <v>0</v>
      </c>
      <c r="P298" s="71" t="n">
        <f aca="false">SUM('Loan CF'!C1188:L1188)+SUM('Loan CF'!C1491:L1491)+SUM('Loan CF'!C1794:L1794)</f>
        <v>0</v>
      </c>
      <c r="Q298" s="71" t="n">
        <f aca="false">SUM('Loan CF'!C2400:L2400)</f>
        <v>0</v>
      </c>
      <c r="R298" s="71" t="n">
        <f aca="false">SUM('Loan CF'!C1491:L1491)*Prepay_Pen</f>
        <v>0</v>
      </c>
      <c r="S298" s="71" t="n">
        <f aca="false">'Loan CF'!$C2703</f>
        <v>0</v>
      </c>
      <c r="T298" s="71" t="n">
        <f aca="false">SUM(O298:S298)</f>
        <v>0</v>
      </c>
      <c r="U298" s="71" t="n">
        <f aca="false">SUM('Loan CF'!C885:L885)</f>
        <v>0</v>
      </c>
      <c r="V298" s="71" t="n">
        <f aca="false">U298*Sev</f>
        <v>0</v>
      </c>
      <c r="W298" s="71" t="n">
        <f aca="false">T298-K298</f>
        <v>0</v>
      </c>
      <c r="X298" s="109" t="str">
        <f aca="false">IFERROR(IRR('Loan CF'!C3006:M3006),"-")</f>
        <v>-</v>
      </c>
      <c r="Y298" s="110" t="str">
        <f aca="false">IFERROR(T298/K298,"-")</f>
        <v>-</v>
      </c>
      <c r="Z298" s="71" t="n">
        <f aca="false">'Loan Tape'!$BC275</f>
        <v>0</v>
      </c>
      <c r="AA298" s="71" t="n">
        <f aca="false">'Loan Tape'!$BE275</f>
        <v>0</v>
      </c>
      <c r="AB298" s="71" t="n">
        <f aca="false">SUM('Loan CF'!D3915:M3915)-AA298</f>
        <v>0</v>
      </c>
      <c r="AC298" s="109" t="str">
        <f aca="false">IFERROR(IRR('Loan CF'!C3915:M3915),"-")</f>
        <v>-</v>
      </c>
      <c r="AD298" s="110" t="str">
        <f aca="false">IFERROR(SUM('Loan CF'!D3915:M3915)/AA298,"-")</f>
        <v>-</v>
      </c>
    </row>
    <row r="299" customFormat="false" ht="15" hidden="false" customHeight="false" outlineLevel="0" collapsed="false">
      <c r="B299" s="102" t="str">
        <f aca="false">IF('Loan Tape'!$A276="","",'Loan Tape'!$A276)</f>
        <v/>
      </c>
      <c r="C299" s="102" t="str">
        <f aca="false">IF('Loan Tape'!$A276="","",'Loan Tape'!$B276)</f>
        <v/>
      </c>
      <c r="D299" s="102" t="str">
        <f aca="false">IF('Loan Tape'!$A276="","",'Loan Tape'!$C276)</f>
        <v/>
      </c>
      <c r="E299" s="102" t="str">
        <f aca="false">IF('Loan Tape'!$A276="","",'Loan Tape'!$D276)</f>
        <v/>
      </c>
      <c r="F299" s="102" t="str">
        <f aca="false">IF('Loan Tape'!$A276="","",'Loan Tape'!$E276)</f>
        <v/>
      </c>
      <c r="G299" s="103" t="n">
        <f aca="false">'Loan Tape'!$AN276</f>
        <v>0</v>
      </c>
      <c r="H299" s="99" t="n">
        <f aca="false">'Loan Tape'!$R276*'Loan Tape'!$AN276</f>
        <v>0</v>
      </c>
      <c r="I299" s="104" t="n">
        <f aca="false">'Loan Tape'!$AO276</f>
        <v>0</v>
      </c>
      <c r="J299" s="99" t="n">
        <f aca="false">'Loan Tape'!$AY276</f>
        <v>0</v>
      </c>
      <c r="K299" s="99" t="n">
        <f aca="false">'Loan Tape'!$BB276</f>
        <v>0</v>
      </c>
      <c r="L299" s="104" t="n">
        <f aca="false">'Loan CF'!C583</f>
        <v>0</v>
      </c>
      <c r="M299" s="105" t="n">
        <f aca="false">'Loan Tape'!$AS276*'Loan Tape'!$AN276</f>
        <v>0</v>
      </c>
      <c r="N299" s="105" t="n">
        <f aca="false">IFERROR(SUMPRODUCT(('Loan CF'!$C$916:$L$916-0.5)*('Loan CF'!C1189:L1189+'Loan CF'!C1492:L1492+'Loan CF'!C1795:L1795))/(SUM('Loan CF'!C1189:L1189)+SUM('Loan CF'!C1492:L1492)+SUM('Loan CF'!C1795:L1795)),0)</f>
        <v>0</v>
      </c>
      <c r="O299" s="99" t="n">
        <f aca="false">SUM('Loan CF'!C2098:L2098)</f>
        <v>0</v>
      </c>
      <c r="P299" s="99" t="n">
        <f aca="false">SUM('Loan CF'!C1189:L1189)+SUM('Loan CF'!C1492:L1492)+SUM('Loan CF'!C1795:L1795)</f>
        <v>0</v>
      </c>
      <c r="Q299" s="99" t="n">
        <f aca="false">SUM('Loan CF'!C2401:L2401)</f>
        <v>0</v>
      </c>
      <c r="R299" s="99" t="n">
        <f aca="false">SUM('Loan CF'!C1492:L1492)*Prepay_Pen</f>
        <v>0</v>
      </c>
      <c r="S299" s="99" t="n">
        <f aca="false">'Loan CF'!$C2704</f>
        <v>0</v>
      </c>
      <c r="T299" s="99" t="n">
        <f aca="false">SUM(O299:S299)</f>
        <v>0</v>
      </c>
      <c r="U299" s="99" t="n">
        <f aca="false">SUM('Loan CF'!C886:L886)</f>
        <v>0</v>
      </c>
      <c r="V299" s="99" t="n">
        <f aca="false">U299*Sev</f>
        <v>0</v>
      </c>
      <c r="W299" s="99" t="n">
        <f aca="false">T299-K299</f>
        <v>0</v>
      </c>
      <c r="X299" s="106" t="str">
        <f aca="false">IFERROR(IRR('Loan CF'!C3007:M3007),"-")</f>
        <v>-</v>
      </c>
      <c r="Y299" s="107" t="str">
        <f aca="false">IFERROR(T299/K299,"-")</f>
        <v>-</v>
      </c>
      <c r="Z299" s="99" t="n">
        <f aca="false">'Loan Tape'!$BC276</f>
        <v>0</v>
      </c>
      <c r="AA299" s="99" t="n">
        <f aca="false">'Loan Tape'!$BE276</f>
        <v>0</v>
      </c>
      <c r="AB299" s="99" t="n">
        <f aca="false">SUM('Loan CF'!D3916:M3916)-AA299</f>
        <v>0</v>
      </c>
      <c r="AC299" s="106" t="str">
        <f aca="false">IFERROR(IRR('Loan CF'!C3916:M3916),"-")</f>
        <v>-</v>
      </c>
      <c r="AD299" s="107" t="str">
        <f aca="false">IFERROR(SUM('Loan CF'!D3916:M3916)/AA299,"-")</f>
        <v>-</v>
      </c>
    </row>
    <row r="300" customFormat="false" ht="15" hidden="false" customHeight="false" outlineLevel="0" collapsed="false">
      <c r="B300" s="108" t="str">
        <f aca="false">IF('Loan Tape'!$A277="","",'Loan Tape'!$A277)</f>
        <v/>
      </c>
      <c r="C300" s="108" t="str">
        <f aca="false">IF('Loan Tape'!$A277="","",'Loan Tape'!$B277)</f>
        <v/>
      </c>
      <c r="D300" s="108" t="str">
        <f aca="false">IF('Loan Tape'!$A277="","",'Loan Tape'!$C277)</f>
        <v/>
      </c>
      <c r="E300" s="108" t="str">
        <f aca="false">IF('Loan Tape'!$A277="","",'Loan Tape'!$D277)</f>
        <v/>
      </c>
      <c r="F300" s="108" t="str">
        <f aca="false">IF('Loan Tape'!$A277="","",'Loan Tape'!$E277)</f>
        <v/>
      </c>
      <c r="G300" s="26" t="n">
        <f aca="false">'Loan Tape'!$AN277</f>
        <v>0</v>
      </c>
      <c r="H300" s="71" t="n">
        <f aca="false">'Loan Tape'!$R277*'Loan Tape'!$AN277</f>
        <v>0</v>
      </c>
      <c r="I300" s="56" t="n">
        <f aca="false">'Loan Tape'!$AO277</f>
        <v>0</v>
      </c>
      <c r="J300" s="71" t="n">
        <f aca="false">'Loan Tape'!$AY277</f>
        <v>0</v>
      </c>
      <c r="K300" s="71" t="n">
        <f aca="false">'Loan Tape'!$BB277</f>
        <v>0</v>
      </c>
      <c r="L300" s="56" t="n">
        <f aca="false">'Loan CF'!C584</f>
        <v>0</v>
      </c>
      <c r="M300" s="70" t="n">
        <f aca="false">'Loan Tape'!$AS277*'Loan Tape'!$AN277</f>
        <v>0</v>
      </c>
      <c r="N300" s="70" t="n">
        <f aca="false">IFERROR(SUMPRODUCT(('Loan CF'!$C$916:$L$916-0.5)*('Loan CF'!C1190:L1190+'Loan CF'!C1493:L1493+'Loan CF'!C1796:L1796))/(SUM('Loan CF'!C1190:L1190)+SUM('Loan CF'!C1493:L1493)+SUM('Loan CF'!C1796:L1796)),0)</f>
        <v>0</v>
      </c>
      <c r="O300" s="71" t="n">
        <f aca="false">SUM('Loan CF'!C2099:L2099)</f>
        <v>0</v>
      </c>
      <c r="P300" s="71" t="n">
        <f aca="false">SUM('Loan CF'!C1190:L1190)+SUM('Loan CF'!C1493:L1493)+SUM('Loan CF'!C1796:L1796)</f>
        <v>0</v>
      </c>
      <c r="Q300" s="71" t="n">
        <f aca="false">SUM('Loan CF'!C2402:L2402)</f>
        <v>0</v>
      </c>
      <c r="R300" s="71" t="n">
        <f aca="false">SUM('Loan CF'!C1493:L1493)*Prepay_Pen</f>
        <v>0</v>
      </c>
      <c r="S300" s="71" t="n">
        <f aca="false">'Loan CF'!$C2705</f>
        <v>0</v>
      </c>
      <c r="T300" s="71" t="n">
        <f aca="false">SUM(O300:S300)</f>
        <v>0</v>
      </c>
      <c r="U300" s="71" t="n">
        <f aca="false">SUM('Loan CF'!C887:L887)</f>
        <v>0</v>
      </c>
      <c r="V300" s="71" t="n">
        <f aca="false">U300*Sev</f>
        <v>0</v>
      </c>
      <c r="W300" s="71" t="n">
        <f aca="false">T300-K300</f>
        <v>0</v>
      </c>
      <c r="X300" s="109" t="str">
        <f aca="false">IFERROR(IRR('Loan CF'!C3008:M3008),"-")</f>
        <v>-</v>
      </c>
      <c r="Y300" s="110" t="str">
        <f aca="false">IFERROR(T300/K300,"-")</f>
        <v>-</v>
      </c>
      <c r="Z300" s="71" t="n">
        <f aca="false">'Loan Tape'!$BC277</f>
        <v>0</v>
      </c>
      <c r="AA300" s="71" t="n">
        <f aca="false">'Loan Tape'!$BE277</f>
        <v>0</v>
      </c>
      <c r="AB300" s="71" t="n">
        <f aca="false">SUM('Loan CF'!D3917:M3917)-AA300</f>
        <v>0</v>
      </c>
      <c r="AC300" s="109" t="str">
        <f aca="false">IFERROR(IRR('Loan CF'!C3917:M3917),"-")</f>
        <v>-</v>
      </c>
      <c r="AD300" s="110" t="str">
        <f aca="false">IFERROR(SUM('Loan CF'!D3917:M3917)/AA300,"-")</f>
        <v>-</v>
      </c>
    </row>
    <row r="301" customFormat="false" ht="15" hidden="false" customHeight="false" outlineLevel="0" collapsed="false">
      <c r="B301" s="102" t="str">
        <f aca="false">IF('Loan Tape'!$A278="","",'Loan Tape'!$A278)</f>
        <v/>
      </c>
      <c r="C301" s="102" t="str">
        <f aca="false">IF('Loan Tape'!$A278="","",'Loan Tape'!$B278)</f>
        <v/>
      </c>
      <c r="D301" s="102" t="str">
        <f aca="false">IF('Loan Tape'!$A278="","",'Loan Tape'!$C278)</f>
        <v/>
      </c>
      <c r="E301" s="102" t="str">
        <f aca="false">IF('Loan Tape'!$A278="","",'Loan Tape'!$D278)</f>
        <v/>
      </c>
      <c r="F301" s="102" t="str">
        <f aca="false">IF('Loan Tape'!$A278="","",'Loan Tape'!$E278)</f>
        <v/>
      </c>
      <c r="G301" s="103" t="n">
        <f aca="false">'Loan Tape'!$AN278</f>
        <v>0</v>
      </c>
      <c r="H301" s="99" t="n">
        <f aca="false">'Loan Tape'!$R278*'Loan Tape'!$AN278</f>
        <v>0</v>
      </c>
      <c r="I301" s="104" t="n">
        <f aca="false">'Loan Tape'!$AO278</f>
        <v>0</v>
      </c>
      <c r="J301" s="99" t="n">
        <f aca="false">'Loan Tape'!$AY278</f>
        <v>0</v>
      </c>
      <c r="K301" s="99" t="n">
        <f aca="false">'Loan Tape'!$BB278</f>
        <v>0</v>
      </c>
      <c r="L301" s="104" t="n">
        <f aca="false">'Loan CF'!C585</f>
        <v>0</v>
      </c>
      <c r="M301" s="105" t="n">
        <f aca="false">'Loan Tape'!$AS278*'Loan Tape'!$AN278</f>
        <v>0</v>
      </c>
      <c r="N301" s="105" t="n">
        <f aca="false">IFERROR(SUMPRODUCT(('Loan CF'!$C$916:$L$916-0.5)*('Loan CF'!C1191:L1191+'Loan CF'!C1494:L1494+'Loan CF'!C1797:L1797))/(SUM('Loan CF'!C1191:L1191)+SUM('Loan CF'!C1494:L1494)+SUM('Loan CF'!C1797:L1797)),0)</f>
        <v>0</v>
      </c>
      <c r="O301" s="99" t="n">
        <f aca="false">SUM('Loan CF'!C2100:L2100)</f>
        <v>0</v>
      </c>
      <c r="P301" s="99" t="n">
        <f aca="false">SUM('Loan CF'!C1191:L1191)+SUM('Loan CF'!C1494:L1494)+SUM('Loan CF'!C1797:L1797)</f>
        <v>0</v>
      </c>
      <c r="Q301" s="99" t="n">
        <f aca="false">SUM('Loan CF'!C2403:L2403)</f>
        <v>0</v>
      </c>
      <c r="R301" s="99" t="n">
        <f aca="false">SUM('Loan CF'!C1494:L1494)*Prepay_Pen</f>
        <v>0</v>
      </c>
      <c r="S301" s="99" t="n">
        <f aca="false">'Loan CF'!$C2706</f>
        <v>0</v>
      </c>
      <c r="T301" s="99" t="n">
        <f aca="false">SUM(O301:S301)</f>
        <v>0</v>
      </c>
      <c r="U301" s="99" t="n">
        <f aca="false">SUM('Loan CF'!C888:L888)</f>
        <v>0</v>
      </c>
      <c r="V301" s="99" t="n">
        <f aca="false">U301*Sev</f>
        <v>0</v>
      </c>
      <c r="W301" s="99" t="n">
        <f aca="false">T301-K301</f>
        <v>0</v>
      </c>
      <c r="X301" s="106" t="str">
        <f aca="false">IFERROR(IRR('Loan CF'!C3009:M3009),"-")</f>
        <v>-</v>
      </c>
      <c r="Y301" s="107" t="str">
        <f aca="false">IFERROR(T301/K301,"-")</f>
        <v>-</v>
      </c>
      <c r="Z301" s="99" t="n">
        <f aca="false">'Loan Tape'!$BC278</f>
        <v>0</v>
      </c>
      <c r="AA301" s="99" t="n">
        <f aca="false">'Loan Tape'!$BE278</f>
        <v>0</v>
      </c>
      <c r="AB301" s="99" t="n">
        <f aca="false">SUM('Loan CF'!D3918:M3918)-AA301</f>
        <v>0</v>
      </c>
      <c r="AC301" s="106" t="str">
        <f aca="false">IFERROR(IRR('Loan CF'!C3918:M3918),"-")</f>
        <v>-</v>
      </c>
      <c r="AD301" s="107" t="str">
        <f aca="false">IFERROR(SUM('Loan CF'!D3918:M3918)/AA301,"-")</f>
        <v>-</v>
      </c>
    </row>
    <row r="302" customFormat="false" ht="15" hidden="false" customHeight="false" outlineLevel="0" collapsed="false">
      <c r="B302" s="108" t="str">
        <f aca="false">IF('Loan Tape'!$A279="","",'Loan Tape'!$A279)</f>
        <v/>
      </c>
      <c r="C302" s="108" t="str">
        <f aca="false">IF('Loan Tape'!$A279="","",'Loan Tape'!$B279)</f>
        <v/>
      </c>
      <c r="D302" s="108" t="str">
        <f aca="false">IF('Loan Tape'!$A279="","",'Loan Tape'!$C279)</f>
        <v/>
      </c>
      <c r="E302" s="108" t="str">
        <f aca="false">IF('Loan Tape'!$A279="","",'Loan Tape'!$D279)</f>
        <v/>
      </c>
      <c r="F302" s="108" t="str">
        <f aca="false">IF('Loan Tape'!$A279="","",'Loan Tape'!$E279)</f>
        <v/>
      </c>
      <c r="G302" s="26" t="n">
        <f aca="false">'Loan Tape'!$AN279</f>
        <v>0</v>
      </c>
      <c r="H302" s="71" t="n">
        <f aca="false">'Loan Tape'!$R279*'Loan Tape'!$AN279</f>
        <v>0</v>
      </c>
      <c r="I302" s="56" t="n">
        <f aca="false">'Loan Tape'!$AO279</f>
        <v>0</v>
      </c>
      <c r="J302" s="71" t="n">
        <f aca="false">'Loan Tape'!$AY279</f>
        <v>0</v>
      </c>
      <c r="K302" s="71" t="n">
        <f aca="false">'Loan Tape'!$BB279</f>
        <v>0</v>
      </c>
      <c r="L302" s="56" t="n">
        <f aca="false">'Loan CF'!C586</f>
        <v>0</v>
      </c>
      <c r="M302" s="70" t="n">
        <f aca="false">'Loan Tape'!$AS279*'Loan Tape'!$AN279</f>
        <v>0</v>
      </c>
      <c r="N302" s="70" t="n">
        <f aca="false">IFERROR(SUMPRODUCT(('Loan CF'!$C$916:$L$916-0.5)*('Loan CF'!C1192:L1192+'Loan CF'!C1495:L1495+'Loan CF'!C1798:L1798))/(SUM('Loan CF'!C1192:L1192)+SUM('Loan CF'!C1495:L1495)+SUM('Loan CF'!C1798:L1798)),0)</f>
        <v>0</v>
      </c>
      <c r="O302" s="71" t="n">
        <f aca="false">SUM('Loan CF'!C2101:L2101)</f>
        <v>0</v>
      </c>
      <c r="P302" s="71" t="n">
        <f aca="false">SUM('Loan CF'!C1192:L1192)+SUM('Loan CF'!C1495:L1495)+SUM('Loan CF'!C1798:L1798)</f>
        <v>0</v>
      </c>
      <c r="Q302" s="71" t="n">
        <f aca="false">SUM('Loan CF'!C2404:L2404)</f>
        <v>0</v>
      </c>
      <c r="R302" s="71" t="n">
        <f aca="false">SUM('Loan CF'!C1495:L1495)*Prepay_Pen</f>
        <v>0</v>
      </c>
      <c r="S302" s="71" t="n">
        <f aca="false">'Loan CF'!$C2707</f>
        <v>0</v>
      </c>
      <c r="T302" s="71" t="n">
        <f aca="false">SUM(O302:S302)</f>
        <v>0</v>
      </c>
      <c r="U302" s="71" t="n">
        <f aca="false">SUM('Loan CF'!C889:L889)</f>
        <v>0</v>
      </c>
      <c r="V302" s="71" t="n">
        <f aca="false">U302*Sev</f>
        <v>0</v>
      </c>
      <c r="W302" s="71" t="n">
        <f aca="false">T302-K302</f>
        <v>0</v>
      </c>
      <c r="X302" s="109" t="str">
        <f aca="false">IFERROR(IRR('Loan CF'!C3010:M3010),"-")</f>
        <v>-</v>
      </c>
      <c r="Y302" s="110" t="str">
        <f aca="false">IFERROR(T302/K302,"-")</f>
        <v>-</v>
      </c>
      <c r="Z302" s="71" t="n">
        <f aca="false">'Loan Tape'!$BC279</f>
        <v>0</v>
      </c>
      <c r="AA302" s="71" t="n">
        <f aca="false">'Loan Tape'!$BE279</f>
        <v>0</v>
      </c>
      <c r="AB302" s="71" t="n">
        <f aca="false">SUM('Loan CF'!D3919:M3919)-AA302</f>
        <v>0</v>
      </c>
      <c r="AC302" s="109" t="str">
        <f aca="false">IFERROR(IRR('Loan CF'!C3919:M3919),"-")</f>
        <v>-</v>
      </c>
      <c r="AD302" s="110" t="str">
        <f aca="false">IFERROR(SUM('Loan CF'!D3919:M3919)/AA302,"-")</f>
        <v>-</v>
      </c>
    </row>
    <row r="303" customFormat="false" ht="15" hidden="false" customHeight="false" outlineLevel="0" collapsed="false">
      <c r="B303" s="102" t="str">
        <f aca="false">IF('Loan Tape'!$A280="","",'Loan Tape'!$A280)</f>
        <v/>
      </c>
      <c r="C303" s="102" t="str">
        <f aca="false">IF('Loan Tape'!$A280="","",'Loan Tape'!$B280)</f>
        <v/>
      </c>
      <c r="D303" s="102" t="str">
        <f aca="false">IF('Loan Tape'!$A280="","",'Loan Tape'!$C280)</f>
        <v/>
      </c>
      <c r="E303" s="102" t="str">
        <f aca="false">IF('Loan Tape'!$A280="","",'Loan Tape'!$D280)</f>
        <v/>
      </c>
      <c r="F303" s="102" t="str">
        <f aca="false">IF('Loan Tape'!$A280="","",'Loan Tape'!$E280)</f>
        <v/>
      </c>
      <c r="G303" s="103" t="n">
        <f aca="false">'Loan Tape'!$AN280</f>
        <v>0</v>
      </c>
      <c r="H303" s="99" t="n">
        <f aca="false">'Loan Tape'!$R280*'Loan Tape'!$AN280</f>
        <v>0</v>
      </c>
      <c r="I303" s="104" t="n">
        <f aca="false">'Loan Tape'!$AO280</f>
        <v>0</v>
      </c>
      <c r="J303" s="99" t="n">
        <f aca="false">'Loan Tape'!$AY280</f>
        <v>0</v>
      </c>
      <c r="K303" s="99" t="n">
        <f aca="false">'Loan Tape'!$BB280</f>
        <v>0</v>
      </c>
      <c r="L303" s="104" t="n">
        <f aca="false">'Loan CF'!C587</f>
        <v>0</v>
      </c>
      <c r="M303" s="105" t="n">
        <f aca="false">'Loan Tape'!$AS280*'Loan Tape'!$AN280</f>
        <v>0</v>
      </c>
      <c r="N303" s="105" t="n">
        <f aca="false">IFERROR(SUMPRODUCT(('Loan CF'!$C$916:$L$916-0.5)*('Loan CF'!C1193:L1193+'Loan CF'!C1496:L1496+'Loan CF'!C1799:L1799))/(SUM('Loan CF'!C1193:L1193)+SUM('Loan CF'!C1496:L1496)+SUM('Loan CF'!C1799:L1799)),0)</f>
        <v>0</v>
      </c>
      <c r="O303" s="99" t="n">
        <f aca="false">SUM('Loan CF'!C2102:L2102)</f>
        <v>0</v>
      </c>
      <c r="P303" s="99" t="n">
        <f aca="false">SUM('Loan CF'!C1193:L1193)+SUM('Loan CF'!C1496:L1496)+SUM('Loan CF'!C1799:L1799)</f>
        <v>0</v>
      </c>
      <c r="Q303" s="99" t="n">
        <f aca="false">SUM('Loan CF'!C2405:L2405)</f>
        <v>0</v>
      </c>
      <c r="R303" s="99" t="n">
        <f aca="false">SUM('Loan CF'!C1496:L1496)*Prepay_Pen</f>
        <v>0</v>
      </c>
      <c r="S303" s="99" t="n">
        <f aca="false">'Loan CF'!$C2708</f>
        <v>0</v>
      </c>
      <c r="T303" s="99" t="n">
        <f aca="false">SUM(O303:S303)</f>
        <v>0</v>
      </c>
      <c r="U303" s="99" t="n">
        <f aca="false">SUM('Loan CF'!C890:L890)</f>
        <v>0</v>
      </c>
      <c r="V303" s="99" t="n">
        <f aca="false">U303*Sev</f>
        <v>0</v>
      </c>
      <c r="W303" s="99" t="n">
        <f aca="false">T303-K303</f>
        <v>0</v>
      </c>
      <c r="X303" s="106" t="str">
        <f aca="false">IFERROR(IRR('Loan CF'!C3011:M3011),"-")</f>
        <v>-</v>
      </c>
      <c r="Y303" s="107" t="str">
        <f aca="false">IFERROR(T303/K303,"-")</f>
        <v>-</v>
      </c>
      <c r="Z303" s="99" t="n">
        <f aca="false">'Loan Tape'!$BC280</f>
        <v>0</v>
      </c>
      <c r="AA303" s="99" t="n">
        <f aca="false">'Loan Tape'!$BE280</f>
        <v>0</v>
      </c>
      <c r="AB303" s="99" t="n">
        <f aca="false">SUM('Loan CF'!D3920:M3920)-AA303</f>
        <v>0</v>
      </c>
      <c r="AC303" s="106" t="str">
        <f aca="false">IFERROR(IRR('Loan CF'!C3920:M3920),"-")</f>
        <v>-</v>
      </c>
      <c r="AD303" s="107" t="str">
        <f aca="false">IFERROR(SUM('Loan CF'!D3920:M3920)/AA303,"-")</f>
        <v>-</v>
      </c>
    </row>
    <row r="304" customFormat="false" ht="15" hidden="false" customHeight="false" outlineLevel="0" collapsed="false">
      <c r="B304" s="108" t="str">
        <f aca="false">IF('Loan Tape'!$A281="","",'Loan Tape'!$A281)</f>
        <v/>
      </c>
      <c r="C304" s="108" t="str">
        <f aca="false">IF('Loan Tape'!$A281="","",'Loan Tape'!$B281)</f>
        <v/>
      </c>
      <c r="D304" s="108" t="str">
        <f aca="false">IF('Loan Tape'!$A281="","",'Loan Tape'!$C281)</f>
        <v/>
      </c>
      <c r="E304" s="108" t="str">
        <f aca="false">IF('Loan Tape'!$A281="","",'Loan Tape'!$D281)</f>
        <v/>
      </c>
      <c r="F304" s="108" t="str">
        <f aca="false">IF('Loan Tape'!$A281="","",'Loan Tape'!$E281)</f>
        <v/>
      </c>
      <c r="G304" s="26" t="n">
        <f aca="false">'Loan Tape'!$AN281</f>
        <v>0</v>
      </c>
      <c r="H304" s="71" t="n">
        <f aca="false">'Loan Tape'!$R281*'Loan Tape'!$AN281</f>
        <v>0</v>
      </c>
      <c r="I304" s="56" t="n">
        <f aca="false">'Loan Tape'!$AO281</f>
        <v>0</v>
      </c>
      <c r="J304" s="71" t="n">
        <f aca="false">'Loan Tape'!$AY281</f>
        <v>0</v>
      </c>
      <c r="K304" s="71" t="n">
        <f aca="false">'Loan Tape'!$BB281</f>
        <v>0</v>
      </c>
      <c r="L304" s="56" t="n">
        <f aca="false">'Loan CF'!C588</f>
        <v>0</v>
      </c>
      <c r="M304" s="70" t="n">
        <f aca="false">'Loan Tape'!$AS281*'Loan Tape'!$AN281</f>
        <v>0</v>
      </c>
      <c r="N304" s="70" t="n">
        <f aca="false">IFERROR(SUMPRODUCT(('Loan CF'!$C$916:$L$916-0.5)*('Loan CF'!C1194:L1194+'Loan CF'!C1497:L1497+'Loan CF'!C1800:L1800))/(SUM('Loan CF'!C1194:L1194)+SUM('Loan CF'!C1497:L1497)+SUM('Loan CF'!C1800:L1800)),0)</f>
        <v>0</v>
      </c>
      <c r="O304" s="71" t="n">
        <f aca="false">SUM('Loan CF'!C2103:L2103)</f>
        <v>0</v>
      </c>
      <c r="P304" s="71" t="n">
        <f aca="false">SUM('Loan CF'!C1194:L1194)+SUM('Loan CF'!C1497:L1497)+SUM('Loan CF'!C1800:L1800)</f>
        <v>0</v>
      </c>
      <c r="Q304" s="71" t="n">
        <f aca="false">SUM('Loan CF'!C2406:L2406)</f>
        <v>0</v>
      </c>
      <c r="R304" s="71" t="n">
        <f aca="false">SUM('Loan CF'!C1497:L1497)*Prepay_Pen</f>
        <v>0</v>
      </c>
      <c r="S304" s="71" t="n">
        <f aca="false">'Loan CF'!$C2709</f>
        <v>0</v>
      </c>
      <c r="T304" s="71" t="n">
        <f aca="false">SUM(O304:S304)</f>
        <v>0</v>
      </c>
      <c r="U304" s="71" t="n">
        <f aca="false">SUM('Loan CF'!C891:L891)</f>
        <v>0</v>
      </c>
      <c r="V304" s="71" t="n">
        <f aca="false">U304*Sev</f>
        <v>0</v>
      </c>
      <c r="W304" s="71" t="n">
        <f aca="false">T304-K304</f>
        <v>0</v>
      </c>
      <c r="X304" s="109" t="str">
        <f aca="false">IFERROR(IRR('Loan CF'!C3012:M3012),"-")</f>
        <v>-</v>
      </c>
      <c r="Y304" s="110" t="str">
        <f aca="false">IFERROR(T304/K304,"-")</f>
        <v>-</v>
      </c>
      <c r="Z304" s="71" t="n">
        <f aca="false">'Loan Tape'!$BC281</f>
        <v>0</v>
      </c>
      <c r="AA304" s="71" t="n">
        <f aca="false">'Loan Tape'!$BE281</f>
        <v>0</v>
      </c>
      <c r="AB304" s="71" t="n">
        <f aca="false">SUM('Loan CF'!D3921:M3921)-AA304</f>
        <v>0</v>
      </c>
      <c r="AC304" s="109" t="str">
        <f aca="false">IFERROR(IRR('Loan CF'!C3921:M3921),"-")</f>
        <v>-</v>
      </c>
      <c r="AD304" s="110" t="str">
        <f aca="false">IFERROR(SUM('Loan CF'!D3921:M3921)/AA304,"-")</f>
        <v>-</v>
      </c>
    </row>
    <row r="305" customFormat="false" ht="15" hidden="false" customHeight="false" outlineLevel="0" collapsed="false">
      <c r="B305" s="102" t="str">
        <f aca="false">IF('Loan Tape'!$A282="","",'Loan Tape'!$A282)</f>
        <v/>
      </c>
      <c r="C305" s="102" t="str">
        <f aca="false">IF('Loan Tape'!$A282="","",'Loan Tape'!$B282)</f>
        <v/>
      </c>
      <c r="D305" s="102" t="str">
        <f aca="false">IF('Loan Tape'!$A282="","",'Loan Tape'!$C282)</f>
        <v/>
      </c>
      <c r="E305" s="102" t="str">
        <f aca="false">IF('Loan Tape'!$A282="","",'Loan Tape'!$D282)</f>
        <v/>
      </c>
      <c r="F305" s="102" t="str">
        <f aca="false">IF('Loan Tape'!$A282="","",'Loan Tape'!$E282)</f>
        <v/>
      </c>
      <c r="G305" s="103" t="n">
        <f aca="false">'Loan Tape'!$AN282</f>
        <v>0</v>
      </c>
      <c r="H305" s="99" t="n">
        <f aca="false">'Loan Tape'!$R282*'Loan Tape'!$AN282</f>
        <v>0</v>
      </c>
      <c r="I305" s="104" t="n">
        <f aca="false">'Loan Tape'!$AO282</f>
        <v>0</v>
      </c>
      <c r="J305" s="99" t="n">
        <f aca="false">'Loan Tape'!$AY282</f>
        <v>0</v>
      </c>
      <c r="K305" s="99" t="n">
        <f aca="false">'Loan Tape'!$BB282</f>
        <v>0</v>
      </c>
      <c r="L305" s="104" t="n">
        <f aca="false">'Loan CF'!C589</f>
        <v>0</v>
      </c>
      <c r="M305" s="105" t="n">
        <f aca="false">'Loan Tape'!$AS282*'Loan Tape'!$AN282</f>
        <v>0</v>
      </c>
      <c r="N305" s="105" t="n">
        <f aca="false">IFERROR(SUMPRODUCT(('Loan CF'!$C$916:$L$916-0.5)*('Loan CF'!C1195:L1195+'Loan CF'!C1498:L1498+'Loan CF'!C1801:L1801))/(SUM('Loan CF'!C1195:L1195)+SUM('Loan CF'!C1498:L1498)+SUM('Loan CF'!C1801:L1801)),0)</f>
        <v>0</v>
      </c>
      <c r="O305" s="99" t="n">
        <f aca="false">SUM('Loan CF'!C2104:L2104)</f>
        <v>0</v>
      </c>
      <c r="P305" s="99" t="n">
        <f aca="false">SUM('Loan CF'!C1195:L1195)+SUM('Loan CF'!C1498:L1498)+SUM('Loan CF'!C1801:L1801)</f>
        <v>0</v>
      </c>
      <c r="Q305" s="99" t="n">
        <f aca="false">SUM('Loan CF'!C2407:L2407)</f>
        <v>0</v>
      </c>
      <c r="R305" s="99" t="n">
        <f aca="false">SUM('Loan CF'!C1498:L1498)*Prepay_Pen</f>
        <v>0</v>
      </c>
      <c r="S305" s="99" t="n">
        <f aca="false">'Loan CF'!$C2710</f>
        <v>0</v>
      </c>
      <c r="T305" s="99" t="n">
        <f aca="false">SUM(O305:S305)</f>
        <v>0</v>
      </c>
      <c r="U305" s="99" t="n">
        <f aca="false">SUM('Loan CF'!C892:L892)</f>
        <v>0</v>
      </c>
      <c r="V305" s="99" t="n">
        <f aca="false">U305*Sev</f>
        <v>0</v>
      </c>
      <c r="W305" s="99" t="n">
        <f aca="false">T305-K305</f>
        <v>0</v>
      </c>
      <c r="X305" s="106" t="str">
        <f aca="false">IFERROR(IRR('Loan CF'!C3013:M3013),"-")</f>
        <v>-</v>
      </c>
      <c r="Y305" s="107" t="str">
        <f aca="false">IFERROR(T305/K305,"-")</f>
        <v>-</v>
      </c>
      <c r="Z305" s="99" t="n">
        <f aca="false">'Loan Tape'!$BC282</f>
        <v>0</v>
      </c>
      <c r="AA305" s="99" t="n">
        <f aca="false">'Loan Tape'!$BE282</f>
        <v>0</v>
      </c>
      <c r="AB305" s="99" t="n">
        <f aca="false">SUM('Loan CF'!D3922:M3922)-AA305</f>
        <v>0</v>
      </c>
      <c r="AC305" s="106" t="str">
        <f aca="false">IFERROR(IRR('Loan CF'!C3922:M3922),"-")</f>
        <v>-</v>
      </c>
      <c r="AD305" s="107" t="str">
        <f aca="false">IFERROR(SUM('Loan CF'!D3922:M3922)/AA305,"-")</f>
        <v>-</v>
      </c>
    </row>
    <row r="306" customFormat="false" ht="15" hidden="false" customHeight="false" outlineLevel="0" collapsed="false">
      <c r="B306" s="108" t="str">
        <f aca="false">IF('Loan Tape'!$A283="","",'Loan Tape'!$A283)</f>
        <v/>
      </c>
      <c r="C306" s="108" t="str">
        <f aca="false">IF('Loan Tape'!$A283="","",'Loan Tape'!$B283)</f>
        <v/>
      </c>
      <c r="D306" s="108" t="str">
        <f aca="false">IF('Loan Tape'!$A283="","",'Loan Tape'!$C283)</f>
        <v/>
      </c>
      <c r="E306" s="108" t="str">
        <f aca="false">IF('Loan Tape'!$A283="","",'Loan Tape'!$D283)</f>
        <v/>
      </c>
      <c r="F306" s="108" t="str">
        <f aca="false">IF('Loan Tape'!$A283="","",'Loan Tape'!$E283)</f>
        <v/>
      </c>
      <c r="G306" s="26" t="n">
        <f aca="false">'Loan Tape'!$AN283</f>
        <v>0</v>
      </c>
      <c r="H306" s="71" t="n">
        <f aca="false">'Loan Tape'!$R283*'Loan Tape'!$AN283</f>
        <v>0</v>
      </c>
      <c r="I306" s="56" t="n">
        <f aca="false">'Loan Tape'!$AO283</f>
        <v>0</v>
      </c>
      <c r="J306" s="71" t="n">
        <f aca="false">'Loan Tape'!$AY283</f>
        <v>0</v>
      </c>
      <c r="K306" s="71" t="n">
        <f aca="false">'Loan Tape'!$BB283</f>
        <v>0</v>
      </c>
      <c r="L306" s="56" t="n">
        <f aca="false">'Loan CF'!C590</f>
        <v>0</v>
      </c>
      <c r="M306" s="70" t="n">
        <f aca="false">'Loan Tape'!$AS283*'Loan Tape'!$AN283</f>
        <v>0</v>
      </c>
      <c r="N306" s="70" t="n">
        <f aca="false">IFERROR(SUMPRODUCT(('Loan CF'!$C$916:$L$916-0.5)*('Loan CF'!C1196:L1196+'Loan CF'!C1499:L1499+'Loan CF'!C1802:L1802))/(SUM('Loan CF'!C1196:L1196)+SUM('Loan CF'!C1499:L1499)+SUM('Loan CF'!C1802:L1802)),0)</f>
        <v>0</v>
      </c>
      <c r="O306" s="71" t="n">
        <f aca="false">SUM('Loan CF'!C2105:L2105)</f>
        <v>0</v>
      </c>
      <c r="P306" s="71" t="n">
        <f aca="false">SUM('Loan CF'!C1196:L1196)+SUM('Loan CF'!C1499:L1499)+SUM('Loan CF'!C1802:L1802)</f>
        <v>0</v>
      </c>
      <c r="Q306" s="71" t="n">
        <f aca="false">SUM('Loan CF'!C2408:L2408)</f>
        <v>0</v>
      </c>
      <c r="R306" s="71" t="n">
        <f aca="false">SUM('Loan CF'!C1499:L1499)*Prepay_Pen</f>
        <v>0</v>
      </c>
      <c r="S306" s="71" t="n">
        <f aca="false">'Loan CF'!$C2711</f>
        <v>0</v>
      </c>
      <c r="T306" s="71" t="n">
        <f aca="false">SUM(O306:S306)</f>
        <v>0</v>
      </c>
      <c r="U306" s="71" t="n">
        <f aca="false">SUM('Loan CF'!C893:L893)</f>
        <v>0</v>
      </c>
      <c r="V306" s="71" t="n">
        <f aca="false">U306*Sev</f>
        <v>0</v>
      </c>
      <c r="W306" s="71" t="n">
        <f aca="false">T306-K306</f>
        <v>0</v>
      </c>
      <c r="X306" s="109" t="str">
        <f aca="false">IFERROR(IRR('Loan CF'!C3014:M3014),"-")</f>
        <v>-</v>
      </c>
      <c r="Y306" s="110" t="str">
        <f aca="false">IFERROR(T306/K306,"-")</f>
        <v>-</v>
      </c>
      <c r="Z306" s="71" t="n">
        <f aca="false">'Loan Tape'!$BC283</f>
        <v>0</v>
      </c>
      <c r="AA306" s="71" t="n">
        <f aca="false">'Loan Tape'!$BE283</f>
        <v>0</v>
      </c>
      <c r="AB306" s="71" t="n">
        <f aca="false">SUM('Loan CF'!D3923:M3923)-AA306</f>
        <v>0</v>
      </c>
      <c r="AC306" s="109" t="str">
        <f aca="false">IFERROR(IRR('Loan CF'!C3923:M3923),"-")</f>
        <v>-</v>
      </c>
      <c r="AD306" s="110" t="str">
        <f aca="false">IFERROR(SUM('Loan CF'!D3923:M3923)/AA306,"-")</f>
        <v>-</v>
      </c>
    </row>
    <row r="307" customFormat="false" ht="15" hidden="false" customHeight="false" outlineLevel="0" collapsed="false">
      <c r="B307" s="102" t="str">
        <f aca="false">IF('Loan Tape'!$A284="","",'Loan Tape'!$A284)</f>
        <v/>
      </c>
      <c r="C307" s="102" t="str">
        <f aca="false">IF('Loan Tape'!$A284="","",'Loan Tape'!$B284)</f>
        <v/>
      </c>
      <c r="D307" s="102" t="str">
        <f aca="false">IF('Loan Tape'!$A284="","",'Loan Tape'!$C284)</f>
        <v/>
      </c>
      <c r="E307" s="102" t="str">
        <f aca="false">IF('Loan Tape'!$A284="","",'Loan Tape'!$D284)</f>
        <v/>
      </c>
      <c r="F307" s="102" t="str">
        <f aca="false">IF('Loan Tape'!$A284="","",'Loan Tape'!$E284)</f>
        <v/>
      </c>
      <c r="G307" s="103" t="n">
        <f aca="false">'Loan Tape'!$AN284</f>
        <v>0</v>
      </c>
      <c r="H307" s="99" t="n">
        <f aca="false">'Loan Tape'!$R284*'Loan Tape'!$AN284</f>
        <v>0</v>
      </c>
      <c r="I307" s="104" t="n">
        <f aca="false">'Loan Tape'!$AO284</f>
        <v>0</v>
      </c>
      <c r="J307" s="99" t="n">
        <f aca="false">'Loan Tape'!$AY284</f>
        <v>0</v>
      </c>
      <c r="K307" s="99" t="n">
        <f aca="false">'Loan Tape'!$BB284</f>
        <v>0</v>
      </c>
      <c r="L307" s="104" t="n">
        <f aca="false">'Loan CF'!C591</f>
        <v>0</v>
      </c>
      <c r="M307" s="105" t="n">
        <f aca="false">'Loan Tape'!$AS284*'Loan Tape'!$AN284</f>
        <v>0</v>
      </c>
      <c r="N307" s="105" t="n">
        <f aca="false">IFERROR(SUMPRODUCT(('Loan CF'!$C$916:$L$916-0.5)*('Loan CF'!C1197:L1197+'Loan CF'!C1500:L1500+'Loan CF'!C1803:L1803))/(SUM('Loan CF'!C1197:L1197)+SUM('Loan CF'!C1500:L1500)+SUM('Loan CF'!C1803:L1803)),0)</f>
        <v>0</v>
      </c>
      <c r="O307" s="99" t="n">
        <f aca="false">SUM('Loan CF'!C2106:L2106)</f>
        <v>0</v>
      </c>
      <c r="P307" s="99" t="n">
        <f aca="false">SUM('Loan CF'!C1197:L1197)+SUM('Loan CF'!C1500:L1500)+SUM('Loan CF'!C1803:L1803)</f>
        <v>0</v>
      </c>
      <c r="Q307" s="99" t="n">
        <f aca="false">SUM('Loan CF'!C2409:L2409)</f>
        <v>0</v>
      </c>
      <c r="R307" s="99" t="n">
        <f aca="false">SUM('Loan CF'!C1500:L1500)*Prepay_Pen</f>
        <v>0</v>
      </c>
      <c r="S307" s="99" t="n">
        <f aca="false">'Loan CF'!$C2712</f>
        <v>0</v>
      </c>
      <c r="T307" s="99" t="n">
        <f aca="false">SUM(O307:S307)</f>
        <v>0</v>
      </c>
      <c r="U307" s="99" t="n">
        <f aca="false">SUM('Loan CF'!C894:L894)</f>
        <v>0</v>
      </c>
      <c r="V307" s="99" t="n">
        <f aca="false">U307*Sev</f>
        <v>0</v>
      </c>
      <c r="W307" s="99" t="n">
        <f aca="false">T307-K307</f>
        <v>0</v>
      </c>
      <c r="X307" s="106" t="str">
        <f aca="false">IFERROR(IRR('Loan CF'!C3015:M3015),"-")</f>
        <v>-</v>
      </c>
      <c r="Y307" s="107" t="str">
        <f aca="false">IFERROR(T307/K307,"-")</f>
        <v>-</v>
      </c>
      <c r="Z307" s="99" t="n">
        <f aca="false">'Loan Tape'!$BC284</f>
        <v>0</v>
      </c>
      <c r="AA307" s="99" t="n">
        <f aca="false">'Loan Tape'!$BE284</f>
        <v>0</v>
      </c>
      <c r="AB307" s="99" t="n">
        <f aca="false">SUM('Loan CF'!D3924:M3924)-AA307</f>
        <v>0</v>
      </c>
      <c r="AC307" s="106" t="str">
        <f aca="false">IFERROR(IRR('Loan CF'!C3924:M3924),"-")</f>
        <v>-</v>
      </c>
      <c r="AD307" s="107" t="str">
        <f aca="false">IFERROR(SUM('Loan CF'!D3924:M3924)/AA307,"-")</f>
        <v>-</v>
      </c>
    </row>
    <row r="308" customFormat="false" ht="15" hidden="false" customHeight="false" outlineLevel="0" collapsed="false">
      <c r="B308" s="108" t="str">
        <f aca="false">IF('Loan Tape'!$A285="","",'Loan Tape'!$A285)</f>
        <v/>
      </c>
      <c r="C308" s="108" t="str">
        <f aca="false">IF('Loan Tape'!$A285="","",'Loan Tape'!$B285)</f>
        <v/>
      </c>
      <c r="D308" s="108" t="str">
        <f aca="false">IF('Loan Tape'!$A285="","",'Loan Tape'!$C285)</f>
        <v/>
      </c>
      <c r="E308" s="108" t="str">
        <f aca="false">IF('Loan Tape'!$A285="","",'Loan Tape'!$D285)</f>
        <v/>
      </c>
      <c r="F308" s="108" t="str">
        <f aca="false">IF('Loan Tape'!$A285="","",'Loan Tape'!$E285)</f>
        <v/>
      </c>
      <c r="G308" s="26" t="n">
        <f aca="false">'Loan Tape'!$AN285</f>
        <v>0</v>
      </c>
      <c r="H308" s="71" t="n">
        <f aca="false">'Loan Tape'!$R285*'Loan Tape'!$AN285</f>
        <v>0</v>
      </c>
      <c r="I308" s="56" t="n">
        <f aca="false">'Loan Tape'!$AO285</f>
        <v>0</v>
      </c>
      <c r="J308" s="71" t="n">
        <f aca="false">'Loan Tape'!$AY285</f>
        <v>0</v>
      </c>
      <c r="K308" s="71" t="n">
        <f aca="false">'Loan Tape'!$BB285</f>
        <v>0</v>
      </c>
      <c r="L308" s="56" t="n">
        <f aca="false">'Loan CF'!C592</f>
        <v>0</v>
      </c>
      <c r="M308" s="70" t="n">
        <f aca="false">'Loan Tape'!$AS285*'Loan Tape'!$AN285</f>
        <v>0</v>
      </c>
      <c r="N308" s="70" t="n">
        <f aca="false">IFERROR(SUMPRODUCT(('Loan CF'!$C$916:$L$916-0.5)*('Loan CF'!C1198:L1198+'Loan CF'!C1501:L1501+'Loan CF'!C1804:L1804))/(SUM('Loan CF'!C1198:L1198)+SUM('Loan CF'!C1501:L1501)+SUM('Loan CF'!C1804:L1804)),0)</f>
        <v>0</v>
      </c>
      <c r="O308" s="71" t="n">
        <f aca="false">SUM('Loan CF'!C2107:L2107)</f>
        <v>0</v>
      </c>
      <c r="P308" s="71" t="n">
        <f aca="false">SUM('Loan CF'!C1198:L1198)+SUM('Loan CF'!C1501:L1501)+SUM('Loan CF'!C1804:L1804)</f>
        <v>0</v>
      </c>
      <c r="Q308" s="71" t="n">
        <f aca="false">SUM('Loan CF'!C2410:L2410)</f>
        <v>0</v>
      </c>
      <c r="R308" s="71" t="n">
        <f aca="false">SUM('Loan CF'!C1501:L1501)*Prepay_Pen</f>
        <v>0</v>
      </c>
      <c r="S308" s="71" t="n">
        <f aca="false">'Loan CF'!$C2713</f>
        <v>0</v>
      </c>
      <c r="T308" s="71" t="n">
        <f aca="false">SUM(O308:S308)</f>
        <v>0</v>
      </c>
      <c r="U308" s="71" t="n">
        <f aca="false">SUM('Loan CF'!C895:L895)</f>
        <v>0</v>
      </c>
      <c r="V308" s="71" t="n">
        <f aca="false">U308*Sev</f>
        <v>0</v>
      </c>
      <c r="W308" s="71" t="n">
        <f aca="false">T308-K308</f>
        <v>0</v>
      </c>
      <c r="X308" s="109" t="str">
        <f aca="false">IFERROR(IRR('Loan CF'!C3016:M3016),"-")</f>
        <v>-</v>
      </c>
      <c r="Y308" s="110" t="str">
        <f aca="false">IFERROR(T308/K308,"-")</f>
        <v>-</v>
      </c>
      <c r="Z308" s="71" t="n">
        <f aca="false">'Loan Tape'!$BC285</f>
        <v>0</v>
      </c>
      <c r="AA308" s="71" t="n">
        <f aca="false">'Loan Tape'!$BE285</f>
        <v>0</v>
      </c>
      <c r="AB308" s="71" t="n">
        <f aca="false">SUM('Loan CF'!D3925:M3925)-AA308</f>
        <v>0</v>
      </c>
      <c r="AC308" s="109" t="str">
        <f aca="false">IFERROR(IRR('Loan CF'!C3925:M3925),"-")</f>
        <v>-</v>
      </c>
      <c r="AD308" s="110" t="str">
        <f aca="false">IFERROR(SUM('Loan CF'!D3925:M3925)/AA308,"-")</f>
        <v>-</v>
      </c>
    </row>
    <row r="309" customFormat="false" ht="15" hidden="false" customHeight="false" outlineLevel="0" collapsed="false">
      <c r="B309" s="102" t="str">
        <f aca="false">IF('Loan Tape'!$A286="","",'Loan Tape'!$A286)</f>
        <v/>
      </c>
      <c r="C309" s="102" t="str">
        <f aca="false">IF('Loan Tape'!$A286="","",'Loan Tape'!$B286)</f>
        <v/>
      </c>
      <c r="D309" s="102" t="str">
        <f aca="false">IF('Loan Tape'!$A286="","",'Loan Tape'!$C286)</f>
        <v/>
      </c>
      <c r="E309" s="102" t="str">
        <f aca="false">IF('Loan Tape'!$A286="","",'Loan Tape'!$D286)</f>
        <v/>
      </c>
      <c r="F309" s="102" t="str">
        <f aca="false">IF('Loan Tape'!$A286="","",'Loan Tape'!$E286)</f>
        <v/>
      </c>
      <c r="G309" s="103" t="n">
        <f aca="false">'Loan Tape'!$AN286</f>
        <v>0</v>
      </c>
      <c r="H309" s="99" t="n">
        <f aca="false">'Loan Tape'!$R286*'Loan Tape'!$AN286</f>
        <v>0</v>
      </c>
      <c r="I309" s="104" t="n">
        <f aca="false">'Loan Tape'!$AO286</f>
        <v>0</v>
      </c>
      <c r="J309" s="99" t="n">
        <f aca="false">'Loan Tape'!$AY286</f>
        <v>0</v>
      </c>
      <c r="K309" s="99" t="n">
        <f aca="false">'Loan Tape'!$BB286</f>
        <v>0</v>
      </c>
      <c r="L309" s="104" t="n">
        <f aca="false">'Loan CF'!C593</f>
        <v>0</v>
      </c>
      <c r="M309" s="105" t="n">
        <f aca="false">'Loan Tape'!$AS286*'Loan Tape'!$AN286</f>
        <v>0</v>
      </c>
      <c r="N309" s="105" t="n">
        <f aca="false">IFERROR(SUMPRODUCT(('Loan CF'!$C$916:$L$916-0.5)*('Loan CF'!C1199:L1199+'Loan CF'!C1502:L1502+'Loan CF'!C1805:L1805))/(SUM('Loan CF'!C1199:L1199)+SUM('Loan CF'!C1502:L1502)+SUM('Loan CF'!C1805:L1805)),0)</f>
        <v>0</v>
      </c>
      <c r="O309" s="99" t="n">
        <f aca="false">SUM('Loan CF'!C2108:L2108)</f>
        <v>0</v>
      </c>
      <c r="P309" s="99" t="n">
        <f aca="false">SUM('Loan CF'!C1199:L1199)+SUM('Loan CF'!C1502:L1502)+SUM('Loan CF'!C1805:L1805)</f>
        <v>0</v>
      </c>
      <c r="Q309" s="99" t="n">
        <f aca="false">SUM('Loan CF'!C2411:L2411)</f>
        <v>0</v>
      </c>
      <c r="R309" s="99" t="n">
        <f aca="false">SUM('Loan CF'!C1502:L1502)*Prepay_Pen</f>
        <v>0</v>
      </c>
      <c r="S309" s="99" t="n">
        <f aca="false">'Loan CF'!$C2714</f>
        <v>0</v>
      </c>
      <c r="T309" s="99" t="n">
        <f aca="false">SUM(O309:S309)</f>
        <v>0</v>
      </c>
      <c r="U309" s="99" t="n">
        <f aca="false">SUM('Loan CF'!C896:L896)</f>
        <v>0</v>
      </c>
      <c r="V309" s="99" t="n">
        <f aca="false">U309*Sev</f>
        <v>0</v>
      </c>
      <c r="W309" s="99" t="n">
        <f aca="false">T309-K309</f>
        <v>0</v>
      </c>
      <c r="X309" s="106" t="str">
        <f aca="false">IFERROR(IRR('Loan CF'!C3017:M3017),"-")</f>
        <v>-</v>
      </c>
      <c r="Y309" s="107" t="str">
        <f aca="false">IFERROR(T309/K309,"-")</f>
        <v>-</v>
      </c>
      <c r="Z309" s="99" t="n">
        <f aca="false">'Loan Tape'!$BC286</f>
        <v>0</v>
      </c>
      <c r="AA309" s="99" t="n">
        <f aca="false">'Loan Tape'!$BE286</f>
        <v>0</v>
      </c>
      <c r="AB309" s="99" t="n">
        <f aca="false">SUM('Loan CF'!D3926:M3926)-AA309</f>
        <v>0</v>
      </c>
      <c r="AC309" s="106" t="str">
        <f aca="false">IFERROR(IRR('Loan CF'!C3926:M3926),"-")</f>
        <v>-</v>
      </c>
      <c r="AD309" s="107" t="str">
        <f aca="false">IFERROR(SUM('Loan CF'!D3926:M3926)/AA309,"-")</f>
        <v>-</v>
      </c>
    </row>
    <row r="310" customFormat="false" ht="15" hidden="false" customHeight="false" outlineLevel="0" collapsed="false">
      <c r="B310" s="108" t="str">
        <f aca="false">IF('Loan Tape'!$A287="","",'Loan Tape'!$A287)</f>
        <v/>
      </c>
      <c r="C310" s="108" t="str">
        <f aca="false">IF('Loan Tape'!$A287="","",'Loan Tape'!$B287)</f>
        <v/>
      </c>
      <c r="D310" s="108" t="str">
        <f aca="false">IF('Loan Tape'!$A287="","",'Loan Tape'!$C287)</f>
        <v/>
      </c>
      <c r="E310" s="108" t="str">
        <f aca="false">IF('Loan Tape'!$A287="","",'Loan Tape'!$D287)</f>
        <v/>
      </c>
      <c r="F310" s="108" t="str">
        <f aca="false">IF('Loan Tape'!$A287="","",'Loan Tape'!$E287)</f>
        <v/>
      </c>
      <c r="G310" s="26" t="n">
        <f aca="false">'Loan Tape'!$AN287</f>
        <v>0</v>
      </c>
      <c r="H310" s="71" t="n">
        <f aca="false">'Loan Tape'!$R287*'Loan Tape'!$AN287</f>
        <v>0</v>
      </c>
      <c r="I310" s="56" t="n">
        <f aca="false">'Loan Tape'!$AO287</f>
        <v>0</v>
      </c>
      <c r="J310" s="71" t="n">
        <f aca="false">'Loan Tape'!$AY287</f>
        <v>0</v>
      </c>
      <c r="K310" s="71" t="n">
        <f aca="false">'Loan Tape'!$BB287</f>
        <v>0</v>
      </c>
      <c r="L310" s="56" t="n">
        <f aca="false">'Loan CF'!C594</f>
        <v>0</v>
      </c>
      <c r="M310" s="70" t="n">
        <f aca="false">'Loan Tape'!$AS287*'Loan Tape'!$AN287</f>
        <v>0</v>
      </c>
      <c r="N310" s="70" t="n">
        <f aca="false">IFERROR(SUMPRODUCT(('Loan CF'!$C$916:$L$916-0.5)*('Loan CF'!C1200:L1200+'Loan CF'!C1503:L1503+'Loan CF'!C1806:L1806))/(SUM('Loan CF'!C1200:L1200)+SUM('Loan CF'!C1503:L1503)+SUM('Loan CF'!C1806:L1806)),0)</f>
        <v>0</v>
      </c>
      <c r="O310" s="71" t="n">
        <f aca="false">SUM('Loan CF'!C2109:L2109)</f>
        <v>0</v>
      </c>
      <c r="P310" s="71" t="n">
        <f aca="false">SUM('Loan CF'!C1200:L1200)+SUM('Loan CF'!C1503:L1503)+SUM('Loan CF'!C1806:L1806)</f>
        <v>0</v>
      </c>
      <c r="Q310" s="71" t="n">
        <f aca="false">SUM('Loan CF'!C2412:L2412)</f>
        <v>0</v>
      </c>
      <c r="R310" s="71" t="n">
        <f aca="false">SUM('Loan CF'!C1503:L1503)*Prepay_Pen</f>
        <v>0</v>
      </c>
      <c r="S310" s="71" t="n">
        <f aca="false">'Loan CF'!$C2715</f>
        <v>0</v>
      </c>
      <c r="T310" s="71" t="n">
        <f aca="false">SUM(O310:S310)</f>
        <v>0</v>
      </c>
      <c r="U310" s="71" t="n">
        <f aca="false">SUM('Loan CF'!C897:L897)</f>
        <v>0</v>
      </c>
      <c r="V310" s="71" t="n">
        <f aca="false">U310*Sev</f>
        <v>0</v>
      </c>
      <c r="W310" s="71" t="n">
        <f aca="false">T310-K310</f>
        <v>0</v>
      </c>
      <c r="X310" s="109" t="str">
        <f aca="false">IFERROR(IRR('Loan CF'!C3018:M3018),"-")</f>
        <v>-</v>
      </c>
      <c r="Y310" s="110" t="str">
        <f aca="false">IFERROR(T310/K310,"-")</f>
        <v>-</v>
      </c>
      <c r="Z310" s="71" t="n">
        <f aca="false">'Loan Tape'!$BC287</f>
        <v>0</v>
      </c>
      <c r="AA310" s="71" t="n">
        <f aca="false">'Loan Tape'!$BE287</f>
        <v>0</v>
      </c>
      <c r="AB310" s="71" t="n">
        <f aca="false">SUM('Loan CF'!D3927:M3927)-AA310</f>
        <v>0</v>
      </c>
      <c r="AC310" s="109" t="str">
        <f aca="false">IFERROR(IRR('Loan CF'!C3927:M3927),"-")</f>
        <v>-</v>
      </c>
      <c r="AD310" s="110" t="str">
        <f aca="false">IFERROR(SUM('Loan CF'!D3927:M3927)/AA310,"-")</f>
        <v>-</v>
      </c>
    </row>
    <row r="311" customFormat="false" ht="15" hidden="false" customHeight="false" outlineLevel="0" collapsed="false">
      <c r="B311" s="102" t="str">
        <f aca="false">IF('Loan Tape'!$A288="","",'Loan Tape'!$A288)</f>
        <v/>
      </c>
      <c r="C311" s="102" t="str">
        <f aca="false">IF('Loan Tape'!$A288="","",'Loan Tape'!$B288)</f>
        <v/>
      </c>
      <c r="D311" s="102" t="str">
        <f aca="false">IF('Loan Tape'!$A288="","",'Loan Tape'!$C288)</f>
        <v/>
      </c>
      <c r="E311" s="102" t="str">
        <f aca="false">IF('Loan Tape'!$A288="","",'Loan Tape'!$D288)</f>
        <v/>
      </c>
      <c r="F311" s="102" t="str">
        <f aca="false">IF('Loan Tape'!$A288="","",'Loan Tape'!$E288)</f>
        <v/>
      </c>
      <c r="G311" s="103" t="n">
        <f aca="false">'Loan Tape'!$AN288</f>
        <v>0</v>
      </c>
      <c r="H311" s="99" t="n">
        <f aca="false">'Loan Tape'!$R288*'Loan Tape'!$AN288</f>
        <v>0</v>
      </c>
      <c r="I311" s="104" t="n">
        <f aca="false">'Loan Tape'!$AO288</f>
        <v>0</v>
      </c>
      <c r="J311" s="99" t="n">
        <f aca="false">'Loan Tape'!$AY288</f>
        <v>0</v>
      </c>
      <c r="K311" s="99" t="n">
        <f aca="false">'Loan Tape'!$BB288</f>
        <v>0</v>
      </c>
      <c r="L311" s="104" t="n">
        <f aca="false">'Loan CF'!C595</f>
        <v>0</v>
      </c>
      <c r="M311" s="105" t="n">
        <f aca="false">'Loan Tape'!$AS288*'Loan Tape'!$AN288</f>
        <v>0</v>
      </c>
      <c r="N311" s="105" t="n">
        <f aca="false">IFERROR(SUMPRODUCT(('Loan CF'!$C$916:$L$916-0.5)*('Loan CF'!C1201:L1201+'Loan CF'!C1504:L1504+'Loan CF'!C1807:L1807))/(SUM('Loan CF'!C1201:L1201)+SUM('Loan CF'!C1504:L1504)+SUM('Loan CF'!C1807:L1807)),0)</f>
        <v>0</v>
      </c>
      <c r="O311" s="99" t="n">
        <f aca="false">SUM('Loan CF'!C2110:L2110)</f>
        <v>0</v>
      </c>
      <c r="P311" s="99" t="n">
        <f aca="false">SUM('Loan CF'!C1201:L1201)+SUM('Loan CF'!C1504:L1504)+SUM('Loan CF'!C1807:L1807)</f>
        <v>0</v>
      </c>
      <c r="Q311" s="99" t="n">
        <f aca="false">SUM('Loan CF'!C2413:L2413)</f>
        <v>0</v>
      </c>
      <c r="R311" s="99" t="n">
        <f aca="false">SUM('Loan CF'!C1504:L1504)*Prepay_Pen</f>
        <v>0</v>
      </c>
      <c r="S311" s="99" t="n">
        <f aca="false">'Loan CF'!$C2716</f>
        <v>0</v>
      </c>
      <c r="T311" s="99" t="n">
        <f aca="false">SUM(O311:S311)</f>
        <v>0</v>
      </c>
      <c r="U311" s="99" t="n">
        <f aca="false">SUM('Loan CF'!C898:L898)</f>
        <v>0</v>
      </c>
      <c r="V311" s="99" t="n">
        <f aca="false">U311*Sev</f>
        <v>0</v>
      </c>
      <c r="W311" s="99" t="n">
        <f aca="false">T311-K311</f>
        <v>0</v>
      </c>
      <c r="X311" s="106" t="str">
        <f aca="false">IFERROR(IRR('Loan CF'!C3019:M3019),"-")</f>
        <v>-</v>
      </c>
      <c r="Y311" s="107" t="str">
        <f aca="false">IFERROR(T311/K311,"-")</f>
        <v>-</v>
      </c>
      <c r="Z311" s="99" t="n">
        <f aca="false">'Loan Tape'!$BC288</f>
        <v>0</v>
      </c>
      <c r="AA311" s="99" t="n">
        <f aca="false">'Loan Tape'!$BE288</f>
        <v>0</v>
      </c>
      <c r="AB311" s="99" t="n">
        <f aca="false">SUM('Loan CF'!D3928:M3928)-AA311</f>
        <v>0</v>
      </c>
      <c r="AC311" s="106" t="str">
        <f aca="false">IFERROR(IRR('Loan CF'!C3928:M3928),"-")</f>
        <v>-</v>
      </c>
      <c r="AD311" s="107" t="str">
        <f aca="false">IFERROR(SUM('Loan CF'!D3928:M3928)/AA311,"-")</f>
        <v>-</v>
      </c>
    </row>
    <row r="312" customFormat="false" ht="15" hidden="false" customHeight="false" outlineLevel="0" collapsed="false">
      <c r="B312" s="108" t="str">
        <f aca="false">IF('Loan Tape'!$A289="","",'Loan Tape'!$A289)</f>
        <v/>
      </c>
      <c r="C312" s="108" t="str">
        <f aca="false">IF('Loan Tape'!$A289="","",'Loan Tape'!$B289)</f>
        <v/>
      </c>
      <c r="D312" s="108" t="str">
        <f aca="false">IF('Loan Tape'!$A289="","",'Loan Tape'!$C289)</f>
        <v/>
      </c>
      <c r="E312" s="108" t="str">
        <f aca="false">IF('Loan Tape'!$A289="","",'Loan Tape'!$D289)</f>
        <v/>
      </c>
      <c r="F312" s="108" t="str">
        <f aca="false">IF('Loan Tape'!$A289="","",'Loan Tape'!$E289)</f>
        <v/>
      </c>
      <c r="G312" s="26" t="n">
        <f aca="false">'Loan Tape'!$AN289</f>
        <v>0</v>
      </c>
      <c r="H312" s="71" t="n">
        <f aca="false">'Loan Tape'!$R289*'Loan Tape'!$AN289</f>
        <v>0</v>
      </c>
      <c r="I312" s="56" t="n">
        <f aca="false">'Loan Tape'!$AO289</f>
        <v>0</v>
      </c>
      <c r="J312" s="71" t="n">
        <f aca="false">'Loan Tape'!$AY289</f>
        <v>0</v>
      </c>
      <c r="K312" s="71" t="n">
        <f aca="false">'Loan Tape'!$BB289</f>
        <v>0</v>
      </c>
      <c r="L312" s="56" t="n">
        <f aca="false">'Loan CF'!C596</f>
        <v>0</v>
      </c>
      <c r="M312" s="70" t="n">
        <f aca="false">'Loan Tape'!$AS289*'Loan Tape'!$AN289</f>
        <v>0</v>
      </c>
      <c r="N312" s="70" t="n">
        <f aca="false">IFERROR(SUMPRODUCT(('Loan CF'!$C$916:$L$916-0.5)*('Loan CF'!C1202:L1202+'Loan CF'!C1505:L1505+'Loan CF'!C1808:L1808))/(SUM('Loan CF'!C1202:L1202)+SUM('Loan CF'!C1505:L1505)+SUM('Loan CF'!C1808:L1808)),0)</f>
        <v>0</v>
      </c>
      <c r="O312" s="71" t="n">
        <f aca="false">SUM('Loan CF'!C2111:L2111)</f>
        <v>0</v>
      </c>
      <c r="P312" s="71" t="n">
        <f aca="false">SUM('Loan CF'!C1202:L1202)+SUM('Loan CF'!C1505:L1505)+SUM('Loan CF'!C1808:L1808)</f>
        <v>0</v>
      </c>
      <c r="Q312" s="71" t="n">
        <f aca="false">SUM('Loan CF'!C2414:L2414)</f>
        <v>0</v>
      </c>
      <c r="R312" s="71" t="n">
        <f aca="false">SUM('Loan CF'!C1505:L1505)*Prepay_Pen</f>
        <v>0</v>
      </c>
      <c r="S312" s="71" t="n">
        <f aca="false">'Loan CF'!$C2717</f>
        <v>0</v>
      </c>
      <c r="T312" s="71" t="n">
        <f aca="false">SUM(O312:S312)</f>
        <v>0</v>
      </c>
      <c r="U312" s="71" t="n">
        <f aca="false">SUM('Loan CF'!C899:L899)</f>
        <v>0</v>
      </c>
      <c r="V312" s="71" t="n">
        <f aca="false">U312*Sev</f>
        <v>0</v>
      </c>
      <c r="W312" s="71" t="n">
        <f aca="false">T312-K312</f>
        <v>0</v>
      </c>
      <c r="X312" s="109" t="str">
        <f aca="false">IFERROR(IRR('Loan CF'!C3020:M3020),"-")</f>
        <v>-</v>
      </c>
      <c r="Y312" s="110" t="str">
        <f aca="false">IFERROR(T312/K312,"-")</f>
        <v>-</v>
      </c>
      <c r="Z312" s="71" t="n">
        <f aca="false">'Loan Tape'!$BC289</f>
        <v>0</v>
      </c>
      <c r="AA312" s="71" t="n">
        <f aca="false">'Loan Tape'!$BE289</f>
        <v>0</v>
      </c>
      <c r="AB312" s="71" t="n">
        <f aca="false">SUM('Loan CF'!D3929:M3929)-AA312</f>
        <v>0</v>
      </c>
      <c r="AC312" s="109" t="str">
        <f aca="false">IFERROR(IRR('Loan CF'!C3929:M3929),"-")</f>
        <v>-</v>
      </c>
      <c r="AD312" s="110" t="str">
        <f aca="false">IFERROR(SUM('Loan CF'!D3929:M3929)/AA312,"-")</f>
        <v>-</v>
      </c>
    </row>
    <row r="313" customFormat="false" ht="15" hidden="false" customHeight="false" outlineLevel="0" collapsed="false">
      <c r="B313" s="102" t="str">
        <f aca="false">IF('Loan Tape'!$A290="","",'Loan Tape'!$A290)</f>
        <v/>
      </c>
      <c r="C313" s="102" t="str">
        <f aca="false">IF('Loan Tape'!$A290="","",'Loan Tape'!$B290)</f>
        <v/>
      </c>
      <c r="D313" s="102" t="str">
        <f aca="false">IF('Loan Tape'!$A290="","",'Loan Tape'!$C290)</f>
        <v/>
      </c>
      <c r="E313" s="102" t="str">
        <f aca="false">IF('Loan Tape'!$A290="","",'Loan Tape'!$D290)</f>
        <v/>
      </c>
      <c r="F313" s="102" t="str">
        <f aca="false">IF('Loan Tape'!$A290="","",'Loan Tape'!$E290)</f>
        <v/>
      </c>
      <c r="G313" s="103" t="n">
        <f aca="false">'Loan Tape'!$AN290</f>
        <v>0</v>
      </c>
      <c r="H313" s="99" t="n">
        <f aca="false">'Loan Tape'!$R290*'Loan Tape'!$AN290</f>
        <v>0</v>
      </c>
      <c r="I313" s="104" t="n">
        <f aca="false">'Loan Tape'!$AO290</f>
        <v>0</v>
      </c>
      <c r="J313" s="99" t="n">
        <f aca="false">'Loan Tape'!$AY290</f>
        <v>0</v>
      </c>
      <c r="K313" s="99" t="n">
        <f aca="false">'Loan Tape'!$BB290</f>
        <v>0</v>
      </c>
      <c r="L313" s="104" t="n">
        <f aca="false">'Loan CF'!C597</f>
        <v>0</v>
      </c>
      <c r="M313" s="105" t="n">
        <f aca="false">'Loan Tape'!$AS290*'Loan Tape'!$AN290</f>
        <v>0</v>
      </c>
      <c r="N313" s="105" t="n">
        <f aca="false">IFERROR(SUMPRODUCT(('Loan CF'!$C$916:$L$916-0.5)*('Loan CF'!C1203:L1203+'Loan CF'!C1506:L1506+'Loan CF'!C1809:L1809))/(SUM('Loan CF'!C1203:L1203)+SUM('Loan CF'!C1506:L1506)+SUM('Loan CF'!C1809:L1809)),0)</f>
        <v>0</v>
      </c>
      <c r="O313" s="99" t="n">
        <f aca="false">SUM('Loan CF'!C2112:L2112)</f>
        <v>0</v>
      </c>
      <c r="P313" s="99" t="n">
        <f aca="false">SUM('Loan CF'!C1203:L1203)+SUM('Loan CF'!C1506:L1506)+SUM('Loan CF'!C1809:L1809)</f>
        <v>0</v>
      </c>
      <c r="Q313" s="99" t="n">
        <f aca="false">SUM('Loan CF'!C2415:L2415)</f>
        <v>0</v>
      </c>
      <c r="R313" s="99" t="n">
        <f aca="false">SUM('Loan CF'!C1506:L1506)*Prepay_Pen</f>
        <v>0</v>
      </c>
      <c r="S313" s="99" t="n">
        <f aca="false">'Loan CF'!$C2718</f>
        <v>0</v>
      </c>
      <c r="T313" s="99" t="n">
        <f aca="false">SUM(O313:S313)</f>
        <v>0</v>
      </c>
      <c r="U313" s="99" t="n">
        <f aca="false">SUM('Loan CF'!C900:L900)</f>
        <v>0</v>
      </c>
      <c r="V313" s="99" t="n">
        <f aca="false">U313*Sev</f>
        <v>0</v>
      </c>
      <c r="W313" s="99" t="n">
        <f aca="false">T313-K313</f>
        <v>0</v>
      </c>
      <c r="X313" s="106" t="str">
        <f aca="false">IFERROR(IRR('Loan CF'!C3021:M3021),"-")</f>
        <v>-</v>
      </c>
      <c r="Y313" s="107" t="str">
        <f aca="false">IFERROR(T313/K313,"-")</f>
        <v>-</v>
      </c>
      <c r="Z313" s="99" t="n">
        <f aca="false">'Loan Tape'!$BC290</f>
        <v>0</v>
      </c>
      <c r="AA313" s="99" t="n">
        <f aca="false">'Loan Tape'!$BE290</f>
        <v>0</v>
      </c>
      <c r="AB313" s="99" t="n">
        <f aca="false">SUM('Loan CF'!D3930:M3930)-AA313</f>
        <v>0</v>
      </c>
      <c r="AC313" s="106" t="str">
        <f aca="false">IFERROR(IRR('Loan CF'!C3930:M3930),"-")</f>
        <v>-</v>
      </c>
      <c r="AD313" s="107" t="str">
        <f aca="false">IFERROR(SUM('Loan CF'!D3930:M3930)/AA313,"-")</f>
        <v>-</v>
      </c>
    </row>
    <row r="314" customFormat="false" ht="15" hidden="false" customHeight="false" outlineLevel="0" collapsed="false">
      <c r="B314" s="108" t="str">
        <f aca="false">IF('Loan Tape'!$A291="","",'Loan Tape'!$A291)</f>
        <v/>
      </c>
      <c r="C314" s="108" t="str">
        <f aca="false">IF('Loan Tape'!$A291="","",'Loan Tape'!$B291)</f>
        <v/>
      </c>
      <c r="D314" s="108" t="str">
        <f aca="false">IF('Loan Tape'!$A291="","",'Loan Tape'!$C291)</f>
        <v/>
      </c>
      <c r="E314" s="108" t="str">
        <f aca="false">IF('Loan Tape'!$A291="","",'Loan Tape'!$D291)</f>
        <v/>
      </c>
      <c r="F314" s="108" t="str">
        <f aca="false">IF('Loan Tape'!$A291="","",'Loan Tape'!$E291)</f>
        <v/>
      </c>
      <c r="G314" s="26" t="n">
        <f aca="false">'Loan Tape'!$AN291</f>
        <v>0</v>
      </c>
      <c r="H314" s="71" t="n">
        <f aca="false">'Loan Tape'!$R291*'Loan Tape'!$AN291</f>
        <v>0</v>
      </c>
      <c r="I314" s="56" t="n">
        <f aca="false">'Loan Tape'!$AO291</f>
        <v>0</v>
      </c>
      <c r="J314" s="71" t="n">
        <f aca="false">'Loan Tape'!$AY291</f>
        <v>0</v>
      </c>
      <c r="K314" s="71" t="n">
        <f aca="false">'Loan Tape'!$BB291</f>
        <v>0</v>
      </c>
      <c r="L314" s="56" t="n">
        <f aca="false">'Loan CF'!C598</f>
        <v>0</v>
      </c>
      <c r="M314" s="70" t="n">
        <f aca="false">'Loan Tape'!$AS291*'Loan Tape'!$AN291</f>
        <v>0</v>
      </c>
      <c r="N314" s="70" t="n">
        <f aca="false">IFERROR(SUMPRODUCT(('Loan CF'!$C$916:$L$916-0.5)*('Loan CF'!C1204:L1204+'Loan CF'!C1507:L1507+'Loan CF'!C1810:L1810))/(SUM('Loan CF'!C1204:L1204)+SUM('Loan CF'!C1507:L1507)+SUM('Loan CF'!C1810:L1810)),0)</f>
        <v>0</v>
      </c>
      <c r="O314" s="71" t="n">
        <f aca="false">SUM('Loan CF'!C2113:L2113)</f>
        <v>0</v>
      </c>
      <c r="P314" s="71" t="n">
        <f aca="false">SUM('Loan CF'!C1204:L1204)+SUM('Loan CF'!C1507:L1507)+SUM('Loan CF'!C1810:L1810)</f>
        <v>0</v>
      </c>
      <c r="Q314" s="71" t="n">
        <f aca="false">SUM('Loan CF'!C2416:L2416)</f>
        <v>0</v>
      </c>
      <c r="R314" s="71" t="n">
        <f aca="false">SUM('Loan CF'!C1507:L1507)*Prepay_Pen</f>
        <v>0</v>
      </c>
      <c r="S314" s="71" t="n">
        <f aca="false">'Loan CF'!$C2719</f>
        <v>0</v>
      </c>
      <c r="T314" s="71" t="n">
        <f aca="false">SUM(O314:S314)</f>
        <v>0</v>
      </c>
      <c r="U314" s="71" t="n">
        <f aca="false">SUM('Loan CF'!C901:L901)</f>
        <v>0</v>
      </c>
      <c r="V314" s="71" t="n">
        <f aca="false">U314*Sev</f>
        <v>0</v>
      </c>
      <c r="W314" s="71" t="n">
        <f aca="false">T314-K314</f>
        <v>0</v>
      </c>
      <c r="X314" s="109" t="str">
        <f aca="false">IFERROR(IRR('Loan CF'!C3022:M3022),"-")</f>
        <v>-</v>
      </c>
      <c r="Y314" s="110" t="str">
        <f aca="false">IFERROR(T314/K314,"-")</f>
        <v>-</v>
      </c>
      <c r="Z314" s="71" t="n">
        <f aca="false">'Loan Tape'!$BC291</f>
        <v>0</v>
      </c>
      <c r="AA314" s="71" t="n">
        <f aca="false">'Loan Tape'!$BE291</f>
        <v>0</v>
      </c>
      <c r="AB314" s="71" t="n">
        <f aca="false">SUM('Loan CF'!D3931:M3931)-AA314</f>
        <v>0</v>
      </c>
      <c r="AC314" s="109" t="str">
        <f aca="false">IFERROR(IRR('Loan CF'!C3931:M3931),"-")</f>
        <v>-</v>
      </c>
      <c r="AD314" s="110" t="str">
        <f aca="false">IFERROR(SUM('Loan CF'!D3931:M3931)/AA314,"-")</f>
        <v>-</v>
      </c>
    </row>
    <row r="315" customFormat="false" ht="15" hidden="false" customHeight="false" outlineLevel="0" collapsed="false">
      <c r="B315" s="102" t="str">
        <f aca="false">IF('Loan Tape'!$A292="","",'Loan Tape'!$A292)</f>
        <v/>
      </c>
      <c r="C315" s="102" t="str">
        <f aca="false">IF('Loan Tape'!$A292="","",'Loan Tape'!$B292)</f>
        <v/>
      </c>
      <c r="D315" s="102" t="str">
        <f aca="false">IF('Loan Tape'!$A292="","",'Loan Tape'!$C292)</f>
        <v/>
      </c>
      <c r="E315" s="102" t="str">
        <f aca="false">IF('Loan Tape'!$A292="","",'Loan Tape'!$D292)</f>
        <v/>
      </c>
      <c r="F315" s="102" t="str">
        <f aca="false">IF('Loan Tape'!$A292="","",'Loan Tape'!$E292)</f>
        <v/>
      </c>
      <c r="G315" s="103" t="n">
        <f aca="false">'Loan Tape'!$AN292</f>
        <v>0</v>
      </c>
      <c r="H315" s="99" t="n">
        <f aca="false">'Loan Tape'!$R292*'Loan Tape'!$AN292</f>
        <v>0</v>
      </c>
      <c r="I315" s="104" t="n">
        <f aca="false">'Loan Tape'!$AO292</f>
        <v>0</v>
      </c>
      <c r="J315" s="99" t="n">
        <f aca="false">'Loan Tape'!$AY292</f>
        <v>0</v>
      </c>
      <c r="K315" s="99" t="n">
        <f aca="false">'Loan Tape'!$BB292</f>
        <v>0</v>
      </c>
      <c r="L315" s="104" t="n">
        <f aca="false">'Loan CF'!C599</f>
        <v>0</v>
      </c>
      <c r="M315" s="105" t="n">
        <f aca="false">'Loan Tape'!$AS292*'Loan Tape'!$AN292</f>
        <v>0</v>
      </c>
      <c r="N315" s="105" t="n">
        <f aca="false">IFERROR(SUMPRODUCT(('Loan CF'!$C$916:$L$916-0.5)*('Loan CF'!C1205:L1205+'Loan CF'!C1508:L1508+'Loan CF'!C1811:L1811))/(SUM('Loan CF'!C1205:L1205)+SUM('Loan CF'!C1508:L1508)+SUM('Loan CF'!C1811:L1811)),0)</f>
        <v>0</v>
      </c>
      <c r="O315" s="99" t="n">
        <f aca="false">SUM('Loan CF'!C2114:L2114)</f>
        <v>0</v>
      </c>
      <c r="P315" s="99" t="n">
        <f aca="false">SUM('Loan CF'!C1205:L1205)+SUM('Loan CF'!C1508:L1508)+SUM('Loan CF'!C1811:L1811)</f>
        <v>0</v>
      </c>
      <c r="Q315" s="99" t="n">
        <f aca="false">SUM('Loan CF'!C2417:L2417)</f>
        <v>0</v>
      </c>
      <c r="R315" s="99" t="n">
        <f aca="false">SUM('Loan CF'!C1508:L1508)*Prepay_Pen</f>
        <v>0</v>
      </c>
      <c r="S315" s="99" t="n">
        <f aca="false">'Loan CF'!$C2720</f>
        <v>0</v>
      </c>
      <c r="T315" s="99" t="n">
        <f aca="false">SUM(O315:S315)</f>
        <v>0</v>
      </c>
      <c r="U315" s="99" t="n">
        <f aca="false">SUM('Loan CF'!C902:L902)</f>
        <v>0</v>
      </c>
      <c r="V315" s="99" t="n">
        <f aca="false">U315*Sev</f>
        <v>0</v>
      </c>
      <c r="W315" s="99" t="n">
        <f aca="false">T315-K315</f>
        <v>0</v>
      </c>
      <c r="X315" s="106" t="str">
        <f aca="false">IFERROR(IRR('Loan CF'!C3023:M3023),"-")</f>
        <v>-</v>
      </c>
      <c r="Y315" s="107" t="str">
        <f aca="false">IFERROR(T315/K315,"-")</f>
        <v>-</v>
      </c>
      <c r="Z315" s="99" t="n">
        <f aca="false">'Loan Tape'!$BC292</f>
        <v>0</v>
      </c>
      <c r="AA315" s="99" t="n">
        <f aca="false">'Loan Tape'!$BE292</f>
        <v>0</v>
      </c>
      <c r="AB315" s="99" t="n">
        <f aca="false">SUM('Loan CF'!D3932:M3932)-AA315</f>
        <v>0</v>
      </c>
      <c r="AC315" s="106" t="str">
        <f aca="false">IFERROR(IRR('Loan CF'!C3932:M3932),"-")</f>
        <v>-</v>
      </c>
      <c r="AD315" s="107" t="str">
        <f aca="false">IFERROR(SUM('Loan CF'!D3932:M3932)/AA315,"-")</f>
        <v>-</v>
      </c>
    </row>
    <row r="316" customFormat="false" ht="15" hidden="false" customHeight="false" outlineLevel="0" collapsed="false">
      <c r="B316" s="108" t="str">
        <f aca="false">IF('Loan Tape'!$A293="","",'Loan Tape'!$A293)</f>
        <v/>
      </c>
      <c r="C316" s="108" t="str">
        <f aca="false">IF('Loan Tape'!$A293="","",'Loan Tape'!$B293)</f>
        <v/>
      </c>
      <c r="D316" s="108" t="str">
        <f aca="false">IF('Loan Tape'!$A293="","",'Loan Tape'!$C293)</f>
        <v/>
      </c>
      <c r="E316" s="108" t="str">
        <f aca="false">IF('Loan Tape'!$A293="","",'Loan Tape'!$D293)</f>
        <v/>
      </c>
      <c r="F316" s="108" t="str">
        <f aca="false">IF('Loan Tape'!$A293="","",'Loan Tape'!$E293)</f>
        <v/>
      </c>
      <c r="G316" s="26" t="n">
        <f aca="false">'Loan Tape'!$AN293</f>
        <v>0</v>
      </c>
      <c r="H316" s="71" t="n">
        <f aca="false">'Loan Tape'!$R293*'Loan Tape'!$AN293</f>
        <v>0</v>
      </c>
      <c r="I316" s="56" t="n">
        <f aca="false">'Loan Tape'!$AO293</f>
        <v>0</v>
      </c>
      <c r="J316" s="71" t="n">
        <f aca="false">'Loan Tape'!$AY293</f>
        <v>0</v>
      </c>
      <c r="K316" s="71" t="n">
        <f aca="false">'Loan Tape'!$BB293</f>
        <v>0</v>
      </c>
      <c r="L316" s="56" t="n">
        <f aca="false">'Loan CF'!C600</f>
        <v>0</v>
      </c>
      <c r="M316" s="70" t="n">
        <f aca="false">'Loan Tape'!$AS293*'Loan Tape'!$AN293</f>
        <v>0</v>
      </c>
      <c r="N316" s="70" t="n">
        <f aca="false">IFERROR(SUMPRODUCT(('Loan CF'!$C$916:$L$916-0.5)*('Loan CF'!C1206:L1206+'Loan CF'!C1509:L1509+'Loan CF'!C1812:L1812))/(SUM('Loan CF'!C1206:L1206)+SUM('Loan CF'!C1509:L1509)+SUM('Loan CF'!C1812:L1812)),0)</f>
        <v>0</v>
      </c>
      <c r="O316" s="71" t="n">
        <f aca="false">SUM('Loan CF'!C2115:L2115)</f>
        <v>0</v>
      </c>
      <c r="P316" s="71" t="n">
        <f aca="false">SUM('Loan CF'!C1206:L1206)+SUM('Loan CF'!C1509:L1509)+SUM('Loan CF'!C1812:L1812)</f>
        <v>0</v>
      </c>
      <c r="Q316" s="71" t="n">
        <f aca="false">SUM('Loan CF'!C2418:L2418)</f>
        <v>0</v>
      </c>
      <c r="R316" s="71" t="n">
        <f aca="false">SUM('Loan CF'!C1509:L1509)*Prepay_Pen</f>
        <v>0</v>
      </c>
      <c r="S316" s="71" t="n">
        <f aca="false">'Loan CF'!$C2721</f>
        <v>0</v>
      </c>
      <c r="T316" s="71" t="n">
        <f aca="false">SUM(O316:S316)</f>
        <v>0</v>
      </c>
      <c r="U316" s="71" t="n">
        <f aca="false">SUM('Loan CF'!C903:L903)</f>
        <v>0</v>
      </c>
      <c r="V316" s="71" t="n">
        <f aca="false">U316*Sev</f>
        <v>0</v>
      </c>
      <c r="W316" s="71" t="n">
        <f aca="false">T316-K316</f>
        <v>0</v>
      </c>
      <c r="X316" s="109" t="str">
        <f aca="false">IFERROR(IRR('Loan CF'!C3024:M3024),"-")</f>
        <v>-</v>
      </c>
      <c r="Y316" s="110" t="str">
        <f aca="false">IFERROR(T316/K316,"-")</f>
        <v>-</v>
      </c>
      <c r="Z316" s="71" t="n">
        <f aca="false">'Loan Tape'!$BC293</f>
        <v>0</v>
      </c>
      <c r="AA316" s="71" t="n">
        <f aca="false">'Loan Tape'!$BE293</f>
        <v>0</v>
      </c>
      <c r="AB316" s="71" t="n">
        <f aca="false">SUM('Loan CF'!D3933:M3933)-AA316</f>
        <v>0</v>
      </c>
      <c r="AC316" s="109" t="str">
        <f aca="false">IFERROR(IRR('Loan CF'!C3933:M3933),"-")</f>
        <v>-</v>
      </c>
      <c r="AD316" s="110" t="str">
        <f aca="false">IFERROR(SUM('Loan CF'!D3933:M3933)/AA316,"-")</f>
        <v>-</v>
      </c>
    </row>
    <row r="317" customFormat="false" ht="15" hidden="false" customHeight="false" outlineLevel="0" collapsed="false">
      <c r="B317" s="102" t="str">
        <f aca="false">IF('Loan Tape'!$A294="","",'Loan Tape'!$A294)</f>
        <v/>
      </c>
      <c r="C317" s="102" t="str">
        <f aca="false">IF('Loan Tape'!$A294="","",'Loan Tape'!$B294)</f>
        <v/>
      </c>
      <c r="D317" s="102" t="str">
        <f aca="false">IF('Loan Tape'!$A294="","",'Loan Tape'!$C294)</f>
        <v/>
      </c>
      <c r="E317" s="102" t="str">
        <f aca="false">IF('Loan Tape'!$A294="","",'Loan Tape'!$D294)</f>
        <v/>
      </c>
      <c r="F317" s="102" t="str">
        <f aca="false">IF('Loan Tape'!$A294="","",'Loan Tape'!$E294)</f>
        <v/>
      </c>
      <c r="G317" s="103" t="n">
        <f aca="false">'Loan Tape'!$AN294</f>
        <v>0</v>
      </c>
      <c r="H317" s="99" t="n">
        <f aca="false">'Loan Tape'!$R294*'Loan Tape'!$AN294</f>
        <v>0</v>
      </c>
      <c r="I317" s="104" t="n">
        <f aca="false">'Loan Tape'!$AO294</f>
        <v>0</v>
      </c>
      <c r="J317" s="99" t="n">
        <f aca="false">'Loan Tape'!$AY294</f>
        <v>0</v>
      </c>
      <c r="K317" s="99" t="n">
        <f aca="false">'Loan Tape'!$BB294</f>
        <v>0</v>
      </c>
      <c r="L317" s="104" t="n">
        <f aca="false">'Loan CF'!C601</f>
        <v>0</v>
      </c>
      <c r="M317" s="105" t="n">
        <f aca="false">'Loan Tape'!$AS294*'Loan Tape'!$AN294</f>
        <v>0</v>
      </c>
      <c r="N317" s="105" t="n">
        <f aca="false">IFERROR(SUMPRODUCT(('Loan CF'!$C$916:$L$916-0.5)*('Loan CF'!C1207:L1207+'Loan CF'!C1510:L1510+'Loan CF'!C1813:L1813))/(SUM('Loan CF'!C1207:L1207)+SUM('Loan CF'!C1510:L1510)+SUM('Loan CF'!C1813:L1813)),0)</f>
        <v>0</v>
      </c>
      <c r="O317" s="99" t="n">
        <f aca="false">SUM('Loan CF'!C2116:L2116)</f>
        <v>0</v>
      </c>
      <c r="P317" s="99" t="n">
        <f aca="false">SUM('Loan CF'!C1207:L1207)+SUM('Loan CF'!C1510:L1510)+SUM('Loan CF'!C1813:L1813)</f>
        <v>0</v>
      </c>
      <c r="Q317" s="99" t="n">
        <f aca="false">SUM('Loan CF'!C2419:L2419)</f>
        <v>0</v>
      </c>
      <c r="R317" s="99" t="n">
        <f aca="false">SUM('Loan CF'!C1510:L1510)*Prepay_Pen</f>
        <v>0</v>
      </c>
      <c r="S317" s="99" t="n">
        <f aca="false">'Loan CF'!$C2722</f>
        <v>0</v>
      </c>
      <c r="T317" s="99" t="n">
        <f aca="false">SUM(O317:S317)</f>
        <v>0</v>
      </c>
      <c r="U317" s="99" t="n">
        <f aca="false">SUM('Loan CF'!C904:L904)</f>
        <v>0</v>
      </c>
      <c r="V317" s="99" t="n">
        <f aca="false">U317*Sev</f>
        <v>0</v>
      </c>
      <c r="W317" s="99" t="n">
        <f aca="false">T317-K317</f>
        <v>0</v>
      </c>
      <c r="X317" s="106" t="str">
        <f aca="false">IFERROR(IRR('Loan CF'!C3025:M3025),"-")</f>
        <v>-</v>
      </c>
      <c r="Y317" s="107" t="str">
        <f aca="false">IFERROR(T317/K317,"-")</f>
        <v>-</v>
      </c>
      <c r="Z317" s="99" t="n">
        <f aca="false">'Loan Tape'!$BC294</f>
        <v>0</v>
      </c>
      <c r="AA317" s="99" t="n">
        <f aca="false">'Loan Tape'!$BE294</f>
        <v>0</v>
      </c>
      <c r="AB317" s="99" t="n">
        <f aca="false">SUM('Loan CF'!D3934:M3934)-AA317</f>
        <v>0</v>
      </c>
      <c r="AC317" s="106" t="str">
        <f aca="false">IFERROR(IRR('Loan CF'!C3934:M3934),"-")</f>
        <v>-</v>
      </c>
      <c r="AD317" s="107" t="str">
        <f aca="false">IFERROR(SUM('Loan CF'!D3934:M3934)/AA317,"-")</f>
        <v>-</v>
      </c>
    </row>
    <row r="318" customFormat="false" ht="15" hidden="false" customHeight="false" outlineLevel="0" collapsed="false">
      <c r="B318" s="108" t="str">
        <f aca="false">IF('Loan Tape'!$A295="","",'Loan Tape'!$A295)</f>
        <v/>
      </c>
      <c r="C318" s="108" t="str">
        <f aca="false">IF('Loan Tape'!$A295="","",'Loan Tape'!$B295)</f>
        <v/>
      </c>
      <c r="D318" s="108" t="str">
        <f aca="false">IF('Loan Tape'!$A295="","",'Loan Tape'!$C295)</f>
        <v/>
      </c>
      <c r="E318" s="108" t="str">
        <f aca="false">IF('Loan Tape'!$A295="","",'Loan Tape'!$D295)</f>
        <v/>
      </c>
      <c r="F318" s="108" t="str">
        <f aca="false">IF('Loan Tape'!$A295="","",'Loan Tape'!$E295)</f>
        <v/>
      </c>
      <c r="G318" s="26" t="n">
        <f aca="false">'Loan Tape'!$AN295</f>
        <v>0</v>
      </c>
      <c r="H318" s="71" t="n">
        <f aca="false">'Loan Tape'!$R295*'Loan Tape'!$AN295</f>
        <v>0</v>
      </c>
      <c r="I318" s="56" t="n">
        <f aca="false">'Loan Tape'!$AO295</f>
        <v>0</v>
      </c>
      <c r="J318" s="71" t="n">
        <f aca="false">'Loan Tape'!$AY295</f>
        <v>0</v>
      </c>
      <c r="K318" s="71" t="n">
        <f aca="false">'Loan Tape'!$BB295</f>
        <v>0</v>
      </c>
      <c r="L318" s="56" t="n">
        <f aca="false">'Loan CF'!C602</f>
        <v>0</v>
      </c>
      <c r="M318" s="70" t="n">
        <f aca="false">'Loan Tape'!$AS295*'Loan Tape'!$AN295</f>
        <v>0</v>
      </c>
      <c r="N318" s="70" t="n">
        <f aca="false">IFERROR(SUMPRODUCT(('Loan CF'!$C$916:$L$916-0.5)*('Loan CF'!C1208:L1208+'Loan CF'!C1511:L1511+'Loan CF'!C1814:L1814))/(SUM('Loan CF'!C1208:L1208)+SUM('Loan CF'!C1511:L1511)+SUM('Loan CF'!C1814:L1814)),0)</f>
        <v>0</v>
      </c>
      <c r="O318" s="71" t="n">
        <f aca="false">SUM('Loan CF'!C2117:L2117)</f>
        <v>0</v>
      </c>
      <c r="P318" s="71" t="n">
        <f aca="false">SUM('Loan CF'!C1208:L1208)+SUM('Loan CF'!C1511:L1511)+SUM('Loan CF'!C1814:L1814)</f>
        <v>0</v>
      </c>
      <c r="Q318" s="71" t="n">
        <f aca="false">SUM('Loan CF'!C2420:L2420)</f>
        <v>0</v>
      </c>
      <c r="R318" s="71" t="n">
        <f aca="false">SUM('Loan CF'!C1511:L1511)*Prepay_Pen</f>
        <v>0</v>
      </c>
      <c r="S318" s="71" t="n">
        <f aca="false">'Loan CF'!$C2723</f>
        <v>0</v>
      </c>
      <c r="T318" s="71" t="n">
        <f aca="false">SUM(O318:S318)</f>
        <v>0</v>
      </c>
      <c r="U318" s="71" t="n">
        <f aca="false">SUM('Loan CF'!C905:L905)</f>
        <v>0</v>
      </c>
      <c r="V318" s="71" t="n">
        <f aca="false">U318*Sev</f>
        <v>0</v>
      </c>
      <c r="W318" s="71" t="n">
        <f aca="false">T318-K318</f>
        <v>0</v>
      </c>
      <c r="X318" s="109" t="str">
        <f aca="false">IFERROR(IRR('Loan CF'!C3026:M3026),"-")</f>
        <v>-</v>
      </c>
      <c r="Y318" s="110" t="str">
        <f aca="false">IFERROR(T318/K318,"-")</f>
        <v>-</v>
      </c>
      <c r="Z318" s="71" t="n">
        <f aca="false">'Loan Tape'!$BC295</f>
        <v>0</v>
      </c>
      <c r="AA318" s="71" t="n">
        <f aca="false">'Loan Tape'!$BE295</f>
        <v>0</v>
      </c>
      <c r="AB318" s="71" t="n">
        <f aca="false">SUM('Loan CF'!D3935:M3935)-AA318</f>
        <v>0</v>
      </c>
      <c r="AC318" s="109" t="str">
        <f aca="false">IFERROR(IRR('Loan CF'!C3935:M3935),"-")</f>
        <v>-</v>
      </c>
      <c r="AD318" s="110" t="str">
        <f aca="false">IFERROR(SUM('Loan CF'!D3935:M3935)/AA318,"-")</f>
        <v>-</v>
      </c>
    </row>
    <row r="319" customFormat="false" ht="15" hidden="false" customHeight="false" outlineLevel="0" collapsed="false">
      <c r="B319" s="102" t="str">
        <f aca="false">IF('Loan Tape'!$A296="","",'Loan Tape'!$A296)</f>
        <v/>
      </c>
      <c r="C319" s="102" t="str">
        <f aca="false">IF('Loan Tape'!$A296="","",'Loan Tape'!$B296)</f>
        <v/>
      </c>
      <c r="D319" s="102" t="str">
        <f aca="false">IF('Loan Tape'!$A296="","",'Loan Tape'!$C296)</f>
        <v/>
      </c>
      <c r="E319" s="102" t="str">
        <f aca="false">IF('Loan Tape'!$A296="","",'Loan Tape'!$D296)</f>
        <v/>
      </c>
      <c r="F319" s="102" t="str">
        <f aca="false">IF('Loan Tape'!$A296="","",'Loan Tape'!$E296)</f>
        <v/>
      </c>
      <c r="G319" s="103" t="n">
        <f aca="false">'Loan Tape'!$AN296</f>
        <v>0</v>
      </c>
      <c r="H319" s="99" t="n">
        <f aca="false">'Loan Tape'!$R296*'Loan Tape'!$AN296</f>
        <v>0</v>
      </c>
      <c r="I319" s="104" t="n">
        <f aca="false">'Loan Tape'!$AO296</f>
        <v>0</v>
      </c>
      <c r="J319" s="99" t="n">
        <f aca="false">'Loan Tape'!$AY296</f>
        <v>0</v>
      </c>
      <c r="K319" s="99" t="n">
        <f aca="false">'Loan Tape'!$BB296</f>
        <v>0</v>
      </c>
      <c r="L319" s="104" t="n">
        <f aca="false">'Loan CF'!C603</f>
        <v>0</v>
      </c>
      <c r="M319" s="105" t="n">
        <f aca="false">'Loan Tape'!$AS296*'Loan Tape'!$AN296</f>
        <v>0</v>
      </c>
      <c r="N319" s="105" t="n">
        <f aca="false">IFERROR(SUMPRODUCT(('Loan CF'!$C$916:$L$916-0.5)*('Loan CF'!C1209:L1209+'Loan CF'!C1512:L1512+'Loan CF'!C1815:L1815))/(SUM('Loan CF'!C1209:L1209)+SUM('Loan CF'!C1512:L1512)+SUM('Loan CF'!C1815:L1815)),0)</f>
        <v>0</v>
      </c>
      <c r="O319" s="99" t="n">
        <f aca="false">SUM('Loan CF'!C2118:L2118)</f>
        <v>0</v>
      </c>
      <c r="P319" s="99" t="n">
        <f aca="false">SUM('Loan CF'!C1209:L1209)+SUM('Loan CF'!C1512:L1512)+SUM('Loan CF'!C1815:L1815)</f>
        <v>0</v>
      </c>
      <c r="Q319" s="99" t="n">
        <f aca="false">SUM('Loan CF'!C2421:L2421)</f>
        <v>0</v>
      </c>
      <c r="R319" s="99" t="n">
        <f aca="false">SUM('Loan CF'!C1512:L1512)*Prepay_Pen</f>
        <v>0</v>
      </c>
      <c r="S319" s="99" t="n">
        <f aca="false">'Loan CF'!$C2724</f>
        <v>0</v>
      </c>
      <c r="T319" s="99" t="n">
        <f aca="false">SUM(O319:S319)</f>
        <v>0</v>
      </c>
      <c r="U319" s="99" t="n">
        <f aca="false">SUM('Loan CF'!C906:L906)</f>
        <v>0</v>
      </c>
      <c r="V319" s="99" t="n">
        <f aca="false">U319*Sev</f>
        <v>0</v>
      </c>
      <c r="W319" s="99" t="n">
        <f aca="false">T319-K319</f>
        <v>0</v>
      </c>
      <c r="X319" s="106" t="str">
        <f aca="false">IFERROR(IRR('Loan CF'!C3027:M3027),"-")</f>
        <v>-</v>
      </c>
      <c r="Y319" s="107" t="str">
        <f aca="false">IFERROR(T319/K319,"-")</f>
        <v>-</v>
      </c>
      <c r="Z319" s="99" t="n">
        <f aca="false">'Loan Tape'!$BC296</f>
        <v>0</v>
      </c>
      <c r="AA319" s="99" t="n">
        <f aca="false">'Loan Tape'!$BE296</f>
        <v>0</v>
      </c>
      <c r="AB319" s="99" t="n">
        <f aca="false">SUM('Loan CF'!D3936:M3936)-AA319</f>
        <v>0</v>
      </c>
      <c r="AC319" s="106" t="str">
        <f aca="false">IFERROR(IRR('Loan CF'!C3936:M3936),"-")</f>
        <v>-</v>
      </c>
      <c r="AD319" s="107" t="str">
        <f aca="false">IFERROR(SUM('Loan CF'!D3936:M3936)/AA319,"-")</f>
        <v>-</v>
      </c>
    </row>
    <row r="320" customFormat="false" ht="15" hidden="false" customHeight="false" outlineLevel="0" collapsed="false">
      <c r="B320" s="108" t="str">
        <f aca="false">IF('Loan Tape'!$A297="","",'Loan Tape'!$A297)</f>
        <v/>
      </c>
      <c r="C320" s="108" t="str">
        <f aca="false">IF('Loan Tape'!$A297="","",'Loan Tape'!$B297)</f>
        <v/>
      </c>
      <c r="D320" s="108" t="str">
        <f aca="false">IF('Loan Tape'!$A297="","",'Loan Tape'!$C297)</f>
        <v/>
      </c>
      <c r="E320" s="108" t="str">
        <f aca="false">IF('Loan Tape'!$A297="","",'Loan Tape'!$D297)</f>
        <v/>
      </c>
      <c r="F320" s="108" t="str">
        <f aca="false">IF('Loan Tape'!$A297="","",'Loan Tape'!$E297)</f>
        <v/>
      </c>
      <c r="G320" s="26" t="n">
        <f aca="false">'Loan Tape'!$AN297</f>
        <v>0</v>
      </c>
      <c r="H320" s="71" t="n">
        <f aca="false">'Loan Tape'!$R297*'Loan Tape'!$AN297</f>
        <v>0</v>
      </c>
      <c r="I320" s="56" t="n">
        <f aca="false">'Loan Tape'!$AO297</f>
        <v>0</v>
      </c>
      <c r="J320" s="71" t="n">
        <f aca="false">'Loan Tape'!$AY297</f>
        <v>0</v>
      </c>
      <c r="K320" s="71" t="n">
        <f aca="false">'Loan Tape'!$BB297</f>
        <v>0</v>
      </c>
      <c r="L320" s="56" t="n">
        <f aca="false">'Loan CF'!C604</f>
        <v>0</v>
      </c>
      <c r="M320" s="70" t="n">
        <f aca="false">'Loan Tape'!$AS297*'Loan Tape'!$AN297</f>
        <v>0</v>
      </c>
      <c r="N320" s="70" t="n">
        <f aca="false">IFERROR(SUMPRODUCT(('Loan CF'!$C$916:$L$916-0.5)*('Loan CF'!C1210:L1210+'Loan CF'!C1513:L1513+'Loan CF'!C1816:L1816))/(SUM('Loan CF'!C1210:L1210)+SUM('Loan CF'!C1513:L1513)+SUM('Loan CF'!C1816:L1816)),0)</f>
        <v>0</v>
      </c>
      <c r="O320" s="71" t="n">
        <f aca="false">SUM('Loan CF'!C2119:L2119)</f>
        <v>0</v>
      </c>
      <c r="P320" s="71" t="n">
        <f aca="false">SUM('Loan CF'!C1210:L1210)+SUM('Loan CF'!C1513:L1513)+SUM('Loan CF'!C1816:L1816)</f>
        <v>0</v>
      </c>
      <c r="Q320" s="71" t="n">
        <f aca="false">SUM('Loan CF'!C2422:L2422)</f>
        <v>0</v>
      </c>
      <c r="R320" s="71" t="n">
        <f aca="false">SUM('Loan CF'!C1513:L1513)*Prepay_Pen</f>
        <v>0</v>
      </c>
      <c r="S320" s="71" t="n">
        <f aca="false">'Loan CF'!$C2725</f>
        <v>0</v>
      </c>
      <c r="T320" s="71" t="n">
        <f aca="false">SUM(O320:S320)</f>
        <v>0</v>
      </c>
      <c r="U320" s="71" t="n">
        <f aca="false">SUM('Loan CF'!C907:L907)</f>
        <v>0</v>
      </c>
      <c r="V320" s="71" t="n">
        <f aca="false">U320*Sev</f>
        <v>0</v>
      </c>
      <c r="W320" s="71" t="n">
        <f aca="false">T320-K320</f>
        <v>0</v>
      </c>
      <c r="X320" s="109" t="str">
        <f aca="false">IFERROR(IRR('Loan CF'!C3028:M3028),"-")</f>
        <v>-</v>
      </c>
      <c r="Y320" s="110" t="str">
        <f aca="false">IFERROR(T320/K320,"-")</f>
        <v>-</v>
      </c>
      <c r="Z320" s="71" t="n">
        <f aca="false">'Loan Tape'!$BC297</f>
        <v>0</v>
      </c>
      <c r="AA320" s="71" t="n">
        <f aca="false">'Loan Tape'!$BE297</f>
        <v>0</v>
      </c>
      <c r="AB320" s="71" t="n">
        <f aca="false">SUM('Loan CF'!D3937:M3937)-AA320</f>
        <v>0</v>
      </c>
      <c r="AC320" s="109" t="str">
        <f aca="false">IFERROR(IRR('Loan CF'!C3937:M3937),"-")</f>
        <v>-</v>
      </c>
      <c r="AD320" s="110" t="str">
        <f aca="false">IFERROR(SUM('Loan CF'!D3937:M3937)/AA320,"-")</f>
        <v>-</v>
      </c>
    </row>
    <row r="321" customFormat="false" ht="15" hidden="false" customHeight="false" outlineLevel="0" collapsed="false">
      <c r="B321" s="102" t="str">
        <f aca="false">IF('Loan Tape'!$A298="","",'Loan Tape'!$A298)</f>
        <v/>
      </c>
      <c r="C321" s="102" t="str">
        <f aca="false">IF('Loan Tape'!$A298="","",'Loan Tape'!$B298)</f>
        <v/>
      </c>
      <c r="D321" s="102" t="str">
        <f aca="false">IF('Loan Tape'!$A298="","",'Loan Tape'!$C298)</f>
        <v/>
      </c>
      <c r="E321" s="102" t="str">
        <f aca="false">IF('Loan Tape'!$A298="","",'Loan Tape'!$D298)</f>
        <v/>
      </c>
      <c r="F321" s="102" t="str">
        <f aca="false">IF('Loan Tape'!$A298="","",'Loan Tape'!$E298)</f>
        <v/>
      </c>
      <c r="G321" s="103" t="n">
        <f aca="false">'Loan Tape'!$AN298</f>
        <v>0</v>
      </c>
      <c r="H321" s="99" t="n">
        <f aca="false">'Loan Tape'!$R298*'Loan Tape'!$AN298</f>
        <v>0</v>
      </c>
      <c r="I321" s="104" t="n">
        <f aca="false">'Loan Tape'!$AO298</f>
        <v>0</v>
      </c>
      <c r="J321" s="99" t="n">
        <f aca="false">'Loan Tape'!$AY298</f>
        <v>0</v>
      </c>
      <c r="K321" s="99" t="n">
        <f aca="false">'Loan Tape'!$BB298</f>
        <v>0</v>
      </c>
      <c r="L321" s="104" t="n">
        <f aca="false">'Loan CF'!C605</f>
        <v>0</v>
      </c>
      <c r="M321" s="105" t="n">
        <f aca="false">'Loan Tape'!$AS298*'Loan Tape'!$AN298</f>
        <v>0</v>
      </c>
      <c r="N321" s="105" t="n">
        <f aca="false">IFERROR(SUMPRODUCT(('Loan CF'!$C$916:$L$916-0.5)*('Loan CF'!C1211:L1211+'Loan CF'!C1514:L1514+'Loan CF'!C1817:L1817))/(SUM('Loan CF'!C1211:L1211)+SUM('Loan CF'!C1514:L1514)+SUM('Loan CF'!C1817:L1817)),0)</f>
        <v>0</v>
      </c>
      <c r="O321" s="99" t="n">
        <f aca="false">SUM('Loan CF'!C2120:L2120)</f>
        <v>0</v>
      </c>
      <c r="P321" s="99" t="n">
        <f aca="false">SUM('Loan CF'!C1211:L1211)+SUM('Loan CF'!C1514:L1514)+SUM('Loan CF'!C1817:L1817)</f>
        <v>0</v>
      </c>
      <c r="Q321" s="99" t="n">
        <f aca="false">SUM('Loan CF'!C2423:L2423)</f>
        <v>0</v>
      </c>
      <c r="R321" s="99" t="n">
        <f aca="false">SUM('Loan CF'!C1514:L1514)*Prepay_Pen</f>
        <v>0</v>
      </c>
      <c r="S321" s="99" t="n">
        <f aca="false">'Loan CF'!$C2726</f>
        <v>0</v>
      </c>
      <c r="T321" s="99" t="n">
        <f aca="false">SUM(O321:S321)</f>
        <v>0</v>
      </c>
      <c r="U321" s="99" t="n">
        <f aca="false">SUM('Loan CF'!C908:L908)</f>
        <v>0</v>
      </c>
      <c r="V321" s="99" t="n">
        <f aca="false">U321*Sev</f>
        <v>0</v>
      </c>
      <c r="W321" s="99" t="n">
        <f aca="false">T321-K321</f>
        <v>0</v>
      </c>
      <c r="X321" s="106" t="str">
        <f aca="false">IFERROR(IRR('Loan CF'!C3029:M3029),"-")</f>
        <v>-</v>
      </c>
      <c r="Y321" s="107" t="str">
        <f aca="false">IFERROR(T321/K321,"-")</f>
        <v>-</v>
      </c>
      <c r="Z321" s="99" t="n">
        <f aca="false">'Loan Tape'!$BC298</f>
        <v>0</v>
      </c>
      <c r="AA321" s="99" t="n">
        <f aca="false">'Loan Tape'!$BE298</f>
        <v>0</v>
      </c>
      <c r="AB321" s="99" t="n">
        <f aca="false">SUM('Loan CF'!D3938:M3938)-AA321</f>
        <v>0</v>
      </c>
      <c r="AC321" s="106" t="str">
        <f aca="false">IFERROR(IRR('Loan CF'!C3938:M3938),"-")</f>
        <v>-</v>
      </c>
      <c r="AD321" s="107" t="str">
        <f aca="false">IFERROR(SUM('Loan CF'!D3938:M3938)/AA321,"-")</f>
        <v>-</v>
      </c>
    </row>
    <row r="322" customFormat="false" ht="15" hidden="false" customHeight="false" outlineLevel="0" collapsed="false">
      <c r="B322" s="108" t="str">
        <f aca="false">IF('Loan Tape'!$A299="","",'Loan Tape'!$A299)</f>
        <v/>
      </c>
      <c r="C322" s="108" t="str">
        <f aca="false">IF('Loan Tape'!$A299="","",'Loan Tape'!$B299)</f>
        <v/>
      </c>
      <c r="D322" s="108" t="str">
        <f aca="false">IF('Loan Tape'!$A299="","",'Loan Tape'!$C299)</f>
        <v/>
      </c>
      <c r="E322" s="108" t="str">
        <f aca="false">IF('Loan Tape'!$A299="","",'Loan Tape'!$D299)</f>
        <v/>
      </c>
      <c r="F322" s="108" t="str">
        <f aca="false">IF('Loan Tape'!$A299="","",'Loan Tape'!$E299)</f>
        <v/>
      </c>
      <c r="G322" s="26" t="n">
        <f aca="false">'Loan Tape'!$AN299</f>
        <v>0</v>
      </c>
      <c r="H322" s="71" t="n">
        <f aca="false">'Loan Tape'!$R299*'Loan Tape'!$AN299</f>
        <v>0</v>
      </c>
      <c r="I322" s="56" t="n">
        <f aca="false">'Loan Tape'!$AO299</f>
        <v>0</v>
      </c>
      <c r="J322" s="71" t="n">
        <f aca="false">'Loan Tape'!$AY299</f>
        <v>0</v>
      </c>
      <c r="K322" s="71" t="n">
        <f aca="false">'Loan Tape'!$BB299</f>
        <v>0</v>
      </c>
      <c r="L322" s="56" t="n">
        <f aca="false">'Loan CF'!C606</f>
        <v>0</v>
      </c>
      <c r="M322" s="70" t="n">
        <f aca="false">'Loan Tape'!$AS299*'Loan Tape'!$AN299</f>
        <v>0</v>
      </c>
      <c r="N322" s="70" t="n">
        <f aca="false">IFERROR(SUMPRODUCT(('Loan CF'!$C$916:$L$916-0.5)*('Loan CF'!C1212:L1212+'Loan CF'!C1515:L1515+'Loan CF'!C1818:L1818))/(SUM('Loan CF'!C1212:L1212)+SUM('Loan CF'!C1515:L1515)+SUM('Loan CF'!C1818:L1818)),0)</f>
        <v>0</v>
      </c>
      <c r="O322" s="71" t="n">
        <f aca="false">SUM('Loan CF'!C2121:L2121)</f>
        <v>0</v>
      </c>
      <c r="P322" s="71" t="n">
        <f aca="false">SUM('Loan CF'!C1212:L1212)+SUM('Loan CF'!C1515:L1515)+SUM('Loan CF'!C1818:L1818)</f>
        <v>0</v>
      </c>
      <c r="Q322" s="71" t="n">
        <f aca="false">SUM('Loan CF'!C2424:L2424)</f>
        <v>0</v>
      </c>
      <c r="R322" s="71" t="n">
        <f aca="false">SUM('Loan CF'!C1515:L1515)*Prepay_Pen</f>
        <v>0</v>
      </c>
      <c r="S322" s="71" t="n">
        <f aca="false">'Loan CF'!$C2727</f>
        <v>0</v>
      </c>
      <c r="T322" s="71" t="n">
        <f aca="false">SUM(O322:S322)</f>
        <v>0</v>
      </c>
      <c r="U322" s="71" t="n">
        <f aca="false">SUM('Loan CF'!C909:L909)</f>
        <v>0</v>
      </c>
      <c r="V322" s="71" t="n">
        <f aca="false">U322*Sev</f>
        <v>0</v>
      </c>
      <c r="W322" s="71" t="n">
        <f aca="false">T322-K322</f>
        <v>0</v>
      </c>
      <c r="X322" s="109" t="str">
        <f aca="false">IFERROR(IRR('Loan CF'!C3030:M3030),"-")</f>
        <v>-</v>
      </c>
      <c r="Y322" s="110" t="str">
        <f aca="false">IFERROR(T322/K322,"-")</f>
        <v>-</v>
      </c>
      <c r="Z322" s="71" t="n">
        <f aca="false">'Loan Tape'!$BC299</f>
        <v>0</v>
      </c>
      <c r="AA322" s="71" t="n">
        <f aca="false">'Loan Tape'!$BE299</f>
        <v>0</v>
      </c>
      <c r="AB322" s="71" t="n">
        <f aca="false">SUM('Loan CF'!D3939:M3939)-AA322</f>
        <v>0</v>
      </c>
      <c r="AC322" s="109" t="str">
        <f aca="false">IFERROR(IRR('Loan CF'!C3939:M3939),"-")</f>
        <v>-</v>
      </c>
      <c r="AD322" s="110" t="str">
        <f aca="false">IFERROR(SUM('Loan CF'!D3939:M3939)/AA322,"-")</f>
        <v>-</v>
      </c>
    </row>
    <row r="323" customFormat="false" ht="15" hidden="false" customHeight="false" outlineLevel="0" collapsed="false">
      <c r="B323" s="102" t="str">
        <f aca="false">IF('Loan Tape'!$A300="","",'Loan Tape'!$A300)</f>
        <v/>
      </c>
      <c r="C323" s="102" t="str">
        <f aca="false">IF('Loan Tape'!$A300="","",'Loan Tape'!$B300)</f>
        <v/>
      </c>
      <c r="D323" s="102" t="str">
        <f aca="false">IF('Loan Tape'!$A300="","",'Loan Tape'!$C300)</f>
        <v/>
      </c>
      <c r="E323" s="102" t="str">
        <f aca="false">IF('Loan Tape'!$A300="","",'Loan Tape'!$D300)</f>
        <v/>
      </c>
      <c r="F323" s="102" t="str">
        <f aca="false">IF('Loan Tape'!$A300="","",'Loan Tape'!$E300)</f>
        <v/>
      </c>
      <c r="G323" s="103" t="n">
        <f aca="false">'Loan Tape'!$AN300</f>
        <v>0</v>
      </c>
      <c r="H323" s="99" t="n">
        <f aca="false">'Loan Tape'!$R300*'Loan Tape'!$AN300</f>
        <v>0</v>
      </c>
      <c r="I323" s="104" t="n">
        <f aca="false">'Loan Tape'!$AO300</f>
        <v>0</v>
      </c>
      <c r="J323" s="99" t="n">
        <f aca="false">'Loan Tape'!$AY300</f>
        <v>0</v>
      </c>
      <c r="K323" s="99" t="n">
        <f aca="false">'Loan Tape'!$BB300</f>
        <v>0</v>
      </c>
      <c r="L323" s="104" t="n">
        <f aca="false">'Loan CF'!C607</f>
        <v>0</v>
      </c>
      <c r="M323" s="105" t="n">
        <f aca="false">'Loan Tape'!$AS300*'Loan Tape'!$AN300</f>
        <v>0</v>
      </c>
      <c r="N323" s="105" t="n">
        <f aca="false">IFERROR(SUMPRODUCT(('Loan CF'!$C$916:$L$916-0.5)*('Loan CF'!C1213:L1213+'Loan CF'!C1516:L1516+'Loan CF'!C1819:L1819))/(SUM('Loan CF'!C1213:L1213)+SUM('Loan CF'!C1516:L1516)+SUM('Loan CF'!C1819:L1819)),0)</f>
        <v>0</v>
      </c>
      <c r="O323" s="99" t="n">
        <f aca="false">SUM('Loan CF'!C2122:L2122)</f>
        <v>0</v>
      </c>
      <c r="P323" s="99" t="n">
        <f aca="false">SUM('Loan CF'!C1213:L1213)+SUM('Loan CF'!C1516:L1516)+SUM('Loan CF'!C1819:L1819)</f>
        <v>0</v>
      </c>
      <c r="Q323" s="99" t="n">
        <f aca="false">SUM('Loan CF'!C2425:L2425)</f>
        <v>0</v>
      </c>
      <c r="R323" s="99" t="n">
        <f aca="false">SUM('Loan CF'!C1516:L1516)*Prepay_Pen</f>
        <v>0</v>
      </c>
      <c r="S323" s="99" t="n">
        <f aca="false">'Loan CF'!$C2728</f>
        <v>0</v>
      </c>
      <c r="T323" s="99" t="n">
        <f aca="false">SUM(O323:S323)</f>
        <v>0</v>
      </c>
      <c r="U323" s="99" t="n">
        <f aca="false">SUM('Loan CF'!C910:L910)</f>
        <v>0</v>
      </c>
      <c r="V323" s="99" t="n">
        <f aca="false">U323*Sev</f>
        <v>0</v>
      </c>
      <c r="W323" s="99" t="n">
        <f aca="false">T323-K323</f>
        <v>0</v>
      </c>
      <c r="X323" s="106" t="str">
        <f aca="false">IFERROR(IRR('Loan CF'!C3031:M3031),"-")</f>
        <v>-</v>
      </c>
      <c r="Y323" s="107" t="str">
        <f aca="false">IFERROR(T323/K323,"-")</f>
        <v>-</v>
      </c>
      <c r="Z323" s="99" t="n">
        <f aca="false">'Loan Tape'!$BC300</f>
        <v>0</v>
      </c>
      <c r="AA323" s="99" t="n">
        <f aca="false">'Loan Tape'!$BE300</f>
        <v>0</v>
      </c>
      <c r="AB323" s="99" t="n">
        <f aca="false">SUM('Loan CF'!D3940:M3940)-AA323</f>
        <v>0</v>
      </c>
      <c r="AC323" s="106" t="str">
        <f aca="false">IFERROR(IRR('Loan CF'!C3940:M3940),"-")</f>
        <v>-</v>
      </c>
      <c r="AD323" s="107" t="str">
        <f aca="false">IFERROR(SUM('Loan CF'!D3940:M3940)/AA323,"-")</f>
        <v>-</v>
      </c>
    </row>
    <row r="324" customFormat="false" ht="15" hidden="false" customHeight="false" outlineLevel="0" collapsed="false">
      <c r="B324" s="108" t="str">
        <f aca="false">IF('Loan Tape'!$A301="","",'Loan Tape'!$A301)</f>
        <v/>
      </c>
      <c r="C324" s="108" t="str">
        <f aca="false">IF('Loan Tape'!$A301="","",'Loan Tape'!$B301)</f>
        <v/>
      </c>
      <c r="D324" s="108" t="str">
        <f aca="false">IF('Loan Tape'!$A301="","",'Loan Tape'!$C301)</f>
        <v/>
      </c>
      <c r="E324" s="108" t="str">
        <f aca="false">IF('Loan Tape'!$A301="","",'Loan Tape'!$D301)</f>
        <v/>
      </c>
      <c r="F324" s="108" t="str">
        <f aca="false">IF('Loan Tape'!$A301="","",'Loan Tape'!$E301)</f>
        <v/>
      </c>
      <c r="G324" s="26" t="n">
        <f aca="false">'Loan Tape'!$AN301</f>
        <v>0</v>
      </c>
      <c r="H324" s="71" t="n">
        <f aca="false">'Loan Tape'!$R301*'Loan Tape'!$AN301</f>
        <v>0</v>
      </c>
      <c r="I324" s="56" t="n">
        <f aca="false">'Loan Tape'!$AO301</f>
        <v>0</v>
      </c>
      <c r="J324" s="71" t="n">
        <f aca="false">'Loan Tape'!$AY301</f>
        <v>0</v>
      </c>
      <c r="K324" s="71" t="n">
        <f aca="false">'Loan Tape'!$BB301</f>
        <v>0</v>
      </c>
      <c r="L324" s="56" t="n">
        <f aca="false">'Loan CF'!C608</f>
        <v>0</v>
      </c>
      <c r="M324" s="70" t="n">
        <f aca="false">'Loan Tape'!$AS301*'Loan Tape'!$AN301</f>
        <v>0</v>
      </c>
      <c r="N324" s="70" t="n">
        <f aca="false">IFERROR(SUMPRODUCT(('Loan CF'!$C$916:$L$916-0.5)*('Loan CF'!C1214:L1214+'Loan CF'!C1517:L1517+'Loan CF'!C1820:L1820))/(SUM('Loan CF'!C1214:L1214)+SUM('Loan CF'!C1517:L1517)+SUM('Loan CF'!C1820:L1820)),0)</f>
        <v>0</v>
      </c>
      <c r="O324" s="71" t="n">
        <f aca="false">SUM('Loan CF'!C2123:L2123)</f>
        <v>0</v>
      </c>
      <c r="P324" s="71" t="n">
        <f aca="false">SUM('Loan CF'!C1214:L1214)+SUM('Loan CF'!C1517:L1517)+SUM('Loan CF'!C1820:L1820)</f>
        <v>0</v>
      </c>
      <c r="Q324" s="71" t="n">
        <f aca="false">SUM('Loan CF'!C2426:L2426)</f>
        <v>0</v>
      </c>
      <c r="R324" s="71" t="n">
        <f aca="false">SUM('Loan CF'!C1517:L1517)*Prepay_Pen</f>
        <v>0</v>
      </c>
      <c r="S324" s="71" t="n">
        <f aca="false">'Loan CF'!$C2729</f>
        <v>0</v>
      </c>
      <c r="T324" s="71" t="n">
        <f aca="false">SUM(O324:S324)</f>
        <v>0</v>
      </c>
      <c r="U324" s="71" t="n">
        <f aca="false">SUM('Loan CF'!C911:L911)</f>
        <v>0</v>
      </c>
      <c r="V324" s="71" t="n">
        <f aca="false">U324*Sev</f>
        <v>0</v>
      </c>
      <c r="W324" s="71" t="n">
        <f aca="false">T324-K324</f>
        <v>0</v>
      </c>
      <c r="X324" s="109" t="str">
        <f aca="false">IFERROR(IRR('Loan CF'!C3032:M3032),"-")</f>
        <v>-</v>
      </c>
      <c r="Y324" s="110" t="str">
        <f aca="false">IFERROR(T324/K324,"-")</f>
        <v>-</v>
      </c>
      <c r="Z324" s="71" t="n">
        <f aca="false">'Loan Tape'!$BC301</f>
        <v>0</v>
      </c>
      <c r="AA324" s="71" t="n">
        <f aca="false">'Loan Tape'!$BE301</f>
        <v>0</v>
      </c>
      <c r="AB324" s="71" t="n">
        <f aca="false">SUM('Loan CF'!D3941:M3941)-AA324</f>
        <v>0</v>
      </c>
      <c r="AC324" s="109" t="str">
        <f aca="false">IFERROR(IRR('Loan CF'!C3941:M3941),"-")</f>
        <v>-</v>
      </c>
      <c r="AD324" s="110" t="str">
        <f aca="false">IFERROR(SUM('Loan CF'!D3941:M3941)/AA324,"-")</f>
        <v>-</v>
      </c>
    </row>
    <row r="325" customFormat="false" ht="15" hidden="false" customHeight="false" outlineLevel="0" collapsed="false">
      <c r="B325" s="102" t="str">
        <f aca="false">IF('Loan Tape'!$A302="","",'Loan Tape'!$A302)</f>
        <v/>
      </c>
      <c r="C325" s="102" t="str">
        <f aca="false">IF('Loan Tape'!$A302="","",'Loan Tape'!$B302)</f>
        <v/>
      </c>
      <c r="D325" s="102" t="str">
        <f aca="false">IF('Loan Tape'!$A302="","",'Loan Tape'!$C302)</f>
        <v/>
      </c>
      <c r="E325" s="102" t="str">
        <f aca="false">IF('Loan Tape'!$A302="","",'Loan Tape'!$D302)</f>
        <v/>
      </c>
      <c r="F325" s="102" t="str">
        <f aca="false">IF('Loan Tape'!$A302="","",'Loan Tape'!$E302)</f>
        <v/>
      </c>
      <c r="G325" s="103" t="n">
        <f aca="false">'Loan Tape'!$AN302</f>
        <v>0</v>
      </c>
      <c r="H325" s="99" t="n">
        <f aca="false">'Loan Tape'!$R302*'Loan Tape'!$AN302</f>
        <v>0</v>
      </c>
      <c r="I325" s="104" t="n">
        <f aca="false">'Loan Tape'!$AO302</f>
        <v>0</v>
      </c>
      <c r="J325" s="99" t="n">
        <f aca="false">'Loan Tape'!$AY302</f>
        <v>0</v>
      </c>
      <c r="K325" s="99" t="n">
        <f aca="false">'Loan Tape'!$BB302</f>
        <v>0</v>
      </c>
      <c r="L325" s="104" t="n">
        <f aca="false">'Loan CF'!C609</f>
        <v>0</v>
      </c>
      <c r="M325" s="105" t="n">
        <f aca="false">'Loan Tape'!$AS302*'Loan Tape'!$AN302</f>
        <v>0</v>
      </c>
      <c r="N325" s="105" t="n">
        <f aca="false">IFERROR(SUMPRODUCT(('Loan CF'!$C$916:$L$916-0.5)*('Loan CF'!C1215:L1215+'Loan CF'!C1518:L1518+'Loan CF'!C1821:L1821))/(SUM('Loan CF'!C1215:L1215)+SUM('Loan CF'!C1518:L1518)+SUM('Loan CF'!C1821:L1821)),0)</f>
        <v>0</v>
      </c>
      <c r="O325" s="99" t="n">
        <f aca="false">SUM('Loan CF'!C2124:L2124)</f>
        <v>0</v>
      </c>
      <c r="P325" s="99" t="n">
        <f aca="false">SUM('Loan CF'!C1215:L1215)+SUM('Loan CF'!C1518:L1518)+SUM('Loan CF'!C1821:L1821)</f>
        <v>0</v>
      </c>
      <c r="Q325" s="99" t="n">
        <f aca="false">SUM('Loan CF'!C2427:L2427)</f>
        <v>0</v>
      </c>
      <c r="R325" s="99" t="n">
        <f aca="false">SUM('Loan CF'!C1518:L1518)*Prepay_Pen</f>
        <v>0</v>
      </c>
      <c r="S325" s="99" t="n">
        <f aca="false">'Loan CF'!$C2730</f>
        <v>0</v>
      </c>
      <c r="T325" s="99" t="n">
        <f aca="false">SUM(O325:S325)</f>
        <v>0</v>
      </c>
      <c r="U325" s="99" t="n">
        <f aca="false">SUM('Loan CF'!C912:L912)</f>
        <v>0</v>
      </c>
      <c r="V325" s="99" t="n">
        <f aca="false">U325*Sev</f>
        <v>0</v>
      </c>
      <c r="W325" s="99" t="n">
        <f aca="false">T325-K325</f>
        <v>0</v>
      </c>
      <c r="X325" s="106" t="str">
        <f aca="false">IFERROR(IRR('Loan CF'!C3033:M3033),"-")</f>
        <v>-</v>
      </c>
      <c r="Y325" s="107" t="str">
        <f aca="false">IFERROR(T325/K325,"-")</f>
        <v>-</v>
      </c>
      <c r="Z325" s="99" t="n">
        <f aca="false">'Loan Tape'!$BC302</f>
        <v>0</v>
      </c>
      <c r="AA325" s="99" t="n">
        <f aca="false">'Loan Tape'!$BE302</f>
        <v>0</v>
      </c>
      <c r="AB325" s="99" t="n">
        <f aca="false">SUM('Loan CF'!D3942:M3942)-AA325</f>
        <v>0</v>
      </c>
      <c r="AC325" s="106" t="str">
        <f aca="false">IFERROR(IRR('Loan CF'!C3942:M3942),"-")</f>
        <v>-</v>
      </c>
      <c r="AD325" s="107" t="str">
        <f aca="false">IFERROR(SUM('Loan CF'!D3942:M3942)/AA325,"-")</f>
        <v>-</v>
      </c>
    </row>
    <row r="326" customFormat="false" ht="15" hidden="false" customHeight="false" outlineLevel="0" collapsed="false">
      <c r="B326" s="108" t="str">
        <f aca="false">IF('Loan Tape'!$A303="","",'Loan Tape'!$A303)</f>
        <v/>
      </c>
      <c r="C326" s="108" t="str">
        <f aca="false">IF('Loan Tape'!$A303="","",'Loan Tape'!$B303)</f>
        <v/>
      </c>
      <c r="D326" s="108" t="str">
        <f aca="false">IF('Loan Tape'!$A303="","",'Loan Tape'!$C303)</f>
        <v/>
      </c>
      <c r="E326" s="108" t="str">
        <f aca="false">IF('Loan Tape'!$A303="","",'Loan Tape'!$D303)</f>
        <v/>
      </c>
      <c r="F326" s="108" t="str">
        <f aca="false">IF('Loan Tape'!$A303="","",'Loan Tape'!$E303)</f>
        <v/>
      </c>
      <c r="G326" s="26" t="n">
        <f aca="false">'Loan Tape'!$AN303</f>
        <v>0</v>
      </c>
      <c r="H326" s="71" t="n">
        <f aca="false">'Loan Tape'!$R303*'Loan Tape'!$AN303</f>
        <v>0</v>
      </c>
      <c r="I326" s="56" t="n">
        <f aca="false">'Loan Tape'!$AO303</f>
        <v>0</v>
      </c>
      <c r="J326" s="71" t="n">
        <f aca="false">'Loan Tape'!$AY303</f>
        <v>0</v>
      </c>
      <c r="K326" s="71" t="n">
        <f aca="false">'Loan Tape'!$BB303</f>
        <v>0</v>
      </c>
      <c r="L326" s="56" t="n">
        <f aca="false">'Loan CF'!C610</f>
        <v>0</v>
      </c>
      <c r="M326" s="70" t="n">
        <f aca="false">'Loan Tape'!$AS303*'Loan Tape'!$AN303</f>
        <v>0</v>
      </c>
      <c r="N326" s="70" t="n">
        <f aca="false">IFERROR(SUMPRODUCT(('Loan CF'!$C$916:$L$916-0.5)*('Loan CF'!C1216:L1216+'Loan CF'!C1519:L1519+'Loan CF'!C1822:L1822))/(SUM('Loan CF'!C1216:L1216)+SUM('Loan CF'!C1519:L1519)+SUM('Loan CF'!C1822:L1822)),0)</f>
        <v>0</v>
      </c>
      <c r="O326" s="71" t="n">
        <f aca="false">SUM('Loan CF'!C2125:L2125)</f>
        <v>0</v>
      </c>
      <c r="P326" s="71" t="n">
        <f aca="false">SUM('Loan CF'!C1216:L1216)+SUM('Loan CF'!C1519:L1519)+SUM('Loan CF'!C1822:L1822)</f>
        <v>0</v>
      </c>
      <c r="Q326" s="71" t="n">
        <f aca="false">SUM('Loan CF'!C2428:L2428)</f>
        <v>0</v>
      </c>
      <c r="R326" s="71" t="n">
        <f aca="false">SUM('Loan CF'!C1519:L1519)*Prepay_Pen</f>
        <v>0</v>
      </c>
      <c r="S326" s="71" t="n">
        <f aca="false">'Loan CF'!$C2731</f>
        <v>0</v>
      </c>
      <c r="T326" s="71" t="n">
        <f aca="false">SUM(O326:S326)</f>
        <v>0</v>
      </c>
      <c r="U326" s="71" t="n">
        <f aca="false">SUM('Loan CF'!C913:L913)</f>
        <v>0</v>
      </c>
      <c r="V326" s="71" t="n">
        <f aca="false">U326*Sev</f>
        <v>0</v>
      </c>
      <c r="W326" s="71" t="n">
        <f aca="false">T326-K326</f>
        <v>0</v>
      </c>
      <c r="X326" s="109" t="str">
        <f aca="false">IFERROR(IRR('Loan CF'!C3034:M3034),"-")</f>
        <v>-</v>
      </c>
      <c r="Y326" s="110" t="str">
        <f aca="false">IFERROR(T326/K326,"-")</f>
        <v>-</v>
      </c>
      <c r="Z326" s="71" t="n">
        <f aca="false">'Loan Tape'!$BC303</f>
        <v>0</v>
      </c>
      <c r="AA326" s="71" t="n">
        <f aca="false">'Loan Tape'!$BE303</f>
        <v>0</v>
      </c>
      <c r="AB326" s="71" t="n">
        <f aca="false">SUM('Loan CF'!D3943:M3943)-AA326</f>
        <v>0</v>
      </c>
      <c r="AC326" s="109" t="str">
        <f aca="false">IFERROR(IRR('Loan CF'!C3943:M3943),"-")</f>
        <v>-</v>
      </c>
      <c r="AD326" s="110" t="str">
        <f aca="false">IFERROR(SUM('Loan CF'!D3943:M3943)/AA326,"-")</f>
        <v>-</v>
      </c>
    </row>
    <row r="327" customFormat="false" ht="15" hidden="false" customHeight="false" outlineLevel="0" collapsed="false">
      <c r="B327" s="111" t="s">
        <v>405</v>
      </c>
      <c r="C327" s="111" t="str">
        <f aca="false">TEXT(SUM(G27:G326),"#,##0")&amp;" loans in scope"</f>
        <v>50 loans in scope</v>
      </c>
      <c r="D327" s="112"/>
      <c r="E327" s="112"/>
      <c r="F327" s="112"/>
      <c r="G327" s="113" t="n">
        <f aca="false">SUM(G27:G326)</f>
        <v>50</v>
      </c>
      <c r="H327" s="114" t="n">
        <f aca="false">SUM(H27:H326)</f>
        <v>2495610000</v>
      </c>
      <c r="I327" s="115" t="n">
        <f aca="false">IFERROR(SUMPRODUCT($I$27:$I$326,$H$27:$H$326)/SUM($H$27:$H$326),0)</f>
        <v>0.94</v>
      </c>
      <c r="J327" s="114" t="n">
        <f aca="false">SUM(J27:J326)</f>
        <v>2345873400</v>
      </c>
      <c r="K327" s="114" t="n">
        <f aca="false">SUM(K27:K326)</f>
        <v>2367210865.5</v>
      </c>
      <c r="L327" s="115" t="n">
        <f aca="false">IFERROR(SUMPRODUCT($L$27:$L$326,$H$27:$H$326)/SUM($H$27:$H$326),0)</f>
        <v>0.0703302917122467</v>
      </c>
      <c r="M327" s="116" t="n">
        <f aca="false">IFERROR(SUMPRODUCT($M$27:$M$326,$H$27:$H$326)/SUM($H$27:$H$326),0)</f>
        <v>2.81130907187189</v>
      </c>
      <c r="N327" s="116" t="n">
        <f aca="false">IFERROR(SUMPRODUCT($N$27:$N$326,$H$27:$H$326)/SUM($H$27:$H$326),0)</f>
        <v>1.74162468731618</v>
      </c>
      <c r="O327" s="114" t="n">
        <f aca="false">SUM(O27:O326)</f>
        <v>344291047.292375</v>
      </c>
      <c r="P327" s="114" t="n">
        <f aca="false">SUM(P27:P326)</f>
        <v>2161015197.17316</v>
      </c>
      <c r="Q327" s="114" t="n">
        <f aca="false">SUM(Q27:Q326)</f>
        <v>70880923.0999049</v>
      </c>
      <c r="R327" s="114" t="n">
        <f aca="false">SUM(R27:R326)</f>
        <v>5380934.80928673</v>
      </c>
      <c r="S327" s="114" t="n">
        <f aca="false">SUM(S27:S326)</f>
        <v>223518153.554772</v>
      </c>
      <c r="T327" s="114" t="n">
        <f aca="false">SUM(T27:T326)</f>
        <v>2805086255.9295</v>
      </c>
      <c r="U327" s="114" t="n">
        <f aca="false">SUM(U27:U326)</f>
        <v>107618696.185735</v>
      </c>
      <c r="V327" s="114" t="n">
        <f aca="false">SUM(V27:V326)</f>
        <v>32285608.8557204</v>
      </c>
      <c r="W327" s="114" t="n">
        <f aca="false">SUM(W27:W326)</f>
        <v>437875390.429498</v>
      </c>
      <c r="X327" s="117" t="n">
        <f aca="false">'Pool Returns'!$C$66</f>
        <v>0.0756570666105063</v>
      </c>
      <c r="Y327" s="118" t="n">
        <f aca="false">IFERROR(T327/K327,"-")</f>
        <v>1.18497523681187</v>
      </c>
      <c r="Z327" s="114" t="n">
        <f aca="false">SUM(Z27:Z326)</f>
        <v>1407524040</v>
      </c>
      <c r="AA327" s="114" t="n">
        <f aca="false">SUM(AA27:AA326)</f>
        <v>966724445.7</v>
      </c>
      <c r="AB327" s="114" t="n">
        <f aca="false">SUM(AB27:AB326)</f>
        <v>273412642.483911</v>
      </c>
      <c r="AC327" s="117" t="n">
        <f aca="false">'Pool Returns'!$D$66</f>
        <v>0.0978408050334518</v>
      </c>
      <c r="AD327" s="118" t="n">
        <f aca="false">IFERROR((AB327+AA327)/AA327,"-")</f>
        <v>1.28282375986255</v>
      </c>
    </row>
    <row r="329" customFormat="false" ht="15" hidden="false" customHeight="false" outlineLevel="0" collapsed="false">
      <c r="B329" s="30" t="s">
        <v>574</v>
      </c>
    </row>
  </sheetData>
  <autoFilter ref="B26:AD326"/>
  <mergeCells count="3">
    <mergeCell ref="B2:AD2"/>
    <mergeCell ref="B5:M5"/>
    <mergeCell ref="B25:AD25"/>
  </mergeCells>
  <conditionalFormatting sqref="AC27:AC326">
    <cfRule type="colorScale" priority="2">
      <colorScale>
        <cfvo type="min" val="0"/>
        <cfvo type="percentile" val="50"/>
        <cfvo type="max" val="0"/>
        <color rgb="FFF2DCDB"/>
        <color rgb="FFFFFFFF"/>
        <color rgb="FFE2EFDA"/>
      </colorScale>
    </cfRule>
  </conditionalFormatting>
  <dataValidations count="1">
    <dataValidation allowBlank="false" errorStyle="stop" operator="between" showDropDown="false" showErrorMessage="false" showInputMessage="false" sqref="C6" type="list">
      <formula1>'Loan Tape'!$A$4:$A$303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E1F2"/>
    <pageSetUpPr fitToPage="false"/>
  </sheetPr>
  <dimension ref="B2:O39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13" min="3" style="0" width="14"/>
  </cols>
  <sheetData>
    <row r="2" customFormat="false" ht="18" hidden="false" customHeight="true" outlineLevel="0" collapsed="false">
      <c r="B2" s="5" t="s">
        <v>575</v>
      </c>
      <c r="C2" s="5"/>
      <c r="D2" s="5"/>
      <c r="E2" s="5"/>
      <c r="F2" s="5"/>
      <c r="G2" s="5"/>
      <c r="H2" s="5"/>
      <c r="I2" s="5"/>
      <c r="J2" s="5"/>
      <c r="K2" s="5"/>
      <c r="L2" s="5"/>
      <c r="M2" s="5"/>
    </row>
    <row r="3" customFormat="false" ht="15" hidden="false" customHeight="false" outlineLevel="0" collapsed="false">
      <c r="B3" s="30" t="s">
        <v>576</v>
      </c>
    </row>
    <row r="6" customFormat="false" ht="18" hidden="false" customHeight="true" outlineLevel="0" collapsed="false">
      <c r="B6" s="5" t="s">
        <v>577</v>
      </c>
      <c r="C6" s="5"/>
      <c r="D6" s="5"/>
      <c r="E6" s="5"/>
      <c r="F6" s="5"/>
      <c r="G6" s="5"/>
      <c r="H6" s="5"/>
      <c r="I6" s="5"/>
      <c r="J6" s="5"/>
      <c r="K6" s="5"/>
      <c r="L6" s="5"/>
      <c r="M6" s="5"/>
      <c r="O6" s="30" t="s">
        <v>578</v>
      </c>
    </row>
    <row r="7" customFormat="false" ht="15.75" hidden="false" customHeight="true" outlineLevel="0" collapsed="false">
      <c r="B7" s="54" t="s">
        <v>148</v>
      </c>
      <c r="C7" s="55" t="n">
        <v>1</v>
      </c>
      <c r="D7" s="55" t="n">
        <v>2</v>
      </c>
      <c r="E7" s="55" t="n">
        <v>3</v>
      </c>
      <c r="F7" s="55" t="n">
        <v>4</v>
      </c>
      <c r="G7" s="55" t="n">
        <v>5</v>
      </c>
      <c r="H7" s="55" t="n">
        <v>6</v>
      </c>
      <c r="I7" s="55" t="n">
        <v>7</v>
      </c>
      <c r="J7" s="55" t="n">
        <v>8</v>
      </c>
      <c r="K7" s="55" t="n">
        <v>9</v>
      </c>
      <c r="L7" s="55" t="n">
        <v>10</v>
      </c>
      <c r="M7" s="55" t="n">
        <v>11</v>
      </c>
    </row>
    <row r="8" customFormat="false" ht="15" hidden="false" customHeight="false" outlineLevel="0" collapsed="false">
      <c r="B8" s="102" t="str">
        <f aca="false">'Loan Tape'!$A4</f>
        <v>L-001</v>
      </c>
      <c r="C8" s="99" t="n">
        <f aca="false">IF('Loan Tape'!$AN4=0,0,'Loan Tape'!$R4)</f>
        <v>8155000</v>
      </c>
      <c r="D8" s="99" t="n">
        <f aca="false">MAX(0,C8-C614-C917-C1220-C1523)</f>
        <v>0</v>
      </c>
      <c r="E8" s="99" t="n">
        <f aca="false">MAX(0,D8-D614-D917-D1220-D1523)</f>
        <v>0</v>
      </c>
      <c r="F8" s="99" t="n">
        <f aca="false">MAX(0,E8-E614-E917-E1220-E1523)</f>
        <v>0</v>
      </c>
      <c r="G8" s="99" t="n">
        <f aca="false">MAX(0,F8-F614-F917-F1220-F1523)</f>
        <v>0</v>
      </c>
      <c r="H8" s="99" t="n">
        <f aca="false">MAX(0,G8-G614-G917-G1220-G1523)</f>
        <v>0</v>
      </c>
      <c r="I8" s="99" t="n">
        <f aca="false">MAX(0,H8-H614-H917-H1220-H1523)</f>
        <v>0</v>
      </c>
      <c r="J8" s="99" t="n">
        <f aca="false">MAX(0,I8-I614-I917-I1220-I1523)</f>
        <v>0</v>
      </c>
      <c r="K8" s="99" t="n">
        <f aca="false">MAX(0,J8-J614-J917-J1220-J1523)</f>
        <v>0</v>
      </c>
      <c r="L8" s="99" t="n">
        <f aca="false">MAX(0,K8-K614-K917-K1220-K1523)</f>
        <v>0</v>
      </c>
      <c r="M8" s="99" t="n">
        <f aca="false">MAX(0,L8-L614-L917-L1220-L1523)</f>
        <v>0</v>
      </c>
    </row>
    <row r="9" customFormat="false" ht="15" hidden="false" customHeight="false" outlineLevel="0" collapsed="false">
      <c r="B9" s="108" t="str">
        <f aca="false">'Loan Tape'!$A5</f>
        <v>L-002</v>
      </c>
      <c r="C9" s="71" t="n">
        <f aca="false">IF('Loan Tape'!$AN5=0,0,'Loan Tape'!$R5)</f>
        <v>10687000</v>
      </c>
      <c r="D9" s="71" t="n">
        <f aca="false">MAX(0,C9-C615-C918-C1221-C1524)</f>
        <v>9153644.15277283</v>
      </c>
      <c r="E9" s="71" t="n">
        <f aca="false">MAX(0,D9-D615-D918-D1221-D1524)</f>
        <v>0</v>
      </c>
      <c r="F9" s="71" t="n">
        <f aca="false">MAX(0,E9-E615-E918-E1221-E1524)</f>
        <v>0</v>
      </c>
      <c r="G9" s="71" t="n">
        <f aca="false">MAX(0,F9-F615-F918-F1221-F1524)</f>
        <v>0</v>
      </c>
      <c r="H9" s="71" t="n">
        <f aca="false">MAX(0,G9-G615-G918-G1221-G1524)</f>
        <v>0</v>
      </c>
      <c r="I9" s="71" t="n">
        <f aca="false">MAX(0,H9-H615-H918-H1221-H1524)</f>
        <v>0</v>
      </c>
      <c r="J9" s="71" t="n">
        <f aca="false">MAX(0,I9-I615-I918-I1221-I1524)</f>
        <v>0</v>
      </c>
      <c r="K9" s="71" t="n">
        <f aca="false">MAX(0,J9-J615-J918-J1221-J1524)</f>
        <v>0</v>
      </c>
      <c r="L9" s="71" t="n">
        <f aca="false">MAX(0,K9-K615-K918-K1221-K1524)</f>
        <v>0</v>
      </c>
      <c r="M9" s="71" t="n">
        <f aca="false">MAX(0,L9-L615-L918-L1221-L1524)</f>
        <v>0</v>
      </c>
    </row>
    <row r="10" customFormat="false" ht="15" hidden="false" customHeight="false" outlineLevel="0" collapsed="false">
      <c r="B10" s="102" t="str">
        <f aca="false">'Loan Tape'!$A6</f>
        <v>L-003</v>
      </c>
      <c r="C10" s="99" t="n">
        <f aca="false">IF('Loan Tape'!$AN6=0,0,'Loan Tape'!$R6)</f>
        <v>119229000</v>
      </c>
      <c r="D10" s="99" t="n">
        <f aca="false">MAX(0,C10-C616-C919-C1222-C1525)</f>
        <v>103462369.679664</v>
      </c>
      <c r="E10" s="99" t="n">
        <f aca="false">MAX(0,D10-D616-D919-D1222-D1525)</f>
        <v>89554526.9608972</v>
      </c>
      <c r="F10" s="99" t="n">
        <f aca="false">MAX(0,E10-E616-E919-E1222-E1525)</f>
        <v>77315764.2560023</v>
      </c>
      <c r="G10" s="99" t="n">
        <f aca="false">MAX(0,F10-F616-F919-F1222-F1525)</f>
        <v>0</v>
      </c>
      <c r="H10" s="99" t="n">
        <f aca="false">MAX(0,G10-G616-G919-G1222-G1525)</f>
        <v>0</v>
      </c>
      <c r="I10" s="99" t="n">
        <f aca="false">MAX(0,H10-H616-H919-H1222-H1525)</f>
        <v>0</v>
      </c>
      <c r="J10" s="99" t="n">
        <f aca="false">MAX(0,I10-I616-I919-I1222-I1525)</f>
        <v>0</v>
      </c>
      <c r="K10" s="99" t="n">
        <f aca="false">MAX(0,J10-J616-J919-J1222-J1525)</f>
        <v>0</v>
      </c>
      <c r="L10" s="99" t="n">
        <f aca="false">MAX(0,K10-K616-K919-K1222-K1525)</f>
        <v>0</v>
      </c>
      <c r="M10" s="99" t="n">
        <f aca="false">MAX(0,L10-L616-L919-L1222-L1525)</f>
        <v>0</v>
      </c>
    </row>
    <row r="11" customFormat="false" ht="15" hidden="false" customHeight="false" outlineLevel="0" collapsed="false">
      <c r="B11" s="108" t="str">
        <f aca="false">'Loan Tape'!$A7</f>
        <v>L-004</v>
      </c>
      <c r="C11" s="71" t="n">
        <f aca="false">IF('Loan Tape'!$AN7=0,0,'Loan Tape'!$R7)</f>
        <v>46042000</v>
      </c>
      <c r="D11" s="71" t="n">
        <f aca="false">MAX(0,C11-C617-C920-C1223-C1526)</f>
        <v>39492820.524574</v>
      </c>
      <c r="E11" s="71" t="n">
        <f aca="false">MAX(0,D11-D617-D920-D1223-D1526)</f>
        <v>0</v>
      </c>
      <c r="F11" s="71" t="n">
        <f aca="false">MAX(0,E11-E617-E920-E1223-E1526)</f>
        <v>0</v>
      </c>
      <c r="G11" s="71" t="n">
        <f aca="false">MAX(0,F11-F617-F920-F1223-F1526)</f>
        <v>0</v>
      </c>
      <c r="H11" s="71" t="n">
        <f aca="false">MAX(0,G11-G617-G920-G1223-G1526)</f>
        <v>0</v>
      </c>
      <c r="I11" s="71" t="n">
        <f aca="false">MAX(0,H11-H617-H920-H1223-H1526)</f>
        <v>0</v>
      </c>
      <c r="J11" s="71" t="n">
        <f aca="false">MAX(0,I11-I617-I920-I1223-I1526)</f>
        <v>0</v>
      </c>
      <c r="K11" s="71" t="n">
        <f aca="false">MAX(0,J11-J617-J920-J1223-J1526)</f>
        <v>0</v>
      </c>
      <c r="L11" s="71" t="n">
        <f aca="false">MAX(0,K11-K617-K920-K1223-K1526)</f>
        <v>0</v>
      </c>
      <c r="M11" s="71" t="n">
        <f aca="false">MAX(0,L11-L617-L920-L1223-L1526)</f>
        <v>0</v>
      </c>
    </row>
    <row r="12" customFormat="false" ht="15" hidden="false" customHeight="false" outlineLevel="0" collapsed="false">
      <c r="B12" s="102" t="str">
        <f aca="false">'Loan Tape'!$A8</f>
        <v>L-005</v>
      </c>
      <c r="C12" s="99" t="n">
        <f aca="false">IF('Loan Tape'!$AN8=0,0,'Loan Tape'!$R8)</f>
        <v>117696000</v>
      </c>
      <c r="D12" s="99" t="n">
        <f aca="false">MAX(0,C12-C618-C921-C1224-C1527)</f>
        <v>0</v>
      </c>
      <c r="E12" s="99" t="n">
        <f aca="false">MAX(0,D12-D618-D921-D1224-D1527)</f>
        <v>0</v>
      </c>
      <c r="F12" s="99" t="n">
        <f aca="false">MAX(0,E12-E618-E921-E1224-E1527)</f>
        <v>0</v>
      </c>
      <c r="G12" s="99" t="n">
        <f aca="false">MAX(0,F12-F618-F921-F1224-F1527)</f>
        <v>0</v>
      </c>
      <c r="H12" s="99" t="n">
        <f aca="false">MAX(0,G12-G618-G921-G1224-G1527)</f>
        <v>0</v>
      </c>
      <c r="I12" s="99" t="n">
        <f aca="false">MAX(0,H12-H618-H921-H1224-H1527)</f>
        <v>0</v>
      </c>
      <c r="J12" s="99" t="n">
        <f aca="false">MAX(0,I12-I618-I921-I1224-I1527)</f>
        <v>0</v>
      </c>
      <c r="K12" s="99" t="n">
        <f aca="false">MAX(0,J12-J618-J921-J1224-J1527)</f>
        <v>0</v>
      </c>
      <c r="L12" s="99" t="n">
        <f aca="false">MAX(0,K12-K618-K921-K1224-K1527)</f>
        <v>0</v>
      </c>
      <c r="M12" s="99" t="n">
        <f aca="false">MAX(0,L12-L618-L921-L1224-L1527)</f>
        <v>0</v>
      </c>
    </row>
    <row r="13" customFormat="false" ht="15" hidden="false" customHeight="false" outlineLevel="0" collapsed="false">
      <c r="B13" s="108" t="str">
        <f aca="false">'Loan Tape'!$A9</f>
        <v>L-006</v>
      </c>
      <c r="C13" s="71" t="n">
        <f aca="false">IF('Loan Tape'!$AN9=0,0,'Loan Tape'!$R9)</f>
        <v>57608000</v>
      </c>
      <c r="D13" s="71" t="n">
        <f aca="false">MAX(0,C13-C619-C922-C1225-C1528)</f>
        <v>49400747.2500173</v>
      </c>
      <c r="E13" s="71" t="n">
        <f aca="false">MAX(0,D13-D619-D922-D1225-D1528)</f>
        <v>0</v>
      </c>
      <c r="F13" s="71" t="n">
        <f aca="false">MAX(0,E13-E619-E922-E1225-E1528)</f>
        <v>0</v>
      </c>
      <c r="G13" s="71" t="n">
        <f aca="false">MAX(0,F13-F619-F922-F1225-F1528)</f>
        <v>0</v>
      </c>
      <c r="H13" s="71" t="n">
        <f aca="false">MAX(0,G13-G619-G922-G1225-G1528)</f>
        <v>0</v>
      </c>
      <c r="I13" s="71" t="n">
        <f aca="false">MAX(0,H13-H619-H922-H1225-H1528)</f>
        <v>0</v>
      </c>
      <c r="J13" s="71" t="n">
        <f aca="false">MAX(0,I13-I619-I922-I1225-I1528)</f>
        <v>0</v>
      </c>
      <c r="K13" s="71" t="n">
        <f aca="false">MAX(0,J13-J619-J922-J1225-J1528)</f>
        <v>0</v>
      </c>
      <c r="L13" s="71" t="n">
        <f aca="false">MAX(0,K13-K619-K922-K1225-K1528)</f>
        <v>0</v>
      </c>
      <c r="M13" s="71" t="n">
        <f aca="false">MAX(0,L13-L619-L922-L1225-L1528)</f>
        <v>0</v>
      </c>
    </row>
    <row r="14" customFormat="false" ht="15" hidden="false" customHeight="false" outlineLevel="0" collapsed="false">
      <c r="B14" s="102" t="str">
        <f aca="false">'Loan Tape'!$A10</f>
        <v>L-007</v>
      </c>
      <c r="C14" s="99" t="n">
        <f aca="false">IF('Loan Tape'!$AN10=0,0,'Loan Tape'!$R10)</f>
        <v>4524000</v>
      </c>
      <c r="D14" s="99" t="n">
        <f aca="false">MAX(0,C14-C620-C923-C1226-C1529)</f>
        <v>3981120</v>
      </c>
      <c r="E14" s="99" t="n">
        <f aca="false">MAX(0,D14-D620-D923-D1226-D1529)</f>
        <v>3503385.6</v>
      </c>
      <c r="F14" s="99" t="n">
        <f aca="false">MAX(0,E14-E620-E923-E1226-E1529)</f>
        <v>3082979.328</v>
      </c>
      <c r="G14" s="99" t="n">
        <f aca="false">MAX(0,F14-F620-F923-F1226-F1529)</f>
        <v>2713021.80864</v>
      </c>
      <c r="H14" s="99" t="n">
        <f aca="false">MAX(0,G14-G620-G923-G1226-G1529)</f>
        <v>2387459.1916032</v>
      </c>
      <c r="I14" s="99" t="n">
        <f aca="false">MAX(0,H14-H620-H923-H1226-H1529)</f>
        <v>2387459.1916032</v>
      </c>
      <c r="J14" s="99" t="n">
        <f aca="false">MAX(0,I14-I620-I923-I1226-I1529)</f>
        <v>2387459.1916032</v>
      </c>
      <c r="K14" s="99" t="n">
        <f aca="false">MAX(0,J14-J620-J923-J1226-J1529)</f>
        <v>2387459.1916032</v>
      </c>
      <c r="L14" s="99" t="n">
        <f aca="false">MAX(0,K14-K620-K923-K1226-K1529)</f>
        <v>2387459.1916032</v>
      </c>
      <c r="M14" s="99" t="n">
        <f aca="false">MAX(0,L14-L620-L923-L1226-L1529)</f>
        <v>2387459.1916032</v>
      </c>
    </row>
    <row r="15" customFormat="false" ht="15" hidden="false" customHeight="false" outlineLevel="0" collapsed="false">
      <c r="B15" s="108" t="str">
        <f aca="false">'Loan Tape'!$A11</f>
        <v>L-008</v>
      </c>
      <c r="C15" s="71" t="n">
        <f aca="false">IF('Loan Tape'!$AN11=0,0,'Loan Tape'!$R11)</f>
        <v>48331000</v>
      </c>
      <c r="D15" s="71" t="n">
        <f aca="false">MAX(0,C15-C621-C924-C1227-C1530)</f>
        <v>41777797.5360093</v>
      </c>
      <c r="E15" s="71" t="n">
        <f aca="false">MAX(0,D15-D621-D924-D1227-D1530)</f>
        <v>36002249.0536721</v>
      </c>
      <c r="F15" s="71" t="n">
        <f aca="false">MAX(0,E15-E621-E924-E1227-E1530)</f>
        <v>30926848.6883467</v>
      </c>
      <c r="G15" s="71" t="n">
        <f aca="false">MAX(0,F15-F621-F924-F1227-F1530)</f>
        <v>0</v>
      </c>
      <c r="H15" s="71" t="n">
        <f aca="false">MAX(0,G15-G621-G924-G1227-G1530)</f>
        <v>0</v>
      </c>
      <c r="I15" s="71" t="n">
        <f aca="false">MAX(0,H15-H621-H924-H1227-H1530)</f>
        <v>0</v>
      </c>
      <c r="J15" s="71" t="n">
        <f aca="false">MAX(0,I15-I621-I924-I1227-I1530)</f>
        <v>0</v>
      </c>
      <c r="K15" s="71" t="n">
        <f aca="false">MAX(0,J15-J621-J924-J1227-J1530)</f>
        <v>0</v>
      </c>
      <c r="L15" s="71" t="n">
        <f aca="false">MAX(0,K15-K621-K924-K1227-K1530)</f>
        <v>0</v>
      </c>
      <c r="M15" s="71" t="n">
        <f aca="false">MAX(0,L15-L621-L924-L1227-L1530)</f>
        <v>0</v>
      </c>
    </row>
    <row r="16" customFormat="false" ht="15" hidden="false" customHeight="false" outlineLevel="0" collapsed="false">
      <c r="B16" s="102" t="str">
        <f aca="false">'Loan Tape'!$A12</f>
        <v>L-009</v>
      </c>
      <c r="C16" s="99" t="n">
        <f aca="false">IF('Loan Tape'!$AN12=0,0,'Loan Tape'!$R12)</f>
        <v>16415000</v>
      </c>
      <c r="D16" s="99" t="n">
        <f aca="false">MAX(0,C16-C622-C925-C1228-C1531)</f>
        <v>14445200</v>
      </c>
      <c r="E16" s="99" t="n">
        <f aca="false">MAX(0,D16-D622-D925-D1228-D1531)</f>
        <v>12711776</v>
      </c>
      <c r="F16" s="99" t="n">
        <f aca="false">MAX(0,E16-E622-E925-E1228-E1531)</f>
        <v>10984201.1788546</v>
      </c>
      <c r="G16" s="99" t="n">
        <f aca="false">MAX(0,F16-F622-F925-F1228-F1531)</f>
        <v>9416736.44778171</v>
      </c>
      <c r="H16" s="99" t="n">
        <f aca="false">MAX(0,G16-G622-G925-G1228-G1531)</f>
        <v>8057508.09282813</v>
      </c>
      <c r="I16" s="99" t="n">
        <f aca="false">MAX(0,H16-H622-H925-H1228-H1531)</f>
        <v>8057508.09282813</v>
      </c>
      <c r="J16" s="99" t="n">
        <f aca="false">MAX(0,I16-I622-I925-I1228-I1531)</f>
        <v>8057508.09282813</v>
      </c>
      <c r="K16" s="99" t="n">
        <f aca="false">MAX(0,J16-J622-J925-J1228-J1531)</f>
        <v>8057508.09282813</v>
      </c>
      <c r="L16" s="99" t="n">
        <f aca="false">MAX(0,K16-K622-K925-K1228-K1531)</f>
        <v>8057508.09282813</v>
      </c>
      <c r="M16" s="99" t="n">
        <f aca="false">MAX(0,L16-L622-L925-L1228-L1531)</f>
        <v>8057508.09282813</v>
      </c>
    </row>
    <row r="17" customFormat="false" ht="15" hidden="false" customHeight="false" outlineLevel="0" collapsed="false">
      <c r="B17" s="108" t="str">
        <f aca="false">'Loan Tape'!$A13</f>
        <v>L-010</v>
      </c>
      <c r="C17" s="71" t="n">
        <f aca="false">IF('Loan Tape'!$AN13=0,0,'Loan Tape'!$R13)</f>
        <v>45056000</v>
      </c>
      <c r="D17" s="71" t="n">
        <f aca="false">MAX(0,C17-C623-C926-C1229-C1532)</f>
        <v>0</v>
      </c>
      <c r="E17" s="71" t="n">
        <f aca="false">MAX(0,D17-D623-D926-D1229-D1532)</f>
        <v>0</v>
      </c>
      <c r="F17" s="71" t="n">
        <f aca="false">MAX(0,E17-E623-E926-E1229-E1532)</f>
        <v>0</v>
      </c>
      <c r="G17" s="71" t="n">
        <f aca="false">MAX(0,F17-F623-F926-F1229-F1532)</f>
        <v>0</v>
      </c>
      <c r="H17" s="71" t="n">
        <f aca="false">MAX(0,G17-G623-G926-G1229-G1532)</f>
        <v>0</v>
      </c>
      <c r="I17" s="71" t="n">
        <f aca="false">MAX(0,H17-H623-H926-H1229-H1532)</f>
        <v>0</v>
      </c>
      <c r="J17" s="71" t="n">
        <f aca="false">MAX(0,I17-I623-I926-I1229-I1532)</f>
        <v>0</v>
      </c>
      <c r="K17" s="71" t="n">
        <f aca="false">MAX(0,J17-J623-J926-J1229-J1532)</f>
        <v>0</v>
      </c>
      <c r="L17" s="71" t="n">
        <f aca="false">MAX(0,K17-K623-K926-K1229-K1532)</f>
        <v>0</v>
      </c>
      <c r="M17" s="71" t="n">
        <f aca="false">MAX(0,L17-L623-L926-L1229-L1532)</f>
        <v>0</v>
      </c>
    </row>
    <row r="18" customFormat="false" ht="15" hidden="false" customHeight="false" outlineLevel="0" collapsed="false">
      <c r="B18" s="102" t="str">
        <f aca="false">'Loan Tape'!$A14</f>
        <v>L-011</v>
      </c>
      <c r="C18" s="99" t="n">
        <f aca="false">IF('Loan Tape'!$AN14=0,0,'Loan Tape'!$R14)</f>
        <v>27710000</v>
      </c>
      <c r="D18" s="99" t="n">
        <f aca="false">MAX(0,C18-C624-C927-C1230-C1533)</f>
        <v>23980705.5468066</v>
      </c>
      <c r="E18" s="99" t="n">
        <f aca="false">MAX(0,D18-D624-D927-D1230-D1533)</f>
        <v>20695213.4564899</v>
      </c>
      <c r="F18" s="99" t="n">
        <f aca="false">MAX(0,E18-E624-E927-E1230-E1533)</f>
        <v>17809413.2728441</v>
      </c>
      <c r="G18" s="99" t="n">
        <f aca="false">MAX(0,F18-F624-F927-F1230-F1533)</f>
        <v>15287989.5306066</v>
      </c>
      <c r="H18" s="99" t="n">
        <f aca="false">MAX(0,G18-G624-G927-G1230-G1533)</f>
        <v>13092091.0794395</v>
      </c>
      <c r="I18" s="99" t="n">
        <f aca="false">MAX(0,H18-H624-H927-H1230-H1533)</f>
        <v>13092091.0794395</v>
      </c>
      <c r="J18" s="99" t="n">
        <f aca="false">MAX(0,I18-I624-I927-I1230-I1533)</f>
        <v>13092091.0794395</v>
      </c>
      <c r="K18" s="99" t="n">
        <f aca="false">MAX(0,J18-J624-J927-J1230-J1533)</f>
        <v>13092091.0794395</v>
      </c>
      <c r="L18" s="99" t="n">
        <f aca="false">MAX(0,K18-K624-K927-K1230-K1533)</f>
        <v>13092091.0794395</v>
      </c>
      <c r="M18" s="99" t="n">
        <f aca="false">MAX(0,L18-L624-L927-L1230-L1533)</f>
        <v>13092091.0794395</v>
      </c>
    </row>
    <row r="19" customFormat="false" ht="15" hidden="false" customHeight="false" outlineLevel="0" collapsed="false">
      <c r="B19" s="108" t="str">
        <f aca="false">'Loan Tape'!$A15</f>
        <v>L-012</v>
      </c>
      <c r="C19" s="71" t="n">
        <f aca="false">IF('Loan Tape'!$AN15=0,0,'Loan Tape'!$R15)</f>
        <v>5654000</v>
      </c>
      <c r="D19" s="71" t="n">
        <f aca="false">MAX(0,C19-C625-C928-C1231-C1534)</f>
        <v>4853953.22960215</v>
      </c>
      <c r="E19" s="71" t="n">
        <f aca="false">MAX(0,D19-D625-D928-D1231-D1534)</f>
        <v>0</v>
      </c>
      <c r="F19" s="71" t="n">
        <f aca="false">MAX(0,E19-E625-E928-E1231-E1534)</f>
        <v>0</v>
      </c>
      <c r="G19" s="71" t="n">
        <f aca="false">MAX(0,F19-F625-F928-F1231-F1534)</f>
        <v>0</v>
      </c>
      <c r="H19" s="71" t="n">
        <f aca="false">MAX(0,G19-G625-G928-G1231-G1534)</f>
        <v>0</v>
      </c>
      <c r="I19" s="71" t="n">
        <f aca="false">MAX(0,H19-H625-H928-H1231-H1534)</f>
        <v>0</v>
      </c>
      <c r="J19" s="71" t="n">
        <f aca="false">MAX(0,I19-I625-I928-I1231-I1534)</f>
        <v>0</v>
      </c>
      <c r="K19" s="71" t="n">
        <f aca="false">MAX(0,J19-J625-J928-J1231-J1534)</f>
        <v>0</v>
      </c>
      <c r="L19" s="71" t="n">
        <f aca="false">MAX(0,K19-K625-K928-K1231-K1534)</f>
        <v>0</v>
      </c>
      <c r="M19" s="71" t="n">
        <f aca="false">MAX(0,L19-L625-L928-L1231-L1534)</f>
        <v>0</v>
      </c>
    </row>
    <row r="20" customFormat="false" ht="15" hidden="false" customHeight="false" outlineLevel="0" collapsed="false">
      <c r="B20" s="102" t="str">
        <f aca="false">'Loan Tape'!$A16</f>
        <v>L-013</v>
      </c>
      <c r="C20" s="99" t="n">
        <f aca="false">IF('Loan Tape'!$AN16=0,0,'Loan Tape'!$R16)</f>
        <v>85445000</v>
      </c>
      <c r="D20" s="99" t="n">
        <f aca="false">MAX(0,C20-C626-C929-C1232-C1535)</f>
        <v>73936258.9425082</v>
      </c>
      <c r="E20" s="99" t="n">
        <f aca="false">MAX(0,D20-D626-D929-D1232-D1535)</f>
        <v>63889243.1928005</v>
      </c>
      <c r="F20" s="99" t="n">
        <f aca="false">MAX(0,E20-E626-E929-E1232-E1535)</f>
        <v>55123546.1351315</v>
      </c>
      <c r="G20" s="99" t="n">
        <f aca="false">MAX(0,F20-F626-F929-F1232-F1535)</f>
        <v>47480725.0030508</v>
      </c>
      <c r="H20" s="99" t="n">
        <f aca="false">MAX(0,G20-G626-G929-G1232-G1535)</f>
        <v>0</v>
      </c>
      <c r="I20" s="99" t="n">
        <f aca="false">MAX(0,H20-H626-H929-H1232-H1535)</f>
        <v>0</v>
      </c>
      <c r="J20" s="99" t="n">
        <f aca="false">MAX(0,I20-I626-I929-I1232-I1535)</f>
        <v>0</v>
      </c>
      <c r="K20" s="99" t="n">
        <f aca="false">MAX(0,J20-J626-J929-J1232-J1535)</f>
        <v>0</v>
      </c>
      <c r="L20" s="99" t="n">
        <f aca="false">MAX(0,K20-K626-K929-K1232-K1535)</f>
        <v>0</v>
      </c>
      <c r="M20" s="99" t="n">
        <f aca="false">MAX(0,L20-L626-L929-L1232-L1535)</f>
        <v>0</v>
      </c>
    </row>
    <row r="21" customFormat="false" ht="15" hidden="false" customHeight="false" outlineLevel="0" collapsed="false">
      <c r="B21" s="108" t="str">
        <f aca="false">'Loan Tape'!$A17</f>
        <v>L-014</v>
      </c>
      <c r="C21" s="71" t="n">
        <f aca="false">IF('Loan Tape'!$AN17=0,0,'Loan Tape'!$R17)</f>
        <v>128291000</v>
      </c>
      <c r="D21" s="71" t="n">
        <f aca="false">MAX(0,C21-C627-C930-C1233-C1536)</f>
        <v>110769813.864162</v>
      </c>
      <c r="E21" s="71" t="n">
        <f aca="false">MAX(0,D21-D627-D930-D1233-D1536)</f>
        <v>95334988.4513291</v>
      </c>
      <c r="F21" s="71" t="n">
        <f aca="false">MAX(0,E21-E627-E930-E1233-E1536)</f>
        <v>81919740.1718975</v>
      </c>
      <c r="G21" s="71" t="n">
        <f aca="false">MAX(0,F21-F627-F930-F1233-F1536)</f>
        <v>70268996.8565136</v>
      </c>
      <c r="H21" s="71" t="n">
        <f aca="false">MAX(0,G21-G627-G930-G1233-G1536)</f>
        <v>60159265.1171994</v>
      </c>
      <c r="I21" s="71" t="n">
        <f aca="false">MAX(0,H21-H627-H930-H1233-H1536)</f>
        <v>60159265.1171994</v>
      </c>
      <c r="J21" s="71" t="n">
        <f aca="false">MAX(0,I21-I627-I930-I1233-I1536)</f>
        <v>60159265.1171994</v>
      </c>
      <c r="K21" s="71" t="n">
        <f aca="false">MAX(0,J21-J627-J930-J1233-J1536)</f>
        <v>60159265.1171994</v>
      </c>
      <c r="L21" s="71" t="n">
        <f aca="false">MAX(0,K21-K627-K930-K1233-K1536)</f>
        <v>60159265.1171994</v>
      </c>
      <c r="M21" s="71" t="n">
        <f aca="false">MAX(0,L21-L627-L930-L1233-L1536)</f>
        <v>60159265.1171994</v>
      </c>
    </row>
    <row r="22" customFormat="false" ht="15" hidden="false" customHeight="false" outlineLevel="0" collapsed="false">
      <c r="B22" s="102" t="str">
        <f aca="false">'Loan Tape'!$A18</f>
        <v>L-015</v>
      </c>
      <c r="C22" s="99" t="n">
        <f aca="false">IF('Loan Tape'!$AN18=0,0,'Loan Tape'!$R18)</f>
        <v>131786000</v>
      </c>
      <c r="D22" s="99" t="n">
        <f aca="false">MAX(0,C22-C628-C931-C1234-C1537)</f>
        <v>115971680</v>
      </c>
      <c r="E22" s="99" t="n">
        <f aca="false">MAX(0,D22-D628-D931-D1234-D1537)</f>
        <v>102055078.4</v>
      </c>
      <c r="F22" s="99" t="n">
        <f aca="false">MAX(0,E22-E628-E931-E1234-E1537)</f>
        <v>89808468.992</v>
      </c>
      <c r="G22" s="99" t="n">
        <f aca="false">MAX(0,F22-F628-F931-F1234-F1537)</f>
        <v>79031452.71296</v>
      </c>
      <c r="H22" s="99" t="n">
        <f aca="false">MAX(0,G22-G628-G931-G1234-G1537)</f>
        <v>69547678.3874048</v>
      </c>
      <c r="I22" s="99" t="n">
        <f aca="false">MAX(0,H22-H628-H931-H1234-H1537)</f>
        <v>69547678.3874048</v>
      </c>
      <c r="J22" s="99" t="n">
        <f aca="false">MAX(0,I22-I628-I931-I1234-I1537)</f>
        <v>69547678.3874048</v>
      </c>
      <c r="K22" s="99" t="n">
        <f aca="false">MAX(0,J22-J628-J931-J1234-J1537)</f>
        <v>69547678.3874048</v>
      </c>
      <c r="L22" s="99" t="n">
        <f aca="false">MAX(0,K22-K628-K931-K1234-K1537)</f>
        <v>69547678.3874048</v>
      </c>
      <c r="M22" s="99" t="n">
        <f aca="false">MAX(0,L22-L628-L931-L1234-L1537)</f>
        <v>69547678.3874048</v>
      </c>
    </row>
    <row r="23" customFormat="false" ht="15" hidden="false" customHeight="false" outlineLevel="0" collapsed="false">
      <c r="B23" s="108" t="str">
        <f aca="false">'Loan Tape'!$A19</f>
        <v>L-016</v>
      </c>
      <c r="C23" s="71" t="n">
        <f aca="false">IF('Loan Tape'!$AN19=0,0,'Loan Tape'!$R19)</f>
        <v>8243000</v>
      </c>
      <c r="D23" s="71" t="n">
        <f aca="false">MAX(0,C23-C629-C932-C1235-C1538)</f>
        <v>0</v>
      </c>
      <c r="E23" s="71" t="n">
        <f aca="false">MAX(0,D23-D629-D932-D1235-D1538)</f>
        <v>0</v>
      </c>
      <c r="F23" s="71" t="n">
        <f aca="false">MAX(0,E23-E629-E932-E1235-E1538)</f>
        <v>0</v>
      </c>
      <c r="G23" s="71" t="n">
        <f aca="false">MAX(0,F23-F629-F932-F1235-F1538)</f>
        <v>0</v>
      </c>
      <c r="H23" s="71" t="n">
        <f aca="false">MAX(0,G23-G629-G932-G1235-G1538)</f>
        <v>0</v>
      </c>
      <c r="I23" s="71" t="n">
        <f aca="false">MAX(0,H23-H629-H932-H1235-H1538)</f>
        <v>0</v>
      </c>
      <c r="J23" s="71" t="n">
        <f aca="false">MAX(0,I23-I629-I932-I1235-I1538)</f>
        <v>0</v>
      </c>
      <c r="K23" s="71" t="n">
        <f aca="false">MAX(0,J23-J629-J932-J1235-J1538)</f>
        <v>0</v>
      </c>
      <c r="L23" s="71" t="n">
        <f aca="false">MAX(0,K23-K629-K932-K1235-K1538)</f>
        <v>0</v>
      </c>
      <c r="M23" s="71" t="n">
        <f aca="false">MAX(0,L23-L629-L932-L1235-L1538)</f>
        <v>0</v>
      </c>
    </row>
    <row r="24" customFormat="false" ht="15" hidden="false" customHeight="false" outlineLevel="0" collapsed="false">
      <c r="B24" s="102" t="str">
        <f aca="false">'Loan Tape'!$A20</f>
        <v>L-017</v>
      </c>
      <c r="C24" s="99" t="n">
        <f aca="false">IF('Loan Tape'!$AN20=0,0,'Loan Tape'!$R20)</f>
        <v>5111000</v>
      </c>
      <c r="D24" s="99" t="n">
        <f aca="false">MAX(0,C24-C630-C933-C1236-C1539)</f>
        <v>4497680</v>
      </c>
      <c r="E24" s="99" t="n">
        <f aca="false">MAX(0,D24-D630-D933-D1236-D1539)</f>
        <v>3957958.4</v>
      </c>
      <c r="F24" s="99" t="n">
        <f aca="false">MAX(0,E24-E630-E933-E1236-E1539)</f>
        <v>3483003.392</v>
      </c>
      <c r="G24" s="99" t="n">
        <f aca="false">MAX(0,F24-F630-F933-F1236-F1539)</f>
        <v>3065042.98496</v>
      </c>
      <c r="H24" s="99" t="n">
        <f aca="false">MAX(0,G24-G630-G933-G1236-G1539)</f>
        <v>2697237.8267648</v>
      </c>
      <c r="I24" s="99" t="n">
        <f aca="false">MAX(0,H24-H630-H933-H1236-H1539)</f>
        <v>2697237.8267648</v>
      </c>
      <c r="J24" s="99" t="n">
        <f aca="false">MAX(0,I24-I630-I933-I1236-I1539)</f>
        <v>2697237.8267648</v>
      </c>
      <c r="K24" s="99" t="n">
        <f aca="false">MAX(0,J24-J630-J933-J1236-J1539)</f>
        <v>2697237.8267648</v>
      </c>
      <c r="L24" s="99" t="n">
        <f aca="false">MAX(0,K24-K630-K933-K1236-K1539)</f>
        <v>2697237.8267648</v>
      </c>
      <c r="M24" s="99" t="n">
        <f aca="false">MAX(0,L24-L630-L933-L1236-L1539)</f>
        <v>2697237.8267648</v>
      </c>
    </row>
    <row r="25" customFormat="false" ht="15" hidden="false" customHeight="false" outlineLevel="0" collapsed="false">
      <c r="B25" s="108" t="str">
        <f aca="false">'Loan Tape'!$A21</f>
        <v>L-018</v>
      </c>
      <c r="C25" s="71" t="n">
        <f aca="false">IF('Loan Tape'!$AN21=0,0,'Loan Tape'!$R21)</f>
        <v>76728000</v>
      </c>
      <c r="D25" s="71" t="n">
        <f aca="false">MAX(0,C25-C631-C934-C1237-C1540)</f>
        <v>66285664.7868805</v>
      </c>
      <c r="E25" s="71" t="n">
        <f aca="false">MAX(0,D25-D631-D934-D1237-D1540)</f>
        <v>57089181.0778968</v>
      </c>
      <c r="F25" s="71" t="n">
        <f aca="false">MAX(0,E25-E631-E934-E1237-E1540)</f>
        <v>49015498.2988605</v>
      </c>
      <c r="G25" s="71" t="n">
        <f aca="false">MAX(0,F25-F631-F934-F1237-F1540)</f>
        <v>41965759.0276241</v>
      </c>
      <c r="H25" s="71" t="n">
        <f aca="false">MAX(0,G25-G631-G934-G1237-G1540)</f>
        <v>0</v>
      </c>
      <c r="I25" s="71" t="n">
        <f aca="false">MAX(0,H25-H631-H934-H1237-H1540)</f>
        <v>0</v>
      </c>
      <c r="J25" s="71" t="n">
        <f aca="false">MAX(0,I25-I631-I934-I1237-I1540)</f>
        <v>0</v>
      </c>
      <c r="K25" s="71" t="n">
        <f aca="false">MAX(0,J25-J631-J934-J1237-J1540)</f>
        <v>0</v>
      </c>
      <c r="L25" s="71" t="n">
        <f aca="false">MAX(0,K25-K631-K934-K1237-K1540)</f>
        <v>0</v>
      </c>
      <c r="M25" s="71" t="n">
        <f aca="false">MAX(0,L25-L631-L934-L1237-L1540)</f>
        <v>0</v>
      </c>
    </row>
    <row r="26" customFormat="false" ht="15" hidden="false" customHeight="false" outlineLevel="0" collapsed="false">
      <c r="B26" s="102" t="str">
        <f aca="false">'Loan Tape'!$A22</f>
        <v>L-019</v>
      </c>
      <c r="C26" s="99" t="n">
        <f aca="false">IF('Loan Tape'!$AN22=0,0,'Loan Tape'!$R22)</f>
        <v>8222000</v>
      </c>
      <c r="D26" s="99" t="n">
        <f aca="false">MAX(0,C26-C632-C935-C1238-C1541)</f>
        <v>0</v>
      </c>
      <c r="E26" s="99" t="n">
        <f aca="false">MAX(0,D26-D632-D935-D1238-D1541)</f>
        <v>0</v>
      </c>
      <c r="F26" s="99" t="n">
        <f aca="false">MAX(0,E26-E632-E935-E1238-E1541)</f>
        <v>0</v>
      </c>
      <c r="G26" s="99" t="n">
        <f aca="false">MAX(0,F26-F632-F935-F1238-F1541)</f>
        <v>0</v>
      </c>
      <c r="H26" s="99" t="n">
        <f aca="false">MAX(0,G26-G632-G935-G1238-G1541)</f>
        <v>0</v>
      </c>
      <c r="I26" s="99" t="n">
        <f aca="false">MAX(0,H26-H632-H935-H1238-H1541)</f>
        <v>0</v>
      </c>
      <c r="J26" s="99" t="n">
        <f aca="false">MAX(0,I26-I632-I935-I1238-I1541)</f>
        <v>0</v>
      </c>
      <c r="K26" s="99" t="n">
        <f aca="false">MAX(0,J26-J632-J935-J1238-J1541)</f>
        <v>0</v>
      </c>
      <c r="L26" s="99" t="n">
        <f aca="false">MAX(0,K26-K632-K935-K1238-K1541)</f>
        <v>0</v>
      </c>
      <c r="M26" s="99" t="n">
        <f aca="false">MAX(0,L26-L632-L935-L1238-L1541)</f>
        <v>0</v>
      </c>
    </row>
    <row r="27" customFormat="false" ht="15" hidden="false" customHeight="false" outlineLevel="0" collapsed="false">
      <c r="B27" s="108" t="str">
        <f aca="false">'Loan Tape'!$A23</f>
        <v>L-020</v>
      </c>
      <c r="C27" s="71" t="n">
        <f aca="false">IF('Loan Tape'!$AN23=0,0,'Loan Tape'!$R23)</f>
        <v>69109000</v>
      </c>
      <c r="D27" s="71" t="n">
        <f aca="false">MAX(0,C27-C633-C936-C1239-C1542)</f>
        <v>60815920</v>
      </c>
      <c r="E27" s="71" t="n">
        <f aca="false">MAX(0,D27-D633-D936-D1239-D1542)</f>
        <v>53518009.6</v>
      </c>
      <c r="F27" s="71" t="n">
        <f aca="false">MAX(0,E27-E633-E936-E1239-E1542)</f>
        <v>47095848.448</v>
      </c>
      <c r="G27" s="71" t="n">
        <f aca="false">MAX(0,F27-F633-F936-F1239-F1542)</f>
        <v>41444346.63424</v>
      </c>
      <c r="H27" s="71" t="n">
        <f aca="false">MAX(0,G27-G633-G936-G1239-G1542)</f>
        <v>36471025.0381312</v>
      </c>
      <c r="I27" s="71" t="n">
        <f aca="false">MAX(0,H27-H633-H936-H1239-H1542)</f>
        <v>36471025.0381312</v>
      </c>
      <c r="J27" s="71" t="n">
        <f aca="false">MAX(0,I27-I633-I936-I1239-I1542)</f>
        <v>36471025.0381312</v>
      </c>
      <c r="K27" s="71" t="n">
        <f aca="false">MAX(0,J27-J633-J936-J1239-J1542)</f>
        <v>36471025.0381312</v>
      </c>
      <c r="L27" s="71" t="n">
        <f aca="false">MAX(0,K27-K633-K936-K1239-K1542)</f>
        <v>36471025.0381312</v>
      </c>
      <c r="M27" s="71" t="n">
        <f aca="false">MAX(0,L27-L633-L936-L1239-L1542)</f>
        <v>36471025.0381312</v>
      </c>
    </row>
    <row r="28" customFormat="false" ht="15" hidden="false" customHeight="false" outlineLevel="0" collapsed="false">
      <c r="B28" s="102" t="str">
        <f aca="false">'Loan Tape'!$A24</f>
        <v>L-021</v>
      </c>
      <c r="C28" s="99" t="n">
        <f aca="false">IF('Loan Tape'!$AN24=0,0,'Loan Tape'!$R24)</f>
        <v>36748000</v>
      </c>
      <c r="D28" s="99" t="n">
        <f aca="false">MAX(0,C28-C634-C937-C1240-C1543)</f>
        <v>31852644.6809391</v>
      </c>
      <c r="E28" s="99" t="n">
        <f aca="false">MAX(0,D28-D634-D937-D1240-D1543)</f>
        <v>27537170.7075554</v>
      </c>
      <c r="F28" s="99" t="n">
        <f aca="false">MAX(0,E28-E634-E937-E1240-E1543)</f>
        <v>23743225.4955159</v>
      </c>
      <c r="G28" s="99" t="n">
        <f aca="false">MAX(0,F28-F634-F937-F1240-F1543)</f>
        <v>0</v>
      </c>
      <c r="H28" s="99" t="n">
        <f aca="false">MAX(0,G28-G634-G937-G1240-G1543)</f>
        <v>0</v>
      </c>
      <c r="I28" s="99" t="n">
        <f aca="false">MAX(0,H28-H634-H937-H1240-H1543)</f>
        <v>0</v>
      </c>
      <c r="J28" s="99" t="n">
        <f aca="false">MAX(0,I28-I634-I937-I1240-I1543)</f>
        <v>0</v>
      </c>
      <c r="K28" s="99" t="n">
        <f aca="false">MAX(0,J28-J634-J937-J1240-J1543)</f>
        <v>0</v>
      </c>
      <c r="L28" s="99" t="n">
        <f aca="false">MAX(0,K28-K634-K937-K1240-K1543)</f>
        <v>0</v>
      </c>
      <c r="M28" s="99" t="n">
        <f aca="false">MAX(0,L28-L634-L937-L1240-L1543)</f>
        <v>0</v>
      </c>
    </row>
    <row r="29" customFormat="false" ht="15" hidden="false" customHeight="false" outlineLevel="0" collapsed="false">
      <c r="B29" s="108" t="str">
        <f aca="false">'Loan Tape'!$A25</f>
        <v>L-022</v>
      </c>
      <c r="C29" s="71" t="n">
        <f aca="false">IF('Loan Tape'!$AN25=0,0,'Loan Tape'!$R25)</f>
        <v>7026000</v>
      </c>
      <c r="D29" s="71" t="n">
        <f aca="false">MAX(0,C29-C635-C938-C1241-C1544)</f>
        <v>5996397.6915147</v>
      </c>
      <c r="E29" s="71" t="n">
        <f aca="false">MAX(0,D29-D635-D938-D1241-D1544)</f>
        <v>0</v>
      </c>
      <c r="F29" s="71" t="n">
        <f aca="false">MAX(0,E29-E635-E938-E1241-E1544)</f>
        <v>0</v>
      </c>
      <c r="G29" s="71" t="n">
        <f aca="false">MAX(0,F29-F635-F938-F1241-F1544)</f>
        <v>0</v>
      </c>
      <c r="H29" s="71" t="n">
        <f aca="false">MAX(0,G29-G635-G938-G1241-G1544)</f>
        <v>0</v>
      </c>
      <c r="I29" s="71" t="n">
        <f aca="false">MAX(0,H29-H635-H938-H1241-H1544)</f>
        <v>0</v>
      </c>
      <c r="J29" s="71" t="n">
        <f aca="false">MAX(0,I29-I635-I938-I1241-I1544)</f>
        <v>0</v>
      </c>
      <c r="K29" s="71" t="n">
        <f aca="false">MAX(0,J29-J635-J938-J1241-J1544)</f>
        <v>0</v>
      </c>
      <c r="L29" s="71" t="n">
        <f aca="false">MAX(0,K29-K635-K938-K1241-K1544)</f>
        <v>0</v>
      </c>
      <c r="M29" s="71" t="n">
        <f aca="false">MAX(0,L29-L635-L938-L1241-L1544)</f>
        <v>0</v>
      </c>
    </row>
    <row r="30" customFormat="false" ht="15" hidden="false" customHeight="false" outlineLevel="0" collapsed="false">
      <c r="B30" s="102" t="str">
        <f aca="false">'Loan Tape'!$A26</f>
        <v>L-023</v>
      </c>
      <c r="C30" s="99" t="n">
        <f aca="false">IF('Loan Tape'!$AN26=0,0,'Loan Tape'!$R26)</f>
        <v>76306000</v>
      </c>
      <c r="D30" s="99" t="n">
        <f aca="false">MAX(0,C30-C636-C939-C1242-C1545)</f>
        <v>0</v>
      </c>
      <c r="E30" s="99" t="n">
        <f aca="false">MAX(0,D30-D636-D939-D1242-D1545)</f>
        <v>0</v>
      </c>
      <c r="F30" s="99" t="n">
        <f aca="false">MAX(0,E30-E636-E939-E1242-E1545)</f>
        <v>0</v>
      </c>
      <c r="G30" s="99" t="n">
        <f aca="false">MAX(0,F30-F636-F939-F1242-F1545)</f>
        <v>0</v>
      </c>
      <c r="H30" s="99" t="n">
        <f aca="false">MAX(0,G30-G636-G939-G1242-G1545)</f>
        <v>0</v>
      </c>
      <c r="I30" s="99" t="n">
        <f aca="false">MAX(0,H30-H636-H939-H1242-H1545)</f>
        <v>0</v>
      </c>
      <c r="J30" s="99" t="n">
        <f aca="false">MAX(0,I30-I636-I939-I1242-I1545)</f>
        <v>0</v>
      </c>
      <c r="K30" s="99" t="n">
        <f aca="false">MAX(0,J30-J636-J939-J1242-J1545)</f>
        <v>0</v>
      </c>
      <c r="L30" s="99" t="n">
        <f aca="false">MAX(0,K30-K636-K939-K1242-K1545)</f>
        <v>0</v>
      </c>
      <c r="M30" s="99" t="n">
        <f aca="false">MAX(0,L30-L636-L939-L1242-L1545)</f>
        <v>0</v>
      </c>
    </row>
    <row r="31" customFormat="false" ht="15" hidden="false" customHeight="false" outlineLevel="0" collapsed="false">
      <c r="B31" s="108" t="str">
        <f aca="false">'Loan Tape'!$A27</f>
        <v>L-024</v>
      </c>
      <c r="C31" s="71" t="n">
        <f aca="false">IF('Loan Tape'!$AN27=0,0,'Loan Tape'!$R27)</f>
        <v>17633000</v>
      </c>
      <c r="D31" s="71" t="n">
        <f aca="false">MAX(0,C31-C637-C940-C1243-C1546)</f>
        <v>15517040</v>
      </c>
      <c r="E31" s="71" t="n">
        <f aca="false">MAX(0,D31-D637-D940-D1243-D1546)</f>
        <v>13654995.2</v>
      </c>
      <c r="F31" s="71" t="n">
        <f aca="false">MAX(0,E31-E637-E940-E1243-E1546)</f>
        <v>12016395.776</v>
      </c>
      <c r="G31" s="71" t="n">
        <f aca="false">MAX(0,F31-F637-F940-F1243-F1546)</f>
        <v>0</v>
      </c>
      <c r="H31" s="71" t="n">
        <f aca="false">MAX(0,G31-G637-G940-G1243-G1546)</f>
        <v>0</v>
      </c>
      <c r="I31" s="71" t="n">
        <f aca="false">MAX(0,H31-H637-H940-H1243-H1546)</f>
        <v>0</v>
      </c>
      <c r="J31" s="71" t="n">
        <f aca="false">MAX(0,I31-I637-I940-I1243-I1546)</f>
        <v>0</v>
      </c>
      <c r="K31" s="71" t="n">
        <f aca="false">MAX(0,J31-J637-J940-J1243-J1546)</f>
        <v>0</v>
      </c>
      <c r="L31" s="71" t="n">
        <f aca="false">MAX(0,K31-K637-K940-K1243-K1546)</f>
        <v>0</v>
      </c>
      <c r="M31" s="71" t="n">
        <f aca="false">MAX(0,L31-L637-L940-L1243-L1546)</f>
        <v>0</v>
      </c>
    </row>
    <row r="32" customFormat="false" ht="15" hidden="false" customHeight="false" outlineLevel="0" collapsed="false">
      <c r="B32" s="102" t="str">
        <f aca="false">'Loan Tape'!$A28</f>
        <v>L-025</v>
      </c>
      <c r="C32" s="99" t="n">
        <f aca="false">IF('Loan Tape'!$AN28=0,0,'Loan Tape'!$R28)</f>
        <v>14773000</v>
      </c>
      <c r="D32" s="99" t="n">
        <f aca="false">MAX(0,C32-C638-C941-C1244-C1547)</f>
        <v>12726855.2755478</v>
      </c>
      <c r="E32" s="99" t="n">
        <f aca="false">MAX(0,D32-D638-D941-D1244-D1547)</f>
        <v>10947050.7362368</v>
      </c>
      <c r="F32" s="99" t="n">
        <f aca="false">MAX(0,E32-E638-E941-E1244-E1547)</f>
        <v>9400087.06106433</v>
      </c>
      <c r="G32" s="99" t="n">
        <f aca="false">MAX(0,F32-F638-F941-F1244-F1547)</f>
        <v>0</v>
      </c>
      <c r="H32" s="99" t="n">
        <f aca="false">MAX(0,G32-G638-G941-G1244-G1547)</f>
        <v>0</v>
      </c>
      <c r="I32" s="99" t="n">
        <f aca="false">MAX(0,H32-H638-H941-H1244-H1547)</f>
        <v>0</v>
      </c>
      <c r="J32" s="99" t="n">
        <f aca="false">MAX(0,I32-I638-I941-I1244-I1547)</f>
        <v>0</v>
      </c>
      <c r="K32" s="99" t="n">
        <f aca="false">MAX(0,J32-J638-J941-J1244-J1547)</f>
        <v>0</v>
      </c>
      <c r="L32" s="99" t="n">
        <f aca="false">MAX(0,K32-K638-K941-K1244-K1547)</f>
        <v>0</v>
      </c>
      <c r="M32" s="99" t="n">
        <f aca="false">MAX(0,L32-L638-L941-L1244-L1547)</f>
        <v>0</v>
      </c>
    </row>
    <row r="33" customFormat="false" ht="15" hidden="false" customHeight="false" outlineLevel="0" collapsed="false">
      <c r="B33" s="108" t="str">
        <f aca="false">'Loan Tape'!$A29</f>
        <v>L-026</v>
      </c>
      <c r="C33" s="71" t="n">
        <f aca="false">IF('Loan Tape'!$AN29=0,0,'Loan Tape'!$R29)</f>
        <v>89897000</v>
      </c>
      <c r="D33" s="71" t="n">
        <f aca="false">MAX(0,C33-C639-C942-C1245-C1548)</f>
        <v>0</v>
      </c>
      <c r="E33" s="71" t="n">
        <f aca="false">MAX(0,D33-D639-D942-D1245-D1548)</f>
        <v>0</v>
      </c>
      <c r="F33" s="71" t="n">
        <f aca="false">MAX(0,E33-E639-E942-E1245-E1548)</f>
        <v>0</v>
      </c>
      <c r="G33" s="71" t="n">
        <f aca="false">MAX(0,F33-F639-F942-F1245-F1548)</f>
        <v>0</v>
      </c>
      <c r="H33" s="71" t="n">
        <f aca="false">MAX(0,G33-G639-G942-G1245-G1548)</f>
        <v>0</v>
      </c>
      <c r="I33" s="71" t="n">
        <f aca="false">MAX(0,H33-H639-H942-H1245-H1548)</f>
        <v>0</v>
      </c>
      <c r="J33" s="71" t="n">
        <f aca="false">MAX(0,I33-I639-I942-I1245-I1548)</f>
        <v>0</v>
      </c>
      <c r="K33" s="71" t="n">
        <f aca="false">MAX(0,J33-J639-J942-J1245-J1548)</f>
        <v>0</v>
      </c>
      <c r="L33" s="71" t="n">
        <f aca="false">MAX(0,K33-K639-K942-K1245-K1548)</f>
        <v>0</v>
      </c>
      <c r="M33" s="71" t="n">
        <f aca="false">MAX(0,L33-L639-L942-L1245-L1548)</f>
        <v>0</v>
      </c>
    </row>
    <row r="34" customFormat="false" ht="15" hidden="false" customHeight="false" outlineLevel="0" collapsed="false">
      <c r="B34" s="102" t="str">
        <f aca="false">'Loan Tape'!$A30</f>
        <v>L-027</v>
      </c>
      <c r="C34" s="99" t="n">
        <f aca="false">IF('Loan Tape'!$AN30=0,0,'Loan Tape'!$R30)</f>
        <v>88481000</v>
      </c>
      <c r="D34" s="99" t="n">
        <f aca="false">MAX(0,C34-C640-C943-C1246-C1549)</f>
        <v>77863280</v>
      </c>
      <c r="E34" s="99" t="n">
        <f aca="false">MAX(0,D34-D640-D943-D1246-D1549)</f>
        <v>68519686.4</v>
      </c>
      <c r="F34" s="99" t="n">
        <f aca="false">MAX(0,E34-E640-E943-E1246-E1549)</f>
        <v>60297324.032</v>
      </c>
      <c r="G34" s="99" t="n">
        <f aca="false">MAX(0,F34-F640-F943-F1246-F1549)</f>
        <v>0</v>
      </c>
      <c r="H34" s="99" t="n">
        <f aca="false">MAX(0,G34-G640-G943-G1246-G1549)</f>
        <v>0</v>
      </c>
      <c r="I34" s="99" t="n">
        <f aca="false">MAX(0,H34-H640-H943-H1246-H1549)</f>
        <v>0</v>
      </c>
      <c r="J34" s="99" t="n">
        <f aca="false">MAX(0,I34-I640-I943-I1246-I1549)</f>
        <v>0</v>
      </c>
      <c r="K34" s="99" t="n">
        <f aca="false">MAX(0,J34-J640-J943-J1246-J1549)</f>
        <v>0</v>
      </c>
      <c r="L34" s="99" t="n">
        <f aca="false">MAX(0,K34-K640-K943-K1246-K1549)</f>
        <v>0</v>
      </c>
      <c r="M34" s="99" t="n">
        <f aca="false">MAX(0,L34-L640-L943-L1246-L1549)</f>
        <v>0</v>
      </c>
    </row>
    <row r="35" customFormat="false" ht="15" hidden="false" customHeight="false" outlineLevel="0" collapsed="false">
      <c r="B35" s="108" t="str">
        <f aca="false">'Loan Tape'!$A31</f>
        <v>L-028</v>
      </c>
      <c r="C35" s="71" t="n">
        <f aca="false">IF('Loan Tape'!$AN31=0,0,'Loan Tape'!$R31)</f>
        <v>86385000</v>
      </c>
      <c r="D35" s="71" t="n">
        <f aca="false">MAX(0,C35-C641-C944-C1247-C1550)</f>
        <v>0</v>
      </c>
      <c r="E35" s="71" t="n">
        <f aca="false">MAX(0,D35-D641-D944-D1247-D1550)</f>
        <v>0</v>
      </c>
      <c r="F35" s="71" t="n">
        <f aca="false">MAX(0,E35-E641-E944-E1247-E1550)</f>
        <v>0</v>
      </c>
      <c r="G35" s="71" t="n">
        <f aca="false">MAX(0,F35-F641-F944-F1247-F1550)</f>
        <v>0</v>
      </c>
      <c r="H35" s="71" t="n">
        <f aca="false">MAX(0,G35-G641-G944-G1247-G1550)</f>
        <v>0</v>
      </c>
      <c r="I35" s="71" t="n">
        <f aca="false">MAX(0,H35-H641-H944-H1247-H1550)</f>
        <v>0</v>
      </c>
      <c r="J35" s="71" t="n">
        <f aca="false">MAX(0,I35-I641-I944-I1247-I1550)</f>
        <v>0</v>
      </c>
      <c r="K35" s="71" t="n">
        <f aca="false">MAX(0,J35-J641-J944-J1247-J1550)</f>
        <v>0</v>
      </c>
      <c r="L35" s="71" t="n">
        <f aca="false">MAX(0,K35-K641-K944-K1247-K1550)</f>
        <v>0</v>
      </c>
      <c r="M35" s="71" t="n">
        <f aca="false">MAX(0,L35-L641-L944-L1247-L1550)</f>
        <v>0</v>
      </c>
    </row>
    <row r="36" customFormat="false" ht="15" hidden="false" customHeight="false" outlineLevel="0" collapsed="false">
      <c r="B36" s="102" t="str">
        <f aca="false">'Loan Tape'!$A32</f>
        <v>L-029</v>
      </c>
      <c r="C36" s="99" t="n">
        <f aca="false">IF('Loan Tape'!$AN32=0,0,'Loan Tape'!$R32)</f>
        <v>43725000</v>
      </c>
      <c r="D36" s="99" t="n">
        <f aca="false">MAX(0,C36-C642-C945-C1248-C1551)</f>
        <v>0</v>
      </c>
      <c r="E36" s="99" t="n">
        <f aca="false">MAX(0,D36-D642-D945-D1248-D1551)</f>
        <v>0</v>
      </c>
      <c r="F36" s="99" t="n">
        <f aca="false">MAX(0,E36-E642-E945-E1248-E1551)</f>
        <v>0</v>
      </c>
      <c r="G36" s="99" t="n">
        <f aca="false">MAX(0,F36-F642-F945-F1248-F1551)</f>
        <v>0</v>
      </c>
      <c r="H36" s="99" t="n">
        <f aca="false">MAX(0,G36-G642-G945-G1248-G1551)</f>
        <v>0</v>
      </c>
      <c r="I36" s="99" t="n">
        <f aca="false">MAX(0,H36-H642-H945-H1248-H1551)</f>
        <v>0</v>
      </c>
      <c r="J36" s="99" t="n">
        <f aca="false">MAX(0,I36-I642-I945-I1248-I1551)</f>
        <v>0</v>
      </c>
      <c r="K36" s="99" t="n">
        <f aca="false">MAX(0,J36-J642-J945-J1248-J1551)</f>
        <v>0</v>
      </c>
      <c r="L36" s="99" t="n">
        <f aca="false">MAX(0,K36-K642-K945-K1248-K1551)</f>
        <v>0</v>
      </c>
      <c r="M36" s="99" t="n">
        <f aca="false">MAX(0,L36-L642-L945-L1248-L1551)</f>
        <v>0</v>
      </c>
    </row>
    <row r="37" customFormat="false" ht="15" hidden="false" customHeight="false" outlineLevel="0" collapsed="false">
      <c r="B37" s="108" t="str">
        <f aca="false">'Loan Tape'!$A33</f>
        <v>L-030</v>
      </c>
      <c r="C37" s="71" t="n">
        <f aca="false">IF('Loan Tape'!$AN33=0,0,'Loan Tape'!$R33)</f>
        <v>14196000</v>
      </c>
      <c r="D37" s="71" t="n">
        <f aca="false">MAX(0,C37-C643-C946-C1249-C1552)</f>
        <v>12284325.0668399</v>
      </c>
      <c r="E37" s="71" t="n">
        <f aca="false">MAX(0,D37-D643-D946-D1249-D1552)</f>
        <v>10602356.2923256</v>
      </c>
      <c r="F37" s="71" t="n">
        <f aca="false">MAX(0,E37-E643-E946-E1249-E1552)</f>
        <v>9123715.22885641</v>
      </c>
      <c r="G37" s="71" t="n">
        <f aca="false">MAX(0,F37-F643-F946-F1249-F1552)</f>
        <v>7830189.92153645</v>
      </c>
      <c r="H37" s="71" t="n">
        <f aca="false">MAX(0,G37-G643-G946-G1249-G1552)</f>
        <v>0</v>
      </c>
      <c r="I37" s="71" t="n">
        <f aca="false">MAX(0,H37-H643-H946-H1249-H1552)</f>
        <v>0</v>
      </c>
      <c r="J37" s="71" t="n">
        <f aca="false">MAX(0,I37-I643-I946-I1249-I1552)</f>
        <v>0</v>
      </c>
      <c r="K37" s="71" t="n">
        <f aca="false">MAX(0,J37-J643-J946-J1249-J1552)</f>
        <v>0</v>
      </c>
      <c r="L37" s="71" t="n">
        <f aca="false">MAX(0,K37-K643-K946-K1249-K1552)</f>
        <v>0</v>
      </c>
      <c r="M37" s="71" t="n">
        <f aca="false">MAX(0,L37-L643-L946-L1249-L1552)</f>
        <v>0</v>
      </c>
    </row>
    <row r="38" customFormat="false" ht="15" hidden="false" customHeight="false" outlineLevel="0" collapsed="false">
      <c r="B38" s="102" t="str">
        <f aca="false">'Loan Tape'!$A34</f>
        <v>L-031</v>
      </c>
      <c r="C38" s="99" t="n">
        <f aca="false">IF('Loan Tape'!$AN34=0,0,'Loan Tape'!$R34)</f>
        <v>11649000</v>
      </c>
      <c r="D38" s="99" t="n">
        <f aca="false">MAX(0,C38-C644-C947-C1250-C1553)</f>
        <v>10251120</v>
      </c>
      <c r="E38" s="99" t="n">
        <f aca="false">MAX(0,D38-D644-D947-D1250-D1553)</f>
        <v>0</v>
      </c>
      <c r="F38" s="99" t="n">
        <f aca="false">MAX(0,E38-E644-E947-E1250-E1553)</f>
        <v>0</v>
      </c>
      <c r="G38" s="99" t="n">
        <f aca="false">MAX(0,F38-F644-F947-F1250-F1553)</f>
        <v>0</v>
      </c>
      <c r="H38" s="99" t="n">
        <f aca="false">MAX(0,G38-G644-G947-G1250-G1553)</f>
        <v>0</v>
      </c>
      <c r="I38" s="99" t="n">
        <f aca="false">MAX(0,H38-H644-H947-H1250-H1553)</f>
        <v>0</v>
      </c>
      <c r="J38" s="99" t="n">
        <f aca="false">MAX(0,I38-I644-I947-I1250-I1553)</f>
        <v>0</v>
      </c>
      <c r="K38" s="99" t="n">
        <f aca="false">MAX(0,J38-J644-J947-J1250-J1553)</f>
        <v>0</v>
      </c>
      <c r="L38" s="99" t="n">
        <f aca="false">MAX(0,K38-K644-K947-K1250-K1553)</f>
        <v>0</v>
      </c>
      <c r="M38" s="99" t="n">
        <f aca="false">MAX(0,L38-L644-L947-L1250-L1553)</f>
        <v>0</v>
      </c>
    </row>
    <row r="39" customFormat="false" ht="15" hidden="false" customHeight="false" outlineLevel="0" collapsed="false">
      <c r="B39" s="108" t="str">
        <f aca="false">'Loan Tape'!$A35</f>
        <v>L-032</v>
      </c>
      <c r="C39" s="71" t="n">
        <f aca="false">IF('Loan Tape'!$AN35=0,0,'Loan Tape'!$R35)</f>
        <v>139731000</v>
      </c>
      <c r="D39" s="71" t="n">
        <f aca="false">MAX(0,C39-C645-C948-C1251-C1554)</f>
        <v>121007424.140044</v>
      </c>
      <c r="E39" s="71" t="n">
        <f aca="false">MAX(0,D39-D645-D948-D1251-D1554)</f>
        <v>104494512.467614</v>
      </c>
      <c r="F39" s="71" t="n">
        <f aca="false">MAX(0,E39-E645-E948-E1251-E1554)</f>
        <v>89968968.8696614</v>
      </c>
      <c r="G39" s="71" t="n">
        <f aca="false">MAX(0,F39-F645-F948-F1251-F1554)</f>
        <v>0</v>
      </c>
      <c r="H39" s="71" t="n">
        <f aca="false">MAX(0,G39-G645-G948-G1251-G1554)</f>
        <v>0</v>
      </c>
      <c r="I39" s="71" t="n">
        <f aca="false">MAX(0,H39-H645-H948-H1251-H1554)</f>
        <v>0</v>
      </c>
      <c r="J39" s="71" t="n">
        <f aca="false">MAX(0,I39-I645-I948-I1251-I1554)</f>
        <v>0</v>
      </c>
      <c r="K39" s="71" t="n">
        <f aca="false">MAX(0,J39-J645-J948-J1251-J1554)</f>
        <v>0</v>
      </c>
      <c r="L39" s="71" t="n">
        <f aca="false">MAX(0,K39-K645-K948-K1251-K1554)</f>
        <v>0</v>
      </c>
      <c r="M39" s="71" t="n">
        <f aca="false">MAX(0,L39-L645-L948-L1251-L1554)</f>
        <v>0</v>
      </c>
    </row>
    <row r="40" customFormat="false" ht="15" hidden="false" customHeight="false" outlineLevel="0" collapsed="false">
      <c r="B40" s="102" t="str">
        <f aca="false">'Loan Tape'!$A36</f>
        <v>L-033</v>
      </c>
      <c r="C40" s="99" t="n">
        <f aca="false">IF('Loan Tape'!$AN36=0,0,'Loan Tape'!$R36)</f>
        <v>43757000</v>
      </c>
      <c r="D40" s="99" t="n">
        <f aca="false">MAX(0,C40-C646-C949-C1252-C1555)</f>
        <v>0</v>
      </c>
      <c r="E40" s="99" t="n">
        <f aca="false">MAX(0,D40-D646-D949-D1252-D1555)</f>
        <v>0</v>
      </c>
      <c r="F40" s="99" t="n">
        <f aca="false">MAX(0,E40-E646-E949-E1252-E1555)</f>
        <v>0</v>
      </c>
      <c r="G40" s="99" t="n">
        <f aca="false">MAX(0,F40-F646-F949-F1252-F1555)</f>
        <v>0</v>
      </c>
      <c r="H40" s="99" t="n">
        <f aca="false">MAX(0,G40-G646-G949-G1252-G1555)</f>
        <v>0</v>
      </c>
      <c r="I40" s="99" t="n">
        <f aca="false">MAX(0,H40-H646-H949-H1252-H1555)</f>
        <v>0</v>
      </c>
      <c r="J40" s="99" t="n">
        <f aca="false">MAX(0,I40-I646-I949-I1252-I1555)</f>
        <v>0</v>
      </c>
      <c r="K40" s="99" t="n">
        <f aca="false">MAX(0,J40-J646-J949-J1252-J1555)</f>
        <v>0</v>
      </c>
      <c r="L40" s="99" t="n">
        <f aca="false">MAX(0,K40-K646-K949-K1252-K1555)</f>
        <v>0</v>
      </c>
      <c r="M40" s="99" t="n">
        <f aca="false">MAX(0,L40-L646-L949-L1252-L1555)</f>
        <v>0</v>
      </c>
    </row>
    <row r="41" customFormat="false" ht="15" hidden="false" customHeight="false" outlineLevel="0" collapsed="false">
      <c r="B41" s="108" t="str">
        <f aca="false">'Loan Tape'!$A37</f>
        <v>L-034</v>
      </c>
      <c r="C41" s="71" t="n">
        <f aca="false">IF('Loan Tape'!$AN37=0,0,'Loan Tape'!$R37)</f>
        <v>11376000</v>
      </c>
      <c r="D41" s="71" t="n">
        <f aca="false">MAX(0,C41-C647-C950-C1253-C1556)</f>
        <v>9760839.64178393</v>
      </c>
      <c r="E41" s="71" t="n">
        <f aca="false">MAX(0,D41-D647-D950-D1253-D1556)</f>
        <v>8359516.73211353</v>
      </c>
      <c r="F41" s="71" t="n">
        <f aca="false">MAX(0,E41-E647-E950-E1253-E1556)</f>
        <v>7144816.19696313</v>
      </c>
      <c r="G41" s="71" t="n">
        <f aca="false">MAX(0,F41-F647-F950-F1253-F1556)</f>
        <v>6092910.01365014</v>
      </c>
      <c r="H41" s="71" t="n">
        <f aca="false">MAX(0,G41-G647-G950-G1253-G1556)</f>
        <v>5182941.47678508</v>
      </c>
      <c r="I41" s="71" t="n">
        <f aca="false">MAX(0,H41-H647-H950-H1253-H1556)</f>
        <v>5182941.47678508</v>
      </c>
      <c r="J41" s="71" t="n">
        <f aca="false">MAX(0,I41-I647-I950-I1253-I1556)</f>
        <v>5182941.47678508</v>
      </c>
      <c r="K41" s="71" t="n">
        <f aca="false">MAX(0,J41-J647-J950-J1253-J1556)</f>
        <v>5182941.47678508</v>
      </c>
      <c r="L41" s="71" t="n">
        <f aca="false">MAX(0,K41-K647-K950-K1253-K1556)</f>
        <v>5182941.47678508</v>
      </c>
      <c r="M41" s="71" t="n">
        <f aca="false">MAX(0,L41-L647-L950-L1253-L1556)</f>
        <v>5182941.47678508</v>
      </c>
    </row>
    <row r="42" customFormat="false" ht="15" hidden="false" customHeight="false" outlineLevel="0" collapsed="false">
      <c r="B42" s="102" t="str">
        <f aca="false">'Loan Tape'!$A38</f>
        <v>L-035</v>
      </c>
      <c r="C42" s="99" t="n">
        <f aca="false">IF('Loan Tape'!$AN38=0,0,'Loan Tape'!$R38)</f>
        <v>63125000</v>
      </c>
      <c r="D42" s="99" t="n">
        <f aca="false">MAX(0,C42-C648-C951-C1254-C1557)</f>
        <v>54109850.8615535</v>
      </c>
      <c r="E42" s="99" t="n">
        <f aca="false">MAX(0,D42-D648-D951-D1254-D1557)</f>
        <v>46194867.9690256</v>
      </c>
      <c r="F42" s="99" t="n">
        <f aca="false">MAX(0,E42-E648-E951-E1254-E1557)</f>
        <v>0</v>
      </c>
      <c r="G42" s="99" t="n">
        <f aca="false">MAX(0,F42-F648-F951-F1254-F1557)</f>
        <v>0</v>
      </c>
      <c r="H42" s="99" t="n">
        <f aca="false">MAX(0,G42-G648-G951-G1254-G1557)</f>
        <v>0</v>
      </c>
      <c r="I42" s="99" t="n">
        <f aca="false">MAX(0,H42-H648-H951-H1254-H1557)</f>
        <v>0</v>
      </c>
      <c r="J42" s="99" t="n">
        <f aca="false">MAX(0,I42-I648-I951-I1254-I1557)</f>
        <v>0</v>
      </c>
      <c r="K42" s="99" t="n">
        <f aca="false">MAX(0,J42-J648-J951-J1254-J1557)</f>
        <v>0</v>
      </c>
      <c r="L42" s="99" t="n">
        <f aca="false">MAX(0,K42-K648-K951-K1254-K1557)</f>
        <v>0</v>
      </c>
      <c r="M42" s="99" t="n">
        <f aca="false">MAX(0,L42-L648-L951-L1254-L1557)</f>
        <v>0</v>
      </c>
    </row>
    <row r="43" customFormat="false" ht="15" hidden="false" customHeight="false" outlineLevel="0" collapsed="false">
      <c r="B43" s="108" t="str">
        <f aca="false">'Loan Tape'!$A39</f>
        <v>L-036</v>
      </c>
      <c r="C43" s="71" t="n">
        <f aca="false">IF('Loan Tape'!$AN39=0,0,'Loan Tape'!$R39)</f>
        <v>38265000</v>
      </c>
      <c r="D43" s="71" t="n">
        <f aca="false">MAX(0,C43-C649-C952-C1255-C1558)</f>
        <v>0</v>
      </c>
      <c r="E43" s="71" t="n">
        <f aca="false">MAX(0,D43-D649-D952-D1255-D1558)</f>
        <v>0</v>
      </c>
      <c r="F43" s="71" t="n">
        <f aca="false">MAX(0,E43-E649-E952-E1255-E1558)</f>
        <v>0</v>
      </c>
      <c r="G43" s="71" t="n">
        <f aca="false">MAX(0,F43-F649-F952-F1255-F1558)</f>
        <v>0</v>
      </c>
      <c r="H43" s="71" t="n">
        <f aca="false">MAX(0,G43-G649-G952-G1255-G1558)</f>
        <v>0</v>
      </c>
      <c r="I43" s="71" t="n">
        <f aca="false">MAX(0,H43-H649-H952-H1255-H1558)</f>
        <v>0</v>
      </c>
      <c r="J43" s="71" t="n">
        <f aca="false">MAX(0,I43-I649-I952-I1255-I1558)</f>
        <v>0</v>
      </c>
      <c r="K43" s="71" t="n">
        <f aca="false">MAX(0,J43-J649-J952-J1255-J1558)</f>
        <v>0</v>
      </c>
      <c r="L43" s="71" t="n">
        <f aca="false">MAX(0,K43-K649-K952-K1255-K1558)</f>
        <v>0</v>
      </c>
      <c r="M43" s="71" t="n">
        <f aca="false">MAX(0,L43-L649-L952-L1255-L1558)</f>
        <v>0</v>
      </c>
    </row>
    <row r="44" customFormat="false" ht="15" hidden="false" customHeight="false" outlineLevel="0" collapsed="false">
      <c r="B44" s="102" t="str">
        <f aca="false">'Loan Tape'!$A40</f>
        <v>L-037</v>
      </c>
      <c r="C44" s="99" t="n">
        <f aca="false">IF('Loan Tape'!$AN40=0,0,'Loan Tape'!$R40)</f>
        <v>32760000</v>
      </c>
      <c r="D44" s="99" t="n">
        <f aca="false">MAX(0,C44-C650-C953-C1256-C1559)</f>
        <v>0</v>
      </c>
      <c r="E44" s="99" t="n">
        <f aca="false">MAX(0,D44-D650-D953-D1256-D1559)</f>
        <v>0</v>
      </c>
      <c r="F44" s="99" t="n">
        <f aca="false">MAX(0,E44-E650-E953-E1256-E1559)</f>
        <v>0</v>
      </c>
      <c r="G44" s="99" t="n">
        <f aca="false">MAX(0,F44-F650-F953-F1256-F1559)</f>
        <v>0</v>
      </c>
      <c r="H44" s="99" t="n">
        <f aca="false">MAX(0,G44-G650-G953-G1256-G1559)</f>
        <v>0</v>
      </c>
      <c r="I44" s="99" t="n">
        <f aca="false">MAX(0,H44-H650-H953-H1256-H1559)</f>
        <v>0</v>
      </c>
      <c r="J44" s="99" t="n">
        <f aca="false">MAX(0,I44-I650-I953-I1256-I1559)</f>
        <v>0</v>
      </c>
      <c r="K44" s="99" t="n">
        <f aca="false">MAX(0,J44-J650-J953-J1256-J1559)</f>
        <v>0</v>
      </c>
      <c r="L44" s="99" t="n">
        <f aca="false">MAX(0,K44-K650-K953-K1256-K1559)</f>
        <v>0</v>
      </c>
      <c r="M44" s="99" t="n">
        <f aca="false">MAX(0,L44-L650-L953-L1256-L1559)</f>
        <v>0</v>
      </c>
    </row>
    <row r="45" customFormat="false" ht="15" hidden="false" customHeight="false" outlineLevel="0" collapsed="false">
      <c r="B45" s="108" t="str">
        <f aca="false">'Loan Tape'!$A41</f>
        <v>L-038</v>
      </c>
      <c r="C45" s="71" t="n">
        <f aca="false">IF('Loan Tape'!$AN41=0,0,'Loan Tape'!$R41)</f>
        <v>5369000</v>
      </c>
      <c r="D45" s="71" t="n">
        <f aca="false">MAX(0,C45-C651-C954-C1257-C1560)</f>
        <v>4666686.65016205</v>
      </c>
      <c r="E45" s="71" t="n">
        <f aca="false">MAX(0,D45-D651-D954-D1257-D1560)</f>
        <v>4041471.2848267</v>
      </c>
      <c r="F45" s="71" t="n">
        <f aca="false">MAX(0,E45-E651-E954-E1257-E1560)</f>
        <v>3491604.79578587</v>
      </c>
      <c r="G45" s="71" t="n">
        <f aca="false">MAX(0,F45-F651-F954-F1257-F1560)</f>
        <v>3010301.60933279</v>
      </c>
      <c r="H45" s="71" t="n">
        <f aca="false">MAX(0,G45-G651-G954-G1257-G1560)</f>
        <v>2590244.02282962</v>
      </c>
      <c r="I45" s="71" t="n">
        <f aca="false">MAX(0,H45-H651-H954-H1257-H1560)</f>
        <v>2590244.02282962</v>
      </c>
      <c r="J45" s="71" t="n">
        <f aca="false">MAX(0,I45-I651-I954-I1257-I1560)</f>
        <v>2590244.02282962</v>
      </c>
      <c r="K45" s="71" t="n">
        <f aca="false">MAX(0,J45-J651-J954-J1257-J1560)</f>
        <v>2590244.02282962</v>
      </c>
      <c r="L45" s="71" t="n">
        <f aca="false">MAX(0,K45-K651-K954-K1257-K1560)</f>
        <v>2590244.02282962</v>
      </c>
      <c r="M45" s="71" t="n">
        <f aca="false">MAX(0,L45-L651-L954-L1257-L1560)</f>
        <v>2590244.02282962</v>
      </c>
    </row>
    <row r="46" customFormat="false" ht="15" hidden="false" customHeight="false" outlineLevel="0" collapsed="false">
      <c r="B46" s="102" t="str">
        <f aca="false">'Loan Tape'!$A42</f>
        <v>L-039</v>
      </c>
      <c r="C46" s="99" t="n">
        <f aca="false">IF('Loan Tape'!$AN42=0,0,'Loan Tape'!$R42)</f>
        <v>4499000</v>
      </c>
      <c r="D46" s="99" t="n">
        <f aca="false">MAX(0,C46-C652-C955-C1258-C1561)</f>
        <v>3893894.20318302</v>
      </c>
      <c r="E46" s="99" t="n">
        <f aca="false">MAX(0,D46-D652-D955-D1258-D1561)</f>
        <v>3360255.54776724</v>
      </c>
      <c r="F46" s="99" t="n">
        <f aca="false">MAX(0,E46-E652-E955-E1258-E1561)</f>
        <v>2890884.21190636</v>
      </c>
      <c r="G46" s="99" t="n">
        <f aca="false">MAX(0,F46-F652-F955-F1258-F1561)</f>
        <v>2479986.84768766</v>
      </c>
      <c r="H46" s="99" t="n">
        <f aca="false">MAX(0,G46-G652-G955-G1258-G1561)</f>
        <v>0</v>
      </c>
      <c r="I46" s="99" t="n">
        <f aca="false">MAX(0,H46-H652-H955-H1258-H1561)</f>
        <v>0</v>
      </c>
      <c r="J46" s="99" t="n">
        <f aca="false">MAX(0,I46-I652-I955-I1258-I1561)</f>
        <v>0</v>
      </c>
      <c r="K46" s="99" t="n">
        <f aca="false">MAX(0,J46-J652-J955-J1258-J1561)</f>
        <v>0</v>
      </c>
      <c r="L46" s="99" t="n">
        <f aca="false">MAX(0,K46-K652-K955-K1258-K1561)</f>
        <v>0</v>
      </c>
      <c r="M46" s="99" t="n">
        <f aca="false">MAX(0,L46-L652-L955-L1258-L1561)</f>
        <v>0</v>
      </c>
    </row>
    <row r="47" customFormat="false" ht="15" hidden="false" customHeight="false" outlineLevel="0" collapsed="false">
      <c r="B47" s="108" t="str">
        <f aca="false">'Loan Tape'!$A43</f>
        <v>L-040</v>
      </c>
      <c r="C47" s="71" t="n">
        <f aca="false">IF('Loan Tape'!$AN43=0,0,'Loan Tape'!$R43)</f>
        <v>81125000</v>
      </c>
      <c r="D47" s="71" t="n">
        <f aca="false">MAX(0,C47-C653-C956-C1259-C1562)</f>
        <v>69105601.7560847</v>
      </c>
      <c r="E47" s="71" t="n">
        <f aca="false">MAX(0,D47-D653-D956-D1259-D1562)</f>
        <v>58718094.3783936</v>
      </c>
      <c r="F47" s="71" t="n">
        <f aca="false">MAX(0,E47-E653-E956-E1259-E1562)</f>
        <v>0</v>
      </c>
      <c r="G47" s="71" t="n">
        <f aca="false">MAX(0,F47-F653-F956-F1259-F1562)</f>
        <v>0</v>
      </c>
      <c r="H47" s="71" t="n">
        <f aca="false">MAX(0,G47-G653-G956-G1259-G1562)</f>
        <v>0</v>
      </c>
      <c r="I47" s="71" t="n">
        <f aca="false">MAX(0,H47-H653-H956-H1259-H1562)</f>
        <v>0</v>
      </c>
      <c r="J47" s="71" t="n">
        <f aca="false">MAX(0,I47-I653-I956-I1259-I1562)</f>
        <v>0</v>
      </c>
      <c r="K47" s="71" t="n">
        <f aca="false">MAX(0,J47-J653-J956-J1259-J1562)</f>
        <v>0</v>
      </c>
      <c r="L47" s="71" t="n">
        <f aca="false">MAX(0,K47-K653-K956-K1259-K1562)</f>
        <v>0</v>
      </c>
      <c r="M47" s="71" t="n">
        <f aca="false">MAX(0,L47-L653-L956-L1259-L1562)</f>
        <v>0</v>
      </c>
    </row>
    <row r="48" customFormat="false" ht="15" hidden="false" customHeight="false" outlineLevel="0" collapsed="false">
      <c r="B48" s="102" t="str">
        <f aca="false">'Loan Tape'!$A44</f>
        <v>L-041</v>
      </c>
      <c r="C48" s="99" t="n">
        <f aca="false">IF('Loan Tape'!$AN44=0,0,'Loan Tape'!$R44)</f>
        <v>30613000</v>
      </c>
      <c r="D48" s="99" t="n">
        <f aca="false">MAX(0,C48-C654-C957-C1260-C1563)</f>
        <v>0</v>
      </c>
      <c r="E48" s="99" t="n">
        <f aca="false">MAX(0,D48-D654-D957-D1260-D1563)</f>
        <v>0</v>
      </c>
      <c r="F48" s="99" t="n">
        <f aca="false">MAX(0,E48-E654-E957-E1260-E1563)</f>
        <v>0</v>
      </c>
      <c r="G48" s="99" t="n">
        <f aca="false">MAX(0,F48-F654-F957-F1260-F1563)</f>
        <v>0</v>
      </c>
      <c r="H48" s="99" t="n">
        <f aca="false">MAX(0,G48-G654-G957-G1260-G1563)</f>
        <v>0</v>
      </c>
      <c r="I48" s="99" t="n">
        <f aca="false">MAX(0,H48-H654-H957-H1260-H1563)</f>
        <v>0</v>
      </c>
      <c r="J48" s="99" t="n">
        <f aca="false">MAX(0,I48-I654-I957-I1260-I1563)</f>
        <v>0</v>
      </c>
      <c r="K48" s="99" t="n">
        <f aca="false">MAX(0,J48-J654-J957-J1260-J1563)</f>
        <v>0</v>
      </c>
      <c r="L48" s="99" t="n">
        <f aca="false">MAX(0,K48-K654-K957-K1260-K1563)</f>
        <v>0</v>
      </c>
      <c r="M48" s="99" t="n">
        <f aca="false">MAX(0,L48-L654-L957-L1260-L1563)</f>
        <v>0</v>
      </c>
    </row>
    <row r="49" customFormat="false" ht="15" hidden="false" customHeight="false" outlineLevel="0" collapsed="false">
      <c r="B49" s="108" t="str">
        <f aca="false">'Loan Tape'!$A45</f>
        <v>L-042</v>
      </c>
      <c r="C49" s="71" t="n">
        <f aca="false">IF('Loan Tape'!$AN45=0,0,'Loan Tape'!$R45)</f>
        <v>5039000</v>
      </c>
      <c r="D49" s="71" t="n">
        <f aca="false">MAX(0,C49-C655-C958-C1261-C1564)</f>
        <v>4351480.34124436</v>
      </c>
      <c r="E49" s="71" t="n">
        <f aca="false">MAX(0,D49-D655-D958-D1261-D1564)</f>
        <v>3752642.38700725</v>
      </c>
      <c r="F49" s="71" t="n">
        <f aca="false">MAX(0,E49-E655-E958-E1261-E1564)</f>
        <v>0</v>
      </c>
      <c r="G49" s="71" t="n">
        <f aca="false">MAX(0,F49-F655-F958-F1261-F1564)</f>
        <v>0</v>
      </c>
      <c r="H49" s="71" t="n">
        <f aca="false">MAX(0,G49-G655-G958-G1261-G1564)</f>
        <v>0</v>
      </c>
      <c r="I49" s="71" t="n">
        <f aca="false">MAX(0,H49-H655-H958-H1261-H1564)</f>
        <v>0</v>
      </c>
      <c r="J49" s="71" t="n">
        <f aca="false">MAX(0,I49-I655-I958-I1261-I1564)</f>
        <v>0</v>
      </c>
      <c r="K49" s="71" t="n">
        <f aca="false">MAX(0,J49-J655-J958-J1261-J1564)</f>
        <v>0</v>
      </c>
      <c r="L49" s="71" t="n">
        <f aca="false">MAX(0,K49-K655-K958-K1261-K1564)</f>
        <v>0</v>
      </c>
      <c r="M49" s="71" t="n">
        <f aca="false">MAX(0,L49-L655-L958-L1261-L1564)</f>
        <v>0</v>
      </c>
    </row>
    <row r="50" customFormat="false" ht="15" hidden="false" customHeight="false" outlineLevel="0" collapsed="false">
      <c r="B50" s="102" t="str">
        <f aca="false">'Loan Tape'!$A46</f>
        <v>L-043</v>
      </c>
      <c r="C50" s="99" t="n">
        <f aca="false">IF('Loan Tape'!$AN46=0,0,'Loan Tape'!$R46)</f>
        <v>8680000</v>
      </c>
      <c r="D50" s="99" t="n">
        <f aca="false">MAX(0,C50-C656-C959-C1262-C1565)</f>
        <v>7464789.99924696</v>
      </c>
      <c r="E50" s="99" t="n">
        <f aca="false">MAX(0,D50-D656-D959-D1262-D1565)</f>
        <v>6396198.98529877</v>
      </c>
      <c r="F50" s="99" t="n">
        <f aca="false">MAX(0,E50-E656-E959-E1262-E1565)</f>
        <v>5460006.99134056</v>
      </c>
      <c r="G50" s="99" t="n">
        <f aca="false">MAX(0,F50-F656-F959-F1262-F1565)</f>
        <v>0</v>
      </c>
      <c r="H50" s="99" t="n">
        <f aca="false">MAX(0,G50-G656-G959-G1262-G1565)</f>
        <v>0</v>
      </c>
      <c r="I50" s="99" t="n">
        <f aca="false">MAX(0,H50-H656-H959-H1262-H1565)</f>
        <v>0</v>
      </c>
      <c r="J50" s="99" t="n">
        <f aca="false">MAX(0,I50-I656-I959-I1262-I1565)</f>
        <v>0</v>
      </c>
      <c r="K50" s="99" t="n">
        <f aca="false">MAX(0,J50-J656-J959-J1262-J1565)</f>
        <v>0</v>
      </c>
      <c r="L50" s="99" t="n">
        <f aca="false">MAX(0,K50-K656-K959-K1262-K1565)</f>
        <v>0</v>
      </c>
      <c r="M50" s="99" t="n">
        <f aca="false">MAX(0,L50-L656-L959-L1262-L1565)</f>
        <v>0</v>
      </c>
    </row>
    <row r="51" customFormat="false" ht="15" hidden="false" customHeight="false" outlineLevel="0" collapsed="false">
      <c r="B51" s="108" t="str">
        <f aca="false">'Loan Tape'!$A47</f>
        <v>L-044</v>
      </c>
      <c r="C51" s="71" t="n">
        <f aca="false">IF('Loan Tape'!$AN47=0,0,'Loan Tape'!$R47)</f>
        <v>78707000</v>
      </c>
      <c r="D51" s="71" t="n">
        <f aca="false">MAX(0,C51-C657-C960-C1263-C1566)</f>
        <v>0</v>
      </c>
      <c r="E51" s="71" t="n">
        <f aca="false">MAX(0,D51-D657-D960-D1263-D1566)</f>
        <v>0</v>
      </c>
      <c r="F51" s="71" t="n">
        <f aca="false">MAX(0,E51-E657-E960-E1263-E1566)</f>
        <v>0</v>
      </c>
      <c r="G51" s="71" t="n">
        <f aca="false">MAX(0,F51-F657-F960-F1263-F1566)</f>
        <v>0</v>
      </c>
      <c r="H51" s="71" t="n">
        <f aca="false">MAX(0,G51-G657-G960-G1263-G1566)</f>
        <v>0</v>
      </c>
      <c r="I51" s="71" t="n">
        <f aca="false">MAX(0,H51-H657-H960-H1263-H1566)</f>
        <v>0</v>
      </c>
      <c r="J51" s="71" t="n">
        <f aca="false">MAX(0,I51-I657-I960-I1263-I1566)</f>
        <v>0</v>
      </c>
      <c r="K51" s="71" t="n">
        <f aca="false">MAX(0,J51-J657-J960-J1263-J1566)</f>
        <v>0</v>
      </c>
      <c r="L51" s="71" t="n">
        <f aca="false">MAX(0,K51-K657-K960-K1263-K1566)</f>
        <v>0</v>
      </c>
      <c r="M51" s="71" t="n">
        <f aca="false">MAX(0,L51-L657-L960-L1263-L1566)</f>
        <v>0</v>
      </c>
    </row>
    <row r="52" customFormat="false" ht="15" hidden="false" customHeight="false" outlineLevel="0" collapsed="false">
      <c r="B52" s="102" t="str">
        <f aca="false">'Loan Tape'!$A48</f>
        <v>L-045</v>
      </c>
      <c r="C52" s="99" t="n">
        <f aca="false">IF('Loan Tape'!$AN48=0,0,'Loan Tape'!$R48)</f>
        <v>54538000</v>
      </c>
      <c r="D52" s="99" t="n">
        <f aca="false">MAX(0,C52-C658-C961-C1264-C1567)</f>
        <v>47852070.1467651</v>
      </c>
      <c r="E52" s="99" t="n">
        <f aca="false">MAX(0,D52-D658-D961-D1264-D1567)</f>
        <v>41522534.3196195</v>
      </c>
      <c r="F52" s="99" t="n">
        <f aca="false">MAX(0,E52-E658-E961-E1264-E1567)</f>
        <v>35949747.3201453</v>
      </c>
      <c r="G52" s="99" t="n">
        <f aca="false">MAX(0,F52-F658-F961-F1264-F1567)</f>
        <v>31063639.5282498</v>
      </c>
      <c r="H52" s="99" t="n">
        <f aca="false">MAX(0,G52-G658-G961-G1264-G1567)</f>
        <v>26790656.4081191</v>
      </c>
      <c r="I52" s="99" t="n">
        <f aca="false">MAX(0,H52-H658-H961-H1264-H1567)</f>
        <v>26790656.4081191</v>
      </c>
      <c r="J52" s="99" t="n">
        <f aca="false">MAX(0,I52-I658-I961-I1264-I1567)</f>
        <v>26790656.4081191</v>
      </c>
      <c r="K52" s="99" t="n">
        <f aca="false">MAX(0,J52-J658-J961-J1264-J1567)</f>
        <v>26790656.4081191</v>
      </c>
      <c r="L52" s="99" t="n">
        <f aca="false">MAX(0,K52-K658-K961-K1264-K1567)</f>
        <v>26790656.4081191</v>
      </c>
      <c r="M52" s="99" t="n">
        <f aca="false">MAX(0,L52-L658-L961-L1264-L1567)</f>
        <v>26790656.4081191</v>
      </c>
    </row>
    <row r="53" customFormat="false" ht="15" hidden="false" customHeight="false" outlineLevel="0" collapsed="false">
      <c r="B53" s="108" t="str">
        <f aca="false">'Loan Tape'!$A49</f>
        <v>L-046</v>
      </c>
      <c r="C53" s="71" t="n">
        <f aca="false">IF('Loan Tape'!$AN49=0,0,'Loan Tape'!$R49)</f>
        <v>113370000</v>
      </c>
      <c r="D53" s="71" t="n">
        <f aca="false">MAX(0,C53-C659-C962-C1265-C1568)</f>
        <v>0</v>
      </c>
      <c r="E53" s="71" t="n">
        <f aca="false">MAX(0,D53-D659-D962-D1265-D1568)</f>
        <v>0</v>
      </c>
      <c r="F53" s="71" t="n">
        <f aca="false">MAX(0,E53-E659-E962-E1265-E1568)</f>
        <v>0</v>
      </c>
      <c r="G53" s="71" t="n">
        <f aca="false">MAX(0,F53-F659-F962-F1265-F1568)</f>
        <v>0</v>
      </c>
      <c r="H53" s="71" t="n">
        <f aca="false">MAX(0,G53-G659-G962-G1265-G1568)</f>
        <v>0</v>
      </c>
      <c r="I53" s="71" t="n">
        <f aca="false">MAX(0,H53-H659-H962-H1265-H1568)</f>
        <v>0</v>
      </c>
      <c r="J53" s="71" t="n">
        <f aca="false">MAX(0,I53-I659-I962-I1265-I1568)</f>
        <v>0</v>
      </c>
      <c r="K53" s="71" t="n">
        <f aca="false">MAX(0,J53-J659-J962-J1265-J1568)</f>
        <v>0</v>
      </c>
      <c r="L53" s="71" t="n">
        <f aca="false">MAX(0,K53-K659-K962-K1265-K1568)</f>
        <v>0</v>
      </c>
      <c r="M53" s="71" t="n">
        <f aca="false">MAX(0,L53-L659-L962-L1265-L1568)</f>
        <v>0</v>
      </c>
    </row>
    <row r="54" customFormat="false" ht="15" hidden="false" customHeight="false" outlineLevel="0" collapsed="false">
      <c r="B54" s="102" t="str">
        <f aca="false">'Loan Tape'!$A50</f>
        <v>L-047</v>
      </c>
      <c r="C54" s="99" t="n">
        <f aca="false">IF('Loan Tape'!$AN50=0,0,'Loan Tape'!$R50)</f>
        <v>5259000</v>
      </c>
      <c r="D54" s="99" t="n">
        <f aca="false">MAX(0,C54-C660-C963-C1266-C1569)</f>
        <v>4627920</v>
      </c>
      <c r="E54" s="99" t="n">
        <f aca="false">MAX(0,D54-D660-D963-D1266-D1569)</f>
        <v>4072569.6</v>
      </c>
      <c r="F54" s="99" t="n">
        <f aca="false">MAX(0,E54-E660-E963-E1266-E1569)</f>
        <v>3583861.248</v>
      </c>
      <c r="G54" s="99" t="n">
        <f aca="false">MAX(0,F54-F660-F963-F1266-F1569)</f>
        <v>0</v>
      </c>
      <c r="H54" s="99" t="n">
        <f aca="false">MAX(0,G54-G660-G963-G1266-G1569)</f>
        <v>0</v>
      </c>
      <c r="I54" s="99" t="n">
        <f aca="false">MAX(0,H54-H660-H963-H1266-H1569)</f>
        <v>0</v>
      </c>
      <c r="J54" s="99" t="n">
        <f aca="false">MAX(0,I54-I660-I963-I1266-I1569)</f>
        <v>0</v>
      </c>
      <c r="K54" s="99" t="n">
        <f aca="false">MAX(0,J54-J660-J963-J1266-J1569)</f>
        <v>0</v>
      </c>
      <c r="L54" s="99" t="n">
        <f aca="false">MAX(0,K54-K660-K963-K1266-K1569)</f>
        <v>0</v>
      </c>
      <c r="M54" s="99" t="n">
        <f aca="false">MAX(0,L54-L660-L963-L1266-L1569)</f>
        <v>0</v>
      </c>
    </row>
    <row r="55" customFormat="false" ht="15" hidden="false" customHeight="false" outlineLevel="0" collapsed="false">
      <c r="B55" s="108" t="str">
        <f aca="false">'Loan Tape'!$A51</f>
        <v>L-048</v>
      </c>
      <c r="C55" s="71" t="n">
        <f aca="false">IF('Loan Tape'!$AN51=0,0,'Loan Tape'!$R51)</f>
        <v>100201000</v>
      </c>
      <c r="D55" s="71" t="n">
        <f aca="false">MAX(0,C55-C661-C964-C1267-C1570)</f>
        <v>85981204.6610382</v>
      </c>
      <c r="E55" s="71" t="n">
        <f aca="false">MAX(0,D55-D661-D964-D1267-D1570)</f>
        <v>0</v>
      </c>
      <c r="F55" s="71" t="n">
        <f aca="false">MAX(0,E55-E661-E964-E1267-E1570)</f>
        <v>0</v>
      </c>
      <c r="G55" s="71" t="n">
        <f aca="false">MAX(0,F55-F661-F964-F1267-F1570)</f>
        <v>0</v>
      </c>
      <c r="H55" s="71" t="n">
        <f aca="false">MAX(0,G55-G661-G964-G1267-G1570)</f>
        <v>0</v>
      </c>
      <c r="I55" s="71" t="n">
        <f aca="false">MAX(0,H55-H661-H964-H1267-H1570)</f>
        <v>0</v>
      </c>
      <c r="J55" s="71" t="n">
        <f aca="false">MAX(0,I55-I661-I964-I1267-I1570)</f>
        <v>0</v>
      </c>
      <c r="K55" s="71" t="n">
        <f aca="false">MAX(0,J55-J661-J964-J1267-J1570)</f>
        <v>0</v>
      </c>
      <c r="L55" s="71" t="n">
        <f aca="false">MAX(0,K55-K661-K964-K1267-K1570)</f>
        <v>0</v>
      </c>
      <c r="M55" s="71" t="n">
        <f aca="false">MAX(0,L55-L661-L964-L1267-L1570)</f>
        <v>0</v>
      </c>
    </row>
    <row r="56" customFormat="false" ht="15" hidden="false" customHeight="false" outlineLevel="0" collapsed="false">
      <c r="B56" s="102" t="str">
        <f aca="false">'Loan Tape'!$A52</f>
        <v>L-049</v>
      </c>
      <c r="C56" s="99" t="n">
        <f aca="false">IF('Loan Tape'!$AN52=0,0,'Loan Tape'!$R52)</f>
        <v>52022000</v>
      </c>
      <c r="D56" s="99" t="n">
        <f aca="false">MAX(0,C56-C662-C965-C1268-C1571)</f>
        <v>0</v>
      </c>
      <c r="E56" s="99" t="n">
        <f aca="false">MAX(0,D56-D662-D965-D1268-D1571)</f>
        <v>0</v>
      </c>
      <c r="F56" s="99" t="n">
        <f aca="false">MAX(0,E56-E662-E965-E1268-E1571)</f>
        <v>0</v>
      </c>
      <c r="G56" s="99" t="n">
        <f aca="false">MAX(0,F56-F662-F965-F1268-F1571)</f>
        <v>0</v>
      </c>
      <c r="H56" s="99" t="n">
        <f aca="false">MAX(0,G56-G662-G965-G1268-G1571)</f>
        <v>0</v>
      </c>
      <c r="I56" s="99" t="n">
        <f aca="false">MAX(0,H56-H662-H965-H1268-H1571)</f>
        <v>0</v>
      </c>
      <c r="J56" s="99" t="n">
        <f aca="false">MAX(0,I56-I662-I965-I1268-I1571)</f>
        <v>0</v>
      </c>
      <c r="K56" s="99" t="n">
        <f aca="false">MAX(0,J56-J662-J965-J1268-J1571)</f>
        <v>0</v>
      </c>
      <c r="L56" s="99" t="n">
        <f aca="false">MAX(0,K56-K662-K965-K1268-K1571)</f>
        <v>0</v>
      </c>
      <c r="M56" s="99" t="n">
        <f aca="false">MAX(0,L56-L662-L965-L1268-L1571)</f>
        <v>0</v>
      </c>
    </row>
    <row r="57" customFormat="false" ht="15" hidden="false" customHeight="false" outlineLevel="0" collapsed="false">
      <c r="B57" s="108" t="str">
        <f aca="false">'Loan Tape'!$A53</f>
        <v>L-050</v>
      </c>
      <c r="C57" s="71" t="n">
        <f aca="false">IF('Loan Tape'!$AN53=0,0,'Loan Tape'!$R53)</f>
        <v>120313000</v>
      </c>
      <c r="D57" s="71" t="n">
        <f aca="false">MAX(0,C57-C663-C966-C1269-C1572)</f>
        <v>105875440</v>
      </c>
      <c r="E57" s="71" t="n">
        <f aca="false">MAX(0,D57-D663-D966-D1269-D1572)</f>
        <v>93170387.2</v>
      </c>
      <c r="F57" s="71" t="n">
        <f aca="false">MAX(0,E57-E663-E966-E1269-E1572)</f>
        <v>0</v>
      </c>
      <c r="G57" s="71" t="n">
        <f aca="false">MAX(0,F57-F663-F966-F1269-F1572)</f>
        <v>0</v>
      </c>
      <c r="H57" s="71" t="n">
        <f aca="false">MAX(0,G57-G663-G966-G1269-G1572)</f>
        <v>0</v>
      </c>
      <c r="I57" s="71" t="n">
        <f aca="false">MAX(0,H57-H663-H966-H1269-H1572)</f>
        <v>0</v>
      </c>
      <c r="J57" s="71" t="n">
        <f aca="false">MAX(0,I57-I663-I966-I1269-I1572)</f>
        <v>0</v>
      </c>
      <c r="K57" s="71" t="n">
        <f aca="false">MAX(0,J57-J663-J966-J1269-J1572)</f>
        <v>0</v>
      </c>
      <c r="L57" s="71" t="n">
        <f aca="false">MAX(0,K57-K663-K966-K1269-K1572)</f>
        <v>0</v>
      </c>
      <c r="M57" s="71" t="n">
        <f aca="false">MAX(0,L57-L663-L966-L1269-L1572)</f>
        <v>0</v>
      </c>
    </row>
    <row r="58" customFormat="false" ht="15" hidden="false" customHeight="false" outlineLevel="0" collapsed="false">
      <c r="B58" s="102" t="n">
        <f aca="false">'Loan Tape'!$A54</f>
        <v>0</v>
      </c>
      <c r="C58" s="99" t="n">
        <f aca="false">IF('Loan Tape'!$AN54=0,0,'Loan Tape'!$R54)</f>
        <v>0</v>
      </c>
      <c r="D58" s="99" t="n">
        <f aca="false">MAX(0,C58-C664-C967-C1270-C1573)</f>
        <v>0</v>
      </c>
      <c r="E58" s="99" t="n">
        <f aca="false">MAX(0,D58-D664-D967-D1270-D1573)</f>
        <v>0</v>
      </c>
      <c r="F58" s="99" t="n">
        <f aca="false">MAX(0,E58-E664-E967-E1270-E1573)</f>
        <v>0</v>
      </c>
      <c r="G58" s="99" t="n">
        <f aca="false">MAX(0,F58-F664-F967-F1270-F1573)</f>
        <v>0</v>
      </c>
      <c r="H58" s="99" t="n">
        <f aca="false">MAX(0,G58-G664-G967-G1270-G1573)</f>
        <v>0</v>
      </c>
      <c r="I58" s="99" t="n">
        <f aca="false">MAX(0,H58-H664-H967-H1270-H1573)</f>
        <v>0</v>
      </c>
      <c r="J58" s="99" t="n">
        <f aca="false">MAX(0,I58-I664-I967-I1270-I1573)</f>
        <v>0</v>
      </c>
      <c r="K58" s="99" t="n">
        <f aca="false">MAX(0,J58-J664-J967-J1270-J1573)</f>
        <v>0</v>
      </c>
      <c r="L58" s="99" t="n">
        <f aca="false">MAX(0,K58-K664-K967-K1270-K1573)</f>
        <v>0</v>
      </c>
      <c r="M58" s="99" t="n">
        <f aca="false">MAX(0,L58-L664-L967-L1270-L1573)</f>
        <v>0</v>
      </c>
    </row>
    <row r="59" customFormat="false" ht="15" hidden="false" customHeight="false" outlineLevel="0" collapsed="false">
      <c r="B59" s="108" t="n">
        <f aca="false">'Loan Tape'!$A55</f>
        <v>0</v>
      </c>
      <c r="C59" s="71" t="n">
        <f aca="false">IF('Loan Tape'!$AN55=0,0,'Loan Tape'!$R55)</f>
        <v>0</v>
      </c>
      <c r="D59" s="71" t="n">
        <f aca="false">MAX(0,C59-C665-C968-C1271-C1574)</f>
        <v>0</v>
      </c>
      <c r="E59" s="71" t="n">
        <f aca="false">MAX(0,D59-D665-D968-D1271-D1574)</f>
        <v>0</v>
      </c>
      <c r="F59" s="71" t="n">
        <f aca="false">MAX(0,E59-E665-E968-E1271-E1574)</f>
        <v>0</v>
      </c>
      <c r="G59" s="71" t="n">
        <f aca="false">MAX(0,F59-F665-F968-F1271-F1574)</f>
        <v>0</v>
      </c>
      <c r="H59" s="71" t="n">
        <f aca="false">MAX(0,G59-G665-G968-G1271-G1574)</f>
        <v>0</v>
      </c>
      <c r="I59" s="71" t="n">
        <f aca="false">MAX(0,H59-H665-H968-H1271-H1574)</f>
        <v>0</v>
      </c>
      <c r="J59" s="71" t="n">
        <f aca="false">MAX(0,I59-I665-I968-I1271-I1574)</f>
        <v>0</v>
      </c>
      <c r="K59" s="71" t="n">
        <f aca="false">MAX(0,J59-J665-J968-J1271-J1574)</f>
        <v>0</v>
      </c>
      <c r="L59" s="71" t="n">
        <f aca="false">MAX(0,K59-K665-K968-K1271-K1574)</f>
        <v>0</v>
      </c>
      <c r="M59" s="71" t="n">
        <f aca="false">MAX(0,L59-L665-L968-L1271-L1574)</f>
        <v>0</v>
      </c>
    </row>
    <row r="60" customFormat="false" ht="15" hidden="false" customHeight="false" outlineLevel="0" collapsed="false">
      <c r="B60" s="102" t="n">
        <f aca="false">'Loan Tape'!$A56</f>
        <v>0</v>
      </c>
      <c r="C60" s="99" t="n">
        <f aca="false">IF('Loan Tape'!$AN56=0,0,'Loan Tape'!$R56)</f>
        <v>0</v>
      </c>
      <c r="D60" s="99" t="n">
        <f aca="false">MAX(0,C60-C666-C969-C1272-C1575)</f>
        <v>0</v>
      </c>
      <c r="E60" s="99" t="n">
        <f aca="false">MAX(0,D60-D666-D969-D1272-D1575)</f>
        <v>0</v>
      </c>
      <c r="F60" s="99" t="n">
        <f aca="false">MAX(0,E60-E666-E969-E1272-E1575)</f>
        <v>0</v>
      </c>
      <c r="G60" s="99" t="n">
        <f aca="false">MAX(0,F60-F666-F969-F1272-F1575)</f>
        <v>0</v>
      </c>
      <c r="H60" s="99" t="n">
        <f aca="false">MAX(0,G60-G666-G969-G1272-G1575)</f>
        <v>0</v>
      </c>
      <c r="I60" s="99" t="n">
        <f aca="false">MAX(0,H60-H666-H969-H1272-H1575)</f>
        <v>0</v>
      </c>
      <c r="J60" s="99" t="n">
        <f aca="false">MAX(0,I60-I666-I969-I1272-I1575)</f>
        <v>0</v>
      </c>
      <c r="K60" s="99" t="n">
        <f aca="false">MAX(0,J60-J666-J969-J1272-J1575)</f>
        <v>0</v>
      </c>
      <c r="L60" s="99" t="n">
        <f aca="false">MAX(0,K60-K666-K969-K1272-K1575)</f>
        <v>0</v>
      </c>
      <c r="M60" s="99" t="n">
        <f aca="false">MAX(0,L60-L666-L969-L1272-L1575)</f>
        <v>0</v>
      </c>
    </row>
    <row r="61" customFormat="false" ht="15" hidden="false" customHeight="false" outlineLevel="0" collapsed="false">
      <c r="B61" s="108" t="n">
        <f aca="false">'Loan Tape'!$A57</f>
        <v>0</v>
      </c>
      <c r="C61" s="71" t="n">
        <f aca="false">IF('Loan Tape'!$AN57=0,0,'Loan Tape'!$R57)</f>
        <v>0</v>
      </c>
      <c r="D61" s="71" t="n">
        <f aca="false">MAX(0,C61-C667-C970-C1273-C1576)</f>
        <v>0</v>
      </c>
      <c r="E61" s="71" t="n">
        <f aca="false">MAX(0,D61-D667-D970-D1273-D1576)</f>
        <v>0</v>
      </c>
      <c r="F61" s="71" t="n">
        <f aca="false">MAX(0,E61-E667-E970-E1273-E1576)</f>
        <v>0</v>
      </c>
      <c r="G61" s="71" t="n">
        <f aca="false">MAX(0,F61-F667-F970-F1273-F1576)</f>
        <v>0</v>
      </c>
      <c r="H61" s="71" t="n">
        <f aca="false">MAX(0,G61-G667-G970-G1273-G1576)</f>
        <v>0</v>
      </c>
      <c r="I61" s="71" t="n">
        <f aca="false">MAX(0,H61-H667-H970-H1273-H1576)</f>
        <v>0</v>
      </c>
      <c r="J61" s="71" t="n">
        <f aca="false">MAX(0,I61-I667-I970-I1273-I1576)</f>
        <v>0</v>
      </c>
      <c r="K61" s="71" t="n">
        <f aca="false">MAX(0,J61-J667-J970-J1273-J1576)</f>
        <v>0</v>
      </c>
      <c r="L61" s="71" t="n">
        <f aca="false">MAX(0,K61-K667-K970-K1273-K1576)</f>
        <v>0</v>
      </c>
      <c r="M61" s="71" t="n">
        <f aca="false">MAX(0,L61-L667-L970-L1273-L1576)</f>
        <v>0</v>
      </c>
    </row>
    <row r="62" customFormat="false" ht="15" hidden="false" customHeight="false" outlineLevel="0" collapsed="false">
      <c r="B62" s="102" t="n">
        <f aca="false">'Loan Tape'!$A58</f>
        <v>0</v>
      </c>
      <c r="C62" s="99" t="n">
        <f aca="false">IF('Loan Tape'!$AN58=0,0,'Loan Tape'!$R58)</f>
        <v>0</v>
      </c>
      <c r="D62" s="99" t="n">
        <f aca="false">MAX(0,C62-C668-C971-C1274-C1577)</f>
        <v>0</v>
      </c>
      <c r="E62" s="99" t="n">
        <f aca="false">MAX(0,D62-D668-D971-D1274-D1577)</f>
        <v>0</v>
      </c>
      <c r="F62" s="99" t="n">
        <f aca="false">MAX(0,E62-E668-E971-E1274-E1577)</f>
        <v>0</v>
      </c>
      <c r="G62" s="99" t="n">
        <f aca="false">MAX(0,F62-F668-F971-F1274-F1577)</f>
        <v>0</v>
      </c>
      <c r="H62" s="99" t="n">
        <f aca="false">MAX(0,G62-G668-G971-G1274-G1577)</f>
        <v>0</v>
      </c>
      <c r="I62" s="99" t="n">
        <f aca="false">MAX(0,H62-H668-H971-H1274-H1577)</f>
        <v>0</v>
      </c>
      <c r="J62" s="99" t="n">
        <f aca="false">MAX(0,I62-I668-I971-I1274-I1577)</f>
        <v>0</v>
      </c>
      <c r="K62" s="99" t="n">
        <f aca="false">MAX(0,J62-J668-J971-J1274-J1577)</f>
        <v>0</v>
      </c>
      <c r="L62" s="99" t="n">
        <f aca="false">MAX(0,K62-K668-K971-K1274-K1577)</f>
        <v>0</v>
      </c>
      <c r="M62" s="99" t="n">
        <f aca="false">MAX(0,L62-L668-L971-L1274-L1577)</f>
        <v>0</v>
      </c>
    </row>
    <row r="63" customFormat="false" ht="15" hidden="false" customHeight="false" outlineLevel="0" collapsed="false">
      <c r="B63" s="108" t="n">
        <f aca="false">'Loan Tape'!$A59</f>
        <v>0</v>
      </c>
      <c r="C63" s="71" t="n">
        <f aca="false">IF('Loan Tape'!$AN59=0,0,'Loan Tape'!$R59)</f>
        <v>0</v>
      </c>
      <c r="D63" s="71" t="n">
        <f aca="false">MAX(0,C63-C669-C972-C1275-C1578)</f>
        <v>0</v>
      </c>
      <c r="E63" s="71" t="n">
        <f aca="false">MAX(0,D63-D669-D972-D1275-D1578)</f>
        <v>0</v>
      </c>
      <c r="F63" s="71" t="n">
        <f aca="false">MAX(0,E63-E669-E972-E1275-E1578)</f>
        <v>0</v>
      </c>
      <c r="G63" s="71" t="n">
        <f aca="false">MAX(0,F63-F669-F972-F1275-F1578)</f>
        <v>0</v>
      </c>
      <c r="H63" s="71" t="n">
        <f aca="false">MAX(0,G63-G669-G972-G1275-G1578)</f>
        <v>0</v>
      </c>
      <c r="I63" s="71" t="n">
        <f aca="false">MAX(0,H63-H669-H972-H1275-H1578)</f>
        <v>0</v>
      </c>
      <c r="J63" s="71" t="n">
        <f aca="false">MAX(0,I63-I669-I972-I1275-I1578)</f>
        <v>0</v>
      </c>
      <c r="K63" s="71" t="n">
        <f aca="false">MAX(0,J63-J669-J972-J1275-J1578)</f>
        <v>0</v>
      </c>
      <c r="L63" s="71" t="n">
        <f aca="false">MAX(0,K63-K669-K972-K1275-K1578)</f>
        <v>0</v>
      </c>
      <c r="M63" s="71" t="n">
        <f aca="false">MAX(0,L63-L669-L972-L1275-L1578)</f>
        <v>0</v>
      </c>
    </row>
    <row r="64" customFormat="false" ht="15" hidden="false" customHeight="false" outlineLevel="0" collapsed="false">
      <c r="B64" s="102" t="n">
        <f aca="false">'Loan Tape'!$A60</f>
        <v>0</v>
      </c>
      <c r="C64" s="99" t="n">
        <f aca="false">IF('Loan Tape'!$AN60=0,0,'Loan Tape'!$R60)</f>
        <v>0</v>
      </c>
      <c r="D64" s="99" t="n">
        <f aca="false">MAX(0,C64-C670-C973-C1276-C1579)</f>
        <v>0</v>
      </c>
      <c r="E64" s="99" t="n">
        <f aca="false">MAX(0,D64-D670-D973-D1276-D1579)</f>
        <v>0</v>
      </c>
      <c r="F64" s="99" t="n">
        <f aca="false">MAX(0,E64-E670-E973-E1276-E1579)</f>
        <v>0</v>
      </c>
      <c r="G64" s="99" t="n">
        <f aca="false">MAX(0,F64-F670-F973-F1276-F1579)</f>
        <v>0</v>
      </c>
      <c r="H64" s="99" t="n">
        <f aca="false">MAX(0,G64-G670-G973-G1276-G1579)</f>
        <v>0</v>
      </c>
      <c r="I64" s="99" t="n">
        <f aca="false">MAX(0,H64-H670-H973-H1276-H1579)</f>
        <v>0</v>
      </c>
      <c r="J64" s="99" t="n">
        <f aca="false">MAX(0,I64-I670-I973-I1276-I1579)</f>
        <v>0</v>
      </c>
      <c r="K64" s="99" t="n">
        <f aca="false">MAX(0,J64-J670-J973-J1276-J1579)</f>
        <v>0</v>
      </c>
      <c r="L64" s="99" t="n">
        <f aca="false">MAX(0,K64-K670-K973-K1276-K1579)</f>
        <v>0</v>
      </c>
      <c r="M64" s="99" t="n">
        <f aca="false">MAX(0,L64-L670-L973-L1276-L1579)</f>
        <v>0</v>
      </c>
    </row>
    <row r="65" customFormat="false" ht="15" hidden="false" customHeight="false" outlineLevel="0" collapsed="false">
      <c r="B65" s="108" t="n">
        <f aca="false">'Loan Tape'!$A61</f>
        <v>0</v>
      </c>
      <c r="C65" s="71" t="n">
        <f aca="false">IF('Loan Tape'!$AN61=0,0,'Loan Tape'!$R61)</f>
        <v>0</v>
      </c>
      <c r="D65" s="71" t="n">
        <f aca="false">MAX(0,C65-C671-C974-C1277-C1580)</f>
        <v>0</v>
      </c>
      <c r="E65" s="71" t="n">
        <f aca="false">MAX(0,D65-D671-D974-D1277-D1580)</f>
        <v>0</v>
      </c>
      <c r="F65" s="71" t="n">
        <f aca="false">MAX(0,E65-E671-E974-E1277-E1580)</f>
        <v>0</v>
      </c>
      <c r="G65" s="71" t="n">
        <f aca="false">MAX(0,F65-F671-F974-F1277-F1580)</f>
        <v>0</v>
      </c>
      <c r="H65" s="71" t="n">
        <f aca="false">MAX(0,G65-G671-G974-G1277-G1580)</f>
        <v>0</v>
      </c>
      <c r="I65" s="71" t="n">
        <f aca="false">MAX(0,H65-H671-H974-H1277-H1580)</f>
        <v>0</v>
      </c>
      <c r="J65" s="71" t="n">
        <f aca="false">MAX(0,I65-I671-I974-I1277-I1580)</f>
        <v>0</v>
      </c>
      <c r="K65" s="71" t="n">
        <f aca="false">MAX(0,J65-J671-J974-J1277-J1580)</f>
        <v>0</v>
      </c>
      <c r="L65" s="71" t="n">
        <f aca="false">MAX(0,K65-K671-K974-K1277-K1580)</f>
        <v>0</v>
      </c>
      <c r="M65" s="71" t="n">
        <f aca="false">MAX(0,L65-L671-L974-L1277-L1580)</f>
        <v>0</v>
      </c>
    </row>
    <row r="66" customFormat="false" ht="15" hidden="false" customHeight="false" outlineLevel="0" collapsed="false">
      <c r="B66" s="102" t="n">
        <f aca="false">'Loan Tape'!$A62</f>
        <v>0</v>
      </c>
      <c r="C66" s="99" t="n">
        <f aca="false">IF('Loan Tape'!$AN62=0,0,'Loan Tape'!$R62)</f>
        <v>0</v>
      </c>
      <c r="D66" s="99" t="n">
        <f aca="false">MAX(0,C66-C672-C975-C1278-C1581)</f>
        <v>0</v>
      </c>
      <c r="E66" s="99" t="n">
        <f aca="false">MAX(0,D66-D672-D975-D1278-D1581)</f>
        <v>0</v>
      </c>
      <c r="F66" s="99" t="n">
        <f aca="false">MAX(0,E66-E672-E975-E1278-E1581)</f>
        <v>0</v>
      </c>
      <c r="G66" s="99" t="n">
        <f aca="false">MAX(0,F66-F672-F975-F1278-F1581)</f>
        <v>0</v>
      </c>
      <c r="H66" s="99" t="n">
        <f aca="false">MAX(0,G66-G672-G975-G1278-G1581)</f>
        <v>0</v>
      </c>
      <c r="I66" s="99" t="n">
        <f aca="false">MAX(0,H66-H672-H975-H1278-H1581)</f>
        <v>0</v>
      </c>
      <c r="J66" s="99" t="n">
        <f aca="false">MAX(0,I66-I672-I975-I1278-I1581)</f>
        <v>0</v>
      </c>
      <c r="K66" s="99" t="n">
        <f aca="false">MAX(0,J66-J672-J975-J1278-J1581)</f>
        <v>0</v>
      </c>
      <c r="L66" s="99" t="n">
        <f aca="false">MAX(0,K66-K672-K975-K1278-K1581)</f>
        <v>0</v>
      </c>
      <c r="M66" s="99" t="n">
        <f aca="false">MAX(0,L66-L672-L975-L1278-L1581)</f>
        <v>0</v>
      </c>
    </row>
    <row r="67" customFormat="false" ht="15" hidden="false" customHeight="false" outlineLevel="0" collapsed="false">
      <c r="B67" s="108" t="n">
        <f aca="false">'Loan Tape'!$A63</f>
        <v>0</v>
      </c>
      <c r="C67" s="71" t="n">
        <f aca="false">IF('Loan Tape'!$AN63=0,0,'Loan Tape'!$R63)</f>
        <v>0</v>
      </c>
      <c r="D67" s="71" t="n">
        <f aca="false">MAX(0,C67-C673-C976-C1279-C1582)</f>
        <v>0</v>
      </c>
      <c r="E67" s="71" t="n">
        <f aca="false">MAX(0,D67-D673-D976-D1279-D1582)</f>
        <v>0</v>
      </c>
      <c r="F67" s="71" t="n">
        <f aca="false">MAX(0,E67-E673-E976-E1279-E1582)</f>
        <v>0</v>
      </c>
      <c r="G67" s="71" t="n">
        <f aca="false">MAX(0,F67-F673-F976-F1279-F1582)</f>
        <v>0</v>
      </c>
      <c r="H67" s="71" t="n">
        <f aca="false">MAX(0,G67-G673-G976-G1279-G1582)</f>
        <v>0</v>
      </c>
      <c r="I67" s="71" t="n">
        <f aca="false">MAX(0,H67-H673-H976-H1279-H1582)</f>
        <v>0</v>
      </c>
      <c r="J67" s="71" t="n">
        <f aca="false">MAX(0,I67-I673-I976-I1279-I1582)</f>
        <v>0</v>
      </c>
      <c r="K67" s="71" t="n">
        <f aca="false">MAX(0,J67-J673-J976-J1279-J1582)</f>
        <v>0</v>
      </c>
      <c r="L67" s="71" t="n">
        <f aca="false">MAX(0,K67-K673-K976-K1279-K1582)</f>
        <v>0</v>
      </c>
      <c r="M67" s="71" t="n">
        <f aca="false">MAX(0,L67-L673-L976-L1279-L1582)</f>
        <v>0</v>
      </c>
    </row>
    <row r="68" customFormat="false" ht="15" hidden="false" customHeight="false" outlineLevel="0" collapsed="false">
      <c r="B68" s="102" t="n">
        <f aca="false">'Loan Tape'!$A64</f>
        <v>0</v>
      </c>
      <c r="C68" s="99" t="n">
        <f aca="false">IF('Loan Tape'!$AN64=0,0,'Loan Tape'!$R64)</f>
        <v>0</v>
      </c>
      <c r="D68" s="99" t="n">
        <f aca="false">MAX(0,C68-C674-C977-C1280-C1583)</f>
        <v>0</v>
      </c>
      <c r="E68" s="99" t="n">
        <f aca="false">MAX(0,D68-D674-D977-D1280-D1583)</f>
        <v>0</v>
      </c>
      <c r="F68" s="99" t="n">
        <f aca="false">MAX(0,E68-E674-E977-E1280-E1583)</f>
        <v>0</v>
      </c>
      <c r="G68" s="99" t="n">
        <f aca="false">MAX(0,F68-F674-F977-F1280-F1583)</f>
        <v>0</v>
      </c>
      <c r="H68" s="99" t="n">
        <f aca="false">MAX(0,G68-G674-G977-G1280-G1583)</f>
        <v>0</v>
      </c>
      <c r="I68" s="99" t="n">
        <f aca="false">MAX(0,H68-H674-H977-H1280-H1583)</f>
        <v>0</v>
      </c>
      <c r="J68" s="99" t="n">
        <f aca="false">MAX(0,I68-I674-I977-I1280-I1583)</f>
        <v>0</v>
      </c>
      <c r="K68" s="99" t="n">
        <f aca="false">MAX(0,J68-J674-J977-J1280-J1583)</f>
        <v>0</v>
      </c>
      <c r="L68" s="99" t="n">
        <f aca="false">MAX(0,K68-K674-K977-K1280-K1583)</f>
        <v>0</v>
      </c>
      <c r="M68" s="99" t="n">
        <f aca="false">MAX(0,L68-L674-L977-L1280-L1583)</f>
        <v>0</v>
      </c>
    </row>
    <row r="69" customFormat="false" ht="15" hidden="false" customHeight="false" outlineLevel="0" collapsed="false">
      <c r="B69" s="108" t="n">
        <f aca="false">'Loan Tape'!$A65</f>
        <v>0</v>
      </c>
      <c r="C69" s="71" t="n">
        <f aca="false">IF('Loan Tape'!$AN65=0,0,'Loan Tape'!$R65)</f>
        <v>0</v>
      </c>
      <c r="D69" s="71" t="n">
        <f aca="false">MAX(0,C69-C675-C978-C1281-C1584)</f>
        <v>0</v>
      </c>
      <c r="E69" s="71" t="n">
        <f aca="false">MAX(0,D69-D675-D978-D1281-D1584)</f>
        <v>0</v>
      </c>
      <c r="F69" s="71" t="n">
        <f aca="false">MAX(0,E69-E675-E978-E1281-E1584)</f>
        <v>0</v>
      </c>
      <c r="G69" s="71" t="n">
        <f aca="false">MAX(0,F69-F675-F978-F1281-F1584)</f>
        <v>0</v>
      </c>
      <c r="H69" s="71" t="n">
        <f aca="false">MAX(0,G69-G675-G978-G1281-G1584)</f>
        <v>0</v>
      </c>
      <c r="I69" s="71" t="n">
        <f aca="false">MAX(0,H69-H675-H978-H1281-H1584)</f>
        <v>0</v>
      </c>
      <c r="J69" s="71" t="n">
        <f aca="false">MAX(0,I69-I675-I978-I1281-I1584)</f>
        <v>0</v>
      </c>
      <c r="K69" s="71" t="n">
        <f aca="false">MAX(0,J69-J675-J978-J1281-J1584)</f>
        <v>0</v>
      </c>
      <c r="L69" s="71" t="n">
        <f aca="false">MAX(0,K69-K675-K978-K1281-K1584)</f>
        <v>0</v>
      </c>
      <c r="M69" s="71" t="n">
        <f aca="false">MAX(0,L69-L675-L978-L1281-L1584)</f>
        <v>0</v>
      </c>
    </row>
    <row r="70" customFormat="false" ht="15" hidden="false" customHeight="false" outlineLevel="0" collapsed="false">
      <c r="B70" s="102" t="n">
        <f aca="false">'Loan Tape'!$A66</f>
        <v>0</v>
      </c>
      <c r="C70" s="99" t="n">
        <f aca="false">IF('Loan Tape'!$AN66=0,0,'Loan Tape'!$R66)</f>
        <v>0</v>
      </c>
      <c r="D70" s="99" t="n">
        <f aca="false">MAX(0,C70-C676-C979-C1282-C1585)</f>
        <v>0</v>
      </c>
      <c r="E70" s="99" t="n">
        <f aca="false">MAX(0,D70-D676-D979-D1282-D1585)</f>
        <v>0</v>
      </c>
      <c r="F70" s="99" t="n">
        <f aca="false">MAX(0,E70-E676-E979-E1282-E1585)</f>
        <v>0</v>
      </c>
      <c r="G70" s="99" t="n">
        <f aca="false">MAX(0,F70-F676-F979-F1282-F1585)</f>
        <v>0</v>
      </c>
      <c r="H70" s="99" t="n">
        <f aca="false">MAX(0,G70-G676-G979-G1282-G1585)</f>
        <v>0</v>
      </c>
      <c r="I70" s="99" t="n">
        <f aca="false">MAX(0,H70-H676-H979-H1282-H1585)</f>
        <v>0</v>
      </c>
      <c r="J70" s="99" t="n">
        <f aca="false">MAX(0,I70-I676-I979-I1282-I1585)</f>
        <v>0</v>
      </c>
      <c r="K70" s="99" t="n">
        <f aca="false">MAX(0,J70-J676-J979-J1282-J1585)</f>
        <v>0</v>
      </c>
      <c r="L70" s="99" t="n">
        <f aca="false">MAX(0,K70-K676-K979-K1282-K1585)</f>
        <v>0</v>
      </c>
      <c r="M70" s="99" t="n">
        <f aca="false">MAX(0,L70-L676-L979-L1282-L1585)</f>
        <v>0</v>
      </c>
    </row>
    <row r="71" customFormat="false" ht="15" hidden="false" customHeight="false" outlineLevel="0" collapsed="false">
      <c r="B71" s="108" t="n">
        <f aca="false">'Loan Tape'!$A67</f>
        <v>0</v>
      </c>
      <c r="C71" s="71" t="n">
        <f aca="false">IF('Loan Tape'!$AN67=0,0,'Loan Tape'!$R67)</f>
        <v>0</v>
      </c>
      <c r="D71" s="71" t="n">
        <f aca="false">MAX(0,C71-C677-C980-C1283-C1586)</f>
        <v>0</v>
      </c>
      <c r="E71" s="71" t="n">
        <f aca="false">MAX(0,D71-D677-D980-D1283-D1586)</f>
        <v>0</v>
      </c>
      <c r="F71" s="71" t="n">
        <f aca="false">MAX(0,E71-E677-E980-E1283-E1586)</f>
        <v>0</v>
      </c>
      <c r="G71" s="71" t="n">
        <f aca="false">MAX(0,F71-F677-F980-F1283-F1586)</f>
        <v>0</v>
      </c>
      <c r="H71" s="71" t="n">
        <f aca="false">MAX(0,G71-G677-G980-G1283-G1586)</f>
        <v>0</v>
      </c>
      <c r="I71" s="71" t="n">
        <f aca="false">MAX(0,H71-H677-H980-H1283-H1586)</f>
        <v>0</v>
      </c>
      <c r="J71" s="71" t="n">
        <f aca="false">MAX(0,I71-I677-I980-I1283-I1586)</f>
        <v>0</v>
      </c>
      <c r="K71" s="71" t="n">
        <f aca="false">MAX(0,J71-J677-J980-J1283-J1586)</f>
        <v>0</v>
      </c>
      <c r="L71" s="71" t="n">
        <f aca="false">MAX(0,K71-K677-K980-K1283-K1586)</f>
        <v>0</v>
      </c>
      <c r="M71" s="71" t="n">
        <f aca="false">MAX(0,L71-L677-L980-L1283-L1586)</f>
        <v>0</v>
      </c>
    </row>
    <row r="72" customFormat="false" ht="15" hidden="false" customHeight="false" outlineLevel="0" collapsed="false">
      <c r="B72" s="102" t="n">
        <f aca="false">'Loan Tape'!$A68</f>
        <v>0</v>
      </c>
      <c r="C72" s="99" t="n">
        <f aca="false">IF('Loan Tape'!$AN68=0,0,'Loan Tape'!$R68)</f>
        <v>0</v>
      </c>
      <c r="D72" s="99" t="n">
        <f aca="false">MAX(0,C72-C678-C981-C1284-C1587)</f>
        <v>0</v>
      </c>
      <c r="E72" s="99" t="n">
        <f aca="false">MAX(0,D72-D678-D981-D1284-D1587)</f>
        <v>0</v>
      </c>
      <c r="F72" s="99" t="n">
        <f aca="false">MAX(0,E72-E678-E981-E1284-E1587)</f>
        <v>0</v>
      </c>
      <c r="G72" s="99" t="n">
        <f aca="false">MAX(0,F72-F678-F981-F1284-F1587)</f>
        <v>0</v>
      </c>
      <c r="H72" s="99" t="n">
        <f aca="false">MAX(0,G72-G678-G981-G1284-G1587)</f>
        <v>0</v>
      </c>
      <c r="I72" s="99" t="n">
        <f aca="false">MAX(0,H72-H678-H981-H1284-H1587)</f>
        <v>0</v>
      </c>
      <c r="J72" s="99" t="n">
        <f aca="false">MAX(0,I72-I678-I981-I1284-I1587)</f>
        <v>0</v>
      </c>
      <c r="K72" s="99" t="n">
        <f aca="false">MAX(0,J72-J678-J981-J1284-J1587)</f>
        <v>0</v>
      </c>
      <c r="L72" s="99" t="n">
        <f aca="false">MAX(0,K72-K678-K981-K1284-K1587)</f>
        <v>0</v>
      </c>
      <c r="M72" s="99" t="n">
        <f aca="false">MAX(0,L72-L678-L981-L1284-L1587)</f>
        <v>0</v>
      </c>
    </row>
    <row r="73" customFormat="false" ht="15" hidden="false" customHeight="false" outlineLevel="0" collapsed="false">
      <c r="B73" s="108" t="n">
        <f aca="false">'Loan Tape'!$A69</f>
        <v>0</v>
      </c>
      <c r="C73" s="71" t="n">
        <f aca="false">IF('Loan Tape'!$AN69=0,0,'Loan Tape'!$R69)</f>
        <v>0</v>
      </c>
      <c r="D73" s="71" t="n">
        <f aca="false">MAX(0,C73-C679-C982-C1285-C1588)</f>
        <v>0</v>
      </c>
      <c r="E73" s="71" t="n">
        <f aca="false">MAX(0,D73-D679-D982-D1285-D1588)</f>
        <v>0</v>
      </c>
      <c r="F73" s="71" t="n">
        <f aca="false">MAX(0,E73-E679-E982-E1285-E1588)</f>
        <v>0</v>
      </c>
      <c r="G73" s="71" t="n">
        <f aca="false">MAX(0,F73-F679-F982-F1285-F1588)</f>
        <v>0</v>
      </c>
      <c r="H73" s="71" t="n">
        <f aca="false">MAX(0,G73-G679-G982-G1285-G1588)</f>
        <v>0</v>
      </c>
      <c r="I73" s="71" t="n">
        <f aca="false">MAX(0,H73-H679-H982-H1285-H1588)</f>
        <v>0</v>
      </c>
      <c r="J73" s="71" t="n">
        <f aca="false">MAX(0,I73-I679-I982-I1285-I1588)</f>
        <v>0</v>
      </c>
      <c r="K73" s="71" t="n">
        <f aca="false">MAX(0,J73-J679-J982-J1285-J1588)</f>
        <v>0</v>
      </c>
      <c r="L73" s="71" t="n">
        <f aca="false">MAX(0,K73-K679-K982-K1285-K1588)</f>
        <v>0</v>
      </c>
      <c r="M73" s="71" t="n">
        <f aca="false">MAX(0,L73-L679-L982-L1285-L1588)</f>
        <v>0</v>
      </c>
    </row>
    <row r="74" customFormat="false" ht="15" hidden="false" customHeight="false" outlineLevel="0" collapsed="false">
      <c r="B74" s="102" t="n">
        <f aca="false">'Loan Tape'!$A70</f>
        <v>0</v>
      </c>
      <c r="C74" s="99" t="n">
        <f aca="false">IF('Loan Tape'!$AN70=0,0,'Loan Tape'!$R70)</f>
        <v>0</v>
      </c>
      <c r="D74" s="99" t="n">
        <f aca="false">MAX(0,C74-C680-C983-C1286-C1589)</f>
        <v>0</v>
      </c>
      <c r="E74" s="99" t="n">
        <f aca="false">MAX(0,D74-D680-D983-D1286-D1589)</f>
        <v>0</v>
      </c>
      <c r="F74" s="99" t="n">
        <f aca="false">MAX(0,E74-E680-E983-E1286-E1589)</f>
        <v>0</v>
      </c>
      <c r="G74" s="99" t="n">
        <f aca="false">MAX(0,F74-F680-F983-F1286-F1589)</f>
        <v>0</v>
      </c>
      <c r="H74" s="99" t="n">
        <f aca="false">MAX(0,G74-G680-G983-G1286-G1589)</f>
        <v>0</v>
      </c>
      <c r="I74" s="99" t="n">
        <f aca="false">MAX(0,H74-H680-H983-H1286-H1589)</f>
        <v>0</v>
      </c>
      <c r="J74" s="99" t="n">
        <f aca="false">MAX(0,I74-I680-I983-I1286-I1589)</f>
        <v>0</v>
      </c>
      <c r="K74" s="99" t="n">
        <f aca="false">MAX(0,J74-J680-J983-J1286-J1589)</f>
        <v>0</v>
      </c>
      <c r="L74" s="99" t="n">
        <f aca="false">MAX(0,K74-K680-K983-K1286-K1589)</f>
        <v>0</v>
      </c>
      <c r="M74" s="99" t="n">
        <f aca="false">MAX(0,L74-L680-L983-L1286-L1589)</f>
        <v>0</v>
      </c>
    </row>
    <row r="75" customFormat="false" ht="15" hidden="false" customHeight="false" outlineLevel="0" collapsed="false">
      <c r="B75" s="108" t="n">
        <f aca="false">'Loan Tape'!$A71</f>
        <v>0</v>
      </c>
      <c r="C75" s="71" t="n">
        <f aca="false">IF('Loan Tape'!$AN71=0,0,'Loan Tape'!$R71)</f>
        <v>0</v>
      </c>
      <c r="D75" s="71" t="n">
        <f aca="false">MAX(0,C75-C681-C984-C1287-C1590)</f>
        <v>0</v>
      </c>
      <c r="E75" s="71" t="n">
        <f aca="false">MAX(0,D75-D681-D984-D1287-D1590)</f>
        <v>0</v>
      </c>
      <c r="F75" s="71" t="n">
        <f aca="false">MAX(0,E75-E681-E984-E1287-E1590)</f>
        <v>0</v>
      </c>
      <c r="G75" s="71" t="n">
        <f aca="false">MAX(0,F75-F681-F984-F1287-F1590)</f>
        <v>0</v>
      </c>
      <c r="H75" s="71" t="n">
        <f aca="false">MAX(0,G75-G681-G984-G1287-G1590)</f>
        <v>0</v>
      </c>
      <c r="I75" s="71" t="n">
        <f aca="false">MAX(0,H75-H681-H984-H1287-H1590)</f>
        <v>0</v>
      </c>
      <c r="J75" s="71" t="n">
        <f aca="false">MAX(0,I75-I681-I984-I1287-I1590)</f>
        <v>0</v>
      </c>
      <c r="K75" s="71" t="n">
        <f aca="false">MAX(0,J75-J681-J984-J1287-J1590)</f>
        <v>0</v>
      </c>
      <c r="L75" s="71" t="n">
        <f aca="false">MAX(0,K75-K681-K984-K1287-K1590)</f>
        <v>0</v>
      </c>
      <c r="M75" s="71" t="n">
        <f aca="false">MAX(0,L75-L681-L984-L1287-L1590)</f>
        <v>0</v>
      </c>
    </row>
    <row r="76" customFormat="false" ht="15" hidden="false" customHeight="false" outlineLevel="0" collapsed="false">
      <c r="B76" s="102" t="n">
        <f aca="false">'Loan Tape'!$A72</f>
        <v>0</v>
      </c>
      <c r="C76" s="99" t="n">
        <f aca="false">IF('Loan Tape'!$AN72=0,0,'Loan Tape'!$R72)</f>
        <v>0</v>
      </c>
      <c r="D76" s="99" t="n">
        <f aca="false">MAX(0,C76-C682-C985-C1288-C1591)</f>
        <v>0</v>
      </c>
      <c r="E76" s="99" t="n">
        <f aca="false">MAX(0,D76-D682-D985-D1288-D1591)</f>
        <v>0</v>
      </c>
      <c r="F76" s="99" t="n">
        <f aca="false">MAX(0,E76-E682-E985-E1288-E1591)</f>
        <v>0</v>
      </c>
      <c r="G76" s="99" t="n">
        <f aca="false">MAX(0,F76-F682-F985-F1288-F1591)</f>
        <v>0</v>
      </c>
      <c r="H76" s="99" t="n">
        <f aca="false">MAX(0,G76-G682-G985-G1288-G1591)</f>
        <v>0</v>
      </c>
      <c r="I76" s="99" t="n">
        <f aca="false">MAX(0,H76-H682-H985-H1288-H1591)</f>
        <v>0</v>
      </c>
      <c r="J76" s="99" t="n">
        <f aca="false">MAX(0,I76-I682-I985-I1288-I1591)</f>
        <v>0</v>
      </c>
      <c r="K76" s="99" t="n">
        <f aca="false">MAX(0,J76-J682-J985-J1288-J1591)</f>
        <v>0</v>
      </c>
      <c r="L76" s="99" t="n">
        <f aca="false">MAX(0,K76-K682-K985-K1288-K1591)</f>
        <v>0</v>
      </c>
      <c r="M76" s="99" t="n">
        <f aca="false">MAX(0,L76-L682-L985-L1288-L1591)</f>
        <v>0</v>
      </c>
    </row>
    <row r="77" customFormat="false" ht="15" hidden="false" customHeight="false" outlineLevel="0" collapsed="false">
      <c r="B77" s="108" t="n">
        <f aca="false">'Loan Tape'!$A73</f>
        <v>0</v>
      </c>
      <c r="C77" s="71" t="n">
        <f aca="false">IF('Loan Tape'!$AN73=0,0,'Loan Tape'!$R73)</f>
        <v>0</v>
      </c>
      <c r="D77" s="71" t="n">
        <f aca="false">MAX(0,C77-C683-C986-C1289-C1592)</f>
        <v>0</v>
      </c>
      <c r="E77" s="71" t="n">
        <f aca="false">MAX(0,D77-D683-D986-D1289-D1592)</f>
        <v>0</v>
      </c>
      <c r="F77" s="71" t="n">
        <f aca="false">MAX(0,E77-E683-E986-E1289-E1592)</f>
        <v>0</v>
      </c>
      <c r="G77" s="71" t="n">
        <f aca="false">MAX(0,F77-F683-F986-F1289-F1592)</f>
        <v>0</v>
      </c>
      <c r="H77" s="71" t="n">
        <f aca="false">MAX(0,G77-G683-G986-G1289-G1592)</f>
        <v>0</v>
      </c>
      <c r="I77" s="71" t="n">
        <f aca="false">MAX(0,H77-H683-H986-H1289-H1592)</f>
        <v>0</v>
      </c>
      <c r="J77" s="71" t="n">
        <f aca="false">MAX(0,I77-I683-I986-I1289-I1592)</f>
        <v>0</v>
      </c>
      <c r="K77" s="71" t="n">
        <f aca="false">MAX(0,J77-J683-J986-J1289-J1592)</f>
        <v>0</v>
      </c>
      <c r="L77" s="71" t="n">
        <f aca="false">MAX(0,K77-K683-K986-K1289-K1592)</f>
        <v>0</v>
      </c>
      <c r="M77" s="71" t="n">
        <f aca="false">MAX(0,L77-L683-L986-L1289-L1592)</f>
        <v>0</v>
      </c>
    </row>
    <row r="78" customFormat="false" ht="15" hidden="false" customHeight="false" outlineLevel="0" collapsed="false">
      <c r="B78" s="102" t="n">
        <f aca="false">'Loan Tape'!$A74</f>
        <v>0</v>
      </c>
      <c r="C78" s="99" t="n">
        <f aca="false">IF('Loan Tape'!$AN74=0,0,'Loan Tape'!$R74)</f>
        <v>0</v>
      </c>
      <c r="D78" s="99" t="n">
        <f aca="false">MAX(0,C78-C684-C987-C1290-C1593)</f>
        <v>0</v>
      </c>
      <c r="E78" s="99" t="n">
        <f aca="false">MAX(0,D78-D684-D987-D1290-D1593)</f>
        <v>0</v>
      </c>
      <c r="F78" s="99" t="n">
        <f aca="false">MAX(0,E78-E684-E987-E1290-E1593)</f>
        <v>0</v>
      </c>
      <c r="G78" s="99" t="n">
        <f aca="false">MAX(0,F78-F684-F987-F1290-F1593)</f>
        <v>0</v>
      </c>
      <c r="H78" s="99" t="n">
        <f aca="false">MAX(0,G78-G684-G987-G1290-G1593)</f>
        <v>0</v>
      </c>
      <c r="I78" s="99" t="n">
        <f aca="false">MAX(0,H78-H684-H987-H1290-H1593)</f>
        <v>0</v>
      </c>
      <c r="J78" s="99" t="n">
        <f aca="false">MAX(0,I78-I684-I987-I1290-I1593)</f>
        <v>0</v>
      </c>
      <c r="K78" s="99" t="n">
        <f aca="false">MAX(0,J78-J684-J987-J1290-J1593)</f>
        <v>0</v>
      </c>
      <c r="L78" s="99" t="n">
        <f aca="false">MAX(0,K78-K684-K987-K1290-K1593)</f>
        <v>0</v>
      </c>
      <c r="M78" s="99" t="n">
        <f aca="false">MAX(0,L78-L684-L987-L1290-L1593)</f>
        <v>0</v>
      </c>
    </row>
    <row r="79" customFormat="false" ht="15" hidden="false" customHeight="false" outlineLevel="0" collapsed="false">
      <c r="B79" s="108" t="n">
        <f aca="false">'Loan Tape'!$A75</f>
        <v>0</v>
      </c>
      <c r="C79" s="71" t="n">
        <f aca="false">IF('Loan Tape'!$AN75=0,0,'Loan Tape'!$R75)</f>
        <v>0</v>
      </c>
      <c r="D79" s="71" t="n">
        <f aca="false">MAX(0,C79-C685-C988-C1291-C1594)</f>
        <v>0</v>
      </c>
      <c r="E79" s="71" t="n">
        <f aca="false">MAX(0,D79-D685-D988-D1291-D1594)</f>
        <v>0</v>
      </c>
      <c r="F79" s="71" t="n">
        <f aca="false">MAX(0,E79-E685-E988-E1291-E1594)</f>
        <v>0</v>
      </c>
      <c r="G79" s="71" t="n">
        <f aca="false">MAX(0,F79-F685-F988-F1291-F1594)</f>
        <v>0</v>
      </c>
      <c r="H79" s="71" t="n">
        <f aca="false">MAX(0,G79-G685-G988-G1291-G1594)</f>
        <v>0</v>
      </c>
      <c r="I79" s="71" t="n">
        <f aca="false">MAX(0,H79-H685-H988-H1291-H1594)</f>
        <v>0</v>
      </c>
      <c r="J79" s="71" t="n">
        <f aca="false">MAX(0,I79-I685-I988-I1291-I1594)</f>
        <v>0</v>
      </c>
      <c r="K79" s="71" t="n">
        <f aca="false">MAX(0,J79-J685-J988-J1291-J1594)</f>
        <v>0</v>
      </c>
      <c r="L79" s="71" t="n">
        <f aca="false">MAX(0,K79-K685-K988-K1291-K1594)</f>
        <v>0</v>
      </c>
      <c r="M79" s="71" t="n">
        <f aca="false">MAX(0,L79-L685-L988-L1291-L1594)</f>
        <v>0</v>
      </c>
    </row>
    <row r="80" customFormat="false" ht="15" hidden="false" customHeight="false" outlineLevel="0" collapsed="false">
      <c r="B80" s="102" t="n">
        <f aca="false">'Loan Tape'!$A76</f>
        <v>0</v>
      </c>
      <c r="C80" s="99" t="n">
        <f aca="false">IF('Loan Tape'!$AN76=0,0,'Loan Tape'!$R76)</f>
        <v>0</v>
      </c>
      <c r="D80" s="99" t="n">
        <f aca="false">MAX(0,C80-C686-C989-C1292-C1595)</f>
        <v>0</v>
      </c>
      <c r="E80" s="99" t="n">
        <f aca="false">MAX(0,D80-D686-D989-D1292-D1595)</f>
        <v>0</v>
      </c>
      <c r="F80" s="99" t="n">
        <f aca="false">MAX(0,E80-E686-E989-E1292-E1595)</f>
        <v>0</v>
      </c>
      <c r="G80" s="99" t="n">
        <f aca="false">MAX(0,F80-F686-F989-F1292-F1595)</f>
        <v>0</v>
      </c>
      <c r="H80" s="99" t="n">
        <f aca="false">MAX(0,G80-G686-G989-G1292-G1595)</f>
        <v>0</v>
      </c>
      <c r="I80" s="99" t="n">
        <f aca="false">MAX(0,H80-H686-H989-H1292-H1595)</f>
        <v>0</v>
      </c>
      <c r="J80" s="99" t="n">
        <f aca="false">MAX(0,I80-I686-I989-I1292-I1595)</f>
        <v>0</v>
      </c>
      <c r="K80" s="99" t="n">
        <f aca="false">MAX(0,J80-J686-J989-J1292-J1595)</f>
        <v>0</v>
      </c>
      <c r="L80" s="99" t="n">
        <f aca="false">MAX(0,K80-K686-K989-K1292-K1595)</f>
        <v>0</v>
      </c>
      <c r="M80" s="99" t="n">
        <f aca="false">MAX(0,L80-L686-L989-L1292-L1595)</f>
        <v>0</v>
      </c>
    </row>
    <row r="81" customFormat="false" ht="15" hidden="false" customHeight="false" outlineLevel="0" collapsed="false">
      <c r="B81" s="108" t="n">
        <f aca="false">'Loan Tape'!$A77</f>
        <v>0</v>
      </c>
      <c r="C81" s="71" t="n">
        <f aca="false">IF('Loan Tape'!$AN77=0,0,'Loan Tape'!$R77)</f>
        <v>0</v>
      </c>
      <c r="D81" s="71" t="n">
        <f aca="false">MAX(0,C81-C687-C990-C1293-C1596)</f>
        <v>0</v>
      </c>
      <c r="E81" s="71" t="n">
        <f aca="false">MAX(0,D81-D687-D990-D1293-D1596)</f>
        <v>0</v>
      </c>
      <c r="F81" s="71" t="n">
        <f aca="false">MAX(0,E81-E687-E990-E1293-E1596)</f>
        <v>0</v>
      </c>
      <c r="G81" s="71" t="n">
        <f aca="false">MAX(0,F81-F687-F990-F1293-F1596)</f>
        <v>0</v>
      </c>
      <c r="H81" s="71" t="n">
        <f aca="false">MAX(0,G81-G687-G990-G1293-G1596)</f>
        <v>0</v>
      </c>
      <c r="I81" s="71" t="n">
        <f aca="false">MAX(0,H81-H687-H990-H1293-H1596)</f>
        <v>0</v>
      </c>
      <c r="J81" s="71" t="n">
        <f aca="false">MAX(0,I81-I687-I990-I1293-I1596)</f>
        <v>0</v>
      </c>
      <c r="K81" s="71" t="n">
        <f aca="false">MAX(0,J81-J687-J990-J1293-J1596)</f>
        <v>0</v>
      </c>
      <c r="L81" s="71" t="n">
        <f aca="false">MAX(0,K81-K687-K990-K1293-K1596)</f>
        <v>0</v>
      </c>
      <c r="M81" s="71" t="n">
        <f aca="false">MAX(0,L81-L687-L990-L1293-L1596)</f>
        <v>0</v>
      </c>
    </row>
    <row r="82" customFormat="false" ht="15" hidden="false" customHeight="false" outlineLevel="0" collapsed="false">
      <c r="B82" s="102" t="n">
        <f aca="false">'Loan Tape'!$A78</f>
        <v>0</v>
      </c>
      <c r="C82" s="99" t="n">
        <f aca="false">IF('Loan Tape'!$AN78=0,0,'Loan Tape'!$R78)</f>
        <v>0</v>
      </c>
      <c r="D82" s="99" t="n">
        <f aca="false">MAX(0,C82-C688-C991-C1294-C1597)</f>
        <v>0</v>
      </c>
      <c r="E82" s="99" t="n">
        <f aca="false">MAX(0,D82-D688-D991-D1294-D1597)</f>
        <v>0</v>
      </c>
      <c r="F82" s="99" t="n">
        <f aca="false">MAX(0,E82-E688-E991-E1294-E1597)</f>
        <v>0</v>
      </c>
      <c r="G82" s="99" t="n">
        <f aca="false">MAX(0,F82-F688-F991-F1294-F1597)</f>
        <v>0</v>
      </c>
      <c r="H82" s="99" t="n">
        <f aca="false">MAX(0,G82-G688-G991-G1294-G1597)</f>
        <v>0</v>
      </c>
      <c r="I82" s="99" t="n">
        <f aca="false">MAX(0,H82-H688-H991-H1294-H1597)</f>
        <v>0</v>
      </c>
      <c r="J82" s="99" t="n">
        <f aca="false">MAX(0,I82-I688-I991-I1294-I1597)</f>
        <v>0</v>
      </c>
      <c r="K82" s="99" t="n">
        <f aca="false">MAX(0,J82-J688-J991-J1294-J1597)</f>
        <v>0</v>
      </c>
      <c r="L82" s="99" t="n">
        <f aca="false">MAX(0,K82-K688-K991-K1294-K1597)</f>
        <v>0</v>
      </c>
      <c r="M82" s="99" t="n">
        <f aca="false">MAX(0,L82-L688-L991-L1294-L1597)</f>
        <v>0</v>
      </c>
    </row>
    <row r="83" customFormat="false" ht="15" hidden="false" customHeight="false" outlineLevel="0" collapsed="false">
      <c r="B83" s="108" t="n">
        <f aca="false">'Loan Tape'!$A79</f>
        <v>0</v>
      </c>
      <c r="C83" s="71" t="n">
        <f aca="false">IF('Loan Tape'!$AN79=0,0,'Loan Tape'!$R79)</f>
        <v>0</v>
      </c>
      <c r="D83" s="71" t="n">
        <f aca="false">MAX(0,C83-C689-C992-C1295-C1598)</f>
        <v>0</v>
      </c>
      <c r="E83" s="71" t="n">
        <f aca="false">MAX(0,D83-D689-D992-D1295-D1598)</f>
        <v>0</v>
      </c>
      <c r="F83" s="71" t="n">
        <f aca="false">MAX(0,E83-E689-E992-E1295-E1598)</f>
        <v>0</v>
      </c>
      <c r="G83" s="71" t="n">
        <f aca="false">MAX(0,F83-F689-F992-F1295-F1598)</f>
        <v>0</v>
      </c>
      <c r="H83" s="71" t="n">
        <f aca="false">MAX(0,G83-G689-G992-G1295-G1598)</f>
        <v>0</v>
      </c>
      <c r="I83" s="71" t="n">
        <f aca="false">MAX(0,H83-H689-H992-H1295-H1598)</f>
        <v>0</v>
      </c>
      <c r="J83" s="71" t="n">
        <f aca="false">MAX(0,I83-I689-I992-I1295-I1598)</f>
        <v>0</v>
      </c>
      <c r="K83" s="71" t="n">
        <f aca="false">MAX(0,J83-J689-J992-J1295-J1598)</f>
        <v>0</v>
      </c>
      <c r="L83" s="71" t="n">
        <f aca="false">MAX(0,K83-K689-K992-K1295-K1598)</f>
        <v>0</v>
      </c>
      <c r="M83" s="71" t="n">
        <f aca="false">MAX(0,L83-L689-L992-L1295-L1598)</f>
        <v>0</v>
      </c>
    </row>
    <row r="84" customFormat="false" ht="15" hidden="false" customHeight="false" outlineLevel="0" collapsed="false">
      <c r="B84" s="102" t="n">
        <f aca="false">'Loan Tape'!$A80</f>
        <v>0</v>
      </c>
      <c r="C84" s="99" t="n">
        <f aca="false">IF('Loan Tape'!$AN80=0,0,'Loan Tape'!$R80)</f>
        <v>0</v>
      </c>
      <c r="D84" s="99" t="n">
        <f aca="false">MAX(0,C84-C690-C993-C1296-C1599)</f>
        <v>0</v>
      </c>
      <c r="E84" s="99" t="n">
        <f aca="false">MAX(0,D84-D690-D993-D1296-D1599)</f>
        <v>0</v>
      </c>
      <c r="F84" s="99" t="n">
        <f aca="false">MAX(0,E84-E690-E993-E1296-E1599)</f>
        <v>0</v>
      </c>
      <c r="G84" s="99" t="n">
        <f aca="false">MAX(0,F84-F690-F993-F1296-F1599)</f>
        <v>0</v>
      </c>
      <c r="H84" s="99" t="n">
        <f aca="false">MAX(0,G84-G690-G993-G1296-G1599)</f>
        <v>0</v>
      </c>
      <c r="I84" s="99" t="n">
        <f aca="false">MAX(0,H84-H690-H993-H1296-H1599)</f>
        <v>0</v>
      </c>
      <c r="J84" s="99" t="n">
        <f aca="false">MAX(0,I84-I690-I993-I1296-I1599)</f>
        <v>0</v>
      </c>
      <c r="K84" s="99" t="n">
        <f aca="false">MAX(0,J84-J690-J993-J1296-J1599)</f>
        <v>0</v>
      </c>
      <c r="L84" s="99" t="n">
        <f aca="false">MAX(0,K84-K690-K993-K1296-K1599)</f>
        <v>0</v>
      </c>
      <c r="M84" s="99" t="n">
        <f aca="false">MAX(0,L84-L690-L993-L1296-L1599)</f>
        <v>0</v>
      </c>
    </row>
    <row r="85" customFormat="false" ht="15" hidden="false" customHeight="false" outlineLevel="0" collapsed="false">
      <c r="B85" s="108" t="n">
        <f aca="false">'Loan Tape'!$A81</f>
        <v>0</v>
      </c>
      <c r="C85" s="71" t="n">
        <f aca="false">IF('Loan Tape'!$AN81=0,0,'Loan Tape'!$R81)</f>
        <v>0</v>
      </c>
      <c r="D85" s="71" t="n">
        <f aca="false">MAX(0,C85-C691-C994-C1297-C1600)</f>
        <v>0</v>
      </c>
      <c r="E85" s="71" t="n">
        <f aca="false">MAX(0,D85-D691-D994-D1297-D1600)</f>
        <v>0</v>
      </c>
      <c r="F85" s="71" t="n">
        <f aca="false">MAX(0,E85-E691-E994-E1297-E1600)</f>
        <v>0</v>
      </c>
      <c r="G85" s="71" t="n">
        <f aca="false">MAX(0,F85-F691-F994-F1297-F1600)</f>
        <v>0</v>
      </c>
      <c r="H85" s="71" t="n">
        <f aca="false">MAX(0,G85-G691-G994-G1297-G1600)</f>
        <v>0</v>
      </c>
      <c r="I85" s="71" t="n">
        <f aca="false">MAX(0,H85-H691-H994-H1297-H1600)</f>
        <v>0</v>
      </c>
      <c r="J85" s="71" t="n">
        <f aca="false">MAX(0,I85-I691-I994-I1297-I1600)</f>
        <v>0</v>
      </c>
      <c r="K85" s="71" t="n">
        <f aca="false">MAX(0,J85-J691-J994-J1297-J1600)</f>
        <v>0</v>
      </c>
      <c r="L85" s="71" t="n">
        <f aca="false">MAX(0,K85-K691-K994-K1297-K1600)</f>
        <v>0</v>
      </c>
      <c r="M85" s="71" t="n">
        <f aca="false">MAX(0,L85-L691-L994-L1297-L1600)</f>
        <v>0</v>
      </c>
    </row>
    <row r="86" customFormat="false" ht="15" hidden="false" customHeight="false" outlineLevel="0" collapsed="false">
      <c r="B86" s="102" t="n">
        <f aca="false">'Loan Tape'!$A82</f>
        <v>0</v>
      </c>
      <c r="C86" s="99" t="n">
        <f aca="false">IF('Loan Tape'!$AN82=0,0,'Loan Tape'!$R82)</f>
        <v>0</v>
      </c>
      <c r="D86" s="99" t="n">
        <f aca="false">MAX(0,C86-C692-C995-C1298-C1601)</f>
        <v>0</v>
      </c>
      <c r="E86" s="99" t="n">
        <f aca="false">MAX(0,D86-D692-D995-D1298-D1601)</f>
        <v>0</v>
      </c>
      <c r="F86" s="99" t="n">
        <f aca="false">MAX(0,E86-E692-E995-E1298-E1601)</f>
        <v>0</v>
      </c>
      <c r="G86" s="99" t="n">
        <f aca="false">MAX(0,F86-F692-F995-F1298-F1601)</f>
        <v>0</v>
      </c>
      <c r="H86" s="99" t="n">
        <f aca="false">MAX(0,G86-G692-G995-G1298-G1601)</f>
        <v>0</v>
      </c>
      <c r="I86" s="99" t="n">
        <f aca="false">MAX(0,H86-H692-H995-H1298-H1601)</f>
        <v>0</v>
      </c>
      <c r="J86" s="99" t="n">
        <f aca="false">MAX(0,I86-I692-I995-I1298-I1601)</f>
        <v>0</v>
      </c>
      <c r="K86" s="99" t="n">
        <f aca="false">MAX(0,J86-J692-J995-J1298-J1601)</f>
        <v>0</v>
      </c>
      <c r="L86" s="99" t="n">
        <f aca="false">MAX(0,K86-K692-K995-K1298-K1601)</f>
        <v>0</v>
      </c>
      <c r="M86" s="99" t="n">
        <f aca="false">MAX(0,L86-L692-L995-L1298-L1601)</f>
        <v>0</v>
      </c>
    </row>
    <row r="87" customFormat="false" ht="15" hidden="false" customHeight="false" outlineLevel="0" collapsed="false">
      <c r="B87" s="108" t="n">
        <f aca="false">'Loan Tape'!$A83</f>
        <v>0</v>
      </c>
      <c r="C87" s="71" t="n">
        <f aca="false">IF('Loan Tape'!$AN83=0,0,'Loan Tape'!$R83)</f>
        <v>0</v>
      </c>
      <c r="D87" s="71" t="n">
        <f aca="false">MAX(0,C87-C693-C996-C1299-C1602)</f>
        <v>0</v>
      </c>
      <c r="E87" s="71" t="n">
        <f aca="false">MAX(0,D87-D693-D996-D1299-D1602)</f>
        <v>0</v>
      </c>
      <c r="F87" s="71" t="n">
        <f aca="false">MAX(0,E87-E693-E996-E1299-E1602)</f>
        <v>0</v>
      </c>
      <c r="G87" s="71" t="n">
        <f aca="false">MAX(0,F87-F693-F996-F1299-F1602)</f>
        <v>0</v>
      </c>
      <c r="H87" s="71" t="n">
        <f aca="false">MAX(0,G87-G693-G996-G1299-G1602)</f>
        <v>0</v>
      </c>
      <c r="I87" s="71" t="n">
        <f aca="false">MAX(0,H87-H693-H996-H1299-H1602)</f>
        <v>0</v>
      </c>
      <c r="J87" s="71" t="n">
        <f aca="false">MAX(0,I87-I693-I996-I1299-I1602)</f>
        <v>0</v>
      </c>
      <c r="K87" s="71" t="n">
        <f aca="false">MAX(0,J87-J693-J996-J1299-J1602)</f>
        <v>0</v>
      </c>
      <c r="L87" s="71" t="n">
        <f aca="false">MAX(0,K87-K693-K996-K1299-K1602)</f>
        <v>0</v>
      </c>
      <c r="M87" s="71" t="n">
        <f aca="false">MAX(0,L87-L693-L996-L1299-L1602)</f>
        <v>0</v>
      </c>
    </row>
    <row r="88" customFormat="false" ht="15" hidden="false" customHeight="false" outlineLevel="0" collapsed="false">
      <c r="B88" s="102" t="n">
        <f aca="false">'Loan Tape'!$A84</f>
        <v>0</v>
      </c>
      <c r="C88" s="99" t="n">
        <f aca="false">IF('Loan Tape'!$AN84=0,0,'Loan Tape'!$R84)</f>
        <v>0</v>
      </c>
      <c r="D88" s="99" t="n">
        <f aca="false">MAX(0,C88-C694-C997-C1300-C1603)</f>
        <v>0</v>
      </c>
      <c r="E88" s="99" t="n">
        <f aca="false">MAX(0,D88-D694-D997-D1300-D1603)</f>
        <v>0</v>
      </c>
      <c r="F88" s="99" t="n">
        <f aca="false">MAX(0,E88-E694-E997-E1300-E1603)</f>
        <v>0</v>
      </c>
      <c r="G88" s="99" t="n">
        <f aca="false">MAX(0,F88-F694-F997-F1300-F1603)</f>
        <v>0</v>
      </c>
      <c r="H88" s="99" t="n">
        <f aca="false">MAX(0,G88-G694-G997-G1300-G1603)</f>
        <v>0</v>
      </c>
      <c r="I88" s="99" t="n">
        <f aca="false">MAX(0,H88-H694-H997-H1300-H1603)</f>
        <v>0</v>
      </c>
      <c r="J88" s="99" t="n">
        <f aca="false">MAX(0,I88-I694-I997-I1300-I1603)</f>
        <v>0</v>
      </c>
      <c r="K88" s="99" t="n">
        <f aca="false">MAX(0,J88-J694-J997-J1300-J1603)</f>
        <v>0</v>
      </c>
      <c r="L88" s="99" t="n">
        <f aca="false">MAX(0,K88-K694-K997-K1300-K1603)</f>
        <v>0</v>
      </c>
      <c r="M88" s="99" t="n">
        <f aca="false">MAX(0,L88-L694-L997-L1300-L1603)</f>
        <v>0</v>
      </c>
    </row>
    <row r="89" customFormat="false" ht="15" hidden="false" customHeight="false" outlineLevel="0" collapsed="false">
      <c r="B89" s="108" t="n">
        <f aca="false">'Loan Tape'!$A85</f>
        <v>0</v>
      </c>
      <c r="C89" s="71" t="n">
        <f aca="false">IF('Loan Tape'!$AN85=0,0,'Loan Tape'!$R85)</f>
        <v>0</v>
      </c>
      <c r="D89" s="71" t="n">
        <f aca="false">MAX(0,C89-C695-C998-C1301-C1604)</f>
        <v>0</v>
      </c>
      <c r="E89" s="71" t="n">
        <f aca="false">MAX(0,D89-D695-D998-D1301-D1604)</f>
        <v>0</v>
      </c>
      <c r="F89" s="71" t="n">
        <f aca="false">MAX(0,E89-E695-E998-E1301-E1604)</f>
        <v>0</v>
      </c>
      <c r="G89" s="71" t="n">
        <f aca="false">MAX(0,F89-F695-F998-F1301-F1604)</f>
        <v>0</v>
      </c>
      <c r="H89" s="71" t="n">
        <f aca="false">MAX(0,G89-G695-G998-G1301-G1604)</f>
        <v>0</v>
      </c>
      <c r="I89" s="71" t="n">
        <f aca="false">MAX(0,H89-H695-H998-H1301-H1604)</f>
        <v>0</v>
      </c>
      <c r="J89" s="71" t="n">
        <f aca="false">MAX(0,I89-I695-I998-I1301-I1604)</f>
        <v>0</v>
      </c>
      <c r="K89" s="71" t="n">
        <f aca="false">MAX(0,J89-J695-J998-J1301-J1604)</f>
        <v>0</v>
      </c>
      <c r="L89" s="71" t="n">
        <f aca="false">MAX(0,K89-K695-K998-K1301-K1604)</f>
        <v>0</v>
      </c>
      <c r="M89" s="71" t="n">
        <f aca="false">MAX(0,L89-L695-L998-L1301-L1604)</f>
        <v>0</v>
      </c>
    </row>
    <row r="90" customFormat="false" ht="15" hidden="false" customHeight="false" outlineLevel="0" collapsed="false">
      <c r="B90" s="102" t="n">
        <f aca="false">'Loan Tape'!$A86</f>
        <v>0</v>
      </c>
      <c r="C90" s="99" t="n">
        <f aca="false">IF('Loan Tape'!$AN86=0,0,'Loan Tape'!$R86)</f>
        <v>0</v>
      </c>
      <c r="D90" s="99" t="n">
        <f aca="false">MAX(0,C90-C696-C999-C1302-C1605)</f>
        <v>0</v>
      </c>
      <c r="E90" s="99" t="n">
        <f aca="false">MAX(0,D90-D696-D999-D1302-D1605)</f>
        <v>0</v>
      </c>
      <c r="F90" s="99" t="n">
        <f aca="false">MAX(0,E90-E696-E999-E1302-E1605)</f>
        <v>0</v>
      </c>
      <c r="G90" s="99" t="n">
        <f aca="false">MAX(0,F90-F696-F999-F1302-F1605)</f>
        <v>0</v>
      </c>
      <c r="H90" s="99" t="n">
        <f aca="false">MAX(0,G90-G696-G999-G1302-G1605)</f>
        <v>0</v>
      </c>
      <c r="I90" s="99" t="n">
        <f aca="false">MAX(0,H90-H696-H999-H1302-H1605)</f>
        <v>0</v>
      </c>
      <c r="J90" s="99" t="n">
        <f aca="false">MAX(0,I90-I696-I999-I1302-I1605)</f>
        <v>0</v>
      </c>
      <c r="K90" s="99" t="n">
        <f aca="false">MAX(0,J90-J696-J999-J1302-J1605)</f>
        <v>0</v>
      </c>
      <c r="L90" s="99" t="n">
        <f aca="false">MAX(0,K90-K696-K999-K1302-K1605)</f>
        <v>0</v>
      </c>
      <c r="M90" s="99" t="n">
        <f aca="false">MAX(0,L90-L696-L999-L1302-L1605)</f>
        <v>0</v>
      </c>
    </row>
    <row r="91" customFormat="false" ht="15" hidden="false" customHeight="false" outlineLevel="0" collapsed="false">
      <c r="B91" s="108" t="n">
        <f aca="false">'Loan Tape'!$A87</f>
        <v>0</v>
      </c>
      <c r="C91" s="71" t="n">
        <f aca="false">IF('Loan Tape'!$AN87=0,0,'Loan Tape'!$R87)</f>
        <v>0</v>
      </c>
      <c r="D91" s="71" t="n">
        <f aca="false">MAX(0,C91-C697-C1000-C1303-C1606)</f>
        <v>0</v>
      </c>
      <c r="E91" s="71" t="n">
        <f aca="false">MAX(0,D91-D697-D1000-D1303-D1606)</f>
        <v>0</v>
      </c>
      <c r="F91" s="71" t="n">
        <f aca="false">MAX(0,E91-E697-E1000-E1303-E1606)</f>
        <v>0</v>
      </c>
      <c r="G91" s="71" t="n">
        <f aca="false">MAX(0,F91-F697-F1000-F1303-F1606)</f>
        <v>0</v>
      </c>
      <c r="H91" s="71" t="n">
        <f aca="false">MAX(0,G91-G697-G1000-G1303-G1606)</f>
        <v>0</v>
      </c>
      <c r="I91" s="71" t="n">
        <f aca="false">MAX(0,H91-H697-H1000-H1303-H1606)</f>
        <v>0</v>
      </c>
      <c r="J91" s="71" t="n">
        <f aca="false">MAX(0,I91-I697-I1000-I1303-I1606)</f>
        <v>0</v>
      </c>
      <c r="K91" s="71" t="n">
        <f aca="false">MAX(0,J91-J697-J1000-J1303-J1606)</f>
        <v>0</v>
      </c>
      <c r="L91" s="71" t="n">
        <f aca="false">MAX(0,K91-K697-K1000-K1303-K1606)</f>
        <v>0</v>
      </c>
      <c r="M91" s="71" t="n">
        <f aca="false">MAX(0,L91-L697-L1000-L1303-L1606)</f>
        <v>0</v>
      </c>
    </row>
    <row r="92" customFormat="false" ht="15" hidden="false" customHeight="false" outlineLevel="0" collapsed="false">
      <c r="B92" s="102" t="n">
        <f aca="false">'Loan Tape'!$A88</f>
        <v>0</v>
      </c>
      <c r="C92" s="99" t="n">
        <f aca="false">IF('Loan Tape'!$AN88=0,0,'Loan Tape'!$R88)</f>
        <v>0</v>
      </c>
      <c r="D92" s="99" t="n">
        <f aca="false">MAX(0,C92-C698-C1001-C1304-C1607)</f>
        <v>0</v>
      </c>
      <c r="E92" s="99" t="n">
        <f aca="false">MAX(0,D92-D698-D1001-D1304-D1607)</f>
        <v>0</v>
      </c>
      <c r="F92" s="99" t="n">
        <f aca="false">MAX(0,E92-E698-E1001-E1304-E1607)</f>
        <v>0</v>
      </c>
      <c r="G92" s="99" t="n">
        <f aca="false">MAX(0,F92-F698-F1001-F1304-F1607)</f>
        <v>0</v>
      </c>
      <c r="H92" s="99" t="n">
        <f aca="false">MAX(0,G92-G698-G1001-G1304-G1607)</f>
        <v>0</v>
      </c>
      <c r="I92" s="99" t="n">
        <f aca="false">MAX(0,H92-H698-H1001-H1304-H1607)</f>
        <v>0</v>
      </c>
      <c r="J92" s="99" t="n">
        <f aca="false">MAX(0,I92-I698-I1001-I1304-I1607)</f>
        <v>0</v>
      </c>
      <c r="K92" s="99" t="n">
        <f aca="false">MAX(0,J92-J698-J1001-J1304-J1607)</f>
        <v>0</v>
      </c>
      <c r="L92" s="99" t="n">
        <f aca="false">MAX(0,K92-K698-K1001-K1304-K1607)</f>
        <v>0</v>
      </c>
      <c r="M92" s="99" t="n">
        <f aca="false">MAX(0,L92-L698-L1001-L1304-L1607)</f>
        <v>0</v>
      </c>
    </row>
    <row r="93" customFormat="false" ht="15" hidden="false" customHeight="false" outlineLevel="0" collapsed="false">
      <c r="B93" s="108" t="n">
        <f aca="false">'Loan Tape'!$A89</f>
        <v>0</v>
      </c>
      <c r="C93" s="71" t="n">
        <f aca="false">IF('Loan Tape'!$AN89=0,0,'Loan Tape'!$R89)</f>
        <v>0</v>
      </c>
      <c r="D93" s="71" t="n">
        <f aca="false">MAX(0,C93-C699-C1002-C1305-C1608)</f>
        <v>0</v>
      </c>
      <c r="E93" s="71" t="n">
        <f aca="false">MAX(0,D93-D699-D1002-D1305-D1608)</f>
        <v>0</v>
      </c>
      <c r="F93" s="71" t="n">
        <f aca="false">MAX(0,E93-E699-E1002-E1305-E1608)</f>
        <v>0</v>
      </c>
      <c r="G93" s="71" t="n">
        <f aca="false">MAX(0,F93-F699-F1002-F1305-F1608)</f>
        <v>0</v>
      </c>
      <c r="H93" s="71" t="n">
        <f aca="false">MAX(0,G93-G699-G1002-G1305-G1608)</f>
        <v>0</v>
      </c>
      <c r="I93" s="71" t="n">
        <f aca="false">MAX(0,H93-H699-H1002-H1305-H1608)</f>
        <v>0</v>
      </c>
      <c r="J93" s="71" t="n">
        <f aca="false">MAX(0,I93-I699-I1002-I1305-I1608)</f>
        <v>0</v>
      </c>
      <c r="K93" s="71" t="n">
        <f aca="false">MAX(0,J93-J699-J1002-J1305-J1608)</f>
        <v>0</v>
      </c>
      <c r="L93" s="71" t="n">
        <f aca="false">MAX(0,K93-K699-K1002-K1305-K1608)</f>
        <v>0</v>
      </c>
      <c r="M93" s="71" t="n">
        <f aca="false">MAX(0,L93-L699-L1002-L1305-L1608)</f>
        <v>0</v>
      </c>
    </row>
    <row r="94" customFormat="false" ht="15" hidden="false" customHeight="false" outlineLevel="0" collapsed="false">
      <c r="B94" s="102" t="n">
        <f aca="false">'Loan Tape'!$A90</f>
        <v>0</v>
      </c>
      <c r="C94" s="99" t="n">
        <f aca="false">IF('Loan Tape'!$AN90=0,0,'Loan Tape'!$R90)</f>
        <v>0</v>
      </c>
      <c r="D94" s="99" t="n">
        <f aca="false">MAX(0,C94-C700-C1003-C1306-C1609)</f>
        <v>0</v>
      </c>
      <c r="E94" s="99" t="n">
        <f aca="false">MAX(0,D94-D700-D1003-D1306-D1609)</f>
        <v>0</v>
      </c>
      <c r="F94" s="99" t="n">
        <f aca="false">MAX(0,E94-E700-E1003-E1306-E1609)</f>
        <v>0</v>
      </c>
      <c r="G94" s="99" t="n">
        <f aca="false">MAX(0,F94-F700-F1003-F1306-F1609)</f>
        <v>0</v>
      </c>
      <c r="H94" s="99" t="n">
        <f aca="false">MAX(0,G94-G700-G1003-G1306-G1609)</f>
        <v>0</v>
      </c>
      <c r="I94" s="99" t="n">
        <f aca="false">MAX(0,H94-H700-H1003-H1306-H1609)</f>
        <v>0</v>
      </c>
      <c r="J94" s="99" t="n">
        <f aca="false">MAX(0,I94-I700-I1003-I1306-I1609)</f>
        <v>0</v>
      </c>
      <c r="K94" s="99" t="n">
        <f aca="false">MAX(0,J94-J700-J1003-J1306-J1609)</f>
        <v>0</v>
      </c>
      <c r="L94" s="99" t="n">
        <f aca="false">MAX(0,K94-K700-K1003-K1306-K1609)</f>
        <v>0</v>
      </c>
      <c r="M94" s="99" t="n">
        <f aca="false">MAX(0,L94-L700-L1003-L1306-L1609)</f>
        <v>0</v>
      </c>
    </row>
    <row r="95" customFormat="false" ht="15" hidden="false" customHeight="false" outlineLevel="0" collapsed="false">
      <c r="B95" s="108" t="n">
        <f aca="false">'Loan Tape'!$A91</f>
        <v>0</v>
      </c>
      <c r="C95" s="71" t="n">
        <f aca="false">IF('Loan Tape'!$AN91=0,0,'Loan Tape'!$R91)</f>
        <v>0</v>
      </c>
      <c r="D95" s="71" t="n">
        <f aca="false">MAX(0,C95-C701-C1004-C1307-C1610)</f>
        <v>0</v>
      </c>
      <c r="E95" s="71" t="n">
        <f aca="false">MAX(0,D95-D701-D1004-D1307-D1610)</f>
        <v>0</v>
      </c>
      <c r="F95" s="71" t="n">
        <f aca="false">MAX(0,E95-E701-E1004-E1307-E1610)</f>
        <v>0</v>
      </c>
      <c r="G95" s="71" t="n">
        <f aca="false">MAX(0,F95-F701-F1004-F1307-F1610)</f>
        <v>0</v>
      </c>
      <c r="H95" s="71" t="n">
        <f aca="false">MAX(0,G95-G701-G1004-G1307-G1610)</f>
        <v>0</v>
      </c>
      <c r="I95" s="71" t="n">
        <f aca="false">MAX(0,H95-H701-H1004-H1307-H1610)</f>
        <v>0</v>
      </c>
      <c r="J95" s="71" t="n">
        <f aca="false">MAX(0,I95-I701-I1004-I1307-I1610)</f>
        <v>0</v>
      </c>
      <c r="K95" s="71" t="n">
        <f aca="false">MAX(0,J95-J701-J1004-J1307-J1610)</f>
        <v>0</v>
      </c>
      <c r="L95" s="71" t="n">
        <f aca="false">MAX(0,K95-K701-K1004-K1307-K1610)</f>
        <v>0</v>
      </c>
      <c r="M95" s="71" t="n">
        <f aca="false">MAX(0,L95-L701-L1004-L1307-L1610)</f>
        <v>0</v>
      </c>
    </row>
    <row r="96" customFormat="false" ht="15" hidden="false" customHeight="false" outlineLevel="0" collapsed="false">
      <c r="B96" s="102" t="n">
        <f aca="false">'Loan Tape'!$A92</f>
        <v>0</v>
      </c>
      <c r="C96" s="99" t="n">
        <f aca="false">IF('Loan Tape'!$AN92=0,0,'Loan Tape'!$R92)</f>
        <v>0</v>
      </c>
      <c r="D96" s="99" t="n">
        <f aca="false">MAX(0,C96-C702-C1005-C1308-C1611)</f>
        <v>0</v>
      </c>
      <c r="E96" s="99" t="n">
        <f aca="false">MAX(0,D96-D702-D1005-D1308-D1611)</f>
        <v>0</v>
      </c>
      <c r="F96" s="99" t="n">
        <f aca="false">MAX(0,E96-E702-E1005-E1308-E1611)</f>
        <v>0</v>
      </c>
      <c r="G96" s="99" t="n">
        <f aca="false">MAX(0,F96-F702-F1005-F1308-F1611)</f>
        <v>0</v>
      </c>
      <c r="H96" s="99" t="n">
        <f aca="false">MAX(0,G96-G702-G1005-G1308-G1611)</f>
        <v>0</v>
      </c>
      <c r="I96" s="99" t="n">
        <f aca="false">MAX(0,H96-H702-H1005-H1308-H1611)</f>
        <v>0</v>
      </c>
      <c r="J96" s="99" t="n">
        <f aca="false">MAX(0,I96-I702-I1005-I1308-I1611)</f>
        <v>0</v>
      </c>
      <c r="K96" s="99" t="n">
        <f aca="false">MAX(0,J96-J702-J1005-J1308-J1611)</f>
        <v>0</v>
      </c>
      <c r="L96" s="99" t="n">
        <f aca="false">MAX(0,K96-K702-K1005-K1308-K1611)</f>
        <v>0</v>
      </c>
      <c r="M96" s="99" t="n">
        <f aca="false">MAX(0,L96-L702-L1005-L1308-L1611)</f>
        <v>0</v>
      </c>
    </row>
    <row r="97" customFormat="false" ht="15" hidden="false" customHeight="false" outlineLevel="0" collapsed="false">
      <c r="B97" s="108" t="n">
        <f aca="false">'Loan Tape'!$A93</f>
        <v>0</v>
      </c>
      <c r="C97" s="71" t="n">
        <f aca="false">IF('Loan Tape'!$AN93=0,0,'Loan Tape'!$R93)</f>
        <v>0</v>
      </c>
      <c r="D97" s="71" t="n">
        <f aca="false">MAX(0,C97-C703-C1006-C1309-C1612)</f>
        <v>0</v>
      </c>
      <c r="E97" s="71" t="n">
        <f aca="false">MAX(0,D97-D703-D1006-D1309-D1612)</f>
        <v>0</v>
      </c>
      <c r="F97" s="71" t="n">
        <f aca="false">MAX(0,E97-E703-E1006-E1309-E1612)</f>
        <v>0</v>
      </c>
      <c r="G97" s="71" t="n">
        <f aca="false">MAX(0,F97-F703-F1006-F1309-F1612)</f>
        <v>0</v>
      </c>
      <c r="H97" s="71" t="n">
        <f aca="false">MAX(0,G97-G703-G1006-G1309-G1612)</f>
        <v>0</v>
      </c>
      <c r="I97" s="71" t="n">
        <f aca="false">MAX(0,H97-H703-H1006-H1309-H1612)</f>
        <v>0</v>
      </c>
      <c r="J97" s="71" t="n">
        <f aca="false">MAX(0,I97-I703-I1006-I1309-I1612)</f>
        <v>0</v>
      </c>
      <c r="K97" s="71" t="n">
        <f aca="false">MAX(0,J97-J703-J1006-J1309-J1612)</f>
        <v>0</v>
      </c>
      <c r="L97" s="71" t="n">
        <f aca="false">MAX(0,K97-K703-K1006-K1309-K1612)</f>
        <v>0</v>
      </c>
      <c r="M97" s="71" t="n">
        <f aca="false">MAX(0,L97-L703-L1006-L1309-L1612)</f>
        <v>0</v>
      </c>
    </row>
    <row r="98" customFormat="false" ht="15" hidden="false" customHeight="false" outlineLevel="0" collapsed="false">
      <c r="B98" s="102" t="n">
        <f aca="false">'Loan Tape'!$A94</f>
        <v>0</v>
      </c>
      <c r="C98" s="99" t="n">
        <f aca="false">IF('Loan Tape'!$AN94=0,0,'Loan Tape'!$R94)</f>
        <v>0</v>
      </c>
      <c r="D98" s="99" t="n">
        <f aca="false">MAX(0,C98-C704-C1007-C1310-C1613)</f>
        <v>0</v>
      </c>
      <c r="E98" s="99" t="n">
        <f aca="false">MAX(0,D98-D704-D1007-D1310-D1613)</f>
        <v>0</v>
      </c>
      <c r="F98" s="99" t="n">
        <f aca="false">MAX(0,E98-E704-E1007-E1310-E1613)</f>
        <v>0</v>
      </c>
      <c r="G98" s="99" t="n">
        <f aca="false">MAX(0,F98-F704-F1007-F1310-F1613)</f>
        <v>0</v>
      </c>
      <c r="H98" s="99" t="n">
        <f aca="false">MAX(0,G98-G704-G1007-G1310-G1613)</f>
        <v>0</v>
      </c>
      <c r="I98" s="99" t="n">
        <f aca="false">MAX(0,H98-H704-H1007-H1310-H1613)</f>
        <v>0</v>
      </c>
      <c r="J98" s="99" t="n">
        <f aca="false">MAX(0,I98-I704-I1007-I1310-I1613)</f>
        <v>0</v>
      </c>
      <c r="K98" s="99" t="n">
        <f aca="false">MAX(0,J98-J704-J1007-J1310-J1613)</f>
        <v>0</v>
      </c>
      <c r="L98" s="99" t="n">
        <f aca="false">MAX(0,K98-K704-K1007-K1310-K1613)</f>
        <v>0</v>
      </c>
      <c r="M98" s="99" t="n">
        <f aca="false">MAX(0,L98-L704-L1007-L1310-L1613)</f>
        <v>0</v>
      </c>
    </row>
    <row r="99" customFormat="false" ht="15" hidden="false" customHeight="false" outlineLevel="0" collapsed="false">
      <c r="B99" s="108" t="n">
        <f aca="false">'Loan Tape'!$A95</f>
        <v>0</v>
      </c>
      <c r="C99" s="71" t="n">
        <f aca="false">IF('Loan Tape'!$AN95=0,0,'Loan Tape'!$R95)</f>
        <v>0</v>
      </c>
      <c r="D99" s="71" t="n">
        <f aca="false">MAX(0,C99-C705-C1008-C1311-C1614)</f>
        <v>0</v>
      </c>
      <c r="E99" s="71" t="n">
        <f aca="false">MAX(0,D99-D705-D1008-D1311-D1614)</f>
        <v>0</v>
      </c>
      <c r="F99" s="71" t="n">
        <f aca="false">MAX(0,E99-E705-E1008-E1311-E1614)</f>
        <v>0</v>
      </c>
      <c r="G99" s="71" t="n">
        <f aca="false">MAX(0,F99-F705-F1008-F1311-F1614)</f>
        <v>0</v>
      </c>
      <c r="H99" s="71" t="n">
        <f aca="false">MAX(0,G99-G705-G1008-G1311-G1614)</f>
        <v>0</v>
      </c>
      <c r="I99" s="71" t="n">
        <f aca="false">MAX(0,H99-H705-H1008-H1311-H1614)</f>
        <v>0</v>
      </c>
      <c r="J99" s="71" t="n">
        <f aca="false">MAX(0,I99-I705-I1008-I1311-I1614)</f>
        <v>0</v>
      </c>
      <c r="K99" s="71" t="n">
        <f aca="false">MAX(0,J99-J705-J1008-J1311-J1614)</f>
        <v>0</v>
      </c>
      <c r="L99" s="71" t="n">
        <f aca="false">MAX(0,K99-K705-K1008-K1311-K1614)</f>
        <v>0</v>
      </c>
      <c r="M99" s="71" t="n">
        <f aca="false">MAX(0,L99-L705-L1008-L1311-L1614)</f>
        <v>0</v>
      </c>
    </row>
    <row r="100" customFormat="false" ht="15" hidden="false" customHeight="false" outlineLevel="0" collapsed="false">
      <c r="B100" s="102" t="n">
        <f aca="false">'Loan Tape'!$A96</f>
        <v>0</v>
      </c>
      <c r="C100" s="99" t="n">
        <f aca="false">IF('Loan Tape'!$AN96=0,0,'Loan Tape'!$R96)</f>
        <v>0</v>
      </c>
      <c r="D100" s="99" t="n">
        <f aca="false">MAX(0,C100-C706-C1009-C1312-C1615)</f>
        <v>0</v>
      </c>
      <c r="E100" s="99" t="n">
        <f aca="false">MAX(0,D100-D706-D1009-D1312-D1615)</f>
        <v>0</v>
      </c>
      <c r="F100" s="99" t="n">
        <f aca="false">MAX(0,E100-E706-E1009-E1312-E1615)</f>
        <v>0</v>
      </c>
      <c r="G100" s="99" t="n">
        <f aca="false">MAX(0,F100-F706-F1009-F1312-F1615)</f>
        <v>0</v>
      </c>
      <c r="H100" s="99" t="n">
        <f aca="false">MAX(0,G100-G706-G1009-G1312-G1615)</f>
        <v>0</v>
      </c>
      <c r="I100" s="99" t="n">
        <f aca="false">MAX(0,H100-H706-H1009-H1312-H1615)</f>
        <v>0</v>
      </c>
      <c r="J100" s="99" t="n">
        <f aca="false">MAX(0,I100-I706-I1009-I1312-I1615)</f>
        <v>0</v>
      </c>
      <c r="K100" s="99" t="n">
        <f aca="false">MAX(0,J100-J706-J1009-J1312-J1615)</f>
        <v>0</v>
      </c>
      <c r="L100" s="99" t="n">
        <f aca="false">MAX(0,K100-K706-K1009-K1312-K1615)</f>
        <v>0</v>
      </c>
      <c r="M100" s="99" t="n">
        <f aca="false">MAX(0,L100-L706-L1009-L1312-L1615)</f>
        <v>0</v>
      </c>
    </row>
    <row r="101" customFormat="false" ht="15" hidden="false" customHeight="false" outlineLevel="0" collapsed="false">
      <c r="B101" s="108" t="n">
        <f aca="false">'Loan Tape'!$A97</f>
        <v>0</v>
      </c>
      <c r="C101" s="71" t="n">
        <f aca="false">IF('Loan Tape'!$AN97=0,0,'Loan Tape'!$R97)</f>
        <v>0</v>
      </c>
      <c r="D101" s="71" t="n">
        <f aca="false">MAX(0,C101-C707-C1010-C1313-C1616)</f>
        <v>0</v>
      </c>
      <c r="E101" s="71" t="n">
        <f aca="false">MAX(0,D101-D707-D1010-D1313-D1616)</f>
        <v>0</v>
      </c>
      <c r="F101" s="71" t="n">
        <f aca="false">MAX(0,E101-E707-E1010-E1313-E1616)</f>
        <v>0</v>
      </c>
      <c r="G101" s="71" t="n">
        <f aca="false">MAX(0,F101-F707-F1010-F1313-F1616)</f>
        <v>0</v>
      </c>
      <c r="H101" s="71" t="n">
        <f aca="false">MAX(0,G101-G707-G1010-G1313-G1616)</f>
        <v>0</v>
      </c>
      <c r="I101" s="71" t="n">
        <f aca="false">MAX(0,H101-H707-H1010-H1313-H1616)</f>
        <v>0</v>
      </c>
      <c r="J101" s="71" t="n">
        <f aca="false">MAX(0,I101-I707-I1010-I1313-I1616)</f>
        <v>0</v>
      </c>
      <c r="K101" s="71" t="n">
        <f aca="false">MAX(0,J101-J707-J1010-J1313-J1616)</f>
        <v>0</v>
      </c>
      <c r="L101" s="71" t="n">
        <f aca="false">MAX(0,K101-K707-K1010-K1313-K1616)</f>
        <v>0</v>
      </c>
      <c r="M101" s="71" t="n">
        <f aca="false">MAX(0,L101-L707-L1010-L1313-L1616)</f>
        <v>0</v>
      </c>
    </row>
    <row r="102" customFormat="false" ht="15" hidden="false" customHeight="false" outlineLevel="0" collapsed="false">
      <c r="B102" s="102" t="n">
        <f aca="false">'Loan Tape'!$A98</f>
        <v>0</v>
      </c>
      <c r="C102" s="99" t="n">
        <f aca="false">IF('Loan Tape'!$AN98=0,0,'Loan Tape'!$R98)</f>
        <v>0</v>
      </c>
      <c r="D102" s="99" t="n">
        <f aca="false">MAX(0,C102-C708-C1011-C1314-C1617)</f>
        <v>0</v>
      </c>
      <c r="E102" s="99" t="n">
        <f aca="false">MAX(0,D102-D708-D1011-D1314-D1617)</f>
        <v>0</v>
      </c>
      <c r="F102" s="99" t="n">
        <f aca="false">MAX(0,E102-E708-E1011-E1314-E1617)</f>
        <v>0</v>
      </c>
      <c r="G102" s="99" t="n">
        <f aca="false">MAX(0,F102-F708-F1011-F1314-F1617)</f>
        <v>0</v>
      </c>
      <c r="H102" s="99" t="n">
        <f aca="false">MAX(0,G102-G708-G1011-G1314-G1617)</f>
        <v>0</v>
      </c>
      <c r="I102" s="99" t="n">
        <f aca="false">MAX(0,H102-H708-H1011-H1314-H1617)</f>
        <v>0</v>
      </c>
      <c r="J102" s="99" t="n">
        <f aca="false">MAX(0,I102-I708-I1011-I1314-I1617)</f>
        <v>0</v>
      </c>
      <c r="K102" s="99" t="n">
        <f aca="false">MAX(0,J102-J708-J1011-J1314-J1617)</f>
        <v>0</v>
      </c>
      <c r="L102" s="99" t="n">
        <f aca="false">MAX(0,K102-K708-K1011-K1314-K1617)</f>
        <v>0</v>
      </c>
      <c r="M102" s="99" t="n">
        <f aca="false">MAX(0,L102-L708-L1011-L1314-L1617)</f>
        <v>0</v>
      </c>
    </row>
    <row r="103" customFormat="false" ht="15" hidden="false" customHeight="false" outlineLevel="0" collapsed="false">
      <c r="B103" s="108" t="n">
        <f aca="false">'Loan Tape'!$A99</f>
        <v>0</v>
      </c>
      <c r="C103" s="71" t="n">
        <f aca="false">IF('Loan Tape'!$AN99=0,0,'Loan Tape'!$R99)</f>
        <v>0</v>
      </c>
      <c r="D103" s="71" t="n">
        <f aca="false">MAX(0,C103-C709-C1012-C1315-C1618)</f>
        <v>0</v>
      </c>
      <c r="E103" s="71" t="n">
        <f aca="false">MAX(0,D103-D709-D1012-D1315-D1618)</f>
        <v>0</v>
      </c>
      <c r="F103" s="71" t="n">
        <f aca="false">MAX(0,E103-E709-E1012-E1315-E1618)</f>
        <v>0</v>
      </c>
      <c r="G103" s="71" t="n">
        <f aca="false">MAX(0,F103-F709-F1012-F1315-F1618)</f>
        <v>0</v>
      </c>
      <c r="H103" s="71" t="n">
        <f aca="false">MAX(0,G103-G709-G1012-G1315-G1618)</f>
        <v>0</v>
      </c>
      <c r="I103" s="71" t="n">
        <f aca="false">MAX(0,H103-H709-H1012-H1315-H1618)</f>
        <v>0</v>
      </c>
      <c r="J103" s="71" t="n">
        <f aca="false">MAX(0,I103-I709-I1012-I1315-I1618)</f>
        <v>0</v>
      </c>
      <c r="K103" s="71" t="n">
        <f aca="false">MAX(0,J103-J709-J1012-J1315-J1618)</f>
        <v>0</v>
      </c>
      <c r="L103" s="71" t="n">
        <f aca="false">MAX(0,K103-K709-K1012-K1315-K1618)</f>
        <v>0</v>
      </c>
      <c r="M103" s="71" t="n">
        <f aca="false">MAX(0,L103-L709-L1012-L1315-L1618)</f>
        <v>0</v>
      </c>
    </row>
    <row r="104" customFormat="false" ht="15" hidden="false" customHeight="false" outlineLevel="0" collapsed="false">
      <c r="B104" s="102" t="n">
        <f aca="false">'Loan Tape'!$A100</f>
        <v>0</v>
      </c>
      <c r="C104" s="99" t="n">
        <f aca="false">IF('Loan Tape'!$AN100=0,0,'Loan Tape'!$R100)</f>
        <v>0</v>
      </c>
      <c r="D104" s="99" t="n">
        <f aca="false">MAX(0,C104-C710-C1013-C1316-C1619)</f>
        <v>0</v>
      </c>
      <c r="E104" s="99" t="n">
        <f aca="false">MAX(0,D104-D710-D1013-D1316-D1619)</f>
        <v>0</v>
      </c>
      <c r="F104" s="99" t="n">
        <f aca="false">MAX(0,E104-E710-E1013-E1316-E1619)</f>
        <v>0</v>
      </c>
      <c r="G104" s="99" t="n">
        <f aca="false">MAX(0,F104-F710-F1013-F1316-F1619)</f>
        <v>0</v>
      </c>
      <c r="H104" s="99" t="n">
        <f aca="false">MAX(0,G104-G710-G1013-G1316-G1619)</f>
        <v>0</v>
      </c>
      <c r="I104" s="99" t="n">
        <f aca="false">MAX(0,H104-H710-H1013-H1316-H1619)</f>
        <v>0</v>
      </c>
      <c r="J104" s="99" t="n">
        <f aca="false">MAX(0,I104-I710-I1013-I1316-I1619)</f>
        <v>0</v>
      </c>
      <c r="K104" s="99" t="n">
        <f aca="false">MAX(0,J104-J710-J1013-J1316-J1619)</f>
        <v>0</v>
      </c>
      <c r="L104" s="99" t="n">
        <f aca="false">MAX(0,K104-K710-K1013-K1316-K1619)</f>
        <v>0</v>
      </c>
      <c r="M104" s="99" t="n">
        <f aca="false">MAX(0,L104-L710-L1013-L1316-L1619)</f>
        <v>0</v>
      </c>
    </row>
    <row r="105" customFormat="false" ht="15" hidden="false" customHeight="false" outlineLevel="0" collapsed="false">
      <c r="B105" s="108" t="n">
        <f aca="false">'Loan Tape'!$A101</f>
        <v>0</v>
      </c>
      <c r="C105" s="71" t="n">
        <f aca="false">IF('Loan Tape'!$AN101=0,0,'Loan Tape'!$R101)</f>
        <v>0</v>
      </c>
      <c r="D105" s="71" t="n">
        <f aca="false">MAX(0,C105-C711-C1014-C1317-C1620)</f>
        <v>0</v>
      </c>
      <c r="E105" s="71" t="n">
        <f aca="false">MAX(0,D105-D711-D1014-D1317-D1620)</f>
        <v>0</v>
      </c>
      <c r="F105" s="71" t="n">
        <f aca="false">MAX(0,E105-E711-E1014-E1317-E1620)</f>
        <v>0</v>
      </c>
      <c r="G105" s="71" t="n">
        <f aca="false">MAX(0,F105-F711-F1014-F1317-F1620)</f>
        <v>0</v>
      </c>
      <c r="H105" s="71" t="n">
        <f aca="false">MAX(0,G105-G711-G1014-G1317-G1620)</f>
        <v>0</v>
      </c>
      <c r="I105" s="71" t="n">
        <f aca="false">MAX(0,H105-H711-H1014-H1317-H1620)</f>
        <v>0</v>
      </c>
      <c r="J105" s="71" t="n">
        <f aca="false">MAX(0,I105-I711-I1014-I1317-I1620)</f>
        <v>0</v>
      </c>
      <c r="K105" s="71" t="n">
        <f aca="false">MAX(0,J105-J711-J1014-J1317-J1620)</f>
        <v>0</v>
      </c>
      <c r="L105" s="71" t="n">
        <f aca="false">MAX(0,K105-K711-K1014-K1317-K1620)</f>
        <v>0</v>
      </c>
      <c r="M105" s="71" t="n">
        <f aca="false">MAX(0,L105-L711-L1014-L1317-L1620)</f>
        <v>0</v>
      </c>
    </row>
    <row r="106" customFormat="false" ht="15" hidden="false" customHeight="false" outlineLevel="0" collapsed="false">
      <c r="B106" s="102" t="n">
        <f aca="false">'Loan Tape'!$A102</f>
        <v>0</v>
      </c>
      <c r="C106" s="99" t="n">
        <f aca="false">IF('Loan Tape'!$AN102=0,0,'Loan Tape'!$R102)</f>
        <v>0</v>
      </c>
      <c r="D106" s="99" t="n">
        <f aca="false">MAX(0,C106-C712-C1015-C1318-C1621)</f>
        <v>0</v>
      </c>
      <c r="E106" s="99" t="n">
        <f aca="false">MAX(0,D106-D712-D1015-D1318-D1621)</f>
        <v>0</v>
      </c>
      <c r="F106" s="99" t="n">
        <f aca="false">MAX(0,E106-E712-E1015-E1318-E1621)</f>
        <v>0</v>
      </c>
      <c r="G106" s="99" t="n">
        <f aca="false">MAX(0,F106-F712-F1015-F1318-F1621)</f>
        <v>0</v>
      </c>
      <c r="H106" s="99" t="n">
        <f aca="false">MAX(0,G106-G712-G1015-G1318-G1621)</f>
        <v>0</v>
      </c>
      <c r="I106" s="99" t="n">
        <f aca="false">MAX(0,H106-H712-H1015-H1318-H1621)</f>
        <v>0</v>
      </c>
      <c r="J106" s="99" t="n">
        <f aca="false">MAX(0,I106-I712-I1015-I1318-I1621)</f>
        <v>0</v>
      </c>
      <c r="K106" s="99" t="n">
        <f aca="false">MAX(0,J106-J712-J1015-J1318-J1621)</f>
        <v>0</v>
      </c>
      <c r="L106" s="99" t="n">
        <f aca="false">MAX(0,K106-K712-K1015-K1318-K1621)</f>
        <v>0</v>
      </c>
      <c r="M106" s="99" t="n">
        <f aca="false">MAX(0,L106-L712-L1015-L1318-L1621)</f>
        <v>0</v>
      </c>
    </row>
    <row r="107" customFormat="false" ht="15" hidden="false" customHeight="false" outlineLevel="0" collapsed="false">
      <c r="B107" s="108" t="n">
        <f aca="false">'Loan Tape'!$A103</f>
        <v>0</v>
      </c>
      <c r="C107" s="71" t="n">
        <f aca="false">IF('Loan Tape'!$AN103=0,0,'Loan Tape'!$R103)</f>
        <v>0</v>
      </c>
      <c r="D107" s="71" t="n">
        <f aca="false">MAX(0,C107-C713-C1016-C1319-C1622)</f>
        <v>0</v>
      </c>
      <c r="E107" s="71" t="n">
        <f aca="false">MAX(0,D107-D713-D1016-D1319-D1622)</f>
        <v>0</v>
      </c>
      <c r="F107" s="71" t="n">
        <f aca="false">MAX(0,E107-E713-E1016-E1319-E1622)</f>
        <v>0</v>
      </c>
      <c r="G107" s="71" t="n">
        <f aca="false">MAX(0,F107-F713-F1016-F1319-F1622)</f>
        <v>0</v>
      </c>
      <c r="H107" s="71" t="n">
        <f aca="false">MAX(0,G107-G713-G1016-G1319-G1622)</f>
        <v>0</v>
      </c>
      <c r="I107" s="71" t="n">
        <f aca="false">MAX(0,H107-H713-H1016-H1319-H1622)</f>
        <v>0</v>
      </c>
      <c r="J107" s="71" t="n">
        <f aca="false">MAX(0,I107-I713-I1016-I1319-I1622)</f>
        <v>0</v>
      </c>
      <c r="K107" s="71" t="n">
        <f aca="false">MAX(0,J107-J713-J1016-J1319-J1622)</f>
        <v>0</v>
      </c>
      <c r="L107" s="71" t="n">
        <f aca="false">MAX(0,K107-K713-K1016-K1319-K1622)</f>
        <v>0</v>
      </c>
      <c r="M107" s="71" t="n">
        <f aca="false">MAX(0,L107-L713-L1016-L1319-L1622)</f>
        <v>0</v>
      </c>
    </row>
    <row r="108" customFormat="false" ht="15" hidden="false" customHeight="false" outlineLevel="0" collapsed="false">
      <c r="B108" s="102" t="n">
        <f aca="false">'Loan Tape'!$A104</f>
        <v>0</v>
      </c>
      <c r="C108" s="99" t="n">
        <f aca="false">IF('Loan Tape'!$AN104=0,0,'Loan Tape'!$R104)</f>
        <v>0</v>
      </c>
      <c r="D108" s="99" t="n">
        <f aca="false">MAX(0,C108-C714-C1017-C1320-C1623)</f>
        <v>0</v>
      </c>
      <c r="E108" s="99" t="n">
        <f aca="false">MAX(0,D108-D714-D1017-D1320-D1623)</f>
        <v>0</v>
      </c>
      <c r="F108" s="99" t="n">
        <f aca="false">MAX(0,E108-E714-E1017-E1320-E1623)</f>
        <v>0</v>
      </c>
      <c r="G108" s="99" t="n">
        <f aca="false">MAX(0,F108-F714-F1017-F1320-F1623)</f>
        <v>0</v>
      </c>
      <c r="H108" s="99" t="n">
        <f aca="false">MAX(0,G108-G714-G1017-G1320-G1623)</f>
        <v>0</v>
      </c>
      <c r="I108" s="99" t="n">
        <f aca="false">MAX(0,H108-H714-H1017-H1320-H1623)</f>
        <v>0</v>
      </c>
      <c r="J108" s="99" t="n">
        <f aca="false">MAX(0,I108-I714-I1017-I1320-I1623)</f>
        <v>0</v>
      </c>
      <c r="K108" s="99" t="n">
        <f aca="false">MAX(0,J108-J714-J1017-J1320-J1623)</f>
        <v>0</v>
      </c>
      <c r="L108" s="99" t="n">
        <f aca="false">MAX(0,K108-K714-K1017-K1320-K1623)</f>
        <v>0</v>
      </c>
      <c r="M108" s="99" t="n">
        <f aca="false">MAX(0,L108-L714-L1017-L1320-L1623)</f>
        <v>0</v>
      </c>
    </row>
    <row r="109" customFormat="false" ht="15" hidden="false" customHeight="false" outlineLevel="0" collapsed="false">
      <c r="B109" s="108" t="n">
        <f aca="false">'Loan Tape'!$A105</f>
        <v>0</v>
      </c>
      <c r="C109" s="71" t="n">
        <f aca="false">IF('Loan Tape'!$AN105=0,0,'Loan Tape'!$R105)</f>
        <v>0</v>
      </c>
      <c r="D109" s="71" t="n">
        <f aca="false">MAX(0,C109-C715-C1018-C1321-C1624)</f>
        <v>0</v>
      </c>
      <c r="E109" s="71" t="n">
        <f aca="false">MAX(0,D109-D715-D1018-D1321-D1624)</f>
        <v>0</v>
      </c>
      <c r="F109" s="71" t="n">
        <f aca="false">MAX(0,E109-E715-E1018-E1321-E1624)</f>
        <v>0</v>
      </c>
      <c r="G109" s="71" t="n">
        <f aca="false">MAX(0,F109-F715-F1018-F1321-F1624)</f>
        <v>0</v>
      </c>
      <c r="H109" s="71" t="n">
        <f aca="false">MAX(0,G109-G715-G1018-G1321-G1624)</f>
        <v>0</v>
      </c>
      <c r="I109" s="71" t="n">
        <f aca="false">MAX(0,H109-H715-H1018-H1321-H1624)</f>
        <v>0</v>
      </c>
      <c r="J109" s="71" t="n">
        <f aca="false">MAX(0,I109-I715-I1018-I1321-I1624)</f>
        <v>0</v>
      </c>
      <c r="K109" s="71" t="n">
        <f aca="false">MAX(0,J109-J715-J1018-J1321-J1624)</f>
        <v>0</v>
      </c>
      <c r="L109" s="71" t="n">
        <f aca="false">MAX(0,K109-K715-K1018-K1321-K1624)</f>
        <v>0</v>
      </c>
      <c r="M109" s="71" t="n">
        <f aca="false">MAX(0,L109-L715-L1018-L1321-L1624)</f>
        <v>0</v>
      </c>
    </row>
    <row r="110" customFormat="false" ht="15" hidden="false" customHeight="false" outlineLevel="0" collapsed="false">
      <c r="B110" s="102" t="n">
        <f aca="false">'Loan Tape'!$A106</f>
        <v>0</v>
      </c>
      <c r="C110" s="99" t="n">
        <f aca="false">IF('Loan Tape'!$AN106=0,0,'Loan Tape'!$R106)</f>
        <v>0</v>
      </c>
      <c r="D110" s="99" t="n">
        <f aca="false">MAX(0,C110-C716-C1019-C1322-C1625)</f>
        <v>0</v>
      </c>
      <c r="E110" s="99" t="n">
        <f aca="false">MAX(0,D110-D716-D1019-D1322-D1625)</f>
        <v>0</v>
      </c>
      <c r="F110" s="99" t="n">
        <f aca="false">MAX(0,E110-E716-E1019-E1322-E1625)</f>
        <v>0</v>
      </c>
      <c r="G110" s="99" t="n">
        <f aca="false">MAX(0,F110-F716-F1019-F1322-F1625)</f>
        <v>0</v>
      </c>
      <c r="H110" s="99" t="n">
        <f aca="false">MAX(0,G110-G716-G1019-G1322-G1625)</f>
        <v>0</v>
      </c>
      <c r="I110" s="99" t="n">
        <f aca="false">MAX(0,H110-H716-H1019-H1322-H1625)</f>
        <v>0</v>
      </c>
      <c r="J110" s="99" t="n">
        <f aca="false">MAX(0,I110-I716-I1019-I1322-I1625)</f>
        <v>0</v>
      </c>
      <c r="K110" s="99" t="n">
        <f aca="false">MAX(0,J110-J716-J1019-J1322-J1625)</f>
        <v>0</v>
      </c>
      <c r="L110" s="99" t="n">
        <f aca="false">MAX(0,K110-K716-K1019-K1322-K1625)</f>
        <v>0</v>
      </c>
      <c r="M110" s="99" t="n">
        <f aca="false">MAX(0,L110-L716-L1019-L1322-L1625)</f>
        <v>0</v>
      </c>
    </row>
    <row r="111" customFormat="false" ht="15" hidden="false" customHeight="false" outlineLevel="0" collapsed="false">
      <c r="B111" s="108" t="n">
        <f aca="false">'Loan Tape'!$A107</f>
        <v>0</v>
      </c>
      <c r="C111" s="71" t="n">
        <f aca="false">IF('Loan Tape'!$AN107=0,0,'Loan Tape'!$R107)</f>
        <v>0</v>
      </c>
      <c r="D111" s="71" t="n">
        <f aca="false">MAX(0,C111-C717-C1020-C1323-C1626)</f>
        <v>0</v>
      </c>
      <c r="E111" s="71" t="n">
        <f aca="false">MAX(0,D111-D717-D1020-D1323-D1626)</f>
        <v>0</v>
      </c>
      <c r="F111" s="71" t="n">
        <f aca="false">MAX(0,E111-E717-E1020-E1323-E1626)</f>
        <v>0</v>
      </c>
      <c r="G111" s="71" t="n">
        <f aca="false">MAX(0,F111-F717-F1020-F1323-F1626)</f>
        <v>0</v>
      </c>
      <c r="H111" s="71" t="n">
        <f aca="false">MAX(0,G111-G717-G1020-G1323-G1626)</f>
        <v>0</v>
      </c>
      <c r="I111" s="71" t="n">
        <f aca="false">MAX(0,H111-H717-H1020-H1323-H1626)</f>
        <v>0</v>
      </c>
      <c r="J111" s="71" t="n">
        <f aca="false">MAX(0,I111-I717-I1020-I1323-I1626)</f>
        <v>0</v>
      </c>
      <c r="K111" s="71" t="n">
        <f aca="false">MAX(0,J111-J717-J1020-J1323-J1626)</f>
        <v>0</v>
      </c>
      <c r="L111" s="71" t="n">
        <f aca="false">MAX(0,K111-K717-K1020-K1323-K1626)</f>
        <v>0</v>
      </c>
      <c r="M111" s="71" t="n">
        <f aca="false">MAX(0,L111-L717-L1020-L1323-L1626)</f>
        <v>0</v>
      </c>
    </row>
    <row r="112" customFormat="false" ht="15" hidden="false" customHeight="false" outlineLevel="0" collapsed="false">
      <c r="B112" s="102" t="n">
        <f aca="false">'Loan Tape'!$A108</f>
        <v>0</v>
      </c>
      <c r="C112" s="99" t="n">
        <f aca="false">IF('Loan Tape'!$AN108=0,0,'Loan Tape'!$R108)</f>
        <v>0</v>
      </c>
      <c r="D112" s="99" t="n">
        <f aca="false">MAX(0,C112-C718-C1021-C1324-C1627)</f>
        <v>0</v>
      </c>
      <c r="E112" s="99" t="n">
        <f aca="false">MAX(0,D112-D718-D1021-D1324-D1627)</f>
        <v>0</v>
      </c>
      <c r="F112" s="99" t="n">
        <f aca="false">MAX(0,E112-E718-E1021-E1324-E1627)</f>
        <v>0</v>
      </c>
      <c r="G112" s="99" t="n">
        <f aca="false">MAX(0,F112-F718-F1021-F1324-F1627)</f>
        <v>0</v>
      </c>
      <c r="H112" s="99" t="n">
        <f aca="false">MAX(0,G112-G718-G1021-G1324-G1627)</f>
        <v>0</v>
      </c>
      <c r="I112" s="99" t="n">
        <f aca="false">MAX(0,H112-H718-H1021-H1324-H1627)</f>
        <v>0</v>
      </c>
      <c r="J112" s="99" t="n">
        <f aca="false">MAX(0,I112-I718-I1021-I1324-I1627)</f>
        <v>0</v>
      </c>
      <c r="K112" s="99" t="n">
        <f aca="false">MAX(0,J112-J718-J1021-J1324-J1627)</f>
        <v>0</v>
      </c>
      <c r="L112" s="99" t="n">
        <f aca="false">MAX(0,K112-K718-K1021-K1324-K1627)</f>
        <v>0</v>
      </c>
      <c r="M112" s="99" t="n">
        <f aca="false">MAX(0,L112-L718-L1021-L1324-L1627)</f>
        <v>0</v>
      </c>
    </row>
    <row r="113" customFormat="false" ht="15" hidden="false" customHeight="false" outlineLevel="0" collapsed="false">
      <c r="B113" s="108" t="n">
        <f aca="false">'Loan Tape'!$A109</f>
        <v>0</v>
      </c>
      <c r="C113" s="71" t="n">
        <f aca="false">IF('Loan Tape'!$AN109=0,0,'Loan Tape'!$R109)</f>
        <v>0</v>
      </c>
      <c r="D113" s="71" t="n">
        <f aca="false">MAX(0,C113-C719-C1022-C1325-C1628)</f>
        <v>0</v>
      </c>
      <c r="E113" s="71" t="n">
        <f aca="false">MAX(0,D113-D719-D1022-D1325-D1628)</f>
        <v>0</v>
      </c>
      <c r="F113" s="71" t="n">
        <f aca="false">MAX(0,E113-E719-E1022-E1325-E1628)</f>
        <v>0</v>
      </c>
      <c r="G113" s="71" t="n">
        <f aca="false">MAX(0,F113-F719-F1022-F1325-F1628)</f>
        <v>0</v>
      </c>
      <c r="H113" s="71" t="n">
        <f aca="false">MAX(0,G113-G719-G1022-G1325-G1628)</f>
        <v>0</v>
      </c>
      <c r="I113" s="71" t="n">
        <f aca="false">MAX(0,H113-H719-H1022-H1325-H1628)</f>
        <v>0</v>
      </c>
      <c r="J113" s="71" t="n">
        <f aca="false">MAX(0,I113-I719-I1022-I1325-I1628)</f>
        <v>0</v>
      </c>
      <c r="K113" s="71" t="n">
        <f aca="false">MAX(0,J113-J719-J1022-J1325-J1628)</f>
        <v>0</v>
      </c>
      <c r="L113" s="71" t="n">
        <f aca="false">MAX(0,K113-K719-K1022-K1325-K1628)</f>
        <v>0</v>
      </c>
      <c r="M113" s="71" t="n">
        <f aca="false">MAX(0,L113-L719-L1022-L1325-L1628)</f>
        <v>0</v>
      </c>
    </row>
    <row r="114" customFormat="false" ht="15" hidden="false" customHeight="false" outlineLevel="0" collapsed="false">
      <c r="B114" s="102" t="n">
        <f aca="false">'Loan Tape'!$A110</f>
        <v>0</v>
      </c>
      <c r="C114" s="99" t="n">
        <f aca="false">IF('Loan Tape'!$AN110=0,0,'Loan Tape'!$R110)</f>
        <v>0</v>
      </c>
      <c r="D114" s="99" t="n">
        <f aca="false">MAX(0,C114-C720-C1023-C1326-C1629)</f>
        <v>0</v>
      </c>
      <c r="E114" s="99" t="n">
        <f aca="false">MAX(0,D114-D720-D1023-D1326-D1629)</f>
        <v>0</v>
      </c>
      <c r="F114" s="99" t="n">
        <f aca="false">MAX(0,E114-E720-E1023-E1326-E1629)</f>
        <v>0</v>
      </c>
      <c r="G114" s="99" t="n">
        <f aca="false">MAX(0,F114-F720-F1023-F1326-F1629)</f>
        <v>0</v>
      </c>
      <c r="H114" s="99" t="n">
        <f aca="false">MAX(0,G114-G720-G1023-G1326-G1629)</f>
        <v>0</v>
      </c>
      <c r="I114" s="99" t="n">
        <f aca="false">MAX(0,H114-H720-H1023-H1326-H1629)</f>
        <v>0</v>
      </c>
      <c r="J114" s="99" t="n">
        <f aca="false">MAX(0,I114-I720-I1023-I1326-I1629)</f>
        <v>0</v>
      </c>
      <c r="K114" s="99" t="n">
        <f aca="false">MAX(0,J114-J720-J1023-J1326-J1629)</f>
        <v>0</v>
      </c>
      <c r="L114" s="99" t="n">
        <f aca="false">MAX(0,K114-K720-K1023-K1326-K1629)</f>
        <v>0</v>
      </c>
      <c r="M114" s="99" t="n">
        <f aca="false">MAX(0,L114-L720-L1023-L1326-L1629)</f>
        <v>0</v>
      </c>
    </row>
    <row r="115" customFormat="false" ht="15" hidden="false" customHeight="false" outlineLevel="0" collapsed="false">
      <c r="B115" s="108" t="n">
        <f aca="false">'Loan Tape'!$A111</f>
        <v>0</v>
      </c>
      <c r="C115" s="71" t="n">
        <f aca="false">IF('Loan Tape'!$AN111=0,0,'Loan Tape'!$R111)</f>
        <v>0</v>
      </c>
      <c r="D115" s="71" t="n">
        <f aca="false">MAX(0,C115-C721-C1024-C1327-C1630)</f>
        <v>0</v>
      </c>
      <c r="E115" s="71" t="n">
        <f aca="false">MAX(0,D115-D721-D1024-D1327-D1630)</f>
        <v>0</v>
      </c>
      <c r="F115" s="71" t="n">
        <f aca="false">MAX(0,E115-E721-E1024-E1327-E1630)</f>
        <v>0</v>
      </c>
      <c r="G115" s="71" t="n">
        <f aca="false">MAX(0,F115-F721-F1024-F1327-F1630)</f>
        <v>0</v>
      </c>
      <c r="H115" s="71" t="n">
        <f aca="false">MAX(0,G115-G721-G1024-G1327-G1630)</f>
        <v>0</v>
      </c>
      <c r="I115" s="71" t="n">
        <f aca="false">MAX(0,H115-H721-H1024-H1327-H1630)</f>
        <v>0</v>
      </c>
      <c r="J115" s="71" t="n">
        <f aca="false">MAX(0,I115-I721-I1024-I1327-I1630)</f>
        <v>0</v>
      </c>
      <c r="K115" s="71" t="n">
        <f aca="false">MAX(0,J115-J721-J1024-J1327-J1630)</f>
        <v>0</v>
      </c>
      <c r="L115" s="71" t="n">
        <f aca="false">MAX(0,K115-K721-K1024-K1327-K1630)</f>
        <v>0</v>
      </c>
      <c r="M115" s="71" t="n">
        <f aca="false">MAX(0,L115-L721-L1024-L1327-L1630)</f>
        <v>0</v>
      </c>
    </row>
    <row r="116" customFormat="false" ht="15" hidden="false" customHeight="false" outlineLevel="0" collapsed="false">
      <c r="B116" s="102" t="n">
        <f aca="false">'Loan Tape'!$A112</f>
        <v>0</v>
      </c>
      <c r="C116" s="99" t="n">
        <f aca="false">IF('Loan Tape'!$AN112=0,0,'Loan Tape'!$R112)</f>
        <v>0</v>
      </c>
      <c r="D116" s="99" t="n">
        <f aca="false">MAX(0,C116-C722-C1025-C1328-C1631)</f>
        <v>0</v>
      </c>
      <c r="E116" s="99" t="n">
        <f aca="false">MAX(0,D116-D722-D1025-D1328-D1631)</f>
        <v>0</v>
      </c>
      <c r="F116" s="99" t="n">
        <f aca="false">MAX(0,E116-E722-E1025-E1328-E1631)</f>
        <v>0</v>
      </c>
      <c r="G116" s="99" t="n">
        <f aca="false">MAX(0,F116-F722-F1025-F1328-F1631)</f>
        <v>0</v>
      </c>
      <c r="H116" s="99" t="n">
        <f aca="false">MAX(0,G116-G722-G1025-G1328-G1631)</f>
        <v>0</v>
      </c>
      <c r="I116" s="99" t="n">
        <f aca="false">MAX(0,H116-H722-H1025-H1328-H1631)</f>
        <v>0</v>
      </c>
      <c r="J116" s="99" t="n">
        <f aca="false">MAX(0,I116-I722-I1025-I1328-I1631)</f>
        <v>0</v>
      </c>
      <c r="K116" s="99" t="n">
        <f aca="false">MAX(0,J116-J722-J1025-J1328-J1631)</f>
        <v>0</v>
      </c>
      <c r="L116" s="99" t="n">
        <f aca="false">MAX(0,K116-K722-K1025-K1328-K1631)</f>
        <v>0</v>
      </c>
      <c r="M116" s="99" t="n">
        <f aca="false">MAX(0,L116-L722-L1025-L1328-L1631)</f>
        <v>0</v>
      </c>
    </row>
    <row r="117" customFormat="false" ht="15" hidden="false" customHeight="false" outlineLevel="0" collapsed="false">
      <c r="B117" s="108" t="n">
        <f aca="false">'Loan Tape'!$A113</f>
        <v>0</v>
      </c>
      <c r="C117" s="71" t="n">
        <f aca="false">IF('Loan Tape'!$AN113=0,0,'Loan Tape'!$R113)</f>
        <v>0</v>
      </c>
      <c r="D117" s="71" t="n">
        <f aca="false">MAX(0,C117-C723-C1026-C1329-C1632)</f>
        <v>0</v>
      </c>
      <c r="E117" s="71" t="n">
        <f aca="false">MAX(0,D117-D723-D1026-D1329-D1632)</f>
        <v>0</v>
      </c>
      <c r="F117" s="71" t="n">
        <f aca="false">MAX(0,E117-E723-E1026-E1329-E1632)</f>
        <v>0</v>
      </c>
      <c r="G117" s="71" t="n">
        <f aca="false">MAX(0,F117-F723-F1026-F1329-F1632)</f>
        <v>0</v>
      </c>
      <c r="H117" s="71" t="n">
        <f aca="false">MAX(0,G117-G723-G1026-G1329-G1632)</f>
        <v>0</v>
      </c>
      <c r="I117" s="71" t="n">
        <f aca="false">MAX(0,H117-H723-H1026-H1329-H1632)</f>
        <v>0</v>
      </c>
      <c r="J117" s="71" t="n">
        <f aca="false">MAX(0,I117-I723-I1026-I1329-I1632)</f>
        <v>0</v>
      </c>
      <c r="K117" s="71" t="n">
        <f aca="false">MAX(0,J117-J723-J1026-J1329-J1632)</f>
        <v>0</v>
      </c>
      <c r="L117" s="71" t="n">
        <f aca="false">MAX(0,K117-K723-K1026-K1329-K1632)</f>
        <v>0</v>
      </c>
      <c r="M117" s="71" t="n">
        <f aca="false">MAX(0,L117-L723-L1026-L1329-L1632)</f>
        <v>0</v>
      </c>
    </row>
    <row r="118" customFormat="false" ht="15" hidden="false" customHeight="false" outlineLevel="0" collapsed="false">
      <c r="B118" s="102" t="n">
        <f aca="false">'Loan Tape'!$A114</f>
        <v>0</v>
      </c>
      <c r="C118" s="99" t="n">
        <f aca="false">IF('Loan Tape'!$AN114=0,0,'Loan Tape'!$R114)</f>
        <v>0</v>
      </c>
      <c r="D118" s="99" t="n">
        <f aca="false">MAX(0,C118-C724-C1027-C1330-C1633)</f>
        <v>0</v>
      </c>
      <c r="E118" s="99" t="n">
        <f aca="false">MAX(0,D118-D724-D1027-D1330-D1633)</f>
        <v>0</v>
      </c>
      <c r="F118" s="99" t="n">
        <f aca="false">MAX(0,E118-E724-E1027-E1330-E1633)</f>
        <v>0</v>
      </c>
      <c r="G118" s="99" t="n">
        <f aca="false">MAX(0,F118-F724-F1027-F1330-F1633)</f>
        <v>0</v>
      </c>
      <c r="H118" s="99" t="n">
        <f aca="false">MAX(0,G118-G724-G1027-G1330-G1633)</f>
        <v>0</v>
      </c>
      <c r="I118" s="99" t="n">
        <f aca="false">MAX(0,H118-H724-H1027-H1330-H1633)</f>
        <v>0</v>
      </c>
      <c r="J118" s="99" t="n">
        <f aca="false">MAX(0,I118-I724-I1027-I1330-I1633)</f>
        <v>0</v>
      </c>
      <c r="K118" s="99" t="n">
        <f aca="false">MAX(0,J118-J724-J1027-J1330-J1633)</f>
        <v>0</v>
      </c>
      <c r="L118" s="99" t="n">
        <f aca="false">MAX(0,K118-K724-K1027-K1330-K1633)</f>
        <v>0</v>
      </c>
      <c r="M118" s="99" t="n">
        <f aca="false">MAX(0,L118-L724-L1027-L1330-L1633)</f>
        <v>0</v>
      </c>
    </row>
    <row r="119" customFormat="false" ht="15" hidden="false" customHeight="false" outlineLevel="0" collapsed="false">
      <c r="B119" s="108" t="n">
        <f aca="false">'Loan Tape'!$A115</f>
        <v>0</v>
      </c>
      <c r="C119" s="71" t="n">
        <f aca="false">IF('Loan Tape'!$AN115=0,0,'Loan Tape'!$R115)</f>
        <v>0</v>
      </c>
      <c r="D119" s="71" t="n">
        <f aca="false">MAX(0,C119-C725-C1028-C1331-C1634)</f>
        <v>0</v>
      </c>
      <c r="E119" s="71" t="n">
        <f aca="false">MAX(0,D119-D725-D1028-D1331-D1634)</f>
        <v>0</v>
      </c>
      <c r="F119" s="71" t="n">
        <f aca="false">MAX(0,E119-E725-E1028-E1331-E1634)</f>
        <v>0</v>
      </c>
      <c r="G119" s="71" t="n">
        <f aca="false">MAX(0,F119-F725-F1028-F1331-F1634)</f>
        <v>0</v>
      </c>
      <c r="H119" s="71" t="n">
        <f aca="false">MAX(0,G119-G725-G1028-G1331-G1634)</f>
        <v>0</v>
      </c>
      <c r="I119" s="71" t="n">
        <f aca="false">MAX(0,H119-H725-H1028-H1331-H1634)</f>
        <v>0</v>
      </c>
      <c r="J119" s="71" t="n">
        <f aca="false">MAX(0,I119-I725-I1028-I1331-I1634)</f>
        <v>0</v>
      </c>
      <c r="K119" s="71" t="n">
        <f aca="false">MAX(0,J119-J725-J1028-J1331-J1634)</f>
        <v>0</v>
      </c>
      <c r="L119" s="71" t="n">
        <f aca="false">MAX(0,K119-K725-K1028-K1331-K1634)</f>
        <v>0</v>
      </c>
      <c r="M119" s="71" t="n">
        <f aca="false">MAX(0,L119-L725-L1028-L1331-L1634)</f>
        <v>0</v>
      </c>
    </row>
    <row r="120" customFormat="false" ht="15" hidden="false" customHeight="false" outlineLevel="0" collapsed="false">
      <c r="B120" s="102" t="n">
        <f aca="false">'Loan Tape'!$A116</f>
        <v>0</v>
      </c>
      <c r="C120" s="99" t="n">
        <f aca="false">IF('Loan Tape'!$AN116=0,0,'Loan Tape'!$R116)</f>
        <v>0</v>
      </c>
      <c r="D120" s="99" t="n">
        <f aca="false">MAX(0,C120-C726-C1029-C1332-C1635)</f>
        <v>0</v>
      </c>
      <c r="E120" s="99" t="n">
        <f aca="false">MAX(0,D120-D726-D1029-D1332-D1635)</f>
        <v>0</v>
      </c>
      <c r="F120" s="99" t="n">
        <f aca="false">MAX(0,E120-E726-E1029-E1332-E1635)</f>
        <v>0</v>
      </c>
      <c r="G120" s="99" t="n">
        <f aca="false">MAX(0,F120-F726-F1029-F1332-F1635)</f>
        <v>0</v>
      </c>
      <c r="H120" s="99" t="n">
        <f aca="false">MAX(0,G120-G726-G1029-G1332-G1635)</f>
        <v>0</v>
      </c>
      <c r="I120" s="99" t="n">
        <f aca="false">MAX(0,H120-H726-H1029-H1332-H1635)</f>
        <v>0</v>
      </c>
      <c r="J120" s="99" t="n">
        <f aca="false">MAX(0,I120-I726-I1029-I1332-I1635)</f>
        <v>0</v>
      </c>
      <c r="K120" s="99" t="n">
        <f aca="false">MAX(0,J120-J726-J1029-J1332-J1635)</f>
        <v>0</v>
      </c>
      <c r="L120" s="99" t="n">
        <f aca="false">MAX(0,K120-K726-K1029-K1332-K1635)</f>
        <v>0</v>
      </c>
      <c r="M120" s="99" t="n">
        <f aca="false">MAX(0,L120-L726-L1029-L1332-L1635)</f>
        <v>0</v>
      </c>
    </row>
    <row r="121" customFormat="false" ht="15" hidden="false" customHeight="false" outlineLevel="0" collapsed="false">
      <c r="B121" s="108" t="n">
        <f aca="false">'Loan Tape'!$A117</f>
        <v>0</v>
      </c>
      <c r="C121" s="71" t="n">
        <f aca="false">IF('Loan Tape'!$AN117=0,0,'Loan Tape'!$R117)</f>
        <v>0</v>
      </c>
      <c r="D121" s="71" t="n">
        <f aca="false">MAX(0,C121-C727-C1030-C1333-C1636)</f>
        <v>0</v>
      </c>
      <c r="E121" s="71" t="n">
        <f aca="false">MAX(0,D121-D727-D1030-D1333-D1636)</f>
        <v>0</v>
      </c>
      <c r="F121" s="71" t="n">
        <f aca="false">MAX(0,E121-E727-E1030-E1333-E1636)</f>
        <v>0</v>
      </c>
      <c r="G121" s="71" t="n">
        <f aca="false">MAX(0,F121-F727-F1030-F1333-F1636)</f>
        <v>0</v>
      </c>
      <c r="H121" s="71" t="n">
        <f aca="false">MAX(0,G121-G727-G1030-G1333-G1636)</f>
        <v>0</v>
      </c>
      <c r="I121" s="71" t="n">
        <f aca="false">MAX(0,H121-H727-H1030-H1333-H1636)</f>
        <v>0</v>
      </c>
      <c r="J121" s="71" t="n">
        <f aca="false">MAX(0,I121-I727-I1030-I1333-I1636)</f>
        <v>0</v>
      </c>
      <c r="K121" s="71" t="n">
        <f aca="false">MAX(0,J121-J727-J1030-J1333-J1636)</f>
        <v>0</v>
      </c>
      <c r="L121" s="71" t="n">
        <f aca="false">MAX(0,K121-K727-K1030-K1333-K1636)</f>
        <v>0</v>
      </c>
      <c r="M121" s="71" t="n">
        <f aca="false">MAX(0,L121-L727-L1030-L1333-L1636)</f>
        <v>0</v>
      </c>
    </row>
    <row r="122" customFormat="false" ht="15" hidden="false" customHeight="false" outlineLevel="0" collapsed="false">
      <c r="B122" s="102" t="n">
        <f aca="false">'Loan Tape'!$A118</f>
        <v>0</v>
      </c>
      <c r="C122" s="99" t="n">
        <f aca="false">IF('Loan Tape'!$AN118=0,0,'Loan Tape'!$R118)</f>
        <v>0</v>
      </c>
      <c r="D122" s="99" t="n">
        <f aca="false">MAX(0,C122-C728-C1031-C1334-C1637)</f>
        <v>0</v>
      </c>
      <c r="E122" s="99" t="n">
        <f aca="false">MAX(0,D122-D728-D1031-D1334-D1637)</f>
        <v>0</v>
      </c>
      <c r="F122" s="99" t="n">
        <f aca="false">MAX(0,E122-E728-E1031-E1334-E1637)</f>
        <v>0</v>
      </c>
      <c r="G122" s="99" t="n">
        <f aca="false">MAX(0,F122-F728-F1031-F1334-F1637)</f>
        <v>0</v>
      </c>
      <c r="H122" s="99" t="n">
        <f aca="false">MAX(0,G122-G728-G1031-G1334-G1637)</f>
        <v>0</v>
      </c>
      <c r="I122" s="99" t="n">
        <f aca="false">MAX(0,H122-H728-H1031-H1334-H1637)</f>
        <v>0</v>
      </c>
      <c r="J122" s="99" t="n">
        <f aca="false">MAX(0,I122-I728-I1031-I1334-I1637)</f>
        <v>0</v>
      </c>
      <c r="K122" s="99" t="n">
        <f aca="false">MAX(0,J122-J728-J1031-J1334-J1637)</f>
        <v>0</v>
      </c>
      <c r="L122" s="99" t="n">
        <f aca="false">MAX(0,K122-K728-K1031-K1334-K1637)</f>
        <v>0</v>
      </c>
      <c r="M122" s="99" t="n">
        <f aca="false">MAX(0,L122-L728-L1031-L1334-L1637)</f>
        <v>0</v>
      </c>
    </row>
    <row r="123" customFormat="false" ht="15" hidden="false" customHeight="false" outlineLevel="0" collapsed="false">
      <c r="B123" s="108" t="n">
        <f aca="false">'Loan Tape'!$A119</f>
        <v>0</v>
      </c>
      <c r="C123" s="71" t="n">
        <f aca="false">IF('Loan Tape'!$AN119=0,0,'Loan Tape'!$R119)</f>
        <v>0</v>
      </c>
      <c r="D123" s="71" t="n">
        <f aca="false">MAX(0,C123-C729-C1032-C1335-C1638)</f>
        <v>0</v>
      </c>
      <c r="E123" s="71" t="n">
        <f aca="false">MAX(0,D123-D729-D1032-D1335-D1638)</f>
        <v>0</v>
      </c>
      <c r="F123" s="71" t="n">
        <f aca="false">MAX(0,E123-E729-E1032-E1335-E1638)</f>
        <v>0</v>
      </c>
      <c r="G123" s="71" t="n">
        <f aca="false">MAX(0,F123-F729-F1032-F1335-F1638)</f>
        <v>0</v>
      </c>
      <c r="H123" s="71" t="n">
        <f aca="false">MAX(0,G123-G729-G1032-G1335-G1638)</f>
        <v>0</v>
      </c>
      <c r="I123" s="71" t="n">
        <f aca="false">MAX(0,H123-H729-H1032-H1335-H1638)</f>
        <v>0</v>
      </c>
      <c r="J123" s="71" t="n">
        <f aca="false">MAX(0,I123-I729-I1032-I1335-I1638)</f>
        <v>0</v>
      </c>
      <c r="K123" s="71" t="n">
        <f aca="false">MAX(0,J123-J729-J1032-J1335-J1638)</f>
        <v>0</v>
      </c>
      <c r="L123" s="71" t="n">
        <f aca="false">MAX(0,K123-K729-K1032-K1335-K1638)</f>
        <v>0</v>
      </c>
      <c r="M123" s="71" t="n">
        <f aca="false">MAX(0,L123-L729-L1032-L1335-L1638)</f>
        <v>0</v>
      </c>
    </row>
    <row r="124" customFormat="false" ht="15" hidden="false" customHeight="false" outlineLevel="0" collapsed="false">
      <c r="B124" s="102" t="n">
        <f aca="false">'Loan Tape'!$A120</f>
        <v>0</v>
      </c>
      <c r="C124" s="99" t="n">
        <f aca="false">IF('Loan Tape'!$AN120=0,0,'Loan Tape'!$R120)</f>
        <v>0</v>
      </c>
      <c r="D124" s="99" t="n">
        <f aca="false">MAX(0,C124-C730-C1033-C1336-C1639)</f>
        <v>0</v>
      </c>
      <c r="E124" s="99" t="n">
        <f aca="false">MAX(0,D124-D730-D1033-D1336-D1639)</f>
        <v>0</v>
      </c>
      <c r="F124" s="99" t="n">
        <f aca="false">MAX(0,E124-E730-E1033-E1336-E1639)</f>
        <v>0</v>
      </c>
      <c r="G124" s="99" t="n">
        <f aca="false">MAX(0,F124-F730-F1033-F1336-F1639)</f>
        <v>0</v>
      </c>
      <c r="H124" s="99" t="n">
        <f aca="false">MAX(0,G124-G730-G1033-G1336-G1639)</f>
        <v>0</v>
      </c>
      <c r="I124" s="99" t="n">
        <f aca="false">MAX(0,H124-H730-H1033-H1336-H1639)</f>
        <v>0</v>
      </c>
      <c r="J124" s="99" t="n">
        <f aca="false">MAX(0,I124-I730-I1033-I1336-I1639)</f>
        <v>0</v>
      </c>
      <c r="K124" s="99" t="n">
        <f aca="false">MAX(0,J124-J730-J1033-J1336-J1639)</f>
        <v>0</v>
      </c>
      <c r="L124" s="99" t="n">
        <f aca="false">MAX(0,K124-K730-K1033-K1336-K1639)</f>
        <v>0</v>
      </c>
      <c r="M124" s="99" t="n">
        <f aca="false">MAX(0,L124-L730-L1033-L1336-L1639)</f>
        <v>0</v>
      </c>
    </row>
    <row r="125" customFormat="false" ht="15" hidden="false" customHeight="false" outlineLevel="0" collapsed="false">
      <c r="B125" s="108" t="n">
        <f aca="false">'Loan Tape'!$A121</f>
        <v>0</v>
      </c>
      <c r="C125" s="71" t="n">
        <f aca="false">IF('Loan Tape'!$AN121=0,0,'Loan Tape'!$R121)</f>
        <v>0</v>
      </c>
      <c r="D125" s="71" t="n">
        <f aca="false">MAX(0,C125-C731-C1034-C1337-C1640)</f>
        <v>0</v>
      </c>
      <c r="E125" s="71" t="n">
        <f aca="false">MAX(0,D125-D731-D1034-D1337-D1640)</f>
        <v>0</v>
      </c>
      <c r="F125" s="71" t="n">
        <f aca="false">MAX(0,E125-E731-E1034-E1337-E1640)</f>
        <v>0</v>
      </c>
      <c r="G125" s="71" t="n">
        <f aca="false">MAX(0,F125-F731-F1034-F1337-F1640)</f>
        <v>0</v>
      </c>
      <c r="H125" s="71" t="n">
        <f aca="false">MAX(0,G125-G731-G1034-G1337-G1640)</f>
        <v>0</v>
      </c>
      <c r="I125" s="71" t="n">
        <f aca="false">MAX(0,H125-H731-H1034-H1337-H1640)</f>
        <v>0</v>
      </c>
      <c r="J125" s="71" t="n">
        <f aca="false">MAX(0,I125-I731-I1034-I1337-I1640)</f>
        <v>0</v>
      </c>
      <c r="K125" s="71" t="n">
        <f aca="false">MAX(0,J125-J731-J1034-J1337-J1640)</f>
        <v>0</v>
      </c>
      <c r="L125" s="71" t="n">
        <f aca="false">MAX(0,K125-K731-K1034-K1337-K1640)</f>
        <v>0</v>
      </c>
      <c r="M125" s="71" t="n">
        <f aca="false">MAX(0,L125-L731-L1034-L1337-L1640)</f>
        <v>0</v>
      </c>
    </row>
    <row r="126" customFormat="false" ht="15" hidden="false" customHeight="false" outlineLevel="0" collapsed="false">
      <c r="B126" s="102" t="n">
        <f aca="false">'Loan Tape'!$A122</f>
        <v>0</v>
      </c>
      <c r="C126" s="99" t="n">
        <f aca="false">IF('Loan Tape'!$AN122=0,0,'Loan Tape'!$R122)</f>
        <v>0</v>
      </c>
      <c r="D126" s="99" t="n">
        <f aca="false">MAX(0,C126-C732-C1035-C1338-C1641)</f>
        <v>0</v>
      </c>
      <c r="E126" s="99" t="n">
        <f aca="false">MAX(0,D126-D732-D1035-D1338-D1641)</f>
        <v>0</v>
      </c>
      <c r="F126" s="99" t="n">
        <f aca="false">MAX(0,E126-E732-E1035-E1338-E1641)</f>
        <v>0</v>
      </c>
      <c r="G126" s="99" t="n">
        <f aca="false">MAX(0,F126-F732-F1035-F1338-F1641)</f>
        <v>0</v>
      </c>
      <c r="H126" s="99" t="n">
        <f aca="false">MAX(0,G126-G732-G1035-G1338-G1641)</f>
        <v>0</v>
      </c>
      <c r="I126" s="99" t="n">
        <f aca="false">MAX(0,H126-H732-H1035-H1338-H1641)</f>
        <v>0</v>
      </c>
      <c r="J126" s="99" t="n">
        <f aca="false">MAX(0,I126-I732-I1035-I1338-I1641)</f>
        <v>0</v>
      </c>
      <c r="K126" s="99" t="n">
        <f aca="false">MAX(0,J126-J732-J1035-J1338-J1641)</f>
        <v>0</v>
      </c>
      <c r="L126" s="99" t="n">
        <f aca="false">MAX(0,K126-K732-K1035-K1338-K1641)</f>
        <v>0</v>
      </c>
      <c r="M126" s="99" t="n">
        <f aca="false">MAX(0,L126-L732-L1035-L1338-L1641)</f>
        <v>0</v>
      </c>
    </row>
    <row r="127" customFormat="false" ht="15" hidden="false" customHeight="false" outlineLevel="0" collapsed="false">
      <c r="B127" s="108" t="n">
        <f aca="false">'Loan Tape'!$A123</f>
        <v>0</v>
      </c>
      <c r="C127" s="71" t="n">
        <f aca="false">IF('Loan Tape'!$AN123=0,0,'Loan Tape'!$R123)</f>
        <v>0</v>
      </c>
      <c r="D127" s="71" t="n">
        <f aca="false">MAX(0,C127-C733-C1036-C1339-C1642)</f>
        <v>0</v>
      </c>
      <c r="E127" s="71" t="n">
        <f aca="false">MAX(0,D127-D733-D1036-D1339-D1642)</f>
        <v>0</v>
      </c>
      <c r="F127" s="71" t="n">
        <f aca="false">MAX(0,E127-E733-E1036-E1339-E1642)</f>
        <v>0</v>
      </c>
      <c r="G127" s="71" t="n">
        <f aca="false">MAX(0,F127-F733-F1036-F1339-F1642)</f>
        <v>0</v>
      </c>
      <c r="H127" s="71" t="n">
        <f aca="false">MAX(0,G127-G733-G1036-G1339-G1642)</f>
        <v>0</v>
      </c>
      <c r="I127" s="71" t="n">
        <f aca="false">MAX(0,H127-H733-H1036-H1339-H1642)</f>
        <v>0</v>
      </c>
      <c r="J127" s="71" t="n">
        <f aca="false">MAX(0,I127-I733-I1036-I1339-I1642)</f>
        <v>0</v>
      </c>
      <c r="K127" s="71" t="n">
        <f aca="false">MAX(0,J127-J733-J1036-J1339-J1642)</f>
        <v>0</v>
      </c>
      <c r="L127" s="71" t="n">
        <f aca="false">MAX(0,K127-K733-K1036-K1339-K1642)</f>
        <v>0</v>
      </c>
      <c r="M127" s="71" t="n">
        <f aca="false">MAX(0,L127-L733-L1036-L1339-L1642)</f>
        <v>0</v>
      </c>
    </row>
    <row r="128" customFormat="false" ht="15" hidden="false" customHeight="false" outlineLevel="0" collapsed="false">
      <c r="B128" s="102" t="n">
        <f aca="false">'Loan Tape'!$A124</f>
        <v>0</v>
      </c>
      <c r="C128" s="99" t="n">
        <f aca="false">IF('Loan Tape'!$AN124=0,0,'Loan Tape'!$R124)</f>
        <v>0</v>
      </c>
      <c r="D128" s="99" t="n">
        <f aca="false">MAX(0,C128-C734-C1037-C1340-C1643)</f>
        <v>0</v>
      </c>
      <c r="E128" s="99" t="n">
        <f aca="false">MAX(0,D128-D734-D1037-D1340-D1643)</f>
        <v>0</v>
      </c>
      <c r="F128" s="99" t="n">
        <f aca="false">MAX(0,E128-E734-E1037-E1340-E1643)</f>
        <v>0</v>
      </c>
      <c r="G128" s="99" t="n">
        <f aca="false">MAX(0,F128-F734-F1037-F1340-F1643)</f>
        <v>0</v>
      </c>
      <c r="H128" s="99" t="n">
        <f aca="false">MAX(0,G128-G734-G1037-G1340-G1643)</f>
        <v>0</v>
      </c>
      <c r="I128" s="99" t="n">
        <f aca="false">MAX(0,H128-H734-H1037-H1340-H1643)</f>
        <v>0</v>
      </c>
      <c r="J128" s="99" t="n">
        <f aca="false">MAX(0,I128-I734-I1037-I1340-I1643)</f>
        <v>0</v>
      </c>
      <c r="K128" s="99" t="n">
        <f aca="false">MAX(0,J128-J734-J1037-J1340-J1643)</f>
        <v>0</v>
      </c>
      <c r="L128" s="99" t="n">
        <f aca="false">MAX(0,K128-K734-K1037-K1340-K1643)</f>
        <v>0</v>
      </c>
      <c r="M128" s="99" t="n">
        <f aca="false">MAX(0,L128-L734-L1037-L1340-L1643)</f>
        <v>0</v>
      </c>
    </row>
    <row r="129" customFormat="false" ht="15" hidden="false" customHeight="false" outlineLevel="0" collapsed="false">
      <c r="B129" s="108" t="n">
        <f aca="false">'Loan Tape'!$A125</f>
        <v>0</v>
      </c>
      <c r="C129" s="71" t="n">
        <f aca="false">IF('Loan Tape'!$AN125=0,0,'Loan Tape'!$R125)</f>
        <v>0</v>
      </c>
      <c r="D129" s="71" t="n">
        <f aca="false">MAX(0,C129-C735-C1038-C1341-C1644)</f>
        <v>0</v>
      </c>
      <c r="E129" s="71" t="n">
        <f aca="false">MAX(0,D129-D735-D1038-D1341-D1644)</f>
        <v>0</v>
      </c>
      <c r="F129" s="71" t="n">
        <f aca="false">MAX(0,E129-E735-E1038-E1341-E1644)</f>
        <v>0</v>
      </c>
      <c r="G129" s="71" t="n">
        <f aca="false">MAX(0,F129-F735-F1038-F1341-F1644)</f>
        <v>0</v>
      </c>
      <c r="H129" s="71" t="n">
        <f aca="false">MAX(0,G129-G735-G1038-G1341-G1644)</f>
        <v>0</v>
      </c>
      <c r="I129" s="71" t="n">
        <f aca="false">MAX(0,H129-H735-H1038-H1341-H1644)</f>
        <v>0</v>
      </c>
      <c r="J129" s="71" t="n">
        <f aca="false">MAX(0,I129-I735-I1038-I1341-I1644)</f>
        <v>0</v>
      </c>
      <c r="K129" s="71" t="n">
        <f aca="false">MAX(0,J129-J735-J1038-J1341-J1644)</f>
        <v>0</v>
      </c>
      <c r="L129" s="71" t="n">
        <f aca="false">MAX(0,K129-K735-K1038-K1341-K1644)</f>
        <v>0</v>
      </c>
      <c r="M129" s="71" t="n">
        <f aca="false">MAX(0,L129-L735-L1038-L1341-L1644)</f>
        <v>0</v>
      </c>
    </row>
    <row r="130" customFormat="false" ht="15" hidden="false" customHeight="false" outlineLevel="0" collapsed="false">
      <c r="B130" s="102" t="n">
        <f aca="false">'Loan Tape'!$A126</f>
        <v>0</v>
      </c>
      <c r="C130" s="99" t="n">
        <f aca="false">IF('Loan Tape'!$AN126=0,0,'Loan Tape'!$R126)</f>
        <v>0</v>
      </c>
      <c r="D130" s="99" t="n">
        <f aca="false">MAX(0,C130-C736-C1039-C1342-C1645)</f>
        <v>0</v>
      </c>
      <c r="E130" s="99" t="n">
        <f aca="false">MAX(0,D130-D736-D1039-D1342-D1645)</f>
        <v>0</v>
      </c>
      <c r="F130" s="99" t="n">
        <f aca="false">MAX(0,E130-E736-E1039-E1342-E1645)</f>
        <v>0</v>
      </c>
      <c r="G130" s="99" t="n">
        <f aca="false">MAX(0,F130-F736-F1039-F1342-F1645)</f>
        <v>0</v>
      </c>
      <c r="H130" s="99" t="n">
        <f aca="false">MAX(0,G130-G736-G1039-G1342-G1645)</f>
        <v>0</v>
      </c>
      <c r="I130" s="99" t="n">
        <f aca="false">MAX(0,H130-H736-H1039-H1342-H1645)</f>
        <v>0</v>
      </c>
      <c r="J130" s="99" t="n">
        <f aca="false">MAX(0,I130-I736-I1039-I1342-I1645)</f>
        <v>0</v>
      </c>
      <c r="K130" s="99" t="n">
        <f aca="false">MAX(0,J130-J736-J1039-J1342-J1645)</f>
        <v>0</v>
      </c>
      <c r="L130" s="99" t="n">
        <f aca="false">MAX(0,K130-K736-K1039-K1342-K1645)</f>
        <v>0</v>
      </c>
      <c r="M130" s="99" t="n">
        <f aca="false">MAX(0,L130-L736-L1039-L1342-L1645)</f>
        <v>0</v>
      </c>
    </row>
    <row r="131" customFormat="false" ht="15" hidden="false" customHeight="false" outlineLevel="0" collapsed="false">
      <c r="B131" s="108" t="n">
        <f aca="false">'Loan Tape'!$A127</f>
        <v>0</v>
      </c>
      <c r="C131" s="71" t="n">
        <f aca="false">IF('Loan Tape'!$AN127=0,0,'Loan Tape'!$R127)</f>
        <v>0</v>
      </c>
      <c r="D131" s="71" t="n">
        <f aca="false">MAX(0,C131-C737-C1040-C1343-C1646)</f>
        <v>0</v>
      </c>
      <c r="E131" s="71" t="n">
        <f aca="false">MAX(0,D131-D737-D1040-D1343-D1646)</f>
        <v>0</v>
      </c>
      <c r="F131" s="71" t="n">
        <f aca="false">MAX(0,E131-E737-E1040-E1343-E1646)</f>
        <v>0</v>
      </c>
      <c r="G131" s="71" t="n">
        <f aca="false">MAX(0,F131-F737-F1040-F1343-F1646)</f>
        <v>0</v>
      </c>
      <c r="H131" s="71" t="n">
        <f aca="false">MAX(0,G131-G737-G1040-G1343-G1646)</f>
        <v>0</v>
      </c>
      <c r="I131" s="71" t="n">
        <f aca="false">MAX(0,H131-H737-H1040-H1343-H1646)</f>
        <v>0</v>
      </c>
      <c r="J131" s="71" t="n">
        <f aca="false">MAX(0,I131-I737-I1040-I1343-I1646)</f>
        <v>0</v>
      </c>
      <c r="K131" s="71" t="n">
        <f aca="false">MAX(0,J131-J737-J1040-J1343-J1646)</f>
        <v>0</v>
      </c>
      <c r="L131" s="71" t="n">
        <f aca="false">MAX(0,K131-K737-K1040-K1343-K1646)</f>
        <v>0</v>
      </c>
      <c r="M131" s="71" t="n">
        <f aca="false">MAX(0,L131-L737-L1040-L1343-L1646)</f>
        <v>0</v>
      </c>
    </row>
    <row r="132" customFormat="false" ht="15" hidden="false" customHeight="false" outlineLevel="0" collapsed="false">
      <c r="B132" s="102" t="n">
        <f aca="false">'Loan Tape'!$A128</f>
        <v>0</v>
      </c>
      <c r="C132" s="99" t="n">
        <f aca="false">IF('Loan Tape'!$AN128=0,0,'Loan Tape'!$R128)</f>
        <v>0</v>
      </c>
      <c r="D132" s="99" t="n">
        <f aca="false">MAX(0,C132-C738-C1041-C1344-C1647)</f>
        <v>0</v>
      </c>
      <c r="E132" s="99" t="n">
        <f aca="false">MAX(0,D132-D738-D1041-D1344-D1647)</f>
        <v>0</v>
      </c>
      <c r="F132" s="99" t="n">
        <f aca="false">MAX(0,E132-E738-E1041-E1344-E1647)</f>
        <v>0</v>
      </c>
      <c r="G132" s="99" t="n">
        <f aca="false">MAX(0,F132-F738-F1041-F1344-F1647)</f>
        <v>0</v>
      </c>
      <c r="H132" s="99" t="n">
        <f aca="false">MAX(0,G132-G738-G1041-G1344-G1647)</f>
        <v>0</v>
      </c>
      <c r="I132" s="99" t="n">
        <f aca="false">MAX(0,H132-H738-H1041-H1344-H1647)</f>
        <v>0</v>
      </c>
      <c r="J132" s="99" t="n">
        <f aca="false">MAX(0,I132-I738-I1041-I1344-I1647)</f>
        <v>0</v>
      </c>
      <c r="K132" s="99" t="n">
        <f aca="false">MAX(0,J132-J738-J1041-J1344-J1647)</f>
        <v>0</v>
      </c>
      <c r="L132" s="99" t="n">
        <f aca="false">MAX(0,K132-K738-K1041-K1344-K1647)</f>
        <v>0</v>
      </c>
      <c r="M132" s="99" t="n">
        <f aca="false">MAX(0,L132-L738-L1041-L1344-L1647)</f>
        <v>0</v>
      </c>
    </row>
    <row r="133" customFormat="false" ht="15" hidden="false" customHeight="false" outlineLevel="0" collapsed="false">
      <c r="B133" s="108" t="n">
        <f aca="false">'Loan Tape'!$A129</f>
        <v>0</v>
      </c>
      <c r="C133" s="71" t="n">
        <f aca="false">IF('Loan Tape'!$AN129=0,0,'Loan Tape'!$R129)</f>
        <v>0</v>
      </c>
      <c r="D133" s="71" t="n">
        <f aca="false">MAX(0,C133-C739-C1042-C1345-C1648)</f>
        <v>0</v>
      </c>
      <c r="E133" s="71" t="n">
        <f aca="false">MAX(0,D133-D739-D1042-D1345-D1648)</f>
        <v>0</v>
      </c>
      <c r="F133" s="71" t="n">
        <f aca="false">MAX(0,E133-E739-E1042-E1345-E1648)</f>
        <v>0</v>
      </c>
      <c r="G133" s="71" t="n">
        <f aca="false">MAX(0,F133-F739-F1042-F1345-F1648)</f>
        <v>0</v>
      </c>
      <c r="H133" s="71" t="n">
        <f aca="false">MAX(0,G133-G739-G1042-G1345-G1648)</f>
        <v>0</v>
      </c>
      <c r="I133" s="71" t="n">
        <f aca="false">MAX(0,H133-H739-H1042-H1345-H1648)</f>
        <v>0</v>
      </c>
      <c r="J133" s="71" t="n">
        <f aca="false">MAX(0,I133-I739-I1042-I1345-I1648)</f>
        <v>0</v>
      </c>
      <c r="K133" s="71" t="n">
        <f aca="false">MAX(0,J133-J739-J1042-J1345-J1648)</f>
        <v>0</v>
      </c>
      <c r="L133" s="71" t="n">
        <f aca="false">MAX(0,K133-K739-K1042-K1345-K1648)</f>
        <v>0</v>
      </c>
      <c r="M133" s="71" t="n">
        <f aca="false">MAX(0,L133-L739-L1042-L1345-L1648)</f>
        <v>0</v>
      </c>
    </row>
    <row r="134" customFormat="false" ht="15" hidden="false" customHeight="false" outlineLevel="0" collapsed="false">
      <c r="B134" s="102" t="n">
        <f aca="false">'Loan Tape'!$A130</f>
        <v>0</v>
      </c>
      <c r="C134" s="99" t="n">
        <f aca="false">IF('Loan Tape'!$AN130=0,0,'Loan Tape'!$R130)</f>
        <v>0</v>
      </c>
      <c r="D134" s="99" t="n">
        <f aca="false">MAX(0,C134-C740-C1043-C1346-C1649)</f>
        <v>0</v>
      </c>
      <c r="E134" s="99" t="n">
        <f aca="false">MAX(0,D134-D740-D1043-D1346-D1649)</f>
        <v>0</v>
      </c>
      <c r="F134" s="99" t="n">
        <f aca="false">MAX(0,E134-E740-E1043-E1346-E1649)</f>
        <v>0</v>
      </c>
      <c r="G134" s="99" t="n">
        <f aca="false">MAX(0,F134-F740-F1043-F1346-F1649)</f>
        <v>0</v>
      </c>
      <c r="H134" s="99" t="n">
        <f aca="false">MAX(0,G134-G740-G1043-G1346-G1649)</f>
        <v>0</v>
      </c>
      <c r="I134" s="99" t="n">
        <f aca="false">MAX(0,H134-H740-H1043-H1346-H1649)</f>
        <v>0</v>
      </c>
      <c r="J134" s="99" t="n">
        <f aca="false">MAX(0,I134-I740-I1043-I1346-I1649)</f>
        <v>0</v>
      </c>
      <c r="K134" s="99" t="n">
        <f aca="false">MAX(0,J134-J740-J1043-J1346-J1649)</f>
        <v>0</v>
      </c>
      <c r="L134" s="99" t="n">
        <f aca="false">MAX(0,K134-K740-K1043-K1346-K1649)</f>
        <v>0</v>
      </c>
      <c r="M134" s="99" t="n">
        <f aca="false">MAX(0,L134-L740-L1043-L1346-L1649)</f>
        <v>0</v>
      </c>
    </row>
    <row r="135" customFormat="false" ht="15" hidden="false" customHeight="false" outlineLevel="0" collapsed="false">
      <c r="B135" s="108" t="n">
        <f aca="false">'Loan Tape'!$A131</f>
        <v>0</v>
      </c>
      <c r="C135" s="71" t="n">
        <f aca="false">IF('Loan Tape'!$AN131=0,0,'Loan Tape'!$R131)</f>
        <v>0</v>
      </c>
      <c r="D135" s="71" t="n">
        <f aca="false">MAX(0,C135-C741-C1044-C1347-C1650)</f>
        <v>0</v>
      </c>
      <c r="E135" s="71" t="n">
        <f aca="false">MAX(0,D135-D741-D1044-D1347-D1650)</f>
        <v>0</v>
      </c>
      <c r="F135" s="71" t="n">
        <f aca="false">MAX(0,E135-E741-E1044-E1347-E1650)</f>
        <v>0</v>
      </c>
      <c r="G135" s="71" t="n">
        <f aca="false">MAX(0,F135-F741-F1044-F1347-F1650)</f>
        <v>0</v>
      </c>
      <c r="H135" s="71" t="n">
        <f aca="false">MAX(0,G135-G741-G1044-G1347-G1650)</f>
        <v>0</v>
      </c>
      <c r="I135" s="71" t="n">
        <f aca="false">MAX(0,H135-H741-H1044-H1347-H1650)</f>
        <v>0</v>
      </c>
      <c r="J135" s="71" t="n">
        <f aca="false">MAX(0,I135-I741-I1044-I1347-I1650)</f>
        <v>0</v>
      </c>
      <c r="K135" s="71" t="n">
        <f aca="false">MAX(0,J135-J741-J1044-J1347-J1650)</f>
        <v>0</v>
      </c>
      <c r="L135" s="71" t="n">
        <f aca="false">MAX(0,K135-K741-K1044-K1347-K1650)</f>
        <v>0</v>
      </c>
      <c r="M135" s="71" t="n">
        <f aca="false">MAX(0,L135-L741-L1044-L1347-L1650)</f>
        <v>0</v>
      </c>
    </row>
    <row r="136" customFormat="false" ht="15" hidden="false" customHeight="false" outlineLevel="0" collapsed="false">
      <c r="B136" s="102" t="n">
        <f aca="false">'Loan Tape'!$A132</f>
        <v>0</v>
      </c>
      <c r="C136" s="99" t="n">
        <f aca="false">IF('Loan Tape'!$AN132=0,0,'Loan Tape'!$R132)</f>
        <v>0</v>
      </c>
      <c r="D136" s="99" t="n">
        <f aca="false">MAX(0,C136-C742-C1045-C1348-C1651)</f>
        <v>0</v>
      </c>
      <c r="E136" s="99" t="n">
        <f aca="false">MAX(0,D136-D742-D1045-D1348-D1651)</f>
        <v>0</v>
      </c>
      <c r="F136" s="99" t="n">
        <f aca="false">MAX(0,E136-E742-E1045-E1348-E1651)</f>
        <v>0</v>
      </c>
      <c r="G136" s="99" t="n">
        <f aca="false">MAX(0,F136-F742-F1045-F1348-F1651)</f>
        <v>0</v>
      </c>
      <c r="H136" s="99" t="n">
        <f aca="false">MAX(0,G136-G742-G1045-G1348-G1651)</f>
        <v>0</v>
      </c>
      <c r="I136" s="99" t="n">
        <f aca="false">MAX(0,H136-H742-H1045-H1348-H1651)</f>
        <v>0</v>
      </c>
      <c r="J136" s="99" t="n">
        <f aca="false">MAX(0,I136-I742-I1045-I1348-I1651)</f>
        <v>0</v>
      </c>
      <c r="K136" s="99" t="n">
        <f aca="false">MAX(0,J136-J742-J1045-J1348-J1651)</f>
        <v>0</v>
      </c>
      <c r="L136" s="99" t="n">
        <f aca="false">MAX(0,K136-K742-K1045-K1348-K1651)</f>
        <v>0</v>
      </c>
      <c r="M136" s="99" t="n">
        <f aca="false">MAX(0,L136-L742-L1045-L1348-L1651)</f>
        <v>0</v>
      </c>
    </row>
    <row r="137" customFormat="false" ht="15" hidden="false" customHeight="false" outlineLevel="0" collapsed="false">
      <c r="B137" s="108" t="n">
        <f aca="false">'Loan Tape'!$A133</f>
        <v>0</v>
      </c>
      <c r="C137" s="71" t="n">
        <f aca="false">IF('Loan Tape'!$AN133=0,0,'Loan Tape'!$R133)</f>
        <v>0</v>
      </c>
      <c r="D137" s="71" t="n">
        <f aca="false">MAX(0,C137-C743-C1046-C1349-C1652)</f>
        <v>0</v>
      </c>
      <c r="E137" s="71" t="n">
        <f aca="false">MAX(0,D137-D743-D1046-D1349-D1652)</f>
        <v>0</v>
      </c>
      <c r="F137" s="71" t="n">
        <f aca="false">MAX(0,E137-E743-E1046-E1349-E1652)</f>
        <v>0</v>
      </c>
      <c r="G137" s="71" t="n">
        <f aca="false">MAX(0,F137-F743-F1046-F1349-F1652)</f>
        <v>0</v>
      </c>
      <c r="H137" s="71" t="n">
        <f aca="false">MAX(0,G137-G743-G1046-G1349-G1652)</f>
        <v>0</v>
      </c>
      <c r="I137" s="71" t="n">
        <f aca="false">MAX(0,H137-H743-H1046-H1349-H1652)</f>
        <v>0</v>
      </c>
      <c r="J137" s="71" t="n">
        <f aca="false">MAX(0,I137-I743-I1046-I1349-I1652)</f>
        <v>0</v>
      </c>
      <c r="K137" s="71" t="n">
        <f aca="false">MAX(0,J137-J743-J1046-J1349-J1652)</f>
        <v>0</v>
      </c>
      <c r="L137" s="71" t="n">
        <f aca="false">MAX(0,K137-K743-K1046-K1349-K1652)</f>
        <v>0</v>
      </c>
      <c r="M137" s="71" t="n">
        <f aca="false">MAX(0,L137-L743-L1046-L1349-L1652)</f>
        <v>0</v>
      </c>
    </row>
    <row r="138" customFormat="false" ht="15" hidden="false" customHeight="false" outlineLevel="0" collapsed="false">
      <c r="B138" s="102" t="n">
        <f aca="false">'Loan Tape'!$A134</f>
        <v>0</v>
      </c>
      <c r="C138" s="99" t="n">
        <f aca="false">IF('Loan Tape'!$AN134=0,0,'Loan Tape'!$R134)</f>
        <v>0</v>
      </c>
      <c r="D138" s="99" t="n">
        <f aca="false">MAX(0,C138-C744-C1047-C1350-C1653)</f>
        <v>0</v>
      </c>
      <c r="E138" s="99" t="n">
        <f aca="false">MAX(0,D138-D744-D1047-D1350-D1653)</f>
        <v>0</v>
      </c>
      <c r="F138" s="99" t="n">
        <f aca="false">MAX(0,E138-E744-E1047-E1350-E1653)</f>
        <v>0</v>
      </c>
      <c r="G138" s="99" t="n">
        <f aca="false">MAX(0,F138-F744-F1047-F1350-F1653)</f>
        <v>0</v>
      </c>
      <c r="H138" s="99" t="n">
        <f aca="false">MAX(0,G138-G744-G1047-G1350-G1653)</f>
        <v>0</v>
      </c>
      <c r="I138" s="99" t="n">
        <f aca="false">MAX(0,H138-H744-H1047-H1350-H1653)</f>
        <v>0</v>
      </c>
      <c r="J138" s="99" t="n">
        <f aca="false">MAX(0,I138-I744-I1047-I1350-I1653)</f>
        <v>0</v>
      </c>
      <c r="K138" s="99" t="n">
        <f aca="false">MAX(0,J138-J744-J1047-J1350-J1653)</f>
        <v>0</v>
      </c>
      <c r="L138" s="99" t="n">
        <f aca="false">MAX(0,K138-K744-K1047-K1350-K1653)</f>
        <v>0</v>
      </c>
      <c r="M138" s="99" t="n">
        <f aca="false">MAX(0,L138-L744-L1047-L1350-L1653)</f>
        <v>0</v>
      </c>
    </row>
    <row r="139" customFormat="false" ht="15" hidden="false" customHeight="false" outlineLevel="0" collapsed="false">
      <c r="B139" s="108" t="n">
        <f aca="false">'Loan Tape'!$A135</f>
        <v>0</v>
      </c>
      <c r="C139" s="71" t="n">
        <f aca="false">IF('Loan Tape'!$AN135=0,0,'Loan Tape'!$R135)</f>
        <v>0</v>
      </c>
      <c r="D139" s="71" t="n">
        <f aca="false">MAX(0,C139-C745-C1048-C1351-C1654)</f>
        <v>0</v>
      </c>
      <c r="E139" s="71" t="n">
        <f aca="false">MAX(0,D139-D745-D1048-D1351-D1654)</f>
        <v>0</v>
      </c>
      <c r="F139" s="71" t="n">
        <f aca="false">MAX(0,E139-E745-E1048-E1351-E1654)</f>
        <v>0</v>
      </c>
      <c r="G139" s="71" t="n">
        <f aca="false">MAX(0,F139-F745-F1048-F1351-F1654)</f>
        <v>0</v>
      </c>
      <c r="H139" s="71" t="n">
        <f aca="false">MAX(0,G139-G745-G1048-G1351-G1654)</f>
        <v>0</v>
      </c>
      <c r="I139" s="71" t="n">
        <f aca="false">MAX(0,H139-H745-H1048-H1351-H1654)</f>
        <v>0</v>
      </c>
      <c r="J139" s="71" t="n">
        <f aca="false">MAX(0,I139-I745-I1048-I1351-I1654)</f>
        <v>0</v>
      </c>
      <c r="K139" s="71" t="n">
        <f aca="false">MAX(0,J139-J745-J1048-J1351-J1654)</f>
        <v>0</v>
      </c>
      <c r="L139" s="71" t="n">
        <f aca="false">MAX(0,K139-K745-K1048-K1351-K1654)</f>
        <v>0</v>
      </c>
      <c r="M139" s="71" t="n">
        <f aca="false">MAX(0,L139-L745-L1048-L1351-L1654)</f>
        <v>0</v>
      </c>
    </row>
    <row r="140" customFormat="false" ht="15" hidden="false" customHeight="false" outlineLevel="0" collapsed="false">
      <c r="B140" s="102" t="n">
        <f aca="false">'Loan Tape'!$A136</f>
        <v>0</v>
      </c>
      <c r="C140" s="99" t="n">
        <f aca="false">IF('Loan Tape'!$AN136=0,0,'Loan Tape'!$R136)</f>
        <v>0</v>
      </c>
      <c r="D140" s="99" t="n">
        <f aca="false">MAX(0,C140-C746-C1049-C1352-C1655)</f>
        <v>0</v>
      </c>
      <c r="E140" s="99" t="n">
        <f aca="false">MAX(0,D140-D746-D1049-D1352-D1655)</f>
        <v>0</v>
      </c>
      <c r="F140" s="99" t="n">
        <f aca="false">MAX(0,E140-E746-E1049-E1352-E1655)</f>
        <v>0</v>
      </c>
      <c r="G140" s="99" t="n">
        <f aca="false">MAX(0,F140-F746-F1049-F1352-F1655)</f>
        <v>0</v>
      </c>
      <c r="H140" s="99" t="n">
        <f aca="false">MAX(0,G140-G746-G1049-G1352-G1655)</f>
        <v>0</v>
      </c>
      <c r="I140" s="99" t="n">
        <f aca="false">MAX(0,H140-H746-H1049-H1352-H1655)</f>
        <v>0</v>
      </c>
      <c r="J140" s="99" t="n">
        <f aca="false">MAX(0,I140-I746-I1049-I1352-I1655)</f>
        <v>0</v>
      </c>
      <c r="K140" s="99" t="n">
        <f aca="false">MAX(0,J140-J746-J1049-J1352-J1655)</f>
        <v>0</v>
      </c>
      <c r="L140" s="99" t="n">
        <f aca="false">MAX(0,K140-K746-K1049-K1352-K1655)</f>
        <v>0</v>
      </c>
      <c r="M140" s="99" t="n">
        <f aca="false">MAX(0,L140-L746-L1049-L1352-L1655)</f>
        <v>0</v>
      </c>
    </row>
    <row r="141" customFormat="false" ht="15" hidden="false" customHeight="false" outlineLevel="0" collapsed="false">
      <c r="B141" s="108" t="n">
        <f aca="false">'Loan Tape'!$A137</f>
        <v>0</v>
      </c>
      <c r="C141" s="71" t="n">
        <f aca="false">IF('Loan Tape'!$AN137=0,0,'Loan Tape'!$R137)</f>
        <v>0</v>
      </c>
      <c r="D141" s="71" t="n">
        <f aca="false">MAX(0,C141-C747-C1050-C1353-C1656)</f>
        <v>0</v>
      </c>
      <c r="E141" s="71" t="n">
        <f aca="false">MAX(0,D141-D747-D1050-D1353-D1656)</f>
        <v>0</v>
      </c>
      <c r="F141" s="71" t="n">
        <f aca="false">MAX(0,E141-E747-E1050-E1353-E1656)</f>
        <v>0</v>
      </c>
      <c r="G141" s="71" t="n">
        <f aca="false">MAX(0,F141-F747-F1050-F1353-F1656)</f>
        <v>0</v>
      </c>
      <c r="H141" s="71" t="n">
        <f aca="false">MAX(0,G141-G747-G1050-G1353-G1656)</f>
        <v>0</v>
      </c>
      <c r="I141" s="71" t="n">
        <f aca="false">MAX(0,H141-H747-H1050-H1353-H1656)</f>
        <v>0</v>
      </c>
      <c r="J141" s="71" t="n">
        <f aca="false">MAX(0,I141-I747-I1050-I1353-I1656)</f>
        <v>0</v>
      </c>
      <c r="K141" s="71" t="n">
        <f aca="false">MAX(0,J141-J747-J1050-J1353-J1656)</f>
        <v>0</v>
      </c>
      <c r="L141" s="71" t="n">
        <f aca="false">MAX(0,K141-K747-K1050-K1353-K1656)</f>
        <v>0</v>
      </c>
      <c r="M141" s="71" t="n">
        <f aca="false">MAX(0,L141-L747-L1050-L1353-L1656)</f>
        <v>0</v>
      </c>
    </row>
    <row r="142" customFormat="false" ht="15" hidden="false" customHeight="false" outlineLevel="0" collapsed="false">
      <c r="B142" s="102" t="n">
        <f aca="false">'Loan Tape'!$A138</f>
        <v>0</v>
      </c>
      <c r="C142" s="99" t="n">
        <f aca="false">IF('Loan Tape'!$AN138=0,0,'Loan Tape'!$R138)</f>
        <v>0</v>
      </c>
      <c r="D142" s="99" t="n">
        <f aca="false">MAX(0,C142-C748-C1051-C1354-C1657)</f>
        <v>0</v>
      </c>
      <c r="E142" s="99" t="n">
        <f aca="false">MAX(0,D142-D748-D1051-D1354-D1657)</f>
        <v>0</v>
      </c>
      <c r="F142" s="99" t="n">
        <f aca="false">MAX(0,E142-E748-E1051-E1354-E1657)</f>
        <v>0</v>
      </c>
      <c r="G142" s="99" t="n">
        <f aca="false">MAX(0,F142-F748-F1051-F1354-F1657)</f>
        <v>0</v>
      </c>
      <c r="H142" s="99" t="n">
        <f aca="false">MAX(0,G142-G748-G1051-G1354-G1657)</f>
        <v>0</v>
      </c>
      <c r="I142" s="99" t="n">
        <f aca="false">MAX(0,H142-H748-H1051-H1354-H1657)</f>
        <v>0</v>
      </c>
      <c r="J142" s="99" t="n">
        <f aca="false">MAX(0,I142-I748-I1051-I1354-I1657)</f>
        <v>0</v>
      </c>
      <c r="K142" s="99" t="n">
        <f aca="false">MAX(0,J142-J748-J1051-J1354-J1657)</f>
        <v>0</v>
      </c>
      <c r="L142" s="99" t="n">
        <f aca="false">MAX(0,K142-K748-K1051-K1354-K1657)</f>
        <v>0</v>
      </c>
      <c r="M142" s="99" t="n">
        <f aca="false">MAX(0,L142-L748-L1051-L1354-L1657)</f>
        <v>0</v>
      </c>
    </row>
    <row r="143" customFormat="false" ht="15" hidden="false" customHeight="false" outlineLevel="0" collapsed="false">
      <c r="B143" s="108" t="n">
        <f aca="false">'Loan Tape'!$A139</f>
        <v>0</v>
      </c>
      <c r="C143" s="71" t="n">
        <f aca="false">IF('Loan Tape'!$AN139=0,0,'Loan Tape'!$R139)</f>
        <v>0</v>
      </c>
      <c r="D143" s="71" t="n">
        <f aca="false">MAX(0,C143-C749-C1052-C1355-C1658)</f>
        <v>0</v>
      </c>
      <c r="E143" s="71" t="n">
        <f aca="false">MAX(0,D143-D749-D1052-D1355-D1658)</f>
        <v>0</v>
      </c>
      <c r="F143" s="71" t="n">
        <f aca="false">MAX(0,E143-E749-E1052-E1355-E1658)</f>
        <v>0</v>
      </c>
      <c r="G143" s="71" t="n">
        <f aca="false">MAX(0,F143-F749-F1052-F1355-F1658)</f>
        <v>0</v>
      </c>
      <c r="H143" s="71" t="n">
        <f aca="false">MAX(0,G143-G749-G1052-G1355-G1658)</f>
        <v>0</v>
      </c>
      <c r="I143" s="71" t="n">
        <f aca="false">MAX(0,H143-H749-H1052-H1355-H1658)</f>
        <v>0</v>
      </c>
      <c r="J143" s="71" t="n">
        <f aca="false">MAX(0,I143-I749-I1052-I1355-I1658)</f>
        <v>0</v>
      </c>
      <c r="K143" s="71" t="n">
        <f aca="false">MAX(0,J143-J749-J1052-J1355-J1658)</f>
        <v>0</v>
      </c>
      <c r="L143" s="71" t="n">
        <f aca="false">MAX(0,K143-K749-K1052-K1355-K1658)</f>
        <v>0</v>
      </c>
      <c r="M143" s="71" t="n">
        <f aca="false">MAX(0,L143-L749-L1052-L1355-L1658)</f>
        <v>0</v>
      </c>
    </row>
    <row r="144" customFormat="false" ht="15" hidden="false" customHeight="false" outlineLevel="0" collapsed="false">
      <c r="B144" s="102" t="n">
        <f aca="false">'Loan Tape'!$A140</f>
        <v>0</v>
      </c>
      <c r="C144" s="99" t="n">
        <f aca="false">IF('Loan Tape'!$AN140=0,0,'Loan Tape'!$R140)</f>
        <v>0</v>
      </c>
      <c r="D144" s="99" t="n">
        <f aca="false">MAX(0,C144-C750-C1053-C1356-C1659)</f>
        <v>0</v>
      </c>
      <c r="E144" s="99" t="n">
        <f aca="false">MAX(0,D144-D750-D1053-D1356-D1659)</f>
        <v>0</v>
      </c>
      <c r="F144" s="99" t="n">
        <f aca="false">MAX(0,E144-E750-E1053-E1356-E1659)</f>
        <v>0</v>
      </c>
      <c r="G144" s="99" t="n">
        <f aca="false">MAX(0,F144-F750-F1053-F1356-F1659)</f>
        <v>0</v>
      </c>
      <c r="H144" s="99" t="n">
        <f aca="false">MAX(0,G144-G750-G1053-G1356-G1659)</f>
        <v>0</v>
      </c>
      <c r="I144" s="99" t="n">
        <f aca="false">MAX(0,H144-H750-H1053-H1356-H1659)</f>
        <v>0</v>
      </c>
      <c r="J144" s="99" t="n">
        <f aca="false">MAX(0,I144-I750-I1053-I1356-I1659)</f>
        <v>0</v>
      </c>
      <c r="K144" s="99" t="n">
        <f aca="false">MAX(0,J144-J750-J1053-J1356-J1659)</f>
        <v>0</v>
      </c>
      <c r="L144" s="99" t="n">
        <f aca="false">MAX(0,K144-K750-K1053-K1356-K1659)</f>
        <v>0</v>
      </c>
      <c r="M144" s="99" t="n">
        <f aca="false">MAX(0,L144-L750-L1053-L1356-L1659)</f>
        <v>0</v>
      </c>
    </row>
    <row r="145" customFormat="false" ht="15" hidden="false" customHeight="false" outlineLevel="0" collapsed="false">
      <c r="B145" s="108" t="n">
        <f aca="false">'Loan Tape'!$A141</f>
        <v>0</v>
      </c>
      <c r="C145" s="71" t="n">
        <f aca="false">IF('Loan Tape'!$AN141=0,0,'Loan Tape'!$R141)</f>
        <v>0</v>
      </c>
      <c r="D145" s="71" t="n">
        <f aca="false">MAX(0,C145-C751-C1054-C1357-C1660)</f>
        <v>0</v>
      </c>
      <c r="E145" s="71" t="n">
        <f aca="false">MAX(0,D145-D751-D1054-D1357-D1660)</f>
        <v>0</v>
      </c>
      <c r="F145" s="71" t="n">
        <f aca="false">MAX(0,E145-E751-E1054-E1357-E1660)</f>
        <v>0</v>
      </c>
      <c r="G145" s="71" t="n">
        <f aca="false">MAX(0,F145-F751-F1054-F1357-F1660)</f>
        <v>0</v>
      </c>
      <c r="H145" s="71" t="n">
        <f aca="false">MAX(0,G145-G751-G1054-G1357-G1660)</f>
        <v>0</v>
      </c>
      <c r="I145" s="71" t="n">
        <f aca="false">MAX(0,H145-H751-H1054-H1357-H1660)</f>
        <v>0</v>
      </c>
      <c r="J145" s="71" t="n">
        <f aca="false">MAX(0,I145-I751-I1054-I1357-I1660)</f>
        <v>0</v>
      </c>
      <c r="K145" s="71" t="n">
        <f aca="false">MAX(0,J145-J751-J1054-J1357-J1660)</f>
        <v>0</v>
      </c>
      <c r="L145" s="71" t="n">
        <f aca="false">MAX(0,K145-K751-K1054-K1357-K1660)</f>
        <v>0</v>
      </c>
      <c r="M145" s="71" t="n">
        <f aca="false">MAX(0,L145-L751-L1054-L1357-L1660)</f>
        <v>0</v>
      </c>
    </row>
    <row r="146" customFormat="false" ht="15" hidden="false" customHeight="false" outlineLevel="0" collapsed="false">
      <c r="B146" s="102" t="n">
        <f aca="false">'Loan Tape'!$A142</f>
        <v>0</v>
      </c>
      <c r="C146" s="99" t="n">
        <f aca="false">IF('Loan Tape'!$AN142=0,0,'Loan Tape'!$R142)</f>
        <v>0</v>
      </c>
      <c r="D146" s="99" t="n">
        <f aca="false">MAX(0,C146-C752-C1055-C1358-C1661)</f>
        <v>0</v>
      </c>
      <c r="E146" s="99" t="n">
        <f aca="false">MAX(0,D146-D752-D1055-D1358-D1661)</f>
        <v>0</v>
      </c>
      <c r="F146" s="99" t="n">
        <f aca="false">MAX(0,E146-E752-E1055-E1358-E1661)</f>
        <v>0</v>
      </c>
      <c r="G146" s="99" t="n">
        <f aca="false">MAX(0,F146-F752-F1055-F1358-F1661)</f>
        <v>0</v>
      </c>
      <c r="H146" s="99" t="n">
        <f aca="false">MAX(0,G146-G752-G1055-G1358-G1661)</f>
        <v>0</v>
      </c>
      <c r="I146" s="99" t="n">
        <f aca="false">MAX(0,H146-H752-H1055-H1358-H1661)</f>
        <v>0</v>
      </c>
      <c r="J146" s="99" t="n">
        <f aca="false">MAX(0,I146-I752-I1055-I1358-I1661)</f>
        <v>0</v>
      </c>
      <c r="K146" s="99" t="n">
        <f aca="false">MAX(0,J146-J752-J1055-J1358-J1661)</f>
        <v>0</v>
      </c>
      <c r="L146" s="99" t="n">
        <f aca="false">MAX(0,K146-K752-K1055-K1358-K1661)</f>
        <v>0</v>
      </c>
      <c r="M146" s="99" t="n">
        <f aca="false">MAX(0,L146-L752-L1055-L1358-L1661)</f>
        <v>0</v>
      </c>
    </row>
    <row r="147" customFormat="false" ht="15" hidden="false" customHeight="false" outlineLevel="0" collapsed="false">
      <c r="B147" s="108" t="n">
        <f aca="false">'Loan Tape'!$A143</f>
        <v>0</v>
      </c>
      <c r="C147" s="71" t="n">
        <f aca="false">IF('Loan Tape'!$AN143=0,0,'Loan Tape'!$R143)</f>
        <v>0</v>
      </c>
      <c r="D147" s="71" t="n">
        <f aca="false">MAX(0,C147-C753-C1056-C1359-C1662)</f>
        <v>0</v>
      </c>
      <c r="E147" s="71" t="n">
        <f aca="false">MAX(0,D147-D753-D1056-D1359-D1662)</f>
        <v>0</v>
      </c>
      <c r="F147" s="71" t="n">
        <f aca="false">MAX(0,E147-E753-E1056-E1359-E1662)</f>
        <v>0</v>
      </c>
      <c r="G147" s="71" t="n">
        <f aca="false">MAX(0,F147-F753-F1056-F1359-F1662)</f>
        <v>0</v>
      </c>
      <c r="H147" s="71" t="n">
        <f aca="false">MAX(0,G147-G753-G1056-G1359-G1662)</f>
        <v>0</v>
      </c>
      <c r="I147" s="71" t="n">
        <f aca="false">MAX(0,H147-H753-H1056-H1359-H1662)</f>
        <v>0</v>
      </c>
      <c r="J147" s="71" t="n">
        <f aca="false">MAX(0,I147-I753-I1056-I1359-I1662)</f>
        <v>0</v>
      </c>
      <c r="K147" s="71" t="n">
        <f aca="false">MAX(0,J147-J753-J1056-J1359-J1662)</f>
        <v>0</v>
      </c>
      <c r="L147" s="71" t="n">
        <f aca="false">MAX(0,K147-K753-K1056-K1359-K1662)</f>
        <v>0</v>
      </c>
      <c r="M147" s="71" t="n">
        <f aca="false">MAX(0,L147-L753-L1056-L1359-L1662)</f>
        <v>0</v>
      </c>
    </row>
    <row r="148" customFormat="false" ht="15" hidden="false" customHeight="false" outlineLevel="0" collapsed="false">
      <c r="B148" s="102" t="n">
        <f aca="false">'Loan Tape'!$A144</f>
        <v>0</v>
      </c>
      <c r="C148" s="99" t="n">
        <f aca="false">IF('Loan Tape'!$AN144=0,0,'Loan Tape'!$R144)</f>
        <v>0</v>
      </c>
      <c r="D148" s="99" t="n">
        <f aca="false">MAX(0,C148-C754-C1057-C1360-C1663)</f>
        <v>0</v>
      </c>
      <c r="E148" s="99" t="n">
        <f aca="false">MAX(0,D148-D754-D1057-D1360-D1663)</f>
        <v>0</v>
      </c>
      <c r="F148" s="99" t="n">
        <f aca="false">MAX(0,E148-E754-E1057-E1360-E1663)</f>
        <v>0</v>
      </c>
      <c r="G148" s="99" t="n">
        <f aca="false">MAX(0,F148-F754-F1057-F1360-F1663)</f>
        <v>0</v>
      </c>
      <c r="H148" s="99" t="n">
        <f aca="false">MAX(0,G148-G754-G1057-G1360-G1663)</f>
        <v>0</v>
      </c>
      <c r="I148" s="99" t="n">
        <f aca="false">MAX(0,H148-H754-H1057-H1360-H1663)</f>
        <v>0</v>
      </c>
      <c r="J148" s="99" t="n">
        <f aca="false">MAX(0,I148-I754-I1057-I1360-I1663)</f>
        <v>0</v>
      </c>
      <c r="K148" s="99" t="n">
        <f aca="false">MAX(0,J148-J754-J1057-J1360-J1663)</f>
        <v>0</v>
      </c>
      <c r="L148" s="99" t="n">
        <f aca="false">MAX(0,K148-K754-K1057-K1360-K1663)</f>
        <v>0</v>
      </c>
      <c r="M148" s="99" t="n">
        <f aca="false">MAX(0,L148-L754-L1057-L1360-L1663)</f>
        <v>0</v>
      </c>
    </row>
    <row r="149" customFormat="false" ht="15" hidden="false" customHeight="false" outlineLevel="0" collapsed="false">
      <c r="B149" s="108" t="n">
        <f aca="false">'Loan Tape'!$A145</f>
        <v>0</v>
      </c>
      <c r="C149" s="71" t="n">
        <f aca="false">IF('Loan Tape'!$AN145=0,0,'Loan Tape'!$R145)</f>
        <v>0</v>
      </c>
      <c r="D149" s="71" t="n">
        <f aca="false">MAX(0,C149-C755-C1058-C1361-C1664)</f>
        <v>0</v>
      </c>
      <c r="E149" s="71" t="n">
        <f aca="false">MAX(0,D149-D755-D1058-D1361-D1664)</f>
        <v>0</v>
      </c>
      <c r="F149" s="71" t="n">
        <f aca="false">MAX(0,E149-E755-E1058-E1361-E1664)</f>
        <v>0</v>
      </c>
      <c r="G149" s="71" t="n">
        <f aca="false">MAX(0,F149-F755-F1058-F1361-F1664)</f>
        <v>0</v>
      </c>
      <c r="H149" s="71" t="n">
        <f aca="false">MAX(0,G149-G755-G1058-G1361-G1664)</f>
        <v>0</v>
      </c>
      <c r="I149" s="71" t="n">
        <f aca="false">MAX(0,H149-H755-H1058-H1361-H1664)</f>
        <v>0</v>
      </c>
      <c r="J149" s="71" t="n">
        <f aca="false">MAX(0,I149-I755-I1058-I1361-I1664)</f>
        <v>0</v>
      </c>
      <c r="K149" s="71" t="n">
        <f aca="false">MAX(0,J149-J755-J1058-J1361-J1664)</f>
        <v>0</v>
      </c>
      <c r="L149" s="71" t="n">
        <f aca="false">MAX(0,K149-K755-K1058-K1361-K1664)</f>
        <v>0</v>
      </c>
      <c r="M149" s="71" t="n">
        <f aca="false">MAX(0,L149-L755-L1058-L1361-L1664)</f>
        <v>0</v>
      </c>
    </row>
    <row r="150" customFormat="false" ht="15" hidden="false" customHeight="false" outlineLevel="0" collapsed="false">
      <c r="B150" s="102" t="n">
        <f aca="false">'Loan Tape'!$A146</f>
        <v>0</v>
      </c>
      <c r="C150" s="99" t="n">
        <f aca="false">IF('Loan Tape'!$AN146=0,0,'Loan Tape'!$R146)</f>
        <v>0</v>
      </c>
      <c r="D150" s="99" t="n">
        <f aca="false">MAX(0,C150-C756-C1059-C1362-C1665)</f>
        <v>0</v>
      </c>
      <c r="E150" s="99" t="n">
        <f aca="false">MAX(0,D150-D756-D1059-D1362-D1665)</f>
        <v>0</v>
      </c>
      <c r="F150" s="99" t="n">
        <f aca="false">MAX(0,E150-E756-E1059-E1362-E1665)</f>
        <v>0</v>
      </c>
      <c r="G150" s="99" t="n">
        <f aca="false">MAX(0,F150-F756-F1059-F1362-F1665)</f>
        <v>0</v>
      </c>
      <c r="H150" s="99" t="n">
        <f aca="false">MAX(0,G150-G756-G1059-G1362-G1665)</f>
        <v>0</v>
      </c>
      <c r="I150" s="99" t="n">
        <f aca="false">MAX(0,H150-H756-H1059-H1362-H1665)</f>
        <v>0</v>
      </c>
      <c r="J150" s="99" t="n">
        <f aca="false">MAX(0,I150-I756-I1059-I1362-I1665)</f>
        <v>0</v>
      </c>
      <c r="K150" s="99" t="n">
        <f aca="false">MAX(0,J150-J756-J1059-J1362-J1665)</f>
        <v>0</v>
      </c>
      <c r="L150" s="99" t="n">
        <f aca="false">MAX(0,K150-K756-K1059-K1362-K1665)</f>
        <v>0</v>
      </c>
      <c r="M150" s="99" t="n">
        <f aca="false">MAX(0,L150-L756-L1059-L1362-L1665)</f>
        <v>0</v>
      </c>
    </row>
    <row r="151" customFormat="false" ht="15" hidden="false" customHeight="false" outlineLevel="0" collapsed="false">
      <c r="B151" s="108" t="n">
        <f aca="false">'Loan Tape'!$A147</f>
        <v>0</v>
      </c>
      <c r="C151" s="71" t="n">
        <f aca="false">IF('Loan Tape'!$AN147=0,0,'Loan Tape'!$R147)</f>
        <v>0</v>
      </c>
      <c r="D151" s="71" t="n">
        <f aca="false">MAX(0,C151-C757-C1060-C1363-C1666)</f>
        <v>0</v>
      </c>
      <c r="E151" s="71" t="n">
        <f aca="false">MAX(0,D151-D757-D1060-D1363-D1666)</f>
        <v>0</v>
      </c>
      <c r="F151" s="71" t="n">
        <f aca="false">MAX(0,E151-E757-E1060-E1363-E1666)</f>
        <v>0</v>
      </c>
      <c r="G151" s="71" t="n">
        <f aca="false">MAX(0,F151-F757-F1060-F1363-F1666)</f>
        <v>0</v>
      </c>
      <c r="H151" s="71" t="n">
        <f aca="false">MAX(0,G151-G757-G1060-G1363-G1666)</f>
        <v>0</v>
      </c>
      <c r="I151" s="71" t="n">
        <f aca="false">MAX(0,H151-H757-H1060-H1363-H1666)</f>
        <v>0</v>
      </c>
      <c r="J151" s="71" t="n">
        <f aca="false">MAX(0,I151-I757-I1060-I1363-I1666)</f>
        <v>0</v>
      </c>
      <c r="K151" s="71" t="n">
        <f aca="false">MAX(0,J151-J757-J1060-J1363-J1666)</f>
        <v>0</v>
      </c>
      <c r="L151" s="71" t="n">
        <f aca="false">MAX(0,K151-K757-K1060-K1363-K1666)</f>
        <v>0</v>
      </c>
      <c r="M151" s="71" t="n">
        <f aca="false">MAX(0,L151-L757-L1060-L1363-L1666)</f>
        <v>0</v>
      </c>
    </row>
    <row r="152" customFormat="false" ht="15" hidden="false" customHeight="false" outlineLevel="0" collapsed="false">
      <c r="B152" s="102" t="n">
        <f aca="false">'Loan Tape'!$A148</f>
        <v>0</v>
      </c>
      <c r="C152" s="99" t="n">
        <f aca="false">IF('Loan Tape'!$AN148=0,0,'Loan Tape'!$R148)</f>
        <v>0</v>
      </c>
      <c r="D152" s="99" t="n">
        <f aca="false">MAX(0,C152-C758-C1061-C1364-C1667)</f>
        <v>0</v>
      </c>
      <c r="E152" s="99" t="n">
        <f aca="false">MAX(0,D152-D758-D1061-D1364-D1667)</f>
        <v>0</v>
      </c>
      <c r="F152" s="99" t="n">
        <f aca="false">MAX(0,E152-E758-E1061-E1364-E1667)</f>
        <v>0</v>
      </c>
      <c r="G152" s="99" t="n">
        <f aca="false">MAX(0,F152-F758-F1061-F1364-F1667)</f>
        <v>0</v>
      </c>
      <c r="H152" s="99" t="n">
        <f aca="false">MAX(0,G152-G758-G1061-G1364-G1667)</f>
        <v>0</v>
      </c>
      <c r="I152" s="99" t="n">
        <f aca="false">MAX(0,H152-H758-H1061-H1364-H1667)</f>
        <v>0</v>
      </c>
      <c r="J152" s="99" t="n">
        <f aca="false">MAX(0,I152-I758-I1061-I1364-I1667)</f>
        <v>0</v>
      </c>
      <c r="K152" s="99" t="n">
        <f aca="false">MAX(0,J152-J758-J1061-J1364-J1667)</f>
        <v>0</v>
      </c>
      <c r="L152" s="99" t="n">
        <f aca="false">MAX(0,K152-K758-K1061-K1364-K1667)</f>
        <v>0</v>
      </c>
      <c r="M152" s="99" t="n">
        <f aca="false">MAX(0,L152-L758-L1061-L1364-L1667)</f>
        <v>0</v>
      </c>
    </row>
    <row r="153" customFormat="false" ht="15" hidden="false" customHeight="false" outlineLevel="0" collapsed="false">
      <c r="B153" s="108" t="n">
        <f aca="false">'Loan Tape'!$A149</f>
        <v>0</v>
      </c>
      <c r="C153" s="71" t="n">
        <f aca="false">IF('Loan Tape'!$AN149=0,0,'Loan Tape'!$R149)</f>
        <v>0</v>
      </c>
      <c r="D153" s="71" t="n">
        <f aca="false">MAX(0,C153-C759-C1062-C1365-C1668)</f>
        <v>0</v>
      </c>
      <c r="E153" s="71" t="n">
        <f aca="false">MAX(0,D153-D759-D1062-D1365-D1668)</f>
        <v>0</v>
      </c>
      <c r="F153" s="71" t="n">
        <f aca="false">MAX(0,E153-E759-E1062-E1365-E1668)</f>
        <v>0</v>
      </c>
      <c r="G153" s="71" t="n">
        <f aca="false">MAX(0,F153-F759-F1062-F1365-F1668)</f>
        <v>0</v>
      </c>
      <c r="H153" s="71" t="n">
        <f aca="false">MAX(0,G153-G759-G1062-G1365-G1668)</f>
        <v>0</v>
      </c>
      <c r="I153" s="71" t="n">
        <f aca="false">MAX(0,H153-H759-H1062-H1365-H1668)</f>
        <v>0</v>
      </c>
      <c r="J153" s="71" t="n">
        <f aca="false">MAX(0,I153-I759-I1062-I1365-I1668)</f>
        <v>0</v>
      </c>
      <c r="K153" s="71" t="n">
        <f aca="false">MAX(0,J153-J759-J1062-J1365-J1668)</f>
        <v>0</v>
      </c>
      <c r="L153" s="71" t="n">
        <f aca="false">MAX(0,K153-K759-K1062-K1365-K1668)</f>
        <v>0</v>
      </c>
      <c r="M153" s="71" t="n">
        <f aca="false">MAX(0,L153-L759-L1062-L1365-L1668)</f>
        <v>0</v>
      </c>
    </row>
    <row r="154" customFormat="false" ht="15" hidden="false" customHeight="false" outlineLevel="0" collapsed="false">
      <c r="B154" s="102" t="n">
        <f aca="false">'Loan Tape'!$A150</f>
        <v>0</v>
      </c>
      <c r="C154" s="99" t="n">
        <f aca="false">IF('Loan Tape'!$AN150=0,0,'Loan Tape'!$R150)</f>
        <v>0</v>
      </c>
      <c r="D154" s="99" t="n">
        <f aca="false">MAX(0,C154-C760-C1063-C1366-C1669)</f>
        <v>0</v>
      </c>
      <c r="E154" s="99" t="n">
        <f aca="false">MAX(0,D154-D760-D1063-D1366-D1669)</f>
        <v>0</v>
      </c>
      <c r="F154" s="99" t="n">
        <f aca="false">MAX(0,E154-E760-E1063-E1366-E1669)</f>
        <v>0</v>
      </c>
      <c r="G154" s="99" t="n">
        <f aca="false">MAX(0,F154-F760-F1063-F1366-F1669)</f>
        <v>0</v>
      </c>
      <c r="H154" s="99" t="n">
        <f aca="false">MAX(0,G154-G760-G1063-G1366-G1669)</f>
        <v>0</v>
      </c>
      <c r="I154" s="99" t="n">
        <f aca="false">MAX(0,H154-H760-H1063-H1366-H1669)</f>
        <v>0</v>
      </c>
      <c r="J154" s="99" t="n">
        <f aca="false">MAX(0,I154-I760-I1063-I1366-I1669)</f>
        <v>0</v>
      </c>
      <c r="K154" s="99" t="n">
        <f aca="false">MAX(0,J154-J760-J1063-J1366-J1669)</f>
        <v>0</v>
      </c>
      <c r="L154" s="99" t="n">
        <f aca="false">MAX(0,K154-K760-K1063-K1366-K1669)</f>
        <v>0</v>
      </c>
      <c r="M154" s="99" t="n">
        <f aca="false">MAX(0,L154-L760-L1063-L1366-L1669)</f>
        <v>0</v>
      </c>
    </row>
    <row r="155" customFormat="false" ht="15" hidden="false" customHeight="false" outlineLevel="0" collapsed="false">
      <c r="B155" s="108" t="n">
        <f aca="false">'Loan Tape'!$A151</f>
        <v>0</v>
      </c>
      <c r="C155" s="71" t="n">
        <f aca="false">IF('Loan Tape'!$AN151=0,0,'Loan Tape'!$R151)</f>
        <v>0</v>
      </c>
      <c r="D155" s="71" t="n">
        <f aca="false">MAX(0,C155-C761-C1064-C1367-C1670)</f>
        <v>0</v>
      </c>
      <c r="E155" s="71" t="n">
        <f aca="false">MAX(0,D155-D761-D1064-D1367-D1670)</f>
        <v>0</v>
      </c>
      <c r="F155" s="71" t="n">
        <f aca="false">MAX(0,E155-E761-E1064-E1367-E1670)</f>
        <v>0</v>
      </c>
      <c r="G155" s="71" t="n">
        <f aca="false">MAX(0,F155-F761-F1064-F1367-F1670)</f>
        <v>0</v>
      </c>
      <c r="H155" s="71" t="n">
        <f aca="false">MAX(0,G155-G761-G1064-G1367-G1670)</f>
        <v>0</v>
      </c>
      <c r="I155" s="71" t="n">
        <f aca="false">MAX(0,H155-H761-H1064-H1367-H1670)</f>
        <v>0</v>
      </c>
      <c r="J155" s="71" t="n">
        <f aca="false">MAX(0,I155-I761-I1064-I1367-I1670)</f>
        <v>0</v>
      </c>
      <c r="K155" s="71" t="n">
        <f aca="false">MAX(0,J155-J761-J1064-J1367-J1670)</f>
        <v>0</v>
      </c>
      <c r="L155" s="71" t="n">
        <f aca="false">MAX(0,K155-K761-K1064-K1367-K1670)</f>
        <v>0</v>
      </c>
      <c r="M155" s="71" t="n">
        <f aca="false">MAX(0,L155-L761-L1064-L1367-L1670)</f>
        <v>0</v>
      </c>
    </row>
    <row r="156" customFormat="false" ht="15" hidden="false" customHeight="false" outlineLevel="0" collapsed="false">
      <c r="B156" s="102" t="n">
        <f aca="false">'Loan Tape'!$A152</f>
        <v>0</v>
      </c>
      <c r="C156" s="99" t="n">
        <f aca="false">IF('Loan Tape'!$AN152=0,0,'Loan Tape'!$R152)</f>
        <v>0</v>
      </c>
      <c r="D156" s="99" t="n">
        <f aca="false">MAX(0,C156-C762-C1065-C1368-C1671)</f>
        <v>0</v>
      </c>
      <c r="E156" s="99" t="n">
        <f aca="false">MAX(0,D156-D762-D1065-D1368-D1671)</f>
        <v>0</v>
      </c>
      <c r="F156" s="99" t="n">
        <f aca="false">MAX(0,E156-E762-E1065-E1368-E1671)</f>
        <v>0</v>
      </c>
      <c r="G156" s="99" t="n">
        <f aca="false">MAX(0,F156-F762-F1065-F1368-F1671)</f>
        <v>0</v>
      </c>
      <c r="H156" s="99" t="n">
        <f aca="false">MAX(0,G156-G762-G1065-G1368-G1671)</f>
        <v>0</v>
      </c>
      <c r="I156" s="99" t="n">
        <f aca="false">MAX(0,H156-H762-H1065-H1368-H1671)</f>
        <v>0</v>
      </c>
      <c r="J156" s="99" t="n">
        <f aca="false">MAX(0,I156-I762-I1065-I1368-I1671)</f>
        <v>0</v>
      </c>
      <c r="K156" s="99" t="n">
        <f aca="false">MAX(0,J156-J762-J1065-J1368-J1671)</f>
        <v>0</v>
      </c>
      <c r="L156" s="99" t="n">
        <f aca="false">MAX(0,K156-K762-K1065-K1368-K1671)</f>
        <v>0</v>
      </c>
      <c r="M156" s="99" t="n">
        <f aca="false">MAX(0,L156-L762-L1065-L1368-L1671)</f>
        <v>0</v>
      </c>
    </row>
    <row r="157" customFormat="false" ht="15" hidden="false" customHeight="false" outlineLevel="0" collapsed="false">
      <c r="B157" s="108" t="n">
        <f aca="false">'Loan Tape'!$A153</f>
        <v>0</v>
      </c>
      <c r="C157" s="71" t="n">
        <f aca="false">IF('Loan Tape'!$AN153=0,0,'Loan Tape'!$R153)</f>
        <v>0</v>
      </c>
      <c r="D157" s="71" t="n">
        <f aca="false">MAX(0,C157-C763-C1066-C1369-C1672)</f>
        <v>0</v>
      </c>
      <c r="E157" s="71" t="n">
        <f aca="false">MAX(0,D157-D763-D1066-D1369-D1672)</f>
        <v>0</v>
      </c>
      <c r="F157" s="71" t="n">
        <f aca="false">MAX(0,E157-E763-E1066-E1369-E1672)</f>
        <v>0</v>
      </c>
      <c r="G157" s="71" t="n">
        <f aca="false">MAX(0,F157-F763-F1066-F1369-F1672)</f>
        <v>0</v>
      </c>
      <c r="H157" s="71" t="n">
        <f aca="false">MAX(0,G157-G763-G1066-G1369-G1672)</f>
        <v>0</v>
      </c>
      <c r="I157" s="71" t="n">
        <f aca="false">MAX(0,H157-H763-H1066-H1369-H1672)</f>
        <v>0</v>
      </c>
      <c r="J157" s="71" t="n">
        <f aca="false">MAX(0,I157-I763-I1066-I1369-I1672)</f>
        <v>0</v>
      </c>
      <c r="K157" s="71" t="n">
        <f aca="false">MAX(0,J157-J763-J1066-J1369-J1672)</f>
        <v>0</v>
      </c>
      <c r="L157" s="71" t="n">
        <f aca="false">MAX(0,K157-K763-K1066-K1369-K1672)</f>
        <v>0</v>
      </c>
      <c r="M157" s="71" t="n">
        <f aca="false">MAX(0,L157-L763-L1066-L1369-L1672)</f>
        <v>0</v>
      </c>
    </row>
    <row r="158" customFormat="false" ht="15" hidden="false" customHeight="false" outlineLevel="0" collapsed="false">
      <c r="B158" s="102" t="n">
        <f aca="false">'Loan Tape'!$A154</f>
        <v>0</v>
      </c>
      <c r="C158" s="99" t="n">
        <f aca="false">IF('Loan Tape'!$AN154=0,0,'Loan Tape'!$R154)</f>
        <v>0</v>
      </c>
      <c r="D158" s="99" t="n">
        <f aca="false">MAX(0,C158-C764-C1067-C1370-C1673)</f>
        <v>0</v>
      </c>
      <c r="E158" s="99" t="n">
        <f aca="false">MAX(0,D158-D764-D1067-D1370-D1673)</f>
        <v>0</v>
      </c>
      <c r="F158" s="99" t="n">
        <f aca="false">MAX(0,E158-E764-E1067-E1370-E1673)</f>
        <v>0</v>
      </c>
      <c r="G158" s="99" t="n">
        <f aca="false">MAX(0,F158-F764-F1067-F1370-F1673)</f>
        <v>0</v>
      </c>
      <c r="H158" s="99" t="n">
        <f aca="false">MAX(0,G158-G764-G1067-G1370-G1673)</f>
        <v>0</v>
      </c>
      <c r="I158" s="99" t="n">
        <f aca="false">MAX(0,H158-H764-H1067-H1370-H1673)</f>
        <v>0</v>
      </c>
      <c r="J158" s="99" t="n">
        <f aca="false">MAX(0,I158-I764-I1067-I1370-I1673)</f>
        <v>0</v>
      </c>
      <c r="K158" s="99" t="n">
        <f aca="false">MAX(0,J158-J764-J1067-J1370-J1673)</f>
        <v>0</v>
      </c>
      <c r="L158" s="99" t="n">
        <f aca="false">MAX(0,K158-K764-K1067-K1370-K1673)</f>
        <v>0</v>
      </c>
      <c r="M158" s="99" t="n">
        <f aca="false">MAX(0,L158-L764-L1067-L1370-L1673)</f>
        <v>0</v>
      </c>
    </row>
    <row r="159" customFormat="false" ht="15" hidden="false" customHeight="false" outlineLevel="0" collapsed="false">
      <c r="B159" s="108" t="n">
        <f aca="false">'Loan Tape'!$A155</f>
        <v>0</v>
      </c>
      <c r="C159" s="71" t="n">
        <f aca="false">IF('Loan Tape'!$AN155=0,0,'Loan Tape'!$R155)</f>
        <v>0</v>
      </c>
      <c r="D159" s="71" t="n">
        <f aca="false">MAX(0,C159-C765-C1068-C1371-C1674)</f>
        <v>0</v>
      </c>
      <c r="E159" s="71" t="n">
        <f aca="false">MAX(0,D159-D765-D1068-D1371-D1674)</f>
        <v>0</v>
      </c>
      <c r="F159" s="71" t="n">
        <f aca="false">MAX(0,E159-E765-E1068-E1371-E1674)</f>
        <v>0</v>
      </c>
      <c r="G159" s="71" t="n">
        <f aca="false">MAX(0,F159-F765-F1068-F1371-F1674)</f>
        <v>0</v>
      </c>
      <c r="H159" s="71" t="n">
        <f aca="false">MAX(0,G159-G765-G1068-G1371-G1674)</f>
        <v>0</v>
      </c>
      <c r="I159" s="71" t="n">
        <f aca="false">MAX(0,H159-H765-H1068-H1371-H1674)</f>
        <v>0</v>
      </c>
      <c r="J159" s="71" t="n">
        <f aca="false">MAX(0,I159-I765-I1068-I1371-I1674)</f>
        <v>0</v>
      </c>
      <c r="K159" s="71" t="n">
        <f aca="false">MAX(0,J159-J765-J1068-J1371-J1674)</f>
        <v>0</v>
      </c>
      <c r="L159" s="71" t="n">
        <f aca="false">MAX(0,K159-K765-K1068-K1371-K1674)</f>
        <v>0</v>
      </c>
      <c r="M159" s="71" t="n">
        <f aca="false">MAX(0,L159-L765-L1068-L1371-L1674)</f>
        <v>0</v>
      </c>
    </row>
    <row r="160" customFormat="false" ht="15" hidden="false" customHeight="false" outlineLevel="0" collapsed="false">
      <c r="B160" s="102" t="n">
        <f aca="false">'Loan Tape'!$A156</f>
        <v>0</v>
      </c>
      <c r="C160" s="99" t="n">
        <f aca="false">IF('Loan Tape'!$AN156=0,0,'Loan Tape'!$R156)</f>
        <v>0</v>
      </c>
      <c r="D160" s="99" t="n">
        <f aca="false">MAX(0,C160-C766-C1069-C1372-C1675)</f>
        <v>0</v>
      </c>
      <c r="E160" s="99" t="n">
        <f aca="false">MAX(0,D160-D766-D1069-D1372-D1675)</f>
        <v>0</v>
      </c>
      <c r="F160" s="99" t="n">
        <f aca="false">MAX(0,E160-E766-E1069-E1372-E1675)</f>
        <v>0</v>
      </c>
      <c r="G160" s="99" t="n">
        <f aca="false">MAX(0,F160-F766-F1069-F1372-F1675)</f>
        <v>0</v>
      </c>
      <c r="H160" s="99" t="n">
        <f aca="false">MAX(0,G160-G766-G1069-G1372-G1675)</f>
        <v>0</v>
      </c>
      <c r="I160" s="99" t="n">
        <f aca="false">MAX(0,H160-H766-H1069-H1372-H1675)</f>
        <v>0</v>
      </c>
      <c r="J160" s="99" t="n">
        <f aca="false">MAX(0,I160-I766-I1069-I1372-I1675)</f>
        <v>0</v>
      </c>
      <c r="K160" s="99" t="n">
        <f aca="false">MAX(0,J160-J766-J1069-J1372-J1675)</f>
        <v>0</v>
      </c>
      <c r="L160" s="99" t="n">
        <f aca="false">MAX(0,K160-K766-K1069-K1372-K1675)</f>
        <v>0</v>
      </c>
      <c r="M160" s="99" t="n">
        <f aca="false">MAX(0,L160-L766-L1069-L1372-L1675)</f>
        <v>0</v>
      </c>
    </row>
    <row r="161" customFormat="false" ht="15" hidden="false" customHeight="false" outlineLevel="0" collapsed="false">
      <c r="B161" s="108" t="n">
        <f aca="false">'Loan Tape'!$A157</f>
        <v>0</v>
      </c>
      <c r="C161" s="71" t="n">
        <f aca="false">IF('Loan Tape'!$AN157=0,0,'Loan Tape'!$R157)</f>
        <v>0</v>
      </c>
      <c r="D161" s="71" t="n">
        <f aca="false">MAX(0,C161-C767-C1070-C1373-C1676)</f>
        <v>0</v>
      </c>
      <c r="E161" s="71" t="n">
        <f aca="false">MAX(0,D161-D767-D1070-D1373-D1676)</f>
        <v>0</v>
      </c>
      <c r="F161" s="71" t="n">
        <f aca="false">MAX(0,E161-E767-E1070-E1373-E1676)</f>
        <v>0</v>
      </c>
      <c r="G161" s="71" t="n">
        <f aca="false">MAX(0,F161-F767-F1070-F1373-F1676)</f>
        <v>0</v>
      </c>
      <c r="H161" s="71" t="n">
        <f aca="false">MAX(0,G161-G767-G1070-G1373-G1676)</f>
        <v>0</v>
      </c>
      <c r="I161" s="71" t="n">
        <f aca="false">MAX(0,H161-H767-H1070-H1373-H1676)</f>
        <v>0</v>
      </c>
      <c r="J161" s="71" t="n">
        <f aca="false">MAX(0,I161-I767-I1070-I1373-I1676)</f>
        <v>0</v>
      </c>
      <c r="K161" s="71" t="n">
        <f aca="false">MAX(0,J161-J767-J1070-J1373-J1676)</f>
        <v>0</v>
      </c>
      <c r="L161" s="71" t="n">
        <f aca="false">MAX(0,K161-K767-K1070-K1373-K1676)</f>
        <v>0</v>
      </c>
      <c r="M161" s="71" t="n">
        <f aca="false">MAX(0,L161-L767-L1070-L1373-L1676)</f>
        <v>0</v>
      </c>
    </row>
    <row r="162" customFormat="false" ht="15" hidden="false" customHeight="false" outlineLevel="0" collapsed="false">
      <c r="B162" s="102" t="n">
        <f aca="false">'Loan Tape'!$A158</f>
        <v>0</v>
      </c>
      <c r="C162" s="99" t="n">
        <f aca="false">IF('Loan Tape'!$AN158=0,0,'Loan Tape'!$R158)</f>
        <v>0</v>
      </c>
      <c r="D162" s="99" t="n">
        <f aca="false">MAX(0,C162-C768-C1071-C1374-C1677)</f>
        <v>0</v>
      </c>
      <c r="E162" s="99" t="n">
        <f aca="false">MAX(0,D162-D768-D1071-D1374-D1677)</f>
        <v>0</v>
      </c>
      <c r="F162" s="99" t="n">
        <f aca="false">MAX(0,E162-E768-E1071-E1374-E1677)</f>
        <v>0</v>
      </c>
      <c r="G162" s="99" t="n">
        <f aca="false">MAX(0,F162-F768-F1071-F1374-F1677)</f>
        <v>0</v>
      </c>
      <c r="H162" s="99" t="n">
        <f aca="false">MAX(0,G162-G768-G1071-G1374-G1677)</f>
        <v>0</v>
      </c>
      <c r="I162" s="99" t="n">
        <f aca="false">MAX(0,H162-H768-H1071-H1374-H1677)</f>
        <v>0</v>
      </c>
      <c r="J162" s="99" t="n">
        <f aca="false">MAX(0,I162-I768-I1071-I1374-I1677)</f>
        <v>0</v>
      </c>
      <c r="K162" s="99" t="n">
        <f aca="false">MAX(0,J162-J768-J1071-J1374-J1677)</f>
        <v>0</v>
      </c>
      <c r="L162" s="99" t="n">
        <f aca="false">MAX(0,K162-K768-K1071-K1374-K1677)</f>
        <v>0</v>
      </c>
      <c r="M162" s="99" t="n">
        <f aca="false">MAX(0,L162-L768-L1071-L1374-L1677)</f>
        <v>0</v>
      </c>
    </row>
    <row r="163" customFormat="false" ht="15" hidden="false" customHeight="false" outlineLevel="0" collapsed="false">
      <c r="B163" s="108" t="n">
        <f aca="false">'Loan Tape'!$A159</f>
        <v>0</v>
      </c>
      <c r="C163" s="71" t="n">
        <f aca="false">IF('Loan Tape'!$AN159=0,0,'Loan Tape'!$R159)</f>
        <v>0</v>
      </c>
      <c r="D163" s="71" t="n">
        <f aca="false">MAX(0,C163-C769-C1072-C1375-C1678)</f>
        <v>0</v>
      </c>
      <c r="E163" s="71" t="n">
        <f aca="false">MAX(0,D163-D769-D1072-D1375-D1678)</f>
        <v>0</v>
      </c>
      <c r="F163" s="71" t="n">
        <f aca="false">MAX(0,E163-E769-E1072-E1375-E1678)</f>
        <v>0</v>
      </c>
      <c r="G163" s="71" t="n">
        <f aca="false">MAX(0,F163-F769-F1072-F1375-F1678)</f>
        <v>0</v>
      </c>
      <c r="H163" s="71" t="n">
        <f aca="false">MAX(0,G163-G769-G1072-G1375-G1678)</f>
        <v>0</v>
      </c>
      <c r="I163" s="71" t="n">
        <f aca="false">MAX(0,H163-H769-H1072-H1375-H1678)</f>
        <v>0</v>
      </c>
      <c r="J163" s="71" t="n">
        <f aca="false">MAX(0,I163-I769-I1072-I1375-I1678)</f>
        <v>0</v>
      </c>
      <c r="K163" s="71" t="n">
        <f aca="false">MAX(0,J163-J769-J1072-J1375-J1678)</f>
        <v>0</v>
      </c>
      <c r="L163" s="71" t="n">
        <f aca="false">MAX(0,K163-K769-K1072-K1375-K1678)</f>
        <v>0</v>
      </c>
      <c r="M163" s="71" t="n">
        <f aca="false">MAX(0,L163-L769-L1072-L1375-L1678)</f>
        <v>0</v>
      </c>
    </row>
    <row r="164" customFormat="false" ht="15" hidden="false" customHeight="false" outlineLevel="0" collapsed="false">
      <c r="B164" s="102" t="n">
        <f aca="false">'Loan Tape'!$A160</f>
        <v>0</v>
      </c>
      <c r="C164" s="99" t="n">
        <f aca="false">IF('Loan Tape'!$AN160=0,0,'Loan Tape'!$R160)</f>
        <v>0</v>
      </c>
      <c r="D164" s="99" t="n">
        <f aca="false">MAX(0,C164-C770-C1073-C1376-C1679)</f>
        <v>0</v>
      </c>
      <c r="E164" s="99" t="n">
        <f aca="false">MAX(0,D164-D770-D1073-D1376-D1679)</f>
        <v>0</v>
      </c>
      <c r="F164" s="99" t="n">
        <f aca="false">MAX(0,E164-E770-E1073-E1376-E1679)</f>
        <v>0</v>
      </c>
      <c r="G164" s="99" t="n">
        <f aca="false">MAX(0,F164-F770-F1073-F1376-F1679)</f>
        <v>0</v>
      </c>
      <c r="H164" s="99" t="n">
        <f aca="false">MAX(0,G164-G770-G1073-G1376-G1679)</f>
        <v>0</v>
      </c>
      <c r="I164" s="99" t="n">
        <f aca="false">MAX(0,H164-H770-H1073-H1376-H1679)</f>
        <v>0</v>
      </c>
      <c r="J164" s="99" t="n">
        <f aca="false">MAX(0,I164-I770-I1073-I1376-I1679)</f>
        <v>0</v>
      </c>
      <c r="K164" s="99" t="n">
        <f aca="false">MAX(0,J164-J770-J1073-J1376-J1679)</f>
        <v>0</v>
      </c>
      <c r="L164" s="99" t="n">
        <f aca="false">MAX(0,K164-K770-K1073-K1376-K1679)</f>
        <v>0</v>
      </c>
      <c r="M164" s="99" t="n">
        <f aca="false">MAX(0,L164-L770-L1073-L1376-L1679)</f>
        <v>0</v>
      </c>
    </row>
    <row r="165" customFormat="false" ht="15" hidden="false" customHeight="false" outlineLevel="0" collapsed="false">
      <c r="B165" s="108" t="n">
        <f aca="false">'Loan Tape'!$A161</f>
        <v>0</v>
      </c>
      <c r="C165" s="71" t="n">
        <f aca="false">IF('Loan Tape'!$AN161=0,0,'Loan Tape'!$R161)</f>
        <v>0</v>
      </c>
      <c r="D165" s="71" t="n">
        <f aca="false">MAX(0,C165-C771-C1074-C1377-C1680)</f>
        <v>0</v>
      </c>
      <c r="E165" s="71" t="n">
        <f aca="false">MAX(0,D165-D771-D1074-D1377-D1680)</f>
        <v>0</v>
      </c>
      <c r="F165" s="71" t="n">
        <f aca="false">MAX(0,E165-E771-E1074-E1377-E1680)</f>
        <v>0</v>
      </c>
      <c r="G165" s="71" t="n">
        <f aca="false">MAX(0,F165-F771-F1074-F1377-F1680)</f>
        <v>0</v>
      </c>
      <c r="H165" s="71" t="n">
        <f aca="false">MAX(0,G165-G771-G1074-G1377-G1680)</f>
        <v>0</v>
      </c>
      <c r="I165" s="71" t="n">
        <f aca="false">MAX(0,H165-H771-H1074-H1377-H1680)</f>
        <v>0</v>
      </c>
      <c r="J165" s="71" t="n">
        <f aca="false">MAX(0,I165-I771-I1074-I1377-I1680)</f>
        <v>0</v>
      </c>
      <c r="K165" s="71" t="n">
        <f aca="false">MAX(0,J165-J771-J1074-J1377-J1680)</f>
        <v>0</v>
      </c>
      <c r="L165" s="71" t="n">
        <f aca="false">MAX(0,K165-K771-K1074-K1377-K1680)</f>
        <v>0</v>
      </c>
      <c r="M165" s="71" t="n">
        <f aca="false">MAX(0,L165-L771-L1074-L1377-L1680)</f>
        <v>0</v>
      </c>
    </row>
    <row r="166" customFormat="false" ht="15" hidden="false" customHeight="false" outlineLevel="0" collapsed="false">
      <c r="B166" s="102" t="n">
        <f aca="false">'Loan Tape'!$A162</f>
        <v>0</v>
      </c>
      <c r="C166" s="99" t="n">
        <f aca="false">IF('Loan Tape'!$AN162=0,0,'Loan Tape'!$R162)</f>
        <v>0</v>
      </c>
      <c r="D166" s="99" t="n">
        <f aca="false">MAX(0,C166-C772-C1075-C1378-C1681)</f>
        <v>0</v>
      </c>
      <c r="E166" s="99" t="n">
        <f aca="false">MAX(0,D166-D772-D1075-D1378-D1681)</f>
        <v>0</v>
      </c>
      <c r="F166" s="99" t="n">
        <f aca="false">MAX(0,E166-E772-E1075-E1378-E1681)</f>
        <v>0</v>
      </c>
      <c r="G166" s="99" t="n">
        <f aca="false">MAX(0,F166-F772-F1075-F1378-F1681)</f>
        <v>0</v>
      </c>
      <c r="H166" s="99" t="n">
        <f aca="false">MAX(0,G166-G772-G1075-G1378-G1681)</f>
        <v>0</v>
      </c>
      <c r="I166" s="99" t="n">
        <f aca="false">MAX(0,H166-H772-H1075-H1378-H1681)</f>
        <v>0</v>
      </c>
      <c r="J166" s="99" t="n">
        <f aca="false">MAX(0,I166-I772-I1075-I1378-I1681)</f>
        <v>0</v>
      </c>
      <c r="K166" s="99" t="n">
        <f aca="false">MAX(0,J166-J772-J1075-J1378-J1681)</f>
        <v>0</v>
      </c>
      <c r="L166" s="99" t="n">
        <f aca="false">MAX(0,K166-K772-K1075-K1378-K1681)</f>
        <v>0</v>
      </c>
      <c r="M166" s="99" t="n">
        <f aca="false">MAX(0,L166-L772-L1075-L1378-L1681)</f>
        <v>0</v>
      </c>
    </row>
    <row r="167" customFormat="false" ht="15" hidden="false" customHeight="false" outlineLevel="0" collapsed="false">
      <c r="B167" s="108" t="n">
        <f aca="false">'Loan Tape'!$A163</f>
        <v>0</v>
      </c>
      <c r="C167" s="71" t="n">
        <f aca="false">IF('Loan Tape'!$AN163=0,0,'Loan Tape'!$R163)</f>
        <v>0</v>
      </c>
      <c r="D167" s="71" t="n">
        <f aca="false">MAX(0,C167-C773-C1076-C1379-C1682)</f>
        <v>0</v>
      </c>
      <c r="E167" s="71" t="n">
        <f aca="false">MAX(0,D167-D773-D1076-D1379-D1682)</f>
        <v>0</v>
      </c>
      <c r="F167" s="71" t="n">
        <f aca="false">MAX(0,E167-E773-E1076-E1379-E1682)</f>
        <v>0</v>
      </c>
      <c r="G167" s="71" t="n">
        <f aca="false">MAX(0,F167-F773-F1076-F1379-F1682)</f>
        <v>0</v>
      </c>
      <c r="H167" s="71" t="n">
        <f aca="false">MAX(0,G167-G773-G1076-G1379-G1682)</f>
        <v>0</v>
      </c>
      <c r="I167" s="71" t="n">
        <f aca="false">MAX(0,H167-H773-H1076-H1379-H1682)</f>
        <v>0</v>
      </c>
      <c r="J167" s="71" t="n">
        <f aca="false">MAX(0,I167-I773-I1076-I1379-I1682)</f>
        <v>0</v>
      </c>
      <c r="K167" s="71" t="n">
        <f aca="false">MAX(0,J167-J773-J1076-J1379-J1682)</f>
        <v>0</v>
      </c>
      <c r="L167" s="71" t="n">
        <f aca="false">MAX(0,K167-K773-K1076-K1379-K1682)</f>
        <v>0</v>
      </c>
      <c r="M167" s="71" t="n">
        <f aca="false">MAX(0,L167-L773-L1076-L1379-L1682)</f>
        <v>0</v>
      </c>
    </row>
    <row r="168" customFormat="false" ht="15" hidden="false" customHeight="false" outlineLevel="0" collapsed="false">
      <c r="B168" s="102" t="n">
        <f aca="false">'Loan Tape'!$A164</f>
        <v>0</v>
      </c>
      <c r="C168" s="99" t="n">
        <f aca="false">IF('Loan Tape'!$AN164=0,0,'Loan Tape'!$R164)</f>
        <v>0</v>
      </c>
      <c r="D168" s="99" t="n">
        <f aca="false">MAX(0,C168-C774-C1077-C1380-C1683)</f>
        <v>0</v>
      </c>
      <c r="E168" s="99" t="n">
        <f aca="false">MAX(0,D168-D774-D1077-D1380-D1683)</f>
        <v>0</v>
      </c>
      <c r="F168" s="99" t="n">
        <f aca="false">MAX(0,E168-E774-E1077-E1380-E1683)</f>
        <v>0</v>
      </c>
      <c r="G168" s="99" t="n">
        <f aca="false">MAX(0,F168-F774-F1077-F1380-F1683)</f>
        <v>0</v>
      </c>
      <c r="H168" s="99" t="n">
        <f aca="false">MAX(0,G168-G774-G1077-G1380-G1683)</f>
        <v>0</v>
      </c>
      <c r="I168" s="99" t="n">
        <f aca="false">MAX(0,H168-H774-H1077-H1380-H1683)</f>
        <v>0</v>
      </c>
      <c r="J168" s="99" t="n">
        <f aca="false">MAX(0,I168-I774-I1077-I1380-I1683)</f>
        <v>0</v>
      </c>
      <c r="K168" s="99" t="n">
        <f aca="false">MAX(0,J168-J774-J1077-J1380-J1683)</f>
        <v>0</v>
      </c>
      <c r="L168" s="99" t="n">
        <f aca="false">MAX(0,K168-K774-K1077-K1380-K1683)</f>
        <v>0</v>
      </c>
      <c r="M168" s="99" t="n">
        <f aca="false">MAX(0,L168-L774-L1077-L1380-L1683)</f>
        <v>0</v>
      </c>
    </row>
    <row r="169" customFormat="false" ht="15" hidden="false" customHeight="false" outlineLevel="0" collapsed="false">
      <c r="B169" s="108" t="n">
        <f aca="false">'Loan Tape'!$A165</f>
        <v>0</v>
      </c>
      <c r="C169" s="71" t="n">
        <f aca="false">IF('Loan Tape'!$AN165=0,0,'Loan Tape'!$R165)</f>
        <v>0</v>
      </c>
      <c r="D169" s="71" t="n">
        <f aca="false">MAX(0,C169-C775-C1078-C1381-C1684)</f>
        <v>0</v>
      </c>
      <c r="E169" s="71" t="n">
        <f aca="false">MAX(0,D169-D775-D1078-D1381-D1684)</f>
        <v>0</v>
      </c>
      <c r="F169" s="71" t="n">
        <f aca="false">MAX(0,E169-E775-E1078-E1381-E1684)</f>
        <v>0</v>
      </c>
      <c r="G169" s="71" t="n">
        <f aca="false">MAX(0,F169-F775-F1078-F1381-F1684)</f>
        <v>0</v>
      </c>
      <c r="H169" s="71" t="n">
        <f aca="false">MAX(0,G169-G775-G1078-G1381-G1684)</f>
        <v>0</v>
      </c>
      <c r="I169" s="71" t="n">
        <f aca="false">MAX(0,H169-H775-H1078-H1381-H1684)</f>
        <v>0</v>
      </c>
      <c r="J169" s="71" t="n">
        <f aca="false">MAX(0,I169-I775-I1078-I1381-I1684)</f>
        <v>0</v>
      </c>
      <c r="K169" s="71" t="n">
        <f aca="false">MAX(0,J169-J775-J1078-J1381-J1684)</f>
        <v>0</v>
      </c>
      <c r="L169" s="71" t="n">
        <f aca="false">MAX(0,K169-K775-K1078-K1381-K1684)</f>
        <v>0</v>
      </c>
      <c r="M169" s="71" t="n">
        <f aca="false">MAX(0,L169-L775-L1078-L1381-L1684)</f>
        <v>0</v>
      </c>
    </row>
    <row r="170" customFormat="false" ht="15" hidden="false" customHeight="false" outlineLevel="0" collapsed="false">
      <c r="B170" s="102" t="n">
        <f aca="false">'Loan Tape'!$A166</f>
        <v>0</v>
      </c>
      <c r="C170" s="99" t="n">
        <f aca="false">IF('Loan Tape'!$AN166=0,0,'Loan Tape'!$R166)</f>
        <v>0</v>
      </c>
      <c r="D170" s="99" t="n">
        <f aca="false">MAX(0,C170-C776-C1079-C1382-C1685)</f>
        <v>0</v>
      </c>
      <c r="E170" s="99" t="n">
        <f aca="false">MAX(0,D170-D776-D1079-D1382-D1685)</f>
        <v>0</v>
      </c>
      <c r="F170" s="99" t="n">
        <f aca="false">MAX(0,E170-E776-E1079-E1382-E1685)</f>
        <v>0</v>
      </c>
      <c r="G170" s="99" t="n">
        <f aca="false">MAX(0,F170-F776-F1079-F1382-F1685)</f>
        <v>0</v>
      </c>
      <c r="H170" s="99" t="n">
        <f aca="false">MAX(0,G170-G776-G1079-G1382-G1685)</f>
        <v>0</v>
      </c>
      <c r="I170" s="99" t="n">
        <f aca="false">MAX(0,H170-H776-H1079-H1382-H1685)</f>
        <v>0</v>
      </c>
      <c r="J170" s="99" t="n">
        <f aca="false">MAX(0,I170-I776-I1079-I1382-I1685)</f>
        <v>0</v>
      </c>
      <c r="K170" s="99" t="n">
        <f aca="false">MAX(0,J170-J776-J1079-J1382-J1685)</f>
        <v>0</v>
      </c>
      <c r="L170" s="99" t="n">
        <f aca="false">MAX(0,K170-K776-K1079-K1382-K1685)</f>
        <v>0</v>
      </c>
      <c r="M170" s="99" t="n">
        <f aca="false">MAX(0,L170-L776-L1079-L1382-L1685)</f>
        <v>0</v>
      </c>
    </row>
    <row r="171" customFormat="false" ht="15" hidden="false" customHeight="false" outlineLevel="0" collapsed="false">
      <c r="B171" s="108" t="n">
        <f aca="false">'Loan Tape'!$A167</f>
        <v>0</v>
      </c>
      <c r="C171" s="71" t="n">
        <f aca="false">IF('Loan Tape'!$AN167=0,0,'Loan Tape'!$R167)</f>
        <v>0</v>
      </c>
      <c r="D171" s="71" t="n">
        <f aca="false">MAX(0,C171-C777-C1080-C1383-C1686)</f>
        <v>0</v>
      </c>
      <c r="E171" s="71" t="n">
        <f aca="false">MAX(0,D171-D777-D1080-D1383-D1686)</f>
        <v>0</v>
      </c>
      <c r="F171" s="71" t="n">
        <f aca="false">MAX(0,E171-E777-E1080-E1383-E1686)</f>
        <v>0</v>
      </c>
      <c r="G171" s="71" t="n">
        <f aca="false">MAX(0,F171-F777-F1080-F1383-F1686)</f>
        <v>0</v>
      </c>
      <c r="H171" s="71" t="n">
        <f aca="false">MAX(0,G171-G777-G1080-G1383-G1686)</f>
        <v>0</v>
      </c>
      <c r="I171" s="71" t="n">
        <f aca="false">MAX(0,H171-H777-H1080-H1383-H1686)</f>
        <v>0</v>
      </c>
      <c r="J171" s="71" t="n">
        <f aca="false">MAX(0,I171-I777-I1080-I1383-I1686)</f>
        <v>0</v>
      </c>
      <c r="K171" s="71" t="n">
        <f aca="false">MAX(0,J171-J777-J1080-J1383-J1686)</f>
        <v>0</v>
      </c>
      <c r="L171" s="71" t="n">
        <f aca="false">MAX(0,K171-K777-K1080-K1383-K1686)</f>
        <v>0</v>
      </c>
      <c r="M171" s="71" t="n">
        <f aca="false">MAX(0,L171-L777-L1080-L1383-L1686)</f>
        <v>0</v>
      </c>
    </row>
    <row r="172" customFormat="false" ht="15" hidden="false" customHeight="false" outlineLevel="0" collapsed="false">
      <c r="B172" s="102" t="n">
        <f aca="false">'Loan Tape'!$A168</f>
        <v>0</v>
      </c>
      <c r="C172" s="99" t="n">
        <f aca="false">IF('Loan Tape'!$AN168=0,0,'Loan Tape'!$R168)</f>
        <v>0</v>
      </c>
      <c r="D172" s="99" t="n">
        <f aca="false">MAX(0,C172-C778-C1081-C1384-C1687)</f>
        <v>0</v>
      </c>
      <c r="E172" s="99" t="n">
        <f aca="false">MAX(0,D172-D778-D1081-D1384-D1687)</f>
        <v>0</v>
      </c>
      <c r="F172" s="99" t="n">
        <f aca="false">MAX(0,E172-E778-E1081-E1384-E1687)</f>
        <v>0</v>
      </c>
      <c r="G172" s="99" t="n">
        <f aca="false">MAX(0,F172-F778-F1081-F1384-F1687)</f>
        <v>0</v>
      </c>
      <c r="H172" s="99" t="n">
        <f aca="false">MAX(0,G172-G778-G1081-G1384-G1687)</f>
        <v>0</v>
      </c>
      <c r="I172" s="99" t="n">
        <f aca="false">MAX(0,H172-H778-H1081-H1384-H1687)</f>
        <v>0</v>
      </c>
      <c r="J172" s="99" t="n">
        <f aca="false">MAX(0,I172-I778-I1081-I1384-I1687)</f>
        <v>0</v>
      </c>
      <c r="K172" s="99" t="n">
        <f aca="false">MAX(0,J172-J778-J1081-J1384-J1687)</f>
        <v>0</v>
      </c>
      <c r="L172" s="99" t="n">
        <f aca="false">MAX(0,K172-K778-K1081-K1384-K1687)</f>
        <v>0</v>
      </c>
      <c r="M172" s="99" t="n">
        <f aca="false">MAX(0,L172-L778-L1081-L1384-L1687)</f>
        <v>0</v>
      </c>
    </row>
    <row r="173" customFormat="false" ht="15" hidden="false" customHeight="false" outlineLevel="0" collapsed="false">
      <c r="B173" s="108" t="n">
        <f aca="false">'Loan Tape'!$A169</f>
        <v>0</v>
      </c>
      <c r="C173" s="71" t="n">
        <f aca="false">IF('Loan Tape'!$AN169=0,0,'Loan Tape'!$R169)</f>
        <v>0</v>
      </c>
      <c r="D173" s="71" t="n">
        <f aca="false">MAX(0,C173-C779-C1082-C1385-C1688)</f>
        <v>0</v>
      </c>
      <c r="E173" s="71" t="n">
        <f aca="false">MAX(0,D173-D779-D1082-D1385-D1688)</f>
        <v>0</v>
      </c>
      <c r="F173" s="71" t="n">
        <f aca="false">MAX(0,E173-E779-E1082-E1385-E1688)</f>
        <v>0</v>
      </c>
      <c r="G173" s="71" t="n">
        <f aca="false">MAX(0,F173-F779-F1082-F1385-F1688)</f>
        <v>0</v>
      </c>
      <c r="H173" s="71" t="n">
        <f aca="false">MAX(0,G173-G779-G1082-G1385-G1688)</f>
        <v>0</v>
      </c>
      <c r="I173" s="71" t="n">
        <f aca="false">MAX(0,H173-H779-H1082-H1385-H1688)</f>
        <v>0</v>
      </c>
      <c r="J173" s="71" t="n">
        <f aca="false">MAX(0,I173-I779-I1082-I1385-I1688)</f>
        <v>0</v>
      </c>
      <c r="K173" s="71" t="n">
        <f aca="false">MAX(0,J173-J779-J1082-J1385-J1688)</f>
        <v>0</v>
      </c>
      <c r="L173" s="71" t="n">
        <f aca="false">MAX(0,K173-K779-K1082-K1385-K1688)</f>
        <v>0</v>
      </c>
      <c r="M173" s="71" t="n">
        <f aca="false">MAX(0,L173-L779-L1082-L1385-L1688)</f>
        <v>0</v>
      </c>
    </row>
    <row r="174" customFormat="false" ht="15" hidden="false" customHeight="false" outlineLevel="0" collapsed="false">
      <c r="B174" s="102" t="n">
        <f aca="false">'Loan Tape'!$A170</f>
        <v>0</v>
      </c>
      <c r="C174" s="99" t="n">
        <f aca="false">IF('Loan Tape'!$AN170=0,0,'Loan Tape'!$R170)</f>
        <v>0</v>
      </c>
      <c r="D174" s="99" t="n">
        <f aca="false">MAX(0,C174-C780-C1083-C1386-C1689)</f>
        <v>0</v>
      </c>
      <c r="E174" s="99" t="n">
        <f aca="false">MAX(0,D174-D780-D1083-D1386-D1689)</f>
        <v>0</v>
      </c>
      <c r="F174" s="99" t="n">
        <f aca="false">MAX(0,E174-E780-E1083-E1386-E1689)</f>
        <v>0</v>
      </c>
      <c r="G174" s="99" t="n">
        <f aca="false">MAX(0,F174-F780-F1083-F1386-F1689)</f>
        <v>0</v>
      </c>
      <c r="H174" s="99" t="n">
        <f aca="false">MAX(0,G174-G780-G1083-G1386-G1689)</f>
        <v>0</v>
      </c>
      <c r="I174" s="99" t="n">
        <f aca="false">MAX(0,H174-H780-H1083-H1386-H1689)</f>
        <v>0</v>
      </c>
      <c r="J174" s="99" t="n">
        <f aca="false">MAX(0,I174-I780-I1083-I1386-I1689)</f>
        <v>0</v>
      </c>
      <c r="K174" s="99" t="n">
        <f aca="false">MAX(0,J174-J780-J1083-J1386-J1689)</f>
        <v>0</v>
      </c>
      <c r="L174" s="99" t="n">
        <f aca="false">MAX(0,K174-K780-K1083-K1386-K1689)</f>
        <v>0</v>
      </c>
      <c r="M174" s="99" t="n">
        <f aca="false">MAX(0,L174-L780-L1083-L1386-L1689)</f>
        <v>0</v>
      </c>
    </row>
    <row r="175" customFormat="false" ht="15" hidden="false" customHeight="false" outlineLevel="0" collapsed="false">
      <c r="B175" s="108" t="n">
        <f aca="false">'Loan Tape'!$A171</f>
        <v>0</v>
      </c>
      <c r="C175" s="71" t="n">
        <f aca="false">IF('Loan Tape'!$AN171=0,0,'Loan Tape'!$R171)</f>
        <v>0</v>
      </c>
      <c r="D175" s="71" t="n">
        <f aca="false">MAX(0,C175-C781-C1084-C1387-C1690)</f>
        <v>0</v>
      </c>
      <c r="E175" s="71" t="n">
        <f aca="false">MAX(0,D175-D781-D1084-D1387-D1690)</f>
        <v>0</v>
      </c>
      <c r="F175" s="71" t="n">
        <f aca="false">MAX(0,E175-E781-E1084-E1387-E1690)</f>
        <v>0</v>
      </c>
      <c r="G175" s="71" t="n">
        <f aca="false">MAX(0,F175-F781-F1084-F1387-F1690)</f>
        <v>0</v>
      </c>
      <c r="H175" s="71" t="n">
        <f aca="false">MAX(0,G175-G781-G1084-G1387-G1690)</f>
        <v>0</v>
      </c>
      <c r="I175" s="71" t="n">
        <f aca="false">MAX(0,H175-H781-H1084-H1387-H1690)</f>
        <v>0</v>
      </c>
      <c r="J175" s="71" t="n">
        <f aca="false">MAX(0,I175-I781-I1084-I1387-I1690)</f>
        <v>0</v>
      </c>
      <c r="K175" s="71" t="n">
        <f aca="false">MAX(0,J175-J781-J1084-J1387-J1690)</f>
        <v>0</v>
      </c>
      <c r="L175" s="71" t="n">
        <f aca="false">MAX(0,K175-K781-K1084-K1387-K1690)</f>
        <v>0</v>
      </c>
      <c r="M175" s="71" t="n">
        <f aca="false">MAX(0,L175-L781-L1084-L1387-L1690)</f>
        <v>0</v>
      </c>
    </row>
    <row r="176" customFormat="false" ht="15" hidden="false" customHeight="false" outlineLevel="0" collapsed="false">
      <c r="B176" s="102" t="n">
        <f aca="false">'Loan Tape'!$A172</f>
        <v>0</v>
      </c>
      <c r="C176" s="99" t="n">
        <f aca="false">IF('Loan Tape'!$AN172=0,0,'Loan Tape'!$R172)</f>
        <v>0</v>
      </c>
      <c r="D176" s="99" t="n">
        <f aca="false">MAX(0,C176-C782-C1085-C1388-C1691)</f>
        <v>0</v>
      </c>
      <c r="E176" s="99" t="n">
        <f aca="false">MAX(0,D176-D782-D1085-D1388-D1691)</f>
        <v>0</v>
      </c>
      <c r="F176" s="99" t="n">
        <f aca="false">MAX(0,E176-E782-E1085-E1388-E1691)</f>
        <v>0</v>
      </c>
      <c r="G176" s="99" t="n">
        <f aca="false">MAX(0,F176-F782-F1085-F1388-F1691)</f>
        <v>0</v>
      </c>
      <c r="H176" s="99" t="n">
        <f aca="false">MAX(0,G176-G782-G1085-G1388-G1691)</f>
        <v>0</v>
      </c>
      <c r="I176" s="99" t="n">
        <f aca="false">MAX(0,H176-H782-H1085-H1388-H1691)</f>
        <v>0</v>
      </c>
      <c r="J176" s="99" t="n">
        <f aca="false">MAX(0,I176-I782-I1085-I1388-I1691)</f>
        <v>0</v>
      </c>
      <c r="K176" s="99" t="n">
        <f aca="false">MAX(0,J176-J782-J1085-J1388-J1691)</f>
        <v>0</v>
      </c>
      <c r="L176" s="99" t="n">
        <f aca="false">MAX(0,K176-K782-K1085-K1388-K1691)</f>
        <v>0</v>
      </c>
      <c r="M176" s="99" t="n">
        <f aca="false">MAX(0,L176-L782-L1085-L1388-L1691)</f>
        <v>0</v>
      </c>
    </row>
    <row r="177" customFormat="false" ht="15" hidden="false" customHeight="false" outlineLevel="0" collapsed="false">
      <c r="B177" s="108" t="n">
        <f aca="false">'Loan Tape'!$A173</f>
        <v>0</v>
      </c>
      <c r="C177" s="71" t="n">
        <f aca="false">IF('Loan Tape'!$AN173=0,0,'Loan Tape'!$R173)</f>
        <v>0</v>
      </c>
      <c r="D177" s="71" t="n">
        <f aca="false">MAX(0,C177-C783-C1086-C1389-C1692)</f>
        <v>0</v>
      </c>
      <c r="E177" s="71" t="n">
        <f aca="false">MAX(0,D177-D783-D1086-D1389-D1692)</f>
        <v>0</v>
      </c>
      <c r="F177" s="71" t="n">
        <f aca="false">MAX(0,E177-E783-E1086-E1389-E1692)</f>
        <v>0</v>
      </c>
      <c r="G177" s="71" t="n">
        <f aca="false">MAX(0,F177-F783-F1086-F1389-F1692)</f>
        <v>0</v>
      </c>
      <c r="H177" s="71" t="n">
        <f aca="false">MAX(0,G177-G783-G1086-G1389-G1692)</f>
        <v>0</v>
      </c>
      <c r="I177" s="71" t="n">
        <f aca="false">MAX(0,H177-H783-H1086-H1389-H1692)</f>
        <v>0</v>
      </c>
      <c r="J177" s="71" t="n">
        <f aca="false">MAX(0,I177-I783-I1086-I1389-I1692)</f>
        <v>0</v>
      </c>
      <c r="K177" s="71" t="n">
        <f aca="false">MAX(0,J177-J783-J1086-J1389-J1692)</f>
        <v>0</v>
      </c>
      <c r="L177" s="71" t="n">
        <f aca="false">MAX(0,K177-K783-K1086-K1389-K1692)</f>
        <v>0</v>
      </c>
      <c r="M177" s="71" t="n">
        <f aca="false">MAX(0,L177-L783-L1086-L1389-L1692)</f>
        <v>0</v>
      </c>
    </row>
    <row r="178" customFormat="false" ht="15" hidden="false" customHeight="false" outlineLevel="0" collapsed="false">
      <c r="B178" s="102" t="n">
        <f aca="false">'Loan Tape'!$A174</f>
        <v>0</v>
      </c>
      <c r="C178" s="99" t="n">
        <f aca="false">IF('Loan Tape'!$AN174=0,0,'Loan Tape'!$R174)</f>
        <v>0</v>
      </c>
      <c r="D178" s="99" t="n">
        <f aca="false">MAX(0,C178-C784-C1087-C1390-C1693)</f>
        <v>0</v>
      </c>
      <c r="E178" s="99" t="n">
        <f aca="false">MAX(0,D178-D784-D1087-D1390-D1693)</f>
        <v>0</v>
      </c>
      <c r="F178" s="99" t="n">
        <f aca="false">MAX(0,E178-E784-E1087-E1390-E1693)</f>
        <v>0</v>
      </c>
      <c r="G178" s="99" t="n">
        <f aca="false">MAX(0,F178-F784-F1087-F1390-F1693)</f>
        <v>0</v>
      </c>
      <c r="H178" s="99" t="n">
        <f aca="false">MAX(0,G178-G784-G1087-G1390-G1693)</f>
        <v>0</v>
      </c>
      <c r="I178" s="99" t="n">
        <f aca="false">MAX(0,H178-H784-H1087-H1390-H1693)</f>
        <v>0</v>
      </c>
      <c r="J178" s="99" t="n">
        <f aca="false">MAX(0,I178-I784-I1087-I1390-I1693)</f>
        <v>0</v>
      </c>
      <c r="K178" s="99" t="n">
        <f aca="false">MAX(0,J178-J784-J1087-J1390-J1693)</f>
        <v>0</v>
      </c>
      <c r="L178" s="99" t="n">
        <f aca="false">MAX(0,K178-K784-K1087-K1390-K1693)</f>
        <v>0</v>
      </c>
      <c r="M178" s="99" t="n">
        <f aca="false">MAX(0,L178-L784-L1087-L1390-L1693)</f>
        <v>0</v>
      </c>
    </row>
    <row r="179" customFormat="false" ht="15" hidden="false" customHeight="false" outlineLevel="0" collapsed="false">
      <c r="B179" s="108" t="n">
        <f aca="false">'Loan Tape'!$A175</f>
        <v>0</v>
      </c>
      <c r="C179" s="71" t="n">
        <f aca="false">IF('Loan Tape'!$AN175=0,0,'Loan Tape'!$R175)</f>
        <v>0</v>
      </c>
      <c r="D179" s="71" t="n">
        <f aca="false">MAX(0,C179-C785-C1088-C1391-C1694)</f>
        <v>0</v>
      </c>
      <c r="E179" s="71" t="n">
        <f aca="false">MAX(0,D179-D785-D1088-D1391-D1694)</f>
        <v>0</v>
      </c>
      <c r="F179" s="71" t="n">
        <f aca="false">MAX(0,E179-E785-E1088-E1391-E1694)</f>
        <v>0</v>
      </c>
      <c r="G179" s="71" t="n">
        <f aca="false">MAX(0,F179-F785-F1088-F1391-F1694)</f>
        <v>0</v>
      </c>
      <c r="H179" s="71" t="n">
        <f aca="false">MAX(0,G179-G785-G1088-G1391-G1694)</f>
        <v>0</v>
      </c>
      <c r="I179" s="71" t="n">
        <f aca="false">MAX(0,H179-H785-H1088-H1391-H1694)</f>
        <v>0</v>
      </c>
      <c r="J179" s="71" t="n">
        <f aca="false">MAX(0,I179-I785-I1088-I1391-I1694)</f>
        <v>0</v>
      </c>
      <c r="K179" s="71" t="n">
        <f aca="false">MAX(0,J179-J785-J1088-J1391-J1694)</f>
        <v>0</v>
      </c>
      <c r="L179" s="71" t="n">
        <f aca="false">MAX(0,K179-K785-K1088-K1391-K1694)</f>
        <v>0</v>
      </c>
      <c r="M179" s="71" t="n">
        <f aca="false">MAX(0,L179-L785-L1088-L1391-L1694)</f>
        <v>0</v>
      </c>
    </row>
    <row r="180" customFormat="false" ht="15" hidden="false" customHeight="false" outlineLevel="0" collapsed="false">
      <c r="B180" s="102" t="n">
        <f aca="false">'Loan Tape'!$A176</f>
        <v>0</v>
      </c>
      <c r="C180" s="99" t="n">
        <f aca="false">IF('Loan Tape'!$AN176=0,0,'Loan Tape'!$R176)</f>
        <v>0</v>
      </c>
      <c r="D180" s="99" t="n">
        <f aca="false">MAX(0,C180-C786-C1089-C1392-C1695)</f>
        <v>0</v>
      </c>
      <c r="E180" s="99" t="n">
        <f aca="false">MAX(0,D180-D786-D1089-D1392-D1695)</f>
        <v>0</v>
      </c>
      <c r="F180" s="99" t="n">
        <f aca="false">MAX(0,E180-E786-E1089-E1392-E1695)</f>
        <v>0</v>
      </c>
      <c r="G180" s="99" t="n">
        <f aca="false">MAX(0,F180-F786-F1089-F1392-F1695)</f>
        <v>0</v>
      </c>
      <c r="H180" s="99" t="n">
        <f aca="false">MAX(0,G180-G786-G1089-G1392-G1695)</f>
        <v>0</v>
      </c>
      <c r="I180" s="99" t="n">
        <f aca="false">MAX(0,H180-H786-H1089-H1392-H1695)</f>
        <v>0</v>
      </c>
      <c r="J180" s="99" t="n">
        <f aca="false">MAX(0,I180-I786-I1089-I1392-I1695)</f>
        <v>0</v>
      </c>
      <c r="K180" s="99" t="n">
        <f aca="false">MAX(0,J180-J786-J1089-J1392-J1695)</f>
        <v>0</v>
      </c>
      <c r="L180" s="99" t="n">
        <f aca="false">MAX(0,K180-K786-K1089-K1392-K1695)</f>
        <v>0</v>
      </c>
      <c r="M180" s="99" t="n">
        <f aca="false">MAX(0,L180-L786-L1089-L1392-L1695)</f>
        <v>0</v>
      </c>
    </row>
    <row r="181" customFormat="false" ht="15" hidden="false" customHeight="false" outlineLevel="0" collapsed="false">
      <c r="B181" s="108" t="n">
        <f aca="false">'Loan Tape'!$A177</f>
        <v>0</v>
      </c>
      <c r="C181" s="71" t="n">
        <f aca="false">IF('Loan Tape'!$AN177=0,0,'Loan Tape'!$R177)</f>
        <v>0</v>
      </c>
      <c r="D181" s="71" t="n">
        <f aca="false">MAX(0,C181-C787-C1090-C1393-C1696)</f>
        <v>0</v>
      </c>
      <c r="E181" s="71" t="n">
        <f aca="false">MAX(0,D181-D787-D1090-D1393-D1696)</f>
        <v>0</v>
      </c>
      <c r="F181" s="71" t="n">
        <f aca="false">MAX(0,E181-E787-E1090-E1393-E1696)</f>
        <v>0</v>
      </c>
      <c r="G181" s="71" t="n">
        <f aca="false">MAX(0,F181-F787-F1090-F1393-F1696)</f>
        <v>0</v>
      </c>
      <c r="H181" s="71" t="n">
        <f aca="false">MAX(0,G181-G787-G1090-G1393-G1696)</f>
        <v>0</v>
      </c>
      <c r="I181" s="71" t="n">
        <f aca="false">MAX(0,H181-H787-H1090-H1393-H1696)</f>
        <v>0</v>
      </c>
      <c r="J181" s="71" t="n">
        <f aca="false">MAX(0,I181-I787-I1090-I1393-I1696)</f>
        <v>0</v>
      </c>
      <c r="K181" s="71" t="n">
        <f aca="false">MAX(0,J181-J787-J1090-J1393-J1696)</f>
        <v>0</v>
      </c>
      <c r="L181" s="71" t="n">
        <f aca="false">MAX(0,K181-K787-K1090-K1393-K1696)</f>
        <v>0</v>
      </c>
      <c r="M181" s="71" t="n">
        <f aca="false">MAX(0,L181-L787-L1090-L1393-L1696)</f>
        <v>0</v>
      </c>
    </row>
    <row r="182" customFormat="false" ht="15" hidden="false" customHeight="false" outlineLevel="0" collapsed="false">
      <c r="B182" s="102" t="n">
        <f aca="false">'Loan Tape'!$A178</f>
        <v>0</v>
      </c>
      <c r="C182" s="99" t="n">
        <f aca="false">IF('Loan Tape'!$AN178=0,0,'Loan Tape'!$R178)</f>
        <v>0</v>
      </c>
      <c r="D182" s="99" t="n">
        <f aca="false">MAX(0,C182-C788-C1091-C1394-C1697)</f>
        <v>0</v>
      </c>
      <c r="E182" s="99" t="n">
        <f aca="false">MAX(0,D182-D788-D1091-D1394-D1697)</f>
        <v>0</v>
      </c>
      <c r="F182" s="99" t="n">
        <f aca="false">MAX(0,E182-E788-E1091-E1394-E1697)</f>
        <v>0</v>
      </c>
      <c r="G182" s="99" t="n">
        <f aca="false">MAX(0,F182-F788-F1091-F1394-F1697)</f>
        <v>0</v>
      </c>
      <c r="H182" s="99" t="n">
        <f aca="false">MAX(0,G182-G788-G1091-G1394-G1697)</f>
        <v>0</v>
      </c>
      <c r="I182" s="99" t="n">
        <f aca="false">MAX(0,H182-H788-H1091-H1394-H1697)</f>
        <v>0</v>
      </c>
      <c r="J182" s="99" t="n">
        <f aca="false">MAX(0,I182-I788-I1091-I1394-I1697)</f>
        <v>0</v>
      </c>
      <c r="K182" s="99" t="n">
        <f aca="false">MAX(0,J182-J788-J1091-J1394-J1697)</f>
        <v>0</v>
      </c>
      <c r="L182" s="99" t="n">
        <f aca="false">MAX(0,K182-K788-K1091-K1394-K1697)</f>
        <v>0</v>
      </c>
      <c r="M182" s="99" t="n">
        <f aca="false">MAX(0,L182-L788-L1091-L1394-L1697)</f>
        <v>0</v>
      </c>
    </row>
    <row r="183" customFormat="false" ht="15" hidden="false" customHeight="false" outlineLevel="0" collapsed="false">
      <c r="B183" s="108" t="n">
        <f aca="false">'Loan Tape'!$A179</f>
        <v>0</v>
      </c>
      <c r="C183" s="71" t="n">
        <f aca="false">IF('Loan Tape'!$AN179=0,0,'Loan Tape'!$R179)</f>
        <v>0</v>
      </c>
      <c r="D183" s="71" t="n">
        <f aca="false">MAX(0,C183-C789-C1092-C1395-C1698)</f>
        <v>0</v>
      </c>
      <c r="E183" s="71" t="n">
        <f aca="false">MAX(0,D183-D789-D1092-D1395-D1698)</f>
        <v>0</v>
      </c>
      <c r="F183" s="71" t="n">
        <f aca="false">MAX(0,E183-E789-E1092-E1395-E1698)</f>
        <v>0</v>
      </c>
      <c r="G183" s="71" t="n">
        <f aca="false">MAX(0,F183-F789-F1092-F1395-F1698)</f>
        <v>0</v>
      </c>
      <c r="H183" s="71" t="n">
        <f aca="false">MAX(0,G183-G789-G1092-G1395-G1698)</f>
        <v>0</v>
      </c>
      <c r="I183" s="71" t="n">
        <f aca="false">MAX(0,H183-H789-H1092-H1395-H1698)</f>
        <v>0</v>
      </c>
      <c r="J183" s="71" t="n">
        <f aca="false">MAX(0,I183-I789-I1092-I1395-I1698)</f>
        <v>0</v>
      </c>
      <c r="K183" s="71" t="n">
        <f aca="false">MAX(0,J183-J789-J1092-J1395-J1698)</f>
        <v>0</v>
      </c>
      <c r="L183" s="71" t="n">
        <f aca="false">MAX(0,K183-K789-K1092-K1395-K1698)</f>
        <v>0</v>
      </c>
      <c r="M183" s="71" t="n">
        <f aca="false">MAX(0,L183-L789-L1092-L1395-L1698)</f>
        <v>0</v>
      </c>
    </row>
    <row r="184" customFormat="false" ht="15" hidden="false" customHeight="false" outlineLevel="0" collapsed="false">
      <c r="B184" s="102" t="n">
        <f aca="false">'Loan Tape'!$A180</f>
        <v>0</v>
      </c>
      <c r="C184" s="99" t="n">
        <f aca="false">IF('Loan Tape'!$AN180=0,0,'Loan Tape'!$R180)</f>
        <v>0</v>
      </c>
      <c r="D184" s="99" t="n">
        <f aca="false">MAX(0,C184-C790-C1093-C1396-C1699)</f>
        <v>0</v>
      </c>
      <c r="E184" s="99" t="n">
        <f aca="false">MAX(0,D184-D790-D1093-D1396-D1699)</f>
        <v>0</v>
      </c>
      <c r="F184" s="99" t="n">
        <f aca="false">MAX(0,E184-E790-E1093-E1396-E1699)</f>
        <v>0</v>
      </c>
      <c r="G184" s="99" t="n">
        <f aca="false">MAX(0,F184-F790-F1093-F1396-F1699)</f>
        <v>0</v>
      </c>
      <c r="H184" s="99" t="n">
        <f aca="false">MAX(0,G184-G790-G1093-G1396-G1699)</f>
        <v>0</v>
      </c>
      <c r="I184" s="99" t="n">
        <f aca="false">MAX(0,H184-H790-H1093-H1396-H1699)</f>
        <v>0</v>
      </c>
      <c r="J184" s="99" t="n">
        <f aca="false">MAX(0,I184-I790-I1093-I1396-I1699)</f>
        <v>0</v>
      </c>
      <c r="K184" s="99" t="n">
        <f aca="false">MAX(0,J184-J790-J1093-J1396-J1699)</f>
        <v>0</v>
      </c>
      <c r="L184" s="99" t="n">
        <f aca="false">MAX(0,K184-K790-K1093-K1396-K1699)</f>
        <v>0</v>
      </c>
      <c r="M184" s="99" t="n">
        <f aca="false">MAX(0,L184-L790-L1093-L1396-L1699)</f>
        <v>0</v>
      </c>
    </row>
    <row r="185" customFormat="false" ht="15" hidden="false" customHeight="false" outlineLevel="0" collapsed="false">
      <c r="B185" s="108" t="n">
        <f aca="false">'Loan Tape'!$A181</f>
        <v>0</v>
      </c>
      <c r="C185" s="71" t="n">
        <f aca="false">IF('Loan Tape'!$AN181=0,0,'Loan Tape'!$R181)</f>
        <v>0</v>
      </c>
      <c r="D185" s="71" t="n">
        <f aca="false">MAX(0,C185-C791-C1094-C1397-C1700)</f>
        <v>0</v>
      </c>
      <c r="E185" s="71" t="n">
        <f aca="false">MAX(0,D185-D791-D1094-D1397-D1700)</f>
        <v>0</v>
      </c>
      <c r="F185" s="71" t="n">
        <f aca="false">MAX(0,E185-E791-E1094-E1397-E1700)</f>
        <v>0</v>
      </c>
      <c r="G185" s="71" t="n">
        <f aca="false">MAX(0,F185-F791-F1094-F1397-F1700)</f>
        <v>0</v>
      </c>
      <c r="H185" s="71" t="n">
        <f aca="false">MAX(0,G185-G791-G1094-G1397-G1700)</f>
        <v>0</v>
      </c>
      <c r="I185" s="71" t="n">
        <f aca="false">MAX(0,H185-H791-H1094-H1397-H1700)</f>
        <v>0</v>
      </c>
      <c r="J185" s="71" t="n">
        <f aca="false">MAX(0,I185-I791-I1094-I1397-I1700)</f>
        <v>0</v>
      </c>
      <c r="K185" s="71" t="n">
        <f aca="false">MAX(0,J185-J791-J1094-J1397-J1700)</f>
        <v>0</v>
      </c>
      <c r="L185" s="71" t="n">
        <f aca="false">MAX(0,K185-K791-K1094-K1397-K1700)</f>
        <v>0</v>
      </c>
      <c r="M185" s="71" t="n">
        <f aca="false">MAX(0,L185-L791-L1094-L1397-L1700)</f>
        <v>0</v>
      </c>
    </row>
    <row r="186" customFormat="false" ht="15" hidden="false" customHeight="false" outlineLevel="0" collapsed="false">
      <c r="B186" s="102" t="n">
        <f aca="false">'Loan Tape'!$A182</f>
        <v>0</v>
      </c>
      <c r="C186" s="99" t="n">
        <f aca="false">IF('Loan Tape'!$AN182=0,0,'Loan Tape'!$R182)</f>
        <v>0</v>
      </c>
      <c r="D186" s="99" t="n">
        <f aca="false">MAX(0,C186-C792-C1095-C1398-C1701)</f>
        <v>0</v>
      </c>
      <c r="E186" s="99" t="n">
        <f aca="false">MAX(0,D186-D792-D1095-D1398-D1701)</f>
        <v>0</v>
      </c>
      <c r="F186" s="99" t="n">
        <f aca="false">MAX(0,E186-E792-E1095-E1398-E1701)</f>
        <v>0</v>
      </c>
      <c r="G186" s="99" t="n">
        <f aca="false">MAX(0,F186-F792-F1095-F1398-F1701)</f>
        <v>0</v>
      </c>
      <c r="H186" s="99" t="n">
        <f aca="false">MAX(0,G186-G792-G1095-G1398-G1701)</f>
        <v>0</v>
      </c>
      <c r="I186" s="99" t="n">
        <f aca="false">MAX(0,H186-H792-H1095-H1398-H1701)</f>
        <v>0</v>
      </c>
      <c r="J186" s="99" t="n">
        <f aca="false">MAX(0,I186-I792-I1095-I1398-I1701)</f>
        <v>0</v>
      </c>
      <c r="K186" s="99" t="n">
        <f aca="false">MAX(0,J186-J792-J1095-J1398-J1701)</f>
        <v>0</v>
      </c>
      <c r="L186" s="99" t="n">
        <f aca="false">MAX(0,K186-K792-K1095-K1398-K1701)</f>
        <v>0</v>
      </c>
      <c r="M186" s="99" t="n">
        <f aca="false">MAX(0,L186-L792-L1095-L1398-L1701)</f>
        <v>0</v>
      </c>
    </row>
    <row r="187" customFormat="false" ht="15" hidden="false" customHeight="false" outlineLevel="0" collapsed="false">
      <c r="B187" s="108" t="n">
        <f aca="false">'Loan Tape'!$A183</f>
        <v>0</v>
      </c>
      <c r="C187" s="71" t="n">
        <f aca="false">IF('Loan Tape'!$AN183=0,0,'Loan Tape'!$R183)</f>
        <v>0</v>
      </c>
      <c r="D187" s="71" t="n">
        <f aca="false">MAX(0,C187-C793-C1096-C1399-C1702)</f>
        <v>0</v>
      </c>
      <c r="E187" s="71" t="n">
        <f aca="false">MAX(0,D187-D793-D1096-D1399-D1702)</f>
        <v>0</v>
      </c>
      <c r="F187" s="71" t="n">
        <f aca="false">MAX(0,E187-E793-E1096-E1399-E1702)</f>
        <v>0</v>
      </c>
      <c r="G187" s="71" t="n">
        <f aca="false">MAX(0,F187-F793-F1096-F1399-F1702)</f>
        <v>0</v>
      </c>
      <c r="H187" s="71" t="n">
        <f aca="false">MAX(0,G187-G793-G1096-G1399-G1702)</f>
        <v>0</v>
      </c>
      <c r="I187" s="71" t="n">
        <f aca="false">MAX(0,H187-H793-H1096-H1399-H1702)</f>
        <v>0</v>
      </c>
      <c r="J187" s="71" t="n">
        <f aca="false">MAX(0,I187-I793-I1096-I1399-I1702)</f>
        <v>0</v>
      </c>
      <c r="K187" s="71" t="n">
        <f aca="false">MAX(0,J187-J793-J1096-J1399-J1702)</f>
        <v>0</v>
      </c>
      <c r="L187" s="71" t="n">
        <f aca="false">MAX(0,K187-K793-K1096-K1399-K1702)</f>
        <v>0</v>
      </c>
      <c r="M187" s="71" t="n">
        <f aca="false">MAX(0,L187-L793-L1096-L1399-L1702)</f>
        <v>0</v>
      </c>
    </row>
    <row r="188" customFormat="false" ht="15" hidden="false" customHeight="false" outlineLevel="0" collapsed="false">
      <c r="B188" s="102" t="n">
        <f aca="false">'Loan Tape'!$A184</f>
        <v>0</v>
      </c>
      <c r="C188" s="99" t="n">
        <f aca="false">IF('Loan Tape'!$AN184=0,0,'Loan Tape'!$R184)</f>
        <v>0</v>
      </c>
      <c r="D188" s="99" t="n">
        <f aca="false">MAX(0,C188-C794-C1097-C1400-C1703)</f>
        <v>0</v>
      </c>
      <c r="E188" s="99" t="n">
        <f aca="false">MAX(0,D188-D794-D1097-D1400-D1703)</f>
        <v>0</v>
      </c>
      <c r="F188" s="99" t="n">
        <f aca="false">MAX(0,E188-E794-E1097-E1400-E1703)</f>
        <v>0</v>
      </c>
      <c r="G188" s="99" t="n">
        <f aca="false">MAX(0,F188-F794-F1097-F1400-F1703)</f>
        <v>0</v>
      </c>
      <c r="H188" s="99" t="n">
        <f aca="false">MAX(0,G188-G794-G1097-G1400-G1703)</f>
        <v>0</v>
      </c>
      <c r="I188" s="99" t="n">
        <f aca="false">MAX(0,H188-H794-H1097-H1400-H1703)</f>
        <v>0</v>
      </c>
      <c r="J188" s="99" t="n">
        <f aca="false">MAX(0,I188-I794-I1097-I1400-I1703)</f>
        <v>0</v>
      </c>
      <c r="K188" s="99" t="n">
        <f aca="false">MAX(0,J188-J794-J1097-J1400-J1703)</f>
        <v>0</v>
      </c>
      <c r="L188" s="99" t="n">
        <f aca="false">MAX(0,K188-K794-K1097-K1400-K1703)</f>
        <v>0</v>
      </c>
      <c r="M188" s="99" t="n">
        <f aca="false">MAX(0,L188-L794-L1097-L1400-L1703)</f>
        <v>0</v>
      </c>
    </row>
    <row r="189" customFormat="false" ht="15" hidden="false" customHeight="false" outlineLevel="0" collapsed="false">
      <c r="B189" s="108" t="n">
        <f aca="false">'Loan Tape'!$A185</f>
        <v>0</v>
      </c>
      <c r="C189" s="71" t="n">
        <f aca="false">IF('Loan Tape'!$AN185=0,0,'Loan Tape'!$R185)</f>
        <v>0</v>
      </c>
      <c r="D189" s="71" t="n">
        <f aca="false">MAX(0,C189-C795-C1098-C1401-C1704)</f>
        <v>0</v>
      </c>
      <c r="E189" s="71" t="n">
        <f aca="false">MAX(0,D189-D795-D1098-D1401-D1704)</f>
        <v>0</v>
      </c>
      <c r="F189" s="71" t="n">
        <f aca="false">MAX(0,E189-E795-E1098-E1401-E1704)</f>
        <v>0</v>
      </c>
      <c r="G189" s="71" t="n">
        <f aca="false">MAX(0,F189-F795-F1098-F1401-F1704)</f>
        <v>0</v>
      </c>
      <c r="H189" s="71" t="n">
        <f aca="false">MAX(0,G189-G795-G1098-G1401-G1704)</f>
        <v>0</v>
      </c>
      <c r="I189" s="71" t="n">
        <f aca="false">MAX(0,H189-H795-H1098-H1401-H1704)</f>
        <v>0</v>
      </c>
      <c r="J189" s="71" t="n">
        <f aca="false">MAX(0,I189-I795-I1098-I1401-I1704)</f>
        <v>0</v>
      </c>
      <c r="K189" s="71" t="n">
        <f aca="false">MAX(0,J189-J795-J1098-J1401-J1704)</f>
        <v>0</v>
      </c>
      <c r="L189" s="71" t="n">
        <f aca="false">MAX(0,K189-K795-K1098-K1401-K1704)</f>
        <v>0</v>
      </c>
      <c r="M189" s="71" t="n">
        <f aca="false">MAX(0,L189-L795-L1098-L1401-L1704)</f>
        <v>0</v>
      </c>
    </row>
    <row r="190" customFormat="false" ht="15" hidden="false" customHeight="false" outlineLevel="0" collapsed="false">
      <c r="B190" s="102" t="n">
        <f aca="false">'Loan Tape'!$A186</f>
        <v>0</v>
      </c>
      <c r="C190" s="99" t="n">
        <f aca="false">IF('Loan Tape'!$AN186=0,0,'Loan Tape'!$R186)</f>
        <v>0</v>
      </c>
      <c r="D190" s="99" t="n">
        <f aca="false">MAX(0,C190-C796-C1099-C1402-C1705)</f>
        <v>0</v>
      </c>
      <c r="E190" s="99" t="n">
        <f aca="false">MAX(0,D190-D796-D1099-D1402-D1705)</f>
        <v>0</v>
      </c>
      <c r="F190" s="99" t="n">
        <f aca="false">MAX(0,E190-E796-E1099-E1402-E1705)</f>
        <v>0</v>
      </c>
      <c r="G190" s="99" t="n">
        <f aca="false">MAX(0,F190-F796-F1099-F1402-F1705)</f>
        <v>0</v>
      </c>
      <c r="H190" s="99" t="n">
        <f aca="false">MAX(0,G190-G796-G1099-G1402-G1705)</f>
        <v>0</v>
      </c>
      <c r="I190" s="99" t="n">
        <f aca="false">MAX(0,H190-H796-H1099-H1402-H1705)</f>
        <v>0</v>
      </c>
      <c r="J190" s="99" t="n">
        <f aca="false">MAX(0,I190-I796-I1099-I1402-I1705)</f>
        <v>0</v>
      </c>
      <c r="K190" s="99" t="n">
        <f aca="false">MAX(0,J190-J796-J1099-J1402-J1705)</f>
        <v>0</v>
      </c>
      <c r="L190" s="99" t="n">
        <f aca="false">MAX(0,K190-K796-K1099-K1402-K1705)</f>
        <v>0</v>
      </c>
      <c r="M190" s="99" t="n">
        <f aca="false">MAX(0,L190-L796-L1099-L1402-L1705)</f>
        <v>0</v>
      </c>
    </row>
    <row r="191" customFormat="false" ht="15" hidden="false" customHeight="false" outlineLevel="0" collapsed="false">
      <c r="B191" s="108" t="n">
        <f aca="false">'Loan Tape'!$A187</f>
        <v>0</v>
      </c>
      <c r="C191" s="71" t="n">
        <f aca="false">IF('Loan Tape'!$AN187=0,0,'Loan Tape'!$R187)</f>
        <v>0</v>
      </c>
      <c r="D191" s="71" t="n">
        <f aca="false">MAX(0,C191-C797-C1100-C1403-C1706)</f>
        <v>0</v>
      </c>
      <c r="E191" s="71" t="n">
        <f aca="false">MAX(0,D191-D797-D1100-D1403-D1706)</f>
        <v>0</v>
      </c>
      <c r="F191" s="71" t="n">
        <f aca="false">MAX(0,E191-E797-E1100-E1403-E1706)</f>
        <v>0</v>
      </c>
      <c r="G191" s="71" t="n">
        <f aca="false">MAX(0,F191-F797-F1100-F1403-F1706)</f>
        <v>0</v>
      </c>
      <c r="H191" s="71" t="n">
        <f aca="false">MAX(0,G191-G797-G1100-G1403-G1706)</f>
        <v>0</v>
      </c>
      <c r="I191" s="71" t="n">
        <f aca="false">MAX(0,H191-H797-H1100-H1403-H1706)</f>
        <v>0</v>
      </c>
      <c r="J191" s="71" t="n">
        <f aca="false">MAX(0,I191-I797-I1100-I1403-I1706)</f>
        <v>0</v>
      </c>
      <c r="K191" s="71" t="n">
        <f aca="false">MAX(0,J191-J797-J1100-J1403-J1706)</f>
        <v>0</v>
      </c>
      <c r="L191" s="71" t="n">
        <f aca="false">MAX(0,K191-K797-K1100-K1403-K1706)</f>
        <v>0</v>
      </c>
      <c r="M191" s="71" t="n">
        <f aca="false">MAX(0,L191-L797-L1100-L1403-L1706)</f>
        <v>0</v>
      </c>
    </row>
    <row r="192" customFormat="false" ht="15" hidden="false" customHeight="false" outlineLevel="0" collapsed="false">
      <c r="B192" s="102" t="n">
        <f aca="false">'Loan Tape'!$A188</f>
        <v>0</v>
      </c>
      <c r="C192" s="99" t="n">
        <f aca="false">IF('Loan Tape'!$AN188=0,0,'Loan Tape'!$R188)</f>
        <v>0</v>
      </c>
      <c r="D192" s="99" t="n">
        <f aca="false">MAX(0,C192-C798-C1101-C1404-C1707)</f>
        <v>0</v>
      </c>
      <c r="E192" s="99" t="n">
        <f aca="false">MAX(0,D192-D798-D1101-D1404-D1707)</f>
        <v>0</v>
      </c>
      <c r="F192" s="99" t="n">
        <f aca="false">MAX(0,E192-E798-E1101-E1404-E1707)</f>
        <v>0</v>
      </c>
      <c r="G192" s="99" t="n">
        <f aca="false">MAX(0,F192-F798-F1101-F1404-F1707)</f>
        <v>0</v>
      </c>
      <c r="H192" s="99" t="n">
        <f aca="false">MAX(0,G192-G798-G1101-G1404-G1707)</f>
        <v>0</v>
      </c>
      <c r="I192" s="99" t="n">
        <f aca="false">MAX(0,H192-H798-H1101-H1404-H1707)</f>
        <v>0</v>
      </c>
      <c r="J192" s="99" t="n">
        <f aca="false">MAX(0,I192-I798-I1101-I1404-I1707)</f>
        <v>0</v>
      </c>
      <c r="K192" s="99" t="n">
        <f aca="false">MAX(0,J192-J798-J1101-J1404-J1707)</f>
        <v>0</v>
      </c>
      <c r="L192" s="99" t="n">
        <f aca="false">MAX(0,K192-K798-K1101-K1404-K1707)</f>
        <v>0</v>
      </c>
      <c r="M192" s="99" t="n">
        <f aca="false">MAX(0,L192-L798-L1101-L1404-L1707)</f>
        <v>0</v>
      </c>
    </row>
    <row r="193" customFormat="false" ht="15" hidden="false" customHeight="false" outlineLevel="0" collapsed="false">
      <c r="B193" s="108" t="n">
        <f aca="false">'Loan Tape'!$A189</f>
        <v>0</v>
      </c>
      <c r="C193" s="71" t="n">
        <f aca="false">IF('Loan Tape'!$AN189=0,0,'Loan Tape'!$R189)</f>
        <v>0</v>
      </c>
      <c r="D193" s="71" t="n">
        <f aca="false">MAX(0,C193-C799-C1102-C1405-C1708)</f>
        <v>0</v>
      </c>
      <c r="E193" s="71" t="n">
        <f aca="false">MAX(0,D193-D799-D1102-D1405-D1708)</f>
        <v>0</v>
      </c>
      <c r="F193" s="71" t="n">
        <f aca="false">MAX(0,E193-E799-E1102-E1405-E1708)</f>
        <v>0</v>
      </c>
      <c r="G193" s="71" t="n">
        <f aca="false">MAX(0,F193-F799-F1102-F1405-F1708)</f>
        <v>0</v>
      </c>
      <c r="H193" s="71" t="n">
        <f aca="false">MAX(0,G193-G799-G1102-G1405-G1708)</f>
        <v>0</v>
      </c>
      <c r="I193" s="71" t="n">
        <f aca="false">MAX(0,H193-H799-H1102-H1405-H1708)</f>
        <v>0</v>
      </c>
      <c r="J193" s="71" t="n">
        <f aca="false">MAX(0,I193-I799-I1102-I1405-I1708)</f>
        <v>0</v>
      </c>
      <c r="K193" s="71" t="n">
        <f aca="false">MAX(0,J193-J799-J1102-J1405-J1708)</f>
        <v>0</v>
      </c>
      <c r="L193" s="71" t="n">
        <f aca="false">MAX(0,K193-K799-K1102-K1405-K1708)</f>
        <v>0</v>
      </c>
      <c r="M193" s="71" t="n">
        <f aca="false">MAX(0,L193-L799-L1102-L1405-L1708)</f>
        <v>0</v>
      </c>
    </row>
    <row r="194" customFormat="false" ht="15" hidden="false" customHeight="false" outlineLevel="0" collapsed="false">
      <c r="B194" s="102" t="n">
        <f aca="false">'Loan Tape'!$A190</f>
        <v>0</v>
      </c>
      <c r="C194" s="99" t="n">
        <f aca="false">IF('Loan Tape'!$AN190=0,0,'Loan Tape'!$R190)</f>
        <v>0</v>
      </c>
      <c r="D194" s="99" t="n">
        <f aca="false">MAX(0,C194-C800-C1103-C1406-C1709)</f>
        <v>0</v>
      </c>
      <c r="E194" s="99" t="n">
        <f aca="false">MAX(0,D194-D800-D1103-D1406-D1709)</f>
        <v>0</v>
      </c>
      <c r="F194" s="99" t="n">
        <f aca="false">MAX(0,E194-E800-E1103-E1406-E1709)</f>
        <v>0</v>
      </c>
      <c r="G194" s="99" t="n">
        <f aca="false">MAX(0,F194-F800-F1103-F1406-F1709)</f>
        <v>0</v>
      </c>
      <c r="H194" s="99" t="n">
        <f aca="false">MAX(0,G194-G800-G1103-G1406-G1709)</f>
        <v>0</v>
      </c>
      <c r="I194" s="99" t="n">
        <f aca="false">MAX(0,H194-H800-H1103-H1406-H1709)</f>
        <v>0</v>
      </c>
      <c r="J194" s="99" t="n">
        <f aca="false">MAX(0,I194-I800-I1103-I1406-I1709)</f>
        <v>0</v>
      </c>
      <c r="K194" s="99" t="n">
        <f aca="false">MAX(0,J194-J800-J1103-J1406-J1709)</f>
        <v>0</v>
      </c>
      <c r="L194" s="99" t="n">
        <f aca="false">MAX(0,K194-K800-K1103-K1406-K1709)</f>
        <v>0</v>
      </c>
      <c r="M194" s="99" t="n">
        <f aca="false">MAX(0,L194-L800-L1103-L1406-L1709)</f>
        <v>0</v>
      </c>
    </row>
    <row r="195" customFormat="false" ht="15" hidden="false" customHeight="false" outlineLevel="0" collapsed="false">
      <c r="B195" s="108" t="n">
        <f aca="false">'Loan Tape'!$A191</f>
        <v>0</v>
      </c>
      <c r="C195" s="71" t="n">
        <f aca="false">IF('Loan Tape'!$AN191=0,0,'Loan Tape'!$R191)</f>
        <v>0</v>
      </c>
      <c r="D195" s="71" t="n">
        <f aca="false">MAX(0,C195-C801-C1104-C1407-C1710)</f>
        <v>0</v>
      </c>
      <c r="E195" s="71" t="n">
        <f aca="false">MAX(0,D195-D801-D1104-D1407-D1710)</f>
        <v>0</v>
      </c>
      <c r="F195" s="71" t="n">
        <f aca="false">MAX(0,E195-E801-E1104-E1407-E1710)</f>
        <v>0</v>
      </c>
      <c r="G195" s="71" t="n">
        <f aca="false">MAX(0,F195-F801-F1104-F1407-F1710)</f>
        <v>0</v>
      </c>
      <c r="H195" s="71" t="n">
        <f aca="false">MAX(0,G195-G801-G1104-G1407-G1710)</f>
        <v>0</v>
      </c>
      <c r="I195" s="71" t="n">
        <f aca="false">MAX(0,H195-H801-H1104-H1407-H1710)</f>
        <v>0</v>
      </c>
      <c r="J195" s="71" t="n">
        <f aca="false">MAX(0,I195-I801-I1104-I1407-I1710)</f>
        <v>0</v>
      </c>
      <c r="K195" s="71" t="n">
        <f aca="false">MAX(0,J195-J801-J1104-J1407-J1710)</f>
        <v>0</v>
      </c>
      <c r="L195" s="71" t="n">
        <f aca="false">MAX(0,K195-K801-K1104-K1407-K1710)</f>
        <v>0</v>
      </c>
      <c r="M195" s="71" t="n">
        <f aca="false">MAX(0,L195-L801-L1104-L1407-L1710)</f>
        <v>0</v>
      </c>
    </row>
    <row r="196" customFormat="false" ht="15" hidden="false" customHeight="false" outlineLevel="0" collapsed="false">
      <c r="B196" s="102" t="n">
        <f aca="false">'Loan Tape'!$A192</f>
        <v>0</v>
      </c>
      <c r="C196" s="99" t="n">
        <f aca="false">IF('Loan Tape'!$AN192=0,0,'Loan Tape'!$R192)</f>
        <v>0</v>
      </c>
      <c r="D196" s="99" t="n">
        <f aca="false">MAX(0,C196-C802-C1105-C1408-C1711)</f>
        <v>0</v>
      </c>
      <c r="E196" s="99" t="n">
        <f aca="false">MAX(0,D196-D802-D1105-D1408-D1711)</f>
        <v>0</v>
      </c>
      <c r="F196" s="99" t="n">
        <f aca="false">MAX(0,E196-E802-E1105-E1408-E1711)</f>
        <v>0</v>
      </c>
      <c r="G196" s="99" t="n">
        <f aca="false">MAX(0,F196-F802-F1105-F1408-F1711)</f>
        <v>0</v>
      </c>
      <c r="H196" s="99" t="n">
        <f aca="false">MAX(0,G196-G802-G1105-G1408-G1711)</f>
        <v>0</v>
      </c>
      <c r="I196" s="99" t="n">
        <f aca="false">MAX(0,H196-H802-H1105-H1408-H1711)</f>
        <v>0</v>
      </c>
      <c r="J196" s="99" t="n">
        <f aca="false">MAX(0,I196-I802-I1105-I1408-I1711)</f>
        <v>0</v>
      </c>
      <c r="K196" s="99" t="n">
        <f aca="false">MAX(0,J196-J802-J1105-J1408-J1711)</f>
        <v>0</v>
      </c>
      <c r="L196" s="99" t="n">
        <f aca="false">MAX(0,K196-K802-K1105-K1408-K1711)</f>
        <v>0</v>
      </c>
      <c r="M196" s="99" t="n">
        <f aca="false">MAX(0,L196-L802-L1105-L1408-L1711)</f>
        <v>0</v>
      </c>
    </row>
    <row r="197" customFormat="false" ht="15" hidden="false" customHeight="false" outlineLevel="0" collapsed="false">
      <c r="B197" s="108" t="n">
        <f aca="false">'Loan Tape'!$A193</f>
        <v>0</v>
      </c>
      <c r="C197" s="71" t="n">
        <f aca="false">IF('Loan Tape'!$AN193=0,0,'Loan Tape'!$R193)</f>
        <v>0</v>
      </c>
      <c r="D197" s="71" t="n">
        <f aca="false">MAX(0,C197-C803-C1106-C1409-C1712)</f>
        <v>0</v>
      </c>
      <c r="E197" s="71" t="n">
        <f aca="false">MAX(0,D197-D803-D1106-D1409-D1712)</f>
        <v>0</v>
      </c>
      <c r="F197" s="71" t="n">
        <f aca="false">MAX(0,E197-E803-E1106-E1409-E1712)</f>
        <v>0</v>
      </c>
      <c r="G197" s="71" t="n">
        <f aca="false">MAX(0,F197-F803-F1106-F1409-F1712)</f>
        <v>0</v>
      </c>
      <c r="H197" s="71" t="n">
        <f aca="false">MAX(0,G197-G803-G1106-G1409-G1712)</f>
        <v>0</v>
      </c>
      <c r="I197" s="71" t="n">
        <f aca="false">MAX(0,H197-H803-H1106-H1409-H1712)</f>
        <v>0</v>
      </c>
      <c r="J197" s="71" t="n">
        <f aca="false">MAX(0,I197-I803-I1106-I1409-I1712)</f>
        <v>0</v>
      </c>
      <c r="K197" s="71" t="n">
        <f aca="false">MAX(0,J197-J803-J1106-J1409-J1712)</f>
        <v>0</v>
      </c>
      <c r="L197" s="71" t="n">
        <f aca="false">MAX(0,K197-K803-K1106-K1409-K1712)</f>
        <v>0</v>
      </c>
      <c r="M197" s="71" t="n">
        <f aca="false">MAX(0,L197-L803-L1106-L1409-L1712)</f>
        <v>0</v>
      </c>
    </row>
    <row r="198" customFormat="false" ht="15" hidden="false" customHeight="false" outlineLevel="0" collapsed="false">
      <c r="B198" s="102" t="n">
        <f aca="false">'Loan Tape'!$A194</f>
        <v>0</v>
      </c>
      <c r="C198" s="99" t="n">
        <f aca="false">IF('Loan Tape'!$AN194=0,0,'Loan Tape'!$R194)</f>
        <v>0</v>
      </c>
      <c r="D198" s="99" t="n">
        <f aca="false">MAX(0,C198-C804-C1107-C1410-C1713)</f>
        <v>0</v>
      </c>
      <c r="E198" s="99" t="n">
        <f aca="false">MAX(0,D198-D804-D1107-D1410-D1713)</f>
        <v>0</v>
      </c>
      <c r="F198" s="99" t="n">
        <f aca="false">MAX(0,E198-E804-E1107-E1410-E1713)</f>
        <v>0</v>
      </c>
      <c r="G198" s="99" t="n">
        <f aca="false">MAX(0,F198-F804-F1107-F1410-F1713)</f>
        <v>0</v>
      </c>
      <c r="H198" s="99" t="n">
        <f aca="false">MAX(0,G198-G804-G1107-G1410-G1713)</f>
        <v>0</v>
      </c>
      <c r="I198" s="99" t="n">
        <f aca="false">MAX(0,H198-H804-H1107-H1410-H1713)</f>
        <v>0</v>
      </c>
      <c r="J198" s="99" t="n">
        <f aca="false">MAX(0,I198-I804-I1107-I1410-I1713)</f>
        <v>0</v>
      </c>
      <c r="K198" s="99" t="n">
        <f aca="false">MAX(0,J198-J804-J1107-J1410-J1713)</f>
        <v>0</v>
      </c>
      <c r="L198" s="99" t="n">
        <f aca="false">MAX(0,K198-K804-K1107-K1410-K1713)</f>
        <v>0</v>
      </c>
      <c r="M198" s="99" t="n">
        <f aca="false">MAX(0,L198-L804-L1107-L1410-L1713)</f>
        <v>0</v>
      </c>
    </row>
    <row r="199" customFormat="false" ht="15" hidden="false" customHeight="false" outlineLevel="0" collapsed="false">
      <c r="B199" s="108" t="n">
        <f aca="false">'Loan Tape'!$A195</f>
        <v>0</v>
      </c>
      <c r="C199" s="71" t="n">
        <f aca="false">IF('Loan Tape'!$AN195=0,0,'Loan Tape'!$R195)</f>
        <v>0</v>
      </c>
      <c r="D199" s="71" t="n">
        <f aca="false">MAX(0,C199-C805-C1108-C1411-C1714)</f>
        <v>0</v>
      </c>
      <c r="E199" s="71" t="n">
        <f aca="false">MAX(0,D199-D805-D1108-D1411-D1714)</f>
        <v>0</v>
      </c>
      <c r="F199" s="71" t="n">
        <f aca="false">MAX(0,E199-E805-E1108-E1411-E1714)</f>
        <v>0</v>
      </c>
      <c r="G199" s="71" t="n">
        <f aca="false">MAX(0,F199-F805-F1108-F1411-F1714)</f>
        <v>0</v>
      </c>
      <c r="H199" s="71" t="n">
        <f aca="false">MAX(0,G199-G805-G1108-G1411-G1714)</f>
        <v>0</v>
      </c>
      <c r="I199" s="71" t="n">
        <f aca="false">MAX(0,H199-H805-H1108-H1411-H1714)</f>
        <v>0</v>
      </c>
      <c r="J199" s="71" t="n">
        <f aca="false">MAX(0,I199-I805-I1108-I1411-I1714)</f>
        <v>0</v>
      </c>
      <c r="K199" s="71" t="n">
        <f aca="false">MAX(0,J199-J805-J1108-J1411-J1714)</f>
        <v>0</v>
      </c>
      <c r="L199" s="71" t="n">
        <f aca="false">MAX(0,K199-K805-K1108-K1411-K1714)</f>
        <v>0</v>
      </c>
      <c r="M199" s="71" t="n">
        <f aca="false">MAX(0,L199-L805-L1108-L1411-L1714)</f>
        <v>0</v>
      </c>
    </row>
    <row r="200" customFormat="false" ht="15" hidden="false" customHeight="false" outlineLevel="0" collapsed="false">
      <c r="B200" s="102" t="n">
        <f aca="false">'Loan Tape'!$A196</f>
        <v>0</v>
      </c>
      <c r="C200" s="99" t="n">
        <f aca="false">IF('Loan Tape'!$AN196=0,0,'Loan Tape'!$R196)</f>
        <v>0</v>
      </c>
      <c r="D200" s="99" t="n">
        <f aca="false">MAX(0,C200-C806-C1109-C1412-C1715)</f>
        <v>0</v>
      </c>
      <c r="E200" s="99" t="n">
        <f aca="false">MAX(0,D200-D806-D1109-D1412-D1715)</f>
        <v>0</v>
      </c>
      <c r="F200" s="99" t="n">
        <f aca="false">MAX(0,E200-E806-E1109-E1412-E1715)</f>
        <v>0</v>
      </c>
      <c r="G200" s="99" t="n">
        <f aca="false">MAX(0,F200-F806-F1109-F1412-F1715)</f>
        <v>0</v>
      </c>
      <c r="H200" s="99" t="n">
        <f aca="false">MAX(0,G200-G806-G1109-G1412-G1715)</f>
        <v>0</v>
      </c>
      <c r="I200" s="99" t="n">
        <f aca="false">MAX(0,H200-H806-H1109-H1412-H1715)</f>
        <v>0</v>
      </c>
      <c r="J200" s="99" t="n">
        <f aca="false">MAX(0,I200-I806-I1109-I1412-I1715)</f>
        <v>0</v>
      </c>
      <c r="K200" s="99" t="n">
        <f aca="false">MAX(0,J200-J806-J1109-J1412-J1715)</f>
        <v>0</v>
      </c>
      <c r="L200" s="99" t="n">
        <f aca="false">MAX(0,K200-K806-K1109-K1412-K1715)</f>
        <v>0</v>
      </c>
      <c r="M200" s="99" t="n">
        <f aca="false">MAX(0,L200-L806-L1109-L1412-L1715)</f>
        <v>0</v>
      </c>
    </row>
    <row r="201" customFormat="false" ht="15" hidden="false" customHeight="false" outlineLevel="0" collapsed="false">
      <c r="B201" s="108" t="n">
        <f aca="false">'Loan Tape'!$A197</f>
        <v>0</v>
      </c>
      <c r="C201" s="71" t="n">
        <f aca="false">IF('Loan Tape'!$AN197=0,0,'Loan Tape'!$R197)</f>
        <v>0</v>
      </c>
      <c r="D201" s="71" t="n">
        <f aca="false">MAX(0,C201-C807-C1110-C1413-C1716)</f>
        <v>0</v>
      </c>
      <c r="E201" s="71" t="n">
        <f aca="false">MAX(0,D201-D807-D1110-D1413-D1716)</f>
        <v>0</v>
      </c>
      <c r="F201" s="71" t="n">
        <f aca="false">MAX(0,E201-E807-E1110-E1413-E1716)</f>
        <v>0</v>
      </c>
      <c r="G201" s="71" t="n">
        <f aca="false">MAX(0,F201-F807-F1110-F1413-F1716)</f>
        <v>0</v>
      </c>
      <c r="H201" s="71" t="n">
        <f aca="false">MAX(0,G201-G807-G1110-G1413-G1716)</f>
        <v>0</v>
      </c>
      <c r="I201" s="71" t="n">
        <f aca="false">MAX(0,H201-H807-H1110-H1413-H1716)</f>
        <v>0</v>
      </c>
      <c r="J201" s="71" t="n">
        <f aca="false">MAX(0,I201-I807-I1110-I1413-I1716)</f>
        <v>0</v>
      </c>
      <c r="K201" s="71" t="n">
        <f aca="false">MAX(0,J201-J807-J1110-J1413-J1716)</f>
        <v>0</v>
      </c>
      <c r="L201" s="71" t="n">
        <f aca="false">MAX(0,K201-K807-K1110-K1413-K1716)</f>
        <v>0</v>
      </c>
      <c r="M201" s="71" t="n">
        <f aca="false">MAX(0,L201-L807-L1110-L1413-L1716)</f>
        <v>0</v>
      </c>
    </row>
    <row r="202" customFormat="false" ht="15" hidden="false" customHeight="false" outlineLevel="0" collapsed="false">
      <c r="B202" s="102" t="n">
        <f aca="false">'Loan Tape'!$A198</f>
        <v>0</v>
      </c>
      <c r="C202" s="99" t="n">
        <f aca="false">IF('Loan Tape'!$AN198=0,0,'Loan Tape'!$R198)</f>
        <v>0</v>
      </c>
      <c r="D202" s="99" t="n">
        <f aca="false">MAX(0,C202-C808-C1111-C1414-C1717)</f>
        <v>0</v>
      </c>
      <c r="E202" s="99" t="n">
        <f aca="false">MAX(0,D202-D808-D1111-D1414-D1717)</f>
        <v>0</v>
      </c>
      <c r="F202" s="99" t="n">
        <f aca="false">MAX(0,E202-E808-E1111-E1414-E1717)</f>
        <v>0</v>
      </c>
      <c r="G202" s="99" t="n">
        <f aca="false">MAX(0,F202-F808-F1111-F1414-F1717)</f>
        <v>0</v>
      </c>
      <c r="H202" s="99" t="n">
        <f aca="false">MAX(0,G202-G808-G1111-G1414-G1717)</f>
        <v>0</v>
      </c>
      <c r="I202" s="99" t="n">
        <f aca="false">MAX(0,H202-H808-H1111-H1414-H1717)</f>
        <v>0</v>
      </c>
      <c r="J202" s="99" t="n">
        <f aca="false">MAX(0,I202-I808-I1111-I1414-I1717)</f>
        <v>0</v>
      </c>
      <c r="K202" s="99" t="n">
        <f aca="false">MAX(0,J202-J808-J1111-J1414-J1717)</f>
        <v>0</v>
      </c>
      <c r="L202" s="99" t="n">
        <f aca="false">MAX(0,K202-K808-K1111-K1414-K1717)</f>
        <v>0</v>
      </c>
      <c r="M202" s="99" t="n">
        <f aca="false">MAX(0,L202-L808-L1111-L1414-L1717)</f>
        <v>0</v>
      </c>
    </row>
    <row r="203" customFormat="false" ht="15" hidden="false" customHeight="false" outlineLevel="0" collapsed="false">
      <c r="B203" s="108" t="n">
        <f aca="false">'Loan Tape'!$A199</f>
        <v>0</v>
      </c>
      <c r="C203" s="71" t="n">
        <f aca="false">IF('Loan Tape'!$AN199=0,0,'Loan Tape'!$R199)</f>
        <v>0</v>
      </c>
      <c r="D203" s="71" t="n">
        <f aca="false">MAX(0,C203-C809-C1112-C1415-C1718)</f>
        <v>0</v>
      </c>
      <c r="E203" s="71" t="n">
        <f aca="false">MAX(0,D203-D809-D1112-D1415-D1718)</f>
        <v>0</v>
      </c>
      <c r="F203" s="71" t="n">
        <f aca="false">MAX(0,E203-E809-E1112-E1415-E1718)</f>
        <v>0</v>
      </c>
      <c r="G203" s="71" t="n">
        <f aca="false">MAX(0,F203-F809-F1112-F1415-F1718)</f>
        <v>0</v>
      </c>
      <c r="H203" s="71" t="n">
        <f aca="false">MAX(0,G203-G809-G1112-G1415-G1718)</f>
        <v>0</v>
      </c>
      <c r="I203" s="71" t="n">
        <f aca="false">MAX(0,H203-H809-H1112-H1415-H1718)</f>
        <v>0</v>
      </c>
      <c r="J203" s="71" t="n">
        <f aca="false">MAX(0,I203-I809-I1112-I1415-I1718)</f>
        <v>0</v>
      </c>
      <c r="K203" s="71" t="n">
        <f aca="false">MAX(0,J203-J809-J1112-J1415-J1718)</f>
        <v>0</v>
      </c>
      <c r="L203" s="71" t="n">
        <f aca="false">MAX(0,K203-K809-K1112-K1415-K1718)</f>
        <v>0</v>
      </c>
      <c r="M203" s="71" t="n">
        <f aca="false">MAX(0,L203-L809-L1112-L1415-L1718)</f>
        <v>0</v>
      </c>
    </row>
    <row r="204" customFormat="false" ht="15" hidden="false" customHeight="false" outlineLevel="0" collapsed="false">
      <c r="B204" s="102" t="n">
        <f aca="false">'Loan Tape'!$A200</f>
        <v>0</v>
      </c>
      <c r="C204" s="99" t="n">
        <f aca="false">IF('Loan Tape'!$AN200=0,0,'Loan Tape'!$R200)</f>
        <v>0</v>
      </c>
      <c r="D204" s="99" t="n">
        <f aca="false">MAX(0,C204-C810-C1113-C1416-C1719)</f>
        <v>0</v>
      </c>
      <c r="E204" s="99" t="n">
        <f aca="false">MAX(0,D204-D810-D1113-D1416-D1719)</f>
        <v>0</v>
      </c>
      <c r="F204" s="99" t="n">
        <f aca="false">MAX(0,E204-E810-E1113-E1416-E1719)</f>
        <v>0</v>
      </c>
      <c r="G204" s="99" t="n">
        <f aca="false">MAX(0,F204-F810-F1113-F1416-F1719)</f>
        <v>0</v>
      </c>
      <c r="H204" s="99" t="n">
        <f aca="false">MAX(0,G204-G810-G1113-G1416-G1719)</f>
        <v>0</v>
      </c>
      <c r="I204" s="99" t="n">
        <f aca="false">MAX(0,H204-H810-H1113-H1416-H1719)</f>
        <v>0</v>
      </c>
      <c r="J204" s="99" t="n">
        <f aca="false">MAX(0,I204-I810-I1113-I1416-I1719)</f>
        <v>0</v>
      </c>
      <c r="K204" s="99" t="n">
        <f aca="false">MAX(0,J204-J810-J1113-J1416-J1719)</f>
        <v>0</v>
      </c>
      <c r="L204" s="99" t="n">
        <f aca="false">MAX(0,K204-K810-K1113-K1416-K1719)</f>
        <v>0</v>
      </c>
      <c r="M204" s="99" t="n">
        <f aca="false">MAX(0,L204-L810-L1113-L1416-L1719)</f>
        <v>0</v>
      </c>
    </row>
    <row r="205" customFormat="false" ht="15" hidden="false" customHeight="false" outlineLevel="0" collapsed="false">
      <c r="B205" s="108" t="n">
        <f aca="false">'Loan Tape'!$A201</f>
        <v>0</v>
      </c>
      <c r="C205" s="71" t="n">
        <f aca="false">IF('Loan Tape'!$AN201=0,0,'Loan Tape'!$R201)</f>
        <v>0</v>
      </c>
      <c r="D205" s="71" t="n">
        <f aca="false">MAX(0,C205-C811-C1114-C1417-C1720)</f>
        <v>0</v>
      </c>
      <c r="E205" s="71" t="n">
        <f aca="false">MAX(0,D205-D811-D1114-D1417-D1720)</f>
        <v>0</v>
      </c>
      <c r="F205" s="71" t="n">
        <f aca="false">MAX(0,E205-E811-E1114-E1417-E1720)</f>
        <v>0</v>
      </c>
      <c r="G205" s="71" t="n">
        <f aca="false">MAX(0,F205-F811-F1114-F1417-F1720)</f>
        <v>0</v>
      </c>
      <c r="H205" s="71" t="n">
        <f aca="false">MAX(0,G205-G811-G1114-G1417-G1720)</f>
        <v>0</v>
      </c>
      <c r="I205" s="71" t="n">
        <f aca="false">MAX(0,H205-H811-H1114-H1417-H1720)</f>
        <v>0</v>
      </c>
      <c r="J205" s="71" t="n">
        <f aca="false">MAX(0,I205-I811-I1114-I1417-I1720)</f>
        <v>0</v>
      </c>
      <c r="K205" s="71" t="n">
        <f aca="false">MAX(0,J205-J811-J1114-J1417-J1720)</f>
        <v>0</v>
      </c>
      <c r="L205" s="71" t="n">
        <f aca="false">MAX(0,K205-K811-K1114-K1417-K1720)</f>
        <v>0</v>
      </c>
      <c r="M205" s="71" t="n">
        <f aca="false">MAX(0,L205-L811-L1114-L1417-L1720)</f>
        <v>0</v>
      </c>
    </row>
    <row r="206" customFormat="false" ht="15" hidden="false" customHeight="false" outlineLevel="0" collapsed="false">
      <c r="B206" s="102" t="n">
        <f aca="false">'Loan Tape'!$A202</f>
        <v>0</v>
      </c>
      <c r="C206" s="99" t="n">
        <f aca="false">IF('Loan Tape'!$AN202=0,0,'Loan Tape'!$R202)</f>
        <v>0</v>
      </c>
      <c r="D206" s="99" t="n">
        <f aca="false">MAX(0,C206-C812-C1115-C1418-C1721)</f>
        <v>0</v>
      </c>
      <c r="E206" s="99" t="n">
        <f aca="false">MAX(0,D206-D812-D1115-D1418-D1721)</f>
        <v>0</v>
      </c>
      <c r="F206" s="99" t="n">
        <f aca="false">MAX(0,E206-E812-E1115-E1418-E1721)</f>
        <v>0</v>
      </c>
      <c r="G206" s="99" t="n">
        <f aca="false">MAX(0,F206-F812-F1115-F1418-F1721)</f>
        <v>0</v>
      </c>
      <c r="H206" s="99" t="n">
        <f aca="false">MAX(0,G206-G812-G1115-G1418-G1721)</f>
        <v>0</v>
      </c>
      <c r="I206" s="99" t="n">
        <f aca="false">MAX(0,H206-H812-H1115-H1418-H1721)</f>
        <v>0</v>
      </c>
      <c r="J206" s="99" t="n">
        <f aca="false">MAX(0,I206-I812-I1115-I1418-I1721)</f>
        <v>0</v>
      </c>
      <c r="K206" s="99" t="n">
        <f aca="false">MAX(0,J206-J812-J1115-J1418-J1721)</f>
        <v>0</v>
      </c>
      <c r="L206" s="99" t="n">
        <f aca="false">MAX(0,K206-K812-K1115-K1418-K1721)</f>
        <v>0</v>
      </c>
      <c r="M206" s="99" t="n">
        <f aca="false">MAX(0,L206-L812-L1115-L1418-L1721)</f>
        <v>0</v>
      </c>
    </row>
    <row r="207" customFormat="false" ht="15" hidden="false" customHeight="false" outlineLevel="0" collapsed="false">
      <c r="B207" s="108" t="n">
        <f aca="false">'Loan Tape'!$A203</f>
        <v>0</v>
      </c>
      <c r="C207" s="71" t="n">
        <f aca="false">IF('Loan Tape'!$AN203=0,0,'Loan Tape'!$R203)</f>
        <v>0</v>
      </c>
      <c r="D207" s="71" t="n">
        <f aca="false">MAX(0,C207-C813-C1116-C1419-C1722)</f>
        <v>0</v>
      </c>
      <c r="E207" s="71" t="n">
        <f aca="false">MAX(0,D207-D813-D1116-D1419-D1722)</f>
        <v>0</v>
      </c>
      <c r="F207" s="71" t="n">
        <f aca="false">MAX(0,E207-E813-E1116-E1419-E1722)</f>
        <v>0</v>
      </c>
      <c r="G207" s="71" t="n">
        <f aca="false">MAX(0,F207-F813-F1116-F1419-F1722)</f>
        <v>0</v>
      </c>
      <c r="H207" s="71" t="n">
        <f aca="false">MAX(0,G207-G813-G1116-G1419-G1722)</f>
        <v>0</v>
      </c>
      <c r="I207" s="71" t="n">
        <f aca="false">MAX(0,H207-H813-H1116-H1419-H1722)</f>
        <v>0</v>
      </c>
      <c r="J207" s="71" t="n">
        <f aca="false">MAX(0,I207-I813-I1116-I1419-I1722)</f>
        <v>0</v>
      </c>
      <c r="K207" s="71" t="n">
        <f aca="false">MAX(0,J207-J813-J1116-J1419-J1722)</f>
        <v>0</v>
      </c>
      <c r="L207" s="71" t="n">
        <f aca="false">MAX(0,K207-K813-K1116-K1419-K1722)</f>
        <v>0</v>
      </c>
      <c r="M207" s="71" t="n">
        <f aca="false">MAX(0,L207-L813-L1116-L1419-L1722)</f>
        <v>0</v>
      </c>
    </row>
    <row r="208" customFormat="false" ht="15" hidden="false" customHeight="false" outlineLevel="0" collapsed="false">
      <c r="B208" s="102" t="n">
        <f aca="false">'Loan Tape'!$A204</f>
        <v>0</v>
      </c>
      <c r="C208" s="99" t="n">
        <f aca="false">IF('Loan Tape'!$AN204=0,0,'Loan Tape'!$R204)</f>
        <v>0</v>
      </c>
      <c r="D208" s="99" t="n">
        <f aca="false">MAX(0,C208-C814-C1117-C1420-C1723)</f>
        <v>0</v>
      </c>
      <c r="E208" s="99" t="n">
        <f aca="false">MAX(0,D208-D814-D1117-D1420-D1723)</f>
        <v>0</v>
      </c>
      <c r="F208" s="99" t="n">
        <f aca="false">MAX(0,E208-E814-E1117-E1420-E1723)</f>
        <v>0</v>
      </c>
      <c r="G208" s="99" t="n">
        <f aca="false">MAX(0,F208-F814-F1117-F1420-F1723)</f>
        <v>0</v>
      </c>
      <c r="H208" s="99" t="n">
        <f aca="false">MAX(0,G208-G814-G1117-G1420-G1723)</f>
        <v>0</v>
      </c>
      <c r="I208" s="99" t="n">
        <f aca="false">MAX(0,H208-H814-H1117-H1420-H1723)</f>
        <v>0</v>
      </c>
      <c r="J208" s="99" t="n">
        <f aca="false">MAX(0,I208-I814-I1117-I1420-I1723)</f>
        <v>0</v>
      </c>
      <c r="K208" s="99" t="n">
        <f aca="false">MAX(0,J208-J814-J1117-J1420-J1723)</f>
        <v>0</v>
      </c>
      <c r="L208" s="99" t="n">
        <f aca="false">MAX(0,K208-K814-K1117-K1420-K1723)</f>
        <v>0</v>
      </c>
      <c r="M208" s="99" t="n">
        <f aca="false">MAX(0,L208-L814-L1117-L1420-L1723)</f>
        <v>0</v>
      </c>
    </row>
    <row r="209" customFormat="false" ht="15" hidden="false" customHeight="false" outlineLevel="0" collapsed="false">
      <c r="B209" s="108" t="n">
        <f aca="false">'Loan Tape'!$A205</f>
        <v>0</v>
      </c>
      <c r="C209" s="71" t="n">
        <f aca="false">IF('Loan Tape'!$AN205=0,0,'Loan Tape'!$R205)</f>
        <v>0</v>
      </c>
      <c r="D209" s="71" t="n">
        <f aca="false">MAX(0,C209-C815-C1118-C1421-C1724)</f>
        <v>0</v>
      </c>
      <c r="E209" s="71" t="n">
        <f aca="false">MAX(0,D209-D815-D1118-D1421-D1724)</f>
        <v>0</v>
      </c>
      <c r="F209" s="71" t="n">
        <f aca="false">MAX(0,E209-E815-E1118-E1421-E1724)</f>
        <v>0</v>
      </c>
      <c r="G209" s="71" t="n">
        <f aca="false">MAX(0,F209-F815-F1118-F1421-F1724)</f>
        <v>0</v>
      </c>
      <c r="H209" s="71" t="n">
        <f aca="false">MAX(0,G209-G815-G1118-G1421-G1724)</f>
        <v>0</v>
      </c>
      <c r="I209" s="71" t="n">
        <f aca="false">MAX(0,H209-H815-H1118-H1421-H1724)</f>
        <v>0</v>
      </c>
      <c r="J209" s="71" t="n">
        <f aca="false">MAX(0,I209-I815-I1118-I1421-I1724)</f>
        <v>0</v>
      </c>
      <c r="K209" s="71" t="n">
        <f aca="false">MAX(0,J209-J815-J1118-J1421-J1724)</f>
        <v>0</v>
      </c>
      <c r="L209" s="71" t="n">
        <f aca="false">MAX(0,K209-K815-K1118-K1421-K1724)</f>
        <v>0</v>
      </c>
      <c r="M209" s="71" t="n">
        <f aca="false">MAX(0,L209-L815-L1118-L1421-L1724)</f>
        <v>0</v>
      </c>
    </row>
    <row r="210" customFormat="false" ht="15" hidden="false" customHeight="false" outlineLevel="0" collapsed="false">
      <c r="B210" s="102" t="n">
        <f aca="false">'Loan Tape'!$A206</f>
        <v>0</v>
      </c>
      <c r="C210" s="99" t="n">
        <f aca="false">IF('Loan Tape'!$AN206=0,0,'Loan Tape'!$R206)</f>
        <v>0</v>
      </c>
      <c r="D210" s="99" t="n">
        <f aca="false">MAX(0,C210-C816-C1119-C1422-C1725)</f>
        <v>0</v>
      </c>
      <c r="E210" s="99" t="n">
        <f aca="false">MAX(0,D210-D816-D1119-D1422-D1725)</f>
        <v>0</v>
      </c>
      <c r="F210" s="99" t="n">
        <f aca="false">MAX(0,E210-E816-E1119-E1422-E1725)</f>
        <v>0</v>
      </c>
      <c r="G210" s="99" t="n">
        <f aca="false">MAX(0,F210-F816-F1119-F1422-F1725)</f>
        <v>0</v>
      </c>
      <c r="H210" s="99" t="n">
        <f aca="false">MAX(0,G210-G816-G1119-G1422-G1725)</f>
        <v>0</v>
      </c>
      <c r="I210" s="99" t="n">
        <f aca="false">MAX(0,H210-H816-H1119-H1422-H1725)</f>
        <v>0</v>
      </c>
      <c r="J210" s="99" t="n">
        <f aca="false">MAX(0,I210-I816-I1119-I1422-I1725)</f>
        <v>0</v>
      </c>
      <c r="K210" s="99" t="n">
        <f aca="false">MAX(0,J210-J816-J1119-J1422-J1725)</f>
        <v>0</v>
      </c>
      <c r="L210" s="99" t="n">
        <f aca="false">MAX(0,K210-K816-K1119-K1422-K1725)</f>
        <v>0</v>
      </c>
      <c r="M210" s="99" t="n">
        <f aca="false">MAX(0,L210-L816-L1119-L1422-L1725)</f>
        <v>0</v>
      </c>
    </row>
    <row r="211" customFormat="false" ht="15" hidden="false" customHeight="false" outlineLevel="0" collapsed="false">
      <c r="B211" s="108" t="n">
        <f aca="false">'Loan Tape'!$A207</f>
        <v>0</v>
      </c>
      <c r="C211" s="71" t="n">
        <f aca="false">IF('Loan Tape'!$AN207=0,0,'Loan Tape'!$R207)</f>
        <v>0</v>
      </c>
      <c r="D211" s="71" t="n">
        <f aca="false">MAX(0,C211-C817-C1120-C1423-C1726)</f>
        <v>0</v>
      </c>
      <c r="E211" s="71" t="n">
        <f aca="false">MAX(0,D211-D817-D1120-D1423-D1726)</f>
        <v>0</v>
      </c>
      <c r="F211" s="71" t="n">
        <f aca="false">MAX(0,E211-E817-E1120-E1423-E1726)</f>
        <v>0</v>
      </c>
      <c r="G211" s="71" t="n">
        <f aca="false">MAX(0,F211-F817-F1120-F1423-F1726)</f>
        <v>0</v>
      </c>
      <c r="H211" s="71" t="n">
        <f aca="false">MAX(0,G211-G817-G1120-G1423-G1726)</f>
        <v>0</v>
      </c>
      <c r="I211" s="71" t="n">
        <f aca="false">MAX(0,H211-H817-H1120-H1423-H1726)</f>
        <v>0</v>
      </c>
      <c r="J211" s="71" t="n">
        <f aca="false">MAX(0,I211-I817-I1120-I1423-I1726)</f>
        <v>0</v>
      </c>
      <c r="K211" s="71" t="n">
        <f aca="false">MAX(0,J211-J817-J1120-J1423-J1726)</f>
        <v>0</v>
      </c>
      <c r="L211" s="71" t="n">
        <f aca="false">MAX(0,K211-K817-K1120-K1423-K1726)</f>
        <v>0</v>
      </c>
      <c r="M211" s="71" t="n">
        <f aca="false">MAX(0,L211-L817-L1120-L1423-L1726)</f>
        <v>0</v>
      </c>
    </row>
    <row r="212" customFormat="false" ht="15" hidden="false" customHeight="false" outlineLevel="0" collapsed="false">
      <c r="B212" s="102" t="n">
        <f aca="false">'Loan Tape'!$A208</f>
        <v>0</v>
      </c>
      <c r="C212" s="99" t="n">
        <f aca="false">IF('Loan Tape'!$AN208=0,0,'Loan Tape'!$R208)</f>
        <v>0</v>
      </c>
      <c r="D212" s="99" t="n">
        <f aca="false">MAX(0,C212-C818-C1121-C1424-C1727)</f>
        <v>0</v>
      </c>
      <c r="E212" s="99" t="n">
        <f aca="false">MAX(0,D212-D818-D1121-D1424-D1727)</f>
        <v>0</v>
      </c>
      <c r="F212" s="99" t="n">
        <f aca="false">MAX(0,E212-E818-E1121-E1424-E1727)</f>
        <v>0</v>
      </c>
      <c r="G212" s="99" t="n">
        <f aca="false">MAX(0,F212-F818-F1121-F1424-F1727)</f>
        <v>0</v>
      </c>
      <c r="H212" s="99" t="n">
        <f aca="false">MAX(0,G212-G818-G1121-G1424-G1727)</f>
        <v>0</v>
      </c>
      <c r="I212" s="99" t="n">
        <f aca="false">MAX(0,H212-H818-H1121-H1424-H1727)</f>
        <v>0</v>
      </c>
      <c r="J212" s="99" t="n">
        <f aca="false">MAX(0,I212-I818-I1121-I1424-I1727)</f>
        <v>0</v>
      </c>
      <c r="K212" s="99" t="n">
        <f aca="false">MAX(0,J212-J818-J1121-J1424-J1727)</f>
        <v>0</v>
      </c>
      <c r="L212" s="99" t="n">
        <f aca="false">MAX(0,K212-K818-K1121-K1424-K1727)</f>
        <v>0</v>
      </c>
      <c r="M212" s="99" t="n">
        <f aca="false">MAX(0,L212-L818-L1121-L1424-L1727)</f>
        <v>0</v>
      </c>
    </row>
    <row r="213" customFormat="false" ht="15" hidden="false" customHeight="false" outlineLevel="0" collapsed="false">
      <c r="B213" s="108" t="n">
        <f aca="false">'Loan Tape'!$A209</f>
        <v>0</v>
      </c>
      <c r="C213" s="71" t="n">
        <f aca="false">IF('Loan Tape'!$AN209=0,0,'Loan Tape'!$R209)</f>
        <v>0</v>
      </c>
      <c r="D213" s="71" t="n">
        <f aca="false">MAX(0,C213-C819-C1122-C1425-C1728)</f>
        <v>0</v>
      </c>
      <c r="E213" s="71" t="n">
        <f aca="false">MAX(0,D213-D819-D1122-D1425-D1728)</f>
        <v>0</v>
      </c>
      <c r="F213" s="71" t="n">
        <f aca="false">MAX(0,E213-E819-E1122-E1425-E1728)</f>
        <v>0</v>
      </c>
      <c r="G213" s="71" t="n">
        <f aca="false">MAX(0,F213-F819-F1122-F1425-F1728)</f>
        <v>0</v>
      </c>
      <c r="H213" s="71" t="n">
        <f aca="false">MAX(0,G213-G819-G1122-G1425-G1728)</f>
        <v>0</v>
      </c>
      <c r="I213" s="71" t="n">
        <f aca="false">MAX(0,H213-H819-H1122-H1425-H1728)</f>
        <v>0</v>
      </c>
      <c r="J213" s="71" t="n">
        <f aca="false">MAX(0,I213-I819-I1122-I1425-I1728)</f>
        <v>0</v>
      </c>
      <c r="K213" s="71" t="n">
        <f aca="false">MAX(0,J213-J819-J1122-J1425-J1728)</f>
        <v>0</v>
      </c>
      <c r="L213" s="71" t="n">
        <f aca="false">MAX(0,K213-K819-K1122-K1425-K1728)</f>
        <v>0</v>
      </c>
      <c r="M213" s="71" t="n">
        <f aca="false">MAX(0,L213-L819-L1122-L1425-L1728)</f>
        <v>0</v>
      </c>
    </row>
    <row r="214" customFormat="false" ht="15" hidden="false" customHeight="false" outlineLevel="0" collapsed="false">
      <c r="B214" s="102" t="n">
        <f aca="false">'Loan Tape'!$A210</f>
        <v>0</v>
      </c>
      <c r="C214" s="99" t="n">
        <f aca="false">IF('Loan Tape'!$AN210=0,0,'Loan Tape'!$R210)</f>
        <v>0</v>
      </c>
      <c r="D214" s="99" t="n">
        <f aca="false">MAX(0,C214-C820-C1123-C1426-C1729)</f>
        <v>0</v>
      </c>
      <c r="E214" s="99" t="n">
        <f aca="false">MAX(0,D214-D820-D1123-D1426-D1729)</f>
        <v>0</v>
      </c>
      <c r="F214" s="99" t="n">
        <f aca="false">MAX(0,E214-E820-E1123-E1426-E1729)</f>
        <v>0</v>
      </c>
      <c r="G214" s="99" t="n">
        <f aca="false">MAX(0,F214-F820-F1123-F1426-F1729)</f>
        <v>0</v>
      </c>
      <c r="H214" s="99" t="n">
        <f aca="false">MAX(0,G214-G820-G1123-G1426-G1729)</f>
        <v>0</v>
      </c>
      <c r="I214" s="99" t="n">
        <f aca="false">MAX(0,H214-H820-H1123-H1426-H1729)</f>
        <v>0</v>
      </c>
      <c r="J214" s="99" t="n">
        <f aca="false">MAX(0,I214-I820-I1123-I1426-I1729)</f>
        <v>0</v>
      </c>
      <c r="K214" s="99" t="n">
        <f aca="false">MAX(0,J214-J820-J1123-J1426-J1729)</f>
        <v>0</v>
      </c>
      <c r="L214" s="99" t="n">
        <f aca="false">MAX(0,K214-K820-K1123-K1426-K1729)</f>
        <v>0</v>
      </c>
      <c r="M214" s="99" t="n">
        <f aca="false">MAX(0,L214-L820-L1123-L1426-L1729)</f>
        <v>0</v>
      </c>
    </row>
    <row r="215" customFormat="false" ht="15" hidden="false" customHeight="false" outlineLevel="0" collapsed="false">
      <c r="B215" s="108" t="n">
        <f aca="false">'Loan Tape'!$A211</f>
        <v>0</v>
      </c>
      <c r="C215" s="71" t="n">
        <f aca="false">IF('Loan Tape'!$AN211=0,0,'Loan Tape'!$R211)</f>
        <v>0</v>
      </c>
      <c r="D215" s="71" t="n">
        <f aca="false">MAX(0,C215-C821-C1124-C1427-C1730)</f>
        <v>0</v>
      </c>
      <c r="E215" s="71" t="n">
        <f aca="false">MAX(0,D215-D821-D1124-D1427-D1730)</f>
        <v>0</v>
      </c>
      <c r="F215" s="71" t="n">
        <f aca="false">MAX(0,E215-E821-E1124-E1427-E1730)</f>
        <v>0</v>
      </c>
      <c r="G215" s="71" t="n">
        <f aca="false">MAX(0,F215-F821-F1124-F1427-F1730)</f>
        <v>0</v>
      </c>
      <c r="H215" s="71" t="n">
        <f aca="false">MAX(0,G215-G821-G1124-G1427-G1730)</f>
        <v>0</v>
      </c>
      <c r="I215" s="71" t="n">
        <f aca="false">MAX(0,H215-H821-H1124-H1427-H1730)</f>
        <v>0</v>
      </c>
      <c r="J215" s="71" t="n">
        <f aca="false">MAX(0,I215-I821-I1124-I1427-I1730)</f>
        <v>0</v>
      </c>
      <c r="K215" s="71" t="n">
        <f aca="false">MAX(0,J215-J821-J1124-J1427-J1730)</f>
        <v>0</v>
      </c>
      <c r="L215" s="71" t="n">
        <f aca="false">MAX(0,K215-K821-K1124-K1427-K1730)</f>
        <v>0</v>
      </c>
      <c r="M215" s="71" t="n">
        <f aca="false">MAX(0,L215-L821-L1124-L1427-L1730)</f>
        <v>0</v>
      </c>
    </row>
    <row r="216" customFormat="false" ht="15" hidden="false" customHeight="false" outlineLevel="0" collapsed="false">
      <c r="B216" s="102" t="n">
        <f aca="false">'Loan Tape'!$A212</f>
        <v>0</v>
      </c>
      <c r="C216" s="99" t="n">
        <f aca="false">IF('Loan Tape'!$AN212=0,0,'Loan Tape'!$R212)</f>
        <v>0</v>
      </c>
      <c r="D216" s="99" t="n">
        <f aca="false">MAX(0,C216-C822-C1125-C1428-C1731)</f>
        <v>0</v>
      </c>
      <c r="E216" s="99" t="n">
        <f aca="false">MAX(0,D216-D822-D1125-D1428-D1731)</f>
        <v>0</v>
      </c>
      <c r="F216" s="99" t="n">
        <f aca="false">MAX(0,E216-E822-E1125-E1428-E1731)</f>
        <v>0</v>
      </c>
      <c r="G216" s="99" t="n">
        <f aca="false">MAX(0,F216-F822-F1125-F1428-F1731)</f>
        <v>0</v>
      </c>
      <c r="H216" s="99" t="n">
        <f aca="false">MAX(0,G216-G822-G1125-G1428-G1731)</f>
        <v>0</v>
      </c>
      <c r="I216" s="99" t="n">
        <f aca="false">MAX(0,H216-H822-H1125-H1428-H1731)</f>
        <v>0</v>
      </c>
      <c r="J216" s="99" t="n">
        <f aca="false">MAX(0,I216-I822-I1125-I1428-I1731)</f>
        <v>0</v>
      </c>
      <c r="K216" s="99" t="n">
        <f aca="false">MAX(0,J216-J822-J1125-J1428-J1731)</f>
        <v>0</v>
      </c>
      <c r="L216" s="99" t="n">
        <f aca="false">MAX(0,K216-K822-K1125-K1428-K1731)</f>
        <v>0</v>
      </c>
      <c r="M216" s="99" t="n">
        <f aca="false">MAX(0,L216-L822-L1125-L1428-L1731)</f>
        <v>0</v>
      </c>
    </row>
    <row r="217" customFormat="false" ht="15" hidden="false" customHeight="false" outlineLevel="0" collapsed="false">
      <c r="B217" s="108" t="n">
        <f aca="false">'Loan Tape'!$A213</f>
        <v>0</v>
      </c>
      <c r="C217" s="71" t="n">
        <f aca="false">IF('Loan Tape'!$AN213=0,0,'Loan Tape'!$R213)</f>
        <v>0</v>
      </c>
      <c r="D217" s="71" t="n">
        <f aca="false">MAX(0,C217-C823-C1126-C1429-C1732)</f>
        <v>0</v>
      </c>
      <c r="E217" s="71" t="n">
        <f aca="false">MAX(0,D217-D823-D1126-D1429-D1732)</f>
        <v>0</v>
      </c>
      <c r="F217" s="71" t="n">
        <f aca="false">MAX(0,E217-E823-E1126-E1429-E1732)</f>
        <v>0</v>
      </c>
      <c r="G217" s="71" t="n">
        <f aca="false">MAX(0,F217-F823-F1126-F1429-F1732)</f>
        <v>0</v>
      </c>
      <c r="H217" s="71" t="n">
        <f aca="false">MAX(0,G217-G823-G1126-G1429-G1732)</f>
        <v>0</v>
      </c>
      <c r="I217" s="71" t="n">
        <f aca="false">MAX(0,H217-H823-H1126-H1429-H1732)</f>
        <v>0</v>
      </c>
      <c r="J217" s="71" t="n">
        <f aca="false">MAX(0,I217-I823-I1126-I1429-I1732)</f>
        <v>0</v>
      </c>
      <c r="K217" s="71" t="n">
        <f aca="false">MAX(0,J217-J823-J1126-J1429-J1732)</f>
        <v>0</v>
      </c>
      <c r="L217" s="71" t="n">
        <f aca="false">MAX(0,K217-K823-K1126-K1429-K1732)</f>
        <v>0</v>
      </c>
      <c r="M217" s="71" t="n">
        <f aca="false">MAX(0,L217-L823-L1126-L1429-L1732)</f>
        <v>0</v>
      </c>
    </row>
    <row r="218" customFormat="false" ht="15" hidden="false" customHeight="false" outlineLevel="0" collapsed="false">
      <c r="B218" s="102" t="n">
        <f aca="false">'Loan Tape'!$A214</f>
        <v>0</v>
      </c>
      <c r="C218" s="99" t="n">
        <f aca="false">IF('Loan Tape'!$AN214=0,0,'Loan Tape'!$R214)</f>
        <v>0</v>
      </c>
      <c r="D218" s="99" t="n">
        <f aca="false">MAX(0,C218-C824-C1127-C1430-C1733)</f>
        <v>0</v>
      </c>
      <c r="E218" s="99" t="n">
        <f aca="false">MAX(0,D218-D824-D1127-D1430-D1733)</f>
        <v>0</v>
      </c>
      <c r="F218" s="99" t="n">
        <f aca="false">MAX(0,E218-E824-E1127-E1430-E1733)</f>
        <v>0</v>
      </c>
      <c r="G218" s="99" t="n">
        <f aca="false">MAX(0,F218-F824-F1127-F1430-F1733)</f>
        <v>0</v>
      </c>
      <c r="H218" s="99" t="n">
        <f aca="false">MAX(0,G218-G824-G1127-G1430-G1733)</f>
        <v>0</v>
      </c>
      <c r="I218" s="99" t="n">
        <f aca="false">MAX(0,H218-H824-H1127-H1430-H1733)</f>
        <v>0</v>
      </c>
      <c r="J218" s="99" t="n">
        <f aca="false">MAX(0,I218-I824-I1127-I1430-I1733)</f>
        <v>0</v>
      </c>
      <c r="K218" s="99" t="n">
        <f aca="false">MAX(0,J218-J824-J1127-J1430-J1733)</f>
        <v>0</v>
      </c>
      <c r="L218" s="99" t="n">
        <f aca="false">MAX(0,K218-K824-K1127-K1430-K1733)</f>
        <v>0</v>
      </c>
      <c r="M218" s="99" t="n">
        <f aca="false">MAX(0,L218-L824-L1127-L1430-L1733)</f>
        <v>0</v>
      </c>
    </row>
    <row r="219" customFormat="false" ht="15" hidden="false" customHeight="false" outlineLevel="0" collapsed="false">
      <c r="B219" s="108" t="n">
        <f aca="false">'Loan Tape'!$A215</f>
        <v>0</v>
      </c>
      <c r="C219" s="71" t="n">
        <f aca="false">IF('Loan Tape'!$AN215=0,0,'Loan Tape'!$R215)</f>
        <v>0</v>
      </c>
      <c r="D219" s="71" t="n">
        <f aca="false">MAX(0,C219-C825-C1128-C1431-C1734)</f>
        <v>0</v>
      </c>
      <c r="E219" s="71" t="n">
        <f aca="false">MAX(0,D219-D825-D1128-D1431-D1734)</f>
        <v>0</v>
      </c>
      <c r="F219" s="71" t="n">
        <f aca="false">MAX(0,E219-E825-E1128-E1431-E1734)</f>
        <v>0</v>
      </c>
      <c r="G219" s="71" t="n">
        <f aca="false">MAX(0,F219-F825-F1128-F1431-F1734)</f>
        <v>0</v>
      </c>
      <c r="H219" s="71" t="n">
        <f aca="false">MAX(0,G219-G825-G1128-G1431-G1734)</f>
        <v>0</v>
      </c>
      <c r="I219" s="71" t="n">
        <f aca="false">MAX(0,H219-H825-H1128-H1431-H1734)</f>
        <v>0</v>
      </c>
      <c r="J219" s="71" t="n">
        <f aca="false">MAX(0,I219-I825-I1128-I1431-I1734)</f>
        <v>0</v>
      </c>
      <c r="K219" s="71" t="n">
        <f aca="false">MAX(0,J219-J825-J1128-J1431-J1734)</f>
        <v>0</v>
      </c>
      <c r="L219" s="71" t="n">
        <f aca="false">MAX(0,K219-K825-K1128-K1431-K1734)</f>
        <v>0</v>
      </c>
      <c r="M219" s="71" t="n">
        <f aca="false">MAX(0,L219-L825-L1128-L1431-L1734)</f>
        <v>0</v>
      </c>
    </row>
    <row r="220" customFormat="false" ht="15" hidden="false" customHeight="false" outlineLevel="0" collapsed="false">
      <c r="B220" s="102" t="n">
        <f aca="false">'Loan Tape'!$A216</f>
        <v>0</v>
      </c>
      <c r="C220" s="99" t="n">
        <f aca="false">IF('Loan Tape'!$AN216=0,0,'Loan Tape'!$R216)</f>
        <v>0</v>
      </c>
      <c r="D220" s="99" t="n">
        <f aca="false">MAX(0,C220-C826-C1129-C1432-C1735)</f>
        <v>0</v>
      </c>
      <c r="E220" s="99" t="n">
        <f aca="false">MAX(0,D220-D826-D1129-D1432-D1735)</f>
        <v>0</v>
      </c>
      <c r="F220" s="99" t="n">
        <f aca="false">MAX(0,E220-E826-E1129-E1432-E1735)</f>
        <v>0</v>
      </c>
      <c r="G220" s="99" t="n">
        <f aca="false">MAX(0,F220-F826-F1129-F1432-F1735)</f>
        <v>0</v>
      </c>
      <c r="H220" s="99" t="n">
        <f aca="false">MAX(0,G220-G826-G1129-G1432-G1735)</f>
        <v>0</v>
      </c>
      <c r="I220" s="99" t="n">
        <f aca="false">MAX(0,H220-H826-H1129-H1432-H1735)</f>
        <v>0</v>
      </c>
      <c r="J220" s="99" t="n">
        <f aca="false">MAX(0,I220-I826-I1129-I1432-I1735)</f>
        <v>0</v>
      </c>
      <c r="K220" s="99" t="n">
        <f aca="false">MAX(0,J220-J826-J1129-J1432-J1735)</f>
        <v>0</v>
      </c>
      <c r="L220" s="99" t="n">
        <f aca="false">MAX(0,K220-K826-K1129-K1432-K1735)</f>
        <v>0</v>
      </c>
      <c r="M220" s="99" t="n">
        <f aca="false">MAX(0,L220-L826-L1129-L1432-L1735)</f>
        <v>0</v>
      </c>
    </row>
    <row r="221" customFormat="false" ht="15" hidden="false" customHeight="false" outlineLevel="0" collapsed="false">
      <c r="B221" s="108" t="n">
        <f aca="false">'Loan Tape'!$A217</f>
        <v>0</v>
      </c>
      <c r="C221" s="71" t="n">
        <f aca="false">IF('Loan Tape'!$AN217=0,0,'Loan Tape'!$R217)</f>
        <v>0</v>
      </c>
      <c r="D221" s="71" t="n">
        <f aca="false">MAX(0,C221-C827-C1130-C1433-C1736)</f>
        <v>0</v>
      </c>
      <c r="E221" s="71" t="n">
        <f aca="false">MAX(0,D221-D827-D1130-D1433-D1736)</f>
        <v>0</v>
      </c>
      <c r="F221" s="71" t="n">
        <f aca="false">MAX(0,E221-E827-E1130-E1433-E1736)</f>
        <v>0</v>
      </c>
      <c r="G221" s="71" t="n">
        <f aca="false">MAX(0,F221-F827-F1130-F1433-F1736)</f>
        <v>0</v>
      </c>
      <c r="H221" s="71" t="n">
        <f aca="false">MAX(0,G221-G827-G1130-G1433-G1736)</f>
        <v>0</v>
      </c>
      <c r="I221" s="71" t="n">
        <f aca="false">MAX(0,H221-H827-H1130-H1433-H1736)</f>
        <v>0</v>
      </c>
      <c r="J221" s="71" t="n">
        <f aca="false">MAX(0,I221-I827-I1130-I1433-I1736)</f>
        <v>0</v>
      </c>
      <c r="K221" s="71" t="n">
        <f aca="false">MAX(0,J221-J827-J1130-J1433-J1736)</f>
        <v>0</v>
      </c>
      <c r="L221" s="71" t="n">
        <f aca="false">MAX(0,K221-K827-K1130-K1433-K1736)</f>
        <v>0</v>
      </c>
      <c r="M221" s="71" t="n">
        <f aca="false">MAX(0,L221-L827-L1130-L1433-L1736)</f>
        <v>0</v>
      </c>
    </row>
    <row r="222" customFormat="false" ht="15" hidden="false" customHeight="false" outlineLevel="0" collapsed="false">
      <c r="B222" s="102" t="n">
        <f aca="false">'Loan Tape'!$A218</f>
        <v>0</v>
      </c>
      <c r="C222" s="99" t="n">
        <f aca="false">IF('Loan Tape'!$AN218=0,0,'Loan Tape'!$R218)</f>
        <v>0</v>
      </c>
      <c r="D222" s="99" t="n">
        <f aca="false">MAX(0,C222-C828-C1131-C1434-C1737)</f>
        <v>0</v>
      </c>
      <c r="E222" s="99" t="n">
        <f aca="false">MAX(0,D222-D828-D1131-D1434-D1737)</f>
        <v>0</v>
      </c>
      <c r="F222" s="99" t="n">
        <f aca="false">MAX(0,E222-E828-E1131-E1434-E1737)</f>
        <v>0</v>
      </c>
      <c r="G222" s="99" t="n">
        <f aca="false">MAX(0,F222-F828-F1131-F1434-F1737)</f>
        <v>0</v>
      </c>
      <c r="H222" s="99" t="n">
        <f aca="false">MAX(0,G222-G828-G1131-G1434-G1737)</f>
        <v>0</v>
      </c>
      <c r="I222" s="99" t="n">
        <f aca="false">MAX(0,H222-H828-H1131-H1434-H1737)</f>
        <v>0</v>
      </c>
      <c r="J222" s="99" t="n">
        <f aca="false">MAX(0,I222-I828-I1131-I1434-I1737)</f>
        <v>0</v>
      </c>
      <c r="K222" s="99" t="n">
        <f aca="false">MAX(0,J222-J828-J1131-J1434-J1737)</f>
        <v>0</v>
      </c>
      <c r="L222" s="99" t="n">
        <f aca="false">MAX(0,K222-K828-K1131-K1434-K1737)</f>
        <v>0</v>
      </c>
      <c r="M222" s="99" t="n">
        <f aca="false">MAX(0,L222-L828-L1131-L1434-L1737)</f>
        <v>0</v>
      </c>
    </row>
    <row r="223" customFormat="false" ht="15" hidden="false" customHeight="false" outlineLevel="0" collapsed="false">
      <c r="B223" s="108" t="n">
        <f aca="false">'Loan Tape'!$A219</f>
        <v>0</v>
      </c>
      <c r="C223" s="71" t="n">
        <f aca="false">IF('Loan Tape'!$AN219=0,0,'Loan Tape'!$R219)</f>
        <v>0</v>
      </c>
      <c r="D223" s="71" t="n">
        <f aca="false">MAX(0,C223-C829-C1132-C1435-C1738)</f>
        <v>0</v>
      </c>
      <c r="E223" s="71" t="n">
        <f aca="false">MAX(0,D223-D829-D1132-D1435-D1738)</f>
        <v>0</v>
      </c>
      <c r="F223" s="71" t="n">
        <f aca="false">MAX(0,E223-E829-E1132-E1435-E1738)</f>
        <v>0</v>
      </c>
      <c r="G223" s="71" t="n">
        <f aca="false">MAX(0,F223-F829-F1132-F1435-F1738)</f>
        <v>0</v>
      </c>
      <c r="H223" s="71" t="n">
        <f aca="false">MAX(0,G223-G829-G1132-G1435-G1738)</f>
        <v>0</v>
      </c>
      <c r="I223" s="71" t="n">
        <f aca="false">MAX(0,H223-H829-H1132-H1435-H1738)</f>
        <v>0</v>
      </c>
      <c r="J223" s="71" t="n">
        <f aca="false">MAX(0,I223-I829-I1132-I1435-I1738)</f>
        <v>0</v>
      </c>
      <c r="K223" s="71" t="n">
        <f aca="false">MAX(0,J223-J829-J1132-J1435-J1738)</f>
        <v>0</v>
      </c>
      <c r="L223" s="71" t="n">
        <f aca="false">MAX(0,K223-K829-K1132-K1435-K1738)</f>
        <v>0</v>
      </c>
      <c r="M223" s="71" t="n">
        <f aca="false">MAX(0,L223-L829-L1132-L1435-L1738)</f>
        <v>0</v>
      </c>
    </row>
    <row r="224" customFormat="false" ht="15" hidden="false" customHeight="false" outlineLevel="0" collapsed="false">
      <c r="B224" s="102" t="n">
        <f aca="false">'Loan Tape'!$A220</f>
        <v>0</v>
      </c>
      <c r="C224" s="99" t="n">
        <f aca="false">IF('Loan Tape'!$AN220=0,0,'Loan Tape'!$R220)</f>
        <v>0</v>
      </c>
      <c r="D224" s="99" t="n">
        <f aca="false">MAX(0,C224-C830-C1133-C1436-C1739)</f>
        <v>0</v>
      </c>
      <c r="E224" s="99" t="n">
        <f aca="false">MAX(0,D224-D830-D1133-D1436-D1739)</f>
        <v>0</v>
      </c>
      <c r="F224" s="99" t="n">
        <f aca="false">MAX(0,E224-E830-E1133-E1436-E1739)</f>
        <v>0</v>
      </c>
      <c r="G224" s="99" t="n">
        <f aca="false">MAX(0,F224-F830-F1133-F1436-F1739)</f>
        <v>0</v>
      </c>
      <c r="H224" s="99" t="n">
        <f aca="false">MAX(0,G224-G830-G1133-G1436-G1739)</f>
        <v>0</v>
      </c>
      <c r="I224" s="99" t="n">
        <f aca="false">MAX(0,H224-H830-H1133-H1436-H1739)</f>
        <v>0</v>
      </c>
      <c r="J224" s="99" t="n">
        <f aca="false">MAX(0,I224-I830-I1133-I1436-I1739)</f>
        <v>0</v>
      </c>
      <c r="K224" s="99" t="n">
        <f aca="false">MAX(0,J224-J830-J1133-J1436-J1739)</f>
        <v>0</v>
      </c>
      <c r="L224" s="99" t="n">
        <f aca="false">MAX(0,K224-K830-K1133-K1436-K1739)</f>
        <v>0</v>
      </c>
      <c r="M224" s="99" t="n">
        <f aca="false">MAX(0,L224-L830-L1133-L1436-L1739)</f>
        <v>0</v>
      </c>
    </row>
    <row r="225" customFormat="false" ht="15" hidden="false" customHeight="false" outlineLevel="0" collapsed="false">
      <c r="B225" s="108" t="n">
        <f aca="false">'Loan Tape'!$A221</f>
        <v>0</v>
      </c>
      <c r="C225" s="71" t="n">
        <f aca="false">IF('Loan Tape'!$AN221=0,0,'Loan Tape'!$R221)</f>
        <v>0</v>
      </c>
      <c r="D225" s="71" t="n">
        <f aca="false">MAX(0,C225-C831-C1134-C1437-C1740)</f>
        <v>0</v>
      </c>
      <c r="E225" s="71" t="n">
        <f aca="false">MAX(0,D225-D831-D1134-D1437-D1740)</f>
        <v>0</v>
      </c>
      <c r="F225" s="71" t="n">
        <f aca="false">MAX(0,E225-E831-E1134-E1437-E1740)</f>
        <v>0</v>
      </c>
      <c r="G225" s="71" t="n">
        <f aca="false">MAX(0,F225-F831-F1134-F1437-F1740)</f>
        <v>0</v>
      </c>
      <c r="H225" s="71" t="n">
        <f aca="false">MAX(0,G225-G831-G1134-G1437-G1740)</f>
        <v>0</v>
      </c>
      <c r="I225" s="71" t="n">
        <f aca="false">MAX(0,H225-H831-H1134-H1437-H1740)</f>
        <v>0</v>
      </c>
      <c r="J225" s="71" t="n">
        <f aca="false">MAX(0,I225-I831-I1134-I1437-I1740)</f>
        <v>0</v>
      </c>
      <c r="K225" s="71" t="n">
        <f aca="false">MAX(0,J225-J831-J1134-J1437-J1740)</f>
        <v>0</v>
      </c>
      <c r="L225" s="71" t="n">
        <f aca="false">MAX(0,K225-K831-K1134-K1437-K1740)</f>
        <v>0</v>
      </c>
      <c r="M225" s="71" t="n">
        <f aca="false">MAX(0,L225-L831-L1134-L1437-L1740)</f>
        <v>0</v>
      </c>
    </row>
    <row r="226" customFormat="false" ht="15" hidden="false" customHeight="false" outlineLevel="0" collapsed="false">
      <c r="B226" s="102" t="n">
        <f aca="false">'Loan Tape'!$A222</f>
        <v>0</v>
      </c>
      <c r="C226" s="99" t="n">
        <f aca="false">IF('Loan Tape'!$AN222=0,0,'Loan Tape'!$R222)</f>
        <v>0</v>
      </c>
      <c r="D226" s="99" t="n">
        <f aca="false">MAX(0,C226-C832-C1135-C1438-C1741)</f>
        <v>0</v>
      </c>
      <c r="E226" s="99" t="n">
        <f aca="false">MAX(0,D226-D832-D1135-D1438-D1741)</f>
        <v>0</v>
      </c>
      <c r="F226" s="99" t="n">
        <f aca="false">MAX(0,E226-E832-E1135-E1438-E1741)</f>
        <v>0</v>
      </c>
      <c r="G226" s="99" t="n">
        <f aca="false">MAX(0,F226-F832-F1135-F1438-F1741)</f>
        <v>0</v>
      </c>
      <c r="H226" s="99" t="n">
        <f aca="false">MAX(0,G226-G832-G1135-G1438-G1741)</f>
        <v>0</v>
      </c>
      <c r="I226" s="99" t="n">
        <f aca="false">MAX(0,H226-H832-H1135-H1438-H1741)</f>
        <v>0</v>
      </c>
      <c r="J226" s="99" t="n">
        <f aca="false">MAX(0,I226-I832-I1135-I1438-I1741)</f>
        <v>0</v>
      </c>
      <c r="K226" s="99" t="n">
        <f aca="false">MAX(0,J226-J832-J1135-J1438-J1741)</f>
        <v>0</v>
      </c>
      <c r="L226" s="99" t="n">
        <f aca="false">MAX(0,K226-K832-K1135-K1438-K1741)</f>
        <v>0</v>
      </c>
      <c r="M226" s="99" t="n">
        <f aca="false">MAX(0,L226-L832-L1135-L1438-L1741)</f>
        <v>0</v>
      </c>
    </row>
    <row r="227" customFormat="false" ht="15" hidden="false" customHeight="false" outlineLevel="0" collapsed="false">
      <c r="B227" s="108" t="n">
        <f aca="false">'Loan Tape'!$A223</f>
        <v>0</v>
      </c>
      <c r="C227" s="71" t="n">
        <f aca="false">IF('Loan Tape'!$AN223=0,0,'Loan Tape'!$R223)</f>
        <v>0</v>
      </c>
      <c r="D227" s="71" t="n">
        <f aca="false">MAX(0,C227-C833-C1136-C1439-C1742)</f>
        <v>0</v>
      </c>
      <c r="E227" s="71" t="n">
        <f aca="false">MAX(0,D227-D833-D1136-D1439-D1742)</f>
        <v>0</v>
      </c>
      <c r="F227" s="71" t="n">
        <f aca="false">MAX(0,E227-E833-E1136-E1439-E1742)</f>
        <v>0</v>
      </c>
      <c r="G227" s="71" t="n">
        <f aca="false">MAX(0,F227-F833-F1136-F1439-F1742)</f>
        <v>0</v>
      </c>
      <c r="H227" s="71" t="n">
        <f aca="false">MAX(0,G227-G833-G1136-G1439-G1742)</f>
        <v>0</v>
      </c>
      <c r="I227" s="71" t="n">
        <f aca="false">MAX(0,H227-H833-H1136-H1439-H1742)</f>
        <v>0</v>
      </c>
      <c r="J227" s="71" t="n">
        <f aca="false">MAX(0,I227-I833-I1136-I1439-I1742)</f>
        <v>0</v>
      </c>
      <c r="K227" s="71" t="n">
        <f aca="false">MAX(0,J227-J833-J1136-J1439-J1742)</f>
        <v>0</v>
      </c>
      <c r="L227" s="71" t="n">
        <f aca="false">MAX(0,K227-K833-K1136-K1439-K1742)</f>
        <v>0</v>
      </c>
      <c r="M227" s="71" t="n">
        <f aca="false">MAX(0,L227-L833-L1136-L1439-L1742)</f>
        <v>0</v>
      </c>
    </row>
    <row r="228" customFormat="false" ht="15" hidden="false" customHeight="false" outlineLevel="0" collapsed="false">
      <c r="B228" s="102" t="n">
        <f aca="false">'Loan Tape'!$A224</f>
        <v>0</v>
      </c>
      <c r="C228" s="99" t="n">
        <f aca="false">IF('Loan Tape'!$AN224=0,0,'Loan Tape'!$R224)</f>
        <v>0</v>
      </c>
      <c r="D228" s="99" t="n">
        <f aca="false">MAX(0,C228-C834-C1137-C1440-C1743)</f>
        <v>0</v>
      </c>
      <c r="E228" s="99" t="n">
        <f aca="false">MAX(0,D228-D834-D1137-D1440-D1743)</f>
        <v>0</v>
      </c>
      <c r="F228" s="99" t="n">
        <f aca="false">MAX(0,E228-E834-E1137-E1440-E1743)</f>
        <v>0</v>
      </c>
      <c r="G228" s="99" t="n">
        <f aca="false">MAX(0,F228-F834-F1137-F1440-F1743)</f>
        <v>0</v>
      </c>
      <c r="H228" s="99" t="n">
        <f aca="false">MAX(0,G228-G834-G1137-G1440-G1743)</f>
        <v>0</v>
      </c>
      <c r="I228" s="99" t="n">
        <f aca="false">MAX(0,H228-H834-H1137-H1440-H1743)</f>
        <v>0</v>
      </c>
      <c r="J228" s="99" t="n">
        <f aca="false">MAX(0,I228-I834-I1137-I1440-I1743)</f>
        <v>0</v>
      </c>
      <c r="K228" s="99" t="n">
        <f aca="false">MAX(0,J228-J834-J1137-J1440-J1743)</f>
        <v>0</v>
      </c>
      <c r="L228" s="99" t="n">
        <f aca="false">MAX(0,K228-K834-K1137-K1440-K1743)</f>
        <v>0</v>
      </c>
      <c r="M228" s="99" t="n">
        <f aca="false">MAX(0,L228-L834-L1137-L1440-L1743)</f>
        <v>0</v>
      </c>
    </row>
    <row r="229" customFormat="false" ht="15" hidden="false" customHeight="false" outlineLevel="0" collapsed="false">
      <c r="B229" s="108" t="n">
        <f aca="false">'Loan Tape'!$A225</f>
        <v>0</v>
      </c>
      <c r="C229" s="71" t="n">
        <f aca="false">IF('Loan Tape'!$AN225=0,0,'Loan Tape'!$R225)</f>
        <v>0</v>
      </c>
      <c r="D229" s="71" t="n">
        <f aca="false">MAX(0,C229-C835-C1138-C1441-C1744)</f>
        <v>0</v>
      </c>
      <c r="E229" s="71" t="n">
        <f aca="false">MAX(0,D229-D835-D1138-D1441-D1744)</f>
        <v>0</v>
      </c>
      <c r="F229" s="71" t="n">
        <f aca="false">MAX(0,E229-E835-E1138-E1441-E1744)</f>
        <v>0</v>
      </c>
      <c r="G229" s="71" t="n">
        <f aca="false">MAX(0,F229-F835-F1138-F1441-F1744)</f>
        <v>0</v>
      </c>
      <c r="H229" s="71" t="n">
        <f aca="false">MAX(0,G229-G835-G1138-G1441-G1744)</f>
        <v>0</v>
      </c>
      <c r="I229" s="71" t="n">
        <f aca="false">MAX(0,H229-H835-H1138-H1441-H1744)</f>
        <v>0</v>
      </c>
      <c r="J229" s="71" t="n">
        <f aca="false">MAX(0,I229-I835-I1138-I1441-I1744)</f>
        <v>0</v>
      </c>
      <c r="K229" s="71" t="n">
        <f aca="false">MAX(0,J229-J835-J1138-J1441-J1744)</f>
        <v>0</v>
      </c>
      <c r="L229" s="71" t="n">
        <f aca="false">MAX(0,K229-K835-K1138-K1441-K1744)</f>
        <v>0</v>
      </c>
      <c r="M229" s="71" t="n">
        <f aca="false">MAX(0,L229-L835-L1138-L1441-L1744)</f>
        <v>0</v>
      </c>
    </row>
    <row r="230" customFormat="false" ht="15" hidden="false" customHeight="false" outlineLevel="0" collapsed="false">
      <c r="B230" s="102" t="n">
        <f aca="false">'Loan Tape'!$A226</f>
        <v>0</v>
      </c>
      <c r="C230" s="99" t="n">
        <f aca="false">IF('Loan Tape'!$AN226=0,0,'Loan Tape'!$R226)</f>
        <v>0</v>
      </c>
      <c r="D230" s="99" t="n">
        <f aca="false">MAX(0,C230-C836-C1139-C1442-C1745)</f>
        <v>0</v>
      </c>
      <c r="E230" s="99" t="n">
        <f aca="false">MAX(0,D230-D836-D1139-D1442-D1745)</f>
        <v>0</v>
      </c>
      <c r="F230" s="99" t="n">
        <f aca="false">MAX(0,E230-E836-E1139-E1442-E1745)</f>
        <v>0</v>
      </c>
      <c r="G230" s="99" t="n">
        <f aca="false">MAX(0,F230-F836-F1139-F1442-F1745)</f>
        <v>0</v>
      </c>
      <c r="H230" s="99" t="n">
        <f aca="false">MAX(0,G230-G836-G1139-G1442-G1745)</f>
        <v>0</v>
      </c>
      <c r="I230" s="99" t="n">
        <f aca="false">MAX(0,H230-H836-H1139-H1442-H1745)</f>
        <v>0</v>
      </c>
      <c r="J230" s="99" t="n">
        <f aca="false">MAX(0,I230-I836-I1139-I1442-I1745)</f>
        <v>0</v>
      </c>
      <c r="K230" s="99" t="n">
        <f aca="false">MAX(0,J230-J836-J1139-J1442-J1745)</f>
        <v>0</v>
      </c>
      <c r="L230" s="99" t="n">
        <f aca="false">MAX(0,K230-K836-K1139-K1442-K1745)</f>
        <v>0</v>
      </c>
      <c r="M230" s="99" t="n">
        <f aca="false">MAX(0,L230-L836-L1139-L1442-L1745)</f>
        <v>0</v>
      </c>
    </row>
    <row r="231" customFormat="false" ht="15" hidden="false" customHeight="false" outlineLevel="0" collapsed="false">
      <c r="B231" s="108" t="n">
        <f aca="false">'Loan Tape'!$A227</f>
        <v>0</v>
      </c>
      <c r="C231" s="71" t="n">
        <f aca="false">IF('Loan Tape'!$AN227=0,0,'Loan Tape'!$R227)</f>
        <v>0</v>
      </c>
      <c r="D231" s="71" t="n">
        <f aca="false">MAX(0,C231-C837-C1140-C1443-C1746)</f>
        <v>0</v>
      </c>
      <c r="E231" s="71" t="n">
        <f aca="false">MAX(0,D231-D837-D1140-D1443-D1746)</f>
        <v>0</v>
      </c>
      <c r="F231" s="71" t="n">
        <f aca="false">MAX(0,E231-E837-E1140-E1443-E1746)</f>
        <v>0</v>
      </c>
      <c r="G231" s="71" t="n">
        <f aca="false">MAX(0,F231-F837-F1140-F1443-F1746)</f>
        <v>0</v>
      </c>
      <c r="H231" s="71" t="n">
        <f aca="false">MAX(0,G231-G837-G1140-G1443-G1746)</f>
        <v>0</v>
      </c>
      <c r="I231" s="71" t="n">
        <f aca="false">MAX(0,H231-H837-H1140-H1443-H1746)</f>
        <v>0</v>
      </c>
      <c r="J231" s="71" t="n">
        <f aca="false">MAX(0,I231-I837-I1140-I1443-I1746)</f>
        <v>0</v>
      </c>
      <c r="K231" s="71" t="n">
        <f aca="false">MAX(0,J231-J837-J1140-J1443-J1746)</f>
        <v>0</v>
      </c>
      <c r="L231" s="71" t="n">
        <f aca="false">MAX(0,K231-K837-K1140-K1443-K1746)</f>
        <v>0</v>
      </c>
      <c r="M231" s="71" t="n">
        <f aca="false">MAX(0,L231-L837-L1140-L1443-L1746)</f>
        <v>0</v>
      </c>
    </row>
    <row r="232" customFormat="false" ht="15" hidden="false" customHeight="false" outlineLevel="0" collapsed="false">
      <c r="B232" s="102" t="n">
        <f aca="false">'Loan Tape'!$A228</f>
        <v>0</v>
      </c>
      <c r="C232" s="99" t="n">
        <f aca="false">IF('Loan Tape'!$AN228=0,0,'Loan Tape'!$R228)</f>
        <v>0</v>
      </c>
      <c r="D232" s="99" t="n">
        <f aca="false">MAX(0,C232-C838-C1141-C1444-C1747)</f>
        <v>0</v>
      </c>
      <c r="E232" s="99" t="n">
        <f aca="false">MAX(0,D232-D838-D1141-D1444-D1747)</f>
        <v>0</v>
      </c>
      <c r="F232" s="99" t="n">
        <f aca="false">MAX(0,E232-E838-E1141-E1444-E1747)</f>
        <v>0</v>
      </c>
      <c r="G232" s="99" t="n">
        <f aca="false">MAX(0,F232-F838-F1141-F1444-F1747)</f>
        <v>0</v>
      </c>
      <c r="H232" s="99" t="n">
        <f aca="false">MAX(0,G232-G838-G1141-G1444-G1747)</f>
        <v>0</v>
      </c>
      <c r="I232" s="99" t="n">
        <f aca="false">MAX(0,H232-H838-H1141-H1444-H1747)</f>
        <v>0</v>
      </c>
      <c r="J232" s="99" t="n">
        <f aca="false">MAX(0,I232-I838-I1141-I1444-I1747)</f>
        <v>0</v>
      </c>
      <c r="K232" s="99" t="n">
        <f aca="false">MAX(0,J232-J838-J1141-J1444-J1747)</f>
        <v>0</v>
      </c>
      <c r="L232" s="99" t="n">
        <f aca="false">MAX(0,K232-K838-K1141-K1444-K1747)</f>
        <v>0</v>
      </c>
      <c r="M232" s="99" t="n">
        <f aca="false">MAX(0,L232-L838-L1141-L1444-L1747)</f>
        <v>0</v>
      </c>
    </row>
    <row r="233" customFormat="false" ht="15" hidden="false" customHeight="false" outlineLevel="0" collapsed="false">
      <c r="B233" s="108" t="n">
        <f aca="false">'Loan Tape'!$A229</f>
        <v>0</v>
      </c>
      <c r="C233" s="71" t="n">
        <f aca="false">IF('Loan Tape'!$AN229=0,0,'Loan Tape'!$R229)</f>
        <v>0</v>
      </c>
      <c r="D233" s="71" t="n">
        <f aca="false">MAX(0,C233-C839-C1142-C1445-C1748)</f>
        <v>0</v>
      </c>
      <c r="E233" s="71" t="n">
        <f aca="false">MAX(0,D233-D839-D1142-D1445-D1748)</f>
        <v>0</v>
      </c>
      <c r="F233" s="71" t="n">
        <f aca="false">MAX(0,E233-E839-E1142-E1445-E1748)</f>
        <v>0</v>
      </c>
      <c r="G233" s="71" t="n">
        <f aca="false">MAX(0,F233-F839-F1142-F1445-F1748)</f>
        <v>0</v>
      </c>
      <c r="H233" s="71" t="n">
        <f aca="false">MAX(0,G233-G839-G1142-G1445-G1748)</f>
        <v>0</v>
      </c>
      <c r="I233" s="71" t="n">
        <f aca="false">MAX(0,H233-H839-H1142-H1445-H1748)</f>
        <v>0</v>
      </c>
      <c r="J233" s="71" t="n">
        <f aca="false">MAX(0,I233-I839-I1142-I1445-I1748)</f>
        <v>0</v>
      </c>
      <c r="K233" s="71" t="n">
        <f aca="false">MAX(0,J233-J839-J1142-J1445-J1748)</f>
        <v>0</v>
      </c>
      <c r="L233" s="71" t="n">
        <f aca="false">MAX(0,K233-K839-K1142-K1445-K1748)</f>
        <v>0</v>
      </c>
      <c r="M233" s="71" t="n">
        <f aca="false">MAX(0,L233-L839-L1142-L1445-L1748)</f>
        <v>0</v>
      </c>
    </row>
    <row r="234" customFormat="false" ht="15" hidden="false" customHeight="false" outlineLevel="0" collapsed="false">
      <c r="B234" s="102" t="n">
        <f aca="false">'Loan Tape'!$A230</f>
        <v>0</v>
      </c>
      <c r="C234" s="99" t="n">
        <f aca="false">IF('Loan Tape'!$AN230=0,0,'Loan Tape'!$R230)</f>
        <v>0</v>
      </c>
      <c r="D234" s="99" t="n">
        <f aca="false">MAX(0,C234-C840-C1143-C1446-C1749)</f>
        <v>0</v>
      </c>
      <c r="E234" s="99" t="n">
        <f aca="false">MAX(0,D234-D840-D1143-D1446-D1749)</f>
        <v>0</v>
      </c>
      <c r="F234" s="99" t="n">
        <f aca="false">MAX(0,E234-E840-E1143-E1446-E1749)</f>
        <v>0</v>
      </c>
      <c r="G234" s="99" t="n">
        <f aca="false">MAX(0,F234-F840-F1143-F1446-F1749)</f>
        <v>0</v>
      </c>
      <c r="H234" s="99" t="n">
        <f aca="false">MAX(0,G234-G840-G1143-G1446-G1749)</f>
        <v>0</v>
      </c>
      <c r="I234" s="99" t="n">
        <f aca="false">MAX(0,H234-H840-H1143-H1446-H1749)</f>
        <v>0</v>
      </c>
      <c r="J234" s="99" t="n">
        <f aca="false">MAX(0,I234-I840-I1143-I1446-I1749)</f>
        <v>0</v>
      </c>
      <c r="K234" s="99" t="n">
        <f aca="false">MAX(0,J234-J840-J1143-J1446-J1749)</f>
        <v>0</v>
      </c>
      <c r="L234" s="99" t="n">
        <f aca="false">MAX(0,K234-K840-K1143-K1446-K1749)</f>
        <v>0</v>
      </c>
      <c r="M234" s="99" t="n">
        <f aca="false">MAX(0,L234-L840-L1143-L1446-L1749)</f>
        <v>0</v>
      </c>
    </row>
    <row r="235" customFormat="false" ht="15" hidden="false" customHeight="false" outlineLevel="0" collapsed="false">
      <c r="B235" s="108" t="n">
        <f aca="false">'Loan Tape'!$A231</f>
        <v>0</v>
      </c>
      <c r="C235" s="71" t="n">
        <f aca="false">IF('Loan Tape'!$AN231=0,0,'Loan Tape'!$R231)</f>
        <v>0</v>
      </c>
      <c r="D235" s="71" t="n">
        <f aca="false">MAX(0,C235-C841-C1144-C1447-C1750)</f>
        <v>0</v>
      </c>
      <c r="E235" s="71" t="n">
        <f aca="false">MAX(0,D235-D841-D1144-D1447-D1750)</f>
        <v>0</v>
      </c>
      <c r="F235" s="71" t="n">
        <f aca="false">MAX(0,E235-E841-E1144-E1447-E1750)</f>
        <v>0</v>
      </c>
      <c r="G235" s="71" t="n">
        <f aca="false">MAX(0,F235-F841-F1144-F1447-F1750)</f>
        <v>0</v>
      </c>
      <c r="H235" s="71" t="n">
        <f aca="false">MAX(0,G235-G841-G1144-G1447-G1750)</f>
        <v>0</v>
      </c>
      <c r="I235" s="71" t="n">
        <f aca="false">MAX(0,H235-H841-H1144-H1447-H1750)</f>
        <v>0</v>
      </c>
      <c r="J235" s="71" t="n">
        <f aca="false">MAX(0,I235-I841-I1144-I1447-I1750)</f>
        <v>0</v>
      </c>
      <c r="K235" s="71" t="n">
        <f aca="false">MAX(0,J235-J841-J1144-J1447-J1750)</f>
        <v>0</v>
      </c>
      <c r="L235" s="71" t="n">
        <f aca="false">MAX(0,K235-K841-K1144-K1447-K1750)</f>
        <v>0</v>
      </c>
      <c r="M235" s="71" t="n">
        <f aca="false">MAX(0,L235-L841-L1144-L1447-L1750)</f>
        <v>0</v>
      </c>
    </row>
    <row r="236" customFormat="false" ht="15" hidden="false" customHeight="false" outlineLevel="0" collapsed="false">
      <c r="B236" s="102" t="n">
        <f aca="false">'Loan Tape'!$A232</f>
        <v>0</v>
      </c>
      <c r="C236" s="99" t="n">
        <f aca="false">IF('Loan Tape'!$AN232=0,0,'Loan Tape'!$R232)</f>
        <v>0</v>
      </c>
      <c r="D236" s="99" t="n">
        <f aca="false">MAX(0,C236-C842-C1145-C1448-C1751)</f>
        <v>0</v>
      </c>
      <c r="E236" s="99" t="n">
        <f aca="false">MAX(0,D236-D842-D1145-D1448-D1751)</f>
        <v>0</v>
      </c>
      <c r="F236" s="99" t="n">
        <f aca="false">MAX(0,E236-E842-E1145-E1448-E1751)</f>
        <v>0</v>
      </c>
      <c r="G236" s="99" t="n">
        <f aca="false">MAX(0,F236-F842-F1145-F1448-F1751)</f>
        <v>0</v>
      </c>
      <c r="H236" s="99" t="n">
        <f aca="false">MAX(0,G236-G842-G1145-G1448-G1751)</f>
        <v>0</v>
      </c>
      <c r="I236" s="99" t="n">
        <f aca="false">MAX(0,H236-H842-H1145-H1448-H1751)</f>
        <v>0</v>
      </c>
      <c r="J236" s="99" t="n">
        <f aca="false">MAX(0,I236-I842-I1145-I1448-I1751)</f>
        <v>0</v>
      </c>
      <c r="K236" s="99" t="n">
        <f aca="false">MAX(0,J236-J842-J1145-J1448-J1751)</f>
        <v>0</v>
      </c>
      <c r="L236" s="99" t="n">
        <f aca="false">MAX(0,K236-K842-K1145-K1448-K1751)</f>
        <v>0</v>
      </c>
      <c r="M236" s="99" t="n">
        <f aca="false">MAX(0,L236-L842-L1145-L1448-L1751)</f>
        <v>0</v>
      </c>
    </row>
    <row r="237" customFormat="false" ht="15" hidden="false" customHeight="false" outlineLevel="0" collapsed="false">
      <c r="B237" s="108" t="n">
        <f aca="false">'Loan Tape'!$A233</f>
        <v>0</v>
      </c>
      <c r="C237" s="71" t="n">
        <f aca="false">IF('Loan Tape'!$AN233=0,0,'Loan Tape'!$R233)</f>
        <v>0</v>
      </c>
      <c r="D237" s="71" t="n">
        <f aca="false">MAX(0,C237-C843-C1146-C1449-C1752)</f>
        <v>0</v>
      </c>
      <c r="E237" s="71" t="n">
        <f aca="false">MAX(0,D237-D843-D1146-D1449-D1752)</f>
        <v>0</v>
      </c>
      <c r="F237" s="71" t="n">
        <f aca="false">MAX(0,E237-E843-E1146-E1449-E1752)</f>
        <v>0</v>
      </c>
      <c r="G237" s="71" t="n">
        <f aca="false">MAX(0,F237-F843-F1146-F1449-F1752)</f>
        <v>0</v>
      </c>
      <c r="H237" s="71" t="n">
        <f aca="false">MAX(0,G237-G843-G1146-G1449-G1752)</f>
        <v>0</v>
      </c>
      <c r="I237" s="71" t="n">
        <f aca="false">MAX(0,H237-H843-H1146-H1449-H1752)</f>
        <v>0</v>
      </c>
      <c r="J237" s="71" t="n">
        <f aca="false">MAX(0,I237-I843-I1146-I1449-I1752)</f>
        <v>0</v>
      </c>
      <c r="K237" s="71" t="n">
        <f aca="false">MAX(0,J237-J843-J1146-J1449-J1752)</f>
        <v>0</v>
      </c>
      <c r="L237" s="71" t="n">
        <f aca="false">MAX(0,K237-K843-K1146-K1449-K1752)</f>
        <v>0</v>
      </c>
      <c r="M237" s="71" t="n">
        <f aca="false">MAX(0,L237-L843-L1146-L1449-L1752)</f>
        <v>0</v>
      </c>
    </row>
    <row r="238" customFormat="false" ht="15" hidden="false" customHeight="false" outlineLevel="0" collapsed="false">
      <c r="B238" s="102" t="n">
        <f aca="false">'Loan Tape'!$A234</f>
        <v>0</v>
      </c>
      <c r="C238" s="99" t="n">
        <f aca="false">IF('Loan Tape'!$AN234=0,0,'Loan Tape'!$R234)</f>
        <v>0</v>
      </c>
      <c r="D238" s="99" t="n">
        <f aca="false">MAX(0,C238-C844-C1147-C1450-C1753)</f>
        <v>0</v>
      </c>
      <c r="E238" s="99" t="n">
        <f aca="false">MAX(0,D238-D844-D1147-D1450-D1753)</f>
        <v>0</v>
      </c>
      <c r="F238" s="99" t="n">
        <f aca="false">MAX(0,E238-E844-E1147-E1450-E1753)</f>
        <v>0</v>
      </c>
      <c r="G238" s="99" t="n">
        <f aca="false">MAX(0,F238-F844-F1147-F1450-F1753)</f>
        <v>0</v>
      </c>
      <c r="H238" s="99" t="n">
        <f aca="false">MAX(0,G238-G844-G1147-G1450-G1753)</f>
        <v>0</v>
      </c>
      <c r="I238" s="99" t="n">
        <f aca="false">MAX(0,H238-H844-H1147-H1450-H1753)</f>
        <v>0</v>
      </c>
      <c r="J238" s="99" t="n">
        <f aca="false">MAX(0,I238-I844-I1147-I1450-I1753)</f>
        <v>0</v>
      </c>
      <c r="K238" s="99" t="n">
        <f aca="false">MAX(0,J238-J844-J1147-J1450-J1753)</f>
        <v>0</v>
      </c>
      <c r="L238" s="99" t="n">
        <f aca="false">MAX(0,K238-K844-K1147-K1450-K1753)</f>
        <v>0</v>
      </c>
      <c r="M238" s="99" t="n">
        <f aca="false">MAX(0,L238-L844-L1147-L1450-L1753)</f>
        <v>0</v>
      </c>
    </row>
    <row r="239" customFormat="false" ht="15" hidden="false" customHeight="false" outlineLevel="0" collapsed="false">
      <c r="B239" s="108" t="n">
        <f aca="false">'Loan Tape'!$A235</f>
        <v>0</v>
      </c>
      <c r="C239" s="71" t="n">
        <f aca="false">IF('Loan Tape'!$AN235=0,0,'Loan Tape'!$R235)</f>
        <v>0</v>
      </c>
      <c r="D239" s="71" t="n">
        <f aca="false">MAX(0,C239-C845-C1148-C1451-C1754)</f>
        <v>0</v>
      </c>
      <c r="E239" s="71" t="n">
        <f aca="false">MAX(0,D239-D845-D1148-D1451-D1754)</f>
        <v>0</v>
      </c>
      <c r="F239" s="71" t="n">
        <f aca="false">MAX(0,E239-E845-E1148-E1451-E1754)</f>
        <v>0</v>
      </c>
      <c r="G239" s="71" t="n">
        <f aca="false">MAX(0,F239-F845-F1148-F1451-F1754)</f>
        <v>0</v>
      </c>
      <c r="H239" s="71" t="n">
        <f aca="false">MAX(0,G239-G845-G1148-G1451-G1754)</f>
        <v>0</v>
      </c>
      <c r="I239" s="71" t="n">
        <f aca="false">MAX(0,H239-H845-H1148-H1451-H1754)</f>
        <v>0</v>
      </c>
      <c r="J239" s="71" t="n">
        <f aca="false">MAX(0,I239-I845-I1148-I1451-I1754)</f>
        <v>0</v>
      </c>
      <c r="K239" s="71" t="n">
        <f aca="false">MAX(0,J239-J845-J1148-J1451-J1754)</f>
        <v>0</v>
      </c>
      <c r="L239" s="71" t="n">
        <f aca="false">MAX(0,K239-K845-K1148-K1451-K1754)</f>
        <v>0</v>
      </c>
      <c r="M239" s="71" t="n">
        <f aca="false">MAX(0,L239-L845-L1148-L1451-L1754)</f>
        <v>0</v>
      </c>
    </row>
    <row r="240" customFormat="false" ht="15" hidden="false" customHeight="false" outlineLevel="0" collapsed="false">
      <c r="B240" s="102" t="n">
        <f aca="false">'Loan Tape'!$A236</f>
        <v>0</v>
      </c>
      <c r="C240" s="99" t="n">
        <f aca="false">IF('Loan Tape'!$AN236=0,0,'Loan Tape'!$R236)</f>
        <v>0</v>
      </c>
      <c r="D240" s="99" t="n">
        <f aca="false">MAX(0,C240-C846-C1149-C1452-C1755)</f>
        <v>0</v>
      </c>
      <c r="E240" s="99" t="n">
        <f aca="false">MAX(0,D240-D846-D1149-D1452-D1755)</f>
        <v>0</v>
      </c>
      <c r="F240" s="99" t="n">
        <f aca="false">MAX(0,E240-E846-E1149-E1452-E1755)</f>
        <v>0</v>
      </c>
      <c r="G240" s="99" t="n">
        <f aca="false">MAX(0,F240-F846-F1149-F1452-F1755)</f>
        <v>0</v>
      </c>
      <c r="H240" s="99" t="n">
        <f aca="false">MAX(0,G240-G846-G1149-G1452-G1755)</f>
        <v>0</v>
      </c>
      <c r="I240" s="99" t="n">
        <f aca="false">MAX(0,H240-H846-H1149-H1452-H1755)</f>
        <v>0</v>
      </c>
      <c r="J240" s="99" t="n">
        <f aca="false">MAX(0,I240-I846-I1149-I1452-I1755)</f>
        <v>0</v>
      </c>
      <c r="K240" s="99" t="n">
        <f aca="false">MAX(0,J240-J846-J1149-J1452-J1755)</f>
        <v>0</v>
      </c>
      <c r="L240" s="99" t="n">
        <f aca="false">MAX(0,K240-K846-K1149-K1452-K1755)</f>
        <v>0</v>
      </c>
      <c r="M240" s="99" t="n">
        <f aca="false">MAX(0,L240-L846-L1149-L1452-L1755)</f>
        <v>0</v>
      </c>
    </row>
    <row r="241" customFormat="false" ht="15" hidden="false" customHeight="false" outlineLevel="0" collapsed="false">
      <c r="B241" s="108" t="n">
        <f aca="false">'Loan Tape'!$A237</f>
        <v>0</v>
      </c>
      <c r="C241" s="71" t="n">
        <f aca="false">IF('Loan Tape'!$AN237=0,0,'Loan Tape'!$R237)</f>
        <v>0</v>
      </c>
      <c r="D241" s="71" t="n">
        <f aca="false">MAX(0,C241-C847-C1150-C1453-C1756)</f>
        <v>0</v>
      </c>
      <c r="E241" s="71" t="n">
        <f aca="false">MAX(0,D241-D847-D1150-D1453-D1756)</f>
        <v>0</v>
      </c>
      <c r="F241" s="71" t="n">
        <f aca="false">MAX(0,E241-E847-E1150-E1453-E1756)</f>
        <v>0</v>
      </c>
      <c r="G241" s="71" t="n">
        <f aca="false">MAX(0,F241-F847-F1150-F1453-F1756)</f>
        <v>0</v>
      </c>
      <c r="H241" s="71" t="n">
        <f aca="false">MAX(0,G241-G847-G1150-G1453-G1756)</f>
        <v>0</v>
      </c>
      <c r="I241" s="71" t="n">
        <f aca="false">MAX(0,H241-H847-H1150-H1453-H1756)</f>
        <v>0</v>
      </c>
      <c r="J241" s="71" t="n">
        <f aca="false">MAX(0,I241-I847-I1150-I1453-I1756)</f>
        <v>0</v>
      </c>
      <c r="K241" s="71" t="n">
        <f aca="false">MAX(0,J241-J847-J1150-J1453-J1756)</f>
        <v>0</v>
      </c>
      <c r="L241" s="71" t="n">
        <f aca="false">MAX(0,K241-K847-K1150-K1453-K1756)</f>
        <v>0</v>
      </c>
      <c r="M241" s="71" t="n">
        <f aca="false">MAX(0,L241-L847-L1150-L1453-L1756)</f>
        <v>0</v>
      </c>
    </row>
    <row r="242" customFormat="false" ht="15" hidden="false" customHeight="false" outlineLevel="0" collapsed="false">
      <c r="B242" s="102" t="n">
        <f aca="false">'Loan Tape'!$A238</f>
        <v>0</v>
      </c>
      <c r="C242" s="99" t="n">
        <f aca="false">IF('Loan Tape'!$AN238=0,0,'Loan Tape'!$R238)</f>
        <v>0</v>
      </c>
      <c r="D242" s="99" t="n">
        <f aca="false">MAX(0,C242-C848-C1151-C1454-C1757)</f>
        <v>0</v>
      </c>
      <c r="E242" s="99" t="n">
        <f aca="false">MAX(0,D242-D848-D1151-D1454-D1757)</f>
        <v>0</v>
      </c>
      <c r="F242" s="99" t="n">
        <f aca="false">MAX(0,E242-E848-E1151-E1454-E1757)</f>
        <v>0</v>
      </c>
      <c r="G242" s="99" t="n">
        <f aca="false">MAX(0,F242-F848-F1151-F1454-F1757)</f>
        <v>0</v>
      </c>
      <c r="H242" s="99" t="n">
        <f aca="false">MAX(0,G242-G848-G1151-G1454-G1757)</f>
        <v>0</v>
      </c>
      <c r="I242" s="99" t="n">
        <f aca="false">MAX(0,H242-H848-H1151-H1454-H1757)</f>
        <v>0</v>
      </c>
      <c r="J242" s="99" t="n">
        <f aca="false">MAX(0,I242-I848-I1151-I1454-I1757)</f>
        <v>0</v>
      </c>
      <c r="K242" s="99" t="n">
        <f aca="false">MAX(0,J242-J848-J1151-J1454-J1757)</f>
        <v>0</v>
      </c>
      <c r="L242" s="99" t="n">
        <f aca="false">MAX(0,K242-K848-K1151-K1454-K1757)</f>
        <v>0</v>
      </c>
      <c r="M242" s="99" t="n">
        <f aca="false">MAX(0,L242-L848-L1151-L1454-L1757)</f>
        <v>0</v>
      </c>
    </row>
    <row r="243" customFormat="false" ht="15" hidden="false" customHeight="false" outlineLevel="0" collapsed="false">
      <c r="B243" s="108" t="n">
        <f aca="false">'Loan Tape'!$A239</f>
        <v>0</v>
      </c>
      <c r="C243" s="71" t="n">
        <f aca="false">IF('Loan Tape'!$AN239=0,0,'Loan Tape'!$R239)</f>
        <v>0</v>
      </c>
      <c r="D243" s="71" t="n">
        <f aca="false">MAX(0,C243-C849-C1152-C1455-C1758)</f>
        <v>0</v>
      </c>
      <c r="E243" s="71" t="n">
        <f aca="false">MAX(0,D243-D849-D1152-D1455-D1758)</f>
        <v>0</v>
      </c>
      <c r="F243" s="71" t="n">
        <f aca="false">MAX(0,E243-E849-E1152-E1455-E1758)</f>
        <v>0</v>
      </c>
      <c r="G243" s="71" t="n">
        <f aca="false">MAX(0,F243-F849-F1152-F1455-F1758)</f>
        <v>0</v>
      </c>
      <c r="H243" s="71" t="n">
        <f aca="false">MAX(0,G243-G849-G1152-G1455-G1758)</f>
        <v>0</v>
      </c>
      <c r="I243" s="71" t="n">
        <f aca="false">MAX(0,H243-H849-H1152-H1455-H1758)</f>
        <v>0</v>
      </c>
      <c r="J243" s="71" t="n">
        <f aca="false">MAX(0,I243-I849-I1152-I1455-I1758)</f>
        <v>0</v>
      </c>
      <c r="K243" s="71" t="n">
        <f aca="false">MAX(0,J243-J849-J1152-J1455-J1758)</f>
        <v>0</v>
      </c>
      <c r="L243" s="71" t="n">
        <f aca="false">MAX(0,K243-K849-K1152-K1455-K1758)</f>
        <v>0</v>
      </c>
      <c r="M243" s="71" t="n">
        <f aca="false">MAX(0,L243-L849-L1152-L1455-L1758)</f>
        <v>0</v>
      </c>
    </row>
    <row r="244" customFormat="false" ht="15" hidden="false" customHeight="false" outlineLevel="0" collapsed="false">
      <c r="B244" s="102" t="n">
        <f aca="false">'Loan Tape'!$A240</f>
        <v>0</v>
      </c>
      <c r="C244" s="99" t="n">
        <f aca="false">IF('Loan Tape'!$AN240=0,0,'Loan Tape'!$R240)</f>
        <v>0</v>
      </c>
      <c r="D244" s="99" t="n">
        <f aca="false">MAX(0,C244-C850-C1153-C1456-C1759)</f>
        <v>0</v>
      </c>
      <c r="E244" s="99" t="n">
        <f aca="false">MAX(0,D244-D850-D1153-D1456-D1759)</f>
        <v>0</v>
      </c>
      <c r="F244" s="99" t="n">
        <f aca="false">MAX(0,E244-E850-E1153-E1456-E1759)</f>
        <v>0</v>
      </c>
      <c r="G244" s="99" t="n">
        <f aca="false">MAX(0,F244-F850-F1153-F1456-F1759)</f>
        <v>0</v>
      </c>
      <c r="H244" s="99" t="n">
        <f aca="false">MAX(0,G244-G850-G1153-G1456-G1759)</f>
        <v>0</v>
      </c>
      <c r="I244" s="99" t="n">
        <f aca="false">MAX(0,H244-H850-H1153-H1456-H1759)</f>
        <v>0</v>
      </c>
      <c r="J244" s="99" t="n">
        <f aca="false">MAX(0,I244-I850-I1153-I1456-I1759)</f>
        <v>0</v>
      </c>
      <c r="K244" s="99" t="n">
        <f aca="false">MAX(0,J244-J850-J1153-J1456-J1759)</f>
        <v>0</v>
      </c>
      <c r="L244" s="99" t="n">
        <f aca="false">MAX(0,K244-K850-K1153-K1456-K1759)</f>
        <v>0</v>
      </c>
      <c r="M244" s="99" t="n">
        <f aca="false">MAX(0,L244-L850-L1153-L1456-L1759)</f>
        <v>0</v>
      </c>
    </row>
    <row r="245" customFormat="false" ht="15" hidden="false" customHeight="false" outlineLevel="0" collapsed="false">
      <c r="B245" s="108" t="n">
        <f aca="false">'Loan Tape'!$A241</f>
        <v>0</v>
      </c>
      <c r="C245" s="71" t="n">
        <f aca="false">IF('Loan Tape'!$AN241=0,0,'Loan Tape'!$R241)</f>
        <v>0</v>
      </c>
      <c r="D245" s="71" t="n">
        <f aca="false">MAX(0,C245-C851-C1154-C1457-C1760)</f>
        <v>0</v>
      </c>
      <c r="E245" s="71" t="n">
        <f aca="false">MAX(0,D245-D851-D1154-D1457-D1760)</f>
        <v>0</v>
      </c>
      <c r="F245" s="71" t="n">
        <f aca="false">MAX(0,E245-E851-E1154-E1457-E1760)</f>
        <v>0</v>
      </c>
      <c r="G245" s="71" t="n">
        <f aca="false">MAX(0,F245-F851-F1154-F1457-F1760)</f>
        <v>0</v>
      </c>
      <c r="H245" s="71" t="n">
        <f aca="false">MAX(0,G245-G851-G1154-G1457-G1760)</f>
        <v>0</v>
      </c>
      <c r="I245" s="71" t="n">
        <f aca="false">MAX(0,H245-H851-H1154-H1457-H1760)</f>
        <v>0</v>
      </c>
      <c r="J245" s="71" t="n">
        <f aca="false">MAX(0,I245-I851-I1154-I1457-I1760)</f>
        <v>0</v>
      </c>
      <c r="K245" s="71" t="n">
        <f aca="false">MAX(0,J245-J851-J1154-J1457-J1760)</f>
        <v>0</v>
      </c>
      <c r="L245" s="71" t="n">
        <f aca="false">MAX(0,K245-K851-K1154-K1457-K1760)</f>
        <v>0</v>
      </c>
      <c r="M245" s="71" t="n">
        <f aca="false">MAX(0,L245-L851-L1154-L1457-L1760)</f>
        <v>0</v>
      </c>
    </row>
    <row r="246" customFormat="false" ht="15" hidden="false" customHeight="false" outlineLevel="0" collapsed="false">
      <c r="B246" s="102" t="n">
        <f aca="false">'Loan Tape'!$A242</f>
        <v>0</v>
      </c>
      <c r="C246" s="99" t="n">
        <f aca="false">IF('Loan Tape'!$AN242=0,0,'Loan Tape'!$R242)</f>
        <v>0</v>
      </c>
      <c r="D246" s="99" t="n">
        <f aca="false">MAX(0,C246-C852-C1155-C1458-C1761)</f>
        <v>0</v>
      </c>
      <c r="E246" s="99" t="n">
        <f aca="false">MAX(0,D246-D852-D1155-D1458-D1761)</f>
        <v>0</v>
      </c>
      <c r="F246" s="99" t="n">
        <f aca="false">MAX(0,E246-E852-E1155-E1458-E1761)</f>
        <v>0</v>
      </c>
      <c r="G246" s="99" t="n">
        <f aca="false">MAX(0,F246-F852-F1155-F1458-F1761)</f>
        <v>0</v>
      </c>
      <c r="H246" s="99" t="n">
        <f aca="false">MAX(0,G246-G852-G1155-G1458-G1761)</f>
        <v>0</v>
      </c>
      <c r="I246" s="99" t="n">
        <f aca="false">MAX(0,H246-H852-H1155-H1458-H1761)</f>
        <v>0</v>
      </c>
      <c r="J246" s="99" t="n">
        <f aca="false">MAX(0,I246-I852-I1155-I1458-I1761)</f>
        <v>0</v>
      </c>
      <c r="K246" s="99" t="n">
        <f aca="false">MAX(0,J246-J852-J1155-J1458-J1761)</f>
        <v>0</v>
      </c>
      <c r="L246" s="99" t="n">
        <f aca="false">MAX(0,K246-K852-K1155-K1458-K1761)</f>
        <v>0</v>
      </c>
      <c r="M246" s="99" t="n">
        <f aca="false">MAX(0,L246-L852-L1155-L1458-L1761)</f>
        <v>0</v>
      </c>
    </row>
    <row r="247" customFormat="false" ht="15" hidden="false" customHeight="false" outlineLevel="0" collapsed="false">
      <c r="B247" s="108" t="n">
        <f aca="false">'Loan Tape'!$A243</f>
        <v>0</v>
      </c>
      <c r="C247" s="71" t="n">
        <f aca="false">IF('Loan Tape'!$AN243=0,0,'Loan Tape'!$R243)</f>
        <v>0</v>
      </c>
      <c r="D247" s="71" t="n">
        <f aca="false">MAX(0,C247-C853-C1156-C1459-C1762)</f>
        <v>0</v>
      </c>
      <c r="E247" s="71" t="n">
        <f aca="false">MAX(0,D247-D853-D1156-D1459-D1762)</f>
        <v>0</v>
      </c>
      <c r="F247" s="71" t="n">
        <f aca="false">MAX(0,E247-E853-E1156-E1459-E1762)</f>
        <v>0</v>
      </c>
      <c r="G247" s="71" t="n">
        <f aca="false">MAX(0,F247-F853-F1156-F1459-F1762)</f>
        <v>0</v>
      </c>
      <c r="H247" s="71" t="n">
        <f aca="false">MAX(0,G247-G853-G1156-G1459-G1762)</f>
        <v>0</v>
      </c>
      <c r="I247" s="71" t="n">
        <f aca="false">MAX(0,H247-H853-H1156-H1459-H1762)</f>
        <v>0</v>
      </c>
      <c r="J247" s="71" t="n">
        <f aca="false">MAX(0,I247-I853-I1156-I1459-I1762)</f>
        <v>0</v>
      </c>
      <c r="K247" s="71" t="n">
        <f aca="false">MAX(0,J247-J853-J1156-J1459-J1762)</f>
        <v>0</v>
      </c>
      <c r="L247" s="71" t="n">
        <f aca="false">MAX(0,K247-K853-K1156-K1459-K1762)</f>
        <v>0</v>
      </c>
      <c r="M247" s="71" t="n">
        <f aca="false">MAX(0,L247-L853-L1156-L1459-L1762)</f>
        <v>0</v>
      </c>
    </row>
    <row r="248" customFormat="false" ht="15" hidden="false" customHeight="false" outlineLevel="0" collapsed="false">
      <c r="B248" s="102" t="n">
        <f aca="false">'Loan Tape'!$A244</f>
        <v>0</v>
      </c>
      <c r="C248" s="99" t="n">
        <f aca="false">IF('Loan Tape'!$AN244=0,0,'Loan Tape'!$R244)</f>
        <v>0</v>
      </c>
      <c r="D248" s="99" t="n">
        <f aca="false">MAX(0,C248-C854-C1157-C1460-C1763)</f>
        <v>0</v>
      </c>
      <c r="E248" s="99" t="n">
        <f aca="false">MAX(0,D248-D854-D1157-D1460-D1763)</f>
        <v>0</v>
      </c>
      <c r="F248" s="99" t="n">
        <f aca="false">MAX(0,E248-E854-E1157-E1460-E1763)</f>
        <v>0</v>
      </c>
      <c r="G248" s="99" t="n">
        <f aca="false">MAX(0,F248-F854-F1157-F1460-F1763)</f>
        <v>0</v>
      </c>
      <c r="H248" s="99" t="n">
        <f aca="false">MAX(0,G248-G854-G1157-G1460-G1763)</f>
        <v>0</v>
      </c>
      <c r="I248" s="99" t="n">
        <f aca="false">MAX(0,H248-H854-H1157-H1460-H1763)</f>
        <v>0</v>
      </c>
      <c r="J248" s="99" t="n">
        <f aca="false">MAX(0,I248-I854-I1157-I1460-I1763)</f>
        <v>0</v>
      </c>
      <c r="K248" s="99" t="n">
        <f aca="false">MAX(0,J248-J854-J1157-J1460-J1763)</f>
        <v>0</v>
      </c>
      <c r="L248" s="99" t="n">
        <f aca="false">MAX(0,K248-K854-K1157-K1460-K1763)</f>
        <v>0</v>
      </c>
      <c r="M248" s="99" t="n">
        <f aca="false">MAX(0,L248-L854-L1157-L1460-L1763)</f>
        <v>0</v>
      </c>
    </row>
    <row r="249" customFormat="false" ht="15" hidden="false" customHeight="false" outlineLevel="0" collapsed="false">
      <c r="B249" s="108" t="n">
        <f aca="false">'Loan Tape'!$A245</f>
        <v>0</v>
      </c>
      <c r="C249" s="71" t="n">
        <f aca="false">IF('Loan Tape'!$AN245=0,0,'Loan Tape'!$R245)</f>
        <v>0</v>
      </c>
      <c r="D249" s="71" t="n">
        <f aca="false">MAX(0,C249-C855-C1158-C1461-C1764)</f>
        <v>0</v>
      </c>
      <c r="E249" s="71" t="n">
        <f aca="false">MAX(0,D249-D855-D1158-D1461-D1764)</f>
        <v>0</v>
      </c>
      <c r="F249" s="71" t="n">
        <f aca="false">MAX(0,E249-E855-E1158-E1461-E1764)</f>
        <v>0</v>
      </c>
      <c r="G249" s="71" t="n">
        <f aca="false">MAX(0,F249-F855-F1158-F1461-F1764)</f>
        <v>0</v>
      </c>
      <c r="H249" s="71" t="n">
        <f aca="false">MAX(0,G249-G855-G1158-G1461-G1764)</f>
        <v>0</v>
      </c>
      <c r="I249" s="71" t="n">
        <f aca="false">MAX(0,H249-H855-H1158-H1461-H1764)</f>
        <v>0</v>
      </c>
      <c r="J249" s="71" t="n">
        <f aca="false">MAX(0,I249-I855-I1158-I1461-I1764)</f>
        <v>0</v>
      </c>
      <c r="K249" s="71" t="n">
        <f aca="false">MAX(0,J249-J855-J1158-J1461-J1764)</f>
        <v>0</v>
      </c>
      <c r="L249" s="71" t="n">
        <f aca="false">MAX(0,K249-K855-K1158-K1461-K1764)</f>
        <v>0</v>
      </c>
      <c r="M249" s="71" t="n">
        <f aca="false">MAX(0,L249-L855-L1158-L1461-L1764)</f>
        <v>0</v>
      </c>
    </row>
    <row r="250" customFormat="false" ht="15" hidden="false" customHeight="false" outlineLevel="0" collapsed="false">
      <c r="B250" s="102" t="n">
        <f aca="false">'Loan Tape'!$A246</f>
        <v>0</v>
      </c>
      <c r="C250" s="99" t="n">
        <f aca="false">IF('Loan Tape'!$AN246=0,0,'Loan Tape'!$R246)</f>
        <v>0</v>
      </c>
      <c r="D250" s="99" t="n">
        <f aca="false">MAX(0,C250-C856-C1159-C1462-C1765)</f>
        <v>0</v>
      </c>
      <c r="E250" s="99" t="n">
        <f aca="false">MAX(0,D250-D856-D1159-D1462-D1765)</f>
        <v>0</v>
      </c>
      <c r="F250" s="99" t="n">
        <f aca="false">MAX(0,E250-E856-E1159-E1462-E1765)</f>
        <v>0</v>
      </c>
      <c r="G250" s="99" t="n">
        <f aca="false">MAX(0,F250-F856-F1159-F1462-F1765)</f>
        <v>0</v>
      </c>
      <c r="H250" s="99" t="n">
        <f aca="false">MAX(0,G250-G856-G1159-G1462-G1765)</f>
        <v>0</v>
      </c>
      <c r="I250" s="99" t="n">
        <f aca="false">MAX(0,H250-H856-H1159-H1462-H1765)</f>
        <v>0</v>
      </c>
      <c r="J250" s="99" t="n">
        <f aca="false">MAX(0,I250-I856-I1159-I1462-I1765)</f>
        <v>0</v>
      </c>
      <c r="K250" s="99" t="n">
        <f aca="false">MAX(0,J250-J856-J1159-J1462-J1765)</f>
        <v>0</v>
      </c>
      <c r="L250" s="99" t="n">
        <f aca="false">MAX(0,K250-K856-K1159-K1462-K1765)</f>
        <v>0</v>
      </c>
      <c r="M250" s="99" t="n">
        <f aca="false">MAX(0,L250-L856-L1159-L1462-L1765)</f>
        <v>0</v>
      </c>
    </row>
    <row r="251" customFormat="false" ht="15" hidden="false" customHeight="false" outlineLevel="0" collapsed="false">
      <c r="B251" s="108" t="n">
        <f aca="false">'Loan Tape'!$A247</f>
        <v>0</v>
      </c>
      <c r="C251" s="71" t="n">
        <f aca="false">IF('Loan Tape'!$AN247=0,0,'Loan Tape'!$R247)</f>
        <v>0</v>
      </c>
      <c r="D251" s="71" t="n">
        <f aca="false">MAX(0,C251-C857-C1160-C1463-C1766)</f>
        <v>0</v>
      </c>
      <c r="E251" s="71" t="n">
        <f aca="false">MAX(0,D251-D857-D1160-D1463-D1766)</f>
        <v>0</v>
      </c>
      <c r="F251" s="71" t="n">
        <f aca="false">MAX(0,E251-E857-E1160-E1463-E1766)</f>
        <v>0</v>
      </c>
      <c r="G251" s="71" t="n">
        <f aca="false">MAX(0,F251-F857-F1160-F1463-F1766)</f>
        <v>0</v>
      </c>
      <c r="H251" s="71" t="n">
        <f aca="false">MAX(0,G251-G857-G1160-G1463-G1766)</f>
        <v>0</v>
      </c>
      <c r="I251" s="71" t="n">
        <f aca="false">MAX(0,H251-H857-H1160-H1463-H1766)</f>
        <v>0</v>
      </c>
      <c r="J251" s="71" t="n">
        <f aca="false">MAX(0,I251-I857-I1160-I1463-I1766)</f>
        <v>0</v>
      </c>
      <c r="K251" s="71" t="n">
        <f aca="false">MAX(0,J251-J857-J1160-J1463-J1766)</f>
        <v>0</v>
      </c>
      <c r="L251" s="71" t="n">
        <f aca="false">MAX(0,K251-K857-K1160-K1463-K1766)</f>
        <v>0</v>
      </c>
      <c r="M251" s="71" t="n">
        <f aca="false">MAX(0,L251-L857-L1160-L1463-L1766)</f>
        <v>0</v>
      </c>
    </row>
    <row r="252" customFormat="false" ht="15" hidden="false" customHeight="false" outlineLevel="0" collapsed="false">
      <c r="B252" s="102" t="n">
        <f aca="false">'Loan Tape'!$A248</f>
        <v>0</v>
      </c>
      <c r="C252" s="99" t="n">
        <f aca="false">IF('Loan Tape'!$AN248=0,0,'Loan Tape'!$R248)</f>
        <v>0</v>
      </c>
      <c r="D252" s="99" t="n">
        <f aca="false">MAX(0,C252-C858-C1161-C1464-C1767)</f>
        <v>0</v>
      </c>
      <c r="E252" s="99" t="n">
        <f aca="false">MAX(0,D252-D858-D1161-D1464-D1767)</f>
        <v>0</v>
      </c>
      <c r="F252" s="99" t="n">
        <f aca="false">MAX(0,E252-E858-E1161-E1464-E1767)</f>
        <v>0</v>
      </c>
      <c r="G252" s="99" t="n">
        <f aca="false">MAX(0,F252-F858-F1161-F1464-F1767)</f>
        <v>0</v>
      </c>
      <c r="H252" s="99" t="n">
        <f aca="false">MAX(0,G252-G858-G1161-G1464-G1767)</f>
        <v>0</v>
      </c>
      <c r="I252" s="99" t="n">
        <f aca="false">MAX(0,H252-H858-H1161-H1464-H1767)</f>
        <v>0</v>
      </c>
      <c r="J252" s="99" t="n">
        <f aca="false">MAX(0,I252-I858-I1161-I1464-I1767)</f>
        <v>0</v>
      </c>
      <c r="K252" s="99" t="n">
        <f aca="false">MAX(0,J252-J858-J1161-J1464-J1767)</f>
        <v>0</v>
      </c>
      <c r="L252" s="99" t="n">
        <f aca="false">MAX(0,K252-K858-K1161-K1464-K1767)</f>
        <v>0</v>
      </c>
      <c r="M252" s="99" t="n">
        <f aca="false">MAX(0,L252-L858-L1161-L1464-L1767)</f>
        <v>0</v>
      </c>
    </row>
    <row r="253" customFormat="false" ht="15" hidden="false" customHeight="false" outlineLevel="0" collapsed="false">
      <c r="B253" s="108" t="n">
        <f aca="false">'Loan Tape'!$A249</f>
        <v>0</v>
      </c>
      <c r="C253" s="71" t="n">
        <f aca="false">IF('Loan Tape'!$AN249=0,0,'Loan Tape'!$R249)</f>
        <v>0</v>
      </c>
      <c r="D253" s="71" t="n">
        <f aca="false">MAX(0,C253-C859-C1162-C1465-C1768)</f>
        <v>0</v>
      </c>
      <c r="E253" s="71" t="n">
        <f aca="false">MAX(0,D253-D859-D1162-D1465-D1768)</f>
        <v>0</v>
      </c>
      <c r="F253" s="71" t="n">
        <f aca="false">MAX(0,E253-E859-E1162-E1465-E1768)</f>
        <v>0</v>
      </c>
      <c r="G253" s="71" t="n">
        <f aca="false">MAX(0,F253-F859-F1162-F1465-F1768)</f>
        <v>0</v>
      </c>
      <c r="H253" s="71" t="n">
        <f aca="false">MAX(0,G253-G859-G1162-G1465-G1768)</f>
        <v>0</v>
      </c>
      <c r="I253" s="71" t="n">
        <f aca="false">MAX(0,H253-H859-H1162-H1465-H1768)</f>
        <v>0</v>
      </c>
      <c r="J253" s="71" t="n">
        <f aca="false">MAX(0,I253-I859-I1162-I1465-I1768)</f>
        <v>0</v>
      </c>
      <c r="K253" s="71" t="n">
        <f aca="false">MAX(0,J253-J859-J1162-J1465-J1768)</f>
        <v>0</v>
      </c>
      <c r="L253" s="71" t="n">
        <f aca="false">MAX(0,K253-K859-K1162-K1465-K1768)</f>
        <v>0</v>
      </c>
      <c r="M253" s="71" t="n">
        <f aca="false">MAX(0,L253-L859-L1162-L1465-L1768)</f>
        <v>0</v>
      </c>
    </row>
    <row r="254" customFormat="false" ht="15" hidden="false" customHeight="false" outlineLevel="0" collapsed="false">
      <c r="B254" s="102" t="n">
        <f aca="false">'Loan Tape'!$A250</f>
        <v>0</v>
      </c>
      <c r="C254" s="99" t="n">
        <f aca="false">IF('Loan Tape'!$AN250=0,0,'Loan Tape'!$R250)</f>
        <v>0</v>
      </c>
      <c r="D254" s="99" t="n">
        <f aca="false">MAX(0,C254-C860-C1163-C1466-C1769)</f>
        <v>0</v>
      </c>
      <c r="E254" s="99" t="n">
        <f aca="false">MAX(0,D254-D860-D1163-D1466-D1769)</f>
        <v>0</v>
      </c>
      <c r="F254" s="99" t="n">
        <f aca="false">MAX(0,E254-E860-E1163-E1466-E1769)</f>
        <v>0</v>
      </c>
      <c r="G254" s="99" t="n">
        <f aca="false">MAX(0,F254-F860-F1163-F1466-F1769)</f>
        <v>0</v>
      </c>
      <c r="H254" s="99" t="n">
        <f aca="false">MAX(0,G254-G860-G1163-G1466-G1769)</f>
        <v>0</v>
      </c>
      <c r="I254" s="99" t="n">
        <f aca="false">MAX(0,H254-H860-H1163-H1466-H1769)</f>
        <v>0</v>
      </c>
      <c r="J254" s="99" t="n">
        <f aca="false">MAX(0,I254-I860-I1163-I1466-I1769)</f>
        <v>0</v>
      </c>
      <c r="K254" s="99" t="n">
        <f aca="false">MAX(0,J254-J860-J1163-J1466-J1769)</f>
        <v>0</v>
      </c>
      <c r="L254" s="99" t="n">
        <f aca="false">MAX(0,K254-K860-K1163-K1466-K1769)</f>
        <v>0</v>
      </c>
      <c r="M254" s="99" t="n">
        <f aca="false">MAX(0,L254-L860-L1163-L1466-L1769)</f>
        <v>0</v>
      </c>
    </row>
    <row r="255" customFormat="false" ht="15" hidden="false" customHeight="false" outlineLevel="0" collapsed="false">
      <c r="B255" s="108" t="n">
        <f aca="false">'Loan Tape'!$A251</f>
        <v>0</v>
      </c>
      <c r="C255" s="71" t="n">
        <f aca="false">IF('Loan Tape'!$AN251=0,0,'Loan Tape'!$R251)</f>
        <v>0</v>
      </c>
      <c r="D255" s="71" t="n">
        <f aca="false">MAX(0,C255-C861-C1164-C1467-C1770)</f>
        <v>0</v>
      </c>
      <c r="E255" s="71" t="n">
        <f aca="false">MAX(0,D255-D861-D1164-D1467-D1770)</f>
        <v>0</v>
      </c>
      <c r="F255" s="71" t="n">
        <f aca="false">MAX(0,E255-E861-E1164-E1467-E1770)</f>
        <v>0</v>
      </c>
      <c r="G255" s="71" t="n">
        <f aca="false">MAX(0,F255-F861-F1164-F1467-F1770)</f>
        <v>0</v>
      </c>
      <c r="H255" s="71" t="n">
        <f aca="false">MAX(0,G255-G861-G1164-G1467-G1770)</f>
        <v>0</v>
      </c>
      <c r="I255" s="71" t="n">
        <f aca="false">MAX(0,H255-H861-H1164-H1467-H1770)</f>
        <v>0</v>
      </c>
      <c r="J255" s="71" t="n">
        <f aca="false">MAX(0,I255-I861-I1164-I1467-I1770)</f>
        <v>0</v>
      </c>
      <c r="K255" s="71" t="n">
        <f aca="false">MAX(0,J255-J861-J1164-J1467-J1770)</f>
        <v>0</v>
      </c>
      <c r="L255" s="71" t="n">
        <f aca="false">MAX(0,K255-K861-K1164-K1467-K1770)</f>
        <v>0</v>
      </c>
      <c r="M255" s="71" t="n">
        <f aca="false">MAX(0,L255-L861-L1164-L1467-L1770)</f>
        <v>0</v>
      </c>
    </row>
    <row r="256" customFormat="false" ht="15" hidden="false" customHeight="false" outlineLevel="0" collapsed="false">
      <c r="B256" s="102" t="n">
        <f aca="false">'Loan Tape'!$A252</f>
        <v>0</v>
      </c>
      <c r="C256" s="99" t="n">
        <f aca="false">IF('Loan Tape'!$AN252=0,0,'Loan Tape'!$R252)</f>
        <v>0</v>
      </c>
      <c r="D256" s="99" t="n">
        <f aca="false">MAX(0,C256-C862-C1165-C1468-C1771)</f>
        <v>0</v>
      </c>
      <c r="E256" s="99" t="n">
        <f aca="false">MAX(0,D256-D862-D1165-D1468-D1771)</f>
        <v>0</v>
      </c>
      <c r="F256" s="99" t="n">
        <f aca="false">MAX(0,E256-E862-E1165-E1468-E1771)</f>
        <v>0</v>
      </c>
      <c r="G256" s="99" t="n">
        <f aca="false">MAX(0,F256-F862-F1165-F1468-F1771)</f>
        <v>0</v>
      </c>
      <c r="H256" s="99" t="n">
        <f aca="false">MAX(0,G256-G862-G1165-G1468-G1771)</f>
        <v>0</v>
      </c>
      <c r="I256" s="99" t="n">
        <f aca="false">MAX(0,H256-H862-H1165-H1468-H1771)</f>
        <v>0</v>
      </c>
      <c r="J256" s="99" t="n">
        <f aca="false">MAX(0,I256-I862-I1165-I1468-I1771)</f>
        <v>0</v>
      </c>
      <c r="K256" s="99" t="n">
        <f aca="false">MAX(0,J256-J862-J1165-J1468-J1771)</f>
        <v>0</v>
      </c>
      <c r="L256" s="99" t="n">
        <f aca="false">MAX(0,K256-K862-K1165-K1468-K1771)</f>
        <v>0</v>
      </c>
      <c r="M256" s="99" t="n">
        <f aca="false">MAX(0,L256-L862-L1165-L1468-L1771)</f>
        <v>0</v>
      </c>
    </row>
    <row r="257" customFormat="false" ht="15" hidden="false" customHeight="false" outlineLevel="0" collapsed="false">
      <c r="B257" s="108" t="n">
        <f aca="false">'Loan Tape'!$A253</f>
        <v>0</v>
      </c>
      <c r="C257" s="71" t="n">
        <f aca="false">IF('Loan Tape'!$AN253=0,0,'Loan Tape'!$R253)</f>
        <v>0</v>
      </c>
      <c r="D257" s="71" t="n">
        <f aca="false">MAX(0,C257-C863-C1166-C1469-C1772)</f>
        <v>0</v>
      </c>
      <c r="E257" s="71" t="n">
        <f aca="false">MAX(0,D257-D863-D1166-D1469-D1772)</f>
        <v>0</v>
      </c>
      <c r="F257" s="71" t="n">
        <f aca="false">MAX(0,E257-E863-E1166-E1469-E1772)</f>
        <v>0</v>
      </c>
      <c r="G257" s="71" t="n">
        <f aca="false">MAX(0,F257-F863-F1166-F1469-F1772)</f>
        <v>0</v>
      </c>
      <c r="H257" s="71" t="n">
        <f aca="false">MAX(0,G257-G863-G1166-G1469-G1772)</f>
        <v>0</v>
      </c>
      <c r="I257" s="71" t="n">
        <f aca="false">MAX(0,H257-H863-H1166-H1469-H1772)</f>
        <v>0</v>
      </c>
      <c r="J257" s="71" t="n">
        <f aca="false">MAX(0,I257-I863-I1166-I1469-I1772)</f>
        <v>0</v>
      </c>
      <c r="K257" s="71" t="n">
        <f aca="false">MAX(0,J257-J863-J1166-J1469-J1772)</f>
        <v>0</v>
      </c>
      <c r="L257" s="71" t="n">
        <f aca="false">MAX(0,K257-K863-K1166-K1469-K1772)</f>
        <v>0</v>
      </c>
      <c r="M257" s="71" t="n">
        <f aca="false">MAX(0,L257-L863-L1166-L1469-L1772)</f>
        <v>0</v>
      </c>
    </row>
    <row r="258" customFormat="false" ht="15" hidden="false" customHeight="false" outlineLevel="0" collapsed="false">
      <c r="B258" s="102" t="n">
        <f aca="false">'Loan Tape'!$A254</f>
        <v>0</v>
      </c>
      <c r="C258" s="99" t="n">
        <f aca="false">IF('Loan Tape'!$AN254=0,0,'Loan Tape'!$R254)</f>
        <v>0</v>
      </c>
      <c r="D258" s="99" t="n">
        <f aca="false">MAX(0,C258-C864-C1167-C1470-C1773)</f>
        <v>0</v>
      </c>
      <c r="E258" s="99" t="n">
        <f aca="false">MAX(0,D258-D864-D1167-D1470-D1773)</f>
        <v>0</v>
      </c>
      <c r="F258" s="99" t="n">
        <f aca="false">MAX(0,E258-E864-E1167-E1470-E1773)</f>
        <v>0</v>
      </c>
      <c r="G258" s="99" t="n">
        <f aca="false">MAX(0,F258-F864-F1167-F1470-F1773)</f>
        <v>0</v>
      </c>
      <c r="H258" s="99" t="n">
        <f aca="false">MAX(0,G258-G864-G1167-G1470-G1773)</f>
        <v>0</v>
      </c>
      <c r="I258" s="99" t="n">
        <f aca="false">MAX(0,H258-H864-H1167-H1470-H1773)</f>
        <v>0</v>
      </c>
      <c r="J258" s="99" t="n">
        <f aca="false">MAX(0,I258-I864-I1167-I1470-I1773)</f>
        <v>0</v>
      </c>
      <c r="K258" s="99" t="n">
        <f aca="false">MAX(0,J258-J864-J1167-J1470-J1773)</f>
        <v>0</v>
      </c>
      <c r="L258" s="99" t="n">
        <f aca="false">MAX(0,K258-K864-K1167-K1470-K1773)</f>
        <v>0</v>
      </c>
      <c r="M258" s="99" t="n">
        <f aca="false">MAX(0,L258-L864-L1167-L1470-L1773)</f>
        <v>0</v>
      </c>
    </row>
    <row r="259" customFormat="false" ht="15" hidden="false" customHeight="false" outlineLevel="0" collapsed="false">
      <c r="B259" s="108" t="n">
        <f aca="false">'Loan Tape'!$A255</f>
        <v>0</v>
      </c>
      <c r="C259" s="71" t="n">
        <f aca="false">IF('Loan Tape'!$AN255=0,0,'Loan Tape'!$R255)</f>
        <v>0</v>
      </c>
      <c r="D259" s="71" t="n">
        <f aca="false">MAX(0,C259-C865-C1168-C1471-C1774)</f>
        <v>0</v>
      </c>
      <c r="E259" s="71" t="n">
        <f aca="false">MAX(0,D259-D865-D1168-D1471-D1774)</f>
        <v>0</v>
      </c>
      <c r="F259" s="71" t="n">
        <f aca="false">MAX(0,E259-E865-E1168-E1471-E1774)</f>
        <v>0</v>
      </c>
      <c r="G259" s="71" t="n">
        <f aca="false">MAX(0,F259-F865-F1168-F1471-F1774)</f>
        <v>0</v>
      </c>
      <c r="H259" s="71" t="n">
        <f aca="false">MAX(0,G259-G865-G1168-G1471-G1774)</f>
        <v>0</v>
      </c>
      <c r="I259" s="71" t="n">
        <f aca="false">MAX(0,H259-H865-H1168-H1471-H1774)</f>
        <v>0</v>
      </c>
      <c r="J259" s="71" t="n">
        <f aca="false">MAX(0,I259-I865-I1168-I1471-I1774)</f>
        <v>0</v>
      </c>
      <c r="K259" s="71" t="n">
        <f aca="false">MAX(0,J259-J865-J1168-J1471-J1774)</f>
        <v>0</v>
      </c>
      <c r="L259" s="71" t="n">
        <f aca="false">MAX(0,K259-K865-K1168-K1471-K1774)</f>
        <v>0</v>
      </c>
      <c r="M259" s="71" t="n">
        <f aca="false">MAX(0,L259-L865-L1168-L1471-L1774)</f>
        <v>0</v>
      </c>
    </row>
    <row r="260" customFormat="false" ht="15" hidden="false" customHeight="false" outlineLevel="0" collapsed="false">
      <c r="B260" s="102" t="n">
        <f aca="false">'Loan Tape'!$A256</f>
        <v>0</v>
      </c>
      <c r="C260" s="99" t="n">
        <f aca="false">IF('Loan Tape'!$AN256=0,0,'Loan Tape'!$R256)</f>
        <v>0</v>
      </c>
      <c r="D260" s="99" t="n">
        <f aca="false">MAX(0,C260-C866-C1169-C1472-C1775)</f>
        <v>0</v>
      </c>
      <c r="E260" s="99" t="n">
        <f aca="false">MAX(0,D260-D866-D1169-D1472-D1775)</f>
        <v>0</v>
      </c>
      <c r="F260" s="99" t="n">
        <f aca="false">MAX(0,E260-E866-E1169-E1472-E1775)</f>
        <v>0</v>
      </c>
      <c r="G260" s="99" t="n">
        <f aca="false">MAX(0,F260-F866-F1169-F1472-F1775)</f>
        <v>0</v>
      </c>
      <c r="H260" s="99" t="n">
        <f aca="false">MAX(0,G260-G866-G1169-G1472-G1775)</f>
        <v>0</v>
      </c>
      <c r="I260" s="99" t="n">
        <f aca="false">MAX(0,H260-H866-H1169-H1472-H1775)</f>
        <v>0</v>
      </c>
      <c r="J260" s="99" t="n">
        <f aca="false">MAX(0,I260-I866-I1169-I1472-I1775)</f>
        <v>0</v>
      </c>
      <c r="K260" s="99" t="n">
        <f aca="false">MAX(0,J260-J866-J1169-J1472-J1775)</f>
        <v>0</v>
      </c>
      <c r="L260" s="99" t="n">
        <f aca="false">MAX(0,K260-K866-K1169-K1472-K1775)</f>
        <v>0</v>
      </c>
      <c r="M260" s="99" t="n">
        <f aca="false">MAX(0,L260-L866-L1169-L1472-L1775)</f>
        <v>0</v>
      </c>
    </row>
    <row r="261" customFormat="false" ht="15" hidden="false" customHeight="false" outlineLevel="0" collapsed="false">
      <c r="B261" s="108" t="n">
        <f aca="false">'Loan Tape'!$A257</f>
        <v>0</v>
      </c>
      <c r="C261" s="71" t="n">
        <f aca="false">IF('Loan Tape'!$AN257=0,0,'Loan Tape'!$R257)</f>
        <v>0</v>
      </c>
      <c r="D261" s="71" t="n">
        <f aca="false">MAX(0,C261-C867-C1170-C1473-C1776)</f>
        <v>0</v>
      </c>
      <c r="E261" s="71" t="n">
        <f aca="false">MAX(0,D261-D867-D1170-D1473-D1776)</f>
        <v>0</v>
      </c>
      <c r="F261" s="71" t="n">
        <f aca="false">MAX(0,E261-E867-E1170-E1473-E1776)</f>
        <v>0</v>
      </c>
      <c r="G261" s="71" t="n">
        <f aca="false">MAX(0,F261-F867-F1170-F1473-F1776)</f>
        <v>0</v>
      </c>
      <c r="H261" s="71" t="n">
        <f aca="false">MAX(0,G261-G867-G1170-G1473-G1776)</f>
        <v>0</v>
      </c>
      <c r="I261" s="71" t="n">
        <f aca="false">MAX(0,H261-H867-H1170-H1473-H1776)</f>
        <v>0</v>
      </c>
      <c r="J261" s="71" t="n">
        <f aca="false">MAX(0,I261-I867-I1170-I1473-I1776)</f>
        <v>0</v>
      </c>
      <c r="K261" s="71" t="n">
        <f aca="false">MAX(0,J261-J867-J1170-J1473-J1776)</f>
        <v>0</v>
      </c>
      <c r="L261" s="71" t="n">
        <f aca="false">MAX(0,K261-K867-K1170-K1473-K1776)</f>
        <v>0</v>
      </c>
      <c r="M261" s="71" t="n">
        <f aca="false">MAX(0,L261-L867-L1170-L1473-L1776)</f>
        <v>0</v>
      </c>
    </row>
    <row r="262" customFormat="false" ht="15" hidden="false" customHeight="false" outlineLevel="0" collapsed="false">
      <c r="B262" s="102" t="n">
        <f aca="false">'Loan Tape'!$A258</f>
        <v>0</v>
      </c>
      <c r="C262" s="99" t="n">
        <f aca="false">IF('Loan Tape'!$AN258=0,0,'Loan Tape'!$R258)</f>
        <v>0</v>
      </c>
      <c r="D262" s="99" t="n">
        <f aca="false">MAX(0,C262-C868-C1171-C1474-C1777)</f>
        <v>0</v>
      </c>
      <c r="E262" s="99" t="n">
        <f aca="false">MAX(0,D262-D868-D1171-D1474-D1777)</f>
        <v>0</v>
      </c>
      <c r="F262" s="99" t="n">
        <f aca="false">MAX(0,E262-E868-E1171-E1474-E1777)</f>
        <v>0</v>
      </c>
      <c r="G262" s="99" t="n">
        <f aca="false">MAX(0,F262-F868-F1171-F1474-F1777)</f>
        <v>0</v>
      </c>
      <c r="H262" s="99" t="n">
        <f aca="false">MAX(0,G262-G868-G1171-G1474-G1777)</f>
        <v>0</v>
      </c>
      <c r="I262" s="99" t="n">
        <f aca="false">MAX(0,H262-H868-H1171-H1474-H1777)</f>
        <v>0</v>
      </c>
      <c r="J262" s="99" t="n">
        <f aca="false">MAX(0,I262-I868-I1171-I1474-I1777)</f>
        <v>0</v>
      </c>
      <c r="K262" s="99" t="n">
        <f aca="false">MAX(0,J262-J868-J1171-J1474-J1777)</f>
        <v>0</v>
      </c>
      <c r="L262" s="99" t="n">
        <f aca="false">MAX(0,K262-K868-K1171-K1474-K1777)</f>
        <v>0</v>
      </c>
      <c r="M262" s="99" t="n">
        <f aca="false">MAX(0,L262-L868-L1171-L1474-L1777)</f>
        <v>0</v>
      </c>
    </row>
    <row r="263" customFormat="false" ht="15" hidden="false" customHeight="false" outlineLevel="0" collapsed="false">
      <c r="B263" s="108" t="n">
        <f aca="false">'Loan Tape'!$A259</f>
        <v>0</v>
      </c>
      <c r="C263" s="71" t="n">
        <f aca="false">IF('Loan Tape'!$AN259=0,0,'Loan Tape'!$R259)</f>
        <v>0</v>
      </c>
      <c r="D263" s="71" t="n">
        <f aca="false">MAX(0,C263-C869-C1172-C1475-C1778)</f>
        <v>0</v>
      </c>
      <c r="E263" s="71" t="n">
        <f aca="false">MAX(0,D263-D869-D1172-D1475-D1778)</f>
        <v>0</v>
      </c>
      <c r="F263" s="71" t="n">
        <f aca="false">MAX(0,E263-E869-E1172-E1475-E1778)</f>
        <v>0</v>
      </c>
      <c r="G263" s="71" t="n">
        <f aca="false">MAX(0,F263-F869-F1172-F1475-F1778)</f>
        <v>0</v>
      </c>
      <c r="H263" s="71" t="n">
        <f aca="false">MAX(0,G263-G869-G1172-G1475-G1778)</f>
        <v>0</v>
      </c>
      <c r="I263" s="71" t="n">
        <f aca="false">MAX(0,H263-H869-H1172-H1475-H1778)</f>
        <v>0</v>
      </c>
      <c r="J263" s="71" t="n">
        <f aca="false">MAX(0,I263-I869-I1172-I1475-I1778)</f>
        <v>0</v>
      </c>
      <c r="K263" s="71" t="n">
        <f aca="false">MAX(0,J263-J869-J1172-J1475-J1778)</f>
        <v>0</v>
      </c>
      <c r="L263" s="71" t="n">
        <f aca="false">MAX(0,K263-K869-K1172-K1475-K1778)</f>
        <v>0</v>
      </c>
      <c r="M263" s="71" t="n">
        <f aca="false">MAX(0,L263-L869-L1172-L1475-L1778)</f>
        <v>0</v>
      </c>
    </row>
    <row r="264" customFormat="false" ht="15" hidden="false" customHeight="false" outlineLevel="0" collapsed="false">
      <c r="B264" s="102" t="n">
        <f aca="false">'Loan Tape'!$A260</f>
        <v>0</v>
      </c>
      <c r="C264" s="99" t="n">
        <f aca="false">IF('Loan Tape'!$AN260=0,0,'Loan Tape'!$R260)</f>
        <v>0</v>
      </c>
      <c r="D264" s="99" t="n">
        <f aca="false">MAX(0,C264-C870-C1173-C1476-C1779)</f>
        <v>0</v>
      </c>
      <c r="E264" s="99" t="n">
        <f aca="false">MAX(0,D264-D870-D1173-D1476-D1779)</f>
        <v>0</v>
      </c>
      <c r="F264" s="99" t="n">
        <f aca="false">MAX(0,E264-E870-E1173-E1476-E1779)</f>
        <v>0</v>
      </c>
      <c r="G264" s="99" t="n">
        <f aca="false">MAX(0,F264-F870-F1173-F1476-F1779)</f>
        <v>0</v>
      </c>
      <c r="H264" s="99" t="n">
        <f aca="false">MAX(0,G264-G870-G1173-G1476-G1779)</f>
        <v>0</v>
      </c>
      <c r="I264" s="99" t="n">
        <f aca="false">MAX(0,H264-H870-H1173-H1476-H1779)</f>
        <v>0</v>
      </c>
      <c r="J264" s="99" t="n">
        <f aca="false">MAX(0,I264-I870-I1173-I1476-I1779)</f>
        <v>0</v>
      </c>
      <c r="K264" s="99" t="n">
        <f aca="false">MAX(0,J264-J870-J1173-J1476-J1779)</f>
        <v>0</v>
      </c>
      <c r="L264" s="99" t="n">
        <f aca="false">MAX(0,K264-K870-K1173-K1476-K1779)</f>
        <v>0</v>
      </c>
      <c r="M264" s="99" t="n">
        <f aca="false">MAX(0,L264-L870-L1173-L1476-L1779)</f>
        <v>0</v>
      </c>
    </row>
    <row r="265" customFormat="false" ht="15" hidden="false" customHeight="false" outlineLevel="0" collapsed="false">
      <c r="B265" s="108" t="n">
        <f aca="false">'Loan Tape'!$A261</f>
        <v>0</v>
      </c>
      <c r="C265" s="71" t="n">
        <f aca="false">IF('Loan Tape'!$AN261=0,0,'Loan Tape'!$R261)</f>
        <v>0</v>
      </c>
      <c r="D265" s="71" t="n">
        <f aca="false">MAX(0,C265-C871-C1174-C1477-C1780)</f>
        <v>0</v>
      </c>
      <c r="E265" s="71" t="n">
        <f aca="false">MAX(0,D265-D871-D1174-D1477-D1780)</f>
        <v>0</v>
      </c>
      <c r="F265" s="71" t="n">
        <f aca="false">MAX(0,E265-E871-E1174-E1477-E1780)</f>
        <v>0</v>
      </c>
      <c r="G265" s="71" t="n">
        <f aca="false">MAX(0,F265-F871-F1174-F1477-F1780)</f>
        <v>0</v>
      </c>
      <c r="H265" s="71" t="n">
        <f aca="false">MAX(0,G265-G871-G1174-G1477-G1780)</f>
        <v>0</v>
      </c>
      <c r="I265" s="71" t="n">
        <f aca="false">MAX(0,H265-H871-H1174-H1477-H1780)</f>
        <v>0</v>
      </c>
      <c r="J265" s="71" t="n">
        <f aca="false">MAX(0,I265-I871-I1174-I1477-I1780)</f>
        <v>0</v>
      </c>
      <c r="K265" s="71" t="n">
        <f aca="false">MAX(0,J265-J871-J1174-J1477-J1780)</f>
        <v>0</v>
      </c>
      <c r="L265" s="71" t="n">
        <f aca="false">MAX(0,K265-K871-K1174-K1477-K1780)</f>
        <v>0</v>
      </c>
      <c r="M265" s="71" t="n">
        <f aca="false">MAX(0,L265-L871-L1174-L1477-L1780)</f>
        <v>0</v>
      </c>
    </row>
    <row r="266" customFormat="false" ht="15" hidden="false" customHeight="false" outlineLevel="0" collapsed="false">
      <c r="B266" s="102" t="n">
        <f aca="false">'Loan Tape'!$A262</f>
        <v>0</v>
      </c>
      <c r="C266" s="99" t="n">
        <f aca="false">IF('Loan Tape'!$AN262=0,0,'Loan Tape'!$R262)</f>
        <v>0</v>
      </c>
      <c r="D266" s="99" t="n">
        <f aca="false">MAX(0,C266-C872-C1175-C1478-C1781)</f>
        <v>0</v>
      </c>
      <c r="E266" s="99" t="n">
        <f aca="false">MAX(0,D266-D872-D1175-D1478-D1781)</f>
        <v>0</v>
      </c>
      <c r="F266" s="99" t="n">
        <f aca="false">MAX(0,E266-E872-E1175-E1478-E1781)</f>
        <v>0</v>
      </c>
      <c r="G266" s="99" t="n">
        <f aca="false">MAX(0,F266-F872-F1175-F1478-F1781)</f>
        <v>0</v>
      </c>
      <c r="H266" s="99" t="n">
        <f aca="false">MAX(0,G266-G872-G1175-G1478-G1781)</f>
        <v>0</v>
      </c>
      <c r="I266" s="99" t="n">
        <f aca="false">MAX(0,H266-H872-H1175-H1478-H1781)</f>
        <v>0</v>
      </c>
      <c r="J266" s="99" t="n">
        <f aca="false">MAX(0,I266-I872-I1175-I1478-I1781)</f>
        <v>0</v>
      </c>
      <c r="K266" s="99" t="n">
        <f aca="false">MAX(0,J266-J872-J1175-J1478-J1781)</f>
        <v>0</v>
      </c>
      <c r="L266" s="99" t="n">
        <f aca="false">MAX(0,K266-K872-K1175-K1478-K1781)</f>
        <v>0</v>
      </c>
      <c r="M266" s="99" t="n">
        <f aca="false">MAX(0,L266-L872-L1175-L1478-L1781)</f>
        <v>0</v>
      </c>
    </row>
    <row r="267" customFormat="false" ht="15" hidden="false" customHeight="false" outlineLevel="0" collapsed="false">
      <c r="B267" s="108" t="n">
        <f aca="false">'Loan Tape'!$A263</f>
        <v>0</v>
      </c>
      <c r="C267" s="71" t="n">
        <f aca="false">IF('Loan Tape'!$AN263=0,0,'Loan Tape'!$R263)</f>
        <v>0</v>
      </c>
      <c r="D267" s="71" t="n">
        <f aca="false">MAX(0,C267-C873-C1176-C1479-C1782)</f>
        <v>0</v>
      </c>
      <c r="E267" s="71" t="n">
        <f aca="false">MAX(0,D267-D873-D1176-D1479-D1782)</f>
        <v>0</v>
      </c>
      <c r="F267" s="71" t="n">
        <f aca="false">MAX(0,E267-E873-E1176-E1479-E1782)</f>
        <v>0</v>
      </c>
      <c r="G267" s="71" t="n">
        <f aca="false">MAX(0,F267-F873-F1176-F1479-F1782)</f>
        <v>0</v>
      </c>
      <c r="H267" s="71" t="n">
        <f aca="false">MAX(0,G267-G873-G1176-G1479-G1782)</f>
        <v>0</v>
      </c>
      <c r="I267" s="71" t="n">
        <f aca="false">MAX(0,H267-H873-H1176-H1479-H1782)</f>
        <v>0</v>
      </c>
      <c r="J267" s="71" t="n">
        <f aca="false">MAX(0,I267-I873-I1176-I1479-I1782)</f>
        <v>0</v>
      </c>
      <c r="K267" s="71" t="n">
        <f aca="false">MAX(0,J267-J873-J1176-J1479-J1782)</f>
        <v>0</v>
      </c>
      <c r="L267" s="71" t="n">
        <f aca="false">MAX(0,K267-K873-K1176-K1479-K1782)</f>
        <v>0</v>
      </c>
      <c r="M267" s="71" t="n">
        <f aca="false">MAX(0,L267-L873-L1176-L1479-L1782)</f>
        <v>0</v>
      </c>
    </row>
    <row r="268" customFormat="false" ht="15" hidden="false" customHeight="false" outlineLevel="0" collapsed="false">
      <c r="B268" s="102" t="n">
        <f aca="false">'Loan Tape'!$A264</f>
        <v>0</v>
      </c>
      <c r="C268" s="99" t="n">
        <f aca="false">IF('Loan Tape'!$AN264=0,0,'Loan Tape'!$R264)</f>
        <v>0</v>
      </c>
      <c r="D268" s="99" t="n">
        <f aca="false">MAX(0,C268-C874-C1177-C1480-C1783)</f>
        <v>0</v>
      </c>
      <c r="E268" s="99" t="n">
        <f aca="false">MAX(0,D268-D874-D1177-D1480-D1783)</f>
        <v>0</v>
      </c>
      <c r="F268" s="99" t="n">
        <f aca="false">MAX(0,E268-E874-E1177-E1480-E1783)</f>
        <v>0</v>
      </c>
      <c r="G268" s="99" t="n">
        <f aca="false">MAX(0,F268-F874-F1177-F1480-F1783)</f>
        <v>0</v>
      </c>
      <c r="H268" s="99" t="n">
        <f aca="false">MAX(0,G268-G874-G1177-G1480-G1783)</f>
        <v>0</v>
      </c>
      <c r="I268" s="99" t="n">
        <f aca="false">MAX(0,H268-H874-H1177-H1480-H1783)</f>
        <v>0</v>
      </c>
      <c r="J268" s="99" t="n">
        <f aca="false">MAX(0,I268-I874-I1177-I1480-I1783)</f>
        <v>0</v>
      </c>
      <c r="K268" s="99" t="n">
        <f aca="false">MAX(0,J268-J874-J1177-J1480-J1783)</f>
        <v>0</v>
      </c>
      <c r="L268" s="99" t="n">
        <f aca="false">MAX(0,K268-K874-K1177-K1480-K1783)</f>
        <v>0</v>
      </c>
      <c r="M268" s="99" t="n">
        <f aca="false">MAX(0,L268-L874-L1177-L1480-L1783)</f>
        <v>0</v>
      </c>
    </row>
    <row r="269" customFormat="false" ht="15" hidden="false" customHeight="false" outlineLevel="0" collapsed="false">
      <c r="B269" s="108" t="n">
        <f aca="false">'Loan Tape'!$A265</f>
        <v>0</v>
      </c>
      <c r="C269" s="71" t="n">
        <f aca="false">IF('Loan Tape'!$AN265=0,0,'Loan Tape'!$R265)</f>
        <v>0</v>
      </c>
      <c r="D269" s="71" t="n">
        <f aca="false">MAX(0,C269-C875-C1178-C1481-C1784)</f>
        <v>0</v>
      </c>
      <c r="E269" s="71" t="n">
        <f aca="false">MAX(0,D269-D875-D1178-D1481-D1784)</f>
        <v>0</v>
      </c>
      <c r="F269" s="71" t="n">
        <f aca="false">MAX(0,E269-E875-E1178-E1481-E1784)</f>
        <v>0</v>
      </c>
      <c r="G269" s="71" t="n">
        <f aca="false">MAX(0,F269-F875-F1178-F1481-F1784)</f>
        <v>0</v>
      </c>
      <c r="H269" s="71" t="n">
        <f aca="false">MAX(0,G269-G875-G1178-G1481-G1784)</f>
        <v>0</v>
      </c>
      <c r="I269" s="71" t="n">
        <f aca="false">MAX(0,H269-H875-H1178-H1481-H1784)</f>
        <v>0</v>
      </c>
      <c r="J269" s="71" t="n">
        <f aca="false">MAX(0,I269-I875-I1178-I1481-I1784)</f>
        <v>0</v>
      </c>
      <c r="K269" s="71" t="n">
        <f aca="false">MAX(0,J269-J875-J1178-J1481-J1784)</f>
        <v>0</v>
      </c>
      <c r="L269" s="71" t="n">
        <f aca="false">MAX(0,K269-K875-K1178-K1481-K1784)</f>
        <v>0</v>
      </c>
      <c r="M269" s="71" t="n">
        <f aca="false">MAX(0,L269-L875-L1178-L1481-L1784)</f>
        <v>0</v>
      </c>
    </row>
    <row r="270" customFormat="false" ht="15" hidden="false" customHeight="false" outlineLevel="0" collapsed="false">
      <c r="B270" s="102" t="n">
        <f aca="false">'Loan Tape'!$A266</f>
        <v>0</v>
      </c>
      <c r="C270" s="99" t="n">
        <f aca="false">IF('Loan Tape'!$AN266=0,0,'Loan Tape'!$R266)</f>
        <v>0</v>
      </c>
      <c r="D270" s="99" t="n">
        <f aca="false">MAX(0,C270-C876-C1179-C1482-C1785)</f>
        <v>0</v>
      </c>
      <c r="E270" s="99" t="n">
        <f aca="false">MAX(0,D270-D876-D1179-D1482-D1785)</f>
        <v>0</v>
      </c>
      <c r="F270" s="99" t="n">
        <f aca="false">MAX(0,E270-E876-E1179-E1482-E1785)</f>
        <v>0</v>
      </c>
      <c r="G270" s="99" t="n">
        <f aca="false">MAX(0,F270-F876-F1179-F1482-F1785)</f>
        <v>0</v>
      </c>
      <c r="H270" s="99" t="n">
        <f aca="false">MAX(0,G270-G876-G1179-G1482-G1785)</f>
        <v>0</v>
      </c>
      <c r="I270" s="99" t="n">
        <f aca="false">MAX(0,H270-H876-H1179-H1482-H1785)</f>
        <v>0</v>
      </c>
      <c r="J270" s="99" t="n">
        <f aca="false">MAX(0,I270-I876-I1179-I1482-I1785)</f>
        <v>0</v>
      </c>
      <c r="K270" s="99" t="n">
        <f aca="false">MAX(0,J270-J876-J1179-J1482-J1785)</f>
        <v>0</v>
      </c>
      <c r="L270" s="99" t="n">
        <f aca="false">MAX(0,K270-K876-K1179-K1482-K1785)</f>
        <v>0</v>
      </c>
      <c r="M270" s="99" t="n">
        <f aca="false">MAX(0,L270-L876-L1179-L1482-L1785)</f>
        <v>0</v>
      </c>
    </row>
    <row r="271" customFormat="false" ht="15" hidden="false" customHeight="false" outlineLevel="0" collapsed="false">
      <c r="B271" s="108" t="n">
        <f aca="false">'Loan Tape'!$A267</f>
        <v>0</v>
      </c>
      <c r="C271" s="71" t="n">
        <f aca="false">IF('Loan Tape'!$AN267=0,0,'Loan Tape'!$R267)</f>
        <v>0</v>
      </c>
      <c r="D271" s="71" t="n">
        <f aca="false">MAX(0,C271-C877-C1180-C1483-C1786)</f>
        <v>0</v>
      </c>
      <c r="E271" s="71" t="n">
        <f aca="false">MAX(0,D271-D877-D1180-D1483-D1786)</f>
        <v>0</v>
      </c>
      <c r="F271" s="71" t="n">
        <f aca="false">MAX(0,E271-E877-E1180-E1483-E1786)</f>
        <v>0</v>
      </c>
      <c r="G271" s="71" t="n">
        <f aca="false">MAX(0,F271-F877-F1180-F1483-F1786)</f>
        <v>0</v>
      </c>
      <c r="H271" s="71" t="n">
        <f aca="false">MAX(0,G271-G877-G1180-G1483-G1786)</f>
        <v>0</v>
      </c>
      <c r="I271" s="71" t="n">
        <f aca="false">MAX(0,H271-H877-H1180-H1483-H1786)</f>
        <v>0</v>
      </c>
      <c r="J271" s="71" t="n">
        <f aca="false">MAX(0,I271-I877-I1180-I1483-I1786)</f>
        <v>0</v>
      </c>
      <c r="K271" s="71" t="n">
        <f aca="false">MAX(0,J271-J877-J1180-J1483-J1786)</f>
        <v>0</v>
      </c>
      <c r="L271" s="71" t="n">
        <f aca="false">MAX(0,K271-K877-K1180-K1483-K1786)</f>
        <v>0</v>
      </c>
      <c r="M271" s="71" t="n">
        <f aca="false">MAX(0,L271-L877-L1180-L1483-L1786)</f>
        <v>0</v>
      </c>
    </row>
    <row r="272" customFormat="false" ht="15" hidden="false" customHeight="false" outlineLevel="0" collapsed="false">
      <c r="B272" s="102" t="n">
        <f aca="false">'Loan Tape'!$A268</f>
        <v>0</v>
      </c>
      <c r="C272" s="99" t="n">
        <f aca="false">IF('Loan Tape'!$AN268=0,0,'Loan Tape'!$R268)</f>
        <v>0</v>
      </c>
      <c r="D272" s="99" t="n">
        <f aca="false">MAX(0,C272-C878-C1181-C1484-C1787)</f>
        <v>0</v>
      </c>
      <c r="E272" s="99" t="n">
        <f aca="false">MAX(0,D272-D878-D1181-D1484-D1787)</f>
        <v>0</v>
      </c>
      <c r="F272" s="99" t="n">
        <f aca="false">MAX(0,E272-E878-E1181-E1484-E1787)</f>
        <v>0</v>
      </c>
      <c r="G272" s="99" t="n">
        <f aca="false">MAX(0,F272-F878-F1181-F1484-F1787)</f>
        <v>0</v>
      </c>
      <c r="H272" s="99" t="n">
        <f aca="false">MAX(0,G272-G878-G1181-G1484-G1787)</f>
        <v>0</v>
      </c>
      <c r="I272" s="99" t="n">
        <f aca="false">MAX(0,H272-H878-H1181-H1484-H1787)</f>
        <v>0</v>
      </c>
      <c r="J272" s="99" t="n">
        <f aca="false">MAX(0,I272-I878-I1181-I1484-I1787)</f>
        <v>0</v>
      </c>
      <c r="K272" s="99" t="n">
        <f aca="false">MAX(0,J272-J878-J1181-J1484-J1787)</f>
        <v>0</v>
      </c>
      <c r="L272" s="99" t="n">
        <f aca="false">MAX(0,K272-K878-K1181-K1484-K1787)</f>
        <v>0</v>
      </c>
      <c r="M272" s="99" t="n">
        <f aca="false">MAX(0,L272-L878-L1181-L1484-L1787)</f>
        <v>0</v>
      </c>
    </row>
    <row r="273" customFormat="false" ht="15" hidden="false" customHeight="false" outlineLevel="0" collapsed="false">
      <c r="B273" s="108" t="n">
        <f aca="false">'Loan Tape'!$A269</f>
        <v>0</v>
      </c>
      <c r="C273" s="71" t="n">
        <f aca="false">IF('Loan Tape'!$AN269=0,0,'Loan Tape'!$R269)</f>
        <v>0</v>
      </c>
      <c r="D273" s="71" t="n">
        <f aca="false">MAX(0,C273-C879-C1182-C1485-C1788)</f>
        <v>0</v>
      </c>
      <c r="E273" s="71" t="n">
        <f aca="false">MAX(0,D273-D879-D1182-D1485-D1788)</f>
        <v>0</v>
      </c>
      <c r="F273" s="71" t="n">
        <f aca="false">MAX(0,E273-E879-E1182-E1485-E1788)</f>
        <v>0</v>
      </c>
      <c r="G273" s="71" t="n">
        <f aca="false">MAX(0,F273-F879-F1182-F1485-F1788)</f>
        <v>0</v>
      </c>
      <c r="H273" s="71" t="n">
        <f aca="false">MAX(0,G273-G879-G1182-G1485-G1788)</f>
        <v>0</v>
      </c>
      <c r="I273" s="71" t="n">
        <f aca="false">MAX(0,H273-H879-H1182-H1485-H1788)</f>
        <v>0</v>
      </c>
      <c r="J273" s="71" t="n">
        <f aca="false">MAX(0,I273-I879-I1182-I1485-I1788)</f>
        <v>0</v>
      </c>
      <c r="K273" s="71" t="n">
        <f aca="false">MAX(0,J273-J879-J1182-J1485-J1788)</f>
        <v>0</v>
      </c>
      <c r="L273" s="71" t="n">
        <f aca="false">MAX(0,K273-K879-K1182-K1485-K1788)</f>
        <v>0</v>
      </c>
      <c r="M273" s="71" t="n">
        <f aca="false">MAX(0,L273-L879-L1182-L1485-L1788)</f>
        <v>0</v>
      </c>
    </row>
    <row r="274" customFormat="false" ht="15" hidden="false" customHeight="false" outlineLevel="0" collapsed="false">
      <c r="B274" s="102" t="n">
        <f aca="false">'Loan Tape'!$A270</f>
        <v>0</v>
      </c>
      <c r="C274" s="99" t="n">
        <f aca="false">IF('Loan Tape'!$AN270=0,0,'Loan Tape'!$R270)</f>
        <v>0</v>
      </c>
      <c r="D274" s="99" t="n">
        <f aca="false">MAX(0,C274-C880-C1183-C1486-C1789)</f>
        <v>0</v>
      </c>
      <c r="E274" s="99" t="n">
        <f aca="false">MAX(0,D274-D880-D1183-D1486-D1789)</f>
        <v>0</v>
      </c>
      <c r="F274" s="99" t="n">
        <f aca="false">MAX(0,E274-E880-E1183-E1486-E1789)</f>
        <v>0</v>
      </c>
      <c r="G274" s="99" t="n">
        <f aca="false">MAX(0,F274-F880-F1183-F1486-F1789)</f>
        <v>0</v>
      </c>
      <c r="H274" s="99" t="n">
        <f aca="false">MAX(0,G274-G880-G1183-G1486-G1789)</f>
        <v>0</v>
      </c>
      <c r="I274" s="99" t="n">
        <f aca="false">MAX(0,H274-H880-H1183-H1486-H1789)</f>
        <v>0</v>
      </c>
      <c r="J274" s="99" t="n">
        <f aca="false">MAX(0,I274-I880-I1183-I1486-I1789)</f>
        <v>0</v>
      </c>
      <c r="K274" s="99" t="n">
        <f aca="false">MAX(0,J274-J880-J1183-J1486-J1789)</f>
        <v>0</v>
      </c>
      <c r="L274" s="99" t="n">
        <f aca="false">MAX(0,K274-K880-K1183-K1486-K1789)</f>
        <v>0</v>
      </c>
      <c r="M274" s="99" t="n">
        <f aca="false">MAX(0,L274-L880-L1183-L1486-L1789)</f>
        <v>0</v>
      </c>
    </row>
    <row r="275" customFormat="false" ht="15" hidden="false" customHeight="false" outlineLevel="0" collapsed="false">
      <c r="B275" s="108" t="n">
        <f aca="false">'Loan Tape'!$A271</f>
        <v>0</v>
      </c>
      <c r="C275" s="71" t="n">
        <f aca="false">IF('Loan Tape'!$AN271=0,0,'Loan Tape'!$R271)</f>
        <v>0</v>
      </c>
      <c r="D275" s="71" t="n">
        <f aca="false">MAX(0,C275-C881-C1184-C1487-C1790)</f>
        <v>0</v>
      </c>
      <c r="E275" s="71" t="n">
        <f aca="false">MAX(0,D275-D881-D1184-D1487-D1790)</f>
        <v>0</v>
      </c>
      <c r="F275" s="71" t="n">
        <f aca="false">MAX(0,E275-E881-E1184-E1487-E1790)</f>
        <v>0</v>
      </c>
      <c r="G275" s="71" t="n">
        <f aca="false">MAX(0,F275-F881-F1184-F1487-F1790)</f>
        <v>0</v>
      </c>
      <c r="H275" s="71" t="n">
        <f aca="false">MAX(0,G275-G881-G1184-G1487-G1790)</f>
        <v>0</v>
      </c>
      <c r="I275" s="71" t="n">
        <f aca="false">MAX(0,H275-H881-H1184-H1487-H1790)</f>
        <v>0</v>
      </c>
      <c r="J275" s="71" t="n">
        <f aca="false">MAX(0,I275-I881-I1184-I1487-I1790)</f>
        <v>0</v>
      </c>
      <c r="K275" s="71" t="n">
        <f aca="false">MAX(0,J275-J881-J1184-J1487-J1790)</f>
        <v>0</v>
      </c>
      <c r="L275" s="71" t="n">
        <f aca="false">MAX(0,K275-K881-K1184-K1487-K1790)</f>
        <v>0</v>
      </c>
      <c r="M275" s="71" t="n">
        <f aca="false">MAX(0,L275-L881-L1184-L1487-L1790)</f>
        <v>0</v>
      </c>
    </row>
    <row r="276" customFormat="false" ht="15" hidden="false" customHeight="false" outlineLevel="0" collapsed="false">
      <c r="B276" s="102" t="n">
        <f aca="false">'Loan Tape'!$A272</f>
        <v>0</v>
      </c>
      <c r="C276" s="99" t="n">
        <f aca="false">IF('Loan Tape'!$AN272=0,0,'Loan Tape'!$R272)</f>
        <v>0</v>
      </c>
      <c r="D276" s="99" t="n">
        <f aca="false">MAX(0,C276-C882-C1185-C1488-C1791)</f>
        <v>0</v>
      </c>
      <c r="E276" s="99" t="n">
        <f aca="false">MAX(0,D276-D882-D1185-D1488-D1791)</f>
        <v>0</v>
      </c>
      <c r="F276" s="99" t="n">
        <f aca="false">MAX(0,E276-E882-E1185-E1488-E1791)</f>
        <v>0</v>
      </c>
      <c r="G276" s="99" t="n">
        <f aca="false">MAX(0,F276-F882-F1185-F1488-F1791)</f>
        <v>0</v>
      </c>
      <c r="H276" s="99" t="n">
        <f aca="false">MAX(0,G276-G882-G1185-G1488-G1791)</f>
        <v>0</v>
      </c>
      <c r="I276" s="99" t="n">
        <f aca="false">MAX(0,H276-H882-H1185-H1488-H1791)</f>
        <v>0</v>
      </c>
      <c r="J276" s="99" t="n">
        <f aca="false">MAX(0,I276-I882-I1185-I1488-I1791)</f>
        <v>0</v>
      </c>
      <c r="K276" s="99" t="n">
        <f aca="false">MAX(0,J276-J882-J1185-J1488-J1791)</f>
        <v>0</v>
      </c>
      <c r="L276" s="99" t="n">
        <f aca="false">MAX(0,K276-K882-K1185-K1488-K1791)</f>
        <v>0</v>
      </c>
      <c r="M276" s="99" t="n">
        <f aca="false">MAX(0,L276-L882-L1185-L1488-L1791)</f>
        <v>0</v>
      </c>
    </row>
    <row r="277" customFormat="false" ht="15" hidden="false" customHeight="false" outlineLevel="0" collapsed="false">
      <c r="B277" s="108" t="n">
        <f aca="false">'Loan Tape'!$A273</f>
        <v>0</v>
      </c>
      <c r="C277" s="71" t="n">
        <f aca="false">IF('Loan Tape'!$AN273=0,0,'Loan Tape'!$R273)</f>
        <v>0</v>
      </c>
      <c r="D277" s="71" t="n">
        <f aca="false">MAX(0,C277-C883-C1186-C1489-C1792)</f>
        <v>0</v>
      </c>
      <c r="E277" s="71" t="n">
        <f aca="false">MAX(0,D277-D883-D1186-D1489-D1792)</f>
        <v>0</v>
      </c>
      <c r="F277" s="71" t="n">
        <f aca="false">MAX(0,E277-E883-E1186-E1489-E1792)</f>
        <v>0</v>
      </c>
      <c r="G277" s="71" t="n">
        <f aca="false">MAX(0,F277-F883-F1186-F1489-F1792)</f>
        <v>0</v>
      </c>
      <c r="H277" s="71" t="n">
        <f aca="false">MAX(0,G277-G883-G1186-G1489-G1792)</f>
        <v>0</v>
      </c>
      <c r="I277" s="71" t="n">
        <f aca="false">MAX(0,H277-H883-H1186-H1489-H1792)</f>
        <v>0</v>
      </c>
      <c r="J277" s="71" t="n">
        <f aca="false">MAX(0,I277-I883-I1186-I1489-I1792)</f>
        <v>0</v>
      </c>
      <c r="K277" s="71" t="n">
        <f aca="false">MAX(0,J277-J883-J1186-J1489-J1792)</f>
        <v>0</v>
      </c>
      <c r="L277" s="71" t="n">
        <f aca="false">MAX(0,K277-K883-K1186-K1489-K1792)</f>
        <v>0</v>
      </c>
      <c r="M277" s="71" t="n">
        <f aca="false">MAX(0,L277-L883-L1186-L1489-L1792)</f>
        <v>0</v>
      </c>
    </row>
    <row r="278" customFormat="false" ht="15" hidden="false" customHeight="false" outlineLevel="0" collapsed="false">
      <c r="B278" s="102" t="n">
        <f aca="false">'Loan Tape'!$A274</f>
        <v>0</v>
      </c>
      <c r="C278" s="99" t="n">
        <f aca="false">IF('Loan Tape'!$AN274=0,0,'Loan Tape'!$R274)</f>
        <v>0</v>
      </c>
      <c r="D278" s="99" t="n">
        <f aca="false">MAX(0,C278-C884-C1187-C1490-C1793)</f>
        <v>0</v>
      </c>
      <c r="E278" s="99" t="n">
        <f aca="false">MAX(0,D278-D884-D1187-D1490-D1793)</f>
        <v>0</v>
      </c>
      <c r="F278" s="99" t="n">
        <f aca="false">MAX(0,E278-E884-E1187-E1490-E1793)</f>
        <v>0</v>
      </c>
      <c r="G278" s="99" t="n">
        <f aca="false">MAX(0,F278-F884-F1187-F1490-F1793)</f>
        <v>0</v>
      </c>
      <c r="H278" s="99" t="n">
        <f aca="false">MAX(0,G278-G884-G1187-G1490-G1793)</f>
        <v>0</v>
      </c>
      <c r="I278" s="99" t="n">
        <f aca="false">MAX(0,H278-H884-H1187-H1490-H1793)</f>
        <v>0</v>
      </c>
      <c r="J278" s="99" t="n">
        <f aca="false">MAX(0,I278-I884-I1187-I1490-I1793)</f>
        <v>0</v>
      </c>
      <c r="K278" s="99" t="n">
        <f aca="false">MAX(0,J278-J884-J1187-J1490-J1793)</f>
        <v>0</v>
      </c>
      <c r="L278" s="99" t="n">
        <f aca="false">MAX(0,K278-K884-K1187-K1490-K1793)</f>
        <v>0</v>
      </c>
      <c r="M278" s="99" t="n">
        <f aca="false">MAX(0,L278-L884-L1187-L1490-L1793)</f>
        <v>0</v>
      </c>
    </row>
    <row r="279" customFormat="false" ht="15" hidden="false" customHeight="false" outlineLevel="0" collapsed="false">
      <c r="B279" s="108" t="n">
        <f aca="false">'Loan Tape'!$A275</f>
        <v>0</v>
      </c>
      <c r="C279" s="71" t="n">
        <f aca="false">IF('Loan Tape'!$AN275=0,0,'Loan Tape'!$R275)</f>
        <v>0</v>
      </c>
      <c r="D279" s="71" t="n">
        <f aca="false">MAX(0,C279-C885-C1188-C1491-C1794)</f>
        <v>0</v>
      </c>
      <c r="E279" s="71" t="n">
        <f aca="false">MAX(0,D279-D885-D1188-D1491-D1794)</f>
        <v>0</v>
      </c>
      <c r="F279" s="71" t="n">
        <f aca="false">MAX(0,E279-E885-E1188-E1491-E1794)</f>
        <v>0</v>
      </c>
      <c r="G279" s="71" t="n">
        <f aca="false">MAX(0,F279-F885-F1188-F1491-F1794)</f>
        <v>0</v>
      </c>
      <c r="H279" s="71" t="n">
        <f aca="false">MAX(0,G279-G885-G1188-G1491-G1794)</f>
        <v>0</v>
      </c>
      <c r="I279" s="71" t="n">
        <f aca="false">MAX(0,H279-H885-H1188-H1491-H1794)</f>
        <v>0</v>
      </c>
      <c r="J279" s="71" t="n">
        <f aca="false">MAX(0,I279-I885-I1188-I1491-I1794)</f>
        <v>0</v>
      </c>
      <c r="K279" s="71" t="n">
        <f aca="false">MAX(0,J279-J885-J1188-J1491-J1794)</f>
        <v>0</v>
      </c>
      <c r="L279" s="71" t="n">
        <f aca="false">MAX(0,K279-K885-K1188-K1491-K1794)</f>
        <v>0</v>
      </c>
      <c r="M279" s="71" t="n">
        <f aca="false">MAX(0,L279-L885-L1188-L1491-L1794)</f>
        <v>0</v>
      </c>
    </row>
    <row r="280" customFormat="false" ht="15" hidden="false" customHeight="false" outlineLevel="0" collapsed="false">
      <c r="B280" s="102" t="n">
        <f aca="false">'Loan Tape'!$A276</f>
        <v>0</v>
      </c>
      <c r="C280" s="99" t="n">
        <f aca="false">IF('Loan Tape'!$AN276=0,0,'Loan Tape'!$R276)</f>
        <v>0</v>
      </c>
      <c r="D280" s="99" t="n">
        <f aca="false">MAX(0,C280-C886-C1189-C1492-C1795)</f>
        <v>0</v>
      </c>
      <c r="E280" s="99" t="n">
        <f aca="false">MAX(0,D280-D886-D1189-D1492-D1795)</f>
        <v>0</v>
      </c>
      <c r="F280" s="99" t="n">
        <f aca="false">MAX(0,E280-E886-E1189-E1492-E1795)</f>
        <v>0</v>
      </c>
      <c r="G280" s="99" t="n">
        <f aca="false">MAX(0,F280-F886-F1189-F1492-F1795)</f>
        <v>0</v>
      </c>
      <c r="H280" s="99" t="n">
        <f aca="false">MAX(0,G280-G886-G1189-G1492-G1795)</f>
        <v>0</v>
      </c>
      <c r="I280" s="99" t="n">
        <f aca="false">MAX(0,H280-H886-H1189-H1492-H1795)</f>
        <v>0</v>
      </c>
      <c r="J280" s="99" t="n">
        <f aca="false">MAX(0,I280-I886-I1189-I1492-I1795)</f>
        <v>0</v>
      </c>
      <c r="K280" s="99" t="n">
        <f aca="false">MAX(0,J280-J886-J1189-J1492-J1795)</f>
        <v>0</v>
      </c>
      <c r="L280" s="99" t="n">
        <f aca="false">MAX(0,K280-K886-K1189-K1492-K1795)</f>
        <v>0</v>
      </c>
      <c r="M280" s="99" t="n">
        <f aca="false">MAX(0,L280-L886-L1189-L1492-L1795)</f>
        <v>0</v>
      </c>
    </row>
    <row r="281" customFormat="false" ht="15" hidden="false" customHeight="false" outlineLevel="0" collapsed="false">
      <c r="B281" s="108" t="n">
        <f aca="false">'Loan Tape'!$A277</f>
        <v>0</v>
      </c>
      <c r="C281" s="71" t="n">
        <f aca="false">IF('Loan Tape'!$AN277=0,0,'Loan Tape'!$R277)</f>
        <v>0</v>
      </c>
      <c r="D281" s="71" t="n">
        <f aca="false">MAX(0,C281-C887-C1190-C1493-C1796)</f>
        <v>0</v>
      </c>
      <c r="E281" s="71" t="n">
        <f aca="false">MAX(0,D281-D887-D1190-D1493-D1796)</f>
        <v>0</v>
      </c>
      <c r="F281" s="71" t="n">
        <f aca="false">MAX(0,E281-E887-E1190-E1493-E1796)</f>
        <v>0</v>
      </c>
      <c r="G281" s="71" t="n">
        <f aca="false">MAX(0,F281-F887-F1190-F1493-F1796)</f>
        <v>0</v>
      </c>
      <c r="H281" s="71" t="n">
        <f aca="false">MAX(0,G281-G887-G1190-G1493-G1796)</f>
        <v>0</v>
      </c>
      <c r="I281" s="71" t="n">
        <f aca="false">MAX(0,H281-H887-H1190-H1493-H1796)</f>
        <v>0</v>
      </c>
      <c r="J281" s="71" t="n">
        <f aca="false">MAX(0,I281-I887-I1190-I1493-I1796)</f>
        <v>0</v>
      </c>
      <c r="K281" s="71" t="n">
        <f aca="false">MAX(0,J281-J887-J1190-J1493-J1796)</f>
        <v>0</v>
      </c>
      <c r="L281" s="71" t="n">
        <f aca="false">MAX(0,K281-K887-K1190-K1493-K1796)</f>
        <v>0</v>
      </c>
      <c r="M281" s="71" t="n">
        <f aca="false">MAX(0,L281-L887-L1190-L1493-L1796)</f>
        <v>0</v>
      </c>
    </row>
    <row r="282" customFormat="false" ht="15" hidden="false" customHeight="false" outlineLevel="0" collapsed="false">
      <c r="B282" s="102" t="n">
        <f aca="false">'Loan Tape'!$A278</f>
        <v>0</v>
      </c>
      <c r="C282" s="99" t="n">
        <f aca="false">IF('Loan Tape'!$AN278=0,0,'Loan Tape'!$R278)</f>
        <v>0</v>
      </c>
      <c r="D282" s="99" t="n">
        <f aca="false">MAX(0,C282-C888-C1191-C1494-C1797)</f>
        <v>0</v>
      </c>
      <c r="E282" s="99" t="n">
        <f aca="false">MAX(0,D282-D888-D1191-D1494-D1797)</f>
        <v>0</v>
      </c>
      <c r="F282" s="99" t="n">
        <f aca="false">MAX(0,E282-E888-E1191-E1494-E1797)</f>
        <v>0</v>
      </c>
      <c r="G282" s="99" t="n">
        <f aca="false">MAX(0,F282-F888-F1191-F1494-F1797)</f>
        <v>0</v>
      </c>
      <c r="H282" s="99" t="n">
        <f aca="false">MAX(0,G282-G888-G1191-G1494-G1797)</f>
        <v>0</v>
      </c>
      <c r="I282" s="99" t="n">
        <f aca="false">MAX(0,H282-H888-H1191-H1494-H1797)</f>
        <v>0</v>
      </c>
      <c r="J282" s="99" t="n">
        <f aca="false">MAX(0,I282-I888-I1191-I1494-I1797)</f>
        <v>0</v>
      </c>
      <c r="K282" s="99" t="n">
        <f aca="false">MAX(0,J282-J888-J1191-J1494-J1797)</f>
        <v>0</v>
      </c>
      <c r="L282" s="99" t="n">
        <f aca="false">MAX(0,K282-K888-K1191-K1494-K1797)</f>
        <v>0</v>
      </c>
      <c r="M282" s="99" t="n">
        <f aca="false">MAX(0,L282-L888-L1191-L1494-L1797)</f>
        <v>0</v>
      </c>
    </row>
    <row r="283" customFormat="false" ht="15" hidden="false" customHeight="false" outlineLevel="0" collapsed="false">
      <c r="B283" s="108" t="n">
        <f aca="false">'Loan Tape'!$A279</f>
        <v>0</v>
      </c>
      <c r="C283" s="71" t="n">
        <f aca="false">IF('Loan Tape'!$AN279=0,0,'Loan Tape'!$R279)</f>
        <v>0</v>
      </c>
      <c r="D283" s="71" t="n">
        <f aca="false">MAX(0,C283-C889-C1192-C1495-C1798)</f>
        <v>0</v>
      </c>
      <c r="E283" s="71" t="n">
        <f aca="false">MAX(0,D283-D889-D1192-D1495-D1798)</f>
        <v>0</v>
      </c>
      <c r="F283" s="71" t="n">
        <f aca="false">MAX(0,E283-E889-E1192-E1495-E1798)</f>
        <v>0</v>
      </c>
      <c r="G283" s="71" t="n">
        <f aca="false">MAX(0,F283-F889-F1192-F1495-F1798)</f>
        <v>0</v>
      </c>
      <c r="H283" s="71" t="n">
        <f aca="false">MAX(0,G283-G889-G1192-G1495-G1798)</f>
        <v>0</v>
      </c>
      <c r="I283" s="71" t="n">
        <f aca="false">MAX(0,H283-H889-H1192-H1495-H1798)</f>
        <v>0</v>
      </c>
      <c r="J283" s="71" t="n">
        <f aca="false">MAX(0,I283-I889-I1192-I1495-I1798)</f>
        <v>0</v>
      </c>
      <c r="K283" s="71" t="n">
        <f aca="false">MAX(0,J283-J889-J1192-J1495-J1798)</f>
        <v>0</v>
      </c>
      <c r="L283" s="71" t="n">
        <f aca="false">MAX(0,K283-K889-K1192-K1495-K1798)</f>
        <v>0</v>
      </c>
      <c r="M283" s="71" t="n">
        <f aca="false">MAX(0,L283-L889-L1192-L1495-L1798)</f>
        <v>0</v>
      </c>
    </row>
    <row r="284" customFormat="false" ht="15" hidden="false" customHeight="false" outlineLevel="0" collapsed="false">
      <c r="B284" s="102" t="n">
        <f aca="false">'Loan Tape'!$A280</f>
        <v>0</v>
      </c>
      <c r="C284" s="99" t="n">
        <f aca="false">IF('Loan Tape'!$AN280=0,0,'Loan Tape'!$R280)</f>
        <v>0</v>
      </c>
      <c r="D284" s="99" t="n">
        <f aca="false">MAX(0,C284-C890-C1193-C1496-C1799)</f>
        <v>0</v>
      </c>
      <c r="E284" s="99" t="n">
        <f aca="false">MAX(0,D284-D890-D1193-D1496-D1799)</f>
        <v>0</v>
      </c>
      <c r="F284" s="99" t="n">
        <f aca="false">MAX(0,E284-E890-E1193-E1496-E1799)</f>
        <v>0</v>
      </c>
      <c r="G284" s="99" t="n">
        <f aca="false">MAX(0,F284-F890-F1193-F1496-F1799)</f>
        <v>0</v>
      </c>
      <c r="H284" s="99" t="n">
        <f aca="false">MAX(0,G284-G890-G1193-G1496-G1799)</f>
        <v>0</v>
      </c>
      <c r="I284" s="99" t="n">
        <f aca="false">MAX(0,H284-H890-H1193-H1496-H1799)</f>
        <v>0</v>
      </c>
      <c r="J284" s="99" t="n">
        <f aca="false">MAX(0,I284-I890-I1193-I1496-I1799)</f>
        <v>0</v>
      </c>
      <c r="K284" s="99" t="n">
        <f aca="false">MAX(0,J284-J890-J1193-J1496-J1799)</f>
        <v>0</v>
      </c>
      <c r="L284" s="99" t="n">
        <f aca="false">MAX(0,K284-K890-K1193-K1496-K1799)</f>
        <v>0</v>
      </c>
      <c r="M284" s="99" t="n">
        <f aca="false">MAX(0,L284-L890-L1193-L1496-L1799)</f>
        <v>0</v>
      </c>
    </row>
    <row r="285" customFormat="false" ht="15" hidden="false" customHeight="false" outlineLevel="0" collapsed="false">
      <c r="B285" s="108" t="n">
        <f aca="false">'Loan Tape'!$A281</f>
        <v>0</v>
      </c>
      <c r="C285" s="71" t="n">
        <f aca="false">IF('Loan Tape'!$AN281=0,0,'Loan Tape'!$R281)</f>
        <v>0</v>
      </c>
      <c r="D285" s="71" t="n">
        <f aca="false">MAX(0,C285-C891-C1194-C1497-C1800)</f>
        <v>0</v>
      </c>
      <c r="E285" s="71" t="n">
        <f aca="false">MAX(0,D285-D891-D1194-D1497-D1800)</f>
        <v>0</v>
      </c>
      <c r="F285" s="71" t="n">
        <f aca="false">MAX(0,E285-E891-E1194-E1497-E1800)</f>
        <v>0</v>
      </c>
      <c r="G285" s="71" t="n">
        <f aca="false">MAX(0,F285-F891-F1194-F1497-F1800)</f>
        <v>0</v>
      </c>
      <c r="H285" s="71" t="n">
        <f aca="false">MAX(0,G285-G891-G1194-G1497-G1800)</f>
        <v>0</v>
      </c>
      <c r="I285" s="71" t="n">
        <f aca="false">MAX(0,H285-H891-H1194-H1497-H1800)</f>
        <v>0</v>
      </c>
      <c r="J285" s="71" t="n">
        <f aca="false">MAX(0,I285-I891-I1194-I1497-I1800)</f>
        <v>0</v>
      </c>
      <c r="K285" s="71" t="n">
        <f aca="false">MAX(0,J285-J891-J1194-J1497-J1800)</f>
        <v>0</v>
      </c>
      <c r="L285" s="71" t="n">
        <f aca="false">MAX(0,K285-K891-K1194-K1497-K1800)</f>
        <v>0</v>
      </c>
      <c r="M285" s="71" t="n">
        <f aca="false">MAX(0,L285-L891-L1194-L1497-L1800)</f>
        <v>0</v>
      </c>
    </row>
    <row r="286" customFormat="false" ht="15" hidden="false" customHeight="false" outlineLevel="0" collapsed="false">
      <c r="B286" s="102" t="n">
        <f aca="false">'Loan Tape'!$A282</f>
        <v>0</v>
      </c>
      <c r="C286" s="99" t="n">
        <f aca="false">IF('Loan Tape'!$AN282=0,0,'Loan Tape'!$R282)</f>
        <v>0</v>
      </c>
      <c r="D286" s="99" t="n">
        <f aca="false">MAX(0,C286-C892-C1195-C1498-C1801)</f>
        <v>0</v>
      </c>
      <c r="E286" s="99" t="n">
        <f aca="false">MAX(0,D286-D892-D1195-D1498-D1801)</f>
        <v>0</v>
      </c>
      <c r="F286" s="99" t="n">
        <f aca="false">MAX(0,E286-E892-E1195-E1498-E1801)</f>
        <v>0</v>
      </c>
      <c r="G286" s="99" t="n">
        <f aca="false">MAX(0,F286-F892-F1195-F1498-F1801)</f>
        <v>0</v>
      </c>
      <c r="H286" s="99" t="n">
        <f aca="false">MAX(0,G286-G892-G1195-G1498-G1801)</f>
        <v>0</v>
      </c>
      <c r="I286" s="99" t="n">
        <f aca="false">MAX(0,H286-H892-H1195-H1498-H1801)</f>
        <v>0</v>
      </c>
      <c r="J286" s="99" t="n">
        <f aca="false">MAX(0,I286-I892-I1195-I1498-I1801)</f>
        <v>0</v>
      </c>
      <c r="K286" s="99" t="n">
        <f aca="false">MAX(0,J286-J892-J1195-J1498-J1801)</f>
        <v>0</v>
      </c>
      <c r="L286" s="99" t="n">
        <f aca="false">MAX(0,K286-K892-K1195-K1498-K1801)</f>
        <v>0</v>
      </c>
      <c r="M286" s="99" t="n">
        <f aca="false">MAX(0,L286-L892-L1195-L1498-L1801)</f>
        <v>0</v>
      </c>
    </row>
    <row r="287" customFormat="false" ht="15" hidden="false" customHeight="false" outlineLevel="0" collapsed="false">
      <c r="B287" s="108" t="n">
        <f aca="false">'Loan Tape'!$A283</f>
        <v>0</v>
      </c>
      <c r="C287" s="71" t="n">
        <f aca="false">IF('Loan Tape'!$AN283=0,0,'Loan Tape'!$R283)</f>
        <v>0</v>
      </c>
      <c r="D287" s="71" t="n">
        <f aca="false">MAX(0,C287-C893-C1196-C1499-C1802)</f>
        <v>0</v>
      </c>
      <c r="E287" s="71" t="n">
        <f aca="false">MAX(0,D287-D893-D1196-D1499-D1802)</f>
        <v>0</v>
      </c>
      <c r="F287" s="71" t="n">
        <f aca="false">MAX(0,E287-E893-E1196-E1499-E1802)</f>
        <v>0</v>
      </c>
      <c r="G287" s="71" t="n">
        <f aca="false">MAX(0,F287-F893-F1196-F1499-F1802)</f>
        <v>0</v>
      </c>
      <c r="H287" s="71" t="n">
        <f aca="false">MAX(0,G287-G893-G1196-G1499-G1802)</f>
        <v>0</v>
      </c>
      <c r="I287" s="71" t="n">
        <f aca="false">MAX(0,H287-H893-H1196-H1499-H1802)</f>
        <v>0</v>
      </c>
      <c r="J287" s="71" t="n">
        <f aca="false">MAX(0,I287-I893-I1196-I1499-I1802)</f>
        <v>0</v>
      </c>
      <c r="K287" s="71" t="n">
        <f aca="false">MAX(0,J287-J893-J1196-J1499-J1802)</f>
        <v>0</v>
      </c>
      <c r="L287" s="71" t="n">
        <f aca="false">MAX(0,K287-K893-K1196-K1499-K1802)</f>
        <v>0</v>
      </c>
      <c r="M287" s="71" t="n">
        <f aca="false">MAX(0,L287-L893-L1196-L1499-L1802)</f>
        <v>0</v>
      </c>
    </row>
    <row r="288" customFormat="false" ht="15" hidden="false" customHeight="false" outlineLevel="0" collapsed="false">
      <c r="B288" s="102" t="n">
        <f aca="false">'Loan Tape'!$A284</f>
        <v>0</v>
      </c>
      <c r="C288" s="99" t="n">
        <f aca="false">IF('Loan Tape'!$AN284=0,0,'Loan Tape'!$R284)</f>
        <v>0</v>
      </c>
      <c r="D288" s="99" t="n">
        <f aca="false">MAX(0,C288-C894-C1197-C1500-C1803)</f>
        <v>0</v>
      </c>
      <c r="E288" s="99" t="n">
        <f aca="false">MAX(0,D288-D894-D1197-D1500-D1803)</f>
        <v>0</v>
      </c>
      <c r="F288" s="99" t="n">
        <f aca="false">MAX(0,E288-E894-E1197-E1500-E1803)</f>
        <v>0</v>
      </c>
      <c r="G288" s="99" t="n">
        <f aca="false">MAX(0,F288-F894-F1197-F1500-F1803)</f>
        <v>0</v>
      </c>
      <c r="H288" s="99" t="n">
        <f aca="false">MAX(0,G288-G894-G1197-G1500-G1803)</f>
        <v>0</v>
      </c>
      <c r="I288" s="99" t="n">
        <f aca="false">MAX(0,H288-H894-H1197-H1500-H1803)</f>
        <v>0</v>
      </c>
      <c r="J288" s="99" t="n">
        <f aca="false">MAX(0,I288-I894-I1197-I1500-I1803)</f>
        <v>0</v>
      </c>
      <c r="K288" s="99" t="n">
        <f aca="false">MAX(0,J288-J894-J1197-J1500-J1803)</f>
        <v>0</v>
      </c>
      <c r="L288" s="99" t="n">
        <f aca="false">MAX(0,K288-K894-K1197-K1500-K1803)</f>
        <v>0</v>
      </c>
      <c r="M288" s="99" t="n">
        <f aca="false">MAX(0,L288-L894-L1197-L1500-L1803)</f>
        <v>0</v>
      </c>
    </row>
    <row r="289" customFormat="false" ht="15" hidden="false" customHeight="false" outlineLevel="0" collapsed="false">
      <c r="B289" s="108" t="n">
        <f aca="false">'Loan Tape'!$A285</f>
        <v>0</v>
      </c>
      <c r="C289" s="71" t="n">
        <f aca="false">IF('Loan Tape'!$AN285=0,0,'Loan Tape'!$R285)</f>
        <v>0</v>
      </c>
      <c r="D289" s="71" t="n">
        <f aca="false">MAX(0,C289-C895-C1198-C1501-C1804)</f>
        <v>0</v>
      </c>
      <c r="E289" s="71" t="n">
        <f aca="false">MAX(0,D289-D895-D1198-D1501-D1804)</f>
        <v>0</v>
      </c>
      <c r="F289" s="71" t="n">
        <f aca="false">MAX(0,E289-E895-E1198-E1501-E1804)</f>
        <v>0</v>
      </c>
      <c r="G289" s="71" t="n">
        <f aca="false">MAX(0,F289-F895-F1198-F1501-F1804)</f>
        <v>0</v>
      </c>
      <c r="H289" s="71" t="n">
        <f aca="false">MAX(0,G289-G895-G1198-G1501-G1804)</f>
        <v>0</v>
      </c>
      <c r="I289" s="71" t="n">
        <f aca="false">MAX(0,H289-H895-H1198-H1501-H1804)</f>
        <v>0</v>
      </c>
      <c r="J289" s="71" t="n">
        <f aca="false">MAX(0,I289-I895-I1198-I1501-I1804)</f>
        <v>0</v>
      </c>
      <c r="K289" s="71" t="n">
        <f aca="false">MAX(0,J289-J895-J1198-J1501-J1804)</f>
        <v>0</v>
      </c>
      <c r="L289" s="71" t="n">
        <f aca="false">MAX(0,K289-K895-K1198-K1501-K1804)</f>
        <v>0</v>
      </c>
      <c r="M289" s="71" t="n">
        <f aca="false">MAX(0,L289-L895-L1198-L1501-L1804)</f>
        <v>0</v>
      </c>
    </row>
    <row r="290" customFormat="false" ht="15" hidden="false" customHeight="false" outlineLevel="0" collapsed="false">
      <c r="B290" s="102" t="n">
        <f aca="false">'Loan Tape'!$A286</f>
        <v>0</v>
      </c>
      <c r="C290" s="99" t="n">
        <f aca="false">IF('Loan Tape'!$AN286=0,0,'Loan Tape'!$R286)</f>
        <v>0</v>
      </c>
      <c r="D290" s="99" t="n">
        <f aca="false">MAX(0,C290-C896-C1199-C1502-C1805)</f>
        <v>0</v>
      </c>
      <c r="E290" s="99" t="n">
        <f aca="false">MAX(0,D290-D896-D1199-D1502-D1805)</f>
        <v>0</v>
      </c>
      <c r="F290" s="99" t="n">
        <f aca="false">MAX(0,E290-E896-E1199-E1502-E1805)</f>
        <v>0</v>
      </c>
      <c r="G290" s="99" t="n">
        <f aca="false">MAX(0,F290-F896-F1199-F1502-F1805)</f>
        <v>0</v>
      </c>
      <c r="H290" s="99" t="n">
        <f aca="false">MAX(0,G290-G896-G1199-G1502-G1805)</f>
        <v>0</v>
      </c>
      <c r="I290" s="99" t="n">
        <f aca="false">MAX(0,H290-H896-H1199-H1502-H1805)</f>
        <v>0</v>
      </c>
      <c r="J290" s="99" t="n">
        <f aca="false">MAX(0,I290-I896-I1199-I1502-I1805)</f>
        <v>0</v>
      </c>
      <c r="K290" s="99" t="n">
        <f aca="false">MAX(0,J290-J896-J1199-J1502-J1805)</f>
        <v>0</v>
      </c>
      <c r="L290" s="99" t="n">
        <f aca="false">MAX(0,K290-K896-K1199-K1502-K1805)</f>
        <v>0</v>
      </c>
      <c r="M290" s="99" t="n">
        <f aca="false">MAX(0,L290-L896-L1199-L1502-L1805)</f>
        <v>0</v>
      </c>
    </row>
    <row r="291" customFormat="false" ht="15" hidden="false" customHeight="false" outlineLevel="0" collapsed="false">
      <c r="B291" s="108" t="n">
        <f aca="false">'Loan Tape'!$A287</f>
        <v>0</v>
      </c>
      <c r="C291" s="71" t="n">
        <f aca="false">IF('Loan Tape'!$AN287=0,0,'Loan Tape'!$R287)</f>
        <v>0</v>
      </c>
      <c r="D291" s="71" t="n">
        <f aca="false">MAX(0,C291-C897-C1200-C1503-C1806)</f>
        <v>0</v>
      </c>
      <c r="E291" s="71" t="n">
        <f aca="false">MAX(0,D291-D897-D1200-D1503-D1806)</f>
        <v>0</v>
      </c>
      <c r="F291" s="71" t="n">
        <f aca="false">MAX(0,E291-E897-E1200-E1503-E1806)</f>
        <v>0</v>
      </c>
      <c r="G291" s="71" t="n">
        <f aca="false">MAX(0,F291-F897-F1200-F1503-F1806)</f>
        <v>0</v>
      </c>
      <c r="H291" s="71" t="n">
        <f aca="false">MAX(0,G291-G897-G1200-G1503-G1806)</f>
        <v>0</v>
      </c>
      <c r="I291" s="71" t="n">
        <f aca="false">MAX(0,H291-H897-H1200-H1503-H1806)</f>
        <v>0</v>
      </c>
      <c r="J291" s="71" t="n">
        <f aca="false">MAX(0,I291-I897-I1200-I1503-I1806)</f>
        <v>0</v>
      </c>
      <c r="K291" s="71" t="n">
        <f aca="false">MAX(0,J291-J897-J1200-J1503-J1806)</f>
        <v>0</v>
      </c>
      <c r="L291" s="71" t="n">
        <f aca="false">MAX(0,K291-K897-K1200-K1503-K1806)</f>
        <v>0</v>
      </c>
      <c r="M291" s="71" t="n">
        <f aca="false">MAX(0,L291-L897-L1200-L1503-L1806)</f>
        <v>0</v>
      </c>
    </row>
    <row r="292" customFormat="false" ht="15" hidden="false" customHeight="false" outlineLevel="0" collapsed="false">
      <c r="B292" s="102" t="n">
        <f aca="false">'Loan Tape'!$A288</f>
        <v>0</v>
      </c>
      <c r="C292" s="99" t="n">
        <f aca="false">IF('Loan Tape'!$AN288=0,0,'Loan Tape'!$R288)</f>
        <v>0</v>
      </c>
      <c r="D292" s="99" t="n">
        <f aca="false">MAX(0,C292-C898-C1201-C1504-C1807)</f>
        <v>0</v>
      </c>
      <c r="E292" s="99" t="n">
        <f aca="false">MAX(0,D292-D898-D1201-D1504-D1807)</f>
        <v>0</v>
      </c>
      <c r="F292" s="99" t="n">
        <f aca="false">MAX(0,E292-E898-E1201-E1504-E1807)</f>
        <v>0</v>
      </c>
      <c r="G292" s="99" t="n">
        <f aca="false">MAX(0,F292-F898-F1201-F1504-F1807)</f>
        <v>0</v>
      </c>
      <c r="H292" s="99" t="n">
        <f aca="false">MAX(0,G292-G898-G1201-G1504-G1807)</f>
        <v>0</v>
      </c>
      <c r="I292" s="99" t="n">
        <f aca="false">MAX(0,H292-H898-H1201-H1504-H1807)</f>
        <v>0</v>
      </c>
      <c r="J292" s="99" t="n">
        <f aca="false">MAX(0,I292-I898-I1201-I1504-I1807)</f>
        <v>0</v>
      </c>
      <c r="K292" s="99" t="n">
        <f aca="false">MAX(0,J292-J898-J1201-J1504-J1807)</f>
        <v>0</v>
      </c>
      <c r="L292" s="99" t="n">
        <f aca="false">MAX(0,K292-K898-K1201-K1504-K1807)</f>
        <v>0</v>
      </c>
      <c r="M292" s="99" t="n">
        <f aca="false">MAX(0,L292-L898-L1201-L1504-L1807)</f>
        <v>0</v>
      </c>
    </row>
    <row r="293" customFormat="false" ht="15" hidden="false" customHeight="false" outlineLevel="0" collapsed="false">
      <c r="B293" s="108" t="n">
        <f aca="false">'Loan Tape'!$A289</f>
        <v>0</v>
      </c>
      <c r="C293" s="71" t="n">
        <f aca="false">IF('Loan Tape'!$AN289=0,0,'Loan Tape'!$R289)</f>
        <v>0</v>
      </c>
      <c r="D293" s="71" t="n">
        <f aca="false">MAX(0,C293-C899-C1202-C1505-C1808)</f>
        <v>0</v>
      </c>
      <c r="E293" s="71" t="n">
        <f aca="false">MAX(0,D293-D899-D1202-D1505-D1808)</f>
        <v>0</v>
      </c>
      <c r="F293" s="71" t="n">
        <f aca="false">MAX(0,E293-E899-E1202-E1505-E1808)</f>
        <v>0</v>
      </c>
      <c r="G293" s="71" t="n">
        <f aca="false">MAX(0,F293-F899-F1202-F1505-F1808)</f>
        <v>0</v>
      </c>
      <c r="H293" s="71" t="n">
        <f aca="false">MAX(0,G293-G899-G1202-G1505-G1808)</f>
        <v>0</v>
      </c>
      <c r="I293" s="71" t="n">
        <f aca="false">MAX(0,H293-H899-H1202-H1505-H1808)</f>
        <v>0</v>
      </c>
      <c r="J293" s="71" t="n">
        <f aca="false">MAX(0,I293-I899-I1202-I1505-I1808)</f>
        <v>0</v>
      </c>
      <c r="K293" s="71" t="n">
        <f aca="false">MAX(0,J293-J899-J1202-J1505-J1808)</f>
        <v>0</v>
      </c>
      <c r="L293" s="71" t="n">
        <f aca="false">MAX(0,K293-K899-K1202-K1505-K1808)</f>
        <v>0</v>
      </c>
      <c r="M293" s="71" t="n">
        <f aca="false">MAX(0,L293-L899-L1202-L1505-L1808)</f>
        <v>0</v>
      </c>
    </row>
    <row r="294" customFormat="false" ht="15" hidden="false" customHeight="false" outlineLevel="0" collapsed="false">
      <c r="B294" s="102" t="n">
        <f aca="false">'Loan Tape'!$A290</f>
        <v>0</v>
      </c>
      <c r="C294" s="99" t="n">
        <f aca="false">IF('Loan Tape'!$AN290=0,0,'Loan Tape'!$R290)</f>
        <v>0</v>
      </c>
      <c r="D294" s="99" t="n">
        <f aca="false">MAX(0,C294-C900-C1203-C1506-C1809)</f>
        <v>0</v>
      </c>
      <c r="E294" s="99" t="n">
        <f aca="false">MAX(0,D294-D900-D1203-D1506-D1809)</f>
        <v>0</v>
      </c>
      <c r="F294" s="99" t="n">
        <f aca="false">MAX(0,E294-E900-E1203-E1506-E1809)</f>
        <v>0</v>
      </c>
      <c r="G294" s="99" t="n">
        <f aca="false">MAX(0,F294-F900-F1203-F1506-F1809)</f>
        <v>0</v>
      </c>
      <c r="H294" s="99" t="n">
        <f aca="false">MAX(0,G294-G900-G1203-G1506-G1809)</f>
        <v>0</v>
      </c>
      <c r="I294" s="99" t="n">
        <f aca="false">MAX(0,H294-H900-H1203-H1506-H1809)</f>
        <v>0</v>
      </c>
      <c r="J294" s="99" t="n">
        <f aca="false">MAX(0,I294-I900-I1203-I1506-I1809)</f>
        <v>0</v>
      </c>
      <c r="K294" s="99" t="n">
        <f aca="false">MAX(0,J294-J900-J1203-J1506-J1809)</f>
        <v>0</v>
      </c>
      <c r="L294" s="99" t="n">
        <f aca="false">MAX(0,K294-K900-K1203-K1506-K1809)</f>
        <v>0</v>
      </c>
      <c r="M294" s="99" t="n">
        <f aca="false">MAX(0,L294-L900-L1203-L1506-L1809)</f>
        <v>0</v>
      </c>
    </row>
    <row r="295" customFormat="false" ht="15" hidden="false" customHeight="false" outlineLevel="0" collapsed="false">
      <c r="B295" s="108" t="n">
        <f aca="false">'Loan Tape'!$A291</f>
        <v>0</v>
      </c>
      <c r="C295" s="71" t="n">
        <f aca="false">IF('Loan Tape'!$AN291=0,0,'Loan Tape'!$R291)</f>
        <v>0</v>
      </c>
      <c r="D295" s="71" t="n">
        <f aca="false">MAX(0,C295-C901-C1204-C1507-C1810)</f>
        <v>0</v>
      </c>
      <c r="E295" s="71" t="n">
        <f aca="false">MAX(0,D295-D901-D1204-D1507-D1810)</f>
        <v>0</v>
      </c>
      <c r="F295" s="71" t="n">
        <f aca="false">MAX(0,E295-E901-E1204-E1507-E1810)</f>
        <v>0</v>
      </c>
      <c r="G295" s="71" t="n">
        <f aca="false">MAX(0,F295-F901-F1204-F1507-F1810)</f>
        <v>0</v>
      </c>
      <c r="H295" s="71" t="n">
        <f aca="false">MAX(0,G295-G901-G1204-G1507-G1810)</f>
        <v>0</v>
      </c>
      <c r="I295" s="71" t="n">
        <f aca="false">MAX(0,H295-H901-H1204-H1507-H1810)</f>
        <v>0</v>
      </c>
      <c r="J295" s="71" t="n">
        <f aca="false">MAX(0,I295-I901-I1204-I1507-I1810)</f>
        <v>0</v>
      </c>
      <c r="K295" s="71" t="n">
        <f aca="false">MAX(0,J295-J901-J1204-J1507-J1810)</f>
        <v>0</v>
      </c>
      <c r="L295" s="71" t="n">
        <f aca="false">MAX(0,K295-K901-K1204-K1507-K1810)</f>
        <v>0</v>
      </c>
      <c r="M295" s="71" t="n">
        <f aca="false">MAX(0,L295-L901-L1204-L1507-L1810)</f>
        <v>0</v>
      </c>
    </row>
    <row r="296" customFormat="false" ht="15" hidden="false" customHeight="false" outlineLevel="0" collapsed="false">
      <c r="B296" s="102" t="n">
        <f aca="false">'Loan Tape'!$A292</f>
        <v>0</v>
      </c>
      <c r="C296" s="99" t="n">
        <f aca="false">IF('Loan Tape'!$AN292=0,0,'Loan Tape'!$R292)</f>
        <v>0</v>
      </c>
      <c r="D296" s="99" t="n">
        <f aca="false">MAX(0,C296-C902-C1205-C1508-C1811)</f>
        <v>0</v>
      </c>
      <c r="E296" s="99" t="n">
        <f aca="false">MAX(0,D296-D902-D1205-D1508-D1811)</f>
        <v>0</v>
      </c>
      <c r="F296" s="99" t="n">
        <f aca="false">MAX(0,E296-E902-E1205-E1508-E1811)</f>
        <v>0</v>
      </c>
      <c r="G296" s="99" t="n">
        <f aca="false">MAX(0,F296-F902-F1205-F1508-F1811)</f>
        <v>0</v>
      </c>
      <c r="H296" s="99" t="n">
        <f aca="false">MAX(0,G296-G902-G1205-G1508-G1811)</f>
        <v>0</v>
      </c>
      <c r="I296" s="99" t="n">
        <f aca="false">MAX(0,H296-H902-H1205-H1508-H1811)</f>
        <v>0</v>
      </c>
      <c r="J296" s="99" t="n">
        <f aca="false">MAX(0,I296-I902-I1205-I1508-I1811)</f>
        <v>0</v>
      </c>
      <c r="K296" s="99" t="n">
        <f aca="false">MAX(0,J296-J902-J1205-J1508-J1811)</f>
        <v>0</v>
      </c>
      <c r="L296" s="99" t="n">
        <f aca="false">MAX(0,K296-K902-K1205-K1508-K1811)</f>
        <v>0</v>
      </c>
      <c r="M296" s="99" t="n">
        <f aca="false">MAX(0,L296-L902-L1205-L1508-L1811)</f>
        <v>0</v>
      </c>
    </row>
    <row r="297" customFormat="false" ht="15" hidden="false" customHeight="false" outlineLevel="0" collapsed="false">
      <c r="B297" s="108" t="n">
        <f aca="false">'Loan Tape'!$A293</f>
        <v>0</v>
      </c>
      <c r="C297" s="71" t="n">
        <f aca="false">IF('Loan Tape'!$AN293=0,0,'Loan Tape'!$R293)</f>
        <v>0</v>
      </c>
      <c r="D297" s="71" t="n">
        <f aca="false">MAX(0,C297-C903-C1206-C1509-C1812)</f>
        <v>0</v>
      </c>
      <c r="E297" s="71" t="n">
        <f aca="false">MAX(0,D297-D903-D1206-D1509-D1812)</f>
        <v>0</v>
      </c>
      <c r="F297" s="71" t="n">
        <f aca="false">MAX(0,E297-E903-E1206-E1509-E1812)</f>
        <v>0</v>
      </c>
      <c r="G297" s="71" t="n">
        <f aca="false">MAX(0,F297-F903-F1206-F1509-F1812)</f>
        <v>0</v>
      </c>
      <c r="H297" s="71" t="n">
        <f aca="false">MAX(0,G297-G903-G1206-G1509-G1812)</f>
        <v>0</v>
      </c>
      <c r="I297" s="71" t="n">
        <f aca="false">MAX(0,H297-H903-H1206-H1509-H1812)</f>
        <v>0</v>
      </c>
      <c r="J297" s="71" t="n">
        <f aca="false">MAX(0,I297-I903-I1206-I1509-I1812)</f>
        <v>0</v>
      </c>
      <c r="K297" s="71" t="n">
        <f aca="false">MAX(0,J297-J903-J1206-J1509-J1812)</f>
        <v>0</v>
      </c>
      <c r="L297" s="71" t="n">
        <f aca="false">MAX(0,K297-K903-K1206-K1509-K1812)</f>
        <v>0</v>
      </c>
      <c r="M297" s="71" t="n">
        <f aca="false">MAX(0,L297-L903-L1206-L1509-L1812)</f>
        <v>0</v>
      </c>
    </row>
    <row r="298" customFormat="false" ht="15" hidden="false" customHeight="false" outlineLevel="0" collapsed="false">
      <c r="B298" s="102" t="n">
        <f aca="false">'Loan Tape'!$A294</f>
        <v>0</v>
      </c>
      <c r="C298" s="99" t="n">
        <f aca="false">IF('Loan Tape'!$AN294=0,0,'Loan Tape'!$R294)</f>
        <v>0</v>
      </c>
      <c r="D298" s="99" t="n">
        <f aca="false">MAX(0,C298-C904-C1207-C1510-C1813)</f>
        <v>0</v>
      </c>
      <c r="E298" s="99" t="n">
        <f aca="false">MAX(0,D298-D904-D1207-D1510-D1813)</f>
        <v>0</v>
      </c>
      <c r="F298" s="99" t="n">
        <f aca="false">MAX(0,E298-E904-E1207-E1510-E1813)</f>
        <v>0</v>
      </c>
      <c r="G298" s="99" t="n">
        <f aca="false">MAX(0,F298-F904-F1207-F1510-F1813)</f>
        <v>0</v>
      </c>
      <c r="H298" s="99" t="n">
        <f aca="false">MAX(0,G298-G904-G1207-G1510-G1813)</f>
        <v>0</v>
      </c>
      <c r="I298" s="99" t="n">
        <f aca="false">MAX(0,H298-H904-H1207-H1510-H1813)</f>
        <v>0</v>
      </c>
      <c r="J298" s="99" t="n">
        <f aca="false">MAX(0,I298-I904-I1207-I1510-I1813)</f>
        <v>0</v>
      </c>
      <c r="K298" s="99" t="n">
        <f aca="false">MAX(0,J298-J904-J1207-J1510-J1813)</f>
        <v>0</v>
      </c>
      <c r="L298" s="99" t="n">
        <f aca="false">MAX(0,K298-K904-K1207-K1510-K1813)</f>
        <v>0</v>
      </c>
      <c r="M298" s="99" t="n">
        <f aca="false">MAX(0,L298-L904-L1207-L1510-L1813)</f>
        <v>0</v>
      </c>
    </row>
    <row r="299" customFormat="false" ht="15" hidden="false" customHeight="false" outlineLevel="0" collapsed="false">
      <c r="B299" s="108" t="n">
        <f aca="false">'Loan Tape'!$A295</f>
        <v>0</v>
      </c>
      <c r="C299" s="71" t="n">
        <f aca="false">IF('Loan Tape'!$AN295=0,0,'Loan Tape'!$R295)</f>
        <v>0</v>
      </c>
      <c r="D299" s="71" t="n">
        <f aca="false">MAX(0,C299-C905-C1208-C1511-C1814)</f>
        <v>0</v>
      </c>
      <c r="E299" s="71" t="n">
        <f aca="false">MAX(0,D299-D905-D1208-D1511-D1814)</f>
        <v>0</v>
      </c>
      <c r="F299" s="71" t="n">
        <f aca="false">MAX(0,E299-E905-E1208-E1511-E1814)</f>
        <v>0</v>
      </c>
      <c r="G299" s="71" t="n">
        <f aca="false">MAX(0,F299-F905-F1208-F1511-F1814)</f>
        <v>0</v>
      </c>
      <c r="H299" s="71" t="n">
        <f aca="false">MAX(0,G299-G905-G1208-G1511-G1814)</f>
        <v>0</v>
      </c>
      <c r="I299" s="71" t="n">
        <f aca="false">MAX(0,H299-H905-H1208-H1511-H1814)</f>
        <v>0</v>
      </c>
      <c r="J299" s="71" t="n">
        <f aca="false">MAX(0,I299-I905-I1208-I1511-I1814)</f>
        <v>0</v>
      </c>
      <c r="K299" s="71" t="n">
        <f aca="false">MAX(0,J299-J905-J1208-J1511-J1814)</f>
        <v>0</v>
      </c>
      <c r="L299" s="71" t="n">
        <f aca="false">MAX(0,K299-K905-K1208-K1511-K1814)</f>
        <v>0</v>
      </c>
      <c r="M299" s="71" t="n">
        <f aca="false">MAX(0,L299-L905-L1208-L1511-L1814)</f>
        <v>0</v>
      </c>
    </row>
    <row r="300" customFormat="false" ht="15" hidden="false" customHeight="false" outlineLevel="0" collapsed="false">
      <c r="B300" s="102" t="n">
        <f aca="false">'Loan Tape'!$A296</f>
        <v>0</v>
      </c>
      <c r="C300" s="99" t="n">
        <f aca="false">IF('Loan Tape'!$AN296=0,0,'Loan Tape'!$R296)</f>
        <v>0</v>
      </c>
      <c r="D300" s="99" t="n">
        <f aca="false">MAX(0,C300-C906-C1209-C1512-C1815)</f>
        <v>0</v>
      </c>
      <c r="E300" s="99" t="n">
        <f aca="false">MAX(0,D300-D906-D1209-D1512-D1815)</f>
        <v>0</v>
      </c>
      <c r="F300" s="99" t="n">
        <f aca="false">MAX(0,E300-E906-E1209-E1512-E1815)</f>
        <v>0</v>
      </c>
      <c r="G300" s="99" t="n">
        <f aca="false">MAX(0,F300-F906-F1209-F1512-F1815)</f>
        <v>0</v>
      </c>
      <c r="H300" s="99" t="n">
        <f aca="false">MAX(0,G300-G906-G1209-G1512-G1815)</f>
        <v>0</v>
      </c>
      <c r="I300" s="99" t="n">
        <f aca="false">MAX(0,H300-H906-H1209-H1512-H1815)</f>
        <v>0</v>
      </c>
      <c r="J300" s="99" t="n">
        <f aca="false">MAX(0,I300-I906-I1209-I1512-I1815)</f>
        <v>0</v>
      </c>
      <c r="K300" s="99" t="n">
        <f aca="false">MAX(0,J300-J906-J1209-J1512-J1815)</f>
        <v>0</v>
      </c>
      <c r="L300" s="99" t="n">
        <f aca="false">MAX(0,K300-K906-K1209-K1512-K1815)</f>
        <v>0</v>
      </c>
      <c r="M300" s="99" t="n">
        <f aca="false">MAX(0,L300-L906-L1209-L1512-L1815)</f>
        <v>0</v>
      </c>
    </row>
    <row r="301" customFormat="false" ht="15" hidden="false" customHeight="false" outlineLevel="0" collapsed="false">
      <c r="B301" s="108" t="n">
        <f aca="false">'Loan Tape'!$A297</f>
        <v>0</v>
      </c>
      <c r="C301" s="71" t="n">
        <f aca="false">IF('Loan Tape'!$AN297=0,0,'Loan Tape'!$R297)</f>
        <v>0</v>
      </c>
      <c r="D301" s="71" t="n">
        <f aca="false">MAX(0,C301-C907-C1210-C1513-C1816)</f>
        <v>0</v>
      </c>
      <c r="E301" s="71" t="n">
        <f aca="false">MAX(0,D301-D907-D1210-D1513-D1816)</f>
        <v>0</v>
      </c>
      <c r="F301" s="71" t="n">
        <f aca="false">MAX(0,E301-E907-E1210-E1513-E1816)</f>
        <v>0</v>
      </c>
      <c r="G301" s="71" t="n">
        <f aca="false">MAX(0,F301-F907-F1210-F1513-F1816)</f>
        <v>0</v>
      </c>
      <c r="H301" s="71" t="n">
        <f aca="false">MAX(0,G301-G907-G1210-G1513-G1816)</f>
        <v>0</v>
      </c>
      <c r="I301" s="71" t="n">
        <f aca="false">MAX(0,H301-H907-H1210-H1513-H1816)</f>
        <v>0</v>
      </c>
      <c r="J301" s="71" t="n">
        <f aca="false">MAX(0,I301-I907-I1210-I1513-I1816)</f>
        <v>0</v>
      </c>
      <c r="K301" s="71" t="n">
        <f aca="false">MAX(0,J301-J907-J1210-J1513-J1816)</f>
        <v>0</v>
      </c>
      <c r="L301" s="71" t="n">
        <f aca="false">MAX(0,K301-K907-K1210-K1513-K1816)</f>
        <v>0</v>
      </c>
      <c r="M301" s="71" t="n">
        <f aca="false">MAX(0,L301-L907-L1210-L1513-L1816)</f>
        <v>0</v>
      </c>
    </row>
    <row r="302" customFormat="false" ht="15" hidden="false" customHeight="false" outlineLevel="0" collapsed="false">
      <c r="B302" s="102" t="n">
        <f aca="false">'Loan Tape'!$A298</f>
        <v>0</v>
      </c>
      <c r="C302" s="99" t="n">
        <f aca="false">IF('Loan Tape'!$AN298=0,0,'Loan Tape'!$R298)</f>
        <v>0</v>
      </c>
      <c r="D302" s="99" t="n">
        <f aca="false">MAX(0,C302-C908-C1211-C1514-C1817)</f>
        <v>0</v>
      </c>
      <c r="E302" s="99" t="n">
        <f aca="false">MAX(0,D302-D908-D1211-D1514-D1817)</f>
        <v>0</v>
      </c>
      <c r="F302" s="99" t="n">
        <f aca="false">MAX(0,E302-E908-E1211-E1514-E1817)</f>
        <v>0</v>
      </c>
      <c r="G302" s="99" t="n">
        <f aca="false">MAX(0,F302-F908-F1211-F1514-F1817)</f>
        <v>0</v>
      </c>
      <c r="H302" s="99" t="n">
        <f aca="false">MAX(0,G302-G908-G1211-G1514-G1817)</f>
        <v>0</v>
      </c>
      <c r="I302" s="99" t="n">
        <f aca="false">MAX(0,H302-H908-H1211-H1514-H1817)</f>
        <v>0</v>
      </c>
      <c r="J302" s="99" t="n">
        <f aca="false">MAX(0,I302-I908-I1211-I1514-I1817)</f>
        <v>0</v>
      </c>
      <c r="K302" s="99" t="n">
        <f aca="false">MAX(0,J302-J908-J1211-J1514-J1817)</f>
        <v>0</v>
      </c>
      <c r="L302" s="99" t="n">
        <f aca="false">MAX(0,K302-K908-K1211-K1514-K1817)</f>
        <v>0</v>
      </c>
      <c r="M302" s="99" t="n">
        <f aca="false">MAX(0,L302-L908-L1211-L1514-L1817)</f>
        <v>0</v>
      </c>
    </row>
    <row r="303" customFormat="false" ht="15" hidden="false" customHeight="false" outlineLevel="0" collapsed="false">
      <c r="B303" s="108" t="n">
        <f aca="false">'Loan Tape'!$A299</f>
        <v>0</v>
      </c>
      <c r="C303" s="71" t="n">
        <f aca="false">IF('Loan Tape'!$AN299=0,0,'Loan Tape'!$R299)</f>
        <v>0</v>
      </c>
      <c r="D303" s="71" t="n">
        <f aca="false">MAX(0,C303-C909-C1212-C1515-C1818)</f>
        <v>0</v>
      </c>
      <c r="E303" s="71" t="n">
        <f aca="false">MAX(0,D303-D909-D1212-D1515-D1818)</f>
        <v>0</v>
      </c>
      <c r="F303" s="71" t="n">
        <f aca="false">MAX(0,E303-E909-E1212-E1515-E1818)</f>
        <v>0</v>
      </c>
      <c r="G303" s="71" t="n">
        <f aca="false">MAX(0,F303-F909-F1212-F1515-F1818)</f>
        <v>0</v>
      </c>
      <c r="H303" s="71" t="n">
        <f aca="false">MAX(0,G303-G909-G1212-G1515-G1818)</f>
        <v>0</v>
      </c>
      <c r="I303" s="71" t="n">
        <f aca="false">MAX(0,H303-H909-H1212-H1515-H1818)</f>
        <v>0</v>
      </c>
      <c r="J303" s="71" t="n">
        <f aca="false">MAX(0,I303-I909-I1212-I1515-I1818)</f>
        <v>0</v>
      </c>
      <c r="K303" s="71" t="n">
        <f aca="false">MAX(0,J303-J909-J1212-J1515-J1818)</f>
        <v>0</v>
      </c>
      <c r="L303" s="71" t="n">
        <f aca="false">MAX(0,K303-K909-K1212-K1515-K1818)</f>
        <v>0</v>
      </c>
      <c r="M303" s="71" t="n">
        <f aca="false">MAX(0,L303-L909-L1212-L1515-L1818)</f>
        <v>0</v>
      </c>
    </row>
    <row r="304" customFormat="false" ht="15" hidden="false" customHeight="false" outlineLevel="0" collapsed="false">
      <c r="B304" s="102" t="n">
        <f aca="false">'Loan Tape'!$A300</f>
        <v>0</v>
      </c>
      <c r="C304" s="99" t="n">
        <f aca="false">IF('Loan Tape'!$AN300=0,0,'Loan Tape'!$R300)</f>
        <v>0</v>
      </c>
      <c r="D304" s="99" t="n">
        <f aca="false">MAX(0,C304-C910-C1213-C1516-C1819)</f>
        <v>0</v>
      </c>
      <c r="E304" s="99" t="n">
        <f aca="false">MAX(0,D304-D910-D1213-D1516-D1819)</f>
        <v>0</v>
      </c>
      <c r="F304" s="99" t="n">
        <f aca="false">MAX(0,E304-E910-E1213-E1516-E1819)</f>
        <v>0</v>
      </c>
      <c r="G304" s="99" t="n">
        <f aca="false">MAX(0,F304-F910-F1213-F1516-F1819)</f>
        <v>0</v>
      </c>
      <c r="H304" s="99" t="n">
        <f aca="false">MAX(0,G304-G910-G1213-G1516-G1819)</f>
        <v>0</v>
      </c>
      <c r="I304" s="99" t="n">
        <f aca="false">MAX(0,H304-H910-H1213-H1516-H1819)</f>
        <v>0</v>
      </c>
      <c r="J304" s="99" t="n">
        <f aca="false">MAX(0,I304-I910-I1213-I1516-I1819)</f>
        <v>0</v>
      </c>
      <c r="K304" s="99" t="n">
        <f aca="false">MAX(0,J304-J910-J1213-J1516-J1819)</f>
        <v>0</v>
      </c>
      <c r="L304" s="99" t="n">
        <f aca="false">MAX(0,K304-K910-K1213-K1516-K1819)</f>
        <v>0</v>
      </c>
      <c r="M304" s="99" t="n">
        <f aca="false">MAX(0,L304-L910-L1213-L1516-L1819)</f>
        <v>0</v>
      </c>
    </row>
    <row r="305" customFormat="false" ht="15" hidden="false" customHeight="false" outlineLevel="0" collapsed="false">
      <c r="B305" s="108" t="n">
        <f aca="false">'Loan Tape'!$A301</f>
        <v>0</v>
      </c>
      <c r="C305" s="71" t="n">
        <f aca="false">IF('Loan Tape'!$AN301=0,0,'Loan Tape'!$R301)</f>
        <v>0</v>
      </c>
      <c r="D305" s="71" t="n">
        <f aca="false">MAX(0,C305-C911-C1214-C1517-C1820)</f>
        <v>0</v>
      </c>
      <c r="E305" s="71" t="n">
        <f aca="false">MAX(0,D305-D911-D1214-D1517-D1820)</f>
        <v>0</v>
      </c>
      <c r="F305" s="71" t="n">
        <f aca="false">MAX(0,E305-E911-E1214-E1517-E1820)</f>
        <v>0</v>
      </c>
      <c r="G305" s="71" t="n">
        <f aca="false">MAX(0,F305-F911-F1214-F1517-F1820)</f>
        <v>0</v>
      </c>
      <c r="H305" s="71" t="n">
        <f aca="false">MAX(0,G305-G911-G1214-G1517-G1820)</f>
        <v>0</v>
      </c>
      <c r="I305" s="71" t="n">
        <f aca="false">MAX(0,H305-H911-H1214-H1517-H1820)</f>
        <v>0</v>
      </c>
      <c r="J305" s="71" t="n">
        <f aca="false">MAX(0,I305-I911-I1214-I1517-I1820)</f>
        <v>0</v>
      </c>
      <c r="K305" s="71" t="n">
        <f aca="false">MAX(0,J305-J911-J1214-J1517-J1820)</f>
        <v>0</v>
      </c>
      <c r="L305" s="71" t="n">
        <f aca="false">MAX(0,K305-K911-K1214-K1517-K1820)</f>
        <v>0</v>
      </c>
      <c r="M305" s="71" t="n">
        <f aca="false">MAX(0,L305-L911-L1214-L1517-L1820)</f>
        <v>0</v>
      </c>
    </row>
    <row r="306" customFormat="false" ht="15" hidden="false" customHeight="false" outlineLevel="0" collapsed="false">
      <c r="B306" s="102" t="n">
        <f aca="false">'Loan Tape'!$A302</f>
        <v>0</v>
      </c>
      <c r="C306" s="99" t="n">
        <f aca="false">IF('Loan Tape'!$AN302=0,0,'Loan Tape'!$R302)</f>
        <v>0</v>
      </c>
      <c r="D306" s="99" t="n">
        <f aca="false">MAX(0,C306-C912-C1215-C1518-C1821)</f>
        <v>0</v>
      </c>
      <c r="E306" s="99" t="n">
        <f aca="false">MAX(0,D306-D912-D1215-D1518-D1821)</f>
        <v>0</v>
      </c>
      <c r="F306" s="99" t="n">
        <f aca="false">MAX(0,E306-E912-E1215-E1518-E1821)</f>
        <v>0</v>
      </c>
      <c r="G306" s="99" t="n">
        <f aca="false">MAX(0,F306-F912-F1215-F1518-F1821)</f>
        <v>0</v>
      </c>
      <c r="H306" s="99" t="n">
        <f aca="false">MAX(0,G306-G912-G1215-G1518-G1821)</f>
        <v>0</v>
      </c>
      <c r="I306" s="99" t="n">
        <f aca="false">MAX(0,H306-H912-H1215-H1518-H1821)</f>
        <v>0</v>
      </c>
      <c r="J306" s="99" t="n">
        <f aca="false">MAX(0,I306-I912-I1215-I1518-I1821)</f>
        <v>0</v>
      </c>
      <c r="K306" s="99" t="n">
        <f aca="false">MAX(0,J306-J912-J1215-J1518-J1821)</f>
        <v>0</v>
      </c>
      <c r="L306" s="99" t="n">
        <f aca="false">MAX(0,K306-K912-K1215-K1518-K1821)</f>
        <v>0</v>
      </c>
      <c r="M306" s="99" t="n">
        <f aca="false">MAX(0,L306-L912-L1215-L1518-L1821)</f>
        <v>0</v>
      </c>
    </row>
    <row r="307" customFormat="false" ht="15" hidden="false" customHeight="false" outlineLevel="0" collapsed="false">
      <c r="B307" s="108" t="n">
        <f aca="false">'Loan Tape'!$A303</f>
        <v>0</v>
      </c>
      <c r="C307" s="71" t="n">
        <f aca="false">IF('Loan Tape'!$AN303=0,0,'Loan Tape'!$R303)</f>
        <v>0</v>
      </c>
      <c r="D307" s="71" t="n">
        <f aca="false">MAX(0,C307-C913-C1216-C1519-C1822)</f>
        <v>0</v>
      </c>
      <c r="E307" s="71" t="n">
        <f aca="false">MAX(0,D307-D913-D1216-D1519-D1822)</f>
        <v>0</v>
      </c>
      <c r="F307" s="71" t="n">
        <f aca="false">MAX(0,E307-E913-E1216-E1519-E1822)</f>
        <v>0</v>
      </c>
      <c r="G307" s="71" t="n">
        <f aca="false">MAX(0,F307-F913-F1216-F1519-F1822)</f>
        <v>0</v>
      </c>
      <c r="H307" s="71" t="n">
        <f aca="false">MAX(0,G307-G913-G1216-G1519-G1822)</f>
        <v>0</v>
      </c>
      <c r="I307" s="71" t="n">
        <f aca="false">MAX(0,H307-H913-H1216-H1519-H1822)</f>
        <v>0</v>
      </c>
      <c r="J307" s="71" t="n">
        <f aca="false">MAX(0,I307-I913-I1216-I1519-I1822)</f>
        <v>0</v>
      </c>
      <c r="K307" s="71" t="n">
        <f aca="false">MAX(0,J307-J913-J1216-J1519-J1822)</f>
        <v>0</v>
      </c>
      <c r="L307" s="71" t="n">
        <f aca="false">MAX(0,K307-K913-K1216-K1519-K1822)</f>
        <v>0</v>
      </c>
      <c r="M307" s="71" t="n">
        <f aca="false">MAX(0,L307-L913-L1216-L1519-L1822)</f>
        <v>0</v>
      </c>
    </row>
    <row r="309" customFormat="false" ht="18" hidden="false" customHeight="true" outlineLevel="0" collapsed="false">
      <c r="B309" s="5" t="s">
        <v>579</v>
      </c>
      <c r="C309" s="5"/>
      <c r="D309" s="5"/>
      <c r="E309" s="5"/>
      <c r="F309" s="5"/>
      <c r="G309" s="5"/>
      <c r="H309" s="5"/>
      <c r="I309" s="5"/>
      <c r="J309" s="5"/>
      <c r="K309" s="5"/>
      <c r="L309" s="5"/>
      <c r="N309" s="30" t="s">
        <v>580</v>
      </c>
    </row>
    <row r="310" customFormat="false" ht="15.75" hidden="false" customHeight="true" outlineLevel="0" collapsed="false">
      <c r="B310" s="54" t="s">
        <v>148</v>
      </c>
      <c r="C310" s="55" t="n">
        <v>1</v>
      </c>
      <c r="D310" s="55" t="n">
        <v>2</v>
      </c>
      <c r="E310" s="55" t="n">
        <v>3</v>
      </c>
      <c r="F310" s="55" t="n">
        <v>4</v>
      </c>
      <c r="G310" s="55" t="n">
        <v>5</v>
      </c>
      <c r="H310" s="55" t="n">
        <v>6</v>
      </c>
      <c r="I310" s="55" t="n">
        <v>7</v>
      </c>
      <c r="J310" s="55" t="n">
        <v>8</v>
      </c>
      <c r="K310" s="55" t="n">
        <v>9</v>
      </c>
      <c r="L310" s="55" t="n">
        <v>10</v>
      </c>
    </row>
    <row r="311" customFormat="false" ht="15" hidden="false" customHeight="false" outlineLevel="0" collapsed="false">
      <c r="B311" s="102" t="str">
        <f aca="false">'Loan Tape'!$A4</f>
        <v>L-001</v>
      </c>
      <c r="C311" s="104" t="n">
        <f aca="false">IF('Loan Tape'!$AN4=0,0,IF('Loan Tape'!$K4="Floating",MIN(IF('Loan Tape'!$P4="",10,'Loan Tape'!$P4),MAX(IF('Loan Tape'!$Q4="",0,'Loan Tape'!$Q4),INDEX(Idx_Curve,1,1)+'Loan Tape'!$M4)),IF('Loan Tape'!$L4="",0,'Loan Tape'!$L4)))</f>
        <v>0.0823</v>
      </c>
      <c r="D311" s="104" t="n">
        <f aca="false">IF('Loan Tape'!$AN4=0,0,IF('Loan Tape'!$K4="Floating",MIN(IF('Loan Tape'!$P4="",10,'Loan Tape'!$P4),MAX(IF('Loan Tape'!$Q4="",0,'Loan Tape'!$Q4),INDEX(Idx_Curve,1,2)+'Loan Tape'!$M4)),IF('Loan Tape'!$L4="",0,'Loan Tape'!$L4)))</f>
        <v>0.0773</v>
      </c>
      <c r="E311" s="104" t="n">
        <f aca="false">IF('Loan Tape'!$AN4=0,0,IF('Loan Tape'!$K4="Floating",MIN(IF('Loan Tape'!$P4="",10,'Loan Tape'!$P4),MAX(IF('Loan Tape'!$Q4="",0,'Loan Tape'!$Q4),INDEX(Idx_Curve,1,3)+'Loan Tape'!$M4)),IF('Loan Tape'!$L4="",0,'Loan Tape'!$L4)))</f>
        <v>0.0733</v>
      </c>
      <c r="F311" s="104" t="n">
        <f aca="false">IF('Loan Tape'!$AN4=0,0,IF('Loan Tape'!$K4="Floating",MIN(IF('Loan Tape'!$P4="",10,'Loan Tape'!$P4),MAX(IF('Loan Tape'!$Q4="",0,'Loan Tape'!$Q4),INDEX(Idx_Curve,1,4)+'Loan Tape'!$M4)),IF('Loan Tape'!$L4="",0,'Loan Tape'!$L4)))</f>
        <v>0.0713</v>
      </c>
      <c r="G311" s="104" t="n">
        <f aca="false">IF('Loan Tape'!$AN4=0,0,IF('Loan Tape'!$K4="Floating",MIN(IF('Loan Tape'!$P4="",10,'Loan Tape'!$P4),MAX(IF('Loan Tape'!$Q4="",0,'Loan Tape'!$Q4),INDEX(Idx_Curve,1,5)+'Loan Tape'!$M4)),IF('Loan Tape'!$L4="",0,'Loan Tape'!$L4)))</f>
        <v>0.0703</v>
      </c>
      <c r="H311" s="104" t="n">
        <f aca="false">IF('Loan Tape'!$AN4=0,0,IF('Loan Tape'!$K4="Floating",MIN(IF('Loan Tape'!$P4="",10,'Loan Tape'!$P4),MAX(IF('Loan Tape'!$Q4="",0,'Loan Tape'!$Q4),INDEX(Idx_Curve,1,6)+'Loan Tape'!$M4)),IF('Loan Tape'!$L4="",0,'Loan Tape'!$L4)))</f>
        <v>0.0703</v>
      </c>
      <c r="I311" s="104" t="n">
        <f aca="false">IF('Loan Tape'!$AN4=0,0,IF('Loan Tape'!$K4="Floating",MIN(IF('Loan Tape'!$P4="",10,'Loan Tape'!$P4),MAX(IF('Loan Tape'!$Q4="",0,'Loan Tape'!$Q4),INDEX(Idx_Curve,1,7)+'Loan Tape'!$M4)),IF('Loan Tape'!$L4="",0,'Loan Tape'!$L4)))</f>
        <v>0.0703</v>
      </c>
      <c r="J311" s="104" t="n">
        <f aca="false">IF('Loan Tape'!$AN4=0,0,IF('Loan Tape'!$K4="Floating",MIN(IF('Loan Tape'!$P4="",10,'Loan Tape'!$P4),MAX(IF('Loan Tape'!$Q4="",0,'Loan Tape'!$Q4),INDEX(Idx_Curve,1,8)+'Loan Tape'!$M4)),IF('Loan Tape'!$L4="",0,'Loan Tape'!$L4)))</f>
        <v>0.0703</v>
      </c>
      <c r="K311" s="104" t="n">
        <f aca="false">IF('Loan Tape'!$AN4=0,0,IF('Loan Tape'!$K4="Floating",MIN(IF('Loan Tape'!$P4="",10,'Loan Tape'!$P4),MAX(IF('Loan Tape'!$Q4="",0,'Loan Tape'!$Q4),INDEX(Idx_Curve,1,9)+'Loan Tape'!$M4)),IF('Loan Tape'!$L4="",0,'Loan Tape'!$L4)))</f>
        <v>0.0703</v>
      </c>
      <c r="L311" s="104" t="n">
        <f aca="false">IF('Loan Tape'!$AN4=0,0,IF('Loan Tape'!$K4="Floating",MIN(IF('Loan Tape'!$P4="",10,'Loan Tape'!$P4),MAX(IF('Loan Tape'!$Q4="",0,'Loan Tape'!$Q4),INDEX(Idx_Curve,1,10)+'Loan Tape'!$M4)),IF('Loan Tape'!$L4="",0,'Loan Tape'!$L4)))</f>
        <v>0.0703</v>
      </c>
    </row>
    <row r="312" customFormat="false" ht="15" hidden="false" customHeight="false" outlineLevel="0" collapsed="false">
      <c r="B312" s="108" t="str">
        <f aca="false">'Loan Tape'!$A5</f>
        <v>L-002</v>
      </c>
      <c r="C312" s="56" t="n">
        <f aca="false">IF('Loan Tape'!$AN5=0,0,IF('Loan Tape'!$K5="Floating",MIN(IF('Loan Tape'!$P5="",10,'Loan Tape'!$P5),MAX(IF('Loan Tape'!$Q5="",0,'Loan Tape'!$Q5),INDEX(Idx_Curve,1,1)+'Loan Tape'!$M5)),IF('Loan Tape'!$L5="",0,'Loan Tape'!$L5)))</f>
        <v>0.0674</v>
      </c>
      <c r="D312" s="56" t="n">
        <f aca="false">IF('Loan Tape'!$AN5=0,0,IF('Loan Tape'!$K5="Floating",MIN(IF('Loan Tape'!$P5="",10,'Loan Tape'!$P5),MAX(IF('Loan Tape'!$Q5="",0,'Loan Tape'!$Q5),INDEX(Idx_Curve,1,2)+'Loan Tape'!$M5)),IF('Loan Tape'!$L5="",0,'Loan Tape'!$L5)))</f>
        <v>0.0624</v>
      </c>
      <c r="E312" s="56" t="n">
        <f aca="false">IF('Loan Tape'!$AN5=0,0,IF('Loan Tape'!$K5="Floating",MIN(IF('Loan Tape'!$P5="",10,'Loan Tape'!$P5),MAX(IF('Loan Tape'!$Q5="",0,'Loan Tape'!$Q5),INDEX(Idx_Curve,1,3)+'Loan Tape'!$M5)),IF('Loan Tape'!$L5="",0,'Loan Tape'!$L5)))</f>
        <v>0.0584</v>
      </c>
      <c r="F312" s="56" t="n">
        <f aca="false">IF('Loan Tape'!$AN5=0,0,IF('Loan Tape'!$K5="Floating",MIN(IF('Loan Tape'!$P5="",10,'Loan Tape'!$P5),MAX(IF('Loan Tape'!$Q5="",0,'Loan Tape'!$Q5),INDEX(Idx_Curve,1,4)+'Loan Tape'!$M5)),IF('Loan Tape'!$L5="",0,'Loan Tape'!$L5)))</f>
        <v>0.0564</v>
      </c>
      <c r="G312" s="56" t="n">
        <f aca="false">IF('Loan Tape'!$AN5=0,0,IF('Loan Tape'!$K5="Floating",MIN(IF('Loan Tape'!$P5="",10,'Loan Tape'!$P5),MAX(IF('Loan Tape'!$Q5="",0,'Loan Tape'!$Q5),INDEX(Idx_Curve,1,5)+'Loan Tape'!$M5)),IF('Loan Tape'!$L5="",0,'Loan Tape'!$L5)))</f>
        <v>0.0554</v>
      </c>
      <c r="H312" s="56" t="n">
        <f aca="false">IF('Loan Tape'!$AN5=0,0,IF('Loan Tape'!$K5="Floating",MIN(IF('Loan Tape'!$P5="",10,'Loan Tape'!$P5),MAX(IF('Loan Tape'!$Q5="",0,'Loan Tape'!$Q5),INDEX(Idx_Curve,1,6)+'Loan Tape'!$M5)),IF('Loan Tape'!$L5="",0,'Loan Tape'!$L5)))</f>
        <v>0.0554</v>
      </c>
      <c r="I312" s="56" t="n">
        <f aca="false">IF('Loan Tape'!$AN5=0,0,IF('Loan Tape'!$K5="Floating",MIN(IF('Loan Tape'!$P5="",10,'Loan Tape'!$P5),MAX(IF('Loan Tape'!$Q5="",0,'Loan Tape'!$Q5),INDEX(Idx_Curve,1,7)+'Loan Tape'!$M5)),IF('Loan Tape'!$L5="",0,'Loan Tape'!$L5)))</f>
        <v>0.0554</v>
      </c>
      <c r="J312" s="56" t="n">
        <f aca="false">IF('Loan Tape'!$AN5=0,0,IF('Loan Tape'!$K5="Floating",MIN(IF('Loan Tape'!$P5="",10,'Loan Tape'!$P5),MAX(IF('Loan Tape'!$Q5="",0,'Loan Tape'!$Q5),INDEX(Idx_Curve,1,8)+'Loan Tape'!$M5)),IF('Loan Tape'!$L5="",0,'Loan Tape'!$L5)))</f>
        <v>0.0554</v>
      </c>
      <c r="K312" s="56" t="n">
        <f aca="false">IF('Loan Tape'!$AN5=0,0,IF('Loan Tape'!$K5="Floating",MIN(IF('Loan Tape'!$P5="",10,'Loan Tape'!$P5),MAX(IF('Loan Tape'!$Q5="",0,'Loan Tape'!$Q5),INDEX(Idx_Curve,1,9)+'Loan Tape'!$M5)),IF('Loan Tape'!$L5="",0,'Loan Tape'!$L5)))</f>
        <v>0.0554</v>
      </c>
      <c r="L312" s="56" t="n">
        <f aca="false">IF('Loan Tape'!$AN5=0,0,IF('Loan Tape'!$K5="Floating",MIN(IF('Loan Tape'!$P5="",10,'Loan Tape'!$P5),MAX(IF('Loan Tape'!$Q5="",0,'Loan Tape'!$Q5),INDEX(Idx_Curve,1,10)+'Loan Tape'!$M5)),IF('Loan Tape'!$L5="",0,'Loan Tape'!$L5)))</f>
        <v>0.0554</v>
      </c>
    </row>
    <row r="313" customFormat="false" ht="15" hidden="false" customHeight="false" outlineLevel="0" collapsed="false">
      <c r="B313" s="102" t="str">
        <f aca="false">'Loan Tape'!$A6</f>
        <v>L-003</v>
      </c>
      <c r="C313" s="104" t="n">
        <f aca="false">IF('Loan Tape'!$AN6=0,0,IF('Loan Tape'!$K6="Floating",MIN(IF('Loan Tape'!$P6="",10,'Loan Tape'!$P6),MAX(IF('Loan Tape'!$Q6="",0,'Loan Tape'!$Q6),INDEX(Idx_Curve,1,1)+'Loan Tape'!$M6)),IF('Loan Tape'!$L6="",0,'Loan Tape'!$L6)))</f>
        <v>0.0834</v>
      </c>
      <c r="D313" s="104" t="n">
        <f aca="false">IF('Loan Tape'!$AN6=0,0,IF('Loan Tape'!$K6="Floating",MIN(IF('Loan Tape'!$P6="",10,'Loan Tape'!$P6),MAX(IF('Loan Tape'!$Q6="",0,'Loan Tape'!$Q6),INDEX(Idx_Curve,1,2)+'Loan Tape'!$M6)),IF('Loan Tape'!$L6="",0,'Loan Tape'!$L6)))</f>
        <v>0.0784</v>
      </c>
      <c r="E313" s="104" t="n">
        <f aca="false">IF('Loan Tape'!$AN6=0,0,IF('Loan Tape'!$K6="Floating",MIN(IF('Loan Tape'!$P6="",10,'Loan Tape'!$P6),MAX(IF('Loan Tape'!$Q6="",0,'Loan Tape'!$Q6),INDEX(Idx_Curve,1,3)+'Loan Tape'!$M6)),IF('Loan Tape'!$L6="",0,'Loan Tape'!$L6)))</f>
        <v>0.0744</v>
      </c>
      <c r="F313" s="104" t="n">
        <f aca="false">IF('Loan Tape'!$AN6=0,0,IF('Loan Tape'!$K6="Floating",MIN(IF('Loan Tape'!$P6="",10,'Loan Tape'!$P6),MAX(IF('Loan Tape'!$Q6="",0,'Loan Tape'!$Q6),INDEX(Idx_Curve,1,4)+'Loan Tape'!$M6)),IF('Loan Tape'!$L6="",0,'Loan Tape'!$L6)))</f>
        <v>0.0724</v>
      </c>
      <c r="G313" s="104" t="n">
        <f aca="false">IF('Loan Tape'!$AN6=0,0,IF('Loan Tape'!$K6="Floating",MIN(IF('Loan Tape'!$P6="",10,'Loan Tape'!$P6),MAX(IF('Loan Tape'!$Q6="",0,'Loan Tape'!$Q6),INDEX(Idx_Curve,1,5)+'Loan Tape'!$M6)),IF('Loan Tape'!$L6="",0,'Loan Tape'!$L6)))</f>
        <v>0.0714</v>
      </c>
      <c r="H313" s="104" t="n">
        <f aca="false">IF('Loan Tape'!$AN6=0,0,IF('Loan Tape'!$K6="Floating",MIN(IF('Loan Tape'!$P6="",10,'Loan Tape'!$P6),MAX(IF('Loan Tape'!$Q6="",0,'Loan Tape'!$Q6),INDEX(Idx_Curve,1,6)+'Loan Tape'!$M6)),IF('Loan Tape'!$L6="",0,'Loan Tape'!$L6)))</f>
        <v>0.0714</v>
      </c>
      <c r="I313" s="104" t="n">
        <f aca="false">IF('Loan Tape'!$AN6=0,0,IF('Loan Tape'!$K6="Floating",MIN(IF('Loan Tape'!$P6="",10,'Loan Tape'!$P6),MAX(IF('Loan Tape'!$Q6="",0,'Loan Tape'!$Q6),INDEX(Idx_Curve,1,7)+'Loan Tape'!$M6)),IF('Loan Tape'!$L6="",0,'Loan Tape'!$L6)))</f>
        <v>0.0714</v>
      </c>
      <c r="J313" s="104" t="n">
        <f aca="false">IF('Loan Tape'!$AN6=0,0,IF('Loan Tape'!$K6="Floating",MIN(IF('Loan Tape'!$P6="",10,'Loan Tape'!$P6),MAX(IF('Loan Tape'!$Q6="",0,'Loan Tape'!$Q6),INDEX(Idx_Curve,1,8)+'Loan Tape'!$M6)),IF('Loan Tape'!$L6="",0,'Loan Tape'!$L6)))</f>
        <v>0.0714</v>
      </c>
      <c r="K313" s="104" t="n">
        <f aca="false">IF('Loan Tape'!$AN6=0,0,IF('Loan Tape'!$K6="Floating",MIN(IF('Loan Tape'!$P6="",10,'Loan Tape'!$P6),MAX(IF('Loan Tape'!$Q6="",0,'Loan Tape'!$Q6),INDEX(Idx_Curve,1,9)+'Loan Tape'!$M6)),IF('Loan Tape'!$L6="",0,'Loan Tape'!$L6)))</f>
        <v>0.0714</v>
      </c>
      <c r="L313" s="104" t="n">
        <f aca="false">IF('Loan Tape'!$AN6=0,0,IF('Loan Tape'!$K6="Floating",MIN(IF('Loan Tape'!$P6="",10,'Loan Tape'!$P6),MAX(IF('Loan Tape'!$Q6="",0,'Loan Tape'!$Q6),INDEX(Idx_Curve,1,10)+'Loan Tape'!$M6)),IF('Loan Tape'!$L6="",0,'Loan Tape'!$L6)))</f>
        <v>0.0714</v>
      </c>
    </row>
    <row r="314" customFormat="false" ht="15" hidden="false" customHeight="false" outlineLevel="0" collapsed="false">
      <c r="B314" s="108" t="str">
        <f aca="false">'Loan Tape'!$A7</f>
        <v>L-004</v>
      </c>
      <c r="C314" s="56" t="n">
        <f aca="false">IF('Loan Tape'!$AN7=0,0,IF('Loan Tape'!$K7="Floating",MIN(IF('Loan Tape'!$P7="",10,'Loan Tape'!$P7),MAX(IF('Loan Tape'!$Q7="",0,'Loan Tape'!$Q7),INDEX(Idx_Curve,1,1)+'Loan Tape'!$M7)),IF('Loan Tape'!$L7="",0,'Loan Tape'!$L7)))</f>
        <v>0.0635</v>
      </c>
      <c r="D314" s="56" t="n">
        <f aca="false">IF('Loan Tape'!$AN7=0,0,IF('Loan Tape'!$K7="Floating",MIN(IF('Loan Tape'!$P7="",10,'Loan Tape'!$P7),MAX(IF('Loan Tape'!$Q7="",0,'Loan Tape'!$Q7),INDEX(Idx_Curve,1,2)+'Loan Tape'!$M7)),IF('Loan Tape'!$L7="",0,'Loan Tape'!$L7)))</f>
        <v>0.0585</v>
      </c>
      <c r="E314" s="56" t="n">
        <f aca="false">IF('Loan Tape'!$AN7=0,0,IF('Loan Tape'!$K7="Floating",MIN(IF('Loan Tape'!$P7="",10,'Loan Tape'!$P7),MAX(IF('Loan Tape'!$Q7="",0,'Loan Tape'!$Q7),INDEX(Idx_Curve,1,3)+'Loan Tape'!$M7)),IF('Loan Tape'!$L7="",0,'Loan Tape'!$L7)))</f>
        <v>0.0545</v>
      </c>
      <c r="F314" s="56" t="n">
        <f aca="false">IF('Loan Tape'!$AN7=0,0,IF('Loan Tape'!$K7="Floating",MIN(IF('Loan Tape'!$P7="",10,'Loan Tape'!$P7),MAX(IF('Loan Tape'!$Q7="",0,'Loan Tape'!$Q7),INDEX(Idx_Curve,1,4)+'Loan Tape'!$M7)),IF('Loan Tape'!$L7="",0,'Loan Tape'!$L7)))</f>
        <v>0.0525</v>
      </c>
      <c r="G314" s="56" t="n">
        <f aca="false">IF('Loan Tape'!$AN7=0,0,IF('Loan Tape'!$K7="Floating",MIN(IF('Loan Tape'!$P7="",10,'Loan Tape'!$P7),MAX(IF('Loan Tape'!$Q7="",0,'Loan Tape'!$Q7),INDEX(Idx_Curve,1,5)+'Loan Tape'!$M7)),IF('Loan Tape'!$L7="",0,'Loan Tape'!$L7)))</f>
        <v>0.0515</v>
      </c>
      <c r="H314" s="56" t="n">
        <f aca="false">IF('Loan Tape'!$AN7=0,0,IF('Loan Tape'!$K7="Floating",MIN(IF('Loan Tape'!$P7="",10,'Loan Tape'!$P7),MAX(IF('Loan Tape'!$Q7="",0,'Loan Tape'!$Q7),INDEX(Idx_Curve,1,6)+'Loan Tape'!$M7)),IF('Loan Tape'!$L7="",0,'Loan Tape'!$L7)))</f>
        <v>0.0515</v>
      </c>
      <c r="I314" s="56" t="n">
        <f aca="false">IF('Loan Tape'!$AN7=0,0,IF('Loan Tape'!$K7="Floating",MIN(IF('Loan Tape'!$P7="",10,'Loan Tape'!$P7),MAX(IF('Loan Tape'!$Q7="",0,'Loan Tape'!$Q7),INDEX(Idx_Curve,1,7)+'Loan Tape'!$M7)),IF('Loan Tape'!$L7="",0,'Loan Tape'!$L7)))</f>
        <v>0.0515</v>
      </c>
      <c r="J314" s="56" t="n">
        <f aca="false">IF('Loan Tape'!$AN7=0,0,IF('Loan Tape'!$K7="Floating",MIN(IF('Loan Tape'!$P7="",10,'Loan Tape'!$P7),MAX(IF('Loan Tape'!$Q7="",0,'Loan Tape'!$Q7),INDEX(Idx_Curve,1,8)+'Loan Tape'!$M7)),IF('Loan Tape'!$L7="",0,'Loan Tape'!$L7)))</f>
        <v>0.0515</v>
      </c>
      <c r="K314" s="56" t="n">
        <f aca="false">IF('Loan Tape'!$AN7=0,0,IF('Loan Tape'!$K7="Floating",MIN(IF('Loan Tape'!$P7="",10,'Loan Tape'!$P7),MAX(IF('Loan Tape'!$Q7="",0,'Loan Tape'!$Q7),INDEX(Idx_Curve,1,9)+'Loan Tape'!$M7)),IF('Loan Tape'!$L7="",0,'Loan Tape'!$L7)))</f>
        <v>0.0515</v>
      </c>
      <c r="L314" s="56" t="n">
        <f aca="false">IF('Loan Tape'!$AN7=0,0,IF('Loan Tape'!$K7="Floating",MIN(IF('Loan Tape'!$P7="",10,'Loan Tape'!$P7),MAX(IF('Loan Tape'!$Q7="",0,'Loan Tape'!$Q7),INDEX(Idx_Curve,1,10)+'Loan Tape'!$M7)),IF('Loan Tape'!$L7="",0,'Loan Tape'!$L7)))</f>
        <v>0.0515</v>
      </c>
    </row>
    <row r="315" customFormat="false" ht="15" hidden="false" customHeight="false" outlineLevel="0" collapsed="false">
      <c r="B315" s="102" t="str">
        <f aca="false">'Loan Tape'!$A8</f>
        <v>L-005</v>
      </c>
      <c r="C315" s="104" t="n">
        <f aca="false">IF('Loan Tape'!$AN8=0,0,IF('Loan Tape'!$K8="Floating",MIN(IF('Loan Tape'!$P8="",10,'Loan Tape'!$P8),MAX(IF('Loan Tape'!$Q8="",0,'Loan Tape'!$Q8),INDEX(Idx_Curve,1,1)+'Loan Tape'!$M8)),IF('Loan Tape'!$L8="",0,'Loan Tape'!$L8)))</f>
        <v>0.0648</v>
      </c>
      <c r="D315" s="104" t="n">
        <f aca="false">IF('Loan Tape'!$AN8=0,0,IF('Loan Tape'!$K8="Floating",MIN(IF('Loan Tape'!$P8="",10,'Loan Tape'!$P8),MAX(IF('Loan Tape'!$Q8="",0,'Loan Tape'!$Q8),INDEX(Idx_Curve,1,2)+'Loan Tape'!$M8)),IF('Loan Tape'!$L8="",0,'Loan Tape'!$L8)))</f>
        <v>0.0648</v>
      </c>
      <c r="E315" s="104" t="n">
        <f aca="false">IF('Loan Tape'!$AN8=0,0,IF('Loan Tape'!$K8="Floating",MIN(IF('Loan Tape'!$P8="",10,'Loan Tape'!$P8),MAX(IF('Loan Tape'!$Q8="",0,'Loan Tape'!$Q8),INDEX(Idx_Curve,1,3)+'Loan Tape'!$M8)),IF('Loan Tape'!$L8="",0,'Loan Tape'!$L8)))</f>
        <v>0.0648</v>
      </c>
      <c r="F315" s="104" t="n">
        <f aca="false">IF('Loan Tape'!$AN8=0,0,IF('Loan Tape'!$K8="Floating",MIN(IF('Loan Tape'!$P8="",10,'Loan Tape'!$P8),MAX(IF('Loan Tape'!$Q8="",0,'Loan Tape'!$Q8),INDEX(Idx_Curve,1,4)+'Loan Tape'!$M8)),IF('Loan Tape'!$L8="",0,'Loan Tape'!$L8)))</f>
        <v>0.0648</v>
      </c>
      <c r="G315" s="104" t="n">
        <f aca="false">IF('Loan Tape'!$AN8=0,0,IF('Loan Tape'!$K8="Floating",MIN(IF('Loan Tape'!$P8="",10,'Loan Tape'!$P8),MAX(IF('Loan Tape'!$Q8="",0,'Loan Tape'!$Q8),INDEX(Idx_Curve,1,5)+'Loan Tape'!$M8)),IF('Loan Tape'!$L8="",0,'Loan Tape'!$L8)))</f>
        <v>0.0648</v>
      </c>
      <c r="H315" s="104" t="n">
        <f aca="false">IF('Loan Tape'!$AN8=0,0,IF('Loan Tape'!$K8="Floating",MIN(IF('Loan Tape'!$P8="",10,'Loan Tape'!$P8),MAX(IF('Loan Tape'!$Q8="",0,'Loan Tape'!$Q8),INDEX(Idx_Curve,1,6)+'Loan Tape'!$M8)),IF('Loan Tape'!$L8="",0,'Loan Tape'!$L8)))</f>
        <v>0.0648</v>
      </c>
      <c r="I315" s="104" t="n">
        <f aca="false">IF('Loan Tape'!$AN8=0,0,IF('Loan Tape'!$K8="Floating",MIN(IF('Loan Tape'!$P8="",10,'Loan Tape'!$P8),MAX(IF('Loan Tape'!$Q8="",0,'Loan Tape'!$Q8),INDEX(Idx_Curve,1,7)+'Loan Tape'!$M8)),IF('Loan Tape'!$L8="",0,'Loan Tape'!$L8)))</f>
        <v>0.0648</v>
      </c>
      <c r="J315" s="104" t="n">
        <f aca="false">IF('Loan Tape'!$AN8=0,0,IF('Loan Tape'!$K8="Floating",MIN(IF('Loan Tape'!$P8="",10,'Loan Tape'!$P8),MAX(IF('Loan Tape'!$Q8="",0,'Loan Tape'!$Q8),INDEX(Idx_Curve,1,8)+'Loan Tape'!$M8)),IF('Loan Tape'!$L8="",0,'Loan Tape'!$L8)))</f>
        <v>0.0648</v>
      </c>
      <c r="K315" s="104" t="n">
        <f aca="false">IF('Loan Tape'!$AN8=0,0,IF('Loan Tape'!$K8="Floating",MIN(IF('Loan Tape'!$P8="",10,'Loan Tape'!$P8),MAX(IF('Loan Tape'!$Q8="",0,'Loan Tape'!$Q8),INDEX(Idx_Curve,1,9)+'Loan Tape'!$M8)),IF('Loan Tape'!$L8="",0,'Loan Tape'!$L8)))</f>
        <v>0.0648</v>
      </c>
      <c r="L315" s="104" t="n">
        <f aca="false">IF('Loan Tape'!$AN8=0,0,IF('Loan Tape'!$K8="Floating",MIN(IF('Loan Tape'!$P8="",10,'Loan Tape'!$P8),MAX(IF('Loan Tape'!$Q8="",0,'Loan Tape'!$Q8),INDEX(Idx_Curve,1,10)+'Loan Tape'!$M8)),IF('Loan Tape'!$L8="",0,'Loan Tape'!$L8)))</f>
        <v>0.0648</v>
      </c>
    </row>
    <row r="316" customFormat="false" ht="15" hidden="false" customHeight="false" outlineLevel="0" collapsed="false">
      <c r="B316" s="108" t="str">
        <f aca="false">'Loan Tape'!$A9</f>
        <v>L-006</v>
      </c>
      <c r="C316" s="56" t="n">
        <f aca="false">IF('Loan Tape'!$AN9=0,0,IF('Loan Tape'!$K9="Floating",MIN(IF('Loan Tape'!$P9="",10,'Loan Tape'!$P9),MAX(IF('Loan Tape'!$Q9="",0,'Loan Tape'!$Q9),INDEX(Idx_Curve,1,1)+'Loan Tape'!$M9)),IF('Loan Tape'!$L9="",0,'Loan Tape'!$L9)))</f>
        <v>0.065</v>
      </c>
      <c r="D316" s="56" t="n">
        <f aca="false">IF('Loan Tape'!$AN9=0,0,IF('Loan Tape'!$K9="Floating",MIN(IF('Loan Tape'!$P9="",10,'Loan Tape'!$P9),MAX(IF('Loan Tape'!$Q9="",0,'Loan Tape'!$Q9),INDEX(Idx_Curve,1,2)+'Loan Tape'!$M9)),IF('Loan Tape'!$L9="",0,'Loan Tape'!$L9)))</f>
        <v>0.06</v>
      </c>
      <c r="E316" s="56" t="n">
        <f aca="false">IF('Loan Tape'!$AN9=0,0,IF('Loan Tape'!$K9="Floating",MIN(IF('Loan Tape'!$P9="",10,'Loan Tape'!$P9),MAX(IF('Loan Tape'!$Q9="",0,'Loan Tape'!$Q9),INDEX(Idx_Curve,1,3)+'Loan Tape'!$M9)),IF('Loan Tape'!$L9="",0,'Loan Tape'!$L9)))</f>
        <v>0.056</v>
      </c>
      <c r="F316" s="56" t="n">
        <f aca="false">IF('Loan Tape'!$AN9=0,0,IF('Loan Tape'!$K9="Floating",MIN(IF('Loan Tape'!$P9="",10,'Loan Tape'!$P9),MAX(IF('Loan Tape'!$Q9="",0,'Loan Tape'!$Q9),INDEX(Idx_Curve,1,4)+'Loan Tape'!$M9)),IF('Loan Tape'!$L9="",0,'Loan Tape'!$L9)))</f>
        <v>0.054</v>
      </c>
      <c r="G316" s="56" t="n">
        <f aca="false">IF('Loan Tape'!$AN9=0,0,IF('Loan Tape'!$K9="Floating",MIN(IF('Loan Tape'!$P9="",10,'Loan Tape'!$P9),MAX(IF('Loan Tape'!$Q9="",0,'Loan Tape'!$Q9),INDEX(Idx_Curve,1,5)+'Loan Tape'!$M9)),IF('Loan Tape'!$L9="",0,'Loan Tape'!$L9)))</f>
        <v>0.053</v>
      </c>
      <c r="H316" s="56" t="n">
        <f aca="false">IF('Loan Tape'!$AN9=0,0,IF('Loan Tape'!$K9="Floating",MIN(IF('Loan Tape'!$P9="",10,'Loan Tape'!$P9),MAX(IF('Loan Tape'!$Q9="",0,'Loan Tape'!$Q9),INDEX(Idx_Curve,1,6)+'Loan Tape'!$M9)),IF('Loan Tape'!$L9="",0,'Loan Tape'!$L9)))</f>
        <v>0.053</v>
      </c>
      <c r="I316" s="56" t="n">
        <f aca="false">IF('Loan Tape'!$AN9=0,0,IF('Loan Tape'!$K9="Floating",MIN(IF('Loan Tape'!$P9="",10,'Loan Tape'!$P9),MAX(IF('Loan Tape'!$Q9="",0,'Loan Tape'!$Q9),INDEX(Idx_Curve,1,7)+'Loan Tape'!$M9)),IF('Loan Tape'!$L9="",0,'Loan Tape'!$L9)))</f>
        <v>0.053</v>
      </c>
      <c r="J316" s="56" t="n">
        <f aca="false">IF('Loan Tape'!$AN9=0,0,IF('Loan Tape'!$K9="Floating",MIN(IF('Loan Tape'!$P9="",10,'Loan Tape'!$P9),MAX(IF('Loan Tape'!$Q9="",0,'Loan Tape'!$Q9),INDEX(Idx_Curve,1,8)+'Loan Tape'!$M9)),IF('Loan Tape'!$L9="",0,'Loan Tape'!$L9)))</f>
        <v>0.053</v>
      </c>
      <c r="K316" s="56" t="n">
        <f aca="false">IF('Loan Tape'!$AN9=0,0,IF('Loan Tape'!$K9="Floating",MIN(IF('Loan Tape'!$P9="",10,'Loan Tape'!$P9),MAX(IF('Loan Tape'!$Q9="",0,'Loan Tape'!$Q9),INDEX(Idx_Curve,1,9)+'Loan Tape'!$M9)),IF('Loan Tape'!$L9="",0,'Loan Tape'!$L9)))</f>
        <v>0.053</v>
      </c>
      <c r="L316" s="56" t="n">
        <f aca="false">IF('Loan Tape'!$AN9=0,0,IF('Loan Tape'!$K9="Floating",MIN(IF('Loan Tape'!$P9="",10,'Loan Tape'!$P9),MAX(IF('Loan Tape'!$Q9="",0,'Loan Tape'!$Q9),INDEX(Idx_Curve,1,10)+'Loan Tape'!$M9)),IF('Loan Tape'!$L9="",0,'Loan Tape'!$L9)))</f>
        <v>0.053</v>
      </c>
    </row>
    <row r="317" customFormat="false" ht="15" hidden="false" customHeight="false" outlineLevel="0" collapsed="false">
      <c r="B317" s="102" t="str">
        <f aca="false">'Loan Tape'!$A10</f>
        <v>L-007</v>
      </c>
      <c r="C317" s="104" t="n">
        <f aca="false">IF('Loan Tape'!$AN10=0,0,IF('Loan Tape'!$K10="Floating",MIN(IF('Loan Tape'!$P10="",10,'Loan Tape'!$P10),MAX(IF('Loan Tape'!$Q10="",0,'Loan Tape'!$Q10),INDEX(Idx_Curve,1,1)+'Loan Tape'!$M10)),IF('Loan Tape'!$L10="",0,'Loan Tape'!$L10)))</f>
        <v>0.0652</v>
      </c>
      <c r="D317" s="104" t="n">
        <f aca="false">IF('Loan Tape'!$AN10=0,0,IF('Loan Tape'!$K10="Floating",MIN(IF('Loan Tape'!$P10="",10,'Loan Tape'!$P10),MAX(IF('Loan Tape'!$Q10="",0,'Loan Tape'!$Q10),INDEX(Idx_Curve,1,2)+'Loan Tape'!$M10)),IF('Loan Tape'!$L10="",0,'Loan Tape'!$L10)))</f>
        <v>0.0602</v>
      </c>
      <c r="E317" s="104" t="n">
        <f aca="false">IF('Loan Tape'!$AN10=0,0,IF('Loan Tape'!$K10="Floating",MIN(IF('Loan Tape'!$P10="",10,'Loan Tape'!$P10),MAX(IF('Loan Tape'!$Q10="",0,'Loan Tape'!$Q10),INDEX(Idx_Curve,1,3)+'Loan Tape'!$M10)),IF('Loan Tape'!$L10="",0,'Loan Tape'!$L10)))</f>
        <v>0.0562</v>
      </c>
      <c r="F317" s="104" t="n">
        <f aca="false">IF('Loan Tape'!$AN10=0,0,IF('Loan Tape'!$K10="Floating",MIN(IF('Loan Tape'!$P10="",10,'Loan Tape'!$P10),MAX(IF('Loan Tape'!$Q10="",0,'Loan Tape'!$Q10),INDEX(Idx_Curve,1,4)+'Loan Tape'!$M10)),IF('Loan Tape'!$L10="",0,'Loan Tape'!$L10)))</f>
        <v>0.0542</v>
      </c>
      <c r="G317" s="104" t="n">
        <f aca="false">IF('Loan Tape'!$AN10=0,0,IF('Loan Tape'!$K10="Floating",MIN(IF('Loan Tape'!$P10="",10,'Loan Tape'!$P10),MAX(IF('Loan Tape'!$Q10="",0,'Loan Tape'!$Q10),INDEX(Idx_Curve,1,5)+'Loan Tape'!$M10)),IF('Loan Tape'!$L10="",0,'Loan Tape'!$L10)))</f>
        <v>0.0532</v>
      </c>
      <c r="H317" s="104" t="n">
        <f aca="false">IF('Loan Tape'!$AN10=0,0,IF('Loan Tape'!$K10="Floating",MIN(IF('Loan Tape'!$P10="",10,'Loan Tape'!$P10),MAX(IF('Loan Tape'!$Q10="",0,'Loan Tape'!$Q10),INDEX(Idx_Curve,1,6)+'Loan Tape'!$M10)),IF('Loan Tape'!$L10="",0,'Loan Tape'!$L10)))</f>
        <v>0.0532</v>
      </c>
      <c r="I317" s="104" t="n">
        <f aca="false">IF('Loan Tape'!$AN10=0,0,IF('Loan Tape'!$K10="Floating",MIN(IF('Loan Tape'!$P10="",10,'Loan Tape'!$P10),MAX(IF('Loan Tape'!$Q10="",0,'Loan Tape'!$Q10),INDEX(Idx_Curve,1,7)+'Loan Tape'!$M10)),IF('Loan Tape'!$L10="",0,'Loan Tape'!$L10)))</f>
        <v>0.0532</v>
      </c>
      <c r="J317" s="104" t="n">
        <f aca="false">IF('Loan Tape'!$AN10=0,0,IF('Loan Tape'!$K10="Floating",MIN(IF('Loan Tape'!$P10="",10,'Loan Tape'!$P10),MAX(IF('Loan Tape'!$Q10="",0,'Loan Tape'!$Q10),INDEX(Idx_Curve,1,8)+'Loan Tape'!$M10)),IF('Loan Tape'!$L10="",0,'Loan Tape'!$L10)))</f>
        <v>0.0532</v>
      </c>
      <c r="K317" s="104" t="n">
        <f aca="false">IF('Loan Tape'!$AN10=0,0,IF('Loan Tape'!$K10="Floating",MIN(IF('Loan Tape'!$P10="",10,'Loan Tape'!$P10),MAX(IF('Loan Tape'!$Q10="",0,'Loan Tape'!$Q10),INDEX(Idx_Curve,1,9)+'Loan Tape'!$M10)),IF('Loan Tape'!$L10="",0,'Loan Tape'!$L10)))</f>
        <v>0.0532</v>
      </c>
      <c r="L317" s="104" t="n">
        <f aca="false">IF('Loan Tape'!$AN10=0,0,IF('Loan Tape'!$K10="Floating",MIN(IF('Loan Tape'!$P10="",10,'Loan Tape'!$P10),MAX(IF('Loan Tape'!$Q10="",0,'Loan Tape'!$Q10),INDEX(Idx_Curve,1,10)+'Loan Tape'!$M10)),IF('Loan Tape'!$L10="",0,'Loan Tape'!$L10)))</f>
        <v>0.0532</v>
      </c>
    </row>
    <row r="318" customFormat="false" ht="15" hidden="false" customHeight="false" outlineLevel="0" collapsed="false">
      <c r="B318" s="108" t="str">
        <f aca="false">'Loan Tape'!$A11</f>
        <v>L-008</v>
      </c>
      <c r="C318" s="56" t="n">
        <f aca="false">IF('Loan Tape'!$AN11=0,0,IF('Loan Tape'!$K11="Floating",MIN(IF('Loan Tape'!$P11="",10,'Loan Tape'!$P11),MAX(IF('Loan Tape'!$Q11="",0,'Loan Tape'!$Q11),INDEX(Idx_Curve,1,1)+'Loan Tape'!$M11)),IF('Loan Tape'!$L11="",0,'Loan Tape'!$L11)))</f>
        <v>0.081</v>
      </c>
      <c r="D318" s="56" t="n">
        <f aca="false">IF('Loan Tape'!$AN11=0,0,IF('Loan Tape'!$K11="Floating",MIN(IF('Loan Tape'!$P11="",10,'Loan Tape'!$P11),MAX(IF('Loan Tape'!$Q11="",0,'Loan Tape'!$Q11),INDEX(Idx_Curve,1,2)+'Loan Tape'!$M11)),IF('Loan Tape'!$L11="",0,'Loan Tape'!$L11)))</f>
        <v>0.076</v>
      </c>
      <c r="E318" s="56" t="n">
        <f aca="false">IF('Loan Tape'!$AN11=0,0,IF('Loan Tape'!$K11="Floating",MIN(IF('Loan Tape'!$P11="",10,'Loan Tape'!$P11),MAX(IF('Loan Tape'!$Q11="",0,'Loan Tape'!$Q11),INDEX(Idx_Curve,1,3)+'Loan Tape'!$M11)),IF('Loan Tape'!$L11="",0,'Loan Tape'!$L11)))</f>
        <v>0.072</v>
      </c>
      <c r="F318" s="56" t="n">
        <f aca="false">IF('Loan Tape'!$AN11=0,0,IF('Loan Tape'!$K11="Floating",MIN(IF('Loan Tape'!$P11="",10,'Loan Tape'!$P11),MAX(IF('Loan Tape'!$Q11="",0,'Loan Tape'!$Q11),INDEX(Idx_Curve,1,4)+'Loan Tape'!$M11)),IF('Loan Tape'!$L11="",0,'Loan Tape'!$L11)))</f>
        <v>0.07</v>
      </c>
      <c r="G318" s="56" t="n">
        <f aca="false">IF('Loan Tape'!$AN11=0,0,IF('Loan Tape'!$K11="Floating",MIN(IF('Loan Tape'!$P11="",10,'Loan Tape'!$P11),MAX(IF('Loan Tape'!$Q11="",0,'Loan Tape'!$Q11),INDEX(Idx_Curve,1,5)+'Loan Tape'!$M11)),IF('Loan Tape'!$L11="",0,'Loan Tape'!$L11)))</f>
        <v>0.069</v>
      </c>
      <c r="H318" s="56" t="n">
        <f aca="false">IF('Loan Tape'!$AN11=0,0,IF('Loan Tape'!$K11="Floating",MIN(IF('Loan Tape'!$P11="",10,'Loan Tape'!$P11),MAX(IF('Loan Tape'!$Q11="",0,'Loan Tape'!$Q11),INDEX(Idx_Curve,1,6)+'Loan Tape'!$M11)),IF('Loan Tape'!$L11="",0,'Loan Tape'!$L11)))</f>
        <v>0.069</v>
      </c>
      <c r="I318" s="56" t="n">
        <f aca="false">IF('Loan Tape'!$AN11=0,0,IF('Loan Tape'!$K11="Floating",MIN(IF('Loan Tape'!$P11="",10,'Loan Tape'!$P11),MAX(IF('Loan Tape'!$Q11="",0,'Loan Tape'!$Q11),INDEX(Idx_Curve,1,7)+'Loan Tape'!$M11)),IF('Loan Tape'!$L11="",0,'Loan Tape'!$L11)))</f>
        <v>0.069</v>
      </c>
      <c r="J318" s="56" t="n">
        <f aca="false">IF('Loan Tape'!$AN11=0,0,IF('Loan Tape'!$K11="Floating",MIN(IF('Loan Tape'!$P11="",10,'Loan Tape'!$P11),MAX(IF('Loan Tape'!$Q11="",0,'Loan Tape'!$Q11),INDEX(Idx_Curve,1,8)+'Loan Tape'!$M11)),IF('Loan Tape'!$L11="",0,'Loan Tape'!$L11)))</f>
        <v>0.069</v>
      </c>
      <c r="K318" s="56" t="n">
        <f aca="false">IF('Loan Tape'!$AN11=0,0,IF('Loan Tape'!$K11="Floating",MIN(IF('Loan Tape'!$P11="",10,'Loan Tape'!$P11),MAX(IF('Loan Tape'!$Q11="",0,'Loan Tape'!$Q11),INDEX(Idx_Curve,1,9)+'Loan Tape'!$M11)),IF('Loan Tape'!$L11="",0,'Loan Tape'!$L11)))</f>
        <v>0.069</v>
      </c>
      <c r="L318" s="56" t="n">
        <f aca="false">IF('Loan Tape'!$AN11=0,0,IF('Loan Tape'!$K11="Floating",MIN(IF('Loan Tape'!$P11="",10,'Loan Tape'!$P11),MAX(IF('Loan Tape'!$Q11="",0,'Loan Tape'!$Q11),INDEX(Idx_Curve,1,10)+'Loan Tape'!$M11)),IF('Loan Tape'!$L11="",0,'Loan Tape'!$L11)))</f>
        <v>0.069</v>
      </c>
    </row>
    <row r="319" customFormat="false" ht="15" hidden="false" customHeight="false" outlineLevel="0" collapsed="false">
      <c r="B319" s="102" t="str">
        <f aca="false">'Loan Tape'!$A12</f>
        <v>L-009</v>
      </c>
      <c r="C319" s="104" t="n">
        <f aca="false">IF('Loan Tape'!$AN12=0,0,IF('Loan Tape'!$K12="Floating",MIN(IF('Loan Tape'!$P12="",10,'Loan Tape'!$P12),MAX(IF('Loan Tape'!$Q12="",0,'Loan Tape'!$Q12),INDEX(Idx_Curve,1,1)+'Loan Tape'!$M12)),IF('Loan Tape'!$L12="",0,'Loan Tape'!$L12)))</f>
        <v>0.0479</v>
      </c>
      <c r="D319" s="104" t="n">
        <f aca="false">IF('Loan Tape'!$AN12=0,0,IF('Loan Tape'!$K12="Floating",MIN(IF('Loan Tape'!$P12="",10,'Loan Tape'!$P12),MAX(IF('Loan Tape'!$Q12="",0,'Loan Tape'!$Q12),INDEX(Idx_Curve,1,2)+'Loan Tape'!$M12)),IF('Loan Tape'!$L12="",0,'Loan Tape'!$L12)))</f>
        <v>0.0479</v>
      </c>
      <c r="E319" s="104" t="n">
        <f aca="false">IF('Loan Tape'!$AN12=0,0,IF('Loan Tape'!$K12="Floating",MIN(IF('Loan Tape'!$P12="",10,'Loan Tape'!$P12),MAX(IF('Loan Tape'!$Q12="",0,'Loan Tape'!$Q12),INDEX(Idx_Curve,1,3)+'Loan Tape'!$M12)),IF('Loan Tape'!$L12="",0,'Loan Tape'!$L12)))</f>
        <v>0.0479</v>
      </c>
      <c r="F319" s="104" t="n">
        <f aca="false">IF('Loan Tape'!$AN12=0,0,IF('Loan Tape'!$K12="Floating",MIN(IF('Loan Tape'!$P12="",10,'Loan Tape'!$P12),MAX(IF('Loan Tape'!$Q12="",0,'Loan Tape'!$Q12),INDEX(Idx_Curve,1,4)+'Loan Tape'!$M12)),IF('Loan Tape'!$L12="",0,'Loan Tape'!$L12)))</f>
        <v>0.0479</v>
      </c>
      <c r="G319" s="104" t="n">
        <f aca="false">IF('Loan Tape'!$AN12=0,0,IF('Loan Tape'!$K12="Floating",MIN(IF('Loan Tape'!$P12="",10,'Loan Tape'!$P12),MAX(IF('Loan Tape'!$Q12="",0,'Loan Tape'!$Q12),INDEX(Idx_Curve,1,5)+'Loan Tape'!$M12)),IF('Loan Tape'!$L12="",0,'Loan Tape'!$L12)))</f>
        <v>0.0479</v>
      </c>
      <c r="H319" s="104" t="n">
        <f aca="false">IF('Loan Tape'!$AN12=0,0,IF('Loan Tape'!$K12="Floating",MIN(IF('Loan Tape'!$P12="",10,'Loan Tape'!$P12),MAX(IF('Loan Tape'!$Q12="",0,'Loan Tape'!$Q12),INDEX(Idx_Curve,1,6)+'Loan Tape'!$M12)),IF('Loan Tape'!$L12="",0,'Loan Tape'!$L12)))</f>
        <v>0.0479</v>
      </c>
      <c r="I319" s="104" t="n">
        <f aca="false">IF('Loan Tape'!$AN12=0,0,IF('Loan Tape'!$K12="Floating",MIN(IF('Loan Tape'!$P12="",10,'Loan Tape'!$P12),MAX(IF('Loan Tape'!$Q12="",0,'Loan Tape'!$Q12),INDEX(Idx_Curve,1,7)+'Loan Tape'!$M12)),IF('Loan Tape'!$L12="",0,'Loan Tape'!$L12)))</f>
        <v>0.0479</v>
      </c>
      <c r="J319" s="104" t="n">
        <f aca="false">IF('Loan Tape'!$AN12=0,0,IF('Loan Tape'!$K12="Floating",MIN(IF('Loan Tape'!$P12="",10,'Loan Tape'!$P12),MAX(IF('Loan Tape'!$Q12="",0,'Loan Tape'!$Q12),INDEX(Idx_Curve,1,8)+'Loan Tape'!$M12)),IF('Loan Tape'!$L12="",0,'Loan Tape'!$L12)))</f>
        <v>0.0479</v>
      </c>
      <c r="K319" s="104" t="n">
        <f aca="false">IF('Loan Tape'!$AN12=0,0,IF('Loan Tape'!$K12="Floating",MIN(IF('Loan Tape'!$P12="",10,'Loan Tape'!$P12),MAX(IF('Loan Tape'!$Q12="",0,'Loan Tape'!$Q12),INDEX(Idx_Curve,1,9)+'Loan Tape'!$M12)),IF('Loan Tape'!$L12="",0,'Loan Tape'!$L12)))</f>
        <v>0.0479</v>
      </c>
      <c r="L319" s="104" t="n">
        <f aca="false">IF('Loan Tape'!$AN12=0,0,IF('Loan Tape'!$K12="Floating",MIN(IF('Loan Tape'!$P12="",10,'Loan Tape'!$P12),MAX(IF('Loan Tape'!$Q12="",0,'Loan Tape'!$Q12),INDEX(Idx_Curve,1,10)+'Loan Tape'!$M12)),IF('Loan Tape'!$L12="",0,'Loan Tape'!$L12)))</f>
        <v>0.0479</v>
      </c>
    </row>
    <row r="320" customFormat="false" ht="15" hidden="false" customHeight="false" outlineLevel="0" collapsed="false">
      <c r="B320" s="108" t="str">
        <f aca="false">'Loan Tape'!$A13</f>
        <v>L-010</v>
      </c>
      <c r="C320" s="56" t="n">
        <f aca="false">IF('Loan Tape'!$AN13=0,0,IF('Loan Tape'!$K13="Floating",MIN(IF('Loan Tape'!$P13="",10,'Loan Tape'!$P13),MAX(IF('Loan Tape'!$Q13="",0,'Loan Tape'!$Q13),INDEX(Idx_Curve,1,1)+'Loan Tape'!$M13)),IF('Loan Tape'!$L13="",0,'Loan Tape'!$L13)))</f>
        <v>0.0647</v>
      </c>
      <c r="D320" s="56" t="n">
        <f aca="false">IF('Loan Tape'!$AN13=0,0,IF('Loan Tape'!$K13="Floating",MIN(IF('Loan Tape'!$P13="",10,'Loan Tape'!$P13),MAX(IF('Loan Tape'!$Q13="",0,'Loan Tape'!$Q13),INDEX(Idx_Curve,1,2)+'Loan Tape'!$M13)),IF('Loan Tape'!$L13="",0,'Loan Tape'!$L13)))</f>
        <v>0.0647</v>
      </c>
      <c r="E320" s="56" t="n">
        <f aca="false">IF('Loan Tape'!$AN13=0,0,IF('Loan Tape'!$K13="Floating",MIN(IF('Loan Tape'!$P13="",10,'Loan Tape'!$P13),MAX(IF('Loan Tape'!$Q13="",0,'Loan Tape'!$Q13),INDEX(Idx_Curve,1,3)+'Loan Tape'!$M13)),IF('Loan Tape'!$L13="",0,'Loan Tape'!$L13)))</f>
        <v>0.0647</v>
      </c>
      <c r="F320" s="56" t="n">
        <f aca="false">IF('Loan Tape'!$AN13=0,0,IF('Loan Tape'!$K13="Floating",MIN(IF('Loan Tape'!$P13="",10,'Loan Tape'!$P13),MAX(IF('Loan Tape'!$Q13="",0,'Loan Tape'!$Q13),INDEX(Idx_Curve,1,4)+'Loan Tape'!$M13)),IF('Loan Tape'!$L13="",0,'Loan Tape'!$L13)))</f>
        <v>0.0647</v>
      </c>
      <c r="G320" s="56" t="n">
        <f aca="false">IF('Loan Tape'!$AN13=0,0,IF('Loan Tape'!$K13="Floating",MIN(IF('Loan Tape'!$P13="",10,'Loan Tape'!$P13),MAX(IF('Loan Tape'!$Q13="",0,'Loan Tape'!$Q13),INDEX(Idx_Curve,1,5)+'Loan Tape'!$M13)),IF('Loan Tape'!$L13="",0,'Loan Tape'!$L13)))</f>
        <v>0.0647</v>
      </c>
      <c r="H320" s="56" t="n">
        <f aca="false">IF('Loan Tape'!$AN13=0,0,IF('Loan Tape'!$K13="Floating",MIN(IF('Loan Tape'!$P13="",10,'Loan Tape'!$P13),MAX(IF('Loan Tape'!$Q13="",0,'Loan Tape'!$Q13),INDEX(Idx_Curve,1,6)+'Loan Tape'!$M13)),IF('Loan Tape'!$L13="",0,'Loan Tape'!$L13)))</f>
        <v>0.0647</v>
      </c>
      <c r="I320" s="56" t="n">
        <f aca="false">IF('Loan Tape'!$AN13=0,0,IF('Loan Tape'!$K13="Floating",MIN(IF('Loan Tape'!$P13="",10,'Loan Tape'!$P13),MAX(IF('Loan Tape'!$Q13="",0,'Loan Tape'!$Q13),INDEX(Idx_Curve,1,7)+'Loan Tape'!$M13)),IF('Loan Tape'!$L13="",0,'Loan Tape'!$L13)))</f>
        <v>0.0647</v>
      </c>
      <c r="J320" s="56" t="n">
        <f aca="false">IF('Loan Tape'!$AN13=0,0,IF('Loan Tape'!$K13="Floating",MIN(IF('Loan Tape'!$P13="",10,'Loan Tape'!$P13),MAX(IF('Loan Tape'!$Q13="",0,'Loan Tape'!$Q13),INDEX(Idx_Curve,1,8)+'Loan Tape'!$M13)),IF('Loan Tape'!$L13="",0,'Loan Tape'!$L13)))</f>
        <v>0.0647</v>
      </c>
      <c r="K320" s="56" t="n">
        <f aca="false">IF('Loan Tape'!$AN13=0,0,IF('Loan Tape'!$K13="Floating",MIN(IF('Loan Tape'!$P13="",10,'Loan Tape'!$P13),MAX(IF('Loan Tape'!$Q13="",0,'Loan Tape'!$Q13),INDEX(Idx_Curve,1,9)+'Loan Tape'!$M13)),IF('Loan Tape'!$L13="",0,'Loan Tape'!$L13)))</f>
        <v>0.0647</v>
      </c>
      <c r="L320" s="56" t="n">
        <f aca="false">IF('Loan Tape'!$AN13=0,0,IF('Loan Tape'!$K13="Floating",MIN(IF('Loan Tape'!$P13="",10,'Loan Tape'!$P13),MAX(IF('Loan Tape'!$Q13="",0,'Loan Tape'!$Q13),INDEX(Idx_Curve,1,10)+'Loan Tape'!$M13)),IF('Loan Tape'!$L13="",0,'Loan Tape'!$L13)))</f>
        <v>0.0647</v>
      </c>
    </row>
    <row r="321" customFormat="false" ht="15" hidden="false" customHeight="false" outlineLevel="0" collapsed="false">
      <c r="B321" s="102" t="str">
        <f aca="false">'Loan Tape'!$A14</f>
        <v>L-011</v>
      </c>
      <c r="C321" s="104" t="n">
        <f aca="false">IF('Loan Tape'!$AN14=0,0,IF('Loan Tape'!$K14="Floating",MIN(IF('Loan Tape'!$P14="",10,'Loan Tape'!$P14),MAX(IF('Loan Tape'!$Q14="",0,'Loan Tape'!$Q14),INDEX(Idx_Curve,1,1)+'Loan Tape'!$M14)),IF('Loan Tape'!$L14="",0,'Loan Tape'!$L14)))</f>
        <v>0.0699</v>
      </c>
      <c r="D321" s="104" t="n">
        <f aca="false">IF('Loan Tape'!$AN14=0,0,IF('Loan Tape'!$K14="Floating",MIN(IF('Loan Tape'!$P14="",10,'Loan Tape'!$P14),MAX(IF('Loan Tape'!$Q14="",0,'Loan Tape'!$Q14),INDEX(Idx_Curve,1,2)+'Loan Tape'!$M14)),IF('Loan Tape'!$L14="",0,'Loan Tape'!$L14)))</f>
        <v>0.0649</v>
      </c>
      <c r="E321" s="104" t="n">
        <f aca="false">IF('Loan Tape'!$AN14=0,0,IF('Loan Tape'!$K14="Floating",MIN(IF('Loan Tape'!$P14="",10,'Loan Tape'!$P14),MAX(IF('Loan Tape'!$Q14="",0,'Loan Tape'!$Q14),INDEX(Idx_Curve,1,3)+'Loan Tape'!$M14)),IF('Loan Tape'!$L14="",0,'Loan Tape'!$L14)))</f>
        <v>0.0609</v>
      </c>
      <c r="F321" s="104" t="n">
        <f aca="false">IF('Loan Tape'!$AN14=0,0,IF('Loan Tape'!$K14="Floating",MIN(IF('Loan Tape'!$P14="",10,'Loan Tape'!$P14),MAX(IF('Loan Tape'!$Q14="",0,'Loan Tape'!$Q14),INDEX(Idx_Curve,1,4)+'Loan Tape'!$M14)),IF('Loan Tape'!$L14="",0,'Loan Tape'!$L14)))</f>
        <v>0.0589</v>
      </c>
      <c r="G321" s="104" t="n">
        <f aca="false">IF('Loan Tape'!$AN14=0,0,IF('Loan Tape'!$K14="Floating",MIN(IF('Loan Tape'!$P14="",10,'Loan Tape'!$P14),MAX(IF('Loan Tape'!$Q14="",0,'Loan Tape'!$Q14),INDEX(Idx_Curve,1,5)+'Loan Tape'!$M14)),IF('Loan Tape'!$L14="",0,'Loan Tape'!$L14)))</f>
        <v>0.0579</v>
      </c>
      <c r="H321" s="104" t="n">
        <f aca="false">IF('Loan Tape'!$AN14=0,0,IF('Loan Tape'!$K14="Floating",MIN(IF('Loan Tape'!$P14="",10,'Loan Tape'!$P14),MAX(IF('Loan Tape'!$Q14="",0,'Loan Tape'!$Q14),INDEX(Idx_Curve,1,6)+'Loan Tape'!$M14)),IF('Loan Tape'!$L14="",0,'Loan Tape'!$L14)))</f>
        <v>0.0579</v>
      </c>
      <c r="I321" s="104" t="n">
        <f aca="false">IF('Loan Tape'!$AN14=0,0,IF('Loan Tape'!$K14="Floating",MIN(IF('Loan Tape'!$P14="",10,'Loan Tape'!$P14),MAX(IF('Loan Tape'!$Q14="",0,'Loan Tape'!$Q14),INDEX(Idx_Curve,1,7)+'Loan Tape'!$M14)),IF('Loan Tape'!$L14="",0,'Loan Tape'!$L14)))</f>
        <v>0.0579</v>
      </c>
      <c r="J321" s="104" t="n">
        <f aca="false">IF('Loan Tape'!$AN14=0,0,IF('Loan Tape'!$K14="Floating",MIN(IF('Loan Tape'!$P14="",10,'Loan Tape'!$P14),MAX(IF('Loan Tape'!$Q14="",0,'Loan Tape'!$Q14),INDEX(Idx_Curve,1,8)+'Loan Tape'!$M14)),IF('Loan Tape'!$L14="",0,'Loan Tape'!$L14)))</f>
        <v>0.0579</v>
      </c>
      <c r="K321" s="104" t="n">
        <f aca="false">IF('Loan Tape'!$AN14=0,0,IF('Loan Tape'!$K14="Floating",MIN(IF('Loan Tape'!$P14="",10,'Loan Tape'!$P14),MAX(IF('Loan Tape'!$Q14="",0,'Loan Tape'!$Q14),INDEX(Idx_Curve,1,9)+'Loan Tape'!$M14)),IF('Loan Tape'!$L14="",0,'Loan Tape'!$L14)))</f>
        <v>0.0579</v>
      </c>
      <c r="L321" s="104" t="n">
        <f aca="false">IF('Loan Tape'!$AN14=0,0,IF('Loan Tape'!$K14="Floating",MIN(IF('Loan Tape'!$P14="",10,'Loan Tape'!$P14),MAX(IF('Loan Tape'!$Q14="",0,'Loan Tape'!$Q14),INDEX(Idx_Curve,1,10)+'Loan Tape'!$M14)),IF('Loan Tape'!$L14="",0,'Loan Tape'!$L14)))</f>
        <v>0.0579</v>
      </c>
    </row>
    <row r="322" customFormat="false" ht="15" hidden="false" customHeight="false" outlineLevel="0" collapsed="false">
      <c r="B322" s="108" t="str">
        <f aca="false">'Loan Tape'!$A15</f>
        <v>L-012</v>
      </c>
      <c r="C322" s="56" t="n">
        <f aca="false">IF('Loan Tape'!$AN15=0,0,IF('Loan Tape'!$K15="Floating",MIN(IF('Loan Tape'!$P15="",10,'Loan Tape'!$P15),MAX(IF('Loan Tape'!$Q15="",0,'Loan Tape'!$Q15),INDEX(Idx_Curve,1,1)+'Loan Tape'!$M15)),IF('Loan Tape'!$L15="",0,'Loan Tape'!$L15)))</f>
        <v>0.0557</v>
      </c>
      <c r="D322" s="56" t="n">
        <f aca="false">IF('Loan Tape'!$AN15=0,0,IF('Loan Tape'!$K15="Floating",MIN(IF('Loan Tape'!$P15="",10,'Loan Tape'!$P15),MAX(IF('Loan Tape'!$Q15="",0,'Loan Tape'!$Q15),INDEX(Idx_Curve,1,2)+'Loan Tape'!$M15)),IF('Loan Tape'!$L15="",0,'Loan Tape'!$L15)))</f>
        <v>0.0557</v>
      </c>
      <c r="E322" s="56" t="n">
        <f aca="false">IF('Loan Tape'!$AN15=0,0,IF('Loan Tape'!$K15="Floating",MIN(IF('Loan Tape'!$P15="",10,'Loan Tape'!$P15),MAX(IF('Loan Tape'!$Q15="",0,'Loan Tape'!$Q15),INDEX(Idx_Curve,1,3)+'Loan Tape'!$M15)),IF('Loan Tape'!$L15="",0,'Loan Tape'!$L15)))</f>
        <v>0.0557</v>
      </c>
      <c r="F322" s="56" t="n">
        <f aca="false">IF('Loan Tape'!$AN15=0,0,IF('Loan Tape'!$K15="Floating",MIN(IF('Loan Tape'!$P15="",10,'Loan Tape'!$P15),MAX(IF('Loan Tape'!$Q15="",0,'Loan Tape'!$Q15),INDEX(Idx_Curve,1,4)+'Loan Tape'!$M15)),IF('Loan Tape'!$L15="",0,'Loan Tape'!$L15)))</f>
        <v>0.0557</v>
      </c>
      <c r="G322" s="56" t="n">
        <f aca="false">IF('Loan Tape'!$AN15=0,0,IF('Loan Tape'!$K15="Floating",MIN(IF('Loan Tape'!$P15="",10,'Loan Tape'!$P15),MAX(IF('Loan Tape'!$Q15="",0,'Loan Tape'!$Q15),INDEX(Idx_Curve,1,5)+'Loan Tape'!$M15)),IF('Loan Tape'!$L15="",0,'Loan Tape'!$L15)))</f>
        <v>0.0557</v>
      </c>
      <c r="H322" s="56" t="n">
        <f aca="false">IF('Loan Tape'!$AN15=0,0,IF('Loan Tape'!$K15="Floating",MIN(IF('Loan Tape'!$P15="",10,'Loan Tape'!$P15),MAX(IF('Loan Tape'!$Q15="",0,'Loan Tape'!$Q15),INDEX(Idx_Curve,1,6)+'Loan Tape'!$M15)),IF('Loan Tape'!$L15="",0,'Loan Tape'!$L15)))</f>
        <v>0.0557</v>
      </c>
      <c r="I322" s="56" t="n">
        <f aca="false">IF('Loan Tape'!$AN15=0,0,IF('Loan Tape'!$K15="Floating",MIN(IF('Loan Tape'!$P15="",10,'Loan Tape'!$P15),MAX(IF('Loan Tape'!$Q15="",0,'Loan Tape'!$Q15),INDEX(Idx_Curve,1,7)+'Loan Tape'!$M15)),IF('Loan Tape'!$L15="",0,'Loan Tape'!$L15)))</f>
        <v>0.0557</v>
      </c>
      <c r="J322" s="56" t="n">
        <f aca="false">IF('Loan Tape'!$AN15=0,0,IF('Loan Tape'!$K15="Floating",MIN(IF('Loan Tape'!$P15="",10,'Loan Tape'!$P15),MAX(IF('Loan Tape'!$Q15="",0,'Loan Tape'!$Q15),INDEX(Idx_Curve,1,8)+'Loan Tape'!$M15)),IF('Loan Tape'!$L15="",0,'Loan Tape'!$L15)))</f>
        <v>0.0557</v>
      </c>
      <c r="K322" s="56" t="n">
        <f aca="false">IF('Loan Tape'!$AN15=0,0,IF('Loan Tape'!$K15="Floating",MIN(IF('Loan Tape'!$P15="",10,'Loan Tape'!$P15),MAX(IF('Loan Tape'!$Q15="",0,'Loan Tape'!$Q15),INDEX(Idx_Curve,1,9)+'Loan Tape'!$M15)),IF('Loan Tape'!$L15="",0,'Loan Tape'!$L15)))</f>
        <v>0.0557</v>
      </c>
      <c r="L322" s="56" t="n">
        <f aca="false">IF('Loan Tape'!$AN15=0,0,IF('Loan Tape'!$K15="Floating",MIN(IF('Loan Tape'!$P15="",10,'Loan Tape'!$P15),MAX(IF('Loan Tape'!$Q15="",0,'Loan Tape'!$Q15),INDEX(Idx_Curve,1,10)+'Loan Tape'!$M15)),IF('Loan Tape'!$L15="",0,'Loan Tape'!$L15)))</f>
        <v>0.0557</v>
      </c>
    </row>
    <row r="323" customFormat="false" ht="15" hidden="false" customHeight="false" outlineLevel="0" collapsed="false">
      <c r="B323" s="102" t="str">
        <f aca="false">'Loan Tape'!$A16</f>
        <v>L-013</v>
      </c>
      <c r="C323" s="104" t="n">
        <f aca="false">IF('Loan Tape'!$AN16=0,0,IF('Loan Tape'!$K16="Floating",MIN(IF('Loan Tape'!$P16="",10,'Loan Tape'!$P16),MAX(IF('Loan Tape'!$Q16="",0,'Loan Tape'!$Q16),INDEX(Idx_Curve,1,1)+'Loan Tape'!$M16)),IF('Loan Tape'!$L16="",0,'Loan Tape'!$L16)))</f>
        <v>0.0655</v>
      </c>
      <c r="D323" s="104" t="n">
        <f aca="false">IF('Loan Tape'!$AN16=0,0,IF('Loan Tape'!$K16="Floating",MIN(IF('Loan Tape'!$P16="",10,'Loan Tape'!$P16),MAX(IF('Loan Tape'!$Q16="",0,'Loan Tape'!$Q16),INDEX(Idx_Curve,1,2)+'Loan Tape'!$M16)),IF('Loan Tape'!$L16="",0,'Loan Tape'!$L16)))</f>
        <v>0.0655</v>
      </c>
      <c r="E323" s="104" t="n">
        <f aca="false">IF('Loan Tape'!$AN16=0,0,IF('Loan Tape'!$K16="Floating",MIN(IF('Loan Tape'!$P16="",10,'Loan Tape'!$P16),MAX(IF('Loan Tape'!$Q16="",0,'Loan Tape'!$Q16),INDEX(Idx_Curve,1,3)+'Loan Tape'!$M16)),IF('Loan Tape'!$L16="",0,'Loan Tape'!$L16)))</f>
        <v>0.0655</v>
      </c>
      <c r="F323" s="104" t="n">
        <f aca="false">IF('Loan Tape'!$AN16=0,0,IF('Loan Tape'!$K16="Floating",MIN(IF('Loan Tape'!$P16="",10,'Loan Tape'!$P16),MAX(IF('Loan Tape'!$Q16="",0,'Loan Tape'!$Q16),INDEX(Idx_Curve,1,4)+'Loan Tape'!$M16)),IF('Loan Tape'!$L16="",0,'Loan Tape'!$L16)))</f>
        <v>0.0655</v>
      </c>
      <c r="G323" s="104" t="n">
        <f aca="false">IF('Loan Tape'!$AN16=0,0,IF('Loan Tape'!$K16="Floating",MIN(IF('Loan Tape'!$P16="",10,'Loan Tape'!$P16),MAX(IF('Loan Tape'!$Q16="",0,'Loan Tape'!$Q16),INDEX(Idx_Curve,1,5)+'Loan Tape'!$M16)),IF('Loan Tape'!$L16="",0,'Loan Tape'!$L16)))</f>
        <v>0.0655</v>
      </c>
      <c r="H323" s="104" t="n">
        <f aca="false">IF('Loan Tape'!$AN16=0,0,IF('Loan Tape'!$K16="Floating",MIN(IF('Loan Tape'!$P16="",10,'Loan Tape'!$P16),MAX(IF('Loan Tape'!$Q16="",0,'Loan Tape'!$Q16),INDEX(Idx_Curve,1,6)+'Loan Tape'!$M16)),IF('Loan Tape'!$L16="",0,'Loan Tape'!$L16)))</f>
        <v>0.0655</v>
      </c>
      <c r="I323" s="104" t="n">
        <f aca="false">IF('Loan Tape'!$AN16=0,0,IF('Loan Tape'!$K16="Floating",MIN(IF('Loan Tape'!$P16="",10,'Loan Tape'!$P16),MAX(IF('Loan Tape'!$Q16="",0,'Loan Tape'!$Q16),INDEX(Idx_Curve,1,7)+'Loan Tape'!$M16)),IF('Loan Tape'!$L16="",0,'Loan Tape'!$L16)))</f>
        <v>0.0655</v>
      </c>
      <c r="J323" s="104" t="n">
        <f aca="false">IF('Loan Tape'!$AN16=0,0,IF('Loan Tape'!$K16="Floating",MIN(IF('Loan Tape'!$P16="",10,'Loan Tape'!$P16),MAX(IF('Loan Tape'!$Q16="",0,'Loan Tape'!$Q16),INDEX(Idx_Curve,1,8)+'Loan Tape'!$M16)),IF('Loan Tape'!$L16="",0,'Loan Tape'!$L16)))</f>
        <v>0.0655</v>
      </c>
      <c r="K323" s="104" t="n">
        <f aca="false">IF('Loan Tape'!$AN16=0,0,IF('Loan Tape'!$K16="Floating",MIN(IF('Loan Tape'!$P16="",10,'Loan Tape'!$P16),MAX(IF('Loan Tape'!$Q16="",0,'Loan Tape'!$Q16),INDEX(Idx_Curve,1,9)+'Loan Tape'!$M16)),IF('Loan Tape'!$L16="",0,'Loan Tape'!$L16)))</f>
        <v>0.0655</v>
      </c>
      <c r="L323" s="104" t="n">
        <f aca="false">IF('Loan Tape'!$AN16=0,0,IF('Loan Tape'!$K16="Floating",MIN(IF('Loan Tape'!$P16="",10,'Loan Tape'!$P16),MAX(IF('Loan Tape'!$Q16="",0,'Loan Tape'!$Q16),INDEX(Idx_Curve,1,10)+'Loan Tape'!$M16)),IF('Loan Tape'!$L16="",0,'Loan Tape'!$L16)))</f>
        <v>0.0655</v>
      </c>
    </row>
    <row r="324" customFormat="false" ht="15" hidden="false" customHeight="false" outlineLevel="0" collapsed="false">
      <c r="B324" s="108" t="str">
        <f aca="false">'Loan Tape'!$A17</f>
        <v>L-014</v>
      </c>
      <c r="C324" s="56" t="n">
        <f aca="false">IF('Loan Tape'!$AN17=0,0,IF('Loan Tape'!$K17="Floating",MIN(IF('Loan Tape'!$P17="",10,'Loan Tape'!$P17),MAX(IF('Loan Tape'!$Q17="",0,'Loan Tape'!$Q17),INDEX(Idx_Curve,1,1)+'Loan Tape'!$M17)),IF('Loan Tape'!$L17="",0,'Loan Tape'!$L17)))</f>
        <v>0.0504</v>
      </c>
      <c r="D324" s="56" t="n">
        <f aca="false">IF('Loan Tape'!$AN17=0,0,IF('Loan Tape'!$K17="Floating",MIN(IF('Loan Tape'!$P17="",10,'Loan Tape'!$P17),MAX(IF('Loan Tape'!$Q17="",0,'Loan Tape'!$Q17),INDEX(Idx_Curve,1,2)+'Loan Tape'!$M17)),IF('Loan Tape'!$L17="",0,'Loan Tape'!$L17)))</f>
        <v>0.0504</v>
      </c>
      <c r="E324" s="56" t="n">
        <f aca="false">IF('Loan Tape'!$AN17=0,0,IF('Loan Tape'!$K17="Floating",MIN(IF('Loan Tape'!$P17="",10,'Loan Tape'!$P17),MAX(IF('Loan Tape'!$Q17="",0,'Loan Tape'!$Q17),INDEX(Idx_Curve,1,3)+'Loan Tape'!$M17)),IF('Loan Tape'!$L17="",0,'Loan Tape'!$L17)))</f>
        <v>0.0504</v>
      </c>
      <c r="F324" s="56" t="n">
        <f aca="false">IF('Loan Tape'!$AN17=0,0,IF('Loan Tape'!$K17="Floating",MIN(IF('Loan Tape'!$P17="",10,'Loan Tape'!$P17),MAX(IF('Loan Tape'!$Q17="",0,'Loan Tape'!$Q17),INDEX(Idx_Curve,1,4)+'Loan Tape'!$M17)),IF('Loan Tape'!$L17="",0,'Loan Tape'!$L17)))</f>
        <v>0.0504</v>
      </c>
      <c r="G324" s="56" t="n">
        <f aca="false">IF('Loan Tape'!$AN17=0,0,IF('Loan Tape'!$K17="Floating",MIN(IF('Loan Tape'!$P17="",10,'Loan Tape'!$P17),MAX(IF('Loan Tape'!$Q17="",0,'Loan Tape'!$Q17),INDEX(Idx_Curve,1,5)+'Loan Tape'!$M17)),IF('Loan Tape'!$L17="",0,'Loan Tape'!$L17)))</f>
        <v>0.0504</v>
      </c>
      <c r="H324" s="56" t="n">
        <f aca="false">IF('Loan Tape'!$AN17=0,0,IF('Loan Tape'!$K17="Floating",MIN(IF('Loan Tape'!$P17="",10,'Loan Tape'!$P17),MAX(IF('Loan Tape'!$Q17="",0,'Loan Tape'!$Q17),INDEX(Idx_Curve,1,6)+'Loan Tape'!$M17)),IF('Loan Tape'!$L17="",0,'Loan Tape'!$L17)))</f>
        <v>0.0504</v>
      </c>
      <c r="I324" s="56" t="n">
        <f aca="false">IF('Loan Tape'!$AN17=0,0,IF('Loan Tape'!$K17="Floating",MIN(IF('Loan Tape'!$P17="",10,'Loan Tape'!$P17),MAX(IF('Loan Tape'!$Q17="",0,'Loan Tape'!$Q17),INDEX(Idx_Curve,1,7)+'Loan Tape'!$M17)),IF('Loan Tape'!$L17="",0,'Loan Tape'!$L17)))</f>
        <v>0.0504</v>
      </c>
      <c r="J324" s="56" t="n">
        <f aca="false">IF('Loan Tape'!$AN17=0,0,IF('Loan Tape'!$K17="Floating",MIN(IF('Loan Tape'!$P17="",10,'Loan Tape'!$P17),MAX(IF('Loan Tape'!$Q17="",0,'Loan Tape'!$Q17),INDEX(Idx_Curve,1,8)+'Loan Tape'!$M17)),IF('Loan Tape'!$L17="",0,'Loan Tape'!$L17)))</f>
        <v>0.0504</v>
      </c>
      <c r="K324" s="56" t="n">
        <f aca="false">IF('Loan Tape'!$AN17=0,0,IF('Loan Tape'!$K17="Floating",MIN(IF('Loan Tape'!$P17="",10,'Loan Tape'!$P17),MAX(IF('Loan Tape'!$Q17="",0,'Loan Tape'!$Q17),INDEX(Idx_Curve,1,9)+'Loan Tape'!$M17)),IF('Loan Tape'!$L17="",0,'Loan Tape'!$L17)))</f>
        <v>0.0504</v>
      </c>
      <c r="L324" s="56" t="n">
        <f aca="false">IF('Loan Tape'!$AN17=0,0,IF('Loan Tape'!$K17="Floating",MIN(IF('Loan Tape'!$P17="",10,'Loan Tape'!$P17),MAX(IF('Loan Tape'!$Q17="",0,'Loan Tape'!$Q17),INDEX(Idx_Curve,1,10)+'Loan Tape'!$M17)),IF('Loan Tape'!$L17="",0,'Loan Tape'!$L17)))</f>
        <v>0.0504</v>
      </c>
    </row>
    <row r="325" customFormat="false" ht="15" hidden="false" customHeight="false" outlineLevel="0" collapsed="false">
      <c r="B325" s="102" t="str">
        <f aca="false">'Loan Tape'!$A18</f>
        <v>L-015</v>
      </c>
      <c r="C325" s="104" t="n">
        <f aca="false">IF('Loan Tape'!$AN18=0,0,IF('Loan Tape'!$K18="Floating",MIN(IF('Loan Tape'!$P18="",10,'Loan Tape'!$P18),MAX(IF('Loan Tape'!$Q18="",0,'Loan Tape'!$Q18),INDEX(Idx_Curve,1,1)+'Loan Tape'!$M18)),IF('Loan Tape'!$L18="",0,'Loan Tape'!$L18)))</f>
        <v>0.0761</v>
      </c>
      <c r="D325" s="104" t="n">
        <f aca="false">IF('Loan Tape'!$AN18=0,0,IF('Loan Tape'!$K18="Floating",MIN(IF('Loan Tape'!$P18="",10,'Loan Tape'!$P18),MAX(IF('Loan Tape'!$Q18="",0,'Loan Tape'!$Q18),INDEX(Idx_Curve,1,2)+'Loan Tape'!$M18)),IF('Loan Tape'!$L18="",0,'Loan Tape'!$L18)))</f>
        <v>0.0711</v>
      </c>
      <c r="E325" s="104" t="n">
        <f aca="false">IF('Loan Tape'!$AN18=0,0,IF('Loan Tape'!$K18="Floating",MIN(IF('Loan Tape'!$P18="",10,'Loan Tape'!$P18),MAX(IF('Loan Tape'!$Q18="",0,'Loan Tape'!$Q18),INDEX(Idx_Curve,1,3)+'Loan Tape'!$M18)),IF('Loan Tape'!$L18="",0,'Loan Tape'!$L18)))</f>
        <v>0.0671</v>
      </c>
      <c r="F325" s="104" t="n">
        <f aca="false">IF('Loan Tape'!$AN18=0,0,IF('Loan Tape'!$K18="Floating",MIN(IF('Loan Tape'!$P18="",10,'Loan Tape'!$P18),MAX(IF('Loan Tape'!$Q18="",0,'Loan Tape'!$Q18),INDEX(Idx_Curve,1,4)+'Loan Tape'!$M18)),IF('Loan Tape'!$L18="",0,'Loan Tape'!$L18)))</f>
        <v>0.0651</v>
      </c>
      <c r="G325" s="104" t="n">
        <f aca="false">IF('Loan Tape'!$AN18=0,0,IF('Loan Tape'!$K18="Floating",MIN(IF('Loan Tape'!$P18="",10,'Loan Tape'!$P18),MAX(IF('Loan Tape'!$Q18="",0,'Loan Tape'!$Q18),INDEX(Idx_Curve,1,5)+'Loan Tape'!$M18)),IF('Loan Tape'!$L18="",0,'Loan Tape'!$L18)))</f>
        <v>0.0641</v>
      </c>
      <c r="H325" s="104" t="n">
        <f aca="false">IF('Loan Tape'!$AN18=0,0,IF('Loan Tape'!$K18="Floating",MIN(IF('Loan Tape'!$P18="",10,'Loan Tape'!$P18),MAX(IF('Loan Tape'!$Q18="",0,'Loan Tape'!$Q18),INDEX(Idx_Curve,1,6)+'Loan Tape'!$M18)),IF('Loan Tape'!$L18="",0,'Loan Tape'!$L18)))</f>
        <v>0.0641</v>
      </c>
      <c r="I325" s="104" t="n">
        <f aca="false">IF('Loan Tape'!$AN18=0,0,IF('Loan Tape'!$K18="Floating",MIN(IF('Loan Tape'!$P18="",10,'Loan Tape'!$P18),MAX(IF('Loan Tape'!$Q18="",0,'Loan Tape'!$Q18),INDEX(Idx_Curve,1,7)+'Loan Tape'!$M18)),IF('Loan Tape'!$L18="",0,'Loan Tape'!$L18)))</f>
        <v>0.0641</v>
      </c>
      <c r="J325" s="104" t="n">
        <f aca="false">IF('Loan Tape'!$AN18=0,0,IF('Loan Tape'!$K18="Floating",MIN(IF('Loan Tape'!$P18="",10,'Loan Tape'!$P18),MAX(IF('Loan Tape'!$Q18="",0,'Loan Tape'!$Q18),INDEX(Idx_Curve,1,8)+'Loan Tape'!$M18)),IF('Loan Tape'!$L18="",0,'Loan Tape'!$L18)))</f>
        <v>0.0641</v>
      </c>
      <c r="K325" s="104" t="n">
        <f aca="false">IF('Loan Tape'!$AN18=0,0,IF('Loan Tape'!$K18="Floating",MIN(IF('Loan Tape'!$P18="",10,'Loan Tape'!$P18),MAX(IF('Loan Tape'!$Q18="",0,'Loan Tape'!$Q18),INDEX(Idx_Curve,1,9)+'Loan Tape'!$M18)),IF('Loan Tape'!$L18="",0,'Loan Tape'!$L18)))</f>
        <v>0.0641</v>
      </c>
      <c r="L325" s="104" t="n">
        <f aca="false">IF('Loan Tape'!$AN18=0,0,IF('Loan Tape'!$K18="Floating",MIN(IF('Loan Tape'!$P18="",10,'Loan Tape'!$P18),MAX(IF('Loan Tape'!$Q18="",0,'Loan Tape'!$Q18),INDEX(Idx_Curve,1,10)+'Loan Tape'!$M18)),IF('Loan Tape'!$L18="",0,'Loan Tape'!$L18)))</f>
        <v>0.0641</v>
      </c>
    </row>
    <row r="326" customFormat="false" ht="15" hidden="false" customHeight="false" outlineLevel="0" collapsed="false">
      <c r="B326" s="108" t="str">
        <f aca="false">'Loan Tape'!$A19</f>
        <v>L-016</v>
      </c>
      <c r="C326" s="56" t="n">
        <f aca="false">IF('Loan Tape'!$AN19=0,0,IF('Loan Tape'!$K19="Floating",MIN(IF('Loan Tape'!$P19="",10,'Loan Tape'!$P19),MAX(IF('Loan Tape'!$Q19="",0,'Loan Tape'!$Q19),INDEX(Idx_Curve,1,1)+'Loan Tape'!$M19)),IF('Loan Tape'!$L19="",0,'Loan Tape'!$L19)))</f>
        <v>0.0664</v>
      </c>
      <c r="D326" s="56" t="n">
        <f aca="false">IF('Loan Tape'!$AN19=0,0,IF('Loan Tape'!$K19="Floating",MIN(IF('Loan Tape'!$P19="",10,'Loan Tape'!$P19),MAX(IF('Loan Tape'!$Q19="",0,'Loan Tape'!$Q19),INDEX(Idx_Curve,1,2)+'Loan Tape'!$M19)),IF('Loan Tape'!$L19="",0,'Loan Tape'!$L19)))</f>
        <v>0.0614</v>
      </c>
      <c r="E326" s="56" t="n">
        <f aca="false">IF('Loan Tape'!$AN19=0,0,IF('Loan Tape'!$K19="Floating",MIN(IF('Loan Tape'!$P19="",10,'Loan Tape'!$P19),MAX(IF('Loan Tape'!$Q19="",0,'Loan Tape'!$Q19),INDEX(Idx_Curve,1,3)+'Loan Tape'!$M19)),IF('Loan Tape'!$L19="",0,'Loan Tape'!$L19)))</f>
        <v>0.0574</v>
      </c>
      <c r="F326" s="56" t="n">
        <f aca="false">IF('Loan Tape'!$AN19=0,0,IF('Loan Tape'!$K19="Floating",MIN(IF('Loan Tape'!$P19="",10,'Loan Tape'!$P19),MAX(IF('Loan Tape'!$Q19="",0,'Loan Tape'!$Q19),INDEX(Idx_Curve,1,4)+'Loan Tape'!$M19)),IF('Loan Tape'!$L19="",0,'Loan Tape'!$L19)))</f>
        <v>0.0554</v>
      </c>
      <c r="G326" s="56" t="n">
        <f aca="false">IF('Loan Tape'!$AN19=0,0,IF('Loan Tape'!$K19="Floating",MIN(IF('Loan Tape'!$P19="",10,'Loan Tape'!$P19),MAX(IF('Loan Tape'!$Q19="",0,'Loan Tape'!$Q19),INDEX(Idx_Curve,1,5)+'Loan Tape'!$M19)),IF('Loan Tape'!$L19="",0,'Loan Tape'!$L19)))</f>
        <v>0.0544</v>
      </c>
      <c r="H326" s="56" t="n">
        <f aca="false">IF('Loan Tape'!$AN19=0,0,IF('Loan Tape'!$K19="Floating",MIN(IF('Loan Tape'!$P19="",10,'Loan Tape'!$P19),MAX(IF('Loan Tape'!$Q19="",0,'Loan Tape'!$Q19),INDEX(Idx_Curve,1,6)+'Loan Tape'!$M19)),IF('Loan Tape'!$L19="",0,'Loan Tape'!$L19)))</f>
        <v>0.0544</v>
      </c>
      <c r="I326" s="56" t="n">
        <f aca="false">IF('Loan Tape'!$AN19=0,0,IF('Loan Tape'!$K19="Floating",MIN(IF('Loan Tape'!$P19="",10,'Loan Tape'!$P19),MAX(IF('Loan Tape'!$Q19="",0,'Loan Tape'!$Q19),INDEX(Idx_Curve,1,7)+'Loan Tape'!$M19)),IF('Loan Tape'!$L19="",0,'Loan Tape'!$L19)))</f>
        <v>0.0544</v>
      </c>
      <c r="J326" s="56" t="n">
        <f aca="false">IF('Loan Tape'!$AN19=0,0,IF('Loan Tape'!$K19="Floating",MIN(IF('Loan Tape'!$P19="",10,'Loan Tape'!$P19),MAX(IF('Loan Tape'!$Q19="",0,'Loan Tape'!$Q19),INDEX(Idx_Curve,1,8)+'Loan Tape'!$M19)),IF('Loan Tape'!$L19="",0,'Loan Tape'!$L19)))</f>
        <v>0.0544</v>
      </c>
      <c r="K326" s="56" t="n">
        <f aca="false">IF('Loan Tape'!$AN19=0,0,IF('Loan Tape'!$K19="Floating",MIN(IF('Loan Tape'!$P19="",10,'Loan Tape'!$P19),MAX(IF('Loan Tape'!$Q19="",0,'Loan Tape'!$Q19),INDEX(Idx_Curve,1,9)+'Loan Tape'!$M19)),IF('Loan Tape'!$L19="",0,'Loan Tape'!$L19)))</f>
        <v>0.0544</v>
      </c>
      <c r="L326" s="56" t="n">
        <f aca="false">IF('Loan Tape'!$AN19=0,0,IF('Loan Tape'!$K19="Floating",MIN(IF('Loan Tape'!$P19="",10,'Loan Tape'!$P19),MAX(IF('Loan Tape'!$Q19="",0,'Loan Tape'!$Q19),INDEX(Idx_Curve,1,10)+'Loan Tape'!$M19)),IF('Loan Tape'!$L19="",0,'Loan Tape'!$L19)))</f>
        <v>0.0544</v>
      </c>
    </row>
    <row r="327" customFormat="false" ht="15" hidden="false" customHeight="false" outlineLevel="0" collapsed="false">
      <c r="B327" s="102" t="str">
        <f aca="false">'Loan Tape'!$A20</f>
        <v>L-017</v>
      </c>
      <c r="C327" s="104" t="n">
        <f aca="false">IF('Loan Tape'!$AN20=0,0,IF('Loan Tape'!$K20="Floating",MIN(IF('Loan Tape'!$P20="",10,'Loan Tape'!$P20),MAX(IF('Loan Tape'!$Q20="",0,'Loan Tape'!$Q20),INDEX(Idx_Curve,1,1)+'Loan Tape'!$M20)),IF('Loan Tape'!$L20="",0,'Loan Tape'!$L20)))</f>
        <v>0.0453</v>
      </c>
      <c r="D327" s="104" t="n">
        <f aca="false">IF('Loan Tape'!$AN20=0,0,IF('Loan Tape'!$K20="Floating",MIN(IF('Loan Tape'!$P20="",10,'Loan Tape'!$P20),MAX(IF('Loan Tape'!$Q20="",0,'Loan Tape'!$Q20),INDEX(Idx_Curve,1,2)+'Loan Tape'!$M20)),IF('Loan Tape'!$L20="",0,'Loan Tape'!$L20)))</f>
        <v>0.0453</v>
      </c>
      <c r="E327" s="104" t="n">
        <f aca="false">IF('Loan Tape'!$AN20=0,0,IF('Loan Tape'!$K20="Floating",MIN(IF('Loan Tape'!$P20="",10,'Loan Tape'!$P20),MAX(IF('Loan Tape'!$Q20="",0,'Loan Tape'!$Q20),INDEX(Idx_Curve,1,3)+'Loan Tape'!$M20)),IF('Loan Tape'!$L20="",0,'Loan Tape'!$L20)))</f>
        <v>0.0453</v>
      </c>
      <c r="F327" s="104" t="n">
        <f aca="false">IF('Loan Tape'!$AN20=0,0,IF('Loan Tape'!$K20="Floating",MIN(IF('Loan Tape'!$P20="",10,'Loan Tape'!$P20),MAX(IF('Loan Tape'!$Q20="",0,'Loan Tape'!$Q20),INDEX(Idx_Curve,1,4)+'Loan Tape'!$M20)),IF('Loan Tape'!$L20="",0,'Loan Tape'!$L20)))</f>
        <v>0.0453</v>
      </c>
      <c r="G327" s="104" t="n">
        <f aca="false">IF('Loan Tape'!$AN20=0,0,IF('Loan Tape'!$K20="Floating",MIN(IF('Loan Tape'!$P20="",10,'Loan Tape'!$P20),MAX(IF('Loan Tape'!$Q20="",0,'Loan Tape'!$Q20),INDEX(Idx_Curve,1,5)+'Loan Tape'!$M20)),IF('Loan Tape'!$L20="",0,'Loan Tape'!$L20)))</f>
        <v>0.0453</v>
      </c>
      <c r="H327" s="104" t="n">
        <f aca="false">IF('Loan Tape'!$AN20=0,0,IF('Loan Tape'!$K20="Floating",MIN(IF('Loan Tape'!$P20="",10,'Loan Tape'!$P20),MAX(IF('Loan Tape'!$Q20="",0,'Loan Tape'!$Q20),INDEX(Idx_Curve,1,6)+'Loan Tape'!$M20)),IF('Loan Tape'!$L20="",0,'Loan Tape'!$L20)))</f>
        <v>0.0453</v>
      </c>
      <c r="I327" s="104" t="n">
        <f aca="false">IF('Loan Tape'!$AN20=0,0,IF('Loan Tape'!$K20="Floating",MIN(IF('Loan Tape'!$P20="",10,'Loan Tape'!$P20),MAX(IF('Loan Tape'!$Q20="",0,'Loan Tape'!$Q20),INDEX(Idx_Curve,1,7)+'Loan Tape'!$M20)),IF('Loan Tape'!$L20="",0,'Loan Tape'!$L20)))</f>
        <v>0.0453</v>
      </c>
      <c r="J327" s="104" t="n">
        <f aca="false">IF('Loan Tape'!$AN20=0,0,IF('Loan Tape'!$K20="Floating",MIN(IF('Loan Tape'!$P20="",10,'Loan Tape'!$P20),MAX(IF('Loan Tape'!$Q20="",0,'Loan Tape'!$Q20),INDEX(Idx_Curve,1,8)+'Loan Tape'!$M20)),IF('Loan Tape'!$L20="",0,'Loan Tape'!$L20)))</f>
        <v>0.0453</v>
      </c>
      <c r="K327" s="104" t="n">
        <f aca="false">IF('Loan Tape'!$AN20=0,0,IF('Loan Tape'!$K20="Floating",MIN(IF('Loan Tape'!$P20="",10,'Loan Tape'!$P20),MAX(IF('Loan Tape'!$Q20="",0,'Loan Tape'!$Q20),INDEX(Idx_Curve,1,9)+'Loan Tape'!$M20)),IF('Loan Tape'!$L20="",0,'Loan Tape'!$L20)))</f>
        <v>0.0453</v>
      </c>
      <c r="L327" s="104" t="n">
        <f aca="false">IF('Loan Tape'!$AN20=0,0,IF('Loan Tape'!$K20="Floating",MIN(IF('Loan Tape'!$P20="",10,'Loan Tape'!$P20),MAX(IF('Loan Tape'!$Q20="",0,'Loan Tape'!$Q20),INDEX(Idx_Curve,1,10)+'Loan Tape'!$M20)),IF('Loan Tape'!$L20="",0,'Loan Tape'!$L20)))</f>
        <v>0.0453</v>
      </c>
    </row>
    <row r="328" customFormat="false" ht="15" hidden="false" customHeight="false" outlineLevel="0" collapsed="false">
      <c r="B328" s="108" t="str">
        <f aca="false">'Loan Tape'!$A21</f>
        <v>L-018</v>
      </c>
      <c r="C328" s="56" t="n">
        <f aca="false">IF('Loan Tape'!$AN21=0,0,IF('Loan Tape'!$K21="Floating",MIN(IF('Loan Tape'!$P21="",10,'Loan Tape'!$P21),MAX(IF('Loan Tape'!$Q21="",0,'Loan Tape'!$Q21),INDEX(Idx_Curve,1,1)+'Loan Tape'!$M21)),IF('Loan Tape'!$L21="",0,'Loan Tape'!$L21)))</f>
        <v>0.0722</v>
      </c>
      <c r="D328" s="56" t="n">
        <f aca="false">IF('Loan Tape'!$AN21=0,0,IF('Loan Tape'!$K21="Floating",MIN(IF('Loan Tape'!$P21="",10,'Loan Tape'!$P21),MAX(IF('Loan Tape'!$Q21="",0,'Loan Tape'!$Q21),INDEX(Idx_Curve,1,2)+'Loan Tape'!$M21)),IF('Loan Tape'!$L21="",0,'Loan Tape'!$L21)))</f>
        <v>0.0672</v>
      </c>
      <c r="E328" s="56" t="n">
        <f aca="false">IF('Loan Tape'!$AN21=0,0,IF('Loan Tape'!$K21="Floating",MIN(IF('Loan Tape'!$P21="",10,'Loan Tape'!$P21),MAX(IF('Loan Tape'!$Q21="",0,'Loan Tape'!$Q21),INDEX(Idx_Curve,1,3)+'Loan Tape'!$M21)),IF('Loan Tape'!$L21="",0,'Loan Tape'!$L21)))</f>
        <v>0.0632</v>
      </c>
      <c r="F328" s="56" t="n">
        <f aca="false">IF('Loan Tape'!$AN21=0,0,IF('Loan Tape'!$K21="Floating",MIN(IF('Loan Tape'!$P21="",10,'Loan Tape'!$P21),MAX(IF('Loan Tape'!$Q21="",0,'Loan Tape'!$Q21),INDEX(Idx_Curve,1,4)+'Loan Tape'!$M21)),IF('Loan Tape'!$L21="",0,'Loan Tape'!$L21)))</f>
        <v>0.0612</v>
      </c>
      <c r="G328" s="56" t="n">
        <f aca="false">IF('Loan Tape'!$AN21=0,0,IF('Loan Tape'!$K21="Floating",MIN(IF('Loan Tape'!$P21="",10,'Loan Tape'!$P21),MAX(IF('Loan Tape'!$Q21="",0,'Loan Tape'!$Q21),INDEX(Idx_Curve,1,5)+'Loan Tape'!$M21)),IF('Loan Tape'!$L21="",0,'Loan Tape'!$L21)))</f>
        <v>0.0602</v>
      </c>
      <c r="H328" s="56" t="n">
        <f aca="false">IF('Loan Tape'!$AN21=0,0,IF('Loan Tape'!$K21="Floating",MIN(IF('Loan Tape'!$P21="",10,'Loan Tape'!$P21),MAX(IF('Loan Tape'!$Q21="",0,'Loan Tape'!$Q21),INDEX(Idx_Curve,1,6)+'Loan Tape'!$M21)),IF('Loan Tape'!$L21="",0,'Loan Tape'!$L21)))</f>
        <v>0.0602</v>
      </c>
      <c r="I328" s="56" t="n">
        <f aca="false">IF('Loan Tape'!$AN21=0,0,IF('Loan Tape'!$K21="Floating",MIN(IF('Loan Tape'!$P21="",10,'Loan Tape'!$P21),MAX(IF('Loan Tape'!$Q21="",0,'Loan Tape'!$Q21),INDEX(Idx_Curve,1,7)+'Loan Tape'!$M21)),IF('Loan Tape'!$L21="",0,'Loan Tape'!$L21)))</f>
        <v>0.0602</v>
      </c>
      <c r="J328" s="56" t="n">
        <f aca="false">IF('Loan Tape'!$AN21=0,0,IF('Loan Tape'!$K21="Floating",MIN(IF('Loan Tape'!$P21="",10,'Loan Tape'!$P21),MAX(IF('Loan Tape'!$Q21="",0,'Loan Tape'!$Q21),INDEX(Idx_Curve,1,8)+'Loan Tape'!$M21)),IF('Loan Tape'!$L21="",0,'Loan Tape'!$L21)))</f>
        <v>0.0602</v>
      </c>
      <c r="K328" s="56" t="n">
        <f aca="false">IF('Loan Tape'!$AN21=0,0,IF('Loan Tape'!$K21="Floating",MIN(IF('Loan Tape'!$P21="",10,'Loan Tape'!$P21),MAX(IF('Loan Tape'!$Q21="",0,'Loan Tape'!$Q21),INDEX(Idx_Curve,1,9)+'Loan Tape'!$M21)),IF('Loan Tape'!$L21="",0,'Loan Tape'!$L21)))</f>
        <v>0.0602</v>
      </c>
      <c r="L328" s="56" t="n">
        <f aca="false">IF('Loan Tape'!$AN21=0,0,IF('Loan Tape'!$K21="Floating",MIN(IF('Loan Tape'!$P21="",10,'Loan Tape'!$P21),MAX(IF('Loan Tape'!$Q21="",0,'Loan Tape'!$Q21),INDEX(Idx_Curve,1,10)+'Loan Tape'!$M21)),IF('Loan Tape'!$L21="",0,'Loan Tape'!$L21)))</f>
        <v>0.0602</v>
      </c>
    </row>
    <row r="329" customFormat="false" ht="15" hidden="false" customHeight="false" outlineLevel="0" collapsed="false">
      <c r="B329" s="102" t="str">
        <f aca="false">'Loan Tape'!$A22</f>
        <v>L-019</v>
      </c>
      <c r="C329" s="104" t="n">
        <f aca="false">IF('Loan Tape'!$AN22=0,0,IF('Loan Tape'!$K22="Floating",MIN(IF('Loan Tape'!$P22="",10,'Loan Tape'!$P22),MAX(IF('Loan Tape'!$Q22="",0,'Loan Tape'!$Q22),INDEX(Idx_Curve,1,1)+'Loan Tape'!$M22)),IF('Loan Tape'!$L22="",0,'Loan Tape'!$L22)))</f>
        <v>0.0816</v>
      </c>
      <c r="D329" s="104" t="n">
        <f aca="false">IF('Loan Tape'!$AN22=0,0,IF('Loan Tape'!$K22="Floating",MIN(IF('Loan Tape'!$P22="",10,'Loan Tape'!$P22),MAX(IF('Loan Tape'!$Q22="",0,'Loan Tape'!$Q22),INDEX(Idx_Curve,1,2)+'Loan Tape'!$M22)),IF('Loan Tape'!$L22="",0,'Loan Tape'!$L22)))</f>
        <v>0.0766</v>
      </c>
      <c r="E329" s="104" t="n">
        <f aca="false">IF('Loan Tape'!$AN22=0,0,IF('Loan Tape'!$K22="Floating",MIN(IF('Loan Tape'!$P22="",10,'Loan Tape'!$P22),MAX(IF('Loan Tape'!$Q22="",0,'Loan Tape'!$Q22),INDEX(Idx_Curve,1,3)+'Loan Tape'!$M22)),IF('Loan Tape'!$L22="",0,'Loan Tape'!$L22)))</f>
        <v>0.0726</v>
      </c>
      <c r="F329" s="104" t="n">
        <f aca="false">IF('Loan Tape'!$AN22=0,0,IF('Loan Tape'!$K22="Floating",MIN(IF('Loan Tape'!$P22="",10,'Loan Tape'!$P22),MAX(IF('Loan Tape'!$Q22="",0,'Loan Tape'!$Q22),INDEX(Idx_Curve,1,4)+'Loan Tape'!$M22)),IF('Loan Tape'!$L22="",0,'Loan Tape'!$L22)))</f>
        <v>0.0706</v>
      </c>
      <c r="G329" s="104" t="n">
        <f aca="false">IF('Loan Tape'!$AN22=0,0,IF('Loan Tape'!$K22="Floating",MIN(IF('Loan Tape'!$P22="",10,'Loan Tape'!$P22),MAX(IF('Loan Tape'!$Q22="",0,'Loan Tape'!$Q22),INDEX(Idx_Curve,1,5)+'Loan Tape'!$M22)),IF('Loan Tape'!$L22="",0,'Loan Tape'!$L22)))</f>
        <v>0.0696</v>
      </c>
      <c r="H329" s="104" t="n">
        <f aca="false">IF('Loan Tape'!$AN22=0,0,IF('Loan Tape'!$K22="Floating",MIN(IF('Loan Tape'!$P22="",10,'Loan Tape'!$P22),MAX(IF('Loan Tape'!$Q22="",0,'Loan Tape'!$Q22),INDEX(Idx_Curve,1,6)+'Loan Tape'!$M22)),IF('Loan Tape'!$L22="",0,'Loan Tape'!$L22)))</f>
        <v>0.0696</v>
      </c>
      <c r="I329" s="104" t="n">
        <f aca="false">IF('Loan Tape'!$AN22=0,0,IF('Loan Tape'!$K22="Floating",MIN(IF('Loan Tape'!$P22="",10,'Loan Tape'!$P22),MAX(IF('Loan Tape'!$Q22="",0,'Loan Tape'!$Q22),INDEX(Idx_Curve,1,7)+'Loan Tape'!$M22)),IF('Loan Tape'!$L22="",0,'Loan Tape'!$L22)))</f>
        <v>0.0696</v>
      </c>
      <c r="J329" s="104" t="n">
        <f aca="false">IF('Loan Tape'!$AN22=0,0,IF('Loan Tape'!$K22="Floating",MIN(IF('Loan Tape'!$P22="",10,'Loan Tape'!$P22),MAX(IF('Loan Tape'!$Q22="",0,'Loan Tape'!$Q22),INDEX(Idx_Curve,1,8)+'Loan Tape'!$M22)),IF('Loan Tape'!$L22="",0,'Loan Tape'!$L22)))</f>
        <v>0.0696</v>
      </c>
      <c r="K329" s="104" t="n">
        <f aca="false">IF('Loan Tape'!$AN22=0,0,IF('Loan Tape'!$K22="Floating",MIN(IF('Loan Tape'!$P22="",10,'Loan Tape'!$P22),MAX(IF('Loan Tape'!$Q22="",0,'Loan Tape'!$Q22),INDEX(Idx_Curve,1,9)+'Loan Tape'!$M22)),IF('Loan Tape'!$L22="",0,'Loan Tape'!$L22)))</f>
        <v>0.0696</v>
      </c>
      <c r="L329" s="104" t="n">
        <f aca="false">IF('Loan Tape'!$AN22=0,0,IF('Loan Tape'!$K22="Floating",MIN(IF('Loan Tape'!$P22="",10,'Loan Tape'!$P22),MAX(IF('Loan Tape'!$Q22="",0,'Loan Tape'!$Q22),INDEX(Idx_Curve,1,10)+'Loan Tape'!$M22)),IF('Loan Tape'!$L22="",0,'Loan Tape'!$L22)))</f>
        <v>0.0696</v>
      </c>
    </row>
    <row r="330" customFormat="false" ht="15" hidden="false" customHeight="false" outlineLevel="0" collapsed="false">
      <c r="B330" s="108" t="str">
        <f aca="false">'Loan Tape'!$A23</f>
        <v>L-020</v>
      </c>
      <c r="C330" s="56" t="n">
        <f aca="false">IF('Loan Tape'!$AN23=0,0,IF('Loan Tape'!$K23="Floating",MIN(IF('Loan Tape'!$P23="",10,'Loan Tape'!$P23),MAX(IF('Loan Tape'!$Q23="",0,'Loan Tape'!$Q23),INDEX(Idx_Curve,1,1)+'Loan Tape'!$M23)),IF('Loan Tape'!$L23="",0,'Loan Tape'!$L23)))</f>
        <v>0.0886</v>
      </c>
      <c r="D330" s="56" t="n">
        <f aca="false">IF('Loan Tape'!$AN23=0,0,IF('Loan Tape'!$K23="Floating",MIN(IF('Loan Tape'!$P23="",10,'Loan Tape'!$P23),MAX(IF('Loan Tape'!$Q23="",0,'Loan Tape'!$Q23),INDEX(Idx_Curve,1,2)+'Loan Tape'!$M23)),IF('Loan Tape'!$L23="",0,'Loan Tape'!$L23)))</f>
        <v>0.0836</v>
      </c>
      <c r="E330" s="56" t="n">
        <f aca="false">IF('Loan Tape'!$AN23=0,0,IF('Loan Tape'!$K23="Floating",MIN(IF('Loan Tape'!$P23="",10,'Loan Tape'!$P23),MAX(IF('Loan Tape'!$Q23="",0,'Loan Tape'!$Q23),INDEX(Idx_Curve,1,3)+'Loan Tape'!$M23)),IF('Loan Tape'!$L23="",0,'Loan Tape'!$L23)))</f>
        <v>0.0796</v>
      </c>
      <c r="F330" s="56" t="n">
        <f aca="false">IF('Loan Tape'!$AN23=0,0,IF('Loan Tape'!$K23="Floating",MIN(IF('Loan Tape'!$P23="",10,'Loan Tape'!$P23),MAX(IF('Loan Tape'!$Q23="",0,'Loan Tape'!$Q23),INDEX(Idx_Curve,1,4)+'Loan Tape'!$M23)),IF('Loan Tape'!$L23="",0,'Loan Tape'!$L23)))</f>
        <v>0.0776</v>
      </c>
      <c r="G330" s="56" t="n">
        <f aca="false">IF('Loan Tape'!$AN23=0,0,IF('Loan Tape'!$K23="Floating",MIN(IF('Loan Tape'!$P23="",10,'Loan Tape'!$P23),MAX(IF('Loan Tape'!$Q23="",0,'Loan Tape'!$Q23),INDEX(Idx_Curve,1,5)+'Loan Tape'!$M23)),IF('Loan Tape'!$L23="",0,'Loan Tape'!$L23)))</f>
        <v>0.0766</v>
      </c>
      <c r="H330" s="56" t="n">
        <f aca="false">IF('Loan Tape'!$AN23=0,0,IF('Loan Tape'!$K23="Floating",MIN(IF('Loan Tape'!$P23="",10,'Loan Tape'!$P23),MAX(IF('Loan Tape'!$Q23="",0,'Loan Tape'!$Q23),INDEX(Idx_Curve,1,6)+'Loan Tape'!$M23)),IF('Loan Tape'!$L23="",0,'Loan Tape'!$L23)))</f>
        <v>0.0766</v>
      </c>
      <c r="I330" s="56" t="n">
        <f aca="false">IF('Loan Tape'!$AN23=0,0,IF('Loan Tape'!$K23="Floating",MIN(IF('Loan Tape'!$P23="",10,'Loan Tape'!$P23),MAX(IF('Loan Tape'!$Q23="",0,'Loan Tape'!$Q23),INDEX(Idx_Curve,1,7)+'Loan Tape'!$M23)),IF('Loan Tape'!$L23="",0,'Loan Tape'!$L23)))</f>
        <v>0.0766</v>
      </c>
      <c r="J330" s="56" t="n">
        <f aca="false">IF('Loan Tape'!$AN23=0,0,IF('Loan Tape'!$K23="Floating",MIN(IF('Loan Tape'!$P23="",10,'Loan Tape'!$P23),MAX(IF('Loan Tape'!$Q23="",0,'Loan Tape'!$Q23),INDEX(Idx_Curve,1,8)+'Loan Tape'!$M23)),IF('Loan Tape'!$L23="",0,'Loan Tape'!$L23)))</f>
        <v>0.0766</v>
      </c>
      <c r="K330" s="56" t="n">
        <f aca="false">IF('Loan Tape'!$AN23=0,0,IF('Loan Tape'!$K23="Floating",MIN(IF('Loan Tape'!$P23="",10,'Loan Tape'!$P23),MAX(IF('Loan Tape'!$Q23="",0,'Loan Tape'!$Q23),INDEX(Idx_Curve,1,9)+'Loan Tape'!$M23)),IF('Loan Tape'!$L23="",0,'Loan Tape'!$L23)))</f>
        <v>0.0766</v>
      </c>
      <c r="L330" s="56" t="n">
        <f aca="false">IF('Loan Tape'!$AN23=0,0,IF('Loan Tape'!$K23="Floating",MIN(IF('Loan Tape'!$P23="",10,'Loan Tape'!$P23),MAX(IF('Loan Tape'!$Q23="",0,'Loan Tape'!$Q23),INDEX(Idx_Curve,1,10)+'Loan Tape'!$M23)),IF('Loan Tape'!$L23="",0,'Loan Tape'!$L23)))</f>
        <v>0.0766</v>
      </c>
    </row>
    <row r="331" customFormat="false" ht="15" hidden="false" customHeight="false" outlineLevel="0" collapsed="false">
      <c r="B331" s="102" t="str">
        <f aca="false">'Loan Tape'!$A24</f>
        <v>L-021</v>
      </c>
      <c r="C331" s="104" t="n">
        <f aca="false">IF('Loan Tape'!$AN24=0,0,IF('Loan Tape'!$K24="Floating",MIN(IF('Loan Tape'!$P24="",10,'Loan Tape'!$P24),MAX(IF('Loan Tape'!$Q24="",0,'Loan Tape'!$Q24),INDEX(Idx_Curve,1,1)+'Loan Tape'!$M24)),IF('Loan Tape'!$L24="",0,'Loan Tape'!$L24)))</f>
        <v>0.0745</v>
      </c>
      <c r="D331" s="104" t="n">
        <f aca="false">IF('Loan Tape'!$AN24=0,0,IF('Loan Tape'!$K24="Floating",MIN(IF('Loan Tape'!$P24="",10,'Loan Tape'!$P24),MAX(IF('Loan Tape'!$Q24="",0,'Loan Tape'!$Q24),INDEX(Idx_Curve,1,2)+'Loan Tape'!$M24)),IF('Loan Tape'!$L24="",0,'Loan Tape'!$L24)))</f>
        <v>0.0695</v>
      </c>
      <c r="E331" s="104" t="n">
        <f aca="false">IF('Loan Tape'!$AN24=0,0,IF('Loan Tape'!$K24="Floating",MIN(IF('Loan Tape'!$P24="",10,'Loan Tape'!$P24),MAX(IF('Loan Tape'!$Q24="",0,'Loan Tape'!$Q24),INDEX(Idx_Curve,1,3)+'Loan Tape'!$M24)),IF('Loan Tape'!$L24="",0,'Loan Tape'!$L24)))</f>
        <v>0.0655</v>
      </c>
      <c r="F331" s="104" t="n">
        <f aca="false">IF('Loan Tape'!$AN24=0,0,IF('Loan Tape'!$K24="Floating",MIN(IF('Loan Tape'!$P24="",10,'Loan Tape'!$P24),MAX(IF('Loan Tape'!$Q24="",0,'Loan Tape'!$Q24),INDEX(Idx_Curve,1,4)+'Loan Tape'!$M24)),IF('Loan Tape'!$L24="",0,'Loan Tape'!$L24)))</f>
        <v>0.0635</v>
      </c>
      <c r="G331" s="104" t="n">
        <f aca="false">IF('Loan Tape'!$AN24=0,0,IF('Loan Tape'!$K24="Floating",MIN(IF('Loan Tape'!$P24="",10,'Loan Tape'!$P24),MAX(IF('Loan Tape'!$Q24="",0,'Loan Tape'!$Q24),INDEX(Idx_Curve,1,5)+'Loan Tape'!$M24)),IF('Loan Tape'!$L24="",0,'Loan Tape'!$L24)))</f>
        <v>0.0625</v>
      </c>
      <c r="H331" s="104" t="n">
        <f aca="false">IF('Loan Tape'!$AN24=0,0,IF('Loan Tape'!$K24="Floating",MIN(IF('Loan Tape'!$P24="",10,'Loan Tape'!$P24),MAX(IF('Loan Tape'!$Q24="",0,'Loan Tape'!$Q24),INDEX(Idx_Curve,1,6)+'Loan Tape'!$M24)),IF('Loan Tape'!$L24="",0,'Loan Tape'!$L24)))</f>
        <v>0.0625</v>
      </c>
      <c r="I331" s="104" t="n">
        <f aca="false">IF('Loan Tape'!$AN24=0,0,IF('Loan Tape'!$K24="Floating",MIN(IF('Loan Tape'!$P24="",10,'Loan Tape'!$P24),MAX(IF('Loan Tape'!$Q24="",0,'Loan Tape'!$Q24),INDEX(Idx_Curve,1,7)+'Loan Tape'!$M24)),IF('Loan Tape'!$L24="",0,'Loan Tape'!$L24)))</f>
        <v>0.0625</v>
      </c>
      <c r="J331" s="104" t="n">
        <f aca="false">IF('Loan Tape'!$AN24=0,0,IF('Loan Tape'!$K24="Floating",MIN(IF('Loan Tape'!$P24="",10,'Loan Tape'!$P24),MAX(IF('Loan Tape'!$Q24="",0,'Loan Tape'!$Q24),INDEX(Idx_Curve,1,8)+'Loan Tape'!$M24)),IF('Loan Tape'!$L24="",0,'Loan Tape'!$L24)))</f>
        <v>0.0625</v>
      </c>
      <c r="K331" s="104" t="n">
        <f aca="false">IF('Loan Tape'!$AN24=0,0,IF('Loan Tape'!$K24="Floating",MIN(IF('Loan Tape'!$P24="",10,'Loan Tape'!$P24),MAX(IF('Loan Tape'!$Q24="",0,'Loan Tape'!$Q24),INDEX(Idx_Curve,1,9)+'Loan Tape'!$M24)),IF('Loan Tape'!$L24="",0,'Loan Tape'!$L24)))</f>
        <v>0.0625</v>
      </c>
      <c r="L331" s="104" t="n">
        <f aca="false">IF('Loan Tape'!$AN24=0,0,IF('Loan Tape'!$K24="Floating",MIN(IF('Loan Tape'!$P24="",10,'Loan Tape'!$P24),MAX(IF('Loan Tape'!$Q24="",0,'Loan Tape'!$Q24),INDEX(Idx_Curve,1,10)+'Loan Tape'!$M24)),IF('Loan Tape'!$L24="",0,'Loan Tape'!$L24)))</f>
        <v>0.0625</v>
      </c>
    </row>
    <row r="332" customFormat="false" ht="15" hidden="false" customHeight="false" outlineLevel="0" collapsed="false">
      <c r="B332" s="108" t="str">
        <f aca="false">'Loan Tape'!$A25</f>
        <v>L-022</v>
      </c>
      <c r="C332" s="56" t="n">
        <f aca="false">IF('Loan Tape'!$AN25=0,0,IF('Loan Tape'!$K25="Floating",MIN(IF('Loan Tape'!$P25="",10,'Loan Tape'!$P25),MAX(IF('Loan Tape'!$Q25="",0,'Loan Tape'!$Q25),INDEX(Idx_Curve,1,1)+'Loan Tape'!$M25)),IF('Loan Tape'!$L25="",0,'Loan Tape'!$L25)))</f>
        <v>0.0492</v>
      </c>
      <c r="D332" s="56" t="n">
        <f aca="false">IF('Loan Tape'!$AN25=0,0,IF('Loan Tape'!$K25="Floating",MIN(IF('Loan Tape'!$P25="",10,'Loan Tape'!$P25),MAX(IF('Loan Tape'!$Q25="",0,'Loan Tape'!$Q25),INDEX(Idx_Curve,1,2)+'Loan Tape'!$M25)),IF('Loan Tape'!$L25="",0,'Loan Tape'!$L25)))</f>
        <v>0.0492</v>
      </c>
      <c r="E332" s="56" t="n">
        <f aca="false">IF('Loan Tape'!$AN25=0,0,IF('Loan Tape'!$K25="Floating",MIN(IF('Loan Tape'!$P25="",10,'Loan Tape'!$P25),MAX(IF('Loan Tape'!$Q25="",0,'Loan Tape'!$Q25),INDEX(Idx_Curve,1,3)+'Loan Tape'!$M25)),IF('Loan Tape'!$L25="",0,'Loan Tape'!$L25)))</f>
        <v>0.0492</v>
      </c>
      <c r="F332" s="56" t="n">
        <f aca="false">IF('Loan Tape'!$AN25=0,0,IF('Loan Tape'!$K25="Floating",MIN(IF('Loan Tape'!$P25="",10,'Loan Tape'!$P25),MAX(IF('Loan Tape'!$Q25="",0,'Loan Tape'!$Q25),INDEX(Idx_Curve,1,4)+'Loan Tape'!$M25)),IF('Loan Tape'!$L25="",0,'Loan Tape'!$L25)))</f>
        <v>0.0492</v>
      </c>
      <c r="G332" s="56" t="n">
        <f aca="false">IF('Loan Tape'!$AN25=0,0,IF('Loan Tape'!$K25="Floating",MIN(IF('Loan Tape'!$P25="",10,'Loan Tape'!$P25),MAX(IF('Loan Tape'!$Q25="",0,'Loan Tape'!$Q25),INDEX(Idx_Curve,1,5)+'Loan Tape'!$M25)),IF('Loan Tape'!$L25="",0,'Loan Tape'!$L25)))</f>
        <v>0.0492</v>
      </c>
      <c r="H332" s="56" t="n">
        <f aca="false">IF('Loan Tape'!$AN25=0,0,IF('Loan Tape'!$K25="Floating",MIN(IF('Loan Tape'!$P25="",10,'Loan Tape'!$P25),MAX(IF('Loan Tape'!$Q25="",0,'Loan Tape'!$Q25),INDEX(Idx_Curve,1,6)+'Loan Tape'!$M25)),IF('Loan Tape'!$L25="",0,'Loan Tape'!$L25)))</f>
        <v>0.0492</v>
      </c>
      <c r="I332" s="56" t="n">
        <f aca="false">IF('Loan Tape'!$AN25=0,0,IF('Loan Tape'!$K25="Floating",MIN(IF('Loan Tape'!$P25="",10,'Loan Tape'!$P25),MAX(IF('Loan Tape'!$Q25="",0,'Loan Tape'!$Q25),INDEX(Idx_Curve,1,7)+'Loan Tape'!$M25)),IF('Loan Tape'!$L25="",0,'Loan Tape'!$L25)))</f>
        <v>0.0492</v>
      </c>
      <c r="J332" s="56" t="n">
        <f aca="false">IF('Loan Tape'!$AN25=0,0,IF('Loan Tape'!$K25="Floating",MIN(IF('Loan Tape'!$P25="",10,'Loan Tape'!$P25),MAX(IF('Loan Tape'!$Q25="",0,'Loan Tape'!$Q25),INDEX(Idx_Curve,1,8)+'Loan Tape'!$M25)),IF('Loan Tape'!$L25="",0,'Loan Tape'!$L25)))</f>
        <v>0.0492</v>
      </c>
      <c r="K332" s="56" t="n">
        <f aca="false">IF('Loan Tape'!$AN25=0,0,IF('Loan Tape'!$K25="Floating",MIN(IF('Loan Tape'!$P25="",10,'Loan Tape'!$P25),MAX(IF('Loan Tape'!$Q25="",0,'Loan Tape'!$Q25),INDEX(Idx_Curve,1,9)+'Loan Tape'!$M25)),IF('Loan Tape'!$L25="",0,'Loan Tape'!$L25)))</f>
        <v>0.0492</v>
      </c>
      <c r="L332" s="56" t="n">
        <f aca="false">IF('Loan Tape'!$AN25=0,0,IF('Loan Tape'!$K25="Floating",MIN(IF('Loan Tape'!$P25="",10,'Loan Tape'!$P25),MAX(IF('Loan Tape'!$Q25="",0,'Loan Tape'!$Q25),INDEX(Idx_Curve,1,10)+'Loan Tape'!$M25)),IF('Loan Tape'!$L25="",0,'Loan Tape'!$L25)))</f>
        <v>0.0492</v>
      </c>
    </row>
    <row r="333" customFormat="false" ht="15" hidden="false" customHeight="false" outlineLevel="0" collapsed="false">
      <c r="B333" s="102" t="str">
        <f aca="false">'Loan Tape'!$A26</f>
        <v>L-023</v>
      </c>
      <c r="C333" s="104" t="n">
        <f aca="false">IF('Loan Tape'!$AN26=0,0,IF('Loan Tape'!$K26="Floating",MIN(IF('Loan Tape'!$P26="",10,'Loan Tape'!$P26),MAX(IF('Loan Tape'!$Q26="",0,'Loan Tape'!$Q26),INDEX(Idx_Curve,1,1)+'Loan Tape'!$M26)),IF('Loan Tape'!$L26="",0,'Loan Tape'!$L26)))</f>
        <v>0.0594</v>
      </c>
      <c r="D333" s="104" t="n">
        <f aca="false">IF('Loan Tape'!$AN26=0,0,IF('Loan Tape'!$K26="Floating",MIN(IF('Loan Tape'!$P26="",10,'Loan Tape'!$P26),MAX(IF('Loan Tape'!$Q26="",0,'Loan Tape'!$Q26),INDEX(Idx_Curve,1,2)+'Loan Tape'!$M26)),IF('Loan Tape'!$L26="",0,'Loan Tape'!$L26)))</f>
        <v>0.0594</v>
      </c>
      <c r="E333" s="104" t="n">
        <f aca="false">IF('Loan Tape'!$AN26=0,0,IF('Loan Tape'!$K26="Floating",MIN(IF('Loan Tape'!$P26="",10,'Loan Tape'!$P26),MAX(IF('Loan Tape'!$Q26="",0,'Loan Tape'!$Q26),INDEX(Idx_Curve,1,3)+'Loan Tape'!$M26)),IF('Loan Tape'!$L26="",0,'Loan Tape'!$L26)))</f>
        <v>0.0594</v>
      </c>
      <c r="F333" s="104" t="n">
        <f aca="false">IF('Loan Tape'!$AN26=0,0,IF('Loan Tape'!$K26="Floating",MIN(IF('Loan Tape'!$P26="",10,'Loan Tape'!$P26),MAX(IF('Loan Tape'!$Q26="",0,'Loan Tape'!$Q26),INDEX(Idx_Curve,1,4)+'Loan Tape'!$M26)),IF('Loan Tape'!$L26="",0,'Loan Tape'!$L26)))</f>
        <v>0.0594</v>
      </c>
      <c r="G333" s="104" t="n">
        <f aca="false">IF('Loan Tape'!$AN26=0,0,IF('Loan Tape'!$K26="Floating",MIN(IF('Loan Tape'!$P26="",10,'Loan Tape'!$P26),MAX(IF('Loan Tape'!$Q26="",0,'Loan Tape'!$Q26),INDEX(Idx_Curve,1,5)+'Loan Tape'!$M26)),IF('Loan Tape'!$L26="",0,'Loan Tape'!$L26)))</f>
        <v>0.0594</v>
      </c>
      <c r="H333" s="104" t="n">
        <f aca="false">IF('Loan Tape'!$AN26=0,0,IF('Loan Tape'!$K26="Floating",MIN(IF('Loan Tape'!$P26="",10,'Loan Tape'!$P26),MAX(IF('Loan Tape'!$Q26="",0,'Loan Tape'!$Q26),INDEX(Idx_Curve,1,6)+'Loan Tape'!$M26)),IF('Loan Tape'!$L26="",0,'Loan Tape'!$L26)))</f>
        <v>0.0594</v>
      </c>
      <c r="I333" s="104" t="n">
        <f aca="false">IF('Loan Tape'!$AN26=0,0,IF('Loan Tape'!$K26="Floating",MIN(IF('Loan Tape'!$P26="",10,'Loan Tape'!$P26),MAX(IF('Loan Tape'!$Q26="",0,'Loan Tape'!$Q26),INDEX(Idx_Curve,1,7)+'Loan Tape'!$M26)),IF('Loan Tape'!$L26="",0,'Loan Tape'!$L26)))</f>
        <v>0.0594</v>
      </c>
      <c r="J333" s="104" t="n">
        <f aca="false">IF('Loan Tape'!$AN26=0,0,IF('Loan Tape'!$K26="Floating",MIN(IF('Loan Tape'!$P26="",10,'Loan Tape'!$P26),MAX(IF('Loan Tape'!$Q26="",0,'Loan Tape'!$Q26),INDEX(Idx_Curve,1,8)+'Loan Tape'!$M26)),IF('Loan Tape'!$L26="",0,'Loan Tape'!$L26)))</f>
        <v>0.0594</v>
      </c>
      <c r="K333" s="104" t="n">
        <f aca="false">IF('Loan Tape'!$AN26=0,0,IF('Loan Tape'!$K26="Floating",MIN(IF('Loan Tape'!$P26="",10,'Loan Tape'!$P26),MAX(IF('Loan Tape'!$Q26="",0,'Loan Tape'!$Q26),INDEX(Idx_Curve,1,9)+'Loan Tape'!$M26)),IF('Loan Tape'!$L26="",0,'Loan Tape'!$L26)))</f>
        <v>0.0594</v>
      </c>
      <c r="L333" s="104" t="n">
        <f aca="false">IF('Loan Tape'!$AN26=0,0,IF('Loan Tape'!$K26="Floating",MIN(IF('Loan Tape'!$P26="",10,'Loan Tape'!$P26),MAX(IF('Loan Tape'!$Q26="",0,'Loan Tape'!$Q26),INDEX(Idx_Curve,1,10)+'Loan Tape'!$M26)),IF('Loan Tape'!$L26="",0,'Loan Tape'!$L26)))</f>
        <v>0.0594</v>
      </c>
    </row>
    <row r="334" customFormat="false" ht="15" hidden="false" customHeight="false" outlineLevel="0" collapsed="false">
      <c r="B334" s="108" t="str">
        <f aca="false">'Loan Tape'!$A27</f>
        <v>L-024</v>
      </c>
      <c r="C334" s="56" t="n">
        <f aca="false">IF('Loan Tape'!$AN27=0,0,IF('Loan Tape'!$K27="Floating",MIN(IF('Loan Tape'!$P27="",10,'Loan Tape'!$P27),MAX(IF('Loan Tape'!$Q27="",0,'Loan Tape'!$Q27),INDEX(Idx_Curve,1,1)+'Loan Tape'!$M27)),IF('Loan Tape'!$L27="",0,'Loan Tape'!$L27)))</f>
        <v>0.0767</v>
      </c>
      <c r="D334" s="56" t="n">
        <f aca="false">IF('Loan Tape'!$AN27=0,0,IF('Loan Tape'!$K27="Floating",MIN(IF('Loan Tape'!$P27="",10,'Loan Tape'!$P27),MAX(IF('Loan Tape'!$Q27="",0,'Loan Tape'!$Q27),INDEX(Idx_Curve,1,2)+'Loan Tape'!$M27)),IF('Loan Tape'!$L27="",0,'Loan Tape'!$L27)))</f>
        <v>0.0717</v>
      </c>
      <c r="E334" s="56" t="n">
        <f aca="false">IF('Loan Tape'!$AN27=0,0,IF('Loan Tape'!$K27="Floating",MIN(IF('Loan Tape'!$P27="",10,'Loan Tape'!$P27),MAX(IF('Loan Tape'!$Q27="",0,'Loan Tape'!$Q27),INDEX(Idx_Curve,1,3)+'Loan Tape'!$M27)),IF('Loan Tape'!$L27="",0,'Loan Tape'!$L27)))</f>
        <v>0.0677</v>
      </c>
      <c r="F334" s="56" t="n">
        <f aca="false">IF('Loan Tape'!$AN27=0,0,IF('Loan Tape'!$K27="Floating",MIN(IF('Loan Tape'!$P27="",10,'Loan Tape'!$P27),MAX(IF('Loan Tape'!$Q27="",0,'Loan Tape'!$Q27),INDEX(Idx_Curve,1,4)+'Loan Tape'!$M27)),IF('Loan Tape'!$L27="",0,'Loan Tape'!$L27)))</f>
        <v>0.0657</v>
      </c>
      <c r="G334" s="56" t="n">
        <f aca="false">IF('Loan Tape'!$AN27=0,0,IF('Loan Tape'!$K27="Floating",MIN(IF('Loan Tape'!$P27="",10,'Loan Tape'!$P27),MAX(IF('Loan Tape'!$Q27="",0,'Loan Tape'!$Q27),INDEX(Idx_Curve,1,5)+'Loan Tape'!$M27)),IF('Loan Tape'!$L27="",0,'Loan Tape'!$L27)))</f>
        <v>0.0647</v>
      </c>
      <c r="H334" s="56" t="n">
        <f aca="false">IF('Loan Tape'!$AN27=0,0,IF('Loan Tape'!$K27="Floating",MIN(IF('Loan Tape'!$P27="",10,'Loan Tape'!$P27),MAX(IF('Loan Tape'!$Q27="",0,'Loan Tape'!$Q27),INDEX(Idx_Curve,1,6)+'Loan Tape'!$M27)),IF('Loan Tape'!$L27="",0,'Loan Tape'!$L27)))</f>
        <v>0.0647</v>
      </c>
      <c r="I334" s="56" t="n">
        <f aca="false">IF('Loan Tape'!$AN27=0,0,IF('Loan Tape'!$K27="Floating",MIN(IF('Loan Tape'!$P27="",10,'Loan Tape'!$P27),MAX(IF('Loan Tape'!$Q27="",0,'Loan Tape'!$Q27),INDEX(Idx_Curve,1,7)+'Loan Tape'!$M27)),IF('Loan Tape'!$L27="",0,'Loan Tape'!$L27)))</f>
        <v>0.0647</v>
      </c>
      <c r="J334" s="56" t="n">
        <f aca="false">IF('Loan Tape'!$AN27=0,0,IF('Loan Tape'!$K27="Floating",MIN(IF('Loan Tape'!$P27="",10,'Loan Tape'!$P27),MAX(IF('Loan Tape'!$Q27="",0,'Loan Tape'!$Q27),INDEX(Idx_Curve,1,8)+'Loan Tape'!$M27)),IF('Loan Tape'!$L27="",0,'Loan Tape'!$L27)))</f>
        <v>0.0647</v>
      </c>
      <c r="K334" s="56" t="n">
        <f aca="false">IF('Loan Tape'!$AN27=0,0,IF('Loan Tape'!$K27="Floating",MIN(IF('Loan Tape'!$P27="",10,'Loan Tape'!$P27),MAX(IF('Loan Tape'!$Q27="",0,'Loan Tape'!$Q27),INDEX(Idx_Curve,1,9)+'Loan Tape'!$M27)),IF('Loan Tape'!$L27="",0,'Loan Tape'!$L27)))</f>
        <v>0.0647</v>
      </c>
      <c r="L334" s="56" t="n">
        <f aca="false">IF('Loan Tape'!$AN27=0,0,IF('Loan Tape'!$K27="Floating",MIN(IF('Loan Tape'!$P27="",10,'Loan Tape'!$P27),MAX(IF('Loan Tape'!$Q27="",0,'Loan Tape'!$Q27),INDEX(Idx_Curve,1,10)+'Loan Tape'!$M27)),IF('Loan Tape'!$L27="",0,'Loan Tape'!$L27)))</f>
        <v>0.0647</v>
      </c>
    </row>
    <row r="335" customFormat="false" ht="15" hidden="false" customHeight="false" outlineLevel="0" collapsed="false">
      <c r="B335" s="102" t="str">
        <f aca="false">'Loan Tape'!$A28</f>
        <v>L-025</v>
      </c>
      <c r="C335" s="104" t="n">
        <f aca="false">IF('Loan Tape'!$AN28=0,0,IF('Loan Tape'!$K28="Floating",MIN(IF('Loan Tape'!$P28="",10,'Loan Tape'!$P28),MAX(IF('Loan Tape'!$Q28="",0,'Loan Tape'!$Q28),INDEX(Idx_Curve,1,1)+'Loan Tape'!$M28)),IF('Loan Tape'!$L28="",0,'Loan Tape'!$L28)))</f>
        <v>0.0526</v>
      </c>
      <c r="D335" s="104" t="n">
        <f aca="false">IF('Loan Tape'!$AN28=0,0,IF('Loan Tape'!$K28="Floating",MIN(IF('Loan Tape'!$P28="",10,'Loan Tape'!$P28),MAX(IF('Loan Tape'!$Q28="",0,'Loan Tape'!$Q28),INDEX(Idx_Curve,1,2)+'Loan Tape'!$M28)),IF('Loan Tape'!$L28="",0,'Loan Tape'!$L28)))</f>
        <v>0.0526</v>
      </c>
      <c r="E335" s="104" t="n">
        <f aca="false">IF('Loan Tape'!$AN28=0,0,IF('Loan Tape'!$K28="Floating",MIN(IF('Loan Tape'!$P28="",10,'Loan Tape'!$P28),MAX(IF('Loan Tape'!$Q28="",0,'Loan Tape'!$Q28),INDEX(Idx_Curve,1,3)+'Loan Tape'!$M28)),IF('Loan Tape'!$L28="",0,'Loan Tape'!$L28)))</f>
        <v>0.0526</v>
      </c>
      <c r="F335" s="104" t="n">
        <f aca="false">IF('Loan Tape'!$AN28=0,0,IF('Loan Tape'!$K28="Floating",MIN(IF('Loan Tape'!$P28="",10,'Loan Tape'!$P28),MAX(IF('Loan Tape'!$Q28="",0,'Loan Tape'!$Q28),INDEX(Idx_Curve,1,4)+'Loan Tape'!$M28)),IF('Loan Tape'!$L28="",0,'Loan Tape'!$L28)))</f>
        <v>0.0526</v>
      </c>
      <c r="G335" s="104" t="n">
        <f aca="false">IF('Loan Tape'!$AN28=0,0,IF('Loan Tape'!$K28="Floating",MIN(IF('Loan Tape'!$P28="",10,'Loan Tape'!$P28),MAX(IF('Loan Tape'!$Q28="",0,'Loan Tape'!$Q28),INDEX(Idx_Curve,1,5)+'Loan Tape'!$M28)),IF('Loan Tape'!$L28="",0,'Loan Tape'!$L28)))</f>
        <v>0.0526</v>
      </c>
      <c r="H335" s="104" t="n">
        <f aca="false">IF('Loan Tape'!$AN28=0,0,IF('Loan Tape'!$K28="Floating",MIN(IF('Loan Tape'!$P28="",10,'Loan Tape'!$P28),MAX(IF('Loan Tape'!$Q28="",0,'Loan Tape'!$Q28),INDEX(Idx_Curve,1,6)+'Loan Tape'!$M28)),IF('Loan Tape'!$L28="",0,'Loan Tape'!$L28)))</f>
        <v>0.0526</v>
      </c>
      <c r="I335" s="104" t="n">
        <f aca="false">IF('Loan Tape'!$AN28=0,0,IF('Loan Tape'!$K28="Floating",MIN(IF('Loan Tape'!$P28="",10,'Loan Tape'!$P28),MAX(IF('Loan Tape'!$Q28="",0,'Loan Tape'!$Q28),INDEX(Idx_Curve,1,7)+'Loan Tape'!$M28)),IF('Loan Tape'!$L28="",0,'Loan Tape'!$L28)))</f>
        <v>0.0526</v>
      </c>
      <c r="J335" s="104" t="n">
        <f aca="false">IF('Loan Tape'!$AN28=0,0,IF('Loan Tape'!$K28="Floating",MIN(IF('Loan Tape'!$P28="",10,'Loan Tape'!$P28),MAX(IF('Loan Tape'!$Q28="",0,'Loan Tape'!$Q28),INDEX(Idx_Curve,1,8)+'Loan Tape'!$M28)),IF('Loan Tape'!$L28="",0,'Loan Tape'!$L28)))</f>
        <v>0.0526</v>
      </c>
      <c r="K335" s="104" t="n">
        <f aca="false">IF('Loan Tape'!$AN28=0,0,IF('Loan Tape'!$K28="Floating",MIN(IF('Loan Tape'!$P28="",10,'Loan Tape'!$P28),MAX(IF('Loan Tape'!$Q28="",0,'Loan Tape'!$Q28),INDEX(Idx_Curve,1,9)+'Loan Tape'!$M28)),IF('Loan Tape'!$L28="",0,'Loan Tape'!$L28)))</f>
        <v>0.0526</v>
      </c>
      <c r="L335" s="104" t="n">
        <f aca="false">IF('Loan Tape'!$AN28=0,0,IF('Loan Tape'!$K28="Floating",MIN(IF('Loan Tape'!$P28="",10,'Loan Tape'!$P28),MAX(IF('Loan Tape'!$Q28="",0,'Loan Tape'!$Q28),INDEX(Idx_Curve,1,10)+'Loan Tape'!$M28)),IF('Loan Tape'!$L28="",0,'Loan Tape'!$L28)))</f>
        <v>0.0526</v>
      </c>
    </row>
    <row r="336" customFormat="false" ht="15" hidden="false" customHeight="false" outlineLevel="0" collapsed="false">
      <c r="B336" s="108" t="str">
        <f aca="false">'Loan Tape'!$A29</f>
        <v>L-026</v>
      </c>
      <c r="C336" s="56" t="n">
        <f aca="false">IF('Loan Tape'!$AN29=0,0,IF('Loan Tape'!$K29="Floating",MIN(IF('Loan Tape'!$P29="",10,'Loan Tape'!$P29),MAX(IF('Loan Tape'!$Q29="",0,'Loan Tape'!$Q29),INDEX(Idx_Curve,1,1)+'Loan Tape'!$M29)),IF('Loan Tape'!$L29="",0,'Loan Tape'!$L29)))</f>
        <v>0.0874</v>
      </c>
      <c r="D336" s="56" t="n">
        <f aca="false">IF('Loan Tape'!$AN29=0,0,IF('Loan Tape'!$K29="Floating",MIN(IF('Loan Tape'!$P29="",10,'Loan Tape'!$P29),MAX(IF('Loan Tape'!$Q29="",0,'Loan Tape'!$Q29),INDEX(Idx_Curve,1,2)+'Loan Tape'!$M29)),IF('Loan Tape'!$L29="",0,'Loan Tape'!$L29)))</f>
        <v>0.0824</v>
      </c>
      <c r="E336" s="56" t="n">
        <f aca="false">IF('Loan Tape'!$AN29=0,0,IF('Loan Tape'!$K29="Floating",MIN(IF('Loan Tape'!$P29="",10,'Loan Tape'!$P29),MAX(IF('Loan Tape'!$Q29="",0,'Loan Tape'!$Q29),INDEX(Idx_Curve,1,3)+'Loan Tape'!$M29)),IF('Loan Tape'!$L29="",0,'Loan Tape'!$L29)))</f>
        <v>0.0784</v>
      </c>
      <c r="F336" s="56" t="n">
        <f aca="false">IF('Loan Tape'!$AN29=0,0,IF('Loan Tape'!$K29="Floating",MIN(IF('Loan Tape'!$P29="",10,'Loan Tape'!$P29),MAX(IF('Loan Tape'!$Q29="",0,'Loan Tape'!$Q29),INDEX(Idx_Curve,1,4)+'Loan Tape'!$M29)),IF('Loan Tape'!$L29="",0,'Loan Tape'!$L29)))</f>
        <v>0.0764</v>
      </c>
      <c r="G336" s="56" t="n">
        <f aca="false">IF('Loan Tape'!$AN29=0,0,IF('Loan Tape'!$K29="Floating",MIN(IF('Loan Tape'!$P29="",10,'Loan Tape'!$P29),MAX(IF('Loan Tape'!$Q29="",0,'Loan Tape'!$Q29),INDEX(Idx_Curve,1,5)+'Loan Tape'!$M29)),IF('Loan Tape'!$L29="",0,'Loan Tape'!$L29)))</f>
        <v>0.0754</v>
      </c>
      <c r="H336" s="56" t="n">
        <f aca="false">IF('Loan Tape'!$AN29=0,0,IF('Loan Tape'!$K29="Floating",MIN(IF('Loan Tape'!$P29="",10,'Loan Tape'!$P29),MAX(IF('Loan Tape'!$Q29="",0,'Loan Tape'!$Q29),INDEX(Idx_Curve,1,6)+'Loan Tape'!$M29)),IF('Loan Tape'!$L29="",0,'Loan Tape'!$L29)))</f>
        <v>0.0754</v>
      </c>
      <c r="I336" s="56" t="n">
        <f aca="false">IF('Loan Tape'!$AN29=0,0,IF('Loan Tape'!$K29="Floating",MIN(IF('Loan Tape'!$P29="",10,'Loan Tape'!$P29),MAX(IF('Loan Tape'!$Q29="",0,'Loan Tape'!$Q29),INDEX(Idx_Curve,1,7)+'Loan Tape'!$M29)),IF('Loan Tape'!$L29="",0,'Loan Tape'!$L29)))</f>
        <v>0.0754</v>
      </c>
      <c r="J336" s="56" t="n">
        <f aca="false">IF('Loan Tape'!$AN29=0,0,IF('Loan Tape'!$K29="Floating",MIN(IF('Loan Tape'!$P29="",10,'Loan Tape'!$P29),MAX(IF('Loan Tape'!$Q29="",0,'Loan Tape'!$Q29),INDEX(Idx_Curve,1,8)+'Loan Tape'!$M29)),IF('Loan Tape'!$L29="",0,'Loan Tape'!$L29)))</f>
        <v>0.0754</v>
      </c>
      <c r="K336" s="56" t="n">
        <f aca="false">IF('Loan Tape'!$AN29=0,0,IF('Loan Tape'!$K29="Floating",MIN(IF('Loan Tape'!$P29="",10,'Loan Tape'!$P29),MAX(IF('Loan Tape'!$Q29="",0,'Loan Tape'!$Q29),INDEX(Idx_Curve,1,9)+'Loan Tape'!$M29)),IF('Loan Tape'!$L29="",0,'Loan Tape'!$L29)))</f>
        <v>0.0754</v>
      </c>
      <c r="L336" s="56" t="n">
        <f aca="false">IF('Loan Tape'!$AN29=0,0,IF('Loan Tape'!$K29="Floating",MIN(IF('Loan Tape'!$P29="",10,'Loan Tape'!$P29),MAX(IF('Loan Tape'!$Q29="",0,'Loan Tape'!$Q29),INDEX(Idx_Curve,1,10)+'Loan Tape'!$M29)),IF('Loan Tape'!$L29="",0,'Loan Tape'!$L29)))</f>
        <v>0.0754</v>
      </c>
    </row>
    <row r="337" customFormat="false" ht="15" hidden="false" customHeight="false" outlineLevel="0" collapsed="false">
      <c r="B337" s="102" t="str">
        <f aca="false">'Loan Tape'!$A30</f>
        <v>L-027</v>
      </c>
      <c r="C337" s="104" t="n">
        <f aca="false">IF('Loan Tape'!$AN30=0,0,IF('Loan Tape'!$K30="Floating",MIN(IF('Loan Tape'!$P30="",10,'Loan Tape'!$P30),MAX(IF('Loan Tape'!$Q30="",0,'Loan Tape'!$Q30),INDEX(Idx_Curve,1,1)+'Loan Tape'!$M30)),IF('Loan Tape'!$L30="",0,'Loan Tape'!$L30)))</f>
        <v>0.0784</v>
      </c>
      <c r="D337" s="104" t="n">
        <f aca="false">IF('Loan Tape'!$AN30=0,0,IF('Loan Tape'!$K30="Floating",MIN(IF('Loan Tape'!$P30="",10,'Loan Tape'!$P30),MAX(IF('Loan Tape'!$Q30="",0,'Loan Tape'!$Q30),INDEX(Idx_Curve,1,2)+'Loan Tape'!$M30)),IF('Loan Tape'!$L30="",0,'Loan Tape'!$L30)))</f>
        <v>0.0734</v>
      </c>
      <c r="E337" s="104" t="n">
        <f aca="false">IF('Loan Tape'!$AN30=0,0,IF('Loan Tape'!$K30="Floating",MIN(IF('Loan Tape'!$P30="",10,'Loan Tape'!$P30),MAX(IF('Loan Tape'!$Q30="",0,'Loan Tape'!$Q30),INDEX(Idx_Curve,1,3)+'Loan Tape'!$M30)),IF('Loan Tape'!$L30="",0,'Loan Tape'!$L30)))</f>
        <v>0.0694</v>
      </c>
      <c r="F337" s="104" t="n">
        <f aca="false">IF('Loan Tape'!$AN30=0,0,IF('Loan Tape'!$K30="Floating",MIN(IF('Loan Tape'!$P30="",10,'Loan Tape'!$P30),MAX(IF('Loan Tape'!$Q30="",0,'Loan Tape'!$Q30),INDEX(Idx_Curve,1,4)+'Loan Tape'!$M30)),IF('Loan Tape'!$L30="",0,'Loan Tape'!$L30)))</f>
        <v>0.0674</v>
      </c>
      <c r="G337" s="104" t="n">
        <f aca="false">IF('Loan Tape'!$AN30=0,0,IF('Loan Tape'!$K30="Floating",MIN(IF('Loan Tape'!$P30="",10,'Loan Tape'!$P30),MAX(IF('Loan Tape'!$Q30="",0,'Loan Tape'!$Q30),INDEX(Idx_Curve,1,5)+'Loan Tape'!$M30)),IF('Loan Tape'!$L30="",0,'Loan Tape'!$L30)))</f>
        <v>0.0664</v>
      </c>
      <c r="H337" s="104" t="n">
        <f aca="false">IF('Loan Tape'!$AN30=0,0,IF('Loan Tape'!$K30="Floating",MIN(IF('Loan Tape'!$P30="",10,'Loan Tape'!$P30),MAX(IF('Loan Tape'!$Q30="",0,'Loan Tape'!$Q30),INDEX(Idx_Curve,1,6)+'Loan Tape'!$M30)),IF('Loan Tape'!$L30="",0,'Loan Tape'!$L30)))</f>
        <v>0.0664</v>
      </c>
      <c r="I337" s="104" t="n">
        <f aca="false">IF('Loan Tape'!$AN30=0,0,IF('Loan Tape'!$K30="Floating",MIN(IF('Loan Tape'!$P30="",10,'Loan Tape'!$P30),MAX(IF('Loan Tape'!$Q30="",0,'Loan Tape'!$Q30),INDEX(Idx_Curve,1,7)+'Loan Tape'!$M30)),IF('Loan Tape'!$L30="",0,'Loan Tape'!$L30)))</f>
        <v>0.0664</v>
      </c>
      <c r="J337" s="104" t="n">
        <f aca="false">IF('Loan Tape'!$AN30=0,0,IF('Loan Tape'!$K30="Floating",MIN(IF('Loan Tape'!$P30="",10,'Loan Tape'!$P30),MAX(IF('Loan Tape'!$Q30="",0,'Loan Tape'!$Q30),INDEX(Idx_Curve,1,8)+'Loan Tape'!$M30)),IF('Loan Tape'!$L30="",0,'Loan Tape'!$L30)))</f>
        <v>0.0664</v>
      </c>
      <c r="K337" s="104" t="n">
        <f aca="false">IF('Loan Tape'!$AN30=0,0,IF('Loan Tape'!$K30="Floating",MIN(IF('Loan Tape'!$P30="",10,'Loan Tape'!$P30),MAX(IF('Loan Tape'!$Q30="",0,'Loan Tape'!$Q30),INDEX(Idx_Curve,1,9)+'Loan Tape'!$M30)),IF('Loan Tape'!$L30="",0,'Loan Tape'!$L30)))</f>
        <v>0.0664</v>
      </c>
      <c r="L337" s="104" t="n">
        <f aca="false">IF('Loan Tape'!$AN30=0,0,IF('Loan Tape'!$K30="Floating",MIN(IF('Loan Tape'!$P30="",10,'Loan Tape'!$P30),MAX(IF('Loan Tape'!$Q30="",0,'Loan Tape'!$Q30),INDEX(Idx_Curve,1,10)+'Loan Tape'!$M30)),IF('Loan Tape'!$L30="",0,'Loan Tape'!$L30)))</f>
        <v>0.0664</v>
      </c>
    </row>
    <row r="338" customFormat="false" ht="15" hidden="false" customHeight="false" outlineLevel="0" collapsed="false">
      <c r="B338" s="108" t="str">
        <f aca="false">'Loan Tape'!$A31</f>
        <v>L-028</v>
      </c>
      <c r="C338" s="56" t="n">
        <f aca="false">IF('Loan Tape'!$AN31=0,0,IF('Loan Tape'!$K31="Floating",MIN(IF('Loan Tape'!$P31="",10,'Loan Tape'!$P31),MAX(IF('Loan Tape'!$Q31="",0,'Loan Tape'!$Q31),INDEX(Idx_Curve,1,1)+'Loan Tape'!$M31)),IF('Loan Tape'!$L31="",0,'Loan Tape'!$L31)))</f>
        <v>0.0534</v>
      </c>
      <c r="D338" s="56" t="n">
        <f aca="false">IF('Loan Tape'!$AN31=0,0,IF('Loan Tape'!$K31="Floating",MIN(IF('Loan Tape'!$P31="",10,'Loan Tape'!$P31),MAX(IF('Loan Tape'!$Q31="",0,'Loan Tape'!$Q31),INDEX(Idx_Curve,1,2)+'Loan Tape'!$M31)),IF('Loan Tape'!$L31="",0,'Loan Tape'!$L31)))</f>
        <v>0.0534</v>
      </c>
      <c r="E338" s="56" t="n">
        <f aca="false">IF('Loan Tape'!$AN31=0,0,IF('Loan Tape'!$K31="Floating",MIN(IF('Loan Tape'!$P31="",10,'Loan Tape'!$P31),MAX(IF('Loan Tape'!$Q31="",0,'Loan Tape'!$Q31),INDEX(Idx_Curve,1,3)+'Loan Tape'!$M31)),IF('Loan Tape'!$L31="",0,'Loan Tape'!$L31)))</f>
        <v>0.0534</v>
      </c>
      <c r="F338" s="56" t="n">
        <f aca="false">IF('Loan Tape'!$AN31=0,0,IF('Loan Tape'!$K31="Floating",MIN(IF('Loan Tape'!$P31="",10,'Loan Tape'!$P31),MAX(IF('Loan Tape'!$Q31="",0,'Loan Tape'!$Q31),INDEX(Idx_Curve,1,4)+'Loan Tape'!$M31)),IF('Loan Tape'!$L31="",0,'Loan Tape'!$L31)))</f>
        <v>0.0534</v>
      </c>
      <c r="G338" s="56" t="n">
        <f aca="false">IF('Loan Tape'!$AN31=0,0,IF('Loan Tape'!$K31="Floating",MIN(IF('Loan Tape'!$P31="",10,'Loan Tape'!$P31),MAX(IF('Loan Tape'!$Q31="",0,'Loan Tape'!$Q31),INDEX(Idx_Curve,1,5)+'Loan Tape'!$M31)),IF('Loan Tape'!$L31="",0,'Loan Tape'!$L31)))</f>
        <v>0.0534</v>
      </c>
      <c r="H338" s="56" t="n">
        <f aca="false">IF('Loan Tape'!$AN31=0,0,IF('Loan Tape'!$K31="Floating",MIN(IF('Loan Tape'!$P31="",10,'Loan Tape'!$P31),MAX(IF('Loan Tape'!$Q31="",0,'Loan Tape'!$Q31),INDEX(Idx_Curve,1,6)+'Loan Tape'!$M31)),IF('Loan Tape'!$L31="",0,'Loan Tape'!$L31)))</f>
        <v>0.0534</v>
      </c>
      <c r="I338" s="56" t="n">
        <f aca="false">IF('Loan Tape'!$AN31=0,0,IF('Loan Tape'!$K31="Floating",MIN(IF('Loan Tape'!$P31="",10,'Loan Tape'!$P31),MAX(IF('Loan Tape'!$Q31="",0,'Loan Tape'!$Q31),INDEX(Idx_Curve,1,7)+'Loan Tape'!$M31)),IF('Loan Tape'!$L31="",0,'Loan Tape'!$L31)))</f>
        <v>0.0534</v>
      </c>
      <c r="J338" s="56" t="n">
        <f aca="false">IF('Loan Tape'!$AN31=0,0,IF('Loan Tape'!$K31="Floating",MIN(IF('Loan Tape'!$P31="",10,'Loan Tape'!$P31),MAX(IF('Loan Tape'!$Q31="",0,'Loan Tape'!$Q31),INDEX(Idx_Curve,1,8)+'Loan Tape'!$M31)),IF('Loan Tape'!$L31="",0,'Loan Tape'!$L31)))</f>
        <v>0.0534</v>
      </c>
      <c r="K338" s="56" t="n">
        <f aca="false">IF('Loan Tape'!$AN31=0,0,IF('Loan Tape'!$K31="Floating",MIN(IF('Loan Tape'!$P31="",10,'Loan Tape'!$P31),MAX(IF('Loan Tape'!$Q31="",0,'Loan Tape'!$Q31),INDEX(Idx_Curve,1,9)+'Loan Tape'!$M31)),IF('Loan Tape'!$L31="",0,'Loan Tape'!$L31)))</f>
        <v>0.0534</v>
      </c>
      <c r="L338" s="56" t="n">
        <f aca="false">IF('Loan Tape'!$AN31=0,0,IF('Loan Tape'!$K31="Floating",MIN(IF('Loan Tape'!$P31="",10,'Loan Tape'!$P31),MAX(IF('Loan Tape'!$Q31="",0,'Loan Tape'!$Q31),INDEX(Idx_Curve,1,10)+'Loan Tape'!$M31)),IF('Loan Tape'!$L31="",0,'Loan Tape'!$L31)))</f>
        <v>0.0534</v>
      </c>
    </row>
    <row r="339" customFormat="false" ht="15" hidden="false" customHeight="false" outlineLevel="0" collapsed="false">
      <c r="B339" s="102" t="str">
        <f aca="false">'Loan Tape'!$A32</f>
        <v>L-029</v>
      </c>
      <c r="C339" s="104" t="n">
        <f aca="false">IF('Loan Tape'!$AN32=0,0,IF('Loan Tape'!$K32="Floating",MIN(IF('Loan Tape'!$P32="",10,'Loan Tape'!$P32),MAX(IF('Loan Tape'!$Q32="",0,'Loan Tape'!$Q32),INDEX(Idx_Curve,1,1)+'Loan Tape'!$M32)),IF('Loan Tape'!$L32="",0,'Loan Tape'!$L32)))</f>
        <v>0.0719</v>
      </c>
      <c r="D339" s="104" t="n">
        <f aca="false">IF('Loan Tape'!$AN32=0,0,IF('Loan Tape'!$K32="Floating",MIN(IF('Loan Tape'!$P32="",10,'Loan Tape'!$P32),MAX(IF('Loan Tape'!$Q32="",0,'Loan Tape'!$Q32),INDEX(Idx_Curve,1,2)+'Loan Tape'!$M32)),IF('Loan Tape'!$L32="",0,'Loan Tape'!$L32)))</f>
        <v>0.0669</v>
      </c>
      <c r="E339" s="104" t="n">
        <f aca="false">IF('Loan Tape'!$AN32=0,0,IF('Loan Tape'!$K32="Floating",MIN(IF('Loan Tape'!$P32="",10,'Loan Tape'!$P32),MAX(IF('Loan Tape'!$Q32="",0,'Loan Tape'!$Q32),INDEX(Idx_Curve,1,3)+'Loan Tape'!$M32)),IF('Loan Tape'!$L32="",0,'Loan Tape'!$L32)))</f>
        <v>0.0629</v>
      </c>
      <c r="F339" s="104" t="n">
        <f aca="false">IF('Loan Tape'!$AN32=0,0,IF('Loan Tape'!$K32="Floating",MIN(IF('Loan Tape'!$P32="",10,'Loan Tape'!$P32),MAX(IF('Loan Tape'!$Q32="",0,'Loan Tape'!$Q32),INDEX(Idx_Curve,1,4)+'Loan Tape'!$M32)),IF('Loan Tape'!$L32="",0,'Loan Tape'!$L32)))</f>
        <v>0.0609</v>
      </c>
      <c r="G339" s="104" t="n">
        <f aca="false">IF('Loan Tape'!$AN32=0,0,IF('Loan Tape'!$K32="Floating",MIN(IF('Loan Tape'!$P32="",10,'Loan Tape'!$P32),MAX(IF('Loan Tape'!$Q32="",0,'Loan Tape'!$Q32),INDEX(Idx_Curve,1,5)+'Loan Tape'!$M32)),IF('Loan Tape'!$L32="",0,'Loan Tape'!$L32)))</f>
        <v>0.0599</v>
      </c>
      <c r="H339" s="104" t="n">
        <f aca="false">IF('Loan Tape'!$AN32=0,0,IF('Loan Tape'!$K32="Floating",MIN(IF('Loan Tape'!$P32="",10,'Loan Tape'!$P32),MAX(IF('Loan Tape'!$Q32="",0,'Loan Tape'!$Q32),INDEX(Idx_Curve,1,6)+'Loan Tape'!$M32)),IF('Loan Tape'!$L32="",0,'Loan Tape'!$L32)))</f>
        <v>0.0599</v>
      </c>
      <c r="I339" s="104" t="n">
        <f aca="false">IF('Loan Tape'!$AN32=0,0,IF('Loan Tape'!$K32="Floating",MIN(IF('Loan Tape'!$P32="",10,'Loan Tape'!$P32),MAX(IF('Loan Tape'!$Q32="",0,'Loan Tape'!$Q32),INDEX(Idx_Curve,1,7)+'Loan Tape'!$M32)),IF('Loan Tape'!$L32="",0,'Loan Tape'!$L32)))</f>
        <v>0.0599</v>
      </c>
      <c r="J339" s="104" t="n">
        <f aca="false">IF('Loan Tape'!$AN32=0,0,IF('Loan Tape'!$K32="Floating",MIN(IF('Loan Tape'!$P32="",10,'Loan Tape'!$P32),MAX(IF('Loan Tape'!$Q32="",0,'Loan Tape'!$Q32),INDEX(Idx_Curve,1,8)+'Loan Tape'!$M32)),IF('Loan Tape'!$L32="",0,'Loan Tape'!$L32)))</f>
        <v>0.0599</v>
      </c>
      <c r="K339" s="104" t="n">
        <f aca="false">IF('Loan Tape'!$AN32=0,0,IF('Loan Tape'!$K32="Floating",MIN(IF('Loan Tape'!$P32="",10,'Loan Tape'!$P32),MAX(IF('Loan Tape'!$Q32="",0,'Loan Tape'!$Q32),INDEX(Idx_Curve,1,9)+'Loan Tape'!$M32)),IF('Loan Tape'!$L32="",0,'Loan Tape'!$L32)))</f>
        <v>0.0599</v>
      </c>
      <c r="L339" s="104" t="n">
        <f aca="false">IF('Loan Tape'!$AN32=0,0,IF('Loan Tape'!$K32="Floating",MIN(IF('Loan Tape'!$P32="",10,'Loan Tape'!$P32),MAX(IF('Loan Tape'!$Q32="",0,'Loan Tape'!$Q32),INDEX(Idx_Curve,1,10)+'Loan Tape'!$M32)),IF('Loan Tape'!$L32="",0,'Loan Tape'!$L32)))</f>
        <v>0.0599</v>
      </c>
    </row>
    <row r="340" customFormat="false" ht="15" hidden="false" customHeight="false" outlineLevel="0" collapsed="false">
      <c r="B340" s="108" t="str">
        <f aca="false">'Loan Tape'!$A33</f>
        <v>L-030</v>
      </c>
      <c r="C340" s="56" t="n">
        <f aca="false">IF('Loan Tape'!$AN33=0,0,IF('Loan Tape'!$K33="Floating",MIN(IF('Loan Tape'!$P33="",10,'Loan Tape'!$P33),MAX(IF('Loan Tape'!$Q33="",0,'Loan Tape'!$Q33),INDEX(Idx_Curve,1,1)+'Loan Tape'!$M33)),IF('Loan Tape'!$L33="",0,'Loan Tape'!$L33)))</f>
        <v>0.0793</v>
      </c>
      <c r="D340" s="56" t="n">
        <f aca="false">IF('Loan Tape'!$AN33=0,0,IF('Loan Tape'!$K33="Floating",MIN(IF('Loan Tape'!$P33="",10,'Loan Tape'!$P33),MAX(IF('Loan Tape'!$Q33="",0,'Loan Tape'!$Q33),INDEX(Idx_Curve,1,2)+'Loan Tape'!$M33)),IF('Loan Tape'!$L33="",0,'Loan Tape'!$L33)))</f>
        <v>0.0754</v>
      </c>
      <c r="E340" s="56" t="n">
        <f aca="false">IF('Loan Tape'!$AN33=0,0,IF('Loan Tape'!$K33="Floating",MIN(IF('Loan Tape'!$P33="",10,'Loan Tape'!$P33),MAX(IF('Loan Tape'!$Q33="",0,'Loan Tape'!$Q33),INDEX(Idx_Curve,1,3)+'Loan Tape'!$M33)),IF('Loan Tape'!$L33="",0,'Loan Tape'!$L33)))</f>
        <v>0.0714</v>
      </c>
      <c r="F340" s="56" t="n">
        <f aca="false">IF('Loan Tape'!$AN33=0,0,IF('Loan Tape'!$K33="Floating",MIN(IF('Loan Tape'!$P33="",10,'Loan Tape'!$P33),MAX(IF('Loan Tape'!$Q33="",0,'Loan Tape'!$Q33),INDEX(Idx_Curve,1,4)+'Loan Tape'!$M33)),IF('Loan Tape'!$L33="",0,'Loan Tape'!$L33)))</f>
        <v>0.0694</v>
      </c>
      <c r="G340" s="56" t="n">
        <f aca="false">IF('Loan Tape'!$AN33=0,0,IF('Loan Tape'!$K33="Floating",MIN(IF('Loan Tape'!$P33="",10,'Loan Tape'!$P33),MAX(IF('Loan Tape'!$Q33="",0,'Loan Tape'!$Q33),INDEX(Idx_Curve,1,5)+'Loan Tape'!$M33)),IF('Loan Tape'!$L33="",0,'Loan Tape'!$L33)))</f>
        <v>0.0684</v>
      </c>
      <c r="H340" s="56" t="n">
        <f aca="false">IF('Loan Tape'!$AN33=0,0,IF('Loan Tape'!$K33="Floating",MIN(IF('Loan Tape'!$P33="",10,'Loan Tape'!$P33),MAX(IF('Loan Tape'!$Q33="",0,'Loan Tape'!$Q33),INDEX(Idx_Curve,1,6)+'Loan Tape'!$M33)),IF('Loan Tape'!$L33="",0,'Loan Tape'!$L33)))</f>
        <v>0.0684</v>
      </c>
      <c r="I340" s="56" t="n">
        <f aca="false">IF('Loan Tape'!$AN33=0,0,IF('Loan Tape'!$K33="Floating",MIN(IF('Loan Tape'!$P33="",10,'Loan Tape'!$P33),MAX(IF('Loan Tape'!$Q33="",0,'Loan Tape'!$Q33),INDEX(Idx_Curve,1,7)+'Loan Tape'!$M33)),IF('Loan Tape'!$L33="",0,'Loan Tape'!$L33)))</f>
        <v>0.0684</v>
      </c>
      <c r="J340" s="56" t="n">
        <f aca="false">IF('Loan Tape'!$AN33=0,0,IF('Loan Tape'!$K33="Floating",MIN(IF('Loan Tape'!$P33="",10,'Loan Tape'!$P33),MAX(IF('Loan Tape'!$Q33="",0,'Loan Tape'!$Q33),INDEX(Idx_Curve,1,8)+'Loan Tape'!$M33)),IF('Loan Tape'!$L33="",0,'Loan Tape'!$L33)))</f>
        <v>0.0684</v>
      </c>
      <c r="K340" s="56" t="n">
        <f aca="false">IF('Loan Tape'!$AN33=0,0,IF('Loan Tape'!$K33="Floating",MIN(IF('Loan Tape'!$P33="",10,'Loan Tape'!$P33),MAX(IF('Loan Tape'!$Q33="",0,'Loan Tape'!$Q33),INDEX(Idx_Curve,1,9)+'Loan Tape'!$M33)),IF('Loan Tape'!$L33="",0,'Loan Tape'!$L33)))</f>
        <v>0.0684</v>
      </c>
      <c r="L340" s="56" t="n">
        <f aca="false">IF('Loan Tape'!$AN33=0,0,IF('Loan Tape'!$K33="Floating",MIN(IF('Loan Tape'!$P33="",10,'Loan Tape'!$P33),MAX(IF('Loan Tape'!$Q33="",0,'Loan Tape'!$Q33),INDEX(Idx_Curve,1,10)+'Loan Tape'!$M33)),IF('Loan Tape'!$L33="",0,'Loan Tape'!$L33)))</f>
        <v>0.0684</v>
      </c>
    </row>
    <row r="341" customFormat="false" ht="15" hidden="false" customHeight="false" outlineLevel="0" collapsed="false">
      <c r="B341" s="102" t="str">
        <f aca="false">'Loan Tape'!$A34</f>
        <v>L-031</v>
      </c>
      <c r="C341" s="104" t="n">
        <f aca="false">IF('Loan Tape'!$AN34=0,0,IF('Loan Tape'!$K34="Floating",MIN(IF('Loan Tape'!$P34="",10,'Loan Tape'!$P34),MAX(IF('Loan Tape'!$Q34="",0,'Loan Tape'!$Q34),INDEX(Idx_Curve,1,1)+'Loan Tape'!$M34)),IF('Loan Tape'!$L34="",0,'Loan Tape'!$L34)))</f>
        <v>0.0772</v>
      </c>
      <c r="D341" s="104" t="n">
        <f aca="false">IF('Loan Tape'!$AN34=0,0,IF('Loan Tape'!$K34="Floating",MIN(IF('Loan Tape'!$P34="",10,'Loan Tape'!$P34),MAX(IF('Loan Tape'!$Q34="",0,'Loan Tape'!$Q34),INDEX(Idx_Curve,1,2)+'Loan Tape'!$M34)),IF('Loan Tape'!$L34="",0,'Loan Tape'!$L34)))</f>
        <v>0.0722</v>
      </c>
      <c r="E341" s="104" t="n">
        <f aca="false">IF('Loan Tape'!$AN34=0,0,IF('Loan Tape'!$K34="Floating",MIN(IF('Loan Tape'!$P34="",10,'Loan Tape'!$P34),MAX(IF('Loan Tape'!$Q34="",0,'Loan Tape'!$Q34),INDEX(Idx_Curve,1,3)+'Loan Tape'!$M34)),IF('Loan Tape'!$L34="",0,'Loan Tape'!$L34)))</f>
        <v>0.0682</v>
      </c>
      <c r="F341" s="104" t="n">
        <f aca="false">IF('Loan Tape'!$AN34=0,0,IF('Loan Tape'!$K34="Floating",MIN(IF('Loan Tape'!$P34="",10,'Loan Tape'!$P34),MAX(IF('Loan Tape'!$Q34="",0,'Loan Tape'!$Q34),INDEX(Idx_Curve,1,4)+'Loan Tape'!$M34)),IF('Loan Tape'!$L34="",0,'Loan Tape'!$L34)))</f>
        <v>0.0662</v>
      </c>
      <c r="G341" s="104" t="n">
        <f aca="false">IF('Loan Tape'!$AN34=0,0,IF('Loan Tape'!$K34="Floating",MIN(IF('Loan Tape'!$P34="",10,'Loan Tape'!$P34),MAX(IF('Loan Tape'!$Q34="",0,'Loan Tape'!$Q34),INDEX(Idx_Curve,1,5)+'Loan Tape'!$M34)),IF('Loan Tape'!$L34="",0,'Loan Tape'!$L34)))</f>
        <v>0.0652</v>
      </c>
      <c r="H341" s="104" t="n">
        <f aca="false">IF('Loan Tape'!$AN34=0,0,IF('Loan Tape'!$K34="Floating",MIN(IF('Loan Tape'!$P34="",10,'Loan Tape'!$P34),MAX(IF('Loan Tape'!$Q34="",0,'Loan Tape'!$Q34),INDEX(Idx_Curve,1,6)+'Loan Tape'!$M34)),IF('Loan Tape'!$L34="",0,'Loan Tape'!$L34)))</f>
        <v>0.0652</v>
      </c>
      <c r="I341" s="104" t="n">
        <f aca="false">IF('Loan Tape'!$AN34=0,0,IF('Loan Tape'!$K34="Floating",MIN(IF('Loan Tape'!$P34="",10,'Loan Tape'!$P34),MAX(IF('Loan Tape'!$Q34="",0,'Loan Tape'!$Q34),INDEX(Idx_Curve,1,7)+'Loan Tape'!$M34)),IF('Loan Tape'!$L34="",0,'Loan Tape'!$L34)))</f>
        <v>0.0652</v>
      </c>
      <c r="J341" s="104" t="n">
        <f aca="false">IF('Loan Tape'!$AN34=0,0,IF('Loan Tape'!$K34="Floating",MIN(IF('Loan Tape'!$P34="",10,'Loan Tape'!$P34),MAX(IF('Loan Tape'!$Q34="",0,'Loan Tape'!$Q34),INDEX(Idx_Curve,1,8)+'Loan Tape'!$M34)),IF('Loan Tape'!$L34="",0,'Loan Tape'!$L34)))</f>
        <v>0.0652</v>
      </c>
      <c r="K341" s="104" t="n">
        <f aca="false">IF('Loan Tape'!$AN34=0,0,IF('Loan Tape'!$K34="Floating",MIN(IF('Loan Tape'!$P34="",10,'Loan Tape'!$P34),MAX(IF('Loan Tape'!$Q34="",0,'Loan Tape'!$Q34),INDEX(Idx_Curve,1,9)+'Loan Tape'!$M34)),IF('Loan Tape'!$L34="",0,'Loan Tape'!$L34)))</f>
        <v>0.0652</v>
      </c>
      <c r="L341" s="104" t="n">
        <f aca="false">IF('Loan Tape'!$AN34=0,0,IF('Loan Tape'!$K34="Floating",MIN(IF('Loan Tape'!$P34="",10,'Loan Tape'!$P34),MAX(IF('Loan Tape'!$Q34="",0,'Loan Tape'!$Q34),INDEX(Idx_Curve,1,10)+'Loan Tape'!$M34)),IF('Loan Tape'!$L34="",0,'Loan Tape'!$L34)))</f>
        <v>0.0652</v>
      </c>
    </row>
    <row r="342" customFormat="false" ht="15" hidden="false" customHeight="false" outlineLevel="0" collapsed="false">
      <c r="B342" s="108" t="str">
        <f aca="false">'Loan Tape'!$A35</f>
        <v>L-032</v>
      </c>
      <c r="C342" s="56" t="n">
        <f aca="false">IF('Loan Tape'!$AN35=0,0,IF('Loan Tape'!$K35="Floating",MIN(IF('Loan Tape'!$P35="",10,'Loan Tape'!$P35),MAX(IF('Loan Tape'!$Q35="",0,'Loan Tape'!$Q35),INDEX(Idx_Curve,1,1)+'Loan Tape'!$M35)),IF('Loan Tape'!$L35="",0,'Loan Tape'!$L35)))</f>
        <v>0.086</v>
      </c>
      <c r="D342" s="56" t="n">
        <f aca="false">IF('Loan Tape'!$AN35=0,0,IF('Loan Tape'!$K35="Floating",MIN(IF('Loan Tape'!$P35="",10,'Loan Tape'!$P35),MAX(IF('Loan Tape'!$Q35="",0,'Loan Tape'!$Q35),INDEX(Idx_Curve,1,2)+'Loan Tape'!$M35)),IF('Loan Tape'!$L35="",0,'Loan Tape'!$L35)))</f>
        <v>0.081</v>
      </c>
      <c r="E342" s="56" t="n">
        <f aca="false">IF('Loan Tape'!$AN35=0,0,IF('Loan Tape'!$K35="Floating",MIN(IF('Loan Tape'!$P35="",10,'Loan Tape'!$P35),MAX(IF('Loan Tape'!$Q35="",0,'Loan Tape'!$Q35),INDEX(Idx_Curve,1,3)+'Loan Tape'!$M35)),IF('Loan Tape'!$L35="",0,'Loan Tape'!$L35)))</f>
        <v>0.077</v>
      </c>
      <c r="F342" s="56" t="n">
        <f aca="false">IF('Loan Tape'!$AN35=0,0,IF('Loan Tape'!$K35="Floating",MIN(IF('Loan Tape'!$P35="",10,'Loan Tape'!$P35),MAX(IF('Loan Tape'!$Q35="",0,'Loan Tape'!$Q35),INDEX(Idx_Curve,1,4)+'Loan Tape'!$M35)),IF('Loan Tape'!$L35="",0,'Loan Tape'!$L35)))</f>
        <v>0.075</v>
      </c>
      <c r="G342" s="56" t="n">
        <f aca="false">IF('Loan Tape'!$AN35=0,0,IF('Loan Tape'!$K35="Floating",MIN(IF('Loan Tape'!$P35="",10,'Loan Tape'!$P35),MAX(IF('Loan Tape'!$Q35="",0,'Loan Tape'!$Q35),INDEX(Idx_Curve,1,5)+'Loan Tape'!$M35)),IF('Loan Tape'!$L35="",0,'Loan Tape'!$L35)))</f>
        <v>0.074</v>
      </c>
      <c r="H342" s="56" t="n">
        <f aca="false">IF('Loan Tape'!$AN35=0,0,IF('Loan Tape'!$K35="Floating",MIN(IF('Loan Tape'!$P35="",10,'Loan Tape'!$P35),MAX(IF('Loan Tape'!$Q35="",0,'Loan Tape'!$Q35),INDEX(Idx_Curve,1,6)+'Loan Tape'!$M35)),IF('Loan Tape'!$L35="",0,'Loan Tape'!$L35)))</f>
        <v>0.074</v>
      </c>
      <c r="I342" s="56" t="n">
        <f aca="false">IF('Loan Tape'!$AN35=0,0,IF('Loan Tape'!$K35="Floating",MIN(IF('Loan Tape'!$P35="",10,'Loan Tape'!$P35),MAX(IF('Loan Tape'!$Q35="",0,'Loan Tape'!$Q35),INDEX(Idx_Curve,1,7)+'Loan Tape'!$M35)),IF('Loan Tape'!$L35="",0,'Loan Tape'!$L35)))</f>
        <v>0.074</v>
      </c>
      <c r="J342" s="56" t="n">
        <f aca="false">IF('Loan Tape'!$AN35=0,0,IF('Loan Tape'!$K35="Floating",MIN(IF('Loan Tape'!$P35="",10,'Loan Tape'!$P35),MAX(IF('Loan Tape'!$Q35="",0,'Loan Tape'!$Q35),INDEX(Idx_Curve,1,8)+'Loan Tape'!$M35)),IF('Loan Tape'!$L35="",0,'Loan Tape'!$L35)))</f>
        <v>0.074</v>
      </c>
      <c r="K342" s="56" t="n">
        <f aca="false">IF('Loan Tape'!$AN35=0,0,IF('Loan Tape'!$K35="Floating",MIN(IF('Loan Tape'!$P35="",10,'Loan Tape'!$P35),MAX(IF('Loan Tape'!$Q35="",0,'Loan Tape'!$Q35),INDEX(Idx_Curve,1,9)+'Loan Tape'!$M35)),IF('Loan Tape'!$L35="",0,'Loan Tape'!$L35)))</f>
        <v>0.074</v>
      </c>
      <c r="L342" s="56" t="n">
        <f aca="false">IF('Loan Tape'!$AN35=0,0,IF('Loan Tape'!$K35="Floating",MIN(IF('Loan Tape'!$P35="",10,'Loan Tape'!$P35),MAX(IF('Loan Tape'!$Q35="",0,'Loan Tape'!$Q35),INDEX(Idx_Curve,1,10)+'Loan Tape'!$M35)),IF('Loan Tape'!$L35="",0,'Loan Tape'!$L35)))</f>
        <v>0.074</v>
      </c>
    </row>
    <row r="343" customFormat="false" ht="15" hidden="false" customHeight="false" outlineLevel="0" collapsed="false">
      <c r="B343" s="102" t="str">
        <f aca="false">'Loan Tape'!$A36</f>
        <v>L-033</v>
      </c>
      <c r="C343" s="104" t="n">
        <f aca="false">IF('Loan Tape'!$AN36=0,0,IF('Loan Tape'!$K36="Floating",MIN(IF('Loan Tape'!$P36="",10,'Loan Tape'!$P36),MAX(IF('Loan Tape'!$Q36="",0,'Loan Tape'!$Q36),INDEX(Idx_Curve,1,1)+'Loan Tape'!$M36)),IF('Loan Tape'!$L36="",0,'Loan Tape'!$L36)))</f>
        <v>0.0807</v>
      </c>
      <c r="D343" s="104" t="n">
        <f aca="false">IF('Loan Tape'!$AN36=0,0,IF('Loan Tape'!$K36="Floating",MIN(IF('Loan Tape'!$P36="",10,'Loan Tape'!$P36),MAX(IF('Loan Tape'!$Q36="",0,'Loan Tape'!$Q36),INDEX(Idx_Curve,1,2)+'Loan Tape'!$M36)),IF('Loan Tape'!$L36="",0,'Loan Tape'!$L36)))</f>
        <v>0.0757</v>
      </c>
      <c r="E343" s="104" t="n">
        <f aca="false">IF('Loan Tape'!$AN36=0,0,IF('Loan Tape'!$K36="Floating",MIN(IF('Loan Tape'!$P36="",10,'Loan Tape'!$P36),MAX(IF('Loan Tape'!$Q36="",0,'Loan Tape'!$Q36),INDEX(Idx_Curve,1,3)+'Loan Tape'!$M36)),IF('Loan Tape'!$L36="",0,'Loan Tape'!$L36)))</f>
        <v>0.0717</v>
      </c>
      <c r="F343" s="104" t="n">
        <f aca="false">IF('Loan Tape'!$AN36=0,0,IF('Loan Tape'!$K36="Floating",MIN(IF('Loan Tape'!$P36="",10,'Loan Tape'!$P36),MAX(IF('Loan Tape'!$Q36="",0,'Loan Tape'!$Q36),INDEX(Idx_Curve,1,4)+'Loan Tape'!$M36)),IF('Loan Tape'!$L36="",0,'Loan Tape'!$L36)))</f>
        <v>0.0697</v>
      </c>
      <c r="G343" s="104" t="n">
        <f aca="false">IF('Loan Tape'!$AN36=0,0,IF('Loan Tape'!$K36="Floating",MIN(IF('Loan Tape'!$P36="",10,'Loan Tape'!$P36),MAX(IF('Loan Tape'!$Q36="",0,'Loan Tape'!$Q36),INDEX(Idx_Curve,1,5)+'Loan Tape'!$M36)),IF('Loan Tape'!$L36="",0,'Loan Tape'!$L36)))</f>
        <v>0.0687</v>
      </c>
      <c r="H343" s="104" t="n">
        <f aca="false">IF('Loan Tape'!$AN36=0,0,IF('Loan Tape'!$K36="Floating",MIN(IF('Loan Tape'!$P36="",10,'Loan Tape'!$P36),MAX(IF('Loan Tape'!$Q36="",0,'Loan Tape'!$Q36),INDEX(Idx_Curve,1,6)+'Loan Tape'!$M36)),IF('Loan Tape'!$L36="",0,'Loan Tape'!$L36)))</f>
        <v>0.0687</v>
      </c>
      <c r="I343" s="104" t="n">
        <f aca="false">IF('Loan Tape'!$AN36=0,0,IF('Loan Tape'!$K36="Floating",MIN(IF('Loan Tape'!$P36="",10,'Loan Tape'!$P36),MAX(IF('Loan Tape'!$Q36="",0,'Loan Tape'!$Q36),INDEX(Idx_Curve,1,7)+'Loan Tape'!$M36)),IF('Loan Tape'!$L36="",0,'Loan Tape'!$L36)))</f>
        <v>0.0687</v>
      </c>
      <c r="J343" s="104" t="n">
        <f aca="false">IF('Loan Tape'!$AN36=0,0,IF('Loan Tape'!$K36="Floating",MIN(IF('Loan Tape'!$P36="",10,'Loan Tape'!$P36),MAX(IF('Loan Tape'!$Q36="",0,'Loan Tape'!$Q36),INDEX(Idx_Curve,1,8)+'Loan Tape'!$M36)),IF('Loan Tape'!$L36="",0,'Loan Tape'!$L36)))</f>
        <v>0.0687</v>
      </c>
      <c r="K343" s="104" t="n">
        <f aca="false">IF('Loan Tape'!$AN36=0,0,IF('Loan Tape'!$K36="Floating",MIN(IF('Loan Tape'!$P36="",10,'Loan Tape'!$P36),MAX(IF('Loan Tape'!$Q36="",0,'Loan Tape'!$Q36),INDEX(Idx_Curve,1,9)+'Loan Tape'!$M36)),IF('Loan Tape'!$L36="",0,'Loan Tape'!$L36)))</f>
        <v>0.0687</v>
      </c>
      <c r="L343" s="104" t="n">
        <f aca="false">IF('Loan Tape'!$AN36=0,0,IF('Loan Tape'!$K36="Floating",MIN(IF('Loan Tape'!$P36="",10,'Loan Tape'!$P36),MAX(IF('Loan Tape'!$Q36="",0,'Loan Tape'!$Q36),INDEX(Idx_Curve,1,10)+'Loan Tape'!$M36)),IF('Loan Tape'!$L36="",0,'Loan Tape'!$L36)))</f>
        <v>0.0687</v>
      </c>
    </row>
    <row r="344" customFormat="false" ht="15" hidden="false" customHeight="false" outlineLevel="0" collapsed="false">
      <c r="B344" s="108" t="str">
        <f aca="false">'Loan Tape'!$A37</f>
        <v>L-034</v>
      </c>
      <c r="C344" s="56" t="n">
        <f aca="false">IF('Loan Tape'!$AN37=0,0,IF('Loan Tape'!$K37="Floating",MIN(IF('Loan Tape'!$P37="",10,'Loan Tape'!$P37),MAX(IF('Loan Tape'!$Q37="",0,'Loan Tape'!$Q37),INDEX(Idx_Curve,1,1)+'Loan Tape'!$M37)),IF('Loan Tape'!$L37="",0,'Loan Tape'!$L37)))</f>
        <v>0.0486</v>
      </c>
      <c r="D344" s="56" t="n">
        <f aca="false">IF('Loan Tape'!$AN37=0,0,IF('Loan Tape'!$K37="Floating",MIN(IF('Loan Tape'!$P37="",10,'Loan Tape'!$P37),MAX(IF('Loan Tape'!$Q37="",0,'Loan Tape'!$Q37),INDEX(Idx_Curve,1,2)+'Loan Tape'!$M37)),IF('Loan Tape'!$L37="",0,'Loan Tape'!$L37)))</f>
        <v>0.0486</v>
      </c>
      <c r="E344" s="56" t="n">
        <f aca="false">IF('Loan Tape'!$AN37=0,0,IF('Loan Tape'!$K37="Floating",MIN(IF('Loan Tape'!$P37="",10,'Loan Tape'!$P37),MAX(IF('Loan Tape'!$Q37="",0,'Loan Tape'!$Q37),INDEX(Idx_Curve,1,3)+'Loan Tape'!$M37)),IF('Loan Tape'!$L37="",0,'Loan Tape'!$L37)))</f>
        <v>0.0486</v>
      </c>
      <c r="F344" s="56" t="n">
        <f aca="false">IF('Loan Tape'!$AN37=0,0,IF('Loan Tape'!$K37="Floating",MIN(IF('Loan Tape'!$P37="",10,'Loan Tape'!$P37),MAX(IF('Loan Tape'!$Q37="",0,'Loan Tape'!$Q37),INDEX(Idx_Curve,1,4)+'Loan Tape'!$M37)),IF('Loan Tape'!$L37="",0,'Loan Tape'!$L37)))</f>
        <v>0.0486</v>
      </c>
      <c r="G344" s="56" t="n">
        <f aca="false">IF('Loan Tape'!$AN37=0,0,IF('Loan Tape'!$K37="Floating",MIN(IF('Loan Tape'!$P37="",10,'Loan Tape'!$P37),MAX(IF('Loan Tape'!$Q37="",0,'Loan Tape'!$Q37),INDEX(Idx_Curve,1,5)+'Loan Tape'!$M37)),IF('Loan Tape'!$L37="",0,'Loan Tape'!$L37)))</f>
        <v>0.0486</v>
      </c>
      <c r="H344" s="56" t="n">
        <f aca="false">IF('Loan Tape'!$AN37=0,0,IF('Loan Tape'!$K37="Floating",MIN(IF('Loan Tape'!$P37="",10,'Loan Tape'!$P37),MAX(IF('Loan Tape'!$Q37="",0,'Loan Tape'!$Q37),INDEX(Idx_Curve,1,6)+'Loan Tape'!$M37)),IF('Loan Tape'!$L37="",0,'Loan Tape'!$L37)))</f>
        <v>0.0486</v>
      </c>
      <c r="I344" s="56" t="n">
        <f aca="false">IF('Loan Tape'!$AN37=0,0,IF('Loan Tape'!$K37="Floating",MIN(IF('Loan Tape'!$P37="",10,'Loan Tape'!$P37),MAX(IF('Loan Tape'!$Q37="",0,'Loan Tape'!$Q37),INDEX(Idx_Curve,1,7)+'Loan Tape'!$M37)),IF('Loan Tape'!$L37="",0,'Loan Tape'!$L37)))</f>
        <v>0.0486</v>
      </c>
      <c r="J344" s="56" t="n">
        <f aca="false">IF('Loan Tape'!$AN37=0,0,IF('Loan Tape'!$K37="Floating",MIN(IF('Loan Tape'!$P37="",10,'Loan Tape'!$P37),MAX(IF('Loan Tape'!$Q37="",0,'Loan Tape'!$Q37),INDEX(Idx_Curve,1,8)+'Loan Tape'!$M37)),IF('Loan Tape'!$L37="",0,'Loan Tape'!$L37)))</f>
        <v>0.0486</v>
      </c>
      <c r="K344" s="56" t="n">
        <f aca="false">IF('Loan Tape'!$AN37=0,0,IF('Loan Tape'!$K37="Floating",MIN(IF('Loan Tape'!$P37="",10,'Loan Tape'!$P37),MAX(IF('Loan Tape'!$Q37="",0,'Loan Tape'!$Q37),INDEX(Idx_Curve,1,9)+'Loan Tape'!$M37)),IF('Loan Tape'!$L37="",0,'Loan Tape'!$L37)))</f>
        <v>0.0486</v>
      </c>
      <c r="L344" s="56" t="n">
        <f aca="false">IF('Loan Tape'!$AN37=0,0,IF('Loan Tape'!$K37="Floating",MIN(IF('Loan Tape'!$P37="",10,'Loan Tape'!$P37),MAX(IF('Loan Tape'!$Q37="",0,'Loan Tape'!$Q37),INDEX(Idx_Curve,1,10)+'Loan Tape'!$M37)),IF('Loan Tape'!$L37="",0,'Loan Tape'!$L37)))</f>
        <v>0.0486</v>
      </c>
    </row>
    <row r="345" customFormat="false" ht="15" hidden="false" customHeight="false" outlineLevel="0" collapsed="false">
      <c r="B345" s="102" t="str">
        <f aca="false">'Loan Tape'!$A38</f>
        <v>L-035</v>
      </c>
      <c r="C345" s="104" t="n">
        <f aca="false">IF('Loan Tape'!$AN38=0,0,IF('Loan Tape'!$K38="Floating",MIN(IF('Loan Tape'!$P38="",10,'Loan Tape'!$P38),MAX(IF('Loan Tape'!$Q38="",0,'Loan Tape'!$Q38),INDEX(Idx_Curve,1,1)+'Loan Tape'!$M38)),IF('Loan Tape'!$L38="",0,'Loan Tape'!$L38)))</f>
        <v>0.0649</v>
      </c>
      <c r="D345" s="104" t="n">
        <f aca="false">IF('Loan Tape'!$AN38=0,0,IF('Loan Tape'!$K38="Floating",MIN(IF('Loan Tape'!$P38="",10,'Loan Tape'!$P38),MAX(IF('Loan Tape'!$Q38="",0,'Loan Tape'!$Q38),INDEX(Idx_Curve,1,2)+'Loan Tape'!$M38)),IF('Loan Tape'!$L38="",0,'Loan Tape'!$L38)))</f>
        <v>0.0599</v>
      </c>
      <c r="E345" s="104" t="n">
        <f aca="false">IF('Loan Tape'!$AN38=0,0,IF('Loan Tape'!$K38="Floating",MIN(IF('Loan Tape'!$P38="",10,'Loan Tape'!$P38),MAX(IF('Loan Tape'!$Q38="",0,'Loan Tape'!$Q38),INDEX(Idx_Curve,1,3)+'Loan Tape'!$M38)),IF('Loan Tape'!$L38="",0,'Loan Tape'!$L38)))</f>
        <v>0.0559</v>
      </c>
      <c r="F345" s="104" t="n">
        <f aca="false">IF('Loan Tape'!$AN38=0,0,IF('Loan Tape'!$K38="Floating",MIN(IF('Loan Tape'!$P38="",10,'Loan Tape'!$P38),MAX(IF('Loan Tape'!$Q38="",0,'Loan Tape'!$Q38),INDEX(Idx_Curve,1,4)+'Loan Tape'!$M38)),IF('Loan Tape'!$L38="",0,'Loan Tape'!$L38)))</f>
        <v>0.0539</v>
      </c>
      <c r="G345" s="104" t="n">
        <f aca="false">IF('Loan Tape'!$AN38=0,0,IF('Loan Tape'!$K38="Floating",MIN(IF('Loan Tape'!$P38="",10,'Loan Tape'!$P38),MAX(IF('Loan Tape'!$Q38="",0,'Loan Tape'!$Q38),INDEX(Idx_Curve,1,5)+'Loan Tape'!$M38)),IF('Loan Tape'!$L38="",0,'Loan Tape'!$L38)))</f>
        <v>0.0529</v>
      </c>
      <c r="H345" s="104" t="n">
        <f aca="false">IF('Loan Tape'!$AN38=0,0,IF('Loan Tape'!$K38="Floating",MIN(IF('Loan Tape'!$P38="",10,'Loan Tape'!$P38),MAX(IF('Loan Tape'!$Q38="",0,'Loan Tape'!$Q38),INDEX(Idx_Curve,1,6)+'Loan Tape'!$M38)),IF('Loan Tape'!$L38="",0,'Loan Tape'!$L38)))</f>
        <v>0.0529</v>
      </c>
      <c r="I345" s="104" t="n">
        <f aca="false">IF('Loan Tape'!$AN38=0,0,IF('Loan Tape'!$K38="Floating",MIN(IF('Loan Tape'!$P38="",10,'Loan Tape'!$P38),MAX(IF('Loan Tape'!$Q38="",0,'Loan Tape'!$Q38),INDEX(Idx_Curve,1,7)+'Loan Tape'!$M38)),IF('Loan Tape'!$L38="",0,'Loan Tape'!$L38)))</f>
        <v>0.0529</v>
      </c>
      <c r="J345" s="104" t="n">
        <f aca="false">IF('Loan Tape'!$AN38=0,0,IF('Loan Tape'!$K38="Floating",MIN(IF('Loan Tape'!$P38="",10,'Loan Tape'!$P38),MAX(IF('Loan Tape'!$Q38="",0,'Loan Tape'!$Q38),INDEX(Idx_Curve,1,8)+'Loan Tape'!$M38)),IF('Loan Tape'!$L38="",0,'Loan Tape'!$L38)))</f>
        <v>0.0529</v>
      </c>
      <c r="K345" s="104" t="n">
        <f aca="false">IF('Loan Tape'!$AN38=0,0,IF('Loan Tape'!$K38="Floating",MIN(IF('Loan Tape'!$P38="",10,'Loan Tape'!$P38),MAX(IF('Loan Tape'!$Q38="",0,'Loan Tape'!$Q38),INDEX(Idx_Curve,1,9)+'Loan Tape'!$M38)),IF('Loan Tape'!$L38="",0,'Loan Tape'!$L38)))</f>
        <v>0.0529</v>
      </c>
      <c r="L345" s="104" t="n">
        <f aca="false">IF('Loan Tape'!$AN38=0,0,IF('Loan Tape'!$K38="Floating",MIN(IF('Loan Tape'!$P38="",10,'Loan Tape'!$P38),MAX(IF('Loan Tape'!$Q38="",0,'Loan Tape'!$Q38),INDEX(Idx_Curve,1,10)+'Loan Tape'!$M38)),IF('Loan Tape'!$L38="",0,'Loan Tape'!$L38)))</f>
        <v>0.0529</v>
      </c>
    </row>
    <row r="346" customFormat="false" ht="15" hidden="false" customHeight="false" outlineLevel="0" collapsed="false">
      <c r="B346" s="108" t="str">
        <f aca="false">'Loan Tape'!$A39</f>
        <v>L-036</v>
      </c>
      <c r="C346" s="56" t="n">
        <f aca="false">IF('Loan Tape'!$AN39=0,0,IF('Loan Tape'!$K39="Floating",MIN(IF('Loan Tape'!$P39="",10,'Loan Tape'!$P39),MAX(IF('Loan Tape'!$Q39="",0,'Loan Tape'!$Q39),INDEX(Idx_Curve,1,1)+'Loan Tape'!$M39)),IF('Loan Tape'!$L39="",0,'Loan Tape'!$L39)))</f>
        <v>0.0589</v>
      </c>
      <c r="D346" s="56" t="n">
        <f aca="false">IF('Loan Tape'!$AN39=0,0,IF('Loan Tape'!$K39="Floating",MIN(IF('Loan Tape'!$P39="",10,'Loan Tape'!$P39),MAX(IF('Loan Tape'!$Q39="",0,'Loan Tape'!$Q39),INDEX(Idx_Curve,1,2)+'Loan Tape'!$M39)),IF('Loan Tape'!$L39="",0,'Loan Tape'!$L39)))</f>
        <v>0.0589</v>
      </c>
      <c r="E346" s="56" t="n">
        <f aca="false">IF('Loan Tape'!$AN39=0,0,IF('Loan Tape'!$K39="Floating",MIN(IF('Loan Tape'!$P39="",10,'Loan Tape'!$P39),MAX(IF('Loan Tape'!$Q39="",0,'Loan Tape'!$Q39),INDEX(Idx_Curve,1,3)+'Loan Tape'!$M39)),IF('Loan Tape'!$L39="",0,'Loan Tape'!$L39)))</f>
        <v>0.0589</v>
      </c>
      <c r="F346" s="56" t="n">
        <f aca="false">IF('Loan Tape'!$AN39=0,0,IF('Loan Tape'!$K39="Floating",MIN(IF('Loan Tape'!$P39="",10,'Loan Tape'!$P39),MAX(IF('Loan Tape'!$Q39="",0,'Loan Tape'!$Q39),INDEX(Idx_Curve,1,4)+'Loan Tape'!$M39)),IF('Loan Tape'!$L39="",0,'Loan Tape'!$L39)))</f>
        <v>0.0589</v>
      </c>
      <c r="G346" s="56" t="n">
        <f aca="false">IF('Loan Tape'!$AN39=0,0,IF('Loan Tape'!$K39="Floating",MIN(IF('Loan Tape'!$P39="",10,'Loan Tape'!$P39),MAX(IF('Loan Tape'!$Q39="",0,'Loan Tape'!$Q39),INDEX(Idx_Curve,1,5)+'Loan Tape'!$M39)),IF('Loan Tape'!$L39="",0,'Loan Tape'!$L39)))</f>
        <v>0.0589</v>
      </c>
      <c r="H346" s="56" t="n">
        <f aca="false">IF('Loan Tape'!$AN39=0,0,IF('Loan Tape'!$K39="Floating",MIN(IF('Loan Tape'!$P39="",10,'Loan Tape'!$P39),MAX(IF('Loan Tape'!$Q39="",0,'Loan Tape'!$Q39),INDEX(Idx_Curve,1,6)+'Loan Tape'!$M39)),IF('Loan Tape'!$L39="",0,'Loan Tape'!$L39)))</f>
        <v>0.0589</v>
      </c>
      <c r="I346" s="56" t="n">
        <f aca="false">IF('Loan Tape'!$AN39=0,0,IF('Loan Tape'!$K39="Floating",MIN(IF('Loan Tape'!$P39="",10,'Loan Tape'!$P39),MAX(IF('Loan Tape'!$Q39="",0,'Loan Tape'!$Q39),INDEX(Idx_Curve,1,7)+'Loan Tape'!$M39)),IF('Loan Tape'!$L39="",0,'Loan Tape'!$L39)))</f>
        <v>0.0589</v>
      </c>
      <c r="J346" s="56" t="n">
        <f aca="false">IF('Loan Tape'!$AN39=0,0,IF('Loan Tape'!$K39="Floating",MIN(IF('Loan Tape'!$P39="",10,'Loan Tape'!$P39),MAX(IF('Loan Tape'!$Q39="",0,'Loan Tape'!$Q39),INDEX(Idx_Curve,1,8)+'Loan Tape'!$M39)),IF('Loan Tape'!$L39="",0,'Loan Tape'!$L39)))</f>
        <v>0.0589</v>
      </c>
      <c r="K346" s="56" t="n">
        <f aca="false">IF('Loan Tape'!$AN39=0,0,IF('Loan Tape'!$K39="Floating",MIN(IF('Loan Tape'!$P39="",10,'Loan Tape'!$P39),MAX(IF('Loan Tape'!$Q39="",0,'Loan Tape'!$Q39),INDEX(Idx_Curve,1,9)+'Loan Tape'!$M39)),IF('Loan Tape'!$L39="",0,'Loan Tape'!$L39)))</f>
        <v>0.0589</v>
      </c>
      <c r="L346" s="56" t="n">
        <f aca="false">IF('Loan Tape'!$AN39=0,0,IF('Loan Tape'!$K39="Floating",MIN(IF('Loan Tape'!$P39="",10,'Loan Tape'!$P39),MAX(IF('Loan Tape'!$Q39="",0,'Loan Tape'!$Q39),INDEX(Idx_Curve,1,10)+'Loan Tape'!$M39)),IF('Loan Tape'!$L39="",0,'Loan Tape'!$L39)))</f>
        <v>0.0589</v>
      </c>
    </row>
    <row r="347" customFormat="false" ht="15" hidden="false" customHeight="false" outlineLevel="0" collapsed="false">
      <c r="B347" s="102" t="str">
        <f aca="false">'Loan Tape'!$A40</f>
        <v>L-037</v>
      </c>
      <c r="C347" s="104" t="n">
        <f aca="false">IF('Loan Tape'!$AN40=0,0,IF('Loan Tape'!$K40="Floating",MIN(IF('Loan Tape'!$P40="",10,'Loan Tape'!$P40),MAX(IF('Loan Tape'!$Q40="",0,'Loan Tape'!$Q40),INDEX(Idx_Curve,1,1)+'Loan Tape'!$M40)),IF('Loan Tape'!$L40="",0,'Loan Tape'!$L40)))</f>
        <v>0.0755</v>
      </c>
      <c r="D347" s="104" t="n">
        <f aca="false">IF('Loan Tape'!$AN40=0,0,IF('Loan Tape'!$K40="Floating",MIN(IF('Loan Tape'!$P40="",10,'Loan Tape'!$P40),MAX(IF('Loan Tape'!$Q40="",0,'Loan Tape'!$Q40),INDEX(Idx_Curve,1,2)+'Loan Tape'!$M40)),IF('Loan Tape'!$L40="",0,'Loan Tape'!$L40)))</f>
        <v>0.0705</v>
      </c>
      <c r="E347" s="104" t="n">
        <f aca="false">IF('Loan Tape'!$AN40=0,0,IF('Loan Tape'!$K40="Floating",MIN(IF('Loan Tape'!$P40="",10,'Loan Tape'!$P40),MAX(IF('Loan Tape'!$Q40="",0,'Loan Tape'!$Q40),INDEX(Idx_Curve,1,3)+'Loan Tape'!$M40)),IF('Loan Tape'!$L40="",0,'Loan Tape'!$L40)))</f>
        <v>0.0665</v>
      </c>
      <c r="F347" s="104" t="n">
        <f aca="false">IF('Loan Tape'!$AN40=0,0,IF('Loan Tape'!$K40="Floating",MIN(IF('Loan Tape'!$P40="",10,'Loan Tape'!$P40),MAX(IF('Loan Tape'!$Q40="",0,'Loan Tape'!$Q40),INDEX(Idx_Curve,1,4)+'Loan Tape'!$M40)),IF('Loan Tape'!$L40="",0,'Loan Tape'!$L40)))</f>
        <v>0.0645</v>
      </c>
      <c r="G347" s="104" t="n">
        <f aca="false">IF('Loan Tape'!$AN40=0,0,IF('Loan Tape'!$K40="Floating",MIN(IF('Loan Tape'!$P40="",10,'Loan Tape'!$P40),MAX(IF('Loan Tape'!$Q40="",0,'Loan Tape'!$Q40),INDEX(Idx_Curve,1,5)+'Loan Tape'!$M40)),IF('Loan Tape'!$L40="",0,'Loan Tape'!$L40)))</f>
        <v>0.0635</v>
      </c>
      <c r="H347" s="104" t="n">
        <f aca="false">IF('Loan Tape'!$AN40=0,0,IF('Loan Tape'!$K40="Floating",MIN(IF('Loan Tape'!$P40="",10,'Loan Tape'!$P40),MAX(IF('Loan Tape'!$Q40="",0,'Loan Tape'!$Q40),INDEX(Idx_Curve,1,6)+'Loan Tape'!$M40)),IF('Loan Tape'!$L40="",0,'Loan Tape'!$L40)))</f>
        <v>0.0635</v>
      </c>
      <c r="I347" s="104" t="n">
        <f aca="false">IF('Loan Tape'!$AN40=0,0,IF('Loan Tape'!$K40="Floating",MIN(IF('Loan Tape'!$P40="",10,'Loan Tape'!$P40),MAX(IF('Loan Tape'!$Q40="",0,'Loan Tape'!$Q40),INDEX(Idx_Curve,1,7)+'Loan Tape'!$M40)),IF('Loan Tape'!$L40="",0,'Loan Tape'!$L40)))</f>
        <v>0.0635</v>
      </c>
      <c r="J347" s="104" t="n">
        <f aca="false">IF('Loan Tape'!$AN40=0,0,IF('Loan Tape'!$K40="Floating",MIN(IF('Loan Tape'!$P40="",10,'Loan Tape'!$P40),MAX(IF('Loan Tape'!$Q40="",0,'Loan Tape'!$Q40),INDEX(Idx_Curve,1,8)+'Loan Tape'!$M40)),IF('Loan Tape'!$L40="",0,'Loan Tape'!$L40)))</f>
        <v>0.0635</v>
      </c>
      <c r="K347" s="104" t="n">
        <f aca="false">IF('Loan Tape'!$AN40=0,0,IF('Loan Tape'!$K40="Floating",MIN(IF('Loan Tape'!$P40="",10,'Loan Tape'!$P40),MAX(IF('Loan Tape'!$Q40="",0,'Loan Tape'!$Q40),INDEX(Idx_Curve,1,9)+'Loan Tape'!$M40)),IF('Loan Tape'!$L40="",0,'Loan Tape'!$L40)))</f>
        <v>0.0635</v>
      </c>
      <c r="L347" s="104" t="n">
        <f aca="false">IF('Loan Tape'!$AN40=0,0,IF('Loan Tape'!$K40="Floating",MIN(IF('Loan Tape'!$P40="",10,'Loan Tape'!$P40),MAX(IF('Loan Tape'!$Q40="",0,'Loan Tape'!$Q40),INDEX(Idx_Curve,1,10)+'Loan Tape'!$M40)),IF('Loan Tape'!$L40="",0,'Loan Tape'!$L40)))</f>
        <v>0.0635</v>
      </c>
    </row>
    <row r="348" customFormat="false" ht="15" hidden="false" customHeight="false" outlineLevel="0" collapsed="false">
      <c r="B348" s="108" t="str">
        <f aca="false">'Loan Tape'!$A41</f>
        <v>L-038</v>
      </c>
      <c r="C348" s="56" t="n">
        <f aca="false">IF('Loan Tape'!$AN41=0,0,IF('Loan Tape'!$K41="Floating",MIN(IF('Loan Tape'!$P41="",10,'Loan Tape'!$P41),MAX(IF('Loan Tape'!$Q41="",0,'Loan Tape'!$Q41),INDEX(Idx_Curve,1,1)+'Loan Tape'!$M41)),IF('Loan Tape'!$L41="",0,'Loan Tape'!$L41)))</f>
        <v>0.072</v>
      </c>
      <c r="D348" s="56" t="n">
        <f aca="false">IF('Loan Tape'!$AN41=0,0,IF('Loan Tape'!$K41="Floating",MIN(IF('Loan Tape'!$P41="",10,'Loan Tape'!$P41),MAX(IF('Loan Tape'!$Q41="",0,'Loan Tape'!$Q41),INDEX(Idx_Curve,1,2)+'Loan Tape'!$M41)),IF('Loan Tape'!$L41="",0,'Loan Tape'!$L41)))</f>
        <v>0.067</v>
      </c>
      <c r="E348" s="56" t="n">
        <f aca="false">IF('Loan Tape'!$AN41=0,0,IF('Loan Tape'!$K41="Floating",MIN(IF('Loan Tape'!$P41="",10,'Loan Tape'!$P41),MAX(IF('Loan Tape'!$Q41="",0,'Loan Tape'!$Q41),INDEX(Idx_Curve,1,3)+'Loan Tape'!$M41)),IF('Loan Tape'!$L41="",0,'Loan Tape'!$L41)))</f>
        <v>0.063</v>
      </c>
      <c r="F348" s="56" t="n">
        <f aca="false">IF('Loan Tape'!$AN41=0,0,IF('Loan Tape'!$K41="Floating",MIN(IF('Loan Tape'!$P41="",10,'Loan Tape'!$P41),MAX(IF('Loan Tape'!$Q41="",0,'Loan Tape'!$Q41),INDEX(Idx_Curve,1,4)+'Loan Tape'!$M41)),IF('Loan Tape'!$L41="",0,'Loan Tape'!$L41)))</f>
        <v>0.061</v>
      </c>
      <c r="G348" s="56" t="n">
        <f aca="false">IF('Loan Tape'!$AN41=0,0,IF('Loan Tape'!$K41="Floating",MIN(IF('Loan Tape'!$P41="",10,'Loan Tape'!$P41),MAX(IF('Loan Tape'!$Q41="",0,'Loan Tape'!$Q41),INDEX(Idx_Curve,1,5)+'Loan Tape'!$M41)),IF('Loan Tape'!$L41="",0,'Loan Tape'!$L41)))</f>
        <v>0.06</v>
      </c>
      <c r="H348" s="56" t="n">
        <f aca="false">IF('Loan Tape'!$AN41=0,0,IF('Loan Tape'!$K41="Floating",MIN(IF('Loan Tape'!$P41="",10,'Loan Tape'!$P41),MAX(IF('Loan Tape'!$Q41="",0,'Loan Tape'!$Q41),INDEX(Idx_Curve,1,6)+'Loan Tape'!$M41)),IF('Loan Tape'!$L41="",0,'Loan Tape'!$L41)))</f>
        <v>0.06</v>
      </c>
      <c r="I348" s="56" t="n">
        <f aca="false">IF('Loan Tape'!$AN41=0,0,IF('Loan Tape'!$K41="Floating",MIN(IF('Loan Tape'!$P41="",10,'Loan Tape'!$P41),MAX(IF('Loan Tape'!$Q41="",0,'Loan Tape'!$Q41),INDEX(Idx_Curve,1,7)+'Loan Tape'!$M41)),IF('Loan Tape'!$L41="",0,'Loan Tape'!$L41)))</f>
        <v>0.06</v>
      </c>
      <c r="J348" s="56" t="n">
        <f aca="false">IF('Loan Tape'!$AN41=0,0,IF('Loan Tape'!$K41="Floating",MIN(IF('Loan Tape'!$P41="",10,'Loan Tape'!$P41),MAX(IF('Loan Tape'!$Q41="",0,'Loan Tape'!$Q41),INDEX(Idx_Curve,1,8)+'Loan Tape'!$M41)),IF('Loan Tape'!$L41="",0,'Loan Tape'!$L41)))</f>
        <v>0.06</v>
      </c>
      <c r="K348" s="56" t="n">
        <f aca="false">IF('Loan Tape'!$AN41=0,0,IF('Loan Tape'!$K41="Floating",MIN(IF('Loan Tape'!$P41="",10,'Loan Tape'!$P41),MAX(IF('Loan Tape'!$Q41="",0,'Loan Tape'!$Q41),INDEX(Idx_Curve,1,9)+'Loan Tape'!$M41)),IF('Loan Tape'!$L41="",0,'Loan Tape'!$L41)))</f>
        <v>0.06</v>
      </c>
      <c r="L348" s="56" t="n">
        <f aca="false">IF('Loan Tape'!$AN41=0,0,IF('Loan Tape'!$K41="Floating",MIN(IF('Loan Tape'!$P41="",10,'Loan Tape'!$P41),MAX(IF('Loan Tape'!$Q41="",0,'Loan Tape'!$Q41),INDEX(Idx_Curve,1,10)+'Loan Tape'!$M41)),IF('Loan Tape'!$L41="",0,'Loan Tape'!$L41)))</f>
        <v>0.06</v>
      </c>
    </row>
    <row r="349" customFormat="false" ht="15" hidden="false" customHeight="false" outlineLevel="0" collapsed="false">
      <c r="B349" s="102" t="str">
        <f aca="false">'Loan Tape'!$A42</f>
        <v>L-039</v>
      </c>
      <c r="C349" s="104" t="n">
        <f aca="false">IF('Loan Tape'!$AN42=0,0,IF('Loan Tape'!$K42="Floating",MIN(IF('Loan Tape'!$P42="",10,'Loan Tape'!$P42),MAX(IF('Loan Tape'!$Q42="",0,'Loan Tape'!$Q42),INDEX(Idx_Curve,1,1)+'Loan Tape'!$M42)),IF('Loan Tape'!$L42="",0,'Loan Tape'!$L42)))</f>
        <v>0.0869</v>
      </c>
      <c r="D349" s="104" t="n">
        <f aca="false">IF('Loan Tape'!$AN42=0,0,IF('Loan Tape'!$K42="Floating",MIN(IF('Loan Tape'!$P42="",10,'Loan Tape'!$P42),MAX(IF('Loan Tape'!$Q42="",0,'Loan Tape'!$Q42),INDEX(Idx_Curve,1,2)+'Loan Tape'!$M42)),IF('Loan Tape'!$L42="",0,'Loan Tape'!$L42)))</f>
        <v>0.0819</v>
      </c>
      <c r="E349" s="104" t="n">
        <f aca="false">IF('Loan Tape'!$AN42=0,0,IF('Loan Tape'!$K42="Floating",MIN(IF('Loan Tape'!$P42="",10,'Loan Tape'!$P42),MAX(IF('Loan Tape'!$Q42="",0,'Loan Tape'!$Q42),INDEX(Idx_Curve,1,3)+'Loan Tape'!$M42)),IF('Loan Tape'!$L42="",0,'Loan Tape'!$L42)))</f>
        <v>0.0779</v>
      </c>
      <c r="F349" s="104" t="n">
        <f aca="false">IF('Loan Tape'!$AN42=0,0,IF('Loan Tape'!$K42="Floating",MIN(IF('Loan Tape'!$P42="",10,'Loan Tape'!$P42),MAX(IF('Loan Tape'!$Q42="",0,'Loan Tape'!$Q42),INDEX(Idx_Curve,1,4)+'Loan Tape'!$M42)),IF('Loan Tape'!$L42="",0,'Loan Tape'!$L42)))</f>
        <v>0.0759</v>
      </c>
      <c r="G349" s="104" t="n">
        <f aca="false">IF('Loan Tape'!$AN42=0,0,IF('Loan Tape'!$K42="Floating",MIN(IF('Loan Tape'!$P42="",10,'Loan Tape'!$P42),MAX(IF('Loan Tape'!$Q42="",0,'Loan Tape'!$Q42),INDEX(Idx_Curve,1,5)+'Loan Tape'!$M42)),IF('Loan Tape'!$L42="",0,'Loan Tape'!$L42)))</f>
        <v>0.0749</v>
      </c>
      <c r="H349" s="104" t="n">
        <f aca="false">IF('Loan Tape'!$AN42=0,0,IF('Loan Tape'!$K42="Floating",MIN(IF('Loan Tape'!$P42="",10,'Loan Tape'!$P42),MAX(IF('Loan Tape'!$Q42="",0,'Loan Tape'!$Q42),INDEX(Idx_Curve,1,6)+'Loan Tape'!$M42)),IF('Loan Tape'!$L42="",0,'Loan Tape'!$L42)))</f>
        <v>0.0749</v>
      </c>
      <c r="I349" s="104" t="n">
        <f aca="false">IF('Loan Tape'!$AN42=0,0,IF('Loan Tape'!$K42="Floating",MIN(IF('Loan Tape'!$P42="",10,'Loan Tape'!$P42),MAX(IF('Loan Tape'!$Q42="",0,'Loan Tape'!$Q42),INDEX(Idx_Curve,1,7)+'Loan Tape'!$M42)),IF('Loan Tape'!$L42="",0,'Loan Tape'!$L42)))</f>
        <v>0.0749</v>
      </c>
      <c r="J349" s="104" t="n">
        <f aca="false">IF('Loan Tape'!$AN42=0,0,IF('Loan Tape'!$K42="Floating",MIN(IF('Loan Tape'!$P42="",10,'Loan Tape'!$P42),MAX(IF('Loan Tape'!$Q42="",0,'Loan Tape'!$Q42),INDEX(Idx_Curve,1,8)+'Loan Tape'!$M42)),IF('Loan Tape'!$L42="",0,'Loan Tape'!$L42)))</f>
        <v>0.0749</v>
      </c>
      <c r="K349" s="104" t="n">
        <f aca="false">IF('Loan Tape'!$AN42=0,0,IF('Loan Tape'!$K42="Floating",MIN(IF('Loan Tape'!$P42="",10,'Loan Tape'!$P42),MAX(IF('Loan Tape'!$Q42="",0,'Loan Tape'!$Q42),INDEX(Idx_Curve,1,9)+'Loan Tape'!$M42)),IF('Loan Tape'!$L42="",0,'Loan Tape'!$L42)))</f>
        <v>0.0749</v>
      </c>
      <c r="L349" s="104" t="n">
        <f aca="false">IF('Loan Tape'!$AN42=0,0,IF('Loan Tape'!$K42="Floating",MIN(IF('Loan Tape'!$P42="",10,'Loan Tape'!$P42),MAX(IF('Loan Tape'!$Q42="",0,'Loan Tape'!$Q42),INDEX(Idx_Curve,1,10)+'Loan Tape'!$M42)),IF('Loan Tape'!$L42="",0,'Loan Tape'!$L42)))</f>
        <v>0.0749</v>
      </c>
    </row>
    <row r="350" customFormat="false" ht="15" hidden="false" customHeight="false" outlineLevel="0" collapsed="false">
      <c r="B350" s="108" t="str">
        <f aca="false">'Loan Tape'!$A43</f>
        <v>L-040</v>
      </c>
      <c r="C350" s="56" t="n">
        <f aca="false">IF('Loan Tape'!$AN43=0,0,IF('Loan Tape'!$K43="Floating",MIN(IF('Loan Tape'!$P43="",10,'Loan Tape'!$P43),MAX(IF('Loan Tape'!$Q43="",0,'Loan Tape'!$Q43),INDEX(Idx_Curve,1,1)+'Loan Tape'!$M43)),IF('Loan Tape'!$L43="",0,'Loan Tape'!$L43)))</f>
        <v>0.0462</v>
      </c>
      <c r="D350" s="56" t="n">
        <f aca="false">IF('Loan Tape'!$AN43=0,0,IF('Loan Tape'!$K43="Floating",MIN(IF('Loan Tape'!$P43="",10,'Loan Tape'!$P43),MAX(IF('Loan Tape'!$Q43="",0,'Loan Tape'!$Q43),INDEX(Idx_Curve,1,2)+'Loan Tape'!$M43)),IF('Loan Tape'!$L43="",0,'Loan Tape'!$L43)))</f>
        <v>0.0462</v>
      </c>
      <c r="E350" s="56" t="n">
        <f aca="false">IF('Loan Tape'!$AN43=0,0,IF('Loan Tape'!$K43="Floating",MIN(IF('Loan Tape'!$P43="",10,'Loan Tape'!$P43),MAX(IF('Loan Tape'!$Q43="",0,'Loan Tape'!$Q43),INDEX(Idx_Curve,1,3)+'Loan Tape'!$M43)),IF('Loan Tape'!$L43="",0,'Loan Tape'!$L43)))</f>
        <v>0.0462</v>
      </c>
      <c r="F350" s="56" t="n">
        <f aca="false">IF('Loan Tape'!$AN43=0,0,IF('Loan Tape'!$K43="Floating",MIN(IF('Loan Tape'!$P43="",10,'Loan Tape'!$P43),MAX(IF('Loan Tape'!$Q43="",0,'Loan Tape'!$Q43),INDEX(Idx_Curve,1,4)+'Loan Tape'!$M43)),IF('Loan Tape'!$L43="",0,'Loan Tape'!$L43)))</f>
        <v>0.0462</v>
      </c>
      <c r="G350" s="56" t="n">
        <f aca="false">IF('Loan Tape'!$AN43=0,0,IF('Loan Tape'!$K43="Floating",MIN(IF('Loan Tape'!$P43="",10,'Loan Tape'!$P43),MAX(IF('Loan Tape'!$Q43="",0,'Loan Tape'!$Q43),INDEX(Idx_Curve,1,5)+'Loan Tape'!$M43)),IF('Loan Tape'!$L43="",0,'Loan Tape'!$L43)))</f>
        <v>0.0462</v>
      </c>
      <c r="H350" s="56" t="n">
        <f aca="false">IF('Loan Tape'!$AN43=0,0,IF('Loan Tape'!$K43="Floating",MIN(IF('Loan Tape'!$P43="",10,'Loan Tape'!$P43),MAX(IF('Loan Tape'!$Q43="",0,'Loan Tape'!$Q43),INDEX(Idx_Curve,1,6)+'Loan Tape'!$M43)),IF('Loan Tape'!$L43="",0,'Loan Tape'!$L43)))</f>
        <v>0.0462</v>
      </c>
      <c r="I350" s="56" t="n">
        <f aca="false">IF('Loan Tape'!$AN43=0,0,IF('Loan Tape'!$K43="Floating",MIN(IF('Loan Tape'!$P43="",10,'Loan Tape'!$P43),MAX(IF('Loan Tape'!$Q43="",0,'Loan Tape'!$Q43),INDEX(Idx_Curve,1,7)+'Loan Tape'!$M43)),IF('Loan Tape'!$L43="",0,'Loan Tape'!$L43)))</f>
        <v>0.0462</v>
      </c>
      <c r="J350" s="56" t="n">
        <f aca="false">IF('Loan Tape'!$AN43=0,0,IF('Loan Tape'!$K43="Floating",MIN(IF('Loan Tape'!$P43="",10,'Loan Tape'!$P43),MAX(IF('Loan Tape'!$Q43="",0,'Loan Tape'!$Q43),INDEX(Idx_Curve,1,8)+'Loan Tape'!$M43)),IF('Loan Tape'!$L43="",0,'Loan Tape'!$L43)))</f>
        <v>0.0462</v>
      </c>
      <c r="K350" s="56" t="n">
        <f aca="false">IF('Loan Tape'!$AN43=0,0,IF('Loan Tape'!$K43="Floating",MIN(IF('Loan Tape'!$P43="",10,'Loan Tape'!$P43),MAX(IF('Loan Tape'!$Q43="",0,'Loan Tape'!$Q43),INDEX(Idx_Curve,1,9)+'Loan Tape'!$M43)),IF('Loan Tape'!$L43="",0,'Loan Tape'!$L43)))</f>
        <v>0.0462</v>
      </c>
      <c r="L350" s="56" t="n">
        <f aca="false">IF('Loan Tape'!$AN43=0,0,IF('Loan Tape'!$K43="Floating",MIN(IF('Loan Tape'!$P43="",10,'Loan Tape'!$P43),MAX(IF('Loan Tape'!$Q43="",0,'Loan Tape'!$Q43),INDEX(Idx_Curve,1,10)+'Loan Tape'!$M43)),IF('Loan Tape'!$L43="",0,'Loan Tape'!$L43)))</f>
        <v>0.0462</v>
      </c>
    </row>
    <row r="351" customFormat="false" ht="15" hidden="false" customHeight="false" outlineLevel="0" collapsed="false">
      <c r="B351" s="102" t="str">
        <f aca="false">'Loan Tape'!$A44</f>
        <v>L-041</v>
      </c>
      <c r="C351" s="104" t="n">
        <f aca="false">IF('Loan Tape'!$AN44=0,0,IF('Loan Tape'!$K44="Floating",MIN(IF('Loan Tape'!$P44="",10,'Loan Tape'!$P44),MAX(IF('Loan Tape'!$Q44="",0,'Loan Tape'!$Q44),INDEX(Idx_Curve,1,1)+'Loan Tape'!$M44)),IF('Loan Tape'!$L44="",0,'Loan Tape'!$L44)))</f>
        <v>0.0758</v>
      </c>
      <c r="D351" s="104" t="n">
        <f aca="false">IF('Loan Tape'!$AN44=0,0,IF('Loan Tape'!$K44="Floating",MIN(IF('Loan Tape'!$P44="",10,'Loan Tape'!$P44),MAX(IF('Loan Tape'!$Q44="",0,'Loan Tape'!$Q44),INDEX(Idx_Curve,1,2)+'Loan Tape'!$M44)),IF('Loan Tape'!$L44="",0,'Loan Tape'!$L44)))</f>
        <v>0.0708</v>
      </c>
      <c r="E351" s="104" t="n">
        <f aca="false">IF('Loan Tape'!$AN44=0,0,IF('Loan Tape'!$K44="Floating",MIN(IF('Loan Tape'!$P44="",10,'Loan Tape'!$P44),MAX(IF('Loan Tape'!$Q44="",0,'Loan Tape'!$Q44),INDEX(Idx_Curve,1,3)+'Loan Tape'!$M44)),IF('Loan Tape'!$L44="",0,'Loan Tape'!$L44)))</f>
        <v>0.0668</v>
      </c>
      <c r="F351" s="104" t="n">
        <f aca="false">IF('Loan Tape'!$AN44=0,0,IF('Loan Tape'!$K44="Floating",MIN(IF('Loan Tape'!$P44="",10,'Loan Tape'!$P44),MAX(IF('Loan Tape'!$Q44="",0,'Loan Tape'!$Q44),INDEX(Idx_Curve,1,4)+'Loan Tape'!$M44)),IF('Loan Tape'!$L44="",0,'Loan Tape'!$L44)))</f>
        <v>0.0648</v>
      </c>
      <c r="G351" s="104" t="n">
        <f aca="false">IF('Loan Tape'!$AN44=0,0,IF('Loan Tape'!$K44="Floating",MIN(IF('Loan Tape'!$P44="",10,'Loan Tape'!$P44),MAX(IF('Loan Tape'!$Q44="",0,'Loan Tape'!$Q44),INDEX(Idx_Curve,1,5)+'Loan Tape'!$M44)),IF('Loan Tape'!$L44="",0,'Loan Tape'!$L44)))</f>
        <v>0.0638</v>
      </c>
      <c r="H351" s="104" t="n">
        <f aca="false">IF('Loan Tape'!$AN44=0,0,IF('Loan Tape'!$K44="Floating",MIN(IF('Loan Tape'!$P44="",10,'Loan Tape'!$P44),MAX(IF('Loan Tape'!$Q44="",0,'Loan Tape'!$Q44),INDEX(Idx_Curve,1,6)+'Loan Tape'!$M44)),IF('Loan Tape'!$L44="",0,'Loan Tape'!$L44)))</f>
        <v>0.0638</v>
      </c>
      <c r="I351" s="104" t="n">
        <f aca="false">IF('Loan Tape'!$AN44=0,0,IF('Loan Tape'!$K44="Floating",MIN(IF('Loan Tape'!$P44="",10,'Loan Tape'!$P44),MAX(IF('Loan Tape'!$Q44="",0,'Loan Tape'!$Q44),INDEX(Idx_Curve,1,7)+'Loan Tape'!$M44)),IF('Loan Tape'!$L44="",0,'Loan Tape'!$L44)))</f>
        <v>0.0638</v>
      </c>
      <c r="J351" s="104" t="n">
        <f aca="false">IF('Loan Tape'!$AN44=0,0,IF('Loan Tape'!$K44="Floating",MIN(IF('Loan Tape'!$P44="",10,'Loan Tape'!$P44),MAX(IF('Loan Tape'!$Q44="",0,'Loan Tape'!$Q44),INDEX(Idx_Curve,1,8)+'Loan Tape'!$M44)),IF('Loan Tape'!$L44="",0,'Loan Tape'!$L44)))</f>
        <v>0.0638</v>
      </c>
      <c r="K351" s="104" t="n">
        <f aca="false">IF('Loan Tape'!$AN44=0,0,IF('Loan Tape'!$K44="Floating",MIN(IF('Loan Tape'!$P44="",10,'Loan Tape'!$P44),MAX(IF('Loan Tape'!$Q44="",0,'Loan Tape'!$Q44),INDEX(Idx_Curve,1,9)+'Loan Tape'!$M44)),IF('Loan Tape'!$L44="",0,'Loan Tape'!$L44)))</f>
        <v>0.0638</v>
      </c>
      <c r="L351" s="104" t="n">
        <f aca="false">IF('Loan Tape'!$AN44=0,0,IF('Loan Tape'!$K44="Floating",MIN(IF('Loan Tape'!$P44="",10,'Loan Tape'!$P44),MAX(IF('Loan Tape'!$Q44="",0,'Loan Tape'!$Q44),INDEX(Idx_Curve,1,10)+'Loan Tape'!$M44)),IF('Loan Tape'!$L44="",0,'Loan Tape'!$L44)))</f>
        <v>0.0638</v>
      </c>
    </row>
    <row r="352" customFormat="false" ht="15" hidden="false" customHeight="false" outlineLevel="0" collapsed="false">
      <c r="B352" s="108" t="str">
        <f aca="false">'Loan Tape'!$A45</f>
        <v>L-042</v>
      </c>
      <c r="C352" s="56" t="n">
        <f aca="false">IF('Loan Tape'!$AN45=0,0,IF('Loan Tape'!$K45="Floating",MIN(IF('Loan Tape'!$P45="",10,'Loan Tape'!$P45),MAX(IF('Loan Tape'!$Q45="",0,'Loan Tape'!$Q45),INDEX(Idx_Curve,1,1)+'Loan Tape'!$M45)),IF('Loan Tape'!$L45="",0,'Loan Tape'!$L45)))</f>
        <v>0.054</v>
      </c>
      <c r="D352" s="56" t="n">
        <f aca="false">IF('Loan Tape'!$AN45=0,0,IF('Loan Tape'!$K45="Floating",MIN(IF('Loan Tape'!$P45="",10,'Loan Tape'!$P45),MAX(IF('Loan Tape'!$Q45="",0,'Loan Tape'!$Q45),INDEX(Idx_Curve,1,2)+'Loan Tape'!$M45)),IF('Loan Tape'!$L45="",0,'Loan Tape'!$L45)))</f>
        <v>0.054</v>
      </c>
      <c r="E352" s="56" t="n">
        <f aca="false">IF('Loan Tape'!$AN45=0,0,IF('Loan Tape'!$K45="Floating",MIN(IF('Loan Tape'!$P45="",10,'Loan Tape'!$P45),MAX(IF('Loan Tape'!$Q45="",0,'Loan Tape'!$Q45),INDEX(Idx_Curve,1,3)+'Loan Tape'!$M45)),IF('Loan Tape'!$L45="",0,'Loan Tape'!$L45)))</f>
        <v>0.054</v>
      </c>
      <c r="F352" s="56" t="n">
        <f aca="false">IF('Loan Tape'!$AN45=0,0,IF('Loan Tape'!$K45="Floating",MIN(IF('Loan Tape'!$P45="",10,'Loan Tape'!$P45),MAX(IF('Loan Tape'!$Q45="",0,'Loan Tape'!$Q45),INDEX(Idx_Curve,1,4)+'Loan Tape'!$M45)),IF('Loan Tape'!$L45="",0,'Loan Tape'!$L45)))</f>
        <v>0.054</v>
      </c>
      <c r="G352" s="56" t="n">
        <f aca="false">IF('Loan Tape'!$AN45=0,0,IF('Loan Tape'!$K45="Floating",MIN(IF('Loan Tape'!$P45="",10,'Loan Tape'!$P45),MAX(IF('Loan Tape'!$Q45="",0,'Loan Tape'!$Q45),INDEX(Idx_Curve,1,5)+'Loan Tape'!$M45)),IF('Loan Tape'!$L45="",0,'Loan Tape'!$L45)))</f>
        <v>0.054</v>
      </c>
      <c r="H352" s="56" t="n">
        <f aca="false">IF('Loan Tape'!$AN45=0,0,IF('Loan Tape'!$K45="Floating",MIN(IF('Loan Tape'!$P45="",10,'Loan Tape'!$P45),MAX(IF('Loan Tape'!$Q45="",0,'Loan Tape'!$Q45),INDEX(Idx_Curve,1,6)+'Loan Tape'!$M45)),IF('Loan Tape'!$L45="",0,'Loan Tape'!$L45)))</f>
        <v>0.054</v>
      </c>
      <c r="I352" s="56" t="n">
        <f aca="false">IF('Loan Tape'!$AN45=0,0,IF('Loan Tape'!$K45="Floating",MIN(IF('Loan Tape'!$P45="",10,'Loan Tape'!$P45),MAX(IF('Loan Tape'!$Q45="",0,'Loan Tape'!$Q45),INDEX(Idx_Curve,1,7)+'Loan Tape'!$M45)),IF('Loan Tape'!$L45="",0,'Loan Tape'!$L45)))</f>
        <v>0.054</v>
      </c>
      <c r="J352" s="56" t="n">
        <f aca="false">IF('Loan Tape'!$AN45=0,0,IF('Loan Tape'!$K45="Floating",MIN(IF('Loan Tape'!$P45="",10,'Loan Tape'!$P45),MAX(IF('Loan Tape'!$Q45="",0,'Loan Tape'!$Q45),INDEX(Idx_Curve,1,8)+'Loan Tape'!$M45)),IF('Loan Tape'!$L45="",0,'Loan Tape'!$L45)))</f>
        <v>0.054</v>
      </c>
      <c r="K352" s="56" t="n">
        <f aca="false">IF('Loan Tape'!$AN45=0,0,IF('Loan Tape'!$K45="Floating",MIN(IF('Loan Tape'!$P45="",10,'Loan Tape'!$P45),MAX(IF('Loan Tape'!$Q45="",0,'Loan Tape'!$Q45),INDEX(Idx_Curve,1,9)+'Loan Tape'!$M45)),IF('Loan Tape'!$L45="",0,'Loan Tape'!$L45)))</f>
        <v>0.054</v>
      </c>
      <c r="L352" s="56" t="n">
        <f aca="false">IF('Loan Tape'!$AN45=0,0,IF('Loan Tape'!$K45="Floating",MIN(IF('Loan Tape'!$P45="",10,'Loan Tape'!$P45),MAX(IF('Loan Tape'!$Q45="",0,'Loan Tape'!$Q45),INDEX(Idx_Curve,1,10)+'Loan Tape'!$M45)),IF('Loan Tape'!$L45="",0,'Loan Tape'!$L45)))</f>
        <v>0.054</v>
      </c>
    </row>
    <row r="353" customFormat="false" ht="15" hidden="false" customHeight="false" outlineLevel="0" collapsed="false">
      <c r="B353" s="102" t="str">
        <f aca="false">'Loan Tape'!$A46</f>
        <v>L-043</v>
      </c>
      <c r="C353" s="104" t="n">
        <f aca="false">IF('Loan Tape'!$AN46=0,0,IF('Loan Tape'!$K46="Floating",MIN(IF('Loan Tape'!$P46="",10,'Loan Tape'!$P46),MAX(IF('Loan Tape'!$Q46="",0,'Loan Tape'!$Q46),INDEX(Idx_Curve,1,1)+'Loan Tape'!$M46)),IF('Loan Tape'!$L46="",0,'Loan Tape'!$L46)))</f>
        <v>0.0698</v>
      </c>
      <c r="D353" s="104" t="n">
        <f aca="false">IF('Loan Tape'!$AN46=0,0,IF('Loan Tape'!$K46="Floating",MIN(IF('Loan Tape'!$P46="",10,'Loan Tape'!$P46),MAX(IF('Loan Tape'!$Q46="",0,'Loan Tape'!$Q46),INDEX(Idx_Curve,1,2)+'Loan Tape'!$M46)),IF('Loan Tape'!$L46="",0,'Loan Tape'!$L46)))</f>
        <v>0.0648</v>
      </c>
      <c r="E353" s="104" t="n">
        <f aca="false">IF('Loan Tape'!$AN46=0,0,IF('Loan Tape'!$K46="Floating",MIN(IF('Loan Tape'!$P46="",10,'Loan Tape'!$P46),MAX(IF('Loan Tape'!$Q46="",0,'Loan Tape'!$Q46),INDEX(Idx_Curve,1,3)+'Loan Tape'!$M46)),IF('Loan Tape'!$L46="",0,'Loan Tape'!$L46)))</f>
        <v>0.0608</v>
      </c>
      <c r="F353" s="104" t="n">
        <f aca="false">IF('Loan Tape'!$AN46=0,0,IF('Loan Tape'!$K46="Floating",MIN(IF('Loan Tape'!$P46="",10,'Loan Tape'!$P46),MAX(IF('Loan Tape'!$Q46="",0,'Loan Tape'!$Q46),INDEX(Idx_Curve,1,4)+'Loan Tape'!$M46)),IF('Loan Tape'!$L46="",0,'Loan Tape'!$L46)))</f>
        <v>0.0588</v>
      </c>
      <c r="G353" s="104" t="n">
        <f aca="false">IF('Loan Tape'!$AN46=0,0,IF('Loan Tape'!$K46="Floating",MIN(IF('Loan Tape'!$P46="",10,'Loan Tape'!$P46),MAX(IF('Loan Tape'!$Q46="",0,'Loan Tape'!$Q46),INDEX(Idx_Curve,1,5)+'Loan Tape'!$M46)),IF('Loan Tape'!$L46="",0,'Loan Tape'!$L46)))</f>
        <v>0.0578</v>
      </c>
      <c r="H353" s="104" t="n">
        <f aca="false">IF('Loan Tape'!$AN46=0,0,IF('Loan Tape'!$K46="Floating",MIN(IF('Loan Tape'!$P46="",10,'Loan Tape'!$P46),MAX(IF('Loan Tape'!$Q46="",0,'Loan Tape'!$Q46),INDEX(Idx_Curve,1,6)+'Loan Tape'!$M46)),IF('Loan Tape'!$L46="",0,'Loan Tape'!$L46)))</f>
        <v>0.0578</v>
      </c>
      <c r="I353" s="104" t="n">
        <f aca="false">IF('Loan Tape'!$AN46=0,0,IF('Loan Tape'!$K46="Floating",MIN(IF('Loan Tape'!$P46="",10,'Loan Tape'!$P46),MAX(IF('Loan Tape'!$Q46="",0,'Loan Tape'!$Q46),INDEX(Idx_Curve,1,7)+'Loan Tape'!$M46)),IF('Loan Tape'!$L46="",0,'Loan Tape'!$L46)))</f>
        <v>0.0578</v>
      </c>
      <c r="J353" s="104" t="n">
        <f aca="false">IF('Loan Tape'!$AN46=0,0,IF('Loan Tape'!$K46="Floating",MIN(IF('Loan Tape'!$P46="",10,'Loan Tape'!$P46),MAX(IF('Loan Tape'!$Q46="",0,'Loan Tape'!$Q46),INDEX(Idx_Curve,1,8)+'Loan Tape'!$M46)),IF('Loan Tape'!$L46="",0,'Loan Tape'!$L46)))</f>
        <v>0.0578</v>
      </c>
      <c r="K353" s="104" t="n">
        <f aca="false">IF('Loan Tape'!$AN46=0,0,IF('Loan Tape'!$K46="Floating",MIN(IF('Loan Tape'!$P46="",10,'Loan Tape'!$P46),MAX(IF('Loan Tape'!$Q46="",0,'Loan Tape'!$Q46),INDEX(Idx_Curve,1,9)+'Loan Tape'!$M46)),IF('Loan Tape'!$L46="",0,'Loan Tape'!$L46)))</f>
        <v>0.0578</v>
      </c>
      <c r="L353" s="104" t="n">
        <f aca="false">IF('Loan Tape'!$AN46=0,0,IF('Loan Tape'!$K46="Floating",MIN(IF('Loan Tape'!$P46="",10,'Loan Tape'!$P46),MAX(IF('Loan Tape'!$Q46="",0,'Loan Tape'!$Q46),INDEX(Idx_Curve,1,10)+'Loan Tape'!$M46)),IF('Loan Tape'!$L46="",0,'Loan Tape'!$L46)))</f>
        <v>0.0578</v>
      </c>
    </row>
    <row r="354" customFormat="false" ht="15" hidden="false" customHeight="false" outlineLevel="0" collapsed="false">
      <c r="B354" s="108" t="str">
        <f aca="false">'Loan Tape'!$A47</f>
        <v>L-044</v>
      </c>
      <c r="C354" s="56" t="n">
        <f aca="false">IF('Loan Tape'!$AN47=0,0,IF('Loan Tape'!$K47="Floating",MIN(IF('Loan Tape'!$P47="",10,'Loan Tape'!$P47),MAX(IF('Loan Tape'!$Q47="",0,'Loan Tape'!$Q47),INDEX(Idx_Curve,1,1)+'Loan Tape'!$M47)),IF('Loan Tape'!$L47="",0,'Loan Tape'!$L47)))</f>
        <v>0.0704</v>
      </c>
      <c r="D354" s="56" t="n">
        <f aca="false">IF('Loan Tape'!$AN47=0,0,IF('Loan Tape'!$K47="Floating",MIN(IF('Loan Tape'!$P47="",10,'Loan Tape'!$P47),MAX(IF('Loan Tape'!$Q47="",0,'Loan Tape'!$Q47),INDEX(Idx_Curve,1,2)+'Loan Tape'!$M47)),IF('Loan Tape'!$L47="",0,'Loan Tape'!$L47)))</f>
        <v>0.0654</v>
      </c>
      <c r="E354" s="56" t="n">
        <f aca="false">IF('Loan Tape'!$AN47=0,0,IF('Loan Tape'!$K47="Floating",MIN(IF('Loan Tape'!$P47="",10,'Loan Tape'!$P47),MAX(IF('Loan Tape'!$Q47="",0,'Loan Tape'!$Q47),INDEX(Idx_Curve,1,3)+'Loan Tape'!$M47)),IF('Loan Tape'!$L47="",0,'Loan Tape'!$L47)))</f>
        <v>0.0614</v>
      </c>
      <c r="F354" s="56" t="n">
        <f aca="false">IF('Loan Tape'!$AN47=0,0,IF('Loan Tape'!$K47="Floating",MIN(IF('Loan Tape'!$P47="",10,'Loan Tape'!$P47),MAX(IF('Loan Tape'!$Q47="",0,'Loan Tape'!$Q47),INDEX(Idx_Curve,1,4)+'Loan Tape'!$M47)),IF('Loan Tape'!$L47="",0,'Loan Tape'!$L47)))</f>
        <v>0.0594</v>
      </c>
      <c r="G354" s="56" t="n">
        <f aca="false">IF('Loan Tape'!$AN47=0,0,IF('Loan Tape'!$K47="Floating",MIN(IF('Loan Tape'!$P47="",10,'Loan Tape'!$P47),MAX(IF('Loan Tape'!$Q47="",0,'Loan Tape'!$Q47),INDEX(Idx_Curve,1,5)+'Loan Tape'!$M47)),IF('Loan Tape'!$L47="",0,'Loan Tape'!$L47)))</f>
        <v>0.0584</v>
      </c>
      <c r="H354" s="56" t="n">
        <f aca="false">IF('Loan Tape'!$AN47=0,0,IF('Loan Tape'!$K47="Floating",MIN(IF('Loan Tape'!$P47="",10,'Loan Tape'!$P47),MAX(IF('Loan Tape'!$Q47="",0,'Loan Tape'!$Q47),INDEX(Idx_Curve,1,6)+'Loan Tape'!$M47)),IF('Loan Tape'!$L47="",0,'Loan Tape'!$L47)))</f>
        <v>0.0584</v>
      </c>
      <c r="I354" s="56" t="n">
        <f aca="false">IF('Loan Tape'!$AN47=0,0,IF('Loan Tape'!$K47="Floating",MIN(IF('Loan Tape'!$P47="",10,'Loan Tape'!$P47),MAX(IF('Loan Tape'!$Q47="",0,'Loan Tape'!$Q47),INDEX(Idx_Curve,1,7)+'Loan Tape'!$M47)),IF('Loan Tape'!$L47="",0,'Loan Tape'!$L47)))</f>
        <v>0.0584</v>
      </c>
      <c r="J354" s="56" t="n">
        <f aca="false">IF('Loan Tape'!$AN47=0,0,IF('Loan Tape'!$K47="Floating",MIN(IF('Loan Tape'!$P47="",10,'Loan Tape'!$P47),MAX(IF('Loan Tape'!$Q47="",0,'Loan Tape'!$Q47),INDEX(Idx_Curve,1,8)+'Loan Tape'!$M47)),IF('Loan Tape'!$L47="",0,'Loan Tape'!$L47)))</f>
        <v>0.0584</v>
      </c>
      <c r="K354" s="56" t="n">
        <f aca="false">IF('Loan Tape'!$AN47=0,0,IF('Loan Tape'!$K47="Floating",MIN(IF('Loan Tape'!$P47="",10,'Loan Tape'!$P47),MAX(IF('Loan Tape'!$Q47="",0,'Loan Tape'!$Q47),INDEX(Idx_Curve,1,9)+'Loan Tape'!$M47)),IF('Loan Tape'!$L47="",0,'Loan Tape'!$L47)))</f>
        <v>0.0584</v>
      </c>
      <c r="L354" s="56" t="n">
        <f aca="false">IF('Loan Tape'!$AN47=0,0,IF('Loan Tape'!$K47="Floating",MIN(IF('Loan Tape'!$P47="",10,'Loan Tape'!$P47),MAX(IF('Loan Tape'!$Q47="",0,'Loan Tape'!$Q47),INDEX(Idx_Curve,1,10)+'Loan Tape'!$M47)),IF('Loan Tape'!$L47="",0,'Loan Tape'!$L47)))</f>
        <v>0.0584</v>
      </c>
    </row>
    <row r="355" customFormat="false" ht="15" hidden="false" customHeight="false" outlineLevel="0" collapsed="false">
      <c r="B355" s="102" t="str">
        <f aca="false">'Loan Tape'!$A48</f>
        <v>L-045</v>
      </c>
      <c r="C355" s="104" t="n">
        <f aca="false">IF('Loan Tape'!$AN48=0,0,IF('Loan Tape'!$K48="Floating",MIN(IF('Loan Tape'!$P48="",10,'Loan Tape'!$P48),MAX(IF('Loan Tape'!$Q48="",0,'Loan Tape'!$Q48),INDEX(Idx_Curve,1,1)+'Loan Tape'!$M48)),IF('Loan Tape'!$L48="",0,'Loan Tape'!$L48)))</f>
        <v>0.082</v>
      </c>
      <c r="D355" s="104" t="n">
        <f aca="false">IF('Loan Tape'!$AN48=0,0,IF('Loan Tape'!$K48="Floating",MIN(IF('Loan Tape'!$P48="",10,'Loan Tape'!$P48),MAX(IF('Loan Tape'!$Q48="",0,'Loan Tape'!$Q48),INDEX(Idx_Curve,1,2)+'Loan Tape'!$M48)),IF('Loan Tape'!$L48="",0,'Loan Tape'!$L48)))</f>
        <v>0.077</v>
      </c>
      <c r="E355" s="104" t="n">
        <f aca="false">IF('Loan Tape'!$AN48=0,0,IF('Loan Tape'!$K48="Floating",MIN(IF('Loan Tape'!$P48="",10,'Loan Tape'!$P48),MAX(IF('Loan Tape'!$Q48="",0,'Loan Tape'!$Q48),INDEX(Idx_Curve,1,3)+'Loan Tape'!$M48)),IF('Loan Tape'!$L48="",0,'Loan Tape'!$L48)))</f>
        <v>0.073</v>
      </c>
      <c r="F355" s="104" t="n">
        <f aca="false">IF('Loan Tape'!$AN48=0,0,IF('Loan Tape'!$K48="Floating",MIN(IF('Loan Tape'!$P48="",10,'Loan Tape'!$P48),MAX(IF('Loan Tape'!$Q48="",0,'Loan Tape'!$Q48),INDEX(Idx_Curve,1,4)+'Loan Tape'!$M48)),IF('Loan Tape'!$L48="",0,'Loan Tape'!$L48)))</f>
        <v>0.071</v>
      </c>
      <c r="G355" s="104" t="n">
        <f aca="false">IF('Loan Tape'!$AN48=0,0,IF('Loan Tape'!$K48="Floating",MIN(IF('Loan Tape'!$P48="",10,'Loan Tape'!$P48),MAX(IF('Loan Tape'!$Q48="",0,'Loan Tape'!$Q48),INDEX(Idx_Curve,1,5)+'Loan Tape'!$M48)),IF('Loan Tape'!$L48="",0,'Loan Tape'!$L48)))</f>
        <v>0.07</v>
      </c>
      <c r="H355" s="104" t="n">
        <f aca="false">IF('Loan Tape'!$AN48=0,0,IF('Loan Tape'!$K48="Floating",MIN(IF('Loan Tape'!$P48="",10,'Loan Tape'!$P48),MAX(IF('Loan Tape'!$Q48="",0,'Loan Tape'!$Q48),INDEX(Idx_Curve,1,6)+'Loan Tape'!$M48)),IF('Loan Tape'!$L48="",0,'Loan Tape'!$L48)))</f>
        <v>0.07</v>
      </c>
      <c r="I355" s="104" t="n">
        <f aca="false">IF('Loan Tape'!$AN48=0,0,IF('Loan Tape'!$K48="Floating",MIN(IF('Loan Tape'!$P48="",10,'Loan Tape'!$P48),MAX(IF('Loan Tape'!$Q48="",0,'Loan Tape'!$Q48),INDEX(Idx_Curve,1,7)+'Loan Tape'!$M48)),IF('Loan Tape'!$L48="",0,'Loan Tape'!$L48)))</f>
        <v>0.07</v>
      </c>
      <c r="J355" s="104" t="n">
        <f aca="false">IF('Loan Tape'!$AN48=0,0,IF('Loan Tape'!$K48="Floating",MIN(IF('Loan Tape'!$P48="",10,'Loan Tape'!$P48),MAX(IF('Loan Tape'!$Q48="",0,'Loan Tape'!$Q48),INDEX(Idx_Curve,1,8)+'Loan Tape'!$M48)),IF('Loan Tape'!$L48="",0,'Loan Tape'!$L48)))</f>
        <v>0.07</v>
      </c>
      <c r="K355" s="104" t="n">
        <f aca="false">IF('Loan Tape'!$AN48=0,0,IF('Loan Tape'!$K48="Floating",MIN(IF('Loan Tape'!$P48="",10,'Loan Tape'!$P48),MAX(IF('Loan Tape'!$Q48="",0,'Loan Tape'!$Q48),INDEX(Idx_Curve,1,9)+'Loan Tape'!$M48)),IF('Loan Tape'!$L48="",0,'Loan Tape'!$L48)))</f>
        <v>0.07</v>
      </c>
      <c r="L355" s="104" t="n">
        <f aca="false">IF('Loan Tape'!$AN48=0,0,IF('Loan Tape'!$K48="Floating",MIN(IF('Loan Tape'!$P48="",10,'Loan Tape'!$P48),MAX(IF('Loan Tape'!$Q48="",0,'Loan Tape'!$Q48),INDEX(Idx_Curve,1,10)+'Loan Tape'!$M48)),IF('Loan Tape'!$L48="",0,'Loan Tape'!$L48)))</f>
        <v>0.07</v>
      </c>
    </row>
    <row r="356" customFormat="false" ht="15" hidden="false" customHeight="false" outlineLevel="0" collapsed="false">
      <c r="B356" s="108" t="str">
        <f aca="false">'Loan Tape'!$A49</f>
        <v>L-046</v>
      </c>
      <c r="C356" s="56" t="n">
        <f aca="false">IF('Loan Tape'!$AN49=0,0,IF('Loan Tape'!$K49="Floating",MIN(IF('Loan Tape'!$P49="",10,'Loan Tape'!$P49),MAX(IF('Loan Tape'!$Q49="",0,'Loan Tape'!$Q49),INDEX(Idx_Curve,1,1)+'Loan Tape'!$M49)),IF('Loan Tape'!$L49="",0,'Loan Tape'!$L49)))</f>
        <v>0.0571</v>
      </c>
      <c r="D356" s="56" t="n">
        <f aca="false">IF('Loan Tape'!$AN49=0,0,IF('Loan Tape'!$K49="Floating",MIN(IF('Loan Tape'!$P49="",10,'Loan Tape'!$P49),MAX(IF('Loan Tape'!$Q49="",0,'Loan Tape'!$Q49),INDEX(Idx_Curve,1,2)+'Loan Tape'!$M49)),IF('Loan Tape'!$L49="",0,'Loan Tape'!$L49)))</f>
        <v>0.0571</v>
      </c>
      <c r="E356" s="56" t="n">
        <f aca="false">IF('Loan Tape'!$AN49=0,0,IF('Loan Tape'!$K49="Floating",MIN(IF('Loan Tape'!$P49="",10,'Loan Tape'!$P49),MAX(IF('Loan Tape'!$Q49="",0,'Loan Tape'!$Q49),INDEX(Idx_Curve,1,3)+'Loan Tape'!$M49)),IF('Loan Tape'!$L49="",0,'Loan Tape'!$L49)))</f>
        <v>0.0571</v>
      </c>
      <c r="F356" s="56" t="n">
        <f aca="false">IF('Loan Tape'!$AN49=0,0,IF('Loan Tape'!$K49="Floating",MIN(IF('Loan Tape'!$P49="",10,'Loan Tape'!$P49),MAX(IF('Loan Tape'!$Q49="",0,'Loan Tape'!$Q49),INDEX(Idx_Curve,1,4)+'Loan Tape'!$M49)),IF('Loan Tape'!$L49="",0,'Loan Tape'!$L49)))</f>
        <v>0.0571</v>
      </c>
      <c r="G356" s="56" t="n">
        <f aca="false">IF('Loan Tape'!$AN49=0,0,IF('Loan Tape'!$K49="Floating",MIN(IF('Loan Tape'!$P49="",10,'Loan Tape'!$P49),MAX(IF('Loan Tape'!$Q49="",0,'Loan Tape'!$Q49),INDEX(Idx_Curve,1,5)+'Loan Tape'!$M49)),IF('Loan Tape'!$L49="",0,'Loan Tape'!$L49)))</f>
        <v>0.0571</v>
      </c>
      <c r="H356" s="56" t="n">
        <f aca="false">IF('Loan Tape'!$AN49=0,0,IF('Loan Tape'!$K49="Floating",MIN(IF('Loan Tape'!$P49="",10,'Loan Tape'!$P49),MAX(IF('Loan Tape'!$Q49="",0,'Loan Tape'!$Q49),INDEX(Idx_Curve,1,6)+'Loan Tape'!$M49)),IF('Loan Tape'!$L49="",0,'Loan Tape'!$L49)))</f>
        <v>0.0571</v>
      </c>
      <c r="I356" s="56" t="n">
        <f aca="false">IF('Loan Tape'!$AN49=0,0,IF('Loan Tape'!$K49="Floating",MIN(IF('Loan Tape'!$P49="",10,'Loan Tape'!$P49),MAX(IF('Loan Tape'!$Q49="",0,'Loan Tape'!$Q49),INDEX(Idx_Curve,1,7)+'Loan Tape'!$M49)),IF('Loan Tape'!$L49="",0,'Loan Tape'!$L49)))</f>
        <v>0.0571</v>
      </c>
      <c r="J356" s="56" t="n">
        <f aca="false">IF('Loan Tape'!$AN49=0,0,IF('Loan Tape'!$K49="Floating",MIN(IF('Loan Tape'!$P49="",10,'Loan Tape'!$P49),MAX(IF('Loan Tape'!$Q49="",0,'Loan Tape'!$Q49),INDEX(Idx_Curve,1,8)+'Loan Tape'!$M49)),IF('Loan Tape'!$L49="",0,'Loan Tape'!$L49)))</f>
        <v>0.0571</v>
      </c>
      <c r="K356" s="56" t="n">
        <f aca="false">IF('Loan Tape'!$AN49=0,0,IF('Loan Tape'!$K49="Floating",MIN(IF('Loan Tape'!$P49="",10,'Loan Tape'!$P49),MAX(IF('Loan Tape'!$Q49="",0,'Loan Tape'!$Q49),INDEX(Idx_Curve,1,9)+'Loan Tape'!$M49)),IF('Loan Tape'!$L49="",0,'Loan Tape'!$L49)))</f>
        <v>0.0571</v>
      </c>
      <c r="L356" s="56" t="n">
        <f aca="false">IF('Loan Tape'!$AN49=0,0,IF('Loan Tape'!$K49="Floating",MIN(IF('Loan Tape'!$P49="",10,'Loan Tape'!$P49),MAX(IF('Loan Tape'!$Q49="",0,'Loan Tape'!$Q49),INDEX(Idx_Curve,1,10)+'Loan Tape'!$M49)),IF('Loan Tape'!$L49="",0,'Loan Tape'!$L49)))</f>
        <v>0.0571</v>
      </c>
    </row>
    <row r="357" customFormat="false" ht="15" hidden="false" customHeight="false" outlineLevel="0" collapsed="false">
      <c r="B357" s="102" t="str">
        <f aca="false">'Loan Tape'!$A50</f>
        <v>L-047</v>
      </c>
      <c r="C357" s="104" t="n">
        <f aca="false">IF('Loan Tape'!$AN50=0,0,IF('Loan Tape'!$K50="Floating",MIN(IF('Loan Tape'!$P50="",10,'Loan Tape'!$P50),MAX(IF('Loan Tape'!$Q50="",0,'Loan Tape'!$Q50),INDEX(Idx_Curve,1,1)+'Loan Tape'!$M50)),IF('Loan Tape'!$L50="",0,'Loan Tape'!$L50)))</f>
        <v>0.0796</v>
      </c>
      <c r="D357" s="104" t="n">
        <f aca="false">IF('Loan Tape'!$AN50=0,0,IF('Loan Tape'!$K50="Floating",MIN(IF('Loan Tape'!$P50="",10,'Loan Tape'!$P50),MAX(IF('Loan Tape'!$Q50="",0,'Loan Tape'!$Q50),INDEX(Idx_Curve,1,2)+'Loan Tape'!$M50)),IF('Loan Tape'!$L50="",0,'Loan Tape'!$L50)))</f>
        <v>0.0746</v>
      </c>
      <c r="E357" s="104" t="n">
        <f aca="false">IF('Loan Tape'!$AN50=0,0,IF('Loan Tape'!$K50="Floating",MIN(IF('Loan Tape'!$P50="",10,'Loan Tape'!$P50),MAX(IF('Loan Tape'!$Q50="",0,'Loan Tape'!$Q50),INDEX(Idx_Curve,1,3)+'Loan Tape'!$M50)),IF('Loan Tape'!$L50="",0,'Loan Tape'!$L50)))</f>
        <v>0.0706</v>
      </c>
      <c r="F357" s="104" t="n">
        <f aca="false">IF('Loan Tape'!$AN50=0,0,IF('Loan Tape'!$K50="Floating",MIN(IF('Loan Tape'!$P50="",10,'Loan Tape'!$P50),MAX(IF('Loan Tape'!$Q50="",0,'Loan Tape'!$Q50),INDEX(Idx_Curve,1,4)+'Loan Tape'!$M50)),IF('Loan Tape'!$L50="",0,'Loan Tape'!$L50)))</f>
        <v>0.0686</v>
      </c>
      <c r="G357" s="104" t="n">
        <f aca="false">IF('Loan Tape'!$AN50=0,0,IF('Loan Tape'!$K50="Floating",MIN(IF('Loan Tape'!$P50="",10,'Loan Tape'!$P50),MAX(IF('Loan Tape'!$Q50="",0,'Loan Tape'!$Q50),INDEX(Idx_Curve,1,5)+'Loan Tape'!$M50)),IF('Loan Tape'!$L50="",0,'Loan Tape'!$L50)))</f>
        <v>0.0676</v>
      </c>
      <c r="H357" s="104" t="n">
        <f aca="false">IF('Loan Tape'!$AN50=0,0,IF('Loan Tape'!$K50="Floating",MIN(IF('Loan Tape'!$P50="",10,'Loan Tape'!$P50),MAX(IF('Loan Tape'!$Q50="",0,'Loan Tape'!$Q50),INDEX(Idx_Curve,1,6)+'Loan Tape'!$M50)),IF('Loan Tape'!$L50="",0,'Loan Tape'!$L50)))</f>
        <v>0.0676</v>
      </c>
      <c r="I357" s="104" t="n">
        <f aca="false">IF('Loan Tape'!$AN50=0,0,IF('Loan Tape'!$K50="Floating",MIN(IF('Loan Tape'!$P50="",10,'Loan Tape'!$P50),MAX(IF('Loan Tape'!$Q50="",0,'Loan Tape'!$Q50),INDEX(Idx_Curve,1,7)+'Loan Tape'!$M50)),IF('Loan Tape'!$L50="",0,'Loan Tape'!$L50)))</f>
        <v>0.0676</v>
      </c>
      <c r="J357" s="104" t="n">
        <f aca="false">IF('Loan Tape'!$AN50=0,0,IF('Loan Tape'!$K50="Floating",MIN(IF('Loan Tape'!$P50="",10,'Loan Tape'!$P50),MAX(IF('Loan Tape'!$Q50="",0,'Loan Tape'!$Q50),INDEX(Idx_Curve,1,8)+'Loan Tape'!$M50)),IF('Loan Tape'!$L50="",0,'Loan Tape'!$L50)))</f>
        <v>0.0676</v>
      </c>
      <c r="K357" s="104" t="n">
        <f aca="false">IF('Loan Tape'!$AN50=0,0,IF('Loan Tape'!$K50="Floating",MIN(IF('Loan Tape'!$P50="",10,'Loan Tape'!$P50),MAX(IF('Loan Tape'!$Q50="",0,'Loan Tape'!$Q50),INDEX(Idx_Curve,1,9)+'Loan Tape'!$M50)),IF('Loan Tape'!$L50="",0,'Loan Tape'!$L50)))</f>
        <v>0.0676</v>
      </c>
      <c r="L357" s="104" t="n">
        <f aca="false">IF('Loan Tape'!$AN50=0,0,IF('Loan Tape'!$K50="Floating",MIN(IF('Loan Tape'!$P50="",10,'Loan Tape'!$P50),MAX(IF('Loan Tape'!$Q50="",0,'Loan Tape'!$Q50),INDEX(Idx_Curve,1,10)+'Loan Tape'!$M50)),IF('Loan Tape'!$L50="",0,'Loan Tape'!$L50)))</f>
        <v>0.0676</v>
      </c>
    </row>
    <row r="358" customFormat="false" ht="15" hidden="false" customHeight="false" outlineLevel="0" collapsed="false">
      <c r="B358" s="108" t="str">
        <f aca="false">'Loan Tape'!$A51</f>
        <v>L-048</v>
      </c>
      <c r="C358" s="56" t="n">
        <f aca="false">IF('Loan Tape'!$AN51=0,0,IF('Loan Tape'!$K51="Floating",MIN(IF('Loan Tape'!$P51="",10,'Loan Tape'!$P51),MAX(IF('Loan Tape'!$Q51="",0,'Loan Tape'!$Q51),INDEX(Idx_Curve,1,1)+'Loan Tape'!$M51)),IF('Loan Tape'!$L51="",0,'Loan Tape'!$L51)))</f>
        <v>0.0665</v>
      </c>
      <c r="D358" s="56" t="n">
        <f aca="false">IF('Loan Tape'!$AN51=0,0,IF('Loan Tape'!$K51="Floating",MIN(IF('Loan Tape'!$P51="",10,'Loan Tape'!$P51),MAX(IF('Loan Tape'!$Q51="",0,'Loan Tape'!$Q51),INDEX(Idx_Curve,1,2)+'Loan Tape'!$M51)),IF('Loan Tape'!$L51="",0,'Loan Tape'!$L51)))</f>
        <v>0.0615</v>
      </c>
      <c r="E358" s="56" t="n">
        <f aca="false">IF('Loan Tape'!$AN51=0,0,IF('Loan Tape'!$K51="Floating",MIN(IF('Loan Tape'!$P51="",10,'Loan Tape'!$P51),MAX(IF('Loan Tape'!$Q51="",0,'Loan Tape'!$Q51),INDEX(Idx_Curve,1,3)+'Loan Tape'!$M51)),IF('Loan Tape'!$L51="",0,'Loan Tape'!$L51)))</f>
        <v>0.0575</v>
      </c>
      <c r="F358" s="56" t="n">
        <f aca="false">IF('Loan Tape'!$AN51=0,0,IF('Loan Tape'!$K51="Floating",MIN(IF('Loan Tape'!$P51="",10,'Loan Tape'!$P51),MAX(IF('Loan Tape'!$Q51="",0,'Loan Tape'!$Q51),INDEX(Idx_Curve,1,4)+'Loan Tape'!$M51)),IF('Loan Tape'!$L51="",0,'Loan Tape'!$L51)))</f>
        <v>0.0555</v>
      </c>
      <c r="G358" s="56" t="n">
        <f aca="false">IF('Loan Tape'!$AN51=0,0,IF('Loan Tape'!$K51="Floating",MIN(IF('Loan Tape'!$P51="",10,'Loan Tape'!$P51),MAX(IF('Loan Tape'!$Q51="",0,'Loan Tape'!$Q51),INDEX(Idx_Curve,1,5)+'Loan Tape'!$M51)),IF('Loan Tape'!$L51="",0,'Loan Tape'!$L51)))</f>
        <v>0.0545</v>
      </c>
      <c r="H358" s="56" t="n">
        <f aca="false">IF('Loan Tape'!$AN51=0,0,IF('Loan Tape'!$K51="Floating",MIN(IF('Loan Tape'!$P51="",10,'Loan Tape'!$P51),MAX(IF('Loan Tape'!$Q51="",0,'Loan Tape'!$Q51),INDEX(Idx_Curve,1,6)+'Loan Tape'!$M51)),IF('Loan Tape'!$L51="",0,'Loan Tape'!$L51)))</f>
        <v>0.0545</v>
      </c>
      <c r="I358" s="56" t="n">
        <f aca="false">IF('Loan Tape'!$AN51=0,0,IF('Loan Tape'!$K51="Floating",MIN(IF('Loan Tape'!$P51="",10,'Loan Tape'!$P51),MAX(IF('Loan Tape'!$Q51="",0,'Loan Tape'!$Q51),INDEX(Idx_Curve,1,7)+'Loan Tape'!$M51)),IF('Loan Tape'!$L51="",0,'Loan Tape'!$L51)))</f>
        <v>0.0545</v>
      </c>
      <c r="J358" s="56" t="n">
        <f aca="false">IF('Loan Tape'!$AN51=0,0,IF('Loan Tape'!$K51="Floating",MIN(IF('Loan Tape'!$P51="",10,'Loan Tape'!$P51),MAX(IF('Loan Tape'!$Q51="",0,'Loan Tape'!$Q51),INDEX(Idx_Curve,1,8)+'Loan Tape'!$M51)),IF('Loan Tape'!$L51="",0,'Loan Tape'!$L51)))</f>
        <v>0.0545</v>
      </c>
      <c r="K358" s="56" t="n">
        <f aca="false">IF('Loan Tape'!$AN51=0,0,IF('Loan Tape'!$K51="Floating",MIN(IF('Loan Tape'!$P51="",10,'Loan Tape'!$P51),MAX(IF('Loan Tape'!$Q51="",0,'Loan Tape'!$Q51),INDEX(Idx_Curve,1,9)+'Loan Tape'!$M51)),IF('Loan Tape'!$L51="",0,'Loan Tape'!$L51)))</f>
        <v>0.0545</v>
      </c>
      <c r="L358" s="56" t="n">
        <f aca="false">IF('Loan Tape'!$AN51=0,0,IF('Loan Tape'!$K51="Floating",MIN(IF('Loan Tape'!$P51="",10,'Loan Tape'!$P51),MAX(IF('Loan Tape'!$Q51="",0,'Loan Tape'!$Q51),INDEX(Idx_Curve,1,10)+'Loan Tape'!$M51)),IF('Loan Tape'!$L51="",0,'Loan Tape'!$L51)))</f>
        <v>0.0545</v>
      </c>
    </row>
    <row r="359" customFormat="false" ht="15" hidden="false" customHeight="false" outlineLevel="0" collapsed="false">
      <c r="B359" s="102" t="str">
        <f aca="false">'Loan Tape'!$A52</f>
        <v>L-049</v>
      </c>
      <c r="C359" s="104" t="n">
        <f aca="false">IF('Loan Tape'!$AN52=0,0,IF('Loan Tape'!$K52="Floating",MIN(IF('Loan Tape'!$P52="",10,'Loan Tape'!$P52),MAX(IF('Loan Tape'!$Q52="",0,'Loan Tape'!$Q52),INDEX(Idx_Curve,1,1)+'Loan Tape'!$M52)),IF('Loan Tape'!$L52="",0,'Loan Tape'!$L52)))</f>
        <v>0.0768</v>
      </c>
      <c r="D359" s="104" t="n">
        <f aca="false">IF('Loan Tape'!$AN52=0,0,IF('Loan Tape'!$K52="Floating",MIN(IF('Loan Tape'!$P52="",10,'Loan Tape'!$P52),MAX(IF('Loan Tape'!$Q52="",0,'Loan Tape'!$Q52),INDEX(Idx_Curve,1,2)+'Loan Tape'!$M52)),IF('Loan Tape'!$L52="",0,'Loan Tape'!$L52)))</f>
        <v>0.0768</v>
      </c>
      <c r="E359" s="104" t="n">
        <f aca="false">IF('Loan Tape'!$AN52=0,0,IF('Loan Tape'!$K52="Floating",MIN(IF('Loan Tape'!$P52="",10,'Loan Tape'!$P52),MAX(IF('Loan Tape'!$Q52="",0,'Loan Tape'!$Q52),INDEX(Idx_Curve,1,3)+'Loan Tape'!$M52)),IF('Loan Tape'!$L52="",0,'Loan Tape'!$L52)))</f>
        <v>0.0736</v>
      </c>
      <c r="F359" s="104" t="n">
        <f aca="false">IF('Loan Tape'!$AN52=0,0,IF('Loan Tape'!$K52="Floating",MIN(IF('Loan Tape'!$P52="",10,'Loan Tape'!$P52),MAX(IF('Loan Tape'!$Q52="",0,'Loan Tape'!$Q52),INDEX(Idx_Curve,1,4)+'Loan Tape'!$M52)),IF('Loan Tape'!$L52="",0,'Loan Tape'!$L52)))</f>
        <v>0.0716</v>
      </c>
      <c r="G359" s="104" t="n">
        <f aca="false">IF('Loan Tape'!$AN52=0,0,IF('Loan Tape'!$K52="Floating",MIN(IF('Loan Tape'!$P52="",10,'Loan Tape'!$P52),MAX(IF('Loan Tape'!$Q52="",0,'Loan Tape'!$Q52),INDEX(Idx_Curve,1,5)+'Loan Tape'!$M52)),IF('Loan Tape'!$L52="",0,'Loan Tape'!$L52)))</f>
        <v>0.0706</v>
      </c>
      <c r="H359" s="104" t="n">
        <f aca="false">IF('Loan Tape'!$AN52=0,0,IF('Loan Tape'!$K52="Floating",MIN(IF('Loan Tape'!$P52="",10,'Loan Tape'!$P52),MAX(IF('Loan Tape'!$Q52="",0,'Loan Tape'!$Q52),INDEX(Idx_Curve,1,6)+'Loan Tape'!$M52)),IF('Loan Tape'!$L52="",0,'Loan Tape'!$L52)))</f>
        <v>0.0706</v>
      </c>
      <c r="I359" s="104" t="n">
        <f aca="false">IF('Loan Tape'!$AN52=0,0,IF('Loan Tape'!$K52="Floating",MIN(IF('Loan Tape'!$P52="",10,'Loan Tape'!$P52),MAX(IF('Loan Tape'!$Q52="",0,'Loan Tape'!$Q52),INDEX(Idx_Curve,1,7)+'Loan Tape'!$M52)),IF('Loan Tape'!$L52="",0,'Loan Tape'!$L52)))</f>
        <v>0.0706</v>
      </c>
      <c r="J359" s="104" t="n">
        <f aca="false">IF('Loan Tape'!$AN52=0,0,IF('Loan Tape'!$K52="Floating",MIN(IF('Loan Tape'!$P52="",10,'Loan Tape'!$P52),MAX(IF('Loan Tape'!$Q52="",0,'Loan Tape'!$Q52),INDEX(Idx_Curve,1,8)+'Loan Tape'!$M52)),IF('Loan Tape'!$L52="",0,'Loan Tape'!$L52)))</f>
        <v>0.0706</v>
      </c>
      <c r="K359" s="104" t="n">
        <f aca="false">IF('Loan Tape'!$AN52=0,0,IF('Loan Tape'!$K52="Floating",MIN(IF('Loan Tape'!$P52="",10,'Loan Tape'!$P52),MAX(IF('Loan Tape'!$Q52="",0,'Loan Tape'!$Q52),INDEX(Idx_Curve,1,9)+'Loan Tape'!$M52)),IF('Loan Tape'!$L52="",0,'Loan Tape'!$L52)))</f>
        <v>0.0706</v>
      </c>
      <c r="L359" s="104" t="n">
        <f aca="false">IF('Loan Tape'!$AN52=0,0,IF('Loan Tape'!$K52="Floating",MIN(IF('Loan Tape'!$P52="",10,'Loan Tape'!$P52),MAX(IF('Loan Tape'!$Q52="",0,'Loan Tape'!$Q52),INDEX(Idx_Curve,1,10)+'Loan Tape'!$M52)),IF('Loan Tape'!$L52="",0,'Loan Tape'!$L52)))</f>
        <v>0.0706</v>
      </c>
    </row>
    <row r="360" customFormat="false" ht="15" hidden="false" customHeight="false" outlineLevel="0" collapsed="false">
      <c r="B360" s="108" t="str">
        <f aca="false">'Loan Tape'!$A53</f>
        <v>L-050</v>
      </c>
      <c r="C360" s="56" t="n">
        <f aca="false">IF('Loan Tape'!$AN53=0,0,IF('Loan Tape'!$K53="Floating",MIN(IF('Loan Tape'!$P53="",10,'Loan Tape'!$P53),MAX(IF('Loan Tape'!$Q53="",0,'Loan Tape'!$Q53),INDEX(Idx_Curve,1,1)+'Loan Tape'!$M53)),IF('Loan Tape'!$L53="",0,'Loan Tape'!$L53)))</f>
        <v>0.083</v>
      </c>
      <c r="D360" s="56" t="n">
        <f aca="false">IF('Loan Tape'!$AN53=0,0,IF('Loan Tape'!$K53="Floating",MIN(IF('Loan Tape'!$P53="",10,'Loan Tape'!$P53),MAX(IF('Loan Tape'!$Q53="",0,'Loan Tape'!$Q53),INDEX(Idx_Curve,1,2)+'Loan Tape'!$M53)),IF('Loan Tape'!$L53="",0,'Loan Tape'!$L53)))</f>
        <v>0.078</v>
      </c>
      <c r="E360" s="56" t="n">
        <f aca="false">IF('Loan Tape'!$AN53=0,0,IF('Loan Tape'!$K53="Floating",MIN(IF('Loan Tape'!$P53="",10,'Loan Tape'!$P53),MAX(IF('Loan Tape'!$Q53="",0,'Loan Tape'!$Q53),INDEX(Idx_Curve,1,3)+'Loan Tape'!$M53)),IF('Loan Tape'!$L53="",0,'Loan Tape'!$L53)))</f>
        <v>0.074</v>
      </c>
      <c r="F360" s="56" t="n">
        <f aca="false">IF('Loan Tape'!$AN53=0,0,IF('Loan Tape'!$K53="Floating",MIN(IF('Loan Tape'!$P53="",10,'Loan Tape'!$P53),MAX(IF('Loan Tape'!$Q53="",0,'Loan Tape'!$Q53),INDEX(Idx_Curve,1,4)+'Loan Tape'!$M53)),IF('Loan Tape'!$L53="",0,'Loan Tape'!$L53)))</f>
        <v>0.072</v>
      </c>
      <c r="G360" s="56" t="n">
        <f aca="false">IF('Loan Tape'!$AN53=0,0,IF('Loan Tape'!$K53="Floating",MIN(IF('Loan Tape'!$P53="",10,'Loan Tape'!$P53),MAX(IF('Loan Tape'!$Q53="",0,'Loan Tape'!$Q53),INDEX(Idx_Curve,1,5)+'Loan Tape'!$M53)),IF('Loan Tape'!$L53="",0,'Loan Tape'!$L53)))</f>
        <v>0.071</v>
      </c>
      <c r="H360" s="56" t="n">
        <f aca="false">IF('Loan Tape'!$AN53=0,0,IF('Loan Tape'!$K53="Floating",MIN(IF('Loan Tape'!$P53="",10,'Loan Tape'!$P53),MAX(IF('Loan Tape'!$Q53="",0,'Loan Tape'!$Q53),INDEX(Idx_Curve,1,6)+'Loan Tape'!$M53)),IF('Loan Tape'!$L53="",0,'Loan Tape'!$L53)))</f>
        <v>0.071</v>
      </c>
      <c r="I360" s="56" t="n">
        <f aca="false">IF('Loan Tape'!$AN53=0,0,IF('Loan Tape'!$K53="Floating",MIN(IF('Loan Tape'!$P53="",10,'Loan Tape'!$P53),MAX(IF('Loan Tape'!$Q53="",0,'Loan Tape'!$Q53),INDEX(Idx_Curve,1,7)+'Loan Tape'!$M53)),IF('Loan Tape'!$L53="",0,'Loan Tape'!$L53)))</f>
        <v>0.071</v>
      </c>
      <c r="J360" s="56" t="n">
        <f aca="false">IF('Loan Tape'!$AN53=0,0,IF('Loan Tape'!$K53="Floating",MIN(IF('Loan Tape'!$P53="",10,'Loan Tape'!$P53),MAX(IF('Loan Tape'!$Q53="",0,'Loan Tape'!$Q53),INDEX(Idx_Curve,1,8)+'Loan Tape'!$M53)),IF('Loan Tape'!$L53="",0,'Loan Tape'!$L53)))</f>
        <v>0.071</v>
      </c>
      <c r="K360" s="56" t="n">
        <f aca="false">IF('Loan Tape'!$AN53=0,0,IF('Loan Tape'!$K53="Floating",MIN(IF('Loan Tape'!$P53="",10,'Loan Tape'!$P53),MAX(IF('Loan Tape'!$Q53="",0,'Loan Tape'!$Q53),INDEX(Idx_Curve,1,9)+'Loan Tape'!$M53)),IF('Loan Tape'!$L53="",0,'Loan Tape'!$L53)))</f>
        <v>0.071</v>
      </c>
      <c r="L360" s="56" t="n">
        <f aca="false">IF('Loan Tape'!$AN53=0,0,IF('Loan Tape'!$K53="Floating",MIN(IF('Loan Tape'!$P53="",10,'Loan Tape'!$P53),MAX(IF('Loan Tape'!$Q53="",0,'Loan Tape'!$Q53),INDEX(Idx_Curve,1,10)+'Loan Tape'!$M53)),IF('Loan Tape'!$L53="",0,'Loan Tape'!$L53)))</f>
        <v>0.071</v>
      </c>
    </row>
    <row r="361" customFormat="false" ht="15" hidden="false" customHeight="false" outlineLevel="0" collapsed="false">
      <c r="B361" s="102" t="n">
        <f aca="false">'Loan Tape'!$A54</f>
        <v>0</v>
      </c>
      <c r="C361" s="104" t="n">
        <f aca="false">IF('Loan Tape'!$AN54=0,0,IF('Loan Tape'!$K54="Floating",MIN(IF('Loan Tape'!$P54="",10,'Loan Tape'!$P54),MAX(IF('Loan Tape'!$Q54="",0,'Loan Tape'!$Q54),INDEX(Idx_Curve,1,1)+'Loan Tape'!$M54)),IF('Loan Tape'!$L54="",0,'Loan Tape'!$L54)))</f>
        <v>0</v>
      </c>
      <c r="D361" s="104" t="n">
        <f aca="false">IF('Loan Tape'!$AN54=0,0,IF('Loan Tape'!$K54="Floating",MIN(IF('Loan Tape'!$P54="",10,'Loan Tape'!$P54),MAX(IF('Loan Tape'!$Q54="",0,'Loan Tape'!$Q54),INDEX(Idx_Curve,1,2)+'Loan Tape'!$M54)),IF('Loan Tape'!$L54="",0,'Loan Tape'!$L54)))</f>
        <v>0</v>
      </c>
      <c r="E361" s="104" t="n">
        <f aca="false">IF('Loan Tape'!$AN54=0,0,IF('Loan Tape'!$K54="Floating",MIN(IF('Loan Tape'!$P54="",10,'Loan Tape'!$P54),MAX(IF('Loan Tape'!$Q54="",0,'Loan Tape'!$Q54),INDEX(Idx_Curve,1,3)+'Loan Tape'!$M54)),IF('Loan Tape'!$L54="",0,'Loan Tape'!$L54)))</f>
        <v>0</v>
      </c>
      <c r="F361" s="104" t="n">
        <f aca="false">IF('Loan Tape'!$AN54=0,0,IF('Loan Tape'!$K54="Floating",MIN(IF('Loan Tape'!$P54="",10,'Loan Tape'!$P54),MAX(IF('Loan Tape'!$Q54="",0,'Loan Tape'!$Q54),INDEX(Idx_Curve,1,4)+'Loan Tape'!$M54)),IF('Loan Tape'!$L54="",0,'Loan Tape'!$L54)))</f>
        <v>0</v>
      </c>
      <c r="G361" s="104" t="n">
        <f aca="false">IF('Loan Tape'!$AN54=0,0,IF('Loan Tape'!$K54="Floating",MIN(IF('Loan Tape'!$P54="",10,'Loan Tape'!$P54),MAX(IF('Loan Tape'!$Q54="",0,'Loan Tape'!$Q54),INDEX(Idx_Curve,1,5)+'Loan Tape'!$M54)),IF('Loan Tape'!$L54="",0,'Loan Tape'!$L54)))</f>
        <v>0</v>
      </c>
      <c r="H361" s="104" t="n">
        <f aca="false">IF('Loan Tape'!$AN54=0,0,IF('Loan Tape'!$K54="Floating",MIN(IF('Loan Tape'!$P54="",10,'Loan Tape'!$P54),MAX(IF('Loan Tape'!$Q54="",0,'Loan Tape'!$Q54),INDEX(Idx_Curve,1,6)+'Loan Tape'!$M54)),IF('Loan Tape'!$L54="",0,'Loan Tape'!$L54)))</f>
        <v>0</v>
      </c>
      <c r="I361" s="104" t="n">
        <f aca="false">IF('Loan Tape'!$AN54=0,0,IF('Loan Tape'!$K54="Floating",MIN(IF('Loan Tape'!$P54="",10,'Loan Tape'!$P54),MAX(IF('Loan Tape'!$Q54="",0,'Loan Tape'!$Q54),INDEX(Idx_Curve,1,7)+'Loan Tape'!$M54)),IF('Loan Tape'!$L54="",0,'Loan Tape'!$L54)))</f>
        <v>0</v>
      </c>
      <c r="J361" s="104" t="n">
        <f aca="false">IF('Loan Tape'!$AN54=0,0,IF('Loan Tape'!$K54="Floating",MIN(IF('Loan Tape'!$P54="",10,'Loan Tape'!$P54),MAX(IF('Loan Tape'!$Q54="",0,'Loan Tape'!$Q54),INDEX(Idx_Curve,1,8)+'Loan Tape'!$M54)),IF('Loan Tape'!$L54="",0,'Loan Tape'!$L54)))</f>
        <v>0</v>
      </c>
      <c r="K361" s="104" t="n">
        <f aca="false">IF('Loan Tape'!$AN54=0,0,IF('Loan Tape'!$K54="Floating",MIN(IF('Loan Tape'!$P54="",10,'Loan Tape'!$P54),MAX(IF('Loan Tape'!$Q54="",0,'Loan Tape'!$Q54),INDEX(Idx_Curve,1,9)+'Loan Tape'!$M54)),IF('Loan Tape'!$L54="",0,'Loan Tape'!$L54)))</f>
        <v>0</v>
      </c>
      <c r="L361" s="104" t="n">
        <f aca="false">IF('Loan Tape'!$AN54=0,0,IF('Loan Tape'!$K54="Floating",MIN(IF('Loan Tape'!$P54="",10,'Loan Tape'!$P54),MAX(IF('Loan Tape'!$Q54="",0,'Loan Tape'!$Q54),INDEX(Idx_Curve,1,10)+'Loan Tape'!$M54)),IF('Loan Tape'!$L54="",0,'Loan Tape'!$L54)))</f>
        <v>0</v>
      </c>
    </row>
    <row r="362" customFormat="false" ht="15" hidden="false" customHeight="false" outlineLevel="0" collapsed="false">
      <c r="B362" s="108" t="n">
        <f aca="false">'Loan Tape'!$A55</f>
        <v>0</v>
      </c>
      <c r="C362" s="56" t="n">
        <f aca="false">IF('Loan Tape'!$AN55=0,0,IF('Loan Tape'!$K55="Floating",MIN(IF('Loan Tape'!$P55="",10,'Loan Tape'!$P55),MAX(IF('Loan Tape'!$Q55="",0,'Loan Tape'!$Q55),INDEX(Idx_Curve,1,1)+'Loan Tape'!$M55)),IF('Loan Tape'!$L55="",0,'Loan Tape'!$L55)))</f>
        <v>0</v>
      </c>
      <c r="D362" s="56" t="n">
        <f aca="false">IF('Loan Tape'!$AN55=0,0,IF('Loan Tape'!$K55="Floating",MIN(IF('Loan Tape'!$P55="",10,'Loan Tape'!$P55),MAX(IF('Loan Tape'!$Q55="",0,'Loan Tape'!$Q55),INDEX(Idx_Curve,1,2)+'Loan Tape'!$M55)),IF('Loan Tape'!$L55="",0,'Loan Tape'!$L55)))</f>
        <v>0</v>
      </c>
      <c r="E362" s="56" t="n">
        <f aca="false">IF('Loan Tape'!$AN55=0,0,IF('Loan Tape'!$K55="Floating",MIN(IF('Loan Tape'!$P55="",10,'Loan Tape'!$P55),MAX(IF('Loan Tape'!$Q55="",0,'Loan Tape'!$Q55),INDEX(Idx_Curve,1,3)+'Loan Tape'!$M55)),IF('Loan Tape'!$L55="",0,'Loan Tape'!$L55)))</f>
        <v>0</v>
      </c>
      <c r="F362" s="56" t="n">
        <f aca="false">IF('Loan Tape'!$AN55=0,0,IF('Loan Tape'!$K55="Floating",MIN(IF('Loan Tape'!$P55="",10,'Loan Tape'!$P55),MAX(IF('Loan Tape'!$Q55="",0,'Loan Tape'!$Q55),INDEX(Idx_Curve,1,4)+'Loan Tape'!$M55)),IF('Loan Tape'!$L55="",0,'Loan Tape'!$L55)))</f>
        <v>0</v>
      </c>
      <c r="G362" s="56" t="n">
        <f aca="false">IF('Loan Tape'!$AN55=0,0,IF('Loan Tape'!$K55="Floating",MIN(IF('Loan Tape'!$P55="",10,'Loan Tape'!$P55),MAX(IF('Loan Tape'!$Q55="",0,'Loan Tape'!$Q55),INDEX(Idx_Curve,1,5)+'Loan Tape'!$M55)),IF('Loan Tape'!$L55="",0,'Loan Tape'!$L55)))</f>
        <v>0</v>
      </c>
      <c r="H362" s="56" t="n">
        <f aca="false">IF('Loan Tape'!$AN55=0,0,IF('Loan Tape'!$K55="Floating",MIN(IF('Loan Tape'!$P55="",10,'Loan Tape'!$P55),MAX(IF('Loan Tape'!$Q55="",0,'Loan Tape'!$Q55),INDEX(Idx_Curve,1,6)+'Loan Tape'!$M55)),IF('Loan Tape'!$L55="",0,'Loan Tape'!$L55)))</f>
        <v>0</v>
      </c>
      <c r="I362" s="56" t="n">
        <f aca="false">IF('Loan Tape'!$AN55=0,0,IF('Loan Tape'!$K55="Floating",MIN(IF('Loan Tape'!$P55="",10,'Loan Tape'!$P55),MAX(IF('Loan Tape'!$Q55="",0,'Loan Tape'!$Q55),INDEX(Idx_Curve,1,7)+'Loan Tape'!$M55)),IF('Loan Tape'!$L55="",0,'Loan Tape'!$L55)))</f>
        <v>0</v>
      </c>
      <c r="J362" s="56" t="n">
        <f aca="false">IF('Loan Tape'!$AN55=0,0,IF('Loan Tape'!$K55="Floating",MIN(IF('Loan Tape'!$P55="",10,'Loan Tape'!$P55),MAX(IF('Loan Tape'!$Q55="",0,'Loan Tape'!$Q55),INDEX(Idx_Curve,1,8)+'Loan Tape'!$M55)),IF('Loan Tape'!$L55="",0,'Loan Tape'!$L55)))</f>
        <v>0</v>
      </c>
      <c r="K362" s="56" t="n">
        <f aca="false">IF('Loan Tape'!$AN55=0,0,IF('Loan Tape'!$K55="Floating",MIN(IF('Loan Tape'!$P55="",10,'Loan Tape'!$P55),MAX(IF('Loan Tape'!$Q55="",0,'Loan Tape'!$Q55),INDEX(Idx_Curve,1,9)+'Loan Tape'!$M55)),IF('Loan Tape'!$L55="",0,'Loan Tape'!$L55)))</f>
        <v>0</v>
      </c>
      <c r="L362" s="56" t="n">
        <f aca="false">IF('Loan Tape'!$AN55=0,0,IF('Loan Tape'!$K55="Floating",MIN(IF('Loan Tape'!$P55="",10,'Loan Tape'!$P55),MAX(IF('Loan Tape'!$Q55="",0,'Loan Tape'!$Q55),INDEX(Idx_Curve,1,10)+'Loan Tape'!$M55)),IF('Loan Tape'!$L55="",0,'Loan Tape'!$L55)))</f>
        <v>0</v>
      </c>
    </row>
    <row r="363" customFormat="false" ht="15" hidden="false" customHeight="false" outlineLevel="0" collapsed="false">
      <c r="B363" s="102" t="n">
        <f aca="false">'Loan Tape'!$A56</f>
        <v>0</v>
      </c>
      <c r="C363" s="104" t="n">
        <f aca="false">IF('Loan Tape'!$AN56=0,0,IF('Loan Tape'!$K56="Floating",MIN(IF('Loan Tape'!$P56="",10,'Loan Tape'!$P56),MAX(IF('Loan Tape'!$Q56="",0,'Loan Tape'!$Q56),INDEX(Idx_Curve,1,1)+'Loan Tape'!$M56)),IF('Loan Tape'!$L56="",0,'Loan Tape'!$L56)))</f>
        <v>0</v>
      </c>
      <c r="D363" s="104" t="n">
        <f aca="false">IF('Loan Tape'!$AN56=0,0,IF('Loan Tape'!$K56="Floating",MIN(IF('Loan Tape'!$P56="",10,'Loan Tape'!$P56),MAX(IF('Loan Tape'!$Q56="",0,'Loan Tape'!$Q56),INDEX(Idx_Curve,1,2)+'Loan Tape'!$M56)),IF('Loan Tape'!$L56="",0,'Loan Tape'!$L56)))</f>
        <v>0</v>
      </c>
      <c r="E363" s="104" t="n">
        <f aca="false">IF('Loan Tape'!$AN56=0,0,IF('Loan Tape'!$K56="Floating",MIN(IF('Loan Tape'!$P56="",10,'Loan Tape'!$P56),MAX(IF('Loan Tape'!$Q56="",0,'Loan Tape'!$Q56),INDEX(Idx_Curve,1,3)+'Loan Tape'!$M56)),IF('Loan Tape'!$L56="",0,'Loan Tape'!$L56)))</f>
        <v>0</v>
      </c>
      <c r="F363" s="104" t="n">
        <f aca="false">IF('Loan Tape'!$AN56=0,0,IF('Loan Tape'!$K56="Floating",MIN(IF('Loan Tape'!$P56="",10,'Loan Tape'!$P56),MAX(IF('Loan Tape'!$Q56="",0,'Loan Tape'!$Q56),INDEX(Idx_Curve,1,4)+'Loan Tape'!$M56)),IF('Loan Tape'!$L56="",0,'Loan Tape'!$L56)))</f>
        <v>0</v>
      </c>
      <c r="G363" s="104" t="n">
        <f aca="false">IF('Loan Tape'!$AN56=0,0,IF('Loan Tape'!$K56="Floating",MIN(IF('Loan Tape'!$P56="",10,'Loan Tape'!$P56),MAX(IF('Loan Tape'!$Q56="",0,'Loan Tape'!$Q56),INDEX(Idx_Curve,1,5)+'Loan Tape'!$M56)),IF('Loan Tape'!$L56="",0,'Loan Tape'!$L56)))</f>
        <v>0</v>
      </c>
      <c r="H363" s="104" t="n">
        <f aca="false">IF('Loan Tape'!$AN56=0,0,IF('Loan Tape'!$K56="Floating",MIN(IF('Loan Tape'!$P56="",10,'Loan Tape'!$P56),MAX(IF('Loan Tape'!$Q56="",0,'Loan Tape'!$Q56),INDEX(Idx_Curve,1,6)+'Loan Tape'!$M56)),IF('Loan Tape'!$L56="",0,'Loan Tape'!$L56)))</f>
        <v>0</v>
      </c>
      <c r="I363" s="104" t="n">
        <f aca="false">IF('Loan Tape'!$AN56=0,0,IF('Loan Tape'!$K56="Floating",MIN(IF('Loan Tape'!$P56="",10,'Loan Tape'!$P56),MAX(IF('Loan Tape'!$Q56="",0,'Loan Tape'!$Q56),INDEX(Idx_Curve,1,7)+'Loan Tape'!$M56)),IF('Loan Tape'!$L56="",0,'Loan Tape'!$L56)))</f>
        <v>0</v>
      </c>
      <c r="J363" s="104" t="n">
        <f aca="false">IF('Loan Tape'!$AN56=0,0,IF('Loan Tape'!$K56="Floating",MIN(IF('Loan Tape'!$P56="",10,'Loan Tape'!$P56),MAX(IF('Loan Tape'!$Q56="",0,'Loan Tape'!$Q56),INDEX(Idx_Curve,1,8)+'Loan Tape'!$M56)),IF('Loan Tape'!$L56="",0,'Loan Tape'!$L56)))</f>
        <v>0</v>
      </c>
      <c r="K363" s="104" t="n">
        <f aca="false">IF('Loan Tape'!$AN56=0,0,IF('Loan Tape'!$K56="Floating",MIN(IF('Loan Tape'!$P56="",10,'Loan Tape'!$P56),MAX(IF('Loan Tape'!$Q56="",0,'Loan Tape'!$Q56),INDEX(Idx_Curve,1,9)+'Loan Tape'!$M56)),IF('Loan Tape'!$L56="",0,'Loan Tape'!$L56)))</f>
        <v>0</v>
      </c>
      <c r="L363" s="104" t="n">
        <f aca="false">IF('Loan Tape'!$AN56=0,0,IF('Loan Tape'!$K56="Floating",MIN(IF('Loan Tape'!$P56="",10,'Loan Tape'!$P56),MAX(IF('Loan Tape'!$Q56="",0,'Loan Tape'!$Q56),INDEX(Idx_Curve,1,10)+'Loan Tape'!$M56)),IF('Loan Tape'!$L56="",0,'Loan Tape'!$L56)))</f>
        <v>0</v>
      </c>
    </row>
    <row r="364" customFormat="false" ht="15" hidden="false" customHeight="false" outlineLevel="0" collapsed="false">
      <c r="B364" s="108" t="n">
        <f aca="false">'Loan Tape'!$A57</f>
        <v>0</v>
      </c>
      <c r="C364" s="56" t="n">
        <f aca="false">IF('Loan Tape'!$AN57=0,0,IF('Loan Tape'!$K57="Floating",MIN(IF('Loan Tape'!$P57="",10,'Loan Tape'!$P57),MAX(IF('Loan Tape'!$Q57="",0,'Loan Tape'!$Q57),INDEX(Idx_Curve,1,1)+'Loan Tape'!$M57)),IF('Loan Tape'!$L57="",0,'Loan Tape'!$L57)))</f>
        <v>0</v>
      </c>
      <c r="D364" s="56" t="n">
        <f aca="false">IF('Loan Tape'!$AN57=0,0,IF('Loan Tape'!$K57="Floating",MIN(IF('Loan Tape'!$P57="",10,'Loan Tape'!$P57),MAX(IF('Loan Tape'!$Q57="",0,'Loan Tape'!$Q57),INDEX(Idx_Curve,1,2)+'Loan Tape'!$M57)),IF('Loan Tape'!$L57="",0,'Loan Tape'!$L57)))</f>
        <v>0</v>
      </c>
      <c r="E364" s="56" t="n">
        <f aca="false">IF('Loan Tape'!$AN57=0,0,IF('Loan Tape'!$K57="Floating",MIN(IF('Loan Tape'!$P57="",10,'Loan Tape'!$P57),MAX(IF('Loan Tape'!$Q57="",0,'Loan Tape'!$Q57),INDEX(Idx_Curve,1,3)+'Loan Tape'!$M57)),IF('Loan Tape'!$L57="",0,'Loan Tape'!$L57)))</f>
        <v>0</v>
      </c>
      <c r="F364" s="56" t="n">
        <f aca="false">IF('Loan Tape'!$AN57=0,0,IF('Loan Tape'!$K57="Floating",MIN(IF('Loan Tape'!$P57="",10,'Loan Tape'!$P57),MAX(IF('Loan Tape'!$Q57="",0,'Loan Tape'!$Q57),INDEX(Idx_Curve,1,4)+'Loan Tape'!$M57)),IF('Loan Tape'!$L57="",0,'Loan Tape'!$L57)))</f>
        <v>0</v>
      </c>
      <c r="G364" s="56" t="n">
        <f aca="false">IF('Loan Tape'!$AN57=0,0,IF('Loan Tape'!$K57="Floating",MIN(IF('Loan Tape'!$P57="",10,'Loan Tape'!$P57),MAX(IF('Loan Tape'!$Q57="",0,'Loan Tape'!$Q57),INDEX(Idx_Curve,1,5)+'Loan Tape'!$M57)),IF('Loan Tape'!$L57="",0,'Loan Tape'!$L57)))</f>
        <v>0</v>
      </c>
      <c r="H364" s="56" t="n">
        <f aca="false">IF('Loan Tape'!$AN57=0,0,IF('Loan Tape'!$K57="Floating",MIN(IF('Loan Tape'!$P57="",10,'Loan Tape'!$P57),MAX(IF('Loan Tape'!$Q57="",0,'Loan Tape'!$Q57),INDEX(Idx_Curve,1,6)+'Loan Tape'!$M57)),IF('Loan Tape'!$L57="",0,'Loan Tape'!$L57)))</f>
        <v>0</v>
      </c>
      <c r="I364" s="56" t="n">
        <f aca="false">IF('Loan Tape'!$AN57=0,0,IF('Loan Tape'!$K57="Floating",MIN(IF('Loan Tape'!$P57="",10,'Loan Tape'!$P57),MAX(IF('Loan Tape'!$Q57="",0,'Loan Tape'!$Q57),INDEX(Idx_Curve,1,7)+'Loan Tape'!$M57)),IF('Loan Tape'!$L57="",0,'Loan Tape'!$L57)))</f>
        <v>0</v>
      </c>
      <c r="J364" s="56" t="n">
        <f aca="false">IF('Loan Tape'!$AN57=0,0,IF('Loan Tape'!$K57="Floating",MIN(IF('Loan Tape'!$P57="",10,'Loan Tape'!$P57),MAX(IF('Loan Tape'!$Q57="",0,'Loan Tape'!$Q57),INDEX(Idx_Curve,1,8)+'Loan Tape'!$M57)),IF('Loan Tape'!$L57="",0,'Loan Tape'!$L57)))</f>
        <v>0</v>
      </c>
      <c r="K364" s="56" t="n">
        <f aca="false">IF('Loan Tape'!$AN57=0,0,IF('Loan Tape'!$K57="Floating",MIN(IF('Loan Tape'!$P57="",10,'Loan Tape'!$P57),MAX(IF('Loan Tape'!$Q57="",0,'Loan Tape'!$Q57),INDEX(Idx_Curve,1,9)+'Loan Tape'!$M57)),IF('Loan Tape'!$L57="",0,'Loan Tape'!$L57)))</f>
        <v>0</v>
      </c>
      <c r="L364" s="56" t="n">
        <f aca="false">IF('Loan Tape'!$AN57=0,0,IF('Loan Tape'!$K57="Floating",MIN(IF('Loan Tape'!$P57="",10,'Loan Tape'!$P57),MAX(IF('Loan Tape'!$Q57="",0,'Loan Tape'!$Q57),INDEX(Idx_Curve,1,10)+'Loan Tape'!$M57)),IF('Loan Tape'!$L57="",0,'Loan Tape'!$L57)))</f>
        <v>0</v>
      </c>
    </row>
    <row r="365" customFormat="false" ht="15" hidden="false" customHeight="false" outlineLevel="0" collapsed="false">
      <c r="B365" s="102" t="n">
        <f aca="false">'Loan Tape'!$A58</f>
        <v>0</v>
      </c>
      <c r="C365" s="104" t="n">
        <f aca="false">IF('Loan Tape'!$AN58=0,0,IF('Loan Tape'!$K58="Floating",MIN(IF('Loan Tape'!$P58="",10,'Loan Tape'!$P58),MAX(IF('Loan Tape'!$Q58="",0,'Loan Tape'!$Q58),INDEX(Idx_Curve,1,1)+'Loan Tape'!$M58)),IF('Loan Tape'!$L58="",0,'Loan Tape'!$L58)))</f>
        <v>0</v>
      </c>
      <c r="D365" s="104" t="n">
        <f aca="false">IF('Loan Tape'!$AN58=0,0,IF('Loan Tape'!$K58="Floating",MIN(IF('Loan Tape'!$P58="",10,'Loan Tape'!$P58),MAX(IF('Loan Tape'!$Q58="",0,'Loan Tape'!$Q58),INDEX(Idx_Curve,1,2)+'Loan Tape'!$M58)),IF('Loan Tape'!$L58="",0,'Loan Tape'!$L58)))</f>
        <v>0</v>
      </c>
      <c r="E365" s="104" t="n">
        <f aca="false">IF('Loan Tape'!$AN58=0,0,IF('Loan Tape'!$K58="Floating",MIN(IF('Loan Tape'!$P58="",10,'Loan Tape'!$P58),MAX(IF('Loan Tape'!$Q58="",0,'Loan Tape'!$Q58),INDEX(Idx_Curve,1,3)+'Loan Tape'!$M58)),IF('Loan Tape'!$L58="",0,'Loan Tape'!$L58)))</f>
        <v>0</v>
      </c>
      <c r="F365" s="104" t="n">
        <f aca="false">IF('Loan Tape'!$AN58=0,0,IF('Loan Tape'!$K58="Floating",MIN(IF('Loan Tape'!$P58="",10,'Loan Tape'!$P58),MAX(IF('Loan Tape'!$Q58="",0,'Loan Tape'!$Q58),INDEX(Idx_Curve,1,4)+'Loan Tape'!$M58)),IF('Loan Tape'!$L58="",0,'Loan Tape'!$L58)))</f>
        <v>0</v>
      </c>
      <c r="G365" s="104" t="n">
        <f aca="false">IF('Loan Tape'!$AN58=0,0,IF('Loan Tape'!$K58="Floating",MIN(IF('Loan Tape'!$P58="",10,'Loan Tape'!$P58),MAX(IF('Loan Tape'!$Q58="",0,'Loan Tape'!$Q58),INDEX(Idx_Curve,1,5)+'Loan Tape'!$M58)),IF('Loan Tape'!$L58="",0,'Loan Tape'!$L58)))</f>
        <v>0</v>
      </c>
      <c r="H365" s="104" t="n">
        <f aca="false">IF('Loan Tape'!$AN58=0,0,IF('Loan Tape'!$K58="Floating",MIN(IF('Loan Tape'!$P58="",10,'Loan Tape'!$P58),MAX(IF('Loan Tape'!$Q58="",0,'Loan Tape'!$Q58),INDEX(Idx_Curve,1,6)+'Loan Tape'!$M58)),IF('Loan Tape'!$L58="",0,'Loan Tape'!$L58)))</f>
        <v>0</v>
      </c>
      <c r="I365" s="104" t="n">
        <f aca="false">IF('Loan Tape'!$AN58=0,0,IF('Loan Tape'!$K58="Floating",MIN(IF('Loan Tape'!$P58="",10,'Loan Tape'!$P58),MAX(IF('Loan Tape'!$Q58="",0,'Loan Tape'!$Q58),INDEX(Idx_Curve,1,7)+'Loan Tape'!$M58)),IF('Loan Tape'!$L58="",0,'Loan Tape'!$L58)))</f>
        <v>0</v>
      </c>
      <c r="J365" s="104" t="n">
        <f aca="false">IF('Loan Tape'!$AN58=0,0,IF('Loan Tape'!$K58="Floating",MIN(IF('Loan Tape'!$P58="",10,'Loan Tape'!$P58),MAX(IF('Loan Tape'!$Q58="",0,'Loan Tape'!$Q58),INDEX(Idx_Curve,1,8)+'Loan Tape'!$M58)),IF('Loan Tape'!$L58="",0,'Loan Tape'!$L58)))</f>
        <v>0</v>
      </c>
      <c r="K365" s="104" t="n">
        <f aca="false">IF('Loan Tape'!$AN58=0,0,IF('Loan Tape'!$K58="Floating",MIN(IF('Loan Tape'!$P58="",10,'Loan Tape'!$P58),MAX(IF('Loan Tape'!$Q58="",0,'Loan Tape'!$Q58),INDEX(Idx_Curve,1,9)+'Loan Tape'!$M58)),IF('Loan Tape'!$L58="",0,'Loan Tape'!$L58)))</f>
        <v>0</v>
      </c>
      <c r="L365" s="104" t="n">
        <f aca="false">IF('Loan Tape'!$AN58=0,0,IF('Loan Tape'!$K58="Floating",MIN(IF('Loan Tape'!$P58="",10,'Loan Tape'!$P58),MAX(IF('Loan Tape'!$Q58="",0,'Loan Tape'!$Q58),INDEX(Idx_Curve,1,10)+'Loan Tape'!$M58)),IF('Loan Tape'!$L58="",0,'Loan Tape'!$L58)))</f>
        <v>0</v>
      </c>
    </row>
    <row r="366" customFormat="false" ht="15" hidden="false" customHeight="false" outlineLevel="0" collapsed="false">
      <c r="B366" s="108" t="n">
        <f aca="false">'Loan Tape'!$A59</f>
        <v>0</v>
      </c>
      <c r="C366" s="56" t="n">
        <f aca="false">IF('Loan Tape'!$AN59=0,0,IF('Loan Tape'!$K59="Floating",MIN(IF('Loan Tape'!$P59="",10,'Loan Tape'!$P59),MAX(IF('Loan Tape'!$Q59="",0,'Loan Tape'!$Q59),INDEX(Idx_Curve,1,1)+'Loan Tape'!$M59)),IF('Loan Tape'!$L59="",0,'Loan Tape'!$L59)))</f>
        <v>0</v>
      </c>
      <c r="D366" s="56" t="n">
        <f aca="false">IF('Loan Tape'!$AN59=0,0,IF('Loan Tape'!$K59="Floating",MIN(IF('Loan Tape'!$P59="",10,'Loan Tape'!$P59),MAX(IF('Loan Tape'!$Q59="",0,'Loan Tape'!$Q59),INDEX(Idx_Curve,1,2)+'Loan Tape'!$M59)),IF('Loan Tape'!$L59="",0,'Loan Tape'!$L59)))</f>
        <v>0</v>
      </c>
      <c r="E366" s="56" t="n">
        <f aca="false">IF('Loan Tape'!$AN59=0,0,IF('Loan Tape'!$K59="Floating",MIN(IF('Loan Tape'!$P59="",10,'Loan Tape'!$P59),MAX(IF('Loan Tape'!$Q59="",0,'Loan Tape'!$Q59),INDEX(Idx_Curve,1,3)+'Loan Tape'!$M59)),IF('Loan Tape'!$L59="",0,'Loan Tape'!$L59)))</f>
        <v>0</v>
      </c>
      <c r="F366" s="56" t="n">
        <f aca="false">IF('Loan Tape'!$AN59=0,0,IF('Loan Tape'!$K59="Floating",MIN(IF('Loan Tape'!$P59="",10,'Loan Tape'!$P59),MAX(IF('Loan Tape'!$Q59="",0,'Loan Tape'!$Q59),INDEX(Idx_Curve,1,4)+'Loan Tape'!$M59)),IF('Loan Tape'!$L59="",0,'Loan Tape'!$L59)))</f>
        <v>0</v>
      </c>
      <c r="G366" s="56" t="n">
        <f aca="false">IF('Loan Tape'!$AN59=0,0,IF('Loan Tape'!$K59="Floating",MIN(IF('Loan Tape'!$P59="",10,'Loan Tape'!$P59),MAX(IF('Loan Tape'!$Q59="",0,'Loan Tape'!$Q59),INDEX(Idx_Curve,1,5)+'Loan Tape'!$M59)),IF('Loan Tape'!$L59="",0,'Loan Tape'!$L59)))</f>
        <v>0</v>
      </c>
      <c r="H366" s="56" t="n">
        <f aca="false">IF('Loan Tape'!$AN59=0,0,IF('Loan Tape'!$K59="Floating",MIN(IF('Loan Tape'!$P59="",10,'Loan Tape'!$P59),MAX(IF('Loan Tape'!$Q59="",0,'Loan Tape'!$Q59),INDEX(Idx_Curve,1,6)+'Loan Tape'!$M59)),IF('Loan Tape'!$L59="",0,'Loan Tape'!$L59)))</f>
        <v>0</v>
      </c>
      <c r="I366" s="56" t="n">
        <f aca="false">IF('Loan Tape'!$AN59=0,0,IF('Loan Tape'!$K59="Floating",MIN(IF('Loan Tape'!$P59="",10,'Loan Tape'!$P59),MAX(IF('Loan Tape'!$Q59="",0,'Loan Tape'!$Q59),INDEX(Idx_Curve,1,7)+'Loan Tape'!$M59)),IF('Loan Tape'!$L59="",0,'Loan Tape'!$L59)))</f>
        <v>0</v>
      </c>
      <c r="J366" s="56" t="n">
        <f aca="false">IF('Loan Tape'!$AN59=0,0,IF('Loan Tape'!$K59="Floating",MIN(IF('Loan Tape'!$P59="",10,'Loan Tape'!$P59),MAX(IF('Loan Tape'!$Q59="",0,'Loan Tape'!$Q59),INDEX(Idx_Curve,1,8)+'Loan Tape'!$M59)),IF('Loan Tape'!$L59="",0,'Loan Tape'!$L59)))</f>
        <v>0</v>
      </c>
      <c r="K366" s="56" t="n">
        <f aca="false">IF('Loan Tape'!$AN59=0,0,IF('Loan Tape'!$K59="Floating",MIN(IF('Loan Tape'!$P59="",10,'Loan Tape'!$P59),MAX(IF('Loan Tape'!$Q59="",0,'Loan Tape'!$Q59),INDEX(Idx_Curve,1,9)+'Loan Tape'!$M59)),IF('Loan Tape'!$L59="",0,'Loan Tape'!$L59)))</f>
        <v>0</v>
      </c>
      <c r="L366" s="56" t="n">
        <f aca="false">IF('Loan Tape'!$AN59=0,0,IF('Loan Tape'!$K59="Floating",MIN(IF('Loan Tape'!$P59="",10,'Loan Tape'!$P59),MAX(IF('Loan Tape'!$Q59="",0,'Loan Tape'!$Q59),INDEX(Idx_Curve,1,10)+'Loan Tape'!$M59)),IF('Loan Tape'!$L59="",0,'Loan Tape'!$L59)))</f>
        <v>0</v>
      </c>
    </row>
    <row r="367" customFormat="false" ht="15" hidden="false" customHeight="false" outlineLevel="0" collapsed="false">
      <c r="B367" s="102" t="n">
        <f aca="false">'Loan Tape'!$A60</f>
        <v>0</v>
      </c>
      <c r="C367" s="104" t="n">
        <f aca="false">IF('Loan Tape'!$AN60=0,0,IF('Loan Tape'!$K60="Floating",MIN(IF('Loan Tape'!$P60="",10,'Loan Tape'!$P60),MAX(IF('Loan Tape'!$Q60="",0,'Loan Tape'!$Q60),INDEX(Idx_Curve,1,1)+'Loan Tape'!$M60)),IF('Loan Tape'!$L60="",0,'Loan Tape'!$L60)))</f>
        <v>0</v>
      </c>
      <c r="D367" s="104" t="n">
        <f aca="false">IF('Loan Tape'!$AN60=0,0,IF('Loan Tape'!$K60="Floating",MIN(IF('Loan Tape'!$P60="",10,'Loan Tape'!$P60),MAX(IF('Loan Tape'!$Q60="",0,'Loan Tape'!$Q60),INDEX(Idx_Curve,1,2)+'Loan Tape'!$M60)),IF('Loan Tape'!$L60="",0,'Loan Tape'!$L60)))</f>
        <v>0</v>
      </c>
      <c r="E367" s="104" t="n">
        <f aca="false">IF('Loan Tape'!$AN60=0,0,IF('Loan Tape'!$K60="Floating",MIN(IF('Loan Tape'!$P60="",10,'Loan Tape'!$P60),MAX(IF('Loan Tape'!$Q60="",0,'Loan Tape'!$Q60),INDEX(Idx_Curve,1,3)+'Loan Tape'!$M60)),IF('Loan Tape'!$L60="",0,'Loan Tape'!$L60)))</f>
        <v>0</v>
      </c>
      <c r="F367" s="104" t="n">
        <f aca="false">IF('Loan Tape'!$AN60=0,0,IF('Loan Tape'!$K60="Floating",MIN(IF('Loan Tape'!$P60="",10,'Loan Tape'!$P60),MAX(IF('Loan Tape'!$Q60="",0,'Loan Tape'!$Q60),INDEX(Idx_Curve,1,4)+'Loan Tape'!$M60)),IF('Loan Tape'!$L60="",0,'Loan Tape'!$L60)))</f>
        <v>0</v>
      </c>
      <c r="G367" s="104" t="n">
        <f aca="false">IF('Loan Tape'!$AN60=0,0,IF('Loan Tape'!$K60="Floating",MIN(IF('Loan Tape'!$P60="",10,'Loan Tape'!$P60),MAX(IF('Loan Tape'!$Q60="",0,'Loan Tape'!$Q60),INDEX(Idx_Curve,1,5)+'Loan Tape'!$M60)),IF('Loan Tape'!$L60="",0,'Loan Tape'!$L60)))</f>
        <v>0</v>
      </c>
      <c r="H367" s="104" t="n">
        <f aca="false">IF('Loan Tape'!$AN60=0,0,IF('Loan Tape'!$K60="Floating",MIN(IF('Loan Tape'!$P60="",10,'Loan Tape'!$P60),MAX(IF('Loan Tape'!$Q60="",0,'Loan Tape'!$Q60),INDEX(Idx_Curve,1,6)+'Loan Tape'!$M60)),IF('Loan Tape'!$L60="",0,'Loan Tape'!$L60)))</f>
        <v>0</v>
      </c>
      <c r="I367" s="104" t="n">
        <f aca="false">IF('Loan Tape'!$AN60=0,0,IF('Loan Tape'!$K60="Floating",MIN(IF('Loan Tape'!$P60="",10,'Loan Tape'!$P60),MAX(IF('Loan Tape'!$Q60="",0,'Loan Tape'!$Q60),INDEX(Idx_Curve,1,7)+'Loan Tape'!$M60)),IF('Loan Tape'!$L60="",0,'Loan Tape'!$L60)))</f>
        <v>0</v>
      </c>
      <c r="J367" s="104" t="n">
        <f aca="false">IF('Loan Tape'!$AN60=0,0,IF('Loan Tape'!$K60="Floating",MIN(IF('Loan Tape'!$P60="",10,'Loan Tape'!$P60),MAX(IF('Loan Tape'!$Q60="",0,'Loan Tape'!$Q60),INDEX(Idx_Curve,1,8)+'Loan Tape'!$M60)),IF('Loan Tape'!$L60="",0,'Loan Tape'!$L60)))</f>
        <v>0</v>
      </c>
      <c r="K367" s="104" t="n">
        <f aca="false">IF('Loan Tape'!$AN60=0,0,IF('Loan Tape'!$K60="Floating",MIN(IF('Loan Tape'!$P60="",10,'Loan Tape'!$P60),MAX(IF('Loan Tape'!$Q60="",0,'Loan Tape'!$Q60),INDEX(Idx_Curve,1,9)+'Loan Tape'!$M60)),IF('Loan Tape'!$L60="",0,'Loan Tape'!$L60)))</f>
        <v>0</v>
      </c>
      <c r="L367" s="104" t="n">
        <f aca="false">IF('Loan Tape'!$AN60=0,0,IF('Loan Tape'!$K60="Floating",MIN(IF('Loan Tape'!$P60="",10,'Loan Tape'!$P60),MAX(IF('Loan Tape'!$Q60="",0,'Loan Tape'!$Q60),INDEX(Idx_Curve,1,10)+'Loan Tape'!$M60)),IF('Loan Tape'!$L60="",0,'Loan Tape'!$L60)))</f>
        <v>0</v>
      </c>
    </row>
    <row r="368" customFormat="false" ht="15" hidden="false" customHeight="false" outlineLevel="0" collapsed="false">
      <c r="B368" s="108" t="n">
        <f aca="false">'Loan Tape'!$A61</f>
        <v>0</v>
      </c>
      <c r="C368" s="56" t="n">
        <f aca="false">IF('Loan Tape'!$AN61=0,0,IF('Loan Tape'!$K61="Floating",MIN(IF('Loan Tape'!$P61="",10,'Loan Tape'!$P61),MAX(IF('Loan Tape'!$Q61="",0,'Loan Tape'!$Q61),INDEX(Idx_Curve,1,1)+'Loan Tape'!$M61)),IF('Loan Tape'!$L61="",0,'Loan Tape'!$L61)))</f>
        <v>0</v>
      </c>
      <c r="D368" s="56" t="n">
        <f aca="false">IF('Loan Tape'!$AN61=0,0,IF('Loan Tape'!$K61="Floating",MIN(IF('Loan Tape'!$P61="",10,'Loan Tape'!$P61),MAX(IF('Loan Tape'!$Q61="",0,'Loan Tape'!$Q61),INDEX(Idx_Curve,1,2)+'Loan Tape'!$M61)),IF('Loan Tape'!$L61="",0,'Loan Tape'!$L61)))</f>
        <v>0</v>
      </c>
      <c r="E368" s="56" t="n">
        <f aca="false">IF('Loan Tape'!$AN61=0,0,IF('Loan Tape'!$K61="Floating",MIN(IF('Loan Tape'!$P61="",10,'Loan Tape'!$P61),MAX(IF('Loan Tape'!$Q61="",0,'Loan Tape'!$Q61),INDEX(Idx_Curve,1,3)+'Loan Tape'!$M61)),IF('Loan Tape'!$L61="",0,'Loan Tape'!$L61)))</f>
        <v>0</v>
      </c>
      <c r="F368" s="56" t="n">
        <f aca="false">IF('Loan Tape'!$AN61=0,0,IF('Loan Tape'!$K61="Floating",MIN(IF('Loan Tape'!$P61="",10,'Loan Tape'!$P61),MAX(IF('Loan Tape'!$Q61="",0,'Loan Tape'!$Q61),INDEX(Idx_Curve,1,4)+'Loan Tape'!$M61)),IF('Loan Tape'!$L61="",0,'Loan Tape'!$L61)))</f>
        <v>0</v>
      </c>
      <c r="G368" s="56" t="n">
        <f aca="false">IF('Loan Tape'!$AN61=0,0,IF('Loan Tape'!$K61="Floating",MIN(IF('Loan Tape'!$P61="",10,'Loan Tape'!$P61),MAX(IF('Loan Tape'!$Q61="",0,'Loan Tape'!$Q61),INDEX(Idx_Curve,1,5)+'Loan Tape'!$M61)),IF('Loan Tape'!$L61="",0,'Loan Tape'!$L61)))</f>
        <v>0</v>
      </c>
      <c r="H368" s="56" t="n">
        <f aca="false">IF('Loan Tape'!$AN61=0,0,IF('Loan Tape'!$K61="Floating",MIN(IF('Loan Tape'!$P61="",10,'Loan Tape'!$P61),MAX(IF('Loan Tape'!$Q61="",0,'Loan Tape'!$Q61),INDEX(Idx_Curve,1,6)+'Loan Tape'!$M61)),IF('Loan Tape'!$L61="",0,'Loan Tape'!$L61)))</f>
        <v>0</v>
      </c>
      <c r="I368" s="56" t="n">
        <f aca="false">IF('Loan Tape'!$AN61=0,0,IF('Loan Tape'!$K61="Floating",MIN(IF('Loan Tape'!$P61="",10,'Loan Tape'!$P61),MAX(IF('Loan Tape'!$Q61="",0,'Loan Tape'!$Q61),INDEX(Idx_Curve,1,7)+'Loan Tape'!$M61)),IF('Loan Tape'!$L61="",0,'Loan Tape'!$L61)))</f>
        <v>0</v>
      </c>
      <c r="J368" s="56" t="n">
        <f aca="false">IF('Loan Tape'!$AN61=0,0,IF('Loan Tape'!$K61="Floating",MIN(IF('Loan Tape'!$P61="",10,'Loan Tape'!$P61),MAX(IF('Loan Tape'!$Q61="",0,'Loan Tape'!$Q61),INDEX(Idx_Curve,1,8)+'Loan Tape'!$M61)),IF('Loan Tape'!$L61="",0,'Loan Tape'!$L61)))</f>
        <v>0</v>
      </c>
      <c r="K368" s="56" t="n">
        <f aca="false">IF('Loan Tape'!$AN61=0,0,IF('Loan Tape'!$K61="Floating",MIN(IF('Loan Tape'!$P61="",10,'Loan Tape'!$P61),MAX(IF('Loan Tape'!$Q61="",0,'Loan Tape'!$Q61),INDEX(Idx_Curve,1,9)+'Loan Tape'!$M61)),IF('Loan Tape'!$L61="",0,'Loan Tape'!$L61)))</f>
        <v>0</v>
      </c>
      <c r="L368" s="56" t="n">
        <f aca="false">IF('Loan Tape'!$AN61=0,0,IF('Loan Tape'!$K61="Floating",MIN(IF('Loan Tape'!$P61="",10,'Loan Tape'!$P61),MAX(IF('Loan Tape'!$Q61="",0,'Loan Tape'!$Q61),INDEX(Idx_Curve,1,10)+'Loan Tape'!$M61)),IF('Loan Tape'!$L61="",0,'Loan Tape'!$L61)))</f>
        <v>0</v>
      </c>
    </row>
    <row r="369" customFormat="false" ht="15" hidden="false" customHeight="false" outlineLevel="0" collapsed="false">
      <c r="B369" s="102" t="n">
        <f aca="false">'Loan Tape'!$A62</f>
        <v>0</v>
      </c>
      <c r="C369" s="104" t="n">
        <f aca="false">IF('Loan Tape'!$AN62=0,0,IF('Loan Tape'!$K62="Floating",MIN(IF('Loan Tape'!$P62="",10,'Loan Tape'!$P62),MAX(IF('Loan Tape'!$Q62="",0,'Loan Tape'!$Q62),INDEX(Idx_Curve,1,1)+'Loan Tape'!$M62)),IF('Loan Tape'!$L62="",0,'Loan Tape'!$L62)))</f>
        <v>0</v>
      </c>
      <c r="D369" s="104" t="n">
        <f aca="false">IF('Loan Tape'!$AN62=0,0,IF('Loan Tape'!$K62="Floating",MIN(IF('Loan Tape'!$P62="",10,'Loan Tape'!$P62),MAX(IF('Loan Tape'!$Q62="",0,'Loan Tape'!$Q62),INDEX(Idx_Curve,1,2)+'Loan Tape'!$M62)),IF('Loan Tape'!$L62="",0,'Loan Tape'!$L62)))</f>
        <v>0</v>
      </c>
      <c r="E369" s="104" t="n">
        <f aca="false">IF('Loan Tape'!$AN62=0,0,IF('Loan Tape'!$K62="Floating",MIN(IF('Loan Tape'!$P62="",10,'Loan Tape'!$P62),MAX(IF('Loan Tape'!$Q62="",0,'Loan Tape'!$Q62),INDEX(Idx_Curve,1,3)+'Loan Tape'!$M62)),IF('Loan Tape'!$L62="",0,'Loan Tape'!$L62)))</f>
        <v>0</v>
      </c>
      <c r="F369" s="104" t="n">
        <f aca="false">IF('Loan Tape'!$AN62=0,0,IF('Loan Tape'!$K62="Floating",MIN(IF('Loan Tape'!$P62="",10,'Loan Tape'!$P62),MAX(IF('Loan Tape'!$Q62="",0,'Loan Tape'!$Q62),INDEX(Idx_Curve,1,4)+'Loan Tape'!$M62)),IF('Loan Tape'!$L62="",0,'Loan Tape'!$L62)))</f>
        <v>0</v>
      </c>
      <c r="G369" s="104" t="n">
        <f aca="false">IF('Loan Tape'!$AN62=0,0,IF('Loan Tape'!$K62="Floating",MIN(IF('Loan Tape'!$P62="",10,'Loan Tape'!$P62),MAX(IF('Loan Tape'!$Q62="",0,'Loan Tape'!$Q62),INDEX(Idx_Curve,1,5)+'Loan Tape'!$M62)),IF('Loan Tape'!$L62="",0,'Loan Tape'!$L62)))</f>
        <v>0</v>
      </c>
      <c r="H369" s="104" t="n">
        <f aca="false">IF('Loan Tape'!$AN62=0,0,IF('Loan Tape'!$K62="Floating",MIN(IF('Loan Tape'!$P62="",10,'Loan Tape'!$P62),MAX(IF('Loan Tape'!$Q62="",0,'Loan Tape'!$Q62),INDEX(Idx_Curve,1,6)+'Loan Tape'!$M62)),IF('Loan Tape'!$L62="",0,'Loan Tape'!$L62)))</f>
        <v>0</v>
      </c>
      <c r="I369" s="104" t="n">
        <f aca="false">IF('Loan Tape'!$AN62=0,0,IF('Loan Tape'!$K62="Floating",MIN(IF('Loan Tape'!$P62="",10,'Loan Tape'!$P62),MAX(IF('Loan Tape'!$Q62="",0,'Loan Tape'!$Q62),INDEX(Idx_Curve,1,7)+'Loan Tape'!$M62)),IF('Loan Tape'!$L62="",0,'Loan Tape'!$L62)))</f>
        <v>0</v>
      </c>
      <c r="J369" s="104" t="n">
        <f aca="false">IF('Loan Tape'!$AN62=0,0,IF('Loan Tape'!$K62="Floating",MIN(IF('Loan Tape'!$P62="",10,'Loan Tape'!$P62),MAX(IF('Loan Tape'!$Q62="",0,'Loan Tape'!$Q62),INDEX(Idx_Curve,1,8)+'Loan Tape'!$M62)),IF('Loan Tape'!$L62="",0,'Loan Tape'!$L62)))</f>
        <v>0</v>
      </c>
      <c r="K369" s="104" t="n">
        <f aca="false">IF('Loan Tape'!$AN62=0,0,IF('Loan Tape'!$K62="Floating",MIN(IF('Loan Tape'!$P62="",10,'Loan Tape'!$P62),MAX(IF('Loan Tape'!$Q62="",0,'Loan Tape'!$Q62),INDEX(Idx_Curve,1,9)+'Loan Tape'!$M62)),IF('Loan Tape'!$L62="",0,'Loan Tape'!$L62)))</f>
        <v>0</v>
      </c>
      <c r="L369" s="104" t="n">
        <f aca="false">IF('Loan Tape'!$AN62=0,0,IF('Loan Tape'!$K62="Floating",MIN(IF('Loan Tape'!$P62="",10,'Loan Tape'!$P62),MAX(IF('Loan Tape'!$Q62="",0,'Loan Tape'!$Q62),INDEX(Idx_Curve,1,10)+'Loan Tape'!$M62)),IF('Loan Tape'!$L62="",0,'Loan Tape'!$L62)))</f>
        <v>0</v>
      </c>
    </row>
    <row r="370" customFormat="false" ht="15" hidden="false" customHeight="false" outlineLevel="0" collapsed="false">
      <c r="B370" s="108" t="n">
        <f aca="false">'Loan Tape'!$A63</f>
        <v>0</v>
      </c>
      <c r="C370" s="56" t="n">
        <f aca="false">IF('Loan Tape'!$AN63=0,0,IF('Loan Tape'!$K63="Floating",MIN(IF('Loan Tape'!$P63="",10,'Loan Tape'!$P63),MAX(IF('Loan Tape'!$Q63="",0,'Loan Tape'!$Q63),INDEX(Idx_Curve,1,1)+'Loan Tape'!$M63)),IF('Loan Tape'!$L63="",0,'Loan Tape'!$L63)))</f>
        <v>0</v>
      </c>
      <c r="D370" s="56" t="n">
        <f aca="false">IF('Loan Tape'!$AN63=0,0,IF('Loan Tape'!$K63="Floating",MIN(IF('Loan Tape'!$P63="",10,'Loan Tape'!$P63),MAX(IF('Loan Tape'!$Q63="",0,'Loan Tape'!$Q63),INDEX(Idx_Curve,1,2)+'Loan Tape'!$M63)),IF('Loan Tape'!$L63="",0,'Loan Tape'!$L63)))</f>
        <v>0</v>
      </c>
      <c r="E370" s="56" t="n">
        <f aca="false">IF('Loan Tape'!$AN63=0,0,IF('Loan Tape'!$K63="Floating",MIN(IF('Loan Tape'!$P63="",10,'Loan Tape'!$P63),MAX(IF('Loan Tape'!$Q63="",0,'Loan Tape'!$Q63),INDEX(Idx_Curve,1,3)+'Loan Tape'!$M63)),IF('Loan Tape'!$L63="",0,'Loan Tape'!$L63)))</f>
        <v>0</v>
      </c>
      <c r="F370" s="56" t="n">
        <f aca="false">IF('Loan Tape'!$AN63=0,0,IF('Loan Tape'!$K63="Floating",MIN(IF('Loan Tape'!$P63="",10,'Loan Tape'!$P63),MAX(IF('Loan Tape'!$Q63="",0,'Loan Tape'!$Q63),INDEX(Idx_Curve,1,4)+'Loan Tape'!$M63)),IF('Loan Tape'!$L63="",0,'Loan Tape'!$L63)))</f>
        <v>0</v>
      </c>
      <c r="G370" s="56" t="n">
        <f aca="false">IF('Loan Tape'!$AN63=0,0,IF('Loan Tape'!$K63="Floating",MIN(IF('Loan Tape'!$P63="",10,'Loan Tape'!$P63),MAX(IF('Loan Tape'!$Q63="",0,'Loan Tape'!$Q63),INDEX(Idx_Curve,1,5)+'Loan Tape'!$M63)),IF('Loan Tape'!$L63="",0,'Loan Tape'!$L63)))</f>
        <v>0</v>
      </c>
      <c r="H370" s="56" t="n">
        <f aca="false">IF('Loan Tape'!$AN63=0,0,IF('Loan Tape'!$K63="Floating",MIN(IF('Loan Tape'!$P63="",10,'Loan Tape'!$P63),MAX(IF('Loan Tape'!$Q63="",0,'Loan Tape'!$Q63),INDEX(Idx_Curve,1,6)+'Loan Tape'!$M63)),IF('Loan Tape'!$L63="",0,'Loan Tape'!$L63)))</f>
        <v>0</v>
      </c>
      <c r="I370" s="56" t="n">
        <f aca="false">IF('Loan Tape'!$AN63=0,0,IF('Loan Tape'!$K63="Floating",MIN(IF('Loan Tape'!$P63="",10,'Loan Tape'!$P63),MAX(IF('Loan Tape'!$Q63="",0,'Loan Tape'!$Q63),INDEX(Idx_Curve,1,7)+'Loan Tape'!$M63)),IF('Loan Tape'!$L63="",0,'Loan Tape'!$L63)))</f>
        <v>0</v>
      </c>
      <c r="J370" s="56" t="n">
        <f aca="false">IF('Loan Tape'!$AN63=0,0,IF('Loan Tape'!$K63="Floating",MIN(IF('Loan Tape'!$P63="",10,'Loan Tape'!$P63),MAX(IF('Loan Tape'!$Q63="",0,'Loan Tape'!$Q63),INDEX(Idx_Curve,1,8)+'Loan Tape'!$M63)),IF('Loan Tape'!$L63="",0,'Loan Tape'!$L63)))</f>
        <v>0</v>
      </c>
      <c r="K370" s="56" t="n">
        <f aca="false">IF('Loan Tape'!$AN63=0,0,IF('Loan Tape'!$K63="Floating",MIN(IF('Loan Tape'!$P63="",10,'Loan Tape'!$P63),MAX(IF('Loan Tape'!$Q63="",0,'Loan Tape'!$Q63),INDEX(Idx_Curve,1,9)+'Loan Tape'!$M63)),IF('Loan Tape'!$L63="",0,'Loan Tape'!$L63)))</f>
        <v>0</v>
      </c>
      <c r="L370" s="56" t="n">
        <f aca="false">IF('Loan Tape'!$AN63=0,0,IF('Loan Tape'!$K63="Floating",MIN(IF('Loan Tape'!$P63="",10,'Loan Tape'!$P63),MAX(IF('Loan Tape'!$Q63="",0,'Loan Tape'!$Q63),INDEX(Idx_Curve,1,10)+'Loan Tape'!$M63)),IF('Loan Tape'!$L63="",0,'Loan Tape'!$L63)))</f>
        <v>0</v>
      </c>
    </row>
    <row r="371" customFormat="false" ht="15" hidden="false" customHeight="false" outlineLevel="0" collapsed="false">
      <c r="B371" s="102" t="n">
        <f aca="false">'Loan Tape'!$A64</f>
        <v>0</v>
      </c>
      <c r="C371" s="104" t="n">
        <f aca="false">IF('Loan Tape'!$AN64=0,0,IF('Loan Tape'!$K64="Floating",MIN(IF('Loan Tape'!$P64="",10,'Loan Tape'!$P64),MAX(IF('Loan Tape'!$Q64="",0,'Loan Tape'!$Q64),INDEX(Idx_Curve,1,1)+'Loan Tape'!$M64)),IF('Loan Tape'!$L64="",0,'Loan Tape'!$L64)))</f>
        <v>0</v>
      </c>
      <c r="D371" s="104" t="n">
        <f aca="false">IF('Loan Tape'!$AN64=0,0,IF('Loan Tape'!$K64="Floating",MIN(IF('Loan Tape'!$P64="",10,'Loan Tape'!$P64),MAX(IF('Loan Tape'!$Q64="",0,'Loan Tape'!$Q64),INDEX(Idx_Curve,1,2)+'Loan Tape'!$M64)),IF('Loan Tape'!$L64="",0,'Loan Tape'!$L64)))</f>
        <v>0</v>
      </c>
      <c r="E371" s="104" t="n">
        <f aca="false">IF('Loan Tape'!$AN64=0,0,IF('Loan Tape'!$K64="Floating",MIN(IF('Loan Tape'!$P64="",10,'Loan Tape'!$P64),MAX(IF('Loan Tape'!$Q64="",0,'Loan Tape'!$Q64),INDEX(Idx_Curve,1,3)+'Loan Tape'!$M64)),IF('Loan Tape'!$L64="",0,'Loan Tape'!$L64)))</f>
        <v>0</v>
      </c>
      <c r="F371" s="104" t="n">
        <f aca="false">IF('Loan Tape'!$AN64=0,0,IF('Loan Tape'!$K64="Floating",MIN(IF('Loan Tape'!$P64="",10,'Loan Tape'!$P64),MAX(IF('Loan Tape'!$Q64="",0,'Loan Tape'!$Q64),INDEX(Idx_Curve,1,4)+'Loan Tape'!$M64)),IF('Loan Tape'!$L64="",0,'Loan Tape'!$L64)))</f>
        <v>0</v>
      </c>
      <c r="G371" s="104" t="n">
        <f aca="false">IF('Loan Tape'!$AN64=0,0,IF('Loan Tape'!$K64="Floating",MIN(IF('Loan Tape'!$P64="",10,'Loan Tape'!$P64),MAX(IF('Loan Tape'!$Q64="",0,'Loan Tape'!$Q64),INDEX(Idx_Curve,1,5)+'Loan Tape'!$M64)),IF('Loan Tape'!$L64="",0,'Loan Tape'!$L64)))</f>
        <v>0</v>
      </c>
      <c r="H371" s="104" t="n">
        <f aca="false">IF('Loan Tape'!$AN64=0,0,IF('Loan Tape'!$K64="Floating",MIN(IF('Loan Tape'!$P64="",10,'Loan Tape'!$P64),MAX(IF('Loan Tape'!$Q64="",0,'Loan Tape'!$Q64),INDEX(Idx_Curve,1,6)+'Loan Tape'!$M64)),IF('Loan Tape'!$L64="",0,'Loan Tape'!$L64)))</f>
        <v>0</v>
      </c>
      <c r="I371" s="104" t="n">
        <f aca="false">IF('Loan Tape'!$AN64=0,0,IF('Loan Tape'!$K64="Floating",MIN(IF('Loan Tape'!$P64="",10,'Loan Tape'!$P64),MAX(IF('Loan Tape'!$Q64="",0,'Loan Tape'!$Q64),INDEX(Idx_Curve,1,7)+'Loan Tape'!$M64)),IF('Loan Tape'!$L64="",0,'Loan Tape'!$L64)))</f>
        <v>0</v>
      </c>
      <c r="J371" s="104" t="n">
        <f aca="false">IF('Loan Tape'!$AN64=0,0,IF('Loan Tape'!$K64="Floating",MIN(IF('Loan Tape'!$P64="",10,'Loan Tape'!$P64),MAX(IF('Loan Tape'!$Q64="",0,'Loan Tape'!$Q64),INDEX(Idx_Curve,1,8)+'Loan Tape'!$M64)),IF('Loan Tape'!$L64="",0,'Loan Tape'!$L64)))</f>
        <v>0</v>
      </c>
      <c r="K371" s="104" t="n">
        <f aca="false">IF('Loan Tape'!$AN64=0,0,IF('Loan Tape'!$K64="Floating",MIN(IF('Loan Tape'!$P64="",10,'Loan Tape'!$P64),MAX(IF('Loan Tape'!$Q64="",0,'Loan Tape'!$Q64),INDEX(Idx_Curve,1,9)+'Loan Tape'!$M64)),IF('Loan Tape'!$L64="",0,'Loan Tape'!$L64)))</f>
        <v>0</v>
      </c>
      <c r="L371" s="104" t="n">
        <f aca="false">IF('Loan Tape'!$AN64=0,0,IF('Loan Tape'!$K64="Floating",MIN(IF('Loan Tape'!$P64="",10,'Loan Tape'!$P64),MAX(IF('Loan Tape'!$Q64="",0,'Loan Tape'!$Q64),INDEX(Idx_Curve,1,10)+'Loan Tape'!$M64)),IF('Loan Tape'!$L64="",0,'Loan Tape'!$L64)))</f>
        <v>0</v>
      </c>
    </row>
    <row r="372" customFormat="false" ht="15" hidden="false" customHeight="false" outlineLevel="0" collapsed="false">
      <c r="B372" s="108" t="n">
        <f aca="false">'Loan Tape'!$A65</f>
        <v>0</v>
      </c>
      <c r="C372" s="56" t="n">
        <f aca="false">IF('Loan Tape'!$AN65=0,0,IF('Loan Tape'!$K65="Floating",MIN(IF('Loan Tape'!$P65="",10,'Loan Tape'!$P65),MAX(IF('Loan Tape'!$Q65="",0,'Loan Tape'!$Q65),INDEX(Idx_Curve,1,1)+'Loan Tape'!$M65)),IF('Loan Tape'!$L65="",0,'Loan Tape'!$L65)))</f>
        <v>0</v>
      </c>
      <c r="D372" s="56" t="n">
        <f aca="false">IF('Loan Tape'!$AN65=0,0,IF('Loan Tape'!$K65="Floating",MIN(IF('Loan Tape'!$P65="",10,'Loan Tape'!$P65),MAX(IF('Loan Tape'!$Q65="",0,'Loan Tape'!$Q65),INDEX(Idx_Curve,1,2)+'Loan Tape'!$M65)),IF('Loan Tape'!$L65="",0,'Loan Tape'!$L65)))</f>
        <v>0</v>
      </c>
      <c r="E372" s="56" t="n">
        <f aca="false">IF('Loan Tape'!$AN65=0,0,IF('Loan Tape'!$K65="Floating",MIN(IF('Loan Tape'!$P65="",10,'Loan Tape'!$P65),MAX(IF('Loan Tape'!$Q65="",0,'Loan Tape'!$Q65),INDEX(Idx_Curve,1,3)+'Loan Tape'!$M65)),IF('Loan Tape'!$L65="",0,'Loan Tape'!$L65)))</f>
        <v>0</v>
      </c>
      <c r="F372" s="56" t="n">
        <f aca="false">IF('Loan Tape'!$AN65=0,0,IF('Loan Tape'!$K65="Floating",MIN(IF('Loan Tape'!$P65="",10,'Loan Tape'!$P65),MAX(IF('Loan Tape'!$Q65="",0,'Loan Tape'!$Q65),INDEX(Idx_Curve,1,4)+'Loan Tape'!$M65)),IF('Loan Tape'!$L65="",0,'Loan Tape'!$L65)))</f>
        <v>0</v>
      </c>
      <c r="G372" s="56" t="n">
        <f aca="false">IF('Loan Tape'!$AN65=0,0,IF('Loan Tape'!$K65="Floating",MIN(IF('Loan Tape'!$P65="",10,'Loan Tape'!$P65),MAX(IF('Loan Tape'!$Q65="",0,'Loan Tape'!$Q65),INDEX(Idx_Curve,1,5)+'Loan Tape'!$M65)),IF('Loan Tape'!$L65="",0,'Loan Tape'!$L65)))</f>
        <v>0</v>
      </c>
      <c r="H372" s="56" t="n">
        <f aca="false">IF('Loan Tape'!$AN65=0,0,IF('Loan Tape'!$K65="Floating",MIN(IF('Loan Tape'!$P65="",10,'Loan Tape'!$P65),MAX(IF('Loan Tape'!$Q65="",0,'Loan Tape'!$Q65),INDEX(Idx_Curve,1,6)+'Loan Tape'!$M65)),IF('Loan Tape'!$L65="",0,'Loan Tape'!$L65)))</f>
        <v>0</v>
      </c>
      <c r="I372" s="56" t="n">
        <f aca="false">IF('Loan Tape'!$AN65=0,0,IF('Loan Tape'!$K65="Floating",MIN(IF('Loan Tape'!$P65="",10,'Loan Tape'!$P65),MAX(IF('Loan Tape'!$Q65="",0,'Loan Tape'!$Q65),INDEX(Idx_Curve,1,7)+'Loan Tape'!$M65)),IF('Loan Tape'!$L65="",0,'Loan Tape'!$L65)))</f>
        <v>0</v>
      </c>
      <c r="J372" s="56" t="n">
        <f aca="false">IF('Loan Tape'!$AN65=0,0,IF('Loan Tape'!$K65="Floating",MIN(IF('Loan Tape'!$P65="",10,'Loan Tape'!$P65),MAX(IF('Loan Tape'!$Q65="",0,'Loan Tape'!$Q65),INDEX(Idx_Curve,1,8)+'Loan Tape'!$M65)),IF('Loan Tape'!$L65="",0,'Loan Tape'!$L65)))</f>
        <v>0</v>
      </c>
      <c r="K372" s="56" t="n">
        <f aca="false">IF('Loan Tape'!$AN65=0,0,IF('Loan Tape'!$K65="Floating",MIN(IF('Loan Tape'!$P65="",10,'Loan Tape'!$P65),MAX(IF('Loan Tape'!$Q65="",0,'Loan Tape'!$Q65),INDEX(Idx_Curve,1,9)+'Loan Tape'!$M65)),IF('Loan Tape'!$L65="",0,'Loan Tape'!$L65)))</f>
        <v>0</v>
      </c>
      <c r="L372" s="56" t="n">
        <f aca="false">IF('Loan Tape'!$AN65=0,0,IF('Loan Tape'!$K65="Floating",MIN(IF('Loan Tape'!$P65="",10,'Loan Tape'!$P65),MAX(IF('Loan Tape'!$Q65="",0,'Loan Tape'!$Q65),INDEX(Idx_Curve,1,10)+'Loan Tape'!$M65)),IF('Loan Tape'!$L65="",0,'Loan Tape'!$L65)))</f>
        <v>0</v>
      </c>
    </row>
    <row r="373" customFormat="false" ht="15" hidden="false" customHeight="false" outlineLevel="0" collapsed="false">
      <c r="B373" s="102" t="n">
        <f aca="false">'Loan Tape'!$A66</f>
        <v>0</v>
      </c>
      <c r="C373" s="104" t="n">
        <f aca="false">IF('Loan Tape'!$AN66=0,0,IF('Loan Tape'!$K66="Floating",MIN(IF('Loan Tape'!$P66="",10,'Loan Tape'!$P66),MAX(IF('Loan Tape'!$Q66="",0,'Loan Tape'!$Q66),INDEX(Idx_Curve,1,1)+'Loan Tape'!$M66)),IF('Loan Tape'!$L66="",0,'Loan Tape'!$L66)))</f>
        <v>0</v>
      </c>
      <c r="D373" s="104" t="n">
        <f aca="false">IF('Loan Tape'!$AN66=0,0,IF('Loan Tape'!$K66="Floating",MIN(IF('Loan Tape'!$P66="",10,'Loan Tape'!$P66),MAX(IF('Loan Tape'!$Q66="",0,'Loan Tape'!$Q66),INDEX(Idx_Curve,1,2)+'Loan Tape'!$M66)),IF('Loan Tape'!$L66="",0,'Loan Tape'!$L66)))</f>
        <v>0</v>
      </c>
      <c r="E373" s="104" t="n">
        <f aca="false">IF('Loan Tape'!$AN66=0,0,IF('Loan Tape'!$K66="Floating",MIN(IF('Loan Tape'!$P66="",10,'Loan Tape'!$P66),MAX(IF('Loan Tape'!$Q66="",0,'Loan Tape'!$Q66),INDEX(Idx_Curve,1,3)+'Loan Tape'!$M66)),IF('Loan Tape'!$L66="",0,'Loan Tape'!$L66)))</f>
        <v>0</v>
      </c>
      <c r="F373" s="104" t="n">
        <f aca="false">IF('Loan Tape'!$AN66=0,0,IF('Loan Tape'!$K66="Floating",MIN(IF('Loan Tape'!$P66="",10,'Loan Tape'!$P66),MAX(IF('Loan Tape'!$Q66="",0,'Loan Tape'!$Q66),INDEX(Idx_Curve,1,4)+'Loan Tape'!$M66)),IF('Loan Tape'!$L66="",0,'Loan Tape'!$L66)))</f>
        <v>0</v>
      </c>
      <c r="G373" s="104" t="n">
        <f aca="false">IF('Loan Tape'!$AN66=0,0,IF('Loan Tape'!$K66="Floating",MIN(IF('Loan Tape'!$P66="",10,'Loan Tape'!$P66),MAX(IF('Loan Tape'!$Q66="",0,'Loan Tape'!$Q66),INDEX(Idx_Curve,1,5)+'Loan Tape'!$M66)),IF('Loan Tape'!$L66="",0,'Loan Tape'!$L66)))</f>
        <v>0</v>
      </c>
      <c r="H373" s="104" t="n">
        <f aca="false">IF('Loan Tape'!$AN66=0,0,IF('Loan Tape'!$K66="Floating",MIN(IF('Loan Tape'!$P66="",10,'Loan Tape'!$P66),MAX(IF('Loan Tape'!$Q66="",0,'Loan Tape'!$Q66),INDEX(Idx_Curve,1,6)+'Loan Tape'!$M66)),IF('Loan Tape'!$L66="",0,'Loan Tape'!$L66)))</f>
        <v>0</v>
      </c>
      <c r="I373" s="104" t="n">
        <f aca="false">IF('Loan Tape'!$AN66=0,0,IF('Loan Tape'!$K66="Floating",MIN(IF('Loan Tape'!$P66="",10,'Loan Tape'!$P66),MAX(IF('Loan Tape'!$Q66="",0,'Loan Tape'!$Q66),INDEX(Idx_Curve,1,7)+'Loan Tape'!$M66)),IF('Loan Tape'!$L66="",0,'Loan Tape'!$L66)))</f>
        <v>0</v>
      </c>
      <c r="J373" s="104" t="n">
        <f aca="false">IF('Loan Tape'!$AN66=0,0,IF('Loan Tape'!$K66="Floating",MIN(IF('Loan Tape'!$P66="",10,'Loan Tape'!$P66),MAX(IF('Loan Tape'!$Q66="",0,'Loan Tape'!$Q66),INDEX(Idx_Curve,1,8)+'Loan Tape'!$M66)),IF('Loan Tape'!$L66="",0,'Loan Tape'!$L66)))</f>
        <v>0</v>
      </c>
      <c r="K373" s="104" t="n">
        <f aca="false">IF('Loan Tape'!$AN66=0,0,IF('Loan Tape'!$K66="Floating",MIN(IF('Loan Tape'!$P66="",10,'Loan Tape'!$P66),MAX(IF('Loan Tape'!$Q66="",0,'Loan Tape'!$Q66),INDEX(Idx_Curve,1,9)+'Loan Tape'!$M66)),IF('Loan Tape'!$L66="",0,'Loan Tape'!$L66)))</f>
        <v>0</v>
      </c>
      <c r="L373" s="104" t="n">
        <f aca="false">IF('Loan Tape'!$AN66=0,0,IF('Loan Tape'!$K66="Floating",MIN(IF('Loan Tape'!$P66="",10,'Loan Tape'!$P66),MAX(IF('Loan Tape'!$Q66="",0,'Loan Tape'!$Q66),INDEX(Idx_Curve,1,10)+'Loan Tape'!$M66)),IF('Loan Tape'!$L66="",0,'Loan Tape'!$L66)))</f>
        <v>0</v>
      </c>
    </row>
    <row r="374" customFormat="false" ht="15" hidden="false" customHeight="false" outlineLevel="0" collapsed="false">
      <c r="B374" s="108" t="n">
        <f aca="false">'Loan Tape'!$A67</f>
        <v>0</v>
      </c>
      <c r="C374" s="56" t="n">
        <f aca="false">IF('Loan Tape'!$AN67=0,0,IF('Loan Tape'!$K67="Floating",MIN(IF('Loan Tape'!$P67="",10,'Loan Tape'!$P67),MAX(IF('Loan Tape'!$Q67="",0,'Loan Tape'!$Q67),INDEX(Idx_Curve,1,1)+'Loan Tape'!$M67)),IF('Loan Tape'!$L67="",0,'Loan Tape'!$L67)))</f>
        <v>0</v>
      </c>
      <c r="D374" s="56" t="n">
        <f aca="false">IF('Loan Tape'!$AN67=0,0,IF('Loan Tape'!$K67="Floating",MIN(IF('Loan Tape'!$P67="",10,'Loan Tape'!$P67),MAX(IF('Loan Tape'!$Q67="",0,'Loan Tape'!$Q67),INDEX(Idx_Curve,1,2)+'Loan Tape'!$M67)),IF('Loan Tape'!$L67="",0,'Loan Tape'!$L67)))</f>
        <v>0</v>
      </c>
      <c r="E374" s="56" t="n">
        <f aca="false">IF('Loan Tape'!$AN67=0,0,IF('Loan Tape'!$K67="Floating",MIN(IF('Loan Tape'!$P67="",10,'Loan Tape'!$P67),MAX(IF('Loan Tape'!$Q67="",0,'Loan Tape'!$Q67),INDEX(Idx_Curve,1,3)+'Loan Tape'!$M67)),IF('Loan Tape'!$L67="",0,'Loan Tape'!$L67)))</f>
        <v>0</v>
      </c>
      <c r="F374" s="56" t="n">
        <f aca="false">IF('Loan Tape'!$AN67=0,0,IF('Loan Tape'!$K67="Floating",MIN(IF('Loan Tape'!$P67="",10,'Loan Tape'!$P67),MAX(IF('Loan Tape'!$Q67="",0,'Loan Tape'!$Q67),INDEX(Idx_Curve,1,4)+'Loan Tape'!$M67)),IF('Loan Tape'!$L67="",0,'Loan Tape'!$L67)))</f>
        <v>0</v>
      </c>
      <c r="G374" s="56" t="n">
        <f aca="false">IF('Loan Tape'!$AN67=0,0,IF('Loan Tape'!$K67="Floating",MIN(IF('Loan Tape'!$P67="",10,'Loan Tape'!$P67),MAX(IF('Loan Tape'!$Q67="",0,'Loan Tape'!$Q67),INDEX(Idx_Curve,1,5)+'Loan Tape'!$M67)),IF('Loan Tape'!$L67="",0,'Loan Tape'!$L67)))</f>
        <v>0</v>
      </c>
      <c r="H374" s="56" t="n">
        <f aca="false">IF('Loan Tape'!$AN67=0,0,IF('Loan Tape'!$K67="Floating",MIN(IF('Loan Tape'!$P67="",10,'Loan Tape'!$P67),MAX(IF('Loan Tape'!$Q67="",0,'Loan Tape'!$Q67),INDEX(Idx_Curve,1,6)+'Loan Tape'!$M67)),IF('Loan Tape'!$L67="",0,'Loan Tape'!$L67)))</f>
        <v>0</v>
      </c>
      <c r="I374" s="56" t="n">
        <f aca="false">IF('Loan Tape'!$AN67=0,0,IF('Loan Tape'!$K67="Floating",MIN(IF('Loan Tape'!$P67="",10,'Loan Tape'!$P67),MAX(IF('Loan Tape'!$Q67="",0,'Loan Tape'!$Q67),INDEX(Idx_Curve,1,7)+'Loan Tape'!$M67)),IF('Loan Tape'!$L67="",0,'Loan Tape'!$L67)))</f>
        <v>0</v>
      </c>
      <c r="J374" s="56" t="n">
        <f aca="false">IF('Loan Tape'!$AN67=0,0,IF('Loan Tape'!$K67="Floating",MIN(IF('Loan Tape'!$P67="",10,'Loan Tape'!$P67),MAX(IF('Loan Tape'!$Q67="",0,'Loan Tape'!$Q67),INDEX(Idx_Curve,1,8)+'Loan Tape'!$M67)),IF('Loan Tape'!$L67="",0,'Loan Tape'!$L67)))</f>
        <v>0</v>
      </c>
      <c r="K374" s="56" t="n">
        <f aca="false">IF('Loan Tape'!$AN67=0,0,IF('Loan Tape'!$K67="Floating",MIN(IF('Loan Tape'!$P67="",10,'Loan Tape'!$P67),MAX(IF('Loan Tape'!$Q67="",0,'Loan Tape'!$Q67),INDEX(Idx_Curve,1,9)+'Loan Tape'!$M67)),IF('Loan Tape'!$L67="",0,'Loan Tape'!$L67)))</f>
        <v>0</v>
      </c>
      <c r="L374" s="56" t="n">
        <f aca="false">IF('Loan Tape'!$AN67=0,0,IF('Loan Tape'!$K67="Floating",MIN(IF('Loan Tape'!$P67="",10,'Loan Tape'!$P67),MAX(IF('Loan Tape'!$Q67="",0,'Loan Tape'!$Q67),INDEX(Idx_Curve,1,10)+'Loan Tape'!$M67)),IF('Loan Tape'!$L67="",0,'Loan Tape'!$L67)))</f>
        <v>0</v>
      </c>
    </row>
    <row r="375" customFormat="false" ht="15" hidden="false" customHeight="false" outlineLevel="0" collapsed="false">
      <c r="B375" s="102" t="n">
        <f aca="false">'Loan Tape'!$A68</f>
        <v>0</v>
      </c>
      <c r="C375" s="104" t="n">
        <f aca="false">IF('Loan Tape'!$AN68=0,0,IF('Loan Tape'!$K68="Floating",MIN(IF('Loan Tape'!$P68="",10,'Loan Tape'!$P68),MAX(IF('Loan Tape'!$Q68="",0,'Loan Tape'!$Q68),INDEX(Idx_Curve,1,1)+'Loan Tape'!$M68)),IF('Loan Tape'!$L68="",0,'Loan Tape'!$L68)))</f>
        <v>0</v>
      </c>
      <c r="D375" s="104" t="n">
        <f aca="false">IF('Loan Tape'!$AN68=0,0,IF('Loan Tape'!$K68="Floating",MIN(IF('Loan Tape'!$P68="",10,'Loan Tape'!$P68),MAX(IF('Loan Tape'!$Q68="",0,'Loan Tape'!$Q68),INDEX(Idx_Curve,1,2)+'Loan Tape'!$M68)),IF('Loan Tape'!$L68="",0,'Loan Tape'!$L68)))</f>
        <v>0</v>
      </c>
      <c r="E375" s="104" t="n">
        <f aca="false">IF('Loan Tape'!$AN68=0,0,IF('Loan Tape'!$K68="Floating",MIN(IF('Loan Tape'!$P68="",10,'Loan Tape'!$P68),MAX(IF('Loan Tape'!$Q68="",0,'Loan Tape'!$Q68),INDEX(Idx_Curve,1,3)+'Loan Tape'!$M68)),IF('Loan Tape'!$L68="",0,'Loan Tape'!$L68)))</f>
        <v>0</v>
      </c>
      <c r="F375" s="104" t="n">
        <f aca="false">IF('Loan Tape'!$AN68=0,0,IF('Loan Tape'!$K68="Floating",MIN(IF('Loan Tape'!$P68="",10,'Loan Tape'!$P68),MAX(IF('Loan Tape'!$Q68="",0,'Loan Tape'!$Q68),INDEX(Idx_Curve,1,4)+'Loan Tape'!$M68)),IF('Loan Tape'!$L68="",0,'Loan Tape'!$L68)))</f>
        <v>0</v>
      </c>
      <c r="G375" s="104" t="n">
        <f aca="false">IF('Loan Tape'!$AN68=0,0,IF('Loan Tape'!$K68="Floating",MIN(IF('Loan Tape'!$P68="",10,'Loan Tape'!$P68),MAX(IF('Loan Tape'!$Q68="",0,'Loan Tape'!$Q68),INDEX(Idx_Curve,1,5)+'Loan Tape'!$M68)),IF('Loan Tape'!$L68="",0,'Loan Tape'!$L68)))</f>
        <v>0</v>
      </c>
      <c r="H375" s="104" t="n">
        <f aca="false">IF('Loan Tape'!$AN68=0,0,IF('Loan Tape'!$K68="Floating",MIN(IF('Loan Tape'!$P68="",10,'Loan Tape'!$P68),MAX(IF('Loan Tape'!$Q68="",0,'Loan Tape'!$Q68),INDEX(Idx_Curve,1,6)+'Loan Tape'!$M68)),IF('Loan Tape'!$L68="",0,'Loan Tape'!$L68)))</f>
        <v>0</v>
      </c>
      <c r="I375" s="104" t="n">
        <f aca="false">IF('Loan Tape'!$AN68=0,0,IF('Loan Tape'!$K68="Floating",MIN(IF('Loan Tape'!$P68="",10,'Loan Tape'!$P68),MAX(IF('Loan Tape'!$Q68="",0,'Loan Tape'!$Q68),INDEX(Idx_Curve,1,7)+'Loan Tape'!$M68)),IF('Loan Tape'!$L68="",0,'Loan Tape'!$L68)))</f>
        <v>0</v>
      </c>
      <c r="J375" s="104" t="n">
        <f aca="false">IF('Loan Tape'!$AN68=0,0,IF('Loan Tape'!$K68="Floating",MIN(IF('Loan Tape'!$P68="",10,'Loan Tape'!$P68),MAX(IF('Loan Tape'!$Q68="",0,'Loan Tape'!$Q68),INDEX(Idx_Curve,1,8)+'Loan Tape'!$M68)),IF('Loan Tape'!$L68="",0,'Loan Tape'!$L68)))</f>
        <v>0</v>
      </c>
      <c r="K375" s="104" t="n">
        <f aca="false">IF('Loan Tape'!$AN68=0,0,IF('Loan Tape'!$K68="Floating",MIN(IF('Loan Tape'!$P68="",10,'Loan Tape'!$P68),MAX(IF('Loan Tape'!$Q68="",0,'Loan Tape'!$Q68),INDEX(Idx_Curve,1,9)+'Loan Tape'!$M68)),IF('Loan Tape'!$L68="",0,'Loan Tape'!$L68)))</f>
        <v>0</v>
      </c>
      <c r="L375" s="104" t="n">
        <f aca="false">IF('Loan Tape'!$AN68=0,0,IF('Loan Tape'!$K68="Floating",MIN(IF('Loan Tape'!$P68="",10,'Loan Tape'!$P68),MAX(IF('Loan Tape'!$Q68="",0,'Loan Tape'!$Q68),INDEX(Idx_Curve,1,10)+'Loan Tape'!$M68)),IF('Loan Tape'!$L68="",0,'Loan Tape'!$L68)))</f>
        <v>0</v>
      </c>
    </row>
    <row r="376" customFormat="false" ht="15" hidden="false" customHeight="false" outlineLevel="0" collapsed="false">
      <c r="B376" s="108" t="n">
        <f aca="false">'Loan Tape'!$A69</f>
        <v>0</v>
      </c>
      <c r="C376" s="56" t="n">
        <f aca="false">IF('Loan Tape'!$AN69=0,0,IF('Loan Tape'!$K69="Floating",MIN(IF('Loan Tape'!$P69="",10,'Loan Tape'!$P69),MAX(IF('Loan Tape'!$Q69="",0,'Loan Tape'!$Q69),INDEX(Idx_Curve,1,1)+'Loan Tape'!$M69)),IF('Loan Tape'!$L69="",0,'Loan Tape'!$L69)))</f>
        <v>0</v>
      </c>
      <c r="D376" s="56" t="n">
        <f aca="false">IF('Loan Tape'!$AN69=0,0,IF('Loan Tape'!$K69="Floating",MIN(IF('Loan Tape'!$P69="",10,'Loan Tape'!$P69),MAX(IF('Loan Tape'!$Q69="",0,'Loan Tape'!$Q69),INDEX(Idx_Curve,1,2)+'Loan Tape'!$M69)),IF('Loan Tape'!$L69="",0,'Loan Tape'!$L69)))</f>
        <v>0</v>
      </c>
      <c r="E376" s="56" t="n">
        <f aca="false">IF('Loan Tape'!$AN69=0,0,IF('Loan Tape'!$K69="Floating",MIN(IF('Loan Tape'!$P69="",10,'Loan Tape'!$P69),MAX(IF('Loan Tape'!$Q69="",0,'Loan Tape'!$Q69),INDEX(Idx_Curve,1,3)+'Loan Tape'!$M69)),IF('Loan Tape'!$L69="",0,'Loan Tape'!$L69)))</f>
        <v>0</v>
      </c>
      <c r="F376" s="56" t="n">
        <f aca="false">IF('Loan Tape'!$AN69=0,0,IF('Loan Tape'!$K69="Floating",MIN(IF('Loan Tape'!$P69="",10,'Loan Tape'!$P69),MAX(IF('Loan Tape'!$Q69="",0,'Loan Tape'!$Q69),INDEX(Idx_Curve,1,4)+'Loan Tape'!$M69)),IF('Loan Tape'!$L69="",0,'Loan Tape'!$L69)))</f>
        <v>0</v>
      </c>
      <c r="G376" s="56" t="n">
        <f aca="false">IF('Loan Tape'!$AN69=0,0,IF('Loan Tape'!$K69="Floating",MIN(IF('Loan Tape'!$P69="",10,'Loan Tape'!$P69),MAX(IF('Loan Tape'!$Q69="",0,'Loan Tape'!$Q69),INDEX(Idx_Curve,1,5)+'Loan Tape'!$M69)),IF('Loan Tape'!$L69="",0,'Loan Tape'!$L69)))</f>
        <v>0</v>
      </c>
      <c r="H376" s="56" t="n">
        <f aca="false">IF('Loan Tape'!$AN69=0,0,IF('Loan Tape'!$K69="Floating",MIN(IF('Loan Tape'!$P69="",10,'Loan Tape'!$P69),MAX(IF('Loan Tape'!$Q69="",0,'Loan Tape'!$Q69),INDEX(Idx_Curve,1,6)+'Loan Tape'!$M69)),IF('Loan Tape'!$L69="",0,'Loan Tape'!$L69)))</f>
        <v>0</v>
      </c>
      <c r="I376" s="56" t="n">
        <f aca="false">IF('Loan Tape'!$AN69=0,0,IF('Loan Tape'!$K69="Floating",MIN(IF('Loan Tape'!$P69="",10,'Loan Tape'!$P69),MAX(IF('Loan Tape'!$Q69="",0,'Loan Tape'!$Q69),INDEX(Idx_Curve,1,7)+'Loan Tape'!$M69)),IF('Loan Tape'!$L69="",0,'Loan Tape'!$L69)))</f>
        <v>0</v>
      </c>
      <c r="J376" s="56" t="n">
        <f aca="false">IF('Loan Tape'!$AN69=0,0,IF('Loan Tape'!$K69="Floating",MIN(IF('Loan Tape'!$P69="",10,'Loan Tape'!$P69),MAX(IF('Loan Tape'!$Q69="",0,'Loan Tape'!$Q69),INDEX(Idx_Curve,1,8)+'Loan Tape'!$M69)),IF('Loan Tape'!$L69="",0,'Loan Tape'!$L69)))</f>
        <v>0</v>
      </c>
      <c r="K376" s="56" t="n">
        <f aca="false">IF('Loan Tape'!$AN69=0,0,IF('Loan Tape'!$K69="Floating",MIN(IF('Loan Tape'!$P69="",10,'Loan Tape'!$P69),MAX(IF('Loan Tape'!$Q69="",0,'Loan Tape'!$Q69),INDEX(Idx_Curve,1,9)+'Loan Tape'!$M69)),IF('Loan Tape'!$L69="",0,'Loan Tape'!$L69)))</f>
        <v>0</v>
      </c>
      <c r="L376" s="56" t="n">
        <f aca="false">IF('Loan Tape'!$AN69=0,0,IF('Loan Tape'!$K69="Floating",MIN(IF('Loan Tape'!$P69="",10,'Loan Tape'!$P69),MAX(IF('Loan Tape'!$Q69="",0,'Loan Tape'!$Q69),INDEX(Idx_Curve,1,10)+'Loan Tape'!$M69)),IF('Loan Tape'!$L69="",0,'Loan Tape'!$L69)))</f>
        <v>0</v>
      </c>
    </row>
    <row r="377" customFormat="false" ht="15" hidden="false" customHeight="false" outlineLevel="0" collapsed="false">
      <c r="B377" s="102" t="n">
        <f aca="false">'Loan Tape'!$A70</f>
        <v>0</v>
      </c>
      <c r="C377" s="104" t="n">
        <f aca="false">IF('Loan Tape'!$AN70=0,0,IF('Loan Tape'!$K70="Floating",MIN(IF('Loan Tape'!$P70="",10,'Loan Tape'!$P70),MAX(IF('Loan Tape'!$Q70="",0,'Loan Tape'!$Q70),INDEX(Idx_Curve,1,1)+'Loan Tape'!$M70)),IF('Loan Tape'!$L70="",0,'Loan Tape'!$L70)))</f>
        <v>0</v>
      </c>
      <c r="D377" s="104" t="n">
        <f aca="false">IF('Loan Tape'!$AN70=0,0,IF('Loan Tape'!$K70="Floating",MIN(IF('Loan Tape'!$P70="",10,'Loan Tape'!$P70),MAX(IF('Loan Tape'!$Q70="",0,'Loan Tape'!$Q70),INDEX(Idx_Curve,1,2)+'Loan Tape'!$M70)),IF('Loan Tape'!$L70="",0,'Loan Tape'!$L70)))</f>
        <v>0</v>
      </c>
      <c r="E377" s="104" t="n">
        <f aca="false">IF('Loan Tape'!$AN70=0,0,IF('Loan Tape'!$K70="Floating",MIN(IF('Loan Tape'!$P70="",10,'Loan Tape'!$P70),MAX(IF('Loan Tape'!$Q70="",0,'Loan Tape'!$Q70),INDEX(Idx_Curve,1,3)+'Loan Tape'!$M70)),IF('Loan Tape'!$L70="",0,'Loan Tape'!$L70)))</f>
        <v>0</v>
      </c>
      <c r="F377" s="104" t="n">
        <f aca="false">IF('Loan Tape'!$AN70=0,0,IF('Loan Tape'!$K70="Floating",MIN(IF('Loan Tape'!$P70="",10,'Loan Tape'!$P70),MAX(IF('Loan Tape'!$Q70="",0,'Loan Tape'!$Q70),INDEX(Idx_Curve,1,4)+'Loan Tape'!$M70)),IF('Loan Tape'!$L70="",0,'Loan Tape'!$L70)))</f>
        <v>0</v>
      </c>
      <c r="G377" s="104" t="n">
        <f aca="false">IF('Loan Tape'!$AN70=0,0,IF('Loan Tape'!$K70="Floating",MIN(IF('Loan Tape'!$P70="",10,'Loan Tape'!$P70),MAX(IF('Loan Tape'!$Q70="",0,'Loan Tape'!$Q70),INDEX(Idx_Curve,1,5)+'Loan Tape'!$M70)),IF('Loan Tape'!$L70="",0,'Loan Tape'!$L70)))</f>
        <v>0</v>
      </c>
      <c r="H377" s="104" t="n">
        <f aca="false">IF('Loan Tape'!$AN70=0,0,IF('Loan Tape'!$K70="Floating",MIN(IF('Loan Tape'!$P70="",10,'Loan Tape'!$P70),MAX(IF('Loan Tape'!$Q70="",0,'Loan Tape'!$Q70),INDEX(Idx_Curve,1,6)+'Loan Tape'!$M70)),IF('Loan Tape'!$L70="",0,'Loan Tape'!$L70)))</f>
        <v>0</v>
      </c>
      <c r="I377" s="104" t="n">
        <f aca="false">IF('Loan Tape'!$AN70=0,0,IF('Loan Tape'!$K70="Floating",MIN(IF('Loan Tape'!$P70="",10,'Loan Tape'!$P70),MAX(IF('Loan Tape'!$Q70="",0,'Loan Tape'!$Q70),INDEX(Idx_Curve,1,7)+'Loan Tape'!$M70)),IF('Loan Tape'!$L70="",0,'Loan Tape'!$L70)))</f>
        <v>0</v>
      </c>
      <c r="J377" s="104" t="n">
        <f aca="false">IF('Loan Tape'!$AN70=0,0,IF('Loan Tape'!$K70="Floating",MIN(IF('Loan Tape'!$P70="",10,'Loan Tape'!$P70),MAX(IF('Loan Tape'!$Q70="",0,'Loan Tape'!$Q70),INDEX(Idx_Curve,1,8)+'Loan Tape'!$M70)),IF('Loan Tape'!$L70="",0,'Loan Tape'!$L70)))</f>
        <v>0</v>
      </c>
      <c r="K377" s="104" t="n">
        <f aca="false">IF('Loan Tape'!$AN70=0,0,IF('Loan Tape'!$K70="Floating",MIN(IF('Loan Tape'!$P70="",10,'Loan Tape'!$P70),MAX(IF('Loan Tape'!$Q70="",0,'Loan Tape'!$Q70),INDEX(Idx_Curve,1,9)+'Loan Tape'!$M70)),IF('Loan Tape'!$L70="",0,'Loan Tape'!$L70)))</f>
        <v>0</v>
      </c>
      <c r="L377" s="104" t="n">
        <f aca="false">IF('Loan Tape'!$AN70=0,0,IF('Loan Tape'!$K70="Floating",MIN(IF('Loan Tape'!$P70="",10,'Loan Tape'!$P70),MAX(IF('Loan Tape'!$Q70="",0,'Loan Tape'!$Q70),INDEX(Idx_Curve,1,10)+'Loan Tape'!$M70)),IF('Loan Tape'!$L70="",0,'Loan Tape'!$L70)))</f>
        <v>0</v>
      </c>
    </row>
    <row r="378" customFormat="false" ht="15" hidden="false" customHeight="false" outlineLevel="0" collapsed="false">
      <c r="B378" s="108" t="n">
        <f aca="false">'Loan Tape'!$A71</f>
        <v>0</v>
      </c>
      <c r="C378" s="56" t="n">
        <f aca="false">IF('Loan Tape'!$AN71=0,0,IF('Loan Tape'!$K71="Floating",MIN(IF('Loan Tape'!$P71="",10,'Loan Tape'!$P71),MAX(IF('Loan Tape'!$Q71="",0,'Loan Tape'!$Q71),INDEX(Idx_Curve,1,1)+'Loan Tape'!$M71)),IF('Loan Tape'!$L71="",0,'Loan Tape'!$L71)))</f>
        <v>0</v>
      </c>
      <c r="D378" s="56" t="n">
        <f aca="false">IF('Loan Tape'!$AN71=0,0,IF('Loan Tape'!$K71="Floating",MIN(IF('Loan Tape'!$P71="",10,'Loan Tape'!$P71),MAX(IF('Loan Tape'!$Q71="",0,'Loan Tape'!$Q71),INDEX(Idx_Curve,1,2)+'Loan Tape'!$M71)),IF('Loan Tape'!$L71="",0,'Loan Tape'!$L71)))</f>
        <v>0</v>
      </c>
      <c r="E378" s="56" t="n">
        <f aca="false">IF('Loan Tape'!$AN71=0,0,IF('Loan Tape'!$K71="Floating",MIN(IF('Loan Tape'!$P71="",10,'Loan Tape'!$P71),MAX(IF('Loan Tape'!$Q71="",0,'Loan Tape'!$Q71),INDEX(Idx_Curve,1,3)+'Loan Tape'!$M71)),IF('Loan Tape'!$L71="",0,'Loan Tape'!$L71)))</f>
        <v>0</v>
      </c>
      <c r="F378" s="56" t="n">
        <f aca="false">IF('Loan Tape'!$AN71=0,0,IF('Loan Tape'!$K71="Floating",MIN(IF('Loan Tape'!$P71="",10,'Loan Tape'!$P71),MAX(IF('Loan Tape'!$Q71="",0,'Loan Tape'!$Q71),INDEX(Idx_Curve,1,4)+'Loan Tape'!$M71)),IF('Loan Tape'!$L71="",0,'Loan Tape'!$L71)))</f>
        <v>0</v>
      </c>
      <c r="G378" s="56" t="n">
        <f aca="false">IF('Loan Tape'!$AN71=0,0,IF('Loan Tape'!$K71="Floating",MIN(IF('Loan Tape'!$P71="",10,'Loan Tape'!$P71),MAX(IF('Loan Tape'!$Q71="",0,'Loan Tape'!$Q71),INDEX(Idx_Curve,1,5)+'Loan Tape'!$M71)),IF('Loan Tape'!$L71="",0,'Loan Tape'!$L71)))</f>
        <v>0</v>
      </c>
      <c r="H378" s="56" t="n">
        <f aca="false">IF('Loan Tape'!$AN71=0,0,IF('Loan Tape'!$K71="Floating",MIN(IF('Loan Tape'!$P71="",10,'Loan Tape'!$P71),MAX(IF('Loan Tape'!$Q71="",0,'Loan Tape'!$Q71),INDEX(Idx_Curve,1,6)+'Loan Tape'!$M71)),IF('Loan Tape'!$L71="",0,'Loan Tape'!$L71)))</f>
        <v>0</v>
      </c>
      <c r="I378" s="56" t="n">
        <f aca="false">IF('Loan Tape'!$AN71=0,0,IF('Loan Tape'!$K71="Floating",MIN(IF('Loan Tape'!$P71="",10,'Loan Tape'!$P71),MAX(IF('Loan Tape'!$Q71="",0,'Loan Tape'!$Q71),INDEX(Idx_Curve,1,7)+'Loan Tape'!$M71)),IF('Loan Tape'!$L71="",0,'Loan Tape'!$L71)))</f>
        <v>0</v>
      </c>
      <c r="J378" s="56" t="n">
        <f aca="false">IF('Loan Tape'!$AN71=0,0,IF('Loan Tape'!$K71="Floating",MIN(IF('Loan Tape'!$P71="",10,'Loan Tape'!$P71),MAX(IF('Loan Tape'!$Q71="",0,'Loan Tape'!$Q71),INDEX(Idx_Curve,1,8)+'Loan Tape'!$M71)),IF('Loan Tape'!$L71="",0,'Loan Tape'!$L71)))</f>
        <v>0</v>
      </c>
      <c r="K378" s="56" t="n">
        <f aca="false">IF('Loan Tape'!$AN71=0,0,IF('Loan Tape'!$K71="Floating",MIN(IF('Loan Tape'!$P71="",10,'Loan Tape'!$P71),MAX(IF('Loan Tape'!$Q71="",0,'Loan Tape'!$Q71),INDEX(Idx_Curve,1,9)+'Loan Tape'!$M71)),IF('Loan Tape'!$L71="",0,'Loan Tape'!$L71)))</f>
        <v>0</v>
      </c>
      <c r="L378" s="56" t="n">
        <f aca="false">IF('Loan Tape'!$AN71=0,0,IF('Loan Tape'!$K71="Floating",MIN(IF('Loan Tape'!$P71="",10,'Loan Tape'!$P71),MAX(IF('Loan Tape'!$Q71="",0,'Loan Tape'!$Q71),INDEX(Idx_Curve,1,10)+'Loan Tape'!$M71)),IF('Loan Tape'!$L71="",0,'Loan Tape'!$L71)))</f>
        <v>0</v>
      </c>
    </row>
    <row r="379" customFormat="false" ht="15" hidden="false" customHeight="false" outlineLevel="0" collapsed="false">
      <c r="B379" s="102" t="n">
        <f aca="false">'Loan Tape'!$A72</f>
        <v>0</v>
      </c>
      <c r="C379" s="104" t="n">
        <f aca="false">IF('Loan Tape'!$AN72=0,0,IF('Loan Tape'!$K72="Floating",MIN(IF('Loan Tape'!$P72="",10,'Loan Tape'!$P72),MAX(IF('Loan Tape'!$Q72="",0,'Loan Tape'!$Q72),INDEX(Idx_Curve,1,1)+'Loan Tape'!$M72)),IF('Loan Tape'!$L72="",0,'Loan Tape'!$L72)))</f>
        <v>0</v>
      </c>
      <c r="D379" s="104" t="n">
        <f aca="false">IF('Loan Tape'!$AN72=0,0,IF('Loan Tape'!$K72="Floating",MIN(IF('Loan Tape'!$P72="",10,'Loan Tape'!$P72),MAX(IF('Loan Tape'!$Q72="",0,'Loan Tape'!$Q72),INDEX(Idx_Curve,1,2)+'Loan Tape'!$M72)),IF('Loan Tape'!$L72="",0,'Loan Tape'!$L72)))</f>
        <v>0</v>
      </c>
      <c r="E379" s="104" t="n">
        <f aca="false">IF('Loan Tape'!$AN72=0,0,IF('Loan Tape'!$K72="Floating",MIN(IF('Loan Tape'!$P72="",10,'Loan Tape'!$P72),MAX(IF('Loan Tape'!$Q72="",0,'Loan Tape'!$Q72),INDEX(Idx_Curve,1,3)+'Loan Tape'!$M72)),IF('Loan Tape'!$L72="",0,'Loan Tape'!$L72)))</f>
        <v>0</v>
      </c>
      <c r="F379" s="104" t="n">
        <f aca="false">IF('Loan Tape'!$AN72=0,0,IF('Loan Tape'!$K72="Floating",MIN(IF('Loan Tape'!$P72="",10,'Loan Tape'!$P72),MAX(IF('Loan Tape'!$Q72="",0,'Loan Tape'!$Q72),INDEX(Idx_Curve,1,4)+'Loan Tape'!$M72)),IF('Loan Tape'!$L72="",0,'Loan Tape'!$L72)))</f>
        <v>0</v>
      </c>
      <c r="G379" s="104" t="n">
        <f aca="false">IF('Loan Tape'!$AN72=0,0,IF('Loan Tape'!$K72="Floating",MIN(IF('Loan Tape'!$P72="",10,'Loan Tape'!$P72),MAX(IF('Loan Tape'!$Q72="",0,'Loan Tape'!$Q72),INDEX(Idx_Curve,1,5)+'Loan Tape'!$M72)),IF('Loan Tape'!$L72="",0,'Loan Tape'!$L72)))</f>
        <v>0</v>
      </c>
      <c r="H379" s="104" t="n">
        <f aca="false">IF('Loan Tape'!$AN72=0,0,IF('Loan Tape'!$K72="Floating",MIN(IF('Loan Tape'!$P72="",10,'Loan Tape'!$P72),MAX(IF('Loan Tape'!$Q72="",0,'Loan Tape'!$Q72),INDEX(Idx_Curve,1,6)+'Loan Tape'!$M72)),IF('Loan Tape'!$L72="",0,'Loan Tape'!$L72)))</f>
        <v>0</v>
      </c>
      <c r="I379" s="104" t="n">
        <f aca="false">IF('Loan Tape'!$AN72=0,0,IF('Loan Tape'!$K72="Floating",MIN(IF('Loan Tape'!$P72="",10,'Loan Tape'!$P72),MAX(IF('Loan Tape'!$Q72="",0,'Loan Tape'!$Q72),INDEX(Idx_Curve,1,7)+'Loan Tape'!$M72)),IF('Loan Tape'!$L72="",0,'Loan Tape'!$L72)))</f>
        <v>0</v>
      </c>
      <c r="J379" s="104" t="n">
        <f aca="false">IF('Loan Tape'!$AN72=0,0,IF('Loan Tape'!$K72="Floating",MIN(IF('Loan Tape'!$P72="",10,'Loan Tape'!$P72),MAX(IF('Loan Tape'!$Q72="",0,'Loan Tape'!$Q72),INDEX(Idx_Curve,1,8)+'Loan Tape'!$M72)),IF('Loan Tape'!$L72="",0,'Loan Tape'!$L72)))</f>
        <v>0</v>
      </c>
      <c r="K379" s="104" t="n">
        <f aca="false">IF('Loan Tape'!$AN72=0,0,IF('Loan Tape'!$K72="Floating",MIN(IF('Loan Tape'!$P72="",10,'Loan Tape'!$P72),MAX(IF('Loan Tape'!$Q72="",0,'Loan Tape'!$Q72),INDEX(Idx_Curve,1,9)+'Loan Tape'!$M72)),IF('Loan Tape'!$L72="",0,'Loan Tape'!$L72)))</f>
        <v>0</v>
      </c>
      <c r="L379" s="104" t="n">
        <f aca="false">IF('Loan Tape'!$AN72=0,0,IF('Loan Tape'!$K72="Floating",MIN(IF('Loan Tape'!$P72="",10,'Loan Tape'!$P72),MAX(IF('Loan Tape'!$Q72="",0,'Loan Tape'!$Q72),INDEX(Idx_Curve,1,10)+'Loan Tape'!$M72)),IF('Loan Tape'!$L72="",0,'Loan Tape'!$L72)))</f>
        <v>0</v>
      </c>
    </row>
    <row r="380" customFormat="false" ht="15" hidden="false" customHeight="false" outlineLevel="0" collapsed="false">
      <c r="B380" s="108" t="n">
        <f aca="false">'Loan Tape'!$A73</f>
        <v>0</v>
      </c>
      <c r="C380" s="56" t="n">
        <f aca="false">IF('Loan Tape'!$AN73=0,0,IF('Loan Tape'!$K73="Floating",MIN(IF('Loan Tape'!$P73="",10,'Loan Tape'!$P73),MAX(IF('Loan Tape'!$Q73="",0,'Loan Tape'!$Q73),INDEX(Idx_Curve,1,1)+'Loan Tape'!$M73)),IF('Loan Tape'!$L73="",0,'Loan Tape'!$L73)))</f>
        <v>0</v>
      </c>
      <c r="D380" s="56" t="n">
        <f aca="false">IF('Loan Tape'!$AN73=0,0,IF('Loan Tape'!$K73="Floating",MIN(IF('Loan Tape'!$P73="",10,'Loan Tape'!$P73),MAX(IF('Loan Tape'!$Q73="",0,'Loan Tape'!$Q73),INDEX(Idx_Curve,1,2)+'Loan Tape'!$M73)),IF('Loan Tape'!$L73="",0,'Loan Tape'!$L73)))</f>
        <v>0</v>
      </c>
      <c r="E380" s="56" t="n">
        <f aca="false">IF('Loan Tape'!$AN73=0,0,IF('Loan Tape'!$K73="Floating",MIN(IF('Loan Tape'!$P73="",10,'Loan Tape'!$P73),MAX(IF('Loan Tape'!$Q73="",0,'Loan Tape'!$Q73),INDEX(Idx_Curve,1,3)+'Loan Tape'!$M73)),IF('Loan Tape'!$L73="",0,'Loan Tape'!$L73)))</f>
        <v>0</v>
      </c>
      <c r="F380" s="56" t="n">
        <f aca="false">IF('Loan Tape'!$AN73=0,0,IF('Loan Tape'!$K73="Floating",MIN(IF('Loan Tape'!$P73="",10,'Loan Tape'!$P73),MAX(IF('Loan Tape'!$Q73="",0,'Loan Tape'!$Q73),INDEX(Idx_Curve,1,4)+'Loan Tape'!$M73)),IF('Loan Tape'!$L73="",0,'Loan Tape'!$L73)))</f>
        <v>0</v>
      </c>
      <c r="G380" s="56" t="n">
        <f aca="false">IF('Loan Tape'!$AN73=0,0,IF('Loan Tape'!$K73="Floating",MIN(IF('Loan Tape'!$P73="",10,'Loan Tape'!$P73),MAX(IF('Loan Tape'!$Q73="",0,'Loan Tape'!$Q73),INDEX(Idx_Curve,1,5)+'Loan Tape'!$M73)),IF('Loan Tape'!$L73="",0,'Loan Tape'!$L73)))</f>
        <v>0</v>
      </c>
      <c r="H380" s="56" t="n">
        <f aca="false">IF('Loan Tape'!$AN73=0,0,IF('Loan Tape'!$K73="Floating",MIN(IF('Loan Tape'!$P73="",10,'Loan Tape'!$P73),MAX(IF('Loan Tape'!$Q73="",0,'Loan Tape'!$Q73),INDEX(Idx_Curve,1,6)+'Loan Tape'!$M73)),IF('Loan Tape'!$L73="",0,'Loan Tape'!$L73)))</f>
        <v>0</v>
      </c>
      <c r="I380" s="56" t="n">
        <f aca="false">IF('Loan Tape'!$AN73=0,0,IF('Loan Tape'!$K73="Floating",MIN(IF('Loan Tape'!$P73="",10,'Loan Tape'!$P73),MAX(IF('Loan Tape'!$Q73="",0,'Loan Tape'!$Q73),INDEX(Idx_Curve,1,7)+'Loan Tape'!$M73)),IF('Loan Tape'!$L73="",0,'Loan Tape'!$L73)))</f>
        <v>0</v>
      </c>
      <c r="J380" s="56" t="n">
        <f aca="false">IF('Loan Tape'!$AN73=0,0,IF('Loan Tape'!$K73="Floating",MIN(IF('Loan Tape'!$P73="",10,'Loan Tape'!$P73),MAX(IF('Loan Tape'!$Q73="",0,'Loan Tape'!$Q73),INDEX(Idx_Curve,1,8)+'Loan Tape'!$M73)),IF('Loan Tape'!$L73="",0,'Loan Tape'!$L73)))</f>
        <v>0</v>
      </c>
      <c r="K380" s="56" t="n">
        <f aca="false">IF('Loan Tape'!$AN73=0,0,IF('Loan Tape'!$K73="Floating",MIN(IF('Loan Tape'!$P73="",10,'Loan Tape'!$P73),MAX(IF('Loan Tape'!$Q73="",0,'Loan Tape'!$Q73),INDEX(Idx_Curve,1,9)+'Loan Tape'!$M73)),IF('Loan Tape'!$L73="",0,'Loan Tape'!$L73)))</f>
        <v>0</v>
      </c>
      <c r="L380" s="56" t="n">
        <f aca="false">IF('Loan Tape'!$AN73=0,0,IF('Loan Tape'!$K73="Floating",MIN(IF('Loan Tape'!$P73="",10,'Loan Tape'!$P73),MAX(IF('Loan Tape'!$Q73="",0,'Loan Tape'!$Q73),INDEX(Idx_Curve,1,10)+'Loan Tape'!$M73)),IF('Loan Tape'!$L73="",0,'Loan Tape'!$L73)))</f>
        <v>0</v>
      </c>
    </row>
    <row r="381" customFormat="false" ht="15" hidden="false" customHeight="false" outlineLevel="0" collapsed="false">
      <c r="B381" s="102" t="n">
        <f aca="false">'Loan Tape'!$A74</f>
        <v>0</v>
      </c>
      <c r="C381" s="104" t="n">
        <f aca="false">IF('Loan Tape'!$AN74=0,0,IF('Loan Tape'!$K74="Floating",MIN(IF('Loan Tape'!$P74="",10,'Loan Tape'!$P74),MAX(IF('Loan Tape'!$Q74="",0,'Loan Tape'!$Q74),INDEX(Idx_Curve,1,1)+'Loan Tape'!$M74)),IF('Loan Tape'!$L74="",0,'Loan Tape'!$L74)))</f>
        <v>0</v>
      </c>
      <c r="D381" s="104" t="n">
        <f aca="false">IF('Loan Tape'!$AN74=0,0,IF('Loan Tape'!$K74="Floating",MIN(IF('Loan Tape'!$P74="",10,'Loan Tape'!$P74),MAX(IF('Loan Tape'!$Q74="",0,'Loan Tape'!$Q74),INDEX(Idx_Curve,1,2)+'Loan Tape'!$M74)),IF('Loan Tape'!$L74="",0,'Loan Tape'!$L74)))</f>
        <v>0</v>
      </c>
      <c r="E381" s="104" t="n">
        <f aca="false">IF('Loan Tape'!$AN74=0,0,IF('Loan Tape'!$K74="Floating",MIN(IF('Loan Tape'!$P74="",10,'Loan Tape'!$P74),MAX(IF('Loan Tape'!$Q74="",0,'Loan Tape'!$Q74),INDEX(Idx_Curve,1,3)+'Loan Tape'!$M74)),IF('Loan Tape'!$L74="",0,'Loan Tape'!$L74)))</f>
        <v>0</v>
      </c>
      <c r="F381" s="104" t="n">
        <f aca="false">IF('Loan Tape'!$AN74=0,0,IF('Loan Tape'!$K74="Floating",MIN(IF('Loan Tape'!$P74="",10,'Loan Tape'!$P74),MAX(IF('Loan Tape'!$Q74="",0,'Loan Tape'!$Q74),INDEX(Idx_Curve,1,4)+'Loan Tape'!$M74)),IF('Loan Tape'!$L74="",0,'Loan Tape'!$L74)))</f>
        <v>0</v>
      </c>
      <c r="G381" s="104" t="n">
        <f aca="false">IF('Loan Tape'!$AN74=0,0,IF('Loan Tape'!$K74="Floating",MIN(IF('Loan Tape'!$P74="",10,'Loan Tape'!$P74),MAX(IF('Loan Tape'!$Q74="",0,'Loan Tape'!$Q74),INDEX(Idx_Curve,1,5)+'Loan Tape'!$M74)),IF('Loan Tape'!$L74="",0,'Loan Tape'!$L74)))</f>
        <v>0</v>
      </c>
      <c r="H381" s="104" t="n">
        <f aca="false">IF('Loan Tape'!$AN74=0,0,IF('Loan Tape'!$K74="Floating",MIN(IF('Loan Tape'!$P74="",10,'Loan Tape'!$P74),MAX(IF('Loan Tape'!$Q74="",0,'Loan Tape'!$Q74),INDEX(Idx_Curve,1,6)+'Loan Tape'!$M74)),IF('Loan Tape'!$L74="",0,'Loan Tape'!$L74)))</f>
        <v>0</v>
      </c>
      <c r="I381" s="104" t="n">
        <f aca="false">IF('Loan Tape'!$AN74=0,0,IF('Loan Tape'!$K74="Floating",MIN(IF('Loan Tape'!$P74="",10,'Loan Tape'!$P74),MAX(IF('Loan Tape'!$Q74="",0,'Loan Tape'!$Q74),INDEX(Idx_Curve,1,7)+'Loan Tape'!$M74)),IF('Loan Tape'!$L74="",0,'Loan Tape'!$L74)))</f>
        <v>0</v>
      </c>
      <c r="J381" s="104" t="n">
        <f aca="false">IF('Loan Tape'!$AN74=0,0,IF('Loan Tape'!$K74="Floating",MIN(IF('Loan Tape'!$P74="",10,'Loan Tape'!$P74),MAX(IF('Loan Tape'!$Q74="",0,'Loan Tape'!$Q74),INDEX(Idx_Curve,1,8)+'Loan Tape'!$M74)),IF('Loan Tape'!$L74="",0,'Loan Tape'!$L74)))</f>
        <v>0</v>
      </c>
      <c r="K381" s="104" t="n">
        <f aca="false">IF('Loan Tape'!$AN74=0,0,IF('Loan Tape'!$K74="Floating",MIN(IF('Loan Tape'!$P74="",10,'Loan Tape'!$P74),MAX(IF('Loan Tape'!$Q74="",0,'Loan Tape'!$Q74),INDEX(Idx_Curve,1,9)+'Loan Tape'!$M74)),IF('Loan Tape'!$L74="",0,'Loan Tape'!$L74)))</f>
        <v>0</v>
      </c>
      <c r="L381" s="104" t="n">
        <f aca="false">IF('Loan Tape'!$AN74=0,0,IF('Loan Tape'!$K74="Floating",MIN(IF('Loan Tape'!$P74="",10,'Loan Tape'!$P74),MAX(IF('Loan Tape'!$Q74="",0,'Loan Tape'!$Q74),INDEX(Idx_Curve,1,10)+'Loan Tape'!$M74)),IF('Loan Tape'!$L74="",0,'Loan Tape'!$L74)))</f>
        <v>0</v>
      </c>
    </row>
    <row r="382" customFormat="false" ht="15" hidden="false" customHeight="false" outlineLevel="0" collapsed="false">
      <c r="B382" s="108" t="n">
        <f aca="false">'Loan Tape'!$A75</f>
        <v>0</v>
      </c>
      <c r="C382" s="56" t="n">
        <f aca="false">IF('Loan Tape'!$AN75=0,0,IF('Loan Tape'!$K75="Floating",MIN(IF('Loan Tape'!$P75="",10,'Loan Tape'!$P75),MAX(IF('Loan Tape'!$Q75="",0,'Loan Tape'!$Q75),INDEX(Idx_Curve,1,1)+'Loan Tape'!$M75)),IF('Loan Tape'!$L75="",0,'Loan Tape'!$L75)))</f>
        <v>0</v>
      </c>
      <c r="D382" s="56" t="n">
        <f aca="false">IF('Loan Tape'!$AN75=0,0,IF('Loan Tape'!$K75="Floating",MIN(IF('Loan Tape'!$P75="",10,'Loan Tape'!$P75),MAX(IF('Loan Tape'!$Q75="",0,'Loan Tape'!$Q75),INDEX(Idx_Curve,1,2)+'Loan Tape'!$M75)),IF('Loan Tape'!$L75="",0,'Loan Tape'!$L75)))</f>
        <v>0</v>
      </c>
      <c r="E382" s="56" t="n">
        <f aca="false">IF('Loan Tape'!$AN75=0,0,IF('Loan Tape'!$K75="Floating",MIN(IF('Loan Tape'!$P75="",10,'Loan Tape'!$P75),MAX(IF('Loan Tape'!$Q75="",0,'Loan Tape'!$Q75),INDEX(Idx_Curve,1,3)+'Loan Tape'!$M75)),IF('Loan Tape'!$L75="",0,'Loan Tape'!$L75)))</f>
        <v>0</v>
      </c>
      <c r="F382" s="56" t="n">
        <f aca="false">IF('Loan Tape'!$AN75=0,0,IF('Loan Tape'!$K75="Floating",MIN(IF('Loan Tape'!$P75="",10,'Loan Tape'!$P75),MAX(IF('Loan Tape'!$Q75="",0,'Loan Tape'!$Q75),INDEX(Idx_Curve,1,4)+'Loan Tape'!$M75)),IF('Loan Tape'!$L75="",0,'Loan Tape'!$L75)))</f>
        <v>0</v>
      </c>
      <c r="G382" s="56" t="n">
        <f aca="false">IF('Loan Tape'!$AN75=0,0,IF('Loan Tape'!$K75="Floating",MIN(IF('Loan Tape'!$P75="",10,'Loan Tape'!$P75),MAX(IF('Loan Tape'!$Q75="",0,'Loan Tape'!$Q75),INDEX(Idx_Curve,1,5)+'Loan Tape'!$M75)),IF('Loan Tape'!$L75="",0,'Loan Tape'!$L75)))</f>
        <v>0</v>
      </c>
      <c r="H382" s="56" t="n">
        <f aca="false">IF('Loan Tape'!$AN75=0,0,IF('Loan Tape'!$K75="Floating",MIN(IF('Loan Tape'!$P75="",10,'Loan Tape'!$P75),MAX(IF('Loan Tape'!$Q75="",0,'Loan Tape'!$Q75),INDEX(Idx_Curve,1,6)+'Loan Tape'!$M75)),IF('Loan Tape'!$L75="",0,'Loan Tape'!$L75)))</f>
        <v>0</v>
      </c>
      <c r="I382" s="56" t="n">
        <f aca="false">IF('Loan Tape'!$AN75=0,0,IF('Loan Tape'!$K75="Floating",MIN(IF('Loan Tape'!$P75="",10,'Loan Tape'!$P75),MAX(IF('Loan Tape'!$Q75="",0,'Loan Tape'!$Q75),INDEX(Idx_Curve,1,7)+'Loan Tape'!$M75)),IF('Loan Tape'!$L75="",0,'Loan Tape'!$L75)))</f>
        <v>0</v>
      </c>
      <c r="J382" s="56" t="n">
        <f aca="false">IF('Loan Tape'!$AN75=0,0,IF('Loan Tape'!$K75="Floating",MIN(IF('Loan Tape'!$P75="",10,'Loan Tape'!$P75),MAX(IF('Loan Tape'!$Q75="",0,'Loan Tape'!$Q75),INDEX(Idx_Curve,1,8)+'Loan Tape'!$M75)),IF('Loan Tape'!$L75="",0,'Loan Tape'!$L75)))</f>
        <v>0</v>
      </c>
      <c r="K382" s="56" t="n">
        <f aca="false">IF('Loan Tape'!$AN75=0,0,IF('Loan Tape'!$K75="Floating",MIN(IF('Loan Tape'!$P75="",10,'Loan Tape'!$P75),MAX(IF('Loan Tape'!$Q75="",0,'Loan Tape'!$Q75),INDEX(Idx_Curve,1,9)+'Loan Tape'!$M75)),IF('Loan Tape'!$L75="",0,'Loan Tape'!$L75)))</f>
        <v>0</v>
      </c>
      <c r="L382" s="56" t="n">
        <f aca="false">IF('Loan Tape'!$AN75=0,0,IF('Loan Tape'!$K75="Floating",MIN(IF('Loan Tape'!$P75="",10,'Loan Tape'!$P75),MAX(IF('Loan Tape'!$Q75="",0,'Loan Tape'!$Q75),INDEX(Idx_Curve,1,10)+'Loan Tape'!$M75)),IF('Loan Tape'!$L75="",0,'Loan Tape'!$L75)))</f>
        <v>0</v>
      </c>
    </row>
    <row r="383" customFormat="false" ht="15" hidden="false" customHeight="false" outlineLevel="0" collapsed="false">
      <c r="B383" s="102" t="n">
        <f aca="false">'Loan Tape'!$A76</f>
        <v>0</v>
      </c>
      <c r="C383" s="104" t="n">
        <f aca="false">IF('Loan Tape'!$AN76=0,0,IF('Loan Tape'!$K76="Floating",MIN(IF('Loan Tape'!$P76="",10,'Loan Tape'!$P76),MAX(IF('Loan Tape'!$Q76="",0,'Loan Tape'!$Q76),INDEX(Idx_Curve,1,1)+'Loan Tape'!$M76)),IF('Loan Tape'!$L76="",0,'Loan Tape'!$L76)))</f>
        <v>0</v>
      </c>
      <c r="D383" s="104" t="n">
        <f aca="false">IF('Loan Tape'!$AN76=0,0,IF('Loan Tape'!$K76="Floating",MIN(IF('Loan Tape'!$P76="",10,'Loan Tape'!$P76),MAX(IF('Loan Tape'!$Q76="",0,'Loan Tape'!$Q76),INDEX(Idx_Curve,1,2)+'Loan Tape'!$M76)),IF('Loan Tape'!$L76="",0,'Loan Tape'!$L76)))</f>
        <v>0</v>
      </c>
      <c r="E383" s="104" t="n">
        <f aca="false">IF('Loan Tape'!$AN76=0,0,IF('Loan Tape'!$K76="Floating",MIN(IF('Loan Tape'!$P76="",10,'Loan Tape'!$P76),MAX(IF('Loan Tape'!$Q76="",0,'Loan Tape'!$Q76),INDEX(Idx_Curve,1,3)+'Loan Tape'!$M76)),IF('Loan Tape'!$L76="",0,'Loan Tape'!$L76)))</f>
        <v>0</v>
      </c>
      <c r="F383" s="104" t="n">
        <f aca="false">IF('Loan Tape'!$AN76=0,0,IF('Loan Tape'!$K76="Floating",MIN(IF('Loan Tape'!$P76="",10,'Loan Tape'!$P76),MAX(IF('Loan Tape'!$Q76="",0,'Loan Tape'!$Q76),INDEX(Idx_Curve,1,4)+'Loan Tape'!$M76)),IF('Loan Tape'!$L76="",0,'Loan Tape'!$L76)))</f>
        <v>0</v>
      </c>
      <c r="G383" s="104" t="n">
        <f aca="false">IF('Loan Tape'!$AN76=0,0,IF('Loan Tape'!$K76="Floating",MIN(IF('Loan Tape'!$P76="",10,'Loan Tape'!$P76),MAX(IF('Loan Tape'!$Q76="",0,'Loan Tape'!$Q76),INDEX(Idx_Curve,1,5)+'Loan Tape'!$M76)),IF('Loan Tape'!$L76="",0,'Loan Tape'!$L76)))</f>
        <v>0</v>
      </c>
      <c r="H383" s="104" t="n">
        <f aca="false">IF('Loan Tape'!$AN76=0,0,IF('Loan Tape'!$K76="Floating",MIN(IF('Loan Tape'!$P76="",10,'Loan Tape'!$P76),MAX(IF('Loan Tape'!$Q76="",0,'Loan Tape'!$Q76),INDEX(Idx_Curve,1,6)+'Loan Tape'!$M76)),IF('Loan Tape'!$L76="",0,'Loan Tape'!$L76)))</f>
        <v>0</v>
      </c>
      <c r="I383" s="104" t="n">
        <f aca="false">IF('Loan Tape'!$AN76=0,0,IF('Loan Tape'!$K76="Floating",MIN(IF('Loan Tape'!$P76="",10,'Loan Tape'!$P76),MAX(IF('Loan Tape'!$Q76="",0,'Loan Tape'!$Q76),INDEX(Idx_Curve,1,7)+'Loan Tape'!$M76)),IF('Loan Tape'!$L76="",0,'Loan Tape'!$L76)))</f>
        <v>0</v>
      </c>
      <c r="J383" s="104" t="n">
        <f aca="false">IF('Loan Tape'!$AN76=0,0,IF('Loan Tape'!$K76="Floating",MIN(IF('Loan Tape'!$P76="",10,'Loan Tape'!$P76),MAX(IF('Loan Tape'!$Q76="",0,'Loan Tape'!$Q76),INDEX(Idx_Curve,1,8)+'Loan Tape'!$M76)),IF('Loan Tape'!$L76="",0,'Loan Tape'!$L76)))</f>
        <v>0</v>
      </c>
      <c r="K383" s="104" t="n">
        <f aca="false">IF('Loan Tape'!$AN76=0,0,IF('Loan Tape'!$K76="Floating",MIN(IF('Loan Tape'!$P76="",10,'Loan Tape'!$P76),MAX(IF('Loan Tape'!$Q76="",0,'Loan Tape'!$Q76),INDEX(Idx_Curve,1,9)+'Loan Tape'!$M76)),IF('Loan Tape'!$L76="",0,'Loan Tape'!$L76)))</f>
        <v>0</v>
      </c>
      <c r="L383" s="104" t="n">
        <f aca="false">IF('Loan Tape'!$AN76=0,0,IF('Loan Tape'!$K76="Floating",MIN(IF('Loan Tape'!$P76="",10,'Loan Tape'!$P76),MAX(IF('Loan Tape'!$Q76="",0,'Loan Tape'!$Q76),INDEX(Idx_Curve,1,10)+'Loan Tape'!$M76)),IF('Loan Tape'!$L76="",0,'Loan Tape'!$L76)))</f>
        <v>0</v>
      </c>
    </row>
    <row r="384" customFormat="false" ht="15" hidden="false" customHeight="false" outlineLevel="0" collapsed="false">
      <c r="B384" s="108" t="n">
        <f aca="false">'Loan Tape'!$A77</f>
        <v>0</v>
      </c>
      <c r="C384" s="56" t="n">
        <f aca="false">IF('Loan Tape'!$AN77=0,0,IF('Loan Tape'!$K77="Floating",MIN(IF('Loan Tape'!$P77="",10,'Loan Tape'!$P77),MAX(IF('Loan Tape'!$Q77="",0,'Loan Tape'!$Q77),INDEX(Idx_Curve,1,1)+'Loan Tape'!$M77)),IF('Loan Tape'!$L77="",0,'Loan Tape'!$L77)))</f>
        <v>0</v>
      </c>
      <c r="D384" s="56" t="n">
        <f aca="false">IF('Loan Tape'!$AN77=0,0,IF('Loan Tape'!$K77="Floating",MIN(IF('Loan Tape'!$P77="",10,'Loan Tape'!$P77),MAX(IF('Loan Tape'!$Q77="",0,'Loan Tape'!$Q77),INDEX(Idx_Curve,1,2)+'Loan Tape'!$M77)),IF('Loan Tape'!$L77="",0,'Loan Tape'!$L77)))</f>
        <v>0</v>
      </c>
      <c r="E384" s="56" t="n">
        <f aca="false">IF('Loan Tape'!$AN77=0,0,IF('Loan Tape'!$K77="Floating",MIN(IF('Loan Tape'!$P77="",10,'Loan Tape'!$P77),MAX(IF('Loan Tape'!$Q77="",0,'Loan Tape'!$Q77),INDEX(Idx_Curve,1,3)+'Loan Tape'!$M77)),IF('Loan Tape'!$L77="",0,'Loan Tape'!$L77)))</f>
        <v>0</v>
      </c>
      <c r="F384" s="56" t="n">
        <f aca="false">IF('Loan Tape'!$AN77=0,0,IF('Loan Tape'!$K77="Floating",MIN(IF('Loan Tape'!$P77="",10,'Loan Tape'!$P77),MAX(IF('Loan Tape'!$Q77="",0,'Loan Tape'!$Q77),INDEX(Idx_Curve,1,4)+'Loan Tape'!$M77)),IF('Loan Tape'!$L77="",0,'Loan Tape'!$L77)))</f>
        <v>0</v>
      </c>
      <c r="G384" s="56" t="n">
        <f aca="false">IF('Loan Tape'!$AN77=0,0,IF('Loan Tape'!$K77="Floating",MIN(IF('Loan Tape'!$P77="",10,'Loan Tape'!$P77),MAX(IF('Loan Tape'!$Q77="",0,'Loan Tape'!$Q77),INDEX(Idx_Curve,1,5)+'Loan Tape'!$M77)),IF('Loan Tape'!$L77="",0,'Loan Tape'!$L77)))</f>
        <v>0</v>
      </c>
      <c r="H384" s="56" t="n">
        <f aca="false">IF('Loan Tape'!$AN77=0,0,IF('Loan Tape'!$K77="Floating",MIN(IF('Loan Tape'!$P77="",10,'Loan Tape'!$P77),MAX(IF('Loan Tape'!$Q77="",0,'Loan Tape'!$Q77),INDEX(Idx_Curve,1,6)+'Loan Tape'!$M77)),IF('Loan Tape'!$L77="",0,'Loan Tape'!$L77)))</f>
        <v>0</v>
      </c>
      <c r="I384" s="56" t="n">
        <f aca="false">IF('Loan Tape'!$AN77=0,0,IF('Loan Tape'!$K77="Floating",MIN(IF('Loan Tape'!$P77="",10,'Loan Tape'!$P77),MAX(IF('Loan Tape'!$Q77="",0,'Loan Tape'!$Q77),INDEX(Idx_Curve,1,7)+'Loan Tape'!$M77)),IF('Loan Tape'!$L77="",0,'Loan Tape'!$L77)))</f>
        <v>0</v>
      </c>
      <c r="J384" s="56" t="n">
        <f aca="false">IF('Loan Tape'!$AN77=0,0,IF('Loan Tape'!$K77="Floating",MIN(IF('Loan Tape'!$P77="",10,'Loan Tape'!$P77),MAX(IF('Loan Tape'!$Q77="",0,'Loan Tape'!$Q77),INDEX(Idx_Curve,1,8)+'Loan Tape'!$M77)),IF('Loan Tape'!$L77="",0,'Loan Tape'!$L77)))</f>
        <v>0</v>
      </c>
      <c r="K384" s="56" t="n">
        <f aca="false">IF('Loan Tape'!$AN77=0,0,IF('Loan Tape'!$K77="Floating",MIN(IF('Loan Tape'!$P77="",10,'Loan Tape'!$P77),MAX(IF('Loan Tape'!$Q77="",0,'Loan Tape'!$Q77),INDEX(Idx_Curve,1,9)+'Loan Tape'!$M77)),IF('Loan Tape'!$L77="",0,'Loan Tape'!$L77)))</f>
        <v>0</v>
      </c>
      <c r="L384" s="56" t="n">
        <f aca="false">IF('Loan Tape'!$AN77=0,0,IF('Loan Tape'!$K77="Floating",MIN(IF('Loan Tape'!$P77="",10,'Loan Tape'!$P77),MAX(IF('Loan Tape'!$Q77="",0,'Loan Tape'!$Q77),INDEX(Idx_Curve,1,10)+'Loan Tape'!$M77)),IF('Loan Tape'!$L77="",0,'Loan Tape'!$L77)))</f>
        <v>0</v>
      </c>
    </row>
    <row r="385" customFormat="false" ht="15" hidden="false" customHeight="false" outlineLevel="0" collapsed="false">
      <c r="B385" s="102" t="n">
        <f aca="false">'Loan Tape'!$A78</f>
        <v>0</v>
      </c>
      <c r="C385" s="104" t="n">
        <f aca="false">IF('Loan Tape'!$AN78=0,0,IF('Loan Tape'!$K78="Floating",MIN(IF('Loan Tape'!$P78="",10,'Loan Tape'!$P78),MAX(IF('Loan Tape'!$Q78="",0,'Loan Tape'!$Q78),INDEX(Idx_Curve,1,1)+'Loan Tape'!$M78)),IF('Loan Tape'!$L78="",0,'Loan Tape'!$L78)))</f>
        <v>0</v>
      </c>
      <c r="D385" s="104" t="n">
        <f aca="false">IF('Loan Tape'!$AN78=0,0,IF('Loan Tape'!$K78="Floating",MIN(IF('Loan Tape'!$P78="",10,'Loan Tape'!$P78),MAX(IF('Loan Tape'!$Q78="",0,'Loan Tape'!$Q78),INDEX(Idx_Curve,1,2)+'Loan Tape'!$M78)),IF('Loan Tape'!$L78="",0,'Loan Tape'!$L78)))</f>
        <v>0</v>
      </c>
      <c r="E385" s="104" t="n">
        <f aca="false">IF('Loan Tape'!$AN78=0,0,IF('Loan Tape'!$K78="Floating",MIN(IF('Loan Tape'!$P78="",10,'Loan Tape'!$P78),MAX(IF('Loan Tape'!$Q78="",0,'Loan Tape'!$Q78),INDEX(Idx_Curve,1,3)+'Loan Tape'!$M78)),IF('Loan Tape'!$L78="",0,'Loan Tape'!$L78)))</f>
        <v>0</v>
      </c>
      <c r="F385" s="104" t="n">
        <f aca="false">IF('Loan Tape'!$AN78=0,0,IF('Loan Tape'!$K78="Floating",MIN(IF('Loan Tape'!$P78="",10,'Loan Tape'!$P78),MAX(IF('Loan Tape'!$Q78="",0,'Loan Tape'!$Q78),INDEX(Idx_Curve,1,4)+'Loan Tape'!$M78)),IF('Loan Tape'!$L78="",0,'Loan Tape'!$L78)))</f>
        <v>0</v>
      </c>
      <c r="G385" s="104" t="n">
        <f aca="false">IF('Loan Tape'!$AN78=0,0,IF('Loan Tape'!$K78="Floating",MIN(IF('Loan Tape'!$P78="",10,'Loan Tape'!$P78),MAX(IF('Loan Tape'!$Q78="",0,'Loan Tape'!$Q78),INDEX(Idx_Curve,1,5)+'Loan Tape'!$M78)),IF('Loan Tape'!$L78="",0,'Loan Tape'!$L78)))</f>
        <v>0</v>
      </c>
      <c r="H385" s="104" t="n">
        <f aca="false">IF('Loan Tape'!$AN78=0,0,IF('Loan Tape'!$K78="Floating",MIN(IF('Loan Tape'!$P78="",10,'Loan Tape'!$P78),MAX(IF('Loan Tape'!$Q78="",0,'Loan Tape'!$Q78),INDEX(Idx_Curve,1,6)+'Loan Tape'!$M78)),IF('Loan Tape'!$L78="",0,'Loan Tape'!$L78)))</f>
        <v>0</v>
      </c>
      <c r="I385" s="104" t="n">
        <f aca="false">IF('Loan Tape'!$AN78=0,0,IF('Loan Tape'!$K78="Floating",MIN(IF('Loan Tape'!$P78="",10,'Loan Tape'!$P78),MAX(IF('Loan Tape'!$Q78="",0,'Loan Tape'!$Q78),INDEX(Idx_Curve,1,7)+'Loan Tape'!$M78)),IF('Loan Tape'!$L78="",0,'Loan Tape'!$L78)))</f>
        <v>0</v>
      </c>
      <c r="J385" s="104" t="n">
        <f aca="false">IF('Loan Tape'!$AN78=0,0,IF('Loan Tape'!$K78="Floating",MIN(IF('Loan Tape'!$P78="",10,'Loan Tape'!$P78),MAX(IF('Loan Tape'!$Q78="",0,'Loan Tape'!$Q78),INDEX(Idx_Curve,1,8)+'Loan Tape'!$M78)),IF('Loan Tape'!$L78="",0,'Loan Tape'!$L78)))</f>
        <v>0</v>
      </c>
      <c r="K385" s="104" t="n">
        <f aca="false">IF('Loan Tape'!$AN78=0,0,IF('Loan Tape'!$K78="Floating",MIN(IF('Loan Tape'!$P78="",10,'Loan Tape'!$P78),MAX(IF('Loan Tape'!$Q78="",0,'Loan Tape'!$Q78),INDEX(Idx_Curve,1,9)+'Loan Tape'!$M78)),IF('Loan Tape'!$L78="",0,'Loan Tape'!$L78)))</f>
        <v>0</v>
      </c>
      <c r="L385" s="104" t="n">
        <f aca="false">IF('Loan Tape'!$AN78=0,0,IF('Loan Tape'!$K78="Floating",MIN(IF('Loan Tape'!$P78="",10,'Loan Tape'!$P78),MAX(IF('Loan Tape'!$Q78="",0,'Loan Tape'!$Q78),INDEX(Idx_Curve,1,10)+'Loan Tape'!$M78)),IF('Loan Tape'!$L78="",0,'Loan Tape'!$L78)))</f>
        <v>0</v>
      </c>
    </row>
    <row r="386" customFormat="false" ht="15" hidden="false" customHeight="false" outlineLevel="0" collapsed="false">
      <c r="B386" s="108" t="n">
        <f aca="false">'Loan Tape'!$A79</f>
        <v>0</v>
      </c>
      <c r="C386" s="56" t="n">
        <f aca="false">IF('Loan Tape'!$AN79=0,0,IF('Loan Tape'!$K79="Floating",MIN(IF('Loan Tape'!$P79="",10,'Loan Tape'!$P79),MAX(IF('Loan Tape'!$Q79="",0,'Loan Tape'!$Q79),INDEX(Idx_Curve,1,1)+'Loan Tape'!$M79)),IF('Loan Tape'!$L79="",0,'Loan Tape'!$L79)))</f>
        <v>0</v>
      </c>
      <c r="D386" s="56" t="n">
        <f aca="false">IF('Loan Tape'!$AN79=0,0,IF('Loan Tape'!$K79="Floating",MIN(IF('Loan Tape'!$P79="",10,'Loan Tape'!$P79),MAX(IF('Loan Tape'!$Q79="",0,'Loan Tape'!$Q79),INDEX(Idx_Curve,1,2)+'Loan Tape'!$M79)),IF('Loan Tape'!$L79="",0,'Loan Tape'!$L79)))</f>
        <v>0</v>
      </c>
      <c r="E386" s="56" t="n">
        <f aca="false">IF('Loan Tape'!$AN79=0,0,IF('Loan Tape'!$K79="Floating",MIN(IF('Loan Tape'!$P79="",10,'Loan Tape'!$P79),MAX(IF('Loan Tape'!$Q79="",0,'Loan Tape'!$Q79),INDEX(Idx_Curve,1,3)+'Loan Tape'!$M79)),IF('Loan Tape'!$L79="",0,'Loan Tape'!$L79)))</f>
        <v>0</v>
      </c>
      <c r="F386" s="56" t="n">
        <f aca="false">IF('Loan Tape'!$AN79=0,0,IF('Loan Tape'!$K79="Floating",MIN(IF('Loan Tape'!$P79="",10,'Loan Tape'!$P79),MAX(IF('Loan Tape'!$Q79="",0,'Loan Tape'!$Q79),INDEX(Idx_Curve,1,4)+'Loan Tape'!$M79)),IF('Loan Tape'!$L79="",0,'Loan Tape'!$L79)))</f>
        <v>0</v>
      </c>
      <c r="G386" s="56" t="n">
        <f aca="false">IF('Loan Tape'!$AN79=0,0,IF('Loan Tape'!$K79="Floating",MIN(IF('Loan Tape'!$P79="",10,'Loan Tape'!$P79),MAX(IF('Loan Tape'!$Q79="",0,'Loan Tape'!$Q79),INDEX(Idx_Curve,1,5)+'Loan Tape'!$M79)),IF('Loan Tape'!$L79="",0,'Loan Tape'!$L79)))</f>
        <v>0</v>
      </c>
      <c r="H386" s="56" t="n">
        <f aca="false">IF('Loan Tape'!$AN79=0,0,IF('Loan Tape'!$K79="Floating",MIN(IF('Loan Tape'!$P79="",10,'Loan Tape'!$P79),MAX(IF('Loan Tape'!$Q79="",0,'Loan Tape'!$Q79),INDEX(Idx_Curve,1,6)+'Loan Tape'!$M79)),IF('Loan Tape'!$L79="",0,'Loan Tape'!$L79)))</f>
        <v>0</v>
      </c>
      <c r="I386" s="56" t="n">
        <f aca="false">IF('Loan Tape'!$AN79=0,0,IF('Loan Tape'!$K79="Floating",MIN(IF('Loan Tape'!$P79="",10,'Loan Tape'!$P79),MAX(IF('Loan Tape'!$Q79="",0,'Loan Tape'!$Q79),INDEX(Idx_Curve,1,7)+'Loan Tape'!$M79)),IF('Loan Tape'!$L79="",0,'Loan Tape'!$L79)))</f>
        <v>0</v>
      </c>
      <c r="J386" s="56" t="n">
        <f aca="false">IF('Loan Tape'!$AN79=0,0,IF('Loan Tape'!$K79="Floating",MIN(IF('Loan Tape'!$P79="",10,'Loan Tape'!$P79),MAX(IF('Loan Tape'!$Q79="",0,'Loan Tape'!$Q79),INDEX(Idx_Curve,1,8)+'Loan Tape'!$M79)),IF('Loan Tape'!$L79="",0,'Loan Tape'!$L79)))</f>
        <v>0</v>
      </c>
      <c r="K386" s="56" t="n">
        <f aca="false">IF('Loan Tape'!$AN79=0,0,IF('Loan Tape'!$K79="Floating",MIN(IF('Loan Tape'!$P79="",10,'Loan Tape'!$P79),MAX(IF('Loan Tape'!$Q79="",0,'Loan Tape'!$Q79),INDEX(Idx_Curve,1,9)+'Loan Tape'!$M79)),IF('Loan Tape'!$L79="",0,'Loan Tape'!$L79)))</f>
        <v>0</v>
      </c>
      <c r="L386" s="56" t="n">
        <f aca="false">IF('Loan Tape'!$AN79=0,0,IF('Loan Tape'!$K79="Floating",MIN(IF('Loan Tape'!$P79="",10,'Loan Tape'!$P79),MAX(IF('Loan Tape'!$Q79="",0,'Loan Tape'!$Q79),INDEX(Idx_Curve,1,10)+'Loan Tape'!$M79)),IF('Loan Tape'!$L79="",0,'Loan Tape'!$L79)))</f>
        <v>0</v>
      </c>
    </row>
    <row r="387" customFormat="false" ht="15" hidden="false" customHeight="false" outlineLevel="0" collapsed="false">
      <c r="B387" s="102" t="n">
        <f aca="false">'Loan Tape'!$A80</f>
        <v>0</v>
      </c>
      <c r="C387" s="104" t="n">
        <f aca="false">IF('Loan Tape'!$AN80=0,0,IF('Loan Tape'!$K80="Floating",MIN(IF('Loan Tape'!$P80="",10,'Loan Tape'!$P80),MAX(IF('Loan Tape'!$Q80="",0,'Loan Tape'!$Q80),INDEX(Idx_Curve,1,1)+'Loan Tape'!$M80)),IF('Loan Tape'!$L80="",0,'Loan Tape'!$L80)))</f>
        <v>0</v>
      </c>
      <c r="D387" s="104" t="n">
        <f aca="false">IF('Loan Tape'!$AN80=0,0,IF('Loan Tape'!$K80="Floating",MIN(IF('Loan Tape'!$P80="",10,'Loan Tape'!$P80),MAX(IF('Loan Tape'!$Q80="",0,'Loan Tape'!$Q80),INDEX(Idx_Curve,1,2)+'Loan Tape'!$M80)),IF('Loan Tape'!$L80="",0,'Loan Tape'!$L80)))</f>
        <v>0</v>
      </c>
      <c r="E387" s="104" t="n">
        <f aca="false">IF('Loan Tape'!$AN80=0,0,IF('Loan Tape'!$K80="Floating",MIN(IF('Loan Tape'!$P80="",10,'Loan Tape'!$P80),MAX(IF('Loan Tape'!$Q80="",0,'Loan Tape'!$Q80),INDEX(Idx_Curve,1,3)+'Loan Tape'!$M80)),IF('Loan Tape'!$L80="",0,'Loan Tape'!$L80)))</f>
        <v>0</v>
      </c>
      <c r="F387" s="104" t="n">
        <f aca="false">IF('Loan Tape'!$AN80=0,0,IF('Loan Tape'!$K80="Floating",MIN(IF('Loan Tape'!$P80="",10,'Loan Tape'!$P80),MAX(IF('Loan Tape'!$Q80="",0,'Loan Tape'!$Q80),INDEX(Idx_Curve,1,4)+'Loan Tape'!$M80)),IF('Loan Tape'!$L80="",0,'Loan Tape'!$L80)))</f>
        <v>0</v>
      </c>
      <c r="G387" s="104" t="n">
        <f aca="false">IF('Loan Tape'!$AN80=0,0,IF('Loan Tape'!$K80="Floating",MIN(IF('Loan Tape'!$P80="",10,'Loan Tape'!$P80),MAX(IF('Loan Tape'!$Q80="",0,'Loan Tape'!$Q80),INDEX(Idx_Curve,1,5)+'Loan Tape'!$M80)),IF('Loan Tape'!$L80="",0,'Loan Tape'!$L80)))</f>
        <v>0</v>
      </c>
      <c r="H387" s="104" t="n">
        <f aca="false">IF('Loan Tape'!$AN80=0,0,IF('Loan Tape'!$K80="Floating",MIN(IF('Loan Tape'!$P80="",10,'Loan Tape'!$P80),MAX(IF('Loan Tape'!$Q80="",0,'Loan Tape'!$Q80),INDEX(Idx_Curve,1,6)+'Loan Tape'!$M80)),IF('Loan Tape'!$L80="",0,'Loan Tape'!$L80)))</f>
        <v>0</v>
      </c>
      <c r="I387" s="104" t="n">
        <f aca="false">IF('Loan Tape'!$AN80=0,0,IF('Loan Tape'!$K80="Floating",MIN(IF('Loan Tape'!$P80="",10,'Loan Tape'!$P80),MAX(IF('Loan Tape'!$Q80="",0,'Loan Tape'!$Q80),INDEX(Idx_Curve,1,7)+'Loan Tape'!$M80)),IF('Loan Tape'!$L80="",0,'Loan Tape'!$L80)))</f>
        <v>0</v>
      </c>
      <c r="J387" s="104" t="n">
        <f aca="false">IF('Loan Tape'!$AN80=0,0,IF('Loan Tape'!$K80="Floating",MIN(IF('Loan Tape'!$P80="",10,'Loan Tape'!$P80),MAX(IF('Loan Tape'!$Q80="",0,'Loan Tape'!$Q80),INDEX(Idx_Curve,1,8)+'Loan Tape'!$M80)),IF('Loan Tape'!$L80="",0,'Loan Tape'!$L80)))</f>
        <v>0</v>
      </c>
      <c r="K387" s="104" t="n">
        <f aca="false">IF('Loan Tape'!$AN80=0,0,IF('Loan Tape'!$K80="Floating",MIN(IF('Loan Tape'!$P80="",10,'Loan Tape'!$P80),MAX(IF('Loan Tape'!$Q80="",0,'Loan Tape'!$Q80),INDEX(Idx_Curve,1,9)+'Loan Tape'!$M80)),IF('Loan Tape'!$L80="",0,'Loan Tape'!$L80)))</f>
        <v>0</v>
      </c>
      <c r="L387" s="104" t="n">
        <f aca="false">IF('Loan Tape'!$AN80=0,0,IF('Loan Tape'!$K80="Floating",MIN(IF('Loan Tape'!$P80="",10,'Loan Tape'!$P80),MAX(IF('Loan Tape'!$Q80="",0,'Loan Tape'!$Q80),INDEX(Idx_Curve,1,10)+'Loan Tape'!$M80)),IF('Loan Tape'!$L80="",0,'Loan Tape'!$L80)))</f>
        <v>0</v>
      </c>
    </row>
    <row r="388" customFormat="false" ht="15" hidden="false" customHeight="false" outlineLevel="0" collapsed="false">
      <c r="B388" s="108" t="n">
        <f aca="false">'Loan Tape'!$A81</f>
        <v>0</v>
      </c>
      <c r="C388" s="56" t="n">
        <f aca="false">IF('Loan Tape'!$AN81=0,0,IF('Loan Tape'!$K81="Floating",MIN(IF('Loan Tape'!$P81="",10,'Loan Tape'!$P81),MAX(IF('Loan Tape'!$Q81="",0,'Loan Tape'!$Q81),INDEX(Idx_Curve,1,1)+'Loan Tape'!$M81)),IF('Loan Tape'!$L81="",0,'Loan Tape'!$L81)))</f>
        <v>0</v>
      </c>
      <c r="D388" s="56" t="n">
        <f aca="false">IF('Loan Tape'!$AN81=0,0,IF('Loan Tape'!$K81="Floating",MIN(IF('Loan Tape'!$P81="",10,'Loan Tape'!$P81),MAX(IF('Loan Tape'!$Q81="",0,'Loan Tape'!$Q81),INDEX(Idx_Curve,1,2)+'Loan Tape'!$M81)),IF('Loan Tape'!$L81="",0,'Loan Tape'!$L81)))</f>
        <v>0</v>
      </c>
      <c r="E388" s="56" t="n">
        <f aca="false">IF('Loan Tape'!$AN81=0,0,IF('Loan Tape'!$K81="Floating",MIN(IF('Loan Tape'!$P81="",10,'Loan Tape'!$P81),MAX(IF('Loan Tape'!$Q81="",0,'Loan Tape'!$Q81),INDEX(Idx_Curve,1,3)+'Loan Tape'!$M81)),IF('Loan Tape'!$L81="",0,'Loan Tape'!$L81)))</f>
        <v>0</v>
      </c>
      <c r="F388" s="56" t="n">
        <f aca="false">IF('Loan Tape'!$AN81=0,0,IF('Loan Tape'!$K81="Floating",MIN(IF('Loan Tape'!$P81="",10,'Loan Tape'!$P81),MAX(IF('Loan Tape'!$Q81="",0,'Loan Tape'!$Q81),INDEX(Idx_Curve,1,4)+'Loan Tape'!$M81)),IF('Loan Tape'!$L81="",0,'Loan Tape'!$L81)))</f>
        <v>0</v>
      </c>
      <c r="G388" s="56" t="n">
        <f aca="false">IF('Loan Tape'!$AN81=0,0,IF('Loan Tape'!$K81="Floating",MIN(IF('Loan Tape'!$P81="",10,'Loan Tape'!$P81),MAX(IF('Loan Tape'!$Q81="",0,'Loan Tape'!$Q81),INDEX(Idx_Curve,1,5)+'Loan Tape'!$M81)),IF('Loan Tape'!$L81="",0,'Loan Tape'!$L81)))</f>
        <v>0</v>
      </c>
      <c r="H388" s="56" t="n">
        <f aca="false">IF('Loan Tape'!$AN81=0,0,IF('Loan Tape'!$K81="Floating",MIN(IF('Loan Tape'!$P81="",10,'Loan Tape'!$P81),MAX(IF('Loan Tape'!$Q81="",0,'Loan Tape'!$Q81),INDEX(Idx_Curve,1,6)+'Loan Tape'!$M81)),IF('Loan Tape'!$L81="",0,'Loan Tape'!$L81)))</f>
        <v>0</v>
      </c>
      <c r="I388" s="56" t="n">
        <f aca="false">IF('Loan Tape'!$AN81=0,0,IF('Loan Tape'!$K81="Floating",MIN(IF('Loan Tape'!$P81="",10,'Loan Tape'!$P81),MAX(IF('Loan Tape'!$Q81="",0,'Loan Tape'!$Q81),INDEX(Idx_Curve,1,7)+'Loan Tape'!$M81)),IF('Loan Tape'!$L81="",0,'Loan Tape'!$L81)))</f>
        <v>0</v>
      </c>
      <c r="J388" s="56" t="n">
        <f aca="false">IF('Loan Tape'!$AN81=0,0,IF('Loan Tape'!$K81="Floating",MIN(IF('Loan Tape'!$P81="",10,'Loan Tape'!$P81),MAX(IF('Loan Tape'!$Q81="",0,'Loan Tape'!$Q81),INDEX(Idx_Curve,1,8)+'Loan Tape'!$M81)),IF('Loan Tape'!$L81="",0,'Loan Tape'!$L81)))</f>
        <v>0</v>
      </c>
      <c r="K388" s="56" t="n">
        <f aca="false">IF('Loan Tape'!$AN81=0,0,IF('Loan Tape'!$K81="Floating",MIN(IF('Loan Tape'!$P81="",10,'Loan Tape'!$P81),MAX(IF('Loan Tape'!$Q81="",0,'Loan Tape'!$Q81),INDEX(Idx_Curve,1,9)+'Loan Tape'!$M81)),IF('Loan Tape'!$L81="",0,'Loan Tape'!$L81)))</f>
        <v>0</v>
      </c>
      <c r="L388" s="56" t="n">
        <f aca="false">IF('Loan Tape'!$AN81=0,0,IF('Loan Tape'!$K81="Floating",MIN(IF('Loan Tape'!$P81="",10,'Loan Tape'!$P81),MAX(IF('Loan Tape'!$Q81="",0,'Loan Tape'!$Q81),INDEX(Idx_Curve,1,10)+'Loan Tape'!$M81)),IF('Loan Tape'!$L81="",0,'Loan Tape'!$L81)))</f>
        <v>0</v>
      </c>
    </row>
    <row r="389" customFormat="false" ht="15" hidden="false" customHeight="false" outlineLevel="0" collapsed="false">
      <c r="B389" s="102" t="n">
        <f aca="false">'Loan Tape'!$A82</f>
        <v>0</v>
      </c>
      <c r="C389" s="104" t="n">
        <f aca="false">IF('Loan Tape'!$AN82=0,0,IF('Loan Tape'!$K82="Floating",MIN(IF('Loan Tape'!$P82="",10,'Loan Tape'!$P82),MAX(IF('Loan Tape'!$Q82="",0,'Loan Tape'!$Q82),INDEX(Idx_Curve,1,1)+'Loan Tape'!$M82)),IF('Loan Tape'!$L82="",0,'Loan Tape'!$L82)))</f>
        <v>0</v>
      </c>
      <c r="D389" s="104" t="n">
        <f aca="false">IF('Loan Tape'!$AN82=0,0,IF('Loan Tape'!$K82="Floating",MIN(IF('Loan Tape'!$P82="",10,'Loan Tape'!$P82),MAX(IF('Loan Tape'!$Q82="",0,'Loan Tape'!$Q82),INDEX(Idx_Curve,1,2)+'Loan Tape'!$M82)),IF('Loan Tape'!$L82="",0,'Loan Tape'!$L82)))</f>
        <v>0</v>
      </c>
      <c r="E389" s="104" t="n">
        <f aca="false">IF('Loan Tape'!$AN82=0,0,IF('Loan Tape'!$K82="Floating",MIN(IF('Loan Tape'!$P82="",10,'Loan Tape'!$P82),MAX(IF('Loan Tape'!$Q82="",0,'Loan Tape'!$Q82),INDEX(Idx_Curve,1,3)+'Loan Tape'!$M82)),IF('Loan Tape'!$L82="",0,'Loan Tape'!$L82)))</f>
        <v>0</v>
      </c>
      <c r="F389" s="104" t="n">
        <f aca="false">IF('Loan Tape'!$AN82=0,0,IF('Loan Tape'!$K82="Floating",MIN(IF('Loan Tape'!$P82="",10,'Loan Tape'!$P82),MAX(IF('Loan Tape'!$Q82="",0,'Loan Tape'!$Q82),INDEX(Idx_Curve,1,4)+'Loan Tape'!$M82)),IF('Loan Tape'!$L82="",0,'Loan Tape'!$L82)))</f>
        <v>0</v>
      </c>
      <c r="G389" s="104" t="n">
        <f aca="false">IF('Loan Tape'!$AN82=0,0,IF('Loan Tape'!$K82="Floating",MIN(IF('Loan Tape'!$P82="",10,'Loan Tape'!$P82),MAX(IF('Loan Tape'!$Q82="",0,'Loan Tape'!$Q82),INDEX(Idx_Curve,1,5)+'Loan Tape'!$M82)),IF('Loan Tape'!$L82="",0,'Loan Tape'!$L82)))</f>
        <v>0</v>
      </c>
      <c r="H389" s="104" t="n">
        <f aca="false">IF('Loan Tape'!$AN82=0,0,IF('Loan Tape'!$K82="Floating",MIN(IF('Loan Tape'!$P82="",10,'Loan Tape'!$P82),MAX(IF('Loan Tape'!$Q82="",0,'Loan Tape'!$Q82),INDEX(Idx_Curve,1,6)+'Loan Tape'!$M82)),IF('Loan Tape'!$L82="",0,'Loan Tape'!$L82)))</f>
        <v>0</v>
      </c>
      <c r="I389" s="104" t="n">
        <f aca="false">IF('Loan Tape'!$AN82=0,0,IF('Loan Tape'!$K82="Floating",MIN(IF('Loan Tape'!$P82="",10,'Loan Tape'!$P82),MAX(IF('Loan Tape'!$Q82="",0,'Loan Tape'!$Q82),INDEX(Idx_Curve,1,7)+'Loan Tape'!$M82)),IF('Loan Tape'!$L82="",0,'Loan Tape'!$L82)))</f>
        <v>0</v>
      </c>
      <c r="J389" s="104" t="n">
        <f aca="false">IF('Loan Tape'!$AN82=0,0,IF('Loan Tape'!$K82="Floating",MIN(IF('Loan Tape'!$P82="",10,'Loan Tape'!$P82),MAX(IF('Loan Tape'!$Q82="",0,'Loan Tape'!$Q82),INDEX(Idx_Curve,1,8)+'Loan Tape'!$M82)),IF('Loan Tape'!$L82="",0,'Loan Tape'!$L82)))</f>
        <v>0</v>
      </c>
      <c r="K389" s="104" t="n">
        <f aca="false">IF('Loan Tape'!$AN82=0,0,IF('Loan Tape'!$K82="Floating",MIN(IF('Loan Tape'!$P82="",10,'Loan Tape'!$P82),MAX(IF('Loan Tape'!$Q82="",0,'Loan Tape'!$Q82),INDEX(Idx_Curve,1,9)+'Loan Tape'!$M82)),IF('Loan Tape'!$L82="",0,'Loan Tape'!$L82)))</f>
        <v>0</v>
      </c>
      <c r="L389" s="104" t="n">
        <f aca="false">IF('Loan Tape'!$AN82=0,0,IF('Loan Tape'!$K82="Floating",MIN(IF('Loan Tape'!$P82="",10,'Loan Tape'!$P82),MAX(IF('Loan Tape'!$Q82="",0,'Loan Tape'!$Q82),INDEX(Idx_Curve,1,10)+'Loan Tape'!$M82)),IF('Loan Tape'!$L82="",0,'Loan Tape'!$L82)))</f>
        <v>0</v>
      </c>
    </row>
    <row r="390" customFormat="false" ht="15" hidden="false" customHeight="false" outlineLevel="0" collapsed="false">
      <c r="B390" s="108" t="n">
        <f aca="false">'Loan Tape'!$A83</f>
        <v>0</v>
      </c>
      <c r="C390" s="56" t="n">
        <f aca="false">IF('Loan Tape'!$AN83=0,0,IF('Loan Tape'!$K83="Floating",MIN(IF('Loan Tape'!$P83="",10,'Loan Tape'!$P83),MAX(IF('Loan Tape'!$Q83="",0,'Loan Tape'!$Q83),INDEX(Idx_Curve,1,1)+'Loan Tape'!$M83)),IF('Loan Tape'!$L83="",0,'Loan Tape'!$L83)))</f>
        <v>0</v>
      </c>
      <c r="D390" s="56" t="n">
        <f aca="false">IF('Loan Tape'!$AN83=0,0,IF('Loan Tape'!$K83="Floating",MIN(IF('Loan Tape'!$P83="",10,'Loan Tape'!$P83),MAX(IF('Loan Tape'!$Q83="",0,'Loan Tape'!$Q83),INDEX(Idx_Curve,1,2)+'Loan Tape'!$M83)),IF('Loan Tape'!$L83="",0,'Loan Tape'!$L83)))</f>
        <v>0</v>
      </c>
      <c r="E390" s="56" t="n">
        <f aca="false">IF('Loan Tape'!$AN83=0,0,IF('Loan Tape'!$K83="Floating",MIN(IF('Loan Tape'!$P83="",10,'Loan Tape'!$P83),MAX(IF('Loan Tape'!$Q83="",0,'Loan Tape'!$Q83),INDEX(Idx_Curve,1,3)+'Loan Tape'!$M83)),IF('Loan Tape'!$L83="",0,'Loan Tape'!$L83)))</f>
        <v>0</v>
      </c>
      <c r="F390" s="56" t="n">
        <f aca="false">IF('Loan Tape'!$AN83=0,0,IF('Loan Tape'!$K83="Floating",MIN(IF('Loan Tape'!$P83="",10,'Loan Tape'!$P83),MAX(IF('Loan Tape'!$Q83="",0,'Loan Tape'!$Q83),INDEX(Idx_Curve,1,4)+'Loan Tape'!$M83)),IF('Loan Tape'!$L83="",0,'Loan Tape'!$L83)))</f>
        <v>0</v>
      </c>
      <c r="G390" s="56" t="n">
        <f aca="false">IF('Loan Tape'!$AN83=0,0,IF('Loan Tape'!$K83="Floating",MIN(IF('Loan Tape'!$P83="",10,'Loan Tape'!$P83),MAX(IF('Loan Tape'!$Q83="",0,'Loan Tape'!$Q83),INDEX(Idx_Curve,1,5)+'Loan Tape'!$M83)),IF('Loan Tape'!$L83="",0,'Loan Tape'!$L83)))</f>
        <v>0</v>
      </c>
      <c r="H390" s="56" t="n">
        <f aca="false">IF('Loan Tape'!$AN83=0,0,IF('Loan Tape'!$K83="Floating",MIN(IF('Loan Tape'!$P83="",10,'Loan Tape'!$P83),MAX(IF('Loan Tape'!$Q83="",0,'Loan Tape'!$Q83),INDEX(Idx_Curve,1,6)+'Loan Tape'!$M83)),IF('Loan Tape'!$L83="",0,'Loan Tape'!$L83)))</f>
        <v>0</v>
      </c>
      <c r="I390" s="56" t="n">
        <f aca="false">IF('Loan Tape'!$AN83=0,0,IF('Loan Tape'!$K83="Floating",MIN(IF('Loan Tape'!$P83="",10,'Loan Tape'!$P83),MAX(IF('Loan Tape'!$Q83="",0,'Loan Tape'!$Q83),INDEX(Idx_Curve,1,7)+'Loan Tape'!$M83)),IF('Loan Tape'!$L83="",0,'Loan Tape'!$L83)))</f>
        <v>0</v>
      </c>
      <c r="J390" s="56" t="n">
        <f aca="false">IF('Loan Tape'!$AN83=0,0,IF('Loan Tape'!$K83="Floating",MIN(IF('Loan Tape'!$P83="",10,'Loan Tape'!$P83),MAX(IF('Loan Tape'!$Q83="",0,'Loan Tape'!$Q83),INDEX(Idx_Curve,1,8)+'Loan Tape'!$M83)),IF('Loan Tape'!$L83="",0,'Loan Tape'!$L83)))</f>
        <v>0</v>
      </c>
      <c r="K390" s="56" t="n">
        <f aca="false">IF('Loan Tape'!$AN83=0,0,IF('Loan Tape'!$K83="Floating",MIN(IF('Loan Tape'!$P83="",10,'Loan Tape'!$P83),MAX(IF('Loan Tape'!$Q83="",0,'Loan Tape'!$Q83),INDEX(Idx_Curve,1,9)+'Loan Tape'!$M83)),IF('Loan Tape'!$L83="",0,'Loan Tape'!$L83)))</f>
        <v>0</v>
      </c>
      <c r="L390" s="56" t="n">
        <f aca="false">IF('Loan Tape'!$AN83=0,0,IF('Loan Tape'!$K83="Floating",MIN(IF('Loan Tape'!$P83="",10,'Loan Tape'!$P83),MAX(IF('Loan Tape'!$Q83="",0,'Loan Tape'!$Q83),INDEX(Idx_Curve,1,10)+'Loan Tape'!$M83)),IF('Loan Tape'!$L83="",0,'Loan Tape'!$L83)))</f>
        <v>0</v>
      </c>
    </row>
    <row r="391" customFormat="false" ht="15" hidden="false" customHeight="false" outlineLevel="0" collapsed="false">
      <c r="B391" s="102" t="n">
        <f aca="false">'Loan Tape'!$A84</f>
        <v>0</v>
      </c>
      <c r="C391" s="104" t="n">
        <f aca="false">IF('Loan Tape'!$AN84=0,0,IF('Loan Tape'!$K84="Floating",MIN(IF('Loan Tape'!$P84="",10,'Loan Tape'!$P84),MAX(IF('Loan Tape'!$Q84="",0,'Loan Tape'!$Q84),INDEX(Idx_Curve,1,1)+'Loan Tape'!$M84)),IF('Loan Tape'!$L84="",0,'Loan Tape'!$L84)))</f>
        <v>0</v>
      </c>
      <c r="D391" s="104" t="n">
        <f aca="false">IF('Loan Tape'!$AN84=0,0,IF('Loan Tape'!$K84="Floating",MIN(IF('Loan Tape'!$P84="",10,'Loan Tape'!$P84),MAX(IF('Loan Tape'!$Q84="",0,'Loan Tape'!$Q84),INDEX(Idx_Curve,1,2)+'Loan Tape'!$M84)),IF('Loan Tape'!$L84="",0,'Loan Tape'!$L84)))</f>
        <v>0</v>
      </c>
      <c r="E391" s="104" t="n">
        <f aca="false">IF('Loan Tape'!$AN84=0,0,IF('Loan Tape'!$K84="Floating",MIN(IF('Loan Tape'!$P84="",10,'Loan Tape'!$P84),MAX(IF('Loan Tape'!$Q84="",0,'Loan Tape'!$Q84),INDEX(Idx_Curve,1,3)+'Loan Tape'!$M84)),IF('Loan Tape'!$L84="",0,'Loan Tape'!$L84)))</f>
        <v>0</v>
      </c>
      <c r="F391" s="104" t="n">
        <f aca="false">IF('Loan Tape'!$AN84=0,0,IF('Loan Tape'!$K84="Floating",MIN(IF('Loan Tape'!$P84="",10,'Loan Tape'!$P84),MAX(IF('Loan Tape'!$Q84="",0,'Loan Tape'!$Q84),INDEX(Idx_Curve,1,4)+'Loan Tape'!$M84)),IF('Loan Tape'!$L84="",0,'Loan Tape'!$L84)))</f>
        <v>0</v>
      </c>
      <c r="G391" s="104" t="n">
        <f aca="false">IF('Loan Tape'!$AN84=0,0,IF('Loan Tape'!$K84="Floating",MIN(IF('Loan Tape'!$P84="",10,'Loan Tape'!$P84),MAX(IF('Loan Tape'!$Q84="",0,'Loan Tape'!$Q84),INDEX(Idx_Curve,1,5)+'Loan Tape'!$M84)),IF('Loan Tape'!$L84="",0,'Loan Tape'!$L84)))</f>
        <v>0</v>
      </c>
      <c r="H391" s="104" t="n">
        <f aca="false">IF('Loan Tape'!$AN84=0,0,IF('Loan Tape'!$K84="Floating",MIN(IF('Loan Tape'!$P84="",10,'Loan Tape'!$P84),MAX(IF('Loan Tape'!$Q84="",0,'Loan Tape'!$Q84),INDEX(Idx_Curve,1,6)+'Loan Tape'!$M84)),IF('Loan Tape'!$L84="",0,'Loan Tape'!$L84)))</f>
        <v>0</v>
      </c>
      <c r="I391" s="104" t="n">
        <f aca="false">IF('Loan Tape'!$AN84=0,0,IF('Loan Tape'!$K84="Floating",MIN(IF('Loan Tape'!$P84="",10,'Loan Tape'!$P84),MAX(IF('Loan Tape'!$Q84="",0,'Loan Tape'!$Q84),INDEX(Idx_Curve,1,7)+'Loan Tape'!$M84)),IF('Loan Tape'!$L84="",0,'Loan Tape'!$L84)))</f>
        <v>0</v>
      </c>
      <c r="J391" s="104" t="n">
        <f aca="false">IF('Loan Tape'!$AN84=0,0,IF('Loan Tape'!$K84="Floating",MIN(IF('Loan Tape'!$P84="",10,'Loan Tape'!$P84),MAX(IF('Loan Tape'!$Q84="",0,'Loan Tape'!$Q84),INDEX(Idx_Curve,1,8)+'Loan Tape'!$M84)),IF('Loan Tape'!$L84="",0,'Loan Tape'!$L84)))</f>
        <v>0</v>
      </c>
      <c r="K391" s="104" t="n">
        <f aca="false">IF('Loan Tape'!$AN84=0,0,IF('Loan Tape'!$K84="Floating",MIN(IF('Loan Tape'!$P84="",10,'Loan Tape'!$P84),MAX(IF('Loan Tape'!$Q84="",0,'Loan Tape'!$Q84),INDEX(Idx_Curve,1,9)+'Loan Tape'!$M84)),IF('Loan Tape'!$L84="",0,'Loan Tape'!$L84)))</f>
        <v>0</v>
      </c>
      <c r="L391" s="104" t="n">
        <f aca="false">IF('Loan Tape'!$AN84=0,0,IF('Loan Tape'!$K84="Floating",MIN(IF('Loan Tape'!$P84="",10,'Loan Tape'!$P84),MAX(IF('Loan Tape'!$Q84="",0,'Loan Tape'!$Q84),INDEX(Idx_Curve,1,10)+'Loan Tape'!$M84)),IF('Loan Tape'!$L84="",0,'Loan Tape'!$L84)))</f>
        <v>0</v>
      </c>
    </row>
    <row r="392" customFormat="false" ht="15" hidden="false" customHeight="false" outlineLevel="0" collapsed="false">
      <c r="B392" s="108" t="n">
        <f aca="false">'Loan Tape'!$A85</f>
        <v>0</v>
      </c>
      <c r="C392" s="56" t="n">
        <f aca="false">IF('Loan Tape'!$AN85=0,0,IF('Loan Tape'!$K85="Floating",MIN(IF('Loan Tape'!$P85="",10,'Loan Tape'!$P85),MAX(IF('Loan Tape'!$Q85="",0,'Loan Tape'!$Q85),INDEX(Idx_Curve,1,1)+'Loan Tape'!$M85)),IF('Loan Tape'!$L85="",0,'Loan Tape'!$L85)))</f>
        <v>0</v>
      </c>
      <c r="D392" s="56" t="n">
        <f aca="false">IF('Loan Tape'!$AN85=0,0,IF('Loan Tape'!$K85="Floating",MIN(IF('Loan Tape'!$P85="",10,'Loan Tape'!$P85),MAX(IF('Loan Tape'!$Q85="",0,'Loan Tape'!$Q85),INDEX(Idx_Curve,1,2)+'Loan Tape'!$M85)),IF('Loan Tape'!$L85="",0,'Loan Tape'!$L85)))</f>
        <v>0</v>
      </c>
      <c r="E392" s="56" t="n">
        <f aca="false">IF('Loan Tape'!$AN85=0,0,IF('Loan Tape'!$K85="Floating",MIN(IF('Loan Tape'!$P85="",10,'Loan Tape'!$P85),MAX(IF('Loan Tape'!$Q85="",0,'Loan Tape'!$Q85),INDEX(Idx_Curve,1,3)+'Loan Tape'!$M85)),IF('Loan Tape'!$L85="",0,'Loan Tape'!$L85)))</f>
        <v>0</v>
      </c>
      <c r="F392" s="56" t="n">
        <f aca="false">IF('Loan Tape'!$AN85=0,0,IF('Loan Tape'!$K85="Floating",MIN(IF('Loan Tape'!$P85="",10,'Loan Tape'!$P85),MAX(IF('Loan Tape'!$Q85="",0,'Loan Tape'!$Q85),INDEX(Idx_Curve,1,4)+'Loan Tape'!$M85)),IF('Loan Tape'!$L85="",0,'Loan Tape'!$L85)))</f>
        <v>0</v>
      </c>
      <c r="G392" s="56" t="n">
        <f aca="false">IF('Loan Tape'!$AN85=0,0,IF('Loan Tape'!$K85="Floating",MIN(IF('Loan Tape'!$P85="",10,'Loan Tape'!$P85),MAX(IF('Loan Tape'!$Q85="",0,'Loan Tape'!$Q85),INDEX(Idx_Curve,1,5)+'Loan Tape'!$M85)),IF('Loan Tape'!$L85="",0,'Loan Tape'!$L85)))</f>
        <v>0</v>
      </c>
      <c r="H392" s="56" t="n">
        <f aca="false">IF('Loan Tape'!$AN85=0,0,IF('Loan Tape'!$K85="Floating",MIN(IF('Loan Tape'!$P85="",10,'Loan Tape'!$P85),MAX(IF('Loan Tape'!$Q85="",0,'Loan Tape'!$Q85),INDEX(Idx_Curve,1,6)+'Loan Tape'!$M85)),IF('Loan Tape'!$L85="",0,'Loan Tape'!$L85)))</f>
        <v>0</v>
      </c>
      <c r="I392" s="56" t="n">
        <f aca="false">IF('Loan Tape'!$AN85=0,0,IF('Loan Tape'!$K85="Floating",MIN(IF('Loan Tape'!$P85="",10,'Loan Tape'!$P85),MAX(IF('Loan Tape'!$Q85="",0,'Loan Tape'!$Q85),INDEX(Idx_Curve,1,7)+'Loan Tape'!$M85)),IF('Loan Tape'!$L85="",0,'Loan Tape'!$L85)))</f>
        <v>0</v>
      </c>
      <c r="J392" s="56" t="n">
        <f aca="false">IF('Loan Tape'!$AN85=0,0,IF('Loan Tape'!$K85="Floating",MIN(IF('Loan Tape'!$P85="",10,'Loan Tape'!$P85),MAX(IF('Loan Tape'!$Q85="",0,'Loan Tape'!$Q85),INDEX(Idx_Curve,1,8)+'Loan Tape'!$M85)),IF('Loan Tape'!$L85="",0,'Loan Tape'!$L85)))</f>
        <v>0</v>
      </c>
      <c r="K392" s="56" t="n">
        <f aca="false">IF('Loan Tape'!$AN85=0,0,IF('Loan Tape'!$K85="Floating",MIN(IF('Loan Tape'!$P85="",10,'Loan Tape'!$P85),MAX(IF('Loan Tape'!$Q85="",0,'Loan Tape'!$Q85),INDEX(Idx_Curve,1,9)+'Loan Tape'!$M85)),IF('Loan Tape'!$L85="",0,'Loan Tape'!$L85)))</f>
        <v>0</v>
      </c>
      <c r="L392" s="56" t="n">
        <f aca="false">IF('Loan Tape'!$AN85=0,0,IF('Loan Tape'!$K85="Floating",MIN(IF('Loan Tape'!$P85="",10,'Loan Tape'!$P85),MAX(IF('Loan Tape'!$Q85="",0,'Loan Tape'!$Q85),INDEX(Idx_Curve,1,10)+'Loan Tape'!$M85)),IF('Loan Tape'!$L85="",0,'Loan Tape'!$L85)))</f>
        <v>0</v>
      </c>
    </row>
    <row r="393" customFormat="false" ht="15" hidden="false" customHeight="false" outlineLevel="0" collapsed="false">
      <c r="B393" s="102" t="n">
        <f aca="false">'Loan Tape'!$A86</f>
        <v>0</v>
      </c>
      <c r="C393" s="104" t="n">
        <f aca="false">IF('Loan Tape'!$AN86=0,0,IF('Loan Tape'!$K86="Floating",MIN(IF('Loan Tape'!$P86="",10,'Loan Tape'!$P86),MAX(IF('Loan Tape'!$Q86="",0,'Loan Tape'!$Q86),INDEX(Idx_Curve,1,1)+'Loan Tape'!$M86)),IF('Loan Tape'!$L86="",0,'Loan Tape'!$L86)))</f>
        <v>0</v>
      </c>
      <c r="D393" s="104" t="n">
        <f aca="false">IF('Loan Tape'!$AN86=0,0,IF('Loan Tape'!$K86="Floating",MIN(IF('Loan Tape'!$P86="",10,'Loan Tape'!$P86),MAX(IF('Loan Tape'!$Q86="",0,'Loan Tape'!$Q86),INDEX(Idx_Curve,1,2)+'Loan Tape'!$M86)),IF('Loan Tape'!$L86="",0,'Loan Tape'!$L86)))</f>
        <v>0</v>
      </c>
      <c r="E393" s="104" t="n">
        <f aca="false">IF('Loan Tape'!$AN86=0,0,IF('Loan Tape'!$K86="Floating",MIN(IF('Loan Tape'!$P86="",10,'Loan Tape'!$P86),MAX(IF('Loan Tape'!$Q86="",0,'Loan Tape'!$Q86),INDEX(Idx_Curve,1,3)+'Loan Tape'!$M86)),IF('Loan Tape'!$L86="",0,'Loan Tape'!$L86)))</f>
        <v>0</v>
      </c>
      <c r="F393" s="104" t="n">
        <f aca="false">IF('Loan Tape'!$AN86=0,0,IF('Loan Tape'!$K86="Floating",MIN(IF('Loan Tape'!$P86="",10,'Loan Tape'!$P86),MAX(IF('Loan Tape'!$Q86="",0,'Loan Tape'!$Q86),INDEX(Idx_Curve,1,4)+'Loan Tape'!$M86)),IF('Loan Tape'!$L86="",0,'Loan Tape'!$L86)))</f>
        <v>0</v>
      </c>
      <c r="G393" s="104" t="n">
        <f aca="false">IF('Loan Tape'!$AN86=0,0,IF('Loan Tape'!$K86="Floating",MIN(IF('Loan Tape'!$P86="",10,'Loan Tape'!$P86),MAX(IF('Loan Tape'!$Q86="",0,'Loan Tape'!$Q86),INDEX(Idx_Curve,1,5)+'Loan Tape'!$M86)),IF('Loan Tape'!$L86="",0,'Loan Tape'!$L86)))</f>
        <v>0</v>
      </c>
      <c r="H393" s="104" t="n">
        <f aca="false">IF('Loan Tape'!$AN86=0,0,IF('Loan Tape'!$K86="Floating",MIN(IF('Loan Tape'!$P86="",10,'Loan Tape'!$P86),MAX(IF('Loan Tape'!$Q86="",0,'Loan Tape'!$Q86),INDEX(Idx_Curve,1,6)+'Loan Tape'!$M86)),IF('Loan Tape'!$L86="",0,'Loan Tape'!$L86)))</f>
        <v>0</v>
      </c>
      <c r="I393" s="104" t="n">
        <f aca="false">IF('Loan Tape'!$AN86=0,0,IF('Loan Tape'!$K86="Floating",MIN(IF('Loan Tape'!$P86="",10,'Loan Tape'!$P86),MAX(IF('Loan Tape'!$Q86="",0,'Loan Tape'!$Q86),INDEX(Idx_Curve,1,7)+'Loan Tape'!$M86)),IF('Loan Tape'!$L86="",0,'Loan Tape'!$L86)))</f>
        <v>0</v>
      </c>
      <c r="J393" s="104" t="n">
        <f aca="false">IF('Loan Tape'!$AN86=0,0,IF('Loan Tape'!$K86="Floating",MIN(IF('Loan Tape'!$P86="",10,'Loan Tape'!$P86),MAX(IF('Loan Tape'!$Q86="",0,'Loan Tape'!$Q86),INDEX(Idx_Curve,1,8)+'Loan Tape'!$M86)),IF('Loan Tape'!$L86="",0,'Loan Tape'!$L86)))</f>
        <v>0</v>
      </c>
      <c r="K393" s="104" t="n">
        <f aca="false">IF('Loan Tape'!$AN86=0,0,IF('Loan Tape'!$K86="Floating",MIN(IF('Loan Tape'!$P86="",10,'Loan Tape'!$P86),MAX(IF('Loan Tape'!$Q86="",0,'Loan Tape'!$Q86),INDEX(Idx_Curve,1,9)+'Loan Tape'!$M86)),IF('Loan Tape'!$L86="",0,'Loan Tape'!$L86)))</f>
        <v>0</v>
      </c>
      <c r="L393" s="104" t="n">
        <f aca="false">IF('Loan Tape'!$AN86=0,0,IF('Loan Tape'!$K86="Floating",MIN(IF('Loan Tape'!$P86="",10,'Loan Tape'!$P86),MAX(IF('Loan Tape'!$Q86="",0,'Loan Tape'!$Q86),INDEX(Idx_Curve,1,10)+'Loan Tape'!$M86)),IF('Loan Tape'!$L86="",0,'Loan Tape'!$L86)))</f>
        <v>0</v>
      </c>
    </row>
    <row r="394" customFormat="false" ht="15" hidden="false" customHeight="false" outlineLevel="0" collapsed="false">
      <c r="B394" s="108" t="n">
        <f aca="false">'Loan Tape'!$A87</f>
        <v>0</v>
      </c>
      <c r="C394" s="56" t="n">
        <f aca="false">IF('Loan Tape'!$AN87=0,0,IF('Loan Tape'!$K87="Floating",MIN(IF('Loan Tape'!$P87="",10,'Loan Tape'!$P87),MAX(IF('Loan Tape'!$Q87="",0,'Loan Tape'!$Q87),INDEX(Idx_Curve,1,1)+'Loan Tape'!$M87)),IF('Loan Tape'!$L87="",0,'Loan Tape'!$L87)))</f>
        <v>0</v>
      </c>
      <c r="D394" s="56" t="n">
        <f aca="false">IF('Loan Tape'!$AN87=0,0,IF('Loan Tape'!$K87="Floating",MIN(IF('Loan Tape'!$P87="",10,'Loan Tape'!$P87),MAX(IF('Loan Tape'!$Q87="",0,'Loan Tape'!$Q87),INDEX(Idx_Curve,1,2)+'Loan Tape'!$M87)),IF('Loan Tape'!$L87="",0,'Loan Tape'!$L87)))</f>
        <v>0</v>
      </c>
      <c r="E394" s="56" t="n">
        <f aca="false">IF('Loan Tape'!$AN87=0,0,IF('Loan Tape'!$K87="Floating",MIN(IF('Loan Tape'!$P87="",10,'Loan Tape'!$P87),MAX(IF('Loan Tape'!$Q87="",0,'Loan Tape'!$Q87),INDEX(Idx_Curve,1,3)+'Loan Tape'!$M87)),IF('Loan Tape'!$L87="",0,'Loan Tape'!$L87)))</f>
        <v>0</v>
      </c>
      <c r="F394" s="56" t="n">
        <f aca="false">IF('Loan Tape'!$AN87=0,0,IF('Loan Tape'!$K87="Floating",MIN(IF('Loan Tape'!$P87="",10,'Loan Tape'!$P87),MAX(IF('Loan Tape'!$Q87="",0,'Loan Tape'!$Q87),INDEX(Idx_Curve,1,4)+'Loan Tape'!$M87)),IF('Loan Tape'!$L87="",0,'Loan Tape'!$L87)))</f>
        <v>0</v>
      </c>
      <c r="G394" s="56" t="n">
        <f aca="false">IF('Loan Tape'!$AN87=0,0,IF('Loan Tape'!$K87="Floating",MIN(IF('Loan Tape'!$P87="",10,'Loan Tape'!$P87),MAX(IF('Loan Tape'!$Q87="",0,'Loan Tape'!$Q87),INDEX(Idx_Curve,1,5)+'Loan Tape'!$M87)),IF('Loan Tape'!$L87="",0,'Loan Tape'!$L87)))</f>
        <v>0</v>
      </c>
      <c r="H394" s="56" t="n">
        <f aca="false">IF('Loan Tape'!$AN87=0,0,IF('Loan Tape'!$K87="Floating",MIN(IF('Loan Tape'!$P87="",10,'Loan Tape'!$P87),MAX(IF('Loan Tape'!$Q87="",0,'Loan Tape'!$Q87),INDEX(Idx_Curve,1,6)+'Loan Tape'!$M87)),IF('Loan Tape'!$L87="",0,'Loan Tape'!$L87)))</f>
        <v>0</v>
      </c>
      <c r="I394" s="56" t="n">
        <f aca="false">IF('Loan Tape'!$AN87=0,0,IF('Loan Tape'!$K87="Floating",MIN(IF('Loan Tape'!$P87="",10,'Loan Tape'!$P87),MAX(IF('Loan Tape'!$Q87="",0,'Loan Tape'!$Q87),INDEX(Idx_Curve,1,7)+'Loan Tape'!$M87)),IF('Loan Tape'!$L87="",0,'Loan Tape'!$L87)))</f>
        <v>0</v>
      </c>
      <c r="J394" s="56" t="n">
        <f aca="false">IF('Loan Tape'!$AN87=0,0,IF('Loan Tape'!$K87="Floating",MIN(IF('Loan Tape'!$P87="",10,'Loan Tape'!$P87),MAX(IF('Loan Tape'!$Q87="",0,'Loan Tape'!$Q87),INDEX(Idx_Curve,1,8)+'Loan Tape'!$M87)),IF('Loan Tape'!$L87="",0,'Loan Tape'!$L87)))</f>
        <v>0</v>
      </c>
      <c r="K394" s="56" t="n">
        <f aca="false">IF('Loan Tape'!$AN87=0,0,IF('Loan Tape'!$K87="Floating",MIN(IF('Loan Tape'!$P87="",10,'Loan Tape'!$P87),MAX(IF('Loan Tape'!$Q87="",0,'Loan Tape'!$Q87),INDEX(Idx_Curve,1,9)+'Loan Tape'!$M87)),IF('Loan Tape'!$L87="",0,'Loan Tape'!$L87)))</f>
        <v>0</v>
      </c>
      <c r="L394" s="56" t="n">
        <f aca="false">IF('Loan Tape'!$AN87=0,0,IF('Loan Tape'!$K87="Floating",MIN(IF('Loan Tape'!$P87="",10,'Loan Tape'!$P87),MAX(IF('Loan Tape'!$Q87="",0,'Loan Tape'!$Q87),INDEX(Idx_Curve,1,10)+'Loan Tape'!$M87)),IF('Loan Tape'!$L87="",0,'Loan Tape'!$L87)))</f>
        <v>0</v>
      </c>
    </row>
    <row r="395" customFormat="false" ht="15" hidden="false" customHeight="false" outlineLevel="0" collapsed="false">
      <c r="B395" s="102" t="n">
        <f aca="false">'Loan Tape'!$A88</f>
        <v>0</v>
      </c>
      <c r="C395" s="104" t="n">
        <f aca="false">IF('Loan Tape'!$AN88=0,0,IF('Loan Tape'!$K88="Floating",MIN(IF('Loan Tape'!$P88="",10,'Loan Tape'!$P88),MAX(IF('Loan Tape'!$Q88="",0,'Loan Tape'!$Q88),INDEX(Idx_Curve,1,1)+'Loan Tape'!$M88)),IF('Loan Tape'!$L88="",0,'Loan Tape'!$L88)))</f>
        <v>0</v>
      </c>
      <c r="D395" s="104" t="n">
        <f aca="false">IF('Loan Tape'!$AN88=0,0,IF('Loan Tape'!$K88="Floating",MIN(IF('Loan Tape'!$P88="",10,'Loan Tape'!$P88),MAX(IF('Loan Tape'!$Q88="",0,'Loan Tape'!$Q88),INDEX(Idx_Curve,1,2)+'Loan Tape'!$M88)),IF('Loan Tape'!$L88="",0,'Loan Tape'!$L88)))</f>
        <v>0</v>
      </c>
      <c r="E395" s="104" t="n">
        <f aca="false">IF('Loan Tape'!$AN88=0,0,IF('Loan Tape'!$K88="Floating",MIN(IF('Loan Tape'!$P88="",10,'Loan Tape'!$P88),MAX(IF('Loan Tape'!$Q88="",0,'Loan Tape'!$Q88),INDEX(Idx_Curve,1,3)+'Loan Tape'!$M88)),IF('Loan Tape'!$L88="",0,'Loan Tape'!$L88)))</f>
        <v>0</v>
      </c>
      <c r="F395" s="104" t="n">
        <f aca="false">IF('Loan Tape'!$AN88=0,0,IF('Loan Tape'!$K88="Floating",MIN(IF('Loan Tape'!$P88="",10,'Loan Tape'!$P88),MAX(IF('Loan Tape'!$Q88="",0,'Loan Tape'!$Q88),INDEX(Idx_Curve,1,4)+'Loan Tape'!$M88)),IF('Loan Tape'!$L88="",0,'Loan Tape'!$L88)))</f>
        <v>0</v>
      </c>
      <c r="G395" s="104" t="n">
        <f aca="false">IF('Loan Tape'!$AN88=0,0,IF('Loan Tape'!$K88="Floating",MIN(IF('Loan Tape'!$P88="",10,'Loan Tape'!$P88),MAX(IF('Loan Tape'!$Q88="",0,'Loan Tape'!$Q88),INDEX(Idx_Curve,1,5)+'Loan Tape'!$M88)),IF('Loan Tape'!$L88="",0,'Loan Tape'!$L88)))</f>
        <v>0</v>
      </c>
      <c r="H395" s="104" t="n">
        <f aca="false">IF('Loan Tape'!$AN88=0,0,IF('Loan Tape'!$K88="Floating",MIN(IF('Loan Tape'!$P88="",10,'Loan Tape'!$P88),MAX(IF('Loan Tape'!$Q88="",0,'Loan Tape'!$Q88),INDEX(Idx_Curve,1,6)+'Loan Tape'!$M88)),IF('Loan Tape'!$L88="",0,'Loan Tape'!$L88)))</f>
        <v>0</v>
      </c>
      <c r="I395" s="104" t="n">
        <f aca="false">IF('Loan Tape'!$AN88=0,0,IF('Loan Tape'!$K88="Floating",MIN(IF('Loan Tape'!$P88="",10,'Loan Tape'!$P88),MAX(IF('Loan Tape'!$Q88="",0,'Loan Tape'!$Q88),INDEX(Idx_Curve,1,7)+'Loan Tape'!$M88)),IF('Loan Tape'!$L88="",0,'Loan Tape'!$L88)))</f>
        <v>0</v>
      </c>
      <c r="J395" s="104" t="n">
        <f aca="false">IF('Loan Tape'!$AN88=0,0,IF('Loan Tape'!$K88="Floating",MIN(IF('Loan Tape'!$P88="",10,'Loan Tape'!$P88),MAX(IF('Loan Tape'!$Q88="",0,'Loan Tape'!$Q88),INDEX(Idx_Curve,1,8)+'Loan Tape'!$M88)),IF('Loan Tape'!$L88="",0,'Loan Tape'!$L88)))</f>
        <v>0</v>
      </c>
      <c r="K395" s="104" t="n">
        <f aca="false">IF('Loan Tape'!$AN88=0,0,IF('Loan Tape'!$K88="Floating",MIN(IF('Loan Tape'!$P88="",10,'Loan Tape'!$P88),MAX(IF('Loan Tape'!$Q88="",0,'Loan Tape'!$Q88),INDEX(Idx_Curve,1,9)+'Loan Tape'!$M88)),IF('Loan Tape'!$L88="",0,'Loan Tape'!$L88)))</f>
        <v>0</v>
      </c>
      <c r="L395" s="104" t="n">
        <f aca="false">IF('Loan Tape'!$AN88=0,0,IF('Loan Tape'!$K88="Floating",MIN(IF('Loan Tape'!$P88="",10,'Loan Tape'!$P88),MAX(IF('Loan Tape'!$Q88="",0,'Loan Tape'!$Q88),INDEX(Idx_Curve,1,10)+'Loan Tape'!$M88)),IF('Loan Tape'!$L88="",0,'Loan Tape'!$L88)))</f>
        <v>0</v>
      </c>
    </row>
    <row r="396" customFormat="false" ht="15" hidden="false" customHeight="false" outlineLevel="0" collapsed="false">
      <c r="B396" s="108" t="n">
        <f aca="false">'Loan Tape'!$A89</f>
        <v>0</v>
      </c>
      <c r="C396" s="56" t="n">
        <f aca="false">IF('Loan Tape'!$AN89=0,0,IF('Loan Tape'!$K89="Floating",MIN(IF('Loan Tape'!$P89="",10,'Loan Tape'!$P89),MAX(IF('Loan Tape'!$Q89="",0,'Loan Tape'!$Q89),INDEX(Idx_Curve,1,1)+'Loan Tape'!$M89)),IF('Loan Tape'!$L89="",0,'Loan Tape'!$L89)))</f>
        <v>0</v>
      </c>
      <c r="D396" s="56" t="n">
        <f aca="false">IF('Loan Tape'!$AN89=0,0,IF('Loan Tape'!$K89="Floating",MIN(IF('Loan Tape'!$P89="",10,'Loan Tape'!$P89),MAX(IF('Loan Tape'!$Q89="",0,'Loan Tape'!$Q89),INDEX(Idx_Curve,1,2)+'Loan Tape'!$M89)),IF('Loan Tape'!$L89="",0,'Loan Tape'!$L89)))</f>
        <v>0</v>
      </c>
      <c r="E396" s="56" t="n">
        <f aca="false">IF('Loan Tape'!$AN89=0,0,IF('Loan Tape'!$K89="Floating",MIN(IF('Loan Tape'!$P89="",10,'Loan Tape'!$P89),MAX(IF('Loan Tape'!$Q89="",0,'Loan Tape'!$Q89),INDEX(Idx_Curve,1,3)+'Loan Tape'!$M89)),IF('Loan Tape'!$L89="",0,'Loan Tape'!$L89)))</f>
        <v>0</v>
      </c>
      <c r="F396" s="56" t="n">
        <f aca="false">IF('Loan Tape'!$AN89=0,0,IF('Loan Tape'!$K89="Floating",MIN(IF('Loan Tape'!$P89="",10,'Loan Tape'!$P89),MAX(IF('Loan Tape'!$Q89="",0,'Loan Tape'!$Q89),INDEX(Idx_Curve,1,4)+'Loan Tape'!$M89)),IF('Loan Tape'!$L89="",0,'Loan Tape'!$L89)))</f>
        <v>0</v>
      </c>
      <c r="G396" s="56" t="n">
        <f aca="false">IF('Loan Tape'!$AN89=0,0,IF('Loan Tape'!$K89="Floating",MIN(IF('Loan Tape'!$P89="",10,'Loan Tape'!$P89),MAX(IF('Loan Tape'!$Q89="",0,'Loan Tape'!$Q89),INDEX(Idx_Curve,1,5)+'Loan Tape'!$M89)),IF('Loan Tape'!$L89="",0,'Loan Tape'!$L89)))</f>
        <v>0</v>
      </c>
      <c r="H396" s="56" t="n">
        <f aca="false">IF('Loan Tape'!$AN89=0,0,IF('Loan Tape'!$K89="Floating",MIN(IF('Loan Tape'!$P89="",10,'Loan Tape'!$P89),MAX(IF('Loan Tape'!$Q89="",0,'Loan Tape'!$Q89),INDEX(Idx_Curve,1,6)+'Loan Tape'!$M89)),IF('Loan Tape'!$L89="",0,'Loan Tape'!$L89)))</f>
        <v>0</v>
      </c>
      <c r="I396" s="56" t="n">
        <f aca="false">IF('Loan Tape'!$AN89=0,0,IF('Loan Tape'!$K89="Floating",MIN(IF('Loan Tape'!$P89="",10,'Loan Tape'!$P89),MAX(IF('Loan Tape'!$Q89="",0,'Loan Tape'!$Q89),INDEX(Idx_Curve,1,7)+'Loan Tape'!$M89)),IF('Loan Tape'!$L89="",0,'Loan Tape'!$L89)))</f>
        <v>0</v>
      </c>
      <c r="J396" s="56" t="n">
        <f aca="false">IF('Loan Tape'!$AN89=0,0,IF('Loan Tape'!$K89="Floating",MIN(IF('Loan Tape'!$P89="",10,'Loan Tape'!$P89),MAX(IF('Loan Tape'!$Q89="",0,'Loan Tape'!$Q89),INDEX(Idx_Curve,1,8)+'Loan Tape'!$M89)),IF('Loan Tape'!$L89="",0,'Loan Tape'!$L89)))</f>
        <v>0</v>
      </c>
      <c r="K396" s="56" t="n">
        <f aca="false">IF('Loan Tape'!$AN89=0,0,IF('Loan Tape'!$K89="Floating",MIN(IF('Loan Tape'!$P89="",10,'Loan Tape'!$P89),MAX(IF('Loan Tape'!$Q89="",0,'Loan Tape'!$Q89),INDEX(Idx_Curve,1,9)+'Loan Tape'!$M89)),IF('Loan Tape'!$L89="",0,'Loan Tape'!$L89)))</f>
        <v>0</v>
      </c>
      <c r="L396" s="56" t="n">
        <f aca="false">IF('Loan Tape'!$AN89=0,0,IF('Loan Tape'!$K89="Floating",MIN(IF('Loan Tape'!$P89="",10,'Loan Tape'!$P89),MAX(IF('Loan Tape'!$Q89="",0,'Loan Tape'!$Q89),INDEX(Idx_Curve,1,10)+'Loan Tape'!$M89)),IF('Loan Tape'!$L89="",0,'Loan Tape'!$L89)))</f>
        <v>0</v>
      </c>
    </row>
    <row r="397" customFormat="false" ht="15" hidden="false" customHeight="false" outlineLevel="0" collapsed="false">
      <c r="B397" s="102" t="n">
        <f aca="false">'Loan Tape'!$A90</f>
        <v>0</v>
      </c>
      <c r="C397" s="104" t="n">
        <f aca="false">IF('Loan Tape'!$AN90=0,0,IF('Loan Tape'!$K90="Floating",MIN(IF('Loan Tape'!$P90="",10,'Loan Tape'!$P90),MAX(IF('Loan Tape'!$Q90="",0,'Loan Tape'!$Q90),INDEX(Idx_Curve,1,1)+'Loan Tape'!$M90)),IF('Loan Tape'!$L90="",0,'Loan Tape'!$L90)))</f>
        <v>0</v>
      </c>
      <c r="D397" s="104" t="n">
        <f aca="false">IF('Loan Tape'!$AN90=0,0,IF('Loan Tape'!$K90="Floating",MIN(IF('Loan Tape'!$P90="",10,'Loan Tape'!$P90),MAX(IF('Loan Tape'!$Q90="",0,'Loan Tape'!$Q90),INDEX(Idx_Curve,1,2)+'Loan Tape'!$M90)),IF('Loan Tape'!$L90="",0,'Loan Tape'!$L90)))</f>
        <v>0</v>
      </c>
      <c r="E397" s="104" t="n">
        <f aca="false">IF('Loan Tape'!$AN90=0,0,IF('Loan Tape'!$K90="Floating",MIN(IF('Loan Tape'!$P90="",10,'Loan Tape'!$P90),MAX(IF('Loan Tape'!$Q90="",0,'Loan Tape'!$Q90),INDEX(Idx_Curve,1,3)+'Loan Tape'!$M90)),IF('Loan Tape'!$L90="",0,'Loan Tape'!$L90)))</f>
        <v>0</v>
      </c>
      <c r="F397" s="104" t="n">
        <f aca="false">IF('Loan Tape'!$AN90=0,0,IF('Loan Tape'!$K90="Floating",MIN(IF('Loan Tape'!$P90="",10,'Loan Tape'!$P90),MAX(IF('Loan Tape'!$Q90="",0,'Loan Tape'!$Q90),INDEX(Idx_Curve,1,4)+'Loan Tape'!$M90)),IF('Loan Tape'!$L90="",0,'Loan Tape'!$L90)))</f>
        <v>0</v>
      </c>
      <c r="G397" s="104" t="n">
        <f aca="false">IF('Loan Tape'!$AN90=0,0,IF('Loan Tape'!$K90="Floating",MIN(IF('Loan Tape'!$P90="",10,'Loan Tape'!$P90),MAX(IF('Loan Tape'!$Q90="",0,'Loan Tape'!$Q90),INDEX(Idx_Curve,1,5)+'Loan Tape'!$M90)),IF('Loan Tape'!$L90="",0,'Loan Tape'!$L90)))</f>
        <v>0</v>
      </c>
      <c r="H397" s="104" t="n">
        <f aca="false">IF('Loan Tape'!$AN90=0,0,IF('Loan Tape'!$K90="Floating",MIN(IF('Loan Tape'!$P90="",10,'Loan Tape'!$P90),MAX(IF('Loan Tape'!$Q90="",0,'Loan Tape'!$Q90),INDEX(Idx_Curve,1,6)+'Loan Tape'!$M90)),IF('Loan Tape'!$L90="",0,'Loan Tape'!$L90)))</f>
        <v>0</v>
      </c>
      <c r="I397" s="104" t="n">
        <f aca="false">IF('Loan Tape'!$AN90=0,0,IF('Loan Tape'!$K90="Floating",MIN(IF('Loan Tape'!$P90="",10,'Loan Tape'!$P90),MAX(IF('Loan Tape'!$Q90="",0,'Loan Tape'!$Q90),INDEX(Idx_Curve,1,7)+'Loan Tape'!$M90)),IF('Loan Tape'!$L90="",0,'Loan Tape'!$L90)))</f>
        <v>0</v>
      </c>
      <c r="J397" s="104" t="n">
        <f aca="false">IF('Loan Tape'!$AN90=0,0,IF('Loan Tape'!$K90="Floating",MIN(IF('Loan Tape'!$P90="",10,'Loan Tape'!$P90),MAX(IF('Loan Tape'!$Q90="",0,'Loan Tape'!$Q90),INDEX(Idx_Curve,1,8)+'Loan Tape'!$M90)),IF('Loan Tape'!$L90="",0,'Loan Tape'!$L90)))</f>
        <v>0</v>
      </c>
      <c r="K397" s="104" t="n">
        <f aca="false">IF('Loan Tape'!$AN90=0,0,IF('Loan Tape'!$K90="Floating",MIN(IF('Loan Tape'!$P90="",10,'Loan Tape'!$P90),MAX(IF('Loan Tape'!$Q90="",0,'Loan Tape'!$Q90),INDEX(Idx_Curve,1,9)+'Loan Tape'!$M90)),IF('Loan Tape'!$L90="",0,'Loan Tape'!$L90)))</f>
        <v>0</v>
      </c>
      <c r="L397" s="104" t="n">
        <f aca="false">IF('Loan Tape'!$AN90=0,0,IF('Loan Tape'!$K90="Floating",MIN(IF('Loan Tape'!$P90="",10,'Loan Tape'!$P90),MAX(IF('Loan Tape'!$Q90="",0,'Loan Tape'!$Q90),INDEX(Idx_Curve,1,10)+'Loan Tape'!$M90)),IF('Loan Tape'!$L90="",0,'Loan Tape'!$L90)))</f>
        <v>0</v>
      </c>
    </row>
    <row r="398" customFormat="false" ht="15" hidden="false" customHeight="false" outlineLevel="0" collapsed="false">
      <c r="B398" s="108" t="n">
        <f aca="false">'Loan Tape'!$A91</f>
        <v>0</v>
      </c>
      <c r="C398" s="56" t="n">
        <f aca="false">IF('Loan Tape'!$AN91=0,0,IF('Loan Tape'!$K91="Floating",MIN(IF('Loan Tape'!$P91="",10,'Loan Tape'!$P91),MAX(IF('Loan Tape'!$Q91="",0,'Loan Tape'!$Q91),INDEX(Idx_Curve,1,1)+'Loan Tape'!$M91)),IF('Loan Tape'!$L91="",0,'Loan Tape'!$L91)))</f>
        <v>0</v>
      </c>
      <c r="D398" s="56" t="n">
        <f aca="false">IF('Loan Tape'!$AN91=0,0,IF('Loan Tape'!$K91="Floating",MIN(IF('Loan Tape'!$P91="",10,'Loan Tape'!$P91),MAX(IF('Loan Tape'!$Q91="",0,'Loan Tape'!$Q91),INDEX(Idx_Curve,1,2)+'Loan Tape'!$M91)),IF('Loan Tape'!$L91="",0,'Loan Tape'!$L91)))</f>
        <v>0</v>
      </c>
      <c r="E398" s="56" t="n">
        <f aca="false">IF('Loan Tape'!$AN91=0,0,IF('Loan Tape'!$K91="Floating",MIN(IF('Loan Tape'!$P91="",10,'Loan Tape'!$P91),MAX(IF('Loan Tape'!$Q91="",0,'Loan Tape'!$Q91),INDEX(Idx_Curve,1,3)+'Loan Tape'!$M91)),IF('Loan Tape'!$L91="",0,'Loan Tape'!$L91)))</f>
        <v>0</v>
      </c>
      <c r="F398" s="56" t="n">
        <f aca="false">IF('Loan Tape'!$AN91=0,0,IF('Loan Tape'!$K91="Floating",MIN(IF('Loan Tape'!$P91="",10,'Loan Tape'!$P91),MAX(IF('Loan Tape'!$Q91="",0,'Loan Tape'!$Q91),INDEX(Idx_Curve,1,4)+'Loan Tape'!$M91)),IF('Loan Tape'!$L91="",0,'Loan Tape'!$L91)))</f>
        <v>0</v>
      </c>
      <c r="G398" s="56" t="n">
        <f aca="false">IF('Loan Tape'!$AN91=0,0,IF('Loan Tape'!$K91="Floating",MIN(IF('Loan Tape'!$P91="",10,'Loan Tape'!$P91),MAX(IF('Loan Tape'!$Q91="",0,'Loan Tape'!$Q91),INDEX(Idx_Curve,1,5)+'Loan Tape'!$M91)),IF('Loan Tape'!$L91="",0,'Loan Tape'!$L91)))</f>
        <v>0</v>
      </c>
      <c r="H398" s="56" t="n">
        <f aca="false">IF('Loan Tape'!$AN91=0,0,IF('Loan Tape'!$K91="Floating",MIN(IF('Loan Tape'!$P91="",10,'Loan Tape'!$P91),MAX(IF('Loan Tape'!$Q91="",0,'Loan Tape'!$Q91),INDEX(Idx_Curve,1,6)+'Loan Tape'!$M91)),IF('Loan Tape'!$L91="",0,'Loan Tape'!$L91)))</f>
        <v>0</v>
      </c>
      <c r="I398" s="56" t="n">
        <f aca="false">IF('Loan Tape'!$AN91=0,0,IF('Loan Tape'!$K91="Floating",MIN(IF('Loan Tape'!$P91="",10,'Loan Tape'!$P91),MAX(IF('Loan Tape'!$Q91="",0,'Loan Tape'!$Q91),INDEX(Idx_Curve,1,7)+'Loan Tape'!$M91)),IF('Loan Tape'!$L91="",0,'Loan Tape'!$L91)))</f>
        <v>0</v>
      </c>
      <c r="J398" s="56" t="n">
        <f aca="false">IF('Loan Tape'!$AN91=0,0,IF('Loan Tape'!$K91="Floating",MIN(IF('Loan Tape'!$P91="",10,'Loan Tape'!$P91),MAX(IF('Loan Tape'!$Q91="",0,'Loan Tape'!$Q91),INDEX(Idx_Curve,1,8)+'Loan Tape'!$M91)),IF('Loan Tape'!$L91="",0,'Loan Tape'!$L91)))</f>
        <v>0</v>
      </c>
      <c r="K398" s="56" t="n">
        <f aca="false">IF('Loan Tape'!$AN91=0,0,IF('Loan Tape'!$K91="Floating",MIN(IF('Loan Tape'!$P91="",10,'Loan Tape'!$P91),MAX(IF('Loan Tape'!$Q91="",0,'Loan Tape'!$Q91),INDEX(Idx_Curve,1,9)+'Loan Tape'!$M91)),IF('Loan Tape'!$L91="",0,'Loan Tape'!$L91)))</f>
        <v>0</v>
      </c>
      <c r="L398" s="56" t="n">
        <f aca="false">IF('Loan Tape'!$AN91=0,0,IF('Loan Tape'!$K91="Floating",MIN(IF('Loan Tape'!$P91="",10,'Loan Tape'!$P91),MAX(IF('Loan Tape'!$Q91="",0,'Loan Tape'!$Q91),INDEX(Idx_Curve,1,10)+'Loan Tape'!$M91)),IF('Loan Tape'!$L91="",0,'Loan Tape'!$L91)))</f>
        <v>0</v>
      </c>
    </row>
    <row r="399" customFormat="false" ht="15" hidden="false" customHeight="false" outlineLevel="0" collapsed="false">
      <c r="B399" s="102" t="n">
        <f aca="false">'Loan Tape'!$A92</f>
        <v>0</v>
      </c>
      <c r="C399" s="104" t="n">
        <f aca="false">IF('Loan Tape'!$AN92=0,0,IF('Loan Tape'!$K92="Floating",MIN(IF('Loan Tape'!$P92="",10,'Loan Tape'!$P92),MAX(IF('Loan Tape'!$Q92="",0,'Loan Tape'!$Q92),INDEX(Idx_Curve,1,1)+'Loan Tape'!$M92)),IF('Loan Tape'!$L92="",0,'Loan Tape'!$L92)))</f>
        <v>0</v>
      </c>
      <c r="D399" s="104" t="n">
        <f aca="false">IF('Loan Tape'!$AN92=0,0,IF('Loan Tape'!$K92="Floating",MIN(IF('Loan Tape'!$P92="",10,'Loan Tape'!$P92),MAX(IF('Loan Tape'!$Q92="",0,'Loan Tape'!$Q92),INDEX(Idx_Curve,1,2)+'Loan Tape'!$M92)),IF('Loan Tape'!$L92="",0,'Loan Tape'!$L92)))</f>
        <v>0</v>
      </c>
      <c r="E399" s="104" t="n">
        <f aca="false">IF('Loan Tape'!$AN92=0,0,IF('Loan Tape'!$K92="Floating",MIN(IF('Loan Tape'!$P92="",10,'Loan Tape'!$P92),MAX(IF('Loan Tape'!$Q92="",0,'Loan Tape'!$Q92),INDEX(Idx_Curve,1,3)+'Loan Tape'!$M92)),IF('Loan Tape'!$L92="",0,'Loan Tape'!$L92)))</f>
        <v>0</v>
      </c>
      <c r="F399" s="104" t="n">
        <f aca="false">IF('Loan Tape'!$AN92=0,0,IF('Loan Tape'!$K92="Floating",MIN(IF('Loan Tape'!$P92="",10,'Loan Tape'!$P92),MAX(IF('Loan Tape'!$Q92="",0,'Loan Tape'!$Q92),INDEX(Idx_Curve,1,4)+'Loan Tape'!$M92)),IF('Loan Tape'!$L92="",0,'Loan Tape'!$L92)))</f>
        <v>0</v>
      </c>
      <c r="G399" s="104" t="n">
        <f aca="false">IF('Loan Tape'!$AN92=0,0,IF('Loan Tape'!$K92="Floating",MIN(IF('Loan Tape'!$P92="",10,'Loan Tape'!$P92),MAX(IF('Loan Tape'!$Q92="",0,'Loan Tape'!$Q92),INDEX(Idx_Curve,1,5)+'Loan Tape'!$M92)),IF('Loan Tape'!$L92="",0,'Loan Tape'!$L92)))</f>
        <v>0</v>
      </c>
      <c r="H399" s="104" t="n">
        <f aca="false">IF('Loan Tape'!$AN92=0,0,IF('Loan Tape'!$K92="Floating",MIN(IF('Loan Tape'!$P92="",10,'Loan Tape'!$P92),MAX(IF('Loan Tape'!$Q92="",0,'Loan Tape'!$Q92),INDEX(Idx_Curve,1,6)+'Loan Tape'!$M92)),IF('Loan Tape'!$L92="",0,'Loan Tape'!$L92)))</f>
        <v>0</v>
      </c>
      <c r="I399" s="104" t="n">
        <f aca="false">IF('Loan Tape'!$AN92=0,0,IF('Loan Tape'!$K92="Floating",MIN(IF('Loan Tape'!$P92="",10,'Loan Tape'!$P92),MAX(IF('Loan Tape'!$Q92="",0,'Loan Tape'!$Q92),INDEX(Idx_Curve,1,7)+'Loan Tape'!$M92)),IF('Loan Tape'!$L92="",0,'Loan Tape'!$L92)))</f>
        <v>0</v>
      </c>
      <c r="J399" s="104" t="n">
        <f aca="false">IF('Loan Tape'!$AN92=0,0,IF('Loan Tape'!$K92="Floating",MIN(IF('Loan Tape'!$P92="",10,'Loan Tape'!$P92),MAX(IF('Loan Tape'!$Q92="",0,'Loan Tape'!$Q92),INDEX(Idx_Curve,1,8)+'Loan Tape'!$M92)),IF('Loan Tape'!$L92="",0,'Loan Tape'!$L92)))</f>
        <v>0</v>
      </c>
      <c r="K399" s="104" t="n">
        <f aca="false">IF('Loan Tape'!$AN92=0,0,IF('Loan Tape'!$K92="Floating",MIN(IF('Loan Tape'!$P92="",10,'Loan Tape'!$P92),MAX(IF('Loan Tape'!$Q92="",0,'Loan Tape'!$Q92),INDEX(Idx_Curve,1,9)+'Loan Tape'!$M92)),IF('Loan Tape'!$L92="",0,'Loan Tape'!$L92)))</f>
        <v>0</v>
      </c>
      <c r="L399" s="104" t="n">
        <f aca="false">IF('Loan Tape'!$AN92=0,0,IF('Loan Tape'!$K92="Floating",MIN(IF('Loan Tape'!$P92="",10,'Loan Tape'!$P92),MAX(IF('Loan Tape'!$Q92="",0,'Loan Tape'!$Q92),INDEX(Idx_Curve,1,10)+'Loan Tape'!$M92)),IF('Loan Tape'!$L92="",0,'Loan Tape'!$L92)))</f>
        <v>0</v>
      </c>
    </row>
    <row r="400" customFormat="false" ht="15" hidden="false" customHeight="false" outlineLevel="0" collapsed="false">
      <c r="B400" s="108" t="n">
        <f aca="false">'Loan Tape'!$A93</f>
        <v>0</v>
      </c>
      <c r="C400" s="56" t="n">
        <f aca="false">IF('Loan Tape'!$AN93=0,0,IF('Loan Tape'!$K93="Floating",MIN(IF('Loan Tape'!$P93="",10,'Loan Tape'!$P93),MAX(IF('Loan Tape'!$Q93="",0,'Loan Tape'!$Q93),INDEX(Idx_Curve,1,1)+'Loan Tape'!$M93)),IF('Loan Tape'!$L93="",0,'Loan Tape'!$L93)))</f>
        <v>0</v>
      </c>
      <c r="D400" s="56" t="n">
        <f aca="false">IF('Loan Tape'!$AN93=0,0,IF('Loan Tape'!$K93="Floating",MIN(IF('Loan Tape'!$P93="",10,'Loan Tape'!$P93),MAX(IF('Loan Tape'!$Q93="",0,'Loan Tape'!$Q93),INDEX(Idx_Curve,1,2)+'Loan Tape'!$M93)),IF('Loan Tape'!$L93="",0,'Loan Tape'!$L93)))</f>
        <v>0</v>
      </c>
      <c r="E400" s="56" t="n">
        <f aca="false">IF('Loan Tape'!$AN93=0,0,IF('Loan Tape'!$K93="Floating",MIN(IF('Loan Tape'!$P93="",10,'Loan Tape'!$P93),MAX(IF('Loan Tape'!$Q93="",0,'Loan Tape'!$Q93),INDEX(Idx_Curve,1,3)+'Loan Tape'!$M93)),IF('Loan Tape'!$L93="",0,'Loan Tape'!$L93)))</f>
        <v>0</v>
      </c>
      <c r="F400" s="56" t="n">
        <f aca="false">IF('Loan Tape'!$AN93=0,0,IF('Loan Tape'!$K93="Floating",MIN(IF('Loan Tape'!$P93="",10,'Loan Tape'!$P93),MAX(IF('Loan Tape'!$Q93="",0,'Loan Tape'!$Q93),INDEX(Idx_Curve,1,4)+'Loan Tape'!$M93)),IF('Loan Tape'!$L93="",0,'Loan Tape'!$L93)))</f>
        <v>0</v>
      </c>
      <c r="G400" s="56" t="n">
        <f aca="false">IF('Loan Tape'!$AN93=0,0,IF('Loan Tape'!$K93="Floating",MIN(IF('Loan Tape'!$P93="",10,'Loan Tape'!$P93),MAX(IF('Loan Tape'!$Q93="",0,'Loan Tape'!$Q93),INDEX(Idx_Curve,1,5)+'Loan Tape'!$M93)),IF('Loan Tape'!$L93="",0,'Loan Tape'!$L93)))</f>
        <v>0</v>
      </c>
      <c r="H400" s="56" t="n">
        <f aca="false">IF('Loan Tape'!$AN93=0,0,IF('Loan Tape'!$K93="Floating",MIN(IF('Loan Tape'!$P93="",10,'Loan Tape'!$P93),MAX(IF('Loan Tape'!$Q93="",0,'Loan Tape'!$Q93),INDEX(Idx_Curve,1,6)+'Loan Tape'!$M93)),IF('Loan Tape'!$L93="",0,'Loan Tape'!$L93)))</f>
        <v>0</v>
      </c>
      <c r="I400" s="56" t="n">
        <f aca="false">IF('Loan Tape'!$AN93=0,0,IF('Loan Tape'!$K93="Floating",MIN(IF('Loan Tape'!$P93="",10,'Loan Tape'!$P93),MAX(IF('Loan Tape'!$Q93="",0,'Loan Tape'!$Q93),INDEX(Idx_Curve,1,7)+'Loan Tape'!$M93)),IF('Loan Tape'!$L93="",0,'Loan Tape'!$L93)))</f>
        <v>0</v>
      </c>
      <c r="J400" s="56" t="n">
        <f aca="false">IF('Loan Tape'!$AN93=0,0,IF('Loan Tape'!$K93="Floating",MIN(IF('Loan Tape'!$P93="",10,'Loan Tape'!$P93),MAX(IF('Loan Tape'!$Q93="",0,'Loan Tape'!$Q93),INDEX(Idx_Curve,1,8)+'Loan Tape'!$M93)),IF('Loan Tape'!$L93="",0,'Loan Tape'!$L93)))</f>
        <v>0</v>
      </c>
      <c r="K400" s="56" t="n">
        <f aca="false">IF('Loan Tape'!$AN93=0,0,IF('Loan Tape'!$K93="Floating",MIN(IF('Loan Tape'!$P93="",10,'Loan Tape'!$P93),MAX(IF('Loan Tape'!$Q93="",0,'Loan Tape'!$Q93),INDEX(Idx_Curve,1,9)+'Loan Tape'!$M93)),IF('Loan Tape'!$L93="",0,'Loan Tape'!$L93)))</f>
        <v>0</v>
      </c>
      <c r="L400" s="56" t="n">
        <f aca="false">IF('Loan Tape'!$AN93=0,0,IF('Loan Tape'!$K93="Floating",MIN(IF('Loan Tape'!$P93="",10,'Loan Tape'!$P93),MAX(IF('Loan Tape'!$Q93="",0,'Loan Tape'!$Q93),INDEX(Idx_Curve,1,10)+'Loan Tape'!$M93)),IF('Loan Tape'!$L93="",0,'Loan Tape'!$L93)))</f>
        <v>0</v>
      </c>
    </row>
    <row r="401" customFormat="false" ht="15" hidden="false" customHeight="false" outlineLevel="0" collapsed="false">
      <c r="B401" s="102" t="n">
        <f aca="false">'Loan Tape'!$A94</f>
        <v>0</v>
      </c>
      <c r="C401" s="104" t="n">
        <f aca="false">IF('Loan Tape'!$AN94=0,0,IF('Loan Tape'!$K94="Floating",MIN(IF('Loan Tape'!$P94="",10,'Loan Tape'!$P94),MAX(IF('Loan Tape'!$Q94="",0,'Loan Tape'!$Q94),INDEX(Idx_Curve,1,1)+'Loan Tape'!$M94)),IF('Loan Tape'!$L94="",0,'Loan Tape'!$L94)))</f>
        <v>0</v>
      </c>
      <c r="D401" s="104" t="n">
        <f aca="false">IF('Loan Tape'!$AN94=0,0,IF('Loan Tape'!$K94="Floating",MIN(IF('Loan Tape'!$P94="",10,'Loan Tape'!$P94),MAX(IF('Loan Tape'!$Q94="",0,'Loan Tape'!$Q94),INDEX(Idx_Curve,1,2)+'Loan Tape'!$M94)),IF('Loan Tape'!$L94="",0,'Loan Tape'!$L94)))</f>
        <v>0</v>
      </c>
      <c r="E401" s="104" t="n">
        <f aca="false">IF('Loan Tape'!$AN94=0,0,IF('Loan Tape'!$K94="Floating",MIN(IF('Loan Tape'!$P94="",10,'Loan Tape'!$P94),MAX(IF('Loan Tape'!$Q94="",0,'Loan Tape'!$Q94),INDEX(Idx_Curve,1,3)+'Loan Tape'!$M94)),IF('Loan Tape'!$L94="",0,'Loan Tape'!$L94)))</f>
        <v>0</v>
      </c>
      <c r="F401" s="104" t="n">
        <f aca="false">IF('Loan Tape'!$AN94=0,0,IF('Loan Tape'!$K94="Floating",MIN(IF('Loan Tape'!$P94="",10,'Loan Tape'!$P94),MAX(IF('Loan Tape'!$Q94="",0,'Loan Tape'!$Q94),INDEX(Idx_Curve,1,4)+'Loan Tape'!$M94)),IF('Loan Tape'!$L94="",0,'Loan Tape'!$L94)))</f>
        <v>0</v>
      </c>
      <c r="G401" s="104" t="n">
        <f aca="false">IF('Loan Tape'!$AN94=0,0,IF('Loan Tape'!$K94="Floating",MIN(IF('Loan Tape'!$P94="",10,'Loan Tape'!$P94),MAX(IF('Loan Tape'!$Q94="",0,'Loan Tape'!$Q94),INDEX(Idx_Curve,1,5)+'Loan Tape'!$M94)),IF('Loan Tape'!$L94="",0,'Loan Tape'!$L94)))</f>
        <v>0</v>
      </c>
      <c r="H401" s="104" t="n">
        <f aca="false">IF('Loan Tape'!$AN94=0,0,IF('Loan Tape'!$K94="Floating",MIN(IF('Loan Tape'!$P94="",10,'Loan Tape'!$P94),MAX(IF('Loan Tape'!$Q94="",0,'Loan Tape'!$Q94),INDEX(Idx_Curve,1,6)+'Loan Tape'!$M94)),IF('Loan Tape'!$L94="",0,'Loan Tape'!$L94)))</f>
        <v>0</v>
      </c>
      <c r="I401" s="104" t="n">
        <f aca="false">IF('Loan Tape'!$AN94=0,0,IF('Loan Tape'!$K94="Floating",MIN(IF('Loan Tape'!$P94="",10,'Loan Tape'!$P94),MAX(IF('Loan Tape'!$Q94="",0,'Loan Tape'!$Q94),INDEX(Idx_Curve,1,7)+'Loan Tape'!$M94)),IF('Loan Tape'!$L94="",0,'Loan Tape'!$L94)))</f>
        <v>0</v>
      </c>
      <c r="J401" s="104" t="n">
        <f aca="false">IF('Loan Tape'!$AN94=0,0,IF('Loan Tape'!$K94="Floating",MIN(IF('Loan Tape'!$P94="",10,'Loan Tape'!$P94),MAX(IF('Loan Tape'!$Q94="",0,'Loan Tape'!$Q94),INDEX(Idx_Curve,1,8)+'Loan Tape'!$M94)),IF('Loan Tape'!$L94="",0,'Loan Tape'!$L94)))</f>
        <v>0</v>
      </c>
      <c r="K401" s="104" t="n">
        <f aca="false">IF('Loan Tape'!$AN94=0,0,IF('Loan Tape'!$K94="Floating",MIN(IF('Loan Tape'!$P94="",10,'Loan Tape'!$P94),MAX(IF('Loan Tape'!$Q94="",0,'Loan Tape'!$Q94),INDEX(Idx_Curve,1,9)+'Loan Tape'!$M94)),IF('Loan Tape'!$L94="",0,'Loan Tape'!$L94)))</f>
        <v>0</v>
      </c>
      <c r="L401" s="104" t="n">
        <f aca="false">IF('Loan Tape'!$AN94=0,0,IF('Loan Tape'!$K94="Floating",MIN(IF('Loan Tape'!$P94="",10,'Loan Tape'!$P94),MAX(IF('Loan Tape'!$Q94="",0,'Loan Tape'!$Q94),INDEX(Idx_Curve,1,10)+'Loan Tape'!$M94)),IF('Loan Tape'!$L94="",0,'Loan Tape'!$L94)))</f>
        <v>0</v>
      </c>
    </row>
    <row r="402" customFormat="false" ht="15" hidden="false" customHeight="false" outlineLevel="0" collapsed="false">
      <c r="B402" s="108" t="n">
        <f aca="false">'Loan Tape'!$A95</f>
        <v>0</v>
      </c>
      <c r="C402" s="56" t="n">
        <f aca="false">IF('Loan Tape'!$AN95=0,0,IF('Loan Tape'!$K95="Floating",MIN(IF('Loan Tape'!$P95="",10,'Loan Tape'!$P95),MAX(IF('Loan Tape'!$Q95="",0,'Loan Tape'!$Q95),INDEX(Idx_Curve,1,1)+'Loan Tape'!$M95)),IF('Loan Tape'!$L95="",0,'Loan Tape'!$L95)))</f>
        <v>0</v>
      </c>
      <c r="D402" s="56" t="n">
        <f aca="false">IF('Loan Tape'!$AN95=0,0,IF('Loan Tape'!$K95="Floating",MIN(IF('Loan Tape'!$P95="",10,'Loan Tape'!$P95),MAX(IF('Loan Tape'!$Q95="",0,'Loan Tape'!$Q95),INDEX(Idx_Curve,1,2)+'Loan Tape'!$M95)),IF('Loan Tape'!$L95="",0,'Loan Tape'!$L95)))</f>
        <v>0</v>
      </c>
      <c r="E402" s="56" t="n">
        <f aca="false">IF('Loan Tape'!$AN95=0,0,IF('Loan Tape'!$K95="Floating",MIN(IF('Loan Tape'!$P95="",10,'Loan Tape'!$P95),MAX(IF('Loan Tape'!$Q95="",0,'Loan Tape'!$Q95),INDEX(Idx_Curve,1,3)+'Loan Tape'!$M95)),IF('Loan Tape'!$L95="",0,'Loan Tape'!$L95)))</f>
        <v>0</v>
      </c>
      <c r="F402" s="56" t="n">
        <f aca="false">IF('Loan Tape'!$AN95=0,0,IF('Loan Tape'!$K95="Floating",MIN(IF('Loan Tape'!$P95="",10,'Loan Tape'!$P95),MAX(IF('Loan Tape'!$Q95="",0,'Loan Tape'!$Q95),INDEX(Idx_Curve,1,4)+'Loan Tape'!$M95)),IF('Loan Tape'!$L95="",0,'Loan Tape'!$L95)))</f>
        <v>0</v>
      </c>
      <c r="G402" s="56" t="n">
        <f aca="false">IF('Loan Tape'!$AN95=0,0,IF('Loan Tape'!$K95="Floating",MIN(IF('Loan Tape'!$P95="",10,'Loan Tape'!$P95),MAX(IF('Loan Tape'!$Q95="",0,'Loan Tape'!$Q95),INDEX(Idx_Curve,1,5)+'Loan Tape'!$M95)),IF('Loan Tape'!$L95="",0,'Loan Tape'!$L95)))</f>
        <v>0</v>
      </c>
      <c r="H402" s="56" t="n">
        <f aca="false">IF('Loan Tape'!$AN95=0,0,IF('Loan Tape'!$K95="Floating",MIN(IF('Loan Tape'!$P95="",10,'Loan Tape'!$P95),MAX(IF('Loan Tape'!$Q95="",0,'Loan Tape'!$Q95),INDEX(Idx_Curve,1,6)+'Loan Tape'!$M95)),IF('Loan Tape'!$L95="",0,'Loan Tape'!$L95)))</f>
        <v>0</v>
      </c>
      <c r="I402" s="56" t="n">
        <f aca="false">IF('Loan Tape'!$AN95=0,0,IF('Loan Tape'!$K95="Floating",MIN(IF('Loan Tape'!$P95="",10,'Loan Tape'!$P95),MAX(IF('Loan Tape'!$Q95="",0,'Loan Tape'!$Q95),INDEX(Idx_Curve,1,7)+'Loan Tape'!$M95)),IF('Loan Tape'!$L95="",0,'Loan Tape'!$L95)))</f>
        <v>0</v>
      </c>
      <c r="J402" s="56" t="n">
        <f aca="false">IF('Loan Tape'!$AN95=0,0,IF('Loan Tape'!$K95="Floating",MIN(IF('Loan Tape'!$P95="",10,'Loan Tape'!$P95),MAX(IF('Loan Tape'!$Q95="",0,'Loan Tape'!$Q95),INDEX(Idx_Curve,1,8)+'Loan Tape'!$M95)),IF('Loan Tape'!$L95="",0,'Loan Tape'!$L95)))</f>
        <v>0</v>
      </c>
      <c r="K402" s="56" t="n">
        <f aca="false">IF('Loan Tape'!$AN95=0,0,IF('Loan Tape'!$K95="Floating",MIN(IF('Loan Tape'!$P95="",10,'Loan Tape'!$P95),MAX(IF('Loan Tape'!$Q95="",0,'Loan Tape'!$Q95),INDEX(Idx_Curve,1,9)+'Loan Tape'!$M95)),IF('Loan Tape'!$L95="",0,'Loan Tape'!$L95)))</f>
        <v>0</v>
      </c>
      <c r="L402" s="56" t="n">
        <f aca="false">IF('Loan Tape'!$AN95=0,0,IF('Loan Tape'!$K95="Floating",MIN(IF('Loan Tape'!$P95="",10,'Loan Tape'!$P95),MAX(IF('Loan Tape'!$Q95="",0,'Loan Tape'!$Q95),INDEX(Idx_Curve,1,10)+'Loan Tape'!$M95)),IF('Loan Tape'!$L95="",0,'Loan Tape'!$L95)))</f>
        <v>0</v>
      </c>
    </row>
    <row r="403" customFormat="false" ht="15" hidden="false" customHeight="false" outlineLevel="0" collapsed="false">
      <c r="B403" s="102" t="n">
        <f aca="false">'Loan Tape'!$A96</f>
        <v>0</v>
      </c>
      <c r="C403" s="104" t="n">
        <f aca="false">IF('Loan Tape'!$AN96=0,0,IF('Loan Tape'!$K96="Floating",MIN(IF('Loan Tape'!$P96="",10,'Loan Tape'!$P96),MAX(IF('Loan Tape'!$Q96="",0,'Loan Tape'!$Q96),INDEX(Idx_Curve,1,1)+'Loan Tape'!$M96)),IF('Loan Tape'!$L96="",0,'Loan Tape'!$L96)))</f>
        <v>0</v>
      </c>
      <c r="D403" s="104" t="n">
        <f aca="false">IF('Loan Tape'!$AN96=0,0,IF('Loan Tape'!$K96="Floating",MIN(IF('Loan Tape'!$P96="",10,'Loan Tape'!$P96),MAX(IF('Loan Tape'!$Q96="",0,'Loan Tape'!$Q96),INDEX(Idx_Curve,1,2)+'Loan Tape'!$M96)),IF('Loan Tape'!$L96="",0,'Loan Tape'!$L96)))</f>
        <v>0</v>
      </c>
      <c r="E403" s="104" t="n">
        <f aca="false">IF('Loan Tape'!$AN96=0,0,IF('Loan Tape'!$K96="Floating",MIN(IF('Loan Tape'!$P96="",10,'Loan Tape'!$P96),MAX(IF('Loan Tape'!$Q96="",0,'Loan Tape'!$Q96),INDEX(Idx_Curve,1,3)+'Loan Tape'!$M96)),IF('Loan Tape'!$L96="",0,'Loan Tape'!$L96)))</f>
        <v>0</v>
      </c>
      <c r="F403" s="104" t="n">
        <f aca="false">IF('Loan Tape'!$AN96=0,0,IF('Loan Tape'!$K96="Floating",MIN(IF('Loan Tape'!$P96="",10,'Loan Tape'!$P96),MAX(IF('Loan Tape'!$Q96="",0,'Loan Tape'!$Q96),INDEX(Idx_Curve,1,4)+'Loan Tape'!$M96)),IF('Loan Tape'!$L96="",0,'Loan Tape'!$L96)))</f>
        <v>0</v>
      </c>
      <c r="G403" s="104" t="n">
        <f aca="false">IF('Loan Tape'!$AN96=0,0,IF('Loan Tape'!$K96="Floating",MIN(IF('Loan Tape'!$P96="",10,'Loan Tape'!$P96),MAX(IF('Loan Tape'!$Q96="",0,'Loan Tape'!$Q96),INDEX(Idx_Curve,1,5)+'Loan Tape'!$M96)),IF('Loan Tape'!$L96="",0,'Loan Tape'!$L96)))</f>
        <v>0</v>
      </c>
      <c r="H403" s="104" t="n">
        <f aca="false">IF('Loan Tape'!$AN96=0,0,IF('Loan Tape'!$K96="Floating",MIN(IF('Loan Tape'!$P96="",10,'Loan Tape'!$P96),MAX(IF('Loan Tape'!$Q96="",0,'Loan Tape'!$Q96),INDEX(Idx_Curve,1,6)+'Loan Tape'!$M96)),IF('Loan Tape'!$L96="",0,'Loan Tape'!$L96)))</f>
        <v>0</v>
      </c>
      <c r="I403" s="104" t="n">
        <f aca="false">IF('Loan Tape'!$AN96=0,0,IF('Loan Tape'!$K96="Floating",MIN(IF('Loan Tape'!$P96="",10,'Loan Tape'!$P96),MAX(IF('Loan Tape'!$Q96="",0,'Loan Tape'!$Q96),INDEX(Idx_Curve,1,7)+'Loan Tape'!$M96)),IF('Loan Tape'!$L96="",0,'Loan Tape'!$L96)))</f>
        <v>0</v>
      </c>
      <c r="J403" s="104" t="n">
        <f aca="false">IF('Loan Tape'!$AN96=0,0,IF('Loan Tape'!$K96="Floating",MIN(IF('Loan Tape'!$P96="",10,'Loan Tape'!$P96),MAX(IF('Loan Tape'!$Q96="",0,'Loan Tape'!$Q96),INDEX(Idx_Curve,1,8)+'Loan Tape'!$M96)),IF('Loan Tape'!$L96="",0,'Loan Tape'!$L96)))</f>
        <v>0</v>
      </c>
      <c r="K403" s="104" t="n">
        <f aca="false">IF('Loan Tape'!$AN96=0,0,IF('Loan Tape'!$K96="Floating",MIN(IF('Loan Tape'!$P96="",10,'Loan Tape'!$P96),MAX(IF('Loan Tape'!$Q96="",0,'Loan Tape'!$Q96),INDEX(Idx_Curve,1,9)+'Loan Tape'!$M96)),IF('Loan Tape'!$L96="",0,'Loan Tape'!$L96)))</f>
        <v>0</v>
      </c>
      <c r="L403" s="104" t="n">
        <f aca="false">IF('Loan Tape'!$AN96=0,0,IF('Loan Tape'!$K96="Floating",MIN(IF('Loan Tape'!$P96="",10,'Loan Tape'!$P96),MAX(IF('Loan Tape'!$Q96="",0,'Loan Tape'!$Q96),INDEX(Idx_Curve,1,10)+'Loan Tape'!$M96)),IF('Loan Tape'!$L96="",0,'Loan Tape'!$L96)))</f>
        <v>0</v>
      </c>
    </row>
    <row r="404" customFormat="false" ht="15" hidden="false" customHeight="false" outlineLevel="0" collapsed="false">
      <c r="B404" s="108" t="n">
        <f aca="false">'Loan Tape'!$A97</f>
        <v>0</v>
      </c>
      <c r="C404" s="56" t="n">
        <f aca="false">IF('Loan Tape'!$AN97=0,0,IF('Loan Tape'!$K97="Floating",MIN(IF('Loan Tape'!$P97="",10,'Loan Tape'!$P97),MAX(IF('Loan Tape'!$Q97="",0,'Loan Tape'!$Q97),INDEX(Idx_Curve,1,1)+'Loan Tape'!$M97)),IF('Loan Tape'!$L97="",0,'Loan Tape'!$L97)))</f>
        <v>0</v>
      </c>
      <c r="D404" s="56" t="n">
        <f aca="false">IF('Loan Tape'!$AN97=0,0,IF('Loan Tape'!$K97="Floating",MIN(IF('Loan Tape'!$P97="",10,'Loan Tape'!$P97),MAX(IF('Loan Tape'!$Q97="",0,'Loan Tape'!$Q97),INDEX(Idx_Curve,1,2)+'Loan Tape'!$M97)),IF('Loan Tape'!$L97="",0,'Loan Tape'!$L97)))</f>
        <v>0</v>
      </c>
      <c r="E404" s="56" t="n">
        <f aca="false">IF('Loan Tape'!$AN97=0,0,IF('Loan Tape'!$K97="Floating",MIN(IF('Loan Tape'!$P97="",10,'Loan Tape'!$P97),MAX(IF('Loan Tape'!$Q97="",0,'Loan Tape'!$Q97),INDEX(Idx_Curve,1,3)+'Loan Tape'!$M97)),IF('Loan Tape'!$L97="",0,'Loan Tape'!$L97)))</f>
        <v>0</v>
      </c>
      <c r="F404" s="56" t="n">
        <f aca="false">IF('Loan Tape'!$AN97=0,0,IF('Loan Tape'!$K97="Floating",MIN(IF('Loan Tape'!$P97="",10,'Loan Tape'!$P97),MAX(IF('Loan Tape'!$Q97="",0,'Loan Tape'!$Q97),INDEX(Idx_Curve,1,4)+'Loan Tape'!$M97)),IF('Loan Tape'!$L97="",0,'Loan Tape'!$L97)))</f>
        <v>0</v>
      </c>
      <c r="G404" s="56" t="n">
        <f aca="false">IF('Loan Tape'!$AN97=0,0,IF('Loan Tape'!$K97="Floating",MIN(IF('Loan Tape'!$P97="",10,'Loan Tape'!$P97),MAX(IF('Loan Tape'!$Q97="",0,'Loan Tape'!$Q97),INDEX(Idx_Curve,1,5)+'Loan Tape'!$M97)),IF('Loan Tape'!$L97="",0,'Loan Tape'!$L97)))</f>
        <v>0</v>
      </c>
      <c r="H404" s="56" t="n">
        <f aca="false">IF('Loan Tape'!$AN97=0,0,IF('Loan Tape'!$K97="Floating",MIN(IF('Loan Tape'!$P97="",10,'Loan Tape'!$P97),MAX(IF('Loan Tape'!$Q97="",0,'Loan Tape'!$Q97),INDEX(Idx_Curve,1,6)+'Loan Tape'!$M97)),IF('Loan Tape'!$L97="",0,'Loan Tape'!$L97)))</f>
        <v>0</v>
      </c>
      <c r="I404" s="56" t="n">
        <f aca="false">IF('Loan Tape'!$AN97=0,0,IF('Loan Tape'!$K97="Floating",MIN(IF('Loan Tape'!$P97="",10,'Loan Tape'!$P97),MAX(IF('Loan Tape'!$Q97="",0,'Loan Tape'!$Q97),INDEX(Idx_Curve,1,7)+'Loan Tape'!$M97)),IF('Loan Tape'!$L97="",0,'Loan Tape'!$L97)))</f>
        <v>0</v>
      </c>
      <c r="J404" s="56" t="n">
        <f aca="false">IF('Loan Tape'!$AN97=0,0,IF('Loan Tape'!$K97="Floating",MIN(IF('Loan Tape'!$P97="",10,'Loan Tape'!$P97),MAX(IF('Loan Tape'!$Q97="",0,'Loan Tape'!$Q97),INDEX(Idx_Curve,1,8)+'Loan Tape'!$M97)),IF('Loan Tape'!$L97="",0,'Loan Tape'!$L97)))</f>
        <v>0</v>
      </c>
      <c r="K404" s="56" t="n">
        <f aca="false">IF('Loan Tape'!$AN97=0,0,IF('Loan Tape'!$K97="Floating",MIN(IF('Loan Tape'!$P97="",10,'Loan Tape'!$P97),MAX(IF('Loan Tape'!$Q97="",0,'Loan Tape'!$Q97),INDEX(Idx_Curve,1,9)+'Loan Tape'!$M97)),IF('Loan Tape'!$L97="",0,'Loan Tape'!$L97)))</f>
        <v>0</v>
      </c>
      <c r="L404" s="56" t="n">
        <f aca="false">IF('Loan Tape'!$AN97=0,0,IF('Loan Tape'!$K97="Floating",MIN(IF('Loan Tape'!$P97="",10,'Loan Tape'!$P97),MAX(IF('Loan Tape'!$Q97="",0,'Loan Tape'!$Q97),INDEX(Idx_Curve,1,10)+'Loan Tape'!$M97)),IF('Loan Tape'!$L97="",0,'Loan Tape'!$L97)))</f>
        <v>0</v>
      </c>
    </row>
    <row r="405" customFormat="false" ht="15" hidden="false" customHeight="false" outlineLevel="0" collapsed="false">
      <c r="B405" s="102" t="n">
        <f aca="false">'Loan Tape'!$A98</f>
        <v>0</v>
      </c>
      <c r="C405" s="104" t="n">
        <f aca="false">IF('Loan Tape'!$AN98=0,0,IF('Loan Tape'!$K98="Floating",MIN(IF('Loan Tape'!$P98="",10,'Loan Tape'!$P98),MAX(IF('Loan Tape'!$Q98="",0,'Loan Tape'!$Q98),INDEX(Idx_Curve,1,1)+'Loan Tape'!$M98)),IF('Loan Tape'!$L98="",0,'Loan Tape'!$L98)))</f>
        <v>0</v>
      </c>
      <c r="D405" s="104" t="n">
        <f aca="false">IF('Loan Tape'!$AN98=0,0,IF('Loan Tape'!$K98="Floating",MIN(IF('Loan Tape'!$P98="",10,'Loan Tape'!$P98),MAX(IF('Loan Tape'!$Q98="",0,'Loan Tape'!$Q98),INDEX(Idx_Curve,1,2)+'Loan Tape'!$M98)),IF('Loan Tape'!$L98="",0,'Loan Tape'!$L98)))</f>
        <v>0</v>
      </c>
      <c r="E405" s="104" t="n">
        <f aca="false">IF('Loan Tape'!$AN98=0,0,IF('Loan Tape'!$K98="Floating",MIN(IF('Loan Tape'!$P98="",10,'Loan Tape'!$P98),MAX(IF('Loan Tape'!$Q98="",0,'Loan Tape'!$Q98),INDEX(Idx_Curve,1,3)+'Loan Tape'!$M98)),IF('Loan Tape'!$L98="",0,'Loan Tape'!$L98)))</f>
        <v>0</v>
      </c>
      <c r="F405" s="104" t="n">
        <f aca="false">IF('Loan Tape'!$AN98=0,0,IF('Loan Tape'!$K98="Floating",MIN(IF('Loan Tape'!$P98="",10,'Loan Tape'!$P98),MAX(IF('Loan Tape'!$Q98="",0,'Loan Tape'!$Q98),INDEX(Idx_Curve,1,4)+'Loan Tape'!$M98)),IF('Loan Tape'!$L98="",0,'Loan Tape'!$L98)))</f>
        <v>0</v>
      </c>
      <c r="G405" s="104" t="n">
        <f aca="false">IF('Loan Tape'!$AN98=0,0,IF('Loan Tape'!$K98="Floating",MIN(IF('Loan Tape'!$P98="",10,'Loan Tape'!$P98),MAX(IF('Loan Tape'!$Q98="",0,'Loan Tape'!$Q98),INDEX(Idx_Curve,1,5)+'Loan Tape'!$M98)),IF('Loan Tape'!$L98="",0,'Loan Tape'!$L98)))</f>
        <v>0</v>
      </c>
      <c r="H405" s="104" t="n">
        <f aca="false">IF('Loan Tape'!$AN98=0,0,IF('Loan Tape'!$K98="Floating",MIN(IF('Loan Tape'!$P98="",10,'Loan Tape'!$P98),MAX(IF('Loan Tape'!$Q98="",0,'Loan Tape'!$Q98),INDEX(Idx_Curve,1,6)+'Loan Tape'!$M98)),IF('Loan Tape'!$L98="",0,'Loan Tape'!$L98)))</f>
        <v>0</v>
      </c>
      <c r="I405" s="104" t="n">
        <f aca="false">IF('Loan Tape'!$AN98=0,0,IF('Loan Tape'!$K98="Floating",MIN(IF('Loan Tape'!$P98="",10,'Loan Tape'!$P98),MAX(IF('Loan Tape'!$Q98="",0,'Loan Tape'!$Q98),INDEX(Idx_Curve,1,7)+'Loan Tape'!$M98)),IF('Loan Tape'!$L98="",0,'Loan Tape'!$L98)))</f>
        <v>0</v>
      </c>
      <c r="J405" s="104" t="n">
        <f aca="false">IF('Loan Tape'!$AN98=0,0,IF('Loan Tape'!$K98="Floating",MIN(IF('Loan Tape'!$P98="",10,'Loan Tape'!$P98),MAX(IF('Loan Tape'!$Q98="",0,'Loan Tape'!$Q98),INDEX(Idx_Curve,1,8)+'Loan Tape'!$M98)),IF('Loan Tape'!$L98="",0,'Loan Tape'!$L98)))</f>
        <v>0</v>
      </c>
      <c r="K405" s="104" t="n">
        <f aca="false">IF('Loan Tape'!$AN98=0,0,IF('Loan Tape'!$K98="Floating",MIN(IF('Loan Tape'!$P98="",10,'Loan Tape'!$P98),MAX(IF('Loan Tape'!$Q98="",0,'Loan Tape'!$Q98),INDEX(Idx_Curve,1,9)+'Loan Tape'!$M98)),IF('Loan Tape'!$L98="",0,'Loan Tape'!$L98)))</f>
        <v>0</v>
      </c>
      <c r="L405" s="104" t="n">
        <f aca="false">IF('Loan Tape'!$AN98=0,0,IF('Loan Tape'!$K98="Floating",MIN(IF('Loan Tape'!$P98="",10,'Loan Tape'!$P98),MAX(IF('Loan Tape'!$Q98="",0,'Loan Tape'!$Q98),INDEX(Idx_Curve,1,10)+'Loan Tape'!$M98)),IF('Loan Tape'!$L98="",0,'Loan Tape'!$L98)))</f>
        <v>0</v>
      </c>
    </row>
    <row r="406" customFormat="false" ht="15" hidden="false" customHeight="false" outlineLevel="0" collapsed="false">
      <c r="B406" s="108" t="n">
        <f aca="false">'Loan Tape'!$A99</f>
        <v>0</v>
      </c>
      <c r="C406" s="56" t="n">
        <f aca="false">IF('Loan Tape'!$AN99=0,0,IF('Loan Tape'!$K99="Floating",MIN(IF('Loan Tape'!$P99="",10,'Loan Tape'!$P99),MAX(IF('Loan Tape'!$Q99="",0,'Loan Tape'!$Q99),INDEX(Idx_Curve,1,1)+'Loan Tape'!$M99)),IF('Loan Tape'!$L99="",0,'Loan Tape'!$L99)))</f>
        <v>0</v>
      </c>
      <c r="D406" s="56" t="n">
        <f aca="false">IF('Loan Tape'!$AN99=0,0,IF('Loan Tape'!$K99="Floating",MIN(IF('Loan Tape'!$P99="",10,'Loan Tape'!$P99),MAX(IF('Loan Tape'!$Q99="",0,'Loan Tape'!$Q99),INDEX(Idx_Curve,1,2)+'Loan Tape'!$M99)),IF('Loan Tape'!$L99="",0,'Loan Tape'!$L99)))</f>
        <v>0</v>
      </c>
      <c r="E406" s="56" t="n">
        <f aca="false">IF('Loan Tape'!$AN99=0,0,IF('Loan Tape'!$K99="Floating",MIN(IF('Loan Tape'!$P99="",10,'Loan Tape'!$P99),MAX(IF('Loan Tape'!$Q99="",0,'Loan Tape'!$Q99),INDEX(Idx_Curve,1,3)+'Loan Tape'!$M99)),IF('Loan Tape'!$L99="",0,'Loan Tape'!$L99)))</f>
        <v>0</v>
      </c>
      <c r="F406" s="56" t="n">
        <f aca="false">IF('Loan Tape'!$AN99=0,0,IF('Loan Tape'!$K99="Floating",MIN(IF('Loan Tape'!$P99="",10,'Loan Tape'!$P99),MAX(IF('Loan Tape'!$Q99="",0,'Loan Tape'!$Q99),INDEX(Idx_Curve,1,4)+'Loan Tape'!$M99)),IF('Loan Tape'!$L99="",0,'Loan Tape'!$L99)))</f>
        <v>0</v>
      </c>
      <c r="G406" s="56" t="n">
        <f aca="false">IF('Loan Tape'!$AN99=0,0,IF('Loan Tape'!$K99="Floating",MIN(IF('Loan Tape'!$P99="",10,'Loan Tape'!$P99),MAX(IF('Loan Tape'!$Q99="",0,'Loan Tape'!$Q99),INDEX(Idx_Curve,1,5)+'Loan Tape'!$M99)),IF('Loan Tape'!$L99="",0,'Loan Tape'!$L99)))</f>
        <v>0</v>
      </c>
      <c r="H406" s="56" t="n">
        <f aca="false">IF('Loan Tape'!$AN99=0,0,IF('Loan Tape'!$K99="Floating",MIN(IF('Loan Tape'!$P99="",10,'Loan Tape'!$P99),MAX(IF('Loan Tape'!$Q99="",0,'Loan Tape'!$Q99),INDEX(Idx_Curve,1,6)+'Loan Tape'!$M99)),IF('Loan Tape'!$L99="",0,'Loan Tape'!$L99)))</f>
        <v>0</v>
      </c>
      <c r="I406" s="56" t="n">
        <f aca="false">IF('Loan Tape'!$AN99=0,0,IF('Loan Tape'!$K99="Floating",MIN(IF('Loan Tape'!$P99="",10,'Loan Tape'!$P99),MAX(IF('Loan Tape'!$Q99="",0,'Loan Tape'!$Q99),INDEX(Idx_Curve,1,7)+'Loan Tape'!$M99)),IF('Loan Tape'!$L99="",0,'Loan Tape'!$L99)))</f>
        <v>0</v>
      </c>
      <c r="J406" s="56" t="n">
        <f aca="false">IF('Loan Tape'!$AN99=0,0,IF('Loan Tape'!$K99="Floating",MIN(IF('Loan Tape'!$P99="",10,'Loan Tape'!$P99),MAX(IF('Loan Tape'!$Q99="",0,'Loan Tape'!$Q99),INDEX(Idx_Curve,1,8)+'Loan Tape'!$M99)),IF('Loan Tape'!$L99="",0,'Loan Tape'!$L99)))</f>
        <v>0</v>
      </c>
      <c r="K406" s="56" t="n">
        <f aca="false">IF('Loan Tape'!$AN99=0,0,IF('Loan Tape'!$K99="Floating",MIN(IF('Loan Tape'!$P99="",10,'Loan Tape'!$P99),MAX(IF('Loan Tape'!$Q99="",0,'Loan Tape'!$Q99),INDEX(Idx_Curve,1,9)+'Loan Tape'!$M99)),IF('Loan Tape'!$L99="",0,'Loan Tape'!$L99)))</f>
        <v>0</v>
      </c>
      <c r="L406" s="56" t="n">
        <f aca="false">IF('Loan Tape'!$AN99=0,0,IF('Loan Tape'!$K99="Floating",MIN(IF('Loan Tape'!$P99="",10,'Loan Tape'!$P99),MAX(IF('Loan Tape'!$Q99="",0,'Loan Tape'!$Q99),INDEX(Idx_Curve,1,10)+'Loan Tape'!$M99)),IF('Loan Tape'!$L99="",0,'Loan Tape'!$L99)))</f>
        <v>0</v>
      </c>
    </row>
    <row r="407" customFormat="false" ht="15" hidden="false" customHeight="false" outlineLevel="0" collapsed="false">
      <c r="B407" s="102" t="n">
        <f aca="false">'Loan Tape'!$A100</f>
        <v>0</v>
      </c>
      <c r="C407" s="104" t="n">
        <f aca="false">IF('Loan Tape'!$AN100=0,0,IF('Loan Tape'!$K100="Floating",MIN(IF('Loan Tape'!$P100="",10,'Loan Tape'!$P100),MAX(IF('Loan Tape'!$Q100="",0,'Loan Tape'!$Q100),INDEX(Idx_Curve,1,1)+'Loan Tape'!$M100)),IF('Loan Tape'!$L100="",0,'Loan Tape'!$L100)))</f>
        <v>0</v>
      </c>
      <c r="D407" s="104" t="n">
        <f aca="false">IF('Loan Tape'!$AN100=0,0,IF('Loan Tape'!$K100="Floating",MIN(IF('Loan Tape'!$P100="",10,'Loan Tape'!$P100),MAX(IF('Loan Tape'!$Q100="",0,'Loan Tape'!$Q100),INDEX(Idx_Curve,1,2)+'Loan Tape'!$M100)),IF('Loan Tape'!$L100="",0,'Loan Tape'!$L100)))</f>
        <v>0</v>
      </c>
      <c r="E407" s="104" t="n">
        <f aca="false">IF('Loan Tape'!$AN100=0,0,IF('Loan Tape'!$K100="Floating",MIN(IF('Loan Tape'!$P100="",10,'Loan Tape'!$P100),MAX(IF('Loan Tape'!$Q100="",0,'Loan Tape'!$Q100),INDEX(Idx_Curve,1,3)+'Loan Tape'!$M100)),IF('Loan Tape'!$L100="",0,'Loan Tape'!$L100)))</f>
        <v>0</v>
      </c>
      <c r="F407" s="104" t="n">
        <f aca="false">IF('Loan Tape'!$AN100=0,0,IF('Loan Tape'!$K100="Floating",MIN(IF('Loan Tape'!$P100="",10,'Loan Tape'!$P100),MAX(IF('Loan Tape'!$Q100="",0,'Loan Tape'!$Q100),INDEX(Idx_Curve,1,4)+'Loan Tape'!$M100)),IF('Loan Tape'!$L100="",0,'Loan Tape'!$L100)))</f>
        <v>0</v>
      </c>
      <c r="G407" s="104" t="n">
        <f aca="false">IF('Loan Tape'!$AN100=0,0,IF('Loan Tape'!$K100="Floating",MIN(IF('Loan Tape'!$P100="",10,'Loan Tape'!$P100),MAX(IF('Loan Tape'!$Q100="",0,'Loan Tape'!$Q100),INDEX(Idx_Curve,1,5)+'Loan Tape'!$M100)),IF('Loan Tape'!$L100="",0,'Loan Tape'!$L100)))</f>
        <v>0</v>
      </c>
      <c r="H407" s="104" t="n">
        <f aca="false">IF('Loan Tape'!$AN100=0,0,IF('Loan Tape'!$K100="Floating",MIN(IF('Loan Tape'!$P100="",10,'Loan Tape'!$P100),MAX(IF('Loan Tape'!$Q100="",0,'Loan Tape'!$Q100),INDEX(Idx_Curve,1,6)+'Loan Tape'!$M100)),IF('Loan Tape'!$L100="",0,'Loan Tape'!$L100)))</f>
        <v>0</v>
      </c>
      <c r="I407" s="104" t="n">
        <f aca="false">IF('Loan Tape'!$AN100=0,0,IF('Loan Tape'!$K100="Floating",MIN(IF('Loan Tape'!$P100="",10,'Loan Tape'!$P100),MAX(IF('Loan Tape'!$Q100="",0,'Loan Tape'!$Q100),INDEX(Idx_Curve,1,7)+'Loan Tape'!$M100)),IF('Loan Tape'!$L100="",0,'Loan Tape'!$L100)))</f>
        <v>0</v>
      </c>
      <c r="J407" s="104" t="n">
        <f aca="false">IF('Loan Tape'!$AN100=0,0,IF('Loan Tape'!$K100="Floating",MIN(IF('Loan Tape'!$P100="",10,'Loan Tape'!$P100),MAX(IF('Loan Tape'!$Q100="",0,'Loan Tape'!$Q100),INDEX(Idx_Curve,1,8)+'Loan Tape'!$M100)),IF('Loan Tape'!$L100="",0,'Loan Tape'!$L100)))</f>
        <v>0</v>
      </c>
      <c r="K407" s="104" t="n">
        <f aca="false">IF('Loan Tape'!$AN100=0,0,IF('Loan Tape'!$K100="Floating",MIN(IF('Loan Tape'!$P100="",10,'Loan Tape'!$P100),MAX(IF('Loan Tape'!$Q100="",0,'Loan Tape'!$Q100),INDEX(Idx_Curve,1,9)+'Loan Tape'!$M100)),IF('Loan Tape'!$L100="",0,'Loan Tape'!$L100)))</f>
        <v>0</v>
      </c>
      <c r="L407" s="104" t="n">
        <f aca="false">IF('Loan Tape'!$AN100=0,0,IF('Loan Tape'!$K100="Floating",MIN(IF('Loan Tape'!$P100="",10,'Loan Tape'!$P100),MAX(IF('Loan Tape'!$Q100="",0,'Loan Tape'!$Q100),INDEX(Idx_Curve,1,10)+'Loan Tape'!$M100)),IF('Loan Tape'!$L100="",0,'Loan Tape'!$L100)))</f>
        <v>0</v>
      </c>
    </row>
    <row r="408" customFormat="false" ht="15" hidden="false" customHeight="false" outlineLevel="0" collapsed="false">
      <c r="B408" s="108" t="n">
        <f aca="false">'Loan Tape'!$A101</f>
        <v>0</v>
      </c>
      <c r="C408" s="56" t="n">
        <f aca="false">IF('Loan Tape'!$AN101=0,0,IF('Loan Tape'!$K101="Floating",MIN(IF('Loan Tape'!$P101="",10,'Loan Tape'!$P101),MAX(IF('Loan Tape'!$Q101="",0,'Loan Tape'!$Q101),INDEX(Idx_Curve,1,1)+'Loan Tape'!$M101)),IF('Loan Tape'!$L101="",0,'Loan Tape'!$L101)))</f>
        <v>0</v>
      </c>
      <c r="D408" s="56" t="n">
        <f aca="false">IF('Loan Tape'!$AN101=0,0,IF('Loan Tape'!$K101="Floating",MIN(IF('Loan Tape'!$P101="",10,'Loan Tape'!$P101),MAX(IF('Loan Tape'!$Q101="",0,'Loan Tape'!$Q101),INDEX(Idx_Curve,1,2)+'Loan Tape'!$M101)),IF('Loan Tape'!$L101="",0,'Loan Tape'!$L101)))</f>
        <v>0</v>
      </c>
      <c r="E408" s="56" t="n">
        <f aca="false">IF('Loan Tape'!$AN101=0,0,IF('Loan Tape'!$K101="Floating",MIN(IF('Loan Tape'!$P101="",10,'Loan Tape'!$P101),MAX(IF('Loan Tape'!$Q101="",0,'Loan Tape'!$Q101),INDEX(Idx_Curve,1,3)+'Loan Tape'!$M101)),IF('Loan Tape'!$L101="",0,'Loan Tape'!$L101)))</f>
        <v>0</v>
      </c>
      <c r="F408" s="56" t="n">
        <f aca="false">IF('Loan Tape'!$AN101=0,0,IF('Loan Tape'!$K101="Floating",MIN(IF('Loan Tape'!$P101="",10,'Loan Tape'!$P101),MAX(IF('Loan Tape'!$Q101="",0,'Loan Tape'!$Q101),INDEX(Idx_Curve,1,4)+'Loan Tape'!$M101)),IF('Loan Tape'!$L101="",0,'Loan Tape'!$L101)))</f>
        <v>0</v>
      </c>
      <c r="G408" s="56" t="n">
        <f aca="false">IF('Loan Tape'!$AN101=0,0,IF('Loan Tape'!$K101="Floating",MIN(IF('Loan Tape'!$P101="",10,'Loan Tape'!$P101),MAX(IF('Loan Tape'!$Q101="",0,'Loan Tape'!$Q101),INDEX(Idx_Curve,1,5)+'Loan Tape'!$M101)),IF('Loan Tape'!$L101="",0,'Loan Tape'!$L101)))</f>
        <v>0</v>
      </c>
      <c r="H408" s="56" t="n">
        <f aca="false">IF('Loan Tape'!$AN101=0,0,IF('Loan Tape'!$K101="Floating",MIN(IF('Loan Tape'!$P101="",10,'Loan Tape'!$P101),MAX(IF('Loan Tape'!$Q101="",0,'Loan Tape'!$Q101),INDEX(Idx_Curve,1,6)+'Loan Tape'!$M101)),IF('Loan Tape'!$L101="",0,'Loan Tape'!$L101)))</f>
        <v>0</v>
      </c>
      <c r="I408" s="56" t="n">
        <f aca="false">IF('Loan Tape'!$AN101=0,0,IF('Loan Tape'!$K101="Floating",MIN(IF('Loan Tape'!$P101="",10,'Loan Tape'!$P101),MAX(IF('Loan Tape'!$Q101="",0,'Loan Tape'!$Q101),INDEX(Idx_Curve,1,7)+'Loan Tape'!$M101)),IF('Loan Tape'!$L101="",0,'Loan Tape'!$L101)))</f>
        <v>0</v>
      </c>
      <c r="J408" s="56" t="n">
        <f aca="false">IF('Loan Tape'!$AN101=0,0,IF('Loan Tape'!$K101="Floating",MIN(IF('Loan Tape'!$P101="",10,'Loan Tape'!$P101),MAX(IF('Loan Tape'!$Q101="",0,'Loan Tape'!$Q101),INDEX(Idx_Curve,1,8)+'Loan Tape'!$M101)),IF('Loan Tape'!$L101="",0,'Loan Tape'!$L101)))</f>
        <v>0</v>
      </c>
      <c r="K408" s="56" t="n">
        <f aca="false">IF('Loan Tape'!$AN101=0,0,IF('Loan Tape'!$K101="Floating",MIN(IF('Loan Tape'!$P101="",10,'Loan Tape'!$P101),MAX(IF('Loan Tape'!$Q101="",0,'Loan Tape'!$Q101),INDEX(Idx_Curve,1,9)+'Loan Tape'!$M101)),IF('Loan Tape'!$L101="",0,'Loan Tape'!$L101)))</f>
        <v>0</v>
      </c>
      <c r="L408" s="56" t="n">
        <f aca="false">IF('Loan Tape'!$AN101=0,0,IF('Loan Tape'!$K101="Floating",MIN(IF('Loan Tape'!$P101="",10,'Loan Tape'!$P101),MAX(IF('Loan Tape'!$Q101="",0,'Loan Tape'!$Q101),INDEX(Idx_Curve,1,10)+'Loan Tape'!$M101)),IF('Loan Tape'!$L101="",0,'Loan Tape'!$L101)))</f>
        <v>0</v>
      </c>
    </row>
    <row r="409" customFormat="false" ht="15" hidden="false" customHeight="false" outlineLevel="0" collapsed="false">
      <c r="B409" s="102" t="n">
        <f aca="false">'Loan Tape'!$A102</f>
        <v>0</v>
      </c>
      <c r="C409" s="104" t="n">
        <f aca="false">IF('Loan Tape'!$AN102=0,0,IF('Loan Tape'!$K102="Floating",MIN(IF('Loan Tape'!$P102="",10,'Loan Tape'!$P102),MAX(IF('Loan Tape'!$Q102="",0,'Loan Tape'!$Q102),INDEX(Idx_Curve,1,1)+'Loan Tape'!$M102)),IF('Loan Tape'!$L102="",0,'Loan Tape'!$L102)))</f>
        <v>0</v>
      </c>
      <c r="D409" s="104" t="n">
        <f aca="false">IF('Loan Tape'!$AN102=0,0,IF('Loan Tape'!$K102="Floating",MIN(IF('Loan Tape'!$P102="",10,'Loan Tape'!$P102),MAX(IF('Loan Tape'!$Q102="",0,'Loan Tape'!$Q102),INDEX(Idx_Curve,1,2)+'Loan Tape'!$M102)),IF('Loan Tape'!$L102="",0,'Loan Tape'!$L102)))</f>
        <v>0</v>
      </c>
      <c r="E409" s="104" t="n">
        <f aca="false">IF('Loan Tape'!$AN102=0,0,IF('Loan Tape'!$K102="Floating",MIN(IF('Loan Tape'!$P102="",10,'Loan Tape'!$P102),MAX(IF('Loan Tape'!$Q102="",0,'Loan Tape'!$Q102),INDEX(Idx_Curve,1,3)+'Loan Tape'!$M102)),IF('Loan Tape'!$L102="",0,'Loan Tape'!$L102)))</f>
        <v>0</v>
      </c>
      <c r="F409" s="104" t="n">
        <f aca="false">IF('Loan Tape'!$AN102=0,0,IF('Loan Tape'!$K102="Floating",MIN(IF('Loan Tape'!$P102="",10,'Loan Tape'!$P102),MAX(IF('Loan Tape'!$Q102="",0,'Loan Tape'!$Q102),INDEX(Idx_Curve,1,4)+'Loan Tape'!$M102)),IF('Loan Tape'!$L102="",0,'Loan Tape'!$L102)))</f>
        <v>0</v>
      </c>
      <c r="G409" s="104" t="n">
        <f aca="false">IF('Loan Tape'!$AN102=0,0,IF('Loan Tape'!$K102="Floating",MIN(IF('Loan Tape'!$P102="",10,'Loan Tape'!$P102),MAX(IF('Loan Tape'!$Q102="",0,'Loan Tape'!$Q102),INDEX(Idx_Curve,1,5)+'Loan Tape'!$M102)),IF('Loan Tape'!$L102="",0,'Loan Tape'!$L102)))</f>
        <v>0</v>
      </c>
      <c r="H409" s="104" t="n">
        <f aca="false">IF('Loan Tape'!$AN102=0,0,IF('Loan Tape'!$K102="Floating",MIN(IF('Loan Tape'!$P102="",10,'Loan Tape'!$P102),MAX(IF('Loan Tape'!$Q102="",0,'Loan Tape'!$Q102),INDEX(Idx_Curve,1,6)+'Loan Tape'!$M102)),IF('Loan Tape'!$L102="",0,'Loan Tape'!$L102)))</f>
        <v>0</v>
      </c>
      <c r="I409" s="104" t="n">
        <f aca="false">IF('Loan Tape'!$AN102=0,0,IF('Loan Tape'!$K102="Floating",MIN(IF('Loan Tape'!$P102="",10,'Loan Tape'!$P102),MAX(IF('Loan Tape'!$Q102="",0,'Loan Tape'!$Q102),INDEX(Idx_Curve,1,7)+'Loan Tape'!$M102)),IF('Loan Tape'!$L102="",0,'Loan Tape'!$L102)))</f>
        <v>0</v>
      </c>
      <c r="J409" s="104" t="n">
        <f aca="false">IF('Loan Tape'!$AN102=0,0,IF('Loan Tape'!$K102="Floating",MIN(IF('Loan Tape'!$P102="",10,'Loan Tape'!$P102),MAX(IF('Loan Tape'!$Q102="",0,'Loan Tape'!$Q102),INDEX(Idx_Curve,1,8)+'Loan Tape'!$M102)),IF('Loan Tape'!$L102="",0,'Loan Tape'!$L102)))</f>
        <v>0</v>
      </c>
      <c r="K409" s="104" t="n">
        <f aca="false">IF('Loan Tape'!$AN102=0,0,IF('Loan Tape'!$K102="Floating",MIN(IF('Loan Tape'!$P102="",10,'Loan Tape'!$P102),MAX(IF('Loan Tape'!$Q102="",0,'Loan Tape'!$Q102),INDEX(Idx_Curve,1,9)+'Loan Tape'!$M102)),IF('Loan Tape'!$L102="",0,'Loan Tape'!$L102)))</f>
        <v>0</v>
      </c>
      <c r="L409" s="104" t="n">
        <f aca="false">IF('Loan Tape'!$AN102=0,0,IF('Loan Tape'!$K102="Floating",MIN(IF('Loan Tape'!$P102="",10,'Loan Tape'!$P102),MAX(IF('Loan Tape'!$Q102="",0,'Loan Tape'!$Q102),INDEX(Idx_Curve,1,10)+'Loan Tape'!$M102)),IF('Loan Tape'!$L102="",0,'Loan Tape'!$L102)))</f>
        <v>0</v>
      </c>
    </row>
    <row r="410" customFormat="false" ht="15" hidden="false" customHeight="false" outlineLevel="0" collapsed="false">
      <c r="B410" s="108" t="n">
        <f aca="false">'Loan Tape'!$A103</f>
        <v>0</v>
      </c>
      <c r="C410" s="56" t="n">
        <f aca="false">IF('Loan Tape'!$AN103=0,0,IF('Loan Tape'!$K103="Floating",MIN(IF('Loan Tape'!$P103="",10,'Loan Tape'!$P103),MAX(IF('Loan Tape'!$Q103="",0,'Loan Tape'!$Q103),INDEX(Idx_Curve,1,1)+'Loan Tape'!$M103)),IF('Loan Tape'!$L103="",0,'Loan Tape'!$L103)))</f>
        <v>0</v>
      </c>
      <c r="D410" s="56" t="n">
        <f aca="false">IF('Loan Tape'!$AN103=0,0,IF('Loan Tape'!$K103="Floating",MIN(IF('Loan Tape'!$P103="",10,'Loan Tape'!$P103),MAX(IF('Loan Tape'!$Q103="",0,'Loan Tape'!$Q103),INDEX(Idx_Curve,1,2)+'Loan Tape'!$M103)),IF('Loan Tape'!$L103="",0,'Loan Tape'!$L103)))</f>
        <v>0</v>
      </c>
      <c r="E410" s="56" t="n">
        <f aca="false">IF('Loan Tape'!$AN103=0,0,IF('Loan Tape'!$K103="Floating",MIN(IF('Loan Tape'!$P103="",10,'Loan Tape'!$P103),MAX(IF('Loan Tape'!$Q103="",0,'Loan Tape'!$Q103),INDEX(Idx_Curve,1,3)+'Loan Tape'!$M103)),IF('Loan Tape'!$L103="",0,'Loan Tape'!$L103)))</f>
        <v>0</v>
      </c>
      <c r="F410" s="56" t="n">
        <f aca="false">IF('Loan Tape'!$AN103=0,0,IF('Loan Tape'!$K103="Floating",MIN(IF('Loan Tape'!$P103="",10,'Loan Tape'!$P103),MAX(IF('Loan Tape'!$Q103="",0,'Loan Tape'!$Q103),INDEX(Idx_Curve,1,4)+'Loan Tape'!$M103)),IF('Loan Tape'!$L103="",0,'Loan Tape'!$L103)))</f>
        <v>0</v>
      </c>
      <c r="G410" s="56" t="n">
        <f aca="false">IF('Loan Tape'!$AN103=0,0,IF('Loan Tape'!$K103="Floating",MIN(IF('Loan Tape'!$P103="",10,'Loan Tape'!$P103),MAX(IF('Loan Tape'!$Q103="",0,'Loan Tape'!$Q103),INDEX(Idx_Curve,1,5)+'Loan Tape'!$M103)),IF('Loan Tape'!$L103="",0,'Loan Tape'!$L103)))</f>
        <v>0</v>
      </c>
      <c r="H410" s="56" t="n">
        <f aca="false">IF('Loan Tape'!$AN103=0,0,IF('Loan Tape'!$K103="Floating",MIN(IF('Loan Tape'!$P103="",10,'Loan Tape'!$P103),MAX(IF('Loan Tape'!$Q103="",0,'Loan Tape'!$Q103),INDEX(Idx_Curve,1,6)+'Loan Tape'!$M103)),IF('Loan Tape'!$L103="",0,'Loan Tape'!$L103)))</f>
        <v>0</v>
      </c>
      <c r="I410" s="56" t="n">
        <f aca="false">IF('Loan Tape'!$AN103=0,0,IF('Loan Tape'!$K103="Floating",MIN(IF('Loan Tape'!$P103="",10,'Loan Tape'!$P103),MAX(IF('Loan Tape'!$Q103="",0,'Loan Tape'!$Q103),INDEX(Idx_Curve,1,7)+'Loan Tape'!$M103)),IF('Loan Tape'!$L103="",0,'Loan Tape'!$L103)))</f>
        <v>0</v>
      </c>
      <c r="J410" s="56" t="n">
        <f aca="false">IF('Loan Tape'!$AN103=0,0,IF('Loan Tape'!$K103="Floating",MIN(IF('Loan Tape'!$P103="",10,'Loan Tape'!$P103),MAX(IF('Loan Tape'!$Q103="",0,'Loan Tape'!$Q103),INDEX(Idx_Curve,1,8)+'Loan Tape'!$M103)),IF('Loan Tape'!$L103="",0,'Loan Tape'!$L103)))</f>
        <v>0</v>
      </c>
      <c r="K410" s="56" t="n">
        <f aca="false">IF('Loan Tape'!$AN103=0,0,IF('Loan Tape'!$K103="Floating",MIN(IF('Loan Tape'!$P103="",10,'Loan Tape'!$P103),MAX(IF('Loan Tape'!$Q103="",0,'Loan Tape'!$Q103),INDEX(Idx_Curve,1,9)+'Loan Tape'!$M103)),IF('Loan Tape'!$L103="",0,'Loan Tape'!$L103)))</f>
        <v>0</v>
      </c>
      <c r="L410" s="56" t="n">
        <f aca="false">IF('Loan Tape'!$AN103=0,0,IF('Loan Tape'!$K103="Floating",MIN(IF('Loan Tape'!$P103="",10,'Loan Tape'!$P103),MAX(IF('Loan Tape'!$Q103="",0,'Loan Tape'!$Q103),INDEX(Idx_Curve,1,10)+'Loan Tape'!$M103)),IF('Loan Tape'!$L103="",0,'Loan Tape'!$L103)))</f>
        <v>0</v>
      </c>
    </row>
    <row r="411" customFormat="false" ht="15" hidden="false" customHeight="false" outlineLevel="0" collapsed="false">
      <c r="B411" s="102" t="n">
        <f aca="false">'Loan Tape'!$A104</f>
        <v>0</v>
      </c>
      <c r="C411" s="104" t="n">
        <f aca="false">IF('Loan Tape'!$AN104=0,0,IF('Loan Tape'!$K104="Floating",MIN(IF('Loan Tape'!$P104="",10,'Loan Tape'!$P104),MAX(IF('Loan Tape'!$Q104="",0,'Loan Tape'!$Q104),INDEX(Idx_Curve,1,1)+'Loan Tape'!$M104)),IF('Loan Tape'!$L104="",0,'Loan Tape'!$L104)))</f>
        <v>0</v>
      </c>
      <c r="D411" s="104" t="n">
        <f aca="false">IF('Loan Tape'!$AN104=0,0,IF('Loan Tape'!$K104="Floating",MIN(IF('Loan Tape'!$P104="",10,'Loan Tape'!$P104),MAX(IF('Loan Tape'!$Q104="",0,'Loan Tape'!$Q104),INDEX(Idx_Curve,1,2)+'Loan Tape'!$M104)),IF('Loan Tape'!$L104="",0,'Loan Tape'!$L104)))</f>
        <v>0</v>
      </c>
      <c r="E411" s="104" t="n">
        <f aca="false">IF('Loan Tape'!$AN104=0,0,IF('Loan Tape'!$K104="Floating",MIN(IF('Loan Tape'!$P104="",10,'Loan Tape'!$P104),MAX(IF('Loan Tape'!$Q104="",0,'Loan Tape'!$Q104),INDEX(Idx_Curve,1,3)+'Loan Tape'!$M104)),IF('Loan Tape'!$L104="",0,'Loan Tape'!$L104)))</f>
        <v>0</v>
      </c>
      <c r="F411" s="104" t="n">
        <f aca="false">IF('Loan Tape'!$AN104=0,0,IF('Loan Tape'!$K104="Floating",MIN(IF('Loan Tape'!$P104="",10,'Loan Tape'!$P104),MAX(IF('Loan Tape'!$Q104="",0,'Loan Tape'!$Q104),INDEX(Idx_Curve,1,4)+'Loan Tape'!$M104)),IF('Loan Tape'!$L104="",0,'Loan Tape'!$L104)))</f>
        <v>0</v>
      </c>
      <c r="G411" s="104" t="n">
        <f aca="false">IF('Loan Tape'!$AN104=0,0,IF('Loan Tape'!$K104="Floating",MIN(IF('Loan Tape'!$P104="",10,'Loan Tape'!$P104),MAX(IF('Loan Tape'!$Q104="",0,'Loan Tape'!$Q104),INDEX(Idx_Curve,1,5)+'Loan Tape'!$M104)),IF('Loan Tape'!$L104="",0,'Loan Tape'!$L104)))</f>
        <v>0</v>
      </c>
      <c r="H411" s="104" t="n">
        <f aca="false">IF('Loan Tape'!$AN104=0,0,IF('Loan Tape'!$K104="Floating",MIN(IF('Loan Tape'!$P104="",10,'Loan Tape'!$P104),MAX(IF('Loan Tape'!$Q104="",0,'Loan Tape'!$Q104),INDEX(Idx_Curve,1,6)+'Loan Tape'!$M104)),IF('Loan Tape'!$L104="",0,'Loan Tape'!$L104)))</f>
        <v>0</v>
      </c>
      <c r="I411" s="104" t="n">
        <f aca="false">IF('Loan Tape'!$AN104=0,0,IF('Loan Tape'!$K104="Floating",MIN(IF('Loan Tape'!$P104="",10,'Loan Tape'!$P104),MAX(IF('Loan Tape'!$Q104="",0,'Loan Tape'!$Q104),INDEX(Idx_Curve,1,7)+'Loan Tape'!$M104)),IF('Loan Tape'!$L104="",0,'Loan Tape'!$L104)))</f>
        <v>0</v>
      </c>
      <c r="J411" s="104" t="n">
        <f aca="false">IF('Loan Tape'!$AN104=0,0,IF('Loan Tape'!$K104="Floating",MIN(IF('Loan Tape'!$P104="",10,'Loan Tape'!$P104),MAX(IF('Loan Tape'!$Q104="",0,'Loan Tape'!$Q104),INDEX(Idx_Curve,1,8)+'Loan Tape'!$M104)),IF('Loan Tape'!$L104="",0,'Loan Tape'!$L104)))</f>
        <v>0</v>
      </c>
      <c r="K411" s="104" t="n">
        <f aca="false">IF('Loan Tape'!$AN104=0,0,IF('Loan Tape'!$K104="Floating",MIN(IF('Loan Tape'!$P104="",10,'Loan Tape'!$P104),MAX(IF('Loan Tape'!$Q104="",0,'Loan Tape'!$Q104),INDEX(Idx_Curve,1,9)+'Loan Tape'!$M104)),IF('Loan Tape'!$L104="",0,'Loan Tape'!$L104)))</f>
        <v>0</v>
      </c>
      <c r="L411" s="104" t="n">
        <f aca="false">IF('Loan Tape'!$AN104=0,0,IF('Loan Tape'!$K104="Floating",MIN(IF('Loan Tape'!$P104="",10,'Loan Tape'!$P104),MAX(IF('Loan Tape'!$Q104="",0,'Loan Tape'!$Q104),INDEX(Idx_Curve,1,10)+'Loan Tape'!$M104)),IF('Loan Tape'!$L104="",0,'Loan Tape'!$L104)))</f>
        <v>0</v>
      </c>
    </row>
    <row r="412" customFormat="false" ht="15" hidden="false" customHeight="false" outlineLevel="0" collapsed="false">
      <c r="B412" s="108" t="n">
        <f aca="false">'Loan Tape'!$A105</f>
        <v>0</v>
      </c>
      <c r="C412" s="56" t="n">
        <f aca="false">IF('Loan Tape'!$AN105=0,0,IF('Loan Tape'!$K105="Floating",MIN(IF('Loan Tape'!$P105="",10,'Loan Tape'!$P105),MAX(IF('Loan Tape'!$Q105="",0,'Loan Tape'!$Q105),INDEX(Idx_Curve,1,1)+'Loan Tape'!$M105)),IF('Loan Tape'!$L105="",0,'Loan Tape'!$L105)))</f>
        <v>0</v>
      </c>
      <c r="D412" s="56" t="n">
        <f aca="false">IF('Loan Tape'!$AN105=0,0,IF('Loan Tape'!$K105="Floating",MIN(IF('Loan Tape'!$P105="",10,'Loan Tape'!$P105),MAX(IF('Loan Tape'!$Q105="",0,'Loan Tape'!$Q105),INDEX(Idx_Curve,1,2)+'Loan Tape'!$M105)),IF('Loan Tape'!$L105="",0,'Loan Tape'!$L105)))</f>
        <v>0</v>
      </c>
      <c r="E412" s="56" t="n">
        <f aca="false">IF('Loan Tape'!$AN105=0,0,IF('Loan Tape'!$K105="Floating",MIN(IF('Loan Tape'!$P105="",10,'Loan Tape'!$P105),MAX(IF('Loan Tape'!$Q105="",0,'Loan Tape'!$Q105),INDEX(Idx_Curve,1,3)+'Loan Tape'!$M105)),IF('Loan Tape'!$L105="",0,'Loan Tape'!$L105)))</f>
        <v>0</v>
      </c>
      <c r="F412" s="56" t="n">
        <f aca="false">IF('Loan Tape'!$AN105=0,0,IF('Loan Tape'!$K105="Floating",MIN(IF('Loan Tape'!$P105="",10,'Loan Tape'!$P105),MAX(IF('Loan Tape'!$Q105="",0,'Loan Tape'!$Q105),INDEX(Idx_Curve,1,4)+'Loan Tape'!$M105)),IF('Loan Tape'!$L105="",0,'Loan Tape'!$L105)))</f>
        <v>0</v>
      </c>
      <c r="G412" s="56" t="n">
        <f aca="false">IF('Loan Tape'!$AN105=0,0,IF('Loan Tape'!$K105="Floating",MIN(IF('Loan Tape'!$P105="",10,'Loan Tape'!$P105),MAX(IF('Loan Tape'!$Q105="",0,'Loan Tape'!$Q105),INDEX(Idx_Curve,1,5)+'Loan Tape'!$M105)),IF('Loan Tape'!$L105="",0,'Loan Tape'!$L105)))</f>
        <v>0</v>
      </c>
      <c r="H412" s="56" t="n">
        <f aca="false">IF('Loan Tape'!$AN105=0,0,IF('Loan Tape'!$K105="Floating",MIN(IF('Loan Tape'!$P105="",10,'Loan Tape'!$P105),MAX(IF('Loan Tape'!$Q105="",0,'Loan Tape'!$Q105),INDEX(Idx_Curve,1,6)+'Loan Tape'!$M105)),IF('Loan Tape'!$L105="",0,'Loan Tape'!$L105)))</f>
        <v>0</v>
      </c>
      <c r="I412" s="56" t="n">
        <f aca="false">IF('Loan Tape'!$AN105=0,0,IF('Loan Tape'!$K105="Floating",MIN(IF('Loan Tape'!$P105="",10,'Loan Tape'!$P105),MAX(IF('Loan Tape'!$Q105="",0,'Loan Tape'!$Q105),INDEX(Idx_Curve,1,7)+'Loan Tape'!$M105)),IF('Loan Tape'!$L105="",0,'Loan Tape'!$L105)))</f>
        <v>0</v>
      </c>
      <c r="J412" s="56" t="n">
        <f aca="false">IF('Loan Tape'!$AN105=0,0,IF('Loan Tape'!$K105="Floating",MIN(IF('Loan Tape'!$P105="",10,'Loan Tape'!$P105),MAX(IF('Loan Tape'!$Q105="",0,'Loan Tape'!$Q105),INDEX(Idx_Curve,1,8)+'Loan Tape'!$M105)),IF('Loan Tape'!$L105="",0,'Loan Tape'!$L105)))</f>
        <v>0</v>
      </c>
      <c r="K412" s="56" t="n">
        <f aca="false">IF('Loan Tape'!$AN105=0,0,IF('Loan Tape'!$K105="Floating",MIN(IF('Loan Tape'!$P105="",10,'Loan Tape'!$P105),MAX(IF('Loan Tape'!$Q105="",0,'Loan Tape'!$Q105),INDEX(Idx_Curve,1,9)+'Loan Tape'!$M105)),IF('Loan Tape'!$L105="",0,'Loan Tape'!$L105)))</f>
        <v>0</v>
      </c>
      <c r="L412" s="56" t="n">
        <f aca="false">IF('Loan Tape'!$AN105=0,0,IF('Loan Tape'!$K105="Floating",MIN(IF('Loan Tape'!$P105="",10,'Loan Tape'!$P105),MAX(IF('Loan Tape'!$Q105="",0,'Loan Tape'!$Q105),INDEX(Idx_Curve,1,10)+'Loan Tape'!$M105)),IF('Loan Tape'!$L105="",0,'Loan Tape'!$L105)))</f>
        <v>0</v>
      </c>
    </row>
    <row r="413" customFormat="false" ht="15" hidden="false" customHeight="false" outlineLevel="0" collapsed="false">
      <c r="B413" s="102" t="n">
        <f aca="false">'Loan Tape'!$A106</f>
        <v>0</v>
      </c>
      <c r="C413" s="104" t="n">
        <f aca="false">IF('Loan Tape'!$AN106=0,0,IF('Loan Tape'!$K106="Floating",MIN(IF('Loan Tape'!$P106="",10,'Loan Tape'!$P106),MAX(IF('Loan Tape'!$Q106="",0,'Loan Tape'!$Q106),INDEX(Idx_Curve,1,1)+'Loan Tape'!$M106)),IF('Loan Tape'!$L106="",0,'Loan Tape'!$L106)))</f>
        <v>0</v>
      </c>
      <c r="D413" s="104" t="n">
        <f aca="false">IF('Loan Tape'!$AN106=0,0,IF('Loan Tape'!$K106="Floating",MIN(IF('Loan Tape'!$P106="",10,'Loan Tape'!$P106),MAX(IF('Loan Tape'!$Q106="",0,'Loan Tape'!$Q106),INDEX(Idx_Curve,1,2)+'Loan Tape'!$M106)),IF('Loan Tape'!$L106="",0,'Loan Tape'!$L106)))</f>
        <v>0</v>
      </c>
      <c r="E413" s="104" t="n">
        <f aca="false">IF('Loan Tape'!$AN106=0,0,IF('Loan Tape'!$K106="Floating",MIN(IF('Loan Tape'!$P106="",10,'Loan Tape'!$P106),MAX(IF('Loan Tape'!$Q106="",0,'Loan Tape'!$Q106),INDEX(Idx_Curve,1,3)+'Loan Tape'!$M106)),IF('Loan Tape'!$L106="",0,'Loan Tape'!$L106)))</f>
        <v>0</v>
      </c>
      <c r="F413" s="104" t="n">
        <f aca="false">IF('Loan Tape'!$AN106=0,0,IF('Loan Tape'!$K106="Floating",MIN(IF('Loan Tape'!$P106="",10,'Loan Tape'!$P106),MAX(IF('Loan Tape'!$Q106="",0,'Loan Tape'!$Q106),INDEX(Idx_Curve,1,4)+'Loan Tape'!$M106)),IF('Loan Tape'!$L106="",0,'Loan Tape'!$L106)))</f>
        <v>0</v>
      </c>
      <c r="G413" s="104" t="n">
        <f aca="false">IF('Loan Tape'!$AN106=0,0,IF('Loan Tape'!$K106="Floating",MIN(IF('Loan Tape'!$P106="",10,'Loan Tape'!$P106),MAX(IF('Loan Tape'!$Q106="",0,'Loan Tape'!$Q106),INDEX(Idx_Curve,1,5)+'Loan Tape'!$M106)),IF('Loan Tape'!$L106="",0,'Loan Tape'!$L106)))</f>
        <v>0</v>
      </c>
      <c r="H413" s="104" t="n">
        <f aca="false">IF('Loan Tape'!$AN106=0,0,IF('Loan Tape'!$K106="Floating",MIN(IF('Loan Tape'!$P106="",10,'Loan Tape'!$P106),MAX(IF('Loan Tape'!$Q106="",0,'Loan Tape'!$Q106),INDEX(Idx_Curve,1,6)+'Loan Tape'!$M106)),IF('Loan Tape'!$L106="",0,'Loan Tape'!$L106)))</f>
        <v>0</v>
      </c>
      <c r="I413" s="104" t="n">
        <f aca="false">IF('Loan Tape'!$AN106=0,0,IF('Loan Tape'!$K106="Floating",MIN(IF('Loan Tape'!$P106="",10,'Loan Tape'!$P106),MAX(IF('Loan Tape'!$Q106="",0,'Loan Tape'!$Q106),INDEX(Idx_Curve,1,7)+'Loan Tape'!$M106)),IF('Loan Tape'!$L106="",0,'Loan Tape'!$L106)))</f>
        <v>0</v>
      </c>
      <c r="J413" s="104" t="n">
        <f aca="false">IF('Loan Tape'!$AN106=0,0,IF('Loan Tape'!$K106="Floating",MIN(IF('Loan Tape'!$P106="",10,'Loan Tape'!$P106),MAX(IF('Loan Tape'!$Q106="",0,'Loan Tape'!$Q106),INDEX(Idx_Curve,1,8)+'Loan Tape'!$M106)),IF('Loan Tape'!$L106="",0,'Loan Tape'!$L106)))</f>
        <v>0</v>
      </c>
      <c r="K413" s="104" t="n">
        <f aca="false">IF('Loan Tape'!$AN106=0,0,IF('Loan Tape'!$K106="Floating",MIN(IF('Loan Tape'!$P106="",10,'Loan Tape'!$P106),MAX(IF('Loan Tape'!$Q106="",0,'Loan Tape'!$Q106),INDEX(Idx_Curve,1,9)+'Loan Tape'!$M106)),IF('Loan Tape'!$L106="",0,'Loan Tape'!$L106)))</f>
        <v>0</v>
      </c>
      <c r="L413" s="104" t="n">
        <f aca="false">IF('Loan Tape'!$AN106=0,0,IF('Loan Tape'!$K106="Floating",MIN(IF('Loan Tape'!$P106="",10,'Loan Tape'!$P106),MAX(IF('Loan Tape'!$Q106="",0,'Loan Tape'!$Q106),INDEX(Idx_Curve,1,10)+'Loan Tape'!$M106)),IF('Loan Tape'!$L106="",0,'Loan Tape'!$L106)))</f>
        <v>0</v>
      </c>
    </row>
    <row r="414" customFormat="false" ht="15" hidden="false" customHeight="false" outlineLevel="0" collapsed="false">
      <c r="B414" s="108" t="n">
        <f aca="false">'Loan Tape'!$A107</f>
        <v>0</v>
      </c>
      <c r="C414" s="56" t="n">
        <f aca="false">IF('Loan Tape'!$AN107=0,0,IF('Loan Tape'!$K107="Floating",MIN(IF('Loan Tape'!$P107="",10,'Loan Tape'!$P107),MAX(IF('Loan Tape'!$Q107="",0,'Loan Tape'!$Q107),INDEX(Idx_Curve,1,1)+'Loan Tape'!$M107)),IF('Loan Tape'!$L107="",0,'Loan Tape'!$L107)))</f>
        <v>0</v>
      </c>
      <c r="D414" s="56" t="n">
        <f aca="false">IF('Loan Tape'!$AN107=0,0,IF('Loan Tape'!$K107="Floating",MIN(IF('Loan Tape'!$P107="",10,'Loan Tape'!$P107),MAX(IF('Loan Tape'!$Q107="",0,'Loan Tape'!$Q107),INDEX(Idx_Curve,1,2)+'Loan Tape'!$M107)),IF('Loan Tape'!$L107="",0,'Loan Tape'!$L107)))</f>
        <v>0</v>
      </c>
      <c r="E414" s="56" t="n">
        <f aca="false">IF('Loan Tape'!$AN107=0,0,IF('Loan Tape'!$K107="Floating",MIN(IF('Loan Tape'!$P107="",10,'Loan Tape'!$P107),MAX(IF('Loan Tape'!$Q107="",0,'Loan Tape'!$Q107),INDEX(Idx_Curve,1,3)+'Loan Tape'!$M107)),IF('Loan Tape'!$L107="",0,'Loan Tape'!$L107)))</f>
        <v>0</v>
      </c>
      <c r="F414" s="56" t="n">
        <f aca="false">IF('Loan Tape'!$AN107=0,0,IF('Loan Tape'!$K107="Floating",MIN(IF('Loan Tape'!$P107="",10,'Loan Tape'!$P107),MAX(IF('Loan Tape'!$Q107="",0,'Loan Tape'!$Q107),INDEX(Idx_Curve,1,4)+'Loan Tape'!$M107)),IF('Loan Tape'!$L107="",0,'Loan Tape'!$L107)))</f>
        <v>0</v>
      </c>
      <c r="G414" s="56" t="n">
        <f aca="false">IF('Loan Tape'!$AN107=0,0,IF('Loan Tape'!$K107="Floating",MIN(IF('Loan Tape'!$P107="",10,'Loan Tape'!$P107),MAX(IF('Loan Tape'!$Q107="",0,'Loan Tape'!$Q107),INDEX(Idx_Curve,1,5)+'Loan Tape'!$M107)),IF('Loan Tape'!$L107="",0,'Loan Tape'!$L107)))</f>
        <v>0</v>
      </c>
      <c r="H414" s="56" t="n">
        <f aca="false">IF('Loan Tape'!$AN107=0,0,IF('Loan Tape'!$K107="Floating",MIN(IF('Loan Tape'!$P107="",10,'Loan Tape'!$P107),MAX(IF('Loan Tape'!$Q107="",0,'Loan Tape'!$Q107),INDEX(Idx_Curve,1,6)+'Loan Tape'!$M107)),IF('Loan Tape'!$L107="",0,'Loan Tape'!$L107)))</f>
        <v>0</v>
      </c>
      <c r="I414" s="56" t="n">
        <f aca="false">IF('Loan Tape'!$AN107=0,0,IF('Loan Tape'!$K107="Floating",MIN(IF('Loan Tape'!$P107="",10,'Loan Tape'!$P107),MAX(IF('Loan Tape'!$Q107="",0,'Loan Tape'!$Q107),INDEX(Idx_Curve,1,7)+'Loan Tape'!$M107)),IF('Loan Tape'!$L107="",0,'Loan Tape'!$L107)))</f>
        <v>0</v>
      </c>
      <c r="J414" s="56" t="n">
        <f aca="false">IF('Loan Tape'!$AN107=0,0,IF('Loan Tape'!$K107="Floating",MIN(IF('Loan Tape'!$P107="",10,'Loan Tape'!$P107),MAX(IF('Loan Tape'!$Q107="",0,'Loan Tape'!$Q107),INDEX(Idx_Curve,1,8)+'Loan Tape'!$M107)),IF('Loan Tape'!$L107="",0,'Loan Tape'!$L107)))</f>
        <v>0</v>
      </c>
      <c r="K414" s="56" t="n">
        <f aca="false">IF('Loan Tape'!$AN107=0,0,IF('Loan Tape'!$K107="Floating",MIN(IF('Loan Tape'!$P107="",10,'Loan Tape'!$P107),MAX(IF('Loan Tape'!$Q107="",0,'Loan Tape'!$Q107),INDEX(Idx_Curve,1,9)+'Loan Tape'!$M107)),IF('Loan Tape'!$L107="",0,'Loan Tape'!$L107)))</f>
        <v>0</v>
      </c>
      <c r="L414" s="56" t="n">
        <f aca="false">IF('Loan Tape'!$AN107=0,0,IF('Loan Tape'!$K107="Floating",MIN(IF('Loan Tape'!$P107="",10,'Loan Tape'!$P107),MAX(IF('Loan Tape'!$Q107="",0,'Loan Tape'!$Q107),INDEX(Idx_Curve,1,10)+'Loan Tape'!$M107)),IF('Loan Tape'!$L107="",0,'Loan Tape'!$L107)))</f>
        <v>0</v>
      </c>
    </row>
    <row r="415" customFormat="false" ht="15" hidden="false" customHeight="false" outlineLevel="0" collapsed="false">
      <c r="B415" s="102" t="n">
        <f aca="false">'Loan Tape'!$A108</f>
        <v>0</v>
      </c>
      <c r="C415" s="104" t="n">
        <f aca="false">IF('Loan Tape'!$AN108=0,0,IF('Loan Tape'!$K108="Floating",MIN(IF('Loan Tape'!$P108="",10,'Loan Tape'!$P108),MAX(IF('Loan Tape'!$Q108="",0,'Loan Tape'!$Q108),INDEX(Idx_Curve,1,1)+'Loan Tape'!$M108)),IF('Loan Tape'!$L108="",0,'Loan Tape'!$L108)))</f>
        <v>0</v>
      </c>
      <c r="D415" s="104" t="n">
        <f aca="false">IF('Loan Tape'!$AN108=0,0,IF('Loan Tape'!$K108="Floating",MIN(IF('Loan Tape'!$P108="",10,'Loan Tape'!$P108),MAX(IF('Loan Tape'!$Q108="",0,'Loan Tape'!$Q108),INDEX(Idx_Curve,1,2)+'Loan Tape'!$M108)),IF('Loan Tape'!$L108="",0,'Loan Tape'!$L108)))</f>
        <v>0</v>
      </c>
      <c r="E415" s="104" t="n">
        <f aca="false">IF('Loan Tape'!$AN108=0,0,IF('Loan Tape'!$K108="Floating",MIN(IF('Loan Tape'!$P108="",10,'Loan Tape'!$P108),MAX(IF('Loan Tape'!$Q108="",0,'Loan Tape'!$Q108),INDEX(Idx_Curve,1,3)+'Loan Tape'!$M108)),IF('Loan Tape'!$L108="",0,'Loan Tape'!$L108)))</f>
        <v>0</v>
      </c>
      <c r="F415" s="104" t="n">
        <f aca="false">IF('Loan Tape'!$AN108=0,0,IF('Loan Tape'!$K108="Floating",MIN(IF('Loan Tape'!$P108="",10,'Loan Tape'!$P108),MAX(IF('Loan Tape'!$Q108="",0,'Loan Tape'!$Q108),INDEX(Idx_Curve,1,4)+'Loan Tape'!$M108)),IF('Loan Tape'!$L108="",0,'Loan Tape'!$L108)))</f>
        <v>0</v>
      </c>
      <c r="G415" s="104" t="n">
        <f aca="false">IF('Loan Tape'!$AN108=0,0,IF('Loan Tape'!$K108="Floating",MIN(IF('Loan Tape'!$P108="",10,'Loan Tape'!$P108),MAX(IF('Loan Tape'!$Q108="",0,'Loan Tape'!$Q108),INDEX(Idx_Curve,1,5)+'Loan Tape'!$M108)),IF('Loan Tape'!$L108="",0,'Loan Tape'!$L108)))</f>
        <v>0</v>
      </c>
      <c r="H415" s="104" t="n">
        <f aca="false">IF('Loan Tape'!$AN108=0,0,IF('Loan Tape'!$K108="Floating",MIN(IF('Loan Tape'!$P108="",10,'Loan Tape'!$P108),MAX(IF('Loan Tape'!$Q108="",0,'Loan Tape'!$Q108),INDEX(Idx_Curve,1,6)+'Loan Tape'!$M108)),IF('Loan Tape'!$L108="",0,'Loan Tape'!$L108)))</f>
        <v>0</v>
      </c>
      <c r="I415" s="104" t="n">
        <f aca="false">IF('Loan Tape'!$AN108=0,0,IF('Loan Tape'!$K108="Floating",MIN(IF('Loan Tape'!$P108="",10,'Loan Tape'!$P108),MAX(IF('Loan Tape'!$Q108="",0,'Loan Tape'!$Q108),INDEX(Idx_Curve,1,7)+'Loan Tape'!$M108)),IF('Loan Tape'!$L108="",0,'Loan Tape'!$L108)))</f>
        <v>0</v>
      </c>
      <c r="J415" s="104" t="n">
        <f aca="false">IF('Loan Tape'!$AN108=0,0,IF('Loan Tape'!$K108="Floating",MIN(IF('Loan Tape'!$P108="",10,'Loan Tape'!$P108),MAX(IF('Loan Tape'!$Q108="",0,'Loan Tape'!$Q108),INDEX(Idx_Curve,1,8)+'Loan Tape'!$M108)),IF('Loan Tape'!$L108="",0,'Loan Tape'!$L108)))</f>
        <v>0</v>
      </c>
      <c r="K415" s="104" t="n">
        <f aca="false">IF('Loan Tape'!$AN108=0,0,IF('Loan Tape'!$K108="Floating",MIN(IF('Loan Tape'!$P108="",10,'Loan Tape'!$P108),MAX(IF('Loan Tape'!$Q108="",0,'Loan Tape'!$Q108),INDEX(Idx_Curve,1,9)+'Loan Tape'!$M108)),IF('Loan Tape'!$L108="",0,'Loan Tape'!$L108)))</f>
        <v>0</v>
      </c>
      <c r="L415" s="104" t="n">
        <f aca="false">IF('Loan Tape'!$AN108=0,0,IF('Loan Tape'!$K108="Floating",MIN(IF('Loan Tape'!$P108="",10,'Loan Tape'!$P108),MAX(IF('Loan Tape'!$Q108="",0,'Loan Tape'!$Q108),INDEX(Idx_Curve,1,10)+'Loan Tape'!$M108)),IF('Loan Tape'!$L108="",0,'Loan Tape'!$L108)))</f>
        <v>0</v>
      </c>
    </row>
    <row r="416" customFormat="false" ht="15" hidden="false" customHeight="false" outlineLevel="0" collapsed="false">
      <c r="B416" s="108" t="n">
        <f aca="false">'Loan Tape'!$A109</f>
        <v>0</v>
      </c>
      <c r="C416" s="56" t="n">
        <f aca="false">IF('Loan Tape'!$AN109=0,0,IF('Loan Tape'!$K109="Floating",MIN(IF('Loan Tape'!$P109="",10,'Loan Tape'!$P109),MAX(IF('Loan Tape'!$Q109="",0,'Loan Tape'!$Q109),INDEX(Idx_Curve,1,1)+'Loan Tape'!$M109)),IF('Loan Tape'!$L109="",0,'Loan Tape'!$L109)))</f>
        <v>0</v>
      </c>
      <c r="D416" s="56" t="n">
        <f aca="false">IF('Loan Tape'!$AN109=0,0,IF('Loan Tape'!$K109="Floating",MIN(IF('Loan Tape'!$P109="",10,'Loan Tape'!$P109),MAX(IF('Loan Tape'!$Q109="",0,'Loan Tape'!$Q109),INDEX(Idx_Curve,1,2)+'Loan Tape'!$M109)),IF('Loan Tape'!$L109="",0,'Loan Tape'!$L109)))</f>
        <v>0</v>
      </c>
      <c r="E416" s="56" t="n">
        <f aca="false">IF('Loan Tape'!$AN109=0,0,IF('Loan Tape'!$K109="Floating",MIN(IF('Loan Tape'!$P109="",10,'Loan Tape'!$P109),MAX(IF('Loan Tape'!$Q109="",0,'Loan Tape'!$Q109),INDEX(Idx_Curve,1,3)+'Loan Tape'!$M109)),IF('Loan Tape'!$L109="",0,'Loan Tape'!$L109)))</f>
        <v>0</v>
      </c>
      <c r="F416" s="56" t="n">
        <f aca="false">IF('Loan Tape'!$AN109=0,0,IF('Loan Tape'!$K109="Floating",MIN(IF('Loan Tape'!$P109="",10,'Loan Tape'!$P109),MAX(IF('Loan Tape'!$Q109="",0,'Loan Tape'!$Q109),INDEX(Idx_Curve,1,4)+'Loan Tape'!$M109)),IF('Loan Tape'!$L109="",0,'Loan Tape'!$L109)))</f>
        <v>0</v>
      </c>
      <c r="G416" s="56" t="n">
        <f aca="false">IF('Loan Tape'!$AN109=0,0,IF('Loan Tape'!$K109="Floating",MIN(IF('Loan Tape'!$P109="",10,'Loan Tape'!$P109),MAX(IF('Loan Tape'!$Q109="",0,'Loan Tape'!$Q109),INDEX(Idx_Curve,1,5)+'Loan Tape'!$M109)),IF('Loan Tape'!$L109="",0,'Loan Tape'!$L109)))</f>
        <v>0</v>
      </c>
      <c r="H416" s="56" t="n">
        <f aca="false">IF('Loan Tape'!$AN109=0,0,IF('Loan Tape'!$K109="Floating",MIN(IF('Loan Tape'!$P109="",10,'Loan Tape'!$P109),MAX(IF('Loan Tape'!$Q109="",0,'Loan Tape'!$Q109),INDEX(Idx_Curve,1,6)+'Loan Tape'!$M109)),IF('Loan Tape'!$L109="",0,'Loan Tape'!$L109)))</f>
        <v>0</v>
      </c>
      <c r="I416" s="56" t="n">
        <f aca="false">IF('Loan Tape'!$AN109=0,0,IF('Loan Tape'!$K109="Floating",MIN(IF('Loan Tape'!$P109="",10,'Loan Tape'!$P109),MAX(IF('Loan Tape'!$Q109="",0,'Loan Tape'!$Q109),INDEX(Idx_Curve,1,7)+'Loan Tape'!$M109)),IF('Loan Tape'!$L109="",0,'Loan Tape'!$L109)))</f>
        <v>0</v>
      </c>
      <c r="J416" s="56" t="n">
        <f aca="false">IF('Loan Tape'!$AN109=0,0,IF('Loan Tape'!$K109="Floating",MIN(IF('Loan Tape'!$P109="",10,'Loan Tape'!$P109),MAX(IF('Loan Tape'!$Q109="",0,'Loan Tape'!$Q109),INDEX(Idx_Curve,1,8)+'Loan Tape'!$M109)),IF('Loan Tape'!$L109="",0,'Loan Tape'!$L109)))</f>
        <v>0</v>
      </c>
      <c r="K416" s="56" t="n">
        <f aca="false">IF('Loan Tape'!$AN109=0,0,IF('Loan Tape'!$K109="Floating",MIN(IF('Loan Tape'!$P109="",10,'Loan Tape'!$P109),MAX(IF('Loan Tape'!$Q109="",0,'Loan Tape'!$Q109),INDEX(Idx_Curve,1,9)+'Loan Tape'!$M109)),IF('Loan Tape'!$L109="",0,'Loan Tape'!$L109)))</f>
        <v>0</v>
      </c>
      <c r="L416" s="56" t="n">
        <f aca="false">IF('Loan Tape'!$AN109=0,0,IF('Loan Tape'!$K109="Floating",MIN(IF('Loan Tape'!$P109="",10,'Loan Tape'!$P109),MAX(IF('Loan Tape'!$Q109="",0,'Loan Tape'!$Q109),INDEX(Idx_Curve,1,10)+'Loan Tape'!$M109)),IF('Loan Tape'!$L109="",0,'Loan Tape'!$L109)))</f>
        <v>0</v>
      </c>
    </row>
    <row r="417" customFormat="false" ht="15" hidden="false" customHeight="false" outlineLevel="0" collapsed="false">
      <c r="B417" s="102" t="n">
        <f aca="false">'Loan Tape'!$A110</f>
        <v>0</v>
      </c>
      <c r="C417" s="104" t="n">
        <f aca="false">IF('Loan Tape'!$AN110=0,0,IF('Loan Tape'!$K110="Floating",MIN(IF('Loan Tape'!$P110="",10,'Loan Tape'!$P110),MAX(IF('Loan Tape'!$Q110="",0,'Loan Tape'!$Q110),INDEX(Idx_Curve,1,1)+'Loan Tape'!$M110)),IF('Loan Tape'!$L110="",0,'Loan Tape'!$L110)))</f>
        <v>0</v>
      </c>
      <c r="D417" s="104" t="n">
        <f aca="false">IF('Loan Tape'!$AN110=0,0,IF('Loan Tape'!$K110="Floating",MIN(IF('Loan Tape'!$P110="",10,'Loan Tape'!$P110),MAX(IF('Loan Tape'!$Q110="",0,'Loan Tape'!$Q110),INDEX(Idx_Curve,1,2)+'Loan Tape'!$M110)),IF('Loan Tape'!$L110="",0,'Loan Tape'!$L110)))</f>
        <v>0</v>
      </c>
      <c r="E417" s="104" t="n">
        <f aca="false">IF('Loan Tape'!$AN110=0,0,IF('Loan Tape'!$K110="Floating",MIN(IF('Loan Tape'!$P110="",10,'Loan Tape'!$P110),MAX(IF('Loan Tape'!$Q110="",0,'Loan Tape'!$Q110),INDEX(Idx_Curve,1,3)+'Loan Tape'!$M110)),IF('Loan Tape'!$L110="",0,'Loan Tape'!$L110)))</f>
        <v>0</v>
      </c>
      <c r="F417" s="104" t="n">
        <f aca="false">IF('Loan Tape'!$AN110=0,0,IF('Loan Tape'!$K110="Floating",MIN(IF('Loan Tape'!$P110="",10,'Loan Tape'!$P110),MAX(IF('Loan Tape'!$Q110="",0,'Loan Tape'!$Q110),INDEX(Idx_Curve,1,4)+'Loan Tape'!$M110)),IF('Loan Tape'!$L110="",0,'Loan Tape'!$L110)))</f>
        <v>0</v>
      </c>
      <c r="G417" s="104" t="n">
        <f aca="false">IF('Loan Tape'!$AN110=0,0,IF('Loan Tape'!$K110="Floating",MIN(IF('Loan Tape'!$P110="",10,'Loan Tape'!$P110),MAX(IF('Loan Tape'!$Q110="",0,'Loan Tape'!$Q110),INDEX(Idx_Curve,1,5)+'Loan Tape'!$M110)),IF('Loan Tape'!$L110="",0,'Loan Tape'!$L110)))</f>
        <v>0</v>
      </c>
      <c r="H417" s="104" t="n">
        <f aca="false">IF('Loan Tape'!$AN110=0,0,IF('Loan Tape'!$K110="Floating",MIN(IF('Loan Tape'!$P110="",10,'Loan Tape'!$P110),MAX(IF('Loan Tape'!$Q110="",0,'Loan Tape'!$Q110),INDEX(Idx_Curve,1,6)+'Loan Tape'!$M110)),IF('Loan Tape'!$L110="",0,'Loan Tape'!$L110)))</f>
        <v>0</v>
      </c>
      <c r="I417" s="104" t="n">
        <f aca="false">IF('Loan Tape'!$AN110=0,0,IF('Loan Tape'!$K110="Floating",MIN(IF('Loan Tape'!$P110="",10,'Loan Tape'!$P110),MAX(IF('Loan Tape'!$Q110="",0,'Loan Tape'!$Q110),INDEX(Idx_Curve,1,7)+'Loan Tape'!$M110)),IF('Loan Tape'!$L110="",0,'Loan Tape'!$L110)))</f>
        <v>0</v>
      </c>
      <c r="J417" s="104" t="n">
        <f aca="false">IF('Loan Tape'!$AN110=0,0,IF('Loan Tape'!$K110="Floating",MIN(IF('Loan Tape'!$P110="",10,'Loan Tape'!$P110),MAX(IF('Loan Tape'!$Q110="",0,'Loan Tape'!$Q110),INDEX(Idx_Curve,1,8)+'Loan Tape'!$M110)),IF('Loan Tape'!$L110="",0,'Loan Tape'!$L110)))</f>
        <v>0</v>
      </c>
      <c r="K417" s="104" t="n">
        <f aca="false">IF('Loan Tape'!$AN110=0,0,IF('Loan Tape'!$K110="Floating",MIN(IF('Loan Tape'!$P110="",10,'Loan Tape'!$P110),MAX(IF('Loan Tape'!$Q110="",0,'Loan Tape'!$Q110),INDEX(Idx_Curve,1,9)+'Loan Tape'!$M110)),IF('Loan Tape'!$L110="",0,'Loan Tape'!$L110)))</f>
        <v>0</v>
      </c>
      <c r="L417" s="104" t="n">
        <f aca="false">IF('Loan Tape'!$AN110=0,0,IF('Loan Tape'!$K110="Floating",MIN(IF('Loan Tape'!$P110="",10,'Loan Tape'!$P110),MAX(IF('Loan Tape'!$Q110="",0,'Loan Tape'!$Q110),INDEX(Idx_Curve,1,10)+'Loan Tape'!$M110)),IF('Loan Tape'!$L110="",0,'Loan Tape'!$L110)))</f>
        <v>0</v>
      </c>
    </row>
    <row r="418" customFormat="false" ht="15" hidden="false" customHeight="false" outlineLevel="0" collapsed="false">
      <c r="B418" s="108" t="n">
        <f aca="false">'Loan Tape'!$A111</f>
        <v>0</v>
      </c>
      <c r="C418" s="56" t="n">
        <f aca="false">IF('Loan Tape'!$AN111=0,0,IF('Loan Tape'!$K111="Floating",MIN(IF('Loan Tape'!$P111="",10,'Loan Tape'!$P111),MAX(IF('Loan Tape'!$Q111="",0,'Loan Tape'!$Q111),INDEX(Idx_Curve,1,1)+'Loan Tape'!$M111)),IF('Loan Tape'!$L111="",0,'Loan Tape'!$L111)))</f>
        <v>0</v>
      </c>
      <c r="D418" s="56" t="n">
        <f aca="false">IF('Loan Tape'!$AN111=0,0,IF('Loan Tape'!$K111="Floating",MIN(IF('Loan Tape'!$P111="",10,'Loan Tape'!$P111),MAX(IF('Loan Tape'!$Q111="",0,'Loan Tape'!$Q111),INDEX(Idx_Curve,1,2)+'Loan Tape'!$M111)),IF('Loan Tape'!$L111="",0,'Loan Tape'!$L111)))</f>
        <v>0</v>
      </c>
      <c r="E418" s="56" t="n">
        <f aca="false">IF('Loan Tape'!$AN111=0,0,IF('Loan Tape'!$K111="Floating",MIN(IF('Loan Tape'!$P111="",10,'Loan Tape'!$P111),MAX(IF('Loan Tape'!$Q111="",0,'Loan Tape'!$Q111),INDEX(Idx_Curve,1,3)+'Loan Tape'!$M111)),IF('Loan Tape'!$L111="",0,'Loan Tape'!$L111)))</f>
        <v>0</v>
      </c>
      <c r="F418" s="56" t="n">
        <f aca="false">IF('Loan Tape'!$AN111=0,0,IF('Loan Tape'!$K111="Floating",MIN(IF('Loan Tape'!$P111="",10,'Loan Tape'!$P111),MAX(IF('Loan Tape'!$Q111="",0,'Loan Tape'!$Q111),INDEX(Idx_Curve,1,4)+'Loan Tape'!$M111)),IF('Loan Tape'!$L111="",0,'Loan Tape'!$L111)))</f>
        <v>0</v>
      </c>
      <c r="G418" s="56" t="n">
        <f aca="false">IF('Loan Tape'!$AN111=0,0,IF('Loan Tape'!$K111="Floating",MIN(IF('Loan Tape'!$P111="",10,'Loan Tape'!$P111),MAX(IF('Loan Tape'!$Q111="",0,'Loan Tape'!$Q111),INDEX(Idx_Curve,1,5)+'Loan Tape'!$M111)),IF('Loan Tape'!$L111="",0,'Loan Tape'!$L111)))</f>
        <v>0</v>
      </c>
      <c r="H418" s="56" t="n">
        <f aca="false">IF('Loan Tape'!$AN111=0,0,IF('Loan Tape'!$K111="Floating",MIN(IF('Loan Tape'!$P111="",10,'Loan Tape'!$P111),MAX(IF('Loan Tape'!$Q111="",0,'Loan Tape'!$Q111),INDEX(Idx_Curve,1,6)+'Loan Tape'!$M111)),IF('Loan Tape'!$L111="",0,'Loan Tape'!$L111)))</f>
        <v>0</v>
      </c>
      <c r="I418" s="56" t="n">
        <f aca="false">IF('Loan Tape'!$AN111=0,0,IF('Loan Tape'!$K111="Floating",MIN(IF('Loan Tape'!$P111="",10,'Loan Tape'!$P111),MAX(IF('Loan Tape'!$Q111="",0,'Loan Tape'!$Q111),INDEX(Idx_Curve,1,7)+'Loan Tape'!$M111)),IF('Loan Tape'!$L111="",0,'Loan Tape'!$L111)))</f>
        <v>0</v>
      </c>
      <c r="J418" s="56" t="n">
        <f aca="false">IF('Loan Tape'!$AN111=0,0,IF('Loan Tape'!$K111="Floating",MIN(IF('Loan Tape'!$P111="",10,'Loan Tape'!$P111),MAX(IF('Loan Tape'!$Q111="",0,'Loan Tape'!$Q111),INDEX(Idx_Curve,1,8)+'Loan Tape'!$M111)),IF('Loan Tape'!$L111="",0,'Loan Tape'!$L111)))</f>
        <v>0</v>
      </c>
      <c r="K418" s="56" t="n">
        <f aca="false">IF('Loan Tape'!$AN111=0,0,IF('Loan Tape'!$K111="Floating",MIN(IF('Loan Tape'!$P111="",10,'Loan Tape'!$P111),MAX(IF('Loan Tape'!$Q111="",0,'Loan Tape'!$Q111),INDEX(Idx_Curve,1,9)+'Loan Tape'!$M111)),IF('Loan Tape'!$L111="",0,'Loan Tape'!$L111)))</f>
        <v>0</v>
      </c>
      <c r="L418" s="56" t="n">
        <f aca="false">IF('Loan Tape'!$AN111=0,0,IF('Loan Tape'!$K111="Floating",MIN(IF('Loan Tape'!$P111="",10,'Loan Tape'!$P111),MAX(IF('Loan Tape'!$Q111="",0,'Loan Tape'!$Q111),INDEX(Idx_Curve,1,10)+'Loan Tape'!$M111)),IF('Loan Tape'!$L111="",0,'Loan Tape'!$L111)))</f>
        <v>0</v>
      </c>
    </row>
    <row r="419" customFormat="false" ht="15" hidden="false" customHeight="false" outlineLevel="0" collapsed="false">
      <c r="B419" s="102" t="n">
        <f aca="false">'Loan Tape'!$A112</f>
        <v>0</v>
      </c>
      <c r="C419" s="104" t="n">
        <f aca="false">IF('Loan Tape'!$AN112=0,0,IF('Loan Tape'!$K112="Floating",MIN(IF('Loan Tape'!$P112="",10,'Loan Tape'!$P112),MAX(IF('Loan Tape'!$Q112="",0,'Loan Tape'!$Q112),INDEX(Idx_Curve,1,1)+'Loan Tape'!$M112)),IF('Loan Tape'!$L112="",0,'Loan Tape'!$L112)))</f>
        <v>0</v>
      </c>
      <c r="D419" s="104" t="n">
        <f aca="false">IF('Loan Tape'!$AN112=0,0,IF('Loan Tape'!$K112="Floating",MIN(IF('Loan Tape'!$P112="",10,'Loan Tape'!$P112),MAX(IF('Loan Tape'!$Q112="",0,'Loan Tape'!$Q112),INDEX(Idx_Curve,1,2)+'Loan Tape'!$M112)),IF('Loan Tape'!$L112="",0,'Loan Tape'!$L112)))</f>
        <v>0</v>
      </c>
      <c r="E419" s="104" t="n">
        <f aca="false">IF('Loan Tape'!$AN112=0,0,IF('Loan Tape'!$K112="Floating",MIN(IF('Loan Tape'!$P112="",10,'Loan Tape'!$P112),MAX(IF('Loan Tape'!$Q112="",0,'Loan Tape'!$Q112),INDEX(Idx_Curve,1,3)+'Loan Tape'!$M112)),IF('Loan Tape'!$L112="",0,'Loan Tape'!$L112)))</f>
        <v>0</v>
      </c>
      <c r="F419" s="104" t="n">
        <f aca="false">IF('Loan Tape'!$AN112=0,0,IF('Loan Tape'!$K112="Floating",MIN(IF('Loan Tape'!$P112="",10,'Loan Tape'!$P112),MAX(IF('Loan Tape'!$Q112="",0,'Loan Tape'!$Q112),INDEX(Idx_Curve,1,4)+'Loan Tape'!$M112)),IF('Loan Tape'!$L112="",0,'Loan Tape'!$L112)))</f>
        <v>0</v>
      </c>
      <c r="G419" s="104" t="n">
        <f aca="false">IF('Loan Tape'!$AN112=0,0,IF('Loan Tape'!$K112="Floating",MIN(IF('Loan Tape'!$P112="",10,'Loan Tape'!$P112),MAX(IF('Loan Tape'!$Q112="",0,'Loan Tape'!$Q112),INDEX(Idx_Curve,1,5)+'Loan Tape'!$M112)),IF('Loan Tape'!$L112="",0,'Loan Tape'!$L112)))</f>
        <v>0</v>
      </c>
      <c r="H419" s="104" t="n">
        <f aca="false">IF('Loan Tape'!$AN112=0,0,IF('Loan Tape'!$K112="Floating",MIN(IF('Loan Tape'!$P112="",10,'Loan Tape'!$P112),MAX(IF('Loan Tape'!$Q112="",0,'Loan Tape'!$Q112),INDEX(Idx_Curve,1,6)+'Loan Tape'!$M112)),IF('Loan Tape'!$L112="",0,'Loan Tape'!$L112)))</f>
        <v>0</v>
      </c>
      <c r="I419" s="104" t="n">
        <f aca="false">IF('Loan Tape'!$AN112=0,0,IF('Loan Tape'!$K112="Floating",MIN(IF('Loan Tape'!$P112="",10,'Loan Tape'!$P112),MAX(IF('Loan Tape'!$Q112="",0,'Loan Tape'!$Q112),INDEX(Idx_Curve,1,7)+'Loan Tape'!$M112)),IF('Loan Tape'!$L112="",0,'Loan Tape'!$L112)))</f>
        <v>0</v>
      </c>
      <c r="J419" s="104" t="n">
        <f aca="false">IF('Loan Tape'!$AN112=0,0,IF('Loan Tape'!$K112="Floating",MIN(IF('Loan Tape'!$P112="",10,'Loan Tape'!$P112),MAX(IF('Loan Tape'!$Q112="",0,'Loan Tape'!$Q112),INDEX(Idx_Curve,1,8)+'Loan Tape'!$M112)),IF('Loan Tape'!$L112="",0,'Loan Tape'!$L112)))</f>
        <v>0</v>
      </c>
      <c r="K419" s="104" t="n">
        <f aca="false">IF('Loan Tape'!$AN112=0,0,IF('Loan Tape'!$K112="Floating",MIN(IF('Loan Tape'!$P112="",10,'Loan Tape'!$P112),MAX(IF('Loan Tape'!$Q112="",0,'Loan Tape'!$Q112),INDEX(Idx_Curve,1,9)+'Loan Tape'!$M112)),IF('Loan Tape'!$L112="",0,'Loan Tape'!$L112)))</f>
        <v>0</v>
      </c>
      <c r="L419" s="104" t="n">
        <f aca="false">IF('Loan Tape'!$AN112=0,0,IF('Loan Tape'!$K112="Floating",MIN(IF('Loan Tape'!$P112="",10,'Loan Tape'!$P112),MAX(IF('Loan Tape'!$Q112="",0,'Loan Tape'!$Q112),INDEX(Idx_Curve,1,10)+'Loan Tape'!$M112)),IF('Loan Tape'!$L112="",0,'Loan Tape'!$L112)))</f>
        <v>0</v>
      </c>
    </row>
    <row r="420" customFormat="false" ht="15" hidden="false" customHeight="false" outlineLevel="0" collapsed="false">
      <c r="B420" s="108" t="n">
        <f aca="false">'Loan Tape'!$A113</f>
        <v>0</v>
      </c>
      <c r="C420" s="56" t="n">
        <f aca="false">IF('Loan Tape'!$AN113=0,0,IF('Loan Tape'!$K113="Floating",MIN(IF('Loan Tape'!$P113="",10,'Loan Tape'!$P113),MAX(IF('Loan Tape'!$Q113="",0,'Loan Tape'!$Q113),INDEX(Idx_Curve,1,1)+'Loan Tape'!$M113)),IF('Loan Tape'!$L113="",0,'Loan Tape'!$L113)))</f>
        <v>0</v>
      </c>
      <c r="D420" s="56" t="n">
        <f aca="false">IF('Loan Tape'!$AN113=0,0,IF('Loan Tape'!$K113="Floating",MIN(IF('Loan Tape'!$P113="",10,'Loan Tape'!$P113),MAX(IF('Loan Tape'!$Q113="",0,'Loan Tape'!$Q113),INDEX(Idx_Curve,1,2)+'Loan Tape'!$M113)),IF('Loan Tape'!$L113="",0,'Loan Tape'!$L113)))</f>
        <v>0</v>
      </c>
      <c r="E420" s="56" t="n">
        <f aca="false">IF('Loan Tape'!$AN113=0,0,IF('Loan Tape'!$K113="Floating",MIN(IF('Loan Tape'!$P113="",10,'Loan Tape'!$P113),MAX(IF('Loan Tape'!$Q113="",0,'Loan Tape'!$Q113),INDEX(Idx_Curve,1,3)+'Loan Tape'!$M113)),IF('Loan Tape'!$L113="",0,'Loan Tape'!$L113)))</f>
        <v>0</v>
      </c>
      <c r="F420" s="56" t="n">
        <f aca="false">IF('Loan Tape'!$AN113=0,0,IF('Loan Tape'!$K113="Floating",MIN(IF('Loan Tape'!$P113="",10,'Loan Tape'!$P113),MAX(IF('Loan Tape'!$Q113="",0,'Loan Tape'!$Q113),INDEX(Idx_Curve,1,4)+'Loan Tape'!$M113)),IF('Loan Tape'!$L113="",0,'Loan Tape'!$L113)))</f>
        <v>0</v>
      </c>
      <c r="G420" s="56" t="n">
        <f aca="false">IF('Loan Tape'!$AN113=0,0,IF('Loan Tape'!$K113="Floating",MIN(IF('Loan Tape'!$P113="",10,'Loan Tape'!$P113),MAX(IF('Loan Tape'!$Q113="",0,'Loan Tape'!$Q113),INDEX(Idx_Curve,1,5)+'Loan Tape'!$M113)),IF('Loan Tape'!$L113="",0,'Loan Tape'!$L113)))</f>
        <v>0</v>
      </c>
      <c r="H420" s="56" t="n">
        <f aca="false">IF('Loan Tape'!$AN113=0,0,IF('Loan Tape'!$K113="Floating",MIN(IF('Loan Tape'!$P113="",10,'Loan Tape'!$P113),MAX(IF('Loan Tape'!$Q113="",0,'Loan Tape'!$Q113),INDEX(Idx_Curve,1,6)+'Loan Tape'!$M113)),IF('Loan Tape'!$L113="",0,'Loan Tape'!$L113)))</f>
        <v>0</v>
      </c>
      <c r="I420" s="56" t="n">
        <f aca="false">IF('Loan Tape'!$AN113=0,0,IF('Loan Tape'!$K113="Floating",MIN(IF('Loan Tape'!$P113="",10,'Loan Tape'!$P113),MAX(IF('Loan Tape'!$Q113="",0,'Loan Tape'!$Q113),INDEX(Idx_Curve,1,7)+'Loan Tape'!$M113)),IF('Loan Tape'!$L113="",0,'Loan Tape'!$L113)))</f>
        <v>0</v>
      </c>
      <c r="J420" s="56" t="n">
        <f aca="false">IF('Loan Tape'!$AN113=0,0,IF('Loan Tape'!$K113="Floating",MIN(IF('Loan Tape'!$P113="",10,'Loan Tape'!$P113),MAX(IF('Loan Tape'!$Q113="",0,'Loan Tape'!$Q113),INDEX(Idx_Curve,1,8)+'Loan Tape'!$M113)),IF('Loan Tape'!$L113="",0,'Loan Tape'!$L113)))</f>
        <v>0</v>
      </c>
      <c r="K420" s="56" t="n">
        <f aca="false">IF('Loan Tape'!$AN113=0,0,IF('Loan Tape'!$K113="Floating",MIN(IF('Loan Tape'!$P113="",10,'Loan Tape'!$P113),MAX(IF('Loan Tape'!$Q113="",0,'Loan Tape'!$Q113),INDEX(Idx_Curve,1,9)+'Loan Tape'!$M113)),IF('Loan Tape'!$L113="",0,'Loan Tape'!$L113)))</f>
        <v>0</v>
      </c>
      <c r="L420" s="56" t="n">
        <f aca="false">IF('Loan Tape'!$AN113=0,0,IF('Loan Tape'!$K113="Floating",MIN(IF('Loan Tape'!$P113="",10,'Loan Tape'!$P113),MAX(IF('Loan Tape'!$Q113="",0,'Loan Tape'!$Q113),INDEX(Idx_Curve,1,10)+'Loan Tape'!$M113)),IF('Loan Tape'!$L113="",0,'Loan Tape'!$L113)))</f>
        <v>0</v>
      </c>
    </row>
    <row r="421" customFormat="false" ht="15" hidden="false" customHeight="false" outlineLevel="0" collapsed="false">
      <c r="B421" s="102" t="n">
        <f aca="false">'Loan Tape'!$A114</f>
        <v>0</v>
      </c>
      <c r="C421" s="104" t="n">
        <f aca="false">IF('Loan Tape'!$AN114=0,0,IF('Loan Tape'!$K114="Floating",MIN(IF('Loan Tape'!$P114="",10,'Loan Tape'!$P114),MAX(IF('Loan Tape'!$Q114="",0,'Loan Tape'!$Q114),INDEX(Idx_Curve,1,1)+'Loan Tape'!$M114)),IF('Loan Tape'!$L114="",0,'Loan Tape'!$L114)))</f>
        <v>0</v>
      </c>
      <c r="D421" s="104" t="n">
        <f aca="false">IF('Loan Tape'!$AN114=0,0,IF('Loan Tape'!$K114="Floating",MIN(IF('Loan Tape'!$P114="",10,'Loan Tape'!$P114),MAX(IF('Loan Tape'!$Q114="",0,'Loan Tape'!$Q114),INDEX(Idx_Curve,1,2)+'Loan Tape'!$M114)),IF('Loan Tape'!$L114="",0,'Loan Tape'!$L114)))</f>
        <v>0</v>
      </c>
      <c r="E421" s="104" t="n">
        <f aca="false">IF('Loan Tape'!$AN114=0,0,IF('Loan Tape'!$K114="Floating",MIN(IF('Loan Tape'!$P114="",10,'Loan Tape'!$P114),MAX(IF('Loan Tape'!$Q114="",0,'Loan Tape'!$Q114),INDEX(Idx_Curve,1,3)+'Loan Tape'!$M114)),IF('Loan Tape'!$L114="",0,'Loan Tape'!$L114)))</f>
        <v>0</v>
      </c>
      <c r="F421" s="104" t="n">
        <f aca="false">IF('Loan Tape'!$AN114=0,0,IF('Loan Tape'!$K114="Floating",MIN(IF('Loan Tape'!$P114="",10,'Loan Tape'!$P114),MAX(IF('Loan Tape'!$Q114="",0,'Loan Tape'!$Q114),INDEX(Idx_Curve,1,4)+'Loan Tape'!$M114)),IF('Loan Tape'!$L114="",0,'Loan Tape'!$L114)))</f>
        <v>0</v>
      </c>
      <c r="G421" s="104" t="n">
        <f aca="false">IF('Loan Tape'!$AN114=0,0,IF('Loan Tape'!$K114="Floating",MIN(IF('Loan Tape'!$P114="",10,'Loan Tape'!$P114),MAX(IF('Loan Tape'!$Q114="",0,'Loan Tape'!$Q114),INDEX(Idx_Curve,1,5)+'Loan Tape'!$M114)),IF('Loan Tape'!$L114="",0,'Loan Tape'!$L114)))</f>
        <v>0</v>
      </c>
      <c r="H421" s="104" t="n">
        <f aca="false">IF('Loan Tape'!$AN114=0,0,IF('Loan Tape'!$K114="Floating",MIN(IF('Loan Tape'!$P114="",10,'Loan Tape'!$P114),MAX(IF('Loan Tape'!$Q114="",0,'Loan Tape'!$Q114),INDEX(Idx_Curve,1,6)+'Loan Tape'!$M114)),IF('Loan Tape'!$L114="",0,'Loan Tape'!$L114)))</f>
        <v>0</v>
      </c>
      <c r="I421" s="104" t="n">
        <f aca="false">IF('Loan Tape'!$AN114=0,0,IF('Loan Tape'!$K114="Floating",MIN(IF('Loan Tape'!$P114="",10,'Loan Tape'!$P114),MAX(IF('Loan Tape'!$Q114="",0,'Loan Tape'!$Q114),INDEX(Idx_Curve,1,7)+'Loan Tape'!$M114)),IF('Loan Tape'!$L114="",0,'Loan Tape'!$L114)))</f>
        <v>0</v>
      </c>
      <c r="J421" s="104" t="n">
        <f aca="false">IF('Loan Tape'!$AN114=0,0,IF('Loan Tape'!$K114="Floating",MIN(IF('Loan Tape'!$P114="",10,'Loan Tape'!$P114),MAX(IF('Loan Tape'!$Q114="",0,'Loan Tape'!$Q114),INDEX(Idx_Curve,1,8)+'Loan Tape'!$M114)),IF('Loan Tape'!$L114="",0,'Loan Tape'!$L114)))</f>
        <v>0</v>
      </c>
      <c r="K421" s="104" t="n">
        <f aca="false">IF('Loan Tape'!$AN114=0,0,IF('Loan Tape'!$K114="Floating",MIN(IF('Loan Tape'!$P114="",10,'Loan Tape'!$P114),MAX(IF('Loan Tape'!$Q114="",0,'Loan Tape'!$Q114),INDEX(Idx_Curve,1,9)+'Loan Tape'!$M114)),IF('Loan Tape'!$L114="",0,'Loan Tape'!$L114)))</f>
        <v>0</v>
      </c>
      <c r="L421" s="104" t="n">
        <f aca="false">IF('Loan Tape'!$AN114=0,0,IF('Loan Tape'!$K114="Floating",MIN(IF('Loan Tape'!$P114="",10,'Loan Tape'!$P114),MAX(IF('Loan Tape'!$Q114="",0,'Loan Tape'!$Q114),INDEX(Idx_Curve,1,10)+'Loan Tape'!$M114)),IF('Loan Tape'!$L114="",0,'Loan Tape'!$L114)))</f>
        <v>0</v>
      </c>
    </row>
    <row r="422" customFormat="false" ht="15" hidden="false" customHeight="false" outlineLevel="0" collapsed="false">
      <c r="B422" s="108" t="n">
        <f aca="false">'Loan Tape'!$A115</f>
        <v>0</v>
      </c>
      <c r="C422" s="56" t="n">
        <f aca="false">IF('Loan Tape'!$AN115=0,0,IF('Loan Tape'!$K115="Floating",MIN(IF('Loan Tape'!$P115="",10,'Loan Tape'!$P115),MAX(IF('Loan Tape'!$Q115="",0,'Loan Tape'!$Q115),INDEX(Idx_Curve,1,1)+'Loan Tape'!$M115)),IF('Loan Tape'!$L115="",0,'Loan Tape'!$L115)))</f>
        <v>0</v>
      </c>
      <c r="D422" s="56" t="n">
        <f aca="false">IF('Loan Tape'!$AN115=0,0,IF('Loan Tape'!$K115="Floating",MIN(IF('Loan Tape'!$P115="",10,'Loan Tape'!$P115),MAX(IF('Loan Tape'!$Q115="",0,'Loan Tape'!$Q115),INDEX(Idx_Curve,1,2)+'Loan Tape'!$M115)),IF('Loan Tape'!$L115="",0,'Loan Tape'!$L115)))</f>
        <v>0</v>
      </c>
      <c r="E422" s="56" t="n">
        <f aca="false">IF('Loan Tape'!$AN115=0,0,IF('Loan Tape'!$K115="Floating",MIN(IF('Loan Tape'!$P115="",10,'Loan Tape'!$P115),MAX(IF('Loan Tape'!$Q115="",0,'Loan Tape'!$Q115),INDEX(Idx_Curve,1,3)+'Loan Tape'!$M115)),IF('Loan Tape'!$L115="",0,'Loan Tape'!$L115)))</f>
        <v>0</v>
      </c>
      <c r="F422" s="56" t="n">
        <f aca="false">IF('Loan Tape'!$AN115=0,0,IF('Loan Tape'!$K115="Floating",MIN(IF('Loan Tape'!$P115="",10,'Loan Tape'!$P115),MAX(IF('Loan Tape'!$Q115="",0,'Loan Tape'!$Q115),INDEX(Idx_Curve,1,4)+'Loan Tape'!$M115)),IF('Loan Tape'!$L115="",0,'Loan Tape'!$L115)))</f>
        <v>0</v>
      </c>
      <c r="G422" s="56" t="n">
        <f aca="false">IF('Loan Tape'!$AN115=0,0,IF('Loan Tape'!$K115="Floating",MIN(IF('Loan Tape'!$P115="",10,'Loan Tape'!$P115),MAX(IF('Loan Tape'!$Q115="",0,'Loan Tape'!$Q115),INDEX(Idx_Curve,1,5)+'Loan Tape'!$M115)),IF('Loan Tape'!$L115="",0,'Loan Tape'!$L115)))</f>
        <v>0</v>
      </c>
      <c r="H422" s="56" t="n">
        <f aca="false">IF('Loan Tape'!$AN115=0,0,IF('Loan Tape'!$K115="Floating",MIN(IF('Loan Tape'!$P115="",10,'Loan Tape'!$P115),MAX(IF('Loan Tape'!$Q115="",0,'Loan Tape'!$Q115),INDEX(Idx_Curve,1,6)+'Loan Tape'!$M115)),IF('Loan Tape'!$L115="",0,'Loan Tape'!$L115)))</f>
        <v>0</v>
      </c>
      <c r="I422" s="56" t="n">
        <f aca="false">IF('Loan Tape'!$AN115=0,0,IF('Loan Tape'!$K115="Floating",MIN(IF('Loan Tape'!$P115="",10,'Loan Tape'!$P115),MAX(IF('Loan Tape'!$Q115="",0,'Loan Tape'!$Q115),INDEX(Idx_Curve,1,7)+'Loan Tape'!$M115)),IF('Loan Tape'!$L115="",0,'Loan Tape'!$L115)))</f>
        <v>0</v>
      </c>
      <c r="J422" s="56" t="n">
        <f aca="false">IF('Loan Tape'!$AN115=0,0,IF('Loan Tape'!$K115="Floating",MIN(IF('Loan Tape'!$P115="",10,'Loan Tape'!$P115),MAX(IF('Loan Tape'!$Q115="",0,'Loan Tape'!$Q115),INDEX(Idx_Curve,1,8)+'Loan Tape'!$M115)),IF('Loan Tape'!$L115="",0,'Loan Tape'!$L115)))</f>
        <v>0</v>
      </c>
      <c r="K422" s="56" t="n">
        <f aca="false">IF('Loan Tape'!$AN115=0,0,IF('Loan Tape'!$K115="Floating",MIN(IF('Loan Tape'!$P115="",10,'Loan Tape'!$P115),MAX(IF('Loan Tape'!$Q115="",0,'Loan Tape'!$Q115),INDEX(Idx_Curve,1,9)+'Loan Tape'!$M115)),IF('Loan Tape'!$L115="",0,'Loan Tape'!$L115)))</f>
        <v>0</v>
      </c>
      <c r="L422" s="56" t="n">
        <f aca="false">IF('Loan Tape'!$AN115=0,0,IF('Loan Tape'!$K115="Floating",MIN(IF('Loan Tape'!$P115="",10,'Loan Tape'!$P115),MAX(IF('Loan Tape'!$Q115="",0,'Loan Tape'!$Q115),INDEX(Idx_Curve,1,10)+'Loan Tape'!$M115)),IF('Loan Tape'!$L115="",0,'Loan Tape'!$L115)))</f>
        <v>0</v>
      </c>
    </row>
    <row r="423" customFormat="false" ht="15" hidden="false" customHeight="false" outlineLevel="0" collapsed="false">
      <c r="B423" s="102" t="n">
        <f aca="false">'Loan Tape'!$A116</f>
        <v>0</v>
      </c>
      <c r="C423" s="104" t="n">
        <f aca="false">IF('Loan Tape'!$AN116=0,0,IF('Loan Tape'!$K116="Floating",MIN(IF('Loan Tape'!$P116="",10,'Loan Tape'!$P116),MAX(IF('Loan Tape'!$Q116="",0,'Loan Tape'!$Q116),INDEX(Idx_Curve,1,1)+'Loan Tape'!$M116)),IF('Loan Tape'!$L116="",0,'Loan Tape'!$L116)))</f>
        <v>0</v>
      </c>
      <c r="D423" s="104" t="n">
        <f aca="false">IF('Loan Tape'!$AN116=0,0,IF('Loan Tape'!$K116="Floating",MIN(IF('Loan Tape'!$P116="",10,'Loan Tape'!$P116),MAX(IF('Loan Tape'!$Q116="",0,'Loan Tape'!$Q116),INDEX(Idx_Curve,1,2)+'Loan Tape'!$M116)),IF('Loan Tape'!$L116="",0,'Loan Tape'!$L116)))</f>
        <v>0</v>
      </c>
      <c r="E423" s="104" t="n">
        <f aca="false">IF('Loan Tape'!$AN116=0,0,IF('Loan Tape'!$K116="Floating",MIN(IF('Loan Tape'!$P116="",10,'Loan Tape'!$P116),MAX(IF('Loan Tape'!$Q116="",0,'Loan Tape'!$Q116),INDEX(Idx_Curve,1,3)+'Loan Tape'!$M116)),IF('Loan Tape'!$L116="",0,'Loan Tape'!$L116)))</f>
        <v>0</v>
      </c>
      <c r="F423" s="104" t="n">
        <f aca="false">IF('Loan Tape'!$AN116=0,0,IF('Loan Tape'!$K116="Floating",MIN(IF('Loan Tape'!$P116="",10,'Loan Tape'!$P116),MAX(IF('Loan Tape'!$Q116="",0,'Loan Tape'!$Q116),INDEX(Idx_Curve,1,4)+'Loan Tape'!$M116)),IF('Loan Tape'!$L116="",0,'Loan Tape'!$L116)))</f>
        <v>0</v>
      </c>
      <c r="G423" s="104" t="n">
        <f aca="false">IF('Loan Tape'!$AN116=0,0,IF('Loan Tape'!$K116="Floating",MIN(IF('Loan Tape'!$P116="",10,'Loan Tape'!$P116),MAX(IF('Loan Tape'!$Q116="",0,'Loan Tape'!$Q116),INDEX(Idx_Curve,1,5)+'Loan Tape'!$M116)),IF('Loan Tape'!$L116="",0,'Loan Tape'!$L116)))</f>
        <v>0</v>
      </c>
      <c r="H423" s="104" t="n">
        <f aca="false">IF('Loan Tape'!$AN116=0,0,IF('Loan Tape'!$K116="Floating",MIN(IF('Loan Tape'!$P116="",10,'Loan Tape'!$P116),MAX(IF('Loan Tape'!$Q116="",0,'Loan Tape'!$Q116),INDEX(Idx_Curve,1,6)+'Loan Tape'!$M116)),IF('Loan Tape'!$L116="",0,'Loan Tape'!$L116)))</f>
        <v>0</v>
      </c>
      <c r="I423" s="104" t="n">
        <f aca="false">IF('Loan Tape'!$AN116=0,0,IF('Loan Tape'!$K116="Floating",MIN(IF('Loan Tape'!$P116="",10,'Loan Tape'!$P116),MAX(IF('Loan Tape'!$Q116="",0,'Loan Tape'!$Q116),INDEX(Idx_Curve,1,7)+'Loan Tape'!$M116)),IF('Loan Tape'!$L116="",0,'Loan Tape'!$L116)))</f>
        <v>0</v>
      </c>
      <c r="J423" s="104" t="n">
        <f aca="false">IF('Loan Tape'!$AN116=0,0,IF('Loan Tape'!$K116="Floating",MIN(IF('Loan Tape'!$P116="",10,'Loan Tape'!$P116),MAX(IF('Loan Tape'!$Q116="",0,'Loan Tape'!$Q116),INDEX(Idx_Curve,1,8)+'Loan Tape'!$M116)),IF('Loan Tape'!$L116="",0,'Loan Tape'!$L116)))</f>
        <v>0</v>
      </c>
      <c r="K423" s="104" t="n">
        <f aca="false">IF('Loan Tape'!$AN116=0,0,IF('Loan Tape'!$K116="Floating",MIN(IF('Loan Tape'!$P116="",10,'Loan Tape'!$P116),MAX(IF('Loan Tape'!$Q116="",0,'Loan Tape'!$Q116),INDEX(Idx_Curve,1,9)+'Loan Tape'!$M116)),IF('Loan Tape'!$L116="",0,'Loan Tape'!$L116)))</f>
        <v>0</v>
      </c>
      <c r="L423" s="104" t="n">
        <f aca="false">IF('Loan Tape'!$AN116=0,0,IF('Loan Tape'!$K116="Floating",MIN(IF('Loan Tape'!$P116="",10,'Loan Tape'!$P116),MAX(IF('Loan Tape'!$Q116="",0,'Loan Tape'!$Q116),INDEX(Idx_Curve,1,10)+'Loan Tape'!$M116)),IF('Loan Tape'!$L116="",0,'Loan Tape'!$L116)))</f>
        <v>0</v>
      </c>
    </row>
    <row r="424" customFormat="false" ht="15" hidden="false" customHeight="false" outlineLevel="0" collapsed="false">
      <c r="B424" s="108" t="n">
        <f aca="false">'Loan Tape'!$A117</f>
        <v>0</v>
      </c>
      <c r="C424" s="56" t="n">
        <f aca="false">IF('Loan Tape'!$AN117=0,0,IF('Loan Tape'!$K117="Floating",MIN(IF('Loan Tape'!$P117="",10,'Loan Tape'!$P117),MAX(IF('Loan Tape'!$Q117="",0,'Loan Tape'!$Q117),INDEX(Idx_Curve,1,1)+'Loan Tape'!$M117)),IF('Loan Tape'!$L117="",0,'Loan Tape'!$L117)))</f>
        <v>0</v>
      </c>
      <c r="D424" s="56" t="n">
        <f aca="false">IF('Loan Tape'!$AN117=0,0,IF('Loan Tape'!$K117="Floating",MIN(IF('Loan Tape'!$P117="",10,'Loan Tape'!$P117),MAX(IF('Loan Tape'!$Q117="",0,'Loan Tape'!$Q117),INDEX(Idx_Curve,1,2)+'Loan Tape'!$M117)),IF('Loan Tape'!$L117="",0,'Loan Tape'!$L117)))</f>
        <v>0</v>
      </c>
      <c r="E424" s="56" t="n">
        <f aca="false">IF('Loan Tape'!$AN117=0,0,IF('Loan Tape'!$K117="Floating",MIN(IF('Loan Tape'!$P117="",10,'Loan Tape'!$P117),MAX(IF('Loan Tape'!$Q117="",0,'Loan Tape'!$Q117),INDEX(Idx_Curve,1,3)+'Loan Tape'!$M117)),IF('Loan Tape'!$L117="",0,'Loan Tape'!$L117)))</f>
        <v>0</v>
      </c>
      <c r="F424" s="56" t="n">
        <f aca="false">IF('Loan Tape'!$AN117=0,0,IF('Loan Tape'!$K117="Floating",MIN(IF('Loan Tape'!$P117="",10,'Loan Tape'!$P117),MAX(IF('Loan Tape'!$Q117="",0,'Loan Tape'!$Q117),INDEX(Idx_Curve,1,4)+'Loan Tape'!$M117)),IF('Loan Tape'!$L117="",0,'Loan Tape'!$L117)))</f>
        <v>0</v>
      </c>
      <c r="G424" s="56" t="n">
        <f aca="false">IF('Loan Tape'!$AN117=0,0,IF('Loan Tape'!$K117="Floating",MIN(IF('Loan Tape'!$P117="",10,'Loan Tape'!$P117),MAX(IF('Loan Tape'!$Q117="",0,'Loan Tape'!$Q117),INDEX(Idx_Curve,1,5)+'Loan Tape'!$M117)),IF('Loan Tape'!$L117="",0,'Loan Tape'!$L117)))</f>
        <v>0</v>
      </c>
      <c r="H424" s="56" t="n">
        <f aca="false">IF('Loan Tape'!$AN117=0,0,IF('Loan Tape'!$K117="Floating",MIN(IF('Loan Tape'!$P117="",10,'Loan Tape'!$P117),MAX(IF('Loan Tape'!$Q117="",0,'Loan Tape'!$Q117),INDEX(Idx_Curve,1,6)+'Loan Tape'!$M117)),IF('Loan Tape'!$L117="",0,'Loan Tape'!$L117)))</f>
        <v>0</v>
      </c>
      <c r="I424" s="56" t="n">
        <f aca="false">IF('Loan Tape'!$AN117=0,0,IF('Loan Tape'!$K117="Floating",MIN(IF('Loan Tape'!$P117="",10,'Loan Tape'!$P117),MAX(IF('Loan Tape'!$Q117="",0,'Loan Tape'!$Q117),INDEX(Idx_Curve,1,7)+'Loan Tape'!$M117)),IF('Loan Tape'!$L117="",0,'Loan Tape'!$L117)))</f>
        <v>0</v>
      </c>
      <c r="J424" s="56" t="n">
        <f aca="false">IF('Loan Tape'!$AN117=0,0,IF('Loan Tape'!$K117="Floating",MIN(IF('Loan Tape'!$P117="",10,'Loan Tape'!$P117),MAX(IF('Loan Tape'!$Q117="",0,'Loan Tape'!$Q117),INDEX(Idx_Curve,1,8)+'Loan Tape'!$M117)),IF('Loan Tape'!$L117="",0,'Loan Tape'!$L117)))</f>
        <v>0</v>
      </c>
      <c r="K424" s="56" t="n">
        <f aca="false">IF('Loan Tape'!$AN117=0,0,IF('Loan Tape'!$K117="Floating",MIN(IF('Loan Tape'!$P117="",10,'Loan Tape'!$P117),MAX(IF('Loan Tape'!$Q117="",0,'Loan Tape'!$Q117),INDEX(Idx_Curve,1,9)+'Loan Tape'!$M117)),IF('Loan Tape'!$L117="",0,'Loan Tape'!$L117)))</f>
        <v>0</v>
      </c>
      <c r="L424" s="56" t="n">
        <f aca="false">IF('Loan Tape'!$AN117=0,0,IF('Loan Tape'!$K117="Floating",MIN(IF('Loan Tape'!$P117="",10,'Loan Tape'!$P117),MAX(IF('Loan Tape'!$Q117="",0,'Loan Tape'!$Q117),INDEX(Idx_Curve,1,10)+'Loan Tape'!$M117)),IF('Loan Tape'!$L117="",0,'Loan Tape'!$L117)))</f>
        <v>0</v>
      </c>
    </row>
    <row r="425" customFormat="false" ht="15" hidden="false" customHeight="false" outlineLevel="0" collapsed="false">
      <c r="B425" s="102" t="n">
        <f aca="false">'Loan Tape'!$A118</f>
        <v>0</v>
      </c>
      <c r="C425" s="104" t="n">
        <f aca="false">IF('Loan Tape'!$AN118=0,0,IF('Loan Tape'!$K118="Floating",MIN(IF('Loan Tape'!$P118="",10,'Loan Tape'!$P118),MAX(IF('Loan Tape'!$Q118="",0,'Loan Tape'!$Q118),INDEX(Idx_Curve,1,1)+'Loan Tape'!$M118)),IF('Loan Tape'!$L118="",0,'Loan Tape'!$L118)))</f>
        <v>0</v>
      </c>
      <c r="D425" s="104" t="n">
        <f aca="false">IF('Loan Tape'!$AN118=0,0,IF('Loan Tape'!$K118="Floating",MIN(IF('Loan Tape'!$P118="",10,'Loan Tape'!$P118),MAX(IF('Loan Tape'!$Q118="",0,'Loan Tape'!$Q118),INDEX(Idx_Curve,1,2)+'Loan Tape'!$M118)),IF('Loan Tape'!$L118="",0,'Loan Tape'!$L118)))</f>
        <v>0</v>
      </c>
      <c r="E425" s="104" t="n">
        <f aca="false">IF('Loan Tape'!$AN118=0,0,IF('Loan Tape'!$K118="Floating",MIN(IF('Loan Tape'!$P118="",10,'Loan Tape'!$P118),MAX(IF('Loan Tape'!$Q118="",0,'Loan Tape'!$Q118),INDEX(Idx_Curve,1,3)+'Loan Tape'!$M118)),IF('Loan Tape'!$L118="",0,'Loan Tape'!$L118)))</f>
        <v>0</v>
      </c>
      <c r="F425" s="104" t="n">
        <f aca="false">IF('Loan Tape'!$AN118=0,0,IF('Loan Tape'!$K118="Floating",MIN(IF('Loan Tape'!$P118="",10,'Loan Tape'!$P118),MAX(IF('Loan Tape'!$Q118="",0,'Loan Tape'!$Q118),INDEX(Idx_Curve,1,4)+'Loan Tape'!$M118)),IF('Loan Tape'!$L118="",0,'Loan Tape'!$L118)))</f>
        <v>0</v>
      </c>
      <c r="G425" s="104" t="n">
        <f aca="false">IF('Loan Tape'!$AN118=0,0,IF('Loan Tape'!$K118="Floating",MIN(IF('Loan Tape'!$P118="",10,'Loan Tape'!$P118),MAX(IF('Loan Tape'!$Q118="",0,'Loan Tape'!$Q118),INDEX(Idx_Curve,1,5)+'Loan Tape'!$M118)),IF('Loan Tape'!$L118="",0,'Loan Tape'!$L118)))</f>
        <v>0</v>
      </c>
      <c r="H425" s="104" t="n">
        <f aca="false">IF('Loan Tape'!$AN118=0,0,IF('Loan Tape'!$K118="Floating",MIN(IF('Loan Tape'!$P118="",10,'Loan Tape'!$P118),MAX(IF('Loan Tape'!$Q118="",0,'Loan Tape'!$Q118),INDEX(Idx_Curve,1,6)+'Loan Tape'!$M118)),IF('Loan Tape'!$L118="",0,'Loan Tape'!$L118)))</f>
        <v>0</v>
      </c>
      <c r="I425" s="104" t="n">
        <f aca="false">IF('Loan Tape'!$AN118=0,0,IF('Loan Tape'!$K118="Floating",MIN(IF('Loan Tape'!$P118="",10,'Loan Tape'!$P118),MAX(IF('Loan Tape'!$Q118="",0,'Loan Tape'!$Q118),INDEX(Idx_Curve,1,7)+'Loan Tape'!$M118)),IF('Loan Tape'!$L118="",0,'Loan Tape'!$L118)))</f>
        <v>0</v>
      </c>
      <c r="J425" s="104" t="n">
        <f aca="false">IF('Loan Tape'!$AN118=0,0,IF('Loan Tape'!$K118="Floating",MIN(IF('Loan Tape'!$P118="",10,'Loan Tape'!$P118),MAX(IF('Loan Tape'!$Q118="",0,'Loan Tape'!$Q118),INDEX(Idx_Curve,1,8)+'Loan Tape'!$M118)),IF('Loan Tape'!$L118="",0,'Loan Tape'!$L118)))</f>
        <v>0</v>
      </c>
      <c r="K425" s="104" t="n">
        <f aca="false">IF('Loan Tape'!$AN118=0,0,IF('Loan Tape'!$K118="Floating",MIN(IF('Loan Tape'!$P118="",10,'Loan Tape'!$P118),MAX(IF('Loan Tape'!$Q118="",0,'Loan Tape'!$Q118),INDEX(Idx_Curve,1,9)+'Loan Tape'!$M118)),IF('Loan Tape'!$L118="",0,'Loan Tape'!$L118)))</f>
        <v>0</v>
      </c>
      <c r="L425" s="104" t="n">
        <f aca="false">IF('Loan Tape'!$AN118=0,0,IF('Loan Tape'!$K118="Floating",MIN(IF('Loan Tape'!$P118="",10,'Loan Tape'!$P118),MAX(IF('Loan Tape'!$Q118="",0,'Loan Tape'!$Q118),INDEX(Idx_Curve,1,10)+'Loan Tape'!$M118)),IF('Loan Tape'!$L118="",0,'Loan Tape'!$L118)))</f>
        <v>0</v>
      </c>
    </row>
    <row r="426" customFormat="false" ht="15" hidden="false" customHeight="false" outlineLevel="0" collapsed="false">
      <c r="B426" s="108" t="n">
        <f aca="false">'Loan Tape'!$A119</f>
        <v>0</v>
      </c>
      <c r="C426" s="56" t="n">
        <f aca="false">IF('Loan Tape'!$AN119=0,0,IF('Loan Tape'!$K119="Floating",MIN(IF('Loan Tape'!$P119="",10,'Loan Tape'!$P119),MAX(IF('Loan Tape'!$Q119="",0,'Loan Tape'!$Q119),INDEX(Idx_Curve,1,1)+'Loan Tape'!$M119)),IF('Loan Tape'!$L119="",0,'Loan Tape'!$L119)))</f>
        <v>0</v>
      </c>
      <c r="D426" s="56" t="n">
        <f aca="false">IF('Loan Tape'!$AN119=0,0,IF('Loan Tape'!$K119="Floating",MIN(IF('Loan Tape'!$P119="",10,'Loan Tape'!$P119),MAX(IF('Loan Tape'!$Q119="",0,'Loan Tape'!$Q119),INDEX(Idx_Curve,1,2)+'Loan Tape'!$M119)),IF('Loan Tape'!$L119="",0,'Loan Tape'!$L119)))</f>
        <v>0</v>
      </c>
      <c r="E426" s="56" t="n">
        <f aca="false">IF('Loan Tape'!$AN119=0,0,IF('Loan Tape'!$K119="Floating",MIN(IF('Loan Tape'!$P119="",10,'Loan Tape'!$P119),MAX(IF('Loan Tape'!$Q119="",0,'Loan Tape'!$Q119),INDEX(Idx_Curve,1,3)+'Loan Tape'!$M119)),IF('Loan Tape'!$L119="",0,'Loan Tape'!$L119)))</f>
        <v>0</v>
      </c>
      <c r="F426" s="56" t="n">
        <f aca="false">IF('Loan Tape'!$AN119=0,0,IF('Loan Tape'!$K119="Floating",MIN(IF('Loan Tape'!$P119="",10,'Loan Tape'!$P119),MAX(IF('Loan Tape'!$Q119="",0,'Loan Tape'!$Q119),INDEX(Idx_Curve,1,4)+'Loan Tape'!$M119)),IF('Loan Tape'!$L119="",0,'Loan Tape'!$L119)))</f>
        <v>0</v>
      </c>
      <c r="G426" s="56" t="n">
        <f aca="false">IF('Loan Tape'!$AN119=0,0,IF('Loan Tape'!$K119="Floating",MIN(IF('Loan Tape'!$P119="",10,'Loan Tape'!$P119),MAX(IF('Loan Tape'!$Q119="",0,'Loan Tape'!$Q119),INDEX(Idx_Curve,1,5)+'Loan Tape'!$M119)),IF('Loan Tape'!$L119="",0,'Loan Tape'!$L119)))</f>
        <v>0</v>
      </c>
      <c r="H426" s="56" t="n">
        <f aca="false">IF('Loan Tape'!$AN119=0,0,IF('Loan Tape'!$K119="Floating",MIN(IF('Loan Tape'!$P119="",10,'Loan Tape'!$P119),MAX(IF('Loan Tape'!$Q119="",0,'Loan Tape'!$Q119),INDEX(Idx_Curve,1,6)+'Loan Tape'!$M119)),IF('Loan Tape'!$L119="",0,'Loan Tape'!$L119)))</f>
        <v>0</v>
      </c>
      <c r="I426" s="56" t="n">
        <f aca="false">IF('Loan Tape'!$AN119=0,0,IF('Loan Tape'!$K119="Floating",MIN(IF('Loan Tape'!$P119="",10,'Loan Tape'!$P119),MAX(IF('Loan Tape'!$Q119="",0,'Loan Tape'!$Q119),INDEX(Idx_Curve,1,7)+'Loan Tape'!$M119)),IF('Loan Tape'!$L119="",0,'Loan Tape'!$L119)))</f>
        <v>0</v>
      </c>
      <c r="J426" s="56" t="n">
        <f aca="false">IF('Loan Tape'!$AN119=0,0,IF('Loan Tape'!$K119="Floating",MIN(IF('Loan Tape'!$P119="",10,'Loan Tape'!$P119),MAX(IF('Loan Tape'!$Q119="",0,'Loan Tape'!$Q119),INDEX(Idx_Curve,1,8)+'Loan Tape'!$M119)),IF('Loan Tape'!$L119="",0,'Loan Tape'!$L119)))</f>
        <v>0</v>
      </c>
      <c r="K426" s="56" t="n">
        <f aca="false">IF('Loan Tape'!$AN119=0,0,IF('Loan Tape'!$K119="Floating",MIN(IF('Loan Tape'!$P119="",10,'Loan Tape'!$P119),MAX(IF('Loan Tape'!$Q119="",0,'Loan Tape'!$Q119),INDEX(Idx_Curve,1,9)+'Loan Tape'!$M119)),IF('Loan Tape'!$L119="",0,'Loan Tape'!$L119)))</f>
        <v>0</v>
      </c>
      <c r="L426" s="56" t="n">
        <f aca="false">IF('Loan Tape'!$AN119=0,0,IF('Loan Tape'!$K119="Floating",MIN(IF('Loan Tape'!$P119="",10,'Loan Tape'!$P119),MAX(IF('Loan Tape'!$Q119="",0,'Loan Tape'!$Q119),INDEX(Idx_Curve,1,10)+'Loan Tape'!$M119)),IF('Loan Tape'!$L119="",0,'Loan Tape'!$L119)))</f>
        <v>0</v>
      </c>
    </row>
    <row r="427" customFormat="false" ht="15" hidden="false" customHeight="false" outlineLevel="0" collapsed="false">
      <c r="B427" s="102" t="n">
        <f aca="false">'Loan Tape'!$A120</f>
        <v>0</v>
      </c>
      <c r="C427" s="104" t="n">
        <f aca="false">IF('Loan Tape'!$AN120=0,0,IF('Loan Tape'!$K120="Floating",MIN(IF('Loan Tape'!$P120="",10,'Loan Tape'!$P120),MAX(IF('Loan Tape'!$Q120="",0,'Loan Tape'!$Q120),INDEX(Idx_Curve,1,1)+'Loan Tape'!$M120)),IF('Loan Tape'!$L120="",0,'Loan Tape'!$L120)))</f>
        <v>0</v>
      </c>
      <c r="D427" s="104" t="n">
        <f aca="false">IF('Loan Tape'!$AN120=0,0,IF('Loan Tape'!$K120="Floating",MIN(IF('Loan Tape'!$P120="",10,'Loan Tape'!$P120),MAX(IF('Loan Tape'!$Q120="",0,'Loan Tape'!$Q120),INDEX(Idx_Curve,1,2)+'Loan Tape'!$M120)),IF('Loan Tape'!$L120="",0,'Loan Tape'!$L120)))</f>
        <v>0</v>
      </c>
      <c r="E427" s="104" t="n">
        <f aca="false">IF('Loan Tape'!$AN120=0,0,IF('Loan Tape'!$K120="Floating",MIN(IF('Loan Tape'!$P120="",10,'Loan Tape'!$P120),MAX(IF('Loan Tape'!$Q120="",0,'Loan Tape'!$Q120),INDEX(Idx_Curve,1,3)+'Loan Tape'!$M120)),IF('Loan Tape'!$L120="",0,'Loan Tape'!$L120)))</f>
        <v>0</v>
      </c>
      <c r="F427" s="104" t="n">
        <f aca="false">IF('Loan Tape'!$AN120=0,0,IF('Loan Tape'!$K120="Floating",MIN(IF('Loan Tape'!$P120="",10,'Loan Tape'!$P120),MAX(IF('Loan Tape'!$Q120="",0,'Loan Tape'!$Q120),INDEX(Idx_Curve,1,4)+'Loan Tape'!$M120)),IF('Loan Tape'!$L120="",0,'Loan Tape'!$L120)))</f>
        <v>0</v>
      </c>
      <c r="G427" s="104" t="n">
        <f aca="false">IF('Loan Tape'!$AN120=0,0,IF('Loan Tape'!$K120="Floating",MIN(IF('Loan Tape'!$P120="",10,'Loan Tape'!$P120),MAX(IF('Loan Tape'!$Q120="",0,'Loan Tape'!$Q120),INDEX(Idx_Curve,1,5)+'Loan Tape'!$M120)),IF('Loan Tape'!$L120="",0,'Loan Tape'!$L120)))</f>
        <v>0</v>
      </c>
      <c r="H427" s="104" t="n">
        <f aca="false">IF('Loan Tape'!$AN120=0,0,IF('Loan Tape'!$K120="Floating",MIN(IF('Loan Tape'!$P120="",10,'Loan Tape'!$P120),MAX(IF('Loan Tape'!$Q120="",0,'Loan Tape'!$Q120),INDEX(Idx_Curve,1,6)+'Loan Tape'!$M120)),IF('Loan Tape'!$L120="",0,'Loan Tape'!$L120)))</f>
        <v>0</v>
      </c>
      <c r="I427" s="104" t="n">
        <f aca="false">IF('Loan Tape'!$AN120=0,0,IF('Loan Tape'!$K120="Floating",MIN(IF('Loan Tape'!$P120="",10,'Loan Tape'!$P120),MAX(IF('Loan Tape'!$Q120="",0,'Loan Tape'!$Q120),INDEX(Idx_Curve,1,7)+'Loan Tape'!$M120)),IF('Loan Tape'!$L120="",0,'Loan Tape'!$L120)))</f>
        <v>0</v>
      </c>
      <c r="J427" s="104" t="n">
        <f aca="false">IF('Loan Tape'!$AN120=0,0,IF('Loan Tape'!$K120="Floating",MIN(IF('Loan Tape'!$P120="",10,'Loan Tape'!$P120),MAX(IF('Loan Tape'!$Q120="",0,'Loan Tape'!$Q120),INDEX(Idx_Curve,1,8)+'Loan Tape'!$M120)),IF('Loan Tape'!$L120="",0,'Loan Tape'!$L120)))</f>
        <v>0</v>
      </c>
      <c r="K427" s="104" t="n">
        <f aca="false">IF('Loan Tape'!$AN120=0,0,IF('Loan Tape'!$K120="Floating",MIN(IF('Loan Tape'!$P120="",10,'Loan Tape'!$P120),MAX(IF('Loan Tape'!$Q120="",0,'Loan Tape'!$Q120),INDEX(Idx_Curve,1,9)+'Loan Tape'!$M120)),IF('Loan Tape'!$L120="",0,'Loan Tape'!$L120)))</f>
        <v>0</v>
      </c>
      <c r="L427" s="104" t="n">
        <f aca="false">IF('Loan Tape'!$AN120=0,0,IF('Loan Tape'!$K120="Floating",MIN(IF('Loan Tape'!$P120="",10,'Loan Tape'!$P120),MAX(IF('Loan Tape'!$Q120="",0,'Loan Tape'!$Q120),INDEX(Idx_Curve,1,10)+'Loan Tape'!$M120)),IF('Loan Tape'!$L120="",0,'Loan Tape'!$L120)))</f>
        <v>0</v>
      </c>
    </row>
    <row r="428" customFormat="false" ht="15" hidden="false" customHeight="false" outlineLevel="0" collapsed="false">
      <c r="B428" s="108" t="n">
        <f aca="false">'Loan Tape'!$A121</f>
        <v>0</v>
      </c>
      <c r="C428" s="56" t="n">
        <f aca="false">IF('Loan Tape'!$AN121=0,0,IF('Loan Tape'!$K121="Floating",MIN(IF('Loan Tape'!$P121="",10,'Loan Tape'!$P121),MAX(IF('Loan Tape'!$Q121="",0,'Loan Tape'!$Q121),INDEX(Idx_Curve,1,1)+'Loan Tape'!$M121)),IF('Loan Tape'!$L121="",0,'Loan Tape'!$L121)))</f>
        <v>0</v>
      </c>
      <c r="D428" s="56" t="n">
        <f aca="false">IF('Loan Tape'!$AN121=0,0,IF('Loan Tape'!$K121="Floating",MIN(IF('Loan Tape'!$P121="",10,'Loan Tape'!$P121),MAX(IF('Loan Tape'!$Q121="",0,'Loan Tape'!$Q121),INDEX(Idx_Curve,1,2)+'Loan Tape'!$M121)),IF('Loan Tape'!$L121="",0,'Loan Tape'!$L121)))</f>
        <v>0</v>
      </c>
      <c r="E428" s="56" t="n">
        <f aca="false">IF('Loan Tape'!$AN121=0,0,IF('Loan Tape'!$K121="Floating",MIN(IF('Loan Tape'!$P121="",10,'Loan Tape'!$P121),MAX(IF('Loan Tape'!$Q121="",0,'Loan Tape'!$Q121),INDEX(Idx_Curve,1,3)+'Loan Tape'!$M121)),IF('Loan Tape'!$L121="",0,'Loan Tape'!$L121)))</f>
        <v>0</v>
      </c>
      <c r="F428" s="56" t="n">
        <f aca="false">IF('Loan Tape'!$AN121=0,0,IF('Loan Tape'!$K121="Floating",MIN(IF('Loan Tape'!$P121="",10,'Loan Tape'!$P121),MAX(IF('Loan Tape'!$Q121="",0,'Loan Tape'!$Q121),INDEX(Idx_Curve,1,4)+'Loan Tape'!$M121)),IF('Loan Tape'!$L121="",0,'Loan Tape'!$L121)))</f>
        <v>0</v>
      </c>
      <c r="G428" s="56" t="n">
        <f aca="false">IF('Loan Tape'!$AN121=0,0,IF('Loan Tape'!$K121="Floating",MIN(IF('Loan Tape'!$P121="",10,'Loan Tape'!$P121),MAX(IF('Loan Tape'!$Q121="",0,'Loan Tape'!$Q121),INDEX(Idx_Curve,1,5)+'Loan Tape'!$M121)),IF('Loan Tape'!$L121="",0,'Loan Tape'!$L121)))</f>
        <v>0</v>
      </c>
      <c r="H428" s="56" t="n">
        <f aca="false">IF('Loan Tape'!$AN121=0,0,IF('Loan Tape'!$K121="Floating",MIN(IF('Loan Tape'!$P121="",10,'Loan Tape'!$P121),MAX(IF('Loan Tape'!$Q121="",0,'Loan Tape'!$Q121),INDEX(Idx_Curve,1,6)+'Loan Tape'!$M121)),IF('Loan Tape'!$L121="",0,'Loan Tape'!$L121)))</f>
        <v>0</v>
      </c>
      <c r="I428" s="56" t="n">
        <f aca="false">IF('Loan Tape'!$AN121=0,0,IF('Loan Tape'!$K121="Floating",MIN(IF('Loan Tape'!$P121="",10,'Loan Tape'!$P121),MAX(IF('Loan Tape'!$Q121="",0,'Loan Tape'!$Q121),INDEX(Idx_Curve,1,7)+'Loan Tape'!$M121)),IF('Loan Tape'!$L121="",0,'Loan Tape'!$L121)))</f>
        <v>0</v>
      </c>
      <c r="J428" s="56" t="n">
        <f aca="false">IF('Loan Tape'!$AN121=0,0,IF('Loan Tape'!$K121="Floating",MIN(IF('Loan Tape'!$P121="",10,'Loan Tape'!$P121),MAX(IF('Loan Tape'!$Q121="",0,'Loan Tape'!$Q121),INDEX(Idx_Curve,1,8)+'Loan Tape'!$M121)),IF('Loan Tape'!$L121="",0,'Loan Tape'!$L121)))</f>
        <v>0</v>
      </c>
      <c r="K428" s="56" t="n">
        <f aca="false">IF('Loan Tape'!$AN121=0,0,IF('Loan Tape'!$K121="Floating",MIN(IF('Loan Tape'!$P121="",10,'Loan Tape'!$P121),MAX(IF('Loan Tape'!$Q121="",0,'Loan Tape'!$Q121),INDEX(Idx_Curve,1,9)+'Loan Tape'!$M121)),IF('Loan Tape'!$L121="",0,'Loan Tape'!$L121)))</f>
        <v>0</v>
      </c>
      <c r="L428" s="56" t="n">
        <f aca="false">IF('Loan Tape'!$AN121=0,0,IF('Loan Tape'!$K121="Floating",MIN(IF('Loan Tape'!$P121="",10,'Loan Tape'!$P121),MAX(IF('Loan Tape'!$Q121="",0,'Loan Tape'!$Q121),INDEX(Idx_Curve,1,10)+'Loan Tape'!$M121)),IF('Loan Tape'!$L121="",0,'Loan Tape'!$L121)))</f>
        <v>0</v>
      </c>
    </row>
    <row r="429" customFormat="false" ht="15" hidden="false" customHeight="false" outlineLevel="0" collapsed="false">
      <c r="B429" s="102" t="n">
        <f aca="false">'Loan Tape'!$A122</f>
        <v>0</v>
      </c>
      <c r="C429" s="104" t="n">
        <f aca="false">IF('Loan Tape'!$AN122=0,0,IF('Loan Tape'!$K122="Floating",MIN(IF('Loan Tape'!$P122="",10,'Loan Tape'!$P122),MAX(IF('Loan Tape'!$Q122="",0,'Loan Tape'!$Q122),INDEX(Idx_Curve,1,1)+'Loan Tape'!$M122)),IF('Loan Tape'!$L122="",0,'Loan Tape'!$L122)))</f>
        <v>0</v>
      </c>
      <c r="D429" s="104" t="n">
        <f aca="false">IF('Loan Tape'!$AN122=0,0,IF('Loan Tape'!$K122="Floating",MIN(IF('Loan Tape'!$P122="",10,'Loan Tape'!$P122),MAX(IF('Loan Tape'!$Q122="",0,'Loan Tape'!$Q122),INDEX(Idx_Curve,1,2)+'Loan Tape'!$M122)),IF('Loan Tape'!$L122="",0,'Loan Tape'!$L122)))</f>
        <v>0</v>
      </c>
      <c r="E429" s="104" t="n">
        <f aca="false">IF('Loan Tape'!$AN122=0,0,IF('Loan Tape'!$K122="Floating",MIN(IF('Loan Tape'!$P122="",10,'Loan Tape'!$P122),MAX(IF('Loan Tape'!$Q122="",0,'Loan Tape'!$Q122),INDEX(Idx_Curve,1,3)+'Loan Tape'!$M122)),IF('Loan Tape'!$L122="",0,'Loan Tape'!$L122)))</f>
        <v>0</v>
      </c>
      <c r="F429" s="104" t="n">
        <f aca="false">IF('Loan Tape'!$AN122=0,0,IF('Loan Tape'!$K122="Floating",MIN(IF('Loan Tape'!$P122="",10,'Loan Tape'!$P122),MAX(IF('Loan Tape'!$Q122="",0,'Loan Tape'!$Q122),INDEX(Idx_Curve,1,4)+'Loan Tape'!$M122)),IF('Loan Tape'!$L122="",0,'Loan Tape'!$L122)))</f>
        <v>0</v>
      </c>
      <c r="G429" s="104" t="n">
        <f aca="false">IF('Loan Tape'!$AN122=0,0,IF('Loan Tape'!$K122="Floating",MIN(IF('Loan Tape'!$P122="",10,'Loan Tape'!$P122),MAX(IF('Loan Tape'!$Q122="",0,'Loan Tape'!$Q122),INDEX(Idx_Curve,1,5)+'Loan Tape'!$M122)),IF('Loan Tape'!$L122="",0,'Loan Tape'!$L122)))</f>
        <v>0</v>
      </c>
      <c r="H429" s="104" t="n">
        <f aca="false">IF('Loan Tape'!$AN122=0,0,IF('Loan Tape'!$K122="Floating",MIN(IF('Loan Tape'!$P122="",10,'Loan Tape'!$P122),MAX(IF('Loan Tape'!$Q122="",0,'Loan Tape'!$Q122),INDEX(Idx_Curve,1,6)+'Loan Tape'!$M122)),IF('Loan Tape'!$L122="",0,'Loan Tape'!$L122)))</f>
        <v>0</v>
      </c>
      <c r="I429" s="104" t="n">
        <f aca="false">IF('Loan Tape'!$AN122=0,0,IF('Loan Tape'!$K122="Floating",MIN(IF('Loan Tape'!$P122="",10,'Loan Tape'!$P122),MAX(IF('Loan Tape'!$Q122="",0,'Loan Tape'!$Q122),INDEX(Idx_Curve,1,7)+'Loan Tape'!$M122)),IF('Loan Tape'!$L122="",0,'Loan Tape'!$L122)))</f>
        <v>0</v>
      </c>
      <c r="J429" s="104" t="n">
        <f aca="false">IF('Loan Tape'!$AN122=0,0,IF('Loan Tape'!$K122="Floating",MIN(IF('Loan Tape'!$P122="",10,'Loan Tape'!$P122),MAX(IF('Loan Tape'!$Q122="",0,'Loan Tape'!$Q122),INDEX(Idx_Curve,1,8)+'Loan Tape'!$M122)),IF('Loan Tape'!$L122="",0,'Loan Tape'!$L122)))</f>
        <v>0</v>
      </c>
      <c r="K429" s="104" t="n">
        <f aca="false">IF('Loan Tape'!$AN122=0,0,IF('Loan Tape'!$K122="Floating",MIN(IF('Loan Tape'!$P122="",10,'Loan Tape'!$P122),MAX(IF('Loan Tape'!$Q122="",0,'Loan Tape'!$Q122),INDEX(Idx_Curve,1,9)+'Loan Tape'!$M122)),IF('Loan Tape'!$L122="",0,'Loan Tape'!$L122)))</f>
        <v>0</v>
      </c>
      <c r="L429" s="104" t="n">
        <f aca="false">IF('Loan Tape'!$AN122=0,0,IF('Loan Tape'!$K122="Floating",MIN(IF('Loan Tape'!$P122="",10,'Loan Tape'!$P122),MAX(IF('Loan Tape'!$Q122="",0,'Loan Tape'!$Q122),INDEX(Idx_Curve,1,10)+'Loan Tape'!$M122)),IF('Loan Tape'!$L122="",0,'Loan Tape'!$L122)))</f>
        <v>0</v>
      </c>
    </row>
    <row r="430" customFormat="false" ht="15" hidden="false" customHeight="false" outlineLevel="0" collapsed="false">
      <c r="B430" s="108" t="n">
        <f aca="false">'Loan Tape'!$A123</f>
        <v>0</v>
      </c>
      <c r="C430" s="56" t="n">
        <f aca="false">IF('Loan Tape'!$AN123=0,0,IF('Loan Tape'!$K123="Floating",MIN(IF('Loan Tape'!$P123="",10,'Loan Tape'!$P123),MAX(IF('Loan Tape'!$Q123="",0,'Loan Tape'!$Q123),INDEX(Idx_Curve,1,1)+'Loan Tape'!$M123)),IF('Loan Tape'!$L123="",0,'Loan Tape'!$L123)))</f>
        <v>0</v>
      </c>
      <c r="D430" s="56" t="n">
        <f aca="false">IF('Loan Tape'!$AN123=0,0,IF('Loan Tape'!$K123="Floating",MIN(IF('Loan Tape'!$P123="",10,'Loan Tape'!$P123),MAX(IF('Loan Tape'!$Q123="",0,'Loan Tape'!$Q123),INDEX(Idx_Curve,1,2)+'Loan Tape'!$M123)),IF('Loan Tape'!$L123="",0,'Loan Tape'!$L123)))</f>
        <v>0</v>
      </c>
      <c r="E430" s="56" t="n">
        <f aca="false">IF('Loan Tape'!$AN123=0,0,IF('Loan Tape'!$K123="Floating",MIN(IF('Loan Tape'!$P123="",10,'Loan Tape'!$P123),MAX(IF('Loan Tape'!$Q123="",0,'Loan Tape'!$Q123),INDEX(Idx_Curve,1,3)+'Loan Tape'!$M123)),IF('Loan Tape'!$L123="",0,'Loan Tape'!$L123)))</f>
        <v>0</v>
      </c>
      <c r="F430" s="56" t="n">
        <f aca="false">IF('Loan Tape'!$AN123=0,0,IF('Loan Tape'!$K123="Floating",MIN(IF('Loan Tape'!$P123="",10,'Loan Tape'!$P123),MAX(IF('Loan Tape'!$Q123="",0,'Loan Tape'!$Q123),INDEX(Idx_Curve,1,4)+'Loan Tape'!$M123)),IF('Loan Tape'!$L123="",0,'Loan Tape'!$L123)))</f>
        <v>0</v>
      </c>
      <c r="G430" s="56" t="n">
        <f aca="false">IF('Loan Tape'!$AN123=0,0,IF('Loan Tape'!$K123="Floating",MIN(IF('Loan Tape'!$P123="",10,'Loan Tape'!$P123),MAX(IF('Loan Tape'!$Q123="",0,'Loan Tape'!$Q123),INDEX(Idx_Curve,1,5)+'Loan Tape'!$M123)),IF('Loan Tape'!$L123="",0,'Loan Tape'!$L123)))</f>
        <v>0</v>
      </c>
      <c r="H430" s="56" t="n">
        <f aca="false">IF('Loan Tape'!$AN123=0,0,IF('Loan Tape'!$K123="Floating",MIN(IF('Loan Tape'!$P123="",10,'Loan Tape'!$P123),MAX(IF('Loan Tape'!$Q123="",0,'Loan Tape'!$Q123),INDEX(Idx_Curve,1,6)+'Loan Tape'!$M123)),IF('Loan Tape'!$L123="",0,'Loan Tape'!$L123)))</f>
        <v>0</v>
      </c>
      <c r="I430" s="56" t="n">
        <f aca="false">IF('Loan Tape'!$AN123=0,0,IF('Loan Tape'!$K123="Floating",MIN(IF('Loan Tape'!$P123="",10,'Loan Tape'!$P123),MAX(IF('Loan Tape'!$Q123="",0,'Loan Tape'!$Q123),INDEX(Idx_Curve,1,7)+'Loan Tape'!$M123)),IF('Loan Tape'!$L123="",0,'Loan Tape'!$L123)))</f>
        <v>0</v>
      </c>
      <c r="J430" s="56" t="n">
        <f aca="false">IF('Loan Tape'!$AN123=0,0,IF('Loan Tape'!$K123="Floating",MIN(IF('Loan Tape'!$P123="",10,'Loan Tape'!$P123),MAX(IF('Loan Tape'!$Q123="",0,'Loan Tape'!$Q123),INDEX(Idx_Curve,1,8)+'Loan Tape'!$M123)),IF('Loan Tape'!$L123="",0,'Loan Tape'!$L123)))</f>
        <v>0</v>
      </c>
      <c r="K430" s="56" t="n">
        <f aca="false">IF('Loan Tape'!$AN123=0,0,IF('Loan Tape'!$K123="Floating",MIN(IF('Loan Tape'!$P123="",10,'Loan Tape'!$P123),MAX(IF('Loan Tape'!$Q123="",0,'Loan Tape'!$Q123),INDEX(Idx_Curve,1,9)+'Loan Tape'!$M123)),IF('Loan Tape'!$L123="",0,'Loan Tape'!$L123)))</f>
        <v>0</v>
      </c>
      <c r="L430" s="56" t="n">
        <f aca="false">IF('Loan Tape'!$AN123=0,0,IF('Loan Tape'!$K123="Floating",MIN(IF('Loan Tape'!$P123="",10,'Loan Tape'!$P123),MAX(IF('Loan Tape'!$Q123="",0,'Loan Tape'!$Q123),INDEX(Idx_Curve,1,10)+'Loan Tape'!$M123)),IF('Loan Tape'!$L123="",0,'Loan Tape'!$L123)))</f>
        <v>0</v>
      </c>
    </row>
    <row r="431" customFormat="false" ht="15" hidden="false" customHeight="false" outlineLevel="0" collapsed="false">
      <c r="B431" s="102" t="n">
        <f aca="false">'Loan Tape'!$A124</f>
        <v>0</v>
      </c>
      <c r="C431" s="104" t="n">
        <f aca="false">IF('Loan Tape'!$AN124=0,0,IF('Loan Tape'!$K124="Floating",MIN(IF('Loan Tape'!$P124="",10,'Loan Tape'!$P124),MAX(IF('Loan Tape'!$Q124="",0,'Loan Tape'!$Q124),INDEX(Idx_Curve,1,1)+'Loan Tape'!$M124)),IF('Loan Tape'!$L124="",0,'Loan Tape'!$L124)))</f>
        <v>0</v>
      </c>
      <c r="D431" s="104" t="n">
        <f aca="false">IF('Loan Tape'!$AN124=0,0,IF('Loan Tape'!$K124="Floating",MIN(IF('Loan Tape'!$P124="",10,'Loan Tape'!$P124),MAX(IF('Loan Tape'!$Q124="",0,'Loan Tape'!$Q124),INDEX(Idx_Curve,1,2)+'Loan Tape'!$M124)),IF('Loan Tape'!$L124="",0,'Loan Tape'!$L124)))</f>
        <v>0</v>
      </c>
      <c r="E431" s="104" t="n">
        <f aca="false">IF('Loan Tape'!$AN124=0,0,IF('Loan Tape'!$K124="Floating",MIN(IF('Loan Tape'!$P124="",10,'Loan Tape'!$P124),MAX(IF('Loan Tape'!$Q124="",0,'Loan Tape'!$Q124),INDEX(Idx_Curve,1,3)+'Loan Tape'!$M124)),IF('Loan Tape'!$L124="",0,'Loan Tape'!$L124)))</f>
        <v>0</v>
      </c>
      <c r="F431" s="104" t="n">
        <f aca="false">IF('Loan Tape'!$AN124=0,0,IF('Loan Tape'!$K124="Floating",MIN(IF('Loan Tape'!$P124="",10,'Loan Tape'!$P124),MAX(IF('Loan Tape'!$Q124="",0,'Loan Tape'!$Q124),INDEX(Idx_Curve,1,4)+'Loan Tape'!$M124)),IF('Loan Tape'!$L124="",0,'Loan Tape'!$L124)))</f>
        <v>0</v>
      </c>
      <c r="G431" s="104" t="n">
        <f aca="false">IF('Loan Tape'!$AN124=0,0,IF('Loan Tape'!$K124="Floating",MIN(IF('Loan Tape'!$P124="",10,'Loan Tape'!$P124),MAX(IF('Loan Tape'!$Q124="",0,'Loan Tape'!$Q124),INDEX(Idx_Curve,1,5)+'Loan Tape'!$M124)),IF('Loan Tape'!$L124="",0,'Loan Tape'!$L124)))</f>
        <v>0</v>
      </c>
      <c r="H431" s="104" t="n">
        <f aca="false">IF('Loan Tape'!$AN124=0,0,IF('Loan Tape'!$K124="Floating",MIN(IF('Loan Tape'!$P124="",10,'Loan Tape'!$P124),MAX(IF('Loan Tape'!$Q124="",0,'Loan Tape'!$Q124),INDEX(Idx_Curve,1,6)+'Loan Tape'!$M124)),IF('Loan Tape'!$L124="",0,'Loan Tape'!$L124)))</f>
        <v>0</v>
      </c>
      <c r="I431" s="104" t="n">
        <f aca="false">IF('Loan Tape'!$AN124=0,0,IF('Loan Tape'!$K124="Floating",MIN(IF('Loan Tape'!$P124="",10,'Loan Tape'!$P124),MAX(IF('Loan Tape'!$Q124="",0,'Loan Tape'!$Q124),INDEX(Idx_Curve,1,7)+'Loan Tape'!$M124)),IF('Loan Tape'!$L124="",0,'Loan Tape'!$L124)))</f>
        <v>0</v>
      </c>
      <c r="J431" s="104" t="n">
        <f aca="false">IF('Loan Tape'!$AN124=0,0,IF('Loan Tape'!$K124="Floating",MIN(IF('Loan Tape'!$P124="",10,'Loan Tape'!$P124),MAX(IF('Loan Tape'!$Q124="",0,'Loan Tape'!$Q124),INDEX(Idx_Curve,1,8)+'Loan Tape'!$M124)),IF('Loan Tape'!$L124="",0,'Loan Tape'!$L124)))</f>
        <v>0</v>
      </c>
      <c r="K431" s="104" t="n">
        <f aca="false">IF('Loan Tape'!$AN124=0,0,IF('Loan Tape'!$K124="Floating",MIN(IF('Loan Tape'!$P124="",10,'Loan Tape'!$P124),MAX(IF('Loan Tape'!$Q124="",0,'Loan Tape'!$Q124),INDEX(Idx_Curve,1,9)+'Loan Tape'!$M124)),IF('Loan Tape'!$L124="",0,'Loan Tape'!$L124)))</f>
        <v>0</v>
      </c>
      <c r="L431" s="104" t="n">
        <f aca="false">IF('Loan Tape'!$AN124=0,0,IF('Loan Tape'!$K124="Floating",MIN(IF('Loan Tape'!$P124="",10,'Loan Tape'!$P124),MAX(IF('Loan Tape'!$Q124="",0,'Loan Tape'!$Q124),INDEX(Idx_Curve,1,10)+'Loan Tape'!$M124)),IF('Loan Tape'!$L124="",0,'Loan Tape'!$L124)))</f>
        <v>0</v>
      </c>
    </row>
    <row r="432" customFormat="false" ht="15" hidden="false" customHeight="false" outlineLevel="0" collapsed="false">
      <c r="B432" s="108" t="n">
        <f aca="false">'Loan Tape'!$A125</f>
        <v>0</v>
      </c>
      <c r="C432" s="56" t="n">
        <f aca="false">IF('Loan Tape'!$AN125=0,0,IF('Loan Tape'!$K125="Floating",MIN(IF('Loan Tape'!$P125="",10,'Loan Tape'!$P125),MAX(IF('Loan Tape'!$Q125="",0,'Loan Tape'!$Q125),INDEX(Idx_Curve,1,1)+'Loan Tape'!$M125)),IF('Loan Tape'!$L125="",0,'Loan Tape'!$L125)))</f>
        <v>0</v>
      </c>
      <c r="D432" s="56" t="n">
        <f aca="false">IF('Loan Tape'!$AN125=0,0,IF('Loan Tape'!$K125="Floating",MIN(IF('Loan Tape'!$P125="",10,'Loan Tape'!$P125),MAX(IF('Loan Tape'!$Q125="",0,'Loan Tape'!$Q125),INDEX(Idx_Curve,1,2)+'Loan Tape'!$M125)),IF('Loan Tape'!$L125="",0,'Loan Tape'!$L125)))</f>
        <v>0</v>
      </c>
      <c r="E432" s="56" t="n">
        <f aca="false">IF('Loan Tape'!$AN125=0,0,IF('Loan Tape'!$K125="Floating",MIN(IF('Loan Tape'!$P125="",10,'Loan Tape'!$P125),MAX(IF('Loan Tape'!$Q125="",0,'Loan Tape'!$Q125),INDEX(Idx_Curve,1,3)+'Loan Tape'!$M125)),IF('Loan Tape'!$L125="",0,'Loan Tape'!$L125)))</f>
        <v>0</v>
      </c>
      <c r="F432" s="56" t="n">
        <f aca="false">IF('Loan Tape'!$AN125=0,0,IF('Loan Tape'!$K125="Floating",MIN(IF('Loan Tape'!$P125="",10,'Loan Tape'!$P125),MAX(IF('Loan Tape'!$Q125="",0,'Loan Tape'!$Q125),INDEX(Idx_Curve,1,4)+'Loan Tape'!$M125)),IF('Loan Tape'!$L125="",0,'Loan Tape'!$L125)))</f>
        <v>0</v>
      </c>
      <c r="G432" s="56" t="n">
        <f aca="false">IF('Loan Tape'!$AN125=0,0,IF('Loan Tape'!$K125="Floating",MIN(IF('Loan Tape'!$P125="",10,'Loan Tape'!$P125),MAX(IF('Loan Tape'!$Q125="",0,'Loan Tape'!$Q125),INDEX(Idx_Curve,1,5)+'Loan Tape'!$M125)),IF('Loan Tape'!$L125="",0,'Loan Tape'!$L125)))</f>
        <v>0</v>
      </c>
      <c r="H432" s="56" t="n">
        <f aca="false">IF('Loan Tape'!$AN125=0,0,IF('Loan Tape'!$K125="Floating",MIN(IF('Loan Tape'!$P125="",10,'Loan Tape'!$P125),MAX(IF('Loan Tape'!$Q125="",0,'Loan Tape'!$Q125),INDEX(Idx_Curve,1,6)+'Loan Tape'!$M125)),IF('Loan Tape'!$L125="",0,'Loan Tape'!$L125)))</f>
        <v>0</v>
      </c>
      <c r="I432" s="56" t="n">
        <f aca="false">IF('Loan Tape'!$AN125=0,0,IF('Loan Tape'!$K125="Floating",MIN(IF('Loan Tape'!$P125="",10,'Loan Tape'!$P125),MAX(IF('Loan Tape'!$Q125="",0,'Loan Tape'!$Q125),INDEX(Idx_Curve,1,7)+'Loan Tape'!$M125)),IF('Loan Tape'!$L125="",0,'Loan Tape'!$L125)))</f>
        <v>0</v>
      </c>
      <c r="J432" s="56" t="n">
        <f aca="false">IF('Loan Tape'!$AN125=0,0,IF('Loan Tape'!$K125="Floating",MIN(IF('Loan Tape'!$P125="",10,'Loan Tape'!$P125),MAX(IF('Loan Tape'!$Q125="",0,'Loan Tape'!$Q125),INDEX(Idx_Curve,1,8)+'Loan Tape'!$M125)),IF('Loan Tape'!$L125="",0,'Loan Tape'!$L125)))</f>
        <v>0</v>
      </c>
      <c r="K432" s="56" t="n">
        <f aca="false">IF('Loan Tape'!$AN125=0,0,IF('Loan Tape'!$K125="Floating",MIN(IF('Loan Tape'!$P125="",10,'Loan Tape'!$P125),MAX(IF('Loan Tape'!$Q125="",0,'Loan Tape'!$Q125),INDEX(Idx_Curve,1,9)+'Loan Tape'!$M125)),IF('Loan Tape'!$L125="",0,'Loan Tape'!$L125)))</f>
        <v>0</v>
      </c>
      <c r="L432" s="56" t="n">
        <f aca="false">IF('Loan Tape'!$AN125=0,0,IF('Loan Tape'!$K125="Floating",MIN(IF('Loan Tape'!$P125="",10,'Loan Tape'!$P125),MAX(IF('Loan Tape'!$Q125="",0,'Loan Tape'!$Q125),INDEX(Idx_Curve,1,10)+'Loan Tape'!$M125)),IF('Loan Tape'!$L125="",0,'Loan Tape'!$L125)))</f>
        <v>0</v>
      </c>
    </row>
    <row r="433" customFormat="false" ht="15" hidden="false" customHeight="false" outlineLevel="0" collapsed="false">
      <c r="B433" s="102" t="n">
        <f aca="false">'Loan Tape'!$A126</f>
        <v>0</v>
      </c>
      <c r="C433" s="104" t="n">
        <f aca="false">IF('Loan Tape'!$AN126=0,0,IF('Loan Tape'!$K126="Floating",MIN(IF('Loan Tape'!$P126="",10,'Loan Tape'!$P126),MAX(IF('Loan Tape'!$Q126="",0,'Loan Tape'!$Q126),INDEX(Idx_Curve,1,1)+'Loan Tape'!$M126)),IF('Loan Tape'!$L126="",0,'Loan Tape'!$L126)))</f>
        <v>0</v>
      </c>
      <c r="D433" s="104" t="n">
        <f aca="false">IF('Loan Tape'!$AN126=0,0,IF('Loan Tape'!$K126="Floating",MIN(IF('Loan Tape'!$P126="",10,'Loan Tape'!$P126),MAX(IF('Loan Tape'!$Q126="",0,'Loan Tape'!$Q126),INDEX(Idx_Curve,1,2)+'Loan Tape'!$M126)),IF('Loan Tape'!$L126="",0,'Loan Tape'!$L126)))</f>
        <v>0</v>
      </c>
      <c r="E433" s="104" t="n">
        <f aca="false">IF('Loan Tape'!$AN126=0,0,IF('Loan Tape'!$K126="Floating",MIN(IF('Loan Tape'!$P126="",10,'Loan Tape'!$P126),MAX(IF('Loan Tape'!$Q126="",0,'Loan Tape'!$Q126),INDEX(Idx_Curve,1,3)+'Loan Tape'!$M126)),IF('Loan Tape'!$L126="",0,'Loan Tape'!$L126)))</f>
        <v>0</v>
      </c>
      <c r="F433" s="104" t="n">
        <f aca="false">IF('Loan Tape'!$AN126=0,0,IF('Loan Tape'!$K126="Floating",MIN(IF('Loan Tape'!$P126="",10,'Loan Tape'!$P126),MAX(IF('Loan Tape'!$Q126="",0,'Loan Tape'!$Q126),INDEX(Idx_Curve,1,4)+'Loan Tape'!$M126)),IF('Loan Tape'!$L126="",0,'Loan Tape'!$L126)))</f>
        <v>0</v>
      </c>
      <c r="G433" s="104" t="n">
        <f aca="false">IF('Loan Tape'!$AN126=0,0,IF('Loan Tape'!$K126="Floating",MIN(IF('Loan Tape'!$P126="",10,'Loan Tape'!$P126),MAX(IF('Loan Tape'!$Q126="",0,'Loan Tape'!$Q126),INDEX(Idx_Curve,1,5)+'Loan Tape'!$M126)),IF('Loan Tape'!$L126="",0,'Loan Tape'!$L126)))</f>
        <v>0</v>
      </c>
      <c r="H433" s="104" t="n">
        <f aca="false">IF('Loan Tape'!$AN126=0,0,IF('Loan Tape'!$K126="Floating",MIN(IF('Loan Tape'!$P126="",10,'Loan Tape'!$P126),MAX(IF('Loan Tape'!$Q126="",0,'Loan Tape'!$Q126),INDEX(Idx_Curve,1,6)+'Loan Tape'!$M126)),IF('Loan Tape'!$L126="",0,'Loan Tape'!$L126)))</f>
        <v>0</v>
      </c>
      <c r="I433" s="104" t="n">
        <f aca="false">IF('Loan Tape'!$AN126=0,0,IF('Loan Tape'!$K126="Floating",MIN(IF('Loan Tape'!$P126="",10,'Loan Tape'!$P126),MAX(IF('Loan Tape'!$Q126="",0,'Loan Tape'!$Q126),INDEX(Idx_Curve,1,7)+'Loan Tape'!$M126)),IF('Loan Tape'!$L126="",0,'Loan Tape'!$L126)))</f>
        <v>0</v>
      </c>
      <c r="J433" s="104" t="n">
        <f aca="false">IF('Loan Tape'!$AN126=0,0,IF('Loan Tape'!$K126="Floating",MIN(IF('Loan Tape'!$P126="",10,'Loan Tape'!$P126),MAX(IF('Loan Tape'!$Q126="",0,'Loan Tape'!$Q126),INDEX(Idx_Curve,1,8)+'Loan Tape'!$M126)),IF('Loan Tape'!$L126="",0,'Loan Tape'!$L126)))</f>
        <v>0</v>
      </c>
      <c r="K433" s="104" t="n">
        <f aca="false">IF('Loan Tape'!$AN126=0,0,IF('Loan Tape'!$K126="Floating",MIN(IF('Loan Tape'!$P126="",10,'Loan Tape'!$P126),MAX(IF('Loan Tape'!$Q126="",0,'Loan Tape'!$Q126),INDEX(Idx_Curve,1,9)+'Loan Tape'!$M126)),IF('Loan Tape'!$L126="",0,'Loan Tape'!$L126)))</f>
        <v>0</v>
      </c>
      <c r="L433" s="104" t="n">
        <f aca="false">IF('Loan Tape'!$AN126=0,0,IF('Loan Tape'!$K126="Floating",MIN(IF('Loan Tape'!$P126="",10,'Loan Tape'!$P126),MAX(IF('Loan Tape'!$Q126="",0,'Loan Tape'!$Q126),INDEX(Idx_Curve,1,10)+'Loan Tape'!$M126)),IF('Loan Tape'!$L126="",0,'Loan Tape'!$L126)))</f>
        <v>0</v>
      </c>
    </row>
    <row r="434" customFormat="false" ht="15" hidden="false" customHeight="false" outlineLevel="0" collapsed="false">
      <c r="B434" s="108" t="n">
        <f aca="false">'Loan Tape'!$A127</f>
        <v>0</v>
      </c>
      <c r="C434" s="56" t="n">
        <f aca="false">IF('Loan Tape'!$AN127=0,0,IF('Loan Tape'!$K127="Floating",MIN(IF('Loan Tape'!$P127="",10,'Loan Tape'!$P127),MAX(IF('Loan Tape'!$Q127="",0,'Loan Tape'!$Q127),INDEX(Idx_Curve,1,1)+'Loan Tape'!$M127)),IF('Loan Tape'!$L127="",0,'Loan Tape'!$L127)))</f>
        <v>0</v>
      </c>
      <c r="D434" s="56" t="n">
        <f aca="false">IF('Loan Tape'!$AN127=0,0,IF('Loan Tape'!$K127="Floating",MIN(IF('Loan Tape'!$P127="",10,'Loan Tape'!$P127),MAX(IF('Loan Tape'!$Q127="",0,'Loan Tape'!$Q127),INDEX(Idx_Curve,1,2)+'Loan Tape'!$M127)),IF('Loan Tape'!$L127="",0,'Loan Tape'!$L127)))</f>
        <v>0</v>
      </c>
      <c r="E434" s="56" t="n">
        <f aca="false">IF('Loan Tape'!$AN127=0,0,IF('Loan Tape'!$K127="Floating",MIN(IF('Loan Tape'!$P127="",10,'Loan Tape'!$P127),MAX(IF('Loan Tape'!$Q127="",0,'Loan Tape'!$Q127),INDEX(Idx_Curve,1,3)+'Loan Tape'!$M127)),IF('Loan Tape'!$L127="",0,'Loan Tape'!$L127)))</f>
        <v>0</v>
      </c>
      <c r="F434" s="56" t="n">
        <f aca="false">IF('Loan Tape'!$AN127=0,0,IF('Loan Tape'!$K127="Floating",MIN(IF('Loan Tape'!$P127="",10,'Loan Tape'!$P127),MAX(IF('Loan Tape'!$Q127="",0,'Loan Tape'!$Q127),INDEX(Idx_Curve,1,4)+'Loan Tape'!$M127)),IF('Loan Tape'!$L127="",0,'Loan Tape'!$L127)))</f>
        <v>0</v>
      </c>
      <c r="G434" s="56" t="n">
        <f aca="false">IF('Loan Tape'!$AN127=0,0,IF('Loan Tape'!$K127="Floating",MIN(IF('Loan Tape'!$P127="",10,'Loan Tape'!$P127),MAX(IF('Loan Tape'!$Q127="",0,'Loan Tape'!$Q127),INDEX(Idx_Curve,1,5)+'Loan Tape'!$M127)),IF('Loan Tape'!$L127="",0,'Loan Tape'!$L127)))</f>
        <v>0</v>
      </c>
      <c r="H434" s="56" t="n">
        <f aca="false">IF('Loan Tape'!$AN127=0,0,IF('Loan Tape'!$K127="Floating",MIN(IF('Loan Tape'!$P127="",10,'Loan Tape'!$P127),MAX(IF('Loan Tape'!$Q127="",0,'Loan Tape'!$Q127),INDEX(Idx_Curve,1,6)+'Loan Tape'!$M127)),IF('Loan Tape'!$L127="",0,'Loan Tape'!$L127)))</f>
        <v>0</v>
      </c>
      <c r="I434" s="56" t="n">
        <f aca="false">IF('Loan Tape'!$AN127=0,0,IF('Loan Tape'!$K127="Floating",MIN(IF('Loan Tape'!$P127="",10,'Loan Tape'!$P127),MAX(IF('Loan Tape'!$Q127="",0,'Loan Tape'!$Q127),INDEX(Idx_Curve,1,7)+'Loan Tape'!$M127)),IF('Loan Tape'!$L127="",0,'Loan Tape'!$L127)))</f>
        <v>0</v>
      </c>
      <c r="J434" s="56" t="n">
        <f aca="false">IF('Loan Tape'!$AN127=0,0,IF('Loan Tape'!$K127="Floating",MIN(IF('Loan Tape'!$P127="",10,'Loan Tape'!$P127),MAX(IF('Loan Tape'!$Q127="",0,'Loan Tape'!$Q127),INDEX(Idx_Curve,1,8)+'Loan Tape'!$M127)),IF('Loan Tape'!$L127="",0,'Loan Tape'!$L127)))</f>
        <v>0</v>
      </c>
      <c r="K434" s="56" t="n">
        <f aca="false">IF('Loan Tape'!$AN127=0,0,IF('Loan Tape'!$K127="Floating",MIN(IF('Loan Tape'!$P127="",10,'Loan Tape'!$P127),MAX(IF('Loan Tape'!$Q127="",0,'Loan Tape'!$Q127),INDEX(Idx_Curve,1,9)+'Loan Tape'!$M127)),IF('Loan Tape'!$L127="",0,'Loan Tape'!$L127)))</f>
        <v>0</v>
      </c>
      <c r="L434" s="56" t="n">
        <f aca="false">IF('Loan Tape'!$AN127=0,0,IF('Loan Tape'!$K127="Floating",MIN(IF('Loan Tape'!$P127="",10,'Loan Tape'!$P127),MAX(IF('Loan Tape'!$Q127="",0,'Loan Tape'!$Q127),INDEX(Idx_Curve,1,10)+'Loan Tape'!$M127)),IF('Loan Tape'!$L127="",0,'Loan Tape'!$L127)))</f>
        <v>0</v>
      </c>
    </row>
    <row r="435" customFormat="false" ht="15" hidden="false" customHeight="false" outlineLevel="0" collapsed="false">
      <c r="B435" s="102" t="n">
        <f aca="false">'Loan Tape'!$A128</f>
        <v>0</v>
      </c>
      <c r="C435" s="104" t="n">
        <f aca="false">IF('Loan Tape'!$AN128=0,0,IF('Loan Tape'!$K128="Floating",MIN(IF('Loan Tape'!$P128="",10,'Loan Tape'!$P128),MAX(IF('Loan Tape'!$Q128="",0,'Loan Tape'!$Q128),INDEX(Idx_Curve,1,1)+'Loan Tape'!$M128)),IF('Loan Tape'!$L128="",0,'Loan Tape'!$L128)))</f>
        <v>0</v>
      </c>
      <c r="D435" s="104" t="n">
        <f aca="false">IF('Loan Tape'!$AN128=0,0,IF('Loan Tape'!$K128="Floating",MIN(IF('Loan Tape'!$P128="",10,'Loan Tape'!$P128),MAX(IF('Loan Tape'!$Q128="",0,'Loan Tape'!$Q128),INDEX(Idx_Curve,1,2)+'Loan Tape'!$M128)),IF('Loan Tape'!$L128="",0,'Loan Tape'!$L128)))</f>
        <v>0</v>
      </c>
      <c r="E435" s="104" t="n">
        <f aca="false">IF('Loan Tape'!$AN128=0,0,IF('Loan Tape'!$K128="Floating",MIN(IF('Loan Tape'!$P128="",10,'Loan Tape'!$P128),MAX(IF('Loan Tape'!$Q128="",0,'Loan Tape'!$Q128),INDEX(Idx_Curve,1,3)+'Loan Tape'!$M128)),IF('Loan Tape'!$L128="",0,'Loan Tape'!$L128)))</f>
        <v>0</v>
      </c>
      <c r="F435" s="104" t="n">
        <f aca="false">IF('Loan Tape'!$AN128=0,0,IF('Loan Tape'!$K128="Floating",MIN(IF('Loan Tape'!$P128="",10,'Loan Tape'!$P128),MAX(IF('Loan Tape'!$Q128="",0,'Loan Tape'!$Q128),INDEX(Idx_Curve,1,4)+'Loan Tape'!$M128)),IF('Loan Tape'!$L128="",0,'Loan Tape'!$L128)))</f>
        <v>0</v>
      </c>
      <c r="G435" s="104" t="n">
        <f aca="false">IF('Loan Tape'!$AN128=0,0,IF('Loan Tape'!$K128="Floating",MIN(IF('Loan Tape'!$P128="",10,'Loan Tape'!$P128),MAX(IF('Loan Tape'!$Q128="",0,'Loan Tape'!$Q128),INDEX(Idx_Curve,1,5)+'Loan Tape'!$M128)),IF('Loan Tape'!$L128="",0,'Loan Tape'!$L128)))</f>
        <v>0</v>
      </c>
      <c r="H435" s="104" t="n">
        <f aca="false">IF('Loan Tape'!$AN128=0,0,IF('Loan Tape'!$K128="Floating",MIN(IF('Loan Tape'!$P128="",10,'Loan Tape'!$P128),MAX(IF('Loan Tape'!$Q128="",0,'Loan Tape'!$Q128),INDEX(Idx_Curve,1,6)+'Loan Tape'!$M128)),IF('Loan Tape'!$L128="",0,'Loan Tape'!$L128)))</f>
        <v>0</v>
      </c>
      <c r="I435" s="104" t="n">
        <f aca="false">IF('Loan Tape'!$AN128=0,0,IF('Loan Tape'!$K128="Floating",MIN(IF('Loan Tape'!$P128="",10,'Loan Tape'!$P128),MAX(IF('Loan Tape'!$Q128="",0,'Loan Tape'!$Q128),INDEX(Idx_Curve,1,7)+'Loan Tape'!$M128)),IF('Loan Tape'!$L128="",0,'Loan Tape'!$L128)))</f>
        <v>0</v>
      </c>
      <c r="J435" s="104" t="n">
        <f aca="false">IF('Loan Tape'!$AN128=0,0,IF('Loan Tape'!$K128="Floating",MIN(IF('Loan Tape'!$P128="",10,'Loan Tape'!$P128),MAX(IF('Loan Tape'!$Q128="",0,'Loan Tape'!$Q128),INDEX(Idx_Curve,1,8)+'Loan Tape'!$M128)),IF('Loan Tape'!$L128="",0,'Loan Tape'!$L128)))</f>
        <v>0</v>
      </c>
      <c r="K435" s="104" t="n">
        <f aca="false">IF('Loan Tape'!$AN128=0,0,IF('Loan Tape'!$K128="Floating",MIN(IF('Loan Tape'!$P128="",10,'Loan Tape'!$P128),MAX(IF('Loan Tape'!$Q128="",0,'Loan Tape'!$Q128),INDEX(Idx_Curve,1,9)+'Loan Tape'!$M128)),IF('Loan Tape'!$L128="",0,'Loan Tape'!$L128)))</f>
        <v>0</v>
      </c>
      <c r="L435" s="104" t="n">
        <f aca="false">IF('Loan Tape'!$AN128=0,0,IF('Loan Tape'!$K128="Floating",MIN(IF('Loan Tape'!$P128="",10,'Loan Tape'!$P128),MAX(IF('Loan Tape'!$Q128="",0,'Loan Tape'!$Q128),INDEX(Idx_Curve,1,10)+'Loan Tape'!$M128)),IF('Loan Tape'!$L128="",0,'Loan Tape'!$L128)))</f>
        <v>0</v>
      </c>
    </row>
    <row r="436" customFormat="false" ht="15" hidden="false" customHeight="false" outlineLevel="0" collapsed="false">
      <c r="B436" s="108" t="n">
        <f aca="false">'Loan Tape'!$A129</f>
        <v>0</v>
      </c>
      <c r="C436" s="56" t="n">
        <f aca="false">IF('Loan Tape'!$AN129=0,0,IF('Loan Tape'!$K129="Floating",MIN(IF('Loan Tape'!$P129="",10,'Loan Tape'!$P129),MAX(IF('Loan Tape'!$Q129="",0,'Loan Tape'!$Q129),INDEX(Idx_Curve,1,1)+'Loan Tape'!$M129)),IF('Loan Tape'!$L129="",0,'Loan Tape'!$L129)))</f>
        <v>0</v>
      </c>
      <c r="D436" s="56" t="n">
        <f aca="false">IF('Loan Tape'!$AN129=0,0,IF('Loan Tape'!$K129="Floating",MIN(IF('Loan Tape'!$P129="",10,'Loan Tape'!$P129),MAX(IF('Loan Tape'!$Q129="",0,'Loan Tape'!$Q129),INDEX(Idx_Curve,1,2)+'Loan Tape'!$M129)),IF('Loan Tape'!$L129="",0,'Loan Tape'!$L129)))</f>
        <v>0</v>
      </c>
      <c r="E436" s="56" t="n">
        <f aca="false">IF('Loan Tape'!$AN129=0,0,IF('Loan Tape'!$K129="Floating",MIN(IF('Loan Tape'!$P129="",10,'Loan Tape'!$P129),MAX(IF('Loan Tape'!$Q129="",0,'Loan Tape'!$Q129),INDEX(Idx_Curve,1,3)+'Loan Tape'!$M129)),IF('Loan Tape'!$L129="",0,'Loan Tape'!$L129)))</f>
        <v>0</v>
      </c>
      <c r="F436" s="56" t="n">
        <f aca="false">IF('Loan Tape'!$AN129=0,0,IF('Loan Tape'!$K129="Floating",MIN(IF('Loan Tape'!$P129="",10,'Loan Tape'!$P129),MAX(IF('Loan Tape'!$Q129="",0,'Loan Tape'!$Q129),INDEX(Idx_Curve,1,4)+'Loan Tape'!$M129)),IF('Loan Tape'!$L129="",0,'Loan Tape'!$L129)))</f>
        <v>0</v>
      </c>
      <c r="G436" s="56" t="n">
        <f aca="false">IF('Loan Tape'!$AN129=0,0,IF('Loan Tape'!$K129="Floating",MIN(IF('Loan Tape'!$P129="",10,'Loan Tape'!$P129),MAX(IF('Loan Tape'!$Q129="",0,'Loan Tape'!$Q129),INDEX(Idx_Curve,1,5)+'Loan Tape'!$M129)),IF('Loan Tape'!$L129="",0,'Loan Tape'!$L129)))</f>
        <v>0</v>
      </c>
      <c r="H436" s="56" t="n">
        <f aca="false">IF('Loan Tape'!$AN129=0,0,IF('Loan Tape'!$K129="Floating",MIN(IF('Loan Tape'!$P129="",10,'Loan Tape'!$P129),MAX(IF('Loan Tape'!$Q129="",0,'Loan Tape'!$Q129),INDEX(Idx_Curve,1,6)+'Loan Tape'!$M129)),IF('Loan Tape'!$L129="",0,'Loan Tape'!$L129)))</f>
        <v>0</v>
      </c>
      <c r="I436" s="56" t="n">
        <f aca="false">IF('Loan Tape'!$AN129=0,0,IF('Loan Tape'!$K129="Floating",MIN(IF('Loan Tape'!$P129="",10,'Loan Tape'!$P129),MAX(IF('Loan Tape'!$Q129="",0,'Loan Tape'!$Q129),INDEX(Idx_Curve,1,7)+'Loan Tape'!$M129)),IF('Loan Tape'!$L129="",0,'Loan Tape'!$L129)))</f>
        <v>0</v>
      </c>
      <c r="J436" s="56" t="n">
        <f aca="false">IF('Loan Tape'!$AN129=0,0,IF('Loan Tape'!$K129="Floating",MIN(IF('Loan Tape'!$P129="",10,'Loan Tape'!$P129),MAX(IF('Loan Tape'!$Q129="",0,'Loan Tape'!$Q129),INDEX(Idx_Curve,1,8)+'Loan Tape'!$M129)),IF('Loan Tape'!$L129="",0,'Loan Tape'!$L129)))</f>
        <v>0</v>
      </c>
      <c r="K436" s="56" t="n">
        <f aca="false">IF('Loan Tape'!$AN129=0,0,IF('Loan Tape'!$K129="Floating",MIN(IF('Loan Tape'!$P129="",10,'Loan Tape'!$P129),MAX(IF('Loan Tape'!$Q129="",0,'Loan Tape'!$Q129),INDEX(Idx_Curve,1,9)+'Loan Tape'!$M129)),IF('Loan Tape'!$L129="",0,'Loan Tape'!$L129)))</f>
        <v>0</v>
      </c>
      <c r="L436" s="56" t="n">
        <f aca="false">IF('Loan Tape'!$AN129=0,0,IF('Loan Tape'!$K129="Floating",MIN(IF('Loan Tape'!$P129="",10,'Loan Tape'!$P129),MAX(IF('Loan Tape'!$Q129="",0,'Loan Tape'!$Q129),INDEX(Idx_Curve,1,10)+'Loan Tape'!$M129)),IF('Loan Tape'!$L129="",0,'Loan Tape'!$L129)))</f>
        <v>0</v>
      </c>
    </row>
    <row r="437" customFormat="false" ht="15" hidden="false" customHeight="false" outlineLevel="0" collapsed="false">
      <c r="B437" s="102" t="n">
        <f aca="false">'Loan Tape'!$A130</f>
        <v>0</v>
      </c>
      <c r="C437" s="104" t="n">
        <f aca="false">IF('Loan Tape'!$AN130=0,0,IF('Loan Tape'!$K130="Floating",MIN(IF('Loan Tape'!$P130="",10,'Loan Tape'!$P130),MAX(IF('Loan Tape'!$Q130="",0,'Loan Tape'!$Q130),INDEX(Idx_Curve,1,1)+'Loan Tape'!$M130)),IF('Loan Tape'!$L130="",0,'Loan Tape'!$L130)))</f>
        <v>0</v>
      </c>
      <c r="D437" s="104" t="n">
        <f aca="false">IF('Loan Tape'!$AN130=0,0,IF('Loan Tape'!$K130="Floating",MIN(IF('Loan Tape'!$P130="",10,'Loan Tape'!$P130),MAX(IF('Loan Tape'!$Q130="",0,'Loan Tape'!$Q130),INDEX(Idx_Curve,1,2)+'Loan Tape'!$M130)),IF('Loan Tape'!$L130="",0,'Loan Tape'!$L130)))</f>
        <v>0</v>
      </c>
      <c r="E437" s="104" t="n">
        <f aca="false">IF('Loan Tape'!$AN130=0,0,IF('Loan Tape'!$K130="Floating",MIN(IF('Loan Tape'!$P130="",10,'Loan Tape'!$P130),MAX(IF('Loan Tape'!$Q130="",0,'Loan Tape'!$Q130),INDEX(Idx_Curve,1,3)+'Loan Tape'!$M130)),IF('Loan Tape'!$L130="",0,'Loan Tape'!$L130)))</f>
        <v>0</v>
      </c>
      <c r="F437" s="104" t="n">
        <f aca="false">IF('Loan Tape'!$AN130=0,0,IF('Loan Tape'!$K130="Floating",MIN(IF('Loan Tape'!$P130="",10,'Loan Tape'!$P130),MAX(IF('Loan Tape'!$Q130="",0,'Loan Tape'!$Q130),INDEX(Idx_Curve,1,4)+'Loan Tape'!$M130)),IF('Loan Tape'!$L130="",0,'Loan Tape'!$L130)))</f>
        <v>0</v>
      </c>
      <c r="G437" s="104" t="n">
        <f aca="false">IF('Loan Tape'!$AN130=0,0,IF('Loan Tape'!$K130="Floating",MIN(IF('Loan Tape'!$P130="",10,'Loan Tape'!$P130),MAX(IF('Loan Tape'!$Q130="",0,'Loan Tape'!$Q130),INDEX(Idx_Curve,1,5)+'Loan Tape'!$M130)),IF('Loan Tape'!$L130="",0,'Loan Tape'!$L130)))</f>
        <v>0</v>
      </c>
      <c r="H437" s="104" t="n">
        <f aca="false">IF('Loan Tape'!$AN130=0,0,IF('Loan Tape'!$K130="Floating",MIN(IF('Loan Tape'!$P130="",10,'Loan Tape'!$P130),MAX(IF('Loan Tape'!$Q130="",0,'Loan Tape'!$Q130),INDEX(Idx_Curve,1,6)+'Loan Tape'!$M130)),IF('Loan Tape'!$L130="",0,'Loan Tape'!$L130)))</f>
        <v>0</v>
      </c>
      <c r="I437" s="104" t="n">
        <f aca="false">IF('Loan Tape'!$AN130=0,0,IF('Loan Tape'!$K130="Floating",MIN(IF('Loan Tape'!$P130="",10,'Loan Tape'!$P130),MAX(IF('Loan Tape'!$Q130="",0,'Loan Tape'!$Q130),INDEX(Idx_Curve,1,7)+'Loan Tape'!$M130)),IF('Loan Tape'!$L130="",0,'Loan Tape'!$L130)))</f>
        <v>0</v>
      </c>
      <c r="J437" s="104" t="n">
        <f aca="false">IF('Loan Tape'!$AN130=0,0,IF('Loan Tape'!$K130="Floating",MIN(IF('Loan Tape'!$P130="",10,'Loan Tape'!$P130),MAX(IF('Loan Tape'!$Q130="",0,'Loan Tape'!$Q130),INDEX(Idx_Curve,1,8)+'Loan Tape'!$M130)),IF('Loan Tape'!$L130="",0,'Loan Tape'!$L130)))</f>
        <v>0</v>
      </c>
      <c r="K437" s="104" t="n">
        <f aca="false">IF('Loan Tape'!$AN130=0,0,IF('Loan Tape'!$K130="Floating",MIN(IF('Loan Tape'!$P130="",10,'Loan Tape'!$P130),MAX(IF('Loan Tape'!$Q130="",0,'Loan Tape'!$Q130),INDEX(Idx_Curve,1,9)+'Loan Tape'!$M130)),IF('Loan Tape'!$L130="",0,'Loan Tape'!$L130)))</f>
        <v>0</v>
      </c>
      <c r="L437" s="104" t="n">
        <f aca="false">IF('Loan Tape'!$AN130=0,0,IF('Loan Tape'!$K130="Floating",MIN(IF('Loan Tape'!$P130="",10,'Loan Tape'!$P130),MAX(IF('Loan Tape'!$Q130="",0,'Loan Tape'!$Q130),INDEX(Idx_Curve,1,10)+'Loan Tape'!$M130)),IF('Loan Tape'!$L130="",0,'Loan Tape'!$L130)))</f>
        <v>0</v>
      </c>
    </row>
    <row r="438" customFormat="false" ht="15" hidden="false" customHeight="false" outlineLevel="0" collapsed="false">
      <c r="B438" s="108" t="n">
        <f aca="false">'Loan Tape'!$A131</f>
        <v>0</v>
      </c>
      <c r="C438" s="56" t="n">
        <f aca="false">IF('Loan Tape'!$AN131=0,0,IF('Loan Tape'!$K131="Floating",MIN(IF('Loan Tape'!$P131="",10,'Loan Tape'!$P131),MAX(IF('Loan Tape'!$Q131="",0,'Loan Tape'!$Q131),INDEX(Idx_Curve,1,1)+'Loan Tape'!$M131)),IF('Loan Tape'!$L131="",0,'Loan Tape'!$L131)))</f>
        <v>0</v>
      </c>
      <c r="D438" s="56" t="n">
        <f aca="false">IF('Loan Tape'!$AN131=0,0,IF('Loan Tape'!$K131="Floating",MIN(IF('Loan Tape'!$P131="",10,'Loan Tape'!$P131),MAX(IF('Loan Tape'!$Q131="",0,'Loan Tape'!$Q131),INDEX(Idx_Curve,1,2)+'Loan Tape'!$M131)),IF('Loan Tape'!$L131="",0,'Loan Tape'!$L131)))</f>
        <v>0</v>
      </c>
      <c r="E438" s="56" t="n">
        <f aca="false">IF('Loan Tape'!$AN131=0,0,IF('Loan Tape'!$K131="Floating",MIN(IF('Loan Tape'!$P131="",10,'Loan Tape'!$P131),MAX(IF('Loan Tape'!$Q131="",0,'Loan Tape'!$Q131),INDEX(Idx_Curve,1,3)+'Loan Tape'!$M131)),IF('Loan Tape'!$L131="",0,'Loan Tape'!$L131)))</f>
        <v>0</v>
      </c>
      <c r="F438" s="56" t="n">
        <f aca="false">IF('Loan Tape'!$AN131=0,0,IF('Loan Tape'!$K131="Floating",MIN(IF('Loan Tape'!$P131="",10,'Loan Tape'!$P131),MAX(IF('Loan Tape'!$Q131="",0,'Loan Tape'!$Q131),INDEX(Idx_Curve,1,4)+'Loan Tape'!$M131)),IF('Loan Tape'!$L131="",0,'Loan Tape'!$L131)))</f>
        <v>0</v>
      </c>
      <c r="G438" s="56" t="n">
        <f aca="false">IF('Loan Tape'!$AN131=0,0,IF('Loan Tape'!$K131="Floating",MIN(IF('Loan Tape'!$P131="",10,'Loan Tape'!$P131),MAX(IF('Loan Tape'!$Q131="",0,'Loan Tape'!$Q131),INDEX(Idx_Curve,1,5)+'Loan Tape'!$M131)),IF('Loan Tape'!$L131="",0,'Loan Tape'!$L131)))</f>
        <v>0</v>
      </c>
      <c r="H438" s="56" t="n">
        <f aca="false">IF('Loan Tape'!$AN131=0,0,IF('Loan Tape'!$K131="Floating",MIN(IF('Loan Tape'!$P131="",10,'Loan Tape'!$P131),MAX(IF('Loan Tape'!$Q131="",0,'Loan Tape'!$Q131),INDEX(Idx_Curve,1,6)+'Loan Tape'!$M131)),IF('Loan Tape'!$L131="",0,'Loan Tape'!$L131)))</f>
        <v>0</v>
      </c>
      <c r="I438" s="56" t="n">
        <f aca="false">IF('Loan Tape'!$AN131=0,0,IF('Loan Tape'!$K131="Floating",MIN(IF('Loan Tape'!$P131="",10,'Loan Tape'!$P131),MAX(IF('Loan Tape'!$Q131="",0,'Loan Tape'!$Q131),INDEX(Idx_Curve,1,7)+'Loan Tape'!$M131)),IF('Loan Tape'!$L131="",0,'Loan Tape'!$L131)))</f>
        <v>0</v>
      </c>
      <c r="J438" s="56" t="n">
        <f aca="false">IF('Loan Tape'!$AN131=0,0,IF('Loan Tape'!$K131="Floating",MIN(IF('Loan Tape'!$P131="",10,'Loan Tape'!$P131),MAX(IF('Loan Tape'!$Q131="",0,'Loan Tape'!$Q131),INDEX(Idx_Curve,1,8)+'Loan Tape'!$M131)),IF('Loan Tape'!$L131="",0,'Loan Tape'!$L131)))</f>
        <v>0</v>
      </c>
      <c r="K438" s="56" t="n">
        <f aca="false">IF('Loan Tape'!$AN131=0,0,IF('Loan Tape'!$K131="Floating",MIN(IF('Loan Tape'!$P131="",10,'Loan Tape'!$P131),MAX(IF('Loan Tape'!$Q131="",0,'Loan Tape'!$Q131),INDEX(Idx_Curve,1,9)+'Loan Tape'!$M131)),IF('Loan Tape'!$L131="",0,'Loan Tape'!$L131)))</f>
        <v>0</v>
      </c>
      <c r="L438" s="56" t="n">
        <f aca="false">IF('Loan Tape'!$AN131=0,0,IF('Loan Tape'!$K131="Floating",MIN(IF('Loan Tape'!$P131="",10,'Loan Tape'!$P131),MAX(IF('Loan Tape'!$Q131="",0,'Loan Tape'!$Q131),INDEX(Idx_Curve,1,10)+'Loan Tape'!$M131)),IF('Loan Tape'!$L131="",0,'Loan Tape'!$L131)))</f>
        <v>0</v>
      </c>
    </row>
    <row r="439" customFormat="false" ht="15" hidden="false" customHeight="false" outlineLevel="0" collapsed="false">
      <c r="B439" s="102" t="n">
        <f aca="false">'Loan Tape'!$A132</f>
        <v>0</v>
      </c>
      <c r="C439" s="104" t="n">
        <f aca="false">IF('Loan Tape'!$AN132=0,0,IF('Loan Tape'!$K132="Floating",MIN(IF('Loan Tape'!$P132="",10,'Loan Tape'!$P132),MAX(IF('Loan Tape'!$Q132="",0,'Loan Tape'!$Q132),INDEX(Idx_Curve,1,1)+'Loan Tape'!$M132)),IF('Loan Tape'!$L132="",0,'Loan Tape'!$L132)))</f>
        <v>0</v>
      </c>
      <c r="D439" s="104" t="n">
        <f aca="false">IF('Loan Tape'!$AN132=0,0,IF('Loan Tape'!$K132="Floating",MIN(IF('Loan Tape'!$P132="",10,'Loan Tape'!$P132),MAX(IF('Loan Tape'!$Q132="",0,'Loan Tape'!$Q132),INDEX(Idx_Curve,1,2)+'Loan Tape'!$M132)),IF('Loan Tape'!$L132="",0,'Loan Tape'!$L132)))</f>
        <v>0</v>
      </c>
      <c r="E439" s="104" t="n">
        <f aca="false">IF('Loan Tape'!$AN132=0,0,IF('Loan Tape'!$K132="Floating",MIN(IF('Loan Tape'!$P132="",10,'Loan Tape'!$P132),MAX(IF('Loan Tape'!$Q132="",0,'Loan Tape'!$Q132),INDEX(Idx_Curve,1,3)+'Loan Tape'!$M132)),IF('Loan Tape'!$L132="",0,'Loan Tape'!$L132)))</f>
        <v>0</v>
      </c>
      <c r="F439" s="104" t="n">
        <f aca="false">IF('Loan Tape'!$AN132=0,0,IF('Loan Tape'!$K132="Floating",MIN(IF('Loan Tape'!$P132="",10,'Loan Tape'!$P132),MAX(IF('Loan Tape'!$Q132="",0,'Loan Tape'!$Q132),INDEX(Idx_Curve,1,4)+'Loan Tape'!$M132)),IF('Loan Tape'!$L132="",0,'Loan Tape'!$L132)))</f>
        <v>0</v>
      </c>
      <c r="G439" s="104" t="n">
        <f aca="false">IF('Loan Tape'!$AN132=0,0,IF('Loan Tape'!$K132="Floating",MIN(IF('Loan Tape'!$P132="",10,'Loan Tape'!$P132),MAX(IF('Loan Tape'!$Q132="",0,'Loan Tape'!$Q132),INDEX(Idx_Curve,1,5)+'Loan Tape'!$M132)),IF('Loan Tape'!$L132="",0,'Loan Tape'!$L132)))</f>
        <v>0</v>
      </c>
      <c r="H439" s="104" t="n">
        <f aca="false">IF('Loan Tape'!$AN132=0,0,IF('Loan Tape'!$K132="Floating",MIN(IF('Loan Tape'!$P132="",10,'Loan Tape'!$P132),MAX(IF('Loan Tape'!$Q132="",0,'Loan Tape'!$Q132),INDEX(Idx_Curve,1,6)+'Loan Tape'!$M132)),IF('Loan Tape'!$L132="",0,'Loan Tape'!$L132)))</f>
        <v>0</v>
      </c>
      <c r="I439" s="104" t="n">
        <f aca="false">IF('Loan Tape'!$AN132=0,0,IF('Loan Tape'!$K132="Floating",MIN(IF('Loan Tape'!$P132="",10,'Loan Tape'!$P132),MAX(IF('Loan Tape'!$Q132="",0,'Loan Tape'!$Q132),INDEX(Idx_Curve,1,7)+'Loan Tape'!$M132)),IF('Loan Tape'!$L132="",0,'Loan Tape'!$L132)))</f>
        <v>0</v>
      </c>
      <c r="J439" s="104" t="n">
        <f aca="false">IF('Loan Tape'!$AN132=0,0,IF('Loan Tape'!$K132="Floating",MIN(IF('Loan Tape'!$P132="",10,'Loan Tape'!$P132),MAX(IF('Loan Tape'!$Q132="",0,'Loan Tape'!$Q132),INDEX(Idx_Curve,1,8)+'Loan Tape'!$M132)),IF('Loan Tape'!$L132="",0,'Loan Tape'!$L132)))</f>
        <v>0</v>
      </c>
      <c r="K439" s="104" t="n">
        <f aca="false">IF('Loan Tape'!$AN132=0,0,IF('Loan Tape'!$K132="Floating",MIN(IF('Loan Tape'!$P132="",10,'Loan Tape'!$P132),MAX(IF('Loan Tape'!$Q132="",0,'Loan Tape'!$Q132),INDEX(Idx_Curve,1,9)+'Loan Tape'!$M132)),IF('Loan Tape'!$L132="",0,'Loan Tape'!$L132)))</f>
        <v>0</v>
      </c>
      <c r="L439" s="104" t="n">
        <f aca="false">IF('Loan Tape'!$AN132=0,0,IF('Loan Tape'!$K132="Floating",MIN(IF('Loan Tape'!$P132="",10,'Loan Tape'!$P132),MAX(IF('Loan Tape'!$Q132="",0,'Loan Tape'!$Q132),INDEX(Idx_Curve,1,10)+'Loan Tape'!$M132)),IF('Loan Tape'!$L132="",0,'Loan Tape'!$L132)))</f>
        <v>0</v>
      </c>
    </row>
    <row r="440" customFormat="false" ht="15" hidden="false" customHeight="false" outlineLevel="0" collapsed="false">
      <c r="B440" s="108" t="n">
        <f aca="false">'Loan Tape'!$A133</f>
        <v>0</v>
      </c>
      <c r="C440" s="56" t="n">
        <f aca="false">IF('Loan Tape'!$AN133=0,0,IF('Loan Tape'!$K133="Floating",MIN(IF('Loan Tape'!$P133="",10,'Loan Tape'!$P133),MAX(IF('Loan Tape'!$Q133="",0,'Loan Tape'!$Q133),INDEX(Idx_Curve,1,1)+'Loan Tape'!$M133)),IF('Loan Tape'!$L133="",0,'Loan Tape'!$L133)))</f>
        <v>0</v>
      </c>
      <c r="D440" s="56" t="n">
        <f aca="false">IF('Loan Tape'!$AN133=0,0,IF('Loan Tape'!$K133="Floating",MIN(IF('Loan Tape'!$P133="",10,'Loan Tape'!$P133),MAX(IF('Loan Tape'!$Q133="",0,'Loan Tape'!$Q133),INDEX(Idx_Curve,1,2)+'Loan Tape'!$M133)),IF('Loan Tape'!$L133="",0,'Loan Tape'!$L133)))</f>
        <v>0</v>
      </c>
      <c r="E440" s="56" t="n">
        <f aca="false">IF('Loan Tape'!$AN133=0,0,IF('Loan Tape'!$K133="Floating",MIN(IF('Loan Tape'!$P133="",10,'Loan Tape'!$P133),MAX(IF('Loan Tape'!$Q133="",0,'Loan Tape'!$Q133),INDEX(Idx_Curve,1,3)+'Loan Tape'!$M133)),IF('Loan Tape'!$L133="",0,'Loan Tape'!$L133)))</f>
        <v>0</v>
      </c>
      <c r="F440" s="56" t="n">
        <f aca="false">IF('Loan Tape'!$AN133=0,0,IF('Loan Tape'!$K133="Floating",MIN(IF('Loan Tape'!$P133="",10,'Loan Tape'!$P133),MAX(IF('Loan Tape'!$Q133="",0,'Loan Tape'!$Q133),INDEX(Idx_Curve,1,4)+'Loan Tape'!$M133)),IF('Loan Tape'!$L133="",0,'Loan Tape'!$L133)))</f>
        <v>0</v>
      </c>
      <c r="G440" s="56" t="n">
        <f aca="false">IF('Loan Tape'!$AN133=0,0,IF('Loan Tape'!$K133="Floating",MIN(IF('Loan Tape'!$P133="",10,'Loan Tape'!$P133),MAX(IF('Loan Tape'!$Q133="",0,'Loan Tape'!$Q133),INDEX(Idx_Curve,1,5)+'Loan Tape'!$M133)),IF('Loan Tape'!$L133="",0,'Loan Tape'!$L133)))</f>
        <v>0</v>
      </c>
      <c r="H440" s="56" t="n">
        <f aca="false">IF('Loan Tape'!$AN133=0,0,IF('Loan Tape'!$K133="Floating",MIN(IF('Loan Tape'!$P133="",10,'Loan Tape'!$P133),MAX(IF('Loan Tape'!$Q133="",0,'Loan Tape'!$Q133),INDEX(Idx_Curve,1,6)+'Loan Tape'!$M133)),IF('Loan Tape'!$L133="",0,'Loan Tape'!$L133)))</f>
        <v>0</v>
      </c>
      <c r="I440" s="56" t="n">
        <f aca="false">IF('Loan Tape'!$AN133=0,0,IF('Loan Tape'!$K133="Floating",MIN(IF('Loan Tape'!$P133="",10,'Loan Tape'!$P133),MAX(IF('Loan Tape'!$Q133="",0,'Loan Tape'!$Q133),INDEX(Idx_Curve,1,7)+'Loan Tape'!$M133)),IF('Loan Tape'!$L133="",0,'Loan Tape'!$L133)))</f>
        <v>0</v>
      </c>
      <c r="J440" s="56" t="n">
        <f aca="false">IF('Loan Tape'!$AN133=0,0,IF('Loan Tape'!$K133="Floating",MIN(IF('Loan Tape'!$P133="",10,'Loan Tape'!$P133),MAX(IF('Loan Tape'!$Q133="",0,'Loan Tape'!$Q133),INDEX(Idx_Curve,1,8)+'Loan Tape'!$M133)),IF('Loan Tape'!$L133="",0,'Loan Tape'!$L133)))</f>
        <v>0</v>
      </c>
      <c r="K440" s="56" t="n">
        <f aca="false">IF('Loan Tape'!$AN133=0,0,IF('Loan Tape'!$K133="Floating",MIN(IF('Loan Tape'!$P133="",10,'Loan Tape'!$P133),MAX(IF('Loan Tape'!$Q133="",0,'Loan Tape'!$Q133),INDEX(Idx_Curve,1,9)+'Loan Tape'!$M133)),IF('Loan Tape'!$L133="",0,'Loan Tape'!$L133)))</f>
        <v>0</v>
      </c>
      <c r="L440" s="56" t="n">
        <f aca="false">IF('Loan Tape'!$AN133=0,0,IF('Loan Tape'!$K133="Floating",MIN(IF('Loan Tape'!$P133="",10,'Loan Tape'!$P133),MAX(IF('Loan Tape'!$Q133="",0,'Loan Tape'!$Q133),INDEX(Idx_Curve,1,10)+'Loan Tape'!$M133)),IF('Loan Tape'!$L133="",0,'Loan Tape'!$L133)))</f>
        <v>0</v>
      </c>
    </row>
    <row r="441" customFormat="false" ht="15" hidden="false" customHeight="false" outlineLevel="0" collapsed="false">
      <c r="B441" s="102" t="n">
        <f aca="false">'Loan Tape'!$A134</f>
        <v>0</v>
      </c>
      <c r="C441" s="104" t="n">
        <f aca="false">IF('Loan Tape'!$AN134=0,0,IF('Loan Tape'!$K134="Floating",MIN(IF('Loan Tape'!$P134="",10,'Loan Tape'!$P134),MAX(IF('Loan Tape'!$Q134="",0,'Loan Tape'!$Q134),INDEX(Idx_Curve,1,1)+'Loan Tape'!$M134)),IF('Loan Tape'!$L134="",0,'Loan Tape'!$L134)))</f>
        <v>0</v>
      </c>
      <c r="D441" s="104" t="n">
        <f aca="false">IF('Loan Tape'!$AN134=0,0,IF('Loan Tape'!$K134="Floating",MIN(IF('Loan Tape'!$P134="",10,'Loan Tape'!$P134),MAX(IF('Loan Tape'!$Q134="",0,'Loan Tape'!$Q134),INDEX(Idx_Curve,1,2)+'Loan Tape'!$M134)),IF('Loan Tape'!$L134="",0,'Loan Tape'!$L134)))</f>
        <v>0</v>
      </c>
      <c r="E441" s="104" t="n">
        <f aca="false">IF('Loan Tape'!$AN134=0,0,IF('Loan Tape'!$K134="Floating",MIN(IF('Loan Tape'!$P134="",10,'Loan Tape'!$P134),MAX(IF('Loan Tape'!$Q134="",0,'Loan Tape'!$Q134),INDEX(Idx_Curve,1,3)+'Loan Tape'!$M134)),IF('Loan Tape'!$L134="",0,'Loan Tape'!$L134)))</f>
        <v>0</v>
      </c>
      <c r="F441" s="104" t="n">
        <f aca="false">IF('Loan Tape'!$AN134=0,0,IF('Loan Tape'!$K134="Floating",MIN(IF('Loan Tape'!$P134="",10,'Loan Tape'!$P134),MAX(IF('Loan Tape'!$Q134="",0,'Loan Tape'!$Q134),INDEX(Idx_Curve,1,4)+'Loan Tape'!$M134)),IF('Loan Tape'!$L134="",0,'Loan Tape'!$L134)))</f>
        <v>0</v>
      </c>
      <c r="G441" s="104" t="n">
        <f aca="false">IF('Loan Tape'!$AN134=0,0,IF('Loan Tape'!$K134="Floating",MIN(IF('Loan Tape'!$P134="",10,'Loan Tape'!$P134),MAX(IF('Loan Tape'!$Q134="",0,'Loan Tape'!$Q134),INDEX(Idx_Curve,1,5)+'Loan Tape'!$M134)),IF('Loan Tape'!$L134="",0,'Loan Tape'!$L134)))</f>
        <v>0</v>
      </c>
      <c r="H441" s="104" t="n">
        <f aca="false">IF('Loan Tape'!$AN134=0,0,IF('Loan Tape'!$K134="Floating",MIN(IF('Loan Tape'!$P134="",10,'Loan Tape'!$P134),MAX(IF('Loan Tape'!$Q134="",0,'Loan Tape'!$Q134),INDEX(Idx_Curve,1,6)+'Loan Tape'!$M134)),IF('Loan Tape'!$L134="",0,'Loan Tape'!$L134)))</f>
        <v>0</v>
      </c>
      <c r="I441" s="104" t="n">
        <f aca="false">IF('Loan Tape'!$AN134=0,0,IF('Loan Tape'!$K134="Floating",MIN(IF('Loan Tape'!$P134="",10,'Loan Tape'!$P134),MAX(IF('Loan Tape'!$Q134="",0,'Loan Tape'!$Q134),INDEX(Idx_Curve,1,7)+'Loan Tape'!$M134)),IF('Loan Tape'!$L134="",0,'Loan Tape'!$L134)))</f>
        <v>0</v>
      </c>
      <c r="J441" s="104" t="n">
        <f aca="false">IF('Loan Tape'!$AN134=0,0,IF('Loan Tape'!$K134="Floating",MIN(IF('Loan Tape'!$P134="",10,'Loan Tape'!$P134),MAX(IF('Loan Tape'!$Q134="",0,'Loan Tape'!$Q134),INDEX(Idx_Curve,1,8)+'Loan Tape'!$M134)),IF('Loan Tape'!$L134="",0,'Loan Tape'!$L134)))</f>
        <v>0</v>
      </c>
      <c r="K441" s="104" t="n">
        <f aca="false">IF('Loan Tape'!$AN134=0,0,IF('Loan Tape'!$K134="Floating",MIN(IF('Loan Tape'!$P134="",10,'Loan Tape'!$P134),MAX(IF('Loan Tape'!$Q134="",0,'Loan Tape'!$Q134),INDEX(Idx_Curve,1,9)+'Loan Tape'!$M134)),IF('Loan Tape'!$L134="",0,'Loan Tape'!$L134)))</f>
        <v>0</v>
      </c>
      <c r="L441" s="104" t="n">
        <f aca="false">IF('Loan Tape'!$AN134=0,0,IF('Loan Tape'!$K134="Floating",MIN(IF('Loan Tape'!$P134="",10,'Loan Tape'!$P134),MAX(IF('Loan Tape'!$Q134="",0,'Loan Tape'!$Q134),INDEX(Idx_Curve,1,10)+'Loan Tape'!$M134)),IF('Loan Tape'!$L134="",0,'Loan Tape'!$L134)))</f>
        <v>0</v>
      </c>
    </row>
    <row r="442" customFormat="false" ht="15" hidden="false" customHeight="false" outlineLevel="0" collapsed="false">
      <c r="B442" s="108" t="n">
        <f aca="false">'Loan Tape'!$A135</f>
        <v>0</v>
      </c>
      <c r="C442" s="56" t="n">
        <f aca="false">IF('Loan Tape'!$AN135=0,0,IF('Loan Tape'!$K135="Floating",MIN(IF('Loan Tape'!$P135="",10,'Loan Tape'!$P135),MAX(IF('Loan Tape'!$Q135="",0,'Loan Tape'!$Q135),INDEX(Idx_Curve,1,1)+'Loan Tape'!$M135)),IF('Loan Tape'!$L135="",0,'Loan Tape'!$L135)))</f>
        <v>0</v>
      </c>
      <c r="D442" s="56" t="n">
        <f aca="false">IF('Loan Tape'!$AN135=0,0,IF('Loan Tape'!$K135="Floating",MIN(IF('Loan Tape'!$P135="",10,'Loan Tape'!$P135),MAX(IF('Loan Tape'!$Q135="",0,'Loan Tape'!$Q135),INDEX(Idx_Curve,1,2)+'Loan Tape'!$M135)),IF('Loan Tape'!$L135="",0,'Loan Tape'!$L135)))</f>
        <v>0</v>
      </c>
      <c r="E442" s="56" t="n">
        <f aca="false">IF('Loan Tape'!$AN135=0,0,IF('Loan Tape'!$K135="Floating",MIN(IF('Loan Tape'!$P135="",10,'Loan Tape'!$P135),MAX(IF('Loan Tape'!$Q135="",0,'Loan Tape'!$Q135),INDEX(Idx_Curve,1,3)+'Loan Tape'!$M135)),IF('Loan Tape'!$L135="",0,'Loan Tape'!$L135)))</f>
        <v>0</v>
      </c>
      <c r="F442" s="56" t="n">
        <f aca="false">IF('Loan Tape'!$AN135=0,0,IF('Loan Tape'!$K135="Floating",MIN(IF('Loan Tape'!$P135="",10,'Loan Tape'!$P135),MAX(IF('Loan Tape'!$Q135="",0,'Loan Tape'!$Q135),INDEX(Idx_Curve,1,4)+'Loan Tape'!$M135)),IF('Loan Tape'!$L135="",0,'Loan Tape'!$L135)))</f>
        <v>0</v>
      </c>
      <c r="G442" s="56" t="n">
        <f aca="false">IF('Loan Tape'!$AN135=0,0,IF('Loan Tape'!$K135="Floating",MIN(IF('Loan Tape'!$P135="",10,'Loan Tape'!$P135),MAX(IF('Loan Tape'!$Q135="",0,'Loan Tape'!$Q135),INDEX(Idx_Curve,1,5)+'Loan Tape'!$M135)),IF('Loan Tape'!$L135="",0,'Loan Tape'!$L135)))</f>
        <v>0</v>
      </c>
      <c r="H442" s="56" t="n">
        <f aca="false">IF('Loan Tape'!$AN135=0,0,IF('Loan Tape'!$K135="Floating",MIN(IF('Loan Tape'!$P135="",10,'Loan Tape'!$P135),MAX(IF('Loan Tape'!$Q135="",0,'Loan Tape'!$Q135),INDEX(Idx_Curve,1,6)+'Loan Tape'!$M135)),IF('Loan Tape'!$L135="",0,'Loan Tape'!$L135)))</f>
        <v>0</v>
      </c>
      <c r="I442" s="56" t="n">
        <f aca="false">IF('Loan Tape'!$AN135=0,0,IF('Loan Tape'!$K135="Floating",MIN(IF('Loan Tape'!$P135="",10,'Loan Tape'!$P135),MAX(IF('Loan Tape'!$Q135="",0,'Loan Tape'!$Q135),INDEX(Idx_Curve,1,7)+'Loan Tape'!$M135)),IF('Loan Tape'!$L135="",0,'Loan Tape'!$L135)))</f>
        <v>0</v>
      </c>
      <c r="J442" s="56" t="n">
        <f aca="false">IF('Loan Tape'!$AN135=0,0,IF('Loan Tape'!$K135="Floating",MIN(IF('Loan Tape'!$P135="",10,'Loan Tape'!$P135),MAX(IF('Loan Tape'!$Q135="",0,'Loan Tape'!$Q135),INDEX(Idx_Curve,1,8)+'Loan Tape'!$M135)),IF('Loan Tape'!$L135="",0,'Loan Tape'!$L135)))</f>
        <v>0</v>
      </c>
      <c r="K442" s="56" t="n">
        <f aca="false">IF('Loan Tape'!$AN135=0,0,IF('Loan Tape'!$K135="Floating",MIN(IF('Loan Tape'!$P135="",10,'Loan Tape'!$P135),MAX(IF('Loan Tape'!$Q135="",0,'Loan Tape'!$Q135),INDEX(Idx_Curve,1,9)+'Loan Tape'!$M135)),IF('Loan Tape'!$L135="",0,'Loan Tape'!$L135)))</f>
        <v>0</v>
      </c>
      <c r="L442" s="56" t="n">
        <f aca="false">IF('Loan Tape'!$AN135=0,0,IF('Loan Tape'!$K135="Floating",MIN(IF('Loan Tape'!$P135="",10,'Loan Tape'!$P135),MAX(IF('Loan Tape'!$Q135="",0,'Loan Tape'!$Q135),INDEX(Idx_Curve,1,10)+'Loan Tape'!$M135)),IF('Loan Tape'!$L135="",0,'Loan Tape'!$L135)))</f>
        <v>0</v>
      </c>
    </row>
    <row r="443" customFormat="false" ht="15" hidden="false" customHeight="false" outlineLevel="0" collapsed="false">
      <c r="B443" s="102" t="n">
        <f aca="false">'Loan Tape'!$A136</f>
        <v>0</v>
      </c>
      <c r="C443" s="104" t="n">
        <f aca="false">IF('Loan Tape'!$AN136=0,0,IF('Loan Tape'!$K136="Floating",MIN(IF('Loan Tape'!$P136="",10,'Loan Tape'!$P136),MAX(IF('Loan Tape'!$Q136="",0,'Loan Tape'!$Q136),INDEX(Idx_Curve,1,1)+'Loan Tape'!$M136)),IF('Loan Tape'!$L136="",0,'Loan Tape'!$L136)))</f>
        <v>0</v>
      </c>
      <c r="D443" s="104" t="n">
        <f aca="false">IF('Loan Tape'!$AN136=0,0,IF('Loan Tape'!$K136="Floating",MIN(IF('Loan Tape'!$P136="",10,'Loan Tape'!$P136),MAX(IF('Loan Tape'!$Q136="",0,'Loan Tape'!$Q136),INDEX(Idx_Curve,1,2)+'Loan Tape'!$M136)),IF('Loan Tape'!$L136="",0,'Loan Tape'!$L136)))</f>
        <v>0</v>
      </c>
      <c r="E443" s="104" t="n">
        <f aca="false">IF('Loan Tape'!$AN136=0,0,IF('Loan Tape'!$K136="Floating",MIN(IF('Loan Tape'!$P136="",10,'Loan Tape'!$P136),MAX(IF('Loan Tape'!$Q136="",0,'Loan Tape'!$Q136),INDEX(Idx_Curve,1,3)+'Loan Tape'!$M136)),IF('Loan Tape'!$L136="",0,'Loan Tape'!$L136)))</f>
        <v>0</v>
      </c>
      <c r="F443" s="104" t="n">
        <f aca="false">IF('Loan Tape'!$AN136=0,0,IF('Loan Tape'!$K136="Floating",MIN(IF('Loan Tape'!$P136="",10,'Loan Tape'!$P136),MAX(IF('Loan Tape'!$Q136="",0,'Loan Tape'!$Q136),INDEX(Idx_Curve,1,4)+'Loan Tape'!$M136)),IF('Loan Tape'!$L136="",0,'Loan Tape'!$L136)))</f>
        <v>0</v>
      </c>
      <c r="G443" s="104" t="n">
        <f aca="false">IF('Loan Tape'!$AN136=0,0,IF('Loan Tape'!$K136="Floating",MIN(IF('Loan Tape'!$P136="",10,'Loan Tape'!$P136),MAX(IF('Loan Tape'!$Q136="",0,'Loan Tape'!$Q136),INDEX(Idx_Curve,1,5)+'Loan Tape'!$M136)),IF('Loan Tape'!$L136="",0,'Loan Tape'!$L136)))</f>
        <v>0</v>
      </c>
      <c r="H443" s="104" t="n">
        <f aca="false">IF('Loan Tape'!$AN136=0,0,IF('Loan Tape'!$K136="Floating",MIN(IF('Loan Tape'!$P136="",10,'Loan Tape'!$P136),MAX(IF('Loan Tape'!$Q136="",0,'Loan Tape'!$Q136),INDEX(Idx_Curve,1,6)+'Loan Tape'!$M136)),IF('Loan Tape'!$L136="",0,'Loan Tape'!$L136)))</f>
        <v>0</v>
      </c>
      <c r="I443" s="104" t="n">
        <f aca="false">IF('Loan Tape'!$AN136=0,0,IF('Loan Tape'!$K136="Floating",MIN(IF('Loan Tape'!$P136="",10,'Loan Tape'!$P136),MAX(IF('Loan Tape'!$Q136="",0,'Loan Tape'!$Q136),INDEX(Idx_Curve,1,7)+'Loan Tape'!$M136)),IF('Loan Tape'!$L136="",0,'Loan Tape'!$L136)))</f>
        <v>0</v>
      </c>
      <c r="J443" s="104" t="n">
        <f aca="false">IF('Loan Tape'!$AN136=0,0,IF('Loan Tape'!$K136="Floating",MIN(IF('Loan Tape'!$P136="",10,'Loan Tape'!$P136),MAX(IF('Loan Tape'!$Q136="",0,'Loan Tape'!$Q136),INDEX(Idx_Curve,1,8)+'Loan Tape'!$M136)),IF('Loan Tape'!$L136="",0,'Loan Tape'!$L136)))</f>
        <v>0</v>
      </c>
      <c r="K443" s="104" t="n">
        <f aca="false">IF('Loan Tape'!$AN136=0,0,IF('Loan Tape'!$K136="Floating",MIN(IF('Loan Tape'!$P136="",10,'Loan Tape'!$P136),MAX(IF('Loan Tape'!$Q136="",0,'Loan Tape'!$Q136),INDEX(Idx_Curve,1,9)+'Loan Tape'!$M136)),IF('Loan Tape'!$L136="",0,'Loan Tape'!$L136)))</f>
        <v>0</v>
      </c>
      <c r="L443" s="104" t="n">
        <f aca="false">IF('Loan Tape'!$AN136=0,0,IF('Loan Tape'!$K136="Floating",MIN(IF('Loan Tape'!$P136="",10,'Loan Tape'!$P136),MAX(IF('Loan Tape'!$Q136="",0,'Loan Tape'!$Q136),INDEX(Idx_Curve,1,10)+'Loan Tape'!$M136)),IF('Loan Tape'!$L136="",0,'Loan Tape'!$L136)))</f>
        <v>0</v>
      </c>
    </row>
    <row r="444" customFormat="false" ht="15" hidden="false" customHeight="false" outlineLevel="0" collapsed="false">
      <c r="B444" s="108" t="n">
        <f aca="false">'Loan Tape'!$A137</f>
        <v>0</v>
      </c>
      <c r="C444" s="56" t="n">
        <f aca="false">IF('Loan Tape'!$AN137=0,0,IF('Loan Tape'!$K137="Floating",MIN(IF('Loan Tape'!$P137="",10,'Loan Tape'!$P137),MAX(IF('Loan Tape'!$Q137="",0,'Loan Tape'!$Q137),INDEX(Idx_Curve,1,1)+'Loan Tape'!$M137)),IF('Loan Tape'!$L137="",0,'Loan Tape'!$L137)))</f>
        <v>0</v>
      </c>
      <c r="D444" s="56" t="n">
        <f aca="false">IF('Loan Tape'!$AN137=0,0,IF('Loan Tape'!$K137="Floating",MIN(IF('Loan Tape'!$P137="",10,'Loan Tape'!$P137),MAX(IF('Loan Tape'!$Q137="",0,'Loan Tape'!$Q137),INDEX(Idx_Curve,1,2)+'Loan Tape'!$M137)),IF('Loan Tape'!$L137="",0,'Loan Tape'!$L137)))</f>
        <v>0</v>
      </c>
      <c r="E444" s="56" t="n">
        <f aca="false">IF('Loan Tape'!$AN137=0,0,IF('Loan Tape'!$K137="Floating",MIN(IF('Loan Tape'!$P137="",10,'Loan Tape'!$P137),MAX(IF('Loan Tape'!$Q137="",0,'Loan Tape'!$Q137),INDEX(Idx_Curve,1,3)+'Loan Tape'!$M137)),IF('Loan Tape'!$L137="",0,'Loan Tape'!$L137)))</f>
        <v>0</v>
      </c>
      <c r="F444" s="56" t="n">
        <f aca="false">IF('Loan Tape'!$AN137=0,0,IF('Loan Tape'!$K137="Floating",MIN(IF('Loan Tape'!$P137="",10,'Loan Tape'!$P137),MAX(IF('Loan Tape'!$Q137="",0,'Loan Tape'!$Q137),INDEX(Idx_Curve,1,4)+'Loan Tape'!$M137)),IF('Loan Tape'!$L137="",0,'Loan Tape'!$L137)))</f>
        <v>0</v>
      </c>
      <c r="G444" s="56" t="n">
        <f aca="false">IF('Loan Tape'!$AN137=0,0,IF('Loan Tape'!$K137="Floating",MIN(IF('Loan Tape'!$P137="",10,'Loan Tape'!$P137),MAX(IF('Loan Tape'!$Q137="",0,'Loan Tape'!$Q137),INDEX(Idx_Curve,1,5)+'Loan Tape'!$M137)),IF('Loan Tape'!$L137="",0,'Loan Tape'!$L137)))</f>
        <v>0</v>
      </c>
      <c r="H444" s="56" t="n">
        <f aca="false">IF('Loan Tape'!$AN137=0,0,IF('Loan Tape'!$K137="Floating",MIN(IF('Loan Tape'!$P137="",10,'Loan Tape'!$P137),MAX(IF('Loan Tape'!$Q137="",0,'Loan Tape'!$Q137),INDEX(Idx_Curve,1,6)+'Loan Tape'!$M137)),IF('Loan Tape'!$L137="",0,'Loan Tape'!$L137)))</f>
        <v>0</v>
      </c>
      <c r="I444" s="56" t="n">
        <f aca="false">IF('Loan Tape'!$AN137=0,0,IF('Loan Tape'!$K137="Floating",MIN(IF('Loan Tape'!$P137="",10,'Loan Tape'!$P137),MAX(IF('Loan Tape'!$Q137="",0,'Loan Tape'!$Q137),INDEX(Idx_Curve,1,7)+'Loan Tape'!$M137)),IF('Loan Tape'!$L137="",0,'Loan Tape'!$L137)))</f>
        <v>0</v>
      </c>
      <c r="J444" s="56" t="n">
        <f aca="false">IF('Loan Tape'!$AN137=0,0,IF('Loan Tape'!$K137="Floating",MIN(IF('Loan Tape'!$P137="",10,'Loan Tape'!$P137),MAX(IF('Loan Tape'!$Q137="",0,'Loan Tape'!$Q137),INDEX(Idx_Curve,1,8)+'Loan Tape'!$M137)),IF('Loan Tape'!$L137="",0,'Loan Tape'!$L137)))</f>
        <v>0</v>
      </c>
      <c r="K444" s="56" t="n">
        <f aca="false">IF('Loan Tape'!$AN137=0,0,IF('Loan Tape'!$K137="Floating",MIN(IF('Loan Tape'!$P137="",10,'Loan Tape'!$P137),MAX(IF('Loan Tape'!$Q137="",0,'Loan Tape'!$Q137),INDEX(Idx_Curve,1,9)+'Loan Tape'!$M137)),IF('Loan Tape'!$L137="",0,'Loan Tape'!$L137)))</f>
        <v>0</v>
      </c>
      <c r="L444" s="56" t="n">
        <f aca="false">IF('Loan Tape'!$AN137=0,0,IF('Loan Tape'!$K137="Floating",MIN(IF('Loan Tape'!$P137="",10,'Loan Tape'!$P137),MAX(IF('Loan Tape'!$Q137="",0,'Loan Tape'!$Q137),INDEX(Idx_Curve,1,10)+'Loan Tape'!$M137)),IF('Loan Tape'!$L137="",0,'Loan Tape'!$L137)))</f>
        <v>0</v>
      </c>
    </row>
    <row r="445" customFormat="false" ht="15" hidden="false" customHeight="false" outlineLevel="0" collapsed="false">
      <c r="B445" s="102" t="n">
        <f aca="false">'Loan Tape'!$A138</f>
        <v>0</v>
      </c>
      <c r="C445" s="104" t="n">
        <f aca="false">IF('Loan Tape'!$AN138=0,0,IF('Loan Tape'!$K138="Floating",MIN(IF('Loan Tape'!$P138="",10,'Loan Tape'!$P138),MAX(IF('Loan Tape'!$Q138="",0,'Loan Tape'!$Q138),INDEX(Idx_Curve,1,1)+'Loan Tape'!$M138)),IF('Loan Tape'!$L138="",0,'Loan Tape'!$L138)))</f>
        <v>0</v>
      </c>
      <c r="D445" s="104" t="n">
        <f aca="false">IF('Loan Tape'!$AN138=0,0,IF('Loan Tape'!$K138="Floating",MIN(IF('Loan Tape'!$P138="",10,'Loan Tape'!$P138),MAX(IF('Loan Tape'!$Q138="",0,'Loan Tape'!$Q138),INDEX(Idx_Curve,1,2)+'Loan Tape'!$M138)),IF('Loan Tape'!$L138="",0,'Loan Tape'!$L138)))</f>
        <v>0</v>
      </c>
      <c r="E445" s="104" t="n">
        <f aca="false">IF('Loan Tape'!$AN138=0,0,IF('Loan Tape'!$K138="Floating",MIN(IF('Loan Tape'!$P138="",10,'Loan Tape'!$P138),MAX(IF('Loan Tape'!$Q138="",0,'Loan Tape'!$Q138),INDEX(Idx_Curve,1,3)+'Loan Tape'!$M138)),IF('Loan Tape'!$L138="",0,'Loan Tape'!$L138)))</f>
        <v>0</v>
      </c>
      <c r="F445" s="104" t="n">
        <f aca="false">IF('Loan Tape'!$AN138=0,0,IF('Loan Tape'!$K138="Floating",MIN(IF('Loan Tape'!$P138="",10,'Loan Tape'!$P138),MAX(IF('Loan Tape'!$Q138="",0,'Loan Tape'!$Q138),INDEX(Idx_Curve,1,4)+'Loan Tape'!$M138)),IF('Loan Tape'!$L138="",0,'Loan Tape'!$L138)))</f>
        <v>0</v>
      </c>
      <c r="G445" s="104" t="n">
        <f aca="false">IF('Loan Tape'!$AN138=0,0,IF('Loan Tape'!$K138="Floating",MIN(IF('Loan Tape'!$P138="",10,'Loan Tape'!$P138),MAX(IF('Loan Tape'!$Q138="",0,'Loan Tape'!$Q138),INDEX(Idx_Curve,1,5)+'Loan Tape'!$M138)),IF('Loan Tape'!$L138="",0,'Loan Tape'!$L138)))</f>
        <v>0</v>
      </c>
      <c r="H445" s="104" t="n">
        <f aca="false">IF('Loan Tape'!$AN138=0,0,IF('Loan Tape'!$K138="Floating",MIN(IF('Loan Tape'!$P138="",10,'Loan Tape'!$P138),MAX(IF('Loan Tape'!$Q138="",0,'Loan Tape'!$Q138),INDEX(Idx_Curve,1,6)+'Loan Tape'!$M138)),IF('Loan Tape'!$L138="",0,'Loan Tape'!$L138)))</f>
        <v>0</v>
      </c>
      <c r="I445" s="104" t="n">
        <f aca="false">IF('Loan Tape'!$AN138=0,0,IF('Loan Tape'!$K138="Floating",MIN(IF('Loan Tape'!$P138="",10,'Loan Tape'!$P138),MAX(IF('Loan Tape'!$Q138="",0,'Loan Tape'!$Q138),INDEX(Idx_Curve,1,7)+'Loan Tape'!$M138)),IF('Loan Tape'!$L138="",0,'Loan Tape'!$L138)))</f>
        <v>0</v>
      </c>
      <c r="J445" s="104" t="n">
        <f aca="false">IF('Loan Tape'!$AN138=0,0,IF('Loan Tape'!$K138="Floating",MIN(IF('Loan Tape'!$P138="",10,'Loan Tape'!$P138),MAX(IF('Loan Tape'!$Q138="",0,'Loan Tape'!$Q138),INDEX(Idx_Curve,1,8)+'Loan Tape'!$M138)),IF('Loan Tape'!$L138="",0,'Loan Tape'!$L138)))</f>
        <v>0</v>
      </c>
      <c r="K445" s="104" t="n">
        <f aca="false">IF('Loan Tape'!$AN138=0,0,IF('Loan Tape'!$K138="Floating",MIN(IF('Loan Tape'!$P138="",10,'Loan Tape'!$P138),MAX(IF('Loan Tape'!$Q138="",0,'Loan Tape'!$Q138),INDEX(Idx_Curve,1,9)+'Loan Tape'!$M138)),IF('Loan Tape'!$L138="",0,'Loan Tape'!$L138)))</f>
        <v>0</v>
      </c>
      <c r="L445" s="104" t="n">
        <f aca="false">IF('Loan Tape'!$AN138=0,0,IF('Loan Tape'!$K138="Floating",MIN(IF('Loan Tape'!$P138="",10,'Loan Tape'!$P138),MAX(IF('Loan Tape'!$Q138="",0,'Loan Tape'!$Q138),INDEX(Idx_Curve,1,10)+'Loan Tape'!$M138)),IF('Loan Tape'!$L138="",0,'Loan Tape'!$L138)))</f>
        <v>0</v>
      </c>
    </row>
    <row r="446" customFormat="false" ht="15" hidden="false" customHeight="false" outlineLevel="0" collapsed="false">
      <c r="B446" s="108" t="n">
        <f aca="false">'Loan Tape'!$A139</f>
        <v>0</v>
      </c>
      <c r="C446" s="56" t="n">
        <f aca="false">IF('Loan Tape'!$AN139=0,0,IF('Loan Tape'!$K139="Floating",MIN(IF('Loan Tape'!$P139="",10,'Loan Tape'!$P139),MAX(IF('Loan Tape'!$Q139="",0,'Loan Tape'!$Q139),INDEX(Idx_Curve,1,1)+'Loan Tape'!$M139)),IF('Loan Tape'!$L139="",0,'Loan Tape'!$L139)))</f>
        <v>0</v>
      </c>
      <c r="D446" s="56" t="n">
        <f aca="false">IF('Loan Tape'!$AN139=0,0,IF('Loan Tape'!$K139="Floating",MIN(IF('Loan Tape'!$P139="",10,'Loan Tape'!$P139),MAX(IF('Loan Tape'!$Q139="",0,'Loan Tape'!$Q139),INDEX(Idx_Curve,1,2)+'Loan Tape'!$M139)),IF('Loan Tape'!$L139="",0,'Loan Tape'!$L139)))</f>
        <v>0</v>
      </c>
      <c r="E446" s="56" t="n">
        <f aca="false">IF('Loan Tape'!$AN139=0,0,IF('Loan Tape'!$K139="Floating",MIN(IF('Loan Tape'!$P139="",10,'Loan Tape'!$P139),MAX(IF('Loan Tape'!$Q139="",0,'Loan Tape'!$Q139),INDEX(Idx_Curve,1,3)+'Loan Tape'!$M139)),IF('Loan Tape'!$L139="",0,'Loan Tape'!$L139)))</f>
        <v>0</v>
      </c>
      <c r="F446" s="56" t="n">
        <f aca="false">IF('Loan Tape'!$AN139=0,0,IF('Loan Tape'!$K139="Floating",MIN(IF('Loan Tape'!$P139="",10,'Loan Tape'!$P139),MAX(IF('Loan Tape'!$Q139="",0,'Loan Tape'!$Q139),INDEX(Idx_Curve,1,4)+'Loan Tape'!$M139)),IF('Loan Tape'!$L139="",0,'Loan Tape'!$L139)))</f>
        <v>0</v>
      </c>
      <c r="G446" s="56" t="n">
        <f aca="false">IF('Loan Tape'!$AN139=0,0,IF('Loan Tape'!$K139="Floating",MIN(IF('Loan Tape'!$P139="",10,'Loan Tape'!$P139),MAX(IF('Loan Tape'!$Q139="",0,'Loan Tape'!$Q139),INDEX(Idx_Curve,1,5)+'Loan Tape'!$M139)),IF('Loan Tape'!$L139="",0,'Loan Tape'!$L139)))</f>
        <v>0</v>
      </c>
      <c r="H446" s="56" t="n">
        <f aca="false">IF('Loan Tape'!$AN139=0,0,IF('Loan Tape'!$K139="Floating",MIN(IF('Loan Tape'!$P139="",10,'Loan Tape'!$P139),MAX(IF('Loan Tape'!$Q139="",0,'Loan Tape'!$Q139),INDEX(Idx_Curve,1,6)+'Loan Tape'!$M139)),IF('Loan Tape'!$L139="",0,'Loan Tape'!$L139)))</f>
        <v>0</v>
      </c>
      <c r="I446" s="56" t="n">
        <f aca="false">IF('Loan Tape'!$AN139=0,0,IF('Loan Tape'!$K139="Floating",MIN(IF('Loan Tape'!$P139="",10,'Loan Tape'!$P139),MAX(IF('Loan Tape'!$Q139="",0,'Loan Tape'!$Q139),INDEX(Idx_Curve,1,7)+'Loan Tape'!$M139)),IF('Loan Tape'!$L139="",0,'Loan Tape'!$L139)))</f>
        <v>0</v>
      </c>
      <c r="J446" s="56" t="n">
        <f aca="false">IF('Loan Tape'!$AN139=0,0,IF('Loan Tape'!$K139="Floating",MIN(IF('Loan Tape'!$P139="",10,'Loan Tape'!$P139),MAX(IF('Loan Tape'!$Q139="",0,'Loan Tape'!$Q139),INDEX(Idx_Curve,1,8)+'Loan Tape'!$M139)),IF('Loan Tape'!$L139="",0,'Loan Tape'!$L139)))</f>
        <v>0</v>
      </c>
      <c r="K446" s="56" t="n">
        <f aca="false">IF('Loan Tape'!$AN139=0,0,IF('Loan Tape'!$K139="Floating",MIN(IF('Loan Tape'!$P139="",10,'Loan Tape'!$P139),MAX(IF('Loan Tape'!$Q139="",0,'Loan Tape'!$Q139),INDEX(Idx_Curve,1,9)+'Loan Tape'!$M139)),IF('Loan Tape'!$L139="",0,'Loan Tape'!$L139)))</f>
        <v>0</v>
      </c>
      <c r="L446" s="56" t="n">
        <f aca="false">IF('Loan Tape'!$AN139=0,0,IF('Loan Tape'!$K139="Floating",MIN(IF('Loan Tape'!$P139="",10,'Loan Tape'!$P139),MAX(IF('Loan Tape'!$Q139="",0,'Loan Tape'!$Q139),INDEX(Idx_Curve,1,10)+'Loan Tape'!$M139)),IF('Loan Tape'!$L139="",0,'Loan Tape'!$L139)))</f>
        <v>0</v>
      </c>
    </row>
    <row r="447" customFormat="false" ht="15" hidden="false" customHeight="false" outlineLevel="0" collapsed="false">
      <c r="B447" s="102" t="n">
        <f aca="false">'Loan Tape'!$A140</f>
        <v>0</v>
      </c>
      <c r="C447" s="104" t="n">
        <f aca="false">IF('Loan Tape'!$AN140=0,0,IF('Loan Tape'!$K140="Floating",MIN(IF('Loan Tape'!$P140="",10,'Loan Tape'!$P140),MAX(IF('Loan Tape'!$Q140="",0,'Loan Tape'!$Q140),INDEX(Idx_Curve,1,1)+'Loan Tape'!$M140)),IF('Loan Tape'!$L140="",0,'Loan Tape'!$L140)))</f>
        <v>0</v>
      </c>
      <c r="D447" s="104" t="n">
        <f aca="false">IF('Loan Tape'!$AN140=0,0,IF('Loan Tape'!$K140="Floating",MIN(IF('Loan Tape'!$P140="",10,'Loan Tape'!$P140),MAX(IF('Loan Tape'!$Q140="",0,'Loan Tape'!$Q140),INDEX(Idx_Curve,1,2)+'Loan Tape'!$M140)),IF('Loan Tape'!$L140="",0,'Loan Tape'!$L140)))</f>
        <v>0</v>
      </c>
      <c r="E447" s="104" t="n">
        <f aca="false">IF('Loan Tape'!$AN140=0,0,IF('Loan Tape'!$K140="Floating",MIN(IF('Loan Tape'!$P140="",10,'Loan Tape'!$P140),MAX(IF('Loan Tape'!$Q140="",0,'Loan Tape'!$Q140),INDEX(Idx_Curve,1,3)+'Loan Tape'!$M140)),IF('Loan Tape'!$L140="",0,'Loan Tape'!$L140)))</f>
        <v>0</v>
      </c>
      <c r="F447" s="104" t="n">
        <f aca="false">IF('Loan Tape'!$AN140=0,0,IF('Loan Tape'!$K140="Floating",MIN(IF('Loan Tape'!$P140="",10,'Loan Tape'!$P140),MAX(IF('Loan Tape'!$Q140="",0,'Loan Tape'!$Q140),INDEX(Idx_Curve,1,4)+'Loan Tape'!$M140)),IF('Loan Tape'!$L140="",0,'Loan Tape'!$L140)))</f>
        <v>0</v>
      </c>
      <c r="G447" s="104" t="n">
        <f aca="false">IF('Loan Tape'!$AN140=0,0,IF('Loan Tape'!$K140="Floating",MIN(IF('Loan Tape'!$P140="",10,'Loan Tape'!$P140),MAX(IF('Loan Tape'!$Q140="",0,'Loan Tape'!$Q140),INDEX(Idx_Curve,1,5)+'Loan Tape'!$M140)),IF('Loan Tape'!$L140="",0,'Loan Tape'!$L140)))</f>
        <v>0</v>
      </c>
      <c r="H447" s="104" t="n">
        <f aca="false">IF('Loan Tape'!$AN140=0,0,IF('Loan Tape'!$K140="Floating",MIN(IF('Loan Tape'!$P140="",10,'Loan Tape'!$P140),MAX(IF('Loan Tape'!$Q140="",0,'Loan Tape'!$Q140),INDEX(Idx_Curve,1,6)+'Loan Tape'!$M140)),IF('Loan Tape'!$L140="",0,'Loan Tape'!$L140)))</f>
        <v>0</v>
      </c>
      <c r="I447" s="104" t="n">
        <f aca="false">IF('Loan Tape'!$AN140=0,0,IF('Loan Tape'!$K140="Floating",MIN(IF('Loan Tape'!$P140="",10,'Loan Tape'!$P140),MAX(IF('Loan Tape'!$Q140="",0,'Loan Tape'!$Q140),INDEX(Idx_Curve,1,7)+'Loan Tape'!$M140)),IF('Loan Tape'!$L140="",0,'Loan Tape'!$L140)))</f>
        <v>0</v>
      </c>
      <c r="J447" s="104" t="n">
        <f aca="false">IF('Loan Tape'!$AN140=0,0,IF('Loan Tape'!$K140="Floating",MIN(IF('Loan Tape'!$P140="",10,'Loan Tape'!$P140),MAX(IF('Loan Tape'!$Q140="",0,'Loan Tape'!$Q140),INDEX(Idx_Curve,1,8)+'Loan Tape'!$M140)),IF('Loan Tape'!$L140="",0,'Loan Tape'!$L140)))</f>
        <v>0</v>
      </c>
      <c r="K447" s="104" t="n">
        <f aca="false">IF('Loan Tape'!$AN140=0,0,IF('Loan Tape'!$K140="Floating",MIN(IF('Loan Tape'!$P140="",10,'Loan Tape'!$P140),MAX(IF('Loan Tape'!$Q140="",0,'Loan Tape'!$Q140),INDEX(Idx_Curve,1,9)+'Loan Tape'!$M140)),IF('Loan Tape'!$L140="",0,'Loan Tape'!$L140)))</f>
        <v>0</v>
      </c>
      <c r="L447" s="104" t="n">
        <f aca="false">IF('Loan Tape'!$AN140=0,0,IF('Loan Tape'!$K140="Floating",MIN(IF('Loan Tape'!$P140="",10,'Loan Tape'!$P140),MAX(IF('Loan Tape'!$Q140="",0,'Loan Tape'!$Q140),INDEX(Idx_Curve,1,10)+'Loan Tape'!$M140)),IF('Loan Tape'!$L140="",0,'Loan Tape'!$L140)))</f>
        <v>0</v>
      </c>
    </row>
    <row r="448" customFormat="false" ht="15" hidden="false" customHeight="false" outlineLevel="0" collapsed="false">
      <c r="B448" s="108" t="n">
        <f aca="false">'Loan Tape'!$A141</f>
        <v>0</v>
      </c>
      <c r="C448" s="56" t="n">
        <f aca="false">IF('Loan Tape'!$AN141=0,0,IF('Loan Tape'!$K141="Floating",MIN(IF('Loan Tape'!$P141="",10,'Loan Tape'!$P141),MAX(IF('Loan Tape'!$Q141="",0,'Loan Tape'!$Q141),INDEX(Idx_Curve,1,1)+'Loan Tape'!$M141)),IF('Loan Tape'!$L141="",0,'Loan Tape'!$L141)))</f>
        <v>0</v>
      </c>
      <c r="D448" s="56" t="n">
        <f aca="false">IF('Loan Tape'!$AN141=0,0,IF('Loan Tape'!$K141="Floating",MIN(IF('Loan Tape'!$P141="",10,'Loan Tape'!$P141),MAX(IF('Loan Tape'!$Q141="",0,'Loan Tape'!$Q141),INDEX(Idx_Curve,1,2)+'Loan Tape'!$M141)),IF('Loan Tape'!$L141="",0,'Loan Tape'!$L141)))</f>
        <v>0</v>
      </c>
      <c r="E448" s="56" t="n">
        <f aca="false">IF('Loan Tape'!$AN141=0,0,IF('Loan Tape'!$K141="Floating",MIN(IF('Loan Tape'!$P141="",10,'Loan Tape'!$P141),MAX(IF('Loan Tape'!$Q141="",0,'Loan Tape'!$Q141),INDEX(Idx_Curve,1,3)+'Loan Tape'!$M141)),IF('Loan Tape'!$L141="",0,'Loan Tape'!$L141)))</f>
        <v>0</v>
      </c>
      <c r="F448" s="56" t="n">
        <f aca="false">IF('Loan Tape'!$AN141=0,0,IF('Loan Tape'!$K141="Floating",MIN(IF('Loan Tape'!$P141="",10,'Loan Tape'!$P141),MAX(IF('Loan Tape'!$Q141="",0,'Loan Tape'!$Q141),INDEX(Idx_Curve,1,4)+'Loan Tape'!$M141)),IF('Loan Tape'!$L141="",0,'Loan Tape'!$L141)))</f>
        <v>0</v>
      </c>
      <c r="G448" s="56" t="n">
        <f aca="false">IF('Loan Tape'!$AN141=0,0,IF('Loan Tape'!$K141="Floating",MIN(IF('Loan Tape'!$P141="",10,'Loan Tape'!$P141),MAX(IF('Loan Tape'!$Q141="",0,'Loan Tape'!$Q141),INDEX(Idx_Curve,1,5)+'Loan Tape'!$M141)),IF('Loan Tape'!$L141="",0,'Loan Tape'!$L141)))</f>
        <v>0</v>
      </c>
      <c r="H448" s="56" t="n">
        <f aca="false">IF('Loan Tape'!$AN141=0,0,IF('Loan Tape'!$K141="Floating",MIN(IF('Loan Tape'!$P141="",10,'Loan Tape'!$P141),MAX(IF('Loan Tape'!$Q141="",0,'Loan Tape'!$Q141),INDEX(Idx_Curve,1,6)+'Loan Tape'!$M141)),IF('Loan Tape'!$L141="",0,'Loan Tape'!$L141)))</f>
        <v>0</v>
      </c>
      <c r="I448" s="56" t="n">
        <f aca="false">IF('Loan Tape'!$AN141=0,0,IF('Loan Tape'!$K141="Floating",MIN(IF('Loan Tape'!$P141="",10,'Loan Tape'!$P141),MAX(IF('Loan Tape'!$Q141="",0,'Loan Tape'!$Q141),INDEX(Idx_Curve,1,7)+'Loan Tape'!$M141)),IF('Loan Tape'!$L141="",0,'Loan Tape'!$L141)))</f>
        <v>0</v>
      </c>
      <c r="J448" s="56" t="n">
        <f aca="false">IF('Loan Tape'!$AN141=0,0,IF('Loan Tape'!$K141="Floating",MIN(IF('Loan Tape'!$P141="",10,'Loan Tape'!$P141),MAX(IF('Loan Tape'!$Q141="",0,'Loan Tape'!$Q141),INDEX(Idx_Curve,1,8)+'Loan Tape'!$M141)),IF('Loan Tape'!$L141="",0,'Loan Tape'!$L141)))</f>
        <v>0</v>
      </c>
      <c r="K448" s="56" t="n">
        <f aca="false">IF('Loan Tape'!$AN141=0,0,IF('Loan Tape'!$K141="Floating",MIN(IF('Loan Tape'!$P141="",10,'Loan Tape'!$P141),MAX(IF('Loan Tape'!$Q141="",0,'Loan Tape'!$Q141),INDEX(Idx_Curve,1,9)+'Loan Tape'!$M141)),IF('Loan Tape'!$L141="",0,'Loan Tape'!$L141)))</f>
        <v>0</v>
      </c>
      <c r="L448" s="56" t="n">
        <f aca="false">IF('Loan Tape'!$AN141=0,0,IF('Loan Tape'!$K141="Floating",MIN(IF('Loan Tape'!$P141="",10,'Loan Tape'!$P141),MAX(IF('Loan Tape'!$Q141="",0,'Loan Tape'!$Q141),INDEX(Idx_Curve,1,10)+'Loan Tape'!$M141)),IF('Loan Tape'!$L141="",0,'Loan Tape'!$L141)))</f>
        <v>0</v>
      </c>
    </row>
    <row r="449" customFormat="false" ht="15" hidden="false" customHeight="false" outlineLevel="0" collapsed="false">
      <c r="B449" s="102" t="n">
        <f aca="false">'Loan Tape'!$A142</f>
        <v>0</v>
      </c>
      <c r="C449" s="104" t="n">
        <f aca="false">IF('Loan Tape'!$AN142=0,0,IF('Loan Tape'!$K142="Floating",MIN(IF('Loan Tape'!$P142="",10,'Loan Tape'!$P142),MAX(IF('Loan Tape'!$Q142="",0,'Loan Tape'!$Q142),INDEX(Idx_Curve,1,1)+'Loan Tape'!$M142)),IF('Loan Tape'!$L142="",0,'Loan Tape'!$L142)))</f>
        <v>0</v>
      </c>
      <c r="D449" s="104" t="n">
        <f aca="false">IF('Loan Tape'!$AN142=0,0,IF('Loan Tape'!$K142="Floating",MIN(IF('Loan Tape'!$P142="",10,'Loan Tape'!$P142),MAX(IF('Loan Tape'!$Q142="",0,'Loan Tape'!$Q142),INDEX(Idx_Curve,1,2)+'Loan Tape'!$M142)),IF('Loan Tape'!$L142="",0,'Loan Tape'!$L142)))</f>
        <v>0</v>
      </c>
      <c r="E449" s="104" t="n">
        <f aca="false">IF('Loan Tape'!$AN142=0,0,IF('Loan Tape'!$K142="Floating",MIN(IF('Loan Tape'!$P142="",10,'Loan Tape'!$P142),MAX(IF('Loan Tape'!$Q142="",0,'Loan Tape'!$Q142),INDEX(Idx_Curve,1,3)+'Loan Tape'!$M142)),IF('Loan Tape'!$L142="",0,'Loan Tape'!$L142)))</f>
        <v>0</v>
      </c>
      <c r="F449" s="104" t="n">
        <f aca="false">IF('Loan Tape'!$AN142=0,0,IF('Loan Tape'!$K142="Floating",MIN(IF('Loan Tape'!$P142="",10,'Loan Tape'!$P142),MAX(IF('Loan Tape'!$Q142="",0,'Loan Tape'!$Q142),INDEX(Idx_Curve,1,4)+'Loan Tape'!$M142)),IF('Loan Tape'!$L142="",0,'Loan Tape'!$L142)))</f>
        <v>0</v>
      </c>
      <c r="G449" s="104" t="n">
        <f aca="false">IF('Loan Tape'!$AN142=0,0,IF('Loan Tape'!$K142="Floating",MIN(IF('Loan Tape'!$P142="",10,'Loan Tape'!$P142),MAX(IF('Loan Tape'!$Q142="",0,'Loan Tape'!$Q142),INDEX(Idx_Curve,1,5)+'Loan Tape'!$M142)),IF('Loan Tape'!$L142="",0,'Loan Tape'!$L142)))</f>
        <v>0</v>
      </c>
      <c r="H449" s="104" t="n">
        <f aca="false">IF('Loan Tape'!$AN142=0,0,IF('Loan Tape'!$K142="Floating",MIN(IF('Loan Tape'!$P142="",10,'Loan Tape'!$P142),MAX(IF('Loan Tape'!$Q142="",0,'Loan Tape'!$Q142),INDEX(Idx_Curve,1,6)+'Loan Tape'!$M142)),IF('Loan Tape'!$L142="",0,'Loan Tape'!$L142)))</f>
        <v>0</v>
      </c>
      <c r="I449" s="104" t="n">
        <f aca="false">IF('Loan Tape'!$AN142=0,0,IF('Loan Tape'!$K142="Floating",MIN(IF('Loan Tape'!$P142="",10,'Loan Tape'!$P142),MAX(IF('Loan Tape'!$Q142="",0,'Loan Tape'!$Q142),INDEX(Idx_Curve,1,7)+'Loan Tape'!$M142)),IF('Loan Tape'!$L142="",0,'Loan Tape'!$L142)))</f>
        <v>0</v>
      </c>
      <c r="J449" s="104" t="n">
        <f aca="false">IF('Loan Tape'!$AN142=0,0,IF('Loan Tape'!$K142="Floating",MIN(IF('Loan Tape'!$P142="",10,'Loan Tape'!$P142),MAX(IF('Loan Tape'!$Q142="",0,'Loan Tape'!$Q142),INDEX(Idx_Curve,1,8)+'Loan Tape'!$M142)),IF('Loan Tape'!$L142="",0,'Loan Tape'!$L142)))</f>
        <v>0</v>
      </c>
      <c r="K449" s="104" t="n">
        <f aca="false">IF('Loan Tape'!$AN142=0,0,IF('Loan Tape'!$K142="Floating",MIN(IF('Loan Tape'!$P142="",10,'Loan Tape'!$P142),MAX(IF('Loan Tape'!$Q142="",0,'Loan Tape'!$Q142),INDEX(Idx_Curve,1,9)+'Loan Tape'!$M142)),IF('Loan Tape'!$L142="",0,'Loan Tape'!$L142)))</f>
        <v>0</v>
      </c>
      <c r="L449" s="104" t="n">
        <f aca="false">IF('Loan Tape'!$AN142=0,0,IF('Loan Tape'!$K142="Floating",MIN(IF('Loan Tape'!$P142="",10,'Loan Tape'!$P142),MAX(IF('Loan Tape'!$Q142="",0,'Loan Tape'!$Q142),INDEX(Idx_Curve,1,10)+'Loan Tape'!$M142)),IF('Loan Tape'!$L142="",0,'Loan Tape'!$L142)))</f>
        <v>0</v>
      </c>
    </row>
    <row r="450" customFormat="false" ht="15" hidden="false" customHeight="false" outlineLevel="0" collapsed="false">
      <c r="B450" s="108" t="n">
        <f aca="false">'Loan Tape'!$A143</f>
        <v>0</v>
      </c>
      <c r="C450" s="56" t="n">
        <f aca="false">IF('Loan Tape'!$AN143=0,0,IF('Loan Tape'!$K143="Floating",MIN(IF('Loan Tape'!$P143="",10,'Loan Tape'!$P143),MAX(IF('Loan Tape'!$Q143="",0,'Loan Tape'!$Q143),INDEX(Idx_Curve,1,1)+'Loan Tape'!$M143)),IF('Loan Tape'!$L143="",0,'Loan Tape'!$L143)))</f>
        <v>0</v>
      </c>
      <c r="D450" s="56" t="n">
        <f aca="false">IF('Loan Tape'!$AN143=0,0,IF('Loan Tape'!$K143="Floating",MIN(IF('Loan Tape'!$P143="",10,'Loan Tape'!$P143),MAX(IF('Loan Tape'!$Q143="",0,'Loan Tape'!$Q143),INDEX(Idx_Curve,1,2)+'Loan Tape'!$M143)),IF('Loan Tape'!$L143="",0,'Loan Tape'!$L143)))</f>
        <v>0</v>
      </c>
      <c r="E450" s="56" t="n">
        <f aca="false">IF('Loan Tape'!$AN143=0,0,IF('Loan Tape'!$K143="Floating",MIN(IF('Loan Tape'!$P143="",10,'Loan Tape'!$P143),MAX(IF('Loan Tape'!$Q143="",0,'Loan Tape'!$Q143),INDEX(Idx_Curve,1,3)+'Loan Tape'!$M143)),IF('Loan Tape'!$L143="",0,'Loan Tape'!$L143)))</f>
        <v>0</v>
      </c>
      <c r="F450" s="56" t="n">
        <f aca="false">IF('Loan Tape'!$AN143=0,0,IF('Loan Tape'!$K143="Floating",MIN(IF('Loan Tape'!$P143="",10,'Loan Tape'!$P143),MAX(IF('Loan Tape'!$Q143="",0,'Loan Tape'!$Q143),INDEX(Idx_Curve,1,4)+'Loan Tape'!$M143)),IF('Loan Tape'!$L143="",0,'Loan Tape'!$L143)))</f>
        <v>0</v>
      </c>
      <c r="G450" s="56" t="n">
        <f aca="false">IF('Loan Tape'!$AN143=0,0,IF('Loan Tape'!$K143="Floating",MIN(IF('Loan Tape'!$P143="",10,'Loan Tape'!$P143),MAX(IF('Loan Tape'!$Q143="",0,'Loan Tape'!$Q143),INDEX(Idx_Curve,1,5)+'Loan Tape'!$M143)),IF('Loan Tape'!$L143="",0,'Loan Tape'!$L143)))</f>
        <v>0</v>
      </c>
      <c r="H450" s="56" t="n">
        <f aca="false">IF('Loan Tape'!$AN143=0,0,IF('Loan Tape'!$K143="Floating",MIN(IF('Loan Tape'!$P143="",10,'Loan Tape'!$P143),MAX(IF('Loan Tape'!$Q143="",0,'Loan Tape'!$Q143),INDEX(Idx_Curve,1,6)+'Loan Tape'!$M143)),IF('Loan Tape'!$L143="",0,'Loan Tape'!$L143)))</f>
        <v>0</v>
      </c>
      <c r="I450" s="56" t="n">
        <f aca="false">IF('Loan Tape'!$AN143=0,0,IF('Loan Tape'!$K143="Floating",MIN(IF('Loan Tape'!$P143="",10,'Loan Tape'!$P143),MAX(IF('Loan Tape'!$Q143="",0,'Loan Tape'!$Q143),INDEX(Idx_Curve,1,7)+'Loan Tape'!$M143)),IF('Loan Tape'!$L143="",0,'Loan Tape'!$L143)))</f>
        <v>0</v>
      </c>
      <c r="J450" s="56" t="n">
        <f aca="false">IF('Loan Tape'!$AN143=0,0,IF('Loan Tape'!$K143="Floating",MIN(IF('Loan Tape'!$P143="",10,'Loan Tape'!$P143),MAX(IF('Loan Tape'!$Q143="",0,'Loan Tape'!$Q143),INDEX(Idx_Curve,1,8)+'Loan Tape'!$M143)),IF('Loan Tape'!$L143="",0,'Loan Tape'!$L143)))</f>
        <v>0</v>
      </c>
      <c r="K450" s="56" t="n">
        <f aca="false">IF('Loan Tape'!$AN143=0,0,IF('Loan Tape'!$K143="Floating",MIN(IF('Loan Tape'!$P143="",10,'Loan Tape'!$P143),MAX(IF('Loan Tape'!$Q143="",0,'Loan Tape'!$Q143),INDEX(Idx_Curve,1,9)+'Loan Tape'!$M143)),IF('Loan Tape'!$L143="",0,'Loan Tape'!$L143)))</f>
        <v>0</v>
      </c>
      <c r="L450" s="56" t="n">
        <f aca="false">IF('Loan Tape'!$AN143=0,0,IF('Loan Tape'!$K143="Floating",MIN(IF('Loan Tape'!$P143="",10,'Loan Tape'!$P143),MAX(IF('Loan Tape'!$Q143="",0,'Loan Tape'!$Q143),INDEX(Idx_Curve,1,10)+'Loan Tape'!$M143)),IF('Loan Tape'!$L143="",0,'Loan Tape'!$L143)))</f>
        <v>0</v>
      </c>
    </row>
    <row r="451" customFormat="false" ht="15" hidden="false" customHeight="false" outlineLevel="0" collapsed="false">
      <c r="B451" s="102" t="n">
        <f aca="false">'Loan Tape'!$A144</f>
        <v>0</v>
      </c>
      <c r="C451" s="104" t="n">
        <f aca="false">IF('Loan Tape'!$AN144=0,0,IF('Loan Tape'!$K144="Floating",MIN(IF('Loan Tape'!$P144="",10,'Loan Tape'!$P144),MAX(IF('Loan Tape'!$Q144="",0,'Loan Tape'!$Q144),INDEX(Idx_Curve,1,1)+'Loan Tape'!$M144)),IF('Loan Tape'!$L144="",0,'Loan Tape'!$L144)))</f>
        <v>0</v>
      </c>
      <c r="D451" s="104" t="n">
        <f aca="false">IF('Loan Tape'!$AN144=0,0,IF('Loan Tape'!$K144="Floating",MIN(IF('Loan Tape'!$P144="",10,'Loan Tape'!$P144),MAX(IF('Loan Tape'!$Q144="",0,'Loan Tape'!$Q144),INDEX(Idx_Curve,1,2)+'Loan Tape'!$M144)),IF('Loan Tape'!$L144="",0,'Loan Tape'!$L144)))</f>
        <v>0</v>
      </c>
      <c r="E451" s="104" t="n">
        <f aca="false">IF('Loan Tape'!$AN144=0,0,IF('Loan Tape'!$K144="Floating",MIN(IF('Loan Tape'!$P144="",10,'Loan Tape'!$P144),MAX(IF('Loan Tape'!$Q144="",0,'Loan Tape'!$Q144),INDEX(Idx_Curve,1,3)+'Loan Tape'!$M144)),IF('Loan Tape'!$L144="",0,'Loan Tape'!$L144)))</f>
        <v>0</v>
      </c>
      <c r="F451" s="104" t="n">
        <f aca="false">IF('Loan Tape'!$AN144=0,0,IF('Loan Tape'!$K144="Floating",MIN(IF('Loan Tape'!$P144="",10,'Loan Tape'!$P144),MAX(IF('Loan Tape'!$Q144="",0,'Loan Tape'!$Q144),INDEX(Idx_Curve,1,4)+'Loan Tape'!$M144)),IF('Loan Tape'!$L144="",0,'Loan Tape'!$L144)))</f>
        <v>0</v>
      </c>
      <c r="G451" s="104" t="n">
        <f aca="false">IF('Loan Tape'!$AN144=0,0,IF('Loan Tape'!$K144="Floating",MIN(IF('Loan Tape'!$P144="",10,'Loan Tape'!$P144),MAX(IF('Loan Tape'!$Q144="",0,'Loan Tape'!$Q144),INDEX(Idx_Curve,1,5)+'Loan Tape'!$M144)),IF('Loan Tape'!$L144="",0,'Loan Tape'!$L144)))</f>
        <v>0</v>
      </c>
      <c r="H451" s="104" t="n">
        <f aca="false">IF('Loan Tape'!$AN144=0,0,IF('Loan Tape'!$K144="Floating",MIN(IF('Loan Tape'!$P144="",10,'Loan Tape'!$P144),MAX(IF('Loan Tape'!$Q144="",0,'Loan Tape'!$Q144),INDEX(Idx_Curve,1,6)+'Loan Tape'!$M144)),IF('Loan Tape'!$L144="",0,'Loan Tape'!$L144)))</f>
        <v>0</v>
      </c>
      <c r="I451" s="104" t="n">
        <f aca="false">IF('Loan Tape'!$AN144=0,0,IF('Loan Tape'!$K144="Floating",MIN(IF('Loan Tape'!$P144="",10,'Loan Tape'!$P144),MAX(IF('Loan Tape'!$Q144="",0,'Loan Tape'!$Q144),INDEX(Idx_Curve,1,7)+'Loan Tape'!$M144)),IF('Loan Tape'!$L144="",0,'Loan Tape'!$L144)))</f>
        <v>0</v>
      </c>
      <c r="J451" s="104" t="n">
        <f aca="false">IF('Loan Tape'!$AN144=0,0,IF('Loan Tape'!$K144="Floating",MIN(IF('Loan Tape'!$P144="",10,'Loan Tape'!$P144),MAX(IF('Loan Tape'!$Q144="",0,'Loan Tape'!$Q144),INDEX(Idx_Curve,1,8)+'Loan Tape'!$M144)),IF('Loan Tape'!$L144="",0,'Loan Tape'!$L144)))</f>
        <v>0</v>
      </c>
      <c r="K451" s="104" t="n">
        <f aca="false">IF('Loan Tape'!$AN144=0,0,IF('Loan Tape'!$K144="Floating",MIN(IF('Loan Tape'!$P144="",10,'Loan Tape'!$P144),MAX(IF('Loan Tape'!$Q144="",0,'Loan Tape'!$Q144),INDEX(Idx_Curve,1,9)+'Loan Tape'!$M144)),IF('Loan Tape'!$L144="",0,'Loan Tape'!$L144)))</f>
        <v>0</v>
      </c>
      <c r="L451" s="104" t="n">
        <f aca="false">IF('Loan Tape'!$AN144=0,0,IF('Loan Tape'!$K144="Floating",MIN(IF('Loan Tape'!$P144="",10,'Loan Tape'!$P144),MAX(IF('Loan Tape'!$Q144="",0,'Loan Tape'!$Q144),INDEX(Idx_Curve,1,10)+'Loan Tape'!$M144)),IF('Loan Tape'!$L144="",0,'Loan Tape'!$L144)))</f>
        <v>0</v>
      </c>
    </row>
    <row r="452" customFormat="false" ht="15" hidden="false" customHeight="false" outlineLevel="0" collapsed="false">
      <c r="B452" s="108" t="n">
        <f aca="false">'Loan Tape'!$A145</f>
        <v>0</v>
      </c>
      <c r="C452" s="56" t="n">
        <f aca="false">IF('Loan Tape'!$AN145=0,0,IF('Loan Tape'!$K145="Floating",MIN(IF('Loan Tape'!$P145="",10,'Loan Tape'!$P145),MAX(IF('Loan Tape'!$Q145="",0,'Loan Tape'!$Q145),INDEX(Idx_Curve,1,1)+'Loan Tape'!$M145)),IF('Loan Tape'!$L145="",0,'Loan Tape'!$L145)))</f>
        <v>0</v>
      </c>
      <c r="D452" s="56" t="n">
        <f aca="false">IF('Loan Tape'!$AN145=0,0,IF('Loan Tape'!$K145="Floating",MIN(IF('Loan Tape'!$P145="",10,'Loan Tape'!$P145),MAX(IF('Loan Tape'!$Q145="",0,'Loan Tape'!$Q145),INDEX(Idx_Curve,1,2)+'Loan Tape'!$M145)),IF('Loan Tape'!$L145="",0,'Loan Tape'!$L145)))</f>
        <v>0</v>
      </c>
      <c r="E452" s="56" t="n">
        <f aca="false">IF('Loan Tape'!$AN145=0,0,IF('Loan Tape'!$K145="Floating",MIN(IF('Loan Tape'!$P145="",10,'Loan Tape'!$P145),MAX(IF('Loan Tape'!$Q145="",0,'Loan Tape'!$Q145),INDEX(Idx_Curve,1,3)+'Loan Tape'!$M145)),IF('Loan Tape'!$L145="",0,'Loan Tape'!$L145)))</f>
        <v>0</v>
      </c>
      <c r="F452" s="56" t="n">
        <f aca="false">IF('Loan Tape'!$AN145=0,0,IF('Loan Tape'!$K145="Floating",MIN(IF('Loan Tape'!$P145="",10,'Loan Tape'!$P145),MAX(IF('Loan Tape'!$Q145="",0,'Loan Tape'!$Q145),INDEX(Idx_Curve,1,4)+'Loan Tape'!$M145)),IF('Loan Tape'!$L145="",0,'Loan Tape'!$L145)))</f>
        <v>0</v>
      </c>
      <c r="G452" s="56" t="n">
        <f aca="false">IF('Loan Tape'!$AN145=0,0,IF('Loan Tape'!$K145="Floating",MIN(IF('Loan Tape'!$P145="",10,'Loan Tape'!$P145),MAX(IF('Loan Tape'!$Q145="",0,'Loan Tape'!$Q145),INDEX(Idx_Curve,1,5)+'Loan Tape'!$M145)),IF('Loan Tape'!$L145="",0,'Loan Tape'!$L145)))</f>
        <v>0</v>
      </c>
      <c r="H452" s="56" t="n">
        <f aca="false">IF('Loan Tape'!$AN145=0,0,IF('Loan Tape'!$K145="Floating",MIN(IF('Loan Tape'!$P145="",10,'Loan Tape'!$P145),MAX(IF('Loan Tape'!$Q145="",0,'Loan Tape'!$Q145),INDEX(Idx_Curve,1,6)+'Loan Tape'!$M145)),IF('Loan Tape'!$L145="",0,'Loan Tape'!$L145)))</f>
        <v>0</v>
      </c>
      <c r="I452" s="56" t="n">
        <f aca="false">IF('Loan Tape'!$AN145=0,0,IF('Loan Tape'!$K145="Floating",MIN(IF('Loan Tape'!$P145="",10,'Loan Tape'!$P145),MAX(IF('Loan Tape'!$Q145="",0,'Loan Tape'!$Q145),INDEX(Idx_Curve,1,7)+'Loan Tape'!$M145)),IF('Loan Tape'!$L145="",0,'Loan Tape'!$L145)))</f>
        <v>0</v>
      </c>
      <c r="J452" s="56" t="n">
        <f aca="false">IF('Loan Tape'!$AN145=0,0,IF('Loan Tape'!$K145="Floating",MIN(IF('Loan Tape'!$P145="",10,'Loan Tape'!$P145),MAX(IF('Loan Tape'!$Q145="",0,'Loan Tape'!$Q145),INDEX(Idx_Curve,1,8)+'Loan Tape'!$M145)),IF('Loan Tape'!$L145="",0,'Loan Tape'!$L145)))</f>
        <v>0</v>
      </c>
      <c r="K452" s="56" t="n">
        <f aca="false">IF('Loan Tape'!$AN145=0,0,IF('Loan Tape'!$K145="Floating",MIN(IF('Loan Tape'!$P145="",10,'Loan Tape'!$P145),MAX(IF('Loan Tape'!$Q145="",0,'Loan Tape'!$Q145),INDEX(Idx_Curve,1,9)+'Loan Tape'!$M145)),IF('Loan Tape'!$L145="",0,'Loan Tape'!$L145)))</f>
        <v>0</v>
      </c>
      <c r="L452" s="56" t="n">
        <f aca="false">IF('Loan Tape'!$AN145=0,0,IF('Loan Tape'!$K145="Floating",MIN(IF('Loan Tape'!$P145="",10,'Loan Tape'!$P145),MAX(IF('Loan Tape'!$Q145="",0,'Loan Tape'!$Q145),INDEX(Idx_Curve,1,10)+'Loan Tape'!$M145)),IF('Loan Tape'!$L145="",0,'Loan Tape'!$L145)))</f>
        <v>0</v>
      </c>
    </row>
    <row r="453" customFormat="false" ht="15" hidden="false" customHeight="false" outlineLevel="0" collapsed="false">
      <c r="B453" s="102" t="n">
        <f aca="false">'Loan Tape'!$A146</f>
        <v>0</v>
      </c>
      <c r="C453" s="104" t="n">
        <f aca="false">IF('Loan Tape'!$AN146=0,0,IF('Loan Tape'!$K146="Floating",MIN(IF('Loan Tape'!$P146="",10,'Loan Tape'!$P146),MAX(IF('Loan Tape'!$Q146="",0,'Loan Tape'!$Q146),INDEX(Idx_Curve,1,1)+'Loan Tape'!$M146)),IF('Loan Tape'!$L146="",0,'Loan Tape'!$L146)))</f>
        <v>0</v>
      </c>
      <c r="D453" s="104" t="n">
        <f aca="false">IF('Loan Tape'!$AN146=0,0,IF('Loan Tape'!$K146="Floating",MIN(IF('Loan Tape'!$P146="",10,'Loan Tape'!$P146),MAX(IF('Loan Tape'!$Q146="",0,'Loan Tape'!$Q146),INDEX(Idx_Curve,1,2)+'Loan Tape'!$M146)),IF('Loan Tape'!$L146="",0,'Loan Tape'!$L146)))</f>
        <v>0</v>
      </c>
      <c r="E453" s="104" t="n">
        <f aca="false">IF('Loan Tape'!$AN146=0,0,IF('Loan Tape'!$K146="Floating",MIN(IF('Loan Tape'!$P146="",10,'Loan Tape'!$P146),MAX(IF('Loan Tape'!$Q146="",0,'Loan Tape'!$Q146),INDEX(Idx_Curve,1,3)+'Loan Tape'!$M146)),IF('Loan Tape'!$L146="",0,'Loan Tape'!$L146)))</f>
        <v>0</v>
      </c>
      <c r="F453" s="104" t="n">
        <f aca="false">IF('Loan Tape'!$AN146=0,0,IF('Loan Tape'!$K146="Floating",MIN(IF('Loan Tape'!$P146="",10,'Loan Tape'!$P146),MAX(IF('Loan Tape'!$Q146="",0,'Loan Tape'!$Q146),INDEX(Idx_Curve,1,4)+'Loan Tape'!$M146)),IF('Loan Tape'!$L146="",0,'Loan Tape'!$L146)))</f>
        <v>0</v>
      </c>
      <c r="G453" s="104" t="n">
        <f aca="false">IF('Loan Tape'!$AN146=0,0,IF('Loan Tape'!$K146="Floating",MIN(IF('Loan Tape'!$P146="",10,'Loan Tape'!$P146),MAX(IF('Loan Tape'!$Q146="",0,'Loan Tape'!$Q146),INDEX(Idx_Curve,1,5)+'Loan Tape'!$M146)),IF('Loan Tape'!$L146="",0,'Loan Tape'!$L146)))</f>
        <v>0</v>
      </c>
      <c r="H453" s="104" t="n">
        <f aca="false">IF('Loan Tape'!$AN146=0,0,IF('Loan Tape'!$K146="Floating",MIN(IF('Loan Tape'!$P146="",10,'Loan Tape'!$P146),MAX(IF('Loan Tape'!$Q146="",0,'Loan Tape'!$Q146),INDEX(Idx_Curve,1,6)+'Loan Tape'!$M146)),IF('Loan Tape'!$L146="",0,'Loan Tape'!$L146)))</f>
        <v>0</v>
      </c>
      <c r="I453" s="104" t="n">
        <f aca="false">IF('Loan Tape'!$AN146=0,0,IF('Loan Tape'!$K146="Floating",MIN(IF('Loan Tape'!$P146="",10,'Loan Tape'!$P146),MAX(IF('Loan Tape'!$Q146="",0,'Loan Tape'!$Q146),INDEX(Idx_Curve,1,7)+'Loan Tape'!$M146)),IF('Loan Tape'!$L146="",0,'Loan Tape'!$L146)))</f>
        <v>0</v>
      </c>
      <c r="J453" s="104" t="n">
        <f aca="false">IF('Loan Tape'!$AN146=0,0,IF('Loan Tape'!$K146="Floating",MIN(IF('Loan Tape'!$P146="",10,'Loan Tape'!$P146),MAX(IF('Loan Tape'!$Q146="",0,'Loan Tape'!$Q146),INDEX(Idx_Curve,1,8)+'Loan Tape'!$M146)),IF('Loan Tape'!$L146="",0,'Loan Tape'!$L146)))</f>
        <v>0</v>
      </c>
      <c r="K453" s="104" t="n">
        <f aca="false">IF('Loan Tape'!$AN146=0,0,IF('Loan Tape'!$K146="Floating",MIN(IF('Loan Tape'!$P146="",10,'Loan Tape'!$P146),MAX(IF('Loan Tape'!$Q146="",0,'Loan Tape'!$Q146),INDEX(Idx_Curve,1,9)+'Loan Tape'!$M146)),IF('Loan Tape'!$L146="",0,'Loan Tape'!$L146)))</f>
        <v>0</v>
      </c>
      <c r="L453" s="104" t="n">
        <f aca="false">IF('Loan Tape'!$AN146=0,0,IF('Loan Tape'!$K146="Floating",MIN(IF('Loan Tape'!$P146="",10,'Loan Tape'!$P146),MAX(IF('Loan Tape'!$Q146="",0,'Loan Tape'!$Q146),INDEX(Idx_Curve,1,10)+'Loan Tape'!$M146)),IF('Loan Tape'!$L146="",0,'Loan Tape'!$L146)))</f>
        <v>0</v>
      </c>
    </row>
    <row r="454" customFormat="false" ht="15" hidden="false" customHeight="false" outlineLevel="0" collapsed="false">
      <c r="B454" s="108" t="n">
        <f aca="false">'Loan Tape'!$A147</f>
        <v>0</v>
      </c>
      <c r="C454" s="56" t="n">
        <f aca="false">IF('Loan Tape'!$AN147=0,0,IF('Loan Tape'!$K147="Floating",MIN(IF('Loan Tape'!$P147="",10,'Loan Tape'!$P147),MAX(IF('Loan Tape'!$Q147="",0,'Loan Tape'!$Q147),INDEX(Idx_Curve,1,1)+'Loan Tape'!$M147)),IF('Loan Tape'!$L147="",0,'Loan Tape'!$L147)))</f>
        <v>0</v>
      </c>
      <c r="D454" s="56" t="n">
        <f aca="false">IF('Loan Tape'!$AN147=0,0,IF('Loan Tape'!$K147="Floating",MIN(IF('Loan Tape'!$P147="",10,'Loan Tape'!$P147),MAX(IF('Loan Tape'!$Q147="",0,'Loan Tape'!$Q147),INDEX(Idx_Curve,1,2)+'Loan Tape'!$M147)),IF('Loan Tape'!$L147="",0,'Loan Tape'!$L147)))</f>
        <v>0</v>
      </c>
      <c r="E454" s="56" t="n">
        <f aca="false">IF('Loan Tape'!$AN147=0,0,IF('Loan Tape'!$K147="Floating",MIN(IF('Loan Tape'!$P147="",10,'Loan Tape'!$P147),MAX(IF('Loan Tape'!$Q147="",0,'Loan Tape'!$Q147),INDEX(Idx_Curve,1,3)+'Loan Tape'!$M147)),IF('Loan Tape'!$L147="",0,'Loan Tape'!$L147)))</f>
        <v>0</v>
      </c>
      <c r="F454" s="56" t="n">
        <f aca="false">IF('Loan Tape'!$AN147=0,0,IF('Loan Tape'!$K147="Floating",MIN(IF('Loan Tape'!$P147="",10,'Loan Tape'!$P147),MAX(IF('Loan Tape'!$Q147="",0,'Loan Tape'!$Q147),INDEX(Idx_Curve,1,4)+'Loan Tape'!$M147)),IF('Loan Tape'!$L147="",0,'Loan Tape'!$L147)))</f>
        <v>0</v>
      </c>
      <c r="G454" s="56" t="n">
        <f aca="false">IF('Loan Tape'!$AN147=0,0,IF('Loan Tape'!$K147="Floating",MIN(IF('Loan Tape'!$P147="",10,'Loan Tape'!$P147),MAX(IF('Loan Tape'!$Q147="",0,'Loan Tape'!$Q147),INDEX(Idx_Curve,1,5)+'Loan Tape'!$M147)),IF('Loan Tape'!$L147="",0,'Loan Tape'!$L147)))</f>
        <v>0</v>
      </c>
      <c r="H454" s="56" t="n">
        <f aca="false">IF('Loan Tape'!$AN147=0,0,IF('Loan Tape'!$K147="Floating",MIN(IF('Loan Tape'!$P147="",10,'Loan Tape'!$P147),MAX(IF('Loan Tape'!$Q147="",0,'Loan Tape'!$Q147),INDEX(Idx_Curve,1,6)+'Loan Tape'!$M147)),IF('Loan Tape'!$L147="",0,'Loan Tape'!$L147)))</f>
        <v>0</v>
      </c>
      <c r="I454" s="56" t="n">
        <f aca="false">IF('Loan Tape'!$AN147=0,0,IF('Loan Tape'!$K147="Floating",MIN(IF('Loan Tape'!$P147="",10,'Loan Tape'!$P147),MAX(IF('Loan Tape'!$Q147="",0,'Loan Tape'!$Q147),INDEX(Idx_Curve,1,7)+'Loan Tape'!$M147)),IF('Loan Tape'!$L147="",0,'Loan Tape'!$L147)))</f>
        <v>0</v>
      </c>
      <c r="J454" s="56" t="n">
        <f aca="false">IF('Loan Tape'!$AN147=0,0,IF('Loan Tape'!$K147="Floating",MIN(IF('Loan Tape'!$P147="",10,'Loan Tape'!$P147),MAX(IF('Loan Tape'!$Q147="",0,'Loan Tape'!$Q147),INDEX(Idx_Curve,1,8)+'Loan Tape'!$M147)),IF('Loan Tape'!$L147="",0,'Loan Tape'!$L147)))</f>
        <v>0</v>
      </c>
      <c r="K454" s="56" t="n">
        <f aca="false">IF('Loan Tape'!$AN147=0,0,IF('Loan Tape'!$K147="Floating",MIN(IF('Loan Tape'!$P147="",10,'Loan Tape'!$P147),MAX(IF('Loan Tape'!$Q147="",0,'Loan Tape'!$Q147),INDEX(Idx_Curve,1,9)+'Loan Tape'!$M147)),IF('Loan Tape'!$L147="",0,'Loan Tape'!$L147)))</f>
        <v>0</v>
      </c>
      <c r="L454" s="56" t="n">
        <f aca="false">IF('Loan Tape'!$AN147=0,0,IF('Loan Tape'!$K147="Floating",MIN(IF('Loan Tape'!$P147="",10,'Loan Tape'!$P147),MAX(IF('Loan Tape'!$Q147="",0,'Loan Tape'!$Q147),INDEX(Idx_Curve,1,10)+'Loan Tape'!$M147)),IF('Loan Tape'!$L147="",0,'Loan Tape'!$L147)))</f>
        <v>0</v>
      </c>
    </row>
    <row r="455" customFormat="false" ht="15" hidden="false" customHeight="false" outlineLevel="0" collapsed="false">
      <c r="B455" s="102" t="n">
        <f aca="false">'Loan Tape'!$A148</f>
        <v>0</v>
      </c>
      <c r="C455" s="104" t="n">
        <f aca="false">IF('Loan Tape'!$AN148=0,0,IF('Loan Tape'!$K148="Floating",MIN(IF('Loan Tape'!$P148="",10,'Loan Tape'!$P148),MAX(IF('Loan Tape'!$Q148="",0,'Loan Tape'!$Q148),INDEX(Idx_Curve,1,1)+'Loan Tape'!$M148)),IF('Loan Tape'!$L148="",0,'Loan Tape'!$L148)))</f>
        <v>0</v>
      </c>
      <c r="D455" s="104" t="n">
        <f aca="false">IF('Loan Tape'!$AN148=0,0,IF('Loan Tape'!$K148="Floating",MIN(IF('Loan Tape'!$P148="",10,'Loan Tape'!$P148),MAX(IF('Loan Tape'!$Q148="",0,'Loan Tape'!$Q148),INDEX(Idx_Curve,1,2)+'Loan Tape'!$M148)),IF('Loan Tape'!$L148="",0,'Loan Tape'!$L148)))</f>
        <v>0</v>
      </c>
      <c r="E455" s="104" t="n">
        <f aca="false">IF('Loan Tape'!$AN148=0,0,IF('Loan Tape'!$K148="Floating",MIN(IF('Loan Tape'!$P148="",10,'Loan Tape'!$P148),MAX(IF('Loan Tape'!$Q148="",0,'Loan Tape'!$Q148),INDEX(Idx_Curve,1,3)+'Loan Tape'!$M148)),IF('Loan Tape'!$L148="",0,'Loan Tape'!$L148)))</f>
        <v>0</v>
      </c>
      <c r="F455" s="104" t="n">
        <f aca="false">IF('Loan Tape'!$AN148=0,0,IF('Loan Tape'!$K148="Floating",MIN(IF('Loan Tape'!$P148="",10,'Loan Tape'!$P148),MAX(IF('Loan Tape'!$Q148="",0,'Loan Tape'!$Q148),INDEX(Idx_Curve,1,4)+'Loan Tape'!$M148)),IF('Loan Tape'!$L148="",0,'Loan Tape'!$L148)))</f>
        <v>0</v>
      </c>
      <c r="G455" s="104" t="n">
        <f aca="false">IF('Loan Tape'!$AN148=0,0,IF('Loan Tape'!$K148="Floating",MIN(IF('Loan Tape'!$P148="",10,'Loan Tape'!$P148),MAX(IF('Loan Tape'!$Q148="",0,'Loan Tape'!$Q148),INDEX(Idx_Curve,1,5)+'Loan Tape'!$M148)),IF('Loan Tape'!$L148="",0,'Loan Tape'!$L148)))</f>
        <v>0</v>
      </c>
      <c r="H455" s="104" t="n">
        <f aca="false">IF('Loan Tape'!$AN148=0,0,IF('Loan Tape'!$K148="Floating",MIN(IF('Loan Tape'!$P148="",10,'Loan Tape'!$P148),MAX(IF('Loan Tape'!$Q148="",0,'Loan Tape'!$Q148),INDEX(Idx_Curve,1,6)+'Loan Tape'!$M148)),IF('Loan Tape'!$L148="",0,'Loan Tape'!$L148)))</f>
        <v>0</v>
      </c>
      <c r="I455" s="104" t="n">
        <f aca="false">IF('Loan Tape'!$AN148=0,0,IF('Loan Tape'!$K148="Floating",MIN(IF('Loan Tape'!$P148="",10,'Loan Tape'!$P148),MAX(IF('Loan Tape'!$Q148="",0,'Loan Tape'!$Q148),INDEX(Idx_Curve,1,7)+'Loan Tape'!$M148)),IF('Loan Tape'!$L148="",0,'Loan Tape'!$L148)))</f>
        <v>0</v>
      </c>
      <c r="J455" s="104" t="n">
        <f aca="false">IF('Loan Tape'!$AN148=0,0,IF('Loan Tape'!$K148="Floating",MIN(IF('Loan Tape'!$P148="",10,'Loan Tape'!$P148),MAX(IF('Loan Tape'!$Q148="",0,'Loan Tape'!$Q148),INDEX(Idx_Curve,1,8)+'Loan Tape'!$M148)),IF('Loan Tape'!$L148="",0,'Loan Tape'!$L148)))</f>
        <v>0</v>
      </c>
      <c r="K455" s="104" t="n">
        <f aca="false">IF('Loan Tape'!$AN148=0,0,IF('Loan Tape'!$K148="Floating",MIN(IF('Loan Tape'!$P148="",10,'Loan Tape'!$P148),MAX(IF('Loan Tape'!$Q148="",0,'Loan Tape'!$Q148),INDEX(Idx_Curve,1,9)+'Loan Tape'!$M148)),IF('Loan Tape'!$L148="",0,'Loan Tape'!$L148)))</f>
        <v>0</v>
      </c>
      <c r="L455" s="104" t="n">
        <f aca="false">IF('Loan Tape'!$AN148=0,0,IF('Loan Tape'!$K148="Floating",MIN(IF('Loan Tape'!$P148="",10,'Loan Tape'!$P148),MAX(IF('Loan Tape'!$Q148="",0,'Loan Tape'!$Q148),INDEX(Idx_Curve,1,10)+'Loan Tape'!$M148)),IF('Loan Tape'!$L148="",0,'Loan Tape'!$L148)))</f>
        <v>0</v>
      </c>
    </row>
    <row r="456" customFormat="false" ht="15" hidden="false" customHeight="false" outlineLevel="0" collapsed="false">
      <c r="B456" s="108" t="n">
        <f aca="false">'Loan Tape'!$A149</f>
        <v>0</v>
      </c>
      <c r="C456" s="56" t="n">
        <f aca="false">IF('Loan Tape'!$AN149=0,0,IF('Loan Tape'!$K149="Floating",MIN(IF('Loan Tape'!$P149="",10,'Loan Tape'!$P149),MAX(IF('Loan Tape'!$Q149="",0,'Loan Tape'!$Q149),INDEX(Idx_Curve,1,1)+'Loan Tape'!$M149)),IF('Loan Tape'!$L149="",0,'Loan Tape'!$L149)))</f>
        <v>0</v>
      </c>
      <c r="D456" s="56" t="n">
        <f aca="false">IF('Loan Tape'!$AN149=0,0,IF('Loan Tape'!$K149="Floating",MIN(IF('Loan Tape'!$P149="",10,'Loan Tape'!$P149),MAX(IF('Loan Tape'!$Q149="",0,'Loan Tape'!$Q149),INDEX(Idx_Curve,1,2)+'Loan Tape'!$M149)),IF('Loan Tape'!$L149="",0,'Loan Tape'!$L149)))</f>
        <v>0</v>
      </c>
      <c r="E456" s="56" t="n">
        <f aca="false">IF('Loan Tape'!$AN149=0,0,IF('Loan Tape'!$K149="Floating",MIN(IF('Loan Tape'!$P149="",10,'Loan Tape'!$P149),MAX(IF('Loan Tape'!$Q149="",0,'Loan Tape'!$Q149),INDEX(Idx_Curve,1,3)+'Loan Tape'!$M149)),IF('Loan Tape'!$L149="",0,'Loan Tape'!$L149)))</f>
        <v>0</v>
      </c>
      <c r="F456" s="56" t="n">
        <f aca="false">IF('Loan Tape'!$AN149=0,0,IF('Loan Tape'!$K149="Floating",MIN(IF('Loan Tape'!$P149="",10,'Loan Tape'!$P149),MAX(IF('Loan Tape'!$Q149="",0,'Loan Tape'!$Q149),INDEX(Idx_Curve,1,4)+'Loan Tape'!$M149)),IF('Loan Tape'!$L149="",0,'Loan Tape'!$L149)))</f>
        <v>0</v>
      </c>
      <c r="G456" s="56" t="n">
        <f aca="false">IF('Loan Tape'!$AN149=0,0,IF('Loan Tape'!$K149="Floating",MIN(IF('Loan Tape'!$P149="",10,'Loan Tape'!$P149),MAX(IF('Loan Tape'!$Q149="",0,'Loan Tape'!$Q149),INDEX(Idx_Curve,1,5)+'Loan Tape'!$M149)),IF('Loan Tape'!$L149="",0,'Loan Tape'!$L149)))</f>
        <v>0</v>
      </c>
      <c r="H456" s="56" t="n">
        <f aca="false">IF('Loan Tape'!$AN149=0,0,IF('Loan Tape'!$K149="Floating",MIN(IF('Loan Tape'!$P149="",10,'Loan Tape'!$P149),MAX(IF('Loan Tape'!$Q149="",0,'Loan Tape'!$Q149),INDEX(Idx_Curve,1,6)+'Loan Tape'!$M149)),IF('Loan Tape'!$L149="",0,'Loan Tape'!$L149)))</f>
        <v>0</v>
      </c>
      <c r="I456" s="56" t="n">
        <f aca="false">IF('Loan Tape'!$AN149=0,0,IF('Loan Tape'!$K149="Floating",MIN(IF('Loan Tape'!$P149="",10,'Loan Tape'!$P149),MAX(IF('Loan Tape'!$Q149="",0,'Loan Tape'!$Q149),INDEX(Idx_Curve,1,7)+'Loan Tape'!$M149)),IF('Loan Tape'!$L149="",0,'Loan Tape'!$L149)))</f>
        <v>0</v>
      </c>
      <c r="J456" s="56" t="n">
        <f aca="false">IF('Loan Tape'!$AN149=0,0,IF('Loan Tape'!$K149="Floating",MIN(IF('Loan Tape'!$P149="",10,'Loan Tape'!$P149),MAX(IF('Loan Tape'!$Q149="",0,'Loan Tape'!$Q149),INDEX(Idx_Curve,1,8)+'Loan Tape'!$M149)),IF('Loan Tape'!$L149="",0,'Loan Tape'!$L149)))</f>
        <v>0</v>
      </c>
      <c r="K456" s="56" t="n">
        <f aca="false">IF('Loan Tape'!$AN149=0,0,IF('Loan Tape'!$K149="Floating",MIN(IF('Loan Tape'!$P149="",10,'Loan Tape'!$P149),MAX(IF('Loan Tape'!$Q149="",0,'Loan Tape'!$Q149),INDEX(Idx_Curve,1,9)+'Loan Tape'!$M149)),IF('Loan Tape'!$L149="",0,'Loan Tape'!$L149)))</f>
        <v>0</v>
      </c>
      <c r="L456" s="56" t="n">
        <f aca="false">IF('Loan Tape'!$AN149=0,0,IF('Loan Tape'!$K149="Floating",MIN(IF('Loan Tape'!$P149="",10,'Loan Tape'!$P149),MAX(IF('Loan Tape'!$Q149="",0,'Loan Tape'!$Q149),INDEX(Idx_Curve,1,10)+'Loan Tape'!$M149)),IF('Loan Tape'!$L149="",0,'Loan Tape'!$L149)))</f>
        <v>0</v>
      </c>
    </row>
    <row r="457" customFormat="false" ht="15" hidden="false" customHeight="false" outlineLevel="0" collapsed="false">
      <c r="B457" s="102" t="n">
        <f aca="false">'Loan Tape'!$A150</f>
        <v>0</v>
      </c>
      <c r="C457" s="104" t="n">
        <f aca="false">IF('Loan Tape'!$AN150=0,0,IF('Loan Tape'!$K150="Floating",MIN(IF('Loan Tape'!$P150="",10,'Loan Tape'!$P150),MAX(IF('Loan Tape'!$Q150="",0,'Loan Tape'!$Q150),INDEX(Idx_Curve,1,1)+'Loan Tape'!$M150)),IF('Loan Tape'!$L150="",0,'Loan Tape'!$L150)))</f>
        <v>0</v>
      </c>
      <c r="D457" s="104" t="n">
        <f aca="false">IF('Loan Tape'!$AN150=0,0,IF('Loan Tape'!$K150="Floating",MIN(IF('Loan Tape'!$P150="",10,'Loan Tape'!$P150),MAX(IF('Loan Tape'!$Q150="",0,'Loan Tape'!$Q150),INDEX(Idx_Curve,1,2)+'Loan Tape'!$M150)),IF('Loan Tape'!$L150="",0,'Loan Tape'!$L150)))</f>
        <v>0</v>
      </c>
      <c r="E457" s="104" t="n">
        <f aca="false">IF('Loan Tape'!$AN150=0,0,IF('Loan Tape'!$K150="Floating",MIN(IF('Loan Tape'!$P150="",10,'Loan Tape'!$P150),MAX(IF('Loan Tape'!$Q150="",0,'Loan Tape'!$Q150),INDEX(Idx_Curve,1,3)+'Loan Tape'!$M150)),IF('Loan Tape'!$L150="",0,'Loan Tape'!$L150)))</f>
        <v>0</v>
      </c>
      <c r="F457" s="104" t="n">
        <f aca="false">IF('Loan Tape'!$AN150=0,0,IF('Loan Tape'!$K150="Floating",MIN(IF('Loan Tape'!$P150="",10,'Loan Tape'!$P150),MAX(IF('Loan Tape'!$Q150="",0,'Loan Tape'!$Q150),INDEX(Idx_Curve,1,4)+'Loan Tape'!$M150)),IF('Loan Tape'!$L150="",0,'Loan Tape'!$L150)))</f>
        <v>0</v>
      </c>
      <c r="G457" s="104" t="n">
        <f aca="false">IF('Loan Tape'!$AN150=0,0,IF('Loan Tape'!$K150="Floating",MIN(IF('Loan Tape'!$P150="",10,'Loan Tape'!$P150),MAX(IF('Loan Tape'!$Q150="",0,'Loan Tape'!$Q150),INDEX(Idx_Curve,1,5)+'Loan Tape'!$M150)),IF('Loan Tape'!$L150="",0,'Loan Tape'!$L150)))</f>
        <v>0</v>
      </c>
      <c r="H457" s="104" t="n">
        <f aca="false">IF('Loan Tape'!$AN150=0,0,IF('Loan Tape'!$K150="Floating",MIN(IF('Loan Tape'!$P150="",10,'Loan Tape'!$P150),MAX(IF('Loan Tape'!$Q150="",0,'Loan Tape'!$Q150),INDEX(Idx_Curve,1,6)+'Loan Tape'!$M150)),IF('Loan Tape'!$L150="",0,'Loan Tape'!$L150)))</f>
        <v>0</v>
      </c>
      <c r="I457" s="104" t="n">
        <f aca="false">IF('Loan Tape'!$AN150=0,0,IF('Loan Tape'!$K150="Floating",MIN(IF('Loan Tape'!$P150="",10,'Loan Tape'!$P150),MAX(IF('Loan Tape'!$Q150="",0,'Loan Tape'!$Q150),INDEX(Idx_Curve,1,7)+'Loan Tape'!$M150)),IF('Loan Tape'!$L150="",0,'Loan Tape'!$L150)))</f>
        <v>0</v>
      </c>
      <c r="J457" s="104" t="n">
        <f aca="false">IF('Loan Tape'!$AN150=0,0,IF('Loan Tape'!$K150="Floating",MIN(IF('Loan Tape'!$P150="",10,'Loan Tape'!$P150),MAX(IF('Loan Tape'!$Q150="",0,'Loan Tape'!$Q150),INDEX(Idx_Curve,1,8)+'Loan Tape'!$M150)),IF('Loan Tape'!$L150="",0,'Loan Tape'!$L150)))</f>
        <v>0</v>
      </c>
      <c r="K457" s="104" t="n">
        <f aca="false">IF('Loan Tape'!$AN150=0,0,IF('Loan Tape'!$K150="Floating",MIN(IF('Loan Tape'!$P150="",10,'Loan Tape'!$P150),MAX(IF('Loan Tape'!$Q150="",0,'Loan Tape'!$Q150),INDEX(Idx_Curve,1,9)+'Loan Tape'!$M150)),IF('Loan Tape'!$L150="",0,'Loan Tape'!$L150)))</f>
        <v>0</v>
      </c>
      <c r="L457" s="104" t="n">
        <f aca="false">IF('Loan Tape'!$AN150=0,0,IF('Loan Tape'!$K150="Floating",MIN(IF('Loan Tape'!$P150="",10,'Loan Tape'!$P150),MAX(IF('Loan Tape'!$Q150="",0,'Loan Tape'!$Q150),INDEX(Idx_Curve,1,10)+'Loan Tape'!$M150)),IF('Loan Tape'!$L150="",0,'Loan Tape'!$L150)))</f>
        <v>0</v>
      </c>
    </row>
    <row r="458" customFormat="false" ht="15" hidden="false" customHeight="false" outlineLevel="0" collapsed="false">
      <c r="B458" s="108" t="n">
        <f aca="false">'Loan Tape'!$A151</f>
        <v>0</v>
      </c>
      <c r="C458" s="56" t="n">
        <f aca="false">IF('Loan Tape'!$AN151=0,0,IF('Loan Tape'!$K151="Floating",MIN(IF('Loan Tape'!$P151="",10,'Loan Tape'!$P151),MAX(IF('Loan Tape'!$Q151="",0,'Loan Tape'!$Q151),INDEX(Idx_Curve,1,1)+'Loan Tape'!$M151)),IF('Loan Tape'!$L151="",0,'Loan Tape'!$L151)))</f>
        <v>0</v>
      </c>
      <c r="D458" s="56" t="n">
        <f aca="false">IF('Loan Tape'!$AN151=0,0,IF('Loan Tape'!$K151="Floating",MIN(IF('Loan Tape'!$P151="",10,'Loan Tape'!$P151),MAX(IF('Loan Tape'!$Q151="",0,'Loan Tape'!$Q151),INDEX(Idx_Curve,1,2)+'Loan Tape'!$M151)),IF('Loan Tape'!$L151="",0,'Loan Tape'!$L151)))</f>
        <v>0</v>
      </c>
      <c r="E458" s="56" t="n">
        <f aca="false">IF('Loan Tape'!$AN151=0,0,IF('Loan Tape'!$K151="Floating",MIN(IF('Loan Tape'!$P151="",10,'Loan Tape'!$P151),MAX(IF('Loan Tape'!$Q151="",0,'Loan Tape'!$Q151),INDEX(Idx_Curve,1,3)+'Loan Tape'!$M151)),IF('Loan Tape'!$L151="",0,'Loan Tape'!$L151)))</f>
        <v>0</v>
      </c>
      <c r="F458" s="56" t="n">
        <f aca="false">IF('Loan Tape'!$AN151=0,0,IF('Loan Tape'!$K151="Floating",MIN(IF('Loan Tape'!$P151="",10,'Loan Tape'!$P151),MAX(IF('Loan Tape'!$Q151="",0,'Loan Tape'!$Q151),INDEX(Idx_Curve,1,4)+'Loan Tape'!$M151)),IF('Loan Tape'!$L151="",0,'Loan Tape'!$L151)))</f>
        <v>0</v>
      </c>
      <c r="G458" s="56" t="n">
        <f aca="false">IF('Loan Tape'!$AN151=0,0,IF('Loan Tape'!$K151="Floating",MIN(IF('Loan Tape'!$P151="",10,'Loan Tape'!$P151),MAX(IF('Loan Tape'!$Q151="",0,'Loan Tape'!$Q151),INDEX(Idx_Curve,1,5)+'Loan Tape'!$M151)),IF('Loan Tape'!$L151="",0,'Loan Tape'!$L151)))</f>
        <v>0</v>
      </c>
      <c r="H458" s="56" t="n">
        <f aca="false">IF('Loan Tape'!$AN151=0,0,IF('Loan Tape'!$K151="Floating",MIN(IF('Loan Tape'!$P151="",10,'Loan Tape'!$P151),MAX(IF('Loan Tape'!$Q151="",0,'Loan Tape'!$Q151),INDEX(Idx_Curve,1,6)+'Loan Tape'!$M151)),IF('Loan Tape'!$L151="",0,'Loan Tape'!$L151)))</f>
        <v>0</v>
      </c>
      <c r="I458" s="56" t="n">
        <f aca="false">IF('Loan Tape'!$AN151=0,0,IF('Loan Tape'!$K151="Floating",MIN(IF('Loan Tape'!$P151="",10,'Loan Tape'!$P151),MAX(IF('Loan Tape'!$Q151="",0,'Loan Tape'!$Q151),INDEX(Idx_Curve,1,7)+'Loan Tape'!$M151)),IF('Loan Tape'!$L151="",0,'Loan Tape'!$L151)))</f>
        <v>0</v>
      </c>
      <c r="J458" s="56" t="n">
        <f aca="false">IF('Loan Tape'!$AN151=0,0,IF('Loan Tape'!$K151="Floating",MIN(IF('Loan Tape'!$P151="",10,'Loan Tape'!$P151),MAX(IF('Loan Tape'!$Q151="",0,'Loan Tape'!$Q151),INDEX(Idx_Curve,1,8)+'Loan Tape'!$M151)),IF('Loan Tape'!$L151="",0,'Loan Tape'!$L151)))</f>
        <v>0</v>
      </c>
      <c r="K458" s="56" t="n">
        <f aca="false">IF('Loan Tape'!$AN151=0,0,IF('Loan Tape'!$K151="Floating",MIN(IF('Loan Tape'!$P151="",10,'Loan Tape'!$P151),MAX(IF('Loan Tape'!$Q151="",0,'Loan Tape'!$Q151),INDEX(Idx_Curve,1,9)+'Loan Tape'!$M151)),IF('Loan Tape'!$L151="",0,'Loan Tape'!$L151)))</f>
        <v>0</v>
      </c>
      <c r="L458" s="56" t="n">
        <f aca="false">IF('Loan Tape'!$AN151=0,0,IF('Loan Tape'!$K151="Floating",MIN(IF('Loan Tape'!$P151="",10,'Loan Tape'!$P151),MAX(IF('Loan Tape'!$Q151="",0,'Loan Tape'!$Q151),INDEX(Idx_Curve,1,10)+'Loan Tape'!$M151)),IF('Loan Tape'!$L151="",0,'Loan Tape'!$L151)))</f>
        <v>0</v>
      </c>
    </row>
    <row r="459" customFormat="false" ht="15" hidden="false" customHeight="false" outlineLevel="0" collapsed="false">
      <c r="B459" s="102" t="n">
        <f aca="false">'Loan Tape'!$A152</f>
        <v>0</v>
      </c>
      <c r="C459" s="104" t="n">
        <f aca="false">IF('Loan Tape'!$AN152=0,0,IF('Loan Tape'!$K152="Floating",MIN(IF('Loan Tape'!$P152="",10,'Loan Tape'!$P152),MAX(IF('Loan Tape'!$Q152="",0,'Loan Tape'!$Q152),INDEX(Idx_Curve,1,1)+'Loan Tape'!$M152)),IF('Loan Tape'!$L152="",0,'Loan Tape'!$L152)))</f>
        <v>0</v>
      </c>
      <c r="D459" s="104" t="n">
        <f aca="false">IF('Loan Tape'!$AN152=0,0,IF('Loan Tape'!$K152="Floating",MIN(IF('Loan Tape'!$P152="",10,'Loan Tape'!$P152),MAX(IF('Loan Tape'!$Q152="",0,'Loan Tape'!$Q152),INDEX(Idx_Curve,1,2)+'Loan Tape'!$M152)),IF('Loan Tape'!$L152="",0,'Loan Tape'!$L152)))</f>
        <v>0</v>
      </c>
      <c r="E459" s="104" t="n">
        <f aca="false">IF('Loan Tape'!$AN152=0,0,IF('Loan Tape'!$K152="Floating",MIN(IF('Loan Tape'!$P152="",10,'Loan Tape'!$P152),MAX(IF('Loan Tape'!$Q152="",0,'Loan Tape'!$Q152),INDEX(Idx_Curve,1,3)+'Loan Tape'!$M152)),IF('Loan Tape'!$L152="",0,'Loan Tape'!$L152)))</f>
        <v>0</v>
      </c>
      <c r="F459" s="104" t="n">
        <f aca="false">IF('Loan Tape'!$AN152=0,0,IF('Loan Tape'!$K152="Floating",MIN(IF('Loan Tape'!$P152="",10,'Loan Tape'!$P152),MAX(IF('Loan Tape'!$Q152="",0,'Loan Tape'!$Q152),INDEX(Idx_Curve,1,4)+'Loan Tape'!$M152)),IF('Loan Tape'!$L152="",0,'Loan Tape'!$L152)))</f>
        <v>0</v>
      </c>
      <c r="G459" s="104" t="n">
        <f aca="false">IF('Loan Tape'!$AN152=0,0,IF('Loan Tape'!$K152="Floating",MIN(IF('Loan Tape'!$P152="",10,'Loan Tape'!$P152),MAX(IF('Loan Tape'!$Q152="",0,'Loan Tape'!$Q152),INDEX(Idx_Curve,1,5)+'Loan Tape'!$M152)),IF('Loan Tape'!$L152="",0,'Loan Tape'!$L152)))</f>
        <v>0</v>
      </c>
      <c r="H459" s="104" t="n">
        <f aca="false">IF('Loan Tape'!$AN152=0,0,IF('Loan Tape'!$K152="Floating",MIN(IF('Loan Tape'!$P152="",10,'Loan Tape'!$P152),MAX(IF('Loan Tape'!$Q152="",0,'Loan Tape'!$Q152),INDEX(Idx_Curve,1,6)+'Loan Tape'!$M152)),IF('Loan Tape'!$L152="",0,'Loan Tape'!$L152)))</f>
        <v>0</v>
      </c>
      <c r="I459" s="104" t="n">
        <f aca="false">IF('Loan Tape'!$AN152=0,0,IF('Loan Tape'!$K152="Floating",MIN(IF('Loan Tape'!$P152="",10,'Loan Tape'!$P152),MAX(IF('Loan Tape'!$Q152="",0,'Loan Tape'!$Q152),INDEX(Idx_Curve,1,7)+'Loan Tape'!$M152)),IF('Loan Tape'!$L152="",0,'Loan Tape'!$L152)))</f>
        <v>0</v>
      </c>
      <c r="J459" s="104" t="n">
        <f aca="false">IF('Loan Tape'!$AN152=0,0,IF('Loan Tape'!$K152="Floating",MIN(IF('Loan Tape'!$P152="",10,'Loan Tape'!$P152),MAX(IF('Loan Tape'!$Q152="",0,'Loan Tape'!$Q152),INDEX(Idx_Curve,1,8)+'Loan Tape'!$M152)),IF('Loan Tape'!$L152="",0,'Loan Tape'!$L152)))</f>
        <v>0</v>
      </c>
      <c r="K459" s="104" t="n">
        <f aca="false">IF('Loan Tape'!$AN152=0,0,IF('Loan Tape'!$K152="Floating",MIN(IF('Loan Tape'!$P152="",10,'Loan Tape'!$P152),MAX(IF('Loan Tape'!$Q152="",0,'Loan Tape'!$Q152),INDEX(Idx_Curve,1,9)+'Loan Tape'!$M152)),IF('Loan Tape'!$L152="",0,'Loan Tape'!$L152)))</f>
        <v>0</v>
      </c>
      <c r="L459" s="104" t="n">
        <f aca="false">IF('Loan Tape'!$AN152=0,0,IF('Loan Tape'!$K152="Floating",MIN(IF('Loan Tape'!$P152="",10,'Loan Tape'!$P152),MAX(IF('Loan Tape'!$Q152="",0,'Loan Tape'!$Q152),INDEX(Idx_Curve,1,10)+'Loan Tape'!$M152)),IF('Loan Tape'!$L152="",0,'Loan Tape'!$L152)))</f>
        <v>0</v>
      </c>
    </row>
    <row r="460" customFormat="false" ht="15" hidden="false" customHeight="false" outlineLevel="0" collapsed="false">
      <c r="B460" s="108" t="n">
        <f aca="false">'Loan Tape'!$A153</f>
        <v>0</v>
      </c>
      <c r="C460" s="56" t="n">
        <f aca="false">IF('Loan Tape'!$AN153=0,0,IF('Loan Tape'!$K153="Floating",MIN(IF('Loan Tape'!$P153="",10,'Loan Tape'!$P153),MAX(IF('Loan Tape'!$Q153="",0,'Loan Tape'!$Q153),INDEX(Idx_Curve,1,1)+'Loan Tape'!$M153)),IF('Loan Tape'!$L153="",0,'Loan Tape'!$L153)))</f>
        <v>0</v>
      </c>
      <c r="D460" s="56" t="n">
        <f aca="false">IF('Loan Tape'!$AN153=0,0,IF('Loan Tape'!$K153="Floating",MIN(IF('Loan Tape'!$P153="",10,'Loan Tape'!$P153),MAX(IF('Loan Tape'!$Q153="",0,'Loan Tape'!$Q153),INDEX(Idx_Curve,1,2)+'Loan Tape'!$M153)),IF('Loan Tape'!$L153="",0,'Loan Tape'!$L153)))</f>
        <v>0</v>
      </c>
      <c r="E460" s="56" t="n">
        <f aca="false">IF('Loan Tape'!$AN153=0,0,IF('Loan Tape'!$K153="Floating",MIN(IF('Loan Tape'!$P153="",10,'Loan Tape'!$P153),MAX(IF('Loan Tape'!$Q153="",0,'Loan Tape'!$Q153),INDEX(Idx_Curve,1,3)+'Loan Tape'!$M153)),IF('Loan Tape'!$L153="",0,'Loan Tape'!$L153)))</f>
        <v>0</v>
      </c>
      <c r="F460" s="56" t="n">
        <f aca="false">IF('Loan Tape'!$AN153=0,0,IF('Loan Tape'!$K153="Floating",MIN(IF('Loan Tape'!$P153="",10,'Loan Tape'!$P153),MAX(IF('Loan Tape'!$Q153="",0,'Loan Tape'!$Q153),INDEX(Idx_Curve,1,4)+'Loan Tape'!$M153)),IF('Loan Tape'!$L153="",0,'Loan Tape'!$L153)))</f>
        <v>0</v>
      </c>
      <c r="G460" s="56" t="n">
        <f aca="false">IF('Loan Tape'!$AN153=0,0,IF('Loan Tape'!$K153="Floating",MIN(IF('Loan Tape'!$P153="",10,'Loan Tape'!$P153),MAX(IF('Loan Tape'!$Q153="",0,'Loan Tape'!$Q153),INDEX(Idx_Curve,1,5)+'Loan Tape'!$M153)),IF('Loan Tape'!$L153="",0,'Loan Tape'!$L153)))</f>
        <v>0</v>
      </c>
      <c r="H460" s="56" t="n">
        <f aca="false">IF('Loan Tape'!$AN153=0,0,IF('Loan Tape'!$K153="Floating",MIN(IF('Loan Tape'!$P153="",10,'Loan Tape'!$P153),MAX(IF('Loan Tape'!$Q153="",0,'Loan Tape'!$Q153),INDEX(Idx_Curve,1,6)+'Loan Tape'!$M153)),IF('Loan Tape'!$L153="",0,'Loan Tape'!$L153)))</f>
        <v>0</v>
      </c>
      <c r="I460" s="56" t="n">
        <f aca="false">IF('Loan Tape'!$AN153=0,0,IF('Loan Tape'!$K153="Floating",MIN(IF('Loan Tape'!$P153="",10,'Loan Tape'!$P153),MAX(IF('Loan Tape'!$Q153="",0,'Loan Tape'!$Q153),INDEX(Idx_Curve,1,7)+'Loan Tape'!$M153)),IF('Loan Tape'!$L153="",0,'Loan Tape'!$L153)))</f>
        <v>0</v>
      </c>
      <c r="J460" s="56" t="n">
        <f aca="false">IF('Loan Tape'!$AN153=0,0,IF('Loan Tape'!$K153="Floating",MIN(IF('Loan Tape'!$P153="",10,'Loan Tape'!$P153),MAX(IF('Loan Tape'!$Q153="",0,'Loan Tape'!$Q153),INDEX(Idx_Curve,1,8)+'Loan Tape'!$M153)),IF('Loan Tape'!$L153="",0,'Loan Tape'!$L153)))</f>
        <v>0</v>
      </c>
      <c r="K460" s="56" t="n">
        <f aca="false">IF('Loan Tape'!$AN153=0,0,IF('Loan Tape'!$K153="Floating",MIN(IF('Loan Tape'!$P153="",10,'Loan Tape'!$P153),MAX(IF('Loan Tape'!$Q153="",0,'Loan Tape'!$Q153),INDEX(Idx_Curve,1,9)+'Loan Tape'!$M153)),IF('Loan Tape'!$L153="",0,'Loan Tape'!$L153)))</f>
        <v>0</v>
      </c>
      <c r="L460" s="56" t="n">
        <f aca="false">IF('Loan Tape'!$AN153=0,0,IF('Loan Tape'!$K153="Floating",MIN(IF('Loan Tape'!$P153="",10,'Loan Tape'!$P153),MAX(IF('Loan Tape'!$Q153="",0,'Loan Tape'!$Q153),INDEX(Idx_Curve,1,10)+'Loan Tape'!$M153)),IF('Loan Tape'!$L153="",0,'Loan Tape'!$L153)))</f>
        <v>0</v>
      </c>
    </row>
    <row r="461" customFormat="false" ht="15" hidden="false" customHeight="false" outlineLevel="0" collapsed="false">
      <c r="B461" s="102" t="n">
        <f aca="false">'Loan Tape'!$A154</f>
        <v>0</v>
      </c>
      <c r="C461" s="104" t="n">
        <f aca="false">IF('Loan Tape'!$AN154=0,0,IF('Loan Tape'!$K154="Floating",MIN(IF('Loan Tape'!$P154="",10,'Loan Tape'!$P154),MAX(IF('Loan Tape'!$Q154="",0,'Loan Tape'!$Q154),INDEX(Idx_Curve,1,1)+'Loan Tape'!$M154)),IF('Loan Tape'!$L154="",0,'Loan Tape'!$L154)))</f>
        <v>0</v>
      </c>
      <c r="D461" s="104" t="n">
        <f aca="false">IF('Loan Tape'!$AN154=0,0,IF('Loan Tape'!$K154="Floating",MIN(IF('Loan Tape'!$P154="",10,'Loan Tape'!$P154),MAX(IF('Loan Tape'!$Q154="",0,'Loan Tape'!$Q154),INDEX(Idx_Curve,1,2)+'Loan Tape'!$M154)),IF('Loan Tape'!$L154="",0,'Loan Tape'!$L154)))</f>
        <v>0</v>
      </c>
      <c r="E461" s="104" t="n">
        <f aca="false">IF('Loan Tape'!$AN154=0,0,IF('Loan Tape'!$K154="Floating",MIN(IF('Loan Tape'!$P154="",10,'Loan Tape'!$P154),MAX(IF('Loan Tape'!$Q154="",0,'Loan Tape'!$Q154),INDEX(Idx_Curve,1,3)+'Loan Tape'!$M154)),IF('Loan Tape'!$L154="",0,'Loan Tape'!$L154)))</f>
        <v>0</v>
      </c>
      <c r="F461" s="104" t="n">
        <f aca="false">IF('Loan Tape'!$AN154=0,0,IF('Loan Tape'!$K154="Floating",MIN(IF('Loan Tape'!$P154="",10,'Loan Tape'!$P154),MAX(IF('Loan Tape'!$Q154="",0,'Loan Tape'!$Q154),INDEX(Idx_Curve,1,4)+'Loan Tape'!$M154)),IF('Loan Tape'!$L154="",0,'Loan Tape'!$L154)))</f>
        <v>0</v>
      </c>
      <c r="G461" s="104" t="n">
        <f aca="false">IF('Loan Tape'!$AN154=0,0,IF('Loan Tape'!$K154="Floating",MIN(IF('Loan Tape'!$P154="",10,'Loan Tape'!$P154),MAX(IF('Loan Tape'!$Q154="",0,'Loan Tape'!$Q154),INDEX(Idx_Curve,1,5)+'Loan Tape'!$M154)),IF('Loan Tape'!$L154="",0,'Loan Tape'!$L154)))</f>
        <v>0</v>
      </c>
      <c r="H461" s="104" t="n">
        <f aca="false">IF('Loan Tape'!$AN154=0,0,IF('Loan Tape'!$K154="Floating",MIN(IF('Loan Tape'!$P154="",10,'Loan Tape'!$P154),MAX(IF('Loan Tape'!$Q154="",0,'Loan Tape'!$Q154),INDEX(Idx_Curve,1,6)+'Loan Tape'!$M154)),IF('Loan Tape'!$L154="",0,'Loan Tape'!$L154)))</f>
        <v>0</v>
      </c>
      <c r="I461" s="104" t="n">
        <f aca="false">IF('Loan Tape'!$AN154=0,0,IF('Loan Tape'!$K154="Floating",MIN(IF('Loan Tape'!$P154="",10,'Loan Tape'!$P154),MAX(IF('Loan Tape'!$Q154="",0,'Loan Tape'!$Q154),INDEX(Idx_Curve,1,7)+'Loan Tape'!$M154)),IF('Loan Tape'!$L154="",0,'Loan Tape'!$L154)))</f>
        <v>0</v>
      </c>
      <c r="J461" s="104" t="n">
        <f aca="false">IF('Loan Tape'!$AN154=0,0,IF('Loan Tape'!$K154="Floating",MIN(IF('Loan Tape'!$P154="",10,'Loan Tape'!$P154),MAX(IF('Loan Tape'!$Q154="",0,'Loan Tape'!$Q154),INDEX(Idx_Curve,1,8)+'Loan Tape'!$M154)),IF('Loan Tape'!$L154="",0,'Loan Tape'!$L154)))</f>
        <v>0</v>
      </c>
      <c r="K461" s="104" t="n">
        <f aca="false">IF('Loan Tape'!$AN154=0,0,IF('Loan Tape'!$K154="Floating",MIN(IF('Loan Tape'!$P154="",10,'Loan Tape'!$P154),MAX(IF('Loan Tape'!$Q154="",0,'Loan Tape'!$Q154),INDEX(Idx_Curve,1,9)+'Loan Tape'!$M154)),IF('Loan Tape'!$L154="",0,'Loan Tape'!$L154)))</f>
        <v>0</v>
      </c>
      <c r="L461" s="104" t="n">
        <f aca="false">IF('Loan Tape'!$AN154=0,0,IF('Loan Tape'!$K154="Floating",MIN(IF('Loan Tape'!$P154="",10,'Loan Tape'!$P154),MAX(IF('Loan Tape'!$Q154="",0,'Loan Tape'!$Q154),INDEX(Idx_Curve,1,10)+'Loan Tape'!$M154)),IF('Loan Tape'!$L154="",0,'Loan Tape'!$L154)))</f>
        <v>0</v>
      </c>
    </row>
    <row r="462" customFormat="false" ht="15" hidden="false" customHeight="false" outlineLevel="0" collapsed="false">
      <c r="B462" s="108" t="n">
        <f aca="false">'Loan Tape'!$A155</f>
        <v>0</v>
      </c>
      <c r="C462" s="56" t="n">
        <f aca="false">IF('Loan Tape'!$AN155=0,0,IF('Loan Tape'!$K155="Floating",MIN(IF('Loan Tape'!$P155="",10,'Loan Tape'!$P155),MAX(IF('Loan Tape'!$Q155="",0,'Loan Tape'!$Q155),INDEX(Idx_Curve,1,1)+'Loan Tape'!$M155)),IF('Loan Tape'!$L155="",0,'Loan Tape'!$L155)))</f>
        <v>0</v>
      </c>
      <c r="D462" s="56" t="n">
        <f aca="false">IF('Loan Tape'!$AN155=0,0,IF('Loan Tape'!$K155="Floating",MIN(IF('Loan Tape'!$P155="",10,'Loan Tape'!$P155),MAX(IF('Loan Tape'!$Q155="",0,'Loan Tape'!$Q155),INDEX(Idx_Curve,1,2)+'Loan Tape'!$M155)),IF('Loan Tape'!$L155="",0,'Loan Tape'!$L155)))</f>
        <v>0</v>
      </c>
      <c r="E462" s="56" t="n">
        <f aca="false">IF('Loan Tape'!$AN155=0,0,IF('Loan Tape'!$K155="Floating",MIN(IF('Loan Tape'!$P155="",10,'Loan Tape'!$P155),MAX(IF('Loan Tape'!$Q155="",0,'Loan Tape'!$Q155),INDEX(Idx_Curve,1,3)+'Loan Tape'!$M155)),IF('Loan Tape'!$L155="",0,'Loan Tape'!$L155)))</f>
        <v>0</v>
      </c>
      <c r="F462" s="56" t="n">
        <f aca="false">IF('Loan Tape'!$AN155=0,0,IF('Loan Tape'!$K155="Floating",MIN(IF('Loan Tape'!$P155="",10,'Loan Tape'!$P155),MAX(IF('Loan Tape'!$Q155="",0,'Loan Tape'!$Q155),INDEX(Idx_Curve,1,4)+'Loan Tape'!$M155)),IF('Loan Tape'!$L155="",0,'Loan Tape'!$L155)))</f>
        <v>0</v>
      </c>
      <c r="G462" s="56" t="n">
        <f aca="false">IF('Loan Tape'!$AN155=0,0,IF('Loan Tape'!$K155="Floating",MIN(IF('Loan Tape'!$P155="",10,'Loan Tape'!$P155),MAX(IF('Loan Tape'!$Q155="",0,'Loan Tape'!$Q155),INDEX(Idx_Curve,1,5)+'Loan Tape'!$M155)),IF('Loan Tape'!$L155="",0,'Loan Tape'!$L155)))</f>
        <v>0</v>
      </c>
      <c r="H462" s="56" t="n">
        <f aca="false">IF('Loan Tape'!$AN155=0,0,IF('Loan Tape'!$K155="Floating",MIN(IF('Loan Tape'!$P155="",10,'Loan Tape'!$P155),MAX(IF('Loan Tape'!$Q155="",0,'Loan Tape'!$Q155),INDEX(Idx_Curve,1,6)+'Loan Tape'!$M155)),IF('Loan Tape'!$L155="",0,'Loan Tape'!$L155)))</f>
        <v>0</v>
      </c>
      <c r="I462" s="56" t="n">
        <f aca="false">IF('Loan Tape'!$AN155=0,0,IF('Loan Tape'!$K155="Floating",MIN(IF('Loan Tape'!$P155="",10,'Loan Tape'!$P155),MAX(IF('Loan Tape'!$Q155="",0,'Loan Tape'!$Q155),INDEX(Idx_Curve,1,7)+'Loan Tape'!$M155)),IF('Loan Tape'!$L155="",0,'Loan Tape'!$L155)))</f>
        <v>0</v>
      </c>
      <c r="J462" s="56" t="n">
        <f aca="false">IF('Loan Tape'!$AN155=0,0,IF('Loan Tape'!$K155="Floating",MIN(IF('Loan Tape'!$P155="",10,'Loan Tape'!$P155),MAX(IF('Loan Tape'!$Q155="",0,'Loan Tape'!$Q155),INDEX(Idx_Curve,1,8)+'Loan Tape'!$M155)),IF('Loan Tape'!$L155="",0,'Loan Tape'!$L155)))</f>
        <v>0</v>
      </c>
      <c r="K462" s="56" t="n">
        <f aca="false">IF('Loan Tape'!$AN155=0,0,IF('Loan Tape'!$K155="Floating",MIN(IF('Loan Tape'!$P155="",10,'Loan Tape'!$P155),MAX(IF('Loan Tape'!$Q155="",0,'Loan Tape'!$Q155),INDEX(Idx_Curve,1,9)+'Loan Tape'!$M155)),IF('Loan Tape'!$L155="",0,'Loan Tape'!$L155)))</f>
        <v>0</v>
      </c>
      <c r="L462" s="56" t="n">
        <f aca="false">IF('Loan Tape'!$AN155=0,0,IF('Loan Tape'!$K155="Floating",MIN(IF('Loan Tape'!$P155="",10,'Loan Tape'!$P155),MAX(IF('Loan Tape'!$Q155="",0,'Loan Tape'!$Q155),INDEX(Idx_Curve,1,10)+'Loan Tape'!$M155)),IF('Loan Tape'!$L155="",0,'Loan Tape'!$L155)))</f>
        <v>0</v>
      </c>
    </row>
    <row r="463" customFormat="false" ht="15" hidden="false" customHeight="false" outlineLevel="0" collapsed="false">
      <c r="B463" s="102" t="n">
        <f aca="false">'Loan Tape'!$A156</f>
        <v>0</v>
      </c>
      <c r="C463" s="104" t="n">
        <f aca="false">IF('Loan Tape'!$AN156=0,0,IF('Loan Tape'!$K156="Floating",MIN(IF('Loan Tape'!$P156="",10,'Loan Tape'!$P156),MAX(IF('Loan Tape'!$Q156="",0,'Loan Tape'!$Q156),INDEX(Idx_Curve,1,1)+'Loan Tape'!$M156)),IF('Loan Tape'!$L156="",0,'Loan Tape'!$L156)))</f>
        <v>0</v>
      </c>
      <c r="D463" s="104" t="n">
        <f aca="false">IF('Loan Tape'!$AN156=0,0,IF('Loan Tape'!$K156="Floating",MIN(IF('Loan Tape'!$P156="",10,'Loan Tape'!$P156),MAX(IF('Loan Tape'!$Q156="",0,'Loan Tape'!$Q156),INDEX(Idx_Curve,1,2)+'Loan Tape'!$M156)),IF('Loan Tape'!$L156="",0,'Loan Tape'!$L156)))</f>
        <v>0</v>
      </c>
      <c r="E463" s="104" t="n">
        <f aca="false">IF('Loan Tape'!$AN156=0,0,IF('Loan Tape'!$K156="Floating",MIN(IF('Loan Tape'!$P156="",10,'Loan Tape'!$P156),MAX(IF('Loan Tape'!$Q156="",0,'Loan Tape'!$Q156),INDEX(Idx_Curve,1,3)+'Loan Tape'!$M156)),IF('Loan Tape'!$L156="",0,'Loan Tape'!$L156)))</f>
        <v>0</v>
      </c>
      <c r="F463" s="104" t="n">
        <f aca="false">IF('Loan Tape'!$AN156=0,0,IF('Loan Tape'!$K156="Floating",MIN(IF('Loan Tape'!$P156="",10,'Loan Tape'!$P156),MAX(IF('Loan Tape'!$Q156="",0,'Loan Tape'!$Q156),INDEX(Idx_Curve,1,4)+'Loan Tape'!$M156)),IF('Loan Tape'!$L156="",0,'Loan Tape'!$L156)))</f>
        <v>0</v>
      </c>
      <c r="G463" s="104" t="n">
        <f aca="false">IF('Loan Tape'!$AN156=0,0,IF('Loan Tape'!$K156="Floating",MIN(IF('Loan Tape'!$P156="",10,'Loan Tape'!$P156),MAX(IF('Loan Tape'!$Q156="",0,'Loan Tape'!$Q156),INDEX(Idx_Curve,1,5)+'Loan Tape'!$M156)),IF('Loan Tape'!$L156="",0,'Loan Tape'!$L156)))</f>
        <v>0</v>
      </c>
      <c r="H463" s="104" t="n">
        <f aca="false">IF('Loan Tape'!$AN156=0,0,IF('Loan Tape'!$K156="Floating",MIN(IF('Loan Tape'!$P156="",10,'Loan Tape'!$P156),MAX(IF('Loan Tape'!$Q156="",0,'Loan Tape'!$Q156),INDEX(Idx_Curve,1,6)+'Loan Tape'!$M156)),IF('Loan Tape'!$L156="",0,'Loan Tape'!$L156)))</f>
        <v>0</v>
      </c>
      <c r="I463" s="104" t="n">
        <f aca="false">IF('Loan Tape'!$AN156=0,0,IF('Loan Tape'!$K156="Floating",MIN(IF('Loan Tape'!$P156="",10,'Loan Tape'!$P156),MAX(IF('Loan Tape'!$Q156="",0,'Loan Tape'!$Q156),INDEX(Idx_Curve,1,7)+'Loan Tape'!$M156)),IF('Loan Tape'!$L156="",0,'Loan Tape'!$L156)))</f>
        <v>0</v>
      </c>
      <c r="J463" s="104" t="n">
        <f aca="false">IF('Loan Tape'!$AN156=0,0,IF('Loan Tape'!$K156="Floating",MIN(IF('Loan Tape'!$P156="",10,'Loan Tape'!$P156),MAX(IF('Loan Tape'!$Q156="",0,'Loan Tape'!$Q156),INDEX(Idx_Curve,1,8)+'Loan Tape'!$M156)),IF('Loan Tape'!$L156="",0,'Loan Tape'!$L156)))</f>
        <v>0</v>
      </c>
      <c r="K463" s="104" t="n">
        <f aca="false">IF('Loan Tape'!$AN156=0,0,IF('Loan Tape'!$K156="Floating",MIN(IF('Loan Tape'!$P156="",10,'Loan Tape'!$P156),MAX(IF('Loan Tape'!$Q156="",0,'Loan Tape'!$Q156),INDEX(Idx_Curve,1,9)+'Loan Tape'!$M156)),IF('Loan Tape'!$L156="",0,'Loan Tape'!$L156)))</f>
        <v>0</v>
      </c>
      <c r="L463" s="104" t="n">
        <f aca="false">IF('Loan Tape'!$AN156=0,0,IF('Loan Tape'!$K156="Floating",MIN(IF('Loan Tape'!$P156="",10,'Loan Tape'!$P156),MAX(IF('Loan Tape'!$Q156="",0,'Loan Tape'!$Q156),INDEX(Idx_Curve,1,10)+'Loan Tape'!$M156)),IF('Loan Tape'!$L156="",0,'Loan Tape'!$L156)))</f>
        <v>0</v>
      </c>
    </row>
    <row r="464" customFormat="false" ht="15" hidden="false" customHeight="false" outlineLevel="0" collapsed="false">
      <c r="B464" s="108" t="n">
        <f aca="false">'Loan Tape'!$A157</f>
        <v>0</v>
      </c>
      <c r="C464" s="56" t="n">
        <f aca="false">IF('Loan Tape'!$AN157=0,0,IF('Loan Tape'!$K157="Floating",MIN(IF('Loan Tape'!$P157="",10,'Loan Tape'!$P157),MAX(IF('Loan Tape'!$Q157="",0,'Loan Tape'!$Q157),INDEX(Idx_Curve,1,1)+'Loan Tape'!$M157)),IF('Loan Tape'!$L157="",0,'Loan Tape'!$L157)))</f>
        <v>0</v>
      </c>
      <c r="D464" s="56" t="n">
        <f aca="false">IF('Loan Tape'!$AN157=0,0,IF('Loan Tape'!$K157="Floating",MIN(IF('Loan Tape'!$P157="",10,'Loan Tape'!$P157),MAX(IF('Loan Tape'!$Q157="",0,'Loan Tape'!$Q157),INDEX(Idx_Curve,1,2)+'Loan Tape'!$M157)),IF('Loan Tape'!$L157="",0,'Loan Tape'!$L157)))</f>
        <v>0</v>
      </c>
      <c r="E464" s="56" t="n">
        <f aca="false">IF('Loan Tape'!$AN157=0,0,IF('Loan Tape'!$K157="Floating",MIN(IF('Loan Tape'!$P157="",10,'Loan Tape'!$P157),MAX(IF('Loan Tape'!$Q157="",0,'Loan Tape'!$Q157),INDEX(Idx_Curve,1,3)+'Loan Tape'!$M157)),IF('Loan Tape'!$L157="",0,'Loan Tape'!$L157)))</f>
        <v>0</v>
      </c>
      <c r="F464" s="56" t="n">
        <f aca="false">IF('Loan Tape'!$AN157=0,0,IF('Loan Tape'!$K157="Floating",MIN(IF('Loan Tape'!$P157="",10,'Loan Tape'!$P157),MAX(IF('Loan Tape'!$Q157="",0,'Loan Tape'!$Q157),INDEX(Idx_Curve,1,4)+'Loan Tape'!$M157)),IF('Loan Tape'!$L157="",0,'Loan Tape'!$L157)))</f>
        <v>0</v>
      </c>
      <c r="G464" s="56" t="n">
        <f aca="false">IF('Loan Tape'!$AN157=0,0,IF('Loan Tape'!$K157="Floating",MIN(IF('Loan Tape'!$P157="",10,'Loan Tape'!$P157),MAX(IF('Loan Tape'!$Q157="",0,'Loan Tape'!$Q157),INDEX(Idx_Curve,1,5)+'Loan Tape'!$M157)),IF('Loan Tape'!$L157="",0,'Loan Tape'!$L157)))</f>
        <v>0</v>
      </c>
      <c r="H464" s="56" t="n">
        <f aca="false">IF('Loan Tape'!$AN157=0,0,IF('Loan Tape'!$K157="Floating",MIN(IF('Loan Tape'!$P157="",10,'Loan Tape'!$P157),MAX(IF('Loan Tape'!$Q157="",0,'Loan Tape'!$Q157),INDEX(Idx_Curve,1,6)+'Loan Tape'!$M157)),IF('Loan Tape'!$L157="",0,'Loan Tape'!$L157)))</f>
        <v>0</v>
      </c>
      <c r="I464" s="56" t="n">
        <f aca="false">IF('Loan Tape'!$AN157=0,0,IF('Loan Tape'!$K157="Floating",MIN(IF('Loan Tape'!$P157="",10,'Loan Tape'!$P157),MAX(IF('Loan Tape'!$Q157="",0,'Loan Tape'!$Q157),INDEX(Idx_Curve,1,7)+'Loan Tape'!$M157)),IF('Loan Tape'!$L157="",0,'Loan Tape'!$L157)))</f>
        <v>0</v>
      </c>
      <c r="J464" s="56" t="n">
        <f aca="false">IF('Loan Tape'!$AN157=0,0,IF('Loan Tape'!$K157="Floating",MIN(IF('Loan Tape'!$P157="",10,'Loan Tape'!$P157),MAX(IF('Loan Tape'!$Q157="",0,'Loan Tape'!$Q157),INDEX(Idx_Curve,1,8)+'Loan Tape'!$M157)),IF('Loan Tape'!$L157="",0,'Loan Tape'!$L157)))</f>
        <v>0</v>
      </c>
      <c r="K464" s="56" t="n">
        <f aca="false">IF('Loan Tape'!$AN157=0,0,IF('Loan Tape'!$K157="Floating",MIN(IF('Loan Tape'!$P157="",10,'Loan Tape'!$P157),MAX(IF('Loan Tape'!$Q157="",0,'Loan Tape'!$Q157),INDEX(Idx_Curve,1,9)+'Loan Tape'!$M157)),IF('Loan Tape'!$L157="",0,'Loan Tape'!$L157)))</f>
        <v>0</v>
      </c>
      <c r="L464" s="56" t="n">
        <f aca="false">IF('Loan Tape'!$AN157=0,0,IF('Loan Tape'!$K157="Floating",MIN(IF('Loan Tape'!$P157="",10,'Loan Tape'!$P157),MAX(IF('Loan Tape'!$Q157="",0,'Loan Tape'!$Q157),INDEX(Idx_Curve,1,10)+'Loan Tape'!$M157)),IF('Loan Tape'!$L157="",0,'Loan Tape'!$L157)))</f>
        <v>0</v>
      </c>
    </row>
    <row r="465" customFormat="false" ht="15" hidden="false" customHeight="false" outlineLevel="0" collapsed="false">
      <c r="B465" s="102" t="n">
        <f aca="false">'Loan Tape'!$A158</f>
        <v>0</v>
      </c>
      <c r="C465" s="104" t="n">
        <f aca="false">IF('Loan Tape'!$AN158=0,0,IF('Loan Tape'!$K158="Floating",MIN(IF('Loan Tape'!$P158="",10,'Loan Tape'!$P158),MAX(IF('Loan Tape'!$Q158="",0,'Loan Tape'!$Q158),INDEX(Idx_Curve,1,1)+'Loan Tape'!$M158)),IF('Loan Tape'!$L158="",0,'Loan Tape'!$L158)))</f>
        <v>0</v>
      </c>
      <c r="D465" s="104" t="n">
        <f aca="false">IF('Loan Tape'!$AN158=0,0,IF('Loan Tape'!$K158="Floating",MIN(IF('Loan Tape'!$P158="",10,'Loan Tape'!$P158),MAX(IF('Loan Tape'!$Q158="",0,'Loan Tape'!$Q158),INDEX(Idx_Curve,1,2)+'Loan Tape'!$M158)),IF('Loan Tape'!$L158="",0,'Loan Tape'!$L158)))</f>
        <v>0</v>
      </c>
      <c r="E465" s="104" t="n">
        <f aca="false">IF('Loan Tape'!$AN158=0,0,IF('Loan Tape'!$K158="Floating",MIN(IF('Loan Tape'!$P158="",10,'Loan Tape'!$P158),MAX(IF('Loan Tape'!$Q158="",0,'Loan Tape'!$Q158),INDEX(Idx_Curve,1,3)+'Loan Tape'!$M158)),IF('Loan Tape'!$L158="",0,'Loan Tape'!$L158)))</f>
        <v>0</v>
      </c>
      <c r="F465" s="104" t="n">
        <f aca="false">IF('Loan Tape'!$AN158=0,0,IF('Loan Tape'!$K158="Floating",MIN(IF('Loan Tape'!$P158="",10,'Loan Tape'!$P158),MAX(IF('Loan Tape'!$Q158="",0,'Loan Tape'!$Q158),INDEX(Idx_Curve,1,4)+'Loan Tape'!$M158)),IF('Loan Tape'!$L158="",0,'Loan Tape'!$L158)))</f>
        <v>0</v>
      </c>
      <c r="G465" s="104" t="n">
        <f aca="false">IF('Loan Tape'!$AN158=0,0,IF('Loan Tape'!$K158="Floating",MIN(IF('Loan Tape'!$P158="",10,'Loan Tape'!$P158),MAX(IF('Loan Tape'!$Q158="",0,'Loan Tape'!$Q158),INDEX(Idx_Curve,1,5)+'Loan Tape'!$M158)),IF('Loan Tape'!$L158="",0,'Loan Tape'!$L158)))</f>
        <v>0</v>
      </c>
      <c r="H465" s="104" t="n">
        <f aca="false">IF('Loan Tape'!$AN158=0,0,IF('Loan Tape'!$K158="Floating",MIN(IF('Loan Tape'!$P158="",10,'Loan Tape'!$P158),MAX(IF('Loan Tape'!$Q158="",0,'Loan Tape'!$Q158),INDEX(Idx_Curve,1,6)+'Loan Tape'!$M158)),IF('Loan Tape'!$L158="",0,'Loan Tape'!$L158)))</f>
        <v>0</v>
      </c>
      <c r="I465" s="104" t="n">
        <f aca="false">IF('Loan Tape'!$AN158=0,0,IF('Loan Tape'!$K158="Floating",MIN(IF('Loan Tape'!$P158="",10,'Loan Tape'!$P158),MAX(IF('Loan Tape'!$Q158="",0,'Loan Tape'!$Q158),INDEX(Idx_Curve,1,7)+'Loan Tape'!$M158)),IF('Loan Tape'!$L158="",0,'Loan Tape'!$L158)))</f>
        <v>0</v>
      </c>
      <c r="J465" s="104" t="n">
        <f aca="false">IF('Loan Tape'!$AN158=0,0,IF('Loan Tape'!$K158="Floating",MIN(IF('Loan Tape'!$P158="",10,'Loan Tape'!$P158),MAX(IF('Loan Tape'!$Q158="",0,'Loan Tape'!$Q158),INDEX(Idx_Curve,1,8)+'Loan Tape'!$M158)),IF('Loan Tape'!$L158="",0,'Loan Tape'!$L158)))</f>
        <v>0</v>
      </c>
      <c r="K465" s="104" t="n">
        <f aca="false">IF('Loan Tape'!$AN158=0,0,IF('Loan Tape'!$K158="Floating",MIN(IF('Loan Tape'!$P158="",10,'Loan Tape'!$P158),MAX(IF('Loan Tape'!$Q158="",0,'Loan Tape'!$Q158),INDEX(Idx_Curve,1,9)+'Loan Tape'!$M158)),IF('Loan Tape'!$L158="",0,'Loan Tape'!$L158)))</f>
        <v>0</v>
      </c>
      <c r="L465" s="104" t="n">
        <f aca="false">IF('Loan Tape'!$AN158=0,0,IF('Loan Tape'!$K158="Floating",MIN(IF('Loan Tape'!$P158="",10,'Loan Tape'!$P158),MAX(IF('Loan Tape'!$Q158="",0,'Loan Tape'!$Q158),INDEX(Idx_Curve,1,10)+'Loan Tape'!$M158)),IF('Loan Tape'!$L158="",0,'Loan Tape'!$L158)))</f>
        <v>0</v>
      </c>
    </row>
    <row r="466" customFormat="false" ht="15" hidden="false" customHeight="false" outlineLevel="0" collapsed="false">
      <c r="B466" s="108" t="n">
        <f aca="false">'Loan Tape'!$A159</f>
        <v>0</v>
      </c>
      <c r="C466" s="56" t="n">
        <f aca="false">IF('Loan Tape'!$AN159=0,0,IF('Loan Tape'!$K159="Floating",MIN(IF('Loan Tape'!$P159="",10,'Loan Tape'!$P159),MAX(IF('Loan Tape'!$Q159="",0,'Loan Tape'!$Q159),INDEX(Idx_Curve,1,1)+'Loan Tape'!$M159)),IF('Loan Tape'!$L159="",0,'Loan Tape'!$L159)))</f>
        <v>0</v>
      </c>
      <c r="D466" s="56" t="n">
        <f aca="false">IF('Loan Tape'!$AN159=0,0,IF('Loan Tape'!$K159="Floating",MIN(IF('Loan Tape'!$P159="",10,'Loan Tape'!$P159),MAX(IF('Loan Tape'!$Q159="",0,'Loan Tape'!$Q159),INDEX(Idx_Curve,1,2)+'Loan Tape'!$M159)),IF('Loan Tape'!$L159="",0,'Loan Tape'!$L159)))</f>
        <v>0</v>
      </c>
      <c r="E466" s="56" t="n">
        <f aca="false">IF('Loan Tape'!$AN159=0,0,IF('Loan Tape'!$K159="Floating",MIN(IF('Loan Tape'!$P159="",10,'Loan Tape'!$P159),MAX(IF('Loan Tape'!$Q159="",0,'Loan Tape'!$Q159),INDEX(Idx_Curve,1,3)+'Loan Tape'!$M159)),IF('Loan Tape'!$L159="",0,'Loan Tape'!$L159)))</f>
        <v>0</v>
      </c>
      <c r="F466" s="56" t="n">
        <f aca="false">IF('Loan Tape'!$AN159=0,0,IF('Loan Tape'!$K159="Floating",MIN(IF('Loan Tape'!$P159="",10,'Loan Tape'!$P159),MAX(IF('Loan Tape'!$Q159="",0,'Loan Tape'!$Q159),INDEX(Idx_Curve,1,4)+'Loan Tape'!$M159)),IF('Loan Tape'!$L159="",0,'Loan Tape'!$L159)))</f>
        <v>0</v>
      </c>
      <c r="G466" s="56" t="n">
        <f aca="false">IF('Loan Tape'!$AN159=0,0,IF('Loan Tape'!$K159="Floating",MIN(IF('Loan Tape'!$P159="",10,'Loan Tape'!$P159),MAX(IF('Loan Tape'!$Q159="",0,'Loan Tape'!$Q159),INDEX(Idx_Curve,1,5)+'Loan Tape'!$M159)),IF('Loan Tape'!$L159="",0,'Loan Tape'!$L159)))</f>
        <v>0</v>
      </c>
      <c r="H466" s="56" t="n">
        <f aca="false">IF('Loan Tape'!$AN159=0,0,IF('Loan Tape'!$K159="Floating",MIN(IF('Loan Tape'!$P159="",10,'Loan Tape'!$P159),MAX(IF('Loan Tape'!$Q159="",0,'Loan Tape'!$Q159),INDEX(Idx_Curve,1,6)+'Loan Tape'!$M159)),IF('Loan Tape'!$L159="",0,'Loan Tape'!$L159)))</f>
        <v>0</v>
      </c>
      <c r="I466" s="56" t="n">
        <f aca="false">IF('Loan Tape'!$AN159=0,0,IF('Loan Tape'!$K159="Floating",MIN(IF('Loan Tape'!$P159="",10,'Loan Tape'!$P159),MAX(IF('Loan Tape'!$Q159="",0,'Loan Tape'!$Q159),INDEX(Idx_Curve,1,7)+'Loan Tape'!$M159)),IF('Loan Tape'!$L159="",0,'Loan Tape'!$L159)))</f>
        <v>0</v>
      </c>
      <c r="J466" s="56" t="n">
        <f aca="false">IF('Loan Tape'!$AN159=0,0,IF('Loan Tape'!$K159="Floating",MIN(IF('Loan Tape'!$P159="",10,'Loan Tape'!$P159),MAX(IF('Loan Tape'!$Q159="",0,'Loan Tape'!$Q159),INDEX(Idx_Curve,1,8)+'Loan Tape'!$M159)),IF('Loan Tape'!$L159="",0,'Loan Tape'!$L159)))</f>
        <v>0</v>
      </c>
      <c r="K466" s="56" t="n">
        <f aca="false">IF('Loan Tape'!$AN159=0,0,IF('Loan Tape'!$K159="Floating",MIN(IF('Loan Tape'!$P159="",10,'Loan Tape'!$P159),MAX(IF('Loan Tape'!$Q159="",0,'Loan Tape'!$Q159),INDEX(Idx_Curve,1,9)+'Loan Tape'!$M159)),IF('Loan Tape'!$L159="",0,'Loan Tape'!$L159)))</f>
        <v>0</v>
      </c>
      <c r="L466" s="56" t="n">
        <f aca="false">IF('Loan Tape'!$AN159=0,0,IF('Loan Tape'!$K159="Floating",MIN(IF('Loan Tape'!$P159="",10,'Loan Tape'!$P159),MAX(IF('Loan Tape'!$Q159="",0,'Loan Tape'!$Q159),INDEX(Idx_Curve,1,10)+'Loan Tape'!$M159)),IF('Loan Tape'!$L159="",0,'Loan Tape'!$L159)))</f>
        <v>0</v>
      </c>
    </row>
    <row r="467" customFormat="false" ht="15" hidden="false" customHeight="false" outlineLevel="0" collapsed="false">
      <c r="B467" s="102" t="n">
        <f aca="false">'Loan Tape'!$A160</f>
        <v>0</v>
      </c>
      <c r="C467" s="104" t="n">
        <f aca="false">IF('Loan Tape'!$AN160=0,0,IF('Loan Tape'!$K160="Floating",MIN(IF('Loan Tape'!$P160="",10,'Loan Tape'!$P160),MAX(IF('Loan Tape'!$Q160="",0,'Loan Tape'!$Q160),INDEX(Idx_Curve,1,1)+'Loan Tape'!$M160)),IF('Loan Tape'!$L160="",0,'Loan Tape'!$L160)))</f>
        <v>0</v>
      </c>
      <c r="D467" s="104" t="n">
        <f aca="false">IF('Loan Tape'!$AN160=0,0,IF('Loan Tape'!$K160="Floating",MIN(IF('Loan Tape'!$P160="",10,'Loan Tape'!$P160),MAX(IF('Loan Tape'!$Q160="",0,'Loan Tape'!$Q160),INDEX(Idx_Curve,1,2)+'Loan Tape'!$M160)),IF('Loan Tape'!$L160="",0,'Loan Tape'!$L160)))</f>
        <v>0</v>
      </c>
      <c r="E467" s="104" t="n">
        <f aca="false">IF('Loan Tape'!$AN160=0,0,IF('Loan Tape'!$K160="Floating",MIN(IF('Loan Tape'!$P160="",10,'Loan Tape'!$P160),MAX(IF('Loan Tape'!$Q160="",0,'Loan Tape'!$Q160),INDEX(Idx_Curve,1,3)+'Loan Tape'!$M160)),IF('Loan Tape'!$L160="",0,'Loan Tape'!$L160)))</f>
        <v>0</v>
      </c>
      <c r="F467" s="104" t="n">
        <f aca="false">IF('Loan Tape'!$AN160=0,0,IF('Loan Tape'!$K160="Floating",MIN(IF('Loan Tape'!$P160="",10,'Loan Tape'!$P160),MAX(IF('Loan Tape'!$Q160="",0,'Loan Tape'!$Q160),INDEX(Idx_Curve,1,4)+'Loan Tape'!$M160)),IF('Loan Tape'!$L160="",0,'Loan Tape'!$L160)))</f>
        <v>0</v>
      </c>
      <c r="G467" s="104" t="n">
        <f aca="false">IF('Loan Tape'!$AN160=0,0,IF('Loan Tape'!$K160="Floating",MIN(IF('Loan Tape'!$P160="",10,'Loan Tape'!$P160),MAX(IF('Loan Tape'!$Q160="",0,'Loan Tape'!$Q160),INDEX(Idx_Curve,1,5)+'Loan Tape'!$M160)),IF('Loan Tape'!$L160="",0,'Loan Tape'!$L160)))</f>
        <v>0</v>
      </c>
      <c r="H467" s="104" t="n">
        <f aca="false">IF('Loan Tape'!$AN160=0,0,IF('Loan Tape'!$K160="Floating",MIN(IF('Loan Tape'!$P160="",10,'Loan Tape'!$P160),MAX(IF('Loan Tape'!$Q160="",0,'Loan Tape'!$Q160),INDEX(Idx_Curve,1,6)+'Loan Tape'!$M160)),IF('Loan Tape'!$L160="",0,'Loan Tape'!$L160)))</f>
        <v>0</v>
      </c>
      <c r="I467" s="104" t="n">
        <f aca="false">IF('Loan Tape'!$AN160=0,0,IF('Loan Tape'!$K160="Floating",MIN(IF('Loan Tape'!$P160="",10,'Loan Tape'!$P160),MAX(IF('Loan Tape'!$Q160="",0,'Loan Tape'!$Q160),INDEX(Idx_Curve,1,7)+'Loan Tape'!$M160)),IF('Loan Tape'!$L160="",0,'Loan Tape'!$L160)))</f>
        <v>0</v>
      </c>
      <c r="J467" s="104" t="n">
        <f aca="false">IF('Loan Tape'!$AN160=0,0,IF('Loan Tape'!$K160="Floating",MIN(IF('Loan Tape'!$P160="",10,'Loan Tape'!$P160),MAX(IF('Loan Tape'!$Q160="",0,'Loan Tape'!$Q160),INDEX(Idx_Curve,1,8)+'Loan Tape'!$M160)),IF('Loan Tape'!$L160="",0,'Loan Tape'!$L160)))</f>
        <v>0</v>
      </c>
      <c r="K467" s="104" t="n">
        <f aca="false">IF('Loan Tape'!$AN160=0,0,IF('Loan Tape'!$K160="Floating",MIN(IF('Loan Tape'!$P160="",10,'Loan Tape'!$P160),MAX(IF('Loan Tape'!$Q160="",0,'Loan Tape'!$Q160),INDEX(Idx_Curve,1,9)+'Loan Tape'!$M160)),IF('Loan Tape'!$L160="",0,'Loan Tape'!$L160)))</f>
        <v>0</v>
      </c>
      <c r="L467" s="104" t="n">
        <f aca="false">IF('Loan Tape'!$AN160=0,0,IF('Loan Tape'!$K160="Floating",MIN(IF('Loan Tape'!$P160="",10,'Loan Tape'!$P160),MAX(IF('Loan Tape'!$Q160="",0,'Loan Tape'!$Q160),INDEX(Idx_Curve,1,10)+'Loan Tape'!$M160)),IF('Loan Tape'!$L160="",0,'Loan Tape'!$L160)))</f>
        <v>0</v>
      </c>
    </row>
    <row r="468" customFormat="false" ht="15" hidden="false" customHeight="false" outlineLevel="0" collapsed="false">
      <c r="B468" s="108" t="n">
        <f aca="false">'Loan Tape'!$A161</f>
        <v>0</v>
      </c>
      <c r="C468" s="56" t="n">
        <f aca="false">IF('Loan Tape'!$AN161=0,0,IF('Loan Tape'!$K161="Floating",MIN(IF('Loan Tape'!$P161="",10,'Loan Tape'!$P161),MAX(IF('Loan Tape'!$Q161="",0,'Loan Tape'!$Q161),INDEX(Idx_Curve,1,1)+'Loan Tape'!$M161)),IF('Loan Tape'!$L161="",0,'Loan Tape'!$L161)))</f>
        <v>0</v>
      </c>
      <c r="D468" s="56" t="n">
        <f aca="false">IF('Loan Tape'!$AN161=0,0,IF('Loan Tape'!$K161="Floating",MIN(IF('Loan Tape'!$P161="",10,'Loan Tape'!$P161),MAX(IF('Loan Tape'!$Q161="",0,'Loan Tape'!$Q161),INDEX(Idx_Curve,1,2)+'Loan Tape'!$M161)),IF('Loan Tape'!$L161="",0,'Loan Tape'!$L161)))</f>
        <v>0</v>
      </c>
      <c r="E468" s="56" t="n">
        <f aca="false">IF('Loan Tape'!$AN161=0,0,IF('Loan Tape'!$K161="Floating",MIN(IF('Loan Tape'!$P161="",10,'Loan Tape'!$P161),MAX(IF('Loan Tape'!$Q161="",0,'Loan Tape'!$Q161),INDEX(Idx_Curve,1,3)+'Loan Tape'!$M161)),IF('Loan Tape'!$L161="",0,'Loan Tape'!$L161)))</f>
        <v>0</v>
      </c>
      <c r="F468" s="56" t="n">
        <f aca="false">IF('Loan Tape'!$AN161=0,0,IF('Loan Tape'!$K161="Floating",MIN(IF('Loan Tape'!$P161="",10,'Loan Tape'!$P161),MAX(IF('Loan Tape'!$Q161="",0,'Loan Tape'!$Q161),INDEX(Idx_Curve,1,4)+'Loan Tape'!$M161)),IF('Loan Tape'!$L161="",0,'Loan Tape'!$L161)))</f>
        <v>0</v>
      </c>
      <c r="G468" s="56" t="n">
        <f aca="false">IF('Loan Tape'!$AN161=0,0,IF('Loan Tape'!$K161="Floating",MIN(IF('Loan Tape'!$P161="",10,'Loan Tape'!$P161),MAX(IF('Loan Tape'!$Q161="",0,'Loan Tape'!$Q161),INDEX(Idx_Curve,1,5)+'Loan Tape'!$M161)),IF('Loan Tape'!$L161="",0,'Loan Tape'!$L161)))</f>
        <v>0</v>
      </c>
      <c r="H468" s="56" t="n">
        <f aca="false">IF('Loan Tape'!$AN161=0,0,IF('Loan Tape'!$K161="Floating",MIN(IF('Loan Tape'!$P161="",10,'Loan Tape'!$P161),MAX(IF('Loan Tape'!$Q161="",0,'Loan Tape'!$Q161),INDEX(Idx_Curve,1,6)+'Loan Tape'!$M161)),IF('Loan Tape'!$L161="",0,'Loan Tape'!$L161)))</f>
        <v>0</v>
      </c>
      <c r="I468" s="56" t="n">
        <f aca="false">IF('Loan Tape'!$AN161=0,0,IF('Loan Tape'!$K161="Floating",MIN(IF('Loan Tape'!$P161="",10,'Loan Tape'!$P161),MAX(IF('Loan Tape'!$Q161="",0,'Loan Tape'!$Q161),INDEX(Idx_Curve,1,7)+'Loan Tape'!$M161)),IF('Loan Tape'!$L161="",0,'Loan Tape'!$L161)))</f>
        <v>0</v>
      </c>
      <c r="J468" s="56" t="n">
        <f aca="false">IF('Loan Tape'!$AN161=0,0,IF('Loan Tape'!$K161="Floating",MIN(IF('Loan Tape'!$P161="",10,'Loan Tape'!$P161),MAX(IF('Loan Tape'!$Q161="",0,'Loan Tape'!$Q161),INDEX(Idx_Curve,1,8)+'Loan Tape'!$M161)),IF('Loan Tape'!$L161="",0,'Loan Tape'!$L161)))</f>
        <v>0</v>
      </c>
      <c r="K468" s="56" t="n">
        <f aca="false">IF('Loan Tape'!$AN161=0,0,IF('Loan Tape'!$K161="Floating",MIN(IF('Loan Tape'!$P161="",10,'Loan Tape'!$P161),MAX(IF('Loan Tape'!$Q161="",0,'Loan Tape'!$Q161),INDEX(Idx_Curve,1,9)+'Loan Tape'!$M161)),IF('Loan Tape'!$L161="",0,'Loan Tape'!$L161)))</f>
        <v>0</v>
      </c>
      <c r="L468" s="56" t="n">
        <f aca="false">IF('Loan Tape'!$AN161=0,0,IF('Loan Tape'!$K161="Floating",MIN(IF('Loan Tape'!$P161="",10,'Loan Tape'!$P161),MAX(IF('Loan Tape'!$Q161="",0,'Loan Tape'!$Q161),INDEX(Idx_Curve,1,10)+'Loan Tape'!$M161)),IF('Loan Tape'!$L161="",0,'Loan Tape'!$L161)))</f>
        <v>0</v>
      </c>
    </row>
    <row r="469" customFormat="false" ht="15" hidden="false" customHeight="false" outlineLevel="0" collapsed="false">
      <c r="B469" s="102" t="n">
        <f aca="false">'Loan Tape'!$A162</f>
        <v>0</v>
      </c>
      <c r="C469" s="104" t="n">
        <f aca="false">IF('Loan Tape'!$AN162=0,0,IF('Loan Tape'!$K162="Floating",MIN(IF('Loan Tape'!$P162="",10,'Loan Tape'!$P162),MAX(IF('Loan Tape'!$Q162="",0,'Loan Tape'!$Q162),INDEX(Idx_Curve,1,1)+'Loan Tape'!$M162)),IF('Loan Tape'!$L162="",0,'Loan Tape'!$L162)))</f>
        <v>0</v>
      </c>
      <c r="D469" s="104" t="n">
        <f aca="false">IF('Loan Tape'!$AN162=0,0,IF('Loan Tape'!$K162="Floating",MIN(IF('Loan Tape'!$P162="",10,'Loan Tape'!$P162),MAX(IF('Loan Tape'!$Q162="",0,'Loan Tape'!$Q162),INDEX(Idx_Curve,1,2)+'Loan Tape'!$M162)),IF('Loan Tape'!$L162="",0,'Loan Tape'!$L162)))</f>
        <v>0</v>
      </c>
      <c r="E469" s="104" t="n">
        <f aca="false">IF('Loan Tape'!$AN162=0,0,IF('Loan Tape'!$K162="Floating",MIN(IF('Loan Tape'!$P162="",10,'Loan Tape'!$P162),MAX(IF('Loan Tape'!$Q162="",0,'Loan Tape'!$Q162),INDEX(Idx_Curve,1,3)+'Loan Tape'!$M162)),IF('Loan Tape'!$L162="",0,'Loan Tape'!$L162)))</f>
        <v>0</v>
      </c>
      <c r="F469" s="104" t="n">
        <f aca="false">IF('Loan Tape'!$AN162=0,0,IF('Loan Tape'!$K162="Floating",MIN(IF('Loan Tape'!$P162="",10,'Loan Tape'!$P162),MAX(IF('Loan Tape'!$Q162="",0,'Loan Tape'!$Q162),INDEX(Idx_Curve,1,4)+'Loan Tape'!$M162)),IF('Loan Tape'!$L162="",0,'Loan Tape'!$L162)))</f>
        <v>0</v>
      </c>
      <c r="G469" s="104" t="n">
        <f aca="false">IF('Loan Tape'!$AN162=0,0,IF('Loan Tape'!$K162="Floating",MIN(IF('Loan Tape'!$P162="",10,'Loan Tape'!$P162),MAX(IF('Loan Tape'!$Q162="",0,'Loan Tape'!$Q162),INDEX(Idx_Curve,1,5)+'Loan Tape'!$M162)),IF('Loan Tape'!$L162="",0,'Loan Tape'!$L162)))</f>
        <v>0</v>
      </c>
      <c r="H469" s="104" t="n">
        <f aca="false">IF('Loan Tape'!$AN162=0,0,IF('Loan Tape'!$K162="Floating",MIN(IF('Loan Tape'!$P162="",10,'Loan Tape'!$P162),MAX(IF('Loan Tape'!$Q162="",0,'Loan Tape'!$Q162),INDEX(Idx_Curve,1,6)+'Loan Tape'!$M162)),IF('Loan Tape'!$L162="",0,'Loan Tape'!$L162)))</f>
        <v>0</v>
      </c>
      <c r="I469" s="104" t="n">
        <f aca="false">IF('Loan Tape'!$AN162=0,0,IF('Loan Tape'!$K162="Floating",MIN(IF('Loan Tape'!$P162="",10,'Loan Tape'!$P162),MAX(IF('Loan Tape'!$Q162="",0,'Loan Tape'!$Q162),INDEX(Idx_Curve,1,7)+'Loan Tape'!$M162)),IF('Loan Tape'!$L162="",0,'Loan Tape'!$L162)))</f>
        <v>0</v>
      </c>
      <c r="J469" s="104" t="n">
        <f aca="false">IF('Loan Tape'!$AN162=0,0,IF('Loan Tape'!$K162="Floating",MIN(IF('Loan Tape'!$P162="",10,'Loan Tape'!$P162),MAX(IF('Loan Tape'!$Q162="",0,'Loan Tape'!$Q162),INDEX(Idx_Curve,1,8)+'Loan Tape'!$M162)),IF('Loan Tape'!$L162="",0,'Loan Tape'!$L162)))</f>
        <v>0</v>
      </c>
      <c r="K469" s="104" t="n">
        <f aca="false">IF('Loan Tape'!$AN162=0,0,IF('Loan Tape'!$K162="Floating",MIN(IF('Loan Tape'!$P162="",10,'Loan Tape'!$P162),MAX(IF('Loan Tape'!$Q162="",0,'Loan Tape'!$Q162),INDEX(Idx_Curve,1,9)+'Loan Tape'!$M162)),IF('Loan Tape'!$L162="",0,'Loan Tape'!$L162)))</f>
        <v>0</v>
      </c>
      <c r="L469" s="104" t="n">
        <f aca="false">IF('Loan Tape'!$AN162=0,0,IF('Loan Tape'!$K162="Floating",MIN(IF('Loan Tape'!$P162="",10,'Loan Tape'!$P162),MAX(IF('Loan Tape'!$Q162="",0,'Loan Tape'!$Q162),INDEX(Idx_Curve,1,10)+'Loan Tape'!$M162)),IF('Loan Tape'!$L162="",0,'Loan Tape'!$L162)))</f>
        <v>0</v>
      </c>
    </row>
    <row r="470" customFormat="false" ht="15" hidden="false" customHeight="false" outlineLevel="0" collapsed="false">
      <c r="B470" s="108" t="n">
        <f aca="false">'Loan Tape'!$A163</f>
        <v>0</v>
      </c>
      <c r="C470" s="56" t="n">
        <f aca="false">IF('Loan Tape'!$AN163=0,0,IF('Loan Tape'!$K163="Floating",MIN(IF('Loan Tape'!$P163="",10,'Loan Tape'!$P163),MAX(IF('Loan Tape'!$Q163="",0,'Loan Tape'!$Q163),INDEX(Idx_Curve,1,1)+'Loan Tape'!$M163)),IF('Loan Tape'!$L163="",0,'Loan Tape'!$L163)))</f>
        <v>0</v>
      </c>
      <c r="D470" s="56" t="n">
        <f aca="false">IF('Loan Tape'!$AN163=0,0,IF('Loan Tape'!$K163="Floating",MIN(IF('Loan Tape'!$P163="",10,'Loan Tape'!$P163),MAX(IF('Loan Tape'!$Q163="",0,'Loan Tape'!$Q163),INDEX(Idx_Curve,1,2)+'Loan Tape'!$M163)),IF('Loan Tape'!$L163="",0,'Loan Tape'!$L163)))</f>
        <v>0</v>
      </c>
      <c r="E470" s="56" t="n">
        <f aca="false">IF('Loan Tape'!$AN163=0,0,IF('Loan Tape'!$K163="Floating",MIN(IF('Loan Tape'!$P163="",10,'Loan Tape'!$P163),MAX(IF('Loan Tape'!$Q163="",0,'Loan Tape'!$Q163),INDEX(Idx_Curve,1,3)+'Loan Tape'!$M163)),IF('Loan Tape'!$L163="",0,'Loan Tape'!$L163)))</f>
        <v>0</v>
      </c>
      <c r="F470" s="56" t="n">
        <f aca="false">IF('Loan Tape'!$AN163=0,0,IF('Loan Tape'!$K163="Floating",MIN(IF('Loan Tape'!$P163="",10,'Loan Tape'!$P163),MAX(IF('Loan Tape'!$Q163="",0,'Loan Tape'!$Q163),INDEX(Idx_Curve,1,4)+'Loan Tape'!$M163)),IF('Loan Tape'!$L163="",0,'Loan Tape'!$L163)))</f>
        <v>0</v>
      </c>
      <c r="G470" s="56" t="n">
        <f aca="false">IF('Loan Tape'!$AN163=0,0,IF('Loan Tape'!$K163="Floating",MIN(IF('Loan Tape'!$P163="",10,'Loan Tape'!$P163),MAX(IF('Loan Tape'!$Q163="",0,'Loan Tape'!$Q163),INDEX(Idx_Curve,1,5)+'Loan Tape'!$M163)),IF('Loan Tape'!$L163="",0,'Loan Tape'!$L163)))</f>
        <v>0</v>
      </c>
      <c r="H470" s="56" t="n">
        <f aca="false">IF('Loan Tape'!$AN163=0,0,IF('Loan Tape'!$K163="Floating",MIN(IF('Loan Tape'!$P163="",10,'Loan Tape'!$P163),MAX(IF('Loan Tape'!$Q163="",0,'Loan Tape'!$Q163),INDEX(Idx_Curve,1,6)+'Loan Tape'!$M163)),IF('Loan Tape'!$L163="",0,'Loan Tape'!$L163)))</f>
        <v>0</v>
      </c>
      <c r="I470" s="56" t="n">
        <f aca="false">IF('Loan Tape'!$AN163=0,0,IF('Loan Tape'!$K163="Floating",MIN(IF('Loan Tape'!$P163="",10,'Loan Tape'!$P163),MAX(IF('Loan Tape'!$Q163="",0,'Loan Tape'!$Q163),INDEX(Idx_Curve,1,7)+'Loan Tape'!$M163)),IF('Loan Tape'!$L163="",0,'Loan Tape'!$L163)))</f>
        <v>0</v>
      </c>
      <c r="J470" s="56" t="n">
        <f aca="false">IF('Loan Tape'!$AN163=0,0,IF('Loan Tape'!$K163="Floating",MIN(IF('Loan Tape'!$P163="",10,'Loan Tape'!$P163),MAX(IF('Loan Tape'!$Q163="",0,'Loan Tape'!$Q163),INDEX(Idx_Curve,1,8)+'Loan Tape'!$M163)),IF('Loan Tape'!$L163="",0,'Loan Tape'!$L163)))</f>
        <v>0</v>
      </c>
      <c r="K470" s="56" t="n">
        <f aca="false">IF('Loan Tape'!$AN163=0,0,IF('Loan Tape'!$K163="Floating",MIN(IF('Loan Tape'!$P163="",10,'Loan Tape'!$P163),MAX(IF('Loan Tape'!$Q163="",0,'Loan Tape'!$Q163),INDEX(Idx_Curve,1,9)+'Loan Tape'!$M163)),IF('Loan Tape'!$L163="",0,'Loan Tape'!$L163)))</f>
        <v>0</v>
      </c>
      <c r="L470" s="56" t="n">
        <f aca="false">IF('Loan Tape'!$AN163=0,0,IF('Loan Tape'!$K163="Floating",MIN(IF('Loan Tape'!$P163="",10,'Loan Tape'!$P163),MAX(IF('Loan Tape'!$Q163="",0,'Loan Tape'!$Q163),INDEX(Idx_Curve,1,10)+'Loan Tape'!$M163)),IF('Loan Tape'!$L163="",0,'Loan Tape'!$L163)))</f>
        <v>0</v>
      </c>
    </row>
    <row r="471" customFormat="false" ht="15" hidden="false" customHeight="false" outlineLevel="0" collapsed="false">
      <c r="B471" s="102" t="n">
        <f aca="false">'Loan Tape'!$A164</f>
        <v>0</v>
      </c>
      <c r="C471" s="104" t="n">
        <f aca="false">IF('Loan Tape'!$AN164=0,0,IF('Loan Tape'!$K164="Floating",MIN(IF('Loan Tape'!$P164="",10,'Loan Tape'!$P164),MAX(IF('Loan Tape'!$Q164="",0,'Loan Tape'!$Q164),INDEX(Idx_Curve,1,1)+'Loan Tape'!$M164)),IF('Loan Tape'!$L164="",0,'Loan Tape'!$L164)))</f>
        <v>0</v>
      </c>
      <c r="D471" s="104" t="n">
        <f aca="false">IF('Loan Tape'!$AN164=0,0,IF('Loan Tape'!$K164="Floating",MIN(IF('Loan Tape'!$P164="",10,'Loan Tape'!$P164),MAX(IF('Loan Tape'!$Q164="",0,'Loan Tape'!$Q164),INDEX(Idx_Curve,1,2)+'Loan Tape'!$M164)),IF('Loan Tape'!$L164="",0,'Loan Tape'!$L164)))</f>
        <v>0</v>
      </c>
      <c r="E471" s="104" t="n">
        <f aca="false">IF('Loan Tape'!$AN164=0,0,IF('Loan Tape'!$K164="Floating",MIN(IF('Loan Tape'!$P164="",10,'Loan Tape'!$P164),MAX(IF('Loan Tape'!$Q164="",0,'Loan Tape'!$Q164),INDEX(Idx_Curve,1,3)+'Loan Tape'!$M164)),IF('Loan Tape'!$L164="",0,'Loan Tape'!$L164)))</f>
        <v>0</v>
      </c>
      <c r="F471" s="104" t="n">
        <f aca="false">IF('Loan Tape'!$AN164=0,0,IF('Loan Tape'!$K164="Floating",MIN(IF('Loan Tape'!$P164="",10,'Loan Tape'!$P164),MAX(IF('Loan Tape'!$Q164="",0,'Loan Tape'!$Q164),INDEX(Idx_Curve,1,4)+'Loan Tape'!$M164)),IF('Loan Tape'!$L164="",0,'Loan Tape'!$L164)))</f>
        <v>0</v>
      </c>
      <c r="G471" s="104" t="n">
        <f aca="false">IF('Loan Tape'!$AN164=0,0,IF('Loan Tape'!$K164="Floating",MIN(IF('Loan Tape'!$P164="",10,'Loan Tape'!$P164),MAX(IF('Loan Tape'!$Q164="",0,'Loan Tape'!$Q164),INDEX(Idx_Curve,1,5)+'Loan Tape'!$M164)),IF('Loan Tape'!$L164="",0,'Loan Tape'!$L164)))</f>
        <v>0</v>
      </c>
      <c r="H471" s="104" t="n">
        <f aca="false">IF('Loan Tape'!$AN164=0,0,IF('Loan Tape'!$K164="Floating",MIN(IF('Loan Tape'!$P164="",10,'Loan Tape'!$P164),MAX(IF('Loan Tape'!$Q164="",0,'Loan Tape'!$Q164),INDEX(Idx_Curve,1,6)+'Loan Tape'!$M164)),IF('Loan Tape'!$L164="",0,'Loan Tape'!$L164)))</f>
        <v>0</v>
      </c>
      <c r="I471" s="104" t="n">
        <f aca="false">IF('Loan Tape'!$AN164=0,0,IF('Loan Tape'!$K164="Floating",MIN(IF('Loan Tape'!$P164="",10,'Loan Tape'!$P164),MAX(IF('Loan Tape'!$Q164="",0,'Loan Tape'!$Q164),INDEX(Idx_Curve,1,7)+'Loan Tape'!$M164)),IF('Loan Tape'!$L164="",0,'Loan Tape'!$L164)))</f>
        <v>0</v>
      </c>
      <c r="J471" s="104" t="n">
        <f aca="false">IF('Loan Tape'!$AN164=0,0,IF('Loan Tape'!$K164="Floating",MIN(IF('Loan Tape'!$P164="",10,'Loan Tape'!$P164),MAX(IF('Loan Tape'!$Q164="",0,'Loan Tape'!$Q164),INDEX(Idx_Curve,1,8)+'Loan Tape'!$M164)),IF('Loan Tape'!$L164="",0,'Loan Tape'!$L164)))</f>
        <v>0</v>
      </c>
      <c r="K471" s="104" t="n">
        <f aca="false">IF('Loan Tape'!$AN164=0,0,IF('Loan Tape'!$K164="Floating",MIN(IF('Loan Tape'!$P164="",10,'Loan Tape'!$P164),MAX(IF('Loan Tape'!$Q164="",0,'Loan Tape'!$Q164),INDEX(Idx_Curve,1,9)+'Loan Tape'!$M164)),IF('Loan Tape'!$L164="",0,'Loan Tape'!$L164)))</f>
        <v>0</v>
      </c>
      <c r="L471" s="104" t="n">
        <f aca="false">IF('Loan Tape'!$AN164=0,0,IF('Loan Tape'!$K164="Floating",MIN(IF('Loan Tape'!$P164="",10,'Loan Tape'!$P164),MAX(IF('Loan Tape'!$Q164="",0,'Loan Tape'!$Q164),INDEX(Idx_Curve,1,10)+'Loan Tape'!$M164)),IF('Loan Tape'!$L164="",0,'Loan Tape'!$L164)))</f>
        <v>0</v>
      </c>
    </row>
    <row r="472" customFormat="false" ht="15" hidden="false" customHeight="false" outlineLevel="0" collapsed="false">
      <c r="B472" s="108" t="n">
        <f aca="false">'Loan Tape'!$A165</f>
        <v>0</v>
      </c>
      <c r="C472" s="56" t="n">
        <f aca="false">IF('Loan Tape'!$AN165=0,0,IF('Loan Tape'!$K165="Floating",MIN(IF('Loan Tape'!$P165="",10,'Loan Tape'!$P165),MAX(IF('Loan Tape'!$Q165="",0,'Loan Tape'!$Q165),INDEX(Idx_Curve,1,1)+'Loan Tape'!$M165)),IF('Loan Tape'!$L165="",0,'Loan Tape'!$L165)))</f>
        <v>0</v>
      </c>
      <c r="D472" s="56" t="n">
        <f aca="false">IF('Loan Tape'!$AN165=0,0,IF('Loan Tape'!$K165="Floating",MIN(IF('Loan Tape'!$P165="",10,'Loan Tape'!$P165),MAX(IF('Loan Tape'!$Q165="",0,'Loan Tape'!$Q165),INDEX(Idx_Curve,1,2)+'Loan Tape'!$M165)),IF('Loan Tape'!$L165="",0,'Loan Tape'!$L165)))</f>
        <v>0</v>
      </c>
      <c r="E472" s="56" t="n">
        <f aca="false">IF('Loan Tape'!$AN165=0,0,IF('Loan Tape'!$K165="Floating",MIN(IF('Loan Tape'!$P165="",10,'Loan Tape'!$P165),MAX(IF('Loan Tape'!$Q165="",0,'Loan Tape'!$Q165),INDEX(Idx_Curve,1,3)+'Loan Tape'!$M165)),IF('Loan Tape'!$L165="",0,'Loan Tape'!$L165)))</f>
        <v>0</v>
      </c>
      <c r="F472" s="56" t="n">
        <f aca="false">IF('Loan Tape'!$AN165=0,0,IF('Loan Tape'!$K165="Floating",MIN(IF('Loan Tape'!$P165="",10,'Loan Tape'!$P165),MAX(IF('Loan Tape'!$Q165="",0,'Loan Tape'!$Q165),INDEX(Idx_Curve,1,4)+'Loan Tape'!$M165)),IF('Loan Tape'!$L165="",0,'Loan Tape'!$L165)))</f>
        <v>0</v>
      </c>
      <c r="G472" s="56" t="n">
        <f aca="false">IF('Loan Tape'!$AN165=0,0,IF('Loan Tape'!$K165="Floating",MIN(IF('Loan Tape'!$P165="",10,'Loan Tape'!$P165),MAX(IF('Loan Tape'!$Q165="",0,'Loan Tape'!$Q165),INDEX(Idx_Curve,1,5)+'Loan Tape'!$M165)),IF('Loan Tape'!$L165="",0,'Loan Tape'!$L165)))</f>
        <v>0</v>
      </c>
      <c r="H472" s="56" t="n">
        <f aca="false">IF('Loan Tape'!$AN165=0,0,IF('Loan Tape'!$K165="Floating",MIN(IF('Loan Tape'!$P165="",10,'Loan Tape'!$P165),MAX(IF('Loan Tape'!$Q165="",0,'Loan Tape'!$Q165),INDEX(Idx_Curve,1,6)+'Loan Tape'!$M165)),IF('Loan Tape'!$L165="",0,'Loan Tape'!$L165)))</f>
        <v>0</v>
      </c>
      <c r="I472" s="56" t="n">
        <f aca="false">IF('Loan Tape'!$AN165=0,0,IF('Loan Tape'!$K165="Floating",MIN(IF('Loan Tape'!$P165="",10,'Loan Tape'!$P165),MAX(IF('Loan Tape'!$Q165="",0,'Loan Tape'!$Q165),INDEX(Idx_Curve,1,7)+'Loan Tape'!$M165)),IF('Loan Tape'!$L165="",0,'Loan Tape'!$L165)))</f>
        <v>0</v>
      </c>
      <c r="J472" s="56" t="n">
        <f aca="false">IF('Loan Tape'!$AN165=0,0,IF('Loan Tape'!$K165="Floating",MIN(IF('Loan Tape'!$P165="",10,'Loan Tape'!$P165),MAX(IF('Loan Tape'!$Q165="",0,'Loan Tape'!$Q165),INDEX(Idx_Curve,1,8)+'Loan Tape'!$M165)),IF('Loan Tape'!$L165="",0,'Loan Tape'!$L165)))</f>
        <v>0</v>
      </c>
      <c r="K472" s="56" t="n">
        <f aca="false">IF('Loan Tape'!$AN165=0,0,IF('Loan Tape'!$K165="Floating",MIN(IF('Loan Tape'!$P165="",10,'Loan Tape'!$P165),MAX(IF('Loan Tape'!$Q165="",0,'Loan Tape'!$Q165),INDEX(Idx_Curve,1,9)+'Loan Tape'!$M165)),IF('Loan Tape'!$L165="",0,'Loan Tape'!$L165)))</f>
        <v>0</v>
      </c>
      <c r="L472" s="56" t="n">
        <f aca="false">IF('Loan Tape'!$AN165=0,0,IF('Loan Tape'!$K165="Floating",MIN(IF('Loan Tape'!$P165="",10,'Loan Tape'!$P165),MAX(IF('Loan Tape'!$Q165="",0,'Loan Tape'!$Q165),INDEX(Idx_Curve,1,10)+'Loan Tape'!$M165)),IF('Loan Tape'!$L165="",0,'Loan Tape'!$L165)))</f>
        <v>0</v>
      </c>
    </row>
    <row r="473" customFormat="false" ht="15" hidden="false" customHeight="false" outlineLevel="0" collapsed="false">
      <c r="B473" s="102" t="n">
        <f aca="false">'Loan Tape'!$A166</f>
        <v>0</v>
      </c>
      <c r="C473" s="104" t="n">
        <f aca="false">IF('Loan Tape'!$AN166=0,0,IF('Loan Tape'!$K166="Floating",MIN(IF('Loan Tape'!$P166="",10,'Loan Tape'!$P166),MAX(IF('Loan Tape'!$Q166="",0,'Loan Tape'!$Q166),INDEX(Idx_Curve,1,1)+'Loan Tape'!$M166)),IF('Loan Tape'!$L166="",0,'Loan Tape'!$L166)))</f>
        <v>0</v>
      </c>
      <c r="D473" s="104" t="n">
        <f aca="false">IF('Loan Tape'!$AN166=0,0,IF('Loan Tape'!$K166="Floating",MIN(IF('Loan Tape'!$P166="",10,'Loan Tape'!$P166),MAX(IF('Loan Tape'!$Q166="",0,'Loan Tape'!$Q166),INDEX(Idx_Curve,1,2)+'Loan Tape'!$M166)),IF('Loan Tape'!$L166="",0,'Loan Tape'!$L166)))</f>
        <v>0</v>
      </c>
      <c r="E473" s="104" t="n">
        <f aca="false">IF('Loan Tape'!$AN166=0,0,IF('Loan Tape'!$K166="Floating",MIN(IF('Loan Tape'!$P166="",10,'Loan Tape'!$P166),MAX(IF('Loan Tape'!$Q166="",0,'Loan Tape'!$Q166),INDEX(Idx_Curve,1,3)+'Loan Tape'!$M166)),IF('Loan Tape'!$L166="",0,'Loan Tape'!$L166)))</f>
        <v>0</v>
      </c>
      <c r="F473" s="104" t="n">
        <f aca="false">IF('Loan Tape'!$AN166=0,0,IF('Loan Tape'!$K166="Floating",MIN(IF('Loan Tape'!$P166="",10,'Loan Tape'!$P166),MAX(IF('Loan Tape'!$Q166="",0,'Loan Tape'!$Q166),INDEX(Idx_Curve,1,4)+'Loan Tape'!$M166)),IF('Loan Tape'!$L166="",0,'Loan Tape'!$L166)))</f>
        <v>0</v>
      </c>
      <c r="G473" s="104" t="n">
        <f aca="false">IF('Loan Tape'!$AN166=0,0,IF('Loan Tape'!$K166="Floating",MIN(IF('Loan Tape'!$P166="",10,'Loan Tape'!$P166),MAX(IF('Loan Tape'!$Q166="",0,'Loan Tape'!$Q166),INDEX(Idx_Curve,1,5)+'Loan Tape'!$M166)),IF('Loan Tape'!$L166="",0,'Loan Tape'!$L166)))</f>
        <v>0</v>
      </c>
      <c r="H473" s="104" t="n">
        <f aca="false">IF('Loan Tape'!$AN166=0,0,IF('Loan Tape'!$K166="Floating",MIN(IF('Loan Tape'!$P166="",10,'Loan Tape'!$P166),MAX(IF('Loan Tape'!$Q166="",0,'Loan Tape'!$Q166),INDEX(Idx_Curve,1,6)+'Loan Tape'!$M166)),IF('Loan Tape'!$L166="",0,'Loan Tape'!$L166)))</f>
        <v>0</v>
      </c>
      <c r="I473" s="104" t="n">
        <f aca="false">IF('Loan Tape'!$AN166=0,0,IF('Loan Tape'!$K166="Floating",MIN(IF('Loan Tape'!$P166="",10,'Loan Tape'!$P166),MAX(IF('Loan Tape'!$Q166="",0,'Loan Tape'!$Q166),INDEX(Idx_Curve,1,7)+'Loan Tape'!$M166)),IF('Loan Tape'!$L166="",0,'Loan Tape'!$L166)))</f>
        <v>0</v>
      </c>
      <c r="J473" s="104" t="n">
        <f aca="false">IF('Loan Tape'!$AN166=0,0,IF('Loan Tape'!$K166="Floating",MIN(IF('Loan Tape'!$P166="",10,'Loan Tape'!$P166),MAX(IF('Loan Tape'!$Q166="",0,'Loan Tape'!$Q166),INDEX(Idx_Curve,1,8)+'Loan Tape'!$M166)),IF('Loan Tape'!$L166="",0,'Loan Tape'!$L166)))</f>
        <v>0</v>
      </c>
      <c r="K473" s="104" t="n">
        <f aca="false">IF('Loan Tape'!$AN166=0,0,IF('Loan Tape'!$K166="Floating",MIN(IF('Loan Tape'!$P166="",10,'Loan Tape'!$P166),MAX(IF('Loan Tape'!$Q166="",0,'Loan Tape'!$Q166),INDEX(Idx_Curve,1,9)+'Loan Tape'!$M166)),IF('Loan Tape'!$L166="",0,'Loan Tape'!$L166)))</f>
        <v>0</v>
      </c>
      <c r="L473" s="104" t="n">
        <f aca="false">IF('Loan Tape'!$AN166=0,0,IF('Loan Tape'!$K166="Floating",MIN(IF('Loan Tape'!$P166="",10,'Loan Tape'!$P166),MAX(IF('Loan Tape'!$Q166="",0,'Loan Tape'!$Q166),INDEX(Idx_Curve,1,10)+'Loan Tape'!$M166)),IF('Loan Tape'!$L166="",0,'Loan Tape'!$L166)))</f>
        <v>0</v>
      </c>
    </row>
    <row r="474" customFormat="false" ht="15" hidden="false" customHeight="false" outlineLevel="0" collapsed="false">
      <c r="B474" s="108" t="n">
        <f aca="false">'Loan Tape'!$A167</f>
        <v>0</v>
      </c>
      <c r="C474" s="56" t="n">
        <f aca="false">IF('Loan Tape'!$AN167=0,0,IF('Loan Tape'!$K167="Floating",MIN(IF('Loan Tape'!$P167="",10,'Loan Tape'!$P167),MAX(IF('Loan Tape'!$Q167="",0,'Loan Tape'!$Q167),INDEX(Idx_Curve,1,1)+'Loan Tape'!$M167)),IF('Loan Tape'!$L167="",0,'Loan Tape'!$L167)))</f>
        <v>0</v>
      </c>
      <c r="D474" s="56" t="n">
        <f aca="false">IF('Loan Tape'!$AN167=0,0,IF('Loan Tape'!$K167="Floating",MIN(IF('Loan Tape'!$P167="",10,'Loan Tape'!$P167),MAX(IF('Loan Tape'!$Q167="",0,'Loan Tape'!$Q167),INDEX(Idx_Curve,1,2)+'Loan Tape'!$M167)),IF('Loan Tape'!$L167="",0,'Loan Tape'!$L167)))</f>
        <v>0</v>
      </c>
      <c r="E474" s="56" t="n">
        <f aca="false">IF('Loan Tape'!$AN167=0,0,IF('Loan Tape'!$K167="Floating",MIN(IF('Loan Tape'!$P167="",10,'Loan Tape'!$P167),MAX(IF('Loan Tape'!$Q167="",0,'Loan Tape'!$Q167),INDEX(Idx_Curve,1,3)+'Loan Tape'!$M167)),IF('Loan Tape'!$L167="",0,'Loan Tape'!$L167)))</f>
        <v>0</v>
      </c>
      <c r="F474" s="56" t="n">
        <f aca="false">IF('Loan Tape'!$AN167=0,0,IF('Loan Tape'!$K167="Floating",MIN(IF('Loan Tape'!$P167="",10,'Loan Tape'!$P167),MAX(IF('Loan Tape'!$Q167="",0,'Loan Tape'!$Q167),INDEX(Idx_Curve,1,4)+'Loan Tape'!$M167)),IF('Loan Tape'!$L167="",0,'Loan Tape'!$L167)))</f>
        <v>0</v>
      </c>
      <c r="G474" s="56" t="n">
        <f aca="false">IF('Loan Tape'!$AN167=0,0,IF('Loan Tape'!$K167="Floating",MIN(IF('Loan Tape'!$P167="",10,'Loan Tape'!$P167),MAX(IF('Loan Tape'!$Q167="",0,'Loan Tape'!$Q167),INDEX(Idx_Curve,1,5)+'Loan Tape'!$M167)),IF('Loan Tape'!$L167="",0,'Loan Tape'!$L167)))</f>
        <v>0</v>
      </c>
      <c r="H474" s="56" t="n">
        <f aca="false">IF('Loan Tape'!$AN167=0,0,IF('Loan Tape'!$K167="Floating",MIN(IF('Loan Tape'!$P167="",10,'Loan Tape'!$P167),MAX(IF('Loan Tape'!$Q167="",0,'Loan Tape'!$Q167),INDEX(Idx_Curve,1,6)+'Loan Tape'!$M167)),IF('Loan Tape'!$L167="",0,'Loan Tape'!$L167)))</f>
        <v>0</v>
      </c>
      <c r="I474" s="56" t="n">
        <f aca="false">IF('Loan Tape'!$AN167=0,0,IF('Loan Tape'!$K167="Floating",MIN(IF('Loan Tape'!$P167="",10,'Loan Tape'!$P167),MAX(IF('Loan Tape'!$Q167="",0,'Loan Tape'!$Q167),INDEX(Idx_Curve,1,7)+'Loan Tape'!$M167)),IF('Loan Tape'!$L167="",0,'Loan Tape'!$L167)))</f>
        <v>0</v>
      </c>
      <c r="J474" s="56" t="n">
        <f aca="false">IF('Loan Tape'!$AN167=0,0,IF('Loan Tape'!$K167="Floating",MIN(IF('Loan Tape'!$P167="",10,'Loan Tape'!$P167),MAX(IF('Loan Tape'!$Q167="",0,'Loan Tape'!$Q167),INDEX(Idx_Curve,1,8)+'Loan Tape'!$M167)),IF('Loan Tape'!$L167="",0,'Loan Tape'!$L167)))</f>
        <v>0</v>
      </c>
      <c r="K474" s="56" t="n">
        <f aca="false">IF('Loan Tape'!$AN167=0,0,IF('Loan Tape'!$K167="Floating",MIN(IF('Loan Tape'!$P167="",10,'Loan Tape'!$P167),MAX(IF('Loan Tape'!$Q167="",0,'Loan Tape'!$Q167),INDEX(Idx_Curve,1,9)+'Loan Tape'!$M167)),IF('Loan Tape'!$L167="",0,'Loan Tape'!$L167)))</f>
        <v>0</v>
      </c>
      <c r="L474" s="56" t="n">
        <f aca="false">IF('Loan Tape'!$AN167=0,0,IF('Loan Tape'!$K167="Floating",MIN(IF('Loan Tape'!$P167="",10,'Loan Tape'!$P167),MAX(IF('Loan Tape'!$Q167="",0,'Loan Tape'!$Q167),INDEX(Idx_Curve,1,10)+'Loan Tape'!$M167)),IF('Loan Tape'!$L167="",0,'Loan Tape'!$L167)))</f>
        <v>0</v>
      </c>
    </row>
    <row r="475" customFormat="false" ht="15" hidden="false" customHeight="false" outlineLevel="0" collapsed="false">
      <c r="B475" s="102" t="n">
        <f aca="false">'Loan Tape'!$A168</f>
        <v>0</v>
      </c>
      <c r="C475" s="104" t="n">
        <f aca="false">IF('Loan Tape'!$AN168=0,0,IF('Loan Tape'!$K168="Floating",MIN(IF('Loan Tape'!$P168="",10,'Loan Tape'!$P168),MAX(IF('Loan Tape'!$Q168="",0,'Loan Tape'!$Q168),INDEX(Idx_Curve,1,1)+'Loan Tape'!$M168)),IF('Loan Tape'!$L168="",0,'Loan Tape'!$L168)))</f>
        <v>0</v>
      </c>
      <c r="D475" s="104" t="n">
        <f aca="false">IF('Loan Tape'!$AN168=0,0,IF('Loan Tape'!$K168="Floating",MIN(IF('Loan Tape'!$P168="",10,'Loan Tape'!$P168),MAX(IF('Loan Tape'!$Q168="",0,'Loan Tape'!$Q168),INDEX(Idx_Curve,1,2)+'Loan Tape'!$M168)),IF('Loan Tape'!$L168="",0,'Loan Tape'!$L168)))</f>
        <v>0</v>
      </c>
      <c r="E475" s="104" t="n">
        <f aca="false">IF('Loan Tape'!$AN168=0,0,IF('Loan Tape'!$K168="Floating",MIN(IF('Loan Tape'!$P168="",10,'Loan Tape'!$P168),MAX(IF('Loan Tape'!$Q168="",0,'Loan Tape'!$Q168),INDEX(Idx_Curve,1,3)+'Loan Tape'!$M168)),IF('Loan Tape'!$L168="",0,'Loan Tape'!$L168)))</f>
        <v>0</v>
      </c>
      <c r="F475" s="104" t="n">
        <f aca="false">IF('Loan Tape'!$AN168=0,0,IF('Loan Tape'!$K168="Floating",MIN(IF('Loan Tape'!$P168="",10,'Loan Tape'!$P168),MAX(IF('Loan Tape'!$Q168="",0,'Loan Tape'!$Q168),INDEX(Idx_Curve,1,4)+'Loan Tape'!$M168)),IF('Loan Tape'!$L168="",0,'Loan Tape'!$L168)))</f>
        <v>0</v>
      </c>
      <c r="G475" s="104" t="n">
        <f aca="false">IF('Loan Tape'!$AN168=0,0,IF('Loan Tape'!$K168="Floating",MIN(IF('Loan Tape'!$P168="",10,'Loan Tape'!$P168),MAX(IF('Loan Tape'!$Q168="",0,'Loan Tape'!$Q168),INDEX(Idx_Curve,1,5)+'Loan Tape'!$M168)),IF('Loan Tape'!$L168="",0,'Loan Tape'!$L168)))</f>
        <v>0</v>
      </c>
      <c r="H475" s="104" t="n">
        <f aca="false">IF('Loan Tape'!$AN168=0,0,IF('Loan Tape'!$K168="Floating",MIN(IF('Loan Tape'!$P168="",10,'Loan Tape'!$P168),MAX(IF('Loan Tape'!$Q168="",0,'Loan Tape'!$Q168),INDEX(Idx_Curve,1,6)+'Loan Tape'!$M168)),IF('Loan Tape'!$L168="",0,'Loan Tape'!$L168)))</f>
        <v>0</v>
      </c>
      <c r="I475" s="104" t="n">
        <f aca="false">IF('Loan Tape'!$AN168=0,0,IF('Loan Tape'!$K168="Floating",MIN(IF('Loan Tape'!$P168="",10,'Loan Tape'!$P168),MAX(IF('Loan Tape'!$Q168="",0,'Loan Tape'!$Q168),INDEX(Idx_Curve,1,7)+'Loan Tape'!$M168)),IF('Loan Tape'!$L168="",0,'Loan Tape'!$L168)))</f>
        <v>0</v>
      </c>
      <c r="J475" s="104" t="n">
        <f aca="false">IF('Loan Tape'!$AN168=0,0,IF('Loan Tape'!$K168="Floating",MIN(IF('Loan Tape'!$P168="",10,'Loan Tape'!$P168),MAX(IF('Loan Tape'!$Q168="",0,'Loan Tape'!$Q168),INDEX(Idx_Curve,1,8)+'Loan Tape'!$M168)),IF('Loan Tape'!$L168="",0,'Loan Tape'!$L168)))</f>
        <v>0</v>
      </c>
      <c r="K475" s="104" t="n">
        <f aca="false">IF('Loan Tape'!$AN168=0,0,IF('Loan Tape'!$K168="Floating",MIN(IF('Loan Tape'!$P168="",10,'Loan Tape'!$P168),MAX(IF('Loan Tape'!$Q168="",0,'Loan Tape'!$Q168),INDEX(Idx_Curve,1,9)+'Loan Tape'!$M168)),IF('Loan Tape'!$L168="",0,'Loan Tape'!$L168)))</f>
        <v>0</v>
      </c>
      <c r="L475" s="104" t="n">
        <f aca="false">IF('Loan Tape'!$AN168=0,0,IF('Loan Tape'!$K168="Floating",MIN(IF('Loan Tape'!$P168="",10,'Loan Tape'!$P168),MAX(IF('Loan Tape'!$Q168="",0,'Loan Tape'!$Q168),INDEX(Idx_Curve,1,10)+'Loan Tape'!$M168)),IF('Loan Tape'!$L168="",0,'Loan Tape'!$L168)))</f>
        <v>0</v>
      </c>
    </row>
    <row r="476" customFormat="false" ht="15" hidden="false" customHeight="false" outlineLevel="0" collapsed="false">
      <c r="B476" s="108" t="n">
        <f aca="false">'Loan Tape'!$A169</f>
        <v>0</v>
      </c>
      <c r="C476" s="56" t="n">
        <f aca="false">IF('Loan Tape'!$AN169=0,0,IF('Loan Tape'!$K169="Floating",MIN(IF('Loan Tape'!$P169="",10,'Loan Tape'!$P169),MAX(IF('Loan Tape'!$Q169="",0,'Loan Tape'!$Q169),INDEX(Idx_Curve,1,1)+'Loan Tape'!$M169)),IF('Loan Tape'!$L169="",0,'Loan Tape'!$L169)))</f>
        <v>0</v>
      </c>
      <c r="D476" s="56" t="n">
        <f aca="false">IF('Loan Tape'!$AN169=0,0,IF('Loan Tape'!$K169="Floating",MIN(IF('Loan Tape'!$P169="",10,'Loan Tape'!$P169),MAX(IF('Loan Tape'!$Q169="",0,'Loan Tape'!$Q169),INDEX(Idx_Curve,1,2)+'Loan Tape'!$M169)),IF('Loan Tape'!$L169="",0,'Loan Tape'!$L169)))</f>
        <v>0</v>
      </c>
      <c r="E476" s="56" t="n">
        <f aca="false">IF('Loan Tape'!$AN169=0,0,IF('Loan Tape'!$K169="Floating",MIN(IF('Loan Tape'!$P169="",10,'Loan Tape'!$P169),MAX(IF('Loan Tape'!$Q169="",0,'Loan Tape'!$Q169),INDEX(Idx_Curve,1,3)+'Loan Tape'!$M169)),IF('Loan Tape'!$L169="",0,'Loan Tape'!$L169)))</f>
        <v>0</v>
      </c>
      <c r="F476" s="56" t="n">
        <f aca="false">IF('Loan Tape'!$AN169=0,0,IF('Loan Tape'!$K169="Floating",MIN(IF('Loan Tape'!$P169="",10,'Loan Tape'!$P169),MAX(IF('Loan Tape'!$Q169="",0,'Loan Tape'!$Q169),INDEX(Idx_Curve,1,4)+'Loan Tape'!$M169)),IF('Loan Tape'!$L169="",0,'Loan Tape'!$L169)))</f>
        <v>0</v>
      </c>
      <c r="G476" s="56" t="n">
        <f aca="false">IF('Loan Tape'!$AN169=0,0,IF('Loan Tape'!$K169="Floating",MIN(IF('Loan Tape'!$P169="",10,'Loan Tape'!$P169),MAX(IF('Loan Tape'!$Q169="",0,'Loan Tape'!$Q169),INDEX(Idx_Curve,1,5)+'Loan Tape'!$M169)),IF('Loan Tape'!$L169="",0,'Loan Tape'!$L169)))</f>
        <v>0</v>
      </c>
      <c r="H476" s="56" t="n">
        <f aca="false">IF('Loan Tape'!$AN169=0,0,IF('Loan Tape'!$K169="Floating",MIN(IF('Loan Tape'!$P169="",10,'Loan Tape'!$P169),MAX(IF('Loan Tape'!$Q169="",0,'Loan Tape'!$Q169),INDEX(Idx_Curve,1,6)+'Loan Tape'!$M169)),IF('Loan Tape'!$L169="",0,'Loan Tape'!$L169)))</f>
        <v>0</v>
      </c>
      <c r="I476" s="56" t="n">
        <f aca="false">IF('Loan Tape'!$AN169=0,0,IF('Loan Tape'!$K169="Floating",MIN(IF('Loan Tape'!$P169="",10,'Loan Tape'!$P169),MAX(IF('Loan Tape'!$Q169="",0,'Loan Tape'!$Q169),INDEX(Idx_Curve,1,7)+'Loan Tape'!$M169)),IF('Loan Tape'!$L169="",0,'Loan Tape'!$L169)))</f>
        <v>0</v>
      </c>
      <c r="J476" s="56" t="n">
        <f aca="false">IF('Loan Tape'!$AN169=0,0,IF('Loan Tape'!$K169="Floating",MIN(IF('Loan Tape'!$P169="",10,'Loan Tape'!$P169),MAX(IF('Loan Tape'!$Q169="",0,'Loan Tape'!$Q169),INDEX(Idx_Curve,1,8)+'Loan Tape'!$M169)),IF('Loan Tape'!$L169="",0,'Loan Tape'!$L169)))</f>
        <v>0</v>
      </c>
      <c r="K476" s="56" t="n">
        <f aca="false">IF('Loan Tape'!$AN169=0,0,IF('Loan Tape'!$K169="Floating",MIN(IF('Loan Tape'!$P169="",10,'Loan Tape'!$P169),MAX(IF('Loan Tape'!$Q169="",0,'Loan Tape'!$Q169),INDEX(Idx_Curve,1,9)+'Loan Tape'!$M169)),IF('Loan Tape'!$L169="",0,'Loan Tape'!$L169)))</f>
        <v>0</v>
      </c>
      <c r="L476" s="56" t="n">
        <f aca="false">IF('Loan Tape'!$AN169=0,0,IF('Loan Tape'!$K169="Floating",MIN(IF('Loan Tape'!$P169="",10,'Loan Tape'!$P169),MAX(IF('Loan Tape'!$Q169="",0,'Loan Tape'!$Q169),INDEX(Idx_Curve,1,10)+'Loan Tape'!$M169)),IF('Loan Tape'!$L169="",0,'Loan Tape'!$L169)))</f>
        <v>0</v>
      </c>
    </row>
    <row r="477" customFormat="false" ht="15" hidden="false" customHeight="false" outlineLevel="0" collapsed="false">
      <c r="B477" s="102" t="n">
        <f aca="false">'Loan Tape'!$A170</f>
        <v>0</v>
      </c>
      <c r="C477" s="104" t="n">
        <f aca="false">IF('Loan Tape'!$AN170=0,0,IF('Loan Tape'!$K170="Floating",MIN(IF('Loan Tape'!$P170="",10,'Loan Tape'!$P170),MAX(IF('Loan Tape'!$Q170="",0,'Loan Tape'!$Q170),INDEX(Idx_Curve,1,1)+'Loan Tape'!$M170)),IF('Loan Tape'!$L170="",0,'Loan Tape'!$L170)))</f>
        <v>0</v>
      </c>
      <c r="D477" s="104" t="n">
        <f aca="false">IF('Loan Tape'!$AN170=0,0,IF('Loan Tape'!$K170="Floating",MIN(IF('Loan Tape'!$P170="",10,'Loan Tape'!$P170),MAX(IF('Loan Tape'!$Q170="",0,'Loan Tape'!$Q170),INDEX(Idx_Curve,1,2)+'Loan Tape'!$M170)),IF('Loan Tape'!$L170="",0,'Loan Tape'!$L170)))</f>
        <v>0</v>
      </c>
      <c r="E477" s="104" t="n">
        <f aca="false">IF('Loan Tape'!$AN170=0,0,IF('Loan Tape'!$K170="Floating",MIN(IF('Loan Tape'!$P170="",10,'Loan Tape'!$P170),MAX(IF('Loan Tape'!$Q170="",0,'Loan Tape'!$Q170),INDEX(Idx_Curve,1,3)+'Loan Tape'!$M170)),IF('Loan Tape'!$L170="",0,'Loan Tape'!$L170)))</f>
        <v>0</v>
      </c>
      <c r="F477" s="104" t="n">
        <f aca="false">IF('Loan Tape'!$AN170=0,0,IF('Loan Tape'!$K170="Floating",MIN(IF('Loan Tape'!$P170="",10,'Loan Tape'!$P170),MAX(IF('Loan Tape'!$Q170="",0,'Loan Tape'!$Q170),INDEX(Idx_Curve,1,4)+'Loan Tape'!$M170)),IF('Loan Tape'!$L170="",0,'Loan Tape'!$L170)))</f>
        <v>0</v>
      </c>
      <c r="G477" s="104" t="n">
        <f aca="false">IF('Loan Tape'!$AN170=0,0,IF('Loan Tape'!$K170="Floating",MIN(IF('Loan Tape'!$P170="",10,'Loan Tape'!$P170),MAX(IF('Loan Tape'!$Q170="",0,'Loan Tape'!$Q170),INDEX(Idx_Curve,1,5)+'Loan Tape'!$M170)),IF('Loan Tape'!$L170="",0,'Loan Tape'!$L170)))</f>
        <v>0</v>
      </c>
      <c r="H477" s="104" t="n">
        <f aca="false">IF('Loan Tape'!$AN170=0,0,IF('Loan Tape'!$K170="Floating",MIN(IF('Loan Tape'!$P170="",10,'Loan Tape'!$P170),MAX(IF('Loan Tape'!$Q170="",0,'Loan Tape'!$Q170),INDEX(Idx_Curve,1,6)+'Loan Tape'!$M170)),IF('Loan Tape'!$L170="",0,'Loan Tape'!$L170)))</f>
        <v>0</v>
      </c>
      <c r="I477" s="104" t="n">
        <f aca="false">IF('Loan Tape'!$AN170=0,0,IF('Loan Tape'!$K170="Floating",MIN(IF('Loan Tape'!$P170="",10,'Loan Tape'!$P170),MAX(IF('Loan Tape'!$Q170="",0,'Loan Tape'!$Q170),INDEX(Idx_Curve,1,7)+'Loan Tape'!$M170)),IF('Loan Tape'!$L170="",0,'Loan Tape'!$L170)))</f>
        <v>0</v>
      </c>
      <c r="J477" s="104" t="n">
        <f aca="false">IF('Loan Tape'!$AN170=0,0,IF('Loan Tape'!$K170="Floating",MIN(IF('Loan Tape'!$P170="",10,'Loan Tape'!$P170),MAX(IF('Loan Tape'!$Q170="",0,'Loan Tape'!$Q170),INDEX(Idx_Curve,1,8)+'Loan Tape'!$M170)),IF('Loan Tape'!$L170="",0,'Loan Tape'!$L170)))</f>
        <v>0</v>
      </c>
      <c r="K477" s="104" t="n">
        <f aca="false">IF('Loan Tape'!$AN170=0,0,IF('Loan Tape'!$K170="Floating",MIN(IF('Loan Tape'!$P170="",10,'Loan Tape'!$P170),MAX(IF('Loan Tape'!$Q170="",0,'Loan Tape'!$Q170),INDEX(Idx_Curve,1,9)+'Loan Tape'!$M170)),IF('Loan Tape'!$L170="",0,'Loan Tape'!$L170)))</f>
        <v>0</v>
      </c>
      <c r="L477" s="104" t="n">
        <f aca="false">IF('Loan Tape'!$AN170=0,0,IF('Loan Tape'!$K170="Floating",MIN(IF('Loan Tape'!$P170="",10,'Loan Tape'!$P170),MAX(IF('Loan Tape'!$Q170="",0,'Loan Tape'!$Q170),INDEX(Idx_Curve,1,10)+'Loan Tape'!$M170)),IF('Loan Tape'!$L170="",0,'Loan Tape'!$L170)))</f>
        <v>0</v>
      </c>
    </row>
    <row r="478" customFormat="false" ht="15" hidden="false" customHeight="false" outlineLevel="0" collapsed="false">
      <c r="B478" s="108" t="n">
        <f aca="false">'Loan Tape'!$A171</f>
        <v>0</v>
      </c>
      <c r="C478" s="56" t="n">
        <f aca="false">IF('Loan Tape'!$AN171=0,0,IF('Loan Tape'!$K171="Floating",MIN(IF('Loan Tape'!$P171="",10,'Loan Tape'!$P171),MAX(IF('Loan Tape'!$Q171="",0,'Loan Tape'!$Q171),INDEX(Idx_Curve,1,1)+'Loan Tape'!$M171)),IF('Loan Tape'!$L171="",0,'Loan Tape'!$L171)))</f>
        <v>0</v>
      </c>
      <c r="D478" s="56" t="n">
        <f aca="false">IF('Loan Tape'!$AN171=0,0,IF('Loan Tape'!$K171="Floating",MIN(IF('Loan Tape'!$P171="",10,'Loan Tape'!$P171),MAX(IF('Loan Tape'!$Q171="",0,'Loan Tape'!$Q171),INDEX(Idx_Curve,1,2)+'Loan Tape'!$M171)),IF('Loan Tape'!$L171="",0,'Loan Tape'!$L171)))</f>
        <v>0</v>
      </c>
      <c r="E478" s="56" t="n">
        <f aca="false">IF('Loan Tape'!$AN171=0,0,IF('Loan Tape'!$K171="Floating",MIN(IF('Loan Tape'!$P171="",10,'Loan Tape'!$P171),MAX(IF('Loan Tape'!$Q171="",0,'Loan Tape'!$Q171),INDEX(Idx_Curve,1,3)+'Loan Tape'!$M171)),IF('Loan Tape'!$L171="",0,'Loan Tape'!$L171)))</f>
        <v>0</v>
      </c>
      <c r="F478" s="56" t="n">
        <f aca="false">IF('Loan Tape'!$AN171=0,0,IF('Loan Tape'!$K171="Floating",MIN(IF('Loan Tape'!$P171="",10,'Loan Tape'!$P171),MAX(IF('Loan Tape'!$Q171="",0,'Loan Tape'!$Q171),INDEX(Idx_Curve,1,4)+'Loan Tape'!$M171)),IF('Loan Tape'!$L171="",0,'Loan Tape'!$L171)))</f>
        <v>0</v>
      </c>
      <c r="G478" s="56" t="n">
        <f aca="false">IF('Loan Tape'!$AN171=0,0,IF('Loan Tape'!$K171="Floating",MIN(IF('Loan Tape'!$P171="",10,'Loan Tape'!$P171),MAX(IF('Loan Tape'!$Q171="",0,'Loan Tape'!$Q171),INDEX(Idx_Curve,1,5)+'Loan Tape'!$M171)),IF('Loan Tape'!$L171="",0,'Loan Tape'!$L171)))</f>
        <v>0</v>
      </c>
      <c r="H478" s="56" t="n">
        <f aca="false">IF('Loan Tape'!$AN171=0,0,IF('Loan Tape'!$K171="Floating",MIN(IF('Loan Tape'!$P171="",10,'Loan Tape'!$P171),MAX(IF('Loan Tape'!$Q171="",0,'Loan Tape'!$Q171),INDEX(Idx_Curve,1,6)+'Loan Tape'!$M171)),IF('Loan Tape'!$L171="",0,'Loan Tape'!$L171)))</f>
        <v>0</v>
      </c>
      <c r="I478" s="56" t="n">
        <f aca="false">IF('Loan Tape'!$AN171=0,0,IF('Loan Tape'!$K171="Floating",MIN(IF('Loan Tape'!$P171="",10,'Loan Tape'!$P171),MAX(IF('Loan Tape'!$Q171="",0,'Loan Tape'!$Q171),INDEX(Idx_Curve,1,7)+'Loan Tape'!$M171)),IF('Loan Tape'!$L171="",0,'Loan Tape'!$L171)))</f>
        <v>0</v>
      </c>
      <c r="J478" s="56" t="n">
        <f aca="false">IF('Loan Tape'!$AN171=0,0,IF('Loan Tape'!$K171="Floating",MIN(IF('Loan Tape'!$P171="",10,'Loan Tape'!$P171),MAX(IF('Loan Tape'!$Q171="",0,'Loan Tape'!$Q171),INDEX(Idx_Curve,1,8)+'Loan Tape'!$M171)),IF('Loan Tape'!$L171="",0,'Loan Tape'!$L171)))</f>
        <v>0</v>
      </c>
      <c r="K478" s="56" t="n">
        <f aca="false">IF('Loan Tape'!$AN171=0,0,IF('Loan Tape'!$K171="Floating",MIN(IF('Loan Tape'!$P171="",10,'Loan Tape'!$P171),MAX(IF('Loan Tape'!$Q171="",0,'Loan Tape'!$Q171),INDEX(Idx_Curve,1,9)+'Loan Tape'!$M171)),IF('Loan Tape'!$L171="",0,'Loan Tape'!$L171)))</f>
        <v>0</v>
      </c>
      <c r="L478" s="56" t="n">
        <f aca="false">IF('Loan Tape'!$AN171=0,0,IF('Loan Tape'!$K171="Floating",MIN(IF('Loan Tape'!$P171="",10,'Loan Tape'!$P171),MAX(IF('Loan Tape'!$Q171="",0,'Loan Tape'!$Q171),INDEX(Idx_Curve,1,10)+'Loan Tape'!$M171)),IF('Loan Tape'!$L171="",0,'Loan Tape'!$L171)))</f>
        <v>0</v>
      </c>
    </row>
    <row r="479" customFormat="false" ht="15" hidden="false" customHeight="false" outlineLevel="0" collapsed="false">
      <c r="B479" s="102" t="n">
        <f aca="false">'Loan Tape'!$A172</f>
        <v>0</v>
      </c>
      <c r="C479" s="104" t="n">
        <f aca="false">IF('Loan Tape'!$AN172=0,0,IF('Loan Tape'!$K172="Floating",MIN(IF('Loan Tape'!$P172="",10,'Loan Tape'!$P172),MAX(IF('Loan Tape'!$Q172="",0,'Loan Tape'!$Q172),INDEX(Idx_Curve,1,1)+'Loan Tape'!$M172)),IF('Loan Tape'!$L172="",0,'Loan Tape'!$L172)))</f>
        <v>0</v>
      </c>
      <c r="D479" s="104" t="n">
        <f aca="false">IF('Loan Tape'!$AN172=0,0,IF('Loan Tape'!$K172="Floating",MIN(IF('Loan Tape'!$P172="",10,'Loan Tape'!$P172),MAX(IF('Loan Tape'!$Q172="",0,'Loan Tape'!$Q172),INDEX(Idx_Curve,1,2)+'Loan Tape'!$M172)),IF('Loan Tape'!$L172="",0,'Loan Tape'!$L172)))</f>
        <v>0</v>
      </c>
      <c r="E479" s="104" t="n">
        <f aca="false">IF('Loan Tape'!$AN172=0,0,IF('Loan Tape'!$K172="Floating",MIN(IF('Loan Tape'!$P172="",10,'Loan Tape'!$P172),MAX(IF('Loan Tape'!$Q172="",0,'Loan Tape'!$Q172),INDEX(Idx_Curve,1,3)+'Loan Tape'!$M172)),IF('Loan Tape'!$L172="",0,'Loan Tape'!$L172)))</f>
        <v>0</v>
      </c>
      <c r="F479" s="104" t="n">
        <f aca="false">IF('Loan Tape'!$AN172=0,0,IF('Loan Tape'!$K172="Floating",MIN(IF('Loan Tape'!$P172="",10,'Loan Tape'!$P172),MAX(IF('Loan Tape'!$Q172="",0,'Loan Tape'!$Q172),INDEX(Idx_Curve,1,4)+'Loan Tape'!$M172)),IF('Loan Tape'!$L172="",0,'Loan Tape'!$L172)))</f>
        <v>0</v>
      </c>
      <c r="G479" s="104" t="n">
        <f aca="false">IF('Loan Tape'!$AN172=0,0,IF('Loan Tape'!$K172="Floating",MIN(IF('Loan Tape'!$P172="",10,'Loan Tape'!$P172),MAX(IF('Loan Tape'!$Q172="",0,'Loan Tape'!$Q172),INDEX(Idx_Curve,1,5)+'Loan Tape'!$M172)),IF('Loan Tape'!$L172="",0,'Loan Tape'!$L172)))</f>
        <v>0</v>
      </c>
      <c r="H479" s="104" t="n">
        <f aca="false">IF('Loan Tape'!$AN172=0,0,IF('Loan Tape'!$K172="Floating",MIN(IF('Loan Tape'!$P172="",10,'Loan Tape'!$P172),MAX(IF('Loan Tape'!$Q172="",0,'Loan Tape'!$Q172),INDEX(Idx_Curve,1,6)+'Loan Tape'!$M172)),IF('Loan Tape'!$L172="",0,'Loan Tape'!$L172)))</f>
        <v>0</v>
      </c>
      <c r="I479" s="104" t="n">
        <f aca="false">IF('Loan Tape'!$AN172=0,0,IF('Loan Tape'!$K172="Floating",MIN(IF('Loan Tape'!$P172="",10,'Loan Tape'!$P172),MAX(IF('Loan Tape'!$Q172="",0,'Loan Tape'!$Q172),INDEX(Idx_Curve,1,7)+'Loan Tape'!$M172)),IF('Loan Tape'!$L172="",0,'Loan Tape'!$L172)))</f>
        <v>0</v>
      </c>
      <c r="J479" s="104" t="n">
        <f aca="false">IF('Loan Tape'!$AN172=0,0,IF('Loan Tape'!$K172="Floating",MIN(IF('Loan Tape'!$P172="",10,'Loan Tape'!$P172),MAX(IF('Loan Tape'!$Q172="",0,'Loan Tape'!$Q172),INDEX(Idx_Curve,1,8)+'Loan Tape'!$M172)),IF('Loan Tape'!$L172="",0,'Loan Tape'!$L172)))</f>
        <v>0</v>
      </c>
      <c r="K479" s="104" t="n">
        <f aca="false">IF('Loan Tape'!$AN172=0,0,IF('Loan Tape'!$K172="Floating",MIN(IF('Loan Tape'!$P172="",10,'Loan Tape'!$P172),MAX(IF('Loan Tape'!$Q172="",0,'Loan Tape'!$Q172),INDEX(Idx_Curve,1,9)+'Loan Tape'!$M172)),IF('Loan Tape'!$L172="",0,'Loan Tape'!$L172)))</f>
        <v>0</v>
      </c>
      <c r="L479" s="104" t="n">
        <f aca="false">IF('Loan Tape'!$AN172=0,0,IF('Loan Tape'!$K172="Floating",MIN(IF('Loan Tape'!$P172="",10,'Loan Tape'!$P172),MAX(IF('Loan Tape'!$Q172="",0,'Loan Tape'!$Q172),INDEX(Idx_Curve,1,10)+'Loan Tape'!$M172)),IF('Loan Tape'!$L172="",0,'Loan Tape'!$L172)))</f>
        <v>0</v>
      </c>
    </row>
    <row r="480" customFormat="false" ht="15" hidden="false" customHeight="false" outlineLevel="0" collapsed="false">
      <c r="B480" s="108" t="n">
        <f aca="false">'Loan Tape'!$A173</f>
        <v>0</v>
      </c>
      <c r="C480" s="56" t="n">
        <f aca="false">IF('Loan Tape'!$AN173=0,0,IF('Loan Tape'!$K173="Floating",MIN(IF('Loan Tape'!$P173="",10,'Loan Tape'!$P173),MAX(IF('Loan Tape'!$Q173="",0,'Loan Tape'!$Q173),INDEX(Idx_Curve,1,1)+'Loan Tape'!$M173)),IF('Loan Tape'!$L173="",0,'Loan Tape'!$L173)))</f>
        <v>0</v>
      </c>
      <c r="D480" s="56" t="n">
        <f aca="false">IF('Loan Tape'!$AN173=0,0,IF('Loan Tape'!$K173="Floating",MIN(IF('Loan Tape'!$P173="",10,'Loan Tape'!$P173),MAX(IF('Loan Tape'!$Q173="",0,'Loan Tape'!$Q173),INDEX(Idx_Curve,1,2)+'Loan Tape'!$M173)),IF('Loan Tape'!$L173="",0,'Loan Tape'!$L173)))</f>
        <v>0</v>
      </c>
      <c r="E480" s="56" t="n">
        <f aca="false">IF('Loan Tape'!$AN173=0,0,IF('Loan Tape'!$K173="Floating",MIN(IF('Loan Tape'!$P173="",10,'Loan Tape'!$P173),MAX(IF('Loan Tape'!$Q173="",0,'Loan Tape'!$Q173),INDEX(Idx_Curve,1,3)+'Loan Tape'!$M173)),IF('Loan Tape'!$L173="",0,'Loan Tape'!$L173)))</f>
        <v>0</v>
      </c>
      <c r="F480" s="56" t="n">
        <f aca="false">IF('Loan Tape'!$AN173=0,0,IF('Loan Tape'!$K173="Floating",MIN(IF('Loan Tape'!$P173="",10,'Loan Tape'!$P173),MAX(IF('Loan Tape'!$Q173="",0,'Loan Tape'!$Q173),INDEX(Idx_Curve,1,4)+'Loan Tape'!$M173)),IF('Loan Tape'!$L173="",0,'Loan Tape'!$L173)))</f>
        <v>0</v>
      </c>
      <c r="G480" s="56" t="n">
        <f aca="false">IF('Loan Tape'!$AN173=0,0,IF('Loan Tape'!$K173="Floating",MIN(IF('Loan Tape'!$P173="",10,'Loan Tape'!$P173),MAX(IF('Loan Tape'!$Q173="",0,'Loan Tape'!$Q173),INDEX(Idx_Curve,1,5)+'Loan Tape'!$M173)),IF('Loan Tape'!$L173="",0,'Loan Tape'!$L173)))</f>
        <v>0</v>
      </c>
      <c r="H480" s="56" t="n">
        <f aca="false">IF('Loan Tape'!$AN173=0,0,IF('Loan Tape'!$K173="Floating",MIN(IF('Loan Tape'!$P173="",10,'Loan Tape'!$P173),MAX(IF('Loan Tape'!$Q173="",0,'Loan Tape'!$Q173),INDEX(Idx_Curve,1,6)+'Loan Tape'!$M173)),IF('Loan Tape'!$L173="",0,'Loan Tape'!$L173)))</f>
        <v>0</v>
      </c>
      <c r="I480" s="56" t="n">
        <f aca="false">IF('Loan Tape'!$AN173=0,0,IF('Loan Tape'!$K173="Floating",MIN(IF('Loan Tape'!$P173="",10,'Loan Tape'!$P173),MAX(IF('Loan Tape'!$Q173="",0,'Loan Tape'!$Q173),INDEX(Idx_Curve,1,7)+'Loan Tape'!$M173)),IF('Loan Tape'!$L173="",0,'Loan Tape'!$L173)))</f>
        <v>0</v>
      </c>
      <c r="J480" s="56" t="n">
        <f aca="false">IF('Loan Tape'!$AN173=0,0,IF('Loan Tape'!$K173="Floating",MIN(IF('Loan Tape'!$P173="",10,'Loan Tape'!$P173),MAX(IF('Loan Tape'!$Q173="",0,'Loan Tape'!$Q173),INDEX(Idx_Curve,1,8)+'Loan Tape'!$M173)),IF('Loan Tape'!$L173="",0,'Loan Tape'!$L173)))</f>
        <v>0</v>
      </c>
      <c r="K480" s="56" t="n">
        <f aca="false">IF('Loan Tape'!$AN173=0,0,IF('Loan Tape'!$K173="Floating",MIN(IF('Loan Tape'!$P173="",10,'Loan Tape'!$P173),MAX(IF('Loan Tape'!$Q173="",0,'Loan Tape'!$Q173),INDEX(Idx_Curve,1,9)+'Loan Tape'!$M173)),IF('Loan Tape'!$L173="",0,'Loan Tape'!$L173)))</f>
        <v>0</v>
      </c>
      <c r="L480" s="56" t="n">
        <f aca="false">IF('Loan Tape'!$AN173=0,0,IF('Loan Tape'!$K173="Floating",MIN(IF('Loan Tape'!$P173="",10,'Loan Tape'!$P173),MAX(IF('Loan Tape'!$Q173="",0,'Loan Tape'!$Q173),INDEX(Idx_Curve,1,10)+'Loan Tape'!$M173)),IF('Loan Tape'!$L173="",0,'Loan Tape'!$L173)))</f>
        <v>0</v>
      </c>
    </row>
    <row r="481" customFormat="false" ht="15" hidden="false" customHeight="false" outlineLevel="0" collapsed="false">
      <c r="B481" s="102" t="n">
        <f aca="false">'Loan Tape'!$A174</f>
        <v>0</v>
      </c>
      <c r="C481" s="104" t="n">
        <f aca="false">IF('Loan Tape'!$AN174=0,0,IF('Loan Tape'!$K174="Floating",MIN(IF('Loan Tape'!$P174="",10,'Loan Tape'!$P174),MAX(IF('Loan Tape'!$Q174="",0,'Loan Tape'!$Q174),INDEX(Idx_Curve,1,1)+'Loan Tape'!$M174)),IF('Loan Tape'!$L174="",0,'Loan Tape'!$L174)))</f>
        <v>0</v>
      </c>
      <c r="D481" s="104" t="n">
        <f aca="false">IF('Loan Tape'!$AN174=0,0,IF('Loan Tape'!$K174="Floating",MIN(IF('Loan Tape'!$P174="",10,'Loan Tape'!$P174),MAX(IF('Loan Tape'!$Q174="",0,'Loan Tape'!$Q174),INDEX(Idx_Curve,1,2)+'Loan Tape'!$M174)),IF('Loan Tape'!$L174="",0,'Loan Tape'!$L174)))</f>
        <v>0</v>
      </c>
      <c r="E481" s="104" t="n">
        <f aca="false">IF('Loan Tape'!$AN174=0,0,IF('Loan Tape'!$K174="Floating",MIN(IF('Loan Tape'!$P174="",10,'Loan Tape'!$P174),MAX(IF('Loan Tape'!$Q174="",0,'Loan Tape'!$Q174),INDEX(Idx_Curve,1,3)+'Loan Tape'!$M174)),IF('Loan Tape'!$L174="",0,'Loan Tape'!$L174)))</f>
        <v>0</v>
      </c>
      <c r="F481" s="104" t="n">
        <f aca="false">IF('Loan Tape'!$AN174=0,0,IF('Loan Tape'!$K174="Floating",MIN(IF('Loan Tape'!$P174="",10,'Loan Tape'!$P174),MAX(IF('Loan Tape'!$Q174="",0,'Loan Tape'!$Q174),INDEX(Idx_Curve,1,4)+'Loan Tape'!$M174)),IF('Loan Tape'!$L174="",0,'Loan Tape'!$L174)))</f>
        <v>0</v>
      </c>
      <c r="G481" s="104" t="n">
        <f aca="false">IF('Loan Tape'!$AN174=0,0,IF('Loan Tape'!$K174="Floating",MIN(IF('Loan Tape'!$P174="",10,'Loan Tape'!$P174),MAX(IF('Loan Tape'!$Q174="",0,'Loan Tape'!$Q174),INDEX(Idx_Curve,1,5)+'Loan Tape'!$M174)),IF('Loan Tape'!$L174="",0,'Loan Tape'!$L174)))</f>
        <v>0</v>
      </c>
      <c r="H481" s="104" t="n">
        <f aca="false">IF('Loan Tape'!$AN174=0,0,IF('Loan Tape'!$K174="Floating",MIN(IF('Loan Tape'!$P174="",10,'Loan Tape'!$P174),MAX(IF('Loan Tape'!$Q174="",0,'Loan Tape'!$Q174),INDEX(Idx_Curve,1,6)+'Loan Tape'!$M174)),IF('Loan Tape'!$L174="",0,'Loan Tape'!$L174)))</f>
        <v>0</v>
      </c>
      <c r="I481" s="104" t="n">
        <f aca="false">IF('Loan Tape'!$AN174=0,0,IF('Loan Tape'!$K174="Floating",MIN(IF('Loan Tape'!$P174="",10,'Loan Tape'!$P174),MAX(IF('Loan Tape'!$Q174="",0,'Loan Tape'!$Q174),INDEX(Idx_Curve,1,7)+'Loan Tape'!$M174)),IF('Loan Tape'!$L174="",0,'Loan Tape'!$L174)))</f>
        <v>0</v>
      </c>
      <c r="J481" s="104" t="n">
        <f aca="false">IF('Loan Tape'!$AN174=0,0,IF('Loan Tape'!$K174="Floating",MIN(IF('Loan Tape'!$P174="",10,'Loan Tape'!$P174),MAX(IF('Loan Tape'!$Q174="",0,'Loan Tape'!$Q174),INDEX(Idx_Curve,1,8)+'Loan Tape'!$M174)),IF('Loan Tape'!$L174="",0,'Loan Tape'!$L174)))</f>
        <v>0</v>
      </c>
      <c r="K481" s="104" t="n">
        <f aca="false">IF('Loan Tape'!$AN174=0,0,IF('Loan Tape'!$K174="Floating",MIN(IF('Loan Tape'!$P174="",10,'Loan Tape'!$P174),MAX(IF('Loan Tape'!$Q174="",0,'Loan Tape'!$Q174),INDEX(Idx_Curve,1,9)+'Loan Tape'!$M174)),IF('Loan Tape'!$L174="",0,'Loan Tape'!$L174)))</f>
        <v>0</v>
      </c>
      <c r="L481" s="104" t="n">
        <f aca="false">IF('Loan Tape'!$AN174=0,0,IF('Loan Tape'!$K174="Floating",MIN(IF('Loan Tape'!$P174="",10,'Loan Tape'!$P174),MAX(IF('Loan Tape'!$Q174="",0,'Loan Tape'!$Q174),INDEX(Idx_Curve,1,10)+'Loan Tape'!$M174)),IF('Loan Tape'!$L174="",0,'Loan Tape'!$L174)))</f>
        <v>0</v>
      </c>
    </row>
    <row r="482" customFormat="false" ht="15" hidden="false" customHeight="false" outlineLevel="0" collapsed="false">
      <c r="B482" s="108" t="n">
        <f aca="false">'Loan Tape'!$A175</f>
        <v>0</v>
      </c>
      <c r="C482" s="56" t="n">
        <f aca="false">IF('Loan Tape'!$AN175=0,0,IF('Loan Tape'!$K175="Floating",MIN(IF('Loan Tape'!$P175="",10,'Loan Tape'!$P175),MAX(IF('Loan Tape'!$Q175="",0,'Loan Tape'!$Q175),INDEX(Idx_Curve,1,1)+'Loan Tape'!$M175)),IF('Loan Tape'!$L175="",0,'Loan Tape'!$L175)))</f>
        <v>0</v>
      </c>
      <c r="D482" s="56" t="n">
        <f aca="false">IF('Loan Tape'!$AN175=0,0,IF('Loan Tape'!$K175="Floating",MIN(IF('Loan Tape'!$P175="",10,'Loan Tape'!$P175),MAX(IF('Loan Tape'!$Q175="",0,'Loan Tape'!$Q175),INDEX(Idx_Curve,1,2)+'Loan Tape'!$M175)),IF('Loan Tape'!$L175="",0,'Loan Tape'!$L175)))</f>
        <v>0</v>
      </c>
      <c r="E482" s="56" t="n">
        <f aca="false">IF('Loan Tape'!$AN175=0,0,IF('Loan Tape'!$K175="Floating",MIN(IF('Loan Tape'!$P175="",10,'Loan Tape'!$P175),MAX(IF('Loan Tape'!$Q175="",0,'Loan Tape'!$Q175),INDEX(Idx_Curve,1,3)+'Loan Tape'!$M175)),IF('Loan Tape'!$L175="",0,'Loan Tape'!$L175)))</f>
        <v>0</v>
      </c>
      <c r="F482" s="56" t="n">
        <f aca="false">IF('Loan Tape'!$AN175=0,0,IF('Loan Tape'!$K175="Floating",MIN(IF('Loan Tape'!$P175="",10,'Loan Tape'!$P175),MAX(IF('Loan Tape'!$Q175="",0,'Loan Tape'!$Q175),INDEX(Idx_Curve,1,4)+'Loan Tape'!$M175)),IF('Loan Tape'!$L175="",0,'Loan Tape'!$L175)))</f>
        <v>0</v>
      </c>
      <c r="G482" s="56" t="n">
        <f aca="false">IF('Loan Tape'!$AN175=0,0,IF('Loan Tape'!$K175="Floating",MIN(IF('Loan Tape'!$P175="",10,'Loan Tape'!$P175),MAX(IF('Loan Tape'!$Q175="",0,'Loan Tape'!$Q175),INDEX(Idx_Curve,1,5)+'Loan Tape'!$M175)),IF('Loan Tape'!$L175="",0,'Loan Tape'!$L175)))</f>
        <v>0</v>
      </c>
      <c r="H482" s="56" t="n">
        <f aca="false">IF('Loan Tape'!$AN175=0,0,IF('Loan Tape'!$K175="Floating",MIN(IF('Loan Tape'!$P175="",10,'Loan Tape'!$P175),MAX(IF('Loan Tape'!$Q175="",0,'Loan Tape'!$Q175),INDEX(Idx_Curve,1,6)+'Loan Tape'!$M175)),IF('Loan Tape'!$L175="",0,'Loan Tape'!$L175)))</f>
        <v>0</v>
      </c>
      <c r="I482" s="56" t="n">
        <f aca="false">IF('Loan Tape'!$AN175=0,0,IF('Loan Tape'!$K175="Floating",MIN(IF('Loan Tape'!$P175="",10,'Loan Tape'!$P175),MAX(IF('Loan Tape'!$Q175="",0,'Loan Tape'!$Q175),INDEX(Idx_Curve,1,7)+'Loan Tape'!$M175)),IF('Loan Tape'!$L175="",0,'Loan Tape'!$L175)))</f>
        <v>0</v>
      </c>
      <c r="J482" s="56" t="n">
        <f aca="false">IF('Loan Tape'!$AN175=0,0,IF('Loan Tape'!$K175="Floating",MIN(IF('Loan Tape'!$P175="",10,'Loan Tape'!$P175),MAX(IF('Loan Tape'!$Q175="",0,'Loan Tape'!$Q175),INDEX(Idx_Curve,1,8)+'Loan Tape'!$M175)),IF('Loan Tape'!$L175="",0,'Loan Tape'!$L175)))</f>
        <v>0</v>
      </c>
      <c r="K482" s="56" t="n">
        <f aca="false">IF('Loan Tape'!$AN175=0,0,IF('Loan Tape'!$K175="Floating",MIN(IF('Loan Tape'!$P175="",10,'Loan Tape'!$P175),MAX(IF('Loan Tape'!$Q175="",0,'Loan Tape'!$Q175),INDEX(Idx_Curve,1,9)+'Loan Tape'!$M175)),IF('Loan Tape'!$L175="",0,'Loan Tape'!$L175)))</f>
        <v>0</v>
      </c>
      <c r="L482" s="56" t="n">
        <f aca="false">IF('Loan Tape'!$AN175=0,0,IF('Loan Tape'!$K175="Floating",MIN(IF('Loan Tape'!$P175="",10,'Loan Tape'!$P175),MAX(IF('Loan Tape'!$Q175="",0,'Loan Tape'!$Q175),INDEX(Idx_Curve,1,10)+'Loan Tape'!$M175)),IF('Loan Tape'!$L175="",0,'Loan Tape'!$L175)))</f>
        <v>0</v>
      </c>
    </row>
    <row r="483" customFormat="false" ht="15" hidden="false" customHeight="false" outlineLevel="0" collapsed="false">
      <c r="B483" s="102" t="n">
        <f aca="false">'Loan Tape'!$A176</f>
        <v>0</v>
      </c>
      <c r="C483" s="104" t="n">
        <f aca="false">IF('Loan Tape'!$AN176=0,0,IF('Loan Tape'!$K176="Floating",MIN(IF('Loan Tape'!$P176="",10,'Loan Tape'!$P176),MAX(IF('Loan Tape'!$Q176="",0,'Loan Tape'!$Q176),INDEX(Idx_Curve,1,1)+'Loan Tape'!$M176)),IF('Loan Tape'!$L176="",0,'Loan Tape'!$L176)))</f>
        <v>0</v>
      </c>
      <c r="D483" s="104" t="n">
        <f aca="false">IF('Loan Tape'!$AN176=0,0,IF('Loan Tape'!$K176="Floating",MIN(IF('Loan Tape'!$P176="",10,'Loan Tape'!$P176),MAX(IF('Loan Tape'!$Q176="",0,'Loan Tape'!$Q176),INDEX(Idx_Curve,1,2)+'Loan Tape'!$M176)),IF('Loan Tape'!$L176="",0,'Loan Tape'!$L176)))</f>
        <v>0</v>
      </c>
      <c r="E483" s="104" t="n">
        <f aca="false">IF('Loan Tape'!$AN176=0,0,IF('Loan Tape'!$K176="Floating",MIN(IF('Loan Tape'!$P176="",10,'Loan Tape'!$P176),MAX(IF('Loan Tape'!$Q176="",0,'Loan Tape'!$Q176),INDEX(Idx_Curve,1,3)+'Loan Tape'!$M176)),IF('Loan Tape'!$L176="",0,'Loan Tape'!$L176)))</f>
        <v>0</v>
      </c>
      <c r="F483" s="104" t="n">
        <f aca="false">IF('Loan Tape'!$AN176=0,0,IF('Loan Tape'!$K176="Floating",MIN(IF('Loan Tape'!$P176="",10,'Loan Tape'!$P176),MAX(IF('Loan Tape'!$Q176="",0,'Loan Tape'!$Q176),INDEX(Idx_Curve,1,4)+'Loan Tape'!$M176)),IF('Loan Tape'!$L176="",0,'Loan Tape'!$L176)))</f>
        <v>0</v>
      </c>
      <c r="G483" s="104" t="n">
        <f aca="false">IF('Loan Tape'!$AN176=0,0,IF('Loan Tape'!$K176="Floating",MIN(IF('Loan Tape'!$P176="",10,'Loan Tape'!$P176),MAX(IF('Loan Tape'!$Q176="",0,'Loan Tape'!$Q176),INDEX(Idx_Curve,1,5)+'Loan Tape'!$M176)),IF('Loan Tape'!$L176="",0,'Loan Tape'!$L176)))</f>
        <v>0</v>
      </c>
      <c r="H483" s="104" t="n">
        <f aca="false">IF('Loan Tape'!$AN176=0,0,IF('Loan Tape'!$K176="Floating",MIN(IF('Loan Tape'!$P176="",10,'Loan Tape'!$P176),MAX(IF('Loan Tape'!$Q176="",0,'Loan Tape'!$Q176),INDEX(Idx_Curve,1,6)+'Loan Tape'!$M176)),IF('Loan Tape'!$L176="",0,'Loan Tape'!$L176)))</f>
        <v>0</v>
      </c>
      <c r="I483" s="104" t="n">
        <f aca="false">IF('Loan Tape'!$AN176=0,0,IF('Loan Tape'!$K176="Floating",MIN(IF('Loan Tape'!$P176="",10,'Loan Tape'!$P176),MAX(IF('Loan Tape'!$Q176="",0,'Loan Tape'!$Q176),INDEX(Idx_Curve,1,7)+'Loan Tape'!$M176)),IF('Loan Tape'!$L176="",0,'Loan Tape'!$L176)))</f>
        <v>0</v>
      </c>
      <c r="J483" s="104" t="n">
        <f aca="false">IF('Loan Tape'!$AN176=0,0,IF('Loan Tape'!$K176="Floating",MIN(IF('Loan Tape'!$P176="",10,'Loan Tape'!$P176),MAX(IF('Loan Tape'!$Q176="",0,'Loan Tape'!$Q176),INDEX(Idx_Curve,1,8)+'Loan Tape'!$M176)),IF('Loan Tape'!$L176="",0,'Loan Tape'!$L176)))</f>
        <v>0</v>
      </c>
      <c r="K483" s="104" t="n">
        <f aca="false">IF('Loan Tape'!$AN176=0,0,IF('Loan Tape'!$K176="Floating",MIN(IF('Loan Tape'!$P176="",10,'Loan Tape'!$P176),MAX(IF('Loan Tape'!$Q176="",0,'Loan Tape'!$Q176),INDEX(Idx_Curve,1,9)+'Loan Tape'!$M176)),IF('Loan Tape'!$L176="",0,'Loan Tape'!$L176)))</f>
        <v>0</v>
      </c>
      <c r="L483" s="104" t="n">
        <f aca="false">IF('Loan Tape'!$AN176=0,0,IF('Loan Tape'!$K176="Floating",MIN(IF('Loan Tape'!$P176="",10,'Loan Tape'!$P176),MAX(IF('Loan Tape'!$Q176="",0,'Loan Tape'!$Q176),INDEX(Idx_Curve,1,10)+'Loan Tape'!$M176)),IF('Loan Tape'!$L176="",0,'Loan Tape'!$L176)))</f>
        <v>0</v>
      </c>
    </row>
    <row r="484" customFormat="false" ht="15" hidden="false" customHeight="false" outlineLevel="0" collapsed="false">
      <c r="B484" s="108" t="n">
        <f aca="false">'Loan Tape'!$A177</f>
        <v>0</v>
      </c>
      <c r="C484" s="56" t="n">
        <f aca="false">IF('Loan Tape'!$AN177=0,0,IF('Loan Tape'!$K177="Floating",MIN(IF('Loan Tape'!$P177="",10,'Loan Tape'!$P177),MAX(IF('Loan Tape'!$Q177="",0,'Loan Tape'!$Q177),INDEX(Idx_Curve,1,1)+'Loan Tape'!$M177)),IF('Loan Tape'!$L177="",0,'Loan Tape'!$L177)))</f>
        <v>0</v>
      </c>
      <c r="D484" s="56" t="n">
        <f aca="false">IF('Loan Tape'!$AN177=0,0,IF('Loan Tape'!$K177="Floating",MIN(IF('Loan Tape'!$P177="",10,'Loan Tape'!$P177),MAX(IF('Loan Tape'!$Q177="",0,'Loan Tape'!$Q177),INDEX(Idx_Curve,1,2)+'Loan Tape'!$M177)),IF('Loan Tape'!$L177="",0,'Loan Tape'!$L177)))</f>
        <v>0</v>
      </c>
      <c r="E484" s="56" t="n">
        <f aca="false">IF('Loan Tape'!$AN177=0,0,IF('Loan Tape'!$K177="Floating",MIN(IF('Loan Tape'!$P177="",10,'Loan Tape'!$P177),MAX(IF('Loan Tape'!$Q177="",0,'Loan Tape'!$Q177),INDEX(Idx_Curve,1,3)+'Loan Tape'!$M177)),IF('Loan Tape'!$L177="",0,'Loan Tape'!$L177)))</f>
        <v>0</v>
      </c>
      <c r="F484" s="56" t="n">
        <f aca="false">IF('Loan Tape'!$AN177=0,0,IF('Loan Tape'!$K177="Floating",MIN(IF('Loan Tape'!$P177="",10,'Loan Tape'!$P177),MAX(IF('Loan Tape'!$Q177="",0,'Loan Tape'!$Q177),INDEX(Idx_Curve,1,4)+'Loan Tape'!$M177)),IF('Loan Tape'!$L177="",0,'Loan Tape'!$L177)))</f>
        <v>0</v>
      </c>
      <c r="G484" s="56" t="n">
        <f aca="false">IF('Loan Tape'!$AN177=0,0,IF('Loan Tape'!$K177="Floating",MIN(IF('Loan Tape'!$P177="",10,'Loan Tape'!$P177),MAX(IF('Loan Tape'!$Q177="",0,'Loan Tape'!$Q177),INDEX(Idx_Curve,1,5)+'Loan Tape'!$M177)),IF('Loan Tape'!$L177="",0,'Loan Tape'!$L177)))</f>
        <v>0</v>
      </c>
      <c r="H484" s="56" t="n">
        <f aca="false">IF('Loan Tape'!$AN177=0,0,IF('Loan Tape'!$K177="Floating",MIN(IF('Loan Tape'!$P177="",10,'Loan Tape'!$P177),MAX(IF('Loan Tape'!$Q177="",0,'Loan Tape'!$Q177),INDEX(Idx_Curve,1,6)+'Loan Tape'!$M177)),IF('Loan Tape'!$L177="",0,'Loan Tape'!$L177)))</f>
        <v>0</v>
      </c>
      <c r="I484" s="56" t="n">
        <f aca="false">IF('Loan Tape'!$AN177=0,0,IF('Loan Tape'!$K177="Floating",MIN(IF('Loan Tape'!$P177="",10,'Loan Tape'!$P177),MAX(IF('Loan Tape'!$Q177="",0,'Loan Tape'!$Q177),INDEX(Idx_Curve,1,7)+'Loan Tape'!$M177)),IF('Loan Tape'!$L177="",0,'Loan Tape'!$L177)))</f>
        <v>0</v>
      </c>
      <c r="J484" s="56" t="n">
        <f aca="false">IF('Loan Tape'!$AN177=0,0,IF('Loan Tape'!$K177="Floating",MIN(IF('Loan Tape'!$P177="",10,'Loan Tape'!$P177),MAX(IF('Loan Tape'!$Q177="",0,'Loan Tape'!$Q177),INDEX(Idx_Curve,1,8)+'Loan Tape'!$M177)),IF('Loan Tape'!$L177="",0,'Loan Tape'!$L177)))</f>
        <v>0</v>
      </c>
      <c r="K484" s="56" t="n">
        <f aca="false">IF('Loan Tape'!$AN177=0,0,IF('Loan Tape'!$K177="Floating",MIN(IF('Loan Tape'!$P177="",10,'Loan Tape'!$P177),MAX(IF('Loan Tape'!$Q177="",0,'Loan Tape'!$Q177),INDEX(Idx_Curve,1,9)+'Loan Tape'!$M177)),IF('Loan Tape'!$L177="",0,'Loan Tape'!$L177)))</f>
        <v>0</v>
      </c>
      <c r="L484" s="56" t="n">
        <f aca="false">IF('Loan Tape'!$AN177=0,0,IF('Loan Tape'!$K177="Floating",MIN(IF('Loan Tape'!$P177="",10,'Loan Tape'!$P177),MAX(IF('Loan Tape'!$Q177="",0,'Loan Tape'!$Q177),INDEX(Idx_Curve,1,10)+'Loan Tape'!$M177)),IF('Loan Tape'!$L177="",0,'Loan Tape'!$L177)))</f>
        <v>0</v>
      </c>
    </row>
    <row r="485" customFormat="false" ht="15" hidden="false" customHeight="false" outlineLevel="0" collapsed="false">
      <c r="B485" s="102" t="n">
        <f aca="false">'Loan Tape'!$A178</f>
        <v>0</v>
      </c>
      <c r="C485" s="104" t="n">
        <f aca="false">IF('Loan Tape'!$AN178=0,0,IF('Loan Tape'!$K178="Floating",MIN(IF('Loan Tape'!$P178="",10,'Loan Tape'!$P178),MAX(IF('Loan Tape'!$Q178="",0,'Loan Tape'!$Q178),INDEX(Idx_Curve,1,1)+'Loan Tape'!$M178)),IF('Loan Tape'!$L178="",0,'Loan Tape'!$L178)))</f>
        <v>0</v>
      </c>
      <c r="D485" s="104" t="n">
        <f aca="false">IF('Loan Tape'!$AN178=0,0,IF('Loan Tape'!$K178="Floating",MIN(IF('Loan Tape'!$P178="",10,'Loan Tape'!$P178),MAX(IF('Loan Tape'!$Q178="",0,'Loan Tape'!$Q178),INDEX(Idx_Curve,1,2)+'Loan Tape'!$M178)),IF('Loan Tape'!$L178="",0,'Loan Tape'!$L178)))</f>
        <v>0</v>
      </c>
      <c r="E485" s="104" t="n">
        <f aca="false">IF('Loan Tape'!$AN178=0,0,IF('Loan Tape'!$K178="Floating",MIN(IF('Loan Tape'!$P178="",10,'Loan Tape'!$P178),MAX(IF('Loan Tape'!$Q178="",0,'Loan Tape'!$Q178),INDEX(Idx_Curve,1,3)+'Loan Tape'!$M178)),IF('Loan Tape'!$L178="",0,'Loan Tape'!$L178)))</f>
        <v>0</v>
      </c>
      <c r="F485" s="104" t="n">
        <f aca="false">IF('Loan Tape'!$AN178=0,0,IF('Loan Tape'!$K178="Floating",MIN(IF('Loan Tape'!$P178="",10,'Loan Tape'!$P178),MAX(IF('Loan Tape'!$Q178="",0,'Loan Tape'!$Q178),INDEX(Idx_Curve,1,4)+'Loan Tape'!$M178)),IF('Loan Tape'!$L178="",0,'Loan Tape'!$L178)))</f>
        <v>0</v>
      </c>
      <c r="G485" s="104" t="n">
        <f aca="false">IF('Loan Tape'!$AN178=0,0,IF('Loan Tape'!$K178="Floating",MIN(IF('Loan Tape'!$P178="",10,'Loan Tape'!$P178),MAX(IF('Loan Tape'!$Q178="",0,'Loan Tape'!$Q178),INDEX(Idx_Curve,1,5)+'Loan Tape'!$M178)),IF('Loan Tape'!$L178="",0,'Loan Tape'!$L178)))</f>
        <v>0</v>
      </c>
      <c r="H485" s="104" t="n">
        <f aca="false">IF('Loan Tape'!$AN178=0,0,IF('Loan Tape'!$K178="Floating",MIN(IF('Loan Tape'!$P178="",10,'Loan Tape'!$P178),MAX(IF('Loan Tape'!$Q178="",0,'Loan Tape'!$Q178),INDEX(Idx_Curve,1,6)+'Loan Tape'!$M178)),IF('Loan Tape'!$L178="",0,'Loan Tape'!$L178)))</f>
        <v>0</v>
      </c>
      <c r="I485" s="104" t="n">
        <f aca="false">IF('Loan Tape'!$AN178=0,0,IF('Loan Tape'!$K178="Floating",MIN(IF('Loan Tape'!$P178="",10,'Loan Tape'!$P178),MAX(IF('Loan Tape'!$Q178="",0,'Loan Tape'!$Q178),INDEX(Idx_Curve,1,7)+'Loan Tape'!$M178)),IF('Loan Tape'!$L178="",0,'Loan Tape'!$L178)))</f>
        <v>0</v>
      </c>
      <c r="J485" s="104" t="n">
        <f aca="false">IF('Loan Tape'!$AN178=0,0,IF('Loan Tape'!$K178="Floating",MIN(IF('Loan Tape'!$P178="",10,'Loan Tape'!$P178),MAX(IF('Loan Tape'!$Q178="",0,'Loan Tape'!$Q178),INDEX(Idx_Curve,1,8)+'Loan Tape'!$M178)),IF('Loan Tape'!$L178="",0,'Loan Tape'!$L178)))</f>
        <v>0</v>
      </c>
      <c r="K485" s="104" t="n">
        <f aca="false">IF('Loan Tape'!$AN178=0,0,IF('Loan Tape'!$K178="Floating",MIN(IF('Loan Tape'!$P178="",10,'Loan Tape'!$P178),MAX(IF('Loan Tape'!$Q178="",0,'Loan Tape'!$Q178),INDEX(Idx_Curve,1,9)+'Loan Tape'!$M178)),IF('Loan Tape'!$L178="",0,'Loan Tape'!$L178)))</f>
        <v>0</v>
      </c>
      <c r="L485" s="104" t="n">
        <f aca="false">IF('Loan Tape'!$AN178=0,0,IF('Loan Tape'!$K178="Floating",MIN(IF('Loan Tape'!$P178="",10,'Loan Tape'!$P178),MAX(IF('Loan Tape'!$Q178="",0,'Loan Tape'!$Q178),INDEX(Idx_Curve,1,10)+'Loan Tape'!$M178)),IF('Loan Tape'!$L178="",0,'Loan Tape'!$L178)))</f>
        <v>0</v>
      </c>
    </row>
    <row r="486" customFormat="false" ht="15" hidden="false" customHeight="false" outlineLevel="0" collapsed="false">
      <c r="B486" s="108" t="n">
        <f aca="false">'Loan Tape'!$A179</f>
        <v>0</v>
      </c>
      <c r="C486" s="56" t="n">
        <f aca="false">IF('Loan Tape'!$AN179=0,0,IF('Loan Tape'!$K179="Floating",MIN(IF('Loan Tape'!$P179="",10,'Loan Tape'!$P179),MAX(IF('Loan Tape'!$Q179="",0,'Loan Tape'!$Q179),INDEX(Idx_Curve,1,1)+'Loan Tape'!$M179)),IF('Loan Tape'!$L179="",0,'Loan Tape'!$L179)))</f>
        <v>0</v>
      </c>
      <c r="D486" s="56" t="n">
        <f aca="false">IF('Loan Tape'!$AN179=0,0,IF('Loan Tape'!$K179="Floating",MIN(IF('Loan Tape'!$P179="",10,'Loan Tape'!$P179),MAX(IF('Loan Tape'!$Q179="",0,'Loan Tape'!$Q179),INDEX(Idx_Curve,1,2)+'Loan Tape'!$M179)),IF('Loan Tape'!$L179="",0,'Loan Tape'!$L179)))</f>
        <v>0</v>
      </c>
      <c r="E486" s="56" t="n">
        <f aca="false">IF('Loan Tape'!$AN179=0,0,IF('Loan Tape'!$K179="Floating",MIN(IF('Loan Tape'!$P179="",10,'Loan Tape'!$P179),MAX(IF('Loan Tape'!$Q179="",0,'Loan Tape'!$Q179),INDEX(Idx_Curve,1,3)+'Loan Tape'!$M179)),IF('Loan Tape'!$L179="",0,'Loan Tape'!$L179)))</f>
        <v>0</v>
      </c>
      <c r="F486" s="56" t="n">
        <f aca="false">IF('Loan Tape'!$AN179=0,0,IF('Loan Tape'!$K179="Floating",MIN(IF('Loan Tape'!$P179="",10,'Loan Tape'!$P179),MAX(IF('Loan Tape'!$Q179="",0,'Loan Tape'!$Q179),INDEX(Idx_Curve,1,4)+'Loan Tape'!$M179)),IF('Loan Tape'!$L179="",0,'Loan Tape'!$L179)))</f>
        <v>0</v>
      </c>
      <c r="G486" s="56" t="n">
        <f aca="false">IF('Loan Tape'!$AN179=0,0,IF('Loan Tape'!$K179="Floating",MIN(IF('Loan Tape'!$P179="",10,'Loan Tape'!$P179),MAX(IF('Loan Tape'!$Q179="",0,'Loan Tape'!$Q179),INDEX(Idx_Curve,1,5)+'Loan Tape'!$M179)),IF('Loan Tape'!$L179="",0,'Loan Tape'!$L179)))</f>
        <v>0</v>
      </c>
      <c r="H486" s="56" t="n">
        <f aca="false">IF('Loan Tape'!$AN179=0,0,IF('Loan Tape'!$K179="Floating",MIN(IF('Loan Tape'!$P179="",10,'Loan Tape'!$P179),MAX(IF('Loan Tape'!$Q179="",0,'Loan Tape'!$Q179),INDEX(Idx_Curve,1,6)+'Loan Tape'!$M179)),IF('Loan Tape'!$L179="",0,'Loan Tape'!$L179)))</f>
        <v>0</v>
      </c>
      <c r="I486" s="56" t="n">
        <f aca="false">IF('Loan Tape'!$AN179=0,0,IF('Loan Tape'!$K179="Floating",MIN(IF('Loan Tape'!$P179="",10,'Loan Tape'!$P179),MAX(IF('Loan Tape'!$Q179="",0,'Loan Tape'!$Q179),INDEX(Idx_Curve,1,7)+'Loan Tape'!$M179)),IF('Loan Tape'!$L179="",0,'Loan Tape'!$L179)))</f>
        <v>0</v>
      </c>
      <c r="J486" s="56" t="n">
        <f aca="false">IF('Loan Tape'!$AN179=0,0,IF('Loan Tape'!$K179="Floating",MIN(IF('Loan Tape'!$P179="",10,'Loan Tape'!$P179),MAX(IF('Loan Tape'!$Q179="",0,'Loan Tape'!$Q179),INDEX(Idx_Curve,1,8)+'Loan Tape'!$M179)),IF('Loan Tape'!$L179="",0,'Loan Tape'!$L179)))</f>
        <v>0</v>
      </c>
      <c r="K486" s="56" t="n">
        <f aca="false">IF('Loan Tape'!$AN179=0,0,IF('Loan Tape'!$K179="Floating",MIN(IF('Loan Tape'!$P179="",10,'Loan Tape'!$P179),MAX(IF('Loan Tape'!$Q179="",0,'Loan Tape'!$Q179),INDEX(Idx_Curve,1,9)+'Loan Tape'!$M179)),IF('Loan Tape'!$L179="",0,'Loan Tape'!$L179)))</f>
        <v>0</v>
      </c>
      <c r="L486" s="56" t="n">
        <f aca="false">IF('Loan Tape'!$AN179=0,0,IF('Loan Tape'!$K179="Floating",MIN(IF('Loan Tape'!$P179="",10,'Loan Tape'!$P179),MAX(IF('Loan Tape'!$Q179="",0,'Loan Tape'!$Q179),INDEX(Idx_Curve,1,10)+'Loan Tape'!$M179)),IF('Loan Tape'!$L179="",0,'Loan Tape'!$L179)))</f>
        <v>0</v>
      </c>
    </row>
    <row r="487" customFormat="false" ht="15" hidden="false" customHeight="false" outlineLevel="0" collapsed="false">
      <c r="B487" s="102" t="n">
        <f aca="false">'Loan Tape'!$A180</f>
        <v>0</v>
      </c>
      <c r="C487" s="104" t="n">
        <f aca="false">IF('Loan Tape'!$AN180=0,0,IF('Loan Tape'!$K180="Floating",MIN(IF('Loan Tape'!$P180="",10,'Loan Tape'!$P180),MAX(IF('Loan Tape'!$Q180="",0,'Loan Tape'!$Q180),INDEX(Idx_Curve,1,1)+'Loan Tape'!$M180)),IF('Loan Tape'!$L180="",0,'Loan Tape'!$L180)))</f>
        <v>0</v>
      </c>
      <c r="D487" s="104" t="n">
        <f aca="false">IF('Loan Tape'!$AN180=0,0,IF('Loan Tape'!$K180="Floating",MIN(IF('Loan Tape'!$P180="",10,'Loan Tape'!$P180),MAX(IF('Loan Tape'!$Q180="",0,'Loan Tape'!$Q180),INDEX(Idx_Curve,1,2)+'Loan Tape'!$M180)),IF('Loan Tape'!$L180="",0,'Loan Tape'!$L180)))</f>
        <v>0</v>
      </c>
      <c r="E487" s="104" t="n">
        <f aca="false">IF('Loan Tape'!$AN180=0,0,IF('Loan Tape'!$K180="Floating",MIN(IF('Loan Tape'!$P180="",10,'Loan Tape'!$P180),MAX(IF('Loan Tape'!$Q180="",0,'Loan Tape'!$Q180),INDEX(Idx_Curve,1,3)+'Loan Tape'!$M180)),IF('Loan Tape'!$L180="",0,'Loan Tape'!$L180)))</f>
        <v>0</v>
      </c>
      <c r="F487" s="104" t="n">
        <f aca="false">IF('Loan Tape'!$AN180=0,0,IF('Loan Tape'!$K180="Floating",MIN(IF('Loan Tape'!$P180="",10,'Loan Tape'!$P180),MAX(IF('Loan Tape'!$Q180="",0,'Loan Tape'!$Q180),INDEX(Idx_Curve,1,4)+'Loan Tape'!$M180)),IF('Loan Tape'!$L180="",0,'Loan Tape'!$L180)))</f>
        <v>0</v>
      </c>
      <c r="G487" s="104" t="n">
        <f aca="false">IF('Loan Tape'!$AN180=0,0,IF('Loan Tape'!$K180="Floating",MIN(IF('Loan Tape'!$P180="",10,'Loan Tape'!$P180),MAX(IF('Loan Tape'!$Q180="",0,'Loan Tape'!$Q180),INDEX(Idx_Curve,1,5)+'Loan Tape'!$M180)),IF('Loan Tape'!$L180="",0,'Loan Tape'!$L180)))</f>
        <v>0</v>
      </c>
      <c r="H487" s="104" t="n">
        <f aca="false">IF('Loan Tape'!$AN180=0,0,IF('Loan Tape'!$K180="Floating",MIN(IF('Loan Tape'!$P180="",10,'Loan Tape'!$P180),MAX(IF('Loan Tape'!$Q180="",0,'Loan Tape'!$Q180),INDEX(Idx_Curve,1,6)+'Loan Tape'!$M180)),IF('Loan Tape'!$L180="",0,'Loan Tape'!$L180)))</f>
        <v>0</v>
      </c>
      <c r="I487" s="104" t="n">
        <f aca="false">IF('Loan Tape'!$AN180=0,0,IF('Loan Tape'!$K180="Floating",MIN(IF('Loan Tape'!$P180="",10,'Loan Tape'!$P180),MAX(IF('Loan Tape'!$Q180="",0,'Loan Tape'!$Q180),INDEX(Idx_Curve,1,7)+'Loan Tape'!$M180)),IF('Loan Tape'!$L180="",0,'Loan Tape'!$L180)))</f>
        <v>0</v>
      </c>
      <c r="J487" s="104" t="n">
        <f aca="false">IF('Loan Tape'!$AN180=0,0,IF('Loan Tape'!$K180="Floating",MIN(IF('Loan Tape'!$P180="",10,'Loan Tape'!$P180),MAX(IF('Loan Tape'!$Q180="",0,'Loan Tape'!$Q180),INDEX(Idx_Curve,1,8)+'Loan Tape'!$M180)),IF('Loan Tape'!$L180="",0,'Loan Tape'!$L180)))</f>
        <v>0</v>
      </c>
      <c r="K487" s="104" t="n">
        <f aca="false">IF('Loan Tape'!$AN180=0,0,IF('Loan Tape'!$K180="Floating",MIN(IF('Loan Tape'!$P180="",10,'Loan Tape'!$P180),MAX(IF('Loan Tape'!$Q180="",0,'Loan Tape'!$Q180),INDEX(Idx_Curve,1,9)+'Loan Tape'!$M180)),IF('Loan Tape'!$L180="",0,'Loan Tape'!$L180)))</f>
        <v>0</v>
      </c>
      <c r="L487" s="104" t="n">
        <f aca="false">IF('Loan Tape'!$AN180=0,0,IF('Loan Tape'!$K180="Floating",MIN(IF('Loan Tape'!$P180="",10,'Loan Tape'!$P180),MAX(IF('Loan Tape'!$Q180="",0,'Loan Tape'!$Q180),INDEX(Idx_Curve,1,10)+'Loan Tape'!$M180)),IF('Loan Tape'!$L180="",0,'Loan Tape'!$L180)))</f>
        <v>0</v>
      </c>
    </row>
    <row r="488" customFormat="false" ht="15" hidden="false" customHeight="false" outlineLevel="0" collapsed="false">
      <c r="B488" s="108" t="n">
        <f aca="false">'Loan Tape'!$A181</f>
        <v>0</v>
      </c>
      <c r="C488" s="56" t="n">
        <f aca="false">IF('Loan Tape'!$AN181=0,0,IF('Loan Tape'!$K181="Floating",MIN(IF('Loan Tape'!$P181="",10,'Loan Tape'!$P181),MAX(IF('Loan Tape'!$Q181="",0,'Loan Tape'!$Q181),INDEX(Idx_Curve,1,1)+'Loan Tape'!$M181)),IF('Loan Tape'!$L181="",0,'Loan Tape'!$L181)))</f>
        <v>0</v>
      </c>
      <c r="D488" s="56" t="n">
        <f aca="false">IF('Loan Tape'!$AN181=0,0,IF('Loan Tape'!$K181="Floating",MIN(IF('Loan Tape'!$P181="",10,'Loan Tape'!$P181),MAX(IF('Loan Tape'!$Q181="",0,'Loan Tape'!$Q181),INDEX(Idx_Curve,1,2)+'Loan Tape'!$M181)),IF('Loan Tape'!$L181="",0,'Loan Tape'!$L181)))</f>
        <v>0</v>
      </c>
      <c r="E488" s="56" t="n">
        <f aca="false">IF('Loan Tape'!$AN181=0,0,IF('Loan Tape'!$K181="Floating",MIN(IF('Loan Tape'!$P181="",10,'Loan Tape'!$P181),MAX(IF('Loan Tape'!$Q181="",0,'Loan Tape'!$Q181),INDEX(Idx_Curve,1,3)+'Loan Tape'!$M181)),IF('Loan Tape'!$L181="",0,'Loan Tape'!$L181)))</f>
        <v>0</v>
      </c>
      <c r="F488" s="56" t="n">
        <f aca="false">IF('Loan Tape'!$AN181=0,0,IF('Loan Tape'!$K181="Floating",MIN(IF('Loan Tape'!$P181="",10,'Loan Tape'!$P181),MAX(IF('Loan Tape'!$Q181="",0,'Loan Tape'!$Q181),INDEX(Idx_Curve,1,4)+'Loan Tape'!$M181)),IF('Loan Tape'!$L181="",0,'Loan Tape'!$L181)))</f>
        <v>0</v>
      </c>
      <c r="G488" s="56" t="n">
        <f aca="false">IF('Loan Tape'!$AN181=0,0,IF('Loan Tape'!$K181="Floating",MIN(IF('Loan Tape'!$P181="",10,'Loan Tape'!$P181),MAX(IF('Loan Tape'!$Q181="",0,'Loan Tape'!$Q181),INDEX(Idx_Curve,1,5)+'Loan Tape'!$M181)),IF('Loan Tape'!$L181="",0,'Loan Tape'!$L181)))</f>
        <v>0</v>
      </c>
      <c r="H488" s="56" t="n">
        <f aca="false">IF('Loan Tape'!$AN181=0,0,IF('Loan Tape'!$K181="Floating",MIN(IF('Loan Tape'!$P181="",10,'Loan Tape'!$P181),MAX(IF('Loan Tape'!$Q181="",0,'Loan Tape'!$Q181),INDEX(Idx_Curve,1,6)+'Loan Tape'!$M181)),IF('Loan Tape'!$L181="",0,'Loan Tape'!$L181)))</f>
        <v>0</v>
      </c>
      <c r="I488" s="56" t="n">
        <f aca="false">IF('Loan Tape'!$AN181=0,0,IF('Loan Tape'!$K181="Floating",MIN(IF('Loan Tape'!$P181="",10,'Loan Tape'!$P181),MAX(IF('Loan Tape'!$Q181="",0,'Loan Tape'!$Q181),INDEX(Idx_Curve,1,7)+'Loan Tape'!$M181)),IF('Loan Tape'!$L181="",0,'Loan Tape'!$L181)))</f>
        <v>0</v>
      </c>
      <c r="J488" s="56" t="n">
        <f aca="false">IF('Loan Tape'!$AN181=0,0,IF('Loan Tape'!$K181="Floating",MIN(IF('Loan Tape'!$P181="",10,'Loan Tape'!$P181),MAX(IF('Loan Tape'!$Q181="",0,'Loan Tape'!$Q181),INDEX(Idx_Curve,1,8)+'Loan Tape'!$M181)),IF('Loan Tape'!$L181="",0,'Loan Tape'!$L181)))</f>
        <v>0</v>
      </c>
      <c r="K488" s="56" t="n">
        <f aca="false">IF('Loan Tape'!$AN181=0,0,IF('Loan Tape'!$K181="Floating",MIN(IF('Loan Tape'!$P181="",10,'Loan Tape'!$P181),MAX(IF('Loan Tape'!$Q181="",0,'Loan Tape'!$Q181),INDEX(Idx_Curve,1,9)+'Loan Tape'!$M181)),IF('Loan Tape'!$L181="",0,'Loan Tape'!$L181)))</f>
        <v>0</v>
      </c>
      <c r="L488" s="56" t="n">
        <f aca="false">IF('Loan Tape'!$AN181=0,0,IF('Loan Tape'!$K181="Floating",MIN(IF('Loan Tape'!$P181="",10,'Loan Tape'!$P181),MAX(IF('Loan Tape'!$Q181="",0,'Loan Tape'!$Q181),INDEX(Idx_Curve,1,10)+'Loan Tape'!$M181)),IF('Loan Tape'!$L181="",0,'Loan Tape'!$L181)))</f>
        <v>0</v>
      </c>
    </row>
    <row r="489" customFormat="false" ht="15" hidden="false" customHeight="false" outlineLevel="0" collapsed="false">
      <c r="B489" s="102" t="n">
        <f aca="false">'Loan Tape'!$A182</f>
        <v>0</v>
      </c>
      <c r="C489" s="104" t="n">
        <f aca="false">IF('Loan Tape'!$AN182=0,0,IF('Loan Tape'!$K182="Floating",MIN(IF('Loan Tape'!$P182="",10,'Loan Tape'!$P182),MAX(IF('Loan Tape'!$Q182="",0,'Loan Tape'!$Q182),INDEX(Idx_Curve,1,1)+'Loan Tape'!$M182)),IF('Loan Tape'!$L182="",0,'Loan Tape'!$L182)))</f>
        <v>0</v>
      </c>
      <c r="D489" s="104" t="n">
        <f aca="false">IF('Loan Tape'!$AN182=0,0,IF('Loan Tape'!$K182="Floating",MIN(IF('Loan Tape'!$P182="",10,'Loan Tape'!$P182),MAX(IF('Loan Tape'!$Q182="",0,'Loan Tape'!$Q182),INDEX(Idx_Curve,1,2)+'Loan Tape'!$M182)),IF('Loan Tape'!$L182="",0,'Loan Tape'!$L182)))</f>
        <v>0</v>
      </c>
      <c r="E489" s="104" t="n">
        <f aca="false">IF('Loan Tape'!$AN182=0,0,IF('Loan Tape'!$K182="Floating",MIN(IF('Loan Tape'!$P182="",10,'Loan Tape'!$P182),MAX(IF('Loan Tape'!$Q182="",0,'Loan Tape'!$Q182),INDEX(Idx_Curve,1,3)+'Loan Tape'!$M182)),IF('Loan Tape'!$L182="",0,'Loan Tape'!$L182)))</f>
        <v>0</v>
      </c>
      <c r="F489" s="104" t="n">
        <f aca="false">IF('Loan Tape'!$AN182=0,0,IF('Loan Tape'!$K182="Floating",MIN(IF('Loan Tape'!$P182="",10,'Loan Tape'!$P182),MAX(IF('Loan Tape'!$Q182="",0,'Loan Tape'!$Q182),INDEX(Idx_Curve,1,4)+'Loan Tape'!$M182)),IF('Loan Tape'!$L182="",0,'Loan Tape'!$L182)))</f>
        <v>0</v>
      </c>
      <c r="G489" s="104" t="n">
        <f aca="false">IF('Loan Tape'!$AN182=0,0,IF('Loan Tape'!$K182="Floating",MIN(IF('Loan Tape'!$P182="",10,'Loan Tape'!$P182),MAX(IF('Loan Tape'!$Q182="",0,'Loan Tape'!$Q182),INDEX(Idx_Curve,1,5)+'Loan Tape'!$M182)),IF('Loan Tape'!$L182="",0,'Loan Tape'!$L182)))</f>
        <v>0</v>
      </c>
      <c r="H489" s="104" t="n">
        <f aca="false">IF('Loan Tape'!$AN182=0,0,IF('Loan Tape'!$K182="Floating",MIN(IF('Loan Tape'!$P182="",10,'Loan Tape'!$P182),MAX(IF('Loan Tape'!$Q182="",0,'Loan Tape'!$Q182),INDEX(Idx_Curve,1,6)+'Loan Tape'!$M182)),IF('Loan Tape'!$L182="",0,'Loan Tape'!$L182)))</f>
        <v>0</v>
      </c>
      <c r="I489" s="104" t="n">
        <f aca="false">IF('Loan Tape'!$AN182=0,0,IF('Loan Tape'!$K182="Floating",MIN(IF('Loan Tape'!$P182="",10,'Loan Tape'!$P182),MAX(IF('Loan Tape'!$Q182="",0,'Loan Tape'!$Q182),INDEX(Idx_Curve,1,7)+'Loan Tape'!$M182)),IF('Loan Tape'!$L182="",0,'Loan Tape'!$L182)))</f>
        <v>0</v>
      </c>
      <c r="J489" s="104" t="n">
        <f aca="false">IF('Loan Tape'!$AN182=0,0,IF('Loan Tape'!$K182="Floating",MIN(IF('Loan Tape'!$P182="",10,'Loan Tape'!$P182),MAX(IF('Loan Tape'!$Q182="",0,'Loan Tape'!$Q182),INDEX(Idx_Curve,1,8)+'Loan Tape'!$M182)),IF('Loan Tape'!$L182="",0,'Loan Tape'!$L182)))</f>
        <v>0</v>
      </c>
      <c r="K489" s="104" t="n">
        <f aca="false">IF('Loan Tape'!$AN182=0,0,IF('Loan Tape'!$K182="Floating",MIN(IF('Loan Tape'!$P182="",10,'Loan Tape'!$P182),MAX(IF('Loan Tape'!$Q182="",0,'Loan Tape'!$Q182),INDEX(Idx_Curve,1,9)+'Loan Tape'!$M182)),IF('Loan Tape'!$L182="",0,'Loan Tape'!$L182)))</f>
        <v>0</v>
      </c>
      <c r="L489" s="104" t="n">
        <f aca="false">IF('Loan Tape'!$AN182=0,0,IF('Loan Tape'!$K182="Floating",MIN(IF('Loan Tape'!$P182="",10,'Loan Tape'!$P182),MAX(IF('Loan Tape'!$Q182="",0,'Loan Tape'!$Q182),INDEX(Idx_Curve,1,10)+'Loan Tape'!$M182)),IF('Loan Tape'!$L182="",0,'Loan Tape'!$L182)))</f>
        <v>0</v>
      </c>
    </row>
    <row r="490" customFormat="false" ht="15" hidden="false" customHeight="false" outlineLevel="0" collapsed="false">
      <c r="B490" s="108" t="n">
        <f aca="false">'Loan Tape'!$A183</f>
        <v>0</v>
      </c>
      <c r="C490" s="56" t="n">
        <f aca="false">IF('Loan Tape'!$AN183=0,0,IF('Loan Tape'!$K183="Floating",MIN(IF('Loan Tape'!$P183="",10,'Loan Tape'!$P183),MAX(IF('Loan Tape'!$Q183="",0,'Loan Tape'!$Q183),INDEX(Idx_Curve,1,1)+'Loan Tape'!$M183)),IF('Loan Tape'!$L183="",0,'Loan Tape'!$L183)))</f>
        <v>0</v>
      </c>
      <c r="D490" s="56" t="n">
        <f aca="false">IF('Loan Tape'!$AN183=0,0,IF('Loan Tape'!$K183="Floating",MIN(IF('Loan Tape'!$P183="",10,'Loan Tape'!$P183),MAX(IF('Loan Tape'!$Q183="",0,'Loan Tape'!$Q183),INDEX(Idx_Curve,1,2)+'Loan Tape'!$M183)),IF('Loan Tape'!$L183="",0,'Loan Tape'!$L183)))</f>
        <v>0</v>
      </c>
      <c r="E490" s="56" t="n">
        <f aca="false">IF('Loan Tape'!$AN183=0,0,IF('Loan Tape'!$K183="Floating",MIN(IF('Loan Tape'!$P183="",10,'Loan Tape'!$P183),MAX(IF('Loan Tape'!$Q183="",0,'Loan Tape'!$Q183),INDEX(Idx_Curve,1,3)+'Loan Tape'!$M183)),IF('Loan Tape'!$L183="",0,'Loan Tape'!$L183)))</f>
        <v>0</v>
      </c>
      <c r="F490" s="56" t="n">
        <f aca="false">IF('Loan Tape'!$AN183=0,0,IF('Loan Tape'!$K183="Floating",MIN(IF('Loan Tape'!$P183="",10,'Loan Tape'!$P183),MAX(IF('Loan Tape'!$Q183="",0,'Loan Tape'!$Q183),INDEX(Idx_Curve,1,4)+'Loan Tape'!$M183)),IF('Loan Tape'!$L183="",0,'Loan Tape'!$L183)))</f>
        <v>0</v>
      </c>
      <c r="G490" s="56" t="n">
        <f aca="false">IF('Loan Tape'!$AN183=0,0,IF('Loan Tape'!$K183="Floating",MIN(IF('Loan Tape'!$P183="",10,'Loan Tape'!$P183),MAX(IF('Loan Tape'!$Q183="",0,'Loan Tape'!$Q183),INDEX(Idx_Curve,1,5)+'Loan Tape'!$M183)),IF('Loan Tape'!$L183="",0,'Loan Tape'!$L183)))</f>
        <v>0</v>
      </c>
      <c r="H490" s="56" t="n">
        <f aca="false">IF('Loan Tape'!$AN183=0,0,IF('Loan Tape'!$K183="Floating",MIN(IF('Loan Tape'!$P183="",10,'Loan Tape'!$P183),MAX(IF('Loan Tape'!$Q183="",0,'Loan Tape'!$Q183),INDEX(Idx_Curve,1,6)+'Loan Tape'!$M183)),IF('Loan Tape'!$L183="",0,'Loan Tape'!$L183)))</f>
        <v>0</v>
      </c>
      <c r="I490" s="56" t="n">
        <f aca="false">IF('Loan Tape'!$AN183=0,0,IF('Loan Tape'!$K183="Floating",MIN(IF('Loan Tape'!$P183="",10,'Loan Tape'!$P183),MAX(IF('Loan Tape'!$Q183="",0,'Loan Tape'!$Q183),INDEX(Idx_Curve,1,7)+'Loan Tape'!$M183)),IF('Loan Tape'!$L183="",0,'Loan Tape'!$L183)))</f>
        <v>0</v>
      </c>
      <c r="J490" s="56" t="n">
        <f aca="false">IF('Loan Tape'!$AN183=0,0,IF('Loan Tape'!$K183="Floating",MIN(IF('Loan Tape'!$P183="",10,'Loan Tape'!$P183),MAX(IF('Loan Tape'!$Q183="",0,'Loan Tape'!$Q183),INDEX(Idx_Curve,1,8)+'Loan Tape'!$M183)),IF('Loan Tape'!$L183="",0,'Loan Tape'!$L183)))</f>
        <v>0</v>
      </c>
      <c r="K490" s="56" t="n">
        <f aca="false">IF('Loan Tape'!$AN183=0,0,IF('Loan Tape'!$K183="Floating",MIN(IF('Loan Tape'!$P183="",10,'Loan Tape'!$P183),MAX(IF('Loan Tape'!$Q183="",0,'Loan Tape'!$Q183),INDEX(Idx_Curve,1,9)+'Loan Tape'!$M183)),IF('Loan Tape'!$L183="",0,'Loan Tape'!$L183)))</f>
        <v>0</v>
      </c>
      <c r="L490" s="56" t="n">
        <f aca="false">IF('Loan Tape'!$AN183=0,0,IF('Loan Tape'!$K183="Floating",MIN(IF('Loan Tape'!$P183="",10,'Loan Tape'!$P183),MAX(IF('Loan Tape'!$Q183="",0,'Loan Tape'!$Q183),INDEX(Idx_Curve,1,10)+'Loan Tape'!$M183)),IF('Loan Tape'!$L183="",0,'Loan Tape'!$L183)))</f>
        <v>0</v>
      </c>
    </row>
    <row r="491" customFormat="false" ht="15" hidden="false" customHeight="false" outlineLevel="0" collapsed="false">
      <c r="B491" s="102" t="n">
        <f aca="false">'Loan Tape'!$A184</f>
        <v>0</v>
      </c>
      <c r="C491" s="104" t="n">
        <f aca="false">IF('Loan Tape'!$AN184=0,0,IF('Loan Tape'!$K184="Floating",MIN(IF('Loan Tape'!$P184="",10,'Loan Tape'!$P184),MAX(IF('Loan Tape'!$Q184="",0,'Loan Tape'!$Q184),INDEX(Idx_Curve,1,1)+'Loan Tape'!$M184)),IF('Loan Tape'!$L184="",0,'Loan Tape'!$L184)))</f>
        <v>0</v>
      </c>
      <c r="D491" s="104" t="n">
        <f aca="false">IF('Loan Tape'!$AN184=0,0,IF('Loan Tape'!$K184="Floating",MIN(IF('Loan Tape'!$P184="",10,'Loan Tape'!$P184),MAX(IF('Loan Tape'!$Q184="",0,'Loan Tape'!$Q184),INDEX(Idx_Curve,1,2)+'Loan Tape'!$M184)),IF('Loan Tape'!$L184="",0,'Loan Tape'!$L184)))</f>
        <v>0</v>
      </c>
      <c r="E491" s="104" t="n">
        <f aca="false">IF('Loan Tape'!$AN184=0,0,IF('Loan Tape'!$K184="Floating",MIN(IF('Loan Tape'!$P184="",10,'Loan Tape'!$P184),MAX(IF('Loan Tape'!$Q184="",0,'Loan Tape'!$Q184),INDEX(Idx_Curve,1,3)+'Loan Tape'!$M184)),IF('Loan Tape'!$L184="",0,'Loan Tape'!$L184)))</f>
        <v>0</v>
      </c>
      <c r="F491" s="104" t="n">
        <f aca="false">IF('Loan Tape'!$AN184=0,0,IF('Loan Tape'!$K184="Floating",MIN(IF('Loan Tape'!$P184="",10,'Loan Tape'!$P184),MAX(IF('Loan Tape'!$Q184="",0,'Loan Tape'!$Q184),INDEX(Idx_Curve,1,4)+'Loan Tape'!$M184)),IF('Loan Tape'!$L184="",0,'Loan Tape'!$L184)))</f>
        <v>0</v>
      </c>
      <c r="G491" s="104" t="n">
        <f aca="false">IF('Loan Tape'!$AN184=0,0,IF('Loan Tape'!$K184="Floating",MIN(IF('Loan Tape'!$P184="",10,'Loan Tape'!$P184),MAX(IF('Loan Tape'!$Q184="",0,'Loan Tape'!$Q184),INDEX(Idx_Curve,1,5)+'Loan Tape'!$M184)),IF('Loan Tape'!$L184="",0,'Loan Tape'!$L184)))</f>
        <v>0</v>
      </c>
      <c r="H491" s="104" t="n">
        <f aca="false">IF('Loan Tape'!$AN184=0,0,IF('Loan Tape'!$K184="Floating",MIN(IF('Loan Tape'!$P184="",10,'Loan Tape'!$P184),MAX(IF('Loan Tape'!$Q184="",0,'Loan Tape'!$Q184),INDEX(Idx_Curve,1,6)+'Loan Tape'!$M184)),IF('Loan Tape'!$L184="",0,'Loan Tape'!$L184)))</f>
        <v>0</v>
      </c>
      <c r="I491" s="104" t="n">
        <f aca="false">IF('Loan Tape'!$AN184=0,0,IF('Loan Tape'!$K184="Floating",MIN(IF('Loan Tape'!$P184="",10,'Loan Tape'!$P184),MAX(IF('Loan Tape'!$Q184="",0,'Loan Tape'!$Q184),INDEX(Idx_Curve,1,7)+'Loan Tape'!$M184)),IF('Loan Tape'!$L184="",0,'Loan Tape'!$L184)))</f>
        <v>0</v>
      </c>
      <c r="J491" s="104" t="n">
        <f aca="false">IF('Loan Tape'!$AN184=0,0,IF('Loan Tape'!$K184="Floating",MIN(IF('Loan Tape'!$P184="",10,'Loan Tape'!$P184),MAX(IF('Loan Tape'!$Q184="",0,'Loan Tape'!$Q184),INDEX(Idx_Curve,1,8)+'Loan Tape'!$M184)),IF('Loan Tape'!$L184="",0,'Loan Tape'!$L184)))</f>
        <v>0</v>
      </c>
      <c r="K491" s="104" t="n">
        <f aca="false">IF('Loan Tape'!$AN184=0,0,IF('Loan Tape'!$K184="Floating",MIN(IF('Loan Tape'!$P184="",10,'Loan Tape'!$P184),MAX(IF('Loan Tape'!$Q184="",0,'Loan Tape'!$Q184),INDEX(Idx_Curve,1,9)+'Loan Tape'!$M184)),IF('Loan Tape'!$L184="",0,'Loan Tape'!$L184)))</f>
        <v>0</v>
      </c>
      <c r="L491" s="104" t="n">
        <f aca="false">IF('Loan Tape'!$AN184=0,0,IF('Loan Tape'!$K184="Floating",MIN(IF('Loan Tape'!$P184="",10,'Loan Tape'!$P184),MAX(IF('Loan Tape'!$Q184="",0,'Loan Tape'!$Q184),INDEX(Idx_Curve,1,10)+'Loan Tape'!$M184)),IF('Loan Tape'!$L184="",0,'Loan Tape'!$L184)))</f>
        <v>0</v>
      </c>
    </row>
    <row r="492" customFormat="false" ht="15" hidden="false" customHeight="false" outlineLevel="0" collapsed="false">
      <c r="B492" s="108" t="n">
        <f aca="false">'Loan Tape'!$A185</f>
        <v>0</v>
      </c>
      <c r="C492" s="56" t="n">
        <f aca="false">IF('Loan Tape'!$AN185=0,0,IF('Loan Tape'!$K185="Floating",MIN(IF('Loan Tape'!$P185="",10,'Loan Tape'!$P185),MAX(IF('Loan Tape'!$Q185="",0,'Loan Tape'!$Q185),INDEX(Idx_Curve,1,1)+'Loan Tape'!$M185)),IF('Loan Tape'!$L185="",0,'Loan Tape'!$L185)))</f>
        <v>0</v>
      </c>
      <c r="D492" s="56" t="n">
        <f aca="false">IF('Loan Tape'!$AN185=0,0,IF('Loan Tape'!$K185="Floating",MIN(IF('Loan Tape'!$P185="",10,'Loan Tape'!$P185),MAX(IF('Loan Tape'!$Q185="",0,'Loan Tape'!$Q185),INDEX(Idx_Curve,1,2)+'Loan Tape'!$M185)),IF('Loan Tape'!$L185="",0,'Loan Tape'!$L185)))</f>
        <v>0</v>
      </c>
      <c r="E492" s="56" t="n">
        <f aca="false">IF('Loan Tape'!$AN185=0,0,IF('Loan Tape'!$K185="Floating",MIN(IF('Loan Tape'!$P185="",10,'Loan Tape'!$P185),MAX(IF('Loan Tape'!$Q185="",0,'Loan Tape'!$Q185),INDEX(Idx_Curve,1,3)+'Loan Tape'!$M185)),IF('Loan Tape'!$L185="",0,'Loan Tape'!$L185)))</f>
        <v>0</v>
      </c>
      <c r="F492" s="56" t="n">
        <f aca="false">IF('Loan Tape'!$AN185=0,0,IF('Loan Tape'!$K185="Floating",MIN(IF('Loan Tape'!$P185="",10,'Loan Tape'!$P185),MAX(IF('Loan Tape'!$Q185="",0,'Loan Tape'!$Q185),INDEX(Idx_Curve,1,4)+'Loan Tape'!$M185)),IF('Loan Tape'!$L185="",0,'Loan Tape'!$L185)))</f>
        <v>0</v>
      </c>
      <c r="G492" s="56" t="n">
        <f aca="false">IF('Loan Tape'!$AN185=0,0,IF('Loan Tape'!$K185="Floating",MIN(IF('Loan Tape'!$P185="",10,'Loan Tape'!$P185),MAX(IF('Loan Tape'!$Q185="",0,'Loan Tape'!$Q185),INDEX(Idx_Curve,1,5)+'Loan Tape'!$M185)),IF('Loan Tape'!$L185="",0,'Loan Tape'!$L185)))</f>
        <v>0</v>
      </c>
      <c r="H492" s="56" t="n">
        <f aca="false">IF('Loan Tape'!$AN185=0,0,IF('Loan Tape'!$K185="Floating",MIN(IF('Loan Tape'!$P185="",10,'Loan Tape'!$P185),MAX(IF('Loan Tape'!$Q185="",0,'Loan Tape'!$Q185),INDEX(Idx_Curve,1,6)+'Loan Tape'!$M185)),IF('Loan Tape'!$L185="",0,'Loan Tape'!$L185)))</f>
        <v>0</v>
      </c>
      <c r="I492" s="56" t="n">
        <f aca="false">IF('Loan Tape'!$AN185=0,0,IF('Loan Tape'!$K185="Floating",MIN(IF('Loan Tape'!$P185="",10,'Loan Tape'!$P185),MAX(IF('Loan Tape'!$Q185="",0,'Loan Tape'!$Q185),INDEX(Idx_Curve,1,7)+'Loan Tape'!$M185)),IF('Loan Tape'!$L185="",0,'Loan Tape'!$L185)))</f>
        <v>0</v>
      </c>
      <c r="J492" s="56" t="n">
        <f aca="false">IF('Loan Tape'!$AN185=0,0,IF('Loan Tape'!$K185="Floating",MIN(IF('Loan Tape'!$P185="",10,'Loan Tape'!$P185),MAX(IF('Loan Tape'!$Q185="",0,'Loan Tape'!$Q185),INDEX(Idx_Curve,1,8)+'Loan Tape'!$M185)),IF('Loan Tape'!$L185="",0,'Loan Tape'!$L185)))</f>
        <v>0</v>
      </c>
      <c r="K492" s="56" t="n">
        <f aca="false">IF('Loan Tape'!$AN185=0,0,IF('Loan Tape'!$K185="Floating",MIN(IF('Loan Tape'!$P185="",10,'Loan Tape'!$P185),MAX(IF('Loan Tape'!$Q185="",0,'Loan Tape'!$Q185),INDEX(Idx_Curve,1,9)+'Loan Tape'!$M185)),IF('Loan Tape'!$L185="",0,'Loan Tape'!$L185)))</f>
        <v>0</v>
      </c>
      <c r="L492" s="56" t="n">
        <f aca="false">IF('Loan Tape'!$AN185=0,0,IF('Loan Tape'!$K185="Floating",MIN(IF('Loan Tape'!$P185="",10,'Loan Tape'!$P185),MAX(IF('Loan Tape'!$Q185="",0,'Loan Tape'!$Q185),INDEX(Idx_Curve,1,10)+'Loan Tape'!$M185)),IF('Loan Tape'!$L185="",0,'Loan Tape'!$L185)))</f>
        <v>0</v>
      </c>
    </row>
    <row r="493" customFormat="false" ht="15" hidden="false" customHeight="false" outlineLevel="0" collapsed="false">
      <c r="B493" s="102" t="n">
        <f aca="false">'Loan Tape'!$A186</f>
        <v>0</v>
      </c>
      <c r="C493" s="104" t="n">
        <f aca="false">IF('Loan Tape'!$AN186=0,0,IF('Loan Tape'!$K186="Floating",MIN(IF('Loan Tape'!$P186="",10,'Loan Tape'!$P186),MAX(IF('Loan Tape'!$Q186="",0,'Loan Tape'!$Q186),INDEX(Idx_Curve,1,1)+'Loan Tape'!$M186)),IF('Loan Tape'!$L186="",0,'Loan Tape'!$L186)))</f>
        <v>0</v>
      </c>
      <c r="D493" s="104" t="n">
        <f aca="false">IF('Loan Tape'!$AN186=0,0,IF('Loan Tape'!$K186="Floating",MIN(IF('Loan Tape'!$P186="",10,'Loan Tape'!$P186),MAX(IF('Loan Tape'!$Q186="",0,'Loan Tape'!$Q186),INDEX(Idx_Curve,1,2)+'Loan Tape'!$M186)),IF('Loan Tape'!$L186="",0,'Loan Tape'!$L186)))</f>
        <v>0</v>
      </c>
      <c r="E493" s="104" t="n">
        <f aca="false">IF('Loan Tape'!$AN186=0,0,IF('Loan Tape'!$K186="Floating",MIN(IF('Loan Tape'!$P186="",10,'Loan Tape'!$P186),MAX(IF('Loan Tape'!$Q186="",0,'Loan Tape'!$Q186),INDEX(Idx_Curve,1,3)+'Loan Tape'!$M186)),IF('Loan Tape'!$L186="",0,'Loan Tape'!$L186)))</f>
        <v>0</v>
      </c>
      <c r="F493" s="104" t="n">
        <f aca="false">IF('Loan Tape'!$AN186=0,0,IF('Loan Tape'!$K186="Floating",MIN(IF('Loan Tape'!$P186="",10,'Loan Tape'!$P186),MAX(IF('Loan Tape'!$Q186="",0,'Loan Tape'!$Q186),INDEX(Idx_Curve,1,4)+'Loan Tape'!$M186)),IF('Loan Tape'!$L186="",0,'Loan Tape'!$L186)))</f>
        <v>0</v>
      </c>
      <c r="G493" s="104" t="n">
        <f aca="false">IF('Loan Tape'!$AN186=0,0,IF('Loan Tape'!$K186="Floating",MIN(IF('Loan Tape'!$P186="",10,'Loan Tape'!$P186),MAX(IF('Loan Tape'!$Q186="",0,'Loan Tape'!$Q186),INDEX(Idx_Curve,1,5)+'Loan Tape'!$M186)),IF('Loan Tape'!$L186="",0,'Loan Tape'!$L186)))</f>
        <v>0</v>
      </c>
      <c r="H493" s="104" t="n">
        <f aca="false">IF('Loan Tape'!$AN186=0,0,IF('Loan Tape'!$K186="Floating",MIN(IF('Loan Tape'!$P186="",10,'Loan Tape'!$P186),MAX(IF('Loan Tape'!$Q186="",0,'Loan Tape'!$Q186),INDEX(Idx_Curve,1,6)+'Loan Tape'!$M186)),IF('Loan Tape'!$L186="",0,'Loan Tape'!$L186)))</f>
        <v>0</v>
      </c>
      <c r="I493" s="104" t="n">
        <f aca="false">IF('Loan Tape'!$AN186=0,0,IF('Loan Tape'!$K186="Floating",MIN(IF('Loan Tape'!$P186="",10,'Loan Tape'!$P186),MAX(IF('Loan Tape'!$Q186="",0,'Loan Tape'!$Q186),INDEX(Idx_Curve,1,7)+'Loan Tape'!$M186)),IF('Loan Tape'!$L186="",0,'Loan Tape'!$L186)))</f>
        <v>0</v>
      </c>
      <c r="J493" s="104" t="n">
        <f aca="false">IF('Loan Tape'!$AN186=0,0,IF('Loan Tape'!$K186="Floating",MIN(IF('Loan Tape'!$P186="",10,'Loan Tape'!$P186),MAX(IF('Loan Tape'!$Q186="",0,'Loan Tape'!$Q186),INDEX(Idx_Curve,1,8)+'Loan Tape'!$M186)),IF('Loan Tape'!$L186="",0,'Loan Tape'!$L186)))</f>
        <v>0</v>
      </c>
      <c r="K493" s="104" t="n">
        <f aca="false">IF('Loan Tape'!$AN186=0,0,IF('Loan Tape'!$K186="Floating",MIN(IF('Loan Tape'!$P186="",10,'Loan Tape'!$P186),MAX(IF('Loan Tape'!$Q186="",0,'Loan Tape'!$Q186),INDEX(Idx_Curve,1,9)+'Loan Tape'!$M186)),IF('Loan Tape'!$L186="",0,'Loan Tape'!$L186)))</f>
        <v>0</v>
      </c>
      <c r="L493" s="104" t="n">
        <f aca="false">IF('Loan Tape'!$AN186=0,0,IF('Loan Tape'!$K186="Floating",MIN(IF('Loan Tape'!$P186="",10,'Loan Tape'!$P186),MAX(IF('Loan Tape'!$Q186="",0,'Loan Tape'!$Q186),INDEX(Idx_Curve,1,10)+'Loan Tape'!$M186)),IF('Loan Tape'!$L186="",0,'Loan Tape'!$L186)))</f>
        <v>0</v>
      </c>
    </row>
    <row r="494" customFormat="false" ht="15" hidden="false" customHeight="false" outlineLevel="0" collapsed="false">
      <c r="B494" s="108" t="n">
        <f aca="false">'Loan Tape'!$A187</f>
        <v>0</v>
      </c>
      <c r="C494" s="56" t="n">
        <f aca="false">IF('Loan Tape'!$AN187=0,0,IF('Loan Tape'!$K187="Floating",MIN(IF('Loan Tape'!$P187="",10,'Loan Tape'!$P187),MAX(IF('Loan Tape'!$Q187="",0,'Loan Tape'!$Q187),INDEX(Idx_Curve,1,1)+'Loan Tape'!$M187)),IF('Loan Tape'!$L187="",0,'Loan Tape'!$L187)))</f>
        <v>0</v>
      </c>
      <c r="D494" s="56" t="n">
        <f aca="false">IF('Loan Tape'!$AN187=0,0,IF('Loan Tape'!$K187="Floating",MIN(IF('Loan Tape'!$P187="",10,'Loan Tape'!$P187),MAX(IF('Loan Tape'!$Q187="",0,'Loan Tape'!$Q187),INDEX(Idx_Curve,1,2)+'Loan Tape'!$M187)),IF('Loan Tape'!$L187="",0,'Loan Tape'!$L187)))</f>
        <v>0</v>
      </c>
      <c r="E494" s="56" t="n">
        <f aca="false">IF('Loan Tape'!$AN187=0,0,IF('Loan Tape'!$K187="Floating",MIN(IF('Loan Tape'!$P187="",10,'Loan Tape'!$P187),MAX(IF('Loan Tape'!$Q187="",0,'Loan Tape'!$Q187),INDEX(Idx_Curve,1,3)+'Loan Tape'!$M187)),IF('Loan Tape'!$L187="",0,'Loan Tape'!$L187)))</f>
        <v>0</v>
      </c>
      <c r="F494" s="56" t="n">
        <f aca="false">IF('Loan Tape'!$AN187=0,0,IF('Loan Tape'!$K187="Floating",MIN(IF('Loan Tape'!$P187="",10,'Loan Tape'!$P187),MAX(IF('Loan Tape'!$Q187="",0,'Loan Tape'!$Q187),INDEX(Idx_Curve,1,4)+'Loan Tape'!$M187)),IF('Loan Tape'!$L187="",0,'Loan Tape'!$L187)))</f>
        <v>0</v>
      </c>
      <c r="G494" s="56" t="n">
        <f aca="false">IF('Loan Tape'!$AN187=0,0,IF('Loan Tape'!$K187="Floating",MIN(IF('Loan Tape'!$P187="",10,'Loan Tape'!$P187),MAX(IF('Loan Tape'!$Q187="",0,'Loan Tape'!$Q187),INDEX(Idx_Curve,1,5)+'Loan Tape'!$M187)),IF('Loan Tape'!$L187="",0,'Loan Tape'!$L187)))</f>
        <v>0</v>
      </c>
      <c r="H494" s="56" t="n">
        <f aca="false">IF('Loan Tape'!$AN187=0,0,IF('Loan Tape'!$K187="Floating",MIN(IF('Loan Tape'!$P187="",10,'Loan Tape'!$P187),MAX(IF('Loan Tape'!$Q187="",0,'Loan Tape'!$Q187),INDEX(Idx_Curve,1,6)+'Loan Tape'!$M187)),IF('Loan Tape'!$L187="",0,'Loan Tape'!$L187)))</f>
        <v>0</v>
      </c>
      <c r="I494" s="56" t="n">
        <f aca="false">IF('Loan Tape'!$AN187=0,0,IF('Loan Tape'!$K187="Floating",MIN(IF('Loan Tape'!$P187="",10,'Loan Tape'!$P187),MAX(IF('Loan Tape'!$Q187="",0,'Loan Tape'!$Q187),INDEX(Idx_Curve,1,7)+'Loan Tape'!$M187)),IF('Loan Tape'!$L187="",0,'Loan Tape'!$L187)))</f>
        <v>0</v>
      </c>
      <c r="J494" s="56" t="n">
        <f aca="false">IF('Loan Tape'!$AN187=0,0,IF('Loan Tape'!$K187="Floating",MIN(IF('Loan Tape'!$P187="",10,'Loan Tape'!$P187),MAX(IF('Loan Tape'!$Q187="",0,'Loan Tape'!$Q187),INDEX(Idx_Curve,1,8)+'Loan Tape'!$M187)),IF('Loan Tape'!$L187="",0,'Loan Tape'!$L187)))</f>
        <v>0</v>
      </c>
      <c r="K494" s="56" t="n">
        <f aca="false">IF('Loan Tape'!$AN187=0,0,IF('Loan Tape'!$K187="Floating",MIN(IF('Loan Tape'!$P187="",10,'Loan Tape'!$P187),MAX(IF('Loan Tape'!$Q187="",0,'Loan Tape'!$Q187),INDEX(Idx_Curve,1,9)+'Loan Tape'!$M187)),IF('Loan Tape'!$L187="",0,'Loan Tape'!$L187)))</f>
        <v>0</v>
      </c>
      <c r="L494" s="56" t="n">
        <f aca="false">IF('Loan Tape'!$AN187=0,0,IF('Loan Tape'!$K187="Floating",MIN(IF('Loan Tape'!$P187="",10,'Loan Tape'!$P187),MAX(IF('Loan Tape'!$Q187="",0,'Loan Tape'!$Q187),INDEX(Idx_Curve,1,10)+'Loan Tape'!$M187)),IF('Loan Tape'!$L187="",0,'Loan Tape'!$L187)))</f>
        <v>0</v>
      </c>
    </row>
    <row r="495" customFormat="false" ht="15" hidden="false" customHeight="false" outlineLevel="0" collapsed="false">
      <c r="B495" s="102" t="n">
        <f aca="false">'Loan Tape'!$A188</f>
        <v>0</v>
      </c>
      <c r="C495" s="104" t="n">
        <f aca="false">IF('Loan Tape'!$AN188=0,0,IF('Loan Tape'!$K188="Floating",MIN(IF('Loan Tape'!$P188="",10,'Loan Tape'!$P188),MAX(IF('Loan Tape'!$Q188="",0,'Loan Tape'!$Q188),INDEX(Idx_Curve,1,1)+'Loan Tape'!$M188)),IF('Loan Tape'!$L188="",0,'Loan Tape'!$L188)))</f>
        <v>0</v>
      </c>
      <c r="D495" s="104" t="n">
        <f aca="false">IF('Loan Tape'!$AN188=0,0,IF('Loan Tape'!$K188="Floating",MIN(IF('Loan Tape'!$P188="",10,'Loan Tape'!$P188),MAX(IF('Loan Tape'!$Q188="",0,'Loan Tape'!$Q188),INDEX(Idx_Curve,1,2)+'Loan Tape'!$M188)),IF('Loan Tape'!$L188="",0,'Loan Tape'!$L188)))</f>
        <v>0</v>
      </c>
      <c r="E495" s="104" t="n">
        <f aca="false">IF('Loan Tape'!$AN188=0,0,IF('Loan Tape'!$K188="Floating",MIN(IF('Loan Tape'!$P188="",10,'Loan Tape'!$P188),MAX(IF('Loan Tape'!$Q188="",0,'Loan Tape'!$Q188),INDEX(Idx_Curve,1,3)+'Loan Tape'!$M188)),IF('Loan Tape'!$L188="",0,'Loan Tape'!$L188)))</f>
        <v>0</v>
      </c>
      <c r="F495" s="104" t="n">
        <f aca="false">IF('Loan Tape'!$AN188=0,0,IF('Loan Tape'!$K188="Floating",MIN(IF('Loan Tape'!$P188="",10,'Loan Tape'!$P188),MAX(IF('Loan Tape'!$Q188="",0,'Loan Tape'!$Q188),INDEX(Idx_Curve,1,4)+'Loan Tape'!$M188)),IF('Loan Tape'!$L188="",0,'Loan Tape'!$L188)))</f>
        <v>0</v>
      </c>
      <c r="G495" s="104" t="n">
        <f aca="false">IF('Loan Tape'!$AN188=0,0,IF('Loan Tape'!$K188="Floating",MIN(IF('Loan Tape'!$P188="",10,'Loan Tape'!$P188),MAX(IF('Loan Tape'!$Q188="",0,'Loan Tape'!$Q188),INDEX(Idx_Curve,1,5)+'Loan Tape'!$M188)),IF('Loan Tape'!$L188="",0,'Loan Tape'!$L188)))</f>
        <v>0</v>
      </c>
      <c r="H495" s="104" t="n">
        <f aca="false">IF('Loan Tape'!$AN188=0,0,IF('Loan Tape'!$K188="Floating",MIN(IF('Loan Tape'!$P188="",10,'Loan Tape'!$P188),MAX(IF('Loan Tape'!$Q188="",0,'Loan Tape'!$Q188),INDEX(Idx_Curve,1,6)+'Loan Tape'!$M188)),IF('Loan Tape'!$L188="",0,'Loan Tape'!$L188)))</f>
        <v>0</v>
      </c>
      <c r="I495" s="104" t="n">
        <f aca="false">IF('Loan Tape'!$AN188=0,0,IF('Loan Tape'!$K188="Floating",MIN(IF('Loan Tape'!$P188="",10,'Loan Tape'!$P188),MAX(IF('Loan Tape'!$Q188="",0,'Loan Tape'!$Q188),INDEX(Idx_Curve,1,7)+'Loan Tape'!$M188)),IF('Loan Tape'!$L188="",0,'Loan Tape'!$L188)))</f>
        <v>0</v>
      </c>
      <c r="J495" s="104" t="n">
        <f aca="false">IF('Loan Tape'!$AN188=0,0,IF('Loan Tape'!$K188="Floating",MIN(IF('Loan Tape'!$P188="",10,'Loan Tape'!$P188),MAX(IF('Loan Tape'!$Q188="",0,'Loan Tape'!$Q188),INDEX(Idx_Curve,1,8)+'Loan Tape'!$M188)),IF('Loan Tape'!$L188="",0,'Loan Tape'!$L188)))</f>
        <v>0</v>
      </c>
      <c r="K495" s="104" t="n">
        <f aca="false">IF('Loan Tape'!$AN188=0,0,IF('Loan Tape'!$K188="Floating",MIN(IF('Loan Tape'!$P188="",10,'Loan Tape'!$P188),MAX(IF('Loan Tape'!$Q188="",0,'Loan Tape'!$Q188),INDEX(Idx_Curve,1,9)+'Loan Tape'!$M188)),IF('Loan Tape'!$L188="",0,'Loan Tape'!$L188)))</f>
        <v>0</v>
      </c>
      <c r="L495" s="104" t="n">
        <f aca="false">IF('Loan Tape'!$AN188=0,0,IF('Loan Tape'!$K188="Floating",MIN(IF('Loan Tape'!$P188="",10,'Loan Tape'!$P188),MAX(IF('Loan Tape'!$Q188="",0,'Loan Tape'!$Q188),INDEX(Idx_Curve,1,10)+'Loan Tape'!$M188)),IF('Loan Tape'!$L188="",0,'Loan Tape'!$L188)))</f>
        <v>0</v>
      </c>
    </row>
    <row r="496" customFormat="false" ht="15" hidden="false" customHeight="false" outlineLevel="0" collapsed="false">
      <c r="B496" s="108" t="n">
        <f aca="false">'Loan Tape'!$A189</f>
        <v>0</v>
      </c>
      <c r="C496" s="56" t="n">
        <f aca="false">IF('Loan Tape'!$AN189=0,0,IF('Loan Tape'!$K189="Floating",MIN(IF('Loan Tape'!$P189="",10,'Loan Tape'!$P189),MAX(IF('Loan Tape'!$Q189="",0,'Loan Tape'!$Q189),INDEX(Idx_Curve,1,1)+'Loan Tape'!$M189)),IF('Loan Tape'!$L189="",0,'Loan Tape'!$L189)))</f>
        <v>0</v>
      </c>
      <c r="D496" s="56" t="n">
        <f aca="false">IF('Loan Tape'!$AN189=0,0,IF('Loan Tape'!$K189="Floating",MIN(IF('Loan Tape'!$P189="",10,'Loan Tape'!$P189),MAX(IF('Loan Tape'!$Q189="",0,'Loan Tape'!$Q189),INDEX(Idx_Curve,1,2)+'Loan Tape'!$M189)),IF('Loan Tape'!$L189="",0,'Loan Tape'!$L189)))</f>
        <v>0</v>
      </c>
      <c r="E496" s="56" t="n">
        <f aca="false">IF('Loan Tape'!$AN189=0,0,IF('Loan Tape'!$K189="Floating",MIN(IF('Loan Tape'!$P189="",10,'Loan Tape'!$P189),MAX(IF('Loan Tape'!$Q189="",0,'Loan Tape'!$Q189),INDEX(Idx_Curve,1,3)+'Loan Tape'!$M189)),IF('Loan Tape'!$L189="",0,'Loan Tape'!$L189)))</f>
        <v>0</v>
      </c>
      <c r="F496" s="56" t="n">
        <f aca="false">IF('Loan Tape'!$AN189=0,0,IF('Loan Tape'!$K189="Floating",MIN(IF('Loan Tape'!$P189="",10,'Loan Tape'!$P189),MAX(IF('Loan Tape'!$Q189="",0,'Loan Tape'!$Q189),INDEX(Idx_Curve,1,4)+'Loan Tape'!$M189)),IF('Loan Tape'!$L189="",0,'Loan Tape'!$L189)))</f>
        <v>0</v>
      </c>
      <c r="G496" s="56" t="n">
        <f aca="false">IF('Loan Tape'!$AN189=0,0,IF('Loan Tape'!$K189="Floating",MIN(IF('Loan Tape'!$P189="",10,'Loan Tape'!$P189),MAX(IF('Loan Tape'!$Q189="",0,'Loan Tape'!$Q189),INDEX(Idx_Curve,1,5)+'Loan Tape'!$M189)),IF('Loan Tape'!$L189="",0,'Loan Tape'!$L189)))</f>
        <v>0</v>
      </c>
      <c r="H496" s="56" t="n">
        <f aca="false">IF('Loan Tape'!$AN189=0,0,IF('Loan Tape'!$K189="Floating",MIN(IF('Loan Tape'!$P189="",10,'Loan Tape'!$P189),MAX(IF('Loan Tape'!$Q189="",0,'Loan Tape'!$Q189),INDEX(Idx_Curve,1,6)+'Loan Tape'!$M189)),IF('Loan Tape'!$L189="",0,'Loan Tape'!$L189)))</f>
        <v>0</v>
      </c>
      <c r="I496" s="56" t="n">
        <f aca="false">IF('Loan Tape'!$AN189=0,0,IF('Loan Tape'!$K189="Floating",MIN(IF('Loan Tape'!$P189="",10,'Loan Tape'!$P189),MAX(IF('Loan Tape'!$Q189="",0,'Loan Tape'!$Q189),INDEX(Idx_Curve,1,7)+'Loan Tape'!$M189)),IF('Loan Tape'!$L189="",0,'Loan Tape'!$L189)))</f>
        <v>0</v>
      </c>
      <c r="J496" s="56" t="n">
        <f aca="false">IF('Loan Tape'!$AN189=0,0,IF('Loan Tape'!$K189="Floating",MIN(IF('Loan Tape'!$P189="",10,'Loan Tape'!$P189),MAX(IF('Loan Tape'!$Q189="",0,'Loan Tape'!$Q189),INDEX(Idx_Curve,1,8)+'Loan Tape'!$M189)),IF('Loan Tape'!$L189="",0,'Loan Tape'!$L189)))</f>
        <v>0</v>
      </c>
      <c r="K496" s="56" t="n">
        <f aca="false">IF('Loan Tape'!$AN189=0,0,IF('Loan Tape'!$K189="Floating",MIN(IF('Loan Tape'!$P189="",10,'Loan Tape'!$P189),MAX(IF('Loan Tape'!$Q189="",0,'Loan Tape'!$Q189),INDEX(Idx_Curve,1,9)+'Loan Tape'!$M189)),IF('Loan Tape'!$L189="",0,'Loan Tape'!$L189)))</f>
        <v>0</v>
      </c>
      <c r="L496" s="56" t="n">
        <f aca="false">IF('Loan Tape'!$AN189=0,0,IF('Loan Tape'!$K189="Floating",MIN(IF('Loan Tape'!$P189="",10,'Loan Tape'!$P189),MAX(IF('Loan Tape'!$Q189="",0,'Loan Tape'!$Q189),INDEX(Idx_Curve,1,10)+'Loan Tape'!$M189)),IF('Loan Tape'!$L189="",0,'Loan Tape'!$L189)))</f>
        <v>0</v>
      </c>
    </row>
    <row r="497" customFormat="false" ht="15" hidden="false" customHeight="false" outlineLevel="0" collapsed="false">
      <c r="B497" s="102" t="n">
        <f aca="false">'Loan Tape'!$A190</f>
        <v>0</v>
      </c>
      <c r="C497" s="104" t="n">
        <f aca="false">IF('Loan Tape'!$AN190=0,0,IF('Loan Tape'!$K190="Floating",MIN(IF('Loan Tape'!$P190="",10,'Loan Tape'!$P190),MAX(IF('Loan Tape'!$Q190="",0,'Loan Tape'!$Q190),INDEX(Idx_Curve,1,1)+'Loan Tape'!$M190)),IF('Loan Tape'!$L190="",0,'Loan Tape'!$L190)))</f>
        <v>0</v>
      </c>
      <c r="D497" s="104" t="n">
        <f aca="false">IF('Loan Tape'!$AN190=0,0,IF('Loan Tape'!$K190="Floating",MIN(IF('Loan Tape'!$P190="",10,'Loan Tape'!$P190),MAX(IF('Loan Tape'!$Q190="",0,'Loan Tape'!$Q190),INDEX(Idx_Curve,1,2)+'Loan Tape'!$M190)),IF('Loan Tape'!$L190="",0,'Loan Tape'!$L190)))</f>
        <v>0</v>
      </c>
      <c r="E497" s="104" t="n">
        <f aca="false">IF('Loan Tape'!$AN190=0,0,IF('Loan Tape'!$K190="Floating",MIN(IF('Loan Tape'!$P190="",10,'Loan Tape'!$P190),MAX(IF('Loan Tape'!$Q190="",0,'Loan Tape'!$Q190),INDEX(Idx_Curve,1,3)+'Loan Tape'!$M190)),IF('Loan Tape'!$L190="",0,'Loan Tape'!$L190)))</f>
        <v>0</v>
      </c>
      <c r="F497" s="104" t="n">
        <f aca="false">IF('Loan Tape'!$AN190=0,0,IF('Loan Tape'!$K190="Floating",MIN(IF('Loan Tape'!$P190="",10,'Loan Tape'!$P190),MAX(IF('Loan Tape'!$Q190="",0,'Loan Tape'!$Q190),INDEX(Idx_Curve,1,4)+'Loan Tape'!$M190)),IF('Loan Tape'!$L190="",0,'Loan Tape'!$L190)))</f>
        <v>0</v>
      </c>
      <c r="G497" s="104" t="n">
        <f aca="false">IF('Loan Tape'!$AN190=0,0,IF('Loan Tape'!$K190="Floating",MIN(IF('Loan Tape'!$P190="",10,'Loan Tape'!$P190),MAX(IF('Loan Tape'!$Q190="",0,'Loan Tape'!$Q190),INDEX(Idx_Curve,1,5)+'Loan Tape'!$M190)),IF('Loan Tape'!$L190="",0,'Loan Tape'!$L190)))</f>
        <v>0</v>
      </c>
      <c r="H497" s="104" t="n">
        <f aca="false">IF('Loan Tape'!$AN190=0,0,IF('Loan Tape'!$K190="Floating",MIN(IF('Loan Tape'!$P190="",10,'Loan Tape'!$P190),MAX(IF('Loan Tape'!$Q190="",0,'Loan Tape'!$Q190),INDEX(Idx_Curve,1,6)+'Loan Tape'!$M190)),IF('Loan Tape'!$L190="",0,'Loan Tape'!$L190)))</f>
        <v>0</v>
      </c>
      <c r="I497" s="104" t="n">
        <f aca="false">IF('Loan Tape'!$AN190=0,0,IF('Loan Tape'!$K190="Floating",MIN(IF('Loan Tape'!$P190="",10,'Loan Tape'!$P190),MAX(IF('Loan Tape'!$Q190="",0,'Loan Tape'!$Q190),INDEX(Idx_Curve,1,7)+'Loan Tape'!$M190)),IF('Loan Tape'!$L190="",0,'Loan Tape'!$L190)))</f>
        <v>0</v>
      </c>
      <c r="J497" s="104" t="n">
        <f aca="false">IF('Loan Tape'!$AN190=0,0,IF('Loan Tape'!$K190="Floating",MIN(IF('Loan Tape'!$P190="",10,'Loan Tape'!$P190),MAX(IF('Loan Tape'!$Q190="",0,'Loan Tape'!$Q190),INDEX(Idx_Curve,1,8)+'Loan Tape'!$M190)),IF('Loan Tape'!$L190="",0,'Loan Tape'!$L190)))</f>
        <v>0</v>
      </c>
      <c r="K497" s="104" t="n">
        <f aca="false">IF('Loan Tape'!$AN190=0,0,IF('Loan Tape'!$K190="Floating",MIN(IF('Loan Tape'!$P190="",10,'Loan Tape'!$P190),MAX(IF('Loan Tape'!$Q190="",0,'Loan Tape'!$Q190),INDEX(Idx_Curve,1,9)+'Loan Tape'!$M190)),IF('Loan Tape'!$L190="",0,'Loan Tape'!$L190)))</f>
        <v>0</v>
      </c>
      <c r="L497" s="104" t="n">
        <f aca="false">IF('Loan Tape'!$AN190=0,0,IF('Loan Tape'!$K190="Floating",MIN(IF('Loan Tape'!$P190="",10,'Loan Tape'!$P190),MAX(IF('Loan Tape'!$Q190="",0,'Loan Tape'!$Q190),INDEX(Idx_Curve,1,10)+'Loan Tape'!$M190)),IF('Loan Tape'!$L190="",0,'Loan Tape'!$L190)))</f>
        <v>0</v>
      </c>
    </row>
    <row r="498" customFormat="false" ht="15" hidden="false" customHeight="false" outlineLevel="0" collapsed="false">
      <c r="B498" s="108" t="n">
        <f aca="false">'Loan Tape'!$A191</f>
        <v>0</v>
      </c>
      <c r="C498" s="56" t="n">
        <f aca="false">IF('Loan Tape'!$AN191=0,0,IF('Loan Tape'!$K191="Floating",MIN(IF('Loan Tape'!$P191="",10,'Loan Tape'!$P191),MAX(IF('Loan Tape'!$Q191="",0,'Loan Tape'!$Q191),INDEX(Idx_Curve,1,1)+'Loan Tape'!$M191)),IF('Loan Tape'!$L191="",0,'Loan Tape'!$L191)))</f>
        <v>0</v>
      </c>
      <c r="D498" s="56" t="n">
        <f aca="false">IF('Loan Tape'!$AN191=0,0,IF('Loan Tape'!$K191="Floating",MIN(IF('Loan Tape'!$P191="",10,'Loan Tape'!$P191),MAX(IF('Loan Tape'!$Q191="",0,'Loan Tape'!$Q191),INDEX(Idx_Curve,1,2)+'Loan Tape'!$M191)),IF('Loan Tape'!$L191="",0,'Loan Tape'!$L191)))</f>
        <v>0</v>
      </c>
      <c r="E498" s="56" t="n">
        <f aca="false">IF('Loan Tape'!$AN191=0,0,IF('Loan Tape'!$K191="Floating",MIN(IF('Loan Tape'!$P191="",10,'Loan Tape'!$P191),MAX(IF('Loan Tape'!$Q191="",0,'Loan Tape'!$Q191),INDEX(Idx_Curve,1,3)+'Loan Tape'!$M191)),IF('Loan Tape'!$L191="",0,'Loan Tape'!$L191)))</f>
        <v>0</v>
      </c>
      <c r="F498" s="56" t="n">
        <f aca="false">IF('Loan Tape'!$AN191=0,0,IF('Loan Tape'!$K191="Floating",MIN(IF('Loan Tape'!$P191="",10,'Loan Tape'!$P191),MAX(IF('Loan Tape'!$Q191="",0,'Loan Tape'!$Q191),INDEX(Idx_Curve,1,4)+'Loan Tape'!$M191)),IF('Loan Tape'!$L191="",0,'Loan Tape'!$L191)))</f>
        <v>0</v>
      </c>
      <c r="G498" s="56" t="n">
        <f aca="false">IF('Loan Tape'!$AN191=0,0,IF('Loan Tape'!$K191="Floating",MIN(IF('Loan Tape'!$P191="",10,'Loan Tape'!$P191),MAX(IF('Loan Tape'!$Q191="",0,'Loan Tape'!$Q191),INDEX(Idx_Curve,1,5)+'Loan Tape'!$M191)),IF('Loan Tape'!$L191="",0,'Loan Tape'!$L191)))</f>
        <v>0</v>
      </c>
      <c r="H498" s="56" t="n">
        <f aca="false">IF('Loan Tape'!$AN191=0,0,IF('Loan Tape'!$K191="Floating",MIN(IF('Loan Tape'!$P191="",10,'Loan Tape'!$P191),MAX(IF('Loan Tape'!$Q191="",0,'Loan Tape'!$Q191),INDEX(Idx_Curve,1,6)+'Loan Tape'!$M191)),IF('Loan Tape'!$L191="",0,'Loan Tape'!$L191)))</f>
        <v>0</v>
      </c>
      <c r="I498" s="56" t="n">
        <f aca="false">IF('Loan Tape'!$AN191=0,0,IF('Loan Tape'!$K191="Floating",MIN(IF('Loan Tape'!$P191="",10,'Loan Tape'!$P191),MAX(IF('Loan Tape'!$Q191="",0,'Loan Tape'!$Q191),INDEX(Idx_Curve,1,7)+'Loan Tape'!$M191)),IF('Loan Tape'!$L191="",0,'Loan Tape'!$L191)))</f>
        <v>0</v>
      </c>
      <c r="J498" s="56" t="n">
        <f aca="false">IF('Loan Tape'!$AN191=0,0,IF('Loan Tape'!$K191="Floating",MIN(IF('Loan Tape'!$P191="",10,'Loan Tape'!$P191),MAX(IF('Loan Tape'!$Q191="",0,'Loan Tape'!$Q191),INDEX(Idx_Curve,1,8)+'Loan Tape'!$M191)),IF('Loan Tape'!$L191="",0,'Loan Tape'!$L191)))</f>
        <v>0</v>
      </c>
      <c r="K498" s="56" t="n">
        <f aca="false">IF('Loan Tape'!$AN191=0,0,IF('Loan Tape'!$K191="Floating",MIN(IF('Loan Tape'!$P191="",10,'Loan Tape'!$P191),MAX(IF('Loan Tape'!$Q191="",0,'Loan Tape'!$Q191),INDEX(Idx_Curve,1,9)+'Loan Tape'!$M191)),IF('Loan Tape'!$L191="",0,'Loan Tape'!$L191)))</f>
        <v>0</v>
      </c>
      <c r="L498" s="56" t="n">
        <f aca="false">IF('Loan Tape'!$AN191=0,0,IF('Loan Tape'!$K191="Floating",MIN(IF('Loan Tape'!$P191="",10,'Loan Tape'!$P191),MAX(IF('Loan Tape'!$Q191="",0,'Loan Tape'!$Q191),INDEX(Idx_Curve,1,10)+'Loan Tape'!$M191)),IF('Loan Tape'!$L191="",0,'Loan Tape'!$L191)))</f>
        <v>0</v>
      </c>
    </row>
    <row r="499" customFormat="false" ht="15" hidden="false" customHeight="false" outlineLevel="0" collapsed="false">
      <c r="B499" s="102" t="n">
        <f aca="false">'Loan Tape'!$A192</f>
        <v>0</v>
      </c>
      <c r="C499" s="104" t="n">
        <f aca="false">IF('Loan Tape'!$AN192=0,0,IF('Loan Tape'!$K192="Floating",MIN(IF('Loan Tape'!$P192="",10,'Loan Tape'!$P192),MAX(IF('Loan Tape'!$Q192="",0,'Loan Tape'!$Q192),INDEX(Idx_Curve,1,1)+'Loan Tape'!$M192)),IF('Loan Tape'!$L192="",0,'Loan Tape'!$L192)))</f>
        <v>0</v>
      </c>
      <c r="D499" s="104" t="n">
        <f aca="false">IF('Loan Tape'!$AN192=0,0,IF('Loan Tape'!$K192="Floating",MIN(IF('Loan Tape'!$P192="",10,'Loan Tape'!$P192),MAX(IF('Loan Tape'!$Q192="",0,'Loan Tape'!$Q192),INDEX(Idx_Curve,1,2)+'Loan Tape'!$M192)),IF('Loan Tape'!$L192="",0,'Loan Tape'!$L192)))</f>
        <v>0</v>
      </c>
      <c r="E499" s="104" t="n">
        <f aca="false">IF('Loan Tape'!$AN192=0,0,IF('Loan Tape'!$K192="Floating",MIN(IF('Loan Tape'!$P192="",10,'Loan Tape'!$P192),MAX(IF('Loan Tape'!$Q192="",0,'Loan Tape'!$Q192),INDEX(Idx_Curve,1,3)+'Loan Tape'!$M192)),IF('Loan Tape'!$L192="",0,'Loan Tape'!$L192)))</f>
        <v>0</v>
      </c>
      <c r="F499" s="104" t="n">
        <f aca="false">IF('Loan Tape'!$AN192=0,0,IF('Loan Tape'!$K192="Floating",MIN(IF('Loan Tape'!$P192="",10,'Loan Tape'!$P192),MAX(IF('Loan Tape'!$Q192="",0,'Loan Tape'!$Q192),INDEX(Idx_Curve,1,4)+'Loan Tape'!$M192)),IF('Loan Tape'!$L192="",0,'Loan Tape'!$L192)))</f>
        <v>0</v>
      </c>
      <c r="G499" s="104" t="n">
        <f aca="false">IF('Loan Tape'!$AN192=0,0,IF('Loan Tape'!$K192="Floating",MIN(IF('Loan Tape'!$P192="",10,'Loan Tape'!$P192),MAX(IF('Loan Tape'!$Q192="",0,'Loan Tape'!$Q192),INDEX(Idx_Curve,1,5)+'Loan Tape'!$M192)),IF('Loan Tape'!$L192="",0,'Loan Tape'!$L192)))</f>
        <v>0</v>
      </c>
      <c r="H499" s="104" t="n">
        <f aca="false">IF('Loan Tape'!$AN192=0,0,IF('Loan Tape'!$K192="Floating",MIN(IF('Loan Tape'!$P192="",10,'Loan Tape'!$P192),MAX(IF('Loan Tape'!$Q192="",0,'Loan Tape'!$Q192),INDEX(Idx_Curve,1,6)+'Loan Tape'!$M192)),IF('Loan Tape'!$L192="",0,'Loan Tape'!$L192)))</f>
        <v>0</v>
      </c>
      <c r="I499" s="104" t="n">
        <f aca="false">IF('Loan Tape'!$AN192=0,0,IF('Loan Tape'!$K192="Floating",MIN(IF('Loan Tape'!$P192="",10,'Loan Tape'!$P192),MAX(IF('Loan Tape'!$Q192="",0,'Loan Tape'!$Q192),INDEX(Idx_Curve,1,7)+'Loan Tape'!$M192)),IF('Loan Tape'!$L192="",0,'Loan Tape'!$L192)))</f>
        <v>0</v>
      </c>
      <c r="J499" s="104" t="n">
        <f aca="false">IF('Loan Tape'!$AN192=0,0,IF('Loan Tape'!$K192="Floating",MIN(IF('Loan Tape'!$P192="",10,'Loan Tape'!$P192),MAX(IF('Loan Tape'!$Q192="",0,'Loan Tape'!$Q192),INDEX(Idx_Curve,1,8)+'Loan Tape'!$M192)),IF('Loan Tape'!$L192="",0,'Loan Tape'!$L192)))</f>
        <v>0</v>
      </c>
      <c r="K499" s="104" t="n">
        <f aca="false">IF('Loan Tape'!$AN192=0,0,IF('Loan Tape'!$K192="Floating",MIN(IF('Loan Tape'!$P192="",10,'Loan Tape'!$P192),MAX(IF('Loan Tape'!$Q192="",0,'Loan Tape'!$Q192),INDEX(Idx_Curve,1,9)+'Loan Tape'!$M192)),IF('Loan Tape'!$L192="",0,'Loan Tape'!$L192)))</f>
        <v>0</v>
      </c>
      <c r="L499" s="104" t="n">
        <f aca="false">IF('Loan Tape'!$AN192=0,0,IF('Loan Tape'!$K192="Floating",MIN(IF('Loan Tape'!$P192="",10,'Loan Tape'!$P192),MAX(IF('Loan Tape'!$Q192="",0,'Loan Tape'!$Q192),INDEX(Idx_Curve,1,10)+'Loan Tape'!$M192)),IF('Loan Tape'!$L192="",0,'Loan Tape'!$L192)))</f>
        <v>0</v>
      </c>
    </row>
    <row r="500" customFormat="false" ht="15" hidden="false" customHeight="false" outlineLevel="0" collapsed="false">
      <c r="B500" s="108" t="n">
        <f aca="false">'Loan Tape'!$A193</f>
        <v>0</v>
      </c>
      <c r="C500" s="56" t="n">
        <f aca="false">IF('Loan Tape'!$AN193=0,0,IF('Loan Tape'!$K193="Floating",MIN(IF('Loan Tape'!$P193="",10,'Loan Tape'!$P193),MAX(IF('Loan Tape'!$Q193="",0,'Loan Tape'!$Q193),INDEX(Idx_Curve,1,1)+'Loan Tape'!$M193)),IF('Loan Tape'!$L193="",0,'Loan Tape'!$L193)))</f>
        <v>0</v>
      </c>
      <c r="D500" s="56" t="n">
        <f aca="false">IF('Loan Tape'!$AN193=0,0,IF('Loan Tape'!$K193="Floating",MIN(IF('Loan Tape'!$P193="",10,'Loan Tape'!$P193),MAX(IF('Loan Tape'!$Q193="",0,'Loan Tape'!$Q193),INDEX(Idx_Curve,1,2)+'Loan Tape'!$M193)),IF('Loan Tape'!$L193="",0,'Loan Tape'!$L193)))</f>
        <v>0</v>
      </c>
      <c r="E500" s="56" t="n">
        <f aca="false">IF('Loan Tape'!$AN193=0,0,IF('Loan Tape'!$K193="Floating",MIN(IF('Loan Tape'!$P193="",10,'Loan Tape'!$P193),MAX(IF('Loan Tape'!$Q193="",0,'Loan Tape'!$Q193),INDEX(Idx_Curve,1,3)+'Loan Tape'!$M193)),IF('Loan Tape'!$L193="",0,'Loan Tape'!$L193)))</f>
        <v>0</v>
      </c>
      <c r="F500" s="56" t="n">
        <f aca="false">IF('Loan Tape'!$AN193=0,0,IF('Loan Tape'!$K193="Floating",MIN(IF('Loan Tape'!$P193="",10,'Loan Tape'!$P193),MAX(IF('Loan Tape'!$Q193="",0,'Loan Tape'!$Q193),INDEX(Idx_Curve,1,4)+'Loan Tape'!$M193)),IF('Loan Tape'!$L193="",0,'Loan Tape'!$L193)))</f>
        <v>0</v>
      </c>
      <c r="G500" s="56" t="n">
        <f aca="false">IF('Loan Tape'!$AN193=0,0,IF('Loan Tape'!$K193="Floating",MIN(IF('Loan Tape'!$P193="",10,'Loan Tape'!$P193),MAX(IF('Loan Tape'!$Q193="",0,'Loan Tape'!$Q193),INDEX(Idx_Curve,1,5)+'Loan Tape'!$M193)),IF('Loan Tape'!$L193="",0,'Loan Tape'!$L193)))</f>
        <v>0</v>
      </c>
      <c r="H500" s="56" t="n">
        <f aca="false">IF('Loan Tape'!$AN193=0,0,IF('Loan Tape'!$K193="Floating",MIN(IF('Loan Tape'!$P193="",10,'Loan Tape'!$P193),MAX(IF('Loan Tape'!$Q193="",0,'Loan Tape'!$Q193),INDEX(Idx_Curve,1,6)+'Loan Tape'!$M193)),IF('Loan Tape'!$L193="",0,'Loan Tape'!$L193)))</f>
        <v>0</v>
      </c>
      <c r="I500" s="56" t="n">
        <f aca="false">IF('Loan Tape'!$AN193=0,0,IF('Loan Tape'!$K193="Floating",MIN(IF('Loan Tape'!$P193="",10,'Loan Tape'!$P193),MAX(IF('Loan Tape'!$Q193="",0,'Loan Tape'!$Q193),INDEX(Idx_Curve,1,7)+'Loan Tape'!$M193)),IF('Loan Tape'!$L193="",0,'Loan Tape'!$L193)))</f>
        <v>0</v>
      </c>
      <c r="J500" s="56" t="n">
        <f aca="false">IF('Loan Tape'!$AN193=0,0,IF('Loan Tape'!$K193="Floating",MIN(IF('Loan Tape'!$P193="",10,'Loan Tape'!$P193),MAX(IF('Loan Tape'!$Q193="",0,'Loan Tape'!$Q193),INDEX(Idx_Curve,1,8)+'Loan Tape'!$M193)),IF('Loan Tape'!$L193="",0,'Loan Tape'!$L193)))</f>
        <v>0</v>
      </c>
      <c r="K500" s="56" t="n">
        <f aca="false">IF('Loan Tape'!$AN193=0,0,IF('Loan Tape'!$K193="Floating",MIN(IF('Loan Tape'!$P193="",10,'Loan Tape'!$P193),MAX(IF('Loan Tape'!$Q193="",0,'Loan Tape'!$Q193),INDEX(Idx_Curve,1,9)+'Loan Tape'!$M193)),IF('Loan Tape'!$L193="",0,'Loan Tape'!$L193)))</f>
        <v>0</v>
      </c>
      <c r="L500" s="56" t="n">
        <f aca="false">IF('Loan Tape'!$AN193=0,0,IF('Loan Tape'!$K193="Floating",MIN(IF('Loan Tape'!$P193="",10,'Loan Tape'!$P193),MAX(IF('Loan Tape'!$Q193="",0,'Loan Tape'!$Q193),INDEX(Idx_Curve,1,10)+'Loan Tape'!$M193)),IF('Loan Tape'!$L193="",0,'Loan Tape'!$L193)))</f>
        <v>0</v>
      </c>
    </row>
    <row r="501" customFormat="false" ht="15" hidden="false" customHeight="false" outlineLevel="0" collapsed="false">
      <c r="B501" s="102" t="n">
        <f aca="false">'Loan Tape'!$A194</f>
        <v>0</v>
      </c>
      <c r="C501" s="104" t="n">
        <f aca="false">IF('Loan Tape'!$AN194=0,0,IF('Loan Tape'!$K194="Floating",MIN(IF('Loan Tape'!$P194="",10,'Loan Tape'!$P194),MAX(IF('Loan Tape'!$Q194="",0,'Loan Tape'!$Q194),INDEX(Idx_Curve,1,1)+'Loan Tape'!$M194)),IF('Loan Tape'!$L194="",0,'Loan Tape'!$L194)))</f>
        <v>0</v>
      </c>
      <c r="D501" s="104" t="n">
        <f aca="false">IF('Loan Tape'!$AN194=0,0,IF('Loan Tape'!$K194="Floating",MIN(IF('Loan Tape'!$P194="",10,'Loan Tape'!$P194),MAX(IF('Loan Tape'!$Q194="",0,'Loan Tape'!$Q194),INDEX(Idx_Curve,1,2)+'Loan Tape'!$M194)),IF('Loan Tape'!$L194="",0,'Loan Tape'!$L194)))</f>
        <v>0</v>
      </c>
      <c r="E501" s="104" t="n">
        <f aca="false">IF('Loan Tape'!$AN194=0,0,IF('Loan Tape'!$K194="Floating",MIN(IF('Loan Tape'!$P194="",10,'Loan Tape'!$P194),MAX(IF('Loan Tape'!$Q194="",0,'Loan Tape'!$Q194),INDEX(Idx_Curve,1,3)+'Loan Tape'!$M194)),IF('Loan Tape'!$L194="",0,'Loan Tape'!$L194)))</f>
        <v>0</v>
      </c>
      <c r="F501" s="104" t="n">
        <f aca="false">IF('Loan Tape'!$AN194=0,0,IF('Loan Tape'!$K194="Floating",MIN(IF('Loan Tape'!$P194="",10,'Loan Tape'!$P194),MAX(IF('Loan Tape'!$Q194="",0,'Loan Tape'!$Q194),INDEX(Idx_Curve,1,4)+'Loan Tape'!$M194)),IF('Loan Tape'!$L194="",0,'Loan Tape'!$L194)))</f>
        <v>0</v>
      </c>
      <c r="G501" s="104" t="n">
        <f aca="false">IF('Loan Tape'!$AN194=0,0,IF('Loan Tape'!$K194="Floating",MIN(IF('Loan Tape'!$P194="",10,'Loan Tape'!$P194),MAX(IF('Loan Tape'!$Q194="",0,'Loan Tape'!$Q194),INDEX(Idx_Curve,1,5)+'Loan Tape'!$M194)),IF('Loan Tape'!$L194="",0,'Loan Tape'!$L194)))</f>
        <v>0</v>
      </c>
      <c r="H501" s="104" t="n">
        <f aca="false">IF('Loan Tape'!$AN194=0,0,IF('Loan Tape'!$K194="Floating",MIN(IF('Loan Tape'!$P194="",10,'Loan Tape'!$P194),MAX(IF('Loan Tape'!$Q194="",0,'Loan Tape'!$Q194),INDEX(Idx_Curve,1,6)+'Loan Tape'!$M194)),IF('Loan Tape'!$L194="",0,'Loan Tape'!$L194)))</f>
        <v>0</v>
      </c>
      <c r="I501" s="104" t="n">
        <f aca="false">IF('Loan Tape'!$AN194=0,0,IF('Loan Tape'!$K194="Floating",MIN(IF('Loan Tape'!$P194="",10,'Loan Tape'!$P194),MAX(IF('Loan Tape'!$Q194="",0,'Loan Tape'!$Q194),INDEX(Idx_Curve,1,7)+'Loan Tape'!$M194)),IF('Loan Tape'!$L194="",0,'Loan Tape'!$L194)))</f>
        <v>0</v>
      </c>
      <c r="J501" s="104" t="n">
        <f aca="false">IF('Loan Tape'!$AN194=0,0,IF('Loan Tape'!$K194="Floating",MIN(IF('Loan Tape'!$P194="",10,'Loan Tape'!$P194),MAX(IF('Loan Tape'!$Q194="",0,'Loan Tape'!$Q194),INDEX(Idx_Curve,1,8)+'Loan Tape'!$M194)),IF('Loan Tape'!$L194="",0,'Loan Tape'!$L194)))</f>
        <v>0</v>
      </c>
      <c r="K501" s="104" t="n">
        <f aca="false">IF('Loan Tape'!$AN194=0,0,IF('Loan Tape'!$K194="Floating",MIN(IF('Loan Tape'!$P194="",10,'Loan Tape'!$P194),MAX(IF('Loan Tape'!$Q194="",0,'Loan Tape'!$Q194),INDEX(Idx_Curve,1,9)+'Loan Tape'!$M194)),IF('Loan Tape'!$L194="",0,'Loan Tape'!$L194)))</f>
        <v>0</v>
      </c>
      <c r="L501" s="104" t="n">
        <f aca="false">IF('Loan Tape'!$AN194=0,0,IF('Loan Tape'!$K194="Floating",MIN(IF('Loan Tape'!$P194="",10,'Loan Tape'!$P194),MAX(IF('Loan Tape'!$Q194="",0,'Loan Tape'!$Q194),INDEX(Idx_Curve,1,10)+'Loan Tape'!$M194)),IF('Loan Tape'!$L194="",0,'Loan Tape'!$L194)))</f>
        <v>0</v>
      </c>
    </row>
    <row r="502" customFormat="false" ht="15" hidden="false" customHeight="false" outlineLevel="0" collapsed="false">
      <c r="B502" s="108" t="n">
        <f aca="false">'Loan Tape'!$A195</f>
        <v>0</v>
      </c>
      <c r="C502" s="56" t="n">
        <f aca="false">IF('Loan Tape'!$AN195=0,0,IF('Loan Tape'!$K195="Floating",MIN(IF('Loan Tape'!$P195="",10,'Loan Tape'!$P195),MAX(IF('Loan Tape'!$Q195="",0,'Loan Tape'!$Q195),INDEX(Idx_Curve,1,1)+'Loan Tape'!$M195)),IF('Loan Tape'!$L195="",0,'Loan Tape'!$L195)))</f>
        <v>0</v>
      </c>
      <c r="D502" s="56" t="n">
        <f aca="false">IF('Loan Tape'!$AN195=0,0,IF('Loan Tape'!$K195="Floating",MIN(IF('Loan Tape'!$P195="",10,'Loan Tape'!$P195),MAX(IF('Loan Tape'!$Q195="",0,'Loan Tape'!$Q195),INDEX(Idx_Curve,1,2)+'Loan Tape'!$M195)),IF('Loan Tape'!$L195="",0,'Loan Tape'!$L195)))</f>
        <v>0</v>
      </c>
      <c r="E502" s="56" t="n">
        <f aca="false">IF('Loan Tape'!$AN195=0,0,IF('Loan Tape'!$K195="Floating",MIN(IF('Loan Tape'!$P195="",10,'Loan Tape'!$P195),MAX(IF('Loan Tape'!$Q195="",0,'Loan Tape'!$Q195),INDEX(Idx_Curve,1,3)+'Loan Tape'!$M195)),IF('Loan Tape'!$L195="",0,'Loan Tape'!$L195)))</f>
        <v>0</v>
      </c>
      <c r="F502" s="56" t="n">
        <f aca="false">IF('Loan Tape'!$AN195=0,0,IF('Loan Tape'!$K195="Floating",MIN(IF('Loan Tape'!$P195="",10,'Loan Tape'!$P195),MAX(IF('Loan Tape'!$Q195="",0,'Loan Tape'!$Q195),INDEX(Idx_Curve,1,4)+'Loan Tape'!$M195)),IF('Loan Tape'!$L195="",0,'Loan Tape'!$L195)))</f>
        <v>0</v>
      </c>
      <c r="G502" s="56" t="n">
        <f aca="false">IF('Loan Tape'!$AN195=0,0,IF('Loan Tape'!$K195="Floating",MIN(IF('Loan Tape'!$P195="",10,'Loan Tape'!$P195),MAX(IF('Loan Tape'!$Q195="",0,'Loan Tape'!$Q195),INDEX(Idx_Curve,1,5)+'Loan Tape'!$M195)),IF('Loan Tape'!$L195="",0,'Loan Tape'!$L195)))</f>
        <v>0</v>
      </c>
      <c r="H502" s="56" t="n">
        <f aca="false">IF('Loan Tape'!$AN195=0,0,IF('Loan Tape'!$K195="Floating",MIN(IF('Loan Tape'!$P195="",10,'Loan Tape'!$P195),MAX(IF('Loan Tape'!$Q195="",0,'Loan Tape'!$Q195),INDEX(Idx_Curve,1,6)+'Loan Tape'!$M195)),IF('Loan Tape'!$L195="",0,'Loan Tape'!$L195)))</f>
        <v>0</v>
      </c>
      <c r="I502" s="56" t="n">
        <f aca="false">IF('Loan Tape'!$AN195=0,0,IF('Loan Tape'!$K195="Floating",MIN(IF('Loan Tape'!$P195="",10,'Loan Tape'!$P195),MAX(IF('Loan Tape'!$Q195="",0,'Loan Tape'!$Q195),INDEX(Idx_Curve,1,7)+'Loan Tape'!$M195)),IF('Loan Tape'!$L195="",0,'Loan Tape'!$L195)))</f>
        <v>0</v>
      </c>
      <c r="J502" s="56" t="n">
        <f aca="false">IF('Loan Tape'!$AN195=0,0,IF('Loan Tape'!$K195="Floating",MIN(IF('Loan Tape'!$P195="",10,'Loan Tape'!$P195),MAX(IF('Loan Tape'!$Q195="",0,'Loan Tape'!$Q195),INDEX(Idx_Curve,1,8)+'Loan Tape'!$M195)),IF('Loan Tape'!$L195="",0,'Loan Tape'!$L195)))</f>
        <v>0</v>
      </c>
      <c r="K502" s="56" t="n">
        <f aca="false">IF('Loan Tape'!$AN195=0,0,IF('Loan Tape'!$K195="Floating",MIN(IF('Loan Tape'!$P195="",10,'Loan Tape'!$P195),MAX(IF('Loan Tape'!$Q195="",0,'Loan Tape'!$Q195),INDEX(Idx_Curve,1,9)+'Loan Tape'!$M195)),IF('Loan Tape'!$L195="",0,'Loan Tape'!$L195)))</f>
        <v>0</v>
      </c>
      <c r="L502" s="56" t="n">
        <f aca="false">IF('Loan Tape'!$AN195=0,0,IF('Loan Tape'!$K195="Floating",MIN(IF('Loan Tape'!$P195="",10,'Loan Tape'!$P195),MAX(IF('Loan Tape'!$Q195="",0,'Loan Tape'!$Q195),INDEX(Idx_Curve,1,10)+'Loan Tape'!$M195)),IF('Loan Tape'!$L195="",0,'Loan Tape'!$L195)))</f>
        <v>0</v>
      </c>
    </row>
    <row r="503" customFormat="false" ht="15" hidden="false" customHeight="false" outlineLevel="0" collapsed="false">
      <c r="B503" s="102" t="n">
        <f aca="false">'Loan Tape'!$A196</f>
        <v>0</v>
      </c>
      <c r="C503" s="104" t="n">
        <f aca="false">IF('Loan Tape'!$AN196=0,0,IF('Loan Tape'!$K196="Floating",MIN(IF('Loan Tape'!$P196="",10,'Loan Tape'!$P196),MAX(IF('Loan Tape'!$Q196="",0,'Loan Tape'!$Q196),INDEX(Idx_Curve,1,1)+'Loan Tape'!$M196)),IF('Loan Tape'!$L196="",0,'Loan Tape'!$L196)))</f>
        <v>0</v>
      </c>
      <c r="D503" s="104" t="n">
        <f aca="false">IF('Loan Tape'!$AN196=0,0,IF('Loan Tape'!$K196="Floating",MIN(IF('Loan Tape'!$P196="",10,'Loan Tape'!$P196),MAX(IF('Loan Tape'!$Q196="",0,'Loan Tape'!$Q196),INDEX(Idx_Curve,1,2)+'Loan Tape'!$M196)),IF('Loan Tape'!$L196="",0,'Loan Tape'!$L196)))</f>
        <v>0</v>
      </c>
      <c r="E503" s="104" t="n">
        <f aca="false">IF('Loan Tape'!$AN196=0,0,IF('Loan Tape'!$K196="Floating",MIN(IF('Loan Tape'!$P196="",10,'Loan Tape'!$P196),MAX(IF('Loan Tape'!$Q196="",0,'Loan Tape'!$Q196),INDEX(Idx_Curve,1,3)+'Loan Tape'!$M196)),IF('Loan Tape'!$L196="",0,'Loan Tape'!$L196)))</f>
        <v>0</v>
      </c>
      <c r="F503" s="104" t="n">
        <f aca="false">IF('Loan Tape'!$AN196=0,0,IF('Loan Tape'!$K196="Floating",MIN(IF('Loan Tape'!$P196="",10,'Loan Tape'!$P196),MAX(IF('Loan Tape'!$Q196="",0,'Loan Tape'!$Q196),INDEX(Idx_Curve,1,4)+'Loan Tape'!$M196)),IF('Loan Tape'!$L196="",0,'Loan Tape'!$L196)))</f>
        <v>0</v>
      </c>
      <c r="G503" s="104" t="n">
        <f aca="false">IF('Loan Tape'!$AN196=0,0,IF('Loan Tape'!$K196="Floating",MIN(IF('Loan Tape'!$P196="",10,'Loan Tape'!$P196),MAX(IF('Loan Tape'!$Q196="",0,'Loan Tape'!$Q196),INDEX(Idx_Curve,1,5)+'Loan Tape'!$M196)),IF('Loan Tape'!$L196="",0,'Loan Tape'!$L196)))</f>
        <v>0</v>
      </c>
      <c r="H503" s="104" t="n">
        <f aca="false">IF('Loan Tape'!$AN196=0,0,IF('Loan Tape'!$K196="Floating",MIN(IF('Loan Tape'!$P196="",10,'Loan Tape'!$P196),MAX(IF('Loan Tape'!$Q196="",0,'Loan Tape'!$Q196),INDEX(Idx_Curve,1,6)+'Loan Tape'!$M196)),IF('Loan Tape'!$L196="",0,'Loan Tape'!$L196)))</f>
        <v>0</v>
      </c>
      <c r="I503" s="104" t="n">
        <f aca="false">IF('Loan Tape'!$AN196=0,0,IF('Loan Tape'!$K196="Floating",MIN(IF('Loan Tape'!$P196="",10,'Loan Tape'!$P196),MAX(IF('Loan Tape'!$Q196="",0,'Loan Tape'!$Q196),INDEX(Idx_Curve,1,7)+'Loan Tape'!$M196)),IF('Loan Tape'!$L196="",0,'Loan Tape'!$L196)))</f>
        <v>0</v>
      </c>
      <c r="J503" s="104" t="n">
        <f aca="false">IF('Loan Tape'!$AN196=0,0,IF('Loan Tape'!$K196="Floating",MIN(IF('Loan Tape'!$P196="",10,'Loan Tape'!$P196),MAX(IF('Loan Tape'!$Q196="",0,'Loan Tape'!$Q196),INDEX(Idx_Curve,1,8)+'Loan Tape'!$M196)),IF('Loan Tape'!$L196="",0,'Loan Tape'!$L196)))</f>
        <v>0</v>
      </c>
      <c r="K503" s="104" t="n">
        <f aca="false">IF('Loan Tape'!$AN196=0,0,IF('Loan Tape'!$K196="Floating",MIN(IF('Loan Tape'!$P196="",10,'Loan Tape'!$P196),MAX(IF('Loan Tape'!$Q196="",0,'Loan Tape'!$Q196),INDEX(Idx_Curve,1,9)+'Loan Tape'!$M196)),IF('Loan Tape'!$L196="",0,'Loan Tape'!$L196)))</f>
        <v>0</v>
      </c>
      <c r="L503" s="104" t="n">
        <f aca="false">IF('Loan Tape'!$AN196=0,0,IF('Loan Tape'!$K196="Floating",MIN(IF('Loan Tape'!$P196="",10,'Loan Tape'!$P196),MAX(IF('Loan Tape'!$Q196="",0,'Loan Tape'!$Q196),INDEX(Idx_Curve,1,10)+'Loan Tape'!$M196)),IF('Loan Tape'!$L196="",0,'Loan Tape'!$L196)))</f>
        <v>0</v>
      </c>
    </row>
    <row r="504" customFormat="false" ht="15" hidden="false" customHeight="false" outlineLevel="0" collapsed="false">
      <c r="B504" s="108" t="n">
        <f aca="false">'Loan Tape'!$A197</f>
        <v>0</v>
      </c>
      <c r="C504" s="56" t="n">
        <f aca="false">IF('Loan Tape'!$AN197=0,0,IF('Loan Tape'!$K197="Floating",MIN(IF('Loan Tape'!$P197="",10,'Loan Tape'!$P197),MAX(IF('Loan Tape'!$Q197="",0,'Loan Tape'!$Q197),INDEX(Idx_Curve,1,1)+'Loan Tape'!$M197)),IF('Loan Tape'!$L197="",0,'Loan Tape'!$L197)))</f>
        <v>0</v>
      </c>
      <c r="D504" s="56" t="n">
        <f aca="false">IF('Loan Tape'!$AN197=0,0,IF('Loan Tape'!$K197="Floating",MIN(IF('Loan Tape'!$P197="",10,'Loan Tape'!$P197),MAX(IF('Loan Tape'!$Q197="",0,'Loan Tape'!$Q197),INDEX(Idx_Curve,1,2)+'Loan Tape'!$M197)),IF('Loan Tape'!$L197="",0,'Loan Tape'!$L197)))</f>
        <v>0</v>
      </c>
      <c r="E504" s="56" t="n">
        <f aca="false">IF('Loan Tape'!$AN197=0,0,IF('Loan Tape'!$K197="Floating",MIN(IF('Loan Tape'!$P197="",10,'Loan Tape'!$P197),MAX(IF('Loan Tape'!$Q197="",0,'Loan Tape'!$Q197),INDEX(Idx_Curve,1,3)+'Loan Tape'!$M197)),IF('Loan Tape'!$L197="",0,'Loan Tape'!$L197)))</f>
        <v>0</v>
      </c>
      <c r="F504" s="56" t="n">
        <f aca="false">IF('Loan Tape'!$AN197=0,0,IF('Loan Tape'!$K197="Floating",MIN(IF('Loan Tape'!$P197="",10,'Loan Tape'!$P197),MAX(IF('Loan Tape'!$Q197="",0,'Loan Tape'!$Q197),INDEX(Idx_Curve,1,4)+'Loan Tape'!$M197)),IF('Loan Tape'!$L197="",0,'Loan Tape'!$L197)))</f>
        <v>0</v>
      </c>
      <c r="G504" s="56" t="n">
        <f aca="false">IF('Loan Tape'!$AN197=0,0,IF('Loan Tape'!$K197="Floating",MIN(IF('Loan Tape'!$P197="",10,'Loan Tape'!$P197),MAX(IF('Loan Tape'!$Q197="",0,'Loan Tape'!$Q197),INDEX(Idx_Curve,1,5)+'Loan Tape'!$M197)),IF('Loan Tape'!$L197="",0,'Loan Tape'!$L197)))</f>
        <v>0</v>
      </c>
      <c r="H504" s="56" t="n">
        <f aca="false">IF('Loan Tape'!$AN197=0,0,IF('Loan Tape'!$K197="Floating",MIN(IF('Loan Tape'!$P197="",10,'Loan Tape'!$P197),MAX(IF('Loan Tape'!$Q197="",0,'Loan Tape'!$Q197),INDEX(Idx_Curve,1,6)+'Loan Tape'!$M197)),IF('Loan Tape'!$L197="",0,'Loan Tape'!$L197)))</f>
        <v>0</v>
      </c>
      <c r="I504" s="56" t="n">
        <f aca="false">IF('Loan Tape'!$AN197=0,0,IF('Loan Tape'!$K197="Floating",MIN(IF('Loan Tape'!$P197="",10,'Loan Tape'!$P197),MAX(IF('Loan Tape'!$Q197="",0,'Loan Tape'!$Q197),INDEX(Idx_Curve,1,7)+'Loan Tape'!$M197)),IF('Loan Tape'!$L197="",0,'Loan Tape'!$L197)))</f>
        <v>0</v>
      </c>
      <c r="J504" s="56" t="n">
        <f aca="false">IF('Loan Tape'!$AN197=0,0,IF('Loan Tape'!$K197="Floating",MIN(IF('Loan Tape'!$P197="",10,'Loan Tape'!$P197),MAX(IF('Loan Tape'!$Q197="",0,'Loan Tape'!$Q197),INDEX(Idx_Curve,1,8)+'Loan Tape'!$M197)),IF('Loan Tape'!$L197="",0,'Loan Tape'!$L197)))</f>
        <v>0</v>
      </c>
      <c r="K504" s="56" t="n">
        <f aca="false">IF('Loan Tape'!$AN197=0,0,IF('Loan Tape'!$K197="Floating",MIN(IF('Loan Tape'!$P197="",10,'Loan Tape'!$P197),MAX(IF('Loan Tape'!$Q197="",0,'Loan Tape'!$Q197),INDEX(Idx_Curve,1,9)+'Loan Tape'!$M197)),IF('Loan Tape'!$L197="",0,'Loan Tape'!$L197)))</f>
        <v>0</v>
      </c>
      <c r="L504" s="56" t="n">
        <f aca="false">IF('Loan Tape'!$AN197=0,0,IF('Loan Tape'!$K197="Floating",MIN(IF('Loan Tape'!$P197="",10,'Loan Tape'!$P197),MAX(IF('Loan Tape'!$Q197="",0,'Loan Tape'!$Q197),INDEX(Idx_Curve,1,10)+'Loan Tape'!$M197)),IF('Loan Tape'!$L197="",0,'Loan Tape'!$L197)))</f>
        <v>0</v>
      </c>
    </row>
    <row r="505" customFormat="false" ht="15" hidden="false" customHeight="false" outlineLevel="0" collapsed="false">
      <c r="B505" s="102" t="n">
        <f aca="false">'Loan Tape'!$A198</f>
        <v>0</v>
      </c>
      <c r="C505" s="104" t="n">
        <f aca="false">IF('Loan Tape'!$AN198=0,0,IF('Loan Tape'!$K198="Floating",MIN(IF('Loan Tape'!$P198="",10,'Loan Tape'!$P198),MAX(IF('Loan Tape'!$Q198="",0,'Loan Tape'!$Q198),INDEX(Idx_Curve,1,1)+'Loan Tape'!$M198)),IF('Loan Tape'!$L198="",0,'Loan Tape'!$L198)))</f>
        <v>0</v>
      </c>
      <c r="D505" s="104" t="n">
        <f aca="false">IF('Loan Tape'!$AN198=0,0,IF('Loan Tape'!$K198="Floating",MIN(IF('Loan Tape'!$P198="",10,'Loan Tape'!$P198),MAX(IF('Loan Tape'!$Q198="",0,'Loan Tape'!$Q198),INDEX(Idx_Curve,1,2)+'Loan Tape'!$M198)),IF('Loan Tape'!$L198="",0,'Loan Tape'!$L198)))</f>
        <v>0</v>
      </c>
      <c r="E505" s="104" t="n">
        <f aca="false">IF('Loan Tape'!$AN198=0,0,IF('Loan Tape'!$K198="Floating",MIN(IF('Loan Tape'!$P198="",10,'Loan Tape'!$P198),MAX(IF('Loan Tape'!$Q198="",0,'Loan Tape'!$Q198),INDEX(Idx_Curve,1,3)+'Loan Tape'!$M198)),IF('Loan Tape'!$L198="",0,'Loan Tape'!$L198)))</f>
        <v>0</v>
      </c>
      <c r="F505" s="104" t="n">
        <f aca="false">IF('Loan Tape'!$AN198=0,0,IF('Loan Tape'!$K198="Floating",MIN(IF('Loan Tape'!$P198="",10,'Loan Tape'!$P198),MAX(IF('Loan Tape'!$Q198="",0,'Loan Tape'!$Q198),INDEX(Idx_Curve,1,4)+'Loan Tape'!$M198)),IF('Loan Tape'!$L198="",0,'Loan Tape'!$L198)))</f>
        <v>0</v>
      </c>
      <c r="G505" s="104" t="n">
        <f aca="false">IF('Loan Tape'!$AN198=0,0,IF('Loan Tape'!$K198="Floating",MIN(IF('Loan Tape'!$P198="",10,'Loan Tape'!$P198),MAX(IF('Loan Tape'!$Q198="",0,'Loan Tape'!$Q198),INDEX(Idx_Curve,1,5)+'Loan Tape'!$M198)),IF('Loan Tape'!$L198="",0,'Loan Tape'!$L198)))</f>
        <v>0</v>
      </c>
      <c r="H505" s="104" t="n">
        <f aca="false">IF('Loan Tape'!$AN198=0,0,IF('Loan Tape'!$K198="Floating",MIN(IF('Loan Tape'!$P198="",10,'Loan Tape'!$P198),MAX(IF('Loan Tape'!$Q198="",0,'Loan Tape'!$Q198),INDEX(Idx_Curve,1,6)+'Loan Tape'!$M198)),IF('Loan Tape'!$L198="",0,'Loan Tape'!$L198)))</f>
        <v>0</v>
      </c>
      <c r="I505" s="104" t="n">
        <f aca="false">IF('Loan Tape'!$AN198=0,0,IF('Loan Tape'!$K198="Floating",MIN(IF('Loan Tape'!$P198="",10,'Loan Tape'!$P198),MAX(IF('Loan Tape'!$Q198="",0,'Loan Tape'!$Q198),INDEX(Idx_Curve,1,7)+'Loan Tape'!$M198)),IF('Loan Tape'!$L198="",0,'Loan Tape'!$L198)))</f>
        <v>0</v>
      </c>
      <c r="J505" s="104" t="n">
        <f aca="false">IF('Loan Tape'!$AN198=0,0,IF('Loan Tape'!$K198="Floating",MIN(IF('Loan Tape'!$P198="",10,'Loan Tape'!$P198),MAX(IF('Loan Tape'!$Q198="",0,'Loan Tape'!$Q198),INDEX(Idx_Curve,1,8)+'Loan Tape'!$M198)),IF('Loan Tape'!$L198="",0,'Loan Tape'!$L198)))</f>
        <v>0</v>
      </c>
      <c r="K505" s="104" t="n">
        <f aca="false">IF('Loan Tape'!$AN198=0,0,IF('Loan Tape'!$K198="Floating",MIN(IF('Loan Tape'!$P198="",10,'Loan Tape'!$P198),MAX(IF('Loan Tape'!$Q198="",0,'Loan Tape'!$Q198),INDEX(Idx_Curve,1,9)+'Loan Tape'!$M198)),IF('Loan Tape'!$L198="",0,'Loan Tape'!$L198)))</f>
        <v>0</v>
      </c>
      <c r="L505" s="104" t="n">
        <f aca="false">IF('Loan Tape'!$AN198=0,0,IF('Loan Tape'!$K198="Floating",MIN(IF('Loan Tape'!$P198="",10,'Loan Tape'!$P198),MAX(IF('Loan Tape'!$Q198="",0,'Loan Tape'!$Q198),INDEX(Idx_Curve,1,10)+'Loan Tape'!$M198)),IF('Loan Tape'!$L198="",0,'Loan Tape'!$L198)))</f>
        <v>0</v>
      </c>
    </row>
    <row r="506" customFormat="false" ht="15" hidden="false" customHeight="false" outlineLevel="0" collapsed="false">
      <c r="B506" s="108" t="n">
        <f aca="false">'Loan Tape'!$A199</f>
        <v>0</v>
      </c>
      <c r="C506" s="56" t="n">
        <f aca="false">IF('Loan Tape'!$AN199=0,0,IF('Loan Tape'!$K199="Floating",MIN(IF('Loan Tape'!$P199="",10,'Loan Tape'!$P199),MAX(IF('Loan Tape'!$Q199="",0,'Loan Tape'!$Q199),INDEX(Idx_Curve,1,1)+'Loan Tape'!$M199)),IF('Loan Tape'!$L199="",0,'Loan Tape'!$L199)))</f>
        <v>0</v>
      </c>
      <c r="D506" s="56" t="n">
        <f aca="false">IF('Loan Tape'!$AN199=0,0,IF('Loan Tape'!$K199="Floating",MIN(IF('Loan Tape'!$P199="",10,'Loan Tape'!$P199),MAX(IF('Loan Tape'!$Q199="",0,'Loan Tape'!$Q199),INDEX(Idx_Curve,1,2)+'Loan Tape'!$M199)),IF('Loan Tape'!$L199="",0,'Loan Tape'!$L199)))</f>
        <v>0</v>
      </c>
      <c r="E506" s="56" t="n">
        <f aca="false">IF('Loan Tape'!$AN199=0,0,IF('Loan Tape'!$K199="Floating",MIN(IF('Loan Tape'!$P199="",10,'Loan Tape'!$P199),MAX(IF('Loan Tape'!$Q199="",0,'Loan Tape'!$Q199),INDEX(Idx_Curve,1,3)+'Loan Tape'!$M199)),IF('Loan Tape'!$L199="",0,'Loan Tape'!$L199)))</f>
        <v>0</v>
      </c>
      <c r="F506" s="56" t="n">
        <f aca="false">IF('Loan Tape'!$AN199=0,0,IF('Loan Tape'!$K199="Floating",MIN(IF('Loan Tape'!$P199="",10,'Loan Tape'!$P199),MAX(IF('Loan Tape'!$Q199="",0,'Loan Tape'!$Q199),INDEX(Idx_Curve,1,4)+'Loan Tape'!$M199)),IF('Loan Tape'!$L199="",0,'Loan Tape'!$L199)))</f>
        <v>0</v>
      </c>
      <c r="G506" s="56" t="n">
        <f aca="false">IF('Loan Tape'!$AN199=0,0,IF('Loan Tape'!$K199="Floating",MIN(IF('Loan Tape'!$P199="",10,'Loan Tape'!$P199),MAX(IF('Loan Tape'!$Q199="",0,'Loan Tape'!$Q199),INDEX(Idx_Curve,1,5)+'Loan Tape'!$M199)),IF('Loan Tape'!$L199="",0,'Loan Tape'!$L199)))</f>
        <v>0</v>
      </c>
      <c r="H506" s="56" t="n">
        <f aca="false">IF('Loan Tape'!$AN199=0,0,IF('Loan Tape'!$K199="Floating",MIN(IF('Loan Tape'!$P199="",10,'Loan Tape'!$P199),MAX(IF('Loan Tape'!$Q199="",0,'Loan Tape'!$Q199),INDEX(Idx_Curve,1,6)+'Loan Tape'!$M199)),IF('Loan Tape'!$L199="",0,'Loan Tape'!$L199)))</f>
        <v>0</v>
      </c>
      <c r="I506" s="56" t="n">
        <f aca="false">IF('Loan Tape'!$AN199=0,0,IF('Loan Tape'!$K199="Floating",MIN(IF('Loan Tape'!$P199="",10,'Loan Tape'!$P199),MAX(IF('Loan Tape'!$Q199="",0,'Loan Tape'!$Q199),INDEX(Idx_Curve,1,7)+'Loan Tape'!$M199)),IF('Loan Tape'!$L199="",0,'Loan Tape'!$L199)))</f>
        <v>0</v>
      </c>
      <c r="J506" s="56" t="n">
        <f aca="false">IF('Loan Tape'!$AN199=0,0,IF('Loan Tape'!$K199="Floating",MIN(IF('Loan Tape'!$P199="",10,'Loan Tape'!$P199),MAX(IF('Loan Tape'!$Q199="",0,'Loan Tape'!$Q199),INDEX(Idx_Curve,1,8)+'Loan Tape'!$M199)),IF('Loan Tape'!$L199="",0,'Loan Tape'!$L199)))</f>
        <v>0</v>
      </c>
      <c r="K506" s="56" t="n">
        <f aca="false">IF('Loan Tape'!$AN199=0,0,IF('Loan Tape'!$K199="Floating",MIN(IF('Loan Tape'!$P199="",10,'Loan Tape'!$P199),MAX(IF('Loan Tape'!$Q199="",0,'Loan Tape'!$Q199),INDEX(Idx_Curve,1,9)+'Loan Tape'!$M199)),IF('Loan Tape'!$L199="",0,'Loan Tape'!$L199)))</f>
        <v>0</v>
      </c>
      <c r="L506" s="56" t="n">
        <f aca="false">IF('Loan Tape'!$AN199=0,0,IF('Loan Tape'!$K199="Floating",MIN(IF('Loan Tape'!$P199="",10,'Loan Tape'!$P199),MAX(IF('Loan Tape'!$Q199="",0,'Loan Tape'!$Q199),INDEX(Idx_Curve,1,10)+'Loan Tape'!$M199)),IF('Loan Tape'!$L199="",0,'Loan Tape'!$L199)))</f>
        <v>0</v>
      </c>
    </row>
    <row r="507" customFormat="false" ht="15" hidden="false" customHeight="false" outlineLevel="0" collapsed="false">
      <c r="B507" s="102" t="n">
        <f aca="false">'Loan Tape'!$A200</f>
        <v>0</v>
      </c>
      <c r="C507" s="104" t="n">
        <f aca="false">IF('Loan Tape'!$AN200=0,0,IF('Loan Tape'!$K200="Floating",MIN(IF('Loan Tape'!$P200="",10,'Loan Tape'!$P200),MAX(IF('Loan Tape'!$Q200="",0,'Loan Tape'!$Q200),INDEX(Idx_Curve,1,1)+'Loan Tape'!$M200)),IF('Loan Tape'!$L200="",0,'Loan Tape'!$L200)))</f>
        <v>0</v>
      </c>
      <c r="D507" s="104" t="n">
        <f aca="false">IF('Loan Tape'!$AN200=0,0,IF('Loan Tape'!$K200="Floating",MIN(IF('Loan Tape'!$P200="",10,'Loan Tape'!$P200),MAX(IF('Loan Tape'!$Q200="",0,'Loan Tape'!$Q200),INDEX(Idx_Curve,1,2)+'Loan Tape'!$M200)),IF('Loan Tape'!$L200="",0,'Loan Tape'!$L200)))</f>
        <v>0</v>
      </c>
      <c r="E507" s="104" t="n">
        <f aca="false">IF('Loan Tape'!$AN200=0,0,IF('Loan Tape'!$K200="Floating",MIN(IF('Loan Tape'!$P200="",10,'Loan Tape'!$P200),MAX(IF('Loan Tape'!$Q200="",0,'Loan Tape'!$Q200),INDEX(Idx_Curve,1,3)+'Loan Tape'!$M200)),IF('Loan Tape'!$L200="",0,'Loan Tape'!$L200)))</f>
        <v>0</v>
      </c>
      <c r="F507" s="104" t="n">
        <f aca="false">IF('Loan Tape'!$AN200=0,0,IF('Loan Tape'!$K200="Floating",MIN(IF('Loan Tape'!$P200="",10,'Loan Tape'!$P200),MAX(IF('Loan Tape'!$Q200="",0,'Loan Tape'!$Q200),INDEX(Idx_Curve,1,4)+'Loan Tape'!$M200)),IF('Loan Tape'!$L200="",0,'Loan Tape'!$L200)))</f>
        <v>0</v>
      </c>
      <c r="G507" s="104" t="n">
        <f aca="false">IF('Loan Tape'!$AN200=0,0,IF('Loan Tape'!$K200="Floating",MIN(IF('Loan Tape'!$P200="",10,'Loan Tape'!$P200),MAX(IF('Loan Tape'!$Q200="",0,'Loan Tape'!$Q200),INDEX(Idx_Curve,1,5)+'Loan Tape'!$M200)),IF('Loan Tape'!$L200="",0,'Loan Tape'!$L200)))</f>
        <v>0</v>
      </c>
      <c r="H507" s="104" t="n">
        <f aca="false">IF('Loan Tape'!$AN200=0,0,IF('Loan Tape'!$K200="Floating",MIN(IF('Loan Tape'!$P200="",10,'Loan Tape'!$P200),MAX(IF('Loan Tape'!$Q200="",0,'Loan Tape'!$Q200),INDEX(Idx_Curve,1,6)+'Loan Tape'!$M200)),IF('Loan Tape'!$L200="",0,'Loan Tape'!$L200)))</f>
        <v>0</v>
      </c>
      <c r="I507" s="104" t="n">
        <f aca="false">IF('Loan Tape'!$AN200=0,0,IF('Loan Tape'!$K200="Floating",MIN(IF('Loan Tape'!$P200="",10,'Loan Tape'!$P200),MAX(IF('Loan Tape'!$Q200="",0,'Loan Tape'!$Q200),INDEX(Idx_Curve,1,7)+'Loan Tape'!$M200)),IF('Loan Tape'!$L200="",0,'Loan Tape'!$L200)))</f>
        <v>0</v>
      </c>
      <c r="J507" s="104" t="n">
        <f aca="false">IF('Loan Tape'!$AN200=0,0,IF('Loan Tape'!$K200="Floating",MIN(IF('Loan Tape'!$P200="",10,'Loan Tape'!$P200),MAX(IF('Loan Tape'!$Q200="",0,'Loan Tape'!$Q200),INDEX(Idx_Curve,1,8)+'Loan Tape'!$M200)),IF('Loan Tape'!$L200="",0,'Loan Tape'!$L200)))</f>
        <v>0</v>
      </c>
      <c r="K507" s="104" t="n">
        <f aca="false">IF('Loan Tape'!$AN200=0,0,IF('Loan Tape'!$K200="Floating",MIN(IF('Loan Tape'!$P200="",10,'Loan Tape'!$P200),MAX(IF('Loan Tape'!$Q200="",0,'Loan Tape'!$Q200),INDEX(Idx_Curve,1,9)+'Loan Tape'!$M200)),IF('Loan Tape'!$L200="",0,'Loan Tape'!$L200)))</f>
        <v>0</v>
      </c>
      <c r="L507" s="104" t="n">
        <f aca="false">IF('Loan Tape'!$AN200=0,0,IF('Loan Tape'!$K200="Floating",MIN(IF('Loan Tape'!$P200="",10,'Loan Tape'!$P200),MAX(IF('Loan Tape'!$Q200="",0,'Loan Tape'!$Q200),INDEX(Idx_Curve,1,10)+'Loan Tape'!$M200)),IF('Loan Tape'!$L200="",0,'Loan Tape'!$L200)))</f>
        <v>0</v>
      </c>
    </row>
    <row r="508" customFormat="false" ht="15" hidden="false" customHeight="false" outlineLevel="0" collapsed="false">
      <c r="B508" s="108" t="n">
        <f aca="false">'Loan Tape'!$A201</f>
        <v>0</v>
      </c>
      <c r="C508" s="56" t="n">
        <f aca="false">IF('Loan Tape'!$AN201=0,0,IF('Loan Tape'!$K201="Floating",MIN(IF('Loan Tape'!$P201="",10,'Loan Tape'!$P201),MAX(IF('Loan Tape'!$Q201="",0,'Loan Tape'!$Q201),INDEX(Idx_Curve,1,1)+'Loan Tape'!$M201)),IF('Loan Tape'!$L201="",0,'Loan Tape'!$L201)))</f>
        <v>0</v>
      </c>
      <c r="D508" s="56" t="n">
        <f aca="false">IF('Loan Tape'!$AN201=0,0,IF('Loan Tape'!$K201="Floating",MIN(IF('Loan Tape'!$P201="",10,'Loan Tape'!$P201),MAX(IF('Loan Tape'!$Q201="",0,'Loan Tape'!$Q201),INDEX(Idx_Curve,1,2)+'Loan Tape'!$M201)),IF('Loan Tape'!$L201="",0,'Loan Tape'!$L201)))</f>
        <v>0</v>
      </c>
      <c r="E508" s="56" t="n">
        <f aca="false">IF('Loan Tape'!$AN201=0,0,IF('Loan Tape'!$K201="Floating",MIN(IF('Loan Tape'!$P201="",10,'Loan Tape'!$P201),MAX(IF('Loan Tape'!$Q201="",0,'Loan Tape'!$Q201),INDEX(Idx_Curve,1,3)+'Loan Tape'!$M201)),IF('Loan Tape'!$L201="",0,'Loan Tape'!$L201)))</f>
        <v>0</v>
      </c>
      <c r="F508" s="56" t="n">
        <f aca="false">IF('Loan Tape'!$AN201=0,0,IF('Loan Tape'!$K201="Floating",MIN(IF('Loan Tape'!$P201="",10,'Loan Tape'!$P201),MAX(IF('Loan Tape'!$Q201="",0,'Loan Tape'!$Q201),INDEX(Idx_Curve,1,4)+'Loan Tape'!$M201)),IF('Loan Tape'!$L201="",0,'Loan Tape'!$L201)))</f>
        <v>0</v>
      </c>
      <c r="G508" s="56" t="n">
        <f aca="false">IF('Loan Tape'!$AN201=0,0,IF('Loan Tape'!$K201="Floating",MIN(IF('Loan Tape'!$P201="",10,'Loan Tape'!$P201),MAX(IF('Loan Tape'!$Q201="",0,'Loan Tape'!$Q201),INDEX(Idx_Curve,1,5)+'Loan Tape'!$M201)),IF('Loan Tape'!$L201="",0,'Loan Tape'!$L201)))</f>
        <v>0</v>
      </c>
      <c r="H508" s="56" t="n">
        <f aca="false">IF('Loan Tape'!$AN201=0,0,IF('Loan Tape'!$K201="Floating",MIN(IF('Loan Tape'!$P201="",10,'Loan Tape'!$P201),MAX(IF('Loan Tape'!$Q201="",0,'Loan Tape'!$Q201),INDEX(Idx_Curve,1,6)+'Loan Tape'!$M201)),IF('Loan Tape'!$L201="",0,'Loan Tape'!$L201)))</f>
        <v>0</v>
      </c>
      <c r="I508" s="56" t="n">
        <f aca="false">IF('Loan Tape'!$AN201=0,0,IF('Loan Tape'!$K201="Floating",MIN(IF('Loan Tape'!$P201="",10,'Loan Tape'!$P201),MAX(IF('Loan Tape'!$Q201="",0,'Loan Tape'!$Q201),INDEX(Idx_Curve,1,7)+'Loan Tape'!$M201)),IF('Loan Tape'!$L201="",0,'Loan Tape'!$L201)))</f>
        <v>0</v>
      </c>
      <c r="J508" s="56" t="n">
        <f aca="false">IF('Loan Tape'!$AN201=0,0,IF('Loan Tape'!$K201="Floating",MIN(IF('Loan Tape'!$P201="",10,'Loan Tape'!$P201),MAX(IF('Loan Tape'!$Q201="",0,'Loan Tape'!$Q201),INDEX(Idx_Curve,1,8)+'Loan Tape'!$M201)),IF('Loan Tape'!$L201="",0,'Loan Tape'!$L201)))</f>
        <v>0</v>
      </c>
      <c r="K508" s="56" t="n">
        <f aca="false">IF('Loan Tape'!$AN201=0,0,IF('Loan Tape'!$K201="Floating",MIN(IF('Loan Tape'!$P201="",10,'Loan Tape'!$P201),MAX(IF('Loan Tape'!$Q201="",0,'Loan Tape'!$Q201),INDEX(Idx_Curve,1,9)+'Loan Tape'!$M201)),IF('Loan Tape'!$L201="",0,'Loan Tape'!$L201)))</f>
        <v>0</v>
      </c>
      <c r="L508" s="56" t="n">
        <f aca="false">IF('Loan Tape'!$AN201=0,0,IF('Loan Tape'!$K201="Floating",MIN(IF('Loan Tape'!$P201="",10,'Loan Tape'!$P201),MAX(IF('Loan Tape'!$Q201="",0,'Loan Tape'!$Q201),INDEX(Idx_Curve,1,10)+'Loan Tape'!$M201)),IF('Loan Tape'!$L201="",0,'Loan Tape'!$L201)))</f>
        <v>0</v>
      </c>
    </row>
    <row r="509" customFormat="false" ht="15" hidden="false" customHeight="false" outlineLevel="0" collapsed="false">
      <c r="B509" s="102" t="n">
        <f aca="false">'Loan Tape'!$A202</f>
        <v>0</v>
      </c>
      <c r="C509" s="104" t="n">
        <f aca="false">IF('Loan Tape'!$AN202=0,0,IF('Loan Tape'!$K202="Floating",MIN(IF('Loan Tape'!$P202="",10,'Loan Tape'!$P202),MAX(IF('Loan Tape'!$Q202="",0,'Loan Tape'!$Q202),INDEX(Idx_Curve,1,1)+'Loan Tape'!$M202)),IF('Loan Tape'!$L202="",0,'Loan Tape'!$L202)))</f>
        <v>0</v>
      </c>
      <c r="D509" s="104" t="n">
        <f aca="false">IF('Loan Tape'!$AN202=0,0,IF('Loan Tape'!$K202="Floating",MIN(IF('Loan Tape'!$P202="",10,'Loan Tape'!$P202),MAX(IF('Loan Tape'!$Q202="",0,'Loan Tape'!$Q202),INDEX(Idx_Curve,1,2)+'Loan Tape'!$M202)),IF('Loan Tape'!$L202="",0,'Loan Tape'!$L202)))</f>
        <v>0</v>
      </c>
      <c r="E509" s="104" t="n">
        <f aca="false">IF('Loan Tape'!$AN202=0,0,IF('Loan Tape'!$K202="Floating",MIN(IF('Loan Tape'!$P202="",10,'Loan Tape'!$P202),MAX(IF('Loan Tape'!$Q202="",0,'Loan Tape'!$Q202),INDEX(Idx_Curve,1,3)+'Loan Tape'!$M202)),IF('Loan Tape'!$L202="",0,'Loan Tape'!$L202)))</f>
        <v>0</v>
      </c>
      <c r="F509" s="104" t="n">
        <f aca="false">IF('Loan Tape'!$AN202=0,0,IF('Loan Tape'!$K202="Floating",MIN(IF('Loan Tape'!$P202="",10,'Loan Tape'!$P202),MAX(IF('Loan Tape'!$Q202="",0,'Loan Tape'!$Q202),INDEX(Idx_Curve,1,4)+'Loan Tape'!$M202)),IF('Loan Tape'!$L202="",0,'Loan Tape'!$L202)))</f>
        <v>0</v>
      </c>
      <c r="G509" s="104" t="n">
        <f aca="false">IF('Loan Tape'!$AN202=0,0,IF('Loan Tape'!$K202="Floating",MIN(IF('Loan Tape'!$P202="",10,'Loan Tape'!$P202),MAX(IF('Loan Tape'!$Q202="",0,'Loan Tape'!$Q202),INDEX(Idx_Curve,1,5)+'Loan Tape'!$M202)),IF('Loan Tape'!$L202="",0,'Loan Tape'!$L202)))</f>
        <v>0</v>
      </c>
      <c r="H509" s="104" t="n">
        <f aca="false">IF('Loan Tape'!$AN202=0,0,IF('Loan Tape'!$K202="Floating",MIN(IF('Loan Tape'!$P202="",10,'Loan Tape'!$P202),MAX(IF('Loan Tape'!$Q202="",0,'Loan Tape'!$Q202),INDEX(Idx_Curve,1,6)+'Loan Tape'!$M202)),IF('Loan Tape'!$L202="",0,'Loan Tape'!$L202)))</f>
        <v>0</v>
      </c>
      <c r="I509" s="104" t="n">
        <f aca="false">IF('Loan Tape'!$AN202=0,0,IF('Loan Tape'!$K202="Floating",MIN(IF('Loan Tape'!$P202="",10,'Loan Tape'!$P202),MAX(IF('Loan Tape'!$Q202="",0,'Loan Tape'!$Q202),INDEX(Idx_Curve,1,7)+'Loan Tape'!$M202)),IF('Loan Tape'!$L202="",0,'Loan Tape'!$L202)))</f>
        <v>0</v>
      </c>
      <c r="J509" s="104" t="n">
        <f aca="false">IF('Loan Tape'!$AN202=0,0,IF('Loan Tape'!$K202="Floating",MIN(IF('Loan Tape'!$P202="",10,'Loan Tape'!$P202),MAX(IF('Loan Tape'!$Q202="",0,'Loan Tape'!$Q202),INDEX(Idx_Curve,1,8)+'Loan Tape'!$M202)),IF('Loan Tape'!$L202="",0,'Loan Tape'!$L202)))</f>
        <v>0</v>
      </c>
      <c r="K509" s="104" t="n">
        <f aca="false">IF('Loan Tape'!$AN202=0,0,IF('Loan Tape'!$K202="Floating",MIN(IF('Loan Tape'!$P202="",10,'Loan Tape'!$P202),MAX(IF('Loan Tape'!$Q202="",0,'Loan Tape'!$Q202),INDEX(Idx_Curve,1,9)+'Loan Tape'!$M202)),IF('Loan Tape'!$L202="",0,'Loan Tape'!$L202)))</f>
        <v>0</v>
      </c>
      <c r="L509" s="104" t="n">
        <f aca="false">IF('Loan Tape'!$AN202=0,0,IF('Loan Tape'!$K202="Floating",MIN(IF('Loan Tape'!$P202="",10,'Loan Tape'!$P202),MAX(IF('Loan Tape'!$Q202="",0,'Loan Tape'!$Q202),INDEX(Idx_Curve,1,10)+'Loan Tape'!$M202)),IF('Loan Tape'!$L202="",0,'Loan Tape'!$L202)))</f>
        <v>0</v>
      </c>
    </row>
    <row r="510" customFormat="false" ht="15" hidden="false" customHeight="false" outlineLevel="0" collapsed="false">
      <c r="B510" s="108" t="n">
        <f aca="false">'Loan Tape'!$A203</f>
        <v>0</v>
      </c>
      <c r="C510" s="56" t="n">
        <f aca="false">IF('Loan Tape'!$AN203=0,0,IF('Loan Tape'!$K203="Floating",MIN(IF('Loan Tape'!$P203="",10,'Loan Tape'!$P203),MAX(IF('Loan Tape'!$Q203="",0,'Loan Tape'!$Q203),INDEX(Idx_Curve,1,1)+'Loan Tape'!$M203)),IF('Loan Tape'!$L203="",0,'Loan Tape'!$L203)))</f>
        <v>0</v>
      </c>
      <c r="D510" s="56" t="n">
        <f aca="false">IF('Loan Tape'!$AN203=0,0,IF('Loan Tape'!$K203="Floating",MIN(IF('Loan Tape'!$P203="",10,'Loan Tape'!$P203),MAX(IF('Loan Tape'!$Q203="",0,'Loan Tape'!$Q203),INDEX(Idx_Curve,1,2)+'Loan Tape'!$M203)),IF('Loan Tape'!$L203="",0,'Loan Tape'!$L203)))</f>
        <v>0</v>
      </c>
      <c r="E510" s="56" t="n">
        <f aca="false">IF('Loan Tape'!$AN203=0,0,IF('Loan Tape'!$K203="Floating",MIN(IF('Loan Tape'!$P203="",10,'Loan Tape'!$P203),MAX(IF('Loan Tape'!$Q203="",0,'Loan Tape'!$Q203),INDEX(Idx_Curve,1,3)+'Loan Tape'!$M203)),IF('Loan Tape'!$L203="",0,'Loan Tape'!$L203)))</f>
        <v>0</v>
      </c>
      <c r="F510" s="56" t="n">
        <f aca="false">IF('Loan Tape'!$AN203=0,0,IF('Loan Tape'!$K203="Floating",MIN(IF('Loan Tape'!$P203="",10,'Loan Tape'!$P203),MAX(IF('Loan Tape'!$Q203="",0,'Loan Tape'!$Q203),INDEX(Idx_Curve,1,4)+'Loan Tape'!$M203)),IF('Loan Tape'!$L203="",0,'Loan Tape'!$L203)))</f>
        <v>0</v>
      </c>
      <c r="G510" s="56" t="n">
        <f aca="false">IF('Loan Tape'!$AN203=0,0,IF('Loan Tape'!$K203="Floating",MIN(IF('Loan Tape'!$P203="",10,'Loan Tape'!$P203),MAX(IF('Loan Tape'!$Q203="",0,'Loan Tape'!$Q203),INDEX(Idx_Curve,1,5)+'Loan Tape'!$M203)),IF('Loan Tape'!$L203="",0,'Loan Tape'!$L203)))</f>
        <v>0</v>
      </c>
      <c r="H510" s="56" t="n">
        <f aca="false">IF('Loan Tape'!$AN203=0,0,IF('Loan Tape'!$K203="Floating",MIN(IF('Loan Tape'!$P203="",10,'Loan Tape'!$P203),MAX(IF('Loan Tape'!$Q203="",0,'Loan Tape'!$Q203),INDEX(Idx_Curve,1,6)+'Loan Tape'!$M203)),IF('Loan Tape'!$L203="",0,'Loan Tape'!$L203)))</f>
        <v>0</v>
      </c>
      <c r="I510" s="56" t="n">
        <f aca="false">IF('Loan Tape'!$AN203=0,0,IF('Loan Tape'!$K203="Floating",MIN(IF('Loan Tape'!$P203="",10,'Loan Tape'!$P203),MAX(IF('Loan Tape'!$Q203="",0,'Loan Tape'!$Q203),INDEX(Idx_Curve,1,7)+'Loan Tape'!$M203)),IF('Loan Tape'!$L203="",0,'Loan Tape'!$L203)))</f>
        <v>0</v>
      </c>
      <c r="J510" s="56" t="n">
        <f aca="false">IF('Loan Tape'!$AN203=0,0,IF('Loan Tape'!$K203="Floating",MIN(IF('Loan Tape'!$P203="",10,'Loan Tape'!$P203),MAX(IF('Loan Tape'!$Q203="",0,'Loan Tape'!$Q203),INDEX(Idx_Curve,1,8)+'Loan Tape'!$M203)),IF('Loan Tape'!$L203="",0,'Loan Tape'!$L203)))</f>
        <v>0</v>
      </c>
      <c r="K510" s="56" t="n">
        <f aca="false">IF('Loan Tape'!$AN203=0,0,IF('Loan Tape'!$K203="Floating",MIN(IF('Loan Tape'!$P203="",10,'Loan Tape'!$P203),MAX(IF('Loan Tape'!$Q203="",0,'Loan Tape'!$Q203),INDEX(Idx_Curve,1,9)+'Loan Tape'!$M203)),IF('Loan Tape'!$L203="",0,'Loan Tape'!$L203)))</f>
        <v>0</v>
      </c>
      <c r="L510" s="56" t="n">
        <f aca="false">IF('Loan Tape'!$AN203=0,0,IF('Loan Tape'!$K203="Floating",MIN(IF('Loan Tape'!$P203="",10,'Loan Tape'!$P203),MAX(IF('Loan Tape'!$Q203="",0,'Loan Tape'!$Q203),INDEX(Idx_Curve,1,10)+'Loan Tape'!$M203)),IF('Loan Tape'!$L203="",0,'Loan Tape'!$L203)))</f>
        <v>0</v>
      </c>
    </row>
    <row r="511" customFormat="false" ht="15" hidden="false" customHeight="false" outlineLevel="0" collapsed="false">
      <c r="B511" s="102" t="n">
        <f aca="false">'Loan Tape'!$A204</f>
        <v>0</v>
      </c>
      <c r="C511" s="104" t="n">
        <f aca="false">IF('Loan Tape'!$AN204=0,0,IF('Loan Tape'!$K204="Floating",MIN(IF('Loan Tape'!$P204="",10,'Loan Tape'!$P204),MAX(IF('Loan Tape'!$Q204="",0,'Loan Tape'!$Q204),INDEX(Idx_Curve,1,1)+'Loan Tape'!$M204)),IF('Loan Tape'!$L204="",0,'Loan Tape'!$L204)))</f>
        <v>0</v>
      </c>
      <c r="D511" s="104" t="n">
        <f aca="false">IF('Loan Tape'!$AN204=0,0,IF('Loan Tape'!$K204="Floating",MIN(IF('Loan Tape'!$P204="",10,'Loan Tape'!$P204),MAX(IF('Loan Tape'!$Q204="",0,'Loan Tape'!$Q204),INDEX(Idx_Curve,1,2)+'Loan Tape'!$M204)),IF('Loan Tape'!$L204="",0,'Loan Tape'!$L204)))</f>
        <v>0</v>
      </c>
      <c r="E511" s="104" t="n">
        <f aca="false">IF('Loan Tape'!$AN204=0,0,IF('Loan Tape'!$K204="Floating",MIN(IF('Loan Tape'!$P204="",10,'Loan Tape'!$P204),MAX(IF('Loan Tape'!$Q204="",0,'Loan Tape'!$Q204),INDEX(Idx_Curve,1,3)+'Loan Tape'!$M204)),IF('Loan Tape'!$L204="",0,'Loan Tape'!$L204)))</f>
        <v>0</v>
      </c>
      <c r="F511" s="104" t="n">
        <f aca="false">IF('Loan Tape'!$AN204=0,0,IF('Loan Tape'!$K204="Floating",MIN(IF('Loan Tape'!$P204="",10,'Loan Tape'!$P204),MAX(IF('Loan Tape'!$Q204="",0,'Loan Tape'!$Q204),INDEX(Idx_Curve,1,4)+'Loan Tape'!$M204)),IF('Loan Tape'!$L204="",0,'Loan Tape'!$L204)))</f>
        <v>0</v>
      </c>
      <c r="G511" s="104" t="n">
        <f aca="false">IF('Loan Tape'!$AN204=0,0,IF('Loan Tape'!$K204="Floating",MIN(IF('Loan Tape'!$P204="",10,'Loan Tape'!$P204),MAX(IF('Loan Tape'!$Q204="",0,'Loan Tape'!$Q204),INDEX(Idx_Curve,1,5)+'Loan Tape'!$M204)),IF('Loan Tape'!$L204="",0,'Loan Tape'!$L204)))</f>
        <v>0</v>
      </c>
      <c r="H511" s="104" t="n">
        <f aca="false">IF('Loan Tape'!$AN204=0,0,IF('Loan Tape'!$K204="Floating",MIN(IF('Loan Tape'!$P204="",10,'Loan Tape'!$P204),MAX(IF('Loan Tape'!$Q204="",0,'Loan Tape'!$Q204),INDEX(Idx_Curve,1,6)+'Loan Tape'!$M204)),IF('Loan Tape'!$L204="",0,'Loan Tape'!$L204)))</f>
        <v>0</v>
      </c>
      <c r="I511" s="104" t="n">
        <f aca="false">IF('Loan Tape'!$AN204=0,0,IF('Loan Tape'!$K204="Floating",MIN(IF('Loan Tape'!$P204="",10,'Loan Tape'!$P204),MAX(IF('Loan Tape'!$Q204="",0,'Loan Tape'!$Q204),INDEX(Idx_Curve,1,7)+'Loan Tape'!$M204)),IF('Loan Tape'!$L204="",0,'Loan Tape'!$L204)))</f>
        <v>0</v>
      </c>
      <c r="J511" s="104" t="n">
        <f aca="false">IF('Loan Tape'!$AN204=0,0,IF('Loan Tape'!$K204="Floating",MIN(IF('Loan Tape'!$P204="",10,'Loan Tape'!$P204),MAX(IF('Loan Tape'!$Q204="",0,'Loan Tape'!$Q204),INDEX(Idx_Curve,1,8)+'Loan Tape'!$M204)),IF('Loan Tape'!$L204="",0,'Loan Tape'!$L204)))</f>
        <v>0</v>
      </c>
      <c r="K511" s="104" t="n">
        <f aca="false">IF('Loan Tape'!$AN204=0,0,IF('Loan Tape'!$K204="Floating",MIN(IF('Loan Tape'!$P204="",10,'Loan Tape'!$P204),MAX(IF('Loan Tape'!$Q204="",0,'Loan Tape'!$Q204),INDEX(Idx_Curve,1,9)+'Loan Tape'!$M204)),IF('Loan Tape'!$L204="",0,'Loan Tape'!$L204)))</f>
        <v>0</v>
      </c>
      <c r="L511" s="104" t="n">
        <f aca="false">IF('Loan Tape'!$AN204=0,0,IF('Loan Tape'!$K204="Floating",MIN(IF('Loan Tape'!$P204="",10,'Loan Tape'!$P204),MAX(IF('Loan Tape'!$Q204="",0,'Loan Tape'!$Q204),INDEX(Idx_Curve,1,10)+'Loan Tape'!$M204)),IF('Loan Tape'!$L204="",0,'Loan Tape'!$L204)))</f>
        <v>0</v>
      </c>
    </row>
    <row r="512" customFormat="false" ht="15" hidden="false" customHeight="false" outlineLevel="0" collapsed="false">
      <c r="B512" s="108" t="n">
        <f aca="false">'Loan Tape'!$A205</f>
        <v>0</v>
      </c>
      <c r="C512" s="56" t="n">
        <f aca="false">IF('Loan Tape'!$AN205=0,0,IF('Loan Tape'!$K205="Floating",MIN(IF('Loan Tape'!$P205="",10,'Loan Tape'!$P205),MAX(IF('Loan Tape'!$Q205="",0,'Loan Tape'!$Q205),INDEX(Idx_Curve,1,1)+'Loan Tape'!$M205)),IF('Loan Tape'!$L205="",0,'Loan Tape'!$L205)))</f>
        <v>0</v>
      </c>
      <c r="D512" s="56" t="n">
        <f aca="false">IF('Loan Tape'!$AN205=0,0,IF('Loan Tape'!$K205="Floating",MIN(IF('Loan Tape'!$P205="",10,'Loan Tape'!$P205),MAX(IF('Loan Tape'!$Q205="",0,'Loan Tape'!$Q205),INDEX(Idx_Curve,1,2)+'Loan Tape'!$M205)),IF('Loan Tape'!$L205="",0,'Loan Tape'!$L205)))</f>
        <v>0</v>
      </c>
      <c r="E512" s="56" t="n">
        <f aca="false">IF('Loan Tape'!$AN205=0,0,IF('Loan Tape'!$K205="Floating",MIN(IF('Loan Tape'!$P205="",10,'Loan Tape'!$P205),MAX(IF('Loan Tape'!$Q205="",0,'Loan Tape'!$Q205),INDEX(Idx_Curve,1,3)+'Loan Tape'!$M205)),IF('Loan Tape'!$L205="",0,'Loan Tape'!$L205)))</f>
        <v>0</v>
      </c>
      <c r="F512" s="56" t="n">
        <f aca="false">IF('Loan Tape'!$AN205=0,0,IF('Loan Tape'!$K205="Floating",MIN(IF('Loan Tape'!$P205="",10,'Loan Tape'!$P205),MAX(IF('Loan Tape'!$Q205="",0,'Loan Tape'!$Q205),INDEX(Idx_Curve,1,4)+'Loan Tape'!$M205)),IF('Loan Tape'!$L205="",0,'Loan Tape'!$L205)))</f>
        <v>0</v>
      </c>
      <c r="G512" s="56" t="n">
        <f aca="false">IF('Loan Tape'!$AN205=0,0,IF('Loan Tape'!$K205="Floating",MIN(IF('Loan Tape'!$P205="",10,'Loan Tape'!$P205),MAX(IF('Loan Tape'!$Q205="",0,'Loan Tape'!$Q205),INDEX(Idx_Curve,1,5)+'Loan Tape'!$M205)),IF('Loan Tape'!$L205="",0,'Loan Tape'!$L205)))</f>
        <v>0</v>
      </c>
      <c r="H512" s="56" t="n">
        <f aca="false">IF('Loan Tape'!$AN205=0,0,IF('Loan Tape'!$K205="Floating",MIN(IF('Loan Tape'!$P205="",10,'Loan Tape'!$P205),MAX(IF('Loan Tape'!$Q205="",0,'Loan Tape'!$Q205),INDEX(Idx_Curve,1,6)+'Loan Tape'!$M205)),IF('Loan Tape'!$L205="",0,'Loan Tape'!$L205)))</f>
        <v>0</v>
      </c>
      <c r="I512" s="56" t="n">
        <f aca="false">IF('Loan Tape'!$AN205=0,0,IF('Loan Tape'!$K205="Floating",MIN(IF('Loan Tape'!$P205="",10,'Loan Tape'!$P205),MAX(IF('Loan Tape'!$Q205="",0,'Loan Tape'!$Q205),INDEX(Idx_Curve,1,7)+'Loan Tape'!$M205)),IF('Loan Tape'!$L205="",0,'Loan Tape'!$L205)))</f>
        <v>0</v>
      </c>
      <c r="J512" s="56" t="n">
        <f aca="false">IF('Loan Tape'!$AN205=0,0,IF('Loan Tape'!$K205="Floating",MIN(IF('Loan Tape'!$P205="",10,'Loan Tape'!$P205),MAX(IF('Loan Tape'!$Q205="",0,'Loan Tape'!$Q205),INDEX(Idx_Curve,1,8)+'Loan Tape'!$M205)),IF('Loan Tape'!$L205="",0,'Loan Tape'!$L205)))</f>
        <v>0</v>
      </c>
      <c r="K512" s="56" t="n">
        <f aca="false">IF('Loan Tape'!$AN205=0,0,IF('Loan Tape'!$K205="Floating",MIN(IF('Loan Tape'!$P205="",10,'Loan Tape'!$P205),MAX(IF('Loan Tape'!$Q205="",0,'Loan Tape'!$Q205),INDEX(Idx_Curve,1,9)+'Loan Tape'!$M205)),IF('Loan Tape'!$L205="",0,'Loan Tape'!$L205)))</f>
        <v>0</v>
      </c>
      <c r="L512" s="56" t="n">
        <f aca="false">IF('Loan Tape'!$AN205=0,0,IF('Loan Tape'!$K205="Floating",MIN(IF('Loan Tape'!$P205="",10,'Loan Tape'!$P205),MAX(IF('Loan Tape'!$Q205="",0,'Loan Tape'!$Q205),INDEX(Idx_Curve,1,10)+'Loan Tape'!$M205)),IF('Loan Tape'!$L205="",0,'Loan Tape'!$L205)))</f>
        <v>0</v>
      </c>
    </row>
    <row r="513" customFormat="false" ht="15" hidden="false" customHeight="false" outlineLevel="0" collapsed="false">
      <c r="B513" s="102" t="n">
        <f aca="false">'Loan Tape'!$A206</f>
        <v>0</v>
      </c>
      <c r="C513" s="104" t="n">
        <f aca="false">IF('Loan Tape'!$AN206=0,0,IF('Loan Tape'!$K206="Floating",MIN(IF('Loan Tape'!$P206="",10,'Loan Tape'!$P206),MAX(IF('Loan Tape'!$Q206="",0,'Loan Tape'!$Q206),INDEX(Idx_Curve,1,1)+'Loan Tape'!$M206)),IF('Loan Tape'!$L206="",0,'Loan Tape'!$L206)))</f>
        <v>0</v>
      </c>
      <c r="D513" s="104" t="n">
        <f aca="false">IF('Loan Tape'!$AN206=0,0,IF('Loan Tape'!$K206="Floating",MIN(IF('Loan Tape'!$P206="",10,'Loan Tape'!$P206),MAX(IF('Loan Tape'!$Q206="",0,'Loan Tape'!$Q206),INDEX(Idx_Curve,1,2)+'Loan Tape'!$M206)),IF('Loan Tape'!$L206="",0,'Loan Tape'!$L206)))</f>
        <v>0</v>
      </c>
      <c r="E513" s="104" t="n">
        <f aca="false">IF('Loan Tape'!$AN206=0,0,IF('Loan Tape'!$K206="Floating",MIN(IF('Loan Tape'!$P206="",10,'Loan Tape'!$P206),MAX(IF('Loan Tape'!$Q206="",0,'Loan Tape'!$Q206),INDEX(Idx_Curve,1,3)+'Loan Tape'!$M206)),IF('Loan Tape'!$L206="",0,'Loan Tape'!$L206)))</f>
        <v>0</v>
      </c>
      <c r="F513" s="104" t="n">
        <f aca="false">IF('Loan Tape'!$AN206=0,0,IF('Loan Tape'!$K206="Floating",MIN(IF('Loan Tape'!$P206="",10,'Loan Tape'!$P206),MAX(IF('Loan Tape'!$Q206="",0,'Loan Tape'!$Q206),INDEX(Idx_Curve,1,4)+'Loan Tape'!$M206)),IF('Loan Tape'!$L206="",0,'Loan Tape'!$L206)))</f>
        <v>0</v>
      </c>
      <c r="G513" s="104" t="n">
        <f aca="false">IF('Loan Tape'!$AN206=0,0,IF('Loan Tape'!$K206="Floating",MIN(IF('Loan Tape'!$P206="",10,'Loan Tape'!$P206),MAX(IF('Loan Tape'!$Q206="",0,'Loan Tape'!$Q206),INDEX(Idx_Curve,1,5)+'Loan Tape'!$M206)),IF('Loan Tape'!$L206="",0,'Loan Tape'!$L206)))</f>
        <v>0</v>
      </c>
      <c r="H513" s="104" t="n">
        <f aca="false">IF('Loan Tape'!$AN206=0,0,IF('Loan Tape'!$K206="Floating",MIN(IF('Loan Tape'!$P206="",10,'Loan Tape'!$P206),MAX(IF('Loan Tape'!$Q206="",0,'Loan Tape'!$Q206),INDEX(Idx_Curve,1,6)+'Loan Tape'!$M206)),IF('Loan Tape'!$L206="",0,'Loan Tape'!$L206)))</f>
        <v>0</v>
      </c>
      <c r="I513" s="104" t="n">
        <f aca="false">IF('Loan Tape'!$AN206=0,0,IF('Loan Tape'!$K206="Floating",MIN(IF('Loan Tape'!$P206="",10,'Loan Tape'!$P206),MAX(IF('Loan Tape'!$Q206="",0,'Loan Tape'!$Q206),INDEX(Idx_Curve,1,7)+'Loan Tape'!$M206)),IF('Loan Tape'!$L206="",0,'Loan Tape'!$L206)))</f>
        <v>0</v>
      </c>
      <c r="J513" s="104" t="n">
        <f aca="false">IF('Loan Tape'!$AN206=0,0,IF('Loan Tape'!$K206="Floating",MIN(IF('Loan Tape'!$P206="",10,'Loan Tape'!$P206),MAX(IF('Loan Tape'!$Q206="",0,'Loan Tape'!$Q206),INDEX(Idx_Curve,1,8)+'Loan Tape'!$M206)),IF('Loan Tape'!$L206="",0,'Loan Tape'!$L206)))</f>
        <v>0</v>
      </c>
      <c r="K513" s="104" t="n">
        <f aca="false">IF('Loan Tape'!$AN206=0,0,IF('Loan Tape'!$K206="Floating",MIN(IF('Loan Tape'!$P206="",10,'Loan Tape'!$P206),MAX(IF('Loan Tape'!$Q206="",0,'Loan Tape'!$Q206),INDEX(Idx_Curve,1,9)+'Loan Tape'!$M206)),IF('Loan Tape'!$L206="",0,'Loan Tape'!$L206)))</f>
        <v>0</v>
      </c>
      <c r="L513" s="104" t="n">
        <f aca="false">IF('Loan Tape'!$AN206=0,0,IF('Loan Tape'!$K206="Floating",MIN(IF('Loan Tape'!$P206="",10,'Loan Tape'!$P206),MAX(IF('Loan Tape'!$Q206="",0,'Loan Tape'!$Q206),INDEX(Idx_Curve,1,10)+'Loan Tape'!$M206)),IF('Loan Tape'!$L206="",0,'Loan Tape'!$L206)))</f>
        <v>0</v>
      </c>
    </row>
    <row r="514" customFormat="false" ht="15" hidden="false" customHeight="false" outlineLevel="0" collapsed="false">
      <c r="B514" s="108" t="n">
        <f aca="false">'Loan Tape'!$A207</f>
        <v>0</v>
      </c>
      <c r="C514" s="56" t="n">
        <f aca="false">IF('Loan Tape'!$AN207=0,0,IF('Loan Tape'!$K207="Floating",MIN(IF('Loan Tape'!$P207="",10,'Loan Tape'!$P207),MAX(IF('Loan Tape'!$Q207="",0,'Loan Tape'!$Q207),INDEX(Idx_Curve,1,1)+'Loan Tape'!$M207)),IF('Loan Tape'!$L207="",0,'Loan Tape'!$L207)))</f>
        <v>0</v>
      </c>
      <c r="D514" s="56" t="n">
        <f aca="false">IF('Loan Tape'!$AN207=0,0,IF('Loan Tape'!$K207="Floating",MIN(IF('Loan Tape'!$P207="",10,'Loan Tape'!$P207),MAX(IF('Loan Tape'!$Q207="",0,'Loan Tape'!$Q207),INDEX(Idx_Curve,1,2)+'Loan Tape'!$M207)),IF('Loan Tape'!$L207="",0,'Loan Tape'!$L207)))</f>
        <v>0</v>
      </c>
      <c r="E514" s="56" t="n">
        <f aca="false">IF('Loan Tape'!$AN207=0,0,IF('Loan Tape'!$K207="Floating",MIN(IF('Loan Tape'!$P207="",10,'Loan Tape'!$P207),MAX(IF('Loan Tape'!$Q207="",0,'Loan Tape'!$Q207),INDEX(Idx_Curve,1,3)+'Loan Tape'!$M207)),IF('Loan Tape'!$L207="",0,'Loan Tape'!$L207)))</f>
        <v>0</v>
      </c>
      <c r="F514" s="56" t="n">
        <f aca="false">IF('Loan Tape'!$AN207=0,0,IF('Loan Tape'!$K207="Floating",MIN(IF('Loan Tape'!$P207="",10,'Loan Tape'!$P207),MAX(IF('Loan Tape'!$Q207="",0,'Loan Tape'!$Q207),INDEX(Idx_Curve,1,4)+'Loan Tape'!$M207)),IF('Loan Tape'!$L207="",0,'Loan Tape'!$L207)))</f>
        <v>0</v>
      </c>
      <c r="G514" s="56" t="n">
        <f aca="false">IF('Loan Tape'!$AN207=0,0,IF('Loan Tape'!$K207="Floating",MIN(IF('Loan Tape'!$P207="",10,'Loan Tape'!$P207),MAX(IF('Loan Tape'!$Q207="",0,'Loan Tape'!$Q207),INDEX(Idx_Curve,1,5)+'Loan Tape'!$M207)),IF('Loan Tape'!$L207="",0,'Loan Tape'!$L207)))</f>
        <v>0</v>
      </c>
      <c r="H514" s="56" t="n">
        <f aca="false">IF('Loan Tape'!$AN207=0,0,IF('Loan Tape'!$K207="Floating",MIN(IF('Loan Tape'!$P207="",10,'Loan Tape'!$P207),MAX(IF('Loan Tape'!$Q207="",0,'Loan Tape'!$Q207),INDEX(Idx_Curve,1,6)+'Loan Tape'!$M207)),IF('Loan Tape'!$L207="",0,'Loan Tape'!$L207)))</f>
        <v>0</v>
      </c>
      <c r="I514" s="56" t="n">
        <f aca="false">IF('Loan Tape'!$AN207=0,0,IF('Loan Tape'!$K207="Floating",MIN(IF('Loan Tape'!$P207="",10,'Loan Tape'!$P207),MAX(IF('Loan Tape'!$Q207="",0,'Loan Tape'!$Q207),INDEX(Idx_Curve,1,7)+'Loan Tape'!$M207)),IF('Loan Tape'!$L207="",0,'Loan Tape'!$L207)))</f>
        <v>0</v>
      </c>
      <c r="J514" s="56" t="n">
        <f aca="false">IF('Loan Tape'!$AN207=0,0,IF('Loan Tape'!$K207="Floating",MIN(IF('Loan Tape'!$P207="",10,'Loan Tape'!$P207),MAX(IF('Loan Tape'!$Q207="",0,'Loan Tape'!$Q207),INDEX(Idx_Curve,1,8)+'Loan Tape'!$M207)),IF('Loan Tape'!$L207="",0,'Loan Tape'!$L207)))</f>
        <v>0</v>
      </c>
      <c r="K514" s="56" t="n">
        <f aca="false">IF('Loan Tape'!$AN207=0,0,IF('Loan Tape'!$K207="Floating",MIN(IF('Loan Tape'!$P207="",10,'Loan Tape'!$P207),MAX(IF('Loan Tape'!$Q207="",0,'Loan Tape'!$Q207),INDEX(Idx_Curve,1,9)+'Loan Tape'!$M207)),IF('Loan Tape'!$L207="",0,'Loan Tape'!$L207)))</f>
        <v>0</v>
      </c>
      <c r="L514" s="56" t="n">
        <f aca="false">IF('Loan Tape'!$AN207=0,0,IF('Loan Tape'!$K207="Floating",MIN(IF('Loan Tape'!$P207="",10,'Loan Tape'!$P207),MAX(IF('Loan Tape'!$Q207="",0,'Loan Tape'!$Q207),INDEX(Idx_Curve,1,10)+'Loan Tape'!$M207)),IF('Loan Tape'!$L207="",0,'Loan Tape'!$L207)))</f>
        <v>0</v>
      </c>
    </row>
    <row r="515" customFormat="false" ht="15" hidden="false" customHeight="false" outlineLevel="0" collapsed="false">
      <c r="B515" s="102" t="n">
        <f aca="false">'Loan Tape'!$A208</f>
        <v>0</v>
      </c>
      <c r="C515" s="104" t="n">
        <f aca="false">IF('Loan Tape'!$AN208=0,0,IF('Loan Tape'!$K208="Floating",MIN(IF('Loan Tape'!$P208="",10,'Loan Tape'!$P208),MAX(IF('Loan Tape'!$Q208="",0,'Loan Tape'!$Q208),INDEX(Idx_Curve,1,1)+'Loan Tape'!$M208)),IF('Loan Tape'!$L208="",0,'Loan Tape'!$L208)))</f>
        <v>0</v>
      </c>
      <c r="D515" s="104" t="n">
        <f aca="false">IF('Loan Tape'!$AN208=0,0,IF('Loan Tape'!$K208="Floating",MIN(IF('Loan Tape'!$P208="",10,'Loan Tape'!$P208),MAX(IF('Loan Tape'!$Q208="",0,'Loan Tape'!$Q208),INDEX(Idx_Curve,1,2)+'Loan Tape'!$M208)),IF('Loan Tape'!$L208="",0,'Loan Tape'!$L208)))</f>
        <v>0</v>
      </c>
      <c r="E515" s="104" t="n">
        <f aca="false">IF('Loan Tape'!$AN208=0,0,IF('Loan Tape'!$K208="Floating",MIN(IF('Loan Tape'!$P208="",10,'Loan Tape'!$P208),MAX(IF('Loan Tape'!$Q208="",0,'Loan Tape'!$Q208),INDEX(Idx_Curve,1,3)+'Loan Tape'!$M208)),IF('Loan Tape'!$L208="",0,'Loan Tape'!$L208)))</f>
        <v>0</v>
      </c>
      <c r="F515" s="104" t="n">
        <f aca="false">IF('Loan Tape'!$AN208=0,0,IF('Loan Tape'!$K208="Floating",MIN(IF('Loan Tape'!$P208="",10,'Loan Tape'!$P208),MAX(IF('Loan Tape'!$Q208="",0,'Loan Tape'!$Q208),INDEX(Idx_Curve,1,4)+'Loan Tape'!$M208)),IF('Loan Tape'!$L208="",0,'Loan Tape'!$L208)))</f>
        <v>0</v>
      </c>
      <c r="G515" s="104" t="n">
        <f aca="false">IF('Loan Tape'!$AN208=0,0,IF('Loan Tape'!$K208="Floating",MIN(IF('Loan Tape'!$P208="",10,'Loan Tape'!$P208),MAX(IF('Loan Tape'!$Q208="",0,'Loan Tape'!$Q208),INDEX(Idx_Curve,1,5)+'Loan Tape'!$M208)),IF('Loan Tape'!$L208="",0,'Loan Tape'!$L208)))</f>
        <v>0</v>
      </c>
      <c r="H515" s="104" t="n">
        <f aca="false">IF('Loan Tape'!$AN208=0,0,IF('Loan Tape'!$K208="Floating",MIN(IF('Loan Tape'!$P208="",10,'Loan Tape'!$P208),MAX(IF('Loan Tape'!$Q208="",0,'Loan Tape'!$Q208),INDEX(Idx_Curve,1,6)+'Loan Tape'!$M208)),IF('Loan Tape'!$L208="",0,'Loan Tape'!$L208)))</f>
        <v>0</v>
      </c>
      <c r="I515" s="104" t="n">
        <f aca="false">IF('Loan Tape'!$AN208=0,0,IF('Loan Tape'!$K208="Floating",MIN(IF('Loan Tape'!$P208="",10,'Loan Tape'!$P208),MAX(IF('Loan Tape'!$Q208="",0,'Loan Tape'!$Q208),INDEX(Idx_Curve,1,7)+'Loan Tape'!$M208)),IF('Loan Tape'!$L208="",0,'Loan Tape'!$L208)))</f>
        <v>0</v>
      </c>
      <c r="J515" s="104" t="n">
        <f aca="false">IF('Loan Tape'!$AN208=0,0,IF('Loan Tape'!$K208="Floating",MIN(IF('Loan Tape'!$P208="",10,'Loan Tape'!$P208),MAX(IF('Loan Tape'!$Q208="",0,'Loan Tape'!$Q208),INDEX(Idx_Curve,1,8)+'Loan Tape'!$M208)),IF('Loan Tape'!$L208="",0,'Loan Tape'!$L208)))</f>
        <v>0</v>
      </c>
      <c r="K515" s="104" t="n">
        <f aca="false">IF('Loan Tape'!$AN208=0,0,IF('Loan Tape'!$K208="Floating",MIN(IF('Loan Tape'!$P208="",10,'Loan Tape'!$P208),MAX(IF('Loan Tape'!$Q208="",0,'Loan Tape'!$Q208),INDEX(Idx_Curve,1,9)+'Loan Tape'!$M208)),IF('Loan Tape'!$L208="",0,'Loan Tape'!$L208)))</f>
        <v>0</v>
      </c>
      <c r="L515" s="104" t="n">
        <f aca="false">IF('Loan Tape'!$AN208=0,0,IF('Loan Tape'!$K208="Floating",MIN(IF('Loan Tape'!$P208="",10,'Loan Tape'!$P208),MAX(IF('Loan Tape'!$Q208="",0,'Loan Tape'!$Q208),INDEX(Idx_Curve,1,10)+'Loan Tape'!$M208)),IF('Loan Tape'!$L208="",0,'Loan Tape'!$L208)))</f>
        <v>0</v>
      </c>
    </row>
    <row r="516" customFormat="false" ht="15" hidden="false" customHeight="false" outlineLevel="0" collapsed="false">
      <c r="B516" s="108" t="n">
        <f aca="false">'Loan Tape'!$A209</f>
        <v>0</v>
      </c>
      <c r="C516" s="56" t="n">
        <f aca="false">IF('Loan Tape'!$AN209=0,0,IF('Loan Tape'!$K209="Floating",MIN(IF('Loan Tape'!$P209="",10,'Loan Tape'!$P209),MAX(IF('Loan Tape'!$Q209="",0,'Loan Tape'!$Q209),INDEX(Idx_Curve,1,1)+'Loan Tape'!$M209)),IF('Loan Tape'!$L209="",0,'Loan Tape'!$L209)))</f>
        <v>0</v>
      </c>
      <c r="D516" s="56" t="n">
        <f aca="false">IF('Loan Tape'!$AN209=0,0,IF('Loan Tape'!$K209="Floating",MIN(IF('Loan Tape'!$P209="",10,'Loan Tape'!$P209),MAX(IF('Loan Tape'!$Q209="",0,'Loan Tape'!$Q209),INDEX(Idx_Curve,1,2)+'Loan Tape'!$M209)),IF('Loan Tape'!$L209="",0,'Loan Tape'!$L209)))</f>
        <v>0</v>
      </c>
      <c r="E516" s="56" t="n">
        <f aca="false">IF('Loan Tape'!$AN209=0,0,IF('Loan Tape'!$K209="Floating",MIN(IF('Loan Tape'!$P209="",10,'Loan Tape'!$P209),MAX(IF('Loan Tape'!$Q209="",0,'Loan Tape'!$Q209),INDEX(Idx_Curve,1,3)+'Loan Tape'!$M209)),IF('Loan Tape'!$L209="",0,'Loan Tape'!$L209)))</f>
        <v>0</v>
      </c>
      <c r="F516" s="56" t="n">
        <f aca="false">IF('Loan Tape'!$AN209=0,0,IF('Loan Tape'!$K209="Floating",MIN(IF('Loan Tape'!$P209="",10,'Loan Tape'!$P209),MAX(IF('Loan Tape'!$Q209="",0,'Loan Tape'!$Q209),INDEX(Idx_Curve,1,4)+'Loan Tape'!$M209)),IF('Loan Tape'!$L209="",0,'Loan Tape'!$L209)))</f>
        <v>0</v>
      </c>
      <c r="G516" s="56" t="n">
        <f aca="false">IF('Loan Tape'!$AN209=0,0,IF('Loan Tape'!$K209="Floating",MIN(IF('Loan Tape'!$P209="",10,'Loan Tape'!$P209),MAX(IF('Loan Tape'!$Q209="",0,'Loan Tape'!$Q209),INDEX(Idx_Curve,1,5)+'Loan Tape'!$M209)),IF('Loan Tape'!$L209="",0,'Loan Tape'!$L209)))</f>
        <v>0</v>
      </c>
      <c r="H516" s="56" t="n">
        <f aca="false">IF('Loan Tape'!$AN209=0,0,IF('Loan Tape'!$K209="Floating",MIN(IF('Loan Tape'!$P209="",10,'Loan Tape'!$P209),MAX(IF('Loan Tape'!$Q209="",0,'Loan Tape'!$Q209),INDEX(Idx_Curve,1,6)+'Loan Tape'!$M209)),IF('Loan Tape'!$L209="",0,'Loan Tape'!$L209)))</f>
        <v>0</v>
      </c>
      <c r="I516" s="56" t="n">
        <f aca="false">IF('Loan Tape'!$AN209=0,0,IF('Loan Tape'!$K209="Floating",MIN(IF('Loan Tape'!$P209="",10,'Loan Tape'!$P209),MAX(IF('Loan Tape'!$Q209="",0,'Loan Tape'!$Q209),INDEX(Idx_Curve,1,7)+'Loan Tape'!$M209)),IF('Loan Tape'!$L209="",0,'Loan Tape'!$L209)))</f>
        <v>0</v>
      </c>
      <c r="J516" s="56" t="n">
        <f aca="false">IF('Loan Tape'!$AN209=0,0,IF('Loan Tape'!$K209="Floating",MIN(IF('Loan Tape'!$P209="",10,'Loan Tape'!$P209),MAX(IF('Loan Tape'!$Q209="",0,'Loan Tape'!$Q209),INDEX(Idx_Curve,1,8)+'Loan Tape'!$M209)),IF('Loan Tape'!$L209="",0,'Loan Tape'!$L209)))</f>
        <v>0</v>
      </c>
      <c r="K516" s="56" t="n">
        <f aca="false">IF('Loan Tape'!$AN209=0,0,IF('Loan Tape'!$K209="Floating",MIN(IF('Loan Tape'!$P209="",10,'Loan Tape'!$P209),MAX(IF('Loan Tape'!$Q209="",0,'Loan Tape'!$Q209),INDEX(Idx_Curve,1,9)+'Loan Tape'!$M209)),IF('Loan Tape'!$L209="",0,'Loan Tape'!$L209)))</f>
        <v>0</v>
      </c>
      <c r="L516" s="56" t="n">
        <f aca="false">IF('Loan Tape'!$AN209=0,0,IF('Loan Tape'!$K209="Floating",MIN(IF('Loan Tape'!$P209="",10,'Loan Tape'!$P209),MAX(IF('Loan Tape'!$Q209="",0,'Loan Tape'!$Q209),INDEX(Idx_Curve,1,10)+'Loan Tape'!$M209)),IF('Loan Tape'!$L209="",0,'Loan Tape'!$L209)))</f>
        <v>0</v>
      </c>
    </row>
    <row r="517" customFormat="false" ht="15" hidden="false" customHeight="false" outlineLevel="0" collapsed="false">
      <c r="B517" s="102" t="n">
        <f aca="false">'Loan Tape'!$A210</f>
        <v>0</v>
      </c>
      <c r="C517" s="104" t="n">
        <f aca="false">IF('Loan Tape'!$AN210=0,0,IF('Loan Tape'!$K210="Floating",MIN(IF('Loan Tape'!$P210="",10,'Loan Tape'!$P210),MAX(IF('Loan Tape'!$Q210="",0,'Loan Tape'!$Q210),INDEX(Idx_Curve,1,1)+'Loan Tape'!$M210)),IF('Loan Tape'!$L210="",0,'Loan Tape'!$L210)))</f>
        <v>0</v>
      </c>
      <c r="D517" s="104" t="n">
        <f aca="false">IF('Loan Tape'!$AN210=0,0,IF('Loan Tape'!$K210="Floating",MIN(IF('Loan Tape'!$P210="",10,'Loan Tape'!$P210),MAX(IF('Loan Tape'!$Q210="",0,'Loan Tape'!$Q210),INDEX(Idx_Curve,1,2)+'Loan Tape'!$M210)),IF('Loan Tape'!$L210="",0,'Loan Tape'!$L210)))</f>
        <v>0</v>
      </c>
      <c r="E517" s="104" t="n">
        <f aca="false">IF('Loan Tape'!$AN210=0,0,IF('Loan Tape'!$K210="Floating",MIN(IF('Loan Tape'!$P210="",10,'Loan Tape'!$P210),MAX(IF('Loan Tape'!$Q210="",0,'Loan Tape'!$Q210),INDEX(Idx_Curve,1,3)+'Loan Tape'!$M210)),IF('Loan Tape'!$L210="",0,'Loan Tape'!$L210)))</f>
        <v>0</v>
      </c>
      <c r="F517" s="104" t="n">
        <f aca="false">IF('Loan Tape'!$AN210=0,0,IF('Loan Tape'!$K210="Floating",MIN(IF('Loan Tape'!$P210="",10,'Loan Tape'!$P210),MAX(IF('Loan Tape'!$Q210="",0,'Loan Tape'!$Q210),INDEX(Idx_Curve,1,4)+'Loan Tape'!$M210)),IF('Loan Tape'!$L210="",0,'Loan Tape'!$L210)))</f>
        <v>0</v>
      </c>
      <c r="G517" s="104" t="n">
        <f aca="false">IF('Loan Tape'!$AN210=0,0,IF('Loan Tape'!$K210="Floating",MIN(IF('Loan Tape'!$P210="",10,'Loan Tape'!$P210),MAX(IF('Loan Tape'!$Q210="",0,'Loan Tape'!$Q210),INDEX(Idx_Curve,1,5)+'Loan Tape'!$M210)),IF('Loan Tape'!$L210="",0,'Loan Tape'!$L210)))</f>
        <v>0</v>
      </c>
      <c r="H517" s="104" t="n">
        <f aca="false">IF('Loan Tape'!$AN210=0,0,IF('Loan Tape'!$K210="Floating",MIN(IF('Loan Tape'!$P210="",10,'Loan Tape'!$P210),MAX(IF('Loan Tape'!$Q210="",0,'Loan Tape'!$Q210),INDEX(Idx_Curve,1,6)+'Loan Tape'!$M210)),IF('Loan Tape'!$L210="",0,'Loan Tape'!$L210)))</f>
        <v>0</v>
      </c>
      <c r="I517" s="104" t="n">
        <f aca="false">IF('Loan Tape'!$AN210=0,0,IF('Loan Tape'!$K210="Floating",MIN(IF('Loan Tape'!$P210="",10,'Loan Tape'!$P210),MAX(IF('Loan Tape'!$Q210="",0,'Loan Tape'!$Q210),INDEX(Idx_Curve,1,7)+'Loan Tape'!$M210)),IF('Loan Tape'!$L210="",0,'Loan Tape'!$L210)))</f>
        <v>0</v>
      </c>
      <c r="J517" s="104" t="n">
        <f aca="false">IF('Loan Tape'!$AN210=0,0,IF('Loan Tape'!$K210="Floating",MIN(IF('Loan Tape'!$P210="",10,'Loan Tape'!$P210),MAX(IF('Loan Tape'!$Q210="",0,'Loan Tape'!$Q210),INDEX(Idx_Curve,1,8)+'Loan Tape'!$M210)),IF('Loan Tape'!$L210="",0,'Loan Tape'!$L210)))</f>
        <v>0</v>
      </c>
      <c r="K517" s="104" t="n">
        <f aca="false">IF('Loan Tape'!$AN210=0,0,IF('Loan Tape'!$K210="Floating",MIN(IF('Loan Tape'!$P210="",10,'Loan Tape'!$P210),MAX(IF('Loan Tape'!$Q210="",0,'Loan Tape'!$Q210),INDEX(Idx_Curve,1,9)+'Loan Tape'!$M210)),IF('Loan Tape'!$L210="",0,'Loan Tape'!$L210)))</f>
        <v>0</v>
      </c>
      <c r="L517" s="104" t="n">
        <f aca="false">IF('Loan Tape'!$AN210=0,0,IF('Loan Tape'!$K210="Floating",MIN(IF('Loan Tape'!$P210="",10,'Loan Tape'!$P210),MAX(IF('Loan Tape'!$Q210="",0,'Loan Tape'!$Q210),INDEX(Idx_Curve,1,10)+'Loan Tape'!$M210)),IF('Loan Tape'!$L210="",0,'Loan Tape'!$L210)))</f>
        <v>0</v>
      </c>
    </row>
    <row r="518" customFormat="false" ht="15" hidden="false" customHeight="false" outlineLevel="0" collapsed="false">
      <c r="B518" s="108" t="n">
        <f aca="false">'Loan Tape'!$A211</f>
        <v>0</v>
      </c>
      <c r="C518" s="56" t="n">
        <f aca="false">IF('Loan Tape'!$AN211=0,0,IF('Loan Tape'!$K211="Floating",MIN(IF('Loan Tape'!$P211="",10,'Loan Tape'!$P211),MAX(IF('Loan Tape'!$Q211="",0,'Loan Tape'!$Q211),INDEX(Idx_Curve,1,1)+'Loan Tape'!$M211)),IF('Loan Tape'!$L211="",0,'Loan Tape'!$L211)))</f>
        <v>0</v>
      </c>
      <c r="D518" s="56" t="n">
        <f aca="false">IF('Loan Tape'!$AN211=0,0,IF('Loan Tape'!$K211="Floating",MIN(IF('Loan Tape'!$P211="",10,'Loan Tape'!$P211),MAX(IF('Loan Tape'!$Q211="",0,'Loan Tape'!$Q211),INDEX(Idx_Curve,1,2)+'Loan Tape'!$M211)),IF('Loan Tape'!$L211="",0,'Loan Tape'!$L211)))</f>
        <v>0</v>
      </c>
      <c r="E518" s="56" t="n">
        <f aca="false">IF('Loan Tape'!$AN211=0,0,IF('Loan Tape'!$K211="Floating",MIN(IF('Loan Tape'!$P211="",10,'Loan Tape'!$P211),MAX(IF('Loan Tape'!$Q211="",0,'Loan Tape'!$Q211),INDEX(Idx_Curve,1,3)+'Loan Tape'!$M211)),IF('Loan Tape'!$L211="",0,'Loan Tape'!$L211)))</f>
        <v>0</v>
      </c>
      <c r="F518" s="56" t="n">
        <f aca="false">IF('Loan Tape'!$AN211=0,0,IF('Loan Tape'!$K211="Floating",MIN(IF('Loan Tape'!$P211="",10,'Loan Tape'!$P211),MAX(IF('Loan Tape'!$Q211="",0,'Loan Tape'!$Q211),INDEX(Idx_Curve,1,4)+'Loan Tape'!$M211)),IF('Loan Tape'!$L211="",0,'Loan Tape'!$L211)))</f>
        <v>0</v>
      </c>
      <c r="G518" s="56" t="n">
        <f aca="false">IF('Loan Tape'!$AN211=0,0,IF('Loan Tape'!$K211="Floating",MIN(IF('Loan Tape'!$P211="",10,'Loan Tape'!$P211),MAX(IF('Loan Tape'!$Q211="",0,'Loan Tape'!$Q211),INDEX(Idx_Curve,1,5)+'Loan Tape'!$M211)),IF('Loan Tape'!$L211="",0,'Loan Tape'!$L211)))</f>
        <v>0</v>
      </c>
      <c r="H518" s="56" t="n">
        <f aca="false">IF('Loan Tape'!$AN211=0,0,IF('Loan Tape'!$K211="Floating",MIN(IF('Loan Tape'!$P211="",10,'Loan Tape'!$P211),MAX(IF('Loan Tape'!$Q211="",0,'Loan Tape'!$Q211),INDEX(Idx_Curve,1,6)+'Loan Tape'!$M211)),IF('Loan Tape'!$L211="",0,'Loan Tape'!$L211)))</f>
        <v>0</v>
      </c>
      <c r="I518" s="56" t="n">
        <f aca="false">IF('Loan Tape'!$AN211=0,0,IF('Loan Tape'!$K211="Floating",MIN(IF('Loan Tape'!$P211="",10,'Loan Tape'!$P211),MAX(IF('Loan Tape'!$Q211="",0,'Loan Tape'!$Q211),INDEX(Idx_Curve,1,7)+'Loan Tape'!$M211)),IF('Loan Tape'!$L211="",0,'Loan Tape'!$L211)))</f>
        <v>0</v>
      </c>
      <c r="J518" s="56" t="n">
        <f aca="false">IF('Loan Tape'!$AN211=0,0,IF('Loan Tape'!$K211="Floating",MIN(IF('Loan Tape'!$P211="",10,'Loan Tape'!$P211),MAX(IF('Loan Tape'!$Q211="",0,'Loan Tape'!$Q211),INDEX(Idx_Curve,1,8)+'Loan Tape'!$M211)),IF('Loan Tape'!$L211="",0,'Loan Tape'!$L211)))</f>
        <v>0</v>
      </c>
      <c r="K518" s="56" t="n">
        <f aca="false">IF('Loan Tape'!$AN211=0,0,IF('Loan Tape'!$K211="Floating",MIN(IF('Loan Tape'!$P211="",10,'Loan Tape'!$P211),MAX(IF('Loan Tape'!$Q211="",0,'Loan Tape'!$Q211),INDEX(Idx_Curve,1,9)+'Loan Tape'!$M211)),IF('Loan Tape'!$L211="",0,'Loan Tape'!$L211)))</f>
        <v>0</v>
      </c>
      <c r="L518" s="56" t="n">
        <f aca="false">IF('Loan Tape'!$AN211=0,0,IF('Loan Tape'!$K211="Floating",MIN(IF('Loan Tape'!$P211="",10,'Loan Tape'!$P211),MAX(IF('Loan Tape'!$Q211="",0,'Loan Tape'!$Q211),INDEX(Idx_Curve,1,10)+'Loan Tape'!$M211)),IF('Loan Tape'!$L211="",0,'Loan Tape'!$L211)))</f>
        <v>0</v>
      </c>
    </row>
    <row r="519" customFormat="false" ht="15" hidden="false" customHeight="false" outlineLevel="0" collapsed="false">
      <c r="B519" s="102" t="n">
        <f aca="false">'Loan Tape'!$A212</f>
        <v>0</v>
      </c>
      <c r="C519" s="104" t="n">
        <f aca="false">IF('Loan Tape'!$AN212=0,0,IF('Loan Tape'!$K212="Floating",MIN(IF('Loan Tape'!$P212="",10,'Loan Tape'!$P212),MAX(IF('Loan Tape'!$Q212="",0,'Loan Tape'!$Q212),INDEX(Idx_Curve,1,1)+'Loan Tape'!$M212)),IF('Loan Tape'!$L212="",0,'Loan Tape'!$L212)))</f>
        <v>0</v>
      </c>
      <c r="D519" s="104" t="n">
        <f aca="false">IF('Loan Tape'!$AN212=0,0,IF('Loan Tape'!$K212="Floating",MIN(IF('Loan Tape'!$P212="",10,'Loan Tape'!$P212),MAX(IF('Loan Tape'!$Q212="",0,'Loan Tape'!$Q212),INDEX(Idx_Curve,1,2)+'Loan Tape'!$M212)),IF('Loan Tape'!$L212="",0,'Loan Tape'!$L212)))</f>
        <v>0</v>
      </c>
      <c r="E519" s="104" t="n">
        <f aca="false">IF('Loan Tape'!$AN212=0,0,IF('Loan Tape'!$K212="Floating",MIN(IF('Loan Tape'!$P212="",10,'Loan Tape'!$P212),MAX(IF('Loan Tape'!$Q212="",0,'Loan Tape'!$Q212),INDEX(Idx_Curve,1,3)+'Loan Tape'!$M212)),IF('Loan Tape'!$L212="",0,'Loan Tape'!$L212)))</f>
        <v>0</v>
      </c>
      <c r="F519" s="104" t="n">
        <f aca="false">IF('Loan Tape'!$AN212=0,0,IF('Loan Tape'!$K212="Floating",MIN(IF('Loan Tape'!$P212="",10,'Loan Tape'!$P212),MAX(IF('Loan Tape'!$Q212="",0,'Loan Tape'!$Q212),INDEX(Idx_Curve,1,4)+'Loan Tape'!$M212)),IF('Loan Tape'!$L212="",0,'Loan Tape'!$L212)))</f>
        <v>0</v>
      </c>
      <c r="G519" s="104" t="n">
        <f aca="false">IF('Loan Tape'!$AN212=0,0,IF('Loan Tape'!$K212="Floating",MIN(IF('Loan Tape'!$P212="",10,'Loan Tape'!$P212),MAX(IF('Loan Tape'!$Q212="",0,'Loan Tape'!$Q212),INDEX(Idx_Curve,1,5)+'Loan Tape'!$M212)),IF('Loan Tape'!$L212="",0,'Loan Tape'!$L212)))</f>
        <v>0</v>
      </c>
      <c r="H519" s="104" t="n">
        <f aca="false">IF('Loan Tape'!$AN212=0,0,IF('Loan Tape'!$K212="Floating",MIN(IF('Loan Tape'!$P212="",10,'Loan Tape'!$P212),MAX(IF('Loan Tape'!$Q212="",0,'Loan Tape'!$Q212),INDEX(Idx_Curve,1,6)+'Loan Tape'!$M212)),IF('Loan Tape'!$L212="",0,'Loan Tape'!$L212)))</f>
        <v>0</v>
      </c>
      <c r="I519" s="104" t="n">
        <f aca="false">IF('Loan Tape'!$AN212=0,0,IF('Loan Tape'!$K212="Floating",MIN(IF('Loan Tape'!$P212="",10,'Loan Tape'!$P212),MAX(IF('Loan Tape'!$Q212="",0,'Loan Tape'!$Q212),INDEX(Idx_Curve,1,7)+'Loan Tape'!$M212)),IF('Loan Tape'!$L212="",0,'Loan Tape'!$L212)))</f>
        <v>0</v>
      </c>
      <c r="J519" s="104" t="n">
        <f aca="false">IF('Loan Tape'!$AN212=0,0,IF('Loan Tape'!$K212="Floating",MIN(IF('Loan Tape'!$P212="",10,'Loan Tape'!$P212),MAX(IF('Loan Tape'!$Q212="",0,'Loan Tape'!$Q212),INDEX(Idx_Curve,1,8)+'Loan Tape'!$M212)),IF('Loan Tape'!$L212="",0,'Loan Tape'!$L212)))</f>
        <v>0</v>
      </c>
      <c r="K519" s="104" t="n">
        <f aca="false">IF('Loan Tape'!$AN212=0,0,IF('Loan Tape'!$K212="Floating",MIN(IF('Loan Tape'!$P212="",10,'Loan Tape'!$P212),MAX(IF('Loan Tape'!$Q212="",0,'Loan Tape'!$Q212),INDEX(Idx_Curve,1,9)+'Loan Tape'!$M212)),IF('Loan Tape'!$L212="",0,'Loan Tape'!$L212)))</f>
        <v>0</v>
      </c>
      <c r="L519" s="104" t="n">
        <f aca="false">IF('Loan Tape'!$AN212=0,0,IF('Loan Tape'!$K212="Floating",MIN(IF('Loan Tape'!$P212="",10,'Loan Tape'!$P212),MAX(IF('Loan Tape'!$Q212="",0,'Loan Tape'!$Q212),INDEX(Idx_Curve,1,10)+'Loan Tape'!$M212)),IF('Loan Tape'!$L212="",0,'Loan Tape'!$L212)))</f>
        <v>0</v>
      </c>
    </row>
    <row r="520" customFormat="false" ht="15" hidden="false" customHeight="false" outlineLevel="0" collapsed="false">
      <c r="B520" s="108" t="n">
        <f aca="false">'Loan Tape'!$A213</f>
        <v>0</v>
      </c>
      <c r="C520" s="56" t="n">
        <f aca="false">IF('Loan Tape'!$AN213=0,0,IF('Loan Tape'!$K213="Floating",MIN(IF('Loan Tape'!$P213="",10,'Loan Tape'!$P213),MAX(IF('Loan Tape'!$Q213="",0,'Loan Tape'!$Q213),INDEX(Idx_Curve,1,1)+'Loan Tape'!$M213)),IF('Loan Tape'!$L213="",0,'Loan Tape'!$L213)))</f>
        <v>0</v>
      </c>
      <c r="D520" s="56" t="n">
        <f aca="false">IF('Loan Tape'!$AN213=0,0,IF('Loan Tape'!$K213="Floating",MIN(IF('Loan Tape'!$P213="",10,'Loan Tape'!$P213),MAX(IF('Loan Tape'!$Q213="",0,'Loan Tape'!$Q213),INDEX(Idx_Curve,1,2)+'Loan Tape'!$M213)),IF('Loan Tape'!$L213="",0,'Loan Tape'!$L213)))</f>
        <v>0</v>
      </c>
      <c r="E520" s="56" t="n">
        <f aca="false">IF('Loan Tape'!$AN213=0,0,IF('Loan Tape'!$K213="Floating",MIN(IF('Loan Tape'!$P213="",10,'Loan Tape'!$P213),MAX(IF('Loan Tape'!$Q213="",0,'Loan Tape'!$Q213),INDEX(Idx_Curve,1,3)+'Loan Tape'!$M213)),IF('Loan Tape'!$L213="",0,'Loan Tape'!$L213)))</f>
        <v>0</v>
      </c>
      <c r="F520" s="56" t="n">
        <f aca="false">IF('Loan Tape'!$AN213=0,0,IF('Loan Tape'!$K213="Floating",MIN(IF('Loan Tape'!$P213="",10,'Loan Tape'!$P213),MAX(IF('Loan Tape'!$Q213="",0,'Loan Tape'!$Q213),INDEX(Idx_Curve,1,4)+'Loan Tape'!$M213)),IF('Loan Tape'!$L213="",0,'Loan Tape'!$L213)))</f>
        <v>0</v>
      </c>
      <c r="G520" s="56" t="n">
        <f aca="false">IF('Loan Tape'!$AN213=0,0,IF('Loan Tape'!$K213="Floating",MIN(IF('Loan Tape'!$P213="",10,'Loan Tape'!$P213),MAX(IF('Loan Tape'!$Q213="",0,'Loan Tape'!$Q213),INDEX(Idx_Curve,1,5)+'Loan Tape'!$M213)),IF('Loan Tape'!$L213="",0,'Loan Tape'!$L213)))</f>
        <v>0</v>
      </c>
      <c r="H520" s="56" t="n">
        <f aca="false">IF('Loan Tape'!$AN213=0,0,IF('Loan Tape'!$K213="Floating",MIN(IF('Loan Tape'!$P213="",10,'Loan Tape'!$P213),MAX(IF('Loan Tape'!$Q213="",0,'Loan Tape'!$Q213),INDEX(Idx_Curve,1,6)+'Loan Tape'!$M213)),IF('Loan Tape'!$L213="",0,'Loan Tape'!$L213)))</f>
        <v>0</v>
      </c>
      <c r="I520" s="56" t="n">
        <f aca="false">IF('Loan Tape'!$AN213=0,0,IF('Loan Tape'!$K213="Floating",MIN(IF('Loan Tape'!$P213="",10,'Loan Tape'!$P213),MAX(IF('Loan Tape'!$Q213="",0,'Loan Tape'!$Q213),INDEX(Idx_Curve,1,7)+'Loan Tape'!$M213)),IF('Loan Tape'!$L213="",0,'Loan Tape'!$L213)))</f>
        <v>0</v>
      </c>
      <c r="J520" s="56" t="n">
        <f aca="false">IF('Loan Tape'!$AN213=0,0,IF('Loan Tape'!$K213="Floating",MIN(IF('Loan Tape'!$P213="",10,'Loan Tape'!$P213),MAX(IF('Loan Tape'!$Q213="",0,'Loan Tape'!$Q213),INDEX(Idx_Curve,1,8)+'Loan Tape'!$M213)),IF('Loan Tape'!$L213="",0,'Loan Tape'!$L213)))</f>
        <v>0</v>
      </c>
      <c r="K520" s="56" t="n">
        <f aca="false">IF('Loan Tape'!$AN213=0,0,IF('Loan Tape'!$K213="Floating",MIN(IF('Loan Tape'!$P213="",10,'Loan Tape'!$P213),MAX(IF('Loan Tape'!$Q213="",0,'Loan Tape'!$Q213),INDEX(Idx_Curve,1,9)+'Loan Tape'!$M213)),IF('Loan Tape'!$L213="",0,'Loan Tape'!$L213)))</f>
        <v>0</v>
      </c>
      <c r="L520" s="56" t="n">
        <f aca="false">IF('Loan Tape'!$AN213=0,0,IF('Loan Tape'!$K213="Floating",MIN(IF('Loan Tape'!$P213="",10,'Loan Tape'!$P213),MAX(IF('Loan Tape'!$Q213="",0,'Loan Tape'!$Q213),INDEX(Idx_Curve,1,10)+'Loan Tape'!$M213)),IF('Loan Tape'!$L213="",0,'Loan Tape'!$L213)))</f>
        <v>0</v>
      </c>
    </row>
    <row r="521" customFormat="false" ht="15" hidden="false" customHeight="false" outlineLevel="0" collapsed="false">
      <c r="B521" s="102" t="n">
        <f aca="false">'Loan Tape'!$A214</f>
        <v>0</v>
      </c>
      <c r="C521" s="104" t="n">
        <f aca="false">IF('Loan Tape'!$AN214=0,0,IF('Loan Tape'!$K214="Floating",MIN(IF('Loan Tape'!$P214="",10,'Loan Tape'!$P214),MAX(IF('Loan Tape'!$Q214="",0,'Loan Tape'!$Q214),INDEX(Idx_Curve,1,1)+'Loan Tape'!$M214)),IF('Loan Tape'!$L214="",0,'Loan Tape'!$L214)))</f>
        <v>0</v>
      </c>
      <c r="D521" s="104" t="n">
        <f aca="false">IF('Loan Tape'!$AN214=0,0,IF('Loan Tape'!$K214="Floating",MIN(IF('Loan Tape'!$P214="",10,'Loan Tape'!$P214),MAX(IF('Loan Tape'!$Q214="",0,'Loan Tape'!$Q214),INDEX(Idx_Curve,1,2)+'Loan Tape'!$M214)),IF('Loan Tape'!$L214="",0,'Loan Tape'!$L214)))</f>
        <v>0</v>
      </c>
      <c r="E521" s="104" t="n">
        <f aca="false">IF('Loan Tape'!$AN214=0,0,IF('Loan Tape'!$K214="Floating",MIN(IF('Loan Tape'!$P214="",10,'Loan Tape'!$P214),MAX(IF('Loan Tape'!$Q214="",0,'Loan Tape'!$Q214),INDEX(Idx_Curve,1,3)+'Loan Tape'!$M214)),IF('Loan Tape'!$L214="",0,'Loan Tape'!$L214)))</f>
        <v>0</v>
      </c>
      <c r="F521" s="104" t="n">
        <f aca="false">IF('Loan Tape'!$AN214=0,0,IF('Loan Tape'!$K214="Floating",MIN(IF('Loan Tape'!$P214="",10,'Loan Tape'!$P214),MAX(IF('Loan Tape'!$Q214="",0,'Loan Tape'!$Q214),INDEX(Idx_Curve,1,4)+'Loan Tape'!$M214)),IF('Loan Tape'!$L214="",0,'Loan Tape'!$L214)))</f>
        <v>0</v>
      </c>
      <c r="G521" s="104" t="n">
        <f aca="false">IF('Loan Tape'!$AN214=0,0,IF('Loan Tape'!$K214="Floating",MIN(IF('Loan Tape'!$P214="",10,'Loan Tape'!$P214),MAX(IF('Loan Tape'!$Q214="",0,'Loan Tape'!$Q214),INDEX(Idx_Curve,1,5)+'Loan Tape'!$M214)),IF('Loan Tape'!$L214="",0,'Loan Tape'!$L214)))</f>
        <v>0</v>
      </c>
      <c r="H521" s="104" t="n">
        <f aca="false">IF('Loan Tape'!$AN214=0,0,IF('Loan Tape'!$K214="Floating",MIN(IF('Loan Tape'!$P214="",10,'Loan Tape'!$P214),MAX(IF('Loan Tape'!$Q214="",0,'Loan Tape'!$Q214),INDEX(Idx_Curve,1,6)+'Loan Tape'!$M214)),IF('Loan Tape'!$L214="",0,'Loan Tape'!$L214)))</f>
        <v>0</v>
      </c>
      <c r="I521" s="104" t="n">
        <f aca="false">IF('Loan Tape'!$AN214=0,0,IF('Loan Tape'!$K214="Floating",MIN(IF('Loan Tape'!$P214="",10,'Loan Tape'!$P214),MAX(IF('Loan Tape'!$Q214="",0,'Loan Tape'!$Q214),INDEX(Idx_Curve,1,7)+'Loan Tape'!$M214)),IF('Loan Tape'!$L214="",0,'Loan Tape'!$L214)))</f>
        <v>0</v>
      </c>
      <c r="J521" s="104" t="n">
        <f aca="false">IF('Loan Tape'!$AN214=0,0,IF('Loan Tape'!$K214="Floating",MIN(IF('Loan Tape'!$P214="",10,'Loan Tape'!$P214),MAX(IF('Loan Tape'!$Q214="",0,'Loan Tape'!$Q214),INDEX(Idx_Curve,1,8)+'Loan Tape'!$M214)),IF('Loan Tape'!$L214="",0,'Loan Tape'!$L214)))</f>
        <v>0</v>
      </c>
      <c r="K521" s="104" t="n">
        <f aca="false">IF('Loan Tape'!$AN214=0,0,IF('Loan Tape'!$K214="Floating",MIN(IF('Loan Tape'!$P214="",10,'Loan Tape'!$P214),MAX(IF('Loan Tape'!$Q214="",0,'Loan Tape'!$Q214),INDEX(Idx_Curve,1,9)+'Loan Tape'!$M214)),IF('Loan Tape'!$L214="",0,'Loan Tape'!$L214)))</f>
        <v>0</v>
      </c>
      <c r="L521" s="104" t="n">
        <f aca="false">IF('Loan Tape'!$AN214=0,0,IF('Loan Tape'!$K214="Floating",MIN(IF('Loan Tape'!$P214="",10,'Loan Tape'!$P214),MAX(IF('Loan Tape'!$Q214="",0,'Loan Tape'!$Q214),INDEX(Idx_Curve,1,10)+'Loan Tape'!$M214)),IF('Loan Tape'!$L214="",0,'Loan Tape'!$L214)))</f>
        <v>0</v>
      </c>
    </row>
    <row r="522" customFormat="false" ht="15" hidden="false" customHeight="false" outlineLevel="0" collapsed="false">
      <c r="B522" s="108" t="n">
        <f aca="false">'Loan Tape'!$A215</f>
        <v>0</v>
      </c>
      <c r="C522" s="56" t="n">
        <f aca="false">IF('Loan Tape'!$AN215=0,0,IF('Loan Tape'!$K215="Floating",MIN(IF('Loan Tape'!$P215="",10,'Loan Tape'!$P215),MAX(IF('Loan Tape'!$Q215="",0,'Loan Tape'!$Q215),INDEX(Idx_Curve,1,1)+'Loan Tape'!$M215)),IF('Loan Tape'!$L215="",0,'Loan Tape'!$L215)))</f>
        <v>0</v>
      </c>
      <c r="D522" s="56" t="n">
        <f aca="false">IF('Loan Tape'!$AN215=0,0,IF('Loan Tape'!$K215="Floating",MIN(IF('Loan Tape'!$P215="",10,'Loan Tape'!$P215),MAX(IF('Loan Tape'!$Q215="",0,'Loan Tape'!$Q215),INDEX(Idx_Curve,1,2)+'Loan Tape'!$M215)),IF('Loan Tape'!$L215="",0,'Loan Tape'!$L215)))</f>
        <v>0</v>
      </c>
      <c r="E522" s="56" t="n">
        <f aca="false">IF('Loan Tape'!$AN215=0,0,IF('Loan Tape'!$K215="Floating",MIN(IF('Loan Tape'!$P215="",10,'Loan Tape'!$P215),MAX(IF('Loan Tape'!$Q215="",0,'Loan Tape'!$Q215),INDEX(Idx_Curve,1,3)+'Loan Tape'!$M215)),IF('Loan Tape'!$L215="",0,'Loan Tape'!$L215)))</f>
        <v>0</v>
      </c>
      <c r="F522" s="56" t="n">
        <f aca="false">IF('Loan Tape'!$AN215=0,0,IF('Loan Tape'!$K215="Floating",MIN(IF('Loan Tape'!$P215="",10,'Loan Tape'!$P215),MAX(IF('Loan Tape'!$Q215="",0,'Loan Tape'!$Q215),INDEX(Idx_Curve,1,4)+'Loan Tape'!$M215)),IF('Loan Tape'!$L215="",0,'Loan Tape'!$L215)))</f>
        <v>0</v>
      </c>
      <c r="G522" s="56" t="n">
        <f aca="false">IF('Loan Tape'!$AN215=0,0,IF('Loan Tape'!$K215="Floating",MIN(IF('Loan Tape'!$P215="",10,'Loan Tape'!$P215),MAX(IF('Loan Tape'!$Q215="",0,'Loan Tape'!$Q215),INDEX(Idx_Curve,1,5)+'Loan Tape'!$M215)),IF('Loan Tape'!$L215="",0,'Loan Tape'!$L215)))</f>
        <v>0</v>
      </c>
      <c r="H522" s="56" t="n">
        <f aca="false">IF('Loan Tape'!$AN215=0,0,IF('Loan Tape'!$K215="Floating",MIN(IF('Loan Tape'!$P215="",10,'Loan Tape'!$P215),MAX(IF('Loan Tape'!$Q215="",0,'Loan Tape'!$Q215),INDEX(Idx_Curve,1,6)+'Loan Tape'!$M215)),IF('Loan Tape'!$L215="",0,'Loan Tape'!$L215)))</f>
        <v>0</v>
      </c>
      <c r="I522" s="56" t="n">
        <f aca="false">IF('Loan Tape'!$AN215=0,0,IF('Loan Tape'!$K215="Floating",MIN(IF('Loan Tape'!$P215="",10,'Loan Tape'!$P215),MAX(IF('Loan Tape'!$Q215="",0,'Loan Tape'!$Q215),INDEX(Idx_Curve,1,7)+'Loan Tape'!$M215)),IF('Loan Tape'!$L215="",0,'Loan Tape'!$L215)))</f>
        <v>0</v>
      </c>
      <c r="J522" s="56" t="n">
        <f aca="false">IF('Loan Tape'!$AN215=0,0,IF('Loan Tape'!$K215="Floating",MIN(IF('Loan Tape'!$P215="",10,'Loan Tape'!$P215),MAX(IF('Loan Tape'!$Q215="",0,'Loan Tape'!$Q215),INDEX(Idx_Curve,1,8)+'Loan Tape'!$M215)),IF('Loan Tape'!$L215="",0,'Loan Tape'!$L215)))</f>
        <v>0</v>
      </c>
      <c r="K522" s="56" t="n">
        <f aca="false">IF('Loan Tape'!$AN215=0,0,IF('Loan Tape'!$K215="Floating",MIN(IF('Loan Tape'!$P215="",10,'Loan Tape'!$P215),MAX(IF('Loan Tape'!$Q215="",0,'Loan Tape'!$Q215),INDEX(Idx_Curve,1,9)+'Loan Tape'!$M215)),IF('Loan Tape'!$L215="",0,'Loan Tape'!$L215)))</f>
        <v>0</v>
      </c>
      <c r="L522" s="56" t="n">
        <f aca="false">IF('Loan Tape'!$AN215=0,0,IF('Loan Tape'!$K215="Floating",MIN(IF('Loan Tape'!$P215="",10,'Loan Tape'!$P215),MAX(IF('Loan Tape'!$Q215="",0,'Loan Tape'!$Q215),INDEX(Idx_Curve,1,10)+'Loan Tape'!$M215)),IF('Loan Tape'!$L215="",0,'Loan Tape'!$L215)))</f>
        <v>0</v>
      </c>
    </row>
    <row r="523" customFormat="false" ht="15" hidden="false" customHeight="false" outlineLevel="0" collapsed="false">
      <c r="B523" s="102" t="n">
        <f aca="false">'Loan Tape'!$A216</f>
        <v>0</v>
      </c>
      <c r="C523" s="104" t="n">
        <f aca="false">IF('Loan Tape'!$AN216=0,0,IF('Loan Tape'!$K216="Floating",MIN(IF('Loan Tape'!$P216="",10,'Loan Tape'!$P216),MAX(IF('Loan Tape'!$Q216="",0,'Loan Tape'!$Q216),INDEX(Idx_Curve,1,1)+'Loan Tape'!$M216)),IF('Loan Tape'!$L216="",0,'Loan Tape'!$L216)))</f>
        <v>0</v>
      </c>
      <c r="D523" s="104" t="n">
        <f aca="false">IF('Loan Tape'!$AN216=0,0,IF('Loan Tape'!$K216="Floating",MIN(IF('Loan Tape'!$P216="",10,'Loan Tape'!$P216),MAX(IF('Loan Tape'!$Q216="",0,'Loan Tape'!$Q216),INDEX(Idx_Curve,1,2)+'Loan Tape'!$M216)),IF('Loan Tape'!$L216="",0,'Loan Tape'!$L216)))</f>
        <v>0</v>
      </c>
      <c r="E523" s="104" t="n">
        <f aca="false">IF('Loan Tape'!$AN216=0,0,IF('Loan Tape'!$K216="Floating",MIN(IF('Loan Tape'!$P216="",10,'Loan Tape'!$P216),MAX(IF('Loan Tape'!$Q216="",0,'Loan Tape'!$Q216),INDEX(Idx_Curve,1,3)+'Loan Tape'!$M216)),IF('Loan Tape'!$L216="",0,'Loan Tape'!$L216)))</f>
        <v>0</v>
      </c>
      <c r="F523" s="104" t="n">
        <f aca="false">IF('Loan Tape'!$AN216=0,0,IF('Loan Tape'!$K216="Floating",MIN(IF('Loan Tape'!$P216="",10,'Loan Tape'!$P216),MAX(IF('Loan Tape'!$Q216="",0,'Loan Tape'!$Q216),INDEX(Idx_Curve,1,4)+'Loan Tape'!$M216)),IF('Loan Tape'!$L216="",0,'Loan Tape'!$L216)))</f>
        <v>0</v>
      </c>
      <c r="G523" s="104" t="n">
        <f aca="false">IF('Loan Tape'!$AN216=0,0,IF('Loan Tape'!$K216="Floating",MIN(IF('Loan Tape'!$P216="",10,'Loan Tape'!$P216),MAX(IF('Loan Tape'!$Q216="",0,'Loan Tape'!$Q216),INDEX(Idx_Curve,1,5)+'Loan Tape'!$M216)),IF('Loan Tape'!$L216="",0,'Loan Tape'!$L216)))</f>
        <v>0</v>
      </c>
      <c r="H523" s="104" t="n">
        <f aca="false">IF('Loan Tape'!$AN216=0,0,IF('Loan Tape'!$K216="Floating",MIN(IF('Loan Tape'!$P216="",10,'Loan Tape'!$P216),MAX(IF('Loan Tape'!$Q216="",0,'Loan Tape'!$Q216),INDEX(Idx_Curve,1,6)+'Loan Tape'!$M216)),IF('Loan Tape'!$L216="",0,'Loan Tape'!$L216)))</f>
        <v>0</v>
      </c>
      <c r="I523" s="104" t="n">
        <f aca="false">IF('Loan Tape'!$AN216=0,0,IF('Loan Tape'!$K216="Floating",MIN(IF('Loan Tape'!$P216="",10,'Loan Tape'!$P216),MAX(IF('Loan Tape'!$Q216="",0,'Loan Tape'!$Q216),INDEX(Idx_Curve,1,7)+'Loan Tape'!$M216)),IF('Loan Tape'!$L216="",0,'Loan Tape'!$L216)))</f>
        <v>0</v>
      </c>
      <c r="J523" s="104" t="n">
        <f aca="false">IF('Loan Tape'!$AN216=0,0,IF('Loan Tape'!$K216="Floating",MIN(IF('Loan Tape'!$P216="",10,'Loan Tape'!$P216),MAX(IF('Loan Tape'!$Q216="",0,'Loan Tape'!$Q216),INDEX(Idx_Curve,1,8)+'Loan Tape'!$M216)),IF('Loan Tape'!$L216="",0,'Loan Tape'!$L216)))</f>
        <v>0</v>
      </c>
      <c r="K523" s="104" t="n">
        <f aca="false">IF('Loan Tape'!$AN216=0,0,IF('Loan Tape'!$K216="Floating",MIN(IF('Loan Tape'!$P216="",10,'Loan Tape'!$P216),MAX(IF('Loan Tape'!$Q216="",0,'Loan Tape'!$Q216),INDEX(Idx_Curve,1,9)+'Loan Tape'!$M216)),IF('Loan Tape'!$L216="",0,'Loan Tape'!$L216)))</f>
        <v>0</v>
      </c>
      <c r="L523" s="104" t="n">
        <f aca="false">IF('Loan Tape'!$AN216=0,0,IF('Loan Tape'!$K216="Floating",MIN(IF('Loan Tape'!$P216="",10,'Loan Tape'!$P216),MAX(IF('Loan Tape'!$Q216="",0,'Loan Tape'!$Q216),INDEX(Idx_Curve,1,10)+'Loan Tape'!$M216)),IF('Loan Tape'!$L216="",0,'Loan Tape'!$L216)))</f>
        <v>0</v>
      </c>
    </row>
    <row r="524" customFormat="false" ht="15" hidden="false" customHeight="false" outlineLevel="0" collapsed="false">
      <c r="B524" s="108" t="n">
        <f aca="false">'Loan Tape'!$A217</f>
        <v>0</v>
      </c>
      <c r="C524" s="56" t="n">
        <f aca="false">IF('Loan Tape'!$AN217=0,0,IF('Loan Tape'!$K217="Floating",MIN(IF('Loan Tape'!$P217="",10,'Loan Tape'!$P217),MAX(IF('Loan Tape'!$Q217="",0,'Loan Tape'!$Q217),INDEX(Idx_Curve,1,1)+'Loan Tape'!$M217)),IF('Loan Tape'!$L217="",0,'Loan Tape'!$L217)))</f>
        <v>0</v>
      </c>
      <c r="D524" s="56" t="n">
        <f aca="false">IF('Loan Tape'!$AN217=0,0,IF('Loan Tape'!$K217="Floating",MIN(IF('Loan Tape'!$P217="",10,'Loan Tape'!$P217),MAX(IF('Loan Tape'!$Q217="",0,'Loan Tape'!$Q217),INDEX(Idx_Curve,1,2)+'Loan Tape'!$M217)),IF('Loan Tape'!$L217="",0,'Loan Tape'!$L217)))</f>
        <v>0</v>
      </c>
      <c r="E524" s="56" t="n">
        <f aca="false">IF('Loan Tape'!$AN217=0,0,IF('Loan Tape'!$K217="Floating",MIN(IF('Loan Tape'!$P217="",10,'Loan Tape'!$P217),MAX(IF('Loan Tape'!$Q217="",0,'Loan Tape'!$Q217),INDEX(Idx_Curve,1,3)+'Loan Tape'!$M217)),IF('Loan Tape'!$L217="",0,'Loan Tape'!$L217)))</f>
        <v>0</v>
      </c>
      <c r="F524" s="56" t="n">
        <f aca="false">IF('Loan Tape'!$AN217=0,0,IF('Loan Tape'!$K217="Floating",MIN(IF('Loan Tape'!$P217="",10,'Loan Tape'!$P217),MAX(IF('Loan Tape'!$Q217="",0,'Loan Tape'!$Q217),INDEX(Idx_Curve,1,4)+'Loan Tape'!$M217)),IF('Loan Tape'!$L217="",0,'Loan Tape'!$L217)))</f>
        <v>0</v>
      </c>
      <c r="G524" s="56" t="n">
        <f aca="false">IF('Loan Tape'!$AN217=0,0,IF('Loan Tape'!$K217="Floating",MIN(IF('Loan Tape'!$P217="",10,'Loan Tape'!$P217),MAX(IF('Loan Tape'!$Q217="",0,'Loan Tape'!$Q217),INDEX(Idx_Curve,1,5)+'Loan Tape'!$M217)),IF('Loan Tape'!$L217="",0,'Loan Tape'!$L217)))</f>
        <v>0</v>
      </c>
      <c r="H524" s="56" t="n">
        <f aca="false">IF('Loan Tape'!$AN217=0,0,IF('Loan Tape'!$K217="Floating",MIN(IF('Loan Tape'!$P217="",10,'Loan Tape'!$P217),MAX(IF('Loan Tape'!$Q217="",0,'Loan Tape'!$Q217),INDEX(Idx_Curve,1,6)+'Loan Tape'!$M217)),IF('Loan Tape'!$L217="",0,'Loan Tape'!$L217)))</f>
        <v>0</v>
      </c>
      <c r="I524" s="56" t="n">
        <f aca="false">IF('Loan Tape'!$AN217=0,0,IF('Loan Tape'!$K217="Floating",MIN(IF('Loan Tape'!$P217="",10,'Loan Tape'!$P217),MAX(IF('Loan Tape'!$Q217="",0,'Loan Tape'!$Q217),INDEX(Idx_Curve,1,7)+'Loan Tape'!$M217)),IF('Loan Tape'!$L217="",0,'Loan Tape'!$L217)))</f>
        <v>0</v>
      </c>
      <c r="J524" s="56" t="n">
        <f aca="false">IF('Loan Tape'!$AN217=0,0,IF('Loan Tape'!$K217="Floating",MIN(IF('Loan Tape'!$P217="",10,'Loan Tape'!$P217),MAX(IF('Loan Tape'!$Q217="",0,'Loan Tape'!$Q217),INDEX(Idx_Curve,1,8)+'Loan Tape'!$M217)),IF('Loan Tape'!$L217="",0,'Loan Tape'!$L217)))</f>
        <v>0</v>
      </c>
      <c r="K524" s="56" t="n">
        <f aca="false">IF('Loan Tape'!$AN217=0,0,IF('Loan Tape'!$K217="Floating",MIN(IF('Loan Tape'!$P217="",10,'Loan Tape'!$P217),MAX(IF('Loan Tape'!$Q217="",0,'Loan Tape'!$Q217),INDEX(Idx_Curve,1,9)+'Loan Tape'!$M217)),IF('Loan Tape'!$L217="",0,'Loan Tape'!$L217)))</f>
        <v>0</v>
      </c>
      <c r="L524" s="56" t="n">
        <f aca="false">IF('Loan Tape'!$AN217=0,0,IF('Loan Tape'!$K217="Floating",MIN(IF('Loan Tape'!$P217="",10,'Loan Tape'!$P217),MAX(IF('Loan Tape'!$Q217="",0,'Loan Tape'!$Q217),INDEX(Idx_Curve,1,10)+'Loan Tape'!$M217)),IF('Loan Tape'!$L217="",0,'Loan Tape'!$L217)))</f>
        <v>0</v>
      </c>
    </row>
    <row r="525" customFormat="false" ht="15" hidden="false" customHeight="false" outlineLevel="0" collapsed="false">
      <c r="B525" s="102" t="n">
        <f aca="false">'Loan Tape'!$A218</f>
        <v>0</v>
      </c>
      <c r="C525" s="104" t="n">
        <f aca="false">IF('Loan Tape'!$AN218=0,0,IF('Loan Tape'!$K218="Floating",MIN(IF('Loan Tape'!$P218="",10,'Loan Tape'!$P218),MAX(IF('Loan Tape'!$Q218="",0,'Loan Tape'!$Q218),INDEX(Idx_Curve,1,1)+'Loan Tape'!$M218)),IF('Loan Tape'!$L218="",0,'Loan Tape'!$L218)))</f>
        <v>0</v>
      </c>
      <c r="D525" s="104" t="n">
        <f aca="false">IF('Loan Tape'!$AN218=0,0,IF('Loan Tape'!$K218="Floating",MIN(IF('Loan Tape'!$P218="",10,'Loan Tape'!$P218),MAX(IF('Loan Tape'!$Q218="",0,'Loan Tape'!$Q218),INDEX(Idx_Curve,1,2)+'Loan Tape'!$M218)),IF('Loan Tape'!$L218="",0,'Loan Tape'!$L218)))</f>
        <v>0</v>
      </c>
      <c r="E525" s="104" t="n">
        <f aca="false">IF('Loan Tape'!$AN218=0,0,IF('Loan Tape'!$K218="Floating",MIN(IF('Loan Tape'!$P218="",10,'Loan Tape'!$P218),MAX(IF('Loan Tape'!$Q218="",0,'Loan Tape'!$Q218),INDEX(Idx_Curve,1,3)+'Loan Tape'!$M218)),IF('Loan Tape'!$L218="",0,'Loan Tape'!$L218)))</f>
        <v>0</v>
      </c>
      <c r="F525" s="104" t="n">
        <f aca="false">IF('Loan Tape'!$AN218=0,0,IF('Loan Tape'!$K218="Floating",MIN(IF('Loan Tape'!$P218="",10,'Loan Tape'!$P218),MAX(IF('Loan Tape'!$Q218="",0,'Loan Tape'!$Q218),INDEX(Idx_Curve,1,4)+'Loan Tape'!$M218)),IF('Loan Tape'!$L218="",0,'Loan Tape'!$L218)))</f>
        <v>0</v>
      </c>
      <c r="G525" s="104" t="n">
        <f aca="false">IF('Loan Tape'!$AN218=0,0,IF('Loan Tape'!$K218="Floating",MIN(IF('Loan Tape'!$P218="",10,'Loan Tape'!$P218),MAX(IF('Loan Tape'!$Q218="",0,'Loan Tape'!$Q218),INDEX(Idx_Curve,1,5)+'Loan Tape'!$M218)),IF('Loan Tape'!$L218="",0,'Loan Tape'!$L218)))</f>
        <v>0</v>
      </c>
      <c r="H525" s="104" t="n">
        <f aca="false">IF('Loan Tape'!$AN218=0,0,IF('Loan Tape'!$K218="Floating",MIN(IF('Loan Tape'!$P218="",10,'Loan Tape'!$P218),MAX(IF('Loan Tape'!$Q218="",0,'Loan Tape'!$Q218),INDEX(Idx_Curve,1,6)+'Loan Tape'!$M218)),IF('Loan Tape'!$L218="",0,'Loan Tape'!$L218)))</f>
        <v>0</v>
      </c>
      <c r="I525" s="104" t="n">
        <f aca="false">IF('Loan Tape'!$AN218=0,0,IF('Loan Tape'!$K218="Floating",MIN(IF('Loan Tape'!$P218="",10,'Loan Tape'!$P218),MAX(IF('Loan Tape'!$Q218="",0,'Loan Tape'!$Q218),INDEX(Idx_Curve,1,7)+'Loan Tape'!$M218)),IF('Loan Tape'!$L218="",0,'Loan Tape'!$L218)))</f>
        <v>0</v>
      </c>
      <c r="J525" s="104" t="n">
        <f aca="false">IF('Loan Tape'!$AN218=0,0,IF('Loan Tape'!$K218="Floating",MIN(IF('Loan Tape'!$P218="",10,'Loan Tape'!$P218),MAX(IF('Loan Tape'!$Q218="",0,'Loan Tape'!$Q218),INDEX(Idx_Curve,1,8)+'Loan Tape'!$M218)),IF('Loan Tape'!$L218="",0,'Loan Tape'!$L218)))</f>
        <v>0</v>
      </c>
      <c r="K525" s="104" t="n">
        <f aca="false">IF('Loan Tape'!$AN218=0,0,IF('Loan Tape'!$K218="Floating",MIN(IF('Loan Tape'!$P218="",10,'Loan Tape'!$P218),MAX(IF('Loan Tape'!$Q218="",0,'Loan Tape'!$Q218),INDEX(Idx_Curve,1,9)+'Loan Tape'!$M218)),IF('Loan Tape'!$L218="",0,'Loan Tape'!$L218)))</f>
        <v>0</v>
      </c>
      <c r="L525" s="104" t="n">
        <f aca="false">IF('Loan Tape'!$AN218=0,0,IF('Loan Tape'!$K218="Floating",MIN(IF('Loan Tape'!$P218="",10,'Loan Tape'!$P218),MAX(IF('Loan Tape'!$Q218="",0,'Loan Tape'!$Q218),INDEX(Idx_Curve,1,10)+'Loan Tape'!$M218)),IF('Loan Tape'!$L218="",0,'Loan Tape'!$L218)))</f>
        <v>0</v>
      </c>
    </row>
    <row r="526" customFormat="false" ht="15" hidden="false" customHeight="false" outlineLevel="0" collapsed="false">
      <c r="B526" s="108" t="n">
        <f aca="false">'Loan Tape'!$A219</f>
        <v>0</v>
      </c>
      <c r="C526" s="56" t="n">
        <f aca="false">IF('Loan Tape'!$AN219=0,0,IF('Loan Tape'!$K219="Floating",MIN(IF('Loan Tape'!$P219="",10,'Loan Tape'!$P219),MAX(IF('Loan Tape'!$Q219="",0,'Loan Tape'!$Q219),INDEX(Idx_Curve,1,1)+'Loan Tape'!$M219)),IF('Loan Tape'!$L219="",0,'Loan Tape'!$L219)))</f>
        <v>0</v>
      </c>
      <c r="D526" s="56" t="n">
        <f aca="false">IF('Loan Tape'!$AN219=0,0,IF('Loan Tape'!$K219="Floating",MIN(IF('Loan Tape'!$P219="",10,'Loan Tape'!$P219),MAX(IF('Loan Tape'!$Q219="",0,'Loan Tape'!$Q219),INDEX(Idx_Curve,1,2)+'Loan Tape'!$M219)),IF('Loan Tape'!$L219="",0,'Loan Tape'!$L219)))</f>
        <v>0</v>
      </c>
      <c r="E526" s="56" t="n">
        <f aca="false">IF('Loan Tape'!$AN219=0,0,IF('Loan Tape'!$K219="Floating",MIN(IF('Loan Tape'!$P219="",10,'Loan Tape'!$P219),MAX(IF('Loan Tape'!$Q219="",0,'Loan Tape'!$Q219),INDEX(Idx_Curve,1,3)+'Loan Tape'!$M219)),IF('Loan Tape'!$L219="",0,'Loan Tape'!$L219)))</f>
        <v>0</v>
      </c>
      <c r="F526" s="56" t="n">
        <f aca="false">IF('Loan Tape'!$AN219=0,0,IF('Loan Tape'!$K219="Floating",MIN(IF('Loan Tape'!$P219="",10,'Loan Tape'!$P219),MAX(IF('Loan Tape'!$Q219="",0,'Loan Tape'!$Q219),INDEX(Idx_Curve,1,4)+'Loan Tape'!$M219)),IF('Loan Tape'!$L219="",0,'Loan Tape'!$L219)))</f>
        <v>0</v>
      </c>
      <c r="G526" s="56" t="n">
        <f aca="false">IF('Loan Tape'!$AN219=0,0,IF('Loan Tape'!$K219="Floating",MIN(IF('Loan Tape'!$P219="",10,'Loan Tape'!$P219),MAX(IF('Loan Tape'!$Q219="",0,'Loan Tape'!$Q219),INDEX(Idx_Curve,1,5)+'Loan Tape'!$M219)),IF('Loan Tape'!$L219="",0,'Loan Tape'!$L219)))</f>
        <v>0</v>
      </c>
      <c r="H526" s="56" t="n">
        <f aca="false">IF('Loan Tape'!$AN219=0,0,IF('Loan Tape'!$K219="Floating",MIN(IF('Loan Tape'!$P219="",10,'Loan Tape'!$P219),MAX(IF('Loan Tape'!$Q219="",0,'Loan Tape'!$Q219),INDEX(Idx_Curve,1,6)+'Loan Tape'!$M219)),IF('Loan Tape'!$L219="",0,'Loan Tape'!$L219)))</f>
        <v>0</v>
      </c>
      <c r="I526" s="56" t="n">
        <f aca="false">IF('Loan Tape'!$AN219=0,0,IF('Loan Tape'!$K219="Floating",MIN(IF('Loan Tape'!$P219="",10,'Loan Tape'!$P219),MAX(IF('Loan Tape'!$Q219="",0,'Loan Tape'!$Q219),INDEX(Idx_Curve,1,7)+'Loan Tape'!$M219)),IF('Loan Tape'!$L219="",0,'Loan Tape'!$L219)))</f>
        <v>0</v>
      </c>
      <c r="J526" s="56" t="n">
        <f aca="false">IF('Loan Tape'!$AN219=0,0,IF('Loan Tape'!$K219="Floating",MIN(IF('Loan Tape'!$P219="",10,'Loan Tape'!$P219),MAX(IF('Loan Tape'!$Q219="",0,'Loan Tape'!$Q219),INDEX(Idx_Curve,1,8)+'Loan Tape'!$M219)),IF('Loan Tape'!$L219="",0,'Loan Tape'!$L219)))</f>
        <v>0</v>
      </c>
      <c r="K526" s="56" t="n">
        <f aca="false">IF('Loan Tape'!$AN219=0,0,IF('Loan Tape'!$K219="Floating",MIN(IF('Loan Tape'!$P219="",10,'Loan Tape'!$P219),MAX(IF('Loan Tape'!$Q219="",0,'Loan Tape'!$Q219),INDEX(Idx_Curve,1,9)+'Loan Tape'!$M219)),IF('Loan Tape'!$L219="",0,'Loan Tape'!$L219)))</f>
        <v>0</v>
      </c>
      <c r="L526" s="56" t="n">
        <f aca="false">IF('Loan Tape'!$AN219=0,0,IF('Loan Tape'!$K219="Floating",MIN(IF('Loan Tape'!$P219="",10,'Loan Tape'!$P219),MAX(IF('Loan Tape'!$Q219="",0,'Loan Tape'!$Q219),INDEX(Idx_Curve,1,10)+'Loan Tape'!$M219)),IF('Loan Tape'!$L219="",0,'Loan Tape'!$L219)))</f>
        <v>0</v>
      </c>
    </row>
    <row r="527" customFormat="false" ht="15" hidden="false" customHeight="false" outlineLevel="0" collapsed="false">
      <c r="B527" s="102" t="n">
        <f aca="false">'Loan Tape'!$A220</f>
        <v>0</v>
      </c>
      <c r="C527" s="104" t="n">
        <f aca="false">IF('Loan Tape'!$AN220=0,0,IF('Loan Tape'!$K220="Floating",MIN(IF('Loan Tape'!$P220="",10,'Loan Tape'!$P220),MAX(IF('Loan Tape'!$Q220="",0,'Loan Tape'!$Q220),INDEX(Idx_Curve,1,1)+'Loan Tape'!$M220)),IF('Loan Tape'!$L220="",0,'Loan Tape'!$L220)))</f>
        <v>0</v>
      </c>
      <c r="D527" s="104" t="n">
        <f aca="false">IF('Loan Tape'!$AN220=0,0,IF('Loan Tape'!$K220="Floating",MIN(IF('Loan Tape'!$P220="",10,'Loan Tape'!$P220),MAX(IF('Loan Tape'!$Q220="",0,'Loan Tape'!$Q220),INDEX(Idx_Curve,1,2)+'Loan Tape'!$M220)),IF('Loan Tape'!$L220="",0,'Loan Tape'!$L220)))</f>
        <v>0</v>
      </c>
      <c r="E527" s="104" t="n">
        <f aca="false">IF('Loan Tape'!$AN220=0,0,IF('Loan Tape'!$K220="Floating",MIN(IF('Loan Tape'!$P220="",10,'Loan Tape'!$P220),MAX(IF('Loan Tape'!$Q220="",0,'Loan Tape'!$Q220),INDEX(Idx_Curve,1,3)+'Loan Tape'!$M220)),IF('Loan Tape'!$L220="",0,'Loan Tape'!$L220)))</f>
        <v>0</v>
      </c>
      <c r="F527" s="104" t="n">
        <f aca="false">IF('Loan Tape'!$AN220=0,0,IF('Loan Tape'!$K220="Floating",MIN(IF('Loan Tape'!$P220="",10,'Loan Tape'!$P220),MAX(IF('Loan Tape'!$Q220="",0,'Loan Tape'!$Q220),INDEX(Idx_Curve,1,4)+'Loan Tape'!$M220)),IF('Loan Tape'!$L220="",0,'Loan Tape'!$L220)))</f>
        <v>0</v>
      </c>
      <c r="G527" s="104" t="n">
        <f aca="false">IF('Loan Tape'!$AN220=0,0,IF('Loan Tape'!$K220="Floating",MIN(IF('Loan Tape'!$P220="",10,'Loan Tape'!$P220),MAX(IF('Loan Tape'!$Q220="",0,'Loan Tape'!$Q220),INDEX(Idx_Curve,1,5)+'Loan Tape'!$M220)),IF('Loan Tape'!$L220="",0,'Loan Tape'!$L220)))</f>
        <v>0</v>
      </c>
      <c r="H527" s="104" t="n">
        <f aca="false">IF('Loan Tape'!$AN220=0,0,IF('Loan Tape'!$K220="Floating",MIN(IF('Loan Tape'!$P220="",10,'Loan Tape'!$P220),MAX(IF('Loan Tape'!$Q220="",0,'Loan Tape'!$Q220),INDEX(Idx_Curve,1,6)+'Loan Tape'!$M220)),IF('Loan Tape'!$L220="",0,'Loan Tape'!$L220)))</f>
        <v>0</v>
      </c>
      <c r="I527" s="104" t="n">
        <f aca="false">IF('Loan Tape'!$AN220=0,0,IF('Loan Tape'!$K220="Floating",MIN(IF('Loan Tape'!$P220="",10,'Loan Tape'!$P220),MAX(IF('Loan Tape'!$Q220="",0,'Loan Tape'!$Q220),INDEX(Idx_Curve,1,7)+'Loan Tape'!$M220)),IF('Loan Tape'!$L220="",0,'Loan Tape'!$L220)))</f>
        <v>0</v>
      </c>
      <c r="J527" s="104" t="n">
        <f aca="false">IF('Loan Tape'!$AN220=0,0,IF('Loan Tape'!$K220="Floating",MIN(IF('Loan Tape'!$P220="",10,'Loan Tape'!$P220),MAX(IF('Loan Tape'!$Q220="",0,'Loan Tape'!$Q220),INDEX(Idx_Curve,1,8)+'Loan Tape'!$M220)),IF('Loan Tape'!$L220="",0,'Loan Tape'!$L220)))</f>
        <v>0</v>
      </c>
      <c r="K527" s="104" t="n">
        <f aca="false">IF('Loan Tape'!$AN220=0,0,IF('Loan Tape'!$K220="Floating",MIN(IF('Loan Tape'!$P220="",10,'Loan Tape'!$P220),MAX(IF('Loan Tape'!$Q220="",0,'Loan Tape'!$Q220),INDEX(Idx_Curve,1,9)+'Loan Tape'!$M220)),IF('Loan Tape'!$L220="",0,'Loan Tape'!$L220)))</f>
        <v>0</v>
      </c>
      <c r="L527" s="104" t="n">
        <f aca="false">IF('Loan Tape'!$AN220=0,0,IF('Loan Tape'!$K220="Floating",MIN(IF('Loan Tape'!$P220="",10,'Loan Tape'!$P220),MAX(IF('Loan Tape'!$Q220="",0,'Loan Tape'!$Q220),INDEX(Idx_Curve,1,10)+'Loan Tape'!$M220)),IF('Loan Tape'!$L220="",0,'Loan Tape'!$L220)))</f>
        <v>0</v>
      </c>
    </row>
    <row r="528" customFormat="false" ht="15" hidden="false" customHeight="false" outlineLevel="0" collapsed="false">
      <c r="B528" s="108" t="n">
        <f aca="false">'Loan Tape'!$A221</f>
        <v>0</v>
      </c>
      <c r="C528" s="56" t="n">
        <f aca="false">IF('Loan Tape'!$AN221=0,0,IF('Loan Tape'!$K221="Floating",MIN(IF('Loan Tape'!$P221="",10,'Loan Tape'!$P221),MAX(IF('Loan Tape'!$Q221="",0,'Loan Tape'!$Q221),INDEX(Idx_Curve,1,1)+'Loan Tape'!$M221)),IF('Loan Tape'!$L221="",0,'Loan Tape'!$L221)))</f>
        <v>0</v>
      </c>
      <c r="D528" s="56" t="n">
        <f aca="false">IF('Loan Tape'!$AN221=0,0,IF('Loan Tape'!$K221="Floating",MIN(IF('Loan Tape'!$P221="",10,'Loan Tape'!$P221),MAX(IF('Loan Tape'!$Q221="",0,'Loan Tape'!$Q221),INDEX(Idx_Curve,1,2)+'Loan Tape'!$M221)),IF('Loan Tape'!$L221="",0,'Loan Tape'!$L221)))</f>
        <v>0</v>
      </c>
      <c r="E528" s="56" t="n">
        <f aca="false">IF('Loan Tape'!$AN221=0,0,IF('Loan Tape'!$K221="Floating",MIN(IF('Loan Tape'!$P221="",10,'Loan Tape'!$P221),MAX(IF('Loan Tape'!$Q221="",0,'Loan Tape'!$Q221),INDEX(Idx_Curve,1,3)+'Loan Tape'!$M221)),IF('Loan Tape'!$L221="",0,'Loan Tape'!$L221)))</f>
        <v>0</v>
      </c>
      <c r="F528" s="56" t="n">
        <f aca="false">IF('Loan Tape'!$AN221=0,0,IF('Loan Tape'!$K221="Floating",MIN(IF('Loan Tape'!$P221="",10,'Loan Tape'!$P221),MAX(IF('Loan Tape'!$Q221="",0,'Loan Tape'!$Q221),INDEX(Idx_Curve,1,4)+'Loan Tape'!$M221)),IF('Loan Tape'!$L221="",0,'Loan Tape'!$L221)))</f>
        <v>0</v>
      </c>
      <c r="G528" s="56" t="n">
        <f aca="false">IF('Loan Tape'!$AN221=0,0,IF('Loan Tape'!$K221="Floating",MIN(IF('Loan Tape'!$P221="",10,'Loan Tape'!$P221),MAX(IF('Loan Tape'!$Q221="",0,'Loan Tape'!$Q221),INDEX(Idx_Curve,1,5)+'Loan Tape'!$M221)),IF('Loan Tape'!$L221="",0,'Loan Tape'!$L221)))</f>
        <v>0</v>
      </c>
      <c r="H528" s="56" t="n">
        <f aca="false">IF('Loan Tape'!$AN221=0,0,IF('Loan Tape'!$K221="Floating",MIN(IF('Loan Tape'!$P221="",10,'Loan Tape'!$P221),MAX(IF('Loan Tape'!$Q221="",0,'Loan Tape'!$Q221),INDEX(Idx_Curve,1,6)+'Loan Tape'!$M221)),IF('Loan Tape'!$L221="",0,'Loan Tape'!$L221)))</f>
        <v>0</v>
      </c>
      <c r="I528" s="56" t="n">
        <f aca="false">IF('Loan Tape'!$AN221=0,0,IF('Loan Tape'!$K221="Floating",MIN(IF('Loan Tape'!$P221="",10,'Loan Tape'!$P221),MAX(IF('Loan Tape'!$Q221="",0,'Loan Tape'!$Q221),INDEX(Idx_Curve,1,7)+'Loan Tape'!$M221)),IF('Loan Tape'!$L221="",0,'Loan Tape'!$L221)))</f>
        <v>0</v>
      </c>
      <c r="J528" s="56" t="n">
        <f aca="false">IF('Loan Tape'!$AN221=0,0,IF('Loan Tape'!$K221="Floating",MIN(IF('Loan Tape'!$P221="",10,'Loan Tape'!$P221),MAX(IF('Loan Tape'!$Q221="",0,'Loan Tape'!$Q221),INDEX(Idx_Curve,1,8)+'Loan Tape'!$M221)),IF('Loan Tape'!$L221="",0,'Loan Tape'!$L221)))</f>
        <v>0</v>
      </c>
      <c r="K528" s="56" t="n">
        <f aca="false">IF('Loan Tape'!$AN221=0,0,IF('Loan Tape'!$K221="Floating",MIN(IF('Loan Tape'!$P221="",10,'Loan Tape'!$P221),MAX(IF('Loan Tape'!$Q221="",0,'Loan Tape'!$Q221),INDEX(Idx_Curve,1,9)+'Loan Tape'!$M221)),IF('Loan Tape'!$L221="",0,'Loan Tape'!$L221)))</f>
        <v>0</v>
      </c>
      <c r="L528" s="56" t="n">
        <f aca="false">IF('Loan Tape'!$AN221=0,0,IF('Loan Tape'!$K221="Floating",MIN(IF('Loan Tape'!$P221="",10,'Loan Tape'!$P221),MAX(IF('Loan Tape'!$Q221="",0,'Loan Tape'!$Q221),INDEX(Idx_Curve,1,10)+'Loan Tape'!$M221)),IF('Loan Tape'!$L221="",0,'Loan Tape'!$L221)))</f>
        <v>0</v>
      </c>
    </row>
    <row r="529" customFormat="false" ht="15" hidden="false" customHeight="false" outlineLevel="0" collapsed="false">
      <c r="B529" s="102" t="n">
        <f aca="false">'Loan Tape'!$A222</f>
        <v>0</v>
      </c>
      <c r="C529" s="104" t="n">
        <f aca="false">IF('Loan Tape'!$AN222=0,0,IF('Loan Tape'!$K222="Floating",MIN(IF('Loan Tape'!$P222="",10,'Loan Tape'!$P222),MAX(IF('Loan Tape'!$Q222="",0,'Loan Tape'!$Q222),INDEX(Idx_Curve,1,1)+'Loan Tape'!$M222)),IF('Loan Tape'!$L222="",0,'Loan Tape'!$L222)))</f>
        <v>0</v>
      </c>
      <c r="D529" s="104" t="n">
        <f aca="false">IF('Loan Tape'!$AN222=0,0,IF('Loan Tape'!$K222="Floating",MIN(IF('Loan Tape'!$P222="",10,'Loan Tape'!$P222),MAX(IF('Loan Tape'!$Q222="",0,'Loan Tape'!$Q222),INDEX(Idx_Curve,1,2)+'Loan Tape'!$M222)),IF('Loan Tape'!$L222="",0,'Loan Tape'!$L222)))</f>
        <v>0</v>
      </c>
      <c r="E529" s="104" t="n">
        <f aca="false">IF('Loan Tape'!$AN222=0,0,IF('Loan Tape'!$K222="Floating",MIN(IF('Loan Tape'!$P222="",10,'Loan Tape'!$P222),MAX(IF('Loan Tape'!$Q222="",0,'Loan Tape'!$Q222),INDEX(Idx_Curve,1,3)+'Loan Tape'!$M222)),IF('Loan Tape'!$L222="",0,'Loan Tape'!$L222)))</f>
        <v>0</v>
      </c>
      <c r="F529" s="104" t="n">
        <f aca="false">IF('Loan Tape'!$AN222=0,0,IF('Loan Tape'!$K222="Floating",MIN(IF('Loan Tape'!$P222="",10,'Loan Tape'!$P222),MAX(IF('Loan Tape'!$Q222="",0,'Loan Tape'!$Q222),INDEX(Idx_Curve,1,4)+'Loan Tape'!$M222)),IF('Loan Tape'!$L222="",0,'Loan Tape'!$L222)))</f>
        <v>0</v>
      </c>
      <c r="G529" s="104" t="n">
        <f aca="false">IF('Loan Tape'!$AN222=0,0,IF('Loan Tape'!$K222="Floating",MIN(IF('Loan Tape'!$P222="",10,'Loan Tape'!$P222),MAX(IF('Loan Tape'!$Q222="",0,'Loan Tape'!$Q222),INDEX(Idx_Curve,1,5)+'Loan Tape'!$M222)),IF('Loan Tape'!$L222="",0,'Loan Tape'!$L222)))</f>
        <v>0</v>
      </c>
      <c r="H529" s="104" t="n">
        <f aca="false">IF('Loan Tape'!$AN222=0,0,IF('Loan Tape'!$K222="Floating",MIN(IF('Loan Tape'!$P222="",10,'Loan Tape'!$P222),MAX(IF('Loan Tape'!$Q222="",0,'Loan Tape'!$Q222),INDEX(Idx_Curve,1,6)+'Loan Tape'!$M222)),IF('Loan Tape'!$L222="",0,'Loan Tape'!$L222)))</f>
        <v>0</v>
      </c>
      <c r="I529" s="104" t="n">
        <f aca="false">IF('Loan Tape'!$AN222=0,0,IF('Loan Tape'!$K222="Floating",MIN(IF('Loan Tape'!$P222="",10,'Loan Tape'!$P222),MAX(IF('Loan Tape'!$Q222="",0,'Loan Tape'!$Q222),INDEX(Idx_Curve,1,7)+'Loan Tape'!$M222)),IF('Loan Tape'!$L222="",0,'Loan Tape'!$L222)))</f>
        <v>0</v>
      </c>
      <c r="J529" s="104" t="n">
        <f aca="false">IF('Loan Tape'!$AN222=0,0,IF('Loan Tape'!$K222="Floating",MIN(IF('Loan Tape'!$P222="",10,'Loan Tape'!$P222),MAX(IF('Loan Tape'!$Q222="",0,'Loan Tape'!$Q222),INDEX(Idx_Curve,1,8)+'Loan Tape'!$M222)),IF('Loan Tape'!$L222="",0,'Loan Tape'!$L222)))</f>
        <v>0</v>
      </c>
      <c r="K529" s="104" t="n">
        <f aca="false">IF('Loan Tape'!$AN222=0,0,IF('Loan Tape'!$K222="Floating",MIN(IF('Loan Tape'!$P222="",10,'Loan Tape'!$P222),MAX(IF('Loan Tape'!$Q222="",0,'Loan Tape'!$Q222),INDEX(Idx_Curve,1,9)+'Loan Tape'!$M222)),IF('Loan Tape'!$L222="",0,'Loan Tape'!$L222)))</f>
        <v>0</v>
      </c>
      <c r="L529" s="104" t="n">
        <f aca="false">IF('Loan Tape'!$AN222=0,0,IF('Loan Tape'!$K222="Floating",MIN(IF('Loan Tape'!$P222="",10,'Loan Tape'!$P222),MAX(IF('Loan Tape'!$Q222="",0,'Loan Tape'!$Q222),INDEX(Idx_Curve,1,10)+'Loan Tape'!$M222)),IF('Loan Tape'!$L222="",0,'Loan Tape'!$L222)))</f>
        <v>0</v>
      </c>
    </row>
    <row r="530" customFormat="false" ht="15" hidden="false" customHeight="false" outlineLevel="0" collapsed="false">
      <c r="B530" s="108" t="n">
        <f aca="false">'Loan Tape'!$A223</f>
        <v>0</v>
      </c>
      <c r="C530" s="56" t="n">
        <f aca="false">IF('Loan Tape'!$AN223=0,0,IF('Loan Tape'!$K223="Floating",MIN(IF('Loan Tape'!$P223="",10,'Loan Tape'!$P223),MAX(IF('Loan Tape'!$Q223="",0,'Loan Tape'!$Q223),INDEX(Idx_Curve,1,1)+'Loan Tape'!$M223)),IF('Loan Tape'!$L223="",0,'Loan Tape'!$L223)))</f>
        <v>0</v>
      </c>
      <c r="D530" s="56" t="n">
        <f aca="false">IF('Loan Tape'!$AN223=0,0,IF('Loan Tape'!$K223="Floating",MIN(IF('Loan Tape'!$P223="",10,'Loan Tape'!$P223),MAX(IF('Loan Tape'!$Q223="",0,'Loan Tape'!$Q223),INDEX(Idx_Curve,1,2)+'Loan Tape'!$M223)),IF('Loan Tape'!$L223="",0,'Loan Tape'!$L223)))</f>
        <v>0</v>
      </c>
      <c r="E530" s="56" t="n">
        <f aca="false">IF('Loan Tape'!$AN223=0,0,IF('Loan Tape'!$K223="Floating",MIN(IF('Loan Tape'!$P223="",10,'Loan Tape'!$P223),MAX(IF('Loan Tape'!$Q223="",0,'Loan Tape'!$Q223),INDEX(Idx_Curve,1,3)+'Loan Tape'!$M223)),IF('Loan Tape'!$L223="",0,'Loan Tape'!$L223)))</f>
        <v>0</v>
      </c>
      <c r="F530" s="56" t="n">
        <f aca="false">IF('Loan Tape'!$AN223=0,0,IF('Loan Tape'!$K223="Floating",MIN(IF('Loan Tape'!$P223="",10,'Loan Tape'!$P223),MAX(IF('Loan Tape'!$Q223="",0,'Loan Tape'!$Q223),INDEX(Idx_Curve,1,4)+'Loan Tape'!$M223)),IF('Loan Tape'!$L223="",0,'Loan Tape'!$L223)))</f>
        <v>0</v>
      </c>
      <c r="G530" s="56" t="n">
        <f aca="false">IF('Loan Tape'!$AN223=0,0,IF('Loan Tape'!$K223="Floating",MIN(IF('Loan Tape'!$P223="",10,'Loan Tape'!$P223),MAX(IF('Loan Tape'!$Q223="",0,'Loan Tape'!$Q223),INDEX(Idx_Curve,1,5)+'Loan Tape'!$M223)),IF('Loan Tape'!$L223="",0,'Loan Tape'!$L223)))</f>
        <v>0</v>
      </c>
      <c r="H530" s="56" t="n">
        <f aca="false">IF('Loan Tape'!$AN223=0,0,IF('Loan Tape'!$K223="Floating",MIN(IF('Loan Tape'!$P223="",10,'Loan Tape'!$P223),MAX(IF('Loan Tape'!$Q223="",0,'Loan Tape'!$Q223),INDEX(Idx_Curve,1,6)+'Loan Tape'!$M223)),IF('Loan Tape'!$L223="",0,'Loan Tape'!$L223)))</f>
        <v>0</v>
      </c>
      <c r="I530" s="56" t="n">
        <f aca="false">IF('Loan Tape'!$AN223=0,0,IF('Loan Tape'!$K223="Floating",MIN(IF('Loan Tape'!$P223="",10,'Loan Tape'!$P223),MAX(IF('Loan Tape'!$Q223="",0,'Loan Tape'!$Q223),INDEX(Idx_Curve,1,7)+'Loan Tape'!$M223)),IF('Loan Tape'!$L223="",0,'Loan Tape'!$L223)))</f>
        <v>0</v>
      </c>
      <c r="J530" s="56" t="n">
        <f aca="false">IF('Loan Tape'!$AN223=0,0,IF('Loan Tape'!$K223="Floating",MIN(IF('Loan Tape'!$P223="",10,'Loan Tape'!$P223),MAX(IF('Loan Tape'!$Q223="",0,'Loan Tape'!$Q223),INDEX(Idx_Curve,1,8)+'Loan Tape'!$M223)),IF('Loan Tape'!$L223="",0,'Loan Tape'!$L223)))</f>
        <v>0</v>
      </c>
      <c r="K530" s="56" t="n">
        <f aca="false">IF('Loan Tape'!$AN223=0,0,IF('Loan Tape'!$K223="Floating",MIN(IF('Loan Tape'!$P223="",10,'Loan Tape'!$P223),MAX(IF('Loan Tape'!$Q223="",0,'Loan Tape'!$Q223),INDEX(Idx_Curve,1,9)+'Loan Tape'!$M223)),IF('Loan Tape'!$L223="",0,'Loan Tape'!$L223)))</f>
        <v>0</v>
      </c>
      <c r="L530" s="56" t="n">
        <f aca="false">IF('Loan Tape'!$AN223=0,0,IF('Loan Tape'!$K223="Floating",MIN(IF('Loan Tape'!$P223="",10,'Loan Tape'!$P223),MAX(IF('Loan Tape'!$Q223="",0,'Loan Tape'!$Q223),INDEX(Idx_Curve,1,10)+'Loan Tape'!$M223)),IF('Loan Tape'!$L223="",0,'Loan Tape'!$L223)))</f>
        <v>0</v>
      </c>
    </row>
    <row r="531" customFormat="false" ht="15" hidden="false" customHeight="false" outlineLevel="0" collapsed="false">
      <c r="B531" s="102" t="n">
        <f aca="false">'Loan Tape'!$A224</f>
        <v>0</v>
      </c>
      <c r="C531" s="104" t="n">
        <f aca="false">IF('Loan Tape'!$AN224=0,0,IF('Loan Tape'!$K224="Floating",MIN(IF('Loan Tape'!$P224="",10,'Loan Tape'!$P224),MAX(IF('Loan Tape'!$Q224="",0,'Loan Tape'!$Q224),INDEX(Idx_Curve,1,1)+'Loan Tape'!$M224)),IF('Loan Tape'!$L224="",0,'Loan Tape'!$L224)))</f>
        <v>0</v>
      </c>
      <c r="D531" s="104" t="n">
        <f aca="false">IF('Loan Tape'!$AN224=0,0,IF('Loan Tape'!$K224="Floating",MIN(IF('Loan Tape'!$P224="",10,'Loan Tape'!$P224),MAX(IF('Loan Tape'!$Q224="",0,'Loan Tape'!$Q224),INDEX(Idx_Curve,1,2)+'Loan Tape'!$M224)),IF('Loan Tape'!$L224="",0,'Loan Tape'!$L224)))</f>
        <v>0</v>
      </c>
      <c r="E531" s="104" t="n">
        <f aca="false">IF('Loan Tape'!$AN224=0,0,IF('Loan Tape'!$K224="Floating",MIN(IF('Loan Tape'!$P224="",10,'Loan Tape'!$P224),MAX(IF('Loan Tape'!$Q224="",0,'Loan Tape'!$Q224),INDEX(Idx_Curve,1,3)+'Loan Tape'!$M224)),IF('Loan Tape'!$L224="",0,'Loan Tape'!$L224)))</f>
        <v>0</v>
      </c>
      <c r="F531" s="104" t="n">
        <f aca="false">IF('Loan Tape'!$AN224=0,0,IF('Loan Tape'!$K224="Floating",MIN(IF('Loan Tape'!$P224="",10,'Loan Tape'!$P224),MAX(IF('Loan Tape'!$Q224="",0,'Loan Tape'!$Q224),INDEX(Idx_Curve,1,4)+'Loan Tape'!$M224)),IF('Loan Tape'!$L224="",0,'Loan Tape'!$L224)))</f>
        <v>0</v>
      </c>
      <c r="G531" s="104" t="n">
        <f aca="false">IF('Loan Tape'!$AN224=0,0,IF('Loan Tape'!$K224="Floating",MIN(IF('Loan Tape'!$P224="",10,'Loan Tape'!$P224),MAX(IF('Loan Tape'!$Q224="",0,'Loan Tape'!$Q224),INDEX(Idx_Curve,1,5)+'Loan Tape'!$M224)),IF('Loan Tape'!$L224="",0,'Loan Tape'!$L224)))</f>
        <v>0</v>
      </c>
      <c r="H531" s="104" t="n">
        <f aca="false">IF('Loan Tape'!$AN224=0,0,IF('Loan Tape'!$K224="Floating",MIN(IF('Loan Tape'!$P224="",10,'Loan Tape'!$P224),MAX(IF('Loan Tape'!$Q224="",0,'Loan Tape'!$Q224),INDEX(Idx_Curve,1,6)+'Loan Tape'!$M224)),IF('Loan Tape'!$L224="",0,'Loan Tape'!$L224)))</f>
        <v>0</v>
      </c>
      <c r="I531" s="104" t="n">
        <f aca="false">IF('Loan Tape'!$AN224=0,0,IF('Loan Tape'!$K224="Floating",MIN(IF('Loan Tape'!$P224="",10,'Loan Tape'!$P224),MAX(IF('Loan Tape'!$Q224="",0,'Loan Tape'!$Q224),INDEX(Idx_Curve,1,7)+'Loan Tape'!$M224)),IF('Loan Tape'!$L224="",0,'Loan Tape'!$L224)))</f>
        <v>0</v>
      </c>
      <c r="J531" s="104" t="n">
        <f aca="false">IF('Loan Tape'!$AN224=0,0,IF('Loan Tape'!$K224="Floating",MIN(IF('Loan Tape'!$P224="",10,'Loan Tape'!$P224),MAX(IF('Loan Tape'!$Q224="",0,'Loan Tape'!$Q224),INDEX(Idx_Curve,1,8)+'Loan Tape'!$M224)),IF('Loan Tape'!$L224="",0,'Loan Tape'!$L224)))</f>
        <v>0</v>
      </c>
      <c r="K531" s="104" t="n">
        <f aca="false">IF('Loan Tape'!$AN224=0,0,IF('Loan Tape'!$K224="Floating",MIN(IF('Loan Tape'!$P224="",10,'Loan Tape'!$P224),MAX(IF('Loan Tape'!$Q224="",0,'Loan Tape'!$Q224),INDEX(Idx_Curve,1,9)+'Loan Tape'!$M224)),IF('Loan Tape'!$L224="",0,'Loan Tape'!$L224)))</f>
        <v>0</v>
      </c>
      <c r="L531" s="104" t="n">
        <f aca="false">IF('Loan Tape'!$AN224=0,0,IF('Loan Tape'!$K224="Floating",MIN(IF('Loan Tape'!$P224="",10,'Loan Tape'!$P224),MAX(IF('Loan Tape'!$Q224="",0,'Loan Tape'!$Q224),INDEX(Idx_Curve,1,10)+'Loan Tape'!$M224)),IF('Loan Tape'!$L224="",0,'Loan Tape'!$L224)))</f>
        <v>0</v>
      </c>
    </row>
    <row r="532" customFormat="false" ht="15" hidden="false" customHeight="false" outlineLevel="0" collapsed="false">
      <c r="B532" s="108" t="n">
        <f aca="false">'Loan Tape'!$A225</f>
        <v>0</v>
      </c>
      <c r="C532" s="56" t="n">
        <f aca="false">IF('Loan Tape'!$AN225=0,0,IF('Loan Tape'!$K225="Floating",MIN(IF('Loan Tape'!$P225="",10,'Loan Tape'!$P225),MAX(IF('Loan Tape'!$Q225="",0,'Loan Tape'!$Q225),INDEX(Idx_Curve,1,1)+'Loan Tape'!$M225)),IF('Loan Tape'!$L225="",0,'Loan Tape'!$L225)))</f>
        <v>0</v>
      </c>
      <c r="D532" s="56" t="n">
        <f aca="false">IF('Loan Tape'!$AN225=0,0,IF('Loan Tape'!$K225="Floating",MIN(IF('Loan Tape'!$P225="",10,'Loan Tape'!$P225),MAX(IF('Loan Tape'!$Q225="",0,'Loan Tape'!$Q225),INDEX(Idx_Curve,1,2)+'Loan Tape'!$M225)),IF('Loan Tape'!$L225="",0,'Loan Tape'!$L225)))</f>
        <v>0</v>
      </c>
      <c r="E532" s="56" t="n">
        <f aca="false">IF('Loan Tape'!$AN225=0,0,IF('Loan Tape'!$K225="Floating",MIN(IF('Loan Tape'!$P225="",10,'Loan Tape'!$P225),MAX(IF('Loan Tape'!$Q225="",0,'Loan Tape'!$Q225),INDEX(Idx_Curve,1,3)+'Loan Tape'!$M225)),IF('Loan Tape'!$L225="",0,'Loan Tape'!$L225)))</f>
        <v>0</v>
      </c>
      <c r="F532" s="56" t="n">
        <f aca="false">IF('Loan Tape'!$AN225=0,0,IF('Loan Tape'!$K225="Floating",MIN(IF('Loan Tape'!$P225="",10,'Loan Tape'!$P225),MAX(IF('Loan Tape'!$Q225="",0,'Loan Tape'!$Q225),INDEX(Idx_Curve,1,4)+'Loan Tape'!$M225)),IF('Loan Tape'!$L225="",0,'Loan Tape'!$L225)))</f>
        <v>0</v>
      </c>
      <c r="G532" s="56" t="n">
        <f aca="false">IF('Loan Tape'!$AN225=0,0,IF('Loan Tape'!$K225="Floating",MIN(IF('Loan Tape'!$P225="",10,'Loan Tape'!$P225),MAX(IF('Loan Tape'!$Q225="",0,'Loan Tape'!$Q225),INDEX(Idx_Curve,1,5)+'Loan Tape'!$M225)),IF('Loan Tape'!$L225="",0,'Loan Tape'!$L225)))</f>
        <v>0</v>
      </c>
      <c r="H532" s="56" t="n">
        <f aca="false">IF('Loan Tape'!$AN225=0,0,IF('Loan Tape'!$K225="Floating",MIN(IF('Loan Tape'!$P225="",10,'Loan Tape'!$P225),MAX(IF('Loan Tape'!$Q225="",0,'Loan Tape'!$Q225),INDEX(Idx_Curve,1,6)+'Loan Tape'!$M225)),IF('Loan Tape'!$L225="",0,'Loan Tape'!$L225)))</f>
        <v>0</v>
      </c>
      <c r="I532" s="56" t="n">
        <f aca="false">IF('Loan Tape'!$AN225=0,0,IF('Loan Tape'!$K225="Floating",MIN(IF('Loan Tape'!$P225="",10,'Loan Tape'!$P225),MAX(IF('Loan Tape'!$Q225="",0,'Loan Tape'!$Q225),INDEX(Idx_Curve,1,7)+'Loan Tape'!$M225)),IF('Loan Tape'!$L225="",0,'Loan Tape'!$L225)))</f>
        <v>0</v>
      </c>
      <c r="J532" s="56" t="n">
        <f aca="false">IF('Loan Tape'!$AN225=0,0,IF('Loan Tape'!$K225="Floating",MIN(IF('Loan Tape'!$P225="",10,'Loan Tape'!$P225),MAX(IF('Loan Tape'!$Q225="",0,'Loan Tape'!$Q225),INDEX(Idx_Curve,1,8)+'Loan Tape'!$M225)),IF('Loan Tape'!$L225="",0,'Loan Tape'!$L225)))</f>
        <v>0</v>
      </c>
      <c r="K532" s="56" t="n">
        <f aca="false">IF('Loan Tape'!$AN225=0,0,IF('Loan Tape'!$K225="Floating",MIN(IF('Loan Tape'!$P225="",10,'Loan Tape'!$P225),MAX(IF('Loan Tape'!$Q225="",0,'Loan Tape'!$Q225),INDEX(Idx_Curve,1,9)+'Loan Tape'!$M225)),IF('Loan Tape'!$L225="",0,'Loan Tape'!$L225)))</f>
        <v>0</v>
      </c>
      <c r="L532" s="56" t="n">
        <f aca="false">IF('Loan Tape'!$AN225=0,0,IF('Loan Tape'!$K225="Floating",MIN(IF('Loan Tape'!$P225="",10,'Loan Tape'!$P225),MAX(IF('Loan Tape'!$Q225="",0,'Loan Tape'!$Q225),INDEX(Idx_Curve,1,10)+'Loan Tape'!$M225)),IF('Loan Tape'!$L225="",0,'Loan Tape'!$L225)))</f>
        <v>0</v>
      </c>
    </row>
    <row r="533" customFormat="false" ht="15" hidden="false" customHeight="false" outlineLevel="0" collapsed="false">
      <c r="B533" s="102" t="n">
        <f aca="false">'Loan Tape'!$A226</f>
        <v>0</v>
      </c>
      <c r="C533" s="104" t="n">
        <f aca="false">IF('Loan Tape'!$AN226=0,0,IF('Loan Tape'!$K226="Floating",MIN(IF('Loan Tape'!$P226="",10,'Loan Tape'!$P226),MAX(IF('Loan Tape'!$Q226="",0,'Loan Tape'!$Q226),INDEX(Idx_Curve,1,1)+'Loan Tape'!$M226)),IF('Loan Tape'!$L226="",0,'Loan Tape'!$L226)))</f>
        <v>0</v>
      </c>
      <c r="D533" s="104" t="n">
        <f aca="false">IF('Loan Tape'!$AN226=0,0,IF('Loan Tape'!$K226="Floating",MIN(IF('Loan Tape'!$P226="",10,'Loan Tape'!$P226),MAX(IF('Loan Tape'!$Q226="",0,'Loan Tape'!$Q226),INDEX(Idx_Curve,1,2)+'Loan Tape'!$M226)),IF('Loan Tape'!$L226="",0,'Loan Tape'!$L226)))</f>
        <v>0</v>
      </c>
      <c r="E533" s="104" t="n">
        <f aca="false">IF('Loan Tape'!$AN226=0,0,IF('Loan Tape'!$K226="Floating",MIN(IF('Loan Tape'!$P226="",10,'Loan Tape'!$P226),MAX(IF('Loan Tape'!$Q226="",0,'Loan Tape'!$Q226),INDEX(Idx_Curve,1,3)+'Loan Tape'!$M226)),IF('Loan Tape'!$L226="",0,'Loan Tape'!$L226)))</f>
        <v>0</v>
      </c>
      <c r="F533" s="104" t="n">
        <f aca="false">IF('Loan Tape'!$AN226=0,0,IF('Loan Tape'!$K226="Floating",MIN(IF('Loan Tape'!$P226="",10,'Loan Tape'!$P226),MAX(IF('Loan Tape'!$Q226="",0,'Loan Tape'!$Q226),INDEX(Idx_Curve,1,4)+'Loan Tape'!$M226)),IF('Loan Tape'!$L226="",0,'Loan Tape'!$L226)))</f>
        <v>0</v>
      </c>
      <c r="G533" s="104" t="n">
        <f aca="false">IF('Loan Tape'!$AN226=0,0,IF('Loan Tape'!$K226="Floating",MIN(IF('Loan Tape'!$P226="",10,'Loan Tape'!$P226),MAX(IF('Loan Tape'!$Q226="",0,'Loan Tape'!$Q226),INDEX(Idx_Curve,1,5)+'Loan Tape'!$M226)),IF('Loan Tape'!$L226="",0,'Loan Tape'!$L226)))</f>
        <v>0</v>
      </c>
      <c r="H533" s="104" t="n">
        <f aca="false">IF('Loan Tape'!$AN226=0,0,IF('Loan Tape'!$K226="Floating",MIN(IF('Loan Tape'!$P226="",10,'Loan Tape'!$P226),MAX(IF('Loan Tape'!$Q226="",0,'Loan Tape'!$Q226),INDEX(Idx_Curve,1,6)+'Loan Tape'!$M226)),IF('Loan Tape'!$L226="",0,'Loan Tape'!$L226)))</f>
        <v>0</v>
      </c>
      <c r="I533" s="104" t="n">
        <f aca="false">IF('Loan Tape'!$AN226=0,0,IF('Loan Tape'!$K226="Floating",MIN(IF('Loan Tape'!$P226="",10,'Loan Tape'!$P226),MAX(IF('Loan Tape'!$Q226="",0,'Loan Tape'!$Q226),INDEX(Idx_Curve,1,7)+'Loan Tape'!$M226)),IF('Loan Tape'!$L226="",0,'Loan Tape'!$L226)))</f>
        <v>0</v>
      </c>
      <c r="J533" s="104" t="n">
        <f aca="false">IF('Loan Tape'!$AN226=0,0,IF('Loan Tape'!$K226="Floating",MIN(IF('Loan Tape'!$P226="",10,'Loan Tape'!$P226),MAX(IF('Loan Tape'!$Q226="",0,'Loan Tape'!$Q226),INDEX(Idx_Curve,1,8)+'Loan Tape'!$M226)),IF('Loan Tape'!$L226="",0,'Loan Tape'!$L226)))</f>
        <v>0</v>
      </c>
      <c r="K533" s="104" t="n">
        <f aca="false">IF('Loan Tape'!$AN226=0,0,IF('Loan Tape'!$K226="Floating",MIN(IF('Loan Tape'!$P226="",10,'Loan Tape'!$P226),MAX(IF('Loan Tape'!$Q226="",0,'Loan Tape'!$Q226),INDEX(Idx_Curve,1,9)+'Loan Tape'!$M226)),IF('Loan Tape'!$L226="",0,'Loan Tape'!$L226)))</f>
        <v>0</v>
      </c>
      <c r="L533" s="104" t="n">
        <f aca="false">IF('Loan Tape'!$AN226=0,0,IF('Loan Tape'!$K226="Floating",MIN(IF('Loan Tape'!$P226="",10,'Loan Tape'!$P226),MAX(IF('Loan Tape'!$Q226="",0,'Loan Tape'!$Q226),INDEX(Idx_Curve,1,10)+'Loan Tape'!$M226)),IF('Loan Tape'!$L226="",0,'Loan Tape'!$L226)))</f>
        <v>0</v>
      </c>
    </row>
    <row r="534" customFormat="false" ht="15" hidden="false" customHeight="false" outlineLevel="0" collapsed="false">
      <c r="B534" s="108" t="n">
        <f aca="false">'Loan Tape'!$A227</f>
        <v>0</v>
      </c>
      <c r="C534" s="56" t="n">
        <f aca="false">IF('Loan Tape'!$AN227=0,0,IF('Loan Tape'!$K227="Floating",MIN(IF('Loan Tape'!$P227="",10,'Loan Tape'!$P227),MAX(IF('Loan Tape'!$Q227="",0,'Loan Tape'!$Q227),INDEX(Idx_Curve,1,1)+'Loan Tape'!$M227)),IF('Loan Tape'!$L227="",0,'Loan Tape'!$L227)))</f>
        <v>0</v>
      </c>
      <c r="D534" s="56" t="n">
        <f aca="false">IF('Loan Tape'!$AN227=0,0,IF('Loan Tape'!$K227="Floating",MIN(IF('Loan Tape'!$P227="",10,'Loan Tape'!$P227),MAX(IF('Loan Tape'!$Q227="",0,'Loan Tape'!$Q227),INDEX(Idx_Curve,1,2)+'Loan Tape'!$M227)),IF('Loan Tape'!$L227="",0,'Loan Tape'!$L227)))</f>
        <v>0</v>
      </c>
      <c r="E534" s="56" t="n">
        <f aca="false">IF('Loan Tape'!$AN227=0,0,IF('Loan Tape'!$K227="Floating",MIN(IF('Loan Tape'!$P227="",10,'Loan Tape'!$P227),MAX(IF('Loan Tape'!$Q227="",0,'Loan Tape'!$Q227),INDEX(Idx_Curve,1,3)+'Loan Tape'!$M227)),IF('Loan Tape'!$L227="",0,'Loan Tape'!$L227)))</f>
        <v>0</v>
      </c>
      <c r="F534" s="56" t="n">
        <f aca="false">IF('Loan Tape'!$AN227=0,0,IF('Loan Tape'!$K227="Floating",MIN(IF('Loan Tape'!$P227="",10,'Loan Tape'!$P227),MAX(IF('Loan Tape'!$Q227="",0,'Loan Tape'!$Q227),INDEX(Idx_Curve,1,4)+'Loan Tape'!$M227)),IF('Loan Tape'!$L227="",0,'Loan Tape'!$L227)))</f>
        <v>0</v>
      </c>
      <c r="G534" s="56" t="n">
        <f aca="false">IF('Loan Tape'!$AN227=0,0,IF('Loan Tape'!$K227="Floating",MIN(IF('Loan Tape'!$P227="",10,'Loan Tape'!$P227),MAX(IF('Loan Tape'!$Q227="",0,'Loan Tape'!$Q227),INDEX(Idx_Curve,1,5)+'Loan Tape'!$M227)),IF('Loan Tape'!$L227="",0,'Loan Tape'!$L227)))</f>
        <v>0</v>
      </c>
      <c r="H534" s="56" t="n">
        <f aca="false">IF('Loan Tape'!$AN227=0,0,IF('Loan Tape'!$K227="Floating",MIN(IF('Loan Tape'!$P227="",10,'Loan Tape'!$P227),MAX(IF('Loan Tape'!$Q227="",0,'Loan Tape'!$Q227),INDEX(Idx_Curve,1,6)+'Loan Tape'!$M227)),IF('Loan Tape'!$L227="",0,'Loan Tape'!$L227)))</f>
        <v>0</v>
      </c>
      <c r="I534" s="56" t="n">
        <f aca="false">IF('Loan Tape'!$AN227=0,0,IF('Loan Tape'!$K227="Floating",MIN(IF('Loan Tape'!$P227="",10,'Loan Tape'!$P227),MAX(IF('Loan Tape'!$Q227="",0,'Loan Tape'!$Q227),INDEX(Idx_Curve,1,7)+'Loan Tape'!$M227)),IF('Loan Tape'!$L227="",0,'Loan Tape'!$L227)))</f>
        <v>0</v>
      </c>
      <c r="J534" s="56" t="n">
        <f aca="false">IF('Loan Tape'!$AN227=0,0,IF('Loan Tape'!$K227="Floating",MIN(IF('Loan Tape'!$P227="",10,'Loan Tape'!$P227),MAX(IF('Loan Tape'!$Q227="",0,'Loan Tape'!$Q227),INDEX(Idx_Curve,1,8)+'Loan Tape'!$M227)),IF('Loan Tape'!$L227="",0,'Loan Tape'!$L227)))</f>
        <v>0</v>
      </c>
      <c r="K534" s="56" t="n">
        <f aca="false">IF('Loan Tape'!$AN227=0,0,IF('Loan Tape'!$K227="Floating",MIN(IF('Loan Tape'!$P227="",10,'Loan Tape'!$P227),MAX(IF('Loan Tape'!$Q227="",0,'Loan Tape'!$Q227),INDEX(Idx_Curve,1,9)+'Loan Tape'!$M227)),IF('Loan Tape'!$L227="",0,'Loan Tape'!$L227)))</f>
        <v>0</v>
      </c>
      <c r="L534" s="56" t="n">
        <f aca="false">IF('Loan Tape'!$AN227=0,0,IF('Loan Tape'!$K227="Floating",MIN(IF('Loan Tape'!$P227="",10,'Loan Tape'!$P227),MAX(IF('Loan Tape'!$Q227="",0,'Loan Tape'!$Q227),INDEX(Idx_Curve,1,10)+'Loan Tape'!$M227)),IF('Loan Tape'!$L227="",0,'Loan Tape'!$L227)))</f>
        <v>0</v>
      </c>
    </row>
    <row r="535" customFormat="false" ht="15" hidden="false" customHeight="false" outlineLevel="0" collapsed="false">
      <c r="B535" s="102" t="n">
        <f aca="false">'Loan Tape'!$A228</f>
        <v>0</v>
      </c>
      <c r="C535" s="104" t="n">
        <f aca="false">IF('Loan Tape'!$AN228=0,0,IF('Loan Tape'!$K228="Floating",MIN(IF('Loan Tape'!$P228="",10,'Loan Tape'!$P228),MAX(IF('Loan Tape'!$Q228="",0,'Loan Tape'!$Q228),INDEX(Idx_Curve,1,1)+'Loan Tape'!$M228)),IF('Loan Tape'!$L228="",0,'Loan Tape'!$L228)))</f>
        <v>0</v>
      </c>
      <c r="D535" s="104" t="n">
        <f aca="false">IF('Loan Tape'!$AN228=0,0,IF('Loan Tape'!$K228="Floating",MIN(IF('Loan Tape'!$P228="",10,'Loan Tape'!$P228),MAX(IF('Loan Tape'!$Q228="",0,'Loan Tape'!$Q228),INDEX(Idx_Curve,1,2)+'Loan Tape'!$M228)),IF('Loan Tape'!$L228="",0,'Loan Tape'!$L228)))</f>
        <v>0</v>
      </c>
      <c r="E535" s="104" t="n">
        <f aca="false">IF('Loan Tape'!$AN228=0,0,IF('Loan Tape'!$K228="Floating",MIN(IF('Loan Tape'!$P228="",10,'Loan Tape'!$P228),MAX(IF('Loan Tape'!$Q228="",0,'Loan Tape'!$Q228),INDEX(Idx_Curve,1,3)+'Loan Tape'!$M228)),IF('Loan Tape'!$L228="",0,'Loan Tape'!$L228)))</f>
        <v>0</v>
      </c>
      <c r="F535" s="104" t="n">
        <f aca="false">IF('Loan Tape'!$AN228=0,0,IF('Loan Tape'!$K228="Floating",MIN(IF('Loan Tape'!$P228="",10,'Loan Tape'!$P228),MAX(IF('Loan Tape'!$Q228="",0,'Loan Tape'!$Q228),INDEX(Idx_Curve,1,4)+'Loan Tape'!$M228)),IF('Loan Tape'!$L228="",0,'Loan Tape'!$L228)))</f>
        <v>0</v>
      </c>
      <c r="G535" s="104" t="n">
        <f aca="false">IF('Loan Tape'!$AN228=0,0,IF('Loan Tape'!$K228="Floating",MIN(IF('Loan Tape'!$P228="",10,'Loan Tape'!$P228),MAX(IF('Loan Tape'!$Q228="",0,'Loan Tape'!$Q228),INDEX(Idx_Curve,1,5)+'Loan Tape'!$M228)),IF('Loan Tape'!$L228="",0,'Loan Tape'!$L228)))</f>
        <v>0</v>
      </c>
      <c r="H535" s="104" t="n">
        <f aca="false">IF('Loan Tape'!$AN228=0,0,IF('Loan Tape'!$K228="Floating",MIN(IF('Loan Tape'!$P228="",10,'Loan Tape'!$P228),MAX(IF('Loan Tape'!$Q228="",0,'Loan Tape'!$Q228),INDEX(Idx_Curve,1,6)+'Loan Tape'!$M228)),IF('Loan Tape'!$L228="",0,'Loan Tape'!$L228)))</f>
        <v>0</v>
      </c>
      <c r="I535" s="104" t="n">
        <f aca="false">IF('Loan Tape'!$AN228=0,0,IF('Loan Tape'!$K228="Floating",MIN(IF('Loan Tape'!$P228="",10,'Loan Tape'!$P228),MAX(IF('Loan Tape'!$Q228="",0,'Loan Tape'!$Q228),INDEX(Idx_Curve,1,7)+'Loan Tape'!$M228)),IF('Loan Tape'!$L228="",0,'Loan Tape'!$L228)))</f>
        <v>0</v>
      </c>
      <c r="J535" s="104" t="n">
        <f aca="false">IF('Loan Tape'!$AN228=0,0,IF('Loan Tape'!$K228="Floating",MIN(IF('Loan Tape'!$P228="",10,'Loan Tape'!$P228),MAX(IF('Loan Tape'!$Q228="",0,'Loan Tape'!$Q228),INDEX(Idx_Curve,1,8)+'Loan Tape'!$M228)),IF('Loan Tape'!$L228="",0,'Loan Tape'!$L228)))</f>
        <v>0</v>
      </c>
      <c r="K535" s="104" t="n">
        <f aca="false">IF('Loan Tape'!$AN228=0,0,IF('Loan Tape'!$K228="Floating",MIN(IF('Loan Tape'!$P228="",10,'Loan Tape'!$P228),MAX(IF('Loan Tape'!$Q228="",0,'Loan Tape'!$Q228),INDEX(Idx_Curve,1,9)+'Loan Tape'!$M228)),IF('Loan Tape'!$L228="",0,'Loan Tape'!$L228)))</f>
        <v>0</v>
      </c>
      <c r="L535" s="104" t="n">
        <f aca="false">IF('Loan Tape'!$AN228=0,0,IF('Loan Tape'!$K228="Floating",MIN(IF('Loan Tape'!$P228="",10,'Loan Tape'!$P228),MAX(IF('Loan Tape'!$Q228="",0,'Loan Tape'!$Q228),INDEX(Idx_Curve,1,10)+'Loan Tape'!$M228)),IF('Loan Tape'!$L228="",0,'Loan Tape'!$L228)))</f>
        <v>0</v>
      </c>
    </row>
    <row r="536" customFormat="false" ht="15" hidden="false" customHeight="false" outlineLevel="0" collapsed="false">
      <c r="B536" s="108" t="n">
        <f aca="false">'Loan Tape'!$A229</f>
        <v>0</v>
      </c>
      <c r="C536" s="56" t="n">
        <f aca="false">IF('Loan Tape'!$AN229=0,0,IF('Loan Tape'!$K229="Floating",MIN(IF('Loan Tape'!$P229="",10,'Loan Tape'!$P229),MAX(IF('Loan Tape'!$Q229="",0,'Loan Tape'!$Q229),INDEX(Idx_Curve,1,1)+'Loan Tape'!$M229)),IF('Loan Tape'!$L229="",0,'Loan Tape'!$L229)))</f>
        <v>0</v>
      </c>
      <c r="D536" s="56" t="n">
        <f aca="false">IF('Loan Tape'!$AN229=0,0,IF('Loan Tape'!$K229="Floating",MIN(IF('Loan Tape'!$P229="",10,'Loan Tape'!$P229),MAX(IF('Loan Tape'!$Q229="",0,'Loan Tape'!$Q229),INDEX(Idx_Curve,1,2)+'Loan Tape'!$M229)),IF('Loan Tape'!$L229="",0,'Loan Tape'!$L229)))</f>
        <v>0</v>
      </c>
      <c r="E536" s="56" t="n">
        <f aca="false">IF('Loan Tape'!$AN229=0,0,IF('Loan Tape'!$K229="Floating",MIN(IF('Loan Tape'!$P229="",10,'Loan Tape'!$P229),MAX(IF('Loan Tape'!$Q229="",0,'Loan Tape'!$Q229),INDEX(Idx_Curve,1,3)+'Loan Tape'!$M229)),IF('Loan Tape'!$L229="",0,'Loan Tape'!$L229)))</f>
        <v>0</v>
      </c>
      <c r="F536" s="56" t="n">
        <f aca="false">IF('Loan Tape'!$AN229=0,0,IF('Loan Tape'!$K229="Floating",MIN(IF('Loan Tape'!$P229="",10,'Loan Tape'!$P229),MAX(IF('Loan Tape'!$Q229="",0,'Loan Tape'!$Q229),INDEX(Idx_Curve,1,4)+'Loan Tape'!$M229)),IF('Loan Tape'!$L229="",0,'Loan Tape'!$L229)))</f>
        <v>0</v>
      </c>
      <c r="G536" s="56" t="n">
        <f aca="false">IF('Loan Tape'!$AN229=0,0,IF('Loan Tape'!$K229="Floating",MIN(IF('Loan Tape'!$P229="",10,'Loan Tape'!$P229),MAX(IF('Loan Tape'!$Q229="",0,'Loan Tape'!$Q229),INDEX(Idx_Curve,1,5)+'Loan Tape'!$M229)),IF('Loan Tape'!$L229="",0,'Loan Tape'!$L229)))</f>
        <v>0</v>
      </c>
      <c r="H536" s="56" t="n">
        <f aca="false">IF('Loan Tape'!$AN229=0,0,IF('Loan Tape'!$K229="Floating",MIN(IF('Loan Tape'!$P229="",10,'Loan Tape'!$P229),MAX(IF('Loan Tape'!$Q229="",0,'Loan Tape'!$Q229),INDEX(Idx_Curve,1,6)+'Loan Tape'!$M229)),IF('Loan Tape'!$L229="",0,'Loan Tape'!$L229)))</f>
        <v>0</v>
      </c>
      <c r="I536" s="56" t="n">
        <f aca="false">IF('Loan Tape'!$AN229=0,0,IF('Loan Tape'!$K229="Floating",MIN(IF('Loan Tape'!$P229="",10,'Loan Tape'!$P229),MAX(IF('Loan Tape'!$Q229="",0,'Loan Tape'!$Q229),INDEX(Idx_Curve,1,7)+'Loan Tape'!$M229)),IF('Loan Tape'!$L229="",0,'Loan Tape'!$L229)))</f>
        <v>0</v>
      </c>
      <c r="J536" s="56" t="n">
        <f aca="false">IF('Loan Tape'!$AN229=0,0,IF('Loan Tape'!$K229="Floating",MIN(IF('Loan Tape'!$P229="",10,'Loan Tape'!$P229),MAX(IF('Loan Tape'!$Q229="",0,'Loan Tape'!$Q229),INDEX(Idx_Curve,1,8)+'Loan Tape'!$M229)),IF('Loan Tape'!$L229="",0,'Loan Tape'!$L229)))</f>
        <v>0</v>
      </c>
      <c r="K536" s="56" t="n">
        <f aca="false">IF('Loan Tape'!$AN229=0,0,IF('Loan Tape'!$K229="Floating",MIN(IF('Loan Tape'!$P229="",10,'Loan Tape'!$P229),MAX(IF('Loan Tape'!$Q229="",0,'Loan Tape'!$Q229),INDEX(Idx_Curve,1,9)+'Loan Tape'!$M229)),IF('Loan Tape'!$L229="",0,'Loan Tape'!$L229)))</f>
        <v>0</v>
      </c>
      <c r="L536" s="56" t="n">
        <f aca="false">IF('Loan Tape'!$AN229=0,0,IF('Loan Tape'!$K229="Floating",MIN(IF('Loan Tape'!$P229="",10,'Loan Tape'!$P229),MAX(IF('Loan Tape'!$Q229="",0,'Loan Tape'!$Q229),INDEX(Idx_Curve,1,10)+'Loan Tape'!$M229)),IF('Loan Tape'!$L229="",0,'Loan Tape'!$L229)))</f>
        <v>0</v>
      </c>
    </row>
    <row r="537" customFormat="false" ht="15" hidden="false" customHeight="false" outlineLevel="0" collapsed="false">
      <c r="B537" s="102" t="n">
        <f aca="false">'Loan Tape'!$A230</f>
        <v>0</v>
      </c>
      <c r="C537" s="104" t="n">
        <f aca="false">IF('Loan Tape'!$AN230=0,0,IF('Loan Tape'!$K230="Floating",MIN(IF('Loan Tape'!$P230="",10,'Loan Tape'!$P230),MAX(IF('Loan Tape'!$Q230="",0,'Loan Tape'!$Q230),INDEX(Idx_Curve,1,1)+'Loan Tape'!$M230)),IF('Loan Tape'!$L230="",0,'Loan Tape'!$L230)))</f>
        <v>0</v>
      </c>
      <c r="D537" s="104" t="n">
        <f aca="false">IF('Loan Tape'!$AN230=0,0,IF('Loan Tape'!$K230="Floating",MIN(IF('Loan Tape'!$P230="",10,'Loan Tape'!$P230),MAX(IF('Loan Tape'!$Q230="",0,'Loan Tape'!$Q230),INDEX(Idx_Curve,1,2)+'Loan Tape'!$M230)),IF('Loan Tape'!$L230="",0,'Loan Tape'!$L230)))</f>
        <v>0</v>
      </c>
      <c r="E537" s="104" t="n">
        <f aca="false">IF('Loan Tape'!$AN230=0,0,IF('Loan Tape'!$K230="Floating",MIN(IF('Loan Tape'!$P230="",10,'Loan Tape'!$P230),MAX(IF('Loan Tape'!$Q230="",0,'Loan Tape'!$Q230),INDEX(Idx_Curve,1,3)+'Loan Tape'!$M230)),IF('Loan Tape'!$L230="",0,'Loan Tape'!$L230)))</f>
        <v>0</v>
      </c>
      <c r="F537" s="104" t="n">
        <f aca="false">IF('Loan Tape'!$AN230=0,0,IF('Loan Tape'!$K230="Floating",MIN(IF('Loan Tape'!$P230="",10,'Loan Tape'!$P230),MAX(IF('Loan Tape'!$Q230="",0,'Loan Tape'!$Q230),INDEX(Idx_Curve,1,4)+'Loan Tape'!$M230)),IF('Loan Tape'!$L230="",0,'Loan Tape'!$L230)))</f>
        <v>0</v>
      </c>
      <c r="G537" s="104" t="n">
        <f aca="false">IF('Loan Tape'!$AN230=0,0,IF('Loan Tape'!$K230="Floating",MIN(IF('Loan Tape'!$P230="",10,'Loan Tape'!$P230),MAX(IF('Loan Tape'!$Q230="",0,'Loan Tape'!$Q230),INDEX(Idx_Curve,1,5)+'Loan Tape'!$M230)),IF('Loan Tape'!$L230="",0,'Loan Tape'!$L230)))</f>
        <v>0</v>
      </c>
      <c r="H537" s="104" t="n">
        <f aca="false">IF('Loan Tape'!$AN230=0,0,IF('Loan Tape'!$K230="Floating",MIN(IF('Loan Tape'!$P230="",10,'Loan Tape'!$P230),MAX(IF('Loan Tape'!$Q230="",0,'Loan Tape'!$Q230),INDEX(Idx_Curve,1,6)+'Loan Tape'!$M230)),IF('Loan Tape'!$L230="",0,'Loan Tape'!$L230)))</f>
        <v>0</v>
      </c>
      <c r="I537" s="104" t="n">
        <f aca="false">IF('Loan Tape'!$AN230=0,0,IF('Loan Tape'!$K230="Floating",MIN(IF('Loan Tape'!$P230="",10,'Loan Tape'!$P230),MAX(IF('Loan Tape'!$Q230="",0,'Loan Tape'!$Q230),INDEX(Idx_Curve,1,7)+'Loan Tape'!$M230)),IF('Loan Tape'!$L230="",0,'Loan Tape'!$L230)))</f>
        <v>0</v>
      </c>
      <c r="J537" s="104" t="n">
        <f aca="false">IF('Loan Tape'!$AN230=0,0,IF('Loan Tape'!$K230="Floating",MIN(IF('Loan Tape'!$P230="",10,'Loan Tape'!$P230),MAX(IF('Loan Tape'!$Q230="",0,'Loan Tape'!$Q230),INDEX(Idx_Curve,1,8)+'Loan Tape'!$M230)),IF('Loan Tape'!$L230="",0,'Loan Tape'!$L230)))</f>
        <v>0</v>
      </c>
      <c r="K537" s="104" t="n">
        <f aca="false">IF('Loan Tape'!$AN230=0,0,IF('Loan Tape'!$K230="Floating",MIN(IF('Loan Tape'!$P230="",10,'Loan Tape'!$P230),MAX(IF('Loan Tape'!$Q230="",0,'Loan Tape'!$Q230),INDEX(Idx_Curve,1,9)+'Loan Tape'!$M230)),IF('Loan Tape'!$L230="",0,'Loan Tape'!$L230)))</f>
        <v>0</v>
      </c>
      <c r="L537" s="104" t="n">
        <f aca="false">IF('Loan Tape'!$AN230=0,0,IF('Loan Tape'!$K230="Floating",MIN(IF('Loan Tape'!$P230="",10,'Loan Tape'!$P230),MAX(IF('Loan Tape'!$Q230="",0,'Loan Tape'!$Q230),INDEX(Idx_Curve,1,10)+'Loan Tape'!$M230)),IF('Loan Tape'!$L230="",0,'Loan Tape'!$L230)))</f>
        <v>0</v>
      </c>
    </row>
    <row r="538" customFormat="false" ht="15" hidden="false" customHeight="false" outlineLevel="0" collapsed="false">
      <c r="B538" s="108" t="n">
        <f aca="false">'Loan Tape'!$A231</f>
        <v>0</v>
      </c>
      <c r="C538" s="56" t="n">
        <f aca="false">IF('Loan Tape'!$AN231=0,0,IF('Loan Tape'!$K231="Floating",MIN(IF('Loan Tape'!$P231="",10,'Loan Tape'!$P231),MAX(IF('Loan Tape'!$Q231="",0,'Loan Tape'!$Q231),INDEX(Idx_Curve,1,1)+'Loan Tape'!$M231)),IF('Loan Tape'!$L231="",0,'Loan Tape'!$L231)))</f>
        <v>0</v>
      </c>
      <c r="D538" s="56" t="n">
        <f aca="false">IF('Loan Tape'!$AN231=0,0,IF('Loan Tape'!$K231="Floating",MIN(IF('Loan Tape'!$P231="",10,'Loan Tape'!$P231),MAX(IF('Loan Tape'!$Q231="",0,'Loan Tape'!$Q231),INDEX(Idx_Curve,1,2)+'Loan Tape'!$M231)),IF('Loan Tape'!$L231="",0,'Loan Tape'!$L231)))</f>
        <v>0</v>
      </c>
      <c r="E538" s="56" t="n">
        <f aca="false">IF('Loan Tape'!$AN231=0,0,IF('Loan Tape'!$K231="Floating",MIN(IF('Loan Tape'!$P231="",10,'Loan Tape'!$P231),MAX(IF('Loan Tape'!$Q231="",0,'Loan Tape'!$Q231),INDEX(Idx_Curve,1,3)+'Loan Tape'!$M231)),IF('Loan Tape'!$L231="",0,'Loan Tape'!$L231)))</f>
        <v>0</v>
      </c>
      <c r="F538" s="56" t="n">
        <f aca="false">IF('Loan Tape'!$AN231=0,0,IF('Loan Tape'!$K231="Floating",MIN(IF('Loan Tape'!$P231="",10,'Loan Tape'!$P231),MAX(IF('Loan Tape'!$Q231="",0,'Loan Tape'!$Q231),INDEX(Idx_Curve,1,4)+'Loan Tape'!$M231)),IF('Loan Tape'!$L231="",0,'Loan Tape'!$L231)))</f>
        <v>0</v>
      </c>
      <c r="G538" s="56" t="n">
        <f aca="false">IF('Loan Tape'!$AN231=0,0,IF('Loan Tape'!$K231="Floating",MIN(IF('Loan Tape'!$P231="",10,'Loan Tape'!$P231),MAX(IF('Loan Tape'!$Q231="",0,'Loan Tape'!$Q231),INDEX(Idx_Curve,1,5)+'Loan Tape'!$M231)),IF('Loan Tape'!$L231="",0,'Loan Tape'!$L231)))</f>
        <v>0</v>
      </c>
      <c r="H538" s="56" t="n">
        <f aca="false">IF('Loan Tape'!$AN231=0,0,IF('Loan Tape'!$K231="Floating",MIN(IF('Loan Tape'!$P231="",10,'Loan Tape'!$P231),MAX(IF('Loan Tape'!$Q231="",0,'Loan Tape'!$Q231),INDEX(Idx_Curve,1,6)+'Loan Tape'!$M231)),IF('Loan Tape'!$L231="",0,'Loan Tape'!$L231)))</f>
        <v>0</v>
      </c>
      <c r="I538" s="56" t="n">
        <f aca="false">IF('Loan Tape'!$AN231=0,0,IF('Loan Tape'!$K231="Floating",MIN(IF('Loan Tape'!$P231="",10,'Loan Tape'!$P231),MAX(IF('Loan Tape'!$Q231="",0,'Loan Tape'!$Q231),INDEX(Idx_Curve,1,7)+'Loan Tape'!$M231)),IF('Loan Tape'!$L231="",0,'Loan Tape'!$L231)))</f>
        <v>0</v>
      </c>
      <c r="J538" s="56" t="n">
        <f aca="false">IF('Loan Tape'!$AN231=0,0,IF('Loan Tape'!$K231="Floating",MIN(IF('Loan Tape'!$P231="",10,'Loan Tape'!$P231),MAX(IF('Loan Tape'!$Q231="",0,'Loan Tape'!$Q231),INDEX(Idx_Curve,1,8)+'Loan Tape'!$M231)),IF('Loan Tape'!$L231="",0,'Loan Tape'!$L231)))</f>
        <v>0</v>
      </c>
      <c r="K538" s="56" t="n">
        <f aca="false">IF('Loan Tape'!$AN231=0,0,IF('Loan Tape'!$K231="Floating",MIN(IF('Loan Tape'!$P231="",10,'Loan Tape'!$P231),MAX(IF('Loan Tape'!$Q231="",0,'Loan Tape'!$Q231),INDEX(Idx_Curve,1,9)+'Loan Tape'!$M231)),IF('Loan Tape'!$L231="",0,'Loan Tape'!$L231)))</f>
        <v>0</v>
      </c>
      <c r="L538" s="56" t="n">
        <f aca="false">IF('Loan Tape'!$AN231=0,0,IF('Loan Tape'!$K231="Floating",MIN(IF('Loan Tape'!$P231="",10,'Loan Tape'!$P231),MAX(IF('Loan Tape'!$Q231="",0,'Loan Tape'!$Q231),INDEX(Idx_Curve,1,10)+'Loan Tape'!$M231)),IF('Loan Tape'!$L231="",0,'Loan Tape'!$L231)))</f>
        <v>0</v>
      </c>
    </row>
    <row r="539" customFormat="false" ht="15" hidden="false" customHeight="false" outlineLevel="0" collapsed="false">
      <c r="B539" s="102" t="n">
        <f aca="false">'Loan Tape'!$A232</f>
        <v>0</v>
      </c>
      <c r="C539" s="104" t="n">
        <f aca="false">IF('Loan Tape'!$AN232=0,0,IF('Loan Tape'!$K232="Floating",MIN(IF('Loan Tape'!$P232="",10,'Loan Tape'!$P232),MAX(IF('Loan Tape'!$Q232="",0,'Loan Tape'!$Q232),INDEX(Idx_Curve,1,1)+'Loan Tape'!$M232)),IF('Loan Tape'!$L232="",0,'Loan Tape'!$L232)))</f>
        <v>0</v>
      </c>
      <c r="D539" s="104" t="n">
        <f aca="false">IF('Loan Tape'!$AN232=0,0,IF('Loan Tape'!$K232="Floating",MIN(IF('Loan Tape'!$P232="",10,'Loan Tape'!$P232),MAX(IF('Loan Tape'!$Q232="",0,'Loan Tape'!$Q232),INDEX(Idx_Curve,1,2)+'Loan Tape'!$M232)),IF('Loan Tape'!$L232="",0,'Loan Tape'!$L232)))</f>
        <v>0</v>
      </c>
      <c r="E539" s="104" t="n">
        <f aca="false">IF('Loan Tape'!$AN232=0,0,IF('Loan Tape'!$K232="Floating",MIN(IF('Loan Tape'!$P232="",10,'Loan Tape'!$P232),MAX(IF('Loan Tape'!$Q232="",0,'Loan Tape'!$Q232),INDEX(Idx_Curve,1,3)+'Loan Tape'!$M232)),IF('Loan Tape'!$L232="",0,'Loan Tape'!$L232)))</f>
        <v>0</v>
      </c>
      <c r="F539" s="104" t="n">
        <f aca="false">IF('Loan Tape'!$AN232=0,0,IF('Loan Tape'!$K232="Floating",MIN(IF('Loan Tape'!$P232="",10,'Loan Tape'!$P232),MAX(IF('Loan Tape'!$Q232="",0,'Loan Tape'!$Q232),INDEX(Idx_Curve,1,4)+'Loan Tape'!$M232)),IF('Loan Tape'!$L232="",0,'Loan Tape'!$L232)))</f>
        <v>0</v>
      </c>
      <c r="G539" s="104" t="n">
        <f aca="false">IF('Loan Tape'!$AN232=0,0,IF('Loan Tape'!$K232="Floating",MIN(IF('Loan Tape'!$P232="",10,'Loan Tape'!$P232),MAX(IF('Loan Tape'!$Q232="",0,'Loan Tape'!$Q232),INDEX(Idx_Curve,1,5)+'Loan Tape'!$M232)),IF('Loan Tape'!$L232="",0,'Loan Tape'!$L232)))</f>
        <v>0</v>
      </c>
      <c r="H539" s="104" t="n">
        <f aca="false">IF('Loan Tape'!$AN232=0,0,IF('Loan Tape'!$K232="Floating",MIN(IF('Loan Tape'!$P232="",10,'Loan Tape'!$P232),MAX(IF('Loan Tape'!$Q232="",0,'Loan Tape'!$Q232),INDEX(Idx_Curve,1,6)+'Loan Tape'!$M232)),IF('Loan Tape'!$L232="",0,'Loan Tape'!$L232)))</f>
        <v>0</v>
      </c>
      <c r="I539" s="104" t="n">
        <f aca="false">IF('Loan Tape'!$AN232=0,0,IF('Loan Tape'!$K232="Floating",MIN(IF('Loan Tape'!$P232="",10,'Loan Tape'!$P232),MAX(IF('Loan Tape'!$Q232="",0,'Loan Tape'!$Q232),INDEX(Idx_Curve,1,7)+'Loan Tape'!$M232)),IF('Loan Tape'!$L232="",0,'Loan Tape'!$L232)))</f>
        <v>0</v>
      </c>
      <c r="J539" s="104" t="n">
        <f aca="false">IF('Loan Tape'!$AN232=0,0,IF('Loan Tape'!$K232="Floating",MIN(IF('Loan Tape'!$P232="",10,'Loan Tape'!$P232),MAX(IF('Loan Tape'!$Q232="",0,'Loan Tape'!$Q232),INDEX(Idx_Curve,1,8)+'Loan Tape'!$M232)),IF('Loan Tape'!$L232="",0,'Loan Tape'!$L232)))</f>
        <v>0</v>
      </c>
      <c r="K539" s="104" t="n">
        <f aca="false">IF('Loan Tape'!$AN232=0,0,IF('Loan Tape'!$K232="Floating",MIN(IF('Loan Tape'!$P232="",10,'Loan Tape'!$P232),MAX(IF('Loan Tape'!$Q232="",0,'Loan Tape'!$Q232),INDEX(Idx_Curve,1,9)+'Loan Tape'!$M232)),IF('Loan Tape'!$L232="",0,'Loan Tape'!$L232)))</f>
        <v>0</v>
      </c>
      <c r="L539" s="104" t="n">
        <f aca="false">IF('Loan Tape'!$AN232=0,0,IF('Loan Tape'!$K232="Floating",MIN(IF('Loan Tape'!$P232="",10,'Loan Tape'!$P232),MAX(IF('Loan Tape'!$Q232="",0,'Loan Tape'!$Q232),INDEX(Idx_Curve,1,10)+'Loan Tape'!$M232)),IF('Loan Tape'!$L232="",0,'Loan Tape'!$L232)))</f>
        <v>0</v>
      </c>
    </row>
    <row r="540" customFormat="false" ht="15" hidden="false" customHeight="false" outlineLevel="0" collapsed="false">
      <c r="B540" s="108" t="n">
        <f aca="false">'Loan Tape'!$A233</f>
        <v>0</v>
      </c>
      <c r="C540" s="56" t="n">
        <f aca="false">IF('Loan Tape'!$AN233=0,0,IF('Loan Tape'!$K233="Floating",MIN(IF('Loan Tape'!$P233="",10,'Loan Tape'!$P233),MAX(IF('Loan Tape'!$Q233="",0,'Loan Tape'!$Q233),INDEX(Idx_Curve,1,1)+'Loan Tape'!$M233)),IF('Loan Tape'!$L233="",0,'Loan Tape'!$L233)))</f>
        <v>0</v>
      </c>
      <c r="D540" s="56" t="n">
        <f aca="false">IF('Loan Tape'!$AN233=0,0,IF('Loan Tape'!$K233="Floating",MIN(IF('Loan Tape'!$P233="",10,'Loan Tape'!$P233),MAX(IF('Loan Tape'!$Q233="",0,'Loan Tape'!$Q233),INDEX(Idx_Curve,1,2)+'Loan Tape'!$M233)),IF('Loan Tape'!$L233="",0,'Loan Tape'!$L233)))</f>
        <v>0</v>
      </c>
      <c r="E540" s="56" t="n">
        <f aca="false">IF('Loan Tape'!$AN233=0,0,IF('Loan Tape'!$K233="Floating",MIN(IF('Loan Tape'!$P233="",10,'Loan Tape'!$P233),MAX(IF('Loan Tape'!$Q233="",0,'Loan Tape'!$Q233),INDEX(Idx_Curve,1,3)+'Loan Tape'!$M233)),IF('Loan Tape'!$L233="",0,'Loan Tape'!$L233)))</f>
        <v>0</v>
      </c>
      <c r="F540" s="56" t="n">
        <f aca="false">IF('Loan Tape'!$AN233=0,0,IF('Loan Tape'!$K233="Floating",MIN(IF('Loan Tape'!$P233="",10,'Loan Tape'!$P233),MAX(IF('Loan Tape'!$Q233="",0,'Loan Tape'!$Q233),INDEX(Idx_Curve,1,4)+'Loan Tape'!$M233)),IF('Loan Tape'!$L233="",0,'Loan Tape'!$L233)))</f>
        <v>0</v>
      </c>
      <c r="G540" s="56" t="n">
        <f aca="false">IF('Loan Tape'!$AN233=0,0,IF('Loan Tape'!$K233="Floating",MIN(IF('Loan Tape'!$P233="",10,'Loan Tape'!$P233),MAX(IF('Loan Tape'!$Q233="",0,'Loan Tape'!$Q233),INDEX(Idx_Curve,1,5)+'Loan Tape'!$M233)),IF('Loan Tape'!$L233="",0,'Loan Tape'!$L233)))</f>
        <v>0</v>
      </c>
      <c r="H540" s="56" t="n">
        <f aca="false">IF('Loan Tape'!$AN233=0,0,IF('Loan Tape'!$K233="Floating",MIN(IF('Loan Tape'!$P233="",10,'Loan Tape'!$P233),MAX(IF('Loan Tape'!$Q233="",0,'Loan Tape'!$Q233),INDEX(Idx_Curve,1,6)+'Loan Tape'!$M233)),IF('Loan Tape'!$L233="",0,'Loan Tape'!$L233)))</f>
        <v>0</v>
      </c>
      <c r="I540" s="56" t="n">
        <f aca="false">IF('Loan Tape'!$AN233=0,0,IF('Loan Tape'!$K233="Floating",MIN(IF('Loan Tape'!$P233="",10,'Loan Tape'!$P233),MAX(IF('Loan Tape'!$Q233="",0,'Loan Tape'!$Q233),INDEX(Idx_Curve,1,7)+'Loan Tape'!$M233)),IF('Loan Tape'!$L233="",0,'Loan Tape'!$L233)))</f>
        <v>0</v>
      </c>
      <c r="J540" s="56" t="n">
        <f aca="false">IF('Loan Tape'!$AN233=0,0,IF('Loan Tape'!$K233="Floating",MIN(IF('Loan Tape'!$P233="",10,'Loan Tape'!$P233),MAX(IF('Loan Tape'!$Q233="",0,'Loan Tape'!$Q233),INDEX(Idx_Curve,1,8)+'Loan Tape'!$M233)),IF('Loan Tape'!$L233="",0,'Loan Tape'!$L233)))</f>
        <v>0</v>
      </c>
      <c r="K540" s="56" t="n">
        <f aca="false">IF('Loan Tape'!$AN233=0,0,IF('Loan Tape'!$K233="Floating",MIN(IF('Loan Tape'!$P233="",10,'Loan Tape'!$P233),MAX(IF('Loan Tape'!$Q233="",0,'Loan Tape'!$Q233),INDEX(Idx_Curve,1,9)+'Loan Tape'!$M233)),IF('Loan Tape'!$L233="",0,'Loan Tape'!$L233)))</f>
        <v>0</v>
      </c>
      <c r="L540" s="56" t="n">
        <f aca="false">IF('Loan Tape'!$AN233=0,0,IF('Loan Tape'!$K233="Floating",MIN(IF('Loan Tape'!$P233="",10,'Loan Tape'!$P233),MAX(IF('Loan Tape'!$Q233="",0,'Loan Tape'!$Q233),INDEX(Idx_Curve,1,10)+'Loan Tape'!$M233)),IF('Loan Tape'!$L233="",0,'Loan Tape'!$L233)))</f>
        <v>0</v>
      </c>
    </row>
    <row r="541" customFormat="false" ht="15" hidden="false" customHeight="false" outlineLevel="0" collapsed="false">
      <c r="B541" s="102" t="n">
        <f aca="false">'Loan Tape'!$A234</f>
        <v>0</v>
      </c>
      <c r="C541" s="104" t="n">
        <f aca="false">IF('Loan Tape'!$AN234=0,0,IF('Loan Tape'!$K234="Floating",MIN(IF('Loan Tape'!$P234="",10,'Loan Tape'!$P234),MAX(IF('Loan Tape'!$Q234="",0,'Loan Tape'!$Q234),INDEX(Idx_Curve,1,1)+'Loan Tape'!$M234)),IF('Loan Tape'!$L234="",0,'Loan Tape'!$L234)))</f>
        <v>0</v>
      </c>
      <c r="D541" s="104" t="n">
        <f aca="false">IF('Loan Tape'!$AN234=0,0,IF('Loan Tape'!$K234="Floating",MIN(IF('Loan Tape'!$P234="",10,'Loan Tape'!$P234),MAX(IF('Loan Tape'!$Q234="",0,'Loan Tape'!$Q234),INDEX(Idx_Curve,1,2)+'Loan Tape'!$M234)),IF('Loan Tape'!$L234="",0,'Loan Tape'!$L234)))</f>
        <v>0</v>
      </c>
      <c r="E541" s="104" t="n">
        <f aca="false">IF('Loan Tape'!$AN234=0,0,IF('Loan Tape'!$K234="Floating",MIN(IF('Loan Tape'!$P234="",10,'Loan Tape'!$P234),MAX(IF('Loan Tape'!$Q234="",0,'Loan Tape'!$Q234),INDEX(Idx_Curve,1,3)+'Loan Tape'!$M234)),IF('Loan Tape'!$L234="",0,'Loan Tape'!$L234)))</f>
        <v>0</v>
      </c>
      <c r="F541" s="104" t="n">
        <f aca="false">IF('Loan Tape'!$AN234=0,0,IF('Loan Tape'!$K234="Floating",MIN(IF('Loan Tape'!$P234="",10,'Loan Tape'!$P234),MAX(IF('Loan Tape'!$Q234="",0,'Loan Tape'!$Q234),INDEX(Idx_Curve,1,4)+'Loan Tape'!$M234)),IF('Loan Tape'!$L234="",0,'Loan Tape'!$L234)))</f>
        <v>0</v>
      </c>
      <c r="G541" s="104" t="n">
        <f aca="false">IF('Loan Tape'!$AN234=0,0,IF('Loan Tape'!$K234="Floating",MIN(IF('Loan Tape'!$P234="",10,'Loan Tape'!$P234),MAX(IF('Loan Tape'!$Q234="",0,'Loan Tape'!$Q234),INDEX(Idx_Curve,1,5)+'Loan Tape'!$M234)),IF('Loan Tape'!$L234="",0,'Loan Tape'!$L234)))</f>
        <v>0</v>
      </c>
      <c r="H541" s="104" t="n">
        <f aca="false">IF('Loan Tape'!$AN234=0,0,IF('Loan Tape'!$K234="Floating",MIN(IF('Loan Tape'!$P234="",10,'Loan Tape'!$P234),MAX(IF('Loan Tape'!$Q234="",0,'Loan Tape'!$Q234),INDEX(Idx_Curve,1,6)+'Loan Tape'!$M234)),IF('Loan Tape'!$L234="",0,'Loan Tape'!$L234)))</f>
        <v>0</v>
      </c>
      <c r="I541" s="104" t="n">
        <f aca="false">IF('Loan Tape'!$AN234=0,0,IF('Loan Tape'!$K234="Floating",MIN(IF('Loan Tape'!$P234="",10,'Loan Tape'!$P234),MAX(IF('Loan Tape'!$Q234="",0,'Loan Tape'!$Q234),INDEX(Idx_Curve,1,7)+'Loan Tape'!$M234)),IF('Loan Tape'!$L234="",0,'Loan Tape'!$L234)))</f>
        <v>0</v>
      </c>
      <c r="J541" s="104" t="n">
        <f aca="false">IF('Loan Tape'!$AN234=0,0,IF('Loan Tape'!$K234="Floating",MIN(IF('Loan Tape'!$P234="",10,'Loan Tape'!$P234),MAX(IF('Loan Tape'!$Q234="",0,'Loan Tape'!$Q234),INDEX(Idx_Curve,1,8)+'Loan Tape'!$M234)),IF('Loan Tape'!$L234="",0,'Loan Tape'!$L234)))</f>
        <v>0</v>
      </c>
      <c r="K541" s="104" t="n">
        <f aca="false">IF('Loan Tape'!$AN234=0,0,IF('Loan Tape'!$K234="Floating",MIN(IF('Loan Tape'!$P234="",10,'Loan Tape'!$P234),MAX(IF('Loan Tape'!$Q234="",0,'Loan Tape'!$Q234),INDEX(Idx_Curve,1,9)+'Loan Tape'!$M234)),IF('Loan Tape'!$L234="",0,'Loan Tape'!$L234)))</f>
        <v>0</v>
      </c>
      <c r="L541" s="104" t="n">
        <f aca="false">IF('Loan Tape'!$AN234=0,0,IF('Loan Tape'!$K234="Floating",MIN(IF('Loan Tape'!$P234="",10,'Loan Tape'!$P234),MAX(IF('Loan Tape'!$Q234="",0,'Loan Tape'!$Q234),INDEX(Idx_Curve,1,10)+'Loan Tape'!$M234)),IF('Loan Tape'!$L234="",0,'Loan Tape'!$L234)))</f>
        <v>0</v>
      </c>
    </row>
    <row r="542" customFormat="false" ht="15" hidden="false" customHeight="false" outlineLevel="0" collapsed="false">
      <c r="B542" s="108" t="n">
        <f aca="false">'Loan Tape'!$A235</f>
        <v>0</v>
      </c>
      <c r="C542" s="56" t="n">
        <f aca="false">IF('Loan Tape'!$AN235=0,0,IF('Loan Tape'!$K235="Floating",MIN(IF('Loan Tape'!$P235="",10,'Loan Tape'!$P235),MAX(IF('Loan Tape'!$Q235="",0,'Loan Tape'!$Q235),INDEX(Idx_Curve,1,1)+'Loan Tape'!$M235)),IF('Loan Tape'!$L235="",0,'Loan Tape'!$L235)))</f>
        <v>0</v>
      </c>
      <c r="D542" s="56" t="n">
        <f aca="false">IF('Loan Tape'!$AN235=0,0,IF('Loan Tape'!$K235="Floating",MIN(IF('Loan Tape'!$P235="",10,'Loan Tape'!$P235),MAX(IF('Loan Tape'!$Q235="",0,'Loan Tape'!$Q235),INDEX(Idx_Curve,1,2)+'Loan Tape'!$M235)),IF('Loan Tape'!$L235="",0,'Loan Tape'!$L235)))</f>
        <v>0</v>
      </c>
      <c r="E542" s="56" t="n">
        <f aca="false">IF('Loan Tape'!$AN235=0,0,IF('Loan Tape'!$K235="Floating",MIN(IF('Loan Tape'!$P235="",10,'Loan Tape'!$P235),MAX(IF('Loan Tape'!$Q235="",0,'Loan Tape'!$Q235),INDEX(Idx_Curve,1,3)+'Loan Tape'!$M235)),IF('Loan Tape'!$L235="",0,'Loan Tape'!$L235)))</f>
        <v>0</v>
      </c>
      <c r="F542" s="56" t="n">
        <f aca="false">IF('Loan Tape'!$AN235=0,0,IF('Loan Tape'!$K235="Floating",MIN(IF('Loan Tape'!$P235="",10,'Loan Tape'!$P235),MAX(IF('Loan Tape'!$Q235="",0,'Loan Tape'!$Q235),INDEX(Idx_Curve,1,4)+'Loan Tape'!$M235)),IF('Loan Tape'!$L235="",0,'Loan Tape'!$L235)))</f>
        <v>0</v>
      </c>
      <c r="G542" s="56" t="n">
        <f aca="false">IF('Loan Tape'!$AN235=0,0,IF('Loan Tape'!$K235="Floating",MIN(IF('Loan Tape'!$P235="",10,'Loan Tape'!$P235),MAX(IF('Loan Tape'!$Q235="",0,'Loan Tape'!$Q235),INDEX(Idx_Curve,1,5)+'Loan Tape'!$M235)),IF('Loan Tape'!$L235="",0,'Loan Tape'!$L235)))</f>
        <v>0</v>
      </c>
      <c r="H542" s="56" t="n">
        <f aca="false">IF('Loan Tape'!$AN235=0,0,IF('Loan Tape'!$K235="Floating",MIN(IF('Loan Tape'!$P235="",10,'Loan Tape'!$P235),MAX(IF('Loan Tape'!$Q235="",0,'Loan Tape'!$Q235),INDEX(Idx_Curve,1,6)+'Loan Tape'!$M235)),IF('Loan Tape'!$L235="",0,'Loan Tape'!$L235)))</f>
        <v>0</v>
      </c>
      <c r="I542" s="56" t="n">
        <f aca="false">IF('Loan Tape'!$AN235=0,0,IF('Loan Tape'!$K235="Floating",MIN(IF('Loan Tape'!$P235="",10,'Loan Tape'!$P235),MAX(IF('Loan Tape'!$Q235="",0,'Loan Tape'!$Q235),INDEX(Idx_Curve,1,7)+'Loan Tape'!$M235)),IF('Loan Tape'!$L235="",0,'Loan Tape'!$L235)))</f>
        <v>0</v>
      </c>
      <c r="J542" s="56" t="n">
        <f aca="false">IF('Loan Tape'!$AN235=0,0,IF('Loan Tape'!$K235="Floating",MIN(IF('Loan Tape'!$P235="",10,'Loan Tape'!$P235),MAX(IF('Loan Tape'!$Q235="",0,'Loan Tape'!$Q235),INDEX(Idx_Curve,1,8)+'Loan Tape'!$M235)),IF('Loan Tape'!$L235="",0,'Loan Tape'!$L235)))</f>
        <v>0</v>
      </c>
      <c r="K542" s="56" t="n">
        <f aca="false">IF('Loan Tape'!$AN235=0,0,IF('Loan Tape'!$K235="Floating",MIN(IF('Loan Tape'!$P235="",10,'Loan Tape'!$P235),MAX(IF('Loan Tape'!$Q235="",0,'Loan Tape'!$Q235),INDEX(Idx_Curve,1,9)+'Loan Tape'!$M235)),IF('Loan Tape'!$L235="",0,'Loan Tape'!$L235)))</f>
        <v>0</v>
      </c>
      <c r="L542" s="56" t="n">
        <f aca="false">IF('Loan Tape'!$AN235=0,0,IF('Loan Tape'!$K235="Floating",MIN(IF('Loan Tape'!$P235="",10,'Loan Tape'!$P235),MAX(IF('Loan Tape'!$Q235="",0,'Loan Tape'!$Q235),INDEX(Idx_Curve,1,10)+'Loan Tape'!$M235)),IF('Loan Tape'!$L235="",0,'Loan Tape'!$L235)))</f>
        <v>0</v>
      </c>
    </row>
    <row r="543" customFormat="false" ht="15" hidden="false" customHeight="false" outlineLevel="0" collapsed="false">
      <c r="B543" s="102" t="n">
        <f aca="false">'Loan Tape'!$A236</f>
        <v>0</v>
      </c>
      <c r="C543" s="104" t="n">
        <f aca="false">IF('Loan Tape'!$AN236=0,0,IF('Loan Tape'!$K236="Floating",MIN(IF('Loan Tape'!$P236="",10,'Loan Tape'!$P236),MAX(IF('Loan Tape'!$Q236="",0,'Loan Tape'!$Q236),INDEX(Idx_Curve,1,1)+'Loan Tape'!$M236)),IF('Loan Tape'!$L236="",0,'Loan Tape'!$L236)))</f>
        <v>0</v>
      </c>
      <c r="D543" s="104" t="n">
        <f aca="false">IF('Loan Tape'!$AN236=0,0,IF('Loan Tape'!$K236="Floating",MIN(IF('Loan Tape'!$P236="",10,'Loan Tape'!$P236),MAX(IF('Loan Tape'!$Q236="",0,'Loan Tape'!$Q236),INDEX(Idx_Curve,1,2)+'Loan Tape'!$M236)),IF('Loan Tape'!$L236="",0,'Loan Tape'!$L236)))</f>
        <v>0</v>
      </c>
      <c r="E543" s="104" t="n">
        <f aca="false">IF('Loan Tape'!$AN236=0,0,IF('Loan Tape'!$K236="Floating",MIN(IF('Loan Tape'!$P236="",10,'Loan Tape'!$P236),MAX(IF('Loan Tape'!$Q236="",0,'Loan Tape'!$Q236),INDEX(Idx_Curve,1,3)+'Loan Tape'!$M236)),IF('Loan Tape'!$L236="",0,'Loan Tape'!$L236)))</f>
        <v>0</v>
      </c>
      <c r="F543" s="104" t="n">
        <f aca="false">IF('Loan Tape'!$AN236=0,0,IF('Loan Tape'!$K236="Floating",MIN(IF('Loan Tape'!$P236="",10,'Loan Tape'!$P236),MAX(IF('Loan Tape'!$Q236="",0,'Loan Tape'!$Q236),INDEX(Idx_Curve,1,4)+'Loan Tape'!$M236)),IF('Loan Tape'!$L236="",0,'Loan Tape'!$L236)))</f>
        <v>0</v>
      </c>
      <c r="G543" s="104" t="n">
        <f aca="false">IF('Loan Tape'!$AN236=0,0,IF('Loan Tape'!$K236="Floating",MIN(IF('Loan Tape'!$P236="",10,'Loan Tape'!$P236),MAX(IF('Loan Tape'!$Q236="",0,'Loan Tape'!$Q236),INDEX(Idx_Curve,1,5)+'Loan Tape'!$M236)),IF('Loan Tape'!$L236="",0,'Loan Tape'!$L236)))</f>
        <v>0</v>
      </c>
      <c r="H543" s="104" t="n">
        <f aca="false">IF('Loan Tape'!$AN236=0,0,IF('Loan Tape'!$K236="Floating",MIN(IF('Loan Tape'!$P236="",10,'Loan Tape'!$P236),MAX(IF('Loan Tape'!$Q236="",0,'Loan Tape'!$Q236),INDEX(Idx_Curve,1,6)+'Loan Tape'!$M236)),IF('Loan Tape'!$L236="",0,'Loan Tape'!$L236)))</f>
        <v>0</v>
      </c>
      <c r="I543" s="104" t="n">
        <f aca="false">IF('Loan Tape'!$AN236=0,0,IF('Loan Tape'!$K236="Floating",MIN(IF('Loan Tape'!$P236="",10,'Loan Tape'!$P236),MAX(IF('Loan Tape'!$Q236="",0,'Loan Tape'!$Q236),INDEX(Idx_Curve,1,7)+'Loan Tape'!$M236)),IF('Loan Tape'!$L236="",0,'Loan Tape'!$L236)))</f>
        <v>0</v>
      </c>
      <c r="J543" s="104" t="n">
        <f aca="false">IF('Loan Tape'!$AN236=0,0,IF('Loan Tape'!$K236="Floating",MIN(IF('Loan Tape'!$P236="",10,'Loan Tape'!$P236),MAX(IF('Loan Tape'!$Q236="",0,'Loan Tape'!$Q236),INDEX(Idx_Curve,1,8)+'Loan Tape'!$M236)),IF('Loan Tape'!$L236="",0,'Loan Tape'!$L236)))</f>
        <v>0</v>
      </c>
      <c r="K543" s="104" t="n">
        <f aca="false">IF('Loan Tape'!$AN236=0,0,IF('Loan Tape'!$K236="Floating",MIN(IF('Loan Tape'!$P236="",10,'Loan Tape'!$P236),MAX(IF('Loan Tape'!$Q236="",0,'Loan Tape'!$Q236),INDEX(Idx_Curve,1,9)+'Loan Tape'!$M236)),IF('Loan Tape'!$L236="",0,'Loan Tape'!$L236)))</f>
        <v>0</v>
      </c>
      <c r="L543" s="104" t="n">
        <f aca="false">IF('Loan Tape'!$AN236=0,0,IF('Loan Tape'!$K236="Floating",MIN(IF('Loan Tape'!$P236="",10,'Loan Tape'!$P236),MAX(IF('Loan Tape'!$Q236="",0,'Loan Tape'!$Q236),INDEX(Idx_Curve,1,10)+'Loan Tape'!$M236)),IF('Loan Tape'!$L236="",0,'Loan Tape'!$L236)))</f>
        <v>0</v>
      </c>
    </row>
    <row r="544" customFormat="false" ht="15" hidden="false" customHeight="false" outlineLevel="0" collapsed="false">
      <c r="B544" s="108" t="n">
        <f aca="false">'Loan Tape'!$A237</f>
        <v>0</v>
      </c>
      <c r="C544" s="56" t="n">
        <f aca="false">IF('Loan Tape'!$AN237=0,0,IF('Loan Tape'!$K237="Floating",MIN(IF('Loan Tape'!$P237="",10,'Loan Tape'!$P237),MAX(IF('Loan Tape'!$Q237="",0,'Loan Tape'!$Q237),INDEX(Idx_Curve,1,1)+'Loan Tape'!$M237)),IF('Loan Tape'!$L237="",0,'Loan Tape'!$L237)))</f>
        <v>0</v>
      </c>
      <c r="D544" s="56" t="n">
        <f aca="false">IF('Loan Tape'!$AN237=0,0,IF('Loan Tape'!$K237="Floating",MIN(IF('Loan Tape'!$P237="",10,'Loan Tape'!$P237),MAX(IF('Loan Tape'!$Q237="",0,'Loan Tape'!$Q237),INDEX(Idx_Curve,1,2)+'Loan Tape'!$M237)),IF('Loan Tape'!$L237="",0,'Loan Tape'!$L237)))</f>
        <v>0</v>
      </c>
      <c r="E544" s="56" t="n">
        <f aca="false">IF('Loan Tape'!$AN237=0,0,IF('Loan Tape'!$K237="Floating",MIN(IF('Loan Tape'!$P237="",10,'Loan Tape'!$P237),MAX(IF('Loan Tape'!$Q237="",0,'Loan Tape'!$Q237),INDEX(Idx_Curve,1,3)+'Loan Tape'!$M237)),IF('Loan Tape'!$L237="",0,'Loan Tape'!$L237)))</f>
        <v>0</v>
      </c>
      <c r="F544" s="56" t="n">
        <f aca="false">IF('Loan Tape'!$AN237=0,0,IF('Loan Tape'!$K237="Floating",MIN(IF('Loan Tape'!$P237="",10,'Loan Tape'!$P237),MAX(IF('Loan Tape'!$Q237="",0,'Loan Tape'!$Q237),INDEX(Idx_Curve,1,4)+'Loan Tape'!$M237)),IF('Loan Tape'!$L237="",0,'Loan Tape'!$L237)))</f>
        <v>0</v>
      </c>
      <c r="G544" s="56" t="n">
        <f aca="false">IF('Loan Tape'!$AN237=0,0,IF('Loan Tape'!$K237="Floating",MIN(IF('Loan Tape'!$P237="",10,'Loan Tape'!$P237),MAX(IF('Loan Tape'!$Q237="",0,'Loan Tape'!$Q237),INDEX(Idx_Curve,1,5)+'Loan Tape'!$M237)),IF('Loan Tape'!$L237="",0,'Loan Tape'!$L237)))</f>
        <v>0</v>
      </c>
      <c r="H544" s="56" t="n">
        <f aca="false">IF('Loan Tape'!$AN237=0,0,IF('Loan Tape'!$K237="Floating",MIN(IF('Loan Tape'!$P237="",10,'Loan Tape'!$P237),MAX(IF('Loan Tape'!$Q237="",0,'Loan Tape'!$Q237),INDEX(Idx_Curve,1,6)+'Loan Tape'!$M237)),IF('Loan Tape'!$L237="",0,'Loan Tape'!$L237)))</f>
        <v>0</v>
      </c>
      <c r="I544" s="56" t="n">
        <f aca="false">IF('Loan Tape'!$AN237=0,0,IF('Loan Tape'!$K237="Floating",MIN(IF('Loan Tape'!$P237="",10,'Loan Tape'!$P237),MAX(IF('Loan Tape'!$Q237="",0,'Loan Tape'!$Q237),INDEX(Idx_Curve,1,7)+'Loan Tape'!$M237)),IF('Loan Tape'!$L237="",0,'Loan Tape'!$L237)))</f>
        <v>0</v>
      </c>
      <c r="J544" s="56" t="n">
        <f aca="false">IF('Loan Tape'!$AN237=0,0,IF('Loan Tape'!$K237="Floating",MIN(IF('Loan Tape'!$P237="",10,'Loan Tape'!$P237),MAX(IF('Loan Tape'!$Q237="",0,'Loan Tape'!$Q237),INDEX(Idx_Curve,1,8)+'Loan Tape'!$M237)),IF('Loan Tape'!$L237="",0,'Loan Tape'!$L237)))</f>
        <v>0</v>
      </c>
      <c r="K544" s="56" t="n">
        <f aca="false">IF('Loan Tape'!$AN237=0,0,IF('Loan Tape'!$K237="Floating",MIN(IF('Loan Tape'!$P237="",10,'Loan Tape'!$P237),MAX(IF('Loan Tape'!$Q237="",0,'Loan Tape'!$Q237),INDEX(Idx_Curve,1,9)+'Loan Tape'!$M237)),IF('Loan Tape'!$L237="",0,'Loan Tape'!$L237)))</f>
        <v>0</v>
      </c>
      <c r="L544" s="56" t="n">
        <f aca="false">IF('Loan Tape'!$AN237=0,0,IF('Loan Tape'!$K237="Floating",MIN(IF('Loan Tape'!$P237="",10,'Loan Tape'!$P237),MAX(IF('Loan Tape'!$Q237="",0,'Loan Tape'!$Q237),INDEX(Idx_Curve,1,10)+'Loan Tape'!$M237)),IF('Loan Tape'!$L237="",0,'Loan Tape'!$L237)))</f>
        <v>0</v>
      </c>
    </row>
    <row r="545" customFormat="false" ht="15" hidden="false" customHeight="false" outlineLevel="0" collapsed="false">
      <c r="B545" s="102" t="n">
        <f aca="false">'Loan Tape'!$A238</f>
        <v>0</v>
      </c>
      <c r="C545" s="104" t="n">
        <f aca="false">IF('Loan Tape'!$AN238=0,0,IF('Loan Tape'!$K238="Floating",MIN(IF('Loan Tape'!$P238="",10,'Loan Tape'!$P238),MAX(IF('Loan Tape'!$Q238="",0,'Loan Tape'!$Q238),INDEX(Idx_Curve,1,1)+'Loan Tape'!$M238)),IF('Loan Tape'!$L238="",0,'Loan Tape'!$L238)))</f>
        <v>0</v>
      </c>
      <c r="D545" s="104" t="n">
        <f aca="false">IF('Loan Tape'!$AN238=0,0,IF('Loan Tape'!$K238="Floating",MIN(IF('Loan Tape'!$P238="",10,'Loan Tape'!$P238),MAX(IF('Loan Tape'!$Q238="",0,'Loan Tape'!$Q238),INDEX(Idx_Curve,1,2)+'Loan Tape'!$M238)),IF('Loan Tape'!$L238="",0,'Loan Tape'!$L238)))</f>
        <v>0</v>
      </c>
      <c r="E545" s="104" t="n">
        <f aca="false">IF('Loan Tape'!$AN238=0,0,IF('Loan Tape'!$K238="Floating",MIN(IF('Loan Tape'!$P238="",10,'Loan Tape'!$P238),MAX(IF('Loan Tape'!$Q238="",0,'Loan Tape'!$Q238),INDEX(Idx_Curve,1,3)+'Loan Tape'!$M238)),IF('Loan Tape'!$L238="",0,'Loan Tape'!$L238)))</f>
        <v>0</v>
      </c>
      <c r="F545" s="104" t="n">
        <f aca="false">IF('Loan Tape'!$AN238=0,0,IF('Loan Tape'!$K238="Floating",MIN(IF('Loan Tape'!$P238="",10,'Loan Tape'!$P238),MAX(IF('Loan Tape'!$Q238="",0,'Loan Tape'!$Q238),INDEX(Idx_Curve,1,4)+'Loan Tape'!$M238)),IF('Loan Tape'!$L238="",0,'Loan Tape'!$L238)))</f>
        <v>0</v>
      </c>
      <c r="G545" s="104" t="n">
        <f aca="false">IF('Loan Tape'!$AN238=0,0,IF('Loan Tape'!$K238="Floating",MIN(IF('Loan Tape'!$P238="",10,'Loan Tape'!$P238),MAX(IF('Loan Tape'!$Q238="",0,'Loan Tape'!$Q238),INDEX(Idx_Curve,1,5)+'Loan Tape'!$M238)),IF('Loan Tape'!$L238="",0,'Loan Tape'!$L238)))</f>
        <v>0</v>
      </c>
      <c r="H545" s="104" t="n">
        <f aca="false">IF('Loan Tape'!$AN238=0,0,IF('Loan Tape'!$K238="Floating",MIN(IF('Loan Tape'!$P238="",10,'Loan Tape'!$P238),MAX(IF('Loan Tape'!$Q238="",0,'Loan Tape'!$Q238),INDEX(Idx_Curve,1,6)+'Loan Tape'!$M238)),IF('Loan Tape'!$L238="",0,'Loan Tape'!$L238)))</f>
        <v>0</v>
      </c>
      <c r="I545" s="104" t="n">
        <f aca="false">IF('Loan Tape'!$AN238=0,0,IF('Loan Tape'!$K238="Floating",MIN(IF('Loan Tape'!$P238="",10,'Loan Tape'!$P238),MAX(IF('Loan Tape'!$Q238="",0,'Loan Tape'!$Q238),INDEX(Idx_Curve,1,7)+'Loan Tape'!$M238)),IF('Loan Tape'!$L238="",0,'Loan Tape'!$L238)))</f>
        <v>0</v>
      </c>
      <c r="J545" s="104" t="n">
        <f aca="false">IF('Loan Tape'!$AN238=0,0,IF('Loan Tape'!$K238="Floating",MIN(IF('Loan Tape'!$P238="",10,'Loan Tape'!$P238),MAX(IF('Loan Tape'!$Q238="",0,'Loan Tape'!$Q238),INDEX(Idx_Curve,1,8)+'Loan Tape'!$M238)),IF('Loan Tape'!$L238="",0,'Loan Tape'!$L238)))</f>
        <v>0</v>
      </c>
      <c r="K545" s="104" t="n">
        <f aca="false">IF('Loan Tape'!$AN238=0,0,IF('Loan Tape'!$K238="Floating",MIN(IF('Loan Tape'!$P238="",10,'Loan Tape'!$P238),MAX(IF('Loan Tape'!$Q238="",0,'Loan Tape'!$Q238),INDEX(Idx_Curve,1,9)+'Loan Tape'!$M238)),IF('Loan Tape'!$L238="",0,'Loan Tape'!$L238)))</f>
        <v>0</v>
      </c>
      <c r="L545" s="104" t="n">
        <f aca="false">IF('Loan Tape'!$AN238=0,0,IF('Loan Tape'!$K238="Floating",MIN(IF('Loan Tape'!$P238="",10,'Loan Tape'!$P238),MAX(IF('Loan Tape'!$Q238="",0,'Loan Tape'!$Q238),INDEX(Idx_Curve,1,10)+'Loan Tape'!$M238)),IF('Loan Tape'!$L238="",0,'Loan Tape'!$L238)))</f>
        <v>0</v>
      </c>
    </row>
    <row r="546" customFormat="false" ht="15" hidden="false" customHeight="false" outlineLevel="0" collapsed="false">
      <c r="B546" s="108" t="n">
        <f aca="false">'Loan Tape'!$A239</f>
        <v>0</v>
      </c>
      <c r="C546" s="56" t="n">
        <f aca="false">IF('Loan Tape'!$AN239=0,0,IF('Loan Tape'!$K239="Floating",MIN(IF('Loan Tape'!$P239="",10,'Loan Tape'!$P239),MAX(IF('Loan Tape'!$Q239="",0,'Loan Tape'!$Q239),INDEX(Idx_Curve,1,1)+'Loan Tape'!$M239)),IF('Loan Tape'!$L239="",0,'Loan Tape'!$L239)))</f>
        <v>0</v>
      </c>
      <c r="D546" s="56" t="n">
        <f aca="false">IF('Loan Tape'!$AN239=0,0,IF('Loan Tape'!$K239="Floating",MIN(IF('Loan Tape'!$P239="",10,'Loan Tape'!$P239),MAX(IF('Loan Tape'!$Q239="",0,'Loan Tape'!$Q239),INDEX(Idx_Curve,1,2)+'Loan Tape'!$M239)),IF('Loan Tape'!$L239="",0,'Loan Tape'!$L239)))</f>
        <v>0</v>
      </c>
      <c r="E546" s="56" t="n">
        <f aca="false">IF('Loan Tape'!$AN239=0,0,IF('Loan Tape'!$K239="Floating",MIN(IF('Loan Tape'!$P239="",10,'Loan Tape'!$P239),MAX(IF('Loan Tape'!$Q239="",0,'Loan Tape'!$Q239),INDEX(Idx_Curve,1,3)+'Loan Tape'!$M239)),IF('Loan Tape'!$L239="",0,'Loan Tape'!$L239)))</f>
        <v>0</v>
      </c>
      <c r="F546" s="56" t="n">
        <f aca="false">IF('Loan Tape'!$AN239=0,0,IF('Loan Tape'!$K239="Floating",MIN(IF('Loan Tape'!$P239="",10,'Loan Tape'!$P239),MAX(IF('Loan Tape'!$Q239="",0,'Loan Tape'!$Q239),INDEX(Idx_Curve,1,4)+'Loan Tape'!$M239)),IF('Loan Tape'!$L239="",0,'Loan Tape'!$L239)))</f>
        <v>0</v>
      </c>
      <c r="G546" s="56" t="n">
        <f aca="false">IF('Loan Tape'!$AN239=0,0,IF('Loan Tape'!$K239="Floating",MIN(IF('Loan Tape'!$P239="",10,'Loan Tape'!$P239),MAX(IF('Loan Tape'!$Q239="",0,'Loan Tape'!$Q239),INDEX(Idx_Curve,1,5)+'Loan Tape'!$M239)),IF('Loan Tape'!$L239="",0,'Loan Tape'!$L239)))</f>
        <v>0</v>
      </c>
      <c r="H546" s="56" t="n">
        <f aca="false">IF('Loan Tape'!$AN239=0,0,IF('Loan Tape'!$K239="Floating",MIN(IF('Loan Tape'!$P239="",10,'Loan Tape'!$P239),MAX(IF('Loan Tape'!$Q239="",0,'Loan Tape'!$Q239),INDEX(Idx_Curve,1,6)+'Loan Tape'!$M239)),IF('Loan Tape'!$L239="",0,'Loan Tape'!$L239)))</f>
        <v>0</v>
      </c>
      <c r="I546" s="56" t="n">
        <f aca="false">IF('Loan Tape'!$AN239=0,0,IF('Loan Tape'!$K239="Floating",MIN(IF('Loan Tape'!$P239="",10,'Loan Tape'!$P239),MAX(IF('Loan Tape'!$Q239="",0,'Loan Tape'!$Q239),INDEX(Idx_Curve,1,7)+'Loan Tape'!$M239)),IF('Loan Tape'!$L239="",0,'Loan Tape'!$L239)))</f>
        <v>0</v>
      </c>
      <c r="J546" s="56" t="n">
        <f aca="false">IF('Loan Tape'!$AN239=0,0,IF('Loan Tape'!$K239="Floating",MIN(IF('Loan Tape'!$P239="",10,'Loan Tape'!$P239),MAX(IF('Loan Tape'!$Q239="",0,'Loan Tape'!$Q239),INDEX(Idx_Curve,1,8)+'Loan Tape'!$M239)),IF('Loan Tape'!$L239="",0,'Loan Tape'!$L239)))</f>
        <v>0</v>
      </c>
      <c r="K546" s="56" t="n">
        <f aca="false">IF('Loan Tape'!$AN239=0,0,IF('Loan Tape'!$K239="Floating",MIN(IF('Loan Tape'!$P239="",10,'Loan Tape'!$P239),MAX(IF('Loan Tape'!$Q239="",0,'Loan Tape'!$Q239),INDEX(Idx_Curve,1,9)+'Loan Tape'!$M239)),IF('Loan Tape'!$L239="",0,'Loan Tape'!$L239)))</f>
        <v>0</v>
      </c>
      <c r="L546" s="56" t="n">
        <f aca="false">IF('Loan Tape'!$AN239=0,0,IF('Loan Tape'!$K239="Floating",MIN(IF('Loan Tape'!$P239="",10,'Loan Tape'!$P239),MAX(IF('Loan Tape'!$Q239="",0,'Loan Tape'!$Q239),INDEX(Idx_Curve,1,10)+'Loan Tape'!$M239)),IF('Loan Tape'!$L239="",0,'Loan Tape'!$L239)))</f>
        <v>0</v>
      </c>
    </row>
    <row r="547" customFormat="false" ht="15" hidden="false" customHeight="false" outlineLevel="0" collapsed="false">
      <c r="B547" s="102" t="n">
        <f aca="false">'Loan Tape'!$A240</f>
        <v>0</v>
      </c>
      <c r="C547" s="104" t="n">
        <f aca="false">IF('Loan Tape'!$AN240=0,0,IF('Loan Tape'!$K240="Floating",MIN(IF('Loan Tape'!$P240="",10,'Loan Tape'!$P240),MAX(IF('Loan Tape'!$Q240="",0,'Loan Tape'!$Q240),INDEX(Idx_Curve,1,1)+'Loan Tape'!$M240)),IF('Loan Tape'!$L240="",0,'Loan Tape'!$L240)))</f>
        <v>0</v>
      </c>
      <c r="D547" s="104" t="n">
        <f aca="false">IF('Loan Tape'!$AN240=0,0,IF('Loan Tape'!$K240="Floating",MIN(IF('Loan Tape'!$P240="",10,'Loan Tape'!$P240),MAX(IF('Loan Tape'!$Q240="",0,'Loan Tape'!$Q240),INDEX(Idx_Curve,1,2)+'Loan Tape'!$M240)),IF('Loan Tape'!$L240="",0,'Loan Tape'!$L240)))</f>
        <v>0</v>
      </c>
      <c r="E547" s="104" t="n">
        <f aca="false">IF('Loan Tape'!$AN240=0,0,IF('Loan Tape'!$K240="Floating",MIN(IF('Loan Tape'!$P240="",10,'Loan Tape'!$P240),MAX(IF('Loan Tape'!$Q240="",0,'Loan Tape'!$Q240),INDEX(Idx_Curve,1,3)+'Loan Tape'!$M240)),IF('Loan Tape'!$L240="",0,'Loan Tape'!$L240)))</f>
        <v>0</v>
      </c>
      <c r="F547" s="104" t="n">
        <f aca="false">IF('Loan Tape'!$AN240=0,0,IF('Loan Tape'!$K240="Floating",MIN(IF('Loan Tape'!$P240="",10,'Loan Tape'!$P240),MAX(IF('Loan Tape'!$Q240="",0,'Loan Tape'!$Q240),INDEX(Idx_Curve,1,4)+'Loan Tape'!$M240)),IF('Loan Tape'!$L240="",0,'Loan Tape'!$L240)))</f>
        <v>0</v>
      </c>
      <c r="G547" s="104" t="n">
        <f aca="false">IF('Loan Tape'!$AN240=0,0,IF('Loan Tape'!$K240="Floating",MIN(IF('Loan Tape'!$P240="",10,'Loan Tape'!$P240),MAX(IF('Loan Tape'!$Q240="",0,'Loan Tape'!$Q240),INDEX(Idx_Curve,1,5)+'Loan Tape'!$M240)),IF('Loan Tape'!$L240="",0,'Loan Tape'!$L240)))</f>
        <v>0</v>
      </c>
      <c r="H547" s="104" t="n">
        <f aca="false">IF('Loan Tape'!$AN240=0,0,IF('Loan Tape'!$K240="Floating",MIN(IF('Loan Tape'!$P240="",10,'Loan Tape'!$P240),MAX(IF('Loan Tape'!$Q240="",0,'Loan Tape'!$Q240),INDEX(Idx_Curve,1,6)+'Loan Tape'!$M240)),IF('Loan Tape'!$L240="",0,'Loan Tape'!$L240)))</f>
        <v>0</v>
      </c>
      <c r="I547" s="104" t="n">
        <f aca="false">IF('Loan Tape'!$AN240=0,0,IF('Loan Tape'!$K240="Floating",MIN(IF('Loan Tape'!$P240="",10,'Loan Tape'!$P240),MAX(IF('Loan Tape'!$Q240="",0,'Loan Tape'!$Q240),INDEX(Idx_Curve,1,7)+'Loan Tape'!$M240)),IF('Loan Tape'!$L240="",0,'Loan Tape'!$L240)))</f>
        <v>0</v>
      </c>
      <c r="J547" s="104" t="n">
        <f aca="false">IF('Loan Tape'!$AN240=0,0,IF('Loan Tape'!$K240="Floating",MIN(IF('Loan Tape'!$P240="",10,'Loan Tape'!$P240),MAX(IF('Loan Tape'!$Q240="",0,'Loan Tape'!$Q240),INDEX(Idx_Curve,1,8)+'Loan Tape'!$M240)),IF('Loan Tape'!$L240="",0,'Loan Tape'!$L240)))</f>
        <v>0</v>
      </c>
      <c r="K547" s="104" t="n">
        <f aca="false">IF('Loan Tape'!$AN240=0,0,IF('Loan Tape'!$K240="Floating",MIN(IF('Loan Tape'!$P240="",10,'Loan Tape'!$P240),MAX(IF('Loan Tape'!$Q240="",0,'Loan Tape'!$Q240),INDEX(Idx_Curve,1,9)+'Loan Tape'!$M240)),IF('Loan Tape'!$L240="",0,'Loan Tape'!$L240)))</f>
        <v>0</v>
      </c>
      <c r="L547" s="104" t="n">
        <f aca="false">IF('Loan Tape'!$AN240=0,0,IF('Loan Tape'!$K240="Floating",MIN(IF('Loan Tape'!$P240="",10,'Loan Tape'!$P240),MAX(IF('Loan Tape'!$Q240="",0,'Loan Tape'!$Q240),INDEX(Idx_Curve,1,10)+'Loan Tape'!$M240)),IF('Loan Tape'!$L240="",0,'Loan Tape'!$L240)))</f>
        <v>0</v>
      </c>
    </row>
    <row r="548" customFormat="false" ht="15" hidden="false" customHeight="false" outlineLevel="0" collapsed="false">
      <c r="B548" s="108" t="n">
        <f aca="false">'Loan Tape'!$A241</f>
        <v>0</v>
      </c>
      <c r="C548" s="56" t="n">
        <f aca="false">IF('Loan Tape'!$AN241=0,0,IF('Loan Tape'!$K241="Floating",MIN(IF('Loan Tape'!$P241="",10,'Loan Tape'!$P241),MAX(IF('Loan Tape'!$Q241="",0,'Loan Tape'!$Q241),INDEX(Idx_Curve,1,1)+'Loan Tape'!$M241)),IF('Loan Tape'!$L241="",0,'Loan Tape'!$L241)))</f>
        <v>0</v>
      </c>
      <c r="D548" s="56" t="n">
        <f aca="false">IF('Loan Tape'!$AN241=0,0,IF('Loan Tape'!$K241="Floating",MIN(IF('Loan Tape'!$P241="",10,'Loan Tape'!$P241),MAX(IF('Loan Tape'!$Q241="",0,'Loan Tape'!$Q241),INDEX(Idx_Curve,1,2)+'Loan Tape'!$M241)),IF('Loan Tape'!$L241="",0,'Loan Tape'!$L241)))</f>
        <v>0</v>
      </c>
      <c r="E548" s="56" t="n">
        <f aca="false">IF('Loan Tape'!$AN241=0,0,IF('Loan Tape'!$K241="Floating",MIN(IF('Loan Tape'!$P241="",10,'Loan Tape'!$P241),MAX(IF('Loan Tape'!$Q241="",0,'Loan Tape'!$Q241),INDEX(Idx_Curve,1,3)+'Loan Tape'!$M241)),IF('Loan Tape'!$L241="",0,'Loan Tape'!$L241)))</f>
        <v>0</v>
      </c>
      <c r="F548" s="56" t="n">
        <f aca="false">IF('Loan Tape'!$AN241=0,0,IF('Loan Tape'!$K241="Floating",MIN(IF('Loan Tape'!$P241="",10,'Loan Tape'!$P241),MAX(IF('Loan Tape'!$Q241="",0,'Loan Tape'!$Q241),INDEX(Idx_Curve,1,4)+'Loan Tape'!$M241)),IF('Loan Tape'!$L241="",0,'Loan Tape'!$L241)))</f>
        <v>0</v>
      </c>
      <c r="G548" s="56" t="n">
        <f aca="false">IF('Loan Tape'!$AN241=0,0,IF('Loan Tape'!$K241="Floating",MIN(IF('Loan Tape'!$P241="",10,'Loan Tape'!$P241),MAX(IF('Loan Tape'!$Q241="",0,'Loan Tape'!$Q241),INDEX(Idx_Curve,1,5)+'Loan Tape'!$M241)),IF('Loan Tape'!$L241="",0,'Loan Tape'!$L241)))</f>
        <v>0</v>
      </c>
      <c r="H548" s="56" t="n">
        <f aca="false">IF('Loan Tape'!$AN241=0,0,IF('Loan Tape'!$K241="Floating",MIN(IF('Loan Tape'!$P241="",10,'Loan Tape'!$P241),MAX(IF('Loan Tape'!$Q241="",0,'Loan Tape'!$Q241),INDEX(Idx_Curve,1,6)+'Loan Tape'!$M241)),IF('Loan Tape'!$L241="",0,'Loan Tape'!$L241)))</f>
        <v>0</v>
      </c>
      <c r="I548" s="56" t="n">
        <f aca="false">IF('Loan Tape'!$AN241=0,0,IF('Loan Tape'!$K241="Floating",MIN(IF('Loan Tape'!$P241="",10,'Loan Tape'!$P241),MAX(IF('Loan Tape'!$Q241="",0,'Loan Tape'!$Q241),INDEX(Idx_Curve,1,7)+'Loan Tape'!$M241)),IF('Loan Tape'!$L241="",0,'Loan Tape'!$L241)))</f>
        <v>0</v>
      </c>
      <c r="J548" s="56" t="n">
        <f aca="false">IF('Loan Tape'!$AN241=0,0,IF('Loan Tape'!$K241="Floating",MIN(IF('Loan Tape'!$P241="",10,'Loan Tape'!$P241),MAX(IF('Loan Tape'!$Q241="",0,'Loan Tape'!$Q241),INDEX(Idx_Curve,1,8)+'Loan Tape'!$M241)),IF('Loan Tape'!$L241="",0,'Loan Tape'!$L241)))</f>
        <v>0</v>
      </c>
      <c r="K548" s="56" t="n">
        <f aca="false">IF('Loan Tape'!$AN241=0,0,IF('Loan Tape'!$K241="Floating",MIN(IF('Loan Tape'!$P241="",10,'Loan Tape'!$P241),MAX(IF('Loan Tape'!$Q241="",0,'Loan Tape'!$Q241),INDEX(Idx_Curve,1,9)+'Loan Tape'!$M241)),IF('Loan Tape'!$L241="",0,'Loan Tape'!$L241)))</f>
        <v>0</v>
      </c>
      <c r="L548" s="56" t="n">
        <f aca="false">IF('Loan Tape'!$AN241=0,0,IF('Loan Tape'!$K241="Floating",MIN(IF('Loan Tape'!$P241="",10,'Loan Tape'!$P241),MAX(IF('Loan Tape'!$Q241="",0,'Loan Tape'!$Q241),INDEX(Idx_Curve,1,10)+'Loan Tape'!$M241)),IF('Loan Tape'!$L241="",0,'Loan Tape'!$L241)))</f>
        <v>0</v>
      </c>
    </row>
    <row r="549" customFormat="false" ht="15" hidden="false" customHeight="false" outlineLevel="0" collapsed="false">
      <c r="B549" s="102" t="n">
        <f aca="false">'Loan Tape'!$A242</f>
        <v>0</v>
      </c>
      <c r="C549" s="104" t="n">
        <f aca="false">IF('Loan Tape'!$AN242=0,0,IF('Loan Tape'!$K242="Floating",MIN(IF('Loan Tape'!$P242="",10,'Loan Tape'!$P242),MAX(IF('Loan Tape'!$Q242="",0,'Loan Tape'!$Q242),INDEX(Idx_Curve,1,1)+'Loan Tape'!$M242)),IF('Loan Tape'!$L242="",0,'Loan Tape'!$L242)))</f>
        <v>0</v>
      </c>
      <c r="D549" s="104" t="n">
        <f aca="false">IF('Loan Tape'!$AN242=0,0,IF('Loan Tape'!$K242="Floating",MIN(IF('Loan Tape'!$P242="",10,'Loan Tape'!$P242),MAX(IF('Loan Tape'!$Q242="",0,'Loan Tape'!$Q242),INDEX(Idx_Curve,1,2)+'Loan Tape'!$M242)),IF('Loan Tape'!$L242="",0,'Loan Tape'!$L242)))</f>
        <v>0</v>
      </c>
      <c r="E549" s="104" t="n">
        <f aca="false">IF('Loan Tape'!$AN242=0,0,IF('Loan Tape'!$K242="Floating",MIN(IF('Loan Tape'!$P242="",10,'Loan Tape'!$P242),MAX(IF('Loan Tape'!$Q242="",0,'Loan Tape'!$Q242),INDEX(Idx_Curve,1,3)+'Loan Tape'!$M242)),IF('Loan Tape'!$L242="",0,'Loan Tape'!$L242)))</f>
        <v>0</v>
      </c>
      <c r="F549" s="104" t="n">
        <f aca="false">IF('Loan Tape'!$AN242=0,0,IF('Loan Tape'!$K242="Floating",MIN(IF('Loan Tape'!$P242="",10,'Loan Tape'!$P242),MAX(IF('Loan Tape'!$Q242="",0,'Loan Tape'!$Q242),INDEX(Idx_Curve,1,4)+'Loan Tape'!$M242)),IF('Loan Tape'!$L242="",0,'Loan Tape'!$L242)))</f>
        <v>0</v>
      </c>
      <c r="G549" s="104" t="n">
        <f aca="false">IF('Loan Tape'!$AN242=0,0,IF('Loan Tape'!$K242="Floating",MIN(IF('Loan Tape'!$P242="",10,'Loan Tape'!$P242),MAX(IF('Loan Tape'!$Q242="",0,'Loan Tape'!$Q242),INDEX(Idx_Curve,1,5)+'Loan Tape'!$M242)),IF('Loan Tape'!$L242="",0,'Loan Tape'!$L242)))</f>
        <v>0</v>
      </c>
      <c r="H549" s="104" t="n">
        <f aca="false">IF('Loan Tape'!$AN242=0,0,IF('Loan Tape'!$K242="Floating",MIN(IF('Loan Tape'!$P242="",10,'Loan Tape'!$P242),MAX(IF('Loan Tape'!$Q242="",0,'Loan Tape'!$Q242),INDEX(Idx_Curve,1,6)+'Loan Tape'!$M242)),IF('Loan Tape'!$L242="",0,'Loan Tape'!$L242)))</f>
        <v>0</v>
      </c>
      <c r="I549" s="104" t="n">
        <f aca="false">IF('Loan Tape'!$AN242=0,0,IF('Loan Tape'!$K242="Floating",MIN(IF('Loan Tape'!$P242="",10,'Loan Tape'!$P242),MAX(IF('Loan Tape'!$Q242="",0,'Loan Tape'!$Q242),INDEX(Idx_Curve,1,7)+'Loan Tape'!$M242)),IF('Loan Tape'!$L242="",0,'Loan Tape'!$L242)))</f>
        <v>0</v>
      </c>
      <c r="J549" s="104" t="n">
        <f aca="false">IF('Loan Tape'!$AN242=0,0,IF('Loan Tape'!$K242="Floating",MIN(IF('Loan Tape'!$P242="",10,'Loan Tape'!$P242),MAX(IF('Loan Tape'!$Q242="",0,'Loan Tape'!$Q242),INDEX(Idx_Curve,1,8)+'Loan Tape'!$M242)),IF('Loan Tape'!$L242="",0,'Loan Tape'!$L242)))</f>
        <v>0</v>
      </c>
      <c r="K549" s="104" t="n">
        <f aca="false">IF('Loan Tape'!$AN242=0,0,IF('Loan Tape'!$K242="Floating",MIN(IF('Loan Tape'!$P242="",10,'Loan Tape'!$P242),MAX(IF('Loan Tape'!$Q242="",0,'Loan Tape'!$Q242),INDEX(Idx_Curve,1,9)+'Loan Tape'!$M242)),IF('Loan Tape'!$L242="",0,'Loan Tape'!$L242)))</f>
        <v>0</v>
      </c>
      <c r="L549" s="104" t="n">
        <f aca="false">IF('Loan Tape'!$AN242=0,0,IF('Loan Tape'!$K242="Floating",MIN(IF('Loan Tape'!$P242="",10,'Loan Tape'!$P242),MAX(IF('Loan Tape'!$Q242="",0,'Loan Tape'!$Q242),INDEX(Idx_Curve,1,10)+'Loan Tape'!$M242)),IF('Loan Tape'!$L242="",0,'Loan Tape'!$L242)))</f>
        <v>0</v>
      </c>
    </row>
    <row r="550" customFormat="false" ht="15" hidden="false" customHeight="false" outlineLevel="0" collapsed="false">
      <c r="B550" s="108" t="n">
        <f aca="false">'Loan Tape'!$A243</f>
        <v>0</v>
      </c>
      <c r="C550" s="56" t="n">
        <f aca="false">IF('Loan Tape'!$AN243=0,0,IF('Loan Tape'!$K243="Floating",MIN(IF('Loan Tape'!$P243="",10,'Loan Tape'!$P243),MAX(IF('Loan Tape'!$Q243="",0,'Loan Tape'!$Q243),INDEX(Idx_Curve,1,1)+'Loan Tape'!$M243)),IF('Loan Tape'!$L243="",0,'Loan Tape'!$L243)))</f>
        <v>0</v>
      </c>
      <c r="D550" s="56" t="n">
        <f aca="false">IF('Loan Tape'!$AN243=0,0,IF('Loan Tape'!$K243="Floating",MIN(IF('Loan Tape'!$P243="",10,'Loan Tape'!$P243),MAX(IF('Loan Tape'!$Q243="",0,'Loan Tape'!$Q243),INDEX(Idx_Curve,1,2)+'Loan Tape'!$M243)),IF('Loan Tape'!$L243="",0,'Loan Tape'!$L243)))</f>
        <v>0</v>
      </c>
      <c r="E550" s="56" t="n">
        <f aca="false">IF('Loan Tape'!$AN243=0,0,IF('Loan Tape'!$K243="Floating",MIN(IF('Loan Tape'!$P243="",10,'Loan Tape'!$P243),MAX(IF('Loan Tape'!$Q243="",0,'Loan Tape'!$Q243),INDEX(Idx_Curve,1,3)+'Loan Tape'!$M243)),IF('Loan Tape'!$L243="",0,'Loan Tape'!$L243)))</f>
        <v>0</v>
      </c>
      <c r="F550" s="56" t="n">
        <f aca="false">IF('Loan Tape'!$AN243=0,0,IF('Loan Tape'!$K243="Floating",MIN(IF('Loan Tape'!$P243="",10,'Loan Tape'!$P243),MAX(IF('Loan Tape'!$Q243="",0,'Loan Tape'!$Q243),INDEX(Idx_Curve,1,4)+'Loan Tape'!$M243)),IF('Loan Tape'!$L243="",0,'Loan Tape'!$L243)))</f>
        <v>0</v>
      </c>
      <c r="G550" s="56" t="n">
        <f aca="false">IF('Loan Tape'!$AN243=0,0,IF('Loan Tape'!$K243="Floating",MIN(IF('Loan Tape'!$P243="",10,'Loan Tape'!$P243),MAX(IF('Loan Tape'!$Q243="",0,'Loan Tape'!$Q243),INDEX(Idx_Curve,1,5)+'Loan Tape'!$M243)),IF('Loan Tape'!$L243="",0,'Loan Tape'!$L243)))</f>
        <v>0</v>
      </c>
      <c r="H550" s="56" t="n">
        <f aca="false">IF('Loan Tape'!$AN243=0,0,IF('Loan Tape'!$K243="Floating",MIN(IF('Loan Tape'!$P243="",10,'Loan Tape'!$P243),MAX(IF('Loan Tape'!$Q243="",0,'Loan Tape'!$Q243),INDEX(Idx_Curve,1,6)+'Loan Tape'!$M243)),IF('Loan Tape'!$L243="",0,'Loan Tape'!$L243)))</f>
        <v>0</v>
      </c>
      <c r="I550" s="56" t="n">
        <f aca="false">IF('Loan Tape'!$AN243=0,0,IF('Loan Tape'!$K243="Floating",MIN(IF('Loan Tape'!$P243="",10,'Loan Tape'!$P243),MAX(IF('Loan Tape'!$Q243="",0,'Loan Tape'!$Q243),INDEX(Idx_Curve,1,7)+'Loan Tape'!$M243)),IF('Loan Tape'!$L243="",0,'Loan Tape'!$L243)))</f>
        <v>0</v>
      </c>
      <c r="J550" s="56" t="n">
        <f aca="false">IF('Loan Tape'!$AN243=0,0,IF('Loan Tape'!$K243="Floating",MIN(IF('Loan Tape'!$P243="",10,'Loan Tape'!$P243),MAX(IF('Loan Tape'!$Q243="",0,'Loan Tape'!$Q243),INDEX(Idx_Curve,1,8)+'Loan Tape'!$M243)),IF('Loan Tape'!$L243="",0,'Loan Tape'!$L243)))</f>
        <v>0</v>
      </c>
      <c r="K550" s="56" t="n">
        <f aca="false">IF('Loan Tape'!$AN243=0,0,IF('Loan Tape'!$K243="Floating",MIN(IF('Loan Tape'!$P243="",10,'Loan Tape'!$P243),MAX(IF('Loan Tape'!$Q243="",0,'Loan Tape'!$Q243),INDEX(Idx_Curve,1,9)+'Loan Tape'!$M243)),IF('Loan Tape'!$L243="",0,'Loan Tape'!$L243)))</f>
        <v>0</v>
      </c>
      <c r="L550" s="56" t="n">
        <f aca="false">IF('Loan Tape'!$AN243=0,0,IF('Loan Tape'!$K243="Floating",MIN(IF('Loan Tape'!$P243="",10,'Loan Tape'!$P243),MAX(IF('Loan Tape'!$Q243="",0,'Loan Tape'!$Q243),INDEX(Idx_Curve,1,10)+'Loan Tape'!$M243)),IF('Loan Tape'!$L243="",0,'Loan Tape'!$L243)))</f>
        <v>0</v>
      </c>
    </row>
    <row r="551" customFormat="false" ht="15" hidden="false" customHeight="false" outlineLevel="0" collapsed="false">
      <c r="B551" s="102" t="n">
        <f aca="false">'Loan Tape'!$A244</f>
        <v>0</v>
      </c>
      <c r="C551" s="104" t="n">
        <f aca="false">IF('Loan Tape'!$AN244=0,0,IF('Loan Tape'!$K244="Floating",MIN(IF('Loan Tape'!$P244="",10,'Loan Tape'!$P244),MAX(IF('Loan Tape'!$Q244="",0,'Loan Tape'!$Q244),INDEX(Idx_Curve,1,1)+'Loan Tape'!$M244)),IF('Loan Tape'!$L244="",0,'Loan Tape'!$L244)))</f>
        <v>0</v>
      </c>
      <c r="D551" s="104" t="n">
        <f aca="false">IF('Loan Tape'!$AN244=0,0,IF('Loan Tape'!$K244="Floating",MIN(IF('Loan Tape'!$P244="",10,'Loan Tape'!$P244),MAX(IF('Loan Tape'!$Q244="",0,'Loan Tape'!$Q244),INDEX(Idx_Curve,1,2)+'Loan Tape'!$M244)),IF('Loan Tape'!$L244="",0,'Loan Tape'!$L244)))</f>
        <v>0</v>
      </c>
      <c r="E551" s="104" t="n">
        <f aca="false">IF('Loan Tape'!$AN244=0,0,IF('Loan Tape'!$K244="Floating",MIN(IF('Loan Tape'!$P244="",10,'Loan Tape'!$P244),MAX(IF('Loan Tape'!$Q244="",0,'Loan Tape'!$Q244),INDEX(Idx_Curve,1,3)+'Loan Tape'!$M244)),IF('Loan Tape'!$L244="",0,'Loan Tape'!$L244)))</f>
        <v>0</v>
      </c>
      <c r="F551" s="104" t="n">
        <f aca="false">IF('Loan Tape'!$AN244=0,0,IF('Loan Tape'!$K244="Floating",MIN(IF('Loan Tape'!$P244="",10,'Loan Tape'!$P244),MAX(IF('Loan Tape'!$Q244="",0,'Loan Tape'!$Q244),INDEX(Idx_Curve,1,4)+'Loan Tape'!$M244)),IF('Loan Tape'!$L244="",0,'Loan Tape'!$L244)))</f>
        <v>0</v>
      </c>
      <c r="G551" s="104" t="n">
        <f aca="false">IF('Loan Tape'!$AN244=0,0,IF('Loan Tape'!$K244="Floating",MIN(IF('Loan Tape'!$P244="",10,'Loan Tape'!$P244),MAX(IF('Loan Tape'!$Q244="",0,'Loan Tape'!$Q244),INDEX(Idx_Curve,1,5)+'Loan Tape'!$M244)),IF('Loan Tape'!$L244="",0,'Loan Tape'!$L244)))</f>
        <v>0</v>
      </c>
      <c r="H551" s="104" t="n">
        <f aca="false">IF('Loan Tape'!$AN244=0,0,IF('Loan Tape'!$K244="Floating",MIN(IF('Loan Tape'!$P244="",10,'Loan Tape'!$P244),MAX(IF('Loan Tape'!$Q244="",0,'Loan Tape'!$Q244),INDEX(Idx_Curve,1,6)+'Loan Tape'!$M244)),IF('Loan Tape'!$L244="",0,'Loan Tape'!$L244)))</f>
        <v>0</v>
      </c>
      <c r="I551" s="104" t="n">
        <f aca="false">IF('Loan Tape'!$AN244=0,0,IF('Loan Tape'!$K244="Floating",MIN(IF('Loan Tape'!$P244="",10,'Loan Tape'!$P244),MAX(IF('Loan Tape'!$Q244="",0,'Loan Tape'!$Q244),INDEX(Idx_Curve,1,7)+'Loan Tape'!$M244)),IF('Loan Tape'!$L244="",0,'Loan Tape'!$L244)))</f>
        <v>0</v>
      </c>
      <c r="J551" s="104" t="n">
        <f aca="false">IF('Loan Tape'!$AN244=0,0,IF('Loan Tape'!$K244="Floating",MIN(IF('Loan Tape'!$P244="",10,'Loan Tape'!$P244),MAX(IF('Loan Tape'!$Q244="",0,'Loan Tape'!$Q244),INDEX(Idx_Curve,1,8)+'Loan Tape'!$M244)),IF('Loan Tape'!$L244="",0,'Loan Tape'!$L244)))</f>
        <v>0</v>
      </c>
      <c r="K551" s="104" t="n">
        <f aca="false">IF('Loan Tape'!$AN244=0,0,IF('Loan Tape'!$K244="Floating",MIN(IF('Loan Tape'!$P244="",10,'Loan Tape'!$P244),MAX(IF('Loan Tape'!$Q244="",0,'Loan Tape'!$Q244),INDEX(Idx_Curve,1,9)+'Loan Tape'!$M244)),IF('Loan Tape'!$L244="",0,'Loan Tape'!$L244)))</f>
        <v>0</v>
      </c>
      <c r="L551" s="104" t="n">
        <f aca="false">IF('Loan Tape'!$AN244=0,0,IF('Loan Tape'!$K244="Floating",MIN(IF('Loan Tape'!$P244="",10,'Loan Tape'!$P244),MAX(IF('Loan Tape'!$Q244="",0,'Loan Tape'!$Q244),INDEX(Idx_Curve,1,10)+'Loan Tape'!$M244)),IF('Loan Tape'!$L244="",0,'Loan Tape'!$L244)))</f>
        <v>0</v>
      </c>
    </row>
    <row r="552" customFormat="false" ht="15" hidden="false" customHeight="false" outlineLevel="0" collapsed="false">
      <c r="B552" s="108" t="n">
        <f aca="false">'Loan Tape'!$A245</f>
        <v>0</v>
      </c>
      <c r="C552" s="56" t="n">
        <f aca="false">IF('Loan Tape'!$AN245=0,0,IF('Loan Tape'!$K245="Floating",MIN(IF('Loan Tape'!$P245="",10,'Loan Tape'!$P245),MAX(IF('Loan Tape'!$Q245="",0,'Loan Tape'!$Q245),INDEX(Idx_Curve,1,1)+'Loan Tape'!$M245)),IF('Loan Tape'!$L245="",0,'Loan Tape'!$L245)))</f>
        <v>0</v>
      </c>
      <c r="D552" s="56" t="n">
        <f aca="false">IF('Loan Tape'!$AN245=0,0,IF('Loan Tape'!$K245="Floating",MIN(IF('Loan Tape'!$P245="",10,'Loan Tape'!$P245),MAX(IF('Loan Tape'!$Q245="",0,'Loan Tape'!$Q245),INDEX(Idx_Curve,1,2)+'Loan Tape'!$M245)),IF('Loan Tape'!$L245="",0,'Loan Tape'!$L245)))</f>
        <v>0</v>
      </c>
      <c r="E552" s="56" t="n">
        <f aca="false">IF('Loan Tape'!$AN245=0,0,IF('Loan Tape'!$K245="Floating",MIN(IF('Loan Tape'!$P245="",10,'Loan Tape'!$P245),MAX(IF('Loan Tape'!$Q245="",0,'Loan Tape'!$Q245),INDEX(Idx_Curve,1,3)+'Loan Tape'!$M245)),IF('Loan Tape'!$L245="",0,'Loan Tape'!$L245)))</f>
        <v>0</v>
      </c>
      <c r="F552" s="56" t="n">
        <f aca="false">IF('Loan Tape'!$AN245=0,0,IF('Loan Tape'!$K245="Floating",MIN(IF('Loan Tape'!$P245="",10,'Loan Tape'!$P245),MAX(IF('Loan Tape'!$Q245="",0,'Loan Tape'!$Q245),INDEX(Idx_Curve,1,4)+'Loan Tape'!$M245)),IF('Loan Tape'!$L245="",0,'Loan Tape'!$L245)))</f>
        <v>0</v>
      </c>
      <c r="G552" s="56" t="n">
        <f aca="false">IF('Loan Tape'!$AN245=0,0,IF('Loan Tape'!$K245="Floating",MIN(IF('Loan Tape'!$P245="",10,'Loan Tape'!$P245),MAX(IF('Loan Tape'!$Q245="",0,'Loan Tape'!$Q245),INDEX(Idx_Curve,1,5)+'Loan Tape'!$M245)),IF('Loan Tape'!$L245="",0,'Loan Tape'!$L245)))</f>
        <v>0</v>
      </c>
      <c r="H552" s="56" t="n">
        <f aca="false">IF('Loan Tape'!$AN245=0,0,IF('Loan Tape'!$K245="Floating",MIN(IF('Loan Tape'!$P245="",10,'Loan Tape'!$P245),MAX(IF('Loan Tape'!$Q245="",0,'Loan Tape'!$Q245),INDEX(Idx_Curve,1,6)+'Loan Tape'!$M245)),IF('Loan Tape'!$L245="",0,'Loan Tape'!$L245)))</f>
        <v>0</v>
      </c>
      <c r="I552" s="56" t="n">
        <f aca="false">IF('Loan Tape'!$AN245=0,0,IF('Loan Tape'!$K245="Floating",MIN(IF('Loan Tape'!$P245="",10,'Loan Tape'!$P245),MAX(IF('Loan Tape'!$Q245="",0,'Loan Tape'!$Q245),INDEX(Idx_Curve,1,7)+'Loan Tape'!$M245)),IF('Loan Tape'!$L245="",0,'Loan Tape'!$L245)))</f>
        <v>0</v>
      </c>
      <c r="J552" s="56" t="n">
        <f aca="false">IF('Loan Tape'!$AN245=0,0,IF('Loan Tape'!$K245="Floating",MIN(IF('Loan Tape'!$P245="",10,'Loan Tape'!$P245),MAX(IF('Loan Tape'!$Q245="",0,'Loan Tape'!$Q245),INDEX(Idx_Curve,1,8)+'Loan Tape'!$M245)),IF('Loan Tape'!$L245="",0,'Loan Tape'!$L245)))</f>
        <v>0</v>
      </c>
      <c r="K552" s="56" t="n">
        <f aca="false">IF('Loan Tape'!$AN245=0,0,IF('Loan Tape'!$K245="Floating",MIN(IF('Loan Tape'!$P245="",10,'Loan Tape'!$P245),MAX(IF('Loan Tape'!$Q245="",0,'Loan Tape'!$Q245),INDEX(Idx_Curve,1,9)+'Loan Tape'!$M245)),IF('Loan Tape'!$L245="",0,'Loan Tape'!$L245)))</f>
        <v>0</v>
      </c>
      <c r="L552" s="56" t="n">
        <f aca="false">IF('Loan Tape'!$AN245=0,0,IF('Loan Tape'!$K245="Floating",MIN(IF('Loan Tape'!$P245="",10,'Loan Tape'!$P245),MAX(IF('Loan Tape'!$Q245="",0,'Loan Tape'!$Q245),INDEX(Idx_Curve,1,10)+'Loan Tape'!$M245)),IF('Loan Tape'!$L245="",0,'Loan Tape'!$L245)))</f>
        <v>0</v>
      </c>
    </row>
    <row r="553" customFormat="false" ht="15" hidden="false" customHeight="false" outlineLevel="0" collapsed="false">
      <c r="B553" s="102" t="n">
        <f aca="false">'Loan Tape'!$A246</f>
        <v>0</v>
      </c>
      <c r="C553" s="104" t="n">
        <f aca="false">IF('Loan Tape'!$AN246=0,0,IF('Loan Tape'!$K246="Floating",MIN(IF('Loan Tape'!$P246="",10,'Loan Tape'!$P246),MAX(IF('Loan Tape'!$Q246="",0,'Loan Tape'!$Q246),INDEX(Idx_Curve,1,1)+'Loan Tape'!$M246)),IF('Loan Tape'!$L246="",0,'Loan Tape'!$L246)))</f>
        <v>0</v>
      </c>
      <c r="D553" s="104" t="n">
        <f aca="false">IF('Loan Tape'!$AN246=0,0,IF('Loan Tape'!$K246="Floating",MIN(IF('Loan Tape'!$P246="",10,'Loan Tape'!$P246),MAX(IF('Loan Tape'!$Q246="",0,'Loan Tape'!$Q246),INDEX(Idx_Curve,1,2)+'Loan Tape'!$M246)),IF('Loan Tape'!$L246="",0,'Loan Tape'!$L246)))</f>
        <v>0</v>
      </c>
      <c r="E553" s="104" t="n">
        <f aca="false">IF('Loan Tape'!$AN246=0,0,IF('Loan Tape'!$K246="Floating",MIN(IF('Loan Tape'!$P246="",10,'Loan Tape'!$P246),MAX(IF('Loan Tape'!$Q246="",0,'Loan Tape'!$Q246),INDEX(Idx_Curve,1,3)+'Loan Tape'!$M246)),IF('Loan Tape'!$L246="",0,'Loan Tape'!$L246)))</f>
        <v>0</v>
      </c>
      <c r="F553" s="104" t="n">
        <f aca="false">IF('Loan Tape'!$AN246=0,0,IF('Loan Tape'!$K246="Floating",MIN(IF('Loan Tape'!$P246="",10,'Loan Tape'!$P246),MAX(IF('Loan Tape'!$Q246="",0,'Loan Tape'!$Q246),INDEX(Idx_Curve,1,4)+'Loan Tape'!$M246)),IF('Loan Tape'!$L246="",0,'Loan Tape'!$L246)))</f>
        <v>0</v>
      </c>
      <c r="G553" s="104" t="n">
        <f aca="false">IF('Loan Tape'!$AN246=0,0,IF('Loan Tape'!$K246="Floating",MIN(IF('Loan Tape'!$P246="",10,'Loan Tape'!$P246),MAX(IF('Loan Tape'!$Q246="",0,'Loan Tape'!$Q246),INDEX(Idx_Curve,1,5)+'Loan Tape'!$M246)),IF('Loan Tape'!$L246="",0,'Loan Tape'!$L246)))</f>
        <v>0</v>
      </c>
      <c r="H553" s="104" t="n">
        <f aca="false">IF('Loan Tape'!$AN246=0,0,IF('Loan Tape'!$K246="Floating",MIN(IF('Loan Tape'!$P246="",10,'Loan Tape'!$P246),MAX(IF('Loan Tape'!$Q246="",0,'Loan Tape'!$Q246),INDEX(Idx_Curve,1,6)+'Loan Tape'!$M246)),IF('Loan Tape'!$L246="",0,'Loan Tape'!$L246)))</f>
        <v>0</v>
      </c>
      <c r="I553" s="104" t="n">
        <f aca="false">IF('Loan Tape'!$AN246=0,0,IF('Loan Tape'!$K246="Floating",MIN(IF('Loan Tape'!$P246="",10,'Loan Tape'!$P246),MAX(IF('Loan Tape'!$Q246="",0,'Loan Tape'!$Q246),INDEX(Idx_Curve,1,7)+'Loan Tape'!$M246)),IF('Loan Tape'!$L246="",0,'Loan Tape'!$L246)))</f>
        <v>0</v>
      </c>
      <c r="J553" s="104" t="n">
        <f aca="false">IF('Loan Tape'!$AN246=0,0,IF('Loan Tape'!$K246="Floating",MIN(IF('Loan Tape'!$P246="",10,'Loan Tape'!$P246),MAX(IF('Loan Tape'!$Q246="",0,'Loan Tape'!$Q246),INDEX(Idx_Curve,1,8)+'Loan Tape'!$M246)),IF('Loan Tape'!$L246="",0,'Loan Tape'!$L246)))</f>
        <v>0</v>
      </c>
      <c r="K553" s="104" t="n">
        <f aca="false">IF('Loan Tape'!$AN246=0,0,IF('Loan Tape'!$K246="Floating",MIN(IF('Loan Tape'!$P246="",10,'Loan Tape'!$P246),MAX(IF('Loan Tape'!$Q246="",0,'Loan Tape'!$Q246),INDEX(Idx_Curve,1,9)+'Loan Tape'!$M246)),IF('Loan Tape'!$L246="",0,'Loan Tape'!$L246)))</f>
        <v>0</v>
      </c>
      <c r="L553" s="104" t="n">
        <f aca="false">IF('Loan Tape'!$AN246=0,0,IF('Loan Tape'!$K246="Floating",MIN(IF('Loan Tape'!$P246="",10,'Loan Tape'!$P246),MAX(IF('Loan Tape'!$Q246="",0,'Loan Tape'!$Q246),INDEX(Idx_Curve,1,10)+'Loan Tape'!$M246)),IF('Loan Tape'!$L246="",0,'Loan Tape'!$L246)))</f>
        <v>0</v>
      </c>
    </row>
    <row r="554" customFormat="false" ht="15" hidden="false" customHeight="false" outlineLevel="0" collapsed="false">
      <c r="B554" s="108" t="n">
        <f aca="false">'Loan Tape'!$A247</f>
        <v>0</v>
      </c>
      <c r="C554" s="56" t="n">
        <f aca="false">IF('Loan Tape'!$AN247=0,0,IF('Loan Tape'!$K247="Floating",MIN(IF('Loan Tape'!$P247="",10,'Loan Tape'!$P247),MAX(IF('Loan Tape'!$Q247="",0,'Loan Tape'!$Q247),INDEX(Idx_Curve,1,1)+'Loan Tape'!$M247)),IF('Loan Tape'!$L247="",0,'Loan Tape'!$L247)))</f>
        <v>0</v>
      </c>
      <c r="D554" s="56" t="n">
        <f aca="false">IF('Loan Tape'!$AN247=0,0,IF('Loan Tape'!$K247="Floating",MIN(IF('Loan Tape'!$P247="",10,'Loan Tape'!$P247),MAX(IF('Loan Tape'!$Q247="",0,'Loan Tape'!$Q247),INDEX(Idx_Curve,1,2)+'Loan Tape'!$M247)),IF('Loan Tape'!$L247="",0,'Loan Tape'!$L247)))</f>
        <v>0</v>
      </c>
      <c r="E554" s="56" t="n">
        <f aca="false">IF('Loan Tape'!$AN247=0,0,IF('Loan Tape'!$K247="Floating",MIN(IF('Loan Tape'!$P247="",10,'Loan Tape'!$P247),MAX(IF('Loan Tape'!$Q247="",0,'Loan Tape'!$Q247),INDEX(Idx_Curve,1,3)+'Loan Tape'!$M247)),IF('Loan Tape'!$L247="",0,'Loan Tape'!$L247)))</f>
        <v>0</v>
      </c>
      <c r="F554" s="56" t="n">
        <f aca="false">IF('Loan Tape'!$AN247=0,0,IF('Loan Tape'!$K247="Floating",MIN(IF('Loan Tape'!$P247="",10,'Loan Tape'!$P247),MAX(IF('Loan Tape'!$Q247="",0,'Loan Tape'!$Q247),INDEX(Idx_Curve,1,4)+'Loan Tape'!$M247)),IF('Loan Tape'!$L247="",0,'Loan Tape'!$L247)))</f>
        <v>0</v>
      </c>
      <c r="G554" s="56" t="n">
        <f aca="false">IF('Loan Tape'!$AN247=0,0,IF('Loan Tape'!$K247="Floating",MIN(IF('Loan Tape'!$P247="",10,'Loan Tape'!$P247),MAX(IF('Loan Tape'!$Q247="",0,'Loan Tape'!$Q247),INDEX(Idx_Curve,1,5)+'Loan Tape'!$M247)),IF('Loan Tape'!$L247="",0,'Loan Tape'!$L247)))</f>
        <v>0</v>
      </c>
      <c r="H554" s="56" t="n">
        <f aca="false">IF('Loan Tape'!$AN247=0,0,IF('Loan Tape'!$K247="Floating",MIN(IF('Loan Tape'!$P247="",10,'Loan Tape'!$P247),MAX(IF('Loan Tape'!$Q247="",0,'Loan Tape'!$Q247),INDEX(Idx_Curve,1,6)+'Loan Tape'!$M247)),IF('Loan Tape'!$L247="",0,'Loan Tape'!$L247)))</f>
        <v>0</v>
      </c>
      <c r="I554" s="56" t="n">
        <f aca="false">IF('Loan Tape'!$AN247=0,0,IF('Loan Tape'!$K247="Floating",MIN(IF('Loan Tape'!$P247="",10,'Loan Tape'!$P247),MAX(IF('Loan Tape'!$Q247="",0,'Loan Tape'!$Q247),INDEX(Idx_Curve,1,7)+'Loan Tape'!$M247)),IF('Loan Tape'!$L247="",0,'Loan Tape'!$L247)))</f>
        <v>0</v>
      </c>
      <c r="J554" s="56" t="n">
        <f aca="false">IF('Loan Tape'!$AN247=0,0,IF('Loan Tape'!$K247="Floating",MIN(IF('Loan Tape'!$P247="",10,'Loan Tape'!$P247),MAX(IF('Loan Tape'!$Q247="",0,'Loan Tape'!$Q247),INDEX(Idx_Curve,1,8)+'Loan Tape'!$M247)),IF('Loan Tape'!$L247="",0,'Loan Tape'!$L247)))</f>
        <v>0</v>
      </c>
      <c r="K554" s="56" t="n">
        <f aca="false">IF('Loan Tape'!$AN247=0,0,IF('Loan Tape'!$K247="Floating",MIN(IF('Loan Tape'!$P247="",10,'Loan Tape'!$P247),MAX(IF('Loan Tape'!$Q247="",0,'Loan Tape'!$Q247),INDEX(Idx_Curve,1,9)+'Loan Tape'!$M247)),IF('Loan Tape'!$L247="",0,'Loan Tape'!$L247)))</f>
        <v>0</v>
      </c>
      <c r="L554" s="56" t="n">
        <f aca="false">IF('Loan Tape'!$AN247=0,0,IF('Loan Tape'!$K247="Floating",MIN(IF('Loan Tape'!$P247="",10,'Loan Tape'!$P247),MAX(IF('Loan Tape'!$Q247="",0,'Loan Tape'!$Q247),INDEX(Idx_Curve,1,10)+'Loan Tape'!$M247)),IF('Loan Tape'!$L247="",0,'Loan Tape'!$L247)))</f>
        <v>0</v>
      </c>
    </row>
    <row r="555" customFormat="false" ht="15" hidden="false" customHeight="false" outlineLevel="0" collapsed="false">
      <c r="B555" s="102" t="n">
        <f aca="false">'Loan Tape'!$A248</f>
        <v>0</v>
      </c>
      <c r="C555" s="104" t="n">
        <f aca="false">IF('Loan Tape'!$AN248=0,0,IF('Loan Tape'!$K248="Floating",MIN(IF('Loan Tape'!$P248="",10,'Loan Tape'!$P248),MAX(IF('Loan Tape'!$Q248="",0,'Loan Tape'!$Q248),INDEX(Idx_Curve,1,1)+'Loan Tape'!$M248)),IF('Loan Tape'!$L248="",0,'Loan Tape'!$L248)))</f>
        <v>0</v>
      </c>
      <c r="D555" s="104" t="n">
        <f aca="false">IF('Loan Tape'!$AN248=0,0,IF('Loan Tape'!$K248="Floating",MIN(IF('Loan Tape'!$P248="",10,'Loan Tape'!$P248),MAX(IF('Loan Tape'!$Q248="",0,'Loan Tape'!$Q248),INDEX(Idx_Curve,1,2)+'Loan Tape'!$M248)),IF('Loan Tape'!$L248="",0,'Loan Tape'!$L248)))</f>
        <v>0</v>
      </c>
      <c r="E555" s="104" t="n">
        <f aca="false">IF('Loan Tape'!$AN248=0,0,IF('Loan Tape'!$K248="Floating",MIN(IF('Loan Tape'!$P248="",10,'Loan Tape'!$P248),MAX(IF('Loan Tape'!$Q248="",0,'Loan Tape'!$Q248),INDEX(Idx_Curve,1,3)+'Loan Tape'!$M248)),IF('Loan Tape'!$L248="",0,'Loan Tape'!$L248)))</f>
        <v>0</v>
      </c>
      <c r="F555" s="104" t="n">
        <f aca="false">IF('Loan Tape'!$AN248=0,0,IF('Loan Tape'!$K248="Floating",MIN(IF('Loan Tape'!$P248="",10,'Loan Tape'!$P248),MAX(IF('Loan Tape'!$Q248="",0,'Loan Tape'!$Q248),INDEX(Idx_Curve,1,4)+'Loan Tape'!$M248)),IF('Loan Tape'!$L248="",0,'Loan Tape'!$L248)))</f>
        <v>0</v>
      </c>
      <c r="G555" s="104" t="n">
        <f aca="false">IF('Loan Tape'!$AN248=0,0,IF('Loan Tape'!$K248="Floating",MIN(IF('Loan Tape'!$P248="",10,'Loan Tape'!$P248),MAX(IF('Loan Tape'!$Q248="",0,'Loan Tape'!$Q248),INDEX(Idx_Curve,1,5)+'Loan Tape'!$M248)),IF('Loan Tape'!$L248="",0,'Loan Tape'!$L248)))</f>
        <v>0</v>
      </c>
      <c r="H555" s="104" t="n">
        <f aca="false">IF('Loan Tape'!$AN248=0,0,IF('Loan Tape'!$K248="Floating",MIN(IF('Loan Tape'!$P248="",10,'Loan Tape'!$P248),MAX(IF('Loan Tape'!$Q248="",0,'Loan Tape'!$Q248),INDEX(Idx_Curve,1,6)+'Loan Tape'!$M248)),IF('Loan Tape'!$L248="",0,'Loan Tape'!$L248)))</f>
        <v>0</v>
      </c>
      <c r="I555" s="104" t="n">
        <f aca="false">IF('Loan Tape'!$AN248=0,0,IF('Loan Tape'!$K248="Floating",MIN(IF('Loan Tape'!$P248="",10,'Loan Tape'!$P248),MAX(IF('Loan Tape'!$Q248="",0,'Loan Tape'!$Q248),INDEX(Idx_Curve,1,7)+'Loan Tape'!$M248)),IF('Loan Tape'!$L248="",0,'Loan Tape'!$L248)))</f>
        <v>0</v>
      </c>
      <c r="J555" s="104" t="n">
        <f aca="false">IF('Loan Tape'!$AN248=0,0,IF('Loan Tape'!$K248="Floating",MIN(IF('Loan Tape'!$P248="",10,'Loan Tape'!$P248),MAX(IF('Loan Tape'!$Q248="",0,'Loan Tape'!$Q248),INDEX(Idx_Curve,1,8)+'Loan Tape'!$M248)),IF('Loan Tape'!$L248="",0,'Loan Tape'!$L248)))</f>
        <v>0</v>
      </c>
      <c r="K555" s="104" t="n">
        <f aca="false">IF('Loan Tape'!$AN248=0,0,IF('Loan Tape'!$K248="Floating",MIN(IF('Loan Tape'!$P248="",10,'Loan Tape'!$P248),MAX(IF('Loan Tape'!$Q248="",0,'Loan Tape'!$Q248),INDEX(Idx_Curve,1,9)+'Loan Tape'!$M248)),IF('Loan Tape'!$L248="",0,'Loan Tape'!$L248)))</f>
        <v>0</v>
      </c>
      <c r="L555" s="104" t="n">
        <f aca="false">IF('Loan Tape'!$AN248=0,0,IF('Loan Tape'!$K248="Floating",MIN(IF('Loan Tape'!$P248="",10,'Loan Tape'!$P248),MAX(IF('Loan Tape'!$Q248="",0,'Loan Tape'!$Q248),INDEX(Idx_Curve,1,10)+'Loan Tape'!$M248)),IF('Loan Tape'!$L248="",0,'Loan Tape'!$L248)))</f>
        <v>0</v>
      </c>
    </row>
    <row r="556" customFormat="false" ht="15" hidden="false" customHeight="false" outlineLevel="0" collapsed="false">
      <c r="B556" s="108" t="n">
        <f aca="false">'Loan Tape'!$A249</f>
        <v>0</v>
      </c>
      <c r="C556" s="56" t="n">
        <f aca="false">IF('Loan Tape'!$AN249=0,0,IF('Loan Tape'!$K249="Floating",MIN(IF('Loan Tape'!$P249="",10,'Loan Tape'!$P249),MAX(IF('Loan Tape'!$Q249="",0,'Loan Tape'!$Q249),INDEX(Idx_Curve,1,1)+'Loan Tape'!$M249)),IF('Loan Tape'!$L249="",0,'Loan Tape'!$L249)))</f>
        <v>0</v>
      </c>
      <c r="D556" s="56" t="n">
        <f aca="false">IF('Loan Tape'!$AN249=0,0,IF('Loan Tape'!$K249="Floating",MIN(IF('Loan Tape'!$P249="",10,'Loan Tape'!$P249),MAX(IF('Loan Tape'!$Q249="",0,'Loan Tape'!$Q249),INDEX(Idx_Curve,1,2)+'Loan Tape'!$M249)),IF('Loan Tape'!$L249="",0,'Loan Tape'!$L249)))</f>
        <v>0</v>
      </c>
      <c r="E556" s="56" t="n">
        <f aca="false">IF('Loan Tape'!$AN249=0,0,IF('Loan Tape'!$K249="Floating",MIN(IF('Loan Tape'!$P249="",10,'Loan Tape'!$P249),MAX(IF('Loan Tape'!$Q249="",0,'Loan Tape'!$Q249),INDEX(Idx_Curve,1,3)+'Loan Tape'!$M249)),IF('Loan Tape'!$L249="",0,'Loan Tape'!$L249)))</f>
        <v>0</v>
      </c>
      <c r="F556" s="56" t="n">
        <f aca="false">IF('Loan Tape'!$AN249=0,0,IF('Loan Tape'!$K249="Floating",MIN(IF('Loan Tape'!$P249="",10,'Loan Tape'!$P249),MAX(IF('Loan Tape'!$Q249="",0,'Loan Tape'!$Q249),INDEX(Idx_Curve,1,4)+'Loan Tape'!$M249)),IF('Loan Tape'!$L249="",0,'Loan Tape'!$L249)))</f>
        <v>0</v>
      </c>
      <c r="G556" s="56" t="n">
        <f aca="false">IF('Loan Tape'!$AN249=0,0,IF('Loan Tape'!$K249="Floating",MIN(IF('Loan Tape'!$P249="",10,'Loan Tape'!$P249),MAX(IF('Loan Tape'!$Q249="",0,'Loan Tape'!$Q249),INDEX(Idx_Curve,1,5)+'Loan Tape'!$M249)),IF('Loan Tape'!$L249="",0,'Loan Tape'!$L249)))</f>
        <v>0</v>
      </c>
      <c r="H556" s="56" t="n">
        <f aca="false">IF('Loan Tape'!$AN249=0,0,IF('Loan Tape'!$K249="Floating",MIN(IF('Loan Tape'!$P249="",10,'Loan Tape'!$P249),MAX(IF('Loan Tape'!$Q249="",0,'Loan Tape'!$Q249),INDEX(Idx_Curve,1,6)+'Loan Tape'!$M249)),IF('Loan Tape'!$L249="",0,'Loan Tape'!$L249)))</f>
        <v>0</v>
      </c>
      <c r="I556" s="56" t="n">
        <f aca="false">IF('Loan Tape'!$AN249=0,0,IF('Loan Tape'!$K249="Floating",MIN(IF('Loan Tape'!$P249="",10,'Loan Tape'!$P249),MAX(IF('Loan Tape'!$Q249="",0,'Loan Tape'!$Q249),INDEX(Idx_Curve,1,7)+'Loan Tape'!$M249)),IF('Loan Tape'!$L249="",0,'Loan Tape'!$L249)))</f>
        <v>0</v>
      </c>
      <c r="J556" s="56" t="n">
        <f aca="false">IF('Loan Tape'!$AN249=0,0,IF('Loan Tape'!$K249="Floating",MIN(IF('Loan Tape'!$P249="",10,'Loan Tape'!$P249),MAX(IF('Loan Tape'!$Q249="",0,'Loan Tape'!$Q249),INDEX(Idx_Curve,1,8)+'Loan Tape'!$M249)),IF('Loan Tape'!$L249="",0,'Loan Tape'!$L249)))</f>
        <v>0</v>
      </c>
      <c r="K556" s="56" t="n">
        <f aca="false">IF('Loan Tape'!$AN249=0,0,IF('Loan Tape'!$K249="Floating",MIN(IF('Loan Tape'!$P249="",10,'Loan Tape'!$P249),MAX(IF('Loan Tape'!$Q249="",0,'Loan Tape'!$Q249),INDEX(Idx_Curve,1,9)+'Loan Tape'!$M249)),IF('Loan Tape'!$L249="",0,'Loan Tape'!$L249)))</f>
        <v>0</v>
      </c>
      <c r="L556" s="56" t="n">
        <f aca="false">IF('Loan Tape'!$AN249=0,0,IF('Loan Tape'!$K249="Floating",MIN(IF('Loan Tape'!$P249="",10,'Loan Tape'!$P249),MAX(IF('Loan Tape'!$Q249="",0,'Loan Tape'!$Q249),INDEX(Idx_Curve,1,10)+'Loan Tape'!$M249)),IF('Loan Tape'!$L249="",0,'Loan Tape'!$L249)))</f>
        <v>0</v>
      </c>
    </row>
    <row r="557" customFormat="false" ht="15" hidden="false" customHeight="false" outlineLevel="0" collapsed="false">
      <c r="B557" s="102" t="n">
        <f aca="false">'Loan Tape'!$A250</f>
        <v>0</v>
      </c>
      <c r="C557" s="104" t="n">
        <f aca="false">IF('Loan Tape'!$AN250=0,0,IF('Loan Tape'!$K250="Floating",MIN(IF('Loan Tape'!$P250="",10,'Loan Tape'!$P250),MAX(IF('Loan Tape'!$Q250="",0,'Loan Tape'!$Q250),INDEX(Idx_Curve,1,1)+'Loan Tape'!$M250)),IF('Loan Tape'!$L250="",0,'Loan Tape'!$L250)))</f>
        <v>0</v>
      </c>
      <c r="D557" s="104" t="n">
        <f aca="false">IF('Loan Tape'!$AN250=0,0,IF('Loan Tape'!$K250="Floating",MIN(IF('Loan Tape'!$P250="",10,'Loan Tape'!$P250),MAX(IF('Loan Tape'!$Q250="",0,'Loan Tape'!$Q250),INDEX(Idx_Curve,1,2)+'Loan Tape'!$M250)),IF('Loan Tape'!$L250="",0,'Loan Tape'!$L250)))</f>
        <v>0</v>
      </c>
      <c r="E557" s="104" t="n">
        <f aca="false">IF('Loan Tape'!$AN250=0,0,IF('Loan Tape'!$K250="Floating",MIN(IF('Loan Tape'!$P250="",10,'Loan Tape'!$P250),MAX(IF('Loan Tape'!$Q250="",0,'Loan Tape'!$Q250),INDEX(Idx_Curve,1,3)+'Loan Tape'!$M250)),IF('Loan Tape'!$L250="",0,'Loan Tape'!$L250)))</f>
        <v>0</v>
      </c>
      <c r="F557" s="104" t="n">
        <f aca="false">IF('Loan Tape'!$AN250=0,0,IF('Loan Tape'!$K250="Floating",MIN(IF('Loan Tape'!$P250="",10,'Loan Tape'!$P250),MAX(IF('Loan Tape'!$Q250="",0,'Loan Tape'!$Q250),INDEX(Idx_Curve,1,4)+'Loan Tape'!$M250)),IF('Loan Tape'!$L250="",0,'Loan Tape'!$L250)))</f>
        <v>0</v>
      </c>
      <c r="G557" s="104" t="n">
        <f aca="false">IF('Loan Tape'!$AN250=0,0,IF('Loan Tape'!$K250="Floating",MIN(IF('Loan Tape'!$P250="",10,'Loan Tape'!$P250),MAX(IF('Loan Tape'!$Q250="",0,'Loan Tape'!$Q250),INDEX(Idx_Curve,1,5)+'Loan Tape'!$M250)),IF('Loan Tape'!$L250="",0,'Loan Tape'!$L250)))</f>
        <v>0</v>
      </c>
      <c r="H557" s="104" t="n">
        <f aca="false">IF('Loan Tape'!$AN250=0,0,IF('Loan Tape'!$K250="Floating",MIN(IF('Loan Tape'!$P250="",10,'Loan Tape'!$P250),MAX(IF('Loan Tape'!$Q250="",0,'Loan Tape'!$Q250),INDEX(Idx_Curve,1,6)+'Loan Tape'!$M250)),IF('Loan Tape'!$L250="",0,'Loan Tape'!$L250)))</f>
        <v>0</v>
      </c>
      <c r="I557" s="104" t="n">
        <f aca="false">IF('Loan Tape'!$AN250=0,0,IF('Loan Tape'!$K250="Floating",MIN(IF('Loan Tape'!$P250="",10,'Loan Tape'!$P250),MAX(IF('Loan Tape'!$Q250="",0,'Loan Tape'!$Q250),INDEX(Idx_Curve,1,7)+'Loan Tape'!$M250)),IF('Loan Tape'!$L250="",0,'Loan Tape'!$L250)))</f>
        <v>0</v>
      </c>
      <c r="J557" s="104" t="n">
        <f aca="false">IF('Loan Tape'!$AN250=0,0,IF('Loan Tape'!$K250="Floating",MIN(IF('Loan Tape'!$P250="",10,'Loan Tape'!$P250),MAX(IF('Loan Tape'!$Q250="",0,'Loan Tape'!$Q250),INDEX(Idx_Curve,1,8)+'Loan Tape'!$M250)),IF('Loan Tape'!$L250="",0,'Loan Tape'!$L250)))</f>
        <v>0</v>
      </c>
      <c r="K557" s="104" t="n">
        <f aca="false">IF('Loan Tape'!$AN250=0,0,IF('Loan Tape'!$K250="Floating",MIN(IF('Loan Tape'!$P250="",10,'Loan Tape'!$P250),MAX(IF('Loan Tape'!$Q250="",0,'Loan Tape'!$Q250),INDEX(Idx_Curve,1,9)+'Loan Tape'!$M250)),IF('Loan Tape'!$L250="",0,'Loan Tape'!$L250)))</f>
        <v>0</v>
      </c>
      <c r="L557" s="104" t="n">
        <f aca="false">IF('Loan Tape'!$AN250=0,0,IF('Loan Tape'!$K250="Floating",MIN(IF('Loan Tape'!$P250="",10,'Loan Tape'!$P250),MAX(IF('Loan Tape'!$Q250="",0,'Loan Tape'!$Q250),INDEX(Idx_Curve,1,10)+'Loan Tape'!$M250)),IF('Loan Tape'!$L250="",0,'Loan Tape'!$L250)))</f>
        <v>0</v>
      </c>
    </row>
    <row r="558" customFormat="false" ht="15" hidden="false" customHeight="false" outlineLevel="0" collapsed="false">
      <c r="B558" s="108" t="n">
        <f aca="false">'Loan Tape'!$A251</f>
        <v>0</v>
      </c>
      <c r="C558" s="56" t="n">
        <f aca="false">IF('Loan Tape'!$AN251=0,0,IF('Loan Tape'!$K251="Floating",MIN(IF('Loan Tape'!$P251="",10,'Loan Tape'!$P251),MAX(IF('Loan Tape'!$Q251="",0,'Loan Tape'!$Q251),INDEX(Idx_Curve,1,1)+'Loan Tape'!$M251)),IF('Loan Tape'!$L251="",0,'Loan Tape'!$L251)))</f>
        <v>0</v>
      </c>
      <c r="D558" s="56" t="n">
        <f aca="false">IF('Loan Tape'!$AN251=0,0,IF('Loan Tape'!$K251="Floating",MIN(IF('Loan Tape'!$P251="",10,'Loan Tape'!$P251),MAX(IF('Loan Tape'!$Q251="",0,'Loan Tape'!$Q251),INDEX(Idx_Curve,1,2)+'Loan Tape'!$M251)),IF('Loan Tape'!$L251="",0,'Loan Tape'!$L251)))</f>
        <v>0</v>
      </c>
      <c r="E558" s="56" t="n">
        <f aca="false">IF('Loan Tape'!$AN251=0,0,IF('Loan Tape'!$K251="Floating",MIN(IF('Loan Tape'!$P251="",10,'Loan Tape'!$P251),MAX(IF('Loan Tape'!$Q251="",0,'Loan Tape'!$Q251),INDEX(Idx_Curve,1,3)+'Loan Tape'!$M251)),IF('Loan Tape'!$L251="",0,'Loan Tape'!$L251)))</f>
        <v>0</v>
      </c>
      <c r="F558" s="56" t="n">
        <f aca="false">IF('Loan Tape'!$AN251=0,0,IF('Loan Tape'!$K251="Floating",MIN(IF('Loan Tape'!$P251="",10,'Loan Tape'!$P251),MAX(IF('Loan Tape'!$Q251="",0,'Loan Tape'!$Q251),INDEX(Idx_Curve,1,4)+'Loan Tape'!$M251)),IF('Loan Tape'!$L251="",0,'Loan Tape'!$L251)))</f>
        <v>0</v>
      </c>
      <c r="G558" s="56" t="n">
        <f aca="false">IF('Loan Tape'!$AN251=0,0,IF('Loan Tape'!$K251="Floating",MIN(IF('Loan Tape'!$P251="",10,'Loan Tape'!$P251),MAX(IF('Loan Tape'!$Q251="",0,'Loan Tape'!$Q251),INDEX(Idx_Curve,1,5)+'Loan Tape'!$M251)),IF('Loan Tape'!$L251="",0,'Loan Tape'!$L251)))</f>
        <v>0</v>
      </c>
      <c r="H558" s="56" t="n">
        <f aca="false">IF('Loan Tape'!$AN251=0,0,IF('Loan Tape'!$K251="Floating",MIN(IF('Loan Tape'!$P251="",10,'Loan Tape'!$P251),MAX(IF('Loan Tape'!$Q251="",0,'Loan Tape'!$Q251),INDEX(Idx_Curve,1,6)+'Loan Tape'!$M251)),IF('Loan Tape'!$L251="",0,'Loan Tape'!$L251)))</f>
        <v>0</v>
      </c>
      <c r="I558" s="56" t="n">
        <f aca="false">IF('Loan Tape'!$AN251=0,0,IF('Loan Tape'!$K251="Floating",MIN(IF('Loan Tape'!$P251="",10,'Loan Tape'!$P251),MAX(IF('Loan Tape'!$Q251="",0,'Loan Tape'!$Q251),INDEX(Idx_Curve,1,7)+'Loan Tape'!$M251)),IF('Loan Tape'!$L251="",0,'Loan Tape'!$L251)))</f>
        <v>0</v>
      </c>
      <c r="J558" s="56" t="n">
        <f aca="false">IF('Loan Tape'!$AN251=0,0,IF('Loan Tape'!$K251="Floating",MIN(IF('Loan Tape'!$P251="",10,'Loan Tape'!$P251),MAX(IF('Loan Tape'!$Q251="",0,'Loan Tape'!$Q251),INDEX(Idx_Curve,1,8)+'Loan Tape'!$M251)),IF('Loan Tape'!$L251="",0,'Loan Tape'!$L251)))</f>
        <v>0</v>
      </c>
      <c r="K558" s="56" t="n">
        <f aca="false">IF('Loan Tape'!$AN251=0,0,IF('Loan Tape'!$K251="Floating",MIN(IF('Loan Tape'!$P251="",10,'Loan Tape'!$P251),MAX(IF('Loan Tape'!$Q251="",0,'Loan Tape'!$Q251),INDEX(Idx_Curve,1,9)+'Loan Tape'!$M251)),IF('Loan Tape'!$L251="",0,'Loan Tape'!$L251)))</f>
        <v>0</v>
      </c>
      <c r="L558" s="56" t="n">
        <f aca="false">IF('Loan Tape'!$AN251=0,0,IF('Loan Tape'!$K251="Floating",MIN(IF('Loan Tape'!$P251="",10,'Loan Tape'!$P251),MAX(IF('Loan Tape'!$Q251="",0,'Loan Tape'!$Q251),INDEX(Idx_Curve,1,10)+'Loan Tape'!$M251)),IF('Loan Tape'!$L251="",0,'Loan Tape'!$L251)))</f>
        <v>0</v>
      </c>
    </row>
    <row r="559" customFormat="false" ht="15" hidden="false" customHeight="false" outlineLevel="0" collapsed="false">
      <c r="B559" s="102" t="n">
        <f aca="false">'Loan Tape'!$A252</f>
        <v>0</v>
      </c>
      <c r="C559" s="104" t="n">
        <f aca="false">IF('Loan Tape'!$AN252=0,0,IF('Loan Tape'!$K252="Floating",MIN(IF('Loan Tape'!$P252="",10,'Loan Tape'!$P252),MAX(IF('Loan Tape'!$Q252="",0,'Loan Tape'!$Q252),INDEX(Idx_Curve,1,1)+'Loan Tape'!$M252)),IF('Loan Tape'!$L252="",0,'Loan Tape'!$L252)))</f>
        <v>0</v>
      </c>
      <c r="D559" s="104" t="n">
        <f aca="false">IF('Loan Tape'!$AN252=0,0,IF('Loan Tape'!$K252="Floating",MIN(IF('Loan Tape'!$P252="",10,'Loan Tape'!$P252),MAX(IF('Loan Tape'!$Q252="",0,'Loan Tape'!$Q252),INDEX(Idx_Curve,1,2)+'Loan Tape'!$M252)),IF('Loan Tape'!$L252="",0,'Loan Tape'!$L252)))</f>
        <v>0</v>
      </c>
      <c r="E559" s="104" t="n">
        <f aca="false">IF('Loan Tape'!$AN252=0,0,IF('Loan Tape'!$K252="Floating",MIN(IF('Loan Tape'!$P252="",10,'Loan Tape'!$P252),MAX(IF('Loan Tape'!$Q252="",0,'Loan Tape'!$Q252),INDEX(Idx_Curve,1,3)+'Loan Tape'!$M252)),IF('Loan Tape'!$L252="",0,'Loan Tape'!$L252)))</f>
        <v>0</v>
      </c>
      <c r="F559" s="104" t="n">
        <f aca="false">IF('Loan Tape'!$AN252=0,0,IF('Loan Tape'!$K252="Floating",MIN(IF('Loan Tape'!$P252="",10,'Loan Tape'!$P252),MAX(IF('Loan Tape'!$Q252="",0,'Loan Tape'!$Q252),INDEX(Idx_Curve,1,4)+'Loan Tape'!$M252)),IF('Loan Tape'!$L252="",0,'Loan Tape'!$L252)))</f>
        <v>0</v>
      </c>
      <c r="G559" s="104" t="n">
        <f aca="false">IF('Loan Tape'!$AN252=0,0,IF('Loan Tape'!$K252="Floating",MIN(IF('Loan Tape'!$P252="",10,'Loan Tape'!$P252),MAX(IF('Loan Tape'!$Q252="",0,'Loan Tape'!$Q252),INDEX(Idx_Curve,1,5)+'Loan Tape'!$M252)),IF('Loan Tape'!$L252="",0,'Loan Tape'!$L252)))</f>
        <v>0</v>
      </c>
      <c r="H559" s="104" t="n">
        <f aca="false">IF('Loan Tape'!$AN252=0,0,IF('Loan Tape'!$K252="Floating",MIN(IF('Loan Tape'!$P252="",10,'Loan Tape'!$P252),MAX(IF('Loan Tape'!$Q252="",0,'Loan Tape'!$Q252),INDEX(Idx_Curve,1,6)+'Loan Tape'!$M252)),IF('Loan Tape'!$L252="",0,'Loan Tape'!$L252)))</f>
        <v>0</v>
      </c>
      <c r="I559" s="104" t="n">
        <f aca="false">IF('Loan Tape'!$AN252=0,0,IF('Loan Tape'!$K252="Floating",MIN(IF('Loan Tape'!$P252="",10,'Loan Tape'!$P252),MAX(IF('Loan Tape'!$Q252="",0,'Loan Tape'!$Q252),INDEX(Idx_Curve,1,7)+'Loan Tape'!$M252)),IF('Loan Tape'!$L252="",0,'Loan Tape'!$L252)))</f>
        <v>0</v>
      </c>
      <c r="J559" s="104" t="n">
        <f aca="false">IF('Loan Tape'!$AN252=0,0,IF('Loan Tape'!$K252="Floating",MIN(IF('Loan Tape'!$P252="",10,'Loan Tape'!$P252),MAX(IF('Loan Tape'!$Q252="",0,'Loan Tape'!$Q252),INDEX(Idx_Curve,1,8)+'Loan Tape'!$M252)),IF('Loan Tape'!$L252="",0,'Loan Tape'!$L252)))</f>
        <v>0</v>
      </c>
      <c r="K559" s="104" t="n">
        <f aca="false">IF('Loan Tape'!$AN252=0,0,IF('Loan Tape'!$K252="Floating",MIN(IF('Loan Tape'!$P252="",10,'Loan Tape'!$P252),MAX(IF('Loan Tape'!$Q252="",0,'Loan Tape'!$Q252),INDEX(Idx_Curve,1,9)+'Loan Tape'!$M252)),IF('Loan Tape'!$L252="",0,'Loan Tape'!$L252)))</f>
        <v>0</v>
      </c>
      <c r="L559" s="104" t="n">
        <f aca="false">IF('Loan Tape'!$AN252=0,0,IF('Loan Tape'!$K252="Floating",MIN(IF('Loan Tape'!$P252="",10,'Loan Tape'!$P252),MAX(IF('Loan Tape'!$Q252="",0,'Loan Tape'!$Q252),INDEX(Idx_Curve,1,10)+'Loan Tape'!$M252)),IF('Loan Tape'!$L252="",0,'Loan Tape'!$L252)))</f>
        <v>0</v>
      </c>
    </row>
    <row r="560" customFormat="false" ht="15" hidden="false" customHeight="false" outlineLevel="0" collapsed="false">
      <c r="B560" s="108" t="n">
        <f aca="false">'Loan Tape'!$A253</f>
        <v>0</v>
      </c>
      <c r="C560" s="56" t="n">
        <f aca="false">IF('Loan Tape'!$AN253=0,0,IF('Loan Tape'!$K253="Floating",MIN(IF('Loan Tape'!$P253="",10,'Loan Tape'!$P253),MAX(IF('Loan Tape'!$Q253="",0,'Loan Tape'!$Q253),INDEX(Idx_Curve,1,1)+'Loan Tape'!$M253)),IF('Loan Tape'!$L253="",0,'Loan Tape'!$L253)))</f>
        <v>0</v>
      </c>
      <c r="D560" s="56" t="n">
        <f aca="false">IF('Loan Tape'!$AN253=0,0,IF('Loan Tape'!$K253="Floating",MIN(IF('Loan Tape'!$P253="",10,'Loan Tape'!$P253),MAX(IF('Loan Tape'!$Q253="",0,'Loan Tape'!$Q253),INDEX(Idx_Curve,1,2)+'Loan Tape'!$M253)),IF('Loan Tape'!$L253="",0,'Loan Tape'!$L253)))</f>
        <v>0</v>
      </c>
      <c r="E560" s="56" t="n">
        <f aca="false">IF('Loan Tape'!$AN253=0,0,IF('Loan Tape'!$K253="Floating",MIN(IF('Loan Tape'!$P253="",10,'Loan Tape'!$P253),MAX(IF('Loan Tape'!$Q253="",0,'Loan Tape'!$Q253),INDEX(Idx_Curve,1,3)+'Loan Tape'!$M253)),IF('Loan Tape'!$L253="",0,'Loan Tape'!$L253)))</f>
        <v>0</v>
      </c>
      <c r="F560" s="56" t="n">
        <f aca="false">IF('Loan Tape'!$AN253=0,0,IF('Loan Tape'!$K253="Floating",MIN(IF('Loan Tape'!$P253="",10,'Loan Tape'!$P253),MAX(IF('Loan Tape'!$Q253="",0,'Loan Tape'!$Q253),INDEX(Idx_Curve,1,4)+'Loan Tape'!$M253)),IF('Loan Tape'!$L253="",0,'Loan Tape'!$L253)))</f>
        <v>0</v>
      </c>
      <c r="G560" s="56" t="n">
        <f aca="false">IF('Loan Tape'!$AN253=0,0,IF('Loan Tape'!$K253="Floating",MIN(IF('Loan Tape'!$P253="",10,'Loan Tape'!$P253),MAX(IF('Loan Tape'!$Q253="",0,'Loan Tape'!$Q253),INDEX(Idx_Curve,1,5)+'Loan Tape'!$M253)),IF('Loan Tape'!$L253="",0,'Loan Tape'!$L253)))</f>
        <v>0</v>
      </c>
      <c r="H560" s="56" t="n">
        <f aca="false">IF('Loan Tape'!$AN253=0,0,IF('Loan Tape'!$K253="Floating",MIN(IF('Loan Tape'!$P253="",10,'Loan Tape'!$P253),MAX(IF('Loan Tape'!$Q253="",0,'Loan Tape'!$Q253),INDEX(Idx_Curve,1,6)+'Loan Tape'!$M253)),IF('Loan Tape'!$L253="",0,'Loan Tape'!$L253)))</f>
        <v>0</v>
      </c>
      <c r="I560" s="56" t="n">
        <f aca="false">IF('Loan Tape'!$AN253=0,0,IF('Loan Tape'!$K253="Floating",MIN(IF('Loan Tape'!$P253="",10,'Loan Tape'!$P253),MAX(IF('Loan Tape'!$Q253="",0,'Loan Tape'!$Q253),INDEX(Idx_Curve,1,7)+'Loan Tape'!$M253)),IF('Loan Tape'!$L253="",0,'Loan Tape'!$L253)))</f>
        <v>0</v>
      </c>
      <c r="J560" s="56" t="n">
        <f aca="false">IF('Loan Tape'!$AN253=0,0,IF('Loan Tape'!$K253="Floating",MIN(IF('Loan Tape'!$P253="",10,'Loan Tape'!$P253),MAX(IF('Loan Tape'!$Q253="",0,'Loan Tape'!$Q253),INDEX(Idx_Curve,1,8)+'Loan Tape'!$M253)),IF('Loan Tape'!$L253="",0,'Loan Tape'!$L253)))</f>
        <v>0</v>
      </c>
      <c r="K560" s="56" t="n">
        <f aca="false">IF('Loan Tape'!$AN253=0,0,IF('Loan Tape'!$K253="Floating",MIN(IF('Loan Tape'!$P253="",10,'Loan Tape'!$P253),MAX(IF('Loan Tape'!$Q253="",0,'Loan Tape'!$Q253),INDEX(Idx_Curve,1,9)+'Loan Tape'!$M253)),IF('Loan Tape'!$L253="",0,'Loan Tape'!$L253)))</f>
        <v>0</v>
      </c>
      <c r="L560" s="56" t="n">
        <f aca="false">IF('Loan Tape'!$AN253=0,0,IF('Loan Tape'!$K253="Floating",MIN(IF('Loan Tape'!$P253="",10,'Loan Tape'!$P253),MAX(IF('Loan Tape'!$Q253="",0,'Loan Tape'!$Q253),INDEX(Idx_Curve,1,10)+'Loan Tape'!$M253)),IF('Loan Tape'!$L253="",0,'Loan Tape'!$L253)))</f>
        <v>0</v>
      </c>
    </row>
    <row r="561" customFormat="false" ht="15" hidden="false" customHeight="false" outlineLevel="0" collapsed="false">
      <c r="B561" s="102" t="n">
        <f aca="false">'Loan Tape'!$A254</f>
        <v>0</v>
      </c>
      <c r="C561" s="104" t="n">
        <f aca="false">IF('Loan Tape'!$AN254=0,0,IF('Loan Tape'!$K254="Floating",MIN(IF('Loan Tape'!$P254="",10,'Loan Tape'!$P254),MAX(IF('Loan Tape'!$Q254="",0,'Loan Tape'!$Q254),INDEX(Idx_Curve,1,1)+'Loan Tape'!$M254)),IF('Loan Tape'!$L254="",0,'Loan Tape'!$L254)))</f>
        <v>0</v>
      </c>
      <c r="D561" s="104" t="n">
        <f aca="false">IF('Loan Tape'!$AN254=0,0,IF('Loan Tape'!$K254="Floating",MIN(IF('Loan Tape'!$P254="",10,'Loan Tape'!$P254),MAX(IF('Loan Tape'!$Q254="",0,'Loan Tape'!$Q254),INDEX(Idx_Curve,1,2)+'Loan Tape'!$M254)),IF('Loan Tape'!$L254="",0,'Loan Tape'!$L254)))</f>
        <v>0</v>
      </c>
      <c r="E561" s="104" t="n">
        <f aca="false">IF('Loan Tape'!$AN254=0,0,IF('Loan Tape'!$K254="Floating",MIN(IF('Loan Tape'!$P254="",10,'Loan Tape'!$P254),MAX(IF('Loan Tape'!$Q254="",0,'Loan Tape'!$Q254),INDEX(Idx_Curve,1,3)+'Loan Tape'!$M254)),IF('Loan Tape'!$L254="",0,'Loan Tape'!$L254)))</f>
        <v>0</v>
      </c>
      <c r="F561" s="104" t="n">
        <f aca="false">IF('Loan Tape'!$AN254=0,0,IF('Loan Tape'!$K254="Floating",MIN(IF('Loan Tape'!$P254="",10,'Loan Tape'!$P254),MAX(IF('Loan Tape'!$Q254="",0,'Loan Tape'!$Q254),INDEX(Idx_Curve,1,4)+'Loan Tape'!$M254)),IF('Loan Tape'!$L254="",0,'Loan Tape'!$L254)))</f>
        <v>0</v>
      </c>
      <c r="G561" s="104" t="n">
        <f aca="false">IF('Loan Tape'!$AN254=0,0,IF('Loan Tape'!$K254="Floating",MIN(IF('Loan Tape'!$P254="",10,'Loan Tape'!$P254),MAX(IF('Loan Tape'!$Q254="",0,'Loan Tape'!$Q254),INDEX(Idx_Curve,1,5)+'Loan Tape'!$M254)),IF('Loan Tape'!$L254="",0,'Loan Tape'!$L254)))</f>
        <v>0</v>
      </c>
      <c r="H561" s="104" t="n">
        <f aca="false">IF('Loan Tape'!$AN254=0,0,IF('Loan Tape'!$K254="Floating",MIN(IF('Loan Tape'!$P254="",10,'Loan Tape'!$P254),MAX(IF('Loan Tape'!$Q254="",0,'Loan Tape'!$Q254),INDEX(Idx_Curve,1,6)+'Loan Tape'!$M254)),IF('Loan Tape'!$L254="",0,'Loan Tape'!$L254)))</f>
        <v>0</v>
      </c>
      <c r="I561" s="104" t="n">
        <f aca="false">IF('Loan Tape'!$AN254=0,0,IF('Loan Tape'!$K254="Floating",MIN(IF('Loan Tape'!$P254="",10,'Loan Tape'!$P254),MAX(IF('Loan Tape'!$Q254="",0,'Loan Tape'!$Q254),INDEX(Idx_Curve,1,7)+'Loan Tape'!$M254)),IF('Loan Tape'!$L254="",0,'Loan Tape'!$L254)))</f>
        <v>0</v>
      </c>
      <c r="J561" s="104" t="n">
        <f aca="false">IF('Loan Tape'!$AN254=0,0,IF('Loan Tape'!$K254="Floating",MIN(IF('Loan Tape'!$P254="",10,'Loan Tape'!$P254),MAX(IF('Loan Tape'!$Q254="",0,'Loan Tape'!$Q254),INDEX(Idx_Curve,1,8)+'Loan Tape'!$M254)),IF('Loan Tape'!$L254="",0,'Loan Tape'!$L254)))</f>
        <v>0</v>
      </c>
      <c r="K561" s="104" t="n">
        <f aca="false">IF('Loan Tape'!$AN254=0,0,IF('Loan Tape'!$K254="Floating",MIN(IF('Loan Tape'!$P254="",10,'Loan Tape'!$P254),MAX(IF('Loan Tape'!$Q254="",0,'Loan Tape'!$Q254),INDEX(Idx_Curve,1,9)+'Loan Tape'!$M254)),IF('Loan Tape'!$L254="",0,'Loan Tape'!$L254)))</f>
        <v>0</v>
      </c>
      <c r="L561" s="104" t="n">
        <f aca="false">IF('Loan Tape'!$AN254=0,0,IF('Loan Tape'!$K254="Floating",MIN(IF('Loan Tape'!$P254="",10,'Loan Tape'!$P254),MAX(IF('Loan Tape'!$Q254="",0,'Loan Tape'!$Q254),INDEX(Idx_Curve,1,10)+'Loan Tape'!$M254)),IF('Loan Tape'!$L254="",0,'Loan Tape'!$L254)))</f>
        <v>0</v>
      </c>
    </row>
    <row r="562" customFormat="false" ht="15" hidden="false" customHeight="false" outlineLevel="0" collapsed="false">
      <c r="B562" s="108" t="n">
        <f aca="false">'Loan Tape'!$A255</f>
        <v>0</v>
      </c>
      <c r="C562" s="56" t="n">
        <f aca="false">IF('Loan Tape'!$AN255=0,0,IF('Loan Tape'!$K255="Floating",MIN(IF('Loan Tape'!$P255="",10,'Loan Tape'!$P255),MAX(IF('Loan Tape'!$Q255="",0,'Loan Tape'!$Q255),INDEX(Idx_Curve,1,1)+'Loan Tape'!$M255)),IF('Loan Tape'!$L255="",0,'Loan Tape'!$L255)))</f>
        <v>0</v>
      </c>
      <c r="D562" s="56" t="n">
        <f aca="false">IF('Loan Tape'!$AN255=0,0,IF('Loan Tape'!$K255="Floating",MIN(IF('Loan Tape'!$P255="",10,'Loan Tape'!$P255),MAX(IF('Loan Tape'!$Q255="",0,'Loan Tape'!$Q255),INDEX(Idx_Curve,1,2)+'Loan Tape'!$M255)),IF('Loan Tape'!$L255="",0,'Loan Tape'!$L255)))</f>
        <v>0</v>
      </c>
      <c r="E562" s="56" t="n">
        <f aca="false">IF('Loan Tape'!$AN255=0,0,IF('Loan Tape'!$K255="Floating",MIN(IF('Loan Tape'!$P255="",10,'Loan Tape'!$P255),MAX(IF('Loan Tape'!$Q255="",0,'Loan Tape'!$Q255),INDEX(Idx_Curve,1,3)+'Loan Tape'!$M255)),IF('Loan Tape'!$L255="",0,'Loan Tape'!$L255)))</f>
        <v>0</v>
      </c>
      <c r="F562" s="56" t="n">
        <f aca="false">IF('Loan Tape'!$AN255=0,0,IF('Loan Tape'!$K255="Floating",MIN(IF('Loan Tape'!$P255="",10,'Loan Tape'!$P255),MAX(IF('Loan Tape'!$Q255="",0,'Loan Tape'!$Q255),INDEX(Idx_Curve,1,4)+'Loan Tape'!$M255)),IF('Loan Tape'!$L255="",0,'Loan Tape'!$L255)))</f>
        <v>0</v>
      </c>
      <c r="G562" s="56" t="n">
        <f aca="false">IF('Loan Tape'!$AN255=0,0,IF('Loan Tape'!$K255="Floating",MIN(IF('Loan Tape'!$P255="",10,'Loan Tape'!$P255),MAX(IF('Loan Tape'!$Q255="",0,'Loan Tape'!$Q255),INDEX(Idx_Curve,1,5)+'Loan Tape'!$M255)),IF('Loan Tape'!$L255="",0,'Loan Tape'!$L255)))</f>
        <v>0</v>
      </c>
      <c r="H562" s="56" t="n">
        <f aca="false">IF('Loan Tape'!$AN255=0,0,IF('Loan Tape'!$K255="Floating",MIN(IF('Loan Tape'!$P255="",10,'Loan Tape'!$P255),MAX(IF('Loan Tape'!$Q255="",0,'Loan Tape'!$Q255),INDEX(Idx_Curve,1,6)+'Loan Tape'!$M255)),IF('Loan Tape'!$L255="",0,'Loan Tape'!$L255)))</f>
        <v>0</v>
      </c>
      <c r="I562" s="56" t="n">
        <f aca="false">IF('Loan Tape'!$AN255=0,0,IF('Loan Tape'!$K255="Floating",MIN(IF('Loan Tape'!$P255="",10,'Loan Tape'!$P255),MAX(IF('Loan Tape'!$Q255="",0,'Loan Tape'!$Q255),INDEX(Idx_Curve,1,7)+'Loan Tape'!$M255)),IF('Loan Tape'!$L255="",0,'Loan Tape'!$L255)))</f>
        <v>0</v>
      </c>
      <c r="J562" s="56" t="n">
        <f aca="false">IF('Loan Tape'!$AN255=0,0,IF('Loan Tape'!$K255="Floating",MIN(IF('Loan Tape'!$P255="",10,'Loan Tape'!$P255),MAX(IF('Loan Tape'!$Q255="",0,'Loan Tape'!$Q255),INDEX(Idx_Curve,1,8)+'Loan Tape'!$M255)),IF('Loan Tape'!$L255="",0,'Loan Tape'!$L255)))</f>
        <v>0</v>
      </c>
      <c r="K562" s="56" t="n">
        <f aca="false">IF('Loan Tape'!$AN255=0,0,IF('Loan Tape'!$K255="Floating",MIN(IF('Loan Tape'!$P255="",10,'Loan Tape'!$P255),MAX(IF('Loan Tape'!$Q255="",0,'Loan Tape'!$Q255),INDEX(Idx_Curve,1,9)+'Loan Tape'!$M255)),IF('Loan Tape'!$L255="",0,'Loan Tape'!$L255)))</f>
        <v>0</v>
      </c>
      <c r="L562" s="56" t="n">
        <f aca="false">IF('Loan Tape'!$AN255=0,0,IF('Loan Tape'!$K255="Floating",MIN(IF('Loan Tape'!$P255="",10,'Loan Tape'!$P255),MAX(IF('Loan Tape'!$Q255="",0,'Loan Tape'!$Q255),INDEX(Idx_Curve,1,10)+'Loan Tape'!$M255)),IF('Loan Tape'!$L255="",0,'Loan Tape'!$L255)))</f>
        <v>0</v>
      </c>
    </row>
    <row r="563" customFormat="false" ht="15" hidden="false" customHeight="false" outlineLevel="0" collapsed="false">
      <c r="B563" s="102" t="n">
        <f aca="false">'Loan Tape'!$A256</f>
        <v>0</v>
      </c>
      <c r="C563" s="104" t="n">
        <f aca="false">IF('Loan Tape'!$AN256=0,0,IF('Loan Tape'!$K256="Floating",MIN(IF('Loan Tape'!$P256="",10,'Loan Tape'!$P256),MAX(IF('Loan Tape'!$Q256="",0,'Loan Tape'!$Q256),INDEX(Idx_Curve,1,1)+'Loan Tape'!$M256)),IF('Loan Tape'!$L256="",0,'Loan Tape'!$L256)))</f>
        <v>0</v>
      </c>
      <c r="D563" s="104" t="n">
        <f aca="false">IF('Loan Tape'!$AN256=0,0,IF('Loan Tape'!$K256="Floating",MIN(IF('Loan Tape'!$P256="",10,'Loan Tape'!$P256),MAX(IF('Loan Tape'!$Q256="",0,'Loan Tape'!$Q256),INDEX(Idx_Curve,1,2)+'Loan Tape'!$M256)),IF('Loan Tape'!$L256="",0,'Loan Tape'!$L256)))</f>
        <v>0</v>
      </c>
      <c r="E563" s="104" t="n">
        <f aca="false">IF('Loan Tape'!$AN256=0,0,IF('Loan Tape'!$K256="Floating",MIN(IF('Loan Tape'!$P256="",10,'Loan Tape'!$P256),MAX(IF('Loan Tape'!$Q256="",0,'Loan Tape'!$Q256),INDEX(Idx_Curve,1,3)+'Loan Tape'!$M256)),IF('Loan Tape'!$L256="",0,'Loan Tape'!$L256)))</f>
        <v>0</v>
      </c>
      <c r="F563" s="104" t="n">
        <f aca="false">IF('Loan Tape'!$AN256=0,0,IF('Loan Tape'!$K256="Floating",MIN(IF('Loan Tape'!$P256="",10,'Loan Tape'!$P256),MAX(IF('Loan Tape'!$Q256="",0,'Loan Tape'!$Q256),INDEX(Idx_Curve,1,4)+'Loan Tape'!$M256)),IF('Loan Tape'!$L256="",0,'Loan Tape'!$L256)))</f>
        <v>0</v>
      </c>
      <c r="G563" s="104" t="n">
        <f aca="false">IF('Loan Tape'!$AN256=0,0,IF('Loan Tape'!$K256="Floating",MIN(IF('Loan Tape'!$P256="",10,'Loan Tape'!$P256),MAX(IF('Loan Tape'!$Q256="",0,'Loan Tape'!$Q256),INDEX(Idx_Curve,1,5)+'Loan Tape'!$M256)),IF('Loan Tape'!$L256="",0,'Loan Tape'!$L256)))</f>
        <v>0</v>
      </c>
      <c r="H563" s="104" t="n">
        <f aca="false">IF('Loan Tape'!$AN256=0,0,IF('Loan Tape'!$K256="Floating",MIN(IF('Loan Tape'!$P256="",10,'Loan Tape'!$P256),MAX(IF('Loan Tape'!$Q256="",0,'Loan Tape'!$Q256),INDEX(Idx_Curve,1,6)+'Loan Tape'!$M256)),IF('Loan Tape'!$L256="",0,'Loan Tape'!$L256)))</f>
        <v>0</v>
      </c>
      <c r="I563" s="104" t="n">
        <f aca="false">IF('Loan Tape'!$AN256=0,0,IF('Loan Tape'!$K256="Floating",MIN(IF('Loan Tape'!$P256="",10,'Loan Tape'!$P256),MAX(IF('Loan Tape'!$Q256="",0,'Loan Tape'!$Q256),INDEX(Idx_Curve,1,7)+'Loan Tape'!$M256)),IF('Loan Tape'!$L256="",0,'Loan Tape'!$L256)))</f>
        <v>0</v>
      </c>
      <c r="J563" s="104" t="n">
        <f aca="false">IF('Loan Tape'!$AN256=0,0,IF('Loan Tape'!$K256="Floating",MIN(IF('Loan Tape'!$P256="",10,'Loan Tape'!$P256),MAX(IF('Loan Tape'!$Q256="",0,'Loan Tape'!$Q256),INDEX(Idx_Curve,1,8)+'Loan Tape'!$M256)),IF('Loan Tape'!$L256="",0,'Loan Tape'!$L256)))</f>
        <v>0</v>
      </c>
      <c r="K563" s="104" t="n">
        <f aca="false">IF('Loan Tape'!$AN256=0,0,IF('Loan Tape'!$K256="Floating",MIN(IF('Loan Tape'!$P256="",10,'Loan Tape'!$P256),MAX(IF('Loan Tape'!$Q256="",0,'Loan Tape'!$Q256),INDEX(Idx_Curve,1,9)+'Loan Tape'!$M256)),IF('Loan Tape'!$L256="",0,'Loan Tape'!$L256)))</f>
        <v>0</v>
      </c>
      <c r="L563" s="104" t="n">
        <f aca="false">IF('Loan Tape'!$AN256=0,0,IF('Loan Tape'!$K256="Floating",MIN(IF('Loan Tape'!$P256="",10,'Loan Tape'!$P256),MAX(IF('Loan Tape'!$Q256="",0,'Loan Tape'!$Q256),INDEX(Idx_Curve,1,10)+'Loan Tape'!$M256)),IF('Loan Tape'!$L256="",0,'Loan Tape'!$L256)))</f>
        <v>0</v>
      </c>
    </row>
    <row r="564" customFormat="false" ht="15" hidden="false" customHeight="false" outlineLevel="0" collapsed="false">
      <c r="B564" s="108" t="n">
        <f aca="false">'Loan Tape'!$A257</f>
        <v>0</v>
      </c>
      <c r="C564" s="56" t="n">
        <f aca="false">IF('Loan Tape'!$AN257=0,0,IF('Loan Tape'!$K257="Floating",MIN(IF('Loan Tape'!$P257="",10,'Loan Tape'!$P257),MAX(IF('Loan Tape'!$Q257="",0,'Loan Tape'!$Q257),INDEX(Idx_Curve,1,1)+'Loan Tape'!$M257)),IF('Loan Tape'!$L257="",0,'Loan Tape'!$L257)))</f>
        <v>0</v>
      </c>
      <c r="D564" s="56" t="n">
        <f aca="false">IF('Loan Tape'!$AN257=0,0,IF('Loan Tape'!$K257="Floating",MIN(IF('Loan Tape'!$P257="",10,'Loan Tape'!$P257),MAX(IF('Loan Tape'!$Q257="",0,'Loan Tape'!$Q257),INDEX(Idx_Curve,1,2)+'Loan Tape'!$M257)),IF('Loan Tape'!$L257="",0,'Loan Tape'!$L257)))</f>
        <v>0</v>
      </c>
      <c r="E564" s="56" t="n">
        <f aca="false">IF('Loan Tape'!$AN257=0,0,IF('Loan Tape'!$K257="Floating",MIN(IF('Loan Tape'!$P257="",10,'Loan Tape'!$P257),MAX(IF('Loan Tape'!$Q257="",0,'Loan Tape'!$Q257),INDEX(Idx_Curve,1,3)+'Loan Tape'!$M257)),IF('Loan Tape'!$L257="",0,'Loan Tape'!$L257)))</f>
        <v>0</v>
      </c>
      <c r="F564" s="56" t="n">
        <f aca="false">IF('Loan Tape'!$AN257=0,0,IF('Loan Tape'!$K257="Floating",MIN(IF('Loan Tape'!$P257="",10,'Loan Tape'!$P257),MAX(IF('Loan Tape'!$Q257="",0,'Loan Tape'!$Q257),INDEX(Idx_Curve,1,4)+'Loan Tape'!$M257)),IF('Loan Tape'!$L257="",0,'Loan Tape'!$L257)))</f>
        <v>0</v>
      </c>
      <c r="G564" s="56" t="n">
        <f aca="false">IF('Loan Tape'!$AN257=0,0,IF('Loan Tape'!$K257="Floating",MIN(IF('Loan Tape'!$P257="",10,'Loan Tape'!$P257),MAX(IF('Loan Tape'!$Q257="",0,'Loan Tape'!$Q257),INDEX(Idx_Curve,1,5)+'Loan Tape'!$M257)),IF('Loan Tape'!$L257="",0,'Loan Tape'!$L257)))</f>
        <v>0</v>
      </c>
      <c r="H564" s="56" t="n">
        <f aca="false">IF('Loan Tape'!$AN257=0,0,IF('Loan Tape'!$K257="Floating",MIN(IF('Loan Tape'!$P257="",10,'Loan Tape'!$P257),MAX(IF('Loan Tape'!$Q257="",0,'Loan Tape'!$Q257),INDEX(Idx_Curve,1,6)+'Loan Tape'!$M257)),IF('Loan Tape'!$L257="",0,'Loan Tape'!$L257)))</f>
        <v>0</v>
      </c>
      <c r="I564" s="56" t="n">
        <f aca="false">IF('Loan Tape'!$AN257=0,0,IF('Loan Tape'!$K257="Floating",MIN(IF('Loan Tape'!$P257="",10,'Loan Tape'!$P257),MAX(IF('Loan Tape'!$Q257="",0,'Loan Tape'!$Q257),INDEX(Idx_Curve,1,7)+'Loan Tape'!$M257)),IF('Loan Tape'!$L257="",0,'Loan Tape'!$L257)))</f>
        <v>0</v>
      </c>
      <c r="J564" s="56" t="n">
        <f aca="false">IF('Loan Tape'!$AN257=0,0,IF('Loan Tape'!$K257="Floating",MIN(IF('Loan Tape'!$P257="",10,'Loan Tape'!$P257),MAX(IF('Loan Tape'!$Q257="",0,'Loan Tape'!$Q257),INDEX(Idx_Curve,1,8)+'Loan Tape'!$M257)),IF('Loan Tape'!$L257="",0,'Loan Tape'!$L257)))</f>
        <v>0</v>
      </c>
      <c r="K564" s="56" t="n">
        <f aca="false">IF('Loan Tape'!$AN257=0,0,IF('Loan Tape'!$K257="Floating",MIN(IF('Loan Tape'!$P257="",10,'Loan Tape'!$P257),MAX(IF('Loan Tape'!$Q257="",0,'Loan Tape'!$Q257),INDEX(Idx_Curve,1,9)+'Loan Tape'!$M257)),IF('Loan Tape'!$L257="",0,'Loan Tape'!$L257)))</f>
        <v>0</v>
      </c>
      <c r="L564" s="56" t="n">
        <f aca="false">IF('Loan Tape'!$AN257=0,0,IF('Loan Tape'!$K257="Floating",MIN(IF('Loan Tape'!$P257="",10,'Loan Tape'!$P257),MAX(IF('Loan Tape'!$Q257="",0,'Loan Tape'!$Q257),INDEX(Idx_Curve,1,10)+'Loan Tape'!$M257)),IF('Loan Tape'!$L257="",0,'Loan Tape'!$L257)))</f>
        <v>0</v>
      </c>
    </row>
    <row r="565" customFormat="false" ht="15" hidden="false" customHeight="false" outlineLevel="0" collapsed="false">
      <c r="B565" s="102" t="n">
        <f aca="false">'Loan Tape'!$A258</f>
        <v>0</v>
      </c>
      <c r="C565" s="104" t="n">
        <f aca="false">IF('Loan Tape'!$AN258=0,0,IF('Loan Tape'!$K258="Floating",MIN(IF('Loan Tape'!$P258="",10,'Loan Tape'!$P258),MAX(IF('Loan Tape'!$Q258="",0,'Loan Tape'!$Q258),INDEX(Idx_Curve,1,1)+'Loan Tape'!$M258)),IF('Loan Tape'!$L258="",0,'Loan Tape'!$L258)))</f>
        <v>0</v>
      </c>
      <c r="D565" s="104" t="n">
        <f aca="false">IF('Loan Tape'!$AN258=0,0,IF('Loan Tape'!$K258="Floating",MIN(IF('Loan Tape'!$P258="",10,'Loan Tape'!$P258),MAX(IF('Loan Tape'!$Q258="",0,'Loan Tape'!$Q258),INDEX(Idx_Curve,1,2)+'Loan Tape'!$M258)),IF('Loan Tape'!$L258="",0,'Loan Tape'!$L258)))</f>
        <v>0</v>
      </c>
      <c r="E565" s="104" t="n">
        <f aca="false">IF('Loan Tape'!$AN258=0,0,IF('Loan Tape'!$K258="Floating",MIN(IF('Loan Tape'!$P258="",10,'Loan Tape'!$P258),MAX(IF('Loan Tape'!$Q258="",0,'Loan Tape'!$Q258),INDEX(Idx_Curve,1,3)+'Loan Tape'!$M258)),IF('Loan Tape'!$L258="",0,'Loan Tape'!$L258)))</f>
        <v>0</v>
      </c>
      <c r="F565" s="104" t="n">
        <f aca="false">IF('Loan Tape'!$AN258=0,0,IF('Loan Tape'!$K258="Floating",MIN(IF('Loan Tape'!$P258="",10,'Loan Tape'!$P258),MAX(IF('Loan Tape'!$Q258="",0,'Loan Tape'!$Q258),INDEX(Idx_Curve,1,4)+'Loan Tape'!$M258)),IF('Loan Tape'!$L258="",0,'Loan Tape'!$L258)))</f>
        <v>0</v>
      </c>
      <c r="G565" s="104" t="n">
        <f aca="false">IF('Loan Tape'!$AN258=0,0,IF('Loan Tape'!$K258="Floating",MIN(IF('Loan Tape'!$P258="",10,'Loan Tape'!$P258),MAX(IF('Loan Tape'!$Q258="",0,'Loan Tape'!$Q258),INDEX(Idx_Curve,1,5)+'Loan Tape'!$M258)),IF('Loan Tape'!$L258="",0,'Loan Tape'!$L258)))</f>
        <v>0</v>
      </c>
      <c r="H565" s="104" t="n">
        <f aca="false">IF('Loan Tape'!$AN258=0,0,IF('Loan Tape'!$K258="Floating",MIN(IF('Loan Tape'!$P258="",10,'Loan Tape'!$P258),MAX(IF('Loan Tape'!$Q258="",0,'Loan Tape'!$Q258),INDEX(Idx_Curve,1,6)+'Loan Tape'!$M258)),IF('Loan Tape'!$L258="",0,'Loan Tape'!$L258)))</f>
        <v>0</v>
      </c>
      <c r="I565" s="104" t="n">
        <f aca="false">IF('Loan Tape'!$AN258=0,0,IF('Loan Tape'!$K258="Floating",MIN(IF('Loan Tape'!$P258="",10,'Loan Tape'!$P258),MAX(IF('Loan Tape'!$Q258="",0,'Loan Tape'!$Q258),INDEX(Idx_Curve,1,7)+'Loan Tape'!$M258)),IF('Loan Tape'!$L258="",0,'Loan Tape'!$L258)))</f>
        <v>0</v>
      </c>
      <c r="J565" s="104" t="n">
        <f aca="false">IF('Loan Tape'!$AN258=0,0,IF('Loan Tape'!$K258="Floating",MIN(IF('Loan Tape'!$P258="",10,'Loan Tape'!$P258),MAX(IF('Loan Tape'!$Q258="",0,'Loan Tape'!$Q258),INDEX(Idx_Curve,1,8)+'Loan Tape'!$M258)),IF('Loan Tape'!$L258="",0,'Loan Tape'!$L258)))</f>
        <v>0</v>
      </c>
      <c r="K565" s="104" t="n">
        <f aca="false">IF('Loan Tape'!$AN258=0,0,IF('Loan Tape'!$K258="Floating",MIN(IF('Loan Tape'!$P258="",10,'Loan Tape'!$P258),MAX(IF('Loan Tape'!$Q258="",0,'Loan Tape'!$Q258),INDEX(Idx_Curve,1,9)+'Loan Tape'!$M258)),IF('Loan Tape'!$L258="",0,'Loan Tape'!$L258)))</f>
        <v>0</v>
      </c>
      <c r="L565" s="104" t="n">
        <f aca="false">IF('Loan Tape'!$AN258=0,0,IF('Loan Tape'!$K258="Floating",MIN(IF('Loan Tape'!$P258="",10,'Loan Tape'!$P258),MAX(IF('Loan Tape'!$Q258="",0,'Loan Tape'!$Q258),INDEX(Idx_Curve,1,10)+'Loan Tape'!$M258)),IF('Loan Tape'!$L258="",0,'Loan Tape'!$L258)))</f>
        <v>0</v>
      </c>
    </row>
    <row r="566" customFormat="false" ht="15" hidden="false" customHeight="false" outlineLevel="0" collapsed="false">
      <c r="B566" s="108" t="n">
        <f aca="false">'Loan Tape'!$A259</f>
        <v>0</v>
      </c>
      <c r="C566" s="56" t="n">
        <f aca="false">IF('Loan Tape'!$AN259=0,0,IF('Loan Tape'!$K259="Floating",MIN(IF('Loan Tape'!$P259="",10,'Loan Tape'!$P259),MAX(IF('Loan Tape'!$Q259="",0,'Loan Tape'!$Q259),INDEX(Idx_Curve,1,1)+'Loan Tape'!$M259)),IF('Loan Tape'!$L259="",0,'Loan Tape'!$L259)))</f>
        <v>0</v>
      </c>
      <c r="D566" s="56" t="n">
        <f aca="false">IF('Loan Tape'!$AN259=0,0,IF('Loan Tape'!$K259="Floating",MIN(IF('Loan Tape'!$P259="",10,'Loan Tape'!$P259),MAX(IF('Loan Tape'!$Q259="",0,'Loan Tape'!$Q259),INDEX(Idx_Curve,1,2)+'Loan Tape'!$M259)),IF('Loan Tape'!$L259="",0,'Loan Tape'!$L259)))</f>
        <v>0</v>
      </c>
      <c r="E566" s="56" t="n">
        <f aca="false">IF('Loan Tape'!$AN259=0,0,IF('Loan Tape'!$K259="Floating",MIN(IF('Loan Tape'!$P259="",10,'Loan Tape'!$P259),MAX(IF('Loan Tape'!$Q259="",0,'Loan Tape'!$Q259),INDEX(Idx_Curve,1,3)+'Loan Tape'!$M259)),IF('Loan Tape'!$L259="",0,'Loan Tape'!$L259)))</f>
        <v>0</v>
      </c>
      <c r="F566" s="56" t="n">
        <f aca="false">IF('Loan Tape'!$AN259=0,0,IF('Loan Tape'!$K259="Floating",MIN(IF('Loan Tape'!$P259="",10,'Loan Tape'!$P259),MAX(IF('Loan Tape'!$Q259="",0,'Loan Tape'!$Q259),INDEX(Idx_Curve,1,4)+'Loan Tape'!$M259)),IF('Loan Tape'!$L259="",0,'Loan Tape'!$L259)))</f>
        <v>0</v>
      </c>
      <c r="G566" s="56" t="n">
        <f aca="false">IF('Loan Tape'!$AN259=0,0,IF('Loan Tape'!$K259="Floating",MIN(IF('Loan Tape'!$P259="",10,'Loan Tape'!$P259),MAX(IF('Loan Tape'!$Q259="",0,'Loan Tape'!$Q259),INDEX(Idx_Curve,1,5)+'Loan Tape'!$M259)),IF('Loan Tape'!$L259="",0,'Loan Tape'!$L259)))</f>
        <v>0</v>
      </c>
      <c r="H566" s="56" t="n">
        <f aca="false">IF('Loan Tape'!$AN259=0,0,IF('Loan Tape'!$K259="Floating",MIN(IF('Loan Tape'!$P259="",10,'Loan Tape'!$P259),MAX(IF('Loan Tape'!$Q259="",0,'Loan Tape'!$Q259),INDEX(Idx_Curve,1,6)+'Loan Tape'!$M259)),IF('Loan Tape'!$L259="",0,'Loan Tape'!$L259)))</f>
        <v>0</v>
      </c>
      <c r="I566" s="56" t="n">
        <f aca="false">IF('Loan Tape'!$AN259=0,0,IF('Loan Tape'!$K259="Floating",MIN(IF('Loan Tape'!$P259="",10,'Loan Tape'!$P259),MAX(IF('Loan Tape'!$Q259="",0,'Loan Tape'!$Q259),INDEX(Idx_Curve,1,7)+'Loan Tape'!$M259)),IF('Loan Tape'!$L259="",0,'Loan Tape'!$L259)))</f>
        <v>0</v>
      </c>
      <c r="J566" s="56" t="n">
        <f aca="false">IF('Loan Tape'!$AN259=0,0,IF('Loan Tape'!$K259="Floating",MIN(IF('Loan Tape'!$P259="",10,'Loan Tape'!$P259),MAX(IF('Loan Tape'!$Q259="",0,'Loan Tape'!$Q259),INDEX(Idx_Curve,1,8)+'Loan Tape'!$M259)),IF('Loan Tape'!$L259="",0,'Loan Tape'!$L259)))</f>
        <v>0</v>
      </c>
      <c r="K566" s="56" t="n">
        <f aca="false">IF('Loan Tape'!$AN259=0,0,IF('Loan Tape'!$K259="Floating",MIN(IF('Loan Tape'!$P259="",10,'Loan Tape'!$P259),MAX(IF('Loan Tape'!$Q259="",0,'Loan Tape'!$Q259),INDEX(Idx_Curve,1,9)+'Loan Tape'!$M259)),IF('Loan Tape'!$L259="",0,'Loan Tape'!$L259)))</f>
        <v>0</v>
      </c>
      <c r="L566" s="56" t="n">
        <f aca="false">IF('Loan Tape'!$AN259=0,0,IF('Loan Tape'!$K259="Floating",MIN(IF('Loan Tape'!$P259="",10,'Loan Tape'!$P259),MAX(IF('Loan Tape'!$Q259="",0,'Loan Tape'!$Q259),INDEX(Idx_Curve,1,10)+'Loan Tape'!$M259)),IF('Loan Tape'!$L259="",0,'Loan Tape'!$L259)))</f>
        <v>0</v>
      </c>
    </row>
    <row r="567" customFormat="false" ht="15" hidden="false" customHeight="false" outlineLevel="0" collapsed="false">
      <c r="B567" s="102" t="n">
        <f aca="false">'Loan Tape'!$A260</f>
        <v>0</v>
      </c>
      <c r="C567" s="104" t="n">
        <f aca="false">IF('Loan Tape'!$AN260=0,0,IF('Loan Tape'!$K260="Floating",MIN(IF('Loan Tape'!$P260="",10,'Loan Tape'!$P260),MAX(IF('Loan Tape'!$Q260="",0,'Loan Tape'!$Q260),INDEX(Idx_Curve,1,1)+'Loan Tape'!$M260)),IF('Loan Tape'!$L260="",0,'Loan Tape'!$L260)))</f>
        <v>0</v>
      </c>
      <c r="D567" s="104" t="n">
        <f aca="false">IF('Loan Tape'!$AN260=0,0,IF('Loan Tape'!$K260="Floating",MIN(IF('Loan Tape'!$P260="",10,'Loan Tape'!$P260),MAX(IF('Loan Tape'!$Q260="",0,'Loan Tape'!$Q260),INDEX(Idx_Curve,1,2)+'Loan Tape'!$M260)),IF('Loan Tape'!$L260="",0,'Loan Tape'!$L260)))</f>
        <v>0</v>
      </c>
      <c r="E567" s="104" t="n">
        <f aca="false">IF('Loan Tape'!$AN260=0,0,IF('Loan Tape'!$K260="Floating",MIN(IF('Loan Tape'!$P260="",10,'Loan Tape'!$P260),MAX(IF('Loan Tape'!$Q260="",0,'Loan Tape'!$Q260),INDEX(Idx_Curve,1,3)+'Loan Tape'!$M260)),IF('Loan Tape'!$L260="",0,'Loan Tape'!$L260)))</f>
        <v>0</v>
      </c>
      <c r="F567" s="104" t="n">
        <f aca="false">IF('Loan Tape'!$AN260=0,0,IF('Loan Tape'!$K260="Floating",MIN(IF('Loan Tape'!$P260="",10,'Loan Tape'!$P260),MAX(IF('Loan Tape'!$Q260="",0,'Loan Tape'!$Q260),INDEX(Idx_Curve,1,4)+'Loan Tape'!$M260)),IF('Loan Tape'!$L260="",0,'Loan Tape'!$L260)))</f>
        <v>0</v>
      </c>
      <c r="G567" s="104" t="n">
        <f aca="false">IF('Loan Tape'!$AN260=0,0,IF('Loan Tape'!$K260="Floating",MIN(IF('Loan Tape'!$P260="",10,'Loan Tape'!$P260),MAX(IF('Loan Tape'!$Q260="",0,'Loan Tape'!$Q260),INDEX(Idx_Curve,1,5)+'Loan Tape'!$M260)),IF('Loan Tape'!$L260="",0,'Loan Tape'!$L260)))</f>
        <v>0</v>
      </c>
      <c r="H567" s="104" t="n">
        <f aca="false">IF('Loan Tape'!$AN260=0,0,IF('Loan Tape'!$K260="Floating",MIN(IF('Loan Tape'!$P260="",10,'Loan Tape'!$P260),MAX(IF('Loan Tape'!$Q260="",0,'Loan Tape'!$Q260),INDEX(Idx_Curve,1,6)+'Loan Tape'!$M260)),IF('Loan Tape'!$L260="",0,'Loan Tape'!$L260)))</f>
        <v>0</v>
      </c>
      <c r="I567" s="104" t="n">
        <f aca="false">IF('Loan Tape'!$AN260=0,0,IF('Loan Tape'!$K260="Floating",MIN(IF('Loan Tape'!$P260="",10,'Loan Tape'!$P260),MAX(IF('Loan Tape'!$Q260="",0,'Loan Tape'!$Q260),INDEX(Idx_Curve,1,7)+'Loan Tape'!$M260)),IF('Loan Tape'!$L260="",0,'Loan Tape'!$L260)))</f>
        <v>0</v>
      </c>
      <c r="J567" s="104" t="n">
        <f aca="false">IF('Loan Tape'!$AN260=0,0,IF('Loan Tape'!$K260="Floating",MIN(IF('Loan Tape'!$P260="",10,'Loan Tape'!$P260),MAX(IF('Loan Tape'!$Q260="",0,'Loan Tape'!$Q260),INDEX(Idx_Curve,1,8)+'Loan Tape'!$M260)),IF('Loan Tape'!$L260="",0,'Loan Tape'!$L260)))</f>
        <v>0</v>
      </c>
      <c r="K567" s="104" t="n">
        <f aca="false">IF('Loan Tape'!$AN260=0,0,IF('Loan Tape'!$K260="Floating",MIN(IF('Loan Tape'!$P260="",10,'Loan Tape'!$P260),MAX(IF('Loan Tape'!$Q260="",0,'Loan Tape'!$Q260),INDEX(Idx_Curve,1,9)+'Loan Tape'!$M260)),IF('Loan Tape'!$L260="",0,'Loan Tape'!$L260)))</f>
        <v>0</v>
      </c>
      <c r="L567" s="104" t="n">
        <f aca="false">IF('Loan Tape'!$AN260=0,0,IF('Loan Tape'!$K260="Floating",MIN(IF('Loan Tape'!$P260="",10,'Loan Tape'!$P260),MAX(IF('Loan Tape'!$Q260="",0,'Loan Tape'!$Q260),INDEX(Idx_Curve,1,10)+'Loan Tape'!$M260)),IF('Loan Tape'!$L260="",0,'Loan Tape'!$L260)))</f>
        <v>0</v>
      </c>
    </row>
    <row r="568" customFormat="false" ht="15" hidden="false" customHeight="false" outlineLevel="0" collapsed="false">
      <c r="B568" s="108" t="n">
        <f aca="false">'Loan Tape'!$A261</f>
        <v>0</v>
      </c>
      <c r="C568" s="56" t="n">
        <f aca="false">IF('Loan Tape'!$AN261=0,0,IF('Loan Tape'!$K261="Floating",MIN(IF('Loan Tape'!$P261="",10,'Loan Tape'!$P261),MAX(IF('Loan Tape'!$Q261="",0,'Loan Tape'!$Q261),INDEX(Idx_Curve,1,1)+'Loan Tape'!$M261)),IF('Loan Tape'!$L261="",0,'Loan Tape'!$L261)))</f>
        <v>0</v>
      </c>
      <c r="D568" s="56" t="n">
        <f aca="false">IF('Loan Tape'!$AN261=0,0,IF('Loan Tape'!$K261="Floating",MIN(IF('Loan Tape'!$P261="",10,'Loan Tape'!$P261),MAX(IF('Loan Tape'!$Q261="",0,'Loan Tape'!$Q261),INDEX(Idx_Curve,1,2)+'Loan Tape'!$M261)),IF('Loan Tape'!$L261="",0,'Loan Tape'!$L261)))</f>
        <v>0</v>
      </c>
      <c r="E568" s="56" t="n">
        <f aca="false">IF('Loan Tape'!$AN261=0,0,IF('Loan Tape'!$K261="Floating",MIN(IF('Loan Tape'!$P261="",10,'Loan Tape'!$P261),MAX(IF('Loan Tape'!$Q261="",0,'Loan Tape'!$Q261),INDEX(Idx_Curve,1,3)+'Loan Tape'!$M261)),IF('Loan Tape'!$L261="",0,'Loan Tape'!$L261)))</f>
        <v>0</v>
      </c>
      <c r="F568" s="56" t="n">
        <f aca="false">IF('Loan Tape'!$AN261=0,0,IF('Loan Tape'!$K261="Floating",MIN(IF('Loan Tape'!$P261="",10,'Loan Tape'!$P261),MAX(IF('Loan Tape'!$Q261="",0,'Loan Tape'!$Q261),INDEX(Idx_Curve,1,4)+'Loan Tape'!$M261)),IF('Loan Tape'!$L261="",0,'Loan Tape'!$L261)))</f>
        <v>0</v>
      </c>
      <c r="G568" s="56" t="n">
        <f aca="false">IF('Loan Tape'!$AN261=0,0,IF('Loan Tape'!$K261="Floating",MIN(IF('Loan Tape'!$P261="",10,'Loan Tape'!$P261),MAX(IF('Loan Tape'!$Q261="",0,'Loan Tape'!$Q261),INDEX(Idx_Curve,1,5)+'Loan Tape'!$M261)),IF('Loan Tape'!$L261="",0,'Loan Tape'!$L261)))</f>
        <v>0</v>
      </c>
      <c r="H568" s="56" t="n">
        <f aca="false">IF('Loan Tape'!$AN261=0,0,IF('Loan Tape'!$K261="Floating",MIN(IF('Loan Tape'!$P261="",10,'Loan Tape'!$P261),MAX(IF('Loan Tape'!$Q261="",0,'Loan Tape'!$Q261),INDEX(Idx_Curve,1,6)+'Loan Tape'!$M261)),IF('Loan Tape'!$L261="",0,'Loan Tape'!$L261)))</f>
        <v>0</v>
      </c>
      <c r="I568" s="56" t="n">
        <f aca="false">IF('Loan Tape'!$AN261=0,0,IF('Loan Tape'!$K261="Floating",MIN(IF('Loan Tape'!$P261="",10,'Loan Tape'!$P261),MAX(IF('Loan Tape'!$Q261="",0,'Loan Tape'!$Q261),INDEX(Idx_Curve,1,7)+'Loan Tape'!$M261)),IF('Loan Tape'!$L261="",0,'Loan Tape'!$L261)))</f>
        <v>0</v>
      </c>
      <c r="J568" s="56" t="n">
        <f aca="false">IF('Loan Tape'!$AN261=0,0,IF('Loan Tape'!$K261="Floating",MIN(IF('Loan Tape'!$P261="",10,'Loan Tape'!$P261),MAX(IF('Loan Tape'!$Q261="",0,'Loan Tape'!$Q261),INDEX(Idx_Curve,1,8)+'Loan Tape'!$M261)),IF('Loan Tape'!$L261="",0,'Loan Tape'!$L261)))</f>
        <v>0</v>
      </c>
      <c r="K568" s="56" t="n">
        <f aca="false">IF('Loan Tape'!$AN261=0,0,IF('Loan Tape'!$K261="Floating",MIN(IF('Loan Tape'!$P261="",10,'Loan Tape'!$P261),MAX(IF('Loan Tape'!$Q261="",0,'Loan Tape'!$Q261),INDEX(Idx_Curve,1,9)+'Loan Tape'!$M261)),IF('Loan Tape'!$L261="",0,'Loan Tape'!$L261)))</f>
        <v>0</v>
      </c>
      <c r="L568" s="56" t="n">
        <f aca="false">IF('Loan Tape'!$AN261=0,0,IF('Loan Tape'!$K261="Floating",MIN(IF('Loan Tape'!$P261="",10,'Loan Tape'!$P261),MAX(IF('Loan Tape'!$Q261="",0,'Loan Tape'!$Q261),INDEX(Idx_Curve,1,10)+'Loan Tape'!$M261)),IF('Loan Tape'!$L261="",0,'Loan Tape'!$L261)))</f>
        <v>0</v>
      </c>
    </row>
    <row r="569" customFormat="false" ht="15" hidden="false" customHeight="false" outlineLevel="0" collapsed="false">
      <c r="B569" s="102" t="n">
        <f aca="false">'Loan Tape'!$A262</f>
        <v>0</v>
      </c>
      <c r="C569" s="104" t="n">
        <f aca="false">IF('Loan Tape'!$AN262=0,0,IF('Loan Tape'!$K262="Floating",MIN(IF('Loan Tape'!$P262="",10,'Loan Tape'!$P262),MAX(IF('Loan Tape'!$Q262="",0,'Loan Tape'!$Q262),INDEX(Idx_Curve,1,1)+'Loan Tape'!$M262)),IF('Loan Tape'!$L262="",0,'Loan Tape'!$L262)))</f>
        <v>0</v>
      </c>
      <c r="D569" s="104" t="n">
        <f aca="false">IF('Loan Tape'!$AN262=0,0,IF('Loan Tape'!$K262="Floating",MIN(IF('Loan Tape'!$P262="",10,'Loan Tape'!$P262),MAX(IF('Loan Tape'!$Q262="",0,'Loan Tape'!$Q262),INDEX(Idx_Curve,1,2)+'Loan Tape'!$M262)),IF('Loan Tape'!$L262="",0,'Loan Tape'!$L262)))</f>
        <v>0</v>
      </c>
      <c r="E569" s="104" t="n">
        <f aca="false">IF('Loan Tape'!$AN262=0,0,IF('Loan Tape'!$K262="Floating",MIN(IF('Loan Tape'!$P262="",10,'Loan Tape'!$P262),MAX(IF('Loan Tape'!$Q262="",0,'Loan Tape'!$Q262),INDEX(Idx_Curve,1,3)+'Loan Tape'!$M262)),IF('Loan Tape'!$L262="",0,'Loan Tape'!$L262)))</f>
        <v>0</v>
      </c>
      <c r="F569" s="104" t="n">
        <f aca="false">IF('Loan Tape'!$AN262=0,0,IF('Loan Tape'!$K262="Floating",MIN(IF('Loan Tape'!$P262="",10,'Loan Tape'!$P262),MAX(IF('Loan Tape'!$Q262="",0,'Loan Tape'!$Q262),INDEX(Idx_Curve,1,4)+'Loan Tape'!$M262)),IF('Loan Tape'!$L262="",0,'Loan Tape'!$L262)))</f>
        <v>0</v>
      </c>
      <c r="G569" s="104" t="n">
        <f aca="false">IF('Loan Tape'!$AN262=0,0,IF('Loan Tape'!$K262="Floating",MIN(IF('Loan Tape'!$P262="",10,'Loan Tape'!$P262),MAX(IF('Loan Tape'!$Q262="",0,'Loan Tape'!$Q262),INDEX(Idx_Curve,1,5)+'Loan Tape'!$M262)),IF('Loan Tape'!$L262="",0,'Loan Tape'!$L262)))</f>
        <v>0</v>
      </c>
      <c r="H569" s="104" t="n">
        <f aca="false">IF('Loan Tape'!$AN262=0,0,IF('Loan Tape'!$K262="Floating",MIN(IF('Loan Tape'!$P262="",10,'Loan Tape'!$P262),MAX(IF('Loan Tape'!$Q262="",0,'Loan Tape'!$Q262),INDEX(Idx_Curve,1,6)+'Loan Tape'!$M262)),IF('Loan Tape'!$L262="",0,'Loan Tape'!$L262)))</f>
        <v>0</v>
      </c>
      <c r="I569" s="104" t="n">
        <f aca="false">IF('Loan Tape'!$AN262=0,0,IF('Loan Tape'!$K262="Floating",MIN(IF('Loan Tape'!$P262="",10,'Loan Tape'!$P262),MAX(IF('Loan Tape'!$Q262="",0,'Loan Tape'!$Q262),INDEX(Idx_Curve,1,7)+'Loan Tape'!$M262)),IF('Loan Tape'!$L262="",0,'Loan Tape'!$L262)))</f>
        <v>0</v>
      </c>
      <c r="J569" s="104" t="n">
        <f aca="false">IF('Loan Tape'!$AN262=0,0,IF('Loan Tape'!$K262="Floating",MIN(IF('Loan Tape'!$P262="",10,'Loan Tape'!$P262),MAX(IF('Loan Tape'!$Q262="",0,'Loan Tape'!$Q262),INDEX(Idx_Curve,1,8)+'Loan Tape'!$M262)),IF('Loan Tape'!$L262="",0,'Loan Tape'!$L262)))</f>
        <v>0</v>
      </c>
      <c r="K569" s="104" t="n">
        <f aca="false">IF('Loan Tape'!$AN262=0,0,IF('Loan Tape'!$K262="Floating",MIN(IF('Loan Tape'!$P262="",10,'Loan Tape'!$P262),MAX(IF('Loan Tape'!$Q262="",0,'Loan Tape'!$Q262),INDEX(Idx_Curve,1,9)+'Loan Tape'!$M262)),IF('Loan Tape'!$L262="",0,'Loan Tape'!$L262)))</f>
        <v>0</v>
      </c>
      <c r="L569" s="104" t="n">
        <f aca="false">IF('Loan Tape'!$AN262=0,0,IF('Loan Tape'!$K262="Floating",MIN(IF('Loan Tape'!$P262="",10,'Loan Tape'!$P262),MAX(IF('Loan Tape'!$Q262="",0,'Loan Tape'!$Q262),INDEX(Idx_Curve,1,10)+'Loan Tape'!$M262)),IF('Loan Tape'!$L262="",0,'Loan Tape'!$L262)))</f>
        <v>0</v>
      </c>
    </row>
    <row r="570" customFormat="false" ht="15" hidden="false" customHeight="false" outlineLevel="0" collapsed="false">
      <c r="B570" s="108" t="n">
        <f aca="false">'Loan Tape'!$A263</f>
        <v>0</v>
      </c>
      <c r="C570" s="56" t="n">
        <f aca="false">IF('Loan Tape'!$AN263=0,0,IF('Loan Tape'!$K263="Floating",MIN(IF('Loan Tape'!$P263="",10,'Loan Tape'!$P263),MAX(IF('Loan Tape'!$Q263="",0,'Loan Tape'!$Q263),INDEX(Idx_Curve,1,1)+'Loan Tape'!$M263)),IF('Loan Tape'!$L263="",0,'Loan Tape'!$L263)))</f>
        <v>0</v>
      </c>
      <c r="D570" s="56" t="n">
        <f aca="false">IF('Loan Tape'!$AN263=0,0,IF('Loan Tape'!$K263="Floating",MIN(IF('Loan Tape'!$P263="",10,'Loan Tape'!$P263),MAX(IF('Loan Tape'!$Q263="",0,'Loan Tape'!$Q263),INDEX(Idx_Curve,1,2)+'Loan Tape'!$M263)),IF('Loan Tape'!$L263="",0,'Loan Tape'!$L263)))</f>
        <v>0</v>
      </c>
      <c r="E570" s="56" t="n">
        <f aca="false">IF('Loan Tape'!$AN263=0,0,IF('Loan Tape'!$K263="Floating",MIN(IF('Loan Tape'!$P263="",10,'Loan Tape'!$P263),MAX(IF('Loan Tape'!$Q263="",0,'Loan Tape'!$Q263),INDEX(Idx_Curve,1,3)+'Loan Tape'!$M263)),IF('Loan Tape'!$L263="",0,'Loan Tape'!$L263)))</f>
        <v>0</v>
      </c>
      <c r="F570" s="56" t="n">
        <f aca="false">IF('Loan Tape'!$AN263=0,0,IF('Loan Tape'!$K263="Floating",MIN(IF('Loan Tape'!$P263="",10,'Loan Tape'!$P263),MAX(IF('Loan Tape'!$Q263="",0,'Loan Tape'!$Q263),INDEX(Idx_Curve,1,4)+'Loan Tape'!$M263)),IF('Loan Tape'!$L263="",0,'Loan Tape'!$L263)))</f>
        <v>0</v>
      </c>
      <c r="G570" s="56" t="n">
        <f aca="false">IF('Loan Tape'!$AN263=0,0,IF('Loan Tape'!$K263="Floating",MIN(IF('Loan Tape'!$P263="",10,'Loan Tape'!$P263),MAX(IF('Loan Tape'!$Q263="",0,'Loan Tape'!$Q263),INDEX(Idx_Curve,1,5)+'Loan Tape'!$M263)),IF('Loan Tape'!$L263="",0,'Loan Tape'!$L263)))</f>
        <v>0</v>
      </c>
      <c r="H570" s="56" t="n">
        <f aca="false">IF('Loan Tape'!$AN263=0,0,IF('Loan Tape'!$K263="Floating",MIN(IF('Loan Tape'!$P263="",10,'Loan Tape'!$P263),MAX(IF('Loan Tape'!$Q263="",0,'Loan Tape'!$Q263),INDEX(Idx_Curve,1,6)+'Loan Tape'!$M263)),IF('Loan Tape'!$L263="",0,'Loan Tape'!$L263)))</f>
        <v>0</v>
      </c>
      <c r="I570" s="56" t="n">
        <f aca="false">IF('Loan Tape'!$AN263=0,0,IF('Loan Tape'!$K263="Floating",MIN(IF('Loan Tape'!$P263="",10,'Loan Tape'!$P263),MAX(IF('Loan Tape'!$Q263="",0,'Loan Tape'!$Q263),INDEX(Idx_Curve,1,7)+'Loan Tape'!$M263)),IF('Loan Tape'!$L263="",0,'Loan Tape'!$L263)))</f>
        <v>0</v>
      </c>
      <c r="J570" s="56" t="n">
        <f aca="false">IF('Loan Tape'!$AN263=0,0,IF('Loan Tape'!$K263="Floating",MIN(IF('Loan Tape'!$P263="",10,'Loan Tape'!$P263),MAX(IF('Loan Tape'!$Q263="",0,'Loan Tape'!$Q263),INDEX(Idx_Curve,1,8)+'Loan Tape'!$M263)),IF('Loan Tape'!$L263="",0,'Loan Tape'!$L263)))</f>
        <v>0</v>
      </c>
      <c r="K570" s="56" t="n">
        <f aca="false">IF('Loan Tape'!$AN263=0,0,IF('Loan Tape'!$K263="Floating",MIN(IF('Loan Tape'!$P263="",10,'Loan Tape'!$P263),MAX(IF('Loan Tape'!$Q263="",0,'Loan Tape'!$Q263),INDEX(Idx_Curve,1,9)+'Loan Tape'!$M263)),IF('Loan Tape'!$L263="",0,'Loan Tape'!$L263)))</f>
        <v>0</v>
      </c>
      <c r="L570" s="56" t="n">
        <f aca="false">IF('Loan Tape'!$AN263=0,0,IF('Loan Tape'!$K263="Floating",MIN(IF('Loan Tape'!$P263="",10,'Loan Tape'!$P263),MAX(IF('Loan Tape'!$Q263="",0,'Loan Tape'!$Q263),INDEX(Idx_Curve,1,10)+'Loan Tape'!$M263)),IF('Loan Tape'!$L263="",0,'Loan Tape'!$L263)))</f>
        <v>0</v>
      </c>
    </row>
    <row r="571" customFormat="false" ht="15" hidden="false" customHeight="false" outlineLevel="0" collapsed="false">
      <c r="B571" s="102" t="n">
        <f aca="false">'Loan Tape'!$A264</f>
        <v>0</v>
      </c>
      <c r="C571" s="104" t="n">
        <f aca="false">IF('Loan Tape'!$AN264=0,0,IF('Loan Tape'!$K264="Floating",MIN(IF('Loan Tape'!$P264="",10,'Loan Tape'!$P264),MAX(IF('Loan Tape'!$Q264="",0,'Loan Tape'!$Q264),INDEX(Idx_Curve,1,1)+'Loan Tape'!$M264)),IF('Loan Tape'!$L264="",0,'Loan Tape'!$L264)))</f>
        <v>0</v>
      </c>
      <c r="D571" s="104" t="n">
        <f aca="false">IF('Loan Tape'!$AN264=0,0,IF('Loan Tape'!$K264="Floating",MIN(IF('Loan Tape'!$P264="",10,'Loan Tape'!$P264),MAX(IF('Loan Tape'!$Q264="",0,'Loan Tape'!$Q264),INDEX(Idx_Curve,1,2)+'Loan Tape'!$M264)),IF('Loan Tape'!$L264="",0,'Loan Tape'!$L264)))</f>
        <v>0</v>
      </c>
      <c r="E571" s="104" t="n">
        <f aca="false">IF('Loan Tape'!$AN264=0,0,IF('Loan Tape'!$K264="Floating",MIN(IF('Loan Tape'!$P264="",10,'Loan Tape'!$P264),MAX(IF('Loan Tape'!$Q264="",0,'Loan Tape'!$Q264),INDEX(Idx_Curve,1,3)+'Loan Tape'!$M264)),IF('Loan Tape'!$L264="",0,'Loan Tape'!$L264)))</f>
        <v>0</v>
      </c>
      <c r="F571" s="104" t="n">
        <f aca="false">IF('Loan Tape'!$AN264=0,0,IF('Loan Tape'!$K264="Floating",MIN(IF('Loan Tape'!$P264="",10,'Loan Tape'!$P264),MAX(IF('Loan Tape'!$Q264="",0,'Loan Tape'!$Q264),INDEX(Idx_Curve,1,4)+'Loan Tape'!$M264)),IF('Loan Tape'!$L264="",0,'Loan Tape'!$L264)))</f>
        <v>0</v>
      </c>
      <c r="G571" s="104" t="n">
        <f aca="false">IF('Loan Tape'!$AN264=0,0,IF('Loan Tape'!$K264="Floating",MIN(IF('Loan Tape'!$P264="",10,'Loan Tape'!$P264),MAX(IF('Loan Tape'!$Q264="",0,'Loan Tape'!$Q264),INDEX(Idx_Curve,1,5)+'Loan Tape'!$M264)),IF('Loan Tape'!$L264="",0,'Loan Tape'!$L264)))</f>
        <v>0</v>
      </c>
      <c r="H571" s="104" t="n">
        <f aca="false">IF('Loan Tape'!$AN264=0,0,IF('Loan Tape'!$K264="Floating",MIN(IF('Loan Tape'!$P264="",10,'Loan Tape'!$P264),MAX(IF('Loan Tape'!$Q264="",0,'Loan Tape'!$Q264),INDEX(Idx_Curve,1,6)+'Loan Tape'!$M264)),IF('Loan Tape'!$L264="",0,'Loan Tape'!$L264)))</f>
        <v>0</v>
      </c>
      <c r="I571" s="104" t="n">
        <f aca="false">IF('Loan Tape'!$AN264=0,0,IF('Loan Tape'!$K264="Floating",MIN(IF('Loan Tape'!$P264="",10,'Loan Tape'!$P264),MAX(IF('Loan Tape'!$Q264="",0,'Loan Tape'!$Q264),INDEX(Idx_Curve,1,7)+'Loan Tape'!$M264)),IF('Loan Tape'!$L264="",0,'Loan Tape'!$L264)))</f>
        <v>0</v>
      </c>
      <c r="J571" s="104" t="n">
        <f aca="false">IF('Loan Tape'!$AN264=0,0,IF('Loan Tape'!$K264="Floating",MIN(IF('Loan Tape'!$P264="",10,'Loan Tape'!$P264),MAX(IF('Loan Tape'!$Q264="",0,'Loan Tape'!$Q264),INDEX(Idx_Curve,1,8)+'Loan Tape'!$M264)),IF('Loan Tape'!$L264="",0,'Loan Tape'!$L264)))</f>
        <v>0</v>
      </c>
      <c r="K571" s="104" t="n">
        <f aca="false">IF('Loan Tape'!$AN264=0,0,IF('Loan Tape'!$K264="Floating",MIN(IF('Loan Tape'!$P264="",10,'Loan Tape'!$P264),MAX(IF('Loan Tape'!$Q264="",0,'Loan Tape'!$Q264),INDEX(Idx_Curve,1,9)+'Loan Tape'!$M264)),IF('Loan Tape'!$L264="",0,'Loan Tape'!$L264)))</f>
        <v>0</v>
      </c>
      <c r="L571" s="104" t="n">
        <f aca="false">IF('Loan Tape'!$AN264=0,0,IF('Loan Tape'!$K264="Floating",MIN(IF('Loan Tape'!$P264="",10,'Loan Tape'!$P264),MAX(IF('Loan Tape'!$Q264="",0,'Loan Tape'!$Q264),INDEX(Idx_Curve,1,10)+'Loan Tape'!$M264)),IF('Loan Tape'!$L264="",0,'Loan Tape'!$L264)))</f>
        <v>0</v>
      </c>
    </row>
    <row r="572" customFormat="false" ht="15" hidden="false" customHeight="false" outlineLevel="0" collapsed="false">
      <c r="B572" s="108" t="n">
        <f aca="false">'Loan Tape'!$A265</f>
        <v>0</v>
      </c>
      <c r="C572" s="56" t="n">
        <f aca="false">IF('Loan Tape'!$AN265=0,0,IF('Loan Tape'!$K265="Floating",MIN(IF('Loan Tape'!$P265="",10,'Loan Tape'!$P265),MAX(IF('Loan Tape'!$Q265="",0,'Loan Tape'!$Q265),INDEX(Idx_Curve,1,1)+'Loan Tape'!$M265)),IF('Loan Tape'!$L265="",0,'Loan Tape'!$L265)))</f>
        <v>0</v>
      </c>
      <c r="D572" s="56" t="n">
        <f aca="false">IF('Loan Tape'!$AN265=0,0,IF('Loan Tape'!$K265="Floating",MIN(IF('Loan Tape'!$P265="",10,'Loan Tape'!$P265),MAX(IF('Loan Tape'!$Q265="",0,'Loan Tape'!$Q265),INDEX(Idx_Curve,1,2)+'Loan Tape'!$M265)),IF('Loan Tape'!$L265="",0,'Loan Tape'!$L265)))</f>
        <v>0</v>
      </c>
      <c r="E572" s="56" t="n">
        <f aca="false">IF('Loan Tape'!$AN265=0,0,IF('Loan Tape'!$K265="Floating",MIN(IF('Loan Tape'!$P265="",10,'Loan Tape'!$P265),MAX(IF('Loan Tape'!$Q265="",0,'Loan Tape'!$Q265),INDEX(Idx_Curve,1,3)+'Loan Tape'!$M265)),IF('Loan Tape'!$L265="",0,'Loan Tape'!$L265)))</f>
        <v>0</v>
      </c>
      <c r="F572" s="56" t="n">
        <f aca="false">IF('Loan Tape'!$AN265=0,0,IF('Loan Tape'!$K265="Floating",MIN(IF('Loan Tape'!$P265="",10,'Loan Tape'!$P265),MAX(IF('Loan Tape'!$Q265="",0,'Loan Tape'!$Q265),INDEX(Idx_Curve,1,4)+'Loan Tape'!$M265)),IF('Loan Tape'!$L265="",0,'Loan Tape'!$L265)))</f>
        <v>0</v>
      </c>
      <c r="G572" s="56" t="n">
        <f aca="false">IF('Loan Tape'!$AN265=0,0,IF('Loan Tape'!$K265="Floating",MIN(IF('Loan Tape'!$P265="",10,'Loan Tape'!$P265),MAX(IF('Loan Tape'!$Q265="",0,'Loan Tape'!$Q265),INDEX(Idx_Curve,1,5)+'Loan Tape'!$M265)),IF('Loan Tape'!$L265="",0,'Loan Tape'!$L265)))</f>
        <v>0</v>
      </c>
      <c r="H572" s="56" t="n">
        <f aca="false">IF('Loan Tape'!$AN265=0,0,IF('Loan Tape'!$K265="Floating",MIN(IF('Loan Tape'!$P265="",10,'Loan Tape'!$P265),MAX(IF('Loan Tape'!$Q265="",0,'Loan Tape'!$Q265),INDEX(Idx_Curve,1,6)+'Loan Tape'!$M265)),IF('Loan Tape'!$L265="",0,'Loan Tape'!$L265)))</f>
        <v>0</v>
      </c>
      <c r="I572" s="56" t="n">
        <f aca="false">IF('Loan Tape'!$AN265=0,0,IF('Loan Tape'!$K265="Floating",MIN(IF('Loan Tape'!$P265="",10,'Loan Tape'!$P265),MAX(IF('Loan Tape'!$Q265="",0,'Loan Tape'!$Q265),INDEX(Idx_Curve,1,7)+'Loan Tape'!$M265)),IF('Loan Tape'!$L265="",0,'Loan Tape'!$L265)))</f>
        <v>0</v>
      </c>
      <c r="J572" s="56" t="n">
        <f aca="false">IF('Loan Tape'!$AN265=0,0,IF('Loan Tape'!$K265="Floating",MIN(IF('Loan Tape'!$P265="",10,'Loan Tape'!$P265),MAX(IF('Loan Tape'!$Q265="",0,'Loan Tape'!$Q265),INDEX(Idx_Curve,1,8)+'Loan Tape'!$M265)),IF('Loan Tape'!$L265="",0,'Loan Tape'!$L265)))</f>
        <v>0</v>
      </c>
      <c r="K572" s="56" t="n">
        <f aca="false">IF('Loan Tape'!$AN265=0,0,IF('Loan Tape'!$K265="Floating",MIN(IF('Loan Tape'!$P265="",10,'Loan Tape'!$P265),MAX(IF('Loan Tape'!$Q265="",0,'Loan Tape'!$Q265),INDEX(Idx_Curve,1,9)+'Loan Tape'!$M265)),IF('Loan Tape'!$L265="",0,'Loan Tape'!$L265)))</f>
        <v>0</v>
      </c>
      <c r="L572" s="56" t="n">
        <f aca="false">IF('Loan Tape'!$AN265=0,0,IF('Loan Tape'!$K265="Floating",MIN(IF('Loan Tape'!$P265="",10,'Loan Tape'!$P265),MAX(IF('Loan Tape'!$Q265="",0,'Loan Tape'!$Q265),INDEX(Idx_Curve,1,10)+'Loan Tape'!$M265)),IF('Loan Tape'!$L265="",0,'Loan Tape'!$L265)))</f>
        <v>0</v>
      </c>
    </row>
    <row r="573" customFormat="false" ht="15" hidden="false" customHeight="false" outlineLevel="0" collapsed="false">
      <c r="B573" s="102" t="n">
        <f aca="false">'Loan Tape'!$A266</f>
        <v>0</v>
      </c>
      <c r="C573" s="104" t="n">
        <f aca="false">IF('Loan Tape'!$AN266=0,0,IF('Loan Tape'!$K266="Floating",MIN(IF('Loan Tape'!$P266="",10,'Loan Tape'!$P266),MAX(IF('Loan Tape'!$Q266="",0,'Loan Tape'!$Q266),INDEX(Idx_Curve,1,1)+'Loan Tape'!$M266)),IF('Loan Tape'!$L266="",0,'Loan Tape'!$L266)))</f>
        <v>0</v>
      </c>
      <c r="D573" s="104" t="n">
        <f aca="false">IF('Loan Tape'!$AN266=0,0,IF('Loan Tape'!$K266="Floating",MIN(IF('Loan Tape'!$P266="",10,'Loan Tape'!$P266),MAX(IF('Loan Tape'!$Q266="",0,'Loan Tape'!$Q266),INDEX(Idx_Curve,1,2)+'Loan Tape'!$M266)),IF('Loan Tape'!$L266="",0,'Loan Tape'!$L266)))</f>
        <v>0</v>
      </c>
      <c r="E573" s="104" t="n">
        <f aca="false">IF('Loan Tape'!$AN266=0,0,IF('Loan Tape'!$K266="Floating",MIN(IF('Loan Tape'!$P266="",10,'Loan Tape'!$P266),MAX(IF('Loan Tape'!$Q266="",0,'Loan Tape'!$Q266),INDEX(Idx_Curve,1,3)+'Loan Tape'!$M266)),IF('Loan Tape'!$L266="",0,'Loan Tape'!$L266)))</f>
        <v>0</v>
      </c>
      <c r="F573" s="104" t="n">
        <f aca="false">IF('Loan Tape'!$AN266=0,0,IF('Loan Tape'!$K266="Floating",MIN(IF('Loan Tape'!$P266="",10,'Loan Tape'!$P266),MAX(IF('Loan Tape'!$Q266="",0,'Loan Tape'!$Q266),INDEX(Idx_Curve,1,4)+'Loan Tape'!$M266)),IF('Loan Tape'!$L266="",0,'Loan Tape'!$L266)))</f>
        <v>0</v>
      </c>
      <c r="G573" s="104" t="n">
        <f aca="false">IF('Loan Tape'!$AN266=0,0,IF('Loan Tape'!$K266="Floating",MIN(IF('Loan Tape'!$P266="",10,'Loan Tape'!$P266),MAX(IF('Loan Tape'!$Q266="",0,'Loan Tape'!$Q266),INDEX(Idx_Curve,1,5)+'Loan Tape'!$M266)),IF('Loan Tape'!$L266="",0,'Loan Tape'!$L266)))</f>
        <v>0</v>
      </c>
      <c r="H573" s="104" t="n">
        <f aca="false">IF('Loan Tape'!$AN266=0,0,IF('Loan Tape'!$K266="Floating",MIN(IF('Loan Tape'!$P266="",10,'Loan Tape'!$P266),MAX(IF('Loan Tape'!$Q266="",0,'Loan Tape'!$Q266),INDEX(Idx_Curve,1,6)+'Loan Tape'!$M266)),IF('Loan Tape'!$L266="",0,'Loan Tape'!$L266)))</f>
        <v>0</v>
      </c>
      <c r="I573" s="104" t="n">
        <f aca="false">IF('Loan Tape'!$AN266=0,0,IF('Loan Tape'!$K266="Floating",MIN(IF('Loan Tape'!$P266="",10,'Loan Tape'!$P266),MAX(IF('Loan Tape'!$Q266="",0,'Loan Tape'!$Q266),INDEX(Idx_Curve,1,7)+'Loan Tape'!$M266)),IF('Loan Tape'!$L266="",0,'Loan Tape'!$L266)))</f>
        <v>0</v>
      </c>
      <c r="J573" s="104" t="n">
        <f aca="false">IF('Loan Tape'!$AN266=0,0,IF('Loan Tape'!$K266="Floating",MIN(IF('Loan Tape'!$P266="",10,'Loan Tape'!$P266),MAX(IF('Loan Tape'!$Q266="",0,'Loan Tape'!$Q266),INDEX(Idx_Curve,1,8)+'Loan Tape'!$M266)),IF('Loan Tape'!$L266="",0,'Loan Tape'!$L266)))</f>
        <v>0</v>
      </c>
      <c r="K573" s="104" t="n">
        <f aca="false">IF('Loan Tape'!$AN266=0,0,IF('Loan Tape'!$K266="Floating",MIN(IF('Loan Tape'!$P266="",10,'Loan Tape'!$P266),MAX(IF('Loan Tape'!$Q266="",0,'Loan Tape'!$Q266),INDEX(Idx_Curve,1,9)+'Loan Tape'!$M266)),IF('Loan Tape'!$L266="",0,'Loan Tape'!$L266)))</f>
        <v>0</v>
      </c>
      <c r="L573" s="104" t="n">
        <f aca="false">IF('Loan Tape'!$AN266=0,0,IF('Loan Tape'!$K266="Floating",MIN(IF('Loan Tape'!$P266="",10,'Loan Tape'!$P266),MAX(IF('Loan Tape'!$Q266="",0,'Loan Tape'!$Q266),INDEX(Idx_Curve,1,10)+'Loan Tape'!$M266)),IF('Loan Tape'!$L266="",0,'Loan Tape'!$L266)))</f>
        <v>0</v>
      </c>
    </row>
    <row r="574" customFormat="false" ht="15" hidden="false" customHeight="false" outlineLevel="0" collapsed="false">
      <c r="B574" s="108" t="n">
        <f aca="false">'Loan Tape'!$A267</f>
        <v>0</v>
      </c>
      <c r="C574" s="56" t="n">
        <f aca="false">IF('Loan Tape'!$AN267=0,0,IF('Loan Tape'!$K267="Floating",MIN(IF('Loan Tape'!$P267="",10,'Loan Tape'!$P267),MAX(IF('Loan Tape'!$Q267="",0,'Loan Tape'!$Q267),INDEX(Idx_Curve,1,1)+'Loan Tape'!$M267)),IF('Loan Tape'!$L267="",0,'Loan Tape'!$L267)))</f>
        <v>0</v>
      </c>
      <c r="D574" s="56" t="n">
        <f aca="false">IF('Loan Tape'!$AN267=0,0,IF('Loan Tape'!$K267="Floating",MIN(IF('Loan Tape'!$P267="",10,'Loan Tape'!$P267),MAX(IF('Loan Tape'!$Q267="",0,'Loan Tape'!$Q267),INDEX(Idx_Curve,1,2)+'Loan Tape'!$M267)),IF('Loan Tape'!$L267="",0,'Loan Tape'!$L267)))</f>
        <v>0</v>
      </c>
      <c r="E574" s="56" t="n">
        <f aca="false">IF('Loan Tape'!$AN267=0,0,IF('Loan Tape'!$K267="Floating",MIN(IF('Loan Tape'!$P267="",10,'Loan Tape'!$P267),MAX(IF('Loan Tape'!$Q267="",0,'Loan Tape'!$Q267),INDEX(Idx_Curve,1,3)+'Loan Tape'!$M267)),IF('Loan Tape'!$L267="",0,'Loan Tape'!$L267)))</f>
        <v>0</v>
      </c>
      <c r="F574" s="56" t="n">
        <f aca="false">IF('Loan Tape'!$AN267=0,0,IF('Loan Tape'!$K267="Floating",MIN(IF('Loan Tape'!$P267="",10,'Loan Tape'!$P267),MAX(IF('Loan Tape'!$Q267="",0,'Loan Tape'!$Q267),INDEX(Idx_Curve,1,4)+'Loan Tape'!$M267)),IF('Loan Tape'!$L267="",0,'Loan Tape'!$L267)))</f>
        <v>0</v>
      </c>
      <c r="G574" s="56" t="n">
        <f aca="false">IF('Loan Tape'!$AN267=0,0,IF('Loan Tape'!$K267="Floating",MIN(IF('Loan Tape'!$P267="",10,'Loan Tape'!$P267),MAX(IF('Loan Tape'!$Q267="",0,'Loan Tape'!$Q267),INDEX(Idx_Curve,1,5)+'Loan Tape'!$M267)),IF('Loan Tape'!$L267="",0,'Loan Tape'!$L267)))</f>
        <v>0</v>
      </c>
      <c r="H574" s="56" t="n">
        <f aca="false">IF('Loan Tape'!$AN267=0,0,IF('Loan Tape'!$K267="Floating",MIN(IF('Loan Tape'!$P267="",10,'Loan Tape'!$P267),MAX(IF('Loan Tape'!$Q267="",0,'Loan Tape'!$Q267),INDEX(Idx_Curve,1,6)+'Loan Tape'!$M267)),IF('Loan Tape'!$L267="",0,'Loan Tape'!$L267)))</f>
        <v>0</v>
      </c>
      <c r="I574" s="56" t="n">
        <f aca="false">IF('Loan Tape'!$AN267=0,0,IF('Loan Tape'!$K267="Floating",MIN(IF('Loan Tape'!$P267="",10,'Loan Tape'!$P267),MAX(IF('Loan Tape'!$Q267="",0,'Loan Tape'!$Q267),INDEX(Idx_Curve,1,7)+'Loan Tape'!$M267)),IF('Loan Tape'!$L267="",0,'Loan Tape'!$L267)))</f>
        <v>0</v>
      </c>
      <c r="J574" s="56" t="n">
        <f aca="false">IF('Loan Tape'!$AN267=0,0,IF('Loan Tape'!$K267="Floating",MIN(IF('Loan Tape'!$P267="",10,'Loan Tape'!$P267),MAX(IF('Loan Tape'!$Q267="",0,'Loan Tape'!$Q267),INDEX(Idx_Curve,1,8)+'Loan Tape'!$M267)),IF('Loan Tape'!$L267="",0,'Loan Tape'!$L267)))</f>
        <v>0</v>
      </c>
      <c r="K574" s="56" t="n">
        <f aca="false">IF('Loan Tape'!$AN267=0,0,IF('Loan Tape'!$K267="Floating",MIN(IF('Loan Tape'!$P267="",10,'Loan Tape'!$P267),MAX(IF('Loan Tape'!$Q267="",0,'Loan Tape'!$Q267),INDEX(Idx_Curve,1,9)+'Loan Tape'!$M267)),IF('Loan Tape'!$L267="",0,'Loan Tape'!$L267)))</f>
        <v>0</v>
      </c>
      <c r="L574" s="56" t="n">
        <f aca="false">IF('Loan Tape'!$AN267=0,0,IF('Loan Tape'!$K267="Floating",MIN(IF('Loan Tape'!$P267="",10,'Loan Tape'!$P267),MAX(IF('Loan Tape'!$Q267="",0,'Loan Tape'!$Q267),INDEX(Idx_Curve,1,10)+'Loan Tape'!$M267)),IF('Loan Tape'!$L267="",0,'Loan Tape'!$L267)))</f>
        <v>0</v>
      </c>
    </row>
    <row r="575" customFormat="false" ht="15" hidden="false" customHeight="false" outlineLevel="0" collapsed="false">
      <c r="B575" s="102" t="n">
        <f aca="false">'Loan Tape'!$A268</f>
        <v>0</v>
      </c>
      <c r="C575" s="104" t="n">
        <f aca="false">IF('Loan Tape'!$AN268=0,0,IF('Loan Tape'!$K268="Floating",MIN(IF('Loan Tape'!$P268="",10,'Loan Tape'!$P268),MAX(IF('Loan Tape'!$Q268="",0,'Loan Tape'!$Q268),INDEX(Idx_Curve,1,1)+'Loan Tape'!$M268)),IF('Loan Tape'!$L268="",0,'Loan Tape'!$L268)))</f>
        <v>0</v>
      </c>
      <c r="D575" s="104" t="n">
        <f aca="false">IF('Loan Tape'!$AN268=0,0,IF('Loan Tape'!$K268="Floating",MIN(IF('Loan Tape'!$P268="",10,'Loan Tape'!$P268),MAX(IF('Loan Tape'!$Q268="",0,'Loan Tape'!$Q268),INDEX(Idx_Curve,1,2)+'Loan Tape'!$M268)),IF('Loan Tape'!$L268="",0,'Loan Tape'!$L268)))</f>
        <v>0</v>
      </c>
      <c r="E575" s="104" t="n">
        <f aca="false">IF('Loan Tape'!$AN268=0,0,IF('Loan Tape'!$K268="Floating",MIN(IF('Loan Tape'!$P268="",10,'Loan Tape'!$P268),MAX(IF('Loan Tape'!$Q268="",0,'Loan Tape'!$Q268),INDEX(Idx_Curve,1,3)+'Loan Tape'!$M268)),IF('Loan Tape'!$L268="",0,'Loan Tape'!$L268)))</f>
        <v>0</v>
      </c>
      <c r="F575" s="104" t="n">
        <f aca="false">IF('Loan Tape'!$AN268=0,0,IF('Loan Tape'!$K268="Floating",MIN(IF('Loan Tape'!$P268="",10,'Loan Tape'!$P268),MAX(IF('Loan Tape'!$Q268="",0,'Loan Tape'!$Q268),INDEX(Idx_Curve,1,4)+'Loan Tape'!$M268)),IF('Loan Tape'!$L268="",0,'Loan Tape'!$L268)))</f>
        <v>0</v>
      </c>
      <c r="G575" s="104" t="n">
        <f aca="false">IF('Loan Tape'!$AN268=0,0,IF('Loan Tape'!$K268="Floating",MIN(IF('Loan Tape'!$P268="",10,'Loan Tape'!$P268),MAX(IF('Loan Tape'!$Q268="",0,'Loan Tape'!$Q268),INDEX(Idx_Curve,1,5)+'Loan Tape'!$M268)),IF('Loan Tape'!$L268="",0,'Loan Tape'!$L268)))</f>
        <v>0</v>
      </c>
      <c r="H575" s="104" t="n">
        <f aca="false">IF('Loan Tape'!$AN268=0,0,IF('Loan Tape'!$K268="Floating",MIN(IF('Loan Tape'!$P268="",10,'Loan Tape'!$P268),MAX(IF('Loan Tape'!$Q268="",0,'Loan Tape'!$Q268),INDEX(Idx_Curve,1,6)+'Loan Tape'!$M268)),IF('Loan Tape'!$L268="",0,'Loan Tape'!$L268)))</f>
        <v>0</v>
      </c>
      <c r="I575" s="104" t="n">
        <f aca="false">IF('Loan Tape'!$AN268=0,0,IF('Loan Tape'!$K268="Floating",MIN(IF('Loan Tape'!$P268="",10,'Loan Tape'!$P268),MAX(IF('Loan Tape'!$Q268="",0,'Loan Tape'!$Q268),INDEX(Idx_Curve,1,7)+'Loan Tape'!$M268)),IF('Loan Tape'!$L268="",0,'Loan Tape'!$L268)))</f>
        <v>0</v>
      </c>
      <c r="J575" s="104" t="n">
        <f aca="false">IF('Loan Tape'!$AN268=0,0,IF('Loan Tape'!$K268="Floating",MIN(IF('Loan Tape'!$P268="",10,'Loan Tape'!$P268),MAX(IF('Loan Tape'!$Q268="",0,'Loan Tape'!$Q268),INDEX(Idx_Curve,1,8)+'Loan Tape'!$M268)),IF('Loan Tape'!$L268="",0,'Loan Tape'!$L268)))</f>
        <v>0</v>
      </c>
      <c r="K575" s="104" t="n">
        <f aca="false">IF('Loan Tape'!$AN268=0,0,IF('Loan Tape'!$K268="Floating",MIN(IF('Loan Tape'!$P268="",10,'Loan Tape'!$P268),MAX(IF('Loan Tape'!$Q268="",0,'Loan Tape'!$Q268),INDEX(Idx_Curve,1,9)+'Loan Tape'!$M268)),IF('Loan Tape'!$L268="",0,'Loan Tape'!$L268)))</f>
        <v>0</v>
      </c>
      <c r="L575" s="104" t="n">
        <f aca="false">IF('Loan Tape'!$AN268=0,0,IF('Loan Tape'!$K268="Floating",MIN(IF('Loan Tape'!$P268="",10,'Loan Tape'!$P268),MAX(IF('Loan Tape'!$Q268="",0,'Loan Tape'!$Q268),INDEX(Idx_Curve,1,10)+'Loan Tape'!$M268)),IF('Loan Tape'!$L268="",0,'Loan Tape'!$L268)))</f>
        <v>0</v>
      </c>
    </row>
    <row r="576" customFormat="false" ht="15" hidden="false" customHeight="false" outlineLevel="0" collapsed="false">
      <c r="B576" s="108" t="n">
        <f aca="false">'Loan Tape'!$A269</f>
        <v>0</v>
      </c>
      <c r="C576" s="56" t="n">
        <f aca="false">IF('Loan Tape'!$AN269=0,0,IF('Loan Tape'!$K269="Floating",MIN(IF('Loan Tape'!$P269="",10,'Loan Tape'!$P269),MAX(IF('Loan Tape'!$Q269="",0,'Loan Tape'!$Q269),INDEX(Idx_Curve,1,1)+'Loan Tape'!$M269)),IF('Loan Tape'!$L269="",0,'Loan Tape'!$L269)))</f>
        <v>0</v>
      </c>
      <c r="D576" s="56" t="n">
        <f aca="false">IF('Loan Tape'!$AN269=0,0,IF('Loan Tape'!$K269="Floating",MIN(IF('Loan Tape'!$P269="",10,'Loan Tape'!$P269),MAX(IF('Loan Tape'!$Q269="",0,'Loan Tape'!$Q269),INDEX(Idx_Curve,1,2)+'Loan Tape'!$M269)),IF('Loan Tape'!$L269="",0,'Loan Tape'!$L269)))</f>
        <v>0</v>
      </c>
      <c r="E576" s="56" t="n">
        <f aca="false">IF('Loan Tape'!$AN269=0,0,IF('Loan Tape'!$K269="Floating",MIN(IF('Loan Tape'!$P269="",10,'Loan Tape'!$P269),MAX(IF('Loan Tape'!$Q269="",0,'Loan Tape'!$Q269),INDEX(Idx_Curve,1,3)+'Loan Tape'!$M269)),IF('Loan Tape'!$L269="",0,'Loan Tape'!$L269)))</f>
        <v>0</v>
      </c>
      <c r="F576" s="56" t="n">
        <f aca="false">IF('Loan Tape'!$AN269=0,0,IF('Loan Tape'!$K269="Floating",MIN(IF('Loan Tape'!$P269="",10,'Loan Tape'!$P269),MAX(IF('Loan Tape'!$Q269="",0,'Loan Tape'!$Q269),INDEX(Idx_Curve,1,4)+'Loan Tape'!$M269)),IF('Loan Tape'!$L269="",0,'Loan Tape'!$L269)))</f>
        <v>0</v>
      </c>
      <c r="G576" s="56" t="n">
        <f aca="false">IF('Loan Tape'!$AN269=0,0,IF('Loan Tape'!$K269="Floating",MIN(IF('Loan Tape'!$P269="",10,'Loan Tape'!$P269),MAX(IF('Loan Tape'!$Q269="",0,'Loan Tape'!$Q269),INDEX(Idx_Curve,1,5)+'Loan Tape'!$M269)),IF('Loan Tape'!$L269="",0,'Loan Tape'!$L269)))</f>
        <v>0</v>
      </c>
      <c r="H576" s="56" t="n">
        <f aca="false">IF('Loan Tape'!$AN269=0,0,IF('Loan Tape'!$K269="Floating",MIN(IF('Loan Tape'!$P269="",10,'Loan Tape'!$P269),MAX(IF('Loan Tape'!$Q269="",0,'Loan Tape'!$Q269),INDEX(Idx_Curve,1,6)+'Loan Tape'!$M269)),IF('Loan Tape'!$L269="",0,'Loan Tape'!$L269)))</f>
        <v>0</v>
      </c>
      <c r="I576" s="56" t="n">
        <f aca="false">IF('Loan Tape'!$AN269=0,0,IF('Loan Tape'!$K269="Floating",MIN(IF('Loan Tape'!$P269="",10,'Loan Tape'!$P269),MAX(IF('Loan Tape'!$Q269="",0,'Loan Tape'!$Q269),INDEX(Idx_Curve,1,7)+'Loan Tape'!$M269)),IF('Loan Tape'!$L269="",0,'Loan Tape'!$L269)))</f>
        <v>0</v>
      </c>
      <c r="J576" s="56" t="n">
        <f aca="false">IF('Loan Tape'!$AN269=0,0,IF('Loan Tape'!$K269="Floating",MIN(IF('Loan Tape'!$P269="",10,'Loan Tape'!$P269),MAX(IF('Loan Tape'!$Q269="",0,'Loan Tape'!$Q269),INDEX(Idx_Curve,1,8)+'Loan Tape'!$M269)),IF('Loan Tape'!$L269="",0,'Loan Tape'!$L269)))</f>
        <v>0</v>
      </c>
      <c r="K576" s="56" t="n">
        <f aca="false">IF('Loan Tape'!$AN269=0,0,IF('Loan Tape'!$K269="Floating",MIN(IF('Loan Tape'!$P269="",10,'Loan Tape'!$P269),MAX(IF('Loan Tape'!$Q269="",0,'Loan Tape'!$Q269),INDEX(Idx_Curve,1,9)+'Loan Tape'!$M269)),IF('Loan Tape'!$L269="",0,'Loan Tape'!$L269)))</f>
        <v>0</v>
      </c>
      <c r="L576" s="56" t="n">
        <f aca="false">IF('Loan Tape'!$AN269=0,0,IF('Loan Tape'!$K269="Floating",MIN(IF('Loan Tape'!$P269="",10,'Loan Tape'!$P269),MAX(IF('Loan Tape'!$Q269="",0,'Loan Tape'!$Q269),INDEX(Idx_Curve,1,10)+'Loan Tape'!$M269)),IF('Loan Tape'!$L269="",0,'Loan Tape'!$L269)))</f>
        <v>0</v>
      </c>
    </row>
    <row r="577" customFormat="false" ht="15" hidden="false" customHeight="false" outlineLevel="0" collapsed="false">
      <c r="B577" s="102" t="n">
        <f aca="false">'Loan Tape'!$A270</f>
        <v>0</v>
      </c>
      <c r="C577" s="104" t="n">
        <f aca="false">IF('Loan Tape'!$AN270=0,0,IF('Loan Tape'!$K270="Floating",MIN(IF('Loan Tape'!$P270="",10,'Loan Tape'!$P270),MAX(IF('Loan Tape'!$Q270="",0,'Loan Tape'!$Q270),INDEX(Idx_Curve,1,1)+'Loan Tape'!$M270)),IF('Loan Tape'!$L270="",0,'Loan Tape'!$L270)))</f>
        <v>0</v>
      </c>
      <c r="D577" s="104" t="n">
        <f aca="false">IF('Loan Tape'!$AN270=0,0,IF('Loan Tape'!$K270="Floating",MIN(IF('Loan Tape'!$P270="",10,'Loan Tape'!$P270),MAX(IF('Loan Tape'!$Q270="",0,'Loan Tape'!$Q270),INDEX(Idx_Curve,1,2)+'Loan Tape'!$M270)),IF('Loan Tape'!$L270="",0,'Loan Tape'!$L270)))</f>
        <v>0</v>
      </c>
      <c r="E577" s="104" t="n">
        <f aca="false">IF('Loan Tape'!$AN270=0,0,IF('Loan Tape'!$K270="Floating",MIN(IF('Loan Tape'!$P270="",10,'Loan Tape'!$P270),MAX(IF('Loan Tape'!$Q270="",0,'Loan Tape'!$Q270),INDEX(Idx_Curve,1,3)+'Loan Tape'!$M270)),IF('Loan Tape'!$L270="",0,'Loan Tape'!$L270)))</f>
        <v>0</v>
      </c>
      <c r="F577" s="104" t="n">
        <f aca="false">IF('Loan Tape'!$AN270=0,0,IF('Loan Tape'!$K270="Floating",MIN(IF('Loan Tape'!$P270="",10,'Loan Tape'!$P270),MAX(IF('Loan Tape'!$Q270="",0,'Loan Tape'!$Q270),INDEX(Idx_Curve,1,4)+'Loan Tape'!$M270)),IF('Loan Tape'!$L270="",0,'Loan Tape'!$L270)))</f>
        <v>0</v>
      </c>
      <c r="G577" s="104" t="n">
        <f aca="false">IF('Loan Tape'!$AN270=0,0,IF('Loan Tape'!$K270="Floating",MIN(IF('Loan Tape'!$P270="",10,'Loan Tape'!$P270),MAX(IF('Loan Tape'!$Q270="",0,'Loan Tape'!$Q270),INDEX(Idx_Curve,1,5)+'Loan Tape'!$M270)),IF('Loan Tape'!$L270="",0,'Loan Tape'!$L270)))</f>
        <v>0</v>
      </c>
      <c r="H577" s="104" t="n">
        <f aca="false">IF('Loan Tape'!$AN270=0,0,IF('Loan Tape'!$K270="Floating",MIN(IF('Loan Tape'!$P270="",10,'Loan Tape'!$P270),MAX(IF('Loan Tape'!$Q270="",0,'Loan Tape'!$Q270),INDEX(Idx_Curve,1,6)+'Loan Tape'!$M270)),IF('Loan Tape'!$L270="",0,'Loan Tape'!$L270)))</f>
        <v>0</v>
      </c>
      <c r="I577" s="104" t="n">
        <f aca="false">IF('Loan Tape'!$AN270=0,0,IF('Loan Tape'!$K270="Floating",MIN(IF('Loan Tape'!$P270="",10,'Loan Tape'!$P270),MAX(IF('Loan Tape'!$Q270="",0,'Loan Tape'!$Q270),INDEX(Idx_Curve,1,7)+'Loan Tape'!$M270)),IF('Loan Tape'!$L270="",0,'Loan Tape'!$L270)))</f>
        <v>0</v>
      </c>
      <c r="J577" s="104" t="n">
        <f aca="false">IF('Loan Tape'!$AN270=0,0,IF('Loan Tape'!$K270="Floating",MIN(IF('Loan Tape'!$P270="",10,'Loan Tape'!$P270),MAX(IF('Loan Tape'!$Q270="",0,'Loan Tape'!$Q270),INDEX(Idx_Curve,1,8)+'Loan Tape'!$M270)),IF('Loan Tape'!$L270="",0,'Loan Tape'!$L270)))</f>
        <v>0</v>
      </c>
      <c r="K577" s="104" t="n">
        <f aca="false">IF('Loan Tape'!$AN270=0,0,IF('Loan Tape'!$K270="Floating",MIN(IF('Loan Tape'!$P270="",10,'Loan Tape'!$P270),MAX(IF('Loan Tape'!$Q270="",0,'Loan Tape'!$Q270),INDEX(Idx_Curve,1,9)+'Loan Tape'!$M270)),IF('Loan Tape'!$L270="",0,'Loan Tape'!$L270)))</f>
        <v>0</v>
      </c>
      <c r="L577" s="104" t="n">
        <f aca="false">IF('Loan Tape'!$AN270=0,0,IF('Loan Tape'!$K270="Floating",MIN(IF('Loan Tape'!$P270="",10,'Loan Tape'!$P270),MAX(IF('Loan Tape'!$Q270="",0,'Loan Tape'!$Q270),INDEX(Idx_Curve,1,10)+'Loan Tape'!$M270)),IF('Loan Tape'!$L270="",0,'Loan Tape'!$L270)))</f>
        <v>0</v>
      </c>
    </row>
    <row r="578" customFormat="false" ht="15" hidden="false" customHeight="false" outlineLevel="0" collapsed="false">
      <c r="B578" s="108" t="n">
        <f aca="false">'Loan Tape'!$A271</f>
        <v>0</v>
      </c>
      <c r="C578" s="56" t="n">
        <f aca="false">IF('Loan Tape'!$AN271=0,0,IF('Loan Tape'!$K271="Floating",MIN(IF('Loan Tape'!$P271="",10,'Loan Tape'!$P271),MAX(IF('Loan Tape'!$Q271="",0,'Loan Tape'!$Q271),INDEX(Idx_Curve,1,1)+'Loan Tape'!$M271)),IF('Loan Tape'!$L271="",0,'Loan Tape'!$L271)))</f>
        <v>0</v>
      </c>
      <c r="D578" s="56" t="n">
        <f aca="false">IF('Loan Tape'!$AN271=0,0,IF('Loan Tape'!$K271="Floating",MIN(IF('Loan Tape'!$P271="",10,'Loan Tape'!$P271),MAX(IF('Loan Tape'!$Q271="",0,'Loan Tape'!$Q271),INDEX(Idx_Curve,1,2)+'Loan Tape'!$M271)),IF('Loan Tape'!$L271="",0,'Loan Tape'!$L271)))</f>
        <v>0</v>
      </c>
      <c r="E578" s="56" t="n">
        <f aca="false">IF('Loan Tape'!$AN271=0,0,IF('Loan Tape'!$K271="Floating",MIN(IF('Loan Tape'!$P271="",10,'Loan Tape'!$P271),MAX(IF('Loan Tape'!$Q271="",0,'Loan Tape'!$Q271),INDEX(Idx_Curve,1,3)+'Loan Tape'!$M271)),IF('Loan Tape'!$L271="",0,'Loan Tape'!$L271)))</f>
        <v>0</v>
      </c>
      <c r="F578" s="56" t="n">
        <f aca="false">IF('Loan Tape'!$AN271=0,0,IF('Loan Tape'!$K271="Floating",MIN(IF('Loan Tape'!$P271="",10,'Loan Tape'!$P271),MAX(IF('Loan Tape'!$Q271="",0,'Loan Tape'!$Q271),INDEX(Idx_Curve,1,4)+'Loan Tape'!$M271)),IF('Loan Tape'!$L271="",0,'Loan Tape'!$L271)))</f>
        <v>0</v>
      </c>
      <c r="G578" s="56" t="n">
        <f aca="false">IF('Loan Tape'!$AN271=0,0,IF('Loan Tape'!$K271="Floating",MIN(IF('Loan Tape'!$P271="",10,'Loan Tape'!$P271),MAX(IF('Loan Tape'!$Q271="",0,'Loan Tape'!$Q271),INDEX(Idx_Curve,1,5)+'Loan Tape'!$M271)),IF('Loan Tape'!$L271="",0,'Loan Tape'!$L271)))</f>
        <v>0</v>
      </c>
      <c r="H578" s="56" t="n">
        <f aca="false">IF('Loan Tape'!$AN271=0,0,IF('Loan Tape'!$K271="Floating",MIN(IF('Loan Tape'!$P271="",10,'Loan Tape'!$P271),MAX(IF('Loan Tape'!$Q271="",0,'Loan Tape'!$Q271),INDEX(Idx_Curve,1,6)+'Loan Tape'!$M271)),IF('Loan Tape'!$L271="",0,'Loan Tape'!$L271)))</f>
        <v>0</v>
      </c>
      <c r="I578" s="56" t="n">
        <f aca="false">IF('Loan Tape'!$AN271=0,0,IF('Loan Tape'!$K271="Floating",MIN(IF('Loan Tape'!$P271="",10,'Loan Tape'!$P271),MAX(IF('Loan Tape'!$Q271="",0,'Loan Tape'!$Q271),INDEX(Idx_Curve,1,7)+'Loan Tape'!$M271)),IF('Loan Tape'!$L271="",0,'Loan Tape'!$L271)))</f>
        <v>0</v>
      </c>
      <c r="J578" s="56" t="n">
        <f aca="false">IF('Loan Tape'!$AN271=0,0,IF('Loan Tape'!$K271="Floating",MIN(IF('Loan Tape'!$P271="",10,'Loan Tape'!$P271),MAX(IF('Loan Tape'!$Q271="",0,'Loan Tape'!$Q271),INDEX(Idx_Curve,1,8)+'Loan Tape'!$M271)),IF('Loan Tape'!$L271="",0,'Loan Tape'!$L271)))</f>
        <v>0</v>
      </c>
      <c r="K578" s="56" t="n">
        <f aca="false">IF('Loan Tape'!$AN271=0,0,IF('Loan Tape'!$K271="Floating",MIN(IF('Loan Tape'!$P271="",10,'Loan Tape'!$P271),MAX(IF('Loan Tape'!$Q271="",0,'Loan Tape'!$Q271),INDEX(Idx_Curve,1,9)+'Loan Tape'!$M271)),IF('Loan Tape'!$L271="",0,'Loan Tape'!$L271)))</f>
        <v>0</v>
      </c>
      <c r="L578" s="56" t="n">
        <f aca="false">IF('Loan Tape'!$AN271=0,0,IF('Loan Tape'!$K271="Floating",MIN(IF('Loan Tape'!$P271="",10,'Loan Tape'!$P271),MAX(IF('Loan Tape'!$Q271="",0,'Loan Tape'!$Q271),INDEX(Idx_Curve,1,10)+'Loan Tape'!$M271)),IF('Loan Tape'!$L271="",0,'Loan Tape'!$L271)))</f>
        <v>0</v>
      </c>
    </row>
    <row r="579" customFormat="false" ht="15" hidden="false" customHeight="false" outlineLevel="0" collapsed="false">
      <c r="B579" s="102" t="n">
        <f aca="false">'Loan Tape'!$A272</f>
        <v>0</v>
      </c>
      <c r="C579" s="104" t="n">
        <f aca="false">IF('Loan Tape'!$AN272=0,0,IF('Loan Tape'!$K272="Floating",MIN(IF('Loan Tape'!$P272="",10,'Loan Tape'!$P272),MAX(IF('Loan Tape'!$Q272="",0,'Loan Tape'!$Q272),INDEX(Idx_Curve,1,1)+'Loan Tape'!$M272)),IF('Loan Tape'!$L272="",0,'Loan Tape'!$L272)))</f>
        <v>0</v>
      </c>
      <c r="D579" s="104" t="n">
        <f aca="false">IF('Loan Tape'!$AN272=0,0,IF('Loan Tape'!$K272="Floating",MIN(IF('Loan Tape'!$P272="",10,'Loan Tape'!$P272),MAX(IF('Loan Tape'!$Q272="",0,'Loan Tape'!$Q272),INDEX(Idx_Curve,1,2)+'Loan Tape'!$M272)),IF('Loan Tape'!$L272="",0,'Loan Tape'!$L272)))</f>
        <v>0</v>
      </c>
      <c r="E579" s="104" t="n">
        <f aca="false">IF('Loan Tape'!$AN272=0,0,IF('Loan Tape'!$K272="Floating",MIN(IF('Loan Tape'!$P272="",10,'Loan Tape'!$P272),MAX(IF('Loan Tape'!$Q272="",0,'Loan Tape'!$Q272),INDEX(Idx_Curve,1,3)+'Loan Tape'!$M272)),IF('Loan Tape'!$L272="",0,'Loan Tape'!$L272)))</f>
        <v>0</v>
      </c>
      <c r="F579" s="104" t="n">
        <f aca="false">IF('Loan Tape'!$AN272=0,0,IF('Loan Tape'!$K272="Floating",MIN(IF('Loan Tape'!$P272="",10,'Loan Tape'!$P272),MAX(IF('Loan Tape'!$Q272="",0,'Loan Tape'!$Q272),INDEX(Idx_Curve,1,4)+'Loan Tape'!$M272)),IF('Loan Tape'!$L272="",0,'Loan Tape'!$L272)))</f>
        <v>0</v>
      </c>
      <c r="G579" s="104" t="n">
        <f aca="false">IF('Loan Tape'!$AN272=0,0,IF('Loan Tape'!$K272="Floating",MIN(IF('Loan Tape'!$P272="",10,'Loan Tape'!$P272),MAX(IF('Loan Tape'!$Q272="",0,'Loan Tape'!$Q272),INDEX(Idx_Curve,1,5)+'Loan Tape'!$M272)),IF('Loan Tape'!$L272="",0,'Loan Tape'!$L272)))</f>
        <v>0</v>
      </c>
      <c r="H579" s="104" t="n">
        <f aca="false">IF('Loan Tape'!$AN272=0,0,IF('Loan Tape'!$K272="Floating",MIN(IF('Loan Tape'!$P272="",10,'Loan Tape'!$P272),MAX(IF('Loan Tape'!$Q272="",0,'Loan Tape'!$Q272),INDEX(Idx_Curve,1,6)+'Loan Tape'!$M272)),IF('Loan Tape'!$L272="",0,'Loan Tape'!$L272)))</f>
        <v>0</v>
      </c>
      <c r="I579" s="104" t="n">
        <f aca="false">IF('Loan Tape'!$AN272=0,0,IF('Loan Tape'!$K272="Floating",MIN(IF('Loan Tape'!$P272="",10,'Loan Tape'!$P272),MAX(IF('Loan Tape'!$Q272="",0,'Loan Tape'!$Q272),INDEX(Idx_Curve,1,7)+'Loan Tape'!$M272)),IF('Loan Tape'!$L272="",0,'Loan Tape'!$L272)))</f>
        <v>0</v>
      </c>
      <c r="J579" s="104" t="n">
        <f aca="false">IF('Loan Tape'!$AN272=0,0,IF('Loan Tape'!$K272="Floating",MIN(IF('Loan Tape'!$P272="",10,'Loan Tape'!$P272),MAX(IF('Loan Tape'!$Q272="",0,'Loan Tape'!$Q272),INDEX(Idx_Curve,1,8)+'Loan Tape'!$M272)),IF('Loan Tape'!$L272="",0,'Loan Tape'!$L272)))</f>
        <v>0</v>
      </c>
      <c r="K579" s="104" t="n">
        <f aca="false">IF('Loan Tape'!$AN272=0,0,IF('Loan Tape'!$K272="Floating",MIN(IF('Loan Tape'!$P272="",10,'Loan Tape'!$P272),MAX(IF('Loan Tape'!$Q272="",0,'Loan Tape'!$Q272),INDEX(Idx_Curve,1,9)+'Loan Tape'!$M272)),IF('Loan Tape'!$L272="",0,'Loan Tape'!$L272)))</f>
        <v>0</v>
      </c>
      <c r="L579" s="104" t="n">
        <f aca="false">IF('Loan Tape'!$AN272=0,0,IF('Loan Tape'!$K272="Floating",MIN(IF('Loan Tape'!$P272="",10,'Loan Tape'!$P272),MAX(IF('Loan Tape'!$Q272="",0,'Loan Tape'!$Q272),INDEX(Idx_Curve,1,10)+'Loan Tape'!$M272)),IF('Loan Tape'!$L272="",0,'Loan Tape'!$L272)))</f>
        <v>0</v>
      </c>
    </row>
    <row r="580" customFormat="false" ht="15" hidden="false" customHeight="false" outlineLevel="0" collapsed="false">
      <c r="B580" s="108" t="n">
        <f aca="false">'Loan Tape'!$A273</f>
        <v>0</v>
      </c>
      <c r="C580" s="56" t="n">
        <f aca="false">IF('Loan Tape'!$AN273=0,0,IF('Loan Tape'!$K273="Floating",MIN(IF('Loan Tape'!$P273="",10,'Loan Tape'!$P273),MAX(IF('Loan Tape'!$Q273="",0,'Loan Tape'!$Q273),INDEX(Idx_Curve,1,1)+'Loan Tape'!$M273)),IF('Loan Tape'!$L273="",0,'Loan Tape'!$L273)))</f>
        <v>0</v>
      </c>
      <c r="D580" s="56" t="n">
        <f aca="false">IF('Loan Tape'!$AN273=0,0,IF('Loan Tape'!$K273="Floating",MIN(IF('Loan Tape'!$P273="",10,'Loan Tape'!$P273),MAX(IF('Loan Tape'!$Q273="",0,'Loan Tape'!$Q273),INDEX(Idx_Curve,1,2)+'Loan Tape'!$M273)),IF('Loan Tape'!$L273="",0,'Loan Tape'!$L273)))</f>
        <v>0</v>
      </c>
      <c r="E580" s="56" t="n">
        <f aca="false">IF('Loan Tape'!$AN273=0,0,IF('Loan Tape'!$K273="Floating",MIN(IF('Loan Tape'!$P273="",10,'Loan Tape'!$P273),MAX(IF('Loan Tape'!$Q273="",0,'Loan Tape'!$Q273),INDEX(Idx_Curve,1,3)+'Loan Tape'!$M273)),IF('Loan Tape'!$L273="",0,'Loan Tape'!$L273)))</f>
        <v>0</v>
      </c>
      <c r="F580" s="56" t="n">
        <f aca="false">IF('Loan Tape'!$AN273=0,0,IF('Loan Tape'!$K273="Floating",MIN(IF('Loan Tape'!$P273="",10,'Loan Tape'!$P273),MAX(IF('Loan Tape'!$Q273="",0,'Loan Tape'!$Q273),INDEX(Idx_Curve,1,4)+'Loan Tape'!$M273)),IF('Loan Tape'!$L273="",0,'Loan Tape'!$L273)))</f>
        <v>0</v>
      </c>
      <c r="G580" s="56" t="n">
        <f aca="false">IF('Loan Tape'!$AN273=0,0,IF('Loan Tape'!$K273="Floating",MIN(IF('Loan Tape'!$P273="",10,'Loan Tape'!$P273),MAX(IF('Loan Tape'!$Q273="",0,'Loan Tape'!$Q273),INDEX(Idx_Curve,1,5)+'Loan Tape'!$M273)),IF('Loan Tape'!$L273="",0,'Loan Tape'!$L273)))</f>
        <v>0</v>
      </c>
      <c r="H580" s="56" t="n">
        <f aca="false">IF('Loan Tape'!$AN273=0,0,IF('Loan Tape'!$K273="Floating",MIN(IF('Loan Tape'!$P273="",10,'Loan Tape'!$P273),MAX(IF('Loan Tape'!$Q273="",0,'Loan Tape'!$Q273),INDEX(Idx_Curve,1,6)+'Loan Tape'!$M273)),IF('Loan Tape'!$L273="",0,'Loan Tape'!$L273)))</f>
        <v>0</v>
      </c>
      <c r="I580" s="56" t="n">
        <f aca="false">IF('Loan Tape'!$AN273=0,0,IF('Loan Tape'!$K273="Floating",MIN(IF('Loan Tape'!$P273="",10,'Loan Tape'!$P273),MAX(IF('Loan Tape'!$Q273="",0,'Loan Tape'!$Q273),INDEX(Idx_Curve,1,7)+'Loan Tape'!$M273)),IF('Loan Tape'!$L273="",0,'Loan Tape'!$L273)))</f>
        <v>0</v>
      </c>
      <c r="J580" s="56" t="n">
        <f aca="false">IF('Loan Tape'!$AN273=0,0,IF('Loan Tape'!$K273="Floating",MIN(IF('Loan Tape'!$P273="",10,'Loan Tape'!$P273),MAX(IF('Loan Tape'!$Q273="",0,'Loan Tape'!$Q273),INDEX(Idx_Curve,1,8)+'Loan Tape'!$M273)),IF('Loan Tape'!$L273="",0,'Loan Tape'!$L273)))</f>
        <v>0</v>
      </c>
      <c r="K580" s="56" t="n">
        <f aca="false">IF('Loan Tape'!$AN273=0,0,IF('Loan Tape'!$K273="Floating",MIN(IF('Loan Tape'!$P273="",10,'Loan Tape'!$P273),MAX(IF('Loan Tape'!$Q273="",0,'Loan Tape'!$Q273),INDEX(Idx_Curve,1,9)+'Loan Tape'!$M273)),IF('Loan Tape'!$L273="",0,'Loan Tape'!$L273)))</f>
        <v>0</v>
      </c>
      <c r="L580" s="56" t="n">
        <f aca="false">IF('Loan Tape'!$AN273=0,0,IF('Loan Tape'!$K273="Floating",MIN(IF('Loan Tape'!$P273="",10,'Loan Tape'!$P273),MAX(IF('Loan Tape'!$Q273="",0,'Loan Tape'!$Q273),INDEX(Idx_Curve,1,10)+'Loan Tape'!$M273)),IF('Loan Tape'!$L273="",0,'Loan Tape'!$L273)))</f>
        <v>0</v>
      </c>
    </row>
    <row r="581" customFormat="false" ht="15" hidden="false" customHeight="false" outlineLevel="0" collapsed="false">
      <c r="B581" s="102" t="n">
        <f aca="false">'Loan Tape'!$A274</f>
        <v>0</v>
      </c>
      <c r="C581" s="104" t="n">
        <f aca="false">IF('Loan Tape'!$AN274=0,0,IF('Loan Tape'!$K274="Floating",MIN(IF('Loan Tape'!$P274="",10,'Loan Tape'!$P274),MAX(IF('Loan Tape'!$Q274="",0,'Loan Tape'!$Q274),INDEX(Idx_Curve,1,1)+'Loan Tape'!$M274)),IF('Loan Tape'!$L274="",0,'Loan Tape'!$L274)))</f>
        <v>0</v>
      </c>
      <c r="D581" s="104" t="n">
        <f aca="false">IF('Loan Tape'!$AN274=0,0,IF('Loan Tape'!$K274="Floating",MIN(IF('Loan Tape'!$P274="",10,'Loan Tape'!$P274),MAX(IF('Loan Tape'!$Q274="",0,'Loan Tape'!$Q274),INDEX(Idx_Curve,1,2)+'Loan Tape'!$M274)),IF('Loan Tape'!$L274="",0,'Loan Tape'!$L274)))</f>
        <v>0</v>
      </c>
      <c r="E581" s="104" t="n">
        <f aca="false">IF('Loan Tape'!$AN274=0,0,IF('Loan Tape'!$K274="Floating",MIN(IF('Loan Tape'!$P274="",10,'Loan Tape'!$P274),MAX(IF('Loan Tape'!$Q274="",0,'Loan Tape'!$Q274),INDEX(Idx_Curve,1,3)+'Loan Tape'!$M274)),IF('Loan Tape'!$L274="",0,'Loan Tape'!$L274)))</f>
        <v>0</v>
      </c>
      <c r="F581" s="104" t="n">
        <f aca="false">IF('Loan Tape'!$AN274=0,0,IF('Loan Tape'!$K274="Floating",MIN(IF('Loan Tape'!$P274="",10,'Loan Tape'!$P274),MAX(IF('Loan Tape'!$Q274="",0,'Loan Tape'!$Q274),INDEX(Idx_Curve,1,4)+'Loan Tape'!$M274)),IF('Loan Tape'!$L274="",0,'Loan Tape'!$L274)))</f>
        <v>0</v>
      </c>
      <c r="G581" s="104" t="n">
        <f aca="false">IF('Loan Tape'!$AN274=0,0,IF('Loan Tape'!$K274="Floating",MIN(IF('Loan Tape'!$P274="",10,'Loan Tape'!$P274),MAX(IF('Loan Tape'!$Q274="",0,'Loan Tape'!$Q274),INDEX(Idx_Curve,1,5)+'Loan Tape'!$M274)),IF('Loan Tape'!$L274="",0,'Loan Tape'!$L274)))</f>
        <v>0</v>
      </c>
      <c r="H581" s="104" t="n">
        <f aca="false">IF('Loan Tape'!$AN274=0,0,IF('Loan Tape'!$K274="Floating",MIN(IF('Loan Tape'!$P274="",10,'Loan Tape'!$P274),MAX(IF('Loan Tape'!$Q274="",0,'Loan Tape'!$Q274),INDEX(Idx_Curve,1,6)+'Loan Tape'!$M274)),IF('Loan Tape'!$L274="",0,'Loan Tape'!$L274)))</f>
        <v>0</v>
      </c>
      <c r="I581" s="104" t="n">
        <f aca="false">IF('Loan Tape'!$AN274=0,0,IF('Loan Tape'!$K274="Floating",MIN(IF('Loan Tape'!$P274="",10,'Loan Tape'!$P274),MAX(IF('Loan Tape'!$Q274="",0,'Loan Tape'!$Q274),INDEX(Idx_Curve,1,7)+'Loan Tape'!$M274)),IF('Loan Tape'!$L274="",0,'Loan Tape'!$L274)))</f>
        <v>0</v>
      </c>
      <c r="J581" s="104" t="n">
        <f aca="false">IF('Loan Tape'!$AN274=0,0,IF('Loan Tape'!$K274="Floating",MIN(IF('Loan Tape'!$P274="",10,'Loan Tape'!$P274),MAX(IF('Loan Tape'!$Q274="",0,'Loan Tape'!$Q274),INDEX(Idx_Curve,1,8)+'Loan Tape'!$M274)),IF('Loan Tape'!$L274="",0,'Loan Tape'!$L274)))</f>
        <v>0</v>
      </c>
      <c r="K581" s="104" t="n">
        <f aca="false">IF('Loan Tape'!$AN274=0,0,IF('Loan Tape'!$K274="Floating",MIN(IF('Loan Tape'!$P274="",10,'Loan Tape'!$P274),MAX(IF('Loan Tape'!$Q274="",0,'Loan Tape'!$Q274),INDEX(Idx_Curve,1,9)+'Loan Tape'!$M274)),IF('Loan Tape'!$L274="",0,'Loan Tape'!$L274)))</f>
        <v>0</v>
      </c>
      <c r="L581" s="104" t="n">
        <f aca="false">IF('Loan Tape'!$AN274=0,0,IF('Loan Tape'!$K274="Floating",MIN(IF('Loan Tape'!$P274="",10,'Loan Tape'!$P274),MAX(IF('Loan Tape'!$Q274="",0,'Loan Tape'!$Q274),INDEX(Idx_Curve,1,10)+'Loan Tape'!$M274)),IF('Loan Tape'!$L274="",0,'Loan Tape'!$L274)))</f>
        <v>0</v>
      </c>
    </row>
    <row r="582" customFormat="false" ht="15" hidden="false" customHeight="false" outlineLevel="0" collapsed="false">
      <c r="B582" s="108" t="n">
        <f aca="false">'Loan Tape'!$A275</f>
        <v>0</v>
      </c>
      <c r="C582" s="56" t="n">
        <f aca="false">IF('Loan Tape'!$AN275=0,0,IF('Loan Tape'!$K275="Floating",MIN(IF('Loan Tape'!$P275="",10,'Loan Tape'!$P275),MAX(IF('Loan Tape'!$Q275="",0,'Loan Tape'!$Q275),INDEX(Idx_Curve,1,1)+'Loan Tape'!$M275)),IF('Loan Tape'!$L275="",0,'Loan Tape'!$L275)))</f>
        <v>0</v>
      </c>
      <c r="D582" s="56" t="n">
        <f aca="false">IF('Loan Tape'!$AN275=0,0,IF('Loan Tape'!$K275="Floating",MIN(IF('Loan Tape'!$P275="",10,'Loan Tape'!$P275),MAX(IF('Loan Tape'!$Q275="",0,'Loan Tape'!$Q275),INDEX(Idx_Curve,1,2)+'Loan Tape'!$M275)),IF('Loan Tape'!$L275="",0,'Loan Tape'!$L275)))</f>
        <v>0</v>
      </c>
      <c r="E582" s="56" t="n">
        <f aca="false">IF('Loan Tape'!$AN275=0,0,IF('Loan Tape'!$K275="Floating",MIN(IF('Loan Tape'!$P275="",10,'Loan Tape'!$P275),MAX(IF('Loan Tape'!$Q275="",0,'Loan Tape'!$Q275),INDEX(Idx_Curve,1,3)+'Loan Tape'!$M275)),IF('Loan Tape'!$L275="",0,'Loan Tape'!$L275)))</f>
        <v>0</v>
      </c>
      <c r="F582" s="56" t="n">
        <f aca="false">IF('Loan Tape'!$AN275=0,0,IF('Loan Tape'!$K275="Floating",MIN(IF('Loan Tape'!$P275="",10,'Loan Tape'!$P275),MAX(IF('Loan Tape'!$Q275="",0,'Loan Tape'!$Q275),INDEX(Idx_Curve,1,4)+'Loan Tape'!$M275)),IF('Loan Tape'!$L275="",0,'Loan Tape'!$L275)))</f>
        <v>0</v>
      </c>
      <c r="G582" s="56" t="n">
        <f aca="false">IF('Loan Tape'!$AN275=0,0,IF('Loan Tape'!$K275="Floating",MIN(IF('Loan Tape'!$P275="",10,'Loan Tape'!$P275),MAX(IF('Loan Tape'!$Q275="",0,'Loan Tape'!$Q275),INDEX(Idx_Curve,1,5)+'Loan Tape'!$M275)),IF('Loan Tape'!$L275="",0,'Loan Tape'!$L275)))</f>
        <v>0</v>
      </c>
      <c r="H582" s="56" t="n">
        <f aca="false">IF('Loan Tape'!$AN275=0,0,IF('Loan Tape'!$K275="Floating",MIN(IF('Loan Tape'!$P275="",10,'Loan Tape'!$P275),MAX(IF('Loan Tape'!$Q275="",0,'Loan Tape'!$Q275),INDEX(Idx_Curve,1,6)+'Loan Tape'!$M275)),IF('Loan Tape'!$L275="",0,'Loan Tape'!$L275)))</f>
        <v>0</v>
      </c>
      <c r="I582" s="56" t="n">
        <f aca="false">IF('Loan Tape'!$AN275=0,0,IF('Loan Tape'!$K275="Floating",MIN(IF('Loan Tape'!$P275="",10,'Loan Tape'!$P275),MAX(IF('Loan Tape'!$Q275="",0,'Loan Tape'!$Q275),INDEX(Idx_Curve,1,7)+'Loan Tape'!$M275)),IF('Loan Tape'!$L275="",0,'Loan Tape'!$L275)))</f>
        <v>0</v>
      </c>
      <c r="J582" s="56" t="n">
        <f aca="false">IF('Loan Tape'!$AN275=0,0,IF('Loan Tape'!$K275="Floating",MIN(IF('Loan Tape'!$P275="",10,'Loan Tape'!$P275),MAX(IF('Loan Tape'!$Q275="",0,'Loan Tape'!$Q275),INDEX(Idx_Curve,1,8)+'Loan Tape'!$M275)),IF('Loan Tape'!$L275="",0,'Loan Tape'!$L275)))</f>
        <v>0</v>
      </c>
      <c r="K582" s="56" t="n">
        <f aca="false">IF('Loan Tape'!$AN275=0,0,IF('Loan Tape'!$K275="Floating",MIN(IF('Loan Tape'!$P275="",10,'Loan Tape'!$P275),MAX(IF('Loan Tape'!$Q275="",0,'Loan Tape'!$Q275),INDEX(Idx_Curve,1,9)+'Loan Tape'!$M275)),IF('Loan Tape'!$L275="",0,'Loan Tape'!$L275)))</f>
        <v>0</v>
      </c>
      <c r="L582" s="56" t="n">
        <f aca="false">IF('Loan Tape'!$AN275=0,0,IF('Loan Tape'!$K275="Floating",MIN(IF('Loan Tape'!$P275="",10,'Loan Tape'!$P275),MAX(IF('Loan Tape'!$Q275="",0,'Loan Tape'!$Q275),INDEX(Idx_Curve,1,10)+'Loan Tape'!$M275)),IF('Loan Tape'!$L275="",0,'Loan Tape'!$L275)))</f>
        <v>0</v>
      </c>
    </row>
    <row r="583" customFormat="false" ht="15" hidden="false" customHeight="false" outlineLevel="0" collapsed="false">
      <c r="B583" s="102" t="n">
        <f aca="false">'Loan Tape'!$A276</f>
        <v>0</v>
      </c>
      <c r="C583" s="104" t="n">
        <f aca="false">IF('Loan Tape'!$AN276=0,0,IF('Loan Tape'!$K276="Floating",MIN(IF('Loan Tape'!$P276="",10,'Loan Tape'!$P276),MAX(IF('Loan Tape'!$Q276="",0,'Loan Tape'!$Q276),INDEX(Idx_Curve,1,1)+'Loan Tape'!$M276)),IF('Loan Tape'!$L276="",0,'Loan Tape'!$L276)))</f>
        <v>0</v>
      </c>
      <c r="D583" s="104" t="n">
        <f aca="false">IF('Loan Tape'!$AN276=0,0,IF('Loan Tape'!$K276="Floating",MIN(IF('Loan Tape'!$P276="",10,'Loan Tape'!$P276),MAX(IF('Loan Tape'!$Q276="",0,'Loan Tape'!$Q276),INDEX(Idx_Curve,1,2)+'Loan Tape'!$M276)),IF('Loan Tape'!$L276="",0,'Loan Tape'!$L276)))</f>
        <v>0</v>
      </c>
      <c r="E583" s="104" t="n">
        <f aca="false">IF('Loan Tape'!$AN276=0,0,IF('Loan Tape'!$K276="Floating",MIN(IF('Loan Tape'!$P276="",10,'Loan Tape'!$P276),MAX(IF('Loan Tape'!$Q276="",0,'Loan Tape'!$Q276),INDEX(Idx_Curve,1,3)+'Loan Tape'!$M276)),IF('Loan Tape'!$L276="",0,'Loan Tape'!$L276)))</f>
        <v>0</v>
      </c>
      <c r="F583" s="104" t="n">
        <f aca="false">IF('Loan Tape'!$AN276=0,0,IF('Loan Tape'!$K276="Floating",MIN(IF('Loan Tape'!$P276="",10,'Loan Tape'!$P276),MAX(IF('Loan Tape'!$Q276="",0,'Loan Tape'!$Q276),INDEX(Idx_Curve,1,4)+'Loan Tape'!$M276)),IF('Loan Tape'!$L276="",0,'Loan Tape'!$L276)))</f>
        <v>0</v>
      </c>
      <c r="G583" s="104" t="n">
        <f aca="false">IF('Loan Tape'!$AN276=0,0,IF('Loan Tape'!$K276="Floating",MIN(IF('Loan Tape'!$P276="",10,'Loan Tape'!$P276),MAX(IF('Loan Tape'!$Q276="",0,'Loan Tape'!$Q276),INDEX(Idx_Curve,1,5)+'Loan Tape'!$M276)),IF('Loan Tape'!$L276="",0,'Loan Tape'!$L276)))</f>
        <v>0</v>
      </c>
      <c r="H583" s="104" t="n">
        <f aca="false">IF('Loan Tape'!$AN276=0,0,IF('Loan Tape'!$K276="Floating",MIN(IF('Loan Tape'!$P276="",10,'Loan Tape'!$P276),MAX(IF('Loan Tape'!$Q276="",0,'Loan Tape'!$Q276),INDEX(Idx_Curve,1,6)+'Loan Tape'!$M276)),IF('Loan Tape'!$L276="",0,'Loan Tape'!$L276)))</f>
        <v>0</v>
      </c>
      <c r="I583" s="104" t="n">
        <f aca="false">IF('Loan Tape'!$AN276=0,0,IF('Loan Tape'!$K276="Floating",MIN(IF('Loan Tape'!$P276="",10,'Loan Tape'!$P276),MAX(IF('Loan Tape'!$Q276="",0,'Loan Tape'!$Q276),INDEX(Idx_Curve,1,7)+'Loan Tape'!$M276)),IF('Loan Tape'!$L276="",0,'Loan Tape'!$L276)))</f>
        <v>0</v>
      </c>
      <c r="J583" s="104" t="n">
        <f aca="false">IF('Loan Tape'!$AN276=0,0,IF('Loan Tape'!$K276="Floating",MIN(IF('Loan Tape'!$P276="",10,'Loan Tape'!$P276),MAX(IF('Loan Tape'!$Q276="",0,'Loan Tape'!$Q276),INDEX(Idx_Curve,1,8)+'Loan Tape'!$M276)),IF('Loan Tape'!$L276="",0,'Loan Tape'!$L276)))</f>
        <v>0</v>
      </c>
      <c r="K583" s="104" t="n">
        <f aca="false">IF('Loan Tape'!$AN276=0,0,IF('Loan Tape'!$K276="Floating",MIN(IF('Loan Tape'!$P276="",10,'Loan Tape'!$P276),MAX(IF('Loan Tape'!$Q276="",0,'Loan Tape'!$Q276),INDEX(Idx_Curve,1,9)+'Loan Tape'!$M276)),IF('Loan Tape'!$L276="",0,'Loan Tape'!$L276)))</f>
        <v>0</v>
      </c>
      <c r="L583" s="104" t="n">
        <f aca="false">IF('Loan Tape'!$AN276=0,0,IF('Loan Tape'!$K276="Floating",MIN(IF('Loan Tape'!$P276="",10,'Loan Tape'!$P276),MAX(IF('Loan Tape'!$Q276="",0,'Loan Tape'!$Q276),INDEX(Idx_Curve,1,10)+'Loan Tape'!$M276)),IF('Loan Tape'!$L276="",0,'Loan Tape'!$L276)))</f>
        <v>0</v>
      </c>
    </row>
    <row r="584" customFormat="false" ht="15" hidden="false" customHeight="false" outlineLevel="0" collapsed="false">
      <c r="B584" s="108" t="n">
        <f aca="false">'Loan Tape'!$A277</f>
        <v>0</v>
      </c>
      <c r="C584" s="56" t="n">
        <f aca="false">IF('Loan Tape'!$AN277=0,0,IF('Loan Tape'!$K277="Floating",MIN(IF('Loan Tape'!$P277="",10,'Loan Tape'!$P277),MAX(IF('Loan Tape'!$Q277="",0,'Loan Tape'!$Q277),INDEX(Idx_Curve,1,1)+'Loan Tape'!$M277)),IF('Loan Tape'!$L277="",0,'Loan Tape'!$L277)))</f>
        <v>0</v>
      </c>
      <c r="D584" s="56" t="n">
        <f aca="false">IF('Loan Tape'!$AN277=0,0,IF('Loan Tape'!$K277="Floating",MIN(IF('Loan Tape'!$P277="",10,'Loan Tape'!$P277),MAX(IF('Loan Tape'!$Q277="",0,'Loan Tape'!$Q277),INDEX(Idx_Curve,1,2)+'Loan Tape'!$M277)),IF('Loan Tape'!$L277="",0,'Loan Tape'!$L277)))</f>
        <v>0</v>
      </c>
      <c r="E584" s="56" t="n">
        <f aca="false">IF('Loan Tape'!$AN277=0,0,IF('Loan Tape'!$K277="Floating",MIN(IF('Loan Tape'!$P277="",10,'Loan Tape'!$P277),MAX(IF('Loan Tape'!$Q277="",0,'Loan Tape'!$Q277),INDEX(Idx_Curve,1,3)+'Loan Tape'!$M277)),IF('Loan Tape'!$L277="",0,'Loan Tape'!$L277)))</f>
        <v>0</v>
      </c>
      <c r="F584" s="56" t="n">
        <f aca="false">IF('Loan Tape'!$AN277=0,0,IF('Loan Tape'!$K277="Floating",MIN(IF('Loan Tape'!$P277="",10,'Loan Tape'!$P277),MAX(IF('Loan Tape'!$Q277="",0,'Loan Tape'!$Q277),INDEX(Idx_Curve,1,4)+'Loan Tape'!$M277)),IF('Loan Tape'!$L277="",0,'Loan Tape'!$L277)))</f>
        <v>0</v>
      </c>
      <c r="G584" s="56" t="n">
        <f aca="false">IF('Loan Tape'!$AN277=0,0,IF('Loan Tape'!$K277="Floating",MIN(IF('Loan Tape'!$P277="",10,'Loan Tape'!$P277),MAX(IF('Loan Tape'!$Q277="",0,'Loan Tape'!$Q277),INDEX(Idx_Curve,1,5)+'Loan Tape'!$M277)),IF('Loan Tape'!$L277="",0,'Loan Tape'!$L277)))</f>
        <v>0</v>
      </c>
      <c r="H584" s="56" t="n">
        <f aca="false">IF('Loan Tape'!$AN277=0,0,IF('Loan Tape'!$K277="Floating",MIN(IF('Loan Tape'!$P277="",10,'Loan Tape'!$P277),MAX(IF('Loan Tape'!$Q277="",0,'Loan Tape'!$Q277),INDEX(Idx_Curve,1,6)+'Loan Tape'!$M277)),IF('Loan Tape'!$L277="",0,'Loan Tape'!$L277)))</f>
        <v>0</v>
      </c>
      <c r="I584" s="56" t="n">
        <f aca="false">IF('Loan Tape'!$AN277=0,0,IF('Loan Tape'!$K277="Floating",MIN(IF('Loan Tape'!$P277="",10,'Loan Tape'!$P277),MAX(IF('Loan Tape'!$Q277="",0,'Loan Tape'!$Q277),INDEX(Idx_Curve,1,7)+'Loan Tape'!$M277)),IF('Loan Tape'!$L277="",0,'Loan Tape'!$L277)))</f>
        <v>0</v>
      </c>
      <c r="J584" s="56" t="n">
        <f aca="false">IF('Loan Tape'!$AN277=0,0,IF('Loan Tape'!$K277="Floating",MIN(IF('Loan Tape'!$P277="",10,'Loan Tape'!$P277),MAX(IF('Loan Tape'!$Q277="",0,'Loan Tape'!$Q277),INDEX(Idx_Curve,1,8)+'Loan Tape'!$M277)),IF('Loan Tape'!$L277="",0,'Loan Tape'!$L277)))</f>
        <v>0</v>
      </c>
      <c r="K584" s="56" t="n">
        <f aca="false">IF('Loan Tape'!$AN277=0,0,IF('Loan Tape'!$K277="Floating",MIN(IF('Loan Tape'!$P277="",10,'Loan Tape'!$P277),MAX(IF('Loan Tape'!$Q277="",0,'Loan Tape'!$Q277),INDEX(Idx_Curve,1,9)+'Loan Tape'!$M277)),IF('Loan Tape'!$L277="",0,'Loan Tape'!$L277)))</f>
        <v>0</v>
      </c>
      <c r="L584" s="56" t="n">
        <f aca="false">IF('Loan Tape'!$AN277=0,0,IF('Loan Tape'!$K277="Floating",MIN(IF('Loan Tape'!$P277="",10,'Loan Tape'!$P277),MAX(IF('Loan Tape'!$Q277="",0,'Loan Tape'!$Q277),INDEX(Idx_Curve,1,10)+'Loan Tape'!$M277)),IF('Loan Tape'!$L277="",0,'Loan Tape'!$L277)))</f>
        <v>0</v>
      </c>
    </row>
    <row r="585" customFormat="false" ht="15" hidden="false" customHeight="false" outlineLevel="0" collapsed="false">
      <c r="B585" s="102" t="n">
        <f aca="false">'Loan Tape'!$A278</f>
        <v>0</v>
      </c>
      <c r="C585" s="104" t="n">
        <f aca="false">IF('Loan Tape'!$AN278=0,0,IF('Loan Tape'!$K278="Floating",MIN(IF('Loan Tape'!$P278="",10,'Loan Tape'!$P278),MAX(IF('Loan Tape'!$Q278="",0,'Loan Tape'!$Q278),INDEX(Idx_Curve,1,1)+'Loan Tape'!$M278)),IF('Loan Tape'!$L278="",0,'Loan Tape'!$L278)))</f>
        <v>0</v>
      </c>
      <c r="D585" s="104" t="n">
        <f aca="false">IF('Loan Tape'!$AN278=0,0,IF('Loan Tape'!$K278="Floating",MIN(IF('Loan Tape'!$P278="",10,'Loan Tape'!$P278),MAX(IF('Loan Tape'!$Q278="",0,'Loan Tape'!$Q278),INDEX(Idx_Curve,1,2)+'Loan Tape'!$M278)),IF('Loan Tape'!$L278="",0,'Loan Tape'!$L278)))</f>
        <v>0</v>
      </c>
      <c r="E585" s="104" t="n">
        <f aca="false">IF('Loan Tape'!$AN278=0,0,IF('Loan Tape'!$K278="Floating",MIN(IF('Loan Tape'!$P278="",10,'Loan Tape'!$P278),MAX(IF('Loan Tape'!$Q278="",0,'Loan Tape'!$Q278),INDEX(Idx_Curve,1,3)+'Loan Tape'!$M278)),IF('Loan Tape'!$L278="",0,'Loan Tape'!$L278)))</f>
        <v>0</v>
      </c>
      <c r="F585" s="104" t="n">
        <f aca="false">IF('Loan Tape'!$AN278=0,0,IF('Loan Tape'!$K278="Floating",MIN(IF('Loan Tape'!$P278="",10,'Loan Tape'!$P278),MAX(IF('Loan Tape'!$Q278="",0,'Loan Tape'!$Q278),INDEX(Idx_Curve,1,4)+'Loan Tape'!$M278)),IF('Loan Tape'!$L278="",0,'Loan Tape'!$L278)))</f>
        <v>0</v>
      </c>
      <c r="G585" s="104" t="n">
        <f aca="false">IF('Loan Tape'!$AN278=0,0,IF('Loan Tape'!$K278="Floating",MIN(IF('Loan Tape'!$P278="",10,'Loan Tape'!$P278),MAX(IF('Loan Tape'!$Q278="",0,'Loan Tape'!$Q278),INDEX(Idx_Curve,1,5)+'Loan Tape'!$M278)),IF('Loan Tape'!$L278="",0,'Loan Tape'!$L278)))</f>
        <v>0</v>
      </c>
      <c r="H585" s="104" t="n">
        <f aca="false">IF('Loan Tape'!$AN278=0,0,IF('Loan Tape'!$K278="Floating",MIN(IF('Loan Tape'!$P278="",10,'Loan Tape'!$P278),MAX(IF('Loan Tape'!$Q278="",0,'Loan Tape'!$Q278),INDEX(Idx_Curve,1,6)+'Loan Tape'!$M278)),IF('Loan Tape'!$L278="",0,'Loan Tape'!$L278)))</f>
        <v>0</v>
      </c>
      <c r="I585" s="104" t="n">
        <f aca="false">IF('Loan Tape'!$AN278=0,0,IF('Loan Tape'!$K278="Floating",MIN(IF('Loan Tape'!$P278="",10,'Loan Tape'!$P278),MAX(IF('Loan Tape'!$Q278="",0,'Loan Tape'!$Q278),INDEX(Idx_Curve,1,7)+'Loan Tape'!$M278)),IF('Loan Tape'!$L278="",0,'Loan Tape'!$L278)))</f>
        <v>0</v>
      </c>
      <c r="J585" s="104" t="n">
        <f aca="false">IF('Loan Tape'!$AN278=0,0,IF('Loan Tape'!$K278="Floating",MIN(IF('Loan Tape'!$P278="",10,'Loan Tape'!$P278),MAX(IF('Loan Tape'!$Q278="",0,'Loan Tape'!$Q278),INDEX(Idx_Curve,1,8)+'Loan Tape'!$M278)),IF('Loan Tape'!$L278="",0,'Loan Tape'!$L278)))</f>
        <v>0</v>
      </c>
      <c r="K585" s="104" t="n">
        <f aca="false">IF('Loan Tape'!$AN278=0,0,IF('Loan Tape'!$K278="Floating",MIN(IF('Loan Tape'!$P278="",10,'Loan Tape'!$P278),MAX(IF('Loan Tape'!$Q278="",0,'Loan Tape'!$Q278),INDEX(Idx_Curve,1,9)+'Loan Tape'!$M278)),IF('Loan Tape'!$L278="",0,'Loan Tape'!$L278)))</f>
        <v>0</v>
      </c>
      <c r="L585" s="104" t="n">
        <f aca="false">IF('Loan Tape'!$AN278=0,0,IF('Loan Tape'!$K278="Floating",MIN(IF('Loan Tape'!$P278="",10,'Loan Tape'!$P278),MAX(IF('Loan Tape'!$Q278="",0,'Loan Tape'!$Q278),INDEX(Idx_Curve,1,10)+'Loan Tape'!$M278)),IF('Loan Tape'!$L278="",0,'Loan Tape'!$L278)))</f>
        <v>0</v>
      </c>
    </row>
    <row r="586" customFormat="false" ht="15" hidden="false" customHeight="false" outlineLevel="0" collapsed="false">
      <c r="B586" s="108" t="n">
        <f aca="false">'Loan Tape'!$A279</f>
        <v>0</v>
      </c>
      <c r="C586" s="56" t="n">
        <f aca="false">IF('Loan Tape'!$AN279=0,0,IF('Loan Tape'!$K279="Floating",MIN(IF('Loan Tape'!$P279="",10,'Loan Tape'!$P279),MAX(IF('Loan Tape'!$Q279="",0,'Loan Tape'!$Q279),INDEX(Idx_Curve,1,1)+'Loan Tape'!$M279)),IF('Loan Tape'!$L279="",0,'Loan Tape'!$L279)))</f>
        <v>0</v>
      </c>
      <c r="D586" s="56" t="n">
        <f aca="false">IF('Loan Tape'!$AN279=0,0,IF('Loan Tape'!$K279="Floating",MIN(IF('Loan Tape'!$P279="",10,'Loan Tape'!$P279),MAX(IF('Loan Tape'!$Q279="",0,'Loan Tape'!$Q279),INDEX(Idx_Curve,1,2)+'Loan Tape'!$M279)),IF('Loan Tape'!$L279="",0,'Loan Tape'!$L279)))</f>
        <v>0</v>
      </c>
      <c r="E586" s="56" t="n">
        <f aca="false">IF('Loan Tape'!$AN279=0,0,IF('Loan Tape'!$K279="Floating",MIN(IF('Loan Tape'!$P279="",10,'Loan Tape'!$P279),MAX(IF('Loan Tape'!$Q279="",0,'Loan Tape'!$Q279),INDEX(Idx_Curve,1,3)+'Loan Tape'!$M279)),IF('Loan Tape'!$L279="",0,'Loan Tape'!$L279)))</f>
        <v>0</v>
      </c>
      <c r="F586" s="56" t="n">
        <f aca="false">IF('Loan Tape'!$AN279=0,0,IF('Loan Tape'!$K279="Floating",MIN(IF('Loan Tape'!$P279="",10,'Loan Tape'!$P279),MAX(IF('Loan Tape'!$Q279="",0,'Loan Tape'!$Q279),INDEX(Idx_Curve,1,4)+'Loan Tape'!$M279)),IF('Loan Tape'!$L279="",0,'Loan Tape'!$L279)))</f>
        <v>0</v>
      </c>
      <c r="G586" s="56" t="n">
        <f aca="false">IF('Loan Tape'!$AN279=0,0,IF('Loan Tape'!$K279="Floating",MIN(IF('Loan Tape'!$P279="",10,'Loan Tape'!$P279),MAX(IF('Loan Tape'!$Q279="",0,'Loan Tape'!$Q279),INDEX(Idx_Curve,1,5)+'Loan Tape'!$M279)),IF('Loan Tape'!$L279="",0,'Loan Tape'!$L279)))</f>
        <v>0</v>
      </c>
      <c r="H586" s="56" t="n">
        <f aca="false">IF('Loan Tape'!$AN279=0,0,IF('Loan Tape'!$K279="Floating",MIN(IF('Loan Tape'!$P279="",10,'Loan Tape'!$P279),MAX(IF('Loan Tape'!$Q279="",0,'Loan Tape'!$Q279),INDEX(Idx_Curve,1,6)+'Loan Tape'!$M279)),IF('Loan Tape'!$L279="",0,'Loan Tape'!$L279)))</f>
        <v>0</v>
      </c>
      <c r="I586" s="56" t="n">
        <f aca="false">IF('Loan Tape'!$AN279=0,0,IF('Loan Tape'!$K279="Floating",MIN(IF('Loan Tape'!$P279="",10,'Loan Tape'!$P279),MAX(IF('Loan Tape'!$Q279="",0,'Loan Tape'!$Q279),INDEX(Idx_Curve,1,7)+'Loan Tape'!$M279)),IF('Loan Tape'!$L279="",0,'Loan Tape'!$L279)))</f>
        <v>0</v>
      </c>
      <c r="J586" s="56" t="n">
        <f aca="false">IF('Loan Tape'!$AN279=0,0,IF('Loan Tape'!$K279="Floating",MIN(IF('Loan Tape'!$P279="",10,'Loan Tape'!$P279),MAX(IF('Loan Tape'!$Q279="",0,'Loan Tape'!$Q279),INDEX(Idx_Curve,1,8)+'Loan Tape'!$M279)),IF('Loan Tape'!$L279="",0,'Loan Tape'!$L279)))</f>
        <v>0</v>
      </c>
      <c r="K586" s="56" t="n">
        <f aca="false">IF('Loan Tape'!$AN279=0,0,IF('Loan Tape'!$K279="Floating",MIN(IF('Loan Tape'!$P279="",10,'Loan Tape'!$P279),MAX(IF('Loan Tape'!$Q279="",0,'Loan Tape'!$Q279),INDEX(Idx_Curve,1,9)+'Loan Tape'!$M279)),IF('Loan Tape'!$L279="",0,'Loan Tape'!$L279)))</f>
        <v>0</v>
      </c>
      <c r="L586" s="56" t="n">
        <f aca="false">IF('Loan Tape'!$AN279=0,0,IF('Loan Tape'!$K279="Floating",MIN(IF('Loan Tape'!$P279="",10,'Loan Tape'!$P279),MAX(IF('Loan Tape'!$Q279="",0,'Loan Tape'!$Q279),INDEX(Idx_Curve,1,10)+'Loan Tape'!$M279)),IF('Loan Tape'!$L279="",0,'Loan Tape'!$L279)))</f>
        <v>0</v>
      </c>
    </row>
    <row r="587" customFormat="false" ht="15" hidden="false" customHeight="false" outlineLevel="0" collapsed="false">
      <c r="B587" s="102" t="n">
        <f aca="false">'Loan Tape'!$A280</f>
        <v>0</v>
      </c>
      <c r="C587" s="104" t="n">
        <f aca="false">IF('Loan Tape'!$AN280=0,0,IF('Loan Tape'!$K280="Floating",MIN(IF('Loan Tape'!$P280="",10,'Loan Tape'!$P280),MAX(IF('Loan Tape'!$Q280="",0,'Loan Tape'!$Q280),INDEX(Idx_Curve,1,1)+'Loan Tape'!$M280)),IF('Loan Tape'!$L280="",0,'Loan Tape'!$L280)))</f>
        <v>0</v>
      </c>
      <c r="D587" s="104" t="n">
        <f aca="false">IF('Loan Tape'!$AN280=0,0,IF('Loan Tape'!$K280="Floating",MIN(IF('Loan Tape'!$P280="",10,'Loan Tape'!$P280),MAX(IF('Loan Tape'!$Q280="",0,'Loan Tape'!$Q280),INDEX(Idx_Curve,1,2)+'Loan Tape'!$M280)),IF('Loan Tape'!$L280="",0,'Loan Tape'!$L280)))</f>
        <v>0</v>
      </c>
      <c r="E587" s="104" t="n">
        <f aca="false">IF('Loan Tape'!$AN280=0,0,IF('Loan Tape'!$K280="Floating",MIN(IF('Loan Tape'!$P280="",10,'Loan Tape'!$P280),MAX(IF('Loan Tape'!$Q280="",0,'Loan Tape'!$Q280),INDEX(Idx_Curve,1,3)+'Loan Tape'!$M280)),IF('Loan Tape'!$L280="",0,'Loan Tape'!$L280)))</f>
        <v>0</v>
      </c>
      <c r="F587" s="104" t="n">
        <f aca="false">IF('Loan Tape'!$AN280=0,0,IF('Loan Tape'!$K280="Floating",MIN(IF('Loan Tape'!$P280="",10,'Loan Tape'!$P280),MAX(IF('Loan Tape'!$Q280="",0,'Loan Tape'!$Q280),INDEX(Idx_Curve,1,4)+'Loan Tape'!$M280)),IF('Loan Tape'!$L280="",0,'Loan Tape'!$L280)))</f>
        <v>0</v>
      </c>
      <c r="G587" s="104" t="n">
        <f aca="false">IF('Loan Tape'!$AN280=0,0,IF('Loan Tape'!$K280="Floating",MIN(IF('Loan Tape'!$P280="",10,'Loan Tape'!$P280),MAX(IF('Loan Tape'!$Q280="",0,'Loan Tape'!$Q280),INDEX(Idx_Curve,1,5)+'Loan Tape'!$M280)),IF('Loan Tape'!$L280="",0,'Loan Tape'!$L280)))</f>
        <v>0</v>
      </c>
      <c r="H587" s="104" t="n">
        <f aca="false">IF('Loan Tape'!$AN280=0,0,IF('Loan Tape'!$K280="Floating",MIN(IF('Loan Tape'!$P280="",10,'Loan Tape'!$P280),MAX(IF('Loan Tape'!$Q280="",0,'Loan Tape'!$Q280),INDEX(Idx_Curve,1,6)+'Loan Tape'!$M280)),IF('Loan Tape'!$L280="",0,'Loan Tape'!$L280)))</f>
        <v>0</v>
      </c>
      <c r="I587" s="104" t="n">
        <f aca="false">IF('Loan Tape'!$AN280=0,0,IF('Loan Tape'!$K280="Floating",MIN(IF('Loan Tape'!$P280="",10,'Loan Tape'!$P280),MAX(IF('Loan Tape'!$Q280="",0,'Loan Tape'!$Q280),INDEX(Idx_Curve,1,7)+'Loan Tape'!$M280)),IF('Loan Tape'!$L280="",0,'Loan Tape'!$L280)))</f>
        <v>0</v>
      </c>
      <c r="J587" s="104" t="n">
        <f aca="false">IF('Loan Tape'!$AN280=0,0,IF('Loan Tape'!$K280="Floating",MIN(IF('Loan Tape'!$P280="",10,'Loan Tape'!$P280),MAX(IF('Loan Tape'!$Q280="",0,'Loan Tape'!$Q280),INDEX(Idx_Curve,1,8)+'Loan Tape'!$M280)),IF('Loan Tape'!$L280="",0,'Loan Tape'!$L280)))</f>
        <v>0</v>
      </c>
      <c r="K587" s="104" t="n">
        <f aca="false">IF('Loan Tape'!$AN280=0,0,IF('Loan Tape'!$K280="Floating",MIN(IF('Loan Tape'!$P280="",10,'Loan Tape'!$P280),MAX(IF('Loan Tape'!$Q280="",0,'Loan Tape'!$Q280),INDEX(Idx_Curve,1,9)+'Loan Tape'!$M280)),IF('Loan Tape'!$L280="",0,'Loan Tape'!$L280)))</f>
        <v>0</v>
      </c>
      <c r="L587" s="104" t="n">
        <f aca="false">IF('Loan Tape'!$AN280=0,0,IF('Loan Tape'!$K280="Floating",MIN(IF('Loan Tape'!$P280="",10,'Loan Tape'!$P280),MAX(IF('Loan Tape'!$Q280="",0,'Loan Tape'!$Q280),INDEX(Idx_Curve,1,10)+'Loan Tape'!$M280)),IF('Loan Tape'!$L280="",0,'Loan Tape'!$L280)))</f>
        <v>0</v>
      </c>
    </row>
    <row r="588" customFormat="false" ht="15" hidden="false" customHeight="false" outlineLevel="0" collapsed="false">
      <c r="B588" s="108" t="n">
        <f aca="false">'Loan Tape'!$A281</f>
        <v>0</v>
      </c>
      <c r="C588" s="56" t="n">
        <f aca="false">IF('Loan Tape'!$AN281=0,0,IF('Loan Tape'!$K281="Floating",MIN(IF('Loan Tape'!$P281="",10,'Loan Tape'!$P281),MAX(IF('Loan Tape'!$Q281="",0,'Loan Tape'!$Q281),INDEX(Idx_Curve,1,1)+'Loan Tape'!$M281)),IF('Loan Tape'!$L281="",0,'Loan Tape'!$L281)))</f>
        <v>0</v>
      </c>
      <c r="D588" s="56" t="n">
        <f aca="false">IF('Loan Tape'!$AN281=0,0,IF('Loan Tape'!$K281="Floating",MIN(IF('Loan Tape'!$P281="",10,'Loan Tape'!$P281),MAX(IF('Loan Tape'!$Q281="",0,'Loan Tape'!$Q281),INDEX(Idx_Curve,1,2)+'Loan Tape'!$M281)),IF('Loan Tape'!$L281="",0,'Loan Tape'!$L281)))</f>
        <v>0</v>
      </c>
      <c r="E588" s="56" t="n">
        <f aca="false">IF('Loan Tape'!$AN281=0,0,IF('Loan Tape'!$K281="Floating",MIN(IF('Loan Tape'!$P281="",10,'Loan Tape'!$P281),MAX(IF('Loan Tape'!$Q281="",0,'Loan Tape'!$Q281),INDEX(Idx_Curve,1,3)+'Loan Tape'!$M281)),IF('Loan Tape'!$L281="",0,'Loan Tape'!$L281)))</f>
        <v>0</v>
      </c>
      <c r="F588" s="56" t="n">
        <f aca="false">IF('Loan Tape'!$AN281=0,0,IF('Loan Tape'!$K281="Floating",MIN(IF('Loan Tape'!$P281="",10,'Loan Tape'!$P281),MAX(IF('Loan Tape'!$Q281="",0,'Loan Tape'!$Q281),INDEX(Idx_Curve,1,4)+'Loan Tape'!$M281)),IF('Loan Tape'!$L281="",0,'Loan Tape'!$L281)))</f>
        <v>0</v>
      </c>
      <c r="G588" s="56" t="n">
        <f aca="false">IF('Loan Tape'!$AN281=0,0,IF('Loan Tape'!$K281="Floating",MIN(IF('Loan Tape'!$P281="",10,'Loan Tape'!$P281),MAX(IF('Loan Tape'!$Q281="",0,'Loan Tape'!$Q281),INDEX(Idx_Curve,1,5)+'Loan Tape'!$M281)),IF('Loan Tape'!$L281="",0,'Loan Tape'!$L281)))</f>
        <v>0</v>
      </c>
      <c r="H588" s="56" t="n">
        <f aca="false">IF('Loan Tape'!$AN281=0,0,IF('Loan Tape'!$K281="Floating",MIN(IF('Loan Tape'!$P281="",10,'Loan Tape'!$P281),MAX(IF('Loan Tape'!$Q281="",0,'Loan Tape'!$Q281),INDEX(Idx_Curve,1,6)+'Loan Tape'!$M281)),IF('Loan Tape'!$L281="",0,'Loan Tape'!$L281)))</f>
        <v>0</v>
      </c>
      <c r="I588" s="56" t="n">
        <f aca="false">IF('Loan Tape'!$AN281=0,0,IF('Loan Tape'!$K281="Floating",MIN(IF('Loan Tape'!$P281="",10,'Loan Tape'!$P281),MAX(IF('Loan Tape'!$Q281="",0,'Loan Tape'!$Q281),INDEX(Idx_Curve,1,7)+'Loan Tape'!$M281)),IF('Loan Tape'!$L281="",0,'Loan Tape'!$L281)))</f>
        <v>0</v>
      </c>
      <c r="J588" s="56" t="n">
        <f aca="false">IF('Loan Tape'!$AN281=0,0,IF('Loan Tape'!$K281="Floating",MIN(IF('Loan Tape'!$P281="",10,'Loan Tape'!$P281),MAX(IF('Loan Tape'!$Q281="",0,'Loan Tape'!$Q281),INDEX(Idx_Curve,1,8)+'Loan Tape'!$M281)),IF('Loan Tape'!$L281="",0,'Loan Tape'!$L281)))</f>
        <v>0</v>
      </c>
      <c r="K588" s="56" t="n">
        <f aca="false">IF('Loan Tape'!$AN281=0,0,IF('Loan Tape'!$K281="Floating",MIN(IF('Loan Tape'!$P281="",10,'Loan Tape'!$P281),MAX(IF('Loan Tape'!$Q281="",0,'Loan Tape'!$Q281),INDEX(Idx_Curve,1,9)+'Loan Tape'!$M281)),IF('Loan Tape'!$L281="",0,'Loan Tape'!$L281)))</f>
        <v>0</v>
      </c>
      <c r="L588" s="56" t="n">
        <f aca="false">IF('Loan Tape'!$AN281=0,0,IF('Loan Tape'!$K281="Floating",MIN(IF('Loan Tape'!$P281="",10,'Loan Tape'!$P281),MAX(IF('Loan Tape'!$Q281="",0,'Loan Tape'!$Q281),INDEX(Idx_Curve,1,10)+'Loan Tape'!$M281)),IF('Loan Tape'!$L281="",0,'Loan Tape'!$L281)))</f>
        <v>0</v>
      </c>
    </row>
    <row r="589" customFormat="false" ht="15" hidden="false" customHeight="false" outlineLevel="0" collapsed="false">
      <c r="B589" s="102" t="n">
        <f aca="false">'Loan Tape'!$A282</f>
        <v>0</v>
      </c>
      <c r="C589" s="104" t="n">
        <f aca="false">IF('Loan Tape'!$AN282=0,0,IF('Loan Tape'!$K282="Floating",MIN(IF('Loan Tape'!$P282="",10,'Loan Tape'!$P282),MAX(IF('Loan Tape'!$Q282="",0,'Loan Tape'!$Q282),INDEX(Idx_Curve,1,1)+'Loan Tape'!$M282)),IF('Loan Tape'!$L282="",0,'Loan Tape'!$L282)))</f>
        <v>0</v>
      </c>
      <c r="D589" s="104" t="n">
        <f aca="false">IF('Loan Tape'!$AN282=0,0,IF('Loan Tape'!$K282="Floating",MIN(IF('Loan Tape'!$P282="",10,'Loan Tape'!$P282),MAX(IF('Loan Tape'!$Q282="",0,'Loan Tape'!$Q282),INDEX(Idx_Curve,1,2)+'Loan Tape'!$M282)),IF('Loan Tape'!$L282="",0,'Loan Tape'!$L282)))</f>
        <v>0</v>
      </c>
      <c r="E589" s="104" t="n">
        <f aca="false">IF('Loan Tape'!$AN282=0,0,IF('Loan Tape'!$K282="Floating",MIN(IF('Loan Tape'!$P282="",10,'Loan Tape'!$P282),MAX(IF('Loan Tape'!$Q282="",0,'Loan Tape'!$Q282),INDEX(Idx_Curve,1,3)+'Loan Tape'!$M282)),IF('Loan Tape'!$L282="",0,'Loan Tape'!$L282)))</f>
        <v>0</v>
      </c>
      <c r="F589" s="104" t="n">
        <f aca="false">IF('Loan Tape'!$AN282=0,0,IF('Loan Tape'!$K282="Floating",MIN(IF('Loan Tape'!$P282="",10,'Loan Tape'!$P282),MAX(IF('Loan Tape'!$Q282="",0,'Loan Tape'!$Q282),INDEX(Idx_Curve,1,4)+'Loan Tape'!$M282)),IF('Loan Tape'!$L282="",0,'Loan Tape'!$L282)))</f>
        <v>0</v>
      </c>
      <c r="G589" s="104" t="n">
        <f aca="false">IF('Loan Tape'!$AN282=0,0,IF('Loan Tape'!$K282="Floating",MIN(IF('Loan Tape'!$P282="",10,'Loan Tape'!$P282),MAX(IF('Loan Tape'!$Q282="",0,'Loan Tape'!$Q282),INDEX(Idx_Curve,1,5)+'Loan Tape'!$M282)),IF('Loan Tape'!$L282="",0,'Loan Tape'!$L282)))</f>
        <v>0</v>
      </c>
      <c r="H589" s="104" t="n">
        <f aca="false">IF('Loan Tape'!$AN282=0,0,IF('Loan Tape'!$K282="Floating",MIN(IF('Loan Tape'!$P282="",10,'Loan Tape'!$P282),MAX(IF('Loan Tape'!$Q282="",0,'Loan Tape'!$Q282),INDEX(Idx_Curve,1,6)+'Loan Tape'!$M282)),IF('Loan Tape'!$L282="",0,'Loan Tape'!$L282)))</f>
        <v>0</v>
      </c>
      <c r="I589" s="104" t="n">
        <f aca="false">IF('Loan Tape'!$AN282=0,0,IF('Loan Tape'!$K282="Floating",MIN(IF('Loan Tape'!$P282="",10,'Loan Tape'!$P282),MAX(IF('Loan Tape'!$Q282="",0,'Loan Tape'!$Q282),INDEX(Idx_Curve,1,7)+'Loan Tape'!$M282)),IF('Loan Tape'!$L282="",0,'Loan Tape'!$L282)))</f>
        <v>0</v>
      </c>
      <c r="J589" s="104" t="n">
        <f aca="false">IF('Loan Tape'!$AN282=0,0,IF('Loan Tape'!$K282="Floating",MIN(IF('Loan Tape'!$P282="",10,'Loan Tape'!$P282),MAX(IF('Loan Tape'!$Q282="",0,'Loan Tape'!$Q282),INDEX(Idx_Curve,1,8)+'Loan Tape'!$M282)),IF('Loan Tape'!$L282="",0,'Loan Tape'!$L282)))</f>
        <v>0</v>
      </c>
      <c r="K589" s="104" t="n">
        <f aca="false">IF('Loan Tape'!$AN282=0,0,IF('Loan Tape'!$K282="Floating",MIN(IF('Loan Tape'!$P282="",10,'Loan Tape'!$P282),MAX(IF('Loan Tape'!$Q282="",0,'Loan Tape'!$Q282),INDEX(Idx_Curve,1,9)+'Loan Tape'!$M282)),IF('Loan Tape'!$L282="",0,'Loan Tape'!$L282)))</f>
        <v>0</v>
      </c>
      <c r="L589" s="104" t="n">
        <f aca="false">IF('Loan Tape'!$AN282=0,0,IF('Loan Tape'!$K282="Floating",MIN(IF('Loan Tape'!$P282="",10,'Loan Tape'!$P282),MAX(IF('Loan Tape'!$Q282="",0,'Loan Tape'!$Q282),INDEX(Idx_Curve,1,10)+'Loan Tape'!$M282)),IF('Loan Tape'!$L282="",0,'Loan Tape'!$L282)))</f>
        <v>0</v>
      </c>
    </row>
    <row r="590" customFormat="false" ht="15" hidden="false" customHeight="false" outlineLevel="0" collapsed="false">
      <c r="B590" s="108" t="n">
        <f aca="false">'Loan Tape'!$A283</f>
        <v>0</v>
      </c>
      <c r="C590" s="56" t="n">
        <f aca="false">IF('Loan Tape'!$AN283=0,0,IF('Loan Tape'!$K283="Floating",MIN(IF('Loan Tape'!$P283="",10,'Loan Tape'!$P283),MAX(IF('Loan Tape'!$Q283="",0,'Loan Tape'!$Q283),INDEX(Idx_Curve,1,1)+'Loan Tape'!$M283)),IF('Loan Tape'!$L283="",0,'Loan Tape'!$L283)))</f>
        <v>0</v>
      </c>
      <c r="D590" s="56" t="n">
        <f aca="false">IF('Loan Tape'!$AN283=0,0,IF('Loan Tape'!$K283="Floating",MIN(IF('Loan Tape'!$P283="",10,'Loan Tape'!$P283),MAX(IF('Loan Tape'!$Q283="",0,'Loan Tape'!$Q283),INDEX(Idx_Curve,1,2)+'Loan Tape'!$M283)),IF('Loan Tape'!$L283="",0,'Loan Tape'!$L283)))</f>
        <v>0</v>
      </c>
      <c r="E590" s="56" t="n">
        <f aca="false">IF('Loan Tape'!$AN283=0,0,IF('Loan Tape'!$K283="Floating",MIN(IF('Loan Tape'!$P283="",10,'Loan Tape'!$P283),MAX(IF('Loan Tape'!$Q283="",0,'Loan Tape'!$Q283),INDEX(Idx_Curve,1,3)+'Loan Tape'!$M283)),IF('Loan Tape'!$L283="",0,'Loan Tape'!$L283)))</f>
        <v>0</v>
      </c>
      <c r="F590" s="56" t="n">
        <f aca="false">IF('Loan Tape'!$AN283=0,0,IF('Loan Tape'!$K283="Floating",MIN(IF('Loan Tape'!$P283="",10,'Loan Tape'!$P283),MAX(IF('Loan Tape'!$Q283="",0,'Loan Tape'!$Q283),INDEX(Idx_Curve,1,4)+'Loan Tape'!$M283)),IF('Loan Tape'!$L283="",0,'Loan Tape'!$L283)))</f>
        <v>0</v>
      </c>
      <c r="G590" s="56" t="n">
        <f aca="false">IF('Loan Tape'!$AN283=0,0,IF('Loan Tape'!$K283="Floating",MIN(IF('Loan Tape'!$P283="",10,'Loan Tape'!$P283),MAX(IF('Loan Tape'!$Q283="",0,'Loan Tape'!$Q283),INDEX(Idx_Curve,1,5)+'Loan Tape'!$M283)),IF('Loan Tape'!$L283="",0,'Loan Tape'!$L283)))</f>
        <v>0</v>
      </c>
      <c r="H590" s="56" t="n">
        <f aca="false">IF('Loan Tape'!$AN283=0,0,IF('Loan Tape'!$K283="Floating",MIN(IF('Loan Tape'!$P283="",10,'Loan Tape'!$P283),MAX(IF('Loan Tape'!$Q283="",0,'Loan Tape'!$Q283),INDEX(Idx_Curve,1,6)+'Loan Tape'!$M283)),IF('Loan Tape'!$L283="",0,'Loan Tape'!$L283)))</f>
        <v>0</v>
      </c>
      <c r="I590" s="56" t="n">
        <f aca="false">IF('Loan Tape'!$AN283=0,0,IF('Loan Tape'!$K283="Floating",MIN(IF('Loan Tape'!$P283="",10,'Loan Tape'!$P283),MAX(IF('Loan Tape'!$Q283="",0,'Loan Tape'!$Q283),INDEX(Idx_Curve,1,7)+'Loan Tape'!$M283)),IF('Loan Tape'!$L283="",0,'Loan Tape'!$L283)))</f>
        <v>0</v>
      </c>
      <c r="J590" s="56" t="n">
        <f aca="false">IF('Loan Tape'!$AN283=0,0,IF('Loan Tape'!$K283="Floating",MIN(IF('Loan Tape'!$P283="",10,'Loan Tape'!$P283),MAX(IF('Loan Tape'!$Q283="",0,'Loan Tape'!$Q283),INDEX(Idx_Curve,1,8)+'Loan Tape'!$M283)),IF('Loan Tape'!$L283="",0,'Loan Tape'!$L283)))</f>
        <v>0</v>
      </c>
      <c r="K590" s="56" t="n">
        <f aca="false">IF('Loan Tape'!$AN283=0,0,IF('Loan Tape'!$K283="Floating",MIN(IF('Loan Tape'!$P283="",10,'Loan Tape'!$P283),MAX(IF('Loan Tape'!$Q283="",0,'Loan Tape'!$Q283),INDEX(Idx_Curve,1,9)+'Loan Tape'!$M283)),IF('Loan Tape'!$L283="",0,'Loan Tape'!$L283)))</f>
        <v>0</v>
      </c>
      <c r="L590" s="56" t="n">
        <f aca="false">IF('Loan Tape'!$AN283=0,0,IF('Loan Tape'!$K283="Floating",MIN(IF('Loan Tape'!$P283="",10,'Loan Tape'!$P283),MAX(IF('Loan Tape'!$Q283="",0,'Loan Tape'!$Q283),INDEX(Idx_Curve,1,10)+'Loan Tape'!$M283)),IF('Loan Tape'!$L283="",0,'Loan Tape'!$L283)))</f>
        <v>0</v>
      </c>
    </row>
    <row r="591" customFormat="false" ht="15" hidden="false" customHeight="false" outlineLevel="0" collapsed="false">
      <c r="B591" s="102" t="n">
        <f aca="false">'Loan Tape'!$A284</f>
        <v>0</v>
      </c>
      <c r="C591" s="104" t="n">
        <f aca="false">IF('Loan Tape'!$AN284=0,0,IF('Loan Tape'!$K284="Floating",MIN(IF('Loan Tape'!$P284="",10,'Loan Tape'!$P284),MAX(IF('Loan Tape'!$Q284="",0,'Loan Tape'!$Q284),INDEX(Idx_Curve,1,1)+'Loan Tape'!$M284)),IF('Loan Tape'!$L284="",0,'Loan Tape'!$L284)))</f>
        <v>0</v>
      </c>
      <c r="D591" s="104" t="n">
        <f aca="false">IF('Loan Tape'!$AN284=0,0,IF('Loan Tape'!$K284="Floating",MIN(IF('Loan Tape'!$P284="",10,'Loan Tape'!$P284),MAX(IF('Loan Tape'!$Q284="",0,'Loan Tape'!$Q284),INDEX(Idx_Curve,1,2)+'Loan Tape'!$M284)),IF('Loan Tape'!$L284="",0,'Loan Tape'!$L284)))</f>
        <v>0</v>
      </c>
      <c r="E591" s="104" t="n">
        <f aca="false">IF('Loan Tape'!$AN284=0,0,IF('Loan Tape'!$K284="Floating",MIN(IF('Loan Tape'!$P284="",10,'Loan Tape'!$P284),MAX(IF('Loan Tape'!$Q284="",0,'Loan Tape'!$Q284),INDEX(Idx_Curve,1,3)+'Loan Tape'!$M284)),IF('Loan Tape'!$L284="",0,'Loan Tape'!$L284)))</f>
        <v>0</v>
      </c>
      <c r="F591" s="104" t="n">
        <f aca="false">IF('Loan Tape'!$AN284=0,0,IF('Loan Tape'!$K284="Floating",MIN(IF('Loan Tape'!$P284="",10,'Loan Tape'!$P284),MAX(IF('Loan Tape'!$Q284="",0,'Loan Tape'!$Q284),INDEX(Idx_Curve,1,4)+'Loan Tape'!$M284)),IF('Loan Tape'!$L284="",0,'Loan Tape'!$L284)))</f>
        <v>0</v>
      </c>
      <c r="G591" s="104" t="n">
        <f aca="false">IF('Loan Tape'!$AN284=0,0,IF('Loan Tape'!$K284="Floating",MIN(IF('Loan Tape'!$P284="",10,'Loan Tape'!$P284),MAX(IF('Loan Tape'!$Q284="",0,'Loan Tape'!$Q284),INDEX(Idx_Curve,1,5)+'Loan Tape'!$M284)),IF('Loan Tape'!$L284="",0,'Loan Tape'!$L284)))</f>
        <v>0</v>
      </c>
      <c r="H591" s="104" t="n">
        <f aca="false">IF('Loan Tape'!$AN284=0,0,IF('Loan Tape'!$K284="Floating",MIN(IF('Loan Tape'!$P284="",10,'Loan Tape'!$P284),MAX(IF('Loan Tape'!$Q284="",0,'Loan Tape'!$Q284),INDEX(Idx_Curve,1,6)+'Loan Tape'!$M284)),IF('Loan Tape'!$L284="",0,'Loan Tape'!$L284)))</f>
        <v>0</v>
      </c>
      <c r="I591" s="104" t="n">
        <f aca="false">IF('Loan Tape'!$AN284=0,0,IF('Loan Tape'!$K284="Floating",MIN(IF('Loan Tape'!$P284="",10,'Loan Tape'!$P284),MAX(IF('Loan Tape'!$Q284="",0,'Loan Tape'!$Q284),INDEX(Idx_Curve,1,7)+'Loan Tape'!$M284)),IF('Loan Tape'!$L284="",0,'Loan Tape'!$L284)))</f>
        <v>0</v>
      </c>
      <c r="J591" s="104" t="n">
        <f aca="false">IF('Loan Tape'!$AN284=0,0,IF('Loan Tape'!$K284="Floating",MIN(IF('Loan Tape'!$P284="",10,'Loan Tape'!$P284),MAX(IF('Loan Tape'!$Q284="",0,'Loan Tape'!$Q284),INDEX(Idx_Curve,1,8)+'Loan Tape'!$M284)),IF('Loan Tape'!$L284="",0,'Loan Tape'!$L284)))</f>
        <v>0</v>
      </c>
      <c r="K591" s="104" t="n">
        <f aca="false">IF('Loan Tape'!$AN284=0,0,IF('Loan Tape'!$K284="Floating",MIN(IF('Loan Tape'!$P284="",10,'Loan Tape'!$P284),MAX(IF('Loan Tape'!$Q284="",0,'Loan Tape'!$Q284),INDEX(Idx_Curve,1,9)+'Loan Tape'!$M284)),IF('Loan Tape'!$L284="",0,'Loan Tape'!$L284)))</f>
        <v>0</v>
      </c>
      <c r="L591" s="104" t="n">
        <f aca="false">IF('Loan Tape'!$AN284=0,0,IF('Loan Tape'!$K284="Floating",MIN(IF('Loan Tape'!$P284="",10,'Loan Tape'!$P284),MAX(IF('Loan Tape'!$Q284="",0,'Loan Tape'!$Q284),INDEX(Idx_Curve,1,10)+'Loan Tape'!$M284)),IF('Loan Tape'!$L284="",0,'Loan Tape'!$L284)))</f>
        <v>0</v>
      </c>
    </row>
    <row r="592" customFormat="false" ht="15" hidden="false" customHeight="false" outlineLevel="0" collapsed="false">
      <c r="B592" s="108" t="n">
        <f aca="false">'Loan Tape'!$A285</f>
        <v>0</v>
      </c>
      <c r="C592" s="56" t="n">
        <f aca="false">IF('Loan Tape'!$AN285=0,0,IF('Loan Tape'!$K285="Floating",MIN(IF('Loan Tape'!$P285="",10,'Loan Tape'!$P285),MAX(IF('Loan Tape'!$Q285="",0,'Loan Tape'!$Q285),INDEX(Idx_Curve,1,1)+'Loan Tape'!$M285)),IF('Loan Tape'!$L285="",0,'Loan Tape'!$L285)))</f>
        <v>0</v>
      </c>
      <c r="D592" s="56" t="n">
        <f aca="false">IF('Loan Tape'!$AN285=0,0,IF('Loan Tape'!$K285="Floating",MIN(IF('Loan Tape'!$P285="",10,'Loan Tape'!$P285),MAX(IF('Loan Tape'!$Q285="",0,'Loan Tape'!$Q285),INDEX(Idx_Curve,1,2)+'Loan Tape'!$M285)),IF('Loan Tape'!$L285="",0,'Loan Tape'!$L285)))</f>
        <v>0</v>
      </c>
      <c r="E592" s="56" t="n">
        <f aca="false">IF('Loan Tape'!$AN285=0,0,IF('Loan Tape'!$K285="Floating",MIN(IF('Loan Tape'!$P285="",10,'Loan Tape'!$P285),MAX(IF('Loan Tape'!$Q285="",0,'Loan Tape'!$Q285),INDEX(Idx_Curve,1,3)+'Loan Tape'!$M285)),IF('Loan Tape'!$L285="",0,'Loan Tape'!$L285)))</f>
        <v>0</v>
      </c>
      <c r="F592" s="56" t="n">
        <f aca="false">IF('Loan Tape'!$AN285=0,0,IF('Loan Tape'!$K285="Floating",MIN(IF('Loan Tape'!$P285="",10,'Loan Tape'!$P285),MAX(IF('Loan Tape'!$Q285="",0,'Loan Tape'!$Q285),INDEX(Idx_Curve,1,4)+'Loan Tape'!$M285)),IF('Loan Tape'!$L285="",0,'Loan Tape'!$L285)))</f>
        <v>0</v>
      </c>
      <c r="G592" s="56" t="n">
        <f aca="false">IF('Loan Tape'!$AN285=0,0,IF('Loan Tape'!$K285="Floating",MIN(IF('Loan Tape'!$P285="",10,'Loan Tape'!$P285),MAX(IF('Loan Tape'!$Q285="",0,'Loan Tape'!$Q285),INDEX(Idx_Curve,1,5)+'Loan Tape'!$M285)),IF('Loan Tape'!$L285="",0,'Loan Tape'!$L285)))</f>
        <v>0</v>
      </c>
      <c r="H592" s="56" t="n">
        <f aca="false">IF('Loan Tape'!$AN285=0,0,IF('Loan Tape'!$K285="Floating",MIN(IF('Loan Tape'!$P285="",10,'Loan Tape'!$P285),MAX(IF('Loan Tape'!$Q285="",0,'Loan Tape'!$Q285),INDEX(Idx_Curve,1,6)+'Loan Tape'!$M285)),IF('Loan Tape'!$L285="",0,'Loan Tape'!$L285)))</f>
        <v>0</v>
      </c>
      <c r="I592" s="56" t="n">
        <f aca="false">IF('Loan Tape'!$AN285=0,0,IF('Loan Tape'!$K285="Floating",MIN(IF('Loan Tape'!$P285="",10,'Loan Tape'!$P285),MAX(IF('Loan Tape'!$Q285="",0,'Loan Tape'!$Q285),INDEX(Idx_Curve,1,7)+'Loan Tape'!$M285)),IF('Loan Tape'!$L285="",0,'Loan Tape'!$L285)))</f>
        <v>0</v>
      </c>
      <c r="J592" s="56" t="n">
        <f aca="false">IF('Loan Tape'!$AN285=0,0,IF('Loan Tape'!$K285="Floating",MIN(IF('Loan Tape'!$P285="",10,'Loan Tape'!$P285),MAX(IF('Loan Tape'!$Q285="",0,'Loan Tape'!$Q285),INDEX(Idx_Curve,1,8)+'Loan Tape'!$M285)),IF('Loan Tape'!$L285="",0,'Loan Tape'!$L285)))</f>
        <v>0</v>
      </c>
      <c r="K592" s="56" t="n">
        <f aca="false">IF('Loan Tape'!$AN285=0,0,IF('Loan Tape'!$K285="Floating",MIN(IF('Loan Tape'!$P285="",10,'Loan Tape'!$P285),MAX(IF('Loan Tape'!$Q285="",0,'Loan Tape'!$Q285),INDEX(Idx_Curve,1,9)+'Loan Tape'!$M285)),IF('Loan Tape'!$L285="",0,'Loan Tape'!$L285)))</f>
        <v>0</v>
      </c>
      <c r="L592" s="56" t="n">
        <f aca="false">IF('Loan Tape'!$AN285=0,0,IF('Loan Tape'!$K285="Floating",MIN(IF('Loan Tape'!$P285="",10,'Loan Tape'!$P285),MAX(IF('Loan Tape'!$Q285="",0,'Loan Tape'!$Q285),INDEX(Idx_Curve,1,10)+'Loan Tape'!$M285)),IF('Loan Tape'!$L285="",0,'Loan Tape'!$L285)))</f>
        <v>0</v>
      </c>
    </row>
    <row r="593" customFormat="false" ht="15" hidden="false" customHeight="false" outlineLevel="0" collapsed="false">
      <c r="B593" s="102" t="n">
        <f aca="false">'Loan Tape'!$A286</f>
        <v>0</v>
      </c>
      <c r="C593" s="104" t="n">
        <f aca="false">IF('Loan Tape'!$AN286=0,0,IF('Loan Tape'!$K286="Floating",MIN(IF('Loan Tape'!$P286="",10,'Loan Tape'!$P286),MAX(IF('Loan Tape'!$Q286="",0,'Loan Tape'!$Q286),INDEX(Idx_Curve,1,1)+'Loan Tape'!$M286)),IF('Loan Tape'!$L286="",0,'Loan Tape'!$L286)))</f>
        <v>0</v>
      </c>
      <c r="D593" s="104" t="n">
        <f aca="false">IF('Loan Tape'!$AN286=0,0,IF('Loan Tape'!$K286="Floating",MIN(IF('Loan Tape'!$P286="",10,'Loan Tape'!$P286),MAX(IF('Loan Tape'!$Q286="",0,'Loan Tape'!$Q286),INDEX(Idx_Curve,1,2)+'Loan Tape'!$M286)),IF('Loan Tape'!$L286="",0,'Loan Tape'!$L286)))</f>
        <v>0</v>
      </c>
      <c r="E593" s="104" t="n">
        <f aca="false">IF('Loan Tape'!$AN286=0,0,IF('Loan Tape'!$K286="Floating",MIN(IF('Loan Tape'!$P286="",10,'Loan Tape'!$P286),MAX(IF('Loan Tape'!$Q286="",0,'Loan Tape'!$Q286),INDEX(Idx_Curve,1,3)+'Loan Tape'!$M286)),IF('Loan Tape'!$L286="",0,'Loan Tape'!$L286)))</f>
        <v>0</v>
      </c>
      <c r="F593" s="104" t="n">
        <f aca="false">IF('Loan Tape'!$AN286=0,0,IF('Loan Tape'!$K286="Floating",MIN(IF('Loan Tape'!$P286="",10,'Loan Tape'!$P286),MAX(IF('Loan Tape'!$Q286="",0,'Loan Tape'!$Q286),INDEX(Idx_Curve,1,4)+'Loan Tape'!$M286)),IF('Loan Tape'!$L286="",0,'Loan Tape'!$L286)))</f>
        <v>0</v>
      </c>
      <c r="G593" s="104" t="n">
        <f aca="false">IF('Loan Tape'!$AN286=0,0,IF('Loan Tape'!$K286="Floating",MIN(IF('Loan Tape'!$P286="",10,'Loan Tape'!$P286),MAX(IF('Loan Tape'!$Q286="",0,'Loan Tape'!$Q286),INDEX(Idx_Curve,1,5)+'Loan Tape'!$M286)),IF('Loan Tape'!$L286="",0,'Loan Tape'!$L286)))</f>
        <v>0</v>
      </c>
      <c r="H593" s="104" t="n">
        <f aca="false">IF('Loan Tape'!$AN286=0,0,IF('Loan Tape'!$K286="Floating",MIN(IF('Loan Tape'!$P286="",10,'Loan Tape'!$P286),MAX(IF('Loan Tape'!$Q286="",0,'Loan Tape'!$Q286),INDEX(Idx_Curve,1,6)+'Loan Tape'!$M286)),IF('Loan Tape'!$L286="",0,'Loan Tape'!$L286)))</f>
        <v>0</v>
      </c>
      <c r="I593" s="104" t="n">
        <f aca="false">IF('Loan Tape'!$AN286=0,0,IF('Loan Tape'!$K286="Floating",MIN(IF('Loan Tape'!$P286="",10,'Loan Tape'!$P286),MAX(IF('Loan Tape'!$Q286="",0,'Loan Tape'!$Q286),INDEX(Idx_Curve,1,7)+'Loan Tape'!$M286)),IF('Loan Tape'!$L286="",0,'Loan Tape'!$L286)))</f>
        <v>0</v>
      </c>
      <c r="J593" s="104" t="n">
        <f aca="false">IF('Loan Tape'!$AN286=0,0,IF('Loan Tape'!$K286="Floating",MIN(IF('Loan Tape'!$P286="",10,'Loan Tape'!$P286),MAX(IF('Loan Tape'!$Q286="",0,'Loan Tape'!$Q286),INDEX(Idx_Curve,1,8)+'Loan Tape'!$M286)),IF('Loan Tape'!$L286="",0,'Loan Tape'!$L286)))</f>
        <v>0</v>
      </c>
      <c r="K593" s="104" t="n">
        <f aca="false">IF('Loan Tape'!$AN286=0,0,IF('Loan Tape'!$K286="Floating",MIN(IF('Loan Tape'!$P286="",10,'Loan Tape'!$P286),MAX(IF('Loan Tape'!$Q286="",0,'Loan Tape'!$Q286),INDEX(Idx_Curve,1,9)+'Loan Tape'!$M286)),IF('Loan Tape'!$L286="",0,'Loan Tape'!$L286)))</f>
        <v>0</v>
      </c>
      <c r="L593" s="104" t="n">
        <f aca="false">IF('Loan Tape'!$AN286=0,0,IF('Loan Tape'!$K286="Floating",MIN(IF('Loan Tape'!$P286="",10,'Loan Tape'!$P286),MAX(IF('Loan Tape'!$Q286="",0,'Loan Tape'!$Q286),INDEX(Idx_Curve,1,10)+'Loan Tape'!$M286)),IF('Loan Tape'!$L286="",0,'Loan Tape'!$L286)))</f>
        <v>0</v>
      </c>
    </row>
    <row r="594" customFormat="false" ht="15" hidden="false" customHeight="false" outlineLevel="0" collapsed="false">
      <c r="B594" s="108" t="n">
        <f aca="false">'Loan Tape'!$A287</f>
        <v>0</v>
      </c>
      <c r="C594" s="56" t="n">
        <f aca="false">IF('Loan Tape'!$AN287=0,0,IF('Loan Tape'!$K287="Floating",MIN(IF('Loan Tape'!$P287="",10,'Loan Tape'!$P287),MAX(IF('Loan Tape'!$Q287="",0,'Loan Tape'!$Q287),INDEX(Idx_Curve,1,1)+'Loan Tape'!$M287)),IF('Loan Tape'!$L287="",0,'Loan Tape'!$L287)))</f>
        <v>0</v>
      </c>
      <c r="D594" s="56" t="n">
        <f aca="false">IF('Loan Tape'!$AN287=0,0,IF('Loan Tape'!$K287="Floating",MIN(IF('Loan Tape'!$P287="",10,'Loan Tape'!$P287),MAX(IF('Loan Tape'!$Q287="",0,'Loan Tape'!$Q287),INDEX(Idx_Curve,1,2)+'Loan Tape'!$M287)),IF('Loan Tape'!$L287="",0,'Loan Tape'!$L287)))</f>
        <v>0</v>
      </c>
      <c r="E594" s="56" t="n">
        <f aca="false">IF('Loan Tape'!$AN287=0,0,IF('Loan Tape'!$K287="Floating",MIN(IF('Loan Tape'!$P287="",10,'Loan Tape'!$P287),MAX(IF('Loan Tape'!$Q287="",0,'Loan Tape'!$Q287),INDEX(Idx_Curve,1,3)+'Loan Tape'!$M287)),IF('Loan Tape'!$L287="",0,'Loan Tape'!$L287)))</f>
        <v>0</v>
      </c>
      <c r="F594" s="56" t="n">
        <f aca="false">IF('Loan Tape'!$AN287=0,0,IF('Loan Tape'!$K287="Floating",MIN(IF('Loan Tape'!$P287="",10,'Loan Tape'!$P287),MAX(IF('Loan Tape'!$Q287="",0,'Loan Tape'!$Q287),INDEX(Idx_Curve,1,4)+'Loan Tape'!$M287)),IF('Loan Tape'!$L287="",0,'Loan Tape'!$L287)))</f>
        <v>0</v>
      </c>
      <c r="G594" s="56" t="n">
        <f aca="false">IF('Loan Tape'!$AN287=0,0,IF('Loan Tape'!$K287="Floating",MIN(IF('Loan Tape'!$P287="",10,'Loan Tape'!$P287),MAX(IF('Loan Tape'!$Q287="",0,'Loan Tape'!$Q287),INDEX(Idx_Curve,1,5)+'Loan Tape'!$M287)),IF('Loan Tape'!$L287="",0,'Loan Tape'!$L287)))</f>
        <v>0</v>
      </c>
      <c r="H594" s="56" t="n">
        <f aca="false">IF('Loan Tape'!$AN287=0,0,IF('Loan Tape'!$K287="Floating",MIN(IF('Loan Tape'!$P287="",10,'Loan Tape'!$P287),MAX(IF('Loan Tape'!$Q287="",0,'Loan Tape'!$Q287),INDEX(Idx_Curve,1,6)+'Loan Tape'!$M287)),IF('Loan Tape'!$L287="",0,'Loan Tape'!$L287)))</f>
        <v>0</v>
      </c>
      <c r="I594" s="56" t="n">
        <f aca="false">IF('Loan Tape'!$AN287=0,0,IF('Loan Tape'!$K287="Floating",MIN(IF('Loan Tape'!$P287="",10,'Loan Tape'!$P287),MAX(IF('Loan Tape'!$Q287="",0,'Loan Tape'!$Q287),INDEX(Idx_Curve,1,7)+'Loan Tape'!$M287)),IF('Loan Tape'!$L287="",0,'Loan Tape'!$L287)))</f>
        <v>0</v>
      </c>
      <c r="J594" s="56" t="n">
        <f aca="false">IF('Loan Tape'!$AN287=0,0,IF('Loan Tape'!$K287="Floating",MIN(IF('Loan Tape'!$P287="",10,'Loan Tape'!$P287),MAX(IF('Loan Tape'!$Q287="",0,'Loan Tape'!$Q287),INDEX(Idx_Curve,1,8)+'Loan Tape'!$M287)),IF('Loan Tape'!$L287="",0,'Loan Tape'!$L287)))</f>
        <v>0</v>
      </c>
      <c r="K594" s="56" t="n">
        <f aca="false">IF('Loan Tape'!$AN287=0,0,IF('Loan Tape'!$K287="Floating",MIN(IF('Loan Tape'!$P287="",10,'Loan Tape'!$P287),MAX(IF('Loan Tape'!$Q287="",0,'Loan Tape'!$Q287),INDEX(Idx_Curve,1,9)+'Loan Tape'!$M287)),IF('Loan Tape'!$L287="",0,'Loan Tape'!$L287)))</f>
        <v>0</v>
      </c>
      <c r="L594" s="56" t="n">
        <f aca="false">IF('Loan Tape'!$AN287=0,0,IF('Loan Tape'!$K287="Floating",MIN(IF('Loan Tape'!$P287="",10,'Loan Tape'!$P287),MAX(IF('Loan Tape'!$Q287="",0,'Loan Tape'!$Q287),INDEX(Idx_Curve,1,10)+'Loan Tape'!$M287)),IF('Loan Tape'!$L287="",0,'Loan Tape'!$L287)))</f>
        <v>0</v>
      </c>
    </row>
    <row r="595" customFormat="false" ht="15" hidden="false" customHeight="false" outlineLevel="0" collapsed="false">
      <c r="B595" s="102" t="n">
        <f aca="false">'Loan Tape'!$A288</f>
        <v>0</v>
      </c>
      <c r="C595" s="104" t="n">
        <f aca="false">IF('Loan Tape'!$AN288=0,0,IF('Loan Tape'!$K288="Floating",MIN(IF('Loan Tape'!$P288="",10,'Loan Tape'!$P288),MAX(IF('Loan Tape'!$Q288="",0,'Loan Tape'!$Q288),INDEX(Idx_Curve,1,1)+'Loan Tape'!$M288)),IF('Loan Tape'!$L288="",0,'Loan Tape'!$L288)))</f>
        <v>0</v>
      </c>
      <c r="D595" s="104" t="n">
        <f aca="false">IF('Loan Tape'!$AN288=0,0,IF('Loan Tape'!$K288="Floating",MIN(IF('Loan Tape'!$P288="",10,'Loan Tape'!$P288),MAX(IF('Loan Tape'!$Q288="",0,'Loan Tape'!$Q288),INDEX(Idx_Curve,1,2)+'Loan Tape'!$M288)),IF('Loan Tape'!$L288="",0,'Loan Tape'!$L288)))</f>
        <v>0</v>
      </c>
      <c r="E595" s="104" t="n">
        <f aca="false">IF('Loan Tape'!$AN288=0,0,IF('Loan Tape'!$K288="Floating",MIN(IF('Loan Tape'!$P288="",10,'Loan Tape'!$P288),MAX(IF('Loan Tape'!$Q288="",0,'Loan Tape'!$Q288),INDEX(Idx_Curve,1,3)+'Loan Tape'!$M288)),IF('Loan Tape'!$L288="",0,'Loan Tape'!$L288)))</f>
        <v>0</v>
      </c>
      <c r="F595" s="104" t="n">
        <f aca="false">IF('Loan Tape'!$AN288=0,0,IF('Loan Tape'!$K288="Floating",MIN(IF('Loan Tape'!$P288="",10,'Loan Tape'!$P288),MAX(IF('Loan Tape'!$Q288="",0,'Loan Tape'!$Q288),INDEX(Idx_Curve,1,4)+'Loan Tape'!$M288)),IF('Loan Tape'!$L288="",0,'Loan Tape'!$L288)))</f>
        <v>0</v>
      </c>
      <c r="G595" s="104" t="n">
        <f aca="false">IF('Loan Tape'!$AN288=0,0,IF('Loan Tape'!$K288="Floating",MIN(IF('Loan Tape'!$P288="",10,'Loan Tape'!$P288),MAX(IF('Loan Tape'!$Q288="",0,'Loan Tape'!$Q288),INDEX(Idx_Curve,1,5)+'Loan Tape'!$M288)),IF('Loan Tape'!$L288="",0,'Loan Tape'!$L288)))</f>
        <v>0</v>
      </c>
      <c r="H595" s="104" t="n">
        <f aca="false">IF('Loan Tape'!$AN288=0,0,IF('Loan Tape'!$K288="Floating",MIN(IF('Loan Tape'!$P288="",10,'Loan Tape'!$P288),MAX(IF('Loan Tape'!$Q288="",0,'Loan Tape'!$Q288),INDEX(Idx_Curve,1,6)+'Loan Tape'!$M288)),IF('Loan Tape'!$L288="",0,'Loan Tape'!$L288)))</f>
        <v>0</v>
      </c>
      <c r="I595" s="104" t="n">
        <f aca="false">IF('Loan Tape'!$AN288=0,0,IF('Loan Tape'!$K288="Floating",MIN(IF('Loan Tape'!$P288="",10,'Loan Tape'!$P288),MAX(IF('Loan Tape'!$Q288="",0,'Loan Tape'!$Q288),INDEX(Idx_Curve,1,7)+'Loan Tape'!$M288)),IF('Loan Tape'!$L288="",0,'Loan Tape'!$L288)))</f>
        <v>0</v>
      </c>
      <c r="J595" s="104" t="n">
        <f aca="false">IF('Loan Tape'!$AN288=0,0,IF('Loan Tape'!$K288="Floating",MIN(IF('Loan Tape'!$P288="",10,'Loan Tape'!$P288),MAX(IF('Loan Tape'!$Q288="",0,'Loan Tape'!$Q288),INDEX(Idx_Curve,1,8)+'Loan Tape'!$M288)),IF('Loan Tape'!$L288="",0,'Loan Tape'!$L288)))</f>
        <v>0</v>
      </c>
      <c r="K595" s="104" t="n">
        <f aca="false">IF('Loan Tape'!$AN288=0,0,IF('Loan Tape'!$K288="Floating",MIN(IF('Loan Tape'!$P288="",10,'Loan Tape'!$P288),MAX(IF('Loan Tape'!$Q288="",0,'Loan Tape'!$Q288),INDEX(Idx_Curve,1,9)+'Loan Tape'!$M288)),IF('Loan Tape'!$L288="",0,'Loan Tape'!$L288)))</f>
        <v>0</v>
      </c>
      <c r="L595" s="104" t="n">
        <f aca="false">IF('Loan Tape'!$AN288=0,0,IF('Loan Tape'!$K288="Floating",MIN(IF('Loan Tape'!$P288="",10,'Loan Tape'!$P288),MAX(IF('Loan Tape'!$Q288="",0,'Loan Tape'!$Q288),INDEX(Idx_Curve,1,10)+'Loan Tape'!$M288)),IF('Loan Tape'!$L288="",0,'Loan Tape'!$L288)))</f>
        <v>0</v>
      </c>
    </row>
    <row r="596" customFormat="false" ht="15" hidden="false" customHeight="false" outlineLevel="0" collapsed="false">
      <c r="B596" s="108" t="n">
        <f aca="false">'Loan Tape'!$A289</f>
        <v>0</v>
      </c>
      <c r="C596" s="56" t="n">
        <f aca="false">IF('Loan Tape'!$AN289=0,0,IF('Loan Tape'!$K289="Floating",MIN(IF('Loan Tape'!$P289="",10,'Loan Tape'!$P289),MAX(IF('Loan Tape'!$Q289="",0,'Loan Tape'!$Q289),INDEX(Idx_Curve,1,1)+'Loan Tape'!$M289)),IF('Loan Tape'!$L289="",0,'Loan Tape'!$L289)))</f>
        <v>0</v>
      </c>
      <c r="D596" s="56" t="n">
        <f aca="false">IF('Loan Tape'!$AN289=0,0,IF('Loan Tape'!$K289="Floating",MIN(IF('Loan Tape'!$P289="",10,'Loan Tape'!$P289),MAX(IF('Loan Tape'!$Q289="",0,'Loan Tape'!$Q289),INDEX(Idx_Curve,1,2)+'Loan Tape'!$M289)),IF('Loan Tape'!$L289="",0,'Loan Tape'!$L289)))</f>
        <v>0</v>
      </c>
      <c r="E596" s="56" t="n">
        <f aca="false">IF('Loan Tape'!$AN289=0,0,IF('Loan Tape'!$K289="Floating",MIN(IF('Loan Tape'!$P289="",10,'Loan Tape'!$P289),MAX(IF('Loan Tape'!$Q289="",0,'Loan Tape'!$Q289),INDEX(Idx_Curve,1,3)+'Loan Tape'!$M289)),IF('Loan Tape'!$L289="",0,'Loan Tape'!$L289)))</f>
        <v>0</v>
      </c>
      <c r="F596" s="56" t="n">
        <f aca="false">IF('Loan Tape'!$AN289=0,0,IF('Loan Tape'!$K289="Floating",MIN(IF('Loan Tape'!$P289="",10,'Loan Tape'!$P289),MAX(IF('Loan Tape'!$Q289="",0,'Loan Tape'!$Q289),INDEX(Idx_Curve,1,4)+'Loan Tape'!$M289)),IF('Loan Tape'!$L289="",0,'Loan Tape'!$L289)))</f>
        <v>0</v>
      </c>
      <c r="G596" s="56" t="n">
        <f aca="false">IF('Loan Tape'!$AN289=0,0,IF('Loan Tape'!$K289="Floating",MIN(IF('Loan Tape'!$P289="",10,'Loan Tape'!$P289),MAX(IF('Loan Tape'!$Q289="",0,'Loan Tape'!$Q289),INDEX(Idx_Curve,1,5)+'Loan Tape'!$M289)),IF('Loan Tape'!$L289="",0,'Loan Tape'!$L289)))</f>
        <v>0</v>
      </c>
      <c r="H596" s="56" t="n">
        <f aca="false">IF('Loan Tape'!$AN289=0,0,IF('Loan Tape'!$K289="Floating",MIN(IF('Loan Tape'!$P289="",10,'Loan Tape'!$P289),MAX(IF('Loan Tape'!$Q289="",0,'Loan Tape'!$Q289),INDEX(Idx_Curve,1,6)+'Loan Tape'!$M289)),IF('Loan Tape'!$L289="",0,'Loan Tape'!$L289)))</f>
        <v>0</v>
      </c>
      <c r="I596" s="56" t="n">
        <f aca="false">IF('Loan Tape'!$AN289=0,0,IF('Loan Tape'!$K289="Floating",MIN(IF('Loan Tape'!$P289="",10,'Loan Tape'!$P289),MAX(IF('Loan Tape'!$Q289="",0,'Loan Tape'!$Q289),INDEX(Idx_Curve,1,7)+'Loan Tape'!$M289)),IF('Loan Tape'!$L289="",0,'Loan Tape'!$L289)))</f>
        <v>0</v>
      </c>
      <c r="J596" s="56" t="n">
        <f aca="false">IF('Loan Tape'!$AN289=0,0,IF('Loan Tape'!$K289="Floating",MIN(IF('Loan Tape'!$P289="",10,'Loan Tape'!$P289),MAX(IF('Loan Tape'!$Q289="",0,'Loan Tape'!$Q289),INDEX(Idx_Curve,1,8)+'Loan Tape'!$M289)),IF('Loan Tape'!$L289="",0,'Loan Tape'!$L289)))</f>
        <v>0</v>
      </c>
      <c r="K596" s="56" t="n">
        <f aca="false">IF('Loan Tape'!$AN289=0,0,IF('Loan Tape'!$K289="Floating",MIN(IF('Loan Tape'!$P289="",10,'Loan Tape'!$P289),MAX(IF('Loan Tape'!$Q289="",0,'Loan Tape'!$Q289),INDEX(Idx_Curve,1,9)+'Loan Tape'!$M289)),IF('Loan Tape'!$L289="",0,'Loan Tape'!$L289)))</f>
        <v>0</v>
      </c>
      <c r="L596" s="56" t="n">
        <f aca="false">IF('Loan Tape'!$AN289=0,0,IF('Loan Tape'!$K289="Floating",MIN(IF('Loan Tape'!$P289="",10,'Loan Tape'!$P289),MAX(IF('Loan Tape'!$Q289="",0,'Loan Tape'!$Q289),INDEX(Idx_Curve,1,10)+'Loan Tape'!$M289)),IF('Loan Tape'!$L289="",0,'Loan Tape'!$L289)))</f>
        <v>0</v>
      </c>
    </row>
    <row r="597" customFormat="false" ht="15" hidden="false" customHeight="false" outlineLevel="0" collapsed="false">
      <c r="B597" s="102" t="n">
        <f aca="false">'Loan Tape'!$A290</f>
        <v>0</v>
      </c>
      <c r="C597" s="104" t="n">
        <f aca="false">IF('Loan Tape'!$AN290=0,0,IF('Loan Tape'!$K290="Floating",MIN(IF('Loan Tape'!$P290="",10,'Loan Tape'!$P290),MAX(IF('Loan Tape'!$Q290="",0,'Loan Tape'!$Q290),INDEX(Idx_Curve,1,1)+'Loan Tape'!$M290)),IF('Loan Tape'!$L290="",0,'Loan Tape'!$L290)))</f>
        <v>0</v>
      </c>
      <c r="D597" s="104" t="n">
        <f aca="false">IF('Loan Tape'!$AN290=0,0,IF('Loan Tape'!$K290="Floating",MIN(IF('Loan Tape'!$P290="",10,'Loan Tape'!$P290),MAX(IF('Loan Tape'!$Q290="",0,'Loan Tape'!$Q290),INDEX(Idx_Curve,1,2)+'Loan Tape'!$M290)),IF('Loan Tape'!$L290="",0,'Loan Tape'!$L290)))</f>
        <v>0</v>
      </c>
      <c r="E597" s="104" t="n">
        <f aca="false">IF('Loan Tape'!$AN290=0,0,IF('Loan Tape'!$K290="Floating",MIN(IF('Loan Tape'!$P290="",10,'Loan Tape'!$P290),MAX(IF('Loan Tape'!$Q290="",0,'Loan Tape'!$Q290),INDEX(Idx_Curve,1,3)+'Loan Tape'!$M290)),IF('Loan Tape'!$L290="",0,'Loan Tape'!$L290)))</f>
        <v>0</v>
      </c>
      <c r="F597" s="104" t="n">
        <f aca="false">IF('Loan Tape'!$AN290=0,0,IF('Loan Tape'!$K290="Floating",MIN(IF('Loan Tape'!$P290="",10,'Loan Tape'!$P290),MAX(IF('Loan Tape'!$Q290="",0,'Loan Tape'!$Q290),INDEX(Idx_Curve,1,4)+'Loan Tape'!$M290)),IF('Loan Tape'!$L290="",0,'Loan Tape'!$L290)))</f>
        <v>0</v>
      </c>
      <c r="G597" s="104" t="n">
        <f aca="false">IF('Loan Tape'!$AN290=0,0,IF('Loan Tape'!$K290="Floating",MIN(IF('Loan Tape'!$P290="",10,'Loan Tape'!$P290),MAX(IF('Loan Tape'!$Q290="",0,'Loan Tape'!$Q290),INDEX(Idx_Curve,1,5)+'Loan Tape'!$M290)),IF('Loan Tape'!$L290="",0,'Loan Tape'!$L290)))</f>
        <v>0</v>
      </c>
      <c r="H597" s="104" t="n">
        <f aca="false">IF('Loan Tape'!$AN290=0,0,IF('Loan Tape'!$K290="Floating",MIN(IF('Loan Tape'!$P290="",10,'Loan Tape'!$P290),MAX(IF('Loan Tape'!$Q290="",0,'Loan Tape'!$Q290),INDEX(Idx_Curve,1,6)+'Loan Tape'!$M290)),IF('Loan Tape'!$L290="",0,'Loan Tape'!$L290)))</f>
        <v>0</v>
      </c>
      <c r="I597" s="104" t="n">
        <f aca="false">IF('Loan Tape'!$AN290=0,0,IF('Loan Tape'!$K290="Floating",MIN(IF('Loan Tape'!$P290="",10,'Loan Tape'!$P290),MAX(IF('Loan Tape'!$Q290="",0,'Loan Tape'!$Q290),INDEX(Idx_Curve,1,7)+'Loan Tape'!$M290)),IF('Loan Tape'!$L290="",0,'Loan Tape'!$L290)))</f>
        <v>0</v>
      </c>
      <c r="J597" s="104" t="n">
        <f aca="false">IF('Loan Tape'!$AN290=0,0,IF('Loan Tape'!$K290="Floating",MIN(IF('Loan Tape'!$P290="",10,'Loan Tape'!$P290),MAX(IF('Loan Tape'!$Q290="",0,'Loan Tape'!$Q290),INDEX(Idx_Curve,1,8)+'Loan Tape'!$M290)),IF('Loan Tape'!$L290="",0,'Loan Tape'!$L290)))</f>
        <v>0</v>
      </c>
      <c r="K597" s="104" t="n">
        <f aca="false">IF('Loan Tape'!$AN290=0,0,IF('Loan Tape'!$K290="Floating",MIN(IF('Loan Tape'!$P290="",10,'Loan Tape'!$P290),MAX(IF('Loan Tape'!$Q290="",0,'Loan Tape'!$Q290),INDEX(Idx_Curve,1,9)+'Loan Tape'!$M290)),IF('Loan Tape'!$L290="",0,'Loan Tape'!$L290)))</f>
        <v>0</v>
      </c>
      <c r="L597" s="104" t="n">
        <f aca="false">IF('Loan Tape'!$AN290=0,0,IF('Loan Tape'!$K290="Floating",MIN(IF('Loan Tape'!$P290="",10,'Loan Tape'!$P290),MAX(IF('Loan Tape'!$Q290="",0,'Loan Tape'!$Q290),INDEX(Idx_Curve,1,10)+'Loan Tape'!$M290)),IF('Loan Tape'!$L290="",0,'Loan Tape'!$L290)))</f>
        <v>0</v>
      </c>
    </row>
    <row r="598" customFormat="false" ht="15" hidden="false" customHeight="false" outlineLevel="0" collapsed="false">
      <c r="B598" s="108" t="n">
        <f aca="false">'Loan Tape'!$A291</f>
        <v>0</v>
      </c>
      <c r="C598" s="56" t="n">
        <f aca="false">IF('Loan Tape'!$AN291=0,0,IF('Loan Tape'!$K291="Floating",MIN(IF('Loan Tape'!$P291="",10,'Loan Tape'!$P291),MAX(IF('Loan Tape'!$Q291="",0,'Loan Tape'!$Q291),INDEX(Idx_Curve,1,1)+'Loan Tape'!$M291)),IF('Loan Tape'!$L291="",0,'Loan Tape'!$L291)))</f>
        <v>0</v>
      </c>
      <c r="D598" s="56" t="n">
        <f aca="false">IF('Loan Tape'!$AN291=0,0,IF('Loan Tape'!$K291="Floating",MIN(IF('Loan Tape'!$P291="",10,'Loan Tape'!$P291),MAX(IF('Loan Tape'!$Q291="",0,'Loan Tape'!$Q291),INDEX(Idx_Curve,1,2)+'Loan Tape'!$M291)),IF('Loan Tape'!$L291="",0,'Loan Tape'!$L291)))</f>
        <v>0</v>
      </c>
      <c r="E598" s="56" t="n">
        <f aca="false">IF('Loan Tape'!$AN291=0,0,IF('Loan Tape'!$K291="Floating",MIN(IF('Loan Tape'!$P291="",10,'Loan Tape'!$P291),MAX(IF('Loan Tape'!$Q291="",0,'Loan Tape'!$Q291),INDEX(Idx_Curve,1,3)+'Loan Tape'!$M291)),IF('Loan Tape'!$L291="",0,'Loan Tape'!$L291)))</f>
        <v>0</v>
      </c>
      <c r="F598" s="56" t="n">
        <f aca="false">IF('Loan Tape'!$AN291=0,0,IF('Loan Tape'!$K291="Floating",MIN(IF('Loan Tape'!$P291="",10,'Loan Tape'!$P291),MAX(IF('Loan Tape'!$Q291="",0,'Loan Tape'!$Q291),INDEX(Idx_Curve,1,4)+'Loan Tape'!$M291)),IF('Loan Tape'!$L291="",0,'Loan Tape'!$L291)))</f>
        <v>0</v>
      </c>
      <c r="G598" s="56" t="n">
        <f aca="false">IF('Loan Tape'!$AN291=0,0,IF('Loan Tape'!$K291="Floating",MIN(IF('Loan Tape'!$P291="",10,'Loan Tape'!$P291),MAX(IF('Loan Tape'!$Q291="",0,'Loan Tape'!$Q291),INDEX(Idx_Curve,1,5)+'Loan Tape'!$M291)),IF('Loan Tape'!$L291="",0,'Loan Tape'!$L291)))</f>
        <v>0</v>
      </c>
      <c r="H598" s="56" t="n">
        <f aca="false">IF('Loan Tape'!$AN291=0,0,IF('Loan Tape'!$K291="Floating",MIN(IF('Loan Tape'!$P291="",10,'Loan Tape'!$P291),MAX(IF('Loan Tape'!$Q291="",0,'Loan Tape'!$Q291),INDEX(Idx_Curve,1,6)+'Loan Tape'!$M291)),IF('Loan Tape'!$L291="",0,'Loan Tape'!$L291)))</f>
        <v>0</v>
      </c>
      <c r="I598" s="56" t="n">
        <f aca="false">IF('Loan Tape'!$AN291=0,0,IF('Loan Tape'!$K291="Floating",MIN(IF('Loan Tape'!$P291="",10,'Loan Tape'!$P291),MAX(IF('Loan Tape'!$Q291="",0,'Loan Tape'!$Q291),INDEX(Idx_Curve,1,7)+'Loan Tape'!$M291)),IF('Loan Tape'!$L291="",0,'Loan Tape'!$L291)))</f>
        <v>0</v>
      </c>
      <c r="J598" s="56" t="n">
        <f aca="false">IF('Loan Tape'!$AN291=0,0,IF('Loan Tape'!$K291="Floating",MIN(IF('Loan Tape'!$P291="",10,'Loan Tape'!$P291),MAX(IF('Loan Tape'!$Q291="",0,'Loan Tape'!$Q291),INDEX(Idx_Curve,1,8)+'Loan Tape'!$M291)),IF('Loan Tape'!$L291="",0,'Loan Tape'!$L291)))</f>
        <v>0</v>
      </c>
      <c r="K598" s="56" t="n">
        <f aca="false">IF('Loan Tape'!$AN291=0,0,IF('Loan Tape'!$K291="Floating",MIN(IF('Loan Tape'!$P291="",10,'Loan Tape'!$P291),MAX(IF('Loan Tape'!$Q291="",0,'Loan Tape'!$Q291),INDEX(Idx_Curve,1,9)+'Loan Tape'!$M291)),IF('Loan Tape'!$L291="",0,'Loan Tape'!$L291)))</f>
        <v>0</v>
      </c>
      <c r="L598" s="56" t="n">
        <f aca="false">IF('Loan Tape'!$AN291=0,0,IF('Loan Tape'!$K291="Floating",MIN(IF('Loan Tape'!$P291="",10,'Loan Tape'!$P291),MAX(IF('Loan Tape'!$Q291="",0,'Loan Tape'!$Q291),INDEX(Idx_Curve,1,10)+'Loan Tape'!$M291)),IF('Loan Tape'!$L291="",0,'Loan Tape'!$L291)))</f>
        <v>0</v>
      </c>
    </row>
    <row r="599" customFormat="false" ht="15" hidden="false" customHeight="false" outlineLevel="0" collapsed="false">
      <c r="B599" s="102" t="n">
        <f aca="false">'Loan Tape'!$A292</f>
        <v>0</v>
      </c>
      <c r="C599" s="104" t="n">
        <f aca="false">IF('Loan Tape'!$AN292=0,0,IF('Loan Tape'!$K292="Floating",MIN(IF('Loan Tape'!$P292="",10,'Loan Tape'!$P292),MAX(IF('Loan Tape'!$Q292="",0,'Loan Tape'!$Q292),INDEX(Idx_Curve,1,1)+'Loan Tape'!$M292)),IF('Loan Tape'!$L292="",0,'Loan Tape'!$L292)))</f>
        <v>0</v>
      </c>
      <c r="D599" s="104" t="n">
        <f aca="false">IF('Loan Tape'!$AN292=0,0,IF('Loan Tape'!$K292="Floating",MIN(IF('Loan Tape'!$P292="",10,'Loan Tape'!$P292),MAX(IF('Loan Tape'!$Q292="",0,'Loan Tape'!$Q292),INDEX(Idx_Curve,1,2)+'Loan Tape'!$M292)),IF('Loan Tape'!$L292="",0,'Loan Tape'!$L292)))</f>
        <v>0</v>
      </c>
      <c r="E599" s="104" t="n">
        <f aca="false">IF('Loan Tape'!$AN292=0,0,IF('Loan Tape'!$K292="Floating",MIN(IF('Loan Tape'!$P292="",10,'Loan Tape'!$P292),MAX(IF('Loan Tape'!$Q292="",0,'Loan Tape'!$Q292),INDEX(Idx_Curve,1,3)+'Loan Tape'!$M292)),IF('Loan Tape'!$L292="",0,'Loan Tape'!$L292)))</f>
        <v>0</v>
      </c>
      <c r="F599" s="104" t="n">
        <f aca="false">IF('Loan Tape'!$AN292=0,0,IF('Loan Tape'!$K292="Floating",MIN(IF('Loan Tape'!$P292="",10,'Loan Tape'!$P292),MAX(IF('Loan Tape'!$Q292="",0,'Loan Tape'!$Q292),INDEX(Idx_Curve,1,4)+'Loan Tape'!$M292)),IF('Loan Tape'!$L292="",0,'Loan Tape'!$L292)))</f>
        <v>0</v>
      </c>
      <c r="G599" s="104" t="n">
        <f aca="false">IF('Loan Tape'!$AN292=0,0,IF('Loan Tape'!$K292="Floating",MIN(IF('Loan Tape'!$P292="",10,'Loan Tape'!$P292),MAX(IF('Loan Tape'!$Q292="",0,'Loan Tape'!$Q292),INDEX(Idx_Curve,1,5)+'Loan Tape'!$M292)),IF('Loan Tape'!$L292="",0,'Loan Tape'!$L292)))</f>
        <v>0</v>
      </c>
      <c r="H599" s="104" t="n">
        <f aca="false">IF('Loan Tape'!$AN292=0,0,IF('Loan Tape'!$K292="Floating",MIN(IF('Loan Tape'!$P292="",10,'Loan Tape'!$P292),MAX(IF('Loan Tape'!$Q292="",0,'Loan Tape'!$Q292),INDEX(Idx_Curve,1,6)+'Loan Tape'!$M292)),IF('Loan Tape'!$L292="",0,'Loan Tape'!$L292)))</f>
        <v>0</v>
      </c>
      <c r="I599" s="104" t="n">
        <f aca="false">IF('Loan Tape'!$AN292=0,0,IF('Loan Tape'!$K292="Floating",MIN(IF('Loan Tape'!$P292="",10,'Loan Tape'!$P292),MAX(IF('Loan Tape'!$Q292="",0,'Loan Tape'!$Q292),INDEX(Idx_Curve,1,7)+'Loan Tape'!$M292)),IF('Loan Tape'!$L292="",0,'Loan Tape'!$L292)))</f>
        <v>0</v>
      </c>
      <c r="J599" s="104" t="n">
        <f aca="false">IF('Loan Tape'!$AN292=0,0,IF('Loan Tape'!$K292="Floating",MIN(IF('Loan Tape'!$P292="",10,'Loan Tape'!$P292),MAX(IF('Loan Tape'!$Q292="",0,'Loan Tape'!$Q292),INDEX(Idx_Curve,1,8)+'Loan Tape'!$M292)),IF('Loan Tape'!$L292="",0,'Loan Tape'!$L292)))</f>
        <v>0</v>
      </c>
      <c r="K599" s="104" t="n">
        <f aca="false">IF('Loan Tape'!$AN292=0,0,IF('Loan Tape'!$K292="Floating",MIN(IF('Loan Tape'!$P292="",10,'Loan Tape'!$P292),MAX(IF('Loan Tape'!$Q292="",0,'Loan Tape'!$Q292),INDEX(Idx_Curve,1,9)+'Loan Tape'!$M292)),IF('Loan Tape'!$L292="",0,'Loan Tape'!$L292)))</f>
        <v>0</v>
      </c>
      <c r="L599" s="104" t="n">
        <f aca="false">IF('Loan Tape'!$AN292=0,0,IF('Loan Tape'!$K292="Floating",MIN(IF('Loan Tape'!$P292="",10,'Loan Tape'!$P292),MAX(IF('Loan Tape'!$Q292="",0,'Loan Tape'!$Q292),INDEX(Idx_Curve,1,10)+'Loan Tape'!$M292)),IF('Loan Tape'!$L292="",0,'Loan Tape'!$L292)))</f>
        <v>0</v>
      </c>
    </row>
    <row r="600" customFormat="false" ht="15" hidden="false" customHeight="false" outlineLevel="0" collapsed="false">
      <c r="B600" s="108" t="n">
        <f aca="false">'Loan Tape'!$A293</f>
        <v>0</v>
      </c>
      <c r="C600" s="56" t="n">
        <f aca="false">IF('Loan Tape'!$AN293=0,0,IF('Loan Tape'!$K293="Floating",MIN(IF('Loan Tape'!$P293="",10,'Loan Tape'!$P293),MAX(IF('Loan Tape'!$Q293="",0,'Loan Tape'!$Q293),INDEX(Idx_Curve,1,1)+'Loan Tape'!$M293)),IF('Loan Tape'!$L293="",0,'Loan Tape'!$L293)))</f>
        <v>0</v>
      </c>
      <c r="D600" s="56" t="n">
        <f aca="false">IF('Loan Tape'!$AN293=0,0,IF('Loan Tape'!$K293="Floating",MIN(IF('Loan Tape'!$P293="",10,'Loan Tape'!$P293),MAX(IF('Loan Tape'!$Q293="",0,'Loan Tape'!$Q293),INDEX(Idx_Curve,1,2)+'Loan Tape'!$M293)),IF('Loan Tape'!$L293="",0,'Loan Tape'!$L293)))</f>
        <v>0</v>
      </c>
      <c r="E600" s="56" t="n">
        <f aca="false">IF('Loan Tape'!$AN293=0,0,IF('Loan Tape'!$K293="Floating",MIN(IF('Loan Tape'!$P293="",10,'Loan Tape'!$P293),MAX(IF('Loan Tape'!$Q293="",0,'Loan Tape'!$Q293),INDEX(Idx_Curve,1,3)+'Loan Tape'!$M293)),IF('Loan Tape'!$L293="",0,'Loan Tape'!$L293)))</f>
        <v>0</v>
      </c>
      <c r="F600" s="56" t="n">
        <f aca="false">IF('Loan Tape'!$AN293=0,0,IF('Loan Tape'!$K293="Floating",MIN(IF('Loan Tape'!$P293="",10,'Loan Tape'!$P293),MAX(IF('Loan Tape'!$Q293="",0,'Loan Tape'!$Q293),INDEX(Idx_Curve,1,4)+'Loan Tape'!$M293)),IF('Loan Tape'!$L293="",0,'Loan Tape'!$L293)))</f>
        <v>0</v>
      </c>
      <c r="G600" s="56" t="n">
        <f aca="false">IF('Loan Tape'!$AN293=0,0,IF('Loan Tape'!$K293="Floating",MIN(IF('Loan Tape'!$P293="",10,'Loan Tape'!$P293),MAX(IF('Loan Tape'!$Q293="",0,'Loan Tape'!$Q293),INDEX(Idx_Curve,1,5)+'Loan Tape'!$M293)),IF('Loan Tape'!$L293="",0,'Loan Tape'!$L293)))</f>
        <v>0</v>
      </c>
      <c r="H600" s="56" t="n">
        <f aca="false">IF('Loan Tape'!$AN293=0,0,IF('Loan Tape'!$K293="Floating",MIN(IF('Loan Tape'!$P293="",10,'Loan Tape'!$P293),MAX(IF('Loan Tape'!$Q293="",0,'Loan Tape'!$Q293),INDEX(Idx_Curve,1,6)+'Loan Tape'!$M293)),IF('Loan Tape'!$L293="",0,'Loan Tape'!$L293)))</f>
        <v>0</v>
      </c>
      <c r="I600" s="56" t="n">
        <f aca="false">IF('Loan Tape'!$AN293=0,0,IF('Loan Tape'!$K293="Floating",MIN(IF('Loan Tape'!$P293="",10,'Loan Tape'!$P293),MAX(IF('Loan Tape'!$Q293="",0,'Loan Tape'!$Q293),INDEX(Idx_Curve,1,7)+'Loan Tape'!$M293)),IF('Loan Tape'!$L293="",0,'Loan Tape'!$L293)))</f>
        <v>0</v>
      </c>
      <c r="J600" s="56" t="n">
        <f aca="false">IF('Loan Tape'!$AN293=0,0,IF('Loan Tape'!$K293="Floating",MIN(IF('Loan Tape'!$P293="",10,'Loan Tape'!$P293),MAX(IF('Loan Tape'!$Q293="",0,'Loan Tape'!$Q293),INDEX(Idx_Curve,1,8)+'Loan Tape'!$M293)),IF('Loan Tape'!$L293="",0,'Loan Tape'!$L293)))</f>
        <v>0</v>
      </c>
      <c r="K600" s="56" t="n">
        <f aca="false">IF('Loan Tape'!$AN293=0,0,IF('Loan Tape'!$K293="Floating",MIN(IF('Loan Tape'!$P293="",10,'Loan Tape'!$P293),MAX(IF('Loan Tape'!$Q293="",0,'Loan Tape'!$Q293),INDEX(Idx_Curve,1,9)+'Loan Tape'!$M293)),IF('Loan Tape'!$L293="",0,'Loan Tape'!$L293)))</f>
        <v>0</v>
      </c>
      <c r="L600" s="56" t="n">
        <f aca="false">IF('Loan Tape'!$AN293=0,0,IF('Loan Tape'!$K293="Floating",MIN(IF('Loan Tape'!$P293="",10,'Loan Tape'!$P293),MAX(IF('Loan Tape'!$Q293="",0,'Loan Tape'!$Q293),INDEX(Idx_Curve,1,10)+'Loan Tape'!$M293)),IF('Loan Tape'!$L293="",0,'Loan Tape'!$L293)))</f>
        <v>0</v>
      </c>
    </row>
    <row r="601" customFormat="false" ht="15" hidden="false" customHeight="false" outlineLevel="0" collapsed="false">
      <c r="B601" s="102" t="n">
        <f aca="false">'Loan Tape'!$A294</f>
        <v>0</v>
      </c>
      <c r="C601" s="104" t="n">
        <f aca="false">IF('Loan Tape'!$AN294=0,0,IF('Loan Tape'!$K294="Floating",MIN(IF('Loan Tape'!$P294="",10,'Loan Tape'!$P294),MAX(IF('Loan Tape'!$Q294="",0,'Loan Tape'!$Q294),INDEX(Idx_Curve,1,1)+'Loan Tape'!$M294)),IF('Loan Tape'!$L294="",0,'Loan Tape'!$L294)))</f>
        <v>0</v>
      </c>
      <c r="D601" s="104" t="n">
        <f aca="false">IF('Loan Tape'!$AN294=0,0,IF('Loan Tape'!$K294="Floating",MIN(IF('Loan Tape'!$P294="",10,'Loan Tape'!$P294),MAX(IF('Loan Tape'!$Q294="",0,'Loan Tape'!$Q294),INDEX(Idx_Curve,1,2)+'Loan Tape'!$M294)),IF('Loan Tape'!$L294="",0,'Loan Tape'!$L294)))</f>
        <v>0</v>
      </c>
      <c r="E601" s="104" t="n">
        <f aca="false">IF('Loan Tape'!$AN294=0,0,IF('Loan Tape'!$K294="Floating",MIN(IF('Loan Tape'!$P294="",10,'Loan Tape'!$P294),MAX(IF('Loan Tape'!$Q294="",0,'Loan Tape'!$Q294),INDEX(Idx_Curve,1,3)+'Loan Tape'!$M294)),IF('Loan Tape'!$L294="",0,'Loan Tape'!$L294)))</f>
        <v>0</v>
      </c>
      <c r="F601" s="104" t="n">
        <f aca="false">IF('Loan Tape'!$AN294=0,0,IF('Loan Tape'!$K294="Floating",MIN(IF('Loan Tape'!$P294="",10,'Loan Tape'!$P294),MAX(IF('Loan Tape'!$Q294="",0,'Loan Tape'!$Q294),INDEX(Idx_Curve,1,4)+'Loan Tape'!$M294)),IF('Loan Tape'!$L294="",0,'Loan Tape'!$L294)))</f>
        <v>0</v>
      </c>
      <c r="G601" s="104" t="n">
        <f aca="false">IF('Loan Tape'!$AN294=0,0,IF('Loan Tape'!$K294="Floating",MIN(IF('Loan Tape'!$P294="",10,'Loan Tape'!$P294),MAX(IF('Loan Tape'!$Q294="",0,'Loan Tape'!$Q294),INDEX(Idx_Curve,1,5)+'Loan Tape'!$M294)),IF('Loan Tape'!$L294="",0,'Loan Tape'!$L294)))</f>
        <v>0</v>
      </c>
      <c r="H601" s="104" t="n">
        <f aca="false">IF('Loan Tape'!$AN294=0,0,IF('Loan Tape'!$K294="Floating",MIN(IF('Loan Tape'!$P294="",10,'Loan Tape'!$P294),MAX(IF('Loan Tape'!$Q294="",0,'Loan Tape'!$Q294),INDEX(Idx_Curve,1,6)+'Loan Tape'!$M294)),IF('Loan Tape'!$L294="",0,'Loan Tape'!$L294)))</f>
        <v>0</v>
      </c>
      <c r="I601" s="104" t="n">
        <f aca="false">IF('Loan Tape'!$AN294=0,0,IF('Loan Tape'!$K294="Floating",MIN(IF('Loan Tape'!$P294="",10,'Loan Tape'!$P294),MAX(IF('Loan Tape'!$Q294="",0,'Loan Tape'!$Q294),INDEX(Idx_Curve,1,7)+'Loan Tape'!$M294)),IF('Loan Tape'!$L294="",0,'Loan Tape'!$L294)))</f>
        <v>0</v>
      </c>
      <c r="J601" s="104" t="n">
        <f aca="false">IF('Loan Tape'!$AN294=0,0,IF('Loan Tape'!$K294="Floating",MIN(IF('Loan Tape'!$P294="",10,'Loan Tape'!$P294),MAX(IF('Loan Tape'!$Q294="",0,'Loan Tape'!$Q294),INDEX(Idx_Curve,1,8)+'Loan Tape'!$M294)),IF('Loan Tape'!$L294="",0,'Loan Tape'!$L294)))</f>
        <v>0</v>
      </c>
      <c r="K601" s="104" t="n">
        <f aca="false">IF('Loan Tape'!$AN294=0,0,IF('Loan Tape'!$K294="Floating",MIN(IF('Loan Tape'!$P294="",10,'Loan Tape'!$P294),MAX(IF('Loan Tape'!$Q294="",0,'Loan Tape'!$Q294),INDEX(Idx_Curve,1,9)+'Loan Tape'!$M294)),IF('Loan Tape'!$L294="",0,'Loan Tape'!$L294)))</f>
        <v>0</v>
      </c>
      <c r="L601" s="104" t="n">
        <f aca="false">IF('Loan Tape'!$AN294=0,0,IF('Loan Tape'!$K294="Floating",MIN(IF('Loan Tape'!$P294="",10,'Loan Tape'!$P294),MAX(IF('Loan Tape'!$Q294="",0,'Loan Tape'!$Q294),INDEX(Idx_Curve,1,10)+'Loan Tape'!$M294)),IF('Loan Tape'!$L294="",0,'Loan Tape'!$L294)))</f>
        <v>0</v>
      </c>
    </row>
    <row r="602" customFormat="false" ht="15" hidden="false" customHeight="false" outlineLevel="0" collapsed="false">
      <c r="B602" s="108" t="n">
        <f aca="false">'Loan Tape'!$A295</f>
        <v>0</v>
      </c>
      <c r="C602" s="56" t="n">
        <f aca="false">IF('Loan Tape'!$AN295=0,0,IF('Loan Tape'!$K295="Floating",MIN(IF('Loan Tape'!$P295="",10,'Loan Tape'!$P295),MAX(IF('Loan Tape'!$Q295="",0,'Loan Tape'!$Q295),INDEX(Idx_Curve,1,1)+'Loan Tape'!$M295)),IF('Loan Tape'!$L295="",0,'Loan Tape'!$L295)))</f>
        <v>0</v>
      </c>
      <c r="D602" s="56" t="n">
        <f aca="false">IF('Loan Tape'!$AN295=0,0,IF('Loan Tape'!$K295="Floating",MIN(IF('Loan Tape'!$P295="",10,'Loan Tape'!$P295),MAX(IF('Loan Tape'!$Q295="",0,'Loan Tape'!$Q295),INDEX(Idx_Curve,1,2)+'Loan Tape'!$M295)),IF('Loan Tape'!$L295="",0,'Loan Tape'!$L295)))</f>
        <v>0</v>
      </c>
      <c r="E602" s="56" t="n">
        <f aca="false">IF('Loan Tape'!$AN295=0,0,IF('Loan Tape'!$K295="Floating",MIN(IF('Loan Tape'!$P295="",10,'Loan Tape'!$P295),MAX(IF('Loan Tape'!$Q295="",0,'Loan Tape'!$Q295),INDEX(Idx_Curve,1,3)+'Loan Tape'!$M295)),IF('Loan Tape'!$L295="",0,'Loan Tape'!$L295)))</f>
        <v>0</v>
      </c>
      <c r="F602" s="56" t="n">
        <f aca="false">IF('Loan Tape'!$AN295=0,0,IF('Loan Tape'!$K295="Floating",MIN(IF('Loan Tape'!$P295="",10,'Loan Tape'!$P295),MAX(IF('Loan Tape'!$Q295="",0,'Loan Tape'!$Q295),INDEX(Idx_Curve,1,4)+'Loan Tape'!$M295)),IF('Loan Tape'!$L295="",0,'Loan Tape'!$L295)))</f>
        <v>0</v>
      </c>
      <c r="G602" s="56" t="n">
        <f aca="false">IF('Loan Tape'!$AN295=0,0,IF('Loan Tape'!$K295="Floating",MIN(IF('Loan Tape'!$P295="",10,'Loan Tape'!$P295),MAX(IF('Loan Tape'!$Q295="",0,'Loan Tape'!$Q295),INDEX(Idx_Curve,1,5)+'Loan Tape'!$M295)),IF('Loan Tape'!$L295="",0,'Loan Tape'!$L295)))</f>
        <v>0</v>
      </c>
      <c r="H602" s="56" t="n">
        <f aca="false">IF('Loan Tape'!$AN295=0,0,IF('Loan Tape'!$K295="Floating",MIN(IF('Loan Tape'!$P295="",10,'Loan Tape'!$P295),MAX(IF('Loan Tape'!$Q295="",0,'Loan Tape'!$Q295),INDEX(Idx_Curve,1,6)+'Loan Tape'!$M295)),IF('Loan Tape'!$L295="",0,'Loan Tape'!$L295)))</f>
        <v>0</v>
      </c>
      <c r="I602" s="56" t="n">
        <f aca="false">IF('Loan Tape'!$AN295=0,0,IF('Loan Tape'!$K295="Floating",MIN(IF('Loan Tape'!$P295="",10,'Loan Tape'!$P295),MAX(IF('Loan Tape'!$Q295="",0,'Loan Tape'!$Q295),INDEX(Idx_Curve,1,7)+'Loan Tape'!$M295)),IF('Loan Tape'!$L295="",0,'Loan Tape'!$L295)))</f>
        <v>0</v>
      </c>
      <c r="J602" s="56" t="n">
        <f aca="false">IF('Loan Tape'!$AN295=0,0,IF('Loan Tape'!$K295="Floating",MIN(IF('Loan Tape'!$P295="",10,'Loan Tape'!$P295),MAX(IF('Loan Tape'!$Q295="",0,'Loan Tape'!$Q295),INDEX(Idx_Curve,1,8)+'Loan Tape'!$M295)),IF('Loan Tape'!$L295="",0,'Loan Tape'!$L295)))</f>
        <v>0</v>
      </c>
      <c r="K602" s="56" t="n">
        <f aca="false">IF('Loan Tape'!$AN295=0,0,IF('Loan Tape'!$K295="Floating",MIN(IF('Loan Tape'!$P295="",10,'Loan Tape'!$P295),MAX(IF('Loan Tape'!$Q295="",0,'Loan Tape'!$Q295),INDEX(Idx_Curve,1,9)+'Loan Tape'!$M295)),IF('Loan Tape'!$L295="",0,'Loan Tape'!$L295)))</f>
        <v>0</v>
      </c>
      <c r="L602" s="56" t="n">
        <f aca="false">IF('Loan Tape'!$AN295=0,0,IF('Loan Tape'!$K295="Floating",MIN(IF('Loan Tape'!$P295="",10,'Loan Tape'!$P295),MAX(IF('Loan Tape'!$Q295="",0,'Loan Tape'!$Q295),INDEX(Idx_Curve,1,10)+'Loan Tape'!$M295)),IF('Loan Tape'!$L295="",0,'Loan Tape'!$L295)))</f>
        <v>0</v>
      </c>
    </row>
    <row r="603" customFormat="false" ht="15" hidden="false" customHeight="false" outlineLevel="0" collapsed="false">
      <c r="B603" s="102" t="n">
        <f aca="false">'Loan Tape'!$A296</f>
        <v>0</v>
      </c>
      <c r="C603" s="104" t="n">
        <f aca="false">IF('Loan Tape'!$AN296=0,0,IF('Loan Tape'!$K296="Floating",MIN(IF('Loan Tape'!$P296="",10,'Loan Tape'!$P296),MAX(IF('Loan Tape'!$Q296="",0,'Loan Tape'!$Q296),INDEX(Idx_Curve,1,1)+'Loan Tape'!$M296)),IF('Loan Tape'!$L296="",0,'Loan Tape'!$L296)))</f>
        <v>0</v>
      </c>
      <c r="D603" s="104" t="n">
        <f aca="false">IF('Loan Tape'!$AN296=0,0,IF('Loan Tape'!$K296="Floating",MIN(IF('Loan Tape'!$P296="",10,'Loan Tape'!$P296),MAX(IF('Loan Tape'!$Q296="",0,'Loan Tape'!$Q296),INDEX(Idx_Curve,1,2)+'Loan Tape'!$M296)),IF('Loan Tape'!$L296="",0,'Loan Tape'!$L296)))</f>
        <v>0</v>
      </c>
      <c r="E603" s="104" t="n">
        <f aca="false">IF('Loan Tape'!$AN296=0,0,IF('Loan Tape'!$K296="Floating",MIN(IF('Loan Tape'!$P296="",10,'Loan Tape'!$P296),MAX(IF('Loan Tape'!$Q296="",0,'Loan Tape'!$Q296),INDEX(Idx_Curve,1,3)+'Loan Tape'!$M296)),IF('Loan Tape'!$L296="",0,'Loan Tape'!$L296)))</f>
        <v>0</v>
      </c>
      <c r="F603" s="104" t="n">
        <f aca="false">IF('Loan Tape'!$AN296=0,0,IF('Loan Tape'!$K296="Floating",MIN(IF('Loan Tape'!$P296="",10,'Loan Tape'!$P296),MAX(IF('Loan Tape'!$Q296="",0,'Loan Tape'!$Q296),INDEX(Idx_Curve,1,4)+'Loan Tape'!$M296)),IF('Loan Tape'!$L296="",0,'Loan Tape'!$L296)))</f>
        <v>0</v>
      </c>
      <c r="G603" s="104" t="n">
        <f aca="false">IF('Loan Tape'!$AN296=0,0,IF('Loan Tape'!$K296="Floating",MIN(IF('Loan Tape'!$P296="",10,'Loan Tape'!$P296),MAX(IF('Loan Tape'!$Q296="",0,'Loan Tape'!$Q296),INDEX(Idx_Curve,1,5)+'Loan Tape'!$M296)),IF('Loan Tape'!$L296="",0,'Loan Tape'!$L296)))</f>
        <v>0</v>
      </c>
      <c r="H603" s="104" t="n">
        <f aca="false">IF('Loan Tape'!$AN296=0,0,IF('Loan Tape'!$K296="Floating",MIN(IF('Loan Tape'!$P296="",10,'Loan Tape'!$P296),MAX(IF('Loan Tape'!$Q296="",0,'Loan Tape'!$Q296),INDEX(Idx_Curve,1,6)+'Loan Tape'!$M296)),IF('Loan Tape'!$L296="",0,'Loan Tape'!$L296)))</f>
        <v>0</v>
      </c>
      <c r="I603" s="104" t="n">
        <f aca="false">IF('Loan Tape'!$AN296=0,0,IF('Loan Tape'!$K296="Floating",MIN(IF('Loan Tape'!$P296="",10,'Loan Tape'!$P296),MAX(IF('Loan Tape'!$Q296="",0,'Loan Tape'!$Q296),INDEX(Idx_Curve,1,7)+'Loan Tape'!$M296)),IF('Loan Tape'!$L296="",0,'Loan Tape'!$L296)))</f>
        <v>0</v>
      </c>
      <c r="J603" s="104" t="n">
        <f aca="false">IF('Loan Tape'!$AN296=0,0,IF('Loan Tape'!$K296="Floating",MIN(IF('Loan Tape'!$P296="",10,'Loan Tape'!$P296),MAX(IF('Loan Tape'!$Q296="",0,'Loan Tape'!$Q296),INDEX(Idx_Curve,1,8)+'Loan Tape'!$M296)),IF('Loan Tape'!$L296="",0,'Loan Tape'!$L296)))</f>
        <v>0</v>
      </c>
      <c r="K603" s="104" t="n">
        <f aca="false">IF('Loan Tape'!$AN296=0,0,IF('Loan Tape'!$K296="Floating",MIN(IF('Loan Tape'!$P296="",10,'Loan Tape'!$P296),MAX(IF('Loan Tape'!$Q296="",0,'Loan Tape'!$Q296),INDEX(Idx_Curve,1,9)+'Loan Tape'!$M296)),IF('Loan Tape'!$L296="",0,'Loan Tape'!$L296)))</f>
        <v>0</v>
      </c>
      <c r="L603" s="104" t="n">
        <f aca="false">IF('Loan Tape'!$AN296=0,0,IF('Loan Tape'!$K296="Floating",MIN(IF('Loan Tape'!$P296="",10,'Loan Tape'!$P296),MAX(IF('Loan Tape'!$Q296="",0,'Loan Tape'!$Q296),INDEX(Idx_Curve,1,10)+'Loan Tape'!$M296)),IF('Loan Tape'!$L296="",0,'Loan Tape'!$L296)))</f>
        <v>0</v>
      </c>
    </row>
    <row r="604" customFormat="false" ht="15" hidden="false" customHeight="false" outlineLevel="0" collapsed="false">
      <c r="B604" s="108" t="n">
        <f aca="false">'Loan Tape'!$A297</f>
        <v>0</v>
      </c>
      <c r="C604" s="56" t="n">
        <f aca="false">IF('Loan Tape'!$AN297=0,0,IF('Loan Tape'!$K297="Floating",MIN(IF('Loan Tape'!$P297="",10,'Loan Tape'!$P297),MAX(IF('Loan Tape'!$Q297="",0,'Loan Tape'!$Q297),INDEX(Idx_Curve,1,1)+'Loan Tape'!$M297)),IF('Loan Tape'!$L297="",0,'Loan Tape'!$L297)))</f>
        <v>0</v>
      </c>
      <c r="D604" s="56" t="n">
        <f aca="false">IF('Loan Tape'!$AN297=0,0,IF('Loan Tape'!$K297="Floating",MIN(IF('Loan Tape'!$P297="",10,'Loan Tape'!$P297),MAX(IF('Loan Tape'!$Q297="",0,'Loan Tape'!$Q297),INDEX(Idx_Curve,1,2)+'Loan Tape'!$M297)),IF('Loan Tape'!$L297="",0,'Loan Tape'!$L297)))</f>
        <v>0</v>
      </c>
      <c r="E604" s="56" t="n">
        <f aca="false">IF('Loan Tape'!$AN297=0,0,IF('Loan Tape'!$K297="Floating",MIN(IF('Loan Tape'!$P297="",10,'Loan Tape'!$P297),MAX(IF('Loan Tape'!$Q297="",0,'Loan Tape'!$Q297),INDEX(Idx_Curve,1,3)+'Loan Tape'!$M297)),IF('Loan Tape'!$L297="",0,'Loan Tape'!$L297)))</f>
        <v>0</v>
      </c>
      <c r="F604" s="56" t="n">
        <f aca="false">IF('Loan Tape'!$AN297=0,0,IF('Loan Tape'!$K297="Floating",MIN(IF('Loan Tape'!$P297="",10,'Loan Tape'!$P297),MAX(IF('Loan Tape'!$Q297="",0,'Loan Tape'!$Q297),INDEX(Idx_Curve,1,4)+'Loan Tape'!$M297)),IF('Loan Tape'!$L297="",0,'Loan Tape'!$L297)))</f>
        <v>0</v>
      </c>
      <c r="G604" s="56" t="n">
        <f aca="false">IF('Loan Tape'!$AN297=0,0,IF('Loan Tape'!$K297="Floating",MIN(IF('Loan Tape'!$P297="",10,'Loan Tape'!$P297),MAX(IF('Loan Tape'!$Q297="",0,'Loan Tape'!$Q297),INDEX(Idx_Curve,1,5)+'Loan Tape'!$M297)),IF('Loan Tape'!$L297="",0,'Loan Tape'!$L297)))</f>
        <v>0</v>
      </c>
      <c r="H604" s="56" t="n">
        <f aca="false">IF('Loan Tape'!$AN297=0,0,IF('Loan Tape'!$K297="Floating",MIN(IF('Loan Tape'!$P297="",10,'Loan Tape'!$P297),MAX(IF('Loan Tape'!$Q297="",0,'Loan Tape'!$Q297),INDEX(Idx_Curve,1,6)+'Loan Tape'!$M297)),IF('Loan Tape'!$L297="",0,'Loan Tape'!$L297)))</f>
        <v>0</v>
      </c>
      <c r="I604" s="56" t="n">
        <f aca="false">IF('Loan Tape'!$AN297=0,0,IF('Loan Tape'!$K297="Floating",MIN(IF('Loan Tape'!$P297="",10,'Loan Tape'!$P297),MAX(IF('Loan Tape'!$Q297="",0,'Loan Tape'!$Q297),INDEX(Idx_Curve,1,7)+'Loan Tape'!$M297)),IF('Loan Tape'!$L297="",0,'Loan Tape'!$L297)))</f>
        <v>0</v>
      </c>
      <c r="J604" s="56" t="n">
        <f aca="false">IF('Loan Tape'!$AN297=0,0,IF('Loan Tape'!$K297="Floating",MIN(IF('Loan Tape'!$P297="",10,'Loan Tape'!$P297),MAX(IF('Loan Tape'!$Q297="",0,'Loan Tape'!$Q297),INDEX(Idx_Curve,1,8)+'Loan Tape'!$M297)),IF('Loan Tape'!$L297="",0,'Loan Tape'!$L297)))</f>
        <v>0</v>
      </c>
      <c r="K604" s="56" t="n">
        <f aca="false">IF('Loan Tape'!$AN297=0,0,IF('Loan Tape'!$K297="Floating",MIN(IF('Loan Tape'!$P297="",10,'Loan Tape'!$P297),MAX(IF('Loan Tape'!$Q297="",0,'Loan Tape'!$Q297),INDEX(Idx_Curve,1,9)+'Loan Tape'!$M297)),IF('Loan Tape'!$L297="",0,'Loan Tape'!$L297)))</f>
        <v>0</v>
      </c>
      <c r="L604" s="56" t="n">
        <f aca="false">IF('Loan Tape'!$AN297=0,0,IF('Loan Tape'!$K297="Floating",MIN(IF('Loan Tape'!$P297="",10,'Loan Tape'!$P297),MAX(IF('Loan Tape'!$Q297="",0,'Loan Tape'!$Q297),INDEX(Idx_Curve,1,10)+'Loan Tape'!$M297)),IF('Loan Tape'!$L297="",0,'Loan Tape'!$L297)))</f>
        <v>0</v>
      </c>
    </row>
    <row r="605" customFormat="false" ht="15" hidden="false" customHeight="false" outlineLevel="0" collapsed="false">
      <c r="B605" s="102" t="n">
        <f aca="false">'Loan Tape'!$A298</f>
        <v>0</v>
      </c>
      <c r="C605" s="104" t="n">
        <f aca="false">IF('Loan Tape'!$AN298=0,0,IF('Loan Tape'!$K298="Floating",MIN(IF('Loan Tape'!$P298="",10,'Loan Tape'!$P298),MAX(IF('Loan Tape'!$Q298="",0,'Loan Tape'!$Q298),INDEX(Idx_Curve,1,1)+'Loan Tape'!$M298)),IF('Loan Tape'!$L298="",0,'Loan Tape'!$L298)))</f>
        <v>0</v>
      </c>
      <c r="D605" s="104" t="n">
        <f aca="false">IF('Loan Tape'!$AN298=0,0,IF('Loan Tape'!$K298="Floating",MIN(IF('Loan Tape'!$P298="",10,'Loan Tape'!$P298),MAX(IF('Loan Tape'!$Q298="",0,'Loan Tape'!$Q298),INDEX(Idx_Curve,1,2)+'Loan Tape'!$M298)),IF('Loan Tape'!$L298="",0,'Loan Tape'!$L298)))</f>
        <v>0</v>
      </c>
      <c r="E605" s="104" t="n">
        <f aca="false">IF('Loan Tape'!$AN298=0,0,IF('Loan Tape'!$K298="Floating",MIN(IF('Loan Tape'!$P298="",10,'Loan Tape'!$P298),MAX(IF('Loan Tape'!$Q298="",0,'Loan Tape'!$Q298),INDEX(Idx_Curve,1,3)+'Loan Tape'!$M298)),IF('Loan Tape'!$L298="",0,'Loan Tape'!$L298)))</f>
        <v>0</v>
      </c>
      <c r="F605" s="104" t="n">
        <f aca="false">IF('Loan Tape'!$AN298=0,0,IF('Loan Tape'!$K298="Floating",MIN(IF('Loan Tape'!$P298="",10,'Loan Tape'!$P298),MAX(IF('Loan Tape'!$Q298="",0,'Loan Tape'!$Q298),INDEX(Idx_Curve,1,4)+'Loan Tape'!$M298)),IF('Loan Tape'!$L298="",0,'Loan Tape'!$L298)))</f>
        <v>0</v>
      </c>
      <c r="G605" s="104" t="n">
        <f aca="false">IF('Loan Tape'!$AN298=0,0,IF('Loan Tape'!$K298="Floating",MIN(IF('Loan Tape'!$P298="",10,'Loan Tape'!$P298),MAX(IF('Loan Tape'!$Q298="",0,'Loan Tape'!$Q298),INDEX(Idx_Curve,1,5)+'Loan Tape'!$M298)),IF('Loan Tape'!$L298="",0,'Loan Tape'!$L298)))</f>
        <v>0</v>
      </c>
      <c r="H605" s="104" t="n">
        <f aca="false">IF('Loan Tape'!$AN298=0,0,IF('Loan Tape'!$K298="Floating",MIN(IF('Loan Tape'!$P298="",10,'Loan Tape'!$P298),MAX(IF('Loan Tape'!$Q298="",0,'Loan Tape'!$Q298),INDEX(Idx_Curve,1,6)+'Loan Tape'!$M298)),IF('Loan Tape'!$L298="",0,'Loan Tape'!$L298)))</f>
        <v>0</v>
      </c>
      <c r="I605" s="104" t="n">
        <f aca="false">IF('Loan Tape'!$AN298=0,0,IF('Loan Tape'!$K298="Floating",MIN(IF('Loan Tape'!$P298="",10,'Loan Tape'!$P298),MAX(IF('Loan Tape'!$Q298="",0,'Loan Tape'!$Q298),INDEX(Idx_Curve,1,7)+'Loan Tape'!$M298)),IF('Loan Tape'!$L298="",0,'Loan Tape'!$L298)))</f>
        <v>0</v>
      </c>
      <c r="J605" s="104" t="n">
        <f aca="false">IF('Loan Tape'!$AN298=0,0,IF('Loan Tape'!$K298="Floating",MIN(IF('Loan Tape'!$P298="",10,'Loan Tape'!$P298),MAX(IF('Loan Tape'!$Q298="",0,'Loan Tape'!$Q298),INDEX(Idx_Curve,1,8)+'Loan Tape'!$M298)),IF('Loan Tape'!$L298="",0,'Loan Tape'!$L298)))</f>
        <v>0</v>
      </c>
      <c r="K605" s="104" t="n">
        <f aca="false">IF('Loan Tape'!$AN298=0,0,IF('Loan Tape'!$K298="Floating",MIN(IF('Loan Tape'!$P298="",10,'Loan Tape'!$P298),MAX(IF('Loan Tape'!$Q298="",0,'Loan Tape'!$Q298),INDEX(Idx_Curve,1,9)+'Loan Tape'!$M298)),IF('Loan Tape'!$L298="",0,'Loan Tape'!$L298)))</f>
        <v>0</v>
      </c>
      <c r="L605" s="104" t="n">
        <f aca="false">IF('Loan Tape'!$AN298=0,0,IF('Loan Tape'!$K298="Floating",MIN(IF('Loan Tape'!$P298="",10,'Loan Tape'!$P298),MAX(IF('Loan Tape'!$Q298="",0,'Loan Tape'!$Q298),INDEX(Idx_Curve,1,10)+'Loan Tape'!$M298)),IF('Loan Tape'!$L298="",0,'Loan Tape'!$L298)))</f>
        <v>0</v>
      </c>
    </row>
    <row r="606" customFormat="false" ht="15" hidden="false" customHeight="false" outlineLevel="0" collapsed="false">
      <c r="B606" s="108" t="n">
        <f aca="false">'Loan Tape'!$A299</f>
        <v>0</v>
      </c>
      <c r="C606" s="56" t="n">
        <f aca="false">IF('Loan Tape'!$AN299=0,0,IF('Loan Tape'!$K299="Floating",MIN(IF('Loan Tape'!$P299="",10,'Loan Tape'!$P299),MAX(IF('Loan Tape'!$Q299="",0,'Loan Tape'!$Q299),INDEX(Idx_Curve,1,1)+'Loan Tape'!$M299)),IF('Loan Tape'!$L299="",0,'Loan Tape'!$L299)))</f>
        <v>0</v>
      </c>
      <c r="D606" s="56" t="n">
        <f aca="false">IF('Loan Tape'!$AN299=0,0,IF('Loan Tape'!$K299="Floating",MIN(IF('Loan Tape'!$P299="",10,'Loan Tape'!$P299),MAX(IF('Loan Tape'!$Q299="",0,'Loan Tape'!$Q299),INDEX(Idx_Curve,1,2)+'Loan Tape'!$M299)),IF('Loan Tape'!$L299="",0,'Loan Tape'!$L299)))</f>
        <v>0</v>
      </c>
      <c r="E606" s="56" t="n">
        <f aca="false">IF('Loan Tape'!$AN299=0,0,IF('Loan Tape'!$K299="Floating",MIN(IF('Loan Tape'!$P299="",10,'Loan Tape'!$P299),MAX(IF('Loan Tape'!$Q299="",0,'Loan Tape'!$Q299),INDEX(Idx_Curve,1,3)+'Loan Tape'!$M299)),IF('Loan Tape'!$L299="",0,'Loan Tape'!$L299)))</f>
        <v>0</v>
      </c>
      <c r="F606" s="56" t="n">
        <f aca="false">IF('Loan Tape'!$AN299=0,0,IF('Loan Tape'!$K299="Floating",MIN(IF('Loan Tape'!$P299="",10,'Loan Tape'!$P299),MAX(IF('Loan Tape'!$Q299="",0,'Loan Tape'!$Q299),INDEX(Idx_Curve,1,4)+'Loan Tape'!$M299)),IF('Loan Tape'!$L299="",0,'Loan Tape'!$L299)))</f>
        <v>0</v>
      </c>
      <c r="G606" s="56" t="n">
        <f aca="false">IF('Loan Tape'!$AN299=0,0,IF('Loan Tape'!$K299="Floating",MIN(IF('Loan Tape'!$P299="",10,'Loan Tape'!$P299),MAX(IF('Loan Tape'!$Q299="",0,'Loan Tape'!$Q299),INDEX(Idx_Curve,1,5)+'Loan Tape'!$M299)),IF('Loan Tape'!$L299="",0,'Loan Tape'!$L299)))</f>
        <v>0</v>
      </c>
      <c r="H606" s="56" t="n">
        <f aca="false">IF('Loan Tape'!$AN299=0,0,IF('Loan Tape'!$K299="Floating",MIN(IF('Loan Tape'!$P299="",10,'Loan Tape'!$P299),MAX(IF('Loan Tape'!$Q299="",0,'Loan Tape'!$Q299),INDEX(Idx_Curve,1,6)+'Loan Tape'!$M299)),IF('Loan Tape'!$L299="",0,'Loan Tape'!$L299)))</f>
        <v>0</v>
      </c>
      <c r="I606" s="56" t="n">
        <f aca="false">IF('Loan Tape'!$AN299=0,0,IF('Loan Tape'!$K299="Floating",MIN(IF('Loan Tape'!$P299="",10,'Loan Tape'!$P299),MAX(IF('Loan Tape'!$Q299="",0,'Loan Tape'!$Q299),INDEX(Idx_Curve,1,7)+'Loan Tape'!$M299)),IF('Loan Tape'!$L299="",0,'Loan Tape'!$L299)))</f>
        <v>0</v>
      </c>
      <c r="J606" s="56" t="n">
        <f aca="false">IF('Loan Tape'!$AN299=0,0,IF('Loan Tape'!$K299="Floating",MIN(IF('Loan Tape'!$P299="",10,'Loan Tape'!$P299),MAX(IF('Loan Tape'!$Q299="",0,'Loan Tape'!$Q299),INDEX(Idx_Curve,1,8)+'Loan Tape'!$M299)),IF('Loan Tape'!$L299="",0,'Loan Tape'!$L299)))</f>
        <v>0</v>
      </c>
      <c r="K606" s="56" t="n">
        <f aca="false">IF('Loan Tape'!$AN299=0,0,IF('Loan Tape'!$K299="Floating",MIN(IF('Loan Tape'!$P299="",10,'Loan Tape'!$P299),MAX(IF('Loan Tape'!$Q299="",0,'Loan Tape'!$Q299),INDEX(Idx_Curve,1,9)+'Loan Tape'!$M299)),IF('Loan Tape'!$L299="",0,'Loan Tape'!$L299)))</f>
        <v>0</v>
      </c>
      <c r="L606" s="56" t="n">
        <f aca="false">IF('Loan Tape'!$AN299=0,0,IF('Loan Tape'!$K299="Floating",MIN(IF('Loan Tape'!$P299="",10,'Loan Tape'!$P299),MAX(IF('Loan Tape'!$Q299="",0,'Loan Tape'!$Q299),INDEX(Idx_Curve,1,10)+'Loan Tape'!$M299)),IF('Loan Tape'!$L299="",0,'Loan Tape'!$L299)))</f>
        <v>0</v>
      </c>
    </row>
    <row r="607" customFormat="false" ht="15" hidden="false" customHeight="false" outlineLevel="0" collapsed="false">
      <c r="B607" s="102" t="n">
        <f aca="false">'Loan Tape'!$A300</f>
        <v>0</v>
      </c>
      <c r="C607" s="104" t="n">
        <f aca="false">IF('Loan Tape'!$AN300=0,0,IF('Loan Tape'!$K300="Floating",MIN(IF('Loan Tape'!$P300="",10,'Loan Tape'!$P300),MAX(IF('Loan Tape'!$Q300="",0,'Loan Tape'!$Q300),INDEX(Idx_Curve,1,1)+'Loan Tape'!$M300)),IF('Loan Tape'!$L300="",0,'Loan Tape'!$L300)))</f>
        <v>0</v>
      </c>
      <c r="D607" s="104" t="n">
        <f aca="false">IF('Loan Tape'!$AN300=0,0,IF('Loan Tape'!$K300="Floating",MIN(IF('Loan Tape'!$P300="",10,'Loan Tape'!$P300),MAX(IF('Loan Tape'!$Q300="",0,'Loan Tape'!$Q300),INDEX(Idx_Curve,1,2)+'Loan Tape'!$M300)),IF('Loan Tape'!$L300="",0,'Loan Tape'!$L300)))</f>
        <v>0</v>
      </c>
      <c r="E607" s="104" t="n">
        <f aca="false">IF('Loan Tape'!$AN300=0,0,IF('Loan Tape'!$K300="Floating",MIN(IF('Loan Tape'!$P300="",10,'Loan Tape'!$P300),MAX(IF('Loan Tape'!$Q300="",0,'Loan Tape'!$Q300),INDEX(Idx_Curve,1,3)+'Loan Tape'!$M300)),IF('Loan Tape'!$L300="",0,'Loan Tape'!$L300)))</f>
        <v>0</v>
      </c>
      <c r="F607" s="104" t="n">
        <f aca="false">IF('Loan Tape'!$AN300=0,0,IF('Loan Tape'!$K300="Floating",MIN(IF('Loan Tape'!$P300="",10,'Loan Tape'!$P300),MAX(IF('Loan Tape'!$Q300="",0,'Loan Tape'!$Q300),INDEX(Idx_Curve,1,4)+'Loan Tape'!$M300)),IF('Loan Tape'!$L300="",0,'Loan Tape'!$L300)))</f>
        <v>0</v>
      </c>
      <c r="G607" s="104" t="n">
        <f aca="false">IF('Loan Tape'!$AN300=0,0,IF('Loan Tape'!$K300="Floating",MIN(IF('Loan Tape'!$P300="",10,'Loan Tape'!$P300),MAX(IF('Loan Tape'!$Q300="",0,'Loan Tape'!$Q300),INDEX(Idx_Curve,1,5)+'Loan Tape'!$M300)),IF('Loan Tape'!$L300="",0,'Loan Tape'!$L300)))</f>
        <v>0</v>
      </c>
      <c r="H607" s="104" t="n">
        <f aca="false">IF('Loan Tape'!$AN300=0,0,IF('Loan Tape'!$K300="Floating",MIN(IF('Loan Tape'!$P300="",10,'Loan Tape'!$P300),MAX(IF('Loan Tape'!$Q300="",0,'Loan Tape'!$Q300),INDEX(Idx_Curve,1,6)+'Loan Tape'!$M300)),IF('Loan Tape'!$L300="",0,'Loan Tape'!$L300)))</f>
        <v>0</v>
      </c>
      <c r="I607" s="104" t="n">
        <f aca="false">IF('Loan Tape'!$AN300=0,0,IF('Loan Tape'!$K300="Floating",MIN(IF('Loan Tape'!$P300="",10,'Loan Tape'!$P300),MAX(IF('Loan Tape'!$Q300="",0,'Loan Tape'!$Q300),INDEX(Idx_Curve,1,7)+'Loan Tape'!$M300)),IF('Loan Tape'!$L300="",0,'Loan Tape'!$L300)))</f>
        <v>0</v>
      </c>
      <c r="J607" s="104" t="n">
        <f aca="false">IF('Loan Tape'!$AN300=0,0,IF('Loan Tape'!$K300="Floating",MIN(IF('Loan Tape'!$P300="",10,'Loan Tape'!$P300),MAX(IF('Loan Tape'!$Q300="",0,'Loan Tape'!$Q300),INDEX(Idx_Curve,1,8)+'Loan Tape'!$M300)),IF('Loan Tape'!$L300="",0,'Loan Tape'!$L300)))</f>
        <v>0</v>
      </c>
      <c r="K607" s="104" t="n">
        <f aca="false">IF('Loan Tape'!$AN300=0,0,IF('Loan Tape'!$K300="Floating",MIN(IF('Loan Tape'!$P300="",10,'Loan Tape'!$P300),MAX(IF('Loan Tape'!$Q300="",0,'Loan Tape'!$Q300),INDEX(Idx_Curve,1,9)+'Loan Tape'!$M300)),IF('Loan Tape'!$L300="",0,'Loan Tape'!$L300)))</f>
        <v>0</v>
      </c>
      <c r="L607" s="104" t="n">
        <f aca="false">IF('Loan Tape'!$AN300=0,0,IF('Loan Tape'!$K300="Floating",MIN(IF('Loan Tape'!$P300="",10,'Loan Tape'!$P300),MAX(IF('Loan Tape'!$Q300="",0,'Loan Tape'!$Q300),INDEX(Idx_Curve,1,10)+'Loan Tape'!$M300)),IF('Loan Tape'!$L300="",0,'Loan Tape'!$L300)))</f>
        <v>0</v>
      </c>
    </row>
    <row r="608" customFormat="false" ht="15" hidden="false" customHeight="false" outlineLevel="0" collapsed="false">
      <c r="B608" s="108" t="n">
        <f aca="false">'Loan Tape'!$A301</f>
        <v>0</v>
      </c>
      <c r="C608" s="56" t="n">
        <f aca="false">IF('Loan Tape'!$AN301=0,0,IF('Loan Tape'!$K301="Floating",MIN(IF('Loan Tape'!$P301="",10,'Loan Tape'!$P301),MAX(IF('Loan Tape'!$Q301="",0,'Loan Tape'!$Q301),INDEX(Idx_Curve,1,1)+'Loan Tape'!$M301)),IF('Loan Tape'!$L301="",0,'Loan Tape'!$L301)))</f>
        <v>0</v>
      </c>
      <c r="D608" s="56" t="n">
        <f aca="false">IF('Loan Tape'!$AN301=0,0,IF('Loan Tape'!$K301="Floating",MIN(IF('Loan Tape'!$P301="",10,'Loan Tape'!$P301),MAX(IF('Loan Tape'!$Q301="",0,'Loan Tape'!$Q301),INDEX(Idx_Curve,1,2)+'Loan Tape'!$M301)),IF('Loan Tape'!$L301="",0,'Loan Tape'!$L301)))</f>
        <v>0</v>
      </c>
      <c r="E608" s="56" t="n">
        <f aca="false">IF('Loan Tape'!$AN301=0,0,IF('Loan Tape'!$K301="Floating",MIN(IF('Loan Tape'!$P301="",10,'Loan Tape'!$P301),MAX(IF('Loan Tape'!$Q301="",0,'Loan Tape'!$Q301),INDEX(Idx_Curve,1,3)+'Loan Tape'!$M301)),IF('Loan Tape'!$L301="",0,'Loan Tape'!$L301)))</f>
        <v>0</v>
      </c>
      <c r="F608" s="56" t="n">
        <f aca="false">IF('Loan Tape'!$AN301=0,0,IF('Loan Tape'!$K301="Floating",MIN(IF('Loan Tape'!$P301="",10,'Loan Tape'!$P301),MAX(IF('Loan Tape'!$Q301="",0,'Loan Tape'!$Q301),INDEX(Idx_Curve,1,4)+'Loan Tape'!$M301)),IF('Loan Tape'!$L301="",0,'Loan Tape'!$L301)))</f>
        <v>0</v>
      </c>
      <c r="G608" s="56" t="n">
        <f aca="false">IF('Loan Tape'!$AN301=0,0,IF('Loan Tape'!$K301="Floating",MIN(IF('Loan Tape'!$P301="",10,'Loan Tape'!$P301),MAX(IF('Loan Tape'!$Q301="",0,'Loan Tape'!$Q301),INDEX(Idx_Curve,1,5)+'Loan Tape'!$M301)),IF('Loan Tape'!$L301="",0,'Loan Tape'!$L301)))</f>
        <v>0</v>
      </c>
      <c r="H608" s="56" t="n">
        <f aca="false">IF('Loan Tape'!$AN301=0,0,IF('Loan Tape'!$K301="Floating",MIN(IF('Loan Tape'!$P301="",10,'Loan Tape'!$P301),MAX(IF('Loan Tape'!$Q301="",0,'Loan Tape'!$Q301),INDEX(Idx_Curve,1,6)+'Loan Tape'!$M301)),IF('Loan Tape'!$L301="",0,'Loan Tape'!$L301)))</f>
        <v>0</v>
      </c>
      <c r="I608" s="56" t="n">
        <f aca="false">IF('Loan Tape'!$AN301=0,0,IF('Loan Tape'!$K301="Floating",MIN(IF('Loan Tape'!$P301="",10,'Loan Tape'!$P301),MAX(IF('Loan Tape'!$Q301="",0,'Loan Tape'!$Q301),INDEX(Idx_Curve,1,7)+'Loan Tape'!$M301)),IF('Loan Tape'!$L301="",0,'Loan Tape'!$L301)))</f>
        <v>0</v>
      </c>
      <c r="J608" s="56" t="n">
        <f aca="false">IF('Loan Tape'!$AN301=0,0,IF('Loan Tape'!$K301="Floating",MIN(IF('Loan Tape'!$P301="",10,'Loan Tape'!$P301),MAX(IF('Loan Tape'!$Q301="",0,'Loan Tape'!$Q301),INDEX(Idx_Curve,1,8)+'Loan Tape'!$M301)),IF('Loan Tape'!$L301="",0,'Loan Tape'!$L301)))</f>
        <v>0</v>
      </c>
      <c r="K608" s="56" t="n">
        <f aca="false">IF('Loan Tape'!$AN301=0,0,IF('Loan Tape'!$K301="Floating",MIN(IF('Loan Tape'!$P301="",10,'Loan Tape'!$P301),MAX(IF('Loan Tape'!$Q301="",0,'Loan Tape'!$Q301),INDEX(Idx_Curve,1,9)+'Loan Tape'!$M301)),IF('Loan Tape'!$L301="",0,'Loan Tape'!$L301)))</f>
        <v>0</v>
      </c>
      <c r="L608" s="56" t="n">
        <f aca="false">IF('Loan Tape'!$AN301=0,0,IF('Loan Tape'!$K301="Floating",MIN(IF('Loan Tape'!$P301="",10,'Loan Tape'!$P301),MAX(IF('Loan Tape'!$Q301="",0,'Loan Tape'!$Q301),INDEX(Idx_Curve,1,10)+'Loan Tape'!$M301)),IF('Loan Tape'!$L301="",0,'Loan Tape'!$L301)))</f>
        <v>0</v>
      </c>
    </row>
    <row r="609" customFormat="false" ht="15" hidden="false" customHeight="false" outlineLevel="0" collapsed="false">
      <c r="B609" s="102" t="n">
        <f aca="false">'Loan Tape'!$A302</f>
        <v>0</v>
      </c>
      <c r="C609" s="104" t="n">
        <f aca="false">IF('Loan Tape'!$AN302=0,0,IF('Loan Tape'!$K302="Floating",MIN(IF('Loan Tape'!$P302="",10,'Loan Tape'!$P302),MAX(IF('Loan Tape'!$Q302="",0,'Loan Tape'!$Q302),INDEX(Idx_Curve,1,1)+'Loan Tape'!$M302)),IF('Loan Tape'!$L302="",0,'Loan Tape'!$L302)))</f>
        <v>0</v>
      </c>
      <c r="D609" s="104" t="n">
        <f aca="false">IF('Loan Tape'!$AN302=0,0,IF('Loan Tape'!$K302="Floating",MIN(IF('Loan Tape'!$P302="",10,'Loan Tape'!$P302),MAX(IF('Loan Tape'!$Q302="",0,'Loan Tape'!$Q302),INDEX(Idx_Curve,1,2)+'Loan Tape'!$M302)),IF('Loan Tape'!$L302="",0,'Loan Tape'!$L302)))</f>
        <v>0</v>
      </c>
      <c r="E609" s="104" t="n">
        <f aca="false">IF('Loan Tape'!$AN302=0,0,IF('Loan Tape'!$K302="Floating",MIN(IF('Loan Tape'!$P302="",10,'Loan Tape'!$P302),MAX(IF('Loan Tape'!$Q302="",0,'Loan Tape'!$Q302),INDEX(Idx_Curve,1,3)+'Loan Tape'!$M302)),IF('Loan Tape'!$L302="",0,'Loan Tape'!$L302)))</f>
        <v>0</v>
      </c>
      <c r="F609" s="104" t="n">
        <f aca="false">IF('Loan Tape'!$AN302=0,0,IF('Loan Tape'!$K302="Floating",MIN(IF('Loan Tape'!$P302="",10,'Loan Tape'!$P302),MAX(IF('Loan Tape'!$Q302="",0,'Loan Tape'!$Q302),INDEX(Idx_Curve,1,4)+'Loan Tape'!$M302)),IF('Loan Tape'!$L302="",0,'Loan Tape'!$L302)))</f>
        <v>0</v>
      </c>
      <c r="G609" s="104" t="n">
        <f aca="false">IF('Loan Tape'!$AN302=0,0,IF('Loan Tape'!$K302="Floating",MIN(IF('Loan Tape'!$P302="",10,'Loan Tape'!$P302),MAX(IF('Loan Tape'!$Q302="",0,'Loan Tape'!$Q302),INDEX(Idx_Curve,1,5)+'Loan Tape'!$M302)),IF('Loan Tape'!$L302="",0,'Loan Tape'!$L302)))</f>
        <v>0</v>
      </c>
      <c r="H609" s="104" t="n">
        <f aca="false">IF('Loan Tape'!$AN302=0,0,IF('Loan Tape'!$K302="Floating",MIN(IF('Loan Tape'!$P302="",10,'Loan Tape'!$P302),MAX(IF('Loan Tape'!$Q302="",0,'Loan Tape'!$Q302),INDEX(Idx_Curve,1,6)+'Loan Tape'!$M302)),IF('Loan Tape'!$L302="",0,'Loan Tape'!$L302)))</f>
        <v>0</v>
      </c>
      <c r="I609" s="104" t="n">
        <f aca="false">IF('Loan Tape'!$AN302=0,0,IF('Loan Tape'!$K302="Floating",MIN(IF('Loan Tape'!$P302="",10,'Loan Tape'!$P302),MAX(IF('Loan Tape'!$Q302="",0,'Loan Tape'!$Q302),INDEX(Idx_Curve,1,7)+'Loan Tape'!$M302)),IF('Loan Tape'!$L302="",0,'Loan Tape'!$L302)))</f>
        <v>0</v>
      </c>
      <c r="J609" s="104" t="n">
        <f aca="false">IF('Loan Tape'!$AN302=0,0,IF('Loan Tape'!$K302="Floating",MIN(IF('Loan Tape'!$P302="",10,'Loan Tape'!$P302),MAX(IF('Loan Tape'!$Q302="",0,'Loan Tape'!$Q302),INDEX(Idx_Curve,1,8)+'Loan Tape'!$M302)),IF('Loan Tape'!$L302="",0,'Loan Tape'!$L302)))</f>
        <v>0</v>
      </c>
      <c r="K609" s="104" t="n">
        <f aca="false">IF('Loan Tape'!$AN302=0,0,IF('Loan Tape'!$K302="Floating",MIN(IF('Loan Tape'!$P302="",10,'Loan Tape'!$P302),MAX(IF('Loan Tape'!$Q302="",0,'Loan Tape'!$Q302),INDEX(Idx_Curve,1,9)+'Loan Tape'!$M302)),IF('Loan Tape'!$L302="",0,'Loan Tape'!$L302)))</f>
        <v>0</v>
      </c>
      <c r="L609" s="104" t="n">
        <f aca="false">IF('Loan Tape'!$AN302=0,0,IF('Loan Tape'!$K302="Floating",MIN(IF('Loan Tape'!$P302="",10,'Loan Tape'!$P302),MAX(IF('Loan Tape'!$Q302="",0,'Loan Tape'!$Q302),INDEX(Idx_Curve,1,10)+'Loan Tape'!$M302)),IF('Loan Tape'!$L302="",0,'Loan Tape'!$L302)))</f>
        <v>0</v>
      </c>
    </row>
    <row r="610" customFormat="false" ht="15" hidden="false" customHeight="false" outlineLevel="0" collapsed="false">
      <c r="B610" s="108" t="n">
        <f aca="false">'Loan Tape'!$A303</f>
        <v>0</v>
      </c>
      <c r="C610" s="56" t="n">
        <f aca="false">IF('Loan Tape'!$AN303=0,0,IF('Loan Tape'!$K303="Floating",MIN(IF('Loan Tape'!$P303="",10,'Loan Tape'!$P303),MAX(IF('Loan Tape'!$Q303="",0,'Loan Tape'!$Q303),INDEX(Idx_Curve,1,1)+'Loan Tape'!$M303)),IF('Loan Tape'!$L303="",0,'Loan Tape'!$L303)))</f>
        <v>0</v>
      </c>
      <c r="D610" s="56" t="n">
        <f aca="false">IF('Loan Tape'!$AN303=0,0,IF('Loan Tape'!$K303="Floating",MIN(IF('Loan Tape'!$P303="",10,'Loan Tape'!$P303),MAX(IF('Loan Tape'!$Q303="",0,'Loan Tape'!$Q303),INDEX(Idx_Curve,1,2)+'Loan Tape'!$M303)),IF('Loan Tape'!$L303="",0,'Loan Tape'!$L303)))</f>
        <v>0</v>
      </c>
      <c r="E610" s="56" t="n">
        <f aca="false">IF('Loan Tape'!$AN303=0,0,IF('Loan Tape'!$K303="Floating",MIN(IF('Loan Tape'!$P303="",10,'Loan Tape'!$P303),MAX(IF('Loan Tape'!$Q303="",0,'Loan Tape'!$Q303),INDEX(Idx_Curve,1,3)+'Loan Tape'!$M303)),IF('Loan Tape'!$L303="",0,'Loan Tape'!$L303)))</f>
        <v>0</v>
      </c>
      <c r="F610" s="56" t="n">
        <f aca="false">IF('Loan Tape'!$AN303=0,0,IF('Loan Tape'!$K303="Floating",MIN(IF('Loan Tape'!$P303="",10,'Loan Tape'!$P303),MAX(IF('Loan Tape'!$Q303="",0,'Loan Tape'!$Q303),INDEX(Idx_Curve,1,4)+'Loan Tape'!$M303)),IF('Loan Tape'!$L303="",0,'Loan Tape'!$L303)))</f>
        <v>0</v>
      </c>
      <c r="G610" s="56" t="n">
        <f aca="false">IF('Loan Tape'!$AN303=0,0,IF('Loan Tape'!$K303="Floating",MIN(IF('Loan Tape'!$P303="",10,'Loan Tape'!$P303),MAX(IF('Loan Tape'!$Q303="",0,'Loan Tape'!$Q303),INDEX(Idx_Curve,1,5)+'Loan Tape'!$M303)),IF('Loan Tape'!$L303="",0,'Loan Tape'!$L303)))</f>
        <v>0</v>
      </c>
      <c r="H610" s="56" t="n">
        <f aca="false">IF('Loan Tape'!$AN303=0,0,IF('Loan Tape'!$K303="Floating",MIN(IF('Loan Tape'!$P303="",10,'Loan Tape'!$P303),MAX(IF('Loan Tape'!$Q303="",0,'Loan Tape'!$Q303),INDEX(Idx_Curve,1,6)+'Loan Tape'!$M303)),IF('Loan Tape'!$L303="",0,'Loan Tape'!$L303)))</f>
        <v>0</v>
      </c>
      <c r="I610" s="56" t="n">
        <f aca="false">IF('Loan Tape'!$AN303=0,0,IF('Loan Tape'!$K303="Floating",MIN(IF('Loan Tape'!$P303="",10,'Loan Tape'!$P303),MAX(IF('Loan Tape'!$Q303="",0,'Loan Tape'!$Q303),INDEX(Idx_Curve,1,7)+'Loan Tape'!$M303)),IF('Loan Tape'!$L303="",0,'Loan Tape'!$L303)))</f>
        <v>0</v>
      </c>
      <c r="J610" s="56" t="n">
        <f aca="false">IF('Loan Tape'!$AN303=0,0,IF('Loan Tape'!$K303="Floating",MIN(IF('Loan Tape'!$P303="",10,'Loan Tape'!$P303),MAX(IF('Loan Tape'!$Q303="",0,'Loan Tape'!$Q303),INDEX(Idx_Curve,1,8)+'Loan Tape'!$M303)),IF('Loan Tape'!$L303="",0,'Loan Tape'!$L303)))</f>
        <v>0</v>
      </c>
      <c r="K610" s="56" t="n">
        <f aca="false">IF('Loan Tape'!$AN303=0,0,IF('Loan Tape'!$K303="Floating",MIN(IF('Loan Tape'!$P303="",10,'Loan Tape'!$P303),MAX(IF('Loan Tape'!$Q303="",0,'Loan Tape'!$Q303),INDEX(Idx_Curve,1,9)+'Loan Tape'!$M303)),IF('Loan Tape'!$L303="",0,'Loan Tape'!$L303)))</f>
        <v>0</v>
      </c>
      <c r="L610" s="56" t="n">
        <f aca="false">IF('Loan Tape'!$AN303=0,0,IF('Loan Tape'!$K303="Floating",MIN(IF('Loan Tape'!$P303="",10,'Loan Tape'!$P303),MAX(IF('Loan Tape'!$Q303="",0,'Loan Tape'!$Q303),INDEX(Idx_Curve,1,10)+'Loan Tape'!$M303)),IF('Loan Tape'!$L303="",0,'Loan Tape'!$L303)))</f>
        <v>0</v>
      </c>
    </row>
    <row r="612" customFormat="false" ht="18" hidden="false" customHeight="true" outlineLevel="0" collapsed="false">
      <c r="B612" s="5" t="s">
        <v>581</v>
      </c>
      <c r="C612" s="5"/>
      <c r="D612" s="5"/>
      <c r="E612" s="5"/>
      <c r="F612" s="5"/>
      <c r="G612" s="5"/>
      <c r="H612" s="5"/>
      <c r="I612" s="5"/>
      <c r="J612" s="5"/>
      <c r="K612" s="5"/>
      <c r="L612" s="5"/>
      <c r="N612" s="30" t="s">
        <v>582</v>
      </c>
    </row>
    <row r="613" customFormat="false" ht="15.75" hidden="false" customHeight="true" outlineLevel="0" collapsed="false">
      <c r="B613" s="54" t="s">
        <v>148</v>
      </c>
      <c r="C613" s="55" t="n">
        <v>1</v>
      </c>
      <c r="D613" s="55" t="n">
        <v>2</v>
      </c>
      <c r="E613" s="55" t="n">
        <v>3</v>
      </c>
      <c r="F613" s="55" t="n">
        <v>4</v>
      </c>
      <c r="G613" s="55" t="n">
        <v>5</v>
      </c>
      <c r="H613" s="55" t="n">
        <v>6</v>
      </c>
      <c r="I613" s="55" t="n">
        <v>7</v>
      </c>
      <c r="J613" s="55" t="n">
        <v>8</v>
      </c>
      <c r="K613" s="55" t="n">
        <v>9</v>
      </c>
      <c r="L613" s="55" t="n">
        <v>10</v>
      </c>
    </row>
    <row r="614" customFormat="false" ht="15" hidden="false" customHeight="false" outlineLevel="0" collapsed="false">
      <c r="B614" s="102" t="str">
        <f aca="false">'Loan Tape'!$A4</f>
        <v>L-001</v>
      </c>
      <c r="C614" s="99" t="n">
        <f aca="false">MIN(C8,C8*CDR*MAX(0,MIN(1,'Loan Tape'!$AV4)-0))</f>
        <v>163100</v>
      </c>
      <c r="D614" s="99" t="n">
        <f aca="false">MIN(D8,D8*CDR*MAX(0,MIN(2,'Loan Tape'!$AV4)-1))</f>
        <v>0</v>
      </c>
      <c r="E614" s="99" t="n">
        <f aca="false">MIN(E8,E8*CDR*MAX(0,MIN(3,'Loan Tape'!$AV4)-2))</f>
        <v>0</v>
      </c>
      <c r="F614" s="99" t="n">
        <f aca="false">MIN(F8,F8*CDR*MAX(0,MIN(4,'Loan Tape'!$AV4)-3))</f>
        <v>0</v>
      </c>
      <c r="G614" s="99" t="n">
        <f aca="false">MIN(G8,G8*CDR*MAX(0,MIN(5,'Loan Tape'!$AV4)-4))</f>
        <v>0</v>
      </c>
      <c r="H614" s="99" t="n">
        <f aca="false">MIN(H8,H8*CDR*MAX(0,MIN(6,'Loan Tape'!$AV4)-5))</f>
        <v>0</v>
      </c>
      <c r="I614" s="99" t="n">
        <f aca="false">MIN(I8,I8*CDR*MAX(0,MIN(7,'Loan Tape'!$AV4)-6))</f>
        <v>0</v>
      </c>
      <c r="J614" s="99" t="n">
        <f aca="false">MIN(J8,J8*CDR*MAX(0,MIN(8,'Loan Tape'!$AV4)-7))</f>
        <v>0</v>
      </c>
      <c r="K614" s="99" t="n">
        <f aca="false">MIN(K8,K8*CDR*MAX(0,MIN(9,'Loan Tape'!$AV4)-8))</f>
        <v>0</v>
      </c>
      <c r="L614" s="99" t="n">
        <f aca="false">MIN(L8,L8*CDR*MAX(0,MIN(10,'Loan Tape'!$AV4)-9))</f>
        <v>0</v>
      </c>
    </row>
    <row r="615" customFormat="false" ht="15" hidden="false" customHeight="false" outlineLevel="0" collapsed="false">
      <c r="B615" s="108" t="str">
        <f aca="false">'Loan Tape'!$A5</f>
        <v>L-002</v>
      </c>
      <c r="C615" s="71" t="n">
        <f aca="false">MIN(C9,C9*CDR*MAX(0,MIN(1,'Loan Tape'!$AV5)-0))</f>
        <v>213740</v>
      </c>
      <c r="D615" s="71" t="n">
        <f aca="false">MIN(D9,D9*CDR*MAX(0,MIN(2,'Loan Tape'!$AV5)-1))</f>
        <v>137335.988931403</v>
      </c>
      <c r="E615" s="71" t="n">
        <f aca="false">MIN(E9,E9*CDR*MAX(0,MIN(3,'Loan Tape'!$AV5)-2))</f>
        <v>0</v>
      </c>
      <c r="F615" s="71" t="n">
        <f aca="false">MIN(F9,F9*CDR*MAX(0,MIN(4,'Loan Tape'!$AV5)-3))</f>
        <v>0</v>
      </c>
      <c r="G615" s="71" t="n">
        <f aca="false">MIN(G9,G9*CDR*MAX(0,MIN(5,'Loan Tape'!$AV5)-4))</f>
        <v>0</v>
      </c>
      <c r="H615" s="71" t="n">
        <f aca="false">MIN(H9,H9*CDR*MAX(0,MIN(6,'Loan Tape'!$AV5)-5))</f>
        <v>0</v>
      </c>
      <c r="I615" s="71" t="n">
        <f aca="false">MIN(I9,I9*CDR*MAX(0,MIN(7,'Loan Tape'!$AV5)-6))</f>
        <v>0</v>
      </c>
      <c r="J615" s="71" t="n">
        <f aca="false">MIN(J9,J9*CDR*MAX(0,MIN(8,'Loan Tape'!$AV5)-7))</f>
        <v>0</v>
      </c>
      <c r="K615" s="71" t="n">
        <f aca="false">MIN(K9,K9*CDR*MAX(0,MIN(9,'Loan Tape'!$AV5)-8))</f>
        <v>0</v>
      </c>
      <c r="L615" s="71" t="n">
        <f aca="false">MIN(L9,L9*CDR*MAX(0,MIN(10,'Loan Tape'!$AV5)-9))</f>
        <v>0</v>
      </c>
    </row>
    <row r="616" customFormat="false" ht="15" hidden="false" customHeight="false" outlineLevel="0" collapsed="false">
      <c r="B616" s="102" t="str">
        <f aca="false">'Loan Tape'!$A6</f>
        <v>L-003</v>
      </c>
      <c r="C616" s="99" t="n">
        <f aca="false">MIN(C10,C10*CDR*MAX(0,MIN(1,'Loan Tape'!$AV6)-0))</f>
        <v>2384580</v>
      </c>
      <c r="D616" s="99" t="n">
        <f aca="false">MIN(D10,D10*CDR*MAX(0,MIN(2,'Loan Tape'!$AV6)-1))</f>
        <v>2069247.39359328</v>
      </c>
      <c r="E616" s="99" t="n">
        <f aca="false">MIN(E10,E10*CDR*MAX(0,MIN(3,'Loan Tape'!$AV6)-2))</f>
        <v>1791090.53921794</v>
      </c>
      <c r="F616" s="99" t="n">
        <f aca="false">MIN(F10,F10*CDR*MAX(0,MIN(4,'Loan Tape'!$AV6)-3))</f>
        <v>1035110.43726722</v>
      </c>
      <c r="G616" s="99" t="n">
        <f aca="false">MIN(G10,G10*CDR*MAX(0,MIN(5,'Loan Tape'!$AV6)-4))</f>
        <v>0</v>
      </c>
      <c r="H616" s="99" t="n">
        <f aca="false">MIN(H10,H10*CDR*MAX(0,MIN(6,'Loan Tape'!$AV6)-5))</f>
        <v>0</v>
      </c>
      <c r="I616" s="99" t="n">
        <f aca="false">MIN(I10,I10*CDR*MAX(0,MIN(7,'Loan Tape'!$AV6)-6))</f>
        <v>0</v>
      </c>
      <c r="J616" s="99" t="n">
        <f aca="false">MIN(J10,J10*CDR*MAX(0,MIN(8,'Loan Tape'!$AV6)-7))</f>
        <v>0</v>
      </c>
      <c r="K616" s="99" t="n">
        <f aca="false">MIN(K10,K10*CDR*MAX(0,MIN(9,'Loan Tape'!$AV6)-8))</f>
        <v>0</v>
      </c>
      <c r="L616" s="99" t="n">
        <f aca="false">MIN(L10,L10*CDR*MAX(0,MIN(10,'Loan Tape'!$AV6)-9))</f>
        <v>0</v>
      </c>
    </row>
    <row r="617" customFormat="false" ht="15" hidden="false" customHeight="false" outlineLevel="0" collapsed="false">
      <c r="B617" s="108" t="str">
        <f aca="false">'Loan Tape'!$A7</f>
        <v>L-004</v>
      </c>
      <c r="C617" s="71" t="n">
        <f aca="false">MIN(C11,C11*CDR*MAX(0,MIN(1,'Loan Tape'!$AV7)-0))</f>
        <v>920840</v>
      </c>
      <c r="D617" s="71" t="n">
        <f aca="false">MIN(D11,D11*CDR*MAX(0,MIN(2,'Loan Tape'!$AV7)-1))</f>
        <v>728224.904128695</v>
      </c>
      <c r="E617" s="71" t="n">
        <f aca="false">MIN(E11,E11*CDR*MAX(0,MIN(3,'Loan Tape'!$AV7)-2))</f>
        <v>0</v>
      </c>
      <c r="F617" s="71" t="n">
        <f aca="false">MIN(F11,F11*CDR*MAX(0,MIN(4,'Loan Tape'!$AV7)-3))</f>
        <v>0</v>
      </c>
      <c r="G617" s="71" t="n">
        <f aca="false">MIN(G11,G11*CDR*MAX(0,MIN(5,'Loan Tape'!$AV7)-4))</f>
        <v>0</v>
      </c>
      <c r="H617" s="71" t="n">
        <f aca="false">MIN(H11,H11*CDR*MAX(0,MIN(6,'Loan Tape'!$AV7)-5))</f>
        <v>0</v>
      </c>
      <c r="I617" s="71" t="n">
        <f aca="false">MIN(I11,I11*CDR*MAX(0,MIN(7,'Loan Tape'!$AV7)-6))</f>
        <v>0</v>
      </c>
      <c r="J617" s="71" t="n">
        <f aca="false">MIN(J11,J11*CDR*MAX(0,MIN(8,'Loan Tape'!$AV7)-7))</f>
        <v>0</v>
      </c>
      <c r="K617" s="71" t="n">
        <f aca="false">MIN(K11,K11*CDR*MAX(0,MIN(9,'Loan Tape'!$AV7)-8))</f>
        <v>0</v>
      </c>
      <c r="L617" s="71" t="n">
        <f aca="false">MIN(L11,L11*CDR*MAX(0,MIN(10,'Loan Tape'!$AV7)-9))</f>
        <v>0</v>
      </c>
    </row>
    <row r="618" customFormat="false" ht="15" hidden="false" customHeight="false" outlineLevel="0" collapsed="false">
      <c r="B618" s="102" t="str">
        <f aca="false">'Loan Tape'!$A8</f>
        <v>L-005</v>
      </c>
      <c r="C618" s="99" t="n">
        <f aca="false">MIN(C12,C12*CDR*MAX(0,MIN(1,'Loan Tape'!$AV8)-0))</f>
        <v>2353920</v>
      </c>
      <c r="D618" s="99" t="n">
        <f aca="false">MIN(D12,D12*CDR*MAX(0,MIN(2,'Loan Tape'!$AV8)-1))</f>
        <v>0</v>
      </c>
      <c r="E618" s="99" t="n">
        <f aca="false">MIN(E12,E12*CDR*MAX(0,MIN(3,'Loan Tape'!$AV8)-2))</f>
        <v>0</v>
      </c>
      <c r="F618" s="99" t="n">
        <f aca="false">MIN(F12,F12*CDR*MAX(0,MIN(4,'Loan Tape'!$AV8)-3))</f>
        <v>0</v>
      </c>
      <c r="G618" s="99" t="n">
        <f aca="false">MIN(G12,G12*CDR*MAX(0,MIN(5,'Loan Tape'!$AV8)-4))</f>
        <v>0</v>
      </c>
      <c r="H618" s="99" t="n">
        <f aca="false">MIN(H12,H12*CDR*MAX(0,MIN(6,'Loan Tape'!$AV8)-5))</f>
        <v>0</v>
      </c>
      <c r="I618" s="99" t="n">
        <f aca="false">MIN(I12,I12*CDR*MAX(0,MIN(7,'Loan Tape'!$AV8)-6))</f>
        <v>0</v>
      </c>
      <c r="J618" s="99" t="n">
        <f aca="false">MIN(J12,J12*CDR*MAX(0,MIN(8,'Loan Tape'!$AV8)-7))</f>
        <v>0</v>
      </c>
      <c r="K618" s="99" t="n">
        <f aca="false">MIN(K12,K12*CDR*MAX(0,MIN(9,'Loan Tape'!$AV8)-8))</f>
        <v>0</v>
      </c>
      <c r="L618" s="99" t="n">
        <f aca="false">MIN(L12,L12*CDR*MAX(0,MIN(10,'Loan Tape'!$AV8)-9))</f>
        <v>0</v>
      </c>
    </row>
    <row r="619" customFormat="false" ht="15" hidden="false" customHeight="false" outlineLevel="0" collapsed="false">
      <c r="B619" s="108" t="str">
        <f aca="false">'Loan Tape'!$A9</f>
        <v>L-006</v>
      </c>
      <c r="C619" s="71" t="n">
        <f aca="false">MIN(C13,C13*CDR*MAX(0,MIN(1,'Loan Tape'!$AV9)-0))</f>
        <v>1152160</v>
      </c>
      <c r="D619" s="71" t="n">
        <f aca="false">MIN(D13,D13*CDR*MAX(0,MIN(2,'Loan Tape'!$AV9)-1))</f>
        <v>578201.764527923</v>
      </c>
      <c r="E619" s="71" t="n">
        <f aca="false">MIN(E13,E13*CDR*MAX(0,MIN(3,'Loan Tape'!$AV9)-2))</f>
        <v>0</v>
      </c>
      <c r="F619" s="71" t="n">
        <f aca="false">MIN(F13,F13*CDR*MAX(0,MIN(4,'Loan Tape'!$AV9)-3))</f>
        <v>0</v>
      </c>
      <c r="G619" s="71" t="n">
        <f aca="false">MIN(G13,G13*CDR*MAX(0,MIN(5,'Loan Tape'!$AV9)-4))</f>
        <v>0</v>
      </c>
      <c r="H619" s="71" t="n">
        <f aca="false">MIN(H13,H13*CDR*MAX(0,MIN(6,'Loan Tape'!$AV9)-5))</f>
        <v>0</v>
      </c>
      <c r="I619" s="71" t="n">
        <f aca="false">MIN(I13,I13*CDR*MAX(0,MIN(7,'Loan Tape'!$AV9)-6))</f>
        <v>0</v>
      </c>
      <c r="J619" s="71" t="n">
        <f aca="false">MIN(J13,J13*CDR*MAX(0,MIN(8,'Loan Tape'!$AV9)-7))</f>
        <v>0</v>
      </c>
      <c r="K619" s="71" t="n">
        <f aca="false">MIN(K13,K13*CDR*MAX(0,MIN(9,'Loan Tape'!$AV9)-8))</f>
        <v>0</v>
      </c>
      <c r="L619" s="71" t="n">
        <f aca="false">MIN(L13,L13*CDR*MAX(0,MIN(10,'Loan Tape'!$AV9)-9))</f>
        <v>0</v>
      </c>
    </row>
    <row r="620" customFormat="false" ht="15" hidden="false" customHeight="false" outlineLevel="0" collapsed="false">
      <c r="B620" s="102" t="str">
        <f aca="false">'Loan Tape'!$A10</f>
        <v>L-007</v>
      </c>
      <c r="C620" s="99" t="n">
        <f aca="false">MIN(C14,C14*CDR*MAX(0,MIN(1,'Loan Tape'!$AV10)-0))</f>
        <v>90480</v>
      </c>
      <c r="D620" s="99" t="n">
        <f aca="false">MIN(D14,D14*CDR*MAX(0,MIN(2,'Loan Tape'!$AV10)-1))</f>
        <v>79622.4</v>
      </c>
      <c r="E620" s="99" t="n">
        <f aca="false">MIN(E14,E14*CDR*MAX(0,MIN(3,'Loan Tape'!$AV10)-2))</f>
        <v>70067.712</v>
      </c>
      <c r="F620" s="99" t="n">
        <f aca="false">MIN(F14,F14*CDR*MAX(0,MIN(4,'Loan Tape'!$AV10)-3))</f>
        <v>61659.58656</v>
      </c>
      <c r="G620" s="99" t="n">
        <f aca="false">MIN(G14,G14*CDR*MAX(0,MIN(5,'Loan Tape'!$AV10)-4))</f>
        <v>54260.4361728</v>
      </c>
      <c r="H620" s="99" t="n">
        <f aca="false">MIN(H14,H14*CDR*MAX(0,MIN(6,'Loan Tape'!$AV10)-5))</f>
        <v>0</v>
      </c>
      <c r="I620" s="99" t="n">
        <f aca="false">MIN(I14,I14*CDR*MAX(0,MIN(7,'Loan Tape'!$AV10)-6))</f>
        <v>0</v>
      </c>
      <c r="J620" s="99" t="n">
        <f aca="false">MIN(J14,J14*CDR*MAX(0,MIN(8,'Loan Tape'!$AV10)-7))</f>
        <v>0</v>
      </c>
      <c r="K620" s="99" t="n">
        <f aca="false">MIN(K14,K14*CDR*MAX(0,MIN(9,'Loan Tape'!$AV10)-8))</f>
        <v>0</v>
      </c>
      <c r="L620" s="99" t="n">
        <f aca="false">MIN(L14,L14*CDR*MAX(0,MIN(10,'Loan Tape'!$AV10)-9))</f>
        <v>0</v>
      </c>
    </row>
    <row r="621" customFormat="false" ht="15" hidden="false" customHeight="false" outlineLevel="0" collapsed="false">
      <c r="B621" s="108" t="str">
        <f aca="false">'Loan Tape'!$A11</f>
        <v>L-008</v>
      </c>
      <c r="C621" s="71" t="n">
        <f aca="false">MIN(C15,C15*CDR*MAX(0,MIN(1,'Loan Tape'!$AV11)-0))</f>
        <v>966620</v>
      </c>
      <c r="D621" s="71" t="n">
        <f aca="false">MIN(D15,D15*CDR*MAX(0,MIN(2,'Loan Tape'!$AV11)-1))</f>
        <v>835555.950720186</v>
      </c>
      <c r="E621" s="71" t="n">
        <f aca="false">MIN(E15,E15*CDR*MAX(0,MIN(3,'Loan Tape'!$AV11)-2))</f>
        <v>720044.981073441</v>
      </c>
      <c r="F621" s="71" t="n">
        <f aca="false">MIN(F15,F15*CDR*MAX(0,MIN(4,'Loan Tape'!$AV11)-3))</f>
        <v>257829.580440837</v>
      </c>
      <c r="G621" s="71" t="n">
        <f aca="false">MIN(G15,G15*CDR*MAX(0,MIN(5,'Loan Tape'!$AV11)-4))</f>
        <v>0</v>
      </c>
      <c r="H621" s="71" t="n">
        <f aca="false">MIN(H15,H15*CDR*MAX(0,MIN(6,'Loan Tape'!$AV11)-5))</f>
        <v>0</v>
      </c>
      <c r="I621" s="71" t="n">
        <f aca="false">MIN(I15,I15*CDR*MAX(0,MIN(7,'Loan Tape'!$AV11)-6))</f>
        <v>0</v>
      </c>
      <c r="J621" s="71" t="n">
        <f aca="false">MIN(J15,J15*CDR*MAX(0,MIN(8,'Loan Tape'!$AV11)-7))</f>
        <v>0</v>
      </c>
      <c r="K621" s="71" t="n">
        <f aca="false">MIN(K15,K15*CDR*MAX(0,MIN(9,'Loan Tape'!$AV11)-8))</f>
        <v>0</v>
      </c>
      <c r="L621" s="71" t="n">
        <f aca="false">MIN(L15,L15*CDR*MAX(0,MIN(10,'Loan Tape'!$AV11)-9))</f>
        <v>0</v>
      </c>
    </row>
    <row r="622" customFormat="false" ht="15" hidden="false" customHeight="false" outlineLevel="0" collapsed="false">
      <c r="B622" s="102" t="str">
        <f aca="false">'Loan Tape'!$A12</f>
        <v>L-009</v>
      </c>
      <c r="C622" s="99" t="n">
        <f aca="false">MIN(C16,C16*CDR*MAX(0,MIN(1,'Loan Tape'!$AV12)-0))</f>
        <v>328300</v>
      </c>
      <c r="D622" s="99" t="n">
        <f aca="false">MIN(D16,D16*CDR*MAX(0,MIN(2,'Loan Tape'!$AV12)-1))</f>
        <v>288904</v>
      </c>
      <c r="E622" s="99" t="n">
        <f aca="false">MIN(E16,E16*CDR*MAX(0,MIN(3,'Loan Tape'!$AV12)-2))</f>
        <v>254235.52</v>
      </c>
      <c r="F622" s="99" t="n">
        <f aca="false">MIN(F16,F16*CDR*MAX(0,MIN(4,'Loan Tape'!$AV12)-3))</f>
        <v>219684.023577091</v>
      </c>
      <c r="G622" s="99" t="n">
        <f aca="false">MIN(G16,G16*CDR*MAX(0,MIN(5,'Loan Tape'!$AV12)-4))</f>
        <v>188334.728955634</v>
      </c>
      <c r="H622" s="99" t="n">
        <f aca="false">MIN(H16,H16*CDR*MAX(0,MIN(6,'Loan Tape'!$AV12)-5))</f>
        <v>0</v>
      </c>
      <c r="I622" s="99" t="n">
        <f aca="false">MIN(I16,I16*CDR*MAX(0,MIN(7,'Loan Tape'!$AV12)-6))</f>
        <v>0</v>
      </c>
      <c r="J622" s="99" t="n">
        <f aca="false">MIN(J16,J16*CDR*MAX(0,MIN(8,'Loan Tape'!$AV12)-7))</f>
        <v>0</v>
      </c>
      <c r="K622" s="99" t="n">
        <f aca="false">MIN(K16,K16*CDR*MAX(0,MIN(9,'Loan Tape'!$AV12)-8))</f>
        <v>0</v>
      </c>
      <c r="L622" s="99" t="n">
        <f aca="false">MIN(L16,L16*CDR*MAX(0,MIN(10,'Loan Tape'!$AV12)-9))</f>
        <v>0</v>
      </c>
    </row>
    <row r="623" customFormat="false" ht="15" hidden="false" customHeight="false" outlineLevel="0" collapsed="false">
      <c r="B623" s="108" t="str">
        <f aca="false">'Loan Tape'!$A13</f>
        <v>L-010</v>
      </c>
      <c r="C623" s="71" t="n">
        <f aca="false">MIN(C17,C17*CDR*MAX(0,MIN(1,'Loan Tape'!$AV13)-0))</f>
        <v>901120</v>
      </c>
      <c r="D623" s="71" t="n">
        <f aca="false">MIN(D17,D17*CDR*MAX(0,MIN(2,'Loan Tape'!$AV13)-1))</f>
        <v>0</v>
      </c>
      <c r="E623" s="71" t="n">
        <f aca="false">MIN(E17,E17*CDR*MAX(0,MIN(3,'Loan Tape'!$AV13)-2))</f>
        <v>0</v>
      </c>
      <c r="F623" s="71" t="n">
        <f aca="false">MIN(F17,F17*CDR*MAX(0,MIN(4,'Loan Tape'!$AV13)-3))</f>
        <v>0</v>
      </c>
      <c r="G623" s="71" t="n">
        <f aca="false">MIN(G17,G17*CDR*MAX(0,MIN(5,'Loan Tape'!$AV13)-4))</f>
        <v>0</v>
      </c>
      <c r="H623" s="71" t="n">
        <f aca="false">MIN(H17,H17*CDR*MAX(0,MIN(6,'Loan Tape'!$AV13)-5))</f>
        <v>0</v>
      </c>
      <c r="I623" s="71" t="n">
        <f aca="false">MIN(I17,I17*CDR*MAX(0,MIN(7,'Loan Tape'!$AV13)-6))</f>
        <v>0</v>
      </c>
      <c r="J623" s="71" t="n">
        <f aca="false">MIN(J17,J17*CDR*MAX(0,MIN(8,'Loan Tape'!$AV13)-7))</f>
        <v>0</v>
      </c>
      <c r="K623" s="71" t="n">
        <f aca="false">MIN(K17,K17*CDR*MAX(0,MIN(9,'Loan Tape'!$AV13)-8))</f>
        <v>0</v>
      </c>
      <c r="L623" s="71" t="n">
        <f aca="false">MIN(L17,L17*CDR*MAX(0,MIN(10,'Loan Tape'!$AV13)-9))</f>
        <v>0</v>
      </c>
    </row>
    <row r="624" customFormat="false" ht="15" hidden="false" customHeight="false" outlineLevel="0" collapsed="false">
      <c r="B624" s="102" t="str">
        <f aca="false">'Loan Tape'!$A14</f>
        <v>L-011</v>
      </c>
      <c r="C624" s="99" t="n">
        <f aca="false">MIN(C18,C18*CDR*MAX(0,MIN(1,'Loan Tape'!$AV14)-0))</f>
        <v>554200</v>
      </c>
      <c r="D624" s="99" t="n">
        <f aca="false">MIN(D18,D18*CDR*MAX(0,MIN(2,'Loan Tape'!$AV14)-1))</f>
        <v>479614.110936132</v>
      </c>
      <c r="E624" s="99" t="n">
        <f aca="false">MIN(E18,E18*CDR*MAX(0,MIN(3,'Loan Tape'!$AV14)-2))</f>
        <v>413904.269129798</v>
      </c>
      <c r="F624" s="99" t="n">
        <f aca="false">MIN(F18,F18*CDR*MAX(0,MIN(4,'Loan Tape'!$AV14)-3))</f>
        <v>356188.265456881</v>
      </c>
      <c r="G624" s="99" t="n">
        <f aca="false">MIN(G18,G18*CDR*MAX(0,MIN(5,'Loan Tape'!$AV14)-4))</f>
        <v>305759.790612132</v>
      </c>
      <c r="H624" s="99" t="n">
        <f aca="false">MIN(H18,H18*CDR*MAX(0,MIN(6,'Loan Tape'!$AV14)-5))</f>
        <v>0</v>
      </c>
      <c r="I624" s="99" t="n">
        <f aca="false">MIN(I18,I18*CDR*MAX(0,MIN(7,'Loan Tape'!$AV14)-6))</f>
        <v>0</v>
      </c>
      <c r="J624" s="99" t="n">
        <f aca="false">MIN(J18,J18*CDR*MAX(0,MIN(8,'Loan Tape'!$AV14)-7))</f>
        <v>0</v>
      </c>
      <c r="K624" s="99" t="n">
        <f aca="false">MIN(K18,K18*CDR*MAX(0,MIN(9,'Loan Tape'!$AV14)-8))</f>
        <v>0</v>
      </c>
      <c r="L624" s="99" t="n">
        <f aca="false">MIN(L18,L18*CDR*MAX(0,MIN(10,'Loan Tape'!$AV14)-9))</f>
        <v>0</v>
      </c>
    </row>
    <row r="625" customFormat="false" ht="15" hidden="false" customHeight="false" outlineLevel="0" collapsed="false">
      <c r="B625" s="108" t="str">
        <f aca="false">'Loan Tape'!$A15</f>
        <v>L-012</v>
      </c>
      <c r="C625" s="71" t="n">
        <f aca="false">MIN(C19,C19*CDR*MAX(0,MIN(1,'Loan Tape'!$AV15)-0))</f>
        <v>113080</v>
      </c>
      <c r="D625" s="71" t="n">
        <f aca="false">MIN(D19,D19*CDR*MAX(0,MIN(2,'Loan Tape'!$AV15)-1))</f>
        <v>56612.8425957705</v>
      </c>
      <c r="E625" s="71" t="n">
        <f aca="false">MIN(E19,E19*CDR*MAX(0,MIN(3,'Loan Tape'!$AV15)-2))</f>
        <v>0</v>
      </c>
      <c r="F625" s="71" t="n">
        <f aca="false">MIN(F19,F19*CDR*MAX(0,MIN(4,'Loan Tape'!$AV15)-3))</f>
        <v>0</v>
      </c>
      <c r="G625" s="71" t="n">
        <f aca="false">MIN(G19,G19*CDR*MAX(0,MIN(5,'Loan Tape'!$AV15)-4))</f>
        <v>0</v>
      </c>
      <c r="H625" s="71" t="n">
        <f aca="false">MIN(H19,H19*CDR*MAX(0,MIN(6,'Loan Tape'!$AV15)-5))</f>
        <v>0</v>
      </c>
      <c r="I625" s="71" t="n">
        <f aca="false">MIN(I19,I19*CDR*MAX(0,MIN(7,'Loan Tape'!$AV15)-6))</f>
        <v>0</v>
      </c>
      <c r="J625" s="71" t="n">
        <f aca="false">MIN(J19,J19*CDR*MAX(0,MIN(8,'Loan Tape'!$AV15)-7))</f>
        <v>0</v>
      </c>
      <c r="K625" s="71" t="n">
        <f aca="false">MIN(K19,K19*CDR*MAX(0,MIN(9,'Loan Tape'!$AV15)-8))</f>
        <v>0</v>
      </c>
      <c r="L625" s="71" t="n">
        <f aca="false">MIN(L19,L19*CDR*MAX(0,MIN(10,'Loan Tape'!$AV15)-9))</f>
        <v>0</v>
      </c>
    </row>
    <row r="626" customFormat="false" ht="15" hidden="false" customHeight="false" outlineLevel="0" collapsed="false">
      <c r="B626" s="102" t="str">
        <f aca="false">'Loan Tape'!$A16</f>
        <v>L-013</v>
      </c>
      <c r="C626" s="99" t="n">
        <f aca="false">MIN(C20,C20*CDR*MAX(0,MIN(1,'Loan Tape'!$AV16)-0))</f>
        <v>1708900</v>
      </c>
      <c r="D626" s="99" t="n">
        <f aca="false">MIN(D20,D20*CDR*MAX(0,MIN(2,'Loan Tape'!$AV16)-1))</f>
        <v>1478725.17885016</v>
      </c>
      <c r="E626" s="99" t="n">
        <f aca="false">MIN(E20,E20*CDR*MAX(0,MIN(3,'Loan Tape'!$AV16)-2))</f>
        <v>1277784.86385601</v>
      </c>
      <c r="F626" s="99" t="n">
        <f aca="false">MIN(F20,F20*CDR*MAX(0,MIN(4,'Loan Tape'!$AV16)-3))</f>
        <v>1102470.92270263</v>
      </c>
      <c r="G626" s="99" t="n">
        <f aca="false">MIN(G20,G20*CDR*MAX(0,MIN(5,'Loan Tape'!$AV16)-4))</f>
        <v>713023.344672782</v>
      </c>
      <c r="H626" s="99" t="n">
        <f aca="false">MIN(H20,H20*CDR*MAX(0,MIN(6,'Loan Tape'!$AV16)-5))</f>
        <v>0</v>
      </c>
      <c r="I626" s="99" t="n">
        <f aca="false">MIN(I20,I20*CDR*MAX(0,MIN(7,'Loan Tape'!$AV16)-6))</f>
        <v>0</v>
      </c>
      <c r="J626" s="99" t="n">
        <f aca="false">MIN(J20,J20*CDR*MAX(0,MIN(8,'Loan Tape'!$AV16)-7))</f>
        <v>0</v>
      </c>
      <c r="K626" s="99" t="n">
        <f aca="false">MIN(K20,K20*CDR*MAX(0,MIN(9,'Loan Tape'!$AV16)-8))</f>
        <v>0</v>
      </c>
      <c r="L626" s="99" t="n">
        <f aca="false">MIN(L20,L20*CDR*MAX(0,MIN(10,'Loan Tape'!$AV16)-9))</f>
        <v>0</v>
      </c>
    </row>
    <row r="627" customFormat="false" ht="15" hidden="false" customHeight="false" outlineLevel="0" collapsed="false">
      <c r="B627" s="108" t="str">
        <f aca="false">'Loan Tape'!$A17</f>
        <v>L-014</v>
      </c>
      <c r="C627" s="71" t="n">
        <f aca="false">MIN(C21,C21*CDR*MAX(0,MIN(1,'Loan Tape'!$AV17)-0))</f>
        <v>2565820</v>
      </c>
      <c r="D627" s="71" t="n">
        <f aca="false">MIN(D21,D21*CDR*MAX(0,MIN(2,'Loan Tape'!$AV17)-1))</f>
        <v>2215396.27728325</v>
      </c>
      <c r="E627" s="71" t="n">
        <f aca="false">MIN(E21,E21*CDR*MAX(0,MIN(3,'Loan Tape'!$AV17)-2))</f>
        <v>1906699.76902658</v>
      </c>
      <c r="F627" s="71" t="n">
        <f aca="false">MIN(F21,F21*CDR*MAX(0,MIN(4,'Loan Tape'!$AV17)-3))</f>
        <v>1638394.80343795</v>
      </c>
      <c r="G627" s="71" t="n">
        <f aca="false">MIN(G21,G21*CDR*MAX(0,MIN(5,'Loan Tape'!$AV17)-4))</f>
        <v>1405379.93713027</v>
      </c>
      <c r="H627" s="71" t="n">
        <f aca="false">MIN(H21,H21*CDR*MAX(0,MIN(6,'Loan Tape'!$AV17)-5))</f>
        <v>0</v>
      </c>
      <c r="I627" s="71" t="n">
        <f aca="false">MIN(I21,I21*CDR*MAX(0,MIN(7,'Loan Tape'!$AV17)-6))</f>
        <v>0</v>
      </c>
      <c r="J627" s="71" t="n">
        <f aca="false">MIN(J21,J21*CDR*MAX(0,MIN(8,'Loan Tape'!$AV17)-7))</f>
        <v>0</v>
      </c>
      <c r="K627" s="71" t="n">
        <f aca="false">MIN(K21,K21*CDR*MAX(0,MIN(9,'Loan Tape'!$AV17)-8))</f>
        <v>0</v>
      </c>
      <c r="L627" s="71" t="n">
        <f aca="false">MIN(L21,L21*CDR*MAX(0,MIN(10,'Loan Tape'!$AV17)-9))</f>
        <v>0</v>
      </c>
    </row>
    <row r="628" customFormat="false" ht="15" hidden="false" customHeight="false" outlineLevel="0" collapsed="false">
      <c r="B628" s="102" t="str">
        <f aca="false">'Loan Tape'!$A18</f>
        <v>L-015</v>
      </c>
      <c r="C628" s="99" t="n">
        <f aca="false">MIN(C22,C22*CDR*MAX(0,MIN(1,'Loan Tape'!$AV18)-0))</f>
        <v>2635720</v>
      </c>
      <c r="D628" s="99" t="n">
        <f aca="false">MIN(D22,D22*CDR*MAX(0,MIN(2,'Loan Tape'!$AV18)-1))</f>
        <v>2319433.6</v>
      </c>
      <c r="E628" s="99" t="n">
        <f aca="false">MIN(E22,E22*CDR*MAX(0,MIN(3,'Loan Tape'!$AV18)-2))</f>
        <v>2041101.568</v>
      </c>
      <c r="F628" s="99" t="n">
        <f aca="false">MIN(F22,F22*CDR*MAX(0,MIN(4,'Loan Tape'!$AV18)-3))</f>
        <v>1796169.37984</v>
      </c>
      <c r="G628" s="99" t="n">
        <f aca="false">MIN(G22,G22*CDR*MAX(0,MIN(5,'Loan Tape'!$AV18)-4))</f>
        <v>1580629.0542592</v>
      </c>
      <c r="H628" s="99" t="n">
        <f aca="false">MIN(H22,H22*CDR*MAX(0,MIN(6,'Loan Tape'!$AV18)-5))</f>
        <v>0</v>
      </c>
      <c r="I628" s="99" t="n">
        <f aca="false">MIN(I22,I22*CDR*MAX(0,MIN(7,'Loan Tape'!$AV18)-6))</f>
        <v>0</v>
      </c>
      <c r="J628" s="99" t="n">
        <f aca="false">MIN(J22,J22*CDR*MAX(0,MIN(8,'Loan Tape'!$AV18)-7))</f>
        <v>0</v>
      </c>
      <c r="K628" s="99" t="n">
        <f aca="false">MIN(K22,K22*CDR*MAX(0,MIN(9,'Loan Tape'!$AV18)-8))</f>
        <v>0</v>
      </c>
      <c r="L628" s="99" t="n">
        <f aca="false">MIN(L22,L22*CDR*MAX(0,MIN(10,'Loan Tape'!$AV18)-9))</f>
        <v>0</v>
      </c>
    </row>
    <row r="629" customFormat="false" ht="15" hidden="false" customHeight="false" outlineLevel="0" collapsed="false">
      <c r="B629" s="108" t="str">
        <f aca="false">'Loan Tape'!$A19</f>
        <v>L-016</v>
      </c>
      <c r="C629" s="71" t="n">
        <f aca="false">MIN(C23,C23*CDR*MAX(0,MIN(1,'Loan Tape'!$AV19)-0))</f>
        <v>0</v>
      </c>
      <c r="D629" s="71" t="n">
        <f aca="false">MIN(D23,D23*CDR*MAX(0,MIN(2,'Loan Tape'!$AV19)-1))</f>
        <v>0</v>
      </c>
      <c r="E629" s="71" t="n">
        <f aca="false">MIN(E23,E23*CDR*MAX(0,MIN(3,'Loan Tape'!$AV19)-2))</f>
        <v>0</v>
      </c>
      <c r="F629" s="71" t="n">
        <f aca="false">MIN(F23,F23*CDR*MAX(0,MIN(4,'Loan Tape'!$AV19)-3))</f>
        <v>0</v>
      </c>
      <c r="G629" s="71" t="n">
        <f aca="false">MIN(G23,G23*CDR*MAX(0,MIN(5,'Loan Tape'!$AV19)-4))</f>
        <v>0</v>
      </c>
      <c r="H629" s="71" t="n">
        <f aca="false">MIN(H23,H23*CDR*MAX(0,MIN(6,'Loan Tape'!$AV19)-5))</f>
        <v>0</v>
      </c>
      <c r="I629" s="71" t="n">
        <f aca="false">MIN(I23,I23*CDR*MAX(0,MIN(7,'Loan Tape'!$AV19)-6))</f>
        <v>0</v>
      </c>
      <c r="J629" s="71" t="n">
        <f aca="false">MIN(J23,J23*CDR*MAX(0,MIN(8,'Loan Tape'!$AV19)-7))</f>
        <v>0</v>
      </c>
      <c r="K629" s="71" t="n">
        <f aca="false">MIN(K23,K23*CDR*MAX(0,MIN(9,'Loan Tape'!$AV19)-8))</f>
        <v>0</v>
      </c>
      <c r="L629" s="71" t="n">
        <f aca="false">MIN(L23,L23*CDR*MAX(0,MIN(10,'Loan Tape'!$AV19)-9))</f>
        <v>0</v>
      </c>
    </row>
    <row r="630" customFormat="false" ht="15" hidden="false" customHeight="false" outlineLevel="0" collapsed="false">
      <c r="B630" s="102" t="str">
        <f aca="false">'Loan Tape'!$A20</f>
        <v>L-017</v>
      </c>
      <c r="C630" s="99" t="n">
        <f aca="false">MIN(C24,C24*CDR*MAX(0,MIN(1,'Loan Tape'!$AV20)-0))</f>
        <v>102220</v>
      </c>
      <c r="D630" s="99" t="n">
        <f aca="false">MIN(D24,D24*CDR*MAX(0,MIN(2,'Loan Tape'!$AV20)-1))</f>
        <v>89953.6</v>
      </c>
      <c r="E630" s="99" t="n">
        <f aca="false">MIN(E24,E24*CDR*MAX(0,MIN(3,'Loan Tape'!$AV20)-2))</f>
        <v>79159.168</v>
      </c>
      <c r="F630" s="99" t="n">
        <f aca="false">MIN(F24,F24*CDR*MAX(0,MIN(4,'Loan Tape'!$AV20)-3))</f>
        <v>69660.06784</v>
      </c>
      <c r="G630" s="99" t="n">
        <f aca="false">MIN(G24,G24*CDR*MAX(0,MIN(5,'Loan Tape'!$AV20)-4))</f>
        <v>61300.8596992</v>
      </c>
      <c r="H630" s="99" t="n">
        <f aca="false">MIN(H24,H24*CDR*MAX(0,MIN(6,'Loan Tape'!$AV20)-5))</f>
        <v>0</v>
      </c>
      <c r="I630" s="99" t="n">
        <f aca="false">MIN(I24,I24*CDR*MAX(0,MIN(7,'Loan Tape'!$AV20)-6))</f>
        <v>0</v>
      </c>
      <c r="J630" s="99" t="n">
        <f aca="false">MIN(J24,J24*CDR*MAX(0,MIN(8,'Loan Tape'!$AV20)-7))</f>
        <v>0</v>
      </c>
      <c r="K630" s="99" t="n">
        <f aca="false">MIN(K24,K24*CDR*MAX(0,MIN(9,'Loan Tape'!$AV20)-8))</f>
        <v>0</v>
      </c>
      <c r="L630" s="99" t="n">
        <f aca="false">MIN(L24,L24*CDR*MAX(0,MIN(10,'Loan Tape'!$AV20)-9))</f>
        <v>0</v>
      </c>
    </row>
    <row r="631" customFormat="false" ht="15" hidden="false" customHeight="false" outlineLevel="0" collapsed="false">
      <c r="B631" s="108" t="str">
        <f aca="false">'Loan Tape'!$A21</f>
        <v>L-018</v>
      </c>
      <c r="C631" s="71" t="n">
        <f aca="false">MIN(C25,C25*CDR*MAX(0,MIN(1,'Loan Tape'!$AV21)-0))</f>
        <v>1534560</v>
      </c>
      <c r="D631" s="71" t="n">
        <f aca="false">MIN(D25,D25*CDR*MAX(0,MIN(2,'Loan Tape'!$AV21)-1))</f>
        <v>1325713.29573761</v>
      </c>
      <c r="E631" s="71" t="n">
        <f aca="false">MIN(E25,E25*CDR*MAX(0,MIN(3,'Loan Tape'!$AV21)-2))</f>
        <v>1141783.62155794</v>
      </c>
      <c r="F631" s="71" t="n">
        <f aca="false">MIN(F25,F25*CDR*MAX(0,MIN(4,'Loan Tape'!$AV21)-3))</f>
        <v>980309.96597721</v>
      </c>
      <c r="G631" s="71" t="n">
        <f aca="false">MIN(G25,G25*CDR*MAX(0,MIN(5,'Loan Tape'!$AV21)-4))</f>
        <v>349283.798614585</v>
      </c>
      <c r="H631" s="71" t="n">
        <f aca="false">MIN(H25,H25*CDR*MAX(0,MIN(6,'Loan Tape'!$AV21)-5))</f>
        <v>0</v>
      </c>
      <c r="I631" s="71" t="n">
        <f aca="false">MIN(I25,I25*CDR*MAX(0,MIN(7,'Loan Tape'!$AV21)-6))</f>
        <v>0</v>
      </c>
      <c r="J631" s="71" t="n">
        <f aca="false">MIN(J25,J25*CDR*MAX(0,MIN(8,'Loan Tape'!$AV21)-7))</f>
        <v>0</v>
      </c>
      <c r="K631" s="71" t="n">
        <f aca="false">MIN(K25,K25*CDR*MAX(0,MIN(9,'Loan Tape'!$AV21)-8))</f>
        <v>0</v>
      </c>
      <c r="L631" s="71" t="n">
        <f aca="false">MIN(L25,L25*CDR*MAX(0,MIN(10,'Loan Tape'!$AV21)-9))</f>
        <v>0</v>
      </c>
    </row>
    <row r="632" customFormat="false" ht="15" hidden="false" customHeight="false" outlineLevel="0" collapsed="false">
      <c r="B632" s="102" t="str">
        <f aca="false">'Loan Tape'!$A22</f>
        <v>L-019</v>
      </c>
      <c r="C632" s="99" t="n">
        <f aca="false">MIN(C26,C26*CDR*MAX(0,MIN(1,'Loan Tape'!$AV22)-0))</f>
        <v>164440</v>
      </c>
      <c r="D632" s="99" t="n">
        <f aca="false">MIN(D26,D26*CDR*MAX(0,MIN(2,'Loan Tape'!$AV22)-1))</f>
        <v>0</v>
      </c>
      <c r="E632" s="99" t="n">
        <f aca="false">MIN(E26,E26*CDR*MAX(0,MIN(3,'Loan Tape'!$AV22)-2))</f>
        <v>0</v>
      </c>
      <c r="F632" s="99" t="n">
        <f aca="false">MIN(F26,F26*CDR*MAX(0,MIN(4,'Loan Tape'!$AV22)-3))</f>
        <v>0</v>
      </c>
      <c r="G632" s="99" t="n">
        <f aca="false">MIN(G26,G26*CDR*MAX(0,MIN(5,'Loan Tape'!$AV22)-4))</f>
        <v>0</v>
      </c>
      <c r="H632" s="99" t="n">
        <f aca="false">MIN(H26,H26*CDR*MAX(0,MIN(6,'Loan Tape'!$AV22)-5))</f>
        <v>0</v>
      </c>
      <c r="I632" s="99" t="n">
        <f aca="false">MIN(I26,I26*CDR*MAX(0,MIN(7,'Loan Tape'!$AV22)-6))</f>
        <v>0</v>
      </c>
      <c r="J632" s="99" t="n">
        <f aca="false">MIN(J26,J26*CDR*MAX(0,MIN(8,'Loan Tape'!$AV22)-7))</f>
        <v>0</v>
      </c>
      <c r="K632" s="99" t="n">
        <f aca="false">MIN(K26,K26*CDR*MAX(0,MIN(9,'Loan Tape'!$AV22)-8))</f>
        <v>0</v>
      </c>
      <c r="L632" s="99" t="n">
        <f aca="false">MIN(L26,L26*CDR*MAX(0,MIN(10,'Loan Tape'!$AV22)-9))</f>
        <v>0</v>
      </c>
    </row>
    <row r="633" customFormat="false" ht="15" hidden="false" customHeight="false" outlineLevel="0" collapsed="false">
      <c r="B633" s="108" t="str">
        <f aca="false">'Loan Tape'!$A23</f>
        <v>L-020</v>
      </c>
      <c r="C633" s="71" t="n">
        <f aca="false">MIN(C27,C27*CDR*MAX(0,MIN(1,'Loan Tape'!$AV23)-0))</f>
        <v>1382180</v>
      </c>
      <c r="D633" s="71" t="n">
        <f aca="false">MIN(D27,D27*CDR*MAX(0,MIN(2,'Loan Tape'!$AV23)-1))</f>
        <v>1216318.4</v>
      </c>
      <c r="E633" s="71" t="n">
        <f aca="false">MIN(E27,E27*CDR*MAX(0,MIN(3,'Loan Tape'!$AV23)-2))</f>
        <v>1070360.192</v>
      </c>
      <c r="F633" s="71" t="n">
        <f aca="false">MIN(F27,F27*CDR*MAX(0,MIN(4,'Loan Tape'!$AV23)-3))</f>
        <v>941916.96896</v>
      </c>
      <c r="G633" s="71" t="n">
        <f aca="false">MIN(G27,G27*CDR*MAX(0,MIN(5,'Loan Tape'!$AV23)-4))</f>
        <v>828886.9326848</v>
      </c>
      <c r="H633" s="71" t="n">
        <f aca="false">MIN(H27,H27*CDR*MAX(0,MIN(6,'Loan Tape'!$AV23)-5))</f>
        <v>0</v>
      </c>
      <c r="I633" s="71" t="n">
        <f aca="false">MIN(I27,I27*CDR*MAX(0,MIN(7,'Loan Tape'!$AV23)-6))</f>
        <v>0</v>
      </c>
      <c r="J633" s="71" t="n">
        <f aca="false">MIN(J27,J27*CDR*MAX(0,MIN(8,'Loan Tape'!$AV23)-7))</f>
        <v>0</v>
      </c>
      <c r="K633" s="71" t="n">
        <f aca="false">MIN(K27,K27*CDR*MAX(0,MIN(9,'Loan Tape'!$AV23)-8))</f>
        <v>0</v>
      </c>
      <c r="L633" s="71" t="n">
        <f aca="false">MIN(L27,L27*CDR*MAX(0,MIN(10,'Loan Tape'!$AV23)-9))</f>
        <v>0</v>
      </c>
    </row>
    <row r="634" customFormat="false" ht="15" hidden="false" customHeight="false" outlineLevel="0" collapsed="false">
      <c r="B634" s="102" t="str">
        <f aca="false">'Loan Tape'!$A24</f>
        <v>L-021</v>
      </c>
      <c r="C634" s="99" t="n">
        <f aca="false">MIN(C28,C28*CDR*MAX(0,MIN(1,'Loan Tape'!$AV24)-0))</f>
        <v>734960</v>
      </c>
      <c r="D634" s="99" t="n">
        <f aca="false">MIN(D28,D28*CDR*MAX(0,MIN(2,'Loan Tape'!$AV24)-1))</f>
        <v>637052.893618782</v>
      </c>
      <c r="E634" s="99" t="n">
        <f aca="false">MIN(E28,E28*CDR*MAX(0,MIN(3,'Loan Tape'!$AV24)-2))</f>
        <v>550743.414151109</v>
      </c>
      <c r="F634" s="99" t="n">
        <f aca="false">MIN(F28,F28*CDR*MAX(0,MIN(4,'Loan Tape'!$AV24)-3))</f>
        <v>161538.440400704</v>
      </c>
      <c r="G634" s="99" t="n">
        <f aca="false">MIN(G28,G28*CDR*MAX(0,MIN(5,'Loan Tape'!$AV24)-4))</f>
        <v>0</v>
      </c>
      <c r="H634" s="99" t="n">
        <f aca="false">MIN(H28,H28*CDR*MAX(0,MIN(6,'Loan Tape'!$AV24)-5))</f>
        <v>0</v>
      </c>
      <c r="I634" s="99" t="n">
        <f aca="false">MIN(I28,I28*CDR*MAX(0,MIN(7,'Loan Tape'!$AV24)-6))</f>
        <v>0</v>
      </c>
      <c r="J634" s="99" t="n">
        <f aca="false">MIN(J28,J28*CDR*MAX(0,MIN(8,'Loan Tape'!$AV24)-7))</f>
        <v>0</v>
      </c>
      <c r="K634" s="99" t="n">
        <f aca="false">MIN(K28,K28*CDR*MAX(0,MIN(9,'Loan Tape'!$AV24)-8))</f>
        <v>0</v>
      </c>
      <c r="L634" s="99" t="n">
        <f aca="false">MIN(L28,L28*CDR*MAX(0,MIN(10,'Loan Tape'!$AV24)-9))</f>
        <v>0</v>
      </c>
    </row>
    <row r="635" customFormat="false" ht="15" hidden="false" customHeight="false" outlineLevel="0" collapsed="false">
      <c r="B635" s="108" t="str">
        <f aca="false">'Loan Tape'!$A25</f>
        <v>L-022</v>
      </c>
      <c r="C635" s="71" t="n">
        <f aca="false">MIN(C29,C29*CDR*MAX(0,MIN(1,'Loan Tape'!$AV25)-0))</f>
        <v>140520</v>
      </c>
      <c r="D635" s="71" t="n">
        <f aca="false">MIN(D29,D29*CDR*MAX(0,MIN(2,'Loan Tape'!$AV25)-1))</f>
        <v>100391.435684086</v>
      </c>
      <c r="E635" s="71" t="n">
        <f aca="false">MIN(E29,E29*CDR*MAX(0,MIN(3,'Loan Tape'!$AV25)-2))</f>
        <v>0</v>
      </c>
      <c r="F635" s="71" t="n">
        <f aca="false">MIN(F29,F29*CDR*MAX(0,MIN(4,'Loan Tape'!$AV25)-3))</f>
        <v>0</v>
      </c>
      <c r="G635" s="71" t="n">
        <f aca="false">MIN(G29,G29*CDR*MAX(0,MIN(5,'Loan Tape'!$AV25)-4))</f>
        <v>0</v>
      </c>
      <c r="H635" s="71" t="n">
        <f aca="false">MIN(H29,H29*CDR*MAX(0,MIN(6,'Loan Tape'!$AV25)-5))</f>
        <v>0</v>
      </c>
      <c r="I635" s="71" t="n">
        <f aca="false">MIN(I29,I29*CDR*MAX(0,MIN(7,'Loan Tape'!$AV25)-6))</f>
        <v>0</v>
      </c>
      <c r="J635" s="71" t="n">
        <f aca="false">MIN(J29,J29*CDR*MAX(0,MIN(8,'Loan Tape'!$AV25)-7))</f>
        <v>0</v>
      </c>
      <c r="K635" s="71" t="n">
        <f aca="false">MIN(K29,K29*CDR*MAX(0,MIN(9,'Loan Tape'!$AV25)-8))</f>
        <v>0</v>
      </c>
      <c r="L635" s="71" t="n">
        <f aca="false">MIN(L29,L29*CDR*MAX(0,MIN(10,'Loan Tape'!$AV25)-9))</f>
        <v>0</v>
      </c>
    </row>
    <row r="636" customFormat="false" ht="15" hidden="false" customHeight="false" outlineLevel="0" collapsed="false">
      <c r="B636" s="102" t="str">
        <f aca="false">'Loan Tape'!$A26</f>
        <v>L-023</v>
      </c>
      <c r="C636" s="99" t="n">
        <f aca="false">MIN(C30,C30*CDR*MAX(0,MIN(1,'Loan Tape'!$AV26)-0))</f>
        <v>0</v>
      </c>
      <c r="D636" s="99" t="n">
        <f aca="false">MIN(D30,D30*CDR*MAX(0,MIN(2,'Loan Tape'!$AV26)-1))</f>
        <v>0</v>
      </c>
      <c r="E636" s="99" t="n">
        <f aca="false">MIN(E30,E30*CDR*MAX(0,MIN(3,'Loan Tape'!$AV26)-2))</f>
        <v>0</v>
      </c>
      <c r="F636" s="99" t="n">
        <f aca="false">MIN(F30,F30*CDR*MAX(0,MIN(4,'Loan Tape'!$AV26)-3))</f>
        <v>0</v>
      </c>
      <c r="G636" s="99" t="n">
        <f aca="false">MIN(G30,G30*CDR*MAX(0,MIN(5,'Loan Tape'!$AV26)-4))</f>
        <v>0</v>
      </c>
      <c r="H636" s="99" t="n">
        <f aca="false">MIN(H30,H30*CDR*MAX(0,MIN(6,'Loan Tape'!$AV26)-5))</f>
        <v>0</v>
      </c>
      <c r="I636" s="99" t="n">
        <f aca="false">MIN(I30,I30*CDR*MAX(0,MIN(7,'Loan Tape'!$AV26)-6))</f>
        <v>0</v>
      </c>
      <c r="J636" s="99" t="n">
        <f aca="false">MIN(J30,J30*CDR*MAX(0,MIN(8,'Loan Tape'!$AV26)-7))</f>
        <v>0</v>
      </c>
      <c r="K636" s="99" t="n">
        <f aca="false">MIN(K30,K30*CDR*MAX(0,MIN(9,'Loan Tape'!$AV26)-8))</f>
        <v>0</v>
      </c>
      <c r="L636" s="99" t="n">
        <f aca="false">MIN(L30,L30*CDR*MAX(0,MIN(10,'Loan Tape'!$AV26)-9))</f>
        <v>0</v>
      </c>
    </row>
    <row r="637" customFormat="false" ht="15" hidden="false" customHeight="false" outlineLevel="0" collapsed="false">
      <c r="B637" s="108" t="str">
        <f aca="false">'Loan Tape'!$A27</f>
        <v>L-024</v>
      </c>
      <c r="C637" s="71" t="n">
        <f aca="false">MIN(C31,C31*CDR*MAX(0,MIN(1,'Loan Tape'!$AV27)-0))</f>
        <v>352660</v>
      </c>
      <c r="D637" s="71" t="n">
        <f aca="false">MIN(D31,D31*CDR*MAX(0,MIN(2,'Loan Tape'!$AV27)-1))</f>
        <v>310340.8</v>
      </c>
      <c r="E637" s="71" t="n">
        <f aca="false">MIN(E31,E31*CDR*MAX(0,MIN(3,'Loan Tape'!$AV27)-2))</f>
        <v>273099.904</v>
      </c>
      <c r="F637" s="71" t="n">
        <f aca="false">MIN(F31,F31*CDR*MAX(0,MIN(4,'Loan Tape'!$AV27)-3))</f>
        <v>221246.438312389</v>
      </c>
      <c r="G637" s="71" t="n">
        <f aca="false">MIN(G31,G31*CDR*MAX(0,MIN(5,'Loan Tape'!$AV27)-4))</f>
        <v>0</v>
      </c>
      <c r="H637" s="71" t="n">
        <f aca="false">MIN(H31,H31*CDR*MAX(0,MIN(6,'Loan Tape'!$AV27)-5))</f>
        <v>0</v>
      </c>
      <c r="I637" s="71" t="n">
        <f aca="false">MIN(I31,I31*CDR*MAX(0,MIN(7,'Loan Tape'!$AV27)-6))</f>
        <v>0</v>
      </c>
      <c r="J637" s="71" t="n">
        <f aca="false">MIN(J31,J31*CDR*MAX(0,MIN(8,'Loan Tape'!$AV27)-7))</f>
        <v>0</v>
      </c>
      <c r="K637" s="71" t="n">
        <f aca="false">MIN(K31,K31*CDR*MAX(0,MIN(9,'Loan Tape'!$AV27)-8))</f>
        <v>0</v>
      </c>
      <c r="L637" s="71" t="n">
        <f aca="false">MIN(L31,L31*CDR*MAX(0,MIN(10,'Loan Tape'!$AV27)-9))</f>
        <v>0</v>
      </c>
    </row>
    <row r="638" customFormat="false" ht="15" hidden="false" customHeight="false" outlineLevel="0" collapsed="false">
      <c r="B638" s="102" t="str">
        <f aca="false">'Loan Tape'!$A28</f>
        <v>L-025</v>
      </c>
      <c r="C638" s="99" t="n">
        <f aca="false">MIN(C32,C32*CDR*MAX(0,MIN(1,'Loan Tape'!$AV28)-0))</f>
        <v>295460</v>
      </c>
      <c r="D638" s="99" t="n">
        <f aca="false">MIN(D32,D32*CDR*MAX(0,MIN(2,'Loan Tape'!$AV28)-1))</f>
        <v>254537.105510955</v>
      </c>
      <c r="E638" s="99" t="n">
        <f aca="false">MIN(E32,E32*CDR*MAX(0,MIN(3,'Loan Tape'!$AV28)-2))</f>
        <v>218941.014724736</v>
      </c>
      <c r="F638" s="99" t="n">
        <f aca="false">MIN(F32,F32*CDR*MAX(0,MIN(4,'Loan Tape'!$AV28)-3))</f>
        <v>47997.7066909924</v>
      </c>
      <c r="G638" s="99" t="n">
        <f aca="false">MIN(G32,G32*CDR*MAX(0,MIN(5,'Loan Tape'!$AV28)-4))</f>
        <v>0</v>
      </c>
      <c r="H638" s="99" t="n">
        <f aca="false">MIN(H32,H32*CDR*MAX(0,MIN(6,'Loan Tape'!$AV28)-5))</f>
        <v>0</v>
      </c>
      <c r="I638" s="99" t="n">
        <f aca="false">MIN(I32,I32*CDR*MAX(0,MIN(7,'Loan Tape'!$AV28)-6))</f>
        <v>0</v>
      </c>
      <c r="J638" s="99" t="n">
        <f aca="false">MIN(J32,J32*CDR*MAX(0,MIN(8,'Loan Tape'!$AV28)-7))</f>
        <v>0</v>
      </c>
      <c r="K638" s="99" t="n">
        <f aca="false">MIN(K32,K32*CDR*MAX(0,MIN(9,'Loan Tape'!$AV28)-8))</f>
        <v>0</v>
      </c>
      <c r="L638" s="99" t="n">
        <f aca="false">MIN(L32,L32*CDR*MAX(0,MIN(10,'Loan Tape'!$AV28)-9))</f>
        <v>0</v>
      </c>
    </row>
    <row r="639" customFormat="false" ht="15" hidden="false" customHeight="false" outlineLevel="0" collapsed="false">
      <c r="B639" s="108" t="str">
        <f aca="false">'Loan Tape'!$A29</f>
        <v>L-026</v>
      </c>
      <c r="C639" s="71" t="n">
        <f aca="false">MIN(C33,C33*CDR*MAX(0,MIN(1,'Loan Tape'!$AV29)-0))</f>
        <v>1797940</v>
      </c>
      <c r="D639" s="71" t="n">
        <f aca="false">MIN(D33,D33*CDR*MAX(0,MIN(2,'Loan Tape'!$AV29)-1))</f>
        <v>0</v>
      </c>
      <c r="E639" s="71" t="n">
        <f aca="false">MIN(E33,E33*CDR*MAX(0,MIN(3,'Loan Tape'!$AV29)-2))</f>
        <v>0</v>
      </c>
      <c r="F639" s="71" t="n">
        <f aca="false">MIN(F33,F33*CDR*MAX(0,MIN(4,'Loan Tape'!$AV29)-3))</f>
        <v>0</v>
      </c>
      <c r="G639" s="71" t="n">
        <f aca="false">MIN(G33,G33*CDR*MAX(0,MIN(5,'Loan Tape'!$AV29)-4))</f>
        <v>0</v>
      </c>
      <c r="H639" s="71" t="n">
        <f aca="false">MIN(H33,H33*CDR*MAX(0,MIN(6,'Loan Tape'!$AV29)-5))</f>
        <v>0</v>
      </c>
      <c r="I639" s="71" t="n">
        <f aca="false">MIN(I33,I33*CDR*MAX(0,MIN(7,'Loan Tape'!$AV29)-6))</f>
        <v>0</v>
      </c>
      <c r="J639" s="71" t="n">
        <f aca="false">MIN(J33,J33*CDR*MAX(0,MIN(8,'Loan Tape'!$AV29)-7))</f>
        <v>0</v>
      </c>
      <c r="K639" s="71" t="n">
        <f aca="false">MIN(K33,K33*CDR*MAX(0,MIN(9,'Loan Tape'!$AV29)-8))</f>
        <v>0</v>
      </c>
      <c r="L639" s="71" t="n">
        <f aca="false">MIN(L33,L33*CDR*MAX(0,MIN(10,'Loan Tape'!$AV29)-9))</f>
        <v>0</v>
      </c>
    </row>
    <row r="640" customFormat="false" ht="15" hidden="false" customHeight="false" outlineLevel="0" collapsed="false">
      <c r="B640" s="102" t="str">
        <f aca="false">'Loan Tape'!$A30</f>
        <v>L-027</v>
      </c>
      <c r="C640" s="99" t="n">
        <f aca="false">MIN(C34,C34*CDR*MAX(0,MIN(1,'Loan Tape'!$AV30)-0))</f>
        <v>1769620</v>
      </c>
      <c r="D640" s="99" t="n">
        <f aca="false">MIN(D34,D34*CDR*MAX(0,MIN(2,'Loan Tape'!$AV30)-1))</f>
        <v>1557265.6</v>
      </c>
      <c r="E640" s="99" t="n">
        <f aca="false">MIN(E34,E34*CDR*MAX(0,MIN(3,'Loan Tape'!$AV30)-2))</f>
        <v>1370393.728</v>
      </c>
      <c r="F640" s="99" t="n">
        <f aca="false">MIN(F34,F34*CDR*MAX(0,MIN(4,'Loan Tape'!$AV30)-3))</f>
        <v>605036.803770788</v>
      </c>
      <c r="G640" s="99" t="n">
        <f aca="false">MIN(G34,G34*CDR*MAX(0,MIN(5,'Loan Tape'!$AV30)-4))</f>
        <v>0</v>
      </c>
      <c r="H640" s="99" t="n">
        <f aca="false">MIN(H34,H34*CDR*MAX(0,MIN(6,'Loan Tape'!$AV30)-5))</f>
        <v>0</v>
      </c>
      <c r="I640" s="99" t="n">
        <f aca="false">MIN(I34,I34*CDR*MAX(0,MIN(7,'Loan Tape'!$AV30)-6))</f>
        <v>0</v>
      </c>
      <c r="J640" s="99" t="n">
        <f aca="false">MIN(J34,J34*CDR*MAX(0,MIN(8,'Loan Tape'!$AV30)-7))</f>
        <v>0</v>
      </c>
      <c r="K640" s="99" t="n">
        <f aca="false">MIN(K34,K34*CDR*MAX(0,MIN(9,'Loan Tape'!$AV30)-8))</f>
        <v>0</v>
      </c>
      <c r="L640" s="99" t="n">
        <f aca="false">MIN(L34,L34*CDR*MAX(0,MIN(10,'Loan Tape'!$AV30)-9))</f>
        <v>0</v>
      </c>
    </row>
    <row r="641" customFormat="false" ht="15" hidden="false" customHeight="false" outlineLevel="0" collapsed="false">
      <c r="B641" s="108" t="str">
        <f aca="false">'Loan Tape'!$A31</f>
        <v>L-028</v>
      </c>
      <c r="C641" s="71" t="n">
        <f aca="false">MIN(C35,C35*CDR*MAX(0,MIN(1,'Loan Tape'!$AV31)-0))</f>
        <v>0</v>
      </c>
      <c r="D641" s="71" t="n">
        <f aca="false">MIN(D35,D35*CDR*MAX(0,MIN(2,'Loan Tape'!$AV31)-1))</f>
        <v>0</v>
      </c>
      <c r="E641" s="71" t="n">
        <f aca="false">MIN(E35,E35*CDR*MAX(0,MIN(3,'Loan Tape'!$AV31)-2))</f>
        <v>0</v>
      </c>
      <c r="F641" s="71" t="n">
        <f aca="false">MIN(F35,F35*CDR*MAX(0,MIN(4,'Loan Tape'!$AV31)-3))</f>
        <v>0</v>
      </c>
      <c r="G641" s="71" t="n">
        <f aca="false">MIN(G35,G35*CDR*MAX(0,MIN(5,'Loan Tape'!$AV31)-4))</f>
        <v>0</v>
      </c>
      <c r="H641" s="71" t="n">
        <f aca="false">MIN(H35,H35*CDR*MAX(0,MIN(6,'Loan Tape'!$AV31)-5))</f>
        <v>0</v>
      </c>
      <c r="I641" s="71" t="n">
        <f aca="false">MIN(I35,I35*CDR*MAX(0,MIN(7,'Loan Tape'!$AV31)-6))</f>
        <v>0</v>
      </c>
      <c r="J641" s="71" t="n">
        <f aca="false">MIN(J35,J35*CDR*MAX(0,MIN(8,'Loan Tape'!$AV31)-7))</f>
        <v>0</v>
      </c>
      <c r="K641" s="71" t="n">
        <f aca="false">MIN(K35,K35*CDR*MAX(0,MIN(9,'Loan Tape'!$AV31)-8))</f>
        <v>0</v>
      </c>
      <c r="L641" s="71" t="n">
        <f aca="false">MIN(L35,L35*CDR*MAX(0,MIN(10,'Loan Tape'!$AV31)-9))</f>
        <v>0</v>
      </c>
    </row>
    <row r="642" customFormat="false" ht="15" hidden="false" customHeight="false" outlineLevel="0" collapsed="false">
      <c r="B642" s="102" t="str">
        <f aca="false">'Loan Tape'!$A32</f>
        <v>L-029</v>
      </c>
      <c r="C642" s="99" t="n">
        <f aca="false">MIN(C36,C36*CDR*MAX(0,MIN(1,'Loan Tape'!$AV32)-0))</f>
        <v>0</v>
      </c>
      <c r="D642" s="99" t="n">
        <f aca="false">MIN(D36,D36*CDR*MAX(0,MIN(2,'Loan Tape'!$AV32)-1))</f>
        <v>0</v>
      </c>
      <c r="E642" s="99" t="n">
        <f aca="false">MIN(E36,E36*CDR*MAX(0,MIN(3,'Loan Tape'!$AV32)-2))</f>
        <v>0</v>
      </c>
      <c r="F642" s="99" t="n">
        <f aca="false">MIN(F36,F36*CDR*MAX(0,MIN(4,'Loan Tape'!$AV32)-3))</f>
        <v>0</v>
      </c>
      <c r="G642" s="99" t="n">
        <f aca="false">MIN(G36,G36*CDR*MAX(0,MIN(5,'Loan Tape'!$AV32)-4))</f>
        <v>0</v>
      </c>
      <c r="H642" s="99" t="n">
        <f aca="false">MIN(H36,H36*CDR*MAX(0,MIN(6,'Loan Tape'!$AV32)-5))</f>
        <v>0</v>
      </c>
      <c r="I642" s="99" t="n">
        <f aca="false">MIN(I36,I36*CDR*MAX(0,MIN(7,'Loan Tape'!$AV32)-6))</f>
        <v>0</v>
      </c>
      <c r="J642" s="99" t="n">
        <f aca="false">MIN(J36,J36*CDR*MAX(0,MIN(8,'Loan Tape'!$AV32)-7))</f>
        <v>0</v>
      </c>
      <c r="K642" s="99" t="n">
        <f aca="false">MIN(K36,K36*CDR*MAX(0,MIN(9,'Loan Tape'!$AV32)-8))</f>
        <v>0</v>
      </c>
      <c r="L642" s="99" t="n">
        <f aca="false">MIN(L36,L36*CDR*MAX(0,MIN(10,'Loan Tape'!$AV32)-9))</f>
        <v>0</v>
      </c>
    </row>
    <row r="643" customFormat="false" ht="15" hidden="false" customHeight="false" outlineLevel="0" collapsed="false">
      <c r="B643" s="108" t="str">
        <f aca="false">'Loan Tape'!$A33</f>
        <v>L-030</v>
      </c>
      <c r="C643" s="71" t="n">
        <f aca="false">MIN(C37,C37*CDR*MAX(0,MIN(1,'Loan Tape'!$AV33)-0))</f>
        <v>283920</v>
      </c>
      <c r="D643" s="71" t="n">
        <f aca="false">MIN(D37,D37*CDR*MAX(0,MIN(2,'Loan Tape'!$AV33)-1))</f>
        <v>245686.501336799</v>
      </c>
      <c r="E643" s="71" t="n">
        <f aca="false">MIN(E37,E37*CDR*MAX(0,MIN(3,'Loan Tape'!$AV33)-2))</f>
        <v>212047.125846513</v>
      </c>
      <c r="F643" s="71" t="n">
        <f aca="false">MIN(F37,F37*CDR*MAX(0,MIN(4,'Loan Tape'!$AV33)-3))</f>
        <v>182474.304577128</v>
      </c>
      <c r="G643" s="71" t="n">
        <f aca="false">MIN(G37,G37*CDR*MAX(0,MIN(5,'Loan Tape'!$AV33)-4))</f>
        <v>53165.9712673796</v>
      </c>
      <c r="H643" s="71" t="n">
        <f aca="false">MIN(H37,H37*CDR*MAX(0,MIN(6,'Loan Tape'!$AV33)-5))</f>
        <v>0</v>
      </c>
      <c r="I643" s="71" t="n">
        <f aca="false">MIN(I37,I37*CDR*MAX(0,MIN(7,'Loan Tape'!$AV33)-6))</f>
        <v>0</v>
      </c>
      <c r="J643" s="71" t="n">
        <f aca="false">MIN(J37,J37*CDR*MAX(0,MIN(8,'Loan Tape'!$AV33)-7))</f>
        <v>0</v>
      </c>
      <c r="K643" s="71" t="n">
        <f aca="false">MIN(K37,K37*CDR*MAX(0,MIN(9,'Loan Tape'!$AV33)-8))</f>
        <v>0</v>
      </c>
      <c r="L643" s="71" t="n">
        <f aca="false">MIN(L37,L37*CDR*MAX(0,MIN(10,'Loan Tape'!$AV33)-9))</f>
        <v>0</v>
      </c>
    </row>
    <row r="644" customFormat="false" ht="15" hidden="false" customHeight="false" outlineLevel="0" collapsed="false">
      <c r="B644" s="102" t="str">
        <f aca="false">'Loan Tape'!$A34</f>
        <v>L-031</v>
      </c>
      <c r="C644" s="99" t="n">
        <f aca="false">MIN(C38,C38*CDR*MAX(0,MIN(1,'Loan Tape'!$AV34)-0))</f>
        <v>232980</v>
      </c>
      <c r="D644" s="99" t="n">
        <f aca="false">MIN(D38,D38*CDR*MAX(0,MIN(2,'Loan Tape'!$AV34)-1))</f>
        <v>52062.4985626283</v>
      </c>
      <c r="E644" s="99" t="n">
        <f aca="false">MIN(E38,E38*CDR*MAX(0,MIN(3,'Loan Tape'!$AV34)-2))</f>
        <v>0</v>
      </c>
      <c r="F644" s="99" t="n">
        <f aca="false">MIN(F38,F38*CDR*MAX(0,MIN(4,'Loan Tape'!$AV34)-3))</f>
        <v>0</v>
      </c>
      <c r="G644" s="99" t="n">
        <f aca="false">MIN(G38,G38*CDR*MAX(0,MIN(5,'Loan Tape'!$AV34)-4))</f>
        <v>0</v>
      </c>
      <c r="H644" s="99" t="n">
        <f aca="false">MIN(H38,H38*CDR*MAX(0,MIN(6,'Loan Tape'!$AV34)-5))</f>
        <v>0</v>
      </c>
      <c r="I644" s="99" t="n">
        <f aca="false">MIN(I38,I38*CDR*MAX(0,MIN(7,'Loan Tape'!$AV34)-6))</f>
        <v>0</v>
      </c>
      <c r="J644" s="99" t="n">
        <f aca="false">MIN(J38,J38*CDR*MAX(0,MIN(8,'Loan Tape'!$AV34)-7))</f>
        <v>0</v>
      </c>
      <c r="K644" s="99" t="n">
        <f aca="false">MIN(K38,K38*CDR*MAX(0,MIN(9,'Loan Tape'!$AV34)-8))</f>
        <v>0</v>
      </c>
      <c r="L644" s="99" t="n">
        <f aca="false">MIN(L38,L38*CDR*MAX(0,MIN(10,'Loan Tape'!$AV34)-9))</f>
        <v>0</v>
      </c>
    </row>
    <row r="645" customFormat="false" ht="15" hidden="false" customHeight="false" outlineLevel="0" collapsed="false">
      <c r="B645" s="108" t="str">
        <f aca="false">'Loan Tape'!$A35</f>
        <v>L-032</v>
      </c>
      <c r="C645" s="71" t="n">
        <f aca="false">MIN(C39,C39*CDR*MAX(0,MIN(1,'Loan Tape'!$AV35)-0))</f>
        <v>2794620</v>
      </c>
      <c r="D645" s="71" t="n">
        <f aca="false">MIN(D39,D39*CDR*MAX(0,MIN(2,'Loan Tape'!$AV35)-1))</f>
        <v>2420148.48280087</v>
      </c>
      <c r="E645" s="71" t="n">
        <f aca="false">MIN(E39,E39*CDR*MAX(0,MIN(3,'Loan Tape'!$AV35)-2))</f>
        <v>2089890.24935229</v>
      </c>
      <c r="F645" s="71" t="n">
        <f aca="false">MIN(F39,F39*CDR*MAX(0,MIN(4,'Loan Tape'!$AV35)-3))</f>
        <v>1503793.44270851</v>
      </c>
      <c r="G645" s="71" t="n">
        <f aca="false">MIN(G39,G39*CDR*MAX(0,MIN(5,'Loan Tape'!$AV35)-4))</f>
        <v>0</v>
      </c>
      <c r="H645" s="71" t="n">
        <f aca="false">MIN(H39,H39*CDR*MAX(0,MIN(6,'Loan Tape'!$AV35)-5))</f>
        <v>0</v>
      </c>
      <c r="I645" s="71" t="n">
        <f aca="false">MIN(I39,I39*CDR*MAX(0,MIN(7,'Loan Tape'!$AV35)-6))</f>
        <v>0</v>
      </c>
      <c r="J645" s="71" t="n">
        <f aca="false">MIN(J39,J39*CDR*MAX(0,MIN(8,'Loan Tape'!$AV35)-7))</f>
        <v>0</v>
      </c>
      <c r="K645" s="71" t="n">
        <f aca="false">MIN(K39,K39*CDR*MAX(0,MIN(9,'Loan Tape'!$AV35)-8))</f>
        <v>0</v>
      </c>
      <c r="L645" s="71" t="n">
        <f aca="false">MIN(L39,L39*CDR*MAX(0,MIN(10,'Loan Tape'!$AV35)-9))</f>
        <v>0</v>
      </c>
    </row>
    <row r="646" customFormat="false" ht="15" hidden="false" customHeight="false" outlineLevel="0" collapsed="false">
      <c r="B646" s="102" t="str">
        <f aca="false">'Loan Tape'!$A36</f>
        <v>L-033</v>
      </c>
      <c r="C646" s="99" t="n">
        <f aca="false">MIN(C40,C40*CDR*MAX(0,MIN(1,'Loan Tape'!$AV36)-0))</f>
        <v>0</v>
      </c>
      <c r="D646" s="99" t="n">
        <f aca="false">MIN(D40,D40*CDR*MAX(0,MIN(2,'Loan Tape'!$AV36)-1))</f>
        <v>0</v>
      </c>
      <c r="E646" s="99" t="n">
        <f aca="false">MIN(E40,E40*CDR*MAX(0,MIN(3,'Loan Tape'!$AV36)-2))</f>
        <v>0</v>
      </c>
      <c r="F646" s="99" t="n">
        <f aca="false">MIN(F40,F40*CDR*MAX(0,MIN(4,'Loan Tape'!$AV36)-3))</f>
        <v>0</v>
      </c>
      <c r="G646" s="99" t="n">
        <f aca="false">MIN(G40,G40*CDR*MAX(0,MIN(5,'Loan Tape'!$AV36)-4))</f>
        <v>0</v>
      </c>
      <c r="H646" s="99" t="n">
        <f aca="false">MIN(H40,H40*CDR*MAX(0,MIN(6,'Loan Tape'!$AV36)-5))</f>
        <v>0</v>
      </c>
      <c r="I646" s="99" t="n">
        <f aca="false">MIN(I40,I40*CDR*MAX(0,MIN(7,'Loan Tape'!$AV36)-6))</f>
        <v>0</v>
      </c>
      <c r="J646" s="99" t="n">
        <f aca="false">MIN(J40,J40*CDR*MAX(0,MIN(8,'Loan Tape'!$AV36)-7))</f>
        <v>0</v>
      </c>
      <c r="K646" s="99" t="n">
        <f aca="false">MIN(K40,K40*CDR*MAX(0,MIN(9,'Loan Tape'!$AV36)-8))</f>
        <v>0</v>
      </c>
      <c r="L646" s="99" t="n">
        <f aca="false">MIN(L40,L40*CDR*MAX(0,MIN(10,'Loan Tape'!$AV36)-9))</f>
        <v>0</v>
      </c>
    </row>
    <row r="647" customFormat="false" ht="15" hidden="false" customHeight="false" outlineLevel="0" collapsed="false">
      <c r="B647" s="108" t="str">
        <f aca="false">'Loan Tape'!$A37</f>
        <v>L-034</v>
      </c>
      <c r="C647" s="71" t="n">
        <f aca="false">MIN(C41,C41*CDR*MAX(0,MIN(1,'Loan Tape'!$AV37)-0))</f>
        <v>227520</v>
      </c>
      <c r="D647" s="71" t="n">
        <f aca="false">MIN(D41,D41*CDR*MAX(0,MIN(2,'Loan Tape'!$AV37)-1))</f>
        <v>195216.792835679</v>
      </c>
      <c r="E647" s="71" t="n">
        <f aca="false">MIN(E41,E41*CDR*MAX(0,MIN(3,'Loan Tape'!$AV37)-2))</f>
        <v>167190.334642271</v>
      </c>
      <c r="F647" s="71" t="n">
        <f aca="false">MIN(F41,F41*CDR*MAX(0,MIN(4,'Loan Tape'!$AV37)-3))</f>
        <v>142896.323939263</v>
      </c>
      <c r="G647" s="71" t="n">
        <f aca="false">MIN(G41,G41*CDR*MAX(0,MIN(5,'Loan Tape'!$AV37)-4))</f>
        <v>121858.200273003</v>
      </c>
      <c r="H647" s="71" t="n">
        <f aca="false">MIN(H41,H41*CDR*MAX(0,MIN(6,'Loan Tape'!$AV37)-5))</f>
        <v>0</v>
      </c>
      <c r="I647" s="71" t="n">
        <f aca="false">MIN(I41,I41*CDR*MAX(0,MIN(7,'Loan Tape'!$AV37)-6))</f>
        <v>0</v>
      </c>
      <c r="J647" s="71" t="n">
        <f aca="false">MIN(J41,J41*CDR*MAX(0,MIN(8,'Loan Tape'!$AV37)-7))</f>
        <v>0</v>
      </c>
      <c r="K647" s="71" t="n">
        <f aca="false">MIN(K41,K41*CDR*MAX(0,MIN(9,'Loan Tape'!$AV37)-8))</f>
        <v>0</v>
      </c>
      <c r="L647" s="71" t="n">
        <f aca="false">MIN(L41,L41*CDR*MAX(0,MIN(10,'Loan Tape'!$AV37)-9))</f>
        <v>0</v>
      </c>
    </row>
    <row r="648" customFormat="false" ht="15" hidden="false" customHeight="false" outlineLevel="0" collapsed="false">
      <c r="B648" s="102" t="str">
        <f aca="false">'Loan Tape'!$A38</f>
        <v>L-035</v>
      </c>
      <c r="C648" s="99" t="n">
        <f aca="false">MIN(C42,C42*CDR*MAX(0,MIN(1,'Loan Tape'!$AV38)-0))</f>
        <v>1262500</v>
      </c>
      <c r="D648" s="99" t="n">
        <f aca="false">MIN(D42,D42*CDR*MAX(0,MIN(2,'Loan Tape'!$AV38)-1))</f>
        <v>1082197.01723107</v>
      </c>
      <c r="E648" s="99" t="n">
        <f aca="false">MIN(E42,E42*CDR*MAX(0,MIN(3,'Loan Tape'!$AV38)-2))</f>
        <v>386380.072951056</v>
      </c>
      <c r="F648" s="99" t="n">
        <f aca="false">MIN(F42,F42*CDR*MAX(0,MIN(4,'Loan Tape'!$AV38)-3))</f>
        <v>0</v>
      </c>
      <c r="G648" s="99" t="n">
        <f aca="false">MIN(G42,G42*CDR*MAX(0,MIN(5,'Loan Tape'!$AV38)-4))</f>
        <v>0</v>
      </c>
      <c r="H648" s="99" t="n">
        <f aca="false">MIN(H42,H42*CDR*MAX(0,MIN(6,'Loan Tape'!$AV38)-5))</f>
        <v>0</v>
      </c>
      <c r="I648" s="99" t="n">
        <f aca="false">MIN(I42,I42*CDR*MAX(0,MIN(7,'Loan Tape'!$AV38)-6))</f>
        <v>0</v>
      </c>
      <c r="J648" s="99" t="n">
        <f aca="false">MIN(J42,J42*CDR*MAX(0,MIN(8,'Loan Tape'!$AV38)-7))</f>
        <v>0</v>
      </c>
      <c r="K648" s="99" t="n">
        <f aca="false">MIN(K42,K42*CDR*MAX(0,MIN(9,'Loan Tape'!$AV38)-8))</f>
        <v>0</v>
      </c>
      <c r="L648" s="99" t="n">
        <f aca="false">MIN(L42,L42*CDR*MAX(0,MIN(10,'Loan Tape'!$AV38)-9))</f>
        <v>0</v>
      </c>
    </row>
    <row r="649" customFormat="false" ht="15" hidden="false" customHeight="false" outlineLevel="0" collapsed="false">
      <c r="B649" s="108" t="str">
        <f aca="false">'Loan Tape'!$A39</f>
        <v>L-036</v>
      </c>
      <c r="C649" s="71" t="n">
        <f aca="false">MIN(C43,C43*CDR*MAX(0,MIN(1,'Loan Tape'!$AV39)-0))</f>
        <v>765300</v>
      </c>
      <c r="D649" s="71" t="n">
        <f aca="false">MIN(D43,D43*CDR*MAX(0,MIN(2,'Loan Tape'!$AV39)-1))</f>
        <v>0</v>
      </c>
      <c r="E649" s="71" t="n">
        <f aca="false">MIN(E43,E43*CDR*MAX(0,MIN(3,'Loan Tape'!$AV39)-2))</f>
        <v>0</v>
      </c>
      <c r="F649" s="71" t="n">
        <f aca="false">MIN(F43,F43*CDR*MAX(0,MIN(4,'Loan Tape'!$AV39)-3))</f>
        <v>0</v>
      </c>
      <c r="G649" s="71" t="n">
        <f aca="false">MIN(G43,G43*CDR*MAX(0,MIN(5,'Loan Tape'!$AV39)-4))</f>
        <v>0</v>
      </c>
      <c r="H649" s="71" t="n">
        <f aca="false">MIN(H43,H43*CDR*MAX(0,MIN(6,'Loan Tape'!$AV39)-5))</f>
        <v>0</v>
      </c>
      <c r="I649" s="71" t="n">
        <f aca="false">MIN(I43,I43*CDR*MAX(0,MIN(7,'Loan Tape'!$AV39)-6))</f>
        <v>0</v>
      </c>
      <c r="J649" s="71" t="n">
        <f aca="false">MIN(J43,J43*CDR*MAX(0,MIN(8,'Loan Tape'!$AV39)-7))</f>
        <v>0</v>
      </c>
      <c r="K649" s="71" t="n">
        <f aca="false">MIN(K43,K43*CDR*MAX(0,MIN(9,'Loan Tape'!$AV39)-8))</f>
        <v>0</v>
      </c>
      <c r="L649" s="71" t="n">
        <f aca="false">MIN(L43,L43*CDR*MAX(0,MIN(10,'Loan Tape'!$AV39)-9))</f>
        <v>0</v>
      </c>
    </row>
    <row r="650" customFormat="false" ht="15" hidden="false" customHeight="false" outlineLevel="0" collapsed="false">
      <c r="B650" s="102" t="str">
        <f aca="false">'Loan Tape'!$A40</f>
        <v>L-037</v>
      </c>
      <c r="C650" s="99" t="n">
        <f aca="false">MIN(C44,C44*CDR*MAX(0,MIN(1,'Loan Tape'!$AV40)-0))</f>
        <v>0</v>
      </c>
      <c r="D650" s="99" t="n">
        <f aca="false">MIN(D44,D44*CDR*MAX(0,MIN(2,'Loan Tape'!$AV40)-1))</f>
        <v>0</v>
      </c>
      <c r="E650" s="99" t="n">
        <f aca="false">MIN(E44,E44*CDR*MAX(0,MIN(3,'Loan Tape'!$AV40)-2))</f>
        <v>0</v>
      </c>
      <c r="F650" s="99" t="n">
        <f aca="false">MIN(F44,F44*CDR*MAX(0,MIN(4,'Loan Tape'!$AV40)-3))</f>
        <v>0</v>
      </c>
      <c r="G650" s="99" t="n">
        <f aca="false">MIN(G44,G44*CDR*MAX(0,MIN(5,'Loan Tape'!$AV40)-4))</f>
        <v>0</v>
      </c>
      <c r="H650" s="99" t="n">
        <f aca="false">MIN(H44,H44*CDR*MAX(0,MIN(6,'Loan Tape'!$AV40)-5))</f>
        <v>0</v>
      </c>
      <c r="I650" s="99" t="n">
        <f aca="false">MIN(I44,I44*CDR*MAX(0,MIN(7,'Loan Tape'!$AV40)-6))</f>
        <v>0</v>
      </c>
      <c r="J650" s="99" t="n">
        <f aca="false">MIN(J44,J44*CDR*MAX(0,MIN(8,'Loan Tape'!$AV40)-7))</f>
        <v>0</v>
      </c>
      <c r="K650" s="99" t="n">
        <f aca="false">MIN(K44,K44*CDR*MAX(0,MIN(9,'Loan Tape'!$AV40)-8))</f>
        <v>0</v>
      </c>
      <c r="L650" s="99" t="n">
        <f aca="false">MIN(L44,L44*CDR*MAX(0,MIN(10,'Loan Tape'!$AV40)-9))</f>
        <v>0</v>
      </c>
    </row>
    <row r="651" customFormat="false" ht="15" hidden="false" customHeight="false" outlineLevel="0" collapsed="false">
      <c r="B651" s="108" t="str">
        <f aca="false">'Loan Tape'!$A41</f>
        <v>L-038</v>
      </c>
      <c r="C651" s="71" t="n">
        <f aca="false">MIN(C45,C45*CDR*MAX(0,MIN(1,'Loan Tape'!$AV41)-0))</f>
        <v>107380</v>
      </c>
      <c r="D651" s="71" t="n">
        <f aca="false">MIN(D45,D45*CDR*MAX(0,MIN(2,'Loan Tape'!$AV41)-1))</f>
        <v>93333.7330032409</v>
      </c>
      <c r="E651" s="71" t="n">
        <f aca="false">MIN(E45,E45*CDR*MAX(0,MIN(3,'Loan Tape'!$AV41)-2))</f>
        <v>80829.4256965341</v>
      </c>
      <c r="F651" s="71" t="n">
        <f aca="false">MIN(F45,F45*CDR*MAX(0,MIN(4,'Loan Tape'!$AV41)-3))</f>
        <v>69832.0959157175</v>
      </c>
      <c r="G651" s="71" t="n">
        <f aca="false">MIN(G45,G45*CDR*MAX(0,MIN(5,'Loan Tape'!$AV41)-4))</f>
        <v>60206.0321866558</v>
      </c>
      <c r="H651" s="71" t="n">
        <f aca="false">MIN(H45,H45*CDR*MAX(0,MIN(6,'Loan Tape'!$AV41)-5))</f>
        <v>0</v>
      </c>
      <c r="I651" s="71" t="n">
        <f aca="false">MIN(I45,I45*CDR*MAX(0,MIN(7,'Loan Tape'!$AV41)-6))</f>
        <v>0</v>
      </c>
      <c r="J651" s="71" t="n">
        <f aca="false">MIN(J45,J45*CDR*MAX(0,MIN(8,'Loan Tape'!$AV41)-7))</f>
        <v>0</v>
      </c>
      <c r="K651" s="71" t="n">
        <f aca="false">MIN(K45,K45*CDR*MAX(0,MIN(9,'Loan Tape'!$AV41)-8))</f>
        <v>0</v>
      </c>
      <c r="L651" s="71" t="n">
        <f aca="false">MIN(L45,L45*CDR*MAX(0,MIN(10,'Loan Tape'!$AV41)-9))</f>
        <v>0</v>
      </c>
    </row>
    <row r="652" customFormat="false" ht="15" hidden="false" customHeight="false" outlineLevel="0" collapsed="false">
      <c r="B652" s="102" t="str">
        <f aca="false">'Loan Tape'!$A42</f>
        <v>L-039</v>
      </c>
      <c r="C652" s="99" t="n">
        <f aca="false">MIN(C46,C46*CDR*MAX(0,MIN(1,'Loan Tape'!$AV42)-0))</f>
        <v>89980</v>
      </c>
      <c r="D652" s="99" t="n">
        <f aca="false">MIN(D46,D46*CDR*MAX(0,MIN(2,'Loan Tape'!$AV42)-1))</f>
        <v>77877.8840636604</v>
      </c>
      <c r="E652" s="99" t="n">
        <f aca="false">MIN(E46,E46*CDR*MAX(0,MIN(3,'Loan Tape'!$AV42)-2))</f>
        <v>67205.1109553448</v>
      </c>
      <c r="F652" s="99" t="n">
        <f aca="false">MIN(F46,F46*CDR*MAX(0,MIN(4,'Loan Tape'!$AV42)-3))</f>
        <v>57817.6842381271</v>
      </c>
      <c r="G652" s="99" t="n">
        <f aca="false">MIN(G46,G46*CDR*MAX(0,MIN(5,'Loan Tape'!$AV42)-4))</f>
        <v>16872.737348402</v>
      </c>
      <c r="H652" s="99" t="n">
        <f aca="false">MIN(H46,H46*CDR*MAX(0,MIN(6,'Loan Tape'!$AV42)-5))</f>
        <v>0</v>
      </c>
      <c r="I652" s="99" t="n">
        <f aca="false">MIN(I46,I46*CDR*MAX(0,MIN(7,'Loan Tape'!$AV42)-6))</f>
        <v>0</v>
      </c>
      <c r="J652" s="99" t="n">
        <f aca="false">MIN(J46,J46*CDR*MAX(0,MIN(8,'Loan Tape'!$AV42)-7))</f>
        <v>0</v>
      </c>
      <c r="K652" s="99" t="n">
        <f aca="false">MIN(K46,K46*CDR*MAX(0,MIN(9,'Loan Tape'!$AV42)-8))</f>
        <v>0</v>
      </c>
      <c r="L652" s="99" t="n">
        <f aca="false">MIN(L46,L46*CDR*MAX(0,MIN(10,'Loan Tape'!$AV42)-9))</f>
        <v>0</v>
      </c>
    </row>
    <row r="653" customFormat="false" ht="15" hidden="false" customHeight="false" outlineLevel="0" collapsed="false">
      <c r="B653" s="108" t="str">
        <f aca="false">'Loan Tape'!$A43</f>
        <v>L-040</v>
      </c>
      <c r="C653" s="71" t="n">
        <f aca="false">MIN(C47,C47*CDR*MAX(0,MIN(1,'Loan Tape'!$AV43)-0))</f>
        <v>1622500</v>
      </c>
      <c r="D653" s="71" t="n">
        <f aca="false">MIN(D47,D47*CDR*MAX(0,MIN(2,'Loan Tape'!$AV43)-1))</f>
        <v>1382112.03512169</v>
      </c>
      <c r="E653" s="71" t="n">
        <f aca="false">MIN(E47,E47*CDR*MAX(0,MIN(3,'Loan Tape'!$AV43)-2))</f>
        <v>590798.074854474</v>
      </c>
      <c r="F653" s="71" t="n">
        <f aca="false">MIN(F47,F47*CDR*MAX(0,MIN(4,'Loan Tape'!$AV43)-3))</f>
        <v>0</v>
      </c>
      <c r="G653" s="71" t="n">
        <f aca="false">MIN(G47,G47*CDR*MAX(0,MIN(5,'Loan Tape'!$AV43)-4))</f>
        <v>0</v>
      </c>
      <c r="H653" s="71" t="n">
        <f aca="false">MIN(H47,H47*CDR*MAX(0,MIN(6,'Loan Tape'!$AV43)-5))</f>
        <v>0</v>
      </c>
      <c r="I653" s="71" t="n">
        <f aca="false">MIN(I47,I47*CDR*MAX(0,MIN(7,'Loan Tape'!$AV43)-6))</f>
        <v>0</v>
      </c>
      <c r="J653" s="71" t="n">
        <f aca="false">MIN(J47,J47*CDR*MAX(0,MIN(8,'Loan Tape'!$AV43)-7))</f>
        <v>0</v>
      </c>
      <c r="K653" s="71" t="n">
        <f aca="false">MIN(K47,K47*CDR*MAX(0,MIN(9,'Loan Tape'!$AV43)-8))</f>
        <v>0</v>
      </c>
      <c r="L653" s="71" t="n">
        <f aca="false">MIN(L47,L47*CDR*MAX(0,MIN(10,'Loan Tape'!$AV43)-9))</f>
        <v>0</v>
      </c>
    </row>
    <row r="654" customFormat="false" ht="15" hidden="false" customHeight="false" outlineLevel="0" collapsed="false">
      <c r="B654" s="102" t="str">
        <f aca="false">'Loan Tape'!$A44</f>
        <v>L-041</v>
      </c>
      <c r="C654" s="99" t="n">
        <f aca="false">MIN(C48,C48*CDR*MAX(0,MIN(1,'Loan Tape'!$AV44)-0))</f>
        <v>612260</v>
      </c>
      <c r="D654" s="99" t="n">
        <f aca="false">MIN(D48,D48*CDR*MAX(0,MIN(2,'Loan Tape'!$AV44)-1))</f>
        <v>0</v>
      </c>
      <c r="E654" s="99" t="n">
        <f aca="false">MIN(E48,E48*CDR*MAX(0,MIN(3,'Loan Tape'!$AV44)-2))</f>
        <v>0</v>
      </c>
      <c r="F654" s="99" t="n">
        <f aca="false">MIN(F48,F48*CDR*MAX(0,MIN(4,'Loan Tape'!$AV44)-3))</f>
        <v>0</v>
      </c>
      <c r="G654" s="99" t="n">
        <f aca="false">MIN(G48,G48*CDR*MAX(0,MIN(5,'Loan Tape'!$AV44)-4))</f>
        <v>0</v>
      </c>
      <c r="H654" s="99" t="n">
        <f aca="false">MIN(H48,H48*CDR*MAX(0,MIN(6,'Loan Tape'!$AV44)-5))</f>
        <v>0</v>
      </c>
      <c r="I654" s="99" t="n">
        <f aca="false">MIN(I48,I48*CDR*MAX(0,MIN(7,'Loan Tape'!$AV44)-6))</f>
        <v>0</v>
      </c>
      <c r="J654" s="99" t="n">
        <f aca="false">MIN(J48,J48*CDR*MAX(0,MIN(8,'Loan Tape'!$AV44)-7))</f>
        <v>0</v>
      </c>
      <c r="K654" s="99" t="n">
        <f aca="false">MIN(K48,K48*CDR*MAX(0,MIN(9,'Loan Tape'!$AV44)-8))</f>
        <v>0</v>
      </c>
      <c r="L654" s="99" t="n">
        <f aca="false">MIN(L48,L48*CDR*MAX(0,MIN(10,'Loan Tape'!$AV44)-9))</f>
        <v>0</v>
      </c>
    </row>
    <row r="655" customFormat="false" ht="15" hidden="false" customHeight="false" outlineLevel="0" collapsed="false">
      <c r="B655" s="108" t="str">
        <f aca="false">'Loan Tape'!$A45</f>
        <v>L-042</v>
      </c>
      <c r="C655" s="71" t="n">
        <f aca="false">MIN(C49,C49*CDR*MAX(0,MIN(1,'Loan Tape'!$AV45)-0))</f>
        <v>100780</v>
      </c>
      <c r="D655" s="71" t="n">
        <f aca="false">MIN(D49,D49*CDR*MAX(0,MIN(2,'Loan Tape'!$AV45)-1))</f>
        <v>87029.6068248871</v>
      </c>
      <c r="E655" s="71" t="n">
        <f aca="false">MIN(E49,E49*CDR*MAX(0,MIN(3,'Loan Tape'!$AV45)-2))</f>
        <v>50240.7153250252</v>
      </c>
      <c r="F655" s="71" t="n">
        <f aca="false">MIN(F49,F49*CDR*MAX(0,MIN(4,'Loan Tape'!$AV45)-3))</f>
        <v>0</v>
      </c>
      <c r="G655" s="71" t="n">
        <f aca="false">MIN(G49,G49*CDR*MAX(0,MIN(5,'Loan Tape'!$AV45)-4))</f>
        <v>0</v>
      </c>
      <c r="H655" s="71" t="n">
        <f aca="false">MIN(H49,H49*CDR*MAX(0,MIN(6,'Loan Tape'!$AV45)-5))</f>
        <v>0</v>
      </c>
      <c r="I655" s="71" t="n">
        <f aca="false">MIN(I49,I49*CDR*MAX(0,MIN(7,'Loan Tape'!$AV45)-6))</f>
        <v>0</v>
      </c>
      <c r="J655" s="71" t="n">
        <f aca="false">MIN(J49,J49*CDR*MAX(0,MIN(8,'Loan Tape'!$AV45)-7))</f>
        <v>0</v>
      </c>
      <c r="K655" s="71" t="n">
        <f aca="false">MIN(K49,K49*CDR*MAX(0,MIN(9,'Loan Tape'!$AV45)-8))</f>
        <v>0</v>
      </c>
      <c r="L655" s="71" t="n">
        <f aca="false">MIN(L49,L49*CDR*MAX(0,MIN(10,'Loan Tape'!$AV45)-9))</f>
        <v>0</v>
      </c>
    </row>
    <row r="656" customFormat="false" ht="15" hidden="false" customHeight="false" outlineLevel="0" collapsed="false">
      <c r="B656" s="102" t="str">
        <f aca="false">'Loan Tape'!$A46</f>
        <v>L-043</v>
      </c>
      <c r="C656" s="99" t="n">
        <f aca="false">MIN(C50,C50*CDR*MAX(0,MIN(1,'Loan Tape'!$AV46)-0))</f>
        <v>173600</v>
      </c>
      <c r="D656" s="99" t="n">
        <f aca="false">MIN(D50,D50*CDR*MAX(0,MIN(2,'Loan Tape'!$AV46)-1))</f>
        <v>149295.799984939</v>
      </c>
      <c r="E656" s="99" t="n">
        <f aca="false">MIN(E50,E50*CDR*MAX(0,MIN(3,'Loan Tape'!$AV46)-2))</f>
        <v>127923.979705975</v>
      </c>
      <c r="F656" s="99" t="n">
        <f aca="false">MIN(F50,F50*CDR*MAX(0,MIN(4,'Loan Tape'!$AV46)-3))</f>
        <v>27954.0399009085</v>
      </c>
      <c r="G656" s="99" t="n">
        <f aca="false">MIN(G50,G50*CDR*MAX(0,MIN(5,'Loan Tape'!$AV46)-4))</f>
        <v>0</v>
      </c>
      <c r="H656" s="99" t="n">
        <f aca="false">MIN(H50,H50*CDR*MAX(0,MIN(6,'Loan Tape'!$AV46)-5))</f>
        <v>0</v>
      </c>
      <c r="I656" s="99" t="n">
        <f aca="false">MIN(I50,I50*CDR*MAX(0,MIN(7,'Loan Tape'!$AV46)-6))</f>
        <v>0</v>
      </c>
      <c r="J656" s="99" t="n">
        <f aca="false">MIN(J50,J50*CDR*MAX(0,MIN(8,'Loan Tape'!$AV46)-7))</f>
        <v>0</v>
      </c>
      <c r="K656" s="99" t="n">
        <f aca="false">MIN(K50,K50*CDR*MAX(0,MIN(9,'Loan Tape'!$AV46)-8))</f>
        <v>0</v>
      </c>
      <c r="L656" s="99" t="n">
        <f aca="false">MIN(L50,L50*CDR*MAX(0,MIN(10,'Loan Tape'!$AV46)-9))</f>
        <v>0</v>
      </c>
    </row>
    <row r="657" customFormat="false" ht="15" hidden="false" customHeight="false" outlineLevel="0" collapsed="false">
      <c r="B657" s="108" t="str">
        <f aca="false">'Loan Tape'!$A47</f>
        <v>L-044</v>
      </c>
      <c r="C657" s="71" t="n">
        <f aca="false">MIN(C51,C51*CDR*MAX(0,MIN(1,'Loan Tape'!$AV47)-0))</f>
        <v>1574140</v>
      </c>
      <c r="D657" s="71" t="n">
        <f aca="false">MIN(D51,D51*CDR*MAX(0,MIN(2,'Loan Tape'!$AV47)-1))</f>
        <v>0</v>
      </c>
      <c r="E657" s="71" t="n">
        <f aca="false">MIN(E51,E51*CDR*MAX(0,MIN(3,'Loan Tape'!$AV47)-2))</f>
        <v>0</v>
      </c>
      <c r="F657" s="71" t="n">
        <f aca="false">MIN(F51,F51*CDR*MAX(0,MIN(4,'Loan Tape'!$AV47)-3))</f>
        <v>0</v>
      </c>
      <c r="G657" s="71" t="n">
        <f aca="false">MIN(G51,G51*CDR*MAX(0,MIN(5,'Loan Tape'!$AV47)-4))</f>
        <v>0</v>
      </c>
      <c r="H657" s="71" t="n">
        <f aca="false">MIN(H51,H51*CDR*MAX(0,MIN(6,'Loan Tape'!$AV47)-5))</f>
        <v>0</v>
      </c>
      <c r="I657" s="71" t="n">
        <f aca="false">MIN(I51,I51*CDR*MAX(0,MIN(7,'Loan Tape'!$AV47)-6))</f>
        <v>0</v>
      </c>
      <c r="J657" s="71" t="n">
        <f aca="false">MIN(J51,J51*CDR*MAX(0,MIN(8,'Loan Tape'!$AV47)-7))</f>
        <v>0</v>
      </c>
      <c r="K657" s="71" t="n">
        <f aca="false">MIN(K51,K51*CDR*MAX(0,MIN(9,'Loan Tape'!$AV47)-8))</f>
        <v>0</v>
      </c>
      <c r="L657" s="71" t="n">
        <f aca="false">MIN(L51,L51*CDR*MAX(0,MIN(10,'Loan Tape'!$AV47)-9))</f>
        <v>0</v>
      </c>
    </row>
    <row r="658" customFormat="false" ht="15" hidden="false" customHeight="false" outlineLevel="0" collapsed="false">
      <c r="B658" s="102" t="str">
        <f aca="false">'Loan Tape'!$A48</f>
        <v>L-045</v>
      </c>
      <c r="C658" s="99" t="n">
        <f aca="false">MIN(C52,C52*CDR*MAX(0,MIN(1,'Loan Tape'!$AV48)-0))</f>
        <v>1090760</v>
      </c>
      <c r="D658" s="99" t="n">
        <f aca="false">MIN(D52,D52*CDR*MAX(0,MIN(2,'Loan Tape'!$AV48)-1))</f>
        <v>957041.402935302</v>
      </c>
      <c r="E658" s="99" t="n">
        <f aca="false">MIN(E52,E52*CDR*MAX(0,MIN(3,'Loan Tape'!$AV48)-2))</f>
        <v>830450.686392389</v>
      </c>
      <c r="F658" s="99" t="n">
        <f aca="false">MIN(F52,F52*CDR*MAX(0,MIN(4,'Loan Tape'!$AV48)-3))</f>
        <v>718994.946402905</v>
      </c>
      <c r="G658" s="99" t="n">
        <f aca="false">MIN(G52,G52*CDR*MAX(0,MIN(5,'Loan Tape'!$AV48)-4))</f>
        <v>621272.790564996</v>
      </c>
      <c r="H658" s="99" t="n">
        <f aca="false">MIN(H52,H52*CDR*MAX(0,MIN(6,'Loan Tape'!$AV48)-5))</f>
        <v>0</v>
      </c>
      <c r="I658" s="99" t="n">
        <f aca="false">MIN(I52,I52*CDR*MAX(0,MIN(7,'Loan Tape'!$AV48)-6))</f>
        <v>0</v>
      </c>
      <c r="J658" s="99" t="n">
        <f aca="false">MIN(J52,J52*CDR*MAX(0,MIN(8,'Loan Tape'!$AV48)-7))</f>
        <v>0</v>
      </c>
      <c r="K658" s="99" t="n">
        <f aca="false">MIN(K52,K52*CDR*MAX(0,MIN(9,'Loan Tape'!$AV48)-8))</f>
        <v>0</v>
      </c>
      <c r="L658" s="99" t="n">
        <f aca="false">MIN(L52,L52*CDR*MAX(0,MIN(10,'Loan Tape'!$AV48)-9))</f>
        <v>0</v>
      </c>
    </row>
    <row r="659" customFormat="false" ht="15" hidden="false" customHeight="false" outlineLevel="0" collapsed="false">
      <c r="B659" s="108" t="str">
        <f aca="false">'Loan Tape'!$A49</f>
        <v>L-046</v>
      </c>
      <c r="C659" s="71" t="n">
        <f aca="false">MIN(C53,C53*CDR*MAX(0,MIN(1,'Loan Tape'!$AV49)-0))</f>
        <v>2267400</v>
      </c>
      <c r="D659" s="71" t="n">
        <f aca="false">MIN(D53,D53*CDR*MAX(0,MIN(2,'Loan Tape'!$AV49)-1))</f>
        <v>0</v>
      </c>
      <c r="E659" s="71" t="n">
        <f aca="false">MIN(E53,E53*CDR*MAX(0,MIN(3,'Loan Tape'!$AV49)-2))</f>
        <v>0</v>
      </c>
      <c r="F659" s="71" t="n">
        <f aca="false">MIN(F53,F53*CDR*MAX(0,MIN(4,'Loan Tape'!$AV49)-3))</f>
        <v>0</v>
      </c>
      <c r="G659" s="71" t="n">
        <f aca="false">MIN(G53,G53*CDR*MAX(0,MIN(5,'Loan Tape'!$AV49)-4))</f>
        <v>0</v>
      </c>
      <c r="H659" s="71" t="n">
        <f aca="false">MIN(H53,H53*CDR*MAX(0,MIN(6,'Loan Tape'!$AV49)-5))</f>
        <v>0</v>
      </c>
      <c r="I659" s="71" t="n">
        <f aca="false">MIN(I53,I53*CDR*MAX(0,MIN(7,'Loan Tape'!$AV49)-6))</f>
        <v>0</v>
      </c>
      <c r="J659" s="71" t="n">
        <f aca="false">MIN(J53,J53*CDR*MAX(0,MIN(8,'Loan Tape'!$AV49)-7))</f>
        <v>0</v>
      </c>
      <c r="K659" s="71" t="n">
        <f aca="false">MIN(K53,K53*CDR*MAX(0,MIN(9,'Loan Tape'!$AV49)-8))</f>
        <v>0</v>
      </c>
      <c r="L659" s="71" t="n">
        <f aca="false">MIN(L53,L53*CDR*MAX(0,MIN(10,'Loan Tape'!$AV49)-9))</f>
        <v>0</v>
      </c>
    </row>
    <row r="660" customFormat="false" ht="15" hidden="false" customHeight="false" outlineLevel="0" collapsed="false">
      <c r="B660" s="102" t="str">
        <f aca="false">'Loan Tape'!$A50</f>
        <v>L-047</v>
      </c>
      <c r="C660" s="99" t="n">
        <f aca="false">MIN(C54,C54*CDR*MAX(0,MIN(1,'Loan Tape'!$AV50)-0))</f>
        <v>105180</v>
      </c>
      <c r="D660" s="99" t="n">
        <f aca="false">MIN(D54,D54*CDR*MAX(0,MIN(2,'Loan Tape'!$AV50)-1))</f>
        <v>92558.4</v>
      </c>
      <c r="E660" s="99" t="n">
        <f aca="false">MIN(E54,E54*CDR*MAX(0,MIN(3,'Loan Tape'!$AV50)-2))</f>
        <v>81451.392</v>
      </c>
      <c r="F660" s="99" t="n">
        <f aca="false">MIN(F54,F54*CDR*MAX(0,MIN(4,'Loan Tape'!$AV50)-3))</f>
        <v>35961.2634467351</v>
      </c>
      <c r="G660" s="99" t="n">
        <f aca="false">MIN(G54,G54*CDR*MAX(0,MIN(5,'Loan Tape'!$AV50)-4))</f>
        <v>0</v>
      </c>
      <c r="H660" s="99" t="n">
        <f aca="false">MIN(H54,H54*CDR*MAX(0,MIN(6,'Loan Tape'!$AV50)-5))</f>
        <v>0</v>
      </c>
      <c r="I660" s="99" t="n">
        <f aca="false">MIN(I54,I54*CDR*MAX(0,MIN(7,'Loan Tape'!$AV50)-6))</f>
        <v>0</v>
      </c>
      <c r="J660" s="99" t="n">
        <f aca="false">MIN(J54,J54*CDR*MAX(0,MIN(8,'Loan Tape'!$AV50)-7))</f>
        <v>0</v>
      </c>
      <c r="K660" s="99" t="n">
        <f aca="false">MIN(K54,K54*CDR*MAX(0,MIN(9,'Loan Tape'!$AV50)-8))</f>
        <v>0</v>
      </c>
      <c r="L660" s="99" t="n">
        <f aca="false">MIN(L54,L54*CDR*MAX(0,MIN(10,'Loan Tape'!$AV50)-9))</f>
        <v>0</v>
      </c>
    </row>
    <row r="661" customFormat="false" ht="15" hidden="false" customHeight="false" outlineLevel="0" collapsed="false">
      <c r="B661" s="108" t="str">
        <f aca="false">'Loan Tape'!$A51</f>
        <v>L-048</v>
      </c>
      <c r="C661" s="71" t="n">
        <f aca="false">MIN(C55,C55*CDR*MAX(0,MIN(1,'Loan Tape'!$AV51)-0))</f>
        <v>2004020</v>
      </c>
      <c r="D661" s="71" t="n">
        <f aca="false">MIN(D55,D55*CDR*MAX(0,MIN(2,'Loan Tape'!$AV51)-1))</f>
        <v>1152301.15486867</v>
      </c>
      <c r="E661" s="71" t="n">
        <f aca="false">MIN(E55,E55*CDR*MAX(0,MIN(3,'Loan Tape'!$AV51)-2))</f>
        <v>0</v>
      </c>
      <c r="F661" s="71" t="n">
        <f aca="false">MIN(F55,F55*CDR*MAX(0,MIN(4,'Loan Tape'!$AV51)-3))</f>
        <v>0</v>
      </c>
      <c r="G661" s="71" t="n">
        <f aca="false">MIN(G55,G55*CDR*MAX(0,MIN(5,'Loan Tape'!$AV51)-4))</f>
        <v>0</v>
      </c>
      <c r="H661" s="71" t="n">
        <f aca="false">MIN(H55,H55*CDR*MAX(0,MIN(6,'Loan Tape'!$AV51)-5))</f>
        <v>0</v>
      </c>
      <c r="I661" s="71" t="n">
        <f aca="false">MIN(I55,I55*CDR*MAX(0,MIN(7,'Loan Tape'!$AV51)-6))</f>
        <v>0</v>
      </c>
      <c r="J661" s="71" t="n">
        <f aca="false">MIN(J55,J55*CDR*MAX(0,MIN(8,'Loan Tape'!$AV51)-7))</f>
        <v>0</v>
      </c>
      <c r="K661" s="71" t="n">
        <f aca="false">MIN(K55,K55*CDR*MAX(0,MIN(9,'Loan Tape'!$AV51)-8))</f>
        <v>0</v>
      </c>
      <c r="L661" s="71" t="n">
        <f aca="false">MIN(L55,L55*CDR*MAX(0,MIN(10,'Loan Tape'!$AV51)-9))</f>
        <v>0</v>
      </c>
    </row>
    <row r="662" customFormat="false" ht="15" hidden="false" customHeight="false" outlineLevel="0" collapsed="false">
      <c r="B662" s="102" t="str">
        <f aca="false">'Loan Tape'!$A52</f>
        <v>L-049</v>
      </c>
      <c r="C662" s="99" t="n">
        <f aca="false">MIN(C56,C56*CDR*MAX(0,MIN(1,'Loan Tape'!$AV52)-0))</f>
        <v>0</v>
      </c>
      <c r="D662" s="99" t="n">
        <f aca="false">MIN(D56,D56*CDR*MAX(0,MIN(2,'Loan Tape'!$AV52)-1))</f>
        <v>0</v>
      </c>
      <c r="E662" s="99" t="n">
        <f aca="false">MIN(E56,E56*CDR*MAX(0,MIN(3,'Loan Tape'!$AV52)-2))</f>
        <v>0</v>
      </c>
      <c r="F662" s="99" t="n">
        <f aca="false">MIN(F56,F56*CDR*MAX(0,MIN(4,'Loan Tape'!$AV52)-3))</f>
        <v>0</v>
      </c>
      <c r="G662" s="99" t="n">
        <f aca="false">MIN(G56,G56*CDR*MAX(0,MIN(5,'Loan Tape'!$AV52)-4))</f>
        <v>0</v>
      </c>
      <c r="H662" s="99" t="n">
        <f aca="false">MIN(H56,H56*CDR*MAX(0,MIN(6,'Loan Tape'!$AV52)-5))</f>
        <v>0</v>
      </c>
      <c r="I662" s="99" t="n">
        <f aca="false">MIN(I56,I56*CDR*MAX(0,MIN(7,'Loan Tape'!$AV52)-6))</f>
        <v>0</v>
      </c>
      <c r="J662" s="99" t="n">
        <f aca="false">MIN(J56,J56*CDR*MAX(0,MIN(8,'Loan Tape'!$AV52)-7))</f>
        <v>0</v>
      </c>
      <c r="K662" s="99" t="n">
        <f aca="false">MIN(K56,K56*CDR*MAX(0,MIN(9,'Loan Tape'!$AV52)-8))</f>
        <v>0</v>
      </c>
      <c r="L662" s="99" t="n">
        <f aca="false">MIN(L56,L56*CDR*MAX(0,MIN(10,'Loan Tape'!$AV52)-9))</f>
        <v>0</v>
      </c>
    </row>
    <row r="663" customFormat="false" ht="15" hidden="false" customHeight="false" outlineLevel="0" collapsed="false">
      <c r="B663" s="108" t="str">
        <f aca="false">'Loan Tape'!$A53</f>
        <v>L-050</v>
      </c>
      <c r="C663" s="71" t="n">
        <f aca="false">MIN(C57,C57*CDR*MAX(0,MIN(1,'Loan Tape'!$AV53)-0))</f>
        <v>2406260</v>
      </c>
      <c r="D663" s="71" t="n">
        <f aca="false">MIN(D57,D57*CDR*MAX(0,MIN(2,'Loan Tape'!$AV53)-1))</f>
        <v>2117508.8</v>
      </c>
      <c r="E663" s="71" t="n">
        <f aca="false">MIN(E57,E57*CDR*MAX(0,MIN(3,'Loan Tape'!$AV53)-2))</f>
        <v>1248648.99478166</v>
      </c>
      <c r="F663" s="71" t="n">
        <f aca="false">MIN(F57,F57*CDR*MAX(0,MIN(4,'Loan Tape'!$AV53)-3))</f>
        <v>0</v>
      </c>
      <c r="G663" s="71" t="n">
        <f aca="false">MIN(G57,G57*CDR*MAX(0,MIN(5,'Loan Tape'!$AV53)-4))</f>
        <v>0</v>
      </c>
      <c r="H663" s="71" t="n">
        <f aca="false">MIN(H57,H57*CDR*MAX(0,MIN(6,'Loan Tape'!$AV53)-5))</f>
        <v>0</v>
      </c>
      <c r="I663" s="71" t="n">
        <f aca="false">MIN(I57,I57*CDR*MAX(0,MIN(7,'Loan Tape'!$AV53)-6))</f>
        <v>0</v>
      </c>
      <c r="J663" s="71" t="n">
        <f aca="false">MIN(J57,J57*CDR*MAX(0,MIN(8,'Loan Tape'!$AV53)-7))</f>
        <v>0</v>
      </c>
      <c r="K663" s="71" t="n">
        <f aca="false">MIN(K57,K57*CDR*MAX(0,MIN(9,'Loan Tape'!$AV53)-8))</f>
        <v>0</v>
      </c>
      <c r="L663" s="71" t="n">
        <f aca="false">MIN(L57,L57*CDR*MAX(0,MIN(10,'Loan Tape'!$AV53)-9))</f>
        <v>0</v>
      </c>
    </row>
    <row r="664" customFormat="false" ht="15" hidden="false" customHeight="false" outlineLevel="0" collapsed="false">
      <c r="B664" s="102" t="n">
        <f aca="false">'Loan Tape'!$A54</f>
        <v>0</v>
      </c>
      <c r="C664" s="99" t="n">
        <f aca="false">MIN(C58,C58*CDR*MAX(0,MIN(1,'Loan Tape'!$AV54)-0))</f>
        <v>0</v>
      </c>
      <c r="D664" s="99" t="n">
        <f aca="false">MIN(D58,D58*CDR*MAX(0,MIN(2,'Loan Tape'!$AV54)-1))</f>
        <v>0</v>
      </c>
      <c r="E664" s="99" t="n">
        <f aca="false">MIN(E58,E58*CDR*MAX(0,MIN(3,'Loan Tape'!$AV54)-2))</f>
        <v>0</v>
      </c>
      <c r="F664" s="99" t="n">
        <f aca="false">MIN(F58,F58*CDR*MAX(0,MIN(4,'Loan Tape'!$AV54)-3))</f>
        <v>0</v>
      </c>
      <c r="G664" s="99" t="n">
        <f aca="false">MIN(G58,G58*CDR*MAX(0,MIN(5,'Loan Tape'!$AV54)-4))</f>
        <v>0</v>
      </c>
      <c r="H664" s="99" t="n">
        <f aca="false">MIN(H58,H58*CDR*MAX(0,MIN(6,'Loan Tape'!$AV54)-5))</f>
        <v>0</v>
      </c>
      <c r="I664" s="99" t="n">
        <f aca="false">MIN(I58,I58*CDR*MAX(0,MIN(7,'Loan Tape'!$AV54)-6))</f>
        <v>0</v>
      </c>
      <c r="J664" s="99" t="n">
        <f aca="false">MIN(J58,J58*CDR*MAX(0,MIN(8,'Loan Tape'!$AV54)-7))</f>
        <v>0</v>
      </c>
      <c r="K664" s="99" t="n">
        <f aca="false">MIN(K58,K58*CDR*MAX(0,MIN(9,'Loan Tape'!$AV54)-8))</f>
        <v>0</v>
      </c>
      <c r="L664" s="99" t="n">
        <f aca="false">MIN(L58,L58*CDR*MAX(0,MIN(10,'Loan Tape'!$AV54)-9))</f>
        <v>0</v>
      </c>
    </row>
    <row r="665" customFormat="false" ht="15" hidden="false" customHeight="false" outlineLevel="0" collapsed="false">
      <c r="B665" s="108" t="n">
        <f aca="false">'Loan Tape'!$A55</f>
        <v>0</v>
      </c>
      <c r="C665" s="71" t="n">
        <f aca="false">MIN(C59,C59*CDR*MAX(0,MIN(1,'Loan Tape'!$AV55)-0))</f>
        <v>0</v>
      </c>
      <c r="D665" s="71" t="n">
        <f aca="false">MIN(D59,D59*CDR*MAX(0,MIN(2,'Loan Tape'!$AV55)-1))</f>
        <v>0</v>
      </c>
      <c r="E665" s="71" t="n">
        <f aca="false">MIN(E59,E59*CDR*MAX(0,MIN(3,'Loan Tape'!$AV55)-2))</f>
        <v>0</v>
      </c>
      <c r="F665" s="71" t="n">
        <f aca="false">MIN(F59,F59*CDR*MAX(0,MIN(4,'Loan Tape'!$AV55)-3))</f>
        <v>0</v>
      </c>
      <c r="G665" s="71" t="n">
        <f aca="false">MIN(G59,G59*CDR*MAX(0,MIN(5,'Loan Tape'!$AV55)-4))</f>
        <v>0</v>
      </c>
      <c r="H665" s="71" t="n">
        <f aca="false">MIN(H59,H59*CDR*MAX(0,MIN(6,'Loan Tape'!$AV55)-5))</f>
        <v>0</v>
      </c>
      <c r="I665" s="71" t="n">
        <f aca="false">MIN(I59,I59*CDR*MAX(0,MIN(7,'Loan Tape'!$AV55)-6))</f>
        <v>0</v>
      </c>
      <c r="J665" s="71" t="n">
        <f aca="false">MIN(J59,J59*CDR*MAX(0,MIN(8,'Loan Tape'!$AV55)-7))</f>
        <v>0</v>
      </c>
      <c r="K665" s="71" t="n">
        <f aca="false">MIN(K59,K59*CDR*MAX(0,MIN(9,'Loan Tape'!$AV55)-8))</f>
        <v>0</v>
      </c>
      <c r="L665" s="71" t="n">
        <f aca="false">MIN(L59,L59*CDR*MAX(0,MIN(10,'Loan Tape'!$AV55)-9))</f>
        <v>0</v>
      </c>
    </row>
    <row r="666" customFormat="false" ht="15" hidden="false" customHeight="false" outlineLevel="0" collapsed="false">
      <c r="B666" s="102" t="n">
        <f aca="false">'Loan Tape'!$A56</f>
        <v>0</v>
      </c>
      <c r="C666" s="99" t="n">
        <f aca="false">MIN(C60,C60*CDR*MAX(0,MIN(1,'Loan Tape'!$AV56)-0))</f>
        <v>0</v>
      </c>
      <c r="D666" s="99" t="n">
        <f aca="false">MIN(D60,D60*CDR*MAX(0,MIN(2,'Loan Tape'!$AV56)-1))</f>
        <v>0</v>
      </c>
      <c r="E666" s="99" t="n">
        <f aca="false">MIN(E60,E60*CDR*MAX(0,MIN(3,'Loan Tape'!$AV56)-2))</f>
        <v>0</v>
      </c>
      <c r="F666" s="99" t="n">
        <f aca="false">MIN(F60,F60*CDR*MAX(0,MIN(4,'Loan Tape'!$AV56)-3))</f>
        <v>0</v>
      </c>
      <c r="G666" s="99" t="n">
        <f aca="false">MIN(G60,G60*CDR*MAX(0,MIN(5,'Loan Tape'!$AV56)-4))</f>
        <v>0</v>
      </c>
      <c r="H666" s="99" t="n">
        <f aca="false">MIN(H60,H60*CDR*MAX(0,MIN(6,'Loan Tape'!$AV56)-5))</f>
        <v>0</v>
      </c>
      <c r="I666" s="99" t="n">
        <f aca="false">MIN(I60,I60*CDR*MAX(0,MIN(7,'Loan Tape'!$AV56)-6))</f>
        <v>0</v>
      </c>
      <c r="J666" s="99" t="n">
        <f aca="false">MIN(J60,J60*CDR*MAX(0,MIN(8,'Loan Tape'!$AV56)-7))</f>
        <v>0</v>
      </c>
      <c r="K666" s="99" t="n">
        <f aca="false">MIN(K60,K60*CDR*MAX(0,MIN(9,'Loan Tape'!$AV56)-8))</f>
        <v>0</v>
      </c>
      <c r="L666" s="99" t="n">
        <f aca="false">MIN(L60,L60*CDR*MAX(0,MIN(10,'Loan Tape'!$AV56)-9))</f>
        <v>0</v>
      </c>
    </row>
    <row r="667" customFormat="false" ht="15" hidden="false" customHeight="false" outlineLevel="0" collapsed="false">
      <c r="B667" s="108" t="n">
        <f aca="false">'Loan Tape'!$A57</f>
        <v>0</v>
      </c>
      <c r="C667" s="71" t="n">
        <f aca="false">MIN(C61,C61*CDR*MAX(0,MIN(1,'Loan Tape'!$AV57)-0))</f>
        <v>0</v>
      </c>
      <c r="D667" s="71" t="n">
        <f aca="false">MIN(D61,D61*CDR*MAX(0,MIN(2,'Loan Tape'!$AV57)-1))</f>
        <v>0</v>
      </c>
      <c r="E667" s="71" t="n">
        <f aca="false">MIN(E61,E61*CDR*MAX(0,MIN(3,'Loan Tape'!$AV57)-2))</f>
        <v>0</v>
      </c>
      <c r="F667" s="71" t="n">
        <f aca="false">MIN(F61,F61*CDR*MAX(0,MIN(4,'Loan Tape'!$AV57)-3))</f>
        <v>0</v>
      </c>
      <c r="G667" s="71" t="n">
        <f aca="false">MIN(G61,G61*CDR*MAX(0,MIN(5,'Loan Tape'!$AV57)-4))</f>
        <v>0</v>
      </c>
      <c r="H667" s="71" t="n">
        <f aca="false">MIN(H61,H61*CDR*MAX(0,MIN(6,'Loan Tape'!$AV57)-5))</f>
        <v>0</v>
      </c>
      <c r="I667" s="71" t="n">
        <f aca="false">MIN(I61,I61*CDR*MAX(0,MIN(7,'Loan Tape'!$AV57)-6))</f>
        <v>0</v>
      </c>
      <c r="J667" s="71" t="n">
        <f aca="false">MIN(J61,J61*CDR*MAX(0,MIN(8,'Loan Tape'!$AV57)-7))</f>
        <v>0</v>
      </c>
      <c r="K667" s="71" t="n">
        <f aca="false">MIN(K61,K61*CDR*MAX(0,MIN(9,'Loan Tape'!$AV57)-8))</f>
        <v>0</v>
      </c>
      <c r="L667" s="71" t="n">
        <f aca="false">MIN(L61,L61*CDR*MAX(0,MIN(10,'Loan Tape'!$AV57)-9))</f>
        <v>0</v>
      </c>
    </row>
    <row r="668" customFormat="false" ht="15" hidden="false" customHeight="false" outlineLevel="0" collapsed="false">
      <c r="B668" s="102" t="n">
        <f aca="false">'Loan Tape'!$A58</f>
        <v>0</v>
      </c>
      <c r="C668" s="99" t="n">
        <f aca="false">MIN(C62,C62*CDR*MAX(0,MIN(1,'Loan Tape'!$AV58)-0))</f>
        <v>0</v>
      </c>
      <c r="D668" s="99" t="n">
        <f aca="false">MIN(D62,D62*CDR*MAX(0,MIN(2,'Loan Tape'!$AV58)-1))</f>
        <v>0</v>
      </c>
      <c r="E668" s="99" t="n">
        <f aca="false">MIN(E62,E62*CDR*MAX(0,MIN(3,'Loan Tape'!$AV58)-2))</f>
        <v>0</v>
      </c>
      <c r="F668" s="99" t="n">
        <f aca="false">MIN(F62,F62*CDR*MAX(0,MIN(4,'Loan Tape'!$AV58)-3))</f>
        <v>0</v>
      </c>
      <c r="G668" s="99" t="n">
        <f aca="false">MIN(G62,G62*CDR*MAX(0,MIN(5,'Loan Tape'!$AV58)-4))</f>
        <v>0</v>
      </c>
      <c r="H668" s="99" t="n">
        <f aca="false">MIN(H62,H62*CDR*MAX(0,MIN(6,'Loan Tape'!$AV58)-5))</f>
        <v>0</v>
      </c>
      <c r="I668" s="99" t="n">
        <f aca="false">MIN(I62,I62*CDR*MAX(0,MIN(7,'Loan Tape'!$AV58)-6))</f>
        <v>0</v>
      </c>
      <c r="J668" s="99" t="n">
        <f aca="false">MIN(J62,J62*CDR*MAX(0,MIN(8,'Loan Tape'!$AV58)-7))</f>
        <v>0</v>
      </c>
      <c r="K668" s="99" t="n">
        <f aca="false">MIN(K62,K62*CDR*MAX(0,MIN(9,'Loan Tape'!$AV58)-8))</f>
        <v>0</v>
      </c>
      <c r="L668" s="99" t="n">
        <f aca="false">MIN(L62,L62*CDR*MAX(0,MIN(10,'Loan Tape'!$AV58)-9))</f>
        <v>0</v>
      </c>
    </row>
    <row r="669" customFormat="false" ht="15" hidden="false" customHeight="false" outlineLevel="0" collapsed="false">
      <c r="B669" s="108" t="n">
        <f aca="false">'Loan Tape'!$A59</f>
        <v>0</v>
      </c>
      <c r="C669" s="71" t="n">
        <f aca="false">MIN(C63,C63*CDR*MAX(0,MIN(1,'Loan Tape'!$AV59)-0))</f>
        <v>0</v>
      </c>
      <c r="D669" s="71" t="n">
        <f aca="false">MIN(D63,D63*CDR*MAX(0,MIN(2,'Loan Tape'!$AV59)-1))</f>
        <v>0</v>
      </c>
      <c r="E669" s="71" t="n">
        <f aca="false">MIN(E63,E63*CDR*MAX(0,MIN(3,'Loan Tape'!$AV59)-2))</f>
        <v>0</v>
      </c>
      <c r="F669" s="71" t="n">
        <f aca="false">MIN(F63,F63*CDR*MAX(0,MIN(4,'Loan Tape'!$AV59)-3))</f>
        <v>0</v>
      </c>
      <c r="G669" s="71" t="n">
        <f aca="false">MIN(G63,G63*CDR*MAX(0,MIN(5,'Loan Tape'!$AV59)-4))</f>
        <v>0</v>
      </c>
      <c r="H669" s="71" t="n">
        <f aca="false">MIN(H63,H63*CDR*MAX(0,MIN(6,'Loan Tape'!$AV59)-5))</f>
        <v>0</v>
      </c>
      <c r="I669" s="71" t="n">
        <f aca="false">MIN(I63,I63*CDR*MAX(0,MIN(7,'Loan Tape'!$AV59)-6))</f>
        <v>0</v>
      </c>
      <c r="J669" s="71" t="n">
        <f aca="false">MIN(J63,J63*CDR*MAX(0,MIN(8,'Loan Tape'!$AV59)-7))</f>
        <v>0</v>
      </c>
      <c r="K669" s="71" t="n">
        <f aca="false">MIN(K63,K63*CDR*MAX(0,MIN(9,'Loan Tape'!$AV59)-8))</f>
        <v>0</v>
      </c>
      <c r="L669" s="71" t="n">
        <f aca="false">MIN(L63,L63*CDR*MAX(0,MIN(10,'Loan Tape'!$AV59)-9))</f>
        <v>0</v>
      </c>
    </row>
    <row r="670" customFormat="false" ht="15" hidden="false" customHeight="false" outlineLevel="0" collapsed="false">
      <c r="B670" s="102" t="n">
        <f aca="false">'Loan Tape'!$A60</f>
        <v>0</v>
      </c>
      <c r="C670" s="99" t="n">
        <f aca="false">MIN(C64,C64*CDR*MAX(0,MIN(1,'Loan Tape'!$AV60)-0))</f>
        <v>0</v>
      </c>
      <c r="D670" s="99" t="n">
        <f aca="false">MIN(D64,D64*CDR*MAX(0,MIN(2,'Loan Tape'!$AV60)-1))</f>
        <v>0</v>
      </c>
      <c r="E670" s="99" t="n">
        <f aca="false">MIN(E64,E64*CDR*MAX(0,MIN(3,'Loan Tape'!$AV60)-2))</f>
        <v>0</v>
      </c>
      <c r="F670" s="99" t="n">
        <f aca="false">MIN(F64,F64*CDR*MAX(0,MIN(4,'Loan Tape'!$AV60)-3))</f>
        <v>0</v>
      </c>
      <c r="G670" s="99" t="n">
        <f aca="false">MIN(G64,G64*CDR*MAX(0,MIN(5,'Loan Tape'!$AV60)-4))</f>
        <v>0</v>
      </c>
      <c r="H670" s="99" t="n">
        <f aca="false">MIN(H64,H64*CDR*MAX(0,MIN(6,'Loan Tape'!$AV60)-5))</f>
        <v>0</v>
      </c>
      <c r="I670" s="99" t="n">
        <f aca="false">MIN(I64,I64*CDR*MAX(0,MIN(7,'Loan Tape'!$AV60)-6))</f>
        <v>0</v>
      </c>
      <c r="J670" s="99" t="n">
        <f aca="false">MIN(J64,J64*CDR*MAX(0,MIN(8,'Loan Tape'!$AV60)-7))</f>
        <v>0</v>
      </c>
      <c r="K670" s="99" t="n">
        <f aca="false">MIN(K64,K64*CDR*MAX(0,MIN(9,'Loan Tape'!$AV60)-8))</f>
        <v>0</v>
      </c>
      <c r="L670" s="99" t="n">
        <f aca="false">MIN(L64,L64*CDR*MAX(0,MIN(10,'Loan Tape'!$AV60)-9))</f>
        <v>0</v>
      </c>
    </row>
    <row r="671" customFormat="false" ht="15" hidden="false" customHeight="false" outlineLevel="0" collapsed="false">
      <c r="B671" s="108" t="n">
        <f aca="false">'Loan Tape'!$A61</f>
        <v>0</v>
      </c>
      <c r="C671" s="71" t="n">
        <f aca="false">MIN(C65,C65*CDR*MAX(0,MIN(1,'Loan Tape'!$AV61)-0))</f>
        <v>0</v>
      </c>
      <c r="D671" s="71" t="n">
        <f aca="false">MIN(D65,D65*CDR*MAX(0,MIN(2,'Loan Tape'!$AV61)-1))</f>
        <v>0</v>
      </c>
      <c r="E671" s="71" t="n">
        <f aca="false">MIN(E65,E65*CDR*MAX(0,MIN(3,'Loan Tape'!$AV61)-2))</f>
        <v>0</v>
      </c>
      <c r="F671" s="71" t="n">
        <f aca="false">MIN(F65,F65*CDR*MAX(0,MIN(4,'Loan Tape'!$AV61)-3))</f>
        <v>0</v>
      </c>
      <c r="G671" s="71" t="n">
        <f aca="false">MIN(G65,G65*CDR*MAX(0,MIN(5,'Loan Tape'!$AV61)-4))</f>
        <v>0</v>
      </c>
      <c r="H671" s="71" t="n">
        <f aca="false">MIN(H65,H65*CDR*MAX(0,MIN(6,'Loan Tape'!$AV61)-5))</f>
        <v>0</v>
      </c>
      <c r="I671" s="71" t="n">
        <f aca="false">MIN(I65,I65*CDR*MAX(0,MIN(7,'Loan Tape'!$AV61)-6))</f>
        <v>0</v>
      </c>
      <c r="J671" s="71" t="n">
        <f aca="false">MIN(J65,J65*CDR*MAX(0,MIN(8,'Loan Tape'!$AV61)-7))</f>
        <v>0</v>
      </c>
      <c r="K671" s="71" t="n">
        <f aca="false">MIN(K65,K65*CDR*MAX(0,MIN(9,'Loan Tape'!$AV61)-8))</f>
        <v>0</v>
      </c>
      <c r="L671" s="71" t="n">
        <f aca="false">MIN(L65,L65*CDR*MAX(0,MIN(10,'Loan Tape'!$AV61)-9))</f>
        <v>0</v>
      </c>
    </row>
    <row r="672" customFormat="false" ht="15" hidden="false" customHeight="false" outlineLevel="0" collapsed="false">
      <c r="B672" s="102" t="n">
        <f aca="false">'Loan Tape'!$A62</f>
        <v>0</v>
      </c>
      <c r="C672" s="99" t="n">
        <f aca="false">MIN(C66,C66*CDR*MAX(0,MIN(1,'Loan Tape'!$AV62)-0))</f>
        <v>0</v>
      </c>
      <c r="D672" s="99" t="n">
        <f aca="false">MIN(D66,D66*CDR*MAX(0,MIN(2,'Loan Tape'!$AV62)-1))</f>
        <v>0</v>
      </c>
      <c r="E672" s="99" t="n">
        <f aca="false">MIN(E66,E66*CDR*MAX(0,MIN(3,'Loan Tape'!$AV62)-2))</f>
        <v>0</v>
      </c>
      <c r="F672" s="99" t="n">
        <f aca="false">MIN(F66,F66*CDR*MAX(0,MIN(4,'Loan Tape'!$AV62)-3))</f>
        <v>0</v>
      </c>
      <c r="G672" s="99" t="n">
        <f aca="false">MIN(G66,G66*CDR*MAX(0,MIN(5,'Loan Tape'!$AV62)-4))</f>
        <v>0</v>
      </c>
      <c r="H672" s="99" t="n">
        <f aca="false">MIN(H66,H66*CDR*MAX(0,MIN(6,'Loan Tape'!$AV62)-5))</f>
        <v>0</v>
      </c>
      <c r="I672" s="99" t="n">
        <f aca="false">MIN(I66,I66*CDR*MAX(0,MIN(7,'Loan Tape'!$AV62)-6))</f>
        <v>0</v>
      </c>
      <c r="J672" s="99" t="n">
        <f aca="false">MIN(J66,J66*CDR*MAX(0,MIN(8,'Loan Tape'!$AV62)-7))</f>
        <v>0</v>
      </c>
      <c r="K672" s="99" t="n">
        <f aca="false">MIN(K66,K66*CDR*MAX(0,MIN(9,'Loan Tape'!$AV62)-8))</f>
        <v>0</v>
      </c>
      <c r="L672" s="99" t="n">
        <f aca="false">MIN(L66,L66*CDR*MAX(0,MIN(10,'Loan Tape'!$AV62)-9))</f>
        <v>0</v>
      </c>
    </row>
    <row r="673" customFormat="false" ht="15" hidden="false" customHeight="false" outlineLevel="0" collapsed="false">
      <c r="B673" s="108" t="n">
        <f aca="false">'Loan Tape'!$A63</f>
        <v>0</v>
      </c>
      <c r="C673" s="71" t="n">
        <f aca="false">MIN(C67,C67*CDR*MAX(0,MIN(1,'Loan Tape'!$AV63)-0))</f>
        <v>0</v>
      </c>
      <c r="D673" s="71" t="n">
        <f aca="false">MIN(D67,D67*CDR*MAX(0,MIN(2,'Loan Tape'!$AV63)-1))</f>
        <v>0</v>
      </c>
      <c r="E673" s="71" t="n">
        <f aca="false">MIN(E67,E67*CDR*MAX(0,MIN(3,'Loan Tape'!$AV63)-2))</f>
        <v>0</v>
      </c>
      <c r="F673" s="71" t="n">
        <f aca="false">MIN(F67,F67*CDR*MAX(0,MIN(4,'Loan Tape'!$AV63)-3))</f>
        <v>0</v>
      </c>
      <c r="G673" s="71" t="n">
        <f aca="false">MIN(G67,G67*CDR*MAX(0,MIN(5,'Loan Tape'!$AV63)-4))</f>
        <v>0</v>
      </c>
      <c r="H673" s="71" t="n">
        <f aca="false">MIN(H67,H67*CDR*MAX(0,MIN(6,'Loan Tape'!$AV63)-5))</f>
        <v>0</v>
      </c>
      <c r="I673" s="71" t="n">
        <f aca="false">MIN(I67,I67*CDR*MAX(0,MIN(7,'Loan Tape'!$AV63)-6))</f>
        <v>0</v>
      </c>
      <c r="J673" s="71" t="n">
        <f aca="false">MIN(J67,J67*CDR*MAX(0,MIN(8,'Loan Tape'!$AV63)-7))</f>
        <v>0</v>
      </c>
      <c r="K673" s="71" t="n">
        <f aca="false">MIN(K67,K67*CDR*MAX(0,MIN(9,'Loan Tape'!$AV63)-8))</f>
        <v>0</v>
      </c>
      <c r="L673" s="71" t="n">
        <f aca="false">MIN(L67,L67*CDR*MAX(0,MIN(10,'Loan Tape'!$AV63)-9))</f>
        <v>0</v>
      </c>
    </row>
    <row r="674" customFormat="false" ht="15" hidden="false" customHeight="false" outlineLevel="0" collapsed="false">
      <c r="B674" s="102" t="n">
        <f aca="false">'Loan Tape'!$A64</f>
        <v>0</v>
      </c>
      <c r="C674" s="99" t="n">
        <f aca="false">MIN(C68,C68*CDR*MAX(0,MIN(1,'Loan Tape'!$AV64)-0))</f>
        <v>0</v>
      </c>
      <c r="D674" s="99" t="n">
        <f aca="false">MIN(D68,D68*CDR*MAX(0,MIN(2,'Loan Tape'!$AV64)-1))</f>
        <v>0</v>
      </c>
      <c r="E674" s="99" t="n">
        <f aca="false">MIN(E68,E68*CDR*MAX(0,MIN(3,'Loan Tape'!$AV64)-2))</f>
        <v>0</v>
      </c>
      <c r="F674" s="99" t="n">
        <f aca="false">MIN(F68,F68*CDR*MAX(0,MIN(4,'Loan Tape'!$AV64)-3))</f>
        <v>0</v>
      </c>
      <c r="G674" s="99" t="n">
        <f aca="false">MIN(G68,G68*CDR*MAX(0,MIN(5,'Loan Tape'!$AV64)-4))</f>
        <v>0</v>
      </c>
      <c r="H674" s="99" t="n">
        <f aca="false">MIN(H68,H68*CDR*MAX(0,MIN(6,'Loan Tape'!$AV64)-5))</f>
        <v>0</v>
      </c>
      <c r="I674" s="99" t="n">
        <f aca="false">MIN(I68,I68*CDR*MAX(0,MIN(7,'Loan Tape'!$AV64)-6))</f>
        <v>0</v>
      </c>
      <c r="J674" s="99" t="n">
        <f aca="false">MIN(J68,J68*CDR*MAX(0,MIN(8,'Loan Tape'!$AV64)-7))</f>
        <v>0</v>
      </c>
      <c r="K674" s="99" t="n">
        <f aca="false">MIN(K68,K68*CDR*MAX(0,MIN(9,'Loan Tape'!$AV64)-8))</f>
        <v>0</v>
      </c>
      <c r="L674" s="99" t="n">
        <f aca="false">MIN(L68,L68*CDR*MAX(0,MIN(10,'Loan Tape'!$AV64)-9))</f>
        <v>0</v>
      </c>
    </row>
    <row r="675" customFormat="false" ht="15" hidden="false" customHeight="false" outlineLevel="0" collapsed="false">
      <c r="B675" s="108" t="n">
        <f aca="false">'Loan Tape'!$A65</f>
        <v>0</v>
      </c>
      <c r="C675" s="71" t="n">
        <f aca="false">MIN(C69,C69*CDR*MAX(0,MIN(1,'Loan Tape'!$AV65)-0))</f>
        <v>0</v>
      </c>
      <c r="D675" s="71" t="n">
        <f aca="false">MIN(D69,D69*CDR*MAX(0,MIN(2,'Loan Tape'!$AV65)-1))</f>
        <v>0</v>
      </c>
      <c r="E675" s="71" t="n">
        <f aca="false">MIN(E69,E69*CDR*MAX(0,MIN(3,'Loan Tape'!$AV65)-2))</f>
        <v>0</v>
      </c>
      <c r="F675" s="71" t="n">
        <f aca="false">MIN(F69,F69*CDR*MAX(0,MIN(4,'Loan Tape'!$AV65)-3))</f>
        <v>0</v>
      </c>
      <c r="G675" s="71" t="n">
        <f aca="false">MIN(G69,G69*CDR*MAX(0,MIN(5,'Loan Tape'!$AV65)-4))</f>
        <v>0</v>
      </c>
      <c r="H675" s="71" t="n">
        <f aca="false">MIN(H69,H69*CDR*MAX(0,MIN(6,'Loan Tape'!$AV65)-5))</f>
        <v>0</v>
      </c>
      <c r="I675" s="71" t="n">
        <f aca="false">MIN(I69,I69*CDR*MAX(0,MIN(7,'Loan Tape'!$AV65)-6))</f>
        <v>0</v>
      </c>
      <c r="J675" s="71" t="n">
        <f aca="false">MIN(J69,J69*CDR*MAX(0,MIN(8,'Loan Tape'!$AV65)-7))</f>
        <v>0</v>
      </c>
      <c r="K675" s="71" t="n">
        <f aca="false">MIN(K69,K69*CDR*MAX(0,MIN(9,'Loan Tape'!$AV65)-8))</f>
        <v>0</v>
      </c>
      <c r="L675" s="71" t="n">
        <f aca="false">MIN(L69,L69*CDR*MAX(0,MIN(10,'Loan Tape'!$AV65)-9))</f>
        <v>0</v>
      </c>
    </row>
    <row r="676" customFormat="false" ht="15" hidden="false" customHeight="false" outlineLevel="0" collapsed="false">
      <c r="B676" s="102" t="n">
        <f aca="false">'Loan Tape'!$A66</f>
        <v>0</v>
      </c>
      <c r="C676" s="99" t="n">
        <f aca="false">MIN(C70,C70*CDR*MAX(0,MIN(1,'Loan Tape'!$AV66)-0))</f>
        <v>0</v>
      </c>
      <c r="D676" s="99" t="n">
        <f aca="false">MIN(D70,D70*CDR*MAX(0,MIN(2,'Loan Tape'!$AV66)-1))</f>
        <v>0</v>
      </c>
      <c r="E676" s="99" t="n">
        <f aca="false">MIN(E70,E70*CDR*MAX(0,MIN(3,'Loan Tape'!$AV66)-2))</f>
        <v>0</v>
      </c>
      <c r="F676" s="99" t="n">
        <f aca="false">MIN(F70,F70*CDR*MAX(0,MIN(4,'Loan Tape'!$AV66)-3))</f>
        <v>0</v>
      </c>
      <c r="G676" s="99" t="n">
        <f aca="false">MIN(G70,G70*CDR*MAX(0,MIN(5,'Loan Tape'!$AV66)-4))</f>
        <v>0</v>
      </c>
      <c r="H676" s="99" t="n">
        <f aca="false">MIN(H70,H70*CDR*MAX(0,MIN(6,'Loan Tape'!$AV66)-5))</f>
        <v>0</v>
      </c>
      <c r="I676" s="99" t="n">
        <f aca="false">MIN(I70,I70*CDR*MAX(0,MIN(7,'Loan Tape'!$AV66)-6))</f>
        <v>0</v>
      </c>
      <c r="J676" s="99" t="n">
        <f aca="false">MIN(J70,J70*CDR*MAX(0,MIN(8,'Loan Tape'!$AV66)-7))</f>
        <v>0</v>
      </c>
      <c r="K676" s="99" t="n">
        <f aca="false">MIN(K70,K70*CDR*MAX(0,MIN(9,'Loan Tape'!$AV66)-8))</f>
        <v>0</v>
      </c>
      <c r="L676" s="99" t="n">
        <f aca="false">MIN(L70,L70*CDR*MAX(0,MIN(10,'Loan Tape'!$AV66)-9))</f>
        <v>0</v>
      </c>
    </row>
    <row r="677" customFormat="false" ht="15" hidden="false" customHeight="false" outlineLevel="0" collapsed="false">
      <c r="B677" s="108" t="n">
        <f aca="false">'Loan Tape'!$A67</f>
        <v>0</v>
      </c>
      <c r="C677" s="71" t="n">
        <f aca="false">MIN(C71,C71*CDR*MAX(0,MIN(1,'Loan Tape'!$AV67)-0))</f>
        <v>0</v>
      </c>
      <c r="D677" s="71" t="n">
        <f aca="false">MIN(D71,D71*CDR*MAX(0,MIN(2,'Loan Tape'!$AV67)-1))</f>
        <v>0</v>
      </c>
      <c r="E677" s="71" t="n">
        <f aca="false">MIN(E71,E71*CDR*MAX(0,MIN(3,'Loan Tape'!$AV67)-2))</f>
        <v>0</v>
      </c>
      <c r="F677" s="71" t="n">
        <f aca="false">MIN(F71,F71*CDR*MAX(0,MIN(4,'Loan Tape'!$AV67)-3))</f>
        <v>0</v>
      </c>
      <c r="G677" s="71" t="n">
        <f aca="false">MIN(G71,G71*CDR*MAX(0,MIN(5,'Loan Tape'!$AV67)-4))</f>
        <v>0</v>
      </c>
      <c r="H677" s="71" t="n">
        <f aca="false">MIN(H71,H71*CDR*MAX(0,MIN(6,'Loan Tape'!$AV67)-5))</f>
        <v>0</v>
      </c>
      <c r="I677" s="71" t="n">
        <f aca="false">MIN(I71,I71*CDR*MAX(0,MIN(7,'Loan Tape'!$AV67)-6))</f>
        <v>0</v>
      </c>
      <c r="J677" s="71" t="n">
        <f aca="false">MIN(J71,J71*CDR*MAX(0,MIN(8,'Loan Tape'!$AV67)-7))</f>
        <v>0</v>
      </c>
      <c r="K677" s="71" t="n">
        <f aca="false">MIN(K71,K71*CDR*MAX(0,MIN(9,'Loan Tape'!$AV67)-8))</f>
        <v>0</v>
      </c>
      <c r="L677" s="71" t="n">
        <f aca="false">MIN(L71,L71*CDR*MAX(0,MIN(10,'Loan Tape'!$AV67)-9))</f>
        <v>0</v>
      </c>
    </row>
    <row r="678" customFormat="false" ht="15" hidden="false" customHeight="false" outlineLevel="0" collapsed="false">
      <c r="B678" s="102" t="n">
        <f aca="false">'Loan Tape'!$A68</f>
        <v>0</v>
      </c>
      <c r="C678" s="99" t="n">
        <f aca="false">MIN(C72,C72*CDR*MAX(0,MIN(1,'Loan Tape'!$AV68)-0))</f>
        <v>0</v>
      </c>
      <c r="D678" s="99" t="n">
        <f aca="false">MIN(D72,D72*CDR*MAX(0,MIN(2,'Loan Tape'!$AV68)-1))</f>
        <v>0</v>
      </c>
      <c r="E678" s="99" t="n">
        <f aca="false">MIN(E72,E72*CDR*MAX(0,MIN(3,'Loan Tape'!$AV68)-2))</f>
        <v>0</v>
      </c>
      <c r="F678" s="99" t="n">
        <f aca="false">MIN(F72,F72*CDR*MAX(0,MIN(4,'Loan Tape'!$AV68)-3))</f>
        <v>0</v>
      </c>
      <c r="G678" s="99" t="n">
        <f aca="false">MIN(G72,G72*CDR*MAX(0,MIN(5,'Loan Tape'!$AV68)-4))</f>
        <v>0</v>
      </c>
      <c r="H678" s="99" t="n">
        <f aca="false">MIN(H72,H72*CDR*MAX(0,MIN(6,'Loan Tape'!$AV68)-5))</f>
        <v>0</v>
      </c>
      <c r="I678" s="99" t="n">
        <f aca="false">MIN(I72,I72*CDR*MAX(0,MIN(7,'Loan Tape'!$AV68)-6))</f>
        <v>0</v>
      </c>
      <c r="J678" s="99" t="n">
        <f aca="false">MIN(J72,J72*CDR*MAX(0,MIN(8,'Loan Tape'!$AV68)-7))</f>
        <v>0</v>
      </c>
      <c r="K678" s="99" t="n">
        <f aca="false">MIN(K72,K72*CDR*MAX(0,MIN(9,'Loan Tape'!$AV68)-8))</f>
        <v>0</v>
      </c>
      <c r="L678" s="99" t="n">
        <f aca="false">MIN(L72,L72*CDR*MAX(0,MIN(10,'Loan Tape'!$AV68)-9))</f>
        <v>0</v>
      </c>
    </row>
    <row r="679" customFormat="false" ht="15" hidden="false" customHeight="false" outlineLevel="0" collapsed="false">
      <c r="B679" s="108" t="n">
        <f aca="false">'Loan Tape'!$A69</f>
        <v>0</v>
      </c>
      <c r="C679" s="71" t="n">
        <f aca="false">MIN(C73,C73*CDR*MAX(0,MIN(1,'Loan Tape'!$AV69)-0))</f>
        <v>0</v>
      </c>
      <c r="D679" s="71" t="n">
        <f aca="false">MIN(D73,D73*CDR*MAX(0,MIN(2,'Loan Tape'!$AV69)-1))</f>
        <v>0</v>
      </c>
      <c r="E679" s="71" t="n">
        <f aca="false">MIN(E73,E73*CDR*MAX(0,MIN(3,'Loan Tape'!$AV69)-2))</f>
        <v>0</v>
      </c>
      <c r="F679" s="71" t="n">
        <f aca="false">MIN(F73,F73*CDR*MAX(0,MIN(4,'Loan Tape'!$AV69)-3))</f>
        <v>0</v>
      </c>
      <c r="G679" s="71" t="n">
        <f aca="false">MIN(G73,G73*CDR*MAX(0,MIN(5,'Loan Tape'!$AV69)-4))</f>
        <v>0</v>
      </c>
      <c r="H679" s="71" t="n">
        <f aca="false">MIN(H73,H73*CDR*MAX(0,MIN(6,'Loan Tape'!$AV69)-5))</f>
        <v>0</v>
      </c>
      <c r="I679" s="71" t="n">
        <f aca="false">MIN(I73,I73*CDR*MAX(0,MIN(7,'Loan Tape'!$AV69)-6))</f>
        <v>0</v>
      </c>
      <c r="J679" s="71" t="n">
        <f aca="false">MIN(J73,J73*CDR*MAX(0,MIN(8,'Loan Tape'!$AV69)-7))</f>
        <v>0</v>
      </c>
      <c r="K679" s="71" t="n">
        <f aca="false">MIN(K73,K73*CDR*MAX(0,MIN(9,'Loan Tape'!$AV69)-8))</f>
        <v>0</v>
      </c>
      <c r="L679" s="71" t="n">
        <f aca="false">MIN(L73,L73*CDR*MAX(0,MIN(10,'Loan Tape'!$AV69)-9))</f>
        <v>0</v>
      </c>
    </row>
    <row r="680" customFormat="false" ht="15" hidden="false" customHeight="false" outlineLevel="0" collapsed="false">
      <c r="B680" s="102" t="n">
        <f aca="false">'Loan Tape'!$A70</f>
        <v>0</v>
      </c>
      <c r="C680" s="99" t="n">
        <f aca="false">MIN(C74,C74*CDR*MAX(0,MIN(1,'Loan Tape'!$AV70)-0))</f>
        <v>0</v>
      </c>
      <c r="D680" s="99" t="n">
        <f aca="false">MIN(D74,D74*CDR*MAX(0,MIN(2,'Loan Tape'!$AV70)-1))</f>
        <v>0</v>
      </c>
      <c r="E680" s="99" t="n">
        <f aca="false">MIN(E74,E74*CDR*MAX(0,MIN(3,'Loan Tape'!$AV70)-2))</f>
        <v>0</v>
      </c>
      <c r="F680" s="99" t="n">
        <f aca="false">MIN(F74,F74*CDR*MAX(0,MIN(4,'Loan Tape'!$AV70)-3))</f>
        <v>0</v>
      </c>
      <c r="G680" s="99" t="n">
        <f aca="false">MIN(G74,G74*CDR*MAX(0,MIN(5,'Loan Tape'!$AV70)-4))</f>
        <v>0</v>
      </c>
      <c r="H680" s="99" t="n">
        <f aca="false">MIN(H74,H74*CDR*MAX(0,MIN(6,'Loan Tape'!$AV70)-5))</f>
        <v>0</v>
      </c>
      <c r="I680" s="99" t="n">
        <f aca="false">MIN(I74,I74*CDR*MAX(0,MIN(7,'Loan Tape'!$AV70)-6))</f>
        <v>0</v>
      </c>
      <c r="J680" s="99" t="n">
        <f aca="false">MIN(J74,J74*CDR*MAX(0,MIN(8,'Loan Tape'!$AV70)-7))</f>
        <v>0</v>
      </c>
      <c r="K680" s="99" t="n">
        <f aca="false">MIN(K74,K74*CDR*MAX(0,MIN(9,'Loan Tape'!$AV70)-8))</f>
        <v>0</v>
      </c>
      <c r="L680" s="99" t="n">
        <f aca="false">MIN(L74,L74*CDR*MAX(0,MIN(10,'Loan Tape'!$AV70)-9))</f>
        <v>0</v>
      </c>
    </row>
    <row r="681" customFormat="false" ht="15" hidden="false" customHeight="false" outlineLevel="0" collapsed="false">
      <c r="B681" s="108" t="n">
        <f aca="false">'Loan Tape'!$A71</f>
        <v>0</v>
      </c>
      <c r="C681" s="71" t="n">
        <f aca="false">MIN(C75,C75*CDR*MAX(0,MIN(1,'Loan Tape'!$AV71)-0))</f>
        <v>0</v>
      </c>
      <c r="D681" s="71" t="n">
        <f aca="false">MIN(D75,D75*CDR*MAX(0,MIN(2,'Loan Tape'!$AV71)-1))</f>
        <v>0</v>
      </c>
      <c r="E681" s="71" t="n">
        <f aca="false">MIN(E75,E75*CDR*MAX(0,MIN(3,'Loan Tape'!$AV71)-2))</f>
        <v>0</v>
      </c>
      <c r="F681" s="71" t="n">
        <f aca="false">MIN(F75,F75*CDR*MAX(0,MIN(4,'Loan Tape'!$AV71)-3))</f>
        <v>0</v>
      </c>
      <c r="G681" s="71" t="n">
        <f aca="false">MIN(G75,G75*CDR*MAX(0,MIN(5,'Loan Tape'!$AV71)-4))</f>
        <v>0</v>
      </c>
      <c r="H681" s="71" t="n">
        <f aca="false">MIN(H75,H75*CDR*MAX(0,MIN(6,'Loan Tape'!$AV71)-5))</f>
        <v>0</v>
      </c>
      <c r="I681" s="71" t="n">
        <f aca="false">MIN(I75,I75*CDR*MAX(0,MIN(7,'Loan Tape'!$AV71)-6))</f>
        <v>0</v>
      </c>
      <c r="J681" s="71" t="n">
        <f aca="false">MIN(J75,J75*CDR*MAX(0,MIN(8,'Loan Tape'!$AV71)-7))</f>
        <v>0</v>
      </c>
      <c r="K681" s="71" t="n">
        <f aca="false">MIN(K75,K75*CDR*MAX(0,MIN(9,'Loan Tape'!$AV71)-8))</f>
        <v>0</v>
      </c>
      <c r="L681" s="71" t="n">
        <f aca="false">MIN(L75,L75*CDR*MAX(0,MIN(10,'Loan Tape'!$AV71)-9))</f>
        <v>0</v>
      </c>
    </row>
    <row r="682" customFormat="false" ht="15" hidden="false" customHeight="false" outlineLevel="0" collapsed="false">
      <c r="B682" s="102" t="n">
        <f aca="false">'Loan Tape'!$A72</f>
        <v>0</v>
      </c>
      <c r="C682" s="99" t="n">
        <f aca="false">MIN(C76,C76*CDR*MAX(0,MIN(1,'Loan Tape'!$AV72)-0))</f>
        <v>0</v>
      </c>
      <c r="D682" s="99" t="n">
        <f aca="false">MIN(D76,D76*CDR*MAX(0,MIN(2,'Loan Tape'!$AV72)-1))</f>
        <v>0</v>
      </c>
      <c r="E682" s="99" t="n">
        <f aca="false">MIN(E76,E76*CDR*MAX(0,MIN(3,'Loan Tape'!$AV72)-2))</f>
        <v>0</v>
      </c>
      <c r="F682" s="99" t="n">
        <f aca="false">MIN(F76,F76*CDR*MAX(0,MIN(4,'Loan Tape'!$AV72)-3))</f>
        <v>0</v>
      </c>
      <c r="G682" s="99" t="n">
        <f aca="false">MIN(G76,G76*CDR*MAX(0,MIN(5,'Loan Tape'!$AV72)-4))</f>
        <v>0</v>
      </c>
      <c r="H682" s="99" t="n">
        <f aca="false">MIN(H76,H76*CDR*MAX(0,MIN(6,'Loan Tape'!$AV72)-5))</f>
        <v>0</v>
      </c>
      <c r="I682" s="99" t="n">
        <f aca="false">MIN(I76,I76*CDR*MAX(0,MIN(7,'Loan Tape'!$AV72)-6))</f>
        <v>0</v>
      </c>
      <c r="J682" s="99" t="n">
        <f aca="false">MIN(J76,J76*CDR*MAX(0,MIN(8,'Loan Tape'!$AV72)-7))</f>
        <v>0</v>
      </c>
      <c r="K682" s="99" t="n">
        <f aca="false">MIN(K76,K76*CDR*MAX(0,MIN(9,'Loan Tape'!$AV72)-8))</f>
        <v>0</v>
      </c>
      <c r="L682" s="99" t="n">
        <f aca="false">MIN(L76,L76*CDR*MAX(0,MIN(10,'Loan Tape'!$AV72)-9))</f>
        <v>0</v>
      </c>
    </row>
    <row r="683" customFormat="false" ht="15" hidden="false" customHeight="false" outlineLevel="0" collapsed="false">
      <c r="B683" s="108" t="n">
        <f aca="false">'Loan Tape'!$A73</f>
        <v>0</v>
      </c>
      <c r="C683" s="71" t="n">
        <f aca="false">MIN(C77,C77*CDR*MAX(0,MIN(1,'Loan Tape'!$AV73)-0))</f>
        <v>0</v>
      </c>
      <c r="D683" s="71" t="n">
        <f aca="false">MIN(D77,D77*CDR*MAX(0,MIN(2,'Loan Tape'!$AV73)-1))</f>
        <v>0</v>
      </c>
      <c r="E683" s="71" t="n">
        <f aca="false">MIN(E77,E77*CDR*MAX(0,MIN(3,'Loan Tape'!$AV73)-2))</f>
        <v>0</v>
      </c>
      <c r="F683" s="71" t="n">
        <f aca="false">MIN(F77,F77*CDR*MAX(0,MIN(4,'Loan Tape'!$AV73)-3))</f>
        <v>0</v>
      </c>
      <c r="G683" s="71" t="n">
        <f aca="false">MIN(G77,G77*CDR*MAX(0,MIN(5,'Loan Tape'!$AV73)-4))</f>
        <v>0</v>
      </c>
      <c r="H683" s="71" t="n">
        <f aca="false">MIN(H77,H77*CDR*MAX(0,MIN(6,'Loan Tape'!$AV73)-5))</f>
        <v>0</v>
      </c>
      <c r="I683" s="71" t="n">
        <f aca="false">MIN(I77,I77*CDR*MAX(0,MIN(7,'Loan Tape'!$AV73)-6))</f>
        <v>0</v>
      </c>
      <c r="J683" s="71" t="n">
        <f aca="false">MIN(J77,J77*CDR*MAX(0,MIN(8,'Loan Tape'!$AV73)-7))</f>
        <v>0</v>
      </c>
      <c r="K683" s="71" t="n">
        <f aca="false">MIN(K77,K77*CDR*MAX(0,MIN(9,'Loan Tape'!$AV73)-8))</f>
        <v>0</v>
      </c>
      <c r="L683" s="71" t="n">
        <f aca="false">MIN(L77,L77*CDR*MAX(0,MIN(10,'Loan Tape'!$AV73)-9))</f>
        <v>0</v>
      </c>
    </row>
    <row r="684" customFormat="false" ht="15" hidden="false" customHeight="false" outlineLevel="0" collapsed="false">
      <c r="B684" s="102" t="n">
        <f aca="false">'Loan Tape'!$A74</f>
        <v>0</v>
      </c>
      <c r="C684" s="99" t="n">
        <f aca="false">MIN(C78,C78*CDR*MAX(0,MIN(1,'Loan Tape'!$AV74)-0))</f>
        <v>0</v>
      </c>
      <c r="D684" s="99" t="n">
        <f aca="false">MIN(D78,D78*CDR*MAX(0,MIN(2,'Loan Tape'!$AV74)-1))</f>
        <v>0</v>
      </c>
      <c r="E684" s="99" t="n">
        <f aca="false">MIN(E78,E78*CDR*MAX(0,MIN(3,'Loan Tape'!$AV74)-2))</f>
        <v>0</v>
      </c>
      <c r="F684" s="99" t="n">
        <f aca="false">MIN(F78,F78*CDR*MAX(0,MIN(4,'Loan Tape'!$AV74)-3))</f>
        <v>0</v>
      </c>
      <c r="G684" s="99" t="n">
        <f aca="false">MIN(G78,G78*CDR*MAX(0,MIN(5,'Loan Tape'!$AV74)-4))</f>
        <v>0</v>
      </c>
      <c r="H684" s="99" t="n">
        <f aca="false">MIN(H78,H78*CDR*MAX(0,MIN(6,'Loan Tape'!$AV74)-5))</f>
        <v>0</v>
      </c>
      <c r="I684" s="99" t="n">
        <f aca="false">MIN(I78,I78*CDR*MAX(0,MIN(7,'Loan Tape'!$AV74)-6))</f>
        <v>0</v>
      </c>
      <c r="J684" s="99" t="n">
        <f aca="false">MIN(J78,J78*CDR*MAX(0,MIN(8,'Loan Tape'!$AV74)-7))</f>
        <v>0</v>
      </c>
      <c r="K684" s="99" t="n">
        <f aca="false">MIN(K78,K78*CDR*MAX(0,MIN(9,'Loan Tape'!$AV74)-8))</f>
        <v>0</v>
      </c>
      <c r="L684" s="99" t="n">
        <f aca="false">MIN(L78,L78*CDR*MAX(0,MIN(10,'Loan Tape'!$AV74)-9))</f>
        <v>0</v>
      </c>
    </row>
    <row r="685" customFormat="false" ht="15" hidden="false" customHeight="false" outlineLevel="0" collapsed="false">
      <c r="B685" s="108" t="n">
        <f aca="false">'Loan Tape'!$A75</f>
        <v>0</v>
      </c>
      <c r="C685" s="71" t="n">
        <f aca="false">MIN(C79,C79*CDR*MAX(0,MIN(1,'Loan Tape'!$AV75)-0))</f>
        <v>0</v>
      </c>
      <c r="D685" s="71" t="n">
        <f aca="false">MIN(D79,D79*CDR*MAX(0,MIN(2,'Loan Tape'!$AV75)-1))</f>
        <v>0</v>
      </c>
      <c r="E685" s="71" t="n">
        <f aca="false">MIN(E79,E79*CDR*MAX(0,MIN(3,'Loan Tape'!$AV75)-2))</f>
        <v>0</v>
      </c>
      <c r="F685" s="71" t="n">
        <f aca="false">MIN(F79,F79*CDR*MAX(0,MIN(4,'Loan Tape'!$AV75)-3))</f>
        <v>0</v>
      </c>
      <c r="G685" s="71" t="n">
        <f aca="false">MIN(G79,G79*CDR*MAX(0,MIN(5,'Loan Tape'!$AV75)-4))</f>
        <v>0</v>
      </c>
      <c r="H685" s="71" t="n">
        <f aca="false">MIN(H79,H79*CDR*MAX(0,MIN(6,'Loan Tape'!$AV75)-5))</f>
        <v>0</v>
      </c>
      <c r="I685" s="71" t="n">
        <f aca="false">MIN(I79,I79*CDR*MAX(0,MIN(7,'Loan Tape'!$AV75)-6))</f>
        <v>0</v>
      </c>
      <c r="J685" s="71" t="n">
        <f aca="false">MIN(J79,J79*CDR*MAX(0,MIN(8,'Loan Tape'!$AV75)-7))</f>
        <v>0</v>
      </c>
      <c r="K685" s="71" t="n">
        <f aca="false">MIN(K79,K79*CDR*MAX(0,MIN(9,'Loan Tape'!$AV75)-8))</f>
        <v>0</v>
      </c>
      <c r="L685" s="71" t="n">
        <f aca="false">MIN(L79,L79*CDR*MAX(0,MIN(10,'Loan Tape'!$AV75)-9))</f>
        <v>0</v>
      </c>
    </row>
    <row r="686" customFormat="false" ht="15" hidden="false" customHeight="false" outlineLevel="0" collapsed="false">
      <c r="B686" s="102" t="n">
        <f aca="false">'Loan Tape'!$A76</f>
        <v>0</v>
      </c>
      <c r="C686" s="99" t="n">
        <f aca="false">MIN(C80,C80*CDR*MAX(0,MIN(1,'Loan Tape'!$AV76)-0))</f>
        <v>0</v>
      </c>
      <c r="D686" s="99" t="n">
        <f aca="false">MIN(D80,D80*CDR*MAX(0,MIN(2,'Loan Tape'!$AV76)-1))</f>
        <v>0</v>
      </c>
      <c r="E686" s="99" t="n">
        <f aca="false">MIN(E80,E80*CDR*MAX(0,MIN(3,'Loan Tape'!$AV76)-2))</f>
        <v>0</v>
      </c>
      <c r="F686" s="99" t="n">
        <f aca="false">MIN(F80,F80*CDR*MAX(0,MIN(4,'Loan Tape'!$AV76)-3))</f>
        <v>0</v>
      </c>
      <c r="G686" s="99" t="n">
        <f aca="false">MIN(G80,G80*CDR*MAX(0,MIN(5,'Loan Tape'!$AV76)-4))</f>
        <v>0</v>
      </c>
      <c r="H686" s="99" t="n">
        <f aca="false">MIN(H80,H80*CDR*MAX(0,MIN(6,'Loan Tape'!$AV76)-5))</f>
        <v>0</v>
      </c>
      <c r="I686" s="99" t="n">
        <f aca="false">MIN(I80,I80*CDR*MAX(0,MIN(7,'Loan Tape'!$AV76)-6))</f>
        <v>0</v>
      </c>
      <c r="J686" s="99" t="n">
        <f aca="false">MIN(J80,J80*CDR*MAX(0,MIN(8,'Loan Tape'!$AV76)-7))</f>
        <v>0</v>
      </c>
      <c r="K686" s="99" t="n">
        <f aca="false">MIN(K80,K80*CDR*MAX(0,MIN(9,'Loan Tape'!$AV76)-8))</f>
        <v>0</v>
      </c>
      <c r="L686" s="99" t="n">
        <f aca="false">MIN(L80,L80*CDR*MAX(0,MIN(10,'Loan Tape'!$AV76)-9))</f>
        <v>0</v>
      </c>
    </row>
    <row r="687" customFormat="false" ht="15" hidden="false" customHeight="false" outlineLevel="0" collapsed="false">
      <c r="B687" s="108" t="n">
        <f aca="false">'Loan Tape'!$A77</f>
        <v>0</v>
      </c>
      <c r="C687" s="71" t="n">
        <f aca="false">MIN(C81,C81*CDR*MAX(0,MIN(1,'Loan Tape'!$AV77)-0))</f>
        <v>0</v>
      </c>
      <c r="D687" s="71" t="n">
        <f aca="false">MIN(D81,D81*CDR*MAX(0,MIN(2,'Loan Tape'!$AV77)-1))</f>
        <v>0</v>
      </c>
      <c r="E687" s="71" t="n">
        <f aca="false">MIN(E81,E81*CDR*MAX(0,MIN(3,'Loan Tape'!$AV77)-2))</f>
        <v>0</v>
      </c>
      <c r="F687" s="71" t="n">
        <f aca="false">MIN(F81,F81*CDR*MAX(0,MIN(4,'Loan Tape'!$AV77)-3))</f>
        <v>0</v>
      </c>
      <c r="G687" s="71" t="n">
        <f aca="false">MIN(G81,G81*CDR*MAX(0,MIN(5,'Loan Tape'!$AV77)-4))</f>
        <v>0</v>
      </c>
      <c r="H687" s="71" t="n">
        <f aca="false">MIN(H81,H81*CDR*MAX(0,MIN(6,'Loan Tape'!$AV77)-5))</f>
        <v>0</v>
      </c>
      <c r="I687" s="71" t="n">
        <f aca="false">MIN(I81,I81*CDR*MAX(0,MIN(7,'Loan Tape'!$AV77)-6))</f>
        <v>0</v>
      </c>
      <c r="J687" s="71" t="n">
        <f aca="false">MIN(J81,J81*CDR*MAX(0,MIN(8,'Loan Tape'!$AV77)-7))</f>
        <v>0</v>
      </c>
      <c r="K687" s="71" t="n">
        <f aca="false">MIN(K81,K81*CDR*MAX(0,MIN(9,'Loan Tape'!$AV77)-8))</f>
        <v>0</v>
      </c>
      <c r="L687" s="71" t="n">
        <f aca="false">MIN(L81,L81*CDR*MAX(0,MIN(10,'Loan Tape'!$AV77)-9))</f>
        <v>0</v>
      </c>
    </row>
    <row r="688" customFormat="false" ht="15" hidden="false" customHeight="false" outlineLevel="0" collapsed="false">
      <c r="B688" s="102" t="n">
        <f aca="false">'Loan Tape'!$A78</f>
        <v>0</v>
      </c>
      <c r="C688" s="99" t="n">
        <f aca="false">MIN(C82,C82*CDR*MAX(0,MIN(1,'Loan Tape'!$AV78)-0))</f>
        <v>0</v>
      </c>
      <c r="D688" s="99" t="n">
        <f aca="false">MIN(D82,D82*CDR*MAX(0,MIN(2,'Loan Tape'!$AV78)-1))</f>
        <v>0</v>
      </c>
      <c r="E688" s="99" t="n">
        <f aca="false">MIN(E82,E82*CDR*MAX(0,MIN(3,'Loan Tape'!$AV78)-2))</f>
        <v>0</v>
      </c>
      <c r="F688" s="99" t="n">
        <f aca="false">MIN(F82,F82*CDR*MAX(0,MIN(4,'Loan Tape'!$AV78)-3))</f>
        <v>0</v>
      </c>
      <c r="G688" s="99" t="n">
        <f aca="false">MIN(G82,G82*CDR*MAX(0,MIN(5,'Loan Tape'!$AV78)-4))</f>
        <v>0</v>
      </c>
      <c r="H688" s="99" t="n">
        <f aca="false">MIN(H82,H82*CDR*MAX(0,MIN(6,'Loan Tape'!$AV78)-5))</f>
        <v>0</v>
      </c>
      <c r="I688" s="99" t="n">
        <f aca="false">MIN(I82,I82*CDR*MAX(0,MIN(7,'Loan Tape'!$AV78)-6))</f>
        <v>0</v>
      </c>
      <c r="J688" s="99" t="n">
        <f aca="false">MIN(J82,J82*CDR*MAX(0,MIN(8,'Loan Tape'!$AV78)-7))</f>
        <v>0</v>
      </c>
      <c r="K688" s="99" t="n">
        <f aca="false">MIN(K82,K82*CDR*MAX(0,MIN(9,'Loan Tape'!$AV78)-8))</f>
        <v>0</v>
      </c>
      <c r="L688" s="99" t="n">
        <f aca="false">MIN(L82,L82*CDR*MAX(0,MIN(10,'Loan Tape'!$AV78)-9))</f>
        <v>0</v>
      </c>
    </row>
    <row r="689" customFormat="false" ht="15" hidden="false" customHeight="false" outlineLevel="0" collapsed="false">
      <c r="B689" s="108" t="n">
        <f aca="false">'Loan Tape'!$A79</f>
        <v>0</v>
      </c>
      <c r="C689" s="71" t="n">
        <f aca="false">MIN(C83,C83*CDR*MAX(0,MIN(1,'Loan Tape'!$AV79)-0))</f>
        <v>0</v>
      </c>
      <c r="D689" s="71" t="n">
        <f aca="false">MIN(D83,D83*CDR*MAX(0,MIN(2,'Loan Tape'!$AV79)-1))</f>
        <v>0</v>
      </c>
      <c r="E689" s="71" t="n">
        <f aca="false">MIN(E83,E83*CDR*MAX(0,MIN(3,'Loan Tape'!$AV79)-2))</f>
        <v>0</v>
      </c>
      <c r="F689" s="71" t="n">
        <f aca="false">MIN(F83,F83*CDR*MAX(0,MIN(4,'Loan Tape'!$AV79)-3))</f>
        <v>0</v>
      </c>
      <c r="G689" s="71" t="n">
        <f aca="false">MIN(G83,G83*CDR*MAX(0,MIN(5,'Loan Tape'!$AV79)-4))</f>
        <v>0</v>
      </c>
      <c r="H689" s="71" t="n">
        <f aca="false">MIN(H83,H83*CDR*MAX(0,MIN(6,'Loan Tape'!$AV79)-5))</f>
        <v>0</v>
      </c>
      <c r="I689" s="71" t="n">
        <f aca="false">MIN(I83,I83*CDR*MAX(0,MIN(7,'Loan Tape'!$AV79)-6))</f>
        <v>0</v>
      </c>
      <c r="J689" s="71" t="n">
        <f aca="false">MIN(J83,J83*CDR*MAX(0,MIN(8,'Loan Tape'!$AV79)-7))</f>
        <v>0</v>
      </c>
      <c r="K689" s="71" t="n">
        <f aca="false">MIN(K83,K83*CDR*MAX(0,MIN(9,'Loan Tape'!$AV79)-8))</f>
        <v>0</v>
      </c>
      <c r="L689" s="71" t="n">
        <f aca="false">MIN(L83,L83*CDR*MAX(0,MIN(10,'Loan Tape'!$AV79)-9))</f>
        <v>0</v>
      </c>
    </row>
    <row r="690" customFormat="false" ht="15" hidden="false" customHeight="false" outlineLevel="0" collapsed="false">
      <c r="B690" s="102" t="n">
        <f aca="false">'Loan Tape'!$A80</f>
        <v>0</v>
      </c>
      <c r="C690" s="99" t="n">
        <f aca="false">MIN(C84,C84*CDR*MAX(0,MIN(1,'Loan Tape'!$AV80)-0))</f>
        <v>0</v>
      </c>
      <c r="D690" s="99" t="n">
        <f aca="false">MIN(D84,D84*CDR*MAX(0,MIN(2,'Loan Tape'!$AV80)-1))</f>
        <v>0</v>
      </c>
      <c r="E690" s="99" t="n">
        <f aca="false">MIN(E84,E84*CDR*MAX(0,MIN(3,'Loan Tape'!$AV80)-2))</f>
        <v>0</v>
      </c>
      <c r="F690" s="99" t="n">
        <f aca="false">MIN(F84,F84*CDR*MAX(0,MIN(4,'Loan Tape'!$AV80)-3))</f>
        <v>0</v>
      </c>
      <c r="G690" s="99" t="n">
        <f aca="false">MIN(G84,G84*CDR*MAX(0,MIN(5,'Loan Tape'!$AV80)-4))</f>
        <v>0</v>
      </c>
      <c r="H690" s="99" t="n">
        <f aca="false">MIN(H84,H84*CDR*MAX(0,MIN(6,'Loan Tape'!$AV80)-5))</f>
        <v>0</v>
      </c>
      <c r="I690" s="99" t="n">
        <f aca="false">MIN(I84,I84*CDR*MAX(0,MIN(7,'Loan Tape'!$AV80)-6))</f>
        <v>0</v>
      </c>
      <c r="J690" s="99" t="n">
        <f aca="false">MIN(J84,J84*CDR*MAX(0,MIN(8,'Loan Tape'!$AV80)-7))</f>
        <v>0</v>
      </c>
      <c r="K690" s="99" t="n">
        <f aca="false">MIN(K84,K84*CDR*MAX(0,MIN(9,'Loan Tape'!$AV80)-8))</f>
        <v>0</v>
      </c>
      <c r="L690" s="99" t="n">
        <f aca="false">MIN(L84,L84*CDR*MAX(0,MIN(10,'Loan Tape'!$AV80)-9))</f>
        <v>0</v>
      </c>
    </row>
    <row r="691" customFormat="false" ht="15" hidden="false" customHeight="false" outlineLevel="0" collapsed="false">
      <c r="B691" s="108" t="n">
        <f aca="false">'Loan Tape'!$A81</f>
        <v>0</v>
      </c>
      <c r="C691" s="71" t="n">
        <f aca="false">MIN(C85,C85*CDR*MAX(0,MIN(1,'Loan Tape'!$AV81)-0))</f>
        <v>0</v>
      </c>
      <c r="D691" s="71" t="n">
        <f aca="false">MIN(D85,D85*CDR*MAX(0,MIN(2,'Loan Tape'!$AV81)-1))</f>
        <v>0</v>
      </c>
      <c r="E691" s="71" t="n">
        <f aca="false">MIN(E85,E85*CDR*MAX(0,MIN(3,'Loan Tape'!$AV81)-2))</f>
        <v>0</v>
      </c>
      <c r="F691" s="71" t="n">
        <f aca="false">MIN(F85,F85*CDR*MAX(0,MIN(4,'Loan Tape'!$AV81)-3))</f>
        <v>0</v>
      </c>
      <c r="G691" s="71" t="n">
        <f aca="false">MIN(G85,G85*CDR*MAX(0,MIN(5,'Loan Tape'!$AV81)-4))</f>
        <v>0</v>
      </c>
      <c r="H691" s="71" t="n">
        <f aca="false">MIN(H85,H85*CDR*MAX(0,MIN(6,'Loan Tape'!$AV81)-5))</f>
        <v>0</v>
      </c>
      <c r="I691" s="71" t="n">
        <f aca="false">MIN(I85,I85*CDR*MAX(0,MIN(7,'Loan Tape'!$AV81)-6))</f>
        <v>0</v>
      </c>
      <c r="J691" s="71" t="n">
        <f aca="false">MIN(J85,J85*CDR*MAX(0,MIN(8,'Loan Tape'!$AV81)-7))</f>
        <v>0</v>
      </c>
      <c r="K691" s="71" t="n">
        <f aca="false">MIN(K85,K85*CDR*MAX(0,MIN(9,'Loan Tape'!$AV81)-8))</f>
        <v>0</v>
      </c>
      <c r="L691" s="71" t="n">
        <f aca="false">MIN(L85,L85*CDR*MAX(0,MIN(10,'Loan Tape'!$AV81)-9))</f>
        <v>0</v>
      </c>
    </row>
    <row r="692" customFormat="false" ht="15" hidden="false" customHeight="false" outlineLevel="0" collapsed="false">
      <c r="B692" s="102" t="n">
        <f aca="false">'Loan Tape'!$A82</f>
        <v>0</v>
      </c>
      <c r="C692" s="99" t="n">
        <f aca="false">MIN(C86,C86*CDR*MAX(0,MIN(1,'Loan Tape'!$AV82)-0))</f>
        <v>0</v>
      </c>
      <c r="D692" s="99" t="n">
        <f aca="false">MIN(D86,D86*CDR*MAX(0,MIN(2,'Loan Tape'!$AV82)-1))</f>
        <v>0</v>
      </c>
      <c r="E692" s="99" t="n">
        <f aca="false">MIN(E86,E86*CDR*MAX(0,MIN(3,'Loan Tape'!$AV82)-2))</f>
        <v>0</v>
      </c>
      <c r="F692" s="99" t="n">
        <f aca="false">MIN(F86,F86*CDR*MAX(0,MIN(4,'Loan Tape'!$AV82)-3))</f>
        <v>0</v>
      </c>
      <c r="G692" s="99" t="n">
        <f aca="false">MIN(G86,G86*CDR*MAX(0,MIN(5,'Loan Tape'!$AV82)-4))</f>
        <v>0</v>
      </c>
      <c r="H692" s="99" t="n">
        <f aca="false">MIN(H86,H86*CDR*MAX(0,MIN(6,'Loan Tape'!$AV82)-5))</f>
        <v>0</v>
      </c>
      <c r="I692" s="99" t="n">
        <f aca="false">MIN(I86,I86*CDR*MAX(0,MIN(7,'Loan Tape'!$AV82)-6))</f>
        <v>0</v>
      </c>
      <c r="J692" s="99" t="n">
        <f aca="false">MIN(J86,J86*CDR*MAX(0,MIN(8,'Loan Tape'!$AV82)-7))</f>
        <v>0</v>
      </c>
      <c r="K692" s="99" t="n">
        <f aca="false">MIN(K86,K86*CDR*MAX(0,MIN(9,'Loan Tape'!$AV82)-8))</f>
        <v>0</v>
      </c>
      <c r="L692" s="99" t="n">
        <f aca="false">MIN(L86,L86*CDR*MAX(0,MIN(10,'Loan Tape'!$AV82)-9))</f>
        <v>0</v>
      </c>
    </row>
    <row r="693" customFormat="false" ht="15" hidden="false" customHeight="false" outlineLevel="0" collapsed="false">
      <c r="B693" s="108" t="n">
        <f aca="false">'Loan Tape'!$A83</f>
        <v>0</v>
      </c>
      <c r="C693" s="71" t="n">
        <f aca="false">MIN(C87,C87*CDR*MAX(0,MIN(1,'Loan Tape'!$AV83)-0))</f>
        <v>0</v>
      </c>
      <c r="D693" s="71" t="n">
        <f aca="false">MIN(D87,D87*CDR*MAX(0,MIN(2,'Loan Tape'!$AV83)-1))</f>
        <v>0</v>
      </c>
      <c r="E693" s="71" t="n">
        <f aca="false">MIN(E87,E87*CDR*MAX(0,MIN(3,'Loan Tape'!$AV83)-2))</f>
        <v>0</v>
      </c>
      <c r="F693" s="71" t="n">
        <f aca="false">MIN(F87,F87*CDR*MAX(0,MIN(4,'Loan Tape'!$AV83)-3))</f>
        <v>0</v>
      </c>
      <c r="G693" s="71" t="n">
        <f aca="false">MIN(G87,G87*CDR*MAX(0,MIN(5,'Loan Tape'!$AV83)-4))</f>
        <v>0</v>
      </c>
      <c r="H693" s="71" t="n">
        <f aca="false">MIN(H87,H87*CDR*MAX(0,MIN(6,'Loan Tape'!$AV83)-5))</f>
        <v>0</v>
      </c>
      <c r="I693" s="71" t="n">
        <f aca="false">MIN(I87,I87*CDR*MAX(0,MIN(7,'Loan Tape'!$AV83)-6))</f>
        <v>0</v>
      </c>
      <c r="J693" s="71" t="n">
        <f aca="false">MIN(J87,J87*CDR*MAX(0,MIN(8,'Loan Tape'!$AV83)-7))</f>
        <v>0</v>
      </c>
      <c r="K693" s="71" t="n">
        <f aca="false">MIN(K87,K87*CDR*MAX(0,MIN(9,'Loan Tape'!$AV83)-8))</f>
        <v>0</v>
      </c>
      <c r="L693" s="71" t="n">
        <f aca="false">MIN(L87,L87*CDR*MAX(0,MIN(10,'Loan Tape'!$AV83)-9))</f>
        <v>0</v>
      </c>
    </row>
    <row r="694" customFormat="false" ht="15" hidden="false" customHeight="false" outlineLevel="0" collapsed="false">
      <c r="B694" s="102" t="n">
        <f aca="false">'Loan Tape'!$A84</f>
        <v>0</v>
      </c>
      <c r="C694" s="99" t="n">
        <f aca="false">MIN(C88,C88*CDR*MAX(0,MIN(1,'Loan Tape'!$AV84)-0))</f>
        <v>0</v>
      </c>
      <c r="D694" s="99" t="n">
        <f aca="false">MIN(D88,D88*CDR*MAX(0,MIN(2,'Loan Tape'!$AV84)-1))</f>
        <v>0</v>
      </c>
      <c r="E694" s="99" t="n">
        <f aca="false">MIN(E88,E88*CDR*MAX(0,MIN(3,'Loan Tape'!$AV84)-2))</f>
        <v>0</v>
      </c>
      <c r="F694" s="99" t="n">
        <f aca="false">MIN(F88,F88*CDR*MAX(0,MIN(4,'Loan Tape'!$AV84)-3))</f>
        <v>0</v>
      </c>
      <c r="G694" s="99" t="n">
        <f aca="false">MIN(G88,G88*CDR*MAX(0,MIN(5,'Loan Tape'!$AV84)-4))</f>
        <v>0</v>
      </c>
      <c r="H694" s="99" t="n">
        <f aca="false">MIN(H88,H88*CDR*MAX(0,MIN(6,'Loan Tape'!$AV84)-5))</f>
        <v>0</v>
      </c>
      <c r="I694" s="99" t="n">
        <f aca="false">MIN(I88,I88*CDR*MAX(0,MIN(7,'Loan Tape'!$AV84)-6))</f>
        <v>0</v>
      </c>
      <c r="J694" s="99" t="n">
        <f aca="false">MIN(J88,J88*CDR*MAX(0,MIN(8,'Loan Tape'!$AV84)-7))</f>
        <v>0</v>
      </c>
      <c r="K694" s="99" t="n">
        <f aca="false">MIN(K88,K88*CDR*MAX(0,MIN(9,'Loan Tape'!$AV84)-8))</f>
        <v>0</v>
      </c>
      <c r="L694" s="99" t="n">
        <f aca="false">MIN(L88,L88*CDR*MAX(0,MIN(10,'Loan Tape'!$AV84)-9))</f>
        <v>0</v>
      </c>
    </row>
    <row r="695" customFormat="false" ht="15" hidden="false" customHeight="false" outlineLevel="0" collapsed="false">
      <c r="B695" s="108" t="n">
        <f aca="false">'Loan Tape'!$A85</f>
        <v>0</v>
      </c>
      <c r="C695" s="71" t="n">
        <f aca="false">MIN(C89,C89*CDR*MAX(0,MIN(1,'Loan Tape'!$AV85)-0))</f>
        <v>0</v>
      </c>
      <c r="D695" s="71" t="n">
        <f aca="false">MIN(D89,D89*CDR*MAX(0,MIN(2,'Loan Tape'!$AV85)-1))</f>
        <v>0</v>
      </c>
      <c r="E695" s="71" t="n">
        <f aca="false">MIN(E89,E89*CDR*MAX(0,MIN(3,'Loan Tape'!$AV85)-2))</f>
        <v>0</v>
      </c>
      <c r="F695" s="71" t="n">
        <f aca="false">MIN(F89,F89*CDR*MAX(0,MIN(4,'Loan Tape'!$AV85)-3))</f>
        <v>0</v>
      </c>
      <c r="G695" s="71" t="n">
        <f aca="false">MIN(G89,G89*CDR*MAX(0,MIN(5,'Loan Tape'!$AV85)-4))</f>
        <v>0</v>
      </c>
      <c r="H695" s="71" t="n">
        <f aca="false">MIN(H89,H89*CDR*MAX(0,MIN(6,'Loan Tape'!$AV85)-5))</f>
        <v>0</v>
      </c>
      <c r="I695" s="71" t="n">
        <f aca="false">MIN(I89,I89*CDR*MAX(0,MIN(7,'Loan Tape'!$AV85)-6))</f>
        <v>0</v>
      </c>
      <c r="J695" s="71" t="n">
        <f aca="false">MIN(J89,J89*CDR*MAX(0,MIN(8,'Loan Tape'!$AV85)-7))</f>
        <v>0</v>
      </c>
      <c r="K695" s="71" t="n">
        <f aca="false">MIN(K89,K89*CDR*MAX(0,MIN(9,'Loan Tape'!$AV85)-8))</f>
        <v>0</v>
      </c>
      <c r="L695" s="71" t="n">
        <f aca="false">MIN(L89,L89*CDR*MAX(0,MIN(10,'Loan Tape'!$AV85)-9))</f>
        <v>0</v>
      </c>
    </row>
    <row r="696" customFormat="false" ht="15" hidden="false" customHeight="false" outlineLevel="0" collapsed="false">
      <c r="B696" s="102" t="n">
        <f aca="false">'Loan Tape'!$A86</f>
        <v>0</v>
      </c>
      <c r="C696" s="99" t="n">
        <f aca="false">MIN(C90,C90*CDR*MAX(0,MIN(1,'Loan Tape'!$AV86)-0))</f>
        <v>0</v>
      </c>
      <c r="D696" s="99" t="n">
        <f aca="false">MIN(D90,D90*CDR*MAX(0,MIN(2,'Loan Tape'!$AV86)-1))</f>
        <v>0</v>
      </c>
      <c r="E696" s="99" t="n">
        <f aca="false">MIN(E90,E90*CDR*MAX(0,MIN(3,'Loan Tape'!$AV86)-2))</f>
        <v>0</v>
      </c>
      <c r="F696" s="99" t="n">
        <f aca="false">MIN(F90,F90*CDR*MAX(0,MIN(4,'Loan Tape'!$AV86)-3))</f>
        <v>0</v>
      </c>
      <c r="G696" s="99" t="n">
        <f aca="false">MIN(G90,G90*CDR*MAX(0,MIN(5,'Loan Tape'!$AV86)-4))</f>
        <v>0</v>
      </c>
      <c r="H696" s="99" t="n">
        <f aca="false">MIN(H90,H90*CDR*MAX(0,MIN(6,'Loan Tape'!$AV86)-5))</f>
        <v>0</v>
      </c>
      <c r="I696" s="99" t="n">
        <f aca="false">MIN(I90,I90*CDR*MAX(0,MIN(7,'Loan Tape'!$AV86)-6))</f>
        <v>0</v>
      </c>
      <c r="J696" s="99" t="n">
        <f aca="false">MIN(J90,J90*CDR*MAX(0,MIN(8,'Loan Tape'!$AV86)-7))</f>
        <v>0</v>
      </c>
      <c r="K696" s="99" t="n">
        <f aca="false">MIN(K90,K90*CDR*MAX(0,MIN(9,'Loan Tape'!$AV86)-8))</f>
        <v>0</v>
      </c>
      <c r="L696" s="99" t="n">
        <f aca="false">MIN(L90,L90*CDR*MAX(0,MIN(10,'Loan Tape'!$AV86)-9))</f>
        <v>0</v>
      </c>
    </row>
    <row r="697" customFormat="false" ht="15" hidden="false" customHeight="false" outlineLevel="0" collapsed="false">
      <c r="B697" s="108" t="n">
        <f aca="false">'Loan Tape'!$A87</f>
        <v>0</v>
      </c>
      <c r="C697" s="71" t="n">
        <f aca="false">MIN(C91,C91*CDR*MAX(0,MIN(1,'Loan Tape'!$AV87)-0))</f>
        <v>0</v>
      </c>
      <c r="D697" s="71" t="n">
        <f aca="false">MIN(D91,D91*CDR*MAX(0,MIN(2,'Loan Tape'!$AV87)-1))</f>
        <v>0</v>
      </c>
      <c r="E697" s="71" t="n">
        <f aca="false">MIN(E91,E91*CDR*MAX(0,MIN(3,'Loan Tape'!$AV87)-2))</f>
        <v>0</v>
      </c>
      <c r="F697" s="71" t="n">
        <f aca="false">MIN(F91,F91*CDR*MAX(0,MIN(4,'Loan Tape'!$AV87)-3))</f>
        <v>0</v>
      </c>
      <c r="G697" s="71" t="n">
        <f aca="false">MIN(G91,G91*CDR*MAX(0,MIN(5,'Loan Tape'!$AV87)-4))</f>
        <v>0</v>
      </c>
      <c r="H697" s="71" t="n">
        <f aca="false">MIN(H91,H91*CDR*MAX(0,MIN(6,'Loan Tape'!$AV87)-5))</f>
        <v>0</v>
      </c>
      <c r="I697" s="71" t="n">
        <f aca="false">MIN(I91,I91*CDR*MAX(0,MIN(7,'Loan Tape'!$AV87)-6))</f>
        <v>0</v>
      </c>
      <c r="J697" s="71" t="n">
        <f aca="false">MIN(J91,J91*CDR*MAX(0,MIN(8,'Loan Tape'!$AV87)-7))</f>
        <v>0</v>
      </c>
      <c r="K697" s="71" t="n">
        <f aca="false">MIN(K91,K91*CDR*MAX(0,MIN(9,'Loan Tape'!$AV87)-8))</f>
        <v>0</v>
      </c>
      <c r="L697" s="71" t="n">
        <f aca="false">MIN(L91,L91*CDR*MAX(0,MIN(10,'Loan Tape'!$AV87)-9))</f>
        <v>0</v>
      </c>
    </row>
    <row r="698" customFormat="false" ht="15" hidden="false" customHeight="false" outlineLevel="0" collapsed="false">
      <c r="B698" s="102" t="n">
        <f aca="false">'Loan Tape'!$A88</f>
        <v>0</v>
      </c>
      <c r="C698" s="99" t="n">
        <f aca="false">MIN(C92,C92*CDR*MAX(0,MIN(1,'Loan Tape'!$AV88)-0))</f>
        <v>0</v>
      </c>
      <c r="D698" s="99" t="n">
        <f aca="false">MIN(D92,D92*CDR*MAX(0,MIN(2,'Loan Tape'!$AV88)-1))</f>
        <v>0</v>
      </c>
      <c r="E698" s="99" t="n">
        <f aca="false">MIN(E92,E92*CDR*MAX(0,MIN(3,'Loan Tape'!$AV88)-2))</f>
        <v>0</v>
      </c>
      <c r="F698" s="99" t="n">
        <f aca="false">MIN(F92,F92*CDR*MAX(0,MIN(4,'Loan Tape'!$AV88)-3))</f>
        <v>0</v>
      </c>
      <c r="G698" s="99" t="n">
        <f aca="false">MIN(G92,G92*CDR*MAX(0,MIN(5,'Loan Tape'!$AV88)-4))</f>
        <v>0</v>
      </c>
      <c r="H698" s="99" t="n">
        <f aca="false">MIN(H92,H92*CDR*MAX(0,MIN(6,'Loan Tape'!$AV88)-5))</f>
        <v>0</v>
      </c>
      <c r="I698" s="99" t="n">
        <f aca="false">MIN(I92,I92*CDR*MAX(0,MIN(7,'Loan Tape'!$AV88)-6))</f>
        <v>0</v>
      </c>
      <c r="J698" s="99" t="n">
        <f aca="false">MIN(J92,J92*CDR*MAX(0,MIN(8,'Loan Tape'!$AV88)-7))</f>
        <v>0</v>
      </c>
      <c r="K698" s="99" t="n">
        <f aca="false">MIN(K92,K92*CDR*MAX(0,MIN(9,'Loan Tape'!$AV88)-8))</f>
        <v>0</v>
      </c>
      <c r="L698" s="99" t="n">
        <f aca="false">MIN(L92,L92*CDR*MAX(0,MIN(10,'Loan Tape'!$AV88)-9))</f>
        <v>0</v>
      </c>
    </row>
    <row r="699" customFormat="false" ht="15" hidden="false" customHeight="false" outlineLevel="0" collapsed="false">
      <c r="B699" s="108" t="n">
        <f aca="false">'Loan Tape'!$A89</f>
        <v>0</v>
      </c>
      <c r="C699" s="71" t="n">
        <f aca="false">MIN(C93,C93*CDR*MAX(0,MIN(1,'Loan Tape'!$AV89)-0))</f>
        <v>0</v>
      </c>
      <c r="D699" s="71" t="n">
        <f aca="false">MIN(D93,D93*CDR*MAX(0,MIN(2,'Loan Tape'!$AV89)-1))</f>
        <v>0</v>
      </c>
      <c r="E699" s="71" t="n">
        <f aca="false">MIN(E93,E93*CDR*MAX(0,MIN(3,'Loan Tape'!$AV89)-2))</f>
        <v>0</v>
      </c>
      <c r="F699" s="71" t="n">
        <f aca="false">MIN(F93,F93*CDR*MAX(0,MIN(4,'Loan Tape'!$AV89)-3))</f>
        <v>0</v>
      </c>
      <c r="G699" s="71" t="n">
        <f aca="false">MIN(G93,G93*CDR*MAX(0,MIN(5,'Loan Tape'!$AV89)-4))</f>
        <v>0</v>
      </c>
      <c r="H699" s="71" t="n">
        <f aca="false">MIN(H93,H93*CDR*MAX(0,MIN(6,'Loan Tape'!$AV89)-5))</f>
        <v>0</v>
      </c>
      <c r="I699" s="71" t="n">
        <f aca="false">MIN(I93,I93*CDR*MAX(0,MIN(7,'Loan Tape'!$AV89)-6))</f>
        <v>0</v>
      </c>
      <c r="J699" s="71" t="n">
        <f aca="false">MIN(J93,J93*CDR*MAX(0,MIN(8,'Loan Tape'!$AV89)-7))</f>
        <v>0</v>
      </c>
      <c r="K699" s="71" t="n">
        <f aca="false">MIN(K93,K93*CDR*MAX(0,MIN(9,'Loan Tape'!$AV89)-8))</f>
        <v>0</v>
      </c>
      <c r="L699" s="71" t="n">
        <f aca="false">MIN(L93,L93*CDR*MAX(0,MIN(10,'Loan Tape'!$AV89)-9))</f>
        <v>0</v>
      </c>
    </row>
    <row r="700" customFormat="false" ht="15" hidden="false" customHeight="false" outlineLevel="0" collapsed="false">
      <c r="B700" s="102" t="n">
        <f aca="false">'Loan Tape'!$A90</f>
        <v>0</v>
      </c>
      <c r="C700" s="99" t="n">
        <f aca="false">MIN(C94,C94*CDR*MAX(0,MIN(1,'Loan Tape'!$AV90)-0))</f>
        <v>0</v>
      </c>
      <c r="D700" s="99" t="n">
        <f aca="false">MIN(D94,D94*CDR*MAX(0,MIN(2,'Loan Tape'!$AV90)-1))</f>
        <v>0</v>
      </c>
      <c r="E700" s="99" t="n">
        <f aca="false">MIN(E94,E94*CDR*MAX(0,MIN(3,'Loan Tape'!$AV90)-2))</f>
        <v>0</v>
      </c>
      <c r="F700" s="99" t="n">
        <f aca="false">MIN(F94,F94*CDR*MAX(0,MIN(4,'Loan Tape'!$AV90)-3))</f>
        <v>0</v>
      </c>
      <c r="G700" s="99" t="n">
        <f aca="false">MIN(G94,G94*CDR*MAX(0,MIN(5,'Loan Tape'!$AV90)-4))</f>
        <v>0</v>
      </c>
      <c r="H700" s="99" t="n">
        <f aca="false">MIN(H94,H94*CDR*MAX(0,MIN(6,'Loan Tape'!$AV90)-5))</f>
        <v>0</v>
      </c>
      <c r="I700" s="99" t="n">
        <f aca="false">MIN(I94,I94*CDR*MAX(0,MIN(7,'Loan Tape'!$AV90)-6))</f>
        <v>0</v>
      </c>
      <c r="J700" s="99" t="n">
        <f aca="false">MIN(J94,J94*CDR*MAX(0,MIN(8,'Loan Tape'!$AV90)-7))</f>
        <v>0</v>
      </c>
      <c r="K700" s="99" t="n">
        <f aca="false">MIN(K94,K94*CDR*MAX(0,MIN(9,'Loan Tape'!$AV90)-8))</f>
        <v>0</v>
      </c>
      <c r="L700" s="99" t="n">
        <f aca="false">MIN(L94,L94*CDR*MAX(0,MIN(10,'Loan Tape'!$AV90)-9))</f>
        <v>0</v>
      </c>
    </row>
    <row r="701" customFormat="false" ht="15" hidden="false" customHeight="false" outlineLevel="0" collapsed="false">
      <c r="B701" s="108" t="n">
        <f aca="false">'Loan Tape'!$A91</f>
        <v>0</v>
      </c>
      <c r="C701" s="71" t="n">
        <f aca="false">MIN(C95,C95*CDR*MAX(0,MIN(1,'Loan Tape'!$AV91)-0))</f>
        <v>0</v>
      </c>
      <c r="D701" s="71" t="n">
        <f aca="false">MIN(D95,D95*CDR*MAX(0,MIN(2,'Loan Tape'!$AV91)-1))</f>
        <v>0</v>
      </c>
      <c r="E701" s="71" t="n">
        <f aca="false">MIN(E95,E95*CDR*MAX(0,MIN(3,'Loan Tape'!$AV91)-2))</f>
        <v>0</v>
      </c>
      <c r="F701" s="71" t="n">
        <f aca="false">MIN(F95,F95*CDR*MAX(0,MIN(4,'Loan Tape'!$AV91)-3))</f>
        <v>0</v>
      </c>
      <c r="G701" s="71" t="n">
        <f aca="false">MIN(G95,G95*CDR*MAX(0,MIN(5,'Loan Tape'!$AV91)-4))</f>
        <v>0</v>
      </c>
      <c r="H701" s="71" t="n">
        <f aca="false">MIN(H95,H95*CDR*MAX(0,MIN(6,'Loan Tape'!$AV91)-5))</f>
        <v>0</v>
      </c>
      <c r="I701" s="71" t="n">
        <f aca="false">MIN(I95,I95*CDR*MAX(0,MIN(7,'Loan Tape'!$AV91)-6))</f>
        <v>0</v>
      </c>
      <c r="J701" s="71" t="n">
        <f aca="false">MIN(J95,J95*CDR*MAX(0,MIN(8,'Loan Tape'!$AV91)-7))</f>
        <v>0</v>
      </c>
      <c r="K701" s="71" t="n">
        <f aca="false">MIN(K95,K95*CDR*MAX(0,MIN(9,'Loan Tape'!$AV91)-8))</f>
        <v>0</v>
      </c>
      <c r="L701" s="71" t="n">
        <f aca="false">MIN(L95,L95*CDR*MAX(0,MIN(10,'Loan Tape'!$AV91)-9))</f>
        <v>0</v>
      </c>
    </row>
    <row r="702" customFormat="false" ht="15" hidden="false" customHeight="false" outlineLevel="0" collapsed="false">
      <c r="B702" s="102" t="n">
        <f aca="false">'Loan Tape'!$A92</f>
        <v>0</v>
      </c>
      <c r="C702" s="99" t="n">
        <f aca="false">MIN(C96,C96*CDR*MAX(0,MIN(1,'Loan Tape'!$AV92)-0))</f>
        <v>0</v>
      </c>
      <c r="D702" s="99" t="n">
        <f aca="false">MIN(D96,D96*CDR*MAX(0,MIN(2,'Loan Tape'!$AV92)-1))</f>
        <v>0</v>
      </c>
      <c r="E702" s="99" t="n">
        <f aca="false">MIN(E96,E96*CDR*MAX(0,MIN(3,'Loan Tape'!$AV92)-2))</f>
        <v>0</v>
      </c>
      <c r="F702" s="99" t="n">
        <f aca="false">MIN(F96,F96*CDR*MAX(0,MIN(4,'Loan Tape'!$AV92)-3))</f>
        <v>0</v>
      </c>
      <c r="G702" s="99" t="n">
        <f aca="false">MIN(G96,G96*CDR*MAX(0,MIN(5,'Loan Tape'!$AV92)-4))</f>
        <v>0</v>
      </c>
      <c r="H702" s="99" t="n">
        <f aca="false">MIN(H96,H96*CDR*MAX(0,MIN(6,'Loan Tape'!$AV92)-5))</f>
        <v>0</v>
      </c>
      <c r="I702" s="99" t="n">
        <f aca="false">MIN(I96,I96*CDR*MAX(0,MIN(7,'Loan Tape'!$AV92)-6))</f>
        <v>0</v>
      </c>
      <c r="J702" s="99" t="n">
        <f aca="false">MIN(J96,J96*CDR*MAX(0,MIN(8,'Loan Tape'!$AV92)-7))</f>
        <v>0</v>
      </c>
      <c r="K702" s="99" t="n">
        <f aca="false">MIN(K96,K96*CDR*MAX(0,MIN(9,'Loan Tape'!$AV92)-8))</f>
        <v>0</v>
      </c>
      <c r="L702" s="99" t="n">
        <f aca="false">MIN(L96,L96*CDR*MAX(0,MIN(10,'Loan Tape'!$AV92)-9))</f>
        <v>0</v>
      </c>
    </row>
    <row r="703" customFormat="false" ht="15" hidden="false" customHeight="false" outlineLevel="0" collapsed="false">
      <c r="B703" s="108" t="n">
        <f aca="false">'Loan Tape'!$A93</f>
        <v>0</v>
      </c>
      <c r="C703" s="71" t="n">
        <f aca="false">MIN(C97,C97*CDR*MAX(0,MIN(1,'Loan Tape'!$AV93)-0))</f>
        <v>0</v>
      </c>
      <c r="D703" s="71" t="n">
        <f aca="false">MIN(D97,D97*CDR*MAX(0,MIN(2,'Loan Tape'!$AV93)-1))</f>
        <v>0</v>
      </c>
      <c r="E703" s="71" t="n">
        <f aca="false">MIN(E97,E97*CDR*MAX(0,MIN(3,'Loan Tape'!$AV93)-2))</f>
        <v>0</v>
      </c>
      <c r="F703" s="71" t="n">
        <f aca="false">MIN(F97,F97*CDR*MAX(0,MIN(4,'Loan Tape'!$AV93)-3))</f>
        <v>0</v>
      </c>
      <c r="G703" s="71" t="n">
        <f aca="false">MIN(G97,G97*CDR*MAX(0,MIN(5,'Loan Tape'!$AV93)-4))</f>
        <v>0</v>
      </c>
      <c r="H703" s="71" t="n">
        <f aca="false">MIN(H97,H97*CDR*MAX(0,MIN(6,'Loan Tape'!$AV93)-5))</f>
        <v>0</v>
      </c>
      <c r="I703" s="71" t="n">
        <f aca="false">MIN(I97,I97*CDR*MAX(0,MIN(7,'Loan Tape'!$AV93)-6))</f>
        <v>0</v>
      </c>
      <c r="J703" s="71" t="n">
        <f aca="false">MIN(J97,J97*CDR*MAX(0,MIN(8,'Loan Tape'!$AV93)-7))</f>
        <v>0</v>
      </c>
      <c r="K703" s="71" t="n">
        <f aca="false">MIN(K97,K97*CDR*MAX(0,MIN(9,'Loan Tape'!$AV93)-8))</f>
        <v>0</v>
      </c>
      <c r="L703" s="71" t="n">
        <f aca="false">MIN(L97,L97*CDR*MAX(0,MIN(10,'Loan Tape'!$AV93)-9))</f>
        <v>0</v>
      </c>
    </row>
    <row r="704" customFormat="false" ht="15" hidden="false" customHeight="false" outlineLevel="0" collapsed="false">
      <c r="B704" s="102" t="n">
        <f aca="false">'Loan Tape'!$A94</f>
        <v>0</v>
      </c>
      <c r="C704" s="99" t="n">
        <f aca="false">MIN(C98,C98*CDR*MAX(0,MIN(1,'Loan Tape'!$AV94)-0))</f>
        <v>0</v>
      </c>
      <c r="D704" s="99" t="n">
        <f aca="false">MIN(D98,D98*CDR*MAX(0,MIN(2,'Loan Tape'!$AV94)-1))</f>
        <v>0</v>
      </c>
      <c r="E704" s="99" t="n">
        <f aca="false">MIN(E98,E98*CDR*MAX(0,MIN(3,'Loan Tape'!$AV94)-2))</f>
        <v>0</v>
      </c>
      <c r="F704" s="99" t="n">
        <f aca="false">MIN(F98,F98*CDR*MAX(0,MIN(4,'Loan Tape'!$AV94)-3))</f>
        <v>0</v>
      </c>
      <c r="G704" s="99" t="n">
        <f aca="false">MIN(G98,G98*CDR*MAX(0,MIN(5,'Loan Tape'!$AV94)-4))</f>
        <v>0</v>
      </c>
      <c r="H704" s="99" t="n">
        <f aca="false">MIN(H98,H98*CDR*MAX(0,MIN(6,'Loan Tape'!$AV94)-5))</f>
        <v>0</v>
      </c>
      <c r="I704" s="99" t="n">
        <f aca="false">MIN(I98,I98*CDR*MAX(0,MIN(7,'Loan Tape'!$AV94)-6))</f>
        <v>0</v>
      </c>
      <c r="J704" s="99" t="n">
        <f aca="false">MIN(J98,J98*CDR*MAX(0,MIN(8,'Loan Tape'!$AV94)-7))</f>
        <v>0</v>
      </c>
      <c r="K704" s="99" t="n">
        <f aca="false">MIN(K98,K98*CDR*MAX(0,MIN(9,'Loan Tape'!$AV94)-8))</f>
        <v>0</v>
      </c>
      <c r="L704" s="99" t="n">
        <f aca="false">MIN(L98,L98*CDR*MAX(0,MIN(10,'Loan Tape'!$AV94)-9))</f>
        <v>0</v>
      </c>
    </row>
    <row r="705" customFormat="false" ht="15" hidden="false" customHeight="false" outlineLevel="0" collapsed="false">
      <c r="B705" s="108" t="n">
        <f aca="false">'Loan Tape'!$A95</f>
        <v>0</v>
      </c>
      <c r="C705" s="71" t="n">
        <f aca="false">MIN(C99,C99*CDR*MAX(0,MIN(1,'Loan Tape'!$AV95)-0))</f>
        <v>0</v>
      </c>
      <c r="D705" s="71" t="n">
        <f aca="false">MIN(D99,D99*CDR*MAX(0,MIN(2,'Loan Tape'!$AV95)-1))</f>
        <v>0</v>
      </c>
      <c r="E705" s="71" t="n">
        <f aca="false">MIN(E99,E99*CDR*MAX(0,MIN(3,'Loan Tape'!$AV95)-2))</f>
        <v>0</v>
      </c>
      <c r="F705" s="71" t="n">
        <f aca="false">MIN(F99,F99*CDR*MAX(0,MIN(4,'Loan Tape'!$AV95)-3))</f>
        <v>0</v>
      </c>
      <c r="G705" s="71" t="n">
        <f aca="false">MIN(G99,G99*CDR*MAX(0,MIN(5,'Loan Tape'!$AV95)-4))</f>
        <v>0</v>
      </c>
      <c r="H705" s="71" t="n">
        <f aca="false">MIN(H99,H99*CDR*MAX(0,MIN(6,'Loan Tape'!$AV95)-5))</f>
        <v>0</v>
      </c>
      <c r="I705" s="71" t="n">
        <f aca="false">MIN(I99,I99*CDR*MAX(0,MIN(7,'Loan Tape'!$AV95)-6))</f>
        <v>0</v>
      </c>
      <c r="J705" s="71" t="n">
        <f aca="false">MIN(J99,J99*CDR*MAX(0,MIN(8,'Loan Tape'!$AV95)-7))</f>
        <v>0</v>
      </c>
      <c r="K705" s="71" t="n">
        <f aca="false">MIN(K99,K99*CDR*MAX(0,MIN(9,'Loan Tape'!$AV95)-8))</f>
        <v>0</v>
      </c>
      <c r="L705" s="71" t="n">
        <f aca="false">MIN(L99,L99*CDR*MAX(0,MIN(10,'Loan Tape'!$AV95)-9))</f>
        <v>0</v>
      </c>
    </row>
    <row r="706" customFormat="false" ht="15" hidden="false" customHeight="false" outlineLevel="0" collapsed="false">
      <c r="B706" s="102" t="n">
        <f aca="false">'Loan Tape'!$A96</f>
        <v>0</v>
      </c>
      <c r="C706" s="99" t="n">
        <f aca="false">MIN(C100,C100*CDR*MAX(0,MIN(1,'Loan Tape'!$AV96)-0))</f>
        <v>0</v>
      </c>
      <c r="D706" s="99" t="n">
        <f aca="false">MIN(D100,D100*CDR*MAX(0,MIN(2,'Loan Tape'!$AV96)-1))</f>
        <v>0</v>
      </c>
      <c r="E706" s="99" t="n">
        <f aca="false">MIN(E100,E100*CDR*MAX(0,MIN(3,'Loan Tape'!$AV96)-2))</f>
        <v>0</v>
      </c>
      <c r="F706" s="99" t="n">
        <f aca="false">MIN(F100,F100*CDR*MAX(0,MIN(4,'Loan Tape'!$AV96)-3))</f>
        <v>0</v>
      </c>
      <c r="G706" s="99" t="n">
        <f aca="false">MIN(G100,G100*CDR*MAX(0,MIN(5,'Loan Tape'!$AV96)-4))</f>
        <v>0</v>
      </c>
      <c r="H706" s="99" t="n">
        <f aca="false">MIN(H100,H100*CDR*MAX(0,MIN(6,'Loan Tape'!$AV96)-5))</f>
        <v>0</v>
      </c>
      <c r="I706" s="99" t="n">
        <f aca="false">MIN(I100,I100*CDR*MAX(0,MIN(7,'Loan Tape'!$AV96)-6))</f>
        <v>0</v>
      </c>
      <c r="J706" s="99" t="n">
        <f aca="false">MIN(J100,J100*CDR*MAX(0,MIN(8,'Loan Tape'!$AV96)-7))</f>
        <v>0</v>
      </c>
      <c r="K706" s="99" t="n">
        <f aca="false">MIN(K100,K100*CDR*MAX(0,MIN(9,'Loan Tape'!$AV96)-8))</f>
        <v>0</v>
      </c>
      <c r="L706" s="99" t="n">
        <f aca="false">MIN(L100,L100*CDR*MAX(0,MIN(10,'Loan Tape'!$AV96)-9))</f>
        <v>0</v>
      </c>
    </row>
    <row r="707" customFormat="false" ht="15" hidden="false" customHeight="false" outlineLevel="0" collapsed="false">
      <c r="B707" s="108" t="n">
        <f aca="false">'Loan Tape'!$A97</f>
        <v>0</v>
      </c>
      <c r="C707" s="71" t="n">
        <f aca="false">MIN(C101,C101*CDR*MAX(0,MIN(1,'Loan Tape'!$AV97)-0))</f>
        <v>0</v>
      </c>
      <c r="D707" s="71" t="n">
        <f aca="false">MIN(D101,D101*CDR*MAX(0,MIN(2,'Loan Tape'!$AV97)-1))</f>
        <v>0</v>
      </c>
      <c r="E707" s="71" t="n">
        <f aca="false">MIN(E101,E101*CDR*MAX(0,MIN(3,'Loan Tape'!$AV97)-2))</f>
        <v>0</v>
      </c>
      <c r="F707" s="71" t="n">
        <f aca="false">MIN(F101,F101*CDR*MAX(0,MIN(4,'Loan Tape'!$AV97)-3))</f>
        <v>0</v>
      </c>
      <c r="G707" s="71" t="n">
        <f aca="false">MIN(G101,G101*CDR*MAX(0,MIN(5,'Loan Tape'!$AV97)-4))</f>
        <v>0</v>
      </c>
      <c r="H707" s="71" t="n">
        <f aca="false">MIN(H101,H101*CDR*MAX(0,MIN(6,'Loan Tape'!$AV97)-5))</f>
        <v>0</v>
      </c>
      <c r="I707" s="71" t="n">
        <f aca="false">MIN(I101,I101*CDR*MAX(0,MIN(7,'Loan Tape'!$AV97)-6))</f>
        <v>0</v>
      </c>
      <c r="J707" s="71" t="n">
        <f aca="false">MIN(J101,J101*CDR*MAX(0,MIN(8,'Loan Tape'!$AV97)-7))</f>
        <v>0</v>
      </c>
      <c r="K707" s="71" t="n">
        <f aca="false">MIN(K101,K101*CDR*MAX(0,MIN(9,'Loan Tape'!$AV97)-8))</f>
        <v>0</v>
      </c>
      <c r="L707" s="71" t="n">
        <f aca="false">MIN(L101,L101*CDR*MAX(0,MIN(10,'Loan Tape'!$AV97)-9))</f>
        <v>0</v>
      </c>
    </row>
    <row r="708" customFormat="false" ht="15" hidden="false" customHeight="false" outlineLevel="0" collapsed="false">
      <c r="B708" s="102" t="n">
        <f aca="false">'Loan Tape'!$A98</f>
        <v>0</v>
      </c>
      <c r="C708" s="99" t="n">
        <f aca="false">MIN(C102,C102*CDR*MAX(0,MIN(1,'Loan Tape'!$AV98)-0))</f>
        <v>0</v>
      </c>
      <c r="D708" s="99" t="n">
        <f aca="false">MIN(D102,D102*CDR*MAX(0,MIN(2,'Loan Tape'!$AV98)-1))</f>
        <v>0</v>
      </c>
      <c r="E708" s="99" t="n">
        <f aca="false">MIN(E102,E102*CDR*MAX(0,MIN(3,'Loan Tape'!$AV98)-2))</f>
        <v>0</v>
      </c>
      <c r="F708" s="99" t="n">
        <f aca="false">MIN(F102,F102*CDR*MAX(0,MIN(4,'Loan Tape'!$AV98)-3))</f>
        <v>0</v>
      </c>
      <c r="G708" s="99" t="n">
        <f aca="false">MIN(G102,G102*CDR*MAX(0,MIN(5,'Loan Tape'!$AV98)-4))</f>
        <v>0</v>
      </c>
      <c r="H708" s="99" t="n">
        <f aca="false">MIN(H102,H102*CDR*MAX(0,MIN(6,'Loan Tape'!$AV98)-5))</f>
        <v>0</v>
      </c>
      <c r="I708" s="99" t="n">
        <f aca="false">MIN(I102,I102*CDR*MAX(0,MIN(7,'Loan Tape'!$AV98)-6))</f>
        <v>0</v>
      </c>
      <c r="J708" s="99" t="n">
        <f aca="false">MIN(J102,J102*CDR*MAX(0,MIN(8,'Loan Tape'!$AV98)-7))</f>
        <v>0</v>
      </c>
      <c r="K708" s="99" t="n">
        <f aca="false">MIN(K102,K102*CDR*MAX(0,MIN(9,'Loan Tape'!$AV98)-8))</f>
        <v>0</v>
      </c>
      <c r="L708" s="99" t="n">
        <f aca="false">MIN(L102,L102*CDR*MAX(0,MIN(10,'Loan Tape'!$AV98)-9))</f>
        <v>0</v>
      </c>
    </row>
    <row r="709" customFormat="false" ht="15" hidden="false" customHeight="false" outlineLevel="0" collapsed="false">
      <c r="B709" s="108" t="n">
        <f aca="false">'Loan Tape'!$A99</f>
        <v>0</v>
      </c>
      <c r="C709" s="71" t="n">
        <f aca="false">MIN(C103,C103*CDR*MAX(0,MIN(1,'Loan Tape'!$AV99)-0))</f>
        <v>0</v>
      </c>
      <c r="D709" s="71" t="n">
        <f aca="false">MIN(D103,D103*CDR*MAX(0,MIN(2,'Loan Tape'!$AV99)-1))</f>
        <v>0</v>
      </c>
      <c r="E709" s="71" t="n">
        <f aca="false">MIN(E103,E103*CDR*MAX(0,MIN(3,'Loan Tape'!$AV99)-2))</f>
        <v>0</v>
      </c>
      <c r="F709" s="71" t="n">
        <f aca="false">MIN(F103,F103*CDR*MAX(0,MIN(4,'Loan Tape'!$AV99)-3))</f>
        <v>0</v>
      </c>
      <c r="G709" s="71" t="n">
        <f aca="false">MIN(G103,G103*CDR*MAX(0,MIN(5,'Loan Tape'!$AV99)-4))</f>
        <v>0</v>
      </c>
      <c r="H709" s="71" t="n">
        <f aca="false">MIN(H103,H103*CDR*MAX(0,MIN(6,'Loan Tape'!$AV99)-5))</f>
        <v>0</v>
      </c>
      <c r="I709" s="71" t="n">
        <f aca="false">MIN(I103,I103*CDR*MAX(0,MIN(7,'Loan Tape'!$AV99)-6))</f>
        <v>0</v>
      </c>
      <c r="J709" s="71" t="n">
        <f aca="false">MIN(J103,J103*CDR*MAX(0,MIN(8,'Loan Tape'!$AV99)-7))</f>
        <v>0</v>
      </c>
      <c r="K709" s="71" t="n">
        <f aca="false">MIN(K103,K103*CDR*MAX(0,MIN(9,'Loan Tape'!$AV99)-8))</f>
        <v>0</v>
      </c>
      <c r="L709" s="71" t="n">
        <f aca="false">MIN(L103,L103*CDR*MAX(0,MIN(10,'Loan Tape'!$AV99)-9))</f>
        <v>0</v>
      </c>
    </row>
    <row r="710" customFormat="false" ht="15" hidden="false" customHeight="false" outlineLevel="0" collapsed="false">
      <c r="B710" s="102" t="n">
        <f aca="false">'Loan Tape'!$A100</f>
        <v>0</v>
      </c>
      <c r="C710" s="99" t="n">
        <f aca="false">MIN(C104,C104*CDR*MAX(0,MIN(1,'Loan Tape'!$AV100)-0))</f>
        <v>0</v>
      </c>
      <c r="D710" s="99" t="n">
        <f aca="false">MIN(D104,D104*CDR*MAX(0,MIN(2,'Loan Tape'!$AV100)-1))</f>
        <v>0</v>
      </c>
      <c r="E710" s="99" t="n">
        <f aca="false">MIN(E104,E104*CDR*MAX(0,MIN(3,'Loan Tape'!$AV100)-2))</f>
        <v>0</v>
      </c>
      <c r="F710" s="99" t="n">
        <f aca="false">MIN(F104,F104*CDR*MAX(0,MIN(4,'Loan Tape'!$AV100)-3))</f>
        <v>0</v>
      </c>
      <c r="G710" s="99" t="n">
        <f aca="false">MIN(G104,G104*CDR*MAX(0,MIN(5,'Loan Tape'!$AV100)-4))</f>
        <v>0</v>
      </c>
      <c r="H710" s="99" t="n">
        <f aca="false">MIN(H104,H104*CDR*MAX(0,MIN(6,'Loan Tape'!$AV100)-5))</f>
        <v>0</v>
      </c>
      <c r="I710" s="99" t="n">
        <f aca="false">MIN(I104,I104*CDR*MAX(0,MIN(7,'Loan Tape'!$AV100)-6))</f>
        <v>0</v>
      </c>
      <c r="J710" s="99" t="n">
        <f aca="false">MIN(J104,J104*CDR*MAX(0,MIN(8,'Loan Tape'!$AV100)-7))</f>
        <v>0</v>
      </c>
      <c r="K710" s="99" t="n">
        <f aca="false">MIN(K104,K104*CDR*MAX(0,MIN(9,'Loan Tape'!$AV100)-8))</f>
        <v>0</v>
      </c>
      <c r="L710" s="99" t="n">
        <f aca="false">MIN(L104,L104*CDR*MAX(0,MIN(10,'Loan Tape'!$AV100)-9))</f>
        <v>0</v>
      </c>
    </row>
    <row r="711" customFormat="false" ht="15" hidden="false" customHeight="false" outlineLevel="0" collapsed="false">
      <c r="B711" s="108" t="n">
        <f aca="false">'Loan Tape'!$A101</f>
        <v>0</v>
      </c>
      <c r="C711" s="71" t="n">
        <f aca="false">MIN(C105,C105*CDR*MAX(0,MIN(1,'Loan Tape'!$AV101)-0))</f>
        <v>0</v>
      </c>
      <c r="D711" s="71" t="n">
        <f aca="false">MIN(D105,D105*CDR*MAX(0,MIN(2,'Loan Tape'!$AV101)-1))</f>
        <v>0</v>
      </c>
      <c r="E711" s="71" t="n">
        <f aca="false">MIN(E105,E105*CDR*MAX(0,MIN(3,'Loan Tape'!$AV101)-2))</f>
        <v>0</v>
      </c>
      <c r="F711" s="71" t="n">
        <f aca="false">MIN(F105,F105*CDR*MAX(0,MIN(4,'Loan Tape'!$AV101)-3))</f>
        <v>0</v>
      </c>
      <c r="G711" s="71" t="n">
        <f aca="false">MIN(G105,G105*CDR*MAX(0,MIN(5,'Loan Tape'!$AV101)-4))</f>
        <v>0</v>
      </c>
      <c r="H711" s="71" t="n">
        <f aca="false">MIN(H105,H105*CDR*MAX(0,MIN(6,'Loan Tape'!$AV101)-5))</f>
        <v>0</v>
      </c>
      <c r="I711" s="71" t="n">
        <f aca="false">MIN(I105,I105*CDR*MAX(0,MIN(7,'Loan Tape'!$AV101)-6))</f>
        <v>0</v>
      </c>
      <c r="J711" s="71" t="n">
        <f aca="false">MIN(J105,J105*CDR*MAX(0,MIN(8,'Loan Tape'!$AV101)-7))</f>
        <v>0</v>
      </c>
      <c r="K711" s="71" t="n">
        <f aca="false">MIN(K105,K105*CDR*MAX(0,MIN(9,'Loan Tape'!$AV101)-8))</f>
        <v>0</v>
      </c>
      <c r="L711" s="71" t="n">
        <f aca="false">MIN(L105,L105*CDR*MAX(0,MIN(10,'Loan Tape'!$AV101)-9))</f>
        <v>0</v>
      </c>
    </row>
    <row r="712" customFormat="false" ht="15" hidden="false" customHeight="false" outlineLevel="0" collapsed="false">
      <c r="B712" s="102" t="n">
        <f aca="false">'Loan Tape'!$A102</f>
        <v>0</v>
      </c>
      <c r="C712" s="99" t="n">
        <f aca="false">MIN(C106,C106*CDR*MAX(0,MIN(1,'Loan Tape'!$AV102)-0))</f>
        <v>0</v>
      </c>
      <c r="D712" s="99" t="n">
        <f aca="false">MIN(D106,D106*CDR*MAX(0,MIN(2,'Loan Tape'!$AV102)-1))</f>
        <v>0</v>
      </c>
      <c r="E712" s="99" t="n">
        <f aca="false">MIN(E106,E106*CDR*MAX(0,MIN(3,'Loan Tape'!$AV102)-2))</f>
        <v>0</v>
      </c>
      <c r="F712" s="99" t="n">
        <f aca="false">MIN(F106,F106*CDR*MAX(0,MIN(4,'Loan Tape'!$AV102)-3))</f>
        <v>0</v>
      </c>
      <c r="G712" s="99" t="n">
        <f aca="false">MIN(G106,G106*CDR*MAX(0,MIN(5,'Loan Tape'!$AV102)-4))</f>
        <v>0</v>
      </c>
      <c r="H712" s="99" t="n">
        <f aca="false">MIN(H106,H106*CDR*MAX(0,MIN(6,'Loan Tape'!$AV102)-5))</f>
        <v>0</v>
      </c>
      <c r="I712" s="99" t="n">
        <f aca="false">MIN(I106,I106*CDR*MAX(0,MIN(7,'Loan Tape'!$AV102)-6))</f>
        <v>0</v>
      </c>
      <c r="J712" s="99" t="n">
        <f aca="false">MIN(J106,J106*CDR*MAX(0,MIN(8,'Loan Tape'!$AV102)-7))</f>
        <v>0</v>
      </c>
      <c r="K712" s="99" t="n">
        <f aca="false">MIN(K106,K106*CDR*MAX(0,MIN(9,'Loan Tape'!$AV102)-8))</f>
        <v>0</v>
      </c>
      <c r="L712" s="99" t="n">
        <f aca="false">MIN(L106,L106*CDR*MAX(0,MIN(10,'Loan Tape'!$AV102)-9))</f>
        <v>0</v>
      </c>
    </row>
    <row r="713" customFormat="false" ht="15" hidden="false" customHeight="false" outlineLevel="0" collapsed="false">
      <c r="B713" s="108" t="n">
        <f aca="false">'Loan Tape'!$A103</f>
        <v>0</v>
      </c>
      <c r="C713" s="71" t="n">
        <f aca="false">MIN(C107,C107*CDR*MAX(0,MIN(1,'Loan Tape'!$AV103)-0))</f>
        <v>0</v>
      </c>
      <c r="D713" s="71" t="n">
        <f aca="false">MIN(D107,D107*CDR*MAX(0,MIN(2,'Loan Tape'!$AV103)-1))</f>
        <v>0</v>
      </c>
      <c r="E713" s="71" t="n">
        <f aca="false">MIN(E107,E107*CDR*MAX(0,MIN(3,'Loan Tape'!$AV103)-2))</f>
        <v>0</v>
      </c>
      <c r="F713" s="71" t="n">
        <f aca="false">MIN(F107,F107*CDR*MAX(0,MIN(4,'Loan Tape'!$AV103)-3))</f>
        <v>0</v>
      </c>
      <c r="G713" s="71" t="n">
        <f aca="false">MIN(G107,G107*CDR*MAX(0,MIN(5,'Loan Tape'!$AV103)-4))</f>
        <v>0</v>
      </c>
      <c r="H713" s="71" t="n">
        <f aca="false">MIN(H107,H107*CDR*MAX(0,MIN(6,'Loan Tape'!$AV103)-5))</f>
        <v>0</v>
      </c>
      <c r="I713" s="71" t="n">
        <f aca="false">MIN(I107,I107*CDR*MAX(0,MIN(7,'Loan Tape'!$AV103)-6))</f>
        <v>0</v>
      </c>
      <c r="J713" s="71" t="n">
        <f aca="false">MIN(J107,J107*CDR*MAX(0,MIN(8,'Loan Tape'!$AV103)-7))</f>
        <v>0</v>
      </c>
      <c r="K713" s="71" t="n">
        <f aca="false">MIN(K107,K107*CDR*MAX(0,MIN(9,'Loan Tape'!$AV103)-8))</f>
        <v>0</v>
      </c>
      <c r="L713" s="71" t="n">
        <f aca="false">MIN(L107,L107*CDR*MAX(0,MIN(10,'Loan Tape'!$AV103)-9))</f>
        <v>0</v>
      </c>
    </row>
    <row r="714" customFormat="false" ht="15" hidden="false" customHeight="false" outlineLevel="0" collapsed="false">
      <c r="B714" s="102" t="n">
        <f aca="false">'Loan Tape'!$A104</f>
        <v>0</v>
      </c>
      <c r="C714" s="99" t="n">
        <f aca="false">MIN(C108,C108*CDR*MAX(0,MIN(1,'Loan Tape'!$AV104)-0))</f>
        <v>0</v>
      </c>
      <c r="D714" s="99" t="n">
        <f aca="false">MIN(D108,D108*CDR*MAX(0,MIN(2,'Loan Tape'!$AV104)-1))</f>
        <v>0</v>
      </c>
      <c r="E714" s="99" t="n">
        <f aca="false">MIN(E108,E108*CDR*MAX(0,MIN(3,'Loan Tape'!$AV104)-2))</f>
        <v>0</v>
      </c>
      <c r="F714" s="99" t="n">
        <f aca="false">MIN(F108,F108*CDR*MAX(0,MIN(4,'Loan Tape'!$AV104)-3))</f>
        <v>0</v>
      </c>
      <c r="G714" s="99" t="n">
        <f aca="false">MIN(G108,G108*CDR*MAX(0,MIN(5,'Loan Tape'!$AV104)-4))</f>
        <v>0</v>
      </c>
      <c r="H714" s="99" t="n">
        <f aca="false">MIN(H108,H108*CDR*MAX(0,MIN(6,'Loan Tape'!$AV104)-5))</f>
        <v>0</v>
      </c>
      <c r="I714" s="99" t="n">
        <f aca="false">MIN(I108,I108*CDR*MAX(0,MIN(7,'Loan Tape'!$AV104)-6))</f>
        <v>0</v>
      </c>
      <c r="J714" s="99" t="n">
        <f aca="false">MIN(J108,J108*CDR*MAX(0,MIN(8,'Loan Tape'!$AV104)-7))</f>
        <v>0</v>
      </c>
      <c r="K714" s="99" t="n">
        <f aca="false">MIN(K108,K108*CDR*MAX(0,MIN(9,'Loan Tape'!$AV104)-8))</f>
        <v>0</v>
      </c>
      <c r="L714" s="99" t="n">
        <f aca="false">MIN(L108,L108*CDR*MAX(0,MIN(10,'Loan Tape'!$AV104)-9))</f>
        <v>0</v>
      </c>
    </row>
    <row r="715" customFormat="false" ht="15" hidden="false" customHeight="false" outlineLevel="0" collapsed="false">
      <c r="B715" s="108" t="n">
        <f aca="false">'Loan Tape'!$A105</f>
        <v>0</v>
      </c>
      <c r="C715" s="71" t="n">
        <f aca="false">MIN(C109,C109*CDR*MAX(0,MIN(1,'Loan Tape'!$AV105)-0))</f>
        <v>0</v>
      </c>
      <c r="D715" s="71" t="n">
        <f aca="false">MIN(D109,D109*CDR*MAX(0,MIN(2,'Loan Tape'!$AV105)-1))</f>
        <v>0</v>
      </c>
      <c r="E715" s="71" t="n">
        <f aca="false">MIN(E109,E109*CDR*MAX(0,MIN(3,'Loan Tape'!$AV105)-2))</f>
        <v>0</v>
      </c>
      <c r="F715" s="71" t="n">
        <f aca="false">MIN(F109,F109*CDR*MAX(0,MIN(4,'Loan Tape'!$AV105)-3))</f>
        <v>0</v>
      </c>
      <c r="G715" s="71" t="n">
        <f aca="false">MIN(G109,G109*CDR*MAX(0,MIN(5,'Loan Tape'!$AV105)-4))</f>
        <v>0</v>
      </c>
      <c r="H715" s="71" t="n">
        <f aca="false">MIN(H109,H109*CDR*MAX(0,MIN(6,'Loan Tape'!$AV105)-5))</f>
        <v>0</v>
      </c>
      <c r="I715" s="71" t="n">
        <f aca="false">MIN(I109,I109*CDR*MAX(0,MIN(7,'Loan Tape'!$AV105)-6))</f>
        <v>0</v>
      </c>
      <c r="J715" s="71" t="n">
        <f aca="false">MIN(J109,J109*CDR*MAX(0,MIN(8,'Loan Tape'!$AV105)-7))</f>
        <v>0</v>
      </c>
      <c r="K715" s="71" t="n">
        <f aca="false">MIN(K109,K109*CDR*MAX(0,MIN(9,'Loan Tape'!$AV105)-8))</f>
        <v>0</v>
      </c>
      <c r="L715" s="71" t="n">
        <f aca="false">MIN(L109,L109*CDR*MAX(0,MIN(10,'Loan Tape'!$AV105)-9))</f>
        <v>0</v>
      </c>
    </row>
    <row r="716" customFormat="false" ht="15" hidden="false" customHeight="false" outlineLevel="0" collapsed="false">
      <c r="B716" s="102" t="n">
        <f aca="false">'Loan Tape'!$A106</f>
        <v>0</v>
      </c>
      <c r="C716" s="99" t="n">
        <f aca="false">MIN(C110,C110*CDR*MAX(0,MIN(1,'Loan Tape'!$AV106)-0))</f>
        <v>0</v>
      </c>
      <c r="D716" s="99" t="n">
        <f aca="false">MIN(D110,D110*CDR*MAX(0,MIN(2,'Loan Tape'!$AV106)-1))</f>
        <v>0</v>
      </c>
      <c r="E716" s="99" t="n">
        <f aca="false">MIN(E110,E110*CDR*MAX(0,MIN(3,'Loan Tape'!$AV106)-2))</f>
        <v>0</v>
      </c>
      <c r="F716" s="99" t="n">
        <f aca="false">MIN(F110,F110*CDR*MAX(0,MIN(4,'Loan Tape'!$AV106)-3))</f>
        <v>0</v>
      </c>
      <c r="G716" s="99" t="n">
        <f aca="false">MIN(G110,G110*CDR*MAX(0,MIN(5,'Loan Tape'!$AV106)-4))</f>
        <v>0</v>
      </c>
      <c r="H716" s="99" t="n">
        <f aca="false">MIN(H110,H110*CDR*MAX(0,MIN(6,'Loan Tape'!$AV106)-5))</f>
        <v>0</v>
      </c>
      <c r="I716" s="99" t="n">
        <f aca="false">MIN(I110,I110*CDR*MAX(0,MIN(7,'Loan Tape'!$AV106)-6))</f>
        <v>0</v>
      </c>
      <c r="J716" s="99" t="n">
        <f aca="false">MIN(J110,J110*CDR*MAX(0,MIN(8,'Loan Tape'!$AV106)-7))</f>
        <v>0</v>
      </c>
      <c r="K716" s="99" t="n">
        <f aca="false">MIN(K110,K110*CDR*MAX(0,MIN(9,'Loan Tape'!$AV106)-8))</f>
        <v>0</v>
      </c>
      <c r="L716" s="99" t="n">
        <f aca="false">MIN(L110,L110*CDR*MAX(0,MIN(10,'Loan Tape'!$AV106)-9))</f>
        <v>0</v>
      </c>
    </row>
    <row r="717" customFormat="false" ht="15" hidden="false" customHeight="false" outlineLevel="0" collapsed="false">
      <c r="B717" s="108" t="n">
        <f aca="false">'Loan Tape'!$A107</f>
        <v>0</v>
      </c>
      <c r="C717" s="71" t="n">
        <f aca="false">MIN(C111,C111*CDR*MAX(0,MIN(1,'Loan Tape'!$AV107)-0))</f>
        <v>0</v>
      </c>
      <c r="D717" s="71" t="n">
        <f aca="false">MIN(D111,D111*CDR*MAX(0,MIN(2,'Loan Tape'!$AV107)-1))</f>
        <v>0</v>
      </c>
      <c r="E717" s="71" t="n">
        <f aca="false">MIN(E111,E111*CDR*MAX(0,MIN(3,'Loan Tape'!$AV107)-2))</f>
        <v>0</v>
      </c>
      <c r="F717" s="71" t="n">
        <f aca="false">MIN(F111,F111*CDR*MAX(0,MIN(4,'Loan Tape'!$AV107)-3))</f>
        <v>0</v>
      </c>
      <c r="G717" s="71" t="n">
        <f aca="false">MIN(G111,G111*CDR*MAX(0,MIN(5,'Loan Tape'!$AV107)-4))</f>
        <v>0</v>
      </c>
      <c r="H717" s="71" t="n">
        <f aca="false">MIN(H111,H111*CDR*MAX(0,MIN(6,'Loan Tape'!$AV107)-5))</f>
        <v>0</v>
      </c>
      <c r="I717" s="71" t="n">
        <f aca="false">MIN(I111,I111*CDR*MAX(0,MIN(7,'Loan Tape'!$AV107)-6))</f>
        <v>0</v>
      </c>
      <c r="J717" s="71" t="n">
        <f aca="false">MIN(J111,J111*CDR*MAX(0,MIN(8,'Loan Tape'!$AV107)-7))</f>
        <v>0</v>
      </c>
      <c r="K717" s="71" t="n">
        <f aca="false">MIN(K111,K111*CDR*MAX(0,MIN(9,'Loan Tape'!$AV107)-8))</f>
        <v>0</v>
      </c>
      <c r="L717" s="71" t="n">
        <f aca="false">MIN(L111,L111*CDR*MAX(0,MIN(10,'Loan Tape'!$AV107)-9))</f>
        <v>0</v>
      </c>
    </row>
    <row r="718" customFormat="false" ht="15" hidden="false" customHeight="false" outlineLevel="0" collapsed="false">
      <c r="B718" s="102" t="n">
        <f aca="false">'Loan Tape'!$A108</f>
        <v>0</v>
      </c>
      <c r="C718" s="99" t="n">
        <f aca="false">MIN(C112,C112*CDR*MAX(0,MIN(1,'Loan Tape'!$AV108)-0))</f>
        <v>0</v>
      </c>
      <c r="D718" s="99" t="n">
        <f aca="false">MIN(D112,D112*CDR*MAX(0,MIN(2,'Loan Tape'!$AV108)-1))</f>
        <v>0</v>
      </c>
      <c r="E718" s="99" t="n">
        <f aca="false">MIN(E112,E112*CDR*MAX(0,MIN(3,'Loan Tape'!$AV108)-2))</f>
        <v>0</v>
      </c>
      <c r="F718" s="99" t="n">
        <f aca="false">MIN(F112,F112*CDR*MAX(0,MIN(4,'Loan Tape'!$AV108)-3))</f>
        <v>0</v>
      </c>
      <c r="G718" s="99" t="n">
        <f aca="false">MIN(G112,G112*CDR*MAX(0,MIN(5,'Loan Tape'!$AV108)-4))</f>
        <v>0</v>
      </c>
      <c r="H718" s="99" t="n">
        <f aca="false">MIN(H112,H112*CDR*MAX(0,MIN(6,'Loan Tape'!$AV108)-5))</f>
        <v>0</v>
      </c>
      <c r="I718" s="99" t="n">
        <f aca="false">MIN(I112,I112*CDR*MAX(0,MIN(7,'Loan Tape'!$AV108)-6))</f>
        <v>0</v>
      </c>
      <c r="J718" s="99" t="n">
        <f aca="false">MIN(J112,J112*CDR*MAX(0,MIN(8,'Loan Tape'!$AV108)-7))</f>
        <v>0</v>
      </c>
      <c r="K718" s="99" t="n">
        <f aca="false">MIN(K112,K112*CDR*MAX(0,MIN(9,'Loan Tape'!$AV108)-8))</f>
        <v>0</v>
      </c>
      <c r="L718" s="99" t="n">
        <f aca="false">MIN(L112,L112*CDR*MAX(0,MIN(10,'Loan Tape'!$AV108)-9))</f>
        <v>0</v>
      </c>
    </row>
    <row r="719" customFormat="false" ht="15" hidden="false" customHeight="false" outlineLevel="0" collapsed="false">
      <c r="B719" s="108" t="n">
        <f aca="false">'Loan Tape'!$A109</f>
        <v>0</v>
      </c>
      <c r="C719" s="71" t="n">
        <f aca="false">MIN(C113,C113*CDR*MAX(0,MIN(1,'Loan Tape'!$AV109)-0))</f>
        <v>0</v>
      </c>
      <c r="D719" s="71" t="n">
        <f aca="false">MIN(D113,D113*CDR*MAX(0,MIN(2,'Loan Tape'!$AV109)-1))</f>
        <v>0</v>
      </c>
      <c r="E719" s="71" t="n">
        <f aca="false">MIN(E113,E113*CDR*MAX(0,MIN(3,'Loan Tape'!$AV109)-2))</f>
        <v>0</v>
      </c>
      <c r="F719" s="71" t="n">
        <f aca="false">MIN(F113,F113*CDR*MAX(0,MIN(4,'Loan Tape'!$AV109)-3))</f>
        <v>0</v>
      </c>
      <c r="G719" s="71" t="n">
        <f aca="false">MIN(G113,G113*CDR*MAX(0,MIN(5,'Loan Tape'!$AV109)-4))</f>
        <v>0</v>
      </c>
      <c r="H719" s="71" t="n">
        <f aca="false">MIN(H113,H113*CDR*MAX(0,MIN(6,'Loan Tape'!$AV109)-5))</f>
        <v>0</v>
      </c>
      <c r="I719" s="71" t="n">
        <f aca="false">MIN(I113,I113*CDR*MAX(0,MIN(7,'Loan Tape'!$AV109)-6))</f>
        <v>0</v>
      </c>
      <c r="J719" s="71" t="n">
        <f aca="false">MIN(J113,J113*CDR*MAX(0,MIN(8,'Loan Tape'!$AV109)-7))</f>
        <v>0</v>
      </c>
      <c r="K719" s="71" t="n">
        <f aca="false">MIN(K113,K113*CDR*MAX(0,MIN(9,'Loan Tape'!$AV109)-8))</f>
        <v>0</v>
      </c>
      <c r="L719" s="71" t="n">
        <f aca="false">MIN(L113,L113*CDR*MAX(0,MIN(10,'Loan Tape'!$AV109)-9))</f>
        <v>0</v>
      </c>
    </row>
    <row r="720" customFormat="false" ht="15" hidden="false" customHeight="false" outlineLevel="0" collapsed="false">
      <c r="B720" s="102" t="n">
        <f aca="false">'Loan Tape'!$A110</f>
        <v>0</v>
      </c>
      <c r="C720" s="99" t="n">
        <f aca="false">MIN(C114,C114*CDR*MAX(0,MIN(1,'Loan Tape'!$AV110)-0))</f>
        <v>0</v>
      </c>
      <c r="D720" s="99" t="n">
        <f aca="false">MIN(D114,D114*CDR*MAX(0,MIN(2,'Loan Tape'!$AV110)-1))</f>
        <v>0</v>
      </c>
      <c r="E720" s="99" t="n">
        <f aca="false">MIN(E114,E114*CDR*MAX(0,MIN(3,'Loan Tape'!$AV110)-2))</f>
        <v>0</v>
      </c>
      <c r="F720" s="99" t="n">
        <f aca="false">MIN(F114,F114*CDR*MAX(0,MIN(4,'Loan Tape'!$AV110)-3))</f>
        <v>0</v>
      </c>
      <c r="G720" s="99" t="n">
        <f aca="false">MIN(G114,G114*CDR*MAX(0,MIN(5,'Loan Tape'!$AV110)-4))</f>
        <v>0</v>
      </c>
      <c r="H720" s="99" t="n">
        <f aca="false">MIN(H114,H114*CDR*MAX(0,MIN(6,'Loan Tape'!$AV110)-5))</f>
        <v>0</v>
      </c>
      <c r="I720" s="99" t="n">
        <f aca="false">MIN(I114,I114*CDR*MAX(0,MIN(7,'Loan Tape'!$AV110)-6))</f>
        <v>0</v>
      </c>
      <c r="J720" s="99" t="n">
        <f aca="false">MIN(J114,J114*CDR*MAX(0,MIN(8,'Loan Tape'!$AV110)-7))</f>
        <v>0</v>
      </c>
      <c r="K720" s="99" t="n">
        <f aca="false">MIN(K114,K114*CDR*MAX(0,MIN(9,'Loan Tape'!$AV110)-8))</f>
        <v>0</v>
      </c>
      <c r="L720" s="99" t="n">
        <f aca="false">MIN(L114,L114*CDR*MAX(0,MIN(10,'Loan Tape'!$AV110)-9))</f>
        <v>0</v>
      </c>
    </row>
    <row r="721" customFormat="false" ht="15" hidden="false" customHeight="false" outlineLevel="0" collapsed="false">
      <c r="B721" s="108" t="n">
        <f aca="false">'Loan Tape'!$A111</f>
        <v>0</v>
      </c>
      <c r="C721" s="71" t="n">
        <f aca="false">MIN(C115,C115*CDR*MAX(0,MIN(1,'Loan Tape'!$AV111)-0))</f>
        <v>0</v>
      </c>
      <c r="D721" s="71" t="n">
        <f aca="false">MIN(D115,D115*CDR*MAX(0,MIN(2,'Loan Tape'!$AV111)-1))</f>
        <v>0</v>
      </c>
      <c r="E721" s="71" t="n">
        <f aca="false">MIN(E115,E115*CDR*MAX(0,MIN(3,'Loan Tape'!$AV111)-2))</f>
        <v>0</v>
      </c>
      <c r="F721" s="71" t="n">
        <f aca="false">MIN(F115,F115*CDR*MAX(0,MIN(4,'Loan Tape'!$AV111)-3))</f>
        <v>0</v>
      </c>
      <c r="G721" s="71" t="n">
        <f aca="false">MIN(G115,G115*CDR*MAX(0,MIN(5,'Loan Tape'!$AV111)-4))</f>
        <v>0</v>
      </c>
      <c r="H721" s="71" t="n">
        <f aca="false">MIN(H115,H115*CDR*MAX(0,MIN(6,'Loan Tape'!$AV111)-5))</f>
        <v>0</v>
      </c>
      <c r="I721" s="71" t="n">
        <f aca="false">MIN(I115,I115*CDR*MAX(0,MIN(7,'Loan Tape'!$AV111)-6))</f>
        <v>0</v>
      </c>
      <c r="J721" s="71" t="n">
        <f aca="false">MIN(J115,J115*CDR*MAX(0,MIN(8,'Loan Tape'!$AV111)-7))</f>
        <v>0</v>
      </c>
      <c r="K721" s="71" t="n">
        <f aca="false">MIN(K115,K115*CDR*MAX(0,MIN(9,'Loan Tape'!$AV111)-8))</f>
        <v>0</v>
      </c>
      <c r="L721" s="71" t="n">
        <f aca="false">MIN(L115,L115*CDR*MAX(0,MIN(10,'Loan Tape'!$AV111)-9))</f>
        <v>0</v>
      </c>
    </row>
    <row r="722" customFormat="false" ht="15" hidden="false" customHeight="false" outlineLevel="0" collapsed="false">
      <c r="B722" s="102" t="n">
        <f aca="false">'Loan Tape'!$A112</f>
        <v>0</v>
      </c>
      <c r="C722" s="99" t="n">
        <f aca="false">MIN(C116,C116*CDR*MAX(0,MIN(1,'Loan Tape'!$AV112)-0))</f>
        <v>0</v>
      </c>
      <c r="D722" s="99" t="n">
        <f aca="false">MIN(D116,D116*CDR*MAX(0,MIN(2,'Loan Tape'!$AV112)-1))</f>
        <v>0</v>
      </c>
      <c r="E722" s="99" t="n">
        <f aca="false">MIN(E116,E116*CDR*MAX(0,MIN(3,'Loan Tape'!$AV112)-2))</f>
        <v>0</v>
      </c>
      <c r="F722" s="99" t="n">
        <f aca="false">MIN(F116,F116*CDR*MAX(0,MIN(4,'Loan Tape'!$AV112)-3))</f>
        <v>0</v>
      </c>
      <c r="G722" s="99" t="n">
        <f aca="false">MIN(G116,G116*CDR*MAX(0,MIN(5,'Loan Tape'!$AV112)-4))</f>
        <v>0</v>
      </c>
      <c r="H722" s="99" t="n">
        <f aca="false">MIN(H116,H116*CDR*MAX(0,MIN(6,'Loan Tape'!$AV112)-5))</f>
        <v>0</v>
      </c>
      <c r="I722" s="99" t="n">
        <f aca="false">MIN(I116,I116*CDR*MAX(0,MIN(7,'Loan Tape'!$AV112)-6))</f>
        <v>0</v>
      </c>
      <c r="J722" s="99" t="n">
        <f aca="false">MIN(J116,J116*CDR*MAX(0,MIN(8,'Loan Tape'!$AV112)-7))</f>
        <v>0</v>
      </c>
      <c r="K722" s="99" t="n">
        <f aca="false">MIN(K116,K116*CDR*MAX(0,MIN(9,'Loan Tape'!$AV112)-8))</f>
        <v>0</v>
      </c>
      <c r="L722" s="99" t="n">
        <f aca="false">MIN(L116,L116*CDR*MAX(0,MIN(10,'Loan Tape'!$AV112)-9))</f>
        <v>0</v>
      </c>
    </row>
    <row r="723" customFormat="false" ht="15" hidden="false" customHeight="false" outlineLevel="0" collapsed="false">
      <c r="B723" s="108" t="n">
        <f aca="false">'Loan Tape'!$A113</f>
        <v>0</v>
      </c>
      <c r="C723" s="71" t="n">
        <f aca="false">MIN(C117,C117*CDR*MAX(0,MIN(1,'Loan Tape'!$AV113)-0))</f>
        <v>0</v>
      </c>
      <c r="D723" s="71" t="n">
        <f aca="false">MIN(D117,D117*CDR*MAX(0,MIN(2,'Loan Tape'!$AV113)-1))</f>
        <v>0</v>
      </c>
      <c r="E723" s="71" t="n">
        <f aca="false">MIN(E117,E117*CDR*MAX(0,MIN(3,'Loan Tape'!$AV113)-2))</f>
        <v>0</v>
      </c>
      <c r="F723" s="71" t="n">
        <f aca="false">MIN(F117,F117*CDR*MAX(0,MIN(4,'Loan Tape'!$AV113)-3))</f>
        <v>0</v>
      </c>
      <c r="G723" s="71" t="n">
        <f aca="false">MIN(G117,G117*CDR*MAX(0,MIN(5,'Loan Tape'!$AV113)-4))</f>
        <v>0</v>
      </c>
      <c r="H723" s="71" t="n">
        <f aca="false">MIN(H117,H117*CDR*MAX(0,MIN(6,'Loan Tape'!$AV113)-5))</f>
        <v>0</v>
      </c>
      <c r="I723" s="71" t="n">
        <f aca="false">MIN(I117,I117*CDR*MAX(0,MIN(7,'Loan Tape'!$AV113)-6))</f>
        <v>0</v>
      </c>
      <c r="J723" s="71" t="n">
        <f aca="false">MIN(J117,J117*CDR*MAX(0,MIN(8,'Loan Tape'!$AV113)-7))</f>
        <v>0</v>
      </c>
      <c r="K723" s="71" t="n">
        <f aca="false">MIN(K117,K117*CDR*MAX(0,MIN(9,'Loan Tape'!$AV113)-8))</f>
        <v>0</v>
      </c>
      <c r="L723" s="71" t="n">
        <f aca="false">MIN(L117,L117*CDR*MAX(0,MIN(10,'Loan Tape'!$AV113)-9))</f>
        <v>0</v>
      </c>
    </row>
    <row r="724" customFormat="false" ht="15" hidden="false" customHeight="false" outlineLevel="0" collapsed="false">
      <c r="B724" s="102" t="n">
        <f aca="false">'Loan Tape'!$A114</f>
        <v>0</v>
      </c>
      <c r="C724" s="99" t="n">
        <f aca="false">MIN(C118,C118*CDR*MAX(0,MIN(1,'Loan Tape'!$AV114)-0))</f>
        <v>0</v>
      </c>
      <c r="D724" s="99" t="n">
        <f aca="false">MIN(D118,D118*CDR*MAX(0,MIN(2,'Loan Tape'!$AV114)-1))</f>
        <v>0</v>
      </c>
      <c r="E724" s="99" t="n">
        <f aca="false">MIN(E118,E118*CDR*MAX(0,MIN(3,'Loan Tape'!$AV114)-2))</f>
        <v>0</v>
      </c>
      <c r="F724" s="99" t="n">
        <f aca="false">MIN(F118,F118*CDR*MAX(0,MIN(4,'Loan Tape'!$AV114)-3))</f>
        <v>0</v>
      </c>
      <c r="G724" s="99" t="n">
        <f aca="false">MIN(G118,G118*CDR*MAX(0,MIN(5,'Loan Tape'!$AV114)-4))</f>
        <v>0</v>
      </c>
      <c r="H724" s="99" t="n">
        <f aca="false">MIN(H118,H118*CDR*MAX(0,MIN(6,'Loan Tape'!$AV114)-5))</f>
        <v>0</v>
      </c>
      <c r="I724" s="99" t="n">
        <f aca="false">MIN(I118,I118*CDR*MAX(0,MIN(7,'Loan Tape'!$AV114)-6))</f>
        <v>0</v>
      </c>
      <c r="J724" s="99" t="n">
        <f aca="false">MIN(J118,J118*CDR*MAX(0,MIN(8,'Loan Tape'!$AV114)-7))</f>
        <v>0</v>
      </c>
      <c r="K724" s="99" t="n">
        <f aca="false">MIN(K118,K118*CDR*MAX(0,MIN(9,'Loan Tape'!$AV114)-8))</f>
        <v>0</v>
      </c>
      <c r="L724" s="99" t="n">
        <f aca="false">MIN(L118,L118*CDR*MAX(0,MIN(10,'Loan Tape'!$AV114)-9))</f>
        <v>0</v>
      </c>
    </row>
    <row r="725" customFormat="false" ht="15" hidden="false" customHeight="false" outlineLevel="0" collapsed="false">
      <c r="B725" s="108" t="n">
        <f aca="false">'Loan Tape'!$A115</f>
        <v>0</v>
      </c>
      <c r="C725" s="71" t="n">
        <f aca="false">MIN(C119,C119*CDR*MAX(0,MIN(1,'Loan Tape'!$AV115)-0))</f>
        <v>0</v>
      </c>
      <c r="D725" s="71" t="n">
        <f aca="false">MIN(D119,D119*CDR*MAX(0,MIN(2,'Loan Tape'!$AV115)-1))</f>
        <v>0</v>
      </c>
      <c r="E725" s="71" t="n">
        <f aca="false">MIN(E119,E119*CDR*MAX(0,MIN(3,'Loan Tape'!$AV115)-2))</f>
        <v>0</v>
      </c>
      <c r="F725" s="71" t="n">
        <f aca="false">MIN(F119,F119*CDR*MAX(0,MIN(4,'Loan Tape'!$AV115)-3))</f>
        <v>0</v>
      </c>
      <c r="G725" s="71" t="n">
        <f aca="false">MIN(G119,G119*CDR*MAX(0,MIN(5,'Loan Tape'!$AV115)-4))</f>
        <v>0</v>
      </c>
      <c r="H725" s="71" t="n">
        <f aca="false">MIN(H119,H119*CDR*MAX(0,MIN(6,'Loan Tape'!$AV115)-5))</f>
        <v>0</v>
      </c>
      <c r="I725" s="71" t="n">
        <f aca="false">MIN(I119,I119*CDR*MAX(0,MIN(7,'Loan Tape'!$AV115)-6))</f>
        <v>0</v>
      </c>
      <c r="J725" s="71" t="n">
        <f aca="false">MIN(J119,J119*CDR*MAX(0,MIN(8,'Loan Tape'!$AV115)-7))</f>
        <v>0</v>
      </c>
      <c r="K725" s="71" t="n">
        <f aca="false">MIN(K119,K119*CDR*MAX(0,MIN(9,'Loan Tape'!$AV115)-8))</f>
        <v>0</v>
      </c>
      <c r="L725" s="71" t="n">
        <f aca="false">MIN(L119,L119*CDR*MAX(0,MIN(10,'Loan Tape'!$AV115)-9))</f>
        <v>0</v>
      </c>
    </row>
    <row r="726" customFormat="false" ht="15" hidden="false" customHeight="false" outlineLevel="0" collapsed="false">
      <c r="B726" s="102" t="n">
        <f aca="false">'Loan Tape'!$A116</f>
        <v>0</v>
      </c>
      <c r="C726" s="99" t="n">
        <f aca="false">MIN(C120,C120*CDR*MAX(0,MIN(1,'Loan Tape'!$AV116)-0))</f>
        <v>0</v>
      </c>
      <c r="D726" s="99" t="n">
        <f aca="false">MIN(D120,D120*CDR*MAX(0,MIN(2,'Loan Tape'!$AV116)-1))</f>
        <v>0</v>
      </c>
      <c r="E726" s="99" t="n">
        <f aca="false">MIN(E120,E120*CDR*MAX(0,MIN(3,'Loan Tape'!$AV116)-2))</f>
        <v>0</v>
      </c>
      <c r="F726" s="99" t="n">
        <f aca="false">MIN(F120,F120*CDR*MAX(0,MIN(4,'Loan Tape'!$AV116)-3))</f>
        <v>0</v>
      </c>
      <c r="G726" s="99" t="n">
        <f aca="false">MIN(G120,G120*CDR*MAX(0,MIN(5,'Loan Tape'!$AV116)-4))</f>
        <v>0</v>
      </c>
      <c r="H726" s="99" t="n">
        <f aca="false">MIN(H120,H120*CDR*MAX(0,MIN(6,'Loan Tape'!$AV116)-5))</f>
        <v>0</v>
      </c>
      <c r="I726" s="99" t="n">
        <f aca="false">MIN(I120,I120*CDR*MAX(0,MIN(7,'Loan Tape'!$AV116)-6))</f>
        <v>0</v>
      </c>
      <c r="J726" s="99" t="n">
        <f aca="false">MIN(J120,J120*CDR*MAX(0,MIN(8,'Loan Tape'!$AV116)-7))</f>
        <v>0</v>
      </c>
      <c r="K726" s="99" t="n">
        <f aca="false">MIN(K120,K120*CDR*MAX(0,MIN(9,'Loan Tape'!$AV116)-8))</f>
        <v>0</v>
      </c>
      <c r="L726" s="99" t="n">
        <f aca="false">MIN(L120,L120*CDR*MAX(0,MIN(10,'Loan Tape'!$AV116)-9))</f>
        <v>0</v>
      </c>
    </row>
    <row r="727" customFormat="false" ht="15" hidden="false" customHeight="false" outlineLevel="0" collapsed="false">
      <c r="B727" s="108" t="n">
        <f aca="false">'Loan Tape'!$A117</f>
        <v>0</v>
      </c>
      <c r="C727" s="71" t="n">
        <f aca="false">MIN(C121,C121*CDR*MAX(0,MIN(1,'Loan Tape'!$AV117)-0))</f>
        <v>0</v>
      </c>
      <c r="D727" s="71" t="n">
        <f aca="false">MIN(D121,D121*CDR*MAX(0,MIN(2,'Loan Tape'!$AV117)-1))</f>
        <v>0</v>
      </c>
      <c r="E727" s="71" t="n">
        <f aca="false">MIN(E121,E121*CDR*MAX(0,MIN(3,'Loan Tape'!$AV117)-2))</f>
        <v>0</v>
      </c>
      <c r="F727" s="71" t="n">
        <f aca="false">MIN(F121,F121*CDR*MAX(0,MIN(4,'Loan Tape'!$AV117)-3))</f>
        <v>0</v>
      </c>
      <c r="G727" s="71" t="n">
        <f aca="false">MIN(G121,G121*CDR*MAX(0,MIN(5,'Loan Tape'!$AV117)-4))</f>
        <v>0</v>
      </c>
      <c r="H727" s="71" t="n">
        <f aca="false">MIN(H121,H121*CDR*MAX(0,MIN(6,'Loan Tape'!$AV117)-5))</f>
        <v>0</v>
      </c>
      <c r="I727" s="71" t="n">
        <f aca="false">MIN(I121,I121*CDR*MAX(0,MIN(7,'Loan Tape'!$AV117)-6))</f>
        <v>0</v>
      </c>
      <c r="J727" s="71" t="n">
        <f aca="false">MIN(J121,J121*CDR*MAX(0,MIN(8,'Loan Tape'!$AV117)-7))</f>
        <v>0</v>
      </c>
      <c r="K727" s="71" t="n">
        <f aca="false">MIN(K121,K121*CDR*MAX(0,MIN(9,'Loan Tape'!$AV117)-8))</f>
        <v>0</v>
      </c>
      <c r="L727" s="71" t="n">
        <f aca="false">MIN(L121,L121*CDR*MAX(0,MIN(10,'Loan Tape'!$AV117)-9))</f>
        <v>0</v>
      </c>
    </row>
    <row r="728" customFormat="false" ht="15" hidden="false" customHeight="false" outlineLevel="0" collapsed="false">
      <c r="B728" s="102" t="n">
        <f aca="false">'Loan Tape'!$A118</f>
        <v>0</v>
      </c>
      <c r="C728" s="99" t="n">
        <f aca="false">MIN(C122,C122*CDR*MAX(0,MIN(1,'Loan Tape'!$AV118)-0))</f>
        <v>0</v>
      </c>
      <c r="D728" s="99" t="n">
        <f aca="false">MIN(D122,D122*CDR*MAX(0,MIN(2,'Loan Tape'!$AV118)-1))</f>
        <v>0</v>
      </c>
      <c r="E728" s="99" t="n">
        <f aca="false">MIN(E122,E122*CDR*MAX(0,MIN(3,'Loan Tape'!$AV118)-2))</f>
        <v>0</v>
      </c>
      <c r="F728" s="99" t="n">
        <f aca="false">MIN(F122,F122*CDR*MAX(0,MIN(4,'Loan Tape'!$AV118)-3))</f>
        <v>0</v>
      </c>
      <c r="G728" s="99" t="n">
        <f aca="false">MIN(G122,G122*CDR*MAX(0,MIN(5,'Loan Tape'!$AV118)-4))</f>
        <v>0</v>
      </c>
      <c r="H728" s="99" t="n">
        <f aca="false">MIN(H122,H122*CDR*MAX(0,MIN(6,'Loan Tape'!$AV118)-5))</f>
        <v>0</v>
      </c>
      <c r="I728" s="99" t="n">
        <f aca="false">MIN(I122,I122*CDR*MAX(0,MIN(7,'Loan Tape'!$AV118)-6))</f>
        <v>0</v>
      </c>
      <c r="J728" s="99" t="n">
        <f aca="false">MIN(J122,J122*CDR*MAX(0,MIN(8,'Loan Tape'!$AV118)-7))</f>
        <v>0</v>
      </c>
      <c r="K728" s="99" t="n">
        <f aca="false">MIN(K122,K122*CDR*MAX(0,MIN(9,'Loan Tape'!$AV118)-8))</f>
        <v>0</v>
      </c>
      <c r="L728" s="99" t="n">
        <f aca="false">MIN(L122,L122*CDR*MAX(0,MIN(10,'Loan Tape'!$AV118)-9))</f>
        <v>0</v>
      </c>
    </row>
    <row r="729" customFormat="false" ht="15" hidden="false" customHeight="false" outlineLevel="0" collapsed="false">
      <c r="B729" s="108" t="n">
        <f aca="false">'Loan Tape'!$A119</f>
        <v>0</v>
      </c>
      <c r="C729" s="71" t="n">
        <f aca="false">MIN(C123,C123*CDR*MAX(0,MIN(1,'Loan Tape'!$AV119)-0))</f>
        <v>0</v>
      </c>
      <c r="D729" s="71" t="n">
        <f aca="false">MIN(D123,D123*CDR*MAX(0,MIN(2,'Loan Tape'!$AV119)-1))</f>
        <v>0</v>
      </c>
      <c r="E729" s="71" t="n">
        <f aca="false">MIN(E123,E123*CDR*MAX(0,MIN(3,'Loan Tape'!$AV119)-2))</f>
        <v>0</v>
      </c>
      <c r="F729" s="71" t="n">
        <f aca="false">MIN(F123,F123*CDR*MAX(0,MIN(4,'Loan Tape'!$AV119)-3))</f>
        <v>0</v>
      </c>
      <c r="G729" s="71" t="n">
        <f aca="false">MIN(G123,G123*CDR*MAX(0,MIN(5,'Loan Tape'!$AV119)-4))</f>
        <v>0</v>
      </c>
      <c r="H729" s="71" t="n">
        <f aca="false">MIN(H123,H123*CDR*MAX(0,MIN(6,'Loan Tape'!$AV119)-5))</f>
        <v>0</v>
      </c>
      <c r="I729" s="71" t="n">
        <f aca="false">MIN(I123,I123*CDR*MAX(0,MIN(7,'Loan Tape'!$AV119)-6))</f>
        <v>0</v>
      </c>
      <c r="J729" s="71" t="n">
        <f aca="false">MIN(J123,J123*CDR*MAX(0,MIN(8,'Loan Tape'!$AV119)-7))</f>
        <v>0</v>
      </c>
      <c r="K729" s="71" t="n">
        <f aca="false">MIN(K123,K123*CDR*MAX(0,MIN(9,'Loan Tape'!$AV119)-8))</f>
        <v>0</v>
      </c>
      <c r="L729" s="71" t="n">
        <f aca="false">MIN(L123,L123*CDR*MAX(0,MIN(10,'Loan Tape'!$AV119)-9))</f>
        <v>0</v>
      </c>
    </row>
    <row r="730" customFormat="false" ht="15" hidden="false" customHeight="false" outlineLevel="0" collapsed="false">
      <c r="B730" s="102" t="n">
        <f aca="false">'Loan Tape'!$A120</f>
        <v>0</v>
      </c>
      <c r="C730" s="99" t="n">
        <f aca="false">MIN(C124,C124*CDR*MAX(0,MIN(1,'Loan Tape'!$AV120)-0))</f>
        <v>0</v>
      </c>
      <c r="D730" s="99" t="n">
        <f aca="false">MIN(D124,D124*CDR*MAX(0,MIN(2,'Loan Tape'!$AV120)-1))</f>
        <v>0</v>
      </c>
      <c r="E730" s="99" t="n">
        <f aca="false">MIN(E124,E124*CDR*MAX(0,MIN(3,'Loan Tape'!$AV120)-2))</f>
        <v>0</v>
      </c>
      <c r="F730" s="99" t="n">
        <f aca="false">MIN(F124,F124*CDR*MAX(0,MIN(4,'Loan Tape'!$AV120)-3))</f>
        <v>0</v>
      </c>
      <c r="G730" s="99" t="n">
        <f aca="false">MIN(G124,G124*CDR*MAX(0,MIN(5,'Loan Tape'!$AV120)-4))</f>
        <v>0</v>
      </c>
      <c r="H730" s="99" t="n">
        <f aca="false">MIN(H124,H124*CDR*MAX(0,MIN(6,'Loan Tape'!$AV120)-5))</f>
        <v>0</v>
      </c>
      <c r="I730" s="99" t="n">
        <f aca="false">MIN(I124,I124*CDR*MAX(0,MIN(7,'Loan Tape'!$AV120)-6))</f>
        <v>0</v>
      </c>
      <c r="J730" s="99" t="n">
        <f aca="false">MIN(J124,J124*CDR*MAX(0,MIN(8,'Loan Tape'!$AV120)-7))</f>
        <v>0</v>
      </c>
      <c r="K730" s="99" t="n">
        <f aca="false">MIN(K124,K124*CDR*MAX(0,MIN(9,'Loan Tape'!$AV120)-8))</f>
        <v>0</v>
      </c>
      <c r="L730" s="99" t="n">
        <f aca="false">MIN(L124,L124*CDR*MAX(0,MIN(10,'Loan Tape'!$AV120)-9))</f>
        <v>0</v>
      </c>
    </row>
    <row r="731" customFormat="false" ht="15" hidden="false" customHeight="false" outlineLevel="0" collapsed="false">
      <c r="B731" s="108" t="n">
        <f aca="false">'Loan Tape'!$A121</f>
        <v>0</v>
      </c>
      <c r="C731" s="71" t="n">
        <f aca="false">MIN(C125,C125*CDR*MAX(0,MIN(1,'Loan Tape'!$AV121)-0))</f>
        <v>0</v>
      </c>
      <c r="D731" s="71" t="n">
        <f aca="false">MIN(D125,D125*CDR*MAX(0,MIN(2,'Loan Tape'!$AV121)-1))</f>
        <v>0</v>
      </c>
      <c r="E731" s="71" t="n">
        <f aca="false">MIN(E125,E125*CDR*MAX(0,MIN(3,'Loan Tape'!$AV121)-2))</f>
        <v>0</v>
      </c>
      <c r="F731" s="71" t="n">
        <f aca="false">MIN(F125,F125*CDR*MAX(0,MIN(4,'Loan Tape'!$AV121)-3))</f>
        <v>0</v>
      </c>
      <c r="G731" s="71" t="n">
        <f aca="false">MIN(G125,G125*CDR*MAX(0,MIN(5,'Loan Tape'!$AV121)-4))</f>
        <v>0</v>
      </c>
      <c r="H731" s="71" t="n">
        <f aca="false">MIN(H125,H125*CDR*MAX(0,MIN(6,'Loan Tape'!$AV121)-5))</f>
        <v>0</v>
      </c>
      <c r="I731" s="71" t="n">
        <f aca="false">MIN(I125,I125*CDR*MAX(0,MIN(7,'Loan Tape'!$AV121)-6))</f>
        <v>0</v>
      </c>
      <c r="J731" s="71" t="n">
        <f aca="false">MIN(J125,J125*CDR*MAX(0,MIN(8,'Loan Tape'!$AV121)-7))</f>
        <v>0</v>
      </c>
      <c r="K731" s="71" t="n">
        <f aca="false">MIN(K125,K125*CDR*MAX(0,MIN(9,'Loan Tape'!$AV121)-8))</f>
        <v>0</v>
      </c>
      <c r="L731" s="71" t="n">
        <f aca="false">MIN(L125,L125*CDR*MAX(0,MIN(10,'Loan Tape'!$AV121)-9))</f>
        <v>0</v>
      </c>
    </row>
    <row r="732" customFormat="false" ht="15" hidden="false" customHeight="false" outlineLevel="0" collapsed="false">
      <c r="B732" s="102" t="n">
        <f aca="false">'Loan Tape'!$A122</f>
        <v>0</v>
      </c>
      <c r="C732" s="99" t="n">
        <f aca="false">MIN(C126,C126*CDR*MAX(0,MIN(1,'Loan Tape'!$AV122)-0))</f>
        <v>0</v>
      </c>
      <c r="D732" s="99" t="n">
        <f aca="false">MIN(D126,D126*CDR*MAX(0,MIN(2,'Loan Tape'!$AV122)-1))</f>
        <v>0</v>
      </c>
      <c r="E732" s="99" t="n">
        <f aca="false">MIN(E126,E126*CDR*MAX(0,MIN(3,'Loan Tape'!$AV122)-2))</f>
        <v>0</v>
      </c>
      <c r="F732" s="99" t="n">
        <f aca="false">MIN(F126,F126*CDR*MAX(0,MIN(4,'Loan Tape'!$AV122)-3))</f>
        <v>0</v>
      </c>
      <c r="G732" s="99" t="n">
        <f aca="false">MIN(G126,G126*CDR*MAX(0,MIN(5,'Loan Tape'!$AV122)-4))</f>
        <v>0</v>
      </c>
      <c r="H732" s="99" t="n">
        <f aca="false">MIN(H126,H126*CDR*MAX(0,MIN(6,'Loan Tape'!$AV122)-5))</f>
        <v>0</v>
      </c>
      <c r="I732" s="99" t="n">
        <f aca="false">MIN(I126,I126*CDR*MAX(0,MIN(7,'Loan Tape'!$AV122)-6))</f>
        <v>0</v>
      </c>
      <c r="J732" s="99" t="n">
        <f aca="false">MIN(J126,J126*CDR*MAX(0,MIN(8,'Loan Tape'!$AV122)-7))</f>
        <v>0</v>
      </c>
      <c r="K732" s="99" t="n">
        <f aca="false">MIN(K126,K126*CDR*MAX(0,MIN(9,'Loan Tape'!$AV122)-8))</f>
        <v>0</v>
      </c>
      <c r="L732" s="99" t="n">
        <f aca="false">MIN(L126,L126*CDR*MAX(0,MIN(10,'Loan Tape'!$AV122)-9))</f>
        <v>0</v>
      </c>
    </row>
    <row r="733" customFormat="false" ht="15" hidden="false" customHeight="false" outlineLevel="0" collapsed="false">
      <c r="B733" s="108" t="n">
        <f aca="false">'Loan Tape'!$A123</f>
        <v>0</v>
      </c>
      <c r="C733" s="71" t="n">
        <f aca="false">MIN(C127,C127*CDR*MAX(0,MIN(1,'Loan Tape'!$AV123)-0))</f>
        <v>0</v>
      </c>
      <c r="D733" s="71" t="n">
        <f aca="false">MIN(D127,D127*CDR*MAX(0,MIN(2,'Loan Tape'!$AV123)-1))</f>
        <v>0</v>
      </c>
      <c r="E733" s="71" t="n">
        <f aca="false">MIN(E127,E127*CDR*MAX(0,MIN(3,'Loan Tape'!$AV123)-2))</f>
        <v>0</v>
      </c>
      <c r="F733" s="71" t="n">
        <f aca="false">MIN(F127,F127*CDR*MAX(0,MIN(4,'Loan Tape'!$AV123)-3))</f>
        <v>0</v>
      </c>
      <c r="G733" s="71" t="n">
        <f aca="false">MIN(G127,G127*CDR*MAX(0,MIN(5,'Loan Tape'!$AV123)-4))</f>
        <v>0</v>
      </c>
      <c r="H733" s="71" t="n">
        <f aca="false">MIN(H127,H127*CDR*MAX(0,MIN(6,'Loan Tape'!$AV123)-5))</f>
        <v>0</v>
      </c>
      <c r="I733" s="71" t="n">
        <f aca="false">MIN(I127,I127*CDR*MAX(0,MIN(7,'Loan Tape'!$AV123)-6))</f>
        <v>0</v>
      </c>
      <c r="J733" s="71" t="n">
        <f aca="false">MIN(J127,J127*CDR*MAX(0,MIN(8,'Loan Tape'!$AV123)-7))</f>
        <v>0</v>
      </c>
      <c r="K733" s="71" t="n">
        <f aca="false">MIN(K127,K127*CDR*MAX(0,MIN(9,'Loan Tape'!$AV123)-8))</f>
        <v>0</v>
      </c>
      <c r="L733" s="71" t="n">
        <f aca="false">MIN(L127,L127*CDR*MAX(0,MIN(10,'Loan Tape'!$AV123)-9))</f>
        <v>0</v>
      </c>
    </row>
    <row r="734" customFormat="false" ht="15" hidden="false" customHeight="false" outlineLevel="0" collapsed="false">
      <c r="B734" s="102" t="n">
        <f aca="false">'Loan Tape'!$A124</f>
        <v>0</v>
      </c>
      <c r="C734" s="99" t="n">
        <f aca="false">MIN(C128,C128*CDR*MAX(0,MIN(1,'Loan Tape'!$AV124)-0))</f>
        <v>0</v>
      </c>
      <c r="D734" s="99" t="n">
        <f aca="false">MIN(D128,D128*CDR*MAX(0,MIN(2,'Loan Tape'!$AV124)-1))</f>
        <v>0</v>
      </c>
      <c r="E734" s="99" t="n">
        <f aca="false">MIN(E128,E128*CDR*MAX(0,MIN(3,'Loan Tape'!$AV124)-2))</f>
        <v>0</v>
      </c>
      <c r="F734" s="99" t="n">
        <f aca="false">MIN(F128,F128*CDR*MAX(0,MIN(4,'Loan Tape'!$AV124)-3))</f>
        <v>0</v>
      </c>
      <c r="G734" s="99" t="n">
        <f aca="false">MIN(G128,G128*CDR*MAX(0,MIN(5,'Loan Tape'!$AV124)-4))</f>
        <v>0</v>
      </c>
      <c r="H734" s="99" t="n">
        <f aca="false">MIN(H128,H128*CDR*MAX(0,MIN(6,'Loan Tape'!$AV124)-5))</f>
        <v>0</v>
      </c>
      <c r="I734" s="99" t="n">
        <f aca="false">MIN(I128,I128*CDR*MAX(0,MIN(7,'Loan Tape'!$AV124)-6))</f>
        <v>0</v>
      </c>
      <c r="J734" s="99" t="n">
        <f aca="false">MIN(J128,J128*CDR*MAX(0,MIN(8,'Loan Tape'!$AV124)-7))</f>
        <v>0</v>
      </c>
      <c r="K734" s="99" t="n">
        <f aca="false">MIN(K128,K128*CDR*MAX(0,MIN(9,'Loan Tape'!$AV124)-8))</f>
        <v>0</v>
      </c>
      <c r="L734" s="99" t="n">
        <f aca="false">MIN(L128,L128*CDR*MAX(0,MIN(10,'Loan Tape'!$AV124)-9))</f>
        <v>0</v>
      </c>
    </row>
    <row r="735" customFormat="false" ht="15" hidden="false" customHeight="false" outlineLevel="0" collapsed="false">
      <c r="B735" s="108" t="n">
        <f aca="false">'Loan Tape'!$A125</f>
        <v>0</v>
      </c>
      <c r="C735" s="71" t="n">
        <f aca="false">MIN(C129,C129*CDR*MAX(0,MIN(1,'Loan Tape'!$AV125)-0))</f>
        <v>0</v>
      </c>
      <c r="D735" s="71" t="n">
        <f aca="false">MIN(D129,D129*CDR*MAX(0,MIN(2,'Loan Tape'!$AV125)-1))</f>
        <v>0</v>
      </c>
      <c r="E735" s="71" t="n">
        <f aca="false">MIN(E129,E129*CDR*MAX(0,MIN(3,'Loan Tape'!$AV125)-2))</f>
        <v>0</v>
      </c>
      <c r="F735" s="71" t="n">
        <f aca="false">MIN(F129,F129*CDR*MAX(0,MIN(4,'Loan Tape'!$AV125)-3))</f>
        <v>0</v>
      </c>
      <c r="G735" s="71" t="n">
        <f aca="false">MIN(G129,G129*CDR*MAX(0,MIN(5,'Loan Tape'!$AV125)-4))</f>
        <v>0</v>
      </c>
      <c r="H735" s="71" t="n">
        <f aca="false">MIN(H129,H129*CDR*MAX(0,MIN(6,'Loan Tape'!$AV125)-5))</f>
        <v>0</v>
      </c>
      <c r="I735" s="71" t="n">
        <f aca="false">MIN(I129,I129*CDR*MAX(0,MIN(7,'Loan Tape'!$AV125)-6))</f>
        <v>0</v>
      </c>
      <c r="J735" s="71" t="n">
        <f aca="false">MIN(J129,J129*CDR*MAX(0,MIN(8,'Loan Tape'!$AV125)-7))</f>
        <v>0</v>
      </c>
      <c r="K735" s="71" t="n">
        <f aca="false">MIN(K129,K129*CDR*MAX(0,MIN(9,'Loan Tape'!$AV125)-8))</f>
        <v>0</v>
      </c>
      <c r="L735" s="71" t="n">
        <f aca="false">MIN(L129,L129*CDR*MAX(0,MIN(10,'Loan Tape'!$AV125)-9))</f>
        <v>0</v>
      </c>
    </row>
    <row r="736" customFormat="false" ht="15" hidden="false" customHeight="false" outlineLevel="0" collapsed="false">
      <c r="B736" s="102" t="n">
        <f aca="false">'Loan Tape'!$A126</f>
        <v>0</v>
      </c>
      <c r="C736" s="99" t="n">
        <f aca="false">MIN(C130,C130*CDR*MAX(0,MIN(1,'Loan Tape'!$AV126)-0))</f>
        <v>0</v>
      </c>
      <c r="D736" s="99" t="n">
        <f aca="false">MIN(D130,D130*CDR*MAX(0,MIN(2,'Loan Tape'!$AV126)-1))</f>
        <v>0</v>
      </c>
      <c r="E736" s="99" t="n">
        <f aca="false">MIN(E130,E130*CDR*MAX(0,MIN(3,'Loan Tape'!$AV126)-2))</f>
        <v>0</v>
      </c>
      <c r="F736" s="99" t="n">
        <f aca="false">MIN(F130,F130*CDR*MAX(0,MIN(4,'Loan Tape'!$AV126)-3))</f>
        <v>0</v>
      </c>
      <c r="G736" s="99" t="n">
        <f aca="false">MIN(G130,G130*CDR*MAX(0,MIN(5,'Loan Tape'!$AV126)-4))</f>
        <v>0</v>
      </c>
      <c r="H736" s="99" t="n">
        <f aca="false">MIN(H130,H130*CDR*MAX(0,MIN(6,'Loan Tape'!$AV126)-5))</f>
        <v>0</v>
      </c>
      <c r="I736" s="99" t="n">
        <f aca="false">MIN(I130,I130*CDR*MAX(0,MIN(7,'Loan Tape'!$AV126)-6))</f>
        <v>0</v>
      </c>
      <c r="J736" s="99" t="n">
        <f aca="false">MIN(J130,J130*CDR*MAX(0,MIN(8,'Loan Tape'!$AV126)-7))</f>
        <v>0</v>
      </c>
      <c r="K736" s="99" t="n">
        <f aca="false">MIN(K130,K130*CDR*MAX(0,MIN(9,'Loan Tape'!$AV126)-8))</f>
        <v>0</v>
      </c>
      <c r="L736" s="99" t="n">
        <f aca="false">MIN(L130,L130*CDR*MAX(0,MIN(10,'Loan Tape'!$AV126)-9))</f>
        <v>0</v>
      </c>
    </row>
    <row r="737" customFormat="false" ht="15" hidden="false" customHeight="false" outlineLevel="0" collapsed="false">
      <c r="B737" s="108" t="n">
        <f aca="false">'Loan Tape'!$A127</f>
        <v>0</v>
      </c>
      <c r="C737" s="71" t="n">
        <f aca="false">MIN(C131,C131*CDR*MAX(0,MIN(1,'Loan Tape'!$AV127)-0))</f>
        <v>0</v>
      </c>
      <c r="D737" s="71" t="n">
        <f aca="false">MIN(D131,D131*CDR*MAX(0,MIN(2,'Loan Tape'!$AV127)-1))</f>
        <v>0</v>
      </c>
      <c r="E737" s="71" t="n">
        <f aca="false">MIN(E131,E131*CDR*MAX(0,MIN(3,'Loan Tape'!$AV127)-2))</f>
        <v>0</v>
      </c>
      <c r="F737" s="71" t="n">
        <f aca="false">MIN(F131,F131*CDR*MAX(0,MIN(4,'Loan Tape'!$AV127)-3))</f>
        <v>0</v>
      </c>
      <c r="G737" s="71" t="n">
        <f aca="false">MIN(G131,G131*CDR*MAX(0,MIN(5,'Loan Tape'!$AV127)-4))</f>
        <v>0</v>
      </c>
      <c r="H737" s="71" t="n">
        <f aca="false">MIN(H131,H131*CDR*MAX(0,MIN(6,'Loan Tape'!$AV127)-5))</f>
        <v>0</v>
      </c>
      <c r="I737" s="71" t="n">
        <f aca="false">MIN(I131,I131*CDR*MAX(0,MIN(7,'Loan Tape'!$AV127)-6))</f>
        <v>0</v>
      </c>
      <c r="J737" s="71" t="n">
        <f aca="false">MIN(J131,J131*CDR*MAX(0,MIN(8,'Loan Tape'!$AV127)-7))</f>
        <v>0</v>
      </c>
      <c r="K737" s="71" t="n">
        <f aca="false">MIN(K131,K131*CDR*MAX(0,MIN(9,'Loan Tape'!$AV127)-8))</f>
        <v>0</v>
      </c>
      <c r="L737" s="71" t="n">
        <f aca="false">MIN(L131,L131*CDR*MAX(0,MIN(10,'Loan Tape'!$AV127)-9))</f>
        <v>0</v>
      </c>
    </row>
    <row r="738" customFormat="false" ht="15" hidden="false" customHeight="false" outlineLevel="0" collapsed="false">
      <c r="B738" s="102" t="n">
        <f aca="false">'Loan Tape'!$A128</f>
        <v>0</v>
      </c>
      <c r="C738" s="99" t="n">
        <f aca="false">MIN(C132,C132*CDR*MAX(0,MIN(1,'Loan Tape'!$AV128)-0))</f>
        <v>0</v>
      </c>
      <c r="D738" s="99" t="n">
        <f aca="false">MIN(D132,D132*CDR*MAX(0,MIN(2,'Loan Tape'!$AV128)-1))</f>
        <v>0</v>
      </c>
      <c r="E738" s="99" t="n">
        <f aca="false">MIN(E132,E132*CDR*MAX(0,MIN(3,'Loan Tape'!$AV128)-2))</f>
        <v>0</v>
      </c>
      <c r="F738" s="99" t="n">
        <f aca="false">MIN(F132,F132*CDR*MAX(0,MIN(4,'Loan Tape'!$AV128)-3))</f>
        <v>0</v>
      </c>
      <c r="G738" s="99" t="n">
        <f aca="false">MIN(G132,G132*CDR*MAX(0,MIN(5,'Loan Tape'!$AV128)-4))</f>
        <v>0</v>
      </c>
      <c r="H738" s="99" t="n">
        <f aca="false">MIN(H132,H132*CDR*MAX(0,MIN(6,'Loan Tape'!$AV128)-5))</f>
        <v>0</v>
      </c>
      <c r="I738" s="99" t="n">
        <f aca="false">MIN(I132,I132*CDR*MAX(0,MIN(7,'Loan Tape'!$AV128)-6))</f>
        <v>0</v>
      </c>
      <c r="J738" s="99" t="n">
        <f aca="false">MIN(J132,J132*CDR*MAX(0,MIN(8,'Loan Tape'!$AV128)-7))</f>
        <v>0</v>
      </c>
      <c r="K738" s="99" t="n">
        <f aca="false">MIN(K132,K132*CDR*MAX(0,MIN(9,'Loan Tape'!$AV128)-8))</f>
        <v>0</v>
      </c>
      <c r="L738" s="99" t="n">
        <f aca="false">MIN(L132,L132*CDR*MAX(0,MIN(10,'Loan Tape'!$AV128)-9))</f>
        <v>0</v>
      </c>
    </row>
    <row r="739" customFormat="false" ht="15" hidden="false" customHeight="false" outlineLevel="0" collapsed="false">
      <c r="B739" s="108" t="n">
        <f aca="false">'Loan Tape'!$A129</f>
        <v>0</v>
      </c>
      <c r="C739" s="71" t="n">
        <f aca="false">MIN(C133,C133*CDR*MAX(0,MIN(1,'Loan Tape'!$AV129)-0))</f>
        <v>0</v>
      </c>
      <c r="D739" s="71" t="n">
        <f aca="false">MIN(D133,D133*CDR*MAX(0,MIN(2,'Loan Tape'!$AV129)-1))</f>
        <v>0</v>
      </c>
      <c r="E739" s="71" t="n">
        <f aca="false">MIN(E133,E133*CDR*MAX(0,MIN(3,'Loan Tape'!$AV129)-2))</f>
        <v>0</v>
      </c>
      <c r="F739" s="71" t="n">
        <f aca="false">MIN(F133,F133*CDR*MAX(0,MIN(4,'Loan Tape'!$AV129)-3))</f>
        <v>0</v>
      </c>
      <c r="G739" s="71" t="n">
        <f aca="false">MIN(G133,G133*CDR*MAX(0,MIN(5,'Loan Tape'!$AV129)-4))</f>
        <v>0</v>
      </c>
      <c r="H739" s="71" t="n">
        <f aca="false">MIN(H133,H133*CDR*MAX(0,MIN(6,'Loan Tape'!$AV129)-5))</f>
        <v>0</v>
      </c>
      <c r="I739" s="71" t="n">
        <f aca="false">MIN(I133,I133*CDR*MAX(0,MIN(7,'Loan Tape'!$AV129)-6))</f>
        <v>0</v>
      </c>
      <c r="J739" s="71" t="n">
        <f aca="false">MIN(J133,J133*CDR*MAX(0,MIN(8,'Loan Tape'!$AV129)-7))</f>
        <v>0</v>
      </c>
      <c r="K739" s="71" t="n">
        <f aca="false">MIN(K133,K133*CDR*MAX(0,MIN(9,'Loan Tape'!$AV129)-8))</f>
        <v>0</v>
      </c>
      <c r="L739" s="71" t="n">
        <f aca="false">MIN(L133,L133*CDR*MAX(0,MIN(10,'Loan Tape'!$AV129)-9))</f>
        <v>0</v>
      </c>
    </row>
    <row r="740" customFormat="false" ht="15" hidden="false" customHeight="false" outlineLevel="0" collapsed="false">
      <c r="B740" s="102" t="n">
        <f aca="false">'Loan Tape'!$A130</f>
        <v>0</v>
      </c>
      <c r="C740" s="99" t="n">
        <f aca="false">MIN(C134,C134*CDR*MAX(0,MIN(1,'Loan Tape'!$AV130)-0))</f>
        <v>0</v>
      </c>
      <c r="D740" s="99" t="n">
        <f aca="false">MIN(D134,D134*CDR*MAX(0,MIN(2,'Loan Tape'!$AV130)-1))</f>
        <v>0</v>
      </c>
      <c r="E740" s="99" t="n">
        <f aca="false">MIN(E134,E134*CDR*MAX(0,MIN(3,'Loan Tape'!$AV130)-2))</f>
        <v>0</v>
      </c>
      <c r="F740" s="99" t="n">
        <f aca="false">MIN(F134,F134*CDR*MAX(0,MIN(4,'Loan Tape'!$AV130)-3))</f>
        <v>0</v>
      </c>
      <c r="G740" s="99" t="n">
        <f aca="false">MIN(G134,G134*CDR*MAX(0,MIN(5,'Loan Tape'!$AV130)-4))</f>
        <v>0</v>
      </c>
      <c r="H740" s="99" t="n">
        <f aca="false">MIN(H134,H134*CDR*MAX(0,MIN(6,'Loan Tape'!$AV130)-5))</f>
        <v>0</v>
      </c>
      <c r="I740" s="99" t="n">
        <f aca="false">MIN(I134,I134*CDR*MAX(0,MIN(7,'Loan Tape'!$AV130)-6))</f>
        <v>0</v>
      </c>
      <c r="J740" s="99" t="n">
        <f aca="false">MIN(J134,J134*CDR*MAX(0,MIN(8,'Loan Tape'!$AV130)-7))</f>
        <v>0</v>
      </c>
      <c r="K740" s="99" t="n">
        <f aca="false">MIN(K134,K134*CDR*MAX(0,MIN(9,'Loan Tape'!$AV130)-8))</f>
        <v>0</v>
      </c>
      <c r="L740" s="99" t="n">
        <f aca="false">MIN(L134,L134*CDR*MAX(0,MIN(10,'Loan Tape'!$AV130)-9))</f>
        <v>0</v>
      </c>
    </row>
    <row r="741" customFormat="false" ht="15" hidden="false" customHeight="false" outlineLevel="0" collapsed="false">
      <c r="B741" s="108" t="n">
        <f aca="false">'Loan Tape'!$A131</f>
        <v>0</v>
      </c>
      <c r="C741" s="71" t="n">
        <f aca="false">MIN(C135,C135*CDR*MAX(0,MIN(1,'Loan Tape'!$AV131)-0))</f>
        <v>0</v>
      </c>
      <c r="D741" s="71" t="n">
        <f aca="false">MIN(D135,D135*CDR*MAX(0,MIN(2,'Loan Tape'!$AV131)-1))</f>
        <v>0</v>
      </c>
      <c r="E741" s="71" t="n">
        <f aca="false">MIN(E135,E135*CDR*MAX(0,MIN(3,'Loan Tape'!$AV131)-2))</f>
        <v>0</v>
      </c>
      <c r="F741" s="71" t="n">
        <f aca="false">MIN(F135,F135*CDR*MAX(0,MIN(4,'Loan Tape'!$AV131)-3))</f>
        <v>0</v>
      </c>
      <c r="G741" s="71" t="n">
        <f aca="false">MIN(G135,G135*CDR*MAX(0,MIN(5,'Loan Tape'!$AV131)-4))</f>
        <v>0</v>
      </c>
      <c r="H741" s="71" t="n">
        <f aca="false">MIN(H135,H135*CDR*MAX(0,MIN(6,'Loan Tape'!$AV131)-5))</f>
        <v>0</v>
      </c>
      <c r="I741" s="71" t="n">
        <f aca="false">MIN(I135,I135*CDR*MAX(0,MIN(7,'Loan Tape'!$AV131)-6))</f>
        <v>0</v>
      </c>
      <c r="J741" s="71" t="n">
        <f aca="false">MIN(J135,J135*CDR*MAX(0,MIN(8,'Loan Tape'!$AV131)-7))</f>
        <v>0</v>
      </c>
      <c r="K741" s="71" t="n">
        <f aca="false">MIN(K135,K135*CDR*MAX(0,MIN(9,'Loan Tape'!$AV131)-8))</f>
        <v>0</v>
      </c>
      <c r="L741" s="71" t="n">
        <f aca="false">MIN(L135,L135*CDR*MAX(0,MIN(10,'Loan Tape'!$AV131)-9))</f>
        <v>0</v>
      </c>
    </row>
    <row r="742" customFormat="false" ht="15" hidden="false" customHeight="false" outlineLevel="0" collapsed="false">
      <c r="B742" s="102" t="n">
        <f aca="false">'Loan Tape'!$A132</f>
        <v>0</v>
      </c>
      <c r="C742" s="99" t="n">
        <f aca="false">MIN(C136,C136*CDR*MAX(0,MIN(1,'Loan Tape'!$AV132)-0))</f>
        <v>0</v>
      </c>
      <c r="D742" s="99" t="n">
        <f aca="false">MIN(D136,D136*CDR*MAX(0,MIN(2,'Loan Tape'!$AV132)-1))</f>
        <v>0</v>
      </c>
      <c r="E742" s="99" t="n">
        <f aca="false">MIN(E136,E136*CDR*MAX(0,MIN(3,'Loan Tape'!$AV132)-2))</f>
        <v>0</v>
      </c>
      <c r="F742" s="99" t="n">
        <f aca="false">MIN(F136,F136*CDR*MAX(0,MIN(4,'Loan Tape'!$AV132)-3))</f>
        <v>0</v>
      </c>
      <c r="G742" s="99" t="n">
        <f aca="false">MIN(G136,G136*CDR*MAX(0,MIN(5,'Loan Tape'!$AV132)-4))</f>
        <v>0</v>
      </c>
      <c r="H742" s="99" t="n">
        <f aca="false">MIN(H136,H136*CDR*MAX(0,MIN(6,'Loan Tape'!$AV132)-5))</f>
        <v>0</v>
      </c>
      <c r="I742" s="99" t="n">
        <f aca="false">MIN(I136,I136*CDR*MAX(0,MIN(7,'Loan Tape'!$AV132)-6))</f>
        <v>0</v>
      </c>
      <c r="J742" s="99" t="n">
        <f aca="false">MIN(J136,J136*CDR*MAX(0,MIN(8,'Loan Tape'!$AV132)-7))</f>
        <v>0</v>
      </c>
      <c r="K742" s="99" t="n">
        <f aca="false">MIN(K136,K136*CDR*MAX(0,MIN(9,'Loan Tape'!$AV132)-8))</f>
        <v>0</v>
      </c>
      <c r="L742" s="99" t="n">
        <f aca="false">MIN(L136,L136*CDR*MAX(0,MIN(10,'Loan Tape'!$AV132)-9))</f>
        <v>0</v>
      </c>
    </row>
    <row r="743" customFormat="false" ht="15" hidden="false" customHeight="false" outlineLevel="0" collapsed="false">
      <c r="B743" s="108" t="n">
        <f aca="false">'Loan Tape'!$A133</f>
        <v>0</v>
      </c>
      <c r="C743" s="71" t="n">
        <f aca="false">MIN(C137,C137*CDR*MAX(0,MIN(1,'Loan Tape'!$AV133)-0))</f>
        <v>0</v>
      </c>
      <c r="D743" s="71" t="n">
        <f aca="false">MIN(D137,D137*CDR*MAX(0,MIN(2,'Loan Tape'!$AV133)-1))</f>
        <v>0</v>
      </c>
      <c r="E743" s="71" t="n">
        <f aca="false">MIN(E137,E137*CDR*MAX(0,MIN(3,'Loan Tape'!$AV133)-2))</f>
        <v>0</v>
      </c>
      <c r="F743" s="71" t="n">
        <f aca="false">MIN(F137,F137*CDR*MAX(0,MIN(4,'Loan Tape'!$AV133)-3))</f>
        <v>0</v>
      </c>
      <c r="G743" s="71" t="n">
        <f aca="false">MIN(G137,G137*CDR*MAX(0,MIN(5,'Loan Tape'!$AV133)-4))</f>
        <v>0</v>
      </c>
      <c r="H743" s="71" t="n">
        <f aca="false">MIN(H137,H137*CDR*MAX(0,MIN(6,'Loan Tape'!$AV133)-5))</f>
        <v>0</v>
      </c>
      <c r="I743" s="71" t="n">
        <f aca="false">MIN(I137,I137*CDR*MAX(0,MIN(7,'Loan Tape'!$AV133)-6))</f>
        <v>0</v>
      </c>
      <c r="J743" s="71" t="n">
        <f aca="false">MIN(J137,J137*CDR*MAX(0,MIN(8,'Loan Tape'!$AV133)-7))</f>
        <v>0</v>
      </c>
      <c r="K743" s="71" t="n">
        <f aca="false">MIN(K137,K137*CDR*MAX(0,MIN(9,'Loan Tape'!$AV133)-8))</f>
        <v>0</v>
      </c>
      <c r="L743" s="71" t="n">
        <f aca="false">MIN(L137,L137*CDR*MAX(0,MIN(10,'Loan Tape'!$AV133)-9))</f>
        <v>0</v>
      </c>
    </row>
    <row r="744" customFormat="false" ht="15" hidden="false" customHeight="false" outlineLevel="0" collapsed="false">
      <c r="B744" s="102" t="n">
        <f aca="false">'Loan Tape'!$A134</f>
        <v>0</v>
      </c>
      <c r="C744" s="99" t="n">
        <f aca="false">MIN(C138,C138*CDR*MAX(0,MIN(1,'Loan Tape'!$AV134)-0))</f>
        <v>0</v>
      </c>
      <c r="D744" s="99" t="n">
        <f aca="false">MIN(D138,D138*CDR*MAX(0,MIN(2,'Loan Tape'!$AV134)-1))</f>
        <v>0</v>
      </c>
      <c r="E744" s="99" t="n">
        <f aca="false">MIN(E138,E138*CDR*MAX(0,MIN(3,'Loan Tape'!$AV134)-2))</f>
        <v>0</v>
      </c>
      <c r="F744" s="99" t="n">
        <f aca="false">MIN(F138,F138*CDR*MAX(0,MIN(4,'Loan Tape'!$AV134)-3))</f>
        <v>0</v>
      </c>
      <c r="G744" s="99" t="n">
        <f aca="false">MIN(G138,G138*CDR*MAX(0,MIN(5,'Loan Tape'!$AV134)-4))</f>
        <v>0</v>
      </c>
      <c r="H744" s="99" t="n">
        <f aca="false">MIN(H138,H138*CDR*MAX(0,MIN(6,'Loan Tape'!$AV134)-5))</f>
        <v>0</v>
      </c>
      <c r="I744" s="99" t="n">
        <f aca="false">MIN(I138,I138*CDR*MAX(0,MIN(7,'Loan Tape'!$AV134)-6))</f>
        <v>0</v>
      </c>
      <c r="J744" s="99" t="n">
        <f aca="false">MIN(J138,J138*CDR*MAX(0,MIN(8,'Loan Tape'!$AV134)-7))</f>
        <v>0</v>
      </c>
      <c r="K744" s="99" t="n">
        <f aca="false">MIN(K138,K138*CDR*MAX(0,MIN(9,'Loan Tape'!$AV134)-8))</f>
        <v>0</v>
      </c>
      <c r="L744" s="99" t="n">
        <f aca="false">MIN(L138,L138*CDR*MAX(0,MIN(10,'Loan Tape'!$AV134)-9))</f>
        <v>0</v>
      </c>
    </row>
    <row r="745" customFormat="false" ht="15" hidden="false" customHeight="false" outlineLevel="0" collapsed="false">
      <c r="B745" s="108" t="n">
        <f aca="false">'Loan Tape'!$A135</f>
        <v>0</v>
      </c>
      <c r="C745" s="71" t="n">
        <f aca="false">MIN(C139,C139*CDR*MAX(0,MIN(1,'Loan Tape'!$AV135)-0))</f>
        <v>0</v>
      </c>
      <c r="D745" s="71" t="n">
        <f aca="false">MIN(D139,D139*CDR*MAX(0,MIN(2,'Loan Tape'!$AV135)-1))</f>
        <v>0</v>
      </c>
      <c r="E745" s="71" t="n">
        <f aca="false">MIN(E139,E139*CDR*MAX(0,MIN(3,'Loan Tape'!$AV135)-2))</f>
        <v>0</v>
      </c>
      <c r="F745" s="71" t="n">
        <f aca="false">MIN(F139,F139*CDR*MAX(0,MIN(4,'Loan Tape'!$AV135)-3))</f>
        <v>0</v>
      </c>
      <c r="G745" s="71" t="n">
        <f aca="false">MIN(G139,G139*CDR*MAX(0,MIN(5,'Loan Tape'!$AV135)-4))</f>
        <v>0</v>
      </c>
      <c r="H745" s="71" t="n">
        <f aca="false">MIN(H139,H139*CDR*MAX(0,MIN(6,'Loan Tape'!$AV135)-5))</f>
        <v>0</v>
      </c>
      <c r="I745" s="71" t="n">
        <f aca="false">MIN(I139,I139*CDR*MAX(0,MIN(7,'Loan Tape'!$AV135)-6))</f>
        <v>0</v>
      </c>
      <c r="J745" s="71" t="n">
        <f aca="false">MIN(J139,J139*CDR*MAX(0,MIN(8,'Loan Tape'!$AV135)-7))</f>
        <v>0</v>
      </c>
      <c r="K745" s="71" t="n">
        <f aca="false">MIN(K139,K139*CDR*MAX(0,MIN(9,'Loan Tape'!$AV135)-8))</f>
        <v>0</v>
      </c>
      <c r="L745" s="71" t="n">
        <f aca="false">MIN(L139,L139*CDR*MAX(0,MIN(10,'Loan Tape'!$AV135)-9))</f>
        <v>0</v>
      </c>
    </row>
    <row r="746" customFormat="false" ht="15" hidden="false" customHeight="false" outlineLevel="0" collapsed="false">
      <c r="B746" s="102" t="n">
        <f aca="false">'Loan Tape'!$A136</f>
        <v>0</v>
      </c>
      <c r="C746" s="99" t="n">
        <f aca="false">MIN(C140,C140*CDR*MAX(0,MIN(1,'Loan Tape'!$AV136)-0))</f>
        <v>0</v>
      </c>
      <c r="D746" s="99" t="n">
        <f aca="false">MIN(D140,D140*CDR*MAX(0,MIN(2,'Loan Tape'!$AV136)-1))</f>
        <v>0</v>
      </c>
      <c r="E746" s="99" t="n">
        <f aca="false">MIN(E140,E140*CDR*MAX(0,MIN(3,'Loan Tape'!$AV136)-2))</f>
        <v>0</v>
      </c>
      <c r="F746" s="99" t="n">
        <f aca="false">MIN(F140,F140*CDR*MAX(0,MIN(4,'Loan Tape'!$AV136)-3))</f>
        <v>0</v>
      </c>
      <c r="G746" s="99" t="n">
        <f aca="false">MIN(G140,G140*CDR*MAX(0,MIN(5,'Loan Tape'!$AV136)-4))</f>
        <v>0</v>
      </c>
      <c r="H746" s="99" t="n">
        <f aca="false">MIN(H140,H140*CDR*MAX(0,MIN(6,'Loan Tape'!$AV136)-5))</f>
        <v>0</v>
      </c>
      <c r="I746" s="99" t="n">
        <f aca="false">MIN(I140,I140*CDR*MAX(0,MIN(7,'Loan Tape'!$AV136)-6))</f>
        <v>0</v>
      </c>
      <c r="J746" s="99" t="n">
        <f aca="false">MIN(J140,J140*CDR*MAX(0,MIN(8,'Loan Tape'!$AV136)-7))</f>
        <v>0</v>
      </c>
      <c r="K746" s="99" t="n">
        <f aca="false">MIN(K140,K140*CDR*MAX(0,MIN(9,'Loan Tape'!$AV136)-8))</f>
        <v>0</v>
      </c>
      <c r="L746" s="99" t="n">
        <f aca="false">MIN(L140,L140*CDR*MAX(0,MIN(10,'Loan Tape'!$AV136)-9))</f>
        <v>0</v>
      </c>
    </row>
    <row r="747" customFormat="false" ht="15" hidden="false" customHeight="false" outlineLevel="0" collapsed="false">
      <c r="B747" s="108" t="n">
        <f aca="false">'Loan Tape'!$A137</f>
        <v>0</v>
      </c>
      <c r="C747" s="71" t="n">
        <f aca="false">MIN(C141,C141*CDR*MAX(0,MIN(1,'Loan Tape'!$AV137)-0))</f>
        <v>0</v>
      </c>
      <c r="D747" s="71" t="n">
        <f aca="false">MIN(D141,D141*CDR*MAX(0,MIN(2,'Loan Tape'!$AV137)-1))</f>
        <v>0</v>
      </c>
      <c r="E747" s="71" t="n">
        <f aca="false">MIN(E141,E141*CDR*MAX(0,MIN(3,'Loan Tape'!$AV137)-2))</f>
        <v>0</v>
      </c>
      <c r="F747" s="71" t="n">
        <f aca="false">MIN(F141,F141*CDR*MAX(0,MIN(4,'Loan Tape'!$AV137)-3))</f>
        <v>0</v>
      </c>
      <c r="G747" s="71" t="n">
        <f aca="false">MIN(G141,G141*CDR*MAX(0,MIN(5,'Loan Tape'!$AV137)-4))</f>
        <v>0</v>
      </c>
      <c r="H747" s="71" t="n">
        <f aca="false">MIN(H141,H141*CDR*MAX(0,MIN(6,'Loan Tape'!$AV137)-5))</f>
        <v>0</v>
      </c>
      <c r="I747" s="71" t="n">
        <f aca="false">MIN(I141,I141*CDR*MAX(0,MIN(7,'Loan Tape'!$AV137)-6))</f>
        <v>0</v>
      </c>
      <c r="J747" s="71" t="n">
        <f aca="false">MIN(J141,J141*CDR*MAX(0,MIN(8,'Loan Tape'!$AV137)-7))</f>
        <v>0</v>
      </c>
      <c r="K747" s="71" t="n">
        <f aca="false">MIN(K141,K141*CDR*MAX(0,MIN(9,'Loan Tape'!$AV137)-8))</f>
        <v>0</v>
      </c>
      <c r="L747" s="71" t="n">
        <f aca="false">MIN(L141,L141*CDR*MAX(0,MIN(10,'Loan Tape'!$AV137)-9))</f>
        <v>0</v>
      </c>
    </row>
    <row r="748" customFormat="false" ht="15" hidden="false" customHeight="false" outlineLevel="0" collapsed="false">
      <c r="B748" s="102" t="n">
        <f aca="false">'Loan Tape'!$A138</f>
        <v>0</v>
      </c>
      <c r="C748" s="99" t="n">
        <f aca="false">MIN(C142,C142*CDR*MAX(0,MIN(1,'Loan Tape'!$AV138)-0))</f>
        <v>0</v>
      </c>
      <c r="D748" s="99" t="n">
        <f aca="false">MIN(D142,D142*CDR*MAX(0,MIN(2,'Loan Tape'!$AV138)-1))</f>
        <v>0</v>
      </c>
      <c r="E748" s="99" t="n">
        <f aca="false">MIN(E142,E142*CDR*MAX(0,MIN(3,'Loan Tape'!$AV138)-2))</f>
        <v>0</v>
      </c>
      <c r="F748" s="99" t="n">
        <f aca="false">MIN(F142,F142*CDR*MAX(0,MIN(4,'Loan Tape'!$AV138)-3))</f>
        <v>0</v>
      </c>
      <c r="G748" s="99" t="n">
        <f aca="false">MIN(G142,G142*CDR*MAX(0,MIN(5,'Loan Tape'!$AV138)-4))</f>
        <v>0</v>
      </c>
      <c r="H748" s="99" t="n">
        <f aca="false">MIN(H142,H142*CDR*MAX(0,MIN(6,'Loan Tape'!$AV138)-5))</f>
        <v>0</v>
      </c>
      <c r="I748" s="99" t="n">
        <f aca="false">MIN(I142,I142*CDR*MAX(0,MIN(7,'Loan Tape'!$AV138)-6))</f>
        <v>0</v>
      </c>
      <c r="J748" s="99" t="n">
        <f aca="false">MIN(J142,J142*CDR*MAX(0,MIN(8,'Loan Tape'!$AV138)-7))</f>
        <v>0</v>
      </c>
      <c r="K748" s="99" t="n">
        <f aca="false">MIN(K142,K142*CDR*MAX(0,MIN(9,'Loan Tape'!$AV138)-8))</f>
        <v>0</v>
      </c>
      <c r="L748" s="99" t="n">
        <f aca="false">MIN(L142,L142*CDR*MAX(0,MIN(10,'Loan Tape'!$AV138)-9))</f>
        <v>0</v>
      </c>
    </row>
    <row r="749" customFormat="false" ht="15" hidden="false" customHeight="false" outlineLevel="0" collapsed="false">
      <c r="B749" s="108" t="n">
        <f aca="false">'Loan Tape'!$A139</f>
        <v>0</v>
      </c>
      <c r="C749" s="71" t="n">
        <f aca="false">MIN(C143,C143*CDR*MAX(0,MIN(1,'Loan Tape'!$AV139)-0))</f>
        <v>0</v>
      </c>
      <c r="D749" s="71" t="n">
        <f aca="false">MIN(D143,D143*CDR*MAX(0,MIN(2,'Loan Tape'!$AV139)-1))</f>
        <v>0</v>
      </c>
      <c r="E749" s="71" t="n">
        <f aca="false">MIN(E143,E143*CDR*MAX(0,MIN(3,'Loan Tape'!$AV139)-2))</f>
        <v>0</v>
      </c>
      <c r="F749" s="71" t="n">
        <f aca="false">MIN(F143,F143*CDR*MAX(0,MIN(4,'Loan Tape'!$AV139)-3))</f>
        <v>0</v>
      </c>
      <c r="G749" s="71" t="n">
        <f aca="false">MIN(G143,G143*CDR*MAX(0,MIN(5,'Loan Tape'!$AV139)-4))</f>
        <v>0</v>
      </c>
      <c r="H749" s="71" t="n">
        <f aca="false">MIN(H143,H143*CDR*MAX(0,MIN(6,'Loan Tape'!$AV139)-5))</f>
        <v>0</v>
      </c>
      <c r="I749" s="71" t="n">
        <f aca="false">MIN(I143,I143*CDR*MAX(0,MIN(7,'Loan Tape'!$AV139)-6))</f>
        <v>0</v>
      </c>
      <c r="J749" s="71" t="n">
        <f aca="false">MIN(J143,J143*CDR*MAX(0,MIN(8,'Loan Tape'!$AV139)-7))</f>
        <v>0</v>
      </c>
      <c r="K749" s="71" t="n">
        <f aca="false">MIN(K143,K143*CDR*MAX(0,MIN(9,'Loan Tape'!$AV139)-8))</f>
        <v>0</v>
      </c>
      <c r="L749" s="71" t="n">
        <f aca="false">MIN(L143,L143*CDR*MAX(0,MIN(10,'Loan Tape'!$AV139)-9))</f>
        <v>0</v>
      </c>
    </row>
    <row r="750" customFormat="false" ht="15" hidden="false" customHeight="false" outlineLevel="0" collapsed="false">
      <c r="B750" s="102" t="n">
        <f aca="false">'Loan Tape'!$A140</f>
        <v>0</v>
      </c>
      <c r="C750" s="99" t="n">
        <f aca="false">MIN(C144,C144*CDR*MAX(0,MIN(1,'Loan Tape'!$AV140)-0))</f>
        <v>0</v>
      </c>
      <c r="D750" s="99" t="n">
        <f aca="false">MIN(D144,D144*CDR*MAX(0,MIN(2,'Loan Tape'!$AV140)-1))</f>
        <v>0</v>
      </c>
      <c r="E750" s="99" t="n">
        <f aca="false">MIN(E144,E144*CDR*MAX(0,MIN(3,'Loan Tape'!$AV140)-2))</f>
        <v>0</v>
      </c>
      <c r="F750" s="99" t="n">
        <f aca="false">MIN(F144,F144*CDR*MAX(0,MIN(4,'Loan Tape'!$AV140)-3))</f>
        <v>0</v>
      </c>
      <c r="G750" s="99" t="n">
        <f aca="false">MIN(G144,G144*CDR*MAX(0,MIN(5,'Loan Tape'!$AV140)-4))</f>
        <v>0</v>
      </c>
      <c r="H750" s="99" t="n">
        <f aca="false">MIN(H144,H144*CDR*MAX(0,MIN(6,'Loan Tape'!$AV140)-5))</f>
        <v>0</v>
      </c>
      <c r="I750" s="99" t="n">
        <f aca="false">MIN(I144,I144*CDR*MAX(0,MIN(7,'Loan Tape'!$AV140)-6))</f>
        <v>0</v>
      </c>
      <c r="J750" s="99" t="n">
        <f aca="false">MIN(J144,J144*CDR*MAX(0,MIN(8,'Loan Tape'!$AV140)-7))</f>
        <v>0</v>
      </c>
      <c r="K750" s="99" t="n">
        <f aca="false">MIN(K144,K144*CDR*MAX(0,MIN(9,'Loan Tape'!$AV140)-8))</f>
        <v>0</v>
      </c>
      <c r="L750" s="99" t="n">
        <f aca="false">MIN(L144,L144*CDR*MAX(0,MIN(10,'Loan Tape'!$AV140)-9))</f>
        <v>0</v>
      </c>
    </row>
    <row r="751" customFormat="false" ht="15" hidden="false" customHeight="false" outlineLevel="0" collapsed="false">
      <c r="B751" s="108" t="n">
        <f aca="false">'Loan Tape'!$A141</f>
        <v>0</v>
      </c>
      <c r="C751" s="71" t="n">
        <f aca="false">MIN(C145,C145*CDR*MAX(0,MIN(1,'Loan Tape'!$AV141)-0))</f>
        <v>0</v>
      </c>
      <c r="D751" s="71" t="n">
        <f aca="false">MIN(D145,D145*CDR*MAX(0,MIN(2,'Loan Tape'!$AV141)-1))</f>
        <v>0</v>
      </c>
      <c r="E751" s="71" t="n">
        <f aca="false">MIN(E145,E145*CDR*MAX(0,MIN(3,'Loan Tape'!$AV141)-2))</f>
        <v>0</v>
      </c>
      <c r="F751" s="71" t="n">
        <f aca="false">MIN(F145,F145*CDR*MAX(0,MIN(4,'Loan Tape'!$AV141)-3))</f>
        <v>0</v>
      </c>
      <c r="G751" s="71" t="n">
        <f aca="false">MIN(G145,G145*CDR*MAX(0,MIN(5,'Loan Tape'!$AV141)-4))</f>
        <v>0</v>
      </c>
      <c r="H751" s="71" t="n">
        <f aca="false">MIN(H145,H145*CDR*MAX(0,MIN(6,'Loan Tape'!$AV141)-5))</f>
        <v>0</v>
      </c>
      <c r="I751" s="71" t="n">
        <f aca="false">MIN(I145,I145*CDR*MAX(0,MIN(7,'Loan Tape'!$AV141)-6))</f>
        <v>0</v>
      </c>
      <c r="J751" s="71" t="n">
        <f aca="false">MIN(J145,J145*CDR*MAX(0,MIN(8,'Loan Tape'!$AV141)-7))</f>
        <v>0</v>
      </c>
      <c r="K751" s="71" t="n">
        <f aca="false">MIN(K145,K145*CDR*MAX(0,MIN(9,'Loan Tape'!$AV141)-8))</f>
        <v>0</v>
      </c>
      <c r="L751" s="71" t="n">
        <f aca="false">MIN(L145,L145*CDR*MAX(0,MIN(10,'Loan Tape'!$AV141)-9))</f>
        <v>0</v>
      </c>
    </row>
    <row r="752" customFormat="false" ht="15" hidden="false" customHeight="false" outlineLevel="0" collapsed="false">
      <c r="B752" s="102" t="n">
        <f aca="false">'Loan Tape'!$A142</f>
        <v>0</v>
      </c>
      <c r="C752" s="99" t="n">
        <f aca="false">MIN(C146,C146*CDR*MAX(0,MIN(1,'Loan Tape'!$AV142)-0))</f>
        <v>0</v>
      </c>
      <c r="D752" s="99" t="n">
        <f aca="false">MIN(D146,D146*CDR*MAX(0,MIN(2,'Loan Tape'!$AV142)-1))</f>
        <v>0</v>
      </c>
      <c r="E752" s="99" t="n">
        <f aca="false">MIN(E146,E146*CDR*MAX(0,MIN(3,'Loan Tape'!$AV142)-2))</f>
        <v>0</v>
      </c>
      <c r="F752" s="99" t="n">
        <f aca="false">MIN(F146,F146*CDR*MAX(0,MIN(4,'Loan Tape'!$AV142)-3))</f>
        <v>0</v>
      </c>
      <c r="G752" s="99" t="n">
        <f aca="false">MIN(G146,G146*CDR*MAX(0,MIN(5,'Loan Tape'!$AV142)-4))</f>
        <v>0</v>
      </c>
      <c r="H752" s="99" t="n">
        <f aca="false">MIN(H146,H146*CDR*MAX(0,MIN(6,'Loan Tape'!$AV142)-5))</f>
        <v>0</v>
      </c>
      <c r="I752" s="99" t="n">
        <f aca="false">MIN(I146,I146*CDR*MAX(0,MIN(7,'Loan Tape'!$AV142)-6))</f>
        <v>0</v>
      </c>
      <c r="J752" s="99" t="n">
        <f aca="false">MIN(J146,J146*CDR*MAX(0,MIN(8,'Loan Tape'!$AV142)-7))</f>
        <v>0</v>
      </c>
      <c r="K752" s="99" t="n">
        <f aca="false">MIN(K146,K146*CDR*MAX(0,MIN(9,'Loan Tape'!$AV142)-8))</f>
        <v>0</v>
      </c>
      <c r="L752" s="99" t="n">
        <f aca="false">MIN(L146,L146*CDR*MAX(0,MIN(10,'Loan Tape'!$AV142)-9))</f>
        <v>0</v>
      </c>
    </row>
    <row r="753" customFormat="false" ht="15" hidden="false" customHeight="false" outlineLevel="0" collapsed="false">
      <c r="B753" s="108" t="n">
        <f aca="false">'Loan Tape'!$A143</f>
        <v>0</v>
      </c>
      <c r="C753" s="71" t="n">
        <f aca="false">MIN(C147,C147*CDR*MAX(0,MIN(1,'Loan Tape'!$AV143)-0))</f>
        <v>0</v>
      </c>
      <c r="D753" s="71" t="n">
        <f aca="false">MIN(D147,D147*CDR*MAX(0,MIN(2,'Loan Tape'!$AV143)-1))</f>
        <v>0</v>
      </c>
      <c r="E753" s="71" t="n">
        <f aca="false">MIN(E147,E147*CDR*MAX(0,MIN(3,'Loan Tape'!$AV143)-2))</f>
        <v>0</v>
      </c>
      <c r="F753" s="71" t="n">
        <f aca="false">MIN(F147,F147*CDR*MAX(0,MIN(4,'Loan Tape'!$AV143)-3))</f>
        <v>0</v>
      </c>
      <c r="G753" s="71" t="n">
        <f aca="false">MIN(G147,G147*CDR*MAX(0,MIN(5,'Loan Tape'!$AV143)-4))</f>
        <v>0</v>
      </c>
      <c r="H753" s="71" t="n">
        <f aca="false">MIN(H147,H147*CDR*MAX(0,MIN(6,'Loan Tape'!$AV143)-5))</f>
        <v>0</v>
      </c>
      <c r="I753" s="71" t="n">
        <f aca="false">MIN(I147,I147*CDR*MAX(0,MIN(7,'Loan Tape'!$AV143)-6))</f>
        <v>0</v>
      </c>
      <c r="J753" s="71" t="n">
        <f aca="false">MIN(J147,J147*CDR*MAX(0,MIN(8,'Loan Tape'!$AV143)-7))</f>
        <v>0</v>
      </c>
      <c r="K753" s="71" t="n">
        <f aca="false">MIN(K147,K147*CDR*MAX(0,MIN(9,'Loan Tape'!$AV143)-8))</f>
        <v>0</v>
      </c>
      <c r="L753" s="71" t="n">
        <f aca="false">MIN(L147,L147*CDR*MAX(0,MIN(10,'Loan Tape'!$AV143)-9))</f>
        <v>0</v>
      </c>
    </row>
    <row r="754" customFormat="false" ht="15" hidden="false" customHeight="false" outlineLevel="0" collapsed="false">
      <c r="B754" s="102" t="n">
        <f aca="false">'Loan Tape'!$A144</f>
        <v>0</v>
      </c>
      <c r="C754" s="99" t="n">
        <f aca="false">MIN(C148,C148*CDR*MAX(0,MIN(1,'Loan Tape'!$AV144)-0))</f>
        <v>0</v>
      </c>
      <c r="D754" s="99" t="n">
        <f aca="false">MIN(D148,D148*CDR*MAX(0,MIN(2,'Loan Tape'!$AV144)-1))</f>
        <v>0</v>
      </c>
      <c r="E754" s="99" t="n">
        <f aca="false">MIN(E148,E148*CDR*MAX(0,MIN(3,'Loan Tape'!$AV144)-2))</f>
        <v>0</v>
      </c>
      <c r="F754" s="99" t="n">
        <f aca="false">MIN(F148,F148*CDR*MAX(0,MIN(4,'Loan Tape'!$AV144)-3))</f>
        <v>0</v>
      </c>
      <c r="G754" s="99" t="n">
        <f aca="false">MIN(G148,G148*CDR*MAX(0,MIN(5,'Loan Tape'!$AV144)-4))</f>
        <v>0</v>
      </c>
      <c r="H754" s="99" t="n">
        <f aca="false">MIN(H148,H148*CDR*MAX(0,MIN(6,'Loan Tape'!$AV144)-5))</f>
        <v>0</v>
      </c>
      <c r="I754" s="99" t="n">
        <f aca="false">MIN(I148,I148*CDR*MAX(0,MIN(7,'Loan Tape'!$AV144)-6))</f>
        <v>0</v>
      </c>
      <c r="J754" s="99" t="n">
        <f aca="false">MIN(J148,J148*CDR*MAX(0,MIN(8,'Loan Tape'!$AV144)-7))</f>
        <v>0</v>
      </c>
      <c r="K754" s="99" t="n">
        <f aca="false">MIN(K148,K148*CDR*MAX(0,MIN(9,'Loan Tape'!$AV144)-8))</f>
        <v>0</v>
      </c>
      <c r="L754" s="99" t="n">
        <f aca="false">MIN(L148,L148*CDR*MAX(0,MIN(10,'Loan Tape'!$AV144)-9))</f>
        <v>0</v>
      </c>
    </row>
    <row r="755" customFormat="false" ht="15" hidden="false" customHeight="false" outlineLevel="0" collapsed="false">
      <c r="B755" s="108" t="n">
        <f aca="false">'Loan Tape'!$A145</f>
        <v>0</v>
      </c>
      <c r="C755" s="71" t="n">
        <f aca="false">MIN(C149,C149*CDR*MAX(0,MIN(1,'Loan Tape'!$AV145)-0))</f>
        <v>0</v>
      </c>
      <c r="D755" s="71" t="n">
        <f aca="false">MIN(D149,D149*CDR*MAX(0,MIN(2,'Loan Tape'!$AV145)-1))</f>
        <v>0</v>
      </c>
      <c r="E755" s="71" t="n">
        <f aca="false">MIN(E149,E149*CDR*MAX(0,MIN(3,'Loan Tape'!$AV145)-2))</f>
        <v>0</v>
      </c>
      <c r="F755" s="71" t="n">
        <f aca="false">MIN(F149,F149*CDR*MAX(0,MIN(4,'Loan Tape'!$AV145)-3))</f>
        <v>0</v>
      </c>
      <c r="G755" s="71" t="n">
        <f aca="false">MIN(G149,G149*CDR*MAX(0,MIN(5,'Loan Tape'!$AV145)-4))</f>
        <v>0</v>
      </c>
      <c r="H755" s="71" t="n">
        <f aca="false">MIN(H149,H149*CDR*MAX(0,MIN(6,'Loan Tape'!$AV145)-5))</f>
        <v>0</v>
      </c>
      <c r="I755" s="71" t="n">
        <f aca="false">MIN(I149,I149*CDR*MAX(0,MIN(7,'Loan Tape'!$AV145)-6))</f>
        <v>0</v>
      </c>
      <c r="J755" s="71" t="n">
        <f aca="false">MIN(J149,J149*CDR*MAX(0,MIN(8,'Loan Tape'!$AV145)-7))</f>
        <v>0</v>
      </c>
      <c r="K755" s="71" t="n">
        <f aca="false">MIN(K149,K149*CDR*MAX(0,MIN(9,'Loan Tape'!$AV145)-8))</f>
        <v>0</v>
      </c>
      <c r="L755" s="71" t="n">
        <f aca="false">MIN(L149,L149*CDR*MAX(0,MIN(10,'Loan Tape'!$AV145)-9))</f>
        <v>0</v>
      </c>
    </row>
    <row r="756" customFormat="false" ht="15" hidden="false" customHeight="false" outlineLevel="0" collapsed="false">
      <c r="B756" s="102" t="n">
        <f aca="false">'Loan Tape'!$A146</f>
        <v>0</v>
      </c>
      <c r="C756" s="99" t="n">
        <f aca="false">MIN(C150,C150*CDR*MAX(0,MIN(1,'Loan Tape'!$AV146)-0))</f>
        <v>0</v>
      </c>
      <c r="D756" s="99" t="n">
        <f aca="false">MIN(D150,D150*CDR*MAX(0,MIN(2,'Loan Tape'!$AV146)-1))</f>
        <v>0</v>
      </c>
      <c r="E756" s="99" t="n">
        <f aca="false">MIN(E150,E150*CDR*MAX(0,MIN(3,'Loan Tape'!$AV146)-2))</f>
        <v>0</v>
      </c>
      <c r="F756" s="99" t="n">
        <f aca="false">MIN(F150,F150*CDR*MAX(0,MIN(4,'Loan Tape'!$AV146)-3))</f>
        <v>0</v>
      </c>
      <c r="G756" s="99" t="n">
        <f aca="false">MIN(G150,G150*CDR*MAX(0,MIN(5,'Loan Tape'!$AV146)-4))</f>
        <v>0</v>
      </c>
      <c r="H756" s="99" t="n">
        <f aca="false">MIN(H150,H150*CDR*MAX(0,MIN(6,'Loan Tape'!$AV146)-5))</f>
        <v>0</v>
      </c>
      <c r="I756" s="99" t="n">
        <f aca="false">MIN(I150,I150*CDR*MAX(0,MIN(7,'Loan Tape'!$AV146)-6))</f>
        <v>0</v>
      </c>
      <c r="J756" s="99" t="n">
        <f aca="false">MIN(J150,J150*CDR*MAX(0,MIN(8,'Loan Tape'!$AV146)-7))</f>
        <v>0</v>
      </c>
      <c r="K756" s="99" t="n">
        <f aca="false">MIN(K150,K150*CDR*MAX(0,MIN(9,'Loan Tape'!$AV146)-8))</f>
        <v>0</v>
      </c>
      <c r="L756" s="99" t="n">
        <f aca="false">MIN(L150,L150*CDR*MAX(0,MIN(10,'Loan Tape'!$AV146)-9))</f>
        <v>0</v>
      </c>
    </row>
    <row r="757" customFormat="false" ht="15" hidden="false" customHeight="false" outlineLevel="0" collapsed="false">
      <c r="B757" s="108" t="n">
        <f aca="false">'Loan Tape'!$A147</f>
        <v>0</v>
      </c>
      <c r="C757" s="71" t="n">
        <f aca="false">MIN(C151,C151*CDR*MAX(0,MIN(1,'Loan Tape'!$AV147)-0))</f>
        <v>0</v>
      </c>
      <c r="D757" s="71" t="n">
        <f aca="false">MIN(D151,D151*CDR*MAX(0,MIN(2,'Loan Tape'!$AV147)-1))</f>
        <v>0</v>
      </c>
      <c r="E757" s="71" t="n">
        <f aca="false">MIN(E151,E151*CDR*MAX(0,MIN(3,'Loan Tape'!$AV147)-2))</f>
        <v>0</v>
      </c>
      <c r="F757" s="71" t="n">
        <f aca="false">MIN(F151,F151*CDR*MAX(0,MIN(4,'Loan Tape'!$AV147)-3))</f>
        <v>0</v>
      </c>
      <c r="G757" s="71" t="n">
        <f aca="false">MIN(G151,G151*CDR*MAX(0,MIN(5,'Loan Tape'!$AV147)-4))</f>
        <v>0</v>
      </c>
      <c r="H757" s="71" t="n">
        <f aca="false">MIN(H151,H151*CDR*MAX(0,MIN(6,'Loan Tape'!$AV147)-5))</f>
        <v>0</v>
      </c>
      <c r="I757" s="71" t="n">
        <f aca="false">MIN(I151,I151*CDR*MAX(0,MIN(7,'Loan Tape'!$AV147)-6))</f>
        <v>0</v>
      </c>
      <c r="J757" s="71" t="n">
        <f aca="false">MIN(J151,J151*CDR*MAX(0,MIN(8,'Loan Tape'!$AV147)-7))</f>
        <v>0</v>
      </c>
      <c r="K757" s="71" t="n">
        <f aca="false">MIN(K151,K151*CDR*MAX(0,MIN(9,'Loan Tape'!$AV147)-8))</f>
        <v>0</v>
      </c>
      <c r="L757" s="71" t="n">
        <f aca="false">MIN(L151,L151*CDR*MAX(0,MIN(10,'Loan Tape'!$AV147)-9))</f>
        <v>0</v>
      </c>
    </row>
    <row r="758" customFormat="false" ht="15" hidden="false" customHeight="false" outlineLevel="0" collapsed="false">
      <c r="B758" s="102" t="n">
        <f aca="false">'Loan Tape'!$A148</f>
        <v>0</v>
      </c>
      <c r="C758" s="99" t="n">
        <f aca="false">MIN(C152,C152*CDR*MAX(0,MIN(1,'Loan Tape'!$AV148)-0))</f>
        <v>0</v>
      </c>
      <c r="D758" s="99" t="n">
        <f aca="false">MIN(D152,D152*CDR*MAX(0,MIN(2,'Loan Tape'!$AV148)-1))</f>
        <v>0</v>
      </c>
      <c r="E758" s="99" t="n">
        <f aca="false">MIN(E152,E152*CDR*MAX(0,MIN(3,'Loan Tape'!$AV148)-2))</f>
        <v>0</v>
      </c>
      <c r="F758" s="99" t="n">
        <f aca="false">MIN(F152,F152*CDR*MAX(0,MIN(4,'Loan Tape'!$AV148)-3))</f>
        <v>0</v>
      </c>
      <c r="G758" s="99" t="n">
        <f aca="false">MIN(G152,G152*CDR*MAX(0,MIN(5,'Loan Tape'!$AV148)-4))</f>
        <v>0</v>
      </c>
      <c r="H758" s="99" t="n">
        <f aca="false">MIN(H152,H152*CDR*MAX(0,MIN(6,'Loan Tape'!$AV148)-5))</f>
        <v>0</v>
      </c>
      <c r="I758" s="99" t="n">
        <f aca="false">MIN(I152,I152*CDR*MAX(0,MIN(7,'Loan Tape'!$AV148)-6))</f>
        <v>0</v>
      </c>
      <c r="J758" s="99" t="n">
        <f aca="false">MIN(J152,J152*CDR*MAX(0,MIN(8,'Loan Tape'!$AV148)-7))</f>
        <v>0</v>
      </c>
      <c r="K758" s="99" t="n">
        <f aca="false">MIN(K152,K152*CDR*MAX(0,MIN(9,'Loan Tape'!$AV148)-8))</f>
        <v>0</v>
      </c>
      <c r="L758" s="99" t="n">
        <f aca="false">MIN(L152,L152*CDR*MAX(0,MIN(10,'Loan Tape'!$AV148)-9))</f>
        <v>0</v>
      </c>
    </row>
    <row r="759" customFormat="false" ht="15" hidden="false" customHeight="false" outlineLevel="0" collapsed="false">
      <c r="B759" s="108" t="n">
        <f aca="false">'Loan Tape'!$A149</f>
        <v>0</v>
      </c>
      <c r="C759" s="71" t="n">
        <f aca="false">MIN(C153,C153*CDR*MAX(0,MIN(1,'Loan Tape'!$AV149)-0))</f>
        <v>0</v>
      </c>
      <c r="D759" s="71" t="n">
        <f aca="false">MIN(D153,D153*CDR*MAX(0,MIN(2,'Loan Tape'!$AV149)-1))</f>
        <v>0</v>
      </c>
      <c r="E759" s="71" t="n">
        <f aca="false">MIN(E153,E153*CDR*MAX(0,MIN(3,'Loan Tape'!$AV149)-2))</f>
        <v>0</v>
      </c>
      <c r="F759" s="71" t="n">
        <f aca="false">MIN(F153,F153*CDR*MAX(0,MIN(4,'Loan Tape'!$AV149)-3))</f>
        <v>0</v>
      </c>
      <c r="G759" s="71" t="n">
        <f aca="false">MIN(G153,G153*CDR*MAX(0,MIN(5,'Loan Tape'!$AV149)-4))</f>
        <v>0</v>
      </c>
      <c r="H759" s="71" t="n">
        <f aca="false">MIN(H153,H153*CDR*MAX(0,MIN(6,'Loan Tape'!$AV149)-5))</f>
        <v>0</v>
      </c>
      <c r="I759" s="71" t="n">
        <f aca="false">MIN(I153,I153*CDR*MAX(0,MIN(7,'Loan Tape'!$AV149)-6))</f>
        <v>0</v>
      </c>
      <c r="J759" s="71" t="n">
        <f aca="false">MIN(J153,J153*CDR*MAX(0,MIN(8,'Loan Tape'!$AV149)-7))</f>
        <v>0</v>
      </c>
      <c r="K759" s="71" t="n">
        <f aca="false">MIN(K153,K153*CDR*MAX(0,MIN(9,'Loan Tape'!$AV149)-8))</f>
        <v>0</v>
      </c>
      <c r="L759" s="71" t="n">
        <f aca="false">MIN(L153,L153*CDR*MAX(0,MIN(10,'Loan Tape'!$AV149)-9))</f>
        <v>0</v>
      </c>
    </row>
    <row r="760" customFormat="false" ht="15" hidden="false" customHeight="false" outlineLevel="0" collapsed="false">
      <c r="B760" s="102" t="n">
        <f aca="false">'Loan Tape'!$A150</f>
        <v>0</v>
      </c>
      <c r="C760" s="99" t="n">
        <f aca="false">MIN(C154,C154*CDR*MAX(0,MIN(1,'Loan Tape'!$AV150)-0))</f>
        <v>0</v>
      </c>
      <c r="D760" s="99" t="n">
        <f aca="false">MIN(D154,D154*CDR*MAX(0,MIN(2,'Loan Tape'!$AV150)-1))</f>
        <v>0</v>
      </c>
      <c r="E760" s="99" t="n">
        <f aca="false">MIN(E154,E154*CDR*MAX(0,MIN(3,'Loan Tape'!$AV150)-2))</f>
        <v>0</v>
      </c>
      <c r="F760" s="99" t="n">
        <f aca="false">MIN(F154,F154*CDR*MAX(0,MIN(4,'Loan Tape'!$AV150)-3))</f>
        <v>0</v>
      </c>
      <c r="G760" s="99" t="n">
        <f aca="false">MIN(G154,G154*CDR*MAX(0,MIN(5,'Loan Tape'!$AV150)-4))</f>
        <v>0</v>
      </c>
      <c r="H760" s="99" t="n">
        <f aca="false">MIN(H154,H154*CDR*MAX(0,MIN(6,'Loan Tape'!$AV150)-5))</f>
        <v>0</v>
      </c>
      <c r="I760" s="99" t="n">
        <f aca="false">MIN(I154,I154*CDR*MAX(0,MIN(7,'Loan Tape'!$AV150)-6))</f>
        <v>0</v>
      </c>
      <c r="J760" s="99" t="n">
        <f aca="false">MIN(J154,J154*CDR*MAX(0,MIN(8,'Loan Tape'!$AV150)-7))</f>
        <v>0</v>
      </c>
      <c r="K760" s="99" t="n">
        <f aca="false">MIN(K154,K154*CDR*MAX(0,MIN(9,'Loan Tape'!$AV150)-8))</f>
        <v>0</v>
      </c>
      <c r="L760" s="99" t="n">
        <f aca="false">MIN(L154,L154*CDR*MAX(0,MIN(10,'Loan Tape'!$AV150)-9))</f>
        <v>0</v>
      </c>
    </row>
    <row r="761" customFormat="false" ht="15" hidden="false" customHeight="false" outlineLevel="0" collapsed="false">
      <c r="B761" s="108" t="n">
        <f aca="false">'Loan Tape'!$A151</f>
        <v>0</v>
      </c>
      <c r="C761" s="71" t="n">
        <f aca="false">MIN(C155,C155*CDR*MAX(0,MIN(1,'Loan Tape'!$AV151)-0))</f>
        <v>0</v>
      </c>
      <c r="D761" s="71" t="n">
        <f aca="false">MIN(D155,D155*CDR*MAX(0,MIN(2,'Loan Tape'!$AV151)-1))</f>
        <v>0</v>
      </c>
      <c r="E761" s="71" t="n">
        <f aca="false">MIN(E155,E155*CDR*MAX(0,MIN(3,'Loan Tape'!$AV151)-2))</f>
        <v>0</v>
      </c>
      <c r="F761" s="71" t="n">
        <f aca="false">MIN(F155,F155*CDR*MAX(0,MIN(4,'Loan Tape'!$AV151)-3))</f>
        <v>0</v>
      </c>
      <c r="G761" s="71" t="n">
        <f aca="false">MIN(G155,G155*CDR*MAX(0,MIN(5,'Loan Tape'!$AV151)-4))</f>
        <v>0</v>
      </c>
      <c r="H761" s="71" t="n">
        <f aca="false">MIN(H155,H155*CDR*MAX(0,MIN(6,'Loan Tape'!$AV151)-5))</f>
        <v>0</v>
      </c>
      <c r="I761" s="71" t="n">
        <f aca="false">MIN(I155,I155*CDR*MAX(0,MIN(7,'Loan Tape'!$AV151)-6))</f>
        <v>0</v>
      </c>
      <c r="J761" s="71" t="n">
        <f aca="false">MIN(J155,J155*CDR*MAX(0,MIN(8,'Loan Tape'!$AV151)-7))</f>
        <v>0</v>
      </c>
      <c r="K761" s="71" t="n">
        <f aca="false">MIN(K155,K155*CDR*MAX(0,MIN(9,'Loan Tape'!$AV151)-8))</f>
        <v>0</v>
      </c>
      <c r="L761" s="71" t="n">
        <f aca="false">MIN(L155,L155*CDR*MAX(0,MIN(10,'Loan Tape'!$AV151)-9))</f>
        <v>0</v>
      </c>
    </row>
    <row r="762" customFormat="false" ht="15" hidden="false" customHeight="false" outlineLevel="0" collapsed="false">
      <c r="B762" s="102" t="n">
        <f aca="false">'Loan Tape'!$A152</f>
        <v>0</v>
      </c>
      <c r="C762" s="99" t="n">
        <f aca="false">MIN(C156,C156*CDR*MAX(0,MIN(1,'Loan Tape'!$AV152)-0))</f>
        <v>0</v>
      </c>
      <c r="D762" s="99" t="n">
        <f aca="false">MIN(D156,D156*CDR*MAX(0,MIN(2,'Loan Tape'!$AV152)-1))</f>
        <v>0</v>
      </c>
      <c r="E762" s="99" t="n">
        <f aca="false">MIN(E156,E156*CDR*MAX(0,MIN(3,'Loan Tape'!$AV152)-2))</f>
        <v>0</v>
      </c>
      <c r="F762" s="99" t="n">
        <f aca="false">MIN(F156,F156*CDR*MAX(0,MIN(4,'Loan Tape'!$AV152)-3))</f>
        <v>0</v>
      </c>
      <c r="G762" s="99" t="n">
        <f aca="false">MIN(G156,G156*CDR*MAX(0,MIN(5,'Loan Tape'!$AV152)-4))</f>
        <v>0</v>
      </c>
      <c r="H762" s="99" t="n">
        <f aca="false">MIN(H156,H156*CDR*MAX(0,MIN(6,'Loan Tape'!$AV152)-5))</f>
        <v>0</v>
      </c>
      <c r="I762" s="99" t="n">
        <f aca="false">MIN(I156,I156*CDR*MAX(0,MIN(7,'Loan Tape'!$AV152)-6))</f>
        <v>0</v>
      </c>
      <c r="J762" s="99" t="n">
        <f aca="false">MIN(J156,J156*CDR*MAX(0,MIN(8,'Loan Tape'!$AV152)-7))</f>
        <v>0</v>
      </c>
      <c r="K762" s="99" t="n">
        <f aca="false">MIN(K156,K156*CDR*MAX(0,MIN(9,'Loan Tape'!$AV152)-8))</f>
        <v>0</v>
      </c>
      <c r="L762" s="99" t="n">
        <f aca="false">MIN(L156,L156*CDR*MAX(0,MIN(10,'Loan Tape'!$AV152)-9))</f>
        <v>0</v>
      </c>
    </row>
    <row r="763" customFormat="false" ht="15" hidden="false" customHeight="false" outlineLevel="0" collapsed="false">
      <c r="B763" s="108" t="n">
        <f aca="false">'Loan Tape'!$A153</f>
        <v>0</v>
      </c>
      <c r="C763" s="71" t="n">
        <f aca="false">MIN(C157,C157*CDR*MAX(0,MIN(1,'Loan Tape'!$AV153)-0))</f>
        <v>0</v>
      </c>
      <c r="D763" s="71" t="n">
        <f aca="false">MIN(D157,D157*CDR*MAX(0,MIN(2,'Loan Tape'!$AV153)-1))</f>
        <v>0</v>
      </c>
      <c r="E763" s="71" t="n">
        <f aca="false">MIN(E157,E157*CDR*MAX(0,MIN(3,'Loan Tape'!$AV153)-2))</f>
        <v>0</v>
      </c>
      <c r="F763" s="71" t="n">
        <f aca="false">MIN(F157,F157*CDR*MAX(0,MIN(4,'Loan Tape'!$AV153)-3))</f>
        <v>0</v>
      </c>
      <c r="G763" s="71" t="n">
        <f aca="false">MIN(G157,G157*CDR*MAX(0,MIN(5,'Loan Tape'!$AV153)-4))</f>
        <v>0</v>
      </c>
      <c r="H763" s="71" t="n">
        <f aca="false">MIN(H157,H157*CDR*MAX(0,MIN(6,'Loan Tape'!$AV153)-5))</f>
        <v>0</v>
      </c>
      <c r="I763" s="71" t="n">
        <f aca="false">MIN(I157,I157*CDR*MAX(0,MIN(7,'Loan Tape'!$AV153)-6))</f>
        <v>0</v>
      </c>
      <c r="J763" s="71" t="n">
        <f aca="false">MIN(J157,J157*CDR*MAX(0,MIN(8,'Loan Tape'!$AV153)-7))</f>
        <v>0</v>
      </c>
      <c r="K763" s="71" t="n">
        <f aca="false">MIN(K157,K157*CDR*MAX(0,MIN(9,'Loan Tape'!$AV153)-8))</f>
        <v>0</v>
      </c>
      <c r="L763" s="71" t="n">
        <f aca="false">MIN(L157,L157*CDR*MAX(0,MIN(10,'Loan Tape'!$AV153)-9))</f>
        <v>0</v>
      </c>
    </row>
    <row r="764" customFormat="false" ht="15" hidden="false" customHeight="false" outlineLevel="0" collapsed="false">
      <c r="B764" s="102" t="n">
        <f aca="false">'Loan Tape'!$A154</f>
        <v>0</v>
      </c>
      <c r="C764" s="99" t="n">
        <f aca="false">MIN(C158,C158*CDR*MAX(0,MIN(1,'Loan Tape'!$AV154)-0))</f>
        <v>0</v>
      </c>
      <c r="D764" s="99" t="n">
        <f aca="false">MIN(D158,D158*CDR*MAX(0,MIN(2,'Loan Tape'!$AV154)-1))</f>
        <v>0</v>
      </c>
      <c r="E764" s="99" t="n">
        <f aca="false">MIN(E158,E158*CDR*MAX(0,MIN(3,'Loan Tape'!$AV154)-2))</f>
        <v>0</v>
      </c>
      <c r="F764" s="99" t="n">
        <f aca="false">MIN(F158,F158*CDR*MAX(0,MIN(4,'Loan Tape'!$AV154)-3))</f>
        <v>0</v>
      </c>
      <c r="G764" s="99" t="n">
        <f aca="false">MIN(G158,G158*CDR*MAX(0,MIN(5,'Loan Tape'!$AV154)-4))</f>
        <v>0</v>
      </c>
      <c r="H764" s="99" t="n">
        <f aca="false">MIN(H158,H158*CDR*MAX(0,MIN(6,'Loan Tape'!$AV154)-5))</f>
        <v>0</v>
      </c>
      <c r="I764" s="99" t="n">
        <f aca="false">MIN(I158,I158*CDR*MAX(0,MIN(7,'Loan Tape'!$AV154)-6))</f>
        <v>0</v>
      </c>
      <c r="J764" s="99" t="n">
        <f aca="false">MIN(J158,J158*CDR*MAX(0,MIN(8,'Loan Tape'!$AV154)-7))</f>
        <v>0</v>
      </c>
      <c r="K764" s="99" t="n">
        <f aca="false">MIN(K158,K158*CDR*MAX(0,MIN(9,'Loan Tape'!$AV154)-8))</f>
        <v>0</v>
      </c>
      <c r="L764" s="99" t="n">
        <f aca="false">MIN(L158,L158*CDR*MAX(0,MIN(10,'Loan Tape'!$AV154)-9))</f>
        <v>0</v>
      </c>
    </row>
    <row r="765" customFormat="false" ht="15" hidden="false" customHeight="false" outlineLevel="0" collapsed="false">
      <c r="B765" s="108" t="n">
        <f aca="false">'Loan Tape'!$A155</f>
        <v>0</v>
      </c>
      <c r="C765" s="71" t="n">
        <f aca="false">MIN(C159,C159*CDR*MAX(0,MIN(1,'Loan Tape'!$AV155)-0))</f>
        <v>0</v>
      </c>
      <c r="D765" s="71" t="n">
        <f aca="false">MIN(D159,D159*CDR*MAX(0,MIN(2,'Loan Tape'!$AV155)-1))</f>
        <v>0</v>
      </c>
      <c r="E765" s="71" t="n">
        <f aca="false">MIN(E159,E159*CDR*MAX(0,MIN(3,'Loan Tape'!$AV155)-2))</f>
        <v>0</v>
      </c>
      <c r="F765" s="71" t="n">
        <f aca="false">MIN(F159,F159*CDR*MAX(0,MIN(4,'Loan Tape'!$AV155)-3))</f>
        <v>0</v>
      </c>
      <c r="G765" s="71" t="n">
        <f aca="false">MIN(G159,G159*CDR*MAX(0,MIN(5,'Loan Tape'!$AV155)-4))</f>
        <v>0</v>
      </c>
      <c r="H765" s="71" t="n">
        <f aca="false">MIN(H159,H159*CDR*MAX(0,MIN(6,'Loan Tape'!$AV155)-5))</f>
        <v>0</v>
      </c>
      <c r="I765" s="71" t="n">
        <f aca="false">MIN(I159,I159*CDR*MAX(0,MIN(7,'Loan Tape'!$AV155)-6))</f>
        <v>0</v>
      </c>
      <c r="J765" s="71" t="n">
        <f aca="false">MIN(J159,J159*CDR*MAX(0,MIN(8,'Loan Tape'!$AV155)-7))</f>
        <v>0</v>
      </c>
      <c r="K765" s="71" t="n">
        <f aca="false">MIN(K159,K159*CDR*MAX(0,MIN(9,'Loan Tape'!$AV155)-8))</f>
        <v>0</v>
      </c>
      <c r="L765" s="71" t="n">
        <f aca="false">MIN(L159,L159*CDR*MAX(0,MIN(10,'Loan Tape'!$AV155)-9))</f>
        <v>0</v>
      </c>
    </row>
    <row r="766" customFormat="false" ht="15" hidden="false" customHeight="false" outlineLevel="0" collapsed="false">
      <c r="B766" s="102" t="n">
        <f aca="false">'Loan Tape'!$A156</f>
        <v>0</v>
      </c>
      <c r="C766" s="99" t="n">
        <f aca="false">MIN(C160,C160*CDR*MAX(0,MIN(1,'Loan Tape'!$AV156)-0))</f>
        <v>0</v>
      </c>
      <c r="D766" s="99" t="n">
        <f aca="false">MIN(D160,D160*CDR*MAX(0,MIN(2,'Loan Tape'!$AV156)-1))</f>
        <v>0</v>
      </c>
      <c r="E766" s="99" t="n">
        <f aca="false">MIN(E160,E160*CDR*MAX(0,MIN(3,'Loan Tape'!$AV156)-2))</f>
        <v>0</v>
      </c>
      <c r="F766" s="99" t="n">
        <f aca="false">MIN(F160,F160*CDR*MAX(0,MIN(4,'Loan Tape'!$AV156)-3))</f>
        <v>0</v>
      </c>
      <c r="G766" s="99" t="n">
        <f aca="false">MIN(G160,G160*CDR*MAX(0,MIN(5,'Loan Tape'!$AV156)-4))</f>
        <v>0</v>
      </c>
      <c r="H766" s="99" t="n">
        <f aca="false">MIN(H160,H160*CDR*MAX(0,MIN(6,'Loan Tape'!$AV156)-5))</f>
        <v>0</v>
      </c>
      <c r="I766" s="99" t="n">
        <f aca="false">MIN(I160,I160*CDR*MAX(0,MIN(7,'Loan Tape'!$AV156)-6))</f>
        <v>0</v>
      </c>
      <c r="J766" s="99" t="n">
        <f aca="false">MIN(J160,J160*CDR*MAX(0,MIN(8,'Loan Tape'!$AV156)-7))</f>
        <v>0</v>
      </c>
      <c r="K766" s="99" t="n">
        <f aca="false">MIN(K160,K160*CDR*MAX(0,MIN(9,'Loan Tape'!$AV156)-8))</f>
        <v>0</v>
      </c>
      <c r="L766" s="99" t="n">
        <f aca="false">MIN(L160,L160*CDR*MAX(0,MIN(10,'Loan Tape'!$AV156)-9))</f>
        <v>0</v>
      </c>
    </row>
    <row r="767" customFormat="false" ht="15" hidden="false" customHeight="false" outlineLevel="0" collapsed="false">
      <c r="B767" s="108" t="n">
        <f aca="false">'Loan Tape'!$A157</f>
        <v>0</v>
      </c>
      <c r="C767" s="71" t="n">
        <f aca="false">MIN(C161,C161*CDR*MAX(0,MIN(1,'Loan Tape'!$AV157)-0))</f>
        <v>0</v>
      </c>
      <c r="D767" s="71" t="n">
        <f aca="false">MIN(D161,D161*CDR*MAX(0,MIN(2,'Loan Tape'!$AV157)-1))</f>
        <v>0</v>
      </c>
      <c r="E767" s="71" t="n">
        <f aca="false">MIN(E161,E161*CDR*MAX(0,MIN(3,'Loan Tape'!$AV157)-2))</f>
        <v>0</v>
      </c>
      <c r="F767" s="71" t="n">
        <f aca="false">MIN(F161,F161*CDR*MAX(0,MIN(4,'Loan Tape'!$AV157)-3))</f>
        <v>0</v>
      </c>
      <c r="G767" s="71" t="n">
        <f aca="false">MIN(G161,G161*CDR*MAX(0,MIN(5,'Loan Tape'!$AV157)-4))</f>
        <v>0</v>
      </c>
      <c r="H767" s="71" t="n">
        <f aca="false">MIN(H161,H161*CDR*MAX(0,MIN(6,'Loan Tape'!$AV157)-5))</f>
        <v>0</v>
      </c>
      <c r="I767" s="71" t="n">
        <f aca="false">MIN(I161,I161*CDR*MAX(0,MIN(7,'Loan Tape'!$AV157)-6))</f>
        <v>0</v>
      </c>
      <c r="J767" s="71" t="n">
        <f aca="false">MIN(J161,J161*CDR*MAX(0,MIN(8,'Loan Tape'!$AV157)-7))</f>
        <v>0</v>
      </c>
      <c r="K767" s="71" t="n">
        <f aca="false">MIN(K161,K161*CDR*MAX(0,MIN(9,'Loan Tape'!$AV157)-8))</f>
        <v>0</v>
      </c>
      <c r="L767" s="71" t="n">
        <f aca="false">MIN(L161,L161*CDR*MAX(0,MIN(10,'Loan Tape'!$AV157)-9))</f>
        <v>0</v>
      </c>
    </row>
    <row r="768" customFormat="false" ht="15" hidden="false" customHeight="false" outlineLevel="0" collapsed="false">
      <c r="B768" s="102" t="n">
        <f aca="false">'Loan Tape'!$A158</f>
        <v>0</v>
      </c>
      <c r="C768" s="99" t="n">
        <f aca="false">MIN(C162,C162*CDR*MAX(0,MIN(1,'Loan Tape'!$AV158)-0))</f>
        <v>0</v>
      </c>
      <c r="D768" s="99" t="n">
        <f aca="false">MIN(D162,D162*CDR*MAX(0,MIN(2,'Loan Tape'!$AV158)-1))</f>
        <v>0</v>
      </c>
      <c r="E768" s="99" t="n">
        <f aca="false">MIN(E162,E162*CDR*MAX(0,MIN(3,'Loan Tape'!$AV158)-2))</f>
        <v>0</v>
      </c>
      <c r="F768" s="99" t="n">
        <f aca="false">MIN(F162,F162*CDR*MAX(0,MIN(4,'Loan Tape'!$AV158)-3))</f>
        <v>0</v>
      </c>
      <c r="G768" s="99" t="n">
        <f aca="false">MIN(G162,G162*CDR*MAX(0,MIN(5,'Loan Tape'!$AV158)-4))</f>
        <v>0</v>
      </c>
      <c r="H768" s="99" t="n">
        <f aca="false">MIN(H162,H162*CDR*MAX(0,MIN(6,'Loan Tape'!$AV158)-5))</f>
        <v>0</v>
      </c>
      <c r="I768" s="99" t="n">
        <f aca="false">MIN(I162,I162*CDR*MAX(0,MIN(7,'Loan Tape'!$AV158)-6))</f>
        <v>0</v>
      </c>
      <c r="J768" s="99" t="n">
        <f aca="false">MIN(J162,J162*CDR*MAX(0,MIN(8,'Loan Tape'!$AV158)-7))</f>
        <v>0</v>
      </c>
      <c r="K768" s="99" t="n">
        <f aca="false">MIN(K162,K162*CDR*MAX(0,MIN(9,'Loan Tape'!$AV158)-8))</f>
        <v>0</v>
      </c>
      <c r="L768" s="99" t="n">
        <f aca="false">MIN(L162,L162*CDR*MAX(0,MIN(10,'Loan Tape'!$AV158)-9))</f>
        <v>0</v>
      </c>
    </row>
    <row r="769" customFormat="false" ht="15" hidden="false" customHeight="false" outlineLevel="0" collapsed="false">
      <c r="B769" s="108" t="n">
        <f aca="false">'Loan Tape'!$A159</f>
        <v>0</v>
      </c>
      <c r="C769" s="71" t="n">
        <f aca="false">MIN(C163,C163*CDR*MAX(0,MIN(1,'Loan Tape'!$AV159)-0))</f>
        <v>0</v>
      </c>
      <c r="D769" s="71" t="n">
        <f aca="false">MIN(D163,D163*CDR*MAX(0,MIN(2,'Loan Tape'!$AV159)-1))</f>
        <v>0</v>
      </c>
      <c r="E769" s="71" t="n">
        <f aca="false">MIN(E163,E163*CDR*MAX(0,MIN(3,'Loan Tape'!$AV159)-2))</f>
        <v>0</v>
      </c>
      <c r="F769" s="71" t="n">
        <f aca="false">MIN(F163,F163*CDR*MAX(0,MIN(4,'Loan Tape'!$AV159)-3))</f>
        <v>0</v>
      </c>
      <c r="G769" s="71" t="n">
        <f aca="false">MIN(G163,G163*CDR*MAX(0,MIN(5,'Loan Tape'!$AV159)-4))</f>
        <v>0</v>
      </c>
      <c r="H769" s="71" t="n">
        <f aca="false">MIN(H163,H163*CDR*MAX(0,MIN(6,'Loan Tape'!$AV159)-5))</f>
        <v>0</v>
      </c>
      <c r="I769" s="71" t="n">
        <f aca="false">MIN(I163,I163*CDR*MAX(0,MIN(7,'Loan Tape'!$AV159)-6))</f>
        <v>0</v>
      </c>
      <c r="J769" s="71" t="n">
        <f aca="false">MIN(J163,J163*CDR*MAX(0,MIN(8,'Loan Tape'!$AV159)-7))</f>
        <v>0</v>
      </c>
      <c r="K769" s="71" t="n">
        <f aca="false">MIN(K163,K163*CDR*MAX(0,MIN(9,'Loan Tape'!$AV159)-8))</f>
        <v>0</v>
      </c>
      <c r="L769" s="71" t="n">
        <f aca="false">MIN(L163,L163*CDR*MAX(0,MIN(10,'Loan Tape'!$AV159)-9))</f>
        <v>0</v>
      </c>
    </row>
    <row r="770" customFormat="false" ht="15" hidden="false" customHeight="false" outlineLevel="0" collapsed="false">
      <c r="B770" s="102" t="n">
        <f aca="false">'Loan Tape'!$A160</f>
        <v>0</v>
      </c>
      <c r="C770" s="99" t="n">
        <f aca="false">MIN(C164,C164*CDR*MAX(0,MIN(1,'Loan Tape'!$AV160)-0))</f>
        <v>0</v>
      </c>
      <c r="D770" s="99" t="n">
        <f aca="false">MIN(D164,D164*CDR*MAX(0,MIN(2,'Loan Tape'!$AV160)-1))</f>
        <v>0</v>
      </c>
      <c r="E770" s="99" t="n">
        <f aca="false">MIN(E164,E164*CDR*MAX(0,MIN(3,'Loan Tape'!$AV160)-2))</f>
        <v>0</v>
      </c>
      <c r="F770" s="99" t="n">
        <f aca="false">MIN(F164,F164*CDR*MAX(0,MIN(4,'Loan Tape'!$AV160)-3))</f>
        <v>0</v>
      </c>
      <c r="G770" s="99" t="n">
        <f aca="false">MIN(G164,G164*CDR*MAX(0,MIN(5,'Loan Tape'!$AV160)-4))</f>
        <v>0</v>
      </c>
      <c r="H770" s="99" t="n">
        <f aca="false">MIN(H164,H164*CDR*MAX(0,MIN(6,'Loan Tape'!$AV160)-5))</f>
        <v>0</v>
      </c>
      <c r="I770" s="99" t="n">
        <f aca="false">MIN(I164,I164*CDR*MAX(0,MIN(7,'Loan Tape'!$AV160)-6))</f>
        <v>0</v>
      </c>
      <c r="J770" s="99" t="n">
        <f aca="false">MIN(J164,J164*CDR*MAX(0,MIN(8,'Loan Tape'!$AV160)-7))</f>
        <v>0</v>
      </c>
      <c r="K770" s="99" t="n">
        <f aca="false">MIN(K164,K164*CDR*MAX(0,MIN(9,'Loan Tape'!$AV160)-8))</f>
        <v>0</v>
      </c>
      <c r="L770" s="99" t="n">
        <f aca="false">MIN(L164,L164*CDR*MAX(0,MIN(10,'Loan Tape'!$AV160)-9))</f>
        <v>0</v>
      </c>
    </row>
    <row r="771" customFormat="false" ht="15" hidden="false" customHeight="false" outlineLevel="0" collapsed="false">
      <c r="B771" s="108" t="n">
        <f aca="false">'Loan Tape'!$A161</f>
        <v>0</v>
      </c>
      <c r="C771" s="71" t="n">
        <f aca="false">MIN(C165,C165*CDR*MAX(0,MIN(1,'Loan Tape'!$AV161)-0))</f>
        <v>0</v>
      </c>
      <c r="D771" s="71" t="n">
        <f aca="false">MIN(D165,D165*CDR*MAX(0,MIN(2,'Loan Tape'!$AV161)-1))</f>
        <v>0</v>
      </c>
      <c r="E771" s="71" t="n">
        <f aca="false">MIN(E165,E165*CDR*MAX(0,MIN(3,'Loan Tape'!$AV161)-2))</f>
        <v>0</v>
      </c>
      <c r="F771" s="71" t="n">
        <f aca="false">MIN(F165,F165*CDR*MAX(0,MIN(4,'Loan Tape'!$AV161)-3))</f>
        <v>0</v>
      </c>
      <c r="G771" s="71" t="n">
        <f aca="false">MIN(G165,G165*CDR*MAX(0,MIN(5,'Loan Tape'!$AV161)-4))</f>
        <v>0</v>
      </c>
      <c r="H771" s="71" t="n">
        <f aca="false">MIN(H165,H165*CDR*MAX(0,MIN(6,'Loan Tape'!$AV161)-5))</f>
        <v>0</v>
      </c>
      <c r="I771" s="71" t="n">
        <f aca="false">MIN(I165,I165*CDR*MAX(0,MIN(7,'Loan Tape'!$AV161)-6))</f>
        <v>0</v>
      </c>
      <c r="J771" s="71" t="n">
        <f aca="false">MIN(J165,J165*CDR*MAX(0,MIN(8,'Loan Tape'!$AV161)-7))</f>
        <v>0</v>
      </c>
      <c r="K771" s="71" t="n">
        <f aca="false">MIN(K165,K165*CDR*MAX(0,MIN(9,'Loan Tape'!$AV161)-8))</f>
        <v>0</v>
      </c>
      <c r="L771" s="71" t="n">
        <f aca="false">MIN(L165,L165*CDR*MAX(0,MIN(10,'Loan Tape'!$AV161)-9))</f>
        <v>0</v>
      </c>
    </row>
    <row r="772" customFormat="false" ht="15" hidden="false" customHeight="false" outlineLevel="0" collapsed="false">
      <c r="B772" s="102" t="n">
        <f aca="false">'Loan Tape'!$A162</f>
        <v>0</v>
      </c>
      <c r="C772" s="99" t="n">
        <f aca="false">MIN(C166,C166*CDR*MAX(0,MIN(1,'Loan Tape'!$AV162)-0))</f>
        <v>0</v>
      </c>
      <c r="D772" s="99" t="n">
        <f aca="false">MIN(D166,D166*CDR*MAX(0,MIN(2,'Loan Tape'!$AV162)-1))</f>
        <v>0</v>
      </c>
      <c r="E772" s="99" t="n">
        <f aca="false">MIN(E166,E166*CDR*MAX(0,MIN(3,'Loan Tape'!$AV162)-2))</f>
        <v>0</v>
      </c>
      <c r="F772" s="99" t="n">
        <f aca="false">MIN(F166,F166*CDR*MAX(0,MIN(4,'Loan Tape'!$AV162)-3))</f>
        <v>0</v>
      </c>
      <c r="G772" s="99" t="n">
        <f aca="false">MIN(G166,G166*CDR*MAX(0,MIN(5,'Loan Tape'!$AV162)-4))</f>
        <v>0</v>
      </c>
      <c r="H772" s="99" t="n">
        <f aca="false">MIN(H166,H166*CDR*MAX(0,MIN(6,'Loan Tape'!$AV162)-5))</f>
        <v>0</v>
      </c>
      <c r="I772" s="99" t="n">
        <f aca="false">MIN(I166,I166*CDR*MAX(0,MIN(7,'Loan Tape'!$AV162)-6))</f>
        <v>0</v>
      </c>
      <c r="J772" s="99" t="n">
        <f aca="false">MIN(J166,J166*CDR*MAX(0,MIN(8,'Loan Tape'!$AV162)-7))</f>
        <v>0</v>
      </c>
      <c r="K772" s="99" t="n">
        <f aca="false">MIN(K166,K166*CDR*MAX(0,MIN(9,'Loan Tape'!$AV162)-8))</f>
        <v>0</v>
      </c>
      <c r="L772" s="99" t="n">
        <f aca="false">MIN(L166,L166*CDR*MAX(0,MIN(10,'Loan Tape'!$AV162)-9))</f>
        <v>0</v>
      </c>
    </row>
    <row r="773" customFormat="false" ht="15" hidden="false" customHeight="false" outlineLevel="0" collapsed="false">
      <c r="B773" s="108" t="n">
        <f aca="false">'Loan Tape'!$A163</f>
        <v>0</v>
      </c>
      <c r="C773" s="71" t="n">
        <f aca="false">MIN(C167,C167*CDR*MAX(0,MIN(1,'Loan Tape'!$AV163)-0))</f>
        <v>0</v>
      </c>
      <c r="D773" s="71" t="n">
        <f aca="false">MIN(D167,D167*CDR*MAX(0,MIN(2,'Loan Tape'!$AV163)-1))</f>
        <v>0</v>
      </c>
      <c r="E773" s="71" t="n">
        <f aca="false">MIN(E167,E167*CDR*MAX(0,MIN(3,'Loan Tape'!$AV163)-2))</f>
        <v>0</v>
      </c>
      <c r="F773" s="71" t="n">
        <f aca="false">MIN(F167,F167*CDR*MAX(0,MIN(4,'Loan Tape'!$AV163)-3))</f>
        <v>0</v>
      </c>
      <c r="G773" s="71" t="n">
        <f aca="false">MIN(G167,G167*CDR*MAX(0,MIN(5,'Loan Tape'!$AV163)-4))</f>
        <v>0</v>
      </c>
      <c r="H773" s="71" t="n">
        <f aca="false">MIN(H167,H167*CDR*MAX(0,MIN(6,'Loan Tape'!$AV163)-5))</f>
        <v>0</v>
      </c>
      <c r="I773" s="71" t="n">
        <f aca="false">MIN(I167,I167*CDR*MAX(0,MIN(7,'Loan Tape'!$AV163)-6))</f>
        <v>0</v>
      </c>
      <c r="J773" s="71" t="n">
        <f aca="false">MIN(J167,J167*CDR*MAX(0,MIN(8,'Loan Tape'!$AV163)-7))</f>
        <v>0</v>
      </c>
      <c r="K773" s="71" t="n">
        <f aca="false">MIN(K167,K167*CDR*MAX(0,MIN(9,'Loan Tape'!$AV163)-8))</f>
        <v>0</v>
      </c>
      <c r="L773" s="71" t="n">
        <f aca="false">MIN(L167,L167*CDR*MAX(0,MIN(10,'Loan Tape'!$AV163)-9))</f>
        <v>0</v>
      </c>
    </row>
    <row r="774" customFormat="false" ht="15" hidden="false" customHeight="false" outlineLevel="0" collapsed="false">
      <c r="B774" s="102" t="n">
        <f aca="false">'Loan Tape'!$A164</f>
        <v>0</v>
      </c>
      <c r="C774" s="99" t="n">
        <f aca="false">MIN(C168,C168*CDR*MAX(0,MIN(1,'Loan Tape'!$AV164)-0))</f>
        <v>0</v>
      </c>
      <c r="D774" s="99" t="n">
        <f aca="false">MIN(D168,D168*CDR*MAX(0,MIN(2,'Loan Tape'!$AV164)-1))</f>
        <v>0</v>
      </c>
      <c r="E774" s="99" t="n">
        <f aca="false">MIN(E168,E168*CDR*MAX(0,MIN(3,'Loan Tape'!$AV164)-2))</f>
        <v>0</v>
      </c>
      <c r="F774" s="99" t="n">
        <f aca="false">MIN(F168,F168*CDR*MAX(0,MIN(4,'Loan Tape'!$AV164)-3))</f>
        <v>0</v>
      </c>
      <c r="G774" s="99" t="n">
        <f aca="false">MIN(G168,G168*CDR*MAX(0,MIN(5,'Loan Tape'!$AV164)-4))</f>
        <v>0</v>
      </c>
      <c r="H774" s="99" t="n">
        <f aca="false">MIN(H168,H168*CDR*MAX(0,MIN(6,'Loan Tape'!$AV164)-5))</f>
        <v>0</v>
      </c>
      <c r="I774" s="99" t="n">
        <f aca="false">MIN(I168,I168*CDR*MAX(0,MIN(7,'Loan Tape'!$AV164)-6))</f>
        <v>0</v>
      </c>
      <c r="J774" s="99" t="n">
        <f aca="false">MIN(J168,J168*CDR*MAX(0,MIN(8,'Loan Tape'!$AV164)-7))</f>
        <v>0</v>
      </c>
      <c r="K774" s="99" t="n">
        <f aca="false">MIN(K168,K168*CDR*MAX(0,MIN(9,'Loan Tape'!$AV164)-8))</f>
        <v>0</v>
      </c>
      <c r="L774" s="99" t="n">
        <f aca="false">MIN(L168,L168*CDR*MAX(0,MIN(10,'Loan Tape'!$AV164)-9))</f>
        <v>0</v>
      </c>
    </row>
    <row r="775" customFormat="false" ht="15" hidden="false" customHeight="false" outlineLevel="0" collapsed="false">
      <c r="B775" s="108" t="n">
        <f aca="false">'Loan Tape'!$A165</f>
        <v>0</v>
      </c>
      <c r="C775" s="71" t="n">
        <f aca="false">MIN(C169,C169*CDR*MAX(0,MIN(1,'Loan Tape'!$AV165)-0))</f>
        <v>0</v>
      </c>
      <c r="D775" s="71" t="n">
        <f aca="false">MIN(D169,D169*CDR*MAX(0,MIN(2,'Loan Tape'!$AV165)-1))</f>
        <v>0</v>
      </c>
      <c r="E775" s="71" t="n">
        <f aca="false">MIN(E169,E169*CDR*MAX(0,MIN(3,'Loan Tape'!$AV165)-2))</f>
        <v>0</v>
      </c>
      <c r="F775" s="71" t="n">
        <f aca="false">MIN(F169,F169*CDR*MAX(0,MIN(4,'Loan Tape'!$AV165)-3))</f>
        <v>0</v>
      </c>
      <c r="G775" s="71" t="n">
        <f aca="false">MIN(G169,G169*CDR*MAX(0,MIN(5,'Loan Tape'!$AV165)-4))</f>
        <v>0</v>
      </c>
      <c r="H775" s="71" t="n">
        <f aca="false">MIN(H169,H169*CDR*MAX(0,MIN(6,'Loan Tape'!$AV165)-5))</f>
        <v>0</v>
      </c>
      <c r="I775" s="71" t="n">
        <f aca="false">MIN(I169,I169*CDR*MAX(0,MIN(7,'Loan Tape'!$AV165)-6))</f>
        <v>0</v>
      </c>
      <c r="J775" s="71" t="n">
        <f aca="false">MIN(J169,J169*CDR*MAX(0,MIN(8,'Loan Tape'!$AV165)-7))</f>
        <v>0</v>
      </c>
      <c r="K775" s="71" t="n">
        <f aca="false">MIN(K169,K169*CDR*MAX(0,MIN(9,'Loan Tape'!$AV165)-8))</f>
        <v>0</v>
      </c>
      <c r="L775" s="71" t="n">
        <f aca="false">MIN(L169,L169*CDR*MAX(0,MIN(10,'Loan Tape'!$AV165)-9))</f>
        <v>0</v>
      </c>
    </row>
    <row r="776" customFormat="false" ht="15" hidden="false" customHeight="false" outlineLevel="0" collapsed="false">
      <c r="B776" s="102" t="n">
        <f aca="false">'Loan Tape'!$A166</f>
        <v>0</v>
      </c>
      <c r="C776" s="99" t="n">
        <f aca="false">MIN(C170,C170*CDR*MAX(0,MIN(1,'Loan Tape'!$AV166)-0))</f>
        <v>0</v>
      </c>
      <c r="D776" s="99" t="n">
        <f aca="false">MIN(D170,D170*CDR*MAX(0,MIN(2,'Loan Tape'!$AV166)-1))</f>
        <v>0</v>
      </c>
      <c r="E776" s="99" t="n">
        <f aca="false">MIN(E170,E170*CDR*MAX(0,MIN(3,'Loan Tape'!$AV166)-2))</f>
        <v>0</v>
      </c>
      <c r="F776" s="99" t="n">
        <f aca="false">MIN(F170,F170*CDR*MAX(0,MIN(4,'Loan Tape'!$AV166)-3))</f>
        <v>0</v>
      </c>
      <c r="G776" s="99" t="n">
        <f aca="false">MIN(G170,G170*CDR*MAX(0,MIN(5,'Loan Tape'!$AV166)-4))</f>
        <v>0</v>
      </c>
      <c r="H776" s="99" t="n">
        <f aca="false">MIN(H170,H170*CDR*MAX(0,MIN(6,'Loan Tape'!$AV166)-5))</f>
        <v>0</v>
      </c>
      <c r="I776" s="99" t="n">
        <f aca="false">MIN(I170,I170*CDR*MAX(0,MIN(7,'Loan Tape'!$AV166)-6))</f>
        <v>0</v>
      </c>
      <c r="J776" s="99" t="n">
        <f aca="false">MIN(J170,J170*CDR*MAX(0,MIN(8,'Loan Tape'!$AV166)-7))</f>
        <v>0</v>
      </c>
      <c r="K776" s="99" t="n">
        <f aca="false">MIN(K170,K170*CDR*MAX(0,MIN(9,'Loan Tape'!$AV166)-8))</f>
        <v>0</v>
      </c>
      <c r="L776" s="99" t="n">
        <f aca="false">MIN(L170,L170*CDR*MAX(0,MIN(10,'Loan Tape'!$AV166)-9))</f>
        <v>0</v>
      </c>
    </row>
    <row r="777" customFormat="false" ht="15" hidden="false" customHeight="false" outlineLevel="0" collapsed="false">
      <c r="B777" s="108" t="n">
        <f aca="false">'Loan Tape'!$A167</f>
        <v>0</v>
      </c>
      <c r="C777" s="71" t="n">
        <f aca="false">MIN(C171,C171*CDR*MAX(0,MIN(1,'Loan Tape'!$AV167)-0))</f>
        <v>0</v>
      </c>
      <c r="D777" s="71" t="n">
        <f aca="false">MIN(D171,D171*CDR*MAX(0,MIN(2,'Loan Tape'!$AV167)-1))</f>
        <v>0</v>
      </c>
      <c r="E777" s="71" t="n">
        <f aca="false">MIN(E171,E171*CDR*MAX(0,MIN(3,'Loan Tape'!$AV167)-2))</f>
        <v>0</v>
      </c>
      <c r="F777" s="71" t="n">
        <f aca="false">MIN(F171,F171*CDR*MAX(0,MIN(4,'Loan Tape'!$AV167)-3))</f>
        <v>0</v>
      </c>
      <c r="G777" s="71" t="n">
        <f aca="false">MIN(G171,G171*CDR*MAX(0,MIN(5,'Loan Tape'!$AV167)-4))</f>
        <v>0</v>
      </c>
      <c r="H777" s="71" t="n">
        <f aca="false">MIN(H171,H171*CDR*MAX(0,MIN(6,'Loan Tape'!$AV167)-5))</f>
        <v>0</v>
      </c>
      <c r="I777" s="71" t="n">
        <f aca="false">MIN(I171,I171*CDR*MAX(0,MIN(7,'Loan Tape'!$AV167)-6))</f>
        <v>0</v>
      </c>
      <c r="J777" s="71" t="n">
        <f aca="false">MIN(J171,J171*CDR*MAX(0,MIN(8,'Loan Tape'!$AV167)-7))</f>
        <v>0</v>
      </c>
      <c r="K777" s="71" t="n">
        <f aca="false">MIN(K171,K171*CDR*MAX(0,MIN(9,'Loan Tape'!$AV167)-8))</f>
        <v>0</v>
      </c>
      <c r="L777" s="71" t="n">
        <f aca="false">MIN(L171,L171*CDR*MAX(0,MIN(10,'Loan Tape'!$AV167)-9))</f>
        <v>0</v>
      </c>
    </row>
    <row r="778" customFormat="false" ht="15" hidden="false" customHeight="false" outlineLevel="0" collapsed="false">
      <c r="B778" s="102" t="n">
        <f aca="false">'Loan Tape'!$A168</f>
        <v>0</v>
      </c>
      <c r="C778" s="99" t="n">
        <f aca="false">MIN(C172,C172*CDR*MAX(0,MIN(1,'Loan Tape'!$AV168)-0))</f>
        <v>0</v>
      </c>
      <c r="D778" s="99" t="n">
        <f aca="false">MIN(D172,D172*CDR*MAX(0,MIN(2,'Loan Tape'!$AV168)-1))</f>
        <v>0</v>
      </c>
      <c r="E778" s="99" t="n">
        <f aca="false">MIN(E172,E172*CDR*MAX(0,MIN(3,'Loan Tape'!$AV168)-2))</f>
        <v>0</v>
      </c>
      <c r="F778" s="99" t="n">
        <f aca="false">MIN(F172,F172*CDR*MAX(0,MIN(4,'Loan Tape'!$AV168)-3))</f>
        <v>0</v>
      </c>
      <c r="G778" s="99" t="n">
        <f aca="false">MIN(G172,G172*CDR*MAX(0,MIN(5,'Loan Tape'!$AV168)-4))</f>
        <v>0</v>
      </c>
      <c r="H778" s="99" t="n">
        <f aca="false">MIN(H172,H172*CDR*MAX(0,MIN(6,'Loan Tape'!$AV168)-5))</f>
        <v>0</v>
      </c>
      <c r="I778" s="99" t="n">
        <f aca="false">MIN(I172,I172*CDR*MAX(0,MIN(7,'Loan Tape'!$AV168)-6))</f>
        <v>0</v>
      </c>
      <c r="J778" s="99" t="n">
        <f aca="false">MIN(J172,J172*CDR*MAX(0,MIN(8,'Loan Tape'!$AV168)-7))</f>
        <v>0</v>
      </c>
      <c r="K778" s="99" t="n">
        <f aca="false">MIN(K172,K172*CDR*MAX(0,MIN(9,'Loan Tape'!$AV168)-8))</f>
        <v>0</v>
      </c>
      <c r="L778" s="99" t="n">
        <f aca="false">MIN(L172,L172*CDR*MAX(0,MIN(10,'Loan Tape'!$AV168)-9))</f>
        <v>0</v>
      </c>
    </row>
    <row r="779" customFormat="false" ht="15" hidden="false" customHeight="false" outlineLevel="0" collapsed="false">
      <c r="B779" s="108" t="n">
        <f aca="false">'Loan Tape'!$A169</f>
        <v>0</v>
      </c>
      <c r="C779" s="71" t="n">
        <f aca="false">MIN(C173,C173*CDR*MAX(0,MIN(1,'Loan Tape'!$AV169)-0))</f>
        <v>0</v>
      </c>
      <c r="D779" s="71" t="n">
        <f aca="false">MIN(D173,D173*CDR*MAX(0,MIN(2,'Loan Tape'!$AV169)-1))</f>
        <v>0</v>
      </c>
      <c r="E779" s="71" t="n">
        <f aca="false">MIN(E173,E173*CDR*MAX(0,MIN(3,'Loan Tape'!$AV169)-2))</f>
        <v>0</v>
      </c>
      <c r="F779" s="71" t="n">
        <f aca="false">MIN(F173,F173*CDR*MAX(0,MIN(4,'Loan Tape'!$AV169)-3))</f>
        <v>0</v>
      </c>
      <c r="G779" s="71" t="n">
        <f aca="false">MIN(G173,G173*CDR*MAX(0,MIN(5,'Loan Tape'!$AV169)-4))</f>
        <v>0</v>
      </c>
      <c r="H779" s="71" t="n">
        <f aca="false">MIN(H173,H173*CDR*MAX(0,MIN(6,'Loan Tape'!$AV169)-5))</f>
        <v>0</v>
      </c>
      <c r="I779" s="71" t="n">
        <f aca="false">MIN(I173,I173*CDR*MAX(0,MIN(7,'Loan Tape'!$AV169)-6))</f>
        <v>0</v>
      </c>
      <c r="J779" s="71" t="n">
        <f aca="false">MIN(J173,J173*CDR*MAX(0,MIN(8,'Loan Tape'!$AV169)-7))</f>
        <v>0</v>
      </c>
      <c r="K779" s="71" t="n">
        <f aca="false">MIN(K173,K173*CDR*MAX(0,MIN(9,'Loan Tape'!$AV169)-8))</f>
        <v>0</v>
      </c>
      <c r="L779" s="71" t="n">
        <f aca="false">MIN(L173,L173*CDR*MAX(0,MIN(10,'Loan Tape'!$AV169)-9))</f>
        <v>0</v>
      </c>
    </row>
    <row r="780" customFormat="false" ht="15" hidden="false" customHeight="false" outlineLevel="0" collapsed="false">
      <c r="B780" s="102" t="n">
        <f aca="false">'Loan Tape'!$A170</f>
        <v>0</v>
      </c>
      <c r="C780" s="99" t="n">
        <f aca="false">MIN(C174,C174*CDR*MAX(0,MIN(1,'Loan Tape'!$AV170)-0))</f>
        <v>0</v>
      </c>
      <c r="D780" s="99" t="n">
        <f aca="false">MIN(D174,D174*CDR*MAX(0,MIN(2,'Loan Tape'!$AV170)-1))</f>
        <v>0</v>
      </c>
      <c r="E780" s="99" t="n">
        <f aca="false">MIN(E174,E174*CDR*MAX(0,MIN(3,'Loan Tape'!$AV170)-2))</f>
        <v>0</v>
      </c>
      <c r="F780" s="99" t="n">
        <f aca="false">MIN(F174,F174*CDR*MAX(0,MIN(4,'Loan Tape'!$AV170)-3))</f>
        <v>0</v>
      </c>
      <c r="G780" s="99" t="n">
        <f aca="false">MIN(G174,G174*CDR*MAX(0,MIN(5,'Loan Tape'!$AV170)-4))</f>
        <v>0</v>
      </c>
      <c r="H780" s="99" t="n">
        <f aca="false">MIN(H174,H174*CDR*MAX(0,MIN(6,'Loan Tape'!$AV170)-5))</f>
        <v>0</v>
      </c>
      <c r="I780" s="99" t="n">
        <f aca="false">MIN(I174,I174*CDR*MAX(0,MIN(7,'Loan Tape'!$AV170)-6))</f>
        <v>0</v>
      </c>
      <c r="J780" s="99" t="n">
        <f aca="false">MIN(J174,J174*CDR*MAX(0,MIN(8,'Loan Tape'!$AV170)-7))</f>
        <v>0</v>
      </c>
      <c r="K780" s="99" t="n">
        <f aca="false">MIN(K174,K174*CDR*MAX(0,MIN(9,'Loan Tape'!$AV170)-8))</f>
        <v>0</v>
      </c>
      <c r="L780" s="99" t="n">
        <f aca="false">MIN(L174,L174*CDR*MAX(0,MIN(10,'Loan Tape'!$AV170)-9))</f>
        <v>0</v>
      </c>
    </row>
    <row r="781" customFormat="false" ht="15" hidden="false" customHeight="false" outlineLevel="0" collapsed="false">
      <c r="B781" s="108" t="n">
        <f aca="false">'Loan Tape'!$A171</f>
        <v>0</v>
      </c>
      <c r="C781" s="71" t="n">
        <f aca="false">MIN(C175,C175*CDR*MAX(0,MIN(1,'Loan Tape'!$AV171)-0))</f>
        <v>0</v>
      </c>
      <c r="D781" s="71" t="n">
        <f aca="false">MIN(D175,D175*CDR*MAX(0,MIN(2,'Loan Tape'!$AV171)-1))</f>
        <v>0</v>
      </c>
      <c r="E781" s="71" t="n">
        <f aca="false">MIN(E175,E175*CDR*MAX(0,MIN(3,'Loan Tape'!$AV171)-2))</f>
        <v>0</v>
      </c>
      <c r="F781" s="71" t="n">
        <f aca="false">MIN(F175,F175*CDR*MAX(0,MIN(4,'Loan Tape'!$AV171)-3))</f>
        <v>0</v>
      </c>
      <c r="G781" s="71" t="n">
        <f aca="false">MIN(G175,G175*CDR*MAX(0,MIN(5,'Loan Tape'!$AV171)-4))</f>
        <v>0</v>
      </c>
      <c r="H781" s="71" t="n">
        <f aca="false">MIN(H175,H175*CDR*MAX(0,MIN(6,'Loan Tape'!$AV171)-5))</f>
        <v>0</v>
      </c>
      <c r="I781" s="71" t="n">
        <f aca="false">MIN(I175,I175*CDR*MAX(0,MIN(7,'Loan Tape'!$AV171)-6))</f>
        <v>0</v>
      </c>
      <c r="J781" s="71" t="n">
        <f aca="false">MIN(J175,J175*CDR*MAX(0,MIN(8,'Loan Tape'!$AV171)-7))</f>
        <v>0</v>
      </c>
      <c r="K781" s="71" t="n">
        <f aca="false">MIN(K175,K175*CDR*MAX(0,MIN(9,'Loan Tape'!$AV171)-8))</f>
        <v>0</v>
      </c>
      <c r="L781" s="71" t="n">
        <f aca="false">MIN(L175,L175*CDR*MAX(0,MIN(10,'Loan Tape'!$AV171)-9))</f>
        <v>0</v>
      </c>
    </row>
    <row r="782" customFormat="false" ht="15" hidden="false" customHeight="false" outlineLevel="0" collapsed="false">
      <c r="B782" s="102" t="n">
        <f aca="false">'Loan Tape'!$A172</f>
        <v>0</v>
      </c>
      <c r="C782" s="99" t="n">
        <f aca="false">MIN(C176,C176*CDR*MAX(0,MIN(1,'Loan Tape'!$AV172)-0))</f>
        <v>0</v>
      </c>
      <c r="D782" s="99" t="n">
        <f aca="false">MIN(D176,D176*CDR*MAX(0,MIN(2,'Loan Tape'!$AV172)-1))</f>
        <v>0</v>
      </c>
      <c r="E782" s="99" t="n">
        <f aca="false">MIN(E176,E176*CDR*MAX(0,MIN(3,'Loan Tape'!$AV172)-2))</f>
        <v>0</v>
      </c>
      <c r="F782" s="99" t="n">
        <f aca="false">MIN(F176,F176*CDR*MAX(0,MIN(4,'Loan Tape'!$AV172)-3))</f>
        <v>0</v>
      </c>
      <c r="G782" s="99" t="n">
        <f aca="false">MIN(G176,G176*CDR*MAX(0,MIN(5,'Loan Tape'!$AV172)-4))</f>
        <v>0</v>
      </c>
      <c r="H782" s="99" t="n">
        <f aca="false">MIN(H176,H176*CDR*MAX(0,MIN(6,'Loan Tape'!$AV172)-5))</f>
        <v>0</v>
      </c>
      <c r="I782" s="99" t="n">
        <f aca="false">MIN(I176,I176*CDR*MAX(0,MIN(7,'Loan Tape'!$AV172)-6))</f>
        <v>0</v>
      </c>
      <c r="J782" s="99" t="n">
        <f aca="false">MIN(J176,J176*CDR*MAX(0,MIN(8,'Loan Tape'!$AV172)-7))</f>
        <v>0</v>
      </c>
      <c r="K782" s="99" t="n">
        <f aca="false">MIN(K176,K176*CDR*MAX(0,MIN(9,'Loan Tape'!$AV172)-8))</f>
        <v>0</v>
      </c>
      <c r="L782" s="99" t="n">
        <f aca="false">MIN(L176,L176*CDR*MAX(0,MIN(10,'Loan Tape'!$AV172)-9))</f>
        <v>0</v>
      </c>
    </row>
    <row r="783" customFormat="false" ht="15" hidden="false" customHeight="false" outlineLevel="0" collapsed="false">
      <c r="B783" s="108" t="n">
        <f aca="false">'Loan Tape'!$A173</f>
        <v>0</v>
      </c>
      <c r="C783" s="71" t="n">
        <f aca="false">MIN(C177,C177*CDR*MAX(0,MIN(1,'Loan Tape'!$AV173)-0))</f>
        <v>0</v>
      </c>
      <c r="D783" s="71" t="n">
        <f aca="false">MIN(D177,D177*CDR*MAX(0,MIN(2,'Loan Tape'!$AV173)-1))</f>
        <v>0</v>
      </c>
      <c r="E783" s="71" t="n">
        <f aca="false">MIN(E177,E177*CDR*MAX(0,MIN(3,'Loan Tape'!$AV173)-2))</f>
        <v>0</v>
      </c>
      <c r="F783" s="71" t="n">
        <f aca="false">MIN(F177,F177*CDR*MAX(0,MIN(4,'Loan Tape'!$AV173)-3))</f>
        <v>0</v>
      </c>
      <c r="G783" s="71" t="n">
        <f aca="false">MIN(G177,G177*CDR*MAX(0,MIN(5,'Loan Tape'!$AV173)-4))</f>
        <v>0</v>
      </c>
      <c r="H783" s="71" t="n">
        <f aca="false">MIN(H177,H177*CDR*MAX(0,MIN(6,'Loan Tape'!$AV173)-5))</f>
        <v>0</v>
      </c>
      <c r="I783" s="71" t="n">
        <f aca="false">MIN(I177,I177*CDR*MAX(0,MIN(7,'Loan Tape'!$AV173)-6))</f>
        <v>0</v>
      </c>
      <c r="J783" s="71" t="n">
        <f aca="false">MIN(J177,J177*CDR*MAX(0,MIN(8,'Loan Tape'!$AV173)-7))</f>
        <v>0</v>
      </c>
      <c r="K783" s="71" t="n">
        <f aca="false">MIN(K177,K177*CDR*MAX(0,MIN(9,'Loan Tape'!$AV173)-8))</f>
        <v>0</v>
      </c>
      <c r="L783" s="71" t="n">
        <f aca="false">MIN(L177,L177*CDR*MAX(0,MIN(10,'Loan Tape'!$AV173)-9))</f>
        <v>0</v>
      </c>
    </row>
    <row r="784" customFormat="false" ht="15" hidden="false" customHeight="false" outlineLevel="0" collapsed="false">
      <c r="B784" s="102" t="n">
        <f aca="false">'Loan Tape'!$A174</f>
        <v>0</v>
      </c>
      <c r="C784" s="99" t="n">
        <f aca="false">MIN(C178,C178*CDR*MAX(0,MIN(1,'Loan Tape'!$AV174)-0))</f>
        <v>0</v>
      </c>
      <c r="D784" s="99" t="n">
        <f aca="false">MIN(D178,D178*CDR*MAX(0,MIN(2,'Loan Tape'!$AV174)-1))</f>
        <v>0</v>
      </c>
      <c r="E784" s="99" t="n">
        <f aca="false">MIN(E178,E178*CDR*MAX(0,MIN(3,'Loan Tape'!$AV174)-2))</f>
        <v>0</v>
      </c>
      <c r="F784" s="99" t="n">
        <f aca="false">MIN(F178,F178*CDR*MAX(0,MIN(4,'Loan Tape'!$AV174)-3))</f>
        <v>0</v>
      </c>
      <c r="G784" s="99" t="n">
        <f aca="false">MIN(G178,G178*CDR*MAX(0,MIN(5,'Loan Tape'!$AV174)-4))</f>
        <v>0</v>
      </c>
      <c r="H784" s="99" t="n">
        <f aca="false">MIN(H178,H178*CDR*MAX(0,MIN(6,'Loan Tape'!$AV174)-5))</f>
        <v>0</v>
      </c>
      <c r="I784" s="99" t="n">
        <f aca="false">MIN(I178,I178*CDR*MAX(0,MIN(7,'Loan Tape'!$AV174)-6))</f>
        <v>0</v>
      </c>
      <c r="J784" s="99" t="n">
        <f aca="false">MIN(J178,J178*CDR*MAX(0,MIN(8,'Loan Tape'!$AV174)-7))</f>
        <v>0</v>
      </c>
      <c r="K784" s="99" t="n">
        <f aca="false">MIN(K178,K178*CDR*MAX(0,MIN(9,'Loan Tape'!$AV174)-8))</f>
        <v>0</v>
      </c>
      <c r="L784" s="99" t="n">
        <f aca="false">MIN(L178,L178*CDR*MAX(0,MIN(10,'Loan Tape'!$AV174)-9))</f>
        <v>0</v>
      </c>
    </row>
    <row r="785" customFormat="false" ht="15" hidden="false" customHeight="false" outlineLevel="0" collapsed="false">
      <c r="B785" s="108" t="n">
        <f aca="false">'Loan Tape'!$A175</f>
        <v>0</v>
      </c>
      <c r="C785" s="71" t="n">
        <f aca="false">MIN(C179,C179*CDR*MAX(0,MIN(1,'Loan Tape'!$AV175)-0))</f>
        <v>0</v>
      </c>
      <c r="D785" s="71" t="n">
        <f aca="false">MIN(D179,D179*CDR*MAX(0,MIN(2,'Loan Tape'!$AV175)-1))</f>
        <v>0</v>
      </c>
      <c r="E785" s="71" t="n">
        <f aca="false">MIN(E179,E179*CDR*MAX(0,MIN(3,'Loan Tape'!$AV175)-2))</f>
        <v>0</v>
      </c>
      <c r="F785" s="71" t="n">
        <f aca="false">MIN(F179,F179*CDR*MAX(0,MIN(4,'Loan Tape'!$AV175)-3))</f>
        <v>0</v>
      </c>
      <c r="G785" s="71" t="n">
        <f aca="false">MIN(G179,G179*CDR*MAX(0,MIN(5,'Loan Tape'!$AV175)-4))</f>
        <v>0</v>
      </c>
      <c r="H785" s="71" t="n">
        <f aca="false">MIN(H179,H179*CDR*MAX(0,MIN(6,'Loan Tape'!$AV175)-5))</f>
        <v>0</v>
      </c>
      <c r="I785" s="71" t="n">
        <f aca="false">MIN(I179,I179*CDR*MAX(0,MIN(7,'Loan Tape'!$AV175)-6))</f>
        <v>0</v>
      </c>
      <c r="J785" s="71" t="n">
        <f aca="false">MIN(J179,J179*CDR*MAX(0,MIN(8,'Loan Tape'!$AV175)-7))</f>
        <v>0</v>
      </c>
      <c r="K785" s="71" t="n">
        <f aca="false">MIN(K179,K179*CDR*MAX(0,MIN(9,'Loan Tape'!$AV175)-8))</f>
        <v>0</v>
      </c>
      <c r="L785" s="71" t="n">
        <f aca="false">MIN(L179,L179*CDR*MAX(0,MIN(10,'Loan Tape'!$AV175)-9))</f>
        <v>0</v>
      </c>
    </row>
    <row r="786" customFormat="false" ht="15" hidden="false" customHeight="false" outlineLevel="0" collapsed="false">
      <c r="B786" s="102" t="n">
        <f aca="false">'Loan Tape'!$A176</f>
        <v>0</v>
      </c>
      <c r="C786" s="99" t="n">
        <f aca="false">MIN(C180,C180*CDR*MAX(0,MIN(1,'Loan Tape'!$AV176)-0))</f>
        <v>0</v>
      </c>
      <c r="D786" s="99" t="n">
        <f aca="false">MIN(D180,D180*CDR*MAX(0,MIN(2,'Loan Tape'!$AV176)-1))</f>
        <v>0</v>
      </c>
      <c r="E786" s="99" t="n">
        <f aca="false">MIN(E180,E180*CDR*MAX(0,MIN(3,'Loan Tape'!$AV176)-2))</f>
        <v>0</v>
      </c>
      <c r="F786" s="99" t="n">
        <f aca="false">MIN(F180,F180*CDR*MAX(0,MIN(4,'Loan Tape'!$AV176)-3))</f>
        <v>0</v>
      </c>
      <c r="G786" s="99" t="n">
        <f aca="false">MIN(G180,G180*CDR*MAX(0,MIN(5,'Loan Tape'!$AV176)-4))</f>
        <v>0</v>
      </c>
      <c r="H786" s="99" t="n">
        <f aca="false">MIN(H180,H180*CDR*MAX(0,MIN(6,'Loan Tape'!$AV176)-5))</f>
        <v>0</v>
      </c>
      <c r="I786" s="99" t="n">
        <f aca="false">MIN(I180,I180*CDR*MAX(0,MIN(7,'Loan Tape'!$AV176)-6))</f>
        <v>0</v>
      </c>
      <c r="J786" s="99" t="n">
        <f aca="false">MIN(J180,J180*CDR*MAX(0,MIN(8,'Loan Tape'!$AV176)-7))</f>
        <v>0</v>
      </c>
      <c r="K786" s="99" t="n">
        <f aca="false">MIN(K180,K180*CDR*MAX(0,MIN(9,'Loan Tape'!$AV176)-8))</f>
        <v>0</v>
      </c>
      <c r="L786" s="99" t="n">
        <f aca="false">MIN(L180,L180*CDR*MAX(0,MIN(10,'Loan Tape'!$AV176)-9))</f>
        <v>0</v>
      </c>
    </row>
    <row r="787" customFormat="false" ht="15" hidden="false" customHeight="false" outlineLevel="0" collapsed="false">
      <c r="B787" s="108" t="n">
        <f aca="false">'Loan Tape'!$A177</f>
        <v>0</v>
      </c>
      <c r="C787" s="71" t="n">
        <f aca="false">MIN(C181,C181*CDR*MAX(0,MIN(1,'Loan Tape'!$AV177)-0))</f>
        <v>0</v>
      </c>
      <c r="D787" s="71" t="n">
        <f aca="false">MIN(D181,D181*CDR*MAX(0,MIN(2,'Loan Tape'!$AV177)-1))</f>
        <v>0</v>
      </c>
      <c r="E787" s="71" t="n">
        <f aca="false">MIN(E181,E181*CDR*MAX(0,MIN(3,'Loan Tape'!$AV177)-2))</f>
        <v>0</v>
      </c>
      <c r="F787" s="71" t="n">
        <f aca="false">MIN(F181,F181*CDR*MAX(0,MIN(4,'Loan Tape'!$AV177)-3))</f>
        <v>0</v>
      </c>
      <c r="G787" s="71" t="n">
        <f aca="false">MIN(G181,G181*CDR*MAX(0,MIN(5,'Loan Tape'!$AV177)-4))</f>
        <v>0</v>
      </c>
      <c r="H787" s="71" t="n">
        <f aca="false">MIN(H181,H181*CDR*MAX(0,MIN(6,'Loan Tape'!$AV177)-5))</f>
        <v>0</v>
      </c>
      <c r="I787" s="71" t="n">
        <f aca="false">MIN(I181,I181*CDR*MAX(0,MIN(7,'Loan Tape'!$AV177)-6))</f>
        <v>0</v>
      </c>
      <c r="J787" s="71" t="n">
        <f aca="false">MIN(J181,J181*CDR*MAX(0,MIN(8,'Loan Tape'!$AV177)-7))</f>
        <v>0</v>
      </c>
      <c r="K787" s="71" t="n">
        <f aca="false">MIN(K181,K181*CDR*MAX(0,MIN(9,'Loan Tape'!$AV177)-8))</f>
        <v>0</v>
      </c>
      <c r="L787" s="71" t="n">
        <f aca="false">MIN(L181,L181*CDR*MAX(0,MIN(10,'Loan Tape'!$AV177)-9))</f>
        <v>0</v>
      </c>
    </row>
    <row r="788" customFormat="false" ht="15" hidden="false" customHeight="false" outlineLevel="0" collapsed="false">
      <c r="B788" s="102" t="n">
        <f aca="false">'Loan Tape'!$A178</f>
        <v>0</v>
      </c>
      <c r="C788" s="99" t="n">
        <f aca="false">MIN(C182,C182*CDR*MAX(0,MIN(1,'Loan Tape'!$AV178)-0))</f>
        <v>0</v>
      </c>
      <c r="D788" s="99" t="n">
        <f aca="false">MIN(D182,D182*CDR*MAX(0,MIN(2,'Loan Tape'!$AV178)-1))</f>
        <v>0</v>
      </c>
      <c r="E788" s="99" t="n">
        <f aca="false">MIN(E182,E182*CDR*MAX(0,MIN(3,'Loan Tape'!$AV178)-2))</f>
        <v>0</v>
      </c>
      <c r="F788" s="99" t="n">
        <f aca="false">MIN(F182,F182*CDR*MAX(0,MIN(4,'Loan Tape'!$AV178)-3))</f>
        <v>0</v>
      </c>
      <c r="G788" s="99" t="n">
        <f aca="false">MIN(G182,G182*CDR*MAX(0,MIN(5,'Loan Tape'!$AV178)-4))</f>
        <v>0</v>
      </c>
      <c r="H788" s="99" t="n">
        <f aca="false">MIN(H182,H182*CDR*MAX(0,MIN(6,'Loan Tape'!$AV178)-5))</f>
        <v>0</v>
      </c>
      <c r="I788" s="99" t="n">
        <f aca="false">MIN(I182,I182*CDR*MAX(0,MIN(7,'Loan Tape'!$AV178)-6))</f>
        <v>0</v>
      </c>
      <c r="J788" s="99" t="n">
        <f aca="false">MIN(J182,J182*CDR*MAX(0,MIN(8,'Loan Tape'!$AV178)-7))</f>
        <v>0</v>
      </c>
      <c r="K788" s="99" t="n">
        <f aca="false">MIN(K182,K182*CDR*MAX(0,MIN(9,'Loan Tape'!$AV178)-8))</f>
        <v>0</v>
      </c>
      <c r="L788" s="99" t="n">
        <f aca="false">MIN(L182,L182*CDR*MAX(0,MIN(10,'Loan Tape'!$AV178)-9))</f>
        <v>0</v>
      </c>
    </row>
    <row r="789" customFormat="false" ht="15" hidden="false" customHeight="false" outlineLevel="0" collapsed="false">
      <c r="B789" s="108" t="n">
        <f aca="false">'Loan Tape'!$A179</f>
        <v>0</v>
      </c>
      <c r="C789" s="71" t="n">
        <f aca="false">MIN(C183,C183*CDR*MAX(0,MIN(1,'Loan Tape'!$AV179)-0))</f>
        <v>0</v>
      </c>
      <c r="D789" s="71" t="n">
        <f aca="false">MIN(D183,D183*CDR*MAX(0,MIN(2,'Loan Tape'!$AV179)-1))</f>
        <v>0</v>
      </c>
      <c r="E789" s="71" t="n">
        <f aca="false">MIN(E183,E183*CDR*MAX(0,MIN(3,'Loan Tape'!$AV179)-2))</f>
        <v>0</v>
      </c>
      <c r="F789" s="71" t="n">
        <f aca="false">MIN(F183,F183*CDR*MAX(0,MIN(4,'Loan Tape'!$AV179)-3))</f>
        <v>0</v>
      </c>
      <c r="G789" s="71" t="n">
        <f aca="false">MIN(G183,G183*CDR*MAX(0,MIN(5,'Loan Tape'!$AV179)-4))</f>
        <v>0</v>
      </c>
      <c r="H789" s="71" t="n">
        <f aca="false">MIN(H183,H183*CDR*MAX(0,MIN(6,'Loan Tape'!$AV179)-5))</f>
        <v>0</v>
      </c>
      <c r="I789" s="71" t="n">
        <f aca="false">MIN(I183,I183*CDR*MAX(0,MIN(7,'Loan Tape'!$AV179)-6))</f>
        <v>0</v>
      </c>
      <c r="J789" s="71" t="n">
        <f aca="false">MIN(J183,J183*CDR*MAX(0,MIN(8,'Loan Tape'!$AV179)-7))</f>
        <v>0</v>
      </c>
      <c r="K789" s="71" t="n">
        <f aca="false">MIN(K183,K183*CDR*MAX(0,MIN(9,'Loan Tape'!$AV179)-8))</f>
        <v>0</v>
      </c>
      <c r="L789" s="71" t="n">
        <f aca="false">MIN(L183,L183*CDR*MAX(0,MIN(10,'Loan Tape'!$AV179)-9))</f>
        <v>0</v>
      </c>
    </row>
    <row r="790" customFormat="false" ht="15" hidden="false" customHeight="false" outlineLevel="0" collapsed="false">
      <c r="B790" s="102" t="n">
        <f aca="false">'Loan Tape'!$A180</f>
        <v>0</v>
      </c>
      <c r="C790" s="99" t="n">
        <f aca="false">MIN(C184,C184*CDR*MAX(0,MIN(1,'Loan Tape'!$AV180)-0))</f>
        <v>0</v>
      </c>
      <c r="D790" s="99" t="n">
        <f aca="false">MIN(D184,D184*CDR*MAX(0,MIN(2,'Loan Tape'!$AV180)-1))</f>
        <v>0</v>
      </c>
      <c r="E790" s="99" t="n">
        <f aca="false">MIN(E184,E184*CDR*MAX(0,MIN(3,'Loan Tape'!$AV180)-2))</f>
        <v>0</v>
      </c>
      <c r="F790" s="99" t="n">
        <f aca="false">MIN(F184,F184*CDR*MAX(0,MIN(4,'Loan Tape'!$AV180)-3))</f>
        <v>0</v>
      </c>
      <c r="G790" s="99" t="n">
        <f aca="false">MIN(G184,G184*CDR*MAX(0,MIN(5,'Loan Tape'!$AV180)-4))</f>
        <v>0</v>
      </c>
      <c r="H790" s="99" t="n">
        <f aca="false">MIN(H184,H184*CDR*MAX(0,MIN(6,'Loan Tape'!$AV180)-5))</f>
        <v>0</v>
      </c>
      <c r="I790" s="99" t="n">
        <f aca="false">MIN(I184,I184*CDR*MAX(0,MIN(7,'Loan Tape'!$AV180)-6))</f>
        <v>0</v>
      </c>
      <c r="J790" s="99" t="n">
        <f aca="false">MIN(J184,J184*CDR*MAX(0,MIN(8,'Loan Tape'!$AV180)-7))</f>
        <v>0</v>
      </c>
      <c r="K790" s="99" t="n">
        <f aca="false">MIN(K184,K184*CDR*MAX(0,MIN(9,'Loan Tape'!$AV180)-8))</f>
        <v>0</v>
      </c>
      <c r="L790" s="99" t="n">
        <f aca="false">MIN(L184,L184*CDR*MAX(0,MIN(10,'Loan Tape'!$AV180)-9))</f>
        <v>0</v>
      </c>
    </row>
    <row r="791" customFormat="false" ht="15" hidden="false" customHeight="false" outlineLevel="0" collapsed="false">
      <c r="B791" s="108" t="n">
        <f aca="false">'Loan Tape'!$A181</f>
        <v>0</v>
      </c>
      <c r="C791" s="71" t="n">
        <f aca="false">MIN(C185,C185*CDR*MAX(0,MIN(1,'Loan Tape'!$AV181)-0))</f>
        <v>0</v>
      </c>
      <c r="D791" s="71" t="n">
        <f aca="false">MIN(D185,D185*CDR*MAX(0,MIN(2,'Loan Tape'!$AV181)-1))</f>
        <v>0</v>
      </c>
      <c r="E791" s="71" t="n">
        <f aca="false">MIN(E185,E185*CDR*MAX(0,MIN(3,'Loan Tape'!$AV181)-2))</f>
        <v>0</v>
      </c>
      <c r="F791" s="71" t="n">
        <f aca="false">MIN(F185,F185*CDR*MAX(0,MIN(4,'Loan Tape'!$AV181)-3))</f>
        <v>0</v>
      </c>
      <c r="G791" s="71" t="n">
        <f aca="false">MIN(G185,G185*CDR*MAX(0,MIN(5,'Loan Tape'!$AV181)-4))</f>
        <v>0</v>
      </c>
      <c r="H791" s="71" t="n">
        <f aca="false">MIN(H185,H185*CDR*MAX(0,MIN(6,'Loan Tape'!$AV181)-5))</f>
        <v>0</v>
      </c>
      <c r="I791" s="71" t="n">
        <f aca="false">MIN(I185,I185*CDR*MAX(0,MIN(7,'Loan Tape'!$AV181)-6))</f>
        <v>0</v>
      </c>
      <c r="J791" s="71" t="n">
        <f aca="false">MIN(J185,J185*CDR*MAX(0,MIN(8,'Loan Tape'!$AV181)-7))</f>
        <v>0</v>
      </c>
      <c r="K791" s="71" t="n">
        <f aca="false">MIN(K185,K185*CDR*MAX(0,MIN(9,'Loan Tape'!$AV181)-8))</f>
        <v>0</v>
      </c>
      <c r="L791" s="71" t="n">
        <f aca="false">MIN(L185,L185*CDR*MAX(0,MIN(10,'Loan Tape'!$AV181)-9))</f>
        <v>0</v>
      </c>
    </row>
    <row r="792" customFormat="false" ht="15" hidden="false" customHeight="false" outlineLevel="0" collapsed="false">
      <c r="B792" s="102" t="n">
        <f aca="false">'Loan Tape'!$A182</f>
        <v>0</v>
      </c>
      <c r="C792" s="99" t="n">
        <f aca="false">MIN(C186,C186*CDR*MAX(0,MIN(1,'Loan Tape'!$AV182)-0))</f>
        <v>0</v>
      </c>
      <c r="D792" s="99" t="n">
        <f aca="false">MIN(D186,D186*CDR*MAX(0,MIN(2,'Loan Tape'!$AV182)-1))</f>
        <v>0</v>
      </c>
      <c r="E792" s="99" t="n">
        <f aca="false">MIN(E186,E186*CDR*MAX(0,MIN(3,'Loan Tape'!$AV182)-2))</f>
        <v>0</v>
      </c>
      <c r="F792" s="99" t="n">
        <f aca="false">MIN(F186,F186*CDR*MAX(0,MIN(4,'Loan Tape'!$AV182)-3))</f>
        <v>0</v>
      </c>
      <c r="G792" s="99" t="n">
        <f aca="false">MIN(G186,G186*CDR*MAX(0,MIN(5,'Loan Tape'!$AV182)-4))</f>
        <v>0</v>
      </c>
      <c r="H792" s="99" t="n">
        <f aca="false">MIN(H186,H186*CDR*MAX(0,MIN(6,'Loan Tape'!$AV182)-5))</f>
        <v>0</v>
      </c>
      <c r="I792" s="99" t="n">
        <f aca="false">MIN(I186,I186*CDR*MAX(0,MIN(7,'Loan Tape'!$AV182)-6))</f>
        <v>0</v>
      </c>
      <c r="J792" s="99" t="n">
        <f aca="false">MIN(J186,J186*CDR*MAX(0,MIN(8,'Loan Tape'!$AV182)-7))</f>
        <v>0</v>
      </c>
      <c r="K792" s="99" t="n">
        <f aca="false">MIN(K186,K186*CDR*MAX(0,MIN(9,'Loan Tape'!$AV182)-8))</f>
        <v>0</v>
      </c>
      <c r="L792" s="99" t="n">
        <f aca="false">MIN(L186,L186*CDR*MAX(0,MIN(10,'Loan Tape'!$AV182)-9))</f>
        <v>0</v>
      </c>
    </row>
    <row r="793" customFormat="false" ht="15" hidden="false" customHeight="false" outlineLevel="0" collapsed="false">
      <c r="B793" s="108" t="n">
        <f aca="false">'Loan Tape'!$A183</f>
        <v>0</v>
      </c>
      <c r="C793" s="71" t="n">
        <f aca="false">MIN(C187,C187*CDR*MAX(0,MIN(1,'Loan Tape'!$AV183)-0))</f>
        <v>0</v>
      </c>
      <c r="D793" s="71" t="n">
        <f aca="false">MIN(D187,D187*CDR*MAX(0,MIN(2,'Loan Tape'!$AV183)-1))</f>
        <v>0</v>
      </c>
      <c r="E793" s="71" t="n">
        <f aca="false">MIN(E187,E187*CDR*MAX(0,MIN(3,'Loan Tape'!$AV183)-2))</f>
        <v>0</v>
      </c>
      <c r="F793" s="71" t="n">
        <f aca="false">MIN(F187,F187*CDR*MAX(0,MIN(4,'Loan Tape'!$AV183)-3))</f>
        <v>0</v>
      </c>
      <c r="G793" s="71" t="n">
        <f aca="false">MIN(G187,G187*CDR*MAX(0,MIN(5,'Loan Tape'!$AV183)-4))</f>
        <v>0</v>
      </c>
      <c r="H793" s="71" t="n">
        <f aca="false">MIN(H187,H187*CDR*MAX(0,MIN(6,'Loan Tape'!$AV183)-5))</f>
        <v>0</v>
      </c>
      <c r="I793" s="71" t="n">
        <f aca="false">MIN(I187,I187*CDR*MAX(0,MIN(7,'Loan Tape'!$AV183)-6))</f>
        <v>0</v>
      </c>
      <c r="J793" s="71" t="n">
        <f aca="false">MIN(J187,J187*CDR*MAX(0,MIN(8,'Loan Tape'!$AV183)-7))</f>
        <v>0</v>
      </c>
      <c r="K793" s="71" t="n">
        <f aca="false">MIN(K187,K187*CDR*MAX(0,MIN(9,'Loan Tape'!$AV183)-8))</f>
        <v>0</v>
      </c>
      <c r="L793" s="71" t="n">
        <f aca="false">MIN(L187,L187*CDR*MAX(0,MIN(10,'Loan Tape'!$AV183)-9))</f>
        <v>0</v>
      </c>
    </row>
    <row r="794" customFormat="false" ht="15" hidden="false" customHeight="false" outlineLevel="0" collapsed="false">
      <c r="B794" s="102" t="n">
        <f aca="false">'Loan Tape'!$A184</f>
        <v>0</v>
      </c>
      <c r="C794" s="99" t="n">
        <f aca="false">MIN(C188,C188*CDR*MAX(0,MIN(1,'Loan Tape'!$AV184)-0))</f>
        <v>0</v>
      </c>
      <c r="D794" s="99" t="n">
        <f aca="false">MIN(D188,D188*CDR*MAX(0,MIN(2,'Loan Tape'!$AV184)-1))</f>
        <v>0</v>
      </c>
      <c r="E794" s="99" t="n">
        <f aca="false">MIN(E188,E188*CDR*MAX(0,MIN(3,'Loan Tape'!$AV184)-2))</f>
        <v>0</v>
      </c>
      <c r="F794" s="99" t="n">
        <f aca="false">MIN(F188,F188*CDR*MAX(0,MIN(4,'Loan Tape'!$AV184)-3))</f>
        <v>0</v>
      </c>
      <c r="G794" s="99" t="n">
        <f aca="false">MIN(G188,G188*CDR*MAX(0,MIN(5,'Loan Tape'!$AV184)-4))</f>
        <v>0</v>
      </c>
      <c r="H794" s="99" t="n">
        <f aca="false">MIN(H188,H188*CDR*MAX(0,MIN(6,'Loan Tape'!$AV184)-5))</f>
        <v>0</v>
      </c>
      <c r="I794" s="99" t="n">
        <f aca="false">MIN(I188,I188*CDR*MAX(0,MIN(7,'Loan Tape'!$AV184)-6))</f>
        <v>0</v>
      </c>
      <c r="J794" s="99" t="n">
        <f aca="false">MIN(J188,J188*CDR*MAX(0,MIN(8,'Loan Tape'!$AV184)-7))</f>
        <v>0</v>
      </c>
      <c r="K794" s="99" t="n">
        <f aca="false">MIN(K188,K188*CDR*MAX(0,MIN(9,'Loan Tape'!$AV184)-8))</f>
        <v>0</v>
      </c>
      <c r="L794" s="99" t="n">
        <f aca="false">MIN(L188,L188*CDR*MAX(0,MIN(10,'Loan Tape'!$AV184)-9))</f>
        <v>0</v>
      </c>
    </row>
    <row r="795" customFormat="false" ht="15" hidden="false" customHeight="false" outlineLevel="0" collapsed="false">
      <c r="B795" s="108" t="n">
        <f aca="false">'Loan Tape'!$A185</f>
        <v>0</v>
      </c>
      <c r="C795" s="71" t="n">
        <f aca="false">MIN(C189,C189*CDR*MAX(0,MIN(1,'Loan Tape'!$AV185)-0))</f>
        <v>0</v>
      </c>
      <c r="D795" s="71" t="n">
        <f aca="false">MIN(D189,D189*CDR*MAX(0,MIN(2,'Loan Tape'!$AV185)-1))</f>
        <v>0</v>
      </c>
      <c r="E795" s="71" t="n">
        <f aca="false">MIN(E189,E189*CDR*MAX(0,MIN(3,'Loan Tape'!$AV185)-2))</f>
        <v>0</v>
      </c>
      <c r="F795" s="71" t="n">
        <f aca="false">MIN(F189,F189*CDR*MAX(0,MIN(4,'Loan Tape'!$AV185)-3))</f>
        <v>0</v>
      </c>
      <c r="G795" s="71" t="n">
        <f aca="false">MIN(G189,G189*CDR*MAX(0,MIN(5,'Loan Tape'!$AV185)-4))</f>
        <v>0</v>
      </c>
      <c r="H795" s="71" t="n">
        <f aca="false">MIN(H189,H189*CDR*MAX(0,MIN(6,'Loan Tape'!$AV185)-5))</f>
        <v>0</v>
      </c>
      <c r="I795" s="71" t="n">
        <f aca="false">MIN(I189,I189*CDR*MAX(0,MIN(7,'Loan Tape'!$AV185)-6))</f>
        <v>0</v>
      </c>
      <c r="J795" s="71" t="n">
        <f aca="false">MIN(J189,J189*CDR*MAX(0,MIN(8,'Loan Tape'!$AV185)-7))</f>
        <v>0</v>
      </c>
      <c r="K795" s="71" t="n">
        <f aca="false">MIN(K189,K189*CDR*MAX(0,MIN(9,'Loan Tape'!$AV185)-8))</f>
        <v>0</v>
      </c>
      <c r="L795" s="71" t="n">
        <f aca="false">MIN(L189,L189*CDR*MAX(0,MIN(10,'Loan Tape'!$AV185)-9))</f>
        <v>0</v>
      </c>
    </row>
    <row r="796" customFormat="false" ht="15" hidden="false" customHeight="false" outlineLevel="0" collapsed="false">
      <c r="B796" s="102" t="n">
        <f aca="false">'Loan Tape'!$A186</f>
        <v>0</v>
      </c>
      <c r="C796" s="99" t="n">
        <f aca="false">MIN(C190,C190*CDR*MAX(0,MIN(1,'Loan Tape'!$AV186)-0))</f>
        <v>0</v>
      </c>
      <c r="D796" s="99" t="n">
        <f aca="false">MIN(D190,D190*CDR*MAX(0,MIN(2,'Loan Tape'!$AV186)-1))</f>
        <v>0</v>
      </c>
      <c r="E796" s="99" t="n">
        <f aca="false">MIN(E190,E190*CDR*MAX(0,MIN(3,'Loan Tape'!$AV186)-2))</f>
        <v>0</v>
      </c>
      <c r="F796" s="99" t="n">
        <f aca="false">MIN(F190,F190*CDR*MAX(0,MIN(4,'Loan Tape'!$AV186)-3))</f>
        <v>0</v>
      </c>
      <c r="G796" s="99" t="n">
        <f aca="false">MIN(G190,G190*CDR*MAX(0,MIN(5,'Loan Tape'!$AV186)-4))</f>
        <v>0</v>
      </c>
      <c r="H796" s="99" t="n">
        <f aca="false">MIN(H190,H190*CDR*MAX(0,MIN(6,'Loan Tape'!$AV186)-5))</f>
        <v>0</v>
      </c>
      <c r="I796" s="99" t="n">
        <f aca="false">MIN(I190,I190*CDR*MAX(0,MIN(7,'Loan Tape'!$AV186)-6))</f>
        <v>0</v>
      </c>
      <c r="J796" s="99" t="n">
        <f aca="false">MIN(J190,J190*CDR*MAX(0,MIN(8,'Loan Tape'!$AV186)-7))</f>
        <v>0</v>
      </c>
      <c r="K796" s="99" t="n">
        <f aca="false">MIN(K190,K190*CDR*MAX(0,MIN(9,'Loan Tape'!$AV186)-8))</f>
        <v>0</v>
      </c>
      <c r="L796" s="99" t="n">
        <f aca="false">MIN(L190,L190*CDR*MAX(0,MIN(10,'Loan Tape'!$AV186)-9))</f>
        <v>0</v>
      </c>
    </row>
    <row r="797" customFormat="false" ht="15" hidden="false" customHeight="false" outlineLevel="0" collapsed="false">
      <c r="B797" s="108" t="n">
        <f aca="false">'Loan Tape'!$A187</f>
        <v>0</v>
      </c>
      <c r="C797" s="71" t="n">
        <f aca="false">MIN(C191,C191*CDR*MAX(0,MIN(1,'Loan Tape'!$AV187)-0))</f>
        <v>0</v>
      </c>
      <c r="D797" s="71" t="n">
        <f aca="false">MIN(D191,D191*CDR*MAX(0,MIN(2,'Loan Tape'!$AV187)-1))</f>
        <v>0</v>
      </c>
      <c r="E797" s="71" t="n">
        <f aca="false">MIN(E191,E191*CDR*MAX(0,MIN(3,'Loan Tape'!$AV187)-2))</f>
        <v>0</v>
      </c>
      <c r="F797" s="71" t="n">
        <f aca="false">MIN(F191,F191*CDR*MAX(0,MIN(4,'Loan Tape'!$AV187)-3))</f>
        <v>0</v>
      </c>
      <c r="G797" s="71" t="n">
        <f aca="false">MIN(G191,G191*CDR*MAX(0,MIN(5,'Loan Tape'!$AV187)-4))</f>
        <v>0</v>
      </c>
      <c r="H797" s="71" t="n">
        <f aca="false">MIN(H191,H191*CDR*MAX(0,MIN(6,'Loan Tape'!$AV187)-5))</f>
        <v>0</v>
      </c>
      <c r="I797" s="71" t="n">
        <f aca="false">MIN(I191,I191*CDR*MAX(0,MIN(7,'Loan Tape'!$AV187)-6))</f>
        <v>0</v>
      </c>
      <c r="J797" s="71" t="n">
        <f aca="false">MIN(J191,J191*CDR*MAX(0,MIN(8,'Loan Tape'!$AV187)-7))</f>
        <v>0</v>
      </c>
      <c r="K797" s="71" t="n">
        <f aca="false">MIN(K191,K191*CDR*MAX(0,MIN(9,'Loan Tape'!$AV187)-8))</f>
        <v>0</v>
      </c>
      <c r="L797" s="71" t="n">
        <f aca="false">MIN(L191,L191*CDR*MAX(0,MIN(10,'Loan Tape'!$AV187)-9))</f>
        <v>0</v>
      </c>
    </row>
    <row r="798" customFormat="false" ht="15" hidden="false" customHeight="false" outlineLevel="0" collapsed="false">
      <c r="B798" s="102" t="n">
        <f aca="false">'Loan Tape'!$A188</f>
        <v>0</v>
      </c>
      <c r="C798" s="99" t="n">
        <f aca="false">MIN(C192,C192*CDR*MAX(0,MIN(1,'Loan Tape'!$AV188)-0))</f>
        <v>0</v>
      </c>
      <c r="D798" s="99" t="n">
        <f aca="false">MIN(D192,D192*CDR*MAX(0,MIN(2,'Loan Tape'!$AV188)-1))</f>
        <v>0</v>
      </c>
      <c r="E798" s="99" t="n">
        <f aca="false">MIN(E192,E192*CDR*MAX(0,MIN(3,'Loan Tape'!$AV188)-2))</f>
        <v>0</v>
      </c>
      <c r="F798" s="99" t="n">
        <f aca="false">MIN(F192,F192*CDR*MAX(0,MIN(4,'Loan Tape'!$AV188)-3))</f>
        <v>0</v>
      </c>
      <c r="G798" s="99" t="n">
        <f aca="false">MIN(G192,G192*CDR*MAX(0,MIN(5,'Loan Tape'!$AV188)-4))</f>
        <v>0</v>
      </c>
      <c r="H798" s="99" t="n">
        <f aca="false">MIN(H192,H192*CDR*MAX(0,MIN(6,'Loan Tape'!$AV188)-5))</f>
        <v>0</v>
      </c>
      <c r="I798" s="99" t="n">
        <f aca="false">MIN(I192,I192*CDR*MAX(0,MIN(7,'Loan Tape'!$AV188)-6))</f>
        <v>0</v>
      </c>
      <c r="J798" s="99" t="n">
        <f aca="false">MIN(J192,J192*CDR*MAX(0,MIN(8,'Loan Tape'!$AV188)-7))</f>
        <v>0</v>
      </c>
      <c r="K798" s="99" t="n">
        <f aca="false">MIN(K192,K192*CDR*MAX(0,MIN(9,'Loan Tape'!$AV188)-8))</f>
        <v>0</v>
      </c>
      <c r="L798" s="99" t="n">
        <f aca="false">MIN(L192,L192*CDR*MAX(0,MIN(10,'Loan Tape'!$AV188)-9))</f>
        <v>0</v>
      </c>
    </row>
    <row r="799" customFormat="false" ht="15" hidden="false" customHeight="false" outlineLevel="0" collapsed="false">
      <c r="B799" s="108" t="n">
        <f aca="false">'Loan Tape'!$A189</f>
        <v>0</v>
      </c>
      <c r="C799" s="71" t="n">
        <f aca="false">MIN(C193,C193*CDR*MAX(0,MIN(1,'Loan Tape'!$AV189)-0))</f>
        <v>0</v>
      </c>
      <c r="D799" s="71" t="n">
        <f aca="false">MIN(D193,D193*CDR*MAX(0,MIN(2,'Loan Tape'!$AV189)-1))</f>
        <v>0</v>
      </c>
      <c r="E799" s="71" t="n">
        <f aca="false">MIN(E193,E193*CDR*MAX(0,MIN(3,'Loan Tape'!$AV189)-2))</f>
        <v>0</v>
      </c>
      <c r="F799" s="71" t="n">
        <f aca="false">MIN(F193,F193*CDR*MAX(0,MIN(4,'Loan Tape'!$AV189)-3))</f>
        <v>0</v>
      </c>
      <c r="G799" s="71" t="n">
        <f aca="false">MIN(G193,G193*CDR*MAX(0,MIN(5,'Loan Tape'!$AV189)-4))</f>
        <v>0</v>
      </c>
      <c r="H799" s="71" t="n">
        <f aca="false">MIN(H193,H193*CDR*MAX(0,MIN(6,'Loan Tape'!$AV189)-5))</f>
        <v>0</v>
      </c>
      <c r="I799" s="71" t="n">
        <f aca="false">MIN(I193,I193*CDR*MAX(0,MIN(7,'Loan Tape'!$AV189)-6))</f>
        <v>0</v>
      </c>
      <c r="J799" s="71" t="n">
        <f aca="false">MIN(J193,J193*CDR*MAX(0,MIN(8,'Loan Tape'!$AV189)-7))</f>
        <v>0</v>
      </c>
      <c r="K799" s="71" t="n">
        <f aca="false">MIN(K193,K193*CDR*MAX(0,MIN(9,'Loan Tape'!$AV189)-8))</f>
        <v>0</v>
      </c>
      <c r="L799" s="71" t="n">
        <f aca="false">MIN(L193,L193*CDR*MAX(0,MIN(10,'Loan Tape'!$AV189)-9))</f>
        <v>0</v>
      </c>
    </row>
    <row r="800" customFormat="false" ht="15" hidden="false" customHeight="false" outlineLevel="0" collapsed="false">
      <c r="B800" s="102" t="n">
        <f aca="false">'Loan Tape'!$A190</f>
        <v>0</v>
      </c>
      <c r="C800" s="99" t="n">
        <f aca="false">MIN(C194,C194*CDR*MAX(0,MIN(1,'Loan Tape'!$AV190)-0))</f>
        <v>0</v>
      </c>
      <c r="D800" s="99" t="n">
        <f aca="false">MIN(D194,D194*CDR*MAX(0,MIN(2,'Loan Tape'!$AV190)-1))</f>
        <v>0</v>
      </c>
      <c r="E800" s="99" t="n">
        <f aca="false">MIN(E194,E194*CDR*MAX(0,MIN(3,'Loan Tape'!$AV190)-2))</f>
        <v>0</v>
      </c>
      <c r="F800" s="99" t="n">
        <f aca="false">MIN(F194,F194*CDR*MAX(0,MIN(4,'Loan Tape'!$AV190)-3))</f>
        <v>0</v>
      </c>
      <c r="G800" s="99" t="n">
        <f aca="false">MIN(G194,G194*CDR*MAX(0,MIN(5,'Loan Tape'!$AV190)-4))</f>
        <v>0</v>
      </c>
      <c r="H800" s="99" t="n">
        <f aca="false">MIN(H194,H194*CDR*MAX(0,MIN(6,'Loan Tape'!$AV190)-5))</f>
        <v>0</v>
      </c>
      <c r="I800" s="99" t="n">
        <f aca="false">MIN(I194,I194*CDR*MAX(0,MIN(7,'Loan Tape'!$AV190)-6))</f>
        <v>0</v>
      </c>
      <c r="J800" s="99" t="n">
        <f aca="false">MIN(J194,J194*CDR*MAX(0,MIN(8,'Loan Tape'!$AV190)-7))</f>
        <v>0</v>
      </c>
      <c r="K800" s="99" t="n">
        <f aca="false">MIN(K194,K194*CDR*MAX(0,MIN(9,'Loan Tape'!$AV190)-8))</f>
        <v>0</v>
      </c>
      <c r="L800" s="99" t="n">
        <f aca="false">MIN(L194,L194*CDR*MAX(0,MIN(10,'Loan Tape'!$AV190)-9))</f>
        <v>0</v>
      </c>
    </row>
    <row r="801" customFormat="false" ht="15" hidden="false" customHeight="false" outlineLevel="0" collapsed="false">
      <c r="B801" s="108" t="n">
        <f aca="false">'Loan Tape'!$A191</f>
        <v>0</v>
      </c>
      <c r="C801" s="71" t="n">
        <f aca="false">MIN(C195,C195*CDR*MAX(0,MIN(1,'Loan Tape'!$AV191)-0))</f>
        <v>0</v>
      </c>
      <c r="D801" s="71" t="n">
        <f aca="false">MIN(D195,D195*CDR*MAX(0,MIN(2,'Loan Tape'!$AV191)-1))</f>
        <v>0</v>
      </c>
      <c r="E801" s="71" t="n">
        <f aca="false">MIN(E195,E195*CDR*MAX(0,MIN(3,'Loan Tape'!$AV191)-2))</f>
        <v>0</v>
      </c>
      <c r="F801" s="71" t="n">
        <f aca="false">MIN(F195,F195*CDR*MAX(0,MIN(4,'Loan Tape'!$AV191)-3))</f>
        <v>0</v>
      </c>
      <c r="G801" s="71" t="n">
        <f aca="false">MIN(G195,G195*CDR*MAX(0,MIN(5,'Loan Tape'!$AV191)-4))</f>
        <v>0</v>
      </c>
      <c r="H801" s="71" t="n">
        <f aca="false">MIN(H195,H195*CDR*MAX(0,MIN(6,'Loan Tape'!$AV191)-5))</f>
        <v>0</v>
      </c>
      <c r="I801" s="71" t="n">
        <f aca="false">MIN(I195,I195*CDR*MAX(0,MIN(7,'Loan Tape'!$AV191)-6))</f>
        <v>0</v>
      </c>
      <c r="J801" s="71" t="n">
        <f aca="false">MIN(J195,J195*CDR*MAX(0,MIN(8,'Loan Tape'!$AV191)-7))</f>
        <v>0</v>
      </c>
      <c r="K801" s="71" t="n">
        <f aca="false">MIN(K195,K195*CDR*MAX(0,MIN(9,'Loan Tape'!$AV191)-8))</f>
        <v>0</v>
      </c>
      <c r="L801" s="71" t="n">
        <f aca="false">MIN(L195,L195*CDR*MAX(0,MIN(10,'Loan Tape'!$AV191)-9))</f>
        <v>0</v>
      </c>
    </row>
    <row r="802" customFormat="false" ht="15" hidden="false" customHeight="false" outlineLevel="0" collapsed="false">
      <c r="B802" s="102" t="n">
        <f aca="false">'Loan Tape'!$A192</f>
        <v>0</v>
      </c>
      <c r="C802" s="99" t="n">
        <f aca="false">MIN(C196,C196*CDR*MAX(0,MIN(1,'Loan Tape'!$AV192)-0))</f>
        <v>0</v>
      </c>
      <c r="D802" s="99" t="n">
        <f aca="false">MIN(D196,D196*CDR*MAX(0,MIN(2,'Loan Tape'!$AV192)-1))</f>
        <v>0</v>
      </c>
      <c r="E802" s="99" t="n">
        <f aca="false">MIN(E196,E196*CDR*MAX(0,MIN(3,'Loan Tape'!$AV192)-2))</f>
        <v>0</v>
      </c>
      <c r="F802" s="99" t="n">
        <f aca="false">MIN(F196,F196*CDR*MAX(0,MIN(4,'Loan Tape'!$AV192)-3))</f>
        <v>0</v>
      </c>
      <c r="G802" s="99" t="n">
        <f aca="false">MIN(G196,G196*CDR*MAX(0,MIN(5,'Loan Tape'!$AV192)-4))</f>
        <v>0</v>
      </c>
      <c r="H802" s="99" t="n">
        <f aca="false">MIN(H196,H196*CDR*MAX(0,MIN(6,'Loan Tape'!$AV192)-5))</f>
        <v>0</v>
      </c>
      <c r="I802" s="99" t="n">
        <f aca="false">MIN(I196,I196*CDR*MAX(0,MIN(7,'Loan Tape'!$AV192)-6))</f>
        <v>0</v>
      </c>
      <c r="J802" s="99" t="n">
        <f aca="false">MIN(J196,J196*CDR*MAX(0,MIN(8,'Loan Tape'!$AV192)-7))</f>
        <v>0</v>
      </c>
      <c r="K802" s="99" t="n">
        <f aca="false">MIN(K196,K196*CDR*MAX(0,MIN(9,'Loan Tape'!$AV192)-8))</f>
        <v>0</v>
      </c>
      <c r="L802" s="99" t="n">
        <f aca="false">MIN(L196,L196*CDR*MAX(0,MIN(10,'Loan Tape'!$AV192)-9))</f>
        <v>0</v>
      </c>
    </row>
    <row r="803" customFormat="false" ht="15" hidden="false" customHeight="false" outlineLevel="0" collapsed="false">
      <c r="B803" s="108" t="n">
        <f aca="false">'Loan Tape'!$A193</f>
        <v>0</v>
      </c>
      <c r="C803" s="71" t="n">
        <f aca="false">MIN(C197,C197*CDR*MAX(0,MIN(1,'Loan Tape'!$AV193)-0))</f>
        <v>0</v>
      </c>
      <c r="D803" s="71" t="n">
        <f aca="false">MIN(D197,D197*CDR*MAX(0,MIN(2,'Loan Tape'!$AV193)-1))</f>
        <v>0</v>
      </c>
      <c r="E803" s="71" t="n">
        <f aca="false">MIN(E197,E197*CDR*MAX(0,MIN(3,'Loan Tape'!$AV193)-2))</f>
        <v>0</v>
      </c>
      <c r="F803" s="71" t="n">
        <f aca="false">MIN(F197,F197*CDR*MAX(0,MIN(4,'Loan Tape'!$AV193)-3))</f>
        <v>0</v>
      </c>
      <c r="G803" s="71" t="n">
        <f aca="false">MIN(G197,G197*CDR*MAX(0,MIN(5,'Loan Tape'!$AV193)-4))</f>
        <v>0</v>
      </c>
      <c r="H803" s="71" t="n">
        <f aca="false">MIN(H197,H197*CDR*MAX(0,MIN(6,'Loan Tape'!$AV193)-5))</f>
        <v>0</v>
      </c>
      <c r="I803" s="71" t="n">
        <f aca="false">MIN(I197,I197*CDR*MAX(0,MIN(7,'Loan Tape'!$AV193)-6))</f>
        <v>0</v>
      </c>
      <c r="J803" s="71" t="n">
        <f aca="false">MIN(J197,J197*CDR*MAX(0,MIN(8,'Loan Tape'!$AV193)-7))</f>
        <v>0</v>
      </c>
      <c r="K803" s="71" t="n">
        <f aca="false">MIN(K197,K197*CDR*MAX(0,MIN(9,'Loan Tape'!$AV193)-8))</f>
        <v>0</v>
      </c>
      <c r="L803" s="71" t="n">
        <f aca="false">MIN(L197,L197*CDR*MAX(0,MIN(10,'Loan Tape'!$AV193)-9))</f>
        <v>0</v>
      </c>
    </row>
    <row r="804" customFormat="false" ht="15" hidden="false" customHeight="false" outlineLevel="0" collapsed="false">
      <c r="B804" s="102" t="n">
        <f aca="false">'Loan Tape'!$A194</f>
        <v>0</v>
      </c>
      <c r="C804" s="99" t="n">
        <f aca="false">MIN(C198,C198*CDR*MAX(0,MIN(1,'Loan Tape'!$AV194)-0))</f>
        <v>0</v>
      </c>
      <c r="D804" s="99" t="n">
        <f aca="false">MIN(D198,D198*CDR*MAX(0,MIN(2,'Loan Tape'!$AV194)-1))</f>
        <v>0</v>
      </c>
      <c r="E804" s="99" t="n">
        <f aca="false">MIN(E198,E198*CDR*MAX(0,MIN(3,'Loan Tape'!$AV194)-2))</f>
        <v>0</v>
      </c>
      <c r="F804" s="99" t="n">
        <f aca="false">MIN(F198,F198*CDR*MAX(0,MIN(4,'Loan Tape'!$AV194)-3))</f>
        <v>0</v>
      </c>
      <c r="G804" s="99" t="n">
        <f aca="false">MIN(G198,G198*CDR*MAX(0,MIN(5,'Loan Tape'!$AV194)-4))</f>
        <v>0</v>
      </c>
      <c r="H804" s="99" t="n">
        <f aca="false">MIN(H198,H198*CDR*MAX(0,MIN(6,'Loan Tape'!$AV194)-5))</f>
        <v>0</v>
      </c>
      <c r="I804" s="99" t="n">
        <f aca="false">MIN(I198,I198*CDR*MAX(0,MIN(7,'Loan Tape'!$AV194)-6))</f>
        <v>0</v>
      </c>
      <c r="J804" s="99" t="n">
        <f aca="false">MIN(J198,J198*CDR*MAX(0,MIN(8,'Loan Tape'!$AV194)-7))</f>
        <v>0</v>
      </c>
      <c r="K804" s="99" t="n">
        <f aca="false">MIN(K198,K198*CDR*MAX(0,MIN(9,'Loan Tape'!$AV194)-8))</f>
        <v>0</v>
      </c>
      <c r="L804" s="99" t="n">
        <f aca="false">MIN(L198,L198*CDR*MAX(0,MIN(10,'Loan Tape'!$AV194)-9))</f>
        <v>0</v>
      </c>
    </row>
    <row r="805" customFormat="false" ht="15" hidden="false" customHeight="false" outlineLevel="0" collapsed="false">
      <c r="B805" s="108" t="n">
        <f aca="false">'Loan Tape'!$A195</f>
        <v>0</v>
      </c>
      <c r="C805" s="71" t="n">
        <f aca="false">MIN(C199,C199*CDR*MAX(0,MIN(1,'Loan Tape'!$AV195)-0))</f>
        <v>0</v>
      </c>
      <c r="D805" s="71" t="n">
        <f aca="false">MIN(D199,D199*CDR*MAX(0,MIN(2,'Loan Tape'!$AV195)-1))</f>
        <v>0</v>
      </c>
      <c r="E805" s="71" t="n">
        <f aca="false">MIN(E199,E199*CDR*MAX(0,MIN(3,'Loan Tape'!$AV195)-2))</f>
        <v>0</v>
      </c>
      <c r="F805" s="71" t="n">
        <f aca="false">MIN(F199,F199*CDR*MAX(0,MIN(4,'Loan Tape'!$AV195)-3))</f>
        <v>0</v>
      </c>
      <c r="G805" s="71" t="n">
        <f aca="false">MIN(G199,G199*CDR*MAX(0,MIN(5,'Loan Tape'!$AV195)-4))</f>
        <v>0</v>
      </c>
      <c r="H805" s="71" t="n">
        <f aca="false">MIN(H199,H199*CDR*MAX(0,MIN(6,'Loan Tape'!$AV195)-5))</f>
        <v>0</v>
      </c>
      <c r="I805" s="71" t="n">
        <f aca="false">MIN(I199,I199*CDR*MAX(0,MIN(7,'Loan Tape'!$AV195)-6))</f>
        <v>0</v>
      </c>
      <c r="J805" s="71" t="n">
        <f aca="false">MIN(J199,J199*CDR*MAX(0,MIN(8,'Loan Tape'!$AV195)-7))</f>
        <v>0</v>
      </c>
      <c r="K805" s="71" t="n">
        <f aca="false">MIN(K199,K199*CDR*MAX(0,MIN(9,'Loan Tape'!$AV195)-8))</f>
        <v>0</v>
      </c>
      <c r="L805" s="71" t="n">
        <f aca="false">MIN(L199,L199*CDR*MAX(0,MIN(10,'Loan Tape'!$AV195)-9))</f>
        <v>0</v>
      </c>
    </row>
    <row r="806" customFormat="false" ht="15" hidden="false" customHeight="false" outlineLevel="0" collapsed="false">
      <c r="B806" s="102" t="n">
        <f aca="false">'Loan Tape'!$A196</f>
        <v>0</v>
      </c>
      <c r="C806" s="99" t="n">
        <f aca="false">MIN(C200,C200*CDR*MAX(0,MIN(1,'Loan Tape'!$AV196)-0))</f>
        <v>0</v>
      </c>
      <c r="D806" s="99" t="n">
        <f aca="false">MIN(D200,D200*CDR*MAX(0,MIN(2,'Loan Tape'!$AV196)-1))</f>
        <v>0</v>
      </c>
      <c r="E806" s="99" t="n">
        <f aca="false">MIN(E200,E200*CDR*MAX(0,MIN(3,'Loan Tape'!$AV196)-2))</f>
        <v>0</v>
      </c>
      <c r="F806" s="99" t="n">
        <f aca="false">MIN(F200,F200*CDR*MAX(0,MIN(4,'Loan Tape'!$AV196)-3))</f>
        <v>0</v>
      </c>
      <c r="G806" s="99" t="n">
        <f aca="false">MIN(G200,G200*CDR*MAX(0,MIN(5,'Loan Tape'!$AV196)-4))</f>
        <v>0</v>
      </c>
      <c r="H806" s="99" t="n">
        <f aca="false">MIN(H200,H200*CDR*MAX(0,MIN(6,'Loan Tape'!$AV196)-5))</f>
        <v>0</v>
      </c>
      <c r="I806" s="99" t="n">
        <f aca="false">MIN(I200,I200*CDR*MAX(0,MIN(7,'Loan Tape'!$AV196)-6))</f>
        <v>0</v>
      </c>
      <c r="J806" s="99" t="n">
        <f aca="false">MIN(J200,J200*CDR*MAX(0,MIN(8,'Loan Tape'!$AV196)-7))</f>
        <v>0</v>
      </c>
      <c r="K806" s="99" t="n">
        <f aca="false">MIN(K200,K200*CDR*MAX(0,MIN(9,'Loan Tape'!$AV196)-8))</f>
        <v>0</v>
      </c>
      <c r="L806" s="99" t="n">
        <f aca="false">MIN(L200,L200*CDR*MAX(0,MIN(10,'Loan Tape'!$AV196)-9))</f>
        <v>0</v>
      </c>
    </row>
    <row r="807" customFormat="false" ht="15" hidden="false" customHeight="false" outlineLevel="0" collapsed="false">
      <c r="B807" s="108" t="n">
        <f aca="false">'Loan Tape'!$A197</f>
        <v>0</v>
      </c>
      <c r="C807" s="71" t="n">
        <f aca="false">MIN(C201,C201*CDR*MAX(0,MIN(1,'Loan Tape'!$AV197)-0))</f>
        <v>0</v>
      </c>
      <c r="D807" s="71" t="n">
        <f aca="false">MIN(D201,D201*CDR*MAX(0,MIN(2,'Loan Tape'!$AV197)-1))</f>
        <v>0</v>
      </c>
      <c r="E807" s="71" t="n">
        <f aca="false">MIN(E201,E201*CDR*MAX(0,MIN(3,'Loan Tape'!$AV197)-2))</f>
        <v>0</v>
      </c>
      <c r="F807" s="71" t="n">
        <f aca="false">MIN(F201,F201*CDR*MAX(0,MIN(4,'Loan Tape'!$AV197)-3))</f>
        <v>0</v>
      </c>
      <c r="G807" s="71" t="n">
        <f aca="false">MIN(G201,G201*CDR*MAX(0,MIN(5,'Loan Tape'!$AV197)-4))</f>
        <v>0</v>
      </c>
      <c r="H807" s="71" t="n">
        <f aca="false">MIN(H201,H201*CDR*MAX(0,MIN(6,'Loan Tape'!$AV197)-5))</f>
        <v>0</v>
      </c>
      <c r="I807" s="71" t="n">
        <f aca="false">MIN(I201,I201*CDR*MAX(0,MIN(7,'Loan Tape'!$AV197)-6))</f>
        <v>0</v>
      </c>
      <c r="J807" s="71" t="n">
        <f aca="false">MIN(J201,J201*CDR*MAX(0,MIN(8,'Loan Tape'!$AV197)-7))</f>
        <v>0</v>
      </c>
      <c r="K807" s="71" t="n">
        <f aca="false">MIN(K201,K201*CDR*MAX(0,MIN(9,'Loan Tape'!$AV197)-8))</f>
        <v>0</v>
      </c>
      <c r="L807" s="71" t="n">
        <f aca="false">MIN(L201,L201*CDR*MAX(0,MIN(10,'Loan Tape'!$AV197)-9))</f>
        <v>0</v>
      </c>
    </row>
    <row r="808" customFormat="false" ht="15" hidden="false" customHeight="false" outlineLevel="0" collapsed="false">
      <c r="B808" s="102" t="n">
        <f aca="false">'Loan Tape'!$A198</f>
        <v>0</v>
      </c>
      <c r="C808" s="99" t="n">
        <f aca="false">MIN(C202,C202*CDR*MAX(0,MIN(1,'Loan Tape'!$AV198)-0))</f>
        <v>0</v>
      </c>
      <c r="D808" s="99" t="n">
        <f aca="false">MIN(D202,D202*CDR*MAX(0,MIN(2,'Loan Tape'!$AV198)-1))</f>
        <v>0</v>
      </c>
      <c r="E808" s="99" t="n">
        <f aca="false">MIN(E202,E202*CDR*MAX(0,MIN(3,'Loan Tape'!$AV198)-2))</f>
        <v>0</v>
      </c>
      <c r="F808" s="99" t="n">
        <f aca="false">MIN(F202,F202*CDR*MAX(0,MIN(4,'Loan Tape'!$AV198)-3))</f>
        <v>0</v>
      </c>
      <c r="G808" s="99" t="n">
        <f aca="false">MIN(G202,G202*CDR*MAX(0,MIN(5,'Loan Tape'!$AV198)-4))</f>
        <v>0</v>
      </c>
      <c r="H808" s="99" t="n">
        <f aca="false">MIN(H202,H202*CDR*MAX(0,MIN(6,'Loan Tape'!$AV198)-5))</f>
        <v>0</v>
      </c>
      <c r="I808" s="99" t="n">
        <f aca="false">MIN(I202,I202*CDR*MAX(0,MIN(7,'Loan Tape'!$AV198)-6))</f>
        <v>0</v>
      </c>
      <c r="J808" s="99" t="n">
        <f aca="false">MIN(J202,J202*CDR*MAX(0,MIN(8,'Loan Tape'!$AV198)-7))</f>
        <v>0</v>
      </c>
      <c r="K808" s="99" t="n">
        <f aca="false">MIN(K202,K202*CDR*MAX(0,MIN(9,'Loan Tape'!$AV198)-8))</f>
        <v>0</v>
      </c>
      <c r="L808" s="99" t="n">
        <f aca="false">MIN(L202,L202*CDR*MAX(0,MIN(10,'Loan Tape'!$AV198)-9))</f>
        <v>0</v>
      </c>
    </row>
    <row r="809" customFormat="false" ht="15" hidden="false" customHeight="false" outlineLevel="0" collapsed="false">
      <c r="B809" s="108" t="n">
        <f aca="false">'Loan Tape'!$A199</f>
        <v>0</v>
      </c>
      <c r="C809" s="71" t="n">
        <f aca="false">MIN(C203,C203*CDR*MAX(0,MIN(1,'Loan Tape'!$AV199)-0))</f>
        <v>0</v>
      </c>
      <c r="D809" s="71" t="n">
        <f aca="false">MIN(D203,D203*CDR*MAX(0,MIN(2,'Loan Tape'!$AV199)-1))</f>
        <v>0</v>
      </c>
      <c r="E809" s="71" t="n">
        <f aca="false">MIN(E203,E203*CDR*MAX(0,MIN(3,'Loan Tape'!$AV199)-2))</f>
        <v>0</v>
      </c>
      <c r="F809" s="71" t="n">
        <f aca="false">MIN(F203,F203*CDR*MAX(0,MIN(4,'Loan Tape'!$AV199)-3))</f>
        <v>0</v>
      </c>
      <c r="G809" s="71" t="n">
        <f aca="false">MIN(G203,G203*CDR*MAX(0,MIN(5,'Loan Tape'!$AV199)-4))</f>
        <v>0</v>
      </c>
      <c r="H809" s="71" t="n">
        <f aca="false">MIN(H203,H203*CDR*MAX(0,MIN(6,'Loan Tape'!$AV199)-5))</f>
        <v>0</v>
      </c>
      <c r="I809" s="71" t="n">
        <f aca="false">MIN(I203,I203*CDR*MAX(0,MIN(7,'Loan Tape'!$AV199)-6))</f>
        <v>0</v>
      </c>
      <c r="J809" s="71" t="n">
        <f aca="false">MIN(J203,J203*CDR*MAX(0,MIN(8,'Loan Tape'!$AV199)-7))</f>
        <v>0</v>
      </c>
      <c r="K809" s="71" t="n">
        <f aca="false">MIN(K203,K203*CDR*MAX(0,MIN(9,'Loan Tape'!$AV199)-8))</f>
        <v>0</v>
      </c>
      <c r="L809" s="71" t="n">
        <f aca="false">MIN(L203,L203*CDR*MAX(0,MIN(10,'Loan Tape'!$AV199)-9))</f>
        <v>0</v>
      </c>
    </row>
    <row r="810" customFormat="false" ht="15" hidden="false" customHeight="false" outlineLevel="0" collapsed="false">
      <c r="B810" s="102" t="n">
        <f aca="false">'Loan Tape'!$A200</f>
        <v>0</v>
      </c>
      <c r="C810" s="99" t="n">
        <f aca="false">MIN(C204,C204*CDR*MAX(0,MIN(1,'Loan Tape'!$AV200)-0))</f>
        <v>0</v>
      </c>
      <c r="D810" s="99" t="n">
        <f aca="false">MIN(D204,D204*CDR*MAX(0,MIN(2,'Loan Tape'!$AV200)-1))</f>
        <v>0</v>
      </c>
      <c r="E810" s="99" t="n">
        <f aca="false">MIN(E204,E204*CDR*MAX(0,MIN(3,'Loan Tape'!$AV200)-2))</f>
        <v>0</v>
      </c>
      <c r="F810" s="99" t="n">
        <f aca="false">MIN(F204,F204*CDR*MAX(0,MIN(4,'Loan Tape'!$AV200)-3))</f>
        <v>0</v>
      </c>
      <c r="G810" s="99" t="n">
        <f aca="false">MIN(G204,G204*CDR*MAX(0,MIN(5,'Loan Tape'!$AV200)-4))</f>
        <v>0</v>
      </c>
      <c r="H810" s="99" t="n">
        <f aca="false">MIN(H204,H204*CDR*MAX(0,MIN(6,'Loan Tape'!$AV200)-5))</f>
        <v>0</v>
      </c>
      <c r="I810" s="99" t="n">
        <f aca="false">MIN(I204,I204*CDR*MAX(0,MIN(7,'Loan Tape'!$AV200)-6))</f>
        <v>0</v>
      </c>
      <c r="J810" s="99" t="n">
        <f aca="false">MIN(J204,J204*CDR*MAX(0,MIN(8,'Loan Tape'!$AV200)-7))</f>
        <v>0</v>
      </c>
      <c r="K810" s="99" t="n">
        <f aca="false">MIN(K204,K204*CDR*MAX(0,MIN(9,'Loan Tape'!$AV200)-8))</f>
        <v>0</v>
      </c>
      <c r="L810" s="99" t="n">
        <f aca="false">MIN(L204,L204*CDR*MAX(0,MIN(10,'Loan Tape'!$AV200)-9))</f>
        <v>0</v>
      </c>
    </row>
    <row r="811" customFormat="false" ht="15" hidden="false" customHeight="false" outlineLevel="0" collapsed="false">
      <c r="B811" s="108" t="n">
        <f aca="false">'Loan Tape'!$A201</f>
        <v>0</v>
      </c>
      <c r="C811" s="71" t="n">
        <f aca="false">MIN(C205,C205*CDR*MAX(0,MIN(1,'Loan Tape'!$AV201)-0))</f>
        <v>0</v>
      </c>
      <c r="D811" s="71" t="n">
        <f aca="false">MIN(D205,D205*CDR*MAX(0,MIN(2,'Loan Tape'!$AV201)-1))</f>
        <v>0</v>
      </c>
      <c r="E811" s="71" t="n">
        <f aca="false">MIN(E205,E205*CDR*MAX(0,MIN(3,'Loan Tape'!$AV201)-2))</f>
        <v>0</v>
      </c>
      <c r="F811" s="71" t="n">
        <f aca="false">MIN(F205,F205*CDR*MAX(0,MIN(4,'Loan Tape'!$AV201)-3))</f>
        <v>0</v>
      </c>
      <c r="G811" s="71" t="n">
        <f aca="false">MIN(G205,G205*CDR*MAX(0,MIN(5,'Loan Tape'!$AV201)-4))</f>
        <v>0</v>
      </c>
      <c r="H811" s="71" t="n">
        <f aca="false">MIN(H205,H205*CDR*MAX(0,MIN(6,'Loan Tape'!$AV201)-5))</f>
        <v>0</v>
      </c>
      <c r="I811" s="71" t="n">
        <f aca="false">MIN(I205,I205*CDR*MAX(0,MIN(7,'Loan Tape'!$AV201)-6))</f>
        <v>0</v>
      </c>
      <c r="J811" s="71" t="n">
        <f aca="false">MIN(J205,J205*CDR*MAX(0,MIN(8,'Loan Tape'!$AV201)-7))</f>
        <v>0</v>
      </c>
      <c r="K811" s="71" t="n">
        <f aca="false">MIN(K205,K205*CDR*MAX(0,MIN(9,'Loan Tape'!$AV201)-8))</f>
        <v>0</v>
      </c>
      <c r="L811" s="71" t="n">
        <f aca="false">MIN(L205,L205*CDR*MAX(0,MIN(10,'Loan Tape'!$AV201)-9))</f>
        <v>0</v>
      </c>
    </row>
    <row r="812" customFormat="false" ht="15" hidden="false" customHeight="false" outlineLevel="0" collapsed="false">
      <c r="B812" s="102" t="n">
        <f aca="false">'Loan Tape'!$A202</f>
        <v>0</v>
      </c>
      <c r="C812" s="99" t="n">
        <f aca="false">MIN(C206,C206*CDR*MAX(0,MIN(1,'Loan Tape'!$AV202)-0))</f>
        <v>0</v>
      </c>
      <c r="D812" s="99" t="n">
        <f aca="false">MIN(D206,D206*CDR*MAX(0,MIN(2,'Loan Tape'!$AV202)-1))</f>
        <v>0</v>
      </c>
      <c r="E812" s="99" t="n">
        <f aca="false">MIN(E206,E206*CDR*MAX(0,MIN(3,'Loan Tape'!$AV202)-2))</f>
        <v>0</v>
      </c>
      <c r="F812" s="99" t="n">
        <f aca="false">MIN(F206,F206*CDR*MAX(0,MIN(4,'Loan Tape'!$AV202)-3))</f>
        <v>0</v>
      </c>
      <c r="G812" s="99" t="n">
        <f aca="false">MIN(G206,G206*CDR*MAX(0,MIN(5,'Loan Tape'!$AV202)-4))</f>
        <v>0</v>
      </c>
      <c r="H812" s="99" t="n">
        <f aca="false">MIN(H206,H206*CDR*MAX(0,MIN(6,'Loan Tape'!$AV202)-5))</f>
        <v>0</v>
      </c>
      <c r="I812" s="99" t="n">
        <f aca="false">MIN(I206,I206*CDR*MAX(0,MIN(7,'Loan Tape'!$AV202)-6))</f>
        <v>0</v>
      </c>
      <c r="J812" s="99" t="n">
        <f aca="false">MIN(J206,J206*CDR*MAX(0,MIN(8,'Loan Tape'!$AV202)-7))</f>
        <v>0</v>
      </c>
      <c r="K812" s="99" t="n">
        <f aca="false">MIN(K206,K206*CDR*MAX(0,MIN(9,'Loan Tape'!$AV202)-8))</f>
        <v>0</v>
      </c>
      <c r="L812" s="99" t="n">
        <f aca="false">MIN(L206,L206*CDR*MAX(0,MIN(10,'Loan Tape'!$AV202)-9))</f>
        <v>0</v>
      </c>
    </row>
    <row r="813" customFormat="false" ht="15" hidden="false" customHeight="false" outlineLevel="0" collapsed="false">
      <c r="B813" s="108" t="n">
        <f aca="false">'Loan Tape'!$A203</f>
        <v>0</v>
      </c>
      <c r="C813" s="71" t="n">
        <f aca="false">MIN(C207,C207*CDR*MAX(0,MIN(1,'Loan Tape'!$AV203)-0))</f>
        <v>0</v>
      </c>
      <c r="D813" s="71" t="n">
        <f aca="false">MIN(D207,D207*CDR*MAX(0,MIN(2,'Loan Tape'!$AV203)-1))</f>
        <v>0</v>
      </c>
      <c r="E813" s="71" t="n">
        <f aca="false">MIN(E207,E207*CDR*MAX(0,MIN(3,'Loan Tape'!$AV203)-2))</f>
        <v>0</v>
      </c>
      <c r="F813" s="71" t="n">
        <f aca="false">MIN(F207,F207*CDR*MAX(0,MIN(4,'Loan Tape'!$AV203)-3))</f>
        <v>0</v>
      </c>
      <c r="G813" s="71" t="n">
        <f aca="false">MIN(G207,G207*CDR*MAX(0,MIN(5,'Loan Tape'!$AV203)-4))</f>
        <v>0</v>
      </c>
      <c r="H813" s="71" t="n">
        <f aca="false">MIN(H207,H207*CDR*MAX(0,MIN(6,'Loan Tape'!$AV203)-5))</f>
        <v>0</v>
      </c>
      <c r="I813" s="71" t="n">
        <f aca="false">MIN(I207,I207*CDR*MAX(0,MIN(7,'Loan Tape'!$AV203)-6))</f>
        <v>0</v>
      </c>
      <c r="J813" s="71" t="n">
        <f aca="false">MIN(J207,J207*CDR*MAX(0,MIN(8,'Loan Tape'!$AV203)-7))</f>
        <v>0</v>
      </c>
      <c r="K813" s="71" t="n">
        <f aca="false">MIN(K207,K207*CDR*MAX(0,MIN(9,'Loan Tape'!$AV203)-8))</f>
        <v>0</v>
      </c>
      <c r="L813" s="71" t="n">
        <f aca="false">MIN(L207,L207*CDR*MAX(0,MIN(10,'Loan Tape'!$AV203)-9))</f>
        <v>0</v>
      </c>
    </row>
    <row r="814" customFormat="false" ht="15" hidden="false" customHeight="false" outlineLevel="0" collapsed="false">
      <c r="B814" s="102" t="n">
        <f aca="false">'Loan Tape'!$A204</f>
        <v>0</v>
      </c>
      <c r="C814" s="99" t="n">
        <f aca="false">MIN(C208,C208*CDR*MAX(0,MIN(1,'Loan Tape'!$AV204)-0))</f>
        <v>0</v>
      </c>
      <c r="D814" s="99" t="n">
        <f aca="false">MIN(D208,D208*CDR*MAX(0,MIN(2,'Loan Tape'!$AV204)-1))</f>
        <v>0</v>
      </c>
      <c r="E814" s="99" t="n">
        <f aca="false">MIN(E208,E208*CDR*MAX(0,MIN(3,'Loan Tape'!$AV204)-2))</f>
        <v>0</v>
      </c>
      <c r="F814" s="99" t="n">
        <f aca="false">MIN(F208,F208*CDR*MAX(0,MIN(4,'Loan Tape'!$AV204)-3))</f>
        <v>0</v>
      </c>
      <c r="G814" s="99" t="n">
        <f aca="false">MIN(G208,G208*CDR*MAX(0,MIN(5,'Loan Tape'!$AV204)-4))</f>
        <v>0</v>
      </c>
      <c r="H814" s="99" t="n">
        <f aca="false">MIN(H208,H208*CDR*MAX(0,MIN(6,'Loan Tape'!$AV204)-5))</f>
        <v>0</v>
      </c>
      <c r="I814" s="99" t="n">
        <f aca="false">MIN(I208,I208*CDR*MAX(0,MIN(7,'Loan Tape'!$AV204)-6))</f>
        <v>0</v>
      </c>
      <c r="J814" s="99" t="n">
        <f aca="false">MIN(J208,J208*CDR*MAX(0,MIN(8,'Loan Tape'!$AV204)-7))</f>
        <v>0</v>
      </c>
      <c r="K814" s="99" t="n">
        <f aca="false">MIN(K208,K208*CDR*MAX(0,MIN(9,'Loan Tape'!$AV204)-8))</f>
        <v>0</v>
      </c>
      <c r="L814" s="99" t="n">
        <f aca="false">MIN(L208,L208*CDR*MAX(0,MIN(10,'Loan Tape'!$AV204)-9))</f>
        <v>0</v>
      </c>
    </row>
    <row r="815" customFormat="false" ht="15" hidden="false" customHeight="false" outlineLevel="0" collapsed="false">
      <c r="B815" s="108" t="n">
        <f aca="false">'Loan Tape'!$A205</f>
        <v>0</v>
      </c>
      <c r="C815" s="71" t="n">
        <f aca="false">MIN(C209,C209*CDR*MAX(0,MIN(1,'Loan Tape'!$AV205)-0))</f>
        <v>0</v>
      </c>
      <c r="D815" s="71" t="n">
        <f aca="false">MIN(D209,D209*CDR*MAX(0,MIN(2,'Loan Tape'!$AV205)-1))</f>
        <v>0</v>
      </c>
      <c r="E815" s="71" t="n">
        <f aca="false">MIN(E209,E209*CDR*MAX(0,MIN(3,'Loan Tape'!$AV205)-2))</f>
        <v>0</v>
      </c>
      <c r="F815" s="71" t="n">
        <f aca="false">MIN(F209,F209*CDR*MAX(0,MIN(4,'Loan Tape'!$AV205)-3))</f>
        <v>0</v>
      </c>
      <c r="G815" s="71" t="n">
        <f aca="false">MIN(G209,G209*CDR*MAX(0,MIN(5,'Loan Tape'!$AV205)-4))</f>
        <v>0</v>
      </c>
      <c r="H815" s="71" t="n">
        <f aca="false">MIN(H209,H209*CDR*MAX(0,MIN(6,'Loan Tape'!$AV205)-5))</f>
        <v>0</v>
      </c>
      <c r="I815" s="71" t="n">
        <f aca="false">MIN(I209,I209*CDR*MAX(0,MIN(7,'Loan Tape'!$AV205)-6))</f>
        <v>0</v>
      </c>
      <c r="J815" s="71" t="n">
        <f aca="false">MIN(J209,J209*CDR*MAX(0,MIN(8,'Loan Tape'!$AV205)-7))</f>
        <v>0</v>
      </c>
      <c r="K815" s="71" t="n">
        <f aca="false">MIN(K209,K209*CDR*MAX(0,MIN(9,'Loan Tape'!$AV205)-8))</f>
        <v>0</v>
      </c>
      <c r="L815" s="71" t="n">
        <f aca="false">MIN(L209,L209*CDR*MAX(0,MIN(10,'Loan Tape'!$AV205)-9))</f>
        <v>0</v>
      </c>
    </row>
    <row r="816" customFormat="false" ht="15" hidden="false" customHeight="false" outlineLevel="0" collapsed="false">
      <c r="B816" s="102" t="n">
        <f aca="false">'Loan Tape'!$A206</f>
        <v>0</v>
      </c>
      <c r="C816" s="99" t="n">
        <f aca="false">MIN(C210,C210*CDR*MAX(0,MIN(1,'Loan Tape'!$AV206)-0))</f>
        <v>0</v>
      </c>
      <c r="D816" s="99" t="n">
        <f aca="false">MIN(D210,D210*CDR*MAX(0,MIN(2,'Loan Tape'!$AV206)-1))</f>
        <v>0</v>
      </c>
      <c r="E816" s="99" t="n">
        <f aca="false">MIN(E210,E210*CDR*MAX(0,MIN(3,'Loan Tape'!$AV206)-2))</f>
        <v>0</v>
      </c>
      <c r="F816" s="99" t="n">
        <f aca="false">MIN(F210,F210*CDR*MAX(0,MIN(4,'Loan Tape'!$AV206)-3))</f>
        <v>0</v>
      </c>
      <c r="G816" s="99" t="n">
        <f aca="false">MIN(G210,G210*CDR*MAX(0,MIN(5,'Loan Tape'!$AV206)-4))</f>
        <v>0</v>
      </c>
      <c r="H816" s="99" t="n">
        <f aca="false">MIN(H210,H210*CDR*MAX(0,MIN(6,'Loan Tape'!$AV206)-5))</f>
        <v>0</v>
      </c>
      <c r="I816" s="99" t="n">
        <f aca="false">MIN(I210,I210*CDR*MAX(0,MIN(7,'Loan Tape'!$AV206)-6))</f>
        <v>0</v>
      </c>
      <c r="J816" s="99" t="n">
        <f aca="false">MIN(J210,J210*CDR*MAX(0,MIN(8,'Loan Tape'!$AV206)-7))</f>
        <v>0</v>
      </c>
      <c r="K816" s="99" t="n">
        <f aca="false">MIN(K210,K210*CDR*MAX(0,MIN(9,'Loan Tape'!$AV206)-8))</f>
        <v>0</v>
      </c>
      <c r="L816" s="99" t="n">
        <f aca="false">MIN(L210,L210*CDR*MAX(0,MIN(10,'Loan Tape'!$AV206)-9))</f>
        <v>0</v>
      </c>
    </row>
    <row r="817" customFormat="false" ht="15" hidden="false" customHeight="false" outlineLevel="0" collapsed="false">
      <c r="B817" s="108" t="n">
        <f aca="false">'Loan Tape'!$A207</f>
        <v>0</v>
      </c>
      <c r="C817" s="71" t="n">
        <f aca="false">MIN(C211,C211*CDR*MAX(0,MIN(1,'Loan Tape'!$AV207)-0))</f>
        <v>0</v>
      </c>
      <c r="D817" s="71" t="n">
        <f aca="false">MIN(D211,D211*CDR*MAX(0,MIN(2,'Loan Tape'!$AV207)-1))</f>
        <v>0</v>
      </c>
      <c r="E817" s="71" t="n">
        <f aca="false">MIN(E211,E211*CDR*MAX(0,MIN(3,'Loan Tape'!$AV207)-2))</f>
        <v>0</v>
      </c>
      <c r="F817" s="71" t="n">
        <f aca="false">MIN(F211,F211*CDR*MAX(0,MIN(4,'Loan Tape'!$AV207)-3))</f>
        <v>0</v>
      </c>
      <c r="G817" s="71" t="n">
        <f aca="false">MIN(G211,G211*CDR*MAX(0,MIN(5,'Loan Tape'!$AV207)-4))</f>
        <v>0</v>
      </c>
      <c r="H817" s="71" t="n">
        <f aca="false">MIN(H211,H211*CDR*MAX(0,MIN(6,'Loan Tape'!$AV207)-5))</f>
        <v>0</v>
      </c>
      <c r="I817" s="71" t="n">
        <f aca="false">MIN(I211,I211*CDR*MAX(0,MIN(7,'Loan Tape'!$AV207)-6))</f>
        <v>0</v>
      </c>
      <c r="J817" s="71" t="n">
        <f aca="false">MIN(J211,J211*CDR*MAX(0,MIN(8,'Loan Tape'!$AV207)-7))</f>
        <v>0</v>
      </c>
      <c r="K817" s="71" t="n">
        <f aca="false">MIN(K211,K211*CDR*MAX(0,MIN(9,'Loan Tape'!$AV207)-8))</f>
        <v>0</v>
      </c>
      <c r="L817" s="71" t="n">
        <f aca="false">MIN(L211,L211*CDR*MAX(0,MIN(10,'Loan Tape'!$AV207)-9))</f>
        <v>0</v>
      </c>
    </row>
    <row r="818" customFormat="false" ht="15" hidden="false" customHeight="false" outlineLevel="0" collapsed="false">
      <c r="B818" s="102" t="n">
        <f aca="false">'Loan Tape'!$A208</f>
        <v>0</v>
      </c>
      <c r="C818" s="99" t="n">
        <f aca="false">MIN(C212,C212*CDR*MAX(0,MIN(1,'Loan Tape'!$AV208)-0))</f>
        <v>0</v>
      </c>
      <c r="D818" s="99" t="n">
        <f aca="false">MIN(D212,D212*CDR*MAX(0,MIN(2,'Loan Tape'!$AV208)-1))</f>
        <v>0</v>
      </c>
      <c r="E818" s="99" t="n">
        <f aca="false">MIN(E212,E212*CDR*MAX(0,MIN(3,'Loan Tape'!$AV208)-2))</f>
        <v>0</v>
      </c>
      <c r="F818" s="99" t="n">
        <f aca="false">MIN(F212,F212*CDR*MAX(0,MIN(4,'Loan Tape'!$AV208)-3))</f>
        <v>0</v>
      </c>
      <c r="G818" s="99" t="n">
        <f aca="false">MIN(G212,G212*CDR*MAX(0,MIN(5,'Loan Tape'!$AV208)-4))</f>
        <v>0</v>
      </c>
      <c r="H818" s="99" t="n">
        <f aca="false">MIN(H212,H212*CDR*MAX(0,MIN(6,'Loan Tape'!$AV208)-5))</f>
        <v>0</v>
      </c>
      <c r="I818" s="99" t="n">
        <f aca="false">MIN(I212,I212*CDR*MAX(0,MIN(7,'Loan Tape'!$AV208)-6))</f>
        <v>0</v>
      </c>
      <c r="J818" s="99" t="n">
        <f aca="false">MIN(J212,J212*CDR*MAX(0,MIN(8,'Loan Tape'!$AV208)-7))</f>
        <v>0</v>
      </c>
      <c r="K818" s="99" t="n">
        <f aca="false">MIN(K212,K212*CDR*MAX(0,MIN(9,'Loan Tape'!$AV208)-8))</f>
        <v>0</v>
      </c>
      <c r="L818" s="99" t="n">
        <f aca="false">MIN(L212,L212*CDR*MAX(0,MIN(10,'Loan Tape'!$AV208)-9))</f>
        <v>0</v>
      </c>
    </row>
    <row r="819" customFormat="false" ht="15" hidden="false" customHeight="false" outlineLevel="0" collapsed="false">
      <c r="B819" s="108" t="n">
        <f aca="false">'Loan Tape'!$A209</f>
        <v>0</v>
      </c>
      <c r="C819" s="71" t="n">
        <f aca="false">MIN(C213,C213*CDR*MAX(0,MIN(1,'Loan Tape'!$AV209)-0))</f>
        <v>0</v>
      </c>
      <c r="D819" s="71" t="n">
        <f aca="false">MIN(D213,D213*CDR*MAX(0,MIN(2,'Loan Tape'!$AV209)-1))</f>
        <v>0</v>
      </c>
      <c r="E819" s="71" t="n">
        <f aca="false">MIN(E213,E213*CDR*MAX(0,MIN(3,'Loan Tape'!$AV209)-2))</f>
        <v>0</v>
      </c>
      <c r="F819" s="71" t="n">
        <f aca="false">MIN(F213,F213*CDR*MAX(0,MIN(4,'Loan Tape'!$AV209)-3))</f>
        <v>0</v>
      </c>
      <c r="G819" s="71" t="n">
        <f aca="false">MIN(G213,G213*CDR*MAX(0,MIN(5,'Loan Tape'!$AV209)-4))</f>
        <v>0</v>
      </c>
      <c r="H819" s="71" t="n">
        <f aca="false">MIN(H213,H213*CDR*MAX(0,MIN(6,'Loan Tape'!$AV209)-5))</f>
        <v>0</v>
      </c>
      <c r="I819" s="71" t="n">
        <f aca="false">MIN(I213,I213*CDR*MAX(0,MIN(7,'Loan Tape'!$AV209)-6))</f>
        <v>0</v>
      </c>
      <c r="J819" s="71" t="n">
        <f aca="false">MIN(J213,J213*CDR*MAX(0,MIN(8,'Loan Tape'!$AV209)-7))</f>
        <v>0</v>
      </c>
      <c r="K819" s="71" t="n">
        <f aca="false">MIN(K213,K213*CDR*MAX(0,MIN(9,'Loan Tape'!$AV209)-8))</f>
        <v>0</v>
      </c>
      <c r="L819" s="71" t="n">
        <f aca="false">MIN(L213,L213*CDR*MAX(0,MIN(10,'Loan Tape'!$AV209)-9))</f>
        <v>0</v>
      </c>
    </row>
    <row r="820" customFormat="false" ht="15" hidden="false" customHeight="false" outlineLevel="0" collapsed="false">
      <c r="B820" s="102" t="n">
        <f aca="false">'Loan Tape'!$A210</f>
        <v>0</v>
      </c>
      <c r="C820" s="99" t="n">
        <f aca="false">MIN(C214,C214*CDR*MAX(0,MIN(1,'Loan Tape'!$AV210)-0))</f>
        <v>0</v>
      </c>
      <c r="D820" s="99" t="n">
        <f aca="false">MIN(D214,D214*CDR*MAX(0,MIN(2,'Loan Tape'!$AV210)-1))</f>
        <v>0</v>
      </c>
      <c r="E820" s="99" t="n">
        <f aca="false">MIN(E214,E214*CDR*MAX(0,MIN(3,'Loan Tape'!$AV210)-2))</f>
        <v>0</v>
      </c>
      <c r="F820" s="99" t="n">
        <f aca="false">MIN(F214,F214*CDR*MAX(0,MIN(4,'Loan Tape'!$AV210)-3))</f>
        <v>0</v>
      </c>
      <c r="G820" s="99" t="n">
        <f aca="false">MIN(G214,G214*CDR*MAX(0,MIN(5,'Loan Tape'!$AV210)-4))</f>
        <v>0</v>
      </c>
      <c r="H820" s="99" t="n">
        <f aca="false">MIN(H214,H214*CDR*MAX(0,MIN(6,'Loan Tape'!$AV210)-5))</f>
        <v>0</v>
      </c>
      <c r="I820" s="99" t="n">
        <f aca="false">MIN(I214,I214*CDR*MAX(0,MIN(7,'Loan Tape'!$AV210)-6))</f>
        <v>0</v>
      </c>
      <c r="J820" s="99" t="n">
        <f aca="false">MIN(J214,J214*CDR*MAX(0,MIN(8,'Loan Tape'!$AV210)-7))</f>
        <v>0</v>
      </c>
      <c r="K820" s="99" t="n">
        <f aca="false">MIN(K214,K214*CDR*MAX(0,MIN(9,'Loan Tape'!$AV210)-8))</f>
        <v>0</v>
      </c>
      <c r="L820" s="99" t="n">
        <f aca="false">MIN(L214,L214*CDR*MAX(0,MIN(10,'Loan Tape'!$AV210)-9))</f>
        <v>0</v>
      </c>
    </row>
    <row r="821" customFormat="false" ht="15" hidden="false" customHeight="false" outlineLevel="0" collapsed="false">
      <c r="B821" s="108" t="n">
        <f aca="false">'Loan Tape'!$A211</f>
        <v>0</v>
      </c>
      <c r="C821" s="71" t="n">
        <f aca="false">MIN(C215,C215*CDR*MAX(0,MIN(1,'Loan Tape'!$AV211)-0))</f>
        <v>0</v>
      </c>
      <c r="D821" s="71" t="n">
        <f aca="false">MIN(D215,D215*CDR*MAX(0,MIN(2,'Loan Tape'!$AV211)-1))</f>
        <v>0</v>
      </c>
      <c r="E821" s="71" t="n">
        <f aca="false">MIN(E215,E215*CDR*MAX(0,MIN(3,'Loan Tape'!$AV211)-2))</f>
        <v>0</v>
      </c>
      <c r="F821" s="71" t="n">
        <f aca="false">MIN(F215,F215*CDR*MAX(0,MIN(4,'Loan Tape'!$AV211)-3))</f>
        <v>0</v>
      </c>
      <c r="G821" s="71" t="n">
        <f aca="false">MIN(G215,G215*CDR*MAX(0,MIN(5,'Loan Tape'!$AV211)-4))</f>
        <v>0</v>
      </c>
      <c r="H821" s="71" t="n">
        <f aca="false">MIN(H215,H215*CDR*MAX(0,MIN(6,'Loan Tape'!$AV211)-5))</f>
        <v>0</v>
      </c>
      <c r="I821" s="71" t="n">
        <f aca="false">MIN(I215,I215*CDR*MAX(0,MIN(7,'Loan Tape'!$AV211)-6))</f>
        <v>0</v>
      </c>
      <c r="J821" s="71" t="n">
        <f aca="false">MIN(J215,J215*CDR*MAX(0,MIN(8,'Loan Tape'!$AV211)-7))</f>
        <v>0</v>
      </c>
      <c r="K821" s="71" t="n">
        <f aca="false">MIN(K215,K215*CDR*MAX(0,MIN(9,'Loan Tape'!$AV211)-8))</f>
        <v>0</v>
      </c>
      <c r="L821" s="71" t="n">
        <f aca="false">MIN(L215,L215*CDR*MAX(0,MIN(10,'Loan Tape'!$AV211)-9))</f>
        <v>0</v>
      </c>
    </row>
    <row r="822" customFormat="false" ht="15" hidden="false" customHeight="false" outlineLevel="0" collapsed="false">
      <c r="B822" s="102" t="n">
        <f aca="false">'Loan Tape'!$A212</f>
        <v>0</v>
      </c>
      <c r="C822" s="99" t="n">
        <f aca="false">MIN(C216,C216*CDR*MAX(0,MIN(1,'Loan Tape'!$AV212)-0))</f>
        <v>0</v>
      </c>
      <c r="D822" s="99" t="n">
        <f aca="false">MIN(D216,D216*CDR*MAX(0,MIN(2,'Loan Tape'!$AV212)-1))</f>
        <v>0</v>
      </c>
      <c r="E822" s="99" t="n">
        <f aca="false">MIN(E216,E216*CDR*MAX(0,MIN(3,'Loan Tape'!$AV212)-2))</f>
        <v>0</v>
      </c>
      <c r="F822" s="99" t="n">
        <f aca="false">MIN(F216,F216*CDR*MAX(0,MIN(4,'Loan Tape'!$AV212)-3))</f>
        <v>0</v>
      </c>
      <c r="G822" s="99" t="n">
        <f aca="false">MIN(G216,G216*CDR*MAX(0,MIN(5,'Loan Tape'!$AV212)-4))</f>
        <v>0</v>
      </c>
      <c r="H822" s="99" t="n">
        <f aca="false">MIN(H216,H216*CDR*MAX(0,MIN(6,'Loan Tape'!$AV212)-5))</f>
        <v>0</v>
      </c>
      <c r="I822" s="99" t="n">
        <f aca="false">MIN(I216,I216*CDR*MAX(0,MIN(7,'Loan Tape'!$AV212)-6))</f>
        <v>0</v>
      </c>
      <c r="J822" s="99" t="n">
        <f aca="false">MIN(J216,J216*CDR*MAX(0,MIN(8,'Loan Tape'!$AV212)-7))</f>
        <v>0</v>
      </c>
      <c r="K822" s="99" t="n">
        <f aca="false">MIN(K216,K216*CDR*MAX(0,MIN(9,'Loan Tape'!$AV212)-8))</f>
        <v>0</v>
      </c>
      <c r="L822" s="99" t="n">
        <f aca="false">MIN(L216,L216*CDR*MAX(0,MIN(10,'Loan Tape'!$AV212)-9))</f>
        <v>0</v>
      </c>
    </row>
    <row r="823" customFormat="false" ht="15" hidden="false" customHeight="false" outlineLevel="0" collapsed="false">
      <c r="B823" s="108" t="n">
        <f aca="false">'Loan Tape'!$A213</f>
        <v>0</v>
      </c>
      <c r="C823" s="71" t="n">
        <f aca="false">MIN(C217,C217*CDR*MAX(0,MIN(1,'Loan Tape'!$AV213)-0))</f>
        <v>0</v>
      </c>
      <c r="D823" s="71" t="n">
        <f aca="false">MIN(D217,D217*CDR*MAX(0,MIN(2,'Loan Tape'!$AV213)-1))</f>
        <v>0</v>
      </c>
      <c r="E823" s="71" t="n">
        <f aca="false">MIN(E217,E217*CDR*MAX(0,MIN(3,'Loan Tape'!$AV213)-2))</f>
        <v>0</v>
      </c>
      <c r="F823" s="71" t="n">
        <f aca="false">MIN(F217,F217*CDR*MAX(0,MIN(4,'Loan Tape'!$AV213)-3))</f>
        <v>0</v>
      </c>
      <c r="G823" s="71" t="n">
        <f aca="false">MIN(G217,G217*CDR*MAX(0,MIN(5,'Loan Tape'!$AV213)-4))</f>
        <v>0</v>
      </c>
      <c r="H823" s="71" t="n">
        <f aca="false">MIN(H217,H217*CDR*MAX(0,MIN(6,'Loan Tape'!$AV213)-5))</f>
        <v>0</v>
      </c>
      <c r="I823" s="71" t="n">
        <f aca="false">MIN(I217,I217*CDR*MAX(0,MIN(7,'Loan Tape'!$AV213)-6))</f>
        <v>0</v>
      </c>
      <c r="J823" s="71" t="n">
        <f aca="false">MIN(J217,J217*CDR*MAX(0,MIN(8,'Loan Tape'!$AV213)-7))</f>
        <v>0</v>
      </c>
      <c r="K823" s="71" t="n">
        <f aca="false">MIN(K217,K217*CDR*MAX(0,MIN(9,'Loan Tape'!$AV213)-8))</f>
        <v>0</v>
      </c>
      <c r="L823" s="71" t="n">
        <f aca="false">MIN(L217,L217*CDR*MAX(0,MIN(10,'Loan Tape'!$AV213)-9))</f>
        <v>0</v>
      </c>
    </row>
    <row r="824" customFormat="false" ht="15" hidden="false" customHeight="false" outlineLevel="0" collapsed="false">
      <c r="B824" s="102" t="n">
        <f aca="false">'Loan Tape'!$A214</f>
        <v>0</v>
      </c>
      <c r="C824" s="99" t="n">
        <f aca="false">MIN(C218,C218*CDR*MAX(0,MIN(1,'Loan Tape'!$AV214)-0))</f>
        <v>0</v>
      </c>
      <c r="D824" s="99" t="n">
        <f aca="false">MIN(D218,D218*CDR*MAX(0,MIN(2,'Loan Tape'!$AV214)-1))</f>
        <v>0</v>
      </c>
      <c r="E824" s="99" t="n">
        <f aca="false">MIN(E218,E218*CDR*MAX(0,MIN(3,'Loan Tape'!$AV214)-2))</f>
        <v>0</v>
      </c>
      <c r="F824" s="99" t="n">
        <f aca="false">MIN(F218,F218*CDR*MAX(0,MIN(4,'Loan Tape'!$AV214)-3))</f>
        <v>0</v>
      </c>
      <c r="G824" s="99" t="n">
        <f aca="false">MIN(G218,G218*CDR*MAX(0,MIN(5,'Loan Tape'!$AV214)-4))</f>
        <v>0</v>
      </c>
      <c r="H824" s="99" t="n">
        <f aca="false">MIN(H218,H218*CDR*MAX(0,MIN(6,'Loan Tape'!$AV214)-5))</f>
        <v>0</v>
      </c>
      <c r="I824" s="99" t="n">
        <f aca="false">MIN(I218,I218*CDR*MAX(0,MIN(7,'Loan Tape'!$AV214)-6))</f>
        <v>0</v>
      </c>
      <c r="J824" s="99" t="n">
        <f aca="false">MIN(J218,J218*CDR*MAX(0,MIN(8,'Loan Tape'!$AV214)-7))</f>
        <v>0</v>
      </c>
      <c r="K824" s="99" t="n">
        <f aca="false">MIN(K218,K218*CDR*MAX(0,MIN(9,'Loan Tape'!$AV214)-8))</f>
        <v>0</v>
      </c>
      <c r="L824" s="99" t="n">
        <f aca="false">MIN(L218,L218*CDR*MAX(0,MIN(10,'Loan Tape'!$AV214)-9))</f>
        <v>0</v>
      </c>
    </row>
    <row r="825" customFormat="false" ht="15" hidden="false" customHeight="false" outlineLevel="0" collapsed="false">
      <c r="B825" s="108" t="n">
        <f aca="false">'Loan Tape'!$A215</f>
        <v>0</v>
      </c>
      <c r="C825" s="71" t="n">
        <f aca="false">MIN(C219,C219*CDR*MAX(0,MIN(1,'Loan Tape'!$AV215)-0))</f>
        <v>0</v>
      </c>
      <c r="D825" s="71" t="n">
        <f aca="false">MIN(D219,D219*CDR*MAX(0,MIN(2,'Loan Tape'!$AV215)-1))</f>
        <v>0</v>
      </c>
      <c r="E825" s="71" t="n">
        <f aca="false">MIN(E219,E219*CDR*MAX(0,MIN(3,'Loan Tape'!$AV215)-2))</f>
        <v>0</v>
      </c>
      <c r="F825" s="71" t="n">
        <f aca="false">MIN(F219,F219*CDR*MAX(0,MIN(4,'Loan Tape'!$AV215)-3))</f>
        <v>0</v>
      </c>
      <c r="G825" s="71" t="n">
        <f aca="false">MIN(G219,G219*CDR*MAX(0,MIN(5,'Loan Tape'!$AV215)-4))</f>
        <v>0</v>
      </c>
      <c r="H825" s="71" t="n">
        <f aca="false">MIN(H219,H219*CDR*MAX(0,MIN(6,'Loan Tape'!$AV215)-5))</f>
        <v>0</v>
      </c>
      <c r="I825" s="71" t="n">
        <f aca="false">MIN(I219,I219*CDR*MAX(0,MIN(7,'Loan Tape'!$AV215)-6))</f>
        <v>0</v>
      </c>
      <c r="J825" s="71" t="n">
        <f aca="false">MIN(J219,J219*CDR*MAX(0,MIN(8,'Loan Tape'!$AV215)-7))</f>
        <v>0</v>
      </c>
      <c r="K825" s="71" t="n">
        <f aca="false">MIN(K219,K219*CDR*MAX(0,MIN(9,'Loan Tape'!$AV215)-8))</f>
        <v>0</v>
      </c>
      <c r="L825" s="71" t="n">
        <f aca="false">MIN(L219,L219*CDR*MAX(0,MIN(10,'Loan Tape'!$AV215)-9))</f>
        <v>0</v>
      </c>
    </row>
    <row r="826" customFormat="false" ht="15" hidden="false" customHeight="false" outlineLevel="0" collapsed="false">
      <c r="B826" s="102" t="n">
        <f aca="false">'Loan Tape'!$A216</f>
        <v>0</v>
      </c>
      <c r="C826" s="99" t="n">
        <f aca="false">MIN(C220,C220*CDR*MAX(0,MIN(1,'Loan Tape'!$AV216)-0))</f>
        <v>0</v>
      </c>
      <c r="D826" s="99" t="n">
        <f aca="false">MIN(D220,D220*CDR*MAX(0,MIN(2,'Loan Tape'!$AV216)-1))</f>
        <v>0</v>
      </c>
      <c r="E826" s="99" t="n">
        <f aca="false">MIN(E220,E220*CDR*MAX(0,MIN(3,'Loan Tape'!$AV216)-2))</f>
        <v>0</v>
      </c>
      <c r="F826" s="99" t="n">
        <f aca="false">MIN(F220,F220*CDR*MAX(0,MIN(4,'Loan Tape'!$AV216)-3))</f>
        <v>0</v>
      </c>
      <c r="G826" s="99" t="n">
        <f aca="false">MIN(G220,G220*CDR*MAX(0,MIN(5,'Loan Tape'!$AV216)-4))</f>
        <v>0</v>
      </c>
      <c r="H826" s="99" t="n">
        <f aca="false">MIN(H220,H220*CDR*MAX(0,MIN(6,'Loan Tape'!$AV216)-5))</f>
        <v>0</v>
      </c>
      <c r="I826" s="99" t="n">
        <f aca="false">MIN(I220,I220*CDR*MAX(0,MIN(7,'Loan Tape'!$AV216)-6))</f>
        <v>0</v>
      </c>
      <c r="J826" s="99" t="n">
        <f aca="false">MIN(J220,J220*CDR*MAX(0,MIN(8,'Loan Tape'!$AV216)-7))</f>
        <v>0</v>
      </c>
      <c r="K826" s="99" t="n">
        <f aca="false">MIN(K220,K220*CDR*MAX(0,MIN(9,'Loan Tape'!$AV216)-8))</f>
        <v>0</v>
      </c>
      <c r="L826" s="99" t="n">
        <f aca="false">MIN(L220,L220*CDR*MAX(0,MIN(10,'Loan Tape'!$AV216)-9))</f>
        <v>0</v>
      </c>
    </row>
    <row r="827" customFormat="false" ht="15" hidden="false" customHeight="false" outlineLevel="0" collapsed="false">
      <c r="B827" s="108" t="n">
        <f aca="false">'Loan Tape'!$A217</f>
        <v>0</v>
      </c>
      <c r="C827" s="71" t="n">
        <f aca="false">MIN(C221,C221*CDR*MAX(0,MIN(1,'Loan Tape'!$AV217)-0))</f>
        <v>0</v>
      </c>
      <c r="D827" s="71" t="n">
        <f aca="false">MIN(D221,D221*CDR*MAX(0,MIN(2,'Loan Tape'!$AV217)-1))</f>
        <v>0</v>
      </c>
      <c r="E827" s="71" t="n">
        <f aca="false">MIN(E221,E221*CDR*MAX(0,MIN(3,'Loan Tape'!$AV217)-2))</f>
        <v>0</v>
      </c>
      <c r="F827" s="71" t="n">
        <f aca="false">MIN(F221,F221*CDR*MAX(0,MIN(4,'Loan Tape'!$AV217)-3))</f>
        <v>0</v>
      </c>
      <c r="G827" s="71" t="n">
        <f aca="false">MIN(G221,G221*CDR*MAX(0,MIN(5,'Loan Tape'!$AV217)-4))</f>
        <v>0</v>
      </c>
      <c r="H827" s="71" t="n">
        <f aca="false">MIN(H221,H221*CDR*MAX(0,MIN(6,'Loan Tape'!$AV217)-5))</f>
        <v>0</v>
      </c>
      <c r="I827" s="71" t="n">
        <f aca="false">MIN(I221,I221*CDR*MAX(0,MIN(7,'Loan Tape'!$AV217)-6))</f>
        <v>0</v>
      </c>
      <c r="J827" s="71" t="n">
        <f aca="false">MIN(J221,J221*CDR*MAX(0,MIN(8,'Loan Tape'!$AV217)-7))</f>
        <v>0</v>
      </c>
      <c r="K827" s="71" t="n">
        <f aca="false">MIN(K221,K221*CDR*MAX(0,MIN(9,'Loan Tape'!$AV217)-8))</f>
        <v>0</v>
      </c>
      <c r="L827" s="71" t="n">
        <f aca="false">MIN(L221,L221*CDR*MAX(0,MIN(10,'Loan Tape'!$AV217)-9))</f>
        <v>0</v>
      </c>
    </row>
    <row r="828" customFormat="false" ht="15" hidden="false" customHeight="false" outlineLevel="0" collapsed="false">
      <c r="B828" s="102" t="n">
        <f aca="false">'Loan Tape'!$A218</f>
        <v>0</v>
      </c>
      <c r="C828" s="99" t="n">
        <f aca="false">MIN(C222,C222*CDR*MAX(0,MIN(1,'Loan Tape'!$AV218)-0))</f>
        <v>0</v>
      </c>
      <c r="D828" s="99" t="n">
        <f aca="false">MIN(D222,D222*CDR*MAX(0,MIN(2,'Loan Tape'!$AV218)-1))</f>
        <v>0</v>
      </c>
      <c r="E828" s="99" t="n">
        <f aca="false">MIN(E222,E222*CDR*MAX(0,MIN(3,'Loan Tape'!$AV218)-2))</f>
        <v>0</v>
      </c>
      <c r="F828" s="99" t="n">
        <f aca="false">MIN(F222,F222*CDR*MAX(0,MIN(4,'Loan Tape'!$AV218)-3))</f>
        <v>0</v>
      </c>
      <c r="G828" s="99" t="n">
        <f aca="false">MIN(G222,G222*CDR*MAX(0,MIN(5,'Loan Tape'!$AV218)-4))</f>
        <v>0</v>
      </c>
      <c r="H828" s="99" t="n">
        <f aca="false">MIN(H222,H222*CDR*MAX(0,MIN(6,'Loan Tape'!$AV218)-5))</f>
        <v>0</v>
      </c>
      <c r="I828" s="99" t="n">
        <f aca="false">MIN(I222,I222*CDR*MAX(0,MIN(7,'Loan Tape'!$AV218)-6))</f>
        <v>0</v>
      </c>
      <c r="J828" s="99" t="n">
        <f aca="false">MIN(J222,J222*CDR*MAX(0,MIN(8,'Loan Tape'!$AV218)-7))</f>
        <v>0</v>
      </c>
      <c r="K828" s="99" t="n">
        <f aca="false">MIN(K222,K222*CDR*MAX(0,MIN(9,'Loan Tape'!$AV218)-8))</f>
        <v>0</v>
      </c>
      <c r="L828" s="99" t="n">
        <f aca="false">MIN(L222,L222*CDR*MAX(0,MIN(10,'Loan Tape'!$AV218)-9))</f>
        <v>0</v>
      </c>
    </row>
    <row r="829" customFormat="false" ht="15" hidden="false" customHeight="false" outlineLevel="0" collapsed="false">
      <c r="B829" s="108" t="n">
        <f aca="false">'Loan Tape'!$A219</f>
        <v>0</v>
      </c>
      <c r="C829" s="71" t="n">
        <f aca="false">MIN(C223,C223*CDR*MAX(0,MIN(1,'Loan Tape'!$AV219)-0))</f>
        <v>0</v>
      </c>
      <c r="D829" s="71" t="n">
        <f aca="false">MIN(D223,D223*CDR*MAX(0,MIN(2,'Loan Tape'!$AV219)-1))</f>
        <v>0</v>
      </c>
      <c r="E829" s="71" t="n">
        <f aca="false">MIN(E223,E223*CDR*MAX(0,MIN(3,'Loan Tape'!$AV219)-2))</f>
        <v>0</v>
      </c>
      <c r="F829" s="71" t="n">
        <f aca="false">MIN(F223,F223*CDR*MAX(0,MIN(4,'Loan Tape'!$AV219)-3))</f>
        <v>0</v>
      </c>
      <c r="G829" s="71" t="n">
        <f aca="false">MIN(G223,G223*CDR*MAX(0,MIN(5,'Loan Tape'!$AV219)-4))</f>
        <v>0</v>
      </c>
      <c r="H829" s="71" t="n">
        <f aca="false">MIN(H223,H223*CDR*MAX(0,MIN(6,'Loan Tape'!$AV219)-5))</f>
        <v>0</v>
      </c>
      <c r="I829" s="71" t="n">
        <f aca="false">MIN(I223,I223*CDR*MAX(0,MIN(7,'Loan Tape'!$AV219)-6))</f>
        <v>0</v>
      </c>
      <c r="J829" s="71" t="n">
        <f aca="false">MIN(J223,J223*CDR*MAX(0,MIN(8,'Loan Tape'!$AV219)-7))</f>
        <v>0</v>
      </c>
      <c r="K829" s="71" t="n">
        <f aca="false">MIN(K223,K223*CDR*MAX(0,MIN(9,'Loan Tape'!$AV219)-8))</f>
        <v>0</v>
      </c>
      <c r="L829" s="71" t="n">
        <f aca="false">MIN(L223,L223*CDR*MAX(0,MIN(10,'Loan Tape'!$AV219)-9))</f>
        <v>0</v>
      </c>
    </row>
    <row r="830" customFormat="false" ht="15" hidden="false" customHeight="false" outlineLevel="0" collapsed="false">
      <c r="B830" s="102" t="n">
        <f aca="false">'Loan Tape'!$A220</f>
        <v>0</v>
      </c>
      <c r="C830" s="99" t="n">
        <f aca="false">MIN(C224,C224*CDR*MAX(0,MIN(1,'Loan Tape'!$AV220)-0))</f>
        <v>0</v>
      </c>
      <c r="D830" s="99" t="n">
        <f aca="false">MIN(D224,D224*CDR*MAX(0,MIN(2,'Loan Tape'!$AV220)-1))</f>
        <v>0</v>
      </c>
      <c r="E830" s="99" t="n">
        <f aca="false">MIN(E224,E224*CDR*MAX(0,MIN(3,'Loan Tape'!$AV220)-2))</f>
        <v>0</v>
      </c>
      <c r="F830" s="99" t="n">
        <f aca="false">MIN(F224,F224*CDR*MAX(0,MIN(4,'Loan Tape'!$AV220)-3))</f>
        <v>0</v>
      </c>
      <c r="G830" s="99" t="n">
        <f aca="false">MIN(G224,G224*CDR*MAX(0,MIN(5,'Loan Tape'!$AV220)-4))</f>
        <v>0</v>
      </c>
      <c r="H830" s="99" t="n">
        <f aca="false">MIN(H224,H224*CDR*MAX(0,MIN(6,'Loan Tape'!$AV220)-5))</f>
        <v>0</v>
      </c>
      <c r="I830" s="99" t="n">
        <f aca="false">MIN(I224,I224*CDR*MAX(0,MIN(7,'Loan Tape'!$AV220)-6))</f>
        <v>0</v>
      </c>
      <c r="J830" s="99" t="n">
        <f aca="false">MIN(J224,J224*CDR*MAX(0,MIN(8,'Loan Tape'!$AV220)-7))</f>
        <v>0</v>
      </c>
      <c r="K830" s="99" t="n">
        <f aca="false">MIN(K224,K224*CDR*MAX(0,MIN(9,'Loan Tape'!$AV220)-8))</f>
        <v>0</v>
      </c>
      <c r="L830" s="99" t="n">
        <f aca="false">MIN(L224,L224*CDR*MAX(0,MIN(10,'Loan Tape'!$AV220)-9))</f>
        <v>0</v>
      </c>
    </row>
    <row r="831" customFormat="false" ht="15" hidden="false" customHeight="false" outlineLevel="0" collapsed="false">
      <c r="B831" s="108" t="n">
        <f aca="false">'Loan Tape'!$A221</f>
        <v>0</v>
      </c>
      <c r="C831" s="71" t="n">
        <f aca="false">MIN(C225,C225*CDR*MAX(0,MIN(1,'Loan Tape'!$AV221)-0))</f>
        <v>0</v>
      </c>
      <c r="D831" s="71" t="n">
        <f aca="false">MIN(D225,D225*CDR*MAX(0,MIN(2,'Loan Tape'!$AV221)-1))</f>
        <v>0</v>
      </c>
      <c r="E831" s="71" t="n">
        <f aca="false">MIN(E225,E225*CDR*MAX(0,MIN(3,'Loan Tape'!$AV221)-2))</f>
        <v>0</v>
      </c>
      <c r="F831" s="71" t="n">
        <f aca="false">MIN(F225,F225*CDR*MAX(0,MIN(4,'Loan Tape'!$AV221)-3))</f>
        <v>0</v>
      </c>
      <c r="G831" s="71" t="n">
        <f aca="false">MIN(G225,G225*CDR*MAX(0,MIN(5,'Loan Tape'!$AV221)-4))</f>
        <v>0</v>
      </c>
      <c r="H831" s="71" t="n">
        <f aca="false">MIN(H225,H225*CDR*MAX(0,MIN(6,'Loan Tape'!$AV221)-5))</f>
        <v>0</v>
      </c>
      <c r="I831" s="71" t="n">
        <f aca="false">MIN(I225,I225*CDR*MAX(0,MIN(7,'Loan Tape'!$AV221)-6))</f>
        <v>0</v>
      </c>
      <c r="J831" s="71" t="n">
        <f aca="false">MIN(J225,J225*CDR*MAX(0,MIN(8,'Loan Tape'!$AV221)-7))</f>
        <v>0</v>
      </c>
      <c r="K831" s="71" t="n">
        <f aca="false">MIN(K225,K225*CDR*MAX(0,MIN(9,'Loan Tape'!$AV221)-8))</f>
        <v>0</v>
      </c>
      <c r="L831" s="71" t="n">
        <f aca="false">MIN(L225,L225*CDR*MAX(0,MIN(10,'Loan Tape'!$AV221)-9))</f>
        <v>0</v>
      </c>
    </row>
    <row r="832" customFormat="false" ht="15" hidden="false" customHeight="false" outlineLevel="0" collapsed="false">
      <c r="B832" s="102" t="n">
        <f aca="false">'Loan Tape'!$A222</f>
        <v>0</v>
      </c>
      <c r="C832" s="99" t="n">
        <f aca="false">MIN(C226,C226*CDR*MAX(0,MIN(1,'Loan Tape'!$AV222)-0))</f>
        <v>0</v>
      </c>
      <c r="D832" s="99" t="n">
        <f aca="false">MIN(D226,D226*CDR*MAX(0,MIN(2,'Loan Tape'!$AV222)-1))</f>
        <v>0</v>
      </c>
      <c r="E832" s="99" t="n">
        <f aca="false">MIN(E226,E226*CDR*MAX(0,MIN(3,'Loan Tape'!$AV222)-2))</f>
        <v>0</v>
      </c>
      <c r="F832" s="99" t="n">
        <f aca="false">MIN(F226,F226*CDR*MAX(0,MIN(4,'Loan Tape'!$AV222)-3))</f>
        <v>0</v>
      </c>
      <c r="G832" s="99" t="n">
        <f aca="false">MIN(G226,G226*CDR*MAX(0,MIN(5,'Loan Tape'!$AV222)-4))</f>
        <v>0</v>
      </c>
      <c r="H832" s="99" t="n">
        <f aca="false">MIN(H226,H226*CDR*MAX(0,MIN(6,'Loan Tape'!$AV222)-5))</f>
        <v>0</v>
      </c>
      <c r="I832" s="99" t="n">
        <f aca="false">MIN(I226,I226*CDR*MAX(0,MIN(7,'Loan Tape'!$AV222)-6))</f>
        <v>0</v>
      </c>
      <c r="J832" s="99" t="n">
        <f aca="false">MIN(J226,J226*CDR*MAX(0,MIN(8,'Loan Tape'!$AV222)-7))</f>
        <v>0</v>
      </c>
      <c r="K832" s="99" t="n">
        <f aca="false">MIN(K226,K226*CDR*MAX(0,MIN(9,'Loan Tape'!$AV222)-8))</f>
        <v>0</v>
      </c>
      <c r="L832" s="99" t="n">
        <f aca="false">MIN(L226,L226*CDR*MAX(0,MIN(10,'Loan Tape'!$AV222)-9))</f>
        <v>0</v>
      </c>
    </row>
    <row r="833" customFormat="false" ht="15" hidden="false" customHeight="false" outlineLevel="0" collapsed="false">
      <c r="B833" s="108" t="n">
        <f aca="false">'Loan Tape'!$A223</f>
        <v>0</v>
      </c>
      <c r="C833" s="71" t="n">
        <f aca="false">MIN(C227,C227*CDR*MAX(0,MIN(1,'Loan Tape'!$AV223)-0))</f>
        <v>0</v>
      </c>
      <c r="D833" s="71" t="n">
        <f aca="false">MIN(D227,D227*CDR*MAX(0,MIN(2,'Loan Tape'!$AV223)-1))</f>
        <v>0</v>
      </c>
      <c r="E833" s="71" t="n">
        <f aca="false">MIN(E227,E227*CDR*MAX(0,MIN(3,'Loan Tape'!$AV223)-2))</f>
        <v>0</v>
      </c>
      <c r="F833" s="71" t="n">
        <f aca="false">MIN(F227,F227*CDR*MAX(0,MIN(4,'Loan Tape'!$AV223)-3))</f>
        <v>0</v>
      </c>
      <c r="G833" s="71" t="n">
        <f aca="false">MIN(G227,G227*CDR*MAX(0,MIN(5,'Loan Tape'!$AV223)-4))</f>
        <v>0</v>
      </c>
      <c r="H833" s="71" t="n">
        <f aca="false">MIN(H227,H227*CDR*MAX(0,MIN(6,'Loan Tape'!$AV223)-5))</f>
        <v>0</v>
      </c>
      <c r="I833" s="71" t="n">
        <f aca="false">MIN(I227,I227*CDR*MAX(0,MIN(7,'Loan Tape'!$AV223)-6))</f>
        <v>0</v>
      </c>
      <c r="J833" s="71" t="n">
        <f aca="false">MIN(J227,J227*CDR*MAX(0,MIN(8,'Loan Tape'!$AV223)-7))</f>
        <v>0</v>
      </c>
      <c r="K833" s="71" t="n">
        <f aca="false">MIN(K227,K227*CDR*MAX(0,MIN(9,'Loan Tape'!$AV223)-8))</f>
        <v>0</v>
      </c>
      <c r="L833" s="71" t="n">
        <f aca="false">MIN(L227,L227*CDR*MAX(0,MIN(10,'Loan Tape'!$AV223)-9))</f>
        <v>0</v>
      </c>
    </row>
    <row r="834" customFormat="false" ht="15" hidden="false" customHeight="false" outlineLevel="0" collapsed="false">
      <c r="B834" s="102" t="n">
        <f aca="false">'Loan Tape'!$A224</f>
        <v>0</v>
      </c>
      <c r="C834" s="99" t="n">
        <f aca="false">MIN(C228,C228*CDR*MAX(0,MIN(1,'Loan Tape'!$AV224)-0))</f>
        <v>0</v>
      </c>
      <c r="D834" s="99" t="n">
        <f aca="false">MIN(D228,D228*CDR*MAX(0,MIN(2,'Loan Tape'!$AV224)-1))</f>
        <v>0</v>
      </c>
      <c r="E834" s="99" t="n">
        <f aca="false">MIN(E228,E228*CDR*MAX(0,MIN(3,'Loan Tape'!$AV224)-2))</f>
        <v>0</v>
      </c>
      <c r="F834" s="99" t="n">
        <f aca="false">MIN(F228,F228*CDR*MAX(0,MIN(4,'Loan Tape'!$AV224)-3))</f>
        <v>0</v>
      </c>
      <c r="G834" s="99" t="n">
        <f aca="false">MIN(G228,G228*CDR*MAX(0,MIN(5,'Loan Tape'!$AV224)-4))</f>
        <v>0</v>
      </c>
      <c r="H834" s="99" t="n">
        <f aca="false">MIN(H228,H228*CDR*MAX(0,MIN(6,'Loan Tape'!$AV224)-5))</f>
        <v>0</v>
      </c>
      <c r="I834" s="99" t="n">
        <f aca="false">MIN(I228,I228*CDR*MAX(0,MIN(7,'Loan Tape'!$AV224)-6))</f>
        <v>0</v>
      </c>
      <c r="J834" s="99" t="n">
        <f aca="false">MIN(J228,J228*CDR*MAX(0,MIN(8,'Loan Tape'!$AV224)-7))</f>
        <v>0</v>
      </c>
      <c r="K834" s="99" t="n">
        <f aca="false">MIN(K228,K228*CDR*MAX(0,MIN(9,'Loan Tape'!$AV224)-8))</f>
        <v>0</v>
      </c>
      <c r="L834" s="99" t="n">
        <f aca="false">MIN(L228,L228*CDR*MAX(0,MIN(10,'Loan Tape'!$AV224)-9))</f>
        <v>0</v>
      </c>
    </row>
    <row r="835" customFormat="false" ht="15" hidden="false" customHeight="false" outlineLevel="0" collapsed="false">
      <c r="B835" s="108" t="n">
        <f aca="false">'Loan Tape'!$A225</f>
        <v>0</v>
      </c>
      <c r="C835" s="71" t="n">
        <f aca="false">MIN(C229,C229*CDR*MAX(0,MIN(1,'Loan Tape'!$AV225)-0))</f>
        <v>0</v>
      </c>
      <c r="D835" s="71" t="n">
        <f aca="false">MIN(D229,D229*CDR*MAX(0,MIN(2,'Loan Tape'!$AV225)-1))</f>
        <v>0</v>
      </c>
      <c r="E835" s="71" t="n">
        <f aca="false">MIN(E229,E229*CDR*MAX(0,MIN(3,'Loan Tape'!$AV225)-2))</f>
        <v>0</v>
      </c>
      <c r="F835" s="71" t="n">
        <f aca="false">MIN(F229,F229*CDR*MAX(0,MIN(4,'Loan Tape'!$AV225)-3))</f>
        <v>0</v>
      </c>
      <c r="G835" s="71" t="n">
        <f aca="false">MIN(G229,G229*CDR*MAX(0,MIN(5,'Loan Tape'!$AV225)-4))</f>
        <v>0</v>
      </c>
      <c r="H835" s="71" t="n">
        <f aca="false">MIN(H229,H229*CDR*MAX(0,MIN(6,'Loan Tape'!$AV225)-5))</f>
        <v>0</v>
      </c>
      <c r="I835" s="71" t="n">
        <f aca="false">MIN(I229,I229*CDR*MAX(0,MIN(7,'Loan Tape'!$AV225)-6))</f>
        <v>0</v>
      </c>
      <c r="J835" s="71" t="n">
        <f aca="false">MIN(J229,J229*CDR*MAX(0,MIN(8,'Loan Tape'!$AV225)-7))</f>
        <v>0</v>
      </c>
      <c r="K835" s="71" t="n">
        <f aca="false">MIN(K229,K229*CDR*MAX(0,MIN(9,'Loan Tape'!$AV225)-8))</f>
        <v>0</v>
      </c>
      <c r="L835" s="71" t="n">
        <f aca="false">MIN(L229,L229*CDR*MAX(0,MIN(10,'Loan Tape'!$AV225)-9))</f>
        <v>0</v>
      </c>
    </row>
    <row r="836" customFormat="false" ht="15" hidden="false" customHeight="false" outlineLevel="0" collapsed="false">
      <c r="B836" s="102" t="n">
        <f aca="false">'Loan Tape'!$A226</f>
        <v>0</v>
      </c>
      <c r="C836" s="99" t="n">
        <f aca="false">MIN(C230,C230*CDR*MAX(0,MIN(1,'Loan Tape'!$AV226)-0))</f>
        <v>0</v>
      </c>
      <c r="D836" s="99" t="n">
        <f aca="false">MIN(D230,D230*CDR*MAX(0,MIN(2,'Loan Tape'!$AV226)-1))</f>
        <v>0</v>
      </c>
      <c r="E836" s="99" t="n">
        <f aca="false">MIN(E230,E230*CDR*MAX(0,MIN(3,'Loan Tape'!$AV226)-2))</f>
        <v>0</v>
      </c>
      <c r="F836" s="99" t="n">
        <f aca="false">MIN(F230,F230*CDR*MAX(0,MIN(4,'Loan Tape'!$AV226)-3))</f>
        <v>0</v>
      </c>
      <c r="G836" s="99" t="n">
        <f aca="false">MIN(G230,G230*CDR*MAX(0,MIN(5,'Loan Tape'!$AV226)-4))</f>
        <v>0</v>
      </c>
      <c r="H836" s="99" t="n">
        <f aca="false">MIN(H230,H230*CDR*MAX(0,MIN(6,'Loan Tape'!$AV226)-5))</f>
        <v>0</v>
      </c>
      <c r="I836" s="99" t="n">
        <f aca="false">MIN(I230,I230*CDR*MAX(0,MIN(7,'Loan Tape'!$AV226)-6))</f>
        <v>0</v>
      </c>
      <c r="J836" s="99" t="n">
        <f aca="false">MIN(J230,J230*CDR*MAX(0,MIN(8,'Loan Tape'!$AV226)-7))</f>
        <v>0</v>
      </c>
      <c r="K836" s="99" t="n">
        <f aca="false">MIN(K230,K230*CDR*MAX(0,MIN(9,'Loan Tape'!$AV226)-8))</f>
        <v>0</v>
      </c>
      <c r="L836" s="99" t="n">
        <f aca="false">MIN(L230,L230*CDR*MAX(0,MIN(10,'Loan Tape'!$AV226)-9))</f>
        <v>0</v>
      </c>
    </row>
    <row r="837" customFormat="false" ht="15" hidden="false" customHeight="false" outlineLevel="0" collapsed="false">
      <c r="B837" s="108" t="n">
        <f aca="false">'Loan Tape'!$A227</f>
        <v>0</v>
      </c>
      <c r="C837" s="71" t="n">
        <f aca="false">MIN(C231,C231*CDR*MAX(0,MIN(1,'Loan Tape'!$AV227)-0))</f>
        <v>0</v>
      </c>
      <c r="D837" s="71" t="n">
        <f aca="false">MIN(D231,D231*CDR*MAX(0,MIN(2,'Loan Tape'!$AV227)-1))</f>
        <v>0</v>
      </c>
      <c r="E837" s="71" t="n">
        <f aca="false">MIN(E231,E231*CDR*MAX(0,MIN(3,'Loan Tape'!$AV227)-2))</f>
        <v>0</v>
      </c>
      <c r="F837" s="71" t="n">
        <f aca="false">MIN(F231,F231*CDR*MAX(0,MIN(4,'Loan Tape'!$AV227)-3))</f>
        <v>0</v>
      </c>
      <c r="G837" s="71" t="n">
        <f aca="false">MIN(G231,G231*CDR*MAX(0,MIN(5,'Loan Tape'!$AV227)-4))</f>
        <v>0</v>
      </c>
      <c r="H837" s="71" t="n">
        <f aca="false">MIN(H231,H231*CDR*MAX(0,MIN(6,'Loan Tape'!$AV227)-5))</f>
        <v>0</v>
      </c>
      <c r="I837" s="71" t="n">
        <f aca="false">MIN(I231,I231*CDR*MAX(0,MIN(7,'Loan Tape'!$AV227)-6))</f>
        <v>0</v>
      </c>
      <c r="J837" s="71" t="n">
        <f aca="false">MIN(J231,J231*CDR*MAX(0,MIN(8,'Loan Tape'!$AV227)-7))</f>
        <v>0</v>
      </c>
      <c r="K837" s="71" t="n">
        <f aca="false">MIN(K231,K231*CDR*MAX(0,MIN(9,'Loan Tape'!$AV227)-8))</f>
        <v>0</v>
      </c>
      <c r="L837" s="71" t="n">
        <f aca="false">MIN(L231,L231*CDR*MAX(0,MIN(10,'Loan Tape'!$AV227)-9))</f>
        <v>0</v>
      </c>
    </row>
    <row r="838" customFormat="false" ht="15" hidden="false" customHeight="false" outlineLevel="0" collapsed="false">
      <c r="B838" s="102" t="n">
        <f aca="false">'Loan Tape'!$A228</f>
        <v>0</v>
      </c>
      <c r="C838" s="99" t="n">
        <f aca="false">MIN(C232,C232*CDR*MAX(0,MIN(1,'Loan Tape'!$AV228)-0))</f>
        <v>0</v>
      </c>
      <c r="D838" s="99" t="n">
        <f aca="false">MIN(D232,D232*CDR*MAX(0,MIN(2,'Loan Tape'!$AV228)-1))</f>
        <v>0</v>
      </c>
      <c r="E838" s="99" t="n">
        <f aca="false">MIN(E232,E232*CDR*MAX(0,MIN(3,'Loan Tape'!$AV228)-2))</f>
        <v>0</v>
      </c>
      <c r="F838" s="99" t="n">
        <f aca="false">MIN(F232,F232*CDR*MAX(0,MIN(4,'Loan Tape'!$AV228)-3))</f>
        <v>0</v>
      </c>
      <c r="G838" s="99" t="n">
        <f aca="false">MIN(G232,G232*CDR*MAX(0,MIN(5,'Loan Tape'!$AV228)-4))</f>
        <v>0</v>
      </c>
      <c r="H838" s="99" t="n">
        <f aca="false">MIN(H232,H232*CDR*MAX(0,MIN(6,'Loan Tape'!$AV228)-5))</f>
        <v>0</v>
      </c>
      <c r="I838" s="99" t="n">
        <f aca="false">MIN(I232,I232*CDR*MAX(0,MIN(7,'Loan Tape'!$AV228)-6))</f>
        <v>0</v>
      </c>
      <c r="J838" s="99" t="n">
        <f aca="false">MIN(J232,J232*CDR*MAX(0,MIN(8,'Loan Tape'!$AV228)-7))</f>
        <v>0</v>
      </c>
      <c r="K838" s="99" t="n">
        <f aca="false">MIN(K232,K232*CDR*MAX(0,MIN(9,'Loan Tape'!$AV228)-8))</f>
        <v>0</v>
      </c>
      <c r="L838" s="99" t="n">
        <f aca="false">MIN(L232,L232*CDR*MAX(0,MIN(10,'Loan Tape'!$AV228)-9))</f>
        <v>0</v>
      </c>
    </row>
    <row r="839" customFormat="false" ht="15" hidden="false" customHeight="false" outlineLevel="0" collapsed="false">
      <c r="B839" s="108" t="n">
        <f aca="false">'Loan Tape'!$A229</f>
        <v>0</v>
      </c>
      <c r="C839" s="71" t="n">
        <f aca="false">MIN(C233,C233*CDR*MAX(0,MIN(1,'Loan Tape'!$AV229)-0))</f>
        <v>0</v>
      </c>
      <c r="D839" s="71" t="n">
        <f aca="false">MIN(D233,D233*CDR*MAX(0,MIN(2,'Loan Tape'!$AV229)-1))</f>
        <v>0</v>
      </c>
      <c r="E839" s="71" t="n">
        <f aca="false">MIN(E233,E233*CDR*MAX(0,MIN(3,'Loan Tape'!$AV229)-2))</f>
        <v>0</v>
      </c>
      <c r="F839" s="71" t="n">
        <f aca="false">MIN(F233,F233*CDR*MAX(0,MIN(4,'Loan Tape'!$AV229)-3))</f>
        <v>0</v>
      </c>
      <c r="G839" s="71" t="n">
        <f aca="false">MIN(G233,G233*CDR*MAX(0,MIN(5,'Loan Tape'!$AV229)-4))</f>
        <v>0</v>
      </c>
      <c r="H839" s="71" t="n">
        <f aca="false">MIN(H233,H233*CDR*MAX(0,MIN(6,'Loan Tape'!$AV229)-5))</f>
        <v>0</v>
      </c>
      <c r="I839" s="71" t="n">
        <f aca="false">MIN(I233,I233*CDR*MAX(0,MIN(7,'Loan Tape'!$AV229)-6))</f>
        <v>0</v>
      </c>
      <c r="J839" s="71" t="n">
        <f aca="false">MIN(J233,J233*CDR*MAX(0,MIN(8,'Loan Tape'!$AV229)-7))</f>
        <v>0</v>
      </c>
      <c r="K839" s="71" t="n">
        <f aca="false">MIN(K233,K233*CDR*MAX(0,MIN(9,'Loan Tape'!$AV229)-8))</f>
        <v>0</v>
      </c>
      <c r="L839" s="71" t="n">
        <f aca="false">MIN(L233,L233*CDR*MAX(0,MIN(10,'Loan Tape'!$AV229)-9))</f>
        <v>0</v>
      </c>
    </row>
    <row r="840" customFormat="false" ht="15" hidden="false" customHeight="false" outlineLevel="0" collapsed="false">
      <c r="B840" s="102" t="n">
        <f aca="false">'Loan Tape'!$A230</f>
        <v>0</v>
      </c>
      <c r="C840" s="99" t="n">
        <f aca="false">MIN(C234,C234*CDR*MAX(0,MIN(1,'Loan Tape'!$AV230)-0))</f>
        <v>0</v>
      </c>
      <c r="D840" s="99" t="n">
        <f aca="false">MIN(D234,D234*CDR*MAX(0,MIN(2,'Loan Tape'!$AV230)-1))</f>
        <v>0</v>
      </c>
      <c r="E840" s="99" t="n">
        <f aca="false">MIN(E234,E234*CDR*MAX(0,MIN(3,'Loan Tape'!$AV230)-2))</f>
        <v>0</v>
      </c>
      <c r="F840" s="99" t="n">
        <f aca="false">MIN(F234,F234*CDR*MAX(0,MIN(4,'Loan Tape'!$AV230)-3))</f>
        <v>0</v>
      </c>
      <c r="G840" s="99" t="n">
        <f aca="false">MIN(G234,G234*CDR*MAX(0,MIN(5,'Loan Tape'!$AV230)-4))</f>
        <v>0</v>
      </c>
      <c r="H840" s="99" t="n">
        <f aca="false">MIN(H234,H234*CDR*MAX(0,MIN(6,'Loan Tape'!$AV230)-5))</f>
        <v>0</v>
      </c>
      <c r="I840" s="99" t="n">
        <f aca="false">MIN(I234,I234*CDR*MAX(0,MIN(7,'Loan Tape'!$AV230)-6))</f>
        <v>0</v>
      </c>
      <c r="J840" s="99" t="n">
        <f aca="false">MIN(J234,J234*CDR*MAX(0,MIN(8,'Loan Tape'!$AV230)-7))</f>
        <v>0</v>
      </c>
      <c r="K840" s="99" t="n">
        <f aca="false">MIN(K234,K234*CDR*MAX(0,MIN(9,'Loan Tape'!$AV230)-8))</f>
        <v>0</v>
      </c>
      <c r="L840" s="99" t="n">
        <f aca="false">MIN(L234,L234*CDR*MAX(0,MIN(10,'Loan Tape'!$AV230)-9))</f>
        <v>0</v>
      </c>
    </row>
    <row r="841" customFormat="false" ht="15" hidden="false" customHeight="false" outlineLevel="0" collapsed="false">
      <c r="B841" s="108" t="n">
        <f aca="false">'Loan Tape'!$A231</f>
        <v>0</v>
      </c>
      <c r="C841" s="71" t="n">
        <f aca="false">MIN(C235,C235*CDR*MAX(0,MIN(1,'Loan Tape'!$AV231)-0))</f>
        <v>0</v>
      </c>
      <c r="D841" s="71" t="n">
        <f aca="false">MIN(D235,D235*CDR*MAX(0,MIN(2,'Loan Tape'!$AV231)-1))</f>
        <v>0</v>
      </c>
      <c r="E841" s="71" t="n">
        <f aca="false">MIN(E235,E235*CDR*MAX(0,MIN(3,'Loan Tape'!$AV231)-2))</f>
        <v>0</v>
      </c>
      <c r="F841" s="71" t="n">
        <f aca="false">MIN(F235,F235*CDR*MAX(0,MIN(4,'Loan Tape'!$AV231)-3))</f>
        <v>0</v>
      </c>
      <c r="G841" s="71" t="n">
        <f aca="false">MIN(G235,G235*CDR*MAX(0,MIN(5,'Loan Tape'!$AV231)-4))</f>
        <v>0</v>
      </c>
      <c r="H841" s="71" t="n">
        <f aca="false">MIN(H235,H235*CDR*MAX(0,MIN(6,'Loan Tape'!$AV231)-5))</f>
        <v>0</v>
      </c>
      <c r="I841" s="71" t="n">
        <f aca="false">MIN(I235,I235*CDR*MAX(0,MIN(7,'Loan Tape'!$AV231)-6))</f>
        <v>0</v>
      </c>
      <c r="J841" s="71" t="n">
        <f aca="false">MIN(J235,J235*CDR*MAX(0,MIN(8,'Loan Tape'!$AV231)-7))</f>
        <v>0</v>
      </c>
      <c r="K841" s="71" t="n">
        <f aca="false">MIN(K235,K235*CDR*MAX(0,MIN(9,'Loan Tape'!$AV231)-8))</f>
        <v>0</v>
      </c>
      <c r="L841" s="71" t="n">
        <f aca="false">MIN(L235,L235*CDR*MAX(0,MIN(10,'Loan Tape'!$AV231)-9))</f>
        <v>0</v>
      </c>
    </row>
    <row r="842" customFormat="false" ht="15" hidden="false" customHeight="false" outlineLevel="0" collapsed="false">
      <c r="B842" s="102" t="n">
        <f aca="false">'Loan Tape'!$A232</f>
        <v>0</v>
      </c>
      <c r="C842" s="99" t="n">
        <f aca="false">MIN(C236,C236*CDR*MAX(0,MIN(1,'Loan Tape'!$AV232)-0))</f>
        <v>0</v>
      </c>
      <c r="D842" s="99" t="n">
        <f aca="false">MIN(D236,D236*CDR*MAX(0,MIN(2,'Loan Tape'!$AV232)-1))</f>
        <v>0</v>
      </c>
      <c r="E842" s="99" t="n">
        <f aca="false">MIN(E236,E236*CDR*MAX(0,MIN(3,'Loan Tape'!$AV232)-2))</f>
        <v>0</v>
      </c>
      <c r="F842" s="99" t="n">
        <f aca="false">MIN(F236,F236*CDR*MAX(0,MIN(4,'Loan Tape'!$AV232)-3))</f>
        <v>0</v>
      </c>
      <c r="G842" s="99" t="n">
        <f aca="false">MIN(G236,G236*CDR*MAX(0,MIN(5,'Loan Tape'!$AV232)-4))</f>
        <v>0</v>
      </c>
      <c r="H842" s="99" t="n">
        <f aca="false">MIN(H236,H236*CDR*MAX(0,MIN(6,'Loan Tape'!$AV232)-5))</f>
        <v>0</v>
      </c>
      <c r="I842" s="99" t="n">
        <f aca="false">MIN(I236,I236*CDR*MAX(0,MIN(7,'Loan Tape'!$AV232)-6))</f>
        <v>0</v>
      </c>
      <c r="J842" s="99" t="n">
        <f aca="false">MIN(J236,J236*CDR*MAX(0,MIN(8,'Loan Tape'!$AV232)-7))</f>
        <v>0</v>
      </c>
      <c r="K842" s="99" t="n">
        <f aca="false">MIN(K236,K236*CDR*MAX(0,MIN(9,'Loan Tape'!$AV232)-8))</f>
        <v>0</v>
      </c>
      <c r="L842" s="99" t="n">
        <f aca="false">MIN(L236,L236*CDR*MAX(0,MIN(10,'Loan Tape'!$AV232)-9))</f>
        <v>0</v>
      </c>
    </row>
    <row r="843" customFormat="false" ht="15" hidden="false" customHeight="false" outlineLevel="0" collapsed="false">
      <c r="B843" s="108" t="n">
        <f aca="false">'Loan Tape'!$A233</f>
        <v>0</v>
      </c>
      <c r="C843" s="71" t="n">
        <f aca="false">MIN(C237,C237*CDR*MAX(0,MIN(1,'Loan Tape'!$AV233)-0))</f>
        <v>0</v>
      </c>
      <c r="D843" s="71" t="n">
        <f aca="false">MIN(D237,D237*CDR*MAX(0,MIN(2,'Loan Tape'!$AV233)-1))</f>
        <v>0</v>
      </c>
      <c r="E843" s="71" t="n">
        <f aca="false">MIN(E237,E237*CDR*MAX(0,MIN(3,'Loan Tape'!$AV233)-2))</f>
        <v>0</v>
      </c>
      <c r="F843" s="71" t="n">
        <f aca="false">MIN(F237,F237*CDR*MAX(0,MIN(4,'Loan Tape'!$AV233)-3))</f>
        <v>0</v>
      </c>
      <c r="G843" s="71" t="n">
        <f aca="false">MIN(G237,G237*CDR*MAX(0,MIN(5,'Loan Tape'!$AV233)-4))</f>
        <v>0</v>
      </c>
      <c r="H843" s="71" t="n">
        <f aca="false">MIN(H237,H237*CDR*MAX(0,MIN(6,'Loan Tape'!$AV233)-5))</f>
        <v>0</v>
      </c>
      <c r="I843" s="71" t="n">
        <f aca="false">MIN(I237,I237*CDR*MAX(0,MIN(7,'Loan Tape'!$AV233)-6))</f>
        <v>0</v>
      </c>
      <c r="J843" s="71" t="n">
        <f aca="false">MIN(J237,J237*CDR*MAX(0,MIN(8,'Loan Tape'!$AV233)-7))</f>
        <v>0</v>
      </c>
      <c r="K843" s="71" t="n">
        <f aca="false">MIN(K237,K237*CDR*MAX(0,MIN(9,'Loan Tape'!$AV233)-8))</f>
        <v>0</v>
      </c>
      <c r="L843" s="71" t="n">
        <f aca="false">MIN(L237,L237*CDR*MAX(0,MIN(10,'Loan Tape'!$AV233)-9))</f>
        <v>0</v>
      </c>
    </row>
    <row r="844" customFormat="false" ht="15" hidden="false" customHeight="false" outlineLevel="0" collapsed="false">
      <c r="B844" s="102" t="n">
        <f aca="false">'Loan Tape'!$A234</f>
        <v>0</v>
      </c>
      <c r="C844" s="99" t="n">
        <f aca="false">MIN(C238,C238*CDR*MAX(0,MIN(1,'Loan Tape'!$AV234)-0))</f>
        <v>0</v>
      </c>
      <c r="D844" s="99" t="n">
        <f aca="false">MIN(D238,D238*CDR*MAX(0,MIN(2,'Loan Tape'!$AV234)-1))</f>
        <v>0</v>
      </c>
      <c r="E844" s="99" t="n">
        <f aca="false">MIN(E238,E238*CDR*MAX(0,MIN(3,'Loan Tape'!$AV234)-2))</f>
        <v>0</v>
      </c>
      <c r="F844" s="99" t="n">
        <f aca="false">MIN(F238,F238*CDR*MAX(0,MIN(4,'Loan Tape'!$AV234)-3))</f>
        <v>0</v>
      </c>
      <c r="G844" s="99" t="n">
        <f aca="false">MIN(G238,G238*CDR*MAX(0,MIN(5,'Loan Tape'!$AV234)-4))</f>
        <v>0</v>
      </c>
      <c r="H844" s="99" t="n">
        <f aca="false">MIN(H238,H238*CDR*MAX(0,MIN(6,'Loan Tape'!$AV234)-5))</f>
        <v>0</v>
      </c>
      <c r="I844" s="99" t="n">
        <f aca="false">MIN(I238,I238*CDR*MAX(0,MIN(7,'Loan Tape'!$AV234)-6))</f>
        <v>0</v>
      </c>
      <c r="J844" s="99" t="n">
        <f aca="false">MIN(J238,J238*CDR*MAX(0,MIN(8,'Loan Tape'!$AV234)-7))</f>
        <v>0</v>
      </c>
      <c r="K844" s="99" t="n">
        <f aca="false">MIN(K238,K238*CDR*MAX(0,MIN(9,'Loan Tape'!$AV234)-8))</f>
        <v>0</v>
      </c>
      <c r="L844" s="99" t="n">
        <f aca="false">MIN(L238,L238*CDR*MAX(0,MIN(10,'Loan Tape'!$AV234)-9))</f>
        <v>0</v>
      </c>
    </row>
    <row r="845" customFormat="false" ht="15" hidden="false" customHeight="false" outlineLevel="0" collapsed="false">
      <c r="B845" s="108" t="n">
        <f aca="false">'Loan Tape'!$A235</f>
        <v>0</v>
      </c>
      <c r="C845" s="71" t="n">
        <f aca="false">MIN(C239,C239*CDR*MAX(0,MIN(1,'Loan Tape'!$AV235)-0))</f>
        <v>0</v>
      </c>
      <c r="D845" s="71" t="n">
        <f aca="false">MIN(D239,D239*CDR*MAX(0,MIN(2,'Loan Tape'!$AV235)-1))</f>
        <v>0</v>
      </c>
      <c r="E845" s="71" t="n">
        <f aca="false">MIN(E239,E239*CDR*MAX(0,MIN(3,'Loan Tape'!$AV235)-2))</f>
        <v>0</v>
      </c>
      <c r="F845" s="71" t="n">
        <f aca="false">MIN(F239,F239*CDR*MAX(0,MIN(4,'Loan Tape'!$AV235)-3))</f>
        <v>0</v>
      </c>
      <c r="G845" s="71" t="n">
        <f aca="false">MIN(G239,G239*CDR*MAX(0,MIN(5,'Loan Tape'!$AV235)-4))</f>
        <v>0</v>
      </c>
      <c r="H845" s="71" t="n">
        <f aca="false">MIN(H239,H239*CDR*MAX(0,MIN(6,'Loan Tape'!$AV235)-5))</f>
        <v>0</v>
      </c>
      <c r="I845" s="71" t="n">
        <f aca="false">MIN(I239,I239*CDR*MAX(0,MIN(7,'Loan Tape'!$AV235)-6))</f>
        <v>0</v>
      </c>
      <c r="J845" s="71" t="n">
        <f aca="false">MIN(J239,J239*CDR*MAX(0,MIN(8,'Loan Tape'!$AV235)-7))</f>
        <v>0</v>
      </c>
      <c r="K845" s="71" t="n">
        <f aca="false">MIN(K239,K239*CDR*MAX(0,MIN(9,'Loan Tape'!$AV235)-8))</f>
        <v>0</v>
      </c>
      <c r="L845" s="71" t="n">
        <f aca="false">MIN(L239,L239*CDR*MAX(0,MIN(10,'Loan Tape'!$AV235)-9))</f>
        <v>0</v>
      </c>
    </row>
    <row r="846" customFormat="false" ht="15" hidden="false" customHeight="false" outlineLevel="0" collapsed="false">
      <c r="B846" s="102" t="n">
        <f aca="false">'Loan Tape'!$A236</f>
        <v>0</v>
      </c>
      <c r="C846" s="99" t="n">
        <f aca="false">MIN(C240,C240*CDR*MAX(0,MIN(1,'Loan Tape'!$AV236)-0))</f>
        <v>0</v>
      </c>
      <c r="D846" s="99" t="n">
        <f aca="false">MIN(D240,D240*CDR*MAX(0,MIN(2,'Loan Tape'!$AV236)-1))</f>
        <v>0</v>
      </c>
      <c r="E846" s="99" t="n">
        <f aca="false">MIN(E240,E240*CDR*MAX(0,MIN(3,'Loan Tape'!$AV236)-2))</f>
        <v>0</v>
      </c>
      <c r="F846" s="99" t="n">
        <f aca="false">MIN(F240,F240*CDR*MAX(0,MIN(4,'Loan Tape'!$AV236)-3))</f>
        <v>0</v>
      </c>
      <c r="G846" s="99" t="n">
        <f aca="false">MIN(G240,G240*CDR*MAX(0,MIN(5,'Loan Tape'!$AV236)-4))</f>
        <v>0</v>
      </c>
      <c r="H846" s="99" t="n">
        <f aca="false">MIN(H240,H240*CDR*MAX(0,MIN(6,'Loan Tape'!$AV236)-5))</f>
        <v>0</v>
      </c>
      <c r="I846" s="99" t="n">
        <f aca="false">MIN(I240,I240*CDR*MAX(0,MIN(7,'Loan Tape'!$AV236)-6))</f>
        <v>0</v>
      </c>
      <c r="J846" s="99" t="n">
        <f aca="false">MIN(J240,J240*CDR*MAX(0,MIN(8,'Loan Tape'!$AV236)-7))</f>
        <v>0</v>
      </c>
      <c r="K846" s="99" t="n">
        <f aca="false">MIN(K240,K240*CDR*MAX(0,MIN(9,'Loan Tape'!$AV236)-8))</f>
        <v>0</v>
      </c>
      <c r="L846" s="99" t="n">
        <f aca="false">MIN(L240,L240*CDR*MAX(0,MIN(10,'Loan Tape'!$AV236)-9))</f>
        <v>0</v>
      </c>
    </row>
    <row r="847" customFormat="false" ht="15" hidden="false" customHeight="false" outlineLevel="0" collapsed="false">
      <c r="B847" s="108" t="n">
        <f aca="false">'Loan Tape'!$A237</f>
        <v>0</v>
      </c>
      <c r="C847" s="71" t="n">
        <f aca="false">MIN(C241,C241*CDR*MAX(0,MIN(1,'Loan Tape'!$AV237)-0))</f>
        <v>0</v>
      </c>
      <c r="D847" s="71" t="n">
        <f aca="false">MIN(D241,D241*CDR*MAX(0,MIN(2,'Loan Tape'!$AV237)-1))</f>
        <v>0</v>
      </c>
      <c r="E847" s="71" t="n">
        <f aca="false">MIN(E241,E241*CDR*MAX(0,MIN(3,'Loan Tape'!$AV237)-2))</f>
        <v>0</v>
      </c>
      <c r="F847" s="71" t="n">
        <f aca="false">MIN(F241,F241*CDR*MAX(0,MIN(4,'Loan Tape'!$AV237)-3))</f>
        <v>0</v>
      </c>
      <c r="G847" s="71" t="n">
        <f aca="false">MIN(G241,G241*CDR*MAX(0,MIN(5,'Loan Tape'!$AV237)-4))</f>
        <v>0</v>
      </c>
      <c r="H847" s="71" t="n">
        <f aca="false">MIN(H241,H241*CDR*MAX(0,MIN(6,'Loan Tape'!$AV237)-5))</f>
        <v>0</v>
      </c>
      <c r="I847" s="71" t="n">
        <f aca="false">MIN(I241,I241*CDR*MAX(0,MIN(7,'Loan Tape'!$AV237)-6))</f>
        <v>0</v>
      </c>
      <c r="J847" s="71" t="n">
        <f aca="false">MIN(J241,J241*CDR*MAX(0,MIN(8,'Loan Tape'!$AV237)-7))</f>
        <v>0</v>
      </c>
      <c r="K847" s="71" t="n">
        <f aca="false">MIN(K241,K241*CDR*MAX(0,MIN(9,'Loan Tape'!$AV237)-8))</f>
        <v>0</v>
      </c>
      <c r="L847" s="71" t="n">
        <f aca="false">MIN(L241,L241*CDR*MAX(0,MIN(10,'Loan Tape'!$AV237)-9))</f>
        <v>0</v>
      </c>
    </row>
    <row r="848" customFormat="false" ht="15" hidden="false" customHeight="false" outlineLevel="0" collapsed="false">
      <c r="B848" s="102" t="n">
        <f aca="false">'Loan Tape'!$A238</f>
        <v>0</v>
      </c>
      <c r="C848" s="99" t="n">
        <f aca="false">MIN(C242,C242*CDR*MAX(0,MIN(1,'Loan Tape'!$AV238)-0))</f>
        <v>0</v>
      </c>
      <c r="D848" s="99" t="n">
        <f aca="false">MIN(D242,D242*CDR*MAX(0,MIN(2,'Loan Tape'!$AV238)-1))</f>
        <v>0</v>
      </c>
      <c r="E848" s="99" t="n">
        <f aca="false">MIN(E242,E242*CDR*MAX(0,MIN(3,'Loan Tape'!$AV238)-2))</f>
        <v>0</v>
      </c>
      <c r="F848" s="99" t="n">
        <f aca="false">MIN(F242,F242*CDR*MAX(0,MIN(4,'Loan Tape'!$AV238)-3))</f>
        <v>0</v>
      </c>
      <c r="G848" s="99" t="n">
        <f aca="false">MIN(G242,G242*CDR*MAX(0,MIN(5,'Loan Tape'!$AV238)-4))</f>
        <v>0</v>
      </c>
      <c r="H848" s="99" t="n">
        <f aca="false">MIN(H242,H242*CDR*MAX(0,MIN(6,'Loan Tape'!$AV238)-5))</f>
        <v>0</v>
      </c>
      <c r="I848" s="99" t="n">
        <f aca="false">MIN(I242,I242*CDR*MAX(0,MIN(7,'Loan Tape'!$AV238)-6))</f>
        <v>0</v>
      </c>
      <c r="J848" s="99" t="n">
        <f aca="false">MIN(J242,J242*CDR*MAX(0,MIN(8,'Loan Tape'!$AV238)-7))</f>
        <v>0</v>
      </c>
      <c r="K848" s="99" t="n">
        <f aca="false">MIN(K242,K242*CDR*MAX(0,MIN(9,'Loan Tape'!$AV238)-8))</f>
        <v>0</v>
      </c>
      <c r="L848" s="99" t="n">
        <f aca="false">MIN(L242,L242*CDR*MAX(0,MIN(10,'Loan Tape'!$AV238)-9))</f>
        <v>0</v>
      </c>
    </row>
    <row r="849" customFormat="false" ht="15" hidden="false" customHeight="false" outlineLevel="0" collapsed="false">
      <c r="B849" s="108" t="n">
        <f aca="false">'Loan Tape'!$A239</f>
        <v>0</v>
      </c>
      <c r="C849" s="71" t="n">
        <f aca="false">MIN(C243,C243*CDR*MAX(0,MIN(1,'Loan Tape'!$AV239)-0))</f>
        <v>0</v>
      </c>
      <c r="D849" s="71" t="n">
        <f aca="false">MIN(D243,D243*CDR*MAX(0,MIN(2,'Loan Tape'!$AV239)-1))</f>
        <v>0</v>
      </c>
      <c r="E849" s="71" t="n">
        <f aca="false">MIN(E243,E243*CDR*MAX(0,MIN(3,'Loan Tape'!$AV239)-2))</f>
        <v>0</v>
      </c>
      <c r="F849" s="71" t="n">
        <f aca="false">MIN(F243,F243*CDR*MAX(0,MIN(4,'Loan Tape'!$AV239)-3))</f>
        <v>0</v>
      </c>
      <c r="G849" s="71" t="n">
        <f aca="false">MIN(G243,G243*CDR*MAX(0,MIN(5,'Loan Tape'!$AV239)-4))</f>
        <v>0</v>
      </c>
      <c r="H849" s="71" t="n">
        <f aca="false">MIN(H243,H243*CDR*MAX(0,MIN(6,'Loan Tape'!$AV239)-5))</f>
        <v>0</v>
      </c>
      <c r="I849" s="71" t="n">
        <f aca="false">MIN(I243,I243*CDR*MAX(0,MIN(7,'Loan Tape'!$AV239)-6))</f>
        <v>0</v>
      </c>
      <c r="J849" s="71" t="n">
        <f aca="false">MIN(J243,J243*CDR*MAX(0,MIN(8,'Loan Tape'!$AV239)-7))</f>
        <v>0</v>
      </c>
      <c r="K849" s="71" t="n">
        <f aca="false">MIN(K243,K243*CDR*MAX(0,MIN(9,'Loan Tape'!$AV239)-8))</f>
        <v>0</v>
      </c>
      <c r="L849" s="71" t="n">
        <f aca="false">MIN(L243,L243*CDR*MAX(0,MIN(10,'Loan Tape'!$AV239)-9))</f>
        <v>0</v>
      </c>
    </row>
    <row r="850" customFormat="false" ht="15" hidden="false" customHeight="false" outlineLevel="0" collapsed="false">
      <c r="B850" s="102" t="n">
        <f aca="false">'Loan Tape'!$A240</f>
        <v>0</v>
      </c>
      <c r="C850" s="99" t="n">
        <f aca="false">MIN(C244,C244*CDR*MAX(0,MIN(1,'Loan Tape'!$AV240)-0))</f>
        <v>0</v>
      </c>
      <c r="D850" s="99" t="n">
        <f aca="false">MIN(D244,D244*CDR*MAX(0,MIN(2,'Loan Tape'!$AV240)-1))</f>
        <v>0</v>
      </c>
      <c r="E850" s="99" t="n">
        <f aca="false">MIN(E244,E244*CDR*MAX(0,MIN(3,'Loan Tape'!$AV240)-2))</f>
        <v>0</v>
      </c>
      <c r="F850" s="99" t="n">
        <f aca="false">MIN(F244,F244*CDR*MAX(0,MIN(4,'Loan Tape'!$AV240)-3))</f>
        <v>0</v>
      </c>
      <c r="G850" s="99" t="n">
        <f aca="false">MIN(G244,G244*CDR*MAX(0,MIN(5,'Loan Tape'!$AV240)-4))</f>
        <v>0</v>
      </c>
      <c r="H850" s="99" t="n">
        <f aca="false">MIN(H244,H244*CDR*MAX(0,MIN(6,'Loan Tape'!$AV240)-5))</f>
        <v>0</v>
      </c>
      <c r="I850" s="99" t="n">
        <f aca="false">MIN(I244,I244*CDR*MAX(0,MIN(7,'Loan Tape'!$AV240)-6))</f>
        <v>0</v>
      </c>
      <c r="J850" s="99" t="n">
        <f aca="false">MIN(J244,J244*CDR*MAX(0,MIN(8,'Loan Tape'!$AV240)-7))</f>
        <v>0</v>
      </c>
      <c r="K850" s="99" t="n">
        <f aca="false">MIN(K244,K244*CDR*MAX(0,MIN(9,'Loan Tape'!$AV240)-8))</f>
        <v>0</v>
      </c>
      <c r="L850" s="99" t="n">
        <f aca="false">MIN(L244,L244*CDR*MAX(0,MIN(10,'Loan Tape'!$AV240)-9))</f>
        <v>0</v>
      </c>
    </row>
    <row r="851" customFormat="false" ht="15" hidden="false" customHeight="false" outlineLevel="0" collapsed="false">
      <c r="B851" s="108" t="n">
        <f aca="false">'Loan Tape'!$A241</f>
        <v>0</v>
      </c>
      <c r="C851" s="71" t="n">
        <f aca="false">MIN(C245,C245*CDR*MAX(0,MIN(1,'Loan Tape'!$AV241)-0))</f>
        <v>0</v>
      </c>
      <c r="D851" s="71" t="n">
        <f aca="false">MIN(D245,D245*CDR*MAX(0,MIN(2,'Loan Tape'!$AV241)-1))</f>
        <v>0</v>
      </c>
      <c r="E851" s="71" t="n">
        <f aca="false">MIN(E245,E245*CDR*MAX(0,MIN(3,'Loan Tape'!$AV241)-2))</f>
        <v>0</v>
      </c>
      <c r="F851" s="71" t="n">
        <f aca="false">MIN(F245,F245*CDR*MAX(0,MIN(4,'Loan Tape'!$AV241)-3))</f>
        <v>0</v>
      </c>
      <c r="G851" s="71" t="n">
        <f aca="false">MIN(G245,G245*CDR*MAX(0,MIN(5,'Loan Tape'!$AV241)-4))</f>
        <v>0</v>
      </c>
      <c r="H851" s="71" t="n">
        <f aca="false">MIN(H245,H245*CDR*MAX(0,MIN(6,'Loan Tape'!$AV241)-5))</f>
        <v>0</v>
      </c>
      <c r="I851" s="71" t="n">
        <f aca="false">MIN(I245,I245*CDR*MAX(0,MIN(7,'Loan Tape'!$AV241)-6))</f>
        <v>0</v>
      </c>
      <c r="J851" s="71" t="n">
        <f aca="false">MIN(J245,J245*CDR*MAX(0,MIN(8,'Loan Tape'!$AV241)-7))</f>
        <v>0</v>
      </c>
      <c r="K851" s="71" t="n">
        <f aca="false">MIN(K245,K245*CDR*MAX(0,MIN(9,'Loan Tape'!$AV241)-8))</f>
        <v>0</v>
      </c>
      <c r="L851" s="71" t="n">
        <f aca="false">MIN(L245,L245*CDR*MAX(0,MIN(10,'Loan Tape'!$AV241)-9))</f>
        <v>0</v>
      </c>
    </row>
    <row r="852" customFormat="false" ht="15" hidden="false" customHeight="false" outlineLevel="0" collapsed="false">
      <c r="B852" s="102" t="n">
        <f aca="false">'Loan Tape'!$A242</f>
        <v>0</v>
      </c>
      <c r="C852" s="99" t="n">
        <f aca="false">MIN(C246,C246*CDR*MAX(0,MIN(1,'Loan Tape'!$AV242)-0))</f>
        <v>0</v>
      </c>
      <c r="D852" s="99" t="n">
        <f aca="false">MIN(D246,D246*CDR*MAX(0,MIN(2,'Loan Tape'!$AV242)-1))</f>
        <v>0</v>
      </c>
      <c r="E852" s="99" t="n">
        <f aca="false">MIN(E246,E246*CDR*MAX(0,MIN(3,'Loan Tape'!$AV242)-2))</f>
        <v>0</v>
      </c>
      <c r="F852" s="99" t="n">
        <f aca="false">MIN(F246,F246*CDR*MAX(0,MIN(4,'Loan Tape'!$AV242)-3))</f>
        <v>0</v>
      </c>
      <c r="G852" s="99" t="n">
        <f aca="false">MIN(G246,G246*CDR*MAX(0,MIN(5,'Loan Tape'!$AV242)-4))</f>
        <v>0</v>
      </c>
      <c r="H852" s="99" t="n">
        <f aca="false">MIN(H246,H246*CDR*MAX(0,MIN(6,'Loan Tape'!$AV242)-5))</f>
        <v>0</v>
      </c>
      <c r="I852" s="99" t="n">
        <f aca="false">MIN(I246,I246*CDR*MAX(0,MIN(7,'Loan Tape'!$AV242)-6))</f>
        <v>0</v>
      </c>
      <c r="J852" s="99" t="n">
        <f aca="false">MIN(J246,J246*CDR*MAX(0,MIN(8,'Loan Tape'!$AV242)-7))</f>
        <v>0</v>
      </c>
      <c r="K852" s="99" t="n">
        <f aca="false">MIN(K246,K246*CDR*MAX(0,MIN(9,'Loan Tape'!$AV242)-8))</f>
        <v>0</v>
      </c>
      <c r="L852" s="99" t="n">
        <f aca="false">MIN(L246,L246*CDR*MAX(0,MIN(10,'Loan Tape'!$AV242)-9))</f>
        <v>0</v>
      </c>
    </row>
    <row r="853" customFormat="false" ht="15" hidden="false" customHeight="false" outlineLevel="0" collapsed="false">
      <c r="B853" s="108" t="n">
        <f aca="false">'Loan Tape'!$A243</f>
        <v>0</v>
      </c>
      <c r="C853" s="71" t="n">
        <f aca="false">MIN(C247,C247*CDR*MAX(0,MIN(1,'Loan Tape'!$AV243)-0))</f>
        <v>0</v>
      </c>
      <c r="D853" s="71" t="n">
        <f aca="false">MIN(D247,D247*CDR*MAX(0,MIN(2,'Loan Tape'!$AV243)-1))</f>
        <v>0</v>
      </c>
      <c r="E853" s="71" t="n">
        <f aca="false">MIN(E247,E247*CDR*MAX(0,MIN(3,'Loan Tape'!$AV243)-2))</f>
        <v>0</v>
      </c>
      <c r="F853" s="71" t="n">
        <f aca="false">MIN(F247,F247*CDR*MAX(0,MIN(4,'Loan Tape'!$AV243)-3))</f>
        <v>0</v>
      </c>
      <c r="G853" s="71" t="n">
        <f aca="false">MIN(G247,G247*CDR*MAX(0,MIN(5,'Loan Tape'!$AV243)-4))</f>
        <v>0</v>
      </c>
      <c r="H853" s="71" t="n">
        <f aca="false">MIN(H247,H247*CDR*MAX(0,MIN(6,'Loan Tape'!$AV243)-5))</f>
        <v>0</v>
      </c>
      <c r="I853" s="71" t="n">
        <f aca="false">MIN(I247,I247*CDR*MAX(0,MIN(7,'Loan Tape'!$AV243)-6))</f>
        <v>0</v>
      </c>
      <c r="J853" s="71" t="n">
        <f aca="false">MIN(J247,J247*CDR*MAX(0,MIN(8,'Loan Tape'!$AV243)-7))</f>
        <v>0</v>
      </c>
      <c r="K853" s="71" t="n">
        <f aca="false">MIN(K247,K247*CDR*MAX(0,MIN(9,'Loan Tape'!$AV243)-8))</f>
        <v>0</v>
      </c>
      <c r="L853" s="71" t="n">
        <f aca="false">MIN(L247,L247*CDR*MAX(0,MIN(10,'Loan Tape'!$AV243)-9))</f>
        <v>0</v>
      </c>
    </row>
    <row r="854" customFormat="false" ht="15" hidden="false" customHeight="false" outlineLevel="0" collapsed="false">
      <c r="B854" s="102" t="n">
        <f aca="false">'Loan Tape'!$A244</f>
        <v>0</v>
      </c>
      <c r="C854" s="99" t="n">
        <f aca="false">MIN(C248,C248*CDR*MAX(0,MIN(1,'Loan Tape'!$AV244)-0))</f>
        <v>0</v>
      </c>
      <c r="D854" s="99" t="n">
        <f aca="false">MIN(D248,D248*CDR*MAX(0,MIN(2,'Loan Tape'!$AV244)-1))</f>
        <v>0</v>
      </c>
      <c r="E854" s="99" t="n">
        <f aca="false">MIN(E248,E248*CDR*MAX(0,MIN(3,'Loan Tape'!$AV244)-2))</f>
        <v>0</v>
      </c>
      <c r="F854" s="99" t="n">
        <f aca="false">MIN(F248,F248*CDR*MAX(0,MIN(4,'Loan Tape'!$AV244)-3))</f>
        <v>0</v>
      </c>
      <c r="G854" s="99" t="n">
        <f aca="false">MIN(G248,G248*CDR*MAX(0,MIN(5,'Loan Tape'!$AV244)-4))</f>
        <v>0</v>
      </c>
      <c r="H854" s="99" t="n">
        <f aca="false">MIN(H248,H248*CDR*MAX(0,MIN(6,'Loan Tape'!$AV244)-5))</f>
        <v>0</v>
      </c>
      <c r="I854" s="99" t="n">
        <f aca="false">MIN(I248,I248*CDR*MAX(0,MIN(7,'Loan Tape'!$AV244)-6))</f>
        <v>0</v>
      </c>
      <c r="J854" s="99" t="n">
        <f aca="false">MIN(J248,J248*CDR*MAX(0,MIN(8,'Loan Tape'!$AV244)-7))</f>
        <v>0</v>
      </c>
      <c r="K854" s="99" t="n">
        <f aca="false">MIN(K248,K248*CDR*MAX(0,MIN(9,'Loan Tape'!$AV244)-8))</f>
        <v>0</v>
      </c>
      <c r="L854" s="99" t="n">
        <f aca="false">MIN(L248,L248*CDR*MAX(0,MIN(10,'Loan Tape'!$AV244)-9))</f>
        <v>0</v>
      </c>
    </row>
    <row r="855" customFormat="false" ht="15" hidden="false" customHeight="false" outlineLevel="0" collapsed="false">
      <c r="B855" s="108" t="n">
        <f aca="false">'Loan Tape'!$A245</f>
        <v>0</v>
      </c>
      <c r="C855" s="71" t="n">
        <f aca="false">MIN(C249,C249*CDR*MAX(0,MIN(1,'Loan Tape'!$AV245)-0))</f>
        <v>0</v>
      </c>
      <c r="D855" s="71" t="n">
        <f aca="false">MIN(D249,D249*CDR*MAX(0,MIN(2,'Loan Tape'!$AV245)-1))</f>
        <v>0</v>
      </c>
      <c r="E855" s="71" t="n">
        <f aca="false">MIN(E249,E249*CDR*MAX(0,MIN(3,'Loan Tape'!$AV245)-2))</f>
        <v>0</v>
      </c>
      <c r="F855" s="71" t="n">
        <f aca="false">MIN(F249,F249*CDR*MAX(0,MIN(4,'Loan Tape'!$AV245)-3))</f>
        <v>0</v>
      </c>
      <c r="G855" s="71" t="n">
        <f aca="false">MIN(G249,G249*CDR*MAX(0,MIN(5,'Loan Tape'!$AV245)-4))</f>
        <v>0</v>
      </c>
      <c r="H855" s="71" t="n">
        <f aca="false">MIN(H249,H249*CDR*MAX(0,MIN(6,'Loan Tape'!$AV245)-5))</f>
        <v>0</v>
      </c>
      <c r="I855" s="71" t="n">
        <f aca="false">MIN(I249,I249*CDR*MAX(0,MIN(7,'Loan Tape'!$AV245)-6))</f>
        <v>0</v>
      </c>
      <c r="J855" s="71" t="n">
        <f aca="false">MIN(J249,J249*CDR*MAX(0,MIN(8,'Loan Tape'!$AV245)-7))</f>
        <v>0</v>
      </c>
      <c r="K855" s="71" t="n">
        <f aca="false">MIN(K249,K249*CDR*MAX(0,MIN(9,'Loan Tape'!$AV245)-8))</f>
        <v>0</v>
      </c>
      <c r="L855" s="71" t="n">
        <f aca="false">MIN(L249,L249*CDR*MAX(0,MIN(10,'Loan Tape'!$AV245)-9))</f>
        <v>0</v>
      </c>
    </row>
    <row r="856" customFormat="false" ht="15" hidden="false" customHeight="false" outlineLevel="0" collapsed="false">
      <c r="B856" s="102" t="n">
        <f aca="false">'Loan Tape'!$A246</f>
        <v>0</v>
      </c>
      <c r="C856" s="99" t="n">
        <f aca="false">MIN(C250,C250*CDR*MAX(0,MIN(1,'Loan Tape'!$AV246)-0))</f>
        <v>0</v>
      </c>
      <c r="D856" s="99" t="n">
        <f aca="false">MIN(D250,D250*CDR*MAX(0,MIN(2,'Loan Tape'!$AV246)-1))</f>
        <v>0</v>
      </c>
      <c r="E856" s="99" t="n">
        <f aca="false">MIN(E250,E250*CDR*MAX(0,MIN(3,'Loan Tape'!$AV246)-2))</f>
        <v>0</v>
      </c>
      <c r="F856" s="99" t="n">
        <f aca="false">MIN(F250,F250*CDR*MAX(0,MIN(4,'Loan Tape'!$AV246)-3))</f>
        <v>0</v>
      </c>
      <c r="G856" s="99" t="n">
        <f aca="false">MIN(G250,G250*CDR*MAX(0,MIN(5,'Loan Tape'!$AV246)-4))</f>
        <v>0</v>
      </c>
      <c r="H856" s="99" t="n">
        <f aca="false">MIN(H250,H250*CDR*MAX(0,MIN(6,'Loan Tape'!$AV246)-5))</f>
        <v>0</v>
      </c>
      <c r="I856" s="99" t="n">
        <f aca="false">MIN(I250,I250*CDR*MAX(0,MIN(7,'Loan Tape'!$AV246)-6))</f>
        <v>0</v>
      </c>
      <c r="J856" s="99" t="n">
        <f aca="false">MIN(J250,J250*CDR*MAX(0,MIN(8,'Loan Tape'!$AV246)-7))</f>
        <v>0</v>
      </c>
      <c r="K856" s="99" t="n">
        <f aca="false">MIN(K250,K250*CDR*MAX(0,MIN(9,'Loan Tape'!$AV246)-8))</f>
        <v>0</v>
      </c>
      <c r="L856" s="99" t="n">
        <f aca="false">MIN(L250,L250*CDR*MAX(0,MIN(10,'Loan Tape'!$AV246)-9))</f>
        <v>0</v>
      </c>
    </row>
    <row r="857" customFormat="false" ht="15" hidden="false" customHeight="false" outlineLevel="0" collapsed="false">
      <c r="B857" s="108" t="n">
        <f aca="false">'Loan Tape'!$A247</f>
        <v>0</v>
      </c>
      <c r="C857" s="71" t="n">
        <f aca="false">MIN(C251,C251*CDR*MAX(0,MIN(1,'Loan Tape'!$AV247)-0))</f>
        <v>0</v>
      </c>
      <c r="D857" s="71" t="n">
        <f aca="false">MIN(D251,D251*CDR*MAX(0,MIN(2,'Loan Tape'!$AV247)-1))</f>
        <v>0</v>
      </c>
      <c r="E857" s="71" t="n">
        <f aca="false">MIN(E251,E251*CDR*MAX(0,MIN(3,'Loan Tape'!$AV247)-2))</f>
        <v>0</v>
      </c>
      <c r="F857" s="71" t="n">
        <f aca="false">MIN(F251,F251*CDR*MAX(0,MIN(4,'Loan Tape'!$AV247)-3))</f>
        <v>0</v>
      </c>
      <c r="G857" s="71" t="n">
        <f aca="false">MIN(G251,G251*CDR*MAX(0,MIN(5,'Loan Tape'!$AV247)-4))</f>
        <v>0</v>
      </c>
      <c r="H857" s="71" t="n">
        <f aca="false">MIN(H251,H251*CDR*MAX(0,MIN(6,'Loan Tape'!$AV247)-5))</f>
        <v>0</v>
      </c>
      <c r="I857" s="71" t="n">
        <f aca="false">MIN(I251,I251*CDR*MAX(0,MIN(7,'Loan Tape'!$AV247)-6))</f>
        <v>0</v>
      </c>
      <c r="J857" s="71" t="n">
        <f aca="false">MIN(J251,J251*CDR*MAX(0,MIN(8,'Loan Tape'!$AV247)-7))</f>
        <v>0</v>
      </c>
      <c r="K857" s="71" t="n">
        <f aca="false">MIN(K251,K251*CDR*MAX(0,MIN(9,'Loan Tape'!$AV247)-8))</f>
        <v>0</v>
      </c>
      <c r="L857" s="71" t="n">
        <f aca="false">MIN(L251,L251*CDR*MAX(0,MIN(10,'Loan Tape'!$AV247)-9))</f>
        <v>0</v>
      </c>
    </row>
    <row r="858" customFormat="false" ht="15" hidden="false" customHeight="false" outlineLevel="0" collapsed="false">
      <c r="B858" s="102" t="n">
        <f aca="false">'Loan Tape'!$A248</f>
        <v>0</v>
      </c>
      <c r="C858" s="99" t="n">
        <f aca="false">MIN(C252,C252*CDR*MAX(0,MIN(1,'Loan Tape'!$AV248)-0))</f>
        <v>0</v>
      </c>
      <c r="D858" s="99" t="n">
        <f aca="false">MIN(D252,D252*CDR*MAX(0,MIN(2,'Loan Tape'!$AV248)-1))</f>
        <v>0</v>
      </c>
      <c r="E858" s="99" t="n">
        <f aca="false">MIN(E252,E252*CDR*MAX(0,MIN(3,'Loan Tape'!$AV248)-2))</f>
        <v>0</v>
      </c>
      <c r="F858" s="99" t="n">
        <f aca="false">MIN(F252,F252*CDR*MAX(0,MIN(4,'Loan Tape'!$AV248)-3))</f>
        <v>0</v>
      </c>
      <c r="G858" s="99" t="n">
        <f aca="false">MIN(G252,G252*CDR*MAX(0,MIN(5,'Loan Tape'!$AV248)-4))</f>
        <v>0</v>
      </c>
      <c r="H858" s="99" t="n">
        <f aca="false">MIN(H252,H252*CDR*MAX(0,MIN(6,'Loan Tape'!$AV248)-5))</f>
        <v>0</v>
      </c>
      <c r="I858" s="99" t="n">
        <f aca="false">MIN(I252,I252*CDR*MAX(0,MIN(7,'Loan Tape'!$AV248)-6))</f>
        <v>0</v>
      </c>
      <c r="J858" s="99" t="n">
        <f aca="false">MIN(J252,J252*CDR*MAX(0,MIN(8,'Loan Tape'!$AV248)-7))</f>
        <v>0</v>
      </c>
      <c r="K858" s="99" t="n">
        <f aca="false">MIN(K252,K252*CDR*MAX(0,MIN(9,'Loan Tape'!$AV248)-8))</f>
        <v>0</v>
      </c>
      <c r="L858" s="99" t="n">
        <f aca="false">MIN(L252,L252*CDR*MAX(0,MIN(10,'Loan Tape'!$AV248)-9))</f>
        <v>0</v>
      </c>
    </row>
    <row r="859" customFormat="false" ht="15" hidden="false" customHeight="false" outlineLevel="0" collapsed="false">
      <c r="B859" s="108" t="n">
        <f aca="false">'Loan Tape'!$A249</f>
        <v>0</v>
      </c>
      <c r="C859" s="71" t="n">
        <f aca="false">MIN(C253,C253*CDR*MAX(0,MIN(1,'Loan Tape'!$AV249)-0))</f>
        <v>0</v>
      </c>
      <c r="D859" s="71" t="n">
        <f aca="false">MIN(D253,D253*CDR*MAX(0,MIN(2,'Loan Tape'!$AV249)-1))</f>
        <v>0</v>
      </c>
      <c r="E859" s="71" t="n">
        <f aca="false">MIN(E253,E253*CDR*MAX(0,MIN(3,'Loan Tape'!$AV249)-2))</f>
        <v>0</v>
      </c>
      <c r="F859" s="71" t="n">
        <f aca="false">MIN(F253,F253*CDR*MAX(0,MIN(4,'Loan Tape'!$AV249)-3))</f>
        <v>0</v>
      </c>
      <c r="G859" s="71" t="n">
        <f aca="false">MIN(G253,G253*CDR*MAX(0,MIN(5,'Loan Tape'!$AV249)-4))</f>
        <v>0</v>
      </c>
      <c r="H859" s="71" t="n">
        <f aca="false">MIN(H253,H253*CDR*MAX(0,MIN(6,'Loan Tape'!$AV249)-5))</f>
        <v>0</v>
      </c>
      <c r="I859" s="71" t="n">
        <f aca="false">MIN(I253,I253*CDR*MAX(0,MIN(7,'Loan Tape'!$AV249)-6))</f>
        <v>0</v>
      </c>
      <c r="J859" s="71" t="n">
        <f aca="false">MIN(J253,J253*CDR*MAX(0,MIN(8,'Loan Tape'!$AV249)-7))</f>
        <v>0</v>
      </c>
      <c r="K859" s="71" t="n">
        <f aca="false">MIN(K253,K253*CDR*MAX(0,MIN(9,'Loan Tape'!$AV249)-8))</f>
        <v>0</v>
      </c>
      <c r="L859" s="71" t="n">
        <f aca="false">MIN(L253,L253*CDR*MAX(0,MIN(10,'Loan Tape'!$AV249)-9))</f>
        <v>0</v>
      </c>
    </row>
    <row r="860" customFormat="false" ht="15" hidden="false" customHeight="false" outlineLevel="0" collapsed="false">
      <c r="B860" s="102" t="n">
        <f aca="false">'Loan Tape'!$A250</f>
        <v>0</v>
      </c>
      <c r="C860" s="99" t="n">
        <f aca="false">MIN(C254,C254*CDR*MAX(0,MIN(1,'Loan Tape'!$AV250)-0))</f>
        <v>0</v>
      </c>
      <c r="D860" s="99" t="n">
        <f aca="false">MIN(D254,D254*CDR*MAX(0,MIN(2,'Loan Tape'!$AV250)-1))</f>
        <v>0</v>
      </c>
      <c r="E860" s="99" t="n">
        <f aca="false">MIN(E254,E254*CDR*MAX(0,MIN(3,'Loan Tape'!$AV250)-2))</f>
        <v>0</v>
      </c>
      <c r="F860" s="99" t="n">
        <f aca="false">MIN(F254,F254*CDR*MAX(0,MIN(4,'Loan Tape'!$AV250)-3))</f>
        <v>0</v>
      </c>
      <c r="G860" s="99" t="n">
        <f aca="false">MIN(G254,G254*CDR*MAX(0,MIN(5,'Loan Tape'!$AV250)-4))</f>
        <v>0</v>
      </c>
      <c r="H860" s="99" t="n">
        <f aca="false">MIN(H254,H254*CDR*MAX(0,MIN(6,'Loan Tape'!$AV250)-5))</f>
        <v>0</v>
      </c>
      <c r="I860" s="99" t="n">
        <f aca="false">MIN(I254,I254*CDR*MAX(0,MIN(7,'Loan Tape'!$AV250)-6))</f>
        <v>0</v>
      </c>
      <c r="J860" s="99" t="n">
        <f aca="false">MIN(J254,J254*CDR*MAX(0,MIN(8,'Loan Tape'!$AV250)-7))</f>
        <v>0</v>
      </c>
      <c r="K860" s="99" t="n">
        <f aca="false">MIN(K254,K254*CDR*MAX(0,MIN(9,'Loan Tape'!$AV250)-8))</f>
        <v>0</v>
      </c>
      <c r="L860" s="99" t="n">
        <f aca="false">MIN(L254,L254*CDR*MAX(0,MIN(10,'Loan Tape'!$AV250)-9))</f>
        <v>0</v>
      </c>
    </row>
    <row r="861" customFormat="false" ht="15" hidden="false" customHeight="false" outlineLevel="0" collapsed="false">
      <c r="B861" s="108" t="n">
        <f aca="false">'Loan Tape'!$A251</f>
        <v>0</v>
      </c>
      <c r="C861" s="71" t="n">
        <f aca="false">MIN(C255,C255*CDR*MAX(0,MIN(1,'Loan Tape'!$AV251)-0))</f>
        <v>0</v>
      </c>
      <c r="D861" s="71" t="n">
        <f aca="false">MIN(D255,D255*CDR*MAX(0,MIN(2,'Loan Tape'!$AV251)-1))</f>
        <v>0</v>
      </c>
      <c r="E861" s="71" t="n">
        <f aca="false">MIN(E255,E255*CDR*MAX(0,MIN(3,'Loan Tape'!$AV251)-2))</f>
        <v>0</v>
      </c>
      <c r="F861" s="71" t="n">
        <f aca="false">MIN(F255,F255*CDR*MAX(0,MIN(4,'Loan Tape'!$AV251)-3))</f>
        <v>0</v>
      </c>
      <c r="G861" s="71" t="n">
        <f aca="false">MIN(G255,G255*CDR*MAX(0,MIN(5,'Loan Tape'!$AV251)-4))</f>
        <v>0</v>
      </c>
      <c r="H861" s="71" t="n">
        <f aca="false">MIN(H255,H255*CDR*MAX(0,MIN(6,'Loan Tape'!$AV251)-5))</f>
        <v>0</v>
      </c>
      <c r="I861" s="71" t="n">
        <f aca="false">MIN(I255,I255*CDR*MAX(0,MIN(7,'Loan Tape'!$AV251)-6))</f>
        <v>0</v>
      </c>
      <c r="J861" s="71" t="n">
        <f aca="false">MIN(J255,J255*CDR*MAX(0,MIN(8,'Loan Tape'!$AV251)-7))</f>
        <v>0</v>
      </c>
      <c r="K861" s="71" t="n">
        <f aca="false">MIN(K255,K255*CDR*MAX(0,MIN(9,'Loan Tape'!$AV251)-8))</f>
        <v>0</v>
      </c>
      <c r="L861" s="71" t="n">
        <f aca="false">MIN(L255,L255*CDR*MAX(0,MIN(10,'Loan Tape'!$AV251)-9))</f>
        <v>0</v>
      </c>
    </row>
    <row r="862" customFormat="false" ht="15" hidden="false" customHeight="false" outlineLevel="0" collapsed="false">
      <c r="B862" s="102" t="n">
        <f aca="false">'Loan Tape'!$A252</f>
        <v>0</v>
      </c>
      <c r="C862" s="99" t="n">
        <f aca="false">MIN(C256,C256*CDR*MAX(0,MIN(1,'Loan Tape'!$AV252)-0))</f>
        <v>0</v>
      </c>
      <c r="D862" s="99" t="n">
        <f aca="false">MIN(D256,D256*CDR*MAX(0,MIN(2,'Loan Tape'!$AV252)-1))</f>
        <v>0</v>
      </c>
      <c r="E862" s="99" t="n">
        <f aca="false">MIN(E256,E256*CDR*MAX(0,MIN(3,'Loan Tape'!$AV252)-2))</f>
        <v>0</v>
      </c>
      <c r="F862" s="99" t="n">
        <f aca="false">MIN(F256,F256*CDR*MAX(0,MIN(4,'Loan Tape'!$AV252)-3))</f>
        <v>0</v>
      </c>
      <c r="G862" s="99" t="n">
        <f aca="false">MIN(G256,G256*CDR*MAX(0,MIN(5,'Loan Tape'!$AV252)-4))</f>
        <v>0</v>
      </c>
      <c r="H862" s="99" t="n">
        <f aca="false">MIN(H256,H256*CDR*MAX(0,MIN(6,'Loan Tape'!$AV252)-5))</f>
        <v>0</v>
      </c>
      <c r="I862" s="99" t="n">
        <f aca="false">MIN(I256,I256*CDR*MAX(0,MIN(7,'Loan Tape'!$AV252)-6))</f>
        <v>0</v>
      </c>
      <c r="J862" s="99" t="n">
        <f aca="false">MIN(J256,J256*CDR*MAX(0,MIN(8,'Loan Tape'!$AV252)-7))</f>
        <v>0</v>
      </c>
      <c r="K862" s="99" t="n">
        <f aca="false">MIN(K256,K256*CDR*MAX(0,MIN(9,'Loan Tape'!$AV252)-8))</f>
        <v>0</v>
      </c>
      <c r="L862" s="99" t="n">
        <f aca="false">MIN(L256,L256*CDR*MAX(0,MIN(10,'Loan Tape'!$AV252)-9))</f>
        <v>0</v>
      </c>
    </row>
    <row r="863" customFormat="false" ht="15" hidden="false" customHeight="false" outlineLevel="0" collapsed="false">
      <c r="B863" s="108" t="n">
        <f aca="false">'Loan Tape'!$A253</f>
        <v>0</v>
      </c>
      <c r="C863" s="71" t="n">
        <f aca="false">MIN(C257,C257*CDR*MAX(0,MIN(1,'Loan Tape'!$AV253)-0))</f>
        <v>0</v>
      </c>
      <c r="D863" s="71" t="n">
        <f aca="false">MIN(D257,D257*CDR*MAX(0,MIN(2,'Loan Tape'!$AV253)-1))</f>
        <v>0</v>
      </c>
      <c r="E863" s="71" t="n">
        <f aca="false">MIN(E257,E257*CDR*MAX(0,MIN(3,'Loan Tape'!$AV253)-2))</f>
        <v>0</v>
      </c>
      <c r="F863" s="71" t="n">
        <f aca="false">MIN(F257,F257*CDR*MAX(0,MIN(4,'Loan Tape'!$AV253)-3))</f>
        <v>0</v>
      </c>
      <c r="G863" s="71" t="n">
        <f aca="false">MIN(G257,G257*CDR*MAX(0,MIN(5,'Loan Tape'!$AV253)-4))</f>
        <v>0</v>
      </c>
      <c r="H863" s="71" t="n">
        <f aca="false">MIN(H257,H257*CDR*MAX(0,MIN(6,'Loan Tape'!$AV253)-5))</f>
        <v>0</v>
      </c>
      <c r="I863" s="71" t="n">
        <f aca="false">MIN(I257,I257*CDR*MAX(0,MIN(7,'Loan Tape'!$AV253)-6))</f>
        <v>0</v>
      </c>
      <c r="J863" s="71" t="n">
        <f aca="false">MIN(J257,J257*CDR*MAX(0,MIN(8,'Loan Tape'!$AV253)-7))</f>
        <v>0</v>
      </c>
      <c r="K863" s="71" t="n">
        <f aca="false">MIN(K257,K257*CDR*MAX(0,MIN(9,'Loan Tape'!$AV253)-8))</f>
        <v>0</v>
      </c>
      <c r="L863" s="71" t="n">
        <f aca="false">MIN(L257,L257*CDR*MAX(0,MIN(10,'Loan Tape'!$AV253)-9))</f>
        <v>0</v>
      </c>
    </row>
    <row r="864" customFormat="false" ht="15" hidden="false" customHeight="false" outlineLevel="0" collapsed="false">
      <c r="B864" s="102" t="n">
        <f aca="false">'Loan Tape'!$A254</f>
        <v>0</v>
      </c>
      <c r="C864" s="99" t="n">
        <f aca="false">MIN(C258,C258*CDR*MAX(0,MIN(1,'Loan Tape'!$AV254)-0))</f>
        <v>0</v>
      </c>
      <c r="D864" s="99" t="n">
        <f aca="false">MIN(D258,D258*CDR*MAX(0,MIN(2,'Loan Tape'!$AV254)-1))</f>
        <v>0</v>
      </c>
      <c r="E864" s="99" t="n">
        <f aca="false">MIN(E258,E258*CDR*MAX(0,MIN(3,'Loan Tape'!$AV254)-2))</f>
        <v>0</v>
      </c>
      <c r="F864" s="99" t="n">
        <f aca="false">MIN(F258,F258*CDR*MAX(0,MIN(4,'Loan Tape'!$AV254)-3))</f>
        <v>0</v>
      </c>
      <c r="G864" s="99" t="n">
        <f aca="false">MIN(G258,G258*CDR*MAX(0,MIN(5,'Loan Tape'!$AV254)-4))</f>
        <v>0</v>
      </c>
      <c r="H864" s="99" t="n">
        <f aca="false">MIN(H258,H258*CDR*MAX(0,MIN(6,'Loan Tape'!$AV254)-5))</f>
        <v>0</v>
      </c>
      <c r="I864" s="99" t="n">
        <f aca="false">MIN(I258,I258*CDR*MAX(0,MIN(7,'Loan Tape'!$AV254)-6))</f>
        <v>0</v>
      </c>
      <c r="J864" s="99" t="n">
        <f aca="false">MIN(J258,J258*CDR*MAX(0,MIN(8,'Loan Tape'!$AV254)-7))</f>
        <v>0</v>
      </c>
      <c r="K864" s="99" t="n">
        <f aca="false">MIN(K258,K258*CDR*MAX(0,MIN(9,'Loan Tape'!$AV254)-8))</f>
        <v>0</v>
      </c>
      <c r="L864" s="99" t="n">
        <f aca="false">MIN(L258,L258*CDR*MAX(0,MIN(10,'Loan Tape'!$AV254)-9))</f>
        <v>0</v>
      </c>
    </row>
    <row r="865" customFormat="false" ht="15" hidden="false" customHeight="false" outlineLevel="0" collapsed="false">
      <c r="B865" s="108" t="n">
        <f aca="false">'Loan Tape'!$A255</f>
        <v>0</v>
      </c>
      <c r="C865" s="71" t="n">
        <f aca="false">MIN(C259,C259*CDR*MAX(0,MIN(1,'Loan Tape'!$AV255)-0))</f>
        <v>0</v>
      </c>
      <c r="D865" s="71" t="n">
        <f aca="false">MIN(D259,D259*CDR*MAX(0,MIN(2,'Loan Tape'!$AV255)-1))</f>
        <v>0</v>
      </c>
      <c r="E865" s="71" t="n">
        <f aca="false">MIN(E259,E259*CDR*MAX(0,MIN(3,'Loan Tape'!$AV255)-2))</f>
        <v>0</v>
      </c>
      <c r="F865" s="71" t="n">
        <f aca="false">MIN(F259,F259*CDR*MAX(0,MIN(4,'Loan Tape'!$AV255)-3))</f>
        <v>0</v>
      </c>
      <c r="G865" s="71" t="n">
        <f aca="false">MIN(G259,G259*CDR*MAX(0,MIN(5,'Loan Tape'!$AV255)-4))</f>
        <v>0</v>
      </c>
      <c r="H865" s="71" t="n">
        <f aca="false">MIN(H259,H259*CDR*MAX(0,MIN(6,'Loan Tape'!$AV255)-5))</f>
        <v>0</v>
      </c>
      <c r="I865" s="71" t="n">
        <f aca="false">MIN(I259,I259*CDR*MAX(0,MIN(7,'Loan Tape'!$AV255)-6))</f>
        <v>0</v>
      </c>
      <c r="J865" s="71" t="n">
        <f aca="false">MIN(J259,J259*CDR*MAX(0,MIN(8,'Loan Tape'!$AV255)-7))</f>
        <v>0</v>
      </c>
      <c r="K865" s="71" t="n">
        <f aca="false">MIN(K259,K259*CDR*MAX(0,MIN(9,'Loan Tape'!$AV255)-8))</f>
        <v>0</v>
      </c>
      <c r="L865" s="71" t="n">
        <f aca="false">MIN(L259,L259*CDR*MAX(0,MIN(10,'Loan Tape'!$AV255)-9))</f>
        <v>0</v>
      </c>
    </row>
    <row r="866" customFormat="false" ht="15" hidden="false" customHeight="false" outlineLevel="0" collapsed="false">
      <c r="B866" s="102" t="n">
        <f aca="false">'Loan Tape'!$A256</f>
        <v>0</v>
      </c>
      <c r="C866" s="99" t="n">
        <f aca="false">MIN(C260,C260*CDR*MAX(0,MIN(1,'Loan Tape'!$AV256)-0))</f>
        <v>0</v>
      </c>
      <c r="D866" s="99" t="n">
        <f aca="false">MIN(D260,D260*CDR*MAX(0,MIN(2,'Loan Tape'!$AV256)-1))</f>
        <v>0</v>
      </c>
      <c r="E866" s="99" t="n">
        <f aca="false">MIN(E260,E260*CDR*MAX(0,MIN(3,'Loan Tape'!$AV256)-2))</f>
        <v>0</v>
      </c>
      <c r="F866" s="99" t="n">
        <f aca="false">MIN(F260,F260*CDR*MAX(0,MIN(4,'Loan Tape'!$AV256)-3))</f>
        <v>0</v>
      </c>
      <c r="G866" s="99" t="n">
        <f aca="false">MIN(G260,G260*CDR*MAX(0,MIN(5,'Loan Tape'!$AV256)-4))</f>
        <v>0</v>
      </c>
      <c r="H866" s="99" t="n">
        <f aca="false">MIN(H260,H260*CDR*MAX(0,MIN(6,'Loan Tape'!$AV256)-5))</f>
        <v>0</v>
      </c>
      <c r="I866" s="99" t="n">
        <f aca="false">MIN(I260,I260*CDR*MAX(0,MIN(7,'Loan Tape'!$AV256)-6))</f>
        <v>0</v>
      </c>
      <c r="J866" s="99" t="n">
        <f aca="false">MIN(J260,J260*CDR*MAX(0,MIN(8,'Loan Tape'!$AV256)-7))</f>
        <v>0</v>
      </c>
      <c r="K866" s="99" t="n">
        <f aca="false">MIN(K260,K260*CDR*MAX(0,MIN(9,'Loan Tape'!$AV256)-8))</f>
        <v>0</v>
      </c>
      <c r="L866" s="99" t="n">
        <f aca="false">MIN(L260,L260*CDR*MAX(0,MIN(10,'Loan Tape'!$AV256)-9))</f>
        <v>0</v>
      </c>
    </row>
    <row r="867" customFormat="false" ht="15" hidden="false" customHeight="false" outlineLevel="0" collapsed="false">
      <c r="B867" s="108" t="n">
        <f aca="false">'Loan Tape'!$A257</f>
        <v>0</v>
      </c>
      <c r="C867" s="71" t="n">
        <f aca="false">MIN(C261,C261*CDR*MAX(0,MIN(1,'Loan Tape'!$AV257)-0))</f>
        <v>0</v>
      </c>
      <c r="D867" s="71" t="n">
        <f aca="false">MIN(D261,D261*CDR*MAX(0,MIN(2,'Loan Tape'!$AV257)-1))</f>
        <v>0</v>
      </c>
      <c r="E867" s="71" t="n">
        <f aca="false">MIN(E261,E261*CDR*MAX(0,MIN(3,'Loan Tape'!$AV257)-2))</f>
        <v>0</v>
      </c>
      <c r="F867" s="71" t="n">
        <f aca="false">MIN(F261,F261*CDR*MAX(0,MIN(4,'Loan Tape'!$AV257)-3))</f>
        <v>0</v>
      </c>
      <c r="G867" s="71" t="n">
        <f aca="false">MIN(G261,G261*CDR*MAX(0,MIN(5,'Loan Tape'!$AV257)-4))</f>
        <v>0</v>
      </c>
      <c r="H867" s="71" t="n">
        <f aca="false">MIN(H261,H261*CDR*MAX(0,MIN(6,'Loan Tape'!$AV257)-5))</f>
        <v>0</v>
      </c>
      <c r="I867" s="71" t="n">
        <f aca="false">MIN(I261,I261*CDR*MAX(0,MIN(7,'Loan Tape'!$AV257)-6))</f>
        <v>0</v>
      </c>
      <c r="J867" s="71" t="n">
        <f aca="false">MIN(J261,J261*CDR*MAX(0,MIN(8,'Loan Tape'!$AV257)-7))</f>
        <v>0</v>
      </c>
      <c r="K867" s="71" t="n">
        <f aca="false">MIN(K261,K261*CDR*MAX(0,MIN(9,'Loan Tape'!$AV257)-8))</f>
        <v>0</v>
      </c>
      <c r="L867" s="71" t="n">
        <f aca="false">MIN(L261,L261*CDR*MAX(0,MIN(10,'Loan Tape'!$AV257)-9))</f>
        <v>0</v>
      </c>
    </row>
    <row r="868" customFormat="false" ht="15" hidden="false" customHeight="false" outlineLevel="0" collapsed="false">
      <c r="B868" s="102" t="n">
        <f aca="false">'Loan Tape'!$A258</f>
        <v>0</v>
      </c>
      <c r="C868" s="99" t="n">
        <f aca="false">MIN(C262,C262*CDR*MAX(0,MIN(1,'Loan Tape'!$AV258)-0))</f>
        <v>0</v>
      </c>
      <c r="D868" s="99" t="n">
        <f aca="false">MIN(D262,D262*CDR*MAX(0,MIN(2,'Loan Tape'!$AV258)-1))</f>
        <v>0</v>
      </c>
      <c r="E868" s="99" t="n">
        <f aca="false">MIN(E262,E262*CDR*MAX(0,MIN(3,'Loan Tape'!$AV258)-2))</f>
        <v>0</v>
      </c>
      <c r="F868" s="99" t="n">
        <f aca="false">MIN(F262,F262*CDR*MAX(0,MIN(4,'Loan Tape'!$AV258)-3))</f>
        <v>0</v>
      </c>
      <c r="G868" s="99" t="n">
        <f aca="false">MIN(G262,G262*CDR*MAX(0,MIN(5,'Loan Tape'!$AV258)-4))</f>
        <v>0</v>
      </c>
      <c r="H868" s="99" t="n">
        <f aca="false">MIN(H262,H262*CDR*MAX(0,MIN(6,'Loan Tape'!$AV258)-5))</f>
        <v>0</v>
      </c>
      <c r="I868" s="99" t="n">
        <f aca="false">MIN(I262,I262*CDR*MAX(0,MIN(7,'Loan Tape'!$AV258)-6))</f>
        <v>0</v>
      </c>
      <c r="J868" s="99" t="n">
        <f aca="false">MIN(J262,J262*CDR*MAX(0,MIN(8,'Loan Tape'!$AV258)-7))</f>
        <v>0</v>
      </c>
      <c r="K868" s="99" t="n">
        <f aca="false">MIN(K262,K262*CDR*MAX(0,MIN(9,'Loan Tape'!$AV258)-8))</f>
        <v>0</v>
      </c>
      <c r="L868" s="99" t="n">
        <f aca="false">MIN(L262,L262*CDR*MAX(0,MIN(10,'Loan Tape'!$AV258)-9))</f>
        <v>0</v>
      </c>
    </row>
    <row r="869" customFormat="false" ht="15" hidden="false" customHeight="false" outlineLevel="0" collapsed="false">
      <c r="B869" s="108" t="n">
        <f aca="false">'Loan Tape'!$A259</f>
        <v>0</v>
      </c>
      <c r="C869" s="71" t="n">
        <f aca="false">MIN(C263,C263*CDR*MAX(0,MIN(1,'Loan Tape'!$AV259)-0))</f>
        <v>0</v>
      </c>
      <c r="D869" s="71" t="n">
        <f aca="false">MIN(D263,D263*CDR*MAX(0,MIN(2,'Loan Tape'!$AV259)-1))</f>
        <v>0</v>
      </c>
      <c r="E869" s="71" t="n">
        <f aca="false">MIN(E263,E263*CDR*MAX(0,MIN(3,'Loan Tape'!$AV259)-2))</f>
        <v>0</v>
      </c>
      <c r="F869" s="71" t="n">
        <f aca="false">MIN(F263,F263*CDR*MAX(0,MIN(4,'Loan Tape'!$AV259)-3))</f>
        <v>0</v>
      </c>
      <c r="G869" s="71" t="n">
        <f aca="false">MIN(G263,G263*CDR*MAX(0,MIN(5,'Loan Tape'!$AV259)-4))</f>
        <v>0</v>
      </c>
      <c r="H869" s="71" t="n">
        <f aca="false">MIN(H263,H263*CDR*MAX(0,MIN(6,'Loan Tape'!$AV259)-5))</f>
        <v>0</v>
      </c>
      <c r="I869" s="71" t="n">
        <f aca="false">MIN(I263,I263*CDR*MAX(0,MIN(7,'Loan Tape'!$AV259)-6))</f>
        <v>0</v>
      </c>
      <c r="J869" s="71" t="n">
        <f aca="false">MIN(J263,J263*CDR*MAX(0,MIN(8,'Loan Tape'!$AV259)-7))</f>
        <v>0</v>
      </c>
      <c r="K869" s="71" t="n">
        <f aca="false">MIN(K263,K263*CDR*MAX(0,MIN(9,'Loan Tape'!$AV259)-8))</f>
        <v>0</v>
      </c>
      <c r="L869" s="71" t="n">
        <f aca="false">MIN(L263,L263*CDR*MAX(0,MIN(10,'Loan Tape'!$AV259)-9))</f>
        <v>0</v>
      </c>
    </row>
    <row r="870" customFormat="false" ht="15" hidden="false" customHeight="false" outlineLevel="0" collapsed="false">
      <c r="B870" s="102" t="n">
        <f aca="false">'Loan Tape'!$A260</f>
        <v>0</v>
      </c>
      <c r="C870" s="99" t="n">
        <f aca="false">MIN(C264,C264*CDR*MAX(0,MIN(1,'Loan Tape'!$AV260)-0))</f>
        <v>0</v>
      </c>
      <c r="D870" s="99" t="n">
        <f aca="false">MIN(D264,D264*CDR*MAX(0,MIN(2,'Loan Tape'!$AV260)-1))</f>
        <v>0</v>
      </c>
      <c r="E870" s="99" t="n">
        <f aca="false">MIN(E264,E264*CDR*MAX(0,MIN(3,'Loan Tape'!$AV260)-2))</f>
        <v>0</v>
      </c>
      <c r="F870" s="99" t="n">
        <f aca="false">MIN(F264,F264*CDR*MAX(0,MIN(4,'Loan Tape'!$AV260)-3))</f>
        <v>0</v>
      </c>
      <c r="G870" s="99" t="n">
        <f aca="false">MIN(G264,G264*CDR*MAX(0,MIN(5,'Loan Tape'!$AV260)-4))</f>
        <v>0</v>
      </c>
      <c r="H870" s="99" t="n">
        <f aca="false">MIN(H264,H264*CDR*MAX(0,MIN(6,'Loan Tape'!$AV260)-5))</f>
        <v>0</v>
      </c>
      <c r="I870" s="99" t="n">
        <f aca="false">MIN(I264,I264*CDR*MAX(0,MIN(7,'Loan Tape'!$AV260)-6))</f>
        <v>0</v>
      </c>
      <c r="J870" s="99" t="n">
        <f aca="false">MIN(J264,J264*CDR*MAX(0,MIN(8,'Loan Tape'!$AV260)-7))</f>
        <v>0</v>
      </c>
      <c r="K870" s="99" t="n">
        <f aca="false">MIN(K264,K264*CDR*MAX(0,MIN(9,'Loan Tape'!$AV260)-8))</f>
        <v>0</v>
      </c>
      <c r="L870" s="99" t="n">
        <f aca="false">MIN(L264,L264*CDR*MAX(0,MIN(10,'Loan Tape'!$AV260)-9))</f>
        <v>0</v>
      </c>
    </row>
    <row r="871" customFormat="false" ht="15" hidden="false" customHeight="false" outlineLevel="0" collapsed="false">
      <c r="B871" s="108" t="n">
        <f aca="false">'Loan Tape'!$A261</f>
        <v>0</v>
      </c>
      <c r="C871" s="71" t="n">
        <f aca="false">MIN(C265,C265*CDR*MAX(0,MIN(1,'Loan Tape'!$AV261)-0))</f>
        <v>0</v>
      </c>
      <c r="D871" s="71" t="n">
        <f aca="false">MIN(D265,D265*CDR*MAX(0,MIN(2,'Loan Tape'!$AV261)-1))</f>
        <v>0</v>
      </c>
      <c r="E871" s="71" t="n">
        <f aca="false">MIN(E265,E265*CDR*MAX(0,MIN(3,'Loan Tape'!$AV261)-2))</f>
        <v>0</v>
      </c>
      <c r="F871" s="71" t="n">
        <f aca="false">MIN(F265,F265*CDR*MAX(0,MIN(4,'Loan Tape'!$AV261)-3))</f>
        <v>0</v>
      </c>
      <c r="G871" s="71" t="n">
        <f aca="false">MIN(G265,G265*CDR*MAX(0,MIN(5,'Loan Tape'!$AV261)-4))</f>
        <v>0</v>
      </c>
      <c r="H871" s="71" t="n">
        <f aca="false">MIN(H265,H265*CDR*MAX(0,MIN(6,'Loan Tape'!$AV261)-5))</f>
        <v>0</v>
      </c>
      <c r="I871" s="71" t="n">
        <f aca="false">MIN(I265,I265*CDR*MAX(0,MIN(7,'Loan Tape'!$AV261)-6))</f>
        <v>0</v>
      </c>
      <c r="J871" s="71" t="n">
        <f aca="false">MIN(J265,J265*CDR*MAX(0,MIN(8,'Loan Tape'!$AV261)-7))</f>
        <v>0</v>
      </c>
      <c r="K871" s="71" t="n">
        <f aca="false">MIN(K265,K265*CDR*MAX(0,MIN(9,'Loan Tape'!$AV261)-8))</f>
        <v>0</v>
      </c>
      <c r="L871" s="71" t="n">
        <f aca="false">MIN(L265,L265*CDR*MAX(0,MIN(10,'Loan Tape'!$AV261)-9))</f>
        <v>0</v>
      </c>
    </row>
    <row r="872" customFormat="false" ht="15" hidden="false" customHeight="false" outlineLevel="0" collapsed="false">
      <c r="B872" s="102" t="n">
        <f aca="false">'Loan Tape'!$A262</f>
        <v>0</v>
      </c>
      <c r="C872" s="99" t="n">
        <f aca="false">MIN(C266,C266*CDR*MAX(0,MIN(1,'Loan Tape'!$AV262)-0))</f>
        <v>0</v>
      </c>
      <c r="D872" s="99" t="n">
        <f aca="false">MIN(D266,D266*CDR*MAX(0,MIN(2,'Loan Tape'!$AV262)-1))</f>
        <v>0</v>
      </c>
      <c r="E872" s="99" t="n">
        <f aca="false">MIN(E266,E266*CDR*MAX(0,MIN(3,'Loan Tape'!$AV262)-2))</f>
        <v>0</v>
      </c>
      <c r="F872" s="99" t="n">
        <f aca="false">MIN(F266,F266*CDR*MAX(0,MIN(4,'Loan Tape'!$AV262)-3))</f>
        <v>0</v>
      </c>
      <c r="G872" s="99" t="n">
        <f aca="false">MIN(G266,G266*CDR*MAX(0,MIN(5,'Loan Tape'!$AV262)-4))</f>
        <v>0</v>
      </c>
      <c r="H872" s="99" t="n">
        <f aca="false">MIN(H266,H266*CDR*MAX(0,MIN(6,'Loan Tape'!$AV262)-5))</f>
        <v>0</v>
      </c>
      <c r="I872" s="99" t="n">
        <f aca="false">MIN(I266,I266*CDR*MAX(0,MIN(7,'Loan Tape'!$AV262)-6))</f>
        <v>0</v>
      </c>
      <c r="J872" s="99" t="n">
        <f aca="false">MIN(J266,J266*CDR*MAX(0,MIN(8,'Loan Tape'!$AV262)-7))</f>
        <v>0</v>
      </c>
      <c r="K872" s="99" t="n">
        <f aca="false">MIN(K266,K266*CDR*MAX(0,MIN(9,'Loan Tape'!$AV262)-8))</f>
        <v>0</v>
      </c>
      <c r="L872" s="99" t="n">
        <f aca="false">MIN(L266,L266*CDR*MAX(0,MIN(10,'Loan Tape'!$AV262)-9))</f>
        <v>0</v>
      </c>
    </row>
    <row r="873" customFormat="false" ht="15" hidden="false" customHeight="false" outlineLevel="0" collapsed="false">
      <c r="B873" s="108" t="n">
        <f aca="false">'Loan Tape'!$A263</f>
        <v>0</v>
      </c>
      <c r="C873" s="71" t="n">
        <f aca="false">MIN(C267,C267*CDR*MAX(0,MIN(1,'Loan Tape'!$AV263)-0))</f>
        <v>0</v>
      </c>
      <c r="D873" s="71" t="n">
        <f aca="false">MIN(D267,D267*CDR*MAX(0,MIN(2,'Loan Tape'!$AV263)-1))</f>
        <v>0</v>
      </c>
      <c r="E873" s="71" t="n">
        <f aca="false">MIN(E267,E267*CDR*MAX(0,MIN(3,'Loan Tape'!$AV263)-2))</f>
        <v>0</v>
      </c>
      <c r="F873" s="71" t="n">
        <f aca="false">MIN(F267,F267*CDR*MAX(0,MIN(4,'Loan Tape'!$AV263)-3))</f>
        <v>0</v>
      </c>
      <c r="G873" s="71" t="n">
        <f aca="false">MIN(G267,G267*CDR*MAX(0,MIN(5,'Loan Tape'!$AV263)-4))</f>
        <v>0</v>
      </c>
      <c r="H873" s="71" t="n">
        <f aca="false">MIN(H267,H267*CDR*MAX(0,MIN(6,'Loan Tape'!$AV263)-5))</f>
        <v>0</v>
      </c>
      <c r="I873" s="71" t="n">
        <f aca="false">MIN(I267,I267*CDR*MAX(0,MIN(7,'Loan Tape'!$AV263)-6))</f>
        <v>0</v>
      </c>
      <c r="J873" s="71" t="n">
        <f aca="false">MIN(J267,J267*CDR*MAX(0,MIN(8,'Loan Tape'!$AV263)-7))</f>
        <v>0</v>
      </c>
      <c r="K873" s="71" t="n">
        <f aca="false">MIN(K267,K267*CDR*MAX(0,MIN(9,'Loan Tape'!$AV263)-8))</f>
        <v>0</v>
      </c>
      <c r="L873" s="71" t="n">
        <f aca="false">MIN(L267,L267*CDR*MAX(0,MIN(10,'Loan Tape'!$AV263)-9))</f>
        <v>0</v>
      </c>
    </row>
    <row r="874" customFormat="false" ht="15" hidden="false" customHeight="false" outlineLevel="0" collapsed="false">
      <c r="B874" s="102" t="n">
        <f aca="false">'Loan Tape'!$A264</f>
        <v>0</v>
      </c>
      <c r="C874" s="99" t="n">
        <f aca="false">MIN(C268,C268*CDR*MAX(0,MIN(1,'Loan Tape'!$AV264)-0))</f>
        <v>0</v>
      </c>
      <c r="D874" s="99" t="n">
        <f aca="false">MIN(D268,D268*CDR*MAX(0,MIN(2,'Loan Tape'!$AV264)-1))</f>
        <v>0</v>
      </c>
      <c r="E874" s="99" t="n">
        <f aca="false">MIN(E268,E268*CDR*MAX(0,MIN(3,'Loan Tape'!$AV264)-2))</f>
        <v>0</v>
      </c>
      <c r="F874" s="99" t="n">
        <f aca="false">MIN(F268,F268*CDR*MAX(0,MIN(4,'Loan Tape'!$AV264)-3))</f>
        <v>0</v>
      </c>
      <c r="G874" s="99" t="n">
        <f aca="false">MIN(G268,G268*CDR*MAX(0,MIN(5,'Loan Tape'!$AV264)-4))</f>
        <v>0</v>
      </c>
      <c r="H874" s="99" t="n">
        <f aca="false">MIN(H268,H268*CDR*MAX(0,MIN(6,'Loan Tape'!$AV264)-5))</f>
        <v>0</v>
      </c>
      <c r="I874" s="99" t="n">
        <f aca="false">MIN(I268,I268*CDR*MAX(0,MIN(7,'Loan Tape'!$AV264)-6))</f>
        <v>0</v>
      </c>
      <c r="J874" s="99" t="n">
        <f aca="false">MIN(J268,J268*CDR*MAX(0,MIN(8,'Loan Tape'!$AV264)-7))</f>
        <v>0</v>
      </c>
      <c r="K874" s="99" t="n">
        <f aca="false">MIN(K268,K268*CDR*MAX(0,MIN(9,'Loan Tape'!$AV264)-8))</f>
        <v>0</v>
      </c>
      <c r="L874" s="99" t="n">
        <f aca="false">MIN(L268,L268*CDR*MAX(0,MIN(10,'Loan Tape'!$AV264)-9))</f>
        <v>0</v>
      </c>
    </row>
    <row r="875" customFormat="false" ht="15" hidden="false" customHeight="false" outlineLevel="0" collapsed="false">
      <c r="B875" s="108" t="n">
        <f aca="false">'Loan Tape'!$A265</f>
        <v>0</v>
      </c>
      <c r="C875" s="71" t="n">
        <f aca="false">MIN(C269,C269*CDR*MAX(0,MIN(1,'Loan Tape'!$AV265)-0))</f>
        <v>0</v>
      </c>
      <c r="D875" s="71" t="n">
        <f aca="false">MIN(D269,D269*CDR*MAX(0,MIN(2,'Loan Tape'!$AV265)-1))</f>
        <v>0</v>
      </c>
      <c r="E875" s="71" t="n">
        <f aca="false">MIN(E269,E269*CDR*MAX(0,MIN(3,'Loan Tape'!$AV265)-2))</f>
        <v>0</v>
      </c>
      <c r="F875" s="71" t="n">
        <f aca="false">MIN(F269,F269*CDR*MAX(0,MIN(4,'Loan Tape'!$AV265)-3))</f>
        <v>0</v>
      </c>
      <c r="G875" s="71" t="n">
        <f aca="false">MIN(G269,G269*CDR*MAX(0,MIN(5,'Loan Tape'!$AV265)-4))</f>
        <v>0</v>
      </c>
      <c r="H875" s="71" t="n">
        <f aca="false">MIN(H269,H269*CDR*MAX(0,MIN(6,'Loan Tape'!$AV265)-5))</f>
        <v>0</v>
      </c>
      <c r="I875" s="71" t="n">
        <f aca="false">MIN(I269,I269*CDR*MAX(0,MIN(7,'Loan Tape'!$AV265)-6))</f>
        <v>0</v>
      </c>
      <c r="J875" s="71" t="n">
        <f aca="false">MIN(J269,J269*CDR*MAX(0,MIN(8,'Loan Tape'!$AV265)-7))</f>
        <v>0</v>
      </c>
      <c r="K875" s="71" t="n">
        <f aca="false">MIN(K269,K269*CDR*MAX(0,MIN(9,'Loan Tape'!$AV265)-8))</f>
        <v>0</v>
      </c>
      <c r="L875" s="71" t="n">
        <f aca="false">MIN(L269,L269*CDR*MAX(0,MIN(10,'Loan Tape'!$AV265)-9))</f>
        <v>0</v>
      </c>
    </row>
    <row r="876" customFormat="false" ht="15" hidden="false" customHeight="false" outlineLevel="0" collapsed="false">
      <c r="B876" s="102" t="n">
        <f aca="false">'Loan Tape'!$A266</f>
        <v>0</v>
      </c>
      <c r="C876" s="99" t="n">
        <f aca="false">MIN(C270,C270*CDR*MAX(0,MIN(1,'Loan Tape'!$AV266)-0))</f>
        <v>0</v>
      </c>
      <c r="D876" s="99" t="n">
        <f aca="false">MIN(D270,D270*CDR*MAX(0,MIN(2,'Loan Tape'!$AV266)-1))</f>
        <v>0</v>
      </c>
      <c r="E876" s="99" t="n">
        <f aca="false">MIN(E270,E270*CDR*MAX(0,MIN(3,'Loan Tape'!$AV266)-2))</f>
        <v>0</v>
      </c>
      <c r="F876" s="99" t="n">
        <f aca="false">MIN(F270,F270*CDR*MAX(0,MIN(4,'Loan Tape'!$AV266)-3))</f>
        <v>0</v>
      </c>
      <c r="G876" s="99" t="n">
        <f aca="false">MIN(G270,G270*CDR*MAX(0,MIN(5,'Loan Tape'!$AV266)-4))</f>
        <v>0</v>
      </c>
      <c r="H876" s="99" t="n">
        <f aca="false">MIN(H270,H270*CDR*MAX(0,MIN(6,'Loan Tape'!$AV266)-5))</f>
        <v>0</v>
      </c>
      <c r="I876" s="99" t="n">
        <f aca="false">MIN(I270,I270*CDR*MAX(0,MIN(7,'Loan Tape'!$AV266)-6))</f>
        <v>0</v>
      </c>
      <c r="J876" s="99" t="n">
        <f aca="false">MIN(J270,J270*CDR*MAX(0,MIN(8,'Loan Tape'!$AV266)-7))</f>
        <v>0</v>
      </c>
      <c r="K876" s="99" t="n">
        <f aca="false">MIN(K270,K270*CDR*MAX(0,MIN(9,'Loan Tape'!$AV266)-8))</f>
        <v>0</v>
      </c>
      <c r="L876" s="99" t="n">
        <f aca="false">MIN(L270,L270*CDR*MAX(0,MIN(10,'Loan Tape'!$AV266)-9))</f>
        <v>0</v>
      </c>
    </row>
    <row r="877" customFormat="false" ht="15" hidden="false" customHeight="false" outlineLevel="0" collapsed="false">
      <c r="B877" s="108" t="n">
        <f aca="false">'Loan Tape'!$A267</f>
        <v>0</v>
      </c>
      <c r="C877" s="71" t="n">
        <f aca="false">MIN(C271,C271*CDR*MAX(0,MIN(1,'Loan Tape'!$AV267)-0))</f>
        <v>0</v>
      </c>
      <c r="D877" s="71" t="n">
        <f aca="false">MIN(D271,D271*CDR*MAX(0,MIN(2,'Loan Tape'!$AV267)-1))</f>
        <v>0</v>
      </c>
      <c r="E877" s="71" t="n">
        <f aca="false">MIN(E271,E271*CDR*MAX(0,MIN(3,'Loan Tape'!$AV267)-2))</f>
        <v>0</v>
      </c>
      <c r="F877" s="71" t="n">
        <f aca="false">MIN(F271,F271*CDR*MAX(0,MIN(4,'Loan Tape'!$AV267)-3))</f>
        <v>0</v>
      </c>
      <c r="G877" s="71" t="n">
        <f aca="false">MIN(G271,G271*CDR*MAX(0,MIN(5,'Loan Tape'!$AV267)-4))</f>
        <v>0</v>
      </c>
      <c r="H877" s="71" t="n">
        <f aca="false">MIN(H271,H271*CDR*MAX(0,MIN(6,'Loan Tape'!$AV267)-5))</f>
        <v>0</v>
      </c>
      <c r="I877" s="71" t="n">
        <f aca="false">MIN(I271,I271*CDR*MAX(0,MIN(7,'Loan Tape'!$AV267)-6))</f>
        <v>0</v>
      </c>
      <c r="J877" s="71" t="n">
        <f aca="false">MIN(J271,J271*CDR*MAX(0,MIN(8,'Loan Tape'!$AV267)-7))</f>
        <v>0</v>
      </c>
      <c r="K877" s="71" t="n">
        <f aca="false">MIN(K271,K271*CDR*MAX(0,MIN(9,'Loan Tape'!$AV267)-8))</f>
        <v>0</v>
      </c>
      <c r="L877" s="71" t="n">
        <f aca="false">MIN(L271,L271*CDR*MAX(0,MIN(10,'Loan Tape'!$AV267)-9))</f>
        <v>0</v>
      </c>
    </row>
    <row r="878" customFormat="false" ht="15" hidden="false" customHeight="false" outlineLevel="0" collapsed="false">
      <c r="B878" s="102" t="n">
        <f aca="false">'Loan Tape'!$A268</f>
        <v>0</v>
      </c>
      <c r="C878" s="99" t="n">
        <f aca="false">MIN(C272,C272*CDR*MAX(0,MIN(1,'Loan Tape'!$AV268)-0))</f>
        <v>0</v>
      </c>
      <c r="D878" s="99" t="n">
        <f aca="false">MIN(D272,D272*CDR*MAX(0,MIN(2,'Loan Tape'!$AV268)-1))</f>
        <v>0</v>
      </c>
      <c r="E878" s="99" t="n">
        <f aca="false">MIN(E272,E272*CDR*MAX(0,MIN(3,'Loan Tape'!$AV268)-2))</f>
        <v>0</v>
      </c>
      <c r="F878" s="99" t="n">
        <f aca="false">MIN(F272,F272*CDR*MAX(0,MIN(4,'Loan Tape'!$AV268)-3))</f>
        <v>0</v>
      </c>
      <c r="G878" s="99" t="n">
        <f aca="false">MIN(G272,G272*CDR*MAX(0,MIN(5,'Loan Tape'!$AV268)-4))</f>
        <v>0</v>
      </c>
      <c r="H878" s="99" t="n">
        <f aca="false">MIN(H272,H272*CDR*MAX(0,MIN(6,'Loan Tape'!$AV268)-5))</f>
        <v>0</v>
      </c>
      <c r="I878" s="99" t="n">
        <f aca="false">MIN(I272,I272*CDR*MAX(0,MIN(7,'Loan Tape'!$AV268)-6))</f>
        <v>0</v>
      </c>
      <c r="J878" s="99" t="n">
        <f aca="false">MIN(J272,J272*CDR*MAX(0,MIN(8,'Loan Tape'!$AV268)-7))</f>
        <v>0</v>
      </c>
      <c r="K878" s="99" t="n">
        <f aca="false">MIN(K272,K272*CDR*MAX(0,MIN(9,'Loan Tape'!$AV268)-8))</f>
        <v>0</v>
      </c>
      <c r="L878" s="99" t="n">
        <f aca="false">MIN(L272,L272*CDR*MAX(0,MIN(10,'Loan Tape'!$AV268)-9))</f>
        <v>0</v>
      </c>
    </row>
    <row r="879" customFormat="false" ht="15" hidden="false" customHeight="false" outlineLevel="0" collapsed="false">
      <c r="B879" s="108" t="n">
        <f aca="false">'Loan Tape'!$A269</f>
        <v>0</v>
      </c>
      <c r="C879" s="71" t="n">
        <f aca="false">MIN(C273,C273*CDR*MAX(0,MIN(1,'Loan Tape'!$AV269)-0))</f>
        <v>0</v>
      </c>
      <c r="D879" s="71" t="n">
        <f aca="false">MIN(D273,D273*CDR*MAX(0,MIN(2,'Loan Tape'!$AV269)-1))</f>
        <v>0</v>
      </c>
      <c r="E879" s="71" t="n">
        <f aca="false">MIN(E273,E273*CDR*MAX(0,MIN(3,'Loan Tape'!$AV269)-2))</f>
        <v>0</v>
      </c>
      <c r="F879" s="71" t="n">
        <f aca="false">MIN(F273,F273*CDR*MAX(0,MIN(4,'Loan Tape'!$AV269)-3))</f>
        <v>0</v>
      </c>
      <c r="G879" s="71" t="n">
        <f aca="false">MIN(G273,G273*CDR*MAX(0,MIN(5,'Loan Tape'!$AV269)-4))</f>
        <v>0</v>
      </c>
      <c r="H879" s="71" t="n">
        <f aca="false">MIN(H273,H273*CDR*MAX(0,MIN(6,'Loan Tape'!$AV269)-5))</f>
        <v>0</v>
      </c>
      <c r="I879" s="71" t="n">
        <f aca="false">MIN(I273,I273*CDR*MAX(0,MIN(7,'Loan Tape'!$AV269)-6))</f>
        <v>0</v>
      </c>
      <c r="J879" s="71" t="n">
        <f aca="false">MIN(J273,J273*CDR*MAX(0,MIN(8,'Loan Tape'!$AV269)-7))</f>
        <v>0</v>
      </c>
      <c r="K879" s="71" t="n">
        <f aca="false">MIN(K273,K273*CDR*MAX(0,MIN(9,'Loan Tape'!$AV269)-8))</f>
        <v>0</v>
      </c>
      <c r="L879" s="71" t="n">
        <f aca="false">MIN(L273,L273*CDR*MAX(0,MIN(10,'Loan Tape'!$AV269)-9))</f>
        <v>0</v>
      </c>
    </row>
    <row r="880" customFormat="false" ht="15" hidden="false" customHeight="false" outlineLevel="0" collapsed="false">
      <c r="B880" s="102" t="n">
        <f aca="false">'Loan Tape'!$A270</f>
        <v>0</v>
      </c>
      <c r="C880" s="99" t="n">
        <f aca="false">MIN(C274,C274*CDR*MAX(0,MIN(1,'Loan Tape'!$AV270)-0))</f>
        <v>0</v>
      </c>
      <c r="D880" s="99" t="n">
        <f aca="false">MIN(D274,D274*CDR*MAX(0,MIN(2,'Loan Tape'!$AV270)-1))</f>
        <v>0</v>
      </c>
      <c r="E880" s="99" t="n">
        <f aca="false">MIN(E274,E274*CDR*MAX(0,MIN(3,'Loan Tape'!$AV270)-2))</f>
        <v>0</v>
      </c>
      <c r="F880" s="99" t="n">
        <f aca="false">MIN(F274,F274*CDR*MAX(0,MIN(4,'Loan Tape'!$AV270)-3))</f>
        <v>0</v>
      </c>
      <c r="G880" s="99" t="n">
        <f aca="false">MIN(G274,G274*CDR*MAX(0,MIN(5,'Loan Tape'!$AV270)-4))</f>
        <v>0</v>
      </c>
      <c r="H880" s="99" t="n">
        <f aca="false">MIN(H274,H274*CDR*MAX(0,MIN(6,'Loan Tape'!$AV270)-5))</f>
        <v>0</v>
      </c>
      <c r="I880" s="99" t="n">
        <f aca="false">MIN(I274,I274*CDR*MAX(0,MIN(7,'Loan Tape'!$AV270)-6))</f>
        <v>0</v>
      </c>
      <c r="J880" s="99" t="n">
        <f aca="false">MIN(J274,J274*CDR*MAX(0,MIN(8,'Loan Tape'!$AV270)-7))</f>
        <v>0</v>
      </c>
      <c r="K880" s="99" t="n">
        <f aca="false">MIN(K274,K274*CDR*MAX(0,MIN(9,'Loan Tape'!$AV270)-8))</f>
        <v>0</v>
      </c>
      <c r="L880" s="99" t="n">
        <f aca="false">MIN(L274,L274*CDR*MAX(0,MIN(10,'Loan Tape'!$AV270)-9))</f>
        <v>0</v>
      </c>
    </row>
    <row r="881" customFormat="false" ht="15" hidden="false" customHeight="false" outlineLevel="0" collapsed="false">
      <c r="B881" s="108" t="n">
        <f aca="false">'Loan Tape'!$A271</f>
        <v>0</v>
      </c>
      <c r="C881" s="71" t="n">
        <f aca="false">MIN(C275,C275*CDR*MAX(0,MIN(1,'Loan Tape'!$AV271)-0))</f>
        <v>0</v>
      </c>
      <c r="D881" s="71" t="n">
        <f aca="false">MIN(D275,D275*CDR*MAX(0,MIN(2,'Loan Tape'!$AV271)-1))</f>
        <v>0</v>
      </c>
      <c r="E881" s="71" t="n">
        <f aca="false">MIN(E275,E275*CDR*MAX(0,MIN(3,'Loan Tape'!$AV271)-2))</f>
        <v>0</v>
      </c>
      <c r="F881" s="71" t="n">
        <f aca="false">MIN(F275,F275*CDR*MAX(0,MIN(4,'Loan Tape'!$AV271)-3))</f>
        <v>0</v>
      </c>
      <c r="G881" s="71" t="n">
        <f aca="false">MIN(G275,G275*CDR*MAX(0,MIN(5,'Loan Tape'!$AV271)-4))</f>
        <v>0</v>
      </c>
      <c r="H881" s="71" t="n">
        <f aca="false">MIN(H275,H275*CDR*MAX(0,MIN(6,'Loan Tape'!$AV271)-5))</f>
        <v>0</v>
      </c>
      <c r="I881" s="71" t="n">
        <f aca="false">MIN(I275,I275*CDR*MAX(0,MIN(7,'Loan Tape'!$AV271)-6))</f>
        <v>0</v>
      </c>
      <c r="J881" s="71" t="n">
        <f aca="false">MIN(J275,J275*CDR*MAX(0,MIN(8,'Loan Tape'!$AV271)-7))</f>
        <v>0</v>
      </c>
      <c r="K881" s="71" t="n">
        <f aca="false">MIN(K275,K275*CDR*MAX(0,MIN(9,'Loan Tape'!$AV271)-8))</f>
        <v>0</v>
      </c>
      <c r="L881" s="71" t="n">
        <f aca="false">MIN(L275,L275*CDR*MAX(0,MIN(10,'Loan Tape'!$AV271)-9))</f>
        <v>0</v>
      </c>
    </row>
    <row r="882" customFormat="false" ht="15" hidden="false" customHeight="false" outlineLevel="0" collapsed="false">
      <c r="B882" s="102" t="n">
        <f aca="false">'Loan Tape'!$A272</f>
        <v>0</v>
      </c>
      <c r="C882" s="99" t="n">
        <f aca="false">MIN(C276,C276*CDR*MAX(0,MIN(1,'Loan Tape'!$AV272)-0))</f>
        <v>0</v>
      </c>
      <c r="D882" s="99" t="n">
        <f aca="false">MIN(D276,D276*CDR*MAX(0,MIN(2,'Loan Tape'!$AV272)-1))</f>
        <v>0</v>
      </c>
      <c r="E882" s="99" t="n">
        <f aca="false">MIN(E276,E276*CDR*MAX(0,MIN(3,'Loan Tape'!$AV272)-2))</f>
        <v>0</v>
      </c>
      <c r="F882" s="99" t="n">
        <f aca="false">MIN(F276,F276*CDR*MAX(0,MIN(4,'Loan Tape'!$AV272)-3))</f>
        <v>0</v>
      </c>
      <c r="G882" s="99" t="n">
        <f aca="false">MIN(G276,G276*CDR*MAX(0,MIN(5,'Loan Tape'!$AV272)-4))</f>
        <v>0</v>
      </c>
      <c r="H882" s="99" t="n">
        <f aca="false">MIN(H276,H276*CDR*MAX(0,MIN(6,'Loan Tape'!$AV272)-5))</f>
        <v>0</v>
      </c>
      <c r="I882" s="99" t="n">
        <f aca="false">MIN(I276,I276*CDR*MAX(0,MIN(7,'Loan Tape'!$AV272)-6))</f>
        <v>0</v>
      </c>
      <c r="J882" s="99" t="n">
        <f aca="false">MIN(J276,J276*CDR*MAX(0,MIN(8,'Loan Tape'!$AV272)-7))</f>
        <v>0</v>
      </c>
      <c r="K882" s="99" t="n">
        <f aca="false">MIN(K276,K276*CDR*MAX(0,MIN(9,'Loan Tape'!$AV272)-8))</f>
        <v>0</v>
      </c>
      <c r="L882" s="99" t="n">
        <f aca="false">MIN(L276,L276*CDR*MAX(0,MIN(10,'Loan Tape'!$AV272)-9))</f>
        <v>0</v>
      </c>
    </row>
    <row r="883" customFormat="false" ht="15" hidden="false" customHeight="false" outlineLevel="0" collapsed="false">
      <c r="B883" s="108" t="n">
        <f aca="false">'Loan Tape'!$A273</f>
        <v>0</v>
      </c>
      <c r="C883" s="71" t="n">
        <f aca="false">MIN(C277,C277*CDR*MAX(0,MIN(1,'Loan Tape'!$AV273)-0))</f>
        <v>0</v>
      </c>
      <c r="D883" s="71" t="n">
        <f aca="false">MIN(D277,D277*CDR*MAX(0,MIN(2,'Loan Tape'!$AV273)-1))</f>
        <v>0</v>
      </c>
      <c r="E883" s="71" t="n">
        <f aca="false">MIN(E277,E277*CDR*MAX(0,MIN(3,'Loan Tape'!$AV273)-2))</f>
        <v>0</v>
      </c>
      <c r="F883" s="71" t="n">
        <f aca="false">MIN(F277,F277*CDR*MAX(0,MIN(4,'Loan Tape'!$AV273)-3))</f>
        <v>0</v>
      </c>
      <c r="G883" s="71" t="n">
        <f aca="false">MIN(G277,G277*CDR*MAX(0,MIN(5,'Loan Tape'!$AV273)-4))</f>
        <v>0</v>
      </c>
      <c r="H883" s="71" t="n">
        <f aca="false">MIN(H277,H277*CDR*MAX(0,MIN(6,'Loan Tape'!$AV273)-5))</f>
        <v>0</v>
      </c>
      <c r="I883" s="71" t="n">
        <f aca="false">MIN(I277,I277*CDR*MAX(0,MIN(7,'Loan Tape'!$AV273)-6))</f>
        <v>0</v>
      </c>
      <c r="J883" s="71" t="n">
        <f aca="false">MIN(J277,J277*CDR*MAX(0,MIN(8,'Loan Tape'!$AV273)-7))</f>
        <v>0</v>
      </c>
      <c r="K883" s="71" t="n">
        <f aca="false">MIN(K277,K277*CDR*MAX(0,MIN(9,'Loan Tape'!$AV273)-8))</f>
        <v>0</v>
      </c>
      <c r="L883" s="71" t="n">
        <f aca="false">MIN(L277,L277*CDR*MAX(0,MIN(10,'Loan Tape'!$AV273)-9))</f>
        <v>0</v>
      </c>
    </row>
    <row r="884" customFormat="false" ht="15" hidden="false" customHeight="false" outlineLevel="0" collapsed="false">
      <c r="B884" s="102" t="n">
        <f aca="false">'Loan Tape'!$A274</f>
        <v>0</v>
      </c>
      <c r="C884" s="99" t="n">
        <f aca="false">MIN(C278,C278*CDR*MAX(0,MIN(1,'Loan Tape'!$AV274)-0))</f>
        <v>0</v>
      </c>
      <c r="D884" s="99" t="n">
        <f aca="false">MIN(D278,D278*CDR*MAX(0,MIN(2,'Loan Tape'!$AV274)-1))</f>
        <v>0</v>
      </c>
      <c r="E884" s="99" t="n">
        <f aca="false">MIN(E278,E278*CDR*MAX(0,MIN(3,'Loan Tape'!$AV274)-2))</f>
        <v>0</v>
      </c>
      <c r="F884" s="99" t="n">
        <f aca="false">MIN(F278,F278*CDR*MAX(0,MIN(4,'Loan Tape'!$AV274)-3))</f>
        <v>0</v>
      </c>
      <c r="G884" s="99" t="n">
        <f aca="false">MIN(G278,G278*CDR*MAX(0,MIN(5,'Loan Tape'!$AV274)-4))</f>
        <v>0</v>
      </c>
      <c r="H884" s="99" t="n">
        <f aca="false">MIN(H278,H278*CDR*MAX(0,MIN(6,'Loan Tape'!$AV274)-5))</f>
        <v>0</v>
      </c>
      <c r="I884" s="99" t="n">
        <f aca="false">MIN(I278,I278*CDR*MAX(0,MIN(7,'Loan Tape'!$AV274)-6))</f>
        <v>0</v>
      </c>
      <c r="J884" s="99" t="n">
        <f aca="false">MIN(J278,J278*CDR*MAX(0,MIN(8,'Loan Tape'!$AV274)-7))</f>
        <v>0</v>
      </c>
      <c r="K884" s="99" t="n">
        <f aca="false">MIN(K278,K278*CDR*MAX(0,MIN(9,'Loan Tape'!$AV274)-8))</f>
        <v>0</v>
      </c>
      <c r="L884" s="99" t="n">
        <f aca="false">MIN(L278,L278*CDR*MAX(0,MIN(10,'Loan Tape'!$AV274)-9))</f>
        <v>0</v>
      </c>
    </row>
    <row r="885" customFormat="false" ht="15" hidden="false" customHeight="false" outlineLevel="0" collapsed="false">
      <c r="B885" s="108" t="n">
        <f aca="false">'Loan Tape'!$A275</f>
        <v>0</v>
      </c>
      <c r="C885" s="71" t="n">
        <f aca="false">MIN(C279,C279*CDR*MAX(0,MIN(1,'Loan Tape'!$AV275)-0))</f>
        <v>0</v>
      </c>
      <c r="D885" s="71" t="n">
        <f aca="false">MIN(D279,D279*CDR*MAX(0,MIN(2,'Loan Tape'!$AV275)-1))</f>
        <v>0</v>
      </c>
      <c r="E885" s="71" t="n">
        <f aca="false">MIN(E279,E279*CDR*MAX(0,MIN(3,'Loan Tape'!$AV275)-2))</f>
        <v>0</v>
      </c>
      <c r="F885" s="71" t="n">
        <f aca="false">MIN(F279,F279*CDR*MAX(0,MIN(4,'Loan Tape'!$AV275)-3))</f>
        <v>0</v>
      </c>
      <c r="G885" s="71" t="n">
        <f aca="false">MIN(G279,G279*CDR*MAX(0,MIN(5,'Loan Tape'!$AV275)-4))</f>
        <v>0</v>
      </c>
      <c r="H885" s="71" t="n">
        <f aca="false">MIN(H279,H279*CDR*MAX(0,MIN(6,'Loan Tape'!$AV275)-5))</f>
        <v>0</v>
      </c>
      <c r="I885" s="71" t="n">
        <f aca="false">MIN(I279,I279*CDR*MAX(0,MIN(7,'Loan Tape'!$AV275)-6))</f>
        <v>0</v>
      </c>
      <c r="J885" s="71" t="n">
        <f aca="false">MIN(J279,J279*CDR*MAX(0,MIN(8,'Loan Tape'!$AV275)-7))</f>
        <v>0</v>
      </c>
      <c r="K885" s="71" t="n">
        <f aca="false">MIN(K279,K279*CDR*MAX(0,MIN(9,'Loan Tape'!$AV275)-8))</f>
        <v>0</v>
      </c>
      <c r="L885" s="71" t="n">
        <f aca="false">MIN(L279,L279*CDR*MAX(0,MIN(10,'Loan Tape'!$AV275)-9))</f>
        <v>0</v>
      </c>
    </row>
    <row r="886" customFormat="false" ht="15" hidden="false" customHeight="false" outlineLevel="0" collapsed="false">
      <c r="B886" s="102" t="n">
        <f aca="false">'Loan Tape'!$A276</f>
        <v>0</v>
      </c>
      <c r="C886" s="99" t="n">
        <f aca="false">MIN(C280,C280*CDR*MAX(0,MIN(1,'Loan Tape'!$AV276)-0))</f>
        <v>0</v>
      </c>
      <c r="D886" s="99" t="n">
        <f aca="false">MIN(D280,D280*CDR*MAX(0,MIN(2,'Loan Tape'!$AV276)-1))</f>
        <v>0</v>
      </c>
      <c r="E886" s="99" t="n">
        <f aca="false">MIN(E280,E280*CDR*MAX(0,MIN(3,'Loan Tape'!$AV276)-2))</f>
        <v>0</v>
      </c>
      <c r="F886" s="99" t="n">
        <f aca="false">MIN(F280,F280*CDR*MAX(0,MIN(4,'Loan Tape'!$AV276)-3))</f>
        <v>0</v>
      </c>
      <c r="G886" s="99" t="n">
        <f aca="false">MIN(G280,G280*CDR*MAX(0,MIN(5,'Loan Tape'!$AV276)-4))</f>
        <v>0</v>
      </c>
      <c r="H886" s="99" t="n">
        <f aca="false">MIN(H280,H280*CDR*MAX(0,MIN(6,'Loan Tape'!$AV276)-5))</f>
        <v>0</v>
      </c>
      <c r="I886" s="99" t="n">
        <f aca="false">MIN(I280,I280*CDR*MAX(0,MIN(7,'Loan Tape'!$AV276)-6))</f>
        <v>0</v>
      </c>
      <c r="J886" s="99" t="n">
        <f aca="false">MIN(J280,J280*CDR*MAX(0,MIN(8,'Loan Tape'!$AV276)-7))</f>
        <v>0</v>
      </c>
      <c r="K886" s="99" t="n">
        <f aca="false">MIN(K280,K280*CDR*MAX(0,MIN(9,'Loan Tape'!$AV276)-8))</f>
        <v>0</v>
      </c>
      <c r="L886" s="99" t="n">
        <f aca="false">MIN(L280,L280*CDR*MAX(0,MIN(10,'Loan Tape'!$AV276)-9))</f>
        <v>0</v>
      </c>
    </row>
    <row r="887" customFormat="false" ht="15" hidden="false" customHeight="false" outlineLevel="0" collapsed="false">
      <c r="B887" s="108" t="n">
        <f aca="false">'Loan Tape'!$A277</f>
        <v>0</v>
      </c>
      <c r="C887" s="71" t="n">
        <f aca="false">MIN(C281,C281*CDR*MAX(0,MIN(1,'Loan Tape'!$AV277)-0))</f>
        <v>0</v>
      </c>
      <c r="D887" s="71" t="n">
        <f aca="false">MIN(D281,D281*CDR*MAX(0,MIN(2,'Loan Tape'!$AV277)-1))</f>
        <v>0</v>
      </c>
      <c r="E887" s="71" t="n">
        <f aca="false">MIN(E281,E281*CDR*MAX(0,MIN(3,'Loan Tape'!$AV277)-2))</f>
        <v>0</v>
      </c>
      <c r="F887" s="71" t="n">
        <f aca="false">MIN(F281,F281*CDR*MAX(0,MIN(4,'Loan Tape'!$AV277)-3))</f>
        <v>0</v>
      </c>
      <c r="G887" s="71" t="n">
        <f aca="false">MIN(G281,G281*CDR*MAX(0,MIN(5,'Loan Tape'!$AV277)-4))</f>
        <v>0</v>
      </c>
      <c r="H887" s="71" t="n">
        <f aca="false">MIN(H281,H281*CDR*MAX(0,MIN(6,'Loan Tape'!$AV277)-5))</f>
        <v>0</v>
      </c>
      <c r="I887" s="71" t="n">
        <f aca="false">MIN(I281,I281*CDR*MAX(0,MIN(7,'Loan Tape'!$AV277)-6))</f>
        <v>0</v>
      </c>
      <c r="J887" s="71" t="n">
        <f aca="false">MIN(J281,J281*CDR*MAX(0,MIN(8,'Loan Tape'!$AV277)-7))</f>
        <v>0</v>
      </c>
      <c r="K887" s="71" t="n">
        <f aca="false">MIN(K281,K281*CDR*MAX(0,MIN(9,'Loan Tape'!$AV277)-8))</f>
        <v>0</v>
      </c>
      <c r="L887" s="71" t="n">
        <f aca="false">MIN(L281,L281*CDR*MAX(0,MIN(10,'Loan Tape'!$AV277)-9))</f>
        <v>0</v>
      </c>
    </row>
    <row r="888" customFormat="false" ht="15" hidden="false" customHeight="false" outlineLevel="0" collapsed="false">
      <c r="B888" s="102" t="n">
        <f aca="false">'Loan Tape'!$A278</f>
        <v>0</v>
      </c>
      <c r="C888" s="99" t="n">
        <f aca="false">MIN(C282,C282*CDR*MAX(0,MIN(1,'Loan Tape'!$AV278)-0))</f>
        <v>0</v>
      </c>
      <c r="D888" s="99" t="n">
        <f aca="false">MIN(D282,D282*CDR*MAX(0,MIN(2,'Loan Tape'!$AV278)-1))</f>
        <v>0</v>
      </c>
      <c r="E888" s="99" t="n">
        <f aca="false">MIN(E282,E282*CDR*MAX(0,MIN(3,'Loan Tape'!$AV278)-2))</f>
        <v>0</v>
      </c>
      <c r="F888" s="99" t="n">
        <f aca="false">MIN(F282,F282*CDR*MAX(0,MIN(4,'Loan Tape'!$AV278)-3))</f>
        <v>0</v>
      </c>
      <c r="G888" s="99" t="n">
        <f aca="false">MIN(G282,G282*CDR*MAX(0,MIN(5,'Loan Tape'!$AV278)-4))</f>
        <v>0</v>
      </c>
      <c r="H888" s="99" t="n">
        <f aca="false">MIN(H282,H282*CDR*MAX(0,MIN(6,'Loan Tape'!$AV278)-5))</f>
        <v>0</v>
      </c>
      <c r="I888" s="99" t="n">
        <f aca="false">MIN(I282,I282*CDR*MAX(0,MIN(7,'Loan Tape'!$AV278)-6))</f>
        <v>0</v>
      </c>
      <c r="J888" s="99" t="n">
        <f aca="false">MIN(J282,J282*CDR*MAX(0,MIN(8,'Loan Tape'!$AV278)-7))</f>
        <v>0</v>
      </c>
      <c r="K888" s="99" t="n">
        <f aca="false">MIN(K282,K282*CDR*MAX(0,MIN(9,'Loan Tape'!$AV278)-8))</f>
        <v>0</v>
      </c>
      <c r="L888" s="99" t="n">
        <f aca="false">MIN(L282,L282*CDR*MAX(0,MIN(10,'Loan Tape'!$AV278)-9))</f>
        <v>0</v>
      </c>
    </row>
    <row r="889" customFormat="false" ht="15" hidden="false" customHeight="false" outlineLevel="0" collapsed="false">
      <c r="B889" s="108" t="n">
        <f aca="false">'Loan Tape'!$A279</f>
        <v>0</v>
      </c>
      <c r="C889" s="71" t="n">
        <f aca="false">MIN(C283,C283*CDR*MAX(0,MIN(1,'Loan Tape'!$AV279)-0))</f>
        <v>0</v>
      </c>
      <c r="D889" s="71" t="n">
        <f aca="false">MIN(D283,D283*CDR*MAX(0,MIN(2,'Loan Tape'!$AV279)-1))</f>
        <v>0</v>
      </c>
      <c r="E889" s="71" t="n">
        <f aca="false">MIN(E283,E283*CDR*MAX(0,MIN(3,'Loan Tape'!$AV279)-2))</f>
        <v>0</v>
      </c>
      <c r="F889" s="71" t="n">
        <f aca="false">MIN(F283,F283*CDR*MAX(0,MIN(4,'Loan Tape'!$AV279)-3))</f>
        <v>0</v>
      </c>
      <c r="G889" s="71" t="n">
        <f aca="false">MIN(G283,G283*CDR*MAX(0,MIN(5,'Loan Tape'!$AV279)-4))</f>
        <v>0</v>
      </c>
      <c r="H889" s="71" t="n">
        <f aca="false">MIN(H283,H283*CDR*MAX(0,MIN(6,'Loan Tape'!$AV279)-5))</f>
        <v>0</v>
      </c>
      <c r="I889" s="71" t="n">
        <f aca="false">MIN(I283,I283*CDR*MAX(0,MIN(7,'Loan Tape'!$AV279)-6))</f>
        <v>0</v>
      </c>
      <c r="J889" s="71" t="n">
        <f aca="false">MIN(J283,J283*CDR*MAX(0,MIN(8,'Loan Tape'!$AV279)-7))</f>
        <v>0</v>
      </c>
      <c r="K889" s="71" t="n">
        <f aca="false">MIN(K283,K283*CDR*MAX(0,MIN(9,'Loan Tape'!$AV279)-8))</f>
        <v>0</v>
      </c>
      <c r="L889" s="71" t="n">
        <f aca="false">MIN(L283,L283*CDR*MAX(0,MIN(10,'Loan Tape'!$AV279)-9))</f>
        <v>0</v>
      </c>
    </row>
    <row r="890" customFormat="false" ht="15" hidden="false" customHeight="false" outlineLevel="0" collapsed="false">
      <c r="B890" s="102" t="n">
        <f aca="false">'Loan Tape'!$A280</f>
        <v>0</v>
      </c>
      <c r="C890" s="99" t="n">
        <f aca="false">MIN(C284,C284*CDR*MAX(0,MIN(1,'Loan Tape'!$AV280)-0))</f>
        <v>0</v>
      </c>
      <c r="D890" s="99" t="n">
        <f aca="false">MIN(D284,D284*CDR*MAX(0,MIN(2,'Loan Tape'!$AV280)-1))</f>
        <v>0</v>
      </c>
      <c r="E890" s="99" t="n">
        <f aca="false">MIN(E284,E284*CDR*MAX(0,MIN(3,'Loan Tape'!$AV280)-2))</f>
        <v>0</v>
      </c>
      <c r="F890" s="99" t="n">
        <f aca="false">MIN(F284,F284*CDR*MAX(0,MIN(4,'Loan Tape'!$AV280)-3))</f>
        <v>0</v>
      </c>
      <c r="G890" s="99" t="n">
        <f aca="false">MIN(G284,G284*CDR*MAX(0,MIN(5,'Loan Tape'!$AV280)-4))</f>
        <v>0</v>
      </c>
      <c r="H890" s="99" t="n">
        <f aca="false">MIN(H284,H284*CDR*MAX(0,MIN(6,'Loan Tape'!$AV280)-5))</f>
        <v>0</v>
      </c>
      <c r="I890" s="99" t="n">
        <f aca="false">MIN(I284,I284*CDR*MAX(0,MIN(7,'Loan Tape'!$AV280)-6))</f>
        <v>0</v>
      </c>
      <c r="J890" s="99" t="n">
        <f aca="false">MIN(J284,J284*CDR*MAX(0,MIN(8,'Loan Tape'!$AV280)-7))</f>
        <v>0</v>
      </c>
      <c r="K890" s="99" t="n">
        <f aca="false">MIN(K284,K284*CDR*MAX(0,MIN(9,'Loan Tape'!$AV280)-8))</f>
        <v>0</v>
      </c>
      <c r="L890" s="99" t="n">
        <f aca="false">MIN(L284,L284*CDR*MAX(0,MIN(10,'Loan Tape'!$AV280)-9))</f>
        <v>0</v>
      </c>
    </row>
    <row r="891" customFormat="false" ht="15" hidden="false" customHeight="false" outlineLevel="0" collapsed="false">
      <c r="B891" s="108" t="n">
        <f aca="false">'Loan Tape'!$A281</f>
        <v>0</v>
      </c>
      <c r="C891" s="71" t="n">
        <f aca="false">MIN(C285,C285*CDR*MAX(0,MIN(1,'Loan Tape'!$AV281)-0))</f>
        <v>0</v>
      </c>
      <c r="D891" s="71" t="n">
        <f aca="false">MIN(D285,D285*CDR*MAX(0,MIN(2,'Loan Tape'!$AV281)-1))</f>
        <v>0</v>
      </c>
      <c r="E891" s="71" t="n">
        <f aca="false">MIN(E285,E285*CDR*MAX(0,MIN(3,'Loan Tape'!$AV281)-2))</f>
        <v>0</v>
      </c>
      <c r="F891" s="71" t="n">
        <f aca="false">MIN(F285,F285*CDR*MAX(0,MIN(4,'Loan Tape'!$AV281)-3))</f>
        <v>0</v>
      </c>
      <c r="G891" s="71" t="n">
        <f aca="false">MIN(G285,G285*CDR*MAX(0,MIN(5,'Loan Tape'!$AV281)-4))</f>
        <v>0</v>
      </c>
      <c r="H891" s="71" t="n">
        <f aca="false">MIN(H285,H285*CDR*MAX(0,MIN(6,'Loan Tape'!$AV281)-5))</f>
        <v>0</v>
      </c>
      <c r="I891" s="71" t="n">
        <f aca="false">MIN(I285,I285*CDR*MAX(0,MIN(7,'Loan Tape'!$AV281)-6))</f>
        <v>0</v>
      </c>
      <c r="J891" s="71" t="n">
        <f aca="false">MIN(J285,J285*CDR*MAX(0,MIN(8,'Loan Tape'!$AV281)-7))</f>
        <v>0</v>
      </c>
      <c r="K891" s="71" t="n">
        <f aca="false">MIN(K285,K285*CDR*MAX(0,MIN(9,'Loan Tape'!$AV281)-8))</f>
        <v>0</v>
      </c>
      <c r="L891" s="71" t="n">
        <f aca="false">MIN(L285,L285*CDR*MAX(0,MIN(10,'Loan Tape'!$AV281)-9))</f>
        <v>0</v>
      </c>
    </row>
    <row r="892" customFormat="false" ht="15" hidden="false" customHeight="false" outlineLevel="0" collapsed="false">
      <c r="B892" s="102" t="n">
        <f aca="false">'Loan Tape'!$A282</f>
        <v>0</v>
      </c>
      <c r="C892" s="99" t="n">
        <f aca="false">MIN(C286,C286*CDR*MAX(0,MIN(1,'Loan Tape'!$AV282)-0))</f>
        <v>0</v>
      </c>
      <c r="D892" s="99" t="n">
        <f aca="false">MIN(D286,D286*CDR*MAX(0,MIN(2,'Loan Tape'!$AV282)-1))</f>
        <v>0</v>
      </c>
      <c r="E892" s="99" t="n">
        <f aca="false">MIN(E286,E286*CDR*MAX(0,MIN(3,'Loan Tape'!$AV282)-2))</f>
        <v>0</v>
      </c>
      <c r="F892" s="99" t="n">
        <f aca="false">MIN(F286,F286*CDR*MAX(0,MIN(4,'Loan Tape'!$AV282)-3))</f>
        <v>0</v>
      </c>
      <c r="G892" s="99" t="n">
        <f aca="false">MIN(G286,G286*CDR*MAX(0,MIN(5,'Loan Tape'!$AV282)-4))</f>
        <v>0</v>
      </c>
      <c r="H892" s="99" t="n">
        <f aca="false">MIN(H286,H286*CDR*MAX(0,MIN(6,'Loan Tape'!$AV282)-5))</f>
        <v>0</v>
      </c>
      <c r="I892" s="99" t="n">
        <f aca="false">MIN(I286,I286*CDR*MAX(0,MIN(7,'Loan Tape'!$AV282)-6))</f>
        <v>0</v>
      </c>
      <c r="J892" s="99" t="n">
        <f aca="false">MIN(J286,J286*CDR*MAX(0,MIN(8,'Loan Tape'!$AV282)-7))</f>
        <v>0</v>
      </c>
      <c r="K892" s="99" t="n">
        <f aca="false">MIN(K286,K286*CDR*MAX(0,MIN(9,'Loan Tape'!$AV282)-8))</f>
        <v>0</v>
      </c>
      <c r="L892" s="99" t="n">
        <f aca="false">MIN(L286,L286*CDR*MAX(0,MIN(10,'Loan Tape'!$AV282)-9))</f>
        <v>0</v>
      </c>
    </row>
    <row r="893" customFormat="false" ht="15" hidden="false" customHeight="false" outlineLevel="0" collapsed="false">
      <c r="B893" s="108" t="n">
        <f aca="false">'Loan Tape'!$A283</f>
        <v>0</v>
      </c>
      <c r="C893" s="71" t="n">
        <f aca="false">MIN(C287,C287*CDR*MAX(0,MIN(1,'Loan Tape'!$AV283)-0))</f>
        <v>0</v>
      </c>
      <c r="D893" s="71" t="n">
        <f aca="false">MIN(D287,D287*CDR*MAX(0,MIN(2,'Loan Tape'!$AV283)-1))</f>
        <v>0</v>
      </c>
      <c r="E893" s="71" t="n">
        <f aca="false">MIN(E287,E287*CDR*MAX(0,MIN(3,'Loan Tape'!$AV283)-2))</f>
        <v>0</v>
      </c>
      <c r="F893" s="71" t="n">
        <f aca="false">MIN(F287,F287*CDR*MAX(0,MIN(4,'Loan Tape'!$AV283)-3))</f>
        <v>0</v>
      </c>
      <c r="G893" s="71" t="n">
        <f aca="false">MIN(G287,G287*CDR*MAX(0,MIN(5,'Loan Tape'!$AV283)-4))</f>
        <v>0</v>
      </c>
      <c r="H893" s="71" t="n">
        <f aca="false">MIN(H287,H287*CDR*MAX(0,MIN(6,'Loan Tape'!$AV283)-5))</f>
        <v>0</v>
      </c>
      <c r="I893" s="71" t="n">
        <f aca="false">MIN(I287,I287*CDR*MAX(0,MIN(7,'Loan Tape'!$AV283)-6))</f>
        <v>0</v>
      </c>
      <c r="J893" s="71" t="n">
        <f aca="false">MIN(J287,J287*CDR*MAX(0,MIN(8,'Loan Tape'!$AV283)-7))</f>
        <v>0</v>
      </c>
      <c r="K893" s="71" t="n">
        <f aca="false">MIN(K287,K287*CDR*MAX(0,MIN(9,'Loan Tape'!$AV283)-8))</f>
        <v>0</v>
      </c>
      <c r="L893" s="71" t="n">
        <f aca="false">MIN(L287,L287*CDR*MAX(0,MIN(10,'Loan Tape'!$AV283)-9))</f>
        <v>0</v>
      </c>
    </row>
    <row r="894" customFormat="false" ht="15" hidden="false" customHeight="false" outlineLevel="0" collapsed="false">
      <c r="B894" s="102" t="n">
        <f aca="false">'Loan Tape'!$A284</f>
        <v>0</v>
      </c>
      <c r="C894" s="99" t="n">
        <f aca="false">MIN(C288,C288*CDR*MAX(0,MIN(1,'Loan Tape'!$AV284)-0))</f>
        <v>0</v>
      </c>
      <c r="D894" s="99" t="n">
        <f aca="false">MIN(D288,D288*CDR*MAX(0,MIN(2,'Loan Tape'!$AV284)-1))</f>
        <v>0</v>
      </c>
      <c r="E894" s="99" t="n">
        <f aca="false">MIN(E288,E288*CDR*MAX(0,MIN(3,'Loan Tape'!$AV284)-2))</f>
        <v>0</v>
      </c>
      <c r="F894" s="99" t="n">
        <f aca="false">MIN(F288,F288*CDR*MAX(0,MIN(4,'Loan Tape'!$AV284)-3))</f>
        <v>0</v>
      </c>
      <c r="G894" s="99" t="n">
        <f aca="false">MIN(G288,G288*CDR*MAX(0,MIN(5,'Loan Tape'!$AV284)-4))</f>
        <v>0</v>
      </c>
      <c r="H894" s="99" t="n">
        <f aca="false">MIN(H288,H288*CDR*MAX(0,MIN(6,'Loan Tape'!$AV284)-5))</f>
        <v>0</v>
      </c>
      <c r="I894" s="99" t="n">
        <f aca="false">MIN(I288,I288*CDR*MAX(0,MIN(7,'Loan Tape'!$AV284)-6))</f>
        <v>0</v>
      </c>
      <c r="J894" s="99" t="n">
        <f aca="false">MIN(J288,J288*CDR*MAX(0,MIN(8,'Loan Tape'!$AV284)-7))</f>
        <v>0</v>
      </c>
      <c r="K894" s="99" t="n">
        <f aca="false">MIN(K288,K288*CDR*MAX(0,MIN(9,'Loan Tape'!$AV284)-8))</f>
        <v>0</v>
      </c>
      <c r="L894" s="99" t="n">
        <f aca="false">MIN(L288,L288*CDR*MAX(0,MIN(10,'Loan Tape'!$AV284)-9))</f>
        <v>0</v>
      </c>
    </row>
    <row r="895" customFormat="false" ht="15" hidden="false" customHeight="false" outlineLevel="0" collapsed="false">
      <c r="B895" s="108" t="n">
        <f aca="false">'Loan Tape'!$A285</f>
        <v>0</v>
      </c>
      <c r="C895" s="71" t="n">
        <f aca="false">MIN(C289,C289*CDR*MAX(0,MIN(1,'Loan Tape'!$AV285)-0))</f>
        <v>0</v>
      </c>
      <c r="D895" s="71" t="n">
        <f aca="false">MIN(D289,D289*CDR*MAX(0,MIN(2,'Loan Tape'!$AV285)-1))</f>
        <v>0</v>
      </c>
      <c r="E895" s="71" t="n">
        <f aca="false">MIN(E289,E289*CDR*MAX(0,MIN(3,'Loan Tape'!$AV285)-2))</f>
        <v>0</v>
      </c>
      <c r="F895" s="71" t="n">
        <f aca="false">MIN(F289,F289*CDR*MAX(0,MIN(4,'Loan Tape'!$AV285)-3))</f>
        <v>0</v>
      </c>
      <c r="G895" s="71" t="n">
        <f aca="false">MIN(G289,G289*CDR*MAX(0,MIN(5,'Loan Tape'!$AV285)-4))</f>
        <v>0</v>
      </c>
      <c r="H895" s="71" t="n">
        <f aca="false">MIN(H289,H289*CDR*MAX(0,MIN(6,'Loan Tape'!$AV285)-5))</f>
        <v>0</v>
      </c>
      <c r="I895" s="71" t="n">
        <f aca="false">MIN(I289,I289*CDR*MAX(0,MIN(7,'Loan Tape'!$AV285)-6))</f>
        <v>0</v>
      </c>
      <c r="J895" s="71" t="n">
        <f aca="false">MIN(J289,J289*CDR*MAX(0,MIN(8,'Loan Tape'!$AV285)-7))</f>
        <v>0</v>
      </c>
      <c r="K895" s="71" t="n">
        <f aca="false">MIN(K289,K289*CDR*MAX(0,MIN(9,'Loan Tape'!$AV285)-8))</f>
        <v>0</v>
      </c>
      <c r="L895" s="71" t="n">
        <f aca="false">MIN(L289,L289*CDR*MAX(0,MIN(10,'Loan Tape'!$AV285)-9))</f>
        <v>0</v>
      </c>
    </row>
    <row r="896" customFormat="false" ht="15" hidden="false" customHeight="false" outlineLevel="0" collapsed="false">
      <c r="B896" s="102" t="n">
        <f aca="false">'Loan Tape'!$A286</f>
        <v>0</v>
      </c>
      <c r="C896" s="99" t="n">
        <f aca="false">MIN(C290,C290*CDR*MAX(0,MIN(1,'Loan Tape'!$AV286)-0))</f>
        <v>0</v>
      </c>
      <c r="D896" s="99" t="n">
        <f aca="false">MIN(D290,D290*CDR*MAX(0,MIN(2,'Loan Tape'!$AV286)-1))</f>
        <v>0</v>
      </c>
      <c r="E896" s="99" t="n">
        <f aca="false">MIN(E290,E290*CDR*MAX(0,MIN(3,'Loan Tape'!$AV286)-2))</f>
        <v>0</v>
      </c>
      <c r="F896" s="99" t="n">
        <f aca="false">MIN(F290,F290*CDR*MAX(0,MIN(4,'Loan Tape'!$AV286)-3))</f>
        <v>0</v>
      </c>
      <c r="G896" s="99" t="n">
        <f aca="false">MIN(G290,G290*CDR*MAX(0,MIN(5,'Loan Tape'!$AV286)-4))</f>
        <v>0</v>
      </c>
      <c r="H896" s="99" t="n">
        <f aca="false">MIN(H290,H290*CDR*MAX(0,MIN(6,'Loan Tape'!$AV286)-5))</f>
        <v>0</v>
      </c>
      <c r="I896" s="99" t="n">
        <f aca="false">MIN(I290,I290*CDR*MAX(0,MIN(7,'Loan Tape'!$AV286)-6))</f>
        <v>0</v>
      </c>
      <c r="J896" s="99" t="n">
        <f aca="false">MIN(J290,J290*CDR*MAX(0,MIN(8,'Loan Tape'!$AV286)-7))</f>
        <v>0</v>
      </c>
      <c r="K896" s="99" t="n">
        <f aca="false">MIN(K290,K290*CDR*MAX(0,MIN(9,'Loan Tape'!$AV286)-8))</f>
        <v>0</v>
      </c>
      <c r="L896" s="99" t="n">
        <f aca="false">MIN(L290,L290*CDR*MAX(0,MIN(10,'Loan Tape'!$AV286)-9))</f>
        <v>0</v>
      </c>
    </row>
    <row r="897" customFormat="false" ht="15" hidden="false" customHeight="false" outlineLevel="0" collapsed="false">
      <c r="B897" s="108" t="n">
        <f aca="false">'Loan Tape'!$A287</f>
        <v>0</v>
      </c>
      <c r="C897" s="71" t="n">
        <f aca="false">MIN(C291,C291*CDR*MAX(0,MIN(1,'Loan Tape'!$AV287)-0))</f>
        <v>0</v>
      </c>
      <c r="D897" s="71" t="n">
        <f aca="false">MIN(D291,D291*CDR*MAX(0,MIN(2,'Loan Tape'!$AV287)-1))</f>
        <v>0</v>
      </c>
      <c r="E897" s="71" t="n">
        <f aca="false">MIN(E291,E291*CDR*MAX(0,MIN(3,'Loan Tape'!$AV287)-2))</f>
        <v>0</v>
      </c>
      <c r="F897" s="71" t="n">
        <f aca="false">MIN(F291,F291*CDR*MAX(0,MIN(4,'Loan Tape'!$AV287)-3))</f>
        <v>0</v>
      </c>
      <c r="G897" s="71" t="n">
        <f aca="false">MIN(G291,G291*CDR*MAX(0,MIN(5,'Loan Tape'!$AV287)-4))</f>
        <v>0</v>
      </c>
      <c r="H897" s="71" t="n">
        <f aca="false">MIN(H291,H291*CDR*MAX(0,MIN(6,'Loan Tape'!$AV287)-5))</f>
        <v>0</v>
      </c>
      <c r="I897" s="71" t="n">
        <f aca="false">MIN(I291,I291*CDR*MAX(0,MIN(7,'Loan Tape'!$AV287)-6))</f>
        <v>0</v>
      </c>
      <c r="J897" s="71" t="n">
        <f aca="false">MIN(J291,J291*CDR*MAX(0,MIN(8,'Loan Tape'!$AV287)-7))</f>
        <v>0</v>
      </c>
      <c r="K897" s="71" t="n">
        <f aca="false">MIN(K291,K291*CDR*MAX(0,MIN(9,'Loan Tape'!$AV287)-8))</f>
        <v>0</v>
      </c>
      <c r="L897" s="71" t="n">
        <f aca="false">MIN(L291,L291*CDR*MAX(0,MIN(10,'Loan Tape'!$AV287)-9))</f>
        <v>0</v>
      </c>
    </row>
    <row r="898" customFormat="false" ht="15" hidden="false" customHeight="false" outlineLevel="0" collapsed="false">
      <c r="B898" s="102" t="n">
        <f aca="false">'Loan Tape'!$A288</f>
        <v>0</v>
      </c>
      <c r="C898" s="99" t="n">
        <f aca="false">MIN(C292,C292*CDR*MAX(0,MIN(1,'Loan Tape'!$AV288)-0))</f>
        <v>0</v>
      </c>
      <c r="D898" s="99" t="n">
        <f aca="false">MIN(D292,D292*CDR*MAX(0,MIN(2,'Loan Tape'!$AV288)-1))</f>
        <v>0</v>
      </c>
      <c r="E898" s="99" t="n">
        <f aca="false">MIN(E292,E292*CDR*MAX(0,MIN(3,'Loan Tape'!$AV288)-2))</f>
        <v>0</v>
      </c>
      <c r="F898" s="99" t="n">
        <f aca="false">MIN(F292,F292*CDR*MAX(0,MIN(4,'Loan Tape'!$AV288)-3))</f>
        <v>0</v>
      </c>
      <c r="G898" s="99" t="n">
        <f aca="false">MIN(G292,G292*CDR*MAX(0,MIN(5,'Loan Tape'!$AV288)-4))</f>
        <v>0</v>
      </c>
      <c r="H898" s="99" t="n">
        <f aca="false">MIN(H292,H292*CDR*MAX(0,MIN(6,'Loan Tape'!$AV288)-5))</f>
        <v>0</v>
      </c>
      <c r="I898" s="99" t="n">
        <f aca="false">MIN(I292,I292*CDR*MAX(0,MIN(7,'Loan Tape'!$AV288)-6))</f>
        <v>0</v>
      </c>
      <c r="J898" s="99" t="n">
        <f aca="false">MIN(J292,J292*CDR*MAX(0,MIN(8,'Loan Tape'!$AV288)-7))</f>
        <v>0</v>
      </c>
      <c r="K898" s="99" t="n">
        <f aca="false">MIN(K292,K292*CDR*MAX(0,MIN(9,'Loan Tape'!$AV288)-8))</f>
        <v>0</v>
      </c>
      <c r="L898" s="99" t="n">
        <f aca="false">MIN(L292,L292*CDR*MAX(0,MIN(10,'Loan Tape'!$AV288)-9))</f>
        <v>0</v>
      </c>
    </row>
    <row r="899" customFormat="false" ht="15" hidden="false" customHeight="false" outlineLevel="0" collapsed="false">
      <c r="B899" s="108" t="n">
        <f aca="false">'Loan Tape'!$A289</f>
        <v>0</v>
      </c>
      <c r="C899" s="71" t="n">
        <f aca="false">MIN(C293,C293*CDR*MAX(0,MIN(1,'Loan Tape'!$AV289)-0))</f>
        <v>0</v>
      </c>
      <c r="D899" s="71" t="n">
        <f aca="false">MIN(D293,D293*CDR*MAX(0,MIN(2,'Loan Tape'!$AV289)-1))</f>
        <v>0</v>
      </c>
      <c r="E899" s="71" t="n">
        <f aca="false">MIN(E293,E293*CDR*MAX(0,MIN(3,'Loan Tape'!$AV289)-2))</f>
        <v>0</v>
      </c>
      <c r="F899" s="71" t="n">
        <f aca="false">MIN(F293,F293*CDR*MAX(0,MIN(4,'Loan Tape'!$AV289)-3))</f>
        <v>0</v>
      </c>
      <c r="G899" s="71" t="n">
        <f aca="false">MIN(G293,G293*CDR*MAX(0,MIN(5,'Loan Tape'!$AV289)-4))</f>
        <v>0</v>
      </c>
      <c r="H899" s="71" t="n">
        <f aca="false">MIN(H293,H293*CDR*MAX(0,MIN(6,'Loan Tape'!$AV289)-5))</f>
        <v>0</v>
      </c>
      <c r="I899" s="71" t="n">
        <f aca="false">MIN(I293,I293*CDR*MAX(0,MIN(7,'Loan Tape'!$AV289)-6))</f>
        <v>0</v>
      </c>
      <c r="J899" s="71" t="n">
        <f aca="false">MIN(J293,J293*CDR*MAX(0,MIN(8,'Loan Tape'!$AV289)-7))</f>
        <v>0</v>
      </c>
      <c r="K899" s="71" t="n">
        <f aca="false">MIN(K293,K293*CDR*MAX(0,MIN(9,'Loan Tape'!$AV289)-8))</f>
        <v>0</v>
      </c>
      <c r="L899" s="71" t="n">
        <f aca="false">MIN(L293,L293*CDR*MAX(0,MIN(10,'Loan Tape'!$AV289)-9))</f>
        <v>0</v>
      </c>
    </row>
    <row r="900" customFormat="false" ht="15" hidden="false" customHeight="false" outlineLevel="0" collapsed="false">
      <c r="B900" s="102" t="n">
        <f aca="false">'Loan Tape'!$A290</f>
        <v>0</v>
      </c>
      <c r="C900" s="99" t="n">
        <f aca="false">MIN(C294,C294*CDR*MAX(0,MIN(1,'Loan Tape'!$AV290)-0))</f>
        <v>0</v>
      </c>
      <c r="D900" s="99" t="n">
        <f aca="false">MIN(D294,D294*CDR*MAX(0,MIN(2,'Loan Tape'!$AV290)-1))</f>
        <v>0</v>
      </c>
      <c r="E900" s="99" t="n">
        <f aca="false">MIN(E294,E294*CDR*MAX(0,MIN(3,'Loan Tape'!$AV290)-2))</f>
        <v>0</v>
      </c>
      <c r="F900" s="99" t="n">
        <f aca="false">MIN(F294,F294*CDR*MAX(0,MIN(4,'Loan Tape'!$AV290)-3))</f>
        <v>0</v>
      </c>
      <c r="G900" s="99" t="n">
        <f aca="false">MIN(G294,G294*CDR*MAX(0,MIN(5,'Loan Tape'!$AV290)-4))</f>
        <v>0</v>
      </c>
      <c r="H900" s="99" t="n">
        <f aca="false">MIN(H294,H294*CDR*MAX(0,MIN(6,'Loan Tape'!$AV290)-5))</f>
        <v>0</v>
      </c>
      <c r="I900" s="99" t="n">
        <f aca="false">MIN(I294,I294*CDR*MAX(0,MIN(7,'Loan Tape'!$AV290)-6))</f>
        <v>0</v>
      </c>
      <c r="J900" s="99" t="n">
        <f aca="false">MIN(J294,J294*CDR*MAX(0,MIN(8,'Loan Tape'!$AV290)-7))</f>
        <v>0</v>
      </c>
      <c r="K900" s="99" t="n">
        <f aca="false">MIN(K294,K294*CDR*MAX(0,MIN(9,'Loan Tape'!$AV290)-8))</f>
        <v>0</v>
      </c>
      <c r="L900" s="99" t="n">
        <f aca="false">MIN(L294,L294*CDR*MAX(0,MIN(10,'Loan Tape'!$AV290)-9))</f>
        <v>0</v>
      </c>
    </row>
    <row r="901" customFormat="false" ht="15" hidden="false" customHeight="false" outlineLevel="0" collapsed="false">
      <c r="B901" s="108" t="n">
        <f aca="false">'Loan Tape'!$A291</f>
        <v>0</v>
      </c>
      <c r="C901" s="71" t="n">
        <f aca="false">MIN(C295,C295*CDR*MAX(0,MIN(1,'Loan Tape'!$AV291)-0))</f>
        <v>0</v>
      </c>
      <c r="D901" s="71" t="n">
        <f aca="false">MIN(D295,D295*CDR*MAX(0,MIN(2,'Loan Tape'!$AV291)-1))</f>
        <v>0</v>
      </c>
      <c r="E901" s="71" t="n">
        <f aca="false">MIN(E295,E295*CDR*MAX(0,MIN(3,'Loan Tape'!$AV291)-2))</f>
        <v>0</v>
      </c>
      <c r="F901" s="71" t="n">
        <f aca="false">MIN(F295,F295*CDR*MAX(0,MIN(4,'Loan Tape'!$AV291)-3))</f>
        <v>0</v>
      </c>
      <c r="G901" s="71" t="n">
        <f aca="false">MIN(G295,G295*CDR*MAX(0,MIN(5,'Loan Tape'!$AV291)-4))</f>
        <v>0</v>
      </c>
      <c r="H901" s="71" t="n">
        <f aca="false">MIN(H295,H295*CDR*MAX(0,MIN(6,'Loan Tape'!$AV291)-5))</f>
        <v>0</v>
      </c>
      <c r="I901" s="71" t="n">
        <f aca="false">MIN(I295,I295*CDR*MAX(0,MIN(7,'Loan Tape'!$AV291)-6))</f>
        <v>0</v>
      </c>
      <c r="J901" s="71" t="n">
        <f aca="false">MIN(J295,J295*CDR*MAX(0,MIN(8,'Loan Tape'!$AV291)-7))</f>
        <v>0</v>
      </c>
      <c r="K901" s="71" t="n">
        <f aca="false">MIN(K295,K295*CDR*MAX(0,MIN(9,'Loan Tape'!$AV291)-8))</f>
        <v>0</v>
      </c>
      <c r="L901" s="71" t="n">
        <f aca="false">MIN(L295,L295*CDR*MAX(0,MIN(10,'Loan Tape'!$AV291)-9))</f>
        <v>0</v>
      </c>
    </row>
    <row r="902" customFormat="false" ht="15" hidden="false" customHeight="false" outlineLevel="0" collapsed="false">
      <c r="B902" s="102" t="n">
        <f aca="false">'Loan Tape'!$A292</f>
        <v>0</v>
      </c>
      <c r="C902" s="99" t="n">
        <f aca="false">MIN(C296,C296*CDR*MAX(0,MIN(1,'Loan Tape'!$AV292)-0))</f>
        <v>0</v>
      </c>
      <c r="D902" s="99" t="n">
        <f aca="false">MIN(D296,D296*CDR*MAX(0,MIN(2,'Loan Tape'!$AV292)-1))</f>
        <v>0</v>
      </c>
      <c r="E902" s="99" t="n">
        <f aca="false">MIN(E296,E296*CDR*MAX(0,MIN(3,'Loan Tape'!$AV292)-2))</f>
        <v>0</v>
      </c>
      <c r="F902" s="99" t="n">
        <f aca="false">MIN(F296,F296*CDR*MAX(0,MIN(4,'Loan Tape'!$AV292)-3))</f>
        <v>0</v>
      </c>
      <c r="G902" s="99" t="n">
        <f aca="false">MIN(G296,G296*CDR*MAX(0,MIN(5,'Loan Tape'!$AV292)-4))</f>
        <v>0</v>
      </c>
      <c r="H902" s="99" t="n">
        <f aca="false">MIN(H296,H296*CDR*MAX(0,MIN(6,'Loan Tape'!$AV292)-5))</f>
        <v>0</v>
      </c>
      <c r="I902" s="99" t="n">
        <f aca="false">MIN(I296,I296*CDR*MAX(0,MIN(7,'Loan Tape'!$AV292)-6))</f>
        <v>0</v>
      </c>
      <c r="J902" s="99" t="n">
        <f aca="false">MIN(J296,J296*CDR*MAX(0,MIN(8,'Loan Tape'!$AV292)-7))</f>
        <v>0</v>
      </c>
      <c r="K902" s="99" t="n">
        <f aca="false">MIN(K296,K296*CDR*MAX(0,MIN(9,'Loan Tape'!$AV292)-8))</f>
        <v>0</v>
      </c>
      <c r="L902" s="99" t="n">
        <f aca="false">MIN(L296,L296*CDR*MAX(0,MIN(10,'Loan Tape'!$AV292)-9))</f>
        <v>0</v>
      </c>
    </row>
    <row r="903" customFormat="false" ht="15" hidden="false" customHeight="false" outlineLevel="0" collapsed="false">
      <c r="B903" s="108" t="n">
        <f aca="false">'Loan Tape'!$A293</f>
        <v>0</v>
      </c>
      <c r="C903" s="71" t="n">
        <f aca="false">MIN(C297,C297*CDR*MAX(0,MIN(1,'Loan Tape'!$AV293)-0))</f>
        <v>0</v>
      </c>
      <c r="D903" s="71" t="n">
        <f aca="false">MIN(D297,D297*CDR*MAX(0,MIN(2,'Loan Tape'!$AV293)-1))</f>
        <v>0</v>
      </c>
      <c r="E903" s="71" t="n">
        <f aca="false">MIN(E297,E297*CDR*MAX(0,MIN(3,'Loan Tape'!$AV293)-2))</f>
        <v>0</v>
      </c>
      <c r="F903" s="71" t="n">
        <f aca="false">MIN(F297,F297*CDR*MAX(0,MIN(4,'Loan Tape'!$AV293)-3))</f>
        <v>0</v>
      </c>
      <c r="G903" s="71" t="n">
        <f aca="false">MIN(G297,G297*CDR*MAX(0,MIN(5,'Loan Tape'!$AV293)-4))</f>
        <v>0</v>
      </c>
      <c r="H903" s="71" t="n">
        <f aca="false">MIN(H297,H297*CDR*MAX(0,MIN(6,'Loan Tape'!$AV293)-5))</f>
        <v>0</v>
      </c>
      <c r="I903" s="71" t="n">
        <f aca="false">MIN(I297,I297*CDR*MAX(0,MIN(7,'Loan Tape'!$AV293)-6))</f>
        <v>0</v>
      </c>
      <c r="J903" s="71" t="n">
        <f aca="false">MIN(J297,J297*CDR*MAX(0,MIN(8,'Loan Tape'!$AV293)-7))</f>
        <v>0</v>
      </c>
      <c r="K903" s="71" t="n">
        <f aca="false">MIN(K297,K297*CDR*MAX(0,MIN(9,'Loan Tape'!$AV293)-8))</f>
        <v>0</v>
      </c>
      <c r="L903" s="71" t="n">
        <f aca="false">MIN(L297,L297*CDR*MAX(0,MIN(10,'Loan Tape'!$AV293)-9))</f>
        <v>0</v>
      </c>
    </row>
    <row r="904" customFormat="false" ht="15" hidden="false" customHeight="false" outlineLevel="0" collapsed="false">
      <c r="B904" s="102" t="n">
        <f aca="false">'Loan Tape'!$A294</f>
        <v>0</v>
      </c>
      <c r="C904" s="99" t="n">
        <f aca="false">MIN(C298,C298*CDR*MAX(0,MIN(1,'Loan Tape'!$AV294)-0))</f>
        <v>0</v>
      </c>
      <c r="D904" s="99" t="n">
        <f aca="false">MIN(D298,D298*CDR*MAX(0,MIN(2,'Loan Tape'!$AV294)-1))</f>
        <v>0</v>
      </c>
      <c r="E904" s="99" t="n">
        <f aca="false">MIN(E298,E298*CDR*MAX(0,MIN(3,'Loan Tape'!$AV294)-2))</f>
        <v>0</v>
      </c>
      <c r="F904" s="99" t="n">
        <f aca="false">MIN(F298,F298*CDR*MAX(0,MIN(4,'Loan Tape'!$AV294)-3))</f>
        <v>0</v>
      </c>
      <c r="G904" s="99" t="n">
        <f aca="false">MIN(G298,G298*CDR*MAX(0,MIN(5,'Loan Tape'!$AV294)-4))</f>
        <v>0</v>
      </c>
      <c r="H904" s="99" t="n">
        <f aca="false">MIN(H298,H298*CDR*MAX(0,MIN(6,'Loan Tape'!$AV294)-5))</f>
        <v>0</v>
      </c>
      <c r="I904" s="99" t="n">
        <f aca="false">MIN(I298,I298*CDR*MAX(0,MIN(7,'Loan Tape'!$AV294)-6))</f>
        <v>0</v>
      </c>
      <c r="J904" s="99" t="n">
        <f aca="false">MIN(J298,J298*CDR*MAX(0,MIN(8,'Loan Tape'!$AV294)-7))</f>
        <v>0</v>
      </c>
      <c r="K904" s="99" t="n">
        <f aca="false">MIN(K298,K298*CDR*MAX(0,MIN(9,'Loan Tape'!$AV294)-8))</f>
        <v>0</v>
      </c>
      <c r="L904" s="99" t="n">
        <f aca="false">MIN(L298,L298*CDR*MAX(0,MIN(10,'Loan Tape'!$AV294)-9))</f>
        <v>0</v>
      </c>
    </row>
    <row r="905" customFormat="false" ht="15" hidden="false" customHeight="false" outlineLevel="0" collapsed="false">
      <c r="B905" s="108" t="n">
        <f aca="false">'Loan Tape'!$A295</f>
        <v>0</v>
      </c>
      <c r="C905" s="71" t="n">
        <f aca="false">MIN(C299,C299*CDR*MAX(0,MIN(1,'Loan Tape'!$AV295)-0))</f>
        <v>0</v>
      </c>
      <c r="D905" s="71" t="n">
        <f aca="false">MIN(D299,D299*CDR*MAX(0,MIN(2,'Loan Tape'!$AV295)-1))</f>
        <v>0</v>
      </c>
      <c r="E905" s="71" t="n">
        <f aca="false">MIN(E299,E299*CDR*MAX(0,MIN(3,'Loan Tape'!$AV295)-2))</f>
        <v>0</v>
      </c>
      <c r="F905" s="71" t="n">
        <f aca="false">MIN(F299,F299*CDR*MAX(0,MIN(4,'Loan Tape'!$AV295)-3))</f>
        <v>0</v>
      </c>
      <c r="G905" s="71" t="n">
        <f aca="false">MIN(G299,G299*CDR*MAX(0,MIN(5,'Loan Tape'!$AV295)-4))</f>
        <v>0</v>
      </c>
      <c r="H905" s="71" t="n">
        <f aca="false">MIN(H299,H299*CDR*MAX(0,MIN(6,'Loan Tape'!$AV295)-5))</f>
        <v>0</v>
      </c>
      <c r="I905" s="71" t="n">
        <f aca="false">MIN(I299,I299*CDR*MAX(0,MIN(7,'Loan Tape'!$AV295)-6))</f>
        <v>0</v>
      </c>
      <c r="J905" s="71" t="n">
        <f aca="false">MIN(J299,J299*CDR*MAX(0,MIN(8,'Loan Tape'!$AV295)-7))</f>
        <v>0</v>
      </c>
      <c r="K905" s="71" t="n">
        <f aca="false">MIN(K299,K299*CDR*MAX(0,MIN(9,'Loan Tape'!$AV295)-8))</f>
        <v>0</v>
      </c>
      <c r="L905" s="71" t="n">
        <f aca="false">MIN(L299,L299*CDR*MAX(0,MIN(10,'Loan Tape'!$AV295)-9))</f>
        <v>0</v>
      </c>
    </row>
    <row r="906" customFormat="false" ht="15" hidden="false" customHeight="false" outlineLevel="0" collapsed="false">
      <c r="B906" s="102" t="n">
        <f aca="false">'Loan Tape'!$A296</f>
        <v>0</v>
      </c>
      <c r="C906" s="99" t="n">
        <f aca="false">MIN(C300,C300*CDR*MAX(0,MIN(1,'Loan Tape'!$AV296)-0))</f>
        <v>0</v>
      </c>
      <c r="D906" s="99" t="n">
        <f aca="false">MIN(D300,D300*CDR*MAX(0,MIN(2,'Loan Tape'!$AV296)-1))</f>
        <v>0</v>
      </c>
      <c r="E906" s="99" t="n">
        <f aca="false">MIN(E300,E300*CDR*MAX(0,MIN(3,'Loan Tape'!$AV296)-2))</f>
        <v>0</v>
      </c>
      <c r="F906" s="99" t="n">
        <f aca="false">MIN(F300,F300*CDR*MAX(0,MIN(4,'Loan Tape'!$AV296)-3))</f>
        <v>0</v>
      </c>
      <c r="G906" s="99" t="n">
        <f aca="false">MIN(G300,G300*CDR*MAX(0,MIN(5,'Loan Tape'!$AV296)-4))</f>
        <v>0</v>
      </c>
      <c r="H906" s="99" t="n">
        <f aca="false">MIN(H300,H300*CDR*MAX(0,MIN(6,'Loan Tape'!$AV296)-5))</f>
        <v>0</v>
      </c>
      <c r="I906" s="99" t="n">
        <f aca="false">MIN(I300,I300*CDR*MAX(0,MIN(7,'Loan Tape'!$AV296)-6))</f>
        <v>0</v>
      </c>
      <c r="J906" s="99" t="n">
        <f aca="false">MIN(J300,J300*CDR*MAX(0,MIN(8,'Loan Tape'!$AV296)-7))</f>
        <v>0</v>
      </c>
      <c r="K906" s="99" t="n">
        <f aca="false">MIN(K300,K300*CDR*MAX(0,MIN(9,'Loan Tape'!$AV296)-8))</f>
        <v>0</v>
      </c>
      <c r="L906" s="99" t="n">
        <f aca="false">MIN(L300,L300*CDR*MAX(0,MIN(10,'Loan Tape'!$AV296)-9))</f>
        <v>0</v>
      </c>
    </row>
    <row r="907" customFormat="false" ht="15" hidden="false" customHeight="false" outlineLevel="0" collapsed="false">
      <c r="B907" s="108" t="n">
        <f aca="false">'Loan Tape'!$A297</f>
        <v>0</v>
      </c>
      <c r="C907" s="71" t="n">
        <f aca="false">MIN(C301,C301*CDR*MAX(0,MIN(1,'Loan Tape'!$AV297)-0))</f>
        <v>0</v>
      </c>
      <c r="D907" s="71" t="n">
        <f aca="false">MIN(D301,D301*CDR*MAX(0,MIN(2,'Loan Tape'!$AV297)-1))</f>
        <v>0</v>
      </c>
      <c r="E907" s="71" t="n">
        <f aca="false">MIN(E301,E301*CDR*MAX(0,MIN(3,'Loan Tape'!$AV297)-2))</f>
        <v>0</v>
      </c>
      <c r="F907" s="71" t="n">
        <f aca="false">MIN(F301,F301*CDR*MAX(0,MIN(4,'Loan Tape'!$AV297)-3))</f>
        <v>0</v>
      </c>
      <c r="G907" s="71" t="n">
        <f aca="false">MIN(G301,G301*CDR*MAX(0,MIN(5,'Loan Tape'!$AV297)-4))</f>
        <v>0</v>
      </c>
      <c r="H907" s="71" t="n">
        <f aca="false">MIN(H301,H301*CDR*MAX(0,MIN(6,'Loan Tape'!$AV297)-5))</f>
        <v>0</v>
      </c>
      <c r="I907" s="71" t="n">
        <f aca="false">MIN(I301,I301*CDR*MAX(0,MIN(7,'Loan Tape'!$AV297)-6))</f>
        <v>0</v>
      </c>
      <c r="J907" s="71" t="n">
        <f aca="false">MIN(J301,J301*CDR*MAX(0,MIN(8,'Loan Tape'!$AV297)-7))</f>
        <v>0</v>
      </c>
      <c r="K907" s="71" t="n">
        <f aca="false">MIN(K301,K301*CDR*MAX(0,MIN(9,'Loan Tape'!$AV297)-8))</f>
        <v>0</v>
      </c>
      <c r="L907" s="71" t="n">
        <f aca="false">MIN(L301,L301*CDR*MAX(0,MIN(10,'Loan Tape'!$AV297)-9))</f>
        <v>0</v>
      </c>
    </row>
    <row r="908" customFormat="false" ht="15" hidden="false" customHeight="false" outlineLevel="0" collapsed="false">
      <c r="B908" s="102" t="n">
        <f aca="false">'Loan Tape'!$A298</f>
        <v>0</v>
      </c>
      <c r="C908" s="99" t="n">
        <f aca="false">MIN(C302,C302*CDR*MAX(0,MIN(1,'Loan Tape'!$AV298)-0))</f>
        <v>0</v>
      </c>
      <c r="D908" s="99" t="n">
        <f aca="false">MIN(D302,D302*CDR*MAX(0,MIN(2,'Loan Tape'!$AV298)-1))</f>
        <v>0</v>
      </c>
      <c r="E908" s="99" t="n">
        <f aca="false">MIN(E302,E302*CDR*MAX(0,MIN(3,'Loan Tape'!$AV298)-2))</f>
        <v>0</v>
      </c>
      <c r="F908" s="99" t="n">
        <f aca="false">MIN(F302,F302*CDR*MAX(0,MIN(4,'Loan Tape'!$AV298)-3))</f>
        <v>0</v>
      </c>
      <c r="G908" s="99" t="n">
        <f aca="false">MIN(G302,G302*CDR*MAX(0,MIN(5,'Loan Tape'!$AV298)-4))</f>
        <v>0</v>
      </c>
      <c r="H908" s="99" t="n">
        <f aca="false">MIN(H302,H302*CDR*MAX(0,MIN(6,'Loan Tape'!$AV298)-5))</f>
        <v>0</v>
      </c>
      <c r="I908" s="99" t="n">
        <f aca="false">MIN(I302,I302*CDR*MAX(0,MIN(7,'Loan Tape'!$AV298)-6))</f>
        <v>0</v>
      </c>
      <c r="J908" s="99" t="n">
        <f aca="false">MIN(J302,J302*CDR*MAX(0,MIN(8,'Loan Tape'!$AV298)-7))</f>
        <v>0</v>
      </c>
      <c r="K908" s="99" t="n">
        <f aca="false">MIN(K302,K302*CDR*MAX(0,MIN(9,'Loan Tape'!$AV298)-8))</f>
        <v>0</v>
      </c>
      <c r="L908" s="99" t="n">
        <f aca="false">MIN(L302,L302*CDR*MAX(0,MIN(10,'Loan Tape'!$AV298)-9))</f>
        <v>0</v>
      </c>
    </row>
    <row r="909" customFormat="false" ht="15" hidden="false" customHeight="false" outlineLevel="0" collapsed="false">
      <c r="B909" s="108" t="n">
        <f aca="false">'Loan Tape'!$A299</f>
        <v>0</v>
      </c>
      <c r="C909" s="71" t="n">
        <f aca="false">MIN(C303,C303*CDR*MAX(0,MIN(1,'Loan Tape'!$AV299)-0))</f>
        <v>0</v>
      </c>
      <c r="D909" s="71" t="n">
        <f aca="false">MIN(D303,D303*CDR*MAX(0,MIN(2,'Loan Tape'!$AV299)-1))</f>
        <v>0</v>
      </c>
      <c r="E909" s="71" t="n">
        <f aca="false">MIN(E303,E303*CDR*MAX(0,MIN(3,'Loan Tape'!$AV299)-2))</f>
        <v>0</v>
      </c>
      <c r="F909" s="71" t="n">
        <f aca="false">MIN(F303,F303*CDR*MAX(0,MIN(4,'Loan Tape'!$AV299)-3))</f>
        <v>0</v>
      </c>
      <c r="G909" s="71" t="n">
        <f aca="false">MIN(G303,G303*CDR*MAX(0,MIN(5,'Loan Tape'!$AV299)-4))</f>
        <v>0</v>
      </c>
      <c r="H909" s="71" t="n">
        <f aca="false">MIN(H303,H303*CDR*MAX(0,MIN(6,'Loan Tape'!$AV299)-5))</f>
        <v>0</v>
      </c>
      <c r="I909" s="71" t="n">
        <f aca="false">MIN(I303,I303*CDR*MAX(0,MIN(7,'Loan Tape'!$AV299)-6))</f>
        <v>0</v>
      </c>
      <c r="J909" s="71" t="n">
        <f aca="false">MIN(J303,J303*CDR*MAX(0,MIN(8,'Loan Tape'!$AV299)-7))</f>
        <v>0</v>
      </c>
      <c r="K909" s="71" t="n">
        <f aca="false">MIN(K303,K303*CDR*MAX(0,MIN(9,'Loan Tape'!$AV299)-8))</f>
        <v>0</v>
      </c>
      <c r="L909" s="71" t="n">
        <f aca="false">MIN(L303,L303*CDR*MAX(0,MIN(10,'Loan Tape'!$AV299)-9))</f>
        <v>0</v>
      </c>
    </row>
    <row r="910" customFormat="false" ht="15" hidden="false" customHeight="false" outlineLevel="0" collapsed="false">
      <c r="B910" s="102" t="n">
        <f aca="false">'Loan Tape'!$A300</f>
        <v>0</v>
      </c>
      <c r="C910" s="99" t="n">
        <f aca="false">MIN(C304,C304*CDR*MAX(0,MIN(1,'Loan Tape'!$AV300)-0))</f>
        <v>0</v>
      </c>
      <c r="D910" s="99" t="n">
        <f aca="false">MIN(D304,D304*CDR*MAX(0,MIN(2,'Loan Tape'!$AV300)-1))</f>
        <v>0</v>
      </c>
      <c r="E910" s="99" t="n">
        <f aca="false">MIN(E304,E304*CDR*MAX(0,MIN(3,'Loan Tape'!$AV300)-2))</f>
        <v>0</v>
      </c>
      <c r="F910" s="99" t="n">
        <f aca="false">MIN(F304,F304*CDR*MAX(0,MIN(4,'Loan Tape'!$AV300)-3))</f>
        <v>0</v>
      </c>
      <c r="G910" s="99" t="n">
        <f aca="false">MIN(G304,G304*CDR*MAX(0,MIN(5,'Loan Tape'!$AV300)-4))</f>
        <v>0</v>
      </c>
      <c r="H910" s="99" t="n">
        <f aca="false">MIN(H304,H304*CDR*MAX(0,MIN(6,'Loan Tape'!$AV300)-5))</f>
        <v>0</v>
      </c>
      <c r="I910" s="99" t="n">
        <f aca="false">MIN(I304,I304*CDR*MAX(0,MIN(7,'Loan Tape'!$AV300)-6))</f>
        <v>0</v>
      </c>
      <c r="J910" s="99" t="n">
        <f aca="false">MIN(J304,J304*CDR*MAX(0,MIN(8,'Loan Tape'!$AV300)-7))</f>
        <v>0</v>
      </c>
      <c r="K910" s="99" t="n">
        <f aca="false">MIN(K304,K304*CDR*MAX(0,MIN(9,'Loan Tape'!$AV300)-8))</f>
        <v>0</v>
      </c>
      <c r="L910" s="99" t="n">
        <f aca="false">MIN(L304,L304*CDR*MAX(0,MIN(10,'Loan Tape'!$AV300)-9))</f>
        <v>0</v>
      </c>
    </row>
    <row r="911" customFormat="false" ht="15" hidden="false" customHeight="false" outlineLevel="0" collapsed="false">
      <c r="B911" s="108" t="n">
        <f aca="false">'Loan Tape'!$A301</f>
        <v>0</v>
      </c>
      <c r="C911" s="71" t="n">
        <f aca="false">MIN(C305,C305*CDR*MAX(0,MIN(1,'Loan Tape'!$AV301)-0))</f>
        <v>0</v>
      </c>
      <c r="D911" s="71" t="n">
        <f aca="false">MIN(D305,D305*CDR*MAX(0,MIN(2,'Loan Tape'!$AV301)-1))</f>
        <v>0</v>
      </c>
      <c r="E911" s="71" t="n">
        <f aca="false">MIN(E305,E305*CDR*MAX(0,MIN(3,'Loan Tape'!$AV301)-2))</f>
        <v>0</v>
      </c>
      <c r="F911" s="71" t="n">
        <f aca="false">MIN(F305,F305*CDR*MAX(0,MIN(4,'Loan Tape'!$AV301)-3))</f>
        <v>0</v>
      </c>
      <c r="G911" s="71" t="n">
        <f aca="false">MIN(G305,G305*CDR*MAX(0,MIN(5,'Loan Tape'!$AV301)-4))</f>
        <v>0</v>
      </c>
      <c r="H911" s="71" t="n">
        <f aca="false">MIN(H305,H305*CDR*MAX(0,MIN(6,'Loan Tape'!$AV301)-5))</f>
        <v>0</v>
      </c>
      <c r="I911" s="71" t="n">
        <f aca="false">MIN(I305,I305*CDR*MAX(0,MIN(7,'Loan Tape'!$AV301)-6))</f>
        <v>0</v>
      </c>
      <c r="J911" s="71" t="n">
        <f aca="false">MIN(J305,J305*CDR*MAX(0,MIN(8,'Loan Tape'!$AV301)-7))</f>
        <v>0</v>
      </c>
      <c r="K911" s="71" t="n">
        <f aca="false">MIN(K305,K305*CDR*MAX(0,MIN(9,'Loan Tape'!$AV301)-8))</f>
        <v>0</v>
      </c>
      <c r="L911" s="71" t="n">
        <f aca="false">MIN(L305,L305*CDR*MAX(0,MIN(10,'Loan Tape'!$AV301)-9))</f>
        <v>0</v>
      </c>
    </row>
    <row r="912" customFormat="false" ht="15" hidden="false" customHeight="false" outlineLevel="0" collapsed="false">
      <c r="B912" s="102" t="n">
        <f aca="false">'Loan Tape'!$A302</f>
        <v>0</v>
      </c>
      <c r="C912" s="99" t="n">
        <f aca="false">MIN(C306,C306*CDR*MAX(0,MIN(1,'Loan Tape'!$AV302)-0))</f>
        <v>0</v>
      </c>
      <c r="D912" s="99" t="n">
        <f aca="false">MIN(D306,D306*CDR*MAX(0,MIN(2,'Loan Tape'!$AV302)-1))</f>
        <v>0</v>
      </c>
      <c r="E912" s="99" t="n">
        <f aca="false">MIN(E306,E306*CDR*MAX(0,MIN(3,'Loan Tape'!$AV302)-2))</f>
        <v>0</v>
      </c>
      <c r="F912" s="99" t="n">
        <f aca="false">MIN(F306,F306*CDR*MAX(0,MIN(4,'Loan Tape'!$AV302)-3))</f>
        <v>0</v>
      </c>
      <c r="G912" s="99" t="n">
        <f aca="false">MIN(G306,G306*CDR*MAX(0,MIN(5,'Loan Tape'!$AV302)-4))</f>
        <v>0</v>
      </c>
      <c r="H912" s="99" t="n">
        <f aca="false">MIN(H306,H306*CDR*MAX(0,MIN(6,'Loan Tape'!$AV302)-5))</f>
        <v>0</v>
      </c>
      <c r="I912" s="99" t="n">
        <f aca="false">MIN(I306,I306*CDR*MAX(0,MIN(7,'Loan Tape'!$AV302)-6))</f>
        <v>0</v>
      </c>
      <c r="J912" s="99" t="n">
        <f aca="false">MIN(J306,J306*CDR*MAX(0,MIN(8,'Loan Tape'!$AV302)-7))</f>
        <v>0</v>
      </c>
      <c r="K912" s="99" t="n">
        <f aca="false">MIN(K306,K306*CDR*MAX(0,MIN(9,'Loan Tape'!$AV302)-8))</f>
        <v>0</v>
      </c>
      <c r="L912" s="99" t="n">
        <f aca="false">MIN(L306,L306*CDR*MAX(0,MIN(10,'Loan Tape'!$AV302)-9))</f>
        <v>0</v>
      </c>
    </row>
    <row r="913" customFormat="false" ht="15" hidden="false" customHeight="false" outlineLevel="0" collapsed="false">
      <c r="B913" s="108" t="n">
        <f aca="false">'Loan Tape'!$A303</f>
        <v>0</v>
      </c>
      <c r="C913" s="71" t="n">
        <f aca="false">MIN(C307,C307*CDR*MAX(0,MIN(1,'Loan Tape'!$AV303)-0))</f>
        <v>0</v>
      </c>
      <c r="D913" s="71" t="n">
        <f aca="false">MIN(D307,D307*CDR*MAX(0,MIN(2,'Loan Tape'!$AV303)-1))</f>
        <v>0</v>
      </c>
      <c r="E913" s="71" t="n">
        <f aca="false">MIN(E307,E307*CDR*MAX(0,MIN(3,'Loan Tape'!$AV303)-2))</f>
        <v>0</v>
      </c>
      <c r="F913" s="71" t="n">
        <f aca="false">MIN(F307,F307*CDR*MAX(0,MIN(4,'Loan Tape'!$AV303)-3))</f>
        <v>0</v>
      </c>
      <c r="G913" s="71" t="n">
        <f aca="false">MIN(G307,G307*CDR*MAX(0,MIN(5,'Loan Tape'!$AV303)-4))</f>
        <v>0</v>
      </c>
      <c r="H913" s="71" t="n">
        <f aca="false">MIN(H307,H307*CDR*MAX(0,MIN(6,'Loan Tape'!$AV303)-5))</f>
        <v>0</v>
      </c>
      <c r="I913" s="71" t="n">
        <f aca="false">MIN(I307,I307*CDR*MAX(0,MIN(7,'Loan Tape'!$AV303)-6))</f>
        <v>0</v>
      </c>
      <c r="J913" s="71" t="n">
        <f aca="false">MIN(J307,J307*CDR*MAX(0,MIN(8,'Loan Tape'!$AV303)-7))</f>
        <v>0</v>
      </c>
      <c r="K913" s="71" t="n">
        <f aca="false">MIN(K307,K307*CDR*MAX(0,MIN(9,'Loan Tape'!$AV303)-8))</f>
        <v>0</v>
      </c>
      <c r="L913" s="71" t="n">
        <f aca="false">MIN(L307,L307*CDR*MAX(0,MIN(10,'Loan Tape'!$AV303)-9))</f>
        <v>0</v>
      </c>
    </row>
    <row r="915" customFormat="false" ht="18" hidden="false" customHeight="true" outlineLevel="0" collapsed="false">
      <c r="B915" s="5" t="s">
        <v>583</v>
      </c>
      <c r="C915" s="5"/>
      <c r="D915" s="5"/>
      <c r="E915" s="5"/>
      <c r="F915" s="5"/>
      <c r="G915" s="5"/>
      <c r="H915" s="5"/>
      <c r="I915" s="5"/>
      <c r="J915" s="5"/>
      <c r="K915" s="5"/>
      <c r="L915" s="5"/>
      <c r="N915" s="30" t="s">
        <v>584</v>
      </c>
    </row>
    <row r="916" customFormat="false" ht="15.75" hidden="false" customHeight="true" outlineLevel="0" collapsed="false">
      <c r="B916" s="54" t="s">
        <v>148</v>
      </c>
      <c r="C916" s="55" t="n">
        <v>1</v>
      </c>
      <c r="D916" s="55" t="n">
        <v>2</v>
      </c>
      <c r="E916" s="55" t="n">
        <v>3</v>
      </c>
      <c r="F916" s="55" t="n">
        <v>4</v>
      </c>
      <c r="G916" s="55" t="n">
        <v>5</v>
      </c>
      <c r="H916" s="55" t="n">
        <v>6</v>
      </c>
      <c r="I916" s="55" t="n">
        <v>7</v>
      </c>
      <c r="J916" s="55" t="n">
        <v>8</v>
      </c>
      <c r="K916" s="55" t="n">
        <v>9</v>
      </c>
      <c r="L916" s="55" t="n">
        <v>10</v>
      </c>
    </row>
    <row r="917" customFormat="false" ht="15" hidden="false" customHeight="false" outlineLevel="0" collapsed="false">
      <c r="B917" s="102" t="str">
        <f aca="false">'Loan Tape'!$A4</f>
        <v>L-001</v>
      </c>
      <c r="C917" s="99" t="n">
        <f aca="false">IF(OR('Loan Tape'!$AN4=0,'Loan Tape'!$Z4="Interest Only",'Loan Tape'!$Z4=""),0,MIN(MAX(0,C8-C614),IFERROR(MAX(0,MIN(1,'Loan Tape'!$AV4)-MAX(0,'Loan Tape'!$AT4))*IF(C311&lt;=0,C8/MAX(1,'Loan Tape'!$AU4-1+1),C311*C8/(1-(1+C311)^(-MAX(1,'Loan Tape'!$AU4-1+1)))-C311*C8),0)))</f>
        <v>165320.640297877</v>
      </c>
      <c r="D917" s="99" t="n">
        <f aca="false">IF(OR('Loan Tape'!$AN4=0,'Loan Tape'!$Z4="Interest Only",'Loan Tape'!$Z4=""),0,MIN(MAX(0,D8-D614),IFERROR(MAX(0,MIN(2,'Loan Tape'!$AV4)-MAX(1,'Loan Tape'!$AT4))*IF(D311&lt;=0,D8/MAX(1,'Loan Tape'!$AU4-2+1),D311*D8/(1-(1+D311)^(-MAX(1,'Loan Tape'!$AU4-2+1)))-D311*D8),0)))</f>
        <v>0</v>
      </c>
      <c r="E917" s="99" t="n">
        <f aca="false">IF(OR('Loan Tape'!$AN4=0,'Loan Tape'!$Z4="Interest Only",'Loan Tape'!$Z4=""),0,MIN(MAX(0,E8-E614),IFERROR(MAX(0,MIN(3,'Loan Tape'!$AV4)-MAX(2,'Loan Tape'!$AT4))*IF(E311&lt;=0,E8/MAX(1,'Loan Tape'!$AU4-3+1),E311*E8/(1-(1+E311)^(-MAX(1,'Loan Tape'!$AU4-3+1)))-E311*E8),0)))</f>
        <v>0</v>
      </c>
      <c r="F917" s="99" t="n">
        <f aca="false">IF(OR('Loan Tape'!$AN4=0,'Loan Tape'!$Z4="Interest Only",'Loan Tape'!$Z4=""),0,MIN(MAX(0,F8-F614),IFERROR(MAX(0,MIN(4,'Loan Tape'!$AV4)-MAX(3,'Loan Tape'!$AT4))*IF(F311&lt;=0,F8/MAX(1,'Loan Tape'!$AU4-4+1),F311*F8/(1-(1+F311)^(-MAX(1,'Loan Tape'!$AU4-4+1)))-F311*F8),0)))</f>
        <v>0</v>
      </c>
      <c r="G917" s="99" t="n">
        <f aca="false">IF(OR('Loan Tape'!$AN4=0,'Loan Tape'!$Z4="Interest Only",'Loan Tape'!$Z4=""),0,MIN(MAX(0,G8-G614),IFERROR(MAX(0,MIN(5,'Loan Tape'!$AV4)-MAX(4,'Loan Tape'!$AT4))*IF(G311&lt;=0,G8/MAX(1,'Loan Tape'!$AU4-5+1),G311*G8/(1-(1+G311)^(-MAX(1,'Loan Tape'!$AU4-5+1)))-G311*G8),0)))</f>
        <v>0</v>
      </c>
      <c r="H917" s="99" t="n">
        <f aca="false">IF(OR('Loan Tape'!$AN4=0,'Loan Tape'!$Z4="Interest Only",'Loan Tape'!$Z4=""),0,MIN(MAX(0,H8-H614),IFERROR(MAX(0,MIN(6,'Loan Tape'!$AV4)-MAX(5,'Loan Tape'!$AT4))*IF(H311&lt;=0,H8/MAX(1,'Loan Tape'!$AU4-6+1),H311*H8/(1-(1+H311)^(-MAX(1,'Loan Tape'!$AU4-6+1)))-H311*H8),0)))</f>
        <v>0</v>
      </c>
      <c r="I917" s="99" t="n">
        <f aca="false">IF(OR('Loan Tape'!$AN4=0,'Loan Tape'!$Z4="Interest Only",'Loan Tape'!$Z4=""),0,MIN(MAX(0,I8-I614),IFERROR(MAX(0,MIN(7,'Loan Tape'!$AV4)-MAX(6,'Loan Tape'!$AT4))*IF(I311&lt;=0,I8/MAX(1,'Loan Tape'!$AU4-7+1),I311*I8/(1-(1+I311)^(-MAX(1,'Loan Tape'!$AU4-7+1)))-I311*I8),0)))</f>
        <v>0</v>
      </c>
      <c r="J917" s="99" t="n">
        <f aca="false">IF(OR('Loan Tape'!$AN4=0,'Loan Tape'!$Z4="Interest Only",'Loan Tape'!$Z4=""),0,MIN(MAX(0,J8-J614),IFERROR(MAX(0,MIN(8,'Loan Tape'!$AV4)-MAX(7,'Loan Tape'!$AT4))*IF(J311&lt;=0,J8/MAX(1,'Loan Tape'!$AU4-8+1),J311*J8/(1-(1+J311)^(-MAX(1,'Loan Tape'!$AU4-8+1)))-J311*J8),0)))</f>
        <v>0</v>
      </c>
      <c r="K917" s="99" t="n">
        <f aca="false">IF(OR('Loan Tape'!$AN4=0,'Loan Tape'!$Z4="Interest Only",'Loan Tape'!$Z4=""),0,MIN(MAX(0,K8-K614),IFERROR(MAX(0,MIN(9,'Loan Tape'!$AV4)-MAX(8,'Loan Tape'!$AT4))*IF(K311&lt;=0,K8/MAX(1,'Loan Tape'!$AU4-9+1),K311*K8/(1-(1+K311)^(-MAX(1,'Loan Tape'!$AU4-9+1)))-K311*K8),0)))</f>
        <v>0</v>
      </c>
      <c r="L917" s="99" t="n">
        <f aca="false">IF(OR('Loan Tape'!$AN4=0,'Loan Tape'!$Z4="Interest Only",'Loan Tape'!$Z4=""),0,MIN(MAX(0,L8-L614),IFERROR(MAX(0,MIN(10,'Loan Tape'!$AV4)-MAX(9,'Loan Tape'!$AT4))*IF(L311&lt;=0,L8/MAX(1,'Loan Tape'!$AU4-10+1),L311*L8/(1-(1+L311)^(-MAX(1,'Loan Tape'!$AU4-10+1)))-L311*L8),0)))</f>
        <v>0</v>
      </c>
    </row>
    <row r="918" customFormat="false" ht="15" hidden="false" customHeight="false" outlineLevel="0" collapsed="false">
      <c r="B918" s="108" t="str">
        <f aca="false">'Loan Tape'!$A5</f>
        <v>L-002</v>
      </c>
      <c r="C918" s="71" t="n">
        <f aca="false">IF(OR('Loan Tape'!$AN5=0,'Loan Tape'!$Z5="Interest Only",'Loan Tape'!$Z5=""),0,MIN(MAX(0,C9-C615),IFERROR(MAX(0,MIN(1,'Loan Tape'!$AV5)-MAX(0,'Loan Tape'!$AT5))*IF(C312&lt;=0,C9/MAX(1,'Loan Tape'!$AU5-1+1),C312*C9/(1-(1+C312)^(-MAX(1,'Loan Tape'!$AU5-1+1)))-C312*C9),0)))</f>
        <v>250915.847227166</v>
      </c>
      <c r="D918" s="71" t="n">
        <f aca="false">IF(OR('Loan Tape'!$AN5=0,'Loan Tape'!$Z5="Interest Only",'Loan Tape'!$Z5=""),0,MIN(MAX(0,D9-D615),IFERROR(MAX(0,MIN(2,'Loan Tape'!$AV5)-MAX(1,'Loan Tape'!$AT5))*IF(D312&lt;=0,D9/MAX(1,'Loan Tape'!$AU5-2+1),D312*D9/(1-(1+D312)^(-MAX(1,'Loan Tape'!$AU5-2+1)))-D312*D9),0)))</f>
        <v>185884.234384341</v>
      </c>
      <c r="E918" s="71" t="n">
        <f aca="false">IF(OR('Loan Tape'!$AN5=0,'Loan Tape'!$Z5="Interest Only",'Loan Tape'!$Z5=""),0,MIN(MAX(0,E9-E615),IFERROR(MAX(0,MIN(3,'Loan Tape'!$AV5)-MAX(2,'Loan Tape'!$AT5))*IF(E312&lt;=0,E9/MAX(1,'Loan Tape'!$AU5-3+1),E312*E9/(1-(1+E312)^(-MAX(1,'Loan Tape'!$AU5-3+1)))-E312*E9),0)))</f>
        <v>0</v>
      </c>
      <c r="F918" s="71" t="n">
        <f aca="false">IF(OR('Loan Tape'!$AN5=0,'Loan Tape'!$Z5="Interest Only",'Loan Tape'!$Z5=""),0,MIN(MAX(0,F9-F615),IFERROR(MAX(0,MIN(4,'Loan Tape'!$AV5)-MAX(3,'Loan Tape'!$AT5))*IF(F312&lt;=0,F9/MAX(1,'Loan Tape'!$AU5-4+1),F312*F9/(1-(1+F312)^(-MAX(1,'Loan Tape'!$AU5-4+1)))-F312*F9),0)))</f>
        <v>0</v>
      </c>
      <c r="G918" s="71" t="n">
        <f aca="false">IF(OR('Loan Tape'!$AN5=0,'Loan Tape'!$Z5="Interest Only",'Loan Tape'!$Z5=""),0,MIN(MAX(0,G9-G615),IFERROR(MAX(0,MIN(5,'Loan Tape'!$AV5)-MAX(4,'Loan Tape'!$AT5))*IF(G312&lt;=0,G9/MAX(1,'Loan Tape'!$AU5-5+1),G312*G9/(1-(1+G312)^(-MAX(1,'Loan Tape'!$AU5-5+1)))-G312*G9),0)))</f>
        <v>0</v>
      </c>
      <c r="H918" s="71" t="n">
        <f aca="false">IF(OR('Loan Tape'!$AN5=0,'Loan Tape'!$Z5="Interest Only",'Loan Tape'!$Z5=""),0,MIN(MAX(0,H9-H615),IFERROR(MAX(0,MIN(6,'Loan Tape'!$AV5)-MAX(5,'Loan Tape'!$AT5))*IF(H312&lt;=0,H9/MAX(1,'Loan Tape'!$AU5-6+1),H312*H9/(1-(1+H312)^(-MAX(1,'Loan Tape'!$AU5-6+1)))-H312*H9),0)))</f>
        <v>0</v>
      </c>
      <c r="I918" s="71" t="n">
        <f aca="false">IF(OR('Loan Tape'!$AN5=0,'Loan Tape'!$Z5="Interest Only",'Loan Tape'!$Z5=""),0,MIN(MAX(0,I9-I615),IFERROR(MAX(0,MIN(7,'Loan Tape'!$AV5)-MAX(6,'Loan Tape'!$AT5))*IF(I312&lt;=0,I9/MAX(1,'Loan Tape'!$AU5-7+1),I312*I9/(1-(1+I312)^(-MAX(1,'Loan Tape'!$AU5-7+1)))-I312*I9),0)))</f>
        <v>0</v>
      </c>
      <c r="J918" s="71" t="n">
        <f aca="false">IF(OR('Loan Tape'!$AN5=0,'Loan Tape'!$Z5="Interest Only",'Loan Tape'!$Z5=""),0,MIN(MAX(0,J9-J615),IFERROR(MAX(0,MIN(8,'Loan Tape'!$AV5)-MAX(7,'Loan Tape'!$AT5))*IF(J312&lt;=0,J9/MAX(1,'Loan Tape'!$AU5-8+1),J312*J9/(1-(1+J312)^(-MAX(1,'Loan Tape'!$AU5-8+1)))-J312*J9),0)))</f>
        <v>0</v>
      </c>
      <c r="K918" s="71" t="n">
        <f aca="false">IF(OR('Loan Tape'!$AN5=0,'Loan Tape'!$Z5="Interest Only",'Loan Tape'!$Z5=""),0,MIN(MAX(0,K9-K615),IFERROR(MAX(0,MIN(9,'Loan Tape'!$AV5)-MAX(8,'Loan Tape'!$AT5))*IF(K312&lt;=0,K9/MAX(1,'Loan Tape'!$AU5-9+1),K312*K9/(1-(1+K312)^(-MAX(1,'Loan Tape'!$AU5-9+1)))-K312*K9),0)))</f>
        <v>0</v>
      </c>
      <c r="L918" s="71" t="n">
        <f aca="false">IF(OR('Loan Tape'!$AN5=0,'Loan Tape'!$Z5="Interest Only",'Loan Tape'!$Z5=""),0,MIN(MAX(0,L9-L615),IFERROR(MAX(0,MIN(10,'Loan Tape'!$AV5)-MAX(9,'Loan Tape'!$AT5))*IF(L312&lt;=0,L9/MAX(1,'Loan Tape'!$AU5-10+1),L312*L9/(1-(1+L312)^(-MAX(1,'Loan Tape'!$AU5-10+1)))-L312*L9),0)))</f>
        <v>0</v>
      </c>
    </row>
    <row r="919" customFormat="false" ht="15" hidden="false" customHeight="false" outlineLevel="0" collapsed="false">
      <c r="B919" s="102" t="str">
        <f aca="false">'Loan Tape'!$A6</f>
        <v>L-003</v>
      </c>
      <c r="C919" s="99" t="n">
        <f aca="false">IF(OR('Loan Tape'!$AN6=0,'Loan Tape'!$Z6="Interest Only",'Loan Tape'!$Z6=""),0,MIN(MAX(0,C10-C616),IFERROR(MAX(0,MIN(1,'Loan Tape'!$AV6)-MAX(0,'Loan Tape'!$AT6))*IF(C313&lt;=0,C10/MAX(1,'Loan Tape'!$AU6-1+1),C313*C10/(1-(1+C313)^(-MAX(1,'Loan Tape'!$AU6-1+1)))-C313*C10),0)))</f>
        <v>1459150.32033599</v>
      </c>
      <c r="D919" s="99" t="n">
        <f aca="false">IF(OR('Loan Tape'!$AN6=0,'Loan Tape'!$Z6="Interest Only",'Loan Tape'!$Z6=""),0,MIN(MAX(0,D10-D616),IFERROR(MAX(0,MIN(2,'Loan Tape'!$AV6)-MAX(1,'Loan Tape'!$AT6))*IF(D313&lt;=0,D10/MAX(1,'Loan Tape'!$AU6-2+1),D313*D10/(1-(1+D313)^(-MAX(1,'Loan Tape'!$AU6-2+1)))-D313*D10),0)))</f>
        <v>1492358.35720713</v>
      </c>
      <c r="E919" s="99" t="n">
        <f aca="false">IF(OR('Loan Tape'!$AN6=0,'Loan Tape'!$Z6="Interest Only",'Loan Tape'!$Z6=""),0,MIN(MAX(0,E10-E616),IFERROR(MAX(0,MIN(3,'Loan Tape'!$AV6)-MAX(2,'Loan Tape'!$AT6))*IF(E313&lt;=0,E10/MAX(1,'Loan Tape'!$AU6-3+1),E313*E10/(1-(1+E313)^(-MAX(1,'Loan Tape'!$AU6-3+1)))-E313*E10),0)))</f>
        <v>1492219.4695872</v>
      </c>
      <c r="F919" s="99" t="n">
        <f aca="false">IF(OR('Loan Tape'!$AN6=0,'Loan Tape'!$Z6="Interest Only",'Loan Tape'!$Z6=""),0,MIN(MAX(0,F10-F616),IFERROR(MAX(0,MIN(4,'Loan Tape'!$AV6)-MAX(3,'Loan Tape'!$AT6))*IF(F313&lt;=0,F10/MAX(1,'Loan Tape'!$AU6-4+1),F313*F10/(1-(1+F313)^(-MAX(1,'Loan Tape'!$AU6-4+1)))-F313*F10),0)))</f>
        <v>966677.112989742</v>
      </c>
      <c r="G919" s="99" t="n">
        <f aca="false">IF(OR('Loan Tape'!$AN6=0,'Loan Tape'!$Z6="Interest Only",'Loan Tape'!$Z6=""),0,MIN(MAX(0,G10-G616),IFERROR(MAX(0,MIN(5,'Loan Tape'!$AV6)-MAX(4,'Loan Tape'!$AT6))*IF(G313&lt;=0,G10/MAX(1,'Loan Tape'!$AU6-5+1),G313*G10/(1-(1+G313)^(-MAX(1,'Loan Tape'!$AU6-5+1)))-G313*G10),0)))</f>
        <v>0</v>
      </c>
      <c r="H919" s="99" t="n">
        <f aca="false">IF(OR('Loan Tape'!$AN6=0,'Loan Tape'!$Z6="Interest Only",'Loan Tape'!$Z6=""),0,MIN(MAX(0,H10-H616),IFERROR(MAX(0,MIN(6,'Loan Tape'!$AV6)-MAX(5,'Loan Tape'!$AT6))*IF(H313&lt;=0,H10/MAX(1,'Loan Tape'!$AU6-6+1),H313*H10/(1-(1+H313)^(-MAX(1,'Loan Tape'!$AU6-6+1)))-H313*H10),0)))</f>
        <v>0</v>
      </c>
      <c r="I919" s="99" t="n">
        <f aca="false">IF(OR('Loan Tape'!$AN6=0,'Loan Tape'!$Z6="Interest Only",'Loan Tape'!$Z6=""),0,MIN(MAX(0,I10-I616),IFERROR(MAX(0,MIN(7,'Loan Tape'!$AV6)-MAX(6,'Loan Tape'!$AT6))*IF(I313&lt;=0,I10/MAX(1,'Loan Tape'!$AU6-7+1),I313*I10/(1-(1+I313)^(-MAX(1,'Loan Tape'!$AU6-7+1)))-I313*I10),0)))</f>
        <v>0</v>
      </c>
      <c r="J919" s="99" t="n">
        <f aca="false">IF(OR('Loan Tape'!$AN6=0,'Loan Tape'!$Z6="Interest Only",'Loan Tape'!$Z6=""),0,MIN(MAX(0,J10-J616),IFERROR(MAX(0,MIN(8,'Loan Tape'!$AV6)-MAX(7,'Loan Tape'!$AT6))*IF(J313&lt;=0,J10/MAX(1,'Loan Tape'!$AU6-8+1),J313*J10/(1-(1+J313)^(-MAX(1,'Loan Tape'!$AU6-8+1)))-J313*J10),0)))</f>
        <v>0</v>
      </c>
      <c r="K919" s="99" t="n">
        <f aca="false">IF(OR('Loan Tape'!$AN6=0,'Loan Tape'!$Z6="Interest Only",'Loan Tape'!$Z6=""),0,MIN(MAX(0,K10-K616),IFERROR(MAX(0,MIN(9,'Loan Tape'!$AV6)-MAX(8,'Loan Tape'!$AT6))*IF(K313&lt;=0,K10/MAX(1,'Loan Tape'!$AU6-9+1),K313*K10/(1-(1+K313)^(-MAX(1,'Loan Tape'!$AU6-9+1)))-K313*K10),0)))</f>
        <v>0</v>
      </c>
      <c r="L919" s="99" t="n">
        <f aca="false">IF(OR('Loan Tape'!$AN6=0,'Loan Tape'!$Z6="Interest Only",'Loan Tape'!$Z6=""),0,MIN(MAX(0,L10-L616),IFERROR(MAX(0,MIN(10,'Loan Tape'!$AV6)-MAX(9,'Loan Tape'!$AT6))*IF(L313&lt;=0,L10/MAX(1,'Loan Tape'!$AU6-10+1),L313*L10/(1-(1+L313)^(-MAX(1,'Loan Tape'!$AU6-10+1)))-L313*L10),0)))</f>
        <v>0</v>
      </c>
    </row>
    <row r="920" customFormat="false" ht="15" hidden="false" customHeight="false" outlineLevel="0" collapsed="false">
      <c r="B920" s="108" t="str">
        <f aca="false">'Loan Tape'!$A7</f>
        <v>L-004</v>
      </c>
      <c r="C920" s="71" t="n">
        <f aca="false">IF(OR('Loan Tape'!$AN7=0,'Loan Tape'!$Z7="Interest Only",'Loan Tape'!$Z7=""),0,MIN(MAX(0,C11-C617),IFERROR(MAX(0,MIN(1,'Loan Tape'!$AV7)-MAX(0,'Loan Tape'!$AT7))*IF(C314&lt;=0,C11/MAX(1,'Loan Tape'!$AU7-1+1),C314*C11/(1-(1+C314)^(-MAX(1,'Loan Tape'!$AU7-1+1)))-C314*C11),0)))</f>
        <v>1024139.47542601</v>
      </c>
      <c r="D920" s="71" t="n">
        <f aca="false">IF(OR('Loan Tape'!$AN7=0,'Loan Tape'!$Z7="Interest Only",'Loan Tape'!$Z7=""),0,MIN(MAX(0,D11-D617),IFERROR(MAX(0,MIN(2,'Loan Tape'!$AV7)-MAX(1,'Loan Tape'!$AT7))*IF(D314&lt;=0,D11/MAX(1,'Loan Tape'!$AU7-2+1),D314*D11/(1-(1+D314)^(-MAX(1,'Loan Tape'!$AU7-2+1)))-D314*D11),0)))</f>
        <v>932453.45405035</v>
      </c>
      <c r="E920" s="71" t="n">
        <f aca="false">IF(OR('Loan Tape'!$AN7=0,'Loan Tape'!$Z7="Interest Only",'Loan Tape'!$Z7=""),0,MIN(MAX(0,E11-E617),IFERROR(MAX(0,MIN(3,'Loan Tape'!$AV7)-MAX(2,'Loan Tape'!$AT7))*IF(E314&lt;=0,E11/MAX(1,'Loan Tape'!$AU7-3+1),E314*E11/(1-(1+E314)^(-MAX(1,'Loan Tape'!$AU7-3+1)))-E314*E11),0)))</f>
        <v>0</v>
      </c>
      <c r="F920" s="71" t="n">
        <f aca="false">IF(OR('Loan Tape'!$AN7=0,'Loan Tape'!$Z7="Interest Only",'Loan Tape'!$Z7=""),0,MIN(MAX(0,F11-F617),IFERROR(MAX(0,MIN(4,'Loan Tape'!$AV7)-MAX(3,'Loan Tape'!$AT7))*IF(F314&lt;=0,F11/MAX(1,'Loan Tape'!$AU7-4+1),F314*F11/(1-(1+F314)^(-MAX(1,'Loan Tape'!$AU7-4+1)))-F314*F11),0)))</f>
        <v>0</v>
      </c>
      <c r="G920" s="71" t="n">
        <f aca="false">IF(OR('Loan Tape'!$AN7=0,'Loan Tape'!$Z7="Interest Only",'Loan Tape'!$Z7=""),0,MIN(MAX(0,G11-G617),IFERROR(MAX(0,MIN(5,'Loan Tape'!$AV7)-MAX(4,'Loan Tape'!$AT7))*IF(G314&lt;=0,G11/MAX(1,'Loan Tape'!$AU7-5+1),G314*G11/(1-(1+G314)^(-MAX(1,'Loan Tape'!$AU7-5+1)))-G314*G11),0)))</f>
        <v>0</v>
      </c>
      <c r="H920" s="71" t="n">
        <f aca="false">IF(OR('Loan Tape'!$AN7=0,'Loan Tape'!$Z7="Interest Only",'Loan Tape'!$Z7=""),0,MIN(MAX(0,H11-H617),IFERROR(MAX(0,MIN(6,'Loan Tape'!$AV7)-MAX(5,'Loan Tape'!$AT7))*IF(H314&lt;=0,H11/MAX(1,'Loan Tape'!$AU7-6+1),H314*H11/(1-(1+H314)^(-MAX(1,'Loan Tape'!$AU7-6+1)))-H314*H11),0)))</f>
        <v>0</v>
      </c>
      <c r="I920" s="71" t="n">
        <f aca="false">IF(OR('Loan Tape'!$AN7=0,'Loan Tape'!$Z7="Interest Only",'Loan Tape'!$Z7=""),0,MIN(MAX(0,I11-I617),IFERROR(MAX(0,MIN(7,'Loan Tape'!$AV7)-MAX(6,'Loan Tape'!$AT7))*IF(I314&lt;=0,I11/MAX(1,'Loan Tape'!$AU7-7+1),I314*I11/(1-(1+I314)^(-MAX(1,'Loan Tape'!$AU7-7+1)))-I314*I11),0)))</f>
        <v>0</v>
      </c>
      <c r="J920" s="71" t="n">
        <f aca="false">IF(OR('Loan Tape'!$AN7=0,'Loan Tape'!$Z7="Interest Only",'Loan Tape'!$Z7=""),0,MIN(MAX(0,J11-J617),IFERROR(MAX(0,MIN(8,'Loan Tape'!$AV7)-MAX(7,'Loan Tape'!$AT7))*IF(J314&lt;=0,J11/MAX(1,'Loan Tape'!$AU7-8+1),J314*J11/(1-(1+J314)^(-MAX(1,'Loan Tape'!$AU7-8+1)))-J314*J11),0)))</f>
        <v>0</v>
      </c>
      <c r="K920" s="71" t="n">
        <f aca="false">IF(OR('Loan Tape'!$AN7=0,'Loan Tape'!$Z7="Interest Only",'Loan Tape'!$Z7=""),0,MIN(MAX(0,K11-K617),IFERROR(MAX(0,MIN(9,'Loan Tape'!$AV7)-MAX(8,'Loan Tape'!$AT7))*IF(K314&lt;=0,K11/MAX(1,'Loan Tape'!$AU7-9+1),K314*K11/(1-(1+K314)^(-MAX(1,'Loan Tape'!$AU7-9+1)))-K314*K11),0)))</f>
        <v>0</v>
      </c>
      <c r="L920" s="71" t="n">
        <f aca="false">IF(OR('Loan Tape'!$AN7=0,'Loan Tape'!$Z7="Interest Only",'Loan Tape'!$Z7=""),0,MIN(MAX(0,L11-L617),IFERROR(MAX(0,MIN(10,'Loan Tape'!$AV7)-MAX(9,'Loan Tape'!$AT7))*IF(L314&lt;=0,L11/MAX(1,'Loan Tape'!$AU7-10+1),L314*L11/(1-(1+L314)^(-MAX(1,'Loan Tape'!$AU7-10+1)))-L314*L11),0)))</f>
        <v>0</v>
      </c>
    </row>
    <row r="921" customFormat="false" ht="15" hidden="false" customHeight="false" outlineLevel="0" collapsed="false">
      <c r="B921" s="102" t="str">
        <f aca="false">'Loan Tape'!$A8</f>
        <v>L-005</v>
      </c>
      <c r="C921" s="99" t="n">
        <f aca="false">IF(OR('Loan Tape'!$AN8=0,'Loan Tape'!$Z8="Interest Only",'Loan Tape'!$Z8=""),0,MIN(MAX(0,C12-C618),IFERROR(MAX(0,MIN(1,'Loan Tape'!$AV8)-MAX(0,'Loan Tape'!$AT8))*IF(C315&lt;=0,C12/MAX(1,'Loan Tape'!$AU8-1+1),C315*C12/(1-(1+C315)^(-MAX(1,'Loan Tape'!$AU8-1+1)))-C315*C12),0)))</f>
        <v>0</v>
      </c>
      <c r="D921" s="99" t="n">
        <f aca="false">IF(OR('Loan Tape'!$AN8=0,'Loan Tape'!$Z8="Interest Only",'Loan Tape'!$Z8=""),0,MIN(MAX(0,D12-D618),IFERROR(MAX(0,MIN(2,'Loan Tape'!$AV8)-MAX(1,'Loan Tape'!$AT8))*IF(D315&lt;=0,D12/MAX(1,'Loan Tape'!$AU8-2+1),D315*D12/(1-(1+D315)^(-MAX(1,'Loan Tape'!$AU8-2+1)))-D315*D12),0)))</f>
        <v>0</v>
      </c>
      <c r="E921" s="99" t="n">
        <f aca="false">IF(OR('Loan Tape'!$AN8=0,'Loan Tape'!$Z8="Interest Only",'Loan Tape'!$Z8=""),0,MIN(MAX(0,E12-E618),IFERROR(MAX(0,MIN(3,'Loan Tape'!$AV8)-MAX(2,'Loan Tape'!$AT8))*IF(E315&lt;=0,E12/MAX(1,'Loan Tape'!$AU8-3+1),E315*E12/(1-(1+E315)^(-MAX(1,'Loan Tape'!$AU8-3+1)))-E315*E12),0)))</f>
        <v>0</v>
      </c>
      <c r="F921" s="99" t="n">
        <f aca="false">IF(OR('Loan Tape'!$AN8=0,'Loan Tape'!$Z8="Interest Only",'Loan Tape'!$Z8=""),0,MIN(MAX(0,F12-F618),IFERROR(MAX(0,MIN(4,'Loan Tape'!$AV8)-MAX(3,'Loan Tape'!$AT8))*IF(F315&lt;=0,F12/MAX(1,'Loan Tape'!$AU8-4+1),F315*F12/(1-(1+F315)^(-MAX(1,'Loan Tape'!$AU8-4+1)))-F315*F12),0)))</f>
        <v>0</v>
      </c>
      <c r="G921" s="99" t="n">
        <f aca="false">IF(OR('Loan Tape'!$AN8=0,'Loan Tape'!$Z8="Interest Only",'Loan Tape'!$Z8=""),0,MIN(MAX(0,G12-G618),IFERROR(MAX(0,MIN(5,'Loan Tape'!$AV8)-MAX(4,'Loan Tape'!$AT8))*IF(G315&lt;=0,G12/MAX(1,'Loan Tape'!$AU8-5+1),G315*G12/(1-(1+G315)^(-MAX(1,'Loan Tape'!$AU8-5+1)))-G315*G12),0)))</f>
        <v>0</v>
      </c>
      <c r="H921" s="99" t="n">
        <f aca="false">IF(OR('Loan Tape'!$AN8=0,'Loan Tape'!$Z8="Interest Only",'Loan Tape'!$Z8=""),0,MIN(MAX(0,H12-H618),IFERROR(MAX(0,MIN(6,'Loan Tape'!$AV8)-MAX(5,'Loan Tape'!$AT8))*IF(H315&lt;=0,H12/MAX(1,'Loan Tape'!$AU8-6+1),H315*H12/(1-(1+H315)^(-MAX(1,'Loan Tape'!$AU8-6+1)))-H315*H12),0)))</f>
        <v>0</v>
      </c>
      <c r="I921" s="99" t="n">
        <f aca="false">IF(OR('Loan Tape'!$AN8=0,'Loan Tape'!$Z8="Interest Only",'Loan Tape'!$Z8=""),0,MIN(MAX(0,I12-I618),IFERROR(MAX(0,MIN(7,'Loan Tape'!$AV8)-MAX(6,'Loan Tape'!$AT8))*IF(I315&lt;=0,I12/MAX(1,'Loan Tape'!$AU8-7+1),I315*I12/(1-(1+I315)^(-MAX(1,'Loan Tape'!$AU8-7+1)))-I315*I12),0)))</f>
        <v>0</v>
      </c>
      <c r="J921" s="99" t="n">
        <f aca="false">IF(OR('Loan Tape'!$AN8=0,'Loan Tape'!$Z8="Interest Only",'Loan Tape'!$Z8=""),0,MIN(MAX(0,J12-J618),IFERROR(MAX(0,MIN(8,'Loan Tape'!$AV8)-MAX(7,'Loan Tape'!$AT8))*IF(J315&lt;=0,J12/MAX(1,'Loan Tape'!$AU8-8+1),J315*J12/(1-(1+J315)^(-MAX(1,'Loan Tape'!$AU8-8+1)))-J315*J12),0)))</f>
        <v>0</v>
      </c>
      <c r="K921" s="99" t="n">
        <f aca="false">IF(OR('Loan Tape'!$AN8=0,'Loan Tape'!$Z8="Interest Only",'Loan Tape'!$Z8=""),0,MIN(MAX(0,K12-K618),IFERROR(MAX(0,MIN(9,'Loan Tape'!$AV8)-MAX(8,'Loan Tape'!$AT8))*IF(K315&lt;=0,K12/MAX(1,'Loan Tape'!$AU8-9+1),K315*K12/(1-(1+K315)^(-MAX(1,'Loan Tape'!$AU8-9+1)))-K315*K12),0)))</f>
        <v>0</v>
      </c>
      <c r="L921" s="99" t="n">
        <f aca="false">IF(OR('Loan Tape'!$AN8=0,'Loan Tape'!$Z8="Interest Only",'Loan Tape'!$Z8=""),0,MIN(MAX(0,L12-L618),IFERROR(MAX(0,MIN(10,'Loan Tape'!$AV8)-MAX(9,'Loan Tape'!$AT8))*IF(L315&lt;=0,L12/MAX(1,'Loan Tape'!$AU8-10+1),L315*L12/(1-(1+L315)^(-MAX(1,'Loan Tape'!$AU8-10+1)))-L315*L12),0)))</f>
        <v>0</v>
      </c>
    </row>
    <row r="922" customFormat="false" ht="15" hidden="false" customHeight="false" outlineLevel="0" collapsed="false">
      <c r="B922" s="108" t="str">
        <f aca="false">'Loan Tape'!$A9</f>
        <v>L-006</v>
      </c>
      <c r="C922" s="71" t="n">
        <f aca="false">IF(OR('Loan Tape'!$AN9=0,'Loan Tape'!$Z9="Interest Only",'Loan Tape'!$Z9=""),0,MIN(MAX(0,C13-C619),IFERROR(MAX(0,MIN(1,'Loan Tape'!$AV9)-MAX(0,'Loan Tape'!$AT9))*IF(C316&lt;=0,C13/MAX(1,'Loan Tape'!$AU9-1+1),C316*C13/(1-(1+C316)^(-MAX(1,'Loan Tape'!$AU9-1+1)))-C316*C13),0)))</f>
        <v>1294292.74998272</v>
      </c>
      <c r="D922" s="71" t="n">
        <f aca="false">IF(OR('Loan Tape'!$AN9=0,'Loan Tape'!$Z9="Interest Only",'Loan Tape'!$Z9=""),0,MIN(MAX(0,D13-D619),IFERROR(MAX(0,MIN(2,'Loan Tape'!$AV9)-MAX(1,'Loan Tape'!$AT9))*IF(D316&lt;=0,D13/MAX(1,'Loan Tape'!$AU9-2+1),D316*D13/(1-(1+D316)^(-MAX(1,'Loan Tape'!$AU9-2+1)))-D316*D13),0)))</f>
        <v>748313.192917336</v>
      </c>
      <c r="E922" s="71" t="n">
        <f aca="false">IF(OR('Loan Tape'!$AN9=0,'Loan Tape'!$Z9="Interest Only",'Loan Tape'!$Z9=""),0,MIN(MAX(0,E13-E619),IFERROR(MAX(0,MIN(3,'Loan Tape'!$AV9)-MAX(2,'Loan Tape'!$AT9))*IF(E316&lt;=0,E13/MAX(1,'Loan Tape'!$AU9-3+1),E316*E13/(1-(1+E316)^(-MAX(1,'Loan Tape'!$AU9-3+1)))-E316*E13),0)))</f>
        <v>0</v>
      </c>
      <c r="F922" s="71" t="n">
        <f aca="false">IF(OR('Loan Tape'!$AN9=0,'Loan Tape'!$Z9="Interest Only",'Loan Tape'!$Z9=""),0,MIN(MAX(0,F13-F619),IFERROR(MAX(0,MIN(4,'Loan Tape'!$AV9)-MAX(3,'Loan Tape'!$AT9))*IF(F316&lt;=0,F13/MAX(1,'Loan Tape'!$AU9-4+1),F316*F13/(1-(1+F316)^(-MAX(1,'Loan Tape'!$AU9-4+1)))-F316*F13),0)))</f>
        <v>0</v>
      </c>
      <c r="G922" s="71" t="n">
        <f aca="false">IF(OR('Loan Tape'!$AN9=0,'Loan Tape'!$Z9="Interest Only",'Loan Tape'!$Z9=""),0,MIN(MAX(0,G13-G619),IFERROR(MAX(0,MIN(5,'Loan Tape'!$AV9)-MAX(4,'Loan Tape'!$AT9))*IF(G316&lt;=0,G13/MAX(1,'Loan Tape'!$AU9-5+1),G316*G13/(1-(1+G316)^(-MAX(1,'Loan Tape'!$AU9-5+1)))-G316*G13),0)))</f>
        <v>0</v>
      </c>
      <c r="H922" s="71" t="n">
        <f aca="false">IF(OR('Loan Tape'!$AN9=0,'Loan Tape'!$Z9="Interest Only",'Loan Tape'!$Z9=""),0,MIN(MAX(0,H13-H619),IFERROR(MAX(0,MIN(6,'Loan Tape'!$AV9)-MAX(5,'Loan Tape'!$AT9))*IF(H316&lt;=0,H13/MAX(1,'Loan Tape'!$AU9-6+1),H316*H13/(1-(1+H316)^(-MAX(1,'Loan Tape'!$AU9-6+1)))-H316*H13),0)))</f>
        <v>0</v>
      </c>
      <c r="I922" s="71" t="n">
        <f aca="false">IF(OR('Loan Tape'!$AN9=0,'Loan Tape'!$Z9="Interest Only",'Loan Tape'!$Z9=""),0,MIN(MAX(0,I13-I619),IFERROR(MAX(0,MIN(7,'Loan Tape'!$AV9)-MAX(6,'Loan Tape'!$AT9))*IF(I316&lt;=0,I13/MAX(1,'Loan Tape'!$AU9-7+1),I316*I13/(1-(1+I316)^(-MAX(1,'Loan Tape'!$AU9-7+1)))-I316*I13),0)))</f>
        <v>0</v>
      </c>
      <c r="J922" s="71" t="n">
        <f aca="false">IF(OR('Loan Tape'!$AN9=0,'Loan Tape'!$Z9="Interest Only",'Loan Tape'!$Z9=""),0,MIN(MAX(0,J13-J619),IFERROR(MAX(0,MIN(8,'Loan Tape'!$AV9)-MAX(7,'Loan Tape'!$AT9))*IF(J316&lt;=0,J13/MAX(1,'Loan Tape'!$AU9-8+1),J316*J13/(1-(1+J316)^(-MAX(1,'Loan Tape'!$AU9-8+1)))-J316*J13),0)))</f>
        <v>0</v>
      </c>
      <c r="K922" s="71" t="n">
        <f aca="false">IF(OR('Loan Tape'!$AN9=0,'Loan Tape'!$Z9="Interest Only",'Loan Tape'!$Z9=""),0,MIN(MAX(0,K13-K619),IFERROR(MAX(0,MIN(9,'Loan Tape'!$AV9)-MAX(8,'Loan Tape'!$AT9))*IF(K316&lt;=0,K13/MAX(1,'Loan Tape'!$AU9-9+1),K316*K13/(1-(1+K316)^(-MAX(1,'Loan Tape'!$AU9-9+1)))-K316*K13),0)))</f>
        <v>0</v>
      </c>
      <c r="L922" s="71" t="n">
        <f aca="false">IF(OR('Loan Tape'!$AN9=0,'Loan Tape'!$Z9="Interest Only",'Loan Tape'!$Z9=""),0,MIN(MAX(0,L13-L619),IFERROR(MAX(0,MIN(10,'Loan Tape'!$AV9)-MAX(9,'Loan Tape'!$AT9))*IF(L316&lt;=0,L13/MAX(1,'Loan Tape'!$AU9-10+1),L316*L13/(1-(1+L316)^(-MAX(1,'Loan Tape'!$AU9-10+1)))-L316*L13),0)))</f>
        <v>0</v>
      </c>
    </row>
    <row r="923" customFormat="false" ht="15" hidden="false" customHeight="false" outlineLevel="0" collapsed="false">
      <c r="B923" s="102" t="str">
        <f aca="false">'Loan Tape'!$A10</f>
        <v>L-007</v>
      </c>
      <c r="C923" s="99" t="n">
        <f aca="false">IF(OR('Loan Tape'!$AN10=0,'Loan Tape'!$Z10="Interest Only",'Loan Tape'!$Z10=""),0,MIN(MAX(0,C14-C620),IFERROR(MAX(0,MIN(1,'Loan Tape'!$AV10)-MAX(0,'Loan Tape'!$AT10))*IF(C317&lt;=0,C14/MAX(1,'Loan Tape'!$AU10-1+1),C317*C14/(1-(1+C317)^(-MAX(1,'Loan Tape'!$AU10-1+1)))-C317*C14),0)))</f>
        <v>0</v>
      </c>
      <c r="D923" s="99" t="n">
        <f aca="false">IF(OR('Loan Tape'!$AN10=0,'Loan Tape'!$Z10="Interest Only",'Loan Tape'!$Z10=""),0,MIN(MAX(0,D14-D620),IFERROR(MAX(0,MIN(2,'Loan Tape'!$AV10)-MAX(1,'Loan Tape'!$AT10))*IF(D317&lt;=0,D14/MAX(1,'Loan Tape'!$AU10-2+1),D317*D14/(1-(1+D317)^(-MAX(1,'Loan Tape'!$AU10-2+1)))-D317*D14),0)))</f>
        <v>0</v>
      </c>
      <c r="E923" s="99" t="n">
        <f aca="false">IF(OR('Loan Tape'!$AN10=0,'Loan Tape'!$Z10="Interest Only",'Loan Tape'!$Z10=""),0,MIN(MAX(0,E14-E620),IFERROR(MAX(0,MIN(3,'Loan Tape'!$AV10)-MAX(2,'Loan Tape'!$AT10))*IF(E317&lt;=0,E14/MAX(1,'Loan Tape'!$AU10-3+1),E317*E14/(1-(1+E317)^(-MAX(1,'Loan Tape'!$AU10-3+1)))-E317*E14),0)))</f>
        <v>0</v>
      </c>
      <c r="F923" s="99" t="n">
        <f aca="false">IF(OR('Loan Tape'!$AN10=0,'Loan Tape'!$Z10="Interest Only",'Loan Tape'!$Z10=""),0,MIN(MAX(0,F14-F620),IFERROR(MAX(0,MIN(4,'Loan Tape'!$AV10)-MAX(3,'Loan Tape'!$AT10))*IF(F317&lt;=0,F14/MAX(1,'Loan Tape'!$AU10-4+1),F317*F14/(1-(1+F317)^(-MAX(1,'Loan Tape'!$AU10-4+1)))-F317*F14),0)))</f>
        <v>0</v>
      </c>
      <c r="G923" s="99" t="n">
        <f aca="false">IF(OR('Loan Tape'!$AN10=0,'Loan Tape'!$Z10="Interest Only",'Loan Tape'!$Z10=""),0,MIN(MAX(0,G14-G620),IFERROR(MAX(0,MIN(5,'Loan Tape'!$AV10)-MAX(4,'Loan Tape'!$AT10))*IF(G317&lt;=0,G14/MAX(1,'Loan Tape'!$AU10-5+1),G317*G14/(1-(1+G317)^(-MAX(1,'Loan Tape'!$AU10-5+1)))-G317*G14),0)))</f>
        <v>0</v>
      </c>
      <c r="H923" s="99" t="n">
        <f aca="false">IF(OR('Loan Tape'!$AN10=0,'Loan Tape'!$Z10="Interest Only",'Loan Tape'!$Z10=""),0,MIN(MAX(0,H14-H620),IFERROR(MAX(0,MIN(6,'Loan Tape'!$AV10)-MAX(5,'Loan Tape'!$AT10))*IF(H317&lt;=0,H14/MAX(1,'Loan Tape'!$AU10-6+1),H317*H14/(1-(1+H317)^(-MAX(1,'Loan Tape'!$AU10-6+1)))-H317*H14),0)))</f>
        <v>0</v>
      </c>
      <c r="I923" s="99" t="n">
        <f aca="false">IF(OR('Loan Tape'!$AN10=0,'Loan Tape'!$Z10="Interest Only",'Loan Tape'!$Z10=""),0,MIN(MAX(0,I14-I620),IFERROR(MAX(0,MIN(7,'Loan Tape'!$AV10)-MAX(6,'Loan Tape'!$AT10))*IF(I317&lt;=0,I14/MAX(1,'Loan Tape'!$AU10-7+1),I317*I14/(1-(1+I317)^(-MAX(1,'Loan Tape'!$AU10-7+1)))-I317*I14),0)))</f>
        <v>0</v>
      </c>
      <c r="J923" s="99" t="n">
        <f aca="false">IF(OR('Loan Tape'!$AN10=0,'Loan Tape'!$Z10="Interest Only",'Loan Tape'!$Z10=""),0,MIN(MAX(0,J14-J620),IFERROR(MAX(0,MIN(8,'Loan Tape'!$AV10)-MAX(7,'Loan Tape'!$AT10))*IF(J317&lt;=0,J14/MAX(1,'Loan Tape'!$AU10-8+1),J317*J14/(1-(1+J317)^(-MAX(1,'Loan Tape'!$AU10-8+1)))-J317*J14),0)))</f>
        <v>0</v>
      </c>
      <c r="K923" s="99" t="n">
        <f aca="false">IF(OR('Loan Tape'!$AN10=0,'Loan Tape'!$Z10="Interest Only",'Loan Tape'!$Z10=""),0,MIN(MAX(0,K14-K620),IFERROR(MAX(0,MIN(9,'Loan Tape'!$AV10)-MAX(8,'Loan Tape'!$AT10))*IF(K317&lt;=0,K14/MAX(1,'Loan Tape'!$AU10-9+1),K317*K14/(1-(1+K317)^(-MAX(1,'Loan Tape'!$AU10-9+1)))-K317*K14),0)))</f>
        <v>0</v>
      </c>
      <c r="L923" s="99" t="n">
        <f aca="false">IF(OR('Loan Tape'!$AN10=0,'Loan Tape'!$Z10="Interest Only",'Loan Tape'!$Z10=""),0,MIN(MAX(0,L14-L620),IFERROR(MAX(0,MIN(10,'Loan Tape'!$AV10)-MAX(9,'Loan Tape'!$AT10))*IF(L317&lt;=0,L14/MAX(1,'Loan Tape'!$AU10-10+1),L317*L14/(1-(1+L317)^(-MAX(1,'Loan Tape'!$AU10-10+1)))-L317*L14),0)))</f>
        <v>0</v>
      </c>
    </row>
    <row r="924" customFormat="false" ht="15" hidden="false" customHeight="false" outlineLevel="0" collapsed="false">
      <c r="B924" s="108" t="str">
        <f aca="false">'Loan Tape'!$A11</f>
        <v>L-008</v>
      </c>
      <c r="C924" s="71" t="n">
        <f aca="false">IF(OR('Loan Tape'!$AN11=0,'Loan Tape'!$Z11="Interest Only",'Loan Tape'!$Z11=""),0,MIN(MAX(0,C15-C621),IFERROR(MAX(0,MIN(1,'Loan Tape'!$AV11)-MAX(0,'Loan Tape'!$AT11))*IF(C318&lt;=0,C15/MAX(1,'Loan Tape'!$AU11-1+1),C318*C15/(1-(1+C318)^(-MAX(1,'Loan Tape'!$AU11-1+1)))-C318*C15),0)))</f>
        <v>753482.463990697</v>
      </c>
      <c r="D924" s="71" t="n">
        <f aca="false">IF(OR('Loan Tape'!$AN11=0,'Loan Tape'!$Z11="Interest Only",'Loan Tape'!$Z11=""),0,MIN(MAX(0,D15-D621),IFERROR(MAX(0,MIN(2,'Loan Tape'!$AV11)-MAX(1,'Loan Tape'!$AT11))*IF(D318&lt;=0,D15/MAX(1,'Loan Tape'!$AU11-2+1),D318*D15/(1-(1+D318)^(-MAX(1,'Loan Tape'!$AU11-2+1)))-D318*D15),0)))</f>
        <v>762212.778016138</v>
      </c>
      <c r="E924" s="71" t="n">
        <f aca="false">IF(OR('Loan Tape'!$AN11=0,'Loan Tape'!$Z11="Interest Only",'Loan Tape'!$Z11=""),0,MIN(MAX(0,E15-E621),IFERROR(MAX(0,MIN(3,'Loan Tape'!$AV11)-MAX(2,'Loan Tape'!$AT11))*IF(E318&lt;=0,E15/MAX(1,'Loan Tape'!$AU11-3+1),E318*E15/(1-(1+E318)^(-MAX(1,'Loan Tape'!$AU11-3+1)))-E318*E15),0)))</f>
        <v>755130.478884712</v>
      </c>
      <c r="F924" s="71" t="n">
        <f aca="false">IF(OR('Loan Tape'!$AN11=0,'Loan Tape'!$Z11="Interest Only",'Loan Tape'!$Z11=""),0,MIN(MAX(0,F15-F621),IFERROR(MAX(0,MIN(4,'Loan Tape'!$AV11)-MAX(3,'Loan Tape'!$AT11))*IF(F318&lt;=0,F15/MAX(1,'Loan Tape'!$AU11-4+1),F318*F15/(1-(1+F318)^(-MAX(1,'Loan Tape'!$AU11-4+1)))-F318*F15),0)))</f>
        <v>302786.712835594</v>
      </c>
      <c r="G924" s="71" t="n">
        <f aca="false">IF(OR('Loan Tape'!$AN11=0,'Loan Tape'!$Z11="Interest Only",'Loan Tape'!$Z11=""),0,MIN(MAX(0,G15-G621),IFERROR(MAX(0,MIN(5,'Loan Tape'!$AV11)-MAX(4,'Loan Tape'!$AT11))*IF(G318&lt;=0,G15/MAX(1,'Loan Tape'!$AU11-5+1),G318*G15/(1-(1+G318)^(-MAX(1,'Loan Tape'!$AU11-5+1)))-G318*G15),0)))</f>
        <v>0</v>
      </c>
      <c r="H924" s="71" t="n">
        <f aca="false">IF(OR('Loan Tape'!$AN11=0,'Loan Tape'!$Z11="Interest Only",'Loan Tape'!$Z11=""),0,MIN(MAX(0,H15-H621),IFERROR(MAX(0,MIN(6,'Loan Tape'!$AV11)-MAX(5,'Loan Tape'!$AT11))*IF(H318&lt;=0,H15/MAX(1,'Loan Tape'!$AU11-6+1),H318*H15/(1-(1+H318)^(-MAX(1,'Loan Tape'!$AU11-6+1)))-H318*H15),0)))</f>
        <v>0</v>
      </c>
      <c r="I924" s="71" t="n">
        <f aca="false">IF(OR('Loan Tape'!$AN11=0,'Loan Tape'!$Z11="Interest Only",'Loan Tape'!$Z11=""),0,MIN(MAX(0,I15-I621),IFERROR(MAX(0,MIN(7,'Loan Tape'!$AV11)-MAX(6,'Loan Tape'!$AT11))*IF(I318&lt;=0,I15/MAX(1,'Loan Tape'!$AU11-7+1),I318*I15/(1-(1+I318)^(-MAX(1,'Loan Tape'!$AU11-7+1)))-I318*I15),0)))</f>
        <v>0</v>
      </c>
      <c r="J924" s="71" t="n">
        <f aca="false">IF(OR('Loan Tape'!$AN11=0,'Loan Tape'!$Z11="Interest Only",'Loan Tape'!$Z11=""),0,MIN(MAX(0,J15-J621),IFERROR(MAX(0,MIN(8,'Loan Tape'!$AV11)-MAX(7,'Loan Tape'!$AT11))*IF(J318&lt;=0,J15/MAX(1,'Loan Tape'!$AU11-8+1),J318*J15/(1-(1+J318)^(-MAX(1,'Loan Tape'!$AU11-8+1)))-J318*J15),0)))</f>
        <v>0</v>
      </c>
      <c r="K924" s="71" t="n">
        <f aca="false">IF(OR('Loan Tape'!$AN11=0,'Loan Tape'!$Z11="Interest Only",'Loan Tape'!$Z11=""),0,MIN(MAX(0,K15-K621),IFERROR(MAX(0,MIN(9,'Loan Tape'!$AV11)-MAX(8,'Loan Tape'!$AT11))*IF(K318&lt;=0,K15/MAX(1,'Loan Tape'!$AU11-9+1),K318*K15/(1-(1+K318)^(-MAX(1,'Loan Tape'!$AU11-9+1)))-K318*K15),0)))</f>
        <v>0</v>
      </c>
      <c r="L924" s="71" t="n">
        <f aca="false">IF(OR('Loan Tape'!$AN11=0,'Loan Tape'!$Z11="Interest Only",'Loan Tape'!$Z11=""),0,MIN(MAX(0,L15-L621),IFERROR(MAX(0,MIN(10,'Loan Tape'!$AV11)-MAX(9,'Loan Tape'!$AT11))*IF(L318&lt;=0,L15/MAX(1,'Loan Tape'!$AU11-10+1),L318*L15/(1-(1+L318)^(-MAX(1,'Loan Tape'!$AU11-10+1)))-L318*L15),0)))</f>
        <v>0</v>
      </c>
    </row>
    <row r="925" customFormat="false" ht="15" hidden="false" customHeight="false" outlineLevel="0" collapsed="false">
      <c r="B925" s="102" t="str">
        <f aca="false">'Loan Tape'!$A12</f>
        <v>L-009</v>
      </c>
      <c r="C925" s="99" t="n">
        <f aca="false">IF(OR('Loan Tape'!$AN12=0,'Loan Tape'!$Z12="Interest Only",'Loan Tape'!$Z12=""),0,MIN(MAX(0,C16-C622),IFERROR(MAX(0,MIN(1,'Loan Tape'!$AV12)-MAX(0,'Loan Tape'!$AT12))*IF(C319&lt;=0,C16/MAX(1,'Loan Tape'!$AU12-1+1),C319*C16/(1-(1+C319)^(-MAX(1,'Loan Tape'!$AU12-1+1)))-C319*C16),0)))</f>
        <v>0</v>
      </c>
      <c r="D925" s="99" t="n">
        <f aca="false">IF(OR('Loan Tape'!$AN12=0,'Loan Tape'!$Z12="Interest Only",'Loan Tape'!$Z12=""),0,MIN(MAX(0,D16-D622),IFERROR(MAX(0,MIN(2,'Loan Tape'!$AV12)-MAX(1,'Loan Tape'!$AT12))*IF(D319&lt;=0,D16/MAX(1,'Loan Tape'!$AU12-2+1),D319*D16/(1-(1+D319)^(-MAX(1,'Loan Tape'!$AU12-2+1)))-D319*D16),0)))</f>
        <v>0</v>
      </c>
      <c r="E925" s="99" t="n">
        <f aca="false">IF(OR('Loan Tape'!$AN12=0,'Loan Tape'!$Z12="Interest Only",'Loan Tape'!$Z12=""),0,MIN(MAX(0,E16-E622),IFERROR(MAX(0,MIN(3,'Loan Tape'!$AV12)-MAX(2,'Loan Tape'!$AT12))*IF(E319&lt;=0,E16/MAX(1,'Loan Tape'!$AU12-3+1),E319*E16/(1-(1+E319)^(-MAX(1,'Loan Tape'!$AU12-3+1)))-E319*E16),0)))</f>
        <v>202161.701145438</v>
      </c>
      <c r="F925" s="99" t="n">
        <f aca="false">IF(OR('Loan Tape'!$AN12=0,'Loan Tape'!$Z12="Interest Only",'Loan Tape'!$Z12=""),0,MIN(MAX(0,F16-F622),IFERROR(MAX(0,MIN(4,'Loan Tape'!$AV12)-MAX(3,'Loan Tape'!$AT12))*IF(F319&lt;=0,F16/MAX(1,'Loan Tape'!$AU12-4+1),F319*F16/(1-(1+F319)^(-MAX(1,'Loan Tape'!$AU12-4+1)))-F319*F16),0)))</f>
        <v>249360.589610303</v>
      </c>
      <c r="G925" s="99" t="n">
        <f aca="false">IF(OR('Loan Tape'!$AN12=0,'Loan Tape'!$Z12="Interest Only",'Loan Tape'!$Z12=""),0,MIN(MAX(0,G16-G622),IFERROR(MAX(0,MIN(5,'Loan Tape'!$AV12)-MAX(4,'Loan Tape'!$AT12))*IF(G319&lt;=0,G16/MAX(1,'Loan Tape'!$AU12-5+1),G319*G16/(1-(1+G319)^(-MAX(1,'Loan Tape'!$AU12-5+1)))-G319*G16),0)))</f>
        <v>229219.981219783</v>
      </c>
      <c r="H925" s="99" t="n">
        <f aca="false">IF(OR('Loan Tape'!$AN12=0,'Loan Tape'!$Z12="Interest Only",'Loan Tape'!$Z12=""),0,MIN(MAX(0,H16-H622),IFERROR(MAX(0,MIN(6,'Loan Tape'!$AV12)-MAX(5,'Loan Tape'!$AT12))*IF(H319&lt;=0,H16/MAX(1,'Loan Tape'!$AU12-6+1),H319*H16/(1-(1+H319)^(-MAX(1,'Loan Tape'!$AU12-6+1)))-H319*H16),0)))</f>
        <v>0</v>
      </c>
      <c r="I925" s="99" t="n">
        <f aca="false">IF(OR('Loan Tape'!$AN12=0,'Loan Tape'!$Z12="Interest Only",'Loan Tape'!$Z12=""),0,MIN(MAX(0,I16-I622),IFERROR(MAX(0,MIN(7,'Loan Tape'!$AV12)-MAX(6,'Loan Tape'!$AT12))*IF(I319&lt;=0,I16/MAX(1,'Loan Tape'!$AU12-7+1),I319*I16/(1-(1+I319)^(-MAX(1,'Loan Tape'!$AU12-7+1)))-I319*I16),0)))</f>
        <v>0</v>
      </c>
      <c r="J925" s="99" t="n">
        <f aca="false">IF(OR('Loan Tape'!$AN12=0,'Loan Tape'!$Z12="Interest Only",'Loan Tape'!$Z12=""),0,MIN(MAX(0,J16-J622),IFERROR(MAX(0,MIN(8,'Loan Tape'!$AV12)-MAX(7,'Loan Tape'!$AT12))*IF(J319&lt;=0,J16/MAX(1,'Loan Tape'!$AU12-8+1),J319*J16/(1-(1+J319)^(-MAX(1,'Loan Tape'!$AU12-8+1)))-J319*J16),0)))</f>
        <v>0</v>
      </c>
      <c r="K925" s="99" t="n">
        <f aca="false">IF(OR('Loan Tape'!$AN12=0,'Loan Tape'!$Z12="Interest Only",'Loan Tape'!$Z12=""),0,MIN(MAX(0,K16-K622),IFERROR(MAX(0,MIN(9,'Loan Tape'!$AV12)-MAX(8,'Loan Tape'!$AT12))*IF(K319&lt;=0,K16/MAX(1,'Loan Tape'!$AU12-9+1),K319*K16/(1-(1+K319)^(-MAX(1,'Loan Tape'!$AU12-9+1)))-K319*K16),0)))</f>
        <v>0</v>
      </c>
      <c r="L925" s="99" t="n">
        <f aca="false">IF(OR('Loan Tape'!$AN12=0,'Loan Tape'!$Z12="Interest Only",'Loan Tape'!$Z12=""),0,MIN(MAX(0,L16-L622),IFERROR(MAX(0,MIN(10,'Loan Tape'!$AV12)-MAX(9,'Loan Tape'!$AT12))*IF(L319&lt;=0,L16/MAX(1,'Loan Tape'!$AU12-10+1),L319*L16/(1-(1+L319)^(-MAX(1,'Loan Tape'!$AU12-10+1)))-L319*L16),0)))</f>
        <v>0</v>
      </c>
    </row>
    <row r="926" customFormat="false" ht="15" hidden="false" customHeight="false" outlineLevel="0" collapsed="false">
      <c r="B926" s="108" t="str">
        <f aca="false">'Loan Tape'!$A13</f>
        <v>L-010</v>
      </c>
      <c r="C926" s="71" t="n">
        <f aca="false">IF(OR('Loan Tape'!$AN13=0,'Loan Tape'!$Z13="Interest Only",'Loan Tape'!$Z13=""),0,MIN(MAX(0,C17-C623),IFERROR(MAX(0,MIN(1,'Loan Tape'!$AV13)-MAX(0,'Loan Tape'!$AT13))*IF(C320&lt;=0,C17/MAX(1,'Loan Tape'!$AU13-1+1),C320*C17/(1-(1+C320)^(-MAX(1,'Loan Tape'!$AU13-1+1)))-C320*C17),0)))</f>
        <v>967312.519818801</v>
      </c>
      <c r="D926" s="71" t="n">
        <f aca="false">IF(OR('Loan Tape'!$AN13=0,'Loan Tape'!$Z13="Interest Only",'Loan Tape'!$Z13=""),0,MIN(MAX(0,D17-D623),IFERROR(MAX(0,MIN(2,'Loan Tape'!$AV13)-MAX(1,'Loan Tape'!$AT13))*IF(D320&lt;=0,D17/MAX(1,'Loan Tape'!$AU13-2+1),D320*D17/(1-(1+D320)^(-MAX(1,'Loan Tape'!$AU13-2+1)))-D320*D17),0)))</f>
        <v>0</v>
      </c>
      <c r="E926" s="71" t="n">
        <f aca="false">IF(OR('Loan Tape'!$AN13=0,'Loan Tape'!$Z13="Interest Only",'Loan Tape'!$Z13=""),0,MIN(MAX(0,E17-E623),IFERROR(MAX(0,MIN(3,'Loan Tape'!$AV13)-MAX(2,'Loan Tape'!$AT13))*IF(E320&lt;=0,E17/MAX(1,'Loan Tape'!$AU13-3+1),E320*E17/(1-(1+E320)^(-MAX(1,'Loan Tape'!$AU13-3+1)))-E320*E17),0)))</f>
        <v>0</v>
      </c>
      <c r="F926" s="71" t="n">
        <f aca="false">IF(OR('Loan Tape'!$AN13=0,'Loan Tape'!$Z13="Interest Only",'Loan Tape'!$Z13=""),0,MIN(MAX(0,F17-F623),IFERROR(MAX(0,MIN(4,'Loan Tape'!$AV13)-MAX(3,'Loan Tape'!$AT13))*IF(F320&lt;=0,F17/MAX(1,'Loan Tape'!$AU13-4+1),F320*F17/(1-(1+F320)^(-MAX(1,'Loan Tape'!$AU13-4+1)))-F320*F17),0)))</f>
        <v>0</v>
      </c>
      <c r="G926" s="71" t="n">
        <f aca="false">IF(OR('Loan Tape'!$AN13=0,'Loan Tape'!$Z13="Interest Only",'Loan Tape'!$Z13=""),0,MIN(MAX(0,G17-G623),IFERROR(MAX(0,MIN(5,'Loan Tape'!$AV13)-MAX(4,'Loan Tape'!$AT13))*IF(G320&lt;=0,G17/MAX(1,'Loan Tape'!$AU13-5+1),G320*G17/(1-(1+G320)^(-MAX(1,'Loan Tape'!$AU13-5+1)))-G320*G17),0)))</f>
        <v>0</v>
      </c>
      <c r="H926" s="71" t="n">
        <f aca="false">IF(OR('Loan Tape'!$AN13=0,'Loan Tape'!$Z13="Interest Only",'Loan Tape'!$Z13=""),0,MIN(MAX(0,H17-H623),IFERROR(MAX(0,MIN(6,'Loan Tape'!$AV13)-MAX(5,'Loan Tape'!$AT13))*IF(H320&lt;=0,H17/MAX(1,'Loan Tape'!$AU13-6+1),H320*H17/(1-(1+H320)^(-MAX(1,'Loan Tape'!$AU13-6+1)))-H320*H17),0)))</f>
        <v>0</v>
      </c>
      <c r="I926" s="71" t="n">
        <f aca="false">IF(OR('Loan Tape'!$AN13=0,'Loan Tape'!$Z13="Interest Only",'Loan Tape'!$Z13=""),0,MIN(MAX(0,I17-I623),IFERROR(MAX(0,MIN(7,'Loan Tape'!$AV13)-MAX(6,'Loan Tape'!$AT13))*IF(I320&lt;=0,I17/MAX(1,'Loan Tape'!$AU13-7+1),I320*I17/(1-(1+I320)^(-MAX(1,'Loan Tape'!$AU13-7+1)))-I320*I17),0)))</f>
        <v>0</v>
      </c>
      <c r="J926" s="71" t="n">
        <f aca="false">IF(OR('Loan Tape'!$AN13=0,'Loan Tape'!$Z13="Interest Only",'Loan Tape'!$Z13=""),0,MIN(MAX(0,J17-J623),IFERROR(MAX(0,MIN(8,'Loan Tape'!$AV13)-MAX(7,'Loan Tape'!$AT13))*IF(J320&lt;=0,J17/MAX(1,'Loan Tape'!$AU13-8+1),J320*J17/(1-(1+J320)^(-MAX(1,'Loan Tape'!$AU13-8+1)))-J320*J17),0)))</f>
        <v>0</v>
      </c>
      <c r="K926" s="71" t="n">
        <f aca="false">IF(OR('Loan Tape'!$AN13=0,'Loan Tape'!$Z13="Interest Only",'Loan Tape'!$Z13=""),0,MIN(MAX(0,K17-K623),IFERROR(MAX(0,MIN(9,'Loan Tape'!$AV13)-MAX(8,'Loan Tape'!$AT13))*IF(K320&lt;=0,K17/MAX(1,'Loan Tape'!$AU13-9+1),K320*K17/(1-(1+K320)^(-MAX(1,'Loan Tape'!$AU13-9+1)))-K320*K17),0)))</f>
        <v>0</v>
      </c>
      <c r="L926" s="71" t="n">
        <f aca="false">IF(OR('Loan Tape'!$AN13=0,'Loan Tape'!$Z13="Interest Only",'Loan Tape'!$Z13=""),0,MIN(MAX(0,L17-L623),IFERROR(MAX(0,MIN(10,'Loan Tape'!$AV13)-MAX(9,'Loan Tape'!$AT13))*IF(L320&lt;=0,L17/MAX(1,'Loan Tape'!$AU13-10+1),L320*L17/(1-(1+L320)^(-MAX(1,'Loan Tape'!$AU13-10+1)))-L320*L17),0)))</f>
        <v>0</v>
      </c>
    </row>
    <row r="927" customFormat="false" ht="15" hidden="false" customHeight="false" outlineLevel="0" collapsed="false">
      <c r="B927" s="102" t="str">
        <f aca="false">'Loan Tape'!$A14</f>
        <v>L-011</v>
      </c>
      <c r="C927" s="99" t="n">
        <f aca="false">IF(OR('Loan Tape'!$AN14=0,'Loan Tape'!$Z14="Interest Only",'Loan Tape'!$Z14=""),0,MIN(MAX(0,C18-C624),IFERROR(MAX(0,MIN(1,'Loan Tape'!$AV14)-MAX(0,'Loan Tape'!$AT14))*IF(C321&lt;=0,C18/MAX(1,'Loan Tape'!$AU14-1+1),C321*C18/(1-(1+C321)^(-MAX(1,'Loan Tape'!$AU14-1+1)))-C321*C18),0)))</f>
        <v>404094.45319341</v>
      </c>
      <c r="D927" s="99" t="n">
        <f aca="false">IF(OR('Loan Tape'!$AN14=0,'Loan Tape'!$Z14="Interest Only",'Loan Tape'!$Z14=""),0,MIN(MAX(0,D18-D624),IFERROR(MAX(0,MIN(2,'Loan Tape'!$AV14)-MAX(1,'Loan Tape'!$AT14))*IF(D321&lt;=0,D18/MAX(1,'Loan Tape'!$AU14-2+1),D321*D18/(1-(1+D321)^(-MAX(1,'Loan Tape'!$AU14-2+1)))-D321*D18),0)))</f>
        <v>407807.424699918</v>
      </c>
      <c r="E927" s="99" t="n">
        <f aca="false">IF(OR('Loan Tape'!$AN14=0,'Loan Tape'!$Z14="Interest Only",'Loan Tape'!$Z14=""),0,MIN(MAX(0,E18-E624),IFERROR(MAX(0,MIN(3,'Loan Tape'!$AV14)-MAX(2,'Loan Tape'!$AT14))*IF(E321&lt;=0,E18/MAX(1,'Loan Tape'!$AU14-3+1),E321*E18/(1-(1+E321)^(-MAX(1,'Loan Tape'!$AU14-3+1)))-E321*E18),0)))</f>
        <v>402374.568867026</v>
      </c>
      <c r="F927" s="99" t="n">
        <f aca="false">IF(OR('Loan Tape'!$AN14=0,'Loan Tape'!$Z14="Interest Only",'Loan Tape'!$Z14=""),0,MIN(MAX(0,F18-F624),IFERROR(MAX(0,MIN(4,'Loan Tape'!$AV14)-MAX(3,'Loan Tape'!$AT14))*IF(F321&lt;=0,F18/MAX(1,'Loan Tape'!$AU14-4+1),F321*F18/(1-(1+F321)^(-MAX(1,'Loan Tape'!$AU14-4+1)))-F321*F18),0)))</f>
        <v>384294.149496168</v>
      </c>
      <c r="G927" s="99" t="n">
        <f aca="false">IF(OR('Loan Tape'!$AN14=0,'Loan Tape'!$Z14="Interest Only",'Loan Tape'!$Z14=""),0,MIN(MAX(0,G18-G624),IFERROR(MAX(0,MIN(5,'Loan Tape'!$AV14)-MAX(4,'Loan Tape'!$AT14))*IF(G321&lt;=0,G18/MAX(1,'Loan Tape'!$AU14-5+1),G321*G18/(1-(1+G321)^(-MAX(1,'Loan Tape'!$AU14-5+1)))-G321*G18),0)))</f>
        <v>361339.707494321</v>
      </c>
      <c r="H927" s="99" t="n">
        <f aca="false">IF(OR('Loan Tape'!$AN14=0,'Loan Tape'!$Z14="Interest Only",'Loan Tape'!$Z14=""),0,MIN(MAX(0,H18-H624),IFERROR(MAX(0,MIN(6,'Loan Tape'!$AV14)-MAX(5,'Loan Tape'!$AT14))*IF(H321&lt;=0,H18/MAX(1,'Loan Tape'!$AU14-6+1),H321*H18/(1-(1+H321)^(-MAX(1,'Loan Tape'!$AU14-6+1)))-H321*H18),0)))</f>
        <v>0</v>
      </c>
      <c r="I927" s="99" t="n">
        <f aca="false">IF(OR('Loan Tape'!$AN14=0,'Loan Tape'!$Z14="Interest Only",'Loan Tape'!$Z14=""),0,MIN(MAX(0,I18-I624),IFERROR(MAX(0,MIN(7,'Loan Tape'!$AV14)-MAX(6,'Loan Tape'!$AT14))*IF(I321&lt;=0,I18/MAX(1,'Loan Tape'!$AU14-7+1),I321*I18/(1-(1+I321)^(-MAX(1,'Loan Tape'!$AU14-7+1)))-I321*I18),0)))</f>
        <v>0</v>
      </c>
      <c r="J927" s="99" t="n">
        <f aca="false">IF(OR('Loan Tape'!$AN14=0,'Loan Tape'!$Z14="Interest Only",'Loan Tape'!$Z14=""),0,MIN(MAX(0,J18-J624),IFERROR(MAX(0,MIN(8,'Loan Tape'!$AV14)-MAX(7,'Loan Tape'!$AT14))*IF(J321&lt;=0,J18/MAX(1,'Loan Tape'!$AU14-8+1),J321*J18/(1-(1+J321)^(-MAX(1,'Loan Tape'!$AU14-8+1)))-J321*J18),0)))</f>
        <v>0</v>
      </c>
      <c r="K927" s="99" t="n">
        <f aca="false">IF(OR('Loan Tape'!$AN14=0,'Loan Tape'!$Z14="Interest Only",'Loan Tape'!$Z14=""),0,MIN(MAX(0,K18-K624),IFERROR(MAX(0,MIN(9,'Loan Tape'!$AV14)-MAX(8,'Loan Tape'!$AT14))*IF(K321&lt;=0,K18/MAX(1,'Loan Tape'!$AU14-9+1),K321*K18/(1-(1+K321)^(-MAX(1,'Loan Tape'!$AU14-9+1)))-K321*K18),0)))</f>
        <v>0</v>
      </c>
      <c r="L927" s="99" t="n">
        <f aca="false">IF(OR('Loan Tape'!$AN14=0,'Loan Tape'!$Z14="Interest Only",'Loan Tape'!$Z14=""),0,MIN(MAX(0,L18-L624),IFERROR(MAX(0,MIN(10,'Loan Tape'!$AV14)-MAX(9,'Loan Tape'!$AT14))*IF(L321&lt;=0,L18/MAX(1,'Loan Tape'!$AU14-10+1),L321*L18/(1-(1+L321)^(-MAX(1,'Loan Tape'!$AU14-10+1)))-L321*L18),0)))</f>
        <v>0</v>
      </c>
    </row>
    <row r="928" customFormat="false" ht="15" hidden="false" customHeight="false" outlineLevel="0" collapsed="false">
      <c r="B928" s="108" t="str">
        <f aca="false">'Loan Tape'!$A15</f>
        <v>L-012</v>
      </c>
      <c r="C928" s="71" t="n">
        <f aca="false">IF(OR('Loan Tape'!$AN15=0,'Loan Tape'!$Z15="Interest Only",'Loan Tape'!$Z15=""),0,MIN(MAX(0,C19-C625),IFERROR(MAX(0,MIN(1,'Loan Tape'!$AV15)-MAX(0,'Loan Tape'!$AT15))*IF(C322&lt;=0,C19/MAX(1,'Loan Tape'!$AU15-1+1),C322*C19/(1-(1+C322)^(-MAX(1,'Loan Tape'!$AU15-1+1)))-C322*C19),0)))</f>
        <v>121566.770397847</v>
      </c>
      <c r="D928" s="71" t="n">
        <f aca="false">IF(OR('Loan Tape'!$AN15=0,'Loan Tape'!$Z15="Interest Only",'Loan Tape'!$Z15=""),0,MIN(MAX(0,D19-D625),IFERROR(MAX(0,MIN(2,'Loan Tape'!$AV15)-MAX(1,'Loan Tape'!$AT15))*IF(D322&lt;=0,D19/MAX(1,'Loan Tape'!$AU15-2+1),D322*D19/(1-(1+D322)^(-MAX(1,'Loan Tape'!$AU15-2+1)))-D322*D19),0)))</f>
        <v>65663.5238803927</v>
      </c>
      <c r="E928" s="71" t="n">
        <f aca="false">IF(OR('Loan Tape'!$AN15=0,'Loan Tape'!$Z15="Interest Only",'Loan Tape'!$Z15=""),0,MIN(MAX(0,E19-E625),IFERROR(MAX(0,MIN(3,'Loan Tape'!$AV15)-MAX(2,'Loan Tape'!$AT15))*IF(E322&lt;=0,E19/MAX(1,'Loan Tape'!$AU15-3+1),E322*E19/(1-(1+E322)^(-MAX(1,'Loan Tape'!$AU15-3+1)))-E322*E19),0)))</f>
        <v>0</v>
      </c>
      <c r="F928" s="71" t="n">
        <f aca="false">IF(OR('Loan Tape'!$AN15=0,'Loan Tape'!$Z15="Interest Only",'Loan Tape'!$Z15=""),0,MIN(MAX(0,F19-F625),IFERROR(MAX(0,MIN(4,'Loan Tape'!$AV15)-MAX(3,'Loan Tape'!$AT15))*IF(F322&lt;=0,F19/MAX(1,'Loan Tape'!$AU15-4+1),F322*F19/(1-(1+F322)^(-MAX(1,'Loan Tape'!$AU15-4+1)))-F322*F19),0)))</f>
        <v>0</v>
      </c>
      <c r="G928" s="71" t="n">
        <f aca="false">IF(OR('Loan Tape'!$AN15=0,'Loan Tape'!$Z15="Interest Only",'Loan Tape'!$Z15=""),0,MIN(MAX(0,G19-G625),IFERROR(MAX(0,MIN(5,'Loan Tape'!$AV15)-MAX(4,'Loan Tape'!$AT15))*IF(G322&lt;=0,G19/MAX(1,'Loan Tape'!$AU15-5+1),G322*G19/(1-(1+G322)^(-MAX(1,'Loan Tape'!$AU15-5+1)))-G322*G19),0)))</f>
        <v>0</v>
      </c>
      <c r="H928" s="71" t="n">
        <f aca="false">IF(OR('Loan Tape'!$AN15=0,'Loan Tape'!$Z15="Interest Only",'Loan Tape'!$Z15=""),0,MIN(MAX(0,H19-H625),IFERROR(MAX(0,MIN(6,'Loan Tape'!$AV15)-MAX(5,'Loan Tape'!$AT15))*IF(H322&lt;=0,H19/MAX(1,'Loan Tape'!$AU15-6+1),H322*H19/(1-(1+H322)^(-MAX(1,'Loan Tape'!$AU15-6+1)))-H322*H19),0)))</f>
        <v>0</v>
      </c>
      <c r="I928" s="71" t="n">
        <f aca="false">IF(OR('Loan Tape'!$AN15=0,'Loan Tape'!$Z15="Interest Only",'Loan Tape'!$Z15=""),0,MIN(MAX(0,I19-I625),IFERROR(MAX(0,MIN(7,'Loan Tape'!$AV15)-MAX(6,'Loan Tape'!$AT15))*IF(I322&lt;=0,I19/MAX(1,'Loan Tape'!$AU15-7+1),I322*I19/(1-(1+I322)^(-MAX(1,'Loan Tape'!$AU15-7+1)))-I322*I19),0)))</f>
        <v>0</v>
      </c>
      <c r="J928" s="71" t="n">
        <f aca="false">IF(OR('Loan Tape'!$AN15=0,'Loan Tape'!$Z15="Interest Only",'Loan Tape'!$Z15=""),0,MIN(MAX(0,J19-J625),IFERROR(MAX(0,MIN(8,'Loan Tape'!$AV15)-MAX(7,'Loan Tape'!$AT15))*IF(J322&lt;=0,J19/MAX(1,'Loan Tape'!$AU15-8+1),J322*J19/(1-(1+J322)^(-MAX(1,'Loan Tape'!$AU15-8+1)))-J322*J19),0)))</f>
        <v>0</v>
      </c>
      <c r="K928" s="71" t="n">
        <f aca="false">IF(OR('Loan Tape'!$AN15=0,'Loan Tape'!$Z15="Interest Only",'Loan Tape'!$Z15=""),0,MIN(MAX(0,K19-K625),IFERROR(MAX(0,MIN(9,'Loan Tape'!$AV15)-MAX(8,'Loan Tape'!$AT15))*IF(K322&lt;=0,K19/MAX(1,'Loan Tape'!$AU15-9+1),K322*K19/(1-(1+K322)^(-MAX(1,'Loan Tape'!$AU15-9+1)))-K322*K19),0)))</f>
        <v>0</v>
      </c>
      <c r="L928" s="71" t="n">
        <f aca="false">IF(OR('Loan Tape'!$AN15=0,'Loan Tape'!$Z15="Interest Only",'Loan Tape'!$Z15=""),0,MIN(MAX(0,L19-L625),IFERROR(MAX(0,MIN(10,'Loan Tape'!$AV15)-MAX(9,'Loan Tape'!$AT15))*IF(L322&lt;=0,L19/MAX(1,'Loan Tape'!$AU15-10+1),L322*L19/(1-(1+L322)^(-MAX(1,'Loan Tape'!$AU15-10+1)))-L322*L19),0)))</f>
        <v>0</v>
      </c>
    </row>
    <row r="929" customFormat="false" ht="15" hidden="false" customHeight="false" outlineLevel="0" collapsed="false">
      <c r="B929" s="102" t="str">
        <f aca="false">'Loan Tape'!$A16</f>
        <v>L-013</v>
      </c>
      <c r="C929" s="99" t="n">
        <f aca="false">IF(OR('Loan Tape'!$AN16=0,'Loan Tape'!$Z16="Interest Only",'Loan Tape'!$Z16=""),0,MIN(MAX(0,C20-C626),IFERROR(MAX(0,MIN(1,'Loan Tape'!$AV16)-MAX(0,'Loan Tape'!$AT16))*IF(C323&lt;=0,C20/MAX(1,'Loan Tape'!$AU16-1+1),C323*C20/(1-(1+C323)^(-MAX(1,'Loan Tape'!$AU16-1+1)))-C323*C20),0)))</f>
        <v>1255341.05749182</v>
      </c>
      <c r="D929" s="99" t="n">
        <f aca="false">IF(OR('Loan Tape'!$AN16=0,'Loan Tape'!$Z16="Interest Only",'Loan Tape'!$Z16=""),0,MIN(MAX(0,D20-D626),IFERROR(MAX(0,MIN(2,'Loan Tape'!$AV16)-MAX(1,'Loan Tape'!$AT16))*IF(D323&lt;=0,D20/MAX(1,'Loan Tape'!$AU16-2+1),D323*D20/(1-(1+D323)^(-MAX(1,'Loan Tape'!$AU16-2+1)))-D323*D20),0)))</f>
        <v>1174664.67660674</v>
      </c>
      <c r="E929" s="99" t="n">
        <f aca="false">IF(OR('Loan Tape'!$AN16=0,'Loan Tape'!$Z16="Interest Only",'Loan Tape'!$Z16=""),0,MIN(MAX(0,E20-E626),IFERROR(MAX(0,MIN(3,'Loan Tape'!$AV16)-MAX(2,'Loan Tape'!$AT16))*IF(E323&lt;=0,E20/MAX(1,'Loan Tape'!$AU16-3+1),E323*E20/(1-(1+E323)^(-MAX(1,'Loan Tape'!$AU16-3+1)))-E323*E20),0)))</f>
        <v>1098987.87453291</v>
      </c>
      <c r="F929" s="99" t="n">
        <f aca="false">IF(OR('Loan Tape'!$AN16=0,'Loan Tape'!$Z16="Interest Only",'Loan Tape'!$Z16=""),0,MIN(MAX(0,F20-F626),IFERROR(MAX(0,MIN(4,'Loan Tape'!$AV16)-MAX(3,'Loan Tape'!$AT16))*IF(F323&lt;=0,F20/MAX(1,'Loan Tape'!$AU16-4+1),F323*F20/(1-(1+F323)^(-MAX(1,'Loan Tape'!$AU16-4+1)))-F323*F20),0)))</f>
        <v>1027995.5958649</v>
      </c>
      <c r="G929" s="99" t="n">
        <f aca="false">IF(OR('Loan Tape'!$AN16=0,'Loan Tape'!$Z16="Interest Only",'Loan Tape'!$Z16=""),0,MIN(MAX(0,G20-G626),IFERROR(MAX(0,MIN(5,'Loan Tape'!$AV16)-MAX(4,'Loan Tape'!$AT16))*IF(G323&lt;=0,G20/MAX(1,'Loan Tape'!$AU16-5+1),G323*G20/(1-(1+G323)^(-MAX(1,'Loan Tape'!$AU16-5+1)))-G323*G20),0)))</f>
        <v>721866.547701853</v>
      </c>
      <c r="H929" s="99" t="n">
        <f aca="false">IF(OR('Loan Tape'!$AN16=0,'Loan Tape'!$Z16="Interest Only",'Loan Tape'!$Z16=""),0,MIN(MAX(0,H20-H626),IFERROR(MAX(0,MIN(6,'Loan Tape'!$AV16)-MAX(5,'Loan Tape'!$AT16))*IF(H323&lt;=0,H20/MAX(1,'Loan Tape'!$AU16-6+1),H323*H20/(1-(1+H323)^(-MAX(1,'Loan Tape'!$AU16-6+1)))-H323*H20),0)))</f>
        <v>0</v>
      </c>
      <c r="I929" s="99" t="n">
        <f aca="false">IF(OR('Loan Tape'!$AN16=0,'Loan Tape'!$Z16="Interest Only",'Loan Tape'!$Z16=""),0,MIN(MAX(0,I20-I626),IFERROR(MAX(0,MIN(7,'Loan Tape'!$AV16)-MAX(6,'Loan Tape'!$AT16))*IF(I323&lt;=0,I20/MAX(1,'Loan Tape'!$AU16-7+1),I323*I20/(1-(1+I323)^(-MAX(1,'Loan Tape'!$AU16-7+1)))-I323*I20),0)))</f>
        <v>0</v>
      </c>
      <c r="J929" s="99" t="n">
        <f aca="false">IF(OR('Loan Tape'!$AN16=0,'Loan Tape'!$Z16="Interest Only",'Loan Tape'!$Z16=""),0,MIN(MAX(0,J20-J626),IFERROR(MAX(0,MIN(8,'Loan Tape'!$AV16)-MAX(7,'Loan Tape'!$AT16))*IF(J323&lt;=0,J20/MAX(1,'Loan Tape'!$AU16-8+1),J323*J20/(1-(1+J323)^(-MAX(1,'Loan Tape'!$AU16-8+1)))-J323*J20),0)))</f>
        <v>0</v>
      </c>
      <c r="K929" s="99" t="n">
        <f aca="false">IF(OR('Loan Tape'!$AN16=0,'Loan Tape'!$Z16="Interest Only",'Loan Tape'!$Z16=""),0,MIN(MAX(0,K20-K626),IFERROR(MAX(0,MIN(9,'Loan Tape'!$AV16)-MAX(8,'Loan Tape'!$AT16))*IF(K323&lt;=0,K20/MAX(1,'Loan Tape'!$AU16-9+1),K323*K20/(1-(1+K323)^(-MAX(1,'Loan Tape'!$AU16-9+1)))-K323*K20),0)))</f>
        <v>0</v>
      </c>
      <c r="L929" s="99" t="n">
        <f aca="false">IF(OR('Loan Tape'!$AN16=0,'Loan Tape'!$Z16="Interest Only",'Loan Tape'!$Z16=""),0,MIN(MAX(0,L20-L626),IFERROR(MAX(0,MIN(10,'Loan Tape'!$AV16)-MAX(9,'Loan Tape'!$AT16))*IF(L323&lt;=0,L20/MAX(1,'Loan Tape'!$AU16-10+1),L323*L20/(1-(1+L323)^(-MAX(1,'Loan Tape'!$AU16-10+1)))-L323*L20),0)))</f>
        <v>0</v>
      </c>
    </row>
    <row r="930" customFormat="false" ht="15" hidden="false" customHeight="false" outlineLevel="0" collapsed="false">
      <c r="B930" s="108" t="str">
        <f aca="false">'Loan Tape'!$A17</f>
        <v>L-014</v>
      </c>
      <c r="C930" s="71" t="n">
        <f aca="false">IF(OR('Loan Tape'!$AN17=0,'Loan Tape'!$Z17="Interest Only",'Loan Tape'!$Z17=""),0,MIN(MAX(0,C21-C627),IFERROR(MAX(0,MIN(1,'Loan Tape'!$AV17)-MAX(0,'Loan Tape'!$AT17))*IF(C324&lt;=0,C21/MAX(1,'Loan Tape'!$AU17-1+1),C324*C21/(1-(1+C324)^(-MAX(1,'Loan Tape'!$AU17-1+1)))-C324*C21),0)))</f>
        <v>2126266.13583764</v>
      </c>
      <c r="D930" s="71" t="n">
        <f aca="false">IF(OR('Loan Tape'!$AN17=0,'Loan Tape'!$Z17="Interest Only",'Loan Tape'!$Z17=""),0,MIN(MAX(0,D21-D627),IFERROR(MAX(0,MIN(2,'Loan Tape'!$AV17)-MAX(1,'Loan Tape'!$AT17))*IF(D324&lt;=0,D21/MAX(1,'Loan Tape'!$AU17-2+1),D324*D21/(1-(1+D324)^(-MAX(1,'Loan Tape'!$AU17-2+1)))-D324*D21),0)))</f>
        <v>2142447.74913382</v>
      </c>
      <c r="E930" s="71" t="n">
        <f aca="false">IF(OR('Loan Tape'!$AN17=0,'Loan Tape'!$Z17="Interest Only",'Loan Tape'!$Z17=""),0,MIN(MAX(0,E21-E627),IFERROR(MAX(0,MIN(3,'Loan Tape'!$AV17)-MAX(2,'Loan Tape'!$AT17))*IF(E324&lt;=0,E21/MAX(1,'Loan Tape'!$AU17-3+1),E324*E21/(1-(1+E324)^(-MAX(1,'Loan Tape'!$AU17-3+1)))-E324*E21),0)))</f>
        <v>1975049.66527212</v>
      </c>
      <c r="F930" s="71" t="n">
        <f aca="false">IF(OR('Loan Tape'!$AN17=0,'Loan Tape'!$Z17="Interest Only",'Loan Tape'!$Z17=""),0,MIN(MAX(0,F21-F627),IFERROR(MAX(0,MIN(4,'Loan Tape'!$AV17)-MAX(3,'Loan Tape'!$AT17))*IF(F324&lt;=0,F21/MAX(1,'Loan Tape'!$AU17-4+1),F324*F21/(1-(1+F324)^(-MAX(1,'Loan Tape'!$AU17-4+1)))-F324*F21),0)))</f>
        <v>1820374.49475613</v>
      </c>
      <c r="G930" s="71" t="n">
        <f aca="false">IF(OR('Loan Tape'!$AN17=0,'Loan Tape'!$Z17="Interest Only",'Loan Tape'!$Z17=""),0,MIN(MAX(0,G21-G627),IFERROR(MAX(0,MIN(5,'Loan Tape'!$AV17)-MAX(4,'Loan Tape'!$AT17))*IF(G324&lt;=0,G21/MAX(1,'Loan Tape'!$AU17-5+1),G324*G21/(1-(1+G324)^(-MAX(1,'Loan Tape'!$AU17-5+1)))-G324*G21),0)))</f>
        <v>1677452.11653262</v>
      </c>
      <c r="H930" s="71" t="n">
        <f aca="false">IF(OR('Loan Tape'!$AN17=0,'Loan Tape'!$Z17="Interest Only",'Loan Tape'!$Z17=""),0,MIN(MAX(0,H21-H627),IFERROR(MAX(0,MIN(6,'Loan Tape'!$AV17)-MAX(5,'Loan Tape'!$AT17))*IF(H324&lt;=0,H21/MAX(1,'Loan Tape'!$AU17-6+1),H324*H21/(1-(1+H324)^(-MAX(1,'Loan Tape'!$AU17-6+1)))-H324*H21),0)))</f>
        <v>0</v>
      </c>
      <c r="I930" s="71" t="n">
        <f aca="false">IF(OR('Loan Tape'!$AN17=0,'Loan Tape'!$Z17="Interest Only",'Loan Tape'!$Z17=""),0,MIN(MAX(0,I21-I627),IFERROR(MAX(0,MIN(7,'Loan Tape'!$AV17)-MAX(6,'Loan Tape'!$AT17))*IF(I324&lt;=0,I21/MAX(1,'Loan Tape'!$AU17-7+1),I324*I21/(1-(1+I324)^(-MAX(1,'Loan Tape'!$AU17-7+1)))-I324*I21),0)))</f>
        <v>0</v>
      </c>
      <c r="J930" s="71" t="n">
        <f aca="false">IF(OR('Loan Tape'!$AN17=0,'Loan Tape'!$Z17="Interest Only",'Loan Tape'!$Z17=""),0,MIN(MAX(0,J21-J627),IFERROR(MAX(0,MIN(8,'Loan Tape'!$AV17)-MAX(7,'Loan Tape'!$AT17))*IF(J324&lt;=0,J21/MAX(1,'Loan Tape'!$AU17-8+1),J324*J21/(1-(1+J324)^(-MAX(1,'Loan Tape'!$AU17-8+1)))-J324*J21),0)))</f>
        <v>0</v>
      </c>
      <c r="K930" s="71" t="n">
        <f aca="false">IF(OR('Loan Tape'!$AN17=0,'Loan Tape'!$Z17="Interest Only",'Loan Tape'!$Z17=""),0,MIN(MAX(0,K21-K627),IFERROR(MAX(0,MIN(9,'Loan Tape'!$AV17)-MAX(8,'Loan Tape'!$AT17))*IF(K324&lt;=0,K21/MAX(1,'Loan Tape'!$AU17-9+1),K324*K21/(1-(1+K324)^(-MAX(1,'Loan Tape'!$AU17-9+1)))-K324*K21),0)))</f>
        <v>0</v>
      </c>
      <c r="L930" s="71" t="n">
        <f aca="false">IF(OR('Loan Tape'!$AN17=0,'Loan Tape'!$Z17="Interest Only",'Loan Tape'!$Z17=""),0,MIN(MAX(0,L21-L627),IFERROR(MAX(0,MIN(10,'Loan Tape'!$AV17)-MAX(9,'Loan Tape'!$AT17))*IF(L324&lt;=0,L21/MAX(1,'Loan Tape'!$AU17-10+1),L324*L21/(1-(1+L324)^(-MAX(1,'Loan Tape'!$AU17-10+1)))-L324*L21),0)))</f>
        <v>0</v>
      </c>
    </row>
    <row r="931" customFormat="false" ht="15" hidden="false" customHeight="false" outlineLevel="0" collapsed="false">
      <c r="B931" s="102" t="str">
        <f aca="false">'Loan Tape'!$A18</f>
        <v>L-015</v>
      </c>
      <c r="C931" s="99" t="n">
        <f aca="false">IF(OR('Loan Tape'!$AN18=0,'Loan Tape'!$Z18="Interest Only",'Loan Tape'!$Z18=""),0,MIN(MAX(0,C22-C628),IFERROR(MAX(0,MIN(1,'Loan Tape'!$AV18)-MAX(0,'Loan Tape'!$AT18))*IF(C325&lt;=0,C22/MAX(1,'Loan Tape'!$AU18-1+1),C325*C22/(1-(1+C325)^(-MAX(1,'Loan Tape'!$AU18-1+1)))-C325*C22),0)))</f>
        <v>0</v>
      </c>
      <c r="D931" s="99" t="n">
        <f aca="false">IF(OR('Loan Tape'!$AN18=0,'Loan Tape'!$Z18="Interest Only",'Loan Tape'!$Z18=""),0,MIN(MAX(0,D22-D628),IFERROR(MAX(0,MIN(2,'Loan Tape'!$AV18)-MAX(1,'Loan Tape'!$AT18))*IF(D325&lt;=0,D22/MAX(1,'Loan Tape'!$AU18-2+1),D325*D22/(1-(1+D325)^(-MAX(1,'Loan Tape'!$AU18-2+1)))-D325*D22),0)))</f>
        <v>0</v>
      </c>
      <c r="E931" s="99" t="n">
        <f aca="false">IF(OR('Loan Tape'!$AN18=0,'Loan Tape'!$Z18="Interest Only",'Loan Tape'!$Z18=""),0,MIN(MAX(0,E22-E628),IFERROR(MAX(0,MIN(3,'Loan Tape'!$AV18)-MAX(2,'Loan Tape'!$AT18))*IF(E325&lt;=0,E22/MAX(1,'Loan Tape'!$AU18-3+1),E325*E22/(1-(1+E325)^(-MAX(1,'Loan Tape'!$AU18-3+1)))-E325*E22),0)))</f>
        <v>0</v>
      </c>
      <c r="F931" s="99" t="n">
        <f aca="false">IF(OR('Loan Tape'!$AN18=0,'Loan Tape'!$Z18="Interest Only",'Loan Tape'!$Z18=""),0,MIN(MAX(0,F22-F628),IFERROR(MAX(0,MIN(4,'Loan Tape'!$AV18)-MAX(3,'Loan Tape'!$AT18))*IF(F325&lt;=0,F22/MAX(1,'Loan Tape'!$AU18-4+1),F325*F22/(1-(1+F325)^(-MAX(1,'Loan Tape'!$AU18-4+1)))-F325*F22),0)))</f>
        <v>0</v>
      </c>
      <c r="G931" s="99" t="n">
        <f aca="false">IF(OR('Loan Tape'!$AN18=0,'Loan Tape'!$Z18="Interest Only",'Loan Tape'!$Z18=""),0,MIN(MAX(0,G22-G628),IFERROR(MAX(0,MIN(5,'Loan Tape'!$AV18)-MAX(4,'Loan Tape'!$AT18))*IF(G325&lt;=0,G22/MAX(1,'Loan Tape'!$AU18-5+1),G325*G22/(1-(1+G325)^(-MAX(1,'Loan Tape'!$AU18-5+1)))-G325*G22),0)))</f>
        <v>0</v>
      </c>
      <c r="H931" s="99" t="n">
        <f aca="false">IF(OR('Loan Tape'!$AN18=0,'Loan Tape'!$Z18="Interest Only",'Loan Tape'!$Z18=""),0,MIN(MAX(0,H22-H628),IFERROR(MAX(0,MIN(6,'Loan Tape'!$AV18)-MAX(5,'Loan Tape'!$AT18))*IF(H325&lt;=0,H22/MAX(1,'Loan Tape'!$AU18-6+1),H325*H22/(1-(1+H325)^(-MAX(1,'Loan Tape'!$AU18-6+1)))-H325*H22),0)))</f>
        <v>0</v>
      </c>
      <c r="I931" s="99" t="n">
        <f aca="false">IF(OR('Loan Tape'!$AN18=0,'Loan Tape'!$Z18="Interest Only",'Loan Tape'!$Z18=""),0,MIN(MAX(0,I22-I628),IFERROR(MAX(0,MIN(7,'Loan Tape'!$AV18)-MAX(6,'Loan Tape'!$AT18))*IF(I325&lt;=0,I22/MAX(1,'Loan Tape'!$AU18-7+1),I325*I22/(1-(1+I325)^(-MAX(1,'Loan Tape'!$AU18-7+1)))-I325*I22),0)))</f>
        <v>0</v>
      </c>
      <c r="J931" s="99" t="n">
        <f aca="false">IF(OR('Loan Tape'!$AN18=0,'Loan Tape'!$Z18="Interest Only",'Loan Tape'!$Z18=""),0,MIN(MAX(0,J22-J628),IFERROR(MAX(0,MIN(8,'Loan Tape'!$AV18)-MAX(7,'Loan Tape'!$AT18))*IF(J325&lt;=0,J22/MAX(1,'Loan Tape'!$AU18-8+1),J325*J22/(1-(1+J325)^(-MAX(1,'Loan Tape'!$AU18-8+1)))-J325*J22),0)))</f>
        <v>0</v>
      </c>
      <c r="K931" s="99" t="n">
        <f aca="false">IF(OR('Loan Tape'!$AN18=0,'Loan Tape'!$Z18="Interest Only",'Loan Tape'!$Z18=""),0,MIN(MAX(0,K22-K628),IFERROR(MAX(0,MIN(9,'Loan Tape'!$AV18)-MAX(8,'Loan Tape'!$AT18))*IF(K325&lt;=0,K22/MAX(1,'Loan Tape'!$AU18-9+1),K325*K22/(1-(1+K325)^(-MAX(1,'Loan Tape'!$AU18-9+1)))-K325*K22),0)))</f>
        <v>0</v>
      </c>
      <c r="L931" s="99" t="n">
        <f aca="false">IF(OR('Loan Tape'!$AN18=0,'Loan Tape'!$Z18="Interest Only",'Loan Tape'!$Z18=""),0,MIN(MAX(0,L22-L628),IFERROR(MAX(0,MIN(10,'Loan Tape'!$AV18)-MAX(9,'Loan Tape'!$AT18))*IF(L325&lt;=0,L22/MAX(1,'Loan Tape'!$AU18-10+1),L325*L22/(1-(1+L325)^(-MAX(1,'Loan Tape'!$AU18-10+1)))-L325*L22),0)))</f>
        <v>0</v>
      </c>
    </row>
    <row r="932" customFormat="false" ht="15" hidden="false" customHeight="false" outlineLevel="0" collapsed="false">
      <c r="B932" s="108" t="str">
        <f aca="false">'Loan Tape'!$A19</f>
        <v>L-016</v>
      </c>
      <c r="C932" s="71" t="n">
        <f aca="false">IF(OR('Loan Tape'!$AN19=0,'Loan Tape'!$Z19="Interest Only",'Loan Tape'!$Z19=""),0,MIN(MAX(0,C23-C629),IFERROR(MAX(0,MIN(1,'Loan Tape'!$AV19)-MAX(0,'Loan Tape'!$AT19))*IF(C326&lt;=0,C23/MAX(1,'Loan Tape'!$AU19-1+1),C326*C23/(1-(1+C326)^(-MAX(1,'Loan Tape'!$AU19-1+1)))-C326*C23),0)))</f>
        <v>0</v>
      </c>
      <c r="D932" s="71" t="n">
        <f aca="false">IF(OR('Loan Tape'!$AN19=0,'Loan Tape'!$Z19="Interest Only",'Loan Tape'!$Z19=""),0,MIN(MAX(0,D23-D629),IFERROR(MAX(0,MIN(2,'Loan Tape'!$AV19)-MAX(1,'Loan Tape'!$AT19))*IF(D326&lt;=0,D23/MAX(1,'Loan Tape'!$AU19-2+1),D326*D23/(1-(1+D326)^(-MAX(1,'Loan Tape'!$AU19-2+1)))-D326*D23),0)))</f>
        <v>0</v>
      </c>
      <c r="E932" s="71" t="n">
        <f aca="false">IF(OR('Loan Tape'!$AN19=0,'Loan Tape'!$Z19="Interest Only",'Loan Tape'!$Z19=""),0,MIN(MAX(0,E23-E629),IFERROR(MAX(0,MIN(3,'Loan Tape'!$AV19)-MAX(2,'Loan Tape'!$AT19))*IF(E326&lt;=0,E23/MAX(1,'Loan Tape'!$AU19-3+1),E326*E23/(1-(1+E326)^(-MAX(1,'Loan Tape'!$AU19-3+1)))-E326*E23),0)))</f>
        <v>0</v>
      </c>
      <c r="F932" s="71" t="n">
        <f aca="false">IF(OR('Loan Tape'!$AN19=0,'Loan Tape'!$Z19="Interest Only",'Loan Tape'!$Z19=""),0,MIN(MAX(0,F23-F629),IFERROR(MAX(0,MIN(4,'Loan Tape'!$AV19)-MAX(3,'Loan Tape'!$AT19))*IF(F326&lt;=0,F23/MAX(1,'Loan Tape'!$AU19-4+1),F326*F23/(1-(1+F326)^(-MAX(1,'Loan Tape'!$AU19-4+1)))-F326*F23),0)))</f>
        <v>0</v>
      </c>
      <c r="G932" s="71" t="n">
        <f aca="false">IF(OR('Loan Tape'!$AN19=0,'Loan Tape'!$Z19="Interest Only",'Loan Tape'!$Z19=""),0,MIN(MAX(0,G23-G629),IFERROR(MAX(0,MIN(5,'Loan Tape'!$AV19)-MAX(4,'Loan Tape'!$AT19))*IF(G326&lt;=0,G23/MAX(1,'Loan Tape'!$AU19-5+1),G326*G23/(1-(1+G326)^(-MAX(1,'Loan Tape'!$AU19-5+1)))-G326*G23),0)))</f>
        <v>0</v>
      </c>
      <c r="H932" s="71" t="n">
        <f aca="false">IF(OR('Loan Tape'!$AN19=0,'Loan Tape'!$Z19="Interest Only",'Loan Tape'!$Z19=""),0,MIN(MAX(0,H23-H629),IFERROR(MAX(0,MIN(6,'Loan Tape'!$AV19)-MAX(5,'Loan Tape'!$AT19))*IF(H326&lt;=0,H23/MAX(1,'Loan Tape'!$AU19-6+1),H326*H23/(1-(1+H326)^(-MAX(1,'Loan Tape'!$AU19-6+1)))-H326*H23),0)))</f>
        <v>0</v>
      </c>
      <c r="I932" s="71" t="n">
        <f aca="false">IF(OR('Loan Tape'!$AN19=0,'Loan Tape'!$Z19="Interest Only",'Loan Tape'!$Z19=""),0,MIN(MAX(0,I23-I629),IFERROR(MAX(0,MIN(7,'Loan Tape'!$AV19)-MAX(6,'Loan Tape'!$AT19))*IF(I326&lt;=0,I23/MAX(1,'Loan Tape'!$AU19-7+1),I326*I23/(1-(1+I326)^(-MAX(1,'Loan Tape'!$AU19-7+1)))-I326*I23),0)))</f>
        <v>0</v>
      </c>
      <c r="J932" s="71" t="n">
        <f aca="false">IF(OR('Loan Tape'!$AN19=0,'Loan Tape'!$Z19="Interest Only",'Loan Tape'!$Z19=""),0,MIN(MAX(0,J23-J629),IFERROR(MAX(0,MIN(8,'Loan Tape'!$AV19)-MAX(7,'Loan Tape'!$AT19))*IF(J326&lt;=0,J23/MAX(1,'Loan Tape'!$AU19-8+1),J326*J23/(1-(1+J326)^(-MAX(1,'Loan Tape'!$AU19-8+1)))-J326*J23),0)))</f>
        <v>0</v>
      </c>
      <c r="K932" s="71" t="n">
        <f aca="false">IF(OR('Loan Tape'!$AN19=0,'Loan Tape'!$Z19="Interest Only",'Loan Tape'!$Z19=""),0,MIN(MAX(0,K23-K629),IFERROR(MAX(0,MIN(9,'Loan Tape'!$AV19)-MAX(8,'Loan Tape'!$AT19))*IF(K326&lt;=0,K23/MAX(1,'Loan Tape'!$AU19-9+1),K326*K23/(1-(1+K326)^(-MAX(1,'Loan Tape'!$AU19-9+1)))-K326*K23),0)))</f>
        <v>0</v>
      </c>
      <c r="L932" s="71" t="n">
        <f aca="false">IF(OR('Loan Tape'!$AN19=0,'Loan Tape'!$Z19="Interest Only",'Loan Tape'!$Z19=""),0,MIN(MAX(0,L23-L629),IFERROR(MAX(0,MIN(10,'Loan Tape'!$AV19)-MAX(9,'Loan Tape'!$AT19))*IF(L326&lt;=0,L23/MAX(1,'Loan Tape'!$AU19-10+1),L326*L23/(1-(1+L326)^(-MAX(1,'Loan Tape'!$AU19-10+1)))-L326*L23),0)))</f>
        <v>0</v>
      </c>
    </row>
    <row r="933" customFormat="false" ht="15" hidden="false" customHeight="false" outlineLevel="0" collapsed="false">
      <c r="B933" s="102" t="str">
        <f aca="false">'Loan Tape'!$A20</f>
        <v>L-017</v>
      </c>
      <c r="C933" s="99" t="n">
        <f aca="false">IF(OR('Loan Tape'!$AN20=0,'Loan Tape'!$Z20="Interest Only",'Loan Tape'!$Z20=""),0,MIN(MAX(0,C24-C630),IFERROR(MAX(0,MIN(1,'Loan Tape'!$AV20)-MAX(0,'Loan Tape'!$AT20))*IF(C327&lt;=0,C24/MAX(1,'Loan Tape'!$AU20-1+1),C327*C24/(1-(1+C327)^(-MAX(1,'Loan Tape'!$AU20-1+1)))-C327*C24),0)))</f>
        <v>0</v>
      </c>
      <c r="D933" s="99" t="n">
        <f aca="false">IF(OR('Loan Tape'!$AN20=0,'Loan Tape'!$Z20="Interest Only",'Loan Tape'!$Z20=""),0,MIN(MAX(0,D24-D630),IFERROR(MAX(0,MIN(2,'Loan Tape'!$AV20)-MAX(1,'Loan Tape'!$AT20))*IF(D327&lt;=0,D24/MAX(1,'Loan Tape'!$AU20-2+1),D327*D24/(1-(1+D327)^(-MAX(1,'Loan Tape'!$AU20-2+1)))-D327*D24),0)))</f>
        <v>0</v>
      </c>
      <c r="E933" s="99" t="n">
        <f aca="false">IF(OR('Loan Tape'!$AN20=0,'Loan Tape'!$Z20="Interest Only",'Loan Tape'!$Z20=""),0,MIN(MAX(0,E24-E630),IFERROR(MAX(0,MIN(3,'Loan Tape'!$AV20)-MAX(2,'Loan Tape'!$AT20))*IF(E327&lt;=0,E24/MAX(1,'Loan Tape'!$AU20-3+1),E327*E24/(1-(1+E327)^(-MAX(1,'Loan Tape'!$AU20-3+1)))-E327*E24),0)))</f>
        <v>0</v>
      </c>
      <c r="F933" s="99" t="n">
        <f aca="false">IF(OR('Loan Tape'!$AN20=0,'Loan Tape'!$Z20="Interest Only",'Loan Tape'!$Z20=""),0,MIN(MAX(0,F24-F630),IFERROR(MAX(0,MIN(4,'Loan Tape'!$AV20)-MAX(3,'Loan Tape'!$AT20))*IF(F327&lt;=0,F24/MAX(1,'Loan Tape'!$AU20-4+1),F327*F24/(1-(1+F327)^(-MAX(1,'Loan Tape'!$AU20-4+1)))-F327*F24),0)))</f>
        <v>0</v>
      </c>
      <c r="G933" s="99" t="n">
        <f aca="false">IF(OR('Loan Tape'!$AN20=0,'Loan Tape'!$Z20="Interest Only",'Loan Tape'!$Z20=""),0,MIN(MAX(0,G24-G630),IFERROR(MAX(0,MIN(5,'Loan Tape'!$AV20)-MAX(4,'Loan Tape'!$AT20))*IF(G327&lt;=0,G24/MAX(1,'Loan Tape'!$AU20-5+1),G327*G24/(1-(1+G327)^(-MAX(1,'Loan Tape'!$AU20-5+1)))-G327*G24),0)))</f>
        <v>0</v>
      </c>
      <c r="H933" s="99" t="n">
        <f aca="false">IF(OR('Loan Tape'!$AN20=0,'Loan Tape'!$Z20="Interest Only",'Loan Tape'!$Z20=""),0,MIN(MAX(0,H24-H630),IFERROR(MAX(0,MIN(6,'Loan Tape'!$AV20)-MAX(5,'Loan Tape'!$AT20))*IF(H327&lt;=0,H24/MAX(1,'Loan Tape'!$AU20-6+1),H327*H24/(1-(1+H327)^(-MAX(1,'Loan Tape'!$AU20-6+1)))-H327*H24),0)))</f>
        <v>0</v>
      </c>
      <c r="I933" s="99" t="n">
        <f aca="false">IF(OR('Loan Tape'!$AN20=0,'Loan Tape'!$Z20="Interest Only",'Loan Tape'!$Z20=""),0,MIN(MAX(0,I24-I630),IFERROR(MAX(0,MIN(7,'Loan Tape'!$AV20)-MAX(6,'Loan Tape'!$AT20))*IF(I327&lt;=0,I24/MAX(1,'Loan Tape'!$AU20-7+1),I327*I24/(1-(1+I327)^(-MAX(1,'Loan Tape'!$AU20-7+1)))-I327*I24),0)))</f>
        <v>0</v>
      </c>
      <c r="J933" s="99" t="n">
        <f aca="false">IF(OR('Loan Tape'!$AN20=0,'Loan Tape'!$Z20="Interest Only",'Loan Tape'!$Z20=""),0,MIN(MAX(0,J24-J630),IFERROR(MAX(0,MIN(8,'Loan Tape'!$AV20)-MAX(7,'Loan Tape'!$AT20))*IF(J327&lt;=0,J24/MAX(1,'Loan Tape'!$AU20-8+1),J327*J24/(1-(1+J327)^(-MAX(1,'Loan Tape'!$AU20-8+1)))-J327*J24),0)))</f>
        <v>0</v>
      </c>
      <c r="K933" s="99" t="n">
        <f aca="false">IF(OR('Loan Tape'!$AN20=0,'Loan Tape'!$Z20="Interest Only",'Loan Tape'!$Z20=""),0,MIN(MAX(0,K24-K630),IFERROR(MAX(0,MIN(9,'Loan Tape'!$AV20)-MAX(8,'Loan Tape'!$AT20))*IF(K327&lt;=0,K24/MAX(1,'Loan Tape'!$AU20-9+1),K327*K24/(1-(1+K327)^(-MAX(1,'Loan Tape'!$AU20-9+1)))-K327*K24),0)))</f>
        <v>0</v>
      </c>
      <c r="L933" s="99" t="n">
        <f aca="false">IF(OR('Loan Tape'!$AN20=0,'Loan Tape'!$Z20="Interest Only",'Loan Tape'!$Z20=""),0,MIN(MAX(0,L24-L630),IFERROR(MAX(0,MIN(10,'Loan Tape'!$AV20)-MAX(9,'Loan Tape'!$AT20))*IF(L327&lt;=0,L24/MAX(1,'Loan Tape'!$AU20-10+1),L327*L24/(1-(1+L327)^(-MAX(1,'Loan Tape'!$AU20-10+1)))-L327*L24),0)))</f>
        <v>0</v>
      </c>
    </row>
    <row r="934" customFormat="false" ht="15" hidden="false" customHeight="false" outlineLevel="0" collapsed="false">
      <c r="B934" s="108" t="str">
        <f aca="false">'Loan Tape'!$A21</f>
        <v>L-018</v>
      </c>
      <c r="C934" s="71" t="n">
        <f aca="false">IF(OR('Loan Tape'!$AN21=0,'Loan Tape'!$Z21="Interest Only",'Loan Tape'!$Z21=""),0,MIN(MAX(0,C25-C631),IFERROR(MAX(0,MIN(1,'Loan Tape'!$AV21)-MAX(0,'Loan Tape'!$AT21))*IF(C328&lt;=0,C25/MAX(1,'Loan Tape'!$AU21-1+1),C328*C25/(1-(1+C328)^(-MAX(1,'Loan Tape'!$AU21-1+1)))-C328*C25),0)))</f>
        <v>1234975.21311948</v>
      </c>
      <c r="D934" s="71" t="n">
        <f aca="false">IF(OR('Loan Tape'!$AN21=0,'Loan Tape'!$Z21="Interest Only",'Loan Tape'!$Z21=""),0,MIN(MAX(0,D25-D631),IFERROR(MAX(0,MIN(2,'Loan Tape'!$AV21)-MAX(1,'Loan Tape'!$AT21))*IF(D328&lt;=0,D25/MAX(1,'Loan Tape'!$AU21-2+1),D328*D25/(1-(1+D328)^(-MAX(1,'Loan Tape'!$AU21-2+1)))-D328*D25),0)))</f>
        <v>1242203.93455806</v>
      </c>
      <c r="E934" s="71" t="n">
        <f aca="false">IF(OR('Loan Tape'!$AN21=0,'Loan Tape'!$Z21="Interest Only",'Loan Tape'!$Z21=""),0,MIN(MAX(0,E25-E631),IFERROR(MAX(0,MIN(3,'Loan Tape'!$AV21)-MAX(2,'Loan Tape'!$AT21))*IF(E328&lt;=0,E25/MAX(1,'Loan Tape'!$AU21-3+1),E328*E25/(1-(1+E328)^(-MAX(1,'Loan Tape'!$AU21-3+1)))-E328*E25),0)))</f>
        <v>1222981.04968868</v>
      </c>
      <c r="F934" s="71" t="n">
        <f aca="false">IF(OR('Loan Tape'!$AN21=0,'Loan Tape'!$Z21="Interest Only",'Loan Tape'!$Z21=""),0,MIN(MAX(0,F25-F631),IFERROR(MAX(0,MIN(4,'Loan Tape'!$AV21)-MAX(3,'Loan Tape'!$AT21))*IF(F328&lt;=0,F25/MAX(1,'Loan Tape'!$AU21-4+1),F328*F25/(1-(1+F328)^(-MAX(1,'Loan Tape'!$AU21-4+1)))-F328*F25),0)))</f>
        <v>1167879.47537317</v>
      </c>
      <c r="G934" s="71" t="n">
        <f aca="false">IF(OR('Loan Tape'!$AN21=0,'Loan Tape'!$Z21="Interest Only",'Loan Tape'!$Z21=""),0,MIN(MAX(0,G25-G631),IFERROR(MAX(0,MIN(5,'Loan Tape'!$AV21)-MAX(4,'Loan Tape'!$AT21))*IF(G328&lt;=0,G25/MAX(1,'Loan Tape'!$AU21-5+1),G328*G25/(1-(1+G328)^(-MAX(1,'Loan Tape'!$AU21-5+1)))-G328*G25),0)))</f>
        <v>457377.654915901</v>
      </c>
      <c r="H934" s="71" t="n">
        <f aca="false">IF(OR('Loan Tape'!$AN21=0,'Loan Tape'!$Z21="Interest Only",'Loan Tape'!$Z21=""),0,MIN(MAX(0,H25-H631),IFERROR(MAX(0,MIN(6,'Loan Tape'!$AV21)-MAX(5,'Loan Tape'!$AT21))*IF(H328&lt;=0,H25/MAX(1,'Loan Tape'!$AU21-6+1),H328*H25/(1-(1+H328)^(-MAX(1,'Loan Tape'!$AU21-6+1)))-H328*H25),0)))</f>
        <v>0</v>
      </c>
      <c r="I934" s="71" t="n">
        <f aca="false">IF(OR('Loan Tape'!$AN21=0,'Loan Tape'!$Z21="Interest Only",'Loan Tape'!$Z21=""),0,MIN(MAX(0,I25-I631),IFERROR(MAX(0,MIN(7,'Loan Tape'!$AV21)-MAX(6,'Loan Tape'!$AT21))*IF(I328&lt;=0,I25/MAX(1,'Loan Tape'!$AU21-7+1),I328*I25/(1-(1+I328)^(-MAX(1,'Loan Tape'!$AU21-7+1)))-I328*I25),0)))</f>
        <v>0</v>
      </c>
      <c r="J934" s="71" t="n">
        <f aca="false">IF(OR('Loan Tape'!$AN21=0,'Loan Tape'!$Z21="Interest Only",'Loan Tape'!$Z21=""),0,MIN(MAX(0,J25-J631),IFERROR(MAX(0,MIN(8,'Loan Tape'!$AV21)-MAX(7,'Loan Tape'!$AT21))*IF(J328&lt;=0,J25/MAX(1,'Loan Tape'!$AU21-8+1),J328*J25/(1-(1+J328)^(-MAX(1,'Loan Tape'!$AU21-8+1)))-J328*J25),0)))</f>
        <v>0</v>
      </c>
      <c r="K934" s="71" t="n">
        <f aca="false">IF(OR('Loan Tape'!$AN21=0,'Loan Tape'!$Z21="Interest Only",'Loan Tape'!$Z21=""),0,MIN(MAX(0,K25-K631),IFERROR(MAX(0,MIN(9,'Loan Tape'!$AV21)-MAX(8,'Loan Tape'!$AT21))*IF(K328&lt;=0,K25/MAX(1,'Loan Tape'!$AU21-9+1),K328*K25/(1-(1+K328)^(-MAX(1,'Loan Tape'!$AU21-9+1)))-K328*K25),0)))</f>
        <v>0</v>
      </c>
      <c r="L934" s="71" t="n">
        <f aca="false">IF(OR('Loan Tape'!$AN21=0,'Loan Tape'!$Z21="Interest Only",'Loan Tape'!$Z21=""),0,MIN(MAX(0,L25-L631),IFERROR(MAX(0,MIN(10,'Loan Tape'!$AV21)-MAX(9,'Loan Tape'!$AT21))*IF(L328&lt;=0,L25/MAX(1,'Loan Tape'!$AU21-10+1),L328*L25/(1-(1+L328)^(-MAX(1,'Loan Tape'!$AU21-10+1)))-L328*L25),0)))</f>
        <v>0</v>
      </c>
    </row>
    <row r="935" customFormat="false" ht="15" hidden="false" customHeight="false" outlineLevel="0" collapsed="false">
      <c r="B935" s="102" t="str">
        <f aca="false">'Loan Tape'!$A22</f>
        <v>L-019</v>
      </c>
      <c r="C935" s="99" t="n">
        <f aca="false">IF(OR('Loan Tape'!$AN22=0,'Loan Tape'!$Z22="Interest Only",'Loan Tape'!$Z22=""),0,MIN(MAX(0,C26-C632),IFERROR(MAX(0,MIN(1,'Loan Tape'!$AV22)-MAX(0,'Loan Tape'!$AT22))*IF(C329&lt;=0,C26/MAX(1,'Loan Tape'!$AU22-1+1),C329*C26/(1-(1+C329)^(-MAX(1,'Loan Tape'!$AU22-1+1)))-C329*C26),0)))</f>
        <v>136419.166470927</v>
      </c>
      <c r="D935" s="99" t="n">
        <f aca="false">IF(OR('Loan Tape'!$AN22=0,'Loan Tape'!$Z22="Interest Only",'Loan Tape'!$Z22=""),0,MIN(MAX(0,D26-D632),IFERROR(MAX(0,MIN(2,'Loan Tape'!$AV22)-MAX(1,'Loan Tape'!$AT22))*IF(D329&lt;=0,D26/MAX(1,'Loan Tape'!$AU22-2+1),D329*D26/(1-(1+D329)^(-MAX(1,'Loan Tape'!$AU22-2+1)))-D329*D26),0)))</f>
        <v>0</v>
      </c>
      <c r="E935" s="99" t="n">
        <f aca="false">IF(OR('Loan Tape'!$AN22=0,'Loan Tape'!$Z22="Interest Only",'Loan Tape'!$Z22=""),0,MIN(MAX(0,E26-E632),IFERROR(MAX(0,MIN(3,'Loan Tape'!$AV22)-MAX(2,'Loan Tape'!$AT22))*IF(E329&lt;=0,E26/MAX(1,'Loan Tape'!$AU22-3+1),E329*E26/(1-(1+E329)^(-MAX(1,'Loan Tape'!$AU22-3+1)))-E329*E26),0)))</f>
        <v>0</v>
      </c>
      <c r="F935" s="99" t="n">
        <f aca="false">IF(OR('Loan Tape'!$AN22=0,'Loan Tape'!$Z22="Interest Only",'Loan Tape'!$Z22=""),0,MIN(MAX(0,F26-F632),IFERROR(MAX(0,MIN(4,'Loan Tape'!$AV22)-MAX(3,'Loan Tape'!$AT22))*IF(F329&lt;=0,F26/MAX(1,'Loan Tape'!$AU22-4+1),F329*F26/(1-(1+F329)^(-MAX(1,'Loan Tape'!$AU22-4+1)))-F329*F26),0)))</f>
        <v>0</v>
      </c>
      <c r="G935" s="99" t="n">
        <f aca="false">IF(OR('Loan Tape'!$AN22=0,'Loan Tape'!$Z22="Interest Only",'Loan Tape'!$Z22=""),0,MIN(MAX(0,G26-G632),IFERROR(MAX(0,MIN(5,'Loan Tape'!$AV22)-MAX(4,'Loan Tape'!$AT22))*IF(G329&lt;=0,G26/MAX(1,'Loan Tape'!$AU22-5+1),G329*G26/(1-(1+G329)^(-MAX(1,'Loan Tape'!$AU22-5+1)))-G329*G26),0)))</f>
        <v>0</v>
      </c>
      <c r="H935" s="99" t="n">
        <f aca="false">IF(OR('Loan Tape'!$AN22=0,'Loan Tape'!$Z22="Interest Only",'Loan Tape'!$Z22=""),0,MIN(MAX(0,H26-H632),IFERROR(MAX(0,MIN(6,'Loan Tape'!$AV22)-MAX(5,'Loan Tape'!$AT22))*IF(H329&lt;=0,H26/MAX(1,'Loan Tape'!$AU22-6+1),H329*H26/(1-(1+H329)^(-MAX(1,'Loan Tape'!$AU22-6+1)))-H329*H26),0)))</f>
        <v>0</v>
      </c>
      <c r="I935" s="99" t="n">
        <f aca="false">IF(OR('Loan Tape'!$AN22=0,'Loan Tape'!$Z22="Interest Only",'Loan Tape'!$Z22=""),0,MIN(MAX(0,I26-I632),IFERROR(MAX(0,MIN(7,'Loan Tape'!$AV22)-MAX(6,'Loan Tape'!$AT22))*IF(I329&lt;=0,I26/MAX(1,'Loan Tape'!$AU22-7+1),I329*I26/(1-(1+I329)^(-MAX(1,'Loan Tape'!$AU22-7+1)))-I329*I26),0)))</f>
        <v>0</v>
      </c>
      <c r="J935" s="99" t="n">
        <f aca="false">IF(OR('Loan Tape'!$AN22=0,'Loan Tape'!$Z22="Interest Only",'Loan Tape'!$Z22=""),0,MIN(MAX(0,J26-J632),IFERROR(MAX(0,MIN(8,'Loan Tape'!$AV22)-MAX(7,'Loan Tape'!$AT22))*IF(J329&lt;=0,J26/MAX(1,'Loan Tape'!$AU22-8+1),J329*J26/(1-(1+J329)^(-MAX(1,'Loan Tape'!$AU22-8+1)))-J329*J26),0)))</f>
        <v>0</v>
      </c>
      <c r="K935" s="99" t="n">
        <f aca="false">IF(OR('Loan Tape'!$AN22=0,'Loan Tape'!$Z22="Interest Only",'Loan Tape'!$Z22=""),0,MIN(MAX(0,K26-K632),IFERROR(MAX(0,MIN(9,'Loan Tape'!$AV22)-MAX(8,'Loan Tape'!$AT22))*IF(K329&lt;=0,K26/MAX(1,'Loan Tape'!$AU22-9+1),K329*K26/(1-(1+K329)^(-MAX(1,'Loan Tape'!$AU22-9+1)))-K329*K26),0)))</f>
        <v>0</v>
      </c>
      <c r="L935" s="99" t="n">
        <f aca="false">IF(OR('Loan Tape'!$AN22=0,'Loan Tape'!$Z22="Interest Only",'Loan Tape'!$Z22=""),0,MIN(MAX(0,L26-L632),IFERROR(MAX(0,MIN(10,'Loan Tape'!$AV22)-MAX(9,'Loan Tape'!$AT22))*IF(L329&lt;=0,L26/MAX(1,'Loan Tape'!$AU22-10+1),L329*L26/(1-(1+L329)^(-MAX(1,'Loan Tape'!$AU22-10+1)))-L329*L26),0)))</f>
        <v>0</v>
      </c>
    </row>
    <row r="936" customFormat="false" ht="15" hidden="false" customHeight="false" outlineLevel="0" collapsed="false">
      <c r="B936" s="108" t="str">
        <f aca="false">'Loan Tape'!$A23</f>
        <v>L-020</v>
      </c>
      <c r="C936" s="71" t="n">
        <f aca="false">IF(OR('Loan Tape'!$AN23=0,'Loan Tape'!$Z23="Interest Only",'Loan Tape'!$Z23=""),0,MIN(MAX(0,C27-C633),IFERROR(MAX(0,MIN(1,'Loan Tape'!$AV23)-MAX(0,'Loan Tape'!$AT23))*IF(C330&lt;=0,C27/MAX(1,'Loan Tape'!$AU23-1+1),C330*C27/(1-(1+C330)^(-MAX(1,'Loan Tape'!$AU23-1+1)))-C330*C27),0)))</f>
        <v>0</v>
      </c>
      <c r="D936" s="71" t="n">
        <f aca="false">IF(OR('Loan Tape'!$AN23=0,'Loan Tape'!$Z23="Interest Only",'Loan Tape'!$Z23=""),0,MIN(MAX(0,D27-D633),IFERROR(MAX(0,MIN(2,'Loan Tape'!$AV23)-MAX(1,'Loan Tape'!$AT23))*IF(D330&lt;=0,D27/MAX(1,'Loan Tape'!$AU23-2+1),D330*D27/(1-(1+D330)^(-MAX(1,'Loan Tape'!$AU23-2+1)))-D330*D27),0)))</f>
        <v>0</v>
      </c>
      <c r="E936" s="71" t="n">
        <f aca="false">IF(OR('Loan Tape'!$AN23=0,'Loan Tape'!$Z23="Interest Only",'Loan Tape'!$Z23=""),0,MIN(MAX(0,E27-E633),IFERROR(MAX(0,MIN(3,'Loan Tape'!$AV23)-MAX(2,'Loan Tape'!$AT23))*IF(E330&lt;=0,E27/MAX(1,'Loan Tape'!$AU23-3+1),E330*E27/(1-(1+E330)^(-MAX(1,'Loan Tape'!$AU23-3+1)))-E330*E27),0)))</f>
        <v>0</v>
      </c>
      <c r="F936" s="71" t="n">
        <f aca="false">IF(OR('Loan Tape'!$AN23=0,'Loan Tape'!$Z23="Interest Only",'Loan Tape'!$Z23=""),0,MIN(MAX(0,F27-F633),IFERROR(MAX(0,MIN(4,'Loan Tape'!$AV23)-MAX(3,'Loan Tape'!$AT23))*IF(F330&lt;=0,F27/MAX(1,'Loan Tape'!$AU23-4+1),F330*F27/(1-(1+F330)^(-MAX(1,'Loan Tape'!$AU23-4+1)))-F330*F27),0)))</f>
        <v>0</v>
      </c>
      <c r="G936" s="71" t="n">
        <f aca="false">IF(OR('Loan Tape'!$AN23=0,'Loan Tape'!$Z23="Interest Only",'Loan Tape'!$Z23=""),0,MIN(MAX(0,G27-G633),IFERROR(MAX(0,MIN(5,'Loan Tape'!$AV23)-MAX(4,'Loan Tape'!$AT23))*IF(G330&lt;=0,G27/MAX(1,'Loan Tape'!$AU23-5+1),G330*G27/(1-(1+G330)^(-MAX(1,'Loan Tape'!$AU23-5+1)))-G330*G27),0)))</f>
        <v>0</v>
      </c>
      <c r="H936" s="71" t="n">
        <f aca="false">IF(OR('Loan Tape'!$AN23=0,'Loan Tape'!$Z23="Interest Only",'Loan Tape'!$Z23=""),0,MIN(MAX(0,H27-H633),IFERROR(MAX(0,MIN(6,'Loan Tape'!$AV23)-MAX(5,'Loan Tape'!$AT23))*IF(H330&lt;=0,H27/MAX(1,'Loan Tape'!$AU23-6+1),H330*H27/(1-(1+H330)^(-MAX(1,'Loan Tape'!$AU23-6+1)))-H330*H27),0)))</f>
        <v>0</v>
      </c>
      <c r="I936" s="71" t="n">
        <f aca="false">IF(OR('Loan Tape'!$AN23=0,'Loan Tape'!$Z23="Interest Only",'Loan Tape'!$Z23=""),0,MIN(MAX(0,I27-I633),IFERROR(MAX(0,MIN(7,'Loan Tape'!$AV23)-MAX(6,'Loan Tape'!$AT23))*IF(I330&lt;=0,I27/MAX(1,'Loan Tape'!$AU23-7+1),I330*I27/(1-(1+I330)^(-MAX(1,'Loan Tape'!$AU23-7+1)))-I330*I27),0)))</f>
        <v>0</v>
      </c>
      <c r="J936" s="71" t="n">
        <f aca="false">IF(OR('Loan Tape'!$AN23=0,'Loan Tape'!$Z23="Interest Only",'Loan Tape'!$Z23=""),0,MIN(MAX(0,J27-J633),IFERROR(MAX(0,MIN(8,'Loan Tape'!$AV23)-MAX(7,'Loan Tape'!$AT23))*IF(J330&lt;=0,J27/MAX(1,'Loan Tape'!$AU23-8+1),J330*J27/(1-(1+J330)^(-MAX(1,'Loan Tape'!$AU23-8+1)))-J330*J27),0)))</f>
        <v>0</v>
      </c>
      <c r="K936" s="71" t="n">
        <f aca="false">IF(OR('Loan Tape'!$AN23=0,'Loan Tape'!$Z23="Interest Only",'Loan Tape'!$Z23=""),0,MIN(MAX(0,K27-K633),IFERROR(MAX(0,MIN(9,'Loan Tape'!$AV23)-MAX(8,'Loan Tape'!$AT23))*IF(K330&lt;=0,K27/MAX(1,'Loan Tape'!$AU23-9+1),K330*K27/(1-(1+K330)^(-MAX(1,'Loan Tape'!$AU23-9+1)))-K330*K27),0)))</f>
        <v>0</v>
      </c>
      <c r="L936" s="71" t="n">
        <f aca="false">IF(OR('Loan Tape'!$AN23=0,'Loan Tape'!$Z23="Interest Only",'Loan Tape'!$Z23=""),0,MIN(MAX(0,L27-L633),IFERROR(MAX(0,MIN(10,'Loan Tape'!$AV23)-MAX(9,'Loan Tape'!$AT23))*IF(L330&lt;=0,L27/MAX(1,'Loan Tape'!$AU23-10+1),L330*L27/(1-(1+L330)^(-MAX(1,'Loan Tape'!$AU23-10+1)))-L330*L27),0)))</f>
        <v>0</v>
      </c>
    </row>
    <row r="937" customFormat="false" ht="15" hidden="false" customHeight="false" outlineLevel="0" collapsed="false">
      <c r="B937" s="102" t="str">
        <f aca="false">'Loan Tape'!$A24</f>
        <v>L-021</v>
      </c>
      <c r="C937" s="99" t="n">
        <f aca="false">IF(OR('Loan Tape'!$AN24=0,'Loan Tape'!$Z24="Interest Only",'Loan Tape'!$Z24=""),0,MIN(MAX(0,C28-C634),IFERROR(MAX(0,MIN(1,'Loan Tape'!$AV24)-MAX(0,'Loan Tape'!$AT24))*IF(C331&lt;=0,C28/MAX(1,'Loan Tape'!$AU24-1+1),C331*C28/(1-(1+C331)^(-MAX(1,'Loan Tape'!$AU24-1+1)))-C331*C28),0)))</f>
        <v>485595.31906089</v>
      </c>
      <c r="D937" s="99" t="n">
        <f aca="false">IF(OR('Loan Tape'!$AN24=0,'Loan Tape'!$Z24="Interest Only",'Loan Tape'!$Z24=""),0,MIN(MAX(0,D28-D634),IFERROR(MAX(0,MIN(2,'Loan Tape'!$AV24)-MAX(1,'Loan Tape'!$AT24))*IF(D331&lt;=0,D28/MAX(1,'Loan Tape'!$AU24-2+1),D331*D28/(1-(1+D331)^(-MAX(1,'Loan Tape'!$AU24-2+1)))-D331*D28),0)))</f>
        <v>493156.611670981</v>
      </c>
      <c r="E937" s="99" t="n">
        <f aca="false">IF(OR('Loan Tape'!$AN24=0,'Loan Tape'!$Z24="Interest Only",'Loan Tape'!$Z24=""),0,MIN(MAX(0,E28-E634),IFERROR(MAX(0,MIN(3,'Loan Tape'!$AV24)-MAX(2,'Loan Tape'!$AT24))*IF(E331&lt;=0,E28/MAX(1,'Loan Tape'!$AU24-3+1),E331*E28/(1-(1+E331)^(-MAX(1,'Loan Tape'!$AU24-3+1)))-E331*E28),0)))</f>
        <v>489484.727132833</v>
      </c>
      <c r="F937" s="99" t="n">
        <f aca="false">IF(OR('Loan Tape'!$AN24=0,'Loan Tape'!$Z24="Interest Only",'Loan Tape'!$Z24=""),0,MIN(MAX(0,F28-F634),IFERROR(MAX(0,MIN(4,'Loan Tape'!$AV24)-MAX(3,'Loan Tape'!$AT24))*IF(F331&lt;=0,F28/MAX(1,'Loan Tape'!$AU24-4+1),F331*F28/(1-(1+F331)^(-MAX(1,'Loan Tape'!$AU24-4+1)))-F331*F28),0)))</f>
        <v>159866.1321624</v>
      </c>
      <c r="G937" s="99" t="n">
        <f aca="false">IF(OR('Loan Tape'!$AN24=0,'Loan Tape'!$Z24="Interest Only",'Loan Tape'!$Z24=""),0,MIN(MAX(0,G28-G634),IFERROR(MAX(0,MIN(5,'Loan Tape'!$AV24)-MAX(4,'Loan Tape'!$AT24))*IF(G331&lt;=0,G28/MAX(1,'Loan Tape'!$AU24-5+1),G331*G28/(1-(1+G331)^(-MAX(1,'Loan Tape'!$AU24-5+1)))-G331*G28),0)))</f>
        <v>0</v>
      </c>
      <c r="H937" s="99" t="n">
        <f aca="false">IF(OR('Loan Tape'!$AN24=0,'Loan Tape'!$Z24="Interest Only",'Loan Tape'!$Z24=""),0,MIN(MAX(0,H28-H634),IFERROR(MAX(0,MIN(6,'Loan Tape'!$AV24)-MAX(5,'Loan Tape'!$AT24))*IF(H331&lt;=0,H28/MAX(1,'Loan Tape'!$AU24-6+1),H331*H28/(1-(1+H331)^(-MAX(1,'Loan Tape'!$AU24-6+1)))-H331*H28),0)))</f>
        <v>0</v>
      </c>
      <c r="I937" s="99" t="n">
        <f aca="false">IF(OR('Loan Tape'!$AN24=0,'Loan Tape'!$Z24="Interest Only",'Loan Tape'!$Z24=""),0,MIN(MAX(0,I28-I634),IFERROR(MAX(0,MIN(7,'Loan Tape'!$AV24)-MAX(6,'Loan Tape'!$AT24))*IF(I331&lt;=0,I28/MAX(1,'Loan Tape'!$AU24-7+1),I331*I28/(1-(1+I331)^(-MAX(1,'Loan Tape'!$AU24-7+1)))-I331*I28),0)))</f>
        <v>0</v>
      </c>
      <c r="J937" s="99" t="n">
        <f aca="false">IF(OR('Loan Tape'!$AN24=0,'Loan Tape'!$Z24="Interest Only",'Loan Tape'!$Z24=""),0,MIN(MAX(0,J28-J634),IFERROR(MAX(0,MIN(8,'Loan Tape'!$AV24)-MAX(7,'Loan Tape'!$AT24))*IF(J331&lt;=0,J28/MAX(1,'Loan Tape'!$AU24-8+1),J331*J28/(1-(1+J331)^(-MAX(1,'Loan Tape'!$AU24-8+1)))-J331*J28),0)))</f>
        <v>0</v>
      </c>
      <c r="K937" s="99" t="n">
        <f aca="false">IF(OR('Loan Tape'!$AN24=0,'Loan Tape'!$Z24="Interest Only",'Loan Tape'!$Z24=""),0,MIN(MAX(0,K28-K634),IFERROR(MAX(0,MIN(9,'Loan Tape'!$AV24)-MAX(8,'Loan Tape'!$AT24))*IF(K331&lt;=0,K28/MAX(1,'Loan Tape'!$AU24-9+1),K331*K28/(1-(1+K331)^(-MAX(1,'Loan Tape'!$AU24-9+1)))-K331*K28),0)))</f>
        <v>0</v>
      </c>
      <c r="L937" s="99" t="n">
        <f aca="false">IF(OR('Loan Tape'!$AN24=0,'Loan Tape'!$Z24="Interest Only",'Loan Tape'!$Z24=""),0,MIN(MAX(0,L28-L634),IFERROR(MAX(0,MIN(10,'Loan Tape'!$AV24)-MAX(9,'Loan Tape'!$AT24))*IF(L331&lt;=0,L28/MAX(1,'Loan Tape'!$AU24-10+1),L331*L28/(1-(1+L331)^(-MAX(1,'Loan Tape'!$AU24-10+1)))-L331*L28),0)))</f>
        <v>0</v>
      </c>
    </row>
    <row r="938" customFormat="false" ht="15" hidden="false" customHeight="false" outlineLevel="0" collapsed="false">
      <c r="B938" s="108" t="str">
        <f aca="false">'Loan Tape'!$A25</f>
        <v>L-022</v>
      </c>
      <c r="C938" s="71" t="n">
        <f aca="false">IF(OR('Loan Tape'!$AN25=0,'Loan Tape'!$Z25="Interest Only",'Loan Tape'!$Z25=""),0,MIN(MAX(0,C29-C635),IFERROR(MAX(0,MIN(1,'Loan Tape'!$AV25)-MAX(0,'Loan Tape'!$AT25))*IF(C332&lt;=0,C29/MAX(1,'Loan Tape'!$AU25-1+1),C332*C29/(1-(1+C332)^(-MAX(1,'Loan Tape'!$AU25-1+1)))-C332*C29),0)))</f>
        <v>186482.308485299</v>
      </c>
      <c r="D938" s="71" t="n">
        <f aca="false">IF(OR('Loan Tape'!$AN25=0,'Loan Tape'!$Z25="Interest Only",'Loan Tape'!$Z25=""),0,MIN(MAX(0,D29-D635),IFERROR(MAX(0,MIN(2,'Loan Tape'!$AV25)-MAX(1,'Loan Tape'!$AT25))*IF(D332&lt;=0,D29/MAX(1,'Loan Tape'!$AU25-2+1),D332*D29/(1-(1+D332)^(-MAX(1,'Loan Tape'!$AU25-2+1)))-D332*D29),0)))</f>
        <v>143594.270217868</v>
      </c>
      <c r="E938" s="71" t="n">
        <f aca="false">IF(OR('Loan Tape'!$AN25=0,'Loan Tape'!$Z25="Interest Only",'Loan Tape'!$Z25=""),0,MIN(MAX(0,E29-E635),IFERROR(MAX(0,MIN(3,'Loan Tape'!$AV25)-MAX(2,'Loan Tape'!$AT25))*IF(E332&lt;=0,E29/MAX(1,'Loan Tape'!$AU25-3+1),E332*E29/(1-(1+E332)^(-MAX(1,'Loan Tape'!$AU25-3+1)))-E332*E29),0)))</f>
        <v>0</v>
      </c>
      <c r="F938" s="71" t="n">
        <f aca="false">IF(OR('Loan Tape'!$AN25=0,'Loan Tape'!$Z25="Interest Only",'Loan Tape'!$Z25=""),0,MIN(MAX(0,F29-F635),IFERROR(MAX(0,MIN(4,'Loan Tape'!$AV25)-MAX(3,'Loan Tape'!$AT25))*IF(F332&lt;=0,F29/MAX(1,'Loan Tape'!$AU25-4+1),F332*F29/(1-(1+F332)^(-MAX(1,'Loan Tape'!$AU25-4+1)))-F332*F29),0)))</f>
        <v>0</v>
      </c>
      <c r="G938" s="71" t="n">
        <f aca="false">IF(OR('Loan Tape'!$AN25=0,'Loan Tape'!$Z25="Interest Only",'Loan Tape'!$Z25=""),0,MIN(MAX(0,G29-G635),IFERROR(MAX(0,MIN(5,'Loan Tape'!$AV25)-MAX(4,'Loan Tape'!$AT25))*IF(G332&lt;=0,G29/MAX(1,'Loan Tape'!$AU25-5+1),G332*G29/(1-(1+G332)^(-MAX(1,'Loan Tape'!$AU25-5+1)))-G332*G29),0)))</f>
        <v>0</v>
      </c>
      <c r="H938" s="71" t="n">
        <f aca="false">IF(OR('Loan Tape'!$AN25=0,'Loan Tape'!$Z25="Interest Only",'Loan Tape'!$Z25=""),0,MIN(MAX(0,H29-H635),IFERROR(MAX(0,MIN(6,'Loan Tape'!$AV25)-MAX(5,'Loan Tape'!$AT25))*IF(H332&lt;=0,H29/MAX(1,'Loan Tape'!$AU25-6+1),H332*H29/(1-(1+H332)^(-MAX(1,'Loan Tape'!$AU25-6+1)))-H332*H29),0)))</f>
        <v>0</v>
      </c>
      <c r="I938" s="71" t="n">
        <f aca="false">IF(OR('Loan Tape'!$AN25=0,'Loan Tape'!$Z25="Interest Only",'Loan Tape'!$Z25=""),0,MIN(MAX(0,I29-I635),IFERROR(MAX(0,MIN(7,'Loan Tape'!$AV25)-MAX(6,'Loan Tape'!$AT25))*IF(I332&lt;=0,I29/MAX(1,'Loan Tape'!$AU25-7+1),I332*I29/(1-(1+I332)^(-MAX(1,'Loan Tape'!$AU25-7+1)))-I332*I29),0)))</f>
        <v>0</v>
      </c>
      <c r="J938" s="71" t="n">
        <f aca="false">IF(OR('Loan Tape'!$AN25=0,'Loan Tape'!$Z25="Interest Only",'Loan Tape'!$Z25=""),0,MIN(MAX(0,J29-J635),IFERROR(MAX(0,MIN(8,'Loan Tape'!$AV25)-MAX(7,'Loan Tape'!$AT25))*IF(J332&lt;=0,J29/MAX(1,'Loan Tape'!$AU25-8+1),J332*J29/(1-(1+J332)^(-MAX(1,'Loan Tape'!$AU25-8+1)))-J332*J29),0)))</f>
        <v>0</v>
      </c>
      <c r="K938" s="71" t="n">
        <f aca="false">IF(OR('Loan Tape'!$AN25=0,'Loan Tape'!$Z25="Interest Only",'Loan Tape'!$Z25=""),0,MIN(MAX(0,K29-K635),IFERROR(MAX(0,MIN(9,'Loan Tape'!$AV25)-MAX(8,'Loan Tape'!$AT25))*IF(K332&lt;=0,K29/MAX(1,'Loan Tape'!$AU25-9+1),K332*K29/(1-(1+K332)^(-MAX(1,'Loan Tape'!$AU25-9+1)))-K332*K29),0)))</f>
        <v>0</v>
      </c>
      <c r="L938" s="71" t="n">
        <f aca="false">IF(OR('Loan Tape'!$AN25=0,'Loan Tape'!$Z25="Interest Only",'Loan Tape'!$Z25=""),0,MIN(MAX(0,L29-L635),IFERROR(MAX(0,MIN(10,'Loan Tape'!$AV25)-MAX(9,'Loan Tape'!$AT25))*IF(L332&lt;=0,L29/MAX(1,'Loan Tape'!$AU25-10+1),L332*L29/(1-(1+L332)^(-MAX(1,'Loan Tape'!$AU25-10+1)))-L332*L29),0)))</f>
        <v>0</v>
      </c>
    </row>
    <row r="939" customFormat="false" ht="15" hidden="false" customHeight="false" outlineLevel="0" collapsed="false">
      <c r="B939" s="102" t="str">
        <f aca="false">'Loan Tape'!$A26</f>
        <v>L-023</v>
      </c>
      <c r="C939" s="99" t="n">
        <f aca="false">IF(OR('Loan Tape'!$AN26=0,'Loan Tape'!$Z26="Interest Only",'Loan Tape'!$Z26=""),0,MIN(MAX(0,C30-C636),IFERROR(MAX(0,MIN(1,'Loan Tape'!$AV26)-MAX(0,'Loan Tape'!$AT26))*IF(C333&lt;=0,C30/MAX(1,'Loan Tape'!$AU26-1+1),C333*C30/(1-(1+C333)^(-MAX(1,'Loan Tape'!$AU26-1+1)))-C333*C30),0)))</f>
        <v>0</v>
      </c>
      <c r="D939" s="99" t="n">
        <f aca="false">IF(OR('Loan Tape'!$AN26=0,'Loan Tape'!$Z26="Interest Only",'Loan Tape'!$Z26=""),0,MIN(MAX(0,D30-D636),IFERROR(MAX(0,MIN(2,'Loan Tape'!$AV26)-MAX(1,'Loan Tape'!$AT26))*IF(D333&lt;=0,D30/MAX(1,'Loan Tape'!$AU26-2+1),D333*D30/(1-(1+D333)^(-MAX(1,'Loan Tape'!$AU26-2+1)))-D333*D30),0)))</f>
        <v>0</v>
      </c>
      <c r="E939" s="99" t="n">
        <f aca="false">IF(OR('Loan Tape'!$AN26=0,'Loan Tape'!$Z26="Interest Only",'Loan Tape'!$Z26=""),0,MIN(MAX(0,E30-E636),IFERROR(MAX(0,MIN(3,'Loan Tape'!$AV26)-MAX(2,'Loan Tape'!$AT26))*IF(E333&lt;=0,E30/MAX(1,'Loan Tape'!$AU26-3+1),E333*E30/(1-(1+E333)^(-MAX(1,'Loan Tape'!$AU26-3+1)))-E333*E30),0)))</f>
        <v>0</v>
      </c>
      <c r="F939" s="99" t="n">
        <f aca="false">IF(OR('Loan Tape'!$AN26=0,'Loan Tape'!$Z26="Interest Only",'Loan Tape'!$Z26=""),0,MIN(MAX(0,F30-F636),IFERROR(MAX(0,MIN(4,'Loan Tape'!$AV26)-MAX(3,'Loan Tape'!$AT26))*IF(F333&lt;=0,F30/MAX(1,'Loan Tape'!$AU26-4+1),F333*F30/(1-(1+F333)^(-MAX(1,'Loan Tape'!$AU26-4+1)))-F333*F30),0)))</f>
        <v>0</v>
      </c>
      <c r="G939" s="99" t="n">
        <f aca="false">IF(OR('Loan Tape'!$AN26=0,'Loan Tape'!$Z26="Interest Only",'Loan Tape'!$Z26=""),0,MIN(MAX(0,G30-G636),IFERROR(MAX(0,MIN(5,'Loan Tape'!$AV26)-MAX(4,'Loan Tape'!$AT26))*IF(G333&lt;=0,G30/MAX(1,'Loan Tape'!$AU26-5+1),G333*G30/(1-(1+G333)^(-MAX(1,'Loan Tape'!$AU26-5+1)))-G333*G30),0)))</f>
        <v>0</v>
      </c>
      <c r="H939" s="99" t="n">
        <f aca="false">IF(OR('Loan Tape'!$AN26=0,'Loan Tape'!$Z26="Interest Only",'Loan Tape'!$Z26=""),0,MIN(MAX(0,H30-H636),IFERROR(MAX(0,MIN(6,'Loan Tape'!$AV26)-MAX(5,'Loan Tape'!$AT26))*IF(H333&lt;=0,H30/MAX(1,'Loan Tape'!$AU26-6+1),H333*H30/(1-(1+H333)^(-MAX(1,'Loan Tape'!$AU26-6+1)))-H333*H30),0)))</f>
        <v>0</v>
      </c>
      <c r="I939" s="99" t="n">
        <f aca="false">IF(OR('Loan Tape'!$AN26=0,'Loan Tape'!$Z26="Interest Only",'Loan Tape'!$Z26=""),0,MIN(MAX(0,I30-I636),IFERROR(MAX(0,MIN(7,'Loan Tape'!$AV26)-MAX(6,'Loan Tape'!$AT26))*IF(I333&lt;=0,I30/MAX(1,'Loan Tape'!$AU26-7+1),I333*I30/(1-(1+I333)^(-MAX(1,'Loan Tape'!$AU26-7+1)))-I333*I30),0)))</f>
        <v>0</v>
      </c>
      <c r="J939" s="99" t="n">
        <f aca="false">IF(OR('Loan Tape'!$AN26=0,'Loan Tape'!$Z26="Interest Only",'Loan Tape'!$Z26=""),0,MIN(MAX(0,J30-J636),IFERROR(MAX(0,MIN(8,'Loan Tape'!$AV26)-MAX(7,'Loan Tape'!$AT26))*IF(J333&lt;=0,J30/MAX(1,'Loan Tape'!$AU26-8+1),J333*J30/(1-(1+J333)^(-MAX(1,'Loan Tape'!$AU26-8+1)))-J333*J30),0)))</f>
        <v>0</v>
      </c>
      <c r="K939" s="99" t="n">
        <f aca="false">IF(OR('Loan Tape'!$AN26=0,'Loan Tape'!$Z26="Interest Only",'Loan Tape'!$Z26=""),0,MIN(MAX(0,K30-K636),IFERROR(MAX(0,MIN(9,'Loan Tape'!$AV26)-MAX(8,'Loan Tape'!$AT26))*IF(K333&lt;=0,K30/MAX(1,'Loan Tape'!$AU26-9+1),K333*K30/(1-(1+K333)^(-MAX(1,'Loan Tape'!$AU26-9+1)))-K333*K30),0)))</f>
        <v>0</v>
      </c>
      <c r="L939" s="99" t="n">
        <f aca="false">IF(OR('Loan Tape'!$AN26=0,'Loan Tape'!$Z26="Interest Only",'Loan Tape'!$Z26=""),0,MIN(MAX(0,L30-L636),IFERROR(MAX(0,MIN(10,'Loan Tape'!$AV26)-MAX(9,'Loan Tape'!$AT26))*IF(L333&lt;=0,L30/MAX(1,'Loan Tape'!$AU26-10+1),L333*L30/(1-(1+L333)^(-MAX(1,'Loan Tape'!$AU26-10+1)))-L333*L30),0)))</f>
        <v>0</v>
      </c>
    </row>
    <row r="940" customFormat="false" ht="15" hidden="false" customHeight="false" outlineLevel="0" collapsed="false">
      <c r="B940" s="108" t="str">
        <f aca="false">'Loan Tape'!$A27</f>
        <v>L-024</v>
      </c>
      <c r="C940" s="71" t="n">
        <f aca="false">IF(OR('Loan Tape'!$AN27=0,'Loan Tape'!$Z27="Interest Only",'Loan Tape'!$Z27=""),0,MIN(MAX(0,C31-C637),IFERROR(MAX(0,MIN(1,'Loan Tape'!$AV27)-MAX(0,'Loan Tape'!$AT27))*IF(C334&lt;=0,C31/MAX(1,'Loan Tape'!$AU27-1+1),C334*C31/(1-(1+C334)^(-MAX(1,'Loan Tape'!$AU27-1+1)))-C334*C31),0)))</f>
        <v>0</v>
      </c>
      <c r="D940" s="71" t="n">
        <f aca="false">IF(OR('Loan Tape'!$AN27=0,'Loan Tape'!$Z27="Interest Only",'Loan Tape'!$Z27=""),0,MIN(MAX(0,D31-D637),IFERROR(MAX(0,MIN(2,'Loan Tape'!$AV27)-MAX(1,'Loan Tape'!$AT27))*IF(D334&lt;=0,D31/MAX(1,'Loan Tape'!$AU27-2+1),D334*D31/(1-(1+D334)^(-MAX(1,'Loan Tape'!$AU27-2+1)))-D334*D31),0)))</f>
        <v>0</v>
      </c>
      <c r="E940" s="71" t="n">
        <f aca="false">IF(OR('Loan Tape'!$AN27=0,'Loan Tape'!$Z27="Interest Only",'Loan Tape'!$Z27=""),0,MIN(MAX(0,E31-E637),IFERROR(MAX(0,MIN(3,'Loan Tape'!$AV27)-MAX(2,'Loan Tape'!$AT27))*IF(E334&lt;=0,E31/MAX(1,'Loan Tape'!$AU27-3+1),E334*E31/(1-(1+E334)^(-MAX(1,'Loan Tape'!$AU27-3+1)))-E334*E31),0)))</f>
        <v>0</v>
      </c>
      <c r="F940" s="71" t="n">
        <f aca="false">IF(OR('Loan Tape'!$AN27=0,'Loan Tape'!$Z27="Interest Only",'Loan Tape'!$Z27=""),0,MIN(MAX(0,F31-F637),IFERROR(MAX(0,MIN(4,'Loan Tape'!$AV27)-MAX(3,'Loan Tape'!$AT27))*IF(F334&lt;=0,F31/MAX(1,'Loan Tape'!$AU27-4+1),F334*F31/(1-(1+F334)^(-MAX(1,'Loan Tape'!$AU27-4+1)))-F334*F31),0)))</f>
        <v>0</v>
      </c>
      <c r="G940" s="71" t="n">
        <f aca="false">IF(OR('Loan Tape'!$AN27=0,'Loan Tape'!$Z27="Interest Only",'Loan Tape'!$Z27=""),0,MIN(MAX(0,G31-G637),IFERROR(MAX(0,MIN(5,'Loan Tape'!$AV27)-MAX(4,'Loan Tape'!$AT27))*IF(G334&lt;=0,G31/MAX(1,'Loan Tape'!$AU27-5+1),G334*G31/(1-(1+G334)^(-MAX(1,'Loan Tape'!$AU27-5+1)))-G334*G31),0)))</f>
        <v>0</v>
      </c>
      <c r="H940" s="71" t="n">
        <f aca="false">IF(OR('Loan Tape'!$AN27=0,'Loan Tape'!$Z27="Interest Only",'Loan Tape'!$Z27=""),0,MIN(MAX(0,H31-H637),IFERROR(MAX(0,MIN(6,'Loan Tape'!$AV27)-MAX(5,'Loan Tape'!$AT27))*IF(H334&lt;=0,H31/MAX(1,'Loan Tape'!$AU27-6+1),H334*H31/(1-(1+H334)^(-MAX(1,'Loan Tape'!$AU27-6+1)))-H334*H31),0)))</f>
        <v>0</v>
      </c>
      <c r="I940" s="71" t="n">
        <f aca="false">IF(OR('Loan Tape'!$AN27=0,'Loan Tape'!$Z27="Interest Only",'Loan Tape'!$Z27=""),0,MIN(MAX(0,I31-I637),IFERROR(MAX(0,MIN(7,'Loan Tape'!$AV27)-MAX(6,'Loan Tape'!$AT27))*IF(I334&lt;=0,I31/MAX(1,'Loan Tape'!$AU27-7+1),I334*I31/(1-(1+I334)^(-MAX(1,'Loan Tape'!$AU27-7+1)))-I334*I31),0)))</f>
        <v>0</v>
      </c>
      <c r="J940" s="71" t="n">
        <f aca="false">IF(OR('Loan Tape'!$AN27=0,'Loan Tape'!$Z27="Interest Only",'Loan Tape'!$Z27=""),0,MIN(MAX(0,J31-J637),IFERROR(MAX(0,MIN(8,'Loan Tape'!$AV27)-MAX(7,'Loan Tape'!$AT27))*IF(J334&lt;=0,J31/MAX(1,'Loan Tape'!$AU27-8+1),J334*J31/(1-(1+J334)^(-MAX(1,'Loan Tape'!$AU27-8+1)))-J334*J31),0)))</f>
        <v>0</v>
      </c>
      <c r="K940" s="71" t="n">
        <f aca="false">IF(OR('Loan Tape'!$AN27=0,'Loan Tape'!$Z27="Interest Only",'Loan Tape'!$Z27=""),0,MIN(MAX(0,K31-K637),IFERROR(MAX(0,MIN(9,'Loan Tape'!$AV27)-MAX(8,'Loan Tape'!$AT27))*IF(K334&lt;=0,K31/MAX(1,'Loan Tape'!$AU27-9+1),K334*K31/(1-(1+K334)^(-MAX(1,'Loan Tape'!$AU27-9+1)))-K334*K31),0)))</f>
        <v>0</v>
      </c>
      <c r="L940" s="71" t="n">
        <f aca="false">IF(OR('Loan Tape'!$AN27=0,'Loan Tape'!$Z27="Interest Only",'Loan Tape'!$Z27=""),0,MIN(MAX(0,L31-L637),IFERROR(MAX(0,MIN(10,'Loan Tape'!$AV27)-MAX(9,'Loan Tape'!$AT27))*IF(L334&lt;=0,L31/MAX(1,'Loan Tape'!$AU27-10+1),L334*L31/(1-(1+L334)^(-MAX(1,'Loan Tape'!$AU27-10+1)))-L334*L31),0)))</f>
        <v>0</v>
      </c>
    </row>
    <row r="941" customFormat="false" ht="15" hidden="false" customHeight="false" outlineLevel="0" collapsed="false">
      <c r="B941" s="102" t="str">
        <f aca="false">'Loan Tape'!$A28</f>
        <v>L-025</v>
      </c>
      <c r="C941" s="99" t="n">
        <f aca="false">IF(OR('Loan Tape'!$AN28=0,'Loan Tape'!$Z28="Interest Only",'Loan Tape'!$Z28=""),0,MIN(MAX(0,C32-C638),IFERROR(MAX(0,MIN(1,'Loan Tape'!$AV28)-MAX(0,'Loan Tape'!$AT28))*IF(C335&lt;=0,C32/MAX(1,'Loan Tape'!$AU28-1+1),C335*C32/(1-(1+C335)^(-MAX(1,'Loan Tape'!$AU28-1+1)))-C335*C32),0)))</f>
        <v>273384.724452234</v>
      </c>
      <c r="D941" s="99" t="n">
        <f aca="false">IF(OR('Loan Tape'!$AN28=0,'Loan Tape'!$Z28="Interest Only",'Loan Tape'!$Z28=""),0,MIN(MAX(0,D32-D638),IFERROR(MAX(0,MIN(2,'Loan Tape'!$AV28)-MAX(1,'Loan Tape'!$AT28))*IF(D335&lt;=0,D32/MAX(1,'Loan Tape'!$AU28-2+1),D335*D32/(1-(1+D335)^(-MAX(1,'Loan Tape'!$AU28-2+1)))-D335*D32),0)))</f>
        <v>252581.906245239</v>
      </c>
      <c r="E941" s="99" t="n">
        <f aca="false">IF(OR('Loan Tape'!$AN28=0,'Loan Tape'!$Z28="Interest Only",'Loan Tape'!$Z28=""),0,MIN(MAX(0,E32-E638),IFERROR(MAX(0,MIN(3,'Loan Tape'!$AV28)-MAX(2,'Loan Tape'!$AT28))*IF(E335&lt;=0,E32/MAX(1,'Loan Tape'!$AU28-3+1),E335*E32/(1-(1+E335)^(-MAX(1,'Loan Tape'!$AU28-3+1)))-E335*E32),0)))</f>
        <v>233317.586824053</v>
      </c>
      <c r="F941" s="99" t="n">
        <f aca="false">IF(OR('Loan Tape'!$AN28=0,'Loan Tape'!$Z28="Interest Only",'Loan Tape'!$Z28=""),0,MIN(MAX(0,F32-F638),IFERROR(MAX(0,MIN(4,'Loan Tape'!$AV28)-MAX(3,'Loan Tape'!$AT28))*IF(F335&lt;=0,F32/MAX(1,'Loan Tape'!$AU28-4+1),F335*F32/(1-(1+F335)^(-MAX(1,'Loan Tape'!$AU28-4+1)))-F335*F32),0)))</f>
        <v>55012.3893903598</v>
      </c>
      <c r="G941" s="99" t="n">
        <f aca="false">IF(OR('Loan Tape'!$AN28=0,'Loan Tape'!$Z28="Interest Only",'Loan Tape'!$Z28=""),0,MIN(MAX(0,G32-G638),IFERROR(MAX(0,MIN(5,'Loan Tape'!$AV28)-MAX(4,'Loan Tape'!$AT28))*IF(G335&lt;=0,G32/MAX(1,'Loan Tape'!$AU28-5+1),G335*G32/(1-(1+G335)^(-MAX(1,'Loan Tape'!$AU28-5+1)))-G335*G32),0)))</f>
        <v>0</v>
      </c>
      <c r="H941" s="99" t="n">
        <f aca="false">IF(OR('Loan Tape'!$AN28=0,'Loan Tape'!$Z28="Interest Only",'Loan Tape'!$Z28=""),0,MIN(MAX(0,H32-H638),IFERROR(MAX(0,MIN(6,'Loan Tape'!$AV28)-MAX(5,'Loan Tape'!$AT28))*IF(H335&lt;=0,H32/MAX(1,'Loan Tape'!$AU28-6+1),H335*H32/(1-(1+H335)^(-MAX(1,'Loan Tape'!$AU28-6+1)))-H335*H32),0)))</f>
        <v>0</v>
      </c>
      <c r="I941" s="99" t="n">
        <f aca="false">IF(OR('Loan Tape'!$AN28=0,'Loan Tape'!$Z28="Interest Only",'Loan Tape'!$Z28=""),0,MIN(MAX(0,I32-I638),IFERROR(MAX(0,MIN(7,'Loan Tape'!$AV28)-MAX(6,'Loan Tape'!$AT28))*IF(I335&lt;=0,I32/MAX(1,'Loan Tape'!$AU28-7+1),I335*I32/(1-(1+I335)^(-MAX(1,'Loan Tape'!$AU28-7+1)))-I335*I32),0)))</f>
        <v>0</v>
      </c>
      <c r="J941" s="99" t="n">
        <f aca="false">IF(OR('Loan Tape'!$AN28=0,'Loan Tape'!$Z28="Interest Only",'Loan Tape'!$Z28=""),0,MIN(MAX(0,J32-J638),IFERROR(MAX(0,MIN(8,'Loan Tape'!$AV28)-MAX(7,'Loan Tape'!$AT28))*IF(J335&lt;=0,J32/MAX(1,'Loan Tape'!$AU28-8+1),J335*J32/(1-(1+J335)^(-MAX(1,'Loan Tape'!$AU28-8+1)))-J335*J32),0)))</f>
        <v>0</v>
      </c>
      <c r="K941" s="99" t="n">
        <f aca="false">IF(OR('Loan Tape'!$AN28=0,'Loan Tape'!$Z28="Interest Only",'Loan Tape'!$Z28=""),0,MIN(MAX(0,K32-K638),IFERROR(MAX(0,MIN(9,'Loan Tape'!$AV28)-MAX(8,'Loan Tape'!$AT28))*IF(K335&lt;=0,K32/MAX(1,'Loan Tape'!$AU28-9+1),K335*K32/(1-(1+K335)^(-MAX(1,'Loan Tape'!$AU28-9+1)))-K335*K32),0)))</f>
        <v>0</v>
      </c>
      <c r="L941" s="99" t="n">
        <f aca="false">IF(OR('Loan Tape'!$AN28=0,'Loan Tape'!$Z28="Interest Only",'Loan Tape'!$Z28=""),0,MIN(MAX(0,L32-L638),IFERROR(MAX(0,MIN(10,'Loan Tape'!$AV28)-MAX(9,'Loan Tape'!$AT28))*IF(L335&lt;=0,L32/MAX(1,'Loan Tape'!$AU28-10+1),L335*L32/(1-(1+L335)^(-MAX(1,'Loan Tape'!$AU28-10+1)))-L335*L32),0)))</f>
        <v>0</v>
      </c>
    </row>
    <row r="942" customFormat="false" ht="15" hidden="false" customHeight="false" outlineLevel="0" collapsed="false">
      <c r="B942" s="108" t="str">
        <f aca="false">'Loan Tape'!$A29</f>
        <v>L-026</v>
      </c>
      <c r="C942" s="71" t="n">
        <f aca="false">IF(OR('Loan Tape'!$AN29=0,'Loan Tape'!$Z29="Interest Only",'Loan Tape'!$Z29=""),0,MIN(MAX(0,C33-C639),IFERROR(MAX(0,MIN(1,'Loan Tape'!$AV29)-MAX(0,'Loan Tape'!$AT29))*IF(C336&lt;=0,C33/MAX(1,'Loan Tape'!$AU29-1+1),C336*C33/(1-(1+C336)^(-MAX(1,'Loan Tape'!$AU29-1+1)))-C336*C33),0)))</f>
        <v>0</v>
      </c>
      <c r="D942" s="71" t="n">
        <f aca="false">IF(OR('Loan Tape'!$AN29=0,'Loan Tape'!$Z29="Interest Only",'Loan Tape'!$Z29=""),0,MIN(MAX(0,D33-D639),IFERROR(MAX(0,MIN(2,'Loan Tape'!$AV29)-MAX(1,'Loan Tape'!$AT29))*IF(D336&lt;=0,D33/MAX(1,'Loan Tape'!$AU29-2+1),D336*D33/(1-(1+D336)^(-MAX(1,'Loan Tape'!$AU29-2+1)))-D336*D33),0)))</f>
        <v>0</v>
      </c>
      <c r="E942" s="71" t="n">
        <f aca="false">IF(OR('Loan Tape'!$AN29=0,'Loan Tape'!$Z29="Interest Only",'Loan Tape'!$Z29=""),0,MIN(MAX(0,E33-E639),IFERROR(MAX(0,MIN(3,'Loan Tape'!$AV29)-MAX(2,'Loan Tape'!$AT29))*IF(E336&lt;=0,E33/MAX(1,'Loan Tape'!$AU29-3+1),E336*E33/(1-(1+E336)^(-MAX(1,'Loan Tape'!$AU29-3+1)))-E336*E33),0)))</f>
        <v>0</v>
      </c>
      <c r="F942" s="71" t="n">
        <f aca="false">IF(OR('Loan Tape'!$AN29=0,'Loan Tape'!$Z29="Interest Only",'Loan Tape'!$Z29=""),0,MIN(MAX(0,F33-F639),IFERROR(MAX(0,MIN(4,'Loan Tape'!$AV29)-MAX(3,'Loan Tape'!$AT29))*IF(F336&lt;=0,F33/MAX(1,'Loan Tape'!$AU29-4+1),F336*F33/(1-(1+F336)^(-MAX(1,'Loan Tape'!$AU29-4+1)))-F336*F33),0)))</f>
        <v>0</v>
      </c>
      <c r="G942" s="71" t="n">
        <f aca="false">IF(OR('Loan Tape'!$AN29=0,'Loan Tape'!$Z29="Interest Only",'Loan Tape'!$Z29=""),0,MIN(MAX(0,G33-G639),IFERROR(MAX(0,MIN(5,'Loan Tape'!$AV29)-MAX(4,'Loan Tape'!$AT29))*IF(G336&lt;=0,G33/MAX(1,'Loan Tape'!$AU29-5+1),G336*G33/(1-(1+G336)^(-MAX(1,'Loan Tape'!$AU29-5+1)))-G336*G33),0)))</f>
        <v>0</v>
      </c>
      <c r="H942" s="71" t="n">
        <f aca="false">IF(OR('Loan Tape'!$AN29=0,'Loan Tape'!$Z29="Interest Only",'Loan Tape'!$Z29=""),0,MIN(MAX(0,H33-H639),IFERROR(MAX(0,MIN(6,'Loan Tape'!$AV29)-MAX(5,'Loan Tape'!$AT29))*IF(H336&lt;=0,H33/MAX(1,'Loan Tape'!$AU29-6+1),H336*H33/(1-(1+H336)^(-MAX(1,'Loan Tape'!$AU29-6+1)))-H336*H33),0)))</f>
        <v>0</v>
      </c>
      <c r="I942" s="71" t="n">
        <f aca="false">IF(OR('Loan Tape'!$AN29=0,'Loan Tape'!$Z29="Interest Only",'Loan Tape'!$Z29=""),0,MIN(MAX(0,I33-I639),IFERROR(MAX(0,MIN(7,'Loan Tape'!$AV29)-MAX(6,'Loan Tape'!$AT29))*IF(I336&lt;=0,I33/MAX(1,'Loan Tape'!$AU29-7+1),I336*I33/(1-(1+I336)^(-MAX(1,'Loan Tape'!$AU29-7+1)))-I336*I33),0)))</f>
        <v>0</v>
      </c>
      <c r="J942" s="71" t="n">
        <f aca="false">IF(OR('Loan Tape'!$AN29=0,'Loan Tape'!$Z29="Interest Only",'Loan Tape'!$Z29=""),0,MIN(MAX(0,J33-J639),IFERROR(MAX(0,MIN(8,'Loan Tape'!$AV29)-MAX(7,'Loan Tape'!$AT29))*IF(J336&lt;=0,J33/MAX(1,'Loan Tape'!$AU29-8+1),J336*J33/(1-(1+J336)^(-MAX(1,'Loan Tape'!$AU29-8+1)))-J336*J33),0)))</f>
        <v>0</v>
      </c>
      <c r="K942" s="71" t="n">
        <f aca="false">IF(OR('Loan Tape'!$AN29=0,'Loan Tape'!$Z29="Interest Only",'Loan Tape'!$Z29=""),0,MIN(MAX(0,K33-K639),IFERROR(MAX(0,MIN(9,'Loan Tape'!$AV29)-MAX(8,'Loan Tape'!$AT29))*IF(K336&lt;=0,K33/MAX(1,'Loan Tape'!$AU29-9+1),K336*K33/(1-(1+K336)^(-MAX(1,'Loan Tape'!$AU29-9+1)))-K336*K33),0)))</f>
        <v>0</v>
      </c>
      <c r="L942" s="71" t="n">
        <f aca="false">IF(OR('Loan Tape'!$AN29=0,'Loan Tape'!$Z29="Interest Only",'Loan Tape'!$Z29=""),0,MIN(MAX(0,L33-L639),IFERROR(MAX(0,MIN(10,'Loan Tape'!$AV29)-MAX(9,'Loan Tape'!$AT29))*IF(L336&lt;=0,L33/MAX(1,'Loan Tape'!$AU29-10+1),L336*L33/(1-(1+L336)^(-MAX(1,'Loan Tape'!$AU29-10+1)))-L336*L33),0)))</f>
        <v>0</v>
      </c>
    </row>
    <row r="943" customFormat="false" ht="15" hidden="false" customHeight="false" outlineLevel="0" collapsed="false">
      <c r="B943" s="102" t="str">
        <f aca="false">'Loan Tape'!$A30</f>
        <v>L-027</v>
      </c>
      <c r="C943" s="99" t="n">
        <f aca="false">IF(OR('Loan Tape'!$AN30=0,'Loan Tape'!$Z30="Interest Only",'Loan Tape'!$Z30=""),0,MIN(MAX(0,C34-C640),IFERROR(MAX(0,MIN(1,'Loan Tape'!$AV30)-MAX(0,'Loan Tape'!$AT30))*IF(C337&lt;=0,C34/MAX(1,'Loan Tape'!$AU30-1+1),C337*C34/(1-(1+C337)^(-MAX(1,'Loan Tape'!$AU30-1+1)))-C337*C34),0)))</f>
        <v>0</v>
      </c>
      <c r="D943" s="99" t="n">
        <f aca="false">IF(OR('Loan Tape'!$AN30=0,'Loan Tape'!$Z30="Interest Only",'Loan Tape'!$Z30=""),0,MIN(MAX(0,D34-D640),IFERROR(MAX(0,MIN(2,'Loan Tape'!$AV30)-MAX(1,'Loan Tape'!$AT30))*IF(D337&lt;=0,D34/MAX(1,'Loan Tape'!$AU30-2+1),D337*D34/(1-(1+D337)^(-MAX(1,'Loan Tape'!$AU30-2+1)))-D337*D34),0)))</f>
        <v>0</v>
      </c>
      <c r="E943" s="99" t="n">
        <f aca="false">IF(OR('Loan Tape'!$AN30=0,'Loan Tape'!$Z30="Interest Only",'Loan Tape'!$Z30=""),0,MIN(MAX(0,E34-E640),IFERROR(MAX(0,MIN(3,'Loan Tape'!$AV30)-MAX(2,'Loan Tape'!$AT30))*IF(E337&lt;=0,E34/MAX(1,'Loan Tape'!$AU30-3+1),E337*E34/(1-(1+E337)^(-MAX(1,'Loan Tape'!$AU30-3+1)))-E337*E34),0)))</f>
        <v>0</v>
      </c>
      <c r="F943" s="99" t="n">
        <f aca="false">IF(OR('Loan Tape'!$AN30=0,'Loan Tape'!$Z30="Interest Only",'Loan Tape'!$Z30=""),0,MIN(MAX(0,F34-F640),IFERROR(MAX(0,MIN(4,'Loan Tape'!$AV30)-MAX(3,'Loan Tape'!$AT30))*IF(F337&lt;=0,F34/MAX(1,'Loan Tape'!$AU30-4+1),F337*F34/(1-(1+F337)^(-MAX(1,'Loan Tape'!$AU30-4+1)))-F337*F34),0)))</f>
        <v>0</v>
      </c>
      <c r="G943" s="99" t="n">
        <f aca="false">IF(OR('Loan Tape'!$AN30=0,'Loan Tape'!$Z30="Interest Only",'Loan Tape'!$Z30=""),0,MIN(MAX(0,G34-G640),IFERROR(MAX(0,MIN(5,'Loan Tape'!$AV30)-MAX(4,'Loan Tape'!$AT30))*IF(G337&lt;=0,G34/MAX(1,'Loan Tape'!$AU30-5+1),G337*G34/(1-(1+G337)^(-MAX(1,'Loan Tape'!$AU30-5+1)))-G337*G34),0)))</f>
        <v>0</v>
      </c>
      <c r="H943" s="99" t="n">
        <f aca="false">IF(OR('Loan Tape'!$AN30=0,'Loan Tape'!$Z30="Interest Only",'Loan Tape'!$Z30=""),0,MIN(MAX(0,H34-H640),IFERROR(MAX(0,MIN(6,'Loan Tape'!$AV30)-MAX(5,'Loan Tape'!$AT30))*IF(H337&lt;=0,H34/MAX(1,'Loan Tape'!$AU30-6+1),H337*H34/(1-(1+H337)^(-MAX(1,'Loan Tape'!$AU30-6+1)))-H337*H34),0)))</f>
        <v>0</v>
      </c>
      <c r="I943" s="99" t="n">
        <f aca="false">IF(OR('Loan Tape'!$AN30=0,'Loan Tape'!$Z30="Interest Only",'Loan Tape'!$Z30=""),0,MIN(MAX(0,I34-I640),IFERROR(MAX(0,MIN(7,'Loan Tape'!$AV30)-MAX(6,'Loan Tape'!$AT30))*IF(I337&lt;=0,I34/MAX(1,'Loan Tape'!$AU30-7+1),I337*I34/(1-(1+I337)^(-MAX(1,'Loan Tape'!$AU30-7+1)))-I337*I34),0)))</f>
        <v>0</v>
      </c>
      <c r="J943" s="99" t="n">
        <f aca="false">IF(OR('Loan Tape'!$AN30=0,'Loan Tape'!$Z30="Interest Only",'Loan Tape'!$Z30=""),0,MIN(MAX(0,J34-J640),IFERROR(MAX(0,MIN(8,'Loan Tape'!$AV30)-MAX(7,'Loan Tape'!$AT30))*IF(J337&lt;=0,J34/MAX(1,'Loan Tape'!$AU30-8+1),J337*J34/(1-(1+J337)^(-MAX(1,'Loan Tape'!$AU30-8+1)))-J337*J34),0)))</f>
        <v>0</v>
      </c>
      <c r="K943" s="99" t="n">
        <f aca="false">IF(OR('Loan Tape'!$AN30=0,'Loan Tape'!$Z30="Interest Only",'Loan Tape'!$Z30=""),0,MIN(MAX(0,K34-K640),IFERROR(MAX(0,MIN(9,'Loan Tape'!$AV30)-MAX(8,'Loan Tape'!$AT30))*IF(K337&lt;=0,K34/MAX(1,'Loan Tape'!$AU30-9+1),K337*K34/(1-(1+K337)^(-MAX(1,'Loan Tape'!$AU30-9+1)))-K337*K34),0)))</f>
        <v>0</v>
      </c>
      <c r="L943" s="99" t="n">
        <f aca="false">IF(OR('Loan Tape'!$AN30=0,'Loan Tape'!$Z30="Interest Only",'Loan Tape'!$Z30=""),0,MIN(MAX(0,L34-L640),IFERROR(MAX(0,MIN(10,'Loan Tape'!$AV30)-MAX(9,'Loan Tape'!$AT30))*IF(L337&lt;=0,L34/MAX(1,'Loan Tape'!$AU30-10+1),L337*L34/(1-(1+L337)^(-MAX(1,'Loan Tape'!$AU30-10+1)))-L337*L34),0)))</f>
        <v>0</v>
      </c>
    </row>
    <row r="944" customFormat="false" ht="15" hidden="false" customHeight="false" outlineLevel="0" collapsed="false">
      <c r="B944" s="108" t="str">
        <f aca="false">'Loan Tape'!$A31</f>
        <v>L-028</v>
      </c>
      <c r="C944" s="71" t="n">
        <f aca="false">IF(OR('Loan Tape'!$AN31=0,'Loan Tape'!$Z31="Interest Only",'Loan Tape'!$Z31=""),0,MIN(MAX(0,C35-C641),IFERROR(MAX(0,MIN(1,'Loan Tape'!$AV31)-MAX(0,'Loan Tape'!$AT31))*IF(C338&lt;=0,C35/MAX(1,'Loan Tape'!$AU31-1+1),C338*C35/(1-(1+C338)^(-MAX(1,'Loan Tape'!$AU31-1+1)))-C338*C35),0)))</f>
        <v>0</v>
      </c>
      <c r="D944" s="71" t="n">
        <f aca="false">IF(OR('Loan Tape'!$AN31=0,'Loan Tape'!$Z31="Interest Only",'Loan Tape'!$Z31=""),0,MIN(MAX(0,D35-D641),IFERROR(MAX(0,MIN(2,'Loan Tape'!$AV31)-MAX(1,'Loan Tape'!$AT31))*IF(D338&lt;=0,D35/MAX(1,'Loan Tape'!$AU31-2+1),D338*D35/(1-(1+D338)^(-MAX(1,'Loan Tape'!$AU31-2+1)))-D338*D35),0)))</f>
        <v>0</v>
      </c>
      <c r="E944" s="71" t="n">
        <f aca="false">IF(OR('Loan Tape'!$AN31=0,'Loan Tape'!$Z31="Interest Only",'Loan Tape'!$Z31=""),0,MIN(MAX(0,E35-E641),IFERROR(MAX(0,MIN(3,'Loan Tape'!$AV31)-MAX(2,'Loan Tape'!$AT31))*IF(E338&lt;=0,E35/MAX(1,'Loan Tape'!$AU31-3+1),E338*E35/(1-(1+E338)^(-MAX(1,'Loan Tape'!$AU31-3+1)))-E338*E35),0)))</f>
        <v>0</v>
      </c>
      <c r="F944" s="71" t="n">
        <f aca="false">IF(OR('Loan Tape'!$AN31=0,'Loan Tape'!$Z31="Interest Only",'Loan Tape'!$Z31=""),0,MIN(MAX(0,F35-F641),IFERROR(MAX(0,MIN(4,'Loan Tape'!$AV31)-MAX(3,'Loan Tape'!$AT31))*IF(F338&lt;=0,F35/MAX(1,'Loan Tape'!$AU31-4+1),F338*F35/(1-(1+F338)^(-MAX(1,'Loan Tape'!$AU31-4+1)))-F338*F35),0)))</f>
        <v>0</v>
      </c>
      <c r="G944" s="71" t="n">
        <f aca="false">IF(OR('Loan Tape'!$AN31=0,'Loan Tape'!$Z31="Interest Only",'Loan Tape'!$Z31=""),0,MIN(MAX(0,G35-G641),IFERROR(MAX(0,MIN(5,'Loan Tape'!$AV31)-MAX(4,'Loan Tape'!$AT31))*IF(G338&lt;=0,G35/MAX(1,'Loan Tape'!$AU31-5+1),G338*G35/(1-(1+G338)^(-MAX(1,'Loan Tape'!$AU31-5+1)))-G338*G35),0)))</f>
        <v>0</v>
      </c>
      <c r="H944" s="71" t="n">
        <f aca="false">IF(OR('Loan Tape'!$AN31=0,'Loan Tape'!$Z31="Interest Only",'Loan Tape'!$Z31=""),0,MIN(MAX(0,H35-H641),IFERROR(MAX(0,MIN(6,'Loan Tape'!$AV31)-MAX(5,'Loan Tape'!$AT31))*IF(H338&lt;=0,H35/MAX(1,'Loan Tape'!$AU31-6+1),H338*H35/(1-(1+H338)^(-MAX(1,'Loan Tape'!$AU31-6+1)))-H338*H35),0)))</f>
        <v>0</v>
      </c>
      <c r="I944" s="71" t="n">
        <f aca="false">IF(OR('Loan Tape'!$AN31=0,'Loan Tape'!$Z31="Interest Only",'Loan Tape'!$Z31=""),0,MIN(MAX(0,I35-I641),IFERROR(MAX(0,MIN(7,'Loan Tape'!$AV31)-MAX(6,'Loan Tape'!$AT31))*IF(I338&lt;=0,I35/MAX(1,'Loan Tape'!$AU31-7+1),I338*I35/(1-(1+I338)^(-MAX(1,'Loan Tape'!$AU31-7+1)))-I338*I35),0)))</f>
        <v>0</v>
      </c>
      <c r="J944" s="71" t="n">
        <f aca="false">IF(OR('Loan Tape'!$AN31=0,'Loan Tape'!$Z31="Interest Only",'Loan Tape'!$Z31=""),0,MIN(MAX(0,J35-J641),IFERROR(MAX(0,MIN(8,'Loan Tape'!$AV31)-MAX(7,'Loan Tape'!$AT31))*IF(J338&lt;=0,J35/MAX(1,'Loan Tape'!$AU31-8+1),J338*J35/(1-(1+J338)^(-MAX(1,'Loan Tape'!$AU31-8+1)))-J338*J35),0)))</f>
        <v>0</v>
      </c>
      <c r="K944" s="71" t="n">
        <f aca="false">IF(OR('Loan Tape'!$AN31=0,'Loan Tape'!$Z31="Interest Only",'Loan Tape'!$Z31=""),0,MIN(MAX(0,K35-K641),IFERROR(MAX(0,MIN(9,'Loan Tape'!$AV31)-MAX(8,'Loan Tape'!$AT31))*IF(K338&lt;=0,K35/MAX(1,'Loan Tape'!$AU31-9+1),K338*K35/(1-(1+K338)^(-MAX(1,'Loan Tape'!$AU31-9+1)))-K338*K35),0)))</f>
        <v>0</v>
      </c>
      <c r="L944" s="71" t="n">
        <f aca="false">IF(OR('Loan Tape'!$AN31=0,'Loan Tape'!$Z31="Interest Only",'Loan Tape'!$Z31=""),0,MIN(MAX(0,L35-L641),IFERROR(MAX(0,MIN(10,'Loan Tape'!$AV31)-MAX(9,'Loan Tape'!$AT31))*IF(L338&lt;=0,L35/MAX(1,'Loan Tape'!$AU31-10+1),L338*L35/(1-(1+L338)^(-MAX(1,'Loan Tape'!$AU31-10+1)))-L338*L35),0)))</f>
        <v>0</v>
      </c>
    </row>
    <row r="945" customFormat="false" ht="15" hidden="false" customHeight="false" outlineLevel="0" collapsed="false">
      <c r="B945" s="102" t="str">
        <f aca="false">'Loan Tape'!$A32</f>
        <v>L-029</v>
      </c>
      <c r="C945" s="99" t="n">
        <f aca="false">IF(OR('Loan Tape'!$AN32=0,'Loan Tape'!$Z32="Interest Only",'Loan Tape'!$Z32=""),0,MIN(MAX(0,C36-C642),IFERROR(MAX(0,MIN(1,'Loan Tape'!$AV32)-MAX(0,'Loan Tape'!$AT32))*IF(C339&lt;=0,C36/MAX(1,'Loan Tape'!$AU32-1+1),C339*C36/(1-(1+C339)^(-MAX(1,'Loan Tape'!$AU32-1+1)))-C339*C36),0)))</f>
        <v>0</v>
      </c>
      <c r="D945" s="99" t="n">
        <f aca="false">IF(OR('Loan Tape'!$AN32=0,'Loan Tape'!$Z32="Interest Only",'Loan Tape'!$Z32=""),0,MIN(MAX(0,D36-D642),IFERROR(MAX(0,MIN(2,'Loan Tape'!$AV32)-MAX(1,'Loan Tape'!$AT32))*IF(D339&lt;=0,D36/MAX(1,'Loan Tape'!$AU32-2+1),D339*D36/(1-(1+D339)^(-MAX(1,'Loan Tape'!$AU32-2+1)))-D339*D36),0)))</f>
        <v>0</v>
      </c>
      <c r="E945" s="99" t="n">
        <f aca="false">IF(OR('Loan Tape'!$AN32=0,'Loan Tape'!$Z32="Interest Only",'Loan Tape'!$Z32=""),0,MIN(MAX(0,E36-E642),IFERROR(MAX(0,MIN(3,'Loan Tape'!$AV32)-MAX(2,'Loan Tape'!$AT32))*IF(E339&lt;=0,E36/MAX(1,'Loan Tape'!$AU32-3+1),E339*E36/(1-(1+E339)^(-MAX(1,'Loan Tape'!$AU32-3+1)))-E339*E36),0)))</f>
        <v>0</v>
      </c>
      <c r="F945" s="99" t="n">
        <f aca="false">IF(OR('Loan Tape'!$AN32=0,'Loan Tape'!$Z32="Interest Only",'Loan Tape'!$Z32=""),0,MIN(MAX(0,F36-F642),IFERROR(MAX(0,MIN(4,'Loan Tape'!$AV32)-MAX(3,'Loan Tape'!$AT32))*IF(F339&lt;=0,F36/MAX(1,'Loan Tape'!$AU32-4+1),F339*F36/(1-(1+F339)^(-MAX(1,'Loan Tape'!$AU32-4+1)))-F339*F36),0)))</f>
        <v>0</v>
      </c>
      <c r="G945" s="99" t="n">
        <f aca="false">IF(OR('Loan Tape'!$AN32=0,'Loan Tape'!$Z32="Interest Only",'Loan Tape'!$Z32=""),0,MIN(MAX(0,G36-G642),IFERROR(MAX(0,MIN(5,'Loan Tape'!$AV32)-MAX(4,'Loan Tape'!$AT32))*IF(G339&lt;=0,G36/MAX(1,'Loan Tape'!$AU32-5+1),G339*G36/(1-(1+G339)^(-MAX(1,'Loan Tape'!$AU32-5+1)))-G339*G36),0)))</f>
        <v>0</v>
      </c>
      <c r="H945" s="99" t="n">
        <f aca="false">IF(OR('Loan Tape'!$AN32=0,'Loan Tape'!$Z32="Interest Only",'Loan Tape'!$Z32=""),0,MIN(MAX(0,H36-H642),IFERROR(MAX(0,MIN(6,'Loan Tape'!$AV32)-MAX(5,'Loan Tape'!$AT32))*IF(H339&lt;=0,H36/MAX(1,'Loan Tape'!$AU32-6+1),H339*H36/(1-(1+H339)^(-MAX(1,'Loan Tape'!$AU32-6+1)))-H339*H36),0)))</f>
        <v>0</v>
      </c>
      <c r="I945" s="99" t="n">
        <f aca="false">IF(OR('Loan Tape'!$AN32=0,'Loan Tape'!$Z32="Interest Only",'Loan Tape'!$Z32=""),0,MIN(MAX(0,I36-I642),IFERROR(MAX(0,MIN(7,'Loan Tape'!$AV32)-MAX(6,'Loan Tape'!$AT32))*IF(I339&lt;=0,I36/MAX(1,'Loan Tape'!$AU32-7+1),I339*I36/(1-(1+I339)^(-MAX(1,'Loan Tape'!$AU32-7+1)))-I339*I36),0)))</f>
        <v>0</v>
      </c>
      <c r="J945" s="99" t="n">
        <f aca="false">IF(OR('Loan Tape'!$AN32=0,'Loan Tape'!$Z32="Interest Only",'Loan Tape'!$Z32=""),0,MIN(MAX(0,J36-J642),IFERROR(MAX(0,MIN(8,'Loan Tape'!$AV32)-MAX(7,'Loan Tape'!$AT32))*IF(J339&lt;=0,J36/MAX(1,'Loan Tape'!$AU32-8+1),J339*J36/(1-(1+J339)^(-MAX(1,'Loan Tape'!$AU32-8+1)))-J339*J36),0)))</f>
        <v>0</v>
      </c>
      <c r="K945" s="99" t="n">
        <f aca="false">IF(OR('Loan Tape'!$AN32=0,'Loan Tape'!$Z32="Interest Only",'Loan Tape'!$Z32=""),0,MIN(MAX(0,K36-K642),IFERROR(MAX(0,MIN(9,'Loan Tape'!$AV32)-MAX(8,'Loan Tape'!$AT32))*IF(K339&lt;=0,K36/MAX(1,'Loan Tape'!$AU32-9+1),K339*K36/(1-(1+K339)^(-MAX(1,'Loan Tape'!$AU32-9+1)))-K339*K36),0)))</f>
        <v>0</v>
      </c>
      <c r="L945" s="99" t="n">
        <f aca="false">IF(OR('Loan Tape'!$AN32=0,'Loan Tape'!$Z32="Interest Only",'Loan Tape'!$Z32=""),0,MIN(MAX(0,L36-L642),IFERROR(MAX(0,MIN(10,'Loan Tape'!$AV32)-MAX(9,'Loan Tape'!$AT32))*IF(L339&lt;=0,L36/MAX(1,'Loan Tape'!$AU32-10+1),L339*L36/(1-(1+L339)^(-MAX(1,'Loan Tape'!$AU32-10+1)))-L339*L36),0)))</f>
        <v>0</v>
      </c>
    </row>
    <row r="946" customFormat="false" ht="15" hidden="false" customHeight="false" outlineLevel="0" collapsed="false">
      <c r="B946" s="108" t="str">
        <f aca="false">'Loan Tape'!$A33</f>
        <v>L-030</v>
      </c>
      <c r="C946" s="71" t="n">
        <f aca="false">IF(OR('Loan Tape'!$AN33=0,'Loan Tape'!$Z33="Interest Only",'Loan Tape'!$Z33=""),0,MIN(MAX(0,C37-C643),IFERROR(MAX(0,MIN(1,'Loan Tape'!$AV33)-MAX(0,'Loan Tape'!$AT33))*IF(C340&lt;=0,C37/MAX(1,'Loan Tape'!$AU33-1+1),C340*C37/(1-(1+C340)^(-MAX(1,'Loan Tape'!$AU33-1+1)))-C340*C37),0)))</f>
        <v>208154.933160062</v>
      </c>
      <c r="D946" s="71" t="n">
        <f aca="false">IF(OR('Loan Tape'!$AN33=0,'Loan Tape'!$Z33="Interest Only",'Loan Tape'!$Z33=""),0,MIN(MAX(0,D37-D643),IFERROR(MAX(0,MIN(2,'Loan Tape'!$AV33)-MAX(1,'Loan Tape'!$AT33))*IF(D340&lt;=0,D37/MAX(1,'Loan Tape'!$AU33-2+1),D340*D37/(1-(1+D340)^(-MAX(1,'Loan Tape'!$AU33-2+1)))-D340*D37),0)))</f>
        <v>207849.766493505</v>
      </c>
      <c r="E946" s="71" t="n">
        <f aca="false">IF(OR('Loan Tape'!$AN33=0,'Loan Tape'!$Z33="Interest Only",'Loan Tape'!$Z33=""),0,MIN(MAX(0,E37-E643),IFERROR(MAX(0,MIN(3,'Loan Tape'!$AV33)-MAX(2,'Loan Tape'!$AT33))*IF(E340&lt;=0,E37/MAX(1,'Loan Tape'!$AU33-3+1),E340*E37/(1-(1+E340)^(-MAX(1,'Loan Tape'!$AU33-3+1)))-E340*E37),0)))</f>
        <v>206358.308390151</v>
      </c>
      <c r="F946" s="71" t="n">
        <f aca="false">IF(OR('Loan Tape'!$AN33=0,'Loan Tape'!$Z33="Interest Only",'Loan Tape'!$Z33=""),0,MIN(MAX(0,F37-F643),IFERROR(MAX(0,MIN(4,'Loan Tape'!$AV33)-MAX(3,'Loan Tape'!$AT33))*IF(F340&lt;=0,F37/MAX(1,'Loan Tape'!$AU33-4+1),F340*F37/(1-(1+F340)^(-MAX(1,'Loan Tape'!$AU33-4+1)))-F340*F37),0)))</f>
        <v>198679.479857197</v>
      </c>
      <c r="G946" s="71" t="n">
        <f aca="false">IF(OR('Loan Tape'!$AN33=0,'Loan Tape'!$Z33="Interest Only",'Loan Tape'!$Z33=""),0,MIN(MAX(0,G37-G643),IFERROR(MAX(0,MIN(5,'Loan Tape'!$AV33)-MAX(4,'Loan Tape'!$AT33))*IF(G340&lt;=0,G37/MAX(1,'Loan Tape'!$AU33-5+1),G340*G37/(1-(1+G340)^(-MAX(1,'Loan Tape'!$AU33-5+1)))-G340*G37),0)))</f>
        <v>63991.1765975439</v>
      </c>
      <c r="H946" s="71" t="n">
        <f aca="false">IF(OR('Loan Tape'!$AN33=0,'Loan Tape'!$Z33="Interest Only",'Loan Tape'!$Z33=""),0,MIN(MAX(0,H37-H643),IFERROR(MAX(0,MIN(6,'Loan Tape'!$AV33)-MAX(5,'Loan Tape'!$AT33))*IF(H340&lt;=0,H37/MAX(1,'Loan Tape'!$AU33-6+1),H340*H37/(1-(1+H340)^(-MAX(1,'Loan Tape'!$AU33-6+1)))-H340*H37),0)))</f>
        <v>0</v>
      </c>
      <c r="I946" s="71" t="n">
        <f aca="false">IF(OR('Loan Tape'!$AN33=0,'Loan Tape'!$Z33="Interest Only",'Loan Tape'!$Z33=""),0,MIN(MAX(0,I37-I643),IFERROR(MAX(0,MIN(7,'Loan Tape'!$AV33)-MAX(6,'Loan Tape'!$AT33))*IF(I340&lt;=0,I37/MAX(1,'Loan Tape'!$AU33-7+1),I340*I37/(1-(1+I340)^(-MAX(1,'Loan Tape'!$AU33-7+1)))-I340*I37),0)))</f>
        <v>0</v>
      </c>
      <c r="J946" s="71" t="n">
        <f aca="false">IF(OR('Loan Tape'!$AN33=0,'Loan Tape'!$Z33="Interest Only",'Loan Tape'!$Z33=""),0,MIN(MAX(0,J37-J643),IFERROR(MAX(0,MIN(8,'Loan Tape'!$AV33)-MAX(7,'Loan Tape'!$AT33))*IF(J340&lt;=0,J37/MAX(1,'Loan Tape'!$AU33-8+1),J340*J37/(1-(1+J340)^(-MAX(1,'Loan Tape'!$AU33-8+1)))-J340*J37),0)))</f>
        <v>0</v>
      </c>
      <c r="K946" s="71" t="n">
        <f aca="false">IF(OR('Loan Tape'!$AN33=0,'Loan Tape'!$Z33="Interest Only",'Loan Tape'!$Z33=""),0,MIN(MAX(0,K37-K643),IFERROR(MAX(0,MIN(9,'Loan Tape'!$AV33)-MAX(8,'Loan Tape'!$AT33))*IF(K340&lt;=0,K37/MAX(1,'Loan Tape'!$AU33-9+1),K340*K37/(1-(1+K340)^(-MAX(1,'Loan Tape'!$AU33-9+1)))-K340*K37),0)))</f>
        <v>0</v>
      </c>
      <c r="L946" s="71" t="n">
        <f aca="false">IF(OR('Loan Tape'!$AN33=0,'Loan Tape'!$Z33="Interest Only",'Loan Tape'!$Z33=""),0,MIN(MAX(0,L37-L643),IFERROR(MAX(0,MIN(10,'Loan Tape'!$AV33)-MAX(9,'Loan Tape'!$AT33))*IF(L340&lt;=0,L37/MAX(1,'Loan Tape'!$AU33-10+1),L340*L37/(1-(1+L340)^(-MAX(1,'Loan Tape'!$AU33-10+1)))-L340*L37),0)))</f>
        <v>0</v>
      </c>
    </row>
    <row r="947" customFormat="false" ht="15" hidden="false" customHeight="false" outlineLevel="0" collapsed="false">
      <c r="B947" s="102" t="str">
        <f aca="false">'Loan Tape'!$A34</f>
        <v>L-031</v>
      </c>
      <c r="C947" s="99" t="n">
        <f aca="false">IF(OR('Loan Tape'!$AN34=0,'Loan Tape'!$Z34="Interest Only",'Loan Tape'!$Z34=""),0,MIN(MAX(0,C38-C644),IFERROR(MAX(0,MIN(1,'Loan Tape'!$AV34)-MAX(0,'Loan Tape'!$AT34))*IF(C341&lt;=0,C38/MAX(1,'Loan Tape'!$AU34-1+1),C341*C38/(1-(1+C341)^(-MAX(1,'Loan Tape'!$AU34-1+1)))-C341*C38),0)))</f>
        <v>0</v>
      </c>
      <c r="D947" s="99" t="n">
        <f aca="false">IF(OR('Loan Tape'!$AN34=0,'Loan Tape'!$Z34="Interest Only",'Loan Tape'!$Z34=""),0,MIN(MAX(0,D38-D644),IFERROR(MAX(0,MIN(2,'Loan Tape'!$AV34)-MAX(1,'Loan Tape'!$AT34))*IF(D341&lt;=0,D38/MAX(1,'Loan Tape'!$AU34-2+1),D341*D38/(1-(1+D341)^(-MAX(1,'Loan Tape'!$AU34-2+1)))-D341*D38),0)))</f>
        <v>0</v>
      </c>
      <c r="E947" s="99" t="n">
        <f aca="false">IF(OR('Loan Tape'!$AN34=0,'Loan Tape'!$Z34="Interest Only",'Loan Tape'!$Z34=""),0,MIN(MAX(0,E38-E644),IFERROR(MAX(0,MIN(3,'Loan Tape'!$AV34)-MAX(2,'Loan Tape'!$AT34))*IF(E341&lt;=0,E38/MAX(1,'Loan Tape'!$AU34-3+1),E341*E38/(1-(1+E341)^(-MAX(1,'Loan Tape'!$AU34-3+1)))-E341*E38),0)))</f>
        <v>0</v>
      </c>
      <c r="F947" s="99" t="n">
        <f aca="false">IF(OR('Loan Tape'!$AN34=0,'Loan Tape'!$Z34="Interest Only",'Loan Tape'!$Z34=""),0,MIN(MAX(0,F38-F644),IFERROR(MAX(0,MIN(4,'Loan Tape'!$AV34)-MAX(3,'Loan Tape'!$AT34))*IF(F341&lt;=0,F38/MAX(1,'Loan Tape'!$AU34-4+1),F341*F38/(1-(1+F341)^(-MAX(1,'Loan Tape'!$AU34-4+1)))-F341*F38),0)))</f>
        <v>0</v>
      </c>
      <c r="G947" s="99" t="n">
        <f aca="false">IF(OR('Loan Tape'!$AN34=0,'Loan Tape'!$Z34="Interest Only",'Loan Tape'!$Z34=""),0,MIN(MAX(0,G38-G644),IFERROR(MAX(0,MIN(5,'Loan Tape'!$AV34)-MAX(4,'Loan Tape'!$AT34))*IF(G341&lt;=0,G38/MAX(1,'Loan Tape'!$AU34-5+1),G341*G38/(1-(1+G341)^(-MAX(1,'Loan Tape'!$AU34-5+1)))-G341*G38),0)))</f>
        <v>0</v>
      </c>
      <c r="H947" s="99" t="n">
        <f aca="false">IF(OR('Loan Tape'!$AN34=0,'Loan Tape'!$Z34="Interest Only",'Loan Tape'!$Z34=""),0,MIN(MAX(0,H38-H644),IFERROR(MAX(0,MIN(6,'Loan Tape'!$AV34)-MAX(5,'Loan Tape'!$AT34))*IF(H341&lt;=0,H38/MAX(1,'Loan Tape'!$AU34-6+1),H341*H38/(1-(1+H341)^(-MAX(1,'Loan Tape'!$AU34-6+1)))-H341*H38),0)))</f>
        <v>0</v>
      </c>
      <c r="I947" s="99" t="n">
        <f aca="false">IF(OR('Loan Tape'!$AN34=0,'Loan Tape'!$Z34="Interest Only",'Loan Tape'!$Z34=""),0,MIN(MAX(0,I38-I644),IFERROR(MAX(0,MIN(7,'Loan Tape'!$AV34)-MAX(6,'Loan Tape'!$AT34))*IF(I341&lt;=0,I38/MAX(1,'Loan Tape'!$AU34-7+1),I341*I38/(1-(1+I341)^(-MAX(1,'Loan Tape'!$AU34-7+1)))-I341*I38),0)))</f>
        <v>0</v>
      </c>
      <c r="J947" s="99" t="n">
        <f aca="false">IF(OR('Loan Tape'!$AN34=0,'Loan Tape'!$Z34="Interest Only",'Loan Tape'!$Z34=""),0,MIN(MAX(0,J38-J644),IFERROR(MAX(0,MIN(8,'Loan Tape'!$AV34)-MAX(7,'Loan Tape'!$AT34))*IF(J341&lt;=0,J38/MAX(1,'Loan Tape'!$AU34-8+1),J341*J38/(1-(1+J341)^(-MAX(1,'Loan Tape'!$AU34-8+1)))-J341*J38),0)))</f>
        <v>0</v>
      </c>
      <c r="K947" s="99" t="n">
        <f aca="false">IF(OR('Loan Tape'!$AN34=0,'Loan Tape'!$Z34="Interest Only",'Loan Tape'!$Z34=""),0,MIN(MAX(0,K38-K644),IFERROR(MAX(0,MIN(9,'Loan Tape'!$AV34)-MAX(8,'Loan Tape'!$AT34))*IF(K341&lt;=0,K38/MAX(1,'Loan Tape'!$AU34-9+1),K341*K38/(1-(1+K341)^(-MAX(1,'Loan Tape'!$AU34-9+1)))-K341*K38),0)))</f>
        <v>0</v>
      </c>
      <c r="L947" s="99" t="n">
        <f aca="false">IF(OR('Loan Tape'!$AN34=0,'Loan Tape'!$Z34="Interest Only",'Loan Tape'!$Z34=""),0,MIN(MAX(0,L38-L644),IFERROR(MAX(0,MIN(10,'Loan Tape'!$AV34)-MAX(9,'Loan Tape'!$AT34))*IF(L341&lt;=0,L38/MAX(1,'Loan Tape'!$AU34-10+1),L341*L38/(1-(1+L341)^(-MAX(1,'Loan Tape'!$AU34-10+1)))-L341*L38),0)))</f>
        <v>0</v>
      </c>
    </row>
    <row r="948" customFormat="false" ht="15" hidden="false" customHeight="false" outlineLevel="0" collapsed="false">
      <c r="B948" s="108" t="str">
        <f aca="false">'Loan Tape'!$A35</f>
        <v>L-032</v>
      </c>
      <c r="C948" s="71" t="n">
        <f aca="false">IF(OR('Loan Tape'!$AN35=0,'Loan Tape'!$Z35="Interest Only",'Loan Tape'!$Z35=""),0,MIN(MAX(0,C39-C645),IFERROR(MAX(0,MIN(1,'Loan Tape'!$AV35)-MAX(0,'Loan Tape'!$AT35))*IF(C342&lt;=0,C39/MAX(1,'Loan Tape'!$AU35-1+1),C342*C39/(1-(1+C342)^(-MAX(1,'Loan Tape'!$AU35-1+1)))-C342*C39),0)))</f>
        <v>1955855.8599563</v>
      </c>
      <c r="D948" s="71" t="n">
        <f aca="false">IF(OR('Loan Tape'!$AN35=0,'Loan Tape'!$Z35="Interest Only",'Loan Tape'!$Z35=""),0,MIN(MAX(0,D39-D645),IFERROR(MAX(0,MIN(2,'Loan Tape'!$AV35)-MAX(1,'Loan Tape'!$AT35))*IF(D342&lt;=0,D39/MAX(1,'Loan Tape'!$AU35-2+1),D342*D39/(1-(1+D342)^(-MAX(1,'Loan Tape'!$AU35-2+1)))-D342*D39),0)))</f>
        <v>1992020.77562407</v>
      </c>
      <c r="E948" s="71" t="n">
        <f aca="false">IF(OR('Loan Tape'!$AN35=0,'Loan Tape'!$Z35="Interest Only",'Loan Tape'!$Z35=""),0,MIN(MAX(0,E39-E645),IFERROR(MAX(0,MIN(3,'Loan Tape'!$AV35)-MAX(2,'Loan Tape'!$AT35))*IF(E342&lt;=0,E39/MAX(1,'Loan Tape'!$AU35-3+1),E342*E39/(1-(1+E342)^(-MAX(1,'Loan Tape'!$AU35-3+1)))-E342*E39),0)))</f>
        <v>1986202.10183927</v>
      </c>
      <c r="F948" s="71" t="n">
        <f aca="false">IF(OR('Loan Tape'!$AN35=0,'Loan Tape'!$Z35="Interest Only",'Loan Tape'!$Z35=""),0,MIN(MAX(0,F39-F645),IFERROR(MAX(0,MIN(4,'Loan Tape'!$AV35)-MAX(3,'Loan Tape'!$AT35))*IF(F342&lt;=0,F39/MAX(1,'Loan Tape'!$AU35-4+1),F342*F39/(1-(1+F342)^(-MAX(1,'Loan Tape'!$AU35-4+1)))-F342*F39),0)))</f>
        <v>1605825.90959064</v>
      </c>
      <c r="G948" s="71" t="n">
        <f aca="false">IF(OR('Loan Tape'!$AN35=0,'Loan Tape'!$Z35="Interest Only",'Loan Tape'!$Z35=""),0,MIN(MAX(0,G39-G645),IFERROR(MAX(0,MIN(5,'Loan Tape'!$AV35)-MAX(4,'Loan Tape'!$AT35))*IF(G342&lt;=0,G39/MAX(1,'Loan Tape'!$AU35-5+1),G342*G39/(1-(1+G342)^(-MAX(1,'Loan Tape'!$AU35-5+1)))-G342*G39),0)))</f>
        <v>0</v>
      </c>
      <c r="H948" s="71" t="n">
        <f aca="false">IF(OR('Loan Tape'!$AN35=0,'Loan Tape'!$Z35="Interest Only",'Loan Tape'!$Z35=""),0,MIN(MAX(0,H39-H645),IFERROR(MAX(0,MIN(6,'Loan Tape'!$AV35)-MAX(5,'Loan Tape'!$AT35))*IF(H342&lt;=0,H39/MAX(1,'Loan Tape'!$AU35-6+1),H342*H39/(1-(1+H342)^(-MAX(1,'Loan Tape'!$AU35-6+1)))-H342*H39),0)))</f>
        <v>0</v>
      </c>
      <c r="I948" s="71" t="n">
        <f aca="false">IF(OR('Loan Tape'!$AN35=0,'Loan Tape'!$Z35="Interest Only",'Loan Tape'!$Z35=""),0,MIN(MAX(0,I39-I645),IFERROR(MAX(0,MIN(7,'Loan Tape'!$AV35)-MAX(6,'Loan Tape'!$AT35))*IF(I342&lt;=0,I39/MAX(1,'Loan Tape'!$AU35-7+1),I342*I39/(1-(1+I342)^(-MAX(1,'Loan Tape'!$AU35-7+1)))-I342*I39),0)))</f>
        <v>0</v>
      </c>
      <c r="J948" s="71" t="n">
        <f aca="false">IF(OR('Loan Tape'!$AN35=0,'Loan Tape'!$Z35="Interest Only",'Loan Tape'!$Z35=""),0,MIN(MAX(0,J39-J645),IFERROR(MAX(0,MIN(8,'Loan Tape'!$AV35)-MAX(7,'Loan Tape'!$AT35))*IF(J342&lt;=0,J39/MAX(1,'Loan Tape'!$AU35-8+1),J342*J39/(1-(1+J342)^(-MAX(1,'Loan Tape'!$AU35-8+1)))-J342*J39),0)))</f>
        <v>0</v>
      </c>
      <c r="K948" s="71" t="n">
        <f aca="false">IF(OR('Loan Tape'!$AN35=0,'Loan Tape'!$Z35="Interest Only",'Loan Tape'!$Z35=""),0,MIN(MAX(0,K39-K645),IFERROR(MAX(0,MIN(9,'Loan Tape'!$AV35)-MAX(8,'Loan Tape'!$AT35))*IF(K342&lt;=0,K39/MAX(1,'Loan Tape'!$AU35-9+1),K342*K39/(1-(1+K342)^(-MAX(1,'Loan Tape'!$AU35-9+1)))-K342*K39),0)))</f>
        <v>0</v>
      </c>
      <c r="L948" s="71" t="n">
        <f aca="false">IF(OR('Loan Tape'!$AN35=0,'Loan Tape'!$Z35="Interest Only",'Loan Tape'!$Z35=""),0,MIN(MAX(0,L39-L645),IFERROR(MAX(0,MIN(10,'Loan Tape'!$AV35)-MAX(9,'Loan Tape'!$AT35))*IF(L342&lt;=0,L39/MAX(1,'Loan Tape'!$AU35-10+1),L342*L39/(1-(1+L342)^(-MAX(1,'Loan Tape'!$AU35-10+1)))-L342*L39),0)))</f>
        <v>0</v>
      </c>
    </row>
    <row r="949" customFormat="false" ht="15" hidden="false" customHeight="false" outlineLevel="0" collapsed="false">
      <c r="B949" s="102" t="str">
        <f aca="false">'Loan Tape'!$A36</f>
        <v>L-033</v>
      </c>
      <c r="C949" s="99" t="n">
        <f aca="false">IF(OR('Loan Tape'!$AN36=0,'Loan Tape'!$Z36="Interest Only",'Loan Tape'!$Z36=""),0,MIN(MAX(0,C40-C646),IFERROR(MAX(0,MIN(1,'Loan Tape'!$AV36)-MAX(0,'Loan Tape'!$AT36))*IF(C343&lt;=0,C40/MAX(1,'Loan Tape'!$AU36-1+1),C343*C40/(1-(1+C343)^(-MAX(1,'Loan Tape'!$AU36-1+1)))-C343*C40),0)))</f>
        <v>0</v>
      </c>
      <c r="D949" s="99" t="n">
        <f aca="false">IF(OR('Loan Tape'!$AN36=0,'Loan Tape'!$Z36="Interest Only",'Loan Tape'!$Z36=""),0,MIN(MAX(0,D40-D646),IFERROR(MAX(0,MIN(2,'Loan Tape'!$AV36)-MAX(1,'Loan Tape'!$AT36))*IF(D343&lt;=0,D40/MAX(1,'Loan Tape'!$AU36-2+1),D343*D40/(1-(1+D343)^(-MAX(1,'Loan Tape'!$AU36-2+1)))-D343*D40),0)))</f>
        <v>0</v>
      </c>
      <c r="E949" s="99" t="n">
        <f aca="false">IF(OR('Loan Tape'!$AN36=0,'Loan Tape'!$Z36="Interest Only",'Loan Tape'!$Z36=""),0,MIN(MAX(0,E40-E646),IFERROR(MAX(0,MIN(3,'Loan Tape'!$AV36)-MAX(2,'Loan Tape'!$AT36))*IF(E343&lt;=0,E40/MAX(1,'Loan Tape'!$AU36-3+1),E343*E40/(1-(1+E343)^(-MAX(1,'Loan Tape'!$AU36-3+1)))-E343*E40),0)))</f>
        <v>0</v>
      </c>
      <c r="F949" s="99" t="n">
        <f aca="false">IF(OR('Loan Tape'!$AN36=0,'Loan Tape'!$Z36="Interest Only",'Loan Tape'!$Z36=""),0,MIN(MAX(0,F40-F646),IFERROR(MAX(0,MIN(4,'Loan Tape'!$AV36)-MAX(3,'Loan Tape'!$AT36))*IF(F343&lt;=0,F40/MAX(1,'Loan Tape'!$AU36-4+1),F343*F40/(1-(1+F343)^(-MAX(1,'Loan Tape'!$AU36-4+1)))-F343*F40),0)))</f>
        <v>0</v>
      </c>
      <c r="G949" s="99" t="n">
        <f aca="false">IF(OR('Loan Tape'!$AN36=0,'Loan Tape'!$Z36="Interest Only",'Loan Tape'!$Z36=""),0,MIN(MAX(0,G40-G646),IFERROR(MAX(0,MIN(5,'Loan Tape'!$AV36)-MAX(4,'Loan Tape'!$AT36))*IF(G343&lt;=0,G40/MAX(1,'Loan Tape'!$AU36-5+1),G343*G40/(1-(1+G343)^(-MAX(1,'Loan Tape'!$AU36-5+1)))-G343*G40),0)))</f>
        <v>0</v>
      </c>
      <c r="H949" s="99" t="n">
        <f aca="false">IF(OR('Loan Tape'!$AN36=0,'Loan Tape'!$Z36="Interest Only",'Loan Tape'!$Z36=""),0,MIN(MAX(0,H40-H646),IFERROR(MAX(0,MIN(6,'Loan Tape'!$AV36)-MAX(5,'Loan Tape'!$AT36))*IF(H343&lt;=0,H40/MAX(1,'Loan Tape'!$AU36-6+1),H343*H40/(1-(1+H343)^(-MAX(1,'Loan Tape'!$AU36-6+1)))-H343*H40),0)))</f>
        <v>0</v>
      </c>
      <c r="I949" s="99" t="n">
        <f aca="false">IF(OR('Loan Tape'!$AN36=0,'Loan Tape'!$Z36="Interest Only",'Loan Tape'!$Z36=""),0,MIN(MAX(0,I40-I646),IFERROR(MAX(0,MIN(7,'Loan Tape'!$AV36)-MAX(6,'Loan Tape'!$AT36))*IF(I343&lt;=0,I40/MAX(1,'Loan Tape'!$AU36-7+1),I343*I40/(1-(1+I343)^(-MAX(1,'Loan Tape'!$AU36-7+1)))-I343*I40),0)))</f>
        <v>0</v>
      </c>
      <c r="J949" s="99" t="n">
        <f aca="false">IF(OR('Loan Tape'!$AN36=0,'Loan Tape'!$Z36="Interest Only",'Loan Tape'!$Z36=""),0,MIN(MAX(0,J40-J646),IFERROR(MAX(0,MIN(8,'Loan Tape'!$AV36)-MAX(7,'Loan Tape'!$AT36))*IF(J343&lt;=0,J40/MAX(1,'Loan Tape'!$AU36-8+1),J343*J40/(1-(1+J343)^(-MAX(1,'Loan Tape'!$AU36-8+1)))-J343*J40),0)))</f>
        <v>0</v>
      </c>
      <c r="K949" s="99" t="n">
        <f aca="false">IF(OR('Loan Tape'!$AN36=0,'Loan Tape'!$Z36="Interest Only",'Loan Tape'!$Z36=""),0,MIN(MAX(0,K40-K646),IFERROR(MAX(0,MIN(9,'Loan Tape'!$AV36)-MAX(8,'Loan Tape'!$AT36))*IF(K343&lt;=0,K40/MAX(1,'Loan Tape'!$AU36-9+1),K343*K40/(1-(1+K343)^(-MAX(1,'Loan Tape'!$AU36-9+1)))-K343*K40),0)))</f>
        <v>0</v>
      </c>
      <c r="L949" s="99" t="n">
        <f aca="false">IF(OR('Loan Tape'!$AN36=0,'Loan Tape'!$Z36="Interest Only",'Loan Tape'!$Z36=""),0,MIN(MAX(0,L40-L646),IFERROR(MAX(0,MIN(10,'Loan Tape'!$AV36)-MAX(9,'Loan Tape'!$AT36))*IF(L343&lt;=0,L40/MAX(1,'Loan Tape'!$AU36-10+1),L343*L40/(1-(1+L343)^(-MAX(1,'Loan Tape'!$AU36-10+1)))-L343*L40),0)))</f>
        <v>0</v>
      </c>
    </row>
    <row r="950" customFormat="false" ht="15" hidden="false" customHeight="false" outlineLevel="0" collapsed="false">
      <c r="B950" s="108" t="str">
        <f aca="false">'Loan Tape'!$A37</f>
        <v>L-034</v>
      </c>
      <c r="C950" s="71" t="n">
        <f aca="false">IF(OR('Loan Tape'!$AN37=0,'Loan Tape'!$Z37="Interest Only",'Loan Tape'!$Z37=""),0,MIN(MAX(0,C41-C647),IFERROR(MAX(0,MIN(1,'Loan Tape'!$AV37)-MAX(0,'Loan Tape'!$AT37))*IF(C344&lt;=0,C41/MAX(1,'Loan Tape'!$AU37-1+1),C344*C41/(1-(1+C344)^(-MAX(1,'Loan Tape'!$AU37-1+1)))-C344*C41),0)))</f>
        <v>250040.358216066</v>
      </c>
      <c r="D950" s="71" t="n">
        <f aca="false">IF(OR('Loan Tape'!$AN37=0,'Loan Tape'!$Z37="Interest Only",'Loan Tape'!$Z37=""),0,MIN(MAX(0,D41-D647),IFERROR(MAX(0,MIN(2,'Loan Tape'!$AV37)-MAX(1,'Loan Tape'!$AT37))*IF(D344&lt;=0,D41/MAX(1,'Loan Tape'!$AU37-2+1),D344*D41/(1-(1+D344)^(-MAX(1,'Loan Tape'!$AU37-2+1)))-D344*D41),0)))</f>
        <v>230022.152656327</v>
      </c>
      <c r="E950" s="71" t="n">
        <f aca="false">IF(OR('Loan Tape'!$AN37=0,'Loan Tape'!$Z37="Interest Only",'Loan Tape'!$Z37=""),0,MIN(MAX(0,E41-E647),IFERROR(MAX(0,MIN(3,'Loan Tape'!$AV37)-MAX(2,'Loan Tape'!$AT37))*IF(E344&lt;=0,E41/MAX(1,'Loan Tape'!$AU37-3+1),E344*E41/(1-(1+E344)^(-MAX(1,'Loan Tape'!$AU37-3+1)))-E344*E41),0)))</f>
        <v>211558.527296784</v>
      </c>
      <c r="F950" s="71" t="n">
        <f aca="false">IF(OR('Loan Tape'!$AN37=0,'Loan Tape'!$Z37="Interest Only",'Loan Tape'!$Z37=""),0,MIN(MAX(0,F41-F647),IFERROR(MAX(0,MIN(4,'Loan Tape'!$AV37)-MAX(3,'Loan Tape'!$AT37))*IF(F344&lt;=0,F41/MAX(1,'Loan Tape'!$AU37-4+1),F344*F41/(1-(1+F344)^(-MAX(1,'Loan Tape'!$AU37-4+1)))-F344*F41),0)))</f>
        <v>194528.239677409</v>
      </c>
      <c r="G950" s="71" t="n">
        <f aca="false">IF(OR('Loan Tape'!$AN37=0,'Loan Tape'!$Z37="Interest Only",'Loan Tape'!$Z37=""),0,MIN(MAX(0,G41-G647),IFERROR(MAX(0,MIN(5,'Loan Tape'!$AV37)-MAX(4,'Loan Tape'!$AT37))*IF(G344&lt;=0,G41/MAX(1,'Loan Tape'!$AU37-5+1),G344*G41/(1-(1+G344)^(-MAX(1,'Loan Tape'!$AU37-5+1)))-G344*G41),0)))</f>
        <v>178819.335227046</v>
      </c>
      <c r="H950" s="71" t="n">
        <f aca="false">IF(OR('Loan Tape'!$AN37=0,'Loan Tape'!$Z37="Interest Only",'Loan Tape'!$Z37=""),0,MIN(MAX(0,H41-H647),IFERROR(MAX(0,MIN(6,'Loan Tape'!$AV37)-MAX(5,'Loan Tape'!$AT37))*IF(H344&lt;=0,H41/MAX(1,'Loan Tape'!$AU37-6+1),H344*H41/(1-(1+H344)^(-MAX(1,'Loan Tape'!$AU37-6+1)))-H344*H41),0)))</f>
        <v>0</v>
      </c>
      <c r="I950" s="71" t="n">
        <f aca="false">IF(OR('Loan Tape'!$AN37=0,'Loan Tape'!$Z37="Interest Only",'Loan Tape'!$Z37=""),0,MIN(MAX(0,I41-I647),IFERROR(MAX(0,MIN(7,'Loan Tape'!$AV37)-MAX(6,'Loan Tape'!$AT37))*IF(I344&lt;=0,I41/MAX(1,'Loan Tape'!$AU37-7+1),I344*I41/(1-(1+I344)^(-MAX(1,'Loan Tape'!$AU37-7+1)))-I344*I41),0)))</f>
        <v>0</v>
      </c>
      <c r="J950" s="71" t="n">
        <f aca="false">IF(OR('Loan Tape'!$AN37=0,'Loan Tape'!$Z37="Interest Only",'Loan Tape'!$Z37=""),0,MIN(MAX(0,J41-J647),IFERROR(MAX(0,MIN(8,'Loan Tape'!$AV37)-MAX(7,'Loan Tape'!$AT37))*IF(J344&lt;=0,J41/MAX(1,'Loan Tape'!$AU37-8+1),J344*J41/(1-(1+J344)^(-MAX(1,'Loan Tape'!$AU37-8+1)))-J344*J41),0)))</f>
        <v>0</v>
      </c>
      <c r="K950" s="71" t="n">
        <f aca="false">IF(OR('Loan Tape'!$AN37=0,'Loan Tape'!$Z37="Interest Only",'Loan Tape'!$Z37=""),0,MIN(MAX(0,K41-K647),IFERROR(MAX(0,MIN(9,'Loan Tape'!$AV37)-MAX(8,'Loan Tape'!$AT37))*IF(K344&lt;=0,K41/MAX(1,'Loan Tape'!$AU37-9+1),K344*K41/(1-(1+K344)^(-MAX(1,'Loan Tape'!$AU37-9+1)))-K344*K41),0)))</f>
        <v>0</v>
      </c>
      <c r="L950" s="71" t="n">
        <f aca="false">IF(OR('Loan Tape'!$AN37=0,'Loan Tape'!$Z37="Interest Only",'Loan Tape'!$Z37=""),0,MIN(MAX(0,L41-L647),IFERROR(MAX(0,MIN(10,'Loan Tape'!$AV37)-MAX(9,'Loan Tape'!$AT37))*IF(L344&lt;=0,L41/MAX(1,'Loan Tape'!$AU37-10+1),L344*L41/(1-(1+L344)^(-MAX(1,'Loan Tape'!$AU37-10+1)))-L344*L41),0)))</f>
        <v>0</v>
      </c>
    </row>
    <row r="951" customFormat="false" ht="15" hidden="false" customHeight="false" outlineLevel="0" collapsed="false">
      <c r="B951" s="102" t="str">
        <f aca="false">'Loan Tape'!$A38</f>
        <v>L-035</v>
      </c>
      <c r="C951" s="99" t="n">
        <f aca="false">IF(OR('Loan Tape'!$AN38=0,'Loan Tape'!$Z38="Interest Only",'Loan Tape'!$Z38=""),0,MIN(MAX(0,C42-C648),IFERROR(MAX(0,MIN(1,'Loan Tape'!$AV38)-MAX(0,'Loan Tape'!$AT38))*IF(C345&lt;=0,C42/MAX(1,'Loan Tape'!$AU38-1+1),C345*C42/(1-(1+C345)^(-MAX(1,'Loan Tape'!$AU38-1+1)))-C345*C42),0)))</f>
        <v>1440149.13844655</v>
      </c>
      <c r="D951" s="99" t="n">
        <f aca="false">IF(OR('Loan Tape'!$AN38=0,'Loan Tape'!$Z38="Interest Only",'Loan Tape'!$Z38=""),0,MIN(MAX(0,D42-D648),IFERROR(MAX(0,MIN(2,'Loan Tape'!$AV38)-MAX(1,'Loan Tape'!$AT38))*IF(D345&lt;=0,D42/MAX(1,'Loan Tape'!$AU38-2+1),D345*D42/(1-(1+D345)^(-MAX(1,'Loan Tape'!$AU38-2+1)))-D345*D42),0)))</f>
        <v>1421800.78914147</v>
      </c>
      <c r="E951" s="99" t="n">
        <f aca="false">IF(OR('Loan Tape'!$AN38=0,'Loan Tape'!$Z38="Interest Only",'Loan Tape'!$Z38=""),0,MIN(MAX(0,E42-E648),IFERROR(MAX(0,MIN(3,'Loan Tape'!$AV38)-MAX(2,'Loan Tape'!$AT38))*IF(E345&lt;=0,E42/MAX(1,'Loan Tape'!$AU38-3+1),E345*E42/(1-(1+E345)^(-MAX(1,'Loan Tape'!$AU38-3+1)))-E345*E42),0)))</f>
        <v>575886.653623763</v>
      </c>
      <c r="F951" s="99" t="n">
        <f aca="false">IF(OR('Loan Tape'!$AN38=0,'Loan Tape'!$Z38="Interest Only",'Loan Tape'!$Z38=""),0,MIN(MAX(0,F42-F648),IFERROR(MAX(0,MIN(4,'Loan Tape'!$AV38)-MAX(3,'Loan Tape'!$AT38))*IF(F345&lt;=0,F42/MAX(1,'Loan Tape'!$AU38-4+1),F345*F42/(1-(1+F345)^(-MAX(1,'Loan Tape'!$AU38-4+1)))-F345*F42),0)))</f>
        <v>0</v>
      </c>
      <c r="G951" s="99" t="n">
        <f aca="false">IF(OR('Loan Tape'!$AN38=0,'Loan Tape'!$Z38="Interest Only",'Loan Tape'!$Z38=""),0,MIN(MAX(0,G42-G648),IFERROR(MAX(0,MIN(5,'Loan Tape'!$AV38)-MAX(4,'Loan Tape'!$AT38))*IF(G345&lt;=0,G42/MAX(1,'Loan Tape'!$AU38-5+1),G345*G42/(1-(1+G345)^(-MAX(1,'Loan Tape'!$AU38-5+1)))-G345*G42),0)))</f>
        <v>0</v>
      </c>
      <c r="H951" s="99" t="n">
        <f aca="false">IF(OR('Loan Tape'!$AN38=0,'Loan Tape'!$Z38="Interest Only",'Loan Tape'!$Z38=""),0,MIN(MAX(0,H42-H648),IFERROR(MAX(0,MIN(6,'Loan Tape'!$AV38)-MAX(5,'Loan Tape'!$AT38))*IF(H345&lt;=0,H42/MAX(1,'Loan Tape'!$AU38-6+1),H345*H42/(1-(1+H345)^(-MAX(1,'Loan Tape'!$AU38-6+1)))-H345*H42),0)))</f>
        <v>0</v>
      </c>
      <c r="I951" s="99" t="n">
        <f aca="false">IF(OR('Loan Tape'!$AN38=0,'Loan Tape'!$Z38="Interest Only",'Loan Tape'!$Z38=""),0,MIN(MAX(0,I42-I648),IFERROR(MAX(0,MIN(7,'Loan Tape'!$AV38)-MAX(6,'Loan Tape'!$AT38))*IF(I345&lt;=0,I42/MAX(1,'Loan Tape'!$AU38-7+1),I345*I42/(1-(1+I345)^(-MAX(1,'Loan Tape'!$AU38-7+1)))-I345*I42),0)))</f>
        <v>0</v>
      </c>
      <c r="J951" s="99" t="n">
        <f aca="false">IF(OR('Loan Tape'!$AN38=0,'Loan Tape'!$Z38="Interest Only",'Loan Tape'!$Z38=""),0,MIN(MAX(0,J42-J648),IFERROR(MAX(0,MIN(8,'Loan Tape'!$AV38)-MAX(7,'Loan Tape'!$AT38))*IF(J345&lt;=0,J42/MAX(1,'Loan Tape'!$AU38-8+1),J345*J42/(1-(1+J345)^(-MAX(1,'Loan Tape'!$AU38-8+1)))-J345*J42),0)))</f>
        <v>0</v>
      </c>
      <c r="K951" s="99" t="n">
        <f aca="false">IF(OR('Loan Tape'!$AN38=0,'Loan Tape'!$Z38="Interest Only",'Loan Tape'!$Z38=""),0,MIN(MAX(0,K42-K648),IFERROR(MAX(0,MIN(9,'Loan Tape'!$AV38)-MAX(8,'Loan Tape'!$AT38))*IF(K345&lt;=0,K42/MAX(1,'Loan Tape'!$AU38-9+1),K345*K42/(1-(1+K345)^(-MAX(1,'Loan Tape'!$AU38-9+1)))-K345*K42),0)))</f>
        <v>0</v>
      </c>
      <c r="L951" s="99" t="n">
        <f aca="false">IF(OR('Loan Tape'!$AN38=0,'Loan Tape'!$Z38="Interest Only",'Loan Tape'!$Z38=""),0,MIN(MAX(0,L42-L648),IFERROR(MAX(0,MIN(10,'Loan Tape'!$AV38)-MAX(9,'Loan Tape'!$AT38))*IF(L345&lt;=0,L42/MAX(1,'Loan Tape'!$AU38-10+1),L345*L42/(1-(1+L345)^(-MAX(1,'Loan Tape'!$AU38-10+1)))-L345*L42),0)))</f>
        <v>0</v>
      </c>
    </row>
    <row r="952" customFormat="false" ht="15" hidden="false" customHeight="false" outlineLevel="0" collapsed="false">
      <c r="B952" s="108" t="str">
        <f aca="false">'Loan Tape'!$A39</f>
        <v>L-036</v>
      </c>
      <c r="C952" s="71" t="n">
        <f aca="false">IF(OR('Loan Tape'!$AN39=0,'Loan Tape'!$Z39="Interest Only",'Loan Tape'!$Z39=""),0,MIN(MAX(0,C43-C649),IFERROR(MAX(0,MIN(1,'Loan Tape'!$AV39)-MAX(0,'Loan Tape'!$AT39))*IF(C346&lt;=0,C43/MAX(1,'Loan Tape'!$AU39-1+1),C346*C43/(1-(1+C346)^(-MAX(1,'Loan Tape'!$AU39-1+1)))-C346*C43),0)))</f>
        <v>930249.912496826</v>
      </c>
      <c r="D952" s="71" t="n">
        <f aca="false">IF(OR('Loan Tape'!$AN39=0,'Loan Tape'!$Z39="Interest Only",'Loan Tape'!$Z39=""),0,MIN(MAX(0,D43-D649),IFERROR(MAX(0,MIN(2,'Loan Tape'!$AV39)-MAX(1,'Loan Tape'!$AT39))*IF(D346&lt;=0,D43/MAX(1,'Loan Tape'!$AU39-2+1),D346*D43/(1-(1+D346)^(-MAX(1,'Loan Tape'!$AU39-2+1)))-D346*D43),0)))</f>
        <v>0</v>
      </c>
      <c r="E952" s="71" t="n">
        <f aca="false">IF(OR('Loan Tape'!$AN39=0,'Loan Tape'!$Z39="Interest Only",'Loan Tape'!$Z39=""),0,MIN(MAX(0,E43-E649),IFERROR(MAX(0,MIN(3,'Loan Tape'!$AV39)-MAX(2,'Loan Tape'!$AT39))*IF(E346&lt;=0,E43/MAX(1,'Loan Tape'!$AU39-3+1),E346*E43/(1-(1+E346)^(-MAX(1,'Loan Tape'!$AU39-3+1)))-E346*E43),0)))</f>
        <v>0</v>
      </c>
      <c r="F952" s="71" t="n">
        <f aca="false">IF(OR('Loan Tape'!$AN39=0,'Loan Tape'!$Z39="Interest Only",'Loan Tape'!$Z39=""),0,MIN(MAX(0,F43-F649),IFERROR(MAX(0,MIN(4,'Loan Tape'!$AV39)-MAX(3,'Loan Tape'!$AT39))*IF(F346&lt;=0,F43/MAX(1,'Loan Tape'!$AU39-4+1),F346*F43/(1-(1+F346)^(-MAX(1,'Loan Tape'!$AU39-4+1)))-F346*F43),0)))</f>
        <v>0</v>
      </c>
      <c r="G952" s="71" t="n">
        <f aca="false">IF(OR('Loan Tape'!$AN39=0,'Loan Tape'!$Z39="Interest Only",'Loan Tape'!$Z39=""),0,MIN(MAX(0,G43-G649),IFERROR(MAX(0,MIN(5,'Loan Tape'!$AV39)-MAX(4,'Loan Tape'!$AT39))*IF(G346&lt;=0,G43/MAX(1,'Loan Tape'!$AU39-5+1),G346*G43/(1-(1+G346)^(-MAX(1,'Loan Tape'!$AU39-5+1)))-G346*G43),0)))</f>
        <v>0</v>
      </c>
      <c r="H952" s="71" t="n">
        <f aca="false">IF(OR('Loan Tape'!$AN39=0,'Loan Tape'!$Z39="Interest Only",'Loan Tape'!$Z39=""),0,MIN(MAX(0,H43-H649),IFERROR(MAX(0,MIN(6,'Loan Tape'!$AV39)-MAX(5,'Loan Tape'!$AT39))*IF(H346&lt;=0,H43/MAX(1,'Loan Tape'!$AU39-6+1),H346*H43/(1-(1+H346)^(-MAX(1,'Loan Tape'!$AU39-6+1)))-H346*H43),0)))</f>
        <v>0</v>
      </c>
      <c r="I952" s="71" t="n">
        <f aca="false">IF(OR('Loan Tape'!$AN39=0,'Loan Tape'!$Z39="Interest Only",'Loan Tape'!$Z39=""),0,MIN(MAX(0,I43-I649),IFERROR(MAX(0,MIN(7,'Loan Tape'!$AV39)-MAX(6,'Loan Tape'!$AT39))*IF(I346&lt;=0,I43/MAX(1,'Loan Tape'!$AU39-7+1),I346*I43/(1-(1+I346)^(-MAX(1,'Loan Tape'!$AU39-7+1)))-I346*I43),0)))</f>
        <v>0</v>
      </c>
      <c r="J952" s="71" t="n">
        <f aca="false">IF(OR('Loan Tape'!$AN39=0,'Loan Tape'!$Z39="Interest Only",'Loan Tape'!$Z39=""),0,MIN(MAX(0,J43-J649),IFERROR(MAX(0,MIN(8,'Loan Tape'!$AV39)-MAX(7,'Loan Tape'!$AT39))*IF(J346&lt;=0,J43/MAX(1,'Loan Tape'!$AU39-8+1),J346*J43/(1-(1+J346)^(-MAX(1,'Loan Tape'!$AU39-8+1)))-J346*J43),0)))</f>
        <v>0</v>
      </c>
      <c r="K952" s="71" t="n">
        <f aca="false">IF(OR('Loan Tape'!$AN39=0,'Loan Tape'!$Z39="Interest Only",'Loan Tape'!$Z39=""),0,MIN(MAX(0,K43-K649),IFERROR(MAX(0,MIN(9,'Loan Tape'!$AV39)-MAX(8,'Loan Tape'!$AT39))*IF(K346&lt;=0,K43/MAX(1,'Loan Tape'!$AU39-9+1),K346*K43/(1-(1+K346)^(-MAX(1,'Loan Tape'!$AU39-9+1)))-K346*K43),0)))</f>
        <v>0</v>
      </c>
      <c r="L952" s="71" t="n">
        <f aca="false">IF(OR('Loan Tape'!$AN39=0,'Loan Tape'!$Z39="Interest Only",'Loan Tape'!$Z39=""),0,MIN(MAX(0,L43-L649),IFERROR(MAX(0,MIN(10,'Loan Tape'!$AV39)-MAX(9,'Loan Tape'!$AT39))*IF(L346&lt;=0,L43/MAX(1,'Loan Tape'!$AU39-10+1),L346*L43/(1-(1+L346)^(-MAX(1,'Loan Tape'!$AU39-10+1)))-L346*L43),0)))</f>
        <v>0</v>
      </c>
    </row>
    <row r="953" customFormat="false" ht="15" hidden="false" customHeight="false" outlineLevel="0" collapsed="false">
      <c r="B953" s="102" t="str">
        <f aca="false">'Loan Tape'!$A40</f>
        <v>L-037</v>
      </c>
      <c r="C953" s="99" t="n">
        <f aca="false">IF(OR('Loan Tape'!$AN40=0,'Loan Tape'!$Z40="Interest Only",'Loan Tape'!$Z40=""),0,MIN(MAX(0,C44-C650),IFERROR(MAX(0,MIN(1,'Loan Tape'!$AV40)-MAX(0,'Loan Tape'!$AT40))*IF(C347&lt;=0,C44/MAX(1,'Loan Tape'!$AU40-1+1),C347*C44/(1-(1+C347)^(-MAX(1,'Loan Tape'!$AU40-1+1)))-C347*C44),0)))</f>
        <v>0</v>
      </c>
      <c r="D953" s="99" t="n">
        <f aca="false">IF(OR('Loan Tape'!$AN40=0,'Loan Tape'!$Z40="Interest Only",'Loan Tape'!$Z40=""),0,MIN(MAX(0,D44-D650),IFERROR(MAX(0,MIN(2,'Loan Tape'!$AV40)-MAX(1,'Loan Tape'!$AT40))*IF(D347&lt;=0,D44/MAX(1,'Loan Tape'!$AU40-2+1),D347*D44/(1-(1+D347)^(-MAX(1,'Loan Tape'!$AU40-2+1)))-D347*D44),0)))</f>
        <v>0</v>
      </c>
      <c r="E953" s="99" t="n">
        <f aca="false">IF(OR('Loan Tape'!$AN40=0,'Loan Tape'!$Z40="Interest Only",'Loan Tape'!$Z40=""),0,MIN(MAX(0,E44-E650),IFERROR(MAX(0,MIN(3,'Loan Tape'!$AV40)-MAX(2,'Loan Tape'!$AT40))*IF(E347&lt;=0,E44/MAX(1,'Loan Tape'!$AU40-3+1),E347*E44/(1-(1+E347)^(-MAX(1,'Loan Tape'!$AU40-3+1)))-E347*E44),0)))</f>
        <v>0</v>
      </c>
      <c r="F953" s="99" t="n">
        <f aca="false">IF(OR('Loan Tape'!$AN40=0,'Loan Tape'!$Z40="Interest Only",'Loan Tape'!$Z40=""),0,MIN(MAX(0,F44-F650),IFERROR(MAX(0,MIN(4,'Loan Tape'!$AV40)-MAX(3,'Loan Tape'!$AT40))*IF(F347&lt;=0,F44/MAX(1,'Loan Tape'!$AU40-4+1),F347*F44/(1-(1+F347)^(-MAX(1,'Loan Tape'!$AU40-4+1)))-F347*F44),0)))</f>
        <v>0</v>
      </c>
      <c r="G953" s="99" t="n">
        <f aca="false">IF(OR('Loan Tape'!$AN40=0,'Loan Tape'!$Z40="Interest Only",'Loan Tape'!$Z40=""),0,MIN(MAX(0,G44-G650),IFERROR(MAX(0,MIN(5,'Loan Tape'!$AV40)-MAX(4,'Loan Tape'!$AT40))*IF(G347&lt;=0,G44/MAX(1,'Loan Tape'!$AU40-5+1),G347*G44/(1-(1+G347)^(-MAX(1,'Loan Tape'!$AU40-5+1)))-G347*G44),0)))</f>
        <v>0</v>
      </c>
      <c r="H953" s="99" t="n">
        <f aca="false">IF(OR('Loan Tape'!$AN40=0,'Loan Tape'!$Z40="Interest Only",'Loan Tape'!$Z40=""),0,MIN(MAX(0,H44-H650),IFERROR(MAX(0,MIN(6,'Loan Tape'!$AV40)-MAX(5,'Loan Tape'!$AT40))*IF(H347&lt;=0,H44/MAX(1,'Loan Tape'!$AU40-6+1),H347*H44/(1-(1+H347)^(-MAX(1,'Loan Tape'!$AU40-6+1)))-H347*H44),0)))</f>
        <v>0</v>
      </c>
      <c r="I953" s="99" t="n">
        <f aca="false">IF(OR('Loan Tape'!$AN40=0,'Loan Tape'!$Z40="Interest Only",'Loan Tape'!$Z40=""),0,MIN(MAX(0,I44-I650),IFERROR(MAX(0,MIN(7,'Loan Tape'!$AV40)-MAX(6,'Loan Tape'!$AT40))*IF(I347&lt;=0,I44/MAX(1,'Loan Tape'!$AU40-7+1),I347*I44/(1-(1+I347)^(-MAX(1,'Loan Tape'!$AU40-7+1)))-I347*I44),0)))</f>
        <v>0</v>
      </c>
      <c r="J953" s="99" t="n">
        <f aca="false">IF(OR('Loan Tape'!$AN40=0,'Loan Tape'!$Z40="Interest Only",'Loan Tape'!$Z40=""),0,MIN(MAX(0,J44-J650),IFERROR(MAX(0,MIN(8,'Loan Tape'!$AV40)-MAX(7,'Loan Tape'!$AT40))*IF(J347&lt;=0,J44/MAX(1,'Loan Tape'!$AU40-8+1),J347*J44/(1-(1+J347)^(-MAX(1,'Loan Tape'!$AU40-8+1)))-J347*J44),0)))</f>
        <v>0</v>
      </c>
      <c r="K953" s="99" t="n">
        <f aca="false">IF(OR('Loan Tape'!$AN40=0,'Loan Tape'!$Z40="Interest Only",'Loan Tape'!$Z40=""),0,MIN(MAX(0,K44-K650),IFERROR(MAX(0,MIN(9,'Loan Tape'!$AV40)-MAX(8,'Loan Tape'!$AT40))*IF(K347&lt;=0,K44/MAX(1,'Loan Tape'!$AU40-9+1),K347*K44/(1-(1+K347)^(-MAX(1,'Loan Tape'!$AU40-9+1)))-K347*K44),0)))</f>
        <v>0</v>
      </c>
      <c r="L953" s="99" t="n">
        <f aca="false">IF(OR('Loan Tape'!$AN40=0,'Loan Tape'!$Z40="Interest Only",'Loan Tape'!$Z40=""),0,MIN(MAX(0,L44-L650),IFERROR(MAX(0,MIN(10,'Loan Tape'!$AV40)-MAX(9,'Loan Tape'!$AT40))*IF(L347&lt;=0,L44/MAX(1,'Loan Tape'!$AU40-10+1),L347*L44/(1-(1+L347)^(-MAX(1,'Loan Tape'!$AU40-10+1)))-L347*L44),0)))</f>
        <v>0</v>
      </c>
    </row>
    <row r="954" customFormat="false" ht="15" hidden="false" customHeight="false" outlineLevel="0" collapsed="false">
      <c r="B954" s="108" t="str">
        <f aca="false">'Loan Tape'!$A41</f>
        <v>L-038</v>
      </c>
      <c r="C954" s="71" t="n">
        <f aca="false">IF(OR('Loan Tape'!$AN41=0,'Loan Tape'!$Z41="Interest Only",'Loan Tape'!$Z41=""),0,MIN(MAX(0,C45-C651),IFERROR(MAX(0,MIN(1,'Loan Tape'!$AV41)-MAX(0,'Loan Tape'!$AT41))*IF(C348&lt;=0,C45/MAX(1,'Loan Tape'!$AU41-1+1),C348*C45/(1-(1+C348)^(-MAX(1,'Loan Tape'!$AU41-1+1)))-C348*C45),0)))</f>
        <v>58033.3498379528</v>
      </c>
      <c r="D954" s="71" t="n">
        <f aca="false">IF(OR('Loan Tape'!$AN41=0,'Loan Tape'!$Z41="Interest Only",'Loan Tape'!$Z41=""),0,MIN(MAX(0,D45-D651),IFERROR(MAX(0,MIN(2,'Loan Tape'!$AV41)-MAX(1,'Loan Tape'!$AT41))*IF(D348&lt;=0,D45/MAX(1,'Loan Tape'!$AU41-2+1),D348*D45/(1-(1+D348)^(-MAX(1,'Loan Tape'!$AU41-2+1)))-D348*D45),0)))</f>
        <v>65212.9673158961</v>
      </c>
      <c r="E954" s="71" t="n">
        <f aca="false">IF(OR('Loan Tape'!$AN41=0,'Loan Tape'!$Z41="Interest Only",'Loan Tape'!$Z41=""),0,MIN(MAX(0,E45-E651),IFERROR(MAX(0,MIN(3,'Loan Tape'!$AV41)-MAX(2,'Loan Tape'!$AT41))*IF(E348&lt;=0,E45/MAX(1,'Loan Tape'!$AU41-3+1),E348*E45/(1-(1+E348)^(-MAX(1,'Loan Tape'!$AU41-3+1)))-E348*E45),0)))</f>
        <v>64889.9348616274</v>
      </c>
      <c r="F954" s="71" t="n">
        <f aca="false">IF(OR('Loan Tape'!$AN41=0,'Loan Tape'!$Z41="Interest Only",'Loan Tape'!$Z41=""),0,MIN(MAX(0,F45-F651),IFERROR(MAX(0,MIN(4,'Loan Tape'!$AV41)-MAX(3,'Loan Tape'!$AT41))*IF(F348&lt;=0,F45/MAX(1,'Loan Tape'!$AU41-4+1),F348*F45/(1-(1+F348)^(-MAX(1,'Loan Tape'!$AU41-4+1)))-F348*F45),0)))</f>
        <v>62310.6109587783</v>
      </c>
      <c r="G954" s="71" t="n">
        <f aca="false">IF(OR('Loan Tape'!$AN41=0,'Loan Tape'!$Z41="Interest Only",'Loan Tape'!$Z41=""),0,MIN(MAX(0,G45-G651),IFERROR(MAX(0,MIN(5,'Loan Tape'!$AV41)-MAX(4,'Loan Tape'!$AT41))*IF(G348&lt;=0,G45/MAX(1,'Loan Tape'!$AU41-5+1),G348*G45/(1-(1+G348)^(-MAX(1,'Loan Tape'!$AU41-5+1)))-G348*G45),0)))</f>
        <v>58821.3933832336</v>
      </c>
      <c r="H954" s="71" t="n">
        <f aca="false">IF(OR('Loan Tape'!$AN41=0,'Loan Tape'!$Z41="Interest Only",'Loan Tape'!$Z41=""),0,MIN(MAX(0,H45-H651),IFERROR(MAX(0,MIN(6,'Loan Tape'!$AV41)-MAX(5,'Loan Tape'!$AT41))*IF(H348&lt;=0,H45/MAX(1,'Loan Tape'!$AU41-6+1),H348*H45/(1-(1+H348)^(-MAX(1,'Loan Tape'!$AU41-6+1)))-H348*H45),0)))</f>
        <v>0</v>
      </c>
      <c r="I954" s="71" t="n">
        <f aca="false">IF(OR('Loan Tape'!$AN41=0,'Loan Tape'!$Z41="Interest Only",'Loan Tape'!$Z41=""),0,MIN(MAX(0,I45-I651),IFERROR(MAX(0,MIN(7,'Loan Tape'!$AV41)-MAX(6,'Loan Tape'!$AT41))*IF(I348&lt;=0,I45/MAX(1,'Loan Tape'!$AU41-7+1),I348*I45/(1-(1+I348)^(-MAX(1,'Loan Tape'!$AU41-7+1)))-I348*I45),0)))</f>
        <v>0</v>
      </c>
      <c r="J954" s="71" t="n">
        <f aca="false">IF(OR('Loan Tape'!$AN41=0,'Loan Tape'!$Z41="Interest Only",'Loan Tape'!$Z41=""),0,MIN(MAX(0,J45-J651),IFERROR(MAX(0,MIN(8,'Loan Tape'!$AV41)-MAX(7,'Loan Tape'!$AT41))*IF(J348&lt;=0,J45/MAX(1,'Loan Tape'!$AU41-8+1),J348*J45/(1-(1+J348)^(-MAX(1,'Loan Tape'!$AU41-8+1)))-J348*J45),0)))</f>
        <v>0</v>
      </c>
      <c r="K954" s="71" t="n">
        <f aca="false">IF(OR('Loan Tape'!$AN41=0,'Loan Tape'!$Z41="Interest Only",'Loan Tape'!$Z41=""),0,MIN(MAX(0,K45-K651),IFERROR(MAX(0,MIN(9,'Loan Tape'!$AV41)-MAX(8,'Loan Tape'!$AT41))*IF(K348&lt;=0,K45/MAX(1,'Loan Tape'!$AU41-9+1),K348*K45/(1-(1+K348)^(-MAX(1,'Loan Tape'!$AU41-9+1)))-K348*K45),0)))</f>
        <v>0</v>
      </c>
      <c r="L954" s="71" t="n">
        <f aca="false">IF(OR('Loan Tape'!$AN41=0,'Loan Tape'!$Z41="Interest Only",'Loan Tape'!$Z41=""),0,MIN(MAX(0,L45-L651),IFERROR(MAX(0,MIN(10,'Loan Tape'!$AV41)-MAX(9,'Loan Tape'!$AT41))*IF(L348&lt;=0,L45/MAX(1,'Loan Tape'!$AU41-10+1),L348*L45/(1-(1+L348)^(-MAX(1,'Loan Tape'!$AU41-10+1)))-L348*L45),0)))</f>
        <v>0</v>
      </c>
    </row>
    <row r="955" customFormat="false" ht="15" hidden="false" customHeight="false" outlineLevel="0" collapsed="false">
      <c r="B955" s="102" t="str">
        <f aca="false">'Loan Tape'!$A42</f>
        <v>L-039</v>
      </c>
      <c r="C955" s="99" t="n">
        <f aca="false">IF(OR('Loan Tape'!$AN42=0,'Loan Tape'!$Z42="Interest Only",'Loan Tape'!$Z42=""),0,MIN(MAX(0,C46-C652),IFERROR(MAX(0,MIN(1,'Loan Tape'!$AV42)-MAX(0,'Loan Tape'!$AT42))*IF(C349&lt;=0,C46/MAX(1,'Loan Tape'!$AU42-1+1),C349*C46/(1-(1+C349)^(-MAX(1,'Loan Tape'!$AU42-1+1)))-C349*C46),0)))</f>
        <v>65225.7968169804</v>
      </c>
      <c r="D955" s="99" t="n">
        <f aca="false">IF(OR('Loan Tape'!$AN42=0,'Loan Tape'!$Z42="Interest Only",'Loan Tape'!$Z42=""),0,MIN(MAX(0,D46-D652),IFERROR(MAX(0,MIN(2,'Loan Tape'!$AV42)-MAX(1,'Loan Tape'!$AT42))*IF(D349&lt;=0,D46/MAX(1,'Loan Tape'!$AU42-2+1),D349*D46/(1-(1+D349)^(-MAX(1,'Loan Tape'!$AU42-2+1)))-D349*D46),0)))</f>
        <v>66371.3510338199</v>
      </c>
      <c r="E955" s="99" t="n">
        <f aca="false">IF(OR('Loan Tape'!$AN42=0,'Loan Tape'!$Z42="Interest Only",'Loan Tape'!$Z42=""),0,MIN(MAX(0,E46-E652),IFERROR(MAX(0,MIN(3,'Loan Tape'!$AV42)-MAX(2,'Loan Tape'!$AT42))*IF(E349&lt;=0,E46/MAX(1,'Loan Tape'!$AU42-3+1),E349*E46/(1-(1+E349)^(-MAX(1,'Loan Tape'!$AU42-3+1)))-E349*E46),0)))</f>
        <v>66140.6701288122</v>
      </c>
      <c r="F955" s="99" t="n">
        <f aca="false">IF(OR('Loan Tape'!$AN42=0,'Loan Tape'!$Z42="Interest Only",'Loan Tape'!$Z42=""),0,MIN(MAX(0,F46-F652),IFERROR(MAX(0,MIN(4,'Loan Tape'!$AV42)-MAX(3,'Loan Tape'!$AT42))*IF(F349&lt;=0,F46/MAX(1,'Loan Tape'!$AU42-4+1),F349*F46/(1-(1+F349)^(-MAX(1,'Loan Tape'!$AU42-4+1)))-F349*F46),0)))</f>
        <v>63991.2587899386</v>
      </c>
      <c r="G955" s="99" t="n">
        <f aca="false">IF(OR('Loan Tape'!$AN42=0,'Loan Tape'!$Z42="Interest Only",'Loan Tape'!$Z42=""),0,MIN(MAX(0,G46-G652),IFERROR(MAX(0,MIN(5,'Loan Tape'!$AV42)-MAX(4,'Loan Tape'!$AT42))*IF(G349&lt;=0,G46/MAX(1,'Loan Tape'!$AU42-5+1),G349*G46/(1-(1+G349)^(-MAX(1,'Loan Tape'!$AU42-5+1)))-G349*G46),0)))</f>
        <v>20764.7296690188</v>
      </c>
      <c r="H955" s="99" t="n">
        <f aca="false">IF(OR('Loan Tape'!$AN42=0,'Loan Tape'!$Z42="Interest Only",'Loan Tape'!$Z42=""),0,MIN(MAX(0,H46-H652),IFERROR(MAX(0,MIN(6,'Loan Tape'!$AV42)-MAX(5,'Loan Tape'!$AT42))*IF(H349&lt;=0,H46/MAX(1,'Loan Tape'!$AU42-6+1),H349*H46/(1-(1+H349)^(-MAX(1,'Loan Tape'!$AU42-6+1)))-H349*H46),0)))</f>
        <v>0</v>
      </c>
      <c r="I955" s="99" t="n">
        <f aca="false">IF(OR('Loan Tape'!$AN42=0,'Loan Tape'!$Z42="Interest Only",'Loan Tape'!$Z42=""),0,MIN(MAX(0,I46-I652),IFERROR(MAX(0,MIN(7,'Loan Tape'!$AV42)-MAX(6,'Loan Tape'!$AT42))*IF(I349&lt;=0,I46/MAX(1,'Loan Tape'!$AU42-7+1),I349*I46/(1-(1+I349)^(-MAX(1,'Loan Tape'!$AU42-7+1)))-I349*I46),0)))</f>
        <v>0</v>
      </c>
      <c r="J955" s="99" t="n">
        <f aca="false">IF(OR('Loan Tape'!$AN42=0,'Loan Tape'!$Z42="Interest Only",'Loan Tape'!$Z42=""),0,MIN(MAX(0,J46-J652),IFERROR(MAX(0,MIN(8,'Loan Tape'!$AV42)-MAX(7,'Loan Tape'!$AT42))*IF(J349&lt;=0,J46/MAX(1,'Loan Tape'!$AU42-8+1),J349*J46/(1-(1+J349)^(-MAX(1,'Loan Tape'!$AU42-8+1)))-J349*J46),0)))</f>
        <v>0</v>
      </c>
      <c r="K955" s="99" t="n">
        <f aca="false">IF(OR('Loan Tape'!$AN42=0,'Loan Tape'!$Z42="Interest Only",'Loan Tape'!$Z42=""),0,MIN(MAX(0,K46-K652),IFERROR(MAX(0,MIN(9,'Loan Tape'!$AV42)-MAX(8,'Loan Tape'!$AT42))*IF(K349&lt;=0,K46/MAX(1,'Loan Tape'!$AU42-9+1),K349*K46/(1-(1+K349)^(-MAX(1,'Loan Tape'!$AU42-9+1)))-K349*K46),0)))</f>
        <v>0</v>
      </c>
      <c r="L955" s="99" t="n">
        <f aca="false">IF(OR('Loan Tape'!$AN42=0,'Loan Tape'!$Z42="Interest Only",'Loan Tape'!$Z42=""),0,MIN(MAX(0,L46-L652),IFERROR(MAX(0,MIN(10,'Loan Tape'!$AV42)-MAX(9,'Loan Tape'!$AT42))*IF(L349&lt;=0,L46/MAX(1,'Loan Tape'!$AU42-10+1),L349*L46/(1-(1+L349)^(-MAX(1,'Loan Tape'!$AU42-10+1)))-L349*L46),0)))</f>
        <v>0</v>
      </c>
    </row>
    <row r="956" customFormat="false" ht="15" hidden="false" customHeight="false" outlineLevel="0" collapsed="false">
      <c r="B956" s="108" t="str">
        <f aca="false">'Loan Tape'!$A43</f>
        <v>L-040</v>
      </c>
      <c r="C956" s="71" t="n">
        <f aca="false">IF(OR('Loan Tape'!$AN43=0,'Loan Tape'!$Z43="Interest Only",'Loan Tape'!$Z43=""),0,MIN(MAX(0,C47-C653),IFERROR(MAX(0,MIN(1,'Loan Tape'!$AV43)-MAX(0,'Loan Tape'!$AT43))*IF(C350&lt;=0,C47/MAX(1,'Loan Tape'!$AU43-1+1),C350*C47/(1-(1+C350)^(-MAX(1,'Loan Tape'!$AU43-1+1)))-C350*C47),0)))</f>
        <v>2284398.24391535</v>
      </c>
      <c r="D956" s="71" t="n">
        <f aca="false">IF(OR('Loan Tape'!$AN43=0,'Loan Tape'!$Z43="Interest Only",'Loan Tape'!$Z43=""),0,MIN(MAX(0,D47-D653),IFERROR(MAX(0,MIN(2,'Loan Tape'!$AV43)-MAX(1,'Loan Tape'!$AT43))*IF(D350&lt;=0,D47/MAX(1,'Loan Tape'!$AU43-2+1),D350*D47/(1-(1+D350)^(-MAX(1,'Loan Tape'!$AU43-2+1)))-D350*D47),0)))</f>
        <v>2094835.16696087</v>
      </c>
      <c r="E956" s="71" t="n">
        <f aca="false">IF(OR('Loan Tape'!$AN43=0,'Loan Tape'!$Z43="Interest Only",'Loan Tape'!$Z43=""),0,MIN(MAX(0,E47-E653),IFERROR(MAX(0,MIN(3,'Loan Tape'!$AV43)-MAX(2,'Loan Tape'!$AT43))*IF(E350&lt;=0,E47/MAX(1,'Loan Tape'!$AU43-3+1),E350*E47/(1-(1+E350)^(-MAX(1,'Loan Tape'!$AU43-3+1)))-E350*E47),0)))</f>
        <v>966115.525500214</v>
      </c>
      <c r="F956" s="71" t="n">
        <f aca="false">IF(OR('Loan Tape'!$AN43=0,'Loan Tape'!$Z43="Interest Only",'Loan Tape'!$Z43=""),0,MIN(MAX(0,F47-F653),IFERROR(MAX(0,MIN(4,'Loan Tape'!$AV43)-MAX(3,'Loan Tape'!$AT43))*IF(F350&lt;=0,F47/MAX(1,'Loan Tape'!$AU43-4+1),F350*F47/(1-(1+F350)^(-MAX(1,'Loan Tape'!$AU43-4+1)))-F350*F47),0)))</f>
        <v>0</v>
      </c>
      <c r="G956" s="71" t="n">
        <f aca="false">IF(OR('Loan Tape'!$AN43=0,'Loan Tape'!$Z43="Interest Only",'Loan Tape'!$Z43=""),0,MIN(MAX(0,G47-G653),IFERROR(MAX(0,MIN(5,'Loan Tape'!$AV43)-MAX(4,'Loan Tape'!$AT43))*IF(G350&lt;=0,G47/MAX(1,'Loan Tape'!$AU43-5+1),G350*G47/(1-(1+G350)^(-MAX(1,'Loan Tape'!$AU43-5+1)))-G350*G47),0)))</f>
        <v>0</v>
      </c>
      <c r="H956" s="71" t="n">
        <f aca="false">IF(OR('Loan Tape'!$AN43=0,'Loan Tape'!$Z43="Interest Only",'Loan Tape'!$Z43=""),0,MIN(MAX(0,H47-H653),IFERROR(MAX(0,MIN(6,'Loan Tape'!$AV43)-MAX(5,'Loan Tape'!$AT43))*IF(H350&lt;=0,H47/MAX(1,'Loan Tape'!$AU43-6+1),H350*H47/(1-(1+H350)^(-MAX(1,'Loan Tape'!$AU43-6+1)))-H350*H47),0)))</f>
        <v>0</v>
      </c>
      <c r="I956" s="71" t="n">
        <f aca="false">IF(OR('Loan Tape'!$AN43=0,'Loan Tape'!$Z43="Interest Only",'Loan Tape'!$Z43=""),0,MIN(MAX(0,I47-I653),IFERROR(MAX(0,MIN(7,'Loan Tape'!$AV43)-MAX(6,'Loan Tape'!$AT43))*IF(I350&lt;=0,I47/MAX(1,'Loan Tape'!$AU43-7+1),I350*I47/(1-(1+I350)^(-MAX(1,'Loan Tape'!$AU43-7+1)))-I350*I47),0)))</f>
        <v>0</v>
      </c>
      <c r="J956" s="71" t="n">
        <f aca="false">IF(OR('Loan Tape'!$AN43=0,'Loan Tape'!$Z43="Interest Only",'Loan Tape'!$Z43=""),0,MIN(MAX(0,J47-J653),IFERROR(MAX(0,MIN(8,'Loan Tape'!$AV43)-MAX(7,'Loan Tape'!$AT43))*IF(J350&lt;=0,J47/MAX(1,'Loan Tape'!$AU43-8+1),J350*J47/(1-(1+J350)^(-MAX(1,'Loan Tape'!$AU43-8+1)))-J350*J47),0)))</f>
        <v>0</v>
      </c>
      <c r="K956" s="71" t="n">
        <f aca="false">IF(OR('Loan Tape'!$AN43=0,'Loan Tape'!$Z43="Interest Only",'Loan Tape'!$Z43=""),0,MIN(MAX(0,K47-K653),IFERROR(MAX(0,MIN(9,'Loan Tape'!$AV43)-MAX(8,'Loan Tape'!$AT43))*IF(K350&lt;=0,K47/MAX(1,'Loan Tape'!$AU43-9+1),K350*K47/(1-(1+K350)^(-MAX(1,'Loan Tape'!$AU43-9+1)))-K350*K47),0)))</f>
        <v>0</v>
      </c>
      <c r="L956" s="71" t="n">
        <f aca="false">IF(OR('Loan Tape'!$AN43=0,'Loan Tape'!$Z43="Interest Only",'Loan Tape'!$Z43=""),0,MIN(MAX(0,L47-L653),IFERROR(MAX(0,MIN(10,'Loan Tape'!$AV43)-MAX(9,'Loan Tape'!$AT43))*IF(L350&lt;=0,L47/MAX(1,'Loan Tape'!$AU43-10+1),L350*L47/(1-(1+L350)^(-MAX(1,'Loan Tape'!$AU43-10+1)))-L350*L47),0)))</f>
        <v>0</v>
      </c>
    </row>
    <row r="957" customFormat="false" ht="15" hidden="false" customHeight="false" outlineLevel="0" collapsed="false">
      <c r="B957" s="102" t="str">
        <f aca="false">'Loan Tape'!$A44</f>
        <v>L-041</v>
      </c>
      <c r="C957" s="99" t="n">
        <f aca="false">IF(OR('Loan Tape'!$AN44=0,'Loan Tape'!$Z44="Interest Only",'Loan Tape'!$Z44=""),0,MIN(MAX(0,C48-C654),IFERROR(MAX(0,MIN(1,'Loan Tape'!$AV44)-MAX(0,'Loan Tape'!$AT44))*IF(C351&lt;=0,C48/MAX(1,'Loan Tape'!$AU44-1+1),C351*C48/(1-(1+C351)^(-MAX(1,'Loan Tape'!$AU44-1+1)))-C351*C48),0)))</f>
        <v>613601.11692267</v>
      </c>
      <c r="D957" s="99" t="n">
        <f aca="false">IF(OR('Loan Tape'!$AN44=0,'Loan Tape'!$Z44="Interest Only",'Loan Tape'!$Z44=""),0,MIN(MAX(0,D48-D654),IFERROR(MAX(0,MIN(2,'Loan Tape'!$AV44)-MAX(1,'Loan Tape'!$AT44))*IF(D351&lt;=0,D48/MAX(1,'Loan Tape'!$AU44-2+1),D351*D48/(1-(1+D351)^(-MAX(1,'Loan Tape'!$AU44-2+1)))-D351*D48),0)))</f>
        <v>0</v>
      </c>
      <c r="E957" s="99" t="n">
        <f aca="false">IF(OR('Loan Tape'!$AN44=0,'Loan Tape'!$Z44="Interest Only",'Loan Tape'!$Z44=""),0,MIN(MAX(0,E48-E654),IFERROR(MAX(0,MIN(3,'Loan Tape'!$AV44)-MAX(2,'Loan Tape'!$AT44))*IF(E351&lt;=0,E48/MAX(1,'Loan Tape'!$AU44-3+1),E351*E48/(1-(1+E351)^(-MAX(1,'Loan Tape'!$AU44-3+1)))-E351*E48),0)))</f>
        <v>0</v>
      </c>
      <c r="F957" s="99" t="n">
        <f aca="false">IF(OR('Loan Tape'!$AN44=0,'Loan Tape'!$Z44="Interest Only",'Loan Tape'!$Z44=""),0,MIN(MAX(0,F48-F654),IFERROR(MAX(0,MIN(4,'Loan Tape'!$AV44)-MAX(3,'Loan Tape'!$AT44))*IF(F351&lt;=0,F48/MAX(1,'Loan Tape'!$AU44-4+1),F351*F48/(1-(1+F351)^(-MAX(1,'Loan Tape'!$AU44-4+1)))-F351*F48),0)))</f>
        <v>0</v>
      </c>
      <c r="G957" s="99" t="n">
        <f aca="false">IF(OR('Loan Tape'!$AN44=0,'Loan Tape'!$Z44="Interest Only",'Loan Tape'!$Z44=""),0,MIN(MAX(0,G48-G654),IFERROR(MAX(0,MIN(5,'Loan Tape'!$AV44)-MAX(4,'Loan Tape'!$AT44))*IF(G351&lt;=0,G48/MAX(1,'Loan Tape'!$AU44-5+1),G351*G48/(1-(1+G351)^(-MAX(1,'Loan Tape'!$AU44-5+1)))-G351*G48),0)))</f>
        <v>0</v>
      </c>
      <c r="H957" s="99" t="n">
        <f aca="false">IF(OR('Loan Tape'!$AN44=0,'Loan Tape'!$Z44="Interest Only",'Loan Tape'!$Z44=""),0,MIN(MAX(0,H48-H654),IFERROR(MAX(0,MIN(6,'Loan Tape'!$AV44)-MAX(5,'Loan Tape'!$AT44))*IF(H351&lt;=0,H48/MAX(1,'Loan Tape'!$AU44-6+1),H351*H48/(1-(1+H351)^(-MAX(1,'Loan Tape'!$AU44-6+1)))-H351*H48),0)))</f>
        <v>0</v>
      </c>
      <c r="I957" s="99" t="n">
        <f aca="false">IF(OR('Loan Tape'!$AN44=0,'Loan Tape'!$Z44="Interest Only",'Loan Tape'!$Z44=""),0,MIN(MAX(0,I48-I654),IFERROR(MAX(0,MIN(7,'Loan Tape'!$AV44)-MAX(6,'Loan Tape'!$AT44))*IF(I351&lt;=0,I48/MAX(1,'Loan Tape'!$AU44-7+1),I351*I48/(1-(1+I351)^(-MAX(1,'Loan Tape'!$AU44-7+1)))-I351*I48),0)))</f>
        <v>0</v>
      </c>
      <c r="J957" s="99" t="n">
        <f aca="false">IF(OR('Loan Tape'!$AN44=0,'Loan Tape'!$Z44="Interest Only",'Loan Tape'!$Z44=""),0,MIN(MAX(0,J48-J654),IFERROR(MAX(0,MIN(8,'Loan Tape'!$AV44)-MAX(7,'Loan Tape'!$AT44))*IF(J351&lt;=0,J48/MAX(1,'Loan Tape'!$AU44-8+1),J351*J48/(1-(1+J351)^(-MAX(1,'Loan Tape'!$AU44-8+1)))-J351*J48),0)))</f>
        <v>0</v>
      </c>
      <c r="K957" s="99" t="n">
        <f aca="false">IF(OR('Loan Tape'!$AN44=0,'Loan Tape'!$Z44="Interest Only",'Loan Tape'!$Z44=""),0,MIN(MAX(0,K48-K654),IFERROR(MAX(0,MIN(9,'Loan Tape'!$AV44)-MAX(8,'Loan Tape'!$AT44))*IF(K351&lt;=0,K48/MAX(1,'Loan Tape'!$AU44-9+1),K351*K48/(1-(1+K351)^(-MAX(1,'Loan Tape'!$AU44-9+1)))-K351*K48),0)))</f>
        <v>0</v>
      </c>
      <c r="L957" s="99" t="n">
        <f aca="false">IF(OR('Loan Tape'!$AN44=0,'Loan Tape'!$Z44="Interest Only",'Loan Tape'!$Z44=""),0,MIN(MAX(0,L48-L654),IFERROR(MAX(0,MIN(10,'Loan Tape'!$AV44)-MAX(9,'Loan Tape'!$AT44))*IF(L351&lt;=0,L48/MAX(1,'Loan Tape'!$AU44-10+1),L351*L48/(1-(1+L351)^(-MAX(1,'Loan Tape'!$AU44-10+1)))-L351*L48),0)))</f>
        <v>0</v>
      </c>
    </row>
    <row r="958" customFormat="false" ht="15" hidden="false" customHeight="false" outlineLevel="0" collapsed="false">
      <c r="B958" s="108" t="str">
        <f aca="false">'Loan Tape'!$A45</f>
        <v>L-042</v>
      </c>
      <c r="C958" s="71" t="n">
        <f aca="false">IF(OR('Loan Tape'!$AN45=0,'Loan Tape'!$Z45="Interest Only",'Loan Tape'!$Z45=""),0,MIN(MAX(0,C49-C655),IFERROR(MAX(0,MIN(1,'Loan Tape'!$AV45)-MAX(0,'Loan Tape'!$AT45))*IF(C352&lt;=0,C49/MAX(1,'Loan Tape'!$AU45-1+1),C352*C49/(1-(1+C352)^(-MAX(1,'Loan Tape'!$AU45-1+1)))-C352*C49),0)))</f>
        <v>82839.6587556434</v>
      </c>
      <c r="D958" s="71" t="n">
        <f aca="false">IF(OR('Loan Tape'!$AN45=0,'Loan Tape'!$Z45="Interest Only",'Loan Tape'!$Z45=""),0,MIN(MAX(0,D49-D655),IFERROR(MAX(0,MIN(2,'Loan Tape'!$AV45)-MAX(1,'Loan Tape'!$AT45))*IF(D352&lt;=0,D49/MAX(1,'Loan Tape'!$AU45-2+1),D352*D49/(1-(1+D352)^(-MAX(1,'Loan Tape'!$AU45-2+1)))-D352*D49),0)))</f>
        <v>76660.3132877884</v>
      </c>
      <c r="E958" s="71" t="n">
        <f aca="false">IF(OR('Loan Tape'!$AN45=0,'Loan Tape'!$Z45="Interest Only",'Loan Tape'!$Z45=""),0,MIN(MAX(0,E49-E655),IFERROR(MAX(0,MIN(3,'Loan Tape'!$AV45)-MAX(2,'Loan Tape'!$AT45))*IF(E352&lt;=0,E49/MAX(1,'Loan Tape'!$AU45-3+1),E352*E49/(1-(1+E352)^(-MAX(1,'Loan Tape'!$AU45-3+1)))-E352*E49),0)))</f>
        <v>47480.9263876417</v>
      </c>
      <c r="F958" s="71" t="n">
        <f aca="false">IF(OR('Loan Tape'!$AN45=0,'Loan Tape'!$Z45="Interest Only",'Loan Tape'!$Z45=""),0,MIN(MAX(0,F49-F655),IFERROR(MAX(0,MIN(4,'Loan Tape'!$AV45)-MAX(3,'Loan Tape'!$AT45))*IF(F352&lt;=0,F49/MAX(1,'Loan Tape'!$AU45-4+1),F352*F49/(1-(1+F352)^(-MAX(1,'Loan Tape'!$AU45-4+1)))-F352*F49),0)))</f>
        <v>0</v>
      </c>
      <c r="G958" s="71" t="n">
        <f aca="false">IF(OR('Loan Tape'!$AN45=0,'Loan Tape'!$Z45="Interest Only",'Loan Tape'!$Z45=""),0,MIN(MAX(0,G49-G655),IFERROR(MAX(0,MIN(5,'Loan Tape'!$AV45)-MAX(4,'Loan Tape'!$AT45))*IF(G352&lt;=0,G49/MAX(1,'Loan Tape'!$AU45-5+1),G352*G49/(1-(1+G352)^(-MAX(1,'Loan Tape'!$AU45-5+1)))-G352*G49),0)))</f>
        <v>0</v>
      </c>
      <c r="H958" s="71" t="n">
        <f aca="false">IF(OR('Loan Tape'!$AN45=0,'Loan Tape'!$Z45="Interest Only",'Loan Tape'!$Z45=""),0,MIN(MAX(0,H49-H655),IFERROR(MAX(0,MIN(6,'Loan Tape'!$AV45)-MAX(5,'Loan Tape'!$AT45))*IF(H352&lt;=0,H49/MAX(1,'Loan Tape'!$AU45-6+1),H352*H49/(1-(1+H352)^(-MAX(1,'Loan Tape'!$AU45-6+1)))-H352*H49),0)))</f>
        <v>0</v>
      </c>
      <c r="I958" s="71" t="n">
        <f aca="false">IF(OR('Loan Tape'!$AN45=0,'Loan Tape'!$Z45="Interest Only",'Loan Tape'!$Z45=""),0,MIN(MAX(0,I49-I655),IFERROR(MAX(0,MIN(7,'Loan Tape'!$AV45)-MAX(6,'Loan Tape'!$AT45))*IF(I352&lt;=0,I49/MAX(1,'Loan Tape'!$AU45-7+1),I352*I49/(1-(1+I352)^(-MAX(1,'Loan Tape'!$AU45-7+1)))-I352*I49),0)))</f>
        <v>0</v>
      </c>
      <c r="J958" s="71" t="n">
        <f aca="false">IF(OR('Loan Tape'!$AN45=0,'Loan Tape'!$Z45="Interest Only",'Loan Tape'!$Z45=""),0,MIN(MAX(0,J49-J655),IFERROR(MAX(0,MIN(8,'Loan Tape'!$AV45)-MAX(7,'Loan Tape'!$AT45))*IF(J352&lt;=0,J49/MAX(1,'Loan Tape'!$AU45-8+1),J352*J49/(1-(1+J352)^(-MAX(1,'Loan Tape'!$AU45-8+1)))-J352*J49),0)))</f>
        <v>0</v>
      </c>
      <c r="K958" s="71" t="n">
        <f aca="false">IF(OR('Loan Tape'!$AN45=0,'Loan Tape'!$Z45="Interest Only",'Loan Tape'!$Z45=""),0,MIN(MAX(0,K49-K655),IFERROR(MAX(0,MIN(9,'Loan Tape'!$AV45)-MAX(8,'Loan Tape'!$AT45))*IF(K352&lt;=0,K49/MAX(1,'Loan Tape'!$AU45-9+1),K352*K49/(1-(1+K352)^(-MAX(1,'Loan Tape'!$AU45-9+1)))-K352*K49),0)))</f>
        <v>0</v>
      </c>
      <c r="L958" s="71" t="n">
        <f aca="false">IF(OR('Loan Tape'!$AN45=0,'Loan Tape'!$Z45="Interest Only",'Loan Tape'!$Z45=""),0,MIN(MAX(0,L49-L655),IFERROR(MAX(0,MIN(10,'Loan Tape'!$AV45)-MAX(9,'Loan Tape'!$AT45))*IF(L352&lt;=0,L49/MAX(1,'Loan Tape'!$AU45-10+1),L352*L49/(1-(1+L352)^(-MAX(1,'Loan Tape'!$AU45-10+1)))-L352*L49),0)))</f>
        <v>0</v>
      </c>
    </row>
    <row r="959" customFormat="false" ht="15" hidden="false" customHeight="false" outlineLevel="0" collapsed="false">
      <c r="B959" s="102" t="str">
        <f aca="false">'Loan Tape'!$A46</f>
        <v>L-043</v>
      </c>
      <c r="C959" s="99" t="n">
        <f aca="false">IF(OR('Loan Tape'!$AN46=0,'Loan Tape'!$Z46="Interest Only",'Loan Tape'!$Z46=""),0,MIN(MAX(0,C50-C656),IFERROR(MAX(0,MIN(1,'Loan Tape'!$AV46)-MAX(0,'Loan Tape'!$AT46))*IF(C353&lt;=0,C50/MAX(1,'Loan Tape'!$AU46-1+1),C353*C50/(1-(1+C353)^(-MAX(1,'Loan Tape'!$AU46-1+1)))-C353*C50),0)))</f>
        <v>173610.000753045</v>
      </c>
      <c r="D959" s="99" t="n">
        <f aca="false">IF(OR('Loan Tape'!$AN46=0,'Loan Tape'!$Z46="Interest Only",'Loan Tape'!$Z46=""),0,MIN(MAX(0,D50-D656),IFERROR(MAX(0,MIN(2,'Loan Tape'!$AV46)-MAX(1,'Loan Tape'!$AT46))*IF(D353&lt;=0,D50/MAX(1,'Loan Tape'!$AU46-2+1),D353*D50/(1-(1+D353)^(-MAX(1,'Loan Tape'!$AU46-2+1)))-D353*D50),0)))</f>
        <v>172816.214038548</v>
      </c>
      <c r="E959" s="99" t="n">
        <f aca="false">IF(OR('Loan Tape'!$AN46=0,'Loan Tape'!$Z46="Interest Only",'Loan Tape'!$Z46=""),0,MIN(MAX(0,E50-E656),IFERROR(MAX(0,MIN(3,'Loan Tape'!$AV46)-MAX(2,'Loan Tape'!$AT46))*IF(E353&lt;=0,E50/MAX(1,'Loan Tape'!$AU46-3+1),E353*E50/(1-(1+E353)^(-MAX(1,'Loan Tape'!$AU46-3+1)))-E353*E50),0)))</f>
        <v>168648.115722357</v>
      </c>
      <c r="F959" s="99" t="n">
        <f aca="false">IF(OR('Loan Tape'!$AN46=0,'Loan Tape'!$Z46="Interest Only",'Loan Tape'!$Z46=""),0,MIN(MAX(0,F50-F656),IFERROR(MAX(0,MIN(4,'Loan Tape'!$AV46)-MAX(3,'Loan Tape'!$AT46))*IF(F353&lt;=0,F50/MAX(1,'Loan Tape'!$AU46-4+1),F353*F50/(1-(1+F353)^(-MAX(1,'Loan Tape'!$AU46-4+1)))-F353*F50),0)))</f>
        <v>40985.6482698596</v>
      </c>
      <c r="G959" s="99" t="n">
        <f aca="false">IF(OR('Loan Tape'!$AN46=0,'Loan Tape'!$Z46="Interest Only",'Loan Tape'!$Z46=""),0,MIN(MAX(0,G50-G656),IFERROR(MAX(0,MIN(5,'Loan Tape'!$AV46)-MAX(4,'Loan Tape'!$AT46))*IF(G353&lt;=0,G50/MAX(1,'Loan Tape'!$AU46-5+1),G353*G50/(1-(1+G353)^(-MAX(1,'Loan Tape'!$AU46-5+1)))-G353*G50),0)))</f>
        <v>0</v>
      </c>
      <c r="H959" s="99" t="n">
        <f aca="false">IF(OR('Loan Tape'!$AN46=0,'Loan Tape'!$Z46="Interest Only",'Loan Tape'!$Z46=""),0,MIN(MAX(0,H50-H656),IFERROR(MAX(0,MIN(6,'Loan Tape'!$AV46)-MAX(5,'Loan Tape'!$AT46))*IF(H353&lt;=0,H50/MAX(1,'Loan Tape'!$AU46-6+1),H353*H50/(1-(1+H353)^(-MAX(1,'Loan Tape'!$AU46-6+1)))-H353*H50),0)))</f>
        <v>0</v>
      </c>
      <c r="I959" s="99" t="n">
        <f aca="false">IF(OR('Loan Tape'!$AN46=0,'Loan Tape'!$Z46="Interest Only",'Loan Tape'!$Z46=""),0,MIN(MAX(0,I50-I656),IFERROR(MAX(0,MIN(7,'Loan Tape'!$AV46)-MAX(6,'Loan Tape'!$AT46))*IF(I353&lt;=0,I50/MAX(1,'Loan Tape'!$AU46-7+1),I353*I50/(1-(1+I353)^(-MAX(1,'Loan Tape'!$AU46-7+1)))-I353*I50),0)))</f>
        <v>0</v>
      </c>
      <c r="J959" s="99" t="n">
        <f aca="false">IF(OR('Loan Tape'!$AN46=0,'Loan Tape'!$Z46="Interest Only",'Loan Tape'!$Z46=""),0,MIN(MAX(0,J50-J656),IFERROR(MAX(0,MIN(8,'Loan Tape'!$AV46)-MAX(7,'Loan Tape'!$AT46))*IF(J353&lt;=0,J50/MAX(1,'Loan Tape'!$AU46-8+1),J353*J50/(1-(1+J353)^(-MAX(1,'Loan Tape'!$AU46-8+1)))-J353*J50),0)))</f>
        <v>0</v>
      </c>
      <c r="K959" s="99" t="n">
        <f aca="false">IF(OR('Loan Tape'!$AN46=0,'Loan Tape'!$Z46="Interest Only",'Loan Tape'!$Z46=""),0,MIN(MAX(0,K50-K656),IFERROR(MAX(0,MIN(9,'Loan Tape'!$AV46)-MAX(8,'Loan Tape'!$AT46))*IF(K353&lt;=0,K50/MAX(1,'Loan Tape'!$AU46-9+1),K353*K50/(1-(1+K353)^(-MAX(1,'Loan Tape'!$AU46-9+1)))-K353*K50),0)))</f>
        <v>0</v>
      </c>
      <c r="L959" s="99" t="n">
        <f aca="false">IF(OR('Loan Tape'!$AN46=0,'Loan Tape'!$Z46="Interest Only",'Loan Tape'!$Z46=""),0,MIN(MAX(0,L50-L656),IFERROR(MAX(0,MIN(10,'Loan Tape'!$AV46)-MAX(9,'Loan Tape'!$AT46))*IF(L353&lt;=0,L50/MAX(1,'Loan Tape'!$AU46-10+1),L353*L50/(1-(1+L353)^(-MAX(1,'Loan Tape'!$AU46-10+1)))-L353*L50),0)))</f>
        <v>0</v>
      </c>
    </row>
    <row r="960" customFormat="false" ht="15" hidden="false" customHeight="false" outlineLevel="0" collapsed="false">
      <c r="B960" s="108" t="str">
        <f aca="false">'Loan Tape'!$A47</f>
        <v>L-044</v>
      </c>
      <c r="C960" s="71" t="n">
        <f aca="false">IF(OR('Loan Tape'!$AN47=0,'Loan Tape'!$Z47="Interest Only",'Loan Tape'!$Z47=""),0,MIN(MAX(0,C51-C657),IFERROR(MAX(0,MIN(1,'Loan Tape'!$AV47)-MAX(0,'Loan Tape'!$AT47))*IF(C354&lt;=0,C51/MAX(1,'Loan Tape'!$AU47-1+1),C354*C51/(1-(1+C354)^(-MAX(1,'Loan Tape'!$AU47-1+1)))-C354*C51),0)))</f>
        <v>1254573.87358683</v>
      </c>
      <c r="D960" s="71" t="n">
        <f aca="false">IF(OR('Loan Tape'!$AN47=0,'Loan Tape'!$Z47="Interest Only",'Loan Tape'!$Z47=""),0,MIN(MAX(0,D51-D657),IFERROR(MAX(0,MIN(2,'Loan Tape'!$AV47)-MAX(1,'Loan Tape'!$AT47))*IF(D354&lt;=0,D51/MAX(1,'Loan Tape'!$AU47-2+1),D354*D51/(1-(1+D354)^(-MAX(1,'Loan Tape'!$AU47-2+1)))-D354*D51),0)))</f>
        <v>0</v>
      </c>
      <c r="E960" s="71" t="n">
        <f aca="false">IF(OR('Loan Tape'!$AN47=0,'Loan Tape'!$Z47="Interest Only",'Loan Tape'!$Z47=""),0,MIN(MAX(0,E51-E657),IFERROR(MAX(0,MIN(3,'Loan Tape'!$AV47)-MAX(2,'Loan Tape'!$AT47))*IF(E354&lt;=0,E51/MAX(1,'Loan Tape'!$AU47-3+1),E354*E51/(1-(1+E354)^(-MAX(1,'Loan Tape'!$AU47-3+1)))-E354*E51),0)))</f>
        <v>0</v>
      </c>
      <c r="F960" s="71" t="n">
        <f aca="false">IF(OR('Loan Tape'!$AN47=0,'Loan Tape'!$Z47="Interest Only",'Loan Tape'!$Z47=""),0,MIN(MAX(0,F51-F657),IFERROR(MAX(0,MIN(4,'Loan Tape'!$AV47)-MAX(3,'Loan Tape'!$AT47))*IF(F354&lt;=0,F51/MAX(1,'Loan Tape'!$AU47-4+1),F354*F51/(1-(1+F354)^(-MAX(1,'Loan Tape'!$AU47-4+1)))-F354*F51),0)))</f>
        <v>0</v>
      </c>
      <c r="G960" s="71" t="n">
        <f aca="false">IF(OR('Loan Tape'!$AN47=0,'Loan Tape'!$Z47="Interest Only",'Loan Tape'!$Z47=""),0,MIN(MAX(0,G51-G657),IFERROR(MAX(0,MIN(5,'Loan Tape'!$AV47)-MAX(4,'Loan Tape'!$AT47))*IF(G354&lt;=0,G51/MAX(1,'Loan Tape'!$AU47-5+1),G354*G51/(1-(1+G354)^(-MAX(1,'Loan Tape'!$AU47-5+1)))-G354*G51),0)))</f>
        <v>0</v>
      </c>
      <c r="H960" s="71" t="n">
        <f aca="false">IF(OR('Loan Tape'!$AN47=0,'Loan Tape'!$Z47="Interest Only",'Loan Tape'!$Z47=""),0,MIN(MAX(0,H51-H657),IFERROR(MAX(0,MIN(6,'Loan Tape'!$AV47)-MAX(5,'Loan Tape'!$AT47))*IF(H354&lt;=0,H51/MAX(1,'Loan Tape'!$AU47-6+1),H354*H51/(1-(1+H354)^(-MAX(1,'Loan Tape'!$AU47-6+1)))-H354*H51),0)))</f>
        <v>0</v>
      </c>
      <c r="I960" s="71" t="n">
        <f aca="false">IF(OR('Loan Tape'!$AN47=0,'Loan Tape'!$Z47="Interest Only",'Loan Tape'!$Z47=""),0,MIN(MAX(0,I51-I657),IFERROR(MAX(0,MIN(7,'Loan Tape'!$AV47)-MAX(6,'Loan Tape'!$AT47))*IF(I354&lt;=0,I51/MAX(1,'Loan Tape'!$AU47-7+1),I354*I51/(1-(1+I354)^(-MAX(1,'Loan Tape'!$AU47-7+1)))-I354*I51),0)))</f>
        <v>0</v>
      </c>
      <c r="J960" s="71" t="n">
        <f aca="false">IF(OR('Loan Tape'!$AN47=0,'Loan Tape'!$Z47="Interest Only",'Loan Tape'!$Z47=""),0,MIN(MAX(0,J51-J657),IFERROR(MAX(0,MIN(8,'Loan Tape'!$AV47)-MAX(7,'Loan Tape'!$AT47))*IF(J354&lt;=0,J51/MAX(1,'Loan Tape'!$AU47-8+1),J354*J51/(1-(1+J354)^(-MAX(1,'Loan Tape'!$AU47-8+1)))-J354*J51),0)))</f>
        <v>0</v>
      </c>
      <c r="K960" s="71" t="n">
        <f aca="false">IF(OR('Loan Tape'!$AN47=0,'Loan Tape'!$Z47="Interest Only",'Loan Tape'!$Z47=""),0,MIN(MAX(0,K51-K657),IFERROR(MAX(0,MIN(9,'Loan Tape'!$AV47)-MAX(8,'Loan Tape'!$AT47))*IF(K354&lt;=0,K51/MAX(1,'Loan Tape'!$AU47-9+1),K354*K51/(1-(1+K354)^(-MAX(1,'Loan Tape'!$AU47-9+1)))-K354*K51),0)))</f>
        <v>0</v>
      </c>
      <c r="L960" s="71" t="n">
        <f aca="false">IF(OR('Loan Tape'!$AN47=0,'Loan Tape'!$Z47="Interest Only",'Loan Tape'!$Z47=""),0,MIN(MAX(0,L51-L657),IFERROR(MAX(0,MIN(10,'Loan Tape'!$AV47)-MAX(9,'Loan Tape'!$AT47))*IF(L354&lt;=0,L51/MAX(1,'Loan Tape'!$AU47-10+1),L354*L51/(1-(1+L354)^(-MAX(1,'Loan Tape'!$AU47-10+1)))-L354*L51),0)))</f>
        <v>0</v>
      </c>
    </row>
    <row r="961" customFormat="false" ht="15" hidden="false" customHeight="false" outlineLevel="0" collapsed="false">
      <c r="B961" s="102" t="str">
        <f aca="false">'Loan Tape'!$A48</f>
        <v>L-045</v>
      </c>
      <c r="C961" s="99" t="n">
        <f aca="false">IF(OR('Loan Tape'!$AN48=0,'Loan Tape'!$Z48="Interest Only",'Loan Tape'!$Z48=""),0,MIN(MAX(0,C52-C658),IFERROR(MAX(0,MIN(1,'Loan Tape'!$AV48)-MAX(0,'Loan Tape'!$AT48))*IF(C355&lt;=0,C52/MAX(1,'Loan Tape'!$AU48-1+1),C355*C52/(1-(1+C355)^(-MAX(1,'Loan Tape'!$AU48-1+1)))-C355*C52),0)))</f>
        <v>141369.85323492</v>
      </c>
      <c r="D961" s="99" t="n">
        <f aca="false">IF(OR('Loan Tape'!$AN48=0,'Loan Tape'!$Z48="Interest Only",'Loan Tape'!$Z48=""),0,MIN(MAX(0,D52-D658),IFERROR(MAX(0,MIN(2,'Loan Tape'!$AV48)-MAX(1,'Loan Tape'!$AT48))*IF(D355&lt;=0,D52/MAX(1,'Loan Tape'!$AU48-2+1),D355*D52/(1-(1+D355)^(-MAX(1,'Loan Tape'!$AU48-2+1)))-D355*D52),0)))</f>
        <v>587287.409533804</v>
      </c>
      <c r="E961" s="99" t="n">
        <f aca="false">IF(OR('Loan Tape'!$AN48=0,'Loan Tape'!$Z48="Interest Only",'Loan Tape'!$Z48=""),0,MIN(MAX(0,E52-E658),IFERROR(MAX(0,MIN(3,'Loan Tape'!$AV48)-MAX(2,'Loan Tape'!$AT48))*IF(E355&lt;=0,E52/MAX(1,'Loan Tape'!$AU48-3+1),E355*E52/(1-(1+E355)^(-MAX(1,'Loan Tape'!$AU48-3+1)))-E355*E52),0)))</f>
        <v>590082.881119854</v>
      </c>
      <c r="F961" s="99" t="n">
        <f aca="false">IF(OR('Loan Tape'!$AN48=0,'Loan Tape'!$Z48="Interest Only",'Loan Tape'!$Z48=""),0,MIN(MAX(0,F52-F658),IFERROR(MAX(0,MIN(4,'Loan Tape'!$AV48)-MAX(3,'Loan Tape'!$AT48))*IF(F355&lt;=0,F52/MAX(1,'Loan Tape'!$AU48-4+1),F355*F52/(1-(1+F355)^(-MAX(1,'Loan Tape'!$AU48-4+1)))-F355*F52),0)))</f>
        <v>572138.113478045</v>
      </c>
      <c r="G961" s="99" t="n">
        <f aca="false">IF(OR('Loan Tape'!$AN48=0,'Loan Tape'!$Z48="Interest Only",'Loan Tape'!$Z48=""),0,MIN(MAX(0,G52-G658),IFERROR(MAX(0,MIN(5,'Loan Tape'!$AV48)-MAX(4,'Loan Tape'!$AT48))*IF(G355&lt;=0,G52/MAX(1,'Loan Tape'!$AU48-5+1),G355*G52/(1-(1+G355)^(-MAX(1,'Loan Tape'!$AU48-5+1)))-G355*G52),0)))</f>
        <v>545346.3767407</v>
      </c>
      <c r="H961" s="99" t="n">
        <f aca="false">IF(OR('Loan Tape'!$AN48=0,'Loan Tape'!$Z48="Interest Only",'Loan Tape'!$Z48=""),0,MIN(MAX(0,H52-H658),IFERROR(MAX(0,MIN(6,'Loan Tape'!$AV48)-MAX(5,'Loan Tape'!$AT48))*IF(H355&lt;=0,H52/MAX(1,'Loan Tape'!$AU48-6+1),H355*H52/(1-(1+H355)^(-MAX(1,'Loan Tape'!$AU48-6+1)))-H355*H52),0)))</f>
        <v>0</v>
      </c>
      <c r="I961" s="99" t="n">
        <f aca="false">IF(OR('Loan Tape'!$AN48=0,'Loan Tape'!$Z48="Interest Only",'Loan Tape'!$Z48=""),0,MIN(MAX(0,I52-I658),IFERROR(MAX(0,MIN(7,'Loan Tape'!$AV48)-MAX(6,'Loan Tape'!$AT48))*IF(I355&lt;=0,I52/MAX(1,'Loan Tape'!$AU48-7+1),I355*I52/(1-(1+I355)^(-MAX(1,'Loan Tape'!$AU48-7+1)))-I355*I52),0)))</f>
        <v>0</v>
      </c>
      <c r="J961" s="99" t="n">
        <f aca="false">IF(OR('Loan Tape'!$AN48=0,'Loan Tape'!$Z48="Interest Only",'Loan Tape'!$Z48=""),0,MIN(MAX(0,J52-J658),IFERROR(MAX(0,MIN(8,'Loan Tape'!$AV48)-MAX(7,'Loan Tape'!$AT48))*IF(J355&lt;=0,J52/MAX(1,'Loan Tape'!$AU48-8+1),J355*J52/(1-(1+J355)^(-MAX(1,'Loan Tape'!$AU48-8+1)))-J355*J52),0)))</f>
        <v>0</v>
      </c>
      <c r="K961" s="99" t="n">
        <f aca="false">IF(OR('Loan Tape'!$AN48=0,'Loan Tape'!$Z48="Interest Only",'Loan Tape'!$Z48=""),0,MIN(MAX(0,K52-K658),IFERROR(MAX(0,MIN(9,'Loan Tape'!$AV48)-MAX(8,'Loan Tape'!$AT48))*IF(K355&lt;=0,K52/MAX(1,'Loan Tape'!$AU48-9+1),K355*K52/(1-(1+K355)^(-MAX(1,'Loan Tape'!$AU48-9+1)))-K355*K52),0)))</f>
        <v>0</v>
      </c>
      <c r="L961" s="99" t="n">
        <f aca="false">IF(OR('Loan Tape'!$AN48=0,'Loan Tape'!$Z48="Interest Only",'Loan Tape'!$Z48=""),0,MIN(MAX(0,L52-L658),IFERROR(MAX(0,MIN(10,'Loan Tape'!$AV48)-MAX(9,'Loan Tape'!$AT48))*IF(L355&lt;=0,L52/MAX(1,'Loan Tape'!$AU48-10+1),L355*L52/(1-(1+L355)^(-MAX(1,'Loan Tape'!$AU48-10+1)))-L355*L52),0)))</f>
        <v>0</v>
      </c>
    </row>
    <row r="962" customFormat="false" ht="15" hidden="false" customHeight="false" outlineLevel="0" collapsed="false">
      <c r="B962" s="108" t="str">
        <f aca="false">'Loan Tape'!$A49</f>
        <v>L-046</v>
      </c>
      <c r="C962" s="71" t="n">
        <f aca="false">IF(OR('Loan Tape'!$AN49=0,'Loan Tape'!$Z49="Interest Only",'Loan Tape'!$Z49=""),0,MIN(MAX(0,C53-C659),IFERROR(MAX(0,MIN(1,'Loan Tape'!$AV49)-MAX(0,'Loan Tape'!$AT49))*IF(C356&lt;=0,C53/MAX(1,'Loan Tape'!$AU49-1+1),C356*C53/(1-(1+C356)^(-MAX(1,'Loan Tape'!$AU49-1+1)))-C356*C53),0)))</f>
        <v>2705418.51893781</v>
      </c>
      <c r="D962" s="71" t="n">
        <f aca="false">IF(OR('Loan Tape'!$AN49=0,'Loan Tape'!$Z49="Interest Only",'Loan Tape'!$Z49=""),0,MIN(MAX(0,D53-D659),IFERROR(MAX(0,MIN(2,'Loan Tape'!$AV49)-MAX(1,'Loan Tape'!$AT49))*IF(D356&lt;=0,D53/MAX(1,'Loan Tape'!$AU49-2+1),D356*D53/(1-(1+D356)^(-MAX(1,'Loan Tape'!$AU49-2+1)))-D356*D53),0)))</f>
        <v>0</v>
      </c>
      <c r="E962" s="71" t="n">
        <f aca="false">IF(OR('Loan Tape'!$AN49=0,'Loan Tape'!$Z49="Interest Only",'Loan Tape'!$Z49=""),0,MIN(MAX(0,E53-E659),IFERROR(MAX(0,MIN(3,'Loan Tape'!$AV49)-MAX(2,'Loan Tape'!$AT49))*IF(E356&lt;=0,E53/MAX(1,'Loan Tape'!$AU49-3+1),E356*E53/(1-(1+E356)^(-MAX(1,'Loan Tape'!$AU49-3+1)))-E356*E53),0)))</f>
        <v>0</v>
      </c>
      <c r="F962" s="71" t="n">
        <f aca="false">IF(OR('Loan Tape'!$AN49=0,'Loan Tape'!$Z49="Interest Only",'Loan Tape'!$Z49=""),0,MIN(MAX(0,F53-F659),IFERROR(MAX(0,MIN(4,'Loan Tape'!$AV49)-MAX(3,'Loan Tape'!$AT49))*IF(F356&lt;=0,F53/MAX(1,'Loan Tape'!$AU49-4+1),F356*F53/(1-(1+F356)^(-MAX(1,'Loan Tape'!$AU49-4+1)))-F356*F53),0)))</f>
        <v>0</v>
      </c>
      <c r="G962" s="71" t="n">
        <f aca="false">IF(OR('Loan Tape'!$AN49=0,'Loan Tape'!$Z49="Interest Only",'Loan Tape'!$Z49=""),0,MIN(MAX(0,G53-G659),IFERROR(MAX(0,MIN(5,'Loan Tape'!$AV49)-MAX(4,'Loan Tape'!$AT49))*IF(G356&lt;=0,G53/MAX(1,'Loan Tape'!$AU49-5+1),G356*G53/(1-(1+G356)^(-MAX(1,'Loan Tape'!$AU49-5+1)))-G356*G53),0)))</f>
        <v>0</v>
      </c>
      <c r="H962" s="71" t="n">
        <f aca="false">IF(OR('Loan Tape'!$AN49=0,'Loan Tape'!$Z49="Interest Only",'Loan Tape'!$Z49=""),0,MIN(MAX(0,H53-H659),IFERROR(MAX(0,MIN(6,'Loan Tape'!$AV49)-MAX(5,'Loan Tape'!$AT49))*IF(H356&lt;=0,H53/MAX(1,'Loan Tape'!$AU49-6+1),H356*H53/(1-(1+H356)^(-MAX(1,'Loan Tape'!$AU49-6+1)))-H356*H53),0)))</f>
        <v>0</v>
      </c>
      <c r="I962" s="71" t="n">
        <f aca="false">IF(OR('Loan Tape'!$AN49=0,'Loan Tape'!$Z49="Interest Only",'Loan Tape'!$Z49=""),0,MIN(MAX(0,I53-I659),IFERROR(MAX(0,MIN(7,'Loan Tape'!$AV49)-MAX(6,'Loan Tape'!$AT49))*IF(I356&lt;=0,I53/MAX(1,'Loan Tape'!$AU49-7+1),I356*I53/(1-(1+I356)^(-MAX(1,'Loan Tape'!$AU49-7+1)))-I356*I53),0)))</f>
        <v>0</v>
      </c>
      <c r="J962" s="71" t="n">
        <f aca="false">IF(OR('Loan Tape'!$AN49=0,'Loan Tape'!$Z49="Interest Only",'Loan Tape'!$Z49=""),0,MIN(MAX(0,J53-J659),IFERROR(MAX(0,MIN(8,'Loan Tape'!$AV49)-MAX(7,'Loan Tape'!$AT49))*IF(J356&lt;=0,J53/MAX(1,'Loan Tape'!$AU49-8+1),J356*J53/(1-(1+J356)^(-MAX(1,'Loan Tape'!$AU49-8+1)))-J356*J53),0)))</f>
        <v>0</v>
      </c>
      <c r="K962" s="71" t="n">
        <f aca="false">IF(OR('Loan Tape'!$AN49=0,'Loan Tape'!$Z49="Interest Only",'Loan Tape'!$Z49=""),0,MIN(MAX(0,K53-K659),IFERROR(MAX(0,MIN(9,'Loan Tape'!$AV49)-MAX(8,'Loan Tape'!$AT49))*IF(K356&lt;=0,K53/MAX(1,'Loan Tape'!$AU49-9+1),K356*K53/(1-(1+K356)^(-MAX(1,'Loan Tape'!$AU49-9+1)))-K356*K53),0)))</f>
        <v>0</v>
      </c>
      <c r="L962" s="71" t="n">
        <f aca="false">IF(OR('Loan Tape'!$AN49=0,'Loan Tape'!$Z49="Interest Only",'Loan Tape'!$Z49=""),0,MIN(MAX(0,L53-L659),IFERROR(MAX(0,MIN(10,'Loan Tape'!$AV49)-MAX(9,'Loan Tape'!$AT49))*IF(L356&lt;=0,L53/MAX(1,'Loan Tape'!$AU49-10+1),L356*L53/(1-(1+L356)^(-MAX(1,'Loan Tape'!$AU49-10+1)))-L356*L53),0)))</f>
        <v>0</v>
      </c>
    </row>
    <row r="963" customFormat="false" ht="15" hidden="false" customHeight="false" outlineLevel="0" collapsed="false">
      <c r="B963" s="102" t="str">
        <f aca="false">'Loan Tape'!$A50</f>
        <v>L-047</v>
      </c>
      <c r="C963" s="99" t="n">
        <f aca="false">IF(OR('Loan Tape'!$AN50=0,'Loan Tape'!$Z50="Interest Only",'Loan Tape'!$Z50=""),0,MIN(MAX(0,C54-C660),IFERROR(MAX(0,MIN(1,'Loan Tape'!$AV50)-MAX(0,'Loan Tape'!$AT50))*IF(C357&lt;=0,C54/MAX(1,'Loan Tape'!$AU50-1+1),C357*C54/(1-(1+C357)^(-MAX(1,'Loan Tape'!$AU50-1+1)))-C357*C54),0)))</f>
        <v>0</v>
      </c>
      <c r="D963" s="99" t="n">
        <f aca="false">IF(OR('Loan Tape'!$AN50=0,'Loan Tape'!$Z50="Interest Only",'Loan Tape'!$Z50=""),0,MIN(MAX(0,D54-D660),IFERROR(MAX(0,MIN(2,'Loan Tape'!$AV50)-MAX(1,'Loan Tape'!$AT50))*IF(D357&lt;=0,D54/MAX(1,'Loan Tape'!$AU50-2+1),D357*D54/(1-(1+D357)^(-MAX(1,'Loan Tape'!$AU50-2+1)))-D357*D54),0)))</f>
        <v>0</v>
      </c>
      <c r="E963" s="99" t="n">
        <f aca="false">IF(OR('Loan Tape'!$AN50=0,'Loan Tape'!$Z50="Interest Only",'Loan Tape'!$Z50=""),0,MIN(MAX(0,E54-E660),IFERROR(MAX(0,MIN(3,'Loan Tape'!$AV50)-MAX(2,'Loan Tape'!$AT50))*IF(E357&lt;=0,E54/MAX(1,'Loan Tape'!$AU50-3+1),E357*E54/(1-(1+E357)^(-MAX(1,'Loan Tape'!$AU50-3+1)))-E357*E54),0)))</f>
        <v>0</v>
      </c>
      <c r="F963" s="99" t="n">
        <f aca="false">IF(OR('Loan Tape'!$AN50=0,'Loan Tape'!$Z50="Interest Only",'Loan Tape'!$Z50=""),0,MIN(MAX(0,F54-F660),IFERROR(MAX(0,MIN(4,'Loan Tape'!$AV50)-MAX(3,'Loan Tape'!$AT50))*IF(F357&lt;=0,F54/MAX(1,'Loan Tape'!$AU50-4+1),F357*F54/(1-(1+F357)^(-MAX(1,'Loan Tape'!$AU50-4+1)))-F357*F54),0)))</f>
        <v>0</v>
      </c>
      <c r="G963" s="99" t="n">
        <f aca="false">IF(OR('Loan Tape'!$AN50=0,'Loan Tape'!$Z50="Interest Only",'Loan Tape'!$Z50=""),0,MIN(MAX(0,G54-G660),IFERROR(MAX(0,MIN(5,'Loan Tape'!$AV50)-MAX(4,'Loan Tape'!$AT50))*IF(G357&lt;=0,G54/MAX(1,'Loan Tape'!$AU50-5+1),G357*G54/(1-(1+G357)^(-MAX(1,'Loan Tape'!$AU50-5+1)))-G357*G54),0)))</f>
        <v>0</v>
      </c>
      <c r="H963" s="99" t="n">
        <f aca="false">IF(OR('Loan Tape'!$AN50=0,'Loan Tape'!$Z50="Interest Only",'Loan Tape'!$Z50=""),0,MIN(MAX(0,H54-H660),IFERROR(MAX(0,MIN(6,'Loan Tape'!$AV50)-MAX(5,'Loan Tape'!$AT50))*IF(H357&lt;=0,H54/MAX(1,'Loan Tape'!$AU50-6+1),H357*H54/(1-(1+H357)^(-MAX(1,'Loan Tape'!$AU50-6+1)))-H357*H54),0)))</f>
        <v>0</v>
      </c>
      <c r="I963" s="99" t="n">
        <f aca="false">IF(OR('Loan Tape'!$AN50=0,'Loan Tape'!$Z50="Interest Only",'Loan Tape'!$Z50=""),0,MIN(MAX(0,I54-I660),IFERROR(MAX(0,MIN(7,'Loan Tape'!$AV50)-MAX(6,'Loan Tape'!$AT50))*IF(I357&lt;=0,I54/MAX(1,'Loan Tape'!$AU50-7+1),I357*I54/(1-(1+I357)^(-MAX(1,'Loan Tape'!$AU50-7+1)))-I357*I54),0)))</f>
        <v>0</v>
      </c>
      <c r="J963" s="99" t="n">
        <f aca="false">IF(OR('Loan Tape'!$AN50=0,'Loan Tape'!$Z50="Interest Only",'Loan Tape'!$Z50=""),0,MIN(MAX(0,J54-J660),IFERROR(MAX(0,MIN(8,'Loan Tape'!$AV50)-MAX(7,'Loan Tape'!$AT50))*IF(J357&lt;=0,J54/MAX(1,'Loan Tape'!$AU50-8+1),J357*J54/(1-(1+J357)^(-MAX(1,'Loan Tape'!$AU50-8+1)))-J357*J54),0)))</f>
        <v>0</v>
      </c>
      <c r="K963" s="99" t="n">
        <f aca="false">IF(OR('Loan Tape'!$AN50=0,'Loan Tape'!$Z50="Interest Only",'Loan Tape'!$Z50=""),0,MIN(MAX(0,K54-K660),IFERROR(MAX(0,MIN(9,'Loan Tape'!$AV50)-MAX(8,'Loan Tape'!$AT50))*IF(K357&lt;=0,K54/MAX(1,'Loan Tape'!$AU50-9+1),K357*K54/(1-(1+K357)^(-MAX(1,'Loan Tape'!$AU50-9+1)))-K357*K54),0)))</f>
        <v>0</v>
      </c>
      <c r="L963" s="99" t="n">
        <f aca="false">IF(OR('Loan Tape'!$AN50=0,'Loan Tape'!$Z50="Interest Only",'Loan Tape'!$Z50=""),0,MIN(MAX(0,L54-L660),IFERROR(MAX(0,MIN(10,'Loan Tape'!$AV50)-MAX(9,'Loan Tape'!$AT50))*IF(L357&lt;=0,L54/MAX(1,'Loan Tape'!$AU50-10+1),L357*L54/(1-(1+L357)^(-MAX(1,'Loan Tape'!$AU50-10+1)))-L357*L54),0)))</f>
        <v>0</v>
      </c>
    </row>
    <row r="964" customFormat="false" ht="15" hidden="false" customHeight="false" outlineLevel="0" collapsed="false">
      <c r="B964" s="108" t="str">
        <f aca="false">'Loan Tape'!$A51</f>
        <v>L-048</v>
      </c>
      <c r="C964" s="71" t="n">
        <f aca="false">IF(OR('Loan Tape'!$AN51=0,'Loan Tape'!$Z51="Interest Only",'Loan Tape'!$Z51=""),0,MIN(MAX(0,C55-C661),IFERROR(MAX(0,MIN(1,'Loan Tape'!$AV51)-MAX(0,'Loan Tape'!$AT51))*IF(C358&lt;=0,C55/MAX(1,'Loan Tape'!$AU51-1+1),C358*C55/(1-(1+C358)^(-MAX(1,'Loan Tape'!$AU51-1+1)))-C358*C55),0)))</f>
        <v>2195675.33896182</v>
      </c>
      <c r="D964" s="71" t="n">
        <f aca="false">IF(OR('Loan Tape'!$AN51=0,'Loan Tape'!$Z51="Interest Only",'Loan Tape'!$Z51=""),0,MIN(MAX(0,D55-D661),IFERROR(MAX(0,MIN(2,'Loan Tape'!$AV51)-MAX(1,'Loan Tape'!$AT51))*IF(D358&lt;=0,D55/MAX(1,'Loan Tape'!$AU51-2+1),D358*D55/(1-(1+D358)^(-MAX(1,'Loan Tape'!$AU51-2+1)))-D358*D55),0)))</f>
        <v>1456331.71899167</v>
      </c>
      <c r="E964" s="71" t="n">
        <f aca="false">IF(OR('Loan Tape'!$AN51=0,'Loan Tape'!$Z51="Interest Only",'Loan Tape'!$Z51=""),0,MIN(MAX(0,E55-E661),IFERROR(MAX(0,MIN(3,'Loan Tape'!$AV51)-MAX(2,'Loan Tape'!$AT51))*IF(E358&lt;=0,E55/MAX(1,'Loan Tape'!$AU51-3+1),E358*E55/(1-(1+E358)^(-MAX(1,'Loan Tape'!$AU51-3+1)))-E358*E55),0)))</f>
        <v>0</v>
      </c>
      <c r="F964" s="71" t="n">
        <f aca="false">IF(OR('Loan Tape'!$AN51=0,'Loan Tape'!$Z51="Interest Only",'Loan Tape'!$Z51=""),0,MIN(MAX(0,F55-F661),IFERROR(MAX(0,MIN(4,'Loan Tape'!$AV51)-MAX(3,'Loan Tape'!$AT51))*IF(F358&lt;=0,F55/MAX(1,'Loan Tape'!$AU51-4+1),F358*F55/(1-(1+F358)^(-MAX(1,'Loan Tape'!$AU51-4+1)))-F358*F55),0)))</f>
        <v>0</v>
      </c>
      <c r="G964" s="71" t="n">
        <f aca="false">IF(OR('Loan Tape'!$AN51=0,'Loan Tape'!$Z51="Interest Only",'Loan Tape'!$Z51=""),0,MIN(MAX(0,G55-G661),IFERROR(MAX(0,MIN(5,'Loan Tape'!$AV51)-MAX(4,'Loan Tape'!$AT51))*IF(G358&lt;=0,G55/MAX(1,'Loan Tape'!$AU51-5+1),G358*G55/(1-(1+G358)^(-MAX(1,'Loan Tape'!$AU51-5+1)))-G358*G55),0)))</f>
        <v>0</v>
      </c>
      <c r="H964" s="71" t="n">
        <f aca="false">IF(OR('Loan Tape'!$AN51=0,'Loan Tape'!$Z51="Interest Only",'Loan Tape'!$Z51=""),0,MIN(MAX(0,H55-H661),IFERROR(MAX(0,MIN(6,'Loan Tape'!$AV51)-MAX(5,'Loan Tape'!$AT51))*IF(H358&lt;=0,H55/MAX(1,'Loan Tape'!$AU51-6+1),H358*H55/(1-(1+H358)^(-MAX(1,'Loan Tape'!$AU51-6+1)))-H358*H55),0)))</f>
        <v>0</v>
      </c>
      <c r="I964" s="71" t="n">
        <f aca="false">IF(OR('Loan Tape'!$AN51=0,'Loan Tape'!$Z51="Interest Only",'Loan Tape'!$Z51=""),0,MIN(MAX(0,I55-I661),IFERROR(MAX(0,MIN(7,'Loan Tape'!$AV51)-MAX(6,'Loan Tape'!$AT51))*IF(I358&lt;=0,I55/MAX(1,'Loan Tape'!$AU51-7+1),I358*I55/(1-(1+I358)^(-MAX(1,'Loan Tape'!$AU51-7+1)))-I358*I55),0)))</f>
        <v>0</v>
      </c>
      <c r="J964" s="71" t="n">
        <f aca="false">IF(OR('Loan Tape'!$AN51=0,'Loan Tape'!$Z51="Interest Only",'Loan Tape'!$Z51=""),0,MIN(MAX(0,J55-J661),IFERROR(MAX(0,MIN(8,'Loan Tape'!$AV51)-MAX(7,'Loan Tape'!$AT51))*IF(J358&lt;=0,J55/MAX(1,'Loan Tape'!$AU51-8+1),J358*J55/(1-(1+J358)^(-MAX(1,'Loan Tape'!$AU51-8+1)))-J358*J55),0)))</f>
        <v>0</v>
      </c>
      <c r="K964" s="71" t="n">
        <f aca="false">IF(OR('Loan Tape'!$AN51=0,'Loan Tape'!$Z51="Interest Only",'Loan Tape'!$Z51=""),0,MIN(MAX(0,K55-K661),IFERROR(MAX(0,MIN(9,'Loan Tape'!$AV51)-MAX(8,'Loan Tape'!$AT51))*IF(K358&lt;=0,K55/MAX(1,'Loan Tape'!$AU51-9+1),K358*K55/(1-(1+K358)^(-MAX(1,'Loan Tape'!$AU51-9+1)))-K358*K55),0)))</f>
        <v>0</v>
      </c>
      <c r="L964" s="71" t="n">
        <f aca="false">IF(OR('Loan Tape'!$AN51=0,'Loan Tape'!$Z51="Interest Only",'Loan Tape'!$Z51=""),0,MIN(MAX(0,L55-L661),IFERROR(MAX(0,MIN(10,'Loan Tape'!$AV51)-MAX(9,'Loan Tape'!$AT51))*IF(L358&lt;=0,L55/MAX(1,'Loan Tape'!$AU51-10+1),L358*L55/(1-(1+L358)^(-MAX(1,'Loan Tape'!$AU51-10+1)))-L358*L55),0)))</f>
        <v>0</v>
      </c>
    </row>
    <row r="965" customFormat="false" ht="15" hidden="false" customHeight="false" outlineLevel="0" collapsed="false">
      <c r="B965" s="102" t="str">
        <f aca="false">'Loan Tape'!$A52</f>
        <v>L-049</v>
      </c>
      <c r="C965" s="99" t="n">
        <f aca="false">IF(OR('Loan Tape'!$AN52=0,'Loan Tape'!$Z52="Interest Only",'Loan Tape'!$Z52=""),0,MIN(MAX(0,C56-C662),IFERROR(MAX(0,MIN(1,'Loan Tape'!$AV52)-MAX(0,'Loan Tape'!$AT52))*IF(C359&lt;=0,C56/MAX(1,'Loan Tape'!$AU52-1+1),C359*C56/(1-(1+C359)^(-MAX(1,'Loan Tape'!$AU52-1+1)))-C359*C56),0)))</f>
        <v>0</v>
      </c>
      <c r="D965" s="99" t="n">
        <f aca="false">IF(OR('Loan Tape'!$AN52=0,'Loan Tape'!$Z52="Interest Only",'Loan Tape'!$Z52=""),0,MIN(MAX(0,D56-D662),IFERROR(MAX(0,MIN(2,'Loan Tape'!$AV52)-MAX(1,'Loan Tape'!$AT52))*IF(D359&lt;=0,D56/MAX(1,'Loan Tape'!$AU52-2+1),D359*D56/(1-(1+D359)^(-MAX(1,'Loan Tape'!$AU52-2+1)))-D359*D56),0)))</f>
        <v>0</v>
      </c>
      <c r="E965" s="99" t="n">
        <f aca="false">IF(OR('Loan Tape'!$AN52=0,'Loan Tape'!$Z52="Interest Only",'Loan Tape'!$Z52=""),0,MIN(MAX(0,E56-E662),IFERROR(MAX(0,MIN(3,'Loan Tape'!$AV52)-MAX(2,'Loan Tape'!$AT52))*IF(E359&lt;=0,E56/MAX(1,'Loan Tape'!$AU52-3+1),E359*E56/(1-(1+E359)^(-MAX(1,'Loan Tape'!$AU52-3+1)))-E359*E56),0)))</f>
        <v>0</v>
      </c>
      <c r="F965" s="99" t="n">
        <f aca="false">IF(OR('Loan Tape'!$AN52=0,'Loan Tape'!$Z52="Interest Only",'Loan Tape'!$Z52=""),0,MIN(MAX(0,F56-F662),IFERROR(MAX(0,MIN(4,'Loan Tape'!$AV52)-MAX(3,'Loan Tape'!$AT52))*IF(F359&lt;=0,F56/MAX(1,'Loan Tape'!$AU52-4+1),F359*F56/(1-(1+F359)^(-MAX(1,'Loan Tape'!$AU52-4+1)))-F359*F56),0)))</f>
        <v>0</v>
      </c>
      <c r="G965" s="99" t="n">
        <f aca="false">IF(OR('Loan Tape'!$AN52=0,'Loan Tape'!$Z52="Interest Only",'Loan Tape'!$Z52=""),0,MIN(MAX(0,G56-G662),IFERROR(MAX(0,MIN(5,'Loan Tape'!$AV52)-MAX(4,'Loan Tape'!$AT52))*IF(G359&lt;=0,G56/MAX(1,'Loan Tape'!$AU52-5+1),G359*G56/(1-(1+G359)^(-MAX(1,'Loan Tape'!$AU52-5+1)))-G359*G56),0)))</f>
        <v>0</v>
      </c>
      <c r="H965" s="99" t="n">
        <f aca="false">IF(OR('Loan Tape'!$AN52=0,'Loan Tape'!$Z52="Interest Only",'Loan Tape'!$Z52=""),0,MIN(MAX(0,H56-H662),IFERROR(MAX(0,MIN(6,'Loan Tape'!$AV52)-MAX(5,'Loan Tape'!$AT52))*IF(H359&lt;=0,H56/MAX(1,'Loan Tape'!$AU52-6+1),H359*H56/(1-(1+H359)^(-MAX(1,'Loan Tape'!$AU52-6+1)))-H359*H56),0)))</f>
        <v>0</v>
      </c>
      <c r="I965" s="99" t="n">
        <f aca="false">IF(OR('Loan Tape'!$AN52=0,'Loan Tape'!$Z52="Interest Only",'Loan Tape'!$Z52=""),0,MIN(MAX(0,I56-I662),IFERROR(MAX(0,MIN(7,'Loan Tape'!$AV52)-MAX(6,'Loan Tape'!$AT52))*IF(I359&lt;=0,I56/MAX(1,'Loan Tape'!$AU52-7+1),I359*I56/(1-(1+I359)^(-MAX(1,'Loan Tape'!$AU52-7+1)))-I359*I56),0)))</f>
        <v>0</v>
      </c>
      <c r="J965" s="99" t="n">
        <f aca="false">IF(OR('Loan Tape'!$AN52=0,'Loan Tape'!$Z52="Interest Only",'Loan Tape'!$Z52=""),0,MIN(MAX(0,J56-J662),IFERROR(MAX(0,MIN(8,'Loan Tape'!$AV52)-MAX(7,'Loan Tape'!$AT52))*IF(J359&lt;=0,J56/MAX(1,'Loan Tape'!$AU52-8+1),J359*J56/(1-(1+J359)^(-MAX(1,'Loan Tape'!$AU52-8+1)))-J359*J56),0)))</f>
        <v>0</v>
      </c>
      <c r="K965" s="99" t="n">
        <f aca="false">IF(OR('Loan Tape'!$AN52=0,'Loan Tape'!$Z52="Interest Only",'Loan Tape'!$Z52=""),0,MIN(MAX(0,K56-K662),IFERROR(MAX(0,MIN(9,'Loan Tape'!$AV52)-MAX(8,'Loan Tape'!$AT52))*IF(K359&lt;=0,K56/MAX(1,'Loan Tape'!$AU52-9+1),K359*K56/(1-(1+K359)^(-MAX(1,'Loan Tape'!$AU52-9+1)))-K359*K56),0)))</f>
        <v>0</v>
      </c>
      <c r="L965" s="99" t="n">
        <f aca="false">IF(OR('Loan Tape'!$AN52=0,'Loan Tape'!$Z52="Interest Only",'Loan Tape'!$Z52=""),0,MIN(MAX(0,L56-L662),IFERROR(MAX(0,MIN(10,'Loan Tape'!$AV52)-MAX(9,'Loan Tape'!$AT52))*IF(L359&lt;=0,L56/MAX(1,'Loan Tape'!$AU52-10+1),L359*L56/(1-(1+L359)^(-MAX(1,'Loan Tape'!$AU52-10+1)))-L359*L56),0)))</f>
        <v>0</v>
      </c>
    </row>
    <row r="966" customFormat="false" ht="15" hidden="false" customHeight="false" outlineLevel="0" collapsed="false">
      <c r="B966" s="108" t="str">
        <f aca="false">'Loan Tape'!$A53</f>
        <v>L-050</v>
      </c>
      <c r="C966" s="71" t="n">
        <f aca="false">IF(OR('Loan Tape'!$AN53=0,'Loan Tape'!$Z53="Interest Only",'Loan Tape'!$Z53=""),0,MIN(MAX(0,C57-C663),IFERROR(MAX(0,MIN(1,'Loan Tape'!$AV53)-MAX(0,'Loan Tape'!$AT53))*IF(C360&lt;=0,C57/MAX(1,'Loan Tape'!$AU53-1+1),C360*C57/(1-(1+C360)^(-MAX(1,'Loan Tape'!$AU53-1+1)))-C360*C57),0)))</f>
        <v>0</v>
      </c>
      <c r="D966" s="71" t="n">
        <f aca="false">IF(OR('Loan Tape'!$AN53=0,'Loan Tape'!$Z53="Interest Only",'Loan Tape'!$Z53=""),0,MIN(MAX(0,D57-D663),IFERROR(MAX(0,MIN(2,'Loan Tape'!$AV53)-MAX(1,'Loan Tape'!$AT53))*IF(D360&lt;=0,D57/MAX(1,'Loan Tape'!$AU53-2+1),D360*D57/(1-(1+D360)^(-MAX(1,'Loan Tape'!$AU53-2+1)))-D360*D57),0)))</f>
        <v>0</v>
      </c>
      <c r="E966" s="71" t="n">
        <f aca="false">IF(OR('Loan Tape'!$AN53=0,'Loan Tape'!$Z53="Interest Only",'Loan Tape'!$Z53=""),0,MIN(MAX(0,E57-E663),IFERROR(MAX(0,MIN(3,'Loan Tape'!$AV53)-MAX(2,'Loan Tape'!$AT53))*IF(E360&lt;=0,E57/MAX(1,'Loan Tape'!$AU53-3+1),E360*E57/(1-(1+E360)^(-MAX(1,'Loan Tape'!$AU53-3+1)))-E360*E57),0)))</f>
        <v>0</v>
      </c>
      <c r="F966" s="71" t="n">
        <f aca="false">IF(OR('Loan Tape'!$AN53=0,'Loan Tape'!$Z53="Interest Only",'Loan Tape'!$Z53=""),0,MIN(MAX(0,F57-F663),IFERROR(MAX(0,MIN(4,'Loan Tape'!$AV53)-MAX(3,'Loan Tape'!$AT53))*IF(F360&lt;=0,F57/MAX(1,'Loan Tape'!$AU53-4+1),F360*F57/(1-(1+F360)^(-MAX(1,'Loan Tape'!$AU53-4+1)))-F360*F57),0)))</f>
        <v>0</v>
      </c>
      <c r="G966" s="71" t="n">
        <f aca="false">IF(OR('Loan Tape'!$AN53=0,'Loan Tape'!$Z53="Interest Only",'Loan Tape'!$Z53=""),0,MIN(MAX(0,G57-G663),IFERROR(MAX(0,MIN(5,'Loan Tape'!$AV53)-MAX(4,'Loan Tape'!$AT53))*IF(G360&lt;=0,G57/MAX(1,'Loan Tape'!$AU53-5+1),G360*G57/(1-(1+G360)^(-MAX(1,'Loan Tape'!$AU53-5+1)))-G360*G57),0)))</f>
        <v>0</v>
      </c>
      <c r="H966" s="71" t="n">
        <f aca="false">IF(OR('Loan Tape'!$AN53=0,'Loan Tape'!$Z53="Interest Only",'Loan Tape'!$Z53=""),0,MIN(MAX(0,H57-H663),IFERROR(MAX(0,MIN(6,'Loan Tape'!$AV53)-MAX(5,'Loan Tape'!$AT53))*IF(H360&lt;=0,H57/MAX(1,'Loan Tape'!$AU53-6+1),H360*H57/(1-(1+H360)^(-MAX(1,'Loan Tape'!$AU53-6+1)))-H360*H57),0)))</f>
        <v>0</v>
      </c>
      <c r="I966" s="71" t="n">
        <f aca="false">IF(OR('Loan Tape'!$AN53=0,'Loan Tape'!$Z53="Interest Only",'Loan Tape'!$Z53=""),0,MIN(MAX(0,I57-I663),IFERROR(MAX(0,MIN(7,'Loan Tape'!$AV53)-MAX(6,'Loan Tape'!$AT53))*IF(I360&lt;=0,I57/MAX(1,'Loan Tape'!$AU53-7+1),I360*I57/(1-(1+I360)^(-MAX(1,'Loan Tape'!$AU53-7+1)))-I360*I57),0)))</f>
        <v>0</v>
      </c>
      <c r="J966" s="71" t="n">
        <f aca="false">IF(OR('Loan Tape'!$AN53=0,'Loan Tape'!$Z53="Interest Only",'Loan Tape'!$Z53=""),0,MIN(MAX(0,J57-J663),IFERROR(MAX(0,MIN(8,'Loan Tape'!$AV53)-MAX(7,'Loan Tape'!$AT53))*IF(J360&lt;=0,J57/MAX(1,'Loan Tape'!$AU53-8+1),J360*J57/(1-(1+J360)^(-MAX(1,'Loan Tape'!$AU53-8+1)))-J360*J57),0)))</f>
        <v>0</v>
      </c>
      <c r="K966" s="71" t="n">
        <f aca="false">IF(OR('Loan Tape'!$AN53=0,'Loan Tape'!$Z53="Interest Only",'Loan Tape'!$Z53=""),0,MIN(MAX(0,K57-K663),IFERROR(MAX(0,MIN(9,'Loan Tape'!$AV53)-MAX(8,'Loan Tape'!$AT53))*IF(K360&lt;=0,K57/MAX(1,'Loan Tape'!$AU53-9+1),K360*K57/(1-(1+K360)^(-MAX(1,'Loan Tape'!$AU53-9+1)))-K360*K57),0)))</f>
        <v>0</v>
      </c>
      <c r="L966" s="71" t="n">
        <f aca="false">IF(OR('Loan Tape'!$AN53=0,'Loan Tape'!$Z53="Interest Only",'Loan Tape'!$Z53=""),0,MIN(MAX(0,L57-L663),IFERROR(MAX(0,MIN(10,'Loan Tape'!$AV53)-MAX(9,'Loan Tape'!$AT53))*IF(L360&lt;=0,L57/MAX(1,'Loan Tape'!$AU53-10+1),L360*L57/(1-(1+L360)^(-MAX(1,'Loan Tape'!$AU53-10+1)))-L360*L57),0)))</f>
        <v>0</v>
      </c>
    </row>
    <row r="967" customFormat="false" ht="15" hidden="false" customHeight="false" outlineLevel="0" collapsed="false">
      <c r="B967" s="102" t="n">
        <f aca="false">'Loan Tape'!$A54</f>
        <v>0</v>
      </c>
      <c r="C967" s="99" t="n">
        <f aca="false">IF(OR('Loan Tape'!$AN54=0,'Loan Tape'!$Z54="Interest Only",'Loan Tape'!$Z54=""),0,MIN(MAX(0,C58-C664),IFERROR(MAX(0,MIN(1,'Loan Tape'!$AV54)-MAX(0,'Loan Tape'!$AT54))*IF(C361&lt;=0,C58/MAX(1,'Loan Tape'!$AU54-1+1),C361*C58/(1-(1+C361)^(-MAX(1,'Loan Tape'!$AU54-1+1)))-C361*C58),0)))</f>
        <v>0</v>
      </c>
      <c r="D967" s="99" t="n">
        <f aca="false">IF(OR('Loan Tape'!$AN54=0,'Loan Tape'!$Z54="Interest Only",'Loan Tape'!$Z54=""),0,MIN(MAX(0,D58-D664),IFERROR(MAX(0,MIN(2,'Loan Tape'!$AV54)-MAX(1,'Loan Tape'!$AT54))*IF(D361&lt;=0,D58/MAX(1,'Loan Tape'!$AU54-2+1),D361*D58/(1-(1+D361)^(-MAX(1,'Loan Tape'!$AU54-2+1)))-D361*D58),0)))</f>
        <v>0</v>
      </c>
      <c r="E967" s="99" t="n">
        <f aca="false">IF(OR('Loan Tape'!$AN54=0,'Loan Tape'!$Z54="Interest Only",'Loan Tape'!$Z54=""),0,MIN(MAX(0,E58-E664),IFERROR(MAX(0,MIN(3,'Loan Tape'!$AV54)-MAX(2,'Loan Tape'!$AT54))*IF(E361&lt;=0,E58/MAX(1,'Loan Tape'!$AU54-3+1),E361*E58/(1-(1+E361)^(-MAX(1,'Loan Tape'!$AU54-3+1)))-E361*E58),0)))</f>
        <v>0</v>
      </c>
      <c r="F967" s="99" t="n">
        <f aca="false">IF(OR('Loan Tape'!$AN54=0,'Loan Tape'!$Z54="Interest Only",'Loan Tape'!$Z54=""),0,MIN(MAX(0,F58-F664),IFERROR(MAX(0,MIN(4,'Loan Tape'!$AV54)-MAX(3,'Loan Tape'!$AT54))*IF(F361&lt;=0,F58/MAX(1,'Loan Tape'!$AU54-4+1),F361*F58/(1-(1+F361)^(-MAX(1,'Loan Tape'!$AU54-4+1)))-F361*F58),0)))</f>
        <v>0</v>
      </c>
      <c r="G967" s="99" t="n">
        <f aca="false">IF(OR('Loan Tape'!$AN54=0,'Loan Tape'!$Z54="Interest Only",'Loan Tape'!$Z54=""),0,MIN(MAX(0,G58-G664),IFERROR(MAX(0,MIN(5,'Loan Tape'!$AV54)-MAX(4,'Loan Tape'!$AT54))*IF(G361&lt;=0,G58/MAX(1,'Loan Tape'!$AU54-5+1),G361*G58/(1-(1+G361)^(-MAX(1,'Loan Tape'!$AU54-5+1)))-G361*G58),0)))</f>
        <v>0</v>
      </c>
      <c r="H967" s="99" t="n">
        <f aca="false">IF(OR('Loan Tape'!$AN54=0,'Loan Tape'!$Z54="Interest Only",'Loan Tape'!$Z54=""),0,MIN(MAX(0,H58-H664),IFERROR(MAX(0,MIN(6,'Loan Tape'!$AV54)-MAX(5,'Loan Tape'!$AT54))*IF(H361&lt;=0,H58/MAX(1,'Loan Tape'!$AU54-6+1),H361*H58/(1-(1+H361)^(-MAX(1,'Loan Tape'!$AU54-6+1)))-H361*H58),0)))</f>
        <v>0</v>
      </c>
      <c r="I967" s="99" t="n">
        <f aca="false">IF(OR('Loan Tape'!$AN54=0,'Loan Tape'!$Z54="Interest Only",'Loan Tape'!$Z54=""),0,MIN(MAX(0,I58-I664),IFERROR(MAX(0,MIN(7,'Loan Tape'!$AV54)-MAX(6,'Loan Tape'!$AT54))*IF(I361&lt;=0,I58/MAX(1,'Loan Tape'!$AU54-7+1),I361*I58/(1-(1+I361)^(-MAX(1,'Loan Tape'!$AU54-7+1)))-I361*I58),0)))</f>
        <v>0</v>
      </c>
      <c r="J967" s="99" t="n">
        <f aca="false">IF(OR('Loan Tape'!$AN54=0,'Loan Tape'!$Z54="Interest Only",'Loan Tape'!$Z54=""),0,MIN(MAX(0,J58-J664),IFERROR(MAX(0,MIN(8,'Loan Tape'!$AV54)-MAX(7,'Loan Tape'!$AT54))*IF(J361&lt;=0,J58/MAX(1,'Loan Tape'!$AU54-8+1),J361*J58/(1-(1+J361)^(-MAX(1,'Loan Tape'!$AU54-8+1)))-J361*J58),0)))</f>
        <v>0</v>
      </c>
      <c r="K967" s="99" t="n">
        <f aca="false">IF(OR('Loan Tape'!$AN54=0,'Loan Tape'!$Z54="Interest Only",'Loan Tape'!$Z54=""),0,MIN(MAX(0,K58-K664),IFERROR(MAX(0,MIN(9,'Loan Tape'!$AV54)-MAX(8,'Loan Tape'!$AT54))*IF(K361&lt;=0,K58/MAX(1,'Loan Tape'!$AU54-9+1),K361*K58/(1-(1+K361)^(-MAX(1,'Loan Tape'!$AU54-9+1)))-K361*K58),0)))</f>
        <v>0</v>
      </c>
      <c r="L967" s="99" t="n">
        <f aca="false">IF(OR('Loan Tape'!$AN54=0,'Loan Tape'!$Z54="Interest Only",'Loan Tape'!$Z54=""),0,MIN(MAX(0,L58-L664),IFERROR(MAX(0,MIN(10,'Loan Tape'!$AV54)-MAX(9,'Loan Tape'!$AT54))*IF(L361&lt;=0,L58/MAX(1,'Loan Tape'!$AU54-10+1),L361*L58/(1-(1+L361)^(-MAX(1,'Loan Tape'!$AU54-10+1)))-L361*L58),0)))</f>
        <v>0</v>
      </c>
    </row>
    <row r="968" customFormat="false" ht="15" hidden="false" customHeight="false" outlineLevel="0" collapsed="false">
      <c r="B968" s="108" t="n">
        <f aca="false">'Loan Tape'!$A55</f>
        <v>0</v>
      </c>
      <c r="C968" s="71" t="n">
        <f aca="false">IF(OR('Loan Tape'!$AN55=0,'Loan Tape'!$Z55="Interest Only",'Loan Tape'!$Z55=""),0,MIN(MAX(0,C59-C665),IFERROR(MAX(0,MIN(1,'Loan Tape'!$AV55)-MAX(0,'Loan Tape'!$AT55))*IF(C362&lt;=0,C59/MAX(1,'Loan Tape'!$AU55-1+1),C362*C59/(1-(1+C362)^(-MAX(1,'Loan Tape'!$AU55-1+1)))-C362*C59),0)))</f>
        <v>0</v>
      </c>
      <c r="D968" s="71" t="n">
        <f aca="false">IF(OR('Loan Tape'!$AN55=0,'Loan Tape'!$Z55="Interest Only",'Loan Tape'!$Z55=""),0,MIN(MAX(0,D59-D665),IFERROR(MAX(0,MIN(2,'Loan Tape'!$AV55)-MAX(1,'Loan Tape'!$AT55))*IF(D362&lt;=0,D59/MAX(1,'Loan Tape'!$AU55-2+1),D362*D59/(1-(1+D362)^(-MAX(1,'Loan Tape'!$AU55-2+1)))-D362*D59),0)))</f>
        <v>0</v>
      </c>
      <c r="E968" s="71" t="n">
        <f aca="false">IF(OR('Loan Tape'!$AN55=0,'Loan Tape'!$Z55="Interest Only",'Loan Tape'!$Z55=""),0,MIN(MAX(0,E59-E665),IFERROR(MAX(0,MIN(3,'Loan Tape'!$AV55)-MAX(2,'Loan Tape'!$AT55))*IF(E362&lt;=0,E59/MAX(1,'Loan Tape'!$AU55-3+1),E362*E59/(1-(1+E362)^(-MAX(1,'Loan Tape'!$AU55-3+1)))-E362*E59),0)))</f>
        <v>0</v>
      </c>
      <c r="F968" s="71" t="n">
        <f aca="false">IF(OR('Loan Tape'!$AN55=0,'Loan Tape'!$Z55="Interest Only",'Loan Tape'!$Z55=""),0,MIN(MAX(0,F59-F665),IFERROR(MAX(0,MIN(4,'Loan Tape'!$AV55)-MAX(3,'Loan Tape'!$AT55))*IF(F362&lt;=0,F59/MAX(1,'Loan Tape'!$AU55-4+1),F362*F59/(1-(1+F362)^(-MAX(1,'Loan Tape'!$AU55-4+1)))-F362*F59),0)))</f>
        <v>0</v>
      </c>
      <c r="G968" s="71" t="n">
        <f aca="false">IF(OR('Loan Tape'!$AN55=0,'Loan Tape'!$Z55="Interest Only",'Loan Tape'!$Z55=""),0,MIN(MAX(0,G59-G665),IFERROR(MAX(0,MIN(5,'Loan Tape'!$AV55)-MAX(4,'Loan Tape'!$AT55))*IF(G362&lt;=0,G59/MAX(1,'Loan Tape'!$AU55-5+1),G362*G59/(1-(1+G362)^(-MAX(1,'Loan Tape'!$AU55-5+1)))-G362*G59),0)))</f>
        <v>0</v>
      </c>
      <c r="H968" s="71" t="n">
        <f aca="false">IF(OR('Loan Tape'!$AN55=0,'Loan Tape'!$Z55="Interest Only",'Loan Tape'!$Z55=""),0,MIN(MAX(0,H59-H665),IFERROR(MAX(0,MIN(6,'Loan Tape'!$AV55)-MAX(5,'Loan Tape'!$AT55))*IF(H362&lt;=0,H59/MAX(1,'Loan Tape'!$AU55-6+1),H362*H59/(1-(1+H362)^(-MAX(1,'Loan Tape'!$AU55-6+1)))-H362*H59),0)))</f>
        <v>0</v>
      </c>
      <c r="I968" s="71" t="n">
        <f aca="false">IF(OR('Loan Tape'!$AN55=0,'Loan Tape'!$Z55="Interest Only",'Loan Tape'!$Z55=""),0,MIN(MAX(0,I59-I665),IFERROR(MAX(0,MIN(7,'Loan Tape'!$AV55)-MAX(6,'Loan Tape'!$AT55))*IF(I362&lt;=0,I59/MAX(1,'Loan Tape'!$AU55-7+1),I362*I59/(1-(1+I362)^(-MAX(1,'Loan Tape'!$AU55-7+1)))-I362*I59),0)))</f>
        <v>0</v>
      </c>
      <c r="J968" s="71" t="n">
        <f aca="false">IF(OR('Loan Tape'!$AN55=0,'Loan Tape'!$Z55="Interest Only",'Loan Tape'!$Z55=""),0,MIN(MAX(0,J59-J665),IFERROR(MAX(0,MIN(8,'Loan Tape'!$AV55)-MAX(7,'Loan Tape'!$AT55))*IF(J362&lt;=0,J59/MAX(1,'Loan Tape'!$AU55-8+1),J362*J59/(1-(1+J362)^(-MAX(1,'Loan Tape'!$AU55-8+1)))-J362*J59),0)))</f>
        <v>0</v>
      </c>
      <c r="K968" s="71" t="n">
        <f aca="false">IF(OR('Loan Tape'!$AN55=0,'Loan Tape'!$Z55="Interest Only",'Loan Tape'!$Z55=""),0,MIN(MAX(0,K59-K665),IFERROR(MAX(0,MIN(9,'Loan Tape'!$AV55)-MAX(8,'Loan Tape'!$AT55))*IF(K362&lt;=0,K59/MAX(1,'Loan Tape'!$AU55-9+1),K362*K59/(1-(1+K362)^(-MAX(1,'Loan Tape'!$AU55-9+1)))-K362*K59),0)))</f>
        <v>0</v>
      </c>
      <c r="L968" s="71" t="n">
        <f aca="false">IF(OR('Loan Tape'!$AN55=0,'Loan Tape'!$Z55="Interest Only",'Loan Tape'!$Z55=""),0,MIN(MAX(0,L59-L665),IFERROR(MAX(0,MIN(10,'Loan Tape'!$AV55)-MAX(9,'Loan Tape'!$AT55))*IF(L362&lt;=0,L59/MAX(1,'Loan Tape'!$AU55-10+1),L362*L59/(1-(1+L362)^(-MAX(1,'Loan Tape'!$AU55-10+1)))-L362*L59),0)))</f>
        <v>0</v>
      </c>
    </row>
    <row r="969" customFormat="false" ht="15" hidden="false" customHeight="false" outlineLevel="0" collapsed="false">
      <c r="B969" s="102" t="n">
        <f aca="false">'Loan Tape'!$A56</f>
        <v>0</v>
      </c>
      <c r="C969" s="99" t="n">
        <f aca="false">IF(OR('Loan Tape'!$AN56=0,'Loan Tape'!$Z56="Interest Only",'Loan Tape'!$Z56=""),0,MIN(MAX(0,C60-C666),IFERROR(MAX(0,MIN(1,'Loan Tape'!$AV56)-MAX(0,'Loan Tape'!$AT56))*IF(C363&lt;=0,C60/MAX(1,'Loan Tape'!$AU56-1+1),C363*C60/(1-(1+C363)^(-MAX(1,'Loan Tape'!$AU56-1+1)))-C363*C60),0)))</f>
        <v>0</v>
      </c>
      <c r="D969" s="99" t="n">
        <f aca="false">IF(OR('Loan Tape'!$AN56=0,'Loan Tape'!$Z56="Interest Only",'Loan Tape'!$Z56=""),0,MIN(MAX(0,D60-D666),IFERROR(MAX(0,MIN(2,'Loan Tape'!$AV56)-MAX(1,'Loan Tape'!$AT56))*IF(D363&lt;=0,D60/MAX(1,'Loan Tape'!$AU56-2+1),D363*D60/(1-(1+D363)^(-MAX(1,'Loan Tape'!$AU56-2+1)))-D363*D60),0)))</f>
        <v>0</v>
      </c>
      <c r="E969" s="99" t="n">
        <f aca="false">IF(OR('Loan Tape'!$AN56=0,'Loan Tape'!$Z56="Interest Only",'Loan Tape'!$Z56=""),0,MIN(MAX(0,E60-E666),IFERROR(MAX(0,MIN(3,'Loan Tape'!$AV56)-MAX(2,'Loan Tape'!$AT56))*IF(E363&lt;=0,E60/MAX(1,'Loan Tape'!$AU56-3+1),E363*E60/(1-(1+E363)^(-MAX(1,'Loan Tape'!$AU56-3+1)))-E363*E60),0)))</f>
        <v>0</v>
      </c>
      <c r="F969" s="99" t="n">
        <f aca="false">IF(OR('Loan Tape'!$AN56=0,'Loan Tape'!$Z56="Interest Only",'Loan Tape'!$Z56=""),0,MIN(MAX(0,F60-F666),IFERROR(MAX(0,MIN(4,'Loan Tape'!$AV56)-MAX(3,'Loan Tape'!$AT56))*IF(F363&lt;=0,F60/MAX(1,'Loan Tape'!$AU56-4+1),F363*F60/(1-(1+F363)^(-MAX(1,'Loan Tape'!$AU56-4+1)))-F363*F60),0)))</f>
        <v>0</v>
      </c>
      <c r="G969" s="99" t="n">
        <f aca="false">IF(OR('Loan Tape'!$AN56=0,'Loan Tape'!$Z56="Interest Only",'Loan Tape'!$Z56=""),0,MIN(MAX(0,G60-G666),IFERROR(MAX(0,MIN(5,'Loan Tape'!$AV56)-MAX(4,'Loan Tape'!$AT56))*IF(G363&lt;=0,G60/MAX(1,'Loan Tape'!$AU56-5+1),G363*G60/(1-(1+G363)^(-MAX(1,'Loan Tape'!$AU56-5+1)))-G363*G60),0)))</f>
        <v>0</v>
      </c>
      <c r="H969" s="99" t="n">
        <f aca="false">IF(OR('Loan Tape'!$AN56=0,'Loan Tape'!$Z56="Interest Only",'Loan Tape'!$Z56=""),0,MIN(MAX(0,H60-H666),IFERROR(MAX(0,MIN(6,'Loan Tape'!$AV56)-MAX(5,'Loan Tape'!$AT56))*IF(H363&lt;=0,H60/MAX(1,'Loan Tape'!$AU56-6+1),H363*H60/(1-(1+H363)^(-MAX(1,'Loan Tape'!$AU56-6+1)))-H363*H60),0)))</f>
        <v>0</v>
      </c>
      <c r="I969" s="99" t="n">
        <f aca="false">IF(OR('Loan Tape'!$AN56=0,'Loan Tape'!$Z56="Interest Only",'Loan Tape'!$Z56=""),0,MIN(MAX(0,I60-I666),IFERROR(MAX(0,MIN(7,'Loan Tape'!$AV56)-MAX(6,'Loan Tape'!$AT56))*IF(I363&lt;=0,I60/MAX(1,'Loan Tape'!$AU56-7+1),I363*I60/(1-(1+I363)^(-MAX(1,'Loan Tape'!$AU56-7+1)))-I363*I60),0)))</f>
        <v>0</v>
      </c>
      <c r="J969" s="99" t="n">
        <f aca="false">IF(OR('Loan Tape'!$AN56=0,'Loan Tape'!$Z56="Interest Only",'Loan Tape'!$Z56=""),0,MIN(MAX(0,J60-J666),IFERROR(MAX(0,MIN(8,'Loan Tape'!$AV56)-MAX(7,'Loan Tape'!$AT56))*IF(J363&lt;=0,J60/MAX(1,'Loan Tape'!$AU56-8+1),J363*J60/(1-(1+J363)^(-MAX(1,'Loan Tape'!$AU56-8+1)))-J363*J60),0)))</f>
        <v>0</v>
      </c>
      <c r="K969" s="99" t="n">
        <f aca="false">IF(OR('Loan Tape'!$AN56=0,'Loan Tape'!$Z56="Interest Only",'Loan Tape'!$Z56=""),0,MIN(MAX(0,K60-K666),IFERROR(MAX(0,MIN(9,'Loan Tape'!$AV56)-MAX(8,'Loan Tape'!$AT56))*IF(K363&lt;=0,K60/MAX(1,'Loan Tape'!$AU56-9+1),K363*K60/(1-(1+K363)^(-MAX(1,'Loan Tape'!$AU56-9+1)))-K363*K60),0)))</f>
        <v>0</v>
      </c>
      <c r="L969" s="99" t="n">
        <f aca="false">IF(OR('Loan Tape'!$AN56=0,'Loan Tape'!$Z56="Interest Only",'Loan Tape'!$Z56=""),0,MIN(MAX(0,L60-L666),IFERROR(MAX(0,MIN(10,'Loan Tape'!$AV56)-MAX(9,'Loan Tape'!$AT56))*IF(L363&lt;=0,L60/MAX(1,'Loan Tape'!$AU56-10+1),L363*L60/(1-(1+L363)^(-MAX(1,'Loan Tape'!$AU56-10+1)))-L363*L60),0)))</f>
        <v>0</v>
      </c>
    </row>
    <row r="970" customFormat="false" ht="15" hidden="false" customHeight="false" outlineLevel="0" collapsed="false">
      <c r="B970" s="108" t="n">
        <f aca="false">'Loan Tape'!$A57</f>
        <v>0</v>
      </c>
      <c r="C970" s="71" t="n">
        <f aca="false">IF(OR('Loan Tape'!$AN57=0,'Loan Tape'!$Z57="Interest Only",'Loan Tape'!$Z57=""),0,MIN(MAX(0,C61-C667),IFERROR(MAX(0,MIN(1,'Loan Tape'!$AV57)-MAX(0,'Loan Tape'!$AT57))*IF(C364&lt;=0,C61/MAX(1,'Loan Tape'!$AU57-1+1),C364*C61/(1-(1+C364)^(-MAX(1,'Loan Tape'!$AU57-1+1)))-C364*C61),0)))</f>
        <v>0</v>
      </c>
      <c r="D970" s="71" t="n">
        <f aca="false">IF(OR('Loan Tape'!$AN57=0,'Loan Tape'!$Z57="Interest Only",'Loan Tape'!$Z57=""),0,MIN(MAX(0,D61-D667),IFERROR(MAX(0,MIN(2,'Loan Tape'!$AV57)-MAX(1,'Loan Tape'!$AT57))*IF(D364&lt;=0,D61/MAX(1,'Loan Tape'!$AU57-2+1),D364*D61/(1-(1+D364)^(-MAX(1,'Loan Tape'!$AU57-2+1)))-D364*D61),0)))</f>
        <v>0</v>
      </c>
      <c r="E970" s="71" t="n">
        <f aca="false">IF(OR('Loan Tape'!$AN57=0,'Loan Tape'!$Z57="Interest Only",'Loan Tape'!$Z57=""),0,MIN(MAX(0,E61-E667),IFERROR(MAX(0,MIN(3,'Loan Tape'!$AV57)-MAX(2,'Loan Tape'!$AT57))*IF(E364&lt;=0,E61/MAX(1,'Loan Tape'!$AU57-3+1),E364*E61/(1-(1+E364)^(-MAX(1,'Loan Tape'!$AU57-3+1)))-E364*E61),0)))</f>
        <v>0</v>
      </c>
      <c r="F970" s="71" t="n">
        <f aca="false">IF(OR('Loan Tape'!$AN57=0,'Loan Tape'!$Z57="Interest Only",'Loan Tape'!$Z57=""),0,MIN(MAX(0,F61-F667),IFERROR(MAX(0,MIN(4,'Loan Tape'!$AV57)-MAX(3,'Loan Tape'!$AT57))*IF(F364&lt;=0,F61/MAX(1,'Loan Tape'!$AU57-4+1),F364*F61/(1-(1+F364)^(-MAX(1,'Loan Tape'!$AU57-4+1)))-F364*F61),0)))</f>
        <v>0</v>
      </c>
      <c r="G970" s="71" t="n">
        <f aca="false">IF(OR('Loan Tape'!$AN57=0,'Loan Tape'!$Z57="Interest Only",'Loan Tape'!$Z57=""),0,MIN(MAX(0,G61-G667),IFERROR(MAX(0,MIN(5,'Loan Tape'!$AV57)-MAX(4,'Loan Tape'!$AT57))*IF(G364&lt;=0,G61/MAX(1,'Loan Tape'!$AU57-5+1),G364*G61/(1-(1+G364)^(-MAX(1,'Loan Tape'!$AU57-5+1)))-G364*G61),0)))</f>
        <v>0</v>
      </c>
      <c r="H970" s="71" t="n">
        <f aca="false">IF(OR('Loan Tape'!$AN57=0,'Loan Tape'!$Z57="Interest Only",'Loan Tape'!$Z57=""),0,MIN(MAX(0,H61-H667),IFERROR(MAX(0,MIN(6,'Loan Tape'!$AV57)-MAX(5,'Loan Tape'!$AT57))*IF(H364&lt;=0,H61/MAX(1,'Loan Tape'!$AU57-6+1),H364*H61/(1-(1+H364)^(-MAX(1,'Loan Tape'!$AU57-6+1)))-H364*H61),0)))</f>
        <v>0</v>
      </c>
      <c r="I970" s="71" t="n">
        <f aca="false">IF(OR('Loan Tape'!$AN57=0,'Loan Tape'!$Z57="Interest Only",'Loan Tape'!$Z57=""),0,MIN(MAX(0,I61-I667),IFERROR(MAX(0,MIN(7,'Loan Tape'!$AV57)-MAX(6,'Loan Tape'!$AT57))*IF(I364&lt;=0,I61/MAX(1,'Loan Tape'!$AU57-7+1),I364*I61/(1-(1+I364)^(-MAX(1,'Loan Tape'!$AU57-7+1)))-I364*I61),0)))</f>
        <v>0</v>
      </c>
      <c r="J970" s="71" t="n">
        <f aca="false">IF(OR('Loan Tape'!$AN57=0,'Loan Tape'!$Z57="Interest Only",'Loan Tape'!$Z57=""),0,MIN(MAX(0,J61-J667),IFERROR(MAX(0,MIN(8,'Loan Tape'!$AV57)-MAX(7,'Loan Tape'!$AT57))*IF(J364&lt;=0,J61/MAX(1,'Loan Tape'!$AU57-8+1),J364*J61/(1-(1+J364)^(-MAX(1,'Loan Tape'!$AU57-8+1)))-J364*J61),0)))</f>
        <v>0</v>
      </c>
      <c r="K970" s="71" t="n">
        <f aca="false">IF(OR('Loan Tape'!$AN57=0,'Loan Tape'!$Z57="Interest Only",'Loan Tape'!$Z57=""),0,MIN(MAX(0,K61-K667),IFERROR(MAX(0,MIN(9,'Loan Tape'!$AV57)-MAX(8,'Loan Tape'!$AT57))*IF(K364&lt;=0,K61/MAX(1,'Loan Tape'!$AU57-9+1),K364*K61/(1-(1+K364)^(-MAX(1,'Loan Tape'!$AU57-9+1)))-K364*K61),0)))</f>
        <v>0</v>
      </c>
      <c r="L970" s="71" t="n">
        <f aca="false">IF(OR('Loan Tape'!$AN57=0,'Loan Tape'!$Z57="Interest Only",'Loan Tape'!$Z57=""),0,MIN(MAX(0,L61-L667),IFERROR(MAX(0,MIN(10,'Loan Tape'!$AV57)-MAX(9,'Loan Tape'!$AT57))*IF(L364&lt;=0,L61/MAX(1,'Loan Tape'!$AU57-10+1),L364*L61/(1-(1+L364)^(-MAX(1,'Loan Tape'!$AU57-10+1)))-L364*L61),0)))</f>
        <v>0</v>
      </c>
    </row>
    <row r="971" customFormat="false" ht="15" hidden="false" customHeight="false" outlineLevel="0" collapsed="false">
      <c r="B971" s="102" t="n">
        <f aca="false">'Loan Tape'!$A58</f>
        <v>0</v>
      </c>
      <c r="C971" s="99" t="n">
        <f aca="false">IF(OR('Loan Tape'!$AN58=0,'Loan Tape'!$Z58="Interest Only",'Loan Tape'!$Z58=""),0,MIN(MAX(0,C62-C668),IFERROR(MAX(0,MIN(1,'Loan Tape'!$AV58)-MAX(0,'Loan Tape'!$AT58))*IF(C365&lt;=0,C62/MAX(1,'Loan Tape'!$AU58-1+1),C365*C62/(1-(1+C365)^(-MAX(1,'Loan Tape'!$AU58-1+1)))-C365*C62),0)))</f>
        <v>0</v>
      </c>
      <c r="D971" s="99" t="n">
        <f aca="false">IF(OR('Loan Tape'!$AN58=0,'Loan Tape'!$Z58="Interest Only",'Loan Tape'!$Z58=""),0,MIN(MAX(0,D62-D668),IFERROR(MAX(0,MIN(2,'Loan Tape'!$AV58)-MAX(1,'Loan Tape'!$AT58))*IF(D365&lt;=0,D62/MAX(1,'Loan Tape'!$AU58-2+1),D365*D62/(1-(1+D365)^(-MAX(1,'Loan Tape'!$AU58-2+1)))-D365*D62),0)))</f>
        <v>0</v>
      </c>
      <c r="E971" s="99" t="n">
        <f aca="false">IF(OR('Loan Tape'!$AN58=0,'Loan Tape'!$Z58="Interest Only",'Loan Tape'!$Z58=""),0,MIN(MAX(0,E62-E668),IFERROR(MAX(0,MIN(3,'Loan Tape'!$AV58)-MAX(2,'Loan Tape'!$AT58))*IF(E365&lt;=0,E62/MAX(1,'Loan Tape'!$AU58-3+1),E365*E62/(1-(1+E365)^(-MAX(1,'Loan Tape'!$AU58-3+1)))-E365*E62),0)))</f>
        <v>0</v>
      </c>
      <c r="F971" s="99" t="n">
        <f aca="false">IF(OR('Loan Tape'!$AN58=0,'Loan Tape'!$Z58="Interest Only",'Loan Tape'!$Z58=""),0,MIN(MAX(0,F62-F668),IFERROR(MAX(0,MIN(4,'Loan Tape'!$AV58)-MAX(3,'Loan Tape'!$AT58))*IF(F365&lt;=0,F62/MAX(1,'Loan Tape'!$AU58-4+1),F365*F62/(1-(1+F365)^(-MAX(1,'Loan Tape'!$AU58-4+1)))-F365*F62),0)))</f>
        <v>0</v>
      </c>
      <c r="G971" s="99" t="n">
        <f aca="false">IF(OR('Loan Tape'!$AN58=0,'Loan Tape'!$Z58="Interest Only",'Loan Tape'!$Z58=""),0,MIN(MAX(0,G62-G668),IFERROR(MAX(0,MIN(5,'Loan Tape'!$AV58)-MAX(4,'Loan Tape'!$AT58))*IF(G365&lt;=0,G62/MAX(1,'Loan Tape'!$AU58-5+1),G365*G62/(1-(1+G365)^(-MAX(1,'Loan Tape'!$AU58-5+1)))-G365*G62),0)))</f>
        <v>0</v>
      </c>
      <c r="H971" s="99" t="n">
        <f aca="false">IF(OR('Loan Tape'!$AN58=0,'Loan Tape'!$Z58="Interest Only",'Loan Tape'!$Z58=""),0,MIN(MAX(0,H62-H668),IFERROR(MAX(0,MIN(6,'Loan Tape'!$AV58)-MAX(5,'Loan Tape'!$AT58))*IF(H365&lt;=0,H62/MAX(1,'Loan Tape'!$AU58-6+1),H365*H62/(1-(1+H365)^(-MAX(1,'Loan Tape'!$AU58-6+1)))-H365*H62),0)))</f>
        <v>0</v>
      </c>
      <c r="I971" s="99" t="n">
        <f aca="false">IF(OR('Loan Tape'!$AN58=0,'Loan Tape'!$Z58="Interest Only",'Loan Tape'!$Z58=""),0,MIN(MAX(0,I62-I668),IFERROR(MAX(0,MIN(7,'Loan Tape'!$AV58)-MAX(6,'Loan Tape'!$AT58))*IF(I365&lt;=0,I62/MAX(1,'Loan Tape'!$AU58-7+1),I365*I62/(1-(1+I365)^(-MAX(1,'Loan Tape'!$AU58-7+1)))-I365*I62),0)))</f>
        <v>0</v>
      </c>
      <c r="J971" s="99" t="n">
        <f aca="false">IF(OR('Loan Tape'!$AN58=0,'Loan Tape'!$Z58="Interest Only",'Loan Tape'!$Z58=""),0,MIN(MAX(0,J62-J668),IFERROR(MAX(0,MIN(8,'Loan Tape'!$AV58)-MAX(7,'Loan Tape'!$AT58))*IF(J365&lt;=0,J62/MAX(1,'Loan Tape'!$AU58-8+1),J365*J62/(1-(1+J365)^(-MAX(1,'Loan Tape'!$AU58-8+1)))-J365*J62),0)))</f>
        <v>0</v>
      </c>
      <c r="K971" s="99" t="n">
        <f aca="false">IF(OR('Loan Tape'!$AN58=0,'Loan Tape'!$Z58="Interest Only",'Loan Tape'!$Z58=""),0,MIN(MAX(0,K62-K668),IFERROR(MAX(0,MIN(9,'Loan Tape'!$AV58)-MAX(8,'Loan Tape'!$AT58))*IF(K365&lt;=0,K62/MAX(1,'Loan Tape'!$AU58-9+1),K365*K62/(1-(1+K365)^(-MAX(1,'Loan Tape'!$AU58-9+1)))-K365*K62),0)))</f>
        <v>0</v>
      </c>
      <c r="L971" s="99" t="n">
        <f aca="false">IF(OR('Loan Tape'!$AN58=0,'Loan Tape'!$Z58="Interest Only",'Loan Tape'!$Z58=""),0,MIN(MAX(0,L62-L668),IFERROR(MAX(0,MIN(10,'Loan Tape'!$AV58)-MAX(9,'Loan Tape'!$AT58))*IF(L365&lt;=0,L62/MAX(1,'Loan Tape'!$AU58-10+1),L365*L62/(1-(1+L365)^(-MAX(1,'Loan Tape'!$AU58-10+1)))-L365*L62),0)))</f>
        <v>0</v>
      </c>
    </row>
    <row r="972" customFormat="false" ht="15" hidden="false" customHeight="false" outlineLevel="0" collapsed="false">
      <c r="B972" s="108" t="n">
        <f aca="false">'Loan Tape'!$A59</f>
        <v>0</v>
      </c>
      <c r="C972" s="71" t="n">
        <f aca="false">IF(OR('Loan Tape'!$AN59=0,'Loan Tape'!$Z59="Interest Only",'Loan Tape'!$Z59=""),0,MIN(MAX(0,C63-C669),IFERROR(MAX(0,MIN(1,'Loan Tape'!$AV59)-MAX(0,'Loan Tape'!$AT59))*IF(C366&lt;=0,C63/MAX(1,'Loan Tape'!$AU59-1+1),C366*C63/(1-(1+C366)^(-MAX(1,'Loan Tape'!$AU59-1+1)))-C366*C63),0)))</f>
        <v>0</v>
      </c>
      <c r="D972" s="71" t="n">
        <f aca="false">IF(OR('Loan Tape'!$AN59=0,'Loan Tape'!$Z59="Interest Only",'Loan Tape'!$Z59=""),0,MIN(MAX(0,D63-D669),IFERROR(MAX(0,MIN(2,'Loan Tape'!$AV59)-MAX(1,'Loan Tape'!$AT59))*IF(D366&lt;=0,D63/MAX(1,'Loan Tape'!$AU59-2+1),D366*D63/(1-(1+D366)^(-MAX(1,'Loan Tape'!$AU59-2+1)))-D366*D63),0)))</f>
        <v>0</v>
      </c>
      <c r="E972" s="71" t="n">
        <f aca="false">IF(OR('Loan Tape'!$AN59=0,'Loan Tape'!$Z59="Interest Only",'Loan Tape'!$Z59=""),0,MIN(MAX(0,E63-E669),IFERROR(MAX(0,MIN(3,'Loan Tape'!$AV59)-MAX(2,'Loan Tape'!$AT59))*IF(E366&lt;=0,E63/MAX(1,'Loan Tape'!$AU59-3+1),E366*E63/(1-(1+E366)^(-MAX(1,'Loan Tape'!$AU59-3+1)))-E366*E63),0)))</f>
        <v>0</v>
      </c>
      <c r="F972" s="71" t="n">
        <f aca="false">IF(OR('Loan Tape'!$AN59=0,'Loan Tape'!$Z59="Interest Only",'Loan Tape'!$Z59=""),0,MIN(MAX(0,F63-F669),IFERROR(MAX(0,MIN(4,'Loan Tape'!$AV59)-MAX(3,'Loan Tape'!$AT59))*IF(F366&lt;=0,F63/MAX(1,'Loan Tape'!$AU59-4+1),F366*F63/(1-(1+F366)^(-MAX(1,'Loan Tape'!$AU59-4+1)))-F366*F63),0)))</f>
        <v>0</v>
      </c>
      <c r="G972" s="71" t="n">
        <f aca="false">IF(OR('Loan Tape'!$AN59=0,'Loan Tape'!$Z59="Interest Only",'Loan Tape'!$Z59=""),0,MIN(MAX(0,G63-G669),IFERROR(MAX(0,MIN(5,'Loan Tape'!$AV59)-MAX(4,'Loan Tape'!$AT59))*IF(G366&lt;=0,G63/MAX(1,'Loan Tape'!$AU59-5+1),G366*G63/(1-(1+G366)^(-MAX(1,'Loan Tape'!$AU59-5+1)))-G366*G63),0)))</f>
        <v>0</v>
      </c>
      <c r="H972" s="71" t="n">
        <f aca="false">IF(OR('Loan Tape'!$AN59=0,'Loan Tape'!$Z59="Interest Only",'Loan Tape'!$Z59=""),0,MIN(MAX(0,H63-H669),IFERROR(MAX(0,MIN(6,'Loan Tape'!$AV59)-MAX(5,'Loan Tape'!$AT59))*IF(H366&lt;=0,H63/MAX(1,'Loan Tape'!$AU59-6+1),H366*H63/(1-(1+H366)^(-MAX(1,'Loan Tape'!$AU59-6+1)))-H366*H63),0)))</f>
        <v>0</v>
      </c>
      <c r="I972" s="71" t="n">
        <f aca="false">IF(OR('Loan Tape'!$AN59=0,'Loan Tape'!$Z59="Interest Only",'Loan Tape'!$Z59=""),0,MIN(MAX(0,I63-I669),IFERROR(MAX(0,MIN(7,'Loan Tape'!$AV59)-MAX(6,'Loan Tape'!$AT59))*IF(I366&lt;=0,I63/MAX(1,'Loan Tape'!$AU59-7+1),I366*I63/(1-(1+I366)^(-MAX(1,'Loan Tape'!$AU59-7+1)))-I366*I63),0)))</f>
        <v>0</v>
      </c>
      <c r="J972" s="71" t="n">
        <f aca="false">IF(OR('Loan Tape'!$AN59=0,'Loan Tape'!$Z59="Interest Only",'Loan Tape'!$Z59=""),0,MIN(MAX(0,J63-J669),IFERROR(MAX(0,MIN(8,'Loan Tape'!$AV59)-MAX(7,'Loan Tape'!$AT59))*IF(J366&lt;=0,J63/MAX(1,'Loan Tape'!$AU59-8+1),J366*J63/(1-(1+J366)^(-MAX(1,'Loan Tape'!$AU59-8+1)))-J366*J63),0)))</f>
        <v>0</v>
      </c>
      <c r="K972" s="71" t="n">
        <f aca="false">IF(OR('Loan Tape'!$AN59=0,'Loan Tape'!$Z59="Interest Only",'Loan Tape'!$Z59=""),0,MIN(MAX(0,K63-K669),IFERROR(MAX(0,MIN(9,'Loan Tape'!$AV59)-MAX(8,'Loan Tape'!$AT59))*IF(K366&lt;=0,K63/MAX(1,'Loan Tape'!$AU59-9+1),K366*K63/(1-(1+K366)^(-MAX(1,'Loan Tape'!$AU59-9+1)))-K366*K63),0)))</f>
        <v>0</v>
      </c>
      <c r="L972" s="71" t="n">
        <f aca="false">IF(OR('Loan Tape'!$AN59=0,'Loan Tape'!$Z59="Interest Only",'Loan Tape'!$Z59=""),0,MIN(MAX(0,L63-L669),IFERROR(MAX(0,MIN(10,'Loan Tape'!$AV59)-MAX(9,'Loan Tape'!$AT59))*IF(L366&lt;=0,L63/MAX(1,'Loan Tape'!$AU59-10+1),L366*L63/(1-(1+L366)^(-MAX(1,'Loan Tape'!$AU59-10+1)))-L366*L63),0)))</f>
        <v>0</v>
      </c>
    </row>
    <row r="973" customFormat="false" ht="15" hidden="false" customHeight="false" outlineLevel="0" collapsed="false">
      <c r="B973" s="102" t="n">
        <f aca="false">'Loan Tape'!$A60</f>
        <v>0</v>
      </c>
      <c r="C973" s="99" t="n">
        <f aca="false">IF(OR('Loan Tape'!$AN60=0,'Loan Tape'!$Z60="Interest Only",'Loan Tape'!$Z60=""),0,MIN(MAX(0,C64-C670),IFERROR(MAX(0,MIN(1,'Loan Tape'!$AV60)-MAX(0,'Loan Tape'!$AT60))*IF(C367&lt;=0,C64/MAX(1,'Loan Tape'!$AU60-1+1),C367*C64/(1-(1+C367)^(-MAX(1,'Loan Tape'!$AU60-1+1)))-C367*C64),0)))</f>
        <v>0</v>
      </c>
      <c r="D973" s="99" t="n">
        <f aca="false">IF(OR('Loan Tape'!$AN60=0,'Loan Tape'!$Z60="Interest Only",'Loan Tape'!$Z60=""),0,MIN(MAX(0,D64-D670),IFERROR(MAX(0,MIN(2,'Loan Tape'!$AV60)-MAX(1,'Loan Tape'!$AT60))*IF(D367&lt;=0,D64/MAX(1,'Loan Tape'!$AU60-2+1),D367*D64/(1-(1+D367)^(-MAX(1,'Loan Tape'!$AU60-2+1)))-D367*D64),0)))</f>
        <v>0</v>
      </c>
      <c r="E973" s="99" t="n">
        <f aca="false">IF(OR('Loan Tape'!$AN60=0,'Loan Tape'!$Z60="Interest Only",'Loan Tape'!$Z60=""),0,MIN(MAX(0,E64-E670),IFERROR(MAX(0,MIN(3,'Loan Tape'!$AV60)-MAX(2,'Loan Tape'!$AT60))*IF(E367&lt;=0,E64/MAX(1,'Loan Tape'!$AU60-3+1),E367*E64/(1-(1+E367)^(-MAX(1,'Loan Tape'!$AU60-3+1)))-E367*E64),0)))</f>
        <v>0</v>
      </c>
      <c r="F973" s="99" t="n">
        <f aca="false">IF(OR('Loan Tape'!$AN60=0,'Loan Tape'!$Z60="Interest Only",'Loan Tape'!$Z60=""),0,MIN(MAX(0,F64-F670),IFERROR(MAX(0,MIN(4,'Loan Tape'!$AV60)-MAX(3,'Loan Tape'!$AT60))*IF(F367&lt;=0,F64/MAX(1,'Loan Tape'!$AU60-4+1),F367*F64/(1-(1+F367)^(-MAX(1,'Loan Tape'!$AU60-4+1)))-F367*F64),0)))</f>
        <v>0</v>
      </c>
      <c r="G973" s="99" t="n">
        <f aca="false">IF(OR('Loan Tape'!$AN60=0,'Loan Tape'!$Z60="Interest Only",'Loan Tape'!$Z60=""),0,MIN(MAX(0,G64-G670),IFERROR(MAX(0,MIN(5,'Loan Tape'!$AV60)-MAX(4,'Loan Tape'!$AT60))*IF(G367&lt;=0,G64/MAX(1,'Loan Tape'!$AU60-5+1),G367*G64/(1-(1+G367)^(-MAX(1,'Loan Tape'!$AU60-5+1)))-G367*G64),0)))</f>
        <v>0</v>
      </c>
      <c r="H973" s="99" t="n">
        <f aca="false">IF(OR('Loan Tape'!$AN60=0,'Loan Tape'!$Z60="Interest Only",'Loan Tape'!$Z60=""),0,MIN(MAX(0,H64-H670),IFERROR(MAX(0,MIN(6,'Loan Tape'!$AV60)-MAX(5,'Loan Tape'!$AT60))*IF(H367&lt;=0,H64/MAX(1,'Loan Tape'!$AU60-6+1),H367*H64/(1-(1+H367)^(-MAX(1,'Loan Tape'!$AU60-6+1)))-H367*H64),0)))</f>
        <v>0</v>
      </c>
      <c r="I973" s="99" t="n">
        <f aca="false">IF(OR('Loan Tape'!$AN60=0,'Loan Tape'!$Z60="Interest Only",'Loan Tape'!$Z60=""),0,MIN(MAX(0,I64-I670),IFERROR(MAX(0,MIN(7,'Loan Tape'!$AV60)-MAX(6,'Loan Tape'!$AT60))*IF(I367&lt;=0,I64/MAX(1,'Loan Tape'!$AU60-7+1),I367*I64/(1-(1+I367)^(-MAX(1,'Loan Tape'!$AU60-7+1)))-I367*I64),0)))</f>
        <v>0</v>
      </c>
      <c r="J973" s="99" t="n">
        <f aca="false">IF(OR('Loan Tape'!$AN60=0,'Loan Tape'!$Z60="Interest Only",'Loan Tape'!$Z60=""),0,MIN(MAX(0,J64-J670),IFERROR(MAX(0,MIN(8,'Loan Tape'!$AV60)-MAX(7,'Loan Tape'!$AT60))*IF(J367&lt;=0,J64/MAX(1,'Loan Tape'!$AU60-8+1),J367*J64/(1-(1+J367)^(-MAX(1,'Loan Tape'!$AU60-8+1)))-J367*J64),0)))</f>
        <v>0</v>
      </c>
      <c r="K973" s="99" t="n">
        <f aca="false">IF(OR('Loan Tape'!$AN60=0,'Loan Tape'!$Z60="Interest Only",'Loan Tape'!$Z60=""),0,MIN(MAX(0,K64-K670),IFERROR(MAX(0,MIN(9,'Loan Tape'!$AV60)-MAX(8,'Loan Tape'!$AT60))*IF(K367&lt;=0,K64/MAX(1,'Loan Tape'!$AU60-9+1),K367*K64/(1-(1+K367)^(-MAX(1,'Loan Tape'!$AU60-9+1)))-K367*K64),0)))</f>
        <v>0</v>
      </c>
      <c r="L973" s="99" t="n">
        <f aca="false">IF(OR('Loan Tape'!$AN60=0,'Loan Tape'!$Z60="Interest Only",'Loan Tape'!$Z60=""),0,MIN(MAX(0,L64-L670),IFERROR(MAX(0,MIN(10,'Loan Tape'!$AV60)-MAX(9,'Loan Tape'!$AT60))*IF(L367&lt;=0,L64/MAX(1,'Loan Tape'!$AU60-10+1),L367*L64/(1-(1+L367)^(-MAX(1,'Loan Tape'!$AU60-10+1)))-L367*L64),0)))</f>
        <v>0</v>
      </c>
    </row>
    <row r="974" customFormat="false" ht="15" hidden="false" customHeight="false" outlineLevel="0" collapsed="false">
      <c r="B974" s="108" t="n">
        <f aca="false">'Loan Tape'!$A61</f>
        <v>0</v>
      </c>
      <c r="C974" s="71" t="n">
        <f aca="false">IF(OR('Loan Tape'!$AN61=0,'Loan Tape'!$Z61="Interest Only",'Loan Tape'!$Z61=""),0,MIN(MAX(0,C65-C671),IFERROR(MAX(0,MIN(1,'Loan Tape'!$AV61)-MAX(0,'Loan Tape'!$AT61))*IF(C368&lt;=0,C65/MAX(1,'Loan Tape'!$AU61-1+1),C368*C65/(1-(1+C368)^(-MAX(1,'Loan Tape'!$AU61-1+1)))-C368*C65),0)))</f>
        <v>0</v>
      </c>
      <c r="D974" s="71" t="n">
        <f aca="false">IF(OR('Loan Tape'!$AN61=0,'Loan Tape'!$Z61="Interest Only",'Loan Tape'!$Z61=""),0,MIN(MAX(0,D65-D671),IFERROR(MAX(0,MIN(2,'Loan Tape'!$AV61)-MAX(1,'Loan Tape'!$AT61))*IF(D368&lt;=0,D65/MAX(1,'Loan Tape'!$AU61-2+1),D368*D65/(1-(1+D368)^(-MAX(1,'Loan Tape'!$AU61-2+1)))-D368*D65),0)))</f>
        <v>0</v>
      </c>
      <c r="E974" s="71" t="n">
        <f aca="false">IF(OR('Loan Tape'!$AN61=0,'Loan Tape'!$Z61="Interest Only",'Loan Tape'!$Z61=""),0,MIN(MAX(0,E65-E671),IFERROR(MAX(0,MIN(3,'Loan Tape'!$AV61)-MAX(2,'Loan Tape'!$AT61))*IF(E368&lt;=0,E65/MAX(1,'Loan Tape'!$AU61-3+1),E368*E65/(1-(1+E368)^(-MAX(1,'Loan Tape'!$AU61-3+1)))-E368*E65),0)))</f>
        <v>0</v>
      </c>
      <c r="F974" s="71" t="n">
        <f aca="false">IF(OR('Loan Tape'!$AN61=0,'Loan Tape'!$Z61="Interest Only",'Loan Tape'!$Z61=""),0,MIN(MAX(0,F65-F671),IFERROR(MAX(0,MIN(4,'Loan Tape'!$AV61)-MAX(3,'Loan Tape'!$AT61))*IF(F368&lt;=0,F65/MAX(1,'Loan Tape'!$AU61-4+1),F368*F65/(1-(1+F368)^(-MAX(1,'Loan Tape'!$AU61-4+1)))-F368*F65),0)))</f>
        <v>0</v>
      </c>
      <c r="G974" s="71" t="n">
        <f aca="false">IF(OR('Loan Tape'!$AN61=0,'Loan Tape'!$Z61="Interest Only",'Loan Tape'!$Z61=""),0,MIN(MAX(0,G65-G671),IFERROR(MAX(0,MIN(5,'Loan Tape'!$AV61)-MAX(4,'Loan Tape'!$AT61))*IF(G368&lt;=0,G65/MAX(1,'Loan Tape'!$AU61-5+1),G368*G65/(1-(1+G368)^(-MAX(1,'Loan Tape'!$AU61-5+1)))-G368*G65),0)))</f>
        <v>0</v>
      </c>
      <c r="H974" s="71" t="n">
        <f aca="false">IF(OR('Loan Tape'!$AN61=0,'Loan Tape'!$Z61="Interest Only",'Loan Tape'!$Z61=""),0,MIN(MAX(0,H65-H671),IFERROR(MAX(0,MIN(6,'Loan Tape'!$AV61)-MAX(5,'Loan Tape'!$AT61))*IF(H368&lt;=0,H65/MAX(1,'Loan Tape'!$AU61-6+1),H368*H65/(1-(1+H368)^(-MAX(1,'Loan Tape'!$AU61-6+1)))-H368*H65),0)))</f>
        <v>0</v>
      </c>
      <c r="I974" s="71" t="n">
        <f aca="false">IF(OR('Loan Tape'!$AN61=0,'Loan Tape'!$Z61="Interest Only",'Loan Tape'!$Z61=""),0,MIN(MAX(0,I65-I671),IFERROR(MAX(0,MIN(7,'Loan Tape'!$AV61)-MAX(6,'Loan Tape'!$AT61))*IF(I368&lt;=0,I65/MAX(1,'Loan Tape'!$AU61-7+1),I368*I65/(1-(1+I368)^(-MAX(1,'Loan Tape'!$AU61-7+1)))-I368*I65),0)))</f>
        <v>0</v>
      </c>
      <c r="J974" s="71" t="n">
        <f aca="false">IF(OR('Loan Tape'!$AN61=0,'Loan Tape'!$Z61="Interest Only",'Loan Tape'!$Z61=""),0,MIN(MAX(0,J65-J671),IFERROR(MAX(0,MIN(8,'Loan Tape'!$AV61)-MAX(7,'Loan Tape'!$AT61))*IF(J368&lt;=0,J65/MAX(1,'Loan Tape'!$AU61-8+1),J368*J65/(1-(1+J368)^(-MAX(1,'Loan Tape'!$AU61-8+1)))-J368*J65),0)))</f>
        <v>0</v>
      </c>
      <c r="K974" s="71" t="n">
        <f aca="false">IF(OR('Loan Tape'!$AN61=0,'Loan Tape'!$Z61="Interest Only",'Loan Tape'!$Z61=""),0,MIN(MAX(0,K65-K671),IFERROR(MAX(0,MIN(9,'Loan Tape'!$AV61)-MAX(8,'Loan Tape'!$AT61))*IF(K368&lt;=0,K65/MAX(1,'Loan Tape'!$AU61-9+1),K368*K65/(1-(1+K368)^(-MAX(1,'Loan Tape'!$AU61-9+1)))-K368*K65),0)))</f>
        <v>0</v>
      </c>
      <c r="L974" s="71" t="n">
        <f aca="false">IF(OR('Loan Tape'!$AN61=0,'Loan Tape'!$Z61="Interest Only",'Loan Tape'!$Z61=""),0,MIN(MAX(0,L65-L671),IFERROR(MAX(0,MIN(10,'Loan Tape'!$AV61)-MAX(9,'Loan Tape'!$AT61))*IF(L368&lt;=0,L65/MAX(1,'Loan Tape'!$AU61-10+1),L368*L65/(1-(1+L368)^(-MAX(1,'Loan Tape'!$AU61-10+1)))-L368*L65),0)))</f>
        <v>0</v>
      </c>
    </row>
    <row r="975" customFormat="false" ht="15" hidden="false" customHeight="false" outlineLevel="0" collapsed="false">
      <c r="B975" s="102" t="n">
        <f aca="false">'Loan Tape'!$A62</f>
        <v>0</v>
      </c>
      <c r="C975" s="99" t="n">
        <f aca="false">IF(OR('Loan Tape'!$AN62=0,'Loan Tape'!$Z62="Interest Only",'Loan Tape'!$Z62=""),0,MIN(MAX(0,C66-C672),IFERROR(MAX(0,MIN(1,'Loan Tape'!$AV62)-MAX(0,'Loan Tape'!$AT62))*IF(C369&lt;=0,C66/MAX(1,'Loan Tape'!$AU62-1+1),C369*C66/(1-(1+C369)^(-MAX(1,'Loan Tape'!$AU62-1+1)))-C369*C66),0)))</f>
        <v>0</v>
      </c>
      <c r="D975" s="99" t="n">
        <f aca="false">IF(OR('Loan Tape'!$AN62=0,'Loan Tape'!$Z62="Interest Only",'Loan Tape'!$Z62=""),0,MIN(MAX(0,D66-D672),IFERROR(MAX(0,MIN(2,'Loan Tape'!$AV62)-MAX(1,'Loan Tape'!$AT62))*IF(D369&lt;=0,D66/MAX(1,'Loan Tape'!$AU62-2+1),D369*D66/(1-(1+D369)^(-MAX(1,'Loan Tape'!$AU62-2+1)))-D369*D66),0)))</f>
        <v>0</v>
      </c>
      <c r="E975" s="99" t="n">
        <f aca="false">IF(OR('Loan Tape'!$AN62=0,'Loan Tape'!$Z62="Interest Only",'Loan Tape'!$Z62=""),0,MIN(MAX(0,E66-E672),IFERROR(MAX(0,MIN(3,'Loan Tape'!$AV62)-MAX(2,'Loan Tape'!$AT62))*IF(E369&lt;=0,E66/MAX(1,'Loan Tape'!$AU62-3+1),E369*E66/(1-(1+E369)^(-MAX(1,'Loan Tape'!$AU62-3+1)))-E369*E66),0)))</f>
        <v>0</v>
      </c>
      <c r="F975" s="99" t="n">
        <f aca="false">IF(OR('Loan Tape'!$AN62=0,'Loan Tape'!$Z62="Interest Only",'Loan Tape'!$Z62=""),0,MIN(MAX(0,F66-F672),IFERROR(MAX(0,MIN(4,'Loan Tape'!$AV62)-MAX(3,'Loan Tape'!$AT62))*IF(F369&lt;=0,F66/MAX(1,'Loan Tape'!$AU62-4+1),F369*F66/(1-(1+F369)^(-MAX(1,'Loan Tape'!$AU62-4+1)))-F369*F66),0)))</f>
        <v>0</v>
      </c>
      <c r="G975" s="99" t="n">
        <f aca="false">IF(OR('Loan Tape'!$AN62=0,'Loan Tape'!$Z62="Interest Only",'Loan Tape'!$Z62=""),0,MIN(MAX(0,G66-G672),IFERROR(MAX(0,MIN(5,'Loan Tape'!$AV62)-MAX(4,'Loan Tape'!$AT62))*IF(G369&lt;=0,G66/MAX(1,'Loan Tape'!$AU62-5+1),G369*G66/(1-(1+G369)^(-MAX(1,'Loan Tape'!$AU62-5+1)))-G369*G66),0)))</f>
        <v>0</v>
      </c>
      <c r="H975" s="99" t="n">
        <f aca="false">IF(OR('Loan Tape'!$AN62=0,'Loan Tape'!$Z62="Interest Only",'Loan Tape'!$Z62=""),0,MIN(MAX(0,H66-H672),IFERROR(MAX(0,MIN(6,'Loan Tape'!$AV62)-MAX(5,'Loan Tape'!$AT62))*IF(H369&lt;=0,H66/MAX(1,'Loan Tape'!$AU62-6+1),H369*H66/(1-(1+H369)^(-MAX(1,'Loan Tape'!$AU62-6+1)))-H369*H66),0)))</f>
        <v>0</v>
      </c>
      <c r="I975" s="99" t="n">
        <f aca="false">IF(OR('Loan Tape'!$AN62=0,'Loan Tape'!$Z62="Interest Only",'Loan Tape'!$Z62=""),0,MIN(MAX(0,I66-I672),IFERROR(MAX(0,MIN(7,'Loan Tape'!$AV62)-MAX(6,'Loan Tape'!$AT62))*IF(I369&lt;=0,I66/MAX(1,'Loan Tape'!$AU62-7+1),I369*I66/(1-(1+I369)^(-MAX(1,'Loan Tape'!$AU62-7+1)))-I369*I66),0)))</f>
        <v>0</v>
      </c>
      <c r="J975" s="99" t="n">
        <f aca="false">IF(OR('Loan Tape'!$AN62=0,'Loan Tape'!$Z62="Interest Only",'Loan Tape'!$Z62=""),0,MIN(MAX(0,J66-J672),IFERROR(MAX(0,MIN(8,'Loan Tape'!$AV62)-MAX(7,'Loan Tape'!$AT62))*IF(J369&lt;=0,J66/MAX(1,'Loan Tape'!$AU62-8+1),J369*J66/(1-(1+J369)^(-MAX(1,'Loan Tape'!$AU62-8+1)))-J369*J66),0)))</f>
        <v>0</v>
      </c>
      <c r="K975" s="99" t="n">
        <f aca="false">IF(OR('Loan Tape'!$AN62=0,'Loan Tape'!$Z62="Interest Only",'Loan Tape'!$Z62=""),0,MIN(MAX(0,K66-K672),IFERROR(MAX(0,MIN(9,'Loan Tape'!$AV62)-MAX(8,'Loan Tape'!$AT62))*IF(K369&lt;=0,K66/MAX(1,'Loan Tape'!$AU62-9+1),K369*K66/(1-(1+K369)^(-MAX(1,'Loan Tape'!$AU62-9+1)))-K369*K66),0)))</f>
        <v>0</v>
      </c>
      <c r="L975" s="99" t="n">
        <f aca="false">IF(OR('Loan Tape'!$AN62=0,'Loan Tape'!$Z62="Interest Only",'Loan Tape'!$Z62=""),0,MIN(MAX(0,L66-L672),IFERROR(MAX(0,MIN(10,'Loan Tape'!$AV62)-MAX(9,'Loan Tape'!$AT62))*IF(L369&lt;=0,L66/MAX(1,'Loan Tape'!$AU62-10+1),L369*L66/(1-(1+L369)^(-MAX(1,'Loan Tape'!$AU62-10+1)))-L369*L66),0)))</f>
        <v>0</v>
      </c>
    </row>
    <row r="976" customFormat="false" ht="15" hidden="false" customHeight="false" outlineLevel="0" collapsed="false">
      <c r="B976" s="108" t="n">
        <f aca="false">'Loan Tape'!$A63</f>
        <v>0</v>
      </c>
      <c r="C976" s="71" t="n">
        <f aca="false">IF(OR('Loan Tape'!$AN63=0,'Loan Tape'!$Z63="Interest Only",'Loan Tape'!$Z63=""),0,MIN(MAX(0,C67-C673),IFERROR(MAX(0,MIN(1,'Loan Tape'!$AV63)-MAX(0,'Loan Tape'!$AT63))*IF(C370&lt;=0,C67/MAX(1,'Loan Tape'!$AU63-1+1),C370*C67/(1-(1+C370)^(-MAX(1,'Loan Tape'!$AU63-1+1)))-C370*C67),0)))</f>
        <v>0</v>
      </c>
      <c r="D976" s="71" t="n">
        <f aca="false">IF(OR('Loan Tape'!$AN63=0,'Loan Tape'!$Z63="Interest Only",'Loan Tape'!$Z63=""),0,MIN(MAX(0,D67-D673),IFERROR(MAX(0,MIN(2,'Loan Tape'!$AV63)-MAX(1,'Loan Tape'!$AT63))*IF(D370&lt;=0,D67/MAX(1,'Loan Tape'!$AU63-2+1),D370*D67/(1-(1+D370)^(-MAX(1,'Loan Tape'!$AU63-2+1)))-D370*D67),0)))</f>
        <v>0</v>
      </c>
      <c r="E976" s="71" t="n">
        <f aca="false">IF(OR('Loan Tape'!$AN63=0,'Loan Tape'!$Z63="Interest Only",'Loan Tape'!$Z63=""),0,MIN(MAX(0,E67-E673),IFERROR(MAX(0,MIN(3,'Loan Tape'!$AV63)-MAX(2,'Loan Tape'!$AT63))*IF(E370&lt;=0,E67/MAX(1,'Loan Tape'!$AU63-3+1),E370*E67/(1-(1+E370)^(-MAX(1,'Loan Tape'!$AU63-3+1)))-E370*E67),0)))</f>
        <v>0</v>
      </c>
      <c r="F976" s="71" t="n">
        <f aca="false">IF(OR('Loan Tape'!$AN63=0,'Loan Tape'!$Z63="Interest Only",'Loan Tape'!$Z63=""),0,MIN(MAX(0,F67-F673),IFERROR(MAX(0,MIN(4,'Loan Tape'!$AV63)-MAX(3,'Loan Tape'!$AT63))*IF(F370&lt;=0,F67/MAX(1,'Loan Tape'!$AU63-4+1),F370*F67/(1-(1+F370)^(-MAX(1,'Loan Tape'!$AU63-4+1)))-F370*F67),0)))</f>
        <v>0</v>
      </c>
      <c r="G976" s="71" t="n">
        <f aca="false">IF(OR('Loan Tape'!$AN63=0,'Loan Tape'!$Z63="Interest Only",'Loan Tape'!$Z63=""),0,MIN(MAX(0,G67-G673),IFERROR(MAX(0,MIN(5,'Loan Tape'!$AV63)-MAX(4,'Loan Tape'!$AT63))*IF(G370&lt;=0,G67/MAX(1,'Loan Tape'!$AU63-5+1),G370*G67/(1-(1+G370)^(-MAX(1,'Loan Tape'!$AU63-5+1)))-G370*G67),0)))</f>
        <v>0</v>
      </c>
      <c r="H976" s="71" t="n">
        <f aca="false">IF(OR('Loan Tape'!$AN63=0,'Loan Tape'!$Z63="Interest Only",'Loan Tape'!$Z63=""),0,MIN(MAX(0,H67-H673),IFERROR(MAX(0,MIN(6,'Loan Tape'!$AV63)-MAX(5,'Loan Tape'!$AT63))*IF(H370&lt;=0,H67/MAX(1,'Loan Tape'!$AU63-6+1),H370*H67/(1-(1+H370)^(-MAX(1,'Loan Tape'!$AU63-6+1)))-H370*H67),0)))</f>
        <v>0</v>
      </c>
      <c r="I976" s="71" t="n">
        <f aca="false">IF(OR('Loan Tape'!$AN63=0,'Loan Tape'!$Z63="Interest Only",'Loan Tape'!$Z63=""),0,MIN(MAX(0,I67-I673),IFERROR(MAX(0,MIN(7,'Loan Tape'!$AV63)-MAX(6,'Loan Tape'!$AT63))*IF(I370&lt;=0,I67/MAX(1,'Loan Tape'!$AU63-7+1),I370*I67/(1-(1+I370)^(-MAX(1,'Loan Tape'!$AU63-7+1)))-I370*I67),0)))</f>
        <v>0</v>
      </c>
      <c r="J976" s="71" t="n">
        <f aca="false">IF(OR('Loan Tape'!$AN63=0,'Loan Tape'!$Z63="Interest Only",'Loan Tape'!$Z63=""),0,MIN(MAX(0,J67-J673),IFERROR(MAX(0,MIN(8,'Loan Tape'!$AV63)-MAX(7,'Loan Tape'!$AT63))*IF(J370&lt;=0,J67/MAX(1,'Loan Tape'!$AU63-8+1),J370*J67/(1-(1+J370)^(-MAX(1,'Loan Tape'!$AU63-8+1)))-J370*J67),0)))</f>
        <v>0</v>
      </c>
      <c r="K976" s="71" t="n">
        <f aca="false">IF(OR('Loan Tape'!$AN63=0,'Loan Tape'!$Z63="Interest Only",'Loan Tape'!$Z63=""),0,MIN(MAX(0,K67-K673),IFERROR(MAX(0,MIN(9,'Loan Tape'!$AV63)-MAX(8,'Loan Tape'!$AT63))*IF(K370&lt;=0,K67/MAX(1,'Loan Tape'!$AU63-9+1),K370*K67/(1-(1+K370)^(-MAX(1,'Loan Tape'!$AU63-9+1)))-K370*K67),0)))</f>
        <v>0</v>
      </c>
      <c r="L976" s="71" t="n">
        <f aca="false">IF(OR('Loan Tape'!$AN63=0,'Loan Tape'!$Z63="Interest Only",'Loan Tape'!$Z63=""),0,MIN(MAX(0,L67-L673),IFERROR(MAX(0,MIN(10,'Loan Tape'!$AV63)-MAX(9,'Loan Tape'!$AT63))*IF(L370&lt;=0,L67/MAX(1,'Loan Tape'!$AU63-10+1),L370*L67/(1-(1+L370)^(-MAX(1,'Loan Tape'!$AU63-10+1)))-L370*L67),0)))</f>
        <v>0</v>
      </c>
    </row>
    <row r="977" customFormat="false" ht="15" hidden="false" customHeight="false" outlineLevel="0" collapsed="false">
      <c r="B977" s="102" t="n">
        <f aca="false">'Loan Tape'!$A64</f>
        <v>0</v>
      </c>
      <c r="C977" s="99" t="n">
        <f aca="false">IF(OR('Loan Tape'!$AN64=0,'Loan Tape'!$Z64="Interest Only",'Loan Tape'!$Z64=""),0,MIN(MAX(0,C68-C674),IFERROR(MAX(0,MIN(1,'Loan Tape'!$AV64)-MAX(0,'Loan Tape'!$AT64))*IF(C371&lt;=0,C68/MAX(1,'Loan Tape'!$AU64-1+1),C371*C68/(1-(1+C371)^(-MAX(1,'Loan Tape'!$AU64-1+1)))-C371*C68),0)))</f>
        <v>0</v>
      </c>
      <c r="D977" s="99" t="n">
        <f aca="false">IF(OR('Loan Tape'!$AN64=0,'Loan Tape'!$Z64="Interest Only",'Loan Tape'!$Z64=""),0,MIN(MAX(0,D68-D674),IFERROR(MAX(0,MIN(2,'Loan Tape'!$AV64)-MAX(1,'Loan Tape'!$AT64))*IF(D371&lt;=0,D68/MAX(1,'Loan Tape'!$AU64-2+1),D371*D68/(1-(1+D371)^(-MAX(1,'Loan Tape'!$AU64-2+1)))-D371*D68),0)))</f>
        <v>0</v>
      </c>
      <c r="E977" s="99" t="n">
        <f aca="false">IF(OR('Loan Tape'!$AN64=0,'Loan Tape'!$Z64="Interest Only",'Loan Tape'!$Z64=""),0,MIN(MAX(0,E68-E674),IFERROR(MAX(0,MIN(3,'Loan Tape'!$AV64)-MAX(2,'Loan Tape'!$AT64))*IF(E371&lt;=0,E68/MAX(1,'Loan Tape'!$AU64-3+1),E371*E68/(1-(1+E371)^(-MAX(1,'Loan Tape'!$AU64-3+1)))-E371*E68),0)))</f>
        <v>0</v>
      </c>
      <c r="F977" s="99" t="n">
        <f aca="false">IF(OR('Loan Tape'!$AN64=0,'Loan Tape'!$Z64="Interest Only",'Loan Tape'!$Z64=""),0,MIN(MAX(0,F68-F674),IFERROR(MAX(0,MIN(4,'Loan Tape'!$AV64)-MAX(3,'Loan Tape'!$AT64))*IF(F371&lt;=0,F68/MAX(1,'Loan Tape'!$AU64-4+1),F371*F68/(1-(1+F371)^(-MAX(1,'Loan Tape'!$AU64-4+1)))-F371*F68),0)))</f>
        <v>0</v>
      </c>
      <c r="G977" s="99" t="n">
        <f aca="false">IF(OR('Loan Tape'!$AN64=0,'Loan Tape'!$Z64="Interest Only",'Loan Tape'!$Z64=""),0,MIN(MAX(0,G68-G674),IFERROR(MAX(0,MIN(5,'Loan Tape'!$AV64)-MAX(4,'Loan Tape'!$AT64))*IF(G371&lt;=0,G68/MAX(1,'Loan Tape'!$AU64-5+1),G371*G68/(1-(1+G371)^(-MAX(1,'Loan Tape'!$AU64-5+1)))-G371*G68),0)))</f>
        <v>0</v>
      </c>
      <c r="H977" s="99" t="n">
        <f aca="false">IF(OR('Loan Tape'!$AN64=0,'Loan Tape'!$Z64="Interest Only",'Loan Tape'!$Z64=""),0,MIN(MAX(0,H68-H674),IFERROR(MAX(0,MIN(6,'Loan Tape'!$AV64)-MAX(5,'Loan Tape'!$AT64))*IF(H371&lt;=0,H68/MAX(1,'Loan Tape'!$AU64-6+1),H371*H68/(1-(1+H371)^(-MAX(1,'Loan Tape'!$AU64-6+1)))-H371*H68),0)))</f>
        <v>0</v>
      </c>
      <c r="I977" s="99" t="n">
        <f aca="false">IF(OR('Loan Tape'!$AN64=0,'Loan Tape'!$Z64="Interest Only",'Loan Tape'!$Z64=""),0,MIN(MAX(0,I68-I674),IFERROR(MAX(0,MIN(7,'Loan Tape'!$AV64)-MAX(6,'Loan Tape'!$AT64))*IF(I371&lt;=0,I68/MAX(1,'Loan Tape'!$AU64-7+1),I371*I68/(1-(1+I371)^(-MAX(1,'Loan Tape'!$AU64-7+1)))-I371*I68),0)))</f>
        <v>0</v>
      </c>
      <c r="J977" s="99" t="n">
        <f aca="false">IF(OR('Loan Tape'!$AN64=0,'Loan Tape'!$Z64="Interest Only",'Loan Tape'!$Z64=""),0,MIN(MAX(0,J68-J674),IFERROR(MAX(0,MIN(8,'Loan Tape'!$AV64)-MAX(7,'Loan Tape'!$AT64))*IF(J371&lt;=0,J68/MAX(1,'Loan Tape'!$AU64-8+1),J371*J68/(1-(1+J371)^(-MAX(1,'Loan Tape'!$AU64-8+1)))-J371*J68),0)))</f>
        <v>0</v>
      </c>
      <c r="K977" s="99" t="n">
        <f aca="false">IF(OR('Loan Tape'!$AN64=0,'Loan Tape'!$Z64="Interest Only",'Loan Tape'!$Z64=""),0,MIN(MAX(0,K68-K674),IFERROR(MAX(0,MIN(9,'Loan Tape'!$AV64)-MAX(8,'Loan Tape'!$AT64))*IF(K371&lt;=0,K68/MAX(1,'Loan Tape'!$AU64-9+1),K371*K68/(1-(1+K371)^(-MAX(1,'Loan Tape'!$AU64-9+1)))-K371*K68),0)))</f>
        <v>0</v>
      </c>
      <c r="L977" s="99" t="n">
        <f aca="false">IF(OR('Loan Tape'!$AN64=0,'Loan Tape'!$Z64="Interest Only",'Loan Tape'!$Z64=""),0,MIN(MAX(0,L68-L674),IFERROR(MAX(0,MIN(10,'Loan Tape'!$AV64)-MAX(9,'Loan Tape'!$AT64))*IF(L371&lt;=0,L68/MAX(1,'Loan Tape'!$AU64-10+1),L371*L68/(1-(1+L371)^(-MAX(1,'Loan Tape'!$AU64-10+1)))-L371*L68),0)))</f>
        <v>0</v>
      </c>
    </row>
    <row r="978" customFormat="false" ht="15" hidden="false" customHeight="false" outlineLevel="0" collapsed="false">
      <c r="B978" s="108" t="n">
        <f aca="false">'Loan Tape'!$A65</f>
        <v>0</v>
      </c>
      <c r="C978" s="71" t="n">
        <f aca="false">IF(OR('Loan Tape'!$AN65=0,'Loan Tape'!$Z65="Interest Only",'Loan Tape'!$Z65=""),0,MIN(MAX(0,C69-C675),IFERROR(MAX(0,MIN(1,'Loan Tape'!$AV65)-MAX(0,'Loan Tape'!$AT65))*IF(C372&lt;=0,C69/MAX(1,'Loan Tape'!$AU65-1+1),C372*C69/(1-(1+C372)^(-MAX(1,'Loan Tape'!$AU65-1+1)))-C372*C69),0)))</f>
        <v>0</v>
      </c>
      <c r="D978" s="71" t="n">
        <f aca="false">IF(OR('Loan Tape'!$AN65=0,'Loan Tape'!$Z65="Interest Only",'Loan Tape'!$Z65=""),0,MIN(MAX(0,D69-D675),IFERROR(MAX(0,MIN(2,'Loan Tape'!$AV65)-MAX(1,'Loan Tape'!$AT65))*IF(D372&lt;=0,D69/MAX(1,'Loan Tape'!$AU65-2+1),D372*D69/(1-(1+D372)^(-MAX(1,'Loan Tape'!$AU65-2+1)))-D372*D69),0)))</f>
        <v>0</v>
      </c>
      <c r="E978" s="71" t="n">
        <f aca="false">IF(OR('Loan Tape'!$AN65=0,'Loan Tape'!$Z65="Interest Only",'Loan Tape'!$Z65=""),0,MIN(MAX(0,E69-E675),IFERROR(MAX(0,MIN(3,'Loan Tape'!$AV65)-MAX(2,'Loan Tape'!$AT65))*IF(E372&lt;=0,E69/MAX(1,'Loan Tape'!$AU65-3+1),E372*E69/(1-(1+E372)^(-MAX(1,'Loan Tape'!$AU65-3+1)))-E372*E69),0)))</f>
        <v>0</v>
      </c>
      <c r="F978" s="71" t="n">
        <f aca="false">IF(OR('Loan Tape'!$AN65=0,'Loan Tape'!$Z65="Interest Only",'Loan Tape'!$Z65=""),0,MIN(MAX(0,F69-F675),IFERROR(MAX(0,MIN(4,'Loan Tape'!$AV65)-MAX(3,'Loan Tape'!$AT65))*IF(F372&lt;=0,F69/MAX(1,'Loan Tape'!$AU65-4+1),F372*F69/(1-(1+F372)^(-MAX(1,'Loan Tape'!$AU65-4+1)))-F372*F69),0)))</f>
        <v>0</v>
      </c>
      <c r="G978" s="71" t="n">
        <f aca="false">IF(OR('Loan Tape'!$AN65=0,'Loan Tape'!$Z65="Interest Only",'Loan Tape'!$Z65=""),0,MIN(MAX(0,G69-G675),IFERROR(MAX(0,MIN(5,'Loan Tape'!$AV65)-MAX(4,'Loan Tape'!$AT65))*IF(G372&lt;=0,G69/MAX(1,'Loan Tape'!$AU65-5+1),G372*G69/(1-(1+G372)^(-MAX(1,'Loan Tape'!$AU65-5+1)))-G372*G69),0)))</f>
        <v>0</v>
      </c>
      <c r="H978" s="71" t="n">
        <f aca="false">IF(OR('Loan Tape'!$AN65=0,'Loan Tape'!$Z65="Interest Only",'Loan Tape'!$Z65=""),0,MIN(MAX(0,H69-H675),IFERROR(MAX(0,MIN(6,'Loan Tape'!$AV65)-MAX(5,'Loan Tape'!$AT65))*IF(H372&lt;=0,H69/MAX(1,'Loan Tape'!$AU65-6+1),H372*H69/(1-(1+H372)^(-MAX(1,'Loan Tape'!$AU65-6+1)))-H372*H69),0)))</f>
        <v>0</v>
      </c>
      <c r="I978" s="71" t="n">
        <f aca="false">IF(OR('Loan Tape'!$AN65=0,'Loan Tape'!$Z65="Interest Only",'Loan Tape'!$Z65=""),0,MIN(MAX(0,I69-I675),IFERROR(MAX(0,MIN(7,'Loan Tape'!$AV65)-MAX(6,'Loan Tape'!$AT65))*IF(I372&lt;=0,I69/MAX(1,'Loan Tape'!$AU65-7+1),I372*I69/(1-(1+I372)^(-MAX(1,'Loan Tape'!$AU65-7+1)))-I372*I69),0)))</f>
        <v>0</v>
      </c>
      <c r="J978" s="71" t="n">
        <f aca="false">IF(OR('Loan Tape'!$AN65=0,'Loan Tape'!$Z65="Interest Only",'Loan Tape'!$Z65=""),0,MIN(MAX(0,J69-J675),IFERROR(MAX(0,MIN(8,'Loan Tape'!$AV65)-MAX(7,'Loan Tape'!$AT65))*IF(J372&lt;=0,J69/MAX(1,'Loan Tape'!$AU65-8+1),J372*J69/(1-(1+J372)^(-MAX(1,'Loan Tape'!$AU65-8+1)))-J372*J69),0)))</f>
        <v>0</v>
      </c>
      <c r="K978" s="71" t="n">
        <f aca="false">IF(OR('Loan Tape'!$AN65=0,'Loan Tape'!$Z65="Interest Only",'Loan Tape'!$Z65=""),0,MIN(MAX(0,K69-K675),IFERROR(MAX(0,MIN(9,'Loan Tape'!$AV65)-MAX(8,'Loan Tape'!$AT65))*IF(K372&lt;=0,K69/MAX(1,'Loan Tape'!$AU65-9+1),K372*K69/(1-(1+K372)^(-MAX(1,'Loan Tape'!$AU65-9+1)))-K372*K69),0)))</f>
        <v>0</v>
      </c>
      <c r="L978" s="71" t="n">
        <f aca="false">IF(OR('Loan Tape'!$AN65=0,'Loan Tape'!$Z65="Interest Only",'Loan Tape'!$Z65=""),0,MIN(MAX(0,L69-L675),IFERROR(MAX(0,MIN(10,'Loan Tape'!$AV65)-MAX(9,'Loan Tape'!$AT65))*IF(L372&lt;=0,L69/MAX(1,'Loan Tape'!$AU65-10+1),L372*L69/(1-(1+L372)^(-MAX(1,'Loan Tape'!$AU65-10+1)))-L372*L69),0)))</f>
        <v>0</v>
      </c>
    </row>
    <row r="979" customFormat="false" ht="15" hidden="false" customHeight="false" outlineLevel="0" collapsed="false">
      <c r="B979" s="102" t="n">
        <f aca="false">'Loan Tape'!$A66</f>
        <v>0</v>
      </c>
      <c r="C979" s="99" t="n">
        <f aca="false">IF(OR('Loan Tape'!$AN66=0,'Loan Tape'!$Z66="Interest Only",'Loan Tape'!$Z66=""),0,MIN(MAX(0,C70-C676),IFERROR(MAX(0,MIN(1,'Loan Tape'!$AV66)-MAX(0,'Loan Tape'!$AT66))*IF(C373&lt;=0,C70/MAX(1,'Loan Tape'!$AU66-1+1),C373*C70/(1-(1+C373)^(-MAX(1,'Loan Tape'!$AU66-1+1)))-C373*C70),0)))</f>
        <v>0</v>
      </c>
      <c r="D979" s="99" t="n">
        <f aca="false">IF(OR('Loan Tape'!$AN66=0,'Loan Tape'!$Z66="Interest Only",'Loan Tape'!$Z66=""),0,MIN(MAX(0,D70-D676),IFERROR(MAX(0,MIN(2,'Loan Tape'!$AV66)-MAX(1,'Loan Tape'!$AT66))*IF(D373&lt;=0,D70/MAX(1,'Loan Tape'!$AU66-2+1),D373*D70/(1-(1+D373)^(-MAX(1,'Loan Tape'!$AU66-2+1)))-D373*D70),0)))</f>
        <v>0</v>
      </c>
      <c r="E979" s="99" t="n">
        <f aca="false">IF(OR('Loan Tape'!$AN66=0,'Loan Tape'!$Z66="Interest Only",'Loan Tape'!$Z66=""),0,MIN(MAX(0,E70-E676),IFERROR(MAX(0,MIN(3,'Loan Tape'!$AV66)-MAX(2,'Loan Tape'!$AT66))*IF(E373&lt;=0,E70/MAX(1,'Loan Tape'!$AU66-3+1),E373*E70/(1-(1+E373)^(-MAX(1,'Loan Tape'!$AU66-3+1)))-E373*E70),0)))</f>
        <v>0</v>
      </c>
      <c r="F979" s="99" t="n">
        <f aca="false">IF(OR('Loan Tape'!$AN66=0,'Loan Tape'!$Z66="Interest Only",'Loan Tape'!$Z66=""),0,MIN(MAX(0,F70-F676),IFERROR(MAX(0,MIN(4,'Loan Tape'!$AV66)-MAX(3,'Loan Tape'!$AT66))*IF(F373&lt;=0,F70/MAX(1,'Loan Tape'!$AU66-4+1),F373*F70/(1-(1+F373)^(-MAX(1,'Loan Tape'!$AU66-4+1)))-F373*F70),0)))</f>
        <v>0</v>
      </c>
      <c r="G979" s="99" t="n">
        <f aca="false">IF(OR('Loan Tape'!$AN66=0,'Loan Tape'!$Z66="Interest Only",'Loan Tape'!$Z66=""),0,MIN(MAX(0,G70-G676),IFERROR(MAX(0,MIN(5,'Loan Tape'!$AV66)-MAX(4,'Loan Tape'!$AT66))*IF(G373&lt;=0,G70/MAX(1,'Loan Tape'!$AU66-5+1),G373*G70/(1-(1+G373)^(-MAX(1,'Loan Tape'!$AU66-5+1)))-G373*G70),0)))</f>
        <v>0</v>
      </c>
      <c r="H979" s="99" t="n">
        <f aca="false">IF(OR('Loan Tape'!$AN66=0,'Loan Tape'!$Z66="Interest Only",'Loan Tape'!$Z66=""),0,MIN(MAX(0,H70-H676),IFERROR(MAX(0,MIN(6,'Loan Tape'!$AV66)-MAX(5,'Loan Tape'!$AT66))*IF(H373&lt;=0,H70/MAX(1,'Loan Tape'!$AU66-6+1),H373*H70/(1-(1+H373)^(-MAX(1,'Loan Tape'!$AU66-6+1)))-H373*H70),0)))</f>
        <v>0</v>
      </c>
      <c r="I979" s="99" t="n">
        <f aca="false">IF(OR('Loan Tape'!$AN66=0,'Loan Tape'!$Z66="Interest Only",'Loan Tape'!$Z66=""),0,MIN(MAX(0,I70-I676),IFERROR(MAX(0,MIN(7,'Loan Tape'!$AV66)-MAX(6,'Loan Tape'!$AT66))*IF(I373&lt;=0,I70/MAX(1,'Loan Tape'!$AU66-7+1),I373*I70/(1-(1+I373)^(-MAX(1,'Loan Tape'!$AU66-7+1)))-I373*I70),0)))</f>
        <v>0</v>
      </c>
      <c r="J979" s="99" t="n">
        <f aca="false">IF(OR('Loan Tape'!$AN66=0,'Loan Tape'!$Z66="Interest Only",'Loan Tape'!$Z66=""),0,MIN(MAX(0,J70-J676),IFERROR(MAX(0,MIN(8,'Loan Tape'!$AV66)-MAX(7,'Loan Tape'!$AT66))*IF(J373&lt;=0,J70/MAX(1,'Loan Tape'!$AU66-8+1),J373*J70/(1-(1+J373)^(-MAX(1,'Loan Tape'!$AU66-8+1)))-J373*J70),0)))</f>
        <v>0</v>
      </c>
      <c r="K979" s="99" t="n">
        <f aca="false">IF(OR('Loan Tape'!$AN66=0,'Loan Tape'!$Z66="Interest Only",'Loan Tape'!$Z66=""),0,MIN(MAX(0,K70-K676),IFERROR(MAX(0,MIN(9,'Loan Tape'!$AV66)-MAX(8,'Loan Tape'!$AT66))*IF(K373&lt;=0,K70/MAX(1,'Loan Tape'!$AU66-9+1),K373*K70/(1-(1+K373)^(-MAX(1,'Loan Tape'!$AU66-9+1)))-K373*K70),0)))</f>
        <v>0</v>
      </c>
      <c r="L979" s="99" t="n">
        <f aca="false">IF(OR('Loan Tape'!$AN66=0,'Loan Tape'!$Z66="Interest Only",'Loan Tape'!$Z66=""),0,MIN(MAX(0,L70-L676),IFERROR(MAX(0,MIN(10,'Loan Tape'!$AV66)-MAX(9,'Loan Tape'!$AT66))*IF(L373&lt;=0,L70/MAX(1,'Loan Tape'!$AU66-10+1),L373*L70/(1-(1+L373)^(-MAX(1,'Loan Tape'!$AU66-10+1)))-L373*L70),0)))</f>
        <v>0</v>
      </c>
    </row>
    <row r="980" customFormat="false" ht="15" hidden="false" customHeight="false" outlineLevel="0" collapsed="false">
      <c r="B980" s="108" t="n">
        <f aca="false">'Loan Tape'!$A67</f>
        <v>0</v>
      </c>
      <c r="C980" s="71" t="n">
        <f aca="false">IF(OR('Loan Tape'!$AN67=0,'Loan Tape'!$Z67="Interest Only",'Loan Tape'!$Z67=""),0,MIN(MAX(0,C71-C677),IFERROR(MAX(0,MIN(1,'Loan Tape'!$AV67)-MAX(0,'Loan Tape'!$AT67))*IF(C374&lt;=0,C71/MAX(1,'Loan Tape'!$AU67-1+1),C374*C71/(1-(1+C374)^(-MAX(1,'Loan Tape'!$AU67-1+1)))-C374*C71),0)))</f>
        <v>0</v>
      </c>
      <c r="D980" s="71" t="n">
        <f aca="false">IF(OR('Loan Tape'!$AN67=0,'Loan Tape'!$Z67="Interest Only",'Loan Tape'!$Z67=""),0,MIN(MAX(0,D71-D677),IFERROR(MAX(0,MIN(2,'Loan Tape'!$AV67)-MAX(1,'Loan Tape'!$AT67))*IF(D374&lt;=0,D71/MAX(1,'Loan Tape'!$AU67-2+1),D374*D71/(1-(1+D374)^(-MAX(1,'Loan Tape'!$AU67-2+1)))-D374*D71),0)))</f>
        <v>0</v>
      </c>
      <c r="E980" s="71" t="n">
        <f aca="false">IF(OR('Loan Tape'!$AN67=0,'Loan Tape'!$Z67="Interest Only",'Loan Tape'!$Z67=""),0,MIN(MAX(0,E71-E677),IFERROR(MAX(0,MIN(3,'Loan Tape'!$AV67)-MAX(2,'Loan Tape'!$AT67))*IF(E374&lt;=0,E71/MAX(1,'Loan Tape'!$AU67-3+1),E374*E71/(1-(1+E374)^(-MAX(1,'Loan Tape'!$AU67-3+1)))-E374*E71),0)))</f>
        <v>0</v>
      </c>
      <c r="F980" s="71" t="n">
        <f aca="false">IF(OR('Loan Tape'!$AN67=0,'Loan Tape'!$Z67="Interest Only",'Loan Tape'!$Z67=""),0,MIN(MAX(0,F71-F677),IFERROR(MAX(0,MIN(4,'Loan Tape'!$AV67)-MAX(3,'Loan Tape'!$AT67))*IF(F374&lt;=0,F71/MAX(1,'Loan Tape'!$AU67-4+1),F374*F71/(1-(1+F374)^(-MAX(1,'Loan Tape'!$AU67-4+1)))-F374*F71),0)))</f>
        <v>0</v>
      </c>
      <c r="G980" s="71" t="n">
        <f aca="false">IF(OR('Loan Tape'!$AN67=0,'Loan Tape'!$Z67="Interest Only",'Loan Tape'!$Z67=""),0,MIN(MAX(0,G71-G677),IFERROR(MAX(0,MIN(5,'Loan Tape'!$AV67)-MAX(4,'Loan Tape'!$AT67))*IF(G374&lt;=0,G71/MAX(1,'Loan Tape'!$AU67-5+1),G374*G71/(1-(1+G374)^(-MAX(1,'Loan Tape'!$AU67-5+1)))-G374*G71),0)))</f>
        <v>0</v>
      </c>
      <c r="H980" s="71" t="n">
        <f aca="false">IF(OR('Loan Tape'!$AN67=0,'Loan Tape'!$Z67="Interest Only",'Loan Tape'!$Z67=""),0,MIN(MAX(0,H71-H677),IFERROR(MAX(0,MIN(6,'Loan Tape'!$AV67)-MAX(5,'Loan Tape'!$AT67))*IF(H374&lt;=0,H71/MAX(1,'Loan Tape'!$AU67-6+1),H374*H71/(1-(1+H374)^(-MAX(1,'Loan Tape'!$AU67-6+1)))-H374*H71),0)))</f>
        <v>0</v>
      </c>
      <c r="I980" s="71" t="n">
        <f aca="false">IF(OR('Loan Tape'!$AN67=0,'Loan Tape'!$Z67="Interest Only",'Loan Tape'!$Z67=""),0,MIN(MAX(0,I71-I677),IFERROR(MAX(0,MIN(7,'Loan Tape'!$AV67)-MAX(6,'Loan Tape'!$AT67))*IF(I374&lt;=0,I71/MAX(1,'Loan Tape'!$AU67-7+1),I374*I71/(1-(1+I374)^(-MAX(1,'Loan Tape'!$AU67-7+1)))-I374*I71),0)))</f>
        <v>0</v>
      </c>
      <c r="J980" s="71" t="n">
        <f aca="false">IF(OR('Loan Tape'!$AN67=0,'Loan Tape'!$Z67="Interest Only",'Loan Tape'!$Z67=""),0,MIN(MAX(0,J71-J677),IFERROR(MAX(0,MIN(8,'Loan Tape'!$AV67)-MAX(7,'Loan Tape'!$AT67))*IF(J374&lt;=0,J71/MAX(1,'Loan Tape'!$AU67-8+1),J374*J71/(1-(1+J374)^(-MAX(1,'Loan Tape'!$AU67-8+1)))-J374*J71),0)))</f>
        <v>0</v>
      </c>
      <c r="K980" s="71" t="n">
        <f aca="false">IF(OR('Loan Tape'!$AN67=0,'Loan Tape'!$Z67="Interest Only",'Loan Tape'!$Z67=""),0,MIN(MAX(0,K71-K677),IFERROR(MAX(0,MIN(9,'Loan Tape'!$AV67)-MAX(8,'Loan Tape'!$AT67))*IF(K374&lt;=0,K71/MAX(1,'Loan Tape'!$AU67-9+1),K374*K71/(1-(1+K374)^(-MAX(1,'Loan Tape'!$AU67-9+1)))-K374*K71),0)))</f>
        <v>0</v>
      </c>
      <c r="L980" s="71" t="n">
        <f aca="false">IF(OR('Loan Tape'!$AN67=0,'Loan Tape'!$Z67="Interest Only",'Loan Tape'!$Z67=""),0,MIN(MAX(0,L71-L677),IFERROR(MAX(0,MIN(10,'Loan Tape'!$AV67)-MAX(9,'Loan Tape'!$AT67))*IF(L374&lt;=0,L71/MAX(1,'Loan Tape'!$AU67-10+1),L374*L71/(1-(1+L374)^(-MAX(1,'Loan Tape'!$AU67-10+1)))-L374*L71),0)))</f>
        <v>0</v>
      </c>
    </row>
    <row r="981" customFormat="false" ht="15" hidden="false" customHeight="false" outlineLevel="0" collapsed="false">
      <c r="B981" s="102" t="n">
        <f aca="false">'Loan Tape'!$A68</f>
        <v>0</v>
      </c>
      <c r="C981" s="99" t="n">
        <f aca="false">IF(OR('Loan Tape'!$AN68=0,'Loan Tape'!$Z68="Interest Only",'Loan Tape'!$Z68=""),0,MIN(MAX(0,C72-C678),IFERROR(MAX(0,MIN(1,'Loan Tape'!$AV68)-MAX(0,'Loan Tape'!$AT68))*IF(C375&lt;=0,C72/MAX(1,'Loan Tape'!$AU68-1+1),C375*C72/(1-(1+C375)^(-MAX(1,'Loan Tape'!$AU68-1+1)))-C375*C72),0)))</f>
        <v>0</v>
      </c>
      <c r="D981" s="99" t="n">
        <f aca="false">IF(OR('Loan Tape'!$AN68=0,'Loan Tape'!$Z68="Interest Only",'Loan Tape'!$Z68=""),0,MIN(MAX(0,D72-D678),IFERROR(MAX(0,MIN(2,'Loan Tape'!$AV68)-MAX(1,'Loan Tape'!$AT68))*IF(D375&lt;=0,D72/MAX(1,'Loan Tape'!$AU68-2+1),D375*D72/(1-(1+D375)^(-MAX(1,'Loan Tape'!$AU68-2+1)))-D375*D72),0)))</f>
        <v>0</v>
      </c>
      <c r="E981" s="99" t="n">
        <f aca="false">IF(OR('Loan Tape'!$AN68=0,'Loan Tape'!$Z68="Interest Only",'Loan Tape'!$Z68=""),0,MIN(MAX(0,E72-E678),IFERROR(MAX(0,MIN(3,'Loan Tape'!$AV68)-MAX(2,'Loan Tape'!$AT68))*IF(E375&lt;=0,E72/MAX(1,'Loan Tape'!$AU68-3+1),E375*E72/(1-(1+E375)^(-MAX(1,'Loan Tape'!$AU68-3+1)))-E375*E72),0)))</f>
        <v>0</v>
      </c>
      <c r="F981" s="99" t="n">
        <f aca="false">IF(OR('Loan Tape'!$AN68=0,'Loan Tape'!$Z68="Interest Only",'Loan Tape'!$Z68=""),0,MIN(MAX(0,F72-F678),IFERROR(MAX(0,MIN(4,'Loan Tape'!$AV68)-MAX(3,'Loan Tape'!$AT68))*IF(F375&lt;=0,F72/MAX(1,'Loan Tape'!$AU68-4+1),F375*F72/(1-(1+F375)^(-MAX(1,'Loan Tape'!$AU68-4+1)))-F375*F72),0)))</f>
        <v>0</v>
      </c>
      <c r="G981" s="99" t="n">
        <f aca="false">IF(OR('Loan Tape'!$AN68=0,'Loan Tape'!$Z68="Interest Only",'Loan Tape'!$Z68=""),0,MIN(MAX(0,G72-G678),IFERROR(MAX(0,MIN(5,'Loan Tape'!$AV68)-MAX(4,'Loan Tape'!$AT68))*IF(G375&lt;=0,G72/MAX(1,'Loan Tape'!$AU68-5+1),G375*G72/(1-(1+G375)^(-MAX(1,'Loan Tape'!$AU68-5+1)))-G375*G72),0)))</f>
        <v>0</v>
      </c>
      <c r="H981" s="99" t="n">
        <f aca="false">IF(OR('Loan Tape'!$AN68=0,'Loan Tape'!$Z68="Interest Only",'Loan Tape'!$Z68=""),0,MIN(MAX(0,H72-H678),IFERROR(MAX(0,MIN(6,'Loan Tape'!$AV68)-MAX(5,'Loan Tape'!$AT68))*IF(H375&lt;=0,H72/MAX(1,'Loan Tape'!$AU68-6+1),H375*H72/(1-(1+H375)^(-MAX(1,'Loan Tape'!$AU68-6+1)))-H375*H72),0)))</f>
        <v>0</v>
      </c>
      <c r="I981" s="99" t="n">
        <f aca="false">IF(OR('Loan Tape'!$AN68=0,'Loan Tape'!$Z68="Interest Only",'Loan Tape'!$Z68=""),0,MIN(MAX(0,I72-I678),IFERROR(MAX(0,MIN(7,'Loan Tape'!$AV68)-MAX(6,'Loan Tape'!$AT68))*IF(I375&lt;=0,I72/MAX(1,'Loan Tape'!$AU68-7+1),I375*I72/(1-(1+I375)^(-MAX(1,'Loan Tape'!$AU68-7+1)))-I375*I72),0)))</f>
        <v>0</v>
      </c>
      <c r="J981" s="99" t="n">
        <f aca="false">IF(OR('Loan Tape'!$AN68=0,'Loan Tape'!$Z68="Interest Only",'Loan Tape'!$Z68=""),0,MIN(MAX(0,J72-J678),IFERROR(MAX(0,MIN(8,'Loan Tape'!$AV68)-MAX(7,'Loan Tape'!$AT68))*IF(J375&lt;=0,J72/MAX(1,'Loan Tape'!$AU68-8+1),J375*J72/(1-(1+J375)^(-MAX(1,'Loan Tape'!$AU68-8+1)))-J375*J72),0)))</f>
        <v>0</v>
      </c>
      <c r="K981" s="99" t="n">
        <f aca="false">IF(OR('Loan Tape'!$AN68=0,'Loan Tape'!$Z68="Interest Only",'Loan Tape'!$Z68=""),0,MIN(MAX(0,K72-K678),IFERROR(MAX(0,MIN(9,'Loan Tape'!$AV68)-MAX(8,'Loan Tape'!$AT68))*IF(K375&lt;=0,K72/MAX(1,'Loan Tape'!$AU68-9+1),K375*K72/(1-(1+K375)^(-MAX(1,'Loan Tape'!$AU68-9+1)))-K375*K72),0)))</f>
        <v>0</v>
      </c>
      <c r="L981" s="99" t="n">
        <f aca="false">IF(OR('Loan Tape'!$AN68=0,'Loan Tape'!$Z68="Interest Only",'Loan Tape'!$Z68=""),0,MIN(MAX(0,L72-L678),IFERROR(MAX(0,MIN(10,'Loan Tape'!$AV68)-MAX(9,'Loan Tape'!$AT68))*IF(L375&lt;=0,L72/MAX(1,'Loan Tape'!$AU68-10+1),L375*L72/(1-(1+L375)^(-MAX(1,'Loan Tape'!$AU68-10+1)))-L375*L72),0)))</f>
        <v>0</v>
      </c>
    </row>
    <row r="982" customFormat="false" ht="15" hidden="false" customHeight="false" outlineLevel="0" collapsed="false">
      <c r="B982" s="108" t="n">
        <f aca="false">'Loan Tape'!$A69</f>
        <v>0</v>
      </c>
      <c r="C982" s="71" t="n">
        <f aca="false">IF(OR('Loan Tape'!$AN69=0,'Loan Tape'!$Z69="Interest Only",'Loan Tape'!$Z69=""),0,MIN(MAX(0,C73-C679),IFERROR(MAX(0,MIN(1,'Loan Tape'!$AV69)-MAX(0,'Loan Tape'!$AT69))*IF(C376&lt;=0,C73/MAX(1,'Loan Tape'!$AU69-1+1),C376*C73/(1-(1+C376)^(-MAX(1,'Loan Tape'!$AU69-1+1)))-C376*C73),0)))</f>
        <v>0</v>
      </c>
      <c r="D982" s="71" t="n">
        <f aca="false">IF(OR('Loan Tape'!$AN69=0,'Loan Tape'!$Z69="Interest Only",'Loan Tape'!$Z69=""),0,MIN(MAX(0,D73-D679),IFERROR(MAX(0,MIN(2,'Loan Tape'!$AV69)-MAX(1,'Loan Tape'!$AT69))*IF(D376&lt;=0,D73/MAX(1,'Loan Tape'!$AU69-2+1),D376*D73/(1-(1+D376)^(-MAX(1,'Loan Tape'!$AU69-2+1)))-D376*D73),0)))</f>
        <v>0</v>
      </c>
      <c r="E982" s="71" t="n">
        <f aca="false">IF(OR('Loan Tape'!$AN69=0,'Loan Tape'!$Z69="Interest Only",'Loan Tape'!$Z69=""),0,MIN(MAX(0,E73-E679),IFERROR(MAX(0,MIN(3,'Loan Tape'!$AV69)-MAX(2,'Loan Tape'!$AT69))*IF(E376&lt;=0,E73/MAX(1,'Loan Tape'!$AU69-3+1),E376*E73/(1-(1+E376)^(-MAX(1,'Loan Tape'!$AU69-3+1)))-E376*E73),0)))</f>
        <v>0</v>
      </c>
      <c r="F982" s="71" t="n">
        <f aca="false">IF(OR('Loan Tape'!$AN69=0,'Loan Tape'!$Z69="Interest Only",'Loan Tape'!$Z69=""),0,MIN(MAX(0,F73-F679),IFERROR(MAX(0,MIN(4,'Loan Tape'!$AV69)-MAX(3,'Loan Tape'!$AT69))*IF(F376&lt;=0,F73/MAX(1,'Loan Tape'!$AU69-4+1),F376*F73/(1-(1+F376)^(-MAX(1,'Loan Tape'!$AU69-4+1)))-F376*F73),0)))</f>
        <v>0</v>
      </c>
      <c r="G982" s="71" t="n">
        <f aca="false">IF(OR('Loan Tape'!$AN69=0,'Loan Tape'!$Z69="Interest Only",'Loan Tape'!$Z69=""),0,MIN(MAX(0,G73-G679),IFERROR(MAX(0,MIN(5,'Loan Tape'!$AV69)-MAX(4,'Loan Tape'!$AT69))*IF(G376&lt;=0,G73/MAX(1,'Loan Tape'!$AU69-5+1),G376*G73/(1-(1+G376)^(-MAX(1,'Loan Tape'!$AU69-5+1)))-G376*G73),0)))</f>
        <v>0</v>
      </c>
      <c r="H982" s="71" t="n">
        <f aca="false">IF(OR('Loan Tape'!$AN69=0,'Loan Tape'!$Z69="Interest Only",'Loan Tape'!$Z69=""),0,MIN(MAX(0,H73-H679),IFERROR(MAX(0,MIN(6,'Loan Tape'!$AV69)-MAX(5,'Loan Tape'!$AT69))*IF(H376&lt;=0,H73/MAX(1,'Loan Tape'!$AU69-6+1),H376*H73/(1-(1+H376)^(-MAX(1,'Loan Tape'!$AU69-6+1)))-H376*H73),0)))</f>
        <v>0</v>
      </c>
      <c r="I982" s="71" t="n">
        <f aca="false">IF(OR('Loan Tape'!$AN69=0,'Loan Tape'!$Z69="Interest Only",'Loan Tape'!$Z69=""),0,MIN(MAX(0,I73-I679),IFERROR(MAX(0,MIN(7,'Loan Tape'!$AV69)-MAX(6,'Loan Tape'!$AT69))*IF(I376&lt;=0,I73/MAX(1,'Loan Tape'!$AU69-7+1),I376*I73/(1-(1+I376)^(-MAX(1,'Loan Tape'!$AU69-7+1)))-I376*I73),0)))</f>
        <v>0</v>
      </c>
      <c r="J982" s="71" t="n">
        <f aca="false">IF(OR('Loan Tape'!$AN69=0,'Loan Tape'!$Z69="Interest Only",'Loan Tape'!$Z69=""),0,MIN(MAX(0,J73-J679),IFERROR(MAX(0,MIN(8,'Loan Tape'!$AV69)-MAX(7,'Loan Tape'!$AT69))*IF(J376&lt;=0,J73/MAX(1,'Loan Tape'!$AU69-8+1),J376*J73/(1-(1+J376)^(-MAX(1,'Loan Tape'!$AU69-8+1)))-J376*J73),0)))</f>
        <v>0</v>
      </c>
      <c r="K982" s="71" t="n">
        <f aca="false">IF(OR('Loan Tape'!$AN69=0,'Loan Tape'!$Z69="Interest Only",'Loan Tape'!$Z69=""),0,MIN(MAX(0,K73-K679),IFERROR(MAX(0,MIN(9,'Loan Tape'!$AV69)-MAX(8,'Loan Tape'!$AT69))*IF(K376&lt;=0,K73/MAX(1,'Loan Tape'!$AU69-9+1),K376*K73/(1-(1+K376)^(-MAX(1,'Loan Tape'!$AU69-9+1)))-K376*K73),0)))</f>
        <v>0</v>
      </c>
      <c r="L982" s="71" t="n">
        <f aca="false">IF(OR('Loan Tape'!$AN69=0,'Loan Tape'!$Z69="Interest Only",'Loan Tape'!$Z69=""),0,MIN(MAX(0,L73-L679),IFERROR(MAX(0,MIN(10,'Loan Tape'!$AV69)-MAX(9,'Loan Tape'!$AT69))*IF(L376&lt;=0,L73/MAX(1,'Loan Tape'!$AU69-10+1),L376*L73/(1-(1+L376)^(-MAX(1,'Loan Tape'!$AU69-10+1)))-L376*L73),0)))</f>
        <v>0</v>
      </c>
    </row>
    <row r="983" customFormat="false" ht="15" hidden="false" customHeight="false" outlineLevel="0" collapsed="false">
      <c r="B983" s="102" t="n">
        <f aca="false">'Loan Tape'!$A70</f>
        <v>0</v>
      </c>
      <c r="C983" s="99" t="n">
        <f aca="false">IF(OR('Loan Tape'!$AN70=0,'Loan Tape'!$Z70="Interest Only",'Loan Tape'!$Z70=""),0,MIN(MAX(0,C74-C680),IFERROR(MAX(0,MIN(1,'Loan Tape'!$AV70)-MAX(0,'Loan Tape'!$AT70))*IF(C377&lt;=0,C74/MAX(1,'Loan Tape'!$AU70-1+1),C377*C74/(1-(1+C377)^(-MAX(1,'Loan Tape'!$AU70-1+1)))-C377*C74),0)))</f>
        <v>0</v>
      </c>
      <c r="D983" s="99" t="n">
        <f aca="false">IF(OR('Loan Tape'!$AN70=0,'Loan Tape'!$Z70="Interest Only",'Loan Tape'!$Z70=""),0,MIN(MAX(0,D74-D680),IFERROR(MAX(0,MIN(2,'Loan Tape'!$AV70)-MAX(1,'Loan Tape'!$AT70))*IF(D377&lt;=0,D74/MAX(1,'Loan Tape'!$AU70-2+1),D377*D74/(1-(1+D377)^(-MAX(1,'Loan Tape'!$AU70-2+1)))-D377*D74),0)))</f>
        <v>0</v>
      </c>
      <c r="E983" s="99" t="n">
        <f aca="false">IF(OR('Loan Tape'!$AN70=0,'Loan Tape'!$Z70="Interest Only",'Loan Tape'!$Z70=""),0,MIN(MAX(0,E74-E680),IFERROR(MAX(0,MIN(3,'Loan Tape'!$AV70)-MAX(2,'Loan Tape'!$AT70))*IF(E377&lt;=0,E74/MAX(1,'Loan Tape'!$AU70-3+1),E377*E74/(1-(1+E377)^(-MAX(1,'Loan Tape'!$AU70-3+1)))-E377*E74),0)))</f>
        <v>0</v>
      </c>
      <c r="F983" s="99" t="n">
        <f aca="false">IF(OR('Loan Tape'!$AN70=0,'Loan Tape'!$Z70="Interest Only",'Loan Tape'!$Z70=""),0,MIN(MAX(0,F74-F680),IFERROR(MAX(0,MIN(4,'Loan Tape'!$AV70)-MAX(3,'Loan Tape'!$AT70))*IF(F377&lt;=0,F74/MAX(1,'Loan Tape'!$AU70-4+1),F377*F74/(1-(1+F377)^(-MAX(1,'Loan Tape'!$AU70-4+1)))-F377*F74),0)))</f>
        <v>0</v>
      </c>
      <c r="G983" s="99" t="n">
        <f aca="false">IF(OR('Loan Tape'!$AN70=0,'Loan Tape'!$Z70="Interest Only",'Loan Tape'!$Z70=""),0,MIN(MAX(0,G74-G680),IFERROR(MAX(0,MIN(5,'Loan Tape'!$AV70)-MAX(4,'Loan Tape'!$AT70))*IF(G377&lt;=0,G74/MAX(1,'Loan Tape'!$AU70-5+1),G377*G74/(1-(1+G377)^(-MAX(1,'Loan Tape'!$AU70-5+1)))-G377*G74),0)))</f>
        <v>0</v>
      </c>
      <c r="H983" s="99" t="n">
        <f aca="false">IF(OR('Loan Tape'!$AN70=0,'Loan Tape'!$Z70="Interest Only",'Loan Tape'!$Z70=""),0,MIN(MAX(0,H74-H680),IFERROR(MAX(0,MIN(6,'Loan Tape'!$AV70)-MAX(5,'Loan Tape'!$AT70))*IF(H377&lt;=0,H74/MAX(1,'Loan Tape'!$AU70-6+1),H377*H74/(1-(1+H377)^(-MAX(1,'Loan Tape'!$AU70-6+1)))-H377*H74),0)))</f>
        <v>0</v>
      </c>
      <c r="I983" s="99" t="n">
        <f aca="false">IF(OR('Loan Tape'!$AN70=0,'Loan Tape'!$Z70="Interest Only",'Loan Tape'!$Z70=""),0,MIN(MAX(0,I74-I680),IFERROR(MAX(0,MIN(7,'Loan Tape'!$AV70)-MAX(6,'Loan Tape'!$AT70))*IF(I377&lt;=0,I74/MAX(1,'Loan Tape'!$AU70-7+1),I377*I74/(1-(1+I377)^(-MAX(1,'Loan Tape'!$AU70-7+1)))-I377*I74),0)))</f>
        <v>0</v>
      </c>
      <c r="J983" s="99" t="n">
        <f aca="false">IF(OR('Loan Tape'!$AN70=0,'Loan Tape'!$Z70="Interest Only",'Loan Tape'!$Z70=""),0,MIN(MAX(0,J74-J680),IFERROR(MAX(0,MIN(8,'Loan Tape'!$AV70)-MAX(7,'Loan Tape'!$AT70))*IF(J377&lt;=0,J74/MAX(1,'Loan Tape'!$AU70-8+1),J377*J74/(1-(1+J377)^(-MAX(1,'Loan Tape'!$AU70-8+1)))-J377*J74),0)))</f>
        <v>0</v>
      </c>
      <c r="K983" s="99" t="n">
        <f aca="false">IF(OR('Loan Tape'!$AN70=0,'Loan Tape'!$Z70="Interest Only",'Loan Tape'!$Z70=""),0,MIN(MAX(0,K74-K680),IFERROR(MAX(0,MIN(9,'Loan Tape'!$AV70)-MAX(8,'Loan Tape'!$AT70))*IF(K377&lt;=0,K74/MAX(1,'Loan Tape'!$AU70-9+1),K377*K74/(1-(1+K377)^(-MAX(1,'Loan Tape'!$AU70-9+1)))-K377*K74),0)))</f>
        <v>0</v>
      </c>
      <c r="L983" s="99" t="n">
        <f aca="false">IF(OR('Loan Tape'!$AN70=0,'Loan Tape'!$Z70="Interest Only",'Loan Tape'!$Z70=""),0,MIN(MAX(0,L74-L680),IFERROR(MAX(0,MIN(10,'Loan Tape'!$AV70)-MAX(9,'Loan Tape'!$AT70))*IF(L377&lt;=0,L74/MAX(1,'Loan Tape'!$AU70-10+1),L377*L74/(1-(1+L377)^(-MAX(1,'Loan Tape'!$AU70-10+1)))-L377*L74),0)))</f>
        <v>0</v>
      </c>
    </row>
    <row r="984" customFormat="false" ht="15" hidden="false" customHeight="false" outlineLevel="0" collapsed="false">
      <c r="B984" s="108" t="n">
        <f aca="false">'Loan Tape'!$A71</f>
        <v>0</v>
      </c>
      <c r="C984" s="71" t="n">
        <f aca="false">IF(OR('Loan Tape'!$AN71=0,'Loan Tape'!$Z71="Interest Only",'Loan Tape'!$Z71=""),0,MIN(MAX(0,C75-C681),IFERROR(MAX(0,MIN(1,'Loan Tape'!$AV71)-MAX(0,'Loan Tape'!$AT71))*IF(C378&lt;=0,C75/MAX(1,'Loan Tape'!$AU71-1+1),C378*C75/(1-(1+C378)^(-MAX(1,'Loan Tape'!$AU71-1+1)))-C378*C75),0)))</f>
        <v>0</v>
      </c>
      <c r="D984" s="71" t="n">
        <f aca="false">IF(OR('Loan Tape'!$AN71=0,'Loan Tape'!$Z71="Interest Only",'Loan Tape'!$Z71=""),0,MIN(MAX(0,D75-D681),IFERROR(MAX(0,MIN(2,'Loan Tape'!$AV71)-MAX(1,'Loan Tape'!$AT71))*IF(D378&lt;=0,D75/MAX(1,'Loan Tape'!$AU71-2+1),D378*D75/(1-(1+D378)^(-MAX(1,'Loan Tape'!$AU71-2+1)))-D378*D75),0)))</f>
        <v>0</v>
      </c>
      <c r="E984" s="71" t="n">
        <f aca="false">IF(OR('Loan Tape'!$AN71=0,'Loan Tape'!$Z71="Interest Only",'Loan Tape'!$Z71=""),0,MIN(MAX(0,E75-E681),IFERROR(MAX(0,MIN(3,'Loan Tape'!$AV71)-MAX(2,'Loan Tape'!$AT71))*IF(E378&lt;=0,E75/MAX(1,'Loan Tape'!$AU71-3+1),E378*E75/(1-(1+E378)^(-MAX(1,'Loan Tape'!$AU71-3+1)))-E378*E75),0)))</f>
        <v>0</v>
      </c>
      <c r="F984" s="71" t="n">
        <f aca="false">IF(OR('Loan Tape'!$AN71=0,'Loan Tape'!$Z71="Interest Only",'Loan Tape'!$Z71=""),0,MIN(MAX(0,F75-F681),IFERROR(MAX(0,MIN(4,'Loan Tape'!$AV71)-MAX(3,'Loan Tape'!$AT71))*IF(F378&lt;=0,F75/MAX(1,'Loan Tape'!$AU71-4+1),F378*F75/(1-(1+F378)^(-MAX(1,'Loan Tape'!$AU71-4+1)))-F378*F75),0)))</f>
        <v>0</v>
      </c>
      <c r="G984" s="71" t="n">
        <f aca="false">IF(OR('Loan Tape'!$AN71=0,'Loan Tape'!$Z71="Interest Only",'Loan Tape'!$Z71=""),0,MIN(MAX(0,G75-G681),IFERROR(MAX(0,MIN(5,'Loan Tape'!$AV71)-MAX(4,'Loan Tape'!$AT71))*IF(G378&lt;=0,G75/MAX(1,'Loan Tape'!$AU71-5+1),G378*G75/(1-(1+G378)^(-MAX(1,'Loan Tape'!$AU71-5+1)))-G378*G75),0)))</f>
        <v>0</v>
      </c>
      <c r="H984" s="71" t="n">
        <f aca="false">IF(OR('Loan Tape'!$AN71=0,'Loan Tape'!$Z71="Interest Only",'Loan Tape'!$Z71=""),0,MIN(MAX(0,H75-H681),IFERROR(MAX(0,MIN(6,'Loan Tape'!$AV71)-MAX(5,'Loan Tape'!$AT71))*IF(H378&lt;=0,H75/MAX(1,'Loan Tape'!$AU71-6+1),H378*H75/(1-(1+H378)^(-MAX(1,'Loan Tape'!$AU71-6+1)))-H378*H75),0)))</f>
        <v>0</v>
      </c>
      <c r="I984" s="71" t="n">
        <f aca="false">IF(OR('Loan Tape'!$AN71=0,'Loan Tape'!$Z71="Interest Only",'Loan Tape'!$Z71=""),0,MIN(MAX(0,I75-I681),IFERROR(MAX(0,MIN(7,'Loan Tape'!$AV71)-MAX(6,'Loan Tape'!$AT71))*IF(I378&lt;=0,I75/MAX(1,'Loan Tape'!$AU71-7+1),I378*I75/(1-(1+I378)^(-MAX(1,'Loan Tape'!$AU71-7+1)))-I378*I75),0)))</f>
        <v>0</v>
      </c>
      <c r="J984" s="71" t="n">
        <f aca="false">IF(OR('Loan Tape'!$AN71=0,'Loan Tape'!$Z71="Interest Only",'Loan Tape'!$Z71=""),0,MIN(MAX(0,J75-J681),IFERROR(MAX(0,MIN(8,'Loan Tape'!$AV71)-MAX(7,'Loan Tape'!$AT71))*IF(J378&lt;=0,J75/MAX(1,'Loan Tape'!$AU71-8+1),J378*J75/(1-(1+J378)^(-MAX(1,'Loan Tape'!$AU71-8+1)))-J378*J75),0)))</f>
        <v>0</v>
      </c>
      <c r="K984" s="71" t="n">
        <f aca="false">IF(OR('Loan Tape'!$AN71=0,'Loan Tape'!$Z71="Interest Only",'Loan Tape'!$Z71=""),0,MIN(MAX(0,K75-K681),IFERROR(MAX(0,MIN(9,'Loan Tape'!$AV71)-MAX(8,'Loan Tape'!$AT71))*IF(K378&lt;=0,K75/MAX(1,'Loan Tape'!$AU71-9+1),K378*K75/(1-(1+K378)^(-MAX(1,'Loan Tape'!$AU71-9+1)))-K378*K75),0)))</f>
        <v>0</v>
      </c>
      <c r="L984" s="71" t="n">
        <f aca="false">IF(OR('Loan Tape'!$AN71=0,'Loan Tape'!$Z71="Interest Only",'Loan Tape'!$Z71=""),0,MIN(MAX(0,L75-L681),IFERROR(MAX(0,MIN(10,'Loan Tape'!$AV71)-MAX(9,'Loan Tape'!$AT71))*IF(L378&lt;=0,L75/MAX(1,'Loan Tape'!$AU71-10+1),L378*L75/(1-(1+L378)^(-MAX(1,'Loan Tape'!$AU71-10+1)))-L378*L75),0)))</f>
        <v>0</v>
      </c>
    </row>
    <row r="985" customFormat="false" ht="15" hidden="false" customHeight="false" outlineLevel="0" collapsed="false">
      <c r="B985" s="102" t="n">
        <f aca="false">'Loan Tape'!$A72</f>
        <v>0</v>
      </c>
      <c r="C985" s="99" t="n">
        <f aca="false">IF(OR('Loan Tape'!$AN72=0,'Loan Tape'!$Z72="Interest Only",'Loan Tape'!$Z72=""),0,MIN(MAX(0,C76-C682),IFERROR(MAX(0,MIN(1,'Loan Tape'!$AV72)-MAX(0,'Loan Tape'!$AT72))*IF(C379&lt;=0,C76/MAX(1,'Loan Tape'!$AU72-1+1),C379*C76/(1-(1+C379)^(-MAX(1,'Loan Tape'!$AU72-1+1)))-C379*C76),0)))</f>
        <v>0</v>
      </c>
      <c r="D985" s="99" t="n">
        <f aca="false">IF(OR('Loan Tape'!$AN72=0,'Loan Tape'!$Z72="Interest Only",'Loan Tape'!$Z72=""),0,MIN(MAX(0,D76-D682),IFERROR(MAX(0,MIN(2,'Loan Tape'!$AV72)-MAX(1,'Loan Tape'!$AT72))*IF(D379&lt;=0,D76/MAX(1,'Loan Tape'!$AU72-2+1),D379*D76/(1-(1+D379)^(-MAX(1,'Loan Tape'!$AU72-2+1)))-D379*D76),0)))</f>
        <v>0</v>
      </c>
      <c r="E985" s="99" t="n">
        <f aca="false">IF(OR('Loan Tape'!$AN72=0,'Loan Tape'!$Z72="Interest Only",'Loan Tape'!$Z72=""),0,MIN(MAX(0,E76-E682),IFERROR(MAX(0,MIN(3,'Loan Tape'!$AV72)-MAX(2,'Loan Tape'!$AT72))*IF(E379&lt;=0,E76/MAX(1,'Loan Tape'!$AU72-3+1),E379*E76/(1-(1+E379)^(-MAX(1,'Loan Tape'!$AU72-3+1)))-E379*E76),0)))</f>
        <v>0</v>
      </c>
      <c r="F985" s="99" t="n">
        <f aca="false">IF(OR('Loan Tape'!$AN72=0,'Loan Tape'!$Z72="Interest Only",'Loan Tape'!$Z72=""),0,MIN(MAX(0,F76-F682),IFERROR(MAX(0,MIN(4,'Loan Tape'!$AV72)-MAX(3,'Loan Tape'!$AT72))*IF(F379&lt;=0,F76/MAX(1,'Loan Tape'!$AU72-4+1),F379*F76/(1-(1+F379)^(-MAX(1,'Loan Tape'!$AU72-4+1)))-F379*F76),0)))</f>
        <v>0</v>
      </c>
      <c r="G985" s="99" t="n">
        <f aca="false">IF(OR('Loan Tape'!$AN72=0,'Loan Tape'!$Z72="Interest Only",'Loan Tape'!$Z72=""),0,MIN(MAX(0,G76-G682),IFERROR(MAX(0,MIN(5,'Loan Tape'!$AV72)-MAX(4,'Loan Tape'!$AT72))*IF(G379&lt;=0,G76/MAX(1,'Loan Tape'!$AU72-5+1),G379*G76/(1-(1+G379)^(-MAX(1,'Loan Tape'!$AU72-5+1)))-G379*G76),0)))</f>
        <v>0</v>
      </c>
      <c r="H985" s="99" t="n">
        <f aca="false">IF(OR('Loan Tape'!$AN72=0,'Loan Tape'!$Z72="Interest Only",'Loan Tape'!$Z72=""),0,MIN(MAX(0,H76-H682),IFERROR(MAX(0,MIN(6,'Loan Tape'!$AV72)-MAX(5,'Loan Tape'!$AT72))*IF(H379&lt;=0,H76/MAX(1,'Loan Tape'!$AU72-6+1),H379*H76/(1-(1+H379)^(-MAX(1,'Loan Tape'!$AU72-6+1)))-H379*H76),0)))</f>
        <v>0</v>
      </c>
      <c r="I985" s="99" t="n">
        <f aca="false">IF(OR('Loan Tape'!$AN72=0,'Loan Tape'!$Z72="Interest Only",'Loan Tape'!$Z72=""),0,MIN(MAX(0,I76-I682),IFERROR(MAX(0,MIN(7,'Loan Tape'!$AV72)-MAX(6,'Loan Tape'!$AT72))*IF(I379&lt;=0,I76/MAX(1,'Loan Tape'!$AU72-7+1),I379*I76/(1-(1+I379)^(-MAX(1,'Loan Tape'!$AU72-7+1)))-I379*I76),0)))</f>
        <v>0</v>
      </c>
      <c r="J985" s="99" t="n">
        <f aca="false">IF(OR('Loan Tape'!$AN72=0,'Loan Tape'!$Z72="Interest Only",'Loan Tape'!$Z72=""),0,MIN(MAX(0,J76-J682),IFERROR(MAX(0,MIN(8,'Loan Tape'!$AV72)-MAX(7,'Loan Tape'!$AT72))*IF(J379&lt;=0,J76/MAX(1,'Loan Tape'!$AU72-8+1),J379*J76/(1-(1+J379)^(-MAX(1,'Loan Tape'!$AU72-8+1)))-J379*J76),0)))</f>
        <v>0</v>
      </c>
      <c r="K985" s="99" t="n">
        <f aca="false">IF(OR('Loan Tape'!$AN72=0,'Loan Tape'!$Z72="Interest Only",'Loan Tape'!$Z72=""),0,MIN(MAX(0,K76-K682),IFERROR(MAX(0,MIN(9,'Loan Tape'!$AV72)-MAX(8,'Loan Tape'!$AT72))*IF(K379&lt;=0,K76/MAX(1,'Loan Tape'!$AU72-9+1),K379*K76/(1-(1+K379)^(-MAX(1,'Loan Tape'!$AU72-9+1)))-K379*K76),0)))</f>
        <v>0</v>
      </c>
      <c r="L985" s="99" t="n">
        <f aca="false">IF(OR('Loan Tape'!$AN72=0,'Loan Tape'!$Z72="Interest Only",'Loan Tape'!$Z72=""),0,MIN(MAX(0,L76-L682),IFERROR(MAX(0,MIN(10,'Loan Tape'!$AV72)-MAX(9,'Loan Tape'!$AT72))*IF(L379&lt;=0,L76/MAX(1,'Loan Tape'!$AU72-10+1),L379*L76/(1-(1+L379)^(-MAX(1,'Loan Tape'!$AU72-10+1)))-L379*L76),0)))</f>
        <v>0</v>
      </c>
    </row>
    <row r="986" customFormat="false" ht="15" hidden="false" customHeight="false" outlineLevel="0" collapsed="false">
      <c r="B986" s="108" t="n">
        <f aca="false">'Loan Tape'!$A73</f>
        <v>0</v>
      </c>
      <c r="C986" s="71" t="n">
        <f aca="false">IF(OR('Loan Tape'!$AN73=0,'Loan Tape'!$Z73="Interest Only",'Loan Tape'!$Z73=""),0,MIN(MAX(0,C77-C683),IFERROR(MAX(0,MIN(1,'Loan Tape'!$AV73)-MAX(0,'Loan Tape'!$AT73))*IF(C380&lt;=0,C77/MAX(1,'Loan Tape'!$AU73-1+1),C380*C77/(1-(1+C380)^(-MAX(1,'Loan Tape'!$AU73-1+1)))-C380*C77),0)))</f>
        <v>0</v>
      </c>
      <c r="D986" s="71" t="n">
        <f aca="false">IF(OR('Loan Tape'!$AN73=0,'Loan Tape'!$Z73="Interest Only",'Loan Tape'!$Z73=""),0,MIN(MAX(0,D77-D683),IFERROR(MAX(0,MIN(2,'Loan Tape'!$AV73)-MAX(1,'Loan Tape'!$AT73))*IF(D380&lt;=0,D77/MAX(1,'Loan Tape'!$AU73-2+1),D380*D77/(1-(1+D380)^(-MAX(1,'Loan Tape'!$AU73-2+1)))-D380*D77),0)))</f>
        <v>0</v>
      </c>
      <c r="E986" s="71" t="n">
        <f aca="false">IF(OR('Loan Tape'!$AN73=0,'Loan Tape'!$Z73="Interest Only",'Loan Tape'!$Z73=""),0,MIN(MAX(0,E77-E683),IFERROR(MAX(0,MIN(3,'Loan Tape'!$AV73)-MAX(2,'Loan Tape'!$AT73))*IF(E380&lt;=0,E77/MAX(1,'Loan Tape'!$AU73-3+1),E380*E77/(1-(1+E380)^(-MAX(1,'Loan Tape'!$AU73-3+1)))-E380*E77),0)))</f>
        <v>0</v>
      </c>
      <c r="F986" s="71" t="n">
        <f aca="false">IF(OR('Loan Tape'!$AN73=0,'Loan Tape'!$Z73="Interest Only",'Loan Tape'!$Z73=""),0,MIN(MAX(0,F77-F683),IFERROR(MAX(0,MIN(4,'Loan Tape'!$AV73)-MAX(3,'Loan Tape'!$AT73))*IF(F380&lt;=0,F77/MAX(1,'Loan Tape'!$AU73-4+1),F380*F77/(1-(1+F380)^(-MAX(1,'Loan Tape'!$AU73-4+1)))-F380*F77),0)))</f>
        <v>0</v>
      </c>
      <c r="G986" s="71" t="n">
        <f aca="false">IF(OR('Loan Tape'!$AN73=0,'Loan Tape'!$Z73="Interest Only",'Loan Tape'!$Z73=""),0,MIN(MAX(0,G77-G683),IFERROR(MAX(0,MIN(5,'Loan Tape'!$AV73)-MAX(4,'Loan Tape'!$AT73))*IF(G380&lt;=0,G77/MAX(1,'Loan Tape'!$AU73-5+1),G380*G77/(1-(1+G380)^(-MAX(1,'Loan Tape'!$AU73-5+1)))-G380*G77),0)))</f>
        <v>0</v>
      </c>
      <c r="H986" s="71" t="n">
        <f aca="false">IF(OR('Loan Tape'!$AN73=0,'Loan Tape'!$Z73="Interest Only",'Loan Tape'!$Z73=""),0,MIN(MAX(0,H77-H683),IFERROR(MAX(0,MIN(6,'Loan Tape'!$AV73)-MAX(5,'Loan Tape'!$AT73))*IF(H380&lt;=0,H77/MAX(1,'Loan Tape'!$AU73-6+1),H380*H77/(1-(1+H380)^(-MAX(1,'Loan Tape'!$AU73-6+1)))-H380*H77),0)))</f>
        <v>0</v>
      </c>
      <c r="I986" s="71" t="n">
        <f aca="false">IF(OR('Loan Tape'!$AN73=0,'Loan Tape'!$Z73="Interest Only",'Loan Tape'!$Z73=""),0,MIN(MAX(0,I77-I683),IFERROR(MAX(0,MIN(7,'Loan Tape'!$AV73)-MAX(6,'Loan Tape'!$AT73))*IF(I380&lt;=0,I77/MAX(1,'Loan Tape'!$AU73-7+1),I380*I77/(1-(1+I380)^(-MAX(1,'Loan Tape'!$AU73-7+1)))-I380*I77),0)))</f>
        <v>0</v>
      </c>
      <c r="J986" s="71" t="n">
        <f aca="false">IF(OR('Loan Tape'!$AN73=0,'Loan Tape'!$Z73="Interest Only",'Loan Tape'!$Z73=""),0,MIN(MAX(0,J77-J683),IFERROR(MAX(0,MIN(8,'Loan Tape'!$AV73)-MAX(7,'Loan Tape'!$AT73))*IF(J380&lt;=0,J77/MAX(1,'Loan Tape'!$AU73-8+1),J380*J77/(1-(1+J380)^(-MAX(1,'Loan Tape'!$AU73-8+1)))-J380*J77),0)))</f>
        <v>0</v>
      </c>
      <c r="K986" s="71" t="n">
        <f aca="false">IF(OR('Loan Tape'!$AN73=0,'Loan Tape'!$Z73="Interest Only",'Loan Tape'!$Z73=""),0,MIN(MAX(0,K77-K683),IFERROR(MAX(0,MIN(9,'Loan Tape'!$AV73)-MAX(8,'Loan Tape'!$AT73))*IF(K380&lt;=0,K77/MAX(1,'Loan Tape'!$AU73-9+1),K380*K77/(1-(1+K380)^(-MAX(1,'Loan Tape'!$AU73-9+1)))-K380*K77),0)))</f>
        <v>0</v>
      </c>
      <c r="L986" s="71" t="n">
        <f aca="false">IF(OR('Loan Tape'!$AN73=0,'Loan Tape'!$Z73="Interest Only",'Loan Tape'!$Z73=""),0,MIN(MAX(0,L77-L683),IFERROR(MAX(0,MIN(10,'Loan Tape'!$AV73)-MAX(9,'Loan Tape'!$AT73))*IF(L380&lt;=0,L77/MAX(1,'Loan Tape'!$AU73-10+1),L380*L77/(1-(1+L380)^(-MAX(1,'Loan Tape'!$AU73-10+1)))-L380*L77),0)))</f>
        <v>0</v>
      </c>
    </row>
    <row r="987" customFormat="false" ht="15" hidden="false" customHeight="false" outlineLevel="0" collapsed="false">
      <c r="B987" s="102" t="n">
        <f aca="false">'Loan Tape'!$A74</f>
        <v>0</v>
      </c>
      <c r="C987" s="99" t="n">
        <f aca="false">IF(OR('Loan Tape'!$AN74=0,'Loan Tape'!$Z74="Interest Only",'Loan Tape'!$Z74=""),0,MIN(MAX(0,C78-C684),IFERROR(MAX(0,MIN(1,'Loan Tape'!$AV74)-MAX(0,'Loan Tape'!$AT74))*IF(C381&lt;=0,C78/MAX(1,'Loan Tape'!$AU74-1+1),C381*C78/(1-(1+C381)^(-MAX(1,'Loan Tape'!$AU74-1+1)))-C381*C78),0)))</f>
        <v>0</v>
      </c>
      <c r="D987" s="99" t="n">
        <f aca="false">IF(OR('Loan Tape'!$AN74=0,'Loan Tape'!$Z74="Interest Only",'Loan Tape'!$Z74=""),0,MIN(MAX(0,D78-D684),IFERROR(MAX(0,MIN(2,'Loan Tape'!$AV74)-MAX(1,'Loan Tape'!$AT74))*IF(D381&lt;=0,D78/MAX(1,'Loan Tape'!$AU74-2+1),D381*D78/(1-(1+D381)^(-MAX(1,'Loan Tape'!$AU74-2+1)))-D381*D78),0)))</f>
        <v>0</v>
      </c>
      <c r="E987" s="99" t="n">
        <f aca="false">IF(OR('Loan Tape'!$AN74=0,'Loan Tape'!$Z74="Interest Only",'Loan Tape'!$Z74=""),0,MIN(MAX(0,E78-E684),IFERROR(MAX(0,MIN(3,'Loan Tape'!$AV74)-MAX(2,'Loan Tape'!$AT74))*IF(E381&lt;=0,E78/MAX(1,'Loan Tape'!$AU74-3+1),E381*E78/(1-(1+E381)^(-MAX(1,'Loan Tape'!$AU74-3+1)))-E381*E78),0)))</f>
        <v>0</v>
      </c>
      <c r="F987" s="99" t="n">
        <f aca="false">IF(OR('Loan Tape'!$AN74=0,'Loan Tape'!$Z74="Interest Only",'Loan Tape'!$Z74=""),0,MIN(MAX(0,F78-F684),IFERROR(MAX(0,MIN(4,'Loan Tape'!$AV74)-MAX(3,'Loan Tape'!$AT74))*IF(F381&lt;=0,F78/MAX(1,'Loan Tape'!$AU74-4+1),F381*F78/(1-(1+F381)^(-MAX(1,'Loan Tape'!$AU74-4+1)))-F381*F78),0)))</f>
        <v>0</v>
      </c>
      <c r="G987" s="99" t="n">
        <f aca="false">IF(OR('Loan Tape'!$AN74=0,'Loan Tape'!$Z74="Interest Only",'Loan Tape'!$Z74=""),0,MIN(MAX(0,G78-G684),IFERROR(MAX(0,MIN(5,'Loan Tape'!$AV74)-MAX(4,'Loan Tape'!$AT74))*IF(G381&lt;=0,G78/MAX(1,'Loan Tape'!$AU74-5+1),G381*G78/(1-(1+G381)^(-MAX(1,'Loan Tape'!$AU74-5+1)))-G381*G78),0)))</f>
        <v>0</v>
      </c>
      <c r="H987" s="99" t="n">
        <f aca="false">IF(OR('Loan Tape'!$AN74=0,'Loan Tape'!$Z74="Interest Only",'Loan Tape'!$Z74=""),0,MIN(MAX(0,H78-H684),IFERROR(MAX(0,MIN(6,'Loan Tape'!$AV74)-MAX(5,'Loan Tape'!$AT74))*IF(H381&lt;=0,H78/MAX(1,'Loan Tape'!$AU74-6+1),H381*H78/(1-(1+H381)^(-MAX(1,'Loan Tape'!$AU74-6+1)))-H381*H78),0)))</f>
        <v>0</v>
      </c>
      <c r="I987" s="99" t="n">
        <f aca="false">IF(OR('Loan Tape'!$AN74=0,'Loan Tape'!$Z74="Interest Only",'Loan Tape'!$Z74=""),0,MIN(MAX(0,I78-I684),IFERROR(MAX(0,MIN(7,'Loan Tape'!$AV74)-MAX(6,'Loan Tape'!$AT74))*IF(I381&lt;=0,I78/MAX(1,'Loan Tape'!$AU74-7+1),I381*I78/(1-(1+I381)^(-MAX(1,'Loan Tape'!$AU74-7+1)))-I381*I78),0)))</f>
        <v>0</v>
      </c>
      <c r="J987" s="99" t="n">
        <f aca="false">IF(OR('Loan Tape'!$AN74=0,'Loan Tape'!$Z74="Interest Only",'Loan Tape'!$Z74=""),0,MIN(MAX(0,J78-J684),IFERROR(MAX(0,MIN(8,'Loan Tape'!$AV74)-MAX(7,'Loan Tape'!$AT74))*IF(J381&lt;=0,J78/MAX(1,'Loan Tape'!$AU74-8+1),J381*J78/(1-(1+J381)^(-MAX(1,'Loan Tape'!$AU74-8+1)))-J381*J78),0)))</f>
        <v>0</v>
      </c>
      <c r="K987" s="99" t="n">
        <f aca="false">IF(OR('Loan Tape'!$AN74=0,'Loan Tape'!$Z74="Interest Only",'Loan Tape'!$Z74=""),0,MIN(MAX(0,K78-K684),IFERROR(MAX(0,MIN(9,'Loan Tape'!$AV74)-MAX(8,'Loan Tape'!$AT74))*IF(K381&lt;=0,K78/MAX(1,'Loan Tape'!$AU74-9+1),K381*K78/(1-(1+K381)^(-MAX(1,'Loan Tape'!$AU74-9+1)))-K381*K78),0)))</f>
        <v>0</v>
      </c>
      <c r="L987" s="99" t="n">
        <f aca="false">IF(OR('Loan Tape'!$AN74=0,'Loan Tape'!$Z74="Interest Only",'Loan Tape'!$Z74=""),0,MIN(MAX(0,L78-L684),IFERROR(MAX(0,MIN(10,'Loan Tape'!$AV74)-MAX(9,'Loan Tape'!$AT74))*IF(L381&lt;=0,L78/MAX(1,'Loan Tape'!$AU74-10+1),L381*L78/(1-(1+L381)^(-MAX(1,'Loan Tape'!$AU74-10+1)))-L381*L78),0)))</f>
        <v>0</v>
      </c>
    </row>
    <row r="988" customFormat="false" ht="15" hidden="false" customHeight="false" outlineLevel="0" collapsed="false">
      <c r="B988" s="108" t="n">
        <f aca="false">'Loan Tape'!$A75</f>
        <v>0</v>
      </c>
      <c r="C988" s="71" t="n">
        <f aca="false">IF(OR('Loan Tape'!$AN75=0,'Loan Tape'!$Z75="Interest Only",'Loan Tape'!$Z75=""),0,MIN(MAX(0,C79-C685),IFERROR(MAX(0,MIN(1,'Loan Tape'!$AV75)-MAX(0,'Loan Tape'!$AT75))*IF(C382&lt;=0,C79/MAX(1,'Loan Tape'!$AU75-1+1),C382*C79/(1-(1+C382)^(-MAX(1,'Loan Tape'!$AU75-1+1)))-C382*C79),0)))</f>
        <v>0</v>
      </c>
      <c r="D988" s="71" t="n">
        <f aca="false">IF(OR('Loan Tape'!$AN75=0,'Loan Tape'!$Z75="Interest Only",'Loan Tape'!$Z75=""),0,MIN(MAX(0,D79-D685),IFERROR(MAX(0,MIN(2,'Loan Tape'!$AV75)-MAX(1,'Loan Tape'!$AT75))*IF(D382&lt;=0,D79/MAX(1,'Loan Tape'!$AU75-2+1),D382*D79/(1-(1+D382)^(-MAX(1,'Loan Tape'!$AU75-2+1)))-D382*D79),0)))</f>
        <v>0</v>
      </c>
      <c r="E988" s="71" t="n">
        <f aca="false">IF(OR('Loan Tape'!$AN75=0,'Loan Tape'!$Z75="Interest Only",'Loan Tape'!$Z75=""),0,MIN(MAX(0,E79-E685),IFERROR(MAX(0,MIN(3,'Loan Tape'!$AV75)-MAX(2,'Loan Tape'!$AT75))*IF(E382&lt;=0,E79/MAX(1,'Loan Tape'!$AU75-3+1),E382*E79/(1-(1+E382)^(-MAX(1,'Loan Tape'!$AU75-3+1)))-E382*E79),0)))</f>
        <v>0</v>
      </c>
      <c r="F988" s="71" t="n">
        <f aca="false">IF(OR('Loan Tape'!$AN75=0,'Loan Tape'!$Z75="Interest Only",'Loan Tape'!$Z75=""),0,MIN(MAX(0,F79-F685),IFERROR(MAX(0,MIN(4,'Loan Tape'!$AV75)-MAX(3,'Loan Tape'!$AT75))*IF(F382&lt;=0,F79/MAX(1,'Loan Tape'!$AU75-4+1),F382*F79/(1-(1+F382)^(-MAX(1,'Loan Tape'!$AU75-4+1)))-F382*F79),0)))</f>
        <v>0</v>
      </c>
      <c r="G988" s="71" t="n">
        <f aca="false">IF(OR('Loan Tape'!$AN75=0,'Loan Tape'!$Z75="Interest Only",'Loan Tape'!$Z75=""),0,MIN(MAX(0,G79-G685),IFERROR(MAX(0,MIN(5,'Loan Tape'!$AV75)-MAX(4,'Loan Tape'!$AT75))*IF(G382&lt;=0,G79/MAX(1,'Loan Tape'!$AU75-5+1),G382*G79/(1-(1+G382)^(-MAX(1,'Loan Tape'!$AU75-5+1)))-G382*G79),0)))</f>
        <v>0</v>
      </c>
      <c r="H988" s="71" t="n">
        <f aca="false">IF(OR('Loan Tape'!$AN75=0,'Loan Tape'!$Z75="Interest Only",'Loan Tape'!$Z75=""),0,MIN(MAX(0,H79-H685),IFERROR(MAX(0,MIN(6,'Loan Tape'!$AV75)-MAX(5,'Loan Tape'!$AT75))*IF(H382&lt;=0,H79/MAX(1,'Loan Tape'!$AU75-6+1),H382*H79/(1-(1+H382)^(-MAX(1,'Loan Tape'!$AU75-6+1)))-H382*H79),0)))</f>
        <v>0</v>
      </c>
      <c r="I988" s="71" t="n">
        <f aca="false">IF(OR('Loan Tape'!$AN75=0,'Loan Tape'!$Z75="Interest Only",'Loan Tape'!$Z75=""),0,MIN(MAX(0,I79-I685),IFERROR(MAX(0,MIN(7,'Loan Tape'!$AV75)-MAX(6,'Loan Tape'!$AT75))*IF(I382&lt;=0,I79/MAX(1,'Loan Tape'!$AU75-7+1),I382*I79/(1-(1+I382)^(-MAX(1,'Loan Tape'!$AU75-7+1)))-I382*I79),0)))</f>
        <v>0</v>
      </c>
      <c r="J988" s="71" t="n">
        <f aca="false">IF(OR('Loan Tape'!$AN75=0,'Loan Tape'!$Z75="Interest Only",'Loan Tape'!$Z75=""),0,MIN(MAX(0,J79-J685),IFERROR(MAX(0,MIN(8,'Loan Tape'!$AV75)-MAX(7,'Loan Tape'!$AT75))*IF(J382&lt;=0,J79/MAX(1,'Loan Tape'!$AU75-8+1),J382*J79/(1-(1+J382)^(-MAX(1,'Loan Tape'!$AU75-8+1)))-J382*J79),0)))</f>
        <v>0</v>
      </c>
      <c r="K988" s="71" t="n">
        <f aca="false">IF(OR('Loan Tape'!$AN75=0,'Loan Tape'!$Z75="Interest Only",'Loan Tape'!$Z75=""),0,MIN(MAX(0,K79-K685),IFERROR(MAX(0,MIN(9,'Loan Tape'!$AV75)-MAX(8,'Loan Tape'!$AT75))*IF(K382&lt;=0,K79/MAX(1,'Loan Tape'!$AU75-9+1),K382*K79/(1-(1+K382)^(-MAX(1,'Loan Tape'!$AU75-9+1)))-K382*K79),0)))</f>
        <v>0</v>
      </c>
      <c r="L988" s="71" t="n">
        <f aca="false">IF(OR('Loan Tape'!$AN75=0,'Loan Tape'!$Z75="Interest Only",'Loan Tape'!$Z75=""),0,MIN(MAX(0,L79-L685),IFERROR(MAX(0,MIN(10,'Loan Tape'!$AV75)-MAX(9,'Loan Tape'!$AT75))*IF(L382&lt;=0,L79/MAX(1,'Loan Tape'!$AU75-10+1),L382*L79/(1-(1+L382)^(-MAX(1,'Loan Tape'!$AU75-10+1)))-L382*L79),0)))</f>
        <v>0</v>
      </c>
    </row>
    <row r="989" customFormat="false" ht="15" hidden="false" customHeight="false" outlineLevel="0" collapsed="false">
      <c r="B989" s="102" t="n">
        <f aca="false">'Loan Tape'!$A76</f>
        <v>0</v>
      </c>
      <c r="C989" s="99" t="n">
        <f aca="false">IF(OR('Loan Tape'!$AN76=0,'Loan Tape'!$Z76="Interest Only",'Loan Tape'!$Z76=""),0,MIN(MAX(0,C80-C686),IFERROR(MAX(0,MIN(1,'Loan Tape'!$AV76)-MAX(0,'Loan Tape'!$AT76))*IF(C383&lt;=0,C80/MAX(1,'Loan Tape'!$AU76-1+1),C383*C80/(1-(1+C383)^(-MAX(1,'Loan Tape'!$AU76-1+1)))-C383*C80),0)))</f>
        <v>0</v>
      </c>
      <c r="D989" s="99" t="n">
        <f aca="false">IF(OR('Loan Tape'!$AN76=0,'Loan Tape'!$Z76="Interest Only",'Loan Tape'!$Z76=""),0,MIN(MAX(0,D80-D686),IFERROR(MAX(0,MIN(2,'Loan Tape'!$AV76)-MAX(1,'Loan Tape'!$AT76))*IF(D383&lt;=0,D80/MAX(1,'Loan Tape'!$AU76-2+1),D383*D80/(1-(1+D383)^(-MAX(1,'Loan Tape'!$AU76-2+1)))-D383*D80),0)))</f>
        <v>0</v>
      </c>
      <c r="E989" s="99" t="n">
        <f aca="false">IF(OR('Loan Tape'!$AN76=0,'Loan Tape'!$Z76="Interest Only",'Loan Tape'!$Z76=""),0,MIN(MAX(0,E80-E686),IFERROR(MAX(0,MIN(3,'Loan Tape'!$AV76)-MAX(2,'Loan Tape'!$AT76))*IF(E383&lt;=0,E80/MAX(1,'Loan Tape'!$AU76-3+1),E383*E80/(1-(1+E383)^(-MAX(1,'Loan Tape'!$AU76-3+1)))-E383*E80),0)))</f>
        <v>0</v>
      </c>
      <c r="F989" s="99" t="n">
        <f aca="false">IF(OR('Loan Tape'!$AN76=0,'Loan Tape'!$Z76="Interest Only",'Loan Tape'!$Z76=""),0,MIN(MAX(0,F80-F686),IFERROR(MAX(0,MIN(4,'Loan Tape'!$AV76)-MAX(3,'Loan Tape'!$AT76))*IF(F383&lt;=0,F80/MAX(1,'Loan Tape'!$AU76-4+1),F383*F80/(1-(1+F383)^(-MAX(1,'Loan Tape'!$AU76-4+1)))-F383*F80),0)))</f>
        <v>0</v>
      </c>
      <c r="G989" s="99" t="n">
        <f aca="false">IF(OR('Loan Tape'!$AN76=0,'Loan Tape'!$Z76="Interest Only",'Loan Tape'!$Z76=""),0,MIN(MAX(0,G80-G686),IFERROR(MAX(0,MIN(5,'Loan Tape'!$AV76)-MAX(4,'Loan Tape'!$AT76))*IF(G383&lt;=0,G80/MAX(1,'Loan Tape'!$AU76-5+1),G383*G80/(1-(1+G383)^(-MAX(1,'Loan Tape'!$AU76-5+1)))-G383*G80),0)))</f>
        <v>0</v>
      </c>
      <c r="H989" s="99" t="n">
        <f aca="false">IF(OR('Loan Tape'!$AN76=0,'Loan Tape'!$Z76="Interest Only",'Loan Tape'!$Z76=""),0,MIN(MAX(0,H80-H686),IFERROR(MAX(0,MIN(6,'Loan Tape'!$AV76)-MAX(5,'Loan Tape'!$AT76))*IF(H383&lt;=0,H80/MAX(1,'Loan Tape'!$AU76-6+1),H383*H80/(1-(1+H383)^(-MAX(1,'Loan Tape'!$AU76-6+1)))-H383*H80),0)))</f>
        <v>0</v>
      </c>
      <c r="I989" s="99" t="n">
        <f aca="false">IF(OR('Loan Tape'!$AN76=0,'Loan Tape'!$Z76="Interest Only",'Loan Tape'!$Z76=""),0,MIN(MAX(0,I80-I686),IFERROR(MAX(0,MIN(7,'Loan Tape'!$AV76)-MAX(6,'Loan Tape'!$AT76))*IF(I383&lt;=0,I80/MAX(1,'Loan Tape'!$AU76-7+1),I383*I80/(1-(1+I383)^(-MAX(1,'Loan Tape'!$AU76-7+1)))-I383*I80),0)))</f>
        <v>0</v>
      </c>
      <c r="J989" s="99" t="n">
        <f aca="false">IF(OR('Loan Tape'!$AN76=0,'Loan Tape'!$Z76="Interest Only",'Loan Tape'!$Z76=""),0,MIN(MAX(0,J80-J686),IFERROR(MAX(0,MIN(8,'Loan Tape'!$AV76)-MAX(7,'Loan Tape'!$AT76))*IF(J383&lt;=0,J80/MAX(1,'Loan Tape'!$AU76-8+1),J383*J80/(1-(1+J383)^(-MAX(1,'Loan Tape'!$AU76-8+1)))-J383*J80),0)))</f>
        <v>0</v>
      </c>
      <c r="K989" s="99" t="n">
        <f aca="false">IF(OR('Loan Tape'!$AN76=0,'Loan Tape'!$Z76="Interest Only",'Loan Tape'!$Z76=""),0,MIN(MAX(0,K80-K686),IFERROR(MAX(0,MIN(9,'Loan Tape'!$AV76)-MAX(8,'Loan Tape'!$AT76))*IF(K383&lt;=0,K80/MAX(1,'Loan Tape'!$AU76-9+1),K383*K80/(1-(1+K383)^(-MAX(1,'Loan Tape'!$AU76-9+1)))-K383*K80),0)))</f>
        <v>0</v>
      </c>
      <c r="L989" s="99" t="n">
        <f aca="false">IF(OR('Loan Tape'!$AN76=0,'Loan Tape'!$Z76="Interest Only",'Loan Tape'!$Z76=""),0,MIN(MAX(0,L80-L686),IFERROR(MAX(0,MIN(10,'Loan Tape'!$AV76)-MAX(9,'Loan Tape'!$AT76))*IF(L383&lt;=0,L80/MAX(1,'Loan Tape'!$AU76-10+1),L383*L80/(1-(1+L383)^(-MAX(1,'Loan Tape'!$AU76-10+1)))-L383*L80),0)))</f>
        <v>0</v>
      </c>
    </row>
    <row r="990" customFormat="false" ht="15" hidden="false" customHeight="false" outlineLevel="0" collapsed="false">
      <c r="B990" s="108" t="n">
        <f aca="false">'Loan Tape'!$A77</f>
        <v>0</v>
      </c>
      <c r="C990" s="71" t="n">
        <f aca="false">IF(OR('Loan Tape'!$AN77=0,'Loan Tape'!$Z77="Interest Only",'Loan Tape'!$Z77=""),0,MIN(MAX(0,C81-C687),IFERROR(MAX(0,MIN(1,'Loan Tape'!$AV77)-MAX(0,'Loan Tape'!$AT77))*IF(C384&lt;=0,C81/MAX(1,'Loan Tape'!$AU77-1+1),C384*C81/(1-(1+C384)^(-MAX(1,'Loan Tape'!$AU77-1+1)))-C384*C81),0)))</f>
        <v>0</v>
      </c>
      <c r="D990" s="71" t="n">
        <f aca="false">IF(OR('Loan Tape'!$AN77=0,'Loan Tape'!$Z77="Interest Only",'Loan Tape'!$Z77=""),0,MIN(MAX(0,D81-D687),IFERROR(MAX(0,MIN(2,'Loan Tape'!$AV77)-MAX(1,'Loan Tape'!$AT77))*IF(D384&lt;=0,D81/MAX(1,'Loan Tape'!$AU77-2+1),D384*D81/(1-(1+D384)^(-MAX(1,'Loan Tape'!$AU77-2+1)))-D384*D81),0)))</f>
        <v>0</v>
      </c>
      <c r="E990" s="71" t="n">
        <f aca="false">IF(OR('Loan Tape'!$AN77=0,'Loan Tape'!$Z77="Interest Only",'Loan Tape'!$Z77=""),0,MIN(MAX(0,E81-E687),IFERROR(MAX(0,MIN(3,'Loan Tape'!$AV77)-MAX(2,'Loan Tape'!$AT77))*IF(E384&lt;=0,E81/MAX(1,'Loan Tape'!$AU77-3+1),E384*E81/(1-(1+E384)^(-MAX(1,'Loan Tape'!$AU77-3+1)))-E384*E81),0)))</f>
        <v>0</v>
      </c>
      <c r="F990" s="71" t="n">
        <f aca="false">IF(OR('Loan Tape'!$AN77=0,'Loan Tape'!$Z77="Interest Only",'Loan Tape'!$Z77=""),0,MIN(MAX(0,F81-F687),IFERROR(MAX(0,MIN(4,'Loan Tape'!$AV77)-MAX(3,'Loan Tape'!$AT77))*IF(F384&lt;=0,F81/MAX(1,'Loan Tape'!$AU77-4+1),F384*F81/(1-(1+F384)^(-MAX(1,'Loan Tape'!$AU77-4+1)))-F384*F81),0)))</f>
        <v>0</v>
      </c>
      <c r="G990" s="71" t="n">
        <f aca="false">IF(OR('Loan Tape'!$AN77=0,'Loan Tape'!$Z77="Interest Only",'Loan Tape'!$Z77=""),0,MIN(MAX(0,G81-G687),IFERROR(MAX(0,MIN(5,'Loan Tape'!$AV77)-MAX(4,'Loan Tape'!$AT77))*IF(G384&lt;=0,G81/MAX(1,'Loan Tape'!$AU77-5+1),G384*G81/(1-(1+G384)^(-MAX(1,'Loan Tape'!$AU77-5+1)))-G384*G81),0)))</f>
        <v>0</v>
      </c>
      <c r="H990" s="71" t="n">
        <f aca="false">IF(OR('Loan Tape'!$AN77=0,'Loan Tape'!$Z77="Interest Only",'Loan Tape'!$Z77=""),0,MIN(MAX(0,H81-H687),IFERROR(MAX(0,MIN(6,'Loan Tape'!$AV77)-MAX(5,'Loan Tape'!$AT77))*IF(H384&lt;=0,H81/MAX(1,'Loan Tape'!$AU77-6+1),H384*H81/(1-(1+H384)^(-MAX(1,'Loan Tape'!$AU77-6+1)))-H384*H81),0)))</f>
        <v>0</v>
      </c>
      <c r="I990" s="71" t="n">
        <f aca="false">IF(OR('Loan Tape'!$AN77=0,'Loan Tape'!$Z77="Interest Only",'Loan Tape'!$Z77=""),0,MIN(MAX(0,I81-I687),IFERROR(MAX(0,MIN(7,'Loan Tape'!$AV77)-MAX(6,'Loan Tape'!$AT77))*IF(I384&lt;=0,I81/MAX(1,'Loan Tape'!$AU77-7+1),I384*I81/(1-(1+I384)^(-MAX(1,'Loan Tape'!$AU77-7+1)))-I384*I81),0)))</f>
        <v>0</v>
      </c>
      <c r="J990" s="71" t="n">
        <f aca="false">IF(OR('Loan Tape'!$AN77=0,'Loan Tape'!$Z77="Interest Only",'Loan Tape'!$Z77=""),0,MIN(MAX(0,J81-J687),IFERROR(MAX(0,MIN(8,'Loan Tape'!$AV77)-MAX(7,'Loan Tape'!$AT77))*IF(J384&lt;=0,J81/MAX(1,'Loan Tape'!$AU77-8+1),J384*J81/(1-(1+J384)^(-MAX(1,'Loan Tape'!$AU77-8+1)))-J384*J81),0)))</f>
        <v>0</v>
      </c>
      <c r="K990" s="71" t="n">
        <f aca="false">IF(OR('Loan Tape'!$AN77=0,'Loan Tape'!$Z77="Interest Only",'Loan Tape'!$Z77=""),0,MIN(MAX(0,K81-K687),IFERROR(MAX(0,MIN(9,'Loan Tape'!$AV77)-MAX(8,'Loan Tape'!$AT77))*IF(K384&lt;=0,K81/MAX(1,'Loan Tape'!$AU77-9+1),K384*K81/(1-(1+K384)^(-MAX(1,'Loan Tape'!$AU77-9+1)))-K384*K81),0)))</f>
        <v>0</v>
      </c>
      <c r="L990" s="71" t="n">
        <f aca="false">IF(OR('Loan Tape'!$AN77=0,'Loan Tape'!$Z77="Interest Only",'Loan Tape'!$Z77=""),0,MIN(MAX(0,L81-L687),IFERROR(MAX(0,MIN(10,'Loan Tape'!$AV77)-MAX(9,'Loan Tape'!$AT77))*IF(L384&lt;=0,L81/MAX(1,'Loan Tape'!$AU77-10+1),L384*L81/(1-(1+L384)^(-MAX(1,'Loan Tape'!$AU77-10+1)))-L384*L81),0)))</f>
        <v>0</v>
      </c>
    </row>
    <row r="991" customFormat="false" ht="15" hidden="false" customHeight="false" outlineLevel="0" collapsed="false">
      <c r="B991" s="102" t="n">
        <f aca="false">'Loan Tape'!$A78</f>
        <v>0</v>
      </c>
      <c r="C991" s="99" t="n">
        <f aca="false">IF(OR('Loan Tape'!$AN78=0,'Loan Tape'!$Z78="Interest Only",'Loan Tape'!$Z78=""),0,MIN(MAX(0,C82-C688),IFERROR(MAX(0,MIN(1,'Loan Tape'!$AV78)-MAX(0,'Loan Tape'!$AT78))*IF(C385&lt;=0,C82/MAX(1,'Loan Tape'!$AU78-1+1),C385*C82/(1-(1+C385)^(-MAX(1,'Loan Tape'!$AU78-1+1)))-C385*C82),0)))</f>
        <v>0</v>
      </c>
      <c r="D991" s="99" t="n">
        <f aca="false">IF(OR('Loan Tape'!$AN78=0,'Loan Tape'!$Z78="Interest Only",'Loan Tape'!$Z78=""),0,MIN(MAX(0,D82-D688),IFERROR(MAX(0,MIN(2,'Loan Tape'!$AV78)-MAX(1,'Loan Tape'!$AT78))*IF(D385&lt;=0,D82/MAX(1,'Loan Tape'!$AU78-2+1),D385*D82/(1-(1+D385)^(-MAX(1,'Loan Tape'!$AU78-2+1)))-D385*D82),0)))</f>
        <v>0</v>
      </c>
      <c r="E991" s="99" t="n">
        <f aca="false">IF(OR('Loan Tape'!$AN78=0,'Loan Tape'!$Z78="Interest Only",'Loan Tape'!$Z78=""),0,MIN(MAX(0,E82-E688),IFERROR(MAX(0,MIN(3,'Loan Tape'!$AV78)-MAX(2,'Loan Tape'!$AT78))*IF(E385&lt;=0,E82/MAX(1,'Loan Tape'!$AU78-3+1),E385*E82/(1-(1+E385)^(-MAX(1,'Loan Tape'!$AU78-3+1)))-E385*E82),0)))</f>
        <v>0</v>
      </c>
      <c r="F991" s="99" t="n">
        <f aca="false">IF(OR('Loan Tape'!$AN78=0,'Loan Tape'!$Z78="Interest Only",'Loan Tape'!$Z78=""),0,MIN(MAX(0,F82-F688),IFERROR(MAX(0,MIN(4,'Loan Tape'!$AV78)-MAX(3,'Loan Tape'!$AT78))*IF(F385&lt;=0,F82/MAX(1,'Loan Tape'!$AU78-4+1),F385*F82/(1-(1+F385)^(-MAX(1,'Loan Tape'!$AU78-4+1)))-F385*F82),0)))</f>
        <v>0</v>
      </c>
      <c r="G991" s="99" t="n">
        <f aca="false">IF(OR('Loan Tape'!$AN78=0,'Loan Tape'!$Z78="Interest Only",'Loan Tape'!$Z78=""),0,MIN(MAX(0,G82-G688),IFERROR(MAX(0,MIN(5,'Loan Tape'!$AV78)-MAX(4,'Loan Tape'!$AT78))*IF(G385&lt;=0,G82/MAX(1,'Loan Tape'!$AU78-5+1),G385*G82/(1-(1+G385)^(-MAX(1,'Loan Tape'!$AU78-5+1)))-G385*G82),0)))</f>
        <v>0</v>
      </c>
      <c r="H991" s="99" t="n">
        <f aca="false">IF(OR('Loan Tape'!$AN78=0,'Loan Tape'!$Z78="Interest Only",'Loan Tape'!$Z78=""),0,MIN(MAX(0,H82-H688),IFERROR(MAX(0,MIN(6,'Loan Tape'!$AV78)-MAX(5,'Loan Tape'!$AT78))*IF(H385&lt;=0,H82/MAX(1,'Loan Tape'!$AU78-6+1),H385*H82/(1-(1+H385)^(-MAX(1,'Loan Tape'!$AU78-6+1)))-H385*H82),0)))</f>
        <v>0</v>
      </c>
      <c r="I991" s="99" t="n">
        <f aca="false">IF(OR('Loan Tape'!$AN78=0,'Loan Tape'!$Z78="Interest Only",'Loan Tape'!$Z78=""),0,MIN(MAX(0,I82-I688),IFERROR(MAX(0,MIN(7,'Loan Tape'!$AV78)-MAX(6,'Loan Tape'!$AT78))*IF(I385&lt;=0,I82/MAX(1,'Loan Tape'!$AU78-7+1),I385*I82/(1-(1+I385)^(-MAX(1,'Loan Tape'!$AU78-7+1)))-I385*I82),0)))</f>
        <v>0</v>
      </c>
      <c r="J991" s="99" t="n">
        <f aca="false">IF(OR('Loan Tape'!$AN78=0,'Loan Tape'!$Z78="Interest Only",'Loan Tape'!$Z78=""),0,MIN(MAX(0,J82-J688),IFERROR(MAX(0,MIN(8,'Loan Tape'!$AV78)-MAX(7,'Loan Tape'!$AT78))*IF(J385&lt;=0,J82/MAX(1,'Loan Tape'!$AU78-8+1),J385*J82/(1-(1+J385)^(-MAX(1,'Loan Tape'!$AU78-8+1)))-J385*J82),0)))</f>
        <v>0</v>
      </c>
      <c r="K991" s="99" t="n">
        <f aca="false">IF(OR('Loan Tape'!$AN78=0,'Loan Tape'!$Z78="Interest Only",'Loan Tape'!$Z78=""),0,MIN(MAX(0,K82-K688),IFERROR(MAX(0,MIN(9,'Loan Tape'!$AV78)-MAX(8,'Loan Tape'!$AT78))*IF(K385&lt;=0,K82/MAX(1,'Loan Tape'!$AU78-9+1),K385*K82/(1-(1+K385)^(-MAX(1,'Loan Tape'!$AU78-9+1)))-K385*K82),0)))</f>
        <v>0</v>
      </c>
      <c r="L991" s="99" t="n">
        <f aca="false">IF(OR('Loan Tape'!$AN78=0,'Loan Tape'!$Z78="Interest Only",'Loan Tape'!$Z78=""),0,MIN(MAX(0,L82-L688),IFERROR(MAX(0,MIN(10,'Loan Tape'!$AV78)-MAX(9,'Loan Tape'!$AT78))*IF(L385&lt;=0,L82/MAX(1,'Loan Tape'!$AU78-10+1),L385*L82/(1-(1+L385)^(-MAX(1,'Loan Tape'!$AU78-10+1)))-L385*L82),0)))</f>
        <v>0</v>
      </c>
    </row>
    <row r="992" customFormat="false" ht="15" hidden="false" customHeight="false" outlineLevel="0" collapsed="false">
      <c r="B992" s="108" t="n">
        <f aca="false">'Loan Tape'!$A79</f>
        <v>0</v>
      </c>
      <c r="C992" s="71" t="n">
        <f aca="false">IF(OR('Loan Tape'!$AN79=0,'Loan Tape'!$Z79="Interest Only",'Loan Tape'!$Z79=""),0,MIN(MAX(0,C83-C689),IFERROR(MAX(0,MIN(1,'Loan Tape'!$AV79)-MAX(0,'Loan Tape'!$AT79))*IF(C386&lt;=0,C83/MAX(1,'Loan Tape'!$AU79-1+1),C386*C83/(1-(1+C386)^(-MAX(1,'Loan Tape'!$AU79-1+1)))-C386*C83),0)))</f>
        <v>0</v>
      </c>
      <c r="D992" s="71" t="n">
        <f aca="false">IF(OR('Loan Tape'!$AN79=0,'Loan Tape'!$Z79="Interest Only",'Loan Tape'!$Z79=""),0,MIN(MAX(0,D83-D689),IFERROR(MAX(0,MIN(2,'Loan Tape'!$AV79)-MAX(1,'Loan Tape'!$AT79))*IF(D386&lt;=0,D83/MAX(1,'Loan Tape'!$AU79-2+1),D386*D83/(1-(1+D386)^(-MAX(1,'Loan Tape'!$AU79-2+1)))-D386*D83),0)))</f>
        <v>0</v>
      </c>
      <c r="E992" s="71" t="n">
        <f aca="false">IF(OR('Loan Tape'!$AN79=0,'Loan Tape'!$Z79="Interest Only",'Loan Tape'!$Z79=""),0,MIN(MAX(0,E83-E689),IFERROR(MAX(0,MIN(3,'Loan Tape'!$AV79)-MAX(2,'Loan Tape'!$AT79))*IF(E386&lt;=0,E83/MAX(1,'Loan Tape'!$AU79-3+1),E386*E83/(1-(1+E386)^(-MAX(1,'Loan Tape'!$AU79-3+1)))-E386*E83),0)))</f>
        <v>0</v>
      </c>
      <c r="F992" s="71" t="n">
        <f aca="false">IF(OR('Loan Tape'!$AN79=0,'Loan Tape'!$Z79="Interest Only",'Loan Tape'!$Z79=""),0,MIN(MAX(0,F83-F689),IFERROR(MAX(0,MIN(4,'Loan Tape'!$AV79)-MAX(3,'Loan Tape'!$AT79))*IF(F386&lt;=0,F83/MAX(1,'Loan Tape'!$AU79-4+1),F386*F83/(1-(1+F386)^(-MAX(1,'Loan Tape'!$AU79-4+1)))-F386*F83),0)))</f>
        <v>0</v>
      </c>
      <c r="G992" s="71" t="n">
        <f aca="false">IF(OR('Loan Tape'!$AN79=0,'Loan Tape'!$Z79="Interest Only",'Loan Tape'!$Z79=""),0,MIN(MAX(0,G83-G689),IFERROR(MAX(0,MIN(5,'Loan Tape'!$AV79)-MAX(4,'Loan Tape'!$AT79))*IF(G386&lt;=0,G83/MAX(1,'Loan Tape'!$AU79-5+1),G386*G83/(1-(1+G386)^(-MAX(1,'Loan Tape'!$AU79-5+1)))-G386*G83),0)))</f>
        <v>0</v>
      </c>
      <c r="H992" s="71" t="n">
        <f aca="false">IF(OR('Loan Tape'!$AN79=0,'Loan Tape'!$Z79="Interest Only",'Loan Tape'!$Z79=""),0,MIN(MAX(0,H83-H689),IFERROR(MAX(0,MIN(6,'Loan Tape'!$AV79)-MAX(5,'Loan Tape'!$AT79))*IF(H386&lt;=0,H83/MAX(1,'Loan Tape'!$AU79-6+1),H386*H83/(1-(1+H386)^(-MAX(1,'Loan Tape'!$AU79-6+1)))-H386*H83),0)))</f>
        <v>0</v>
      </c>
      <c r="I992" s="71" t="n">
        <f aca="false">IF(OR('Loan Tape'!$AN79=0,'Loan Tape'!$Z79="Interest Only",'Loan Tape'!$Z79=""),0,MIN(MAX(0,I83-I689),IFERROR(MAX(0,MIN(7,'Loan Tape'!$AV79)-MAX(6,'Loan Tape'!$AT79))*IF(I386&lt;=0,I83/MAX(1,'Loan Tape'!$AU79-7+1),I386*I83/(1-(1+I386)^(-MAX(1,'Loan Tape'!$AU79-7+1)))-I386*I83),0)))</f>
        <v>0</v>
      </c>
      <c r="J992" s="71" t="n">
        <f aca="false">IF(OR('Loan Tape'!$AN79=0,'Loan Tape'!$Z79="Interest Only",'Loan Tape'!$Z79=""),0,MIN(MAX(0,J83-J689),IFERROR(MAX(0,MIN(8,'Loan Tape'!$AV79)-MAX(7,'Loan Tape'!$AT79))*IF(J386&lt;=0,J83/MAX(1,'Loan Tape'!$AU79-8+1),J386*J83/(1-(1+J386)^(-MAX(1,'Loan Tape'!$AU79-8+1)))-J386*J83),0)))</f>
        <v>0</v>
      </c>
      <c r="K992" s="71" t="n">
        <f aca="false">IF(OR('Loan Tape'!$AN79=0,'Loan Tape'!$Z79="Interest Only",'Loan Tape'!$Z79=""),0,MIN(MAX(0,K83-K689),IFERROR(MAX(0,MIN(9,'Loan Tape'!$AV79)-MAX(8,'Loan Tape'!$AT79))*IF(K386&lt;=0,K83/MAX(1,'Loan Tape'!$AU79-9+1),K386*K83/(1-(1+K386)^(-MAX(1,'Loan Tape'!$AU79-9+1)))-K386*K83),0)))</f>
        <v>0</v>
      </c>
      <c r="L992" s="71" t="n">
        <f aca="false">IF(OR('Loan Tape'!$AN79=0,'Loan Tape'!$Z79="Interest Only",'Loan Tape'!$Z79=""),0,MIN(MAX(0,L83-L689),IFERROR(MAX(0,MIN(10,'Loan Tape'!$AV79)-MAX(9,'Loan Tape'!$AT79))*IF(L386&lt;=0,L83/MAX(1,'Loan Tape'!$AU79-10+1),L386*L83/(1-(1+L386)^(-MAX(1,'Loan Tape'!$AU79-10+1)))-L386*L83),0)))</f>
        <v>0</v>
      </c>
    </row>
    <row r="993" customFormat="false" ht="15" hidden="false" customHeight="false" outlineLevel="0" collapsed="false">
      <c r="B993" s="102" t="n">
        <f aca="false">'Loan Tape'!$A80</f>
        <v>0</v>
      </c>
      <c r="C993" s="99" t="n">
        <f aca="false">IF(OR('Loan Tape'!$AN80=0,'Loan Tape'!$Z80="Interest Only",'Loan Tape'!$Z80=""),0,MIN(MAX(0,C84-C690),IFERROR(MAX(0,MIN(1,'Loan Tape'!$AV80)-MAX(0,'Loan Tape'!$AT80))*IF(C387&lt;=0,C84/MAX(1,'Loan Tape'!$AU80-1+1),C387*C84/(1-(1+C387)^(-MAX(1,'Loan Tape'!$AU80-1+1)))-C387*C84),0)))</f>
        <v>0</v>
      </c>
      <c r="D993" s="99" t="n">
        <f aca="false">IF(OR('Loan Tape'!$AN80=0,'Loan Tape'!$Z80="Interest Only",'Loan Tape'!$Z80=""),0,MIN(MAX(0,D84-D690),IFERROR(MAX(0,MIN(2,'Loan Tape'!$AV80)-MAX(1,'Loan Tape'!$AT80))*IF(D387&lt;=0,D84/MAX(1,'Loan Tape'!$AU80-2+1),D387*D84/(1-(1+D387)^(-MAX(1,'Loan Tape'!$AU80-2+1)))-D387*D84),0)))</f>
        <v>0</v>
      </c>
      <c r="E993" s="99" t="n">
        <f aca="false">IF(OR('Loan Tape'!$AN80=0,'Loan Tape'!$Z80="Interest Only",'Loan Tape'!$Z80=""),0,MIN(MAX(0,E84-E690),IFERROR(MAX(0,MIN(3,'Loan Tape'!$AV80)-MAX(2,'Loan Tape'!$AT80))*IF(E387&lt;=0,E84/MAX(1,'Loan Tape'!$AU80-3+1),E387*E84/(1-(1+E387)^(-MAX(1,'Loan Tape'!$AU80-3+1)))-E387*E84),0)))</f>
        <v>0</v>
      </c>
      <c r="F993" s="99" t="n">
        <f aca="false">IF(OR('Loan Tape'!$AN80=0,'Loan Tape'!$Z80="Interest Only",'Loan Tape'!$Z80=""),0,MIN(MAX(0,F84-F690),IFERROR(MAX(0,MIN(4,'Loan Tape'!$AV80)-MAX(3,'Loan Tape'!$AT80))*IF(F387&lt;=0,F84/MAX(1,'Loan Tape'!$AU80-4+1),F387*F84/(1-(1+F387)^(-MAX(1,'Loan Tape'!$AU80-4+1)))-F387*F84),0)))</f>
        <v>0</v>
      </c>
      <c r="G993" s="99" t="n">
        <f aca="false">IF(OR('Loan Tape'!$AN80=0,'Loan Tape'!$Z80="Interest Only",'Loan Tape'!$Z80=""),0,MIN(MAX(0,G84-G690),IFERROR(MAX(0,MIN(5,'Loan Tape'!$AV80)-MAX(4,'Loan Tape'!$AT80))*IF(G387&lt;=0,G84/MAX(1,'Loan Tape'!$AU80-5+1),G387*G84/(1-(1+G387)^(-MAX(1,'Loan Tape'!$AU80-5+1)))-G387*G84),0)))</f>
        <v>0</v>
      </c>
      <c r="H993" s="99" t="n">
        <f aca="false">IF(OR('Loan Tape'!$AN80=0,'Loan Tape'!$Z80="Interest Only",'Loan Tape'!$Z80=""),0,MIN(MAX(0,H84-H690),IFERROR(MAX(0,MIN(6,'Loan Tape'!$AV80)-MAX(5,'Loan Tape'!$AT80))*IF(H387&lt;=0,H84/MAX(1,'Loan Tape'!$AU80-6+1),H387*H84/(1-(1+H387)^(-MAX(1,'Loan Tape'!$AU80-6+1)))-H387*H84),0)))</f>
        <v>0</v>
      </c>
      <c r="I993" s="99" t="n">
        <f aca="false">IF(OR('Loan Tape'!$AN80=0,'Loan Tape'!$Z80="Interest Only",'Loan Tape'!$Z80=""),0,MIN(MAX(0,I84-I690),IFERROR(MAX(0,MIN(7,'Loan Tape'!$AV80)-MAX(6,'Loan Tape'!$AT80))*IF(I387&lt;=0,I84/MAX(1,'Loan Tape'!$AU80-7+1),I387*I84/(1-(1+I387)^(-MAX(1,'Loan Tape'!$AU80-7+1)))-I387*I84),0)))</f>
        <v>0</v>
      </c>
      <c r="J993" s="99" t="n">
        <f aca="false">IF(OR('Loan Tape'!$AN80=0,'Loan Tape'!$Z80="Interest Only",'Loan Tape'!$Z80=""),0,MIN(MAX(0,J84-J690),IFERROR(MAX(0,MIN(8,'Loan Tape'!$AV80)-MAX(7,'Loan Tape'!$AT80))*IF(J387&lt;=0,J84/MAX(1,'Loan Tape'!$AU80-8+1),J387*J84/(1-(1+J387)^(-MAX(1,'Loan Tape'!$AU80-8+1)))-J387*J84),0)))</f>
        <v>0</v>
      </c>
      <c r="K993" s="99" t="n">
        <f aca="false">IF(OR('Loan Tape'!$AN80=0,'Loan Tape'!$Z80="Interest Only",'Loan Tape'!$Z80=""),0,MIN(MAX(0,K84-K690),IFERROR(MAX(0,MIN(9,'Loan Tape'!$AV80)-MAX(8,'Loan Tape'!$AT80))*IF(K387&lt;=0,K84/MAX(1,'Loan Tape'!$AU80-9+1),K387*K84/(1-(1+K387)^(-MAX(1,'Loan Tape'!$AU80-9+1)))-K387*K84),0)))</f>
        <v>0</v>
      </c>
      <c r="L993" s="99" t="n">
        <f aca="false">IF(OR('Loan Tape'!$AN80=0,'Loan Tape'!$Z80="Interest Only",'Loan Tape'!$Z80=""),0,MIN(MAX(0,L84-L690),IFERROR(MAX(0,MIN(10,'Loan Tape'!$AV80)-MAX(9,'Loan Tape'!$AT80))*IF(L387&lt;=0,L84/MAX(1,'Loan Tape'!$AU80-10+1),L387*L84/(1-(1+L387)^(-MAX(1,'Loan Tape'!$AU80-10+1)))-L387*L84),0)))</f>
        <v>0</v>
      </c>
    </row>
    <row r="994" customFormat="false" ht="15" hidden="false" customHeight="false" outlineLevel="0" collapsed="false">
      <c r="B994" s="108" t="n">
        <f aca="false">'Loan Tape'!$A81</f>
        <v>0</v>
      </c>
      <c r="C994" s="71" t="n">
        <f aca="false">IF(OR('Loan Tape'!$AN81=0,'Loan Tape'!$Z81="Interest Only",'Loan Tape'!$Z81=""),0,MIN(MAX(0,C85-C691),IFERROR(MAX(0,MIN(1,'Loan Tape'!$AV81)-MAX(0,'Loan Tape'!$AT81))*IF(C388&lt;=0,C85/MAX(1,'Loan Tape'!$AU81-1+1),C388*C85/(1-(1+C388)^(-MAX(1,'Loan Tape'!$AU81-1+1)))-C388*C85),0)))</f>
        <v>0</v>
      </c>
      <c r="D994" s="71" t="n">
        <f aca="false">IF(OR('Loan Tape'!$AN81=0,'Loan Tape'!$Z81="Interest Only",'Loan Tape'!$Z81=""),0,MIN(MAX(0,D85-D691),IFERROR(MAX(0,MIN(2,'Loan Tape'!$AV81)-MAX(1,'Loan Tape'!$AT81))*IF(D388&lt;=0,D85/MAX(1,'Loan Tape'!$AU81-2+1),D388*D85/(1-(1+D388)^(-MAX(1,'Loan Tape'!$AU81-2+1)))-D388*D85),0)))</f>
        <v>0</v>
      </c>
      <c r="E994" s="71" t="n">
        <f aca="false">IF(OR('Loan Tape'!$AN81=0,'Loan Tape'!$Z81="Interest Only",'Loan Tape'!$Z81=""),0,MIN(MAX(0,E85-E691),IFERROR(MAX(0,MIN(3,'Loan Tape'!$AV81)-MAX(2,'Loan Tape'!$AT81))*IF(E388&lt;=0,E85/MAX(1,'Loan Tape'!$AU81-3+1),E388*E85/(1-(1+E388)^(-MAX(1,'Loan Tape'!$AU81-3+1)))-E388*E85),0)))</f>
        <v>0</v>
      </c>
      <c r="F994" s="71" t="n">
        <f aca="false">IF(OR('Loan Tape'!$AN81=0,'Loan Tape'!$Z81="Interest Only",'Loan Tape'!$Z81=""),0,MIN(MAX(0,F85-F691),IFERROR(MAX(0,MIN(4,'Loan Tape'!$AV81)-MAX(3,'Loan Tape'!$AT81))*IF(F388&lt;=0,F85/MAX(1,'Loan Tape'!$AU81-4+1),F388*F85/(1-(1+F388)^(-MAX(1,'Loan Tape'!$AU81-4+1)))-F388*F85),0)))</f>
        <v>0</v>
      </c>
      <c r="G994" s="71" t="n">
        <f aca="false">IF(OR('Loan Tape'!$AN81=0,'Loan Tape'!$Z81="Interest Only",'Loan Tape'!$Z81=""),0,MIN(MAX(0,G85-G691),IFERROR(MAX(0,MIN(5,'Loan Tape'!$AV81)-MAX(4,'Loan Tape'!$AT81))*IF(G388&lt;=0,G85/MAX(1,'Loan Tape'!$AU81-5+1),G388*G85/(1-(1+G388)^(-MAX(1,'Loan Tape'!$AU81-5+1)))-G388*G85),0)))</f>
        <v>0</v>
      </c>
      <c r="H994" s="71" t="n">
        <f aca="false">IF(OR('Loan Tape'!$AN81=0,'Loan Tape'!$Z81="Interest Only",'Loan Tape'!$Z81=""),0,MIN(MAX(0,H85-H691),IFERROR(MAX(0,MIN(6,'Loan Tape'!$AV81)-MAX(5,'Loan Tape'!$AT81))*IF(H388&lt;=0,H85/MAX(1,'Loan Tape'!$AU81-6+1),H388*H85/(1-(1+H388)^(-MAX(1,'Loan Tape'!$AU81-6+1)))-H388*H85),0)))</f>
        <v>0</v>
      </c>
      <c r="I994" s="71" t="n">
        <f aca="false">IF(OR('Loan Tape'!$AN81=0,'Loan Tape'!$Z81="Interest Only",'Loan Tape'!$Z81=""),0,MIN(MAX(0,I85-I691),IFERROR(MAX(0,MIN(7,'Loan Tape'!$AV81)-MAX(6,'Loan Tape'!$AT81))*IF(I388&lt;=0,I85/MAX(1,'Loan Tape'!$AU81-7+1),I388*I85/(1-(1+I388)^(-MAX(1,'Loan Tape'!$AU81-7+1)))-I388*I85),0)))</f>
        <v>0</v>
      </c>
      <c r="J994" s="71" t="n">
        <f aca="false">IF(OR('Loan Tape'!$AN81=0,'Loan Tape'!$Z81="Interest Only",'Loan Tape'!$Z81=""),0,MIN(MAX(0,J85-J691),IFERROR(MAX(0,MIN(8,'Loan Tape'!$AV81)-MAX(7,'Loan Tape'!$AT81))*IF(J388&lt;=0,J85/MAX(1,'Loan Tape'!$AU81-8+1),J388*J85/(1-(1+J388)^(-MAX(1,'Loan Tape'!$AU81-8+1)))-J388*J85),0)))</f>
        <v>0</v>
      </c>
      <c r="K994" s="71" t="n">
        <f aca="false">IF(OR('Loan Tape'!$AN81=0,'Loan Tape'!$Z81="Interest Only",'Loan Tape'!$Z81=""),0,MIN(MAX(0,K85-K691),IFERROR(MAX(0,MIN(9,'Loan Tape'!$AV81)-MAX(8,'Loan Tape'!$AT81))*IF(K388&lt;=0,K85/MAX(1,'Loan Tape'!$AU81-9+1),K388*K85/(1-(1+K388)^(-MAX(1,'Loan Tape'!$AU81-9+1)))-K388*K85),0)))</f>
        <v>0</v>
      </c>
      <c r="L994" s="71" t="n">
        <f aca="false">IF(OR('Loan Tape'!$AN81=0,'Loan Tape'!$Z81="Interest Only",'Loan Tape'!$Z81=""),0,MIN(MAX(0,L85-L691),IFERROR(MAX(0,MIN(10,'Loan Tape'!$AV81)-MAX(9,'Loan Tape'!$AT81))*IF(L388&lt;=0,L85/MAX(1,'Loan Tape'!$AU81-10+1),L388*L85/(1-(1+L388)^(-MAX(1,'Loan Tape'!$AU81-10+1)))-L388*L85),0)))</f>
        <v>0</v>
      </c>
    </row>
    <row r="995" customFormat="false" ht="15" hidden="false" customHeight="false" outlineLevel="0" collapsed="false">
      <c r="B995" s="102" t="n">
        <f aca="false">'Loan Tape'!$A82</f>
        <v>0</v>
      </c>
      <c r="C995" s="99" t="n">
        <f aca="false">IF(OR('Loan Tape'!$AN82=0,'Loan Tape'!$Z82="Interest Only",'Loan Tape'!$Z82=""),0,MIN(MAX(0,C86-C692),IFERROR(MAX(0,MIN(1,'Loan Tape'!$AV82)-MAX(0,'Loan Tape'!$AT82))*IF(C389&lt;=0,C86/MAX(1,'Loan Tape'!$AU82-1+1),C389*C86/(1-(1+C389)^(-MAX(1,'Loan Tape'!$AU82-1+1)))-C389*C86),0)))</f>
        <v>0</v>
      </c>
      <c r="D995" s="99" t="n">
        <f aca="false">IF(OR('Loan Tape'!$AN82=0,'Loan Tape'!$Z82="Interest Only",'Loan Tape'!$Z82=""),0,MIN(MAX(0,D86-D692),IFERROR(MAX(0,MIN(2,'Loan Tape'!$AV82)-MAX(1,'Loan Tape'!$AT82))*IF(D389&lt;=0,D86/MAX(1,'Loan Tape'!$AU82-2+1),D389*D86/(1-(1+D389)^(-MAX(1,'Loan Tape'!$AU82-2+1)))-D389*D86),0)))</f>
        <v>0</v>
      </c>
      <c r="E995" s="99" t="n">
        <f aca="false">IF(OR('Loan Tape'!$AN82=0,'Loan Tape'!$Z82="Interest Only",'Loan Tape'!$Z82=""),0,MIN(MAX(0,E86-E692),IFERROR(MAX(0,MIN(3,'Loan Tape'!$AV82)-MAX(2,'Loan Tape'!$AT82))*IF(E389&lt;=0,E86/MAX(1,'Loan Tape'!$AU82-3+1),E389*E86/(1-(1+E389)^(-MAX(1,'Loan Tape'!$AU82-3+1)))-E389*E86),0)))</f>
        <v>0</v>
      </c>
      <c r="F995" s="99" t="n">
        <f aca="false">IF(OR('Loan Tape'!$AN82=0,'Loan Tape'!$Z82="Interest Only",'Loan Tape'!$Z82=""),0,MIN(MAX(0,F86-F692),IFERROR(MAX(0,MIN(4,'Loan Tape'!$AV82)-MAX(3,'Loan Tape'!$AT82))*IF(F389&lt;=0,F86/MAX(1,'Loan Tape'!$AU82-4+1),F389*F86/(1-(1+F389)^(-MAX(1,'Loan Tape'!$AU82-4+1)))-F389*F86),0)))</f>
        <v>0</v>
      </c>
      <c r="G995" s="99" t="n">
        <f aca="false">IF(OR('Loan Tape'!$AN82=0,'Loan Tape'!$Z82="Interest Only",'Loan Tape'!$Z82=""),0,MIN(MAX(0,G86-G692),IFERROR(MAX(0,MIN(5,'Loan Tape'!$AV82)-MAX(4,'Loan Tape'!$AT82))*IF(G389&lt;=0,G86/MAX(1,'Loan Tape'!$AU82-5+1),G389*G86/(1-(1+G389)^(-MAX(1,'Loan Tape'!$AU82-5+1)))-G389*G86),0)))</f>
        <v>0</v>
      </c>
      <c r="H995" s="99" t="n">
        <f aca="false">IF(OR('Loan Tape'!$AN82=0,'Loan Tape'!$Z82="Interest Only",'Loan Tape'!$Z82=""),0,MIN(MAX(0,H86-H692),IFERROR(MAX(0,MIN(6,'Loan Tape'!$AV82)-MAX(5,'Loan Tape'!$AT82))*IF(H389&lt;=0,H86/MAX(1,'Loan Tape'!$AU82-6+1),H389*H86/(1-(1+H389)^(-MAX(1,'Loan Tape'!$AU82-6+1)))-H389*H86),0)))</f>
        <v>0</v>
      </c>
      <c r="I995" s="99" t="n">
        <f aca="false">IF(OR('Loan Tape'!$AN82=0,'Loan Tape'!$Z82="Interest Only",'Loan Tape'!$Z82=""),0,MIN(MAX(0,I86-I692),IFERROR(MAX(0,MIN(7,'Loan Tape'!$AV82)-MAX(6,'Loan Tape'!$AT82))*IF(I389&lt;=0,I86/MAX(1,'Loan Tape'!$AU82-7+1),I389*I86/(1-(1+I389)^(-MAX(1,'Loan Tape'!$AU82-7+1)))-I389*I86),0)))</f>
        <v>0</v>
      </c>
      <c r="J995" s="99" t="n">
        <f aca="false">IF(OR('Loan Tape'!$AN82=0,'Loan Tape'!$Z82="Interest Only",'Loan Tape'!$Z82=""),0,MIN(MAX(0,J86-J692),IFERROR(MAX(0,MIN(8,'Loan Tape'!$AV82)-MAX(7,'Loan Tape'!$AT82))*IF(J389&lt;=0,J86/MAX(1,'Loan Tape'!$AU82-8+1),J389*J86/(1-(1+J389)^(-MAX(1,'Loan Tape'!$AU82-8+1)))-J389*J86),0)))</f>
        <v>0</v>
      </c>
      <c r="K995" s="99" t="n">
        <f aca="false">IF(OR('Loan Tape'!$AN82=0,'Loan Tape'!$Z82="Interest Only",'Loan Tape'!$Z82=""),0,MIN(MAX(0,K86-K692),IFERROR(MAX(0,MIN(9,'Loan Tape'!$AV82)-MAX(8,'Loan Tape'!$AT82))*IF(K389&lt;=0,K86/MAX(1,'Loan Tape'!$AU82-9+1),K389*K86/(1-(1+K389)^(-MAX(1,'Loan Tape'!$AU82-9+1)))-K389*K86),0)))</f>
        <v>0</v>
      </c>
      <c r="L995" s="99" t="n">
        <f aca="false">IF(OR('Loan Tape'!$AN82=0,'Loan Tape'!$Z82="Interest Only",'Loan Tape'!$Z82=""),0,MIN(MAX(0,L86-L692),IFERROR(MAX(0,MIN(10,'Loan Tape'!$AV82)-MAX(9,'Loan Tape'!$AT82))*IF(L389&lt;=0,L86/MAX(1,'Loan Tape'!$AU82-10+1),L389*L86/(1-(1+L389)^(-MAX(1,'Loan Tape'!$AU82-10+1)))-L389*L86),0)))</f>
        <v>0</v>
      </c>
    </row>
    <row r="996" customFormat="false" ht="15" hidden="false" customHeight="false" outlineLevel="0" collapsed="false">
      <c r="B996" s="108" t="n">
        <f aca="false">'Loan Tape'!$A83</f>
        <v>0</v>
      </c>
      <c r="C996" s="71" t="n">
        <f aca="false">IF(OR('Loan Tape'!$AN83=0,'Loan Tape'!$Z83="Interest Only",'Loan Tape'!$Z83=""),0,MIN(MAX(0,C87-C693),IFERROR(MAX(0,MIN(1,'Loan Tape'!$AV83)-MAX(0,'Loan Tape'!$AT83))*IF(C390&lt;=0,C87/MAX(1,'Loan Tape'!$AU83-1+1),C390*C87/(1-(1+C390)^(-MAX(1,'Loan Tape'!$AU83-1+1)))-C390*C87),0)))</f>
        <v>0</v>
      </c>
      <c r="D996" s="71" t="n">
        <f aca="false">IF(OR('Loan Tape'!$AN83=0,'Loan Tape'!$Z83="Interest Only",'Loan Tape'!$Z83=""),0,MIN(MAX(0,D87-D693),IFERROR(MAX(0,MIN(2,'Loan Tape'!$AV83)-MAX(1,'Loan Tape'!$AT83))*IF(D390&lt;=0,D87/MAX(1,'Loan Tape'!$AU83-2+1),D390*D87/(1-(1+D390)^(-MAX(1,'Loan Tape'!$AU83-2+1)))-D390*D87),0)))</f>
        <v>0</v>
      </c>
      <c r="E996" s="71" t="n">
        <f aca="false">IF(OR('Loan Tape'!$AN83=0,'Loan Tape'!$Z83="Interest Only",'Loan Tape'!$Z83=""),0,MIN(MAX(0,E87-E693),IFERROR(MAX(0,MIN(3,'Loan Tape'!$AV83)-MAX(2,'Loan Tape'!$AT83))*IF(E390&lt;=0,E87/MAX(1,'Loan Tape'!$AU83-3+1),E390*E87/(1-(1+E390)^(-MAX(1,'Loan Tape'!$AU83-3+1)))-E390*E87),0)))</f>
        <v>0</v>
      </c>
      <c r="F996" s="71" t="n">
        <f aca="false">IF(OR('Loan Tape'!$AN83=0,'Loan Tape'!$Z83="Interest Only",'Loan Tape'!$Z83=""),0,MIN(MAX(0,F87-F693),IFERROR(MAX(0,MIN(4,'Loan Tape'!$AV83)-MAX(3,'Loan Tape'!$AT83))*IF(F390&lt;=0,F87/MAX(1,'Loan Tape'!$AU83-4+1),F390*F87/(1-(1+F390)^(-MAX(1,'Loan Tape'!$AU83-4+1)))-F390*F87),0)))</f>
        <v>0</v>
      </c>
      <c r="G996" s="71" t="n">
        <f aca="false">IF(OR('Loan Tape'!$AN83=0,'Loan Tape'!$Z83="Interest Only",'Loan Tape'!$Z83=""),0,MIN(MAX(0,G87-G693),IFERROR(MAX(0,MIN(5,'Loan Tape'!$AV83)-MAX(4,'Loan Tape'!$AT83))*IF(G390&lt;=0,G87/MAX(1,'Loan Tape'!$AU83-5+1),G390*G87/(1-(1+G390)^(-MAX(1,'Loan Tape'!$AU83-5+1)))-G390*G87),0)))</f>
        <v>0</v>
      </c>
      <c r="H996" s="71" t="n">
        <f aca="false">IF(OR('Loan Tape'!$AN83=0,'Loan Tape'!$Z83="Interest Only",'Loan Tape'!$Z83=""),0,MIN(MAX(0,H87-H693),IFERROR(MAX(0,MIN(6,'Loan Tape'!$AV83)-MAX(5,'Loan Tape'!$AT83))*IF(H390&lt;=0,H87/MAX(1,'Loan Tape'!$AU83-6+1),H390*H87/(1-(1+H390)^(-MAX(1,'Loan Tape'!$AU83-6+1)))-H390*H87),0)))</f>
        <v>0</v>
      </c>
      <c r="I996" s="71" t="n">
        <f aca="false">IF(OR('Loan Tape'!$AN83=0,'Loan Tape'!$Z83="Interest Only",'Loan Tape'!$Z83=""),0,MIN(MAX(0,I87-I693),IFERROR(MAX(0,MIN(7,'Loan Tape'!$AV83)-MAX(6,'Loan Tape'!$AT83))*IF(I390&lt;=0,I87/MAX(1,'Loan Tape'!$AU83-7+1),I390*I87/(1-(1+I390)^(-MAX(1,'Loan Tape'!$AU83-7+1)))-I390*I87),0)))</f>
        <v>0</v>
      </c>
      <c r="J996" s="71" t="n">
        <f aca="false">IF(OR('Loan Tape'!$AN83=0,'Loan Tape'!$Z83="Interest Only",'Loan Tape'!$Z83=""),0,MIN(MAX(0,J87-J693),IFERROR(MAX(0,MIN(8,'Loan Tape'!$AV83)-MAX(7,'Loan Tape'!$AT83))*IF(J390&lt;=0,J87/MAX(1,'Loan Tape'!$AU83-8+1),J390*J87/(1-(1+J390)^(-MAX(1,'Loan Tape'!$AU83-8+1)))-J390*J87),0)))</f>
        <v>0</v>
      </c>
      <c r="K996" s="71" t="n">
        <f aca="false">IF(OR('Loan Tape'!$AN83=0,'Loan Tape'!$Z83="Interest Only",'Loan Tape'!$Z83=""),0,MIN(MAX(0,K87-K693),IFERROR(MAX(0,MIN(9,'Loan Tape'!$AV83)-MAX(8,'Loan Tape'!$AT83))*IF(K390&lt;=0,K87/MAX(1,'Loan Tape'!$AU83-9+1),K390*K87/(1-(1+K390)^(-MAX(1,'Loan Tape'!$AU83-9+1)))-K390*K87),0)))</f>
        <v>0</v>
      </c>
      <c r="L996" s="71" t="n">
        <f aca="false">IF(OR('Loan Tape'!$AN83=0,'Loan Tape'!$Z83="Interest Only",'Loan Tape'!$Z83=""),0,MIN(MAX(0,L87-L693),IFERROR(MAX(0,MIN(10,'Loan Tape'!$AV83)-MAX(9,'Loan Tape'!$AT83))*IF(L390&lt;=0,L87/MAX(1,'Loan Tape'!$AU83-10+1),L390*L87/(1-(1+L390)^(-MAX(1,'Loan Tape'!$AU83-10+1)))-L390*L87),0)))</f>
        <v>0</v>
      </c>
    </row>
    <row r="997" customFormat="false" ht="15" hidden="false" customHeight="false" outlineLevel="0" collapsed="false">
      <c r="B997" s="102" t="n">
        <f aca="false">'Loan Tape'!$A84</f>
        <v>0</v>
      </c>
      <c r="C997" s="99" t="n">
        <f aca="false">IF(OR('Loan Tape'!$AN84=0,'Loan Tape'!$Z84="Interest Only",'Loan Tape'!$Z84=""),0,MIN(MAX(0,C88-C694),IFERROR(MAX(0,MIN(1,'Loan Tape'!$AV84)-MAX(0,'Loan Tape'!$AT84))*IF(C391&lt;=0,C88/MAX(1,'Loan Tape'!$AU84-1+1),C391*C88/(1-(1+C391)^(-MAX(1,'Loan Tape'!$AU84-1+1)))-C391*C88),0)))</f>
        <v>0</v>
      </c>
      <c r="D997" s="99" t="n">
        <f aca="false">IF(OR('Loan Tape'!$AN84=0,'Loan Tape'!$Z84="Interest Only",'Loan Tape'!$Z84=""),0,MIN(MAX(0,D88-D694),IFERROR(MAX(0,MIN(2,'Loan Tape'!$AV84)-MAX(1,'Loan Tape'!$AT84))*IF(D391&lt;=0,D88/MAX(1,'Loan Tape'!$AU84-2+1),D391*D88/(1-(1+D391)^(-MAX(1,'Loan Tape'!$AU84-2+1)))-D391*D88),0)))</f>
        <v>0</v>
      </c>
      <c r="E997" s="99" t="n">
        <f aca="false">IF(OR('Loan Tape'!$AN84=0,'Loan Tape'!$Z84="Interest Only",'Loan Tape'!$Z84=""),0,MIN(MAX(0,E88-E694),IFERROR(MAX(0,MIN(3,'Loan Tape'!$AV84)-MAX(2,'Loan Tape'!$AT84))*IF(E391&lt;=0,E88/MAX(1,'Loan Tape'!$AU84-3+1),E391*E88/(1-(1+E391)^(-MAX(1,'Loan Tape'!$AU84-3+1)))-E391*E88),0)))</f>
        <v>0</v>
      </c>
      <c r="F997" s="99" t="n">
        <f aca="false">IF(OR('Loan Tape'!$AN84=0,'Loan Tape'!$Z84="Interest Only",'Loan Tape'!$Z84=""),0,MIN(MAX(0,F88-F694),IFERROR(MAX(0,MIN(4,'Loan Tape'!$AV84)-MAX(3,'Loan Tape'!$AT84))*IF(F391&lt;=0,F88/MAX(1,'Loan Tape'!$AU84-4+1),F391*F88/(1-(1+F391)^(-MAX(1,'Loan Tape'!$AU84-4+1)))-F391*F88),0)))</f>
        <v>0</v>
      </c>
      <c r="G997" s="99" t="n">
        <f aca="false">IF(OR('Loan Tape'!$AN84=0,'Loan Tape'!$Z84="Interest Only",'Loan Tape'!$Z84=""),0,MIN(MAX(0,G88-G694),IFERROR(MAX(0,MIN(5,'Loan Tape'!$AV84)-MAX(4,'Loan Tape'!$AT84))*IF(G391&lt;=0,G88/MAX(1,'Loan Tape'!$AU84-5+1),G391*G88/(1-(1+G391)^(-MAX(1,'Loan Tape'!$AU84-5+1)))-G391*G88),0)))</f>
        <v>0</v>
      </c>
      <c r="H997" s="99" t="n">
        <f aca="false">IF(OR('Loan Tape'!$AN84=0,'Loan Tape'!$Z84="Interest Only",'Loan Tape'!$Z84=""),0,MIN(MAX(0,H88-H694),IFERROR(MAX(0,MIN(6,'Loan Tape'!$AV84)-MAX(5,'Loan Tape'!$AT84))*IF(H391&lt;=0,H88/MAX(1,'Loan Tape'!$AU84-6+1),H391*H88/(1-(1+H391)^(-MAX(1,'Loan Tape'!$AU84-6+1)))-H391*H88),0)))</f>
        <v>0</v>
      </c>
      <c r="I997" s="99" t="n">
        <f aca="false">IF(OR('Loan Tape'!$AN84=0,'Loan Tape'!$Z84="Interest Only",'Loan Tape'!$Z84=""),0,MIN(MAX(0,I88-I694),IFERROR(MAX(0,MIN(7,'Loan Tape'!$AV84)-MAX(6,'Loan Tape'!$AT84))*IF(I391&lt;=0,I88/MAX(1,'Loan Tape'!$AU84-7+1),I391*I88/(1-(1+I391)^(-MAX(1,'Loan Tape'!$AU84-7+1)))-I391*I88),0)))</f>
        <v>0</v>
      </c>
      <c r="J997" s="99" t="n">
        <f aca="false">IF(OR('Loan Tape'!$AN84=0,'Loan Tape'!$Z84="Interest Only",'Loan Tape'!$Z84=""),0,MIN(MAX(0,J88-J694),IFERROR(MAX(0,MIN(8,'Loan Tape'!$AV84)-MAX(7,'Loan Tape'!$AT84))*IF(J391&lt;=0,J88/MAX(1,'Loan Tape'!$AU84-8+1),J391*J88/(1-(1+J391)^(-MAX(1,'Loan Tape'!$AU84-8+1)))-J391*J88),0)))</f>
        <v>0</v>
      </c>
      <c r="K997" s="99" t="n">
        <f aca="false">IF(OR('Loan Tape'!$AN84=0,'Loan Tape'!$Z84="Interest Only",'Loan Tape'!$Z84=""),0,MIN(MAX(0,K88-K694),IFERROR(MAX(0,MIN(9,'Loan Tape'!$AV84)-MAX(8,'Loan Tape'!$AT84))*IF(K391&lt;=0,K88/MAX(1,'Loan Tape'!$AU84-9+1),K391*K88/(1-(1+K391)^(-MAX(1,'Loan Tape'!$AU84-9+1)))-K391*K88),0)))</f>
        <v>0</v>
      </c>
      <c r="L997" s="99" t="n">
        <f aca="false">IF(OR('Loan Tape'!$AN84=0,'Loan Tape'!$Z84="Interest Only",'Loan Tape'!$Z84=""),0,MIN(MAX(0,L88-L694),IFERROR(MAX(0,MIN(10,'Loan Tape'!$AV84)-MAX(9,'Loan Tape'!$AT84))*IF(L391&lt;=0,L88/MAX(1,'Loan Tape'!$AU84-10+1),L391*L88/(1-(1+L391)^(-MAX(1,'Loan Tape'!$AU84-10+1)))-L391*L88),0)))</f>
        <v>0</v>
      </c>
    </row>
    <row r="998" customFormat="false" ht="15" hidden="false" customHeight="false" outlineLevel="0" collapsed="false">
      <c r="B998" s="108" t="n">
        <f aca="false">'Loan Tape'!$A85</f>
        <v>0</v>
      </c>
      <c r="C998" s="71" t="n">
        <f aca="false">IF(OR('Loan Tape'!$AN85=0,'Loan Tape'!$Z85="Interest Only",'Loan Tape'!$Z85=""),0,MIN(MAX(0,C89-C695),IFERROR(MAX(0,MIN(1,'Loan Tape'!$AV85)-MAX(0,'Loan Tape'!$AT85))*IF(C392&lt;=0,C89/MAX(1,'Loan Tape'!$AU85-1+1),C392*C89/(1-(1+C392)^(-MAX(1,'Loan Tape'!$AU85-1+1)))-C392*C89),0)))</f>
        <v>0</v>
      </c>
      <c r="D998" s="71" t="n">
        <f aca="false">IF(OR('Loan Tape'!$AN85=0,'Loan Tape'!$Z85="Interest Only",'Loan Tape'!$Z85=""),0,MIN(MAX(0,D89-D695),IFERROR(MAX(0,MIN(2,'Loan Tape'!$AV85)-MAX(1,'Loan Tape'!$AT85))*IF(D392&lt;=0,D89/MAX(1,'Loan Tape'!$AU85-2+1),D392*D89/(1-(1+D392)^(-MAX(1,'Loan Tape'!$AU85-2+1)))-D392*D89),0)))</f>
        <v>0</v>
      </c>
      <c r="E998" s="71" t="n">
        <f aca="false">IF(OR('Loan Tape'!$AN85=0,'Loan Tape'!$Z85="Interest Only",'Loan Tape'!$Z85=""),0,MIN(MAX(0,E89-E695),IFERROR(MAX(0,MIN(3,'Loan Tape'!$AV85)-MAX(2,'Loan Tape'!$AT85))*IF(E392&lt;=0,E89/MAX(1,'Loan Tape'!$AU85-3+1),E392*E89/(1-(1+E392)^(-MAX(1,'Loan Tape'!$AU85-3+1)))-E392*E89),0)))</f>
        <v>0</v>
      </c>
      <c r="F998" s="71" t="n">
        <f aca="false">IF(OR('Loan Tape'!$AN85=0,'Loan Tape'!$Z85="Interest Only",'Loan Tape'!$Z85=""),0,MIN(MAX(0,F89-F695),IFERROR(MAX(0,MIN(4,'Loan Tape'!$AV85)-MAX(3,'Loan Tape'!$AT85))*IF(F392&lt;=0,F89/MAX(1,'Loan Tape'!$AU85-4+1),F392*F89/(1-(1+F392)^(-MAX(1,'Loan Tape'!$AU85-4+1)))-F392*F89),0)))</f>
        <v>0</v>
      </c>
      <c r="G998" s="71" t="n">
        <f aca="false">IF(OR('Loan Tape'!$AN85=0,'Loan Tape'!$Z85="Interest Only",'Loan Tape'!$Z85=""),0,MIN(MAX(0,G89-G695),IFERROR(MAX(0,MIN(5,'Loan Tape'!$AV85)-MAX(4,'Loan Tape'!$AT85))*IF(G392&lt;=0,G89/MAX(1,'Loan Tape'!$AU85-5+1),G392*G89/(1-(1+G392)^(-MAX(1,'Loan Tape'!$AU85-5+1)))-G392*G89),0)))</f>
        <v>0</v>
      </c>
      <c r="H998" s="71" t="n">
        <f aca="false">IF(OR('Loan Tape'!$AN85=0,'Loan Tape'!$Z85="Interest Only",'Loan Tape'!$Z85=""),0,MIN(MAX(0,H89-H695),IFERROR(MAX(0,MIN(6,'Loan Tape'!$AV85)-MAX(5,'Loan Tape'!$AT85))*IF(H392&lt;=0,H89/MAX(1,'Loan Tape'!$AU85-6+1),H392*H89/(1-(1+H392)^(-MAX(1,'Loan Tape'!$AU85-6+1)))-H392*H89),0)))</f>
        <v>0</v>
      </c>
      <c r="I998" s="71" t="n">
        <f aca="false">IF(OR('Loan Tape'!$AN85=0,'Loan Tape'!$Z85="Interest Only",'Loan Tape'!$Z85=""),0,MIN(MAX(0,I89-I695),IFERROR(MAX(0,MIN(7,'Loan Tape'!$AV85)-MAX(6,'Loan Tape'!$AT85))*IF(I392&lt;=0,I89/MAX(1,'Loan Tape'!$AU85-7+1),I392*I89/(1-(1+I392)^(-MAX(1,'Loan Tape'!$AU85-7+1)))-I392*I89),0)))</f>
        <v>0</v>
      </c>
      <c r="J998" s="71" t="n">
        <f aca="false">IF(OR('Loan Tape'!$AN85=0,'Loan Tape'!$Z85="Interest Only",'Loan Tape'!$Z85=""),0,MIN(MAX(0,J89-J695),IFERROR(MAX(0,MIN(8,'Loan Tape'!$AV85)-MAX(7,'Loan Tape'!$AT85))*IF(J392&lt;=0,J89/MAX(1,'Loan Tape'!$AU85-8+1),J392*J89/(1-(1+J392)^(-MAX(1,'Loan Tape'!$AU85-8+1)))-J392*J89),0)))</f>
        <v>0</v>
      </c>
      <c r="K998" s="71" t="n">
        <f aca="false">IF(OR('Loan Tape'!$AN85=0,'Loan Tape'!$Z85="Interest Only",'Loan Tape'!$Z85=""),0,MIN(MAX(0,K89-K695),IFERROR(MAX(0,MIN(9,'Loan Tape'!$AV85)-MAX(8,'Loan Tape'!$AT85))*IF(K392&lt;=0,K89/MAX(1,'Loan Tape'!$AU85-9+1),K392*K89/(1-(1+K392)^(-MAX(1,'Loan Tape'!$AU85-9+1)))-K392*K89),0)))</f>
        <v>0</v>
      </c>
      <c r="L998" s="71" t="n">
        <f aca="false">IF(OR('Loan Tape'!$AN85=0,'Loan Tape'!$Z85="Interest Only",'Loan Tape'!$Z85=""),0,MIN(MAX(0,L89-L695),IFERROR(MAX(0,MIN(10,'Loan Tape'!$AV85)-MAX(9,'Loan Tape'!$AT85))*IF(L392&lt;=0,L89/MAX(1,'Loan Tape'!$AU85-10+1),L392*L89/(1-(1+L392)^(-MAX(1,'Loan Tape'!$AU85-10+1)))-L392*L89),0)))</f>
        <v>0</v>
      </c>
    </row>
    <row r="999" customFormat="false" ht="15" hidden="false" customHeight="false" outlineLevel="0" collapsed="false">
      <c r="B999" s="102" t="n">
        <f aca="false">'Loan Tape'!$A86</f>
        <v>0</v>
      </c>
      <c r="C999" s="99" t="n">
        <f aca="false">IF(OR('Loan Tape'!$AN86=0,'Loan Tape'!$Z86="Interest Only",'Loan Tape'!$Z86=""),0,MIN(MAX(0,C90-C696),IFERROR(MAX(0,MIN(1,'Loan Tape'!$AV86)-MAX(0,'Loan Tape'!$AT86))*IF(C393&lt;=0,C90/MAX(1,'Loan Tape'!$AU86-1+1),C393*C90/(1-(1+C393)^(-MAX(1,'Loan Tape'!$AU86-1+1)))-C393*C90),0)))</f>
        <v>0</v>
      </c>
      <c r="D999" s="99" t="n">
        <f aca="false">IF(OR('Loan Tape'!$AN86=0,'Loan Tape'!$Z86="Interest Only",'Loan Tape'!$Z86=""),0,MIN(MAX(0,D90-D696),IFERROR(MAX(0,MIN(2,'Loan Tape'!$AV86)-MAX(1,'Loan Tape'!$AT86))*IF(D393&lt;=0,D90/MAX(1,'Loan Tape'!$AU86-2+1),D393*D90/(1-(1+D393)^(-MAX(1,'Loan Tape'!$AU86-2+1)))-D393*D90),0)))</f>
        <v>0</v>
      </c>
      <c r="E999" s="99" t="n">
        <f aca="false">IF(OR('Loan Tape'!$AN86=0,'Loan Tape'!$Z86="Interest Only",'Loan Tape'!$Z86=""),0,MIN(MAX(0,E90-E696),IFERROR(MAX(0,MIN(3,'Loan Tape'!$AV86)-MAX(2,'Loan Tape'!$AT86))*IF(E393&lt;=0,E90/MAX(1,'Loan Tape'!$AU86-3+1),E393*E90/(1-(1+E393)^(-MAX(1,'Loan Tape'!$AU86-3+1)))-E393*E90),0)))</f>
        <v>0</v>
      </c>
      <c r="F999" s="99" t="n">
        <f aca="false">IF(OR('Loan Tape'!$AN86=0,'Loan Tape'!$Z86="Interest Only",'Loan Tape'!$Z86=""),0,MIN(MAX(0,F90-F696),IFERROR(MAX(0,MIN(4,'Loan Tape'!$AV86)-MAX(3,'Loan Tape'!$AT86))*IF(F393&lt;=0,F90/MAX(1,'Loan Tape'!$AU86-4+1),F393*F90/(1-(1+F393)^(-MAX(1,'Loan Tape'!$AU86-4+1)))-F393*F90),0)))</f>
        <v>0</v>
      </c>
      <c r="G999" s="99" t="n">
        <f aca="false">IF(OR('Loan Tape'!$AN86=0,'Loan Tape'!$Z86="Interest Only",'Loan Tape'!$Z86=""),0,MIN(MAX(0,G90-G696),IFERROR(MAX(0,MIN(5,'Loan Tape'!$AV86)-MAX(4,'Loan Tape'!$AT86))*IF(G393&lt;=0,G90/MAX(1,'Loan Tape'!$AU86-5+1),G393*G90/(1-(1+G393)^(-MAX(1,'Loan Tape'!$AU86-5+1)))-G393*G90),0)))</f>
        <v>0</v>
      </c>
      <c r="H999" s="99" t="n">
        <f aca="false">IF(OR('Loan Tape'!$AN86=0,'Loan Tape'!$Z86="Interest Only",'Loan Tape'!$Z86=""),0,MIN(MAX(0,H90-H696),IFERROR(MAX(0,MIN(6,'Loan Tape'!$AV86)-MAX(5,'Loan Tape'!$AT86))*IF(H393&lt;=0,H90/MAX(1,'Loan Tape'!$AU86-6+1),H393*H90/(1-(1+H393)^(-MAX(1,'Loan Tape'!$AU86-6+1)))-H393*H90),0)))</f>
        <v>0</v>
      </c>
      <c r="I999" s="99" t="n">
        <f aca="false">IF(OR('Loan Tape'!$AN86=0,'Loan Tape'!$Z86="Interest Only",'Loan Tape'!$Z86=""),0,MIN(MAX(0,I90-I696),IFERROR(MAX(0,MIN(7,'Loan Tape'!$AV86)-MAX(6,'Loan Tape'!$AT86))*IF(I393&lt;=0,I90/MAX(1,'Loan Tape'!$AU86-7+1),I393*I90/(1-(1+I393)^(-MAX(1,'Loan Tape'!$AU86-7+1)))-I393*I90),0)))</f>
        <v>0</v>
      </c>
      <c r="J999" s="99" t="n">
        <f aca="false">IF(OR('Loan Tape'!$AN86=0,'Loan Tape'!$Z86="Interest Only",'Loan Tape'!$Z86=""),0,MIN(MAX(0,J90-J696),IFERROR(MAX(0,MIN(8,'Loan Tape'!$AV86)-MAX(7,'Loan Tape'!$AT86))*IF(J393&lt;=0,J90/MAX(1,'Loan Tape'!$AU86-8+1),J393*J90/(1-(1+J393)^(-MAX(1,'Loan Tape'!$AU86-8+1)))-J393*J90),0)))</f>
        <v>0</v>
      </c>
      <c r="K999" s="99" t="n">
        <f aca="false">IF(OR('Loan Tape'!$AN86=0,'Loan Tape'!$Z86="Interest Only",'Loan Tape'!$Z86=""),0,MIN(MAX(0,K90-K696),IFERROR(MAX(0,MIN(9,'Loan Tape'!$AV86)-MAX(8,'Loan Tape'!$AT86))*IF(K393&lt;=0,K90/MAX(1,'Loan Tape'!$AU86-9+1),K393*K90/(1-(1+K393)^(-MAX(1,'Loan Tape'!$AU86-9+1)))-K393*K90),0)))</f>
        <v>0</v>
      </c>
      <c r="L999" s="99" t="n">
        <f aca="false">IF(OR('Loan Tape'!$AN86=0,'Loan Tape'!$Z86="Interest Only",'Loan Tape'!$Z86=""),0,MIN(MAX(0,L90-L696),IFERROR(MAX(0,MIN(10,'Loan Tape'!$AV86)-MAX(9,'Loan Tape'!$AT86))*IF(L393&lt;=0,L90/MAX(1,'Loan Tape'!$AU86-10+1),L393*L90/(1-(1+L393)^(-MAX(1,'Loan Tape'!$AU86-10+1)))-L393*L90),0)))</f>
        <v>0</v>
      </c>
    </row>
    <row r="1000" customFormat="false" ht="15" hidden="false" customHeight="false" outlineLevel="0" collapsed="false">
      <c r="B1000" s="108" t="n">
        <f aca="false">'Loan Tape'!$A87</f>
        <v>0</v>
      </c>
      <c r="C1000" s="71" t="n">
        <f aca="false">IF(OR('Loan Tape'!$AN87=0,'Loan Tape'!$Z87="Interest Only",'Loan Tape'!$Z87=""),0,MIN(MAX(0,C91-C697),IFERROR(MAX(0,MIN(1,'Loan Tape'!$AV87)-MAX(0,'Loan Tape'!$AT87))*IF(C394&lt;=0,C91/MAX(1,'Loan Tape'!$AU87-1+1),C394*C91/(1-(1+C394)^(-MAX(1,'Loan Tape'!$AU87-1+1)))-C394*C91),0)))</f>
        <v>0</v>
      </c>
      <c r="D1000" s="71" t="n">
        <f aca="false">IF(OR('Loan Tape'!$AN87=0,'Loan Tape'!$Z87="Interest Only",'Loan Tape'!$Z87=""),0,MIN(MAX(0,D91-D697),IFERROR(MAX(0,MIN(2,'Loan Tape'!$AV87)-MAX(1,'Loan Tape'!$AT87))*IF(D394&lt;=0,D91/MAX(1,'Loan Tape'!$AU87-2+1),D394*D91/(1-(1+D394)^(-MAX(1,'Loan Tape'!$AU87-2+1)))-D394*D91),0)))</f>
        <v>0</v>
      </c>
      <c r="E1000" s="71" t="n">
        <f aca="false">IF(OR('Loan Tape'!$AN87=0,'Loan Tape'!$Z87="Interest Only",'Loan Tape'!$Z87=""),0,MIN(MAX(0,E91-E697),IFERROR(MAX(0,MIN(3,'Loan Tape'!$AV87)-MAX(2,'Loan Tape'!$AT87))*IF(E394&lt;=0,E91/MAX(1,'Loan Tape'!$AU87-3+1),E394*E91/(1-(1+E394)^(-MAX(1,'Loan Tape'!$AU87-3+1)))-E394*E91),0)))</f>
        <v>0</v>
      </c>
      <c r="F1000" s="71" t="n">
        <f aca="false">IF(OR('Loan Tape'!$AN87=0,'Loan Tape'!$Z87="Interest Only",'Loan Tape'!$Z87=""),0,MIN(MAX(0,F91-F697),IFERROR(MAX(0,MIN(4,'Loan Tape'!$AV87)-MAX(3,'Loan Tape'!$AT87))*IF(F394&lt;=0,F91/MAX(1,'Loan Tape'!$AU87-4+1),F394*F91/(1-(1+F394)^(-MAX(1,'Loan Tape'!$AU87-4+1)))-F394*F91),0)))</f>
        <v>0</v>
      </c>
      <c r="G1000" s="71" t="n">
        <f aca="false">IF(OR('Loan Tape'!$AN87=0,'Loan Tape'!$Z87="Interest Only",'Loan Tape'!$Z87=""),0,MIN(MAX(0,G91-G697),IFERROR(MAX(0,MIN(5,'Loan Tape'!$AV87)-MAX(4,'Loan Tape'!$AT87))*IF(G394&lt;=0,G91/MAX(1,'Loan Tape'!$AU87-5+1),G394*G91/(1-(1+G394)^(-MAX(1,'Loan Tape'!$AU87-5+1)))-G394*G91),0)))</f>
        <v>0</v>
      </c>
      <c r="H1000" s="71" t="n">
        <f aca="false">IF(OR('Loan Tape'!$AN87=0,'Loan Tape'!$Z87="Interest Only",'Loan Tape'!$Z87=""),0,MIN(MAX(0,H91-H697),IFERROR(MAX(0,MIN(6,'Loan Tape'!$AV87)-MAX(5,'Loan Tape'!$AT87))*IF(H394&lt;=0,H91/MAX(1,'Loan Tape'!$AU87-6+1),H394*H91/(1-(1+H394)^(-MAX(1,'Loan Tape'!$AU87-6+1)))-H394*H91),0)))</f>
        <v>0</v>
      </c>
      <c r="I1000" s="71" t="n">
        <f aca="false">IF(OR('Loan Tape'!$AN87=0,'Loan Tape'!$Z87="Interest Only",'Loan Tape'!$Z87=""),0,MIN(MAX(0,I91-I697),IFERROR(MAX(0,MIN(7,'Loan Tape'!$AV87)-MAX(6,'Loan Tape'!$AT87))*IF(I394&lt;=0,I91/MAX(1,'Loan Tape'!$AU87-7+1),I394*I91/(1-(1+I394)^(-MAX(1,'Loan Tape'!$AU87-7+1)))-I394*I91),0)))</f>
        <v>0</v>
      </c>
      <c r="J1000" s="71" t="n">
        <f aca="false">IF(OR('Loan Tape'!$AN87=0,'Loan Tape'!$Z87="Interest Only",'Loan Tape'!$Z87=""),0,MIN(MAX(0,J91-J697),IFERROR(MAX(0,MIN(8,'Loan Tape'!$AV87)-MAX(7,'Loan Tape'!$AT87))*IF(J394&lt;=0,J91/MAX(1,'Loan Tape'!$AU87-8+1),J394*J91/(1-(1+J394)^(-MAX(1,'Loan Tape'!$AU87-8+1)))-J394*J91),0)))</f>
        <v>0</v>
      </c>
      <c r="K1000" s="71" t="n">
        <f aca="false">IF(OR('Loan Tape'!$AN87=0,'Loan Tape'!$Z87="Interest Only",'Loan Tape'!$Z87=""),0,MIN(MAX(0,K91-K697),IFERROR(MAX(0,MIN(9,'Loan Tape'!$AV87)-MAX(8,'Loan Tape'!$AT87))*IF(K394&lt;=0,K91/MAX(1,'Loan Tape'!$AU87-9+1),K394*K91/(1-(1+K394)^(-MAX(1,'Loan Tape'!$AU87-9+1)))-K394*K91),0)))</f>
        <v>0</v>
      </c>
      <c r="L1000" s="71" t="n">
        <f aca="false">IF(OR('Loan Tape'!$AN87=0,'Loan Tape'!$Z87="Interest Only",'Loan Tape'!$Z87=""),0,MIN(MAX(0,L91-L697),IFERROR(MAX(0,MIN(10,'Loan Tape'!$AV87)-MAX(9,'Loan Tape'!$AT87))*IF(L394&lt;=0,L91/MAX(1,'Loan Tape'!$AU87-10+1),L394*L91/(1-(1+L394)^(-MAX(1,'Loan Tape'!$AU87-10+1)))-L394*L91),0)))</f>
        <v>0</v>
      </c>
    </row>
    <row r="1001" customFormat="false" ht="15" hidden="false" customHeight="false" outlineLevel="0" collapsed="false">
      <c r="B1001" s="102" t="n">
        <f aca="false">'Loan Tape'!$A88</f>
        <v>0</v>
      </c>
      <c r="C1001" s="99" t="n">
        <f aca="false">IF(OR('Loan Tape'!$AN88=0,'Loan Tape'!$Z88="Interest Only",'Loan Tape'!$Z88=""),0,MIN(MAX(0,C92-C698),IFERROR(MAX(0,MIN(1,'Loan Tape'!$AV88)-MAX(0,'Loan Tape'!$AT88))*IF(C395&lt;=0,C92/MAX(1,'Loan Tape'!$AU88-1+1),C395*C92/(1-(1+C395)^(-MAX(1,'Loan Tape'!$AU88-1+1)))-C395*C92),0)))</f>
        <v>0</v>
      </c>
      <c r="D1001" s="99" t="n">
        <f aca="false">IF(OR('Loan Tape'!$AN88=0,'Loan Tape'!$Z88="Interest Only",'Loan Tape'!$Z88=""),0,MIN(MAX(0,D92-D698),IFERROR(MAX(0,MIN(2,'Loan Tape'!$AV88)-MAX(1,'Loan Tape'!$AT88))*IF(D395&lt;=0,D92/MAX(1,'Loan Tape'!$AU88-2+1),D395*D92/(1-(1+D395)^(-MAX(1,'Loan Tape'!$AU88-2+1)))-D395*D92),0)))</f>
        <v>0</v>
      </c>
      <c r="E1001" s="99" t="n">
        <f aca="false">IF(OR('Loan Tape'!$AN88=0,'Loan Tape'!$Z88="Interest Only",'Loan Tape'!$Z88=""),0,MIN(MAX(0,E92-E698),IFERROR(MAX(0,MIN(3,'Loan Tape'!$AV88)-MAX(2,'Loan Tape'!$AT88))*IF(E395&lt;=0,E92/MAX(1,'Loan Tape'!$AU88-3+1),E395*E92/(1-(1+E395)^(-MAX(1,'Loan Tape'!$AU88-3+1)))-E395*E92),0)))</f>
        <v>0</v>
      </c>
      <c r="F1001" s="99" t="n">
        <f aca="false">IF(OR('Loan Tape'!$AN88=0,'Loan Tape'!$Z88="Interest Only",'Loan Tape'!$Z88=""),0,MIN(MAX(0,F92-F698),IFERROR(MAX(0,MIN(4,'Loan Tape'!$AV88)-MAX(3,'Loan Tape'!$AT88))*IF(F395&lt;=0,F92/MAX(1,'Loan Tape'!$AU88-4+1),F395*F92/(1-(1+F395)^(-MAX(1,'Loan Tape'!$AU88-4+1)))-F395*F92),0)))</f>
        <v>0</v>
      </c>
      <c r="G1001" s="99" t="n">
        <f aca="false">IF(OR('Loan Tape'!$AN88=0,'Loan Tape'!$Z88="Interest Only",'Loan Tape'!$Z88=""),0,MIN(MAX(0,G92-G698),IFERROR(MAX(0,MIN(5,'Loan Tape'!$AV88)-MAX(4,'Loan Tape'!$AT88))*IF(G395&lt;=0,G92/MAX(1,'Loan Tape'!$AU88-5+1),G395*G92/(1-(1+G395)^(-MAX(1,'Loan Tape'!$AU88-5+1)))-G395*G92),0)))</f>
        <v>0</v>
      </c>
      <c r="H1001" s="99" t="n">
        <f aca="false">IF(OR('Loan Tape'!$AN88=0,'Loan Tape'!$Z88="Interest Only",'Loan Tape'!$Z88=""),0,MIN(MAX(0,H92-H698),IFERROR(MAX(0,MIN(6,'Loan Tape'!$AV88)-MAX(5,'Loan Tape'!$AT88))*IF(H395&lt;=0,H92/MAX(1,'Loan Tape'!$AU88-6+1),H395*H92/(1-(1+H395)^(-MAX(1,'Loan Tape'!$AU88-6+1)))-H395*H92),0)))</f>
        <v>0</v>
      </c>
      <c r="I1001" s="99" t="n">
        <f aca="false">IF(OR('Loan Tape'!$AN88=0,'Loan Tape'!$Z88="Interest Only",'Loan Tape'!$Z88=""),0,MIN(MAX(0,I92-I698),IFERROR(MAX(0,MIN(7,'Loan Tape'!$AV88)-MAX(6,'Loan Tape'!$AT88))*IF(I395&lt;=0,I92/MAX(1,'Loan Tape'!$AU88-7+1),I395*I92/(1-(1+I395)^(-MAX(1,'Loan Tape'!$AU88-7+1)))-I395*I92),0)))</f>
        <v>0</v>
      </c>
      <c r="J1001" s="99" t="n">
        <f aca="false">IF(OR('Loan Tape'!$AN88=0,'Loan Tape'!$Z88="Interest Only",'Loan Tape'!$Z88=""),0,MIN(MAX(0,J92-J698),IFERROR(MAX(0,MIN(8,'Loan Tape'!$AV88)-MAX(7,'Loan Tape'!$AT88))*IF(J395&lt;=0,J92/MAX(1,'Loan Tape'!$AU88-8+1),J395*J92/(1-(1+J395)^(-MAX(1,'Loan Tape'!$AU88-8+1)))-J395*J92),0)))</f>
        <v>0</v>
      </c>
      <c r="K1001" s="99" t="n">
        <f aca="false">IF(OR('Loan Tape'!$AN88=0,'Loan Tape'!$Z88="Interest Only",'Loan Tape'!$Z88=""),0,MIN(MAX(0,K92-K698),IFERROR(MAX(0,MIN(9,'Loan Tape'!$AV88)-MAX(8,'Loan Tape'!$AT88))*IF(K395&lt;=0,K92/MAX(1,'Loan Tape'!$AU88-9+1),K395*K92/(1-(1+K395)^(-MAX(1,'Loan Tape'!$AU88-9+1)))-K395*K92),0)))</f>
        <v>0</v>
      </c>
      <c r="L1001" s="99" t="n">
        <f aca="false">IF(OR('Loan Tape'!$AN88=0,'Loan Tape'!$Z88="Interest Only",'Loan Tape'!$Z88=""),0,MIN(MAX(0,L92-L698),IFERROR(MAX(0,MIN(10,'Loan Tape'!$AV88)-MAX(9,'Loan Tape'!$AT88))*IF(L395&lt;=0,L92/MAX(1,'Loan Tape'!$AU88-10+1),L395*L92/(1-(1+L395)^(-MAX(1,'Loan Tape'!$AU88-10+1)))-L395*L92),0)))</f>
        <v>0</v>
      </c>
    </row>
    <row r="1002" customFormat="false" ht="15" hidden="false" customHeight="false" outlineLevel="0" collapsed="false">
      <c r="B1002" s="108" t="n">
        <f aca="false">'Loan Tape'!$A89</f>
        <v>0</v>
      </c>
      <c r="C1002" s="71" t="n">
        <f aca="false">IF(OR('Loan Tape'!$AN89=0,'Loan Tape'!$Z89="Interest Only",'Loan Tape'!$Z89=""),0,MIN(MAX(0,C93-C699),IFERROR(MAX(0,MIN(1,'Loan Tape'!$AV89)-MAX(0,'Loan Tape'!$AT89))*IF(C396&lt;=0,C93/MAX(1,'Loan Tape'!$AU89-1+1),C396*C93/(1-(1+C396)^(-MAX(1,'Loan Tape'!$AU89-1+1)))-C396*C93),0)))</f>
        <v>0</v>
      </c>
      <c r="D1002" s="71" t="n">
        <f aca="false">IF(OR('Loan Tape'!$AN89=0,'Loan Tape'!$Z89="Interest Only",'Loan Tape'!$Z89=""),0,MIN(MAX(0,D93-D699),IFERROR(MAX(0,MIN(2,'Loan Tape'!$AV89)-MAX(1,'Loan Tape'!$AT89))*IF(D396&lt;=0,D93/MAX(1,'Loan Tape'!$AU89-2+1),D396*D93/(1-(1+D396)^(-MAX(1,'Loan Tape'!$AU89-2+1)))-D396*D93),0)))</f>
        <v>0</v>
      </c>
      <c r="E1002" s="71" t="n">
        <f aca="false">IF(OR('Loan Tape'!$AN89=0,'Loan Tape'!$Z89="Interest Only",'Loan Tape'!$Z89=""),0,MIN(MAX(0,E93-E699),IFERROR(MAX(0,MIN(3,'Loan Tape'!$AV89)-MAX(2,'Loan Tape'!$AT89))*IF(E396&lt;=0,E93/MAX(1,'Loan Tape'!$AU89-3+1),E396*E93/(1-(1+E396)^(-MAX(1,'Loan Tape'!$AU89-3+1)))-E396*E93),0)))</f>
        <v>0</v>
      </c>
      <c r="F1002" s="71" t="n">
        <f aca="false">IF(OR('Loan Tape'!$AN89=0,'Loan Tape'!$Z89="Interest Only",'Loan Tape'!$Z89=""),0,MIN(MAX(0,F93-F699),IFERROR(MAX(0,MIN(4,'Loan Tape'!$AV89)-MAX(3,'Loan Tape'!$AT89))*IF(F396&lt;=0,F93/MAX(1,'Loan Tape'!$AU89-4+1),F396*F93/(1-(1+F396)^(-MAX(1,'Loan Tape'!$AU89-4+1)))-F396*F93),0)))</f>
        <v>0</v>
      </c>
      <c r="G1002" s="71" t="n">
        <f aca="false">IF(OR('Loan Tape'!$AN89=0,'Loan Tape'!$Z89="Interest Only",'Loan Tape'!$Z89=""),0,MIN(MAX(0,G93-G699),IFERROR(MAX(0,MIN(5,'Loan Tape'!$AV89)-MAX(4,'Loan Tape'!$AT89))*IF(G396&lt;=0,G93/MAX(1,'Loan Tape'!$AU89-5+1),G396*G93/(1-(1+G396)^(-MAX(1,'Loan Tape'!$AU89-5+1)))-G396*G93),0)))</f>
        <v>0</v>
      </c>
      <c r="H1002" s="71" t="n">
        <f aca="false">IF(OR('Loan Tape'!$AN89=0,'Loan Tape'!$Z89="Interest Only",'Loan Tape'!$Z89=""),0,MIN(MAX(0,H93-H699),IFERROR(MAX(0,MIN(6,'Loan Tape'!$AV89)-MAX(5,'Loan Tape'!$AT89))*IF(H396&lt;=0,H93/MAX(1,'Loan Tape'!$AU89-6+1),H396*H93/(1-(1+H396)^(-MAX(1,'Loan Tape'!$AU89-6+1)))-H396*H93),0)))</f>
        <v>0</v>
      </c>
      <c r="I1002" s="71" t="n">
        <f aca="false">IF(OR('Loan Tape'!$AN89=0,'Loan Tape'!$Z89="Interest Only",'Loan Tape'!$Z89=""),0,MIN(MAX(0,I93-I699),IFERROR(MAX(0,MIN(7,'Loan Tape'!$AV89)-MAX(6,'Loan Tape'!$AT89))*IF(I396&lt;=0,I93/MAX(1,'Loan Tape'!$AU89-7+1),I396*I93/(1-(1+I396)^(-MAX(1,'Loan Tape'!$AU89-7+1)))-I396*I93),0)))</f>
        <v>0</v>
      </c>
      <c r="J1002" s="71" t="n">
        <f aca="false">IF(OR('Loan Tape'!$AN89=0,'Loan Tape'!$Z89="Interest Only",'Loan Tape'!$Z89=""),0,MIN(MAX(0,J93-J699),IFERROR(MAX(0,MIN(8,'Loan Tape'!$AV89)-MAX(7,'Loan Tape'!$AT89))*IF(J396&lt;=0,J93/MAX(1,'Loan Tape'!$AU89-8+1),J396*J93/(1-(1+J396)^(-MAX(1,'Loan Tape'!$AU89-8+1)))-J396*J93),0)))</f>
        <v>0</v>
      </c>
      <c r="K1002" s="71" t="n">
        <f aca="false">IF(OR('Loan Tape'!$AN89=0,'Loan Tape'!$Z89="Interest Only",'Loan Tape'!$Z89=""),0,MIN(MAX(0,K93-K699),IFERROR(MAX(0,MIN(9,'Loan Tape'!$AV89)-MAX(8,'Loan Tape'!$AT89))*IF(K396&lt;=0,K93/MAX(1,'Loan Tape'!$AU89-9+1),K396*K93/(1-(1+K396)^(-MAX(1,'Loan Tape'!$AU89-9+1)))-K396*K93),0)))</f>
        <v>0</v>
      </c>
      <c r="L1002" s="71" t="n">
        <f aca="false">IF(OR('Loan Tape'!$AN89=0,'Loan Tape'!$Z89="Interest Only",'Loan Tape'!$Z89=""),0,MIN(MAX(0,L93-L699),IFERROR(MAX(0,MIN(10,'Loan Tape'!$AV89)-MAX(9,'Loan Tape'!$AT89))*IF(L396&lt;=0,L93/MAX(1,'Loan Tape'!$AU89-10+1),L396*L93/(1-(1+L396)^(-MAX(1,'Loan Tape'!$AU89-10+1)))-L396*L93),0)))</f>
        <v>0</v>
      </c>
    </row>
    <row r="1003" customFormat="false" ht="15" hidden="false" customHeight="false" outlineLevel="0" collapsed="false">
      <c r="B1003" s="102" t="n">
        <f aca="false">'Loan Tape'!$A90</f>
        <v>0</v>
      </c>
      <c r="C1003" s="99" t="n">
        <f aca="false">IF(OR('Loan Tape'!$AN90=0,'Loan Tape'!$Z90="Interest Only",'Loan Tape'!$Z90=""),0,MIN(MAX(0,C94-C700),IFERROR(MAX(0,MIN(1,'Loan Tape'!$AV90)-MAX(0,'Loan Tape'!$AT90))*IF(C397&lt;=0,C94/MAX(1,'Loan Tape'!$AU90-1+1),C397*C94/(1-(1+C397)^(-MAX(1,'Loan Tape'!$AU90-1+1)))-C397*C94),0)))</f>
        <v>0</v>
      </c>
      <c r="D1003" s="99" t="n">
        <f aca="false">IF(OR('Loan Tape'!$AN90=0,'Loan Tape'!$Z90="Interest Only",'Loan Tape'!$Z90=""),0,MIN(MAX(0,D94-D700),IFERROR(MAX(0,MIN(2,'Loan Tape'!$AV90)-MAX(1,'Loan Tape'!$AT90))*IF(D397&lt;=0,D94/MAX(1,'Loan Tape'!$AU90-2+1),D397*D94/(1-(1+D397)^(-MAX(1,'Loan Tape'!$AU90-2+1)))-D397*D94),0)))</f>
        <v>0</v>
      </c>
      <c r="E1003" s="99" t="n">
        <f aca="false">IF(OR('Loan Tape'!$AN90=0,'Loan Tape'!$Z90="Interest Only",'Loan Tape'!$Z90=""),0,MIN(MAX(0,E94-E700),IFERROR(MAX(0,MIN(3,'Loan Tape'!$AV90)-MAX(2,'Loan Tape'!$AT90))*IF(E397&lt;=0,E94/MAX(1,'Loan Tape'!$AU90-3+1),E397*E94/(1-(1+E397)^(-MAX(1,'Loan Tape'!$AU90-3+1)))-E397*E94),0)))</f>
        <v>0</v>
      </c>
      <c r="F1003" s="99" t="n">
        <f aca="false">IF(OR('Loan Tape'!$AN90=0,'Loan Tape'!$Z90="Interest Only",'Loan Tape'!$Z90=""),0,MIN(MAX(0,F94-F700),IFERROR(MAX(0,MIN(4,'Loan Tape'!$AV90)-MAX(3,'Loan Tape'!$AT90))*IF(F397&lt;=0,F94/MAX(1,'Loan Tape'!$AU90-4+1),F397*F94/(1-(1+F397)^(-MAX(1,'Loan Tape'!$AU90-4+1)))-F397*F94),0)))</f>
        <v>0</v>
      </c>
      <c r="G1003" s="99" t="n">
        <f aca="false">IF(OR('Loan Tape'!$AN90=0,'Loan Tape'!$Z90="Interest Only",'Loan Tape'!$Z90=""),0,MIN(MAX(0,G94-G700),IFERROR(MAX(0,MIN(5,'Loan Tape'!$AV90)-MAX(4,'Loan Tape'!$AT90))*IF(G397&lt;=0,G94/MAX(1,'Loan Tape'!$AU90-5+1),G397*G94/(1-(1+G397)^(-MAX(1,'Loan Tape'!$AU90-5+1)))-G397*G94),0)))</f>
        <v>0</v>
      </c>
      <c r="H1003" s="99" t="n">
        <f aca="false">IF(OR('Loan Tape'!$AN90=0,'Loan Tape'!$Z90="Interest Only",'Loan Tape'!$Z90=""),0,MIN(MAX(0,H94-H700),IFERROR(MAX(0,MIN(6,'Loan Tape'!$AV90)-MAX(5,'Loan Tape'!$AT90))*IF(H397&lt;=0,H94/MAX(1,'Loan Tape'!$AU90-6+1),H397*H94/(1-(1+H397)^(-MAX(1,'Loan Tape'!$AU90-6+1)))-H397*H94),0)))</f>
        <v>0</v>
      </c>
      <c r="I1003" s="99" t="n">
        <f aca="false">IF(OR('Loan Tape'!$AN90=0,'Loan Tape'!$Z90="Interest Only",'Loan Tape'!$Z90=""),0,MIN(MAX(0,I94-I700),IFERROR(MAX(0,MIN(7,'Loan Tape'!$AV90)-MAX(6,'Loan Tape'!$AT90))*IF(I397&lt;=0,I94/MAX(1,'Loan Tape'!$AU90-7+1),I397*I94/(1-(1+I397)^(-MAX(1,'Loan Tape'!$AU90-7+1)))-I397*I94),0)))</f>
        <v>0</v>
      </c>
      <c r="J1003" s="99" t="n">
        <f aca="false">IF(OR('Loan Tape'!$AN90=0,'Loan Tape'!$Z90="Interest Only",'Loan Tape'!$Z90=""),0,MIN(MAX(0,J94-J700),IFERROR(MAX(0,MIN(8,'Loan Tape'!$AV90)-MAX(7,'Loan Tape'!$AT90))*IF(J397&lt;=0,J94/MAX(1,'Loan Tape'!$AU90-8+1),J397*J94/(1-(1+J397)^(-MAX(1,'Loan Tape'!$AU90-8+1)))-J397*J94),0)))</f>
        <v>0</v>
      </c>
      <c r="K1003" s="99" t="n">
        <f aca="false">IF(OR('Loan Tape'!$AN90=0,'Loan Tape'!$Z90="Interest Only",'Loan Tape'!$Z90=""),0,MIN(MAX(0,K94-K700),IFERROR(MAX(0,MIN(9,'Loan Tape'!$AV90)-MAX(8,'Loan Tape'!$AT90))*IF(K397&lt;=0,K94/MAX(1,'Loan Tape'!$AU90-9+1),K397*K94/(1-(1+K397)^(-MAX(1,'Loan Tape'!$AU90-9+1)))-K397*K94),0)))</f>
        <v>0</v>
      </c>
      <c r="L1003" s="99" t="n">
        <f aca="false">IF(OR('Loan Tape'!$AN90=0,'Loan Tape'!$Z90="Interest Only",'Loan Tape'!$Z90=""),0,MIN(MAX(0,L94-L700),IFERROR(MAX(0,MIN(10,'Loan Tape'!$AV90)-MAX(9,'Loan Tape'!$AT90))*IF(L397&lt;=0,L94/MAX(1,'Loan Tape'!$AU90-10+1),L397*L94/(1-(1+L397)^(-MAX(1,'Loan Tape'!$AU90-10+1)))-L397*L94),0)))</f>
        <v>0</v>
      </c>
    </row>
    <row r="1004" customFormat="false" ht="15" hidden="false" customHeight="false" outlineLevel="0" collapsed="false">
      <c r="B1004" s="108" t="n">
        <f aca="false">'Loan Tape'!$A91</f>
        <v>0</v>
      </c>
      <c r="C1004" s="71" t="n">
        <f aca="false">IF(OR('Loan Tape'!$AN91=0,'Loan Tape'!$Z91="Interest Only",'Loan Tape'!$Z91=""),0,MIN(MAX(0,C95-C701),IFERROR(MAX(0,MIN(1,'Loan Tape'!$AV91)-MAX(0,'Loan Tape'!$AT91))*IF(C398&lt;=0,C95/MAX(1,'Loan Tape'!$AU91-1+1),C398*C95/(1-(1+C398)^(-MAX(1,'Loan Tape'!$AU91-1+1)))-C398*C95),0)))</f>
        <v>0</v>
      </c>
      <c r="D1004" s="71" t="n">
        <f aca="false">IF(OR('Loan Tape'!$AN91=0,'Loan Tape'!$Z91="Interest Only",'Loan Tape'!$Z91=""),0,MIN(MAX(0,D95-D701),IFERROR(MAX(0,MIN(2,'Loan Tape'!$AV91)-MAX(1,'Loan Tape'!$AT91))*IF(D398&lt;=0,D95/MAX(1,'Loan Tape'!$AU91-2+1),D398*D95/(1-(1+D398)^(-MAX(1,'Loan Tape'!$AU91-2+1)))-D398*D95),0)))</f>
        <v>0</v>
      </c>
      <c r="E1004" s="71" t="n">
        <f aca="false">IF(OR('Loan Tape'!$AN91=0,'Loan Tape'!$Z91="Interest Only",'Loan Tape'!$Z91=""),0,MIN(MAX(0,E95-E701),IFERROR(MAX(0,MIN(3,'Loan Tape'!$AV91)-MAX(2,'Loan Tape'!$AT91))*IF(E398&lt;=0,E95/MAX(1,'Loan Tape'!$AU91-3+1),E398*E95/(1-(1+E398)^(-MAX(1,'Loan Tape'!$AU91-3+1)))-E398*E95),0)))</f>
        <v>0</v>
      </c>
      <c r="F1004" s="71" t="n">
        <f aca="false">IF(OR('Loan Tape'!$AN91=0,'Loan Tape'!$Z91="Interest Only",'Loan Tape'!$Z91=""),0,MIN(MAX(0,F95-F701),IFERROR(MAX(0,MIN(4,'Loan Tape'!$AV91)-MAX(3,'Loan Tape'!$AT91))*IF(F398&lt;=0,F95/MAX(1,'Loan Tape'!$AU91-4+1),F398*F95/(1-(1+F398)^(-MAX(1,'Loan Tape'!$AU91-4+1)))-F398*F95),0)))</f>
        <v>0</v>
      </c>
      <c r="G1004" s="71" t="n">
        <f aca="false">IF(OR('Loan Tape'!$AN91=0,'Loan Tape'!$Z91="Interest Only",'Loan Tape'!$Z91=""),0,MIN(MAX(0,G95-G701),IFERROR(MAX(0,MIN(5,'Loan Tape'!$AV91)-MAX(4,'Loan Tape'!$AT91))*IF(G398&lt;=0,G95/MAX(1,'Loan Tape'!$AU91-5+1),G398*G95/(1-(1+G398)^(-MAX(1,'Loan Tape'!$AU91-5+1)))-G398*G95),0)))</f>
        <v>0</v>
      </c>
      <c r="H1004" s="71" t="n">
        <f aca="false">IF(OR('Loan Tape'!$AN91=0,'Loan Tape'!$Z91="Interest Only",'Loan Tape'!$Z91=""),0,MIN(MAX(0,H95-H701),IFERROR(MAX(0,MIN(6,'Loan Tape'!$AV91)-MAX(5,'Loan Tape'!$AT91))*IF(H398&lt;=0,H95/MAX(1,'Loan Tape'!$AU91-6+1),H398*H95/(1-(1+H398)^(-MAX(1,'Loan Tape'!$AU91-6+1)))-H398*H95),0)))</f>
        <v>0</v>
      </c>
      <c r="I1004" s="71" t="n">
        <f aca="false">IF(OR('Loan Tape'!$AN91=0,'Loan Tape'!$Z91="Interest Only",'Loan Tape'!$Z91=""),0,MIN(MAX(0,I95-I701),IFERROR(MAX(0,MIN(7,'Loan Tape'!$AV91)-MAX(6,'Loan Tape'!$AT91))*IF(I398&lt;=0,I95/MAX(1,'Loan Tape'!$AU91-7+1),I398*I95/(1-(1+I398)^(-MAX(1,'Loan Tape'!$AU91-7+1)))-I398*I95),0)))</f>
        <v>0</v>
      </c>
      <c r="J1004" s="71" t="n">
        <f aca="false">IF(OR('Loan Tape'!$AN91=0,'Loan Tape'!$Z91="Interest Only",'Loan Tape'!$Z91=""),0,MIN(MAX(0,J95-J701),IFERROR(MAX(0,MIN(8,'Loan Tape'!$AV91)-MAX(7,'Loan Tape'!$AT91))*IF(J398&lt;=0,J95/MAX(1,'Loan Tape'!$AU91-8+1),J398*J95/(1-(1+J398)^(-MAX(1,'Loan Tape'!$AU91-8+1)))-J398*J95),0)))</f>
        <v>0</v>
      </c>
      <c r="K1004" s="71" t="n">
        <f aca="false">IF(OR('Loan Tape'!$AN91=0,'Loan Tape'!$Z91="Interest Only",'Loan Tape'!$Z91=""),0,MIN(MAX(0,K95-K701),IFERROR(MAX(0,MIN(9,'Loan Tape'!$AV91)-MAX(8,'Loan Tape'!$AT91))*IF(K398&lt;=0,K95/MAX(1,'Loan Tape'!$AU91-9+1),K398*K95/(1-(1+K398)^(-MAX(1,'Loan Tape'!$AU91-9+1)))-K398*K95),0)))</f>
        <v>0</v>
      </c>
      <c r="L1004" s="71" t="n">
        <f aca="false">IF(OR('Loan Tape'!$AN91=0,'Loan Tape'!$Z91="Interest Only",'Loan Tape'!$Z91=""),0,MIN(MAX(0,L95-L701),IFERROR(MAX(0,MIN(10,'Loan Tape'!$AV91)-MAX(9,'Loan Tape'!$AT91))*IF(L398&lt;=0,L95/MAX(1,'Loan Tape'!$AU91-10+1),L398*L95/(1-(1+L398)^(-MAX(1,'Loan Tape'!$AU91-10+1)))-L398*L95),0)))</f>
        <v>0</v>
      </c>
    </row>
    <row r="1005" customFormat="false" ht="15" hidden="false" customHeight="false" outlineLevel="0" collapsed="false">
      <c r="B1005" s="102" t="n">
        <f aca="false">'Loan Tape'!$A92</f>
        <v>0</v>
      </c>
      <c r="C1005" s="99" t="n">
        <f aca="false">IF(OR('Loan Tape'!$AN92=0,'Loan Tape'!$Z92="Interest Only",'Loan Tape'!$Z92=""),0,MIN(MAX(0,C96-C702),IFERROR(MAX(0,MIN(1,'Loan Tape'!$AV92)-MAX(0,'Loan Tape'!$AT92))*IF(C399&lt;=0,C96/MAX(1,'Loan Tape'!$AU92-1+1),C399*C96/(1-(1+C399)^(-MAX(1,'Loan Tape'!$AU92-1+1)))-C399*C96),0)))</f>
        <v>0</v>
      </c>
      <c r="D1005" s="99" t="n">
        <f aca="false">IF(OR('Loan Tape'!$AN92=0,'Loan Tape'!$Z92="Interest Only",'Loan Tape'!$Z92=""),0,MIN(MAX(0,D96-D702),IFERROR(MAX(0,MIN(2,'Loan Tape'!$AV92)-MAX(1,'Loan Tape'!$AT92))*IF(D399&lt;=0,D96/MAX(1,'Loan Tape'!$AU92-2+1),D399*D96/(1-(1+D399)^(-MAX(1,'Loan Tape'!$AU92-2+1)))-D399*D96),0)))</f>
        <v>0</v>
      </c>
      <c r="E1005" s="99" t="n">
        <f aca="false">IF(OR('Loan Tape'!$AN92=0,'Loan Tape'!$Z92="Interest Only",'Loan Tape'!$Z92=""),0,MIN(MAX(0,E96-E702),IFERROR(MAX(0,MIN(3,'Loan Tape'!$AV92)-MAX(2,'Loan Tape'!$AT92))*IF(E399&lt;=0,E96/MAX(1,'Loan Tape'!$AU92-3+1),E399*E96/(1-(1+E399)^(-MAX(1,'Loan Tape'!$AU92-3+1)))-E399*E96),0)))</f>
        <v>0</v>
      </c>
      <c r="F1005" s="99" t="n">
        <f aca="false">IF(OR('Loan Tape'!$AN92=0,'Loan Tape'!$Z92="Interest Only",'Loan Tape'!$Z92=""),0,MIN(MAX(0,F96-F702),IFERROR(MAX(0,MIN(4,'Loan Tape'!$AV92)-MAX(3,'Loan Tape'!$AT92))*IF(F399&lt;=0,F96/MAX(1,'Loan Tape'!$AU92-4+1),F399*F96/(1-(1+F399)^(-MAX(1,'Loan Tape'!$AU92-4+1)))-F399*F96),0)))</f>
        <v>0</v>
      </c>
      <c r="G1005" s="99" t="n">
        <f aca="false">IF(OR('Loan Tape'!$AN92=0,'Loan Tape'!$Z92="Interest Only",'Loan Tape'!$Z92=""),0,MIN(MAX(0,G96-G702),IFERROR(MAX(0,MIN(5,'Loan Tape'!$AV92)-MAX(4,'Loan Tape'!$AT92))*IF(G399&lt;=0,G96/MAX(1,'Loan Tape'!$AU92-5+1),G399*G96/(1-(1+G399)^(-MAX(1,'Loan Tape'!$AU92-5+1)))-G399*G96),0)))</f>
        <v>0</v>
      </c>
      <c r="H1005" s="99" t="n">
        <f aca="false">IF(OR('Loan Tape'!$AN92=0,'Loan Tape'!$Z92="Interest Only",'Loan Tape'!$Z92=""),0,MIN(MAX(0,H96-H702),IFERROR(MAX(0,MIN(6,'Loan Tape'!$AV92)-MAX(5,'Loan Tape'!$AT92))*IF(H399&lt;=0,H96/MAX(1,'Loan Tape'!$AU92-6+1),H399*H96/(1-(1+H399)^(-MAX(1,'Loan Tape'!$AU92-6+1)))-H399*H96),0)))</f>
        <v>0</v>
      </c>
      <c r="I1005" s="99" t="n">
        <f aca="false">IF(OR('Loan Tape'!$AN92=0,'Loan Tape'!$Z92="Interest Only",'Loan Tape'!$Z92=""),0,MIN(MAX(0,I96-I702),IFERROR(MAX(0,MIN(7,'Loan Tape'!$AV92)-MAX(6,'Loan Tape'!$AT92))*IF(I399&lt;=0,I96/MAX(1,'Loan Tape'!$AU92-7+1),I399*I96/(1-(1+I399)^(-MAX(1,'Loan Tape'!$AU92-7+1)))-I399*I96),0)))</f>
        <v>0</v>
      </c>
      <c r="J1005" s="99" t="n">
        <f aca="false">IF(OR('Loan Tape'!$AN92=0,'Loan Tape'!$Z92="Interest Only",'Loan Tape'!$Z92=""),0,MIN(MAX(0,J96-J702),IFERROR(MAX(0,MIN(8,'Loan Tape'!$AV92)-MAX(7,'Loan Tape'!$AT92))*IF(J399&lt;=0,J96/MAX(1,'Loan Tape'!$AU92-8+1),J399*J96/(1-(1+J399)^(-MAX(1,'Loan Tape'!$AU92-8+1)))-J399*J96),0)))</f>
        <v>0</v>
      </c>
      <c r="K1005" s="99" t="n">
        <f aca="false">IF(OR('Loan Tape'!$AN92=0,'Loan Tape'!$Z92="Interest Only",'Loan Tape'!$Z92=""),0,MIN(MAX(0,K96-K702),IFERROR(MAX(0,MIN(9,'Loan Tape'!$AV92)-MAX(8,'Loan Tape'!$AT92))*IF(K399&lt;=0,K96/MAX(1,'Loan Tape'!$AU92-9+1),K399*K96/(1-(1+K399)^(-MAX(1,'Loan Tape'!$AU92-9+1)))-K399*K96),0)))</f>
        <v>0</v>
      </c>
      <c r="L1005" s="99" t="n">
        <f aca="false">IF(OR('Loan Tape'!$AN92=0,'Loan Tape'!$Z92="Interest Only",'Loan Tape'!$Z92=""),0,MIN(MAX(0,L96-L702),IFERROR(MAX(0,MIN(10,'Loan Tape'!$AV92)-MAX(9,'Loan Tape'!$AT92))*IF(L399&lt;=0,L96/MAX(1,'Loan Tape'!$AU92-10+1),L399*L96/(1-(1+L399)^(-MAX(1,'Loan Tape'!$AU92-10+1)))-L399*L96),0)))</f>
        <v>0</v>
      </c>
    </row>
    <row r="1006" customFormat="false" ht="15" hidden="false" customHeight="false" outlineLevel="0" collapsed="false">
      <c r="B1006" s="108" t="n">
        <f aca="false">'Loan Tape'!$A93</f>
        <v>0</v>
      </c>
      <c r="C1006" s="71" t="n">
        <f aca="false">IF(OR('Loan Tape'!$AN93=0,'Loan Tape'!$Z93="Interest Only",'Loan Tape'!$Z93=""),0,MIN(MAX(0,C97-C703),IFERROR(MAX(0,MIN(1,'Loan Tape'!$AV93)-MAX(0,'Loan Tape'!$AT93))*IF(C400&lt;=0,C97/MAX(1,'Loan Tape'!$AU93-1+1),C400*C97/(1-(1+C400)^(-MAX(1,'Loan Tape'!$AU93-1+1)))-C400*C97),0)))</f>
        <v>0</v>
      </c>
      <c r="D1006" s="71" t="n">
        <f aca="false">IF(OR('Loan Tape'!$AN93=0,'Loan Tape'!$Z93="Interest Only",'Loan Tape'!$Z93=""),0,MIN(MAX(0,D97-D703),IFERROR(MAX(0,MIN(2,'Loan Tape'!$AV93)-MAX(1,'Loan Tape'!$AT93))*IF(D400&lt;=0,D97/MAX(1,'Loan Tape'!$AU93-2+1),D400*D97/(1-(1+D400)^(-MAX(1,'Loan Tape'!$AU93-2+1)))-D400*D97),0)))</f>
        <v>0</v>
      </c>
      <c r="E1006" s="71" t="n">
        <f aca="false">IF(OR('Loan Tape'!$AN93=0,'Loan Tape'!$Z93="Interest Only",'Loan Tape'!$Z93=""),0,MIN(MAX(0,E97-E703),IFERROR(MAX(0,MIN(3,'Loan Tape'!$AV93)-MAX(2,'Loan Tape'!$AT93))*IF(E400&lt;=0,E97/MAX(1,'Loan Tape'!$AU93-3+1),E400*E97/(1-(1+E400)^(-MAX(1,'Loan Tape'!$AU93-3+1)))-E400*E97),0)))</f>
        <v>0</v>
      </c>
      <c r="F1006" s="71" t="n">
        <f aca="false">IF(OR('Loan Tape'!$AN93=0,'Loan Tape'!$Z93="Interest Only",'Loan Tape'!$Z93=""),0,MIN(MAX(0,F97-F703),IFERROR(MAX(0,MIN(4,'Loan Tape'!$AV93)-MAX(3,'Loan Tape'!$AT93))*IF(F400&lt;=0,F97/MAX(1,'Loan Tape'!$AU93-4+1),F400*F97/(1-(1+F400)^(-MAX(1,'Loan Tape'!$AU93-4+1)))-F400*F97),0)))</f>
        <v>0</v>
      </c>
      <c r="G1006" s="71" t="n">
        <f aca="false">IF(OR('Loan Tape'!$AN93=0,'Loan Tape'!$Z93="Interest Only",'Loan Tape'!$Z93=""),0,MIN(MAX(0,G97-G703),IFERROR(MAX(0,MIN(5,'Loan Tape'!$AV93)-MAX(4,'Loan Tape'!$AT93))*IF(G400&lt;=0,G97/MAX(1,'Loan Tape'!$AU93-5+1),G400*G97/(1-(1+G400)^(-MAX(1,'Loan Tape'!$AU93-5+1)))-G400*G97),0)))</f>
        <v>0</v>
      </c>
      <c r="H1006" s="71" t="n">
        <f aca="false">IF(OR('Loan Tape'!$AN93=0,'Loan Tape'!$Z93="Interest Only",'Loan Tape'!$Z93=""),0,MIN(MAX(0,H97-H703),IFERROR(MAX(0,MIN(6,'Loan Tape'!$AV93)-MAX(5,'Loan Tape'!$AT93))*IF(H400&lt;=0,H97/MAX(1,'Loan Tape'!$AU93-6+1),H400*H97/(1-(1+H400)^(-MAX(1,'Loan Tape'!$AU93-6+1)))-H400*H97),0)))</f>
        <v>0</v>
      </c>
      <c r="I1006" s="71" t="n">
        <f aca="false">IF(OR('Loan Tape'!$AN93=0,'Loan Tape'!$Z93="Interest Only",'Loan Tape'!$Z93=""),0,MIN(MAX(0,I97-I703),IFERROR(MAX(0,MIN(7,'Loan Tape'!$AV93)-MAX(6,'Loan Tape'!$AT93))*IF(I400&lt;=0,I97/MAX(1,'Loan Tape'!$AU93-7+1),I400*I97/(1-(1+I400)^(-MAX(1,'Loan Tape'!$AU93-7+1)))-I400*I97),0)))</f>
        <v>0</v>
      </c>
      <c r="J1006" s="71" t="n">
        <f aca="false">IF(OR('Loan Tape'!$AN93=0,'Loan Tape'!$Z93="Interest Only",'Loan Tape'!$Z93=""),0,MIN(MAX(0,J97-J703),IFERROR(MAX(0,MIN(8,'Loan Tape'!$AV93)-MAX(7,'Loan Tape'!$AT93))*IF(J400&lt;=0,J97/MAX(1,'Loan Tape'!$AU93-8+1),J400*J97/(1-(1+J400)^(-MAX(1,'Loan Tape'!$AU93-8+1)))-J400*J97),0)))</f>
        <v>0</v>
      </c>
      <c r="K1006" s="71" t="n">
        <f aca="false">IF(OR('Loan Tape'!$AN93=0,'Loan Tape'!$Z93="Interest Only",'Loan Tape'!$Z93=""),0,MIN(MAX(0,K97-K703),IFERROR(MAX(0,MIN(9,'Loan Tape'!$AV93)-MAX(8,'Loan Tape'!$AT93))*IF(K400&lt;=0,K97/MAX(1,'Loan Tape'!$AU93-9+1),K400*K97/(1-(1+K400)^(-MAX(1,'Loan Tape'!$AU93-9+1)))-K400*K97),0)))</f>
        <v>0</v>
      </c>
      <c r="L1006" s="71" t="n">
        <f aca="false">IF(OR('Loan Tape'!$AN93=0,'Loan Tape'!$Z93="Interest Only",'Loan Tape'!$Z93=""),0,MIN(MAX(0,L97-L703),IFERROR(MAX(0,MIN(10,'Loan Tape'!$AV93)-MAX(9,'Loan Tape'!$AT93))*IF(L400&lt;=0,L97/MAX(1,'Loan Tape'!$AU93-10+1),L400*L97/(1-(1+L400)^(-MAX(1,'Loan Tape'!$AU93-10+1)))-L400*L97),0)))</f>
        <v>0</v>
      </c>
    </row>
    <row r="1007" customFormat="false" ht="15" hidden="false" customHeight="false" outlineLevel="0" collapsed="false">
      <c r="B1007" s="102" t="n">
        <f aca="false">'Loan Tape'!$A94</f>
        <v>0</v>
      </c>
      <c r="C1007" s="99" t="n">
        <f aca="false">IF(OR('Loan Tape'!$AN94=0,'Loan Tape'!$Z94="Interest Only",'Loan Tape'!$Z94=""),0,MIN(MAX(0,C98-C704),IFERROR(MAX(0,MIN(1,'Loan Tape'!$AV94)-MAX(0,'Loan Tape'!$AT94))*IF(C401&lt;=0,C98/MAX(1,'Loan Tape'!$AU94-1+1),C401*C98/(1-(1+C401)^(-MAX(1,'Loan Tape'!$AU94-1+1)))-C401*C98),0)))</f>
        <v>0</v>
      </c>
      <c r="D1007" s="99" t="n">
        <f aca="false">IF(OR('Loan Tape'!$AN94=0,'Loan Tape'!$Z94="Interest Only",'Loan Tape'!$Z94=""),0,MIN(MAX(0,D98-D704),IFERROR(MAX(0,MIN(2,'Loan Tape'!$AV94)-MAX(1,'Loan Tape'!$AT94))*IF(D401&lt;=0,D98/MAX(1,'Loan Tape'!$AU94-2+1),D401*D98/(1-(1+D401)^(-MAX(1,'Loan Tape'!$AU94-2+1)))-D401*D98),0)))</f>
        <v>0</v>
      </c>
      <c r="E1007" s="99" t="n">
        <f aca="false">IF(OR('Loan Tape'!$AN94=0,'Loan Tape'!$Z94="Interest Only",'Loan Tape'!$Z94=""),0,MIN(MAX(0,E98-E704),IFERROR(MAX(0,MIN(3,'Loan Tape'!$AV94)-MAX(2,'Loan Tape'!$AT94))*IF(E401&lt;=0,E98/MAX(1,'Loan Tape'!$AU94-3+1),E401*E98/(1-(1+E401)^(-MAX(1,'Loan Tape'!$AU94-3+1)))-E401*E98),0)))</f>
        <v>0</v>
      </c>
      <c r="F1007" s="99" t="n">
        <f aca="false">IF(OR('Loan Tape'!$AN94=0,'Loan Tape'!$Z94="Interest Only",'Loan Tape'!$Z94=""),0,MIN(MAX(0,F98-F704),IFERROR(MAX(0,MIN(4,'Loan Tape'!$AV94)-MAX(3,'Loan Tape'!$AT94))*IF(F401&lt;=0,F98/MAX(1,'Loan Tape'!$AU94-4+1),F401*F98/(1-(1+F401)^(-MAX(1,'Loan Tape'!$AU94-4+1)))-F401*F98),0)))</f>
        <v>0</v>
      </c>
      <c r="G1007" s="99" t="n">
        <f aca="false">IF(OR('Loan Tape'!$AN94=0,'Loan Tape'!$Z94="Interest Only",'Loan Tape'!$Z94=""),0,MIN(MAX(0,G98-G704),IFERROR(MAX(0,MIN(5,'Loan Tape'!$AV94)-MAX(4,'Loan Tape'!$AT94))*IF(G401&lt;=0,G98/MAX(1,'Loan Tape'!$AU94-5+1),G401*G98/(1-(1+G401)^(-MAX(1,'Loan Tape'!$AU94-5+1)))-G401*G98),0)))</f>
        <v>0</v>
      </c>
      <c r="H1007" s="99" t="n">
        <f aca="false">IF(OR('Loan Tape'!$AN94=0,'Loan Tape'!$Z94="Interest Only",'Loan Tape'!$Z94=""),0,MIN(MAX(0,H98-H704),IFERROR(MAX(0,MIN(6,'Loan Tape'!$AV94)-MAX(5,'Loan Tape'!$AT94))*IF(H401&lt;=0,H98/MAX(1,'Loan Tape'!$AU94-6+1),H401*H98/(1-(1+H401)^(-MAX(1,'Loan Tape'!$AU94-6+1)))-H401*H98),0)))</f>
        <v>0</v>
      </c>
      <c r="I1007" s="99" t="n">
        <f aca="false">IF(OR('Loan Tape'!$AN94=0,'Loan Tape'!$Z94="Interest Only",'Loan Tape'!$Z94=""),0,MIN(MAX(0,I98-I704),IFERROR(MAX(0,MIN(7,'Loan Tape'!$AV94)-MAX(6,'Loan Tape'!$AT94))*IF(I401&lt;=0,I98/MAX(1,'Loan Tape'!$AU94-7+1),I401*I98/(1-(1+I401)^(-MAX(1,'Loan Tape'!$AU94-7+1)))-I401*I98),0)))</f>
        <v>0</v>
      </c>
      <c r="J1007" s="99" t="n">
        <f aca="false">IF(OR('Loan Tape'!$AN94=0,'Loan Tape'!$Z94="Interest Only",'Loan Tape'!$Z94=""),0,MIN(MAX(0,J98-J704),IFERROR(MAX(0,MIN(8,'Loan Tape'!$AV94)-MAX(7,'Loan Tape'!$AT94))*IF(J401&lt;=0,J98/MAX(1,'Loan Tape'!$AU94-8+1),J401*J98/(1-(1+J401)^(-MAX(1,'Loan Tape'!$AU94-8+1)))-J401*J98),0)))</f>
        <v>0</v>
      </c>
      <c r="K1007" s="99" t="n">
        <f aca="false">IF(OR('Loan Tape'!$AN94=0,'Loan Tape'!$Z94="Interest Only",'Loan Tape'!$Z94=""),0,MIN(MAX(0,K98-K704),IFERROR(MAX(0,MIN(9,'Loan Tape'!$AV94)-MAX(8,'Loan Tape'!$AT94))*IF(K401&lt;=0,K98/MAX(1,'Loan Tape'!$AU94-9+1),K401*K98/(1-(1+K401)^(-MAX(1,'Loan Tape'!$AU94-9+1)))-K401*K98),0)))</f>
        <v>0</v>
      </c>
      <c r="L1007" s="99" t="n">
        <f aca="false">IF(OR('Loan Tape'!$AN94=0,'Loan Tape'!$Z94="Interest Only",'Loan Tape'!$Z94=""),0,MIN(MAX(0,L98-L704),IFERROR(MAX(0,MIN(10,'Loan Tape'!$AV94)-MAX(9,'Loan Tape'!$AT94))*IF(L401&lt;=0,L98/MAX(1,'Loan Tape'!$AU94-10+1),L401*L98/(1-(1+L401)^(-MAX(1,'Loan Tape'!$AU94-10+1)))-L401*L98),0)))</f>
        <v>0</v>
      </c>
    </row>
    <row r="1008" customFormat="false" ht="15" hidden="false" customHeight="false" outlineLevel="0" collapsed="false">
      <c r="B1008" s="108" t="n">
        <f aca="false">'Loan Tape'!$A95</f>
        <v>0</v>
      </c>
      <c r="C1008" s="71" t="n">
        <f aca="false">IF(OR('Loan Tape'!$AN95=0,'Loan Tape'!$Z95="Interest Only",'Loan Tape'!$Z95=""),0,MIN(MAX(0,C99-C705),IFERROR(MAX(0,MIN(1,'Loan Tape'!$AV95)-MAX(0,'Loan Tape'!$AT95))*IF(C402&lt;=0,C99/MAX(1,'Loan Tape'!$AU95-1+1),C402*C99/(1-(1+C402)^(-MAX(1,'Loan Tape'!$AU95-1+1)))-C402*C99),0)))</f>
        <v>0</v>
      </c>
      <c r="D1008" s="71" t="n">
        <f aca="false">IF(OR('Loan Tape'!$AN95=0,'Loan Tape'!$Z95="Interest Only",'Loan Tape'!$Z95=""),0,MIN(MAX(0,D99-D705),IFERROR(MAX(0,MIN(2,'Loan Tape'!$AV95)-MAX(1,'Loan Tape'!$AT95))*IF(D402&lt;=0,D99/MAX(1,'Loan Tape'!$AU95-2+1),D402*D99/(1-(1+D402)^(-MAX(1,'Loan Tape'!$AU95-2+1)))-D402*D99),0)))</f>
        <v>0</v>
      </c>
      <c r="E1008" s="71" t="n">
        <f aca="false">IF(OR('Loan Tape'!$AN95=0,'Loan Tape'!$Z95="Interest Only",'Loan Tape'!$Z95=""),0,MIN(MAX(0,E99-E705),IFERROR(MAX(0,MIN(3,'Loan Tape'!$AV95)-MAX(2,'Loan Tape'!$AT95))*IF(E402&lt;=0,E99/MAX(1,'Loan Tape'!$AU95-3+1),E402*E99/(1-(1+E402)^(-MAX(1,'Loan Tape'!$AU95-3+1)))-E402*E99),0)))</f>
        <v>0</v>
      </c>
      <c r="F1008" s="71" t="n">
        <f aca="false">IF(OR('Loan Tape'!$AN95=0,'Loan Tape'!$Z95="Interest Only",'Loan Tape'!$Z95=""),0,MIN(MAX(0,F99-F705),IFERROR(MAX(0,MIN(4,'Loan Tape'!$AV95)-MAX(3,'Loan Tape'!$AT95))*IF(F402&lt;=0,F99/MAX(1,'Loan Tape'!$AU95-4+1),F402*F99/(1-(1+F402)^(-MAX(1,'Loan Tape'!$AU95-4+1)))-F402*F99),0)))</f>
        <v>0</v>
      </c>
      <c r="G1008" s="71" t="n">
        <f aca="false">IF(OR('Loan Tape'!$AN95=0,'Loan Tape'!$Z95="Interest Only",'Loan Tape'!$Z95=""),0,MIN(MAX(0,G99-G705),IFERROR(MAX(0,MIN(5,'Loan Tape'!$AV95)-MAX(4,'Loan Tape'!$AT95))*IF(G402&lt;=0,G99/MAX(1,'Loan Tape'!$AU95-5+1),G402*G99/(1-(1+G402)^(-MAX(1,'Loan Tape'!$AU95-5+1)))-G402*G99),0)))</f>
        <v>0</v>
      </c>
      <c r="H1008" s="71" t="n">
        <f aca="false">IF(OR('Loan Tape'!$AN95=0,'Loan Tape'!$Z95="Interest Only",'Loan Tape'!$Z95=""),0,MIN(MAX(0,H99-H705),IFERROR(MAX(0,MIN(6,'Loan Tape'!$AV95)-MAX(5,'Loan Tape'!$AT95))*IF(H402&lt;=0,H99/MAX(1,'Loan Tape'!$AU95-6+1),H402*H99/(1-(1+H402)^(-MAX(1,'Loan Tape'!$AU95-6+1)))-H402*H99),0)))</f>
        <v>0</v>
      </c>
      <c r="I1008" s="71" t="n">
        <f aca="false">IF(OR('Loan Tape'!$AN95=0,'Loan Tape'!$Z95="Interest Only",'Loan Tape'!$Z95=""),0,MIN(MAX(0,I99-I705),IFERROR(MAX(0,MIN(7,'Loan Tape'!$AV95)-MAX(6,'Loan Tape'!$AT95))*IF(I402&lt;=0,I99/MAX(1,'Loan Tape'!$AU95-7+1),I402*I99/(1-(1+I402)^(-MAX(1,'Loan Tape'!$AU95-7+1)))-I402*I99),0)))</f>
        <v>0</v>
      </c>
      <c r="J1008" s="71" t="n">
        <f aca="false">IF(OR('Loan Tape'!$AN95=0,'Loan Tape'!$Z95="Interest Only",'Loan Tape'!$Z95=""),0,MIN(MAX(0,J99-J705),IFERROR(MAX(0,MIN(8,'Loan Tape'!$AV95)-MAX(7,'Loan Tape'!$AT95))*IF(J402&lt;=0,J99/MAX(1,'Loan Tape'!$AU95-8+1),J402*J99/(1-(1+J402)^(-MAX(1,'Loan Tape'!$AU95-8+1)))-J402*J99),0)))</f>
        <v>0</v>
      </c>
      <c r="K1008" s="71" t="n">
        <f aca="false">IF(OR('Loan Tape'!$AN95=0,'Loan Tape'!$Z95="Interest Only",'Loan Tape'!$Z95=""),0,MIN(MAX(0,K99-K705),IFERROR(MAX(0,MIN(9,'Loan Tape'!$AV95)-MAX(8,'Loan Tape'!$AT95))*IF(K402&lt;=0,K99/MAX(1,'Loan Tape'!$AU95-9+1),K402*K99/(1-(1+K402)^(-MAX(1,'Loan Tape'!$AU95-9+1)))-K402*K99),0)))</f>
        <v>0</v>
      </c>
      <c r="L1008" s="71" t="n">
        <f aca="false">IF(OR('Loan Tape'!$AN95=0,'Loan Tape'!$Z95="Interest Only",'Loan Tape'!$Z95=""),0,MIN(MAX(0,L99-L705),IFERROR(MAX(0,MIN(10,'Loan Tape'!$AV95)-MAX(9,'Loan Tape'!$AT95))*IF(L402&lt;=0,L99/MAX(1,'Loan Tape'!$AU95-10+1),L402*L99/(1-(1+L402)^(-MAX(1,'Loan Tape'!$AU95-10+1)))-L402*L99),0)))</f>
        <v>0</v>
      </c>
    </row>
    <row r="1009" customFormat="false" ht="15" hidden="false" customHeight="false" outlineLevel="0" collapsed="false">
      <c r="B1009" s="102" t="n">
        <f aca="false">'Loan Tape'!$A96</f>
        <v>0</v>
      </c>
      <c r="C1009" s="99" t="n">
        <f aca="false">IF(OR('Loan Tape'!$AN96=0,'Loan Tape'!$Z96="Interest Only",'Loan Tape'!$Z96=""),0,MIN(MAX(0,C100-C706),IFERROR(MAX(0,MIN(1,'Loan Tape'!$AV96)-MAX(0,'Loan Tape'!$AT96))*IF(C403&lt;=0,C100/MAX(1,'Loan Tape'!$AU96-1+1),C403*C100/(1-(1+C403)^(-MAX(1,'Loan Tape'!$AU96-1+1)))-C403*C100),0)))</f>
        <v>0</v>
      </c>
      <c r="D1009" s="99" t="n">
        <f aca="false">IF(OR('Loan Tape'!$AN96=0,'Loan Tape'!$Z96="Interest Only",'Loan Tape'!$Z96=""),0,MIN(MAX(0,D100-D706),IFERROR(MAX(0,MIN(2,'Loan Tape'!$AV96)-MAX(1,'Loan Tape'!$AT96))*IF(D403&lt;=0,D100/MAX(1,'Loan Tape'!$AU96-2+1),D403*D100/(1-(1+D403)^(-MAX(1,'Loan Tape'!$AU96-2+1)))-D403*D100),0)))</f>
        <v>0</v>
      </c>
      <c r="E1009" s="99" t="n">
        <f aca="false">IF(OR('Loan Tape'!$AN96=0,'Loan Tape'!$Z96="Interest Only",'Loan Tape'!$Z96=""),0,MIN(MAX(0,E100-E706),IFERROR(MAX(0,MIN(3,'Loan Tape'!$AV96)-MAX(2,'Loan Tape'!$AT96))*IF(E403&lt;=0,E100/MAX(1,'Loan Tape'!$AU96-3+1),E403*E100/(1-(1+E403)^(-MAX(1,'Loan Tape'!$AU96-3+1)))-E403*E100),0)))</f>
        <v>0</v>
      </c>
      <c r="F1009" s="99" t="n">
        <f aca="false">IF(OR('Loan Tape'!$AN96=0,'Loan Tape'!$Z96="Interest Only",'Loan Tape'!$Z96=""),0,MIN(MAX(0,F100-F706),IFERROR(MAX(0,MIN(4,'Loan Tape'!$AV96)-MAX(3,'Loan Tape'!$AT96))*IF(F403&lt;=0,F100/MAX(1,'Loan Tape'!$AU96-4+1),F403*F100/(1-(1+F403)^(-MAX(1,'Loan Tape'!$AU96-4+1)))-F403*F100),0)))</f>
        <v>0</v>
      </c>
      <c r="G1009" s="99" t="n">
        <f aca="false">IF(OR('Loan Tape'!$AN96=0,'Loan Tape'!$Z96="Interest Only",'Loan Tape'!$Z96=""),0,MIN(MAX(0,G100-G706),IFERROR(MAX(0,MIN(5,'Loan Tape'!$AV96)-MAX(4,'Loan Tape'!$AT96))*IF(G403&lt;=0,G100/MAX(1,'Loan Tape'!$AU96-5+1),G403*G100/(1-(1+G403)^(-MAX(1,'Loan Tape'!$AU96-5+1)))-G403*G100),0)))</f>
        <v>0</v>
      </c>
      <c r="H1009" s="99" t="n">
        <f aca="false">IF(OR('Loan Tape'!$AN96=0,'Loan Tape'!$Z96="Interest Only",'Loan Tape'!$Z96=""),0,MIN(MAX(0,H100-H706),IFERROR(MAX(0,MIN(6,'Loan Tape'!$AV96)-MAX(5,'Loan Tape'!$AT96))*IF(H403&lt;=0,H100/MAX(1,'Loan Tape'!$AU96-6+1),H403*H100/(1-(1+H403)^(-MAX(1,'Loan Tape'!$AU96-6+1)))-H403*H100),0)))</f>
        <v>0</v>
      </c>
      <c r="I1009" s="99" t="n">
        <f aca="false">IF(OR('Loan Tape'!$AN96=0,'Loan Tape'!$Z96="Interest Only",'Loan Tape'!$Z96=""),0,MIN(MAX(0,I100-I706),IFERROR(MAX(0,MIN(7,'Loan Tape'!$AV96)-MAX(6,'Loan Tape'!$AT96))*IF(I403&lt;=0,I100/MAX(1,'Loan Tape'!$AU96-7+1),I403*I100/(1-(1+I403)^(-MAX(1,'Loan Tape'!$AU96-7+1)))-I403*I100),0)))</f>
        <v>0</v>
      </c>
      <c r="J1009" s="99" t="n">
        <f aca="false">IF(OR('Loan Tape'!$AN96=0,'Loan Tape'!$Z96="Interest Only",'Loan Tape'!$Z96=""),0,MIN(MAX(0,J100-J706),IFERROR(MAX(0,MIN(8,'Loan Tape'!$AV96)-MAX(7,'Loan Tape'!$AT96))*IF(J403&lt;=0,J100/MAX(1,'Loan Tape'!$AU96-8+1),J403*J100/(1-(1+J403)^(-MAX(1,'Loan Tape'!$AU96-8+1)))-J403*J100),0)))</f>
        <v>0</v>
      </c>
      <c r="K1009" s="99" t="n">
        <f aca="false">IF(OR('Loan Tape'!$AN96=0,'Loan Tape'!$Z96="Interest Only",'Loan Tape'!$Z96=""),0,MIN(MAX(0,K100-K706),IFERROR(MAX(0,MIN(9,'Loan Tape'!$AV96)-MAX(8,'Loan Tape'!$AT96))*IF(K403&lt;=0,K100/MAX(1,'Loan Tape'!$AU96-9+1),K403*K100/(1-(1+K403)^(-MAX(1,'Loan Tape'!$AU96-9+1)))-K403*K100),0)))</f>
        <v>0</v>
      </c>
      <c r="L1009" s="99" t="n">
        <f aca="false">IF(OR('Loan Tape'!$AN96=0,'Loan Tape'!$Z96="Interest Only",'Loan Tape'!$Z96=""),0,MIN(MAX(0,L100-L706),IFERROR(MAX(0,MIN(10,'Loan Tape'!$AV96)-MAX(9,'Loan Tape'!$AT96))*IF(L403&lt;=0,L100/MAX(1,'Loan Tape'!$AU96-10+1),L403*L100/(1-(1+L403)^(-MAX(1,'Loan Tape'!$AU96-10+1)))-L403*L100),0)))</f>
        <v>0</v>
      </c>
    </row>
    <row r="1010" customFormat="false" ht="15" hidden="false" customHeight="false" outlineLevel="0" collapsed="false">
      <c r="B1010" s="108" t="n">
        <f aca="false">'Loan Tape'!$A97</f>
        <v>0</v>
      </c>
      <c r="C1010" s="71" t="n">
        <f aca="false">IF(OR('Loan Tape'!$AN97=0,'Loan Tape'!$Z97="Interest Only",'Loan Tape'!$Z97=""),0,MIN(MAX(0,C101-C707),IFERROR(MAX(0,MIN(1,'Loan Tape'!$AV97)-MAX(0,'Loan Tape'!$AT97))*IF(C404&lt;=0,C101/MAX(1,'Loan Tape'!$AU97-1+1),C404*C101/(1-(1+C404)^(-MAX(1,'Loan Tape'!$AU97-1+1)))-C404*C101),0)))</f>
        <v>0</v>
      </c>
      <c r="D1010" s="71" t="n">
        <f aca="false">IF(OR('Loan Tape'!$AN97=0,'Loan Tape'!$Z97="Interest Only",'Loan Tape'!$Z97=""),0,MIN(MAX(0,D101-D707),IFERROR(MAX(0,MIN(2,'Loan Tape'!$AV97)-MAX(1,'Loan Tape'!$AT97))*IF(D404&lt;=0,D101/MAX(1,'Loan Tape'!$AU97-2+1),D404*D101/(1-(1+D404)^(-MAX(1,'Loan Tape'!$AU97-2+1)))-D404*D101),0)))</f>
        <v>0</v>
      </c>
      <c r="E1010" s="71" t="n">
        <f aca="false">IF(OR('Loan Tape'!$AN97=0,'Loan Tape'!$Z97="Interest Only",'Loan Tape'!$Z97=""),0,MIN(MAX(0,E101-E707),IFERROR(MAX(0,MIN(3,'Loan Tape'!$AV97)-MAX(2,'Loan Tape'!$AT97))*IF(E404&lt;=0,E101/MAX(1,'Loan Tape'!$AU97-3+1),E404*E101/(1-(1+E404)^(-MAX(1,'Loan Tape'!$AU97-3+1)))-E404*E101),0)))</f>
        <v>0</v>
      </c>
      <c r="F1010" s="71" t="n">
        <f aca="false">IF(OR('Loan Tape'!$AN97=0,'Loan Tape'!$Z97="Interest Only",'Loan Tape'!$Z97=""),0,MIN(MAX(0,F101-F707),IFERROR(MAX(0,MIN(4,'Loan Tape'!$AV97)-MAX(3,'Loan Tape'!$AT97))*IF(F404&lt;=0,F101/MAX(1,'Loan Tape'!$AU97-4+1),F404*F101/(1-(1+F404)^(-MAX(1,'Loan Tape'!$AU97-4+1)))-F404*F101),0)))</f>
        <v>0</v>
      </c>
      <c r="G1010" s="71" t="n">
        <f aca="false">IF(OR('Loan Tape'!$AN97=0,'Loan Tape'!$Z97="Interest Only",'Loan Tape'!$Z97=""),0,MIN(MAX(0,G101-G707),IFERROR(MAX(0,MIN(5,'Loan Tape'!$AV97)-MAX(4,'Loan Tape'!$AT97))*IF(G404&lt;=0,G101/MAX(1,'Loan Tape'!$AU97-5+1),G404*G101/(1-(1+G404)^(-MAX(1,'Loan Tape'!$AU97-5+1)))-G404*G101),0)))</f>
        <v>0</v>
      </c>
      <c r="H1010" s="71" t="n">
        <f aca="false">IF(OR('Loan Tape'!$AN97=0,'Loan Tape'!$Z97="Interest Only",'Loan Tape'!$Z97=""),0,MIN(MAX(0,H101-H707),IFERROR(MAX(0,MIN(6,'Loan Tape'!$AV97)-MAX(5,'Loan Tape'!$AT97))*IF(H404&lt;=0,H101/MAX(1,'Loan Tape'!$AU97-6+1),H404*H101/(1-(1+H404)^(-MAX(1,'Loan Tape'!$AU97-6+1)))-H404*H101),0)))</f>
        <v>0</v>
      </c>
      <c r="I1010" s="71" t="n">
        <f aca="false">IF(OR('Loan Tape'!$AN97=0,'Loan Tape'!$Z97="Interest Only",'Loan Tape'!$Z97=""),0,MIN(MAX(0,I101-I707),IFERROR(MAX(0,MIN(7,'Loan Tape'!$AV97)-MAX(6,'Loan Tape'!$AT97))*IF(I404&lt;=0,I101/MAX(1,'Loan Tape'!$AU97-7+1),I404*I101/(1-(1+I404)^(-MAX(1,'Loan Tape'!$AU97-7+1)))-I404*I101),0)))</f>
        <v>0</v>
      </c>
      <c r="J1010" s="71" t="n">
        <f aca="false">IF(OR('Loan Tape'!$AN97=0,'Loan Tape'!$Z97="Interest Only",'Loan Tape'!$Z97=""),0,MIN(MAX(0,J101-J707),IFERROR(MAX(0,MIN(8,'Loan Tape'!$AV97)-MAX(7,'Loan Tape'!$AT97))*IF(J404&lt;=0,J101/MAX(1,'Loan Tape'!$AU97-8+1),J404*J101/(1-(1+J404)^(-MAX(1,'Loan Tape'!$AU97-8+1)))-J404*J101),0)))</f>
        <v>0</v>
      </c>
      <c r="K1010" s="71" t="n">
        <f aca="false">IF(OR('Loan Tape'!$AN97=0,'Loan Tape'!$Z97="Interest Only",'Loan Tape'!$Z97=""),0,MIN(MAX(0,K101-K707),IFERROR(MAX(0,MIN(9,'Loan Tape'!$AV97)-MAX(8,'Loan Tape'!$AT97))*IF(K404&lt;=0,K101/MAX(1,'Loan Tape'!$AU97-9+1),K404*K101/(1-(1+K404)^(-MAX(1,'Loan Tape'!$AU97-9+1)))-K404*K101),0)))</f>
        <v>0</v>
      </c>
      <c r="L1010" s="71" t="n">
        <f aca="false">IF(OR('Loan Tape'!$AN97=0,'Loan Tape'!$Z97="Interest Only",'Loan Tape'!$Z97=""),0,MIN(MAX(0,L101-L707),IFERROR(MAX(0,MIN(10,'Loan Tape'!$AV97)-MAX(9,'Loan Tape'!$AT97))*IF(L404&lt;=0,L101/MAX(1,'Loan Tape'!$AU97-10+1),L404*L101/(1-(1+L404)^(-MAX(1,'Loan Tape'!$AU97-10+1)))-L404*L101),0)))</f>
        <v>0</v>
      </c>
    </row>
    <row r="1011" customFormat="false" ht="15" hidden="false" customHeight="false" outlineLevel="0" collapsed="false">
      <c r="B1011" s="102" t="n">
        <f aca="false">'Loan Tape'!$A98</f>
        <v>0</v>
      </c>
      <c r="C1011" s="99" t="n">
        <f aca="false">IF(OR('Loan Tape'!$AN98=0,'Loan Tape'!$Z98="Interest Only",'Loan Tape'!$Z98=""),0,MIN(MAX(0,C102-C708),IFERROR(MAX(0,MIN(1,'Loan Tape'!$AV98)-MAX(0,'Loan Tape'!$AT98))*IF(C405&lt;=0,C102/MAX(1,'Loan Tape'!$AU98-1+1),C405*C102/(1-(1+C405)^(-MAX(1,'Loan Tape'!$AU98-1+1)))-C405*C102),0)))</f>
        <v>0</v>
      </c>
      <c r="D1011" s="99" t="n">
        <f aca="false">IF(OR('Loan Tape'!$AN98=0,'Loan Tape'!$Z98="Interest Only",'Loan Tape'!$Z98=""),0,MIN(MAX(0,D102-D708),IFERROR(MAX(0,MIN(2,'Loan Tape'!$AV98)-MAX(1,'Loan Tape'!$AT98))*IF(D405&lt;=0,D102/MAX(1,'Loan Tape'!$AU98-2+1),D405*D102/(1-(1+D405)^(-MAX(1,'Loan Tape'!$AU98-2+1)))-D405*D102),0)))</f>
        <v>0</v>
      </c>
      <c r="E1011" s="99" t="n">
        <f aca="false">IF(OR('Loan Tape'!$AN98=0,'Loan Tape'!$Z98="Interest Only",'Loan Tape'!$Z98=""),0,MIN(MAX(0,E102-E708),IFERROR(MAX(0,MIN(3,'Loan Tape'!$AV98)-MAX(2,'Loan Tape'!$AT98))*IF(E405&lt;=0,E102/MAX(1,'Loan Tape'!$AU98-3+1),E405*E102/(1-(1+E405)^(-MAX(1,'Loan Tape'!$AU98-3+1)))-E405*E102),0)))</f>
        <v>0</v>
      </c>
      <c r="F1011" s="99" t="n">
        <f aca="false">IF(OR('Loan Tape'!$AN98=0,'Loan Tape'!$Z98="Interest Only",'Loan Tape'!$Z98=""),0,MIN(MAX(0,F102-F708),IFERROR(MAX(0,MIN(4,'Loan Tape'!$AV98)-MAX(3,'Loan Tape'!$AT98))*IF(F405&lt;=0,F102/MAX(1,'Loan Tape'!$AU98-4+1),F405*F102/(1-(1+F405)^(-MAX(1,'Loan Tape'!$AU98-4+1)))-F405*F102),0)))</f>
        <v>0</v>
      </c>
      <c r="G1011" s="99" t="n">
        <f aca="false">IF(OR('Loan Tape'!$AN98=0,'Loan Tape'!$Z98="Interest Only",'Loan Tape'!$Z98=""),0,MIN(MAX(0,G102-G708),IFERROR(MAX(0,MIN(5,'Loan Tape'!$AV98)-MAX(4,'Loan Tape'!$AT98))*IF(G405&lt;=0,G102/MAX(1,'Loan Tape'!$AU98-5+1),G405*G102/(1-(1+G405)^(-MAX(1,'Loan Tape'!$AU98-5+1)))-G405*G102),0)))</f>
        <v>0</v>
      </c>
      <c r="H1011" s="99" t="n">
        <f aca="false">IF(OR('Loan Tape'!$AN98=0,'Loan Tape'!$Z98="Interest Only",'Loan Tape'!$Z98=""),0,MIN(MAX(0,H102-H708),IFERROR(MAX(0,MIN(6,'Loan Tape'!$AV98)-MAX(5,'Loan Tape'!$AT98))*IF(H405&lt;=0,H102/MAX(1,'Loan Tape'!$AU98-6+1),H405*H102/(1-(1+H405)^(-MAX(1,'Loan Tape'!$AU98-6+1)))-H405*H102),0)))</f>
        <v>0</v>
      </c>
      <c r="I1011" s="99" t="n">
        <f aca="false">IF(OR('Loan Tape'!$AN98=0,'Loan Tape'!$Z98="Interest Only",'Loan Tape'!$Z98=""),0,MIN(MAX(0,I102-I708),IFERROR(MAX(0,MIN(7,'Loan Tape'!$AV98)-MAX(6,'Loan Tape'!$AT98))*IF(I405&lt;=0,I102/MAX(1,'Loan Tape'!$AU98-7+1),I405*I102/(1-(1+I405)^(-MAX(1,'Loan Tape'!$AU98-7+1)))-I405*I102),0)))</f>
        <v>0</v>
      </c>
      <c r="J1011" s="99" t="n">
        <f aca="false">IF(OR('Loan Tape'!$AN98=0,'Loan Tape'!$Z98="Interest Only",'Loan Tape'!$Z98=""),0,MIN(MAX(0,J102-J708),IFERROR(MAX(0,MIN(8,'Loan Tape'!$AV98)-MAX(7,'Loan Tape'!$AT98))*IF(J405&lt;=0,J102/MAX(1,'Loan Tape'!$AU98-8+1),J405*J102/(1-(1+J405)^(-MAX(1,'Loan Tape'!$AU98-8+1)))-J405*J102),0)))</f>
        <v>0</v>
      </c>
      <c r="K1011" s="99" t="n">
        <f aca="false">IF(OR('Loan Tape'!$AN98=0,'Loan Tape'!$Z98="Interest Only",'Loan Tape'!$Z98=""),0,MIN(MAX(0,K102-K708),IFERROR(MAX(0,MIN(9,'Loan Tape'!$AV98)-MAX(8,'Loan Tape'!$AT98))*IF(K405&lt;=0,K102/MAX(1,'Loan Tape'!$AU98-9+1),K405*K102/(1-(1+K405)^(-MAX(1,'Loan Tape'!$AU98-9+1)))-K405*K102),0)))</f>
        <v>0</v>
      </c>
      <c r="L1011" s="99" t="n">
        <f aca="false">IF(OR('Loan Tape'!$AN98=0,'Loan Tape'!$Z98="Interest Only",'Loan Tape'!$Z98=""),0,MIN(MAX(0,L102-L708),IFERROR(MAX(0,MIN(10,'Loan Tape'!$AV98)-MAX(9,'Loan Tape'!$AT98))*IF(L405&lt;=0,L102/MAX(1,'Loan Tape'!$AU98-10+1),L405*L102/(1-(1+L405)^(-MAX(1,'Loan Tape'!$AU98-10+1)))-L405*L102),0)))</f>
        <v>0</v>
      </c>
    </row>
    <row r="1012" customFormat="false" ht="15" hidden="false" customHeight="false" outlineLevel="0" collapsed="false">
      <c r="B1012" s="108" t="n">
        <f aca="false">'Loan Tape'!$A99</f>
        <v>0</v>
      </c>
      <c r="C1012" s="71" t="n">
        <f aca="false">IF(OR('Loan Tape'!$AN99=0,'Loan Tape'!$Z99="Interest Only",'Loan Tape'!$Z99=""),0,MIN(MAX(0,C103-C709),IFERROR(MAX(0,MIN(1,'Loan Tape'!$AV99)-MAX(0,'Loan Tape'!$AT99))*IF(C406&lt;=0,C103/MAX(1,'Loan Tape'!$AU99-1+1),C406*C103/(1-(1+C406)^(-MAX(1,'Loan Tape'!$AU99-1+1)))-C406*C103),0)))</f>
        <v>0</v>
      </c>
      <c r="D1012" s="71" t="n">
        <f aca="false">IF(OR('Loan Tape'!$AN99=0,'Loan Tape'!$Z99="Interest Only",'Loan Tape'!$Z99=""),0,MIN(MAX(0,D103-D709),IFERROR(MAX(0,MIN(2,'Loan Tape'!$AV99)-MAX(1,'Loan Tape'!$AT99))*IF(D406&lt;=0,D103/MAX(1,'Loan Tape'!$AU99-2+1),D406*D103/(1-(1+D406)^(-MAX(1,'Loan Tape'!$AU99-2+1)))-D406*D103),0)))</f>
        <v>0</v>
      </c>
      <c r="E1012" s="71" t="n">
        <f aca="false">IF(OR('Loan Tape'!$AN99=0,'Loan Tape'!$Z99="Interest Only",'Loan Tape'!$Z99=""),0,MIN(MAX(0,E103-E709),IFERROR(MAX(0,MIN(3,'Loan Tape'!$AV99)-MAX(2,'Loan Tape'!$AT99))*IF(E406&lt;=0,E103/MAX(1,'Loan Tape'!$AU99-3+1),E406*E103/(1-(1+E406)^(-MAX(1,'Loan Tape'!$AU99-3+1)))-E406*E103),0)))</f>
        <v>0</v>
      </c>
      <c r="F1012" s="71" t="n">
        <f aca="false">IF(OR('Loan Tape'!$AN99=0,'Loan Tape'!$Z99="Interest Only",'Loan Tape'!$Z99=""),0,MIN(MAX(0,F103-F709),IFERROR(MAX(0,MIN(4,'Loan Tape'!$AV99)-MAX(3,'Loan Tape'!$AT99))*IF(F406&lt;=0,F103/MAX(1,'Loan Tape'!$AU99-4+1),F406*F103/(1-(1+F406)^(-MAX(1,'Loan Tape'!$AU99-4+1)))-F406*F103),0)))</f>
        <v>0</v>
      </c>
      <c r="G1012" s="71" t="n">
        <f aca="false">IF(OR('Loan Tape'!$AN99=0,'Loan Tape'!$Z99="Interest Only",'Loan Tape'!$Z99=""),0,MIN(MAX(0,G103-G709),IFERROR(MAX(0,MIN(5,'Loan Tape'!$AV99)-MAX(4,'Loan Tape'!$AT99))*IF(G406&lt;=0,G103/MAX(1,'Loan Tape'!$AU99-5+1),G406*G103/(1-(1+G406)^(-MAX(1,'Loan Tape'!$AU99-5+1)))-G406*G103),0)))</f>
        <v>0</v>
      </c>
      <c r="H1012" s="71" t="n">
        <f aca="false">IF(OR('Loan Tape'!$AN99=0,'Loan Tape'!$Z99="Interest Only",'Loan Tape'!$Z99=""),0,MIN(MAX(0,H103-H709),IFERROR(MAX(0,MIN(6,'Loan Tape'!$AV99)-MAX(5,'Loan Tape'!$AT99))*IF(H406&lt;=0,H103/MAX(1,'Loan Tape'!$AU99-6+1),H406*H103/(1-(1+H406)^(-MAX(1,'Loan Tape'!$AU99-6+1)))-H406*H103),0)))</f>
        <v>0</v>
      </c>
      <c r="I1012" s="71" t="n">
        <f aca="false">IF(OR('Loan Tape'!$AN99=0,'Loan Tape'!$Z99="Interest Only",'Loan Tape'!$Z99=""),0,MIN(MAX(0,I103-I709),IFERROR(MAX(0,MIN(7,'Loan Tape'!$AV99)-MAX(6,'Loan Tape'!$AT99))*IF(I406&lt;=0,I103/MAX(1,'Loan Tape'!$AU99-7+1),I406*I103/(1-(1+I406)^(-MAX(1,'Loan Tape'!$AU99-7+1)))-I406*I103),0)))</f>
        <v>0</v>
      </c>
      <c r="J1012" s="71" t="n">
        <f aca="false">IF(OR('Loan Tape'!$AN99=0,'Loan Tape'!$Z99="Interest Only",'Loan Tape'!$Z99=""),0,MIN(MAX(0,J103-J709),IFERROR(MAX(0,MIN(8,'Loan Tape'!$AV99)-MAX(7,'Loan Tape'!$AT99))*IF(J406&lt;=0,J103/MAX(1,'Loan Tape'!$AU99-8+1),J406*J103/(1-(1+J406)^(-MAX(1,'Loan Tape'!$AU99-8+1)))-J406*J103),0)))</f>
        <v>0</v>
      </c>
      <c r="K1012" s="71" t="n">
        <f aca="false">IF(OR('Loan Tape'!$AN99=0,'Loan Tape'!$Z99="Interest Only",'Loan Tape'!$Z99=""),0,MIN(MAX(0,K103-K709),IFERROR(MAX(0,MIN(9,'Loan Tape'!$AV99)-MAX(8,'Loan Tape'!$AT99))*IF(K406&lt;=0,K103/MAX(1,'Loan Tape'!$AU99-9+1),K406*K103/(1-(1+K406)^(-MAX(1,'Loan Tape'!$AU99-9+1)))-K406*K103),0)))</f>
        <v>0</v>
      </c>
      <c r="L1012" s="71" t="n">
        <f aca="false">IF(OR('Loan Tape'!$AN99=0,'Loan Tape'!$Z99="Interest Only",'Loan Tape'!$Z99=""),0,MIN(MAX(0,L103-L709),IFERROR(MAX(0,MIN(10,'Loan Tape'!$AV99)-MAX(9,'Loan Tape'!$AT99))*IF(L406&lt;=0,L103/MAX(1,'Loan Tape'!$AU99-10+1),L406*L103/(1-(1+L406)^(-MAX(1,'Loan Tape'!$AU99-10+1)))-L406*L103),0)))</f>
        <v>0</v>
      </c>
    </row>
    <row r="1013" customFormat="false" ht="15" hidden="false" customHeight="false" outlineLevel="0" collapsed="false">
      <c r="B1013" s="102" t="n">
        <f aca="false">'Loan Tape'!$A100</f>
        <v>0</v>
      </c>
      <c r="C1013" s="99" t="n">
        <f aca="false">IF(OR('Loan Tape'!$AN100=0,'Loan Tape'!$Z100="Interest Only",'Loan Tape'!$Z100=""),0,MIN(MAX(0,C104-C710),IFERROR(MAX(0,MIN(1,'Loan Tape'!$AV100)-MAX(0,'Loan Tape'!$AT100))*IF(C407&lt;=0,C104/MAX(1,'Loan Tape'!$AU100-1+1),C407*C104/(1-(1+C407)^(-MAX(1,'Loan Tape'!$AU100-1+1)))-C407*C104),0)))</f>
        <v>0</v>
      </c>
      <c r="D1013" s="99" t="n">
        <f aca="false">IF(OR('Loan Tape'!$AN100=0,'Loan Tape'!$Z100="Interest Only",'Loan Tape'!$Z100=""),0,MIN(MAX(0,D104-D710),IFERROR(MAX(0,MIN(2,'Loan Tape'!$AV100)-MAX(1,'Loan Tape'!$AT100))*IF(D407&lt;=0,D104/MAX(1,'Loan Tape'!$AU100-2+1),D407*D104/(1-(1+D407)^(-MAX(1,'Loan Tape'!$AU100-2+1)))-D407*D104),0)))</f>
        <v>0</v>
      </c>
      <c r="E1013" s="99" t="n">
        <f aca="false">IF(OR('Loan Tape'!$AN100=0,'Loan Tape'!$Z100="Interest Only",'Loan Tape'!$Z100=""),0,MIN(MAX(0,E104-E710),IFERROR(MAX(0,MIN(3,'Loan Tape'!$AV100)-MAX(2,'Loan Tape'!$AT100))*IF(E407&lt;=0,E104/MAX(1,'Loan Tape'!$AU100-3+1),E407*E104/(1-(1+E407)^(-MAX(1,'Loan Tape'!$AU100-3+1)))-E407*E104),0)))</f>
        <v>0</v>
      </c>
      <c r="F1013" s="99" t="n">
        <f aca="false">IF(OR('Loan Tape'!$AN100=0,'Loan Tape'!$Z100="Interest Only",'Loan Tape'!$Z100=""),0,MIN(MAX(0,F104-F710),IFERROR(MAX(0,MIN(4,'Loan Tape'!$AV100)-MAX(3,'Loan Tape'!$AT100))*IF(F407&lt;=0,F104/MAX(1,'Loan Tape'!$AU100-4+1),F407*F104/(1-(1+F407)^(-MAX(1,'Loan Tape'!$AU100-4+1)))-F407*F104),0)))</f>
        <v>0</v>
      </c>
      <c r="G1013" s="99" t="n">
        <f aca="false">IF(OR('Loan Tape'!$AN100=0,'Loan Tape'!$Z100="Interest Only",'Loan Tape'!$Z100=""),0,MIN(MAX(0,G104-G710),IFERROR(MAX(0,MIN(5,'Loan Tape'!$AV100)-MAX(4,'Loan Tape'!$AT100))*IF(G407&lt;=0,G104/MAX(1,'Loan Tape'!$AU100-5+1),G407*G104/(1-(1+G407)^(-MAX(1,'Loan Tape'!$AU100-5+1)))-G407*G104),0)))</f>
        <v>0</v>
      </c>
      <c r="H1013" s="99" t="n">
        <f aca="false">IF(OR('Loan Tape'!$AN100=0,'Loan Tape'!$Z100="Interest Only",'Loan Tape'!$Z100=""),0,MIN(MAX(0,H104-H710),IFERROR(MAX(0,MIN(6,'Loan Tape'!$AV100)-MAX(5,'Loan Tape'!$AT100))*IF(H407&lt;=0,H104/MAX(1,'Loan Tape'!$AU100-6+1),H407*H104/(1-(1+H407)^(-MAX(1,'Loan Tape'!$AU100-6+1)))-H407*H104),0)))</f>
        <v>0</v>
      </c>
      <c r="I1013" s="99" t="n">
        <f aca="false">IF(OR('Loan Tape'!$AN100=0,'Loan Tape'!$Z100="Interest Only",'Loan Tape'!$Z100=""),0,MIN(MAX(0,I104-I710),IFERROR(MAX(0,MIN(7,'Loan Tape'!$AV100)-MAX(6,'Loan Tape'!$AT100))*IF(I407&lt;=0,I104/MAX(1,'Loan Tape'!$AU100-7+1),I407*I104/(1-(1+I407)^(-MAX(1,'Loan Tape'!$AU100-7+1)))-I407*I104),0)))</f>
        <v>0</v>
      </c>
      <c r="J1013" s="99" t="n">
        <f aca="false">IF(OR('Loan Tape'!$AN100=0,'Loan Tape'!$Z100="Interest Only",'Loan Tape'!$Z100=""),0,MIN(MAX(0,J104-J710),IFERROR(MAX(0,MIN(8,'Loan Tape'!$AV100)-MAX(7,'Loan Tape'!$AT100))*IF(J407&lt;=0,J104/MAX(1,'Loan Tape'!$AU100-8+1),J407*J104/(1-(1+J407)^(-MAX(1,'Loan Tape'!$AU100-8+1)))-J407*J104),0)))</f>
        <v>0</v>
      </c>
      <c r="K1013" s="99" t="n">
        <f aca="false">IF(OR('Loan Tape'!$AN100=0,'Loan Tape'!$Z100="Interest Only",'Loan Tape'!$Z100=""),0,MIN(MAX(0,K104-K710),IFERROR(MAX(0,MIN(9,'Loan Tape'!$AV100)-MAX(8,'Loan Tape'!$AT100))*IF(K407&lt;=0,K104/MAX(1,'Loan Tape'!$AU100-9+1),K407*K104/(1-(1+K407)^(-MAX(1,'Loan Tape'!$AU100-9+1)))-K407*K104),0)))</f>
        <v>0</v>
      </c>
      <c r="L1013" s="99" t="n">
        <f aca="false">IF(OR('Loan Tape'!$AN100=0,'Loan Tape'!$Z100="Interest Only",'Loan Tape'!$Z100=""),0,MIN(MAX(0,L104-L710),IFERROR(MAX(0,MIN(10,'Loan Tape'!$AV100)-MAX(9,'Loan Tape'!$AT100))*IF(L407&lt;=0,L104/MAX(1,'Loan Tape'!$AU100-10+1),L407*L104/(1-(1+L407)^(-MAX(1,'Loan Tape'!$AU100-10+1)))-L407*L104),0)))</f>
        <v>0</v>
      </c>
    </row>
    <row r="1014" customFormat="false" ht="15" hidden="false" customHeight="false" outlineLevel="0" collapsed="false">
      <c r="B1014" s="108" t="n">
        <f aca="false">'Loan Tape'!$A101</f>
        <v>0</v>
      </c>
      <c r="C1014" s="71" t="n">
        <f aca="false">IF(OR('Loan Tape'!$AN101=0,'Loan Tape'!$Z101="Interest Only",'Loan Tape'!$Z101=""),0,MIN(MAX(0,C105-C711),IFERROR(MAX(0,MIN(1,'Loan Tape'!$AV101)-MAX(0,'Loan Tape'!$AT101))*IF(C408&lt;=0,C105/MAX(1,'Loan Tape'!$AU101-1+1),C408*C105/(1-(1+C408)^(-MAX(1,'Loan Tape'!$AU101-1+1)))-C408*C105),0)))</f>
        <v>0</v>
      </c>
      <c r="D1014" s="71" t="n">
        <f aca="false">IF(OR('Loan Tape'!$AN101=0,'Loan Tape'!$Z101="Interest Only",'Loan Tape'!$Z101=""),0,MIN(MAX(0,D105-D711),IFERROR(MAX(0,MIN(2,'Loan Tape'!$AV101)-MAX(1,'Loan Tape'!$AT101))*IF(D408&lt;=0,D105/MAX(1,'Loan Tape'!$AU101-2+1),D408*D105/(1-(1+D408)^(-MAX(1,'Loan Tape'!$AU101-2+1)))-D408*D105),0)))</f>
        <v>0</v>
      </c>
      <c r="E1014" s="71" t="n">
        <f aca="false">IF(OR('Loan Tape'!$AN101=0,'Loan Tape'!$Z101="Interest Only",'Loan Tape'!$Z101=""),0,MIN(MAX(0,E105-E711),IFERROR(MAX(0,MIN(3,'Loan Tape'!$AV101)-MAX(2,'Loan Tape'!$AT101))*IF(E408&lt;=0,E105/MAX(1,'Loan Tape'!$AU101-3+1),E408*E105/(1-(1+E408)^(-MAX(1,'Loan Tape'!$AU101-3+1)))-E408*E105),0)))</f>
        <v>0</v>
      </c>
      <c r="F1014" s="71" t="n">
        <f aca="false">IF(OR('Loan Tape'!$AN101=0,'Loan Tape'!$Z101="Interest Only",'Loan Tape'!$Z101=""),0,MIN(MAX(0,F105-F711),IFERROR(MAX(0,MIN(4,'Loan Tape'!$AV101)-MAX(3,'Loan Tape'!$AT101))*IF(F408&lt;=0,F105/MAX(1,'Loan Tape'!$AU101-4+1),F408*F105/(1-(1+F408)^(-MAX(1,'Loan Tape'!$AU101-4+1)))-F408*F105),0)))</f>
        <v>0</v>
      </c>
      <c r="G1014" s="71" t="n">
        <f aca="false">IF(OR('Loan Tape'!$AN101=0,'Loan Tape'!$Z101="Interest Only",'Loan Tape'!$Z101=""),0,MIN(MAX(0,G105-G711),IFERROR(MAX(0,MIN(5,'Loan Tape'!$AV101)-MAX(4,'Loan Tape'!$AT101))*IF(G408&lt;=0,G105/MAX(1,'Loan Tape'!$AU101-5+1),G408*G105/(1-(1+G408)^(-MAX(1,'Loan Tape'!$AU101-5+1)))-G408*G105),0)))</f>
        <v>0</v>
      </c>
      <c r="H1014" s="71" t="n">
        <f aca="false">IF(OR('Loan Tape'!$AN101=0,'Loan Tape'!$Z101="Interest Only",'Loan Tape'!$Z101=""),0,MIN(MAX(0,H105-H711),IFERROR(MAX(0,MIN(6,'Loan Tape'!$AV101)-MAX(5,'Loan Tape'!$AT101))*IF(H408&lt;=0,H105/MAX(1,'Loan Tape'!$AU101-6+1),H408*H105/(1-(1+H408)^(-MAX(1,'Loan Tape'!$AU101-6+1)))-H408*H105),0)))</f>
        <v>0</v>
      </c>
      <c r="I1014" s="71" t="n">
        <f aca="false">IF(OR('Loan Tape'!$AN101=0,'Loan Tape'!$Z101="Interest Only",'Loan Tape'!$Z101=""),0,MIN(MAX(0,I105-I711),IFERROR(MAX(0,MIN(7,'Loan Tape'!$AV101)-MAX(6,'Loan Tape'!$AT101))*IF(I408&lt;=0,I105/MAX(1,'Loan Tape'!$AU101-7+1),I408*I105/(1-(1+I408)^(-MAX(1,'Loan Tape'!$AU101-7+1)))-I408*I105),0)))</f>
        <v>0</v>
      </c>
      <c r="J1014" s="71" t="n">
        <f aca="false">IF(OR('Loan Tape'!$AN101=0,'Loan Tape'!$Z101="Interest Only",'Loan Tape'!$Z101=""),0,MIN(MAX(0,J105-J711),IFERROR(MAX(0,MIN(8,'Loan Tape'!$AV101)-MAX(7,'Loan Tape'!$AT101))*IF(J408&lt;=0,J105/MAX(1,'Loan Tape'!$AU101-8+1),J408*J105/(1-(1+J408)^(-MAX(1,'Loan Tape'!$AU101-8+1)))-J408*J105),0)))</f>
        <v>0</v>
      </c>
      <c r="K1014" s="71" t="n">
        <f aca="false">IF(OR('Loan Tape'!$AN101=0,'Loan Tape'!$Z101="Interest Only",'Loan Tape'!$Z101=""),0,MIN(MAX(0,K105-K711),IFERROR(MAX(0,MIN(9,'Loan Tape'!$AV101)-MAX(8,'Loan Tape'!$AT101))*IF(K408&lt;=0,K105/MAX(1,'Loan Tape'!$AU101-9+1),K408*K105/(1-(1+K408)^(-MAX(1,'Loan Tape'!$AU101-9+1)))-K408*K105),0)))</f>
        <v>0</v>
      </c>
      <c r="L1014" s="71" t="n">
        <f aca="false">IF(OR('Loan Tape'!$AN101=0,'Loan Tape'!$Z101="Interest Only",'Loan Tape'!$Z101=""),0,MIN(MAX(0,L105-L711),IFERROR(MAX(0,MIN(10,'Loan Tape'!$AV101)-MAX(9,'Loan Tape'!$AT101))*IF(L408&lt;=0,L105/MAX(1,'Loan Tape'!$AU101-10+1),L408*L105/(1-(1+L408)^(-MAX(1,'Loan Tape'!$AU101-10+1)))-L408*L105),0)))</f>
        <v>0</v>
      </c>
    </row>
    <row r="1015" customFormat="false" ht="15" hidden="false" customHeight="false" outlineLevel="0" collapsed="false">
      <c r="B1015" s="102" t="n">
        <f aca="false">'Loan Tape'!$A102</f>
        <v>0</v>
      </c>
      <c r="C1015" s="99" t="n">
        <f aca="false">IF(OR('Loan Tape'!$AN102=0,'Loan Tape'!$Z102="Interest Only",'Loan Tape'!$Z102=""),0,MIN(MAX(0,C106-C712),IFERROR(MAX(0,MIN(1,'Loan Tape'!$AV102)-MAX(0,'Loan Tape'!$AT102))*IF(C409&lt;=0,C106/MAX(1,'Loan Tape'!$AU102-1+1),C409*C106/(1-(1+C409)^(-MAX(1,'Loan Tape'!$AU102-1+1)))-C409*C106),0)))</f>
        <v>0</v>
      </c>
      <c r="D1015" s="99" t="n">
        <f aca="false">IF(OR('Loan Tape'!$AN102=0,'Loan Tape'!$Z102="Interest Only",'Loan Tape'!$Z102=""),0,MIN(MAX(0,D106-D712),IFERROR(MAX(0,MIN(2,'Loan Tape'!$AV102)-MAX(1,'Loan Tape'!$AT102))*IF(D409&lt;=0,D106/MAX(1,'Loan Tape'!$AU102-2+1),D409*D106/(1-(1+D409)^(-MAX(1,'Loan Tape'!$AU102-2+1)))-D409*D106),0)))</f>
        <v>0</v>
      </c>
      <c r="E1015" s="99" t="n">
        <f aca="false">IF(OR('Loan Tape'!$AN102=0,'Loan Tape'!$Z102="Interest Only",'Loan Tape'!$Z102=""),0,MIN(MAX(0,E106-E712),IFERROR(MAX(0,MIN(3,'Loan Tape'!$AV102)-MAX(2,'Loan Tape'!$AT102))*IF(E409&lt;=0,E106/MAX(1,'Loan Tape'!$AU102-3+1),E409*E106/(1-(1+E409)^(-MAX(1,'Loan Tape'!$AU102-3+1)))-E409*E106),0)))</f>
        <v>0</v>
      </c>
      <c r="F1015" s="99" t="n">
        <f aca="false">IF(OR('Loan Tape'!$AN102=0,'Loan Tape'!$Z102="Interest Only",'Loan Tape'!$Z102=""),0,MIN(MAX(0,F106-F712),IFERROR(MAX(0,MIN(4,'Loan Tape'!$AV102)-MAX(3,'Loan Tape'!$AT102))*IF(F409&lt;=0,F106/MAX(1,'Loan Tape'!$AU102-4+1),F409*F106/(1-(1+F409)^(-MAX(1,'Loan Tape'!$AU102-4+1)))-F409*F106),0)))</f>
        <v>0</v>
      </c>
      <c r="G1015" s="99" t="n">
        <f aca="false">IF(OR('Loan Tape'!$AN102=0,'Loan Tape'!$Z102="Interest Only",'Loan Tape'!$Z102=""),0,MIN(MAX(0,G106-G712),IFERROR(MAX(0,MIN(5,'Loan Tape'!$AV102)-MAX(4,'Loan Tape'!$AT102))*IF(G409&lt;=0,G106/MAX(1,'Loan Tape'!$AU102-5+1),G409*G106/(1-(1+G409)^(-MAX(1,'Loan Tape'!$AU102-5+1)))-G409*G106),0)))</f>
        <v>0</v>
      </c>
      <c r="H1015" s="99" t="n">
        <f aca="false">IF(OR('Loan Tape'!$AN102=0,'Loan Tape'!$Z102="Interest Only",'Loan Tape'!$Z102=""),0,MIN(MAX(0,H106-H712),IFERROR(MAX(0,MIN(6,'Loan Tape'!$AV102)-MAX(5,'Loan Tape'!$AT102))*IF(H409&lt;=0,H106/MAX(1,'Loan Tape'!$AU102-6+1),H409*H106/(1-(1+H409)^(-MAX(1,'Loan Tape'!$AU102-6+1)))-H409*H106),0)))</f>
        <v>0</v>
      </c>
      <c r="I1015" s="99" t="n">
        <f aca="false">IF(OR('Loan Tape'!$AN102=0,'Loan Tape'!$Z102="Interest Only",'Loan Tape'!$Z102=""),0,MIN(MAX(0,I106-I712),IFERROR(MAX(0,MIN(7,'Loan Tape'!$AV102)-MAX(6,'Loan Tape'!$AT102))*IF(I409&lt;=0,I106/MAX(1,'Loan Tape'!$AU102-7+1),I409*I106/(1-(1+I409)^(-MAX(1,'Loan Tape'!$AU102-7+1)))-I409*I106),0)))</f>
        <v>0</v>
      </c>
      <c r="J1015" s="99" t="n">
        <f aca="false">IF(OR('Loan Tape'!$AN102=0,'Loan Tape'!$Z102="Interest Only",'Loan Tape'!$Z102=""),0,MIN(MAX(0,J106-J712),IFERROR(MAX(0,MIN(8,'Loan Tape'!$AV102)-MAX(7,'Loan Tape'!$AT102))*IF(J409&lt;=0,J106/MAX(1,'Loan Tape'!$AU102-8+1),J409*J106/(1-(1+J409)^(-MAX(1,'Loan Tape'!$AU102-8+1)))-J409*J106),0)))</f>
        <v>0</v>
      </c>
      <c r="K1015" s="99" t="n">
        <f aca="false">IF(OR('Loan Tape'!$AN102=0,'Loan Tape'!$Z102="Interest Only",'Loan Tape'!$Z102=""),0,MIN(MAX(0,K106-K712),IFERROR(MAX(0,MIN(9,'Loan Tape'!$AV102)-MAX(8,'Loan Tape'!$AT102))*IF(K409&lt;=0,K106/MAX(1,'Loan Tape'!$AU102-9+1),K409*K106/(1-(1+K409)^(-MAX(1,'Loan Tape'!$AU102-9+1)))-K409*K106),0)))</f>
        <v>0</v>
      </c>
      <c r="L1015" s="99" t="n">
        <f aca="false">IF(OR('Loan Tape'!$AN102=0,'Loan Tape'!$Z102="Interest Only",'Loan Tape'!$Z102=""),0,MIN(MAX(0,L106-L712),IFERROR(MAX(0,MIN(10,'Loan Tape'!$AV102)-MAX(9,'Loan Tape'!$AT102))*IF(L409&lt;=0,L106/MAX(1,'Loan Tape'!$AU102-10+1),L409*L106/(1-(1+L409)^(-MAX(1,'Loan Tape'!$AU102-10+1)))-L409*L106),0)))</f>
        <v>0</v>
      </c>
    </row>
    <row r="1016" customFormat="false" ht="15" hidden="false" customHeight="false" outlineLevel="0" collapsed="false">
      <c r="B1016" s="108" t="n">
        <f aca="false">'Loan Tape'!$A103</f>
        <v>0</v>
      </c>
      <c r="C1016" s="71" t="n">
        <f aca="false">IF(OR('Loan Tape'!$AN103=0,'Loan Tape'!$Z103="Interest Only",'Loan Tape'!$Z103=""),0,MIN(MAX(0,C107-C713),IFERROR(MAX(0,MIN(1,'Loan Tape'!$AV103)-MAX(0,'Loan Tape'!$AT103))*IF(C410&lt;=0,C107/MAX(1,'Loan Tape'!$AU103-1+1),C410*C107/(1-(1+C410)^(-MAX(1,'Loan Tape'!$AU103-1+1)))-C410*C107),0)))</f>
        <v>0</v>
      </c>
      <c r="D1016" s="71" t="n">
        <f aca="false">IF(OR('Loan Tape'!$AN103=0,'Loan Tape'!$Z103="Interest Only",'Loan Tape'!$Z103=""),0,MIN(MAX(0,D107-D713),IFERROR(MAX(0,MIN(2,'Loan Tape'!$AV103)-MAX(1,'Loan Tape'!$AT103))*IF(D410&lt;=0,D107/MAX(1,'Loan Tape'!$AU103-2+1),D410*D107/(1-(1+D410)^(-MAX(1,'Loan Tape'!$AU103-2+1)))-D410*D107),0)))</f>
        <v>0</v>
      </c>
      <c r="E1016" s="71" t="n">
        <f aca="false">IF(OR('Loan Tape'!$AN103=0,'Loan Tape'!$Z103="Interest Only",'Loan Tape'!$Z103=""),0,MIN(MAX(0,E107-E713),IFERROR(MAX(0,MIN(3,'Loan Tape'!$AV103)-MAX(2,'Loan Tape'!$AT103))*IF(E410&lt;=0,E107/MAX(1,'Loan Tape'!$AU103-3+1),E410*E107/(1-(1+E410)^(-MAX(1,'Loan Tape'!$AU103-3+1)))-E410*E107),0)))</f>
        <v>0</v>
      </c>
      <c r="F1016" s="71" t="n">
        <f aca="false">IF(OR('Loan Tape'!$AN103=0,'Loan Tape'!$Z103="Interest Only",'Loan Tape'!$Z103=""),0,MIN(MAX(0,F107-F713),IFERROR(MAX(0,MIN(4,'Loan Tape'!$AV103)-MAX(3,'Loan Tape'!$AT103))*IF(F410&lt;=0,F107/MAX(1,'Loan Tape'!$AU103-4+1),F410*F107/(1-(1+F410)^(-MAX(1,'Loan Tape'!$AU103-4+1)))-F410*F107),0)))</f>
        <v>0</v>
      </c>
      <c r="G1016" s="71" t="n">
        <f aca="false">IF(OR('Loan Tape'!$AN103=0,'Loan Tape'!$Z103="Interest Only",'Loan Tape'!$Z103=""),0,MIN(MAX(0,G107-G713),IFERROR(MAX(0,MIN(5,'Loan Tape'!$AV103)-MAX(4,'Loan Tape'!$AT103))*IF(G410&lt;=0,G107/MAX(1,'Loan Tape'!$AU103-5+1),G410*G107/(1-(1+G410)^(-MAX(1,'Loan Tape'!$AU103-5+1)))-G410*G107),0)))</f>
        <v>0</v>
      </c>
      <c r="H1016" s="71" t="n">
        <f aca="false">IF(OR('Loan Tape'!$AN103=0,'Loan Tape'!$Z103="Interest Only",'Loan Tape'!$Z103=""),0,MIN(MAX(0,H107-H713),IFERROR(MAX(0,MIN(6,'Loan Tape'!$AV103)-MAX(5,'Loan Tape'!$AT103))*IF(H410&lt;=0,H107/MAX(1,'Loan Tape'!$AU103-6+1),H410*H107/(1-(1+H410)^(-MAX(1,'Loan Tape'!$AU103-6+1)))-H410*H107),0)))</f>
        <v>0</v>
      </c>
      <c r="I1016" s="71" t="n">
        <f aca="false">IF(OR('Loan Tape'!$AN103=0,'Loan Tape'!$Z103="Interest Only",'Loan Tape'!$Z103=""),0,MIN(MAX(0,I107-I713),IFERROR(MAX(0,MIN(7,'Loan Tape'!$AV103)-MAX(6,'Loan Tape'!$AT103))*IF(I410&lt;=0,I107/MAX(1,'Loan Tape'!$AU103-7+1),I410*I107/(1-(1+I410)^(-MAX(1,'Loan Tape'!$AU103-7+1)))-I410*I107),0)))</f>
        <v>0</v>
      </c>
      <c r="J1016" s="71" t="n">
        <f aca="false">IF(OR('Loan Tape'!$AN103=0,'Loan Tape'!$Z103="Interest Only",'Loan Tape'!$Z103=""),0,MIN(MAX(0,J107-J713),IFERROR(MAX(0,MIN(8,'Loan Tape'!$AV103)-MAX(7,'Loan Tape'!$AT103))*IF(J410&lt;=0,J107/MAX(1,'Loan Tape'!$AU103-8+1),J410*J107/(1-(1+J410)^(-MAX(1,'Loan Tape'!$AU103-8+1)))-J410*J107),0)))</f>
        <v>0</v>
      </c>
      <c r="K1016" s="71" t="n">
        <f aca="false">IF(OR('Loan Tape'!$AN103=0,'Loan Tape'!$Z103="Interest Only",'Loan Tape'!$Z103=""),0,MIN(MAX(0,K107-K713),IFERROR(MAX(0,MIN(9,'Loan Tape'!$AV103)-MAX(8,'Loan Tape'!$AT103))*IF(K410&lt;=0,K107/MAX(1,'Loan Tape'!$AU103-9+1),K410*K107/(1-(1+K410)^(-MAX(1,'Loan Tape'!$AU103-9+1)))-K410*K107),0)))</f>
        <v>0</v>
      </c>
      <c r="L1016" s="71" t="n">
        <f aca="false">IF(OR('Loan Tape'!$AN103=0,'Loan Tape'!$Z103="Interest Only",'Loan Tape'!$Z103=""),0,MIN(MAX(0,L107-L713),IFERROR(MAX(0,MIN(10,'Loan Tape'!$AV103)-MAX(9,'Loan Tape'!$AT103))*IF(L410&lt;=0,L107/MAX(1,'Loan Tape'!$AU103-10+1),L410*L107/(1-(1+L410)^(-MAX(1,'Loan Tape'!$AU103-10+1)))-L410*L107),0)))</f>
        <v>0</v>
      </c>
    </row>
    <row r="1017" customFormat="false" ht="15" hidden="false" customHeight="false" outlineLevel="0" collapsed="false">
      <c r="B1017" s="102" t="n">
        <f aca="false">'Loan Tape'!$A104</f>
        <v>0</v>
      </c>
      <c r="C1017" s="99" t="n">
        <f aca="false">IF(OR('Loan Tape'!$AN104=0,'Loan Tape'!$Z104="Interest Only",'Loan Tape'!$Z104=""),0,MIN(MAX(0,C108-C714),IFERROR(MAX(0,MIN(1,'Loan Tape'!$AV104)-MAX(0,'Loan Tape'!$AT104))*IF(C411&lt;=0,C108/MAX(1,'Loan Tape'!$AU104-1+1),C411*C108/(1-(1+C411)^(-MAX(1,'Loan Tape'!$AU104-1+1)))-C411*C108),0)))</f>
        <v>0</v>
      </c>
      <c r="D1017" s="99" t="n">
        <f aca="false">IF(OR('Loan Tape'!$AN104=0,'Loan Tape'!$Z104="Interest Only",'Loan Tape'!$Z104=""),0,MIN(MAX(0,D108-D714),IFERROR(MAX(0,MIN(2,'Loan Tape'!$AV104)-MAX(1,'Loan Tape'!$AT104))*IF(D411&lt;=0,D108/MAX(1,'Loan Tape'!$AU104-2+1),D411*D108/(1-(1+D411)^(-MAX(1,'Loan Tape'!$AU104-2+1)))-D411*D108),0)))</f>
        <v>0</v>
      </c>
      <c r="E1017" s="99" t="n">
        <f aca="false">IF(OR('Loan Tape'!$AN104=0,'Loan Tape'!$Z104="Interest Only",'Loan Tape'!$Z104=""),0,MIN(MAX(0,E108-E714),IFERROR(MAX(0,MIN(3,'Loan Tape'!$AV104)-MAX(2,'Loan Tape'!$AT104))*IF(E411&lt;=0,E108/MAX(1,'Loan Tape'!$AU104-3+1),E411*E108/(1-(1+E411)^(-MAX(1,'Loan Tape'!$AU104-3+1)))-E411*E108),0)))</f>
        <v>0</v>
      </c>
      <c r="F1017" s="99" t="n">
        <f aca="false">IF(OR('Loan Tape'!$AN104=0,'Loan Tape'!$Z104="Interest Only",'Loan Tape'!$Z104=""),0,MIN(MAX(0,F108-F714),IFERROR(MAX(0,MIN(4,'Loan Tape'!$AV104)-MAX(3,'Loan Tape'!$AT104))*IF(F411&lt;=0,F108/MAX(1,'Loan Tape'!$AU104-4+1),F411*F108/(1-(1+F411)^(-MAX(1,'Loan Tape'!$AU104-4+1)))-F411*F108),0)))</f>
        <v>0</v>
      </c>
      <c r="G1017" s="99" t="n">
        <f aca="false">IF(OR('Loan Tape'!$AN104=0,'Loan Tape'!$Z104="Interest Only",'Loan Tape'!$Z104=""),0,MIN(MAX(0,G108-G714),IFERROR(MAX(0,MIN(5,'Loan Tape'!$AV104)-MAX(4,'Loan Tape'!$AT104))*IF(G411&lt;=0,G108/MAX(1,'Loan Tape'!$AU104-5+1),G411*G108/(1-(1+G411)^(-MAX(1,'Loan Tape'!$AU104-5+1)))-G411*G108),0)))</f>
        <v>0</v>
      </c>
      <c r="H1017" s="99" t="n">
        <f aca="false">IF(OR('Loan Tape'!$AN104=0,'Loan Tape'!$Z104="Interest Only",'Loan Tape'!$Z104=""),0,MIN(MAX(0,H108-H714),IFERROR(MAX(0,MIN(6,'Loan Tape'!$AV104)-MAX(5,'Loan Tape'!$AT104))*IF(H411&lt;=0,H108/MAX(1,'Loan Tape'!$AU104-6+1),H411*H108/(1-(1+H411)^(-MAX(1,'Loan Tape'!$AU104-6+1)))-H411*H108),0)))</f>
        <v>0</v>
      </c>
      <c r="I1017" s="99" t="n">
        <f aca="false">IF(OR('Loan Tape'!$AN104=0,'Loan Tape'!$Z104="Interest Only",'Loan Tape'!$Z104=""),0,MIN(MAX(0,I108-I714),IFERROR(MAX(0,MIN(7,'Loan Tape'!$AV104)-MAX(6,'Loan Tape'!$AT104))*IF(I411&lt;=0,I108/MAX(1,'Loan Tape'!$AU104-7+1),I411*I108/(1-(1+I411)^(-MAX(1,'Loan Tape'!$AU104-7+1)))-I411*I108),0)))</f>
        <v>0</v>
      </c>
      <c r="J1017" s="99" t="n">
        <f aca="false">IF(OR('Loan Tape'!$AN104=0,'Loan Tape'!$Z104="Interest Only",'Loan Tape'!$Z104=""),0,MIN(MAX(0,J108-J714),IFERROR(MAX(0,MIN(8,'Loan Tape'!$AV104)-MAX(7,'Loan Tape'!$AT104))*IF(J411&lt;=0,J108/MAX(1,'Loan Tape'!$AU104-8+1),J411*J108/(1-(1+J411)^(-MAX(1,'Loan Tape'!$AU104-8+1)))-J411*J108),0)))</f>
        <v>0</v>
      </c>
      <c r="K1017" s="99" t="n">
        <f aca="false">IF(OR('Loan Tape'!$AN104=0,'Loan Tape'!$Z104="Interest Only",'Loan Tape'!$Z104=""),0,MIN(MAX(0,K108-K714),IFERROR(MAX(0,MIN(9,'Loan Tape'!$AV104)-MAX(8,'Loan Tape'!$AT104))*IF(K411&lt;=0,K108/MAX(1,'Loan Tape'!$AU104-9+1),K411*K108/(1-(1+K411)^(-MAX(1,'Loan Tape'!$AU104-9+1)))-K411*K108),0)))</f>
        <v>0</v>
      </c>
      <c r="L1017" s="99" t="n">
        <f aca="false">IF(OR('Loan Tape'!$AN104=0,'Loan Tape'!$Z104="Interest Only",'Loan Tape'!$Z104=""),0,MIN(MAX(0,L108-L714),IFERROR(MAX(0,MIN(10,'Loan Tape'!$AV104)-MAX(9,'Loan Tape'!$AT104))*IF(L411&lt;=0,L108/MAX(1,'Loan Tape'!$AU104-10+1),L411*L108/(1-(1+L411)^(-MAX(1,'Loan Tape'!$AU104-10+1)))-L411*L108),0)))</f>
        <v>0</v>
      </c>
    </row>
    <row r="1018" customFormat="false" ht="15" hidden="false" customHeight="false" outlineLevel="0" collapsed="false">
      <c r="B1018" s="108" t="n">
        <f aca="false">'Loan Tape'!$A105</f>
        <v>0</v>
      </c>
      <c r="C1018" s="71" t="n">
        <f aca="false">IF(OR('Loan Tape'!$AN105=0,'Loan Tape'!$Z105="Interest Only",'Loan Tape'!$Z105=""),0,MIN(MAX(0,C109-C715),IFERROR(MAX(0,MIN(1,'Loan Tape'!$AV105)-MAX(0,'Loan Tape'!$AT105))*IF(C412&lt;=0,C109/MAX(1,'Loan Tape'!$AU105-1+1),C412*C109/(1-(1+C412)^(-MAX(1,'Loan Tape'!$AU105-1+1)))-C412*C109),0)))</f>
        <v>0</v>
      </c>
      <c r="D1018" s="71" t="n">
        <f aca="false">IF(OR('Loan Tape'!$AN105=0,'Loan Tape'!$Z105="Interest Only",'Loan Tape'!$Z105=""),0,MIN(MAX(0,D109-D715),IFERROR(MAX(0,MIN(2,'Loan Tape'!$AV105)-MAX(1,'Loan Tape'!$AT105))*IF(D412&lt;=0,D109/MAX(1,'Loan Tape'!$AU105-2+1),D412*D109/(1-(1+D412)^(-MAX(1,'Loan Tape'!$AU105-2+1)))-D412*D109),0)))</f>
        <v>0</v>
      </c>
      <c r="E1018" s="71" t="n">
        <f aca="false">IF(OR('Loan Tape'!$AN105=0,'Loan Tape'!$Z105="Interest Only",'Loan Tape'!$Z105=""),0,MIN(MAX(0,E109-E715),IFERROR(MAX(0,MIN(3,'Loan Tape'!$AV105)-MAX(2,'Loan Tape'!$AT105))*IF(E412&lt;=0,E109/MAX(1,'Loan Tape'!$AU105-3+1),E412*E109/(1-(1+E412)^(-MAX(1,'Loan Tape'!$AU105-3+1)))-E412*E109),0)))</f>
        <v>0</v>
      </c>
      <c r="F1018" s="71" t="n">
        <f aca="false">IF(OR('Loan Tape'!$AN105=0,'Loan Tape'!$Z105="Interest Only",'Loan Tape'!$Z105=""),0,MIN(MAX(0,F109-F715),IFERROR(MAX(0,MIN(4,'Loan Tape'!$AV105)-MAX(3,'Loan Tape'!$AT105))*IF(F412&lt;=0,F109/MAX(1,'Loan Tape'!$AU105-4+1),F412*F109/(1-(1+F412)^(-MAX(1,'Loan Tape'!$AU105-4+1)))-F412*F109),0)))</f>
        <v>0</v>
      </c>
      <c r="G1018" s="71" t="n">
        <f aca="false">IF(OR('Loan Tape'!$AN105=0,'Loan Tape'!$Z105="Interest Only",'Loan Tape'!$Z105=""),0,MIN(MAX(0,G109-G715),IFERROR(MAX(0,MIN(5,'Loan Tape'!$AV105)-MAX(4,'Loan Tape'!$AT105))*IF(G412&lt;=0,G109/MAX(1,'Loan Tape'!$AU105-5+1),G412*G109/(1-(1+G412)^(-MAX(1,'Loan Tape'!$AU105-5+1)))-G412*G109),0)))</f>
        <v>0</v>
      </c>
      <c r="H1018" s="71" t="n">
        <f aca="false">IF(OR('Loan Tape'!$AN105=0,'Loan Tape'!$Z105="Interest Only",'Loan Tape'!$Z105=""),0,MIN(MAX(0,H109-H715),IFERROR(MAX(0,MIN(6,'Loan Tape'!$AV105)-MAX(5,'Loan Tape'!$AT105))*IF(H412&lt;=0,H109/MAX(1,'Loan Tape'!$AU105-6+1),H412*H109/(1-(1+H412)^(-MAX(1,'Loan Tape'!$AU105-6+1)))-H412*H109),0)))</f>
        <v>0</v>
      </c>
      <c r="I1018" s="71" t="n">
        <f aca="false">IF(OR('Loan Tape'!$AN105=0,'Loan Tape'!$Z105="Interest Only",'Loan Tape'!$Z105=""),0,MIN(MAX(0,I109-I715),IFERROR(MAX(0,MIN(7,'Loan Tape'!$AV105)-MAX(6,'Loan Tape'!$AT105))*IF(I412&lt;=0,I109/MAX(1,'Loan Tape'!$AU105-7+1),I412*I109/(1-(1+I412)^(-MAX(1,'Loan Tape'!$AU105-7+1)))-I412*I109),0)))</f>
        <v>0</v>
      </c>
      <c r="J1018" s="71" t="n">
        <f aca="false">IF(OR('Loan Tape'!$AN105=0,'Loan Tape'!$Z105="Interest Only",'Loan Tape'!$Z105=""),0,MIN(MAX(0,J109-J715),IFERROR(MAX(0,MIN(8,'Loan Tape'!$AV105)-MAX(7,'Loan Tape'!$AT105))*IF(J412&lt;=0,J109/MAX(1,'Loan Tape'!$AU105-8+1),J412*J109/(1-(1+J412)^(-MAX(1,'Loan Tape'!$AU105-8+1)))-J412*J109),0)))</f>
        <v>0</v>
      </c>
      <c r="K1018" s="71" t="n">
        <f aca="false">IF(OR('Loan Tape'!$AN105=0,'Loan Tape'!$Z105="Interest Only",'Loan Tape'!$Z105=""),0,MIN(MAX(0,K109-K715),IFERROR(MAX(0,MIN(9,'Loan Tape'!$AV105)-MAX(8,'Loan Tape'!$AT105))*IF(K412&lt;=0,K109/MAX(1,'Loan Tape'!$AU105-9+1),K412*K109/(1-(1+K412)^(-MAX(1,'Loan Tape'!$AU105-9+1)))-K412*K109),0)))</f>
        <v>0</v>
      </c>
      <c r="L1018" s="71" t="n">
        <f aca="false">IF(OR('Loan Tape'!$AN105=0,'Loan Tape'!$Z105="Interest Only",'Loan Tape'!$Z105=""),0,MIN(MAX(0,L109-L715),IFERROR(MAX(0,MIN(10,'Loan Tape'!$AV105)-MAX(9,'Loan Tape'!$AT105))*IF(L412&lt;=0,L109/MAX(1,'Loan Tape'!$AU105-10+1),L412*L109/(1-(1+L412)^(-MAX(1,'Loan Tape'!$AU105-10+1)))-L412*L109),0)))</f>
        <v>0</v>
      </c>
    </row>
    <row r="1019" customFormat="false" ht="15" hidden="false" customHeight="false" outlineLevel="0" collapsed="false">
      <c r="B1019" s="102" t="n">
        <f aca="false">'Loan Tape'!$A106</f>
        <v>0</v>
      </c>
      <c r="C1019" s="99" t="n">
        <f aca="false">IF(OR('Loan Tape'!$AN106=0,'Loan Tape'!$Z106="Interest Only",'Loan Tape'!$Z106=""),0,MIN(MAX(0,C110-C716),IFERROR(MAX(0,MIN(1,'Loan Tape'!$AV106)-MAX(0,'Loan Tape'!$AT106))*IF(C413&lt;=0,C110/MAX(1,'Loan Tape'!$AU106-1+1),C413*C110/(1-(1+C413)^(-MAX(1,'Loan Tape'!$AU106-1+1)))-C413*C110),0)))</f>
        <v>0</v>
      </c>
      <c r="D1019" s="99" t="n">
        <f aca="false">IF(OR('Loan Tape'!$AN106=0,'Loan Tape'!$Z106="Interest Only",'Loan Tape'!$Z106=""),0,MIN(MAX(0,D110-D716),IFERROR(MAX(0,MIN(2,'Loan Tape'!$AV106)-MAX(1,'Loan Tape'!$AT106))*IF(D413&lt;=0,D110/MAX(1,'Loan Tape'!$AU106-2+1),D413*D110/(1-(1+D413)^(-MAX(1,'Loan Tape'!$AU106-2+1)))-D413*D110),0)))</f>
        <v>0</v>
      </c>
      <c r="E1019" s="99" t="n">
        <f aca="false">IF(OR('Loan Tape'!$AN106=0,'Loan Tape'!$Z106="Interest Only",'Loan Tape'!$Z106=""),0,MIN(MAX(0,E110-E716),IFERROR(MAX(0,MIN(3,'Loan Tape'!$AV106)-MAX(2,'Loan Tape'!$AT106))*IF(E413&lt;=0,E110/MAX(1,'Loan Tape'!$AU106-3+1),E413*E110/(1-(1+E413)^(-MAX(1,'Loan Tape'!$AU106-3+1)))-E413*E110),0)))</f>
        <v>0</v>
      </c>
      <c r="F1019" s="99" t="n">
        <f aca="false">IF(OR('Loan Tape'!$AN106=0,'Loan Tape'!$Z106="Interest Only",'Loan Tape'!$Z106=""),0,MIN(MAX(0,F110-F716),IFERROR(MAX(0,MIN(4,'Loan Tape'!$AV106)-MAX(3,'Loan Tape'!$AT106))*IF(F413&lt;=0,F110/MAX(1,'Loan Tape'!$AU106-4+1),F413*F110/(1-(1+F413)^(-MAX(1,'Loan Tape'!$AU106-4+1)))-F413*F110),0)))</f>
        <v>0</v>
      </c>
      <c r="G1019" s="99" t="n">
        <f aca="false">IF(OR('Loan Tape'!$AN106=0,'Loan Tape'!$Z106="Interest Only",'Loan Tape'!$Z106=""),0,MIN(MAX(0,G110-G716),IFERROR(MAX(0,MIN(5,'Loan Tape'!$AV106)-MAX(4,'Loan Tape'!$AT106))*IF(G413&lt;=0,G110/MAX(1,'Loan Tape'!$AU106-5+1),G413*G110/(1-(1+G413)^(-MAX(1,'Loan Tape'!$AU106-5+1)))-G413*G110),0)))</f>
        <v>0</v>
      </c>
      <c r="H1019" s="99" t="n">
        <f aca="false">IF(OR('Loan Tape'!$AN106=0,'Loan Tape'!$Z106="Interest Only",'Loan Tape'!$Z106=""),0,MIN(MAX(0,H110-H716),IFERROR(MAX(0,MIN(6,'Loan Tape'!$AV106)-MAX(5,'Loan Tape'!$AT106))*IF(H413&lt;=0,H110/MAX(1,'Loan Tape'!$AU106-6+1),H413*H110/(1-(1+H413)^(-MAX(1,'Loan Tape'!$AU106-6+1)))-H413*H110),0)))</f>
        <v>0</v>
      </c>
      <c r="I1019" s="99" t="n">
        <f aca="false">IF(OR('Loan Tape'!$AN106=0,'Loan Tape'!$Z106="Interest Only",'Loan Tape'!$Z106=""),0,MIN(MAX(0,I110-I716),IFERROR(MAX(0,MIN(7,'Loan Tape'!$AV106)-MAX(6,'Loan Tape'!$AT106))*IF(I413&lt;=0,I110/MAX(1,'Loan Tape'!$AU106-7+1),I413*I110/(1-(1+I413)^(-MAX(1,'Loan Tape'!$AU106-7+1)))-I413*I110),0)))</f>
        <v>0</v>
      </c>
      <c r="J1019" s="99" t="n">
        <f aca="false">IF(OR('Loan Tape'!$AN106=0,'Loan Tape'!$Z106="Interest Only",'Loan Tape'!$Z106=""),0,MIN(MAX(0,J110-J716),IFERROR(MAX(0,MIN(8,'Loan Tape'!$AV106)-MAX(7,'Loan Tape'!$AT106))*IF(J413&lt;=0,J110/MAX(1,'Loan Tape'!$AU106-8+1),J413*J110/(1-(1+J413)^(-MAX(1,'Loan Tape'!$AU106-8+1)))-J413*J110),0)))</f>
        <v>0</v>
      </c>
      <c r="K1019" s="99" t="n">
        <f aca="false">IF(OR('Loan Tape'!$AN106=0,'Loan Tape'!$Z106="Interest Only",'Loan Tape'!$Z106=""),0,MIN(MAX(0,K110-K716),IFERROR(MAX(0,MIN(9,'Loan Tape'!$AV106)-MAX(8,'Loan Tape'!$AT106))*IF(K413&lt;=0,K110/MAX(1,'Loan Tape'!$AU106-9+1),K413*K110/(1-(1+K413)^(-MAX(1,'Loan Tape'!$AU106-9+1)))-K413*K110),0)))</f>
        <v>0</v>
      </c>
      <c r="L1019" s="99" t="n">
        <f aca="false">IF(OR('Loan Tape'!$AN106=0,'Loan Tape'!$Z106="Interest Only",'Loan Tape'!$Z106=""),0,MIN(MAX(0,L110-L716),IFERROR(MAX(0,MIN(10,'Loan Tape'!$AV106)-MAX(9,'Loan Tape'!$AT106))*IF(L413&lt;=0,L110/MAX(1,'Loan Tape'!$AU106-10+1),L413*L110/(1-(1+L413)^(-MAX(1,'Loan Tape'!$AU106-10+1)))-L413*L110),0)))</f>
        <v>0</v>
      </c>
    </row>
    <row r="1020" customFormat="false" ht="15" hidden="false" customHeight="false" outlineLevel="0" collapsed="false">
      <c r="B1020" s="108" t="n">
        <f aca="false">'Loan Tape'!$A107</f>
        <v>0</v>
      </c>
      <c r="C1020" s="71" t="n">
        <f aca="false">IF(OR('Loan Tape'!$AN107=0,'Loan Tape'!$Z107="Interest Only",'Loan Tape'!$Z107=""),0,MIN(MAX(0,C111-C717),IFERROR(MAX(0,MIN(1,'Loan Tape'!$AV107)-MAX(0,'Loan Tape'!$AT107))*IF(C414&lt;=0,C111/MAX(1,'Loan Tape'!$AU107-1+1),C414*C111/(1-(1+C414)^(-MAX(1,'Loan Tape'!$AU107-1+1)))-C414*C111),0)))</f>
        <v>0</v>
      </c>
      <c r="D1020" s="71" t="n">
        <f aca="false">IF(OR('Loan Tape'!$AN107=0,'Loan Tape'!$Z107="Interest Only",'Loan Tape'!$Z107=""),0,MIN(MAX(0,D111-D717),IFERROR(MAX(0,MIN(2,'Loan Tape'!$AV107)-MAX(1,'Loan Tape'!$AT107))*IF(D414&lt;=0,D111/MAX(1,'Loan Tape'!$AU107-2+1),D414*D111/(1-(1+D414)^(-MAX(1,'Loan Tape'!$AU107-2+1)))-D414*D111),0)))</f>
        <v>0</v>
      </c>
      <c r="E1020" s="71" t="n">
        <f aca="false">IF(OR('Loan Tape'!$AN107=0,'Loan Tape'!$Z107="Interest Only",'Loan Tape'!$Z107=""),0,MIN(MAX(0,E111-E717),IFERROR(MAX(0,MIN(3,'Loan Tape'!$AV107)-MAX(2,'Loan Tape'!$AT107))*IF(E414&lt;=0,E111/MAX(1,'Loan Tape'!$AU107-3+1),E414*E111/(1-(1+E414)^(-MAX(1,'Loan Tape'!$AU107-3+1)))-E414*E111),0)))</f>
        <v>0</v>
      </c>
      <c r="F1020" s="71" t="n">
        <f aca="false">IF(OR('Loan Tape'!$AN107=0,'Loan Tape'!$Z107="Interest Only",'Loan Tape'!$Z107=""),0,MIN(MAX(0,F111-F717),IFERROR(MAX(0,MIN(4,'Loan Tape'!$AV107)-MAX(3,'Loan Tape'!$AT107))*IF(F414&lt;=0,F111/MAX(1,'Loan Tape'!$AU107-4+1),F414*F111/(1-(1+F414)^(-MAX(1,'Loan Tape'!$AU107-4+1)))-F414*F111),0)))</f>
        <v>0</v>
      </c>
      <c r="G1020" s="71" t="n">
        <f aca="false">IF(OR('Loan Tape'!$AN107=0,'Loan Tape'!$Z107="Interest Only",'Loan Tape'!$Z107=""),0,MIN(MAX(0,G111-G717),IFERROR(MAX(0,MIN(5,'Loan Tape'!$AV107)-MAX(4,'Loan Tape'!$AT107))*IF(G414&lt;=0,G111/MAX(1,'Loan Tape'!$AU107-5+1),G414*G111/(1-(1+G414)^(-MAX(1,'Loan Tape'!$AU107-5+1)))-G414*G111),0)))</f>
        <v>0</v>
      </c>
      <c r="H1020" s="71" t="n">
        <f aca="false">IF(OR('Loan Tape'!$AN107=0,'Loan Tape'!$Z107="Interest Only",'Loan Tape'!$Z107=""),0,MIN(MAX(0,H111-H717),IFERROR(MAX(0,MIN(6,'Loan Tape'!$AV107)-MAX(5,'Loan Tape'!$AT107))*IF(H414&lt;=0,H111/MAX(1,'Loan Tape'!$AU107-6+1),H414*H111/(1-(1+H414)^(-MAX(1,'Loan Tape'!$AU107-6+1)))-H414*H111),0)))</f>
        <v>0</v>
      </c>
      <c r="I1020" s="71" t="n">
        <f aca="false">IF(OR('Loan Tape'!$AN107=0,'Loan Tape'!$Z107="Interest Only",'Loan Tape'!$Z107=""),0,MIN(MAX(0,I111-I717),IFERROR(MAX(0,MIN(7,'Loan Tape'!$AV107)-MAX(6,'Loan Tape'!$AT107))*IF(I414&lt;=0,I111/MAX(1,'Loan Tape'!$AU107-7+1),I414*I111/(1-(1+I414)^(-MAX(1,'Loan Tape'!$AU107-7+1)))-I414*I111),0)))</f>
        <v>0</v>
      </c>
      <c r="J1020" s="71" t="n">
        <f aca="false">IF(OR('Loan Tape'!$AN107=0,'Loan Tape'!$Z107="Interest Only",'Loan Tape'!$Z107=""),0,MIN(MAX(0,J111-J717),IFERROR(MAX(0,MIN(8,'Loan Tape'!$AV107)-MAX(7,'Loan Tape'!$AT107))*IF(J414&lt;=0,J111/MAX(1,'Loan Tape'!$AU107-8+1),J414*J111/(1-(1+J414)^(-MAX(1,'Loan Tape'!$AU107-8+1)))-J414*J111),0)))</f>
        <v>0</v>
      </c>
      <c r="K1020" s="71" t="n">
        <f aca="false">IF(OR('Loan Tape'!$AN107=0,'Loan Tape'!$Z107="Interest Only",'Loan Tape'!$Z107=""),0,MIN(MAX(0,K111-K717),IFERROR(MAX(0,MIN(9,'Loan Tape'!$AV107)-MAX(8,'Loan Tape'!$AT107))*IF(K414&lt;=0,K111/MAX(1,'Loan Tape'!$AU107-9+1),K414*K111/(1-(1+K414)^(-MAX(1,'Loan Tape'!$AU107-9+1)))-K414*K111),0)))</f>
        <v>0</v>
      </c>
      <c r="L1020" s="71" t="n">
        <f aca="false">IF(OR('Loan Tape'!$AN107=0,'Loan Tape'!$Z107="Interest Only",'Loan Tape'!$Z107=""),0,MIN(MAX(0,L111-L717),IFERROR(MAX(0,MIN(10,'Loan Tape'!$AV107)-MAX(9,'Loan Tape'!$AT107))*IF(L414&lt;=0,L111/MAX(1,'Loan Tape'!$AU107-10+1),L414*L111/(1-(1+L414)^(-MAX(1,'Loan Tape'!$AU107-10+1)))-L414*L111),0)))</f>
        <v>0</v>
      </c>
    </row>
    <row r="1021" customFormat="false" ht="15" hidden="false" customHeight="false" outlineLevel="0" collapsed="false">
      <c r="B1021" s="102" t="n">
        <f aca="false">'Loan Tape'!$A108</f>
        <v>0</v>
      </c>
      <c r="C1021" s="99" t="n">
        <f aca="false">IF(OR('Loan Tape'!$AN108=0,'Loan Tape'!$Z108="Interest Only",'Loan Tape'!$Z108=""),0,MIN(MAX(0,C112-C718),IFERROR(MAX(0,MIN(1,'Loan Tape'!$AV108)-MAX(0,'Loan Tape'!$AT108))*IF(C415&lt;=0,C112/MAX(1,'Loan Tape'!$AU108-1+1),C415*C112/(1-(1+C415)^(-MAX(1,'Loan Tape'!$AU108-1+1)))-C415*C112),0)))</f>
        <v>0</v>
      </c>
      <c r="D1021" s="99" t="n">
        <f aca="false">IF(OR('Loan Tape'!$AN108=0,'Loan Tape'!$Z108="Interest Only",'Loan Tape'!$Z108=""),0,MIN(MAX(0,D112-D718),IFERROR(MAX(0,MIN(2,'Loan Tape'!$AV108)-MAX(1,'Loan Tape'!$AT108))*IF(D415&lt;=0,D112/MAX(1,'Loan Tape'!$AU108-2+1),D415*D112/(1-(1+D415)^(-MAX(1,'Loan Tape'!$AU108-2+1)))-D415*D112),0)))</f>
        <v>0</v>
      </c>
      <c r="E1021" s="99" t="n">
        <f aca="false">IF(OR('Loan Tape'!$AN108=0,'Loan Tape'!$Z108="Interest Only",'Loan Tape'!$Z108=""),0,MIN(MAX(0,E112-E718),IFERROR(MAX(0,MIN(3,'Loan Tape'!$AV108)-MAX(2,'Loan Tape'!$AT108))*IF(E415&lt;=0,E112/MAX(1,'Loan Tape'!$AU108-3+1),E415*E112/(1-(1+E415)^(-MAX(1,'Loan Tape'!$AU108-3+1)))-E415*E112),0)))</f>
        <v>0</v>
      </c>
      <c r="F1021" s="99" t="n">
        <f aca="false">IF(OR('Loan Tape'!$AN108=0,'Loan Tape'!$Z108="Interest Only",'Loan Tape'!$Z108=""),0,MIN(MAX(0,F112-F718),IFERROR(MAX(0,MIN(4,'Loan Tape'!$AV108)-MAX(3,'Loan Tape'!$AT108))*IF(F415&lt;=0,F112/MAX(1,'Loan Tape'!$AU108-4+1),F415*F112/(1-(1+F415)^(-MAX(1,'Loan Tape'!$AU108-4+1)))-F415*F112),0)))</f>
        <v>0</v>
      </c>
      <c r="G1021" s="99" t="n">
        <f aca="false">IF(OR('Loan Tape'!$AN108=0,'Loan Tape'!$Z108="Interest Only",'Loan Tape'!$Z108=""),0,MIN(MAX(0,G112-G718),IFERROR(MAX(0,MIN(5,'Loan Tape'!$AV108)-MAX(4,'Loan Tape'!$AT108))*IF(G415&lt;=0,G112/MAX(1,'Loan Tape'!$AU108-5+1),G415*G112/(1-(1+G415)^(-MAX(1,'Loan Tape'!$AU108-5+1)))-G415*G112),0)))</f>
        <v>0</v>
      </c>
      <c r="H1021" s="99" t="n">
        <f aca="false">IF(OR('Loan Tape'!$AN108=0,'Loan Tape'!$Z108="Interest Only",'Loan Tape'!$Z108=""),0,MIN(MAX(0,H112-H718),IFERROR(MAX(0,MIN(6,'Loan Tape'!$AV108)-MAX(5,'Loan Tape'!$AT108))*IF(H415&lt;=0,H112/MAX(1,'Loan Tape'!$AU108-6+1),H415*H112/(1-(1+H415)^(-MAX(1,'Loan Tape'!$AU108-6+1)))-H415*H112),0)))</f>
        <v>0</v>
      </c>
      <c r="I1021" s="99" t="n">
        <f aca="false">IF(OR('Loan Tape'!$AN108=0,'Loan Tape'!$Z108="Interest Only",'Loan Tape'!$Z108=""),0,MIN(MAX(0,I112-I718),IFERROR(MAX(0,MIN(7,'Loan Tape'!$AV108)-MAX(6,'Loan Tape'!$AT108))*IF(I415&lt;=0,I112/MAX(1,'Loan Tape'!$AU108-7+1),I415*I112/(1-(1+I415)^(-MAX(1,'Loan Tape'!$AU108-7+1)))-I415*I112),0)))</f>
        <v>0</v>
      </c>
      <c r="J1021" s="99" t="n">
        <f aca="false">IF(OR('Loan Tape'!$AN108=0,'Loan Tape'!$Z108="Interest Only",'Loan Tape'!$Z108=""),0,MIN(MAX(0,J112-J718),IFERROR(MAX(0,MIN(8,'Loan Tape'!$AV108)-MAX(7,'Loan Tape'!$AT108))*IF(J415&lt;=0,J112/MAX(1,'Loan Tape'!$AU108-8+1),J415*J112/(1-(1+J415)^(-MAX(1,'Loan Tape'!$AU108-8+1)))-J415*J112),0)))</f>
        <v>0</v>
      </c>
      <c r="K1021" s="99" t="n">
        <f aca="false">IF(OR('Loan Tape'!$AN108=0,'Loan Tape'!$Z108="Interest Only",'Loan Tape'!$Z108=""),0,MIN(MAX(0,K112-K718),IFERROR(MAX(0,MIN(9,'Loan Tape'!$AV108)-MAX(8,'Loan Tape'!$AT108))*IF(K415&lt;=0,K112/MAX(1,'Loan Tape'!$AU108-9+1),K415*K112/(1-(1+K415)^(-MAX(1,'Loan Tape'!$AU108-9+1)))-K415*K112),0)))</f>
        <v>0</v>
      </c>
      <c r="L1021" s="99" t="n">
        <f aca="false">IF(OR('Loan Tape'!$AN108=0,'Loan Tape'!$Z108="Interest Only",'Loan Tape'!$Z108=""),0,MIN(MAX(0,L112-L718),IFERROR(MAX(0,MIN(10,'Loan Tape'!$AV108)-MAX(9,'Loan Tape'!$AT108))*IF(L415&lt;=0,L112/MAX(1,'Loan Tape'!$AU108-10+1),L415*L112/(1-(1+L415)^(-MAX(1,'Loan Tape'!$AU108-10+1)))-L415*L112),0)))</f>
        <v>0</v>
      </c>
    </row>
    <row r="1022" customFormat="false" ht="15" hidden="false" customHeight="false" outlineLevel="0" collapsed="false">
      <c r="B1022" s="108" t="n">
        <f aca="false">'Loan Tape'!$A109</f>
        <v>0</v>
      </c>
      <c r="C1022" s="71" t="n">
        <f aca="false">IF(OR('Loan Tape'!$AN109=0,'Loan Tape'!$Z109="Interest Only",'Loan Tape'!$Z109=""),0,MIN(MAX(0,C113-C719),IFERROR(MAX(0,MIN(1,'Loan Tape'!$AV109)-MAX(0,'Loan Tape'!$AT109))*IF(C416&lt;=0,C113/MAX(1,'Loan Tape'!$AU109-1+1),C416*C113/(1-(1+C416)^(-MAX(1,'Loan Tape'!$AU109-1+1)))-C416*C113),0)))</f>
        <v>0</v>
      </c>
      <c r="D1022" s="71" t="n">
        <f aca="false">IF(OR('Loan Tape'!$AN109=0,'Loan Tape'!$Z109="Interest Only",'Loan Tape'!$Z109=""),0,MIN(MAX(0,D113-D719),IFERROR(MAX(0,MIN(2,'Loan Tape'!$AV109)-MAX(1,'Loan Tape'!$AT109))*IF(D416&lt;=0,D113/MAX(1,'Loan Tape'!$AU109-2+1),D416*D113/(1-(1+D416)^(-MAX(1,'Loan Tape'!$AU109-2+1)))-D416*D113),0)))</f>
        <v>0</v>
      </c>
      <c r="E1022" s="71" t="n">
        <f aca="false">IF(OR('Loan Tape'!$AN109=0,'Loan Tape'!$Z109="Interest Only",'Loan Tape'!$Z109=""),0,MIN(MAX(0,E113-E719),IFERROR(MAX(0,MIN(3,'Loan Tape'!$AV109)-MAX(2,'Loan Tape'!$AT109))*IF(E416&lt;=0,E113/MAX(1,'Loan Tape'!$AU109-3+1),E416*E113/(1-(1+E416)^(-MAX(1,'Loan Tape'!$AU109-3+1)))-E416*E113),0)))</f>
        <v>0</v>
      </c>
      <c r="F1022" s="71" t="n">
        <f aca="false">IF(OR('Loan Tape'!$AN109=0,'Loan Tape'!$Z109="Interest Only",'Loan Tape'!$Z109=""),0,MIN(MAX(0,F113-F719),IFERROR(MAX(0,MIN(4,'Loan Tape'!$AV109)-MAX(3,'Loan Tape'!$AT109))*IF(F416&lt;=0,F113/MAX(1,'Loan Tape'!$AU109-4+1),F416*F113/(1-(1+F416)^(-MAX(1,'Loan Tape'!$AU109-4+1)))-F416*F113),0)))</f>
        <v>0</v>
      </c>
      <c r="G1022" s="71" t="n">
        <f aca="false">IF(OR('Loan Tape'!$AN109=0,'Loan Tape'!$Z109="Interest Only",'Loan Tape'!$Z109=""),0,MIN(MAX(0,G113-G719),IFERROR(MAX(0,MIN(5,'Loan Tape'!$AV109)-MAX(4,'Loan Tape'!$AT109))*IF(G416&lt;=0,G113/MAX(1,'Loan Tape'!$AU109-5+1),G416*G113/(1-(1+G416)^(-MAX(1,'Loan Tape'!$AU109-5+1)))-G416*G113),0)))</f>
        <v>0</v>
      </c>
      <c r="H1022" s="71" t="n">
        <f aca="false">IF(OR('Loan Tape'!$AN109=0,'Loan Tape'!$Z109="Interest Only",'Loan Tape'!$Z109=""),0,MIN(MAX(0,H113-H719),IFERROR(MAX(0,MIN(6,'Loan Tape'!$AV109)-MAX(5,'Loan Tape'!$AT109))*IF(H416&lt;=0,H113/MAX(1,'Loan Tape'!$AU109-6+1),H416*H113/(1-(1+H416)^(-MAX(1,'Loan Tape'!$AU109-6+1)))-H416*H113),0)))</f>
        <v>0</v>
      </c>
      <c r="I1022" s="71" t="n">
        <f aca="false">IF(OR('Loan Tape'!$AN109=0,'Loan Tape'!$Z109="Interest Only",'Loan Tape'!$Z109=""),0,MIN(MAX(0,I113-I719),IFERROR(MAX(0,MIN(7,'Loan Tape'!$AV109)-MAX(6,'Loan Tape'!$AT109))*IF(I416&lt;=0,I113/MAX(1,'Loan Tape'!$AU109-7+1),I416*I113/(1-(1+I416)^(-MAX(1,'Loan Tape'!$AU109-7+1)))-I416*I113),0)))</f>
        <v>0</v>
      </c>
      <c r="J1022" s="71" t="n">
        <f aca="false">IF(OR('Loan Tape'!$AN109=0,'Loan Tape'!$Z109="Interest Only",'Loan Tape'!$Z109=""),0,MIN(MAX(0,J113-J719),IFERROR(MAX(0,MIN(8,'Loan Tape'!$AV109)-MAX(7,'Loan Tape'!$AT109))*IF(J416&lt;=0,J113/MAX(1,'Loan Tape'!$AU109-8+1),J416*J113/(1-(1+J416)^(-MAX(1,'Loan Tape'!$AU109-8+1)))-J416*J113),0)))</f>
        <v>0</v>
      </c>
      <c r="K1022" s="71" t="n">
        <f aca="false">IF(OR('Loan Tape'!$AN109=0,'Loan Tape'!$Z109="Interest Only",'Loan Tape'!$Z109=""),0,MIN(MAX(0,K113-K719),IFERROR(MAX(0,MIN(9,'Loan Tape'!$AV109)-MAX(8,'Loan Tape'!$AT109))*IF(K416&lt;=0,K113/MAX(1,'Loan Tape'!$AU109-9+1),K416*K113/(1-(1+K416)^(-MAX(1,'Loan Tape'!$AU109-9+1)))-K416*K113),0)))</f>
        <v>0</v>
      </c>
      <c r="L1022" s="71" t="n">
        <f aca="false">IF(OR('Loan Tape'!$AN109=0,'Loan Tape'!$Z109="Interest Only",'Loan Tape'!$Z109=""),0,MIN(MAX(0,L113-L719),IFERROR(MAX(0,MIN(10,'Loan Tape'!$AV109)-MAX(9,'Loan Tape'!$AT109))*IF(L416&lt;=0,L113/MAX(1,'Loan Tape'!$AU109-10+1),L416*L113/(1-(1+L416)^(-MAX(1,'Loan Tape'!$AU109-10+1)))-L416*L113),0)))</f>
        <v>0</v>
      </c>
    </row>
    <row r="1023" customFormat="false" ht="15" hidden="false" customHeight="false" outlineLevel="0" collapsed="false">
      <c r="B1023" s="102" t="n">
        <f aca="false">'Loan Tape'!$A110</f>
        <v>0</v>
      </c>
      <c r="C1023" s="99" t="n">
        <f aca="false">IF(OR('Loan Tape'!$AN110=0,'Loan Tape'!$Z110="Interest Only",'Loan Tape'!$Z110=""),0,MIN(MAX(0,C114-C720),IFERROR(MAX(0,MIN(1,'Loan Tape'!$AV110)-MAX(0,'Loan Tape'!$AT110))*IF(C417&lt;=0,C114/MAX(1,'Loan Tape'!$AU110-1+1),C417*C114/(1-(1+C417)^(-MAX(1,'Loan Tape'!$AU110-1+1)))-C417*C114),0)))</f>
        <v>0</v>
      </c>
      <c r="D1023" s="99" t="n">
        <f aca="false">IF(OR('Loan Tape'!$AN110=0,'Loan Tape'!$Z110="Interest Only",'Loan Tape'!$Z110=""),0,MIN(MAX(0,D114-D720),IFERROR(MAX(0,MIN(2,'Loan Tape'!$AV110)-MAX(1,'Loan Tape'!$AT110))*IF(D417&lt;=0,D114/MAX(1,'Loan Tape'!$AU110-2+1),D417*D114/(1-(1+D417)^(-MAX(1,'Loan Tape'!$AU110-2+1)))-D417*D114),0)))</f>
        <v>0</v>
      </c>
      <c r="E1023" s="99" t="n">
        <f aca="false">IF(OR('Loan Tape'!$AN110=0,'Loan Tape'!$Z110="Interest Only",'Loan Tape'!$Z110=""),0,MIN(MAX(0,E114-E720),IFERROR(MAX(0,MIN(3,'Loan Tape'!$AV110)-MAX(2,'Loan Tape'!$AT110))*IF(E417&lt;=0,E114/MAX(1,'Loan Tape'!$AU110-3+1),E417*E114/(1-(1+E417)^(-MAX(1,'Loan Tape'!$AU110-3+1)))-E417*E114),0)))</f>
        <v>0</v>
      </c>
      <c r="F1023" s="99" t="n">
        <f aca="false">IF(OR('Loan Tape'!$AN110=0,'Loan Tape'!$Z110="Interest Only",'Loan Tape'!$Z110=""),0,MIN(MAX(0,F114-F720),IFERROR(MAX(0,MIN(4,'Loan Tape'!$AV110)-MAX(3,'Loan Tape'!$AT110))*IF(F417&lt;=0,F114/MAX(1,'Loan Tape'!$AU110-4+1),F417*F114/(1-(1+F417)^(-MAX(1,'Loan Tape'!$AU110-4+1)))-F417*F114),0)))</f>
        <v>0</v>
      </c>
      <c r="G1023" s="99" t="n">
        <f aca="false">IF(OR('Loan Tape'!$AN110=0,'Loan Tape'!$Z110="Interest Only",'Loan Tape'!$Z110=""),0,MIN(MAX(0,G114-G720),IFERROR(MAX(0,MIN(5,'Loan Tape'!$AV110)-MAX(4,'Loan Tape'!$AT110))*IF(G417&lt;=0,G114/MAX(1,'Loan Tape'!$AU110-5+1),G417*G114/(1-(1+G417)^(-MAX(1,'Loan Tape'!$AU110-5+1)))-G417*G114),0)))</f>
        <v>0</v>
      </c>
      <c r="H1023" s="99" t="n">
        <f aca="false">IF(OR('Loan Tape'!$AN110=0,'Loan Tape'!$Z110="Interest Only",'Loan Tape'!$Z110=""),0,MIN(MAX(0,H114-H720),IFERROR(MAX(0,MIN(6,'Loan Tape'!$AV110)-MAX(5,'Loan Tape'!$AT110))*IF(H417&lt;=0,H114/MAX(1,'Loan Tape'!$AU110-6+1),H417*H114/(1-(1+H417)^(-MAX(1,'Loan Tape'!$AU110-6+1)))-H417*H114),0)))</f>
        <v>0</v>
      </c>
      <c r="I1023" s="99" t="n">
        <f aca="false">IF(OR('Loan Tape'!$AN110=0,'Loan Tape'!$Z110="Interest Only",'Loan Tape'!$Z110=""),0,MIN(MAX(0,I114-I720),IFERROR(MAX(0,MIN(7,'Loan Tape'!$AV110)-MAX(6,'Loan Tape'!$AT110))*IF(I417&lt;=0,I114/MAX(1,'Loan Tape'!$AU110-7+1),I417*I114/(1-(1+I417)^(-MAX(1,'Loan Tape'!$AU110-7+1)))-I417*I114),0)))</f>
        <v>0</v>
      </c>
      <c r="J1023" s="99" t="n">
        <f aca="false">IF(OR('Loan Tape'!$AN110=0,'Loan Tape'!$Z110="Interest Only",'Loan Tape'!$Z110=""),0,MIN(MAX(0,J114-J720),IFERROR(MAX(0,MIN(8,'Loan Tape'!$AV110)-MAX(7,'Loan Tape'!$AT110))*IF(J417&lt;=0,J114/MAX(1,'Loan Tape'!$AU110-8+1),J417*J114/(1-(1+J417)^(-MAX(1,'Loan Tape'!$AU110-8+1)))-J417*J114),0)))</f>
        <v>0</v>
      </c>
      <c r="K1023" s="99" t="n">
        <f aca="false">IF(OR('Loan Tape'!$AN110=0,'Loan Tape'!$Z110="Interest Only",'Loan Tape'!$Z110=""),0,MIN(MAX(0,K114-K720),IFERROR(MAX(0,MIN(9,'Loan Tape'!$AV110)-MAX(8,'Loan Tape'!$AT110))*IF(K417&lt;=0,K114/MAX(1,'Loan Tape'!$AU110-9+1),K417*K114/(1-(1+K417)^(-MAX(1,'Loan Tape'!$AU110-9+1)))-K417*K114),0)))</f>
        <v>0</v>
      </c>
      <c r="L1023" s="99" t="n">
        <f aca="false">IF(OR('Loan Tape'!$AN110=0,'Loan Tape'!$Z110="Interest Only",'Loan Tape'!$Z110=""),0,MIN(MAX(0,L114-L720),IFERROR(MAX(0,MIN(10,'Loan Tape'!$AV110)-MAX(9,'Loan Tape'!$AT110))*IF(L417&lt;=0,L114/MAX(1,'Loan Tape'!$AU110-10+1),L417*L114/(1-(1+L417)^(-MAX(1,'Loan Tape'!$AU110-10+1)))-L417*L114),0)))</f>
        <v>0</v>
      </c>
    </row>
    <row r="1024" customFormat="false" ht="15" hidden="false" customHeight="false" outlineLevel="0" collapsed="false">
      <c r="B1024" s="108" t="n">
        <f aca="false">'Loan Tape'!$A111</f>
        <v>0</v>
      </c>
      <c r="C1024" s="71" t="n">
        <f aca="false">IF(OR('Loan Tape'!$AN111=0,'Loan Tape'!$Z111="Interest Only",'Loan Tape'!$Z111=""),0,MIN(MAX(0,C115-C721),IFERROR(MAX(0,MIN(1,'Loan Tape'!$AV111)-MAX(0,'Loan Tape'!$AT111))*IF(C418&lt;=0,C115/MAX(1,'Loan Tape'!$AU111-1+1),C418*C115/(1-(1+C418)^(-MAX(1,'Loan Tape'!$AU111-1+1)))-C418*C115),0)))</f>
        <v>0</v>
      </c>
      <c r="D1024" s="71" t="n">
        <f aca="false">IF(OR('Loan Tape'!$AN111=0,'Loan Tape'!$Z111="Interest Only",'Loan Tape'!$Z111=""),0,MIN(MAX(0,D115-D721),IFERROR(MAX(0,MIN(2,'Loan Tape'!$AV111)-MAX(1,'Loan Tape'!$AT111))*IF(D418&lt;=0,D115/MAX(1,'Loan Tape'!$AU111-2+1),D418*D115/(1-(1+D418)^(-MAX(1,'Loan Tape'!$AU111-2+1)))-D418*D115),0)))</f>
        <v>0</v>
      </c>
      <c r="E1024" s="71" t="n">
        <f aca="false">IF(OR('Loan Tape'!$AN111=0,'Loan Tape'!$Z111="Interest Only",'Loan Tape'!$Z111=""),0,MIN(MAX(0,E115-E721),IFERROR(MAX(0,MIN(3,'Loan Tape'!$AV111)-MAX(2,'Loan Tape'!$AT111))*IF(E418&lt;=0,E115/MAX(1,'Loan Tape'!$AU111-3+1),E418*E115/(1-(1+E418)^(-MAX(1,'Loan Tape'!$AU111-3+1)))-E418*E115),0)))</f>
        <v>0</v>
      </c>
      <c r="F1024" s="71" t="n">
        <f aca="false">IF(OR('Loan Tape'!$AN111=0,'Loan Tape'!$Z111="Interest Only",'Loan Tape'!$Z111=""),0,MIN(MAX(0,F115-F721),IFERROR(MAX(0,MIN(4,'Loan Tape'!$AV111)-MAX(3,'Loan Tape'!$AT111))*IF(F418&lt;=0,F115/MAX(1,'Loan Tape'!$AU111-4+1),F418*F115/(1-(1+F418)^(-MAX(1,'Loan Tape'!$AU111-4+1)))-F418*F115),0)))</f>
        <v>0</v>
      </c>
      <c r="G1024" s="71" t="n">
        <f aca="false">IF(OR('Loan Tape'!$AN111=0,'Loan Tape'!$Z111="Interest Only",'Loan Tape'!$Z111=""),0,MIN(MAX(0,G115-G721),IFERROR(MAX(0,MIN(5,'Loan Tape'!$AV111)-MAX(4,'Loan Tape'!$AT111))*IF(G418&lt;=0,G115/MAX(1,'Loan Tape'!$AU111-5+1),G418*G115/(1-(1+G418)^(-MAX(1,'Loan Tape'!$AU111-5+1)))-G418*G115),0)))</f>
        <v>0</v>
      </c>
      <c r="H1024" s="71" t="n">
        <f aca="false">IF(OR('Loan Tape'!$AN111=0,'Loan Tape'!$Z111="Interest Only",'Loan Tape'!$Z111=""),0,MIN(MAX(0,H115-H721),IFERROR(MAX(0,MIN(6,'Loan Tape'!$AV111)-MAX(5,'Loan Tape'!$AT111))*IF(H418&lt;=0,H115/MAX(1,'Loan Tape'!$AU111-6+1),H418*H115/(1-(1+H418)^(-MAX(1,'Loan Tape'!$AU111-6+1)))-H418*H115),0)))</f>
        <v>0</v>
      </c>
      <c r="I1024" s="71" t="n">
        <f aca="false">IF(OR('Loan Tape'!$AN111=0,'Loan Tape'!$Z111="Interest Only",'Loan Tape'!$Z111=""),0,MIN(MAX(0,I115-I721),IFERROR(MAX(0,MIN(7,'Loan Tape'!$AV111)-MAX(6,'Loan Tape'!$AT111))*IF(I418&lt;=0,I115/MAX(1,'Loan Tape'!$AU111-7+1),I418*I115/(1-(1+I418)^(-MAX(1,'Loan Tape'!$AU111-7+1)))-I418*I115),0)))</f>
        <v>0</v>
      </c>
      <c r="J1024" s="71" t="n">
        <f aca="false">IF(OR('Loan Tape'!$AN111=0,'Loan Tape'!$Z111="Interest Only",'Loan Tape'!$Z111=""),0,MIN(MAX(0,J115-J721),IFERROR(MAX(0,MIN(8,'Loan Tape'!$AV111)-MAX(7,'Loan Tape'!$AT111))*IF(J418&lt;=0,J115/MAX(1,'Loan Tape'!$AU111-8+1),J418*J115/(1-(1+J418)^(-MAX(1,'Loan Tape'!$AU111-8+1)))-J418*J115),0)))</f>
        <v>0</v>
      </c>
      <c r="K1024" s="71" t="n">
        <f aca="false">IF(OR('Loan Tape'!$AN111=0,'Loan Tape'!$Z111="Interest Only",'Loan Tape'!$Z111=""),0,MIN(MAX(0,K115-K721),IFERROR(MAX(0,MIN(9,'Loan Tape'!$AV111)-MAX(8,'Loan Tape'!$AT111))*IF(K418&lt;=0,K115/MAX(1,'Loan Tape'!$AU111-9+1),K418*K115/(1-(1+K418)^(-MAX(1,'Loan Tape'!$AU111-9+1)))-K418*K115),0)))</f>
        <v>0</v>
      </c>
      <c r="L1024" s="71" t="n">
        <f aca="false">IF(OR('Loan Tape'!$AN111=0,'Loan Tape'!$Z111="Interest Only",'Loan Tape'!$Z111=""),0,MIN(MAX(0,L115-L721),IFERROR(MAX(0,MIN(10,'Loan Tape'!$AV111)-MAX(9,'Loan Tape'!$AT111))*IF(L418&lt;=0,L115/MAX(1,'Loan Tape'!$AU111-10+1),L418*L115/(1-(1+L418)^(-MAX(1,'Loan Tape'!$AU111-10+1)))-L418*L115),0)))</f>
        <v>0</v>
      </c>
    </row>
    <row r="1025" customFormat="false" ht="15" hidden="false" customHeight="false" outlineLevel="0" collapsed="false">
      <c r="B1025" s="102" t="n">
        <f aca="false">'Loan Tape'!$A112</f>
        <v>0</v>
      </c>
      <c r="C1025" s="99" t="n">
        <f aca="false">IF(OR('Loan Tape'!$AN112=0,'Loan Tape'!$Z112="Interest Only",'Loan Tape'!$Z112=""),0,MIN(MAX(0,C116-C722),IFERROR(MAX(0,MIN(1,'Loan Tape'!$AV112)-MAX(0,'Loan Tape'!$AT112))*IF(C419&lt;=0,C116/MAX(1,'Loan Tape'!$AU112-1+1),C419*C116/(1-(1+C419)^(-MAX(1,'Loan Tape'!$AU112-1+1)))-C419*C116),0)))</f>
        <v>0</v>
      </c>
      <c r="D1025" s="99" t="n">
        <f aca="false">IF(OR('Loan Tape'!$AN112=0,'Loan Tape'!$Z112="Interest Only",'Loan Tape'!$Z112=""),0,MIN(MAX(0,D116-D722),IFERROR(MAX(0,MIN(2,'Loan Tape'!$AV112)-MAX(1,'Loan Tape'!$AT112))*IF(D419&lt;=0,D116/MAX(1,'Loan Tape'!$AU112-2+1),D419*D116/(1-(1+D419)^(-MAX(1,'Loan Tape'!$AU112-2+1)))-D419*D116),0)))</f>
        <v>0</v>
      </c>
      <c r="E1025" s="99" t="n">
        <f aca="false">IF(OR('Loan Tape'!$AN112=0,'Loan Tape'!$Z112="Interest Only",'Loan Tape'!$Z112=""),0,MIN(MAX(0,E116-E722),IFERROR(MAX(0,MIN(3,'Loan Tape'!$AV112)-MAX(2,'Loan Tape'!$AT112))*IF(E419&lt;=0,E116/MAX(1,'Loan Tape'!$AU112-3+1),E419*E116/(1-(1+E419)^(-MAX(1,'Loan Tape'!$AU112-3+1)))-E419*E116),0)))</f>
        <v>0</v>
      </c>
      <c r="F1025" s="99" t="n">
        <f aca="false">IF(OR('Loan Tape'!$AN112=0,'Loan Tape'!$Z112="Interest Only",'Loan Tape'!$Z112=""),0,MIN(MAX(0,F116-F722),IFERROR(MAX(0,MIN(4,'Loan Tape'!$AV112)-MAX(3,'Loan Tape'!$AT112))*IF(F419&lt;=0,F116/MAX(1,'Loan Tape'!$AU112-4+1),F419*F116/(1-(1+F419)^(-MAX(1,'Loan Tape'!$AU112-4+1)))-F419*F116),0)))</f>
        <v>0</v>
      </c>
      <c r="G1025" s="99" t="n">
        <f aca="false">IF(OR('Loan Tape'!$AN112=0,'Loan Tape'!$Z112="Interest Only",'Loan Tape'!$Z112=""),0,MIN(MAX(0,G116-G722),IFERROR(MAX(0,MIN(5,'Loan Tape'!$AV112)-MAX(4,'Loan Tape'!$AT112))*IF(G419&lt;=0,G116/MAX(1,'Loan Tape'!$AU112-5+1),G419*G116/(1-(1+G419)^(-MAX(1,'Loan Tape'!$AU112-5+1)))-G419*G116),0)))</f>
        <v>0</v>
      </c>
      <c r="H1025" s="99" t="n">
        <f aca="false">IF(OR('Loan Tape'!$AN112=0,'Loan Tape'!$Z112="Interest Only",'Loan Tape'!$Z112=""),0,MIN(MAX(0,H116-H722),IFERROR(MAX(0,MIN(6,'Loan Tape'!$AV112)-MAX(5,'Loan Tape'!$AT112))*IF(H419&lt;=0,H116/MAX(1,'Loan Tape'!$AU112-6+1),H419*H116/(1-(1+H419)^(-MAX(1,'Loan Tape'!$AU112-6+1)))-H419*H116),0)))</f>
        <v>0</v>
      </c>
      <c r="I1025" s="99" t="n">
        <f aca="false">IF(OR('Loan Tape'!$AN112=0,'Loan Tape'!$Z112="Interest Only",'Loan Tape'!$Z112=""),0,MIN(MAX(0,I116-I722),IFERROR(MAX(0,MIN(7,'Loan Tape'!$AV112)-MAX(6,'Loan Tape'!$AT112))*IF(I419&lt;=0,I116/MAX(1,'Loan Tape'!$AU112-7+1),I419*I116/(1-(1+I419)^(-MAX(1,'Loan Tape'!$AU112-7+1)))-I419*I116),0)))</f>
        <v>0</v>
      </c>
      <c r="J1025" s="99" t="n">
        <f aca="false">IF(OR('Loan Tape'!$AN112=0,'Loan Tape'!$Z112="Interest Only",'Loan Tape'!$Z112=""),0,MIN(MAX(0,J116-J722),IFERROR(MAX(0,MIN(8,'Loan Tape'!$AV112)-MAX(7,'Loan Tape'!$AT112))*IF(J419&lt;=0,J116/MAX(1,'Loan Tape'!$AU112-8+1),J419*J116/(1-(1+J419)^(-MAX(1,'Loan Tape'!$AU112-8+1)))-J419*J116),0)))</f>
        <v>0</v>
      </c>
      <c r="K1025" s="99" t="n">
        <f aca="false">IF(OR('Loan Tape'!$AN112=0,'Loan Tape'!$Z112="Interest Only",'Loan Tape'!$Z112=""),0,MIN(MAX(0,K116-K722),IFERROR(MAX(0,MIN(9,'Loan Tape'!$AV112)-MAX(8,'Loan Tape'!$AT112))*IF(K419&lt;=0,K116/MAX(1,'Loan Tape'!$AU112-9+1),K419*K116/(1-(1+K419)^(-MAX(1,'Loan Tape'!$AU112-9+1)))-K419*K116),0)))</f>
        <v>0</v>
      </c>
      <c r="L1025" s="99" t="n">
        <f aca="false">IF(OR('Loan Tape'!$AN112=0,'Loan Tape'!$Z112="Interest Only",'Loan Tape'!$Z112=""),0,MIN(MAX(0,L116-L722),IFERROR(MAX(0,MIN(10,'Loan Tape'!$AV112)-MAX(9,'Loan Tape'!$AT112))*IF(L419&lt;=0,L116/MAX(1,'Loan Tape'!$AU112-10+1),L419*L116/(1-(1+L419)^(-MAX(1,'Loan Tape'!$AU112-10+1)))-L419*L116),0)))</f>
        <v>0</v>
      </c>
    </row>
    <row r="1026" customFormat="false" ht="15" hidden="false" customHeight="false" outlineLevel="0" collapsed="false">
      <c r="B1026" s="108" t="n">
        <f aca="false">'Loan Tape'!$A113</f>
        <v>0</v>
      </c>
      <c r="C1026" s="71" t="n">
        <f aca="false">IF(OR('Loan Tape'!$AN113=0,'Loan Tape'!$Z113="Interest Only",'Loan Tape'!$Z113=""),0,MIN(MAX(0,C117-C723),IFERROR(MAX(0,MIN(1,'Loan Tape'!$AV113)-MAX(0,'Loan Tape'!$AT113))*IF(C420&lt;=0,C117/MAX(1,'Loan Tape'!$AU113-1+1),C420*C117/(1-(1+C420)^(-MAX(1,'Loan Tape'!$AU113-1+1)))-C420*C117),0)))</f>
        <v>0</v>
      </c>
      <c r="D1026" s="71" t="n">
        <f aca="false">IF(OR('Loan Tape'!$AN113=0,'Loan Tape'!$Z113="Interest Only",'Loan Tape'!$Z113=""),0,MIN(MAX(0,D117-D723),IFERROR(MAX(0,MIN(2,'Loan Tape'!$AV113)-MAX(1,'Loan Tape'!$AT113))*IF(D420&lt;=0,D117/MAX(1,'Loan Tape'!$AU113-2+1),D420*D117/(1-(1+D420)^(-MAX(1,'Loan Tape'!$AU113-2+1)))-D420*D117),0)))</f>
        <v>0</v>
      </c>
      <c r="E1026" s="71" t="n">
        <f aca="false">IF(OR('Loan Tape'!$AN113=0,'Loan Tape'!$Z113="Interest Only",'Loan Tape'!$Z113=""),0,MIN(MAX(0,E117-E723),IFERROR(MAX(0,MIN(3,'Loan Tape'!$AV113)-MAX(2,'Loan Tape'!$AT113))*IF(E420&lt;=0,E117/MAX(1,'Loan Tape'!$AU113-3+1),E420*E117/(1-(1+E420)^(-MAX(1,'Loan Tape'!$AU113-3+1)))-E420*E117),0)))</f>
        <v>0</v>
      </c>
      <c r="F1026" s="71" t="n">
        <f aca="false">IF(OR('Loan Tape'!$AN113=0,'Loan Tape'!$Z113="Interest Only",'Loan Tape'!$Z113=""),0,MIN(MAX(0,F117-F723),IFERROR(MAX(0,MIN(4,'Loan Tape'!$AV113)-MAX(3,'Loan Tape'!$AT113))*IF(F420&lt;=0,F117/MAX(1,'Loan Tape'!$AU113-4+1),F420*F117/(1-(1+F420)^(-MAX(1,'Loan Tape'!$AU113-4+1)))-F420*F117),0)))</f>
        <v>0</v>
      </c>
      <c r="G1026" s="71" t="n">
        <f aca="false">IF(OR('Loan Tape'!$AN113=0,'Loan Tape'!$Z113="Interest Only",'Loan Tape'!$Z113=""),0,MIN(MAX(0,G117-G723),IFERROR(MAX(0,MIN(5,'Loan Tape'!$AV113)-MAX(4,'Loan Tape'!$AT113))*IF(G420&lt;=0,G117/MAX(1,'Loan Tape'!$AU113-5+1),G420*G117/(1-(1+G420)^(-MAX(1,'Loan Tape'!$AU113-5+1)))-G420*G117),0)))</f>
        <v>0</v>
      </c>
      <c r="H1026" s="71" t="n">
        <f aca="false">IF(OR('Loan Tape'!$AN113=0,'Loan Tape'!$Z113="Interest Only",'Loan Tape'!$Z113=""),0,MIN(MAX(0,H117-H723),IFERROR(MAX(0,MIN(6,'Loan Tape'!$AV113)-MAX(5,'Loan Tape'!$AT113))*IF(H420&lt;=0,H117/MAX(1,'Loan Tape'!$AU113-6+1),H420*H117/(1-(1+H420)^(-MAX(1,'Loan Tape'!$AU113-6+1)))-H420*H117),0)))</f>
        <v>0</v>
      </c>
      <c r="I1026" s="71" t="n">
        <f aca="false">IF(OR('Loan Tape'!$AN113=0,'Loan Tape'!$Z113="Interest Only",'Loan Tape'!$Z113=""),0,MIN(MAX(0,I117-I723),IFERROR(MAX(0,MIN(7,'Loan Tape'!$AV113)-MAX(6,'Loan Tape'!$AT113))*IF(I420&lt;=0,I117/MAX(1,'Loan Tape'!$AU113-7+1),I420*I117/(1-(1+I420)^(-MAX(1,'Loan Tape'!$AU113-7+1)))-I420*I117),0)))</f>
        <v>0</v>
      </c>
      <c r="J1026" s="71" t="n">
        <f aca="false">IF(OR('Loan Tape'!$AN113=0,'Loan Tape'!$Z113="Interest Only",'Loan Tape'!$Z113=""),0,MIN(MAX(0,J117-J723),IFERROR(MAX(0,MIN(8,'Loan Tape'!$AV113)-MAX(7,'Loan Tape'!$AT113))*IF(J420&lt;=0,J117/MAX(1,'Loan Tape'!$AU113-8+1),J420*J117/(1-(1+J420)^(-MAX(1,'Loan Tape'!$AU113-8+1)))-J420*J117),0)))</f>
        <v>0</v>
      </c>
      <c r="K1026" s="71" t="n">
        <f aca="false">IF(OR('Loan Tape'!$AN113=0,'Loan Tape'!$Z113="Interest Only",'Loan Tape'!$Z113=""),0,MIN(MAX(0,K117-K723),IFERROR(MAX(0,MIN(9,'Loan Tape'!$AV113)-MAX(8,'Loan Tape'!$AT113))*IF(K420&lt;=0,K117/MAX(1,'Loan Tape'!$AU113-9+1),K420*K117/(1-(1+K420)^(-MAX(1,'Loan Tape'!$AU113-9+1)))-K420*K117),0)))</f>
        <v>0</v>
      </c>
      <c r="L1026" s="71" t="n">
        <f aca="false">IF(OR('Loan Tape'!$AN113=0,'Loan Tape'!$Z113="Interest Only",'Loan Tape'!$Z113=""),0,MIN(MAX(0,L117-L723),IFERROR(MAX(0,MIN(10,'Loan Tape'!$AV113)-MAX(9,'Loan Tape'!$AT113))*IF(L420&lt;=0,L117/MAX(1,'Loan Tape'!$AU113-10+1),L420*L117/(1-(1+L420)^(-MAX(1,'Loan Tape'!$AU113-10+1)))-L420*L117),0)))</f>
        <v>0</v>
      </c>
    </row>
    <row r="1027" customFormat="false" ht="15" hidden="false" customHeight="false" outlineLevel="0" collapsed="false">
      <c r="B1027" s="102" t="n">
        <f aca="false">'Loan Tape'!$A114</f>
        <v>0</v>
      </c>
      <c r="C1027" s="99" t="n">
        <f aca="false">IF(OR('Loan Tape'!$AN114=0,'Loan Tape'!$Z114="Interest Only",'Loan Tape'!$Z114=""),0,MIN(MAX(0,C118-C724),IFERROR(MAX(0,MIN(1,'Loan Tape'!$AV114)-MAX(0,'Loan Tape'!$AT114))*IF(C421&lt;=0,C118/MAX(1,'Loan Tape'!$AU114-1+1),C421*C118/(1-(1+C421)^(-MAX(1,'Loan Tape'!$AU114-1+1)))-C421*C118),0)))</f>
        <v>0</v>
      </c>
      <c r="D1027" s="99" t="n">
        <f aca="false">IF(OR('Loan Tape'!$AN114=0,'Loan Tape'!$Z114="Interest Only",'Loan Tape'!$Z114=""),0,MIN(MAX(0,D118-D724),IFERROR(MAX(0,MIN(2,'Loan Tape'!$AV114)-MAX(1,'Loan Tape'!$AT114))*IF(D421&lt;=0,D118/MAX(1,'Loan Tape'!$AU114-2+1),D421*D118/(1-(1+D421)^(-MAX(1,'Loan Tape'!$AU114-2+1)))-D421*D118),0)))</f>
        <v>0</v>
      </c>
      <c r="E1027" s="99" t="n">
        <f aca="false">IF(OR('Loan Tape'!$AN114=0,'Loan Tape'!$Z114="Interest Only",'Loan Tape'!$Z114=""),0,MIN(MAX(0,E118-E724),IFERROR(MAX(0,MIN(3,'Loan Tape'!$AV114)-MAX(2,'Loan Tape'!$AT114))*IF(E421&lt;=0,E118/MAX(1,'Loan Tape'!$AU114-3+1),E421*E118/(1-(1+E421)^(-MAX(1,'Loan Tape'!$AU114-3+1)))-E421*E118),0)))</f>
        <v>0</v>
      </c>
      <c r="F1027" s="99" t="n">
        <f aca="false">IF(OR('Loan Tape'!$AN114=0,'Loan Tape'!$Z114="Interest Only",'Loan Tape'!$Z114=""),0,MIN(MAX(0,F118-F724),IFERROR(MAX(0,MIN(4,'Loan Tape'!$AV114)-MAX(3,'Loan Tape'!$AT114))*IF(F421&lt;=0,F118/MAX(1,'Loan Tape'!$AU114-4+1),F421*F118/(1-(1+F421)^(-MAX(1,'Loan Tape'!$AU114-4+1)))-F421*F118),0)))</f>
        <v>0</v>
      </c>
      <c r="G1027" s="99" t="n">
        <f aca="false">IF(OR('Loan Tape'!$AN114=0,'Loan Tape'!$Z114="Interest Only",'Loan Tape'!$Z114=""),0,MIN(MAX(0,G118-G724),IFERROR(MAX(0,MIN(5,'Loan Tape'!$AV114)-MAX(4,'Loan Tape'!$AT114))*IF(G421&lt;=0,G118/MAX(1,'Loan Tape'!$AU114-5+1),G421*G118/(1-(1+G421)^(-MAX(1,'Loan Tape'!$AU114-5+1)))-G421*G118),0)))</f>
        <v>0</v>
      </c>
      <c r="H1027" s="99" t="n">
        <f aca="false">IF(OR('Loan Tape'!$AN114=0,'Loan Tape'!$Z114="Interest Only",'Loan Tape'!$Z114=""),0,MIN(MAX(0,H118-H724),IFERROR(MAX(0,MIN(6,'Loan Tape'!$AV114)-MAX(5,'Loan Tape'!$AT114))*IF(H421&lt;=0,H118/MAX(1,'Loan Tape'!$AU114-6+1),H421*H118/(1-(1+H421)^(-MAX(1,'Loan Tape'!$AU114-6+1)))-H421*H118),0)))</f>
        <v>0</v>
      </c>
      <c r="I1027" s="99" t="n">
        <f aca="false">IF(OR('Loan Tape'!$AN114=0,'Loan Tape'!$Z114="Interest Only",'Loan Tape'!$Z114=""),0,MIN(MAX(0,I118-I724),IFERROR(MAX(0,MIN(7,'Loan Tape'!$AV114)-MAX(6,'Loan Tape'!$AT114))*IF(I421&lt;=0,I118/MAX(1,'Loan Tape'!$AU114-7+1),I421*I118/(1-(1+I421)^(-MAX(1,'Loan Tape'!$AU114-7+1)))-I421*I118),0)))</f>
        <v>0</v>
      </c>
      <c r="J1027" s="99" t="n">
        <f aca="false">IF(OR('Loan Tape'!$AN114=0,'Loan Tape'!$Z114="Interest Only",'Loan Tape'!$Z114=""),0,MIN(MAX(0,J118-J724),IFERROR(MAX(0,MIN(8,'Loan Tape'!$AV114)-MAX(7,'Loan Tape'!$AT114))*IF(J421&lt;=0,J118/MAX(1,'Loan Tape'!$AU114-8+1),J421*J118/(1-(1+J421)^(-MAX(1,'Loan Tape'!$AU114-8+1)))-J421*J118),0)))</f>
        <v>0</v>
      </c>
      <c r="K1027" s="99" t="n">
        <f aca="false">IF(OR('Loan Tape'!$AN114=0,'Loan Tape'!$Z114="Interest Only",'Loan Tape'!$Z114=""),0,MIN(MAX(0,K118-K724),IFERROR(MAX(0,MIN(9,'Loan Tape'!$AV114)-MAX(8,'Loan Tape'!$AT114))*IF(K421&lt;=0,K118/MAX(1,'Loan Tape'!$AU114-9+1),K421*K118/(1-(1+K421)^(-MAX(1,'Loan Tape'!$AU114-9+1)))-K421*K118),0)))</f>
        <v>0</v>
      </c>
      <c r="L1027" s="99" t="n">
        <f aca="false">IF(OR('Loan Tape'!$AN114=0,'Loan Tape'!$Z114="Interest Only",'Loan Tape'!$Z114=""),0,MIN(MAX(0,L118-L724),IFERROR(MAX(0,MIN(10,'Loan Tape'!$AV114)-MAX(9,'Loan Tape'!$AT114))*IF(L421&lt;=0,L118/MAX(1,'Loan Tape'!$AU114-10+1),L421*L118/(1-(1+L421)^(-MAX(1,'Loan Tape'!$AU114-10+1)))-L421*L118),0)))</f>
        <v>0</v>
      </c>
    </row>
    <row r="1028" customFormat="false" ht="15" hidden="false" customHeight="false" outlineLevel="0" collapsed="false">
      <c r="B1028" s="108" t="n">
        <f aca="false">'Loan Tape'!$A115</f>
        <v>0</v>
      </c>
      <c r="C1028" s="71" t="n">
        <f aca="false">IF(OR('Loan Tape'!$AN115=0,'Loan Tape'!$Z115="Interest Only",'Loan Tape'!$Z115=""),0,MIN(MAX(0,C119-C725),IFERROR(MAX(0,MIN(1,'Loan Tape'!$AV115)-MAX(0,'Loan Tape'!$AT115))*IF(C422&lt;=0,C119/MAX(1,'Loan Tape'!$AU115-1+1),C422*C119/(1-(1+C422)^(-MAX(1,'Loan Tape'!$AU115-1+1)))-C422*C119),0)))</f>
        <v>0</v>
      </c>
      <c r="D1028" s="71" t="n">
        <f aca="false">IF(OR('Loan Tape'!$AN115=0,'Loan Tape'!$Z115="Interest Only",'Loan Tape'!$Z115=""),0,MIN(MAX(0,D119-D725),IFERROR(MAX(0,MIN(2,'Loan Tape'!$AV115)-MAX(1,'Loan Tape'!$AT115))*IF(D422&lt;=0,D119/MAX(1,'Loan Tape'!$AU115-2+1),D422*D119/(1-(1+D422)^(-MAX(1,'Loan Tape'!$AU115-2+1)))-D422*D119),0)))</f>
        <v>0</v>
      </c>
      <c r="E1028" s="71" t="n">
        <f aca="false">IF(OR('Loan Tape'!$AN115=0,'Loan Tape'!$Z115="Interest Only",'Loan Tape'!$Z115=""),0,MIN(MAX(0,E119-E725),IFERROR(MAX(0,MIN(3,'Loan Tape'!$AV115)-MAX(2,'Loan Tape'!$AT115))*IF(E422&lt;=0,E119/MAX(1,'Loan Tape'!$AU115-3+1),E422*E119/(1-(1+E422)^(-MAX(1,'Loan Tape'!$AU115-3+1)))-E422*E119),0)))</f>
        <v>0</v>
      </c>
      <c r="F1028" s="71" t="n">
        <f aca="false">IF(OR('Loan Tape'!$AN115=0,'Loan Tape'!$Z115="Interest Only",'Loan Tape'!$Z115=""),0,MIN(MAX(0,F119-F725),IFERROR(MAX(0,MIN(4,'Loan Tape'!$AV115)-MAX(3,'Loan Tape'!$AT115))*IF(F422&lt;=0,F119/MAX(1,'Loan Tape'!$AU115-4+1),F422*F119/(1-(1+F422)^(-MAX(1,'Loan Tape'!$AU115-4+1)))-F422*F119),0)))</f>
        <v>0</v>
      </c>
      <c r="G1028" s="71" t="n">
        <f aca="false">IF(OR('Loan Tape'!$AN115=0,'Loan Tape'!$Z115="Interest Only",'Loan Tape'!$Z115=""),0,MIN(MAX(0,G119-G725),IFERROR(MAX(0,MIN(5,'Loan Tape'!$AV115)-MAX(4,'Loan Tape'!$AT115))*IF(G422&lt;=0,G119/MAX(1,'Loan Tape'!$AU115-5+1),G422*G119/(1-(1+G422)^(-MAX(1,'Loan Tape'!$AU115-5+1)))-G422*G119),0)))</f>
        <v>0</v>
      </c>
      <c r="H1028" s="71" t="n">
        <f aca="false">IF(OR('Loan Tape'!$AN115=0,'Loan Tape'!$Z115="Interest Only",'Loan Tape'!$Z115=""),0,MIN(MAX(0,H119-H725),IFERROR(MAX(0,MIN(6,'Loan Tape'!$AV115)-MAX(5,'Loan Tape'!$AT115))*IF(H422&lt;=0,H119/MAX(1,'Loan Tape'!$AU115-6+1),H422*H119/(1-(1+H422)^(-MAX(1,'Loan Tape'!$AU115-6+1)))-H422*H119),0)))</f>
        <v>0</v>
      </c>
      <c r="I1028" s="71" t="n">
        <f aca="false">IF(OR('Loan Tape'!$AN115=0,'Loan Tape'!$Z115="Interest Only",'Loan Tape'!$Z115=""),0,MIN(MAX(0,I119-I725),IFERROR(MAX(0,MIN(7,'Loan Tape'!$AV115)-MAX(6,'Loan Tape'!$AT115))*IF(I422&lt;=0,I119/MAX(1,'Loan Tape'!$AU115-7+1),I422*I119/(1-(1+I422)^(-MAX(1,'Loan Tape'!$AU115-7+1)))-I422*I119),0)))</f>
        <v>0</v>
      </c>
      <c r="J1028" s="71" t="n">
        <f aca="false">IF(OR('Loan Tape'!$AN115=0,'Loan Tape'!$Z115="Interest Only",'Loan Tape'!$Z115=""),0,MIN(MAX(0,J119-J725),IFERROR(MAX(0,MIN(8,'Loan Tape'!$AV115)-MAX(7,'Loan Tape'!$AT115))*IF(J422&lt;=0,J119/MAX(1,'Loan Tape'!$AU115-8+1),J422*J119/(1-(1+J422)^(-MAX(1,'Loan Tape'!$AU115-8+1)))-J422*J119),0)))</f>
        <v>0</v>
      </c>
      <c r="K1028" s="71" t="n">
        <f aca="false">IF(OR('Loan Tape'!$AN115=0,'Loan Tape'!$Z115="Interest Only",'Loan Tape'!$Z115=""),0,MIN(MAX(0,K119-K725),IFERROR(MAX(0,MIN(9,'Loan Tape'!$AV115)-MAX(8,'Loan Tape'!$AT115))*IF(K422&lt;=0,K119/MAX(1,'Loan Tape'!$AU115-9+1),K422*K119/(1-(1+K422)^(-MAX(1,'Loan Tape'!$AU115-9+1)))-K422*K119),0)))</f>
        <v>0</v>
      </c>
      <c r="L1028" s="71" t="n">
        <f aca="false">IF(OR('Loan Tape'!$AN115=0,'Loan Tape'!$Z115="Interest Only",'Loan Tape'!$Z115=""),0,MIN(MAX(0,L119-L725),IFERROR(MAX(0,MIN(10,'Loan Tape'!$AV115)-MAX(9,'Loan Tape'!$AT115))*IF(L422&lt;=0,L119/MAX(1,'Loan Tape'!$AU115-10+1),L422*L119/(1-(1+L422)^(-MAX(1,'Loan Tape'!$AU115-10+1)))-L422*L119),0)))</f>
        <v>0</v>
      </c>
    </row>
    <row r="1029" customFormat="false" ht="15" hidden="false" customHeight="false" outlineLevel="0" collapsed="false">
      <c r="B1029" s="102" t="n">
        <f aca="false">'Loan Tape'!$A116</f>
        <v>0</v>
      </c>
      <c r="C1029" s="99" t="n">
        <f aca="false">IF(OR('Loan Tape'!$AN116=0,'Loan Tape'!$Z116="Interest Only",'Loan Tape'!$Z116=""),0,MIN(MAX(0,C120-C726),IFERROR(MAX(0,MIN(1,'Loan Tape'!$AV116)-MAX(0,'Loan Tape'!$AT116))*IF(C423&lt;=0,C120/MAX(1,'Loan Tape'!$AU116-1+1),C423*C120/(1-(1+C423)^(-MAX(1,'Loan Tape'!$AU116-1+1)))-C423*C120),0)))</f>
        <v>0</v>
      </c>
      <c r="D1029" s="99" t="n">
        <f aca="false">IF(OR('Loan Tape'!$AN116=0,'Loan Tape'!$Z116="Interest Only",'Loan Tape'!$Z116=""),0,MIN(MAX(0,D120-D726),IFERROR(MAX(0,MIN(2,'Loan Tape'!$AV116)-MAX(1,'Loan Tape'!$AT116))*IF(D423&lt;=0,D120/MAX(1,'Loan Tape'!$AU116-2+1),D423*D120/(1-(1+D423)^(-MAX(1,'Loan Tape'!$AU116-2+1)))-D423*D120),0)))</f>
        <v>0</v>
      </c>
      <c r="E1029" s="99" t="n">
        <f aca="false">IF(OR('Loan Tape'!$AN116=0,'Loan Tape'!$Z116="Interest Only",'Loan Tape'!$Z116=""),0,MIN(MAX(0,E120-E726),IFERROR(MAX(0,MIN(3,'Loan Tape'!$AV116)-MAX(2,'Loan Tape'!$AT116))*IF(E423&lt;=0,E120/MAX(1,'Loan Tape'!$AU116-3+1),E423*E120/(1-(1+E423)^(-MAX(1,'Loan Tape'!$AU116-3+1)))-E423*E120),0)))</f>
        <v>0</v>
      </c>
      <c r="F1029" s="99" t="n">
        <f aca="false">IF(OR('Loan Tape'!$AN116=0,'Loan Tape'!$Z116="Interest Only",'Loan Tape'!$Z116=""),0,MIN(MAX(0,F120-F726),IFERROR(MAX(0,MIN(4,'Loan Tape'!$AV116)-MAX(3,'Loan Tape'!$AT116))*IF(F423&lt;=0,F120/MAX(1,'Loan Tape'!$AU116-4+1),F423*F120/(1-(1+F423)^(-MAX(1,'Loan Tape'!$AU116-4+1)))-F423*F120),0)))</f>
        <v>0</v>
      </c>
      <c r="G1029" s="99" t="n">
        <f aca="false">IF(OR('Loan Tape'!$AN116=0,'Loan Tape'!$Z116="Interest Only",'Loan Tape'!$Z116=""),0,MIN(MAX(0,G120-G726),IFERROR(MAX(0,MIN(5,'Loan Tape'!$AV116)-MAX(4,'Loan Tape'!$AT116))*IF(G423&lt;=0,G120/MAX(1,'Loan Tape'!$AU116-5+1),G423*G120/(1-(1+G423)^(-MAX(1,'Loan Tape'!$AU116-5+1)))-G423*G120),0)))</f>
        <v>0</v>
      </c>
      <c r="H1029" s="99" t="n">
        <f aca="false">IF(OR('Loan Tape'!$AN116=0,'Loan Tape'!$Z116="Interest Only",'Loan Tape'!$Z116=""),0,MIN(MAX(0,H120-H726),IFERROR(MAX(0,MIN(6,'Loan Tape'!$AV116)-MAX(5,'Loan Tape'!$AT116))*IF(H423&lt;=0,H120/MAX(1,'Loan Tape'!$AU116-6+1),H423*H120/(1-(1+H423)^(-MAX(1,'Loan Tape'!$AU116-6+1)))-H423*H120),0)))</f>
        <v>0</v>
      </c>
      <c r="I1029" s="99" t="n">
        <f aca="false">IF(OR('Loan Tape'!$AN116=0,'Loan Tape'!$Z116="Interest Only",'Loan Tape'!$Z116=""),0,MIN(MAX(0,I120-I726),IFERROR(MAX(0,MIN(7,'Loan Tape'!$AV116)-MAX(6,'Loan Tape'!$AT116))*IF(I423&lt;=0,I120/MAX(1,'Loan Tape'!$AU116-7+1),I423*I120/(1-(1+I423)^(-MAX(1,'Loan Tape'!$AU116-7+1)))-I423*I120),0)))</f>
        <v>0</v>
      </c>
      <c r="J1029" s="99" t="n">
        <f aca="false">IF(OR('Loan Tape'!$AN116=0,'Loan Tape'!$Z116="Interest Only",'Loan Tape'!$Z116=""),0,MIN(MAX(0,J120-J726),IFERROR(MAX(0,MIN(8,'Loan Tape'!$AV116)-MAX(7,'Loan Tape'!$AT116))*IF(J423&lt;=0,J120/MAX(1,'Loan Tape'!$AU116-8+1),J423*J120/(1-(1+J423)^(-MAX(1,'Loan Tape'!$AU116-8+1)))-J423*J120),0)))</f>
        <v>0</v>
      </c>
      <c r="K1029" s="99" t="n">
        <f aca="false">IF(OR('Loan Tape'!$AN116=0,'Loan Tape'!$Z116="Interest Only",'Loan Tape'!$Z116=""),0,MIN(MAX(0,K120-K726),IFERROR(MAX(0,MIN(9,'Loan Tape'!$AV116)-MAX(8,'Loan Tape'!$AT116))*IF(K423&lt;=0,K120/MAX(1,'Loan Tape'!$AU116-9+1),K423*K120/(1-(1+K423)^(-MAX(1,'Loan Tape'!$AU116-9+1)))-K423*K120),0)))</f>
        <v>0</v>
      </c>
      <c r="L1029" s="99" t="n">
        <f aca="false">IF(OR('Loan Tape'!$AN116=0,'Loan Tape'!$Z116="Interest Only",'Loan Tape'!$Z116=""),0,MIN(MAX(0,L120-L726),IFERROR(MAX(0,MIN(10,'Loan Tape'!$AV116)-MAX(9,'Loan Tape'!$AT116))*IF(L423&lt;=0,L120/MAX(1,'Loan Tape'!$AU116-10+1),L423*L120/(1-(1+L423)^(-MAX(1,'Loan Tape'!$AU116-10+1)))-L423*L120),0)))</f>
        <v>0</v>
      </c>
    </row>
    <row r="1030" customFormat="false" ht="15" hidden="false" customHeight="false" outlineLevel="0" collapsed="false">
      <c r="B1030" s="108" t="n">
        <f aca="false">'Loan Tape'!$A117</f>
        <v>0</v>
      </c>
      <c r="C1030" s="71" t="n">
        <f aca="false">IF(OR('Loan Tape'!$AN117=0,'Loan Tape'!$Z117="Interest Only",'Loan Tape'!$Z117=""),0,MIN(MAX(0,C121-C727),IFERROR(MAX(0,MIN(1,'Loan Tape'!$AV117)-MAX(0,'Loan Tape'!$AT117))*IF(C424&lt;=0,C121/MAX(1,'Loan Tape'!$AU117-1+1),C424*C121/(1-(1+C424)^(-MAX(1,'Loan Tape'!$AU117-1+1)))-C424*C121),0)))</f>
        <v>0</v>
      </c>
      <c r="D1030" s="71" t="n">
        <f aca="false">IF(OR('Loan Tape'!$AN117=0,'Loan Tape'!$Z117="Interest Only",'Loan Tape'!$Z117=""),0,MIN(MAX(0,D121-D727),IFERROR(MAX(0,MIN(2,'Loan Tape'!$AV117)-MAX(1,'Loan Tape'!$AT117))*IF(D424&lt;=0,D121/MAX(1,'Loan Tape'!$AU117-2+1),D424*D121/(1-(1+D424)^(-MAX(1,'Loan Tape'!$AU117-2+1)))-D424*D121),0)))</f>
        <v>0</v>
      </c>
      <c r="E1030" s="71" t="n">
        <f aca="false">IF(OR('Loan Tape'!$AN117=0,'Loan Tape'!$Z117="Interest Only",'Loan Tape'!$Z117=""),0,MIN(MAX(0,E121-E727),IFERROR(MAX(0,MIN(3,'Loan Tape'!$AV117)-MAX(2,'Loan Tape'!$AT117))*IF(E424&lt;=0,E121/MAX(1,'Loan Tape'!$AU117-3+1),E424*E121/(1-(1+E424)^(-MAX(1,'Loan Tape'!$AU117-3+1)))-E424*E121),0)))</f>
        <v>0</v>
      </c>
      <c r="F1030" s="71" t="n">
        <f aca="false">IF(OR('Loan Tape'!$AN117=0,'Loan Tape'!$Z117="Interest Only",'Loan Tape'!$Z117=""),0,MIN(MAX(0,F121-F727),IFERROR(MAX(0,MIN(4,'Loan Tape'!$AV117)-MAX(3,'Loan Tape'!$AT117))*IF(F424&lt;=0,F121/MAX(1,'Loan Tape'!$AU117-4+1),F424*F121/(1-(1+F424)^(-MAX(1,'Loan Tape'!$AU117-4+1)))-F424*F121),0)))</f>
        <v>0</v>
      </c>
      <c r="G1030" s="71" t="n">
        <f aca="false">IF(OR('Loan Tape'!$AN117=0,'Loan Tape'!$Z117="Interest Only",'Loan Tape'!$Z117=""),0,MIN(MAX(0,G121-G727),IFERROR(MAX(0,MIN(5,'Loan Tape'!$AV117)-MAX(4,'Loan Tape'!$AT117))*IF(G424&lt;=0,G121/MAX(1,'Loan Tape'!$AU117-5+1),G424*G121/(1-(1+G424)^(-MAX(1,'Loan Tape'!$AU117-5+1)))-G424*G121),0)))</f>
        <v>0</v>
      </c>
      <c r="H1030" s="71" t="n">
        <f aca="false">IF(OR('Loan Tape'!$AN117=0,'Loan Tape'!$Z117="Interest Only",'Loan Tape'!$Z117=""),0,MIN(MAX(0,H121-H727),IFERROR(MAX(0,MIN(6,'Loan Tape'!$AV117)-MAX(5,'Loan Tape'!$AT117))*IF(H424&lt;=0,H121/MAX(1,'Loan Tape'!$AU117-6+1),H424*H121/(1-(1+H424)^(-MAX(1,'Loan Tape'!$AU117-6+1)))-H424*H121),0)))</f>
        <v>0</v>
      </c>
      <c r="I1030" s="71" t="n">
        <f aca="false">IF(OR('Loan Tape'!$AN117=0,'Loan Tape'!$Z117="Interest Only",'Loan Tape'!$Z117=""),0,MIN(MAX(0,I121-I727),IFERROR(MAX(0,MIN(7,'Loan Tape'!$AV117)-MAX(6,'Loan Tape'!$AT117))*IF(I424&lt;=0,I121/MAX(1,'Loan Tape'!$AU117-7+1),I424*I121/(1-(1+I424)^(-MAX(1,'Loan Tape'!$AU117-7+1)))-I424*I121),0)))</f>
        <v>0</v>
      </c>
      <c r="J1030" s="71" t="n">
        <f aca="false">IF(OR('Loan Tape'!$AN117=0,'Loan Tape'!$Z117="Interest Only",'Loan Tape'!$Z117=""),0,MIN(MAX(0,J121-J727),IFERROR(MAX(0,MIN(8,'Loan Tape'!$AV117)-MAX(7,'Loan Tape'!$AT117))*IF(J424&lt;=0,J121/MAX(1,'Loan Tape'!$AU117-8+1),J424*J121/(1-(1+J424)^(-MAX(1,'Loan Tape'!$AU117-8+1)))-J424*J121),0)))</f>
        <v>0</v>
      </c>
      <c r="K1030" s="71" t="n">
        <f aca="false">IF(OR('Loan Tape'!$AN117=0,'Loan Tape'!$Z117="Interest Only",'Loan Tape'!$Z117=""),0,MIN(MAX(0,K121-K727),IFERROR(MAX(0,MIN(9,'Loan Tape'!$AV117)-MAX(8,'Loan Tape'!$AT117))*IF(K424&lt;=0,K121/MAX(1,'Loan Tape'!$AU117-9+1),K424*K121/(1-(1+K424)^(-MAX(1,'Loan Tape'!$AU117-9+1)))-K424*K121),0)))</f>
        <v>0</v>
      </c>
      <c r="L1030" s="71" t="n">
        <f aca="false">IF(OR('Loan Tape'!$AN117=0,'Loan Tape'!$Z117="Interest Only",'Loan Tape'!$Z117=""),0,MIN(MAX(0,L121-L727),IFERROR(MAX(0,MIN(10,'Loan Tape'!$AV117)-MAX(9,'Loan Tape'!$AT117))*IF(L424&lt;=0,L121/MAX(1,'Loan Tape'!$AU117-10+1),L424*L121/(1-(1+L424)^(-MAX(1,'Loan Tape'!$AU117-10+1)))-L424*L121),0)))</f>
        <v>0</v>
      </c>
    </row>
    <row r="1031" customFormat="false" ht="15" hidden="false" customHeight="false" outlineLevel="0" collapsed="false">
      <c r="B1031" s="102" t="n">
        <f aca="false">'Loan Tape'!$A118</f>
        <v>0</v>
      </c>
      <c r="C1031" s="99" t="n">
        <f aca="false">IF(OR('Loan Tape'!$AN118=0,'Loan Tape'!$Z118="Interest Only",'Loan Tape'!$Z118=""),0,MIN(MAX(0,C122-C728),IFERROR(MAX(0,MIN(1,'Loan Tape'!$AV118)-MAX(0,'Loan Tape'!$AT118))*IF(C425&lt;=0,C122/MAX(1,'Loan Tape'!$AU118-1+1),C425*C122/(1-(1+C425)^(-MAX(1,'Loan Tape'!$AU118-1+1)))-C425*C122),0)))</f>
        <v>0</v>
      </c>
      <c r="D1031" s="99" t="n">
        <f aca="false">IF(OR('Loan Tape'!$AN118=0,'Loan Tape'!$Z118="Interest Only",'Loan Tape'!$Z118=""),0,MIN(MAX(0,D122-D728),IFERROR(MAX(0,MIN(2,'Loan Tape'!$AV118)-MAX(1,'Loan Tape'!$AT118))*IF(D425&lt;=0,D122/MAX(1,'Loan Tape'!$AU118-2+1),D425*D122/(1-(1+D425)^(-MAX(1,'Loan Tape'!$AU118-2+1)))-D425*D122),0)))</f>
        <v>0</v>
      </c>
      <c r="E1031" s="99" t="n">
        <f aca="false">IF(OR('Loan Tape'!$AN118=0,'Loan Tape'!$Z118="Interest Only",'Loan Tape'!$Z118=""),0,MIN(MAX(0,E122-E728),IFERROR(MAX(0,MIN(3,'Loan Tape'!$AV118)-MAX(2,'Loan Tape'!$AT118))*IF(E425&lt;=0,E122/MAX(1,'Loan Tape'!$AU118-3+1),E425*E122/(1-(1+E425)^(-MAX(1,'Loan Tape'!$AU118-3+1)))-E425*E122),0)))</f>
        <v>0</v>
      </c>
      <c r="F1031" s="99" t="n">
        <f aca="false">IF(OR('Loan Tape'!$AN118=0,'Loan Tape'!$Z118="Interest Only",'Loan Tape'!$Z118=""),0,MIN(MAX(0,F122-F728),IFERROR(MAX(0,MIN(4,'Loan Tape'!$AV118)-MAX(3,'Loan Tape'!$AT118))*IF(F425&lt;=0,F122/MAX(1,'Loan Tape'!$AU118-4+1),F425*F122/(1-(1+F425)^(-MAX(1,'Loan Tape'!$AU118-4+1)))-F425*F122),0)))</f>
        <v>0</v>
      </c>
      <c r="G1031" s="99" t="n">
        <f aca="false">IF(OR('Loan Tape'!$AN118=0,'Loan Tape'!$Z118="Interest Only",'Loan Tape'!$Z118=""),0,MIN(MAX(0,G122-G728),IFERROR(MAX(0,MIN(5,'Loan Tape'!$AV118)-MAX(4,'Loan Tape'!$AT118))*IF(G425&lt;=0,G122/MAX(1,'Loan Tape'!$AU118-5+1),G425*G122/(1-(1+G425)^(-MAX(1,'Loan Tape'!$AU118-5+1)))-G425*G122),0)))</f>
        <v>0</v>
      </c>
      <c r="H1031" s="99" t="n">
        <f aca="false">IF(OR('Loan Tape'!$AN118=0,'Loan Tape'!$Z118="Interest Only",'Loan Tape'!$Z118=""),0,MIN(MAX(0,H122-H728),IFERROR(MAX(0,MIN(6,'Loan Tape'!$AV118)-MAX(5,'Loan Tape'!$AT118))*IF(H425&lt;=0,H122/MAX(1,'Loan Tape'!$AU118-6+1),H425*H122/(1-(1+H425)^(-MAX(1,'Loan Tape'!$AU118-6+1)))-H425*H122),0)))</f>
        <v>0</v>
      </c>
      <c r="I1031" s="99" t="n">
        <f aca="false">IF(OR('Loan Tape'!$AN118=0,'Loan Tape'!$Z118="Interest Only",'Loan Tape'!$Z118=""),0,MIN(MAX(0,I122-I728),IFERROR(MAX(0,MIN(7,'Loan Tape'!$AV118)-MAX(6,'Loan Tape'!$AT118))*IF(I425&lt;=0,I122/MAX(1,'Loan Tape'!$AU118-7+1),I425*I122/(1-(1+I425)^(-MAX(1,'Loan Tape'!$AU118-7+1)))-I425*I122),0)))</f>
        <v>0</v>
      </c>
      <c r="J1031" s="99" t="n">
        <f aca="false">IF(OR('Loan Tape'!$AN118=0,'Loan Tape'!$Z118="Interest Only",'Loan Tape'!$Z118=""),0,MIN(MAX(0,J122-J728),IFERROR(MAX(0,MIN(8,'Loan Tape'!$AV118)-MAX(7,'Loan Tape'!$AT118))*IF(J425&lt;=0,J122/MAX(1,'Loan Tape'!$AU118-8+1),J425*J122/(1-(1+J425)^(-MAX(1,'Loan Tape'!$AU118-8+1)))-J425*J122),0)))</f>
        <v>0</v>
      </c>
      <c r="K1031" s="99" t="n">
        <f aca="false">IF(OR('Loan Tape'!$AN118=0,'Loan Tape'!$Z118="Interest Only",'Loan Tape'!$Z118=""),0,MIN(MAX(0,K122-K728),IFERROR(MAX(0,MIN(9,'Loan Tape'!$AV118)-MAX(8,'Loan Tape'!$AT118))*IF(K425&lt;=0,K122/MAX(1,'Loan Tape'!$AU118-9+1),K425*K122/(1-(1+K425)^(-MAX(1,'Loan Tape'!$AU118-9+1)))-K425*K122),0)))</f>
        <v>0</v>
      </c>
      <c r="L1031" s="99" t="n">
        <f aca="false">IF(OR('Loan Tape'!$AN118=0,'Loan Tape'!$Z118="Interest Only",'Loan Tape'!$Z118=""),0,MIN(MAX(0,L122-L728),IFERROR(MAX(0,MIN(10,'Loan Tape'!$AV118)-MAX(9,'Loan Tape'!$AT118))*IF(L425&lt;=0,L122/MAX(1,'Loan Tape'!$AU118-10+1),L425*L122/(1-(1+L425)^(-MAX(1,'Loan Tape'!$AU118-10+1)))-L425*L122),0)))</f>
        <v>0</v>
      </c>
    </row>
    <row r="1032" customFormat="false" ht="15" hidden="false" customHeight="false" outlineLevel="0" collapsed="false">
      <c r="B1032" s="108" t="n">
        <f aca="false">'Loan Tape'!$A119</f>
        <v>0</v>
      </c>
      <c r="C1032" s="71" t="n">
        <f aca="false">IF(OR('Loan Tape'!$AN119=0,'Loan Tape'!$Z119="Interest Only",'Loan Tape'!$Z119=""),0,MIN(MAX(0,C123-C729),IFERROR(MAX(0,MIN(1,'Loan Tape'!$AV119)-MAX(0,'Loan Tape'!$AT119))*IF(C426&lt;=0,C123/MAX(1,'Loan Tape'!$AU119-1+1),C426*C123/(1-(1+C426)^(-MAX(1,'Loan Tape'!$AU119-1+1)))-C426*C123),0)))</f>
        <v>0</v>
      </c>
      <c r="D1032" s="71" t="n">
        <f aca="false">IF(OR('Loan Tape'!$AN119=0,'Loan Tape'!$Z119="Interest Only",'Loan Tape'!$Z119=""),0,MIN(MAX(0,D123-D729),IFERROR(MAX(0,MIN(2,'Loan Tape'!$AV119)-MAX(1,'Loan Tape'!$AT119))*IF(D426&lt;=0,D123/MAX(1,'Loan Tape'!$AU119-2+1),D426*D123/(1-(1+D426)^(-MAX(1,'Loan Tape'!$AU119-2+1)))-D426*D123),0)))</f>
        <v>0</v>
      </c>
      <c r="E1032" s="71" t="n">
        <f aca="false">IF(OR('Loan Tape'!$AN119=0,'Loan Tape'!$Z119="Interest Only",'Loan Tape'!$Z119=""),0,MIN(MAX(0,E123-E729),IFERROR(MAX(0,MIN(3,'Loan Tape'!$AV119)-MAX(2,'Loan Tape'!$AT119))*IF(E426&lt;=0,E123/MAX(1,'Loan Tape'!$AU119-3+1),E426*E123/(1-(1+E426)^(-MAX(1,'Loan Tape'!$AU119-3+1)))-E426*E123),0)))</f>
        <v>0</v>
      </c>
      <c r="F1032" s="71" t="n">
        <f aca="false">IF(OR('Loan Tape'!$AN119=0,'Loan Tape'!$Z119="Interest Only",'Loan Tape'!$Z119=""),0,MIN(MAX(0,F123-F729),IFERROR(MAX(0,MIN(4,'Loan Tape'!$AV119)-MAX(3,'Loan Tape'!$AT119))*IF(F426&lt;=0,F123/MAX(1,'Loan Tape'!$AU119-4+1),F426*F123/(1-(1+F426)^(-MAX(1,'Loan Tape'!$AU119-4+1)))-F426*F123),0)))</f>
        <v>0</v>
      </c>
      <c r="G1032" s="71" t="n">
        <f aca="false">IF(OR('Loan Tape'!$AN119=0,'Loan Tape'!$Z119="Interest Only",'Loan Tape'!$Z119=""),0,MIN(MAX(0,G123-G729),IFERROR(MAX(0,MIN(5,'Loan Tape'!$AV119)-MAX(4,'Loan Tape'!$AT119))*IF(G426&lt;=0,G123/MAX(1,'Loan Tape'!$AU119-5+1),G426*G123/(1-(1+G426)^(-MAX(1,'Loan Tape'!$AU119-5+1)))-G426*G123),0)))</f>
        <v>0</v>
      </c>
      <c r="H1032" s="71" t="n">
        <f aca="false">IF(OR('Loan Tape'!$AN119=0,'Loan Tape'!$Z119="Interest Only",'Loan Tape'!$Z119=""),0,MIN(MAX(0,H123-H729),IFERROR(MAX(0,MIN(6,'Loan Tape'!$AV119)-MAX(5,'Loan Tape'!$AT119))*IF(H426&lt;=0,H123/MAX(1,'Loan Tape'!$AU119-6+1),H426*H123/(1-(1+H426)^(-MAX(1,'Loan Tape'!$AU119-6+1)))-H426*H123),0)))</f>
        <v>0</v>
      </c>
      <c r="I1032" s="71" t="n">
        <f aca="false">IF(OR('Loan Tape'!$AN119=0,'Loan Tape'!$Z119="Interest Only",'Loan Tape'!$Z119=""),0,MIN(MAX(0,I123-I729),IFERROR(MAX(0,MIN(7,'Loan Tape'!$AV119)-MAX(6,'Loan Tape'!$AT119))*IF(I426&lt;=0,I123/MAX(1,'Loan Tape'!$AU119-7+1),I426*I123/(1-(1+I426)^(-MAX(1,'Loan Tape'!$AU119-7+1)))-I426*I123),0)))</f>
        <v>0</v>
      </c>
      <c r="J1032" s="71" t="n">
        <f aca="false">IF(OR('Loan Tape'!$AN119=0,'Loan Tape'!$Z119="Interest Only",'Loan Tape'!$Z119=""),0,MIN(MAX(0,J123-J729),IFERROR(MAX(0,MIN(8,'Loan Tape'!$AV119)-MAX(7,'Loan Tape'!$AT119))*IF(J426&lt;=0,J123/MAX(1,'Loan Tape'!$AU119-8+1),J426*J123/(1-(1+J426)^(-MAX(1,'Loan Tape'!$AU119-8+1)))-J426*J123),0)))</f>
        <v>0</v>
      </c>
      <c r="K1032" s="71" t="n">
        <f aca="false">IF(OR('Loan Tape'!$AN119=0,'Loan Tape'!$Z119="Interest Only",'Loan Tape'!$Z119=""),0,MIN(MAX(0,K123-K729),IFERROR(MAX(0,MIN(9,'Loan Tape'!$AV119)-MAX(8,'Loan Tape'!$AT119))*IF(K426&lt;=0,K123/MAX(1,'Loan Tape'!$AU119-9+1),K426*K123/(1-(1+K426)^(-MAX(1,'Loan Tape'!$AU119-9+1)))-K426*K123),0)))</f>
        <v>0</v>
      </c>
      <c r="L1032" s="71" t="n">
        <f aca="false">IF(OR('Loan Tape'!$AN119=0,'Loan Tape'!$Z119="Interest Only",'Loan Tape'!$Z119=""),0,MIN(MAX(0,L123-L729),IFERROR(MAX(0,MIN(10,'Loan Tape'!$AV119)-MAX(9,'Loan Tape'!$AT119))*IF(L426&lt;=0,L123/MAX(1,'Loan Tape'!$AU119-10+1),L426*L123/(1-(1+L426)^(-MAX(1,'Loan Tape'!$AU119-10+1)))-L426*L123),0)))</f>
        <v>0</v>
      </c>
    </row>
    <row r="1033" customFormat="false" ht="15" hidden="false" customHeight="false" outlineLevel="0" collapsed="false">
      <c r="B1033" s="102" t="n">
        <f aca="false">'Loan Tape'!$A120</f>
        <v>0</v>
      </c>
      <c r="C1033" s="99" t="n">
        <f aca="false">IF(OR('Loan Tape'!$AN120=0,'Loan Tape'!$Z120="Interest Only",'Loan Tape'!$Z120=""),0,MIN(MAX(0,C124-C730),IFERROR(MAX(0,MIN(1,'Loan Tape'!$AV120)-MAX(0,'Loan Tape'!$AT120))*IF(C427&lt;=0,C124/MAX(1,'Loan Tape'!$AU120-1+1),C427*C124/(1-(1+C427)^(-MAX(1,'Loan Tape'!$AU120-1+1)))-C427*C124),0)))</f>
        <v>0</v>
      </c>
      <c r="D1033" s="99" t="n">
        <f aca="false">IF(OR('Loan Tape'!$AN120=0,'Loan Tape'!$Z120="Interest Only",'Loan Tape'!$Z120=""),0,MIN(MAX(0,D124-D730),IFERROR(MAX(0,MIN(2,'Loan Tape'!$AV120)-MAX(1,'Loan Tape'!$AT120))*IF(D427&lt;=0,D124/MAX(1,'Loan Tape'!$AU120-2+1),D427*D124/(1-(1+D427)^(-MAX(1,'Loan Tape'!$AU120-2+1)))-D427*D124),0)))</f>
        <v>0</v>
      </c>
      <c r="E1033" s="99" t="n">
        <f aca="false">IF(OR('Loan Tape'!$AN120=0,'Loan Tape'!$Z120="Interest Only",'Loan Tape'!$Z120=""),0,MIN(MAX(0,E124-E730),IFERROR(MAX(0,MIN(3,'Loan Tape'!$AV120)-MAX(2,'Loan Tape'!$AT120))*IF(E427&lt;=0,E124/MAX(1,'Loan Tape'!$AU120-3+1),E427*E124/(1-(1+E427)^(-MAX(1,'Loan Tape'!$AU120-3+1)))-E427*E124),0)))</f>
        <v>0</v>
      </c>
      <c r="F1033" s="99" t="n">
        <f aca="false">IF(OR('Loan Tape'!$AN120=0,'Loan Tape'!$Z120="Interest Only",'Loan Tape'!$Z120=""),0,MIN(MAX(0,F124-F730),IFERROR(MAX(0,MIN(4,'Loan Tape'!$AV120)-MAX(3,'Loan Tape'!$AT120))*IF(F427&lt;=0,F124/MAX(1,'Loan Tape'!$AU120-4+1),F427*F124/(1-(1+F427)^(-MAX(1,'Loan Tape'!$AU120-4+1)))-F427*F124),0)))</f>
        <v>0</v>
      </c>
      <c r="G1033" s="99" t="n">
        <f aca="false">IF(OR('Loan Tape'!$AN120=0,'Loan Tape'!$Z120="Interest Only",'Loan Tape'!$Z120=""),0,MIN(MAX(0,G124-G730),IFERROR(MAX(0,MIN(5,'Loan Tape'!$AV120)-MAX(4,'Loan Tape'!$AT120))*IF(G427&lt;=0,G124/MAX(1,'Loan Tape'!$AU120-5+1),G427*G124/(1-(1+G427)^(-MAX(1,'Loan Tape'!$AU120-5+1)))-G427*G124),0)))</f>
        <v>0</v>
      </c>
      <c r="H1033" s="99" t="n">
        <f aca="false">IF(OR('Loan Tape'!$AN120=0,'Loan Tape'!$Z120="Interest Only",'Loan Tape'!$Z120=""),0,MIN(MAX(0,H124-H730),IFERROR(MAX(0,MIN(6,'Loan Tape'!$AV120)-MAX(5,'Loan Tape'!$AT120))*IF(H427&lt;=0,H124/MAX(1,'Loan Tape'!$AU120-6+1),H427*H124/(1-(1+H427)^(-MAX(1,'Loan Tape'!$AU120-6+1)))-H427*H124),0)))</f>
        <v>0</v>
      </c>
      <c r="I1033" s="99" t="n">
        <f aca="false">IF(OR('Loan Tape'!$AN120=0,'Loan Tape'!$Z120="Interest Only",'Loan Tape'!$Z120=""),0,MIN(MAX(0,I124-I730),IFERROR(MAX(0,MIN(7,'Loan Tape'!$AV120)-MAX(6,'Loan Tape'!$AT120))*IF(I427&lt;=0,I124/MAX(1,'Loan Tape'!$AU120-7+1),I427*I124/(1-(1+I427)^(-MAX(1,'Loan Tape'!$AU120-7+1)))-I427*I124),0)))</f>
        <v>0</v>
      </c>
      <c r="J1033" s="99" t="n">
        <f aca="false">IF(OR('Loan Tape'!$AN120=0,'Loan Tape'!$Z120="Interest Only",'Loan Tape'!$Z120=""),0,MIN(MAX(0,J124-J730),IFERROR(MAX(0,MIN(8,'Loan Tape'!$AV120)-MAX(7,'Loan Tape'!$AT120))*IF(J427&lt;=0,J124/MAX(1,'Loan Tape'!$AU120-8+1),J427*J124/(1-(1+J427)^(-MAX(1,'Loan Tape'!$AU120-8+1)))-J427*J124),0)))</f>
        <v>0</v>
      </c>
      <c r="K1033" s="99" t="n">
        <f aca="false">IF(OR('Loan Tape'!$AN120=0,'Loan Tape'!$Z120="Interest Only",'Loan Tape'!$Z120=""),0,MIN(MAX(0,K124-K730),IFERROR(MAX(0,MIN(9,'Loan Tape'!$AV120)-MAX(8,'Loan Tape'!$AT120))*IF(K427&lt;=0,K124/MAX(1,'Loan Tape'!$AU120-9+1),K427*K124/(1-(1+K427)^(-MAX(1,'Loan Tape'!$AU120-9+1)))-K427*K124),0)))</f>
        <v>0</v>
      </c>
      <c r="L1033" s="99" t="n">
        <f aca="false">IF(OR('Loan Tape'!$AN120=0,'Loan Tape'!$Z120="Interest Only",'Loan Tape'!$Z120=""),0,MIN(MAX(0,L124-L730),IFERROR(MAX(0,MIN(10,'Loan Tape'!$AV120)-MAX(9,'Loan Tape'!$AT120))*IF(L427&lt;=0,L124/MAX(1,'Loan Tape'!$AU120-10+1),L427*L124/(1-(1+L427)^(-MAX(1,'Loan Tape'!$AU120-10+1)))-L427*L124),0)))</f>
        <v>0</v>
      </c>
    </row>
    <row r="1034" customFormat="false" ht="15" hidden="false" customHeight="false" outlineLevel="0" collapsed="false">
      <c r="B1034" s="108" t="n">
        <f aca="false">'Loan Tape'!$A121</f>
        <v>0</v>
      </c>
      <c r="C1034" s="71" t="n">
        <f aca="false">IF(OR('Loan Tape'!$AN121=0,'Loan Tape'!$Z121="Interest Only",'Loan Tape'!$Z121=""),0,MIN(MAX(0,C125-C731),IFERROR(MAX(0,MIN(1,'Loan Tape'!$AV121)-MAX(0,'Loan Tape'!$AT121))*IF(C428&lt;=0,C125/MAX(1,'Loan Tape'!$AU121-1+1),C428*C125/(1-(1+C428)^(-MAX(1,'Loan Tape'!$AU121-1+1)))-C428*C125),0)))</f>
        <v>0</v>
      </c>
      <c r="D1034" s="71" t="n">
        <f aca="false">IF(OR('Loan Tape'!$AN121=0,'Loan Tape'!$Z121="Interest Only",'Loan Tape'!$Z121=""),0,MIN(MAX(0,D125-D731),IFERROR(MAX(0,MIN(2,'Loan Tape'!$AV121)-MAX(1,'Loan Tape'!$AT121))*IF(D428&lt;=0,D125/MAX(1,'Loan Tape'!$AU121-2+1),D428*D125/(1-(1+D428)^(-MAX(1,'Loan Tape'!$AU121-2+1)))-D428*D125),0)))</f>
        <v>0</v>
      </c>
      <c r="E1034" s="71" t="n">
        <f aca="false">IF(OR('Loan Tape'!$AN121=0,'Loan Tape'!$Z121="Interest Only",'Loan Tape'!$Z121=""),0,MIN(MAX(0,E125-E731),IFERROR(MAX(0,MIN(3,'Loan Tape'!$AV121)-MAX(2,'Loan Tape'!$AT121))*IF(E428&lt;=0,E125/MAX(1,'Loan Tape'!$AU121-3+1),E428*E125/(1-(1+E428)^(-MAX(1,'Loan Tape'!$AU121-3+1)))-E428*E125),0)))</f>
        <v>0</v>
      </c>
      <c r="F1034" s="71" t="n">
        <f aca="false">IF(OR('Loan Tape'!$AN121=0,'Loan Tape'!$Z121="Interest Only",'Loan Tape'!$Z121=""),0,MIN(MAX(0,F125-F731),IFERROR(MAX(0,MIN(4,'Loan Tape'!$AV121)-MAX(3,'Loan Tape'!$AT121))*IF(F428&lt;=0,F125/MAX(1,'Loan Tape'!$AU121-4+1),F428*F125/(1-(1+F428)^(-MAX(1,'Loan Tape'!$AU121-4+1)))-F428*F125),0)))</f>
        <v>0</v>
      </c>
      <c r="G1034" s="71" t="n">
        <f aca="false">IF(OR('Loan Tape'!$AN121=0,'Loan Tape'!$Z121="Interest Only",'Loan Tape'!$Z121=""),0,MIN(MAX(0,G125-G731),IFERROR(MAX(0,MIN(5,'Loan Tape'!$AV121)-MAX(4,'Loan Tape'!$AT121))*IF(G428&lt;=0,G125/MAX(1,'Loan Tape'!$AU121-5+1),G428*G125/(1-(1+G428)^(-MAX(1,'Loan Tape'!$AU121-5+1)))-G428*G125),0)))</f>
        <v>0</v>
      </c>
      <c r="H1034" s="71" t="n">
        <f aca="false">IF(OR('Loan Tape'!$AN121=0,'Loan Tape'!$Z121="Interest Only",'Loan Tape'!$Z121=""),0,MIN(MAX(0,H125-H731),IFERROR(MAX(0,MIN(6,'Loan Tape'!$AV121)-MAX(5,'Loan Tape'!$AT121))*IF(H428&lt;=0,H125/MAX(1,'Loan Tape'!$AU121-6+1),H428*H125/(1-(1+H428)^(-MAX(1,'Loan Tape'!$AU121-6+1)))-H428*H125),0)))</f>
        <v>0</v>
      </c>
      <c r="I1034" s="71" t="n">
        <f aca="false">IF(OR('Loan Tape'!$AN121=0,'Loan Tape'!$Z121="Interest Only",'Loan Tape'!$Z121=""),0,MIN(MAX(0,I125-I731),IFERROR(MAX(0,MIN(7,'Loan Tape'!$AV121)-MAX(6,'Loan Tape'!$AT121))*IF(I428&lt;=0,I125/MAX(1,'Loan Tape'!$AU121-7+1),I428*I125/(1-(1+I428)^(-MAX(1,'Loan Tape'!$AU121-7+1)))-I428*I125),0)))</f>
        <v>0</v>
      </c>
      <c r="J1034" s="71" t="n">
        <f aca="false">IF(OR('Loan Tape'!$AN121=0,'Loan Tape'!$Z121="Interest Only",'Loan Tape'!$Z121=""),0,MIN(MAX(0,J125-J731),IFERROR(MAX(0,MIN(8,'Loan Tape'!$AV121)-MAX(7,'Loan Tape'!$AT121))*IF(J428&lt;=0,J125/MAX(1,'Loan Tape'!$AU121-8+1),J428*J125/(1-(1+J428)^(-MAX(1,'Loan Tape'!$AU121-8+1)))-J428*J125),0)))</f>
        <v>0</v>
      </c>
      <c r="K1034" s="71" t="n">
        <f aca="false">IF(OR('Loan Tape'!$AN121=0,'Loan Tape'!$Z121="Interest Only",'Loan Tape'!$Z121=""),0,MIN(MAX(0,K125-K731),IFERROR(MAX(0,MIN(9,'Loan Tape'!$AV121)-MAX(8,'Loan Tape'!$AT121))*IF(K428&lt;=0,K125/MAX(1,'Loan Tape'!$AU121-9+1),K428*K125/(1-(1+K428)^(-MAX(1,'Loan Tape'!$AU121-9+1)))-K428*K125),0)))</f>
        <v>0</v>
      </c>
      <c r="L1034" s="71" t="n">
        <f aca="false">IF(OR('Loan Tape'!$AN121=0,'Loan Tape'!$Z121="Interest Only",'Loan Tape'!$Z121=""),0,MIN(MAX(0,L125-L731),IFERROR(MAX(0,MIN(10,'Loan Tape'!$AV121)-MAX(9,'Loan Tape'!$AT121))*IF(L428&lt;=0,L125/MAX(1,'Loan Tape'!$AU121-10+1),L428*L125/(1-(1+L428)^(-MAX(1,'Loan Tape'!$AU121-10+1)))-L428*L125),0)))</f>
        <v>0</v>
      </c>
    </row>
    <row r="1035" customFormat="false" ht="15" hidden="false" customHeight="false" outlineLevel="0" collapsed="false">
      <c r="B1035" s="102" t="n">
        <f aca="false">'Loan Tape'!$A122</f>
        <v>0</v>
      </c>
      <c r="C1035" s="99" t="n">
        <f aca="false">IF(OR('Loan Tape'!$AN122=0,'Loan Tape'!$Z122="Interest Only",'Loan Tape'!$Z122=""),0,MIN(MAX(0,C126-C732),IFERROR(MAX(0,MIN(1,'Loan Tape'!$AV122)-MAX(0,'Loan Tape'!$AT122))*IF(C429&lt;=0,C126/MAX(1,'Loan Tape'!$AU122-1+1),C429*C126/(1-(1+C429)^(-MAX(1,'Loan Tape'!$AU122-1+1)))-C429*C126),0)))</f>
        <v>0</v>
      </c>
      <c r="D1035" s="99" t="n">
        <f aca="false">IF(OR('Loan Tape'!$AN122=0,'Loan Tape'!$Z122="Interest Only",'Loan Tape'!$Z122=""),0,MIN(MAX(0,D126-D732),IFERROR(MAX(0,MIN(2,'Loan Tape'!$AV122)-MAX(1,'Loan Tape'!$AT122))*IF(D429&lt;=0,D126/MAX(1,'Loan Tape'!$AU122-2+1),D429*D126/(1-(1+D429)^(-MAX(1,'Loan Tape'!$AU122-2+1)))-D429*D126),0)))</f>
        <v>0</v>
      </c>
      <c r="E1035" s="99" t="n">
        <f aca="false">IF(OR('Loan Tape'!$AN122=0,'Loan Tape'!$Z122="Interest Only",'Loan Tape'!$Z122=""),0,MIN(MAX(0,E126-E732),IFERROR(MAX(0,MIN(3,'Loan Tape'!$AV122)-MAX(2,'Loan Tape'!$AT122))*IF(E429&lt;=0,E126/MAX(1,'Loan Tape'!$AU122-3+1),E429*E126/(1-(1+E429)^(-MAX(1,'Loan Tape'!$AU122-3+1)))-E429*E126),0)))</f>
        <v>0</v>
      </c>
      <c r="F1035" s="99" t="n">
        <f aca="false">IF(OR('Loan Tape'!$AN122=0,'Loan Tape'!$Z122="Interest Only",'Loan Tape'!$Z122=""),0,MIN(MAX(0,F126-F732),IFERROR(MAX(0,MIN(4,'Loan Tape'!$AV122)-MAX(3,'Loan Tape'!$AT122))*IF(F429&lt;=0,F126/MAX(1,'Loan Tape'!$AU122-4+1),F429*F126/(1-(1+F429)^(-MAX(1,'Loan Tape'!$AU122-4+1)))-F429*F126),0)))</f>
        <v>0</v>
      </c>
      <c r="G1035" s="99" t="n">
        <f aca="false">IF(OR('Loan Tape'!$AN122=0,'Loan Tape'!$Z122="Interest Only",'Loan Tape'!$Z122=""),0,MIN(MAX(0,G126-G732),IFERROR(MAX(0,MIN(5,'Loan Tape'!$AV122)-MAX(4,'Loan Tape'!$AT122))*IF(G429&lt;=0,G126/MAX(1,'Loan Tape'!$AU122-5+1),G429*G126/(1-(1+G429)^(-MAX(1,'Loan Tape'!$AU122-5+1)))-G429*G126),0)))</f>
        <v>0</v>
      </c>
      <c r="H1035" s="99" t="n">
        <f aca="false">IF(OR('Loan Tape'!$AN122=0,'Loan Tape'!$Z122="Interest Only",'Loan Tape'!$Z122=""),0,MIN(MAX(0,H126-H732),IFERROR(MAX(0,MIN(6,'Loan Tape'!$AV122)-MAX(5,'Loan Tape'!$AT122))*IF(H429&lt;=0,H126/MAX(1,'Loan Tape'!$AU122-6+1),H429*H126/(1-(1+H429)^(-MAX(1,'Loan Tape'!$AU122-6+1)))-H429*H126),0)))</f>
        <v>0</v>
      </c>
      <c r="I1035" s="99" t="n">
        <f aca="false">IF(OR('Loan Tape'!$AN122=0,'Loan Tape'!$Z122="Interest Only",'Loan Tape'!$Z122=""),0,MIN(MAX(0,I126-I732),IFERROR(MAX(0,MIN(7,'Loan Tape'!$AV122)-MAX(6,'Loan Tape'!$AT122))*IF(I429&lt;=0,I126/MAX(1,'Loan Tape'!$AU122-7+1),I429*I126/(1-(1+I429)^(-MAX(1,'Loan Tape'!$AU122-7+1)))-I429*I126),0)))</f>
        <v>0</v>
      </c>
      <c r="J1035" s="99" t="n">
        <f aca="false">IF(OR('Loan Tape'!$AN122=0,'Loan Tape'!$Z122="Interest Only",'Loan Tape'!$Z122=""),0,MIN(MAX(0,J126-J732),IFERROR(MAX(0,MIN(8,'Loan Tape'!$AV122)-MAX(7,'Loan Tape'!$AT122))*IF(J429&lt;=0,J126/MAX(1,'Loan Tape'!$AU122-8+1),J429*J126/(1-(1+J429)^(-MAX(1,'Loan Tape'!$AU122-8+1)))-J429*J126),0)))</f>
        <v>0</v>
      </c>
      <c r="K1035" s="99" t="n">
        <f aca="false">IF(OR('Loan Tape'!$AN122=0,'Loan Tape'!$Z122="Interest Only",'Loan Tape'!$Z122=""),0,MIN(MAX(0,K126-K732),IFERROR(MAX(0,MIN(9,'Loan Tape'!$AV122)-MAX(8,'Loan Tape'!$AT122))*IF(K429&lt;=0,K126/MAX(1,'Loan Tape'!$AU122-9+1),K429*K126/(1-(1+K429)^(-MAX(1,'Loan Tape'!$AU122-9+1)))-K429*K126),0)))</f>
        <v>0</v>
      </c>
      <c r="L1035" s="99" t="n">
        <f aca="false">IF(OR('Loan Tape'!$AN122=0,'Loan Tape'!$Z122="Interest Only",'Loan Tape'!$Z122=""),0,MIN(MAX(0,L126-L732),IFERROR(MAX(0,MIN(10,'Loan Tape'!$AV122)-MAX(9,'Loan Tape'!$AT122))*IF(L429&lt;=0,L126/MAX(1,'Loan Tape'!$AU122-10+1),L429*L126/(1-(1+L429)^(-MAX(1,'Loan Tape'!$AU122-10+1)))-L429*L126),0)))</f>
        <v>0</v>
      </c>
    </row>
    <row r="1036" customFormat="false" ht="15" hidden="false" customHeight="false" outlineLevel="0" collapsed="false">
      <c r="B1036" s="108" t="n">
        <f aca="false">'Loan Tape'!$A123</f>
        <v>0</v>
      </c>
      <c r="C1036" s="71" t="n">
        <f aca="false">IF(OR('Loan Tape'!$AN123=0,'Loan Tape'!$Z123="Interest Only",'Loan Tape'!$Z123=""),0,MIN(MAX(0,C127-C733),IFERROR(MAX(0,MIN(1,'Loan Tape'!$AV123)-MAX(0,'Loan Tape'!$AT123))*IF(C430&lt;=0,C127/MAX(1,'Loan Tape'!$AU123-1+1),C430*C127/(1-(1+C430)^(-MAX(1,'Loan Tape'!$AU123-1+1)))-C430*C127),0)))</f>
        <v>0</v>
      </c>
      <c r="D1036" s="71" t="n">
        <f aca="false">IF(OR('Loan Tape'!$AN123=0,'Loan Tape'!$Z123="Interest Only",'Loan Tape'!$Z123=""),0,MIN(MAX(0,D127-D733),IFERROR(MAX(0,MIN(2,'Loan Tape'!$AV123)-MAX(1,'Loan Tape'!$AT123))*IF(D430&lt;=0,D127/MAX(1,'Loan Tape'!$AU123-2+1),D430*D127/(1-(1+D430)^(-MAX(1,'Loan Tape'!$AU123-2+1)))-D430*D127),0)))</f>
        <v>0</v>
      </c>
      <c r="E1036" s="71" t="n">
        <f aca="false">IF(OR('Loan Tape'!$AN123=0,'Loan Tape'!$Z123="Interest Only",'Loan Tape'!$Z123=""),0,MIN(MAX(0,E127-E733),IFERROR(MAX(0,MIN(3,'Loan Tape'!$AV123)-MAX(2,'Loan Tape'!$AT123))*IF(E430&lt;=0,E127/MAX(1,'Loan Tape'!$AU123-3+1),E430*E127/(1-(1+E430)^(-MAX(1,'Loan Tape'!$AU123-3+1)))-E430*E127),0)))</f>
        <v>0</v>
      </c>
      <c r="F1036" s="71" t="n">
        <f aca="false">IF(OR('Loan Tape'!$AN123=0,'Loan Tape'!$Z123="Interest Only",'Loan Tape'!$Z123=""),0,MIN(MAX(0,F127-F733),IFERROR(MAX(0,MIN(4,'Loan Tape'!$AV123)-MAX(3,'Loan Tape'!$AT123))*IF(F430&lt;=0,F127/MAX(1,'Loan Tape'!$AU123-4+1),F430*F127/(1-(1+F430)^(-MAX(1,'Loan Tape'!$AU123-4+1)))-F430*F127),0)))</f>
        <v>0</v>
      </c>
      <c r="G1036" s="71" t="n">
        <f aca="false">IF(OR('Loan Tape'!$AN123=0,'Loan Tape'!$Z123="Interest Only",'Loan Tape'!$Z123=""),0,MIN(MAX(0,G127-G733),IFERROR(MAX(0,MIN(5,'Loan Tape'!$AV123)-MAX(4,'Loan Tape'!$AT123))*IF(G430&lt;=0,G127/MAX(1,'Loan Tape'!$AU123-5+1),G430*G127/(1-(1+G430)^(-MAX(1,'Loan Tape'!$AU123-5+1)))-G430*G127),0)))</f>
        <v>0</v>
      </c>
      <c r="H1036" s="71" t="n">
        <f aca="false">IF(OR('Loan Tape'!$AN123=0,'Loan Tape'!$Z123="Interest Only",'Loan Tape'!$Z123=""),0,MIN(MAX(0,H127-H733),IFERROR(MAX(0,MIN(6,'Loan Tape'!$AV123)-MAX(5,'Loan Tape'!$AT123))*IF(H430&lt;=0,H127/MAX(1,'Loan Tape'!$AU123-6+1),H430*H127/(1-(1+H430)^(-MAX(1,'Loan Tape'!$AU123-6+1)))-H430*H127),0)))</f>
        <v>0</v>
      </c>
      <c r="I1036" s="71" t="n">
        <f aca="false">IF(OR('Loan Tape'!$AN123=0,'Loan Tape'!$Z123="Interest Only",'Loan Tape'!$Z123=""),0,MIN(MAX(0,I127-I733),IFERROR(MAX(0,MIN(7,'Loan Tape'!$AV123)-MAX(6,'Loan Tape'!$AT123))*IF(I430&lt;=0,I127/MAX(1,'Loan Tape'!$AU123-7+1),I430*I127/(1-(1+I430)^(-MAX(1,'Loan Tape'!$AU123-7+1)))-I430*I127),0)))</f>
        <v>0</v>
      </c>
      <c r="J1036" s="71" t="n">
        <f aca="false">IF(OR('Loan Tape'!$AN123=0,'Loan Tape'!$Z123="Interest Only",'Loan Tape'!$Z123=""),0,MIN(MAX(0,J127-J733),IFERROR(MAX(0,MIN(8,'Loan Tape'!$AV123)-MAX(7,'Loan Tape'!$AT123))*IF(J430&lt;=0,J127/MAX(1,'Loan Tape'!$AU123-8+1),J430*J127/(1-(1+J430)^(-MAX(1,'Loan Tape'!$AU123-8+1)))-J430*J127),0)))</f>
        <v>0</v>
      </c>
      <c r="K1036" s="71" t="n">
        <f aca="false">IF(OR('Loan Tape'!$AN123=0,'Loan Tape'!$Z123="Interest Only",'Loan Tape'!$Z123=""),0,MIN(MAX(0,K127-K733),IFERROR(MAX(0,MIN(9,'Loan Tape'!$AV123)-MAX(8,'Loan Tape'!$AT123))*IF(K430&lt;=0,K127/MAX(1,'Loan Tape'!$AU123-9+1),K430*K127/(1-(1+K430)^(-MAX(1,'Loan Tape'!$AU123-9+1)))-K430*K127),0)))</f>
        <v>0</v>
      </c>
      <c r="L1036" s="71" t="n">
        <f aca="false">IF(OR('Loan Tape'!$AN123=0,'Loan Tape'!$Z123="Interest Only",'Loan Tape'!$Z123=""),0,MIN(MAX(0,L127-L733),IFERROR(MAX(0,MIN(10,'Loan Tape'!$AV123)-MAX(9,'Loan Tape'!$AT123))*IF(L430&lt;=0,L127/MAX(1,'Loan Tape'!$AU123-10+1),L430*L127/(1-(1+L430)^(-MAX(1,'Loan Tape'!$AU123-10+1)))-L430*L127),0)))</f>
        <v>0</v>
      </c>
    </row>
    <row r="1037" customFormat="false" ht="15" hidden="false" customHeight="false" outlineLevel="0" collapsed="false">
      <c r="B1037" s="102" t="n">
        <f aca="false">'Loan Tape'!$A124</f>
        <v>0</v>
      </c>
      <c r="C1037" s="99" t="n">
        <f aca="false">IF(OR('Loan Tape'!$AN124=0,'Loan Tape'!$Z124="Interest Only",'Loan Tape'!$Z124=""),0,MIN(MAX(0,C128-C734),IFERROR(MAX(0,MIN(1,'Loan Tape'!$AV124)-MAX(0,'Loan Tape'!$AT124))*IF(C431&lt;=0,C128/MAX(1,'Loan Tape'!$AU124-1+1),C431*C128/(1-(1+C431)^(-MAX(1,'Loan Tape'!$AU124-1+1)))-C431*C128),0)))</f>
        <v>0</v>
      </c>
      <c r="D1037" s="99" t="n">
        <f aca="false">IF(OR('Loan Tape'!$AN124=0,'Loan Tape'!$Z124="Interest Only",'Loan Tape'!$Z124=""),0,MIN(MAX(0,D128-D734),IFERROR(MAX(0,MIN(2,'Loan Tape'!$AV124)-MAX(1,'Loan Tape'!$AT124))*IF(D431&lt;=0,D128/MAX(1,'Loan Tape'!$AU124-2+1),D431*D128/(1-(1+D431)^(-MAX(1,'Loan Tape'!$AU124-2+1)))-D431*D128),0)))</f>
        <v>0</v>
      </c>
      <c r="E1037" s="99" t="n">
        <f aca="false">IF(OR('Loan Tape'!$AN124=0,'Loan Tape'!$Z124="Interest Only",'Loan Tape'!$Z124=""),0,MIN(MAX(0,E128-E734),IFERROR(MAX(0,MIN(3,'Loan Tape'!$AV124)-MAX(2,'Loan Tape'!$AT124))*IF(E431&lt;=0,E128/MAX(1,'Loan Tape'!$AU124-3+1),E431*E128/(1-(1+E431)^(-MAX(1,'Loan Tape'!$AU124-3+1)))-E431*E128),0)))</f>
        <v>0</v>
      </c>
      <c r="F1037" s="99" t="n">
        <f aca="false">IF(OR('Loan Tape'!$AN124=0,'Loan Tape'!$Z124="Interest Only",'Loan Tape'!$Z124=""),0,MIN(MAX(0,F128-F734),IFERROR(MAX(0,MIN(4,'Loan Tape'!$AV124)-MAX(3,'Loan Tape'!$AT124))*IF(F431&lt;=0,F128/MAX(1,'Loan Tape'!$AU124-4+1),F431*F128/(1-(1+F431)^(-MAX(1,'Loan Tape'!$AU124-4+1)))-F431*F128),0)))</f>
        <v>0</v>
      </c>
      <c r="G1037" s="99" t="n">
        <f aca="false">IF(OR('Loan Tape'!$AN124=0,'Loan Tape'!$Z124="Interest Only",'Loan Tape'!$Z124=""),0,MIN(MAX(0,G128-G734),IFERROR(MAX(0,MIN(5,'Loan Tape'!$AV124)-MAX(4,'Loan Tape'!$AT124))*IF(G431&lt;=0,G128/MAX(1,'Loan Tape'!$AU124-5+1),G431*G128/(1-(1+G431)^(-MAX(1,'Loan Tape'!$AU124-5+1)))-G431*G128),0)))</f>
        <v>0</v>
      </c>
      <c r="H1037" s="99" t="n">
        <f aca="false">IF(OR('Loan Tape'!$AN124=0,'Loan Tape'!$Z124="Interest Only",'Loan Tape'!$Z124=""),0,MIN(MAX(0,H128-H734),IFERROR(MAX(0,MIN(6,'Loan Tape'!$AV124)-MAX(5,'Loan Tape'!$AT124))*IF(H431&lt;=0,H128/MAX(1,'Loan Tape'!$AU124-6+1),H431*H128/(1-(1+H431)^(-MAX(1,'Loan Tape'!$AU124-6+1)))-H431*H128),0)))</f>
        <v>0</v>
      </c>
      <c r="I1037" s="99" t="n">
        <f aca="false">IF(OR('Loan Tape'!$AN124=0,'Loan Tape'!$Z124="Interest Only",'Loan Tape'!$Z124=""),0,MIN(MAX(0,I128-I734),IFERROR(MAX(0,MIN(7,'Loan Tape'!$AV124)-MAX(6,'Loan Tape'!$AT124))*IF(I431&lt;=0,I128/MAX(1,'Loan Tape'!$AU124-7+1),I431*I128/(1-(1+I431)^(-MAX(1,'Loan Tape'!$AU124-7+1)))-I431*I128),0)))</f>
        <v>0</v>
      </c>
      <c r="J1037" s="99" t="n">
        <f aca="false">IF(OR('Loan Tape'!$AN124=0,'Loan Tape'!$Z124="Interest Only",'Loan Tape'!$Z124=""),0,MIN(MAX(0,J128-J734),IFERROR(MAX(0,MIN(8,'Loan Tape'!$AV124)-MAX(7,'Loan Tape'!$AT124))*IF(J431&lt;=0,J128/MAX(1,'Loan Tape'!$AU124-8+1),J431*J128/(1-(1+J431)^(-MAX(1,'Loan Tape'!$AU124-8+1)))-J431*J128),0)))</f>
        <v>0</v>
      </c>
      <c r="K1037" s="99" t="n">
        <f aca="false">IF(OR('Loan Tape'!$AN124=0,'Loan Tape'!$Z124="Interest Only",'Loan Tape'!$Z124=""),0,MIN(MAX(0,K128-K734),IFERROR(MAX(0,MIN(9,'Loan Tape'!$AV124)-MAX(8,'Loan Tape'!$AT124))*IF(K431&lt;=0,K128/MAX(1,'Loan Tape'!$AU124-9+1),K431*K128/(1-(1+K431)^(-MAX(1,'Loan Tape'!$AU124-9+1)))-K431*K128),0)))</f>
        <v>0</v>
      </c>
      <c r="L1037" s="99" t="n">
        <f aca="false">IF(OR('Loan Tape'!$AN124=0,'Loan Tape'!$Z124="Interest Only",'Loan Tape'!$Z124=""),0,MIN(MAX(0,L128-L734),IFERROR(MAX(0,MIN(10,'Loan Tape'!$AV124)-MAX(9,'Loan Tape'!$AT124))*IF(L431&lt;=0,L128/MAX(1,'Loan Tape'!$AU124-10+1),L431*L128/(1-(1+L431)^(-MAX(1,'Loan Tape'!$AU124-10+1)))-L431*L128),0)))</f>
        <v>0</v>
      </c>
    </row>
    <row r="1038" customFormat="false" ht="15" hidden="false" customHeight="false" outlineLevel="0" collapsed="false">
      <c r="B1038" s="108" t="n">
        <f aca="false">'Loan Tape'!$A125</f>
        <v>0</v>
      </c>
      <c r="C1038" s="71" t="n">
        <f aca="false">IF(OR('Loan Tape'!$AN125=0,'Loan Tape'!$Z125="Interest Only",'Loan Tape'!$Z125=""),0,MIN(MAX(0,C129-C735),IFERROR(MAX(0,MIN(1,'Loan Tape'!$AV125)-MAX(0,'Loan Tape'!$AT125))*IF(C432&lt;=0,C129/MAX(1,'Loan Tape'!$AU125-1+1),C432*C129/(1-(1+C432)^(-MAX(1,'Loan Tape'!$AU125-1+1)))-C432*C129),0)))</f>
        <v>0</v>
      </c>
      <c r="D1038" s="71" t="n">
        <f aca="false">IF(OR('Loan Tape'!$AN125=0,'Loan Tape'!$Z125="Interest Only",'Loan Tape'!$Z125=""),0,MIN(MAX(0,D129-D735),IFERROR(MAX(0,MIN(2,'Loan Tape'!$AV125)-MAX(1,'Loan Tape'!$AT125))*IF(D432&lt;=0,D129/MAX(1,'Loan Tape'!$AU125-2+1),D432*D129/(1-(1+D432)^(-MAX(1,'Loan Tape'!$AU125-2+1)))-D432*D129),0)))</f>
        <v>0</v>
      </c>
      <c r="E1038" s="71" t="n">
        <f aca="false">IF(OR('Loan Tape'!$AN125=0,'Loan Tape'!$Z125="Interest Only",'Loan Tape'!$Z125=""),0,MIN(MAX(0,E129-E735),IFERROR(MAX(0,MIN(3,'Loan Tape'!$AV125)-MAX(2,'Loan Tape'!$AT125))*IF(E432&lt;=0,E129/MAX(1,'Loan Tape'!$AU125-3+1),E432*E129/(1-(1+E432)^(-MAX(1,'Loan Tape'!$AU125-3+1)))-E432*E129),0)))</f>
        <v>0</v>
      </c>
      <c r="F1038" s="71" t="n">
        <f aca="false">IF(OR('Loan Tape'!$AN125=0,'Loan Tape'!$Z125="Interest Only",'Loan Tape'!$Z125=""),0,MIN(MAX(0,F129-F735),IFERROR(MAX(0,MIN(4,'Loan Tape'!$AV125)-MAX(3,'Loan Tape'!$AT125))*IF(F432&lt;=0,F129/MAX(1,'Loan Tape'!$AU125-4+1),F432*F129/(1-(1+F432)^(-MAX(1,'Loan Tape'!$AU125-4+1)))-F432*F129),0)))</f>
        <v>0</v>
      </c>
      <c r="G1038" s="71" t="n">
        <f aca="false">IF(OR('Loan Tape'!$AN125=0,'Loan Tape'!$Z125="Interest Only",'Loan Tape'!$Z125=""),0,MIN(MAX(0,G129-G735),IFERROR(MAX(0,MIN(5,'Loan Tape'!$AV125)-MAX(4,'Loan Tape'!$AT125))*IF(G432&lt;=0,G129/MAX(1,'Loan Tape'!$AU125-5+1),G432*G129/(1-(1+G432)^(-MAX(1,'Loan Tape'!$AU125-5+1)))-G432*G129),0)))</f>
        <v>0</v>
      </c>
      <c r="H1038" s="71" t="n">
        <f aca="false">IF(OR('Loan Tape'!$AN125=0,'Loan Tape'!$Z125="Interest Only",'Loan Tape'!$Z125=""),0,MIN(MAX(0,H129-H735),IFERROR(MAX(0,MIN(6,'Loan Tape'!$AV125)-MAX(5,'Loan Tape'!$AT125))*IF(H432&lt;=0,H129/MAX(1,'Loan Tape'!$AU125-6+1),H432*H129/(1-(1+H432)^(-MAX(1,'Loan Tape'!$AU125-6+1)))-H432*H129),0)))</f>
        <v>0</v>
      </c>
      <c r="I1038" s="71" t="n">
        <f aca="false">IF(OR('Loan Tape'!$AN125=0,'Loan Tape'!$Z125="Interest Only",'Loan Tape'!$Z125=""),0,MIN(MAX(0,I129-I735),IFERROR(MAX(0,MIN(7,'Loan Tape'!$AV125)-MAX(6,'Loan Tape'!$AT125))*IF(I432&lt;=0,I129/MAX(1,'Loan Tape'!$AU125-7+1),I432*I129/(1-(1+I432)^(-MAX(1,'Loan Tape'!$AU125-7+1)))-I432*I129),0)))</f>
        <v>0</v>
      </c>
      <c r="J1038" s="71" t="n">
        <f aca="false">IF(OR('Loan Tape'!$AN125=0,'Loan Tape'!$Z125="Interest Only",'Loan Tape'!$Z125=""),0,MIN(MAX(0,J129-J735),IFERROR(MAX(0,MIN(8,'Loan Tape'!$AV125)-MAX(7,'Loan Tape'!$AT125))*IF(J432&lt;=0,J129/MAX(1,'Loan Tape'!$AU125-8+1),J432*J129/(1-(1+J432)^(-MAX(1,'Loan Tape'!$AU125-8+1)))-J432*J129),0)))</f>
        <v>0</v>
      </c>
      <c r="K1038" s="71" t="n">
        <f aca="false">IF(OR('Loan Tape'!$AN125=0,'Loan Tape'!$Z125="Interest Only",'Loan Tape'!$Z125=""),0,MIN(MAX(0,K129-K735),IFERROR(MAX(0,MIN(9,'Loan Tape'!$AV125)-MAX(8,'Loan Tape'!$AT125))*IF(K432&lt;=0,K129/MAX(1,'Loan Tape'!$AU125-9+1),K432*K129/(1-(1+K432)^(-MAX(1,'Loan Tape'!$AU125-9+1)))-K432*K129),0)))</f>
        <v>0</v>
      </c>
      <c r="L1038" s="71" t="n">
        <f aca="false">IF(OR('Loan Tape'!$AN125=0,'Loan Tape'!$Z125="Interest Only",'Loan Tape'!$Z125=""),0,MIN(MAX(0,L129-L735),IFERROR(MAX(0,MIN(10,'Loan Tape'!$AV125)-MAX(9,'Loan Tape'!$AT125))*IF(L432&lt;=0,L129/MAX(1,'Loan Tape'!$AU125-10+1),L432*L129/(1-(1+L432)^(-MAX(1,'Loan Tape'!$AU125-10+1)))-L432*L129),0)))</f>
        <v>0</v>
      </c>
    </row>
    <row r="1039" customFormat="false" ht="15" hidden="false" customHeight="false" outlineLevel="0" collapsed="false">
      <c r="B1039" s="102" t="n">
        <f aca="false">'Loan Tape'!$A126</f>
        <v>0</v>
      </c>
      <c r="C1039" s="99" t="n">
        <f aca="false">IF(OR('Loan Tape'!$AN126=0,'Loan Tape'!$Z126="Interest Only",'Loan Tape'!$Z126=""),0,MIN(MAX(0,C130-C736),IFERROR(MAX(0,MIN(1,'Loan Tape'!$AV126)-MAX(0,'Loan Tape'!$AT126))*IF(C433&lt;=0,C130/MAX(1,'Loan Tape'!$AU126-1+1),C433*C130/(1-(1+C433)^(-MAX(1,'Loan Tape'!$AU126-1+1)))-C433*C130),0)))</f>
        <v>0</v>
      </c>
      <c r="D1039" s="99" t="n">
        <f aca="false">IF(OR('Loan Tape'!$AN126=0,'Loan Tape'!$Z126="Interest Only",'Loan Tape'!$Z126=""),0,MIN(MAX(0,D130-D736),IFERROR(MAX(0,MIN(2,'Loan Tape'!$AV126)-MAX(1,'Loan Tape'!$AT126))*IF(D433&lt;=0,D130/MAX(1,'Loan Tape'!$AU126-2+1),D433*D130/(1-(1+D433)^(-MAX(1,'Loan Tape'!$AU126-2+1)))-D433*D130),0)))</f>
        <v>0</v>
      </c>
      <c r="E1039" s="99" t="n">
        <f aca="false">IF(OR('Loan Tape'!$AN126=0,'Loan Tape'!$Z126="Interest Only",'Loan Tape'!$Z126=""),0,MIN(MAX(0,E130-E736),IFERROR(MAX(0,MIN(3,'Loan Tape'!$AV126)-MAX(2,'Loan Tape'!$AT126))*IF(E433&lt;=0,E130/MAX(1,'Loan Tape'!$AU126-3+1),E433*E130/(1-(1+E433)^(-MAX(1,'Loan Tape'!$AU126-3+1)))-E433*E130),0)))</f>
        <v>0</v>
      </c>
      <c r="F1039" s="99" t="n">
        <f aca="false">IF(OR('Loan Tape'!$AN126=0,'Loan Tape'!$Z126="Interest Only",'Loan Tape'!$Z126=""),0,MIN(MAX(0,F130-F736),IFERROR(MAX(0,MIN(4,'Loan Tape'!$AV126)-MAX(3,'Loan Tape'!$AT126))*IF(F433&lt;=0,F130/MAX(1,'Loan Tape'!$AU126-4+1),F433*F130/(1-(1+F433)^(-MAX(1,'Loan Tape'!$AU126-4+1)))-F433*F130),0)))</f>
        <v>0</v>
      </c>
      <c r="G1039" s="99" t="n">
        <f aca="false">IF(OR('Loan Tape'!$AN126=0,'Loan Tape'!$Z126="Interest Only",'Loan Tape'!$Z126=""),0,MIN(MAX(0,G130-G736),IFERROR(MAX(0,MIN(5,'Loan Tape'!$AV126)-MAX(4,'Loan Tape'!$AT126))*IF(G433&lt;=0,G130/MAX(1,'Loan Tape'!$AU126-5+1),G433*G130/(1-(1+G433)^(-MAX(1,'Loan Tape'!$AU126-5+1)))-G433*G130),0)))</f>
        <v>0</v>
      </c>
      <c r="H1039" s="99" t="n">
        <f aca="false">IF(OR('Loan Tape'!$AN126=0,'Loan Tape'!$Z126="Interest Only",'Loan Tape'!$Z126=""),0,MIN(MAX(0,H130-H736),IFERROR(MAX(0,MIN(6,'Loan Tape'!$AV126)-MAX(5,'Loan Tape'!$AT126))*IF(H433&lt;=0,H130/MAX(1,'Loan Tape'!$AU126-6+1),H433*H130/(1-(1+H433)^(-MAX(1,'Loan Tape'!$AU126-6+1)))-H433*H130),0)))</f>
        <v>0</v>
      </c>
      <c r="I1039" s="99" t="n">
        <f aca="false">IF(OR('Loan Tape'!$AN126=0,'Loan Tape'!$Z126="Interest Only",'Loan Tape'!$Z126=""),0,MIN(MAX(0,I130-I736),IFERROR(MAX(0,MIN(7,'Loan Tape'!$AV126)-MAX(6,'Loan Tape'!$AT126))*IF(I433&lt;=0,I130/MAX(1,'Loan Tape'!$AU126-7+1),I433*I130/(1-(1+I433)^(-MAX(1,'Loan Tape'!$AU126-7+1)))-I433*I130),0)))</f>
        <v>0</v>
      </c>
      <c r="J1039" s="99" t="n">
        <f aca="false">IF(OR('Loan Tape'!$AN126=0,'Loan Tape'!$Z126="Interest Only",'Loan Tape'!$Z126=""),0,MIN(MAX(0,J130-J736),IFERROR(MAX(0,MIN(8,'Loan Tape'!$AV126)-MAX(7,'Loan Tape'!$AT126))*IF(J433&lt;=0,J130/MAX(1,'Loan Tape'!$AU126-8+1),J433*J130/(1-(1+J433)^(-MAX(1,'Loan Tape'!$AU126-8+1)))-J433*J130),0)))</f>
        <v>0</v>
      </c>
      <c r="K1039" s="99" t="n">
        <f aca="false">IF(OR('Loan Tape'!$AN126=0,'Loan Tape'!$Z126="Interest Only",'Loan Tape'!$Z126=""),0,MIN(MAX(0,K130-K736),IFERROR(MAX(0,MIN(9,'Loan Tape'!$AV126)-MAX(8,'Loan Tape'!$AT126))*IF(K433&lt;=0,K130/MAX(1,'Loan Tape'!$AU126-9+1),K433*K130/(1-(1+K433)^(-MAX(1,'Loan Tape'!$AU126-9+1)))-K433*K130),0)))</f>
        <v>0</v>
      </c>
      <c r="L1039" s="99" t="n">
        <f aca="false">IF(OR('Loan Tape'!$AN126=0,'Loan Tape'!$Z126="Interest Only",'Loan Tape'!$Z126=""),0,MIN(MAX(0,L130-L736),IFERROR(MAX(0,MIN(10,'Loan Tape'!$AV126)-MAX(9,'Loan Tape'!$AT126))*IF(L433&lt;=0,L130/MAX(1,'Loan Tape'!$AU126-10+1),L433*L130/(1-(1+L433)^(-MAX(1,'Loan Tape'!$AU126-10+1)))-L433*L130),0)))</f>
        <v>0</v>
      </c>
    </row>
    <row r="1040" customFormat="false" ht="15" hidden="false" customHeight="false" outlineLevel="0" collapsed="false">
      <c r="B1040" s="108" t="n">
        <f aca="false">'Loan Tape'!$A127</f>
        <v>0</v>
      </c>
      <c r="C1040" s="71" t="n">
        <f aca="false">IF(OR('Loan Tape'!$AN127=0,'Loan Tape'!$Z127="Interest Only",'Loan Tape'!$Z127=""),0,MIN(MAX(0,C131-C737),IFERROR(MAX(0,MIN(1,'Loan Tape'!$AV127)-MAX(0,'Loan Tape'!$AT127))*IF(C434&lt;=0,C131/MAX(1,'Loan Tape'!$AU127-1+1),C434*C131/(1-(1+C434)^(-MAX(1,'Loan Tape'!$AU127-1+1)))-C434*C131),0)))</f>
        <v>0</v>
      </c>
      <c r="D1040" s="71" t="n">
        <f aca="false">IF(OR('Loan Tape'!$AN127=0,'Loan Tape'!$Z127="Interest Only",'Loan Tape'!$Z127=""),0,MIN(MAX(0,D131-D737),IFERROR(MAX(0,MIN(2,'Loan Tape'!$AV127)-MAX(1,'Loan Tape'!$AT127))*IF(D434&lt;=0,D131/MAX(1,'Loan Tape'!$AU127-2+1),D434*D131/(1-(1+D434)^(-MAX(1,'Loan Tape'!$AU127-2+1)))-D434*D131),0)))</f>
        <v>0</v>
      </c>
      <c r="E1040" s="71" t="n">
        <f aca="false">IF(OR('Loan Tape'!$AN127=0,'Loan Tape'!$Z127="Interest Only",'Loan Tape'!$Z127=""),0,MIN(MAX(0,E131-E737),IFERROR(MAX(0,MIN(3,'Loan Tape'!$AV127)-MAX(2,'Loan Tape'!$AT127))*IF(E434&lt;=0,E131/MAX(1,'Loan Tape'!$AU127-3+1),E434*E131/(1-(1+E434)^(-MAX(1,'Loan Tape'!$AU127-3+1)))-E434*E131),0)))</f>
        <v>0</v>
      </c>
      <c r="F1040" s="71" t="n">
        <f aca="false">IF(OR('Loan Tape'!$AN127=0,'Loan Tape'!$Z127="Interest Only",'Loan Tape'!$Z127=""),0,MIN(MAX(0,F131-F737),IFERROR(MAX(0,MIN(4,'Loan Tape'!$AV127)-MAX(3,'Loan Tape'!$AT127))*IF(F434&lt;=0,F131/MAX(1,'Loan Tape'!$AU127-4+1),F434*F131/(1-(1+F434)^(-MAX(1,'Loan Tape'!$AU127-4+1)))-F434*F131),0)))</f>
        <v>0</v>
      </c>
      <c r="G1040" s="71" t="n">
        <f aca="false">IF(OR('Loan Tape'!$AN127=0,'Loan Tape'!$Z127="Interest Only",'Loan Tape'!$Z127=""),0,MIN(MAX(0,G131-G737),IFERROR(MAX(0,MIN(5,'Loan Tape'!$AV127)-MAX(4,'Loan Tape'!$AT127))*IF(G434&lt;=0,G131/MAX(1,'Loan Tape'!$AU127-5+1),G434*G131/(1-(1+G434)^(-MAX(1,'Loan Tape'!$AU127-5+1)))-G434*G131),0)))</f>
        <v>0</v>
      </c>
      <c r="H1040" s="71" t="n">
        <f aca="false">IF(OR('Loan Tape'!$AN127=0,'Loan Tape'!$Z127="Interest Only",'Loan Tape'!$Z127=""),0,MIN(MAX(0,H131-H737),IFERROR(MAX(0,MIN(6,'Loan Tape'!$AV127)-MAX(5,'Loan Tape'!$AT127))*IF(H434&lt;=0,H131/MAX(1,'Loan Tape'!$AU127-6+1),H434*H131/(1-(1+H434)^(-MAX(1,'Loan Tape'!$AU127-6+1)))-H434*H131),0)))</f>
        <v>0</v>
      </c>
      <c r="I1040" s="71" t="n">
        <f aca="false">IF(OR('Loan Tape'!$AN127=0,'Loan Tape'!$Z127="Interest Only",'Loan Tape'!$Z127=""),0,MIN(MAX(0,I131-I737),IFERROR(MAX(0,MIN(7,'Loan Tape'!$AV127)-MAX(6,'Loan Tape'!$AT127))*IF(I434&lt;=0,I131/MAX(1,'Loan Tape'!$AU127-7+1),I434*I131/(1-(1+I434)^(-MAX(1,'Loan Tape'!$AU127-7+1)))-I434*I131),0)))</f>
        <v>0</v>
      </c>
      <c r="J1040" s="71" t="n">
        <f aca="false">IF(OR('Loan Tape'!$AN127=0,'Loan Tape'!$Z127="Interest Only",'Loan Tape'!$Z127=""),0,MIN(MAX(0,J131-J737),IFERROR(MAX(0,MIN(8,'Loan Tape'!$AV127)-MAX(7,'Loan Tape'!$AT127))*IF(J434&lt;=0,J131/MAX(1,'Loan Tape'!$AU127-8+1),J434*J131/(1-(1+J434)^(-MAX(1,'Loan Tape'!$AU127-8+1)))-J434*J131),0)))</f>
        <v>0</v>
      </c>
      <c r="K1040" s="71" t="n">
        <f aca="false">IF(OR('Loan Tape'!$AN127=0,'Loan Tape'!$Z127="Interest Only",'Loan Tape'!$Z127=""),0,MIN(MAX(0,K131-K737),IFERROR(MAX(0,MIN(9,'Loan Tape'!$AV127)-MAX(8,'Loan Tape'!$AT127))*IF(K434&lt;=0,K131/MAX(1,'Loan Tape'!$AU127-9+1),K434*K131/(1-(1+K434)^(-MAX(1,'Loan Tape'!$AU127-9+1)))-K434*K131),0)))</f>
        <v>0</v>
      </c>
      <c r="L1040" s="71" t="n">
        <f aca="false">IF(OR('Loan Tape'!$AN127=0,'Loan Tape'!$Z127="Interest Only",'Loan Tape'!$Z127=""),0,MIN(MAX(0,L131-L737),IFERROR(MAX(0,MIN(10,'Loan Tape'!$AV127)-MAX(9,'Loan Tape'!$AT127))*IF(L434&lt;=0,L131/MAX(1,'Loan Tape'!$AU127-10+1),L434*L131/(1-(1+L434)^(-MAX(1,'Loan Tape'!$AU127-10+1)))-L434*L131),0)))</f>
        <v>0</v>
      </c>
    </row>
    <row r="1041" customFormat="false" ht="15" hidden="false" customHeight="false" outlineLevel="0" collapsed="false">
      <c r="B1041" s="102" t="n">
        <f aca="false">'Loan Tape'!$A128</f>
        <v>0</v>
      </c>
      <c r="C1041" s="99" t="n">
        <f aca="false">IF(OR('Loan Tape'!$AN128=0,'Loan Tape'!$Z128="Interest Only",'Loan Tape'!$Z128=""),0,MIN(MAX(0,C132-C738),IFERROR(MAX(0,MIN(1,'Loan Tape'!$AV128)-MAX(0,'Loan Tape'!$AT128))*IF(C435&lt;=0,C132/MAX(1,'Loan Tape'!$AU128-1+1),C435*C132/(1-(1+C435)^(-MAX(1,'Loan Tape'!$AU128-1+1)))-C435*C132),0)))</f>
        <v>0</v>
      </c>
      <c r="D1041" s="99" t="n">
        <f aca="false">IF(OR('Loan Tape'!$AN128=0,'Loan Tape'!$Z128="Interest Only",'Loan Tape'!$Z128=""),0,MIN(MAX(0,D132-D738),IFERROR(MAX(0,MIN(2,'Loan Tape'!$AV128)-MAX(1,'Loan Tape'!$AT128))*IF(D435&lt;=0,D132/MAX(1,'Loan Tape'!$AU128-2+1),D435*D132/(1-(1+D435)^(-MAX(1,'Loan Tape'!$AU128-2+1)))-D435*D132),0)))</f>
        <v>0</v>
      </c>
      <c r="E1041" s="99" t="n">
        <f aca="false">IF(OR('Loan Tape'!$AN128=0,'Loan Tape'!$Z128="Interest Only",'Loan Tape'!$Z128=""),0,MIN(MAX(0,E132-E738),IFERROR(MAX(0,MIN(3,'Loan Tape'!$AV128)-MAX(2,'Loan Tape'!$AT128))*IF(E435&lt;=0,E132/MAX(1,'Loan Tape'!$AU128-3+1),E435*E132/(1-(1+E435)^(-MAX(1,'Loan Tape'!$AU128-3+1)))-E435*E132),0)))</f>
        <v>0</v>
      </c>
      <c r="F1041" s="99" t="n">
        <f aca="false">IF(OR('Loan Tape'!$AN128=0,'Loan Tape'!$Z128="Interest Only",'Loan Tape'!$Z128=""),0,MIN(MAX(0,F132-F738),IFERROR(MAX(0,MIN(4,'Loan Tape'!$AV128)-MAX(3,'Loan Tape'!$AT128))*IF(F435&lt;=0,F132/MAX(1,'Loan Tape'!$AU128-4+1),F435*F132/(1-(1+F435)^(-MAX(1,'Loan Tape'!$AU128-4+1)))-F435*F132),0)))</f>
        <v>0</v>
      </c>
      <c r="G1041" s="99" t="n">
        <f aca="false">IF(OR('Loan Tape'!$AN128=0,'Loan Tape'!$Z128="Interest Only",'Loan Tape'!$Z128=""),0,MIN(MAX(0,G132-G738),IFERROR(MAX(0,MIN(5,'Loan Tape'!$AV128)-MAX(4,'Loan Tape'!$AT128))*IF(G435&lt;=0,G132/MAX(1,'Loan Tape'!$AU128-5+1),G435*G132/(1-(1+G435)^(-MAX(1,'Loan Tape'!$AU128-5+1)))-G435*G132),0)))</f>
        <v>0</v>
      </c>
      <c r="H1041" s="99" t="n">
        <f aca="false">IF(OR('Loan Tape'!$AN128=0,'Loan Tape'!$Z128="Interest Only",'Loan Tape'!$Z128=""),0,MIN(MAX(0,H132-H738),IFERROR(MAX(0,MIN(6,'Loan Tape'!$AV128)-MAX(5,'Loan Tape'!$AT128))*IF(H435&lt;=0,H132/MAX(1,'Loan Tape'!$AU128-6+1),H435*H132/(1-(1+H435)^(-MAX(1,'Loan Tape'!$AU128-6+1)))-H435*H132),0)))</f>
        <v>0</v>
      </c>
      <c r="I1041" s="99" t="n">
        <f aca="false">IF(OR('Loan Tape'!$AN128=0,'Loan Tape'!$Z128="Interest Only",'Loan Tape'!$Z128=""),0,MIN(MAX(0,I132-I738),IFERROR(MAX(0,MIN(7,'Loan Tape'!$AV128)-MAX(6,'Loan Tape'!$AT128))*IF(I435&lt;=0,I132/MAX(1,'Loan Tape'!$AU128-7+1),I435*I132/(1-(1+I435)^(-MAX(1,'Loan Tape'!$AU128-7+1)))-I435*I132),0)))</f>
        <v>0</v>
      </c>
      <c r="J1041" s="99" t="n">
        <f aca="false">IF(OR('Loan Tape'!$AN128=0,'Loan Tape'!$Z128="Interest Only",'Loan Tape'!$Z128=""),0,MIN(MAX(0,J132-J738),IFERROR(MAX(0,MIN(8,'Loan Tape'!$AV128)-MAX(7,'Loan Tape'!$AT128))*IF(J435&lt;=0,J132/MAX(1,'Loan Tape'!$AU128-8+1),J435*J132/(1-(1+J435)^(-MAX(1,'Loan Tape'!$AU128-8+1)))-J435*J132),0)))</f>
        <v>0</v>
      </c>
      <c r="K1041" s="99" t="n">
        <f aca="false">IF(OR('Loan Tape'!$AN128=0,'Loan Tape'!$Z128="Interest Only",'Loan Tape'!$Z128=""),0,MIN(MAX(0,K132-K738),IFERROR(MAX(0,MIN(9,'Loan Tape'!$AV128)-MAX(8,'Loan Tape'!$AT128))*IF(K435&lt;=0,K132/MAX(1,'Loan Tape'!$AU128-9+1),K435*K132/(1-(1+K435)^(-MAX(1,'Loan Tape'!$AU128-9+1)))-K435*K132),0)))</f>
        <v>0</v>
      </c>
      <c r="L1041" s="99" t="n">
        <f aca="false">IF(OR('Loan Tape'!$AN128=0,'Loan Tape'!$Z128="Interest Only",'Loan Tape'!$Z128=""),0,MIN(MAX(0,L132-L738),IFERROR(MAX(0,MIN(10,'Loan Tape'!$AV128)-MAX(9,'Loan Tape'!$AT128))*IF(L435&lt;=0,L132/MAX(1,'Loan Tape'!$AU128-10+1),L435*L132/(1-(1+L435)^(-MAX(1,'Loan Tape'!$AU128-10+1)))-L435*L132),0)))</f>
        <v>0</v>
      </c>
    </row>
    <row r="1042" customFormat="false" ht="15" hidden="false" customHeight="false" outlineLevel="0" collapsed="false">
      <c r="B1042" s="108" t="n">
        <f aca="false">'Loan Tape'!$A129</f>
        <v>0</v>
      </c>
      <c r="C1042" s="71" t="n">
        <f aca="false">IF(OR('Loan Tape'!$AN129=0,'Loan Tape'!$Z129="Interest Only",'Loan Tape'!$Z129=""),0,MIN(MAX(0,C133-C739),IFERROR(MAX(0,MIN(1,'Loan Tape'!$AV129)-MAX(0,'Loan Tape'!$AT129))*IF(C436&lt;=0,C133/MAX(1,'Loan Tape'!$AU129-1+1),C436*C133/(1-(1+C436)^(-MAX(1,'Loan Tape'!$AU129-1+1)))-C436*C133),0)))</f>
        <v>0</v>
      </c>
      <c r="D1042" s="71" t="n">
        <f aca="false">IF(OR('Loan Tape'!$AN129=0,'Loan Tape'!$Z129="Interest Only",'Loan Tape'!$Z129=""),0,MIN(MAX(0,D133-D739),IFERROR(MAX(0,MIN(2,'Loan Tape'!$AV129)-MAX(1,'Loan Tape'!$AT129))*IF(D436&lt;=0,D133/MAX(1,'Loan Tape'!$AU129-2+1),D436*D133/(1-(1+D436)^(-MAX(1,'Loan Tape'!$AU129-2+1)))-D436*D133),0)))</f>
        <v>0</v>
      </c>
      <c r="E1042" s="71" t="n">
        <f aca="false">IF(OR('Loan Tape'!$AN129=0,'Loan Tape'!$Z129="Interest Only",'Loan Tape'!$Z129=""),0,MIN(MAX(0,E133-E739),IFERROR(MAX(0,MIN(3,'Loan Tape'!$AV129)-MAX(2,'Loan Tape'!$AT129))*IF(E436&lt;=0,E133/MAX(1,'Loan Tape'!$AU129-3+1),E436*E133/(1-(1+E436)^(-MAX(1,'Loan Tape'!$AU129-3+1)))-E436*E133),0)))</f>
        <v>0</v>
      </c>
      <c r="F1042" s="71" t="n">
        <f aca="false">IF(OR('Loan Tape'!$AN129=0,'Loan Tape'!$Z129="Interest Only",'Loan Tape'!$Z129=""),0,MIN(MAX(0,F133-F739),IFERROR(MAX(0,MIN(4,'Loan Tape'!$AV129)-MAX(3,'Loan Tape'!$AT129))*IF(F436&lt;=0,F133/MAX(1,'Loan Tape'!$AU129-4+1),F436*F133/(1-(1+F436)^(-MAX(1,'Loan Tape'!$AU129-4+1)))-F436*F133),0)))</f>
        <v>0</v>
      </c>
      <c r="G1042" s="71" t="n">
        <f aca="false">IF(OR('Loan Tape'!$AN129=0,'Loan Tape'!$Z129="Interest Only",'Loan Tape'!$Z129=""),0,MIN(MAX(0,G133-G739),IFERROR(MAX(0,MIN(5,'Loan Tape'!$AV129)-MAX(4,'Loan Tape'!$AT129))*IF(G436&lt;=0,G133/MAX(1,'Loan Tape'!$AU129-5+1),G436*G133/(1-(1+G436)^(-MAX(1,'Loan Tape'!$AU129-5+1)))-G436*G133),0)))</f>
        <v>0</v>
      </c>
      <c r="H1042" s="71" t="n">
        <f aca="false">IF(OR('Loan Tape'!$AN129=0,'Loan Tape'!$Z129="Interest Only",'Loan Tape'!$Z129=""),0,MIN(MAX(0,H133-H739),IFERROR(MAX(0,MIN(6,'Loan Tape'!$AV129)-MAX(5,'Loan Tape'!$AT129))*IF(H436&lt;=0,H133/MAX(1,'Loan Tape'!$AU129-6+1),H436*H133/(1-(1+H436)^(-MAX(1,'Loan Tape'!$AU129-6+1)))-H436*H133),0)))</f>
        <v>0</v>
      </c>
      <c r="I1042" s="71" t="n">
        <f aca="false">IF(OR('Loan Tape'!$AN129=0,'Loan Tape'!$Z129="Interest Only",'Loan Tape'!$Z129=""),0,MIN(MAX(0,I133-I739),IFERROR(MAX(0,MIN(7,'Loan Tape'!$AV129)-MAX(6,'Loan Tape'!$AT129))*IF(I436&lt;=0,I133/MAX(1,'Loan Tape'!$AU129-7+1),I436*I133/(1-(1+I436)^(-MAX(1,'Loan Tape'!$AU129-7+1)))-I436*I133),0)))</f>
        <v>0</v>
      </c>
      <c r="J1042" s="71" t="n">
        <f aca="false">IF(OR('Loan Tape'!$AN129=0,'Loan Tape'!$Z129="Interest Only",'Loan Tape'!$Z129=""),0,MIN(MAX(0,J133-J739),IFERROR(MAX(0,MIN(8,'Loan Tape'!$AV129)-MAX(7,'Loan Tape'!$AT129))*IF(J436&lt;=0,J133/MAX(1,'Loan Tape'!$AU129-8+1),J436*J133/(1-(1+J436)^(-MAX(1,'Loan Tape'!$AU129-8+1)))-J436*J133),0)))</f>
        <v>0</v>
      </c>
      <c r="K1042" s="71" t="n">
        <f aca="false">IF(OR('Loan Tape'!$AN129=0,'Loan Tape'!$Z129="Interest Only",'Loan Tape'!$Z129=""),0,MIN(MAX(0,K133-K739),IFERROR(MAX(0,MIN(9,'Loan Tape'!$AV129)-MAX(8,'Loan Tape'!$AT129))*IF(K436&lt;=0,K133/MAX(1,'Loan Tape'!$AU129-9+1),K436*K133/(1-(1+K436)^(-MAX(1,'Loan Tape'!$AU129-9+1)))-K436*K133),0)))</f>
        <v>0</v>
      </c>
      <c r="L1042" s="71" t="n">
        <f aca="false">IF(OR('Loan Tape'!$AN129=0,'Loan Tape'!$Z129="Interest Only",'Loan Tape'!$Z129=""),0,MIN(MAX(0,L133-L739),IFERROR(MAX(0,MIN(10,'Loan Tape'!$AV129)-MAX(9,'Loan Tape'!$AT129))*IF(L436&lt;=0,L133/MAX(1,'Loan Tape'!$AU129-10+1),L436*L133/(1-(1+L436)^(-MAX(1,'Loan Tape'!$AU129-10+1)))-L436*L133),0)))</f>
        <v>0</v>
      </c>
    </row>
    <row r="1043" customFormat="false" ht="15" hidden="false" customHeight="false" outlineLevel="0" collapsed="false">
      <c r="B1043" s="102" t="n">
        <f aca="false">'Loan Tape'!$A130</f>
        <v>0</v>
      </c>
      <c r="C1043" s="99" t="n">
        <f aca="false">IF(OR('Loan Tape'!$AN130=0,'Loan Tape'!$Z130="Interest Only",'Loan Tape'!$Z130=""),0,MIN(MAX(0,C134-C740),IFERROR(MAX(0,MIN(1,'Loan Tape'!$AV130)-MAX(0,'Loan Tape'!$AT130))*IF(C437&lt;=0,C134/MAX(1,'Loan Tape'!$AU130-1+1),C437*C134/(1-(1+C437)^(-MAX(1,'Loan Tape'!$AU130-1+1)))-C437*C134),0)))</f>
        <v>0</v>
      </c>
      <c r="D1043" s="99" t="n">
        <f aca="false">IF(OR('Loan Tape'!$AN130=0,'Loan Tape'!$Z130="Interest Only",'Loan Tape'!$Z130=""),0,MIN(MAX(0,D134-D740),IFERROR(MAX(0,MIN(2,'Loan Tape'!$AV130)-MAX(1,'Loan Tape'!$AT130))*IF(D437&lt;=0,D134/MAX(1,'Loan Tape'!$AU130-2+1),D437*D134/(1-(1+D437)^(-MAX(1,'Loan Tape'!$AU130-2+1)))-D437*D134),0)))</f>
        <v>0</v>
      </c>
      <c r="E1043" s="99" t="n">
        <f aca="false">IF(OR('Loan Tape'!$AN130=0,'Loan Tape'!$Z130="Interest Only",'Loan Tape'!$Z130=""),0,MIN(MAX(0,E134-E740),IFERROR(MAX(0,MIN(3,'Loan Tape'!$AV130)-MAX(2,'Loan Tape'!$AT130))*IF(E437&lt;=0,E134/MAX(1,'Loan Tape'!$AU130-3+1),E437*E134/(1-(1+E437)^(-MAX(1,'Loan Tape'!$AU130-3+1)))-E437*E134),0)))</f>
        <v>0</v>
      </c>
      <c r="F1043" s="99" t="n">
        <f aca="false">IF(OR('Loan Tape'!$AN130=0,'Loan Tape'!$Z130="Interest Only",'Loan Tape'!$Z130=""),0,MIN(MAX(0,F134-F740),IFERROR(MAX(0,MIN(4,'Loan Tape'!$AV130)-MAX(3,'Loan Tape'!$AT130))*IF(F437&lt;=0,F134/MAX(1,'Loan Tape'!$AU130-4+1),F437*F134/(1-(1+F437)^(-MAX(1,'Loan Tape'!$AU130-4+1)))-F437*F134),0)))</f>
        <v>0</v>
      </c>
      <c r="G1043" s="99" t="n">
        <f aca="false">IF(OR('Loan Tape'!$AN130=0,'Loan Tape'!$Z130="Interest Only",'Loan Tape'!$Z130=""),0,MIN(MAX(0,G134-G740),IFERROR(MAX(0,MIN(5,'Loan Tape'!$AV130)-MAX(4,'Loan Tape'!$AT130))*IF(G437&lt;=0,G134/MAX(1,'Loan Tape'!$AU130-5+1),G437*G134/(1-(1+G437)^(-MAX(1,'Loan Tape'!$AU130-5+1)))-G437*G134),0)))</f>
        <v>0</v>
      </c>
      <c r="H1043" s="99" t="n">
        <f aca="false">IF(OR('Loan Tape'!$AN130=0,'Loan Tape'!$Z130="Interest Only",'Loan Tape'!$Z130=""),0,MIN(MAX(0,H134-H740),IFERROR(MAX(0,MIN(6,'Loan Tape'!$AV130)-MAX(5,'Loan Tape'!$AT130))*IF(H437&lt;=0,H134/MAX(1,'Loan Tape'!$AU130-6+1),H437*H134/(1-(1+H437)^(-MAX(1,'Loan Tape'!$AU130-6+1)))-H437*H134),0)))</f>
        <v>0</v>
      </c>
      <c r="I1043" s="99" t="n">
        <f aca="false">IF(OR('Loan Tape'!$AN130=0,'Loan Tape'!$Z130="Interest Only",'Loan Tape'!$Z130=""),0,MIN(MAX(0,I134-I740),IFERROR(MAX(0,MIN(7,'Loan Tape'!$AV130)-MAX(6,'Loan Tape'!$AT130))*IF(I437&lt;=0,I134/MAX(1,'Loan Tape'!$AU130-7+1),I437*I134/(1-(1+I437)^(-MAX(1,'Loan Tape'!$AU130-7+1)))-I437*I134),0)))</f>
        <v>0</v>
      </c>
      <c r="J1043" s="99" t="n">
        <f aca="false">IF(OR('Loan Tape'!$AN130=0,'Loan Tape'!$Z130="Interest Only",'Loan Tape'!$Z130=""),0,MIN(MAX(0,J134-J740),IFERROR(MAX(0,MIN(8,'Loan Tape'!$AV130)-MAX(7,'Loan Tape'!$AT130))*IF(J437&lt;=0,J134/MAX(1,'Loan Tape'!$AU130-8+1),J437*J134/(1-(1+J437)^(-MAX(1,'Loan Tape'!$AU130-8+1)))-J437*J134),0)))</f>
        <v>0</v>
      </c>
      <c r="K1043" s="99" t="n">
        <f aca="false">IF(OR('Loan Tape'!$AN130=0,'Loan Tape'!$Z130="Interest Only",'Loan Tape'!$Z130=""),0,MIN(MAX(0,K134-K740),IFERROR(MAX(0,MIN(9,'Loan Tape'!$AV130)-MAX(8,'Loan Tape'!$AT130))*IF(K437&lt;=0,K134/MAX(1,'Loan Tape'!$AU130-9+1),K437*K134/(1-(1+K437)^(-MAX(1,'Loan Tape'!$AU130-9+1)))-K437*K134),0)))</f>
        <v>0</v>
      </c>
      <c r="L1043" s="99" t="n">
        <f aca="false">IF(OR('Loan Tape'!$AN130=0,'Loan Tape'!$Z130="Interest Only",'Loan Tape'!$Z130=""),0,MIN(MAX(0,L134-L740),IFERROR(MAX(0,MIN(10,'Loan Tape'!$AV130)-MAX(9,'Loan Tape'!$AT130))*IF(L437&lt;=0,L134/MAX(1,'Loan Tape'!$AU130-10+1),L437*L134/(1-(1+L437)^(-MAX(1,'Loan Tape'!$AU130-10+1)))-L437*L134),0)))</f>
        <v>0</v>
      </c>
    </row>
    <row r="1044" customFormat="false" ht="15" hidden="false" customHeight="false" outlineLevel="0" collapsed="false">
      <c r="B1044" s="108" t="n">
        <f aca="false">'Loan Tape'!$A131</f>
        <v>0</v>
      </c>
      <c r="C1044" s="71" t="n">
        <f aca="false">IF(OR('Loan Tape'!$AN131=0,'Loan Tape'!$Z131="Interest Only",'Loan Tape'!$Z131=""),0,MIN(MAX(0,C135-C741),IFERROR(MAX(0,MIN(1,'Loan Tape'!$AV131)-MAX(0,'Loan Tape'!$AT131))*IF(C438&lt;=0,C135/MAX(1,'Loan Tape'!$AU131-1+1),C438*C135/(1-(1+C438)^(-MAX(1,'Loan Tape'!$AU131-1+1)))-C438*C135),0)))</f>
        <v>0</v>
      </c>
      <c r="D1044" s="71" t="n">
        <f aca="false">IF(OR('Loan Tape'!$AN131=0,'Loan Tape'!$Z131="Interest Only",'Loan Tape'!$Z131=""),0,MIN(MAX(0,D135-D741),IFERROR(MAX(0,MIN(2,'Loan Tape'!$AV131)-MAX(1,'Loan Tape'!$AT131))*IF(D438&lt;=0,D135/MAX(1,'Loan Tape'!$AU131-2+1),D438*D135/(1-(1+D438)^(-MAX(1,'Loan Tape'!$AU131-2+1)))-D438*D135),0)))</f>
        <v>0</v>
      </c>
      <c r="E1044" s="71" t="n">
        <f aca="false">IF(OR('Loan Tape'!$AN131=0,'Loan Tape'!$Z131="Interest Only",'Loan Tape'!$Z131=""),0,MIN(MAX(0,E135-E741),IFERROR(MAX(0,MIN(3,'Loan Tape'!$AV131)-MAX(2,'Loan Tape'!$AT131))*IF(E438&lt;=0,E135/MAX(1,'Loan Tape'!$AU131-3+1),E438*E135/(1-(1+E438)^(-MAX(1,'Loan Tape'!$AU131-3+1)))-E438*E135),0)))</f>
        <v>0</v>
      </c>
      <c r="F1044" s="71" t="n">
        <f aca="false">IF(OR('Loan Tape'!$AN131=0,'Loan Tape'!$Z131="Interest Only",'Loan Tape'!$Z131=""),0,MIN(MAX(0,F135-F741),IFERROR(MAX(0,MIN(4,'Loan Tape'!$AV131)-MAX(3,'Loan Tape'!$AT131))*IF(F438&lt;=0,F135/MAX(1,'Loan Tape'!$AU131-4+1),F438*F135/(1-(1+F438)^(-MAX(1,'Loan Tape'!$AU131-4+1)))-F438*F135),0)))</f>
        <v>0</v>
      </c>
      <c r="G1044" s="71" t="n">
        <f aca="false">IF(OR('Loan Tape'!$AN131=0,'Loan Tape'!$Z131="Interest Only",'Loan Tape'!$Z131=""),0,MIN(MAX(0,G135-G741),IFERROR(MAX(0,MIN(5,'Loan Tape'!$AV131)-MAX(4,'Loan Tape'!$AT131))*IF(G438&lt;=0,G135/MAX(1,'Loan Tape'!$AU131-5+1),G438*G135/(1-(1+G438)^(-MAX(1,'Loan Tape'!$AU131-5+1)))-G438*G135),0)))</f>
        <v>0</v>
      </c>
      <c r="H1044" s="71" t="n">
        <f aca="false">IF(OR('Loan Tape'!$AN131=0,'Loan Tape'!$Z131="Interest Only",'Loan Tape'!$Z131=""),0,MIN(MAX(0,H135-H741),IFERROR(MAX(0,MIN(6,'Loan Tape'!$AV131)-MAX(5,'Loan Tape'!$AT131))*IF(H438&lt;=0,H135/MAX(1,'Loan Tape'!$AU131-6+1),H438*H135/(1-(1+H438)^(-MAX(1,'Loan Tape'!$AU131-6+1)))-H438*H135),0)))</f>
        <v>0</v>
      </c>
      <c r="I1044" s="71" t="n">
        <f aca="false">IF(OR('Loan Tape'!$AN131=0,'Loan Tape'!$Z131="Interest Only",'Loan Tape'!$Z131=""),0,MIN(MAX(0,I135-I741),IFERROR(MAX(0,MIN(7,'Loan Tape'!$AV131)-MAX(6,'Loan Tape'!$AT131))*IF(I438&lt;=0,I135/MAX(1,'Loan Tape'!$AU131-7+1),I438*I135/(1-(1+I438)^(-MAX(1,'Loan Tape'!$AU131-7+1)))-I438*I135),0)))</f>
        <v>0</v>
      </c>
      <c r="J1044" s="71" t="n">
        <f aca="false">IF(OR('Loan Tape'!$AN131=0,'Loan Tape'!$Z131="Interest Only",'Loan Tape'!$Z131=""),0,MIN(MAX(0,J135-J741),IFERROR(MAX(0,MIN(8,'Loan Tape'!$AV131)-MAX(7,'Loan Tape'!$AT131))*IF(J438&lt;=0,J135/MAX(1,'Loan Tape'!$AU131-8+1),J438*J135/(1-(1+J438)^(-MAX(1,'Loan Tape'!$AU131-8+1)))-J438*J135),0)))</f>
        <v>0</v>
      </c>
      <c r="K1044" s="71" t="n">
        <f aca="false">IF(OR('Loan Tape'!$AN131=0,'Loan Tape'!$Z131="Interest Only",'Loan Tape'!$Z131=""),0,MIN(MAX(0,K135-K741),IFERROR(MAX(0,MIN(9,'Loan Tape'!$AV131)-MAX(8,'Loan Tape'!$AT131))*IF(K438&lt;=0,K135/MAX(1,'Loan Tape'!$AU131-9+1),K438*K135/(1-(1+K438)^(-MAX(1,'Loan Tape'!$AU131-9+1)))-K438*K135),0)))</f>
        <v>0</v>
      </c>
      <c r="L1044" s="71" t="n">
        <f aca="false">IF(OR('Loan Tape'!$AN131=0,'Loan Tape'!$Z131="Interest Only",'Loan Tape'!$Z131=""),0,MIN(MAX(0,L135-L741),IFERROR(MAX(0,MIN(10,'Loan Tape'!$AV131)-MAX(9,'Loan Tape'!$AT131))*IF(L438&lt;=0,L135/MAX(1,'Loan Tape'!$AU131-10+1),L438*L135/(1-(1+L438)^(-MAX(1,'Loan Tape'!$AU131-10+1)))-L438*L135),0)))</f>
        <v>0</v>
      </c>
    </row>
    <row r="1045" customFormat="false" ht="15" hidden="false" customHeight="false" outlineLevel="0" collapsed="false">
      <c r="B1045" s="102" t="n">
        <f aca="false">'Loan Tape'!$A132</f>
        <v>0</v>
      </c>
      <c r="C1045" s="99" t="n">
        <f aca="false">IF(OR('Loan Tape'!$AN132=0,'Loan Tape'!$Z132="Interest Only",'Loan Tape'!$Z132=""),0,MIN(MAX(0,C136-C742),IFERROR(MAX(0,MIN(1,'Loan Tape'!$AV132)-MAX(0,'Loan Tape'!$AT132))*IF(C439&lt;=0,C136/MAX(1,'Loan Tape'!$AU132-1+1),C439*C136/(1-(1+C439)^(-MAX(1,'Loan Tape'!$AU132-1+1)))-C439*C136),0)))</f>
        <v>0</v>
      </c>
      <c r="D1045" s="99" t="n">
        <f aca="false">IF(OR('Loan Tape'!$AN132=0,'Loan Tape'!$Z132="Interest Only",'Loan Tape'!$Z132=""),0,MIN(MAX(0,D136-D742),IFERROR(MAX(0,MIN(2,'Loan Tape'!$AV132)-MAX(1,'Loan Tape'!$AT132))*IF(D439&lt;=0,D136/MAX(1,'Loan Tape'!$AU132-2+1),D439*D136/(1-(1+D439)^(-MAX(1,'Loan Tape'!$AU132-2+1)))-D439*D136),0)))</f>
        <v>0</v>
      </c>
      <c r="E1045" s="99" t="n">
        <f aca="false">IF(OR('Loan Tape'!$AN132=0,'Loan Tape'!$Z132="Interest Only",'Loan Tape'!$Z132=""),0,MIN(MAX(0,E136-E742),IFERROR(MAX(0,MIN(3,'Loan Tape'!$AV132)-MAX(2,'Loan Tape'!$AT132))*IF(E439&lt;=0,E136/MAX(1,'Loan Tape'!$AU132-3+1),E439*E136/(1-(1+E439)^(-MAX(1,'Loan Tape'!$AU132-3+1)))-E439*E136),0)))</f>
        <v>0</v>
      </c>
      <c r="F1045" s="99" t="n">
        <f aca="false">IF(OR('Loan Tape'!$AN132=0,'Loan Tape'!$Z132="Interest Only",'Loan Tape'!$Z132=""),0,MIN(MAX(0,F136-F742),IFERROR(MAX(0,MIN(4,'Loan Tape'!$AV132)-MAX(3,'Loan Tape'!$AT132))*IF(F439&lt;=0,F136/MAX(1,'Loan Tape'!$AU132-4+1),F439*F136/(1-(1+F439)^(-MAX(1,'Loan Tape'!$AU132-4+1)))-F439*F136),0)))</f>
        <v>0</v>
      </c>
      <c r="G1045" s="99" t="n">
        <f aca="false">IF(OR('Loan Tape'!$AN132=0,'Loan Tape'!$Z132="Interest Only",'Loan Tape'!$Z132=""),0,MIN(MAX(0,G136-G742),IFERROR(MAX(0,MIN(5,'Loan Tape'!$AV132)-MAX(4,'Loan Tape'!$AT132))*IF(G439&lt;=0,G136/MAX(1,'Loan Tape'!$AU132-5+1),G439*G136/(1-(1+G439)^(-MAX(1,'Loan Tape'!$AU132-5+1)))-G439*G136),0)))</f>
        <v>0</v>
      </c>
      <c r="H1045" s="99" t="n">
        <f aca="false">IF(OR('Loan Tape'!$AN132=0,'Loan Tape'!$Z132="Interest Only",'Loan Tape'!$Z132=""),0,MIN(MAX(0,H136-H742),IFERROR(MAX(0,MIN(6,'Loan Tape'!$AV132)-MAX(5,'Loan Tape'!$AT132))*IF(H439&lt;=0,H136/MAX(1,'Loan Tape'!$AU132-6+1),H439*H136/(1-(1+H439)^(-MAX(1,'Loan Tape'!$AU132-6+1)))-H439*H136),0)))</f>
        <v>0</v>
      </c>
      <c r="I1045" s="99" t="n">
        <f aca="false">IF(OR('Loan Tape'!$AN132=0,'Loan Tape'!$Z132="Interest Only",'Loan Tape'!$Z132=""),0,MIN(MAX(0,I136-I742),IFERROR(MAX(0,MIN(7,'Loan Tape'!$AV132)-MAX(6,'Loan Tape'!$AT132))*IF(I439&lt;=0,I136/MAX(1,'Loan Tape'!$AU132-7+1),I439*I136/(1-(1+I439)^(-MAX(1,'Loan Tape'!$AU132-7+1)))-I439*I136),0)))</f>
        <v>0</v>
      </c>
      <c r="J1045" s="99" t="n">
        <f aca="false">IF(OR('Loan Tape'!$AN132=0,'Loan Tape'!$Z132="Interest Only",'Loan Tape'!$Z132=""),0,MIN(MAX(0,J136-J742),IFERROR(MAX(0,MIN(8,'Loan Tape'!$AV132)-MAX(7,'Loan Tape'!$AT132))*IF(J439&lt;=0,J136/MAX(1,'Loan Tape'!$AU132-8+1),J439*J136/(1-(1+J439)^(-MAX(1,'Loan Tape'!$AU132-8+1)))-J439*J136),0)))</f>
        <v>0</v>
      </c>
      <c r="K1045" s="99" t="n">
        <f aca="false">IF(OR('Loan Tape'!$AN132=0,'Loan Tape'!$Z132="Interest Only",'Loan Tape'!$Z132=""),0,MIN(MAX(0,K136-K742),IFERROR(MAX(0,MIN(9,'Loan Tape'!$AV132)-MAX(8,'Loan Tape'!$AT132))*IF(K439&lt;=0,K136/MAX(1,'Loan Tape'!$AU132-9+1),K439*K136/(1-(1+K439)^(-MAX(1,'Loan Tape'!$AU132-9+1)))-K439*K136),0)))</f>
        <v>0</v>
      </c>
      <c r="L1045" s="99" t="n">
        <f aca="false">IF(OR('Loan Tape'!$AN132=0,'Loan Tape'!$Z132="Interest Only",'Loan Tape'!$Z132=""),0,MIN(MAX(0,L136-L742),IFERROR(MAX(0,MIN(10,'Loan Tape'!$AV132)-MAX(9,'Loan Tape'!$AT132))*IF(L439&lt;=0,L136/MAX(1,'Loan Tape'!$AU132-10+1),L439*L136/(1-(1+L439)^(-MAX(1,'Loan Tape'!$AU132-10+1)))-L439*L136),0)))</f>
        <v>0</v>
      </c>
    </row>
    <row r="1046" customFormat="false" ht="15" hidden="false" customHeight="false" outlineLevel="0" collapsed="false">
      <c r="B1046" s="108" t="n">
        <f aca="false">'Loan Tape'!$A133</f>
        <v>0</v>
      </c>
      <c r="C1046" s="71" t="n">
        <f aca="false">IF(OR('Loan Tape'!$AN133=0,'Loan Tape'!$Z133="Interest Only",'Loan Tape'!$Z133=""),0,MIN(MAX(0,C137-C743),IFERROR(MAX(0,MIN(1,'Loan Tape'!$AV133)-MAX(0,'Loan Tape'!$AT133))*IF(C440&lt;=0,C137/MAX(1,'Loan Tape'!$AU133-1+1),C440*C137/(1-(1+C440)^(-MAX(1,'Loan Tape'!$AU133-1+1)))-C440*C137),0)))</f>
        <v>0</v>
      </c>
      <c r="D1046" s="71" t="n">
        <f aca="false">IF(OR('Loan Tape'!$AN133=0,'Loan Tape'!$Z133="Interest Only",'Loan Tape'!$Z133=""),0,MIN(MAX(0,D137-D743),IFERROR(MAX(0,MIN(2,'Loan Tape'!$AV133)-MAX(1,'Loan Tape'!$AT133))*IF(D440&lt;=0,D137/MAX(1,'Loan Tape'!$AU133-2+1),D440*D137/(1-(1+D440)^(-MAX(1,'Loan Tape'!$AU133-2+1)))-D440*D137),0)))</f>
        <v>0</v>
      </c>
      <c r="E1046" s="71" t="n">
        <f aca="false">IF(OR('Loan Tape'!$AN133=0,'Loan Tape'!$Z133="Interest Only",'Loan Tape'!$Z133=""),0,MIN(MAX(0,E137-E743),IFERROR(MAX(0,MIN(3,'Loan Tape'!$AV133)-MAX(2,'Loan Tape'!$AT133))*IF(E440&lt;=0,E137/MAX(1,'Loan Tape'!$AU133-3+1),E440*E137/(1-(1+E440)^(-MAX(1,'Loan Tape'!$AU133-3+1)))-E440*E137),0)))</f>
        <v>0</v>
      </c>
      <c r="F1046" s="71" t="n">
        <f aca="false">IF(OR('Loan Tape'!$AN133=0,'Loan Tape'!$Z133="Interest Only",'Loan Tape'!$Z133=""),0,MIN(MAX(0,F137-F743),IFERROR(MAX(0,MIN(4,'Loan Tape'!$AV133)-MAX(3,'Loan Tape'!$AT133))*IF(F440&lt;=0,F137/MAX(1,'Loan Tape'!$AU133-4+1),F440*F137/(1-(1+F440)^(-MAX(1,'Loan Tape'!$AU133-4+1)))-F440*F137),0)))</f>
        <v>0</v>
      </c>
      <c r="G1046" s="71" t="n">
        <f aca="false">IF(OR('Loan Tape'!$AN133=0,'Loan Tape'!$Z133="Interest Only",'Loan Tape'!$Z133=""),0,MIN(MAX(0,G137-G743),IFERROR(MAX(0,MIN(5,'Loan Tape'!$AV133)-MAX(4,'Loan Tape'!$AT133))*IF(G440&lt;=0,G137/MAX(1,'Loan Tape'!$AU133-5+1),G440*G137/(1-(1+G440)^(-MAX(1,'Loan Tape'!$AU133-5+1)))-G440*G137),0)))</f>
        <v>0</v>
      </c>
      <c r="H1046" s="71" t="n">
        <f aca="false">IF(OR('Loan Tape'!$AN133=0,'Loan Tape'!$Z133="Interest Only",'Loan Tape'!$Z133=""),0,MIN(MAX(0,H137-H743),IFERROR(MAX(0,MIN(6,'Loan Tape'!$AV133)-MAX(5,'Loan Tape'!$AT133))*IF(H440&lt;=0,H137/MAX(1,'Loan Tape'!$AU133-6+1),H440*H137/(1-(1+H440)^(-MAX(1,'Loan Tape'!$AU133-6+1)))-H440*H137),0)))</f>
        <v>0</v>
      </c>
      <c r="I1046" s="71" t="n">
        <f aca="false">IF(OR('Loan Tape'!$AN133=0,'Loan Tape'!$Z133="Interest Only",'Loan Tape'!$Z133=""),0,MIN(MAX(0,I137-I743),IFERROR(MAX(0,MIN(7,'Loan Tape'!$AV133)-MAX(6,'Loan Tape'!$AT133))*IF(I440&lt;=0,I137/MAX(1,'Loan Tape'!$AU133-7+1),I440*I137/(1-(1+I440)^(-MAX(1,'Loan Tape'!$AU133-7+1)))-I440*I137),0)))</f>
        <v>0</v>
      </c>
      <c r="J1046" s="71" t="n">
        <f aca="false">IF(OR('Loan Tape'!$AN133=0,'Loan Tape'!$Z133="Interest Only",'Loan Tape'!$Z133=""),0,MIN(MAX(0,J137-J743),IFERROR(MAX(0,MIN(8,'Loan Tape'!$AV133)-MAX(7,'Loan Tape'!$AT133))*IF(J440&lt;=0,J137/MAX(1,'Loan Tape'!$AU133-8+1),J440*J137/(1-(1+J440)^(-MAX(1,'Loan Tape'!$AU133-8+1)))-J440*J137),0)))</f>
        <v>0</v>
      </c>
      <c r="K1046" s="71" t="n">
        <f aca="false">IF(OR('Loan Tape'!$AN133=0,'Loan Tape'!$Z133="Interest Only",'Loan Tape'!$Z133=""),0,MIN(MAX(0,K137-K743),IFERROR(MAX(0,MIN(9,'Loan Tape'!$AV133)-MAX(8,'Loan Tape'!$AT133))*IF(K440&lt;=0,K137/MAX(1,'Loan Tape'!$AU133-9+1),K440*K137/(1-(1+K440)^(-MAX(1,'Loan Tape'!$AU133-9+1)))-K440*K137),0)))</f>
        <v>0</v>
      </c>
      <c r="L1046" s="71" t="n">
        <f aca="false">IF(OR('Loan Tape'!$AN133=0,'Loan Tape'!$Z133="Interest Only",'Loan Tape'!$Z133=""),0,MIN(MAX(0,L137-L743),IFERROR(MAX(0,MIN(10,'Loan Tape'!$AV133)-MAX(9,'Loan Tape'!$AT133))*IF(L440&lt;=0,L137/MAX(1,'Loan Tape'!$AU133-10+1),L440*L137/(1-(1+L440)^(-MAX(1,'Loan Tape'!$AU133-10+1)))-L440*L137),0)))</f>
        <v>0</v>
      </c>
    </row>
    <row r="1047" customFormat="false" ht="15" hidden="false" customHeight="false" outlineLevel="0" collapsed="false">
      <c r="B1047" s="102" t="n">
        <f aca="false">'Loan Tape'!$A134</f>
        <v>0</v>
      </c>
      <c r="C1047" s="99" t="n">
        <f aca="false">IF(OR('Loan Tape'!$AN134=0,'Loan Tape'!$Z134="Interest Only",'Loan Tape'!$Z134=""),0,MIN(MAX(0,C138-C744),IFERROR(MAX(0,MIN(1,'Loan Tape'!$AV134)-MAX(0,'Loan Tape'!$AT134))*IF(C441&lt;=0,C138/MAX(1,'Loan Tape'!$AU134-1+1),C441*C138/(1-(1+C441)^(-MAX(1,'Loan Tape'!$AU134-1+1)))-C441*C138),0)))</f>
        <v>0</v>
      </c>
      <c r="D1047" s="99" t="n">
        <f aca="false">IF(OR('Loan Tape'!$AN134=0,'Loan Tape'!$Z134="Interest Only",'Loan Tape'!$Z134=""),0,MIN(MAX(0,D138-D744),IFERROR(MAX(0,MIN(2,'Loan Tape'!$AV134)-MAX(1,'Loan Tape'!$AT134))*IF(D441&lt;=0,D138/MAX(1,'Loan Tape'!$AU134-2+1),D441*D138/(1-(1+D441)^(-MAX(1,'Loan Tape'!$AU134-2+1)))-D441*D138),0)))</f>
        <v>0</v>
      </c>
      <c r="E1047" s="99" t="n">
        <f aca="false">IF(OR('Loan Tape'!$AN134=0,'Loan Tape'!$Z134="Interest Only",'Loan Tape'!$Z134=""),0,MIN(MAX(0,E138-E744),IFERROR(MAX(0,MIN(3,'Loan Tape'!$AV134)-MAX(2,'Loan Tape'!$AT134))*IF(E441&lt;=0,E138/MAX(1,'Loan Tape'!$AU134-3+1),E441*E138/(1-(1+E441)^(-MAX(1,'Loan Tape'!$AU134-3+1)))-E441*E138),0)))</f>
        <v>0</v>
      </c>
      <c r="F1047" s="99" t="n">
        <f aca="false">IF(OR('Loan Tape'!$AN134=0,'Loan Tape'!$Z134="Interest Only",'Loan Tape'!$Z134=""),0,MIN(MAX(0,F138-F744),IFERROR(MAX(0,MIN(4,'Loan Tape'!$AV134)-MAX(3,'Loan Tape'!$AT134))*IF(F441&lt;=0,F138/MAX(1,'Loan Tape'!$AU134-4+1),F441*F138/(1-(1+F441)^(-MAX(1,'Loan Tape'!$AU134-4+1)))-F441*F138),0)))</f>
        <v>0</v>
      </c>
      <c r="G1047" s="99" t="n">
        <f aca="false">IF(OR('Loan Tape'!$AN134=0,'Loan Tape'!$Z134="Interest Only",'Loan Tape'!$Z134=""),0,MIN(MAX(0,G138-G744),IFERROR(MAX(0,MIN(5,'Loan Tape'!$AV134)-MAX(4,'Loan Tape'!$AT134))*IF(G441&lt;=0,G138/MAX(1,'Loan Tape'!$AU134-5+1),G441*G138/(1-(1+G441)^(-MAX(1,'Loan Tape'!$AU134-5+1)))-G441*G138),0)))</f>
        <v>0</v>
      </c>
      <c r="H1047" s="99" t="n">
        <f aca="false">IF(OR('Loan Tape'!$AN134=0,'Loan Tape'!$Z134="Interest Only",'Loan Tape'!$Z134=""),0,MIN(MAX(0,H138-H744),IFERROR(MAX(0,MIN(6,'Loan Tape'!$AV134)-MAX(5,'Loan Tape'!$AT134))*IF(H441&lt;=0,H138/MAX(1,'Loan Tape'!$AU134-6+1),H441*H138/(1-(1+H441)^(-MAX(1,'Loan Tape'!$AU134-6+1)))-H441*H138),0)))</f>
        <v>0</v>
      </c>
      <c r="I1047" s="99" t="n">
        <f aca="false">IF(OR('Loan Tape'!$AN134=0,'Loan Tape'!$Z134="Interest Only",'Loan Tape'!$Z134=""),0,MIN(MAX(0,I138-I744),IFERROR(MAX(0,MIN(7,'Loan Tape'!$AV134)-MAX(6,'Loan Tape'!$AT134))*IF(I441&lt;=0,I138/MAX(1,'Loan Tape'!$AU134-7+1),I441*I138/(1-(1+I441)^(-MAX(1,'Loan Tape'!$AU134-7+1)))-I441*I138),0)))</f>
        <v>0</v>
      </c>
      <c r="J1047" s="99" t="n">
        <f aca="false">IF(OR('Loan Tape'!$AN134=0,'Loan Tape'!$Z134="Interest Only",'Loan Tape'!$Z134=""),0,MIN(MAX(0,J138-J744),IFERROR(MAX(0,MIN(8,'Loan Tape'!$AV134)-MAX(7,'Loan Tape'!$AT134))*IF(J441&lt;=0,J138/MAX(1,'Loan Tape'!$AU134-8+1),J441*J138/(1-(1+J441)^(-MAX(1,'Loan Tape'!$AU134-8+1)))-J441*J138),0)))</f>
        <v>0</v>
      </c>
      <c r="K1047" s="99" t="n">
        <f aca="false">IF(OR('Loan Tape'!$AN134=0,'Loan Tape'!$Z134="Interest Only",'Loan Tape'!$Z134=""),0,MIN(MAX(0,K138-K744),IFERROR(MAX(0,MIN(9,'Loan Tape'!$AV134)-MAX(8,'Loan Tape'!$AT134))*IF(K441&lt;=0,K138/MAX(1,'Loan Tape'!$AU134-9+1),K441*K138/(1-(1+K441)^(-MAX(1,'Loan Tape'!$AU134-9+1)))-K441*K138),0)))</f>
        <v>0</v>
      </c>
      <c r="L1047" s="99" t="n">
        <f aca="false">IF(OR('Loan Tape'!$AN134=0,'Loan Tape'!$Z134="Interest Only",'Loan Tape'!$Z134=""),0,MIN(MAX(0,L138-L744),IFERROR(MAX(0,MIN(10,'Loan Tape'!$AV134)-MAX(9,'Loan Tape'!$AT134))*IF(L441&lt;=0,L138/MAX(1,'Loan Tape'!$AU134-10+1),L441*L138/(1-(1+L441)^(-MAX(1,'Loan Tape'!$AU134-10+1)))-L441*L138),0)))</f>
        <v>0</v>
      </c>
    </row>
    <row r="1048" customFormat="false" ht="15" hidden="false" customHeight="false" outlineLevel="0" collapsed="false">
      <c r="B1048" s="108" t="n">
        <f aca="false">'Loan Tape'!$A135</f>
        <v>0</v>
      </c>
      <c r="C1048" s="71" t="n">
        <f aca="false">IF(OR('Loan Tape'!$AN135=0,'Loan Tape'!$Z135="Interest Only",'Loan Tape'!$Z135=""),0,MIN(MAX(0,C139-C745),IFERROR(MAX(0,MIN(1,'Loan Tape'!$AV135)-MAX(0,'Loan Tape'!$AT135))*IF(C442&lt;=0,C139/MAX(1,'Loan Tape'!$AU135-1+1),C442*C139/(1-(1+C442)^(-MAX(1,'Loan Tape'!$AU135-1+1)))-C442*C139),0)))</f>
        <v>0</v>
      </c>
      <c r="D1048" s="71" t="n">
        <f aca="false">IF(OR('Loan Tape'!$AN135=0,'Loan Tape'!$Z135="Interest Only",'Loan Tape'!$Z135=""),0,MIN(MAX(0,D139-D745),IFERROR(MAX(0,MIN(2,'Loan Tape'!$AV135)-MAX(1,'Loan Tape'!$AT135))*IF(D442&lt;=0,D139/MAX(1,'Loan Tape'!$AU135-2+1),D442*D139/(1-(1+D442)^(-MAX(1,'Loan Tape'!$AU135-2+1)))-D442*D139),0)))</f>
        <v>0</v>
      </c>
      <c r="E1048" s="71" t="n">
        <f aca="false">IF(OR('Loan Tape'!$AN135=0,'Loan Tape'!$Z135="Interest Only",'Loan Tape'!$Z135=""),0,MIN(MAX(0,E139-E745),IFERROR(MAX(0,MIN(3,'Loan Tape'!$AV135)-MAX(2,'Loan Tape'!$AT135))*IF(E442&lt;=0,E139/MAX(1,'Loan Tape'!$AU135-3+1),E442*E139/(1-(1+E442)^(-MAX(1,'Loan Tape'!$AU135-3+1)))-E442*E139),0)))</f>
        <v>0</v>
      </c>
      <c r="F1048" s="71" t="n">
        <f aca="false">IF(OR('Loan Tape'!$AN135=0,'Loan Tape'!$Z135="Interest Only",'Loan Tape'!$Z135=""),0,MIN(MAX(0,F139-F745),IFERROR(MAX(0,MIN(4,'Loan Tape'!$AV135)-MAX(3,'Loan Tape'!$AT135))*IF(F442&lt;=0,F139/MAX(1,'Loan Tape'!$AU135-4+1),F442*F139/(1-(1+F442)^(-MAX(1,'Loan Tape'!$AU135-4+1)))-F442*F139),0)))</f>
        <v>0</v>
      </c>
      <c r="G1048" s="71" t="n">
        <f aca="false">IF(OR('Loan Tape'!$AN135=0,'Loan Tape'!$Z135="Interest Only",'Loan Tape'!$Z135=""),0,MIN(MAX(0,G139-G745),IFERROR(MAX(0,MIN(5,'Loan Tape'!$AV135)-MAX(4,'Loan Tape'!$AT135))*IF(G442&lt;=0,G139/MAX(1,'Loan Tape'!$AU135-5+1),G442*G139/(1-(1+G442)^(-MAX(1,'Loan Tape'!$AU135-5+1)))-G442*G139),0)))</f>
        <v>0</v>
      </c>
      <c r="H1048" s="71" t="n">
        <f aca="false">IF(OR('Loan Tape'!$AN135=0,'Loan Tape'!$Z135="Interest Only",'Loan Tape'!$Z135=""),0,MIN(MAX(0,H139-H745),IFERROR(MAX(0,MIN(6,'Loan Tape'!$AV135)-MAX(5,'Loan Tape'!$AT135))*IF(H442&lt;=0,H139/MAX(1,'Loan Tape'!$AU135-6+1),H442*H139/(1-(1+H442)^(-MAX(1,'Loan Tape'!$AU135-6+1)))-H442*H139),0)))</f>
        <v>0</v>
      </c>
      <c r="I1048" s="71" t="n">
        <f aca="false">IF(OR('Loan Tape'!$AN135=0,'Loan Tape'!$Z135="Interest Only",'Loan Tape'!$Z135=""),0,MIN(MAX(0,I139-I745),IFERROR(MAX(0,MIN(7,'Loan Tape'!$AV135)-MAX(6,'Loan Tape'!$AT135))*IF(I442&lt;=0,I139/MAX(1,'Loan Tape'!$AU135-7+1),I442*I139/(1-(1+I442)^(-MAX(1,'Loan Tape'!$AU135-7+1)))-I442*I139),0)))</f>
        <v>0</v>
      </c>
      <c r="J1048" s="71" t="n">
        <f aca="false">IF(OR('Loan Tape'!$AN135=0,'Loan Tape'!$Z135="Interest Only",'Loan Tape'!$Z135=""),0,MIN(MAX(0,J139-J745),IFERROR(MAX(0,MIN(8,'Loan Tape'!$AV135)-MAX(7,'Loan Tape'!$AT135))*IF(J442&lt;=0,J139/MAX(1,'Loan Tape'!$AU135-8+1),J442*J139/(1-(1+J442)^(-MAX(1,'Loan Tape'!$AU135-8+1)))-J442*J139),0)))</f>
        <v>0</v>
      </c>
      <c r="K1048" s="71" t="n">
        <f aca="false">IF(OR('Loan Tape'!$AN135=0,'Loan Tape'!$Z135="Interest Only",'Loan Tape'!$Z135=""),0,MIN(MAX(0,K139-K745),IFERROR(MAX(0,MIN(9,'Loan Tape'!$AV135)-MAX(8,'Loan Tape'!$AT135))*IF(K442&lt;=0,K139/MAX(1,'Loan Tape'!$AU135-9+1),K442*K139/(1-(1+K442)^(-MAX(1,'Loan Tape'!$AU135-9+1)))-K442*K139),0)))</f>
        <v>0</v>
      </c>
      <c r="L1048" s="71" t="n">
        <f aca="false">IF(OR('Loan Tape'!$AN135=0,'Loan Tape'!$Z135="Interest Only",'Loan Tape'!$Z135=""),0,MIN(MAX(0,L139-L745),IFERROR(MAX(0,MIN(10,'Loan Tape'!$AV135)-MAX(9,'Loan Tape'!$AT135))*IF(L442&lt;=0,L139/MAX(1,'Loan Tape'!$AU135-10+1),L442*L139/(1-(1+L442)^(-MAX(1,'Loan Tape'!$AU135-10+1)))-L442*L139),0)))</f>
        <v>0</v>
      </c>
    </row>
    <row r="1049" customFormat="false" ht="15" hidden="false" customHeight="false" outlineLevel="0" collapsed="false">
      <c r="B1049" s="102" t="n">
        <f aca="false">'Loan Tape'!$A136</f>
        <v>0</v>
      </c>
      <c r="C1049" s="99" t="n">
        <f aca="false">IF(OR('Loan Tape'!$AN136=0,'Loan Tape'!$Z136="Interest Only",'Loan Tape'!$Z136=""),0,MIN(MAX(0,C140-C746),IFERROR(MAX(0,MIN(1,'Loan Tape'!$AV136)-MAX(0,'Loan Tape'!$AT136))*IF(C443&lt;=0,C140/MAX(1,'Loan Tape'!$AU136-1+1),C443*C140/(1-(1+C443)^(-MAX(1,'Loan Tape'!$AU136-1+1)))-C443*C140),0)))</f>
        <v>0</v>
      </c>
      <c r="D1049" s="99" t="n">
        <f aca="false">IF(OR('Loan Tape'!$AN136=0,'Loan Tape'!$Z136="Interest Only",'Loan Tape'!$Z136=""),0,MIN(MAX(0,D140-D746),IFERROR(MAX(0,MIN(2,'Loan Tape'!$AV136)-MAX(1,'Loan Tape'!$AT136))*IF(D443&lt;=0,D140/MAX(1,'Loan Tape'!$AU136-2+1),D443*D140/(1-(1+D443)^(-MAX(1,'Loan Tape'!$AU136-2+1)))-D443*D140),0)))</f>
        <v>0</v>
      </c>
      <c r="E1049" s="99" t="n">
        <f aca="false">IF(OR('Loan Tape'!$AN136=0,'Loan Tape'!$Z136="Interest Only",'Loan Tape'!$Z136=""),0,MIN(MAX(0,E140-E746),IFERROR(MAX(0,MIN(3,'Loan Tape'!$AV136)-MAX(2,'Loan Tape'!$AT136))*IF(E443&lt;=0,E140/MAX(1,'Loan Tape'!$AU136-3+1),E443*E140/(1-(1+E443)^(-MAX(1,'Loan Tape'!$AU136-3+1)))-E443*E140),0)))</f>
        <v>0</v>
      </c>
      <c r="F1049" s="99" t="n">
        <f aca="false">IF(OR('Loan Tape'!$AN136=0,'Loan Tape'!$Z136="Interest Only",'Loan Tape'!$Z136=""),0,MIN(MAX(0,F140-F746),IFERROR(MAX(0,MIN(4,'Loan Tape'!$AV136)-MAX(3,'Loan Tape'!$AT136))*IF(F443&lt;=0,F140/MAX(1,'Loan Tape'!$AU136-4+1),F443*F140/(1-(1+F443)^(-MAX(1,'Loan Tape'!$AU136-4+1)))-F443*F140),0)))</f>
        <v>0</v>
      </c>
      <c r="G1049" s="99" t="n">
        <f aca="false">IF(OR('Loan Tape'!$AN136=0,'Loan Tape'!$Z136="Interest Only",'Loan Tape'!$Z136=""),0,MIN(MAX(0,G140-G746),IFERROR(MAX(0,MIN(5,'Loan Tape'!$AV136)-MAX(4,'Loan Tape'!$AT136))*IF(G443&lt;=0,G140/MAX(1,'Loan Tape'!$AU136-5+1),G443*G140/(1-(1+G443)^(-MAX(1,'Loan Tape'!$AU136-5+1)))-G443*G140),0)))</f>
        <v>0</v>
      </c>
      <c r="H1049" s="99" t="n">
        <f aca="false">IF(OR('Loan Tape'!$AN136=0,'Loan Tape'!$Z136="Interest Only",'Loan Tape'!$Z136=""),0,MIN(MAX(0,H140-H746),IFERROR(MAX(0,MIN(6,'Loan Tape'!$AV136)-MAX(5,'Loan Tape'!$AT136))*IF(H443&lt;=0,H140/MAX(1,'Loan Tape'!$AU136-6+1),H443*H140/(1-(1+H443)^(-MAX(1,'Loan Tape'!$AU136-6+1)))-H443*H140),0)))</f>
        <v>0</v>
      </c>
      <c r="I1049" s="99" t="n">
        <f aca="false">IF(OR('Loan Tape'!$AN136=0,'Loan Tape'!$Z136="Interest Only",'Loan Tape'!$Z136=""),0,MIN(MAX(0,I140-I746),IFERROR(MAX(0,MIN(7,'Loan Tape'!$AV136)-MAX(6,'Loan Tape'!$AT136))*IF(I443&lt;=0,I140/MAX(1,'Loan Tape'!$AU136-7+1),I443*I140/(1-(1+I443)^(-MAX(1,'Loan Tape'!$AU136-7+1)))-I443*I140),0)))</f>
        <v>0</v>
      </c>
      <c r="J1049" s="99" t="n">
        <f aca="false">IF(OR('Loan Tape'!$AN136=0,'Loan Tape'!$Z136="Interest Only",'Loan Tape'!$Z136=""),0,MIN(MAX(0,J140-J746),IFERROR(MAX(0,MIN(8,'Loan Tape'!$AV136)-MAX(7,'Loan Tape'!$AT136))*IF(J443&lt;=0,J140/MAX(1,'Loan Tape'!$AU136-8+1),J443*J140/(1-(1+J443)^(-MAX(1,'Loan Tape'!$AU136-8+1)))-J443*J140),0)))</f>
        <v>0</v>
      </c>
      <c r="K1049" s="99" t="n">
        <f aca="false">IF(OR('Loan Tape'!$AN136=0,'Loan Tape'!$Z136="Interest Only",'Loan Tape'!$Z136=""),0,MIN(MAX(0,K140-K746),IFERROR(MAX(0,MIN(9,'Loan Tape'!$AV136)-MAX(8,'Loan Tape'!$AT136))*IF(K443&lt;=0,K140/MAX(1,'Loan Tape'!$AU136-9+1),K443*K140/(1-(1+K443)^(-MAX(1,'Loan Tape'!$AU136-9+1)))-K443*K140),0)))</f>
        <v>0</v>
      </c>
      <c r="L1049" s="99" t="n">
        <f aca="false">IF(OR('Loan Tape'!$AN136=0,'Loan Tape'!$Z136="Interest Only",'Loan Tape'!$Z136=""),0,MIN(MAX(0,L140-L746),IFERROR(MAX(0,MIN(10,'Loan Tape'!$AV136)-MAX(9,'Loan Tape'!$AT136))*IF(L443&lt;=0,L140/MAX(1,'Loan Tape'!$AU136-10+1),L443*L140/(1-(1+L443)^(-MAX(1,'Loan Tape'!$AU136-10+1)))-L443*L140),0)))</f>
        <v>0</v>
      </c>
    </row>
    <row r="1050" customFormat="false" ht="15" hidden="false" customHeight="false" outlineLevel="0" collapsed="false">
      <c r="B1050" s="108" t="n">
        <f aca="false">'Loan Tape'!$A137</f>
        <v>0</v>
      </c>
      <c r="C1050" s="71" t="n">
        <f aca="false">IF(OR('Loan Tape'!$AN137=0,'Loan Tape'!$Z137="Interest Only",'Loan Tape'!$Z137=""),0,MIN(MAX(0,C141-C747),IFERROR(MAX(0,MIN(1,'Loan Tape'!$AV137)-MAX(0,'Loan Tape'!$AT137))*IF(C444&lt;=0,C141/MAX(1,'Loan Tape'!$AU137-1+1),C444*C141/(1-(1+C444)^(-MAX(1,'Loan Tape'!$AU137-1+1)))-C444*C141),0)))</f>
        <v>0</v>
      </c>
      <c r="D1050" s="71" t="n">
        <f aca="false">IF(OR('Loan Tape'!$AN137=0,'Loan Tape'!$Z137="Interest Only",'Loan Tape'!$Z137=""),0,MIN(MAX(0,D141-D747),IFERROR(MAX(0,MIN(2,'Loan Tape'!$AV137)-MAX(1,'Loan Tape'!$AT137))*IF(D444&lt;=0,D141/MAX(1,'Loan Tape'!$AU137-2+1),D444*D141/(1-(1+D444)^(-MAX(1,'Loan Tape'!$AU137-2+1)))-D444*D141),0)))</f>
        <v>0</v>
      </c>
      <c r="E1050" s="71" t="n">
        <f aca="false">IF(OR('Loan Tape'!$AN137=0,'Loan Tape'!$Z137="Interest Only",'Loan Tape'!$Z137=""),0,MIN(MAX(0,E141-E747),IFERROR(MAX(0,MIN(3,'Loan Tape'!$AV137)-MAX(2,'Loan Tape'!$AT137))*IF(E444&lt;=0,E141/MAX(1,'Loan Tape'!$AU137-3+1),E444*E141/(1-(1+E444)^(-MAX(1,'Loan Tape'!$AU137-3+1)))-E444*E141),0)))</f>
        <v>0</v>
      </c>
      <c r="F1050" s="71" t="n">
        <f aca="false">IF(OR('Loan Tape'!$AN137=0,'Loan Tape'!$Z137="Interest Only",'Loan Tape'!$Z137=""),0,MIN(MAX(0,F141-F747),IFERROR(MAX(0,MIN(4,'Loan Tape'!$AV137)-MAX(3,'Loan Tape'!$AT137))*IF(F444&lt;=0,F141/MAX(1,'Loan Tape'!$AU137-4+1),F444*F141/(1-(1+F444)^(-MAX(1,'Loan Tape'!$AU137-4+1)))-F444*F141),0)))</f>
        <v>0</v>
      </c>
      <c r="G1050" s="71" t="n">
        <f aca="false">IF(OR('Loan Tape'!$AN137=0,'Loan Tape'!$Z137="Interest Only",'Loan Tape'!$Z137=""),0,MIN(MAX(0,G141-G747),IFERROR(MAX(0,MIN(5,'Loan Tape'!$AV137)-MAX(4,'Loan Tape'!$AT137))*IF(G444&lt;=0,G141/MAX(1,'Loan Tape'!$AU137-5+1),G444*G141/(1-(1+G444)^(-MAX(1,'Loan Tape'!$AU137-5+1)))-G444*G141),0)))</f>
        <v>0</v>
      </c>
      <c r="H1050" s="71" t="n">
        <f aca="false">IF(OR('Loan Tape'!$AN137=0,'Loan Tape'!$Z137="Interest Only",'Loan Tape'!$Z137=""),0,MIN(MAX(0,H141-H747),IFERROR(MAX(0,MIN(6,'Loan Tape'!$AV137)-MAX(5,'Loan Tape'!$AT137))*IF(H444&lt;=0,H141/MAX(1,'Loan Tape'!$AU137-6+1),H444*H141/(1-(1+H444)^(-MAX(1,'Loan Tape'!$AU137-6+1)))-H444*H141),0)))</f>
        <v>0</v>
      </c>
      <c r="I1050" s="71" t="n">
        <f aca="false">IF(OR('Loan Tape'!$AN137=0,'Loan Tape'!$Z137="Interest Only",'Loan Tape'!$Z137=""),0,MIN(MAX(0,I141-I747),IFERROR(MAX(0,MIN(7,'Loan Tape'!$AV137)-MAX(6,'Loan Tape'!$AT137))*IF(I444&lt;=0,I141/MAX(1,'Loan Tape'!$AU137-7+1),I444*I141/(1-(1+I444)^(-MAX(1,'Loan Tape'!$AU137-7+1)))-I444*I141),0)))</f>
        <v>0</v>
      </c>
      <c r="J1050" s="71" t="n">
        <f aca="false">IF(OR('Loan Tape'!$AN137=0,'Loan Tape'!$Z137="Interest Only",'Loan Tape'!$Z137=""),0,MIN(MAX(0,J141-J747),IFERROR(MAX(0,MIN(8,'Loan Tape'!$AV137)-MAX(7,'Loan Tape'!$AT137))*IF(J444&lt;=0,J141/MAX(1,'Loan Tape'!$AU137-8+1),J444*J141/(1-(1+J444)^(-MAX(1,'Loan Tape'!$AU137-8+1)))-J444*J141),0)))</f>
        <v>0</v>
      </c>
      <c r="K1050" s="71" t="n">
        <f aca="false">IF(OR('Loan Tape'!$AN137=0,'Loan Tape'!$Z137="Interest Only",'Loan Tape'!$Z137=""),0,MIN(MAX(0,K141-K747),IFERROR(MAX(0,MIN(9,'Loan Tape'!$AV137)-MAX(8,'Loan Tape'!$AT137))*IF(K444&lt;=0,K141/MAX(1,'Loan Tape'!$AU137-9+1),K444*K141/(1-(1+K444)^(-MAX(1,'Loan Tape'!$AU137-9+1)))-K444*K141),0)))</f>
        <v>0</v>
      </c>
      <c r="L1050" s="71" t="n">
        <f aca="false">IF(OR('Loan Tape'!$AN137=0,'Loan Tape'!$Z137="Interest Only",'Loan Tape'!$Z137=""),0,MIN(MAX(0,L141-L747),IFERROR(MAX(0,MIN(10,'Loan Tape'!$AV137)-MAX(9,'Loan Tape'!$AT137))*IF(L444&lt;=0,L141/MAX(1,'Loan Tape'!$AU137-10+1),L444*L141/(1-(1+L444)^(-MAX(1,'Loan Tape'!$AU137-10+1)))-L444*L141),0)))</f>
        <v>0</v>
      </c>
    </row>
    <row r="1051" customFormat="false" ht="15" hidden="false" customHeight="false" outlineLevel="0" collapsed="false">
      <c r="B1051" s="102" t="n">
        <f aca="false">'Loan Tape'!$A138</f>
        <v>0</v>
      </c>
      <c r="C1051" s="99" t="n">
        <f aca="false">IF(OR('Loan Tape'!$AN138=0,'Loan Tape'!$Z138="Interest Only",'Loan Tape'!$Z138=""),0,MIN(MAX(0,C142-C748),IFERROR(MAX(0,MIN(1,'Loan Tape'!$AV138)-MAX(0,'Loan Tape'!$AT138))*IF(C445&lt;=0,C142/MAX(1,'Loan Tape'!$AU138-1+1),C445*C142/(1-(1+C445)^(-MAX(1,'Loan Tape'!$AU138-1+1)))-C445*C142),0)))</f>
        <v>0</v>
      </c>
      <c r="D1051" s="99" t="n">
        <f aca="false">IF(OR('Loan Tape'!$AN138=0,'Loan Tape'!$Z138="Interest Only",'Loan Tape'!$Z138=""),0,MIN(MAX(0,D142-D748),IFERROR(MAX(0,MIN(2,'Loan Tape'!$AV138)-MAX(1,'Loan Tape'!$AT138))*IF(D445&lt;=0,D142/MAX(1,'Loan Tape'!$AU138-2+1),D445*D142/(1-(1+D445)^(-MAX(1,'Loan Tape'!$AU138-2+1)))-D445*D142),0)))</f>
        <v>0</v>
      </c>
      <c r="E1051" s="99" t="n">
        <f aca="false">IF(OR('Loan Tape'!$AN138=0,'Loan Tape'!$Z138="Interest Only",'Loan Tape'!$Z138=""),0,MIN(MAX(0,E142-E748),IFERROR(MAX(0,MIN(3,'Loan Tape'!$AV138)-MAX(2,'Loan Tape'!$AT138))*IF(E445&lt;=0,E142/MAX(1,'Loan Tape'!$AU138-3+1),E445*E142/(1-(1+E445)^(-MAX(1,'Loan Tape'!$AU138-3+1)))-E445*E142),0)))</f>
        <v>0</v>
      </c>
      <c r="F1051" s="99" t="n">
        <f aca="false">IF(OR('Loan Tape'!$AN138=0,'Loan Tape'!$Z138="Interest Only",'Loan Tape'!$Z138=""),0,MIN(MAX(0,F142-F748),IFERROR(MAX(0,MIN(4,'Loan Tape'!$AV138)-MAX(3,'Loan Tape'!$AT138))*IF(F445&lt;=0,F142/MAX(1,'Loan Tape'!$AU138-4+1),F445*F142/(1-(1+F445)^(-MAX(1,'Loan Tape'!$AU138-4+1)))-F445*F142),0)))</f>
        <v>0</v>
      </c>
      <c r="G1051" s="99" t="n">
        <f aca="false">IF(OR('Loan Tape'!$AN138=0,'Loan Tape'!$Z138="Interest Only",'Loan Tape'!$Z138=""),0,MIN(MAX(0,G142-G748),IFERROR(MAX(0,MIN(5,'Loan Tape'!$AV138)-MAX(4,'Loan Tape'!$AT138))*IF(G445&lt;=0,G142/MAX(1,'Loan Tape'!$AU138-5+1),G445*G142/(1-(1+G445)^(-MAX(1,'Loan Tape'!$AU138-5+1)))-G445*G142),0)))</f>
        <v>0</v>
      </c>
      <c r="H1051" s="99" t="n">
        <f aca="false">IF(OR('Loan Tape'!$AN138=0,'Loan Tape'!$Z138="Interest Only",'Loan Tape'!$Z138=""),0,MIN(MAX(0,H142-H748),IFERROR(MAX(0,MIN(6,'Loan Tape'!$AV138)-MAX(5,'Loan Tape'!$AT138))*IF(H445&lt;=0,H142/MAX(1,'Loan Tape'!$AU138-6+1),H445*H142/(1-(1+H445)^(-MAX(1,'Loan Tape'!$AU138-6+1)))-H445*H142),0)))</f>
        <v>0</v>
      </c>
      <c r="I1051" s="99" t="n">
        <f aca="false">IF(OR('Loan Tape'!$AN138=0,'Loan Tape'!$Z138="Interest Only",'Loan Tape'!$Z138=""),0,MIN(MAX(0,I142-I748),IFERROR(MAX(0,MIN(7,'Loan Tape'!$AV138)-MAX(6,'Loan Tape'!$AT138))*IF(I445&lt;=0,I142/MAX(1,'Loan Tape'!$AU138-7+1),I445*I142/(1-(1+I445)^(-MAX(1,'Loan Tape'!$AU138-7+1)))-I445*I142),0)))</f>
        <v>0</v>
      </c>
      <c r="J1051" s="99" t="n">
        <f aca="false">IF(OR('Loan Tape'!$AN138=0,'Loan Tape'!$Z138="Interest Only",'Loan Tape'!$Z138=""),0,MIN(MAX(0,J142-J748),IFERROR(MAX(0,MIN(8,'Loan Tape'!$AV138)-MAX(7,'Loan Tape'!$AT138))*IF(J445&lt;=0,J142/MAX(1,'Loan Tape'!$AU138-8+1),J445*J142/(1-(1+J445)^(-MAX(1,'Loan Tape'!$AU138-8+1)))-J445*J142),0)))</f>
        <v>0</v>
      </c>
      <c r="K1051" s="99" t="n">
        <f aca="false">IF(OR('Loan Tape'!$AN138=0,'Loan Tape'!$Z138="Interest Only",'Loan Tape'!$Z138=""),0,MIN(MAX(0,K142-K748),IFERROR(MAX(0,MIN(9,'Loan Tape'!$AV138)-MAX(8,'Loan Tape'!$AT138))*IF(K445&lt;=0,K142/MAX(1,'Loan Tape'!$AU138-9+1),K445*K142/(1-(1+K445)^(-MAX(1,'Loan Tape'!$AU138-9+1)))-K445*K142),0)))</f>
        <v>0</v>
      </c>
      <c r="L1051" s="99" t="n">
        <f aca="false">IF(OR('Loan Tape'!$AN138=0,'Loan Tape'!$Z138="Interest Only",'Loan Tape'!$Z138=""),0,MIN(MAX(0,L142-L748),IFERROR(MAX(0,MIN(10,'Loan Tape'!$AV138)-MAX(9,'Loan Tape'!$AT138))*IF(L445&lt;=0,L142/MAX(1,'Loan Tape'!$AU138-10+1),L445*L142/(1-(1+L445)^(-MAX(1,'Loan Tape'!$AU138-10+1)))-L445*L142),0)))</f>
        <v>0</v>
      </c>
    </row>
    <row r="1052" customFormat="false" ht="15" hidden="false" customHeight="false" outlineLevel="0" collapsed="false">
      <c r="B1052" s="108" t="n">
        <f aca="false">'Loan Tape'!$A139</f>
        <v>0</v>
      </c>
      <c r="C1052" s="71" t="n">
        <f aca="false">IF(OR('Loan Tape'!$AN139=0,'Loan Tape'!$Z139="Interest Only",'Loan Tape'!$Z139=""),0,MIN(MAX(0,C143-C749),IFERROR(MAX(0,MIN(1,'Loan Tape'!$AV139)-MAX(0,'Loan Tape'!$AT139))*IF(C446&lt;=0,C143/MAX(1,'Loan Tape'!$AU139-1+1),C446*C143/(1-(1+C446)^(-MAX(1,'Loan Tape'!$AU139-1+1)))-C446*C143),0)))</f>
        <v>0</v>
      </c>
      <c r="D1052" s="71" t="n">
        <f aca="false">IF(OR('Loan Tape'!$AN139=0,'Loan Tape'!$Z139="Interest Only",'Loan Tape'!$Z139=""),0,MIN(MAX(0,D143-D749),IFERROR(MAX(0,MIN(2,'Loan Tape'!$AV139)-MAX(1,'Loan Tape'!$AT139))*IF(D446&lt;=0,D143/MAX(1,'Loan Tape'!$AU139-2+1),D446*D143/(1-(1+D446)^(-MAX(1,'Loan Tape'!$AU139-2+1)))-D446*D143),0)))</f>
        <v>0</v>
      </c>
      <c r="E1052" s="71" t="n">
        <f aca="false">IF(OR('Loan Tape'!$AN139=0,'Loan Tape'!$Z139="Interest Only",'Loan Tape'!$Z139=""),0,MIN(MAX(0,E143-E749),IFERROR(MAX(0,MIN(3,'Loan Tape'!$AV139)-MAX(2,'Loan Tape'!$AT139))*IF(E446&lt;=0,E143/MAX(1,'Loan Tape'!$AU139-3+1),E446*E143/(1-(1+E446)^(-MAX(1,'Loan Tape'!$AU139-3+1)))-E446*E143),0)))</f>
        <v>0</v>
      </c>
      <c r="F1052" s="71" t="n">
        <f aca="false">IF(OR('Loan Tape'!$AN139=0,'Loan Tape'!$Z139="Interest Only",'Loan Tape'!$Z139=""),0,MIN(MAX(0,F143-F749),IFERROR(MAX(0,MIN(4,'Loan Tape'!$AV139)-MAX(3,'Loan Tape'!$AT139))*IF(F446&lt;=0,F143/MAX(1,'Loan Tape'!$AU139-4+1),F446*F143/(1-(1+F446)^(-MAX(1,'Loan Tape'!$AU139-4+1)))-F446*F143),0)))</f>
        <v>0</v>
      </c>
      <c r="G1052" s="71" t="n">
        <f aca="false">IF(OR('Loan Tape'!$AN139=0,'Loan Tape'!$Z139="Interest Only",'Loan Tape'!$Z139=""),0,MIN(MAX(0,G143-G749),IFERROR(MAX(0,MIN(5,'Loan Tape'!$AV139)-MAX(4,'Loan Tape'!$AT139))*IF(G446&lt;=0,G143/MAX(1,'Loan Tape'!$AU139-5+1),G446*G143/(1-(1+G446)^(-MAX(1,'Loan Tape'!$AU139-5+1)))-G446*G143),0)))</f>
        <v>0</v>
      </c>
      <c r="H1052" s="71" t="n">
        <f aca="false">IF(OR('Loan Tape'!$AN139=0,'Loan Tape'!$Z139="Interest Only",'Loan Tape'!$Z139=""),0,MIN(MAX(0,H143-H749),IFERROR(MAX(0,MIN(6,'Loan Tape'!$AV139)-MAX(5,'Loan Tape'!$AT139))*IF(H446&lt;=0,H143/MAX(1,'Loan Tape'!$AU139-6+1),H446*H143/(1-(1+H446)^(-MAX(1,'Loan Tape'!$AU139-6+1)))-H446*H143),0)))</f>
        <v>0</v>
      </c>
      <c r="I1052" s="71" t="n">
        <f aca="false">IF(OR('Loan Tape'!$AN139=0,'Loan Tape'!$Z139="Interest Only",'Loan Tape'!$Z139=""),0,MIN(MAX(0,I143-I749),IFERROR(MAX(0,MIN(7,'Loan Tape'!$AV139)-MAX(6,'Loan Tape'!$AT139))*IF(I446&lt;=0,I143/MAX(1,'Loan Tape'!$AU139-7+1),I446*I143/(1-(1+I446)^(-MAX(1,'Loan Tape'!$AU139-7+1)))-I446*I143),0)))</f>
        <v>0</v>
      </c>
      <c r="J1052" s="71" t="n">
        <f aca="false">IF(OR('Loan Tape'!$AN139=0,'Loan Tape'!$Z139="Interest Only",'Loan Tape'!$Z139=""),0,MIN(MAX(0,J143-J749),IFERROR(MAX(0,MIN(8,'Loan Tape'!$AV139)-MAX(7,'Loan Tape'!$AT139))*IF(J446&lt;=0,J143/MAX(1,'Loan Tape'!$AU139-8+1),J446*J143/(1-(1+J446)^(-MAX(1,'Loan Tape'!$AU139-8+1)))-J446*J143),0)))</f>
        <v>0</v>
      </c>
      <c r="K1052" s="71" t="n">
        <f aca="false">IF(OR('Loan Tape'!$AN139=0,'Loan Tape'!$Z139="Interest Only",'Loan Tape'!$Z139=""),0,MIN(MAX(0,K143-K749),IFERROR(MAX(0,MIN(9,'Loan Tape'!$AV139)-MAX(8,'Loan Tape'!$AT139))*IF(K446&lt;=0,K143/MAX(1,'Loan Tape'!$AU139-9+1),K446*K143/(1-(1+K446)^(-MAX(1,'Loan Tape'!$AU139-9+1)))-K446*K143),0)))</f>
        <v>0</v>
      </c>
      <c r="L1052" s="71" t="n">
        <f aca="false">IF(OR('Loan Tape'!$AN139=0,'Loan Tape'!$Z139="Interest Only",'Loan Tape'!$Z139=""),0,MIN(MAX(0,L143-L749),IFERROR(MAX(0,MIN(10,'Loan Tape'!$AV139)-MAX(9,'Loan Tape'!$AT139))*IF(L446&lt;=0,L143/MAX(1,'Loan Tape'!$AU139-10+1),L446*L143/(1-(1+L446)^(-MAX(1,'Loan Tape'!$AU139-10+1)))-L446*L143),0)))</f>
        <v>0</v>
      </c>
    </row>
    <row r="1053" customFormat="false" ht="15" hidden="false" customHeight="false" outlineLevel="0" collapsed="false">
      <c r="B1053" s="102" t="n">
        <f aca="false">'Loan Tape'!$A140</f>
        <v>0</v>
      </c>
      <c r="C1053" s="99" t="n">
        <f aca="false">IF(OR('Loan Tape'!$AN140=0,'Loan Tape'!$Z140="Interest Only",'Loan Tape'!$Z140=""),0,MIN(MAX(0,C144-C750),IFERROR(MAX(0,MIN(1,'Loan Tape'!$AV140)-MAX(0,'Loan Tape'!$AT140))*IF(C447&lt;=0,C144/MAX(1,'Loan Tape'!$AU140-1+1),C447*C144/(1-(1+C447)^(-MAX(1,'Loan Tape'!$AU140-1+1)))-C447*C144),0)))</f>
        <v>0</v>
      </c>
      <c r="D1053" s="99" t="n">
        <f aca="false">IF(OR('Loan Tape'!$AN140=0,'Loan Tape'!$Z140="Interest Only",'Loan Tape'!$Z140=""),0,MIN(MAX(0,D144-D750),IFERROR(MAX(0,MIN(2,'Loan Tape'!$AV140)-MAX(1,'Loan Tape'!$AT140))*IF(D447&lt;=0,D144/MAX(1,'Loan Tape'!$AU140-2+1),D447*D144/(1-(1+D447)^(-MAX(1,'Loan Tape'!$AU140-2+1)))-D447*D144),0)))</f>
        <v>0</v>
      </c>
      <c r="E1053" s="99" t="n">
        <f aca="false">IF(OR('Loan Tape'!$AN140=0,'Loan Tape'!$Z140="Interest Only",'Loan Tape'!$Z140=""),0,MIN(MAX(0,E144-E750),IFERROR(MAX(0,MIN(3,'Loan Tape'!$AV140)-MAX(2,'Loan Tape'!$AT140))*IF(E447&lt;=0,E144/MAX(1,'Loan Tape'!$AU140-3+1),E447*E144/(1-(1+E447)^(-MAX(1,'Loan Tape'!$AU140-3+1)))-E447*E144),0)))</f>
        <v>0</v>
      </c>
      <c r="F1053" s="99" t="n">
        <f aca="false">IF(OR('Loan Tape'!$AN140=0,'Loan Tape'!$Z140="Interest Only",'Loan Tape'!$Z140=""),0,MIN(MAX(0,F144-F750),IFERROR(MAX(0,MIN(4,'Loan Tape'!$AV140)-MAX(3,'Loan Tape'!$AT140))*IF(F447&lt;=0,F144/MAX(1,'Loan Tape'!$AU140-4+1),F447*F144/(1-(1+F447)^(-MAX(1,'Loan Tape'!$AU140-4+1)))-F447*F144),0)))</f>
        <v>0</v>
      </c>
      <c r="G1053" s="99" t="n">
        <f aca="false">IF(OR('Loan Tape'!$AN140=0,'Loan Tape'!$Z140="Interest Only",'Loan Tape'!$Z140=""),0,MIN(MAX(0,G144-G750),IFERROR(MAX(0,MIN(5,'Loan Tape'!$AV140)-MAX(4,'Loan Tape'!$AT140))*IF(G447&lt;=0,G144/MAX(1,'Loan Tape'!$AU140-5+1),G447*G144/(1-(1+G447)^(-MAX(1,'Loan Tape'!$AU140-5+1)))-G447*G144),0)))</f>
        <v>0</v>
      </c>
      <c r="H1053" s="99" t="n">
        <f aca="false">IF(OR('Loan Tape'!$AN140=0,'Loan Tape'!$Z140="Interest Only",'Loan Tape'!$Z140=""),0,MIN(MAX(0,H144-H750),IFERROR(MAX(0,MIN(6,'Loan Tape'!$AV140)-MAX(5,'Loan Tape'!$AT140))*IF(H447&lt;=0,H144/MAX(1,'Loan Tape'!$AU140-6+1),H447*H144/(1-(1+H447)^(-MAX(1,'Loan Tape'!$AU140-6+1)))-H447*H144),0)))</f>
        <v>0</v>
      </c>
      <c r="I1053" s="99" t="n">
        <f aca="false">IF(OR('Loan Tape'!$AN140=0,'Loan Tape'!$Z140="Interest Only",'Loan Tape'!$Z140=""),0,MIN(MAX(0,I144-I750),IFERROR(MAX(0,MIN(7,'Loan Tape'!$AV140)-MAX(6,'Loan Tape'!$AT140))*IF(I447&lt;=0,I144/MAX(1,'Loan Tape'!$AU140-7+1),I447*I144/(1-(1+I447)^(-MAX(1,'Loan Tape'!$AU140-7+1)))-I447*I144),0)))</f>
        <v>0</v>
      </c>
      <c r="J1053" s="99" t="n">
        <f aca="false">IF(OR('Loan Tape'!$AN140=0,'Loan Tape'!$Z140="Interest Only",'Loan Tape'!$Z140=""),0,MIN(MAX(0,J144-J750),IFERROR(MAX(0,MIN(8,'Loan Tape'!$AV140)-MAX(7,'Loan Tape'!$AT140))*IF(J447&lt;=0,J144/MAX(1,'Loan Tape'!$AU140-8+1),J447*J144/(1-(1+J447)^(-MAX(1,'Loan Tape'!$AU140-8+1)))-J447*J144),0)))</f>
        <v>0</v>
      </c>
      <c r="K1053" s="99" t="n">
        <f aca="false">IF(OR('Loan Tape'!$AN140=0,'Loan Tape'!$Z140="Interest Only",'Loan Tape'!$Z140=""),0,MIN(MAX(0,K144-K750),IFERROR(MAX(0,MIN(9,'Loan Tape'!$AV140)-MAX(8,'Loan Tape'!$AT140))*IF(K447&lt;=0,K144/MAX(1,'Loan Tape'!$AU140-9+1),K447*K144/(1-(1+K447)^(-MAX(1,'Loan Tape'!$AU140-9+1)))-K447*K144),0)))</f>
        <v>0</v>
      </c>
      <c r="L1053" s="99" t="n">
        <f aca="false">IF(OR('Loan Tape'!$AN140=0,'Loan Tape'!$Z140="Interest Only",'Loan Tape'!$Z140=""),0,MIN(MAX(0,L144-L750),IFERROR(MAX(0,MIN(10,'Loan Tape'!$AV140)-MAX(9,'Loan Tape'!$AT140))*IF(L447&lt;=0,L144/MAX(1,'Loan Tape'!$AU140-10+1),L447*L144/(1-(1+L447)^(-MAX(1,'Loan Tape'!$AU140-10+1)))-L447*L144),0)))</f>
        <v>0</v>
      </c>
    </row>
    <row r="1054" customFormat="false" ht="15" hidden="false" customHeight="false" outlineLevel="0" collapsed="false">
      <c r="B1054" s="108" t="n">
        <f aca="false">'Loan Tape'!$A141</f>
        <v>0</v>
      </c>
      <c r="C1054" s="71" t="n">
        <f aca="false">IF(OR('Loan Tape'!$AN141=0,'Loan Tape'!$Z141="Interest Only",'Loan Tape'!$Z141=""),0,MIN(MAX(0,C145-C751),IFERROR(MAX(0,MIN(1,'Loan Tape'!$AV141)-MAX(0,'Loan Tape'!$AT141))*IF(C448&lt;=0,C145/MAX(1,'Loan Tape'!$AU141-1+1),C448*C145/(1-(1+C448)^(-MAX(1,'Loan Tape'!$AU141-1+1)))-C448*C145),0)))</f>
        <v>0</v>
      </c>
      <c r="D1054" s="71" t="n">
        <f aca="false">IF(OR('Loan Tape'!$AN141=0,'Loan Tape'!$Z141="Interest Only",'Loan Tape'!$Z141=""),0,MIN(MAX(0,D145-D751),IFERROR(MAX(0,MIN(2,'Loan Tape'!$AV141)-MAX(1,'Loan Tape'!$AT141))*IF(D448&lt;=0,D145/MAX(1,'Loan Tape'!$AU141-2+1),D448*D145/(1-(1+D448)^(-MAX(1,'Loan Tape'!$AU141-2+1)))-D448*D145),0)))</f>
        <v>0</v>
      </c>
      <c r="E1054" s="71" t="n">
        <f aca="false">IF(OR('Loan Tape'!$AN141=0,'Loan Tape'!$Z141="Interest Only",'Loan Tape'!$Z141=""),0,MIN(MAX(0,E145-E751),IFERROR(MAX(0,MIN(3,'Loan Tape'!$AV141)-MAX(2,'Loan Tape'!$AT141))*IF(E448&lt;=0,E145/MAX(1,'Loan Tape'!$AU141-3+1),E448*E145/(1-(1+E448)^(-MAX(1,'Loan Tape'!$AU141-3+1)))-E448*E145),0)))</f>
        <v>0</v>
      </c>
      <c r="F1054" s="71" t="n">
        <f aca="false">IF(OR('Loan Tape'!$AN141=0,'Loan Tape'!$Z141="Interest Only",'Loan Tape'!$Z141=""),0,MIN(MAX(0,F145-F751),IFERROR(MAX(0,MIN(4,'Loan Tape'!$AV141)-MAX(3,'Loan Tape'!$AT141))*IF(F448&lt;=0,F145/MAX(1,'Loan Tape'!$AU141-4+1),F448*F145/(1-(1+F448)^(-MAX(1,'Loan Tape'!$AU141-4+1)))-F448*F145),0)))</f>
        <v>0</v>
      </c>
      <c r="G1054" s="71" t="n">
        <f aca="false">IF(OR('Loan Tape'!$AN141=0,'Loan Tape'!$Z141="Interest Only",'Loan Tape'!$Z141=""),0,MIN(MAX(0,G145-G751),IFERROR(MAX(0,MIN(5,'Loan Tape'!$AV141)-MAX(4,'Loan Tape'!$AT141))*IF(G448&lt;=0,G145/MAX(1,'Loan Tape'!$AU141-5+1),G448*G145/(1-(1+G448)^(-MAX(1,'Loan Tape'!$AU141-5+1)))-G448*G145),0)))</f>
        <v>0</v>
      </c>
      <c r="H1054" s="71" t="n">
        <f aca="false">IF(OR('Loan Tape'!$AN141=0,'Loan Tape'!$Z141="Interest Only",'Loan Tape'!$Z141=""),0,MIN(MAX(0,H145-H751),IFERROR(MAX(0,MIN(6,'Loan Tape'!$AV141)-MAX(5,'Loan Tape'!$AT141))*IF(H448&lt;=0,H145/MAX(1,'Loan Tape'!$AU141-6+1),H448*H145/(1-(1+H448)^(-MAX(1,'Loan Tape'!$AU141-6+1)))-H448*H145),0)))</f>
        <v>0</v>
      </c>
      <c r="I1054" s="71" t="n">
        <f aca="false">IF(OR('Loan Tape'!$AN141=0,'Loan Tape'!$Z141="Interest Only",'Loan Tape'!$Z141=""),0,MIN(MAX(0,I145-I751),IFERROR(MAX(0,MIN(7,'Loan Tape'!$AV141)-MAX(6,'Loan Tape'!$AT141))*IF(I448&lt;=0,I145/MAX(1,'Loan Tape'!$AU141-7+1),I448*I145/(1-(1+I448)^(-MAX(1,'Loan Tape'!$AU141-7+1)))-I448*I145),0)))</f>
        <v>0</v>
      </c>
      <c r="J1054" s="71" t="n">
        <f aca="false">IF(OR('Loan Tape'!$AN141=0,'Loan Tape'!$Z141="Interest Only",'Loan Tape'!$Z141=""),0,MIN(MAX(0,J145-J751),IFERROR(MAX(0,MIN(8,'Loan Tape'!$AV141)-MAX(7,'Loan Tape'!$AT141))*IF(J448&lt;=0,J145/MAX(1,'Loan Tape'!$AU141-8+1),J448*J145/(1-(1+J448)^(-MAX(1,'Loan Tape'!$AU141-8+1)))-J448*J145),0)))</f>
        <v>0</v>
      </c>
      <c r="K1054" s="71" t="n">
        <f aca="false">IF(OR('Loan Tape'!$AN141=0,'Loan Tape'!$Z141="Interest Only",'Loan Tape'!$Z141=""),0,MIN(MAX(0,K145-K751),IFERROR(MAX(0,MIN(9,'Loan Tape'!$AV141)-MAX(8,'Loan Tape'!$AT141))*IF(K448&lt;=0,K145/MAX(1,'Loan Tape'!$AU141-9+1),K448*K145/(1-(1+K448)^(-MAX(1,'Loan Tape'!$AU141-9+1)))-K448*K145),0)))</f>
        <v>0</v>
      </c>
      <c r="L1054" s="71" t="n">
        <f aca="false">IF(OR('Loan Tape'!$AN141=0,'Loan Tape'!$Z141="Interest Only",'Loan Tape'!$Z141=""),0,MIN(MAX(0,L145-L751),IFERROR(MAX(0,MIN(10,'Loan Tape'!$AV141)-MAX(9,'Loan Tape'!$AT141))*IF(L448&lt;=0,L145/MAX(1,'Loan Tape'!$AU141-10+1),L448*L145/(1-(1+L448)^(-MAX(1,'Loan Tape'!$AU141-10+1)))-L448*L145),0)))</f>
        <v>0</v>
      </c>
    </row>
    <row r="1055" customFormat="false" ht="15" hidden="false" customHeight="false" outlineLevel="0" collapsed="false">
      <c r="B1055" s="102" t="n">
        <f aca="false">'Loan Tape'!$A142</f>
        <v>0</v>
      </c>
      <c r="C1055" s="99" t="n">
        <f aca="false">IF(OR('Loan Tape'!$AN142=0,'Loan Tape'!$Z142="Interest Only",'Loan Tape'!$Z142=""),0,MIN(MAX(0,C146-C752),IFERROR(MAX(0,MIN(1,'Loan Tape'!$AV142)-MAX(0,'Loan Tape'!$AT142))*IF(C449&lt;=0,C146/MAX(1,'Loan Tape'!$AU142-1+1),C449*C146/(1-(1+C449)^(-MAX(1,'Loan Tape'!$AU142-1+1)))-C449*C146),0)))</f>
        <v>0</v>
      </c>
      <c r="D1055" s="99" t="n">
        <f aca="false">IF(OR('Loan Tape'!$AN142=0,'Loan Tape'!$Z142="Interest Only",'Loan Tape'!$Z142=""),0,MIN(MAX(0,D146-D752),IFERROR(MAX(0,MIN(2,'Loan Tape'!$AV142)-MAX(1,'Loan Tape'!$AT142))*IF(D449&lt;=0,D146/MAX(1,'Loan Tape'!$AU142-2+1),D449*D146/(1-(1+D449)^(-MAX(1,'Loan Tape'!$AU142-2+1)))-D449*D146),0)))</f>
        <v>0</v>
      </c>
      <c r="E1055" s="99" t="n">
        <f aca="false">IF(OR('Loan Tape'!$AN142=0,'Loan Tape'!$Z142="Interest Only",'Loan Tape'!$Z142=""),0,MIN(MAX(0,E146-E752),IFERROR(MAX(0,MIN(3,'Loan Tape'!$AV142)-MAX(2,'Loan Tape'!$AT142))*IF(E449&lt;=0,E146/MAX(1,'Loan Tape'!$AU142-3+1),E449*E146/(1-(1+E449)^(-MAX(1,'Loan Tape'!$AU142-3+1)))-E449*E146),0)))</f>
        <v>0</v>
      </c>
      <c r="F1055" s="99" t="n">
        <f aca="false">IF(OR('Loan Tape'!$AN142=0,'Loan Tape'!$Z142="Interest Only",'Loan Tape'!$Z142=""),0,MIN(MAX(0,F146-F752),IFERROR(MAX(0,MIN(4,'Loan Tape'!$AV142)-MAX(3,'Loan Tape'!$AT142))*IF(F449&lt;=0,F146/MAX(1,'Loan Tape'!$AU142-4+1),F449*F146/(1-(1+F449)^(-MAX(1,'Loan Tape'!$AU142-4+1)))-F449*F146),0)))</f>
        <v>0</v>
      </c>
      <c r="G1055" s="99" t="n">
        <f aca="false">IF(OR('Loan Tape'!$AN142=0,'Loan Tape'!$Z142="Interest Only",'Loan Tape'!$Z142=""),0,MIN(MAX(0,G146-G752),IFERROR(MAX(0,MIN(5,'Loan Tape'!$AV142)-MAX(4,'Loan Tape'!$AT142))*IF(G449&lt;=0,G146/MAX(1,'Loan Tape'!$AU142-5+1),G449*G146/(1-(1+G449)^(-MAX(1,'Loan Tape'!$AU142-5+1)))-G449*G146),0)))</f>
        <v>0</v>
      </c>
      <c r="H1055" s="99" t="n">
        <f aca="false">IF(OR('Loan Tape'!$AN142=0,'Loan Tape'!$Z142="Interest Only",'Loan Tape'!$Z142=""),0,MIN(MAX(0,H146-H752),IFERROR(MAX(0,MIN(6,'Loan Tape'!$AV142)-MAX(5,'Loan Tape'!$AT142))*IF(H449&lt;=0,H146/MAX(1,'Loan Tape'!$AU142-6+1),H449*H146/(1-(1+H449)^(-MAX(1,'Loan Tape'!$AU142-6+1)))-H449*H146),0)))</f>
        <v>0</v>
      </c>
      <c r="I1055" s="99" t="n">
        <f aca="false">IF(OR('Loan Tape'!$AN142=0,'Loan Tape'!$Z142="Interest Only",'Loan Tape'!$Z142=""),0,MIN(MAX(0,I146-I752),IFERROR(MAX(0,MIN(7,'Loan Tape'!$AV142)-MAX(6,'Loan Tape'!$AT142))*IF(I449&lt;=0,I146/MAX(1,'Loan Tape'!$AU142-7+1),I449*I146/(1-(1+I449)^(-MAX(1,'Loan Tape'!$AU142-7+1)))-I449*I146),0)))</f>
        <v>0</v>
      </c>
      <c r="J1055" s="99" t="n">
        <f aca="false">IF(OR('Loan Tape'!$AN142=0,'Loan Tape'!$Z142="Interest Only",'Loan Tape'!$Z142=""),0,MIN(MAX(0,J146-J752),IFERROR(MAX(0,MIN(8,'Loan Tape'!$AV142)-MAX(7,'Loan Tape'!$AT142))*IF(J449&lt;=0,J146/MAX(1,'Loan Tape'!$AU142-8+1),J449*J146/(1-(1+J449)^(-MAX(1,'Loan Tape'!$AU142-8+1)))-J449*J146),0)))</f>
        <v>0</v>
      </c>
      <c r="K1055" s="99" t="n">
        <f aca="false">IF(OR('Loan Tape'!$AN142=0,'Loan Tape'!$Z142="Interest Only",'Loan Tape'!$Z142=""),0,MIN(MAX(0,K146-K752),IFERROR(MAX(0,MIN(9,'Loan Tape'!$AV142)-MAX(8,'Loan Tape'!$AT142))*IF(K449&lt;=0,K146/MAX(1,'Loan Tape'!$AU142-9+1),K449*K146/(1-(1+K449)^(-MAX(1,'Loan Tape'!$AU142-9+1)))-K449*K146),0)))</f>
        <v>0</v>
      </c>
      <c r="L1055" s="99" t="n">
        <f aca="false">IF(OR('Loan Tape'!$AN142=0,'Loan Tape'!$Z142="Interest Only",'Loan Tape'!$Z142=""),0,MIN(MAX(0,L146-L752),IFERROR(MAX(0,MIN(10,'Loan Tape'!$AV142)-MAX(9,'Loan Tape'!$AT142))*IF(L449&lt;=0,L146/MAX(1,'Loan Tape'!$AU142-10+1),L449*L146/(1-(1+L449)^(-MAX(1,'Loan Tape'!$AU142-10+1)))-L449*L146),0)))</f>
        <v>0</v>
      </c>
    </row>
    <row r="1056" customFormat="false" ht="15" hidden="false" customHeight="false" outlineLevel="0" collapsed="false">
      <c r="B1056" s="108" t="n">
        <f aca="false">'Loan Tape'!$A143</f>
        <v>0</v>
      </c>
      <c r="C1056" s="71" t="n">
        <f aca="false">IF(OR('Loan Tape'!$AN143=0,'Loan Tape'!$Z143="Interest Only",'Loan Tape'!$Z143=""),0,MIN(MAX(0,C147-C753),IFERROR(MAX(0,MIN(1,'Loan Tape'!$AV143)-MAX(0,'Loan Tape'!$AT143))*IF(C450&lt;=0,C147/MAX(1,'Loan Tape'!$AU143-1+1),C450*C147/(1-(1+C450)^(-MAX(1,'Loan Tape'!$AU143-1+1)))-C450*C147),0)))</f>
        <v>0</v>
      </c>
      <c r="D1056" s="71" t="n">
        <f aca="false">IF(OR('Loan Tape'!$AN143=0,'Loan Tape'!$Z143="Interest Only",'Loan Tape'!$Z143=""),0,MIN(MAX(0,D147-D753),IFERROR(MAX(0,MIN(2,'Loan Tape'!$AV143)-MAX(1,'Loan Tape'!$AT143))*IF(D450&lt;=0,D147/MAX(1,'Loan Tape'!$AU143-2+1),D450*D147/(1-(1+D450)^(-MAX(1,'Loan Tape'!$AU143-2+1)))-D450*D147),0)))</f>
        <v>0</v>
      </c>
      <c r="E1056" s="71" t="n">
        <f aca="false">IF(OR('Loan Tape'!$AN143=0,'Loan Tape'!$Z143="Interest Only",'Loan Tape'!$Z143=""),0,MIN(MAX(0,E147-E753),IFERROR(MAX(0,MIN(3,'Loan Tape'!$AV143)-MAX(2,'Loan Tape'!$AT143))*IF(E450&lt;=0,E147/MAX(1,'Loan Tape'!$AU143-3+1),E450*E147/(1-(1+E450)^(-MAX(1,'Loan Tape'!$AU143-3+1)))-E450*E147),0)))</f>
        <v>0</v>
      </c>
      <c r="F1056" s="71" t="n">
        <f aca="false">IF(OR('Loan Tape'!$AN143=0,'Loan Tape'!$Z143="Interest Only",'Loan Tape'!$Z143=""),0,MIN(MAX(0,F147-F753),IFERROR(MAX(0,MIN(4,'Loan Tape'!$AV143)-MAX(3,'Loan Tape'!$AT143))*IF(F450&lt;=0,F147/MAX(1,'Loan Tape'!$AU143-4+1),F450*F147/(1-(1+F450)^(-MAX(1,'Loan Tape'!$AU143-4+1)))-F450*F147),0)))</f>
        <v>0</v>
      </c>
      <c r="G1056" s="71" t="n">
        <f aca="false">IF(OR('Loan Tape'!$AN143=0,'Loan Tape'!$Z143="Interest Only",'Loan Tape'!$Z143=""),0,MIN(MAX(0,G147-G753),IFERROR(MAX(0,MIN(5,'Loan Tape'!$AV143)-MAX(4,'Loan Tape'!$AT143))*IF(G450&lt;=0,G147/MAX(1,'Loan Tape'!$AU143-5+1),G450*G147/(1-(1+G450)^(-MAX(1,'Loan Tape'!$AU143-5+1)))-G450*G147),0)))</f>
        <v>0</v>
      </c>
      <c r="H1056" s="71" t="n">
        <f aca="false">IF(OR('Loan Tape'!$AN143=0,'Loan Tape'!$Z143="Interest Only",'Loan Tape'!$Z143=""),0,MIN(MAX(0,H147-H753),IFERROR(MAX(0,MIN(6,'Loan Tape'!$AV143)-MAX(5,'Loan Tape'!$AT143))*IF(H450&lt;=0,H147/MAX(1,'Loan Tape'!$AU143-6+1),H450*H147/(1-(1+H450)^(-MAX(1,'Loan Tape'!$AU143-6+1)))-H450*H147),0)))</f>
        <v>0</v>
      </c>
      <c r="I1056" s="71" t="n">
        <f aca="false">IF(OR('Loan Tape'!$AN143=0,'Loan Tape'!$Z143="Interest Only",'Loan Tape'!$Z143=""),0,MIN(MAX(0,I147-I753),IFERROR(MAX(0,MIN(7,'Loan Tape'!$AV143)-MAX(6,'Loan Tape'!$AT143))*IF(I450&lt;=0,I147/MAX(1,'Loan Tape'!$AU143-7+1),I450*I147/(1-(1+I450)^(-MAX(1,'Loan Tape'!$AU143-7+1)))-I450*I147),0)))</f>
        <v>0</v>
      </c>
      <c r="J1056" s="71" t="n">
        <f aca="false">IF(OR('Loan Tape'!$AN143=0,'Loan Tape'!$Z143="Interest Only",'Loan Tape'!$Z143=""),0,MIN(MAX(0,J147-J753),IFERROR(MAX(0,MIN(8,'Loan Tape'!$AV143)-MAX(7,'Loan Tape'!$AT143))*IF(J450&lt;=0,J147/MAX(1,'Loan Tape'!$AU143-8+1),J450*J147/(1-(1+J450)^(-MAX(1,'Loan Tape'!$AU143-8+1)))-J450*J147),0)))</f>
        <v>0</v>
      </c>
      <c r="K1056" s="71" t="n">
        <f aca="false">IF(OR('Loan Tape'!$AN143=0,'Loan Tape'!$Z143="Interest Only",'Loan Tape'!$Z143=""),0,MIN(MAX(0,K147-K753),IFERROR(MAX(0,MIN(9,'Loan Tape'!$AV143)-MAX(8,'Loan Tape'!$AT143))*IF(K450&lt;=0,K147/MAX(1,'Loan Tape'!$AU143-9+1),K450*K147/(1-(1+K450)^(-MAX(1,'Loan Tape'!$AU143-9+1)))-K450*K147),0)))</f>
        <v>0</v>
      </c>
      <c r="L1056" s="71" t="n">
        <f aca="false">IF(OR('Loan Tape'!$AN143=0,'Loan Tape'!$Z143="Interest Only",'Loan Tape'!$Z143=""),0,MIN(MAX(0,L147-L753),IFERROR(MAX(0,MIN(10,'Loan Tape'!$AV143)-MAX(9,'Loan Tape'!$AT143))*IF(L450&lt;=0,L147/MAX(1,'Loan Tape'!$AU143-10+1),L450*L147/(1-(1+L450)^(-MAX(1,'Loan Tape'!$AU143-10+1)))-L450*L147),0)))</f>
        <v>0</v>
      </c>
    </row>
    <row r="1057" customFormat="false" ht="15" hidden="false" customHeight="false" outlineLevel="0" collapsed="false">
      <c r="B1057" s="102" t="n">
        <f aca="false">'Loan Tape'!$A144</f>
        <v>0</v>
      </c>
      <c r="C1057" s="99" t="n">
        <f aca="false">IF(OR('Loan Tape'!$AN144=0,'Loan Tape'!$Z144="Interest Only",'Loan Tape'!$Z144=""),0,MIN(MAX(0,C148-C754),IFERROR(MAX(0,MIN(1,'Loan Tape'!$AV144)-MAX(0,'Loan Tape'!$AT144))*IF(C451&lt;=0,C148/MAX(1,'Loan Tape'!$AU144-1+1),C451*C148/(1-(1+C451)^(-MAX(1,'Loan Tape'!$AU144-1+1)))-C451*C148),0)))</f>
        <v>0</v>
      </c>
      <c r="D1057" s="99" t="n">
        <f aca="false">IF(OR('Loan Tape'!$AN144=0,'Loan Tape'!$Z144="Interest Only",'Loan Tape'!$Z144=""),0,MIN(MAX(0,D148-D754),IFERROR(MAX(0,MIN(2,'Loan Tape'!$AV144)-MAX(1,'Loan Tape'!$AT144))*IF(D451&lt;=0,D148/MAX(1,'Loan Tape'!$AU144-2+1),D451*D148/(1-(1+D451)^(-MAX(1,'Loan Tape'!$AU144-2+1)))-D451*D148),0)))</f>
        <v>0</v>
      </c>
      <c r="E1057" s="99" t="n">
        <f aca="false">IF(OR('Loan Tape'!$AN144=0,'Loan Tape'!$Z144="Interest Only",'Loan Tape'!$Z144=""),0,MIN(MAX(0,E148-E754),IFERROR(MAX(0,MIN(3,'Loan Tape'!$AV144)-MAX(2,'Loan Tape'!$AT144))*IF(E451&lt;=0,E148/MAX(1,'Loan Tape'!$AU144-3+1),E451*E148/(1-(1+E451)^(-MAX(1,'Loan Tape'!$AU144-3+1)))-E451*E148),0)))</f>
        <v>0</v>
      </c>
      <c r="F1057" s="99" t="n">
        <f aca="false">IF(OR('Loan Tape'!$AN144=0,'Loan Tape'!$Z144="Interest Only",'Loan Tape'!$Z144=""),0,MIN(MAX(0,F148-F754),IFERROR(MAX(0,MIN(4,'Loan Tape'!$AV144)-MAX(3,'Loan Tape'!$AT144))*IF(F451&lt;=0,F148/MAX(1,'Loan Tape'!$AU144-4+1),F451*F148/(1-(1+F451)^(-MAX(1,'Loan Tape'!$AU144-4+1)))-F451*F148),0)))</f>
        <v>0</v>
      </c>
      <c r="G1057" s="99" t="n">
        <f aca="false">IF(OR('Loan Tape'!$AN144=0,'Loan Tape'!$Z144="Interest Only",'Loan Tape'!$Z144=""),0,MIN(MAX(0,G148-G754),IFERROR(MAX(0,MIN(5,'Loan Tape'!$AV144)-MAX(4,'Loan Tape'!$AT144))*IF(G451&lt;=0,G148/MAX(1,'Loan Tape'!$AU144-5+1),G451*G148/(1-(1+G451)^(-MAX(1,'Loan Tape'!$AU144-5+1)))-G451*G148),0)))</f>
        <v>0</v>
      </c>
      <c r="H1057" s="99" t="n">
        <f aca="false">IF(OR('Loan Tape'!$AN144=0,'Loan Tape'!$Z144="Interest Only",'Loan Tape'!$Z144=""),0,MIN(MAX(0,H148-H754),IFERROR(MAX(0,MIN(6,'Loan Tape'!$AV144)-MAX(5,'Loan Tape'!$AT144))*IF(H451&lt;=0,H148/MAX(1,'Loan Tape'!$AU144-6+1),H451*H148/(1-(1+H451)^(-MAX(1,'Loan Tape'!$AU144-6+1)))-H451*H148),0)))</f>
        <v>0</v>
      </c>
      <c r="I1057" s="99" t="n">
        <f aca="false">IF(OR('Loan Tape'!$AN144=0,'Loan Tape'!$Z144="Interest Only",'Loan Tape'!$Z144=""),0,MIN(MAX(0,I148-I754),IFERROR(MAX(0,MIN(7,'Loan Tape'!$AV144)-MAX(6,'Loan Tape'!$AT144))*IF(I451&lt;=0,I148/MAX(1,'Loan Tape'!$AU144-7+1),I451*I148/(1-(1+I451)^(-MAX(1,'Loan Tape'!$AU144-7+1)))-I451*I148),0)))</f>
        <v>0</v>
      </c>
      <c r="J1057" s="99" t="n">
        <f aca="false">IF(OR('Loan Tape'!$AN144=0,'Loan Tape'!$Z144="Interest Only",'Loan Tape'!$Z144=""),0,MIN(MAX(0,J148-J754),IFERROR(MAX(0,MIN(8,'Loan Tape'!$AV144)-MAX(7,'Loan Tape'!$AT144))*IF(J451&lt;=0,J148/MAX(1,'Loan Tape'!$AU144-8+1),J451*J148/(1-(1+J451)^(-MAX(1,'Loan Tape'!$AU144-8+1)))-J451*J148),0)))</f>
        <v>0</v>
      </c>
      <c r="K1057" s="99" t="n">
        <f aca="false">IF(OR('Loan Tape'!$AN144=0,'Loan Tape'!$Z144="Interest Only",'Loan Tape'!$Z144=""),0,MIN(MAX(0,K148-K754),IFERROR(MAX(0,MIN(9,'Loan Tape'!$AV144)-MAX(8,'Loan Tape'!$AT144))*IF(K451&lt;=0,K148/MAX(1,'Loan Tape'!$AU144-9+1),K451*K148/(1-(1+K451)^(-MAX(1,'Loan Tape'!$AU144-9+1)))-K451*K148),0)))</f>
        <v>0</v>
      </c>
      <c r="L1057" s="99" t="n">
        <f aca="false">IF(OR('Loan Tape'!$AN144=0,'Loan Tape'!$Z144="Interest Only",'Loan Tape'!$Z144=""),0,MIN(MAX(0,L148-L754),IFERROR(MAX(0,MIN(10,'Loan Tape'!$AV144)-MAX(9,'Loan Tape'!$AT144))*IF(L451&lt;=0,L148/MAX(1,'Loan Tape'!$AU144-10+1),L451*L148/(1-(1+L451)^(-MAX(1,'Loan Tape'!$AU144-10+1)))-L451*L148),0)))</f>
        <v>0</v>
      </c>
    </row>
    <row r="1058" customFormat="false" ht="15" hidden="false" customHeight="false" outlineLevel="0" collapsed="false">
      <c r="B1058" s="108" t="n">
        <f aca="false">'Loan Tape'!$A145</f>
        <v>0</v>
      </c>
      <c r="C1058" s="71" t="n">
        <f aca="false">IF(OR('Loan Tape'!$AN145=0,'Loan Tape'!$Z145="Interest Only",'Loan Tape'!$Z145=""),0,MIN(MAX(0,C149-C755),IFERROR(MAX(0,MIN(1,'Loan Tape'!$AV145)-MAX(0,'Loan Tape'!$AT145))*IF(C452&lt;=0,C149/MAX(1,'Loan Tape'!$AU145-1+1),C452*C149/(1-(1+C452)^(-MAX(1,'Loan Tape'!$AU145-1+1)))-C452*C149),0)))</f>
        <v>0</v>
      </c>
      <c r="D1058" s="71" t="n">
        <f aca="false">IF(OR('Loan Tape'!$AN145=0,'Loan Tape'!$Z145="Interest Only",'Loan Tape'!$Z145=""),0,MIN(MAX(0,D149-D755),IFERROR(MAX(0,MIN(2,'Loan Tape'!$AV145)-MAX(1,'Loan Tape'!$AT145))*IF(D452&lt;=0,D149/MAX(1,'Loan Tape'!$AU145-2+1),D452*D149/(1-(1+D452)^(-MAX(1,'Loan Tape'!$AU145-2+1)))-D452*D149),0)))</f>
        <v>0</v>
      </c>
      <c r="E1058" s="71" t="n">
        <f aca="false">IF(OR('Loan Tape'!$AN145=0,'Loan Tape'!$Z145="Interest Only",'Loan Tape'!$Z145=""),0,MIN(MAX(0,E149-E755),IFERROR(MAX(0,MIN(3,'Loan Tape'!$AV145)-MAX(2,'Loan Tape'!$AT145))*IF(E452&lt;=0,E149/MAX(1,'Loan Tape'!$AU145-3+1),E452*E149/(1-(1+E452)^(-MAX(1,'Loan Tape'!$AU145-3+1)))-E452*E149),0)))</f>
        <v>0</v>
      </c>
      <c r="F1058" s="71" t="n">
        <f aca="false">IF(OR('Loan Tape'!$AN145=0,'Loan Tape'!$Z145="Interest Only",'Loan Tape'!$Z145=""),0,MIN(MAX(0,F149-F755),IFERROR(MAX(0,MIN(4,'Loan Tape'!$AV145)-MAX(3,'Loan Tape'!$AT145))*IF(F452&lt;=0,F149/MAX(1,'Loan Tape'!$AU145-4+1),F452*F149/(1-(1+F452)^(-MAX(1,'Loan Tape'!$AU145-4+1)))-F452*F149),0)))</f>
        <v>0</v>
      </c>
      <c r="G1058" s="71" t="n">
        <f aca="false">IF(OR('Loan Tape'!$AN145=0,'Loan Tape'!$Z145="Interest Only",'Loan Tape'!$Z145=""),0,MIN(MAX(0,G149-G755),IFERROR(MAX(0,MIN(5,'Loan Tape'!$AV145)-MAX(4,'Loan Tape'!$AT145))*IF(G452&lt;=0,G149/MAX(1,'Loan Tape'!$AU145-5+1),G452*G149/(1-(1+G452)^(-MAX(1,'Loan Tape'!$AU145-5+1)))-G452*G149),0)))</f>
        <v>0</v>
      </c>
      <c r="H1058" s="71" t="n">
        <f aca="false">IF(OR('Loan Tape'!$AN145=0,'Loan Tape'!$Z145="Interest Only",'Loan Tape'!$Z145=""),0,MIN(MAX(0,H149-H755),IFERROR(MAX(0,MIN(6,'Loan Tape'!$AV145)-MAX(5,'Loan Tape'!$AT145))*IF(H452&lt;=0,H149/MAX(1,'Loan Tape'!$AU145-6+1),H452*H149/(1-(1+H452)^(-MAX(1,'Loan Tape'!$AU145-6+1)))-H452*H149),0)))</f>
        <v>0</v>
      </c>
      <c r="I1058" s="71" t="n">
        <f aca="false">IF(OR('Loan Tape'!$AN145=0,'Loan Tape'!$Z145="Interest Only",'Loan Tape'!$Z145=""),0,MIN(MAX(0,I149-I755),IFERROR(MAX(0,MIN(7,'Loan Tape'!$AV145)-MAX(6,'Loan Tape'!$AT145))*IF(I452&lt;=0,I149/MAX(1,'Loan Tape'!$AU145-7+1),I452*I149/(1-(1+I452)^(-MAX(1,'Loan Tape'!$AU145-7+1)))-I452*I149),0)))</f>
        <v>0</v>
      </c>
      <c r="J1058" s="71" t="n">
        <f aca="false">IF(OR('Loan Tape'!$AN145=0,'Loan Tape'!$Z145="Interest Only",'Loan Tape'!$Z145=""),0,MIN(MAX(0,J149-J755),IFERROR(MAX(0,MIN(8,'Loan Tape'!$AV145)-MAX(7,'Loan Tape'!$AT145))*IF(J452&lt;=0,J149/MAX(1,'Loan Tape'!$AU145-8+1),J452*J149/(1-(1+J452)^(-MAX(1,'Loan Tape'!$AU145-8+1)))-J452*J149),0)))</f>
        <v>0</v>
      </c>
      <c r="K1058" s="71" t="n">
        <f aca="false">IF(OR('Loan Tape'!$AN145=0,'Loan Tape'!$Z145="Interest Only",'Loan Tape'!$Z145=""),0,MIN(MAX(0,K149-K755),IFERROR(MAX(0,MIN(9,'Loan Tape'!$AV145)-MAX(8,'Loan Tape'!$AT145))*IF(K452&lt;=0,K149/MAX(1,'Loan Tape'!$AU145-9+1),K452*K149/(1-(1+K452)^(-MAX(1,'Loan Tape'!$AU145-9+1)))-K452*K149),0)))</f>
        <v>0</v>
      </c>
      <c r="L1058" s="71" t="n">
        <f aca="false">IF(OR('Loan Tape'!$AN145=0,'Loan Tape'!$Z145="Interest Only",'Loan Tape'!$Z145=""),0,MIN(MAX(0,L149-L755),IFERROR(MAX(0,MIN(10,'Loan Tape'!$AV145)-MAX(9,'Loan Tape'!$AT145))*IF(L452&lt;=0,L149/MAX(1,'Loan Tape'!$AU145-10+1),L452*L149/(1-(1+L452)^(-MAX(1,'Loan Tape'!$AU145-10+1)))-L452*L149),0)))</f>
        <v>0</v>
      </c>
    </row>
    <row r="1059" customFormat="false" ht="15" hidden="false" customHeight="false" outlineLevel="0" collapsed="false">
      <c r="B1059" s="102" t="n">
        <f aca="false">'Loan Tape'!$A146</f>
        <v>0</v>
      </c>
      <c r="C1059" s="99" t="n">
        <f aca="false">IF(OR('Loan Tape'!$AN146=0,'Loan Tape'!$Z146="Interest Only",'Loan Tape'!$Z146=""),0,MIN(MAX(0,C150-C756),IFERROR(MAX(0,MIN(1,'Loan Tape'!$AV146)-MAX(0,'Loan Tape'!$AT146))*IF(C453&lt;=0,C150/MAX(1,'Loan Tape'!$AU146-1+1),C453*C150/(1-(1+C453)^(-MAX(1,'Loan Tape'!$AU146-1+1)))-C453*C150),0)))</f>
        <v>0</v>
      </c>
      <c r="D1059" s="99" t="n">
        <f aca="false">IF(OR('Loan Tape'!$AN146=0,'Loan Tape'!$Z146="Interest Only",'Loan Tape'!$Z146=""),0,MIN(MAX(0,D150-D756),IFERROR(MAX(0,MIN(2,'Loan Tape'!$AV146)-MAX(1,'Loan Tape'!$AT146))*IF(D453&lt;=0,D150/MAX(1,'Loan Tape'!$AU146-2+1),D453*D150/(1-(1+D453)^(-MAX(1,'Loan Tape'!$AU146-2+1)))-D453*D150),0)))</f>
        <v>0</v>
      </c>
      <c r="E1059" s="99" t="n">
        <f aca="false">IF(OR('Loan Tape'!$AN146=0,'Loan Tape'!$Z146="Interest Only",'Loan Tape'!$Z146=""),0,MIN(MAX(0,E150-E756),IFERROR(MAX(0,MIN(3,'Loan Tape'!$AV146)-MAX(2,'Loan Tape'!$AT146))*IF(E453&lt;=0,E150/MAX(1,'Loan Tape'!$AU146-3+1),E453*E150/(1-(1+E453)^(-MAX(1,'Loan Tape'!$AU146-3+1)))-E453*E150),0)))</f>
        <v>0</v>
      </c>
      <c r="F1059" s="99" t="n">
        <f aca="false">IF(OR('Loan Tape'!$AN146=0,'Loan Tape'!$Z146="Interest Only",'Loan Tape'!$Z146=""),0,MIN(MAX(0,F150-F756),IFERROR(MAX(0,MIN(4,'Loan Tape'!$AV146)-MAX(3,'Loan Tape'!$AT146))*IF(F453&lt;=0,F150/MAX(1,'Loan Tape'!$AU146-4+1),F453*F150/(1-(1+F453)^(-MAX(1,'Loan Tape'!$AU146-4+1)))-F453*F150),0)))</f>
        <v>0</v>
      </c>
      <c r="G1059" s="99" t="n">
        <f aca="false">IF(OR('Loan Tape'!$AN146=0,'Loan Tape'!$Z146="Interest Only",'Loan Tape'!$Z146=""),0,MIN(MAX(0,G150-G756),IFERROR(MAX(0,MIN(5,'Loan Tape'!$AV146)-MAX(4,'Loan Tape'!$AT146))*IF(G453&lt;=0,G150/MAX(1,'Loan Tape'!$AU146-5+1),G453*G150/(1-(1+G453)^(-MAX(1,'Loan Tape'!$AU146-5+1)))-G453*G150),0)))</f>
        <v>0</v>
      </c>
      <c r="H1059" s="99" t="n">
        <f aca="false">IF(OR('Loan Tape'!$AN146=0,'Loan Tape'!$Z146="Interest Only",'Loan Tape'!$Z146=""),0,MIN(MAX(0,H150-H756),IFERROR(MAX(0,MIN(6,'Loan Tape'!$AV146)-MAX(5,'Loan Tape'!$AT146))*IF(H453&lt;=0,H150/MAX(1,'Loan Tape'!$AU146-6+1),H453*H150/(1-(1+H453)^(-MAX(1,'Loan Tape'!$AU146-6+1)))-H453*H150),0)))</f>
        <v>0</v>
      </c>
      <c r="I1059" s="99" t="n">
        <f aca="false">IF(OR('Loan Tape'!$AN146=0,'Loan Tape'!$Z146="Interest Only",'Loan Tape'!$Z146=""),0,MIN(MAX(0,I150-I756),IFERROR(MAX(0,MIN(7,'Loan Tape'!$AV146)-MAX(6,'Loan Tape'!$AT146))*IF(I453&lt;=0,I150/MAX(1,'Loan Tape'!$AU146-7+1),I453*I150/(1-(1+I453)^(-MAX(1,'Loan Tape'!$AU146-7+1)))-I453*I150),0)))</f>
        <v>0</v>
      </c>
      <c r="J1059" s="99" t="n">
        <f aca="false">IF(OR('Loan Tape'!$AN146=0,'Loan Tape'!$Z146="Interest Only",'Loan Tape'!$Z146=""),0,MIN(MAX(0,J150-J756),IFERROR(MAX(0,MIN(8,'Loan Tape'!$AV146)-MAX(7,'Loan Tape'!$AT146))*IF(J453&lt;=0,J150/MAX(1,'Loan Tape'!$AU146-8+1),J453*J150/(1-(1+J453)^(-MAX(1,'Loan Tape'!$AU146-8+1)))-J453*J150),0)))</f>
        <v>0</v>
      </c>
      <c r="K1059" s="99" t="n">
        <f aca="false">IF(OR('Loan Tape'!$AN146=0,'Loan Tape'!$Z146="Interest Only",'Loan Tape'!$Z146=""),0,MIN(MAX(0,K150-K756),IFERROR(MAX(0,MIN(9,'Loan Tape'!$AV146)-MAX(8,'Loan Tape'!$AT146))*IF(K453&lt;=0,K150/MAX(1,'Loan Tape'!$AU146-9+1),K453*K150/(1-(1+K453)^(-MAX(1,'Loan Tape'!$AU146-9+1)))-K453*K150),0)))</f>
        <v>0</v>
      </c>
      <c r="L1059" s="99" t="n">
        <f aca="false">IF(OR('Loan Tape'!$AN146=0,'Loan Tape'!$Z146="Interest Only",'Loan Tape'!$Z146=""),0,MIN(MAX(0,L150-L756),IFERROR(MAX(0,MIN(10,'Loan Tape'!$AV146)-MAX(9,'Loan Tape'!$AT146))*IF(L453&lt;=0,L150/MAX(1,'Loan Tape'!$AU146-10+1),L453*L150/(1-(1+L453)^(-MAX(1,'Loan Tape'!$AU146-10+1)))-L453*L150),0)))</f>
        <v>0</v>
      </c>
    </row>
    <row r="1060" customFormat="false" ht="15" hidden="false" customHeight="false" outlineLevel="0" collapsed="false">
      <c r="B1060" s="108" t="n">
        <f aca="false">'Loan Tape'!$A147</f>
        <v>0</v>
      </c>
      <c r="C1060" s="71" t="n">
        <f aca="false">IF(OR('Loan Tape'!$AN147=0,'Loan Tape'!$Z147="Interest Only",'Loan Tape'!$Z147=""),0,MIN(MAX(0,C151-C757),IFERROR(MAX(0,MIN(1,'Loan Tape'!$AV147)-MAX(0,'Loan Tape'!$AT147))*IF(C454&lt;=0,C151/MAX(1,'Loan Tape'!$AU147-1+1),C454*C151/(1-(1+C454)^(-MAX(1,'Loan Tape'!$AU147-1+1)))-C454*C151),0)))</f>
        <v>0</v>
      </c>
      <c r="D1060" s="71" t="n">
        <f aca="false">IF(OR('Loan Tape'!$AN147=0,'Loan Tape'!$Z147="Interest Only",'Loan Tape'!$Z147=""),0,MIN(MAX(0,D151-D757),IFERROR(MAX(0,MIN(2,'Loan Tape'!$AV147)-MAX(1,'Loan Tape'!$AT147))*IF(D454&lt;=0,D151/MAX(1,'Loan Tape'!$AU147-2+1),D454*D151/(1-(1+D454)^(-MAX(1,'Loan Tape'!$AU147-2+1)))-D454*D151),0)))</f>
        <v>0</v>
      </c>
      <c r="E1060" s="71" t="n">
        <f aca="false">IF(OR('Loan Tape'!$AN147=0,'Loan Tape'!$Z147="Interest Only",'Loan Tape'!$Z147=""),0,MIN(MAX(0,E151-E757),IFERROR(MAX(0,MIN(3,'Loan Tape'!$AV147)-MAX(2,'Loan Tape'!$AT147))*IF(E454&lt;=0,E151/MAX(1,'Loan Tape'!$AU147-3+1),E454*E151/(1-(1+E454)^(-MAX(1,'Loan Tape'!$AU147-3+1)))-E454*E151),0)))</f>
        <v>0</v>
      </c>
      <c r="F1060" s="71" t="n">
        <f aca="false">IF(OR('Loan Tape'!$AN147=0,'Loan Tape'!$Z147="Interest Only",'Loan Tape'!$Z147=""),0,MIN(MAX(0,F151-F757),IFERROR(MAX(0,MIN(4,'Loan Tape'!$AV147)-MAX(3,'Loan Tape'!$AT147))*IF(F454&lt;=0,F151/MAX(1,'Loan Tape'!$AU147-4+1),F454*F151/(1-(1+F454)^(-MAX(1,'Loan Tape'!$AU147-4+1)))-F454*F151),0)))</f>
        <v>0</v>
      </c>
      <c r="G1060" s="71" t="n">
        <f aca="false">IF(OR('Loan Tape'!$AN147=0,'Loan Tape'!$Z147="Interest Only",'Loan Tape'!$Z147=""),0,MIN(MAX(0,G151-G757),IFERROR(MAX(0,MIN(5,'Loan Tape'!$AV147)-MAX(4,'Loan Tape'!$AT147))*IF(G454&lt;=0,G151/MAX(1,'Loan Tape'!$AU147-5+1),G454*G151/(1-(1+G454)^(-MAX(1,'Loan Tape'!$AU147-5+1)))-G454*G151),0)))</f>
        <v>0</v>
      </c>
      <c r="H1060" s="71" t="n">
        <f aca="false">IF(OR('Loan Tape'!$AN147=0,'Loan Tape'!$Z147="Interest Only",'Loan Tape'!$Z147=""),0,MIN(MAX(0,H151-H757),IFERROR(MAX(0,MIN(6,'Loan Tape'!$AV147)-MAX(5,'Loan Tape'!$AT147))*IF(H454&lt;=0,H151/MAX(1,'Loan Tape'!$AU147-6+1),H454*H151/(1-(1+H454)^(-MAX(1,'Loan Tape'!$AU147-6+1)))-H454*H151),0)))</f>
        <v>0</v>
      </c>
      <c r="I1060" s="71" t="n">
        <f aca="false">IF(OR('Loan Tape'!$AN147=0,'Loan Tape'!$Z147="Interest Only",'Loan Tape'!$Z147=""),0,MIN(MAX(0,I151-I757),IFERROR(MAX(0,MIN(7,'Loan Tape'!$AV147)-MAX(6,'Loan Tape'!$AT147))*IF(I454&lt;=0,I151/MAX(1,'Loan Tape'!$AU147-7+1),I454*I151/(1-(1+I454)^(-MAX(1,'Loan Tape'!$AU147-7+1)))-I454*I151),0)))</f>
        <v>0</v>
      </c>
      <c r="J1060" s="71" t="n">
        <f aca="false">IF(OR('Loan Tape'!$AN147=0,'Loan Tape'!$Z147="Interest Only",'Loan Tape'!$Z147=""),0,MIN(MAX(0,J151-J757),IFERROR(MAX(0,MIN(8,'Loan Tape'!$AV147)-MAX(7,'Loan Tape'!$AT147))*IF(J454&lt;=0,J151/MAX(1,'Loan Tape'!$AU147-8+1),J454*J151/(1-(1+J454)^(-MAX(1,'Loan Tape'!$AU147-8+1)))-J454*J151),0)))</f>
        <v>0</v>
      </c>
      <c r="K1060" s="71" t="n">
        <f aca="false">IF(OR('Loan Tape'!$AN147=0,'Loan Tape'!$Z147="Interest Only",'Loan Tape'!$Z147=""),0,MIN(MAX(0,K151-K757),IFERROR(MAX(0,MIN(9,'Loan Tape'!$AV147)-MAX(8,'Loan Tape'!$AT147))*IF(K454&lt;=0,K151/MAX(1,'Loan Tape'!$AU147-9+1),K454*K151/(1-(1+K454)^(-MAX(1,'Loan Tape'!$AU147-9+1)))-K454*K151),0)))</f>
        <v>0</v>
      </c>
      <c r="L1060" s="71" t="n">
        <f aca="false">IF(OR('Loan Tape'!$AN147=0,'Loan Tape'!$Z147="Interest Only",'Loan Tape'!$Z147=""),0,MIN(MAX(0,L151-L757),IFERROR(MAX(0,MIN(10,'Loan Tape'!$AV147)-MAX(9,'Loan Tape'!$AT147))*IF(L454&lt;=0,L151/MAX(1,'Loan Tape'!$AU147-10+1),L454*L151/(1-(1+L454)^(-MAX(1,'Loan Tape'!$AU147-10+1)))-L454*L151),0)))</f>
        <v>0</v>
      </c>
    </row>
    <row r="1061" customFormat="false" ht="15" hidden="false" customHeight="false" outlineLevel="0" collapsed="false">
      <c r="B1061" s="102" t="n">
        <f aca="false">'Loan Tape'!$A148</f>
        <v>0</v>
      </c>
      <c r="C1061" s="99" t="n">
        <f aca="false">IF(OR('Loan Tape'!$AN148=0,'Loan Tape'!$Z148="Interest Only",'Loan Tape'!$Z148=""),0,MIN(MAX(0,C152-C758),IFERROR(MAX(0,MIN(1,'Loan Tape'!$AV148)-MAX(0,'Loan Tape'!$AT148))*IF(C455&lt;=0,C152/MAX(1,'Loan Tape'!$AU148-1+1),C455*C152/(1-(1+C455)^(-MAX(1,'Loan Tape'!$AU148-1+1)))-C455*C152),0)))</f>
        <v>0</v>
      </c>
      <c r="D1061" s="99" t="n">
        <f aca="false">IF(OR('Loan Tape'!$AN148=0,'Loan Tape'!$Z148="Interest Only",'Loan Tape'!$Z148=""),0,MIN(MAX(0,D152-D758),IFERROR(MAX(0,MIN(2,'Loan Tape'!$AV148)-MAX(1,'Loan Tape'!$AT148))*IF(D455&lt;=0,D152/MAX(1,'Loan Tape'!$AU148-2+1),D455*D152/(1-(1+D455)^(-MAX(1,'Loan Tape'!$AU148-2+1)))-D455*D152),0)))</f>
        <v>0</v>
      </c>
      <c r="E1061" s="99" t="n">
        <f aca="false">IF(OR('Loan Tape'!$AN148=0,'Loan Tape'!$Z148="Interest Only",'Loan Tape'!$Z148=""),0,MIN(MAX(0,E152-E758),IFERROR(MAX(0,MIN(3,'Loan Tape'!$AV148)-MAX(2,'Loan Tape'!$AT148))*IF(E455&lt;=0,E152/MAX(1,'Loan Tape'!$AU148-3+1),E455*E152/(1-(1+E455)^(-MAX(1,'Loan Tape'!$AU148-3+1)))-E455*E152),0)))</f>
        <v>0</v>
      </c>
      <c r="F1061" s="99" t="n">
        <f aca="false">IF(OR('Loan Tape'!$AN148=0,'Loan Tape'!$Z148="Interest Only",'Loan Tape'!$Z148=""),0,MIN(MAX(0,F152-F758),IFERROR(MAX(0,MIN(4,'Loan Tape'!$AV148)-MAX(3,'Loan Tape'!$AT148))*IF(F455&lt;=0,F152/MAX(1,'Loan Tape'!$AU148-4+1),F455*F152/(1-(1+F455)^(-MAX(1,'Loan Tape'!$AU148-4+1)))-F455*F152),0)))</f>
        <v>0</v>
      </c>
      <c r="G1061" s="99" t="n">
        <f aca="false">IF(OR('Loan Tape'!$AN148=0,'Loan Tape'!$Z148="Interest Only",'Loan Tape'!$Z148=""),0,MIN(MAX(0,G152-G758),IFERROR(MAX(0,MIN(5,'Loan Tape'!$AV148)-MAX(4,'Loan Tape'!$AT148))*IF(G455&lt;=0,G152/MAX(1,'Loan Tape'!$AU148-5+1),G455*G152/(1-(1+G455)^(-MAX(1,'Loan Tape'!$AU148-5+1)))-G455*G152),0)))</f>
        <v>0</v>
      </c>
      <c r="H1061" s="99" t="n">
        <f aca="false">IF(OR('Loan Tape'!$AN148=0,'Loan Tape'!$Z148="Interest Only",'Loan Tape'!$Z148=""),0,MIN(MAX(0,H152-H758),IFERROR(MAX(0,MIN(6,'Loan Tape'!$AV148)-MAX(5,'Loan Tape'!$AT148))*IF(H455&lt;=0,H152/MAX(1,'Loan Tape'!$AU148-6+1),H455*H152/(1-(1+H455)^(-MAX(1,'Loan Tape'!$AU148-6+1)))-H455*H152),0)))</f>
        <v>0</v>
      </c>
      <c r="I1061" s="99" t="n">
        <f aca="false">IF(OR('Loan Tape'!$AN148=0,'Loan Tape'!$Z148="Interest Only",'Loan Tape'!$Z148=""),0,MIN(MAX(0,I152-I758),IFERROR(MAX(0,MIN(7,'Loan Tape'!$AV148)-MAX(6,'Loan Tape'!$AT148))*IF(I455&lt;=0,I152/MAX(1,'Loan Tape'!$AU148-7+1),I455*I152/(1-(1+I455)^(-MAX(1,'Loan Tape'!$AU148-7+1)))-I455*I152),0)))</f>
        <v>0</v>
      </c>
      <c r="J1061" s="99" t="n">
        <f aca="false">IF(OR('Loan Tape'!$AN148=0,'Loan Tape'!$Z148="Interest Only",'Loan Tape'!$Z148=""),0,MIN(MAX(0,J152-J758),IFERROR(MAX(0,MIN(8,'Loan Tape'!$AV148)-MAX(7,'Loan Tape'!$AT148))*IF(J455&lt;=0,J152/MAX(1,'Loan Tape'!$AU148-8+1),J455*J152/(1-(1+J455)^(-MAX(1,'Loan Tape'!$AU148-8+1)))-J455*J152),0)))</f>
        <v>0</v>
      </c>
      <c r="K1061" s="99" t="n">
        <f aca="false">IF(OR('Loan Tape'!$AN148=0,'Loan Tape'!$Z148="Interest Only",'Loan Tape'!$Z148=""),0,MIN(MAX(0,K152-K758),IFERROR(MAX(0,MIN(9,'Loan Tape'!$AV148)-MAX(8,'Loan Tape'!$AT148))*IF(K455&lt;=0,K152/MAX(1,'Loan Tape'!$AU148-9+1),K455*K152/(1-(1+K455)^(-MAX(1,'Loan Tape'!$AU148-9+1)))-K455*K152),0)))</f>
        <v>0</v>
      </c>
      <c r="L1061" s="99" t="n">
        <f aca="false">IF(OR('Loan Tape'!$AN148=0,'Loan Tape'!$Z148="Interest Only",'Loan Tape'!$Z148=""),0,MIN(MAX(0,L152-L758),IFERROR(MAX(0,MIN(10,'Loan Tape'!$AV148)-MAX(9,'Loan Tape'!$AT148))*IF(L455&lt;=0,L152/MAX(1,'Loan Tape'!$AU148-10+1),L455*L152/(1-(1+L455)^(-MAX(1,'Loan Tape'!$AU148-10+1)))-L455*L152),0)))</f>
        <v>0</v>
      </c>
    </row>
    <row r="1062" customFormat="false" ht="15" hidden="false" customHeight="false" outlineLevel="0" collapsed="false">
      <c r="B1062" s="108" t="n">
        <f aca="false">'Loan Tape'!$A149</f>
        <v>0</v>
      </c>
      <c r="C1062" s="71" t="n">
        <f aca="false">IF(OR('Loan Tape'!$AN149=0,'Loan Tape'!$Z149="Interest Only",'Loan Tape'!$Z149=""),0,MIN(MAX(0,C153-C759),IFERROR(MAX(0,MIN(1,'Loan Tape'!$AV149)-MAX(0,'Loan Tape'!$AT149))*IF(C456&lt;=0,C153/MAX(1,'Loan Tape'!$AU149-1+1),C456*C153/(1-(1+C456)^(-MAX(1,'Loan Tape'!$AU149-1+1)))-C456*C153),0)))</f>
        <v>0</v>
      </c>
      <c r="D1062" s="71" t="n">
        <f aca="false">IF(OR('Loan Tape'!$AN149=0,'Loan Tape'!$Z149="Interest Only",'Loan Tape'!$Z149=""),0,MIN(MAX(0,D153-D759),IFERROR(MAX(0,MIN(2,'Loan Tape'!$AV149)-MAX(1,'Loan Tape'!$AT149))*IF(D456&lt;=0,D153/MAX(1,'Loan Tape'!$AU149-2+1),D456*D153/(1-(1+D456)^(-MAX(1,'Loan Tape'!$AU149-2+1)))-D456*D153),0)))</f>
        <v>0</v>
      </c>
      <c r="E1062" s="71" t="n">
        <f aca="false">IF(OR('Loan Tape'!$AN149=0,'Loan Tape'!$Z149="Interest Only",'Loan Tape'!$Z149=""),0,MIN(MAX(0,E153-E759),IFERROR(MAX(0,MIN(3,'Loan Tape'!$AV149)-MAX(2,'Loan Tape'!$AT149))*IF(E456&lt;=0,E153/MAX(1,'Loan Tape'!$AU149-3+1),E456*E153/(1-(1+E456)^(-MAX(1,'Loan Tape'!$AU149-3+1)))-E456*E153),0)))</f>
        <v>0</v>
      </c>
      <c r="F1062" s="71" t="n">
        <f aca="false">IF(OR('Loan Tape'!$AN149=0,'Loan Tape'!$Z149="Interest Only",'Loan Tape'!$Z149=""),0,MIN(MAX(0,F153-F759),IFERROR(MAX(0,MIN(4,'Loan Tape'!$AV149)-MAX(3,'Loan Tape'!$AT149))*IF(F456&lt;=0,F153/MAX(1,'Loan Tape'!$AU149-4+1),F456*F153/(1-(1+F456)^(-MAX(1,'Loan Tape'!$AU149-4+1)))-F456*F153),0)))</f>
        <v>0</v>
      </c>
      <c r="G1062" s="71" t="n">
        <f aca="false">IF(OR('Loan Tape'!$AN149=0,'Loan Tape'!$Z149="Interest Only",'Loan Tape'!$Z149=""),0,MIN(MAX(0,G153-G759),IFERROR(MAX(0,MIN(5,'Loan Tape'!$AV149)-MAX(4,'Loan Tape'!$AT149))*IF(G456&lt;=0,G153/MAX(1,'Loan Tape'!$AU149-5+1),G456*G153/(1-(1+G456)^(-MAX(1,'Loan Tape'!$AU149-5+1)))-G456*G153),0)))</f>
        <v>0</v>
      </c>
      <c r="H1062" s="71" t="n">
        <f aca="false">IF(OR('Loan Tape'!$AN149=0,'Loan Tape'!$Z149="Interest Only",'Loan Tape'!$Z149=""),0,MIN(MAX(0,H153-H759),IFERROR(MAX(0,MIN(6,'Loan Tape'!$AV149)-MAX(5,'Loan Tape'!$AT149))*IF(H456&lt;=0,H153/MAX(1,'Loan Tape'!$AU149-6+1),H456*H153/(1-(1+H456)^(-MAX(1,'Loan Tape'!$AU149-6+1)))-H456*H153),0)))</f>
        <v>0</v>
      </c>
      <c r="I1062" s="71" t="n">
        <f aca="false">IF(OR('Loan Tape'!$AN149=0,'Loan Tape'!$Z149="Interest Only",'Loan Tape'!$Z149=""),0,MIN(MAX(0,I153-I759),IFERROR(MAX(0,MIN(7,'Loan Tape'!$AV149)-MAX(6,'Loan Tape'!$AT149))*IF(I456&lt;=0,I153/MAX(1,'Loan Tape'!$AU149-7+1),I456*I153/(1-(1+I456)^(-MAX(1,'Loan Tape'!$AU149-7+1)))-I456*I153),0)))</f>
        <v>0</v>
      </c>
      <c r="J1062" s="71" t="n">
        <f aca="false">IF(OR('Loan Tape'!$AN149=0,'Loan Tape'!$Z149="Interest Only",'Loan Tape'!$Z149=""),0,MIN(MAX(0,J153-J759),IFERROR(MAX(0,MIN(8,'Loan Tape'!$AV149)-MAX(7,'Loan Tape'!$AT149))*IF(J456&lt;=0,J153/MAX(1,'Loan Tape'!$AU149-8+1),J456*J153/(1-(1+J456)^(-MAX(1,'Loan Tape'!$AU149-8+1)))-J456*J153),0)))</f>
        <v>0</v>
      </c>
      <c r="K1062" s="71" t="n">
        <f aca="false">IF(OR('Loan Tape'!$AN149=0,'Loan Tape'!$Z149="Interest Only",'Loan Tape'!$Z149=""),0,MIN(MAX(0,K153-K759),IFERROR(MAX(0,MIN(9,'Loan Tape'!$AV149)-MAX(8,'Loan Tape'!$AT149))*IF(K456&lt;=0,K153/MAX(1,'Loan Tape'!$AU149-9+1),K456*K153/(1-(1+K456)^(-MAX(1,'Loan Tape'!$AU149-9+1)))-K456*K153),0)))</f>
        <v>0</v>
      </c>
      <c r="L1062" s="71" t="n">
        <f aca="false">IF(OR('Loan Tape'!$AN149=0,'Loan Tape'!$Z149="Interest Only",'Loan Tape'!$Z149=""),0,MIN(MAX(0,L153-L759),IFERROR(MAX(0,MIN(10,'Loan Tape'!$AV149)-MAX(9,'Loan Tape'!$AT149))*IF(L456&lt;=0,L153/MAX(1,'Loan Tape'!$AU149-10+1),L456*L153/(1-(1+L456)^(-MAX(1,'Loan Tape'!$AU149-10+1)))-L456*L153),0)))</f>
        <v>0</v>
      </c>
    </row>
    <row r="1063" customFormat="false" ht="15" hidden="false" customHeight="false" outlineLevel="0" collapsed="false">
      <c r="B1063" s="102" t="n">
        <f aca="false">'Loan Tape'!$A150</f>
        <v>0</v>
      </c>
      <c r="C1063" s="99" t="n">
        <f aca="false">IF(OR('Loan Tape'!$AN150=0,'Loan Tape'!$Z150="Interest Only",'Loan Tape'!$Z150=""),0,MIN(MAX(0,C154-C760),IFERROR(MAX(0,MIN(1,'Loan Tape'!$AV150)-MAX(0,'Loan Tape'!$AT150))*IF(C457&lt;=0,C154/MAX(1,'Loan Tape'!$AU150-1+1),C457*C154/(1-(1+C457)^(-MAX(1,'Loan Tape'!$AU150-1+1)))-C457*C154),0)))</f>
        <v>0</v>
      </c>
      <c r="D1063" s="99" t="n">
        <f aca="false">IF(OR('Loan Tape'!$AN150=0,'Loan Tape'!$Z150="Interest Only",'Loan Tape'!$Z150=""),0,MIN(MAX(0,D154-D760),IFERROR(MAX(0,MIN(2,'Loan Tape'!$AV150)-MAX(1,'Loan Tape'!$AT150))*IF(D457&lt;=0,D154/MAX(1,'Loan Tape'!$AU150-2+1),D457*D154/(1-(1+D457)^(-MAX(1,'Loan Tape'!$AU150-2+1)))-D457*D154),0)))</f>
        <v>0</v>
      </c>
      <c r="E1063" s="99" t="n">
        <f aca="false">IF(OR('Loan Tape'!$AN150=0,'Loan Tape'!$Z150="Interest Only",'Loan Tape'!$Z150=""),0,MIN(MAX(0,E154-E760),IFERROR(MAX(0,MIN(3,'Loan Tape'!$AV150)-MAX(2,'Loan Tape'!$AT150))*IF(E457&lt;=0,E154/MAX(1,'Loan Tape'!$AU150-3+1),E457*E154/(1-(1+E457)^(-MAX(1,'Loan Tape'!$AU150-3+1)))-E457*E154),0)))</f>
        <v>0</v>
      </c>
      <c r="F1063" s="99" t="n">
        <f aca="false">IF(OR('Loan Tape'!$AN150=0,'Loan Tape'!$Z150="Interest Only",'Loan Tape'!$Z150=""),0,MIN(MAX(0,F154-F760),IFERROR(MAX(0,MIN(4,'Loan Tape'!$AV150)-MAX(3,'Loan Tape'!$AT150))*IF(F457&lt;=0,F154/MAX(1,'Loan Tape'!$AU150-4+1),F457*F154/(1-(1+F457)^(-MAX(1,'Loan Tape'!$AU150-4+1)))-F457*F154),0)))</f>
        <v>0</v>
      </c>
      <c r="G1063" s="99" t="n">
        <f aca="false">IF(OR('Loan Tape'!$AN150=0,'Loan Tape'!$Z150="Interest Only",'Loan Tape'!$Z150=""),0,MIN(MAX(0,G154-G760),IFERROR(MAX(0,MIN(5,'Loan Tape'!$AV150)-MAX(4,'Loan Tape'!$AT150))*IF(G457&lt;=0,G154/MAX(1,'Loan Tape'!$AU150-5+1),G457*G154/(1-(1+G457)^(-MAX(1,'Loan Tape'!$AU150-5+1)))-G457*G154),0)))</f>
        <v>0</v>
      </c>
      <c r="H1063" s="99" t="n">
        <f aca="false">IF(OR('Loan Tape'!$AN150=0,'Loan Tape'!$Z150="Interest Only",'Loan Tape'!$Z150=""),0,MIN(MAX(0,H154-H760),IFERROR(MAX(0,MIN(6,'Loan Tape'!$AV150)-MAX(5,'Loan Tape'!$AT150))*IF(H457&lt;=0,H154/MAX(1,'Loan Tape'!$AU150-6+1),H457*H154/(1-(1+H457)^(-MAX(1,'Loan Tape'!$AU150-6+1)))-H457*H154),0)))</f>
        <v>0</v>
      </c>
      <c r="I1063" s="99" t="n">
        <f aca="false">IF(OR('Loan Tape'!$AN150=0,'Loan Tape'!$Z150="Interest Only",'Loan Tape'!$Z150=""),0,MIN(MAX(0,I154-I760),IFERROR(MAX(0,MIN(7,'Loan Tape'!$AV150)-MAX(6,'Loan Tape'!$AT150))*IF(I457&lt;=0,I154/MAX(1,'Loan Tape'!$AU150-7+1),I457*I154/(1-(1+I457)^(-MAX(1,'Loan Tape'!$AU150-7+1)))-I457*I154),0)))</f>
        <v>0</v>
      </c>
      <c r="J1063" s="99" t="n">
        <f aca="false">IF(OR('Loan Tape'!$AN150=0,'Loan Tape'!$Z150="Interest Only",'Loan Tape'!$Z150=""),0,MIN(MAX(0,J154-J760),IFERROR(MAX(0,MIN(8,'Loan Tape'!$AV150)-MAX(7,'Loan Tape'!$AT150))*IF(J457&lt;=0,J154/MAX(1,'Loan Tape'!$AU150-8+1),J457*J154/(1-(1+J457)^(-MAX(1,'Loan Tape'!$AU150-8+1)))-J457*J154),0)))</f>
        <v>0</v>
      </c>
      <c r="K1063" s="99" t="n">
        <f aca="false">IF(OR('Loan Tape'!$AN150=0,'Loan Tape'!$Z150="Interest Only",'Loan Tape'!$Z150=""),0,MIN(MAX(0,K154-K760),IFERROR(MAX(0,MIN(9,'Loan Tape'!$AV150)-MAX(8,'Loan Tape'!$AT150))*IF(K457&lt;=0,K154/MAX(1,'Loan Tape'!$AU150-9+1),K457*K154/(1-(1+K457)^(-MAX(1,'Loan Tape'!$AU150-9+1)))-K457*K154),0)))</f>
        <v>0</v>
      </c>
      <c r="L1063" s="99" t="n">
        <f aca="false">IF(OR('Loan Tape'!$AN150=0,'Loan Tape'!$Z150="Interest Only",'Loan Tape'!$Z150=""),0,MIN(MAX(0,L154-L760),IFERROR(MAX(0,MIN(10,'Loan Tape'!$AV150)-MAX(9,'Loan Tape'!$AT150))*IF(L457&lt;=0,L154/MAX(1,'Loan Tape'!$AU150-10+1),L457*L154/(1-(1+L457)^(-MAX(1,'Loan Tape'!$AU150-10+1)))-L457*L154),0)))</f>
        <v>0</v>
      </c>
    </row>
    <row r="1064" customFormat="false" ht="15" hidden="false" customHeight="false" outlineLevel="0" collapsed="false">
      <c r="B1064" s="108" t="n">
        <f aca="false">'Loan Tape'!$A151</f>
        <v>0</v>
      </c>
      <c r="C1064" s="71" t="n">
        <f aca="false">IF(OR('Loan Tape'!$AN151=0,'Loan Tape'!$Z151="Interest Only",'Loan Tape'!$Z151=""),0,MIN(MAX(0,C155-C761),IFERROR(MAX(0,MIN(1,'Loan Tape'!$AV151)-MAX(0,'Loan Tape'!$AT151))*IF(C458&lt;=0,C155/MAX(1,'Loan Tape'!$AU151-1+1),C458*C155/(1-(1+C458)^(-MAX(1,'Loan Tape'!$AU151-1+1)))-C458*C155),0)))</f>
        <v>0</v>
      </c>
      <c r="D1064" s="71" t="n">
        <f aca="false">IF(OR('Loan Tape'!$AN151=0,'Loan Tape'!$Z151="Interest Only",'Loan Tape'!$Z151=""),0,MIN(MAX(0,D155-D761),IFERROR(MAX(0,MIN(2,'Loan Tape'!$AV151)-MAX(1,'Loan Tape'!$AT151))*IF(D458&lt;=0,D155/MAX(1,'Loan Tape'!$AU151-2+1),D458*D155/(1-(1+D458)^(-MAX(1,'Loan Tape'!$AU151-2+1)))-D458*D155),0)))</f>
        <v>0</v>
      </c>
      <c r="E1064" s="71" t="n">
        <f aca="false">IF(OR('Loan Tape'!$AN151=0,'Loan Tape'!$Z151="Interest Only",'Loan Tape'!$Z151=""),0,MIN(MAX(0,E155-E761),IFERROR(MAX(0,MIN(3,'Loan Tape'!$AV151)-MAX(2,'Loan Tape'!$AT151))*IF(E458&lt;=0,E155/MAX(1,'Loan Tape'!$AU151-3+1),E458*E155/(1-(1+E458)^(-MAX(1,'Loan Tape'!$AU151-3+1)))-E458*E155),0)))</f>
        <v>0</v>
      </c>
      <c r="F1064" s="71" t="n">
        <f aca="false">IF(OR('Loan Tape'!$AN151=0,'Loan Tape'!$Z151="Interest Only",'Loan Tape'!$Z151=""),0,MIN(MAX(0,F155-F761),IFERROR(MAX(0,MIN(4,'Loan Tape'!$AV151)-MAX(3,'Loan Tape'!$AT151))*IF(F458&lt;=0,F155/MAX(1,'Loan Tape'!$AU151-4+1),F458*F155/(1-(1+F458)^(-MAX(1,'Loan Tape'!$AU151-4+1)))-F458*F155),0)))</f>
        <v>0</v>
      </c>
      <c r="G1064" s="71" t="n">
        <f aca="false">IF(OR('Loan Tape'!$AN151=0,'Loan Tape'!$Z151="Interest Only",'Loan Tape'!$Z151=""),0,MIN(MAX(0,G155-G761),IFERROR(MAX(0,MIN(5,'Loan Tape'!$AV151)-MAX(4,'Loan Tape'!$AT151))*IF(G458&lt;=0,G155/MAX(1,'Loan Tape'!$AU151-5+1),G458*G155/(1-(1+G458)^(-MAX(1,'Loan Tape'!$AU151-5+1)))-G458*G155),0)))</f>
        <v>0</v>
      </c>
      <c r="H1064" s="71" t="n">
        <f aca="false">IF(OR('Loan Tape'!$AN151=0,'Loan Tape'!$Z151="Interest Only",'Loan Tape'!$Z151=""),0,MIN(MAX(0,H155-H761),IFERROR(MAX(0,MIN(6,'Loan Tape'!$AV151)-MAX(5,'Loan Tape'!$AT151))*IF(H458&lt;=0,H155/MAX(1,'Loan Tape'!$AU151-6+1),H458*H155/(1-(1+H458)^(-MAX(1,'Loan Tape'!$AU151-6+1)))-H458*H155),0)))</f>
        <v>0</v>
      </c>
      <c r="I1064" s="71" t="n">
        <f aca="false">IF(OR('Loan Tape'!$AN151=0,'Loan Tape'!$Z151="Interest Only",'Loan Tape'!$Z151=""),0,MIN(MAX(0,I155-I761),IFERROR(MAX(0,MIN(7,'Loan Tape'!$AV151)-MAX(6,'Loan Tape'!$AT151))*IF(I458&lt;=0,I155/MAX(1,'Loan Tape'!$AU151-7+1),I458*I155/(1-(1+I458)^(-MAX(1,'Loan Tape'!$AU151-7+1)))-I458*I155),0)))</f>
        <v>0</v>
      </c>
      <c r="J1064" s="71" t="n">
        <f aca="false">IF(OR('Loan Tape'!$AN151=0,'Loan Tape'!$Z151="Interest Only",'Loan Tape'!$Z151=""),0,MIN(MAX(0,J155-J761),IFERROR(MAX(0,MIN(8,'Loan Tape'!$AV151)-MAX(7,'Loan Tape'!$AT151))*IF(J458&lt;=0,J155/MAX(1,'Loan Tape'!$AU151-8+1),J458*J155/(1-(1+J458)^(-MAX(1,'Loan Tape'!$AU151-8+1)))-J458*J155),0)))</f>
        <v>0</v>
      </c>
      <c r="K1064" s="71" t="n">
        <f aca="false">IF(OR('Loan Tape'!$AN151=0,'Loan Tape'!$Z151="Interest Only",'Loan Tape'!$Z151=""),0,MIN(MAX(0,K155-K761),IFERROR(MAX(0,MIN(9,'Loan Tape'!$AV151)-MAX(8,'Loan Tape'!$AT151))*IF(K458&lt;=0,K155/MAX(1,'Loan Tape'!$AU151-9+1),K458*K155/(1-(1+K458)^(-MAX(1,'Loan Tape'!$AU151-9+1)))-K458*K155),0)))</f>
        <v>0</v>
      </c>
      <c r="L1064" s="71" t="n">
        <f aca="false">IF(OR('Loan Tape'!$AN151=0,'Loan Tape'!$Z151="Interest Only",'Loan Tape'!$Z151=""),0,MIN(MAX(0,L155-L761),IFERROR(MAX(0,MIN(10,'Loan Tape'!$AV151)-MAX(9,'Loan Tape'!$AT151))*IF(L458&lt;=0,L155/MAX(1,'Loan Tape'!$AU151-10+1),L458*L155/(1-(1+L458)^(-MAX(1,'Loan Tape'!$AU151-10+1)))-L458*L155),0)))</f>
        <v>0</v>
      </c>
    </row>
    <row r="1065" customFormat="false" ht="15" hidden="false" customHeight="false" outlineLevel="0" collapsed="false">
      <c r="B1065" s="102" t="n">
        <f aca="false">'Loan Tape'!$A152</f>
        <v>0</v>
      </c>
      <c r="C1065" s="99" t="n">
        <f aca="false">IF(OR('Loan Tape'!$AN152=0,'Loan Tape'!$Z152="Interest Only",'Loan Tape'!$Z152=""),0,MIN(MAX(0,C156-C762),IFERROR(MAX(0,MIN(1,'Loan Tape'!$AV152)-MAX(0,'Loan Tape'!$AT152))*IF(C459&lt;=0,C156/MAX(1,'Loan Tape'!$AU152-1+1),C459*C156/(1-(1+C459)^(-MAX(1,'Loan Tape'!$AU152-1+1)))-C459*C156),0)))</f>
        <v>0</v>
      </c>
      <c r="D1065" s="99" t="n">
        <f aca="false">IF(OR('Loan Tape'!$AN152=0,'Loan Tape'!$Z152="Interest Only",'Loan Tape'!$Z152=""),0,MIN(MAX(0,D156-D762),IFERROR(MAX(0,MIN(2,'Loan Tape'!$AV152)-MAX(1,'Loan Tape'!$AT152))*IF(D459&lt;=0,D156/MAX(1,'Loan Tape'!$AU152-2+1),D459*D156/(1-(1+D459)^(-MAX(1,'Loan Tape'!$AU152-2+1)))-D459*D156),0)))</f>
        <v>0</v>
      </c>
      <c r="E1065" s="99" t="n">
        <f aca="false">IF(OR('Loan Tape'!$AN152=0,'Loan Tape'!$Z152="Interest Only",'Loan Tape'!$Z152=""),0,MIN(MAX(0,E156-E762),IFERROR(MAX(0,MIN(3,'Loan Tape'!$AV152)-MAX(2,'Loan Tape'!$AT152))*IF(E459&lt;=0,E156/MAX(1,'Loan Tape'!$AU152-3+1),E459*E156/(1-(1+E459)^(-MAX(1,'Loan Tape'!$AU152-3+1)))-E459*E156),0)))</f>
        <v>0</v>
      </c>
      <c r="F1065" s="99" t="n">
        <f aca="false">IF(OR('Loan Tape'!$AN152=0,'Loan Tape'!$Z152="Interest Only",'Loan Tape'!$Z152=""),0,MIN(MAX(0,F156-F762),IFERROR(MAX(0,MIN(4,'Loan Tape'!$AV152)-MAX(3,'Loan Tape'!$AT152))*IF(F459&lt;=0,F156/MAX(1,'Loan Tape'!$AU152-4+1),F459*F156/(1-(1+F459)^(-MAX(1,'Loan Tape'!$AU152-4+1)))-F459*F156),0)))</f>
        <v>0</v>
      </c>
      <c r="G1065" s="99" t="n">
        <f aca="false">IF(OR('Loan Tape'!$AN152=0,'Loan Tape'!$Z152="Interest Only",'Loan Tape'!$Z152=""),0,MIN(MAX(0,G156-G762),IFERROR(MAX(0,MIN(5,'Loan Tape'!$AV152)-MAX(4,'Loan Tape'!$AT152))*IF(G459&lt;=0,G156/MAX(1,'Loan Tape'!$AU152-5+1),G459*G156/(1-(1+G459)^(-MAX(1,'Loan Tape'!$AU152-5+1)))-G459*G156),0)))</f>
        <v>0</v>
      </c>
      <c r="H1065" s="99" t="n">
        <f aca="false">IF(OR('Loan Tape'!$AN152=0,'Loan Tape'!$Z152="Interest Only",'Loan Tape'!$Z152=""),0,MIN(MAX(0,H156-H762),IFERROR(MAX(0,MIN(6,'Loan Tape'!$AV152)-MAX(5,'Loan Tape'!$AT152))*IF(H459&lt;=0,H156/MAX(1,'Loan Tape'!$AU152-6+1),H459*H156/(1-(1+H459)^(-MAX(1,'Loan Tape'!$AU152-6+1)))-H459*H156),0)))</f>
        <v>0</v>
      </c>
      <c r="I1065" s="99" t="n">
        <f aca="false">IF(OR('Loan Tape'!$AN152=0,'Loan Tape'!$Z152="Interest Only",'Loan Tape'!$Z152=""),0,MIN(MAX(0,I156-I762),IFERROR(MAX(0,MIN(7,'Loan Tape'!$AV152)-MAX(6,'Loan Tape'!$AT152))*IF(I459&lt;=0,I156/MAX(1,'Loan Tape'!$AU152-7+1),I459*I156/(1-(1+I459)^(-MAX(1,'Loan Tape'!$AU152-7+1)))-I459*I156),0)))</f>
        <v>0</v>
      </c>
      <c r="J1065" s="99" t="n">
        <f aca="false">IF(OR('Loan Tape'!$AN152=0,'Loan Tape'!$Z152="Interest Only",'Loan Tape'!$Z152=""),0,MIN(MAX(0,J156-J762),IFERROR(MAX(0,MIN(8,'Loan Tape'!$AV152)-MAX(7,'Loan Tape'!$AT152))*IF(J459&lt;=0,J156/MAX(1,'Loan Tape'!$AU152-8+1),J459*J156/(1-(1+J459)^(-MAX(1,'Loan Tape'!$AU152-8+1)))-J459*J156),0)))</f>
        <v>0</v>
      </c>
      <c r="K1065" s="99" t="n">
        <f aca="false">IF(OR('Loan Tape'!$AN152=0,'Loan Tape'!$Z152="Interest Only",'Loan Tape'!$Z152=""),0,MIN(MAX(0,K156-K762),IFERROR(MAX(0,MIN(9,'Loan Tape'!$AV152)-MAX(8,'Loan Tape'!$AT152))*IF(K459&lt;=0,K156/MAX(1,'Loan Tape'!$AU152-9+1),K459*K156/(1-(1+K459)^(-MAX(1,'Loan Tape'!$AU152-9+1)))-K459*K156),0)))</f>
        <v>0</v>
      </c>
      <c r="L1065" s="99" t="n">
        <f aca="false">IF(OR('Loan Tape'!$AN152=0,'Loan Tape'!$Z152="Interest Only",'Loan Tape'!$Z152=""),0,MIN(MAX(0,L156-L762),IFERROR(MAX(0,MIN(10,'Loan Tape'!$AV152)-MAX(9,'Loan Tape'!$AT152))*IF(L459&lt;=0,L156/MAX(1,'Loan Tape'!$AU152-10+1),L459*L156/(1-(1+L459)^(-MAX(1,'Loan Tape'!$AU152-10+1)))-L459*L156),0)))</f>
        <v>0</v>
      </c>
    </row>
    <row r="1066" customFormat="false" ht="15" hidden="false" customHeight="false" outlineLevel="0" collapsed="false">
      <c r="B1066" s="108" t="n">
        <f aca="false">'Loan Tape'!$A153</f>
        <v>0</v>
      </c>
      <c r="C1066" s="71" t="n">
        <f aca="false">IF(OR('Loan Tape'!$AN153=0,'Loan Tape'!$Z153="Interest Only",'Loan Tape'!$Z153=""),0,MIN(MAX(0,C157-C763),IFERROR(MAX(0,MIN(1,'Loan Tape'!$AV153)-MAX(0,'Loan Tape'!$AT153))*IF(C460&lt;=0,C157/MAX(1,'Loan Tape'!$AU153-1+1),C460*C157/(1-(1+C460)^(-MAX(1,'Loan Tape'!$AU153-1+1)))-C460*C157),0)))</f>
        <v>0</v>
      </c>
      <c r="D1066" s="71" t="n">
        <f aca="false">IF(OR('Loan Tape'!$AN153=0,'Loan Tape'!$Z153="Interest Only",'Loan Tape'!$Z153=""),0,MIN(MAX(0,D157-D763),IFERROR(MAX(0,MIN(2,'Loan Tape'!$AV153)-MAX(1,'Loan Tape'!$AT153))*IF(D460&lt;=0,D157/MAX(1,'Loan Tape'!$AU153-2+1),D460*D157/(1-(1+D460)^(-MAX(1,'Loan Tape'!$AU153-2+1)))-D460*D157),0)))</f>
        <v>0</v>
      </c>
      <c r="E1066" s="71" t="n">
        <f aca="false">IF(OR('Loan Tape'!$AN153=0,'Loan Tape'!$Z153="Interest Only",'Loan Tape'!$Z153=""),0,MIN(MAX(0,E157-E763),IFERROR(MAX(0,MIN(3,'Loan Tape'!$AV153)-MAX(2,'Loan Tape'!$AT153))*IF(E460&lt;=0,E157/MAX(1,'Loan Tape'!$AU153-3+1),E460*E157/(1-(1+E460)^(-MAX(1,'Loan Tape'!$AU153-3+1)))-E460*E157),0)))</f>
        <v>0</v>
      </c>
      <c r="F1066" s="71" t="n">
        <f aca="false">IF(OR('Loan Tape'!$AN153=0,'Loan Tape'!$Z153="Interest Only",'Loan Tape'!$Z153=""),0,MIN(MAX(0,F157-F763),IFERROR(MAX(0,MIN(4,'Loan Tape'!$AV153)-MAX(3,'Loan Tape'!$AT153))*IF(F460&lt;=0,F157/MAX(1,'Loan Tape'!$AU153-4+1),F460*F157/(1-(1+F460)^(-MAX(1,'Loan Tape'!$AU153-4+1)))-F460*F157),0)))</f>
        <v>0</v>
      </c>
      <c r="G1066" s="71" t="n">
        <f aca="false">IF(OR('Loan Tape'!$AN153=0,'Loan Tape'!$Z153="Interest Only",'Loan Tape'!$Z153=""),0,MIN(MAX(0,G157-G763),IFERROR(MAX(0,MIN(5,'Loan Tape'!$AV153)-MAX(4,'Loan Tape'!$AT153))*IF(G460&lt;=0,G157/MAX(1,'Loan Tape'!$AU153-5+1),G460*G157/(1-(1+G460)^(-MAX(1,'Loan Tape'!$AU153-5+1)))-G460*G157),0)))</f>
        <v>0</v>
      </c>
      <c r="H1066" s="71" t="n">
        <f aca="false">IF(OR('Loan Tape'!$AN153=0,'Loan Tape'!$Z153="Interest Only",'Loan Tape'!$Z153=""),0,MIN(MAX(0,H157-H763),IFERROR(MAX(0,MIN(6,'Loan Tape'!$AV153)-MAX(5,'Loan Tape'!$AT153))*IF(H460&lt;=0,H157/MAX(1,'Loan Tape'!$AU153-6+1),H460*H157/(1-(1+H460)^(-MAX(1,'Loan Tape'!$AU153-6+1)))-H460*H157),0)))</f>
        <v>0</v>
      </c>
      <c r="I1066" s="71" t="n">
        <f aca="false">IF(OR('Loan Tape'!$AN153=0,'Loan Tape'!$Z153="Interest Only",'Loan Tape'!$Z153=""),0,MIN(MAX(0,I157-I763),IFERROR(MAX(0,MIN(7,'Loan Tape'!$AV153)-MAX(6,'Loan Tape'!$AT153))*IF(I460&lt;=0,I157/MAX(1,'Loan Tape'!$AU153-7+1),I460*I157/(1-(1+I460)^(-MAX(1,'Loan Tape'!$AU153-7+1)))-I460*I157),0)))</f>
        <v>0</v>
      </c>
      <c r="J1066" s="71" t="n">
        <f aca="false">IF(OR('Loan Tape'!$AN153=0,'Loan Tape'!$Z153="Interest Only",'Loan Tape'!$Z153=""),0,MIN(MAX(0,J157-J763),IFERROR(MAX(0,MIN(8,'Loan Tape'!$AV153)-MAX(7,'Loan Tape'!$AT153))*IF(J460&lt;=0,J157/MAX(1,'Loan Tape'!$AU153-8+1),J460*J157/(1-(1+J460)^(-MAX(1,'Loan Tape'!$AU153-8+1)))-J460*J157),0)))</f>
        <v>0</v>
      </c>
      <c r="K1066" s="71" t="n">
        <f aca="false">IF(OR('Loan Tape'!$AN153=0,'Loan Tape'!$Z153="Interest Only",'Loan Tape'!$Z153=""),0,MIN(MAX(0,K157-K763),IFERROR(MAX(0,MIN(9,'Loan Tape'!$AV153)-MAX(8,'Loan Tape'!$AT153))*IF(K460&lt;=0,K157/MAX(1,'Loan Tape'!$AU153-9+1),K460*K157/(1-(1+K460)^(-MAX(1,'Loan Tape'!$AU153-9+1)))-K460*K157),0)))</f>
        <v>0</v>
      </c>
      <c r="L1066" s="71" t="n">
        <f aca="false">IF(OR('Loan Tape'!$AN153=0,'Loan Tape'!$Z153="Interest Only",'Loan Tape'!$Z153=""),0,MIN(MAX(0,L157-L763),IFERROR(MAX(0,MIN(10,'Loan Tape'!$AV153)-MAX(9,'Loan Tape'!$AT153))*IF(L460&lt;=0,L157/MAX(1,'Loan Tape'!$AU153-10+1),L460*L157/(1-(1+L460)^(-MAX(1,'Loan Tape'!$AU153-10+1)))-L460*L157),0)))</f>
        <v>0</v>
      </c>
    </row>
    <row r="1067" customFormat="false" ht="15" hidden="false" customHeight="false" outlineLevel="0" collapsed="false">
      <c r="B1067" s="102" t="n">
        <f aca="false">'Loan Tape'!$A154</f>
        <v>0</v>
      </c>
      <c r="C1067" s="99" t="n">
        <f aca="false">IF(OR('Loan Tape'!$AN154=0,'Loan Tape'!$Z154="Interest Only",'Loan Tape'!$Z154=""),0,MIN(MAX(0,C158-C764),IFERROR(MAX(0,MIN(1,'Loan Tape'!$AV154)-MAX(0,'Loan Tape'!$AT154))*IF(C461&lt;=0,C158/MAX(1,'Loan Tape'!$AU154-1+1),C461*C158/(1-(1+C461)^(-MAX(1,'Loan Tape'!$AU154-1+1)))-C461*C158),0)))</f>
        <v>0</v>
      </c>
      <c r="D1067" s="99" t="n">
        <f aca="false">IF(OR('Loan Tape'!$AN154=0,'Loan Tape'!$Z154="Interest Only",'Loan Tape'!$Z154=""),0,MIN(MAX(0,D158-D764),IFERROR(MAX(0,MIN(2,'Loan Tape'!$AV154)-MAX(1,'Loan Tape'!$AT154))*IF(D461&lt;=0,D158/MAX(1,'Loan Tape'!$AU154-2+1),D461*D158/(1-(1+D461)^(-MAX(1,'Loan Tape'!$AU154-2+1)))-D461*D158),0)))</f>
        <v>0</v>
      </c>
      <c r="E1067" s="99" t="n">
        <f aca="false">IF(OR('Loan Tape'!$AN154=0,'Loan Tape'!$Z154="Interest Only",'Loan Tape'!$Z154=""),0,MIN(MAX(0,E158-E764),IFERROR(MAX(0,MIN(3,'Loan Tape'!$AV154)-MAX(2,'Loan Tape'!$AT154))*IF(E461&lt;=0,E158/MAX(1,'Loan Tape'!$AU154-3+1),E461*E158/(1-(1+E461)^(-MAX(1,'Loan Tape'!$AU154-3+1)))-E461*E158),0)))</f>
        <v>0</v>
      </c>
      <c r="F1067" s="99" t="n">
        <f aca="false">IF(OR('Loan Tape'!$AN154=0,'Loan Tape'!$Z154="Interest Only",'Loan Tape'!$Z154=""),0,MIN(MAX(0,F158-F764),IFERROR(MAX(0,MIN(4,'Loan Tape'!$AV154)-MAX(3,'Loan Tape'!$AT154))*IF(F461&lt;=0,F158/MAX(1,'Loan Tape'!$AU154-4+1),F461*F158/(1-(1+F461)^(-MAX(1,'Loan Tape'!$AU154-4+1)))-F461*F158),0)))</f>
        <v>0</v>
      </c>
      <c r="G1067" s="99" t="n">
        <f aca="false">IF(OR('Loan Tape'!$AN154=0,'Loan Tape'!$Z154="Interest Only",'Loan Tape'!$Z154=""),0,MIN(MAX(0,G158-G764),IFERROR(MAX(0,MIN(5,'Loan Tape'!$AV154)-MAX(4,'Loan Tape'!$AT154))*IF(G461&lt;=0,G158/MAX(1,'Loan Tape'!$AU154-5+1),G461*G158/(1-(1+G461)^(-MAX(1,'Loan Tape'!$AU154-5+1)))-G461*G158),0)))</f>
        <v>0</v>
      </c>
      <c r="H1067" s="99" t="n">
        <f aca="false">IF(OR('Loan Tape'!$AN154=0,'Loan Tape'!$Z154="Interest Only",'Loan Tape'!$Z154=""),0,MIN(MAX(0,H158-H764),IFERROR(MAX(0,MIN(6,'Loan Tape'!$AV154)-MAX(5,'Loan Tape'!$AT154))*IF(H461&lt;=0,H158/MAX(1,'Loan Tape'!$AU154-6+1),H461*H158/(1-(1+H461)^(-MAX(1,'Loan Tape'!$AU154-6+1)))-H461*H158),0)))</f>
        <v>0</v>
      </c>
      <c r="I1067" s="99" t="n">
        <f aca="false">IF(OR('Loan Tape'!$AN154=0,'Loan Tape'!$Z154="Interest Only",'Loan Tape'!$Z154=""),0,MIN(MAX(0,I158-I764),IFERROR(MAX(0,MIN(7,'Loan Tape'!$AV154)-MAX(6,'Loan Tape'!$AT154))*IF(I461&lt;=0,I158/MAX(1,'Loan Tape'!$AU154-7+1),I461*I158/(1-(1+I461)^(-MAX(1,'Loan Tape'!$AU154-7+1)))-I461*I158),0)))</f>
        <v>0</v>
      </c>
      <c r="J1067" s="99" t="n">
        <f aca="false">IF(OR('Loan Tape'!$AN154=0,'Loan Tape'!$Z154="Interest Only",'Loan Tape'!$Z154=""),0,MIN(MAX(0,J158-J764),IFERROR(MAX(0,MIN(8,'Loan Tape'!$AV154)-MAX(7,'Loan Tape'!$AT154))*IF(J461&lt;=0,J158/MAX(1,'Loan Tape'!$AU154-8+1),J461*J158/(1-(1+J461)^(-MAX(1,'Loan Tape'!$AU154-8+1)))-J461*J158),0)))</f>
        <v>0</v>
      </c>
      <c r="K1067" s="99" t="n">
        <f aca="false">IF(OR('Loan Tape'!$AN154=0,'Loan Tape'!$Z154="Interest Only",'Loan Tape'!$Z154=""),0,MIN(MAX(0,K158-K764),IFERROR(MAX(0,MIN(9,'Loan Tape'!$AV154)-MAX(8,'Loan Tape'!$AT154))*IF(K461&lt;=0,K158/MAX(1,'Loan Tape'!$AU154-9+1),K461*K158/(1-(1+K461)^(-MAX(1,'Loan Tape'!$AU154-9+1)))-K461*K158),0)))</f>
        <v>0</v>
      </c>
      <c r="L1067" s="99" t="n">
        <f aca="false">IF(OR('Loan Tape'!$AN154=0,'Loan Tape'!$Z154="Interest Only",'Loan Tape'!$Z154=""),0,MIN(MAX(0,L158-L764),IFERROR(MAX(0,MIN(10,'Loan Tape'!$AV154)-MAX(9,'Loan Tape'!$AT154))*IF(L461&lt;=0,L158/MAX(1,'Loan Tape'!$AU154-10+1),L461*L158/(1-(1+L461)^(-MAX(1,'Loan Tape'!$AU154-10+1)))-L461*L158),0)))</f>
        <v>0</v>
      </c>
    </row>
    <row r="1068" customFormat="false" ht="15" hidden="false" customHeight="false" outlineLevel="0" collapsed="false">
      <c r="B1068" s="108" t="n">
        <f aca="false">'Loan Tape'!$A155</f>
        <v>0</v>
      </c>
      <c r="C1068" s="71" t="n">
        <f aca="false">IF(OR('Loan Tape'!$AN155=0,'Loan Tape'!$Z155="Interest Only",'Loan Tape'!$Z155=""),0,MIN(MAX(0,C159-C765),IFERROR(MAX(0,MIN(1,'Loan Tape'!$AV155)-MAX(0,'Loan Tape'!$AT155))*IF(C462&lt;=0,C159/MAX(1,'Loan Tape'!$AU155-1+1),C462*C159/(1-(1+C462)^(-MAX(1,'Loan Tape'!$AU155-1+1)))-C462*C159),0)))</f>
        <v>0</v>
      </c>
      <c r="D1068" s="71" t="n">
        <f aca="false">IF(OR('Loan Tape'!$AN155=0,'Loan Tape'!$Z155="Interest Only",'Loan Tape'!$Z155=""),0,MIN(MAX(0,D159-D765),IFERROR(MAX(0,MIN(2,'Loan Tape'!$AV155)-MAX(1,'Loan Tape'!$AT155))*IF(D462&lt;=0,D159/MAX(1,'Loan Tape'!$AU155-2+1),D462*D159/(1-(1+D462)^(-MAX(1,'Loan Tape'!$AU155-2+1)))-D462*D159),0)))</f>
        <v>0</v>
      </c>
      <c r="E1068" s="71" t="n">
        <f aca="false">IF(OR('Loan Tape'!$AN155=0,'Loan Tape'!$Z155="Interest Only",'Loan Tape'!$Z155=""),0,MIN(MAX(0,E159-E765),IFERROR(MAX(0,MIN(3,'Loan Tape'!$AV155)-MAX(2,'Loan Tape'!$AT155))*IF(E462&lt;=0,E159/MAX(1,'Loan Tape'!$AU155-3+1),E462*E159/(1-(1+E462)^(-MAX(1,'Loan Tape'!$AU155-3+1)))-E462*E159),0)))</f>
        <v>0</v>
      </c>
      <c r="F1068" s="71" t="n">
        <f aca="false">IF(OR('Loan Tape'!$AN155=0,'Loan Tape'!$Z155="Interest Only",'Loan Tape'!$Z155=""),0,MIN(MAX(0,F159-F765),IFERROR(MAX(0,MIN(4,'Loan Tape'!$AV155)-MAX(3,'Loan Tape'!$AT155))*IF(F462&lt;=0,F159/MAX(1,'Loan Tape'!$AU155-4+1),F462*F159/(1-(1+F462)^(-MAX(1,'Loan Tape'!$AU155-4+1)))-F462*F159),0)))</f>
        <v>0</v>
      </c>
      <c r="G1068" s="71" t="n">
        <f aca="false">IF(OR('Loan Tape'!$AN155=0,'Loan Tape'!$Z155="Interest Only",'Loan Tape'!$Z155=""),0,MIN(MAX(0,G159-G765),IFERROR(MAX(0,MIN(5,'Loan Tape'!$AV155)-MAX(4,'Loan Tape'!$AT155))*IF(G462&lt;=0,G159/MAX(1,'Loan Tape'!$AU155-5+1),G462*G159/(1-(1+G462)^(-MAX(1,'Loan Tape'!$AU155-5+1)))-G462*G159),0)))</f>
        <v>0</v>
      </c>
      <c r="H1068" s="71" t="n">
        <f aca="false">IF(OR('Loan Tape'!$AN155=0,'Loan Tape'!$Z155="Interest Only",'Loan Tape'!$Z155=""),0,MIN(MAX(0,H159-H765),IFERROR(MAX(0,MIN(6,'Loan Tape'!$AV155)-MAX(5,'Loan Tape'!$AT155))*IF(H462&lt;=0,H159/MAX(1,'Loan Tape'!$AU155-6+1),H462*H159/(1-(1+H462)^(-MAX(1,'Loan Tape'!$AU155-6+1)))-H462*H159),0)))</f>
        <v>0</v>
      </c>
      <c r="I1068" s="71" t="n">
        <f aca="false">IF(OR('Loan Tape'!$AN155=0,'Loan Tape'!$Z155="Interest Only",'Loan Tape'!$Z155=""),0,MIN(MAX(0,I159-I765),IFERROR(MAX(0,MIN(7,'Loan Tape'!$AV155)-MAX(6,'Loan Tape'!$AT155))*IF(I462&lt;=0,I159/MAX(1,'Loan Tape'!$AU155-7+1),I462*I159/(1-(1+I462)^(-MAX(1,'Loan Tape'!$AU155-7+1)))-I462*I159),0)))</f>
        <v>0</v>
      </c>
      <c r="J1068" s="71" t="n">
        <f aca="false">IF(OR('Loan Tape'!$AN155=0,'Loan Tape'!$Z155="Interest Only",'Loan Tape'!$Z155=""),0,MIN(MAX(0,J159-J765),IFERROR(MAX(0,MIN(8,'Loan Tape'!$AV155)-MAX(7,'Loan Tape'!$AT155))*IF(J462&lt;=0,J159/MAX(1,'Loan Tape'!$AU155-8+1),J462*J159/(1-(1+J462)^(-MAX(1,'Loan Tape'!$AU155-8+1)))-J462*J159),0)))</f>
        <v>0</v>
      </c>
      <c r="K1068" s="71" t="n">
        <f aca="false">IF(OR('Loan Tape'!$AN155=0,'Loan Tape'!$Z155="Interest Only",'Loan Tape'!$Z155=""),0,MIN(MAX(0,K159-K765),IFERROR(MAX(0,MIN(9,'Loan Tape'!$AV155)-MAX(8,'Loan Tape'!$AT155))*IF(K462&lt;=0,K159/MAX(1,'Loan Tape'!$AU155-9+1),K462*K159/(1-(1+K462)^(-MAX(1,'Loan Tape'!$AU155-9+1)))-K462*K159),0)))</f>
        <v>0</v>
      </c>
      <c r="L1068" s="71" t="n">
        <f aca="false">IF(OR('Loan Tape'!$AN155=0,'Loan Tape'!$Z155="Interest Only",'Loan Tape'!$Z155=""),0,MIN(MAX(0,L159-L765),IFERROR(MAX(0,MIN(10,'Loan Tape'!$AV155)-MAX(9,'Loan Tape'!$AT155))*IF(L462&lt;=0,L159/MAX(1,'Loan Tape'!$AU155-10+1),L462*L159/(1-(1+L462)^(-MAX(1,'Loan Tape'!$AU155-10+1)))-L462*L159),0)))</f>
        <v>0</v>
      </c>
    </row>
    <row r="1069" customFormat="false" ht="15" hidden="false" customHeight="false" outlineLevel="0" collapsed="false">
      <c r="B1069" s="102" t="n">
        <f aca="false">'Loan Tape'!$A156</f>
        <v>0</v>
      </c>
      <c r="C1069" s="99" t="n">
        <f aca="false">IF(OR('Loan Tape'!$AN156=0,'Loan Tape'!$Z156="Interest Only",'Loan Tape'!$Z156=""),0,MIN(MAX(0,C160-C766),IFERROR(MAX(0,MIN(1,'Loan Tape'!$AV156)-MAX(0,'Loan Tape'!$AT156))*IF(C463&lt;=0,C160/MAX(1,'Loan Tape'!$AU156-1+1),C463*C160/(1-(1+C463)^(-MAX(1,'Loan Tape'!$AU156-1+1)))-C463*C160),0)))</f>
        <v>0</v>
      </c>
      <c r="D1069" s="99" t="n">
        <f aca="false">IF(OR('Loan Tape'!$AN156=0,'Loan Tape'!$Z156="Interest Only",'Loan Tape'!$Z156=""),0,MIN(MAX(0,D160-D766),IFERROR(MAX(0,MIN(2,'Loan Tape'!$AV156)-MAX(1,'Loan Tape'!$AT156))*IF(D463&lt;=0,D160/MAX(1,'Loan Tape'!$AU156-2+1),D463*D160/(1-(1+D463)^(-MAX(1,'Loan Tape'!$AU156-2+1)))-D463*D160),0)))</f>
        <v>0</v>
      </c>
      <c r="E1069" s="99" t="n">
        <f aca="false">IF(OR('Loan Tape'!$AN156=0,'Loan Tape'!$Z156="Interest Only",'Loan Tape'!$Z156=""),0,MIN(MAX(0,E160-E766),IFERROR(MAX(0,MIN(3,'Loan Tape'!$AV156)-MAX(2,'Loan Tape'!$AT156))*IF(E463&lt;=0,E160/MAX(1,'Loan Tape'!$AU156-3+1),E463*E160/(1-(1+E463)^(-MAX(1,'Loan Tape'!$AU156-3+1)))-E463*E160),0)))</f>
        <v>0</v>
      </c>
      <c r="F1069" s="99" t="n">
        <f aca="false">IF(OR('Loan Tape'!$AN156=0,'Loan Tape'!$Z156="Interest Only",'Loan Tape'!$Z156=""),0,MIN(MAX(0,F160-F766),IFERROR(MAX(0,MIN(4,'Loan Tape'!$AV156)-MAX(3,'Loan Tape'!$AT156))*IF(F463&lt;=0,F160/MAX(1,'Loan Tape'!$AU156-4+1),F463*F160/(1-(1+F463)^(-MAX(1,'Loan Tape'!$AU156-4+1)))-F463*F160),0)))</f>
        <v>0</v>
      </c>
      <c r="G1069" s="99" t="n">
        <f aca="false">IF(OR('Loan Tape'!$AN156=0,'Loan Tape'!$Z156="Interest Only",'Loan Tape'!$Z156=""),0,MIN(MAX(0,G160-G766),IFERROR(MAX(0,MIN(5,'Loan Tape'!$AV156)-MAX(4,'Loan Tape'!$AT156))*IF(G463&lt;=0,G160/MAX(1,'Loan Tape'!$AU156-5+1),G463*G160/(1-(1+G463)^(-MAX(1,'Loan Tape'!$AU156-5+1)))-G463*G160),0)))</f>
        <v>0</v>
      </c>
      <c r="H1069" s="99" t="n">
        <f aca="false">IF(OR('Loan Tape'!$AN156=0,'Loan Tape'!$Z156="Interest Only",'Loan Tape'!$Z156=""),0,MIN(MAX(0,H160-H766),IFERROR(MAX(0,MIN(6,'Loan Tape'!$AV156)-MAX(5,'Loan Tape'!$AT156))*IF(H463&lt;=0,H160/MAX(1,'Loan Tape'!$AU156-6+1),H463*H160/(1-(1+H463)^(-MAX(1,'Loan Tape'!$AU156-6+1)))-H463*H160),0)))</f>
        <v>0</v>
      </c>
      <c r="I1069" s="99" t="n">
        <f aca="false">IF(OR('Loan Tape'!$AN156=0,'Loan Tape'!$Z156="Interest Only",'Loan Tape'!$Z156=""),0,MIN(MAX(0,I160-I766),IFERROR(MAX(0,MIN(7,'Loan Tape'!$AV156)-MAX(6,'Loan Tape'!$AT156))*IF(I463&lt;=0,I160/MAX(1,'Loan Tape'!$AU156-7+1),I463*I160/(1-(1+I463)^(-MAX(1,'Loan Tape'!$AU156-7+1)))-I463*I160),0)))</f>
        <v>0</v>
      </c>
      <c r="J1069" s="99" t="n">
        <f aca="false">IF(OR('Loan Tape'!$AN156=0,'Loan Tape'!$Z156="Interest Only",'Loan Tape'!$Z156=""),0,MIN(MAX(0,J160-J766),IFERROR(MAX(0,MIN(8,'Loan Tape'!$AV156)-MAX(7,'Loan Tape'!$AT156))*IF(J463&lt;=0,J160/MAX(1,'Loan Tape'!$AU156-8+1),J463*J160/(1-(1+J463)^(-MAX(1,'Loan Tape'!$AU156-8+1)))-J463*J160),0)))</f>
        <v>0</v>
      </c>
      <c r="K1069" s="99" t="n">
        <f aca="false">IF(OR('Loan Tape'!$AN156=0,'Loan Tape'!$Z156="Interest Only",'Loan Tape'!$Z156=""),0,MIN(MAX(0,K160-K766),IFERROR(MAX(0,MIN(9,'Loan Tape'!$AV156)-MAX(8,'Loan Tape'!$AT156))*IF(K463&lt;=0,K160/MAX(1,'Loan Tape'!$AU156-9+1),K463*K160/(1-(1+K463)^(-MAX(1,'Loan Tape'!$AU156-9+1)))-K463*K160),0)))</f>
        <v>0</v>
      </c>
      <c r="L1069" s="99" t="n">
        <f aca="false">IF(OR('Loan Tape'!$AN156=0,'Loan Tape'!$Z156="Interest Only",'Loan Tape'!$Z156=""),0,MIN(MAX(0,L160-L766),IFERROR(MAX(0,MIN(10,'Loan Tape'!$AV156)-MAX(9,'Loan Tape'!$AT156))*IF(L463&lt;=0,L160/MAX(1,'Loan Tape'!$AU156-10+1),L463*L160/(1-(1+L463)^(-MAX(1,'Loan Tape'!$AU156-10+1)))-L463*L160),0)))</f>
        <v>0</v>
      </c>
    </row>
    <row r="1070" customFormat="false" ht="15" hidden="false" customHeight="false" outlineLevel="0" collapsed="false">
      <c r="B1070" s="108" t="n">
        <f aca="false">'Loan Tape'!$A157</f>
        <v>0</v>
      </c>
      <c r="C1070" s="71" t="n">
        <f aca="false">IF(OR('Loan Tape'!$AN157=0,'Loan Tape'!$Z157="Interest Only",'Loan Tape'!$Z157=""),0,MIN(MAX(0,C161-C767),IFERROR(MAX(0,MIN(1,'Loan Tape'!$AV157)-MAX(0,'Loan Tape'!$AT157))*IF(C464&lt;=0,C161/MAX(1,'Loan Tape'!$AU157-1+1),C464*C161/(1-(1+C464)^(-MAX(1,'Loan Tape'!$AU157-1+1)))-C464*C161),0)))</f>
        <v>0</v>
      </c>
      <c r="D1070" s="71" t="n">
        <f aca="false">IF(OR('Loan Tape'!$AN157=0,'Loan Tape'!$Z157="Interest Only",'Loan Tape'!$Z157=""),0,MIN(MAX(0,D161-D767),IFERROR(MAX(0,MIN(2,'Loan Tape'!$AV157)-MAX(1,'Loan Tape'!$AT157))*IF(D464&lt;=0,D161/MAX(1,'Loan Tape'!$AU157-2+1),D464*D161/(1-(1+D464)^(-MAX(1,'Loan Tape'!$AU157-2+1)))-D464*D161),0)))</f>
        <v>0</v>
      </c>
      <c r="E1070" s="71" t="n">
        <f aca="false">IF(OR('Loan Tape'!$AN157=0,'Loan Tape'!$Z157="Interest Only",'Loan Tape'!$Z157=""),0,MIN(MAX(0,E161-E767),IFERROR(MAX(0,MIN(3,'Loan Tape'!$AV157)-MAX(2,'Loan Tape'!$AT157))*IF(E464&lt;=0,E161/MAX(1,'Loan Tape'!$AU157-3+1),E464*E161/(1-(1+E464)^(-MAX(1,'Loan Tape'!$AU157-3+1)))-E464*E161),0)))</f>
        <v>0</v>
      </c>
      <c r="F1070" s="71" t="n">
        <f aca="false">IF(OR('Loan Tape'!$AN157=0,'Loan Tape'!$Z157="Interest Only",'Loan Tape'!$Z157=""),0,MIN(MAX(0,F161-F767),IFERROR(MAX(0,MIN(4,'Loan Tape'!$AV157)-MAX(3,'Loan Tape'!$AT157))*IF(F464&lt;=0,F161/MAX(1,'Loan Tape'!$AU157-4+1),F464*F161/(1-(1+F464)^(-MAX(1,'Loan Tape'!$AU157-4+1)))-F464*F161),0)))</f>
        <v>0</v>
      </c>
      <c r="G1070" s="71" t="n">
        <f aca="false">IF(OR('Loan Tape'!$AN157=0,'Loan Tape'!$Z157="Interest Only",'Loan Tape'!$Z157=""),0,MIN(MAX(0,G161-G767),IFERROR(MAX(0,MIN(5,'Loan Tape'!$AV157)-MAX(4,'Loan Tape'!$AT157))*IF(G464&lt;=0,G161/MAX(1,'Loan Tape'!$AU157-5+1),G464*G161/(1-(1+G464)^(-MAX(1,'Loan Tape'!$AU157-5+1)))-G464*G161),0)))</f>
        <v>0</v>
      </c>
      <c r="H1070" s="71" t="n">
        <f aca="false">IF(OR('Loan Tape'!$AN157=0,'Loan Tape'!$Z157="Interest Only",'Loan Tape'!$Z157=""),0,MIN(MAX(0,H161-H767),IFERROR(MAX(0,MIN(6,'Loan Tape'!$AV157)-MAX(5,'Loan Tape'!$AT157))*IF(H464&lt;=0,H161/MAX(1,'Loan Tape'!$AU157-6+1),H464*H161/(1-(1+H464)^(-MAX(1,'Loan Tape'!$AU157-6+1)))-H464*H161),0)))</f>
        <v>0</v>
      </c>
      <c r="I1070" s="71" t="n">
        <f aca="false">IF(OR('Loan Tape'!$AN157=0,'Loan Tape'!$Z157="Interest Only",'Loan Tape'!$Z157=""),0,MIN(MAX(0,I161-I767),IFERROR(MAX(0,MIN(7,'Loan Tape'!$AV157)-MAX(6,'Loan Tape'!$AT157))*IF(I464&lt;=0,I161/MAX(1,'Loan Tape'!$AU157-7+1),I464*I161/(1-(1+I464)^(-MAX(1,'Loan Tape'!$AU157-7+1)))-I464*I161),0)))</f>
        <v>0</v>
      </c>
      <c r="J1070" s="71" t="n">
        <f aca="false">IF(OR('Loan Tape'!$AN157=0,'Loan Tape'!$Z157="Interest Only",'Loan Tape'!$Z157=""),0,MIN(MAX(0,J161-J767),IFERROR(MAX(0,MIN(8,'Loan Tape'!$AV157)-MAX(7,'Loan Tape'!$AT157))*IF(J464&lt;=0,J161/MAX(1,'Loan Tape'!$AU157-8+1),J464*J161/(1-(1+J464)^(-MAX(1,'Loan Tape'!$AU157-8+1)))-J464*J161),0)))</f>
        <v>0</v>
      </c>
      <c r="K1070" s="71" t="n">
        <f aca="false">IF(OR('Loan Tape'!$AN157=0,'Loan Tape'!$Z157="Interest Only",'Loan Tape'!$Z157=""),0,MIN(MAX(0,K161-K767),IFERROR(MAX(0,MIN(9,'Loan Tape'!$AV157)-MAX(8,'Loan Tape'!$AT157))*IF(K464&lt;=0,K161/MAX(1,'Loan Tape'!$AU157-9+1),K464*K161/(1-(1+K464)^(-MAX(1,'Loan Tape'!$AU157-9+1)))-K464*K161),0)))</f>
        <v>0</v>
      </c>
      <c r="L1070" s="71" t="n">
        <f aca="false">IF(OR('Loan Tape'!$AN157=0,'Loan Tape'!$Z157="Interest Only",'Loan Tape'!$Z157=""),0,MIN(MAX(0,L161-L767),IFERROR(MAX(0,MIN(10,'Loan Tape'!$AV157)-MAX(9,'Loan Tape'!$AT157))*IF(L464&lt;=0,L161/MAX(1,'Loan Tape'!$AU157-10+1),L464*L161/(1-(1+L464)^(-MAX(1,'Loan Tape'!$AU157-10+1)))-L464*L161),0)))</f>
        <v>0</v>
      </c>
    </row>
    <row r="1071" customFormat="false" ht="15" hidden="false" customHeight="false" outlineLevel="0" collapsed="false">
      <c r="B1071" s="102" t="n">
        <f aca="false">'Loan Tape'!$A158</f>
        <v>0</v>
      </c>
      <c r="C1071" s="99" t="n">
        <f aca="false">IF(OR('Loan Tape'!$AN158=0,'Loan Tape'!$Z158="Interest Only",'Loan Tape'!$Z158=""),0,MIN(MAX(0,C162-C768),IFERROR(MAX(0,MIN(1,'Loan Tape'!$AV158)-MAX(0,'Loan Tape'!$AT158))*IF(C465&lt;=0,C162/MAX(1,'Loan Tape'!$AU158-1+1),C465*C162/(1-(1+C465)^(-MAX(1,'Loan Tape'!$AU158-1+1)))-C465*C162),0)))</f>
        <v>0</v>
      </c>
      <c r="D1071" s="99" t="n">
        <f aca="false">IF(OR('Loan Tape'!$AN158=0,'Loan Tape'!$Z158="Interest Only",'Loan Tape'!$Z158=""),0,MIN(MAX(0,D162-D768),IFERROR(MAX(0,MIN(2,'Loan Tape'!$AV158)-MAX(1,'Loan Tape'!$AT158))*IF(D465&lt;=0,D162/MAX(1,'Loan Tape'!$AU158-2+1),D465*D162/(1-(1+D465)^(-MAX(1,'Loan Tape'!$AU158-2+1)))-D465*D162),0)))</f>
        <v>0</v>
      </c>
      <c r="E1071" s="99" t="n">
        <f aca="false">IF(OR('Loan Tape'!$AN158=0,'Loan Tape'!$Z158="Interest Only",'Loan Tape'!$Z158=""),0,MIN(MAX(0,E162-E768),IFERROR(MAX(0,MIN(3,'Loan Tape'!$AV158)-MAX(2,'Loan Tape'!$AT158))*IF(E465&lt;=0,E162/MAX(1,'Loan Tape'!$AU158-3+1),E465*E162/(1-(1+E465)^(-MAX(1,'Loan Tape'!$AU158-3+1)))-E465*E162),0)))</f>
        <v>0</v>
      </c>
      <c r="F1071" s="99" t="n">
        <f aca="false">IF(OR('Loan Tape'!$AN158=0,'Loan Tape'!$Z158="Interest Only",'Loan Tape'!$Z158=""),0,MIN(MAX(0,F162-F768),IFERROR(MAX(0,MIN(4,'Loan Tape'!$AV158)-MAX(3,'Loan Tape'!$AT158))*IF(F465&lt;=0,F162/MAX(1,'Loan Tape'!$AU158-4+1),F465*F162/(1-(1+F465)^(-MAX(1,'Loan Tape'!$AU158-4+1)))-F465*F162),0)))</f>
        <v>0</v>
      </c>
      <c r="G1071" s="99" t="n">
        <f aca="false">IF(OR('Loan Tape'!$AN158=0,'Loan Tape'!$Z158="Interest Only",'Loan Tape'!$Z158=""),0,MIN(MAX(0,G162-G768),IFERROR(MAX(0,MIN(5,'Loan Tape'!$AV158)-MAX(4,'Loan Tape'!$AT158))*IF(G465&lt;=0,G162/MAX(1,'Loan Tape'!$AU158-5+1),G465*G162/(1-(1+G465)^(-MAX(1,'Loan Tape'!$AU158-5+1)))-G465*G162),0)))</f>
        <v>0</v>
      </c>
      <c r="H1071" s="99" t="n">
        <f aca="false">IF(OR('Loan Tape'!$AN158=0,'Loan Tape'!$Z158="Interest Only",'Loan Tape'!$Z158=""),0,MIN(MAX(0,H162-H768),IFERROR(MAX(0,MIN(6,'Loan Tape'!$AV158)-MAX(5,'Loan Tape'!$AT158))*IF(H465&lt;=0,H162/MAX(1,'Loan Tape'!$AU158-6+1),H465*H162/(1-(1+H465)^(-MAX(1,'Loan Tape'!$AU158-6+1)))-H465*H162),0)))</f>
        <v>0</v>
      </c>
      <c r="I1071" s="99" t="n">
        <f aca="false">IF(OR('Loan Tape'!$AN158=0,'Loan Tape'!$Z158="Interest Only",'Loan Tape'!$Z158=""),0,MIN(MAX(0,I162-I768),IFERROR(MAX(0,MIN(7,'Loan Tape'!$AV158)-MAX(6,'Loan Tape'!$AT158))*IF(I465&lt;=0,I162/MAX(1,'Loan Tape'!$AU158-7+1),I465*I162/(1-(1+I465)^(-MAX(1,'Loan Tape'!$AU158-7+1)))-I465*I162),0)))</f>
        <v>0</v>
      </c>
      <c r="J1071" s="99" t="n">
        <f aca="false">IF(OR('Loan Tape'!$AN158=0,'Loan Tape'!$Z158="Interest Only",'Loan Tape'!$Z158=""),0,MIN(MAX(0,J162-J768),IFERROR(MAX(0,MIN(8,'Loan Tape'!$AV158)-MAX(7,'Loan Tape'!$AT158))*IF(J465&lt;=0,J162/MAX(1,'Loan Tape'!$AU158-8+1),J465*J162/(1-(1+J465)^(-MAX(1,'Loan Tape'!$AU158-8+1)))-J465*J162),0)))</f>
        <v>0</v>
      </c>
      <c r="K1071" s="99" t="n">
        <f aca="false">IF(OR('Loan Tape'!$AN158=0,'Loan Tape'!$Z158="Interest Only",'Loan Tape'!$Z158=""),0,MIN(MAX(0,K162-K768),IFERROR(MAX(0,MIN(9,'Loan Tape'!$AV158)-MAX(8,'Loan Tape'!$AT158))*IF(K465&lt;=0,K162/MAX(1,'Loan Tape'!$AU158-9+1),K465*K162/(1-(1+K465)^(-MAX(1,'Loan Tape'!$AU158-9+1)))-K465*K162),0)))</f>
        <v>0</v>
      </c>
      <c r="L1071" s="99" t="n">
        <f aca="false">IF(OR('Loan Tape'!$AN158=0,'Loan Tape'!$Z158="Interest Only",'Loan Tape'!$Z158=""),0,MIN(MAX(0,L162-L768),IFERROR(MAX(0,MIN(10,'Loan Tape'!$AV158)-MAX(9,'Loan Tape'!$AT158))*IF(L465&lt;=0,L162/MAX(1,'Loan Tape'!$AU158-10+1),L465*L162/(1-(1+L465)^(-MAX(1,'Loan Tape'!$AU158-10+1)))-L465*L162),0)))</f>
        <v>0</v>
      </c>
    </row>
    <row r="1072" customFormat="false" ht="15" hidden="false" customHeight="false" outlineLevel="0" collapsed="false">
      <c r="B1072" s="108" t="n">
        <f aca="false">'Loan Tape'!$A159</f>
        <v>0</v>
      </c>
      <c r="C1072" s="71" t="n">
        <f aca="false">IF(OR('Loan Tape'!$AN159=0,'Loan Tape'!$Z159="Interest Only",'Loan Tape'!$Z159=""),0,MIN(MAX(0,C163-C769),IFERROR(MAX(0,MIN(1,'Loan Tape'!$AV159)-MAX(0,'Loan Tape'!$AT159))*IF(C466&lt;=0,C163/MAX(1,'Loan Tape'!$AU159-1+1),C466*C163/(1-(1+C466)^(-MAX(1,'Loan Tape'!$AU159-1+1)))-C466*C163),0)))</f>
        <v>0</v>
      </c>
      <c r="D1072" s="71" t="n">
        <f aca="false">IF(OR('Loan Tape'!$AN159=0,'Loan Tape'!$Z159="Interest Only",'Loan Tape'!$Z159=""),0,MIN(MAX(0,D163-D769),IFERROR(MAX(0,MIN(2,'Loan Tape'!$AV159)-MAX(1,'Loan Tape'!$AT159))*IF(D466&lt;=0,D163/MAX(1,'Loan Tape'!$AU159-2+1),D466*D163/(1-(1+D466)^(-MAX(1,'Loan Tape'!$AU159-2+1)))-D466*D163),0)))</f>
        <v>0</v>
      </c>
      <c r="E1072" s="71" t="n">
        <f aca="false">IF(OR('Loan Tape'!$AN159=0,'Loan Tape'!$Z159="Interest Only",'Loan Tape'!$Z159=""),0,MIN(MAX(0,E163-E769),IFERROR(MAX(0,MIN(3,'Loan Tape'!$AV159)-MAX(2,'Loan Tape'!$AT159))*IF(E466&lt;=0,E163/MAX(1,'Loan Tape'!$AU159-3+1),E466*E163/(1-(1+E466)^(-MAX(1,'Loan Tape'!$AU159-3+1)))-E466*E163),0)))</f>
        <v>0</v>
      </c>
      <c r="F1072" s="71" t="n">
        <f aca="false">IF(OR('Loan Tape'!$AN159=0,'Loan Tape'!$Z159="Interest Only",'Loan Tape'!$Z159=""),0,MIN(MAX(0,F163-F769),IFERROR(MAX(0,MIN(4,'Loan Tape'!$AV159)-MAX(3,'Loan Tape'!$AT159))*IF(F466&lt;=0,F163/MAX(1,'Loan Tape'!$AU159-4+1),F466*F163/(1-(1+F466)^(-MAX(1,'Loan Tape'!$AU159-4+1)))-F466*F163),0)))</f>
        <v>0</v>
      </c>
      <c r="G1072" s="71" t="n">
        <f aca="false">IF(OR('Loan Tape'!$AN159=0,'Loan Tape'!$Z159="Interest Only",'Loan Tape'!$Z159=""),0,MIN(MAX(0,G163-G769),IFERROR(MAX(0,MIN(5,'Loan Tape'!$AV159)-MAX(4,'Loan Tape'!$AT159))*IF(G466&lt;=0,G163/MAX(1,'Loan Tape'!$AU159-5+1),G466*G163/(1-(1+G466)^(-MAX(1,'Loan Tape'!$AU159-5+1)))-G466*G163),0)))</f>
        <v>0</v>
      </c>
      <c r="H1072" s="71" t="n">
        <f aca="false">IF(OR('Loan Tape'!$AN159=0,'Loan Tape'!$Z159="Interest Only",'Loan Tape'!$Z159=""),0,MIN(MAX(0,H163-H769),IFERROR(MAX(0,MIN(6,'Loan Tape'!$AV159)-MAX(5,'Loan Tape'!$AT159))*IF(H466&lt;=0,H163/MAX(1,'Loan Tape'!$AU159-6+1),H466*H163/(1-(1+H466)^(-MAX(1,'Loan Tape'!$AU159-6+1)))-H466*H163),0)))</f>
        <v>0</v>
      </c>
      <c r="I1072" s="71" t="n">
        <f aca="false">IF(OR('Loan Tape'!$AN159=0,'Loan Tape'!$Z159="Interest Only",'Loan Tape'!$Z159=""),0,MIN(MAX(0,I163-I769),IFERROR(MAX(0,MIN(7,'Loan Tape'!$AV159)-MAX(6,'Loan Tape'!$AT159))*IF(I466&lt;=0,I163/MAX(1,'Loan Tape'!$AU159-7+1),I466*I163/(1-(1+I466)^(-MAX(1,'Loan Tape'!$AU159-7+1)))-I466*I163),0)))</f>
        <v>0</v>
      </c>
      <c r="J1072" s="71" t="n">
        <f aca="false">IF(OR('Loan Tape'!$AN159=0,'Loan Tape'!$Z159="Interest Only",'Loan Tape'!$Z159=""),0,MIN(MAX(0,J163-J769),IFERROR(MAX(0,MIN(8,'Loan Tape'!$AV159)-MAX(7,'Loan Tape'!$AT159))*IF(J466&lt;=0,J163/MAX(1,'Loan Tape'!$AU159-8+1),J466*J163/(1-(1+J466)^(-MAX(1,'Loan Tape'!$AU159-8+1)))-J466*J163),0)))</f>
        <v>0</v>
      </c>
      <c r="K1072" s="71" t="n">
        <f aca="false">IF(OR('Loan Tape'!$AN159=0,'Loan Tape'!$Z159="Interest Only",'Loan Tape'!$Z159=""),0,MIN(MAX(0,K163-K769),IFERROR(MAX(0,MIN(9,'Loan Tape'!$AV159)-MAX(8,'Loan Tape'!$AT159))*IF(K466&lt;=0,K163/MAX(1,'Loan Tape'!$AU159-9+1),K466*K163/(1-(1+K466)^(-MAX(1,'Loan Tape'!$AU159-9+1)))-K466*K163),0)))</f>
        <v>0</v>
      </c>
      <c r="L1072" s="71" t="n">
        <f aca="false">IF(OR('Loan Tape'!$AN159=0,'Loan Tape'!$Z159="Interest Only",'Loan Tape'!$Z159=""),0,MIN(MAX(0,L163-L769),IFERROR(MAX(0,MIN(10,'Loan Tape'!$AV159)-MAX(9,'Loan Tape'!$AT159))*IF(L466&lt;=0,L163/MAX(1,'Loan Tape'!$AU159-10+1),L466*L163/(1-(1+L466)^(-MAX(1,'Loan Tape'!$AU159-10+1)))-L466*L163),0)))</f>
        <v>0</v>
      </c>
    </row>
    <row r="1073" customFormat="false" ht="15" hidden="false" customHeight="false" outlineLevel="0" collapsed="false">
      <c r="B1073" s="102" t="n">
        <f aca="false">'Loan Tape'!$A160</f>
        <v>0</v>
      </c>
      <c r="C1073" s="99" t="n">
        <f aca="false">IF(OR('Loan Tape'!$AN160=0,'Loan Tape'!$Z160="Interest Only",'Loan Tape'!$Z160=""),0,MIN(MAX(0,C164-C770),IFERROR(MAX(0,MIN(1,'Loan Tape'!$AV160)-MAX(0,'Loan Tape'!$AT160))*IF(C467&lt;=0,C164/MAX(1,'Loan Tape'!$AU160-1+1),C467*C164/(1-(1+C467)^(-MAX(1,'Loan Tape'!$AU160-1+1)))-C467*C164),0)))</f>
        <v>0</v>
      </c>
      <c r="D1073" s="99" t="n">
        <f aca="false">IF(OR('Loan Tape'!$AN160=0,'Loan Tape'!$Z160="Interest Only",'Loan Tape'!$Z160=""),0,MIN(MAX(0,D164-D770),IFERROR(MAX(0,MIN(2,'Loan Tape'!$AV160)-MAX(1,'Loan Tape'!$AT160))*IF(D467&lt;=0,D164/MAX(1,'Loan Tape'!$AU160-2+1),D467*D164/(1-(1+D467)^(-MAX(1,'Loan Tape'!$AU160-2+1)))-D467*D164),0)))</f>
        <v>0</v>
      </c>
      <c r="E1073" s="99" t="n">
        <f aca="false">IF(OR('Loan Tape'!$AN160=0,'Loan Tape'!$Z160="Interest Only",'Loan Tape'!$Z160=""),0,MIN(MAX(0,E164-E770),IFERROR(MAX(0,MIN(3,'Loan Tape'!$AV160)-MAX(2,'Loan Tape'!$AT160))*IF(E467&lt;=0,E164/MAX(1,'Loan Tape'!$AU160-3+1),E467*E164/(1-(1+E467)^(-MAX(1,'Loan Tape'!$AU160-3+1)))-E467*E164),0)))</f>
        <v>0</v>
      </c>
      <c r="F1073" s="99" t="n">
        <f aca="false">IF(OR('Loan Tape'!$AN160=0,'Loan Tape'!$Z160="Interest Only",'Loan Tape'!$Z160=""),0,MIN(MAX(0,F164-F770),IFERROR(MAX(0,MIN(4,'Loan Tape'!$AV160)-MAX(3,'Loan Tape'!$AT160))*IF(F467&lt;=0,F164/MAX(1,'Loan Tape'!$AU160-4+1),F467*F164/(1-(1+F467)^(-MAX(1,'Loan Tape'!$AU160-4+1)))-F467*F164),0)))</f>
        <v>0</v>
      </c>
      <c r="G1073" s="99" t="n">
        <f aca="false">IF(OR('Loan Tape'!$AN160=0,'Loan Tape'!$Z160="Interest Only",'Loan Tape'!$Z160=""),0,MIN(MAX(0,G164-G770),IFERROR(MAX(0,MIN(5,'Loan Tape'!$AV160)-MAX(4,'Loan Tape'!$AT160))*IF(G467&lt;=0,G164/MAX(1,'Loan Tape'!$AU160-5+1),G467*G164/(1-(1+G467)^(-MAX(1,'Loan Tape'!$AU160-5+1)))-G467*G164),0)))</f>
        <v>0</v>
      </c>
      <c r="H1073" s="99" t="n">
        <f aca="false">IF(OR('Loan Tape'!$AN160=0,'Loan Tape'!$Z160="Interest Only",'Loan Tape'!$Z160=""),0,MIN(MAX(0,H164-H770),IFERROR(MAX(0,MIN(6,'Loan Tape'!$AV160)-MAX(5,'Loan Tape'!$AT160))*IF(H467&lt;=0,H164/MAX(1,'Loan Tape'!$AU160-6+1),H467*H164/(1-(1+H467)^(-MAX(1,'Loan Tape'!$AU160-6+1)))-H467*H164),0)))</f>
        <v>0</v>
      </c>
      <c r="I1073" s="99" t="n">
        <f aca="false">IF(OR('Loan Tape'!$AN160=0,'Loan Tape'!$Z160="Interest Only",'Loan Tape'!$Z160=""),0,MIN(MAX(0,I164-I770),IFERROR(MAX(0,MIN(7,'Loan Tape'!$AV160)-MAX(6,'Loan Tape'!$AT160))*IF(I467&lt;=0,I164/MAX(1,'Loan Tape'!$AU160-7+1),I467*I164/(1-(1+I467)^(-MAX(1,'Loan Tape'!$AU160-7+1)))-I467*I164),0)))</f>
        <v>0</v>
      </c>
      <c r="J1073" s="99" t="n">
        <f aca="false">IF(OR('Loan Tape'!$AN160=0,'Loan Tape'!$Z160="Interest Only",'Loan Tape'!$Z160=""),0,MIN(MAX(0,J164-J770),IFERROR(MAX(0,MIN(8,'Loan Tape'!$AV160)-MAX(7,'Loan Tape'!$AT160))*IF(J467&lt;=0,J164/MAX(1,'Loan Tape'!$AU160-8+1),J467*J164/(1-(1+J467)^(-MAX(1,'Loan Tape'!$AU160-8+1)))-J467*J164),0)))</f>
        <v>0</v>
      </c>
      <c r="K1073" s="99" t="n">
        <f aca="false">IF(OR('Loan Tape'!$AN160=0,'Loan Tape'!$Z160="Interest Only",'Loan Tape'!$Z160=""),0,MIN(MAX(0,K164-K770),IFERROR(MAX(0,MIN(9,'Loan Tape'!$AV160)-MAX(8,'Loan Tape'!$AT160))*IF(K467&lt;=0,K164/MAX(1,'Loan Tape'!$AU160-9+1),K467*K164/(1-(1+K467)^(-MAX(1,'Loan Tape'!$AU160-9+1)))-K467*K164),0)))</f>
        <v>0</v>
      </c>
      <c r="L1073" s="99" t="n">
        <f aca="false">IF(OR('Loan Tape'!$AN160=0,'Loan Tape'!$Z160="Interest Only",'Loan Tape'!$Z160=""),0,MIN(MAX(0,L164-L770),IFERROR(MAX(0,MIN(10,'Loan Tape'!$AV160)-MAX(9,'Loan Tape'!$AT160))*IF(L467&lt;=0,L164/MAX(1,'Loan Tape'!$AU160-10+1),L467*L164/(1-(1+L467)^(-MAX(1,'Loan Tape'!$AU160-10+1)))-L467*L164),0)))</f>
        <v>0</v>
      </c>
    </row>
    <row r="1074" customFormat="false" ht="15" hidden="false" customHeight="false" outlineLevel="0" collapsed="false">
      <c r="B1074" s="108" t="n">
        <f aca="false">'Loan Tape'!$A161</f>
        <v>0</v>
      </c>
      <c r="C1074" s="71" t="n">
        <f aca="false">IF(OR('Loan Tape'!$AN161=0,'Loan Tape'!$Z161="Interest Only",'Loan Tape'!$Z161=""),0,MIN(MAX(0,C165-C771),IFERROR(MAX(0,MIN(1,'Loan Tape'!$AV161)-MAX(0,'Loan Tape'!$AT161))*IF(C468&lt;=0,C165/MAX(1,'Loan Tape'!$AU161-1+1),C468*C165/(1-(1+C468)^(-MAX(1,'Loan Tape'!$AU161-1+1)))-C468*C165),0)))</f>
        <v>0</v>
      </c>
      <c r="D1074" s="71" t="n">
        <f aca="false">IF(OR('Loan Tape'!$AN161=0,'Loan Tape'!$Z161="Interest Only",'Loan Tape'!$Z161=""),0,MIN(MAX(0,D165-D771),IFERROR(MAX(0,MIN(2,'Loan Tape'!$AV161)-MAX(1,'Loan Tape'!$AT161))*IF(D468&lt;=0,D165/MAX(1,'Loan Tape'!$AU161-2+1),D468*D165/(1-(1+D468)^(-MAX(1,'Loan Tape'!$AU161-2+1)))-D468*D165),0)))</f>
        <v>0</v>
      </c>
      <c r="E1074" s="71" t="n">
        <f aca="false">IF(OR('Loan Tape'!$AN161=0,'Loan Tape'!$Z161="Interest Only",'Loan Tape'!$Z161=""),0,MIN(MAX(0,E165-E771),IFERROR(MAX(0,MIN(3,'Loan Tape'!$AV161)-MAX(2,'Loan Tape'!$AT161))*IF(E468&lt;=0,E165/MAX(1,'Loan Tape'!$AU161-3+1),E468*E165/(1-(1+E468)^(-MAX(1,'Loan Tape'!$AU161-3+1)))-E468*E165),0)))</f>
        <v>0</v>
      </c>
      <c r="F1074" s="71" t="n">
        <f aca="false">IF(OR('Loan Tape'!$AN161=0,'Loan Tape'!$Z161="Interest Only",'Loan Tape'!$Z161=""),0,MIN(MAX(0,F165-F771),IFERROR(MAX(0,MIN(4,'Loan Tape'!$AV161)-MAX(3,'Loan Tape'!$AT161))*IF(F468&lt;=0,F165/MAX(1,'Loan Tape'!$AU161-4+1),F468*F165/(1-(1+F468)^(-MAX(1,'Loan Tape'!$AU161-4+1)))-F468*F165),0)))</f>
        <v>0</v>
      </c>
      <c r="G1074" s="71" t="n">
        <f aca="false">IF(OR('Loan Tape'!$AN161=0,'Loan Tape'!$Z161="Interest Only",'Loan Tape'!$Z161=""),0,MIN(MAX(0,G165-G771),IFERROR(MAX(0,MIN(5,'Loan Tape'!$AV161)-MAX(4,'Loan Tape'!$AT161))*IF(G468&lt;=0,G165/MAX(1,'Loan Tape'!$AU161-5+1),G468*G165/(1-(1+G468)^(-MAX(1,'Loan Tape'!$AU161-5+1)))-G468*G165),0)))</f>
        <v>0</v>
      </c>
      <c r="H1074" s="71" t="n">
        <f aca="false">IF(OR('Loan Tape'!$AN161=0,'Loan Tape'!$Z161="Interest Only",'Loan Tape'!$Z161=""),0,MIN(MAX(0,H165-H771),IFERROR(MAX(0,MIN(6,'Loan Tape'!$AV161)-MAX(5,'Loan Tape'!$AT161))*IF(H468&lt;=0,H165/MAX(1,'Loan Tape'!$AU161-6+1),H468*H165/(1-(1+H468)^(-MAX(1,'Loan Tape'!$AU161-6+1)))-H468*H165),0)))</f>
        <v>0</v>
      </c>
      <c r="I1074" s="71" t="n">
        <f aca="false">IF(OR('Loan Tape'!$AN161=0,'Loan Tape'!$Z161="Interest Only",'Loan Tape'!$Z161=""),0,MIN(MAX(0,I165-I771),IFERROR(MAX(0,MIN(7,'Loan Tape'!$AV161)-MAX(6,'Loan Tape'!$AT161))*IF(I468&lt;=0,I165/MAX(1,'Loan Tape'!$AU161-7+1),I468*I165/(1-(1+I468)^(-MAX(1,'Loan Tape'!$AU161-7+1)))-I468*I165),0)))</f>
        <v>0</v>
      </c>
      <c r="J1074" s="71" t="n">
        <f aca="false">IF(OR('Loan Tape'!$AN161=0,'Loan Tape'!$Z161="Interest Only",'Loan Tape'!$Z161=""),0,MIN(MAX(0,J165-J771),IFERROR(MAX(0,MIN(8,'Loan Tape'!$AV161)-MAX(7,'Loan Tape'!$AT161))*IF(J468&lt;=0,J165/MAX(1,'Loan Tape'!$AU161-8+1),J468*J165/(1-(1+J468)^(-MAX(1,'Loan Tape'!$AU161-8+1)))-J468*J165),0)))</f>
        <v>0</v>
      </c>
      <c r="K1074" s="71" t="n">
        <f aca="false">IF(OR('Loan Tape'!$AN161=0,'Loan Tape'!$Z161="Interest Only",'Loan Tape'!$Z161=""),0,MIN(MAX(0,K165-K771),IFERROR(MAX(0,MIN(9,'Loan Tape'!$AV161)-MAX(8,'Loan Tape'!$AT161))*IF(K468&lt;=0,K165/MAX(1,'Loan Tape'!$AU161-9+1),K468*K165/(1-(1+K468)^(-MAX(1,'Loan Tape'!$AU161-9+1)))-K468*K165),0)))</f>
        <v>0</v>
      </c>
      <c r="L1074" s="71" t="n">
        <f aca="false">IF(OR('Loan Tape'!$AN161=0,'Loan Tape'!$Z161="Interest Only",'Loan Tape'!$Z161=""),0,MIN(MAX(0,L165-L771),IFERROR(MAX(0,MIN(10,'Loan Tape'!$AV161)-MAX(9,'Loan Tape'!$AT161))*IF(L468&lt;=0,L165/MAX(1,'Loan Tape'!$AU161-10+1),L468*L165/(1-(1+L468)^(-MAX(1,'Loan Tape'!$AU161-10+1)))-L468*L165),0)))</f>
        <v>0</v>
      </c>
    </row>
    <row r="1075" customFormat="false" ht="15" hidden="false" customHeight="false" outlineLevel="0" collapsed="false">
      <c r="B1075" s="102" t="n">
        <f aca="false">'Loan Tape'!$A162</f>
        <v>0</v>
      </c>
      <c r="C1075" s="99" t="n">
        <f aca="false">IF(OR('Loan Tape'!$AN162=0,'Loan Tape'!$Z162="Interest Only",'Loan Tape'!$Z162=""),0,MIN(MAX(0,C166-C772),IFERROR(MAX(0,MIN(1,'Loan Tape'!$AV162)-MAX(0,'Loan Tape'!$AT162))*IF(C469&lt;=0,C166/MAX(1,'Loan Tape'!$AU162-1+1),C469*C166/(1-(1+C469)^(-MAX(1,'Loan Tape'!$AU162-1+1)))-C469*C166),0)))</f>
        <v>0</v>
      </c>
      <c r="D1075" s="99" t="n">
        <f aca="false">IF(OR('Loan Tape'!$AN162=0,'Loan Tape'!$Z162="Interest Only",'Loan Tape'!$Z162=""),0,MIN(MAX(0,D166-D772),IFERROR(MAX(0,MIN(2,'Loan Tape'!$AV162)-MAX(1,'Loan Tape'!$AT162))*IF(D469&lt;=0,D166/MAX(1,'Loan Tape'!$AU162-2+1),D469*D166/(1-(1+D469)^(-MAX(1,'Loan Tape'!$AU162-2+1)))-D469*D166),0)))</f>
        <v>0</v>
      </c>
      <c r="E1075" s="99" t="n">
        <f aca="false">IF(OR('Loan Tape'!$AN162=0,'Loan Tape'!$Z162="Interest Only",'Loan Tape'!$Z162=""),0,MIN(MAX(0,E166-E772),IFERROR(MAX(0,MIN(3,'Loan Tape'!$AV162)-MAX(2,'Loan Tape'!$AT162))*IF(E469&lt;=0,E166/MAX(1,'Loan Tape'!$AU162-3+1),E469*E166/(1-(1+E469)^(-MAX(1,'Loan Tape'!$AU162-3+1)))-E469*E166),0)))</f>
        <v>0</v>
      </c>
      <c r="F1075" s="99" t="n">
        <f aca="false">IF(OR('Loan Tape'!$AN162=0,'Loan Tape'!$Z162="Interest Only",'Loan Tape'!$Z162=""),0,MIN(MAX(0,F166-F772),IFERROR(MAX(0,MIN(4,'Loan Tape'!$AV162)-MAX(3,'Loan Tape'!$AT162))*IF(F469&lt;=0,F166/MAX(1,'Loan Tape'!$AU162-4+1),F469*F166/(1-(1+F469)^(-MAX(1,'Loan Tape'!$AU162-4+1)))-F469*F166),0)))</f>
        <v>0</v>
      </c>
      <c r="G1075" s="99" t="n">
        <f aca="false">IF(OR('Loan Tape'!$AN162=0,'Loan Tape'!$Z162="Interest Only",'Loan Tape'!$Z162=""),0,MIN(MAX(0,G166-G772),IFERROR(MAX(0,MIN(5,'Loan Tape'!$AV162)-MAX(4,'Loan Tape'!$AT162))*IF(G469&lt;=0,G166/MAX(1,'Loan Tape'!$AU162-5+1),G469*G166/(1-(1+G469)^(-MAX(1,'Loan Tape'!$AU162-5+1)))-G469*G166),0)))</f>
        <v>0</v>
      </c>
      <c r="H1075" s="99" t="n">
        <f aca="false">IF(OR('Loan Tape'!$AN162=0,'Loan Tape'!$Z162="Interest Only",'Loan Tape'!$Z162=""),0,MIN(MAX(0,H166-H772),IFERROR(MAX(0,MIN(6,'Loan Tape'!$AV162)-MAX(5,'Loan Tape'!$AT162))*IF(H469&lt;=0,H166/MAX(1,'Loan Tape'!$AU162-6+1),H469*H166/(1-(1+H469)^(-MAX(1,'Loan Tape'!$AU162-6+1)))-H469*H166),0)))</f>
        <v>0</v>
      </c>
      <c r="I1075" s="99" t="n">
        <f aca="false">IF(OR('Loan Tape'!$AN162=0,'Loan Tape'!$Z162="Interest Only",'Loan Tape'!$Z162=""),0,MIN(MAX(0,I166-I772),IFERROR(MAX(0,MIN(7,'Loan Tape'!$AV162)-MAX(6,'Loan Tape'!$AT162))*IF(I469&lt;=0,I166/MAX(1,'Loan Tape'!$AU162-7+1),I469*I166/(1-(1+I469)^(-MAX(1,'Loan Tape'!$AU162-7+1)))-I469*I166),0)))</f>
        <v>0</v>
      </c>
      <c r="J1075" s="99" t="n">
        <f aca="false">IF(OR('Loan Tape'!$AN162=0,'Loan Tape'!$Z162="Interest Only",'Loan Tape'!$Z162=""),0,MIN(MAX(0,J166-J772),IFERROR(MAX(0,MIN(8,'Loan Tape'!$AV162)-MAX(7,'Loan Tape'!$AT162))*IF(J469&lt;=0,J166/MAX(1,'Loan Tape'!$AU162-8+1),J469*J166/(1-(1+J469)^(-MAX(1,'Loan Tape'!$AU162-8+1)))-J469*J166),0)))</f>
        <v>0</v>
      </c>
      <c r="K1075" s="99" t="n">
        <f aca="false">IF(OR('Loan Tape'!$AN162=0,'Loan Tape'!$Z162="Interest Only",'Loan Tape'!$Z162=""),0,MIN(MAX(0,K166-K772),IFERROR(MAX(0,MIN(9,'Loan Tape'!$AV162)-MAX(8,'Loan Tape'!$AT162))*IF(K469&lt;=0,K166/MAX(1,'Loan Tape'!$AU162-9+1),K469*K166/(1-(1+K469)^(-MAX(1,'Loan Tape'!$AU162-9+1)))-K469*K166),0)))</f>
        <v>0</v>
      </c>
      <c r="L1075" s="99" t="n">
        <f aca="false">IF(OR('Loan Tape'!$AN162=0,'Loan Tape'!$Z162="Interest Only",'Loan Tape'!$Z162=""),0,MIN(MAX(0,L166-L772),IFERROR(MAX(0,MIN(10,'Loan Tape'!$AV162)-MAX(9,'Loan Tape'!$AT162))*IF(L469&lt;=0,L166/MAX(1,'Loan Tape'!$AU162-10+1),L469*L166/(1-(1+L469)^(-MAX(1,'Loan Tape'!$AU162-10+1)))-L469*L166),0)))</f>
        <v>0</v>
      </c>
    </row>
    <row r="1076" customFormat="false" ht="15" hidden="false" customHeight="false" outlineLevel="0" collapsed="false">
      <c r="B1076" s="108" t="n">
        <f aca="false">'Loan Tape'!$A163</f>
        <v>0</v>
      </c>
      <c r="C1076" s="71" t="n">
        <f aca="false">IF(OR('Loan Tape'!$AN163=0,'Loan Tape'!$Z163="Interest Only",'Loan Tape'!$Z163=""),0,MIN(MAX(0,C167-C773),IFERROR(MAX(0,MIN(1,'Loan Tape'!$AV163)-MAX(0,'Loan Tape'!$AT163))*IF(C470&lt;=0,C167/MAX(1,'Loan Tape'!$AU163-1+1),C470*C167/(1-(1+C470)^(-MAX(1,'Loan Tape'!$AU163-1+1)))-C470*C167),0)))</f>
        <v>0</v>
      </c>
      <c r="D1076" s="71" t="n">
        <f aca="false">IF(OR('Loan Tape'!$AN163=0,'Loan Tape'!$Z163="Interest Only",'Loan Tape'!$Z163=""),0,MIN(MAX(0,D167-D773),IFERROR(MAX(0,MIN(2,'Loan Tape'!$AV163)-MAX(1,'Loan Tape'!$AT163))*IF(D470&lt;=0,D167/MAX(1,'Loan Tape'!$AU163-2+1),D470*D167/(1-(1+D470)^(-MAX(1,'Loan Tape'!$AU163-2+1)))-D470*D167),0)))</f>
        <v>0</v>
      </c>
      <c r="E1076" s="71" t="n">
        <f aca="false">IF(OR('Loan Tape'!$AN163=0,'Loan Tape'!$Z163="Interest Only",'Loan Tape'!$Z163=""),0,MIN(MAX(0,E167-E773),IFERROR(MAX(0,MIN(3,'Loan Tape'!$AV163)-MAX(2,'Loan Tape'!$AT163))*IF(E470&lt;=0,E167/MAX(1,'Loan Tape'!$AU163-3+1),E470*E167/(1-(1+E470)^(-MAX(1,'Loan Tape'!$AU163-3+1)))-E470*E167),0)))</f>
        <v>0</v>
      </c>
      <c r="F1076" s="71" t="n">
        <f aca="false">IF(OR('Loan Tape'!$AN163=0,'Loan Tape'!$Z163="Interest Only",'Loan Tape'!$Z163=""),0,MIN(MAX(0,F167-F773),IFERROR(MAX(0,MIN(4,'Loan Tape'!$AV163)-MAX(3,'Loan Tape'!$AT163))*IF(F470&lt;=0,F167/MAX(1,'Loan Tape'!$AU163-4+1),F470*F167/(1-(1+F470)^(-MAX(1,'Loan Tape'!$AU163-4+1)))-F470*F167),0)))</f>
        <v>0</v>
      </c>
      <c r="G1076" s="71" t="n">
        <f aca="false">IF(OR('Loan Tape'!$AN163=0,'Loan Tape'!$Z163="Interest Only",'Loan Tape'!$Z163=""),0,MIN(MAX(0,G167-G773),IFERROR(MAX(0,MIN(5,'Loan Tape'!$AV163)-MAX(4,'Loan Tape'!$AT163))*IF(G470&lt;=0,G167/MAX(1,'Loan Tape'!$AU163-5+1),G470*G167/(1-(1+G470)^(-MAX(1,'Loan Tape'!$AU163-5+1)))-G470*G167),0)))</f>
        <v>0</v>
      </c>
      <c r="H1076" s="71" t="n">
        <f aca="false">IF(OR('Loan Tape'!$AN163=0,'Loan Tape'!$Z163="Interest Only",'Loan Tape'!$Z163=""),0,MIN(MAX(0,H167-H773),IFERROR(MAX(0,MIN(6,'Loan Tape'!$AV163)-MAX(5,'Loan Tape'!$AT163))*IF(H470&lt;=0,H167/MAX(1,'Loan Tape'!$AU163-6+1),H470*H167/(1-(1+H470)^(-MAX(1,'Loan Tape'!$AU163-6+1)))-H470*H167),0)))</f>
        <v>0</v>
      </c>
      <c r="I1076" s="71" t="n">
        <f aca="false">IF(OR('Loan Tape'!$AN163=0,'Loan Tape'!$Z163="Interest Only",'Loan Tape'!$Z163=""),0,MIN(MAX(0,I167-I773),IFERROR(MAX(0,MIN(7,'Loan Tape'!$AV163)-MAX(6,'Loan Tape'!$AT163))*IF(I470&lt;=0,I167/MAX(1,'Loan Tape'!$AU163-7+1),I470*I167/(1-(1+I470)^(-MAX(1,'Loan Tape'!$AU163-7+1)))-I470*I167),0)))</f>
        <v>0</v>
      </c>
      <c r="J1076" s="71" t="n">
        <f aca="false">IF(OR('Loan Tape'!$AN163=0,'Loan Tape'!$Z163="Interest Only",'Loan Tape'!$Z163=""),0,MIN(MAX(0,J167-J773),IFERROR(MAX(0,MIN(8,'Loan Tape'!$AV163)-MAX(7,'Loan Tape'!$AT163))*IF(J470&lt;=0,J167/MAX(1,'Loan Tape'!$AU163-8+1),J470*J167/(1-(1+J470)^(-MAX(1,'Loan Tape'!$AU163-8+1)))-J470*J167),0)))</f>
        <v>0</v>
      </c>
      <c r="K1076" s="71" t="n">
        <f aca="false">IF(OR('Loan Tape'!$AN163=0,'Loan Tape'!$Z163="Interest Only",'Loan Tape'!$Z163=""),0,MIN(MAX(0,K167-K773),IFERROR(MAX(0,MIN(9,'Loan Tape'!$AV163)-MAX(8,'Loan Tape'!$AT163))*IF(K470&lt;=0,K167/MAX(1,'Loan Tape'!$AU163-9+1),K470*K167/(1-(1+K470)^(-MAX(1,'Loan Tape'!$AU163-9+1)))-K470*K167),0)))</f>
        <v>0</v>
      </c>
      <c r="L1076" s="71" t="n">
        <f aca="false">IF(OR('Loan Tape'!$AN163=0,'Loan Tape'!$Z163="Interest Only",'Loan Tape'!$Z163=""),0,MIN(MAX(0,L167-L773),IFERROR(MAX(0,MIN(10,'Loan Tape'!$AV163)-MAX(9,'Loan Tape'!$AT163))*IF(L470&lt;=0,L167/MAX(1,'Loan Tape'!$AU163-10+1),L470*L167/(1-(1+L470)^(-MAX(1,'Loan Tape'!$AU163-10+1)))-L470*L167),0)))</f>
        <v>0</v>
      </c>
    </row>
    <row r="1077" customFormat="false" ht="15" hidden="false" customHeight="false" outlineLevel="0" collapsed="false">
      <c r="B1077" s="102" t="n">
        <f aca="false">'Loan Tape'!$A164</f>
        <v>0</v>
      </c>
      <c r="C1077" s="99" t="n">
        <f aca="false">IF(OR('Loan Tape'!$AN164=0,'Loan Tape'!$Z164="Interest Only",'Loan Tape'!$Z164=""),0,MIN(MAX(0,C168-C774),IFERROR(MAX(0,MIN(1,'Loan Tape'!$AV164)-MAX(0,'Loan Tape'!$AT164))*IF(C471&lt;=0,C168/MAX(1,'Loan Tape'!$AU164-1+1),C471*C168/(1-(1+C471)^(-MAX(1,'Loan Tape'!$AU164-1+1)))-C471*C168),0)))</f>
        <v>0</v>
      </c>
      <c r="D1077" s="99" t="n">
        <f aca="false">IF(OR('Loan Tape'!$AN164=0,'Loan Tape'!$Z164="Interest Only",'Loan Tape'!$Z164=""),0,MIN(MAX(0,D168-D774),IFERROR(MAX(0,MIN(2,'Loan Tape'!$AV164)-MAX(1,'Loan Tape'!$AT164))*IF(D471&lt;=0,D168/MAX(1,'Loan Tape'!$AU164-2+1),D471*D168/(1-(1+D471)^(-MAX(1,'Loan Tape'!$AU164-2+1)))-D471*D168),0)))</f>
        <v>0</v>
      </c>
      <c r="E1077" s="99" t="n">
        <f aca="false">IF(OR('Loan Tape'!$AN164=0,'Loan Tape'!$Z164="Interest Only",'Loan Tape'!$Z164=""),0,MIN(MAX(0,E168-E774),IFERROR(MAX(0,MIN(3,'Loan Tape'!$AV164)-MAX(2,'Loan Tape'!$AT164))*IF(E471&lt;=0,E168/MAX(1,'Loan Tape'!$AU164-3+1),E471*E168/(1-(1+E471)^(-MAX(1,'Loan Tape'!$AU164-3+1)))-E471*E168),0)))</f>
        <v>0</v>
      </c>
      <c r="F1077" s="99" t="n">
        <f aca="false">IF(OR('Loan Tape'!$AN164=0,'Loan Tape'!$Z164="Interest Only",'Loan Tape'!$Z164=""),0,MIN(MAX(0,F168-F774),IFERROR(MAX(0,MIN(4,'Loan Tape'!$AV164)-MAX(3,'Loan Tape'!$AT164))*IF(F471&lt;=0,F168/MAX(1,'Loan Tape'!$AU164-4+1),F471*F168/(1-(1+F471)^(-MAX(1,'Loan Tape'!$AU164-4+1)))-F471*F168),0)))</f>
        <v>0</v>
      </c>
      <c r="G1077" s="99" t="n">
        <f aca="false">IF(OR('Loan Tape'!$AN164=0,'Loan Tape'!$Z164="Interest Only",'Loan Tape'!$Z164=""),0,MIN(MAX(0,G168-G774),IFERROR(MAX(0,MIN(5,'Loan Tape'!$AV164)-MAX(4,'Loan Tape'!$AT164))*IF(G471&lt;=0,G168/MAX(1,'Loan Tape'!$AU164-5+1),G471*G168/(1-(1+G471)^(-MAX(1,'Loan Tape'!$AU164-5+1)))-G471*G168),0)))</f>
        <v>0</v>
      </c>
      <c r="H1077" s="99" t="n">
        <f aca="false">IF(OR('Loan Tape'!$AN164=0,'Loan Tape'!$Z164="Interest Only",'Loan Tape'!$Z164=""),0,MIN(MAX(0,H168-H774),IFERROR(MAX(0,MIN(6,'Loan Tape'!$AV164)-MAX(5,'Loan Tape'!$AT164))*IF(H471&lt;=0,H168/MAX(1,'Loan Tape'!$AU164-6+1),H471*H168/(1-(1+H471)^(-MAX(1,'Loan Tape'!$AU164-6+1)))-H471*H168),0)))</f>
        <v>0</v>
      </c>
      <c r="I1077" s="99" t="n">
        <f aca="false">IF(OR('Loan Tape'!$AN164=0,'Loan Tape'!$Z164="Interest Only",'Loan Tape'!$Z164=""),0,MIN(MAX(0,I168-I774),IFERROR(MAX(0,MIN(7,'Loan Tape'!$AV164)-MAX(6,'Loan Tape'!$AT164))*IF(I471&lt;=0,I168/MAX(1,'Loan Tape'!$AU164-7+1),I471*I168/(1-(1+I471)^(-MAX(1,'Loan Tape'!$AU164-7+1)))-I471*I168),0)))</f>
        <v>0</v>
      </c>
      <c r="J1077" s="99" t="n">
        <f aca="false">IF(OR('Loan Tape'!$AN164=0,'Loan Tape'!$Z164="Interest Only",'Loan Tape'!$Z164=""),0,MIN(MAX(0,J168-J774),IFERROR(MAX(0,MIN(8,'Loan Tape'!$AV164)-MAX(7,'Loan Tape'!$AT164))*IF(J471&lt;=0,J168/MAX(1,'Loan Tape'!$AU164-8+1),J471*J168/(1-(1+J471)^(-MAX(1,'Loan Tape'!$AU164-8+1)))-J471*J168),0)))</f>
        <v>0</v>
      </c>
      <c r="K1077" s="99" t="n">
        <f aca="false">IF(OR('Loan Tape'!$AN164=0,'Loan Tape'!$Z164="Interest Only",'Loan Tape'!$Z164=""),0,MIN(MAX(0,K168-K774),IFERROR(MAX(0,MIN(9,'Loan Tape'!$AV164)-MAX(8,'Loan Tape'!$AT164))*IF(K471&lt;=0,K168/MAX(1,'Loan Tape'!$AU164-9+1),K471*K168/(1-(1+K471)^(-MAX(1,'Loan Tape'!$AU164-9+1)))-K471*K168),0)))</f>
        <v>0</v>
      </c>
      <c r="L1077" s="99" t="n">
        <f aca="false">IF(OR('Loan Tape'!$AN164=0,'Loan Tape'!$Z164="Interest Only",'Loan Tape'!$Z164=""),0,MIN(MAX(0,L168-L774),IFERROR(MAX(0,MIN(10,'Loan Tape'!$AV164)-MAX(9,'Loan Tape'!$AT164))*IF(L471&lt;=0,L168/MAX(1,'Loan Tape'!$AU164-10+1),L471*L168/(1-(1+L471)^(-MAX(1,'Loan Tape'!$AU164-10+1)))-L471*L168),0)))</f>
        <v>0</v>
      </c>
    </row>
    <row r="1078" customFormat="false" ht="15" hidden="false" customHeight="false" outlineLevel="0" collapsed="false">
      <c r="B1078" s="108" t="n">
        <f aca="false">'Loan Tape'!$A165</f>
        <v>0</v>
      </c>
      <c r="C1078" s="71" t="n">
        <f aca="false">IF(OR('Loan Tape'!$AN165=0,'Loan Tape'!$Z165="Interest Only",'Loan Tape'!$Z165=""),0,MIN(MAX(0,C169-C775),IFERROR(MAX(0,MIN(1,'Loan Tape'!$AV165)-MAX(0,'Loan Tape'!$AT165))*IF(C472&lt;=0,C169/MAX(1,'Loan Tape'!$AU165-1+1),C472*C169/(1-(1+C472)^(-MAX(1,'Loan Tape'!$AU165-1+1)))-C472*C169),0)))</f>
        <v>0</v>
      </c>
      <c r="D1078" s="71" t="n">
        <f aca="false">IF(OR('Loan Tape'!$AN165=0,'Loan Tape'!$Z165="Interest Only",'Loan Tape'!$Z165=""),0,MIN(MAX(0,D169-D775),IFERROR(MAX(0,MIN(2,'Loan Tape'!$AV165)-MAX(1,'Loan Tape'!$AT165))*IF(D472&lt;=0,D169/MAX(1,'Loan Tape'!$AU165-2+1),D472*D169/(1-(1+D472)^(-MAX(1,'Loan Tape'!$AU165-2+1)))-D472*D169),0)))</f>
        <v>0</v>
      </c>
      <c r="E1078" s="71" t="n">
        <f aca="false">IF(OR('Loan Tape'!$AN165=0,'Loan Tape'!$Z165="Interest Only",'Loan Tape'!$Z165=""),0,MIN(MAX(0,E169-E775),IFERROR(MAX(0,MIN(3,'Loan Tape'!$AV165)-MAX(2,'Loan Tape'!$AT165))*IF(E472&lt;=0,E169/MAX(1,'Loan Tape'!$AU165-3+1),E472*E169/(1-(1+E472)^(-MAX(1,'Loan Tape'!$AU165-3+1)))-E472*E169),0)))</f>
        <v>0</v>
      </c>
      <c r="F1078" s="71" t="n">
        <f aca="false">IF(OR('Loan Tape'!$AN165=0,'Loan Tape'!$Z165="Interest Only",'Loan Tape'!$Z165=""),0,MIN(MAX(0,F169-F775),IFERROR(MAX(0,MIN(4,'Loan Tape'!$AV165)-MAX(3,'Loan Tape'!$AT165))*IF(F472&lt;=0,F169/MAX(1,'Loan Tape'!$AU165-4+1),F472*F169/(1-(1+F472)^(-MAX(1,'Loan Tape'!$AU165-4+1)))-F472*F169),0)))</f>
        <v>0</v>
      </c>
      <c r="G1078" s="71" t="n">
        <f aca="false">IF(OR('Loan Tape'!$AN165=0,'Loan Tape'!$Z165="Interest Only",'Loan Tape'!$Z165=""),0,MIN(MAX(0,G169-G775),IFERROR(MAX(0,MIN(5,'Loan Tape'!$AV165)-MAX(4,'Loan Tape'!$AT165))*IF(G472&lt;=0,G169/MAX(1,'Loan Tape'!$AU165-5+1),G472*G169/(1-(1+G472)^(-MAX(1,'Loan Tape'!$AU165-5+1)))-G472*G169),0)))</f>
        <v>0</v>
      </c>
      <c r="H1078" s="71" t="n">
        <f aca="false">IF(OR('Loan Tape'!$AN165=0,'Loan Tape'!$Z165="Interest Only",'Loan Tape'!$Z165=""),0,MIN(MAX(0,H169-H775),IFERROR(MAX(0,MIN(6,'Loan Tape'!$AV165)-MAX(5,'Loan Tape'!$AT165))*IF(H472&lt;=0,H169/MAX(1,'Loan Tape'!$AU165-6+1),H472*H169/(1-(1+H472)^(-MAX(1,'Loan Tape'!$AU165-6+1)))-H472*H169),0)))</f>
        <v>0</v>
      </c>
      <c r="I1078" s="71" t="n">
        <f aca="false">IF(OR('Loan Tape'!$AN165=0,'Loan Tape'!$Z165="Interest Only",'Loan Tape'!$Z165=""),0,MIN(MAX(0,I169-I775),IFERROR(MAX(0,MIN(7,'Loan Tape'!$AV165)-MAX(6,'Loan Tape'!$AT165))*IF(I472&lt;=0,I169/MAX(1,'Loan Tape'!$AU165-7+1),I472*I169/(1-(1+I472)^(-MAX(1,'Loan Tape'!$AU165-7+1)))-I472*I169),0)))</f>
        <v>0</v>
      </c>
      <c r="J1078" s="71" t="n">
        <f aca="false">IF(OR('Loan Tape'!$AN165=0,'Loan Tape'!$Z165="Interest Only",'Loan Tape'!$Z165=""),0,MIN(MAX(0,J169-J775),IFERROR(MAX(0,MIN(8,'Loan Tape'!$AV165)-MAX(7,'Loan Tape'!$AT165))*IF(J472&lt;=0,J169/MAX(1,'Loan Tape'!$AU165-8+1),J472*J169/(1-(1+J472)^(-MAX(1,'Loan Tape'!$AU165-8+1)))-J472*J169),0)))</f>
        <v>0</v>
      </c>
      <c r="K1078" s="71" t="n">
        <f aca="false">IF(OR('Loan Tape'!$AN165=0,'Loan Tape'!$Z165="Interest Only",'Loan Tape'!$Z165=""),0,MIN(MAX(0,K169-K775),IFERROR(MAX(0,MIN(9,'Loan Tape'!$AV165)-MAX(8,'Loan Tape'!$AT165))*IF(K472&lt;=0,K169/MAX(1,'Loan Tape'!$AU165-9+1),K472*K169/(1-(1+K472)^(-MAX(1,'Loan Tape'!$AU165-9+1)))-K472*K169),0)))</f>
        <v>0</v>
      </c>
      <c r="L1078" s="71" t="n">
        <f aca="false">IF(OR('Loan Tape'!$AN165=0,'Loan Tape'!$Z165="Interest Only",'Loan Tape'!$Z165=""),0,MIN(MAX(0,L169-L775),IFERROR(MAX(0,MIN(10,'Loan Tape'!$AV165)-MAX(9,'Loan Tape'!$AT165))*IF(L472&lt;=0,L169/MAX(1,'Loan Tape'!$AU165-10+1),L472*L169/(1-(1+L472)^(-MAX(1,'Loan Tape'!$AU165-10+1)))-L472*L169),0)))</f>
        <v>0</v>
      </c>
    </row>
    <row r="1079" customFormat="false" ht="15" hidden="false" customHeight="false" outlineLevel="0" collapsed="false">
      <c r="B1079" s="102" t="n">
        <f aca="false">'Loan Tape'!$A166</f>
        <v>0</v>
      </c>
      <c r="C1079" s="99" t="n">
        <f aca="false">IF(OR('Loan Tape'!$AN166=0,'Loan Tape'!$Z166="Interest Only",'Loan Tape'!$Z166=""),0,MIN(MAX(0,C170-C776),IFERROR(MAX(0,MIN(1,'Loan Tape'!$AV166)-MAX(0,'Loan Tape'!$AT166))*IF(C473&lt;=0,C170/MAX(1,'Loan Tape'!$AU166-1+1),C473*C170/(1-(1+C473)^(-MAX(1,'Loan Tape'!$AU166-1+1)))-C473*C170),0)))</f>
        <v>0</v>
      </c>
      <c r="D1079" s="99" t="n">
        <f aca="false">IF(OR('Loan Tape'!$AN166=0,'Loan Tape'!$Z166="Interest Only",'Loan Tape'!$Z166=""),0,MIN(MAX(0,D170-D776),IFERROR(MAX(0,MIN(2,'Loan Tape'!$AV166)-MAX(1,'Loan Tape'!$AT166))*IF(D473&lt;=0,D170/MAX(1,'Loan Tape'!$AU166-2+1),D473*D170/(1-(1+D473)^(-MAX(1,'Loan Tape'!$AU166-2+1)))-D473*D170),0)))</f>
        <v>0</v>
      </c>
      <c r="E1079" s="99" t="n">
        <f aca="false">IF(OR('Loan Tape'!$AN166=0,'Loan Tape'!$Z166="Interest Only",'Loan Tape'!$Z166=""),0,MIN(MAX(0,E170-E776),IFERROR(MAX(0,MIN(3,'Loan Tape'!$AV166)-MAX(2,'Loan Tape'!$AT166))*IF(E473&lt;=0,E170/MAX(1,'Loan Tape'!$AU166-3+1),E473*E170/(1-(1+E473)^(-MAX(1,'Loan Tape'!$AU166-3+1)))-E473*E170),0)))</f>
        <v>0</v>
      </c>
      <c r="F1079" s="99" t="n">
        <f aca="false">IF(OR('Loan Tape'!$AN166=0,'Loan Tape'!$Z166="Interest Only",'Loan Tape'!$Z166=""),0,MIN(MAX(0,F170-F776),IFERROR(MAX(0,MIN(4,'Loan Tape'!$AV166)-MAX(3,'Loan Tape'!$AT166))*IF(F473&lt;=0,F170/MAX(1,'Loan Tape'!$AU166-4+1),F473*F170/(1-(1+F473)^(-MAX(1,'Loan Tape'!$AU166-4+1)))-F473*F170),0)))</f>
        <v>0</v>
      </c>
      <c r="G1079" s="99" t="n">
        <f aca="false">IF(OR('Loan Tape'!$AN166=0,'Loan Tape'!$Z166="Interest Only",'Loan Tape'!$Z166=""),0,MIN(MAX(0,G170-G776),IFERROR(MAX(0,MIN(5,'Loan Tape'!$AV166)-MAX(4,'Loan Tape'!$AT166))*IF(G473&lt;=0,G170/MAX(1,'Loan Tape'!$AU166-5+1),G473*G170/(1-(1+G473)^(-MAX(1,'Loan Tape'!$AU166-5+1)))-G473*G170),0)))</f>
        <v>0</v>
      </c>
      <c r="H1079" s="99" t="n">
        <f aca="false">IF(OR('Loan Tape'!$AN166=0,'Loan Tape'!$Z166="Interest Only",'Loan Tape'!$Z166=""),0,MIN(MAX(0,H170-H776),IFERROR(MAX(0,MIN(6,'Loan Tape'!$AV166)-MAX(5,'Loan Tape'!$AT166))*IF(H473&lt;=0,H170/MAX(1,'Loan Tape'!$AU166-6+1),H473*H170/(1-(1+H473)^(-MAX(1,'Loan Tape'!$AU166-6+1)))-H473*H170),0)))</f>
        <v>0</v>
      </c>
      <c r="I1079" s="99" t="n">
        <f aca="false">IF(OR('Loan Tape'!$AN166=0,'Loan Tape'!$Z166="Interest Only",'Loan Tape'!$Z166=""),0,MIN(MAX(0,I170-I776),IFERROR(MAX(0,MIN(7,'Loan Tape'!$AV166)-MAX(6,'Loan Tape'!$AT166))*IF(I473&lt;=0,I170/MAX(1,'Loan Tape'!$AU166-7+1),I473*I170/(1-(1+I473)^(-MAX(1,'Loan Tape'!$AU166-7+1)))-I473*I170),0)))</f>
        <v>0</v>
      </c>
      <c r="J1079" s="99" t="n">
        <f aca="false">IF(OR('Loan Tape'!$AN166=0,'Loan Tape'!$Z166="Interest Only",'Loan Tape'!$Z166=""),0,MIN(MAX(0,J170-J776),IFERROR(MAX(0,MIN(8,'Loan Tape'!$AV166)-MAX(7,'Loan Tape'!$AT166))*IF(J473&lt;=0,J170/MAX(1,'Loan Tape'!$AU166-8+1),J473*J170/(1-(1+J473)^(-MAX(1,'Loan Tape'!$AU166-8+1)))-J473*J170),0)))</f>
        <v>0</v>
      </c>
      <c r="K1079" s="99" t="n">
        <f aca="false">IF(OR('Loan Tape'!$AN166=0,'Loan Tape'!$Z166="Interest Only",'Loan Tape'!$Z166=""),0,MIN(MAX(0,K170-K776),IFERROR(MAX(0,MIN(9,'Loan Tape'!$AV166)-MAX(8,'Loan Tape'!$AT166))*IF(K473&lt;=0,K170/MAX(1,'Loan Tape'!$AU166-9+1),K473*K170/(1-(1+K473)^(-MAX(1,'Loan Tape'!$AU166-9+1)))-K473*K170),0)))</f>
        <v>0</v>
      </c>
      <c r="L1079" s="99" t="n">
        <f aca="false">IF(OR('Loan Tape'!$AN166=0,'Loan Tape'!$Z166="Interest Only",'Loan Tape'!$Z166=""),0,MIN(MAX(0,L170-L776),IFERROR(MAX(0,MIN(10,'Loan Tape'!$AV166)-MAX(9,'Loan Tape'!$AT166))*IF(L473&lt;=0,L170/MAX(1,'Loan Tape'!$AU166-10+1),L473*L170/(1-(1+L473)^(-MAX(1,'Loan Tape'!$AU166-10+1)))-L473*L170),0)))</f>
        <v>0</v>
      </c>
    </row>
    <row r="1080" customFormat="false" ht="15" hidden="false" customHeight="false" outlineLevel="0" collapsed="false">
      <c r="B1080" s="108" t="n">
        <f aca="false">'Loan Tape'!$A167</f>
        <v>0</v>
      </c>
      <c r="C1080" s="71" t="n">
        <f aca="false">IF(OR('Loan Tape'!$AN167=0,'Loan Tape'!$Z167="Interest Only",'Loan Tape'!$Z167=""),0,MIN(MAX(0,C171-C777),IFERROR(MAX(0,MIN(1,'Loan Tape'!$AV167)-MAX(0,'Loan Tape'!$AT167))*IF(C474&lt;=0,C171/MAX(1,'Loan Tape'!$AU167-1+1),C474*C171/(1-(1+C474)^(-MAX(1,'Loan Tape'!$AU167-1+1)))-C474*C171),0)))</f>
        <v>0</v>
      </c>
      <c r="D1080" s="71" t="n">
        <f aca="false">IF(OR('Loan Tape'!$AN167=0,'Loan Tape'!$Z167="Interest Only",'Loan Tape'!$Z167=""),0,MIN(MAX(0,D171-D777),IFERROR(MAX(0,MIN(2,'Loan Tape'!$AV167)-MAX(1,'Loan Tape'!$AT167))*IF(D474&lt;=0,D171/MAX(1,'Loan Tape'!$AU167-2+1),D474*D171/(1-(1+D474)^(-MAX(1,'Loan Tape'!$AU167-2+1)))-D474*D171),0)))</f>
        <v>0</v>
      </c>
      <c r="E1080" s="71" t="n">
        <f aca="false">IF(OR('Loan Tape'!$AN167=0,'Loan Tape'!$Z167="Interest Only",'Loan Tape'!$Z167=""),0,MIN(MAX(0,E171-E777),IFERROR(MAX(0,MIN(3,'Loan Tape'!$AV167)-MAX(2,'Loan Tape'!$AT167))*IF(E474&lt;=0,E171/MAX(1,'Loan Tape'!$AU167-3+1),E474*E171/(1-(1+E474)^(-MAX(1,'Loan Tape'!$AU167-3+1)))-E474*E171),0)))</f>
        <v>0</v>
      </c>
      <c r="F1080" s="71" t="n">
        <f aca="false">IF(OR('Loan Tape'!$AN167=0,'Loan Tape'!$Z167="Interest Only",'Loan Tape'!$Z167=""),0,MIN(MAX(0,F171-F777),IFERROR(MAX(0,MIN(4,'Loan Tape'!$AV167)-MAX(3,'Loan Tape'!$AT167))*IF(F474&lt;=0,F171/MAX(1,'Loan Tape'!$AU167-4+1),F474*F171/(1-(1+F474)^(-MAX(1,'Loan Tape'!$AU167-4+1)))-F474*F171),0)))</f>
        <v>0</v>
      </c>
      <c r="G1080" s="71" t="n">
        <f aca="false">IF(OR('Loan Tape'!$AN167=0,'Loan Tape'!$Z167="Interest Only",'Loan Tape'!$Z167=""),0,MIN(MAX(0,G171-G777),IFERROR(MAX(0,MIN(5,'Loan Tape'!$AV167)-MAX(4,'Loan Tape'!$AT167))*IF(G474&lt;=0,G171/MAX(1,'Loan Tape'!$AU167-5+1),G474*G171/(1-(1+G474)^(-MAX(1,'Loan Tape'!$AU167-5+1)))-G474*G171),0)))</f>
        <v>0</v>
      </c>
      <c r="H1080" s="71" t="n">
        <f aca="false">IF(OR('Loan Tape'!$AN167=0,'Loan Tape'!$Z167="Interest Only",'Loan Tape'!$Z167=""),0,MIN(MAX(0,H171-H777),IFERROR(MAX(0,MIN(6,'Loan Tape'!$AV167)-MAX(5,'Loan Tape'!$AT167))*IF(H474&lt;=0,H171/MAX(1,'Loan Tape'!$AU167-6+1),H474*H171/(1-(1+H474)^(-MAX(1,'Loan Tape'!$AU167-6+1)))-H474*H171),0)))</f>
        <v>0</v>
      </c>
      <c r="I1080" s="71" t="n">
        <f aca="false">IF(OR('Loan Tape'!$AN167=0,'Loan Tape'!$Z167="Interest Only",'Loan Tape'!$Z167=""),0,MIN(MAX(0,I171-I777),IFERROR(MAX(0,MIN(7,'Loan Tape'!$AV167)-MAX(6,'Loan Tape'!$AT167))*IF(I474&lt;=0,I171/MAX(1,'Loan Tape'!$AU167-7+1),I474*I171/(1-(1+I474)^(-MAX(1,'Loan Tape'!$AU167-7+1)))-I474*I171),0)))</f>
        <v>0</v>
      </c>
      <c r="J1080" s="71" t="n">
        <f aca="false">IF(OR('Loan Tape'!$AN167=0,'Loan Tape'!$Z167="Interest Only",'Loan Tape'!$Z167=""),0,MIN(MAX(0,J171-J777),IFERROR(MAX(0,MIN(8,'Loan Tape'!$AV167)-MAX(7,'Loan Tape'!$AT167))*IF(J474&lt;=0,J171/MAX(1,'Loan Tape'!$AU167-8+1),J474*J171/(1-(1+J474)^(-MAX(1,'Loan Tape'!$AU167-8+1)))-J474*J171),0)))</f>
        <v>0</v>
      </c>
      <c r="K1080" s="71" t="n">
        <f aca="false">IF(OR('Loan Tape'!$AN167=0,'Loan Tape'!$Z167="Interest Only",'Loan Tape'!$Z167=""),0,MIN(MAX(0,K171-K777),IFERROR(MAX(0,MIN(9,'Loan Tape'!$AV167)-MAX(8,'Loan Tape'!$AT167))*IF(K474&lt;=0,K171/MAX(1,'Loan Tape'!$AU167-9+1),K474*K171/(1-(1+K474)^(-MAX(1,'Loan Tape'!$AU167-9+1)))-K474*K171),0)))</f>
        <v>0</v>
      </c>
      <c r="L1080" s="71" t="n">
        <f aca="false">IF(OR('Loan Tape'!$AN167=0,'Loan Tape'!$Z167="Interest Only",'Loan Tape'!$Z167=""),0,MIN(MAX(0,L171-L777),IFERROR(MAX(0,MIN(10,'Loan Tape'!$AV167)-MAX(9,'Loan Tape'!$AT167))*IF(L474&lt;=0,L171/MAX(1,'Loan Tape'!$AU167-10+1),L474*L171/(1-(1+L474)^(-MAX(1,'Loan Tape'!$AU167-10+1)))-L474*L171),0)))</f>
        <v>0</v>
      </c>
    </row>
    <row r="1081" customFormat="false" ht="15" hidden="false" customHeight="false" outlineLevel="0" collapsed="false">
      <c r="B1081" s="102" t="n">
        <f aca="false">'Loan Tape'!$A168</f>
        <v>0</v>
      </c>
      <c r="C1081" s="99" t="n">
        <f aca="false">IF(OR('Loan Tape'!$AN168=0,'Loan Tape'!$Z168="Interest Only",'Loan Tape'!$Z168=""),0,MIN(MAX(0,C172-C778),IFERROR(MAX(0,MIN(1,'Loan Tape'!$AV168)-MAX(0,'Loan Tape'!$AT168))*IF(C475&lt;=0,C172/MAX(1,'Loan Tape'!$AU168-1+1),C475*C172/(1-(1+C475)^(-MAX(1,'Loan Tape'!$AU168-1+1)))-C475*C172),0)))</f>
        <v>0</v>
      </c>
      <c r="D1081" s="99" t="n">
        <f aca="false">IF(OR('Loan Tape'!$AN168=0,'Loan Tape'!$Z168="Interest Only",'Loan Tape'!$Z168=""),0,MIN(MAX(0,D172-D778),IFERROR(MAX(0,MIN(2,'Loan Tape'!$AV168)-MAX(1,'Loan Tape'!$AT168))*IF(D475&lt;=0,D172/MAX(1,'Loan Tape'!$AU168-2+1),D475*D172/(1-(1+D475)^(-MAX(1,'Loan Tape'!$AU168-2+1)))-D475*D172),0)))</f>
        <v>0</v>
      </c>
      <c r="E1081" s="99" t="n">
        <f aca="false">IF(OR('Loan Tape'!$AN168=0,'Loan Tape'!$Z168="Interest Only",'Loan Tape'!$Z168=""),0,MIN(MAX(0,E172-E778),IFERROR(MAX(0,MIN(3,'Loan Tape'!$AV168)-MAX(2,'Loan Tape'!$AT168))*IF(E475&lt;=0,E172/MAX(1,'Loan Tape'!$AU168-3+1),E475*E172/(1-(1+E475)^(-MAX(1,'Loan Tape'!$AU168-3+1)))-E475*E172),0)))</f>
        <v>0</v>
      </c>
      <c r="F1081" s="99" t="n">
        <f aca="false">IF(OR('Loan Tape'!$AN168=0,'Loan Tape'!$Z168="Interest Only",'Loan Tape'!$Z168=""),0,MIN(MAX(0,F172-F778),IFERROR(MAX(0,MIN(4,'Loan Tape'!$AV168)-MAX(3,'Loan Tape'!$AT168))*IF(F475&lt;=0,F172/MAX(1,'Loan Tape'!$AU168-4+1),F475*F172/(1-(1+F475)^(-MAX(1,'Loan Tape'!$AU168-4+1)))-F475*F172),0)))</f>
        <v>0</v>
      </c>
      <c r="G1081" s="99" t="n">
        <f aca="false">IF(OR('Loan Tape'!$AN168=0,'Loan Tape'!$Z168="Interest Only",'Loan Tape'!$Z168=""),0,MIN(MAX(0,G172-G778),IFERROR(MAX(0,MIN(5,'Loan Tape'!$AV168)-MAX(4,'Loan Tape'!$AT168))*IF(G475&lt;=0,G172/MAX(1,'Loan Tape'!$AU168-5+1),G475*G172/(1-(1+G475)^(-MAX(1,'Loan Tape'!$AU168-5+1)))-G475*G172),0)))</f>
        <v>0</v>
      </c>
      <c r="H1081" s="99" t="n">
        <f aca="false">IF(OR('Loan Tape'!$AN168=0,'Loan Tape'!$Z168="Interest Only",'Loan Tape'!$Z168=""),0,MIN(MAX(0,H172-H778),IFERROR(MAX(0,MIN(6,'Loan Tape'!$AV168)-MAX(5,'Loan Tape'!$AT168))*IF(H475&lt;=0,H172/MAX(1,'Loan Tape'!$AU168-6+1),H475*H172/(1-(1+H475)^(-MAX(1,'Loan Tape'!$AU168-6+1)))-H475*H172),0)))</f>
        <v>0</v>
      </c>
      <c r="I1081" s="99" t="n">
        <f aca="false">IF(OR('Loan Tape'!$AN168=0,'Loan Tape'!$Z168="Interest Only",'Loan Tape'!$Z168=""),0,MIN(MAX(0,I172-I778),IFERROR(MAX(0,MIN(7,'Loan Tape'!$AV168)-MAX(6,'Loan Tape'!$AT168))*IF(I475&lt;=0,I172/MAX(1,'Loan Tape'!$AU168-7+1),I475*I172/(1-(1+I475)^(-MAX(1,'Loan Tape'!$AU168-7+1)))-I475*I172),0)))</f>
        <v>0</v>
      </c>
      <c r="J1081" s="99" t="n">
        <f aca="false">IF(OR('Loan Tape'!$AN168=0,'Loan Tape'!$Z168="Interest Only",'Loan Tape'!$Z168=""),0,MIN(MAX(0,J172-J778),IFERROR(MAX(0,MIN(8,'Loan Tape'!$AV168)-MAX(7,'Loan Tape'!$AT168))*IF(J475&lt;=0,J172/MAX(1,'Loan Tape'!$AU168-8+1),J475*J172/(1-(1+J475)^(-MAX(1,'Loan Tape'!$AU168-8+1)))-J475*J172),0)))</f>
        <v>0</v>
      </c>
      <c r="K1081" s="99" t="n">
        <f aca="false">IF(OR('Loan Tape'!$AN168=0,'Loan Tape'!$Z168="Interest Only",'Loan Tape'!$Z168=""),0,MIN(MAX(0,K172-K778),IFERROR(MAX(0,MIN(9,'Loan Tape'!$AV168)-MAX(8,'Loan Tape'!$AT168))*IF(K475&lt;=0,K172/MAX(1,'Loan Tape'!$AU168-9+1),K475*K172/(1-(1+K475)^(-MAX(1,'Loan Tape'!$AU168-9+1)))-K475*K172),0)))</f>
        <v>0</v>
      </c>
      <c r="L1081" s="99" t="n">
        <f aca="false">IF(OR('Loan Tape'!$AN168=0,'Loan Tape'!$Z168="Interest Only",'Loan Tape'!$Z168=""),0,MIN(MAX(0,L172-L778),IFERROR(MAX(0,MIN(10,'Loan Tape'!$AV168)-MAX(9,'Loan Tape'!$AT168))*IF(L475&lt;=0,L172/MAX(1,'Loan Tape'!$AU168-10+1),L475*L172/(1-(1+L475)^(-MAX(1,'Loan Tape'!$AU168-10+1)))-L475*L172),0)))</f>
        <v>0</v>
      </c>
    </row>
    <row r="1082" customFormat="false" ht="15" hidden="false" customHeight="false" outlineLevel="0" collapsed="false">
      <c r="B1082" s="108" t="n">
        <f aca="false">'Loan Tape'!$A169</f>
        <v>0</v>
      </c>
      <c r="C1082" s="71" t="n">
        <f aca="false">IF(OR('Loan Tape'!$AN169=0,'Loan Tape'!$Z169="Interest Only",'Loan Tape'!$Z169=""),0,MIN(MAX(0,C173-C779),IFERROR(MAX(0,MIN(1,'Loan Tape'!$AV169)-MAX(0,'Loan Tape'!$AT169))*IF(C476&lt;=0,C173/MAX(1,'Loan Tape'!$AU169-1+1),C476*C173/(1-(1+C476)^(-MAX(1,'Loan Tape'!$AU169-1+1)))-C476*C173),0)))</f>
        <v>0</v>
      </c>
      <c r="D1082" s="71" t="n">
        <f aca="false">IF(OR('Loan Tape'!$AN169=0,'Loan Tape'!$Z169="Interest Only",'Loan Tape'!$Z169=""),0,MIN(MAX(0,D173-D779),IFERROR(MAX(0,MIN(2,'Loan Tape'!$AV169)-MAX(1,'Loan Tape'!$AT169))*IF(D476&lt;=0,D173/MAX(1,'Loan Tape'!$AU169-2+1),D476*D173/(1-(1+D476)^(-MAX(1,'Loan Tape'!$AU169-2+1)))-D476*D173),0)))</f>
        <v>0</v>
      </c>
      <c r="E1082" s="71" t="n">
        <f aca="false">IF(OR('Loan Tape'!$AN169=0,'Loan Tape'!$Z169="Interest Only",'Loan Tape'!$Z169=""),0,MIN(MAX(0,E173-E779),IFERROR(MAX(0,MIN(3,'Loan Tape'!$AV169)-MAX(2,'Loan Tape'!$AT169))*IF(E476&lt;=0,E173/MAX(1,'Loan Tape'!$AU169-3+1),E476*E173/(1-(1+E476)^(-MAX(1,'Loan Tape'!$AU169-3+1)))-E476*E173),0)))</f>
        <v>0</v>
      </c>
      <c r="F1082" s="71" t="n">
        <f aca="false">IF(OR('Loan Tape'!$AN169=0,'Loan Tape'!$Z169="Interest Only",'Loan Tape'!$Z169=""),0,MIN(MAX(0,F173-F779),IFERROR(MAX(0,MIN(4,'Loan Tape'!$AV169)-MAX(3,'Loan Tape'!$AT169))*IF(F476&lt;=0,F173/MAX(1,'Loan Tape'!$AU169-4+1),F476*F173/(1-(1+F476)^(-MAX(1,'Loan Tape'!$AU169-4+1)))-F476*F173),0)))</f>
        <v>0</v>
      </c>
      <c r="G1082" s="71" t="n">
        <f aca="false">IF(OR('Loan Tape'!$AN169=0,'Loan Tape'!$Z169="Interest Only",'Loan Tape'!$Z169=""),0,MIN(MAX(0,G173-G779),IFERROR(MAX(0,MIN(5,'Loan Tape'!$AV169)-MAX(4,'Loan Tape'!$AT169))*IF(G476&lt;=0,G173/MAX(1,'Loan Tape'!$AU169-5+1),G476*G173/(1-(1+G476)^(-MAX(1,'Loan Tape'!$AU169-5+1)))-G476*G173),0)))</f>
        <v>0</v>
      </c>
      <c r="H1082" s="71" t="n">
        <f aca="false">IF(OR('Loan Tape'!$AN169=0,'Loan Tape'!$Z169="Interest Only",'Loan Tape'!$Z169=""),0,MIN(MAX(0,H173-H779),IFERROR(MAX(0,MIN(6,'Loan Tape'!$AV169)-MAX(5,'Loan Tape'!$AT169))*IF(H476&lt;=0,H173/MAX(1,'Loan Tape'!$AU169-6+1),H476*H173/(1-(1+H476)^(-MAX(1,'Loan Tape'!$AU169-6+1)))-H476*H173),0)))</f>
        <v>0</v>
      </c>
      <c r="I1082" s="71" t="n">
        <f aca="false">IF(OR('Loan Tape'!$AN169=0,'Loan Tape'!$Z169="Interest Only",'Loan Tape'!$Z169=""),0,MIN(MAX(0,I173-I779),IFERROR(MAX(0,MIN(7,'Loan Tape'!$AV169)-MAX(6,'Loan Tape'!$AT169))*IF(I476&lt;=0,I173/MAX(1,'Loan Tape'!$AU169-7+1),I476*I173/(1-(1+I476)^(-MAX(1,'Loan Tape'!$AU169-7+1)))-I476*I173),0)))</f>
        <v>0</v>
      </c>
      <c r="J1082" s="71" t="n">
        <f aca="false">IF(OR('Loan Tape'!$AN169=0,'Loan Tape'!$Z169="Interest Only",'Loan Tape'!$Z169=""),0,MIN(MAX(0,J173-J779),IFERROR(MAX(0,MIN(8,'Loan Tape'!$AV169)-MAX(7,'Loan Tape'!$AT169))*IF(J476&lt;=0,J173/MAX(1,'Loan Tape'!$AU169-8+1),J476*J173/(1-(1+J476)^(-MAX(1,'Loan Tape'!$AU169-8+1)))-J476*J173),0)))</f>
        <v>0</v>
      </c>
      <c r="K1082" s="71" t="n">
        <f aca="false">IF(OR('Loan Tape'!$AN169=0,'Loan Tape'!$Z169="Interest Only",'Loan Tape'!$Z169=""),0,MIN(MAX(0,K173-K779),IFERROR(MAX(0,MIN(9,'Loan Tape'!$AV169)-MAX(8,'Loan Tape'!$AT169))*IF(K476&lt;=0,K173/MAX(1,'Loan Tape'!$AU169-9+1),K476*K173/(1-(1+K476)^(-MAX(1,'Loan Tape'!$AU169-9+1)))-K476*K173),0)))</f>
        <v>0</v>
      </c>
      <c r="L1082" s="71" t="n">
        <f aca="false">IF(OR('Loan Tape'!$AN169=0,'Loan Tape'!$Z169="Interest Only",'Loan Tape'!$Z169=""),0,MIN(MAX(0,L173-L779),IFERROR(MAX(0,MIN(10,'Loan Tape'!$AV169)-MAX(9,'Loan Tape'!$AT169))*IF(L476&lt;=0,L173/MAX(1,'Loan Tape'!$AU169-10+1),L476*L173/(1-(1+L476)^(-MAX(1,'Loan Tape'!$AU169-10+1)))-L476*L173),0)))</f>
        <v>0</v>
      </c>
    </row>
    <row r="1083" customFormat="false" ht="15" hidden="false" customHeight="false" outlineLevel="0" collapsed="false">
      <c r="B1083" s="102" t="n">
        <f aca="false">'Loan Tape'!$A170</f>
        <v>0</v>
      </c>
      <c r="C1083" s="99" t="n">
        <f aca="false">IF(OR('Loan Tape'!$AN170=0,'Loan Tape'!$Z170="Interest Only",'Loan Tape'!$Z170=""),0,MIN(MAX(0,C174-C780),IFERROR(MAX(0,MIN(1,'Loan Tape'!$AV170)-MAX(0,'Loan Tape'!$AT170))*IF(C477&lt;=0,C174/MAX(1,'Loan Tape'!$AU170-1+1),C477*C174/(1-(1+C477)^(-MAX(1,'Loan Tape'!$AU170-1+1)))-C477*C174),0)))</f>
        <v>0</v>
      </c>
      <c r="D1083" s="99" t="n">
        <f aca="false">IF(OR('Loan Tape'!$AN170=0,'Loan Tape'!$Z170="Interest Only",'Loan Tape'!$Z170=""),0,MIN(MAX(0,D174-D780),IFERROR(MAX(0,MIN(2,'Loan Tape'!$AV170)-MAX(1,'Loan Tape'!$AT170))*IF(D477&lt;=0,D174/MAX(1,'Loan Tape'!$AU170-2+1),D477*D174/(1-(1+D477)^(-MAX(1,'Loan Tape'!$AU170-2+1)))-D477*D174),0)))</f>
        <v>0</v>
      </c>
      <c r="E1083" s="99" t="n">
        <f aca="false">IF(OR('Loan Tape'!$AN170=0,'Loan Tape'!$Z170="Interest Only",'Loan Tape'!$Z170=""),0,MIN(MAX(0,E174-E780),IFERROR(MAX(0,MIN(3,'Loan Tape'!$AV170)-MAX(2,'Loan Tape'!$AT170))*IF(E477&lt;=0,E174/MAX(1,'Loan Tape'!$AU170-3+1),E477*E174/(1-(1+E477)^(-MAX(1,'Loan Tape'!$AU170-3+1)))-E477*E174),0)))</f>
        <v>0</v>
      </c>
      <c r="F1083" s="99" t="n">
        <f aca="false">IF(OR('Loan Tape'!$AN170=0,'Loan Tape'!$Z170="Interest Only",'Loan Tape'!$Z170=""),0,MIN(MAX(0,F174-F780),IFERROR(MAX(0,MIN(4,'Loan Tape'!$AV170)-MAX(3,'Loan Tape'!$AT170))*IF(F477&lt;=0,F174/MAX(1,'Loan Tape'!$AU170-4+1),F477*F174/(1-(1+F477)^(-MAX(1,'Loan Tape'!$AU170-4+1)))-F477*F174),0)))</f>
        <v>0</v>
      </c>
      <c r="G1083" s="99" t="n">
        <f aca="false">IF(OR('Loan Tape'!$AN170=0,'Loan Tape'!$Z170="Interest Only",'Loan Tape'!$Z170=""),0,MIN(MAX(0,G174-G780),IFERROR(MAX(0,MIN(5,'Loan Tape'!$AV170)-MAX(4,'Loan Tape'!$AT170))*IF(G477&lt;=0,G174/MAX(1,'Loan Tape'!$AU170-5+1),G477*G174/(1-(1+G477)^(-MAX(1,'Loan Tape'!$AU170-5+1)))-G477*G174),0)))</f>
        <v>0</v>
      </c>
      <c r="H1083" s="99" t="n">
        <f aca="false">IF(OR('Loan Tape'!$AN170=0,'Loan Tape'!$Z170="Interest Only",'Loan Tape'!$Z170=""),0,MIN(MAX(0,H174-H780),IFERROR(MAX(0,MIN(6,'Loan Tape'!$AV170)-MAX(5,'Loan Tape'!$AT170))*IF(H477&lt;=0,H174/MAX(1,'Loan Tape'!$AU170-6+1),H477*H174/(1-(1+H477)^(-MAX(1,'Loan Tape'!$AU170-6+1)))-H477*H174),0)))</f>
        <v>0</v>
      </c>
      <c r="I1083" s="99" t="n">
        <f aca="false">IF(OR('Loan Tape'!$AN170=0,'Loan Tape'!$Z170="Interest Only",'Loan Tape'!$Z170=""),0,MIN(MAX(0,I174-I780),IFERROR(MAX(0,MIN(7,'Loan Tape'!$AV170)-MAX(6,'Loan Tape'!$AT170))*IF(I477&lt;=0,I174/MAX(1,'Loan Tape'!$AU170-7+1),I477*I174/(1-(1+I477)^(-MAX(1,'Loan Tape'!$AU170-7+1)))-I477*I174),0)))</f>
        <v>0</v>
      </c>
      <c r="J1083" s="99" t="n">
        <f aca="false">IF(OR('Loan Tape'!$AN170=0,'Loan Tape'!$Z170="Interest Only",'Loan Tape'!$Z170=""),0,MIN(MAX(0,J174-J780),IFERROR(MAX(0,MIN(8,'Loan Tape'!$AV170)-MAX(7,'Loan Tape'!$AT170))*IF(J477&lt;=0,J174/MAX(1,'Loan Tape'!$AU170-8+1),J477*J174/(1-(1+J477)^(-MAX(1,'Loan Tape'!$AU170-8+1)))-J477*J174),0)))</f>
        <v>0</v>
      </c>
      <c r="K1083" s="99" t="n">
        <f aca="false">IF(OR('Loan Tape'!$AN170=0,'Loan Tape'!$Z170="Interest Only",'Loan Tape'!$Z170=""),0,MIN(MAX(0,K174-K780),IFERROR(MAX(0,MIN(9,'Loan Tape'!$AV170)-MAX(8,'Loan Tape'!$AT170))*IF(K477&lt;=0,K174/MAX(1,'Loan Tape'!$AU170-9+1),K477*K174/(1-(1+K477)^(-MAX(1,'Loan Tape'!$AU170-9+1)))-K477*K174),0)))</f>
        <v>0</v>
      </c>
      <c r="L1083" s="99" t="n">
        <f aca="false">IF(OR('Loan Tape'!$AN170=0,'Loan Tape'!$Z170="Interest Only",'Loan Tape'!$Z170=""),0,MIN(MAX(0,L174-L780),IFERROR(MAX(0,MIN(10,'Loan Tape'!$AV170)-MAX(9,'Loan Tape'!$AT170))*IF(L477&lt;=0,L174/MAX(1,'Loan Tape'!$AU170-10+1),L477*L174/(1-(1+L477)^(-MAX(1,'Loan Tape'!$AU170-10+1)))-L477*L174),0)))</f>
        <v>0</v>
      </c>
    </row>
    <row r="1084" customFormat="false" ht="15" hidden="false" customHeight="false" outlineLevel="0" collapsed="false">
      <c r="B1084" s="108" t="n">
        <f aca="false">'Loan Tape'!$A171</f>
        <v>0</v>
      </c>
      <c r="C1084" s="71" t="n">
        <f aca="false">IF(OR('Loan Tape'!$AN171=0,'Loan Tape'!$Z171="Interest Only",'Loan Tape'!$Z171=""),0,MIN(MAX(0,C175-C781),IFERROR(MAX(0,MIN(1,'Loan Tape'!$AV171)-MAX(0,'Loan Tape'!$AT171))*IF(C478&lt;=0,C175/MAX(1,'Loan Tape'!$AU171-1+1),C478*C175/(1-(1+C478)^(-MAX(1,'Loan Tape'!$AU171-1+1)))-C478*C175),0)))</f>
        <v>0</v>
      </c>
      <c r="D1084" s="71" t="n">
        <f aca="false">IF(OR('Loan Tape'!$AN171=0,'Loan Tape'!$Z171="Interest Only",'Loan Tape'!$Z171=""),0,MIN(MAX(0,D175-D781),IFERROR(MAX(0,MIN(2,'Loan Tape'!$AV171)-MAX(1,'Loan Tape'!$AT171))*IF(D478&lt;=0,D175/MAX(1,'Loan Tape'!$AU171-2+1),D478*D175/(1-(1+D478)^(-MAX(1,'Loan Tape'!$AU171-2+1)))-D478*D175),0)))</f>
        <v>0</v>
      </c>
      <c r="E1084" s="71" t="n">
        <f aca="false">IF(OR('Loan Tape'!$AN171=0,'Loan Tape'!$Z171="Interest Only",'Loan Tape'!$Z171=""),0,MIN(MAX(0,E175-E781),IFERROR(MAX(0,MIN(3,'Loan Tape'!$AV171)-MAX(2,'Loan Tape'!$AT171))*IF(E478&lt;=0,E175/MAX(1,'Loan Tape'!$AU171-3+1),E478*E175/(1-(1+E478)^(-MAX(1,'Loan Tape'!$AU171-3+1)))-E478*E175),0)))</f>
        <v>0</v>
      </c>
      <c r="F1084" s="71" t="n">
        <f aca="false">IF(OR('Loan Tape'!$AN171=0,'Loan Tape'!$Z171="Interest Only",'Loan Tape'!$Z171=""),0,MIN(MAX(0,F175-F781),IFERROR(MAX(0,MIN(4,'Loan Tape'!$AV171)-MAX(3,'Loan Tape'!$AT171))*IF(F478&lt;=0,F175/MAX(1,'Loan Tape'!$AU171-4+1),F478*F175/(1-(1+F478)^(-MAX(1,'Loan Tape'!$AU171-4+1)))-F478*F175),0)))</f>
        <v>0</v>
      </c>
      <c r="G1084" s="71" t="n">
        <f aca="false">IF(OR('Loan Tape'!$AN171=0,'Loan Tape'!$Z171="Interest Only",'Loan Tape'!$Z171=""),0,MIN(MAX(0,G175-G781),IFERROR(MAX(0,MIN(5,'Loan Tape'!$AV171)-MAX(4,'Loan Tape'!$AT171))*IF(G478&lt;=0,G175/MAX(1,'Loan Tape'!$AU171-5+1),G478*G175/(1-(1+G478)^(-MAX(1,'Loan Tape'!$AU171-5+1)))-G478*G175),0)))</f>
        <v>0</v>
      </c>
      <c r="H1084" s="71" t="n">
        <f aca="false">IF(OR('Loan Tape'!$AN171=0,'Loan Tape'!$Z171="Interest Only",'Loan Tape'!$Z171=""),0,MIN(MAX(0,H175-H781),IFERROR(MAX(0,MIN(6,'Loan Tape'!$AV171)-MAX(5,'Loan Tape'!$AT171))*IF(H478&lt;=0,H175/MAX(1,'Loan Tape'!$AU171-6+1),H478*H175/(1-(1+H478)^(-MAX(1,'Loan Tape'!$AU171-6+1)))-H478*H175),0)))</f>
        <v>0</v>
      </c>
      <c r="I1084" s="71" t="n">
        <f aca="false">IF(OR('Loan Tape'!$AN171=0,'Loan Tape'!$Z171="Interest Only",'Loan Tape'!$Z171=""),0,MIN(MAX(0,I175-I781),IFERROR(MAX(0,MIN(7,'Loan Tape'!$AV171)-MAX(6,'Loan Tape'!$AT171))*IF(I478&lt;=0,I175/MAX(1,'Loan Tape'!$AU171-7+1),I478*I175/(1-(1+I478)^(-MAX(1,'Loan Tape'!$AU171-7+1)))-I478*I175),0)))</f>
        <v>0</v>
      </c>
      <c r="J1084" s="71" t="n">
        <f aca="false">IF(OR('Loan Tape'!$AN171=0,'Loan Tape'!$Z171="Interest Only",'Loan Tape'!$Z171=""),0,MIN(MAX(0,J175-J781),IFERROR(MAX(0,MIN(8,'Loan Tape'!$AV171)-MAX(7,'Loan Tape'!$AT171))*IF(J478&lt;=0,J175/MAX(1,'Loan Tape'!$AU171-8+1),J478*J175/(1-(1+J478)^(-MAX(1,'Loan Tape'!$AU171-8+1)))-J478*J175),0)))</f>
        <v>0</v>
      </c>
      <c r="K1084" s="71" t="n">
        <f aca="false">IF(OR('Loan Tape'!$AN171=0,'Loan Tape'!$Z171="Interest Only",'Loan Tape'!$Z171=""),0,MIN(MAX(0,K175-K781),IFERROR(MAX(0,MIN(9,'Loan Tape'!$AV171)-MAX(8,'Loan Tape'!$AT171))*IF(K478&lt;=0,K175/MAX(1,'Loan Tape'!$AU171-9+1),K478*K175/(1-(1+K478)^(-MAX(1,'Loan Tape'!$AU171-9+1)))-K478*K175),0)))</f>
        <v>0</v>
      </c>
      <c r="L1084" s="71" t="n">
        <f aca="false">IF(OR('Loan Tape'!$AN171=0,'Loan Tape'!$Z171="Interest Only",'Loan Tape'!$Z171=""),0,MIN(MAX(0,L175-L781),IFERROR(MAX(0,MIN(10,'Loan Tape'!$AV171)-MAX(9,'Loan Tape'!$AT171))*IF(L478&lt;=0,L175/MAX(1,'Loan Tape'!$AU171-10+1),L478*L175/(1-(1+L478)^(-MAX(1,'Loan Tape'!$AU171-10+1)))-L478*L175),0)))</f>
        <v>0</v>
      </c>
    </row>
    <row r="1085" customFormat="false" ht="15" hidden="false" customHeight="false" outlineLevel="0" collapsed="false">
      <c r="B1085" s="102" t="n">
        <f aca="false">'Loan Tape'!$A172</f>
        <v>0</v>
      </c>
      <c r="C1085" s="99" t="n">
        <f aca="false">IF(OR('Loan Tape'!$AN172=0,'Loan Tape'!$Z172="Interest Only",'Loan Tape'!$Z172=""),0,MIN(MAX(0,C176-C782),IFERROR(MAX(0,MIN(1,'Loan Tape'!$AV172)-MAX(0,'Loan Tape'!$AT172))*IF(C479&lt;=0,C176/MAX(1,'Loan Tape'!$AU172-1+1),C479*C176/(1-(1+C479)^(-MAX(1,'Loan Tape'!$AU172-1+1)))-C479*C176),0)))</f>
        <v>0</v>
      </c>
      <c r="D1085" s="99" t="n">
        <f aca="false">IF(OR('Loan Tape'!$AN172=0,'Loan Tape'!$Z172="Interest Only",'Loan Tape'!$Z172=""),0,MIN(MAX(0,D176-D782),IFERROR(MAX(0,MIN(2,'Loan Tape'!$AV172)-MAX(1,'Loan Tape'!$AT172))*IF(D479&lt;=0,D176/MAX(1,'Loan Tape'!$AU172-2+1),D479*D176/(1-(1+D479)^(-MAX(1,'Loan Tape'!$AU172-2+1)))-D479*D176),0)))</f>
        <v>0</v>
      </c>
      <c r="E1085" s="99" t="n">
        <f aca="false">IF(OR('Loan Tape'!$AN172=0,'Loan Tape'!$Z172="Interest Only",'Loan Tape'!$Z172=""),0,MIN(MAX(0,E176-E782),IFERROR(MAX(0,MIN(3,'Loan Tape'!$AV172)-MAX(2,'Loan Tape'!$AT172))*IF(E479&lt;=0,E176/MAX(1,'Loan Tape'!$AU172-3+1),E479*E176/(1-(1+E479)^(-MAX(1,'Loan Tape'!$AU172-3+1)))-E479*E176),0)))</f>
        <v>0</v>
      </c>
      <c r="F1085" s="99" t="n">
        <f aca="false">IF(OR('Loan Tape'!$AN172=0,'Loan Tape'!$Z172="Interest Only",'Loan Tape'!$Z172=""),0,MIN(MAX(0,F176-F782),IFERROR(MAX(0,MIN(4,'Loan Tape'!$AV172)-MAX(3,'Loan Tape'!$AT172))*IF(F479&lt;=0,F176/MAX(1,'Loan Tape'!$AU172-4+1),F479*F176/(1-(1+F479)^(-MAX(1,'Loan Tape'!$AU172-4+1)))-F479*F176),0)))</f>
        <v>0</v>
      </c>
      <c r="G1085" s="99" t="n">
        <f aca="false">IF(OR('Loan Tape'!$AN172=0,'Loan Tape'!$Z172="Interest Only",'Loan Tape'!$Z172=""),0,MIN(MAX(0,G176-G782),IFERROR(MAX(0,MIN(5,'Loan Tape'!$AV172)-MAX(4,'Loan Tape'!$AT172))*IF(G479&lt;=0,G176/MAX(1,'Loan Tape'!$AU172-5+1),G479*G176/(1-(1+G479)^(-MAX(1,'Loan Tape'!$AU172-5+1)))-G479*G176),0)))</f>
        <v>0</v>
      </c>
      <c r="H1085" s="99" t="n">
        <f aca="false">IF(OR('Loan Tape'!$AN172=0,'Loan Tape'!$Z172="Interest Only",'Loan Tape'!$Z172=""),0,MIN(MAX(0,H176-H782),IFERROR(MAX(0,MIN(6,'Loan Tape'!$AV172)-MAX(5,'Loan Tape'!$AT172))*IF(H479&lt;=0,H176/MAX(1,'Loan Tape'!$AU172-6+1),H479*H176/(1-(1+H479)^(-MAX(1,'Loan Tape'!$AU172-6+1)))-H479*H176),0)))</f>
        <v>0</v>
      </c>
      <c r="I1085" s="99" t="n">
        <f aca="false">IF(OR('Loan Tape'!$AN172=0,'Loan Tape'!$Z172="Interest Only",'Loan Tape'!$Z172=""),0,MIN(MAX(0,I176-I782),IFERROR(MAX(0,MIN(7,'Loan Tape'!$AV172)-MAX(6,'Loan Tape'!$AT172))*IF(I479&lt;=0,I176/MAX(1,'Loan Tape'!$AU172-7+1),I479*I176/(1-(1+I479)^(-MAX(1,'Loan Tape'!$AU172-7+1)))-I479*I176),0)))</f>
        <v>0</v>
      </c>
      <c r="J1085" s="99" t="n">
        <f aca="false">IF(OR('Loan Tape'!$AN172=0,'Loan Tape'!$Z172="Interest Only",'Loan Tape'!$Z172=""),0,MIN(MAX(0,J176-J782),IFERROR(MAX(0,MIN(8,'Loan Tape'!$AV172)-MAX(7,'Loan Tape'!$AT172))*IF(J479&lt;=0,J176/MAX(1,'Loan Tape'!$AU172-8+1),J479*J176/(1-(1+J479)^(-MAX(1,'Loan Tape'!$AU172-8+1)))-J479*J176),0)))</f>
        <v>0</v>
      </c>
      <c r="K1085" s="99" t="n">
        <f aca="false">IF(OR('Loan Tape'!$AN172=0,'Loan Tape'!$Z172="Interest Only",'Loan Tape'!$Z172=""),0,MIN(MAX(0,K176-K782),IFERROR(MAX(0,MIN(9,'Loan Tape'!$AV172)-MAX(8,'Loan Tape'!$AT172))*IF(K479&lt;=0,K176/MAX(1,'Loan Tape'!$AU172-9+1),K479*K176/(1-(1+K479)^(-MAX(1,'Loan Tape'!$AU172-9+1)))-K479*K176),0)))</f>
        <v>0</v>
      </c>
      <c r="L1085" s="99" t="n">
        <f aca="false">IF(OR('Loan Tape'!$AN172=0,'Loan Tape'!$Z172="Interest Only",'Loan Tape'!$Z172=""),0,MIN(MAX(0,L176-L782),IFERROR(MAX(0,MIN(10,'Loan Tape'!$AV172)-MAX(9,'Loan Tape'!$AT172))*IF(L479&lt;=0,L176/MAX(1,'Loan Tape'!$AU172-10+1),L479*L176/(1-(1+L479)^(-MAX(1,'Loan Tape'!$AU172-10+1)))-L479*L176),0)))</f>
        <v>0</v>
      </c>
    </row>
    <row r="1086" customFormat="false" ht="15" hidden="false" customHeight="false" outlineLevel="0" collapsed="false">
      <c r="B1086" s="108" t="n">
        <f aca="false">'Loan Tape'!$A173</f>
        <v>0</v>
      </c>
      <c r="C1086" s="71" t="n">
        <f aca="false">IF(OR('Loan Tape'!$AN173=0,'Loan Tape'!$Z173="Interest Only",'Loan Tape'!$Z173=""),0,MIN(MAX(0,C177-C783),IFERROR(MAX(0,MIN(1,'Loan Tape'!$AV173)-MAX(0,'Loan Tape'!$AT173))*IF(C480&lt;=0,C177/MAX(1,'Loan Tape'!$AU173-1+1),C480*C177/(1-(1+C480)^(-MAX(1,'Loan Tape'!$AU173-1+1)))-C480*C177),0)))</f>
        <v>0</v>
      </c>
      <c r="D1086" s="71" t="n">
        <f aca="false">IF(OR('Loan Tape'!$AN173=0,'Loan Tape'!$Z173="Interest Only",'Loan Tape'!$Z173=""),0,MIN(MAX(0,D177-D783),IFERROR(MAX(0,MIN(2,'Loan Tape'!$AV173)-MAX(1,'Loan Tape'!$AT173))*IF(D480&lt;=0,D177/MAX(1,'Loan Tape'!$AU173-2+1),D480*D177/(1-(1+D480)^(-MAX(1,'Loan Tape'!$AU173-2+1)))-D480*D177),0)))</f>
        <v>0</v>
      </c>
      <c r="E1086" s="71" t="n">
        <f aca="false">IF(OR('Loan Tape'!$AN173=0,'Loan Tape'!$Z173="Interest Only",'Loan Tape'!$Z173=""),0,MIN(MAX(0,E177-E783),IFERROR(MAX(0,MIN(3,'Loan Tape'!$AV173)-MAX(2,'Loan Tape'!$AT173))*IF(E480&lt;=0,E177/MAX(1,'Loan Tape'!$AU173-3+1),E480*E177/(1-(1+E480)^(-MAX(1,'Loan Tape'!$AU173-3+1)))-E480*E177),0)))</f>
        <v>0</v>
      </c>
      <c r="F1086" s="71" t="n">
        <f aca="false">IF(OR('Loan Tape'!$AN173=0,'Loan Tape'!$Z173="Interest Only",'Loan Tape'!$Z173=""),0,MIN(MAX(0,F177-F783),IFERROR(MAX(0,MIN(4,'Loan Tape'!$AV173)-MAX(3,'Loan Tape'!$AT173))*IF(F480&lt;=0,F177/MAX(1,'Loan Tape'!$AU173-4+1),F480*F177/(1-(1+F480)^(-MAX(1,'Loan Tape'!$AU173-4+1)))-F480*F177),0)))</f>
        <v>0</v>
      </c>
      <c r="G1086" s="71" t="n">
        <f aca="false">IF(OR('Loan Tape'!$AN173=0,'Loan Tape'!$Z173="Interest Only",'Loan Tape'!$Z173=""),0,MIN(MAX(0,G177-G783),IFERROR(MAX(0,MIN(5,'Loan Tape'!$AV173)-MAX(4,'Loan Tape'!$AT173))*IF(G480&lt;=0,G177/MAX(1,'Loan Tape'!$AU173-5+1),G480*G177/(1-(1+G480)^(-MAX(1,'Loan Tape'!$AU173-5+1)))-G480*G177),0)))</f>
        <v>0</v>
      </c>
      <c r="H1086" s="71" t="n">
        <f aca="false">IF(OR('Loan Tape'!$AN173=0,'Loan Tape'!$Z173="Interest Only",'Loan Tape'!$Z173=""),0,MIN(MAX(0,H177-H783),IFERROR(MAX(0,MIN(6,'Loan Tape'!$AV173)-MAX(5,'Loan Tape'!$AT173))*IF(H480&lt;=0,H177/MAX(1,'Loan Tape'!$AU173-6+1),H480*H177/(1-(1+H480)^(-MAX(1,'Loan Tape'!$AU173-6+1)))-H480*H177),0)))</f>
        <v>0</v>
      </c>
      <c r="I1086" s="71" t="n">
        <f aca="false">IF(OR('Loan Tape'!$AN173=0,'Loan Tape'!$Z173="Interest Only",'Loan Tape'!$Z173=""),0,MIN(MAX(0,I177-I783),IFERROR(MAX(0,MIN(7,'Loan Tape'!$AV173)-MAX(6,'Loan Tape'!$AT173))*IF(I480&lt;=0,I177/MAX(1,'Loan Tape'!$AU173-7+1),I480*I177/(1-(1+I480)^(-MAX(1,'Loan Tape'!$AU173-7+1)))-I480*I177),0)))</f>
        <v>0</v>
      </c>
      <c r="J1086" s="71" t="n">
        <f aca="false">IF(OR('Loan Tape'!$AN173=0,'Loan Tape'!$Z173="Interest Only",'Loan Tape'!$Z173=""),0,MIN(MAX(0,J177-J783),IFERROR(MAX(0,MIN(8,'Loan Tape'!$AV173)-MAX(7,'Loan Tape'!$AT173))*IF(J480&lt;=0,J177/MAX(1,'Loan Tape'!$AU173-8+1),J480*J177/(1-(1+J480)^(-MAX(1,'Loan Tape'!$AU173-8+1)))-J480*J177),0)))</f>
        <v>0</v>
      </c>
      <c r="K1086" s="71" t="n">
        <f aca="false">IF(OR('Loan Tape'!$AN173=0,'Loan Tape'!$Z173="Interest Only",'Loan Tape'!$Z173=""),0,MIN(MAX(0,K177-K783),IFERROR(MAX(0,MIN(9,'Loan Tape'!$AV173)-MAX(8,'Loan Tape'!$AT173))*IF(K480&lt;=0,K177/MAX(1,'Loan Tape'!$AU173-9+1),K480*K177/(1-(1+K480)^(-MAX(1,'Loan Tape'!$AU173-9+1)))-K480*K177),0)))</f>
        <v>0</v>
      </c>
      <c r="L1086" s="71" t="n">
        <f aca="false">IF(OR('Loan Tape'!$AN173=0,'Loan Tape'!$Z173="Interest Only",'Loan Tape'!$Z173=""),0,MIN(MAX(0,L177-L783),IFERROR(MAX(0,MIN(10,'Loan Tape'!$AV173)-MAX(9,'Loan Tape'!$AT173))*IF(L480&lt;=0,L177/MAX(1,'Loan Tape'!$AU173-10+1),L480*L177/(1-(1+L480)^(-MAX(1,'Loan Tape'!$AU173-10+1)))-L480*L177),0)))</f>
        <v>0</v>
      </c>
    </row>
    <row r="1087" customFormat="false" ht="15" hidden="false" customHeight="false" outlineLevel="0" collapsed="false">
      <c r="B1087" s="102" t="n">
        <f aca="false">'Loan Tape'!$A174</f>
        <v>0</v>
      </c>
      <c r="C1087" s="99" t="n">
        <f aca="false">IF(OR('Loan Tape'!$AN174=0,'Loan Tape'!$Z174="Interest Only",'Loan Tape'!$Z174=""),0,MIN(MAX(0,C178-C784),IFERROR(MAX(0,MIN(1,'Loan Tape'!$AV174)-MAX(0,'Loan Tape'!$AT174))*IF(C481&lt;=0,C178/MAX(1,'Loan Tape'!$AU174-1+1),C481*C178/(1-(1+C481)^(-MAX(1,'Loan Tape'!$AU174-1+1)))-C481*C178),0)))</f>
        <v>0</v>
      </c>
      <c r="D1087" s="99" t="n">
        <f aca="false">IF(OR('Loan Tape'!$AN174=0,'Loan Tape'!$Z174="Interest Only",'Loan Tape'!$Z174=""),0,MIN(MAX(0,D178-D784),IFERROR(MAX(0,MIN(2,'Loan Tape'!$AV174)-MAX(1,'Loan Tape'!$AT174))*IF(D481&lt;=0,D178/MAX(1,'Loan Tape'!$AU174-2+1),D481*D178/(1-(1+D481)^(-MAX(1,'Loan Tape'!$AU174-2+1)))-D481*D178),0)))</f>
        <v>0</v>
      </c>
      <c r="E1087" s="99" t="n">
        <f aca="false">IF(OR('Loan Tape'!$AN174=0,'Loan Tape'!$Z174="Interest Only",'Loan Tape'!$Z174=""),0,MIN(MAX(0,E178-E784),IFERROR(MAX(0,MIN(3,'Loan Tape'!$AV174)-MAX(2,'Loan Tape'!$AT174))*IF(E481&lt;=0,E178/MAX(1,'Loan Tape'!$AU174-3+1),E481*E178/(1-(1+E481)^(-MAX(1,'Loan Tape'!$AU174-3+1)))-E481*E178),0)))</f>
        <v>0</v>
      </c>
      <c r="F1087" s="99" t="n">
        <f aca="false">IF(OR('Loan Tape'!$AN174=0,'Loan Tape'!$Z174="Interest Only",'Loan Tape'!$Z174=""),0,MIN(MAX(0,F178-F784),IFERROR(MAX(0,MIN(4,'Loan Tape'!$AV174)-MAX(3,'Loan Tape'!$AT174))*IF(F481&lt;=0,F178/MAX(1,'Loan Tape'!$AU174-4+1),F481*F178/(1-(1+F481)^(-MAX(1,'Loan Tape'!$AU174-4+1)))-F481*F178),0)))</f>
        <v>0</v>
      </c>
      <c r="G1087" s="99" t="n">
        <f aca="false">IF(OR('Loan Tape'!$AN174=0,'Loan Tape'!$Z174="Interest Only",'Loan Tape'!$Z174=""),0,MIN(MAX(0,G178-G784),IFERROR(MAX(0,MIN(5,'Loan Tape'!$AV174)-MAX(4,'Loan Tape'!$AT174))*IF(G481&lt;=0,G178/MAX(1,'Loan Tape'!$AU174-5+1),G481*G178/(1-(1+G481)^(-MAX(1,'Loan Tape'!$AU174-5+1)))-G481*G178),0)))</f>
        <v>0</v>
      </c>
      <c r="H1087" s="99" t="n">
        <f aca="false">IF(OR('Loan Tape'!$AN174=0,'Loan Tape'!$Z174="Interest Only",'Loan Tape'!$Z174=""),0,MIN(MAX(0,H178-H784),IFERROR(MAX(0,MIN(6,'Loan Tape'!$AV174)-MAX(5,'Loan Tape'!$AT174))*IF(H481&lt;=0,H178/MAX(1,'Loan Tape'!$AU174-6+1),H481*H178/(1-(1+H481)^(-MAX(1,'Loan Tape'!$AU174-6+1)))-H481*H178),0)))</f>
        <v>0</v>
      </c>
      <c r="I1087" s="99" t="n">
        <f aca="false">IF(OR('Loan Tape'!$AN174=0,'Loan Tape'!$Z174="Interest Only",'Loan Tape'!$Z174=""),0,MIN(MAX(0,I178-I784),IFERROR(MAX(0,MIN(7,'Loan Tape'!$AV174)-MAX(6,'Loan Tape'!$AT174))*IF(I481&lt;=0,I178/MAX(1,'Loan Tape'!$AU174-7+1),I481*I178/(1-(1+I481)^(-MAX(1,'Loan Tape'!$AU174-7+1)))-I481*I178),0)))</f>
        <v>0</v>
      </c>
      <c r="J1087" s="99" t="n">
        <f aca="false">IF(OR('Loan Tape'!$AN174=0,'Loan Tape'!$Z174="Interest Only",'Loan Tape'!$Z174=""),0,MIN(MAX(0,J178-J784),IFERROR(MAX(0,MIN(8,'Loan Tape'!$AV174)-MAX(7,'Loan Tape'!$AT174))*IF(J481&lt;=0,J178/MAX(1,'Loan Tape'!$AU174-8+1),J481*J178/(1-(1+J481)^(-MAX(1,'Loan Tape'!$AU174-8+1)))-J481*J178),0)))</f>
        <v>0</v>
      </c>
      <c r="K1087" s="99" t="n">
        <f aca="false">IF(OR('Loan Tape'!$AN174=0,'Loan Tape'!$Z174="Interest Only",'Loan Tape'!$Z174=""),0,MIN(MAX(0,K178-K784),IFERROR(MAX(0,MIN(9,'Loan Tape'!$AV174)-MAX(8,'Loan Tape'!$AT174))*IF(K481&lt;=0,K178/MAX(1,'Loan Tape'!$AU174-9+1),K481*K178/(1-(1+K481)^(-MAX(1,'Loan Tape'!$AU174-9+1)))-K481*K178),0)))</f>
        <v>0</v>
      </c>
      <c r="L1087" s="99" t="n">
        <f aca="false">IF(OR('Loan Tape'!$AN174=0,'Loan Tape'!$Z174="Interest Only",'Loan Tape'!$Z174=""),0,MIN(MAX(0,L178-L784),IFERROR(MAX(0,MIN(10,'Loan Tape'!$AV174)-MAX(9,'Loan Tape'!$AT174))*IF(L481&lt;=0,L178/MAX(1,'Loan Tape'!$AU174-10+1),L481*L178/(1-(1+L481)^(-MAX(1,'Loan Tape'!$AU174-10+1)))-L481*L178),0)))</f>
        <v>0</v>
      </c>
    </row>
    <row r="1088" customFormat="false" ht="15" hidden="false" customHeight="false" outlineLevel="0" collapsed="false">
      <c r="B1088" s="108" t="n">
        <f aca="false">'Loan Tape'!$A175</f>
        <v>0</v>
      </c>
      <c r="C1088" s="71" t="n">
        <f aca="false">IF(OR('Loan Tape'!$AN175=0,'Loan Tape'!$Z175="Interest Only",'Loan Tape'!$Z175=""),0,MIN(MAX(0,C179-C785),IFERROR(MAX(0,MIN(1,'Loan Tape'!$AV175)-MAX(0,'Loan Tape'!$AT175))*IF(C482&lt;=0,C179/MAX(1,'Loan Tape'!$AU175-1+1),C482*C179/(1-(1+C482)^(-MAX(1,'Loan Tape'!$AU175-1+1)))-C482*C179),0)))</f>
        <v>0</v>
      </c>
      <c r="D1088" s="71" t="n">
        <f aca="false">IF(OR('Loan Tape'!$AN175=0,'Loan Tape'!$Z175="Interest Only",'Loan Tape'!$Z175=""),0,MIN(MAX(0,D179-D785),IFERROR(MAX(0,MIN(2,'Loan Tape'!$AV175)-MAX(1,'Loan Tape'!$AT175))*IF(D482&lt;=0,D179/MAX(1,'Loan Tape'!$AU175-2+1),D482*D179/(1-(1+D482)^(-MAX(1,'Loan Tape'!$AU175-2+1)))-D482*D179),0)))</f>
        <v>0</v>
      </c>
      <c r="E1088" s="71" t="n">
        <f aca="false">IF(OR('Loan Tape'!$AN175=0,'Loan Tape'!$Z175="Interest Only",'Loan Tape'!$Z175=""),0,MIN(MAX(0,E179-E785),IFERROR(MAX(0,MIN(3,'Loan Tape'!$AV175)-MAX(2,'Loan Tape'!$AT175))*IF(E482&lt;=0,E179/MAX(1,'Loan Tape'!$AU175-3+1),E482*E179/(1-(1+E482)^(-MAX(1,'Loan Tape'!$AU175-3+1)))-E482*E179),0)))</f>
        <v>0</v>
      </c>
      <c r="F1088" s="71" t="n">
        <f aca="false">IF(OR('Loan Tape'!$AN175=0,'Loan Tape'!$Z175="Interest Only",'Loan Tape'!$Z175=""),0,MIN(MAX(0,F179-F785),IFERROR(MAX(0,MIN(4,'Loan Tape'!$AV175)-MAX(3,'Loan Tape'!$AT175))*IF(F482&lt;=0,F179/MAX(1,'Loan Tape'!$AU175-4+1),F482*F179/(1-(1+F482)^(-MAX(1,'Loan Tape'!$AU175-4+1)))-F482*F179),0)))</f>
        <v>0</v>
      </c>
      <c r="G1088" s="71" t="n">
        <f aca="false">IF(OR('Loan Tape'!$AN175=0,'Loan Tape'!$Z175="Interest Only",'Loan Tape'!$Z175=""),0,MIN(MAX(0,G179-G785),IFERROR(MAX(0,MIN(5,'Loan Tape'!$AV175)-MAX(4,'Loan Tape'!$AT175))*IF(G482&lt;=0,G179/MAX(1,'Loan Tape'!$AU175-5+1),G482*G179/(1-(1+G482)^(-MAX(1,'Loan Tape'!$AU175-5+1)))-G482*G179),0)))</f>
        <v>0</v>
      </c>
      <c r="H1088" s="71" t="n">
        <f aca="false">IF(OR('Loan Tape'!$AN175=0,'Loan Tape'!$Z175="Interest Only",'Loan Tape'!$Z175=""),0,MIN(MAX(0,H179-H785),IFERROR(MAX(0,MIN(6,'Loan Tape'!$AV175)-MAX(5,'Loan Tape'!$AT175))*IF(H482&lt;=0,H179/MAX(1,'Loan Tape'!$AU175-6+1),H482*H179/(1-(1+H482)^(-MAX(1,'Loan Tape'!$AU175-6+1)))-H482*H179),0)))</f>
        <v>0</v>
      </c>
      <c r="I1088" s="71" t="n">
        <f aca="false">IF(OR('Loan Tape'!$AN175=0,'Loan Tape'!$Z175="Interest Only",'Loan Tape'!$Z175=""),0,MIN(MAX(0,I179-I785),IFERROR(MAX(0,MIN(7,'Loan Tape'!$AV175)-MAX(6,'Loan Tape'!$AT175))*IF(I482&lt;=0,I179/MAX(1,'Loan Tape'!$AU175-7+1),I482*I179/(1-(1+I482)^(-MAX(1,'Loan Tape'!$AU175-7+1)))-I482*I179),0)))</f>
        <v>0</v>
      </c>
      <c r="J1088" s="71" t="n">
        <f aca="false">IF(OR('Loan Tape'!$AN175=0,'Loan Tape'!$Z175="Interest Only",'Loan Tape'!$Z175=""),0,MIN(MAX(0,J179-J785),IFERROR(MAX(0,MIN(8,'Loan Tape'!$AV175)-MAX(7,'Loan Tape'!$AT175))*IF(J482&lt;=0,J179/MAX(1,'Loan Tape'!$AU175-8+1),J482*J179/(1-(1+J482)^(-MAX(1,'Loan Tape'!$AU175-8+1)))-J482*J179),0)))</f>
        <v>0</v>
      </c>
      <c r="K1088" s="71" t="n">
        <f aca="false">IF(OR('Loan Tape'!$AN175=0,'Loan Tape'!$Z175="Interest Only",'Loan Tape'!$Z175=""),0,MIN(MAX(0,K179-K785),IFERROR(MAX(0,MIN(9,'Loan Tape'!$AV175)-MAX(8,'Loan Tape'!$AT175))*IF(K482&lt;=0,K179/MAX(1,'Loan Tape'!$AU175-9+1),K482*K179/(1-(1+K482)^(-MAX(1,'Loan Tape'!$AU175-9+1)))-K482*K179),0)))</f>
        <v>0</v>
      </c>
      <c r="L1088" s="71" t="n">
        <f aca="false">IF(OR('Loan Tape'!$AN175=0,'Loan Tape'!$Z175="Interest Only",'Loan Tape'!$Z175=""),0,MIN(MAX(0,L179-L785),IFERROR(MAX(0,MIN(10,'Loan Tape'!$AV175)-MAX(9,'Loan Tape'!$AT175))*IF(L482&lt;=0,L179/MAX(1,'Loan Tape'!$AU175-10+1),L482*L179/(1-(1+L482)^(-MAX(1,'Loan Tape'!$AU175-10+1)))-L482*L179),0)))</f>
        <v>0</v>
      </c>
    </row>
    <row r="1089" customFormat="false" ht="15" hidden="false" customHeight="false" outlineLevel="0" collapsed="false">
      <c r="B1089" s="102" t="n">
        <f aca="false">'Loan Tape'!$A176</f>
        <v>0</v>
      </c>
      <c r="C1089" s="99" t="n">
        <f aca="false">IF(OR('Loan Tape'!$AN176=0,'Loan Tape'!$Z176="Interest Only",'Loan Tape'!$Z176=""),0,MIN(MAX(0,C180-C786),IFERROR(MAX(0,MIN(1,'Loan Tape'!$AV176)-MAX(0,'Loan Tape'!$AT176))*IF(C483&lt;=0,C180/MAX(1,'Loan Tape'!$AU176-1+1),C483*C180/(1-(1+C483)^(-MAX(1,'Loan Tape'!$AU176-1+1)))-C483*C180),0)))</f>
        <v>0</v>
      </c>
      <c r="D1089" s="99" t="n">
        <f aca="false">IF(OR('Loan Tape'!$AN176=0,'Loan Tape'!$Z176="Interest Only",'Loan Tape'!$Z176=""),0,MIN(MAX(0,D180-D786),IFERROR(MAX(0,MIN(2,'Loan Tape'!$AV176)-MAX(1,'Loan Tape'!$AT176))*IF(D483&lt;=0,D180/MAX(1,'Loan Tape'!$AU176-2+1),D483*D180/(1-(1+D483)^(-MAX(1,'Loan Tape'!$AU176-2+1)))-D483*D180),0)))</f>
        <v>0</v>
      </c>
      <c r="E1089" s="99" t="n">
        <f aca="false">IF(OR('Loan Tape'!$AN176=0,'Loan Tape'!$Z176="Interest Only",'Loan Tape'!$Z176=""),0,MIN(MAX(0,E180-E786),IFERROR(MAX(0,MIN(3,'Loan Tape'!$AV176)-MAX(2,'Loan Tape'!$AT176))*IF(E483&lt;=0,E180/MAX(1,'Loan Tape'!$AU176-3+1),E483*E180/(1-(1+E483)^(-MAX(1,'Loan Tape'!$AU176-3+1)))-E483*E180),0)))</f>
        <v>0</v>
      </c>
      <c r="F1089" s="99" t="n">
        <f aca="false">IF(OR('Loan Tape'!$AN176=0,'Loan Tape'!$Z176="Interest Only",'Loan Tape'!$Z176=""),0,MIN(MAX(0,F180-F786),IFERROR(MAX(0,MIN(4,'Loan Tape'!$AV176)-MAX(3,'Loan Tape'!$AT176))*IF(F483&lt;=0,F180/MAX(1,'Loan Tape'!$AU176-4+1),F483*F180/(1-(1+F483)^(-MAX(1,'Loan Tape'!$AU176-4+1)))-F483*F180),0)))</f>
        <v>0</v>
      </c>
      <c r="G1089" s="99" t="n">
        <f aca="false">IF(OR('Loan Tape'!$AN176=0,'Loan Tape'!$Z176="Interest Only",'Loan Tape'!$Z176=""),0,MIN(MAX(0,G180-G786),IFERROR(MAX(0,MIN(5,'Loan Tape'!$AV176)-MAX(4,'Loan Tape'!$AT176))*IF(G483&lt;=0,G180/MAX(1,'Loan Tape'!$AU176-5+1),G483*G180/(1-(1+G483)^(-MAX(1,'Loan Tape'!$AU176-5+1)))-G483*G180),0)))</f>
        <v>0</v>
      </c>
      <c r="H1089" s="99" t="n">
        <f aca="false">IF(OR('Loan Tape'!$AN176=0,'Loan Tape'!$Z176="Interest Only",'Loan Tape'!$Z176=""),0,MIN(MAX(0,H180-H786),IFERROR(MAX(0,MIN(6,'Loan Tape'!$AV176)-MAX(5,'Loan Tape'!$AT176))*IF(H483&lt;=0,H180/MAX(1,'Loan Tape'!$AU176-6+1),H483*H180/(1-(1+H483)^(-MAX(1,'Loan Tape'!$AU176-6+1)))-H483*H180),0)))</f>
        <v>0</v>
      </c>
      <c r="I1089" s="99" t="n">
        <f aca="false">IF(OR('Loan Tape'!$AN176=0,'Loan Tape'!$Z176="Interest Only",'Loan Tape'!$Z176=""),0,MIN(MAX(0,I180-I786),IFERROR(MAX(0,MIN(7,'Loan Tape'!$AV176)-MAX(6,'Loan Tape'!$AT176))*IF(I483&lt;=0,I180/MAX(1,'Loan Tape'!$AU176-7+1),I483*I180/(1-(1+I483)^(-MAX(1,'Loan Tape'!$AU176-7+1)))-I483*I180),0)))</f>
        <v>0</v>
      </c>
      <c r="J1089" s="99" t="n">
        <f aca="false">IF(OR('Loan Tape'!$AN176=0,'Loan Tape'!$Z176="Interest Only",'Loan Tape'!$Z176=""),0,MIN(MAX(0,J180-J786),IFERROR(MAX(0,MIN(8,'Loan Tape'!$AV176)-MAX(7,'Loan Tape'!$AT176))*IF(J483&lt;=0,J180/MAX(1,'Loan Tape'!$AU176-8+1),J483*J180/(1-(1+J483)^(-MAX(1,'Loan Tape'!$AU176-8+1)))-J483*J180),0)))</f>
        <v>0</v>
      </c>
      <c r="K1089" s="99" t="n">
        <f aca="false">IF(OR('Loan Tape'!$AN176=0,'Loan Tape'!$Z176="Interest Only",'Loan Tape'!$Z176=""),0,MIN(MAX(0,K180-K786),IFERROR(MAX(0,MIN(9,'Loan Tape'!$AV176)-MAX(8,'Loan Tape'!$AT176))*IF(K483&lt;=0,K180/MAX(1,'Loan Tape'!$AU176-9+1),K483*K180/(1-(1+K483)^(-MAX(1,'Loan Tape'!$AU176-9+1)))-K483*K180),0)))</f>
        <v>0</v>
      </c>
      <c r="L1089" s="99" t="n">
        <f aca="false">IF(OR('Loan Tape'!$AN176=0,'Loan Tape'!$Z176="Interest Only",'Loan Tape'!$Z176=""),0,MIN(MAX(0,L180-L786),IFERROR(MAX(0,MIN(10,'Loan Tape'!$AV176)-MAX(9,'Loan Tape'!$AT176))*IF(L483&lt;=0,L180/MAX(1,'Loan Tape'!$AU176-10+1),L483*L180/(1-(1+L483)^(-MAX(1,'Loan Tape'!$AU176-10+1)))-L483*L180),0)))</f>
        <v>0</v>
      </c>
    </row>
    <row r="1090" customFormat="false" ht="15" hidden="false" customHeight="false" outlineLevel="0" collapsed="false">
      <c r="B1090" s="108" t="n">
        <f aca="false">'Loan Tape'!$A177</f>
        <v>0</v>
      </c>
      <c r="C1090" s="71" t="n">
        <f aca="false">IF(OR('Loan Tape'!$AN177=0,'Loan Tape'!$Z177="Interest Only",'Loan Tape'!$Z177=""),0,MIN(MAX(0,C181-C787),IFERROR(MAX(0,MIN(1,'Loan Tape'!$AV177)-MAX(0,'Loan Tape'!$AT177))*IF(C484&lt;=0,C181/MAX(1,'Loan Tape'!$AU177-1+1),C484*C181/(1-(1+C484)^(-MAX(1,'Loan Tape'!$AU177-1+1)))-C484*C181),0)))</f>
        <v>0</v>
      </c>
      <c r="D1090" s="71" t="n">
        <f aca="false">IF(OR('Loan Tape'!$AN177=0,'Loan Tape'!$Z177="Interest Only",'Loan Tape'!$Z177=""),0,MIN(MAX(0,D181-D787),IFERROR(MAX(0,MIN(2,'Loan Tape'!$AV177)-MAX(1,'Loan Tape'!$AT177))*IF(D484&lt;=0,D181/MAX(1,'Loan Tape'!$AU177-2+1),D484*D181/(1-(1+D484)^(-MAX(1,'Loan Tape'!$AU177-2+1)))-D484*D181),0)))</f>
        <v>0</v>
      </c>
      <c r="E1090" s="71" t="n">
        <f aca="false">IF(OR('Loan Tape'!$AN177=0,'Loan Tape'!$Z177="Interest Only",'Loan Tape'!$Z177=""),0,MIN(MAX(0,E181-E787),IFERROR(MAX(0,MIN(3,'Loan Tape'!$AV177)-MAX(2,'Loan Tape'!$AT177))*IF(E484&lt;=0,E181/MAX(1,'Loan Tape'!$AU177-3+1),E484*E181/(1-(1+E484)^(-MAX(1,'Loan Tape'!$AU177-3+1)))-E484*E181),0)))</f>
        <v>0</v>
      </c>
      <c r="F1090" s="71" t="n">
        <f aca="false">IF(OR('Loan Tape'!$AN177=0,'Loan Tape'!$Z177="Interest Only",'Loan Tape'!$Z177=""),0,MIN(MAX(0,F181-F787),IFERROR(MAX(0,MIN(4,'Loan Tape'!$AV177)-MAX(3,'Loan Tape'!$AT177))*IF(F484&lt;=0,F181/MAX(1,'Loan Tape'!$AU177-4+1),F484*F181/(1-(1+F484)^(-MAX(1,'Loan Tape'!$AU177-4+1)))-F484*F181),0)))</f>
        <v>0</v>
      </c>
      <c r="G1090" s="71" t="n">
        <f aca="false">IF(OR('Loan Tape'!$AN177=0,'Loan Tape'!$Z177="Interest Only",'Loan Tape'!$Z177=""),0,MIN(MAX(0,G181-G787),IFERROR(MAX(0,MIN(5,'Loan Tape'!$AV177)-MAX(4,'Loan Tape'!$AT177))*IF(G484&lt;=0,G181/MAX(1,'Loan Tape'!$AU177-5+1),G484*G181/(1-(1+G484)^(-MAX(1,'Loan Tape'!$AU177-5+1)))-G484*G181),0)))</f>
        <v>0</v>
      </c>
      <c r="H1090" s="71" t="n">
        <f aca="false">IF(OR('Loan Tape'!$AN177=0,'Loan Tape'!$Z177="Interest Only",'Loan Tape'!$Z177=""),0,MIN(MAX(0,H181-H787),IFERROR(MAX(0,MIN(6,'Loan Tape'!$AV177)-MAX(5,'Loan Tape'!$AT177))*IF(H484&lt;=0,H181/MAX(1,'Loan Tape'!$AU177-6+1),H484*H181/(1-(1+H484)^(-MAX(1,'Loan Tape'!$AU177-6+1)))-H484*H181),0)))</f>
        <v>0</v>
      </c>
      <c r="I1090" s="71" t="n">
        <f aca="false">IF(OR('Loan Tape'!$AN177=0,'Loan Tape'!$Z177="Interest Only",'Loan Tape'!$Z177=""),0,MIN(MAX(0,I181-I787),IFERROR(MAX(0,MIN(7,'Loan Tape'!$AV177)-MAX(6,'Loan Tape'!$AT177))*IF(I484&lt;=0,I181/MAX(1,'Loan Tape'!$AU177-7+1),I484*I181/(1-(1+I484)^(-MAX(1,'Loan Tape'!$AU177-7+1)))-I484*I181),0)))</f>
        <v>0</v>
      </c>
      <c r="J1090" s="71" t="n">
        <f aca="false">IF(OR('Loan Tape'!$AN177=0,'Loan Tape'!$Z177="Interest Only",'Loan Tape'!$Z177=""),0,MIN(MAX(0,J181-J787),IFERROR(MAX(0,MIN(8,'Loan Tape'!$AV177)-MAX(7,'Loan Tape'!$AT177))*IF(J484&lt;=0,J181/MAX(1,'Loan Tape'!$AU177-8+1),J484*J181/(1-(1+J484)^(-MAX(1,'Loan Tape'!$AU177-8+1)))-J484*J181),0)))</f>
        <v>0</v>
      </c>
      <c r="K1090" s="71" t="n">
        <f aca="false">IF(OR('Loan Tape'!$AN177=0,'Loan Tape'!$Z177="Interest Only",'Loan Tape'!$Z177=""),0,MIN(MAX(0,K181-K787),IFERROR(MAX(0,MIN(9,'Loan Tape'!$AV177)-MAX(8,'Loan Tape'!$AT177))*IF(K484&lt;=0,K181/MAX(1,'Loan Tape'!$AU177-9+1),K484*K181/(1-(1+K484)^(-MAX(1,'Loan Tape'!$AU177-9+1)))-K484*K181),0)))</f>
        <v>0</v>
      </c>
      <c r="L1090" s="71" t="n">
        <f aca="false">IF(OR('Loan Tape'!$AN177=0,'Loan Tape'!$Z177="Interest Only",'Loan Tape'!$Z177=""),0,MIN(MAX(0,L181-L787),IFERROR(MAX(0,MIN(10,'Loan Tape'!$AV177)-MAX(9,'Loan Tape'!$AT177))*IF(L484&lt;=0,L181/MAX(1,'Loan Tape'!$AU177-10+1),L484*L181/(1-(1+L484)^(-MAX(1,'Loan Tape'!$AU177-10+1)))-L484*L181),0)))</f>
        <v>0</v>
      </c>
    </row>
    <row r="1091" customFormat="false" ht="15" hidden="false" customHeight="false" outlineLevel="0" collapsed="false">
      <c r="B1091" s="102" t="n">
        <f aca="false">'Loan Tape'!$A178</f>
        <v>0</v>
      </c>
      <c r="C1091" s="99" t="n">
        <f aca="false">IF(OR('Loan Tape'!$AN178=0,'Loan Tape'!$Z178="Interest Only",'Loan Tape'!$Z178=""),0,MIN(MAX(0,C182-C788),IFERROR(MAX(0,MIN(1,'Loan Tape'!$AV178)-MAX(0,'Loan Tape'!$AT178))*IF(C485&lt;=0,C182/MAX(1,'Loan Tape'!$AU178-1+1),C485*C182/(1-(1+C485)^(-MAX(1,'Loan Tape'!$AU178-1+1)))-C485*C182),0)))</f>
        <v>0</v>
      </c>
      <c r="D1091" s="99" t="n">
        <f aca="false">IF(OR('Loan Tape'!$AN178=0,'Loan Tape'!$Z178="Interest Only",'Loan Tape'!$Z178=""),0,MIN(MAX(0,D182-D788),IFERROR(MAX(0,MIN(2,'Loan Tape'!$AV178)-MAX(1,'Loan Tape'!$AT178))*IF(D485&lt;=0,D182/MAX(1,'Loan Tape'!$AU178-2+1),D485*D182/(1-(1+D485)^(-MAX(1,'Loan Tape'!$AU178-2+1)))-D485*D182),0)))</f>
        <v>0</v>
      </c>
      <c r="E1091" s="99" t="n">
        <f aca="false">IF(OR('Loan Tape'!$AN178=0,'Loan Tape'!$Z178="Interest Only",'Loan Tape'!$Z178=""),0,MIN(MAX(0,E182-E788),IFERROR(MAX(0,MIN(3,'Loan Tape'!$AV178)-MAX(2,'Loan Tape'!$AT178))*IF(E485&lt;=0,E182/MAX(1,'Loan Tape'!$AU178-3+1),E485*E182/(1-(1+E485)^(-MAX(1,'Loan Tape'!$AU178-3+1)))-E485*E182),0)))</f>
        <v>0</v>
      </c>
      <c r="F1091" s="99" t="n">
        <f aca="false">IF(OR('Loan Tape'!$AN178=0,'Loan Tape'!$Z178="Interest Only",'Loan Tape'!$Z178=""),0,MIN(MAX(0,F182-F788),IFERROR(MAX(0,MIN(4,'Loan Tape'!$AV178)-MAX(3,'Loan Tape'!$AT178))*IF(F485&lt;=0,F182/MAX(1,'Loan Tape'!$AU178-4+1),F485*F182/(1-(1+F485)^(-MAX(1,'Loan Tape'!$AU178-4+1)))-F485*F182),0)))</f>
        <v>0</v>
      </c>
      <c r="G1091" s="99" t="n">
        <f aca="false">IF(OR('Loan Tape'!$AN178=0,'Loan Tape'!$Z178="Interest Only",'Loan Tape'!$Z178=""),0,MIN(MAX(0,G182-G788),IFERROR(MAX(0,MIN(5,'Loan Tape'!$AV178)-MAX(4,'Loan Tape'!$AT178))*IF(G485&lt;=0,G182/MAX(1,'Loan Tape'!$AU178-5+1),G485*G182/(1-(1+G485)^(-MAX(1,'Loan Tape'!$AU178-5+1)))-G485*G182),0)))</f>
        <v>0</v>
      </c>
      <c r="H1091" s="99" t="n">
        <f aca="false">IF(OR('Loan Tape'!$AN178=0,'Loan Tape'!$Z178="Interest Only",'Loan Tape'!$Z178=""),0,MIN(MAX(0,H182-H788),IFERROR(MAX(0,MIN(6,'Loan Tape'!$AV178)-MAX(5,'Loan Tape'!$AT178))*IF(H485&lt;=0,H182/MAX(1,'Loan Tape'!$AU178-6+1),H485*H182/(1-(1+H485)^(-MAX(1,'Loan Tape'!$AU178-6+1)))-H485*H182),0)))</f>
        <v>0</v>
      </c>
      <c r="I1091" s="99" t="n">
        <f aca="false">IF(OR('Loan Tape'!$AN178=0,'Loan Tape'!$Z178="Interest Only",'Loan Tape'!$Z178=""),0,MIN(MAX(0,I182-I788),IFERROR(MAX(0,MIN(7,'Loan Tape'!$AV178)-MAX(6,'Loan Tape'!$AT178))*IF(I485&lt;=0,I182/MAX(1,'Loan Tape'!$AU178-7+1),I485*I182/(1-(1+I485)^(-MAX(1,'Loan Tape'!$AU178-7+1)))-I485*I182),0)))</f>
        <v>0</v>
      </c>
      <c r="J1091" s="99" t="n">
        <f aca="false">IF(OR('Loan Tape'!$AN178=0,'Loan Tape'!$Z178="Interest Only",'Loan Tape'!$Z178=""),0,MIN(MAX(0,J182-J788),IFERROR(MAX(0,MIN(8,'Loan Tape'!$AV178)-MAX(7,'Loan Tape'!$AT178))*IF(J485&lt;=0,J182/MAX(1,'Loan Tape'!$AU178-8+1),J485*J182/(1-(1+J485)^(-MAX(1,'Loan Tape'!$AU178-8+1)))-J485*J182),0)))</f>
        <v>0</v>
      </c>
      <c r="K1091" s="99" t="n">
        <f aca="false">IF(OR('Loan Tape'!$AN178=0,'Loan Tape'!$Z178="Interest Only",'Loan Tape'!$Z178=""),0,MIN(MAX(0,K182-K788),IFERROR(MAX(0,MIN(9,'Loan Tape'!$AV178)-MAX(8,'Loan Tape'!$AT178))*IF(K485&lt;=0,K182/MAX(1,'Loan Tape'!$AU178-9+1),K485*K182/(1-(1+K485)^(-MAX(1,'Loan Tape'!$AU178-9+1)))-K485*K182),0)))</f>
        <v>0</v>
      </c>
      <c r="L1091" s="99" t="n">
        <f aca="false">IF(OR('Loan Tape'!$AN178=0,'Loan Tape'!$Z178="Interest Only",'Loan Tape'!$Z178=""),0,MIN(MAX(0,L182-L788),IFERROR(MAX(0,MIN(10,'Loan Tape'!$AV178)-MAX(9,'Loan Tape'!$AT178))*IF(L485&lt;=0,L182/MAX(1,'Loan Tape'!$AU178-10+1),L485*L182/(1-(1+L485)^(-MAX(1,'Loan Tape'!$AU178-10+1)))-L485*L182),0)))</f>
        <v>0</v>
      </c>
    </row>
    <row r="1092" customFormat="false" ht="15" hidden="false" customHeight="false" outlineLevel="0" collapsed="false">
      <c r="B1092" s="108" t="n">
        <f aca="false">'Loan Tape'!$A179</f>
        <v>0</v>
      </c>
      <c r="C1092" s="71" t="n">
        <f aca="false">IF(OR('Loan Tape'!$AN179=0,'Loan Tape'!$Z179="Interest Only",'Loan Tape'!$Z179=""),0,MIN(MAX(0,C183-C789),IFERROR(MAX(0,MIN(1,'Loan Tape'!$AV179)-MAX(0,'Loan Tape'!$AT179))*IF(C486&lt;=0,C183/MAX(1,'Loan Tape'!$AU179-1+1),C486*C183/(1-(1+C486)^(-MAX(1,'Loan Tape'!$AU179-1+1)))-C486*C183),0)))</f>
        <v>0</v>
      </c>
      <c r="D1092" s="71" t="n">
        <f aca="false">IF(OR('Loan Tape'!$AN179=0,'Loan Tape'!$Z179="Interest Only",'Loan Tape'!$Z179=""),0,MIN(MAX(0,D183-D789),IFERROR(MAX(0,MIN(2,'Loan Tape'!$AV179)-MAX(1,'Loan Tape'!$AT179))*IF(D486&lt;=0,D183/MAX(1,'Loan Tape'!$AU179-2+1),D486*D183/(1-(1+D486)^(-MAX(1,'Loan Tape'!$AU179-2+1)))-D486*D183),0)))</f>
        <v>0</v>
      </c>
      <c r="E1092" s="71" t="n">
        <f aca="false">IF(OR('Loan Tape'!$AN179=0,'Loan Tape'!$Z179="Interest Only",'Loan Tape'!$Z179=""),0,MIN(MAX(0,E183-E789),IFERROR(MAX(0,MIN(3,'Loan Tape'!$AV179)-MAX(2,'Loan Tape'!$AT179))*IF(E486&lt;=0,E183/MAX(1,'Loan Tape'!$AU179-3+1),E486*E183/(1-(1+E486)^(-MAX(1,'Loan Tape'!$AU179-3+1)))-E486*E183),0)))</f>
        <v>0</v>
      </c>
      <c r="F1092" s="71" t="n">
        <f aca="false">IF(OR('Loan Tape'!$AN179=0,'Loan Tape'!$Z179="Interest Only",'Loan Tape'!$Z179=""),0,MIN(MAX(0,F183-F789),IFERROR(MAX(0,MIN(4,'Loan Tape'!$AV179)-MAX(3,'Loan Tape'!$AT179))*IF(F486&lt;=0,F183/MAX(1,'Loan Tape'!$AU179-4+1),F486*F183/(1-(1+F486)^(-MAX(1,'Loan Tape'!$AU179-4+1)))-F486*F183),0)))</f>
        <v>0</v>
      </c>
      <c r="G1092" s="71" t="n">
        <f aca="false">IF(OR('Loan Tape'!$AN179=0,'Loan Tape'!$Z179="Interest Only",'Loan Tape'!$Z179=""),0,MIN(MAX(0,G183-G789),IFERROR(MAX(0,MIN(5,'Loan Tape'!$AV179)-MAX(4,'Loan Tape'!$AT179))*IF(G486&lt;=0,G183/MAX(1,'Loan Tape'!$AU179-5+1),G486*G183/(1-(1+G486)^(-MAX(1,'Loan Tape'!$AU179-5+1)))-G486*G183),0)))</f>
        <v>0</v>
      </c>
      <c r="H1092" s="71" t="n">
        <f aca="false">IF(OR('Loan Tape'!$AN179=0,'Loan Tape'!$Z179="Interest Only",'Loan Tape'!$Z179=""),0,MIN(MAX(0,H183-H789),IFERROR(MAX(0,MIN(6,'Loan Tape'!$AV179)-MAX(5,'Loan Tape'!$AT179))*IF(H486&lt;=0,H183/MAX(1,'Loan Tape'!$AU179-6+1),H486*H183/(1-(1+H486)^(-MAX(1,'Loan Tape'!$AU179-6+1)))-H486*H183),0)))</f>
        <v>0</v>
      </c>
      <c r="I1092" s="71" t="n">
        <f aca="false">IF(OR('Loan Tape'!$AN179=0,'Loan Tape'!$Z179="Interest Only",'Loan Tape'!$Z179=""),0,MIN(MAX(0,I183-I789),IFERROR(MAX(0,MIN(7,'Loan Tape'!$AV179)-MAX(6,'Loan Tape'!$AT179))*IF(I486&lt;=0,I183/MAX(1,'Loan Tape'!$AU179-7+1),I486*I183/(1-(1+I486)^(-MAX(1,'Loan Tape'!$AU179-7+1)))-I486*I183),0)))</f>
        <v>0</v>
      </c>
      <c r="J1092" s="71" t="n">
        <f aca="false">IF(OR('Loan Tape'!$AN179=0,'Loan Tape'!$Z179="Interest Only",'Loan Tape'!$Z179=""),0,MIN(MAX(0,J183-J789),IFERROR(MAX(0,MIN(8,'Loan Tape'!$AV179)-MAX(7,'Loan Tape'!$AT179))*IF(J486&lt;=0,J183/MAX(1,'Loan Tape'!$AU179-8+1),J486*J183/(1-(1+J486)^(-MAX(1,'Loan Tape'!$AU179-8+1)))-J486*J183),0)))</f>
        <v>0</v>
      </c>
      <c r="K1092" s="71" t="n">
        <f aca="false">IF(OR('Loan Tape'!$AN179=0,'Loan Tape'!$Z179="Interest Only",'Loan Tape'!$Z179=""),0,MIN(MAX(0,K183-K789),IFERROR(MAX(0,MIN(9,'Loan Tape'!$AV179)-MAX(8,'Loan Tape'!$AT179))*IF(K486&lt;=0,K183/MAX(1,'Loan Tape'!$AU179-9+1),K486*K183/(1-(1+K486)^(-MAX(1,'Loan Tape'!$AU179-9+1)))-K486*K183),0)))</f>
        <v>0</v>
      </c>
      <c r="L1092" s="71" t="n">
        <f aca="false">IF(OR('Loan Tape'!$AN179=0,'Loan Tape'!$Z179="Interest Only",'Loan Tape'!$Z179=""),0,MIN(MAX(0,L183-L789),IFERROR(MAX(0,MIN(10,'Loan Tape'!$AV179)-MAX(9,'Loan Tape'!$AT179))*IF(L486&lt;=0,L183/MAX(1,'Loan Tape'!$AU179-10+1),L486*L183/(1-(1+L486)^(-MAX(1,'Loan Tape'!$AU179-10+1)))-L486*L183),0)))</f>
        <v>0</v>
      </c>
    </row>
    <row r="1093" customFormat="false" ht="15" hidden="false" customHeight="false" outlineLevel="0" collapsed="false">
      <c r="B1093" s="102" t="n">
        <f aca="false">'Loan Tape'!$A180</f>
        <v>0</v>
      </c>
      <c r="C1093" s="99" t="n">
        <f aca="false">IF(OR('Loan Tape'!$AN180=0,'Loan Tape'!$Z180="Interest Only",'Loan Tape'!$Z180=""),0,MIN(MAX(0,C184-C790),IFERROR(MAX(0,MIN(1,'Loan Tape'!$AV180)-MAX(0,'Loan Tape'!$AT180))*IF(C487&lt;=0,C184/MAX(1,'Loan Tape'!$AU180-1+1),C487*C184/(1-(1+C487)^(-MAX(1,'Loan Tape'!$AU180-1+1)))-C487*C184),0)))</f>
        <v>0</v>
      </c>
      <c r="D1093" s="99" t="n">
        <f aca="false">IF(OR('Loan Tape'!$AN180=0,'Loan Tape'!$Z180="Interest Only",'Loan Tape'!$Z180=""),0,MIN(MAX(0,D184-D790),IFERROR(MAX(0,MIN(2,'Loan Tape'!$AV180)-MAX(1,'Loan Tape'!$AT180))*IF(D487&lt;=0,D184/MAX(1,'Loan Tape'!$AU180-2+1),D487*D184/(1-(1+D487)^(-MAX(1,'Loan Tape'!$AU180-2+1)))-D487*D184),0)))</f>
        <v>0</v>
      </c>
      <c r="E1093" s="99" t="n">
        <f aca="false">IF(OR('Loan Tape'!$AN180=0,'Loan Tape'!$Z180="Interest Only",'Loan Tape'!$Z180=""),0,MIN(MAX(0,E184-E790),IFERROR(MAX(0,MIN(3,'Loan Tape'!$AV180)-MAX(2,'Loan Tape'!$AT180))*IF(E487&lt;=0,E184/MAX(1,'Loan Tape'!$AU180-3+1),E487*E184/(1-(1+E487)^(-MAX(1,'Loan Tape'!$AU180-3+1)))-E487*E184),0)))</f>
        <v>0</v>
      </c>
      <c r="F1093" s="99" t="n">
        <f aca="false">IF(OR('Loan Tape'!$AN180=0,'Loan Tape'!$Z180="Interest Only",'Loan Tape'!$Z180=""),0,MIN(MAX(0,F184-F790),IFERROR(MAX(0,MIN(4,'Loan Tape'!$AV180)-MAX(3,'Loan Tape'!$AT180))*IF(F487&lt;=0,F184/MAX(1,'Loan Tape'!$AU180-4+1),F487*F184/(1-(1+F487)^(-MAX(1,'Loan Tape'!$AU180-4+1)))-F487*F184),0)))</f>
        <v>0</v>
      </c>
      <c r="G1093" s="99" t="n">
        <f aca="false">IF(OR('Loan Tape'!$AN180=0,'Loan Tape'!$Z180="Interest Only",'Loan Tape'!$Z180=""),0,MIN(MAX(0,G184-G790),IFERROR(MAX(0,MIN(5,'Loan Tape'!$AV180)-MAX(4,'Loan Tape'!$AT180))*IF(G487&lt;=0,G184/MAX(1,'Loan Tape'!$AU180-5+1),G487*G184/(1-(1+G487)^(-MAX(1,'Loan Tape'!$AU180-5+1)))-G487*G184),0)))</f>
        <v>0</v>
      </c>
      <c r="H1093" s="99" t="n">
        <f aca="false">IF(OR('Loan Tape'!$AN180=0,'Loan Tape'!$Z180="Interest Only",'Loan Tape'!$Z180=""),0,MIN(MAX(0,H184-H790),IFERROR(MAX(0,MIN(6,'Loan Tape'!$AV180)-MAX(5,'Loan Tape'!$AT180))*IF(H487&lt;=0,H184/MAX(1,'Loan Tape'!$AU180-6+1),H487*H184/(1-(1+H487)^(-MAX(1,'Loan Tape'!$AU180-6+1)))-H487*H184),0)))</f>
        <v>0</v>
      </c>
      <c r="I1093" s="99" t="n">
        <f aca="false">IF(OR('Loan Tape'!$AN180=0,'Loan Tape'!$Z180="Interest Only",'Loan Tape'!$Z180=""),0,MIN(MAX(0,I184-I790),IFERROR(MAX(0,MIN(7,'Loan Tape'!$AV180)-MAX(6,'Loan Tape'!$AT180))*IF(I487&lt;=0,I184/MAX(1,'Loan Tape'!$AU180-7+1),I487*I184/(1-(1+I487)^(-MAX(1,'Loan Tape'!$AU180-7+1)))-I487*I184),0)))</f>
        <v>0</v>
      </c>
      <c r="J1093" s="99" t="n">
        <f aca="false">IF(OR('Loan Tape'!$AN180=0,'Loan Tape'!$Z180="Interest Only",'Loan Tape'!$Z180=""),0,MIN(MAX(0,J184-J790),IFERROR(MAX(0,MIN(8,'Loan Tape'!$AV180)-MAX(7,'Loan Tape'!$AT180))*IF(J487&lt;=0,J184/MAX(1,'Loan Tape'!$AU180-8+1),J487*J184/(1-(1+J487)^(-MAX(1,'Loan Tape'!$AU180-8+1)))-J487*J184),0)))</f>
        <v>0</v>
      </c>
      <c r="K1093" s="99" t="n">
        <f aca="false">IF(OR('Loan Tape'!$AN180=0,'Loan Tape'!$Z180="Interest Only",'Loan Tape'!$Z180=""),0,MIN(MAX(0,K184-K790),IFERROR(MAX(0,MIN(9,'Loan Tape'!$AV180)-MAX(8,'Loan Tape'!$AT180))*IF(K487&lt;=0,K184/MAX(1,'Loan Tape'!$AU180-9+1),K487*K184/(1-(1+K487)^(-MAX(1,'Loan Tape'!$AU180-9+1)))-K487*K184),0)))</f>
        <v>0</v>
      </c>
      <c r="L1093" s="99" t="n">
        <f aca="false">IF(OR('Loan Tape'!$AN180=0,'Loan Tape'!$Z180="Interest Only",'Loan Tape'!$Z180=""),0,MIN(MAX(0,L184-L790),IFERROR(MAX(0,MIN(10,'Loan Tape'!$AV180)-MAX(9,'Loan Tape'!$AT180))*IF(L487&lt;=0,L184/MAX(1,'Loan Tape'!$AU180-10+1),L487*L184/(1-(1+L487)^(-MAX(1,'Loan Tape'!$AU180-10+1)))-L487*L184),0)))</f>
        <v>0</v>
      </c>
    </row>
    <row r="1094" customFormat="false" ht="15" hidden="false" customHeight="false" outlineLevel="0" collapsed="false">
      <c r="B1094" s="108" t="n">
        <f aca="false">'Loan Tape'!$A181</f>
        <v>0</v>
      </c>
      <c r="C1094" s="71" t="n">
        <f aca="false">IF(OR('Loan Tape'!$AN181=0,'Loan Tape'!$Z181="Interest Only",'Loan Tape'!$Z181=""),0,MIN(MAX(0,C185-C791),IFERROR(MAX(0,MIN(1,'Loan Tape'!$AV181)-MAX(0,'Loan Tape'!$AT181))*IF(C488&lt;=0,C185/MAX(1,'Loan Tape'!$AU181-1+1),C488*C185/(1-(1+C488)^(-MAX(1,'Loan Tape'!$AU181-1+1)))-C488*C185),0)))</f>
        <v>0</v>
      </c>
      <c r="D1094" s="71" t="n">
        <f aca="false">IF(OR('Loan Tape'!$AN181=0,'Loan Tape'!$Z181="Interest Only",'Loan Tape'!$Z181=""),0,MIN(MAX(0,D185-D791),IFERROR(MAX(0,MIN(2,'Loan Tape'!$AV181)-MAX(1,'Loan Tape'!$AT181))*IF(D488&lt;=0,D185/MAX(1,'Loan Tape'!$AU181-2+1),D488*D185/(1-(1+D488)^(-MAX(1,'Loan Tape'!$AU181-2+1)))-D488*D185),0)))</f>
        <v>0</v>
      </c>
      <c r="E1094" s="71" t="n">
        <f aca="false">IF(OR('Loan Tape'!$AN181=0,'Loan Tape'!$Z181="Interest Only",'Loan Tape'!$Z181=""),0,MIN(MAX(0,E185-E791),IFERROR(MAX(0,MIN(3,'Loan Tape'!$AV181)-MAX(2,'Loan Tape'!$AT181))*IF(E488&lt;=0,E185/MAX(1,'Loan Tape'!$AU181-3+1),E488*E185/(1-(1+E488)^(-MAX(1,'Loan Tape'!$AU181-3+1)))-E488*E185),0)))</f>
        <v>0</v>
      </c>
      <c r="F1094" s="71" t="n">
        <f aca="false">IF(OR('Loan Tape'!$AN181=0,'Loan Tape'!$Z181="Interest Only",'Loan Tape'!$Z181=""),0,MIN(MAX(0,F185-F791),IFERROR(MAX(0,MIN(4,'Loan Tape'!$AV181)-MAX(3,'Loan Tape'!$AT181))*IF(F488&lt;=0,F185/MAX(1,'Loan Tape'!$AU181-4+1),F488*F185/(1-(1+F488)^(-MAX(1,'Loan Tape'!$AU181-4+1)))-F488*F185),0)))</f>
        <v>0</v>
      </c>
      <c r="G1094" s="71" t="n">
        <f aca="false">IF(OR('Loan Tape'!$AN181=0,'Loan Tape'!$Z181="Interest Only",'Loan Tape'!$Z181=""),0,MIN(MAX(0,G185-G791),IFERROR(MAX(0,MIN(5,'Loan Tape'!$AV181)-MAX(4,'Loan Tape'!$AT181))*IF(G488&lt;=0,G185/MAX(1,'Loan Tape'!$AU181-5+1),G488*G185/(1-(1+G488)^(-MAX(1,'Loan Tape'!$AU181-5+1)))-G488*G185),0)))</f>
        <v>0</v>
      </c>
      <c r="H1094" s="71" t="n">
        <f aca="false">IF(OR('Loan Tape'!$AN181=0,'Loan Tape'!$Z181="Interest Only",'Loan Tape'!$Z181=""),0,MIN(MAX(0,H185-H791),IFERROR(MAX(0,MIN(6,'Loan Tape'!$AV181)-MAX(5,'Loan Tape'!$AT181))*IF(H488&lt;=0,H185/MAX(1,'Loan Tape'!$AU181-6+1),H488*H185/(1-(1+H488)^(-MAX(1,'Loan Tape'!$AU181-6+1)))-H488*H185),0)))</f>
        <v>0</v>
      </c>
      <c r="I1094" s="71" t="n">
        <f aca="false">IF(OR('Loan Tape'!$AN181=0,'Loan Tape'!$Z181="Interest Only",'Loan Tape'!$Z181=""),0,MIN(MAX(0,I185-I791),IFERROR(MAX(0,MIN(7,'Loan Tape'!$AV181)-MAX(6,'Loan Tape'!$AT181))*IF(I488&lt;=0,I185/MAX(1,'Loan Tape'!$AU181-7+1),I488*I185/(1-(1+I488)^(-MAX(1,'Loan Tape'!$AU181-7+1)))-I488*I185),0)))</f>
        <v>0</v>
      </c>
      <c r="J1094" s="71" t="n">
        <f aca="false">IF(OR('Loan Tape'!$AN181=0,'Loan Tape'!$Z181="Interest Only",'Loan Tape'!$Z181=""),0,MIN(MAX(0,J185-J791),IFERROR(MAX(0,MIN(8,'Loan Tape'!$AV181)-MAX(7,'Loan Tape'!$AT181))*IF(J488&lt;=0,J185/MAX(1,'Loan Tape'!$AU181-8+1),J488*J185/(1-(1+J488)^(-MAX(1,'Loan Tape'!$AU181-8+1)))-J488*J185),0)))</f>
        <v>0</v>
      </c>
      <c r="K1094" s="71" t="n">
        <f aca="false">IF(OR('Loan Tape'!$AN181=0,'Loan Tape'!$Z181="Interest Only",'Loan Tape'!$Z181=""),0,MIN(MAX(0,K185-K791),IFERROR(MAX(0,MIN(9,'Loan Tape'!$AV181)-MAX(8,'Loan Tape'!$AT181))*IF(K488&lt;=0,K185/MAX(1,'Loan Tape'!$AU181-9+1),K488*K185/(1-(1+K488)^(-MAX(1,'Loan Tape'!$AU181-9+1)))-K488*K185),0)))</f>
        <v>0</v>
      </c>
      <c r="L1094" s="71" t="n">
        <f aca="false">IF(OR('Loan Tape'!$AN181=0,'Loan Tape'!$Z181="Interest Only",'Loan Tape'!$Z181=""),0,MIN(MAX(0,L185-L791),IFERROR(MAX(0,MIN(10,'Loan Tape'!$AV181)-MAX(9,'Loan Tape'!$AT181))*IF(L488&lt;=0,L185/MAX(1,'Loan Tape'!$AU181-10+1),L488*L185/(1-(1+L488)^(-MAX(1,'Loan Tape'!$AU181-10+1)))-L488*L185),0)))</f>
        <v>0</v>
      </c>
    </row>
    <row r="1095" customFormat="false" ht="15" hidden="false" customHeight="false" outlineLevel="0" collapsed="false">
      <c r="B1095" s="102" t="n">
        <f aca="false">'Loan Tape'!$A182</f>
        <v>0</v>
      </c>
      <c r="C1095" s="99" t="n">
        <f aca="false">IF(OR('Loan Tape'!$AN182=0,'Loan Tape'!$Z182="Interest Only",'Loan Tape'!$Z182=""),0,MIN(MAX(0,C186-C792),IFERROR(MAX(0,MIN(1,'Loan Tape'!$AV182)-MAX(0,'Loan Tape'!$AT182))*IF(C489&lt;=0,C186/MAX(1,'Loan Tape'!$AU182-1+1),C489*C186/(1-(1+C489)^(-MAX(1,'Loan Tape'!$AU182-1+1)))-C489*C186),0)))</f>
        <v>0</v>
      </c>
      <c r="D1095" s="99" t="n">
        <f aca="false">IF(OR('Loan Tape'!$AN182=0,'Loan Tape'!$Z182="Interest Only",'Loan Tape'!$Z182=""),0,MIN(MAX(0,D186-D792),IFERROR(MAX(0,MIN(2,'Loan Tape'!$AV182)-MAX(1,'Loan Tape'!$AT182))*IF(D489&lt;=0,D186/MAX(1,'Loan Tape'!$AU182-2+1),D489*D186/(1-(1+D489)^(-MAX(1,'Loan Tape'!$AU182-2+1)))-D489*D186),0)))</f>
        <v>0</v>
      </c>
      <c r="E1095" s="99" t="n">
        <f aca="false">IF(OR('Loan Tape'!$AN182=0,'Loan Tape'!$Z182="Interest Only",'Loan Tape'!$Z182=""),0,MIN(MAX(0,E186-E792),IFERROR(MAX(0,MIN(3,'Loan Tape'!$AV182)-MAX(2,'Loan Tape'!$AT182))*IF(E489&lt;=0,E186/MAX(1,'Loan Tape'!$AU182-3+1),E489*E186/(1-(1+E489)^(-MAX(1,'Loan Tape'!$AU182-3+1)))-E489*E186),0)))</f>
        <v>0</v>
      </c>
      <c r="F1095" s="99" t="n">
        <f aca="false">IF(OR('Loan Tape'!$AN182=0,'Loan Tape'!$Z182="Interest Only",'Loan Tape'!$Z182=""),0,MIN(MAX(0,F186-F792),IFERROR(MAX(0,MIN(4,'Loan Tape'!$AV182)-MAX(3,'Loan Tape'!$AT182))*IF(F489&lt;=0,F186/MAX(1,'Loan Tape'!$AU182-4+1),F489*F186/(1-(1+F489)^(-MAX(1,'Loan Tape'!$AU182-4+1)))-F489*F186),0)))</f>
        <v>0</v>
      </c>
      <c r="G1095" s="99" t="n">
        <f aca="false">IF(OR('Loan Tape'!$AN182=0,'Loan Tape'!$Z182="Interest Only",'Loan Tape'!$Z182=""),0,MIN(MAX(0,G186-G792),IFERROR(MAX(0,MIN(5,'Loan Tape'!$AV182)-MAX(4,'Loan Tape'!$AT182))*IF(G489&lt;=0,G186/MAX(1,'Loan Tape'!$AU182-5+1),G489*G186/(1-(1+G489)^(-MAX(1,'Loan Tape'!$AU182-5+1)))-G489*G186),0)))</f>
        <v>0</v>
      </c>
      <c r="H1095" s="99" t="n">
        <f aca="false">IF(OR('Loan Tape'!$AN182=0,'Loan Tape'!$Z182="Interest Only",'Loan Tape'!$Z182=""),0,MIN(MAX(0,H186-H792),IFERROR(MAX(0,MIN(6,'Loan Tape'!$AV182)-MAX(5,'Loan Tape'!$AT182))*IF(H489&lt;=0,H186/MAX(1,'Loan Tape'!$AU182-6+1),H489*H186/(1-(1+H489)^(-MAX(1,'Loan Tape'!$AU182-6+1)))-H489*H186),0)))</f>
        <v>0</v>
      </c>
      <c r="I1095" s="99" t="n">
        <f aca="false">IF(OR('Loan Tape'!$AN182=0,'Loan Tape'!$Z182="Interest Only",'Loan Tape'!$Z182=""),0,MIN(MAX(0,I186-I792),IFERROR(MAX(0,MIN(7,'Loan Tape'!$AV182)-MAX(6,'Loan Tape'!$AT182))*IF(I489&lt;=0,I186/MAX(1,'Loan Tape'!$AU182-7+1),I489*I186/(1-(1+I489)^(-MAX(1,'Loan Tape'!$AU182-7+1)))-I489*I186),0)))</f>
        <v>0</v>
      </c>
      <c r="J1095" s="99" t="n">
        <f aca="false">IF(OR('Loan Tape'!$AN182=0,'Loan Tape'!$Z182="Interest Only",'Loan Tape'!$Z182=""),0,MIN(MAX(0,J186-J792),IFERROR(MAX(0,MIN(8,'Loan Tape'!$AV182)-MAX(7,'Loan Tape'!$AT182))*IF(J489&lt;=0,J186/MAX(1,'Loan Tape'!$AU182-8+1),J489*J186/(1-(1+J489)^(-MAX(1,'Loan Tape'!$AU182-8+1)))-J489*J186),0)))</f>
        <v>0</v>
      </c>
      <c r="K1095" s="99" t="n">
        <f aca="false">IF(OR('Loan Tape'!$AN182=0,'Loan Tape'!$Z182="Interest Only",'Loan Tape'!$Z182=""),0,MIN(MAX(0,K186-K792),IFERROR(MAX(0,MIN(9,'Loan Tape'!$AV182)-MAX(8,'Loan Tape'!$AT182))*IF(K489&lt;=0,K186/MAX(1,'Loan Tape'!$AU182-9+1),K489*K186/(1-(1+K489)^(-MAX(1,'Loan Tape'!$AU182-9+1)))-K489*K186),0)))</f>
        <v>0</v>
      </c>
      <c r="L1095" s="99" t="n">
        <f aca="false">IF(OR('Loan Tape'!$AN182=0,'Loan Tape'!$Z182="Interest Only",'Loan Tape'!$Z182=""),0,MIN(MAX(0,L186-L792),IFERROR(MAX(0,MIN(10,'Loan Tape'!$AV182)-MAX(9,'Loan Tape'!$AT182))*IF(L489&lt;=0,L186/MAX(1,'Loan Tape'!$AU182-10+1),L489*L186/(1-(1+L489)^(-MAX(1,'Loan Tape'!$AU182-10+1)))-L489*L186),0)))</f>
        <v>0</v>
      </c>
    </row>
    <row r="1096" customFormat="false" ht="15" hidden="false" customHeight="false" outlineLevel="0" collapsed="false">
      <c r="B1096" s="108" t="n">
        <f aca="false">'Loan Tape'!$A183</f>
        <v>0</v>
      </c>
      <c r="C1096" s="71" t="n">
        <f aca="false">IF(OR('Loan Tape'!$AN183=0,'Loan Tape'!$Z183="Interest Only",'Loan Tape'!$Z183=""),0,MIN(MAX(0,C187-C793),IFERROR(MAX(0,MIN(1,'Loan Tape'!$AV183)-MAX(0,'Loan Tape'!$AT183))*IF(C490&lt;=0,C187/MAX(1,'Loan Tape'!$AU183-1+1),C490*C187/(1-(1+C490)^(-MAX(1,'Loan Tape'!$AU183-1+1)))-C490*C187),0)))</f>
        <v>0</v>
      </c>
      <c r="D1096" s="71" t="n">
        <f aca="false">IF(OR('Loan Tape'!$AN183=0,'Loan Tape'!$Z183="Interest Only",'Loan Tape'!$Z183=""),0,MIN(MAX(0,D187-D793),IFERROR(MAX(0,MIN(2,'Loan Tape'!$AV183)-MAX(1,'Loan Tape'!$AT183))*IF(D490&lt;=0,D187/MAX(1,'Loan Tape'!$AU183-2+1),D490*D187/(1-(1+D490)^(-MAX(1,'Loan Tape'!$AU183-2+1)))-D490*D187),0)))</f>
        <v>0</v>
      </c>
      <c r="E1096" s="71" t="n">
        <f aca="false">IF(OR('Loan Tape'!$AN183=0,'Loan Tape'!$Z183="Interest Only",'Loan Tape'!$Z183=""),0,MIN(MAX(0,E187-E793),IFERROR(MAX(0,MIN(3,'Loan Tape'!$AV183)-MAX(2,'Loan Tape'!$AT183))*IF(E490&lt;=0,E187/MAX(1,'Loan Tape'!$AU183-3+1),E490*E187/(1-(1+E490)^(-MAX(1,'Loan Tape'!$AU183-3+1)))-E490*E187),0)))</f>
        <v>0</v>
      </c>
      <c r="F1096" s="71" t="n">
        <f aca="false">IF(OR('Loan Tape'!$AN183=0,'Loan Tape'!$Z183="Interest Only",'Loan Tape'!$Z183=""),0,MIN(MAX(0,F187-F793),IFERROR(MAX(0,MIN(4,'Loan Tape'!$AV183)-MAX(3,'Loan Tape'!$AT183))*IF(F490&lt;=0,F187/MAX(1,'Loan Tape'!$AU183-4+1),F490*F187/(1-(1+F490)^(-MAX(1,'Loan Tape'!$AU183-4+1)))-F490*F187),0)))</f>
        <v>0</v>
      </c>
      <c r="G1096" s="71" t="n">
        <f aca="false">IF(OR('Loan Tape'!$AN183=0,'Loan Tape'!$Z183="Interest Only",'Loan Tape'!$Z183=""),0,MIN(MAX(0,G187-G793),IFERROR(MAX(0,MIN(5,'Loan Tape'!$AV183)-MAX(4,'Loan Tape'!$AT183))*IF(G490&lt;=0,G187/MAX(1,'Loan Tape'!$AU183-5+1),G490*G187/(1-(1+G490)^(-MAX(1,'Loan Tape'!$AU183-5+1)))-G490*G187),0)))</f>
        <v>0</v>
      </c>
      <c r="H1096" s="71" t="n">
        <f aca="false">IF(OR('Loan Tape'!$AN183=0,'Loan Tape'!$Z183="Interest Only",'Loan Tape'!$Z183=""),0,MIN(MAX(0,H187-H793),IFERROR(MAX(0,MIN(6,'Loan Tape'!$AV183)-MAX(5,'Loan Tape'!$AT183))*IF(H490&lt;=0,H187/MAX(1,'Loan Tape'!$AU183-6+1),H490*H187/(1-(1+H490)^(-MAX(1,'Loan Tape'!$AU183-6+1)))-H490*H187),0)))</f>
        <v>0</v>
      </c>
      <c r="I1096" s="71" t="n">
        <f aca="false">IF(OR('Loan Tape'!$AN183=0,'Loan Tape'!$Z183="Interest Only",'Loan Tape'!$Z183=""),0,MIN(MAX(0,I187-I793),IFERROR(MAX(0,MIN(7,'Loan Tape'!$AV183)-MAX(6,'Loan Tape'!$AT183))*IF(I490&lt;=0,I187/MAX(1,'Loan Tape'!$AU183-7+1),I490*I187/(1-(1+I490)^(-MAX(1,'Loan Tape'!$AU183-7+1)))-I490*I187),0)))</f>
        <v>0</v>
      </c>
      <c r="J1096" s="71" t="n">
        <f aca="false">IF(OR('Loan Tape'!$AN183=0,'Loan Tape'!$Z183="Interest Only",'Loan Tape'!$Z183=""),0,MIN(MAX(0,J187-J793),IFERROR(MAX(0,MIN(8,'Loan Tape'!$AV183)-MAX(7,'Loan Tape'!$AT183))*IF(J490&lt;=0,J187/MAX(1,'Loan Tape'!$AU183-8+1),J490*J187/(1-(1+J490)^(-MAX(1,'Loan Tape'!$AU183-8+1)))-J490*J187),0)))</f>
        <v>0</v>
      </c>
      <c r="K1096" s="71" t="n">
        <f aca="false">IF(OR('Loan Tape'!$AN183=0,'Loan Tape'!$Z183="Interest Only",'Loan Tape'!$Z183=""),0,MIN(MAX(0,K187-K793),IFERROR(MAX(0,MIN(9,'Loan Tape'!$AV183)-MAX(8,'Loan Tape'!$AT183))*IF(K490&lt;=0,K187/MAX(1,'Loan Tape'!$AU183-9+1),K490*K187/(1-(1+K490)^(-MAX(1,'Loan Tape'!$AU183-9+1)))-K490*K187),0)))</f>
        <v>0</v>
      </c>
      <c r="L1096" s="71" t="n">
        <f aca="false">IF(OR('Loan Tape'!$AN183=0,'Loan Tape'!$Z183="Interest Only",'Loan Tape'!$Z183=""),0,MIN(MAX(0,L187-L793),IFERROR(MAX(0,MIN(10,'Loan Tape'!$AV183)-MAX(9,'Loan Tape'!$AT183))*IF(L490&lt;=0,L187/MAX(1,'Loan Tape'!$AU183-10+1),L490*L187/(1-(1+L490)^(-MAX(1,'Loan Tape'!$AU183-10+1)))-L490*L187),0)))</f>
        <v>0</v>
      </c>
    </row>
    <row r="1097" customFormat="false" ht="15" hidden="false" customHeight="false" outlineLevel="0" collapsed="false">
      <c r="B1097" s="102" t="n">
        <f aca="false">'Loan Tape'!$A184</f>
        <v>0</v>
      </c>
      <c r="C1097" s="99" t="n">
        <f aca="false">IF(OR('Loan Tape'!$AN184=0,'Loan Tape'!$Z184="Interest Only",'Loan Tape'!$Z184=""),0,MIN(MAX(0,C188-C794),IFERROR(MAX(0,MIN(1,'Loan Tape'!$AV184)-MAX(0,'Loan Tape'!$AT184))*IF(C491&lt;=0,C188/MAX(1,'Loan Tape'!$AU184-1+1),C491*C188/(1-(1+C491)^(-MAX(1,'Loan Tape'!$AU184-1+1)))-C491*C188),0)))</f>
        <v>0</v>
      </c>
      <c r="D1097" s="99" t="n">
        <f aca="false">IF(OR('Loan Tape'!$AN184=0,'Loan Tape'!$Z184="Interest Only",'Loan Tape'!$Z184=""),0,MIN(MAX(0,D188-D794),IFERROR(MAX(0,MIN(2,'Loan Tape'!$AV184)-MAX(1,'Loan Tape'!$AT184))*IF(D491&lt;=0,D188/MAX(1,'Loan Tape'!$AU184-2+1),D491*D188/(1-(1+D491)^(-MAX(1,'Loan Tape'!$AU184-2+1)))-D491*D188),0)))</f>
        <v>0</v>
      </c>
      <c r="E1097" s="99" t="n">
        <f aca="false">IF(OR('Loan Tape'!$AN184=0,'Loan Tape'!$Z184="Interest Only",'Loan Tape'!$Z184=""),0,MIN(MAX(0,E188-E794),IFERROR(MAX(0,MIN(3,'Loan Tape'!$AV184)-MAX(2,'Loan Tape'!$AT184))*IF(E491&lt;=0,E188/MAX(1,'Loan Tape'!$AU184-3+1),E491*E188/(1-(1+E491)^(-MAX(1,'Loan Tape'!$AU184-3+1)))-E491*E188),0)))</f>
        <v>0</v>
      </c>
      <c r="F1097" s="99" t="n">
        <f aca="false">IF(OR('Loan Tape'!$AN184=0,'Loan Tape'!$Z184="Interest Only",'Loan Tape'!$Z184=""),0,MIN(MAX(0,F188-F794),IFERROR(MAX(0,MIN(4,'Loan Tape'!$AV184)-MAX(3,'Loan Tape'!$AT184))*IF(F491&lt;=0,F188/MAX(1,'Loan Tape'!$AU184-4+1),F491*F188/(1-(1+F491)^(-MAX(1,'Loan Tape'!$AU184-4+1)))-F491*F188),0)))</f>
        <v>0</v>
      </c>
      <c r="G1097" s="99" t="n">
        <f aca="false">IF(OR('Loan Tape'!$AN184=0,'Loan Tape'!$Z184="Interest Only",'Loan Tape'!$Z184=""),0,MIN(MAX(0,G188-G794),IFERROR(MAX(0,MIN(5,'Loan Tape'!$AV184)-MAX(4,'Loan Tape'!$AT184))*IF(G491&lt;=0,G188/MAX(1,'Loan Tape'!$AU184-5+1),G491*G188/(1-(1+G491)^(-MAX(1,'Loan Tape'!$AU184-5+1)))-G491*G188),0)))</f>
        <v>0</v>
      </c>
      <c r="H1097" s="99" t="n">
        <f aca="false">IF(OR('Loan Tape'!$AN184=0,'Loan Tape'!$Z184="Interest Only",'Loan Tape'!$Z184=""),0,MIN(MAX(0,H188-H794),IFERROR(MAX(0,MIN(6,'Loan Tape'!$AV184)-MAX(5,'Loan Tape'!$AT184))*IF(H491&lt;=0,H188/MAX(1,'Loan Tape'!$AU184-6+1),H491*H188/(1-(1+H491)^(-MAX(1,'Loan Tape'!$AU184-6+1)))-H491*H188),0)))</f>
        <v>0</v>
      </c>
      <c r="I1097" s="99" t="n">
        <f aca="false">IF(OR('Loan Tape'!$AN184=0,'Loan Tape'!$Z184="Interest Only",'Loan Tape'!$Z184=""),0,MIN(MAX(0,I188-I794),IFERROR(MAX(0,MIN(7,'Loan Tape'!$AV184)-MAX(6,'Loan Tape'!$AT184))*IF(I491&lt;=0,I188/MAX(1,'Loan Tape'!$AU184-7+1),I491*I188/(1-(1+I491)^(-MAX(1,'Loan Tape'!$AU184-7+1)))-I491*I188),0)))</f>
        <v>0</v>
      </c>
      <c r="J1097" s="99" t="n">
        <f aca="false">IF(OR('Loan Tape'!$AN184=0,'Loan Tape'!$Z184="Interest Only",'Loan Tape'!$Z184=""),0,MIN(MAX(0,J188-J794),IFERROR(MAX(0,MIN(8,'Loan Tape'!$AV184)-MAX(7,'Loan Tape'!$AT184))*IF(J491&lt;=0,J188/MAX(1,'Loan Tape'!$AU184-8+1),J491*J188/(1-(1+J491)^(-MAX(1,'Loan Tape'!$AU184-8+1)))-J491*J188),0)))</f>
        <v>0</v>
      </c>
      <c r="K1097" s="99" t="n">
        <f aca="false">IF(OR('Loan Tape'!$AN184=0,'Loan Tape'!$Z184="Interest Only",'Loan Tape'!$Z184=""),0,MIN(MAX(0,K188-K794),IFERROR(MAX(0,MIN(9,'Loan Tape'!$AV184)-MAX(8,'Loan Tape'!$AT184))*IF(K491&lt;=0,K188/MAX(1,'Loan Tape'!$AU184-9+1),K491*K188/(1-(1+K491)^(-MAX(1,'Loan Tape'!$AU184-9+1)))-K491*K188),0)))</f>
        <v>0</v>
      </c>
      <c r="L1097" s="99" t="n">
        <f aca="false">IF(OR('Loan Tape'!$AN184=0,'Loan Tape'!$Z184="Interest Only",'Loan Tape'!$Z184=""),0,MIN(MAX(0,L188-L794),IFERROR(MAX(0,MIN(10,'Loan Tape'!$AV184)-MAX(9,'Loan Tape'!$AT184))*IF(L491&lt;=0,L188/MAX(1,'Loan Tape'!$AU184-10+1),L491*L188/(1-(1+L491)^(-MAX(1,'Loan Tape'!$AU184-10+1)))-L491*L188),0)))</f>
        <v>0</v>
      </c>
    </row>
    <row r="1098" customFormat="false" ht="15" hidden="false" customHeight="false" outlineLevel="0" collapsed="false">
      <c r="B1098" s="108" t="n">
        <f aca="false">'Loan Tape'!$A185</f>
        <v>0</v>
      </c>
      <c r="C1098" s="71" t="n">
        <f aca="false">IF(OR('Loan Tape'!$AN185=0,'Loan Tape'!$Z185="Interest Only",'Loan Tape'!$Z185=""),0,MIN(MAX(0,C189-C795),IFERROR(MAX(0,MIN(1,'Loan Tape'!$AV185)-MAX(0,'Loan Tape'!$AT185))*IF(C492&lt;=0,C189/MAX(1,'Loan Tape'!$AU185-1+1),C492*C189/(1-(1+C492)^(-MAX(1,'Loan Tape'!$AU185-1+1)))-C492*C189),0)))</f>
        <v>0</v>
      </c>
      <c r="D1098" s="71" t="n">
        <f aca="false">IF(OR('Loan Tape'!$AN185=0,'Loan Tape'!$Z185="Interest Only",'Loan Tape'!$Z185=""),0,MIN(MAX(0,D189-D795),IFERROR(MAX(0,MIN(2,'Loan Tape'!$AV185)-MAX(1,'Loan Tape'!$AT185))*IF(D492&lt;=0,D189/MAX(1,'Loan Tape'!$AU185-2+1),D492*D189/(1-(1+D492)^(-MAX(1,'Loan Tape'!$AU185-2+1)))-D492*D189),0)))</f>
        <v>0</v>
      </c>
      <c r="E1098" s="71" t="n">
        <f aca="false">IF(OR('Loan Tape'!$AN185=0,'Loan Tape'!$Z185="Interest Only",'Loan Tape'!$Z185=""),0,MIN(MAX(0,E189-E795),IFERROR(MAX(0,MIN(3,'Loan Tape'!$AV185)-MAX(2,'Loan Tape'!$AT185))*IF(E492&lt;=0,E189/MAX(1,'Loan Tape'!$AU185-3+1),E492*E189/(1-(1+E492)^(-MAX(1,'Loan Tape'!$AU185-3+1)))-E492*E189),0)))</f>
        <v>0</v>
      </c>
      <c r="F1098" s="71" t="n">
        <f aca="false">IF(OR('Loan Tape'!$AN185=0,'Loan Tape'!$Z185="Interest Only",'Loan Tape'!$Z185=""),0,MIN(MAX(0,F189-F795),IFERROR(MAX(0,MIN(4,'Loan Tape'!$AV185)-MAX(3,'Loan Tape'!$AT185))*IF(F492&lt;=0,F189/MAX(1,'Loan Tape'!$AU185-4+1),F492*F189/(1-(1+F492)^(-MAX(1,'Loan Tape'!$AU185-4+1)))-F492*F189),0)))</f>
        <v>0</v>
      </c>
      <c r="G1098" s="71" t="n">
        <f aca="false">IF(OR('Loan Tape'!$AN185=0,'Loan Tape'!$Z185="Interest Only",'Loan Tape'!$Z185=""),0,MIN(MAX(0,G189-G795),IFERROR(MAX(0,MIN(5,'Loan Tape'!$AV185)-MAX(4,'Loan Tape'!$AT185))*IF(G492&lt;=0,G189/MAX(1,'Loan Tape'!$AU185-5+1),G492*G189/(1-(1+G492)^(-MAX(1,'Loan Tape'!$AU185-5+1)))-G492*G189),0)))</f>
        <v>0</v>
      </c>
      <c r="H1098" s="71" t="n">
        <f aca="false">IF(OR('Loan Tape'!$AN185=0,'Loan Tape'!$Z185="Interest Only",'Loan Tape'!$Z185=""),0,MIN(MAX(0,H189-H795),IFERROR(MAX(0,MIN(6,'Loan Tape'!$AV185)-MAX(5,'Loan Tape'!$AT185))*IF(H492&lt;=0,H189/MAX(1,'Loan Tape'!$AU185-6+1),H492*H189/(1-(1+H492)^(-MAX(1,'Loan Tape'!$AU185-6+1)))-H492*H189),0)))</f>
        <v>0</v>
      </c>
      <c r="I1098" s="71" t="n">
        <f aca="false">IF(OR('Loan Tape'!$AN185=0,'Loan Tape'!$Z185="Interest Only",'Loan Tape'!$Z185=""),0,MIN(MAX(0,I189-I795),IFERROR(MAX(0,MIN(7,'Loan Tape'!$AV185)-MAX(6,'Loan Tape'!$AT185))*IF(I492&lt;=0,I189/MAX(1,'Loan Tape'!$AU185-7+1),I492*I189/(1-(1+I492)^(-MAX(1,'Loan Tape'!$AU185-7+1)))-I492*I189),0)))</f>
        <v>0</v>
      </c>
      <c r="J1098" s="71" t="n">
        <f aca="false">IF(OR('Loan Tape'!$AN185=0,'Loan Tape'!$Z185="Interest Only",'Loan Tape'!$Z185=""),0,MIN(MAX(0,J189-J795),IFERROR(MAX(0,MIN(8,'Loan Tape'!$AV185)-MAX(7,'Loan Tape'!$AT185))*IF(J492&lt;=0,J189/MAX(1,'Loan Tape'!$AU185-8+1),J492*J189/(1-(1+J492)^(-MAX(1,'Loan Tape'!$AU185-8+1)))-J492*J189),0)))</f>
        <v>0</v>
      </c>
      <c r="K1098" s="71" t="n">
        <f aca="false">IF(OR('Loan Tape'!$AN185=0,'Loan Tape'!$Z185="Interest Only",'Loan Tape'!$Z185=""),0,MIN(MAX(0,K189-K795),IFERROR(MAX(0,MIN(9,'Loan Tape'!$AV185)-MAX(8,'Loan Tape'!$AT185))*IF(K492&lt;=0,K189/MAX(1,'Loan Tape'!$AU185-9+1),K492*K189/(1-(1+K492)^(-MAX(1,'Loan Tape'!$AU185-9+1)))-K492*K189),0)))</f>
        <v>0</v>
      </c>
      <c r="L1098" s="71" t="n">
        <f aca="false">IF(OR('Loan Tape'!$AN185=0,'Loan Tape'!$Z185="Interest Only",'Loan Tape'!$Z185=""),0,MIN(MAX(0,L189-L795),IFERROR(MAX(0,MIN(10,'Loan Tape'!$AV185)-MAX(9,'Loan Tape'!$AT185))*IF(L492&lt;=0,L189/MAX(1,'Loan Tape'!$AU185-10+1),L492*L189/(1-(1+L492)^(-MAX(1,'Loan Tape'!$AU185-10+1)))-L492*L189),0)))</f>
        <v>0</v>
      </c>
    </row>
    <row r="1099" customFormat="false" ht="15" hidden="false" customHeight="false" outlineLevel="0" collapsed="false">
      <c r="B1099" s="102" t="n">
        <f aca="false">'Loan Tape'!$A186</f>
        <v>0</v>
      </c>
      <c r="C1099" s="99" t="n">
        <f aca="false">IF(OR('Loan Tape'!$AN186=0,'Loan Tape'!$Z186="Interest Only",'Loan Tape'!$Z186=""),0,MIN(MAX(0,C190-C796),IFERROR(MAX(0,MIN(1,'Loan Tape'!$AV186)-MAX(0,'Loan Tape'!$AT186))*IF(C493&lt;=0,C190/MAX(1,'Loan Tape'!$AU186-1+1),C493*C190/(1-(1+C493)^(-MAX(1,'Loan Tape'!$AU186-1+1)))-C493*C190),0)))</f>
        <v>0</v>
      </c>
      <c r="D1099" s="99" t="n">
        <f aca="false">IF(OR('Loan Tape'!$AN186=0,'Loan Tape'!$Z186="Interest Only",'Loan Tape'!$Z186=""),0,MIN(MAX(0,D190-D796),IFERROR(MAX(0,MIN(2,'Loan Tape'!$AV186)-MAX(1,'Loan Tape'!$AT186))*IF(D493&lt;=0,D190/MAX(1,'Loan Tape'!$AU186-2+1),D493*D190/(1-(1+D493)^(-MAX(1,'Loan Tape'!$AU186-2+1)))-D493*D190),0)))</f>
        <v>0</v>
      </c>
      <c r="E1099" s="99" t="n">
        <f aca="false">IF(OR('Loan Tape'!$AN186=0,'Loan Tape'!$Z186="Interest Only",'Loan Tape'!$Z186=""),0,MIN(MAX(0,E190-E796),IFERROR(MAX(0,MIN(3,'Loan Tape'!$AV186)-MAX(2,'Loan Tape'!$AT186))*IF(E493&lt;=0,E190/MAX(1,'Loan Tape'!$AU186-3+1),E493*E190/(1-(1+E493)^(-MAX(1,'Loan Tape'!$AU186-3+1)))-E493*E190),0)))</f>
        <v>0</v>
      </c>
      <c r="F1099" s="99" t="n">
        <f aca="false">IF(OR('Loan Tape'!$AN186=0,'Loan Tape'!$Z186="Interest Only",'Loan Tape'!$Z186=""),0,MIN(MAX(0,F190-F796),IFERROR(MAX(0,MIN(4,'Loan Tape'!$AV186)-MAX(3,'Loan Tape'!$AT186))*IF(F493&lt;=0,F190/MAX(1,'Loan Tape'!$AU186-4+1),F493*F190/(1-(1+F493)^(-MAX(1,'Loan Tape'!$AU186-4+1)))-F493*F190),0)))</f>
        <v>0</v>
      </c>
      <c r="G1099" s="99" t="n">
        <f aca="false">IF(OR('Loan Tape'!$AN186=0,'Loan Tape'!$Z186="Interest Only",'Loan Tape'!$Z186=""),0,MIN(MAX(0,G190-G796),IFERROR(MAX(0,MIN(5,'Loan Tape'!$AV186)-MAX(4,'Loan Tape'!$AT186))*IF(G493&lt;=0,G190/MAX(1,'Loan Tape'!$AU186-5+1),G493*G190/(1-(1+G493)^(-MAX(1,'Loan Tape'!$AU186-5+1)))-G493*G190),0)))</f>
        <v>0</v>
      </c>
      <c r="H1099" s="99" t="n">
        <f aca="false">IF(OR('Loan Tape'!$AN186=0,'Loan Tape'!$Z186="Interest Only",'Loan Tape'!$Z186=""),0,MIN(MAX(0,H190-H796),IFERROR(MAX(0,MIN(6,'Loan Tape'!$AV186)-MAX(5,'Loan Tape'!$AT186))*IF(H493&lt;=0,H190/MAX(1,'Loan Tape'!$AU186-6+1),H493*H190/(1-(1+H493)^(-MAX(1,'Loan Tape'!$AU186-6+1)))-H493*H190),0)))</f>
        <v>0</v>
      </c>
      <c r="I1099" s="99" t="n">
        <f aca="false">IF(OR('Loan Tape'!$AN186=0,'Loan Tape'!$Z186="Interest Only",'Loan Tape'!$Z186=""),0,MIN(MAX(0,I190-I796),IFERROR(MAX(0,MIN(7,'Loan Tape'!$AV186)-MAX(6,'Loan Tape'!$AT186))*IF(I493&lt;=0,I190/MAX(1,'Loan Tape'!$AU186-7+1),I493*I190/(1-(1+I493)^(-MAX(1,'Loan Tape'!$AU186-7+1)))-I493*I190),0)))</f>
        <v>0</v>
      </c>
      <c r="J1099" s="99" t="n">
        <f aca="false">IF(OR('Loan Tape'!$AN186=0,'Loan Tape'!$Z186="Interest Only",'Loan Tape'!$Z186=""),0,MIN(MAX(0,J190-J796),IFERROR(MAX(0,MIN(8,'Loan Tape'!$AV186)-MAX(7,'Loan Tape'!$AT186))*IF(J493&lt;=0,J190/MAX(1,'Loan Tape'!$AU186-8+1),J493*J190/(1-(1+J493)^(-MAX(1,'Loan Tape'!$AU186-8+1)))-J493*J190),0)))</f>
        <v>0</v>
      </c>
      <c r="K1099" s="99" t="n">
        <f aca="false">IF(OR('Loan Tape'!$AN186=0,'Loan Tape'!$Z186="Interest Only",'Loan Tape'!$Z186=""),0,MIN(MAX(0,K190-K796),IFERROR(MAX(0,MIN(9,'Loan Tape'!$AV186)-MAX(8,'Loan Tape'!$AT186))*IF(K493&lt;=0,K190/MAX(1,'Loan Tape'!$AU186-9+1),K493*K190/(1-(1+K493)^(-MAX(1,'Loan Tape'!$AU186-9+1)))-K493*K190),0)))</f>
        <v>0</v>
      </c>
      <c r="L1099" s="99" t="n">
        <f aca="false">IF(OR('Loan Tape'!$AN186=0,'Loan Tape'!$Z186="Interest Only",'Loan Tape'!$Z186=""),0,MIN(MAX(0,L190-L796),IFERROR(MAX(0,MIN(10,'Loan Tape'!$AV186)-MAX(9,'Loan Tape'!$AT186))*IF(L493&lt;=0,L190/MAX(1,'Loan Tape'!$AU186-10+1),L493*L190/(1-(1+L493)^(-MAX(1,'Loan Tape'!$AU186-10+1)))-L493*L190),0)))</f>
        <v>0</v>
      </c>
    </row>
    <row r="1100" customFormat="false" ht="15" hidden="false" customHeight="false" outlineLevel="0" collapsed="false">
      <c r="B1100" s="108" t="n">
        <f aca="false">'Loan Tape'!$A187</f>
        <v>0</v>
      </c>
      <c r="C1100" s="71" t="n">
        <f aca="false">IF(OR('Loan Tape'!$AN187=0,'Loan Tape'!$Z187="Interest Only",'Loan Tape'!$Z187=""),0,MIN(MAX(0,C191-C797),IFERROR(MAX(0,MIN(1,'Loan Tape'!$AV187)-MAX(0,'Loan Tape'!$AT187))*IF(C494&lt;=0,C191/MAX(1,'Loan Tape'!$AU187-1+1),C494*C191/(1-(1+C494)^(-MAX(1,'Loan Tape'!$AU187-1+1)))-C494*C191),0)))</f>
        <v>0</v>
      </c>
      <c r="D1100" s="71" t="n">
        <f aca="false">IF(OR('Loan Tape'!$AN187=0,'Loan Tape'!$Z187="Interest Only",'Loan Tape'!$Z187=""),0,MIN(MAX(0,D191-D797),IFERROR(MAX(0,MIN(2,'Loan Tape'!$AV187)-MAX(1,'Loan Tape'!$AT187))*IF(D494&lt;=0,D191/MAX(1,'Loan Tape'!$AU187-2+1),D494*D191/(1-(1+D494)^(-MAX(1,'Loan Tape'!$AU187-2+1)))-D494*D191),0)))</f>
        <v>0</v>
      </c>
      <c r="E1100" s="71" t="n">
        <f aca="false">IF(OR('Loan Tape'!$AN187=0,'Loan Tape'!$Z187="Interest Only",'Loan Tape'!$Z187=""),0,MIN(MAX(0,E191-E797),IFERROR(MAX(0,MIN(3,'Loan Tape'!$AV187)-MAX(2,'Loan Tape'!$AT187))*IF(E494&lt;=0,E191/MAX(1,'Loan Tape'!$AU187-3+1),E494*E191/(1-(1+E494)^(-MAX(1,'Loan Tape'!$AU187-3+1)))-E494*E191),0)))</f>
        <v>0</v>
      </c>
      <c r="F1100" s="71" t="n">
        <f aca="false">IF(OR('Loan Tape'!$AN187=0,'Loan Tape'!$Z187="Interest Only",'Loan Tape'!$Z187=""),0,MIN(MAX(0,F191-F797),IFERROR(MAX(0,MIN(4,'Loan Tape'!$AV187)-MAX(3,'Loan Tape'!$AT187))*IF(F494&lt;=0,F191/MAX(1,'Loan Tape'!$AU187-4+1),F494*F191/(1-(1+F494)^(-MAX(1,'Loan Tape'!$AU187-4+1)))-F494*F191),0)))</f>
        <v>0</v>
      </c>
      <c r="G1100" s="71" t="n">
        <f aca="false">IF(OR('Loan Tape'!$AN187=0,'Loan Tape'!$Z187="Interest Only",'Loan Tape'!$Z187=""),0,MIN(MAX(0,G191-G797),IFERROR(MAX(0,MIN(5,'Loan Tape'!$AV187)-MAX(4,'Loan Tape'!$AT187))*IF(G494&lt;=0,G191/MAX(1,'Loan Tape'!$AU187-5+1),G494*G191/(1-(1+G494)^(-MAX(1,'Loan Tape'!$AU187-5+1)))-G494*G191),0)))</f>
        <v>0</v>
      </c>
      <c r="H1100" s="71" t="n">
        <f aca="false">IF(OR('Loan Tape'!$AN187=0,'Loan Tape'!$Z187="Interest Only",'Loan Tape'!$Z187=""),0,MIN(MAX(0,H191-H797),IFERROR(MAX(0,MIN(6,'Loan Tape'!$AV187)-MAX(5,'Loan Tape'!$AT187))*IF(H494&lt;=0,H191/MAX(1,'Loan Tape'!$AU187-6+1),H494*H191/(1-(1+H494)^(-MAX(1,'Loan Tape'!$AU187-6+1)))-H494*H191),0)))</f>
        <v>0</v>
      </c>
      <c r="I1100" s="71" t="n">
        <f aca="false">IF(OR('Loan Tape'!$AN187=0,'Loan Tape'!$Z187="Interest Only",'Loan Tape'!$Z187=""),0,MIN(MAX(0,I191-I797),IFERROR(MAX(0,MIN(7,'Loan Tape'!$AV187)-MAX(6,'Loan Tape'!$AT187))*IF(I494&lt;=0,I191/MAX(1,'Loan Tape'!$AU187-7+1),I494*I191/(1-(1+I494)^(-MAX(1,'Loan Tape'!$AU187-7+1)))-I494*I191),0)))</f>
        <v>0</v>
      </c>
      <c r="J1100" s="71" t="n">
        <f aca="false">IF(OR('Loan Tape'!$AN187=0,'Loan Tape'!$Z187="Interest Only",'Loan Tape'!$Z187=""),0,MIN(MAX(0,J191-J797),IFERROR(MAX(0,MIN(8,'Loan Tape'!$AV187)-MAX(7,'Loan Tape'!$AT187))*IF(J494&lt;=0,J191/MAX(1,'Loan Tape'!$AU187-8+1),J494*J191/(1-(1+J494)^(-MAX(1,'Loan Tape'!$AU187-8+1)))-J494*J191),0)))</f>
        <v>0</v>
      </c>
      <c r="K1100" s="71" t="n">
        <f aca="false">IF(OR('Loan Tape'!$AN187=0,'Loan Tape'!$Z187="Interest Only",'Loan Tape'!$Z187=""),0,MIN(MAX(0,K191-K797),IFERROR(MAX(0,MIN(9,'Loan Tape'!$AV187)-MAX(8,'Loan Tape'!$AT187))*IF(K494&lt;=0,K191/MAX(1,'Loan Tape'!$AU187-9+1),K494*K191/(1-(1+K494)^(-MAX(1,'Loan Tape'!$AU187-9+1)))-K494*K191),0)))</f>
        <v>0</v>
      </c>
      <c r="L1100" s="71" t="n">
        <f aca="false">IF(OR('Loan Tape'!$AN187=0,'Loan Tape'!$Z187="Interest Only",'Loan Tape'!$Z187=""),0,MIN(MAX(0,L191-L797),IFERROR(MAX(0,MIN(10,'Loan Tape'!$AV187)-MAX(9,'Loan Tape'!$AT187))*IF(L494&lt;=0,L191/MAX(1,'Loan Tape'!$AU187-10+1),L494*L191/(1-(1+L494)^(-MAX(1,'Loan Tape'!$AU187-10+1)))-L494*L191),0)))</f>
        <v>0</v>
      </c>
    </row>
    <row r="1101" customFormat="false" ht="15" hidden="false" customHeight="false" outlineLevel="0" collapsed="false">
      <c r="B1101" s="102" t="n">
        <f aca="false">'Loan Tape'!$A188</f>
        <v>0</v>
      </c>
      <c r="C1101" s="99" t="n">
        <f aca="false">IF(OR('Loan Tape'!$AN188=0,'Loan Tape'!$Z188="Interest Only",'Loan Tape'!$Z188=""),0,MIN(MAX(0,C192-C798),IFERROR(MAX(0,MIN(1,'Loan Tape'!$AV188)-MAX(0,'Loan Tape'!$AT188))*IF(C495&lt;=0,C192/MAX(1,'Loan Tape'!$AU188-1+1),C495*C192/(1-(1+C495)^(-MAX(1,'Loan Tape'!$AU188-1+1)))-C495*C192),0)))</f>
        <v>0</v>
      </c>
      <c r="D1101" s="99" t="n">
        <f aca="false">IF(OR('Loan Tape'!$AN188=0,'Loan Tape'!$Z188="Interest Only",'Loan Tape'!$Z188=""),0,MIN(MAX(0,D192-D798),IFERROR(MAX(0,MIN(2,'Loan Tape'!$AV188)-MAX(1,'Loan Tape'!$AT188))*IF(D495&lt;=0,D192/MAX(1,'Loan Tape'!$AU188-2+1),D495*D192/(1-(1+D495)^(-MAX(1,'Loan Tape'!$AU188-2+1)))-D495*D192),0)))</f>
        <v>0</v>
      </c>
      <c r="E1101" s="99" t="n">
        <f aca="false">IF(OR('Loan Tape'!$AN188=0,'Loan Tape'!$Z188="Interest Only",'Loan Tape'!$Z188=""),0,MIN(MAX(0,E192-E798),IFERROR(MAX(0,MIN(3,'Loan Tape'!$AV188)-MAX(2,'Loan Tape'!$AT188))*IF(E495&lt;=0,E192/MAX(1,'Loan Tape'!$AU188-3+1),E495*E192/(1-(1+E495)^(-MAX(1,'Loan Tape'!$AU188-3+1)))-E495*E192),0)))</f>
        <v>0</v>
      </c>
      <c r="F1101" s="99" t="n">
        <f aca="false">IF(OR('Loan Tape'!$AN188=0,'Loan Tape'!$Z188="Interest Only",'Loan Tape'!$Z188=""),0,MIN(MAX(0,F192-F798),IFERROR(MAX(0,MIN(4,'Loan Tape'!$AV188)-MAX(3,'Loan Tape'!$AT188))*IF(F495&lt;=0,F192/MAX(1,'Loan Tape'!$AU188-4+1),F495*F192/(1-(1+F495)^(-MAX(1,'Loan Tape'!$AU188-4+1)))-F495*F192),0)))</f>
        <v>0</v>
      </c>
      <c r="G1101" s="99" t="n">
        <f aca="false">IF(OR('Loan Tape'!$AN188=0,'Loan Tape'!$Z188="Interest Only",'Loan Tape'!$Z188=""),0,MIN(MAX(0,G192-G798),IFERROR(MAX(0,MIN(5,'Loan Tape'!$AV188)-MAX(4,'Loan Tape'!$AT188))*IF(G495&lt;=0,G192/MAX(1,'Loan Tape'!$AU188-5+1),G495*G192/(1-(1+G495)^(-MAX(1,'Loan Tape'!$AU188-5+1)))-G495*G192),0)))</f>
        <v>0</v>
      </c>
      <c r="H1101" s="99" t="n">
        <f aca="false">IF(OR('Loan Tape'!$AN188=0,'Loan Tape'!$Z188="Interest Only",'Loan Tape'!$Z188=""),0,MIN(MAX(0,H192-H798),IFERROR(MAX(0,MIN(6,'Loan Tape'!$AV188)-MAX(5,'Loan Tape'!$AT188))*IF(H495&lt;=0,H192/MAX(1,'Loan Tape'!$AU188-6+1),H495*H192/(1-(1+H495)^(-MAX(1,'Loan Tape'!$AU188-6+1)))-H495*H192),0)))</f>
        <v>0</v>
      </c>
      <c r="I1101" s="99" t="n">
        <f aca="false">IF(OR('Loan Tape'!$AN188=0,'Loan Tape'!$Z188="Interest Only",'Loan Tape'!$Z188=""),0,MIN(MAX(0,I192-I798),IFERROR(MAX(0,MIN(7,'Loan Tape'!$AV188)-MAX(6,'Loan Tape'!$AT188))*IF(I495&lt;=0,I192/MAX(1,'Loan Tape'!$AU188-7+1),I495*I192/(1-(1+I495)^(-MAX(1,'Loan Tape'!$AU188-7+1)))-I495*I192),0)))</f>
        <v>0</v>
      </c>
      <c r="J1101" s="99" t="n">
        <f aca="false">IF(OR('Loan Tape'!$AN188=0,'Loan Tape'!$Z188="Interest Only",'Loan Tape'!$Z188=""),0,MIN(MAX(0,J192-J798),IFERROR(MAX(0,MIN(8,'Loan Tape'!$AV188)-MAX(7,'Loan Tape'!$AT188))*IF(J495&lt;=0,J192/MAX(1,'Loan Tape'!$AU188-8+1),J495*J192/(1-(1+J495)^(-MAX(1,'Loan Tape'!$AU188-8+1)))-J495*J192),0)))</f>
        <v>0</v>
      </c>
      <c r="K1101" s="99" t="n">
        <f aca="false">IF(OR('Loan Tape'!$AN188=0,'Loan Tape'!$Z188="Interest Only",'Loan Tape'!$Z188=""),0,MIN(MAX(0,K192-K798),IFERROR(MAX(0,MIN(9,'Loan Tape'!$AV188)-MAX(8,'Loan Tape'!$AT188))*IF(K495&lt;=0,K192/MAX(1,'Loan Tape'!$AU188-9+1),K495*K192/(1-(1+K495)^(-MAX(1,'Loan Tape'!$AU188-9+1)))-K495*K192),0)))</f>
        <v>0</v>
      </c>
      <c r="L1101" s="99" t="n">
        <f aca="false">IF(OR('Loan Tape'!$AN188=0,'Loan Tape'!$Z188="Interest Only",'Loan Tape'!$Z188=""),0,MIN(MAX(0,L192-L798),IFERROR(MAX(0,MIN(10,'Loan Tape'!$AV188)-MAX(9,'Loan Tape'!$AT188))*IF(L495&lt;=0,L192/MAX(1,'Loan Tape'!$AU188-10+1),L495*L192/(1-(1+L495)^(-MAX(1,'Loan Tape'!$AU188-10+1)))-L495*L192),0)))</f>
        <v>0</v>
      </c>
    </row>
    <row r="1102" customFormat="false" ht="15" hidden="false" customHeight="false" outlineLevel="0" collapsed="false">
      <c r="B1102" s="108" t="n">
        <f aca="false">'Loan Tape'!$A189</f>
        <v>0</v>
      </c>
      <c r="C1102" s="71" t="n">
        <f aca="false">IF(OR('Loan Tape'!$AN189=0,'Loan Tape'!$Z189="Interest Only",'Loan Tape'!$Z189=""),0,MIN(MAX(0,C193-C799),IFERROR(MAX(0,MIN(1,'Loan Tape'!$AV189)-MAX(0,'Loan Tape'!$AT189))*IF(C496&lt;=0,C193/MAX(1,'Loan Tape'!$AU189-1+1),C496*C193/(1-(1+C496)^(-MAX(1,'Loan Tape'!$AU189-1+1)))-C496*C193),0)))</f>
        <v>0</v>
      </c>
      <c r="D1102" s="71" t="n">
        <f aca="false">IF(OR('Loan Tape'!$AN189=0,'Loan Tape'!$Z189="Interest Only",'Loan Tape'!$Z189=""),0,MIN(MAX(0,D193-D799),IFERROR(MAX(0,MIN(2,'Loan Tape'!$AV189)-MAX(1,'Loan Tape'!$AT189))*IF(D496&lt;=0,D193/MAX(1,'Loan Tape'!$AU189-2+1),D496*D193/(1-(1+D496)^(-MAX(1,'Loan Tape'!$AU189-2+1)))-D496*D193),0)))</f>
        <v>0</v>
      </c>
      <c r="E1102" s="71" t="n">
        <f aca="false">IF(OR('Loan Tape'!$AN189=0,'Loan Tape'!$Z189="Interest Only",'Loan Tape'!$Z189=""),0,MIN(MAX(0,E193-E799),IFERROR(MAX(0,MIN(3,'Loan Tape'!$AV189)-MAX(2,'Loan Tape'!$AT189))*IF(E496&lt;=0,E193/MAX(1,'Loan Tape'!$AU189-3+1),E496*E193/(1-(1+E496)^(-MAX(1,'Loan Tape'!$AU189-3+1)))-E496*E193),0)))</f>
        <v>0</v>
      </c>
      <c r="F1102" s="71" t="n">
        <f aca="false">IF(OR('Loan Tape'!$AN189=0,'Loan Tape'!$Z189="Interest Only",'Loan Tape'!$Z189=""),0,MIN(MAX(0,F193-F799),IFERROR(MAX(0,MIN(4,'Loan Tape'!$AV189)-MAX(3,'Loan Tape'!$AT189))*IF(F496&lt;=0,F193/MAX(1,'Loan Tape'!$AU189-4+1),F496*F193/(1-(1+F496)^(-MAX(1,'Loan Tape'!$AU189-4+1)))-F496*F193),0)))</f>
        <v>0</v>
      </c>
      <c r="G1102" s="71" t="n">
        <f aca="false">IF(OR('Loan Tape'!$AN189=0,'Loan Tape'!$Z189="Interest Only",'Loan Tape'!$Z189=""),0,MIN(MAX(0,G193-G799),IFERROR(MAX(0,MIN(5,'Loan Tape'!$AV189)-MAX(4,'Loan Tape'!$AT189))*IF(G496&lt;=0,G193/MAX(1,'Loan Tape'!$AU189-5+1),G496*G193/(1-(1+G496)^(-MAX(1,'Loan Tape'!$AU189-5+1)))-G496*G193),0)))</f>
        <v>0</v>
      </c>
      <c r="H1102" s="71" t="n">
        <f aca="false">IF(OR('Loan Tape'!$AN189=0,'Loan Tape'!$Z189="Interest Only",'Loan Tape'!$Z189=""),0,MIN(MAX(0,H193-H799),IFERROR(MAX(0,MIN(6,'Loan Tape'!$AV189)-MAX(5,'Loan Tape'!$AT189))*IF(H496&lt;=0,H193/MAX(1,'Loan Tape'!$AU189-6+1),H496*H193/(1-(1+H496)^(-MAX(1,'Loan Tape'!$AU189-6+1)))-H496*H193),0)))</f>
        <v>0</v>
      </c>
      <c r="I1102" s="71" t="n">
        <f aca="false">IF(OR('Loan Tape'!$AN189=0,'Loan Tape'!$Z189="Interest Only",'Loan Tape'!$Z189=""),0,MIN(MAX(0,I193-I799),IFERROR(MAX(0,MIN(7,'Loan Tape'!$AV189)-MAX(6,'Loan Tape'!$AT189))*IF(I496&lt;=0,I193/MAX(1,'Loan Tape'!$AU189-7+1),I496*I193/(1-(1+I496)^(-MAX(1,'Loan Tape'!$AU189-7+1)))-I496*I193),0)))</f>
        <v>0</v>
      </c>
      <c r="J1102" s="71" t="n">
        <f aca="false">IF(OR('Loan Tape'!$AN189=0,'Loan Tape'!$Z189="Interest Only",'Loan Tape'!$Z189=""),0,MIN(MAX(0,J193-J799),IFERROR(MAX(0,MIN(8,'Loan Tape'!$AV189)-MAX(7,'Loan Tape'!$AT189))*IF(J496&lt;=0,J193/MAX(1,'Loan Tape'!$AU189-8+1),J496*J193/(1-(1+J496)^(-MAX(1,'Loan Tape'!$AU189-8+1)))-J496*J193),0)))</f>
        <v>0</v>
      </c>
      <c r="K1102" s="71" t="n">
        <f aca="false">IF(OR('Loan Tape'!$AN189=0,'Loan Tape'!$Z189="Interest Only",'Loan Tape'!$Z189=""),0,MIN(MAX(0,K193-K799),IFERROR(MAX(0,MIN(9,'Loan Tape'!$AV189)-MAX(8,'Loan Tape'!$AT189))*IF(K496&lt;=0,K193/MAX(1,'Loan Tape'!$AU189-9+1),K496*K193/(1-(1+K496)^(-MAX(1,'Loan Tape'!$AU189-9+1)))-K496*K193),0)))</f>
        <v>0</v>
      </c>
      <c r="L1102" s="71" t="n">
        <f aca="false">IF(OR('Loan Tape'!$AN189=0,'Loan Tape'!$Z189="Interest Only",'Loan Tape'!$Z189=""),0,MIN(MAX(0,L193-L799),IFERROR(MAX(0,MIN(10,'Loan Tape'!$AV189)-MAX(9,'Loan Tape'!$AT189))*IF(L496&lt;=0,L193/MAX(1,'Loan Tape'!$AU189-10+1),L496*L193/(1-(1+L496)^(-MAX(1,'Loan Tape'!$AU189-10+1)))-L496*L193),0)))</f>
        <v>0</v>
      </c>
    </row>
    <row r="1103" customFormat="false" ht="15" hidden="false" customHeight="false" outlineLevel="0" collapsed="false">
      <c r="B1103" s="102" t="n">
        <f aca="false">'Loan Tape'!$A190</f>
        <v>0</v>
      </c>
      <c r="C1103" s="99" t="n">
        <f aca="false">IF(OR('Loan Tape'!$AN190=0,'Loan Tape'!$Z190="Interest Only",'Loan Tape'!$Z190=""),0,MIN(MAX(0,C194-C800),IFERROR(MAX(0,MIN(1,'Loan Tape'!$AV190)-MAX(0,'Loan Tape'!$AT190))*IF(C497&lt;=0,C194/MAX(1,'Loan Tape'!$AU190-1+1),C497*C194/(1-(1+C497)^(-MAX(1,'Loan Tape'!$AU190-1+1)))-C497*C194),0)))</f>
        <v>0</v>
      </c>
      <c r="D1103" s="99" t="n">
        <f aca="false">IF(OR('Loan Tape'!$AN190=0,'Loan Tape'!$Z190="Interest Only",'Loan Tape'!$Z190=""),0,MIN(MAX(0,D194-D800),IFERROR(MAX(0,MIN(2,'Loan Tape'!$AV190)-MAX(1,'Loan Tape'!$AT190))*IF(D497&lt;=0,D194/MAX(1,'Loan Tape'!$AU190-2+1),D497*D194/(1-(1+D497)^(-MAX(1,'Loan Tape'!$AU190-2+1)))-D497*D194),0)))</f>
        <v>0</v>
      </c>
      <c r="E1103" s="99" t="n">
        <f aca="false">IF(OR('Loan Tape'!$AN190=0,'Loan Tape'!$Z190="Interest Only",'Loan Tape'!$Z190=""),0,MIN(MAX(0,E194-E800),IFERROR(MAX(0,MIN(3,'Loan Tape'!$AV190)-MAX(2,'Loan Tape'!$AT190))*IF(E497&lt;=0,E194/MAX(1,'Loan Tape'!$AU190-3+1),E497*E194/(1-(1+E497)^(-MAX(1,'Loan Tape'!$AU190-3+1)))-E497*E194),0)))</f>
        <v>0</v>
      </c>
      <c r="F1103" s="99" t="n">
        <f aca="false">IF(OR('Loan Tape'!$AN190=0,'Loan Tape'!$Z190="Interest Only",'Loan Tape'!$Z190=""),0,MIN(MAX(0,F194-F800),IFERROR(MAX(0,MIN(4,'Loan Tape'!$AV190)-MAX(3,'Loan Tape'!$AT190))*IF(F497&lt;=0,F194/MAX(1,'Loan Tape'!$AU190-4+1),F497*F194/(1-(1+F497)^(-MAX(1,'Loan Tape'!$AU190-4+1)))-F497*F194),0)))</f>
        <v>0</v>
      </c>
      <c r="G1103" s="99" t="n">
        <f aca="false">IF(OR('Loan Tape'!$AN190=0,'Loan Tape'!$Z190="Interest Only",'Loan Tape'!$Z190=""),0,MIN(MAX(0,G194-G800),IFERROR(MAX(0,MIN(5,'Loan Tape'!$AV190)-MAX(4,'Loan Tape'!$AT190))*IF(G497&lt;=0,G194/MAX(1,'Loan Tape'!$AU190-5+1),G497*G194/(1-(1+G497)^(-MAX(1,'Loan Tape'!$AU190-5+1)))-G497*G194),0)))</f>
        <v>0</v>
      </c>
      <c r="H1103" s="99" t="n">
        <f aca="false">IF(OR('Loan Tape'!$AN190=0,'Loan Tape'!$Z190="Interest Only",'Loan Tape'!$Z190=""),0,MIN(MAX(0,H194-H800),IFERROR(MAX(0,MIN(6,'Loan Tape'!$AV190)-MAX(5,'Loan Tape'!$AT190))*IF(H497&lt;=0,H194/MAX(1,'Loan Tape'!$AU190-6+1),H497*H194/(1-(1+H497)^(-MAX(1,'Loan Tape'!$AU190-6+1)))-H497*H194),0)))</f>
        <v>0</v>
      </c>
      <c r="I1103" s="99" t="n">
        <f aca="false">IF(OR('Loan Tape'!$AN190=0,'Loan Tape'!$Z190="Interest Only",'Loan Tape'!$Z190=""),0,MIN(MAX(0,I194-I800),IFERROR(MAX(0,MIN(7,'Loan Tape'!$AV190)-MAX(6,'Loan Tape'!$AT190))*IF(I497&lt;=0,I194/MAX(1,'Loan Tape'!$AU190-7+1),I497*I194/(1-(1+I497)^(-MAX(1,'Loan Tape'!$AU190-7+1)))-I497*I194),0)))</f>
        <v>0</v>
      </c>
      <c r="J1103" s="99" t="n">
        <f aca="false">IF(OR('Loan Tape'!$AN190=0,'Loan Tape'!$Z190="Interest Only",'Loan Tape'!$Z190=""),0,MIN(MAX(0,J194-J800),IFERROR(MAX(0,MIN(8,'Loan Tape'!$AV190)-MAX(7,'Loan Tape'!$AT190))*IF(J497&lt;=0,J194/MAX(1,'Loan Tape'!$AU190-8+1),J497*J194/(1-(1+J497)^(-MAX(1,'Loan Tape'!$AU190-8+1)))-J497*J194),0)))</f>
        <v>0</v>
      </c>
      <c r="K1103" s="99" t="n">
        <f aca="false">IF(OR('Loan Tape'!$AN190=0,'Loan Tape'!$Z190="Interest Only",'Loan Tape'!$Z190=""),0,MIN(MAX(0,K194-K800),IFERROR(MAX(0,MIN(9,'Loan Tape'!$AV190)-MAX(8,'Loan Tape'!$AT190))*IF(K497&lt;=0,K194/MAX(1,'Loan Tape'!$AU190-9+1),K497*K194/(1-(1+K497)^(-MAX(1,'Loan Tape'!$AU190-9+1)))-K497*K194),0)))</f>
        <v>0</v>
      </c>
      <c r="L1103" s="99" t="n">
        <f aca="false">IF(OR('Loan Tape'!$AN190=0,'Loan Tape'!$Z190="Interest Only",'Loan Tape'!$Z190=""),0,MIN(MAX(0,L194-L800),IFERROR(MAX(0,MIN(10,'Loan Tape'!$AV190)-MAX(9,'Loan Tape'!$AT190))*IF(L497&lt;=0,L194/MAX(1,'Loan Tape'!$AU190-10+1),L497*L194/(1-(1+L497)^(-MAX(1,'Loan Tape'!$AU190-10+1)))-L497*L194),0)))</f>
        <v>0</v>
      </c>
    </row>
    <row r="1104" customFormat="false" ht="15" hidden="false" customHeight="false" outlineLevel="0" collapsed="false">
      <c r="B1104" s="108" t="n">
        <f aca="false">'Loan Tape'!$A191</f>
        <v>0</v>
      </c>
      <c r="C1104" s="71" t="n">
        <f aca="false">IF(OR('Loan Tape'!$AN191=0,'Loan Tape'!$Z191="Interest Only",'Loan Tape'!$Z191=""),0,MIN(MAX(0,C195-C801),IFERROR(MAX(0,MIN(1,'Loan Tape'!$AV191)-MAX(0,'Loan Tape'!$AT191))*IF(C498&lt;=0,C195/MAX(1,'Loan Tape'!$AU191-1+1),C498*C195/(1-(1+C498)^(-MAX(1,'Loan Tape'!$AU191-1+1)))-C498*C195),0)))</f>
        <v>0</v>
      </c>
      <c r="D1104" s="71" t="n">
        <f aca="false">IF(OR('Loan Tape'!$AN191=0,'Loan Tape'!$Z191="Interest Only",'Loan Tape'!$Z191=""),0,MIN(MAX(0,D195-D801),IFERROR(MAX(0,MIN(2,'Loan Tape'!$AV191)-MAX(1,'Loan Tape'!$AT191))*IF(D498&lt;=0,D195/MAX(1,'Loan Tape'!$AU191-2+1),D498*D195/(1-(1+D498)^(-MAX(1,'Loan Tape'!$AU191-2+1)))-D498*D195),0)))</f>
        <v>0</v>
      </c>
      <c r="E1104" s="71" t="n">
        <f aca="false">IF(OR('Loan Tape'!$AN191=0,'Loan Tape'!$Z191="Interest Only",'Loan Tape'!$Z191=""),0,MIN(MAX(0,E195-E801),IFERROR(MAX(0,MIN(3,'Loan Tape'!$AV191)-MAX(2,'Loan Tape'!$AT191))*IF(E498&lt;=0,E195/MAX(1,'Loan Tape'!$AU191-3+1),E498*E195/(1-(1+E498)^(-MAX(1,'Loan Tape'!$AU191-3+1)))-E498*E195),0)))</f>
        <v>0</v>
      </c>
      <c r="F1104" s="71" t="n">
        <f aca="false">IF(OR('Loan Tape'!$AN191=0,'Loan Tape'!$Z191="Interest Only",'Loan Tape'!$Z191=""),0,MIN(MAX(0,F195-F801),IFERROR(MAX(0,MIN(4,'Loan Tape'!$AV191)-MAX(3,'Loan Tape'!$AT191))*IF(F498&lt;=0,F195/MAX(1,'Loan Tape'!$AU191-4+1),F498*F195/(1-(1+F498)^(-MAX(1,'Loan Tape'!$AU191-4+1)))-F498*F195),0)))</f>
        <v>0</v>
      </c>
      <c r="G1104" s="71" t="n">
        <f aca="false">IF(OR('Loan Tape'!$AN191=0,'Loan Tape'!$Z191="Interest Only",'Loan Tape'!$Z191=""),0,MIN(MAX(0,G195-G801),IFERROR(MAX(0,MIN(5,'Loan Tape'!$AV191)-MAX(4,'Loan Tape'!$AT191))*IF(G498&lt;=0,G195/MAX(1,'Loan Tape'!$AU191-5+1),G498*G195/(1-(1+G498)^(-MAX(1,'Loan Tape'!$AU191-5+1)))-G498*G195),0)))</f>
        <v>0</v>
      </c>
      <c r="H1104" s="71" t="n">
        <f aca="false">IF(OR('Loan Tape'!$AN191=0,'Loan Tape'!$Z191="Interest Only",'Loan Tape'!$Z191=""),0,MIN(MAX(0,H195-H801),IFERROR(MAX(0,MIN(6,'Loan Tape'!$AV191)-MAX(5,'Loan Tape'!$AT191))*IF(H498&lt;=0,H195/MAX(1,'Loan Tape'!$AU191-6+1),H498*H195/(1-(1+H498)^(-MAX(1,'Loan Tape'!$AU191-6+1)))-H498*H195),0)))</f>
        <v>0</v>
      </c>
      <c r="I1104" s="71" t="n">
        <f aca="false">IF(OR('Loan Tape'!$AN191=0,'Loan Tape'!$Z191="Interest Only",'Loan Tape'!$Z191=""),0,MIN(MAX(0,I195-I801),IFERROR(MAX(0,MIN(7,'Loan Tape'!$AV191)-MAX(6,'Loan Tape'!$AT191))*IF(I498&lt;=0,I195/MAX(1,'Loan Tape'!$AU191-7+1),I498*I195/(1-(1+I498)^(-MAX(1,'Loan Tape'!$AU191-7+1)))-I498*I195),0)))</f>
        <v>0</v>
      </c>
      <c r="J1104" s="71" t="n">
        <f aca="false">IF(OR('Loan Tape'!$AN191=0,'Loan Tape'!$Z191="Interest Only",'Loan Tape'!$Z191=""),0,MIN(MAX(0,J195-J801),IFERROR(MAX(0,MIN(8,'Loan Tape'!$AV191)-MAX(7,'Loan Tape'!$AT191))*IF(J498&lt;=0,J195/MAX(1,'Loan Tape'!$AU191-8+1),J498*J195/(1-(1+J498)^(-MAX(1,'Loan Tape'!$AU191-8+1)))-J498*J195),0)))</f>
        <v>0</v>
      </c>
      <c r="K1104" s="71" t="n">
        <f aca="false">IF(OR('Loan Tape'!$AN191=0,'Loan Tape'!$Z191="Interest Only",'Loan Tape'!$Z191=""),0,MIN(MAX(0,K195-K801),IFERROR(MAX(0,MIN(9,'Loan Tape'!$AV191)-MAX(8,'Loan Tape'!$AT191))*IF(K498&lt;=0,K195/MAX(1,'Loan Tape'!$AU191-9+1),K498*K195/(1-(1+K498)^(-MAX(1,'Loan Tape'!$AU191-9+1)))-K498*K195),0)))</f>
        <v>0</v>
      </c>
      <c r="L1104" s="71" t="n">
        <f aca="false">IF(OR('Loan Tape'!$AN191=0,'Loan Tape'!$Z191="Interest Only",'Loan Tape'!$Z191=""),0,MIN(MAX(0,L195-L801),IFERROR(MAX(0,MIN(10,'Loan Tape'!$AV191)-MAX(9,'Loan Tape'!$AT191))*IF(L498&lt;=0,L195/MAX(1,'Loan Tape'!$AU191-10+1),L498*L195/(1-(1+L498)^(-MAX(1,'Loan Tape'!$AU191-10+1)))-L498*L195),0)))</f>
        <v>0</v>
      </c>
    </row>
    <row r="1105" customFormat="false" ht="15" hidden="false" customHeight="false" outlineLevel="0" collapsed="false">
      <c r="B1105" s="102" t="n">
        <f aca="false">'Loan Tape'!$A192</f>
        <v>0</v>
      </c>
      <c r="C1105" s="99" t="n">
        <f aca="false">IF(OR('Loan Tape'!$AN192=0,'Loan Tape'!$Z192="Interest Only",'Loan Tape'!$Z192=""),0,MIN(MAX(0,C196-C802),IFERROR(MAX(0,MIN(1,'Loan Tape'!$AV192)-MAX(0,'Loan Tape'!$AT192))*IF(C499&lt;=0,C196/MAX(1,'Loan Tape'!$AU192-1+1),C499*C196/(1-(1+C499)^(-MAX(1,'Loan Tape'!$AU192-1+1)))-C499*C196),0)))</f>
        <v>0</v>
      </c>
      <c r="D1105" s="99" t="n">
        <f aca="false">IF(OR('Loan Tape'!$AN192=0,'Loan Tape'!$Z192="Interest Only",'Loan Tape'!$Z192=""),0,MIN(MAX(0,D196-D802),IFERROR(MAX(0,MIN(2,'Loan Tape'!$AV192)-MAX(1,'Loan Tape'!$AT192))*IF(D499&lt;=0,D196/MAX(1,'Loan Tape'!$AU192-2+1),D499*D196/(1-(1+D499)^(-MAX(1,'Loan Tape'!$AU192-2+1)))-D499*D196),0)))</f>
        <v>0</v>
      </c>
      <c r="E1105" s="99" t="n">
        <f aca="false">IF(OR('Loan Tape'!$AN192=0,'Loan Tape'!$Z192="Interest Only",'Loan Tape'!$Z192=""),0,MIN(MAX(0,E196-E802),IFERROR(MAX(0,MIN(3,'Loan Tape'!$AV192)-MAX(2,'Loan Tape'!$AT192))*IF(E499&lt;=0,E196/MAX(1,'Loan Tape'!$AU192-3+1),E499*E196/(1-(1+E499)^(-MAX(1,'Loan Tape'!$AU192-3+1)))-E499*E196),0)))</f>
        <v>0</v>
      </c>
      <c r="F1105" s="99" t="n">
        <f aca="false">IF(OR('Loan Tape'!$AN192=0,'Loan Tape'!$Z192="Interest Only",'Loan Tape'!$Z192=""),0,MIN(MAX(0,F196-F802),IFERROR(MAX(0,MIN(4,'Loan Tape'!$AV192)-MAX(3,'Loan Tape'!$AT192))*IF(F499&lt;=0,F196/MAX(1,'Loan Tape'!$AU192-4+1),F499*F196/(1-(1+F499)^(-MAX(1,'Loan Tape'!$AU192-4+1)))-F499*F196),0)))</f>
        <v>0</v>
      </c>
      <c r="G1105" s="99" t="n">
        <f aca="false">IF(OR('Loan Tape'!$AN192=0,'Loan Tape'!$Z192="Interest Only",'Loan Tape'!$Z192=""),0,MIN(MAX(0,G196-G802),IFERROR(MAX(0,MIN(5,'Loan Tape'!$AV192)-MAX(4,'Loan Tape'!$AT192))*IF(G499&lt;=0,G196/MAX(1,'Loan Tape'!$AU192-5+1),G499*G196/(1-(1+G499)^(-MAX(1,'Loan Tape'!$AU192-5+1)))-G499*G196),0)))</f>
        <v>0</v>
      </c>
      <c r="H1105" s="99" t="n">
        <f aca="false">IF(OR('Loan Tape'!$AN192=0,'Loan Tape'!$Z192="Interest Only",'Loan Tape'!$Z192=""),0,MIN(MAX(0,H196-H802),IFERROR(MAX(0,MIN(6,'Loan Tape'!$AV192)-MAX(5,'Loan Tape'!$AT192))*IF(H499&lt;=0,H196/MAX(1,'Loan Tape'!$AU192-6+1),H499*H196/(1-(1+H499)^(-MAX(1,'Loan Tape'!$AU192-6+1)))-H499*H196),0)))</f>
        <v>0</v>
      </c>
      <c r="I1105" s="99" t="n">
        <f aca="false">IF(OR('Loan Tape'!$AN192=0,'Loan Tape'!$Z192="Interest Only",'Loan Tape'!$Z192=""),0,MIN(MAX(0,I196-I802),IFERROR(MAX(0,MIN(7,'Loan Tape'!$AV192)-MAX(6,'Loan Tape'!$AT192))*IF(I499&lt;=0,I196/MAX(1,'Loan Tape'!$AU192-7+1),I499*I196/(1-(1+I499)^(-MAX(1,'Loan Tape'!$AU192-7+1)))-I499*I196),0)))</f>
        <v>0</v>
      </c>
      <c r="J1105" s="99" t="n">
        <f aca="false">IF(OR('Loan Tape'!$AN192=0,'Loan Tape'!$Z192="Interest Only",'Loan Tape'!$Z192=""),0,MIN(MAX(0,J196-J802),IFERROR(MAX(0,MIN(8,'Loan Tape'!$AV192)-MAX(7,'Loan Tape'!$AT192))*IF(J499&lt;=0,J196/MAX(1,'Loan Tape'!$AU192-8+1),J499*J196/(1-(1+J499)^(-MAX(1,'Loan Tape'!$AU192-8+1)))-J499*J196),0)))</f>
        <v>0</v>
      </c>
      <c r="K1105" s="99" t="n">
        <f aca="false">IF(OR('Loan Tape'!$AN192=0,'Loan Tape'!$Z192="Interest Only",'Loan Tape'!$Z192=""),0,MIN(MAX(0,K196-K802),IFERROR(MAX(0,MIN(9,'Loan Tape'!$AV192)-MAX(8,'Loan Tape'!$AT192))*IF(K499&lt;=0,K196/MAX(1,'Loan Tape'!$AU192-9+1),K499*K196/(1-(1+K499)^(-MAX(1,'Loan Tape'!$AU192-9+1)))-K499*K196),0)))</f>
        <v>0</v>
      </c>
      <c r="L1105" s="99" t="n">
        <f aca="false">IF(OR('Loan Tape'!$AN192=0,'Loan Tape'!$Z192="Interest Only",'Loan Tape'!$Z192=""),0,MIN(MAX(0,L196-L802),IFERROR(MAX(0,MIN(10,'Loan Tape'!$AV192)-MAX(9,'Loan Tape'!$AT192))*IF(L499&lt;=0,L196/MAX(1,'Loan Tape'!$AU192-10+1),L499*L196/(1-(1+L499)^(-MAX(1,'Loan Tape'!$AU192-10+1)))-L499*L196),0)))</f>
        <v>0</v>
      </c>
    </row>
    <row r="1106" customFormat="false" ht="15" hidden="false" customHeight="false" outlineLevel="0" collapsed="false">
      <c r="B1106" s="108" t="n">
        <f aca="false">'Loan Tape'!$A193</f>
        <v>0</v>
      </c>
      <c r="C1106" s="71" t="n">
        <f aca="false">IF(OR('Loan Tape'!$AN193=0,'Loan Tape'!$Z193="Interest Only",'Loan Tape'!$Z193=""),0,MIN(MAX(0,C197-C803),IFERROR(MAX(0,MIN(1,'Loan Tape'!$AV193)-MAX(0,'Loan Tape'!$AT193))*IF(C500&lt;=0,C197/MAX(1,'Loan Tape'!$AU193-1+1),C500*C197/(1-(1+C500)^(-MAX(1,'Loan Tape'!$AU193-1+1)))-C500*C197),0)))</f>
        <v>0</v>
      </c>
      <c r="D1106" s="71" t="n">
        <f aca="false">IF(OR('Loan Tape'!$AN193=0,'Loan Tape'!$Z193="Interest Only",'Loan Tape'!$Z193=""),0,MIN(MAX(0,D197-D803),IFERROR(MAX(0,MIN(2,'Loan Tape'!$AV193)-MAX(1,'Loan Tape'!$AT193))*IF(D500&lt;=0,D197/MAX(1,'Loan Tape'!$AU193-2+1),D500*D197/(1-(1+D500)^(-MAX(1,'Loan Tape'!$AU193-2+1)))-D500*D197),0)))</f>
        <v>0</v>
      </c>
      <c r="E1106" s="71" t="n">
        <f aca="false">IF(OR('Loan Tape'!$AN193=0,'Loan Tape'!$Z193="Interest Only",'Loan Tape'!$Z193=""),0,MIN(MAX(0,E197-E803),IFERROR(MAX(0,MIN(3,'Loan Tape'!$AV193)-MAX(2,'Loan Tape'!$AT193))*IF(E500&lt;=0,E197/MAX(1,'Loan Tape'!$AU193-3+1),E500*E197/(1-(1+E500)^(-MAX(1,'Loan Tape'!$AU193-3+1)))-E500*E197),0)))</f>
        <v>0</v>
      </c>
      <c r="F1106" s="71" t="n">
        <f aca="false">IF(OR('Loan Tape'!$AN193=0,'Loan Tape'!$Z193="Interest Only",'Loan Tape'!$Z193=""),0,MIN(MAX(0,F197-F803),IFERROR(MAX(0,MIN(4,'Loan Tape'!$AV193)-MAX(3,'Loan Tape'!$AT193))*IF(F500&lt;=0,F197/MAX(1,'Loan Tape'!$AU193-4+1),F500*F197/(1-(1+F500)^(-MAX(1,'Loan Tape'!$AU193-4+1)))-F500*F197),0)))</f>
        <v>0</v>
      </c>
      <c r="G1106" s="71" t="n">
        <f aca="false">IF(OR('Loan Tape'!$AN193=0,'Loan Tape'!$Z193="Interest Only",'Loan Tape'!$Z193=""),0,MIN(MAX(0,G197-G803),IFERROR(MAX(0,MIN(5,'Loan Tape'!$AV193)-MAX(4,'Loan Tape'!$AT193))*IF(G500&lt;=0,G197/MAX(1,'Loan Tape'!$AU193-5+1),G500*G197/(1-(1+G500)^(-MAX(1,'Loan Tape'!$AU193-5+1)))-G500*G197),0)))</f>
        <v>0</v>
      </c>
      <c r="H1106" s="71" t="n">
        <f aca="false">IF(OR('Loan Tape'!$AN193=0,'Loan Tape'!$Z193="Interest Only",'Loan Tape'!$Z193=""),0,MIN(MAX(0,H197-H803),IFERROR(MAX(0,MIN(6,'Loan Tape'!$AV193)-MAX(5,'Loan Tape'!$AT193))*IF(H500&lt;=0,H197/MAX(1,'Loan Tape'!$AU193-6+1),H500*H197/(1-(1+H500)^(-MAX(1,'Loan Tape'!$AU193-6+1)))-H500*H197),0)))</f>
        <v>0</v>
      </c>
      <c r="I1106" s="71" t="n">
        <f aca="false">IF(OR('Loan Tape'!$AN193=0,'Loan Tape'!$Z193="Interest Only",'Loan Tape'!$Z193=""),0,MIN(MAX(0,I197-I803),IFERROR(MAX(0,MIN(7,'Loan Tape'!$AV193)-MAX(6,'Loan Tape'!$AT193))*IF(I500&lt;=0,I197/MAX(1,'Loan Tape'!$AU193-7+1),I500*I197/(1-(1+I500)^(-MAX(1,'Loan Tape'!$AU193-7+1)))-I500*I197),0)))</f>
        <v>0</v>
      </c>
      <c r="J1106" s="71" t="n">
        <f aca="false">IF(OR('Loan Tape'!$AN193=0,'Loan Tape'!$Z193="Interest Only",'Loan Tape'!$Z193=""),0,MIN(MAX(0,J197-J803),IFERROR(MAX(0,MIN(8,'Loan Tape'!$AV193)-MAX(7,'Loan Tape'!$AT193))*IF(J500&lt;=0,J197/MAX(1,'Loan Tape'!$AU193-8+1),J500*J197/(1-(1+J500)^(-MAX(1,'Loan Tape'!$AU193-8+1)))-J500*J197),0)))</f>
        <v>0</v>
      </c>
      <c r="K1106" s="71" t="n">
        <f aca="false">IF(OR('Loan Tape'!$AN193=0,'Loan Tape'!$Z193="Interest Only",'Loan Tape'!$Z193=""),0,MIN(MAX(0,K197-K803),IFERROR(MAX(0,MIN(9,'Loan Tape'!$AV193)-MAX(8,'Loan Tape'!$AT193))*IF(K500&lt;=0,K197/MAX(1,'Loan Tape'!$AU193-9+1),K500*K197/(1-(1+K500)^(-MAX(1,'Loan Tape'!$AU193-9+1)))-K500*K197),0)))</f>
        <v>0</v>
      </c>
      <c r="L1106" s="71" t="n">
        <f aca="false">IF(OR('Loan Tape'!$AN193=0,'Loan Tape'!$Z193="Interest Only",'Loan Tape'!$Z193=""),0,MIN(MAX(0,L197-L803),IFERROR(MAX(0,MIN(10,'Loan Tape'!$AV193)-MAX(9,'Loan Tape'!$AT193))*IF(L500&lt;=0,L197/MAX(1,'Loan Tape'!$AU193-10+1),L500*L197/(1-(1+L500)^(-MAX(1,'Loan Tape'!$AU193-10+1)))-L500*L197),0)))</f>
        <v>0</v>
      </c>
    </row>
    <row r="1107" customFormat="false" ht="15" hidden="false" customHeight="false" outlineLevel="0" collapsed="false">
      <c r="B1107" s="102" t="n">
        <f aca="false">'Loan Tape'!$A194</f>
        <v>0</v>
      </c>
      <c r="C1107" s="99" t="n">
        <f aca="false">IF(OR('Loan Tape'!$AN194=0,'Loan Tape'!$Z194="Interest Only",'Loan Tape'!$Z194=""),0,MIN(MAX(0,C198-C804),IFERROR(MAX(0,MIN(1,'Loan Tape'!$AV194)-MAX(0,'Loan Tape'!$AT194))*IF(C501&lt;=0,C198/MAX(1,'Loan Tape'!$AU194-1+1),C501*C198/(1-(1+C501)^(-MAX(1,'Loan Tape'!$AU194-1+1)))-C501*C198),0)))</f>
        <v>0</v>
      </c>
      <c r="D1107" s="99" t="n">
        <f aca="false">IF(OR('Loan Tape'!$AN194=0,'Loan Tape'!$Z194="Interest Only",'Loan Tape'!$Z194=""),0,MIN(MAX(0,D198-D804),IFERROR(MAX(0,MIN(2,'Loan Tape'!$AV194)-MAX(1,'Loan Tape'!$AT194))*IF(D501&lt;=0,D198/MAX(1,'Loan Tape'!$AU194-2+1),D501*D198/(1-(1+D501)^(-MAX(1,'Loan Tape'!$AU194-2+1)))-D501*D198),0)))</f>
        <v>0</v>
      </c>
      <c r="E1107" s="99" t="n">
        <f aca="false">IF(OR('Loan Tape'!$AN194=0,'Loan Tape'!$Z194="Interest Only",'Loan Tape'!$Z194=""),0,MIN(MAX(0,E198-E804),IFERROR(MAX(0,MIN(3,'Loan Tape'!$AV194)-MAX(2,'Loan Tape'!$AT194))*IF(E501&lt;=0,E198/MAX(1,'Loan Tape'!$AU194-3+1),E501*E198/(1-(1+E501)^(-MAX(1,'Loan Tape'!$AU194-3+1)))-E501*E198),0)))</f>
        <v>0</v>
      </c>
      <c r="F1107" s="99" t="n">
        <f aca="false">IF(OR('Loan Tape'!$AN194=0,'Loan Tape'!$Z194="Interest Only",'Loan Tape'!$Z194=""),0,MIN(MAX(0,F198-F804),IFERROR(MAX(0,MIN(4,'Loan Tape'!$AV194)-MAX(3,'Loan Tape'!$AT194))*IF(F501&lt;=0,F198/MAX(1,'Loan Tape'!$AU194-4+1),F501*F198/(1-(1+F501)^(-MAX(1,'Loan Tape'!$AU194-4+1)))-F501*F198),0)))</f>
        <v>0</v>
      </c>
      <c r="G1107" s="99" t="n">
        <f aca="false">IF(OR('Loan Tape'!$AN194=0,'Loan Tape'!$Z194="Interest Only",'Loan Tape'!$Z194=""),0,MIN(MAX(0,G198-G804),IFERROR(MAX(0,MIN(5,'Loan Tape'!$AV194)-MAX(4,'Loan Tape'!$AT194))*IF(G501&lt;=0,G198/MAX(1,'Loan Tape'!$AU194-5+1),G501*G198/(1-(1+G501)^(-MAX(1,'Loan Tape'!$AU194-5+1)))-G501*G198),0)))</f>
        <v>0</v>
      </c>
      <c r="H1107" s="99" t="n">
        <f aca="false">IF(OR('Loan Tape'!$AN194=0,'Loan Tape'!$Z194="Interest Only",'Loan Tape'!$Z194=""),0,MIN(MAX(0,H198-H804),IFERROR(MAX(0,MIN(6,'Loan Tape'!$AV194)-MAX(5,'Loan Tape'!$AT194))*IF(H501&lt;=0,H198/MAX(1,'Loan Tape'!$AU194-6+1),H501*H198/(1-(1+H501)^(-MAX(1,'Loan Tape'!$AU194-6+1)))-H501*H198),0)))</f>
        <v>0</v>
      </c>
      <c r="I1107" s="99" t="n">
        <f aca="false">IF(OR('Loan Tape'!$AN194=0,'Loan Tape'!$Z194="Interest Only",'Loan Tape'!$Z194=""),0,MIN(MAX(0,I198-I804),IFERROR(MAX(0,MIN(7,'Loan Tape'!$AV194)-MAX(6,'Loan Tape'!$AT194))*IF(I501&lt;=0,I198/MAX(1,'Loan Tape'!$AU194-7+1),I501*I198/(1-(1+I501)^(-MAX(1,'Loan Tape'!$AU194-7+1)))-I501*I198),0)))</f>
        <v>0</v>
      </c>
      <c r="J1107" s="99" t="n">
        <f aca="false">IF(OR('Loan Tape'!$AN194=0,'Loan Tape'!$Z194="Interest Only",'Loan Tape'!$Z194=""),0,MIN(MAX(0,J198-J804),IFERROR(MAX(0,MIN(8,'Loan Tape'!$AV194)-MAX(7,'Loan Tape'!$AT194))*IF(J501&lt;=0,J198/MAX(1,'Loan Tape'!$AU194-8+1),J501*J198/(1-(1+J501)^(-MAX(1,'Loan Tape'!$AU194-8+1)))-J501*J198),0)))</f>
        <v>0</v>
      </c>
      <c r="K1107" s="99" t="n">
        <f aca="false">IF(OR('Loan Tape'!$AN194=0,'Loan Tape'!$Z194="Interest Only",'Loan Tape'!$Z194=""),0,MIN(MAX(0,K198-K804),IFERROR(MAX(0,MIN(9,'Loan Tape'!$AV194)-MAX(8,'Loan Tape'!$AT194))*IF(K501&lt;=0,K198/MAX(1,'Loan Tape'!$AU194-9+1),K501*K198/(1-(1+K501)^(-MAX(1,'Loan Tape'!$AU194-9+1)))-K501*K198),0)))</f>
        <v>0</v>
      </c>
      <c r="L1107" s="99" t="n">
        <f aca="false">IF(OR('Loan Tape'!$AN194=0,'Loan Tape'!$Z194="Interest Only",'Loan Tape'!$Z194=""),0,MIN(MAX(0,L198-L804),IFERROR(MAX(0,MIN(10,'Loan Tape'!$AV194)-MAX(9,'Loan Tape'!$AT194))*IF(L501&lt;=0,L198/MAX(1,'Loan Tape'!$AU194-10+1),L501*L198/(1-(1+L501)^(-MAX(1,'Loan Tape'!$AU194-10+1)))-L501*L198),0)))</f>
        <v>0</v>
      </c>
    </row>
    <row r="1108" customFormat="false" ht="15" hidden="false" customHeight="false" outlineLevel="0" collapsed="false">
      <c r="B1108" s="108" t="n">
        <f aca="false">'Loan Tape'!$A195</f>
        <v>0</v>
      </c>
      <c r="C1108" s="71" t="n">
        <f aca="false">IF(OR('Loan Tape'!$AN195=0,'Loan Tape'!$Z195="Interest Only",'Loan Tape'!$Z195=""),0,MIN(MAX(0,C199-C805),IFERROR(MAX(0,MIN(1,'Loan Tape'!$AV195)-MAX(0,'Loan Tape'!$AT195))*IF(C502&lt;=0,C199/MAX(1,'Loan Tape'!$AU195-1+1),C502*C199/(1-(1+C502)^(-MAX(1,'Loan Tape'!$AU195-1+1)))-C502*C199),0)))</f>
        <v>0</v>
      </c>
      <c r="D1108" s="71" t="n">
        <f aca="false">IF(OR('Loan Tape'!$AN195=0,'Loan Tape'!$Z195="Interest Only",'Loan Tape'!$Z195=""),0,MIN(MAX(0,D199-D805),IFERROR(MAX(0,MIN(2,'Loan Tape'!$AV195)-MAX(1,'Loan Tape'!$AT195))*IF(D502&lt;=0,D199/MAX(1,'Loan Tape'!$AU195-2+1),D502*D199/(1-(1+D502)^(-MAX(1,'Loan Tape'!$AU195-2+1)))-D502*D199),0)))</f>
        <v>0</v>
      </c>
      <c r="E1108" s="71" t="n">
        <f aca="false">IF(OR('Loan Tape'!$AN195=0,'Loan Tape'!$Z195="Interest Only",'Loan Tape'!$Z195=""),0,MIN(MAX(0,E199-E805),IFERROR(MAX(0,MIN(3,'Loan Tape'!$AV195)-MAX(2,'Loan Tape'!$AT195))*IF(E502&lt;=0,E199/MAX(1,'Loan Tape'!$AU195-3+1),E502*E199/(1-(1+E502)^(-MAX(1,'Loan Tape'!$AU195-3+1)))-E502*E199),0)))</f>
        <v>0</v>
      </c>
      <c r="F1108" s="71" t="n">
        <f aca="false">IF(OR('Loan Tape'!$AN195=0,'Loan Tape'!$Z195="Interest Only",'Loan Tape'!$Z195=""),0,MIN(MAX(0,F199-F805),IFERROR(MAX(0,MIN(4,'Loan Tape'!$AV195)-MAX(3,'Loan Tape'!$AT195))*IF(F502&lt;=0,F199/MAX(1,'Loan Tape'!$AU195-4+1),F502*F199/(1-(1+F502)^(-MAX(1,'Loan Tape'!$AU195-4+1)))-F502*F199),0)))</f>
        <v>0</v>
      </c>
      <c r="G1108" s="71" t="n">
        <f aca="false">IF(OR('Loan Tape'!$AN195=0,'Loan Tape'!$Z195="Interest Only",'Loan Tape'!$Z195=""),0,MIN(MAX(0,G199-G805),IFERROR(MAX(0,MIN(5,'Loan Tape'!$AV195)-MAX(4,'Loan Tape'!$AT195))*IF(G502&lt;=0,G199/MAX(1,'Loan Tape'!$AU195-5+1),G502*G199/(1-(1+G502)^(-MAX(1,'Loan Tape'!$AU195-5+1)))-G502*G199),0)))</f>
        <v>0</v>
      </c>
      <c r="H1108" s="71" t="n">
        <f aca="false">IF(OR('Loan Tape'!$AN195=0,'Loan Tape'!$Z195="Interest Only",'Loan Tape'!$Z195=""),0,MIN(MAX(0,H199-H805),IFERROR(MAX(0,MIN(6,'Loan Tape'!$AV195)-MAX(5,'Loan Tape'!$AT195))*IF(H502&lt;=0,H199/MAX(1,'Loan Tape'!$AU195-6+1),H502*H199/(1-(1+H502)^(-MAX(1,'Loan Tape'!$AU195-6+1)))-H502*H199),0)))</f>
        <v>0</v>
      </c>
      <c r="I1108" s="71" t="n">
        <f aca="false">IF(OR('Loan Tape'!$AN195=0,'Loan Tape'!$Z195="Interest Only",'Loan Tape'!$Z195=""),0,MIN(MAX(0,I199-I805),IFERROR(MAX(0,MIN(7,'Loan Tape'!$AV195)-MAX(6,'Loan Tape'!$AT195))*IF(I502&lt;=0,I199/MAX(1,'Loan Tape'!$AU195-7+1),I502*I199/(1-(1+I502)^(-MAX(1,'Loan Tape'!$AU195-7+1)))-I502*I199),0)))</f>
        <v>0</v>
      </c>
      <c r="J1108" s="71" t="n">
        <f aca="false">IF(OR('Loan Tape'!$AN195=0,'Loan Tape'!$Z195="Interest Only",'Loan Tape'!$Z195=""),0,MIN(MAX(0,J199-J805),IFERROR(MAX(0,MIN(8,'Loan Tape'!$AV195)-MAX(7,'Loan Tape'!$AT195))*IF(J502&lt;=0,J199/MAX(1,'Loan Tape'!$AU195-8+1),J502*J199/(1-(1+J502)^(-MAX(1,'Loan Tape'!$AU195-8+1)))-J502*J199),0)))</f>
        <v>0</v>
      </c>
      <c r="K1108" s="71" t="n">
        <f aca="false">IF(OR('Loan Tape'!$AN195=0,'Loan Tape'!$Z195="Interest Only",'Loan Tape'!$Z195=""),0,MIN(MAX(0,K199-K805),IFERROR(MAX(0,MIN(9,'Loan Tape'!$AV195)-MAX(8,'Loan Tape'!$AT195))*IF(K502&lt;=0,K199/MAX(1,'Loan Tape'!$AU195-9+1),K502*K199/(1-(1+K502)^(-MAX(1,'Loan Tape'!$AU195-9+1)))-K502*K199),0)))</f>
        <v>0</v>
      </c>
      <c r="L1108" s="71" t="n">
        <f aca="false">IF(OR('Loan Tape'!$AN195=0,'Loan Tape'!$Z195="Interest Only",'Loan Tape'!$Z195=""),0,MIN(MAX(0,L199-L805),IFERROR(MAX(0,MIN(10,'Loan Tape'!$AV195)-MAX(9,'Loan Tape'!$AT195))*IF(L502&lt;=0,L199/MAX(1,'Loan Tape'!$AU195-10+1),L502*L199/(1-(1+L502)^(-MAX(1,'Loan Tape'!$AU195-10+1)))-L502*L199),0)))</f>
        <v>0</v>
      </c>
    </row>
    <row r="1109" customFormat="false" ht="15" hidden="false" customHeight="false" outlineLevel="0" collapsed="false">
      <c r="B1109" s="102" t="n">
        <f aca="false">'Loan Tape'!$A196</f>
        <v>0</v>
      </c>
      <c r="C1109" s="99" t="n">
        <f aca="false">IF(OR('Loan Tape'!$AN196=0,'Loan Tape'!$Z196="Interest Only",'Loan Tape'!$Z196=""),0,MIN(MAX(0,C200-C806),IFERROR(MAX(0,MIN(1,'Loan Tape'!$AV196)-MAX(0,'Loan Tape'!$AT196))*IF(C503&lt;=0,C200/MAX(1,'Loan Tape'!$AU196-1+1),C503*C200/(1-(1+C503)^(-MAX(1,'Loan Tape'!$AU196-1+1)))-C503*C200),0)))</f>
        <v>0</v>
      </c>
      <c r="D1109" s="99" t="n">
        <f aca="false">IF(OR('Loan Tape'!$AN196=0,'Loan Tape'!$Z196="Interest Only",'Loan Tape'!$Z196=""),0,MIN(MAX(0,D200-D806),IFERROR(MAX(0,MIN(2,'Loan Tape'!$AV196)-MAX(1,'Loan Tape'!$AT196))*IF(D503&lt;=0,D200/MAX(1,'Loan Tape'!$AU196-2+1),D503*D200/(1-(1+D503)^(-MAX(1,'Loan Tape'!$AU196-2+1)))-D503*D200),0)))</f>
        <v>0</v>
      </c>
      <c r="E1109" s="99" t="n">
        <f aca="false">IF(OR('Loan Tape'!$AN196=0,'Loan Tape'!$Z196="Interest Only",'Loan Tape'!$Z196=""),0,MIN(MAX(0,E200-E806),IFERROR(MAX(0,MIN(3,'Loan Tape'!$AV196)-MAX(2,'Loan Tape'!$AT196))*IF(E503&lt;=0,E200/MAX(1,'Loan Tape'!$AU196-3+1),E503*E200/(1-(1+E503)^(-MAX(1,'Loan Tape'!$AU196-3+1)))-E503*E200),0)))</f>
        <v>0</v>
      </c>
      <c r="F1109" s="99" t="n">
        <f aca="false">IF(OR('Loan Tape'!$AN196=0,'Loan Tape'!$Z196="Interest Only",'Loan Tape'!$Z196=""),0,MIN(MAX(0,F200-F806),IFERROR(MAX(0,MIN(4,'Loan Tape'!$AV196)-MAX(3,'Loan Tape'!$AT196))*IF(F503&lt;=0,F200/MAX(1,'Loan Tape'!$AU196-4+1),F503*F200/(1-(1+F503)^(-MAX(1,'Loan Tape'!$AU196-4+1)))-F503*F200),0)))</f>
        <v>0</v>
      </c>
      <c r="G1109" s="99" t="n">
        <f aca="false">IF(OR('Loan Tape'!$AN196=0,'Loan Tape'!$Z196="Interest Only",'Loan Tape'!$Z196=""),0,MIN(MAX(0,G200-G806),IFERROR(MAX(0,MIN(5,'Loan Tape'!$AV196)-MAX(4,'Loan Tape'!$AT196))*IF(G503&lt;=0,G200/MAX(1,'Loan Tape'!$AU196-5+1),G503*G200/(1-(1+G503)^(-MAX(1,'Loan Tape'!$AU196-5+1)))-G503*G200),0)))</f>
        <v>0</v>
      </c>
      <c r="H1109" s="99" t="n">
        <f aca="false">IF(OR('Loan Tape'!$AN196=0,'Loan Tape'!$Z196="Interest Only",'Loan Tape'!$Z196=""),0,MIN(MAX(0,H200-H806),IFERROR(MAX(0,MIN(6,'Loan Tape'!$AV196)-MAX(5,'Loan Tape'!$AT196))*IF(H503&lt;=0,H200/MAX(1,'Loan Tape'!$AU196-6+1),H503*H200/(1-(1+H503)^(-MAX(1,'Loan Tape'!$AU196-6+1)))-H503*H200),0)))</f>
        <v>0</v>
      </c>
      <c r="I1109" s="99" t="n">
        <f aca="false">IF(OR('Loan Tape'!$AN196=0,'Loan Tape'!$Z196="Interest Only",'Loan Tape'!$Z196=""),0,MIN(MAX(0,I200-I806),IFERROR(MAX(0,MIN(7,'Loan Tape'!$AV196)-MAX(6,'Loan Tape'!$AT196))*IF(I503&lt;=0,I200/MAX(1,'Loan Tape'!$AU196-7+1),I503*I200/(1-(1+I503)^(-MAX(1,'Loan Tape'!$AU196-7+1)))-I503*I200),0)))</f>
        <v>0</v>
      </c>
      <c r="J1109" s="99" t="n">
        <f aca="false">IF(OR('Loan Tape'!$AN196=0,'Loan Tape'!$Z196="Interest Only",'Loan Tape'!$Z196=""),0,MIN(MAX(0,J200-J806),IFERROR(MAX(0,MIN(8,'Loan Tape'!$AV196)-MAX(7,'Loan Tape'!$AT196))*IF(J503&lt;=0,J200/MAX(1,'Loan Tape'!$AU196-8+1),J503*J200/(1-(1+J503)^(-MAX(1,'Loan Tape'!$AU196-8+1)))-J503*J200),0)))</f>
        <v>0</v>
      </c>
      <c r="K1109" s="99" t="n">
        <f aca="false">IF(OR('Loan Tape'!$AN196=0,'Loan Tape'!$Z196="Interest Only",'Loan Tape'!$Z196=""),0,MIN(MAX(0,K200-K806),IFERROR(MAX(0,MIN(9,'Loan Tape'!$AV196)-MAX(8,'Loan Tape'!$AT196))*IF(K503&lt;=0,K200/MAX(1,'Loan Tape'!$AU196-9+1),K503*K200/(1-(1+K503)^(-MAX(1,'Loan Tape'!$AU196-9+1)))-K503*K200),0)))</f>
        <v>0</v>
      </c>
      <c r="L1109" s="99" t="n">
        <f aca="false">IF(OR('Loan Tape'!$AN196=0,'Loan Tape'!$Z196="Interest Only",'Loan Tape'!$Z196=""),0,MIN(MAX(0,L200-L806),IFERROR(MAX(0,MIN(10,'Loan Tape'!$AV196)-MAX(9,'Loan Tape'!$AT196))*IF(L503&lt;=0,L200/MAX(1,'Loan Tape'!$AU196-10+1),L503*L200/(1-(1+L503)^(-MAX(1,'Loan Tape'!$AU196-10+1)))-L503*L200),0)))</f>
        <v>0</v>
      </c>
    </row>
    <row r="1110" customFormat="false" ht="15" hidden="false" customHeight="false" outlineLevel="0" collapsed="false">
      <c r="B1110" s="108" t="n">
        <f aca="false">'Loan Tape'!$A197</f>
        <v>0</v>
      </c>
      <c r="C1110" s="71" t="n">
        <f aca="false">IF(OR('Loan Tape'!$AN197=0,'Loan Tape'!$Z197="Interest Only",'Loan Tape'!$Z197=""),0,MIN(MAX(0,C201-C807),IFERROR(MAX(0,MIN(1,'Loan Tape'!$AV197)-MAX(0,'Loan Tape'!$AT197))*IF(C504&lt;=0,C201/MAX(1,'Loan Tape'!$AU197-1+1),C504*C201/(1-(1+C504)^(-MAX(1,'Loan Tape'!$AU197-1+1)))-C504*C201),0)))</f>
        <v>0</v>
      </c>
      <c r="D1110" s="71" t="n">
        <f aca="false">IF(OR('Loan Tape'!$AN197=0,'Loan Tape'!$Z197="Interest Only",'Loan Tape'!$Z197=""),0,MIN(MAX(0,D201-D807),IFERROR(MAX(0,MIN(2,'Loan Tape'!$AV197)-MAX(1,'Loan Tape'!$AT197))*IF(D504&lt;=0,D201/MAX(1,'Loan Tape'!$AU197-2+1),D504*D201/(1-(1+D504)^(-MAX(1,'Loan Tape'!$AU197-2+1)))-D504*D201),0)))</f>
        <v>0</v>
      </c>
      <c r="E1110" s="71" t="n">
        <f aca="false">IF(OR('Loan Tape'!$AN197=0,'Loan Tape'!$Z197="Interest Only",'Loan Tape'!$Z197=""),0,MIN(MAX(0,E201-E807),IFERROR(MAX(0,MIN(3,'Loan Tape'!$AV197)-MAX(2,'Loan Tape'!$AT197))*IF(E504&lt;=0,E201/MAX(1,'Loan Tape'!$AU197-3+1),E504*E201/(1-(1+E504)^(-MAX(1,'Loan Tape'!$AU197-3+1)))-E504*E201),0)))</f>
        <v>0</v>
      </c>
      <c r="F1110" s="71" t="n">
        <f aca="false">IF(OR('Loan Tape'!$AN197=0,'Loan Tape'!$Z197="Interest Only",'Loan Tape'!$Z197=""),0,MIN(MAX(0,F201-F807),IFERROR(MAX(0,MIN(4,'Loan Tape'!$AV197)-MAX(3,'Loan Tape'!$AT197))*IF(F504&lt;=0,F201/MAX(1,'Loan Tape'!$AU197-4+1),F504*F201/(1-(1+F504)^(-MAX(1,'Loan Tape'!$AU197-4+1)))-F504*F201),0)))</f>
        <v>0</v>
      </c>
      <c r="G1110" s="71" t="n">
        <f aca="false">IF(OR('Loan Tape'!$AN197=0,'Loan Tape'!$Z197="Interest Only",'Loan Tape'!$Z197=""),0,MIN(MAX(0,G201-G807),IFERROR(MAX(0,MIN(5,'Loan Tape'!$AV197)-MAX(4,'Loan Tape'!$AT197))*IF(G504&lt;=0,G201/MAX(1,'Loan Tape'!$AU197-5+1),G504*G201/(1-(1+G504)^(-MAX(1,'Loan Tape'!$AU197-5+1)))-G504*G201),0)))</f>
        <v>0</v>
      </c>
      <c r="H1110" s="71" t="n">
        <f aca="false">IF(OR('Loan Tape'!$AN197=0,'Loan Tape'!$Z197="Interest Only",'Loan Tape'!$Z197=""),0,MIN(MAX(0,H201-H807),IFERROR(MAX(0,MIN(6,'Loan Tape'!$AV197)-MAX(5,'Loan Tape'!$AT197))*IF(H504&lt;=0,H201/MAX(1,'Loan Tape'!$AU197-6+1),H504*H201/(1-(1+H504)^(-MAX(1,'Loan Tape'!$AU197-6+1)))-H504*H201),0)))</f>
        <v>0</v>
      </c>
      <c r="I1110" s="71" t="n">
        <f aca="false">IF(OR('Loan Tape'!$AN197=0,'Loan Tape'!$Z197="Interest Only",'Loan Tape'!$Z197=""),0,MIN(MAX(0,I201-I807),IFERROR(MAX(0,MIN(7,'Loan Tape'!$AV197)-MAX(6,'Loan Tape'!$AT197))*IF(I504&lt;=0,I201/MAX(1,'Loan Tape'!$AU197-7+1),I504*I201/(1-(1+I504)^(-MAX(1,'Loan Tape'!$AU197-7+1)))-I504*I201),0)))</f>
        <v>0</v>
      </c>
      <c r="J1110" s="71" t="n">
        <f aca="false">IF(OR('Loan Tape'!$AN197=0,'Loan Tape'!$Z197="Interest Only",'Loan Tape'!$Z197=""),0,MIN(MAX(0,J201-J807),IFERROR(MAX(0,MIN(8,'Loan Tape'!$AV197)-MAX(7,'Loan Tape'!$AT197))*IF(J504&lt;=0,J201/MAX(1,'Loan Tape'!$AU197-8+1),J504*J201/(1-(1+J504)^(-MAX(1,'Loan Tape'!$AU197-8+1)))-J504*J201),0)))</f>
        <v>0</v>
      </c>
      <c r="K1110" s="71" t="n">
        <f aca="false">IF(OR('Loan Tape'!$AN197=0,'Loan Tape'!$Z197="Interest Only",'Loan Tape'!$Z197=""),0,MIN(MAX(0,K201-K807),IFERROR(MAX(0,MIN(9,'Loan Tape'!$AV197)-MAX(8,'Loan Tape'!$AT197))*IF(K504&lt;=0,K201/MAX(1,'Loan Tape'!$AU197-9+1),K504*K201/(1-(1+K504)^(-MAX(1,'Loan Tape'!$AU197-9+1)))-K504*K201),0)))</f>
        <v>0</v>
      </c>
      <c r="L1110" s="71" t="n">
        <f aca="false">IF(OR('Loan Tape'!$AN197=0,'Loan Tape'!$Z197="Interest Only",'Loan Tape'!$Z197=""),0,MIN(MAX(0,L201-L807),IFERROR(MAX(0,MIN(10,'Loan Tape'!$AV197)-MAX(9,'Loan Tape'!$AT197))*IF(L504&lt;=0,L201/MAX(1,'Loan Tape'!$AU197-10+1),L504*L201/(1-(1+L504)^(-MAX(1,'Loan Tape'!$AU197-10+1)))-L504*L201),0)))</f>
        <v>0</v>
      </c>
    </row>
    <row r="1111" customFormat="false" ht="15" hidden="false" customHeight="false" outlineLevel="0" collapsed="false">
      <c r="B1111" s="102" t="n">
        <f aca="false">'Loan Tape'!$A198</f>
        <v>0</v>
      </c>
      <c r="C1111" s="99" t="n">
        <f aca="false">IF(OR('Loan Tape'!$AN198=0,'Loan Tape'!$Z198="Interest Only",'Loan Tape'!$Z198=""),0,MIN(MAX(0,C202-C808),IFERROR(MAX(0,MIN(1,'Loan Tape'!$AV198)-MAX(0,'Loan Tape'!$AT198))*IF(C505&lt;=0,C202/MAX(1,'Loan Tape'!$AU198-1+1),C505*C202/(1-(1+C505)^(-MAX(1,'Loan Tape'!$AU198-1+1)))-C505*C202),0)))</f>
        <v>0</v>
      </c>
      <c r="D1111" s="99" t="n">
        <f aca="false">IF(OR('Loan Tape'!$AN198=0,'Loan Tape'!$Z198="Interest Only",'Loan Tape'!$Z198=""),0,MIN(MAX(0,D202-D808),IFERROR(MAX(0,MIN(2,'Loan Tape'!$AV198)-MAX(1,'Loan Tape'!$AT198))*IF(D505&lt;=0,D202/MAX(1,'Loan Tape'!$AU198-2+1),D505*D202/(1-(1+D505)^(-MAX(1,'Loan Tape'!$AU198-2+1)))-D505*D202),0)))</f>
        <v>0</v>
      </c>
      <c r="E1111" s="99" t="n">
        <f aca="false">IF(OR('Loan Tape'!$AN198=0,'Loan Tape'!$Z198="Interest Only",'Loan Tape'!$Z198=""),0,MIN(MAX(0,E202-E808),IFERROR(MAX(0,MIN(3,'Loan Tape'!$AV198)-MAX(2,'Loan Tape'!$AT198))*IF(E505&lt;=0,E202/MAX(1,'Loan Tape'!$AU198-3+1),E505*E202/(1-(1+E505)^(-MAX(1,'Loan Tape'!$AU198-3+1)))-E505*E202),0)))</f>
        <v>0</v>
      </c>
      <c r="F1111" s="99" t="n">
        <f aca="false">IF(OR('Loan Tape'!$AN198=0,'Loan Tape'!$Z198="Interest Only",'Loan Tape'!$Z198=""),0,MIN(MAX(0,F202-F808),IFERROR(MAX(0,MIN(4,'Loan Tape'!$AV198)-MAX(3,'Loan Tape'!$AT198))*IF(F505&lt;=0,F202/MAX(1,'Loan Tape'!$AU198-4+1),F505*F202/(1-(1+F505)^(-MAX(1,'Loan Tape'!$AU198-4+1)))-F505*F202),0)))</f>
        <v>0</v>
      </c>
      <c r="G1111" s="99" t="n">
        <f aca="false">IF(OR('Loan Tape'!$AN198=0,'Loan Tape'!$Z198="Interest Only",'Loan Tape'!$Z198=""),0,MIN(MAX(0,G202-G808),IFERROR(MAX(0,MIN(5,'Loan Tape'!$AV198)-MAX(4,'Loan Tape'!$AT198))*IF(G505&lt;=0,G202/MAX(1,'Loan Tape'!$AU198-5+1),G505*G202/(1-(1+G505)^(-MAX(1,'Loan Tape'!$AU198-5+1)))-G505*G202),0)))</f>
        <v>0</v>
      </c>
      <c r="H1111" s="99" t="n">
        <f aca="false">IF(OR('Loan Tape'!$AN198=0,'Loan Tape'!$Z198="Interest Only",'Loan Tape'!$Z198=""),0,MIN(MAX(0,H202-H808),IFERROR(MAX(0,MIN(6,'Loan Tape'!$AV198)-MAX(5,'Loan Tape'!$AT198))*IF(H505&lt;=0,H202/MAX(1,'Loan Tape'!$AU198-6+1),H505*H202/(1-(1+H505)^(-MAX(1,'Loan Tape'!$AU198-6+1)))-H505*H202),0)))</f>
        <v>0</v>
      </c>
      <c r="I1111" s="99" t="n">
        <f aca="false">IF(OR('Loan Tape'!$AN198=0,'Loan Tape'!$Z198="Interest Only",'Loan Tape'!$Z198=""),0,MIN(MAX(0,I202-I808),IFERROR(MAX(0,MIN(7,'Loan Tape'!$AV198)-MAX(6,'Loan Tape'!$AT198))*IF(I505&lt;=0,I202/MAX(1,'Loan Tape'!$AU198-7+1),I505*I202/(1-(1+I505)^(-MAX(1,'Loan Tape'!$AU198-7+1)))-I505*I202),0)))</f>
        <v>0</v>
      </c>
      <c r="J1111" s="99" t="n">
        <f aca="false">IF(OR('Loan Tape'!$AN198=0,'Loan Tape'!$Z198="Interest Only",'Loan Tape'!$Z198=""),0,MIN(MAX(0,J202-J808),IFERROR(MAX(0,MIN(8,'Loan Tape'!$AV198)-MAX(7,'Loan Tape'!$AT198))*IF(J505&lt;=0,J202/MAX(1,'Loan Tape'!$AU198-8+1),J505*J202/(1-(1+J505)^(-MAX(1,'Loan Tape'!$AU198-8+1)))-J505*J202),0)))</f>
        <v>0</v>
      </c>
      <c r="K1111" s="99" t="n">
        <f aca="false">IF(OR('Loan Tape'!$AN198=0,'Loan Tape'!$Z198="Interest Only",'Loan Tape'!$Z198=""),0,MIN(MAX(0,K202-K808),IFERROR(MAX(0,MIN(9,'Loan Tape'!$AV198)-MAX(8,'Loan Tape'!$AT198))*IF(K505&lt;=0,K202/MAX(1,'Loan Tape'!$AU198-9+1),K505*K202/(1-(1+K505)^(-MAX(1,'Loan Tape'!$AU198-9+1)))-K505*K202),0)))</f>
        <v>0</v>
      </c>
      <c r="L1111" s="99" t="n">
        <f aca="false">IF(OR('Loan Tape'!$AN198=0,'Loan Tape'!$Z198="Interest Only",'Loan Tape'!$Z198=""),0,MIN(MAX(0,L202-L808),IFERROR(MAX(0,MIN(10,'Loan Tape'!$AV198)-MAX(9,'Loan Tape'!$AT198))*IF(L505&lt;=0,L202/MAX(1,'Loan Tape'!$AU198-10+1),L505*L202/(1-(1+L505)^(-MAX(1,'Loan Tape'!$AU198-10+1)))-L505*L202),0)))</f>
        <v>0</v>
      </c>
    </row>
    <row r="1112" customFormat="false" ht="15" hidden="false" customHeight="false" outlineLevel="0" collapsed="false">
      <c r="B1112" s="108" t="n">
        <f aca="false">'Loan Tape'!$A199</f>
        <v>0</v>
      </c>
      <c r="C1112" s="71" t="n">
        <f aca="false">IF(OR('Loan Tape'!$AN199=0,'Loan Tape'!$Z199="Interest Only",'Loan Tape'!$Z199=""),0,MIN(MAX(0,C203-C809),IFERROR(MAX(0,MIN(1,'Loan Tape'!$AV199)-MAX(0,'Loan Tape'!$AT199))*IF(C506&lt;=0,C203/MAX(1,'Loan Tape'!$AU199-1+1),C506*C203/(1-(1+C506)^(-MAX(1,'Loan Tape'!$AU199-1+1)))-C506*C203),0)))</f>
        <v>0</v>
      </c>
      <c r="D1112" s="71" t="n">
        <f aca="false">IF(OR('Loan Tape'!$AN199=0,'Loan Tape'!$Z199="Interest Only",'Loan Tape'!$Z199=""),0,MIN(MAX(0,D203-D809),IFERROR(MAX(0,MIN(2,'Loan Tape'!$AV199)-MAX(1,'Loan Tape'!$AT199))*IF(D506&lt;=0,D203/MAX(1,'Loan Tape'!$AU199-2+1),D506*D203/(1-(1+D506)^(-MAX(1,'Loan Tape'!$AU199-2+1)))-D506*D203),0)))</f>
        <v>0</v>
      </c>
      <c r="E1112" s="71" t="n">
        <f aca="false">IF(OR('Loan Tape'!$AN199=0,'Loan Tape'!$Z199="Interest Only",'Loan Tape'!$Z199=""),0,MIN(MAX(0,E203-E809),IFERROR(MAX(0,MIN(3,'Loan Tape'!$AV199)-MAX(2,'Loan Tape'!$AT199))*IF(E506&lt;=0,E203/MAX(1,'Loan Tape'!$AU199-3+1),E506*E203/(1-(1+E506)^(-MAX(1,'Loan Tape'!$AU199-3+1)))-E506*E203),0)))</f>
        <v>0</v>
      </c>
      <c r="F1112" s="71" t="n">
        <f aca="false">IF(OR('Loan Tape'!$AN199=0,'Loan Tape'!$Z199="Interest Only",'Loan Tape'!$Z199=""),0,MIN(MAX(0,F203-F809),IFERROR(MAX(0,MIN(4,'Loan Tape'!$AV199)-MAX(3,'Loan Tape'!$AT199))*IF(F506&lt;=0,F203/MAX(1,'Loan Tape'!$AU199-4+1),F506*F203/(1-(1+F506)^(-MAX(1,'Loan Tape'!$AU199-4+1)))-F506*F203),0)))</f>
        <v>0</v>
      </c>
      <c r="G1112" s="71" t="n">
        <f aca="false">IF(OR('Loan Tape'!$AN199=0,'Loan Tape'!$Z199="Interest Only",'Loan Tape'!$Z199=""),0,MIN(MAX(0,G203-G809),IFERROR(MAX(0,MIN(5,'Loan Tape'!$AV199)-MAX(4,'Loan Tape'!$AT199))*IF(G506&lt;=0,G203/MAX(1,'Loan Tape'!$AU199-5+1),G506*G203/(1-(1+G506)^(-MAX(1,'Loan Tape'!$AU199-5+1)))-G506*G203),0)))</f>
        <v>0</v>
      </c>
      <c r="H1112" s="71" t="n">
        <f aca="false">IF(OR('Loan Tape'!$AN199=0,'Loan Tape'!$Z199="Interest Only",'Loan Tape'!$Z199=""),0,MIN(MAX(0,H203-H809),IFERROR(MAX(0,MIN(6,'Loan Tape'!$AV199)-MAX(5,'Loan Tape'!$AT199))*IF(H506&lt;=0,H203/MAX(1,'Loan Tape'!$AU199-6+1),H506*H203/(1-(1+H506)^(-MAX(1,'Loan Tape'!$AU199-6+1)))-H506*H203),0)))</f>
        <v>0</v>
      </c>
      <c r="I1112" s="71" t="n">
        <f aca="false">IF(OR('Loan Tape'!$AN199=0,'Loan Tape'!$Z199="Interest Only",'Loan Tape'!$Z199=""),0,MIN(MAX(0,I203-I809),IFERROR(MAX(0,MIN(7,'Loan Tape'!$AV199)-MAX(6,'Loan Tape'!$AT199))*IF(I506&lt;=0,I203/MAX(1,'Loan Tape'!$AU199-7+1),I506*I203/(1-(1+I506)^(-MAX(1,'Loan Tape'!$AU199-7+1)))-I506*I203),0)))</f>
        <v>0</v>
      </c>
      <c r="J1112" s="71" t="n">
        <f aca="false">IF(OR('Loan Tape'!$AN199=0,'Loan Tape'!$Z199="Interest Only",'Loan Tape'!$Z199=""),0,MIN(MAX(0,J203-J809),IFERROR(MAX(0,MIN(8,'Loan Tape'!$AV199)-MAX(7,'Loan Tape'!$AT199))*IF(J506&lt;=0,J203/MAX(1,'Loan Tape'!$AU199-8+1),J506*J203/(1-(1+J506)^(-MAX(1,'Loan Tape'!$AU199-8+1)))-J506*J203),0)))</f>
        <v>0</v>
      </c>
      <c r="K1112" s="71" t="n">
        <f aca="false">IF(OR('Loan Tape'!$AN199=0,'Loan Tape'!$Z199="Interest Only",'Loan Tape'!$Z199=""),0,MIN(MAX(0,K203-K809),IFERROR(MAX(0,MIN(9,'Loan Tape'!$AV199)-MAX(8,'Loan Tape'!$AT199))*IF(K506&lt;=0,K203/MAX(1,'Loan Tape'!$AU199-9+1),K506*K203/(1-(1+K506)^(-MAX(1,'Loan Tape'!$AU199-9+1)))-K506*K203),0)))</f>
        <v>0</v>
      </c>
      <c r="L1112" s="71" t="n">
        <f aca="false">IF(OR('Loan Tape'!$AN199=0,'Loan Tape'!$Z199="Interest Only",'Loan Tape'!$Z199=""),0,MIN(MAX(0,L203-L809),IFERROR(MAX(0,MIN(10,'Loan Tape'!$AV199)-MAX(9,'Loan Tape'!$AT199))*IF(L506&lt;=0,L203/MAX(1,'Loan Tape'!$AU199-10+1),L506*L203/(1-(1+L506)^(-MAX(1,'Loan Tape'!$AU199-10+1)))-L506*L203),0)))</f>
        <v>0</v>
      </c>
    </row>
    <row r="1113" customFormat="false" ht="15" hidden="false" customHeight="false" outlineLevel="0" collapsed="false">
      <c r="B1113" s="102" t="n">
        <f aca="false">'Loan Tape'!$A200</f>
        <v>0</v>
      </c>
      <c r="C1113" s="99" t="n">
        <f aca="false">IF(OR('Loan Tape'!$AN200=0,'Loan Tape'!$Z200="Interest Only",'Loan Tape'!$Z200=""),0,MIN(MAX(0,C204-C810),IFERROR(MAX(0,MIN(1,'Loan Tape'!$AV200)-MAX(0,'Loan Tape'!$AT200))*IF(C507&lt;=0,C204/MAX(1,'Loan Tape'!$AU200-1+1),C507*C204/(1-(1+C507)^(-MAX(1,'Loan Tape'!$AU200-1+1)))-C507*C204),0)))</f>
        <v>0</v>
      </c>
      <c r="D1113" s="99" t="n">
        <f aca="false">IF(OR('Loan Tape'!$AN200=0,'Loan Tape'!$Z200="Interest Only",'Loan Tape'!$Z200=""),0,MIN(MAX(0,D204-D810),IFERROR(MAX(0,MIN(2,'Loan Tape'!$AV200)-MAX(1,'Loan Tape'!$AT200))*IF(D507&lt;=0,D204/MAX(1,'Loan Tape'!$AU200-2+1),D507*D204/(1-(1+D507)^(-MAX(1,'Loan Tape'!$AU200-2+1)))-D507*D204),0)))</f>
        <v>0</v>
      </c>
      <c r="E1113" s="99" t="n">
        <f aca="false">IF(OR('Loan Tape'!$AN200=0,'Loan Tape'!$Z200="Interest Only",'Loan Tape'!$Z200=""),0,MIN(MAX(0,E204-E810),IFERROR(MAX(0,MIN(3,'Loan Tape'!$AV200)-MAX(2,'Loan Tape'!$AT200))*IF(E507&lt;=0,E204/MAX(1,'Loan Tape'!$AU200-3+1),E507*E204/(1-(1+E507)^(-MAX(1,'Loan Tape'!$AU200-3+1)))-E507*E204),0)))</f>
        <v>0</v>
      </c>
      <c r="F1113" s="99" t="n">
        <f aca="false">IF(OR('Loan Tape'!$AN200=0,'Loan Tape'!$Z200="Interest Only",'Loan Tape'!$Z200=""),0,MIN(MAX(0,F204-F810),IFERROR(MAX(0,MIN(4,'Loan Tape'!$AV200)-MAX(3,'Loan Tape'!$AT200))*IF(F507&lt;=0,F204/MAX(1,'Loan Tape'!$AU200-4+1),F507*F204/(1-(1+F507)^(-MAX(1,'Loan Tape'!$AU200-4+1)))-F507*F204),0)))</f>
        <v>0</v>
      </c>
      <c r="G1113" s="99" t="n">
        <f aca="false">IF(OR('Loan Tape'!$AN200=0,'Loan Tape'!$Z200="Interest Only",'Loan Tape'!$Z200=""),0,MIN(MAX(0,G204-G810),IFERROR(MAX(0,MIN(5,'Loan Tape'!$AV200)-MAX(4,'Loan Tape'!$AT200))*IF(G507&lt;=0,G204/MAX(1,'Loan Tape'!$AU200-5+1),G507*G204/(1-(1+G507)^(-MAX(1,'Loan Tape'!$AU200-5+1)))-G507*G204),0)))</f>
        <v>0</v>
      </c>
      <c r="H1113" s="99" t="n">
        <f aca="false">IF(OR('Loan Tape'!$AN200=0,'Loan Tape'!$Z200="Interest Only",'Loan Tape'!$Z200=""),0,MIN(MAX(0,H204-H810),IFERROR(MAX(0,MIN(6,'Loan Tape'!$AV200)-MAX(5,'Loan Tape'!$AT200))*IF(H507&lt;=0,H204/MAX(1,'Loan Tape'!$AU200-6+1),H507*H204/(1-(1+H507)^(-MAX(1,'Loan Tape'!$AU200-6+1)))-H507*H204),0)))</f>
        <v>0</v>
      </c>
      <c r="I1113" s="99" t="n">
        <f aca="false">IF(OR('Loan Tape'!$AN200=0,'Loan Tape'!$Z200="Interest Only",'Loan Tape'!$Z200=""),0,MIN(MAX(0,I204-I810),IFERROR(MAX(0,MIN(7,'Loan Tape'!$AV200)-MAX(6,'Loan Tape'!$AT200))*IF(I507&lt;=0,I204/MAX(1,'Loan Tape'!$AU200-7+1),I507*I204/(1-(1+I507)^(-MAX(1,'Loan Tape'!$AU200-7+1)))-I507*I204),0)))</f>
        <v>0</v>
      </c>
      <c r="J1113" s="99" t="n">
        <f aca="false">IF(OR('Loan Tape'!$AN200=0,'Loan Tape'!$Z200="Interest Only",'Loan Tape'!$Z200=""),0,MIN(MAX(0,J204-J810),IFERROR(MAX(0,MIN(8,'Loan Tape'!$AV200)-MAX(7,'Loan Tape'!$AT200))*IF(J507&lt;=0,J204/MAX(1,'Loan Tape'!$AU200-8+1),J507*J204/(1-(1+J507)^(-MAX(1,'Loan Tape'!$AU200-8+1)))-J507*J204),0)))</f>
        <v>0</v>
      </c>
      <c r="K1113" s="99" t="n">
        <f aca="false">IF(OR('Loan Tape'!$AN200=0,'Loan Tape'!$Z200="Interest Only",'Loan Tape'!$Z200=""),0,MIN(MAX(0,K204-K810),IFERROR(MAX(0,MIN(9,'Loan Tape'!$AV200)-MAX(8,'Loan Tape'!$AT200))*IF(K507&lt;=0,K204/MAX(1,'Loan Tape'!$AU200-9+1),K507*K204/(1-(1+K507)^(-MAX(1,'Loan Tape'!$AU200-9+1)))-K507*K204),0)))</f>
        <v>0</v>
      </c>
      <c r="L1113" s="99" t="n">
        <f aca="false">IF(OR('Loan Tape'!$AN200=0,'Loan Tape'!$Z200="Interest Only",'Loan Tape'!$Z200=""),0,MIN(MAX(0,L204-L810),IFERROR(MAX(0,MIN(10,'Loan Tape'!$AV200)-MAX(9,'Loan Tape'!$AT200))*IF(L507&lt;=0,L204/MAX(1,'Loan Tape'!$AU200-10+1),L507*L204/(1-(1+L507)^(-MAX(1,'Loan Tape'!$AU200-10+1)))-L507*L204),0)))</f>
        <v>0</v>
      </c>
    </row>
    <row r="1114" customFormat="false" ht="15" hidden="false" customHeight="false" outlineLevel="0" collapsed="false">
      <c r="B1114" s="108" t="n">
        <f aca="false">'Loan Tape'!$A201</f>
        <v>0</v>
      </c>
      <c r="C1114" s="71" t="n">
        <f aca="false">IF(OR('Loan Tape'!$AN201=0,'Loan Tape'!$Z201="Interest Only",'Loan Tape'!$Z201=""),0,MIN(MAX(0,C205-C811),IFERROR(MAX(0,MIN(1,'Loan Tape'!$AV201)-MAX(0,'Loan Tape'!$AT201))*IF(C508&lt;=0,C205/MAX(1,'Loan Tape'!$AU201-1+1),C508*C205/(1-(1+C508)^(-MAX(1,'Loan Tape'!$AU201-1+1)))-C508*C205),0)))</f>
        <v>0</v>
      </c>
      <c r="D1114" s="71" t="n">
        <f aca="false">IF(OR('Loan Tape'!$AN201=0,'Loan Tape'!$Z201="Interest Only",'Loan Tape'!$Z201=""),0,MIN(MAX(0,D205-D811),IFERROR(MAX(0,MIN(2,'Loan Tape'!$AV201)-MAX(1,'Loan Tape'!$AT201))*IF(D508&lt;=0,D205/MAX(1,'Loan Tape'!$AU201-2+1),D508*D205/(1-(1+D508)^(-MAX(1,'Loan Tape'!$AU201-2+1)))-D508*D205),0)))</f>
        <v>0</v>
      </c>
      <c r="E1114" s="71" t="n">
        <f aca="false">IF(OR('Loan Tape'!$AN201=0,'Loan Tape'!$Z201="Interest Only",'Loan Tape'!$Z201=""),0,MIN(MAX(0,E205-E811),IFERROR(MAX(0,MIN(3,'Loan Tape'!$AV201)-MAX(2,'Loan Tape'!$AT201))*IF(E508&lt;=0,E205/MAX(1,'Loan Tape'!$AU201-3+1),E508*E205/(1-(1+E508)^(-MAX(1,'Loan Tape'!$AU201-3+1)))-E508*E205),0)))</f>
        <v>0</v>
      </c>
      <c r="F1114" s="71" t="n">
        <f aca="false">IF(OR('Loan Tape'!$AN201=0,'Loan Tape'!$Z201="Interest Only",'Loan Tape'!$Z201=""),0,MIN(MAX(0,F205-F811),IFERROR(MAX(0,MIN(4,'Loan Tape'!$AV201)-MAX(3,'Loan Tape'!$AT201))*IF(F508&lt;=0,F205/MAX(1,'Loan Tape'!$AU201-4+1),F508*F205/(1-(1+F508)^(-MAX(1,'Loan Tape'!$AU201-4+1)))-F508*F205),0)))</f>
        <v>0</v>
      </c>
      <c r="G1114" s="71" t="n">
        <f aca="false">IF(OR('Loan Tape'!$AN201=0,'Loan Tape'!$Z201="Interest Only",'Loan Tape'!$Z201=""),0,MIN(MAX(0,G205-G811),IFERROR(MAX(0,MIN(5,'Loan Tape'!$AV201)-MAX(4,'Loan Tape'!$AT201))*IF(G508&lt;=0,G205/MAX(1,'Loan Tape'!$AU201-5+1),G508*G205/(1-(1+G508)^(-MAX(1,'Loan Tape'!$AU201-5+1)))-G508*G205),0)))</f>
        <v>0</v>
      </c>
      <c r="H1114" s="71" t="n">
        <f aca="false">IF(OR('Loan Tape'!$AN201=0,'Loan Tape'!$Z201="Interest Only",'Loan Tape'!$Z201=""),0,MIN(MAX(0,H205-H811),IFERROR(MAX(0,MIN(6,'Loan Tape'!$AV201)-MAX(5,'Loan Tape'!$AT201))*IF(H508&lt;=0,H205/MAX(1,'Loan Tape'!$AU201-6+1),H508*H205/(1-(1+H508)^(-MAX(1,'Loan Tape'!$AU201-6+1)))-H508*H205),0)))</f>
        <v>0</v>
      </c>
      <c r="I1114" s="71" t="n">
        <f aca="false">IF(OR('Loan Tape'!$AN201=0,'Loan Tape'!$Z201="Interest Only",'Loan Tape'!$Z201=""),0,MIN(MAX(0,I205-I811),IFERROR(MAX(0,MIN(7,'Loan Tape'!$AV201)-MAX(6,'Loan Tape'!$AT201))*IF(I508&lt;=0,I205/MAX(1,'Loan Tape'!$AU201-7+1),I508*I205/(1-(1+I508)^(-MAX(1,'Loan Tape'!$AU201-7+1)))-I508*I205),0)))</f>
        <v>0</v>
      </c>
      <c r="J1114" s="71" t="n">
        <f aca="false">IF(OR('Loan Tape'!$AN201=0,'Loan Tape'!$Z201="Interest Only",'Loan Tape'!$Z201=""),0,MIN(MAX(0,J205-J811),IFERROR(MAX(0,MIN(8,'Loan Tape'!$AV201)-MAX(7,'Loan Tape'!$AT201))*IF(J508&lt;=0,J205/MAX(1,'Loan Tape'!$AU201-8+1),J508*J205/(1-(1+J508)^(-MAX(1,'Loan Tape'!$AU201-8+1)))-J508*J205),0)))</f>
        <v>0</v>
      </c>
      <c r="K1114" s="71" t="n">
        <f aca="false">IF(OR('Loan Tape'!$AN201=0,'Loan Tape'!$Z201="Interest Only",'Loan Tape'!$Z201=""),0,MIN(MAX(0,K205-K811),IFERROR(MAX(0,MIN(9,'Loan Tape'!$AV201)-MAX(8,'Loan Tape'!$AT201))*IF(K508&lt;=0,K205/MAX(1,'Loan Tape'!$AU201-9+1),K508*K205/(1-(1+K508)^(-MAX(1,'Loan Tape'!$AU201-9+1)))-K508*K205),0)))</f>
        <v>0</v>
      </c>
      <c r="L1114" s="71" t="n">
        <f aca="false">IF(OR('Loan Tape'!$AN201=0,'Loan Tape'!$Z201="Interest Only",'Loan Tape'!$Z201=""),0,MIN(MAX(0,L205-L811),IFERROR(MAX(0,MIN(10,'Loan Tape'!$AV201)-MAX(9,'Loan Tape'!$AT201))*IF(L508&lt;=0,L205/MAX(1,'Loan Tape'!$AU201-10+1),L508*L205/(1-(1+L508)^(-MAX(1,'Loan Tape'!$AU201-10+1)))-L508*L205),0)))</f>
        <v>0</v>
      </c>
    </row>
    <row r="1115" customFormat="false" ht="15" hidden="false" customHeight="false" outlineLevel="0" collapsed="false">
      <c r="B1115" s="102" t="n">
        <f aca="false">'Loan Tape'!$A202</f>
        <v>0</v>
      </c>
      <c r="C1115" s="99" t="n">
        <f aca="false">IF(OR('Loan Tape'!$AN202=0,'Loan Tape'!$Z202="Interest Only",'Loan Tape'!$Z202=""),0,MIN(MAX(0,C206-C812),IFERROR(MAX(0,MIN(1,'Loan Tape'!$AV202)-MAX(0,'Loan Tape'!$AT202))*IF(C509&lt;=0,C206/MAX(1,'Loan Tape'!$AU202-1+1),C509*C206/(1-(1+C509)^(-MAX(1,'Loan Tape'!$AU202-1+1)))-C509*C206),0)))</f>
        <v>0</v>
      </c>
      <c r="D1115" s="99" t="n">
        <f aca="false">IF(OR('Loan Tape'!$AN202=0,'Loan Tape'!$Z202="Interest Only",'Loan Tape'!$Z202=""),0,MIN(MAX(0,D206-D812),IFERROR(MAX(0,MIN(2,'Loan Tape'!$AV202)-MAX(1,'Loan Tape'!$AT202))*IF(D509&lt;=0,D206/MAX(1,'Loan Tape'!$AU202-2+1),D509*D206/(1-(1+D509)^(-MAX(1,'Loan Tape'!$AU202-2+1)))-D509*D206),0)))</f>
        <v>0</v>
      </c>
      <c r="E1115" s="99" t="n">
        <f aca="false">IF(OR('Loan Tape'!$AN202=0,'Loan Tape'!$Z202="Interest Only",'Loan Tape'!$Z202=""),0,MIN(MAX(0,E206-E812),IFERROR(MAX(0,MIN(3,'Loan Tape'!$AV202)-MAX(2,'Loan Tape'!$AT202))*IF(E509&lt;=0,E206/MAX(1,'Loan Tape'!$AU202-3+1),E509*E206/(1-(1+E509)^(-MAX(1,'Loan Tape'!$AU202-3+1)))-E509*E206),0)))</f>
        <v>0</v>
      </c>
      <c r="F1115" s="99" t="n">
        <f aca="false">IF(OR('Loan Tape'!$AN202=0,'Loan Tape'!$Z202="Interest Only",'Loan Tape'!$Z202=""),0,MIN(MAX(0,F206-F812),IFERROR(MAX(0,MIN(4,'Loan Tape'!$AV202)-MAX(3,'Loan Tape'!$AT202))*IF(F509&lt;=0,F206/MAX(1,'Loan Tape'!$AU202-4+1),F509*F206/(1-(1+F509)^(-MAX(1,'Loan Tape'!$AU202-4+1)))-F509*F206),0)))</f>
        <v>0</v>
      </c>
      <c r="G1115" s="99" t="n">
        <f aca="false">IF(OR('Loan Tape'!$AN202=0,'Loan Tape'!$Z202="Interest Only",'Loan Tape'!$Z202=""),0,MIN(MAX(0,G206-G812),IFERROR(MAX(0,MIN(5,'Loan Tape'!$AV202)-MAX(4,'Loan Tape'!$AT202))*IF(G509&lt;=0,G206/MAX(1,'Loan Tape'!$AU202-5+1),G509*G206/(1-(1+G509)^(-MAX(1,'Loan Tape'!$AU202-5+1)))-G509*G206),0)))</f>
        <v>0</v>
      </c>
      <c r="H1115" s="99" t="n">
        <f aca="false">IF(OR('Loan Tape'!$AN202=0,'Loan Tape'!$Z202="Interest Only",'Loan Tape'!$Z202=""),0,MIN(MAX(0,H206-H812),IFERROR(MAX(0,MIN(6,'Loan Tape'!$AV202)-MAX(5,'Loan Tape'!$AT202))*IF(H509&lt;=0,H206/MAX(1,'Loan Tape'!$AU202-6+1),H509*H206/(1-(1+H509)^(-MAX(1,'Loan Tape'!$AU202-6+1)))-H509*H206),0)))</f>
        <v>0</v>
      </c>
      <c r="I1115" s="99" t="n">
        <f aca="false">IF(OR('Loan Tape'!$AN202=0,'Loan Tape'!$Z202="Interest Only",'Loan Tape'!$Z202=""),0,MIN(MAX(0,I206-I812),IFERROR(MAX(0,MIN(7,'Loan Tape'!$AV202)-MAX(6,'Loan Tape'!$AT202))*IF(I509&lt;=0,I206/MAX(1,'Loan Tape'!$AU202-7+1),I509*I206/(1-(1+I509)^(-MAX(1,'Loan Tape'!$AU202-7+1)))-I509*I206),0)))</f>
        <v>0</v>
      </c>
      <c r="J1115" s="99" t="n">
        <f aca="false">IF(OR('Loan Tape'!$AN202=0,'Loan Tape'!$Z202="Interest Only",'Loan Tape'!$Z202=""),0,MIN(MAX(0,J206-J812),IFERROR(MAX(0,MIN(8,'Loan Tape'!$AV202)-MAX(7,'Loan Tape'!$AT202))*IF(J509&lt;=0,J206/MAX(1,'Loan Tape'!$AU202-8+1),J509*J206/(1-(1+J509)^(-MAX(1,'Loan Tape'!$AU202-8+1)))-J509*J206),0)))</f>
        <v>0</v>
      </c>
      <c r="K1115" s="99" t="n">
        <f aca="false">IF(OR('Loan Tape'!$AN202=0,'Loan Tape'!$Z202="Interest Only",'Loan Tape'!$Z202=""),0,MIN(MAX(0,K206-K812),IFERROR(MAX(0,MIN(9,'Loan Tape'!$AV202)-MAX(8,'Loan Tape'!$AT202))*IF(K509&lt;=0,K206/MAX(1,'Loan Tape'!$AU202-9+1),K509*K206/(1-(1+K509)^(-MAX(1,'Loan Tape'!$AU202-9+1)))-K509*K206),0)))</f>
        <v>0</v>
      </c>
      <c r="L1115" s="99" t="n">
        <f aca="false">IF(OR('Loan Tape'!$AN202=0,'Loan Tape'!$Z202="Interest Only",'Loan Tape'!$Z202=""),0,MIN(MAX(0,L206-L812),IFERROR(MAX(0,MIN(10,'Loan Tape'!$AV202)-MAX(9,'Loan Tape'!$AT202))*IF(L509&lt;=0,L206/MAX(1,'Loan Tape'!$AU202-10+1),L509*L206/(1-(1+L509)^(-MAX(1,'Loan Tape'!$AU202-10+1)))-L509*L206),0)))</f>
        <v>0</v>
      </c>
    </row>
    <row r="1116" customFormat="false" ht="15" hidden="false" customHeight="false" outlineLevel="0" collapsed="false">
      <c r="B1116" s="108" t="n">
        <f aca="false">'Loan Tape'!$A203</f>
        <v>0</v>
      </c>
      <c r="C1116" s="71" t="n">
        <f aca="false">IF(OR('Loan Tape'!$AN203=0,'Loan Tape'!$Z203="Interest Only",'Loan Tape'!$Z203=""),0,MIN(MAX(0,C207-C813),IFERROR(MAX(0,MIN(1,'Loan Tape'!$AV203)-MAX(0,'Loan Tape'!$AT203))*IF(C510&lt;=0,C207/MAX(1,'Loan Tape'!$AU203-1+1),C510*C207/(1-(1+C510)^(-MAX(1,'Loan Tape'!$AU203-1+1)))-C510*C207),0)))</f>
        <v>0</v>
      </c>
      <c r="D1116" s="71" t="n">
        <f aca="false">IF(OR('Loan Tape'!$AN203=0,'Loan Tape'!$Z203="Interest Only",'Loan Tape'!$Z203=""),0,MIN(MAX(0,D207-D813),IFERROR(MAX(0,MIN(2,'Loan Tape'!$AV203)-MAX(1,'Loan Tape'!$AT203))*IF(D510&lt;=0,D207/MAX(1,'Loan Tape'!$AU203-2+1),D510*D207/(1-(1+D510)^(-MAX(1,'Loan Tape'!$AU203-2+1)))-D510*D207),0)))</f>
        <v>0</v>
      </c>
      <c r="E1116" s="71" t="n">
        <f aca="false">IF(OR('Loan Tape'!$AN203=0,'Loan Tape'!$Z203="Interest Only",'Loan Tape'!$Z203=""),0,MIN(MAX(0,E207-E813),IFERROR(MAX(0,MIN(3,'Loan Tape'!$AV203)-MAX(2,'Loan Tape'!$AT203))*IF(E510&lt;=0,E207/MAX(1,'Loan Tape'!$AU203-3+1),E510*E207/(1-(1+E510)^(-MAX(1,'Loan Tape'!$AU203-3+1)))-E510*E207),0)))</f>
        <v>0</v>
      </c>
      <c r="F1116" s="71" t="n">
        <f aca="false">IF(OR('Loan Tape'!$AN203=0,'Loan Tape'!$Z203="Interest Only",'Loan Tape'!$Z203=""),0,MIN(MAX(0,F207-F813),IFERROR(MAX(0,MIN(4,'Loan Tape'!$AV203)-MAX(3,'Loan Tape'!$AT203))*IF(F510&lt;=0,F207/MAX(1,'Loan Tape'!$AU203-4+1),F510*F207/(1-(1+F510)^(-MAX(1,'Loan Tape'!$AU203-4+1)))-F510*F207),0)))</f>
        <v>0</v>
      </c>
      <c r="G1116" s="71" t="n">
        <f aca="false">IF(OR('Loan Tape'!$AN203=0,'Loan Tape'!$Z203="Interest Only",'Loan Tape'!$Z203=""),0,MIN(MAX(0,G207-G813),IFERROR(MAX(0,MIN(5,'Loan Tape'!$AV203)-MAX(4,'Loan Tape'!$AT203))*IF(G510&lt;=0,G207/MAX(1,'Loan Tape'!$AU203-5+1),G510*G207/(1-(1+G510)^(-MAX(1,'Loan Tape'!$AU203-5+1)))-G510*G207),0)))</f>
        <v>0</v>
      </c>
      <c r="H1116" s="71" t="n">
        <f aca="false">IF(OR('Loan Tape'!$AN203=0,'Loan Tape'!$Z203="Interest Only",'Loan Tape'!$Z203=""),0,MIN(MAX(0,H207-H813),IFERROR(MAX(0,MIN(6,'Loan Tape'!$AV203)-MAX(5,'Loan Tape'!$AT203))*IF(H510&lt;=0,H207/MAX(1,'Loan Tape'!$AU203-6+1),H510*H207/(1-(1+H510)^(-MAX(1,'Loan Tape'!$AU203-6+1)))-H510*H207),0)))</f>
        <v>0</v>
      </c>
      <c r="I1116" s="71" t="n">
        <f aca="false">IF(OR('Loan Tape'!$AN203=0,'Loan Tape'!$Z203="Interest Only",'Loan Tape'!$Z203=""),0,MIN(MAX(0,I207-I813),IFERROR(MAX(0,MIN(7,'Loan Tape'!$AV203)-MAX(6,'Loan Tape'!$AT203))*IF(I510&lt;=0,I207/MAX(1,'Loan Tape'!$AU203-7+1),I510*I207/(1-(1+I510)^(-MAX(1,'Loan Tape'!$AU203-7+1)))-I510*I207),0)))</f>
        <v>0</v>
      </c>
      <c r="J1116" s="71" t="n">
        <f aca="false">IF(OR('Loan Tape'!$AN203=0,'Loan Tape'!$Z203="Interest Only",'Loan Tape'!$Z203=""),0,MIN(MAX(0,J207-J813),IFERROR(MAX(0,MIN(8,'Loan Tape'!$AV203)-MAX(7,'Loan Tape'!$AT203))*IF(J510&lt;=0,J207/MAX(1,'Loan Tape'!$AU203-8+1),J510*J207/(1-(1+J510)^(-MAX(1,'Loan Tape'!$AU203-8+1)))-J510*J207),0)))</f>
        <v>0</v>
      </c>
      <c r="K1116" s="71" t="n">
        <f aca="false">IF(OR('Loan Tape'!$AN203=0,'Loan Tape'!$Z203="Interest Only",'Loan Tape'!$Z203=""),0,MIN(MAX(0,K207-K813),IFERROR(MAX(0,MIN(9,'Loan Tape'!$AV203)-MAX(8,'Loan Tape'!$AT203))*IF(K510&lt;=0,K207/MAX(1,'Loan Tape'!$AU203-9+1),K510*K207/(1-(1+K510)^(-MAX(1,'Loan Tape'!$AU203-9+1)))-K510*K207),0)))</f>
        <v>0</v>
      </c>
      <c r="L1116" s="71" t="n">
        <f aca="false">IF(OR('Loan Tape'!$AN203=0,'Loan Tape'!$Z203="Interest Only",'Loan Tape'!$Z203=""),0,MIN(MAX(0,L207-L813),IFERROR(MAX(0,MIN(10,'Loan Tape'!$AV203)-MAX(9,'Loan Tape'!$AT203))*IF(L510&lt;=0,L207/MAX(1,'Loan Tape'!$AU203-10+1),L510*L207/(1-(1+L510)^(-MAX(1,'Loan Tape'!$AU203-10+1)))-L510*L207),0)))</f>
        <v>0</v>
      </c>
    </row>
    <row r="1117" customFormat="false" ht="15" hidden="false" customHeight="false" outlineLevel="0" collapsed="false">
      <c r="B1117" s="102" t="n">
        <f aca="false">'Loan Tape'!$A204</f>
        <v>0</v>
      </c>
      <c r="C1117" s="99" t="n">
        <f aca="false">IF(OR('Loan Tape'!$AN204=0,'Loan Tape'!$Z204="Interest Only",'Loan Tape'!$Z204=""),0,MIN(MAX(0,C208-C814),IFERROR(MAX(0,MIN(1,'Loan Tape'!$AV204)-MAX(0,'Loan Tape'!$AT204))*IF(C511&lt;=0,C208/MAX(1,'Loan Tape'!$AU204-1+1),C511*C208/(1-(1+C511)^(-MAX(1,'Loan Tape'!$AU204-1+1)))-C511*C208),0)))</f>
        <v>0</v>
      </c>
      <c r="D1117" s="99" t="n">
        <f aca="false">IF(OR('Loan Tape'!$AN204=0,'Loan Tape'!$Z204="Interest Only",'Loan Tape'!$Z204=""),0,MIN(MAX(0,D208-D814),IFERROR(MAX(0,MIN(2,'Loan Tape'!$AV204)-MAX(1,'Loan Tape'!$AT204))*IF(D511&lt;=0,D208/MAX(1,'Loan Tape'!$AU204-2+1),D511*D208/(1-(1+D511)^(-MAX(1,'Loan Tape'!$AU204-2+1)))-D511*D208),0)))</f>
        <v>0</v>
      </c>
      <c r="E1117" s="99" t="n">
        <f aca="false">IF(OR('Loan Tape'!$AN204=0,'Loan Tape'!$Z204="Interest Only",'Loan Tape'!$Z204=""),0,MIN(MAX(0,E208-E814),IFERROR(MAX(0,MIN(3,'Loan Tape'!$AV204)-MAX(2,'Loan Tape'!$AT204))*IF(E511&lt;=0,E208/MAX(1,'Loan Tape'!$AU204-3+1),E511*E208/(1-(1+E511)^(-MAX(1,'Loan Tape'!$AU204-3+1)))-E511*E208),0)))</f>
        <v>0</v>
      </c>
      <c r="F1117" s="99" t="n">
        <f aca="false">IF(OR('Loan Tape'!$AN204=0,'Loan Tape'!$Z204="Interest Only",'Loan Tape'!$Z204=""),0,MIN(MAX(0,F208-F814),IFERROR(MAX(0,MIN(4,'Loan Tape'!$AV204)-MAX(3,'Loan Tape'!$AT204))*IF(F511&lt;=0,F208/MAX(1,'Loan Tape'!$AU204-4+1),F511*F208/(1-(1+F511)^(-MAX(1,'Loan Tape'!$AU204-4+1)))-F511*F208),0)))</f>
        <v>0</v>
      </c>
      <c r="G1117" s="99" t="n">
        <f aca="false">IF(OR('Loan Tape'!$AN204=0,'Loan Tape'!$Z204="Interest Only",'Loan Tape'!$Z204=""),0,MIN(MAX(0,G208-G814),IFERROR(MAX(0,MIN(5,'Loan Tape'!$AV204)-MAX(4,'Loan Tape'!$AT204))*IF(G511&lt;=0,G208/MAX(1,'Loan Tape'!$AU204-5+1),G511*G208/(1-(1+G511)^(-MAX(1,'Loan Tape'!$AU204-5+1)))-G511*G208),0)))</f>
        <v>0</v>
      </c>
      <c r="H1117" s="99" t="n">
        <f aca="false">IF(OR('Loan Tape'!$AN204=0,'Loan Tape'!$Z204="Interest Only",'Loan Tape'!$Z204=""),0,MIN(MAX(0,H208-H814),IFERROR(MAX(0,MIN(6,'Loan Tape'!$AV204)-MAX(5,'Loan Tape'!$AT204))*IF(H511&lt;=0,H208/MAX(1,'Loan Tape'!$AU204-6+1),H511*H208/(1-(1+H511)^(-MAX(1,'Loan Tape'!$AU204-6+1)))-H511*H208),0)))</f>
        <v>0</v>
      </c>
      <c r="I1117" s="99" t="n">
        <f aca="false">IF(OR('Loan Tape'!$AN204=0,'Loan Tape'!$Z204="Interest Only",'Loan Tape'!$Z204=""),0,MIN(MAX(0,I208-I814),IFERROR(MAX(0,MIN(7,'Loan Tape'!$AV204)-MAX(6,'Loan Tape'!$AT204))*IF(I511&lt;=0,I208/MAX(1,'Loan Tape'!$AU204-7+1),I511*I208/(1-(1+I511)^(-MAX(1,'Loan Tape'!$AU204-7+1)))-I511*I208),0)))</f>
        <v>0</v>
      </c>
      <c r="J1117" s="99" t="n">
        <f aca="false">IF(OR('Loan Tape'!$AN204=0,'Loan Tape'!$Z204="Interest Only",'Loan Tape'!$Z204=""),0,MIN(MAX(0,J208-J814),IFERROR(MAX(0,MIN(8,'Loan Tape'!$AV204)-MAX(7,'Loan Tape'!$AT204))*IF(J511&lt;=0,J208/MAX(1,'Loan Tape'!$AU204-8+1),J511*J208/(1-(1+J511)^(-MAX(1,'Loan Tape'!$AU204-8+1)))-J511*J208),0)))</f>
        <v>0</v>
      </c>
      <c r="K1117" s="99" t="n">
        <f aca="false">IF(OR('Loan Tape'!$AN204=0,'Loan Tape'!$Z204="Interest Only",'Loan Tape'!$Z204=""),0,MIN(MAX(0,K208-K814),IFERROR(MAX(0,MIN(9,'Loan Tape'!$AV204)-MAX(8,'Loan Tape'!$AT204))*IF(K511&lt;=0,K208/MAX(1,'Loan Tape'!$AU204-9+1),K511*K208/(1-(1+K511)^(-MAX(1,'Loan Tape'!$AU204-9+1)))-K511*K208),0)))</f>
        <v>0</v>
      </c>
      <c r="L1117" s="99" t="n">
        <f aca="false">IF(OR('Loan Tape'!$AN204=0,'Loan Tape'!$Z204="Interest Only",'Loan Tape'!$Z204=""),0,MIN(MAX(0,L208-L814),IFERROR(MAX(0,MIN(10,'Loan Tape'!$AV204)-MAX(9,'Loan Tape'!$AT204))*IF(L511&lt;=0,L208/MAX(1,'Loan Tape'!$AU204-10+1),L511*L208/(1-(1+L511)^(-MAX(1,'Loan Tape'!$AU204-10+1)))-L511*L208),0)))</f>
        <v>0</v>
      </c>
    </row>
    <row r="1118" customFormat="false" ht="15" hidden="false" customHeight="false" outlineLevel="0" collapsed="false">
      <c r="B1118" s="108" t="n">
        <f aca="false">'Loan Tape'!$A205</f>
        <v>0</v>
      </c>
      <c r="C1118" s="71" t="n">
        <f aca="false">IF(OR('Loan Tape'!$AN205=0,'Loan Tape'!$Z205="Interest Only",'Loan Tape'!$Z205=""),0,MIN(MAX(0,C209-C815),IFERROR(MAX(0,MIN(1,'Loan Tape'!$AV205)-MAX(0,'Loan Tape'!$AT205))*IF(C512&lt;=0,C209/MAX(1,'Loan Tape'!$AU205-1+1),C512*C209/(1-(1+C512)^(-MAX(1,'Loan Tape'!$AU205-1+1)))-C512*C209),0)))</f>
        <v>0</v>
      </c>
      <c r="D1118" s="71" t="n">
        <f aca="false">IF(OR('Loan Tape'!$AN205=0,'Loan Tape'!$Z205="Interest Only",'Loan Tape'!$Z205=""),0,MIN(MAX(0,D209-D815),IFERROR(MAX(0,MIN(2,'Loan Tape'!$AV205)-MAX(1,'Loan Tape'!$AT205))*IF(D512&lt;=0,D209/MAX(1,'Loan Tape'!$AU205-2+1),D512*D209/(1-(1+D512)^(-MAX(1,'Loan Tape'!$AU205-2+1)))-D512*D209),0)))</f>
        <v>0</v>
      </c>
      <c r="E1118" s="71" t="n">
        <f aca="false">IF(OR('Loan Tape'!$AN205=0,'Loan Tape'!$Z205="Interest Only",'Loan Tape'!$Z205=""),0,MIN(MAX(0,E209-E815),IFERROR(MAX(0,MIN(3,'Loan Tape'!$AV205)-MAX(2,'Loan Tape'!$AT205))*IF(E512&lt;=0,E209/MAX(1,'Loan Tape'!$AU205-3+1),E512*E209/(1-(1+E512)^(-MAX(1,'Loan Tape'!$AU205-3+1)))-E512*E209),0)))</f>
        <v>0</v>
      </c>
      <c r="F1118" s="71" t="n">
        <f aca="false">IF(OR('Loan Tape'!$AN205=0,'Loan Tape'!$Z205="Interest Only",'Loan Tape'!$Z205=""),0,MIN(MAX(0,F209-F815),IFERROR(MAX(0,MIN(4,'Loan Tape'!$AV205)-MAX(3,'Loan Tape'!$AT205))*IF(F512&lt;=0,F209/MAX(1,'Loan Tape'!$AU205-4+1),F512*F209/(1-(1+F512)^(-MAX(1,'Loan Tape'!$AU205-4+1)))-F512*F209),0)))</f>
        <v>0</v>
      </c>
      <c r="G1118" s="71" t="n">
        <f aca="false">IF(OR('Loan Tape'!$AN205=0,'Loan Tape'!$Z205="Interest Only",'Loan Tape'!$Z205=""),0,MIN(MAX(0,G209-G815),IFERROR(MAX(0,MIN(5,'Loan Tape'!$AV205)-MAX(4,'Loan Tape'!$AT205))*IF(G512&lt;=0,G209/MAX(1,'Loan Tape'!$AU205-5+1),G512*G209/(1-(1+G512)^(-MAX(1,'Loan Tape'!$AU205-5+1)))-G512*G209),0)))</f>
        <v>0</v>
      </c>
      <c r="H1118" s="71" t="n">
        <f aca="false">IF(OR('Loan Tape'!$AN205=0,'Loan Tape'!$Z205="Interest Only",'Loan Tape'!$Z205=""),0,MIN(MAX(0,H209-H815),IFERROR(MAX(0,MIN(6,'Loan Tape'!$AV205)-MAX(5,'Loan Tape'!$AT205))*IF(H512&lt;=0,H209/MAX(1,'Loan Tape'!$AU205-6+1),H512*H209/(1-(1+H512)^(-MAX(1,'Loan Tape'!$AU205-6+1)))-H512*H209),0)))</f>
        <v>0</v>
      </c>
      <c r="I1118" s="71" t="n">
        <f aca="false">IF(OR('Loan Tape'!$AN205=0,'Loan Tape'!$Z205="Interest Only",'Loan Tape'!$Z205=""),0,MIN(MAX(0,I209-I815),IFERROR(MAX(0,MIN(7,'Loan Tape'!$AV205)-MAX(6,'Loan Tape'!$AT205))*IF(I512&lt;=0,I209/MAX(1,'Loan Tape'!$AU205-7+1),I512*I209/(1-(1+I512)^(-MAX(1,'Loan Tape'!$AU205-7+1)))-I512*I209),0)))</f>
        <v>0</v>
      </c>
      <c r="J1118" s="71" t="n">
        <f aca="false">IF(OR('Loan Tape'!$AN205=0,'Loan Tape'!$Z205="Interest Only",'Loan Tape'!$Z205=""),0,MIN(MAX(0,J209-J815),IFERROR(MAX(0,MIN(8,'Loan Tape'!$AV205)-MAX(7,'Loan Tape'!$AT205))*IF(J512&lt;=0,J209/MAX(1,'Loan Tape'!$AU205-8+1),J512*J209/(1-(1+J512)^(-MAX(1,'Loan Tape'!$AU205-8+1)))-J512*J209),0)))</f>
        <v>0</v>
      </c>
      <c r="K1118" s="71" t="n">
        <f aca="false">IF(OR('Loan Tape'!$AN205=0,'Loan Tape'!$Z205="Interest Only",'Loan Tape'!$Z205=""),0,MIN(MAX(0,K209-K815),IFERROR(MAX(0,MIN(9,'Loan Tape'!$AV205)-MAX(8,'Loan Tape'!$AT205))*IF(K512&lt;=0,K209/MAX(1,'Loan Tape'!$AU205-9+1),K512*K209/(1-(1+K512)^(-MAX(1,'Loan Tape'!$AU205-9+1)))-K512*K209),0)))</f>
        <v>0</v>
      </c>
      <c r="L1118" s="71" t="n">
        <f aca="false">IF(OR('Loan Tape'!$AN205=0,'Loan Tape'!$Z205="Interest Only",'Loan Tape'!$Z205=""),0,MIN(MAX(0,L209-L815),IFERROR(MAX(0,MIN(10,'Loan Tape'!$AV205)-MAX(9,'Loan Tape'!$AT205))*IF(L512&lt;=0,L209/MAX(1,'Loan Tape'!$AU205-10+1),L512*L209/(1-(1+L512)^(-MAX(1,'Loan Tape'!$AU205-10+1)))-L512*L209),0)))</f>
        <v>0</v>
      </c>
    </row>
    <row r="1119" customFormat="false" ht="15" hidden="false" customHeight="false" outlineLevel="0" collapsed="false">
      <c r="B1119" s="102" t="n">
        <f aca="false">'Loan Tape'!$A206</f>
        <v>0</v>
      </c>
      <c r="C1119" s="99" t="n">
        <f aca="false">IF(OR('Loan Tape'!$AN206=0,'Loan Tape'!$Z206="Interest Only",'Loan Tape'!$Z206=""),0,MIN(MAX(0,C210-C816),IFERROR(MAX(0,MIN(1,'Loan Tape'!$AV206)-MAX(0,'Loan Tape'!$AT206))*IF(C513&lt;=0,C210/MAX(1,'Loan Tape'!$AU206-1+1),C513*C210/(1-(1+C513)^(-MAX(1,'Loan Tape'!$AU206-1+1)))-C513*C210),0)))</f>
        <v>0</v>
      </c>
      <c r="D1119" s="99" t="n">
        <f aca="false">IF(OR('Loan Tape'!$AN206=0,'Loan Tape'!$Z206="Interest Only",'Loan Tape'!$Z206=""),0,MIN(MAX(0,D210-D816),IFERROR(MAX(0,MIN(2,'Loan Tape'!$AV206)-MAX(1,'Loan Tape'!$AT206))*IF(D513&lt;=0,D210/MAX(1,'Loan Tape'!$AU206-2+1),D513*D210/(1-(1+D513)^(-MAX(1,'Loan Tape'!$AU206-2+1)))-D513*D210),0)))</f>
        <v>0</v>
      </c>
      <c r="E1119" s="99" t="n">
        <f aca="false">IF(OR('Loan Tape'!$AN206=0,'Loan Tape'!$Z206="Interest Only",'Loan Tape'!$Z206=""),0,MIN(MAX(0,E210-E816),IFERROR(MAX(0,MIN(3,'Loan Tape'!$AV206)-MAX(2,'Loan Tape'!$AT206))*IF(E513&lt;=0,E210/MAX(1,'Loan Tape'!$AU206-3+1),E513*E210/(1-(1+E513)^(-MAX(1,'Loan Tape'!$AU206-3+1)))-E513*E210),0)))</f>
        <v>0</v>
      </c>
      <c r="F1119" s="99" t="n">
        <f aca="false">IF(OR('Loan Tape'!$AN206=0,'Loan Tape'!$Z206="Interest Only",'Loan Tape'!$Z206=""),0,MIN(MAX(0,F210-F816),IFERROR(MAX(0,MIN(4,'Loan Tape'!$AV206)-MAX(3,'Loan Tape'!$AT206))*IF(F513&lt;=0,F210/MAX(1,'Loan Tape'!$AU206-4+1),F513*F210/(1-(1+F513)^(-MAX(1,'Loan Tape'!$AU206-4+1)))-F513*F210),0)))</f>
        <v>0</v>
      </c>
      <c r="G1119" s="99" t="n">
        <f aca="false">IF(OR('Loan Tape'!$AN206=0,'Loan Tape'!$Z206="Interest Only",'Loan Tape'!$Z206=""),0,MIN(MAX(0,G210-G816),IFERROR(MAX(0,MIN(5,'Loan Tape'!$AV206)-MAX(4,'Loan Tape'!$AT206))*IF(G513&lt;=0,G210/MAX(1,'Loan Tape'!$AU206-5+1),G513*G210/(1-(1+G513)^(-MAX(1,'Loan Tape'!$AU206-5+1)))-G513*G210),0)))</f>
        <v>0</v>
      </c>
      <c r="H1119" s="99" t="n">
        <f aca="false">IF(OR('Loan Tape'!$AN206=0,'Loan Tape'!$Z206="Interest Only",'Loan Tape'!$Z206=""),0,MIN(MAX(0,H210-H816),IFERROR(MAX(0,MIN(6,'Loan Tape'!$AV206)-MAX(5,'Loan Tape'!$AT206))*IF(H513&lt;=0,H210/MAX(1,'Loan Tape'!$AU206-6+1),H513*H210/(1-(1+H513)^(-MAX(1,'Loan Tape'!$AU206-6+1)))-H513*H210),0)))</f>
        <v>0</v>
      </c>
      <c r="I1119" s="99" t="n">
        <f aca="false">IF(OR('Loan Tape'!$AN206=0,'Loan Tape'!$Z206="Interest Only",'Loan Tape'!$Z206=""),0,MIN(MAX(0,I210-I816),IFERROR(MAX(0,MIN(7,'Loan Tape'!$AV206)-MAX(6,'Loan Tape'!$AT206))*IF(I513&lt;=0,I210/MAX(1,'Loan Tape'!$AU206-7+1),I513*I210/(1-(1+I513)^(-MAX(1,'Loan Tape'!$AU206-7+1)))-I513*I210),0)))</f>
        <v>0</v>
      </c>
      <c r="J1119" s="99" t="n">
        <f aca="false">IF(OR('Loan Tape'!$AN206=0,'Loan Tape'!$Z206="Interest Only",'Loan Tape'!$Z206=""),0,MIN(MAX(0,J210-J816),IFERROR(MAX(0,MIN(8,'Loan Tape'!$AV206)-MAX(7,'Loan Tape'!$AT206))*IF(J513&lt;=0,J210/MAX(1,'Loan Tape'!$AU206-8+1),J513*J210/(1-(1+J513)^(-MAX(1,'Loan Tape'!$AU206-8+1)))-J513*J210),0)))</f>
        <v>0</v>
      </c>
      <c r="K1119" s="99" t="n">
        <f aca="false">IF(OR('Loan Tape'!$AN206=0,'Loan Tape'!$Z206="Interest Only",'Loan Tape'!$Z206=""),0,MIN(MAX(0,K210-K816),IFERROR(MAX(0,MIN(9,'Loan Tape'!$AV206)-MAX(8,'Loan Tape'!$AT206))*IF(K513&lt;=0,K210/MAX(1,'Loan Tape'!$AU206-9+1),K513*K210/(1-(1+K513)^(-MAX(1,'Loan Tape'!$AU206-9+1)))-K513*K210),0)))</f>
        <v>0</v>
      </c>
      <c r="L1119" s="99" t="n">
        <f aca="false">IF(OR('Loan Tape'!$AN206=0,'Loan Tape'!$Z206="Interest Only",'Loan Tape'!$Z206=""),0,MIN(MAX(0,L210-L816),IFERROR(MAX(0,MIN(10,'Loan Tape'!$AV206)-MAX(9,'Loan Tape'!$AT206))*IF(L513&lt;=0,L210/MAX(1,'Loan Tape'!$AU206-10+1),L513*L210/(1-(1+L513)^(-MAX(1,'Loan Tape'!$AU206-10+1)))-L513*L210),0)))</f>
        <v>0</v>
      </c>
    </row>
    <row r="1120" customFormat="false" ht="15" hidden="false" customHeight="false" outlineLevel="0" collapsed="false">
      <c r="B1120" s="108" t="n">
        <f aca="false">'Loan Tape'!$A207</f>
        <v>0</v>
      </c>
      <c r="C1120" s="71" t="n">
        <f aca="false">IF(OR('Loan Tape'!$AN207=0,'Loan Tape'!$Z207="Interest Only",'Loan Tape'!$Z207=""),0,MIN(MAX(0,C211-C817),IFERROR(MAX(0,MIN(1,'Loan Tape'!$AV207)-MAX(0,'Loan Tape'!$AT207))*IF(C514&lt;=0,C211/MAX(1,'Loan Tape'!$AU207-1+1),C514*C211/(1-(1+C514)^(-MAX(1,'Loan Tape'!$AU207-1+1)))-C514*C211),0)))</f>
        <v>0</v>
      </c>
      <c r="D1120" s="71" t="n">
        <f aca="false">IF(OR('Loan Tape'!$AN207=0,'Loan Tape'!$Z207="Interest Only",'Loan Tape'!$Z207=""),0,MIN(MAX(0,D211-D817),IFERROR(MAX(0,MIN(2,'Loan Tape'!$AV207)-MAX(1,'Loan Tape'!$AT207))*IF(D514&lt;=0,D211/MAX(1,'Loan Tape'!$AU207-2+1),D514*D211/(1-(1+D514)^(-MAX(1,'Loan Tape'!$AU207-2+1)))-D514*D211),0)))</f>
        <v>0</v>
      </c>
      <c r="E1120" s="71" t="n">
        <f aca="false">IF(OR('Loan Tape'!$AN207=0,'Loan Tape'!$Z207="Interest Only",'Loan Tape'!$Z207=""),0,MIN(MAX(0,E211-E817),IFERROR(MAX(0,MIN(3,'Loan Tape'!$AV207)-MAX(2,'Loan Tape'!$AT207))*IF(E514&lt;=0,E211/MAX(1,'Loan Tape'!$AU207-3+1),E514*E211/(1-(1+E514)^(-MAX(1,'Loan Tape'!$AU207-3+1)))-E514*E211),0)))</f>
        <v>0</v>
      </c>
      <c r="F1120" s="71" t="n">
        <f aca="false">IF(OR('Loan Tape'!$AN207=0,'Loan Tape'!$Z207="Interest Only",'Loan Tape'!$Z207=""),0,MIN(MAX(0,F211-F817),IFERROR(MAX(0,MIN(4,'Loan Tape'!$AV207)-MAX(3,'Loan Tape'!$AT207))*IF(F514&lt;=0,F211/MAX(1,'Loan Tape'!$AU207-4+1),F514*F211/(1-(1+F514)^(-MAX(1,'Loan Tape'!$AU207-4+1)))-F514*F211),0)))</f>
        <v>0</v>
      </c>
      <c r="G1120" s="71" t="n">
        <f aca="false">IF(OR('Loan Tape'!$AN207=0,'Loan Tape'!$Z207="Interest Only",'Loan Tape'!$Z207=""),0,MIN(MAX(0,G211-G817),IFERROR(MAX(0,MIN(5,'Loan Tape'!$AV207)-MAX(4,'Loan Tape'!$AT207))*IF(G514&lt;=0,G211/MAX(1,'Loan Tape'!$AU207-5+1),G514*G211/(1-(1+G514)^(-MAX(1,'Loan Tape'!$AU207-5+1)))-G514*G211),0)))</f>
        <v>0</v>
      </c>
      <c r="H1120" s="71" t="n">
        <f aca="false">IF(OR('Loan Tape'!$AN207=0,'Loan Tape'!$Z207="Interest Only",'Loan Tape'!$Z207=""),0,MIN(MAX(0,H211-H817),IFERROR(MAX(0,MIN(6,'Loan Tape'!$AV207)-MAX(5,'Loan Tape'!$AT207))*IF(H514&lt;=0,H211/MAX(1,'Loan Tape'!$AU207-6+1),H514*H211/(1-(1+H514)^(-MAX(1,'Loan Tape'!$AU207-6+1)))-H514*H211),0)))</f>
        <v>0</v>
      </c>
      <c r="I1120" s="71" t="n">
        <f aca="false">IF(OR('Loan Tape'!$AN207=0,'Loan Tape'!$Z207="Interest Only",'Loan Tape'!$Z207=""),0,MIN(MAX(0,I211-I817),IFERROR(MAX(0,MIN(7,'Loan Tape'!$AV207)-MAX(6,'Loan Tape'!$AT207))*IF(I514&lt;=0,I211/MAX(1,'Loan Tape'!$AU207-7+1),I514*I211/(1-(1+I514)^(-MAX(1,'Loan Tape'!$AU207-7+1)))-I514*I211),0)))</f>
        <v>0</v>
      </c>
      <c r="J1120" s="71" t="n">
        <f aca="false">IF(OR('Loan Tape'!$AN207=0,'Loan Tape'!$Z207="Interest Only",'Loan Tape'!$Z207=""),0,MIN(MAX(0,J211-J817),IFERROR(MAX(0,MIN(8,'Loan Tape'!$AV207)-MAX(7,'Loan Tape'!$AT207))*IF(J514&lt;=0,J211/MAX(1,'Loan Tape'!$AU207-8+1),J514*J211/(1-(1+J514)^(-MAX(1,'Loan Tape'!$AU207-8+1)))-J514*J211),0)))</f>
        <v>0</v>
      </c>
      <c r="K1120" s="71" t="n">
        <f aca="false">IF(OR('Loan Tape'!$AN207=0,'Loan Tape'!$Z207="Interest Only",'Loan Tape'!$Z207=""),0,MIN(MAX(0,K211-K817),IFERROR(MAX(0,MIN(9,'Loan Tape'!$AV207)-MAX(8,'Loan Tape'!$AT207))*IF(K514&lt;=0,K211/MAX(1,'Loan Tape'!$AU207-9+1),K514*K211/(1-(1+K514)^(-MAX(1,'Loan Tape'!$AU207-9+1)))-K514*K211),0)))</f>
        <v>0</v>
      </c>
      <c r="L1120" s="71" t="n">
        <f aca="false">IF(OR('Loan Tape'!$AN207=0,'Loan Tape'!$Z207="Interest Only",'Loan Tape'!$Z207=""),0,MIN(MAX(0,L211-L817),IFERROR(MAX(0,MIN(10,'Loan Tape'!$AV207)-MAX(9,'Loan Tape'!$AT207))*IF(L514&lt;=0,L211/MAX(1,'Loan Tape'!$AU207-10+1),L514*L211/(1-(1+L514)^(-MAX(1,'Loan Tape'!$AU207-10+1)))-L514*L211),0)))</f>
        <v>0</v>
      </c>
    </row>
    <row r="1121" customFormat="false" ht="15" hidden="false" customHeight="false" outlineLevel="0" collapsed="false">
      <c r="B1121" s="102" t="n">
        <f aca="false">'Loan Tape'!$A208</f>
        <v>0</v>
      </c>
      <c r="C1121" s="99" t="n">
        <f aca="false">IF(OR('Loan Tape'!$AN208=0,'Loan Tape'!$Z208="Interest Only",'Loan Tape'!$Z208=""),0,MIN(MAX(0,C212-C818),IFERROR(MAX(0,MIN(1,'Loan Tape'!$AV208)-MAX(0,'Loan Tape'!$AT208))*IF(C515&lt;=0,C212/MAX(1,'Loan Tape'!$AU208-1+1),C515*C212/(1-(1+C515)^(-MAX(1,'Loan Tape'!$AU208-1+1)))-C515*C212),0)))</f>
        <v>0</v>
      </c>
      <c r="D1121" s="99" t="n">
        <f aca="false">IF(OR('Loan Tape'!$AN208=0,'Loan Tape'!$Z208="Interest Only",'Loan Tape'!$Z208=""),0,MIN(MAX(0,D212-D818),IFERROR(MAX(0,MIN(2,'Loan Tape'!$AV208)-MAX(1,'Loan Tape'!$AT208))*IF(D515&lt;=0,D212/MAX(1,'Loan Tape'!$AU208-2+1),D515*D212/(1-(1+D515)^(-MAX(1,'Loan Tape'!$AU208-2+1)))-D515*D212),0)))</f>
        <v>0</v>
      </c>
      <c r="E1121" s="99" t="n">
        <f aca="false">IF(OR('Loan Tape'!$AN208=0,'Loan Tape'!$Z208="Interest Only",'Loan Tape'!$Z208=""),0,MIN(MAX(0,E212-E818),IFERROR(MAX(0,MIN(3,'Loan Tape'!$AV208)-MAX(2,'Loan Tape'!$AT208))*IF(E515&lt;=0,E212/MAX(1,'Loan Tape'!$AU208-3+1),E515*E212/(1-(1+E515)^(-MAX(1,'Loan Tape'!$AU208-3+1)))-E515*E212),0)))</f>
        <v>0</v>
      </c>
      <c r="F1121" s="99" t="n">
        <f aca="false">IF(OR('Loan Tape'!$AN208=0,'Loan Tape'!$Z208="Interest Only",'Loan Tape'!$Z208=""),0,MIN(MAX(0,F212-F818),IFERROR(MAX(0,MIN(4,'Loan Tape'!$AV208)-MAX(3,'Loan Tape'!$AT208))*IF(F515&lt;=0,F212/MAX(1,'Loan Tape'!$AU208-4+1),F515*F212/(1-(1+F515)^(-MAX(1,'Loan Tape'!$AU208-4+1)))-F515*F212),0)))</f>
        <v>0</v>
      </c>
      <c r="G1121" s="99" t="n">
        <f aca="false">IF(OR('Loan Tape'!$AN208=0,'Loan Tape'!$Z208="Interest Only",'Loan Tape'!$Z208=""),0,MIN(MAX(0,G212-G818),IFERROR(MAX(0,MIN(5,'Loan Tape'!$AV208)-MAX(4,'Loan Tape'!$AT208))*IF(G515&lt;=0,G212/MAX(1,'Loan Tape'!$AU208-5+1),G515*G212/(1-(1+G515)^(-MAX(1,'Loan Tape'!$AU208-5+1)))-G515*G212),0)))</f>
        <v>0</v>
      </c>
      <c r="H1121" s="99" t="n">
        <f aca="false">IF(OR('Loan Tape'!$AN208=0,'Loan Tape'!$Z208="Interest Only",'Loan Tape'!$Z208=""),0,MIN(MAX(0,H212-H818),IFERROR(MAX(0,MIN(6,'Loan Tape'!$AV208)-MAX(5,'Loan Tape'!$AT208))*IF(H515&lt;=0,H212/MAX(1,'Loan Tape'!$AU208-6+1),H515*H212/(1-(1+H515)^(-MAX(1,'Loan Tape'!$AU208-6+1)))-H515*H212),0)))</f>
        <v>0</v>
      </c>
      <c r="I1121" s="99" t="n">
        <f aca="false">IF(OR('Loan Tape'!$AN208=0,'Loan Tape'!$Z208="Interest Only",'Loan Tape'!$Z208=""),0,MIN(MAX(0,I212-I818),IFERROR(MAX(0,MIN(7,'Loan Tape'!$AV208)-MAX(6,'Loan Tape'!$AT208))*IF(I515&lt;=0,I212/MAX(1,'Loan Tape'!$AU208-7+1),I515*I212/(1-(1+I515)^(-MAX(1,'Loan Tape'!$AU208-7+1)))-I515*I212),0)))</f>
        <v>0</v>
      </c>
      <c r="J1121" s="99" t="n">
        <f aca="false">IF(OR('Loan Tape'!$AN208=0,'Loan Tape'!$Z208="Interest Only",'Loan Tape'!$Z208=""),0,MIN(MAX(0,J212-J818),IFERROR(MAX(0,MIN(8,'Loan Tape'!$AV208)-MAX(7,'Loan Tape'!$AT208))*IF(J515&lt;=0,J212/MAX(1,'Loan Tape'!$AU208-8+1),J515*J212/(1-(1+J515)^(-MAX(1,'Loan Tape'!$AU208-8+1)))-J515*J212),0)))</f>
        <v>0</v>
      </c>
      <c r="K1121" s="99" t="n">
        <f aca="false">IF(OR('Loan Tape'!$AN208=0,'Loan Tape'!$Z208="Interest Only",'Loan Tape'!$Z208=""),0,MIN(MAX(0,K212-K818),IFERROR(MAX(0,MIN(9,'Loan Tape'!$AV208)-MAX(8,'Loan Tape'!$AT208))*IF(K515&lt;=0,K212/MAX(1,'Loan Tape'!$AU208-9+1),K515*K212/(1-(1+K515)^(-MAX(1,'Loan Tape'!$AU208-9+1)))-K515*K212),0)))</f>
        <v>0</v>
      </c>
      <c r="L1121" s="99" t="n">
        <f aca="false">IF(OR('Loan Tape'!$AN208=0,'Loan Tape'!$Z208="Interest Only",'Loan Tape'!$Z208=""),0,MIN(MAX(0,L212-L818),IFERROR(MAX(0,MIN(10,'Loan Tape'!$AV208)-MAX(9,'Loan Tape'!$AT208))*IF(L515&lt;=0,L212/MAX(1,'Loan Tape'!$AU208-10+1),L515*L212/(1-(1+L515)^(-MAX(1,'Loan Tape'!$AU208-10+1)))-L515*L212),0)))</f>
        <v>0</v>
      </c>
    </row>
    <row r="1122" customFormat="false" ht="15" hidden="false" customHeight="false" outlineLevel="0" collapsed="false">
      <c r="B1122" s="108" t="n">
        <f aca="false">'Loan Tape'!$A209</f>
        <v>0</v>
      </c>
      <c r="C1122" s="71" t="n">
        <f aca="false">IF(OR('Loan Tape'!$AN209=0,'Loan Tape'!$Z209="Interest Only",'Loan Tape'!$Z209=""),0,MIN(MAX(0,C213-C819),IFERROR(MAX(0,MIN(1,'Loan Tape'!$AV209)-MAX(0,'Loan Tape'!$AT209))*IF(C516&lt;=0,C213/MAX(1,'Loan Tape'!$AU209-1+1),C516*C213/(1-(1+C516)^(-MAX(1,'Loan Tape'!$AU209-1+1)))-C516*C213),0)))</f>
        <v>0</v>
      </c>
      <c r="D1122" s="71" t="n">
        <f aca="false">IF(OR('Loan Tape'!$AN209=0,'Loan Tape'!$Z209="Interest Only",'Loan Tape'!$Z209=""),0,MIN(MAX(0,D213-D819),IFERROR(MAX(0,MIN(2,'Loan Tape'!$AV209)-MAX(1,'Loan Tape'!$AT209))*IF(D516&lt;=0,D213/MAX(1,'Loan Tape'!$AU209-2+1),D516*D213/(1-(1+D516)^(-MAX(1,'Loan Tape'!$AU209-2+1)))-D516*D213),0)))</f>
        <v>0</v>
      </c>
      <c r="E1122" s="71" t="n">
        <f aca="false">IF(OR('Loan Tape'!$AN209=0,'Loan Tape'!$Z209="Interest Only",'Loan Tape'!$Z209=""),0,MIN(MAX(0,E213-E819),IFERROR(MAX(0,MIN(3,'Loan Tape'!$AV209)-MAX(2,'Loan Tape'!$AT209))*IF(E516&lt;=0,E213/MAX(1,'Loan Tape'!$AU209-3+1),E516*E213/(1-(1+E516)^(-MAX(1,'Loan Tape'!$AU209-3+1)))-E516*E213),0)))</f>
        <v>0</v>
      </c>
      <c r="F1122" s="71" t="n">
        <f aca="false">IF(OR('Loan Tape'!$AN209=0,'Loan Tape'!$Z209="Interest Only",'Loan Tape'!$Z209=""),0,MIN(MAX(0,F213-F819),IFERROR(MAX(0,MIN(4,'Loan Tape'!$AV209)-MAX(3,'Loan Tape'!$AT209))*IF(F516&lt;=0,F213/MAX(1,'Loan Tape'!$AU209-4+1),F516*F213/(1-(1+F516)^(-MAX(1,'Loan Tape'!$AU209-4+1)))-F516*F213),0)))</f>
        <v>0</v>
      </c>
      <c r="G1122" s="71" t="n">
        <f aca="false">IF(OR('Loan Tape'!$AN209=0,'Loan Tape'!$Z209="Interest Only",'Loan Tape'!$Z209=""),0,MIN(MAX(0,G213-G819),IFERROR(MAX(0,MIN(5,'Loan Tape'!$AV209)-MAX(4,'Loan Tape'!$AT209))*IF(G516&lt;=0,G213/MAX(1,'Loan Tape'!$AU209-5+1),G516*G213/(1-(1+G516)^(-MAX(1,'Loan Tape'!$AU209-5+1)))-G516*G213),0)))</f>
        <v>0</v>
      </c>
      <c r="H1122" s="71" t="n">
        <f aca="false">IF(OR('Loan Tape'!$AN209=0,'Loan Tape'!$Z209="Interest Only",'Loan Tape'!$Z209=""),0,MIN(MAX(0,H213-H819),IFERROR(MAX(0,MIN(6,'Loan Tape'!$AV209)-MAX(5,'Loan Tape'!$AT209))*IF(H516&lt;=0,H213/MAX(1,'Loan Tape'!$AU209-6+1),H516*H213/(1-(1+H516)^(-MAX(1,'Loan Tape'!$AU209-6+1)))-H516*H213),0)))</f>
        <v>0</v>
      </c>
      <c r="I1122" s="71" t="n">
        <f aca="false">IF(OR('Loan Tape'!$AN209=0,'Loan Tape'!$Z209="Interest Only",'Loan Tape'!$Z209=""),0,MIN(MAX(0,I213-I819),IFERROR(MAX(0,MIN(7,'Loan Tape'!$AV209)-MAX(6,'Loan Tape'!$AT209))*IF(I516&lt;=0,I213/MAX(1,'Loan Tape'!$AU209-7+1),I516*I213/(1-(1+I516)^(-MAX(1,'Loan Tape'!$AU209-7+1)))-I516*I213),0)))</f>
        <v>0</v>
      </c>
      <c r="J1122" s="71" t="n">
        <f aca="false">IF(OR('Loan Tape'!$AN209=0,'Loan Tape'!$Z209="Interest Only",'Loan Tape'!$Z209=""),0,MIN(MAX(0,J213-J819),IFERROR(MAX(0,MIN(8,'Loan Tape'!$AV209)-MAX(7,'Loan Tape'!$AT209))*IF(J516&lt;=0,J213/MAX(1,'Loan Tape'!$AU209-8+1),J516*J213/(1-(1+J516)^(-MAX(1,'Loan Tape'!$AU209-8+1)))-J516*J213),0)))</f>
        <v>0</v>
      </c>
      <c r="K1122" s="71" t="n">
        <f aca="false">IF(OR('Loan Tape'!$AN209=0,'Loan Tape'!$Z209="Interest Only",'Loan Tape'!$Z209=""),0,MIN(MAX(0,K213-K819),IFERROR(MAX(0,MIN(9,'Loan Tape'!$AV209)-MAX(8,'Loan Tape'!$AT209))*IF(K516&lt;=0,K213/MAX(1,'Loan Tape'!$AU209-9+1),K516*K213/(1-(1+K516)^(-MAX(1,'Loan Tape'!$AU209-9+1)))-K516*K213),0)))</f>
        <v>0</v>
      </c>
      <c r="L1122" s="71" t="n">
        <f aca="false">IF(OR('Loan Tape'!$AN209=0,'Loan Tape'!$Z209="Interest Only",'Loan Tape'!$Z209=""),0,MIN(MAX(0,L213-L819),IFERROR(MAX(0,MIN(10,'Loan Tape'!$AV209)-MAX(9,'Loan Tape'!$AT209))*IF(L516&lt;=0,L213/MAX(1,'Loan Tape'!$AU209-10+1),L516*L213/(1-(1+L516)^(-MAX(1,'Loan Tape'!$AU209-10+1)))-L516*L213),0)))</f>
        <v>0</v>
      </c>
    </row>
    <row r="1123" customFormat="false" ht="15" hidden="false" customHeight="false" outlineLevel="0" collapsed="false">
      <c r="B1123" s="102" t="n">
        <f aca="false">'Loan Tape'!$A210</f>
        <v>0</v>
      </c>
      <c r="C1123" s="99" t="n">
        <f aca="false">IF(OR('Loan Tape'!$AN210=0,'Loan Tape'!$Z210="Interest Only",'Loan Tape'!$Z210=""),0,MIN(MAX(0,C214-C820),IFERROR(MAX(0,MIN(1,'Loan Tape'!$AV210)-MAX(0,'Loan Tape'!$AT210))*IF(C517&lt;=0,C214/MAX(1,'Loan Tape'!$AU210-1+1),C517*C214/(1-(1+C517)^(-MAX(1,'Loan Tape'!$AU210-1+1)))-C517*C214),0)))</f>
        <v>0</v>
      </c>
      <c r="D1123" s="99" t="n">
        <f aca="false">IF(OR('Loan Tape'!$AN210=0,'Loan Tape'!$Z210="Interest Only",'Loan Tape'!$Z210=""),0,MIN(MAX(0,D214-D820),IFERROR(MAX(0,MIN(2,'Loan Tape'!$AV210)-MAX(1,'Loan Tape'!$AT210))*IF(D517&lt;=0,D214/MAX(1,'Loan Tape'!$AU210-2+1),D517*D214/(1-(1+D517)^(-MAX(1,'Loan Tape'!$AU210-2+1)))-D517*D214),0)))</f>
        <v>0</v>
      </c>
      <c r="E1123" s="99" t="n">
        <f aca="false">IF(OR('Loan Tape'!$AN210=0,'Loan Tape'!$Z210="Interest Only",'Loan Tape'!$Z210=""),0,MIN(MAX(0,E214-E820),IFERROR(MAX(0,MIN(3,'Loan Tape'!$AV210)-MAX(2,'Loan Tape'!$AT210))*IF(E517&lt;=0,E214/MAX(1,'Loan Tape'!$AU210-3+1),E517*E214/(1-(1+E517)^(-MAX(1,'Loan Tape'!$AU210-3+1)))-E517*E214),0)))</f>
        <v>0</v>
      </c>
      <c r="F1123" s="99" t="n">
        <f aca="false">IF(OR('Loan Tape'!$AN210=0,'Loan Tape'!$Z210="Interest Only",'Loan Tape'!$Z210=""),0,MIN(MAX(0,F214-F820),IFERROR(MAX(0,MIN(4,'Loan Tape'!$AV210)-MAX(3,'Loan Tape'!$AT210))*IF(F517&lt;=0,F214/MAX(1,'Loan Tape'!$AU210-4+1),F517*F214/(1-(1+F517)^(-MAX(1,'Loan Tape'!$AU210-4+1)))-F517*F214),0)))</f>
        <v>0</v>
      </c>
      <c r="G1123" s="99" t="n">
        <f aca="false">IF(OR('Loan Tape'!$AN210=0,'Loan Tape'!$Z210="Interest Only",'Loan Tape'!$Z210=""),0,MIN(MAX(0,G214-G820),IFERROR(MAX(0,MIN(5,'Loan Tape'!$AV210)-MAX(4,'Loan Tape'!$AT210))*IF(G517&lt;=0,G214/MAX(1,'Loan Tape'!$AU210-5+1),G517*G214/(1-(1+G517)^(-MAX(1,'Loan Tape'!$AU210-5+1)))-G517*G214),0)))</f>
        <v>0</v>
      </c>
      <c r="H1123" s="99" t="n">
        <f aca="false">IF(OR('Loan Tape'!$AN210=0,'Loan Tape'!$Z210="Interest Only",'Loan Tape'!$Z210=""),0,MIN(MAX(0,H214-H820),IFERROR(MAX(0,MIN(6,'Loan Tape'!$AV210)-MAX(5,'Loan Tape'!$AT210))*IF(H517&lt;=0,H214/MAX(1,'Loan Tape'!$AU210-6+1),H517*H214/(1-(1+H517)^(-MAX(1,'Loan Tape'!$AU210-6+1)))-H517*H214),0)))</f>
        <v>0</v>
      </c>
      <c r="I1123" s="99" t="n">
        <f aca="false">IF(OR('Loan Tape'!$AN210=0,'Loan Tape'!$Z210="Interest Only",'Loan Tape'!$Z210=""),0,MIN(MAX(0,I214-I820),IFERROR(MAX(0,MIN(7,'Loan Tape'!$AV210)-MAX(6,'Loan Tape'!$AT210))*IF(I517&lt;=0,I214/MAX(1,'Loan Tape'!$AU210-7+1),I517*I214/(1-(1+I517)^(-MAX(1,'Loan Tape'!$AU210-7+1)))-I517*I214),0)))</f>
        <v>0</v>
      </c>
      <c r="J1123" s="99" t="n">
        <f aca="false">IF(OR('Loan Tape'!$AN210=0,'Loan Tape'!$Z210="Interest Only",'Loan Tape'!$Z210=""),0,MIN(MAX(0,J214-J820),IFERROR(MAX(0,MIN(8,'Loan Tape'!$AV210)-MAX(7,'Loan Tape'!$AT210))*IF(J517&lt;=0,J214/MAX(1,'Loan Tape'!$AU210-8+1),J517*J214/(1-(1+J517)^(-MAX(1,'Loan Tape'!$AU210-8+1)))-J517*J214),0)))</f>
        <v>0</v>
      </c>
      <c r="K1123" s="99" t="n">
        <f aca="false">IF(OR('Loan Tape'!$AN210=0,'Loan Tape'!$Z210="Interest Only",'Loan Tape'!$Z210=""),0,MIN(MAX(0,K214-K820),IFERROR(MAX(0,MIN(9,'Loan Tape'!$AV210)-MAX(8,'Loan Tape'!$AT210))*IF(K517&lt;=0,K214/MAX(1,'Loan Tape'!$AU210-9+1),K517*K214/(1-(1+K517)^(-MAX(1,'Loan Tape'!$AU210-9+1)))-K517*K214),0)))</f>
        <v>0</v>
      </c>
      <c r="L1123" s="99" t="n">
        <f aca="false">IF(OR('Loan Tape'!$AN210=0,'Loan Tape'!$Z210="Interest Only",'Loan Tape'!$Z210=""),0,MIN(MAX(0,L214-L820),IFERROR(MAX(0,MIN(10,'Loan Tape'!$AV210)-MAX(9,'Loan Tape'!$AT210))*IF(L517&lt;=0,L214/MAX(1,'Loan Tape'!$AU210-10+1),L517*L214/(1-(1+L517)^(-MAX(1,'Loan Tape'!$AU210-10+1)))-L517*L214),0)))</f>
        <v>0</v>
      </c>
    </row>
    <row r="1124" customFormat="false" ht="15" hidden="false" customHeight="false" outlineLevel="0" collapsed="false">
      <c r="B1124" s="108" t="n">
        <f aca="false">'Loan Tape'!$A211</f>
        <v>0</v>
      </c>
      <c r="C1124" s="71" t="n">
        <f aca="false">IF(OR('Loan Tape'!$AN211=0,'Loan Tape'!$Z211="Interest Only",'Loan Tape'!$Z211=""),0,MIN(MAX(0,C215-C821),IFERROR(MAX(0,MIN(1,'Loan Tape'!$AV211)-MAX(0,'Loan Tape'!$AT211))*IF(C518&lt;=0,C215/MAX(1,'Loan Tape'!$AU211-1+1),C518*C215/(1-(1+C518)^(-MAX(1,'Loan Tape'!$AU211-1+1)))-C518*C215),0)))</f>
        <v>0</v>
      </c>
      <c r="D1124" s="71" t="n">
        <f aca="false">IF(OR('Loan Tape'!$AN211=0,'Loan Tape'!$Z211="Interest Only",'Loan Tape'!$Z211=""),0,MIN(MAX(0,D215-D821),IFERROR(MAX(0,MIN(2,'Loan Tape'!$AV211)-MAX(1,'Loan Tape'!$AT211))*IF(D518&lt;=0,D215/MAX(1,'Loan Tape'!$AU211-2+1),D518*D215/(1-(1+D518)^(-MAX(1,'Loan Tape'!$AU211-2+1)))-D518*D215),0)))</f>
        <v>0</v>
      </c>
      <c r="E1124" s="71" t="n">
        <f aca="false">IF(OR('Loan Tape'!$AN211=0,'Loan Tape'!$Z211="Interest Only",'Loan Tape'!$Z211=""),0,MIN(MAX(0,E215-E821),IFERROR(MAX(0,MIN(3,'Loan Tape'!$AV211)-MAX(2,'Loan Tape'!$AT211))*IF(E518&lt;=0,E215/MAX(1,'Loan Tape'!$AU211-3+1),E518*E215/(1-(1+E518)^(-MAX(1,'Loan Tape'!$AU211-3+1)))-E518*E215),0)))</f>
        <v>0</v>
      </c>
      <c r="F1124" s="71" t="n">
        <f aca="false">IF(OR('Loan Tape'!$AN211=0,'Loan Tape'!$Z211="Interest Only",'Loan Tape'!$Z211=""),0,MIN(MAX(0,F215-F821),IFERROR(MAX(0,MIN(4,'Loan Tape'!$AV211)-MAX(3,'Loan Tape'!$AT211))*IF(F518&lt;=0,F215/MAX(1,'Loan Tape'!$AU211-4+1),F518*F215/(1-(1+F518)^(-MAX(1,'Loan Tape'!$AU211-4+1)))-F518*F215),0)))</f>
        <v>0</v>
      </c>
      <c r="G1124" s="71" t="n">
        <f aca="false">IF(OR('Loan Tape'!$AN211=0,'Loan Tape'!$Z211="Interest Only",'Loan Tape'!$Z211=""),0,MIN(MAX(0,G215-G821),IFERROR(MAX(0,MIN(5,'Loan Tape'!$AV211)-MAX(4,'Loan Tape'!$AT211))*IF(G518&lt;=0,G215/MAX(1,'Loan Tape'!$AU211-5+1),G518*G215/(1-(1+G518)^(-MAX(1,'Loan Tape'!$AU211-5+1)))-G518*G215),0)))</f>
        <v>0</v>
      </c>
      <c r="H1124" s="71" t="n">
        <f aca="false">IF(OR('Loan Tape'!$AN211=0,'Loan Tape'!$Z211="Interest Only",'Loan Tape'!$Z211=""),0,MIN(MAX(0,H215-H821),IFERROR(MAX(0,MIN(6,'Loan Tape'!$AV211)-MAX(5,'Loan Tape'!$AT211))*IF(H518&lt;=0,H215/MAX(1,'Loan Tape'!$AU211-6+1),H518*H215/(1-(1+H518)^(-MAX(1,'Loan Tape'!$AU211-6+1)))-H518*H215),0)))</f>
        <v>0</v>
      </c>
      <c r="I1124" s="71" t="n">
        <f aca="false">IF(OR('Loan Tape'!$AN211=0,'Loan Tape'!$Z211="Interest Only",'Loan Tape'!$Z211=""),0,MIN(MAX(0,I215-I821),IFERROR(MAX(0,MIN(7,'Loan Tape'!$AV211)-MAX(6,'Loan Tape'!$AT211))*IF(I518&lt;=0,I215/MAX(1,'Loan Tape'!$AU211-7+1),I518*I215/(1-(1+I518)^(-MAX(1,'Loan Tape'!$AU211-7+1)))-I518*I215),0)))</f>
        <v>0</v>
      </c>
      <c r="J1124" s="71" t="n">
        <f aca="false">IF(OR('Loan Tape'!$AN211=0,'Loan Tape'!$Z211="Interest Only",'Loan Tape'!$Z211=""),0,MIN(MAX(0,J215-J821),IFERROR(MAX(0,MIN(8,'Loan Tape'!$AV211)-MAX(7,'Loan Tape'!$AT211))*IF(J518&lt;=0,J215/MAX(1,'Loan Tape'!$AU211-8+1),J518*J215/(1-(1+J518)^(-MAX(1,'Loan Tape'!$AU211-8+1)))-J518*J215),0)))</f>
        <v>0</v>
      </c>
      <c r="K1124" s="71" t="n">
        <f aca="false">IF(OR('Loan Tape'!$AN211=0,'Loan Tape'!$Z211="Interest Only",'Loan Tape'!$Z211=""),0,MIN(MAX(0,K215-K821),IFERROR(MAX(0,MIN(9,'Loan Tape'!$AV211)-MAX(8,'Loan Tape'!$AT211))*IF(K518&lt;=0,K215/MAX(1,'Loan Tape'!$AU211-9+1),K518*K215/(1-(1+K518)^(-MAX(1,'Loan Tape'!$AU211-9+1)))-K518*K215),0)))</f>
        <v>0</v>
      </c>
      <c r="L1124" s="71" t="n">
        <f aca="false">IF(OR('Loan Tape'!$AN211=0,'Loan Tape'!$Z211="Interest Only",'Loan Tape'!$Z211=""),0,MIN(MAX(0,L215-L821),IFERROR(MAX(0,MIN(10,'Loan Tape'!$AV211)-MAX(9,'Loan Tape'!$AT211))*IF(L518&lt;=0,L215/MAX(1,'Loan Tape'!$AU211-10+1),L518*L215/(1-(1+L518)^(-MAX(1,'Loan Tape'!$AU211-10+1)))-L518*L215),0)))</f>
        <v>0</v>
      </c>
    </row>
    <row r="1125" customFormat="false" ht="15" hidden="false" customHeight="false" outlineLevel="0" collapsed="false">
      <c r="B1125" s="102" t="n">
        <f aca="false">'Loan Tape'!$A212</f>
        <v>0</v>
      </c>
      <c r="C1125" s="99" t="n">
        <f aca="false">IF(OR('Loan Tape'!$AN212=0,'Loan Tape'!$Z212="Interest Only",'Loan Tape'!$Z212=""),0,MIN(MAX(0,C216-C822),IFERROR(MAX(0,MIN(1,'Loan Tape'!$AV212)-MAX(0,'Loan Tape'!$AT212))*IF(C519&lt;=0,C216/MAX(1,'Loan Tape'!$AU212-1+1),C519*C216/(1-(1+C519)^(-MAX(1,'Loan Tape'!$AU212-1+1)))-C519*C216),0)))</f>
        <v>0</v>
      </c>
      <c r="D1125" s="99" t="n">
        <f aca="false">IF(OR('Loan Tape'!$AN212=0,'Loan Tape'!$Z212="Interest Only",'Loan Tape'!$Z212=""),0,MIN(MAX(0,D216-D822),IFERROR(MAX(0,MIN(2,'Loan Tape'!$AV212)-MAX(1,'Loan Tape'!$AT212))*IF(D519&lt;=0,D216/MAX(1,'Loan Tape'!$AU212-2+1),D519*D216/(1-(1+D519)^(-MAX(1,'Loan Tape'!$AU212-2+1)))-D519*D216),0)))</f>
        <v>0</v>
      </c>
      <c r="E1125" s="99" t="n">
        <f aca="false">IF(OR('Loan Tape'!$AN212=0,'Loan Tape'!$Z212="Interest Only",'Loan Tape'!$Z212=""),0,MIN(MAX(0,E216-E822),IFERROR(MAX(0,MIN(3,'Loan Tape'!$AV212)-MAX(2,'Loan Tape'!$AT212))*IF(E519&lt;=0,E216/MAX(1,'Loan Tape'!$AU212-3+1),E519*E216/(1-(1+E519)^(-MAX(1,'Loan Tape'!$AU212-3+1)))-E519*E216),0)))</f>
        <v>0</v>
      </c>
      <c r="F1125" s="99" t="n">
        <f aca="false">IF(OR('Loan Tape'!$AN212=0,'Loan Tape'!$Z212="Interest Only",'Loan Tape'!$Z212=""),0,MIN(MAX(0,F216-F822),IFERROR(MAX(0,MIN(4,'Loan Tape'!$AV212)-MAX(3,'Loan Tape'!$AT212))*IF(F519&lt;=0,F216/MAX(1,'Loan Tape'!$AU212-4+1),F519*F216/(1-(1+F519)^(-MAX(1,'Loan Tape'!$AU212-4+1)))-F519*F216),0)))</f>
        <v>0</v>
      </c>
      <c r="G1125" s="99" t="n">
        <f aca="false">IF(OR('Loan Tape'!$AN212=0,'Loan Tape'!$Z212="Interest Only",'Loan Tape'!$Z212=""),0,MIN(MAX(0,G216-G822),IFERROR(MAX(0,MIN(5,'Loan Tape'!$AV212)-MAX(4,'Loan Tape'!$AT212))*IF(G519&lt;=0,G216/MAX(1,'Loan Tape'!$AU212-5+1),G519*G216/(1-(1+G519)^(-MAX(1,'Loan Tape'!$AU212-5+1)))-G519*G216),0)))</f>
        <v>0</v>
      </c>
      <c r="H1125" s="99" t="n">
        <f aca="false">IF(OR('Loan Tape'!$AN212=0,'Loan Tape'!$Z212="Interest Only",'Loan Tape'!$Z212=""),0,MIN(MAX(0,H216-H822),IFERROR(MAX(0,MIN(6,'Loan Tape'!$AV212)-MAX(5,'Loan Tape'!$AT212))*IF(H519&lt;=0,H216/MAX(1,'Loan Tape'!$AU212-6+1),H519*H216/(1-(1+H519)^(-MAX(1,'Loan Tape'!$AU212-6+1)))-H519*H216),0)))</f>
        <v>0</v>
      </c>
      <c r="I1125" s="99" t="n">
        <f aca="false">IF(OR('Loan Tape'!$AN212=0,'Loan Tape'!$Z212="Interest Only",'Loan Tape'!$Z212=""),0,MIN(MAX(0,I216-I822),IFERROR(MAX(0,MIN(7,'Loan Tape'!$AV212)-MAX(6,'Loan Tape'!$AT212))*IF(I519&lt;=0,I216/MAX(1,'Loan Tape'!$AU212-7+1),I519*I216/(1-(1+I519)^(-MAX(1,'Loan Tape'!$AU212-7+1)))-I519*I216),0)))</f>
        <v>0</v>
      </c>
      <c r="J1125" s="99" t="n">
        <f aca="false">IF(OR('Loan Tape'!$AN212=0,'Loan Tape'!$Z212="Interest Only",'Loan Tape'!$Z212=""),0,MIN(MAX(0,J216-J822),IFERROR(MAX(0,MIN(8,'Loan Tape'!$AV212)-MAX(7,'Loan Tape'!$AT212))*IF(J519&lt;=0,J216/MAX(1,'Loan Tape'!$AU212-8+1),J519*J216/(1-(1+J519)^(-MAX(1,'Loan Tape'!$AU212-8+1)))-J519*J216),0)))</f>
        <v>0</v>
      </c>
      <c r="K1125" s="99" t="n">
        <f aca="false">IF(OR('Loan Tape'!$AN212=0,'Loan Tape'!$Z212="Interest Only",'Loan Tape'!$Z212=""),0,MIN(MAX(0,K216-K822),IFERROR(MAX(0,MIN(9,'Loan Tape'!$AV212)-MAX(8,'Loan Tape'!$AT212))*IF(K519&lt;=0,K216/MAX(1,'Loan Tape'!$AU212-9+1),K519*K216/(1-(1+K519)^(-MAX(1,'Loan Tape'!$AU212-9+1)))-K519*K216),0)))</f>
        <v>0</v>
      </c>
      <c r="L1125" s="99" t="n">
        <f aca="false">IF(OR('Loan Tape'!$AN212=0,'Loan Tape'!$Z212="Interest Only",'Loan Tape'!$Z212=""),0,MIN(MAX(0,L216-L822),IFERROR(MAX(0,MIN(10,'Loan Tape'!$AV212)-MAX(9,'Loan Tape'!$AT212))*IF(L519&lt;=0,L216/MAX(1,'Loan Tape'!$AU212-10+1),L519*L216/(1-(1+L519)^(-MAX(1,'Loan Tape'!$AU212-10+1)))-L519*L216),0)))</f>
        <v>0</v>
      </c>
    </row>
    <row r="1126" customFormat="false" ht="15" hidden="false" customHeight="false" outlineLevel="0" collapsed="false">
      <c r="B1126" s="108" t="n">
        <f aca="false">'Loan Tape'!$A213</f>
        <v>0</v>
      </c>
      <c r="C1126" s="71" t="n">
        <f aca="false">IF(OR('Loan Tape'!$AN213=0,'Loan Tape'!$Z213="Interest Only",'Loan Tape'!$Z213=""),0,MIN(MAX(0,C217-C823),IFERROR(MAX(0,MIN(1,'Loan Tape'!$AV213)-MAX(0,'Loan Tape'!$AT213))*IF(C520&lt;=0,C217/MAX(1,'Loan Tape'!$AU213-1+1),C520*C217/(1-(1+C520)^(-MAX(1,'Loan Tape'!$AU213-1+1)))-C520*C217),0)))</f>
        <v>0</v>
      </c>
      <c r="D1126" s="71" t="n">
        <f aca="false">IF(OR('Loan Tape'!$AN213=0,'Loan Tape'!$Z213="Interest Only",'Loan Tape'!$Z213=""),0,MIN(MAX(0,D217-D823),IFERROR(MAX(0,MIN(2,'Loan Tape'!$AV213)-MAX(1,'Loan Tape'!$AT213))*IF(D520&lt;=0,D217/MAX(1,'Loan Tape'!$AU213-2+1),D520*D217/(1-(1+D520)^(-MAX(1,'Loan Tape'!$AU213-2+1)))-D520*D217),0)))</f>
        <v>0</v>
      </c>
      <c r="E1126" s="71" t="n">
        <f aca="false">IF(OR('Loan Tape'!$AN213=0,'Loan Tape'!$Z213="Interest Only",'Loan Tape'!$Z213=""),0,MIN(MAX(0,E217-E823),IFERROR(MAX(0,MIN(3,'Loan Tape'!$AV213)-MAX(2,'Loan Tape'!$AT213))*IF(E520&lt;=0,E217/MAX(1,'Loan Tape'!$AU213-3+1),E520*E217/(1-(1+E520)^(-MAX(1,'Loan Tape'!$AU213-3+1)))-E520*E217),0)))</f>
        <v>0</v>
      </c>
      <c r="F1126" s="71" t="n">
        <f aca="false">IF(OR('Loan Tape'!$AN213=0,'Loan Tape'!$Z213="Interest Only",'Loan Tape'!$Z213=""),0,MIN(MAX(0,F217-F823),IFERROR(MAX(0,MIN(4,'Loan Tape'!$AV213)-MAX(3,'Loan Tape'!$AT213))*IF(F520&lt;=0,F217/MAX(1,'Loan Tape'!$AU213-4+1),F520*F217/(1-(1+F520)^(-MAX(1,'Loan Tape'!$AU213-4+1)))-F520*F217),0)))</f>
        <v>0</v>
      </c>
      <c r="G1126" s="71" t="n">
        <f aca="false">IF(OR('Loan Tape'!$AN213=0,'Loan Tape'!$Z213="Interest Only",'Loan Tape'!$Z213=""),0,MIN(MAX(0,G217-G823),IFERROR(MAX(0,MIN(5,'Loan Tape'!$AV213)-MAX(4,'Loan Tape'!$AT213))*IF(G520&lt;=0,G217/MAX(1,'Loan Tape'!$AU213-5+1),G520*G217/(1-(1+G520)^(-MAX(1,'Loan Tape'!$AU213-5+1)))-G520*G217),0)))</f>
        <v>0</v>
      </c>
      <c r="H1126" s="71" t="n">
        <f aca="false">IF(OR('Loan Tape'!$AN213=0,'Loan Tape'!$Z213="Interest Only",'Loan Tape'!$Z213=""),0,MIN(MAX(0,H217-H823),IFERROR(MAX(0,MIN(6,'Loan Tape'!$AV213)-MAX(5,'Loan Tape'!$AT213))*IF(H520&lt;=0,H217/MAX(1,'Loan Tape'!$AU213-6+1),H520*H217/(1-(1+H520)^(-MAX(1,'Loan Tape'!$AU213-6+1)))-H520*H217),0)))</f>
        <v>0</v>
      </c>
      <c r="I1126" s="71" t="n">
        <f aca="false">IF(OR('Loan Tape'!$AN213=0,'Loan Tape'!$Z213="Interest Only",'Loan Tape'!$Z213=""),0,MIN(MAX(0,I217-I823),IFERROR(MAX(0,MIN(7,'Loan Tape'!$AV213)-MAX(6,'Loan Tape'!$AT213))*IF(I520&lt;=0,I217/MAX(1,'Loan Tape'!$AU213-7+1),I520*I217/(1-(1+I520)^(-MAX(1,'Loan Tape'!$AU213-7+1)))-I520*I217),0)))</f>
        <v>0</v>
      </c>
      <c r="J1126" s="71" t="n">
        <f aca="false">IF(OR('Loan Tape'!$AN213=0,'Loan Tape'!$Z213="Interest Only",'Loan Tape'!$Z213=""),0,MIN(MAX(0,J217-J823),IFERROR(MAX(0,MIN(8,'Loan Tape'!$AV213)-MAX(7,'Loan Tape'!$AT213))*IF(J520&lt;=0,J217/MAX(1,'Loan Tape'!$AU213-8+1),J520*J217/(1-(1+J520)^(-MAX(1,'Loan Tape'!$AU213-8+1)))-J520*J217),0)))</f>
        <v>0</v>
      </c>
      <c r="K1126" s="71" t="n">
        <f aca="false">IF(OR('Loan Tape'!$AN213=0,'Loan Tape'!$Z213="Interest Only",'Loan Tape'!$Z213=""),0,MIN(MAX(0,K217-K823),IFERROR(MAX(0,MIN(9,'Loan Tape'!$AV213)-MAX(8,'Loan Tape'!$AT213))*IF(K520&lt;=0,K217/MAX(1,'Loan Tape'!$AU213-9+1),K520*K217/(1-(1+K520)^(-MAX(1,'Loan Tape'!$AU213-9+1)))-K520*K217),0)))</f>
        <v>0</v>
      </c>
      <c r="L1126" s="71" t="n">
        <f aca="false">IF(OR('Loan Tape'!$AN213=0,'Loan Tape'!$Z213="Interest Only",'Loan Tape'!$Z213=""),0,MIN(MAX(0,L217-L823),IFERROR(MAX(0,MIN(10,'Loan Tape'!$AV213)-MAX(9,'Loan Tape'!$AT213))*IF(L520&lt;=0,L217/MAX(1,'Loan Tape'!$AU213-10+1),L520*L217/(1-(1+L520)^(-MAX(1,'Loan Tape'!$AU213-10+1)))-L520*L217),0)))</f>
        <v>0</v>
      </c>
    </row>
    <row r="1127" customFormat="false" ht="15" hidden="false" customHeight="false" outlineLevel="0" collapsed="false">
      <c r="B1127" s="102" t="n">
        <f aca="false">'Loan Tape'!$A214</f>
        <v>0</v>
      </c>
      <c r="C1127" s="99" t="n">
        <f aca="false">IF(OR('Loan Tape'!$AN214=0,'Loan Tape'!$Z214="Interest Only",'Loan Tape'!$Z214=""),0,MIN(MAX(0,C218-C824),IFERROR(MAX(0,MIN(1,'Loan Tape'!$AV214)-MAX(0,'Loan Tape'!$AT214))*IF(C521&lt;=0,C218/MAX(1,'Loan Tape'!$AU214-1+1),C521*C218/(1-(1+C521)^(-MAX(1,'Loan Tape'!$AU214-1+1)))-C521*C218),0)))</f>
        <v>0</v>
      </c>
      <c r="D1127" s="99" t="n">
        <f aca="false">IF(OR('Loan Tape'!$AN214=0,'Loan Tape'!$Z214="Interest Only",'Loan Tape'!$Z214=""),0,MIN(MAX(0,D218-D824),IFERROR(MAX(0,MIN(2,'Loan Tape'!$AV214)-MAX(1,'Loan Tape'!$AT214))*IF(D521&lt;=0,D218/MAX(1,'Loan Tape'!$AU214-2+1),D521*D218/(1-(1+D521)^(-MAX(1,'Loan Tape'!$AU214-2+1)))-D521*D218),0)))</f>
        <v>0</v>
      </c>
      <c r="E1127" s="99" t="n">
        <f aca="false">IF(OR('Loan Tape'!$AN214=0,'Loan Tape'!$Z214="Interest Only",'Loan Tape'!$Z214=""),0,MIN(MAX(0,E218-E824),IFERROR(MAX(0,MIN(3,'Loan Tape'!$AV214)-MAX(2,'Loan Tape'!$AT214))*IF(E521&lt;=0,E218/MAX(1,'Loan Tape'!$AU214-3+1),E521*E218/(1-(1+E521)^(-MAX(1,'Loan Tape'!$AU214-3+1)))-E521*E218),0)))</f>
        <v>0</v>
      </c>
      <c r="F1127" s="99" t="n">
        <f aca="false">IF(OR('Loan Tape'!$AN214=0,'Loan Tape'!$Z214="Interest Only",'Loan Tape'!$Z214=""),0,MIN(MAX(0,F218-F824),IFERROR(MAX(0,MIN(4,'Loan Tape'!$AV214)-MAX(3,'Loan Tape'!$AT214))*IF(F521&lt;=0,F218/MAX(1,'Loan Tape'!$AU214-4+1),F521*F218/(1-(1+F521)^(-MAX(1,'Loan Tape'!$AU214-4+1)))-F521*F218),0)))</f>
        <v>0</v>
      </c>
      <c r="G1127" s="99" t="n">
        <f aca="false">IF(OR('Loan Tape'!$AN214=0,'Loan Tape'!$Z214="Interest Only",'Loan Tape'!$Z214=""),0,MIN(MAX(0,G218-G824),IFERROR(MAX(0,MIN(5,'Loan Tape'!$AV214)-MAX(4,'Loan Tape'!$AT214))*IF(G521&lt;=0,G218/MAX(1,'Loan Tape'!$AU214-5+1),G521*G218/(1-(1+G521)^(-MAX(1,'Loan Tape'!$AU214-5+1)))-G521*G218),0)))</f>
        <v>0</v>
      </c>
      <c r="H1127" s="99" t="n">
        <f aca="false">IF(OR('Loan Tape'!$AN214=0,'Loan Tape'!$Z214="Interest Only",'Loan Tape'!$Z214=""),0,MIN(MAX(0,H218-H824),IFERROR(MAX(0,MIN(6,'Loan Tape'!$AV214)-MAX(5,'Loan Tape'!$AT214))*IF(H521&lt;=0,H218/MAX(1,'Loan Tape'!$AU214-6+1),H521*H218/(1-(1+H521)^(-MAX(1,'Loan Tape'!$AU214-6+1)))-H521*H218),0)))</f>
        <v>0</v>
      </c>
      <c r="I1127" s="99" t="n">
        <f aca="false">IF(OR('Loan Tape'!$AN214=0,'Loan Tape'!$Z214="Interest Only",'Loan Tape'!$Z214=""),0,MIN(MAX(0,I218-I824),IFERROR(MAX(0,MIN(7,'Loan Tape'!$AV214)-MAX(6,'Loan Tape'!$AT214))*IF(I521&lt;=0,I218/MAX(1,'Loan Tape'!$AU214-7+1),I521*I218/(1-(1+I521)^(-MAX(1,'Loan Tape'!$AU214-7+1)))-I521*I218),0)))</f>
        <v>0</v>
      </c>
      <c r="J1127" s="99" t="n">
        <f aca="false">IF(OR('Loan Tape'!$AN214=0,'Loan Tape'!$Z214="Interest Only",'Loan Tape'!$Z214=""),0,MIN(MAX(0,J218-J824),IFERROR(MAX(0,MIN(8,'Loan Tape'!$AV214)-MAX(7,'Loan Tape'!$AT214))*IF(J521&lt;=0,J218/MAX(1,'Loan Tape'!$AU214-8+1),J521*J218/(1-(1+J521)^(-MAX(1,'Loan Tape'!$AU214-8+1)))-J521*J218),0)))</f>
        <v>0</v>
      </c>
      <c r="K1127" s="99" t="n">
        <f aca="false">IF(OR('Loan Tape'!$AN214=0,'Loan Tape'!$Z214="Interest Only",'Loan Tape'!$Z214=""),0,MIN(MAX(0,K218-K824),IFERROR(MAX(0,MIN(9,'Loan Tape'!$AV214)-MAX(8,'Loan Tape'!$AT214))*IF(K521&lt;=0,K218/MAX(1,'Loan Tape'!$AU214-9+1),K521*K218/(1-(1+K521)^(-MAX(1,'Loan Tape'!$AU214-9+1)))-K521*K218),0)))</f>
        <v>0</v>
      </c>
      <c r="L1127" s="99" t="n">
        <f aca="false">IF(OR('Loan Tape'!$AN214=0,'Loan Tape'!$Z214="Interest Only",'Loan Tape'!$Z214=""),0,MIN(MAX(0,L218-L824),IFERROR(MAX(0,MIN(10,'Loan Tape'!$AV214)-MAX(9,'Loan Tape'!$AT214))*IF(L521&lt;=0,L218/MAX(1,'Loan Tape'!$AU214-10+1),L521*L218/(1-(1+L521)^(-MAX(1,'Loan Tape'!$AU214-10+1)))-L521*L218),0)))</f>
        <v>0</v>
      </c>
    </row>
    <row r="1128" customFormat="false" ht="15" hidden="false" customHeight="false" outlineLevel="0" collapsed="false">
      <c r="B1128" s="108" t="n">
        <f aca="false">'Loan Tape'!$A215</f>
        <v>0</v>
      </c>
      <c r="C1128" s="71" t="n">
        <f aca="false">IF(OR('Loan Tape'!$AN215=0,'Loan Tape'!$Z215="Interest Only",'Loan Tape'!$Z215=""),0,MIN(MAX(0,C219-C825),IFERROR(MAX(0,MIN(1,'Loan Tape'!$AV215)-MAX(0,'Loan Tape'!$AT215))*IF(C522&lt;=0,C219/MAX(1,'Loan Tape'!$AU215-1+1),C522*C219/(1-(1+C522)^(-MAX(1,'Loan Tape'!$AU215-1+1)))-C522*C219),0)))</f>
        <v>0</v>
      </c>
      <c r="D1128" s="71" t="n">
        <f aca="false">IF(OR('Loan Tape'!$AN215=0,'Loan Tape'!$Z215="Interest Only",'Loan Tape'!$Z215=""),0,MIN(MAX(0,D219-D825),IFERROR(MAX(0,MIN(2,'Loan Tape'!$AV215)-MAX(1,'Loan Tape'!$AT215))*IF(D522&lt;=0,D219/MAX(1,'Loan Tape'!$AU215-2+1),D522*D219/(1-(1+D522)^(-MAX(1,'Loan Tape'!$AU215-2+1)))-D522*D219),0)))</f>
        <v>0</v>
      </c>
      <c r="E1128" s="71" t="n">
        <f aca="false">IF(OR('Loan Tape'!$AN215=0,'Loan Tape'!$Z215="Interest Only",'Loan Tape'!$Z215=""),0,MIN(MAX(0,E219-E825),IFERROR(MAX(0,MIN(3,'Loan Tape'!$AV215)-MAX(2,'Loan Tape'!$AT215))*IF(E522&lt;=0,E219/MAX(1,'Loan Tape'!$AU215-3+1),E522*E219/(1-(1+E522)^(-MAX(1,'Loan Tape'!$AU215-3+1)))-E522*E219),0)))</f>
        <v>0</v>
      </c>
      <c r="F1128" s="71" t="n">
        <f aca="false">IF(OR('Loan Tape'!$AN215=0,'Loan Tape'!$Z215="Interest Only",'Loan Tape'!$Z215=""),0,MIN(MAX(0,F219-F825),IFERROR(MAX(0,MIN(4,'Loan Tape'!$AV215)-MAX(3,'Loan Tape'!$AT215))*IF(F522&lt;=0,F219/MAX(1,'Loan Tape'!$AU215-4+1),F522*F219/(1-(1+F522)^(-MAX(1,'Loan Tape'!$AU215-4+1)))-F522*F219),0)))</f>
        <v>0</v>
      </c>
      <c r="G1128" s="71" t="n">
        <f aca="false">IF(OR('Loan Tape'!$AN215=0,'Loan Tape'!$Z215="Interest Only",'Loan Tape'!$Z215=""),0,MIN(MAX(0,G219-G825),IFERROR(MAX(0,MIN(5,'Loan Tape'!$AV215)-MAX(4,'Loan Tape'!$AT215))*IF(G522&lt;=0,G219/MAX(1,'Loan Tape'!$AU215-5+1),G522*G219/(1-(1+G522)^(-MAX(1,'Loan Tape'!$AU215-5+1)))-G522*G219),0)))</f>
        <v>0</v>
      </c>
      <c r="H1128" s="71" t="n">
        <f aca="false">IF(OR('Loan Tape'!$AN215=0,'Loan Tape'!$Z215="Interest Only",'Loan Tape'!$Z215=""),0,MIN(MAX(0,H219-H825),IFERROR(MAX(0,MIN(6,'Loan Tape'!$AV215)-MAX(5,'Loan Tape'!$AT215))*IF(H522&lt;=0,H219/MAX(1,'Loan Tape'!$AU215-6+1),H522*H219/(1-(1+H522)^(-MAX(1,'Loan Tape'!$AU215-6+1)))-H522*H219),0)))</f>
        <v>0</v>
      </c>
      <c r="I1128" s="71" t="n">
        <f aca="false">IF(OR('Loan Tape'!$AN215=0,'Loan Tape'!$Z215="Interest Only",'Loan Tape'!$Z215=""),0,MIN(MAX(0,I219-I825),IFERROR(MAX(0,MIN(7,'Loan Tape'!$AV215)-MAX(6,'Loan Tape'!$AT215))*IF(I522&lt;=0,I219/MAX(1,'Loan Tape'!$AU215-7+1),I522*I219/(1-(1+I522)^(-MAX(1,'Loan Tape'!$AU215-7+1)))-I522*I219),0)))</f>
        <v>0</v>
      </c>
      <c r="J1128" s="71" t="n">
        <f aca="false">IF(OR('Loan Tape'!$AN215=0,'Loan Tape'!$Z215="Interest Only",'Loan Tape'!$Z215=""),0,MIN(MAX(0,J219-J825),IFERROR(MAX(0,MIN(8,'Loan Tape'!$AV215)-MAX(7,'Loan Tape'!$AT215))*IF(J522&lt;=0,J219/MAX(1,'Loan Tape'!$AU215-8+1),J522*J219/(1-(1+J522)^(-MAX(1,'Loan Tape'!$AU215-8+1)))-J522*J219),0)))</f>
        <v>0</v>
      </c>
      <c r="K1128" s="71" t="n">
        <f aca="false">IF(OR('Loan Tape'!$AN215=0,'Loan Tape'!$Z215="Interest Only",'Loan Tape'!$Z215=""),0,MIN(MAX(0,K219-K825),IFERROR(MAX(0,MIN(9,'Loan Tape'!$AV215)-MAX(8,'Loan Tape'!$AT215))*IF(K522&lt;=0,K219/MAX(1,'Loan Tape'!$AU215-9+1),K522*K219/(1-(1+K522)^(-MAX(1,'Loan Tape'!$AU215-9+1)))-K522*K219),0)))</f>
        <v>0</v>
      </c>
      <c r="L1128" s="71" t="n">
        <f aca="false">IF(OR('Loan Tape'!$AN215=0,'Loan Tape'!$Z215="Interest Only",'Loan Tape'!$Z215=""),0,MIN(MAX(0,L219-L825),IFERROR(MAX(0,MIN(10,'Loan Tape'!$AV215)-MAX(9,'Loan Tape'!$AT215))*IF(L522&lt;=0,L219/MAX(1,'Loan Tape'!$AU215-10+1),L522*L219/(1-(1+L522)^(-MAX(1,'Loan Tape'!$AU215-10+1)))-L522*L219),0)))</f>
        <v>0</v>
      </c>
    </row>
    <row r="1129" customFormat="false" ht="15" hidden="false" customHeight="false" outlineLevel="0" collapsed="false">
      <c r="B1129" s="102" t="n">
        <f aca="false">'Loan Tape'!$A216</f>
        <v>0</v>
      </c>
      <c r="C1129" s="99" t="n">
        <f aca="false">IF(OR('Loan Tape'!$AN216=0,'Loan Tape'!$Z216="Interest Only",'Loan Tape'!$Z216=""),0,MIN(MAX(0,C220-C826),IFERROR(MAX(0,MIN(1,'Loan Tape'!$AV216)-MAX(0,'Loan Tape'!$AT216))*IF(C523&lt;=0,C220/MAX(1,'Loan Tape'!$AU216-1+1),C523*C220/(1-(1+C523)^(-MAX(1,'Loan Tape'!$AU216-1+1)))-C523*C220),0)))</f>
        <v>0</v>
      </c>
      <c r="D1129" s="99" t="n">
        <f aca="false">IF(OR('Loan Tape'!$AN216=0,'Loan Tape'!$Z216="Interest Only",'Loan Tape'!$Z216=""),0,MIN(MAX(0,D220-D826),IFERROR(MAX(0,MIN(2,'Loan Tape'!$AV216)-MAX(1,'Loan Tape'!$AT216))*IF(D523&lt;=0,D220/MAX(1,'Loan Tape'!$AU216-2+1),D523*D220/(1-(1+D523)^(-MAX(1,'Loan Tape'!$AU216-2+1)))-D523*D220),0)))</f>
        <v>0</v>
      </c>
      <c r="E1129" s="99" t="n">
        <f aca="false">IF(OR('Loan Tape'!$AN216=0,'Loan Tape'!$Z216="Interest Only",'Loan Tape'!$Z216=""),0,MIN(MAX(0,E220-E826),IFERROR(MAX(0,MIN(3,'Loan Tape'!$AV216)-MAX(2,'Loan Tape'!$AT216))*IF(E523&lt;=0,E220/MAX(1,'Loan Tape'!$AU216-3+1),E523*E220/(1-(1+E523)^(-MAX(1,'Loan Tape'!$AU216-3+1)))-E523*E220),0)))</f>
        <v>0</v>
      </c>
      <c r="F1129" s="99" t="n">
        <f aca="false">IF(OR('Loan Tape'!$AN216=0,'Loan Tape'!$Z216="Interest Only",'Loan Tape'!$Z216=""),0,MIN(MAX(0,F220-F826),IFERROR(MAX(0,MIN(4,'Loan Tape'!$AV216)-MAX(3,'Loan Tape'!$AT216))*IF(F523&lt;=0,F220/MAX(1,'Loan Tape'!$AU216-4+1),F523*F220/(1-(1+F523)^(-MAX(1,'Loan Tape'!$AU216-4+1)))-F523*F220),0)))</f>
        <v>0</v>
      </c>
      <c r="G1129" s="99" t="n">
        <f aca="false">IF(OR('Loan Tape'!$AN216=0,'Loan Tape'!$Z216="Interest Only",'Loan Tape'!$Z216=""),0,MIN(MAX(0,G220-G826),IFERROR(MAX(0,MIN(5,'Loan Tape'!$AV216)-MAX(4,'Loan Tape'!$AT216))*IF(G523&lt;=0,G220/MAX(1,'Loan Tape'!$AU216-5+1),G523*G220/(1-(1+G523)^(-MAX(1,'Loan Tape'!$AU216-5+1)))-G523*G220),0)))</f>
        <v>0</v>
      </c>
      <c r="H1129" s="99" t="n">
        <f aca="false">IF(OR('Loan Tape'!$AN216=0,'Loan Tape'!$Z216="Interest Only",'Loan Tape'!$Z216=""),0,MIN(MAX(0,H220-H826),IFERROR(MAX(0,MIN(6,'Loan Tape'!$AV216)-MAX(5,'Loan Tape'!$AT216))*IF(H523&lt;=0,H220/MAX(1,'Loan Tape'!$AU216-6+1),H523*H220/(1-(1+H523)^(-MAX(1,'Loan Tape'!$AU216-6+1)))-H523*H220),0)))</f>
        <v>0</v>
      </c>
      <c r="I1129" s="99" t="n">
        <f aca="false">IF(OR('Loan Tape'!$AN216=0,'Loan Tape'!$Z216="Interest Only",'Loan Tape'!$Z216=""),0,MIN(MAX(0,I220-I826),IFERROR(MAX(0,MIN(7,'Loan Tape'!$AV216)-MAX(6,'Loan Tape'!$AT216))*IF(I523&lt;=0,I220/MAX(1,'Loan Tape'!$AU216-7+1),I523*I220/(1-(1+I523)^(-MAX(1,'Loan Tape'!$AU216-7+1)))-I523*I220),0)))</f>
        <v>0</v>
      </c>
      <c r="J1129" s="99" t="n">
        <f aca="false">IF(OR('Loan Tape'!$AN216=0,'Loan Tape'!$Z216="Interest Only",'Loan Tape'!$Z216=""),0,MIN(MAX(0,J220-J826),IFERROR(MAX(0,MIN(8,'Loan Tape'!$AV216)-MAX(7,'Loan Tape'!$AT216))*IF(J523&lt;=0,J220/MAX(1,'Loan Tape'!$AU216-8+1),J523*J220/(1-(1+J523)^(-MAX(1,'Loan Tape'!$AU216-8+1)))-J523*J220),0)))</f>
        <v>0</v>
      </c>
      <c r="K1129" s="99" t="n">
        <f aca="false">IF(OR('Loan Tape'!$AN216=0,'Loan Tape'!$Z216="Interest Only",'Loan Tape'!$Z216=""),0,MIN(MAX(0,K220-K826),IFERROR(MAX(0,MIN(9,'Loan Tape'!$AV216)-MAX(8,'Loan Tape'!$AT216))*IF(K523&lt;=0,K220/MAX(1,'Loan Tape'!$AU216-9+1),K523*K220/(1-(1+K523)^(-MAX(1,'Loan Tape'!$AU216-9+1)))-K523*K220),0)))</f>
        <v>0</v>
      </c>
      <c r="L1129" s="99" t="n">
        <f aca="false">IF(OR('Loan Tape'!$AN216=0,'Loan Tape'!$Z216="Interest Only",'Loan Tape'!$Z216=""),0,MIN(MAX(0,L220-L826),IFERROR(MAX(0,MIN(10,'Loan Tape'!$AV216)-MAX(9,'Loan Tape'!$AT216))*IF(L523&lt;=0,L220/MAX(1,'Loan Tape'!$AU216-10+1),L523*L220/(1-(1+L523)^(-MAX(1,'Loan Tape'!$AU216-10+1)))-L523*L220),0)))</f>
        <v>0</v>
      </c>
    </row>
    <row r="1130" customFormat="false" ht="15" hidden="false" customHeight="false" outlineLevel="0" collapsed="false">
      <c r="B1130" s="108" t="n">
        <f aca="false">'Loan Tape'!$A217</f>
        <v>0</v>
      </c>
      <c r="C1130" s="71" t="n">
        <f aca="false">IF(OR('Loan Tape'!$AN217=0,'Loan Tape'!$Z217="Interest Only",'Loan Tape'!$Z217=""),0,MIN(MAX(0,C221-C827),IFERROR(MAX(0,MIN(1,'Loan Tape'!$AV217)-MAX(0,'Loan Tape'!$AT217))*IF(C524&lt;=0,C221/MAX(1,'Loan Tape'!$AU217-1+1),C524*C221/(1-(1+C524)^(-MAX(1,'Loan Tape'!$AU217-1+1)))-C524*C221),0)))</f>
        <v>0</v>
      </c>
      <c r="D1130" s="71" t="n">
        <f aca="false">IF(OR('Loan Tape'!$AN217=0,'Loan Tape'!$Z217="Interest Only",'Loan Tape'!$Z217=""),0,MIN(MAX(0,D221-D827),IFERROR(MAX(0,MIN(2,'Loan Tape'!$AV217)-MAX(1,'Loan Tape'!$AT217))*IF(D524&lt;=0,D221/MAX(1,'Loan Tape'!$AU217-2+1),D524*D221/(1-(1+D524)^(-MAX(1,'Loan Tape'!$AU217-2+1)))-D524*D221),0)))</f>
        <v>0</v>
      </c>
      <c r="E1130" s="71" t="n">
        <f aca="false">IF(OR('Loan Tape'!$AN217=0,'Loan Tape'!$Z217="Interest Only",'Loan Tape'!$Z217=""),0,MIN(MAX(0,E221-E827),IFERROR(MAX(0,MIN(3,'Loan Tape'!$AV217)-MAX(2,'Loan Tape'!$AT217))*IF(E524&lt;=0,E221/MAX(1,'Loan Tape'!$AU217-3+1),E524*E221/(1-(1+E524)^(-MAX(1,'Loan Tape'!$AU217-3+1)))-E524*E221),0)))</f>
        <v>0</v>
      </c>
      <c r="F1130" s="71" t="n">
        <f aca="false">IF(OR('Loan Tape'!$AN217=0,'Loan Tape'!$Z217="Interest Only",'Loan Tape'!$Z217=""),0,MIN(MAX(0,F221-F827),IFERROR(MAX(0,MIN(4,'Loan Tape'!$AV217)-MAX(3,'Loan Tape'!$AT217))*IF(F524&lt;=0,F221/MAX(1,'Loan Tape'!$AU217-4+1),F524*F221/(1-(1+F524)^(-MAX(1,'Loan Tape'!$AU217-4+1)))-F524*F221),0)))</f>
        <v>0</v>
      </c>
      <c r="G1130" s="71" t="n">
        <f aca="false">IF(OR('Loan Tape'!$AN217=0,'Loan Tape'!$Z217="Interest Only",'Loan Tape'!$Z217=""),0,MIN(MAX(0,G221-G827),IFERROR(MAX(0,MIN(5,'Loan Tape'!$AV217)-MAX(4,'Loan Tape'!$AT217))*IF(G524&lt;=0,G221/MAX(1,'Loan Tape'!$AU217-5+1),G524*G221/(1-(1+G524)^(-MAX(1,'Loan Tape'!$AU217-5+1)))-G524*G221),0)))</f>
        <v>0</v>
      </c>
      <c r="H1130" s="71" t="n">
        <f aca="false">IF(OR('Loan Tape'!$AN217=0,'Loan Tape'!$Z217="Interest Only",'Loan Tape'!$Z217=""),0,MIN(MAX(0,H221-H827),IFERROR(MAX(0,MIN(6,'Loan Tape'!$AV217)-MAX(5,'Loan Tape'!$AT217))*IF(H524&lt;=0,H221/MAX(1,'Loan Tape'!$AU217-6+1),H524*H221/(1-(1+H524)^(-MAX(1,'Loan Tape'!$AU217-6+1)))-H524*H221),0)))</f>
        <v>0</v>
      </c>
      <c r="I1130" s="71" t="n">
        <f aca="false">IF(OR('Loan Tape'!$AN217=0,'Loan Tape'!$Z217="Interest Only",'Loan Tape'!$Z217=""),0,MIN(MAX(0,I221-I827),IFERROR(MAX(0,MIN(7,'Loan Tape'!$AV217)-MAX(6,'Loan Tape'!$AT217))*IF(I524&lt;=0,I221/MAX(1,'Loan Tape'!$AU217-7+1),I524*I221/(1-(1+I524)^(-MAX(1,'Loan Tape'!$AU217-7+1)))-I524*I221),0)))</f>
        <v>0</v>
      </c>
      <c r="J1130" s="71" t="n">
        <f aca="false">IF(OR('Loan Tape'!$AN217=0,'Loan Tape'!$Z217="Interest Only",'Loan Tape'!$Z217=""),0,MIN(MAX(0,J221-J827),IFERROR(MAX(0,MIN(8,'Loan Tape'!$AV217)-MAX(7,'Loan Tape'!$AT217))*IF(J524&lt;=0,J221/MAX(1,'Loan Tape'!$AU217-8+1),J524*J221/(1-(1+J524)^(-MAX(1,'Loan Tape'!$AU217-8+1)))-J524*J221),0)))</f>
        <v>0</v>
      </c>
      <c r="K1130" s="71" t="n">
        <f aca="false">IF(OR('Loan Tape'!$AN217=0,'Loan Tape'!$Z217="Interest Only",'Loan Tape'!$Z217=""),0,MIN(MAX(0,K221-K827),IFERROR(MAX(0,MIN(9,'Loan Tape'!$AV217)-MAX(8,'Loan Tape'!$AT217))*IF(K524&lt;=0,K221/MAX(1,'Loan Tape'!$AU217-9+1),K524*K221/(1-(1+K524)^(-MAX(1,'Loan Tape'!$AU217-9+1)))-K524*K221),0)))</f>
        <v>0</v>
      </c>
      <c r="L1130" s="71" t="n">
        <f aca="false">IF(OR('Loan Tape'!$AN217=0,'Loan Tape'!$Z217="Interest Only",'Loan Tape'!$Z217=""),0,MIN(MAX(0,L221-L827),IFERROR(MAX(0,MIN(10,'Loan Tape'!$AV217)-MAX(9,'Loan Tape'!$AT217))*IF(L524&lt;=0,L221/MAX(1,'Loan Tape'!$AU217-10+1),L524*L221/(1-(1+L524)^(-MAX(1,'Loan Tape'!$AU217-10+1)))-L524*L221),0)))</f>
        <v>0</v>
      </c>
    </row>
    <row r="1131" customFormat="false" ht="15" hidden="false" customHeight="false" outlineLevel="0" collapsed="false">
      <c r="B1131" s="102" t="n">
        <f aca="false">'Loan Tape'!$A218</f>
        <v>0</v>
      </c>
      <c r="C1131" s="99" t="n">
        <f aca="false">IF(OR('Loan Tape'!$AN218=0,'Loan Tape'!$Z218="Interest Only",'Loan Tape'!$Z218=""),0,MIN(MAX(0,C222-C828),IFERROR(MAX(0,MIN(1,'Loan Tape'!$AV218)-MAX(0,'Loan Tape'!$AT218))*IF(C525&lt;=0,C222/MAX(1,'Loan Tape'!$AU218-1+1),C525*C222/(1-(1+C525)^(-MAX(1,'Loan Tape'!$AU218-1+1)))-C525*C222),0)))</f>
        <v>0</v>
      </c>
      <c r="D1131" s="99" t="n">
        <f aca="false">IF(OR('Loan Tape'!$AN218=0,'Loan Tape'!$Z218="Interest Only",'Loan Tape'!$Z218=""),0,MIN(MAX(0,D222-D828),IFERROR(MAX(0,MIN(2,'Loan Tape'!$AV218)-MAX(1,'Loan Tape'!$AT218))*IF(D525&lt;=0,D222/MAX(1,'Loan Tape'!$AU218-2+1),D525*D222/(1-(1+D525)^(-MAX(1,'Loan Tape'!$AU218-2+1)))-D525*D222),0)))</f>
        <v>0</v>
      </c>
      <c r="E1131" s="99" t="n">
        <f aca="false">IF(OR('Loan Tape'!$AN218=0,'Loan Tape'!$Z218="Interest Only",'Loan Tape'!$Z218=""),0,MIN(MAX(0,E222-E828),IFERROR(MAX(0,MIN(3,'Loan Tape'!$AV218)-MAX(2,'Loan Tape'!$AT218))*IF(E525&lt;=0,E222/MAX(1,'Loan Tape'!$AU218-3+1),E525*E222/(1-(1+E525)^(-MAX(1,'Loan Tape'!$AU218-3+1)))-E525*E222),0)))</f>
        <v>0</v>
      </c>
      <c r="F1131" s="99" t="n">
        <f aca="false">IF(OR('Loan Tape'!$AN218=0,'Loan Tape'!$Z218="Interest Only",'Loan Tape'!$Z218=""),0,MIN(MAX(0,F222-F828),IFERROR(MAX(0,MIN(4,'Loan Tape'!$AV218)-MAX(3,'Loan Tape'!$AT218))*IF(F525&lt;=0,F222/MAX(1,'Loan Tape'!$AU218-4+1),F525*F222/(1-(1+F525)^(-MAX(1,'Loan Tape'!$AU218-4+1)))-F525*F222),0)))</f>
        <v>0</v>
      </c>
      <c r="G1131" s="99" t="n">
        <f aca="false">IF(OR('Loan Tape'!$AN218=0,'Loan Tape'!$Z218="Interest Only",'Loan Tape'!$Z218=""),0,MIN(MAX(0,G222-G828),IFERROR(MAX(0,MIN(5,'Loan Tape'!$AV218)-MAX(4,'Loan Tape'!$AT218))*IF(G525&lt;=0,G222/MAX(1,'Loan Tape'!$AU218-5+1),G525*G222/(1-(1+G525)^(-MAX(1,'Loan Tape'!$AU218-5+1)))-G525*G222),0)))</f>
        <v>0</v>
      </c>
      <c r="H1131" s="99" t="n">
        <f aca="false">IF(OR('Loan Tape'!$AN218=0,'Loan Tape'!$Z218="Interest Only",'Loan Tape'!$Z218=""),0,MIN(MAX(0,H222-H828),IFERROR(MAX(0,MIN(6,'Loan Tape'!$AV218)-MAX(5,'Loan Tape'!$AT218))*IF(H525&lt;=0,H222/MAX(1,'Loan Tape'!$AU218-6+1),H525*H222/(1-(1+H525)^(-MAX(1,'Loan Tape'!$AU218-6+1)))-H525*H222),0)))</f>
        <v>0</v>
      </c>
      <c r="I1131" s="99" t="n">
        <f aca="false">IF(OR('Loan Tape'!$AN218=0,'Loan Tape'!$Z218="Interest Only",'Loan Tape'!$Z218=""),0,MIN(MAX(0,I222-I828),IFERROR(MAX(0,MIN(7,'Loan Tape'!$AV218)-MAX(6,'Loan Tape'!$AT218))*IF(I525&lt;=0,I222/MAX(1,'Loan Tape'!$AU218-7+1),I525*I222/(1-(1+I525)^(-MAX(1,'Loan Tape'!$AU218-7+1)))-I525*I222),0)))</f>
        <v>0</v>
      </c>
      <c r="J1131" s="99" t="n">
        <f aca="false">IF(OR('Loan Tape'!$AN218=0,'Loan Tape'!$Z218="Interest Only",'Loan Tape'!$Z218=""),0,MIN(MAX(0,J222-J828),IFERROR(MAX(0,MIN(8,'Loan Tape'!$AV218)-MAX(7,'Loan Tape'!$AT218))*IF(J525&lt;=0,J222/MAX(1,'Loan Tape'!$AU218-8+1),J525*J222/(1-(1+J525)^(-MAX(1,'Loan Tape'!$AU218-8+1)))-J525*J222),0)))</f>
        <v>0</v>
      </c>
      <c r="K1131" s="99" t="n">
        <f aca="false">IF(OR('Loan Tape'!$AN218=0,'Loan Tape'!$Z218="Interest Only",'Loan Tape'!$Z218=""),0,MIN(MAX(0,K222-K828),IFERROR(MAX(0,MIN(9,'Loan Tape'!$AV218)-MAX(8,'Loan Tape'!$AT218))*IF(K525&lt;=0,K222/MAX(1,'Loan Tape'!$AU218-9+1),K525*K222/(1-(1+K525)^(-MAX(1,'Loan Tape'!$AU218-9+1)))-K525*K222),0)))</f>
        <v>0</v>
      </c>
      <c r="L1131" s="99" t="n">
        <f aca="false">IF(OR('Loan Tape'!$AN218=0,'Loan Tape'!$Z218="Interest Only",'Loan Tape'!$Z218=""),0,MIN(MAX(0,L222-L828),IFERROR(MAX(0,MIN(10,'Loan Tape'!$AV218)-MAX(9,'Loan Tape'!$AT218))*IF(L525&lt;=0,L222/MAX(1,'Loan Tape'!$AU218-10+1),L525*L222/(1-(1+L525)^(-MAX(1,'Loan Tape'!$AU218-10+1)))-L525*L222),0)))</f>
        <v>0</v>
      </c>
    </row>
    <row r="1132" customFormat="false" ht="15" hidden="false" customHeight="false" outlineLevel="0" collapsed="false">
      <c r="B1132" s="108" t="n">
        <f aca="false">'Loan Tape'!$A219</f>
        <v>0</v>
      </c>
      <c r="C1132" s="71" t="n">
        <f aca="false">IF(OR('Loan Tape'!$AN219=0,'Loan Tape'!$Z219="Interest Only",'Loan Tape'!$Z219=""),0,MIN(MAX(0,C223-C829),IFERROR(MAX(0,MIN(1,'Loan Tape'!$AV219)-MAX(0,'Loan Tape'!$AT219))*IF(C526&lt;=0,C223/MAX(1,'Loan Tape'!$AU219-1+1),C526*C223/(1-(1+C526)^(-MAX(1,'Loan Tape'!$AU219-1+1)))-C526*C223),0)))</f>
        <v>0</v>
      </c>
      <c r="D1132" s="71" t="n">
        <f aca="false">IF(OR('Loan Tape'!$AN219=0,'Loan Tape'!$Z219="Interest Only",'Loan Tape'!$Z219=""),0,MIN(MAX(0,D223-D829),IFERROR(MAX(0,MIN(2,'Loan Tape'!$AV219)-MAX(1,'Loan Tape'!$AT219))*IF(D526&lt;=0,D223/MAX(1,'Loan Tape'!$AU219-2+1),D526*D223/(1-(1+D526)^(-MAX(1,'Loan Tape'!$AU219-2+1)))-D526*D223),0)))</f>
        <v>0</v>
      </c>
      <c r="E1132" s="71" t="n">
        <f aca="false">IF(OR('Loan Tape'!$AN219=0,'Loan Tape'!$Z219="Interest Only",'Loan Tape'!$Z219=""),0,MIN(MAX(0,E223-E829),IFERROR(MAX(0,MIN(3,'Loan Tape'!$AV219)-MAX(2,'Loan Tape'!$AT219))*IF(E526&lt;=0,E223/MAX(1,'Loan Tape'!$AU219-3+1),E526*E223/(1-(1+E526)^(-MAX(1,'Loan Tape'!$AU219-3+1)))-E526*E223),0)))</f>
        <v>0</v>
      </c>
      <c r="F1132" s="71" t="n">
        <f aca="false">IF(OR('Loan Tape'!$AN219=0,'Loan Tape'!$Z219="Interest Only",'Loan Tape'!$Z219=""),0,MIN(MAX(0,F223-F829),IFERROR(MAX(0,MIN(4,'Loan Tape'!$AV219)-MAX(3,'Loan Tape'!$AT219))*IF(F526&lt;=0,F223/MAX(1,'Loan Tape'!$AU219-4+1),F526*F223/(1-(1+F526)^(-MAX(1,'Loan Tape'!$AU219-4+1)))-F526*F223),0)))</f>
        <v>0</v>
      </c>
      <c r="G1132" s="71" t="n">
        <f aca="false">IF(OR('Loan Tape'!$AN219=0,'Loan Tape'!$Z219="Interest Only",'Loan Tape'!$Z219=""),0,MIN(MAX(0,G223-G829),IFERROR(MAX(0,MIN(5,'Loan Tape'!$AV219)-MAX(4,'Loan Tape'!$AT219))*IF(G526&lt;=0,G223/MAX(1,'Loan Tape'!$AU219-5+1),G526*G223/(1-(1+G526)^(-MAX(1,'Loan Tape'!$AU219-5+1)))-G526*G223),0)))</f>
        <v>0</v>
      </c>
      <c r="H1132" s="71" t="n">
        <f aca="false">IF(OR('Loan Tape'!$AN219=0,'Loan Tape'!$Z219="Interest Only",'Loan Tape'!$Z219=""),0,MIN(MAX(0,H223-H829),IFERROR(MAX(0,MIN(6,'Loan Tape'!$AV219)-MAX(5,'Loan Tape'!$AT219))*IF(H526&lt;=0,H223/MAX(1,'Loan Tape'!$AU219-6+1),H526*H223/(1-(1+H526)^(-MAX(1,'Loan Tape'!$AU219-6+1)))-H526*H223),0)))</f>
        <v>0</v>
      </c>
      <c r="I1132" s="71" t="n">
        <f aca="false">IF(OR('Loan Tape'!$AN219=0,'Loan Tape'!$Z219="Interest Only",'Loan Tape'!$Z219=""),0,MIN(MAX(0,I223-I829),IFERROR(MAX(0,MIN(7,'Loan Tape'!$AV219)-MAX(6,'Loan Tape'!$AT219))*IF(I526&lt;=0,I223/MAX(1,'Loan Tape'!$AU219-7+1),I526*I223/(1-(1+I526)^(-MAX(1,'Loan Tape'!$AU219-7+1)))-I526*I223),0)))</f>
        <v>0</v>
      </c>
      <c r="J1132" s="71" t="n">
        <f aca="false">IF(OR('Loan Tape'!$AN219=0,'Loan Tape'!$Z219="Interest Only",'Loan Tape'!$Z219=""),0,MIN(MAX(0,J223-J829),IFERROR(MAX(0,MIN(8,'Loan Tape'!$AV219)-MAX(7,'Loan Tape'!$AT219))*IF(J526&lt;=0,J223/MAX(1,'Loan Tape'!$AU219-8+1),J526*J223/(1-(1+J526)^(-MAX(1,'Loan Tape'!$AU219-8+1)))-J526*J223),0)))</f>
        <v>0</v>
      </c>
      <c r="K1132" s="71" t="n">
        <f aca="false">IF(OR('Loan Tape'!$AN219=0,'Loan Tape'!$Z219="Interest Only",'Loan Tape'!$Z219=""),0,MIN(MAX(0,K223-K829),IFERROR(MAX(0,MIN(9,'Loan Tape'!$AV219)-MAX(8,'Loan Tape'!$AT219))*IF(K526&lt;=0,K223/MAX(1,'Loan Tape'!$AU219-9+1),K526*K223/(1-(1+K526)^(-MAX(1,'Loan Tape'!$AU219-9+1)))-K526*K223),0)))</f>
        <v>0</v>
      </c>
      <c r="L1132" s="71" t="n">
        <f aca="false">IF(OR('Loan Tape'!$AN219=0,'Loan Tape'!$Z219="Interest Only",'Loan Tape'!$Z219=""),0,MIN(MAX(0,L223-L829),IFERROR(MAX(0,MIN(10,'Loan Tape'!$AV219)-MAX(9,'Loan Tape'!$AT219))*IF(L526&lt;=0,L223/MAX(1,'Loan Tape'!$AU219-10+1),L526*L223/(1-(1+L526)^(-MAX(1,'Loan Tape'!$AU219-10+1)))-L526*L223),0)))</f>
        <v>0</v>
      </c>
    </row>
    <row r="1133" customFormat="false" ht="15" hidden="false" customHeight="false" outlineLevel="0" collapsed="false">
      <c r="B1133" s="102" t="n">
        <f aca="false">'Loan Tape'!$A220</f>
        <v>0</v>
      </c>
      <c r="C1133" s="99" t="n">
        <f aca="false">IF(OR('Loan Tape'!$AN220=0,'Loan Tape'!$Z220="Interest Only",'Loan Tape'!$Z220=""),0,MIN(MAX(0,C224-C830),IFERROR(MAX(0,MIN(1,'Loan Tape'!$AV220)-MAX(0,'Loan Tape'!$AT220))*IF(C527&lt;=0,C224/MAX(1,'Loan Tape'!$AU220-1+1),C527*C224/(1-(1+C527)^(-MAX(1,'Loan Tape'!$AU220-1+1)))-C527*C224),0)))</f>
        <v>0</v>
      </c>
      <c r="D1133" s="99" t="n">
        <f aca="false">IF(OR('Loan Tape'!$AN220=0,'Loan Tape'!$Z220="Interest Only",'Loan Tape'!$Z220=""),0,MIN(MAX(0,D224-D830),IFERROR(MAX(0,MIN(2,'Loan Tape'!$AV220)-MAX(1,'Loan Tape'!$AT220))*IF(D527&lt;=0,D224/MAX(1,'Loan Tape'!$AU220-2+1),D527*D224/(1-(1+D527)^(-MAX(1,'Loan Tape'!$AU220-2+1)))-D527*D224),0)))</f>
        <v>0</v>
      </c>
      <c r="E1133" s="99" t="n">
        <f aca="false">IF(OR('Loan Tape'!$AN220=0,'Loan Tape'!$Z220="Interest Only",'Loan Tape'!$Z220=""),0,MIN(MAX(0,E224-E830),IFERROR(MAX(0,MIN(3,'Loan Tape'!$AV220)-MAX(2,'Loan Tape'!$AT220))*IF(E527&lt;=0,E224/MAX(1,'Loan Tape'!$AU220-3+1),E527*E224/(1-(1+E527)^(-MAX(1,'Loan Tape'!$AU220-3+1)))-E527*E224),0)))</f>
        <v>0</v>
      </c>
      <c r="F1133" s="99" t="n">
        <f aca="false">IF(OR('Loan Tape'!$AN220=0,'Loan Tape'!$Z220="Interest Only",'Loan Tape'!$Z220=""),0,MIN(MAX(0,F224-F830),IFERROR(MAX(0,MIN(4,'Loan Tape'!$AV220)-MAX(3,'Loan Tape'!$AT220))*IF(F527&lt;=0,F224/MAX(1,'Loan Tape'!$AU220-4+1),F527*F224/(1-(1+F527)^(-MAX(1,'Loan Tape'!$AU220-4+1)))-F527*F224),0)))</f>
        <v>0</v>
      </c>
      <c r="G1133" s="99" t="n">
        <f aca="false">IF(OR('Loan Tape'!$AN220=0,'Loan Tape'!$Z220="Interest Only",'Loan Tape'!$Z220=""),0,MIN(MAX(0,G224-G830),IFERROR(MAX(0,MIN(5,'Loan Tape'!$AV220)-MAX(4,'Loan Tape'!$AT220))*IF(G527&lt;=0,G224/MAX(1,'Loan Tape'!$AU220-5+1),G527*G224/(1-(1+G527)^(-MAX(1,'Loan Tape'!$AU220-5+1)))-G527*G224),0)))</f>
        <v>0</v>
      </c>
      <c r="H1133" s="99" t="n">
        <f aca="false">IF(OR('Loan Tape'!$AN220=0,'Loan Tape'!$Z220="Interest Only",'Loan Tape'!$Z220=""),0,MIN(MAX(0,H224-H830),IFERROR(MAX(0,MIN(6,'Loan Tape'!$AV220)-MAX(5,'Loan Tape'!$AT220))*IF(H527&lt;=0,H224/MAX(1,'Loan Tape'!$AU220-6+1),H527*H224/(1-(1+H527)^(-MAX(1,'Loan Tape'!$AU220-6+1)))-H527*H224),0)))</f>
        <v>0</v>
      </c>
      <c r="I1133" s="99" t="n">
        <f aca="false">IF(OR('Loan Tape'!$AN220=0,'Loan Tape'!$Z220="Interest Only",'Loan Tape'!$Z220=""),0,MIN(MAX(0,I224-I830),IFERROR(MAX(0,MIN(7,'Loan Tape'!$AV220)-MAX(6,'Loan Tape'!$AT220))*IF(I527&lt;=0,I224/MAX(1,'Loan Tape'!$AU220-7+1),I527*I224/(1-(1+I527)^(-MAX(1,'Loan Tape'!$AU220-7+1)))-I527*I224),0)))</f>
        <v>0</v>
      </c>
      <c r="J1133" s="99" t="n">
        <f aca="false">IF(OR('Loan Tape'!$AN220=0,'Loan Tape'!$Z220="Interest Only",'Loan Tape'!$Z220=""),0,MIN(MAX(0,J224-J830),IFERROR(MAX(0,MIN(8,'Loan Tape'!$AV220)-MAX(7,'Loan Tape'!$AT220))*IF(J527&lt;=0,J224/MAX(1,'Loan Tape'!$AU220-8+1),J527*J224/(1-(1+J527)^(-MAX(1,'Loan Tape'!$AU220-8+1)))-J527*J224),0)))</f>
        <v>0</v>
      </c>
      <c r="K1133" s="99" t="n">
        <f aca="false">IF(OR('Loan Tape'!$AN220=0,'Loan Tape'!$Z220="Interest Only",'Loan Tape'!$Z220=""),0,MIN(MAX(0,K224-K830),IFERROR(MAX(0,MIN(9,'Loan Tape'!$AV220)-MAX(8,'Loan Tape'!$AT220))*IF(K527&lt;=0,K224/MAX(1,'Loan Tape'!$AU220-9+1),K527*K224/(1-(1+K527)^(-MAX(1,'Loan Tape'!$AU220-9+1)))-K527*K224),0)))</f>
        <v>0</v>
      </c>
      <c r="L1133" s="99" t="n">
        <f aca="false">IF(OR('Loan Tape'!$AN220=0,'Loan Tape'!$Z220="Interest Only",'Loan Tape'!$Z220=""),0,MIN(MAX(0,L224-L830),IFERROR(MAX(0,MIN(10,'Loan Tape'!$AV220)-MAX(9,'Loan Tape'!$AT220))*IF(L527&lt;=0,L224/MAX(1,'Loan Tape'!$AU220-10+1),L527*L224/(1-(1+L527)^(-MAX(1,'Loan Tape'!$AU220-10+1)))-L527*L224),0)))</f>
        <v>0</v>
      </c>
    </row>
    <row r="1134" customFormat="false" ht="15" hidden="false" customHeight="false" outlineLevel="0" collapsed="false">
      <c r="B1134" s="108" t="n">
        <f aca="false">'Loan Tape'!$A221</f>
        <v>0</v>
      </c>
      <c r="C1134" s="71" t="n">
        <f aca="false">IF(OR('Loan Tape'!$AN221=0,'Loan Tape'!$Z221="Interest Only",'Loan Tape'!$Z221=""),0,MIN(MAX(0,C225-C831),IFERROR(MAX(0,MIN(1,'Loan Tape'!$AV221)-MAX(0,'Loan Tape'!$AT221))*IF(C528&lt;=0,C225/MAX(1,'Loan Tape'!$AU221-1+1),C528*C225/(1-(1+C528)^(-MAX(1,'Loan Tape'!$AU221-1+1)))-C528*C225),0)))</f>
        <v>0</v>
      </c>
      <c r="D1134" s="71" t="n">
        <f aca="false">IF(OR('Loan Tape'!$AN221=0,'Loan Tape'!$Z221="Interest Only",'Loan Tape'!$Z221=""),0,MIN(MAX(0,D225-D831),IFERROR(MAX(0,MIN(2,'Loan Tape'!$AV221)-MAX(1,'Loan Tape'!$AT221))*IF(D528&lt;=0,D225/MAX(1,'Loan Tape'!$AU221-2+1),D528*D225/(1-(1+D528)^(-MAX(1,'Loan Tape'!$AU221-2+1)))-D528*D225),0)))</f>
        <v>0</v>
      </c>
      <c r="E1134" s="71" t="n">
        <f aca="false">IF(OR('Loan Tape'!$AN221=0,'Loan Tape'!$Z221="Interest Only",'Loan Tape'!$Z221=""),0,MIN(MAX(0,E225-E831),IFERROR(MAX(0,MIN(3,'Loan Tape'!$AV221)-MAX(2,'Loan Tape'!$AT221))*IF(E528&lt;=0,E225/MAX(1,'Loan Tape'!$AU221-3+1),E528*E225/(1-(1+E528)^(-MAX(1,'Loan Tape'!$AU221-3+1)))-E528*E225),0)))</f>
        <v>0</v>
      </c>
      <c r="F1134" s="71" t="n">
        <f aca="false">IF(OR('Loan Tape'!$AN221=0,'Loan Tape'!$Z221="Interest Only",'Loan Tape'!$Z221=""),0,MIN(MAX(0,F225-F831),IFERROR(MAX(0,MIN(4,'Loan Tape'!$AV221)-MAX(3,'Loan Tape'!$AT221))*IF(F528&lt;=0,F225/MAX(1,'Loan Tape'!$AU221-4+1),F528*F225/(1-(1+F528)^(-MAX(1,'Loan Tape'!$AU221-4+1)))-F528*F225),0)))</f>
        <v>0</v>
      </c>
      <c r="G1134" s="71" t="n">
        <f aca="false">IF(OR('Loan Tape'!$AN221=0,'Loan Tape'!$Z221="Interest Only",'Loan Tape'!$Z221=""),0,MIN(MAX(0,G225-G831),IFERROR(MAX(0,MIN(5,'Loan Tape'!$AV221)-MAX(4,'Loan Tape'!$AT221))*IF(G528&lt;=0,G225/MAX(1,'Loan Tape'!$AU221-5+1),G528*G225/(1-(1+G528)^(-MAX(1,'Loan Tape'!$AU221-5+1)))-G528*G225),0)))</f>
        <v>0</v>
      </c>
      <c r="H1134" s="71" t="n">
        <f aca="false">IF(OR('Loan Tape'!$AN221=0,'Loan Tape'!$Z221="Interest Only",'Loan Tape'!$Z221=""),0,MIN(MAX(0,H225-H831),IFERROR(MAX(0,MIN(6,'Loan Tape'!$AV221)-MAX(5,'Loan Tape'!$AT221))*IF(H528&lt;=0,H225/MAX(1,'Loan Tape'!$AU221-6+1),H528*H225/(1-(1+H528)^(-MAX(1,'Loan Tape'!$AU221-6+1)))-H528*H225),0)))</f>
        <v>0</v>
      </c>
      <c r="I1134" s="71" t="n">
        <f aca="false">IF(OR('Loan Tape'!$AN221=0,'Loan Tape'!$Z221="Interest Only",'Loan Tape'!$Z221=""),0,MIN(MAX(0,I225-I831),IFERROR(MAX(0,MIN(7,'Loan Tape'!$AV221)-MAX(6,'Loan Tape'!$AT221))*IF(I528&lt;=0,I225/MAX(1,'Loan Tape'!$AU221-7+1),I528*I225/(1-(1+I528)^(-MAX(1,'Loan Tape'!$AU221-7+1)))-I528*I225),0)))</f>
        <v>0</v>
      </c>
      <c r="J1134" s="71" t="n">
        <f aca="false">IF(OR('Loan Tape'!$AN221=0,'Loan Tape'!$Z221="Interest Only",'Loan Tape'!$Z221=""),0,MIN(MAX(0,J225-J831),IFERROR(MAX(0,MIN(8,'Loan Tape'!$AV221)-MAX(7,'Loan Tape'!$AT221))*IF(J528&lt;=0,J225/MAX(1,'Loan Tape'!$AU221-8+1),J528*J225/(1-(1+J528)^(-MAX(1,'Loan Tape'!$AU221-8+1)))-J528*J225),0)))</f>
        <v>0</v>
      </c>
      <c r="K1134" s="71" t="n">
        <f aca="false">IF(OR('Loan Tape'!$AN221=0,'Loan Tape'!$Z221="Interest Only",'Loan Tape'!$Z221=""),0,MIN(MAX(0,K225-K831),IFERROR(MAX(0,MIN(9,'Loan Tape'!$AV221)-MAX(8,'Loan Tape'!$AT221))*IF(K528&lt;=0,K225/MAX(1,'Loan Tape'!$AU221-9+1),K528*K225/(1-(1+K528)^(-MAX(1,'Loan Tape'!$AU221-9+1)))-K528*K225),0)))</f>
        <v>0</v>
      </c>
      <c r="L1134" s="71" t="n">
        <f aca="false">IF(OR('Loan Tape'!$AN221=0,'Loan Tape'!$Z221="Interest Only",'Loan Tape'!$Z221=""),0,MIN(MAX(0,L225-L831),IFERROR(MAX(0,MIN(10,'Loan Tape'!$AV221)-MAX(9,'Loan Tape'!$AT221))*IF(L528&lt;=0,L225/MAX(1,'Loan Tape'!$AU221-10+1),L528*L225/(1-(1+L528)^(-MAX(1,'Loan Tape'!$AU221-10+1)))-L528*L225),0)))</f>
        <v>0</v>
      </c>
    </row>
    <row r="1135" customFormat="false" ht="15" hidden="false" customHeight="false" outlineLevel="0" collapsed="false">
      <c r="B1135" s="102" t="n">
        <f aca="false">'Loan Tape'!$A222</f>
        <v>0</v>
      </c>
      <c r="C1135" s="99" t="n">
        <f aca="false">IF(OR('Loan Tape'!$AN222=0,'Loan Tape'!$Z222="Interest Only",'Loan Tape'!$Z222=""),0,MIN(MAX(0,C226-C832),IFERROR(MAX(0,MIN(1,'Loan Tape'!$AV222)-MAX(0,'Loan Tape'!$AT222))*IF(C529&lt;=0,C226/MAX(1,'Loan Tape'!$AU222-1+1),C529*C226/(1-(1+C529)^(-MAX(1,'Loan Tape'!$AU222-1+1)))-C529*C226),0)))</f>
        <v>0</v>
      </c>
      <c r="D1135" s="99" t="n">
        <f aca="false">IF(OR('Loan Tape'!$AN222=0,'Loan Tape'!$Z222="Interest Only",'Loan Tape'!$Z222=""),0,MIN(MAX(0,D226-D832),IFERROR(MAX(0,MIN(2,'Loan Tape'!$AV222)-MAX(1,'Loan Tape'!$AT222))*IF(D529&lt;=0,D226/MAX(1,'Loan Tape'!$AU222-2+1),D529*D226/(1-(1+D529)^(-MAX(1,'Loan Tape'!$AU222-2+1)))-D529*D226),0)))</f>
        <v>0</v>
      </c>
      <c r="E1135" s="99" t="n">
        <f aca="false">IF(OR('Loan Tape'!$AN222=0,'Loan Tape'!$Z222="Interest Only",'Loan Tape'!$Z222=""),0,MIN(MAX(0,E226-E832),IFERROR(MAX(0,MIN(3,'Loan Tape'!$AV222)-MAX(2,'Loan Tape'!$AT222))*IF(E529&lt;=0,E226/MAX(1,'Loan Tape'!$AU222-3+1),E529*E226/(1-(1+E529)^(-MAX(1,'Loan Tape'!$AU222-3+1)))-E529*E226),0)))</f>
        <v>0</v>
      </c>
      <c r="F1135" s="99" t="n">
        <f aca="false">IF(OR('Loan Tape'!$AN222=0,'Loan Tape'!$Z222="Interest Only",'Loan Tape'!$Z222=""),0,MIN(MAX(0,F226-F832),IFERROR(MAX(0,MIN(4,'Loan Tape'!$AV222)-MAX(3,'Loan Tape'!$AT222))*IF(F529&lt;=0,F226/MAX(1,'Loan Tape'!$AU222-4+1),F529*F226/(1-(1+F529)^(-MAX(1,'Loan Tape'!$AU222-4+1)))-F529*F226),0)))</f>
        <v>0</v>
      </c>
      <c r="G1135" s="99" t="n">
        <f aca="false">IF(OR('Loan Tape'!$AN222=0,'Loan Tape'!$Z222="Interest Only",'Loan Tape'!$Z222=""),0,MIN(MAX(0,G226-G832),IFERROR(MAX(0,MIN(5,'Loan Tape'!$AV222)-MAX(4,'Loan Tape'!$AT222))*IF(G529&lt;=0,G226/MAX(1,'Loan Tape'!$AU222-5+1),G529*G226/(1-(1+G529)^(-MAX(1,'Loan Tape'!$AU222-5+1)))-G529*G226),0)))</f>
        <v>0</v>
      </c>
      <c r="H1135" s="99" t="n">
        <f aca="false">IF(OR('Loan Tape'!$AN222=0,'Loan Tape'!$Z222="Interest Only",'Loan Tape'!$Z222=""),0,MIN(MAX(0,H226-H832),IFERROR(MAX(0,MIN(6,'Loan Tape'!$AV222)-MAX(5,'Loan Tape'!$AT222))*IF(H529&lt;=0,H226/MAX(1,'Loan Tape'!$AU222-6+1),H529*H226/(1-(1+H529)^(-MAX(1,'Loan Tape'!$AU222-6+1)))-H529*H226),0)))</f>
        <v>0</v>
      </c>
      <c r="I1135" s="99" t="n">
        <f aca="false">IF(OR('Loan Tape'!$AN222=0,'Loan Tape'!$Z222="Interest Only",'Loan Tape'!$Z222=""),0,MIN(MAX(0,I226-I832),IFERROR(MAX(0,MIN(7,'Loan Tape'!$AV222)-MAX(6,'Loan Tape'!$AT222))*IF(I529&lt;=0,I226/MAX(1,'Loan Tape'!$AU222-7+1),I529*I226/(1-(1+I529)^(-MAX(1,'Loan Tape'!$AU222-7+1)))-I529*I226),0)))</f>
        <v>0</v>
      </c>
      <c r="J1135" s="99" t="n">
        <f aca="false">IF(OR('Loan Tape'!$AN222=0,'Loan Tape'!$Z222="Interest Only",'Loan Tape'!$Z222=""),0,MIN(MAX(0,J226-J832),IFERROR(MAX(0,MIN(8,'Loan Tape'!$AV222)-MAX(7,'Loan Tape'!$AT222))*IF(J529&lt;=0,J226/MAX(1,'Loan Tape'!$AU222-8+1),J529*J226/(1-(1+J529)^(-MAX(1,'Loan Tape'!$AU222-8+1)))-J529*J226),0)))</f>
        <v>0</v>
      </c>
      <c r="K1135" s="99" t="n">
        <f aca="false">IF(OR('Loan Tape'!$AN222=0,'Loan Tape'!$Z222="Interest Only",'Loan Tape'!$Z222=""),0,MIN(MAX(0,K226-K832),IFERROR(MAX(0,MIN(9,'Loan Tape'!$AV222)-MAX(8,'Loan Tape'!$AT222))*IF(K529&lt;=0,K226/MAX(1,'Loan Tape'!$AU222-9+1),K529*K226/(1-(1+K529)^(-MAX(1,'Loan Tape'!$AU222-9+1)))-K529*K226),0)))</f>
        <v>0</v>
      </c>
      <c r="L1135" s="99" t="n">
        <f aca="false">IF(OR('Loan Tape'!$AN222=0,'Loan Tape'!$Z222="Interest Only",'Loan Tape'!$Z222=""),0,MIN(MAX(0,L226-L832),IFERROR(MAX(0,MIN(10,'Loan Tape'!$AV222)-MAX(9,'Loan Tape'!$AT222))*IF(L529&lt;=0,L226/MAX(1,'Loan Tape'!$AU222-10+1),L529*L226/(1-(1+L529)^(-MAX(1,'Loan Tape'!$AU222-10+1)))-L529*L226),0)))</f>
        <v>0</v>
      </c>
    </row>
    <row r="1136" customFormat="false" ht="15" hidden="false" customHeight="false" outlineLevel="0" collapsed="false">
      <c r="B1136" s="108" t="n">
        <f aca="false">'Loan Tape'!$A223</f>
        <v>0</v>
      </c>
      <c r="C1136" s="71" t="n">
        <f aca="false">IF(OR('Loan Tape'!$AN223=0,'Loan Tape'!$Z223="Interest Only",'Loan Tape'!$Z223=""),0,MIN(MAX(0,C227-C833),IFERROR(MAX(0,MIN(1,'Loan Tape'!$AV223)-MAX(0,'Loan Tape'!$AT223))*IF(C530&lt;=0,C227/MAX(1,'Loan Tape'!$AU223-1+1),C530*C227/(1-(1+C530)^(-MAX(1,'Loan Tape'!$AU223-1+1)))-C530*C227),0)))</f>
        <v>0</v>
      </c>
      <c r="D1136" s="71" t="n">
        <f aca="false">IF(OR('Loan Tape'!$AN223=0,'Loan Tape'!$Z223="Interest Only",'Loan Tape'!$Z223=""),0,MIN(MAX(0,D227-D833),IFERROR(MAX(0,MIN(2,'Loan Tape'!$AV223)-MAX(1,'Loan Tape'!$AT223))*IF(D530&lt;=0,D227/MAX(1,'Loan Tape'!$AU223-2+1),D530*D227/(1-(1+D530)^(-MAX(1,'Loan Tape'!$AU223-2+1)))-D530*D227),0)))</f>
        <v>0</v>
      </c>
      <c r="E1136" s="71" t="n">
        <f aca="false">IF(OR('Loan Tape'!$AN223=0,'Loan Tape'!$Z223="Interest Only",'Loan Tape'!$Z223=""),0,MIN(MAX(0,E227-E833),IFERROR(MAX(0,MIN(3,'Loan Tape'!$AV223)-MAX(2,'Loan Tape'!$AT223))*IF(E530&lt;=0,E227/MAX(1,'Loan Tape'!$AU223-3+1),E530*E227/(1-(1+E530)^(-MAX(1,'Loan Tape'!$AU223-3+1)))-E530*E227),0)))</f>
        <v>0</v>
      </c>
      <c r="F1136" s="71" t="n">
        <f aca="false">IF(OR('Loan Tape'!$AN223=0,'Loan Tape'!$Z223="Interest Only",'Loan Tape'!$Z223=""),0,MIN(MAX(0,F227-F833),IFERROR(MAX(0,MIN(4,'Loan Tape'!$AV223)-MAX(3,'Loan Tape'!$AT223))*IF(F530&lt;=0,F227/MAX(1,'Loan Tape'!$AU223-4+1),F530*F227/(1-(1+F530)^(-MAX(1,'Loan Tape'!$AU223-4+1)))-F530*F227),0)))</f>
        <v>0</v>
      </c>
      <c r="G1136" s="71" t="n">
        <f aca="false">IF(OR('Loan Tape'!$AN223=0,'Loan Tape'!$Z223="Interest Only",'Loan Tape'!$Z223=""),0,MIN(MAX(0,G227-G833),IFERROR(MAX(0,MIN(5,'Loan Tape'!$AV223)-MAX(4,'Loan Tape'!$AT223))*IF(G530&lt;=0,G227/MAX(1,'Loan Tape'!$AU223-5+1),G530*G227/(1-(1+G530)^(-MAX(1,'Loan Tape'!$AU223-5+1)))-G530*G227),0)))</f>
        <v>0</v>
      </c>
      <c r="H1136" s="71" t="n">
        <f aca="false">IF(OR('Loan Tape'!$AN223=0,'Loan Tape'!$Z223="Interest Only",'Loan Tape'!$Z223=""),0,MIN(MAX(0,H227-H833),IFERROR(MAX(0,MIN(6,'Loan Tape'!$AV223)-MAX(5,'Loan Tape'!$AT223))*IF(H530&lt;=0,H227/MAX(1,'Loan Tape'!$AU223-6+1),H530*H227/(1-(1+H530)^(-MAX(1,'Loan Tape'!$AU223-6+1)))-H530*H227),0)))</f>
        <v>0</v>
      </c>
      <c r="I1136" s="71" t="n">
        <f aca="false">IF(OR('Loan Tape'!$AN223=0,'Loan Tape'!$Z223="Interest Only",'Loan Tape'!$Z223=""),0,MIN(MAX(0,I227-I833),IFERROR(MAX(0,MIN(7,'Loan Tape'!$AV223)-MAX(6,'Loan Tape'!$AT223))*IF(I530&lt;=0,I227/MAX(1,'Loan Tape'!$AU223-7+1),I530*I227/(1-(1+I530)^(-MAX(1,'Loan Tape'!$AU223-7+1)))-I530*I227),0)))</f>
        <v>0</v>
      </c>
      <c r="J1136" s="71" t="n">
        <f aca="false">IF(OR('Loan Tape'!$AN223=0,'Loan Tape'!$Z223="Interest Only",'Loan Tape'!$Z223=""),0,MIN(MAX(0,J227-J833),IFERROR(MAX(0,MIN(8,'Loan Tape'!$AV223)-MAX(7,'Loan Tape'!$AT223))*IF(J530&lt;=0,J227/MAX(1,'Loan Tape'!$AU223-8+1),J530*J227/(1-(1+J530)^(-MAX(1,'Loan Tape'!$AU223-8+1)))-J530*J227),0)))</f>
        <v>0</v>
      </c>
      <c r="K1136" s="71" t="n">
        <f aca="false">IF(OR('Loan Tape'!$AN223=0,'Loan Tape'!$Z223="Interest Only",'Loan Tape'!$Z223=""),0,MIN(MAX(0,K227-K833),IFERROR(MAX(0,MIN(9,'Loan Tape'!$AV223)-MAX(8,'Loan Tape'!$AT223))*IF(K530&lt;=0,K227/MAX(1,'Loan Tape'!$AU223-9+1),K530*K227/(1-(1+K530)^(-MAX(1,'Loan Tape'!$AU223-9+1)))-K530*K227),0)))</f>
        <v>0</v>
      </c>
      <c r="L1136" s="71" t="n">
        <f aca="false">IF(OR('Loan Tape'!$AN223=0,'Loan Tape'!$Z223="Interest Only",'Loan Tape'!$Z223=""),0,MIN(MAX(0,L227-L833),IFERROR(MAX(0,MIN(10,'Loan Tape'!$AV223)-MAX(9,'Loan Tape'!$AT223))*IF(L530&lt;=0,L227/MAX(1,'Loan Tape'!$AU223-10+1),L530*L227/(1-(1+L530)^(-MAX(1,'Loan Tape'!$AU223-10+1)))-L530*L227),0)))</f>
        <v>0</v>
      </c>
    </row>
    <row r="1137" customFormat="false" ht="15" hidden="false" customHeight="false" outlineLevel="0" collapsed="false">
      <c r="B1137" s="102" t="n">
        <f aca="false">'Loan Tape'!$A224</f>
        <v>0</v>
      </c>
      <c r="C1137" s="99" t="n">
        <f aca="false">IF(OR('Loan Tape'!$AN224=0,'Loan Tape'!$Z224="Interest Only",'Loan Tape'!$Z224=""),0,MIN(MAX(0,C228-C834),IFERROR(MAX(0,MIN(1,'Loan Tape'!$AV224)-MAX(0,'Loan Tape'!$AT224))*IF(C531&lt;=0,C228/MAX(1,'Loan Tape'!$AU224-1+1),C531*C228/(1-(1+C531)^(-MAX(1,'Loan Tape'!$AU224-1+1)))-C531*C228),0)))</f>
        <v>0</v>
      </c>
      <c r="D1137" s="99" t="n">
        <f aca="false">IF(OR('Loan Tape'!$AN224=0,'Loan Tape'!$Z224="Interest Only",'Loan Tape'!$Z224=""),0,MIN(MAX(0,D228-D834),IFERROR(MAX(0,MIN(2,'Loan Tape'!$AV224)-MAX(1,'Loan Tape'!$AT224))*IF(D531&lt;=0,D228/MAX(1,'Loan Tape'!$AU224-2+1),D531*D228/(1-(1+D531)^(-MAX(1,'Loan Tape'!$AU224-2+1)))-D531*D228),0)))</f>
        <v>0</v>
      </c>
      <c r="E1137" s="99" t="n">
        <f aca="false">IF(OR('Loan Tape'!$AN224=0,'Loan Tape'!$Z224="Interest Only",'Loan Tape'!$Z224=""),0,MIN(MAX(0,E228-E834),IFERROR(MAX(0,MIN(3,'Loan Tape'!$AV224)-MAX(2,'Loan Tape'!$AT224))*IF(E531&lt;=0,E228/MAX(1,'Loan Tape'!$AU224-3+1),E531*E228/(1-(1+E531)^(-MAX(1,'Loan Tape'!$AU224-3+1)))-E531*E228),0)))</f>
        <v>0</v>
      </c>
      <c r="F1137" s="99" t="n">
        <f aca="false">IF(OR('Loan Tape'!$AN224=0,'Loan Tape'!$Z224="Interest Only",'Loan Tape'!$Z224=""),0,MIN(MAX(0,F228-F834),IFERROR(MAX(0,MIN(4,'Loan Tape'!$AV224)-MAX(3,'Loan Tape'!$AT224))*IF(F531&lt;=0,F228/MAX(1,'Loan Tape'!$AU224-4+1),F531*F228/(1-(1+F531)^(-MAX(1,'Loan Tape'!$AU224-4+1)))-F531*F228),0)))</f>
        <v>0</v>
      </c>
      <c r="G1137" s="99" t="n">
        <f aca="false">IF(OR('Loan Tape'!$AN224=0,'Loan Tape'!$Z224="Interest Only",'Loan Tape'!$Z224=""),0,MIN(MAX(0,G228-G834),IFERROR(MAX(0,MIN(5,'Loan Tape'!$AV224)-MAX(4,'Loan Tape'!$AT224))*IF(G531&lt;=0,G228/MAX(1,'Loan Tape'!$AU224-5+1),G531*G228/(1-(1+G531)^(-MAX(1,'Loan Tape'!$AU224-5+1)))-G531*G228),0)))</f>
        <v>0</v>
      </c>
      <c r="H1137" s="99" t="n">
        <f aca="false">IF(OR('Loan Tape'!$AN224=0,'Loan Tape'!$Z224="Interest Only",'Loan Tape'!$Z224=""),0,MIN(MAX(0,H228-H834),IFERROR(MAX(0,MIN(6,'Loan Tape'!$AV224)-MAX(5,'Loan Tape'!$AT224))*IF(H531&lt;=0,H228/MAX(1,'Loan Tape'!$AU224-6+1),H531*H228/(1-(1+H531)^(-MAX(1,'Loan Tape'!$AU224-6+1)))-H531*H228),0)))</f>
        <v>0</v>
      </c>
      <c r="I1137" s="99" t="n">
        <f aca="false">IF(OR('Loan Tape'!$AN224=0,'Loan Tape'!$Z224="Interest Only",'Loan Tape'!$Z224=""),0,MIN(MAX(0,I228-I834),IFERROR(MAX(0,MIN(7,'Loan Tape'!$AV224)-MAX(6,'Loan Tape'!$AT224))*IF(I531&lt;=0,I228/MAX(1,'Loan Tape'!$AU224-7+1),I531*I228/(1-(1+I531)^(-MAX(1,'Loan Tape'!$AU224-7+1)))-I531*I228),0)))</f>
        <v>0</v>
      </c>
      <c r="J1137" s="99" t="n">
        <f aca="false">IF(OR('Loan Tape'!$AN224=0,'Loan Tape'!$Z224="Interest Only",'Loan Tape'!$Z224=""),0,MIN(MAX(0,J228-J834),IFERROR(MAX(0,MIN(8,'Loan Tape'!$AV224)-MAX(7,'Loan Tape'!$AT224))*IF(J531&lt;=0,J228/MAX(1,'Loan Tape'!$AU224-8+1),J531*J228/(1-(1+J531)^(-MAX(1,'Loan Tape'!$AU224-8+1)))-J531*J228),0)))</f>
        <v>0</v>
      </c>
      <c r="K1137" s="99" t="n">
        <f aca="false">IF(OR('Loan Tape'!$AN224=0,'Loan Tape'!$Z224="Interest Only",'Loan Tape'!$Z224=""),0,MIN(MAX(0,K228-K834),IFERROR(MAX(0,MIN(9,'Loan Tape'!$AV224)-MAX(8,'Loan Tape'!$AT224))*IF(K531&lt;=0,K228/MAX(1,'Loan Tape'!$AU224-9+1),K531*K228/(1-(1+K531)^(-MAX(1,'Loan Tape'!$AU224-9+1)))-K531*K228),0)))</f>
        <v>0</v>
      </c>
      <c r="L1137" s="99" t="n">
        <f aca="false">IF(OR('Loan Tape'!$AN224=0,'Loan Tape'!$Z224="Interest Only",'Loan Tape'!$Z224=""),0,MIN(MAX(0,L228-L834),IFERROR(MAX(0,MIN(10,'Loan Tape'!$AV224)-MAX(9,'Loan Tape'!$AT224))*IF(L531&lt;=0,L228/MAX(1,'Loan Tape'!$AU224-10+1),L531*L228/(1-(1+L531)^(-MAX(1,'Loan Tape'!$AU224-10+1)))-L531*L228),0)))</f>
        <v>0</v>
      </c>
    </row>
    <row r="1138" customFormat="false" ht="15" hidden="false" customHeight="false" outlineLevel="0" collapsed="false">
      <c r="B1138" s="108" t="n">
        <f aca="false">'Loan Tape'!$A225</f>
        <v>0</v>
      </c>
      <c r="C1138" s="71" t="n">
        <f aca="false">IF(OR('Loan Tape'!$AN225=0,'Loan Tape'!$Z225="Interest Only",'Loan Tape'!$Z225=""),0,MIN(MAX(0,C229-C835),IFERROR(MAX(0,MIN(1,'Loan Tape'!$AV225)-MAX(0,'Loan Tape'!$AT225))*IF(C532&lt;=0,C229/MAX(1,'Loan Tape'!$AU225-1+1),C532*C229/(1-(1+C532)^(-MAX(1,'Loan Tape'!$AU225-1+1)))-C532*C229),0)))</f>
        <v>0</v>
      </c>
      <c r="D1138" s="71" t="n">
        <f aca="false">IF(OR('Loan Tape'!$AN225=0,'Loan Tape'!$Z225="Interest Only",'Loan Tape'!$Z225=""),0,MIN(MAX(0,D229-D835),IFERROR(MAX(0,MIN(2,'Loan Tape'!$AV225)-MAX(1,'Loan Tape'!$AT225))*IF(D532&lt;=0,D229/MAX(1,'Loan Tape'!$AU225-2+1),D532*D229/(1-(1+D532)^(-MAX(1,'Loan Tape'!$AU225-2+1)))-D532*D229),0)))</f>
        <v>0</v>
      </c>
      <c r="E1138" s="71" t="n">
        <f aca="false">IF(OR('Loan Tape'!$AN225=0,'Loan Tape'!$Z225="Interest Only",'Loan Tape'!$Z225=""),0,MIN(MAX(0,E229-E835),IFERROR(MAX(0,MIN(3,'Loan Tape'!$AV225)-MAX(2,'Loan Tape'!$AT225))*IF(E532&lt;=0,E229/MAX(1,'Loan Tape'!$AU225-3+1),E532*E229/(1-(1+E532)^(-MAX(1,'Loan Tape'!$AU225-3+1)))-E532*E229),0)))</f>
        <v>0</v>
      </c>
      <c r="F1138" s="71" t="n">
        <f aca="false">IF(OR('Loan Tape'!$AN225=0,'Loan Tape'!$Z225="Interest Only",'Loan Tape'!$Z225=""),0,MIN(MAX(0,F229-F835),IFERROR(MAX(0,MIN(4,'Loan Tape'!$AV225)-MAX(3,'Loan Tape'!$AT225))*IF(F532&lt;=0,F229/MAX(1,'Loan Tape'!$AU225-4+1),F532*F229/(1-(1+F532)^(-MAX(1,'Loan Tape'!$AU225-4+1)))-F532*F229),0)))</f>
        <v>0</v>
      </c>
      <c r="G1138" s="71" t="n">
        <f aca="false">IF(OR('Loan Tape'!$AN225=0,'Loan Tape'!$Z225="Interest Only",'Loan Tape'!$Z225=""),0,MIN(MAX(0,G229-G835),IFERROR(MAX(0,MIN(5,'Loan Tape'!$AV225)-MAX(4,'Loan Tape'!$AT225))*IF(G532&lt;=0,G229/MAX(1,'Loan Tape'!$AU225-5+1),G532*G229/(1-(1+G532)^(-MAX(1,'Loan Tape'!$AU225-5+1)))-G532*G229),0)))</f>
        <v>0</v>
      </c>
      <c r="H1138" s="71" t="n">
        <f aca="false">IF(OR('Loan Tape'!$AN225=0,'Loan Tape'!$Z225="Interest Only",'Loan Tape'!$Z225=""),0,MIN(MAX(0,H229-H835),IFERROR(MAX(0,MIN(6,'Loan Tape'!$AV225)-MAX(5,'Loan Tape'!$AT225))*IF(H532&lt;=0,H229/MAX(1,'Loan Tape'!$AU225-6+1),H532*H229/(1-(1+H532)^(-MAX(1,'Loan Tape'!$AU225-6+1)))-H532*H229),0)))</f>
        <v>0</v>
      </c>
      <c r="I1138" s="71" t="n">
        <f aca="false">IF(OR('Loan Tape'!$AN225=0,'Loan Tape'!$Z225="Interest Only",'Loan Tape'!$Z225=""),0,MIN(MAX(0,I229-I835),IFERROR(MAX(0,MIN(7,'Loan Tape'!$AV225)-MAX(6,'Loan Tape'!$AT225))*IF(I532&lt;=0,I229/MAX(1,'Loan Tape'!$AU225-7+1),I532*I229/(1-(1+I532)^(-MAX(1,'Loan Tape'!$AU225-7+1)))-I532*I229),0)))</f>
        <v>0</v>
      </c>
      <c r="J1138" s="71" t="n">
        <f aca="false">IF(OR('Loan Tape'!$AN225=0,'Loan Tape'!$Z225="Interest Only",'Loan Tape'!$Z225=""),0,MIN(MAX(0,J229-J835),IFERROR(MAX(0,MIN(8,'Loan Tape'!$AV225)-MAX(7,'Loan Tape'!$AT225))*IF(J532&lt;=0,J229/MAX(1,'Loan Tape'!$AU225-8+1),J532*J229/(1-(1+J532)^(-MAX(1,'Loan Tape'!$AU225-8+1)))-J532*J229),0)))</f>
        <v>0</v>
      </c>
      <c r="K1138" s="71" t="n">
        <f aca="false">IF(OR('Loan Tape'!$AN225=0,'Loan Tape'!$Z225="Interest Only",'Loan Tape'!$Z225=""),0,MIN(MAX(0,K229-K835),IFERROR(MAX(0,MIN(9,'Loan Tape'!$AV225)-MAX(8,'Loan Tape'!$AT225))*IF(K532&lt;=0,K229/MAX(1,'Loan Tape'!$AU225-9+1),K532*K229/(1-(1+K532)^(-MAX(1,'Loan Tape'!$AU225-9+1)))-K532*K229),0)))</f>
        <v>0</v>
      </c>
      <c r="L1138" s="71" t="n">
        <f aca="false">IF(OR('Loan Tape'!$AN225=0,'Loan Tape'!$Z225="Interest Only",'Loan Tape'!$Z225=""),0,MIN(MAX(0,L229-L835),IFERROR(MAX(0,MIN(10,'Loan Tape'!$AV225)-MAX(9,'Loan Tape'!$AT225))*IF(L532&lt;=0,L229/MAX(1,'Loan Tape'!$AU225-10+1),L532*L229/(1-(1+L532)^(-MAX(1,'Loan Tape'!$AU225-10+1)))-L532*L229),0)))</f>
        <v>0</v>
      </c>
    </row>
    <row r="1139" customFormat="false" ht="15" hidden="false" customHeight="false" outlineLevel="0" collapsed="false">
      <c r="B1139" s="102" t="n">
        <f aca="false">'Loan Tape'!$A226</f>
        <v>0</v>
      </c>
      <c r="C1139" s="99" t="n">
        <f aca="false">IF(OR('Loan Tape'!$AN226=0,'Loan Tape'!$Z226="Interest Only",'Loan Tape'!$Z226=""),0,MIN(MAX(0,C230-C836),IFERROR(MAX(0,MIN(1,'Loan Tape'!$AV226)-MAX(0,'Loan Tape'!$AT226))*IF(C533&lt;=0,C230/MAX(1,'Loan Tape'!$AU226-1+1),C533*C230/(1-(1+C533)^(-MAX(1,'Loan Tape'!$AU226-1+1)))-C533*C230),0)))</f>
        <v>0</v>
      </c>
      <c r="D1139" s="99" t="n">
        <f aca="false">IF(OR('Loan Tape'!$AN226=0,'Loan Tape'!$Z226="Interest Only",'Loan Tape'!$Z226=""),0,MIN(MAX(0,D230-D836),IFERROR(MAX(0,MIN(2,'Loan Tape'!$AV226)-MAX(1,'Loan Tape'!$AT226))*IF(D533&lt;=0,D230/MAX(1,'Loan Tape'!$AU226-2+1),D533*D230/(1-(1+D533)^(-MAX(1,'Loan Tape'!$AU226-2+1)))-D533*D230),0)))</f>
        <v>0</v>
      </c>
      <c r="E1139" s="99" t="n">
        <f aca="false">IF(OR('Loan Tape'!$AN226=0,'Loan Tape'!$Z226="Interest Only",'Loan Tape'!$Z226=""),0,MIN(MAX(0,E230-E836),IFERROR(MAX(0,MIN(3,'Loan Tape'!$AV226)-MAX(2,'Loan Tape'!$AT226))*IF(E533&lt;=0,E230/MAX(1,'Loan Tape'!$AU226-3+1),E533*E230/(1-(1+E533)^(-MAX(1,'Loan Tape'!$AU226-3+1)))-E533*E230),0)))</f>
        <v>0</v>
      </c>
      <c r="F1139" s="99" t="n">
        <f aca="false">IF(OR('Loan Tape'!$AN226=0,'Loan Tape'!$Z226="Interest Only",'Loan Tape'!$Z226=""),0,MIN(MAX(0,F230-F836),IFERROR(MAX(0,MIN(4,'Loan Tape'!$AV226)-MAX(3,'Loan Tape'!$AT226))*IF(F533&lt;=0,F230/MAX(1,'Loan Tape'!$AU226-4+1),F533*F230/(1-(1+F533)^(-MAX(1,'Loan Tape'!$AU226-4+1)))-F533*F230),0)))</f>
        <v>0</v>
      </c>
      <c r="G1139" s="99" t="n">
        <f aca="false">IF(OR('Loan Tape'!$AN226=0,'Loan Tape'!$Z226="Interest Only",'Loan Tape'!$Z226=""),0,MIN(MAX(0,G230-G836),IFERROR(MAX(0,MIN(5,'Loan Tape'!$AV226)-MAX(4,'Loan Tape'!$AT226))*IF(G533&lt;=0,G230/MAX(1,'Loan Tape'!$AU226-5+1),G533*G230/(1-(1+G533)^(-MAX(1,'Loan Tape'!$AU226-5+1)))-G533*G230),0)))</f>
        <v>0</v>
      </c>
      <c r="H1139" s="99" t="n">
        <f aca="false">IF(OR('Loan Tape'!$AN226=0,'Loan Tape'!$Z226="Interest Only",'Loan Tape'!$Z226=""),0,MIN(MAX(0,H230-H836),IFERROR(MAX(0,MIN(6,'Loan Tape'!$AV226)-MAX(5,'Loan Tape'!$AT226))*IF(H533&lt;=0,H230/MAX(1,'Loan Tape'!$AU226-6+1),H533*H230/(1-(1+H533)^(-MAX(1,'Loan Tape'!$AU226-6+1)))-H533*H230),0)))</f>
        <v>0</v>
      </c>
      <c r="I1139" s="99" t="n">
        <f aca="false">IF(OR('Loan Tape'!$AN226=0,'Loan Tape'!$Z226="Interest Only",'Loan Tape'!$Z226=""),0,MIN(MAX(0,I230-I836),IFERROR(MAX(0,MIN(7,'Loan Tape'!$AV226)-MAX(6,'Loan Tape'!$AT226))*IF(I533&lt;=0,I230/MAX(1,'Loan Tape'!$AU226-7+1),I533*I230/(1-(1+I533)^(-MAX(1,'Loan Tape'!$AU226-7+1)))-I533*I230),0)))</f>
        <v>0</v>
      </c>
      <c r="J1139" s="99" t="n">
        <f aca="false">IF(OR('Loan Tape'!$AN226=0,'Loan Tape'!$Z226="Interest Only",'Loan Tape'!$Z226=""),0,MIN(MAX(0,J230-J836),IFERROR(MAX(0,MIN(8,'Loan Tape'!$AV226)-MAX(7,'Loan Tape'!$AT226))*IF(J533&lt;=0,J230/MAX(1,'Loan Tape'!$AU226-8+1),J533*J230/(1-(1+J533)^(-MAX(1,'Loan Tape'!$AU226-8+1)))-J533*J230),0)))</f>
        <v>0</v>
      </c>
      <c r="K1139" s="99" t="n">
        <f aca="false">IF(OR('Loan Tape'!$AN226=0,'Loan Tape'!$Z226="Interest Only",'Loan Tape'!$Z226=""),0,MIN(MAX(0,K230-K836),IFERROR(MAX(0,MIN(9,'Loan Tape'!$AV226)-MAX(8,'Loan Tape'!$AT226))*IF(K533&lt;=0,K230/MAX(1,'Loan Tape'!$AU226-9+1),K533*K230/(1-(1+K533)^(-MAX(1,'Loan Tape'!$AU226-9+1)))-K533*K230),0)))</f>
        <v>0</v>
      </c>
      <c r="L1139" s="99" t="n">
        <f aca="false">IF(OR('Loan Tape'!$AN226=0,'Loan Tape'!$Z226="Interest Only",'Loan Tape'!$Z226=""),0,MIN(MAX(0,L230-L836),IFERROR(MAX(0,MIN(10,'Loan Tape'!$AV226)-MAX(9,'Loan Tape'!$AT226))*IF(L533&lt;=0,L230/MAX(1,'Loan Tape'!$AU226-10+1),L533*L230/(1-(1+L533)^(-MAX(1,'Loan Tape'!$AU226-10+1)))-L533*L230),0)))</f>
        <v>0</v>
      </c>
    </row>
    <row r="1140" customFormat="false" ht="15" hidden="false" customHeight="false" outlineLevel="0" collapsed="false">
      <c r="B1140" s="108" t="n">
        <f aca="false">'Loan Tape'!$A227</f>
        <v>0</v>
      </c>
      <c r="C1140" s="71" t="n">
        <f aca="false">IF(OR('Loan Tape'!$AN227=0,'Loan Tape'!$Z227="Interest Only",'Loan Tape'!$Z227=""),0,MIN(MAX(0,C231-C837),IFERROR(MAX(0,MIN(1,'Loan Tape'!$AV227)-MAX(0,'Loan Tape'!$AT227))*IF(C534&lt;=0,C231/MAX(1,'Loan Tape'!$AU227-1+1),C534*C231/(1-(1+C534)^(-MAX(1,'Loan Tape'!$AU227-1+1)))-C534*C231),0)))</f>
        <v>0</v>
      </c>
      <c r="D1140" s="71" t="n">
        <f aca="false">IF(OR('Loan Tape'!$AN227=0,'Loan Tape'!$Z227="Interest Only",'Loan Tape'!$Z227=""),0,MIN(MAX(0,D231-D837),IFERROR(MAX(0,MIN(2,'Loan Tape'!$AV227)-MAX(1,'Loan Tape'!$AT227))*IF(D534&lt;=0,D231/MAX(1,'Loan Tape'!$AU227-2+1),D534*D231/(1-(1+D534)^(-MAX(1,'Loan Tape'!$AU227-2+1)))-D534*D231),0)))</f>
        <v>0</v>
      </c>
      <c r="E1140" s="71" t="n">
        <f aca="false">IF(OR('Loan Tape'!$AN227=0,'Loan Tape'!$Z227="Interest Only",'Loan Tape'!$Z227=""),0,MIN(MAX(0,E231-E837),IFERROR(MAX(0,MIN(3,'Loan Tape'!$AV227)-MAX(2,'Loan Tape'!$AT227))*IF(E534&lt;=0,E231/MAX(1,'Loan Tape'!$AU227-3+1),E534*E231/(1-(1+E534)^(-MAX(1,'Loan Tape'!$AU227-3+1)))-E534*E231),0)))</f>
        <v>0</v>
      </c>
      <c r="F1140" s="71" t="n">
        <f aca="false">IF(OR('Loan Tape'!$AN227=0,'Loan Tape'!$Z227="Interest Only",'Loan Tape'!$Z227=""),0,MIN(MAX(0,F231-F837),IFERROR(MAX(0,MIN(4,'Loan Tape'!$AV227)-MAX(3,'Loan Tape'!$AT227))*IF(F534&lt;=0,F231/MAX(1,'Loan Tape'!$AU227-4+1),F534*F231/(1-(1+F534)^(-MAX(1,'Loan Tape'!$AU227-4+1)))-F534*F231),0)))</f>
        <v>0</v>
      </c>
      <c r="G1140" s="71" t="n">
        <f aca="false">IF(OR('Loan Tape'!$AN227=0,'Loan Tape'!$Z227="Interest Only",'Loan Tape'!$Z227=""),0,MIN(MAX(0,G231-G837),IFERROR(MAX(0,MIN(5,'Loan Tape'!$AV227)-MAX(4,'Loan Tape'!$AT227))*IF(G534&lt;=0,G231/MAX(1,'Loan Tape'!$AU227-5+1),G534*G231/(1-(1+G534)^(-MAX(1,'Loan Tape'!$AU227-5+1)))-G534*G231),0)))</f>
        <v>0</v>
      </c>
      <c r="H1140" s="71" t="n">
        <f aca="false">IF(OR('Loan Tape'!$AN227=0,'Loan Tape'!$Z227="Interest Only",'Loan Tape'!$Z227=""),0,MIN(MAX(0,H231-H837),IFERROR(MAX(0,MIN(6,'Loan Tape'!$AV227)-MAX(5,'Loan Tape'!$AT227))*IF(H534&lt;=0,H231/MAX(1,'Loan Tape'!$AU227-6+1),H534*H231/(1-(1+H534)^(-MAX(1,'Loan Tape'!$AU227-6+1)))-H534*H231),0)))</f>
        <v>0</v>
      </c>
      <c r="I1140" s="71" t="n">
        <f aca="false">IF(OR('Loan Tape'!$AN227=0,'Loan Tape'!$Z227="Interest Only",'Loan Tape'!$Z227=""),0,MIN(MAX(0,I231-I837),IFERROR(MAX(0,MIN(7,'Loan Tape'!$AV227)-MAX(6,'Loan Tape'!$AT227))*IF(I534&lt;=0,I231/MAX(1,'Loan Tape'!$AU227-7+1),I534*I231/(1-(1+I534)^(-MAX(1,'Loan Tape'!$AU227-7+1)))-I534*I231),0)))</f>
        <v>0</v>
      </c>
      <c r="J1140" s="71" t="n">
        <f aca="false">IF(OR('Loan Tape'!$AN227=0,'Loan Tape'!$Z227="Interest Only",'Loan Tape'!$Z227=""),0,MIN(MAX(0,J231-J837),IFERROR(MAX(0,MIN(8,'Loan Tape'!$AV227)-MAX(7,'Loan Tape'!$AT227))*IF(J534&lt;=0,J231/MAX(1,'Loan Tape'!$AU227-8+1),J534*J231/(1-(1+J534)^(-MAX(1,'Loan Tape'!$AU227-8+1)))-J534*J231),0)))</f>
        <v>0</v>
      </c>
      <c r="K1140" s="71" t="n">
        <f aca="false">IF(OR('Loan Tape'!$AN227=0,'Loan Tape'!$Z227="Interest Only",'Loan Tape'!$Z227=""),0,MIN(MAX(0,K231-K837),IFERROR(MAX(0,MIN(9,'Loan Tape'!$AV227)-MAX(8,'Loan Tape'!$AT227))*IF(K534&lt;=0,K231/MAX(1,'Loan Tape'!$AU227-9+1),K534*K231/(1-(1+K534)^(-MAX(1,'Loan Tape'!$AU227-9+1)))-K534*K231),0)))</f>
        <v>0</v>
      </c>
      <c r="L1140" s="71" t="n">
        <f aca="false">IF(OR('Loan Tape'!$AN227=0,'Loan Tape'!$Z227="Interest Only",'Loan Tape'!$Z227=""),0,MIN(MAX(0,L231-L837),IFERROR(MAX(0,MIN(10,'Loan Tape'!$AV227)-MAX(9,'Loan Tape'!$AT227))*IF(L534&lt;=0,L231/MAX(1,'Loan Tape'!$AU227-10+1),L534*L231/(1-(1+L534)^(-MAX(1,'Loan Tape'!$AU227-10+1)))-L534*L231),0)))</f>
        <v>0</v>
      </c>
    </row>
    <row r="1141" customFormat="false" ht="15" hidden="false" customHeight="false" outlineLevel="0" collapsed="false">
      <c r="B1141" s="102" t="n">
        <f aca="false">'Loan Tape'!$A228</f>
        <v>0</v>
      </c>
      <c r="C1141" s="99" t="n">
        <f aca="false">IF(OR('Loan Tape'!$AN228=0,'Loan Tape'!$Z228="Interest Only",'Loan Tape'!$Z228=""),0,MIN(MAX(0,C232-C838),IFERROR(MAX(0,MIN(1,'Loan Tape'!$AV228)-MAX(0,'Loan Tape'!$AT228))*IF(C535&lt;=0,C232/MAX(1,'Loan Tape'!$AU228-1+1),C535*C232/(1-(1+C535)^(-MAX(1,'Loan Tape'!$AU228-1+1)))-C535*C232),0)))</f>
        <v>0</v>
      </c>
      <c r="D1141" s="99" t="n">
        <f aca="false">IF(OR('Loan Tape'!$AN228=0,'Loan Tape'!$Z228="Interest Only",'Loan Tape'!$Z228=""),0,MIN(MAX(0,D232-D838),IFERROR(MAX(0,MIN(2,'Loan Tape'!$AV228)-MAX(1,'Loan Tape'!$AT228))*IF(D535&lt;=0,D232/MAX(1,'Loan Tape'!$AU228-2+1),D535*D232/(1-(1+D535)^(-MAX(1,'Loan Tape'!$AU228-2+1)))-D535*D232),0)))</f>
        <v>0</v>
      </c>
      <c r="E1141" s="99" t="n">
        <f aca="false">IF(OR('Loan Tape'!$AN228=0,'Loan Tape'!$Z228="Interest Only",'Loan Tape'!$Z228=""),0,MIN(MAX(0,E232-E838),IFERROR(MAX(0,MIN(3,'Loan Tape'!$AV228)-MAX(2,'Loan Tape'!$AT228))*IF(E535&lt;=0,E232/MAX(1,'Loan Tape'!$AU228-3+1),E535*E232/(1-(1+E535)^(-MAX(1,'Loan Tape'!$AU228-3+1)))-E535*E232),0)))</f>
        <v>0</v>
      </c>
      <c r="F1141" s="99" t="n">
        <f aca="false">IF(OR('Loan Tape'!$AN228=0,'Loan Tape'!$Z228="Interest Only",'Loan Tape'!$Z228=""),0,MIN(MAX(0,F232-F838),IFERROR(MAX(0,MIN(4,'Loan Tape'!$AV228)-MAX(3,'Loan Tape'!$AT228))*IF(F535&lt;=0,F232/MAX(1,'Loan Tape'!$AU228-4+1),F535*F232/(1-(1+F535)^(-MAX(1,'Loan Tape'!$AU228-4+1)))-F535*F232),0)))</f>
        <v>0</v>
      </c>
      <c r="G1141" s="99" t="n">
        <f aca="false">IF(OR('Loan Tape'!$AN228=0,'Loan Tape'!$Z228="Interest Only",'Loan Tape'!$Z228=""),0,MIN(MAX(0,G232-G838),IFERROR(MAX(0,MIN(5,'Loan Tape'!$AV228)-MAX(4,'Loan Tape'!$AT228))*IF(G535&lt;=0,G232/MAX(1,'Loan Tape'!$AU228-5+1),G535*G232/(1-(1+G535)^(-MAX(1,'Loan Tape'!$AU228-5+1)))-G535*G232),0)))</f>
        <v>0</v>
      </c>
      <c r="H1141" s="99" t="n">
        <f aca="false">IF(OR('Loan Tape'!$AN228=0,'Loan Tape'!$Z228="Interest Only",'Loan Tape'!$Z228=""),0,MIN(MAX(0,H232-H838),IFERROR(MAX(0,MIN(6,'Loan Tape'!$AV228)-MAX(5,'Loan Tape'!$AT228))*IF(H535&lt;=0,H232/MAX(1,'Loan Tape'!$AU228-6+1),H535*H232/(1-(1+H535)^(-MAX(1,'Loan Tape'!$AU228-6+1)))-H535*H232),0)))</f>
        <v>0</v>
      </c>
      <c r="I1141" s="99" t="n">
        <f aca="false">IF(OR('Loan Tape'!$AN228=0,'Loan Tape'!$Z228="Interest Only",'Loan Tape'!$Z228=""),0,MIN(MAX(0,I232-I838),IFERROR(MAX(0,MIN(7,'Loan Tape'!$AV228)-MAX(6,'Loan Tape'!$AT228))*IF(I535&lt;=0,I232/MAX(1,'Loan Tape'!$AU228-7+1),I535*I232/(1-(1+I535)^(-MAX(1,'Loan Tape'!$AU228-7+1)))-I535*I232),0)))</f>
        <v>0</v>
      </c>
      <c r="J1141" s="99" t="n">
        <f aca="false">IF(OR('Loan Tape'!$AN228=0,'Loan Tape'!$Z228="Interest Only",'Loan Tape'!$Z228=""),0,MIN(MAX(0,J232-J838),IFERROR(MAX(0,MIN(8,'Loan Tape'!$AV228)-MAX(7,'Loan Tape'!$AT228))*IF(J535&lt;=0,J232/MAX(1,'Loan Tape'!$AU228-8+1),J535*J232/(1-(1+J535)^(-MAX(1,'Loan Tape'!$AU228-8+1)))-J535*J232),0)))</f>
        <v>0</v>
      </c>
      <c r="K1141" s="99" t="n">
        <f aca="false">IF(OR('Loan Tape'!$AN228=0,'Loan Tape'!$Z228="Interest Only",'Loan Tape'!$Z228=""),0,MIN(MAX(0,K232-K838),IFERROR(MAX(0,MIN(9,'Loan Tape'!$AV228)-MAX(8,'Loan Tape'!$AT228))*IF(K535&lt;=0,K232/MAX(1,'Loan Tape'!$AU228-9+1),K535*K232/(1-(1+K535)^(-MAX(1,'Loan Tape'!$AU228-9+1)))-K535*K232),0)))</f>
        <v>0</v>
      </c>
      <c r="L1141" s="99" t="n">
        <f aca="false">IF(OR('Loan Tape'!$AN228=0,'Loan Tape'!$Z228="Interest Only",'Loan Tape'!$Z228=""),0,MIN(MAX(0,L232-L838),IFERROR(MAX(0,MIN(10,'Loan Tape'!$AV228)-MAX(9,'Loan Tape'!$AT228))*IF(L535&lt;=0,L232/MAX(1,'Loan Tape'!$AU228-10+1),L535*L232/(1-(1+L535)^(-MAX(1,'Loan Tape'!$AU228-10+1)))-L535*L232),0)))</f>
        <v>0</v>
      </c>
    </row>
    <row r="1142" customFormat="false" ht="15" hidden="false" customHeight="false" outlineLevel="0" collapsed="false">
      <c r="B1142" s="108" t="n">
        <f aca="false">'Loan Tape'!$A229</f>
        <v>0</v>
      </c>
      <c r="C1142" s="71" t="n">
        <f aca="false">IF(OR('Loan Tape'!$AN229=0,'Loan Tape'!$Z229="Interest Only",'Loan Tape'!$Z229=""),0,MIN(MAX(0,C233-C839),IFERROR(MAX(0,MIN(1,'Loan Tape'!$AV229)-MAX(0,'Loan Tape'!$AT229))*IF(C536&lt;=0,C233/MAX(1,'Loan Tape'!$AU229-1+1),C536*C233/(1-(1+C536)^(-MAX(1,'Loan Tape'!$AU229-1+1)))-C536*C233),0)))</f>
        <v>0</v>
      </c>
      <c r="D1142" s="71" t="n">
        <f aca="false">IF(OR('Loan Tape'!$AN229=0,'Loan Tape'!$Z229="Interest Only",'Loan Tape'!$Z229=""),0,MIN(MAX(0,D233-D839),IFERROR(MAX(0,MIN(2,'Loan Tape'!$AV229)-MAX(1,'Loan Tape'!$AT229))*IF(D536&lt;=0,D233/MAX(1,'Loan Tape'!$AU229-2+1),D536*D233/(1-(1+D536)^(-MAX(1,'Loan Tape'!$AU229-2+1)))-D536*D233),0)))</f>
        <v>0</v>
      </c>
      <c r="E1142" s="71" t="n">
        <f aca="false">IF(OR('Loan Tape'!$AN229=0,'Loan Tape'!$Z229="Interest Only",'Loan Tape'!$Z229=""),0,MIN(MAX(0,E233-E839),IFERROR(MAX(0,MIN(3,'Loan Tape'!$AV229)-MAX(2,'Loan Tape'!$AT229))*IF(E536&lt;=0,E233/MAX(1,'Loan Tape'!$AU229-3+1),E536*E233/(1-(1+E536)^(-MAX(1,'Loan Tape'!$AU229-3+1)))-E536*E233),0)))</f>
        <v>0</v>
      </c>
      <c r="F1142" s="71" t="n">
        <f aca="false">IF(OR('Loan Tape'!$AN229=0,'Loan Tape'!$Z229="Interest Only",'Loan Tape'!$Z229=""),0,MIN(MAX(0,F233-F839),IFERROR(MAX(0,MIN(4,'Loan Tape'!$AV229)-MAX(3,'Loan Tape'!$AT229))*IF(F536&lt;=0,F233/MAX(1,'Loan Tape'!$AU229-4+1),F536*F233/(1-(1+F536)^(-MAX(1,'Loan Tape'!$AU229-4+1)))-F536*F233),0)))</f>
        <v>0</v>
      </c>
      <c r="G1142" s="71" t="n">
        <f aca="false">IF(OR('Loan Tape'!$AN229=0,'Loan Tape'!$Z229="Interest Only",'Loan Tape'!$Z229=""),0,MIN(MAX(0,G233-G839),IFERROR(MAX(0,MIN(5,'Loan Tape'!$AV229)-MAX(4,'Loan Tape'!$AT229))*IF(G536&lt;=0,G233/MAX(1,'Loan Tape'!$AU229-5+1),G536*G233/(1-(1+G536)^(-MAX(1,'Loan Tape'!$AU229-5+1)))-G536*G233),0)))</f>
        <v>0</v>
      </c>
      <c r="H1142" s="71" t="n">
        <f aca="false">IF(OR('Loan Tape'!$AN229=0,'Loan Tape'!$Z229="Interest Only",'Loan Tape'!$Z229=""),0,MIN(MAX(0,H233-H839),IFERROR(MAX(0,MIN(6,'Loan Tape'!$AV229)-MAX(5,'Loan Tape'!$AT229))*IF(H536&lt;=0,H233/MAX(1,'Loan Tape'!$AU229-6+1),H536*H233/(1-(1+H536)^(-MAX(1,'Loan Tape'!$AU229-6+1)))-H536*H233),0)))</f>
        <v>0</v>
      </c>
      <c r="I1142" s="71" t="n">
        <f aca="false">IF(OR('Loan Tape'!$AN229=0,'Loan Tape'!$Z229="Interest Only",'Loan Tape'!$Z229=""),0,MIN(MAX(0,I233-I839),IFERROR(MAX(0,MIN(7,'Loan Tape'!$AV229)-MAX(6,'Loan Tape'!$AT229))*IF(I536&lt;=0,I233/MAX(1,'Loan Tape'!$AU229-7+1),I536*I233/(1-(1+I536)^(-MAX(1,'Loan Tape'!$AU229-7+1)))-I536*I233),0)))</f>
        <v>0</v>
      </c>
      <c r="J1142" s="71" t="n">
        <f aca="false">IF(OR('Loan Tape'!$AN229=0,'Loan Tape'!$Z229="Interest Only",'Loan Tape'!$Z229=""),0,MIN(MAX(0,J233-J839),IFERROR(MAX(0,MIN(8,'Loan Tape'!$AV229)-MAX(7,'Loan Tape'!$AT229))*IF(J536&lt;=0,J233/MAX(1,'Loan Tape'!$AU229-8+1),J536*J233/(1-(1+J536)^(-MAX(1,'Loan Tape'!$AU229-8+1)))-J536*J233),0)))</f>
        <v>0</v>
      </c>
      <c r="K1142" s="71" t="n">
        <f aca="false">IF(OR('Loan Tape'!$AN229=0,'Loan Tape'!$Z229="Interest Only",'Loan Tape'!$Z229=""),0,MIN(MAX(0,K233-K839),IFERROR(MAX(0,MIN(9,'Loan Tape'!$AV229)-MAX(8,'Loan Tape'!$AT229))*IF(K536&lt;=0,K233/MAX(1,'Loan Tape'!$AU229-9+1),K536*K233/(1-(1+K536)^(-MAX(1,'Loan Tape'!$AU229-9+1)))-K536*K233),0)))</f>
        <v>0</v>
      </c>
      <c r="L1142" s="71" t="n">
        <f aca="false">IF(OR('Loan Tape'!$AN229=0,'Loan Tape'!$Z229="Interest Only",'Loan Tape'!$Z229=""),0,MIN(MAX(0,L233-L839),IFERROR(MAX(0,MIN(10,'Loan Tape'!$AV229)-MAX(9,'Loan Tape'!$AT229))*IF(L536&lt;=0,L233/MAX(1,'Loan Tape'!$AU229-10+1),L536*L233/(1-(1+L536)^(-MAX(1,'Loan Tape'!$AU229-10+1)))-L536*L233),0)))</f>
        <v>0</v>
      </c>
    </row>
    <row r="1143" customFormat="false" ht="15" hidden="false" customHeight="false" outlineLevel="0" collapsed="false">
      <c r="B1143" s="102" t="n">
        <f aca="false">'Loan Tape'!$A230</f>
        <v>0</v>
      </c>
      <c r="C1143" s="99" t="n">
        <f aca="false">IF(OR('Loan Tape'!$AN230=0,'Loan Tape'!$Z230="Interest Only",'Loan Tape'!$Z230=""),0,MIN(MAX(0,C234-C840),IFERROR(MAX(0,MIN(1,'Loan Tape'!$AV230)-MAX(0,'Loan Tape'!$AT230))*IF(C537&lt;=0,C234/MAX(1,'Loan Tape'!$AU230-1+1),C537*C234/(1-(1+C537)^(-MAX(1,'Loan Tape'!$AU230-1+1)))-C537*C234),0)))</f>
        <v>0</v>
      </c>
      <c r="D1143" s="99" t="n">
        <f aca="false">IF(OR('Loan Tape'!$AN230=0,'Loan Tape'!$Z230="Interest Only",'Loan Tape'!$Z230=""),0,MIN(MAX(0,D234-D840),IFERROR(MAX(0,MIN(2,'Loan Tape'!$AV230)-MAX(1,'Loan Tape'!$AT230))*IF(D537&lt;=0,D234/MAX(1,'Loan Tape'!$AU230-2+1),D537*D234/(1-(1+D537)^(-MAX(1,'Loan Tape'!$AU230-2+1)))-D537*D234),0)))</f>
        <v>0</v>
      </c>
      <c r="E1143" s="99" t="n">
        <f aca="false">IF(OR('Loan Tape'!$AN230=0,'Loan Tape'!$Z230="Interest Only",'Loan Tape'!$Z230=""),0,MIN(MAX(0,E234-E840),IFERROR(MAX(0,MIN(3,'Loan Tape'!$AV230)-MAX(2,'Loan Tape'!$AT230))*IF(E537&lt;=0,E234/MAX(1,'Loan Tape'!$AU230-3+1),E537*E234/(1-(1+E537)^(-MAX(1,'Loan Tape'!$AU230-3+1)))-E537*E234),0)))</f>
        <v>0</v>
      </c>
      <c r="F1143" s="99" t="n">
        <f aca="false">IF(OR('Loan Tape'!$AN230=0,'Loan Tape'!$Z230="Interest Only",'Loan Tape'!$Z230=""),0,MIN(MAX(0,F234-F840),IFERROR(MAX(0,MIN(4,'Loan Tape'!$AV230)-MAX(3,'Loan Tape'!$AT230))*IF(F537&lt;=0,F234/MAX(1,'Loan Tape'!$AU230-4+1),F537*F234/(1-(1+F537)^(-MAX(1,'Loan Tape'!$AU230-4+1)))-F537*F234),0)))</f>
        <v>0</v>
      </c>
      <c r="G1143" s="99" t="n">
        <f aca="false">IF(OR('Loan Tape'!$AN230=0,'Loan Tape'!$Z230="Interest Only",'Loan Tape'!$Z230=""),0,MIN(MAX(0,G234-G840),IFERROR(MAX(0,MIN(5,'Loan Tape'!$AV230)-MAX(4,'Loan Tape'!$AT230))*IF(G537&lt;=0,G234/MAX(1,'Loan Tape'!$AU230-5+1),G537*G234/(1-(1+G537)^(-MAX(1,'Loan Tape'!$AU230-5+1)))-G537*G234),0)))</f>
        <v>0</v>
      </c>
      <c r="H1143" s="99" t="n">
        <f aca="false">IF(OR('Loan Tape'!$AN230=0,'Loan Tape'!$Z230="Interest Only",'Loan Tape'!$Z230=""),0,MIN(MAX(0,H234-H840),IFERROR(MAX(0,MIN(6,'Loan Tape'!$AV230)-MAX(5,'Loan Tape'!$AT230))*IF(H537&lt;=0,H234/MAX(1,'Loan Tape'!$AU230-6+1),H537*H234/(1-(1+H537)^(-MAX(1,'Loan Tape'!$AU230-6+1)))-H537*H234),0)))</f>
        <v>0</v>
      </c>
      <c r="I1143" s="99" t="n">
        <f aca="false">IF(OR('Loan Tape'!$AN230=0,'Loan Tape'!$Z230="Interest Only",'Loan Tape'!$Z230=""),0,MIN(MAX(0,I234-I840),IFERROR(MAX(0,MIN(7,'Loan Tape'!$AV230)-MAX(6,'Loan Tape'!$AT230))*IF(I537&lt;=0,I234/MAX(1,'Loan Tape'!$AU230-7+1),I537*I234/(1-(1+I537)^(-MAX(1,'Loan Tape'!$AU230-7+1)))-I537*I234),0)))</f>
        <v>0</v>
      </c>
      <c r="J1143" s="99" t="n">
        <f aca="false">IF(OR('Loan Tape'!$AN230=0,'Loan Tape'!$Z230="Interest Only",'Loan Tape'!$Z230=""),0,MIN(MAX(0,J234-J840),IFERROR(MAX(0,MIN(8,'Loan Tape'!$AV230)-MAX(7,'Loan Tape'!$AT230))*IF(J537&lt;=0,J234/MAX(1,'Loan Tape'!$AU230-8+1),J537*J234/(1-(1+J537)^(-MAX(1,'Loan Tape'!$AU230-8+1)))-J537*J234),0)))</f>
        <v>0</v>
      </c>
      <c r="K1143" s="99" t="n">
        <f aca="false">IF(OR('Loan Tape'!$AN230=0,'Loan Tape'!$Z230="Interest Only",'Loan Tape'!$Z230=""),0,MIN(MAX(0,K234-K840),IFERROR(MAX(0,MIN(9,'Loan Tape'!$AV230)-MAX(8,'Loan Tape'!$AT230))*IF(K537&lt;=0,K234/MAX(1,'Loan Tape'!$AU230-9+1),K537*K234/(1-(1+K537)^(-MAX(1,'Loan Tape'!$AU230-9+1)))-K537*K234),0)))</f>
        <v>0</v>
      </c>
      <c r="L1143" s="99" t="n">
        <f aca="false">IF(OR('Loan Tape'!$AN230=0,'Loan Tape'!$Z230="Interest Only",'Loan Tape'!$Z230=""),0,MIN(MAX(0,L234-L840),IFERROR(MAX(0,MIN(10,'Loan Tape'!$AV230)-MAX(9,'Loan Tape'!$AT230))*IF(L537&lt;=0,L234/MAX(1,'Loan Tape'!$AU230-10+1),L537*L234/(1-(1+L537)^(-MAX(1,'Loan Tape'!$AU230-10+1)))-L537*L234),0)))</f>
        <v>0</v>
      </c>
    </row>
    <row r="1144" customFormat="false" ht="15" hidden="false" customHeight="false" outlineLevel="0" collapsed="false">
      <c r="B1144" s="108" t="n">
        <f aca="false">'Loan Tape'!$A231</f>
        <v>0</v>
      </c>
      <c r="C1144" s="71" t="n">
        <f aca="false">IF(OR('Loan Tape'!$AN231=0,'Loan Tape'!$Z231="Interest Only",'Loan Tape'!$Z231=""),0,MIN(MAX(0,C235-C841),IFERROR(MAX(0,MIN(1,'Loan Tape'!$AV231)-MAX(0,'Loan Tape'!$AT231))*IF(C538&lt;=0,C235/MAX(1,'Loan Tape'!$AU231-1+1),C538*C235/(1-(1+C538)^(-MAX(1,'Loan Tape'!$AU231-1+1)))-C538*C235),0)))</f>
        <v>0</v>
      </c>
      <c r="D1144" s="71" t="n">
        <f aca="false">IF(OR('Loan Tape'!$AN231=0,'Loan Tape'!$Z231="Interest Only",'Loan Tape'!$Z231=""),0,MIN(MAX(0,D235-D841),IFERROR(MAX(0,MIN(2,'Loan Tape'!$AV231)-MAX(1,'Loan Tape'!$AT231))*IF(D538&lt;=0,D235/MAX(1,'Loan Tape'!$AU231-2+1),D538*D235/(1-(1+D538)^(-MAX(1,'Loan Tape'!$AU231-2+1)))-D538*D235),0)))</f>
        <v>0</v>
      </c>
      <c r="E1144" s="71" t="n">
        <f aca="false">IF(OR('Loan Tape'!$AN231=0,'Loan Tape'!$Z231="Interest Only",'Loan Tape'!$Z231=""),0,MIN(MAX(0,E235-E841),IFERROR(MAX(0,MIN(3,'Loan Tape'!$AV231)-MAX(2,'Loan Tape'!$AT231))*IF(E538&lt;=0,E235/MAX(1,'Loan Tape'!$AU231-3+1),E538*E235/(1-(1+E538)^(-MAX(1,'Loan Tape'!$AU231-3+1)))-E538*E235),0)))</f>
        <v>0</v>
      </c>
      <c r="F1144" s="71" t="n">
        <f aca="false">IF(OR('Loan Tape'!$AN231=0,'Loan Tape'!$Z231="Interest Only",'Loan Tape'!$Z231=""),0,MIN(MAX(0,F235-F841),IFERROR(MAX(0,MIN(4,'Loan Tape'!$AV231)-MAX(3,'Loan Tape'!$AT231))*IF(F538&lt;=0,F235/MAX(1,'Loan Tape'!$AU231-4+1),F538*F235/(1-(1+F538)^(-MAX(1,'Loan Tape'!$AU231-4+1)))-F538*F235),0)))</f>
        <v>0</v>
      </c>
      <c r="G1144" s="71" t="n">
        <f aca="false">IF(OR('Loan Tape'!$AN231=0,'Loan Tape'!$Z231="Interest Only",'Loan Tape'!$Z231=""),0,MIN(MAX(0,G235-G841),IFERROR(MAX(0,MIN(5,'Loan Tape'!$AV231)-MAX(4,'Loan Tape'!$AT231))*IF(G538&lt;=0,G235/MAX(1,'Loan Tape'!$AU231-5+1),G538*G235/(1-(1+G538)^(-MAX(1,'Loan Tape'!$AU231-5+1)))-G538*G235),0)))</f>
        <v>0</v>
      </c>
      <c r="H1144" s="71" t="n">
        <f aca="false">IF(OR('Loan Tape'!$AN231=0,'Loan Tape'!$Z231="Interest Only",'Loan Tape'!$Z231=""),0,MIN(MAX(0,H235-H841),IFERROR(MAX(0,MIN(6,'Loan Tape'!$AV231)-MAX(5,'Loan Tape'!$AT231))*IF(H538&lt;=0,H235/MAX(1,'Loan Tape'!$AU231-6+1),H538*H235/(1-(1+H538)^(-MAX(1,'Loan Tape'!$AU231-6+1)))-H538*H235),0)))</f>
        <v>0</v>
      </c>
      <c r="I1144" s="71" t="n">
        <f aca="false">IF(OR('Loan Tape'!$AN231=0,'Loan Tape'!$Z231="Interest Only",'Loan Tape'!$Z231=""),0,MIN(MAX(0,I235-I841),IFERROR(MAX(0,MIN(7,'Loan Tape'!$AV231)-MAX(6,'Loan Tape'!$AT231))*IF(I538&lt;=0,I235/MAX(1,'Loan Tape'!$AU231-7+1),I538*I235/(1-(1+I538)^(-MAX(1,'Loan Tape'!$AU231-7+1)))-I538*I235),0)))</f>
        <v>0</v>
      </c>
      <c r="J1144" s="71" t="n">
        <f aca="false">IF(OR('Loan Tape'!$AN231=0,'Loan Tape'!$Z231="Interest Only",'Loan Tape'!$Z231=""),0,MIN(MAX(0,J235-J841),IFERROR(MAX(0,MIN(8,'Loan Tape'!$AV231)-MAX(7,'Loan Tape'!$AT231))*IF(J538&lt;=0,J235/MAX(1,'Loan Tape'!$AU231-8+1),J538*J235/(1-(1+J538)^(-MAX(1,'Loan Tape'!$AU231-8+1)))-J538*J235),0)))</f>
        <v>0</v>
      </c>
      <c r="K1144" s="71" t="n">
        <f aca="false">IF(OR('Loan Tape'!$AN231=0,'Loan Tape'!$Z231="Interest Only",'Loan Tape'!$Z231=""),0,MIN(MAX(0,K235-K841),IFERROR(MAX(0,MIN(9,'Loan Tape'!$AV231)-MAX(8,'Loan Tape'!$AT231))*IF(K538&lt;=0,K235/MAX(1,'Loan Tape'!$AU231-9+1),K538*K235/(1-(1+K538)^(-MAX(1,'Loan Tape'!$AU231-9+1)))-K538*K235),0)))</f>
        <v>0</v>
      </c>
      <c r="L1144" s="71" t="n">
        <f aca="false">IF(OR('Loan Tape'!$AN231=0,'Loan Tape'!$Z231="Interest Only",'Loan Tape'!$Z231=""),0,MIN(MAX(0,L235-L841),IFERROR(MAX(0,MIN(10,'Loan Tape'!$AV231)-MAX(9,'Loan Tape'!$AT231))*IF(L538&lt;=0,L235/MAX(1,'Loan Tape'!$AU231-10+1),L538*L235/(1-(1+L538)^(-MAX(1,'Loan Tape'!$AU231-10+1)))-L538*L235),0)))</f>
        <v>0</v>
      </c>
    </row>
    <row r="1145" customFormat="false" ht="15" hidden="false" customHeight="false" outlineLevel="0" collapsed="false">
      <c r="B1145" s="102" t="n">
        <f aca="false">'Loan Tape'!$A232</f>
        <v>0</v>
      </c>
      <c r="C1145" s="99" t="n">
        <f aca="false">IF(OR('Loan Tape'!$AN232=0,'Loan Tape'!$Z232="Interest Only",'Loan Tape'!$Z232=""),0,MIN(MAX(0,C236-C842),IFERROR(MAX(0,MIN(1,'Loan Tape'!$AV232)-MAX(0,'Loan Tape'!$AT232))*IF(C539&lt;=0,C236/MAX(1,'Loan Tape'!$AU232-1+1),C539*C236/(1-(1+C539)^(-MAX(1,'Loan Tape'!$AU232-1+1)))-C539*C236),0)))</f>
        <v>0</v>
      </c>
      <c r="D1145" s="99" t="n">
        <f aca="false">IF(OR('Loan Tape'!$AN232=0,'Loan Tape'!$Z232="Interest Only",'Loan Tape'!$Z232=""),0,MIN(MAX(0,D236-D842),IFERROR(MAX(0,MIN(2,'Loan Tape'!$AV232)-MAX(1,'Loan Tape'!$AT232))*IF(D539&lt;=0,D236/MAX(1,'Loan Tape'!$AU232-2+1),D539*D236/(1-(1+D539)^(-MAX(1,'Loan Tape'!$AU232-2+1)))-D539*D236),0)))</f>
        <v>0</v>
      </c>
      <c r="E1145" s="99" t="n">
        <f aca="false">IF(OR('Loan Tape'!$AN232=0,'Loan Tape'!$Z232="Interest Only",'Loan Tape'!$Z232=""),0,MIN(MAX(0,E236-E842),IFERROR(MAX(0,MIN(3,'Loan Tape'!$AV232)-MAX(2,'Loan Tape'!$AT232))*IF(E539&lt;=0,E236/MAX(1,'Loan Tape'!$AU232-3+1),E539*E236/(1-(1+E539)^(-MAX(1,'Loan Tape'!$AU232-3+1)))-E539*E236),0)))</f>
        <v>0</v>
      </c>
      <c r="F1145" s="99" t="n">
        <f aca="false">IF(OR('Loan Tape'!$AN232=0,'Loan Tape'!$Z232="Interest Only",'Loan Tape'!$Z232=""),0,MIN(MAX(0,F236-F842),IFERROR(MAX(0,MIN(4,'Loan Tape'!$AV232)-MAX(3,'Loan Tape'!$AT232))*IF(F539&lt;=0,F236/MAX(1,'Loan Tape'!$AU232-4+1),F539*F236/(1-(1+F539)^(-MAX(1,'Loan Tape'!$AU232-4+1)))-F539*F236),0)))</f>
        <v>0</v>
      </c>
      <c r="G1145" s="99" t="n">
        <f aca="false">IF(OR('Loan Tape'!$AN232=0,'Loan Tape'!$Z232="Interest Only",'Loan Tape'!$Z232=""),0,MIN(MAX(0,G236-G842),IFERROR(MAX(0,MIN(5,'Loan Tape'!$AV232)-MAX(4,'Loan Tape'!$AT232))*IF(G539&lt;=0,G236/MAX(1,'Loan Tape'!$AU232-5+1),G539*G236/(1-(1+G539)^(-MAX(1,'Loan Tape'!$AU232-5+1)))-G539*G236),0)))</f>
        <v>0</v>
      </c>
      <c r="H1145" s="99" t="n">
        <f aca="false">IF(OR('Loan Tape'!$AN232=0,'Loan Tape'!$Z232="Interest Only",'Loan Tape'!$Z232=""),0,MIN(MAX(0,H236-H842),IFERROR(MAX(0,MIN(6,'Loan Tape'!$AV232)-MAX(5,'Loan Tape'!$AT232))*IF(H539&lt;=0,H236/MAX(1,'Loan Tape'!$AU232-6+1),H539*H236/(1-(1+H539)^(-MAX(1,'Loan Tape'!$AU232-6+1)))-H539*H236),0)))</f>
        <v>0</v>
      </c>
      <c r="I1145" s="99" t="n">
        <f aca="false">IF(OR('Loan Tape'!$AN232=0,'Loan Tape'!$Z232="Interest Only",'Loan Tape'!$Z232=""),0,MIN(MAX(0,I236-I842),IFERROR(MAX(0,MIN(7,'Loan Tape'!$AV232)-MAX(6,'Loan Tape'!$AT232))*IF(I539&lt;=0,I236/MAX(1,'Loan Tape'!$AU232-7+1),I539*I236/(1-(1+I539)^(-MAX(1,'Loan Tape'!$AU232-7+1)))-I539*I236),0)))</f>
        <v>0</v>
      </c>
      <c r="J1145" s="99" t="n">
        <f aca="false">IF(OR('Loan Tape'!$AN232=0,'Loan Tape'!$Z232="Interest Only",'Loan Tape'!$Z232=""),0,MIN(MAX(0,J236-J842),IFERROR(MAX(0,MIN(8,'Loan Tape'!$AV232)-MAX(7,'Loan Tape'!$AT232))*IF(J539&lt;=0,J236/MAX(1,'Loan Tape'!$AU232-8+1),J539*J236/(1-(1+J539)^(-MAX(1,'Loan Tape'!$AU232-8+1)))-J539*J236),0)))</f>
        <v>0</v>
      </c>
      <c r="K1145" s="99" t="n">
        <f aca="false">IF(OR('Loan Tape'!$AN232=0,'Loan Tape'!$Z232="Interest Only",'Loan Tape'!$Z232=""),0,MIN(MAX(0,K236-K842),IFERROR(MAX(0,MIN(9,'Loan Tape'!$AV232)-MAX(8,'Loan Tape'!$AT232))*IF(K539&lt;=0,K236/MAX(1,'Loan Tape'!$AU232-9+1),K539*K236/(1-(1+K539)^(-MAX(1,'Loan Tape'!$AU232-9+1)))-K539*K236),0)))</f>
        <v>0</v>
      </c>
      <c r="L1145" s="99" t="n">
        <f aca="false">IF(OR('Loan Tape'!$AN232=0,'Loan Tape'!$Z232="Interest Only",'Loan Tape'!$Z232=""),0,MIN(MAX(0,L236-L842),IFERROR(MAX(0,MIN(10,'Loan Tape'!$AV232)-MAX(9,'Loan Tape'!$AT232))*IF(L539&lt;=0,L236/MAX(1,'Loan Tape'!$AU232-10+1),L539*L236/(1-(1+L539)^(-MAX(1,'Loan Tape'!$AU232-10+1)))-L539*L236),0)))</f>
        <v>0</v>
      </c>
    </row>
    <row r="1146" customFormat="false" ht="15" hidden="false" customHeight="false" outlineLevel="0" collapsed="false">
      <c r="B1146" s="108" t="n">
        <f aca="false">'Loan Tape'!$A233</f>
        <v>0</v>
      </c>
      <c r="C1146" s="71" t="n">
        <f aca="false">IF(OR('Loan Tape'!$AN233=0,'Loan Tape'!$Z233="Interest Only",'Loan Tape'!$Z233=""),0,MIN(MAX(0,C237-C843),IFERROR(MAX(0,MIN(1,'Loan Tape'!$AV233)-MAX(0,'Loan Tape'!$AT233))*IF(C540&lt;=0,C237/MAX(1,'Loan Tape'!$AU233-1+1),C540*C237/(1-(1+C540)^(-MAX(1,'Loan Tape'!$AU233-1+1)))-C540*C237),0)))</f>
        <v>0</v>
      </c>
      <c r="D1146" s="71" t="n">
        <f aca="false">IF(OR('Loan Tape'!$AN233=0,'Loan Tape'!$Z233="Interest Only",'Loan Tape'!$Z233=""),0,MIN(MAX(0,D237-D843),IFERROR(MAX(0,MIN(2,'Loan Tape'!$AV233)-MAX(1,'Loan Tape'!$AT233))*IF(D540&lt;=0,D237/MAX(1,'Loan Tape'!$AU233-2+1),D540*D237/(1-(1+D540)^(-MAX(1,'Loan Tape'!$AU233-2+1)))-D540*D237),0)))</f>
        <v>0</v>
      </c>
      <c r="E1146" s="71" t="n">
        <f aca="false">IF(OR('Loan Tape'!$AN233=0,'Loan Tape'!$Z233="Interest Only",'Loan Tape'!$Z233=""),0,MIN(MAX(0,E237-E843),IFERROR(MAX(0,MIN(3,'Loan Tape'!$AV233)-MAX(2,'Loan Tape'!$AT233))*IF(E540&lt;=0,E237/MAX(1,'Loan Tape'!$AU233-3+1),E540*E237/(1-(1+E540)^(-MAX(1,'Loan Tape'!$AU233-3+1)))-E540*E237),0)))</f>
        <v>0</v>
      </c>
      <c r="F1146" s="71" t="n">
        <f aca="false">IF(OR('Loan Tape'!$AN233=0,'Loan Tape'!$Z233="Interest Only",'Loan Tape'!$Z233=""),0,MIN(MAX(0,F237-F843),IFERROR(MAX(0,MIN(4,'Loan Tape'!$AV233)-MAX(3,'Loan Tape'!$AT233))*IF(F540&lt;=0,F237/MAX(1,'Loan Tape'!$AU233-4+1),F540*F237/(1-(1+F540)^(-MAX(1,'Loan Tape'!$AU233-4+1)))-F540*F237),0)))</f>
        <v>0</v>
      </c>
      <c r="G1146" s="71" t="n">
        <f aca="false">IF(OR('Loan Tape'!$AN233=0,'Loan Tape'!$Z233="Interest Only",'Loan Tape'!$Z233=""),0,MIN(MAX(0,G237-G843),IFERROR(MAX(0,MIN(5,'Loan Tape'!$AV233)-MAX(4,'Loan Tape'!$AT233))*IF(G540&lt;=0,G237/MAX(1,'Loan Tape'!$AU233-5+1),G540*G237/(1-(1+G540)^(-MAX(1,'Loan Tape'!$AU233-5+1)))-G540*G237),0)))</f>
        <v>0</v>
      </c>
      <c r="H1146" s="71" t="n">
        <f aca="false">IF(OR('Loan Tape'!$AN233=0,'Loan Tape'!$Z233="Interest Only",'Loan Tape'!$Z233=""),0,MIN(MAX(0,H237-H843),IFERROR(MAX(0,MIN(6,'Loan Tape'!$AV233)-MAX(5,'Loan Tape'!$AT233))*IF(H540&lt;=0,H237/MAX(1,'Loan Tape'!$AU233-6+1),H540*H237/(1-(1+H540)^(-MAX(1,'Loan Tape'!$AU233-6+1)))-H540*H237),0)))</f>
        <v>0</v>
      </c>
      <c r="I1146" s="71" t="n">
        <f aca="false">IF(OR('Loan Tape'!$AN233=0,'Loan Tape'!$Z233="Interest Only",'Loan Tape'!$Z233=""),0,MIN(MAX(0,I237-I843),IFERROR(MAX(0,MIN(7,'Loan Tape'!$AV233)-MAX(6,'Loan Tape'!$AT233))*IF(I540&lt;=0,I237/MAX(1,'Loan Tape'!$AU233-7+1),I540*I237/(1-(1+I540)^(-MAX(1,'Loan Tape'!$AU233-7+1)))-I540*I237),0)))</f>
        <v>0</v>
      </c>
      <c r="J1146" s="71" t="n">
        <f aca="false">IF(OR('Loan Tape'!$AN233=0,'Loan Tape'!$Z233="Interest Only",'Loan Tape'!$Z233=""),0,MIN(MAX(0,J237-J843),IFERROR(MAX(0,MIN(8,'Loan Tape'!$AV233)-MAX(7,'Loan Tape'!$AT233))*IF(J540&lt;=0,J237/MAX(1,'Loan Tape'!$AU233-8+1),J540*J237/(1-(1+J540)^(-MAX(1,'Loan Tape'!$AU233-8+1)))-J540*J237),0)))</f>
        <v>0</v>
      </c>
      <c r="K1146" s="71" t="n">
        <f aca="false">IF(OR('Loan Tape'!$AN233=0,'Loan Tape'!$Z233="Interest Only",'Loan Tape'!$Z233=""),0,MIN(MAX(0,K237-K843),IFERROR(MAX(0,MIN(9,'Loan Tape'!$AV233)-MAX(8,'Loan Tape'!$AT233))*IF(K540&lt;=0,K237/MAX(1,'Loan Tape'!$AU233-9+1),K540*K237/(1-(1+K540)^(-MAX(1,'Loan Tape'!$AU233-9+1)))-K540*K237),0)))</f>
        <v>0</v>
      </c>
      <c r="L1146" s="71" t="n">
        <f aca="false">IF(OR('Loan Tape'!$AN233=0,'Loan Tape'!$Z233="Interest Only",'Loan Tape'!$Z233=""),0,MIN(MAX(0,L237-L843),IFERROR(MAX(0,MIN(10,'Loan Tape'!$AV233)-MAX(9,'Loan Tape'!$AT233))*IF(L540&lt;=0,L237/MAX(1,'Loan Tape'!$AU233-10+1),L540*L237/(1-(1+L540)^(-MAX(1,'Loan Tape'!$AU233-10+1)))-L540*L237),0)))</f>
        <v>0</v>
      </c>
    </row>
    <row r="1147" customFormat="false" ht="15" hidden="false" customHeight="false" outlineLevel="0" collapsed="false">
      <c r="B1147" s="102" t="n">
        <f aca="false">'Loan Tape'!$A234</f>
        <v>0</v>
      </c>
      <c r="C1147" s="99" t="n">
        <f aca="false">IF(OR('Loan Tape'!$AN234=0,'Loan Tape'!$Z234="Interest Only",'Loan Tape'!$Z234=""),0,MIN(MAX(0,C238-C844),IFERROR(MAX(0,MIN(1,'Loan Tape'!$AV234)-MAX(0,'Loan Tape'!$AT234))*IF(C541&lt;=0,C238/MAX(1,'Loan Tape'!$AU234-1+1),C541*C238/(1-(1+C541)^(-MAX(1,'Loan Tape'!$AU234-1+1)))-C541*C238),0)))</f>
        <v>0</v>
      </c>
      <c r="D1147" s="99" t="n">
        <f aca="false">IF(OR('Loan Tape'!$AN234=0,'Loan Tape'!$Z234="Interest Only",'Loan Tape'!$Z234=""),0,MIN(MAX(0,D238-D844),IFERROR(MAX(0,MIN(2,'Loan Tape'!$AV234)-MAX(1,'Loan Tape'!$AT234))*IF(D541&lt;=0,D238/MAX(1,'Loan Tape'!$AU234-2+1),D541*D238/(1-(1+D541)^(-MAX(1,'Loan Tape'!$AU234-2+1)))-D541*D238),0)))</f>
        <v>0</v>
      </c>
      <c r="E1147" s="99" t="n">
        <f aca="false">IF(OR('Loan Tape'!$AN234=0,'Loan Tape'!$Z234="Interest Only",'Loan Tape'!$Z234=""),0,MIN(MAX(0,E238-E844),IFERROR(MAX(0,MIN(3,'Loan Tape'!$AV234)-MAX(2,'Loan Tape'!$AT234))*IF(E541&lt;=0,E238/MAX(1,'Loan Tape'!$AU234-3+1),E541*E238/(1-(1+E541)^(-MAX(1,'Loan Tape'!$AU234-3+1)))-E541*E238),0)))</f>
        <v>0</v>
      </c>
      <c r="F1147" s="99" t="n">
        <f aca="false">IF(OR('Loan Tape'!$AN234=0,'Loan Tape'!$Z234="Interest Only",'Loan Tape'!$Z234=""),0,MIN(MAX(0,F238-F844),IFERROR(MAX(0,MIN(4,'Loan Tape'!$AV234)-MAX(3,'Loan Tape'!$AT234))*IF(F541&lt;=0,F238/MAX(1,'Loan Tape'!$AU234-4+1),F541*F238/(1-(1+F541)^(-MAX(1,'Loan Tape'!$AU234-4+1)))-F541*F238),0)))</f>
        <v>0</v>
      </c>
      <c r="G1147" s="99" t="n">
        <f aca="false">IF(OR('Loan Tape'!$AN234=0,'Loan Tape'!$Z234="Interest Only",'Loan Tape'!$Z234=""),0,MIN(MAX(0,G238-G844),IFERROR(MAX(0,MIN(5,'Loan Tape'!$AV234)-MAX(4,'Loan Tape'!$AT234))*IF(G541&lt;=0,G238/MAX(1,'Loan Tape'!$AU234-5+1),G541*G238/(1-(1+G541)^(-MAX(1,'Loan Tape'!$AU234-5+1)))-G541*G238),0)))</f>
        <v>0</v>
      </c>
      <c r="H1147" s="99" t="n">
        <f aca="false">IF(OR('Loan Tape'!$AN234=0,'Loan Tape'!$Z234="Interest Only",'Loan Tape'!$Z234=""),0,MIN(MAX(0,H238-H844),IFERROR(MAX(0,MIN(6,'Loan Tape'!$AV234)-MAX(5,'Loan Tape'!$AT234))*IF(H541&lt;=0,H238/MAX(1,'Loan Tape'!$AU234-6+1),H541*H238/(1-(1+H541)^(-MAX(1,'Loan Tape'!$AU234-6+1)))-H541*H238),0)))</f>
        <v>0</v>
      </c>
      <c r="I1147" s="99" t="n">
        <f aca="false">IF(OR('Loan Tape'!$AN234=0,'Loan Tape'!$Z234="Interest Only",'Loan Tape'!$Z234=""),0,MIN(MAX(0,I238-I844),IFERROR(MAX(0,MIN(7,'Loan Tape'!$AV234)-MAX(6,'Loan Tape'!$AT234))*IF(I541&lt;=0,I238/MAX(1,'Loan Tape'!$AU234-7+1),I541*I238/(1-(1+I541)^(-MAX(1,'Loan Tape'!$AU234-7+1)))-I541*I238),0)))</f>
        <v>0</v>
      </c>
      <c r="J1147" s="99" t="n">
        <f aca="false">IF(OR('Loan Tape'!$AN234=0,'Loan Tape'!$Z234="Interest Only",'Loan Tape'!$Z234=""),0,MIN(MAX(0,J238-J844),IFERROR(MAX(0,MIN(8,'Loan Tape'!$AV234)-MAX(7,'Loan Tape'!$AT234))*IF(J541&lt;=0,J238/MAX(1,'Loan Tape'!$AU234-8+1),J541*J238/(1-(1+J541)^(-MAX(1,'Loan Tape'!$AU234-8+1)))-J541*J238),0)))</f>
        <v>0</v>
      </c>
      <c r="K1147" s="99" t="n">
        <f aca="false">IF(OR('Loan Tape'!$AN234=0,'Loan Tape'!$Z234="Interest Only",'Loan Tape'!$Z234=""),0,MIN(MAX(0,K238-K844),IFERROR(MAX(0,MIN(9,'Loan Tape'!$AV234)-MAX(8,'Loan Tape'!$AT234))*IF(K541&lt;=0,K238/MAX(1,'Loan Tape'!$AU234-9+1),K541*K238/(1-(1+K541)^(-MAX(1,'Loan Tape'!$AU234-9+1)))-K541*K238),0)))</f>
        <v>0</v>
      </c>
      <c r="L1147" s="99" t="n">
        <f aca="false">IF(OR('Loan Tape'!$AN234=0,'Loan Tape'!$Z234="Interest Only",'Loan Tape'!$Z234=""),0,MIN(MAX(0,L238-L844),IFERROR(MAX(0,MIN(10,'Loan Tape'!$AV234)-MAX(9,'Loan Tape'!$AT234))*IF(L541&lt;=0,L238/MAX(1,'Loan Tape'!$AU234-10+1),L541*L238/(1-(1+L541)^(-MAX(1,'Loan Tape'!$AU234-10+1)))-L541*L238),0)))</f>
        <v>0</v>
      </c>
    </row>
    <row r="1148" customFormat="false" ht="15" hidden="false" customHeight="false" outlineLevel="0" collapsed="false">
      <c r="B1148" s="108" t="n">
        <f aca="false">'Loan Tape'!$A235</f>
        <v>0</v>
      </c>
      <c r="C1148" s="71" t="n">
        <f aca="false">IF(OR('Loan Tape'!$AN235=0,'Loan Tape'!$Z235="Interest Only",'Loan Tape'!$Z235=""),0,MIN(MAX(0,C239-C845),IFERROR(MAX(0,MIN(1,'Loan Tape'!$AV235)-MAX(0,'Loan Tape'!$AT235))*IF(C542&lt;=0,C239/MAX(1,'Loan Tape'!$AU235-1+1),C542*C239/(1-(1+C542)^(-MAX(1,'Loan Tape'!$AU235-1+1)))-C542*C239),0)))</f>
        <v>0</v>
      </c>
      <c r="D1148" s="71" t="n">
        <f aca="false">IF(OR('Loan Tape'!$AN235=0,'Loan Tape'!$Z235="Interest Only",'Loan Tape'!$Z235=""),0,MIN(MAX(0,D239-D845),IFERROR(MAX(0,MIN(2,'Loan Tape'!$AV235)-MAX(1,'Loan Tape'!$AT235))*IF(D542&lt;=0,D239/MAX(1,'Loan Tape'!$AU235-2+1),D542*D239/(1-(1+D542)^(-MAX(1,'Loan Tape'!$AU235-2+1)))-D542*D239),0)))</f>
        <v>0</v>
      </c>
      <c r="E1148" s="71" t="n">
        <f aca="false">IF(OR('Loan Tape'!$AN235=0,'Loan Tape'!$Z235="Interest Only",'Loan Tape'!$Z235=""),0,MIN(MAX(0,E239-E845),IFERROR(MAX(0,MIN(3,'Loan Tape'!$AV235)-MAX(2,'Loan Tape'!$AT235))*IF(E542&lt;=0,E239/MAX(1,'Loan Tape'!$AU235-3+1),E542*E239/(1-(1+E542)^(-MAX(1,'Loan Tape'!$AU235-3+1)))-E542*E239),0)))</f>
        <v>0</v>
      </c>
      <c r="F1148" s="71" t="n">
        <f aca="false">IF(OR('Loan Tape'!$AN235=0,'Loan Tape'!$Z235="Interest Only",'Loan Tape'!$Z235=""),0,MIN(MAX(0,F239-F845),IFERROR(MAX(0,MIN(4,'Loan Tape'!$AV235)-MAX(3,'Loan Tape'!$AT235))*IF(F542&lt;=0,F239/MAX(1,'Loan Tape'!$AU235-4+1),F542*F239/(1-(1+F542)^(-MAX(1,'Loan Tape'!$AU235-4+1)))-F542*F239),0)))</f>
        <v>0</v>
      </c>
      <c r="G1148" s="71" t="n">
        <f aca="false">IF(OR('Loan Tape'!$AN235=0,'Loan Tape'!$Z235="Interest Only",'Loan Tape'!$Z235=""),0,MIN(MAX(0,G239-G845),IFERROR(MAX(0,MIN(5,'Loan Tape'!$AV235)-MAX(4,'Loan Tape'!$AT235))*IF(G542&lt;=0,G239/MAX(1,'Loan Tape'!$AU235-5+1),G542*G239/(1-(1+G542)^(-MAX(1,'Loan Tape'!$AU235-5+1)))-G542*G239),0)))</f>
        <v>0</v>
      </c>
      <c r="H1148" s="71" t="n">
        <f aca="false">IF(OR('Loan Tape'!$AN235=0,'Loan Tape'!$Z235="Interest Only",'Loan Tape'!$Z235=""),0,MIN(MAX(0,H239-H845),IFERROR(MAX(0,MIN(6,'Loan Tape'!$AV235)-MAX(5,'Loan Tape'!$AT235))*IF(H542&lt;=0,H239/MAX(1,'Loan Tape'!$AU235-6+1),H542*H239/(1-(1+H542)^(-MAX(1,'Loan Tape'!$AU235-6+1)))-H542*H239),0)))</f>
        <v>0</v>
      </c>
      <c r="I1148" s="71" t="n">
        <f aca="false">IF(OR('Loan Tape'!$AN235=0,'Loan Tape'!$Z235="Interest Only",'Loan Tape'!$Z235=""),0,MIN(MAX(0,I239-I845),IFERROR(MAX(0,MIN(7,'Loan Tape'!$AV235)-MAX(6,'Loan Tape'!$AT235))*IF(I542&lt;=0,I239/MAX(1,'Loan Tape'!$AU235-7+1),I542*I239/(1-(1+I542)^(-MAX(1,'Loan Tape'!$AU235-7+1)))-I542*I239),0)))</f>
        <v>0</v>
      </c>
      <c r="J1148" s="71" t="n">
        <f aca="false">IF(OR('Loan Tape'!$AN235=0,'Loan Tape'!$Z235="Interest Only",'Loan Tape'!$Z235=""),0,MIN(MAX(0,J239-J845),IFERROR(MAX(0,MIN(8,'Loan Tape'!$AV235)-MAX(7,'Loan Tape'!$AT235))*IF(J542&lt;=0,J239/MAX(1,'Loan Tape'!$AU235-8+1),J542*J239/(1-(1+J542)^(-MAX(1,'Loan Tape'!$AU235-8+1)))-J542*J239),0)))</f>
        <v>0</v>
      </c>
      <c r="K1148" s="71" t="n">
        <f aca="false">IF(OR('Loan Tape'!$AN235=0,'Loan Tape'!$Z235="Interest Only",'Loan Tape'!$Z235=""),0,MIN(MAX(0,K239-K845),IFERROR(MAX(0,MIN(9,'Loan Tape'!$AV235)-MAX(8,'Loan Tape'!$AT235))*IF(K542&lt;=0,K239/MAX(1,'Loan Tape'!$AU235-9+1),K542*K239/(1-(1+K542)^(-MAX(1,'Loan Tape'!$AU235-9+1)))-K542*K239),0)))</f>
        <v>0</v>
      </c>
      <c r="L1148" s="71" t="n">
        <f aca="false">IF(OR('Loan Tape'!$AN235=0,'Loan Tape'!$Z235="Interest Only",'Loan Tape'!$Z235=""),0,MIN(MAX(0,L239-L845),IFERROR(MAX(0,MIN(10,'Loan Tape'!$AV235)-MAX(9,'Loan Tape'!$AT235))*IF(L542&lt;=0,L239/MAX(1,'Loan Tape'!$AU235-10+1),L542*L239/(1-(1+L542)^(-MAX(1,'Loan Tape'!$AU235-10+1)))-L542*L239),0)))</f>
        <v>0</v>
      </c>
    </row>
    <row r="1149" customFormat="false" ht="15" hidden="false" customHeight="false" outlineLevel="0" collapsed="false">
      <c r="B1149" s="102" t="n">
        <f aca="false">'Loan Tape'!$A236</f>
        <v>0</v>
      </c>
      <c r="C1149" s="99" t="n">
        <f aca="false">IF(OR('Loan Tape'!$AN236=0,'Loan Tape'!$Z236="Interest Only",'Loan Tape'!$Z236=""),0,MIN(MAX(0,C240-C846),IFERROR(MAX(0,MIN(1,'Loan Tape'!$AV236)-MAX(0,'Loan Tape'!$AT236))*IF(C543&lt;=0,C240/MAX(1,'Loan Tape'!$AU236-1+1),C543*C240/(1-(1+C543)^(-MAX(1,'Loan Tape'!$AU236-1+1)))-C543*C240),0)))</f>
        <v>0</v>
      </c>
      <c r="D1149" s="99" t="n">
        <f aca="false">IF(OR('Loan Tape'!$AN236=0,'Loan Tape'!$Z236="Interest Only",'Loan Tape'!$Z236=""),0,MIN(MAX(0,D240-D846),IFERROR(MAX(0,MIN(2,'Loan Tape'!$AV236)-MAX(1,'Loan Tape'!$AT236))*IF(D543&lt;=0,D240/MAX(1,'Loan Tape'!$AU236-2+1),D543*D240/(1-(1+D543)^(-MAX(1,'Loan Tape'!$AU236-2+1)))-D543*D240),0)))</f>
        <v>0</v>
      </c>
      <c r="E1149" s="99" t="n">
        <f aca="false">IF(OR('Loan Tape'!$AN236=0,'Loan Tape'!$Z236="Interest Only",'Loan Tape'!$Z236=""),0,MIN(MAX(0,E240-E846),IFERROR(MAX(0,MIN(3,'Loan Tape'!$AV236)-MAX(2,'Loan Tape'!$AT236))*IF(E543&lt;=0,E240/MAX(1,'Loan Tape'!$AU236-3+1),E543*E240/(1-(1+E543)^(-MAX(1,'Loan Tape'!$AU236-3+1)))-E543*E240),0)))</f>
        <v>0</v>
      </c>
      <c r="F1149" s="99" t="n">
        <f aca="false">IF(OR('Loan Tape'!$AN236=0,'Loan Tape'!$Z236="Interest Only",'Loan Tape'!$Z236=""),0,MIN(MAX(0,F240-F846),IFERROR(MAX(0,MIN(4,'Loan Tape'!$AV236)-MAX(3,'Loan Tape'!$AT236))*IF(F543&lt;=0,F240/MAX(1,'Loan Tape'!$AU236-4+1),F543*F240/(1-(1+F543)^(-MAX(1,'Loan Tape'!$AU236-4+1)))-F543*F240),0)))</f>
        <v>0</v>
      </c>
      <c r="G1149" s="99" t="n">
        <f aca="false">IF(OR('Loan Tape'!$AN236=0,'Loan Tape'!$Z236="Interest Only",'Loan Tape'!$Z236=""),0,MIN(MAX(0,G240-G846),IFERROR(MAX(0,MIN(5,'Loan Tape'!$AV236)-MAX(4,'Loan Tape'!$AT236))*IF(G543&lt;=0,G240/MAX(1,'Loan Tape'!$AU236-5+1),G543*G240/(1-(1+G543)^(-MAX(1,'Loan Tape'!$AU236-5+1)))-G543*G240),0)))</f>
        <v>0</v>
      </c>
      <c r="H1149" s="99" t="n">
        <f aca="false">IF(OR('Loan Tape'!$AN236=0,'Loan Tape'!$Z236="Interest Only",'Loan Tape'!$Z236=""),0,MIN(MAX(0,H240-H846),IFERROR(MAX(0,MIN(6,'Loan Tape'!$AV236)-MAX(5,'Loan Tape'!$AT236))*IF(H543&lt;=0,H240/MAX(1,'Loan Tape'!$AU236-6+1),H543*H240/(1-(1+H543)^(-MAX(1,'Loan Tape'!$AU236-6+1)))-H543*H240),0)))</f>
        <v>0</v>
      </c>
      <c r="I1149" s="99" t="n">
        <f aca="false">IF(OR('Loan Tape'!$AN236=0,'Loan Tape'!$Z236="Interest Only",'Loan Tape'!$Z236=""),0,MIN(MAX(0,I240-I846),IFERROR(MAX(0,MIN(7,'Loan Tape'!$AV236)-MAX(6,'Loan Tape'!$AT236))*IF(I543&lt;=0,I240/MAX(1,'Loan Tape'!$AU236-7+1),I543*I240/(1-(1+I543)^(-MAX(1,'Loan Tape'!$AU236-7+1)))-I543*I240),0)))</f>
        <v>0</v>
      </c>
      <c r="J1149" s="99" t="n">
        <f aca="false">IF(OR('Loan Tape'!$AN236=0,'Loan Tape'!$Z236="Interest Only",'Loan Tape'!$Z236=""),0,MIN(MAX(0,J240-J846),IFERROR(MAX(0,MIN(8,'Loan Tape'!$AV236)-MAX(7,'Loan Tape'!$AT236))*IF(J543&lt;=0,J240/MAX(1,'Loan Tape'!$AU236-8+1),J543*J240/(1-(1+J543)^(-MAX(1,'Loan Tape'!$AU236-8+1)))-J543*J240),0)))</f>
        <v>0</v>
      </c>
      <c r="K1149" s="99" t="n">
        <f aca="false">IF(OR('Loan Tape'!$AN236=0,'Loan Tape'!$Z236="Interest Only",'Loan Tape'!$Z236=""),0,MIN(MAX(0,K240-K846),IFERROR(MAX(0,MIN(9,'Loan Tape'!$AV236)-MAX(8,'Loan Tape'!$AT236))*IF(K543&lt;=0,K240/MAX(1,'Loan Tape'!$AU236-9+1),K543*K240/(1-(1+K543)^(-MAX(1,'Loan Tape'!$AU236-9+1)))-K543*K240),0)))</f>
        <v>0</v>
      </c>
      <c r="L1149" s="99" t="n">
        <f aca="false">IF(OR('Loan Tape'!$AN236=0,'Loan Tape'!$Z236="Interest Only",'Loan Tape'!$Z236=""),0,MIN(MAX(0,L240-L846),IFERROR(MAX(0,MIN(10,'Loan Tape'!$AV236)-MAX(9,'Loan Tape'!$AT236))*IF(L543&lt;=0,L240/MAX(1,'Loan Tape'!$AU236-10+1),L543*L240/(1-(1+L543)^(-MAX(1,'Loan Tape'!$AU236-10+1)))-L543*L240),0)))</f>
        <v>0</v>
      </c>
    </row>
    <row r="1150" customFormat="false" ht="15" hidden="false" customHeight="false" outlineLevel="0" collapsed="false">
      <c r="B1150" s="108" t="n">
        <f aca="false">'Loan Tape'!$A237</f>
        <v>0</v>
      </c>
      <c r="C1150" s="71" t="n">
        <f aca="false">IF(OR('Loan Tape'!$AN237=0,'Loan Tape'!$Z237="Interest Only",'Loan Tape'!$Z237=""),0,MIN(MAX(0,C241-C847),IFERROR(MAX(0,MIN(1,'Loan Tape'!$AV237)-MAX(0,'Loan Tape'!$AT237))*IF(C544&lt;=0,C241/MAX(1,'Loan Tape'!$AU237-1+1),C544*C241/(1-(1+C544)^(-MAX(1,'Loan Tape'!$AU237-1+1)))-C544*C241),0)))</f>
        <v>0</v>
      </c>
      <c r="D1150" s="71" t="n">
        <f aca="false">IF(OR('Loan Tape'!$AN237=0,'Loan Tape'!$Z237="Interest Only",'Loan Tape'!$Z237=""),0,MIN(MAX(0,D241-D847),IFERROR(MAX(0,MIN(2,'Loan Tape'!$AV237)-MAX(1,'Loan Tape'!$AT237))*IF(D544&lt;=0,D241/MAX(1,'Loan Tape'!$AU237-2+1),D544*D241/(1-(1+D544)^(-MAX(1,'Loan Tape'!$AU237-2+1)))-D544*D241),0)))</f>
        <v>0</v>
      </c>
      <c r="E1150" s="71" t="n">
        <f aca="false">IF(OR('Loan Tape'!$AN237=0,'Loan Tape'!$Z237="Interest Only",'Loan Tape'!$Z237=""),0,MIN(MAX(0,E241-E847),IFERROR(MAX(0,MIN(3,'Loan Tape'!$AV237)-MAX(2,'Loan Tape'!$AT237))*IF(E544&lt;=0,E241/MAX(1,'Loan Tape'!$AU237-3+1),E544*E241/(1-(1+E544)^(-MAX(1,'Loan Tape'!$AU237-3+1)))-E544*E241),0)))</f>
        <v>0</v>
      </c>
      <c r="F1150" s="71" t="n">
        <f aca="false">IF(OR('Loan Tape'!$AN237=0,'Loan Tape'!$Z237="Interest Only",'Loan Tape'!$Z237=""),0,MIN(MAX(0,F241-F847),IFERROR(MAX(0,MIN(4,'Loan Tape'!$AV237)-MAX(3,'Loan Tape'!$AT237))*IF(F544&lt;=0,F241/MAX(1,'Loan Tape'!$AU237-4+1),F544*F241/(1-(1+F544)^(-MAX(1,'Loan Tape'!$AU237-4+1)))-F544*F241),0)))</f>
        <v>0</v>
      </c>
      <c r="G1150" s="71" t="n">
        <f aca="false">IF(OR('Loan Tape'!$AN237=0,'Loan Tape'!$Z237="Interest Only",'Loan Tape'!$Z237=""),0,MIN(MAX(0,G241-G847),IFERROR(MAX(0,MIN(5,'Loan Tape'!$AV237)-MAX(4,'Loan Tape'!$AT237))*IF(G544&lt;=0,G241/MAX(1,'Loan Tape'!$AU237-5+1),G544*G241/(1-(1+G544)^(-MAX(1,'Loan Tape'!$AU237-5+1)))-G544*G241),0)))</f>
        <v>0</v>
      </c>
      <c r="H1150" s="71" t="n">
        <f aca="false">IF(OR('Loan Tape'!$AN237=0,'Loan Tape'!$Z237="Interest Only",'Loan Tape'!$Z237=""),0,MIN(MAX(0,H241-H847),IFERROR(MAX(0,MIN(6,'Loan Tape'!$AV237)-MAX(5,'Loan Tape'!$AT237))*IF(H544&lt;=0,H241/MAX(1,'Loan Tape'!$AU237-6+1),H544*H241/(1-(1+H544)^(-MAX(1,'Loan Tape'!$AU237-6+1)))-H544*H241),0)))</f>
        <v>0</v>
      </c>
      <c r="I1150" s="71" t="n">
        <f aca="false">IF(OR('Loan Tape'!$AN237=0,'Loan Tape'!$Z237="Interest Only",'Loan Tape'!$Z237=""),0,MIN(MAX(0,I241-I847),IFERROR(MAX(0,MIN(7,'Loan Tape'!$AV237)-MAX(6,'Loan Tape'!$AT237))*IF(I544&lt;=0,I241/MAX(1,'Loan Tape'!$AU237-7+1),I544*I241/(1-(1+I544)^(-MAX(1,'Loan Tape'!$AU237-7+1)))-I544*I241),0)))</f>
        <v>0</v>
      </c>
      <c r="J1150" s="71" t="n">
        <f aca="false">IF(OR('Loan Tape'!$AN237=0,'Loan Tape'!$Z237="Interest Only",'Loan Tape'!$Z237=""),0,MIN(MAX(0,J241-J847),IFERROR(MAX(0,MIN(8,'Loan Tape'!$AV237)-MAX(7,'Loan Tape'!$AT237))*IF(J544&lt;=0,J241/MAX(1,'Loan Tape'!$AU237-8+1),J544*J241/(1-(1+J544)^(-MAX(1,'Loan Tape'!$AU237-8+1)))-J544*J241),0)))</f>
        <v>0</v>
      </c>
      <c r="K1150" s="71" t="n">
        <f aca="false">IF(OR('Loan Tape'!$AN237=0,'Loan Tape'!$Z237="Interest Only",'Loan Tape'!$Z237=""),0,MIN(MAX(0,K241-K847),IFERROR(MAX(0,MIN(9,'Loan Tape'!$AV237)-MAX(8,'Loan Tape'!$AT237))*IF(K544&lt;=0,K241/MAX(1,'Loan Tape'!$AU237-9+1),K544*K241/(1-(1+K544)^(-MAX(1,'Loan Tape'!$AU237-9+1)))-K544*K241),0)))</f>
        <v>0</v>
      </c>
      <c r="L1150" s="71" t="n">
        <f aca="false">IF(OR('Loan Tape'!$AN237=0,'Loan Tape'!$Z237="Interest Only",'Loan Tape'!$Z237=""),0,MIN(MAX(0,L241-L847),IFERROR(MAX(0,MIN(10,'Loan Tape'!$AV237)-MAX(9,'Loan Tape'!$AT237))*IF(L544&lt;=0,L241/MAX(1,'Loan Tape'!$AU237-10+1),L544*L241/(1-(1+L544)^(-MAX(1,'Loan Tape'!$AU237-10+1)))-L544*L241),0)))</f>
        <v>0</v>
      </c>
    </row>
    <row r="1151" customFormat="false" ht="15" hidden="false" customHeight="false" outlineLevel="0" collapsed="false">
      <c r="B1151" s="102" t="n">
        <f aca="false">'Loan Tape'!$A238</f>
        <v>0</v>
      </c>
      <c r="C1151" s="99" t="n">
        <f aca="false">IF(OR('Loan Tape'!$AN238=0,'Loan Tape'!$Z238="Interest Only",'Loan Tape'!$Z238=""),0,MIN(MAX(0,C242-C848),IFERROR(MAX(0,MIN(1,'Loan Tape'!$AV238)-MAX(0,'Loan Tape'!$AT238))*IF(C545&lt;=0,C242/MAX(1,'Loan Tape'!$AU238-1+1),C545*C242/(1-(1+C545)^(-MAX(1,'Loan Tape'!$AU238-1+1)))-C545*C242),0)))</f>
        <v>0</v>
      </c>
      <c r="D1151" s="99" t="n">
        <f aca="false">IF(OR('Loan Tape'!$AN238=0,'Loan Tape'!$Z238="Interest Only",'Loan Tape'!$Z238=""),0,MIN(MAX(0,D242-D848),IFERROR(MAX(0,MIN(2,'Loan Tape'!$AV238)-MAX(1,'Loan Tape'!$AT238))*IF(D545&lt;=0,D242/MAX(1,'Loan Tape'!$AU238-2+1),D545*D242/(1-(1+D545)^(-MAX(1,'Loan Tape'!$AU238-2+1)))-D545*D242),0)))</f>
        <v>0</v>
      </c>
      <c r="E1151" s="99" t="n">
        <f aca="false">IF(OR('Loan Tape'!$AN238=0,'Loan Tape'!$Z238="Interest Only",'Loan Tape'!$Z238=""),0,MIN(MAX(0,E242-E848),IFERROR(MAX(0,MIN(3,'Loan Tape'!$AV238)-MAX(2,'Loan Tape'!$AT238))*IF(E545&lt;=0,E242/MAX(1,'Loan Tape'!$AU238-3+1),E545*E242/(1-(1+E545)^(-MAX(1,'Loan Tape'!$AU238-3+1)))-E545*E242),0)))</f>
        <v>0</v>
      </c>
      <c r="F1151" s="99" t="n">
        <f aca="false">IF(OR('Loan Tape'!$AN238=0,'Loan Tape'!$Z238="Interest Only",'Loan Tape'!$Z238=""),0,MIN(MAX(0,F242-F848),IFERROR(MAX(0,MIN(4,'Loan Tape'!$AV238)-MAX(3,'Loan Tape'!$AT238))*IF(F545&lt;=0,F242/MAX(1,'Loan Tape'!$AU238-4+1),F545*F242/(1-(1+F545)^(-MAX(1,'Loan Tape'!$AU238-4+1)))-F545*F242),0)))</f>
        <v>0</v>
      </c>
      <c r="G1151" s="99" t="n">
        <f aca="false">IF(OR('Loan Tape'!$AN238=0,'Loan Tape'!$Z238="Interest Only",'Loan Tape'!$Z238=""),0,MIN(MAX(0,G242-G848),IFERROR(MAX(0,MIN(5,'Loan Tape'!$AV238)-MAX(4,'Loan Tape'!$AT238))*IF(G545&lt;=0,G242/MAX(1,'Loan Tape'!$AU238-5+1),G545*G242/(1-(1+G545)^(-MAX(1,'Loan Tape'!$AU238-5+1)))-G545*G242),0)))</f>
        <v>0</v>
      </c>
      <c r="H1151" s="99" t="n">
        <f aca="false">IF(OR('Loan Tape'!$AN238=0,'Loan Tape'!$Z238="Interest Only",'Loan Tape'!$Z238=""),0,MIN(MAX(0,H242-H848),IFERROR(MAX(0,MIN(6,'Loan Tape'!$AV238)-MAX(5,'Loan Tape'!$AT238))*IF(H545&lt;=0,H242/MAX(1,'Loan Tape'!$AU238-6+1),H545*H242/(1-(1+H545)^(-MAX(1,'Loan Tape'!$AU238-6+1)))-H545*H242),0)))</f>
        <v>0</v>
      </c>
      <c r="I1151" s="99" t="n">
        <f aca="false">IF(OR('Loan Tape'!$AN238=0,'Loan Tape'!$Z238="Interest Only",'Loan Tape'!$Z238=""),0,MIN(MAX(0,I242-I848),IFERROR(MAX(0,MIN(7,'Loan Tape'!$AV238)-MAX(6,'Loan Tape'!$AT238))*IF(I545&lt;=0,I242/MAX(1,'Loan Tape'!$AU238-7+1),I545*I242/(1-(1+I545)^(-MAX(1,'Loan Tape'!$AU238-7+1)))-I545*I242),0)))</f>
        <v>0</v>
      </c>
      <c r="J1151" s="99" t="n">
        <f aca="false">IF(OR('Loan Tape'!$AN238=0,'Loan Tape'!$Z238="Interest Only",'Loan Tape'!$Z238=""),0,MIN(MAX(0,J242-J848),IFERROR(MAX(0,MIN(8,'Loan Tape'!$AV238)-MAX(7,'Loan Tape'!$AT238))*IF(J545&lt;=0,J242/MAX(1,'Loan Tape'!$AU238-8+1),J545*J242/(1-(1+J545)^(-MAX(1,'Loan Tape'!$AU238-8+1)))-J545*J242),0)))</f>
        <v>0</v>
      </c>
      <c r="K1151" s="99" t="n">
        <f aca="false">IF(OR('Loan Tape'!$AN238=0,'Loan Tape'!$Z238="Interest Only",'Loan Tape'!$Z238=""),0,MIN(MAX(0,K242-K848),IFERROR(MAX(0,MIN(9,'Loan Tape'!$AV238)-MAX(8,'Loan Tape'!$AT238))*IF(K545&lt;=0,K242/MAX(1,'Loan Tape'!$AU238-9+1),K545*K242/(1-(1+K545)^(-MAX(1,'Loan Tape'!$AU238-9+1)))-K545*K242),0)))</f>
        <v>0</v>
      </c>
      <c r="L1151" s="99" t="n">
        <f aca="false">IF(OR('Loan Tape'!$AN238=0,'Loan Tape'!$Z238="Interest Only",'Loan Tape'!$Z238=""),0,MIN(MAX(0,L242-L848),IFERROR(MAX(0,MIN(10,'Loan Tape'!$AV238)-MAX(9,'Loan Tape'!$AT238))*IF(L545&lt;=0,L242/MAX(1,'Loan Tape'!$AU238-10+1),L545*L242/(1-(1+L545)^(-MAX(1,'Loan Tape'!$AU238-10+1)))-L545*L242),0)))</f>
        <v>0</v>
      </c>
    </row>
    <row r="1152" customFormat="false" ht="15" hidden="false" customHeight="false" outlineLevel="0" collapsed="false">
      <c r="B1152" s="108" t="n">
        <f aca="false">'Loan Tape'!$A239</f>
        <v>0</v>
      </c>
      <c r="C1152" s="71" t="n">
        <f aca="false">IF(OR('Loan Tape'!$AN239=0,'Loan Tape'!$Z239="Interest Only",'Loan Tape'!$Z239=""),0,MIN(MAX(0,C243-C849),IFERROR(MAX(0,MIN(1,'Loan Tape'!$AV239)-MAX(0,'Loan Tape'!$AT239))*IF(C546&lt;=0,C243/MAX(1,'Loan Tape'!$AU239-1+1),C546*C243/(1-(1+C546)^(-MAX(1,'Loan Tape'!$AU239-1+1)))-C546*C243),0)))</f>
        <v>0</v>
      </c>
      <c r="D1152" s="71" t="n">
        <f aca="false">IF(OR('Loan Tape'!$AN239=0,'Loan Tape'!$Z239="Interest Only",'Loan Tape'!$Z239=""),0,MIN(MAX(0,D243-D849),IFERROR(MAX(0,MIN(2,'Loan Tape'!$AV239)-MAX(1,'Loan Tape'!$AT239))*IF(D546&lt;=0,D243/MAX(1,'Loan Tape'!$AU239-2+1),D546*D243/(1-(1+D546)^(-MAX(1,'Loan Tape'!$AU239-2+1)))-D546*D243),0)))</f>
        <v>0</v>
      </c>
      <c r="E1152" s="71" t="n">
        <f aca="false">IF(OR('Loan Tape'!$AN239=0,'Loan Tape'!$Z239="Interest Only",'Loan Tape'!$Z239=""),0,MIN(MAX(0,E243-E849),IFERROR(MAX(0,MIN(3,'Loan Tape'!$AV239)-MAX(2,'Loan Tape'!$AT239))*IF(E546&lt;=0,E243/MAX(1,'Loan Tape'!$AU239-3+1),E546*E243/(1-(1+E546)^(-MAX(1,'Loan Tape'!$AU239-3+1)))-E546*E243),0)))</f>
        <v>0</v>
      </c>
      <c r="F1152" s="71" t="n">
        <f aca="false">IF(OR('Loan Tape'!$AN239=0,'Loan Tape'!$Z239="Interest Only",'Loan Tape'!$Z239=""),0,MIN(MAX(0,F243-F849),IFERROR(MAX(0,MIN(4,'Loan Tape'!$AV239)-MAX(3,'Loan Tape'!$AT239))*IF(F546&lt;=0,F243/MAX(1,'Loan Tape'!$AU239-4+1),F546*F243/(1-(1+F546)^(-MAX(1,'Loan Tape'!$AU239-4+1)))-F546*F243),0)))</f>
        <v>0</v>
      </c>
      <c r="G1152" s="71" t="n">
        <f aca="false">IF(OR('Loan Tape'!$AN239=0,'Loan Tape'!$Z239="Interest Only",'Loan Tape'!$Z239=""),0,MIN(MAX(0,G243-G849),IFERROR(MAX(0,MIN(5,'Loan Tape'!$AV239)-MAX(4,'Loan Tape'!$AT239))*IF(G546&lt;=0,G243/MAX(1,'Loan Tape'!$AU239-5+1),G546*G243/(1-(1+G546)^(-MAX(1,'Loan Tape'!$AU239-5+1)))-G546*G243),0)))</f>
        <v>0</v>
      </c>
      <c r="H1152" s="71" t="n">
        <f aca="false">IF(OR('Loan Tape'!$AN239=0,'Loan Tape'!$Z239="Interest Only",'Loan Tape'!$Z239=""),0,MIN(MAX(0,H243-H849),IFERROR(MAX(0,MIN(6,'Loan Tape'!$AV239)-MAX(5,'Loan Tape'!$AT239))*IF(H546&lt;=0,H243/MAX(1,'Loan Tape'!$AU239-6+1),H546*H243/(1-(1+H546)^(-MAX(1,'Loan Tape'!$AU239-6+1)))-H546*H243),0)))</f>
        <v>0</v>
      </c>
      <c r="I1152" s="71" t="n">
        <f aca="false">IF(OR('Loan Tape'!$AN239=0,'Loan Tape'!$Z239="Interest Only",'Loan Tape'!$Z239=""),0,MIN(MAX(0,I243-I849),IFERROR(MAX(0,MIN(7,'Loan Tape'!$AV239)-MAX(6,'Loan Tape'!$AT239))*IF(I546&lt;=0,I243/MAX(1,'Loan Tape'!$AU239-7+1),I546*I243/(1-(1+I546)^(-MAX(1,'Loan Tape'!$AU239-7+1)))-I546*I243),0)))</f>
        <v>0</v>
      </c>
      <c r="J1152" s="71" t="n">
        <f aca="false">IF(OR('Loan Tape'!$AN239=0,'Loan Tape'!$Z239="Interest Only",'Loan Tape'!$Z239=""),0,MIN(MAX(0,J243-J849),IFERROR(MAX(0,MIN(8,'Loan Tape'!$AV239)-MAX(7,'Loan Tape'!$AT239))*IF(J546&lt;=0,J243/MAX(1,'Loan Tape'!$AU239-8+1),J546*J243/(1-(1+J546)^(-MAX(1,'Loan Tape'!$AU239-8+1)))-J546*J243),0)))</f>
        <v>0</v>
      </c>
      <c r="K1152" s="71" t="n">
        <f aca="false">IF(OR('Loan Tape'!$AN239=0,'Loan Tape'!$Z239="Interest Only",'Loan Tape'!$Z239=""),0,MIN(MAX(0,K243-K849),IFERROR(MAX(0,MIN(9,'Loan Tape'!$AV239)-MAX(8,'Loan Tape'!$AT239))*IF(K546&lt;=0,K243/MAX(1,'Loan Tape'!$AU239-9+1),K546*K243/(1-(1+K546)^(-MAX(1,'Loan Tape'!$AU239-9+1)))-K546*K243),0)))</f>
        <v>0</v>
      </c>
      <c r="L1152" s="71" t="n">
        <f aca="false">IF(OR('Loan Tape'!$AN239=0,'Loan Tape'!$Z239="Interest Only",'Loan Tape'!$Z239=""),0,MIN(MAX(0,L243-L849),IFERROR(MAX(0,MIN(10,'Loan Tape'!$AV239)-MAX(9,'Loan Tape'!$AT239))*IF(L546&lt;=0,L243/MAX(1,'Loan Tape'!$AU239-10+1),L546*L243/(1-(1+L546)^(-MAX(1,'Loan Tape'!$AU239-10+1)))-L546*L243),0)))</f>
        <v>0</v>
      </c>
    </row>
    <row r="1153" customFormat="false" ht="15" hidden="false" customHeight="false" outlineLevel="0" collapsed="false">
      <c r="B1153" s="102" t="n">
        <f aca="false">'Loan Tape'!$A240</f>
        <v>0</v>
      </c>
      <c r="C1153" s="99" t="n">
        <f aca="false">IF(OR('Loan Tape'!$AN240=0,'Loan Tape'!$Z240="Interest Only",'Loan Tape'!$Z240=""),0,MIN(MAX(0,C244-C850),IFERROR(MAX(0,MIN(1,'Loan Tape'!$AV240)-MAX(0,'Loan Tape'!$AT240))*IF(C547&lt;=0,C244/MAX(1,'Loan Tape'!$AU240-1+1),C547*C244/(1-(1+C547)^(-MAX(1,'Loan Tape'!$AU240-1+1)))-C547*C244),0)))</f>
        <v>0</v>
      </c>
      <c r="D1153" s="99" t="n">
        <f aca="false">IF(OR('Loan Tape'!$AN240=0,'Loan Tape'!$Z240="Interest Only",'Loan Tape'!$Z240=""),0,MIN(MAX(0,D244-D850),IFERROR(MAX(0,MIN(2,'Loan Tape'!$AV240)-MAX(1,'Loan Tape'!$AT240))*IF(D547&lt;=0,D244/MAX(1,'Loan Tape'!$AU240-2+1),D547*D244/(1-(1+D547)^(-MAX(1,'Loan Tape'!$AU240-2+1)))-D547*D244),0)))</f>
        <v>0</v>
      </c>
      <c r="E1153" s="99" t="n">
        <f aca="false">IF(OR('Loan Tape'!$AN240=0,'Loan Tape'!$Z240="Interest Only",'Loan Tape'!$Z240=""),0,MIN(MAX(0,E244-E850),IFERROR(MAX(0,MIN(3,'Loan Tape'!$AV240)-MAX(2,'Loan Tape'!$AT240))*IF(E547&lt;=0,E244/MAX(1,'Loan Tape'!$AU240-3+1),E547*E244/(1-(1+E547)^(-MAX(1,'Loan Tape'!$AU240-3+1)))-E547*E244),0)))</f>
        <v>0</v>
      </c>
      <c r="F1153" s="99" t="n">
        <f aca="false">IF(OR('Loan Tape'!$AN240=0,'Loan Tape'!$Z240="Interest Only",'Loan Tape'!$Z240=""),0,MIN(MAX(0,F244-F850),IFERROR(MAX(0,MIN(4,'Loan Tape'!$AV240)-MAX(3,'Loan Tape'!$AT240))*IF(F547&lt;=0,F244/MAX(1,'Loan Tape'!$AU240-4+1),F547*F244/(1-(1+F547)^(-MAX(1,'Loan Tape'!$AU240-4+1)))-F547*F244),0)))</f>
        <v>0</v>
      </c>
      <c r="G1153" s="99" t="n">
        <f aca="false">IF(OR('Loan Tape'!$AN240=0,'Loan Tape'!$Z240="Interest Only",'Loan Tape'!$Z240=""),0,MIN(MAX(0,G244-G850),IFERROR(MAX(0,MIN(5,'Loan Tape'!$AV240)-MAX(4,'Loan Tape'!$AT240))*IF(G547&lt;=0,G244/MAX(1,'Loan Tape'!$AU240-5+1),G547*G244/(1-(1+G547)^(-MAX(1,'Loan Tape'!$AU240-5+1)))-G547*G244),0)))</f>
        <v>0</v>
      </c>
      <c r="H1153" s="99" t="n">
        <f aca="false">IF(OR('Loan Tape'!$AN240=0,'Loan Tape'!$Z240="Interest Only",'Loan Tape'!$Z240=""),0,MIN(MAX(0,H244-H850),IFERROR(MAX(0,MIN(6,'Loan Tape'!$AV240)-MAX(5,'Loan Tape'!$AT240))*IF(H547&lt;=0,H244/MAX(1,'Loan Tape'!$AU240-6+1),H547*H244/(1-(1+H547)^(-MAX(1,'Loan Tape'!$AU240-6+1)))-H547*H244),0)))</f>
        <v>0</v>
      </c>
      <c r="I1153" s="99" t="n">
        <f aca="false">IF(OR('Loan Tape'!$AN240=0,'Loan Tape'!$Z240="Interest Only",'Loan Tape'!$Z240=""),0,MIN(MAX(0,I244-I850),IFERROR(MAX(0,MIN(7,'Loan Tape'!$AV240)-MAX(6,'Loan Tape'!$AT240))*IF(I547&lt;=0,I244/MAX(1,'Loan Tape'!$AU240-7+1),I547*I244/(1-(1+I547)^(-MAX(1,'Loan Tape'!$AU240-7+1)))-I547*I244),0)))</f>
        <v>0</v>
      </c>
      <c r="J1153" s="99" t="n">
        <f aca="false">IF(OR('Loan Tape'!$AN240=0,'Loan Tape'!$Z240="Interest Only",'Loan Tape'!$Z240=""),0,MIN(MAX(0,J244-J850),IFERROR(MAX(0,MIN(8,'Loan Tape'!$AV240)-MAX(7,'Loan Tape'!$AT240))*IF(J547&lt;=0,J244/MAX(1,'Loan Tape'!$AU240-8+1),J547*J244/(1-(1+J547)^(-MAX(1,'Loan Tape'!$AU240-8+1)))-J547*J244),0)))</f>
        <v>0</v>
      </c>
      <c r="K1153" s="99" t="n">
        <f aca="false">IF(OR('Loan Tape'!$AN240=0,'Loan Tape'!$Z240="Interest Only",'Loan Tape'!$Z240=""),0,MIN(MAX(0,K244-K850),IFERROR(MAX(0,MIN(9,'Loan Tape'!$AV240)-MAX(8,'Loan Tape'!$AT240))*IF(K547&lt;=0,K244/MAX(1,'Loan Tape'!$AU240-9+1),K547*K244/(1-(1+K547)^(-MAX(1,'Loan Tape'!$AU240-9+1)))-K547*K244),0)))</f>
        <v>0</v>
      </c>
      <c r="L1153" s="99" t="n">
        <f aca="false">IF(OR('Loan Tape'!$AN240=0,'Loan Tape'!$Z240="Interest Only",'Loan Tape'!$Z240=""),0,MIN(MAX(0,L244-L850),IFERROR(MAX(0,MIN(10,'Loan Tape'!$AV240)-MAX(9,'Loan Tape'!$AT240))*IF(L547&lt;=0,L244/MAX(1,'Loan Tape'!$AU240-10+1),L547*L244/(1-(1+L547)^(-MAX(1,'Loan Tape'!$AU240-10+1)))-L547*L244),0)))</f>
        <v>0</v>
      </c>
    </row>
    <row r="1154" customFormat="false" ht="15" hidden="false" customHeight="false" outlineLevel="0" collapsed="false">
      <c r="B1154" s="108" t="n">
        <f aca="false">'Loan Tape'!$A241</f>
        <v>0</v>
      </c>
      <c r="C1154" s="71" t="n">
        <f aca="false">IF(OR('Loan Tape'!$AN241=0,'Loan Tape'!$Z241="Interest Only",'Loan Tape'!$Z241=""),0,MIN(MAX(0,C245-C851),IFERROR(MAX(0,MIN(1,'Loan Tape'!$AV241)-MAX(0,'Loan Tape'!$AT241))*IF(C548&lt;=0,C245/MAX(1,'Loan Tape'!$AU241-1+1),C548*C245/(1-(1+C548)^(-MAX(1,'Loan Tape'!$AU241-1+1)))-C548*C245),0)))</f>
        <v>0</v>
      </c>
      <c r="D1154" s="71" t="n">
        <f aca="false">IF(OR('Loan Tape'!$AN241=0,'Loan Tape'!$Z241="Interest Only",'Loan Tape'!$Z241=""),0,MIN(MAX(0,D245-D851),IFERROR(MAX(0,MIN(2,'Loan Tape'!$AV241)-MAX(1,'Loan Tape'!$AT241))*IF(D548&lt;=0,D245/MAX(1,'Loan Tape'!$AU241-2+1),D548*D245/(1-(1+D548)^(-MAX(1,'Loan Tape'!$AU241-2+1)))-D548*D245),0)))</f>
        <v>0</v>
      </c>
      <c r="E1154" s="71" t="n">
        <f aca="false">IF(OR('Loan Tape'!$AN241=0,'Loan Tape'!$Z241="Interest Only",'Loan Tape'!$Z241=""),0,MIN(MAX(0,E245-E851),IFERROR(MAX(0,MIN(3,'Loan Tape'!$AV241)-MAX(2,'Loan Tape'!$AT241))*IF(E548&lt;=0,E245/MAX(1,'Loan Tape'!$AU241-3+1),E548*E245/(1-(1+E548)^(-MAX(1,'Loan Tape'!$AU241-3+1)))-E548*E245),0)))</f>
        <v>0</v>
      </c>
      <c r="F1154" s="71" t="n">
        <f aca="false">IF(OR('Loan Tape'!$AN241=0,'Loan Tape'!$Z241="Interest Only",'Loan Tape'!$Z241=""),0,MIN(MAX(0,F245-F851),IFERROR(MAX(0,MIN(4,'Loan Tape'!$AV241)-MAX(3,'Loan Tape'!$AT241))*IF(F548&lt;=0,F245/MAX(1,'Loan Tape'!$AU241-4+1),F548*F245/(1-(1+F548)^(-MAX(1,'Loan Tape'!$AU241-4+1)))-F548*F245),0)))</f>
        <v>0</v>
      </c>
      <c r="G1154" s="71" t="n">
        <f aca="false">IF(OR('Loan Tape'!$AN241=0,'Loan Tape'!$Z241="Interest Only",'Loan Tape'!$Z241=""),0,MIN(MAX(0,G245-G851),IFERROR(MAX(0,MIN(5,'Loan Tape'!$AV241)-MAX(4,'Loan Tape'!$AT241))*IF(G548&lt;=0,G245/MAX(1,'Loan Tape'!$AU241-5+1),G548*G245/(1-(1+G548)^(-MAX(1,'Loan Tape'!$AU241-5+1)))-G548*G245),0)))</f>
        <v>0</v>
      </c>
      <c r="H1154" s="71" t="n">
        <f aca="false">IF(OR('Loan Tape'!$AN241=0,'Loan Tape'!$Z241="Interest Only",'Loan Tape'!$Z241=""),0,MIN(MAX(0,H245-H851),IFERROR(MAX(0,MIN(6,'Loan Tape'!$AV241)-MAX(5,'Loan Tape'!$AT241))*IF(H548&lt;=0,H245/MAX(1,'Loan Tape'!$AU241-6+1),H548*H245/(1-(1+H548)^(-MAX(1,'Loan Tape'!$AU241-6+1)))-H548*H245),0)))</f>
        <v>0</v>
      </c>
      <c r="I1154" s="71" t="n">
        <f aca="false">IF(OR('Loan Tape'!$AN241=0,'Loan Tape'!$Z241="Interest Only",'Loan Tape'!$Z241=""),0,MIN(MAX(0,I245-I851),IFERROR(MAX(0,MIN(7,'Loan Tape'!$AV241)-MAX(6,'Loan Tape'!$AT241))*IF(I548&lt;=0,I245/MAX(1,'Loan Tape'!$AU241-7+1),I548*I245/(1-(1+I548)^(-MAX(1,'Loan Tape'!$AU241-7+1)))-I548*I245),0)))</f>
        <v>0</v>
      </c>
      <c r="J1154" s="71" t="n">
        <f aca="false">IF(OR('Loan Tape'!$AN241=0,'Loan Tape'!$Z241="Interest Only",'Loan Tape'!$Z241=""),0,MIN(MAX(0,J245-J851),IFERROR(MAX(0,MIN(8,'Loan Tape'!$AV241)-MAX(7,'Loan Tape'!$AT241))*IF(J548&lt;=0,J245/MAX(1,'Loan Tape'!$AU241-8+1),J548*J245/(1-(1+J548)^(-MAX(1,'Loan Tape'!$AU241-8+1)))-J548*J245),0)))</f>
        <v>0</v>
      </c>
      <c r="K1154" s="71" t="n">
        <f aca="false">IF(OR('Loan Tape'!$AN241=0,'Loan Tape'!$Z241="Interest Only",'Loan Tape'!$Z241=""),0,MIN(MAX(0,K245-K851),IFERROR(MAX(0,MIN(9,'Loan Tape'!$AV241)-MAX(8,'Loan Tape'!$AT241))*IF(K548&lt;=0,K245/MAX(1,'Loan Tape'!$AU241-9+1),K548*K245/(1-(1+K548)^(-MAX(1,'Loan Tape'!$AU241-9+1)))-K548*K245),0)))</f>
        <v>0</v>
      </c>
      <c r="L1154" s="71" t="n">
        <f aca="false">IF(OR('Loan Tape'!$AN241=0,'Loan Tape'!$Z241="Interest Only",'Loan Tape'!$Z241=""),0,MIN(MAX(0,L245-L851),IFERROR(MAX(0,MIN(10,'Loan Tape'!$AV241)-MAX(9,'Loan Tape'!$AT241))*IF(L548&lt;=0,L245/MAX(1,'Loan Tape'!$AU241-10+1),L548*L245/(1-(1+L548)^(-MAX(1,'Loan Tape'!$AU241-10+1)))-L548*L245),0)))</f>
        <v>0</v>
      </c>
    </row>
    <row r="1155" customFormat="false" ht="15" hidden="false" customHeight="false" outlineLevel="0" collapsed="false">
      <c r="B1155" s="102" t="n">
        <f aca="false">'Loan Tape'!$A242</f>
        <v>0</v>
      </c>
      <c r="C1155" s="99" t="n">
        <f aca="false">IF(OR('Loan Tape'!$AN242=0,'Loan Tape'!$Z242="Interest Only",'Loan Tape'!$Z242=""),0,MIN(MAX(0,C246-C852),IFERROR(MAX(0,MIN(1,'Loan Tape'!$AV242)-MAX(0,'Loan Tape'!$AT242))*IF(C549&lt;=0,C246/MAX(1,'Loan Tape'!$AU242-1+1),C549*C246/(1-(1+C549)^(-MAX(1,'Loan Tape'!$AU242-1+1)))-C549*C246),0)))</f>
        <v>0</v>
      </c>
      <c r="D1155" s="99" t="n">
        <f aca="false">IF(OR('Loan Tape'!$AN242=0,'Loan Tape'!$Z242="Interest Only",'Loan Tape'!$Z242=""),0,MIN(MAX(0,D246-D852),IFERROR(MAX(0,MIN(2,'Loan Tape'!$AV242)-MAX(1,'Loan Tape'!$AT242))*IF(D549&lt;=0,D246/MAX(1,'Loan Tape'!$AU242-2+1),D549*D246/(1-(1+D549)^(-MAX(1,'Loan Tape'!$AU242-2+1)))-D549*D246),0)))</f>
        <v>0</v>
      </c>
      <c r="E1155" s="99" t="n">
        <f aca="false">IF(OR('Loan Tape'!$AN242=0,'Loan Tape'!$Z242="Interest Only",'Loan Tape'!$Z242=""),0,MIN(MAX(0,E246-E852),IFERROR(MAX(0,MIN(3,'Loan Tape'!$AV242)-MAX(2,'Loan Tape'!$AT242))*IF(E549&lt;=0,E246/MAX(1,'Loan Tape'!$AU242-3+1),E549*E246/(1-(1+E549)^(-MAX(1,'Loan Tape'!$AU242-3+1)))-E549*E246),0)))</f>
        <v>0</v>
      </c>
      <c r="F1155" s="99" t="n">
        <f aca="false">IF(OR('Loan Tape'!$AN242=0,'Loan Tape'!$Z242="Interest Only",'Loan Tape'!$Z242=""),0,MIN(MAX(0,F246-F852),IFERROR(MAX(0,MIN(4,'Loan Tape'!$AV242)-MAX(3,'Loan Tape'!$AT242))*IF(F549&lt;=0,F246/MAX(1,'Loan Tape'!$AU242-4+1),F549*F246/(1-(1+F549)^(-MAX(1,'Loan Tape'!$AU242-4+1)))-F549*F246),0)))</f>
        <v>0</v>
      </c>
      <c r="G1155" s="99" t="n">
        <f aca="false">IF(OR('Loan Tape'!$AN242=0,'Loan Tape'!$Z242="Interest Only",'Loan Tape'!$Z242=""),0,MIN(MAX(0,G246-G852),IFERROR(MAX(0,MIN(5,'Loan Tape'!$AV242)-MAX(4,'Loan Tape'!$AT242))*IF(G549&lt;=0,G246/MAX(1,'Loan Tape'!$AU242-5+1),G549*G246/(1-(1+G549)^(-MAX(1,'Loan Tape'!$AU242-5+1)))-G549*G246),0)))</f>
        <v>0</v>
      </c>
      <c r="H1155" s="99" t="n">
        <f aca="false">IF(OR('Loan Tape'!$AN242=0,'Loan Tape'!$Z242="Interest Only",'Loan Tape'!$Z242=""),0,MIN(MAX(0,H246-H852),IFERROR(MAX(0,MIN(6,'Loan Tape'!$AV242)-MAX(5,'Loan Tape'!$AT242))*IF(H549&lt;=0,H246/MAX(1,'Loan Tape'!$AU242-6+1),H549*H246/(1-(1+H549)^(-MAX(1,'Loan Tape'!$AU242-6+1)))-H549*H246),0)))</f>
        <v>0</v>
      </c>
      <c r="I1155" s="99" t="n">
        <f aca="false">IF(OR('Loan Tape'!$AN242=0,'Loan Tape'!$Z242="Interest Only",'Loan Tape'!$Z242=""),0,MIN(MAX(0,I246-I852),IFERROR(MAX(0,MIN(7,'Loan Tape'!$AV242)-MAX(6,'Loan Tape'!$AT242))*IF(I549&lt;=0,I246/MAX(1,'Loan Tape'!$AU242-7+1),I549*I246/(1-(1+I549)^(-MAX(1,'Loan Tape'!$AU242-7+1)))-I549*I246),0)))</f>
        <v>0</v>
      </c>
      <c r="J1155" s="99" t="n">
        <f aca="false">IF(OR('Loan Tape'!$AN242=0,'Loan Tape'!$Z242="Interest Only",'Loan Tape'!$Z242=""),0,MIN(MAX(0,J246-J852),IFERROR(MAX(0,MIN(8,'Loan Tape'!$AV242)-MAX(7,'Loan Tape'!$AT242))*IF(J549&lt;=0,J246/MAX(1,'Loan Tape'!$AU242-8+1),J549*J246/(1-(1+J549)^(-MAX(1,'Loan Tape'!$AU242-8+1)))-J549*J246),0)))</f>
        <v>0</v>
      </c>
      <c r="K1155" s="99" t="n">
        <f aca="false">IF(OR('Loan Tape'!$AN242=0,'Loan Tape'!$Z242="Interest Only",'Loan Tape'!$Z242=""),0,MIN(MAX(0,K246-K852),IFERROR(MAX(0,MIN(9,'Loan Tape'!$AV242)-MAX(8,'Loan Tape'!$AT242))*IF(K549&lt;=0,K246/MAX(1,'Loan Tape'!$AU242-9+1),K549*K246/(1-(1+K549)^(-MAX(1,'Loan Tape'!$AU242-9+1)))-K549*K246),0)))</f>
        <v>0</v>
      </c>
      <c r="L1155" s="99" t="n">
        <f aca="false">IF(OR('Loan Tape'!$AN242=0,'Loan Tape'!$Z242="Interest Only",'Loan Tape'!$Z242=""),0,MIN(MAX(0,L246-L852),IFERROR(MAX(0,MIN(10,'Loan Tape'!$AV242)-MAX(9,'Loan Tape'!$AT242))*IF(L549&lt;=0,L246/MAX(1,'Loan Tape'!$AU242-10+1),L549*L246/(1-(1+L549)^(-MAX(1,'Loan Tape'!$AU242-10+1)))-L549*L246),0)))</f>
        <v>0</v>
      </c>
    </row>
    <row r="1156" customFormat="false" ht="15" hidden="false" customHeight="false" outlineLevel="0" collapsed="false">
      <c r="B1156" s="108" t="n">
        <f aca="false">'Loan Tape'!$A243</f>
        <v>0</v>
      </c>
      <c r="C1156" s="71" t="n">
        <f aca="false">IF(OR('Loan Tape'!$AN243=0,'Loan Tape'!$Z243="Interest Only",'Loan Tape'!$Z243=""),0,MIN(MAX(0,C247-C853),IFERROR(MAX(0,MIN(1,'Loan Tape'!$AV243)-MAX(0,'Loan Tape'!$AT243))*IF(C550&lt;=0,C247/MAX(1,'Loan Tape'!$AU243-1+1),C550*C247/(1-(1+C550)^(-MAX(1,'Loan Tape'!$AU243-1+1)))-C550*C247),0)))</f>
        <v>0</v>
      </c>
      <c r="D1156" s="71" t="n">
        <f aca="false">IF(OR('Loan Tape'!$AN243=0,'Loan Tape'!$Z243="Interest Only",'Loan Tape'!$Z243=""),0,MIN(MAX(0,D247-D853),IFERROR(MAX(0,MIN(2,'Loan Tape'!$AV243)-MAX(1,'Loan Tape'!$AT243))*IF(D550&lt;=0,D247/MAX(1,'Loan Tape'!$AU243-2+1),D550*D247/(1-(1+D550)^(-MAX(1,'Loan Tape'!$AU243-2+1)))-D550*D247),0)))</f>
        <v>0</v>
      </c>
      <c r="E1156" s="71" t="n">
        <f aca="false">IF(OR('Loan Tape'!$AN243=0,'Loan Tape'!$Z243="Interest Only",'Loan Tape'!$Z243=""),0,MIN(MAX(0,E247-E853),IFERROR(MAX(0,MIN(3,'Loan Tape'!$AV243)-MAX(2,'Loan Tape'!$AT243))*IF(E550&lt;=0,E247/MAX(1,'Loan Tape'!$AU243-3+1),E550*E247/(1-(1+E550)^(-MAX(1,'Loan Tape'!$AU243-3+1)))-E550*E247),0)))</f>
        <v>0</v>
      </c>
      <c r="F1156" s="71" t="n">
        <f aca="false">IF(OR('Loan Tape'!$AN243=0,'Loan Tape'!$Z243="Interest Only",'Loan Tape'!$Z243=""),0,MIN(MAX(0,F247-F853),IFERROR(MAX(0,MIN(4,'Loan Tape'!$AV243)-MAX(3,'Loan Tape'!$AT243))*IF(F550&lt;=0,F247/MAX(1,'Loan Tape'!$AU243-4+1),F550*F247/(1-(1+F550)^(-MAX(1,'Loan Tape'!$AU243-4+1)))-F550*F247),0)))</f>
        <v>0</v>
      </c>
      <c r="G1156" s="71" t="n">
        <f aca="false">IF(OR('Loan Tape'!$AN243=0,'Loan Tape'!$Z243="Interest Only",'Loan Tape'!$Z243=""),0,MIN(MAX(0,G247-G853),IFERROR(MAX(0,MIN(5,'Loan Tape'!$AV243)-MAX(4,'Loan Tape'!$AT243))*IF(G550&lt;=0,G247/MAX(1,'Loan Tape'!$AU243-5+1),G550*G247/(1-(1+G550)^(-MAX(1,'Loan Tape'!$AU243-5+1)))-G550*G247),0)))</f>
        <v>0</v>
      </c>
      <c r="H1156" s="71" t="n">
        <f aca="false">IF(OR('Loan Tape'!$AN243=0,'Loan Tape'!$Z243="Interest Only",'Loan Tape'!$Z243=""),0,MIN(MAX(0,H247-H853),IFERROR(MAX(0,MIN(6,'Loan Tape'!$AV243)-MAX(5,'Loan Tape'!$AT243))*IF(H550&lt;=0,H247/MAX(1,'Loan Tape'!$AU243-6+1),H550*H247/(1-(1+H550)^(-MAX(1,'Loan Tape'!$AU243-6+1)))-H550*H247),0)))</f>
        <v>0</v>
      </c>
      <c r="I1156" s="71" t="n">
        <f aca="false">IF(OR('Loan Tape'!$AN243=0,'Loan Tape'!$Z243="Interest Only",'Loan Tape'!$Z243=""),0,MIN(MAX(0,I247-I853),IFERROR(MAX(0,MIN(7,'Loan Tape'!$AV243)-MAX(6,'Loan Tape'!$AT243))*IF(I550&lt;=0,I247/MAX(1,'Loan Tape'!$AU243-7+1),I550*I247/(1-(1+I550)^(-MAX(1,'Loan Tape'!$AU243-7+1)))-I550*I247),0)))</f>
        <v>0</v>
      </c>
      <c r="J1156" s="71" t="n">
        <f aca="false">IF(OR('Loan Tape'!$AN243=0,'Loan Tape'!$Z243="Interest Only",'Loan Tape'!$Z243=""),0,MIN(MAX(0,J247-J853),IFERROR(MAX(0,MIN(8,'Loan Tape'!$AV243)-MAX(7,'Loan Tape'!$AT243))*IF(J550&lt;=0,J247/MAX(1,'Loan Tape'!$AU243-8+1),J550*J247/(1-(1+J550)^(-MAX(1,'Loan Tape'!$AU243-8+1)))-J550*J247),0)))</f>
        <v>0</v>
      </c>
      <c r="K1156" s="71" t="n">
        <f aca="false">IF(OR('Loan Tape'!$AN243=0,'Loan Tape'!$Z243="Interest Only",'Loan Tape'!$Z243=""),0,MIN(MAX(0,K247-K853),IFERROR(MAX(0,MIN(9,'Loan Tape'!$AV243)-MAX(8,'Loan Tape'!$AT243))*IF(K550&lt;=0,K247/MAX(1,'Loan Tape'!$AU243-9+1),K550*K247/(1-(1+K550)^(-MAX(1,'Loan Tape'!$AU243-9+1)))-K550*K247),0)))</f>
        <v>0</v>
      </c>
      <c r="L1156" s="71" t="n">
        <f aca="false">IF(OR('Loan Tape'!$AN243=0,'Loan Tape'!$Z243="Interest Only",'Loan Tape'!$Z243=""),0,MIN(MAX(0,L247-L853),IFERROR(MAX(0,MIN(10,'Loan Tape'!$AV243)-MAX(9,'Loan Tape'!$AT243))*IF(L550&lt;=0,L247/MAX(1,'Loan Tape'!$AU243-10+1),L550*L247/(1-(1+L550)^(-MAX(1,'Loan Tape'!$AU243-10+1)))-L550*L247),0)))</f>
        <v>0</v>
      </c>
    </row>
    <row r="1157" customFormat="false" ht="15" hidden="false" customHeight="false" outlineLevel="0" collapsed="false">
      <c r="B1157" s="102" t="n">
        <f aca="false">'Loan Tape'!$A244</f>
        <v>0</v>
      </c>
      <c r="C1157" s="99" t="n">
        <f aca="false">IF(OR('Loan Tape'!$AN244=0,'Loan Tape'!$Z244="Interest Only",'Loan Tape'!$Z244=""),0,MIN(MAX(0,C248-C854),IFERROR(MAX(0,MIN(1,'Loan Tape'!$AV244)-MAX(0,'Loan Tape'!$AT244))*IF(C551&lt;=0,C248/MAX(1,'Loan Tape'!$AU244-1+1),C551*C248/(1-(1+C551)^(-MAX(1,'Loan Tape'!$AU244-1+1)))-C551*C248),0)))</f>
        <v>0</v>
      </c>
      <c r="D1157" s="99" t="n">
        <f aca="false">IF(OR('Loan Tape'!$AN244=0,'Loan Tape'!$Z244="Interest Only",'Loan Tape'!$Z244=""),0,MIN(MAX(0,D248-D854),IFERROR(MAX(0,MIN(2,'Loan Tape'!$AV244)-MAX(1,'Loan Tape'!$AT244))*IF(D551&lt;=0,D248/MAX(1,'Loan Tape'!$AU244-2+1),D551*D248/(1-(1+D551)^(-MAX(1,'Loan Tape'!$AU244-2+1)))-D551*D248),0)))</f>
        <v>0</v>
      </c>
      <c r="E1157" s="99" t="n">
        <f aca="false">IF(OR('Loan Tape'!$AN244=0,'Loan Tape'!$Z244="Interest Only",'Loan Tape'!$Z244=""),0,MIN(MAX(0,E248-E854),IFERROR(MAX(0,MIN(3,'Loan Tape'!$AV244)-MAX(2,'Loan Tape'!$AT244))*IF(E551&lt;=0,E248/MAX(1,'Loan Tape'!$AU244-3+1),E551*E248/(1-(1+E551)^(-MAX(1,'Loan Tape'!$AU244-3+1)))-E551*E248),0)))</f>
        <v>0</v>
      </c>
      <c r="F1157" s="99" t="n">
        <f aca="false">IF(OR('Loan Tape'!$AN244=0,'Loan Tape'!$Z244="Interest Only",'Loan Tape'!$Z244=""),0,MIN(MAX(0,F248-F854),IFERROR(MAX(0,MIN(4,'Loan Tape'!$AV244)-MAX(3,'Loan Tape'!$AT244))*IF(F551&lt;=0,F248/MAX(1,'Loan Tape'!$AU244-4+1),F551*F248/(1-(1+F551)^(-MAX(1,'Loan Tape'!$AU244-4+1)))-F551*F248),0)))</f>
        <v>0</v>
      </c>
      <c r="G1157" s="99" t="n">
        <f aca="false">IF(OR('Loan Tape'!$AN244=0,'Loan Tape'!$Z244="Interest Only",'Loan Tape'!$Z244=""),0,MIN(MAX(0,G248-G854),IFERROR(MAX(0,MIN(5,'Loan Tape'!$AV244)-MAX(4,'Loan Tape'!$AT244))*IF(G551&lt;=0,G248/MAX(1,'Loan Tape'!$AU244-5+1),G551*G248/(1-(1+G551)^(-MAX(1,'Loan Tape'!$AU244-5+1)))-G551*G248),0)))</f>
        <v>0</v>
      </c>
      <c r="H1157" s="99" t="n">
        <f aca="false">IF(OR('Loan Tape'!$AN244=0,'Loan Tape'!$Z244="Interest Only",'Loan Tape'!$Z244=""),0,MIN(MAX(0,H248-H854),IFERROR(MAX(0,MIN(6,'Loan Tape'!$AV244)-MAX(5,'Loan Tape'!$AT244))*IF(H551&lt;=0,H248/MAX(1,'Loan Tape'!$AU244-6+1),H551*H248/(1-(1+H551)^(-MAX(1,'Loan Tape'!$AU244-6+1)))-H551*H248),0)))</f>
        <v>0</v>
      </c>
      <c r="I1157" s="99" t="n">
        <f aca="false">IF(OR('Loan Tape'!$AN244=0,'Loan Tape'!$Z244="Interest Only",'Loan Tape'!$Z244=""),0,MIN(MAX(0,I248-I854),IFERROR(MAX(0,MIN(7,'Loan Tape'!$AV244)-MAX(6,'Loan Tape'!$AT244))*IF(I551&lt;=0,I248/MAX(1,'Loan Tape'!$AU244-7+1),I551*I248/(1-(1+I551)^(-MAX(1,'Loan Tape'!$AU244-7+1)))-I551*I248),0)))</f>
        <v>0</v>
      </c>
      <c r="J1157" s="99" t="n">
        <f aca="false">IF(OR('Loan Tape'!$AN244=0,'Loan Tape'!$Z244="Interest Only",'Loan Tape'!$Z244=""),0,MIN(MAX(0,J248-J854),IFERROR(MAX(0,MIN(8,'Loan Tape'!$AV244)-MAX(7,'Loan Tape'!$AT244))*IF(J551&lt;=0,J248/MAX(1,'Loan Tape'!$AU244-8+1),J551*J248/(1-(1+J551)^(-MAX(1,'Loan Tape'!$AU244-8+1)))-J551*J248),0)))</f>
        <v>0</v>
      </c>
      <c r="K1157" s="99" t="n">
        <f aca="false">IF(OR('Loan Tape'!$AN244=0,'Loan Tape'!$Z244="Interest Only",'Loan Tape'!$Z244=""),0,MIN(MAX(0,K248-K854),IFERROR(MAX(0,MIN(9,'Loan Tape'!$AV244)-MAX(8,'Loan Tape'!$AT244))*IF(K551&lt;=0,K248/MAX(1,'Loan Tape'!$AU244-9+1),K551*K248/(1-(1+K551)^(-MAX(1,'Loan Tape'!$AU244-9+1)))-K551*K248),0)))</f>
        <v>0</v>
      </c>
      <c r="L1157" s="99" t="n">
        <f aca="false">IF(OR('Loan Tape'!$AN244=0,'Loan Tape'!$Z244="Interest Only",'Loan Tape'!$Z244=""),0,MIN(MAX(0,L248-L854),IFERROR(MAX(0,MIN(10,'Loan Tape'!$AV244)-MAX(9,'Loan Tape'!$AT244))*IF(L551&lt;=0,L248/MAX(1,'Loan Tape'!$AU244-10+1),L551*L248/(1-(1+L551)^(-MAX(1,'Loan Tape'!$AU244-10+1)))-L551*L248),0)))</f>
        <v>0</v>
      </c>
    </row>
    <row r="1158" customFormat="false" ht="15" hidden="false" customHeight="false" outlineLevel="0" collapsed="false">
      <c r="B1158" s="108" t="n">
        <f aca="false">'Loan Tape'!$A245</f>
        <v>0</v>
      </c>
      <c r="C1158" s="71" t="n">
        <f aca="false">IF(OR('Loan Tape'!$AN245=0,'Loan Tape'!$Z245="Interest Only",'Loan Tape'!$Z245=""),0,MIN(MAX(0,C249-C855),IFERROR(MAX(0,MIN(1,'Loan Tape'!$AV245)-MAX(0,'Loan Tape'!$AT245))*IF(C552&lt;=0,C249/MAX(1,'Loan Tape'!$AU245-1+1),C552*C249/(1-(1+C552)^(-MAX(1,'Loan Tape'!$AU245-1+1)))-C552*C249),0)))</f>
        <v>0</v>
      </c>
      <c r="D1158" s="71" t="n">
        <f aca="false">IF(OR('Loan Tape'!$AN245=0,'Loan Tape'!$Z245="Interest Only",'Loan Tape'!$Z245=""),0,MIN(MAX(0,D249-D855),IFERROR(MAX(0,MIN(2,'Loan Tape'!$AV245)-MAX(1,'Loan Tape'!$AT245))*IF(D552&lt;=0,D249/MAX(1,'Loan Tape'!$AU245-2+1),D552*D249/(1-(1+D552)^(-MAX(1,'Loan Tape'!$AU245-2+1)))-D552*D249),0)))</f>
        <v>0</v>
      </c>
      <c r="E1158" s="71" t="n">
        <f aca="false">IF(OR('Loan Tape'!$AN245=0,'Loan Tape'!$Z245="Interest Only",'Loan Tape'!$Z245=""),0,MIN(MAX(0,E249-E855),IFERROR(MAX(0,MIN(3,'Loan Tape'!$AV245)-MAX(2,'Loan Tape'!$AT245))*IF(E552&lt;=0,E249/MAX(1,'Loan Tape'!$AU245-3+1),E552*E249/(1-(1+E552)^(-MAX(1,'Loan Tape'!$AU245-3+1)))-E552*E249),0)))</f>
        <v>0</v>
      </c>
      <c r="F1158" s="71" t="n">
        <f aca="false">IF(OR('Loan Tape'!$AN245=0,'Loan Tape'!$Z245="Interest Only",'Loan Tape'!$Z245=""),0,MIN(MAX(0,F249-F855),IFERROR(MAX(0,MIN(4,'Loan Tape'!$AV245)-MAX(3,'Loan Tape'!$AT245))*IF(F552&lt;=0,F249/MAX(1,'Loan Tape'!$AU245-4+1),F552*F249/(1-(1+F552)^(-MAX(1,'Loan Tape'!$AU245-4+1)))-F552*F249),0)))</f>
        <v>0</v>
      </c>
      <c r="G1158" s="71" t="n">
        <f aca="false">IF(OR('Loan Tape'!$AN245=0,'Loan Tape'!$Z245="Interest Only",'Loan Tape'!$Z245=""),0,MIN(MAX(0,G249-G855),IFERROR(MAX(0,MIN(5,'Loan Tape'!$AV245)-MAX(4,'Loan Tape'!$AT245))*IF(G552&lt;=0,G249/MAX(1,'Loan Tape'!$AU245-5+1),G552*G249/(1-(1+G552)^(-MAX(1,'Loan Tape'!$AU245-5+1)))-G552*G249),0)))</f>
        <v>0</v>
      </c>
      <c r="H1158" s="71" t="n">
        <f aca="false">IF(OR('Loan Tape'!$AN245=0,'Loan Tape'!$Z245="Interest Only",'Loan Tape'!$Z245=""),0,MIN(MAX(0,H249-H855),IFERROR(MAX(0,MIN(6,'Loan Tape'!$AV245)-MAX(5,'Loan Tape'!$AT245))*IF(H552&lt;=0,H249/MAX(1,'Loan Tape'!$AU245-6+1),H552*H249/(1-(1+H552)^(-MAX(1,'Loan Tape'!$AU245-6+1)))-H552*H249),0)))</f>
        <v>0</v>
      </c>
      <c r="I1158" s="71" t="n">
        <f aca="false">IF(OR('Loan Tape'!$AN245=0,'Loan Tape'!$Z245="Interest Only",'Loan Tape'!$Z245=""),0,MIN(MAX(0,I249-I855),IFERROR(MAX(0,MIN(7,'Loan Tape'!$AV245)-MAX(6,'Loan Tape'!$AT245))*IF(I552&lt;=0,I249/MAX(1,'Loan Tape'!$AU245-7+1),I552*I249/(1-(1+I552)^(-MAX(1,'Loan Tape'!$AU245-7+1)))-I552*I249),0)))</f>
        <v>0</v>
      </c>
      <c r="J1158" s="71" t="n">
        <f aca="false">IF(OR('Loan Tape'!$AN245=0,'Loan Tape'!$Z245="Interest Only",'Loan Tape'!$Z245=""),0,MIN(MAX(0,J249-J855),IFERROR(MAX(0,MIN(8,'Loan Tape'!$AV245)-MAX(7,'Loan Tape'!$AT245))*IF(J552&lt;=0,J249/MAX(1,'Loan Tape'!$AU245-8+1),J552*J249/(1-(1+J552)^(-MAX(1,'Loan Tape'!$AU245-8+1)))-J552*J249),0)))</f>
        <v>0</v>
      </c>
      <c r="K1158" s="71" t="n">
        <f aca="false">IF(OR('Loan Tape'!$AN245=0,'Loan Tape'!$Z245="Interest Only",'Loan Tape'!$Z245=""),0,MIN(MAX(0,K249-K855),IFERROR(MAX(0,MIN(9,'Loan Tape'!$AV245)-MAX(8,'Loan Tape'!$AT245))*IF(K552&lt;=0,K249/MAX(1,'Loan Tape'!$AU245-9+1),K552*K249/(1-(1+K552)^(-MAX(1,'Loan Tape'!$AU245-9+1)))-K552*K249),0)))</f>
        <v>0</v>
      </c>
      <c r="L1158" s="71" t="n">
        <f aca="false">IF(OR('Loan Tape'!$AN245=0,'Loan Tape'!$Z245="Interest Only",'Loan Tape'!$Z245=""),0,MIN(MAX(0,L249-L855),IFERROR(MAX(0,MIN(10,'Loan Tape'!$AV245)-MAX(9,'Loan Tape'!$AT245))*IF(L552&lt;=0,L249/MAX(1,'Loan Tape'!$AU245-10+1),L552*L249/(1-(1+L552)^(-MAX(1,'Loan Tape'!$AU245-10+1)))-L552*L249),0)))</f>
        <v>0</v>
      </c>
    </row>
    <row r="1159" customFormat="false" ht="15" hidden="false" customHeight="false" outlineLevel="0" collapsed="false">
      <c r="B1159" s="102" t="n">
        <f aca="false">'Loan Tape'!$A246</f>
        <v>0</v>
      </c>
      <c r="C1159" s="99" t="n">
        <f aca="false">IF(OR('Loan Tape'!$AN246=0,'Loan Tape'!$Z246="Interest Only",'Loan Tape'!$Z246=""),0,MIN(MAX(0,C250-C856),IFERROR(MAX(0,MIN(1,'Loan Tape'!$AV246)-MAX(0,'Loan Tape'!$AT246))*IF(C553&lt;=0,C250/MAX(1,'Loan Tape'!$AU246-1+1),C553*C250/(1-(1+C553)^(-MAX(1,'Loan Tape'!$AU246-1+1)))-C553*C250),0)))</f>
        <v>0</v>
      </c>
      <c r="D1159" s="99" t="n">
        <f aca="false">IF(OR('Loan Tape'!$AN246=0,'Loan Tape'!$Z246="Interest Only",'Loan Tape'!$Z246=""),0,MIN(MAX(0,D250-D856),IFERROR(MAX(0,MIN(2,'Loan Tape'!$AV246)-MAX(1,'Loan Tape'!$AT246))*IF(D553&lt;=0,D250/MAX(1,'Loan Tape'!$AU246-2+1),D553*D250/(1-(1+D553)^(-MAX(1,'Loan Tape'!$AU246-2+1)))-D553*D250),0)))</f>
        <v>0</v>
      </c>
      <c r="E1159" s="99" t="n">
        <f aca="false">IF(OR('Loan Tape'!$AN246=0,'Loan Tape'!$Z246="Interest Only",'Loan Tape'!$Z246=""),0,MIN(MAX(0,E250-E856),IFERROR(MAX(0,MIN(3,'Loan Tape'!$AV246)-MAX(2,'Loan Tape'!$AT246))*IF(E553&lt;=0,E250/MAX(1,'Loan Tape'!$AU246-3+1),E553*E250/(1-(1+E553)^(-MAX(1,'Loan Tape'!$AU246-3+1)))-E553*E250),0)))</f>
        <v>0</v>
      </c>
      <c r="F1159" s="99" t="n">
        <f aca="false">IF(OR('Loan Tape'!$AN246=0,'Loan Tape'!$Z246="Interest Only",'Loan Tape'!$Z246=""),0,MIN(MAX(0,F250-F856),IFERROR(MAX(0,MIN(4,'Loan Tape'!$AV246)-MAX(3,'Loan Tape'!$AT246))*IF(F553&lt;=0,F250/MAX(1,'Loan Tape'!$AU246-4+1),F553*F250/(1-(1+F553)^(-MAX(1,'Loan Tape'!$AU246-4+1)))-F553*F250),0)))</f>
        <v>0</v>
      </c>
      <c r="G1159" s="99" t="n">
        <f aca="false">IF(OR('Loan Tape'!$AN246=0,'Loan Tape'!$Z246="Interest Only",'Loan Tape'!$Z246=""),0,MIN(MAX(0,G250-G856),IFERROR(MAX(0,MIN(5,'Loan Tape'!$AV246)-MAX(4,'Loan Tape'!$AT246))*IF(G553&lt;=0,G250/MAX(1,'Loan Tape'!$AU246-5+1),G553*G250/(1-(1+G553)^(-MAX(1,'Loan Tape'!$AU246-5+1)))-G553*G250),0)))</f>
        <v>0</v>
      </c>
      <c r="H1159" s="99" t="n">
        <f aca="false">IF(OR('Loan Tape'!$AN246=0,'Loan Tape'!$Z246="Interest Only",'Loan Tape'!$Z246=""),0,MIN(MAX(0,H250-H856),IFERROR(MAX(0,MIN(6,'Loan Tape'!$AV246)-MAX(5,'Loan Tape'!$AT246))*IF(H553&lt;=0,H250/MAX(1,'Loan Tape'!$AU246-6+1),H553*H250/(1-(1+H553)^(-MAX(1,'Loan Tape'!$AU246-6+1)))-H553*H250),0)))</f>
        <v>0</v>
      </c>
      <c r="I1159" s="99" t="n">
        <f aca="false">IF(OR('Loan Tape'!$AN246=0,'Loan Tape'!$Z246="Interest Only",'Loan Tape'!$Z246=""),0,MIN(MAX(0,I250-I856),IFERROR(MAX(0,MIN(7,'Loan Tape'!$AV246)-MAX(6,'Loan Tape'!$AT246))*IF(I553&lt;=0,I250/MAX(1,'Loan Tape'!$AU246-7+1),I553*I250/(1-(1+I553)^(-MAX(1,'Loan Tape'!$AU246-7+1)))-I553*I250),0)))</f>
        <v>0</v>
      </c>
      <c r="J1159" s="99" t="n">
        <f aca="false">IF(OR('Loan Tape'!$AN246=0,'Loan Tape'!$Z246="Interest Only",'Loan Tape'!$Z246=""),0,MIN(MAX(0,J250-J856),IFERROR(MAX(0,MIN(8,'Loan Tape'!$AV246)-MAX(7,'Loan Tape'!$AT246))*IF(J553&lt;=0,J250/MAX(1,'Loan Tape'!$AU246-8+1),J553*J250/(1-(1+J553)^(-MAX(1,'Loan Tape'!$AU246-8+1)))-J553*J250),0)))</f>
        <v>0</v>
      </c>
      <c r="K1159" s="99" t="n">
        <f aca="false">IF(OR('Loan Tape'!$AN246=0,'Loan Tape'!$Z246="Interest Only",'Loan Tape'!$Z246=""),0,MIN(MAX(0,K250-K856),IFERROR(MAX(0,MIN(9,'Loan Tape'!$AV246)-MAX(8,'Loan Tape'!$AT246))*IF(K553&lt;=0,K250/MAX(1,'Loan Tape'!$AU246-9+1),K553*K250/(1-(1+K553)^(-MAX(1,'Loan Tape'!$AU246-9+1)))-K553*K250),0)))</f>
        <v>0</v>
      </c>
      <c r="L1159" s="99" t="n">
        <f aca="false">IF(OR('Loan Tape'!$AN246=0,'Loan Tape'!$Z246="Interest Only",'Loan Tape'!$Z246=""),0,MIN(MAX(0,L250-L856),IFERROR(MAX(0,MIN(10,'Loan Tape'!$AV246)-MAX(9,'Loan Tape'!$AT246))*IF(L553&lt;=0,L250/MAX(1,'Loan Tape'!$AU246-10+1),L553*L250/(1-(1+L553)^(-MAX(1,'Loan Tape'!$AU246-10+1)))-L553*L250),0)))</f>
        <v>0</v>
      </c>
    </row>
    <row r="1160" customFormat="false" ht="15" hidden="false" customHeight="false" outlineLevel="0" collapsed="false">
      <c r="B1160" s="108" t="n">
        <f aca="false">'Loan Tape'!$A247</f>
        <v>0</v>
      </c>
      <c r="C1160" s="71" t="n">
        <f aca="false">IF(OR('Loan Tape'!$AN247=0,'Loan Tape'!$Z247="Interest Only",'Loan Tape'!$Z247=""),0,MIN(MAX(0,C251-C857),IFERROR(MAX(0,MIN(1,'Loan Tape'!$AV247)-MAX(0,'Loan Tape'!$AT247))*IF(C554&lt;=0,C251/MAX(1,'Loan Tape'!$AU247-1+1),C554*C251/(1-(1+C554)^(-MAX(1,'Loan Tape'!$AU247-1+1)))-C554*C251),0)))</f>
        <v>0</v>
      </c>
      <c r="D1160" s="71" t="n">
        <f aca="false">IF(OR('Loan Tape'!$AN247=0,'Loan Tape'!$Z247="Interest Only",'Loan Tape'!$Z247=""),0,MIN(MAX(0,D251-D857),IFERROR(MAX(0,MIN(2,'Loan Tape'!$AV247)-MAX(1,'Loan Tape'!$AT247))*IF(D554&lt;=0,D251/MAX(1,'Loan Tape'!$AU247-2+1),D554*D251/(1-(1+D554)^(-MAX(1,'Loan Tape'!$AU247-2+1)))-D554*D251),0)))</f>
        <v>0</v>
      </c>
      <c r="E1160" s="71" t="n">
        <f aca="false">IF(OR('Loan Tape'!$AN247=0,'Loan Tape'!$Z247="Interest Only",'Loan Tape'!$Z247=""),0,MIN(MAX(0,E251-E857),IFERROR(MAX(0,MIN(3,'Loan Tape'!$AV247)-MAX(2,'Loan Tape'!$AT247))*IF(E554&lt;=0,E251/MAX(1,'Loan Tape'!$AU247-3+1),E554*E251/(1-(1+E554)^(-MAX(1,'Loan Tape'!$AU247-3+1)))-E554*E251),0)))</f>
        <v>0</v>
      </c>
      <c r="F1160" s="71" t="n">
        <f aca="false">IF(OR('Loan Tape'!$AN247=0,'Loan Tape'!$Z247="Interest Only",'Loan Tape'!$Z247=""),0,MIN(MAX(0,F251-F857),IFERROR(MAX(0,MIN(4,'Loan Tape'!$AV247)-MAX(3,'Loan Tape'!$AT247))*IF(F554&lt;=0,F251/MAX(1,'Loan Tape'!$AU247-4+1),F554*F251/(1-(1+F554)^(-MAX(1,'Loan Tape'!$AU247-4+1)))-F554*F251),0)))</f>
        <v>0</v>
      </c>
      <c r="G1160" s="71" t="n">
        <f aca="false">IF(OR('Loan Tape'!$AN247=0,'Loan Tape'!$Z247="Interest Only",'Loan Tape'!$Z247=""),0,MIN(MAX(0,G251-G857),IFERROR(MAX(0,MIN(5,'Loan Tape'!$AV247)-MAX(4,'Loan Tape'!$AT247))*IF(G554&lt;=0,G251/MAX(1,'Loan Tape'!$AU247-5+1),G554*G251/(1-(1+G554)^(-MAX(1,'Loan Tape'!$AU247-5+1)))-G554*G251),0)))</f>
        <v>0</v>
      </c>
      <c r="H1160" s="71" t="n">
        <f aca="false">IF(OR('Loan Tape'!$AN247=0,'Loan Tape'!$Z247="Interest Only",'Loan Tape'!$Z247=""),0,MIN(MAX(0,H251-H857),IFERROR(MAX(0,MIN(6,'Loan Tape'!$AV247)-MAX(5,'Loan Tape'!$AT247))*IF(H554&lt;=0,H251/MAX(1,'Loan Tape'!$AU247-6+1),H554*H251/(1-(1+H554)^(-MAX(1,'Loan Tape'!$AU247-6+1)))-H554*H251),0)))</f>
        <v>0</v>
      </c>
      <c r="I1160" s="71" t="n">
        <f aca="false">IF(OR('Loan Tape'!$AN247=0,'Loan Tape'!$Z247="Interest Only",'Loan Tape'!$Z247=""),0,MIN(MAX(0,I251-I857),IFERROR(MAX(0,MIN(7,'Loan Tape'!$AV247)-MAX(6,'Loan Tape'!$AT247))*IF(I554&lt;=0,I251/MAX(1,'Loan Tape'!$AU247-7+1),I554*I251/(1-(1+I554)^(-MAX(1,'Loan Tape'!$AU247-7+1)))-I554*I251),0)))</f>
        <v>0</v>
      </c>
      <c r="J1160" s="71" t="n">
        <f aca="false">IF(OR('Loan Tape'!$AN247=0,'Loan Tape'!$Z247="Interest Only",'Loan Tape'!$Z247=""),0,MIN(MAX(0,J251-J857),IFERROR(MAX(0,MIN(8,'Loan Tape'!$AV247)-MAX(7,'Loan Tape'!$AT247))*IF(J554&lt;=0,J251/MAX(1,'Loan Tape'!$AU247-8+1),J554*J251/(1-(1+J554)^(-MAX(1,'Loan Tape'!$AU247-8+1)))-J554*J251),0)))</f>
        <v>0</v>
      </c>
      <c r="K1160" s="71" t="n">
        <f aca="false">IF(OR('Loan Tape'!$AN247=0,'Loan Tape'!$Z247="Interest Only",'Loan Tape'!$Z247=""),0,MIN(MAX(0,K251-K857),IFERROR(MAX(0,MIN(9,'Loan Tape'!$AV247)-MAX(8,'Loan Tape'!$AT247))*IF(K554&lt;=0,K251/MAX(1,'Loan Tape'!$AU247-9+1),K554*K251/(1-(1+K554)^(-MAX(1,'Loan Tape'!$AU247-9+1)))-K554*K251),0)))</f>
        <v>0</v>
      </c>
      <c r="L1160" s="71" t="n">
        <f aca="false">IF(OR('Loan Tape'!$AN247=0,'Loan Tape'!$Z247="Interest Only",'Loan Tape'!$Z247=""),0,MIN(MAX(0,L251-L857),IFERROR(MAX(0,MIN(10,'Loan Tape'!$AV247)-MAX(9,'Loan Tape'!$AT247))*IF(L554&lt;=0,L251/MAX(1,'Loan Tape'!$AU247-10+1),L554*L251/(1-(1+L554)^(-MAX(1,'Loan Tape'!$AU247-10+1)))-L554*L251),0)))</f>
        <v>0</v>
      </c>
    </row>
    <row r="1161" customFormat="false" ht="15" hidden="false" customHeight="false" outlineLevel="0" collapsed="false">
      <c r="B1161" s="102" t="n">
        <f aca="false">'Loan Tape'!$A248</f>
        <v>0</v>
      </c>
      <c r="C1161" s="99" t="n">
        <f aca="false">IF(OR('Loan Tape'!$AN248=0,'Loan Tape'!$Z248="Interest Only",'Loan Tape'!$Z248=""),0,MIN(MAX(0,C252-C858),IFERROR(MAX(0,MIN(1,'Loan Tape'!$AV248)-MAX(0,'Loan Tape'!$AT248))*IF(C555&lt;=0,C252/MAX(1,'Loan Tape'!$AU248-1+1),C555*C252/(1-(1+C555)^(-MAX(1,'Loan Tape'!$AU248-1+1)))-C555*C252),0)))</f>
        <v>0</v>
      </c>
      <c r="D1161" s="99" t="n">
        <f aca="false">IF(OR('Loan Tape'!$AN248=0,'Loan Tape'!$Z248="Interest Only",'Loan Tape'!$Z248=""),0,MIN(MAX(0,D252-D858),IFERROR(MAX(0,MIN(2,'Loan Tape'!$AV248)-MAX(1,'Loan Tape'!$AT248))*IF(D555&lt;=0,D252/MAX(1,'Loan Tape'!$AU248-2+1),D555*D252/(1-(1+D555)^(-MAX(1,'Loan Tape'!$AU248-2+1)))-D555*D252),0)))</f>
        <v>0</v>
      </c>
      <c r="E1161" s="99" t="n">
        <f aca="false">IF(OR('Loan Tape'!$AN248=0,'Loan Tape'!$Z248="Interest Only",'Loan Tape'!$Z248=""),0,MIN(MAX(0,E252-E858),IFERROR(MAX(0,MIN(3,'Loan Tape'!$AV248)-MAX(2,'Loan Tape'!$AT248))*IF(E555&lt;=0,E252/MAX(1,'Loan Tape'!$AU248-3+1),E555*E252/(1-(1+E555)^(-MAX(1,'Loan Tape'!$AU248-3+1)))-E555*E252),0)))</f>
        <v>0</v>
      </c>
      <c r="F1161" s="99" t="n">
        <f aca="false">IF(OR('Loan Tape'!$AN248=0,'Loan Tape'!$Z248="Interest Only",'Loan Tape'!$Z248=""),0,MIN(MAX(0,F252-F858),IFERROR(MAX(0,MIN(4,'Loan Tape'!$AV248)-MAX(3,'Loan Tape'!$AT248))*IF(F555&lt;=0,F252/MAX(1,'Loan Tape'!$AU248-4+1),F555*F252/(1-(1+F555)^(-MAX(1,'Loan Tape'!$AU248-4+1)))-F555*F252),0)))</f>
        <v>0</v>
      </c>
      <c r="G1161" s="99" t="n">
        <f aca="false">IF(OR('Loan Tape'!$AN248=0,'Loan Tape'!$Z248="Interest Only",'Loan Tape'!$Z248=""),0,MIN(MAX(0,G252-G858),IFERROR(MAX(0,MIN(5,'Loan Tape'!$AV248)-MAX(4,'Loan Tape'!$AT248))*IF(G555&lt;=0,G252/MAX(1,'Loan Tape'!$AU248-5+1),G555*G252/(1-(1+G555)^(-MAX(1,'Loan Tape'!$AU248-5+1)))-G555*G252),0)))</f>
        <v>0</v>
      </c>
      <c r="H1161" s="99" t="n">
        <f aca="false">IF(OR('Loan Tape'!$AN248=0,'Loan Tape'!$Z248="Interest Only",'Loan Tape'!$Z248=""),0,MIN(MAX(0,H252-H858),IFERROR(MAX(0,MIN(6,'Loan Tape'!$AV248)-MAX(5,'Loan Tape'!$AT248))*IF(H555&lt;=0,H252/MAX(1,'Loan Tape'!$AU248-6+1),H555*H252/(1-(1+H555)^(-MAX(1,'Loan Tape'!$AU248-6+1)))-H555*H252),0)))</f>
        <v>0</v>
      </c>
      <c r="I1161" s="99" t="n">
        <f aca="false">IF(OR('Loan Tape'!$AN248=0,'Loan Tape'!$Z248="Interest Only",'Loan Tape'!$Z248=""),0,MIN(MAX(0,I252-I858),IFERROR(MAX(0,MIN(7,'Loan Tape'!$AV248)-MAX(6,'Loan Tape'!$AT248))*IF(I555&lt;=0,I252/MAX(1,'Loan Tape'!$AU248-7+1),I555*I252/(1-(1+I555)^(-MAX(1,'Loan Tape'!$AU248-7+1)))-I555*I252),0)))</f>
        <v>0</v>
      </c>
      <c r="J1161" s="99" t="n">
        <f aca="false">IF(OR('Loan Tape'!$AN248=0,'Loan Tape'!$Z248="Interest Only",'Loan Tape'!$Z248=""),0,MIN(MAX(0,J252-J858),IFERROR(MAX(0,MIN(8,'Loan Tape'!$AV248)-MAX(7,'Loan Tape'!$AT248))*IF(J555&lt;=0,J252/MAX(1,'Loan Tape'!$AU248-8+1),J555*J252/(1-(1+J555)^(-MAX(1,'Loan Tape'!$AU248-8+1)))-J555*J252),0)))</f>
        <v>0</v>
      </c>
      <c r="K1161" s="99" t="n">
        <f aca="false">IF(OR('Loan Tape'!$AN248=0,'Loan Tape'!$Z248="Interest Only",'Loan Tape'!$Z248=""),0,MIN(MAX(0,K252-K858),IFERROR(MAX(0,MIN(9,'Loan Tape'!$AV248)-MAX(8,'Loan Tape'!$AT248))*IF(K555&lt;=0,K252/MAX(1,'Loan Tape'!$AU248-9+1),K555*K252/(1-(1+K555)^(-MAX(1,'Loan Tape'!$AU248-9+1)))-K555*K252),0)))</f>
        <v>0</v>
      </c>
      <c r="L1161" s="99" t="n">
        <f aca="false">IF(OR('Loan Tape'!$AN248=0,'Loan Tape'!$Z248="Interest Only",'Loan Tape'!$Z248=""),0,MIN(MAX(0,L252-L858),IFERROR(MAX(0,MIN(10,'Loan Tape'!$AV248)-MAX(9,'Loan Tape'!$AT248))*IF(L555&lt;=0,L252/MAX(1,'Loan Tape'!$AU248-10+1),L555*L252/(1-(1+L555)^(-MAX(1,'Loan Tape'!$AU248-10+1)))-L555*L252),0)))</f>
        <v>0</v>
      </c>
    </row>
    <row r="1162" customFormat="false" ht="15" hidden="false" customHeight="false" outlineLevel="0" collapsed="false">
      <c r="B1162" s="108" t="n">
        <f aca="false">'Loan Tape'!$A249</f>
        <v>0</v>
      </c>
      <c r="C1162" s="71" t="n">
        <f aca="false">IF(OR('Loan Tape'!$AN249=0,'Loan Tape'!$Z249="Interest Only",'Loan Tape'!$Z249=""),0,MIN(MAX(0,C253-C859),IFERROR(MAX(0,MIN(1,'Loan Tape'!$AV249)-MAX(0,'Loan Tape'!$AT249))*IF(C556&lt;=0,C253/MAX(1,'Loan Tape'!$AU249-1+1),C556*C253/(1-(1+C556)^(-MAX(1,'Loan Tape'!$AU249-1+1)))-C556*C253),0)))</f>
        <v>0</v>
      </c>
      <c r="D1162" s="71" t="n">
        <f aca="false">IF(OR('Loan Tape'!$AN249=0,'Loan Tape'!$Z249="Interest Only",'Loan Tape'!$Z249=""),0,MIN(MAX(0,D253-D859),IFERROR(MAX(0,MIN(2,'Loan Tape'!$AV249)-MAX(1,'Loan Tape'!$AT249))*IF(D556&lt;=0,D253/MAX(1,'Loan Tape'!$AU249-2+1),D556*D253/(1-(1+D556)^(-MAX(1,'Loan Tape'!$AU249-2+1)))-D556*D253),0)))</f>
        <v>0</v>
      </c>
      <c r="E1162" s="71" t="n">
        <f aca="false">IF(OR('Loan Tape'!$AN249=0,'Loan Tape'!$Z249="Interest Only",'Loan Tape'!$Z249=""),0,MIN(MAX(0,E253-E859),IFERROR(MAX(0,MIN(3,'Loan Tape'!$AV249)-MAX(2,'Loan Tape'!$AT249))*IF(E556&lt;=0,E253/MAX(1,'Loan Tape'!$AU249-3+1),E556*E253/(1-(1+E556)^(-MAX(1,'Loan Tape'!$AU249-3+1)))-E556*E253),0)))</f>
        <v>0</v>
      </c>
      <c r="F1162" s="71" t="n">
        <f aca="false">IF(OR('Loan Tape'!$AN249=0,'Loan Tape'!$Z249="Interest Only",'Loan Tape'!$Z249=""),0,MIN(MAX(0,F253-F859),IFERROR(MAX(0,MIN(4,'Loan Tape'!$AV249)-MAX(3,'Loan Tape'!$AT249))*IF(F556&lt;=0,F253/MAX(1,'Loan Tape'!$AU249-4+1),F556*F253/(1-(1+F556)^(-MAX(1,'Loan Tape'!$AU249-4+1)))-F556*F253),0)))</f>
        <v>0</v>
      </c>
      <c r="G1162" s="71" t="n">
        <f aca="false">IF(OR('Loan Tape'!$AN249=0,'Loan Tape'!$Z249="Interest Only",'Loan Tape'!$Z249=""),0,MIN(MAX(0,G253-G859),IFERROR(MAX(0,MIN(5,'Loan Tape'!$AV249)-MAX(4,'Loan Tape'!$AT249))*IF(G556&lt;=0,G253/MAX(1,'Loan Tape'!$AU249-5+1),G556*G253/(1-(1+G556)^(-MAX(1,'Loan Tape'!$AU249-5+1)))-G556*G253),0)))</f>
        <v>0</v>
      </c>
      <c r="H1162" s="71" t="n">
        <f aca="false">IF(OR('Loan Tape'!$AN249=0,'Loan Tape'!$Z249="Interest Only",'Loan Tape'!$Z249=""),0,MIN(MAX(0,H253-H859),IFERROR(MAX(0,MIN(6,'Loan Tape'!$AV249)-MAX(5,'Loan Tape'!$AT249))*IF(H556&lt;=0,H253/MAX(1,'Loan Tape'!$AU249-6+1),H556*H253/(1-(1+H556)^(-MAX(1,'Loan Tape'!$AU249-6+1)))-H556*H253),0)))</f>
        <v>0</v>
      </c>
      <c r="I1162" s="71" t="n">
        <f aca="false">IF(OR('Loan Tape'!$AN249=0,'Loan Tape'!$Z249="Interest Only",'Loan Tape'!$Z249=""),0,MIN(MAX(0,I253-I859),IFERROR(MAX(0,MIN(7,'Loan Tape'!$AV249)-MAX(6,'Loan Tape'!$AT249))*IF(I556&lt;=0,I253/MAX(1,'Loan Tape'!$AU249-7+1),I556*I253/(1-(1+I556)^(-MAX(1,'Loan Tape'!$AU249-7+1)))-I556*I253),0)))</f>
        <v>0</v>
      </c>
      <c r="J1162" s="71" t="n">
        <f aca="false">IF(OR('Loan Tape'!$AN249=0,'Loan Tape'!$Z249="Interest Only",'Loan Tape'!$Z249=""),0,MIN(MAX(0,J253-J859),IFERROR(MAX(0,MIN(8,'Loan Tape'!$AV249)-MAX(7,'Loan Tape'!$AT249))*IF(J556&lt;=0,J253/MAX(1,'Loan Tape'!$AU249-8+1),J556*J253/(1-(1+J556)^(-MAX(1,'Loan Tape'!$AU249-8+1)))-J556*J253),0)))</f>
        <v>0</v>
      </c>
      <c r="K1162" s="71" t="n">
        <f aca="false">IF(OR('Loan Tape'!$AN249=0,'Loan Tape'!$Z249="Interest Only",'Loan Tape'!$Z249=""),0,MIN(MAX(0,K253-K859),IFERROR(MAX(0,MIN(9,'Loan Tape'!$AV249)-MAX(8,'Loan Tape'!$AT249))*IF(K556&lt;=0,K253/MAX(1,'Loan Tape'!$AU249-9+1),K556*K253/(1-(1+K556)^(-MAX(1,'Loan Tape'!$AU249-9+1)))-K556*K253),0)))</f>
        <v>0</v>
      </c>
      <c r="L1162" s="71" t="n">
        <f aca="false">IF(OR('Loan Tape'!$AN249=0,'Loan Tape'!$Z249="Interest Only",'Loan Tape'!$Z249=""),0,MIN(MAX(0,L253-L859),IFERROR(MAX(0,MIN(10,'Loan Tape'!$AV249)-MAX(9,'Loan Tape'!$AT249))*IF(L556&lt;=0,L253/MAX(1,'Loan Tape'!$AU249-10+1),L556*L253/(1-(1+L556)^(-MAX(1,'Loan Tape'!$AU249-10+1)))-L556*L253),0)))</f>
        <v>0</v>
      </c>
    </row>
    <row r="1163" customFormat="false" ht="15" hidden="false" customHeight="false" outlineLevel="0" collapsed="false">
      <c r="B1163" s="102" t="n">
        <f aca="false">'Loan Tape'!$A250</f>
        <v>0</v>
      </c>
      <c r="C1163" s="99" t="n">
        <f aca="false">IF(OR('Loan Tape'!$AN250=0,'Loan Tape'!$Z250="Interest Only",'Loan Tape'!$Z250=""),0,MIN(MAX(0,C254-C860),IFERROR(MAX(0,MIN(1,'Loan Tape'!$AV250)-MAX(0,'Loan Tape'!$AT250))*IF(C557&lt;=0,C254/MAX(1,'Loan Tape'!$AU250-1+1),C557*C254/(1-(1+C557)^(-MAX(1,'Loan Tape'!$AU250-1+1)))-C557*C254),0)))</f>
        <v>0</v>
      </c>
      <c r="D1163" s="99" t="n">
        <f aca="false">IF(OR('Loan Tape'!$AN250=0,'Loan Tape'!$Z250="Interest Only",'Loan Tape'!$Z250=""),0,MIN(MAX(0,D254-D860),IFERROR(MAX(0,MIN(2,'Loan Tape'!$AV250)-MAX(1,'Loan Tape'!$AT250))*IF(D557&lt;=0,D254/MAX(1,'Loan Tape'!$AU250-2+1),D557*D254/(1-(1+D557)^(-MAX(1,'Loan Tape'!$AU250-2+1)))-D557*D254),0)))</f>
        <v>0</v>
      </c>
      <c r="E1163" s="99" t="n">
        <f aca="false">IF(OR('Loan Tape'!$AN250=0,'Loan Tape'!$Z250="Interest Only",'Loan Tape'!$Z250=""),0,MIN(MAX(0,E254-E860),IFERROR(MAX(0,MIN(3,'Loan Tape'!$AV250)-MAX(2,'Loan Tape'!$AT250))*IF(E557&lt;=0,E254/MAX(1,'Loan Tape'!$AU250-3+1),E557*E254/(1-(1+E557)^(-MAX(1,'Loan Tape'!$AU250-3+1)))-E557*E254),0)))</f>
        <v>0</v>
      </c>
      <c r="F1163" s="99" t="n">
        <f aca="false">IF(OR('Loan Tape'!$AN250=0,'Loan Tape'!$Z250="Interest Only",'Loan Tape'!$Z250=""),0,MIN(MAX(0,F254-F860),IFERROR(MAX(0,MIN(4,'Loan Tape'!$AV250)-MAX(3,'Loan Tape'!$AT250))*IF(F557&lt;=0,F254/MAX(1,'Loan Tape'!$AU250-4+1),F557*F254/(1-(1+F557)^(-MAX(1,'Loan Tape'!$AU250-4+1)))-F557*F254),0)))</f>
        <v>0</v>
      </c>
      <c r="G1163" s="99" t="n">
        <f aca="false">IF(OR('Loan Tape'!$AN250=0,'Loan Tape'!$Z250="Interest Only",'Loan Tape'!$Z250=""),0,MIN(MAX(0,G254-G860),IFERROR(MAX(0,MIN(5,'Loan Tape'!$AV250)-MAX(4,'Loan Tape'!$AT250))*IF(G557&lt;=0,G254/MAX(1,'Loan Tape'!$AU250-5+1),G557*G254/(1-(1+G557)^(-MAX(1,'Loan Tape'!$AU250-5+1)))-G557*G254),0)))</f>
        <v>0</v>
      </c>
      <c r="H1163" s="99" t="n">
        <f aca="false">IF(OR('Loan Tape'!$AN250=0,'Loan Tape'!$Z250="Interest Only",'Loan Tape'!$Z250=""),0,MIN(MAX(0,H254-H860),IFERROR(MAX(0,MIN(6,'Loan Tape'!$AV250)-MAX(5,'Loan Tape'!$AT250))*IF(H557&lt;=0,H254/MAX(1,'Loan Tape'!$AU250-6+1),H557*H254/(1-(1+H557)^(-MAX(1,'Loan Tape'!$AU250-6+1)))-H557*H254),0)))</f>
        <v>0</v>
      </c>
      <c r="I1163" s="99" t="n">
        <f aca="false">IF(OR('Loan Tape'!$AN250=0,'Loan Tape'!$Z250="Interest Only",'Loan Tape'!$Z250=""),0,MIN(MAX(0,I254-I860),IFERROR(MAX(0,MIN(7,'Loan Tape'!$AV250)-MAX(6,'Loan Tape'!$AT250))*IF(I557&lt;=0,I254/MAX(1,'Loan Tape'!$AU250-7+1),I557*I254/(1-(1+I557)^(-MAX(1,'Loan Tape'!$AU250-7+1)))-I557*I254),0)))</f>
        <v>0</v>
      </c>
      <c r="J1163" s="99" t="n">
        <f aca="false">IF(OR('Loan Tape'!$AN250=0,'Loan Tape'!$Z250="Interest Only",'Loan Tape'!$Z250=""),0,MIN(MAX(0,J254-J860),IFERROR(MAX(0,MIN(8,'Loan Tape'!$AV250)-MAX(7,'Loan Tape'!$AT250))*IF(J557&lt;=0,J254/MAX(1,'Loan Tape'!$AU250-8+1),J557*J254/(1-(1+J557)^(-MAX(1,'Loan Tape'!$AU250-8+1)))-J557*J254),0)))</f>
        <v>0</v>
      </c>
      <c r="K1163" s="99" t="n">
        <f aca="false">IF(OR('Loan Tape'!$AN250=0,'Loan Tape'!$Z250="Interest Only",'Loan Tape'!$Z250=""),0,MIN(MAX(0,K254-K860),IFERROR(MAX(0,MIN(9,'Loan Tape'!$AV250)-MAX(8,'Loan Tape'!$AT250))*IF(K557&lt;=0,K254/MAX(1,'Loan Tape'!$AU250-9+1),K557*K254/(1-(1+K557)^(-MAX(1,'Loan Tape'!$AU250-9+1)))-K557*K254),0)))</f>
        <v>0</v>
      </c>
      <c r="L1163" s="99" t="n">
        <f aca="false">IF(OR('Loan Tape'!$AN250=0,'Loan Tape'!$Z250="Interest Only",'Loan Tape'!$Z250=""),0,MIN(MAX(0,L254-L860),IFERROR(MAX(0,MIN(10,'Loan Tape'!$AV250)-MAX(9,'Loan Tape'!$AT250))*IF(L557&lt;=0,L254/MAX(1,'Loan Tape'!$AU250-10+1),L557*L254/(1-(1+L557)^(-MAX(1,'Loan Tape'!$AU250-10+1)))-L557*L254),0)))</f>
        <v>0</v>
      </c>
    </row>
    <row r="1164" customFormat="false" ht="15" hidden="false" customHeight="false" outlineLevel="0" collapsed="false">
      <c r="B1164" s="108" t="n">
        <f aca="false">'Loan Tape'!$A251</f>
        <v>0</v>
      </c>
      <c r="C1164" s="71" t="n">
        <f aca="false">IF(OR('Loan Tape'!$AN251=0,'Loan Tape'!$Z251="Interest Only",'Loan Tape'!$Z251=""),0,MIN(MAX(0,C255-C861),IFERROR(MAX(0,MIN(1,'Loan Tape'!$AV251)-MAX(0,'Loan Tape'!$AT251))*IF(C558&lt;=0,C255/MAX(1,'Loan Tape'!$AU251-1+1),C558*C255/(1-(1+C558)^(-MAX(1,'Loan Tape'!$AU251-1+1)))-C558*C255),0)))</f>
        <v>0</v>
      </c>
      <c r="D1164" s="71" t="n">
        <f aca="false">IF(OR('Loan Tape'!$AN251=0,'Loan Tape'!$Z251="Interest Only",'Loan Tape'!$Z251=""),0,MIN(MAX(0,D255-D861),IFERROR(MAX(0,MIN(2,'Loan Tape'!$AV251)-MAX(1,'Loan Tape'!$AT251))*IF(D558&lt;=0,D255/MAX(1,'Loan Tape'!$AU251-2+1),D558*D255/(1-(1+D558)^(-MAX(1,'Loan Tape'!$AU251-2+1)))-D558*D255),0)))</f>
        <v>0</v>
      </c>
      <c r="E1164" s="71" t="n">
        <f aca="false">IF(OR('Loan Tape'!$AN251=0,'Loan Tape'!$Z251="Interest Only",'Loan Tape'!$Z251=""),0,MIN(MAX(0,E255-E861),IFERROR(MAX(0,MIN(3,'Loan Tape'!$AV251)-MAX(2,'Loan Tape'!$AT251))*IF(E558&lt;=0,E255/MAX(1,'Loan Tape'!$AU251-3+1),E558*E255/(1-(1+E558)^(-MAX(1,'Loan Tape'!$AU251-3+1)))-E558*E255),0)))</f>
        <v>0</v>
      </c>
      <c r="F1164" s="71" t="n">
        <f aca="false">IF(OR('Loan Tape'!$AN251=0,'Loan Tape'!$Z251="Interest Only",'Loan Tape'!$Z251=""),0,MIN(MAX(0,F255-F861),IFERROR(MAX(0,MIN(4,'Loan Tape'!$AV251)-MAX(3,'Loan Tape'!$AT251))*IF(F558&lt;=0,F255/MAX(1,'Loan Tape'!$AU251-4+1),F558*F255/(1-(1+F558)^(-MAX(1,'Loan Tape'!$AU251-4+1)))-F558*F255),0)))</f>
        <v>0</v>
      </c>
      <c r="G1164" s="71" t="n">
        <f aca="false">IF(OR('Loan Tape'!$AN251=0,'Loan Tape'!$Z251="Interest Only",'Loan Tape'!$Z251=""),0,MIN(MAX(0,G255-G861),IFERROR(MAX(0,MIN(5,'Loan Tape'!$AV251)-MAX(4,'Loan Tape'!$AT251))*IF(G558&lt;=0,G255/MAX(1,'Loan Tape'!$AU251-5+1),G558*G255/(1-(1+G558)^(-MAX(1,'Loan Tape'!$AU251-5+1)))-G558*G255),0)))</f>
        <v>0</v>
      </c>
      <c r="H1164" s="71" t="n">
        <f aca="false">IF(OR('Loan Tape'!$AN251=0,'Loan Tape'!$Z251="Interest Only",'Loan Tape'!$Z251=""),0,MIN(MAX(0,H255-H861),IFERROR(MAX(0,MIN(6,'Loan Tape'!$AV251)-MAX(5,'Loan Tape'!$AT251))*IF(H558&lt;=0,H255/MAX(1,'Loan Tape'!$AU251-6+1),H558*H255/(1-(1+H558)^(-MAX(1,'Loan Tape'!$AU251-6+1)))-H558*H255),0)))</f>
        <v>0</v>
      </c>
      <c r="I1164" s="71" t="n">
        <f aca="false">IF(OR('Loan Tape'!$AN251=0,'Loan Tape'!$Z251="Interest Only",'Loan Tape'!$Z251=""),0,MIN(MAX(0,I255-I861),IFERROR(MAX(0,MIN(7,'Loan Tape'!$AV251)-MAX(6,'Loan Tape'!$AT251))*IF(I558&lt;=0,I255/MAX(1,'Loan Tape'!$AU251-7+1),I558*I255/(1-(1+I558)^(-MAX(1,'Loan Tape'!$AU251-7+1)))-I558*I255),0)))</f>
        <v>0</v>
      </c>
      <c r="J1164" s="71" t="n">
        <f aca="false">IF(OR('Loan Tape'!$AN251=0,'Loan Tape'!$Z251="Interest Only",'Loan Tape'!$Z251=""),0,MIN(MAX(0,J255-J861),IFERROR(MAX(0,MIN(8,'Loan Tape'!$AV251)-MAX(7,'Loan Tape'!$AT251))*IF(J558&lt;=0,J255/MAX(1,'Loan Tape'!$AU251-8+1),J558*J255/(1-(1+J558)^(-MAX(1,'Loan Tape'!$AU251-8+1)))-J558*J255),0)))</f>
        <v>0</v>
      </c>
      <c r="K1164" s="71" t="n">
        <f aca="false">IF(OR('Loan Tape'!$AN251=0,'Loan Tape'!$Z251="Interest Only",'Loan Tape'!$Z251=""),0,MIN(MAX(0,K255-K861),IFERROR(MAX(0,MIN(9,'Loan Tape'!$AV251)-MAX(8,'Loan Tape'!$AT251))*IF(K558&lt;=0,K255/MAX(1,'Loan Tape'!$AU251-9+1),K558*K255/(1-(1+K558)^(-MAX(1,'Loan Tape'!$AU251-9+1)))-K558*K255),0)))</f>
        <v>0</v>
      </c>
      <c r="L1164" s="71" t="n">
        <f aca="false">IF(OR('Loan Tape'!$AN251=0,'Loan Tape'!$Z251="Interest Only",'Loan Tape'!$Z251=""),0,MIN(MAX(0,L255-L861),IFERROR(MAX(0,MIN(10,'Loan Tape'!$AV251)-MAX(9,'Loan Tape'!$AT251))*IF(L558&lt;=0,L255/MAX(1,'Loan Tape'!$AU251-10+1),L558*L255/(1-(1+L558)^(-MAX(1,'Loan Tape'!$AU251-10+1)))-L558*L255),0)))</f>
        <v>0</v>
      </c>
    </row>
    <row r="1165" customFormat="false" ht="15" hidden="false" customHeight="false" outlineLevel="0" collapsed="false">
      <c r="B1165" s="102" t="n">
        <f aca="false">'Loan Tape'!$A252</f>
        <v>0</v>
      </c>
      <c r="C1165" s="99" t="n">
        <f aca="false">IF(OR('Loan Tape'!$AN252=0,'Loan Tape'!$Z252="Interest Only",'Loan Tape'!$Z252=""),0,MIN(MAX(0,C256-C862),IFERROR(MAX(0,MIN(1,'Loan Tape'!$AV252)-MAX(0,'Loan Tape'!$AT252))*IF(C559&lt;=0,C256/MAX(1,'Loan Tape'!$AU252-1+1),C559*C256/(1-(1+C559)^(-MAX(1,'Loan Tape'!$AU252-1+1)))-C559*C256),0)))</f>
        <v>0</v>
      </c>
      <c r="D1165" s="99" t="n">
        <f aca="false">IF(OR('Loan Tape'!$AN252=0,'Loan Tape'!$Z252="Interest Only",'Loan Tape'!$Z252=""),0,MIN(MAX(0,D256-D862),IFERROR(MAX(0,MIN(2,'Loan Tape'!$AV252)-MAX(1,'Loan Tape'!$AT252))*IF(D559&lt;=0,D256/MAX(1,'Loan Tape'!$AU252-2+1),D559*D256/(1-(1+D559)^(-MAX(1,'Loan Tape'!$AU252-2+1)))-D559*D256),0)))</f>
        <v>0</v>
      </c>
      <c r="E1165" s="99" t="n">
        <f aca="false">IF(OR('Loan Tape'!$AN252=0,'Loan Tape'!$Z252="Interest Only",'Loan Tape'!$Z252=""),0,MIN(MAX(0,E256-E862),IFERROR(MAX(0,MIN(3,'Loan Tape'!$AV252)-MAX(2,'Loan Tape'!$AT252))*IF(E559&lt;=0,E256/MAX(1,'Loan Tape'!$AU252-3+1),E559*E256/(1-(1+E559)^(-MAX(1,'Loan Tape'!$AU252-3+1)))-E559*E256),0)))</f>
        <v>0</v>
      </c>
      <c r="F1165" s="99" t="n">
        <f aca="false">IF(OR('Loan Tape'!$AN252=0,'Loan Tape'!$Z252="Interest Only",'Loan Tape'!$Z252=""),0,MIN(MAX(0,F256-F862),IFERROR(MAX(0,MIN(4,'Loan Tape'!$AV252)-MAX(3,'Loan Tape'!$AT252))*IF(F559&lt;=0,F256/MAX(1,'Loan Tape'!$AU252-4+1),F559*F256/(1-(1+F559)^(-MAX(1,'Loan Tape'!$AU252-4+1)))-F559*F256),0)))</f>
        <v>0</v>
      </c>
      <c r="G1165" s="99" t="n">
        <f aca="false">IF(OR('Loan Tape'!$AN252=0,'Loan Tape'!$Z252="Interest Only",'Loan Tape'!$Z252=""),0,MIN(MAX(0,G256-G862),IFERROR(MAX(0,MIN(5,'Loan Tape'!$AV252)-MAX(4,'Loan Tape'!$AT252))*IF(G559&lt;=0,G256/MAX(1,'Loan Tape'!$AU252-5+1),G559*G256/(1-(1+G559)^(-MAX(1,'Loan Tape'!$AU252-5+1)))-G559*G256),0)))</f>
        <v>0</v>
      </c>
      <c r="H1165" s="99" t="n">
        <f aca="false">IF(OR('Loan Tape'!$AN252=0,'Loan Tape'!$Z252="Interest Only",'Loan Tape'!$Z252=""),0,MIN(MAX(0,H256-H862),IFERROR(MAX(0,MIN(6,'Loan Tape'!$AV252)-MAX(5,'Loan Tape'!$AT252))*IF(H559&lt;=0,H256/MAX(1,'Loan Tape'!$AU252-6+1),H559*H256/(1-(1+H559)^(-MAX(1,'Loan Tape'!$AU252-6+1)))-H559*H256),0)))</f>
        <v>0</v>
      </c>
      <c r="I1165" s="99" t="n">
        <f aca="false">IF(OR('Loan Tape'!$AN252=0,'Loan Tape'!$Z252="Interest Only",'Loan Tape'!$Z252=""),0,MIN(MAX(0,I256-I862),IFERROR(MAX(0,MIN(7,'Loan Tape'!$AV252)-MAX(6,'Loan Tape'!$AT252))*IF(I559&lt;=0,I256/MAX(1,'Loan Tape'!$AU252-7+1),I559*I256/(1-(1+I559)^(-MAX(1,'Loan Tape'!$AU252-7+1)))-I559*I256),0)))</f>
        <v>0</v>
      </c>
      <c r="J1165" s="99" t="n">
        <f aca="false">IF(OR('Loan Tape'!$AN252=0,'Loan Tape'!$Z252="Interest Only",'Loan Tape'!$Z252=""),0,MIN(MAX(0,J256-J862),IFERROR(MAX(0,MIN(8,'Loan Tape'!$AV252)-MAX(7,'Loan Tape'!$AT252))*IF(J559&lt;=0,J256/MAX(1,'Loan Tape'!$AU252-8+1),J559*J256/(1-(1+J559)^(-MAX(1,'Loan Tape'!$AU252-8+1)))-J559*J256),0)))</f>
        <v>0</v>
      </c>
      <c r="K1165" s="99" t="n">
        <f aca="false">IF(OR('Loan Tape'!$AN252=0,'Loan Tape'!$Z252="Interest Only",'Loan Tape'!$Z252=""),0,MIN(MAX(0,K256-K862),IFERROR(MAX(0,MIN(9,'Loan Tape'!$AV252)-MAX(8,'Loan Tape'!$AT252))*IF(K559&lt;=0,K256/MAX(1,'Loan Tape'!$AU252-9+1),K559*K256/(1-(1+K559)^(-MAX(1,'Loan Tape'!$AU252-9+1)))-K559*K256),0)))</f>
        <v>0</v>
      </c>
      <c r="L1165" s="99" t="n">
        <f aca="false">IF(OR('Loan Tape'!$AN252=0,'Loan Tape'!$Z252="Interest Only",'Loan Tape'!$Z252=""),0,MIN(MAX(0,L256-L862),IFERROR(MAX(0,MIN(10,'Loan Tape'!$AV252)-MAX(9,'Loan Tape'!$AT252))*IF(L559&lt;=0,L256/MAX(1,'Loan Tape'!$AU252-10+1),L559*L256/(1-(1+L559)^(-MAX(1,'Loan Tape'!$AU252-10+1)))-L559*L256),0)))</f>
        <v>0</v>
      </c>
    </row>
    <row r="1166" customFormat="false" ht="15" hidden="false" customHeight="false" outlineLevel="0" collapsed="false">
      <c r="B1166" s="108" t="n">
        <f aca="false">'Loan Tape'!$A253</f>
        <v>0</v>
      </c>
      <c r="C1166" s="71" t="n">
        <f aca="false">IF(OR('Loan Tape'!$AN253=0,'Loan Tape'!$Z253="Interest Only",'Loan Tape'!$Z253=""),0,MIN(MAX(0,C257-C863),IFERROR(MAX(0,MIN(1,'Loan Tape'!$AV253)-MAX(0,'Loan Tape'!$AT253))*IF(C560&lt;=0,C257/MAX(1,'Loan Tape'!$AU253-1+1),C560*C257/(1-(1+C560)^(-MAX(1,'Loan Tape'!$AU253-1+1)))-C560*C257),0)))</f>
        <v>0</v>
      </c>
      <c r="D1166" s="71" t="n">
        <f aca="false">IF(OR('Loan Tape'!$AN253=0,'Loan Tape'!$Z253="Interest Only",'Loan Tape'!$Z253=""),0,MIN(MAX(0,D257-D863),IFERROR(MAX(0,MIN(2,'Loan Tape'!$AV253)-MAX(1,'Loan Tape'!$AT253))*IF(D560&lt;=0,D257/MAX(1,'Loan Tape'!$AU253-2+1),D560*D257/(1-(1+D560)^(-MAX(1,'Loan Tape'!$AU253-2+1)))-D560*D257),0)))</f>
        <v>0</v>
      </c>
      <c r="E1166" s="71" t="n">
        <f aca="false">IF(OR('Loan Tape'!$AN253=0,'Loan Tape'!$Z253="Interest Only",'Loan Tape'!$Z253=""),0,MIN(MAX(0,E257-E863),IFERROR(MAX(0,MIN(3,'Loan Tape'!$AV253)-MAX(2,'Loan Tape'!$AT253))*IF(E560&lt;=0,E257/MAX(1,'Loan Tape'!$AU253-3+1),E560*E257/(1-(1+E560)^(-MAX(1,'Loan Tape'!$AU253-3+1)))-E560*E257),0)))</f>
        <v>0</v>
      </c>
      <c r="F1166" s="71" t="n">
        <f aca="false">IF(OR('Loan Tape'!$AN253=0,'Loan Tape'!$Z253="Interest Only",'Loan Tape'!$Z253=""),0,MIN(MAX(0,F257-F863),IFERROR(MAX(0,MIN(4,'Loan Tape'!$AV253)-MAX(3,'Loan Tape'!$AT253))*IF(F560&lt;=0,F257/MAX(1,'Loan Tape'!$AU253-4+1),F560*F257/(1-(1+F560)^(-MAX(1,'Loan Tape'!$AU253-4+1)))-F560*F257),0)))</f>
        <v>0</v>
      </c>
      <c r="G1166" s="71" t="n">
        <f aca="false">IF(OR('Loan Tape'!$AN253=0,'Loan Tape'!$Z253="Interest Only",'Loan Tape'!$Z253=""),0,MIN(MAX(0,G257-G863),IFERROR(MAX(0,MIN(5,'Loan Tape'!$AV253)-MAX(4,'Loan Tape'!$AT253))*IF(G560&lt;=0,G257/MAX(1,'Loan Tape'!$AU253-5+1),G560*G257/(1-(1+G560)^(-MAX(1,'Loan Tape'!$AU253-5+1)))-G560*G257),0)))</f>
        <v>0</v>
      </c>
      <c r="H1166" s="71" t="n">
        <f aca="false">IF(OR('Loan Tape'!$AN253=0,'Loan Tape'!$Z253="Interest Only",'Loan Tape'!$Z253=""),0,MIN(MAX(0,H257-H863),IFERROR(MAX(0,MIN(6,'Loan Tape'!$AV253)-MAX(5,'Loan Tape'!$AT253))*IF(H560&lt;=0,H257/MAX(1,'Loan Tape'!$AU253-6+1),H560*H257/(1-(1+H560)^(-MAX(1,'Loan Tape'!$AU253-6+1)))-H560*H257),0)))</f>
        <v>0</v>
      </c>
      <c r="I1166" s="71" t="n">
        <f aca="false">IF(OR('Loan Tape'!$AN253=0,'Loan Tape'!$Z253="Interest Only",'Loan Tape'!$Z253=""),0,MIN(MAX(0,I257-I863),IFERROR(MAX(0,MIN(7,'Loan Tape'!$AV253)-MAX(6,'Loan Tape'!$AT253))*IF(I560&lt;=0,I257/MAX(1,'Loan Tape'!$AU253-7+1),I560*I257/(1-(1+I560)^(-MAX(1,'Loan Tape'!$AU253-7+1)))-I560*I257),0)))</f>
        <v>0</v>
      </c>
      <c r="J1166" s="71" t="n">
        <f aca="false">IF(OR('Loan Tape'!$AN253=0,'Loan Tape'!$Z253="Interest Only",'Loan Tape'!$Z253=""),0,MIN(MAX(0,J257-J863),IFERROR(MAX(0,MIN(8,'Loan Tape'!$AV253)-MAX(7,'Loan Tape'!$AT253))*IF(J560&lt;=0,J257/MAX(1,'Loan Tape'!$AU253-8+1),J560*J257/(1-(1+J560)^(-MAX(1,'Loan Tape'!$AU253-8+1)))-J560*J257),0)))</f>
        <v>0</v>
      </c>
      <c r="K1166" s="71" t="n">
        <f aca="false">IF(OR('Loan Tape'!$AN253=0,'Loan Tape'!$Z253="Interest Only",'Loan Tape'!$Z253=""),0,MIN(MAX(0,K257-K863),IFERROR(MAX(0,MIN(9,'Loan Tape'!$AV253)-MAX(8,'Loan Tape'!$AT253))*IF(K560&lt;=0,K257/MAX(1,'Loan Tape'!$AU253-9+1),K560*K257/(1-(1+K560)^(-MAX(1,'Loan Tape'!$AU253-9+1)))-K560*K257),0)))</f>
        <v>0</v>
      </c>
      <c r="L1166" s="71" t="n">
        <f aca="false">IF(OR('Loan Tape'!$AN253=0,'Loan Tape'!$Z253="Interest Only",'Loan Tape'!$Z253=""),0,MIN(MAX(0,L257-L863),IFERROR(MAX(0,MIN(10,'Loan Tape'!$AV253)-MAX(9,'Loan Tape'!$AT253))*IF(L560&lt;=0,L257/MAX(1,'Loan Tape'!$AU253-10+1),L560*L257/(1-(1+L560)^(-MAX(1,'Loan Tape'!$AU253-10+1)))-L560*L257),0)))</f>
        <v>0</v>
      </c>
    </row>
    <row r="1167" customFormat="false" ht="15" hidden="false" customHeight="false" outlineLevel="0" collapsed="false">
      <c r="B1167" s="102" t="n">
        <f aca="false">'Loan Tape'!$A254</f>
        <v>0</v>
      </c>
      <c r="C1167" s="99" t="n">
        <f aca="false">IF(OR('Loan Tape'!$AN254=0,'Loan Tape'!$Z254="Interest Only",'Loan Tape'!$Z254=""),0,MIN(MAX(0,C258-C864),IFERROR(MAX(0,MIN(1,'Loan Tape'!$AV254)-MAX(0,'Loan Tape'!$AT254))*IF(C561&lt;=0,C258/MAX(1,'Loan Tape'!$AU254-1+1),C561*C258/(1-(1+C561)^(-MAX(1,'Loan Tape'!$AU254-1+1)))-C561*C258),0)))</f>
        <v>0</v>
      </c>
      <c r="D1167" s="99" t="n">
        <f aca="false">IF(OR('Loan Tape'!$AN254=0,'Loan Tape'!$Z254="Interest Only",'Loan Tape'!$Z254=""),0,MIN(MAX(0,D258-D864),IFERROR(MAX(0,MIN(2,'Loan Tape'!$AV254)-MAX(1,'Loan Tape'!$AT254))*IF(D561&lt;=0,D258/MAX(1,'Loan Tape'!$AU254-2+1),D561*D258/(1-(1+D561)^(-MAX(1,'Loan Tape'!$AU254-2+1)))-D561*D258),0)))</f>
        <v>0</v>
      </c>
      <c r="E1167" s="99" t="n">
        <f aca="false">IF(OR('Loan Tape'!$AN254=0,'Loan Tape'!$Z254="Interest Only",'Loan Tape'!$Z254=""),0,MIN(MAX(0,E258-E864),IFERROR(MAX(0,MIN(3,'Loan Tape'!$AV254)-MAX(2,'Loan Tape'!$AT254))*IF(E561&lt;=0,E258/MAX(1,'Loan Tape'!$AU254-3+1),E561*E258/(1-(1+E561)^(-MAX(1,'Loan Tape'!$AU254-3+1)))-E561*E258),0)))</f>
        <v>0</v>
      </c>
      <c r="F1167" s="99" t="n">
        <f aca="false">IF(OR('Loan Tape'!$AN254=0,'Loan Tape'!$Z254="Interest Only",'Loan Tape'!$Z254=""),0,MIN(MAX(0,F258-F864),IFERROR(MAX(0,MIN(4,'Loan Tape'!$AV254)-MAX(3,'Loan Tape'!$AT254))*IF(F561&lt;=0,F258/MAX(1,'Loan Tape'!$AU254-4+1),F561*F258/(1-(1+F561)^(-MAX(1,'Loan Tape'!$AU254-4+1)))-F561*F258),0)))</f>
        <v>0</v>
      </c>
      <c r="G1167" s="99" t="n">
        <f aca="false">IF(OR('Loan Tape'!$AN254=0,'Loan Tape'!$Z254="Interest Only",'Loan Tape'!$Z254=""),0,MIN(MAX(0,G258-G864),IFERROR(MAX(0,MIN(5,'Loan Tape'!$AV254)-MAX(4,'Loan Tape'!$AT254))*IF(G561&lt;=0,G258/MAX(1,'Loan Tape'!$AU254-5+1),G561*G258/(1-(1+G561)^(-MAX(1,'Loan Tape'!$AU254-5+1)))-G561*G258),0)))</f>
        <v>0</v>
      </c>
      <c r="H1167" s="99" t="n">
        <f aca="false">IF(OR('Loan Tape'!$AN254=0,'Loan Tape'!$Z254="Interest Only",'Loan Tape'!$Z254=""),0,MIN(MAX(0,H258-H864),IFERROR(MAX(0,MIN(6,'Loan Tape'!$AV254)-MAX(5,'Loan Tape'!$AT254))*IF(H561&lt;=0,H258/MAX(1,'Loan Tape'!$AU254-6+1),H561*H258/(1-(1+H561)^(-MAX(1,'Loan Tape'!$AU254-6+1)))-H561*H258),0)))</f>
        <v>0</v>
      </c>
      <c r="I1167" s="99" t="n">
        <f aca="false">IF(OR('Loan Tape'!$AN254=0,'Loan Tape'!$Z254="Interest Only",'Loan Tape'!$Z254=""),0,MIN(MAX(0,I258-I864),IFERROR(MAX(0,MIN(7,'Loan Tape'!$AV254)-MAX(6,'Loan Tape'!$AT254))*IF(I561&lt;=0,I258/MAX(1,'Loan Tape'!$AU254-7+1),I561*I258/(1-(1+I561)^(-MAX(1,'Loan Tape'!$AU254-7+1)))-I561*I258),0)))</f>
        <v>0</v>
      </c>
      <c r="J1167" s="99" t="n">
        <f aca="false">IF(OR('Loan Tape'!$AN254=0,'Loan Tape'!$Z254="Interest Only",'Loan Tape'!$Z254=""),0,MIN(MAX(0,J258-J864),IFERROR(MAX(0,MIN(8,'Loan Tape'!$AV254)-MAX(7,'Loan Tape'!$AT254))*IF(J561&lt;=0,J258/MAX(1,'Loan Tape'!$AU254-8+1),J561*J258/(1-(1+J561)^(-MAX(1,'Loan Tape'!$AU254-8+1)))-J561*J258),0)))</f>
        <v>0</v>
      </c>
      <c r="K1167" s="99" t="n">
        <f aca="false">IF(OR('Loan Tape'!$AN254=0,'Loan Tape'!$Z254="Interest Only",'Loan Tape'!$Z254=""),0,MIN(MAX(0,K258-K864),IFERROR(MAX(0,MIN(9,'Loan Tape'!$AV254)-MAX(8,'Loan Tape'!$AT254))*IF(K561&lt;=0,K258/MAX(1,'Loan Tape'!$AU254-9+1),K561*K258/(1-(1+K561)^(-MAX(1,'Loan Tape'!$AU254-9+1)))-K561*K258),0)))</f>
        <v>0</v>
      </c>
      <c r="L1167" s="99" t="n">
        <f aca="false">IF(OR('Loan Tape'!$AN254=0,'Loan Tape'!$Z254="Interest Only",'Loan Tape'!$Z254=""),0,MIN(MAX(0,L258-L864),IFERROR(MAX(0,MIN(10,'Loan Tape'!$AV254)-MAX(9,'Loan Tape'!$AT254))*IF(L561&lt;=0,L258/MAX(1,'Loan Tape'!$AU254-10+1),L561*L258/(1-(1+L561)^(-MAX(1,'Loan Tape'!$AU254-10+1)))-L561*L258),0)))</f>
        <v>0</v>
      </c>
    </row>
    <row r="1168" customFormat="false" ht="15" hidden="false" customHeight="false" outlineLevel="0" collapsed="false">
      <c r="B1168" s="108" t="n">
        <f aca="false">'Loan Tape'!$A255</f>
        <v>0</v>
      </c>
      <c r="C1168" s="71" t="n">
        <f aca="false">IF(OR('Loan Tape'!$AN255=0,'Loan Tape'!$Z255="Interest Only",'Loan Tape'!$Z255=""),0,MIN(MAX(0,C259-C865),IFERROR(MAX(0,MIN(1,'Loan Tape'!$AV255)-MAX(0,'Loan Tape'!$AT255))*IF(C562&lt;=0,C259/MAX(1,'Loan Tape'!$AU255-1+1),C562*C259/(1-(1+C562)^(-MAX(1,'Loan Tape'!$AU255-1+1)))-C562*C259),0)))</f>
        <v>0</v>
      </c>
      <c r="D1168" s="71" t="n">
        <f aca="false">IF(OR('Loan Tape'!$AN255=0,'Loan Tape'!$Z255="Interest Only",'Loan Tape'!$Z255=""),0,MIN(MAX(0,D259-D865),IFERROR(MAX(0,MIN(2,'Loan Tape'!$AV255)-MAX(1,'Loan Tape'!$AT255))*IF(D562&lt;=0,D259/MAX(1,'Loan Tape'!$AU255-2+1),D562*D259/(1-(1+D562)^(-MAX(1,'Loan Tape'!$AU255-2+1)))-D562*D259),0)))</f>
        <v>0</v>
      </c>
      <c r="E1168" s="71" t="n">
        <f aca="false">IF(OR('Loan Tape'!$AN255=0,'Loan Tape'!$Z255="Interest Only",'Loan Tape'!$Z255=""),0,MIN(MAX(0,E259-E865),IFERROR(MAX(0,MIN(3,'Loan Tape'!$AV255)-MAX(2,'Loan Tape'!$AT255))*IF(E562&lt;=0,E259/MAX(1,'Loan Tape'!$AU255-3+1),E562*E259/(1-(1+E562)^(-MAX(1,'Loan Tape'!$AU255-3+1)))-E562*E259),0)))</f>
        <v>0</v>
      </c>
      <c r="F1168" s="71" t="n">
        <f aca="false">IF(OR('Loan Tape'!$AN255=0,'Loan Tape'!$Z255="Interest Only",'Loan Tape'!$Z255=""),0,MIN(MAX(0,F259-F865),IFERROR(MAX(0,MIN(4,'Loan Tape'!$AV255)-MAX(3,'Loan Tape'!$AT255))*IF(F562&lt;=0,F259/MAX(1,'Loan Tape'!$AU255-4+1),F562*F259/(1-(1+F562)^(-MAX(1,'Loan Tape'!$AU255-4+1)))-F562*F259),0)))</f>
        <v>0</v>
      </c>
      <c r="G1168" s="71" t="n">
        <f aca="false">IF(OR('Loan Tape'!$AN255=0,'Loan Tape'!$Z255="Interest Only",'Loan Tape'!$Z255=""),0,MIN(MAX(0,G259-G865),IFERROR(MAX(0,MIN(5,'Loan Tape'!$AV255)-MAX(4,'Loan Tape'!$AT255))*IF(G562&lt;=0,G259/MAX(1,'Loan Tape'!$AU255-5+1),G562*G259/(1-(1+G562)^(-MAX(1,'Loan Tape'!$AU255-5+1)))-G562*G259),0)))</f>
        <v>0</v>
      </c>
      <c r="H1168" s="71" t="n">
        <f aca="false">IF(OR('Loan Tape'!$AN255=0,'Loan Tape'!$Z255="Interest Only",'Loan Tape'!$Z255=""),0,MIN(MAX(0,H259-H865),IFERROR(MAX(0,MIN(6,'Loan Tape'!$AV255)-MAX(5,'Loan Tape'!$AT255))*IF(H562&lt;=0,H259/MAX(1,'Loan Tape'!$AU255-6+1),H562*H259/(1-(1+H562)^(-MAX(1,'Loan Tape'!$AU255-6+1)))-H562*H259),0)))</f>
        <v>0</v>
      </c>
      <c r="I1168" s="71" t="n">
        <f aca="false">IF(OR('Loan Tape'!$AN255=0,'Loan Tape'!$Z255="Interest Only",'Loan Tape'!$Z255=""),0,MIN(MAX(0,I259-I865),IFERROR(MAX(0,MIN(7,'Loan Tape'!$AV255)-MAX(6,'Loan Tape'!$AT255))*IF(I562&lt;=0,I259/MAX(1,'Loan Tape'!$AU255-7+1),I562*I259/(1-(1+I562)^(-MAX(1,'Loan Tape'!$AU255-7+1)))-I562*I259),0)))</f>
        <v>0</v>
      </c>
      <c r="J1168" s="71" t="n">
        <f aca="false">IF(OR('Loan Tape'!$AN255=0,'Loan Tape'!$Z255="Interest Only",'Loan Tape'!$Z255=""),0,MIN(MAX(0,J259-J865),IFERROR(MAX(0,MIN(8,'Loan Tape'!$AV255)-MAX(7,'Loan Tape'!$AT255))*IF(J562&lt;=0,J259/MAX(1,'Loan Tape'!$AU255-8+1),J562*J259/(1-(1+J562)^(-MAX(1,'Loan Tape'!$AU255-8+1)))-J562*J259),0)))</f>
        <v>0</v>
      </c>
      <c r="K1168" s="71" t="n">
        <f aca="false">IF(OR('Loan Tape'!$AN255=0,'Loan Tape'!$Z255="Interest Only",'Loan Tape'!$Z255=""),0,MIN(MAX(0,K259-K865),IFERROR(MAX(0,MIN(9,'Loan Tape'!$AV255)-MAX(8,'Loan Tape'!$AT255))*IF(K562&lt;=0,K259/MAX(1,'Loan Tape'!$AU255-9+1),K562*K259/(1-(1+K562)^(-MAX(1,'Loan Tape'!$AU255-9+1)))-K562*K259),0)))</f>
        <v>0</v>
      </c>
      <c r="L1168" s="71" t="n">
        <f aca="false">IF(OR('Loan Tape'!$AN255=0,'Loan Tape'!$Z255="Interest Only",'Loan Tape'!$Z255=""),0,MIN(MAX(0,L259-L865),IFERROR(MAX(0,MIN(10,'Loan Tape'!$AV255)-MAX(9,'Loan Tape'!$AT255))*IF(L562&lt;=0,L259/MAX(1,'Loan Tape'!$AU255-10+1),L562*L259/(1-(1+L562)^(-MAX(1,'Loan Tape'!$AU255-10+1)))-L562*L259),0)))</f>
        <v>0</v>
      </c>
    </row>
    <row r="1169" customFormat="false" ht="15" hidden="false" customHeight="false" outlineLevel="0" collapsed="false">
      <c r="B1169" s="102" t="n">
        <f aca="false">'Loan Tape'!$A256</f>
        <v>0</v>
      </c>
      <c r="C1169" s="99" t="n">
        <f aca="false">IF(OR('Loan Tape'!$AN256=0,'Loan Tape'!$Z256="Interest Only",'Loan Tape'!$Z256=""),0,MIN(MAX(0,C260-C866),IFERROR(MAX(0,MIN(1,'Loan Tape'!$AV256)-MAX(0,'Loan Tape'!$AT256))*IF(C563&lt;=0,C260/MAX(1,'Loan Tape'!$AU256-1+1),C563*C260/(1-(1+C563)^(-MAX(1,'Loan Tape'!$AU256-1+1)))-C563*C260),0)))</f>
        <v>0</v>
      </c>
      <c r="D1169" s="99" t="n">
        <f aca="false">IF(OR('Loan Tape'!$AN256=0,'Loan Tape'!$Z256="Interest Only",'Loan Tape'!$Z256=""),0,MIN(MAX(0,D260-D866),IFERROR(MAX(0,MIN(2,'Loan Tape'!$AV256)-MAX(1,'Loan Tape'!$AT256))*IF(D563&lt;=0,D260/MAX(1,'Loan Tape'!$AU256-2+1),D563*D260/(1-(1+D563)^(-MAX(1,'Loan Tape'!$AU256-2+1)))-D563*D260),0)))</f>
        <v>0</v>
      </c>
      <c r="E1169" s="99" t="n">
        <f aca="false">IF(OR('Loan Tape'!$AN256=0,'Loan Tape'!$Z256="Interest Only",'Loan Tape'!$Z256=""),0,MIN(MAX(0,E260-E866),IFERROR(MAX(0,MIN(3,'Loan Tape'!$AV256)-MAX(2,'Loan Tape'!$AT256))*IF(E563&lt;=0,E260/MAX(1,'Loan Tape'!$AU256-3+1),E563*E260/(1-(1+E563)^(-MAX(1,'Loan Tape'!$AU256-3+1)))-E563*E260),0)))</f>
        <v>0</v>
      </c>
      <c r="F1169" s="99" t="n">
        <f aca="false">IF(OR('Loan Tape'!$AN256=0,'Loan Tape'!$Z256="Interest Only",'Loan Tape'!$Z256=""),0,MIN(MAX(0,F260-F866),IFERROR(MAX(0,MIN(4,'Loan Tape'!$AV256)-MAX(3,'Loan Tape'!$AT256))*IF(F563&lt;=0,F260/MAX(1,'Loan Tape'!$AU256-4+1),F563*F260/(1-(1+F563)^(-MAX(1,'Loan Tape'!$AU256-4+1)))-F563*F260),0)))</f>
        <v>0</v>
      </c>
      <c r="G1169" s="99" t="n">
        <f aca="false">IF(OR('Loan Tape'!$AN256=0,'Loan Tape'!$Z256="Interest Only",'Loan Tape'!$Z256=""),0,MIN(MAX(0,G260-G866),IFERROR(MAX(0,MIN(5,'Loan Tape'!$AV256)-MAX(4,'Loan Tape'!$AT256))*IF(G563&lt;=0,G260/MAX(1,'Loan Tape'!$AU256-5+1),G563*G260/(1-(1+G563)^(-MAX(1,'Loan Tape'!$AU256-5+1)))-G563*G260),0)))</f>
        <v>0</v>
      </c>
      <c r="H1169" s="99" t="n">
        <f aca="false">IF(OR('Loan Tape'!$AN256=0,'Loan Tape'!$Z256="Interest Only",'Loan Tape'!$Z256=""),0,MIN(MAX(0,H260-H866),IFERROR(MAX(0,MIN(6,'Loan Tape'!$AV256)-MAX(5,'Loan Tape'!$AT256))*IF(H563&lt;=0,H260/MAX(1,'Loan Tape'!$AU256-6+1),H563*H260/(1-(1+H563)^(-MAX(1,'Loan Tape'!$AU256-6+1)))-H563*H260),0)))</f>
        <v>0</v>
      </c>
      <c r="I1169" s="99" t="n">
        <f aca="false">IF(OR('Loan Tape'!$AN256=0,'Loan Tape'!$Z256="Interest Only",'Loan Tape'!$Z256=""),0,MIN(MAX(0,I260-I866),IFERROR(MAX(0,MIN(7,'Loan Tape'!$AV256)-MAX(6,'Loan Tape'!$AT256))*IF(I563&lt;=0,I260/MAX(1,'Loan Tape'!$AU256-7+1),I563*I260/(1-(1+I563)^(-MAX(1,'Loan Tape'!$AU256-7+1)))-I563*I260),0)))</f>
        <v>0</v>
      </c>
      <c r="J1169" s="99" t="n">
        <f aca="false">IF(OR('Loan Tape'!$AN256=0,'Loan Tape'!$Z256="Interest Only",'Loan Tape'!$Z256=""),0,MIN(MAX(0,J260-J866),IFERROR(MAX(0,MIN(8,'Loan Tape'!$AV256)-MAX(7,'Loan Tape'!$AT256))*IF(J563&lt;=0,J260/MAX(1,'Loan Tape'!$AU256-8+1),J563*J260/(1-(1+J563)^(-MAX(1,'Loan Tape'!$AU256-8+1)))-J563*J260),0)))</f>
        <v>0</v>
      </c>
      <c r="K1169" s="99" t="n">
        <f aca="false">IF(OR('Loan Tape'!$AN256=0,'Loan Tape'!$Z256="Interest Only",'Loan Tape'!$Z256=""),0,MIN(MAX(0,K260-K866),IFERROR(MAX(0,MIN(9,'Loan Tape'!$AV256)-MAX(8,'Loan Tape'!$AT256))*IF(K563&lt;=0,K260/MAX(1,'Loan Tape'!$AU256-9+1),K563*K260/(1-(1+K563)^(-MAX(1,'Loan Tape'!$AU256-9+1)))-K563*K260),0)))</f>
        <v>0</v>
      </c>
      <c r="L1169" s="99" t="n">
        <f aca="false">IF(OR('Loan Tape'!$AN256=0,'Loan Tape'!$Z256="Interest Only",'Loan Tape'!$Z256=""),0,MIN(MAX(0,L260-L866),IFERROR(MAX(0,MIN(10,'Loan Tape'!$AV256)-MAX(9,'Loan Tape'!$AT256))*IF(L563&lt;=0,L260/MAX(1,'Loan Tape'!$AU256-10+1),L563*L260/(1-(1+L563)^(-MAX(1,'Loan Tape'!$AU256-10+1)))-L563*L260),0)))</f>
        <v>0</v>
      </c>
    </row>
    <row r="1170" customFormat="false" ht="15" hidden="false" customHeight="false" outlineLevel="0" collapsed="false">
      <c r="B1170" s="108" t="n">
        <f aca="false">'Loan Tape'!$A257</f>
        <v>0</v>
      </c>
      <c r="C1170" s="71" t="n">
        <f aca="false">IF(OR('Loan Tape'!$AN257=0,'Loan Tape'!$Z257="Interest Only",'Loan Tape'!$Z257=""),0,MIN(MAX(0,C261-C867),IFERROR(MAX(0,MIN(1,'Loan Tape'!$AV257)-MAX(0,'Loan Tape'!$AT257))*IF(C564&lt;=0,C261/MAX(1,'Loan Tape'!$AU257-1+1),C564*C261/(1-(1+C564)^(-MAX(1,'Loan Tape'!$AU257-1+1)))-C564*C261),0)))</f>
        <v>0</v>
      </c>
      <c r="D1170" s="71" t="n">
        <f aca="false">IF(OR('Loan Tape'!$AN257=0,'Loan Tape'!$Z257="Interest Only",'Loan Tape'!$Z257=""),0,MIN(MAX(0,D261-D867),IFERROR(MAX(0,MIN(2,'Loan Tape'!$AV257)-MAX(1,'Loan Tape'!$AT257))*IF(D564&lt;=0,D261/MAX(1,'Loan Tape'!$AU257-2+1),D564*D261/(1-(1+D564)^(-MAX(1,'Loan Tape'!$AU257-2+1)))-D564*D261),0)))</f>
        <v>0</v>
      </c>
      <c r="E1170" s="71" t="n">
        <f aca="false">IF(OR('Loan Tape'!$AN257=0,'Loan Tape'!$Z257="Interest Only",'Loan Tape'!$Z257=""),0,MIN(MAX(0,E261-E867),IFERROR(MAX(0,MIN(3,'Loan Tape'!$AV257)-MAX(2,'Loan Tape'!$AT257))*IF(E564&lt;=0,E261/MAX(1,'Loan Tape'!$AU257-3+1),E564*E261/(1-(1+E564)^(-MAX(1,'Loan Tape'!$AU257-3+1)))-E564*E261),0)))</f>
        <v>0</v>
      </c>
      <c r="F1170" s="71" t="n">
        <f aca="false">IF(OR('Loan Tape'!$AN257=0,'Loan Tape'!$Z257="Interest Only",'Loan Tape'!$Z257=""),0,MIN(MAX(0,F261-F867),IFERROR(MAX(0,MIN(4,'Loan Tape'!$AV257)-MAX(3,'Loan Tape'!$AT257))*IF(F564&lt;=0,F261/MAX(1,'Loan Tape'!$AU257-4+1),F564*F261/(1-(1+F564)^(-MAX(1,'Loan Tape'!$AU257-4+1)))-F564*F261),0)))</f>
        <v>0</v>
      </c>
      <c r="G1170" s="71" t="n">
        <f aca="false">IF(OR('Loan Tape'!$AN257=0,'Loan Tape'!$Z257="Interest Only",'Loan Tape'!$Z257=""),0,MIN(MAX(0,G261-G867),IFERROR(MAX(0,MIN(5,'Loan Tape'!$AV257)-MAX(4,'Loan Tape'!$AT257))*IF(G564&lt;=0,G261/MAX(1,'Loan Tape'!$AU257-5+1),G564*G261/(1-(1+G564)^(-MAX(1,'Loan Tape'!$AU257-5+1)))-G564*G261),0)))</f>
        <v>0</v>
      </c>
      <c r="H1170" s="71" t="n">
        <f aca="false">IF(OR('Loan Tape'!$AN257=0,'Loan Tape'!$Z257="Interest Only",'Loan Tape'!$Z257=""),0,MIN(MAX(0,H261-H867),IFERROR(MAX(0,MIN(6,'Loan Tape'!$AV257)-MAX(5,'Loan Tape'!$AT257))*IF(H564&lt;=0,H261/MAX(1,'Loan Tape'!$AU257-6+1),H564*H261/(1-(1+H564)^(-MAX(1,'Loan Tape'!$AU257-6+1)))-H564*H261),0)))</f>
        <v>0</v>
      </c>
      <c r="I1170" s="71" t="n">
        <f aca="false">IF(OR('Loan Tape'!$AN257=0,'Loan Tape'!$Z257="Interest Only",'Loan Tape'!$Z257=""),0,MIN(MAX(0,I261-I867),IFERROR(MAX(0,MIN(7,'Loan Tape'!$AV257)-MAX(6,'Loan Tape'!$AT257))*IF(I564&lt;=0,I261/MAX(1,'Loan Tape'!$AU257-7+1),I564*I261/(1-(1+I564)^(-MAX(1,'Loan Tape'!$AU257-7+1)))-I564*I261),0)))</f>
        <v>0</v>
      </c>
      <c r="J1170" s="71" t="n">
        <f aca="false">IF(OR('Loan Tape'!$AN257=0,'Loan Tape'!$Z257="Interest Only",'Loan Tape'!$Z257=""),0,MIN(MAX(0,J261-J867),IFERROR(MAX(0,MIN(8,'Loan Tape'!$AV257)-MAX(7,'Loan Tape'!$AT257))*IF(J564&lt;=0,J261/MAX(1,'Loan Tape'!$AU257-8+1),J564*J261/(1-(1+J564)^(-MAX(1,'Loan Tape'!$AU257-8+1)))-J564*J261),0)))</f>
        <v>0</v>
      </c>
      <c r="K1170" s="71" t="n">
        <f aca="false">IF(OR('Loan Tape'!$AN257=0,'Loan Tape'!$Z257="Interest Only",'Loan Tape'!$Z257=""),0,MIN(MAX(0,K261-K867),IFERROR(MAX(0,MIN(9,'Loan Tape'!$AV257)-MAX(8,'Loan Tape'!$AT257))*IF(K564&lt;=0,K261/MAX(1,'Loan Tape'!$AU257-9+1),K564*K261/(1-(1+K564)^(-MAX(1,'Loan Tape'!$AU257-9+1)))-K564*K261),0)))</f>
        <v>0</v>
      </c>
      <c r="L1170" s="71" t="n">
        <f aca="false">IF(OR('Loan Tape'!$AN257=0,'Loan Tape'!$Z257="Interest Only",'Loan Tape'!$Z257=""),0,MIN(MAX(0,L261-L867),IFERROR(MAX(0,MIN(10,'Loan Tape'!$AV257)-MAX(9,'Loan Tape'!$AT257))*IF(L564&lt;=0,L261/MAX(1,'Loan Tape'!$AU257-10+1),L564*L261/(1-(1+L564)^(-MAX(1,'Loan Tape'!$AU257-10+1)))-L564*L261),0)))</f>
        <v>0</v>
      </c>
    </row>
    <row r="1171" customFormat="false" ht="15" hidden="false" customHeight="false" outlineLevel="0" collapsed="false">
      <c r="B1171" s="102" t="n">
        <f aca="false">'Loan Tape'!$A258</f>
        <v>0</v>
      </c>
      <c r="C1171" s="99" t="n">
        <f aca="false">IF(OR('Loan Tape'!$AN258=0,'Loan Tape'!$Z258="Interest Only",'Loan Tape'!$Z258=""),0,MIN(MAX(0,C262-C868),IFERROR(MAX(0,MIN(1,'Loan Tape'!$AV258)-MAX(0,'Loan Tape'!$AT258))*IF(C565&lt;=0,C262/MAX(1,'Loan Tape'!$AU258-1+1),C565*C262/(1-(1+C565)^(-MAX(1,'Loan Tape'!$AU258-1+1)))-C565*C262),0)))</f>
        <v>0</v>
      </c>
      <c r="D1171" s="99" t="n">
        <f aca="false">IF(OR('Loan Tape'!$AN258=0,'Loan Tape'!$Z258="Interest Only",'Loan Tape'!$Z258=""),0,MIN(MAX(0,D262-D868),IFERROR(MAX(0,MIN(2,'Loan Tape'!$AV258)-MAX(1,'Loan Tape'!$AT258))*IF(D565&lt;=0,D262/MAX(1,'Loan Tape'!$AU258-2+1),D565*D262/(1-(1+D565)^(-MAX(1,'Loan Tape'!$AU258-2+1)))-D565*D262),0)))</f>
        <v>0</v>
      </c>
      <c r="E1171" s="99" t="n">
        <f aca="false">IF(OR('Loan Tape'!$AN258=0,'Loan Tape'!$Z258="Interest Only",'Loan Tape'!$Z258=""),0,MIN(MAX(0,E262-E868),IFERROR(MAX(0,MIN(3,'Loan Tape'!$AV258)-MAX(2,'Loan Tape'!$AT258))*IF(E565&lt;=0,E262/MAX(1,'Loan Tape'!$AU258-3+1),E565*E262/(1-(1+E565)^(-MAX(1,'Loan Tape'!$AU258-3+1)))-E565*E262),0)))</f>
        <v>0</v>
      </c>
      <c r="F1171" s="99" t="n">
        <f aca="false">IF(OR('Loan Tape'!$AN258=0,'Loan Tape'!$Z258="Interest Only",'Loan Tape'!$Z258=""),0,MIN(MAX(0,F262-F868),IFERROR(MAX(0,MIN(4,'Loan Tape'!$AV258)-MAX(3,'Loan Tape'!$AT258))*IF(F565&lt;=0,F262/MAX(1,'Loan Tape'!$AU258-4+1),F565*F262/(1-(1+F565)^(-MAX(1,'Loan Tape'!$AU258-4+1)))-F565*F262),0)))</f>
        <v>0</v>
      </c>
      <c r="G1171" s="99" t="n">
        <f aca="false">IF(OR('Loan Tape'!$AN258=0,'Loan Tape'!$Z258="Interest Only",'Loan Tape'!$Z258=""),0,MIN(MAX(0,G262-G868),IFERROR(MAX(0,MIN(5,'Loan Tape'!$AV258)-MAX(4,'Loan Tape'!$AT258))*IF(G565&lt;=0,G262/MAX(1,'Loan Tape'!$AU258-5+1),G565*G262/(1-(1+G565)^(-MAX(1,'Loan Tape'!$AU258-5+1)))-G565*G262),0)))</f>
        <v>0</v>
      </c>
      <c r="H1171" s="99" t="n">
        <f aca="false">IF(OR('Loan Tape'!$AN258=0,'Loan Tape'!$Z258="Interest Only",'Loan Tape'!$Z258=""),0,MIN(MAX(0,H262-H868),IFERROR(MAX(0,MIN(6,'Loan Tape'!$AV258)-MAX(5,'Loan Tape'!$AT258))*IF(H565&lt;=0,H262/MAX(1,'Loan Tape'!$AU258-6+1),H565*H262/(1-(1+H565)^(-MAX(1,'Loan Tape'!$AU258-6+1)))-H565*H262),0)))</f>
        <v>0</v>
      </c>
      <c r="I1171" s="99" t="n">
        <f aca="false">IF(OR('Loan Tape'!$AN258=0,'Loan Tape'!$Z258="Interest Only",'Loan Tape'!$Z258=""),0,MIN(MAX(0,I262-I868),IFERROR(MAX(0,MIN(7,'Loan Tape'!$AV258)-MAX(6,'Loan Tape'!$AT258))*IF(I565&lt;=0,I262/MAX(1,'Loan Tape'!$AU258-7+1),I565*I262/(1-(1+I565)^(-MAX(1,'Loan Tape'!$AU258-7+1)))-I565*I262),0)))</f>
        <v>0</v>
      </c>
      <c r="J1171" s="99" t="n">
        <f aca="false">IF(OR('Loan Tape'!$AN258=0,'Loan Tape'!$Z258="Interest Only",'Loan Tape'!$Z258=""),0,MIN(MAX(0,J262-J868),IFERROR(MAX(0,MIN(8,'Loan Tape'!$AV258)-MAX(7,'Loan Tape'!$AT258))*IF(J565&lt;=0,J262/MAX(1,'Loan Tape'!$AU258-8+1),J565*J262/(1-(1+J565)^(-MAX(1,'Loan Tape'!$AU258-8+1)))-J565*J262),0)))</f>
        <v>0</v>
      </c>
      <c r="K1171" s="99" t="n">
        <f aca="false">IF(OR('Loan Tape'!$AN258=0,'Loan Tape'!$Z258="Interest Only",'Loan Tape'!$Z258=""),0,MIN(MAX(0,K262-K868),IFERROR(MAX(0,MIN(9,'Loan Tape'!$AV258)-MAX(8,'Loan Tape'!$AT258))*IF(K565&lt;=0,K262/MAX(1,'Loan Tape'!$AU258-9+1),K565*K262/(1-(1+K565)^(-MAX(1,'Loan Tape'!$AU258-9+1)))-K565*K262),0)))</f>
        <v>0</v>
      </c>
      <c r="L1171" s="99" t="n">
        <f aca="false">IF(OR('Loan Tape'!$AN258=0,'Loan Tape'!$Z258="Interest Only",'Loan Tape'!$Z258=""),0,MIN(MAX(0,L262-L868),IFERROR(MAX(0,MIN(10,'Loan Tape'!$AV258)-MAX(9,'Loan Tape'!$AT258))*IF(L565&lt;=0,L262/MAX(1,'Loan Tape'!$AU258-10+1),L565*L262/(1-(1+L565)^(-MAX(1,'Loan Tape'!$AU258-10+1)))-L565*L262),0)))</f>
        <v>0</v>
      </c>
    </row>
    <row r="1172" customFormat="false" ht="15" hidden="false" customHeight="false" outlineLevel="0" collapsed="false">
      <c r="B1172" s="108" t="n">
        <f aca="false">'Loan Tape'!$A259</f>
        <v>0</v>
      </c>
      <c r="C1172" s="71" t="n">
        <f aca="false">IF(OR('Loan Tape'!$AN259=0,'Loan Tape'!$Z259="Interest Only",'Loan Tape'!$Z259=""),0,MIN(MAX(0,C263-C869),IFERROR(MAX(0,MIN(1,'Loan Tape'!$AV259)-MAX(0,'Loan Tape'!$AT259))*IF(C566&lt;=0,C263/MAX(1,'Loan Tape'!$AU259-1+1),C566*C263/(1-(1+C566)^(-MAX(1,'Loan Tape'!$AU259-1+1)))-C566*C263),0)))</f>
        <v>0</v>
      </c>
      <c r="D1172" s="71" t="n">
        <f aca="false">IF(OR('Loan Tape'!$AN259=0,'Loan Tape'!$Z259="Interest Only",'Loan Tape'!$Z259=""),0,MIN(MAX(0,D263-D869),IFERROR(MAX(0,MIN(2,'Loan Tape'!$AV259)-MAX(1,'Loan Tape'!$AT259))*IF(D566&lt;=0,D263/MAX(1,'Loan Tape'!$AU259-2+1),D566*D263/(1-(1+D566)^(-MAX(1,'Loan Tape'!$AU259-2+1)))-D566*D263),0)))</f>
        <v>0</v>
      </c>
      <c r="E1172" s="71" t="n">
        <f aca="false">IF(OR('Loan Tape'!$AN259=0,'Loan Tape'!$Z259="Interest Only",'Loan Tape'!$Z259=""),0,MIN(MAX(0,E263-E869),IFERROR(MAX(0,MIN(3,'Loan Tape'!$AV259)-MAX(2,'Loan Tape'!$AT259))*IF(E566&lt;=0,E263/MAX(1,'Loan Tape'!$AU259-3+1),E566*E263/(1-(1+E566)^(-MAX(1,'Loan Tape'!$AU259-3+1)))-E566*E263),0)))</f>
        <v>0</v>
      </c>
      <c r="F1172" s="71" t="n">
        <f aca="false">IF(OR('Loan Tape'!$AN259=0,'Loan Tape'!$Z259="Interest Only",'Loan Tape'!$Z259=""),0,MIN(MAX(0,F263-F869),IFERROR(MAX(0,MIN(4,'Loan Tape'!$AV259)-MAX(3,'Loan Tape'!$AT259))*IF(F566&lt;=0,F263/MAX(1,'Loan Tape'!$AU259-4+1),F566*F263/(1-(1+F566)^(-MAX(1,'Loan Tape'!$AU259-4+1)))-F566*F263),0)))</f>
        <v>0</v>
      </c>
      <c r="G1172" s="71" t="n">
        <f aca="false">IF(OR('Loan Tape'!$AN259=0,'Loan Tape'!$Z259="Interest Only",'Loan Tape'!$Z259=""),0,MIN(MAX(0,G263-G869),IFERROR(MAX(0,MIN(5,'Loan Tape'!$AV259)-MAX(4,'Loan Tape'!$AT259))*IF(G566&lt;=0,G263/MAX(1,'Loan Tape'!$AU259-5+1),G566*G263/(1-(1+G566)^(-MAX(1,'Loan Tape'!$AU259-5+1)))-G566*G263),0)))</f>
        <v>0</v>
      </c>
      <c r="H1172" s="71" t="n">
        <f aca="false">IF(OR('Loan Tape'!$AN259=0,'Loan Tape'!$Z259="Interest Only",'Loan Tape'!$Z259=""),0,MIN(MAX(0,H263-H869),IFERROR(MAX(0,MIN(6,'Loan Tape'!$AV259)-MAX(5,'Loan Tape'!$AT259))*IF(H566&lt;=0,H263/MAX(1,'Loan Tape'!$AU259-6+1),H566*H263/(1-(1+H566)^(-MAX(1,'Loan Tape'!$AU259-6+1)))-H566*H263),0)))</f>
        <v>0</v>
      </c>
      <c r="I1172" s="71" t="n">
        <f aca="false">IF(OR('Loan Tape'!$AN259=0,'Loan Tape'!$Z259="Interest Only",'Loan Tape'!$Z259=""),0,MIN(MAX(0,I263-I869),IFERROR(MAX(0,MIN(7,'Loan Tape'!$AV259)-MAX(6,'Loan Tape'!$AT259))*IF(I566&lt;=0,I263/MAX(1,'Loan Tape'!$AU259-7+1),I566*I263/(1-(1+I566)^(-MAX(1,'Loan Tape'!$AU259-7+1)))-I566*I263),0)))</f>
        <v>0</v>
      </c>
      <c r="J1172" s="71" t="n">
        <f aca="false">IF(OR('Loan Tape'!$AN259=0,'Loan Tape'!$Z259="Interest Only",'Loan Tape'!$Z259=""),0,MIN(MAX(0,J263-J869),IFERROR(MAX(0,MIN(8,'Loan Tape'!$AV259)-MAX(7,'Loan Tape'!$AT259))*IF(J566&lt;=0,J263/MAX(1,'Loan Tape'!$AU259-8+1),J566*J263/(1-(1+J566)^(-MAX(1,'Loan Tape'!$AU259-8+1)))-J566*J263),0)))</f>
        <v>0</v>
      </c>
      <c r="K1172" s="71" t="n">
        <f aca="false">IF(OR('Loan Tape'!$AN259=0,'Loan Tape'!$Z259="Interest Only",'Loan Tape'!$Z259=""),0,MIN(MAX(0,K263-K869),IFERROR(MAX(0,MIN(9,'Loan Tape'!$AV259)-MAX(8,'Loan Tape'!$AT259))*IF(K566&lt;=0,K263/MAX(1,'Loan Tape'!$AU259-9+1),K566*K263/(1-(1+K566)^(-MAX(1,'Loan Tape'!$AU259-9+1)))-K566*K263),0)))</f>
        <v>0</v>
      </c>
      <c r="L1172" s="71" t="n">
        <f aca="false">IF(OR('Loan Tape'!$AN259=0,'Loan Tape'!$Z259="Interest Only",'Loan Tape'!$Z259=""),0,MIN(MAX(0,L263-L869),IFERROR(MAX(0,MIN(10,'Loan Tape'!$AV259)-MAX(9,'Loan Tape'!$AT259))*IF(L566&lt;=0,L263/MAX(1,'Loan Tape'!$AU259-10+1),L566*L263/(1-(1+L566)^(-MAX(1,'Loan Tape'!$AU259-10+1)))-L566*L263),0)))</f>
        <v>0</v>
      </c>
    </row>
    <row r="1173" customFormat="false" ht="15" hidden="false" customHeight="false" outlineLevel="0" collapsed="false">
      <c r="B1173" s="102" t="n">
        <f aca="false">'Loan Tape'!$A260</f>
        <v>0</v>
      </c>
      <c r="C1173" s="99" t="n">
        <f aca="false">IF(OR('Loan Tape'!$AN260=0,'Loan Tape'!$Z260="Interest Only",'Loan Tape'!$Z260=""),0,MIN(MAX(0,C264-C870),IFERROR(MAX(0,MIN(1,'Loan Tape'!$AV260)-MAX(0,'Loan Tape'!$AT260))*IF(C567&lt;=0,C264/MAX(1,'Loan Tape'!$AU260-1+1),C567*C264/(1-(1+C567)^(-MAX(1,'Loan Tape'!$AU260-1+1)))-C567*C264),0)))</f>
        <v>0</v>
      </c>
      <c r="D1173" s="99" t="n">
        <f aca="false">IF(OR('Loan Tape'!$AN260=0,'Loan Tape'!$Z260="Interest Only",'Loan Tape'!$Z260=""),0,MIN(MAX(0,D264-D870),IFERROR(MAX(0,MIN(2,'Loan Tape'!$AV260)-MAX(1,'Loan Tape'!$AT260))*IF(D567&lt;=0,D264/MAX(1,'Loan Tape'!$AU260-2+1),D567*D264/(1-(1+D567)^(-MAX(1,'Loan Tape'!$AU260-2+1)))-D567*D264),0)))</f>
        <v>0</v>
      </c>
      <c r="E1173" s="99" t="n">
        <f aca="false">IF(OR('Loan Tape'!$AN260=0,'Loan Tape'!$Z260="Interest Only",'Loan Tape'!$Z260=""),0,MIN(MAX(0,E264-E870),IFERROR(MAX(0,MIN(3,'Loan Tape'!$AV260)-MAX(2,'Loan Tape'!$AT260))*IF(E567&lt;=0,E264/MAX(1,'Loan Tape'!$AU260-3+1),E567*E264/(1-(1+E567)^(-MAX(1,'Loan Tape'!$AU260-3+1)))-E567*E264),0)))</f>
        <v>0</v>
      </c>
      <c r="F1173" s="99" t="n">
        <f aca="false">IF(OR('Loan Tape'!$AN260=0,'Loan Tape'!$Z260="Interest Only",'Loan Tape'!$Z260=""),0,MIN(MAX(0,F264-F870),IFERROR(MAX(0,MIN(4,'Loan Tape'!$AV260)-MAX(3,'Loan Tape'!$AT260))*IF(F567&lt;=0,F264/MAX(1,'Loan Tape'!$AU260-4+1),F567*F264/(1-(1+F567)^(-MAX(1,'Loan Tape'!$AU260-4+1)))-F567*F264),0)))</f>
        <v>0</v>
      </c>
      <c r="G1173" s="99" t="n">
        <f aca="false">IF(OR('Loan Tape'!$AN260=0,'Loan Tape'!$Z260="Interest Only",'Loan Tape'!$Z260=""),0,MIN(MAX(0,G264-G870),IFERROR(MAX(0,MIN(5,'Loan Tape'!$AV260)-MAX(4,'Loan Tape'!$AT260))*IF(G567&lt;=0,G264/MAX(1,'Loan Tape'!$AU260-5+1),G567*G264/(1-(1+G567)^(-MAX(1,'Loan Tape'!$AU260-5+1)))-G567*G264),0)))</f>
        <v>0</v>
      </c>
      <c r="H1173" s="99" t="n">
        <f aca="false">IF(OR('Loan Tape'!$AN260=0,'Loan Tape'!$Z260="Interest Only",'Loan Tape'!$Z260=""),0,MIN(MAX(0,H264-H870),IFERROR(MAX(0,MIN(6,'Loan Tape'!$AV260)-MAX(5,'Loan Tape'!$AT260))*IF(H567&lt;=0,H264/MAX(1,'Loan Tape'!$AU260-6+1),H567*H264/(1-(1+H567)^(-MAX(1,'Loan Tape'!$AU260-6+1)))-H567*H264),0)))</f>
        <v>0</v>
      </c>
      <c r="I1173" s="99" t="n">
        <f aca="false">IF(OR('Loan Tape'!$AN260=0,'Loan Tape'!$Z260="Interest Only",'Loan Tape'!$Z260=""),0,MIN(MAX(0,I264-I870),IFERROR(MAX(0,MIN(7,'Loan Tape'!$AV260)-MAX(6,'Loan Tape'!$AT260))*IF(I567&lt;=0,I264/MAX(1,'Loan Tape'!$AU260-7+1),I567*I264/(1-(1+I567)^(-MAX(1,'Loan Tape'!$AU260-7+1)))-I567*I264),0)))</f>
        <v>0</v>
      </c>
      <c r="J1173" s="99" t="n">
        <f aca="false">IF(OR('Loan Tape'!$AN260=0,'Loan Tape'!$Z260="Interest Only",'Loan Tape'!$Z260=""),0,MIN(MAX(0,J264-J870),IFERROR(MAX(0,MIN(8,'Loan Tape'!$AV260)-MAX(7,'Loan Tape'!$AT260))*IF(J567&lt;=0,J264/MAX(1,'Loan Tape'!$AU260-8+1),J567*J264/(1-(1+J567)^(-MAX(1,'Loan Tape'!$AU260-8+1)))-J567*J264),0)))</f>
        <v>0</v>
      </c>
      <c r="K1173" s="99" t="n">
        <f aca="false">IF(OR('Loan Tape'!$AN260=0,'Loan Tape'!$Z260="Interest Only",'Loan Tape'!$Z260=""),0,MIN(MAX(0,K264-K870),IFERROR(MAX(0,MIN(9,'Loan Tape'!$AV260)-MAX(8,'Loan Tape'!$AT260))*IF(K567&lt;=0,K264/MAX(1,'Loan Tape'!$AU260-9+1),K567*K264/(1-(1+K567)^(-MAX(1,'Loan Tape'!$AU260-9+1)))-K567*K264),0)))</f>
        <v>0</v>
      </c>
      <c r="L1173" s="99" t="n">
        <f aca="false">IF(OR('Loan Tape'!$AN260=0,'Loan Tape'!$Z260="Interest Only",'Loan Tape'!$Z260=""),0,MIN(MAX(0,L264-L870),IFERROR(MAX(0,MIN(10,'Loan Tape'!$AV260)-MAX(9,'Loan Tape'!$AT260))*IF(L567&lt;=0,L264/MAX(1,'Loan Tape'!$AU260-10+1),L567*L264/(1-(1+L567)^(-MAX(1,'Loan Tape'!$AU260-10+1)))-L567*L264),0)))</f>
        <v>0</v>
      </c>
    </row>
    <row r="1174" customFormat="false" ht="15" hidden="false" customHeight="false" outlineLevel="0" collapsed="false">
      <c r="B1174" s="108" t="n">
        <f aca="false">'Loan Tape'!$A261</f>
        <v>0</v>
      </c>
      <c r="C1174" s="71" t="n">
        <f aca="false">IF(OR('Loan Tape'!$AN261=0,'Loan Tape'!$Z261="Interest Only",'Loan Tape'!$Z261=""),0,MIN(MAX(0,C265-C871),IFERROR(MAX(0,MIN(1,'Loan Tape'!$AV261)-MAX(0,'Loan Tape'!$AT261))*IF(C568&lt;=0,C265/MAX(1,'Loan Tape'!$AU261-1+1),C568*C265/(1-(1+C568)^(-MAX(1,'Loan Tape'!$AU261-1+1)))-C568*C265),0)))</f>
        <v>0</v>
      </c>
      <c r="D1174" s="71" t="n">
        <f aca="false">IF(OR('Loan Tape'!$AN261=0,'Loan Tape'!$Z261="Interest Only",'Loan Tape'!$Z261=""),0,MIN(MAX(0,D265-D871),IFERROR(MAX(0,MIN(2,'Loan Tape'!$AV261)-MAX(1,'Loan Tape'!$AT261))*IF(D568&lt;=0,D265/MAX(1,'Loan Tape'!$AU261-2+1),D568*D265/(1-(1+D568)^(-MAX(1,'Loan Tape'!$AU261-2+1)))-D568*D265),0)))</f>
        <v>0</v>
      </c>
      <c r="E1174" s="71" t="n">
        <f aca="false">IF(OR('Loan Tape'!$AN261=0,'Loan Tape'!$Z261="Interest Only",'Loan Tape'!$Z261=""),0,MIN(MAX(0,E265-E871),IFERROR(MAX(0,MIN(3,'Loan Tape'!$AV261)-MAX(2,'Loan Tape'!$AT261))*IF(E568&lt;=0,E265/MAX(1,'Loan Tape'!$AU261-3+1),E568*E265/(1-(1+E568)^(-MAX(1,'Loan Tape'!$AU261-3+1)))-E568*E265),0)))</f>
        <v>0</v>
      </c>
      <c r="F1174" s="71" t="n">
        <f aca="false">IF(OR('Loan Tape'!$AN261=0,'Loan Tape'!$Z261="Interest Only",'Loan Tape'!$Z261=""),0,MIN(MAX(0,F265-F871),IFERROR(MAX(0,MIN(4,'Loan Tape'!$AV261)-MAX(3,'Loan Tape'!$AT261))*IF(F568&lt;=0,F265/MAX(1,'Loan Tape'!$AU261-4+1),F568*F265/(1-(1+F568)^(-MAX(1,'Loan Tape'!$AU261-4+1)))-F568*F265),0)))</f>
        <v>0</v>
      </c>
      <c r="G1174" s="71" t="n">
        <f aca="false">IF(OR('Loan Tape'!$AN261=0,'Loan Tape'!$Z261="Interest Only",'Loan Tape'!$Z261=""),0,MIN(MAX(0,G265-G871),IFERROR(MAX(0,MIN(5,'Loan Tape'!$AV261)-MAX(4,'Loan Tape'!$AT261))*IF(G568&lt;=0,G265/MAX(1,'Loan Tape'!$AU261-5+1),G568*G265/(1-(1+G568)^(-MAX(1,'Loan Tape'!$AU261-5+1)))-G568*G265),0)))</f>
        <v>0</v>
      </c>
      <c r="H1174" s="71" t="n">
        <f aca="false">IF(OR('Loan Tape'!$AN261=0,'Loan Tape'!$Z261="Interest Only",'Loan Tape'!$Z261=""),0,MIN(MAX(0,H265-H871),IFERROR(MAX(0,MIN(6,'Loan Tape'!$AV261)-MAX(5,'Loan Tape'!$AT261))*IF(H568&lt;=0,H265/MAX(1,'Loan Tape'!$AU261-6+1),H568*H265/(1-(1+H568)^(-MAX(1,'Loan Tape'!$AU261-6+1)))-H568*H265),0)))</f>
        <v>0</v>
      </c>
      <c r="I1174" s="71" t="n">
        <f aca="false">IF(OR('Loan Tape'!$AN261=0,'Loan Tape'!$Z261="Interest Only",'Loan Tape'!$Z261=""),0,MIN(MAX(0,I265-I871),IFERROR(MAX(0,MIN(7,'Loan Tape'!$AV261)-MAX(6,'Loan Tape'!$AT261))*IF(I568&lt;=0,I265/MAX(1,'Loan Tape'!$AU261-7+1),I568*I265/(1-(1+I568)^(-MAX(1,'Loan Tape'!$AU261-7+1)))-I568*I265),0)))</f>
        <v>0</v>
      </c>
      <c r="J1174" s="71" t="n">
        <f aca="false">IF(OR('Loan Tape'!$AN261=0,'Loan Tape'!$Z261="Interest Only",'Loan Tape'!$Z261=""),0,MIN(MAX(0,J265-J871),IFERROR(MAX(0,MIN(8,'Loan Tape'!$AV261)-MAX(7,'Loan Tape'!$AT261))*IF(J568&lt;=0,J265/MAX(1,'Loan Tape'!$AU261-8+1),J568*J265/(1-(1+J568)^(-MAX(1,'Loan Tape'!$AU261-8+1)))-J568*J265),0)))</f>
        <v>0</v>
      </c>
      <c r="K1174" s="71" t="n">
        <f aca="false">IF(OR('Loan Tape'!$AN261=0,'Loan Tape'!$Z261="Interest Only",'Loan Tape'!$Z261=""),0,MIN(MAX(0,K265-K871),IFERROR(MAX(0,MIN(9,'Loan Tape'!$AV261)-MAX(8,'Loan Tape'!$AT261))*IF(K568&lt;=0,K265/MAX(1,'Loan Tape'!$AU261-9+1),K568*K265/(1-(1+K568)^(-MAX(1,'Loan Tape'!$AU261-9+1)))-K568*K265),0)))</f>
        <v>0</v>
      </c>
      <c r="L1174" s="71" t="n">
        <f aca="false">IF(OR('Loan Tape'!$AN261=0,'Loan Tape'!$Z261="Interest Only",'Loan Tape'!$Z261=""),0,MIN(MAX(0,L265-L871),IFERROR(MAX(0,MIN(10,'Loan Tape'!$AV261)-MAX(9,'Loan Tape'!$AT261))*IF(L568&lt;=0,L265/MAX(1,'Loan Tape'!$AU261-10+1),L568*L265/(1-(1+L568)^(-MAX(1,'Loan Tape'!$AU261-10+1)))-L568*L265),0)))</f>
        <v>0</v>
      </c>
    </row>
    <row r="1175" customFormat="false" ht="15" hidden="false" customHeight="false" outlineLevel="0" collapsed="false">
      <c r="B1175" s="102" t="n">
        <f aca="false">'Loan Tape'!$A262</f>
        <v>0</v>
      </c>
      <c r="C1175" s="99" t="n">
        <f aca="false">IF(OR('Loan Tape'!$AN262=0,'Loan Tape'!$Z262="Interest Only",'Loan Tape'!$Z262=""),0,MIN(MAX(0,C266-C872),IFERROR(MAX(0,MIN(1,'Loan Tape'!$AV262)-MAX(0,'Loan Tape'!$AT262))*IF(C569&lt;=0,C266/MAX(1,'Loan Tape'!$AU262-1+1),C569*C266/(1-(1+C569)^(-MAX(1,'Loan Tape'!$AU262-1+1)))-C569*C266),0)))</f>
        <v>0</v>
      </c>
      <c r="D1175" s="99" t="n">
        <f aca="false">IF(OR('Loan Tape'!$AN262=0,'Loan Tape'!$Z262="Interest Only",'Loan Tape'!$Z262=""),0,MIN(MAX(0,D266-D872),IFERROR(MAX(0,MIN(2,'Loan Tape'!$AV262)-MAX(1,'Loan Tape'!$AT262))*IF(D569&lt;=0,D266/MAX(1,'Loan Tape'!$AU262-2+1),D569*D266/(1-(1+D569)^(-MAX(1,'Loan Tape'!$AU262-2+1)))-D569*D266),0)))</f>
        <v>0</v>
      </c>
      <c r="E1175" s="99" t="n">
        <f aca="false">IF(OR('Loan Tape'!$AN262=0,'Loan Tape'!$Z262="Interest Only",'Loan Tape'!$Z262=""),0,MIN(MAX(0,E266-E872),IFERROR(MAX(0,MIN(3,'Loan Tape'!$AV262)-MAX(2,'Loan Tape'!$AT262))*IF(E569&lt;=0,E266/MAX(1,'Loan Tape'!$AU262-3+1),E569*E266/(1-(1+E569)^(-MAX(1,'Loan Tape'!$AU262-3+1)))-E569*E266),0)))</f>
        <v>0</v>
      </c>
      <c r="F1175" s="99" t="n">
        <f aca="false">IF(OR('Loan Tape'!$AN262=0,'Loan Tape'!$Z262="Interest Only",'Loan Tape'!$Z262=""),0,MIN(MAX(0,F266-F872),IFERROR(MAX(0,MIN(4,'Loan Tape'!$AV262)-MAX(3,'Loan Tape'!$AT262))*IF(F569&lt;=0,F266/MAX(1,'Loan Tape'!$AU262-4+1),F569*F266/(1-(1+F569)^(-MAX(1,'Loan Tape'!$AU262-4+1)))-F569*F266),0)))</f>
        <v>0</v>
      </c>
      <c r="G1175" s="99" t="n">
        <f aca="false">IF(OR('Loan Tape'!$AN262=0,'Loan Tape'!$Z262="Interest Only",'Loan Tape'!$Z262=""),0,MIN(MAX(0,G266-G872),IFERROR(MAX(0,MIN(5,'Loan Tape'!$AV262)-MAX(4,'Loan Tape'!$AT262))*IF(G569&lt;=0,G266/MAX(1,'Loan Tape'!$AU262-5+1),G569*G266/(1-(1+G569)^(-MAX(1,'Loan Tape'!$AU262-5+1)))-G569*G266),0)))</f>
        <v>0</v>
      </c>
      <c r="H1175" s="99" t="n">
        <f aca="false">IF(OR('Loan Tape'!$AN262=0,'Loan Tape'!$Z262="Interest Only",'Loan Tape'!$Z262=""),0,MIN(MAX(0,H266-H872),IFERROR(MAX(0,MIN(6,'Loan Tape'!$AV262)-MAX(5,'Loan Tape'!$AT262))*IF(H569&lt;=0,H266/MAX(1,'Loan Tape'!$AU262-6+1),H569*H266/(1-(1+H569)^(-MAX(1,'Loan Tape'!$AU262-6+1)))-H569*H266),0)))</f>
        <v>0</v>
      </c>
      <c r="I1175" s="99" t="n">
        <f aca="false">IF(OR('Loan Tape'!$AN262=0,'Loan Tape'!$Z262="Interest Only",'Loan Tape'!$Z262=""),0,MIN(MAX(0,I266-I872),IFERROR(MAX(0,MIN(7,'Loan Tape'!$AV262)-MAX(6,'Loan Tape'!$AT262))*IF(I569&lt;=0,I266/MAX(1,'Loan Tape'!$AU262-7+1),I569*I266/(1-(1+I569)^(-MAX(1,'Loan Tape'!$AU262-7+1)))-I569*I266),0)))</f>
        <v>0</v>
      </c>
      <c r="J1175" s="99" t="n">
        <f aca="false">IF(OR('Loan Tape'!$AN262=0,'Loan Tape'!$Z262="Interest Only",'Loan Tape'!$Z262=""),0,MIN(MAX(0,J266-J872),IFERROR(MAX(0,MIN(8,'Loan Tape'!$AV262)-MAX(7,'Loan Tape'!$AT262))*IF(J569&lt;=0,J266/MAX(1,'Loan Tape'!$AU262-8+1),J569*J266/(1-(1+J569)^(-MAX(1,'Loan Tape'!$AU262-8+1)))-J569*J266),0)))</f>
        <v>0</v>
      </c>
      <c r="K1175" s="99" t="n">
        <f aca="false">IF(OR('Loan Tape'!$AN262=0,'Loan Tape'!$Z262="Interest Only",'Loan Tape'!$Z262=""),0,MIN(MAX(0,K266-K872),IFERROR(MAX(0,MIN(9,'Loan Tape'!$AV262)-MAX(8,'Loan Tape'!$AT262))*IF(K569&lt;=0,K266/MAX(1,'Loan Tape'!$AU262-9+1),K569*K266/(1-(1+K569)^(-MAX(1,'Loan Tape'!$AU262-9+1)))-K569*K266),0)))</f>
        <v>0</v>
      </c>
      <c r="L1175" s="99" t="n">
        <f aca="false">IF(OR('Loan Tape'!$AN262=0,'Loan Tape'!$Z262="Interest Only",'Loan Tape'!$Z262=""),0,MIN(MAX(0,L266-L872),IFERROR(MAX(0,MIN(10,'Loan Tape'!$AV262)-MAX(9,'Loan Tape'!$AT262))*IF(L569&lt;=0,L266/MAX(1,'Loan Tape'!$AU262-10+1),L569*L266/(1-(1+L569)^(-MAX(1,'Loan Tape'!$AU262-10+1)))-L569*L266),0)))</f>
        <v>0</v>
      </c>
    </row>
    <row r="1176" customFormat="false" ht="15" hidden="false" customHeight="false" outlineLevel="0" collapsed="false">
      <c r="B1176" s="108" t="n">
        <f aca="false">'Loan Tape'!$A263</f>
        <v>0</v>
      </c>
      <c r="C1176" s="71" t="n">
        <f aca="false">IF(OR('Loan Tape'!$AN263=0,'Loan Tape'!$Z263="Interest Only",'Loan Tape'!$Z263=""),0,MIN(MAX(0,C267-C873),IFERROR(MAX(0,MIN(1,'Loan Tape'!$AV263)-MAX(0,'Loan Tape'!$AT263))*IF(C570&lt;=0,C267/MAX(1,'Loan Tape'!$AU263-1+1),C570*C267/(1-(1+C570)^(-MAX(1,'Loan Tape'!$AU263-1+1)))-C570*C267),0)))</f>
        <v>0</v>
      </c>
      <c r="D1176" s="71" t="n">
        <f aca="false">IF(OR('Loan Tape'!$AN263=0,'Loan Tape'!$Z263="Interest Only",'Loan Tape'!$Z263=""),0,MIN(MAX(0,D267-D873),IFERROR(MAX(0,MIN(2,'Loan Tape'!$AV263)-MAX(1,'Loan Tape'!$AT263))*IF(D570&lt;=0,D267/MAX(1,'Loan Tape'!$AU263-2+1),D570*D267/(1-(1+D570)^(-MAX(1,'Loan Tape'!$AU263-2+1)))-D570*D267),0)))</f>
        <v>0</v>
      </c>
      <c r="E1176" s="71" t="n">
        <f aca="false">IF(OR('Loan Tape'!$AN263=0,'Loan Tape'!$Z263="Interest Only",'Loan Tape'!$Z263=""),0,MIN(MAX(0,E267-E873),IFERROR(MAX(0,MIN(3,'Loan Tape'!$AV263)-MAX(2,'Loan Tape'!$AT263))*IF(E570&lt;=0,E267/MAX(1,'Loan Tape'!$AU263-3+1),E570*E267/(1-(1+E570)^(-MAX(1,'Loan Tape'!$AU263-3+1)))-E570*E267),0)))</f>
        <v>0</v>
      </c>
      <c r="F1176" s="71" t="n">
        <f aca="false">IF(OR('Loan Tape'!$AN263=0,'Loan Tape'!$Z263="Interest Only",'Loan Tape'!$Z263=""),0,MIN(MAX(0,F267-F873),IFERROR(MAX(0,MIN(4,'Loan Tape'!$AV263)-MAX(3,'Loan Tape'!$AT263))*IF(F570&lt;=0,F267/MAX(1,'Loan Tape'!$AU263-4+1),F570*F267/(1-(1+F570)^(-MAX(1,'Loan Tape'!$AU263-4+1)))-F570*F267),0)))</f>
        <v>0</v>
      </c>
      <c r="G1176" s="71" t="n">
        <f aca="false">IF(OR('Loan Tape'!$AN263=0,'Loan Tape'!$Z263="Interest Only",'Loan Tape'!$Z263=""),0,MIN(MAX(0,G267-G873),IFERROR(MAX(0,MIN(5,'Loan Tape'!$AV263)-MAX(4,'Loan Tape'!$AT263))*IF(G570&lt;=0,G267/MAX(1,'Loan Tape'!$AU263-5+1),G570*G267/(1-(1+G570)^(-MAX(1,'Loan Tape'!$AU263-5+1)))-G570*G267),0)))</f>
        <v>0</v>
      </c>
      <c r="H1176" s="71" t="n">
        <f aca="false">IF(OR('Loan Tape'!$AN263=0,'Loan Tape'!$Z263="Interest Only",'Loan Tape'!$Z263=""),0,MIN(MAX(0,H267-H873),IFERROR(MAX(0,MIN(6,'Loan Tape'!$AV263)-MAX(5,'Loan Tape'!$AT263))*IF(H570&lt;=0,H267/MAX(1,'Loan Tape'!$AU263-6+1),H570*H267/(1-(1+H570)^(-MAX(1,'Loan Tape'!$AU263-6+1)))-H570*H267),0)))</f>
        <v>0</v>
      </c>
      <c r="I1176" s="71" t="n">
        <f aca="false">IF(OR('Loan Tape'!$AN263=0,'Loan Tape'!$Z263="Interest Only",'Loan Tape'!$Z263=""),0,MIN(MAX(0,I267-I873),IFERROR(MAX(0,MIN(7,'Loan Tape'!$AV263)-MAX(6,'Loan Tape'!$AT263))*IF(I570&lt;=0,I267/MAX(1,'Loan Tape'!$AU263-7+1),I570*I267/(1-(1+I570)^(-MAX(1,'Loan Tape'!$AU263-7+1)))-I570*I267),0)))</f>
        <v>0</v>
      </c>
      <c r="J1176" s="71" t="n">
        <f aca="false">IF(OR('Loan Tape'!$AN263=0,'Loan Tape'!$Z263="Interest Only",'Loan Tape'!$Z263=""),0,MIN(MAX(0,J267-J873),IFERROR(MAX(0,MIN(8,'Loan Tape'!$AV263)-MAX(7,'Loan Tape'!$AT263))*IF(J570&lt;=0,J267/MAX(1,'Loan Tape'!$AU263-8+1),J570*J267/(1-(1+J570)^(-MAX(1,'Loan Tape'!$AU263-8+1)))-J570*J267),0)))</f>
        <v>0</v>
      </c>
      <c r="K1176" s="71" t="n">
        <f aca="false">IF(OR('Loan Tape'!$AN263=0,'Loan Tape'!$Z263="Interest Only",'Loan Tape'!$Z263=""),0,MIN(MAX(0,K267-K873),IFERROR(MAX(0,MIN(9,'Loan Tape'!$AV263)-MAX(8,'Loan Tape'!$AT263))*IF(K570&lt;=0,K267/MAX(1,'Loan Tape'!$AU263-9+1),K570*K267/(1-(1+K570)^(-MAX(1,'Loan Tape'!$AU263-9+1)))-K570*K267),0)))</f>
        <v>0</v>
      </c>
      <c r="L1176" s="71" t="n">
        <f aca="false">IF(OR('Loan Tape'!$AN263=0,'Loan Tape'!$Z263="Interest Only",'Loan Tape'!$Z263=""),0,MIN(MAX(0,L267-L873),IFERROR(MAX(0,MIN(10,'Loan Tape'!$AV263)-MAX(9,'Loan Tape'!$AT263))*IF(L570&lt;=0,L267/MAX(1,'Loan Tape'!$AU263-10+1),L570*L267/(1-(1+L570)^(-MAX(1,'Loan Tape'!$AU263-10+1)))-L570*L267),0)))</f>
        <v>0</v>
      </c>
    </row>
    <row r="1177" customFormat="false" ht="15" hidden="false" customHeight="false" outlineLevel="0" collapsed="false">
      <c r="B1177" s="102" t="n">
        <f aca="false">'Loan Tape'!$A264</f>
        <v>0</v>
      </c>
      <c r="C1177" s="99" t="n">
        <f aca="false">IF(OR('Loan Tape'!$AN264=0,'Loan Tape'!$Z264="Interest Only",'Loan Tape'!$Z264=""),0,MIN(MAX(0,C268-C874),IFERROR(MAX(0,MIN(1,'Loan Tape'!$AV264)-MAX(0,'Loan Tape'!$AT264))*IF(C571&lt;=0,C268/MAX(1,'Loan Tape'!$AU264-1+1),C571*C268/(1-(1+C571)^(-MAX(1,'Loan Tape'!$AU264-1+1)))-C571*C268),0)))</f>
        <v>0</v>
      </c>
      <c r="D1177" s="99" t="n">
        <f aca="false">IF(OR('Loan Tape'!$AN264=0,'Loan Tape'!$Z264="Interest Only",'Loan Tape'!$Z264=""),0,MIN(MAX(0,D268-D874),IFERROR(MAX(0,MIN(2,'Loan Tape'!$AV264)-MAX(1,'Loan Tape'!$AT264))*IF(D571&lt;=0,D268/MAX(1,'Loan Tape'!$AU264-2+1),D571*D268/(1-(1+D571)^(-MAX(1,'Loan Tape'!$AU264-2+1)))-D571*D268),0)))</f>
        <v>0</v>
      </c>
      <c r="E1177" s="99" t="n">
        <f aca="false">IF(OR('Loan Tape'!$AN264=0,'Loan Tape'!$Z264="Interest Only",'Loan Tape'!$Z264=""),0,MIN(MAX(0,E268-E874),IFERROR(MAX(0,MIN(3,'Loan Tape'!$AV264)-MAX(2,'Loan Tape'!$AT264))*IF(E571&lt;=0,E268/MAX(1,'Loan Tape'!$AU264-3+1),E571*E268/(1-(1+E571)^(-MAX(1,'Loan Tape'!$AU264-3+1)))-E571*E268),0)))</f>
        <v>0</v>
      </c>
      <c r="F1177" s="99" t="n">
        <f aca="false">IF(OR('Loan Tape'!$AN264=0,'Loan Tape'!$Z264="Interest Only",'Loan Tape'!$Z264=""),0,MIN(MAX(0,F268-F874),IFERROR(MAX(0,MIN(4,'Loan Tape'!$AV264)-MAX(3,'Loan Tape'!$AT264))*IF(F571&lt;=0,F268/MAX(1,'Loan Tape'!$AU264-4+1),F571*F268/(1-(1+F571)^(-MAX(1,'Loan Tape'!$AU264-4+1)))-F571*F268),0)))</f>
        <v>0</v>
      </c>
      <c r="G1177" s="99" t="n">
        <f aca="false">IF(OR('Loan Tape'!$AN264=0,'Loan Tape'!$Z264="Interest Only",'Loan Tape'!$Z264=""),0,MIN(MAX(0,G268-G874),IFERROR(MAX(0,MIN(5,'Loan Tape'!$AV264)-MAX(4,'Loan Tape'!$AT264))*IF(G571&lt;=0,G268/MAX(1,'Loan Tape'!$AU264-5+1),G571*G268/(1-(1+G571)^(-MAX(1,'Loan Tape'!$AU264-5+1)))-G571*G268),0)))</f>
        <v>0</v>
      </c>
      <c r="H1177" s="99" t="n">
        <f aca="false">IF(OR('Loan Tape'!$AN264=0,'Loan Tape'!$Z264="Interest Only",'Loan Tape'!$Z264=""),0,MIN(MAX(0,H268-H874),IFERROR(MAX(0,MIN(6,'Loan Tape'!$AV264)-MAX(5,'Loan Tape'!$AT264))*IF(H571&lt;=0,H268/MAX(1,'Loan Tape'!$AU264-6+1),H571*H268/(1-(1+H571)^(-MAX(1,'Loan Tape'!$AU264-6+1)))-H571*H268),0)))</f>
        <v>0</v>
      </c>
      <c r="I1177" s="99" t="n">
        <f aca="false">IF(OR('Loan Tape'!$AN264=0,'Loan Tape'!$Z264="Interest Only",'Loan Tape'!$Z264=""),0,MIN(MAX(0,I268-I874),IFERROR(MAX(0,MIN(7,'Loan Tape'!$AV264)-MAX(6,'Loan Tape'!$AT264))*IF(I571&lt;=0,I268/MAX(1,'Loan Tape'!$AU264-7+1),I571*I268/(1-(1+I571)^(-MAX(1,'Loan Tape'!$AU264-7+1)))-I571*I268),0)))</f>
        <v>0</v>
      </c>
      <c r="J1177" s="99" t="n">
        <f aca="false">IF(OR('Loan Tape'!$AN264=0,'Loan Tape'!$Z264="Interest Only",'Loan Tape'!$Z264=""),0,MIN(MAX(0,J268-J874),IFERROR(MAX(0,MIN(8,'Loan Tape'!$AV264)-MAX(7,'Loan Tape'!$AT264))*IF(J571&lt;=0,J268/MAX(1,'Loan Tape'!$AU264-8+1),J571*J268/(1-(1+J571)^(-MAX(1,'Loan Tape'!$AU264-8+1)))-J571*J268),0)))</f>
        <v>0</v>
      </c>
      <c r="K1177" s="99" t="n">
        <f aca="false">IF(OR('Loan Tape'!$AN264=0,'Loan Tape'!$Z264="Interest Only",'Loan Tape'!$Z264=""),0,MIN(MAX(0,K268-K874),IFERROR(MAX(0,MIN(9,'Loan Tape'!$AV264)-MAX(8,'Loan Tape'!$AT264))*IF(K571&lt;=0,K268/MAX(1,'Loan Tape'!$AU264-9+1),K571*K268/(1-(1+K571)^(-MAX(1,'Loan Tape'!$AU264-9+1)))-K571*K268),0)))</f>
        <v>0</v>
      </c>
      <c r="L1177" s="99" t="n">
        <f aca="false">IF(OR('Loan Tape'!$AN264=0,'Loan Tape'!$Z264="Interest Only",'Loan Tape'!$Z264=""),0,MIN(MAX(0,L268-L874),IFERROR(MAX(0,MIN(10,'Loan Tape'!$AV264)-MAX(9,'Loan Tape'!$AT264))*IF(L571&lt;=0,L268/MAX(1,'Loan Tape'!$AU264-10+1),L571*L268/(1-(1+L571)^(-MAX(1,'Loan Tape'!$AU264-10+1)))-L571*L268),0)))</f>
        <v>0</v>
      </c>
    </row>
    <row r="1178" customFormat="false" ht="15" hidden="false" customHeight="false" outlineLevel="0" collapsed="false">
      <c r="B1178" s="108" t="n">
        <f aca="false">'Loan Tape'!$A265</f>
        <v>0</v>
      </c>
      <c r="C1178" s="71" t="n">
        <f aca="false">IF(OR('Loan Tape'!$AN265=0,'Loan Tape'!$Z265="Interest Only",'Loan Tape'!$Z265=""),0,MIN(MAX(0,C269-C875),IFERROR(MAX(0,MIN(1,'Loan Tape'!$AV265)-MAX(0,'Loan Tape'!$AT265))*IF(C572&lt;=0,C269/MAX(1,'Loan Tape'!$AU265-1+1),C572*C269/(1-(1+C572)^(-MAX(1,'Loan Tape'!$AU265-1+1)))-C572*C269),0)))</f>
        <v>0</v>
      </c>
      <c r="D1178" s="71" t="n">
        <f aca="false">IF(OR('Loan Tape'!$AN265=0,'Loan Tape'!$Z265="Interest Only",'Loan Tape'!$Z265=""),0,MIN(MAX(0,D269-D875),IFERROR(MAX(0,MIN(2,'Loan Tape'!$AV265)-MAX(1,'Loan Tape'!$AT265))*IF(D572&lt;=0,D269/MAX(1,'Loan Tape'!$AU265-2+1),D572*D269/(1-(1+D572)^(-MAX(1,'Loan Tape'!$AU265-2+1)))-D572*D269),0)))</f>
        <v>0</v>
      </c>
      <c r="E1178" s="71" t="n">
        <f aca="false">IF(OR('Loan Tape'!$AN265=0,'Loan Tape'!$Z265="Interest Only",'Loan Tape'!$Z265=""),0,MIN(MAX(0,E269-E875),IFERROR(MAX(0,MIN(3,'Loan Tape'!$AV265)-MAX(2,'Loan Tape'!$AT265))*IF(E572&lt;=0,E269/MAX(1,'Loan Tape'!$AU265-3+1),E572*E269/(1-(1+E572)^(-MAX(1,'Loan Tape'!$AU265-3+1)))-E572*E269),0)))</f>
        <v>0</v>
      </c>
      <c r="F1178" s="71" t="n">
        <f aca="false">IF(OR('Loan Tape'!$AN265=0,'Loan Tape'!$Z265="Interest Only",'Loan Tape'!$Z265=""),0,MIN(MAX(0,F269-F875),IFERROR(MAX(0,MIN(4,'Loan Tape'!$AV265)-MAX(3,'Loan Tape'!$AT265))*IF(F572&lt;=0,F269/MAX(1,'Loan Tape'!$AU265-4+1),F572*F269/(1-(1+F572)^(-MAX(1,'Loan Tape'!$AU265-4+1)))-F572*F269),0)))</f>
        <v>0</v>
      </c>
      <c r="G1178" s="71" t="n">
        <f aca="false">IF(OR('Loan Tape'!$AN265=0,'Loan Tape'!$Z265="Interest Only",'Loan Tape'!$Z265=""),0,MIN(MAX(0,G269-G875),IFERROR(MAX(0,MIN(5,'Loan Tape'!$AV265)-MAX(4,'Loan Tape'!$AT265))*IF(G572&lt;=0,G269/MAX(1,'Loan Tape'!$AU265-5+1),G572*G269/(1-(1+G572)^(-MAX(1,'Loan Tape'!$AU265-5+1)))-G572*G269),0)))</f>
        <v>0</v>
      </c>
      <c r="H1178" s="71" t="n">
        <f aca="false">IF(OR('Loan Tape'!$AN265=0,'Loan Tape'!$Z265="Interest Only",'Loan Tape'!$Z265=""),0,MIN(MAX(0,H269-H875),IFERROR(MAX(0,MIN(6,'Loan Tape'!$AV265)-MAX(5,'Loan Tape'!$AT265))*IF(H572&lt;=0,H269/MAX(1,'Loan Tape'!$AU265-6+1),H572*H269/(1-(1+H572)^(-MAX(1,'Loan Tape'!$AU265-6+1)))-H572*H269),0)))</f>
        <v>0</v>
      </c>
      <c r="I1178" s="71" t="n">
        <f aca="false">IF(OR('Loan Tape'!$AN265=0,'Loan Tape'!$Z265="Interest Only",'Loan Tape'!$Z265=""),0,MIN(MAX(0,I269-I875),IFERROR(MAX(0,MIN(7,'Loan Tape'!$AV265)-MAX(6,'Loan Tape'!$AT265))*IF(I572&lt;=0,I269/MAX(1,'Loan Tape'!$AU265-7+1),I572*I269/(1-(1+I572)^(-MAX(1,'Loan Tape'!$AU265-7+1)))-I572*I269),0)))</f>
        <v>0</v>
      </c>
      <c r="J1178" s="71" t="n">
        <f aca="false">IF(OR('Loan Tape'!$AN265=0,'Loan Tape'!$Z265="Interest Only",'Loan Tape'!$Z265=""),0,MIN(MAX(0,J269-J875),IFERROR(MAX(0,MIN(8,'Loan Tape'!$AV265)-MAX(7,'Loan Tape'!$AT265))*IF(J572&lt;=0,J269/MAX(1,'Loan Tape'!$AU265-8+1),J572*J269/(1-(1+J572)^(-MAX(1,'Loan Tape'!$AU265-8+1)))-J572*J269),0)))</f>
        <v>0</v>
      </c>
      <c r="K1178" s="71" t="n">
        <f aca="false">IF(OR('Loan Tape'!$AN265=0,'Loan Tape'!$Z265="Interest Only",'Loan Tape'!$Z265=""),0,MIN(MAX(0,K269-K875),IFERROR(MAX(0,MIN(9,'Loan Tape'!$AV265)-MAX(8,'Loan Tape'!$AT265))*IF(K572&lt;=0,K269/MAX(1,'Loan Tape'!$AU265-9+1),K572*K269/(1-(1+K572)^(-MAX(1,'Loan Tape'!$AU265-9+1)))-K572*K269),0)))</f>
        <v>0</v>
      </c>
      <c r="L1178" s="71" t="n">
        <f aca="false">IF(OR('Loan Tape'!$AN265=0,'Loan Tape'!$Z265="Interest Only",'Loan Tape'!$Z265=""),0,MIN(MAX(0,L269-L875),IFERROR(MAX(0,MIN(10,'Loan Tape'!$AV265)-MAX(9,'Loan Tape'!$AT265))*IF(L572&lt;=0,L269/MAX(1,'Loan Tape'!$AU265-10+1),L572*L269/(1-(1+L572)^(-MAX(1,'Loan Tape'!$AU265-10+1)))-L572*L269),0)))</f>
        <v>0</v>
      </c>
    </row>
    <row r="1179" customFormat="false" ht="15" hidden="false" customHeight="false" outlineLevel="0" collapsed="false">
      <c r="B1179" s="102" t="n">
        <f aca="false">'Loan Tape'!$A266</f>
        <v>0</v>
      </c>
      <c r="C1179" s="99" t="n">
        <f aca="false">IF(OR('Loan Tape'!$AN266=0,'Loan Tape'!$Z266="Interest Only",'Loan Tape'!$Z266=""),0,MIN(MAX(0,C270-C876),IFERROR(MAX(0,MIN(1,'Loan Tape'!$AV266)-MAX(0,'Loan Tape'!$AT266))*IF(C573&lt;=0,C270/MAX(1,'Loan Tape'!$AU266-1+1),C573*C270/(1-(1+C573)^(-MAX(1,'Loan Tape'!$AU266-1+1)))-C573*C270),0)))</f>
        <v>0</v>
      </c>
      <c r="D1179" s="99" t="n">
        <f aca="false">IF(OR('Loan Tape'!$AN266=0,'Loan Tape'!$Z266="Interest Only",'Loan Tape'!$Z266=""),0,MIN(MAX(0,D270-D876),IFERROR(MAX(0,MIN(2,'Loan Tape'!$AV266)-MAX(1,'Loan Tape'!$AT266))*IF(D573&lt;=0,D270/MAX(1,'Loan Tape'!$AU266-2+1),D573*D270/(1-(1+D573)^(-MAX(1,'Loan Tape'!$AU266-2+1)))-D573*D270),0)))</f>
        <v>0</v>
      </c>
      <c r="E1179" s="99" t="n">
        <f aca="false">IF(OR('Loan Tape'!$AN266=0,'Loan Tape'!$Z266="Interest Only",'Loan Tape'!$Z266=""),0,MIN(MAX(0,E270-E876),IFERROR(MAX(0,MIN(3,'Loan Tape'!$AV266)-MAX(2,'Loan Tape'!$AT266))*IF(E573&lt;=0,E270/MAX(1,'Loan Tape'!$AU266-3+1),E573*E270/(1-(1+E573)^(-MAX(1,'Loan Tape'!$AU266-3+1)))-E573*E270),0)))</f>
        <v>0</v>
      </c>
      <c r="F1179" s="99" t="n">
        <f aca="false">IF(OR('Loan Tape'!$AN266=0,'Loan Tape'!$Z266="Interest Only",'Loan Tape'!$Z266=""),0,MIN(MAX(0,F270-F876),IFERROR(MAX(0,MIN(4,'Loan Tape'!$AV266)-MAX(3,'Loan Tape'!$AT266))*IF(F573&lt;=0,F270/MAX(1,'Loan Tape'!$AU266-4+1),F573*F270/(1-(1+F573)^(-MAX(1,'Loan Tape'!$AU266-4+1)))-F573*F270),0)))</f>
        <v>0</v>
      </c>
      <c r="G1179" s="99" t="n">
        <f aca="false">IF(OR('Loan Tape'!$AN266=0,'Loan Tape'!$Z266="Interest Only",'Loan Tape'!$Z266=""),0,MIN(MAX(0,G270-G876),IFERROR(MAX(0,MIN(5,'Loan Tape'!$AV266)-MAX(4,'Loan Tape'!$AT266))*IF(G573&lt;=0,G270/MAX(1,'Loan Tape'!$AU266-5+1),G573*G270/(1-(1+G573)^(-MAX(1,'Loan Tape'!$AU266-5+1)))-G573*G270),0)))</f>
        <v>0</v>
      </c>
      <c r="H1179" s="99" t="n">
        <f aca="false">IF(OR('Loan Tape'!$AN266=0,'Loan Tape'!$Z266="Interest Only",'Loan Tape'!$Z266=""),0,MIN(MAX(0,H270-H876),IFERROR(MAX(0,MIN(6,'Loan Tape'!$AV266)-MAX(5,'Loan Tape'!$AT266))*IF(H573&lt;=0,H270/MAX(1,'Loan Tape'!$AU266-6+1),H573*H270/(1-(1+H573)^(-MAX(1,'Loan Tape'!$AU266-6+1)))-H573*H270),0)))</f>
        <v>0</v>
      </c>
      <c r="I1179" s="99" t="n">
        <f aca="false">IF(OR('Loan Tape'!$AN266=0,'Loan Tape'!$Z266="Interest Only",'Loan Tape'!$Z266=""),0,MIN(MAX(0,I270-I876),IFERROR(MAX(0,MIN(7,'Loan Tape'!$AV266)-MAX(6,'Loan Tape'!$AT266))*IF(I573&lt;=0,I270/MAX(1,'Loan Tape'!$AU266-7+1),I573*I270/(1-(1+I573)^(-MAX(1,'Loan Tape'!$AU266-7+1)))-I573*I270),0)))</f>
        <v>0</v>
      </c>
      <c r="J1179" s="99" t="n">
        <f aca="false">IF(OR('Loan Tape'!$AN266=0,'Loan Tape'!$Z266="Interest Only",'Loan Tape'!$Z266=""),0,MIN(MAX(0,J270-J876),IFERROR(MAX(0,MIN(8,'Loan Tape'!$AV266)-MAX(7,'Loan Tape'!$AT266))*IF(J573&lt;=0,J270/MAX(1,'Loan Tape'!$AU266-8+1),J573*J270/(1-(1+J573)^(-MAX(1,'Loan Tape'!$AU266-8+1)))-J573*J270),0)))</f>
        <v>0</v>
      </c>
      <c r="K1179" s="99" t="n">
        <f aca="false">IF(OR('Loan Tape'!$AN266=0,'Loan Tape'!$Z266="Interest Only",'Loan Tape'!$Z266=""),0,MIN(MAX(0,K270-K876),IFERROR(MAX(0,MIN(9,'Loan Tape'!$AV266)-MAX(8,'Loan Tape'!$AT266))*IF(K573&lt;=0,K270/MAX(1,'Loan Tape'!$AU266-9+1),K573*K270/(1-(1+K573)^(-MAX(1,'Loan Tape'!$AU266-9+1)))-K573*K270),0)))</f>
        <v>0</v>
      </c>
      <c r="L1179" s="99" t="n">
        <f aca="false">IF(OR('Loan Tape'!$AN266=0,'Loan Tape'!$Z266="Interest Only",'Loan Tape'!$Z266=""),0,MIN(MAX(0,L270-L876),IFERROR(MAX(0,MIN(10,'Loan Tape'!$AV266)-MAX(9,'Loan Tape'!$AT266))*IF(L573&lt;=0,L270/MAX(1,'Loan Tape'!$AU266-10+1),L573*L270/(1-(1+L573)^(-MAX(1,'Loan Tape'!$AU266-10+1)))-L573*L270),0)))</f>
        <v>0</v>
      </c>
    </row>
    <row r="1180" customFormat="false" ht="15" hidden="false" customHeight="false" outlineLevel="0" collapsed="false">
      <c r="B1180" s="108" t="n">
        <f aca="false">'Loan Tape'!$A267</f>
        <v>0</v>
      </c>
      <c r="C1180" s="71" t="n">
        <f aca="false">IF(OR('Loan Tape'!$AN267=0,'Loan Tape'!$Z267="Interest Only",'Loan Tape'!$Z267=""),0,MIN(MAX(0,C271-C877),IFERROR(MAX(0,MIN(1,'Loan Tape'!$AV267)-MAX(0,'Loan Tape'!$AT267))*IF(C574&lt;=0,C271/MAX(1,'Loan Tape'!$AU267-1+1),C574*C271/(1-(1+C574)^(-MAX(1,'Loan Tape'!$AU267-1+1)))-C574*C271),0)))</f>
        <v>0</v>
      </c>
      <c r="D1180" s="71" t="n">
        <f aca="false">IF(OR('Loan Tape'!$AN267=0,'Loan Tape'!$Z267="Interest Only",'Loan Tape'!$Z267=""),0,MIN(MAX(0,D271-D877),IFERROR(MAX(0,MIN(2,'Loan Tape'!$AV267)-MAX(1,'Loan Tape'!$AT267))*IF(D574&lt;=0,D271/MAX(1,'Loan Tape'!$AU267-2+1),D574*D271/(1-(1+D574)^(-MAX(1,'Loan Tape'!$AU267-2+1)))-D574*D271),0)))</f>
        <v>0</v>
      </c>
      <c r="E1180" s="71" t="n">
        <f aca="false">IF(OR('Loan Tape'!$AN267=0,'Loan Tape'!$Z267="Interest Only",'Loan Tape'!$Z267=""),0,MIN(MAX(0,E271-E877),IFERROR(MAX(0,MIN(3,'Loan Tape'!$AV267)-MAX(2,'Loan Tape'!$AT267))*IF(E574&lt;=0,E271/MAX(1,'Loan Tape'!$AU267-3+1),E574*E271/(1-(1+E574)^(-MAX(1,'Loan Tape'!$AU267-3+1)))-E574*E271),0)))</f>
        <v>0</v>
      </c>
      <c r="F1180" s="71" t="n">
        <f aca="false">IF(OR('Loan Tape'!$AN267=0,'Loan Tape'!$Z267="Interest Only",'Loan Tape'!$Z267=""),0,MIN(MAX(0,F271-F877),IFERROR(MAX(0,MIN(4,'Loan Tape'!$AV267)-MAX(3,'Loan Tape'!$AT267))*IF(F574&lt;=0,F271/MAX(1,'Loan Tape'!$AU267-4+1),F574*F271/(1-(1+F574)^(-MAX(1,'Loan Tape'!$AU267-4+1)))-F574*F271),0)))</f>
        <v>0</v>
      </c>
      <c r="G1180" s="71" t="n">
        <f aca="false">IF(OR('Loan Tape'!$AN267=0,'Loan Tape'!$Z267="Interest Only",'Loan Tape'!$Z267=""),0,MIN(MAX(0,G271-G877),IFERROR(MAX(0,MIN(5,'Loan Tape'!$AV267)-MAX(4,'Loan Tape'!$AT267))*IF(G574&lt;=0,G271/MAX(1,'Loan Tape'!$AU267-5+1),G574*G271/(1-(1+G574)^(-MAX(1,'Loan Tape'!$AU267-5+1)))-G574*G271),0)))</f>
        <v>0</v>
      </c>
      <c r="H1180" s="71" t="n">
        <f aca="false">IF(OR('Loan Tape'!$AN267=0,'Loan Tape'!$Z267="Interest Only",'Loan Tape'!$Z267=""),0,MIN(MAX(0,H271-H877),IFERROR(MAX(0,MIN(6,'Loan Tape'!$AV267)-MAX(5,'Loan Tape'!$AT267))*IF(H574&lt;=0,H271/MAX(1,'Loan Tape'!$AU267-6+1),H574*H271/(1-(1+H574)^(-MAX(1,'Loan Tape'!$AU267-6+1)))-H574*H271),0)))</f>
        <v>0</v>
      </c>
      <c r="I1180" s="71" t="n">
        <f aca="false">IF(OR('Loan Tape'!$AN267=0,'Loan Tape'!$Z267="Interest Only",'Loan Tape'!$Z267=""),0,MIN(MAX(0,I271-I877),IFERROR(MAX(0,MIN(7,'Loan Tape'!$AV267)-MAX(6,'Loan Tape'!$AT267))*IF(I574&lt;=0,I271/MAX(1,'Loan Tape'!$AU267-7+1),I574*I271/(1-(1+I574)^(-MAX(1,'Loan Tape'!$AU267-7+1)))-I574*I271),0)))</f>
        <v>0</v>
      </c>
      <c r="J1180" s="71" t="n">
        <f aca="false">IF(OR('Loan Tape'!$AN267=0,'Loan Tape'!$Z267="Interest Only",'Loan Tape'!$Z267=""),0,MIN(MAX(0,J271-J877),IFERROR(MAX(0,MIN(8,'Loan Tape'!$AV267)-MAX(7,'Loan Tape'!$AT267))*IF(J574&lt;=0,J271/MAX(1,'Loan Tape'!$AU267-8+1),J574*J271/(1-(1+J574)^(-MAX(1,'Loan Tape'!$AU267-8+1)))-J574*J271),0)))</f>
        <v>0</v>
      </c>
      <c r="K1180" s="71" t="n">
        <f aca="false">IF(OR('Loan Tape'!$AN267=0,'Loan Tape'!$Z267="Interest Only",'Loan Tape'!$Z267=""),0,MIN(MAX(0,K271-K877),IFERROR(MAX(0,MIN(9,'Loan Tape'!$AV267)-MAX(8,'Loan Tape'!$AT267))*IF(K574&lt;=0,K271/MAX(1,'Loan Tape'!$AU267-9+1),K574*K271/(1-(1+K574)^(-MAX(1,'Loan Tape'!$AU267-9+1)))-K574*K271),0)))</f>
        <v>0</v>
      </c>
      <c r="L1180" s="71" t="n">
        <f aca="false">IF(OR('Loan Tape'!$AN267=0,'Loan Tape'!$Z267="Interest Only",'Loan Tape'!$Z267=""),0,MIN(MAX(0,L271-L877),IFERROR(MAX(0,MIN(10,'Loan Tape'!$AV267)-MAX(9,'Loan Tape'!$AT267))*IF(L574&lt;=0,L271/MAX(1,'Loan Tape'!$AU267-10+1),L574*L271/(1-(1+L574)^(-MAX(1,'Loan Tape'!$AU267-10+1)))-L574*L271),0)))</f>
        <v>0</v>
      </c>
    </row>
    <row r="1181" customFormat="false" ht="15" hidden="false" customHeight="false" outlineLevel="0" collapsed="false">
      <c r="B1181" s="102" t="n">
        <f aca="false">'Loan Tape'!$A268</f>
        <v>0</v>
      </c>
      <c r="C1181" s="99" t="n">
        <f aca="false">IF(OR('Loan Tape'!$AN268=0,'Loan Tape'!$Z268="Interest Only",'Loan Tape'!$Z268=""),0,MIN(MAX(0,C272-C878),IFERROR(MAX(0,MIN(1,'Loan Tape'!$AV268)-MAX(0,'Loan Tape'!$AT268))*IF(C575&lt;=0,C272/MAX(1,'Loan Tape'!$AU268-1+1),C575*C272/(1-(1+C575)^(-MAX(1,'Loan Tape'!$AU268-1+1)))-C575*C272),0)))</f>
        <v>0</v>
      </c>
      <c r="D1181" s="99" t="n">
        <f aca="false">IF(OR('Loan Tape'!$AN268=0,'Loan Tape'!$Z268="Interest Only",'Loan Tape'!$Z268=""),0,MIN(MAX(0,D272-D878),IFERROR(MAX(0,MIN(2,'Loan Tape'!$AV268)-MAX(1,'Loan Tape'!$AT268))*IF(D575&lt;=0,D272/MAX(1,'Loan Tape'!$AU268-2+1),D575*D272/(1-(1+D575)^(-MAX(1,'Loan Tape'!$AU268-2+1)))-D575*D272),0)))</f>
        <v>0</v>
      </c>
      <c r="E1181" s="99" t="n">
        <f aca="false">IF(OR('Loan Tape'!$AN268=0,'Loan Tape'!$Z268="Interest Only",'Loan Tape'!$Z268=""),0,MIN(MAX(0,E272-E878),IFERROR(MAX(0,MIN(3,'Loan Tape'!$AV268)-MAX(2,'Loan Tape'!$AT268))*IF(E575&lt;=0,E272/MAX(1,'Loan Tape'!$AU268-3+1),E575*E272/(1-(1+E575)^(-MAX(1,'Loan Tape'!$AU268-3+1)))-E575*E272),0)))</f>
        <v>0</v>
      </c>
      <c r="F1181" s="99" t="n">
        <f aca="false">IF(OR('Loan Tape'!$AN268=0,'Loan Tape'!$Z268="Interest Only",'Loan Tape'!$Z268=""),0,MIN(MAX(0,F272-F878),IFERROR(MAX(0,MIN(4,'Loan Tape'!$AV268)-MAX(3,'Loan Tape'!$AT268))*IF(F575&lt;=0,F272/MAX(1,'Loan Tape'!$AU268-4+1),F575*F272/(1-(1+F575)^(-MAX(1,'Loan Tape'!$AU268-4+1)))-F575*F272),0)))</f>
        <v>0</v>
      </c>
      <c r="G1181" s="99" t="n">
        <f aca="false">IF(OR('Loan Tape'!$AN268=0,'Loan Tape'!$Z268="Interest Only",'Loan Tape'!$Z268=""),0,MIN(MAX(0,G272-G878),IFERROR(MAX(0,MIN(5,'Loan Tape'!$AV268)-MAX(4,'Loan Tape'!$AT268))*IF(G575&lt;=0,G272/MAX(1,'Loan Tape'!$AU268-5+1),G575*G272/(1-(1+G575)^(-MAX(1,'Loan Tape'!$AU268-5+1)))-G575*G272),0)))</f>
        <v>0</v>
      </c>
      <c r="H1181" s="99" t="n">
        <f aca="false">IF(OR('Loan Tape'!$AN268=0,'Loan Tape'!$Z268="Interest Only",'Loan Tape'!$Z268=""),0,MIN(MAX(0,H272-H878),IFERROR(MAX(0,MIN(6,'Loan Tape'!$AV268)-MAX(5,'Loan Tape'!$AT268))*IF(H575&lt;=0,H272/MAX(1,'Loan Tape'!$AU268-6+1),H575*H272/(1-(1+H575)^(-MAX(1,'Loan Tape'!$AU268-6+1)))-H575*H272),0)))</f>
        <v>0</v>
      </c>
      <c r="I1181" s="99" t="n">
        <f aca="false">IF(OR('Loan Tape'!$AN268=0,'Loan Tape'!$Z268="Interest Only",'Loan Tape'!$Z268=""),0,MIN(MAX(0,I272-I878),IFERROR(MAX(0,MIN(7,'Loan Tape'!$AV268)-MAX(6,'Loan Tape'!$AT268))*IF(I575&lt;=0,I272/MAX(1,'Loan Tape'!$AU268-7+1),I575*I272/(1-(1+I575)^(-MAX(1,'Loan Tape'!$AU268-7+1)))-I575*I272),0)))</f>
        <v>0</v>
      </c>
      <c r="J1181" s="99" t="n">
        <f aca="false">IF(OR('Loan Tape'!$AN268=0,'Loan Tape'!$Z268="Interest Only",'Loan Tape'!$Z268=""),0,MIN(MAX(0,J272-J878),IFERROR(MAX(0,MIN(8,'Loan Tape'!$AV268)-MAX(7,'Loan Tape'!$AT268))*IF(J575&lt;=0,J272/MAX(1,'Loan Tape'!$AU268-8+1),J575*J272/(1-(1+J575)^(-MAX(1,'Loan Tape'!$AU268-8+1)))-J575*J272),0)))</f>
        <v>0</v>
      </c>
      <c r="K1181" s="99" t="n">
        <f aca="false">IF(OR('Loan Tape'!$AN268=0,'Loan Tape'!$Z268="Interest Only",'Loan Tape'!$Z268=""),0,MIN(MAX(0,K272-K878),IFERROR(MAX(0,MIN(9,'Loan Tape'!$AV268)-MAX(8,'Loan Tape'!$AT268))*IF(K575&lt;=0,K272/MAX(1,'Loan Tape'!$AU268-9+1),K575*K272/(1-(1+K575)^(-MAX(1,'Loan Tape'!$AU268-9+1)))-K575*K272),0)))</f>
        <v>0</v>
      </c>
      <c r="L1181" s="99" t="n">
        <f aca="false">IF(OR('Loan Tape'!$AN268=0,'Loan Tape'!$Z268="Interest Only",'Loan Tape'!$Z268=""),0,MIN(MAX(0,L272-L878),IFERROR(MAX(0,MIN(10,'Loan Tape'!$AV268)-MAX(9,'Loan Tape'!$AT268))*IF(L575&lt;=0,L272/MAX(1,'Loan Tape'!$AU268-10+1),L575*L272/(1-(1+L575)^(-MAX(1,'Loan Tape'!$AU268-10+1)))-L575*L272),0)))</f>
        <v>0</v>
      </c>
    </row>
    <row r="1182" customFormat="false" ht="15" hidden="false" customHeight="false" outlineLevel="0" collapsed="false">
      <c r="B1182" s="108" t="n">
        <f aca="false">'Loan Tape'!$A269</f>
        <v>0</v>
      </c>
      <c r="C1182" s="71" t="n">
        <f aca="false">IF(OR('Loan Tape'!$AN269=0,'Loan Tape'!$Z269="Interest Only",'Loan Tape'!$Z269=""),0,MIN(MAX(0,C273-C879),IFERROR(MAX(0,MIN(1,'Loan Tape'!$AV269)-MAX(0,'Loan Tape'!$AT269))*IF(C576&lt;=0,C273/MAX(1,'Loan Tape'!$AU269-1+1),C576*C273/(1-(1+C576)^(-MAX(1,'Loan Tape'!$AU269-1+1)))-C576*C273),0)))</f>
        <v>0</v>
      </c>
      <c r="D1182" s="71" t="n">
        <f aca="false">IF(OR('Loan Tape'!$AN269=0,'Loan Tape'!$Z269="Interest Only",'Loan Tape'!$Z269=""),0,MIN(MAX(0,D273-D879),IFERROR(MAX(0,MIN(2,'Loan Tape'!$AV269)-MAX(1,'Loan Tape'!$AT269))*IF(D576&lt;=0,D273/MAX(1,'Loan Tape'!$AU269-2+1),D576*D273/(1-(1+D576)^(-MAX(1,'Loan Tape'!$AU269-2+1)))-D576*D273),0)))</f>
        <v>0</v>
      </c>
      <c r="E1182" s="71" t="n">
        <f aca="false">IF(OR('Loan Tape'!$AN269=0,'Loan Tape'!$Z269="Interest Only",'Loan Tape'!$Z269=""),0,MIN(MAX(0,E273-E879),IFERROR(MAX(0,MIN(3,'Loan Tape'!$AV269)-MAX(2,'Loan Tape'!$AT269))*IF(E576&lt;=0,E273/MAX(1,'Loan Tape'!$AU269-3+1),E576*E273/(1-(1+E576)^(-MAX(1,'Loan Tape'!$AU269-3+1)))-E576*E273),0)))</f>
        <v>0</v>
      </c>
      <c r="F1182" s="71" t="n">
        <f aca="false">IF(OR('Loan Tape'!$AN269=0,'Loan Tape'!$Z269="Interest Only",'Loan Tape'!$Z269=""),0,MIN(MAX(0,F273-F879),IFERROR(MAX(0,MIN(4,'Loan Tape'!$AV269)-MAX(3,'Loan Tape'!$AT269))*IF(F576&lt;=0,F273/MAX(1,'Loan Tape'!$AU269-4+1),F576*F273/(1-(1+F576)^(-MAX(1,'Loan Tape'!$AU269-4+1)))-F576*F273),0)))</f>
        <v>0</v>
      </c>
      <c r="G1182" s="71" t="n">
        <f aca="false">IF(OR('Loan Tape'!$AN269=0,'Loan Tape'!$Z269="Interest Only",'Loan Tape'!$Z269=""),0,MIN(MAX(0,G273-G879),IFERROR(MAX(0,MIN(5,'Loan Tape'!$AV269)-MAX(4,'Loan Tape'!$AT269))*IF(G576&lt;=0,G273/MAX(1,'Loan Tape'!$AU269-5+1),G576*G273/(1-(1+G576)^(-MAX(1,'Loan Tape'!$AU269-5+1)))-G576*G273),0)))</f>
        <v>0</v>
      </c>
      <c r="H1182" s="71" t="n">
        <f aca="false">IF(OR('Loan Tape'!$AN269=0,'Loan Tape'!$Z269="Interest Only",'Loan Tape'!$Z269=""),0,MIN(MAX(0,H273-H879),IFERROR(MAX(0,MIN(6,'Loan Tape'!$AV269)-MAX(5,'Loan Tape'!$AT269))*IF(H576&lt;=0,H273/MAX(1,'Loan Tape'!$AU269-6+1),H576*H273/(1-(1+H576)^(-MAX(1,'Loan Tape'!$AU269-6+1)))-H576*H273),0)))</f>
        <v>0</v>
      </c>
      <c r="I1182" s="71" t="n">
        <f aca="false">IF(OR('Loan Tape'!$AN269=0,'Loan Tape'!$Z269="Interest Only",'Loan Tape'!$Z269=""),0,MIN(MAX(0,I273-I879),IFERROR(MAX(0,MIN(7,'Loan Tape'!$AV269)-MAX(6,'Loan Tape'!$AT269))*IF(I576&lt;=0,I273/MAX(1,'Loan Tape'!$AU269-7+1),I576*I273/(1-(1+I576)^(-MAX(1,'Loan Tape'!$AU269-7+1)))-I576*I273),0)))</f>
        <v>0</v>
      </c>
      <c r="J1182" s="71" t="n">
        <f aca="false">IF(OR('Loan Tape'!$AN269=0,'Loan Tape'!$Z269="Interest Only",'Loan Tape'!$Z269=""),0,MIN(MAX(0,J273-J879),IFERROR(MAX(0,MIN(8,'Loan Tape'!$AV269)-MAX(7,'Loan Tape'!$AT269))*IF(J576&lt;=0,J273/MAX(1,'Loan Tape'!$AU269-8+1),J576*J273/(1-(1+J576)^(-MAX(1,'Loan Tape'!$AU269-8+1)))-J576*J273),0)))</f>
        <v>0</v>
      </c>
      <c r="K1182" s="71" t="n">
        <f aca="false">IF(OR('Loan Tape'!$AN269=0,'Loan Tape'!$Z269="Interest Only",'Loan Tape'!$Z269=""),0,MIN(MAX(0,K273-K879),IFERROR(MAX(0,MIN(9,'Loan Tape'!$AV269)-MAX(8,'Loan Tape'!$AT269))*IF(K576&lt;=0,K273/MAX(1,'Loan Tape'!$AU269-9+1),K576*K273/(1-(1+K576)^(-MAX(1,'Loan Tape'!$AU269-9+1)))-K576*K273),0)))</f>
        <v>0</v>
      </c>
      <c r="L1182" s="71" t="n">
        <f aca="false">IF(OR('Loan Tape'!$AN269=0,'Loan Tape'!$Z269="Interest Only",'Loan Tape'!$Z269=""),0,MIN(MAX(0,L273-L879),IFERROR(MAX(0,MIN(10,'Loan Tape'!$AV269)-MAX(9,'Loan Tape'!$AT269))*IF(L576&lt;=0,L273/MAX(1,'Loan Tape'!$AU269-10+1),L576*L273/(1-(1+L576)^(-MAX(1,'Loan Tape'!$AU269-10+1)))-L576*L273),0)))</f>
        <v>0</v>
      </c>
    </row>
    <row r="1183" customFormat="false" ht="15" hidden="false" customHeight="false" outlineLevel="0" collapsed="false">
      <c r="B1183" s="102" t="n">
        <f aca="false">'Loan Tape'!$A270</f>
        <v>0</v>
      </c>
      <c r="C1183" s="99" t="n">
        <f aca="false">IF(OR('Loan Tape'!$AN270=0,'Loan Tape'!$Z270="Interest Only",'Loan Tape'!$Z270=""),0,MIN(MAX(0,C274-C880),IFERROR(MAX(0,MIN(1,'Loan Tape'!$AV270)-MAX(0,'Loan Tape'!$AT270))*IF(C577&lt;=0,C274/MAX(1,'Loan Tape'!$AU270-1+1),C577*C274/(1-(1+C577)^(-MAX(1,'Loan Tape'!$AU270-1+1)))-C577*C274),0)))</f>
        <v>0</v>
      </c>
      <c r="D1183" s="99" t="n">
        <f aca="false">IF(OR('Loan Tape'!$AN270=0,'Loan Tape'!$Z270="Interest Only",'Loan Tape'!$Z270=""),0,MIN(MAX(0,D274-D880),IFERROR(MAX(0,MIN(2,'Loan Tape'!$AV270)-MAX(1,'Loan Tape'!$AT270))*IF(D577&lt;=0,D274/MAX(1,'Loan Tape'!$AU270-2+1),D577*D274/(1-(1+D577)^(-MAX(1,'Loan Tape'!$AU270-2+1)))-D577*D274),0)))</f>
        <v>0</v>
      </c>
      <c r="E1183" s="99" t="n">
        <f aca="false">IF(OR('Loan Tape'!$AN270=0,'Loan Tape'!$Z270="Interest Only",'Loan Tape'!$Z270=""),0,MIN(MAX(0,E274-E880),IFERROR(MAX(0,MIN(3,'Loan Tape'!$AV270)-MAX(2,'Loan Tape'!$AT270))*IF(E577&lt;=0,E274/MAX(1,'Loan Tape'!$AU270-3+1),E577*E274/(1-(1+E577)^(-MAX(1,'Loan Tape'!$AU270-3+1)))-E577*E274),0)))</f>
        <v>0</v>
      </c>
      <c r="F1183" s="99" t="n">
        <f aca="false">IF(OR('Loan Tape'!$AN270=0,'Loan Tape'!$Z270="Interest Only",'Loan Tape'!$Z270=""),0,MIN(MAX(0,F274-F880),IFERROR(MAX(0,MIN(4,'Loan Tape'!$AV270)-MAX(3,'Loan Tape'!$AT270))*IF(F577&lt;=0,F274/MAX(1,'Loan Tape'!$AU270-4+1),F577*F274/(1-(1+F577)^(-MAX(1,'Loan Tape'!$AU270-4+1)))-F577*F274),0)))</f>
        <v>0</v>
      </c>
      <c r="G1183" s="99" t="n">
        <f aca="false">IF(OR('Loan Tape'!$AN270=0,'Loan Tape'!$Z270="Interest Only",'Loan Tape'!$Z270=""),0,MIN(MAX(0,G274-G880),IFERROR(MAX(0,MIN(5,'Loan Tape'!$AV270)-MAX(4,'Loan Tape'!$AT270))*IF(G577&lt;=0,G274/MAX(1,'Loan Tape'!$AU270-5+1),G577*G274/(1-(1+G577)^(-MAX(1,'Loan Tape'!$AU270-5+1)))-G577*G274),0)))</f>
        <v>0</v>
      </c>
      <c r="H1183" s="99" t="n">
        <f aca="false">IF(OR('Loan Tape'!$AN270=0,'Loan Tape'!$Z270="Interest Only",'Loan Tape'!$Z270=""),0,MIN(MAX(0,H274-H880),IFERROR(MAX(0,MIN(6,'Loan Tape'!$AV270)-MAX(5,'Loan Tape'!$AT270))*IF(H577&lt;=0,H274/MAX(1,'Loan Tape'!$AU270-6+1),H577*H274/(1-(1+H577)^(-MAX(1,'Loan Tape'!$AU270-6+1)))-H577*H274),0)))</f>
        <v>0</v>
      </c>
      <c r="I1183" s="99" t="n">
        <f aca="false">IF(OR('Loan Tape'!$AN270=0,'Loan Tape'!$Z270="Interest Only",'Loan Tape'!$Z270=""),0,MIN(MAX(0,I274-I880),IFERROR(MAX(0,MIN(7,'Loan Tape'!$AV270)-MAX(6,'Loan Tape'!$AT270))*IF(I577&lt;=0,I274/MAX(1,'Loan Tape'!$AU270-7+1),I577*I274/(1-(1+I577)^(-MAX(1,'Loan Tape'!$AU270-7+1)))-I577*I274),0)))</f>
        <v>0</v>
      </c>
      <c r="J1183" s="99" t="n">
        <f aca="false">IF(OR('Loan Tape'!$AN270=0,'Loan Tape'!$Z270="Interest Only",'Loan Tape'!$Z270=""),0,MIN(MAX(0,J274-J880),IFERROR(MAX(0,MIN(8,'Loan Tape'!$AV270)-MAX(7,'Loan Tape'!$AT270))*IF(J577&lt;=0,J274/MAX(1,'Loan Tape'!$AU270-8+1),J577*J274/(1-(1+J577)^(-MAX(1,'Loan Tape'!$AU270-8+1)))-J577*J274),0)))</f>
        <v>0</v>
      </c>
      <c r="K1183" s="99" t="n">
        <f aca="false">IF(OR('Loan Tape'!$AN270=0,'Loan Tape'!$Z270="Interest Only",'Loan Tape'!$Z270=""),0,MIN(MAX(0,K274-K880),IFERROR(MAX(0,MIN(9,'Loan Tape'!$AV270)-MAX(8,'Loan Tape'!$AT270))*IF(K577&lt;=0,K274/MAX(1,'Loan Tape'!$AU270-9+1),K577*K274/(1-(1+K577)^(-MAX(1,'Loan Tape'!$AU270-9+1)))-K577*K274),0)))</f>
        <v>0</v>
      </c>
      <c r="L1183" s="99" t="n">
        <f aca="false">IF(OR('Loan Tape'!$AN270=0,'Loan Tape'!$Z270="Interest Only",'Loan Tape'!$Z270=""),0,MIN(MAX(0,L274-L880),IFERROR(MAX(0,MIN(10,'Loan Tape'!$AV270)-MAX(9,'Loan Tape'!$AT270))*IF(L577&lt;=0,L274/MAX(1,'Loan Tape'!$AU270-10+1),L577*L274/(1-(1+L577)^(-MAX(1,'Loan Tape'!$AU270-10+1)))-L577*L274),0)))</f>
        <v>0</v>
      </c>
    </row>
    <row r="1184" customFormat="false" ht="15" hidden="false" customHeight="false" outlineLevel="0" collapsed="false">
      <c r="B1184" s="108" t="n">
        <f aca="false">'Loan Tape'!$A271</f>
        <v>0</v>
      </c>
      <c r="C1184" s="71" t="n">
        <f aca="false">IF(OR('Loan Tape'!$AN271=0,'Loan Tape'!$Z271="Interest Only",'Loan Tape'!$Z271=""),0,MIN(MAX(0,C275-C881),IFERROR(MAX(0,MIN(1,'Loan Tape'!$AV271)-MAX(0,'Loan Tape'!$AT271))*IF(C578&lt;=0,C275/MAX(1,'Loan Tape'!$AU271-1+1),C578*C275/(1-(1+C578)^(-MAX(1,'Loan Tape'!$AU271-1+1)))-C578*C275),0)))</f>
        <v>0</v>
      </c>
      <c r="D1184" s="71" t="n">
        <f aca="false">IF(OR('Loan Tape'!$AN271=0,'Loan Tape'!$Z271="Interest Only",'Loan Tape'!$Z271=""),0,MIN(MAX(0,D275-D881),IFERROR(MAX(0,MIN(2,'Loan Tape'!$AV271)-MAX(1,'Loan Tape'!$AT271))*IF(D578&lt;=0,D275/MAX(1,'Loan Tape'!$AU271-2+1),D578*D275/(1-(1+D578)^(-MAX(1,'Loan Tape'!$AU271-2+1)))-D578*D275),0)))</f>
        <v>0</v>
      </c>
      <c r="E1184" s="71" t="n">
        <f aca="false">IF(OR('Loan Tape'!$AN271=0,'Loan Tape'!$Z271="Interest Only",'Loan Tape'!$Z271=""),0,MIN(MAX(0,E275-E881),IFERROR(MAX(0,MIN(3,'Loan Tape'!$AV271)-MAX(2,'Loan Tape'!$AT271))*IF(E578&lt;=0,E275/MAX(1,'Loan Tape'!$AU271-3+1),E578*E275/(1-(1+E578)^(-MAX(1,'Loan Tape'!$AU271-3+1)))-E578*E275),0)))</f>
        <v>0</v>
      </c>
      <c r="F1184" s="71" t="n">
        <f aca="false">IF(OR('Loan Tape'!$AN271=0,'Loan Tape'!$Z271="Interest Only",'Loan Tape'!$Z271=""),0,MIN(MAX(0,F275-F881),IFERROR(MAX(0,MIN(4,'Loan Tape'!$AV271)-MAX(3,'Loan Tape'!$AT271))*IF(F578&lt;=0,F275/MAX(1,'Loan Tape'!$AU271-4+1),F578*F275/(1-(1+F578)^(-MAX(1,'Loan Tape'!$AU271-4+1)))-F578*F275),0)))</f>
        <v>0</v>
      </c>
      <c r="G1184" s="71" t="n">
        <f aca="false">IF(OR('Loan Tape'!$AN271=0,'Loan Tape'!$Z271="Interest Only",'Loan Tape'!$Z271=""),0,MIN(MAX(0,G275-G881),IFERROR(MAX(0,MIN(5,'Loan Tape'!$AV271)-MAX(4,'Loan Tape'!$AT271))*IF(G578&lt;=0,G275/MAX(1,'Loan Tape'!$AU271-5+1),G578*G275/(1-(1+G578)^(-MAX(1,'Loan Tape'!$AU271-5+1)))-G578*G275),0)))</f>
        <v>0</v>
      </c>
      <c r="H1184" s="71" t="n">
        <f aca="false">IF(OR('Loan Tape'!$AN271=0,'Loan Tape'!$Z271="Interest Only",'Loan Tape'!$Z271=""),0,MIN(MAX(0,H275-H881),IFERROR(MAX(0,MIN(6,'Loan Tape'!$AV271)-MAX(5,'Loan Tape'!$AT271))*IF(H578&lt;=0,H275/MAX(1,'Loan Tape'!$AU271-6+1),H578*H275/(1-(1+H578)^(-MAX(1,'Loan Tape'!$AU271-6+1)))-H578*H275),0)))</f>
        <v>0</v>
      </c>
      <c r="I1184" s="71" t="n">
        <f aca="false">IF(OR('Loan Tape'!$AN271=0,'Loan Tape'!$Z271="Interest Only",'Loan Tape'!$Z271=""),0,MIN(MAX(0,I275-I881),IFERROR(MAX(0,MIN(7,'Loan Tape'!$AV271)-MAX(6,'Loan Tape'!$AT271))*IF(I578&lt;=0,I275/MAX(1,'Loan Tape'!$AU271-7+1),I578*I275/(1-(1+I578)^(-MAX(1,'Loan Tape'!$AU271-7+1)))-I578*I275),0)))</f>
        <v>0</v>
      </c>
      <c r="J1184" s="71" t="n">
        <f aca="false">IF(OR('Loan Tape'!$AN271=0,'Loan Tape'!$Z271="Interest Only",'Loan Tape'!$Z271=""),0,MIN(MAX(0,J275-J881),IFERROR(MAX(0,MIN(8,'Loan Tape'!$AV271)-MAX(7,'Loan Tape'!$AT271))*IF(J578&lt;=0,J275/MAX(1,'Loan Tape'!$AU271-8+1),J578*J275/(1-(1+J578)^(-MAX(1,'Loan Tape'!$AU271-8+1)))-J578*J275),0)))</f>
        <v>0</v>
      </c>
      <c r="K1184" s="71" t="n">
        <f aca="false">IF(OR('Loan Tape'!$AN271=0,'Loan Tape'!$Z271="Interest Only",'Loan Tape'!$Z271=""),0,MIN(MAX(0,K275-K881),IFERROR(MAX(0,MIN(9,'Loan Tape'!$AV271)-MAX(8,'Loan Tape'!$AT271))*IF(K578&lt;=0,K275/MAX(1,'Loan Tape'!$AU271-9+1),K578*K275/(1-(1+K578)^(-MAX(1,'Loan Tape'!$AU271-9+1)))-K578*K275),0)))</f>
        <v>0</v>
      </c>
      <c r="L1184" s="71" t="n">
        <f aca="false">IF(OR('Loan Tape'!$AN271=0,'Loan Tape'!$Z271="Interest Only",'Loan Tape'!$Z271=""),0,MIN(MAX(0,L275-L881),IFERROR(MAX(0,MIN(10,'Loan Tape'!$AV271)-MAX(9,'Loan Tape'!$AT271))*IF(L578&lt;=0,L275/MAX(1,'Loan Tape'!$AU271-10+1),L578*L275/(1-(1+L578)^(-MAX(1,'Loan Tape'!$AU271-10+1)))-L578*L275),0)))</f>
        <v>0</v>
      </c>
    </row>
    <row r="1185" customFormat="false" ht="15" hidden="false" customHeight="false" outlineLevel="0" collapsed="false">
      <c r="B1185" s="102" t="n">
        <f aca="false">'Loan Tape'!$A272</f>
        <v>0</v>
      </c>
      <c r="C1185" s="99" t="n">
        <f aca="false">IF(OR('Loan Tape'!$AN272=0,'Loan Tape'!$Z272="Interest Only",'Loan Tape'!$Z272=""),0,MIN(MAX(0,C276-C882),IFERROR(MAX(0,MIN(1,'Loan Tape'!$AV272)-MAX(0,'Loan Tape'!$AT272))*IF(C579&lt;=0,C276/MAX(1,'Loan Tape'!$AU272-1+1),C579*C276/(1-(1+C579)^(-MAX(1,'Loan Tape'!$AU272-1+1)))-C579*C276),0)))</f>
        <v>0</v>
      </c>
      <c r="D1185" s="99" t="n">
        <f aca="false">IF(OR('Loan Tape'!$AN272=0,'Loan Tape'!$Z272="Interest Only",'Loan Tape'!$Z272=""),0,MIN(MAX(0,D276-D882),IFERROR(MAX(0,MIN(2,'Loan Tape'!$AV272)-MAX(1,'Loan Tape'!$AT272))*IF(D579&lt;=0,D276/MAX(1,'Loan Tape'!$AU272-2+1),D579*D276/(1-(1+D579)^(-MAX(1,'Loan Tape'!$AU272-2+1)))-D579*D276),0)))</f>
        <v>0</v>
      </c>
      <c r="E1185" s="99" t="n">
        <f aca="false">IF(OR('Loan Tape'!$AN272=0,'Loan Tape'!$Z272="Interest Only",'Loan Tape'!$Z272=""),0,MIN(MAX(0,E276-E882),IFERROR(MAX(0,MIN(3,'Loan Tape'!$AV272)-MAX(2,'Loan Tape'!$AT272))*IF(E579&lt;=0,E276/MAX(1,'Loan Tape'!$AU272-3+1),E579*E276/(1-(1+E579)^(-MAX(1,'Loan Tape'!$AU272-3+1)))-E579*E276),0)))</f>
        <v>0</v>
      </c>
      <c r="F1185" s="99" t="n">
        <f aca="false">IF(OR('Loan Tape'!$AN272=0,'Loan Tape'!$Z272="Interest Only",'Loan Tape'!$Z272=""),0,MIN(MAX(0,F276-F882),IFERROR(MAX(0,MIN(4,'Loan Tape'!$AV272)-MAX(3,'Loan Tape'!$AT272))*IF(F579&lt;=0,F276/MAX(1,'Loan Tape'!$AU272-4+1),F579*F276/(1-(1+F579)^(-MAX(1,'Loan Tape'!$AU272-4+1)))-F579*F276),0)))</f>
        <v>0</v>
      </c>
      <c r="G1185" s="99" t="n">
        <f aca="false">IF(OR('Loan Tape'!$AN272=0,'Loan Tape'!$Z272="Interest Only",'Loan Tape'!$Z272=""),0,MIN(MAX(0,G276-G882),IFERROR(MAX(0,MIN(5,'Loan Tape'!$AV272)-MAX(4,'Loan Tape'!$AT272))*IF(G579&lt;=0,G276/MAX(1,'Loan Tape'!$AU272-5+1),G579*G276/(1-(1+G579)^(-MAX(1,'Loan Tape'!$AU272-5+1)))-G579*G276),0)))</f>
        <v>0</v>
      </c>
      <c r="H1185" s="99" t="n">
        <f aca="false">IF(OR('Loan Tape'!$AN272=0,'Loan Tape'!$Z272="Interest Only",'Loan Tape'!$Z272=""),0,MIN(MAX(0,H276-H882),IFERROR(MAX(0,MIN(6,'Loan Tape'!$AV272)-MAX(5,'Loan Tape'!$AT272))*IF(H579&lt;=0,H276/MAX(1,'Loan Tape'!$AU272-6+1),H579*H276/(1-(1+H579)^(-MAX(1,'Loan Tape'!$AU272-6+1)))-H579*H276),0)))</f>
        <v>0</v>
      </c>
      <c r="I1185" s="99" t="n">
        <f aca="false">IF(OR('Loan Tape'!$AN272=0,'Loan Tape'!$Z272="Interest Only",'Loan Tape'!$Z272=""),0,MIN(MAX(0,I276-I882),IFERROR(MAX(0,MIN(7,'Loan Tape'!$AV272)-MAX(6,'Loan Tape'!$AT272))*IF(I579&lt;=0,I276/MAX(1,'Loan Tape'!$AU272-7+1),I579*I276/(1-(1+I579)^(-MAX(1,'Loan Tape'!$AU272-7+1)))-I579*I276),0)))</f>
        <v>0</v>
      </c>
      <c r="J1185" s="99" t="n">
        <f aca="false">IF(OR('Loan Tape'!$AN272=0,'Loan Tape'!$Z272="Interest Only",'Loan Tape'!$Z272=""),0,MIN(MAX(0,J276-J882),IFERROR(MAX(0,MIN(8,'Loan Tape'!$AV272)-MAX(7,'Loan Tape'!$AT272))*IF(J579&lt;=0,J276/MAX(1,'Loan Tape'!$AU272-8+1),J579*J276/(1-(1+J579)^(-MAX(1,'Loan Tape'!$AU272-8+1)))-J579*J276),0)))</f>
        <v>0</v>
      </c>
      <c r="K1185" s="99" t="n">
        <f aca="false">IF(OR('Loan Tape'!$AN272=0,'Loan Tape'!$Z272="Interest Only",'Loan Tape'!$Z272=""),0,MIN(MAX(0,K276-K882),IFERROR(MAX(0,MIN(9,'Loan Tape'!$AV272)-MAX(8,'Loan Tape'!$AT272))*IF(K579&lt;=0,K276/MAX(1,'Loan Tape'!$AU272-9+1),K579*K276/(1-(1+K579)^(-MAX(1,'Loan Tape'!$AU272-9+1)))-K579*K276),0)))</f>
        <v>0</v>
      </c>
      <c r="L1185" s="99" t="n">
        <f aca="false">IF(OR('Loan Tape'!$AN272=0,'Loan Tape'!$Z272="Interest Only",'Loan Tape'!$Z272=""),0,MIN(MAX(0,L276-L882),IFERROR(MAX(0,MIN(10,'Loan Tape'!$AV272)-MAX(9,'Loan Tape'!$AT272))*IF(L579&lt;=0,L276/MAX(1,'Loan Tape'!$AU272-10+1),L579*L276/(1-(1+L579)^(-MAX(1,'Loan Tape'!$AU272-10+1)))-L579*L276),0)))</f>
        <v>0</v>
      </c>
    </row>
    <row r="1186" customFormat="false" ht="15" hidden="false" customHeight="false" outlineLevel="0" collapsed="false">
      <c r="B1186" s="108" t="n">
        <f aca="false">'Loan Tape'!$A273</f>
        <v>0</v>
      </c>
      <c r="C1186" s="71" t="n">
        <f aca="false">IF(OR('Loan Tape'!$AN273=0,'Loan Tape'!$Z273="Interest Only",'Loan Tape'!$Z273=""),0,MIN(MAX(0,C277-C883),IFERROR(MAX(0,MIN(1,'Loan Tape'!$AV273)-MAX(0,'Loan Tape'!$AT273))*IF(C580&lt;=0,C277/MAX(1,'Loan Tape'!$AU273-1+1),C580*C277/(1-(1+C580)^(-MAX(1,'Loan Tape'!$AU273-1+1)))-C580*C277),0)))</f>
        <v>0</v>
      </c>
      <c r="D1186" s="71" t="n">
        <f aca="false">IF(OR('Loan Tape'!$AN273=0,'Loan Tape'!$Z273="Interest Only",'Loan Tape'!$Z273=""),0,MIN(MAX(0,D277-D883),IFERROR(MAX(0,MIN(2,'Loan Tape'!$AV273)-MAX(1,'Loan Tape'!$AT273))*IF(D580&lt;=0,D277/MAX(1,'Loan Tape'!$AU273-2+1),D580*D277/(1-(1+D580)^(-MAX(1,'Loan Tape'!$AU273-2+1)))-D580*D277),0)))</f>
        <v>0</v>
      </c>
      <c r="E1186" s="71" t="n">
        <f aca="false">IF(OR('Loan Tape'!$AN273=0,'Loan Tape'!$Z273="Interest Only",'Loan Tape'!$Z273=""),0,MIN(MAX(0,E277-E883),IFERROR(MAX(0,MIN(3,'Loan Tape'!$AV273)-MAX(2,'Loan Tape'!$AT273))*IF(E580&lt;=0,E277/MAX(1,'Loan Tape'!$AU273-3+1),E580*E277/(1-(1+E580)^(-MAX(1,'Loan Tape'!$AU273-3+1)))-E580*E277),0)))</f>
        <v>0</v>
      </c>
      <c r="F1186" s="71" t="n">
        <f aca="false">IF(OR('Loan Tape'!$AN273=0,'Loan Tape'!$Z273="Interest Only",'Loan Tape'!$Z273=""),0,MIN(MAX(0,F277-F883),IFERROR(MAX(0,MIN(4,'Loan Tape'!$AV273)-MAX(3,'Loan Tape'!$AT273))*IF(F580&lt;=0,F277/MAX(1,'Loan Tape'!$AU273-4+1),F580*F277/(1-(1+F580)^(-MAX(1,'Loan Tape'!$AU273-4+1)))-F580*F277),0)))</f>
        <v>0</v>
      </c>
      <c r="G1186" s="71" t="n">
        <f aca="false">IF(OR('Loan Tape'!$AN273=0,'Loan Tape'!$Z273="Interest Only",'Loan Tape'!$Z273=""),0,MIN(MAX(0,G277-G883),IFERROR(MAX(0,MIN(5,'Loan Tape'!$AV273)-MAX(4,'Loan Tape'!$AT273))*IF(G580&lt;=0,G277/MAX(1,'Loan Tape'!$AU273-5+1),G580*G277/(1-(1+G580)^(-MAX(1,'Loan Tape'!$AU273-5+1)))-G580*G277),0)))</f>
        <v>0</v>
      </c>
      <c r="H1186" s="71" t="n">
        <f aca="false">IF(OR('Loan Tape'!$AN273=0,'Loan Tape'!$Z273="Interest Only",'Loan Tape'!$Z273=""),0,MIN(MAX(0,H277-H883),IFERROR(MAX(0,MIN(6,'Loan Tape'!$AV273)-MAX(5,'Loan Tape'!$AT273))*IF(H580&lt;=0,H277/MAX(1,'Loan Tape'!$AU273-6+1),H580*H277/(1-(1+H580)^(-MAX(1,'Loan Tape'!$AU273-6+1)))-H580*H277),0)))</f>
        <v>0</v>
      </c>
      <c r="I1186" s="71" t="n">
        <f aca="false">IF(OR('Loan Tape'!$AN273=0,'Loan Tape'!$Z273="Interest Only",'Loan Tape'!$Z273=""),0,MIN(MAX(0,I277-I883),IFERROR(MAX(0,MIN(7,'Loan Tape'!$AV273)-MAX(6,'Loan Tape'!$AT273))*IF(I580&lt;=0,I277/MAX(1,'Loan Tape'!$AU273-7+1),I580*I277/(1-(1+I580)^(-MAX(1,'Loan Tape'!$AU273-7+1)))-I580*I277),0)))</f>
        <v>0</v>
      </c>
      <c r="J1186" s="71" t="n">
        <f aca="false">IF(OR('Loan Tape'!$AN273=0,'Loan Tape'!$Z273="Interest Only",'Loan Tape'!$Z273=""),0,MIN(MAX(0,J277-J883),IFERROR(MAX(0,MIN(8,'Loan Tape'!$AV273)-MAX(7,'Loan Tape'!$AT273))*IF(J580&lt;=0,J277/MAX(1,'Loan Tape'!$AU273-8+1),J580*J277/(1-(1+J580)^(-MAX(1,'Loan Tape'!$AU273-8+1)))-J580*J277),0)))</f>
        <v>0</v>
      </c>
      <c r="K1186" s="71" t="n">
        <f aca="false">IF(OR('Loan Tape'!$AN273=0,'Loan Tape'!$Z273="Interest Only",'Loan Tape'!$Z273=""),0,MIN(MAX(0,K277-K883),IFERROR(MAX(0,MIN(9,'Loan Tape'!$AV273)-MAX(8,'Loan Tape'!$AT273))*IF(K580&lt;=0,K277/MAX(1,'Loan Tape'!$AU273-9+1),K580*K277/(1-(1+K580)^(-MAX(1,'Loan Tape'!$AU273-9+1)))-K580*K277),0)))</f>
        <v>0</v>
      </c>
      <c r="L1186" s="71" t="n">
        <f aca="false">IF(OR('Loan Tape'!$AN273=0,'Loan Tape'!$Z273="Interest Only",'Loan Tape'!$Z273=""),0,MIN(MAX(0,L277-L883),IFERROR(MAX(0,MIN(10,'Loan Tape'!$AV273)-MAX(9,'Loan Tape'!$AT273))*IF(L580&lt;=0,L277/MAX(1,'Loan Tape'!$AU273-10+1),L580*L277/(1-(1+L580)^(-MAX(1,'Loan Tape'!$AU273-10+1)))-L580*L277),0)))</f>
        <v>0</v>
      </c>
    </row>
    <row r="1187" customFormat="false" ht="15" hidden="false" customHeight="false" outlineLevel="0" collapsed="false">
      <c r="B1187" s="102" t="n">
        <f aca="false">'Loan Tape'!$A274</f>
        <v>0</v>
      </c>
      <c r="C1187" s="99" t="n">
        <f aca="false">IF(OR('Loan Tape'!$AN274=0,'Loan Tape'!$Z274="Interest Only",'Loan Tape'!$Z274=""),0,MIN(MAX(0,C278-C884),IFERROR(MAX(0,MIN(1,'Loan Tape'!$AV274)-MAX(0,'Loan Tape'!$AT274))*IF(C581&lt;=0,C278/MAX(1,'Loan Tape'!$AU274-1+1),C581*C278/(1-(1+C581)^(-MAX(1,'Loan Tape'!$AU274-1+1)))-C581*C278),0)))</f>
        <v>0</v>
      </c>
      <c r="D1187" s="99" t="n">
        <f aca="false">IF(OR('Loan Tape'!$AN274=0,'Loan Tape'!$Z274="Interest Only",'Loan Tape'!$Z274=""),0,MIN(MAX(0,D278-D884),IFERROR(MAX(0,MIN(2,'Loan Tape'!$AV274)-MAX(1,'Loan Tape'!$AT274))*IF(D581&lt;=0,D278/MAX(1,'Loan Tape'!$AU274-2+1),D581*D278/(1-(1+D581)^(-MAX(1,'Loan Tape'!$AU274-2+1)))-D581*D278),0)))</f>
        <v>0</v>
      </c>
      <c r="E1187" s="99" t="n">
        <f aca="false">IF(OR('Loan Tape'!$AN274=0,'Loan Tape'!$Z274="Interest Only",'Loan Tape'!$Z274=""),0,MIN(MAX(0,E278-E884),IFERROR(MAX(0,MIN(3,'Loan Tape'!$AV274)-MAX(2,'Loan Tape'!$AT274))*IF(E581&lt;=0,E278/MAX(1,'Loan Tape'!$AU274-3+1),E581*E278/(1-(1+E581)^(-MAX(1,'Loan Tape'!$AU274-3+1)))-E581*E278),0)))</f>
        <v>0</v>
      </c>
      <c r="F1187" s="99" t="n">
        <f aca="false">IF(OR('Loan Tape'!$AN274=0,'Loan Tape'!$Z274="Interest Only",'Loan Tape'!$Z274=""),0,MIN(MAX(0,F278-F884),IFERROR(MAX(0,MIN(4,'Loan Tape'!$AV274)-MAX(3,'Loan Tape'!$AT274))*IF(F581&lt;=0,F278/MAX(1,'Loan Tape'!$AU274-4+1),F581*F278/(1-(1+F581)^(-MAX(1,'Loan Tape'!$AU274-4+1)))-F581*F278),0)))</f>
        <v>0</v>
      </c>
      <c r="G1187" s="99" t="n">
        <f aca="false">IF(OR('Loan Tape'!$AN274=0,'Loan Tape'!$Z274="Interest Only",'Loan Tape'!$Z274=""),0,MIN(MAX(0,G278-G884),IFERROR(MAX(0,MIN(5,'Loan Tape'!$AV274)-MAX(4,'Loan Tape'!$AT274))*IF(G581&lt;=0,G278/MAX(1,'Loan Tape'!$AU274-5+1),G581*G278/(1-(1+G581)^(-MAX(1,'Loan Tape'!$AU274-5+1)))-G581*G278),0)))</f>
        <v>0</v>
      </c>
      <c r="H1187" s="99" t="n">
        <f aca="false">IF(OR('Loan Tape'!$AN274=0,'Loan Tape'!$Z274="Interest Only",'Loan Tape'!$Z274=""),0,MIN(MAX(0,H278-H884),IFERROR(MAX(0,MIN(6,'Loan Tape'!$AV274)-MAX(5,'Loan Tape'!$AT274))*IF(H581&lt;=0,H278/MAX(1,'Loan Tape'!$AU274-6+1),H581*H278/(1-(1+H581)^(-MAX(1,'Loan Tape'!$AU274-6+1)))-H581*H278),0)))</f>
        <v>0</v>
      </c>
      <c r="I1187" s="99" t="n">
        <f aca="false">IF(OR('Loan Tape'!$AN274=0,'Loan Tape'!$Z274="Interest Only",'Loan Tape'!$Z274=""),0,MIN(MAX(0,I278-I884),IFERROR(MAX(0,MIN(7,'Loan Tape'!$AV274)-MAX(6,'Loan Tape'!$AT274))*IF(I581&lt;=0,I278/MAX(1,'Loan Tape'!$AU274-7+1),I581*I278/(1-(1+I581)^(-MAX(1,'Loan Tape'!$AU274-7+1)))-I581*I278),0)))</f>
        <v>0</v>
      </c>
      <c r="J1187" s="99" t="n">
        <f aca="false">IF(OR('Loan Tape'!$AN274=0,'Loan Tape'!$Z274="Interest Only",'Loan Tape'!$Z274=""),0,MIN(MAX(0,J278-J884),IFERROR(MAX(0,MIN(8,'Loan Tape'!$AV274)-MAX(7,'Loan Tape'!$AT274))*IF(J581&lt;=0,J278/MAX(1,'Loan Tape'!$AU274-8+1),J581*J278/(1-(1+J581)^(-MAX(1,'Loan Tape'!$AU274-8+1)))-J581*J278),0)))</f>
        <v>0</v>
      </c>
      <c r="K1187" s="99" t="n">
        <f aca="false">IF(OR('Loan Tape'!$AN274=0,'Loan Tape'!$Z274="Interest Only",'Loan Tape'!$Z274=""),0,MIN(MAX(0,K278-K884),IFERROR(MAX(0,MIN(9,'Loan Tape'!$AV274)-MAX(8,'Loan Tape'!$AT274))*IF(K581&lt;=0,K278/MAX(1,'Loan Tape'!$AU274-9+1),K581*K278/(1-(1+K581)^(-MAX(1,'Loan Tape'!$AU274-9+1)))-K581*K278),0)))</f>
        <v>0</v>
      </c>
      <c r="L1187" s="99" t="n">
        <f aca="false">IF(OR('Loan Tape'!$AN274=0,'Loan Tape'!$Z274="Interest Only",'Loan Tape'!$Z274=""),0,MIN(MAX(0,L278-L884),IFERROR(MAX(0,MIN(10,'Loan Tape'!$AV274)-MAX(9,'Loan Tape'!$AT274))*IF(L581&lt;=0,L278/MAX(1,'Loan Tape'!$AU274-10+1),L581*L278/(1-(1+L581)^(-MAX(1,'Loan Tape'!$AU274-10+1)))-L581*L278),0)))</f>
        <v>0</v>
      </c>
    </row>
    <row r="1188" customFormat="false" ht="15" hidden="false" customHeight="false" outlineLevel="0" collapsed="false">
      <c r="B1188" s="108" t="n">
        <f aca="false">'Loan Tape'!$A275</f>
        <v>0</v>
      </c>
      <c r="C1188" s="71" t="n">
        <f aca="false">IF(OR('Loan Tape'!$AN275=0,'Loan Tape'!$Z275="Interest Only",'Loan Tape'!$Z275=""),0,MIN(MAX(0,C279-C885),IFERROR(MAX(0,MIN(1,'Loan Tape'!$AV275)-MAX(0,'Loan Tape'!$AT275))*IF(C582&lt;=0,C279/MAX(1,'Loan Tape'!$AU275-1+1),C582*C279/(1-(1+C582)^(-MAX(1,'Loan Tape'!$AU275-1+1)))-C582*C279),0)))</f>
        <v>0</v>
      </c>
      <c r="D1188" s="71" t="n">
        <f aca="false">IF(OR('Loan Tape'!$AN275=0,'Loan Tape'!$Z275="Interest Only",'Loan Tape'!$Z275=""),0,MIN(MAX(0,D279-D885),IFERROR(MAX(0,MIN(2,'Loan Tape'!$AV275)-MAX(1,'Loan Tape'!$AT275))*IF(D582&lt;=0,D279/MAX(1,'Loan Tape'!$AU275-2+1),D582*D279/(1-(1+D582)^(-MAX(1,'Loan Tape'!$AU275-2+1)))-D582*D279),0)))</f>
        <v>0</v>
      </c>
      <c r="E1188" s="71" t="n">
        <f aca="false">IF(OR('Loan Tape'!$AN275=0,'Loan Tape'!$Z275="Interest Only",'Loan Tape'!$Z275=""),0,MIN(MAX(0,E279-E885),IFERROR(MAX(0,MIN(3,'Loan Tape'!$AV275)-MAX(2,'Loan Tape'!$AT275))*IF(E582&lt;=0,E279/MAX(1,'Loan Tape'!$AU275-3+1),E582*E279/(1-(1+E582)^(-MAX(1,'Loan Tape'!$AU275-3+1)))-E582*E279),0)))</f>
        <v>0</v>
      </c>
      <c r="F1188" s="71" t="n">
        <f aca="false">IF(OR('Loan Tape'!$AN275=0,'Loan Tape'!$Z275="Interest Only",'Loan Tape'!$Z275=""),0,MIN(MAX(0,F279-F885),IFERROR(MAX(0,MIN(4,'Loan Tape'!$AV275)-MAX(3,'Loan Tape'!$AT275))*IF(F582&lt;=0,F279/MAX(1,'Loan Tape'!$AU275-4+1),F582*F279/(1-(1+F582)^(-MAX(1,'Loan Tape'!$AU275-4+1)))-F582*F279),0)))</f>
        <v>0</v>
      </c>
      <c r="G1188" s="71" t="n">
        <f aca="false">IF(OR('Loan Tape'!$AN275=0,'Loan Tape'!$Z275="Interest Only",'Loan Tape'!$Z275=""),0,MIN(MAX(0,G279-G885),IFERROR(MAX(0,MIN(5,'Loan Tape'!$AV275)-MAX(4,'Loan Tape'!$AT275))*IF(G582&lt;=0,G279/MAX(1,'Loan Tape'!$AU275-5+1),G582*G279/(1-(1+G582)^(-MAX(1,'Loan Tape'!$AU275-5+1)))-G582*G279),0)))</f>
        <v>0</v>
      </c>
      <c r="H1188" s="71" t="n">
        <f aca="false">IF(OR('Loan Tape'!$AN275=0,'Loan Tape'!$Z275="Interest Only",'Loan Tape'!$Z275=""),0,MIN(MAX(0,H279-H885),IFERROR(MAX(0,MIN(6,'Loan Tape'!$AV275)-MAX(5,'Loan Tape'!$AT275))*IF(H582&lt;=0,H279/MAX(1,'Loan Tape'!$AU275-6+1),H582*H279/(1-(1+H582)^(-MAX(1,'Loan Tape'!$AU275-6+1)))-H582*H279),0)))</f>
        <v>0</v>
      </c>
      <c r="I1188" s="71" t="n">
        <f aca="false">IF(OR('Loan Tape'!$AN275=0,'Loan Tape'!$Z275="Interest Only",'Loan Tape'!$Z275=""),0,MIN(MAX(0,I279-I885),IFERROR(MAX(0,MIN(7,'Loan Tape'!$AV275)-MAX(6,'Loan Tape'!$AT275))*IF(I582&lt;=0,I279/MAX(1,'Loan Tape'!$AU275-7+1),I582*I279/(1-(1+I582)^(-MAX(1,'Loan Tape'!$AU275-7+1)))-I582*I279),0)))</f>
        <v>0</v>
      </c>
      <c r="J1188" s="71" t="n">
        <f aca="false">IF(OR('Loan Tape'!$AN275=0,'Loan Tape'!$Z275="Interest Only",'Loan Tape'!$Z275=""),0,MIN(MAX(0,J279-J885),IFERROR(MAX(0,MIN(8,'Loan Tape'!$AV275)-MAX(7,'Loan Tape'!$AT275))*IF(J582&lt;=0,J279/MAX(1,'Loan Tape'!$AU275-8+1),J582*J279/(1-(1+J582)^(-MAX(1,'Loan Tape'!$AU275-8+1)))-J582*J279),0)))</f>
        <v>0</v>
      </c>
      <c r="K1188" s="71" t="n">
        <f aca="false">IF(OR('Loan Tape'!$AN275=0,'Loan Tape'!$Z275="Interest Only",'Loan Tape'!$Z275=""),0,MIN(MAX(0,K279-K885),IFERROR(MAX(0,MIN(9,'Loan Tape'!$AV275)-MAX(8,'Loan Tape'!$AT275))*IF(K582&lt;=0,K279/MAX(1,'Loan Tape'!$AU275-9+1),K582*K279/(1-(1+K582)^(-MAX(1,'Loan Tape'!$AU275-9+1)))-K582*K279),0)))</f>
        <v>0</v>
      </c>
      <c r="L1188" s="71" t="n">
        <f aca="false">IF(OR('Loan Tape'!$AN275=0,'Loan Tape'!$Z275="Interest Only",'Loan Tape'!$Z275=""),0,MIN(MAX(0,L279-L885),IFERROR(MAX(0,MIN(10,'Loan Tape'!$AV275)-MAX(9,'Loan Tape'!$AT275))*IF(L582&lt;=0,L279/MAX(1,'Loan Tape'!$AU275-10+1),L582*L279/(1-(1+L582)^(-MAX(1,'Loan Tape'!$AU275-10+1)))-L582*L279),0)))</f>
        <v>0</v>
      </c>
    </row>
    <row r="1189" customFormat="false" ht="15" hidden="false" customHeight="false" outlineLevel="0" collapsed="false">
      <c r="B1189" s="102" t="n">
        <f aca="false">'Loan Tape'!$A276</f>
        <v>0</v>
      </c>
      <c r="C1189" s="99" t="n">
        <f aca="false">IF(OR('Loan Tape'!$AN276=0,'Loan Tape'!$Z276="Interest Only",'Loan Tape'!$Z276=""),0,MIN(MAX(0,C280-C886),IFERROR(MAX(0,MIN(1,'Loan Tape'!$AV276)-MAX(0,'Loan Tape'!$AT276))*IF(C583&lt;=0,C280/MAX(1,'Loan Tape'!$AU276-1+1),C583*C280/(1-(1+C583)^(-MAX(1,'Loan Tape'!$AU276-1+1)))-C583*C280),0)))</f>
        <v>0</v>
      </c>
      <c r="D1189" s="99" t="n">
        <f aca="false">IF(OR('Loan Tape'!$AN276=0,'Loan Tape'!$Z276="Interest Only",'Loan Tape'!$Z276=""),0,MIN(MAX(0,D280-D886),IFERROR(MAX(0,MIN(2,'Loan Tape'!$AV276)-MAX(1,'Loan Tape'!$AT276))*IF(D583&lt;=0,D280/MAX(1,'Loan Tape'!$AU276-2+1),D583*D280/(1-(1+D583)^(-MAX(1,'Loan Tape'!$AU276-2+1)))-D583*D280),0)))</f>
        <v>0</v>
      </c>
      <c r="E1189" s="99" t="n">
        <f aca="false">IF(OR('Loan Tape'!$AN276=0,'Loan Tape'!$Z276="Interest Only",'Loan Tape'!$Z276=""),0,MIN(MAX(0,E280-E886),IFERROR(MAX(0,MIN(3,'Loan Tape'!$AV276)-MAX(2,'Loan Tape'!$AT276))*IF(E583&lt;=0,E280/MAX(1,'Loan Tape'!$AU276-3+1),E583*E280/(1-(1+E583)^(-MAX(1,'Loan Tape'!$AU276-3+1)))-E583*E280),0)))</f>
        <v>0</v>
      </c>
      <c r="F1189" s="99" t="n">
        <f aca="false">IF(OR('Loan Tape'!$AN276=0,'Loan Tape'!$Z276="Interest Only",'Loan Tape'!$Z276=""),0,MIN(MAX(0,F280-F886),IFERROR(MAX(0,MIN(4,'Loan Tape'!$AV276)-MAX(3,'Loan Tape'!$AT276))*IF(F583&lt;=0,F280/MAX(1,'Loan Tape'!$AU276-4+1),F583*F280/(1-(1+F583)^(-MAX(1,'Loan Tape'!$AU276-4+1)))-F583*F280),0)))</f>
        <v>0</v>
      </c>
      <c r="G1189" s="99" t="n">
        <f aca="false">IF(OR('Loan Tape'!$AN276=0,'Loan Tape'!$Z276="Interest Only",'Loan Tape'!$Z276=""),0,MIN(MAX(0,G280-G886),IFERROR(MAX(0,MIN(5,'Loan Tape'!$AV276)-MAX(4,'Loan Tape'!$AT276))*IF(G583&lt;=0,G280/MAX(1,'Loan Tape'!$AU276-5+1),G583*G280/(1-(1+G583)^(-MAX(1,'Loan Tape'!$AU276-5+1)))-G583*G280),0)))</f>
        <v>0</v>
      </c>
      <c r="H1189" s="99" t="n">
        <f aca="false">IF(OR('Loan Tape'!$AN276=0,'Loan Tape'!$Z276="Interest Only",'Loan Tape'!$Z276=""),0,MIN(MAX(0,H280-H886),IFERROR(MAX(0,MIN(6,'Loan Tape'!$AV276)-MAX(5,'Loan Tape'!$AT276))*IF(H583&lt;=0,H280/MAX(1,'Loan Tape'!$AU276-6+1),H583*H280/(1-(1+H583)^(-MAX(1,'Loan Tape'!$AU276-6+1)))-H583*H280),0)))</f>
        <v>0</v>
      </c>
      <c r="I1189" s="99" t="n">
        <f aca="false">IF(OR('Loan Tape'!$AN276=0,'Loan Tape'!$Z276="Interest Only",'Loan Tape'!$Z276=""),0,MIN(MAX(0,I280-I886),IFERROR(MAX(0,MIN(7,'Loan Tape'!$AV276)-MAX(6,'Loan Tape'!$AT276))*IF(I583&lt;=0,I280/MAX(1,'Loan Tape'!$AU276-7+1),I583*I280/(1-(1+I583)^(-MAX(1,'Loan Tape'!$AU276-7+1)))-I583*I280),0)))</f>
        <v>0</v>
      </c>
      <c r="J1189" s="99" t="n">
        <f aca="false">IF(OR('Loan Tape'!$AN276=0,'Loan Tape'!$Z276="Interest Only",'Loan Tape'!$Z276=""),0,MIN(MAX(0,J280-J886),IFERROR(MAX(0,MIN(8,'Loan Tape'!$AV276)-MAX(7,'Loan Tape'!$AT276))*IF(J583&lt;=0,J280/MAX(1,'Loan Tape'!$AU276-8+1),J583*J280/(1-(1+J583)^(-MAX(1,'Loan Tape'!$AU276-8+1)))-J583*J280),0)))</f>
        <v>0</v>
      </c>
      <c r="K1189" s="99" t="n">
        <f aca="false">IF(OR('Loan Tape'!$AN276=0,'Loan Tape'!$Z276="Interest Only",'Loan Tape'!$Z276=""),0,MIN(MAX(0,K280-K886),IFERROR(MAX(0,MIN(9,'Loan Tape'!$AV276)-MAX(8,'Loan Tape'!$AT276))*IF(K583&lt;=0,K280/MAX(1,'Loan Tape'!$AU276-9+1),K583*K280/(1-(1+K583)^(-MAX(1,'Loan Tape'!$AU276-9+1)))-K583*K280),0)))</f>
        <v>0</v>
      </c>
      <c r="L1189" s="99" t="n">
        <f aca="false">IF(OR('Loan Tape'!$AN276=0,'Loan Tape'!$Z276="Interest Only",'Loan Tape'!$Z276=""),0,MIN(MAX(0,L280-L886),IFERROR(MAX(0,MIN(10,'Loan Tape'!$AV276)-MAX(9,'Loan Tape'!$AT276))*IF(L583&lt;=0,L280/MAX(1,'Loan Tape'!$AU276-10+1),L583*L280/(1-(1+L583)^(-MAX(1,'Loan Tape'!$AU276-10+1)))-L583*L280),0)))</f>
        <v>0</v>
      </c>
    </row>
    <row r="1190" customFormat="false" ht="15" hidden="false" customHeight="false" outlineLevel="0" collapsed="false">
      <c r="B1190" s="108" t="n">
        <f aca="false">'Loan Tape'!$A277</f>
        <v>0</v>
      </c>
      <c r="C1190" s="71" t="n">
        <f aca="false">IF(OR('Loan Tape'!$AN277=0,'Loan Tape'!$Z277="Interest Only",'Loan Tape'!$Z277=""),0,MIN(MAX(0,C281-C887),IFERROR(MAX(0,MIN(1,'Loan Tape'!$AV277)-MAX(0,'Loan Tape'!$AT277))*IF(C584&lt;=0,C281/MAX(1,'Loan Tape'!$AU277-1+1),C584*C281/(1-(1+C584)^(-MAX(1,'Loan Tape'!$AU277-1+1)))-C584*C281),0)))</f>
        <v>0</v>
      </c>
      <c r="D1190" s="71" t="n">
        <f aca="false">IF(OR('Loan Tape'!$AN277=0,'Loan Tape'!$Z277="Interest Only",'Loan Tape'!$Z277=""),0,MIN(MAX(0,D281-D887),IFERROR(MAX(0,MIN(2,'Loan Tape'!$AV277)-MAX(1,'Loan Tape'!$AT277))*IF(D584&lt;=0,D281/MAX(1,'Loan Tape'!$AU277-2+1),D584*D281/(1-(1+D584)^(-MAX(1,'Loan Tape'!$AU277-2+1)))-D584*D281),0)))</f>
        <v>0</v>
      </c>
      <c r="E1190" s="71" t="n">
        <f aca="false">IF(OR('Loan Tape'!$AN277=0,'Loan Tape'!$Z277="Interest Only",'Loan Tape'!$Z277=""),0,MIN(MAX(0,E281-E887),IFERROR(MAX(0,MIN(3,'Loan Tape'!$AV277)-MAX(2,'Loan Tape'!$AT277))*IF(E584&lt;=0,E281/MAX(1,'Loan Tape'!$AU277-3+1),E584*E281/(1-(1+E584)^(-MAX(1,'Loan Tape'!$AU277-3+1)))-E584*E281),0)))</f>
        <v>0</v>
      </c>
      <c r="F1190" s="71" t="n">
        <f aca="false">IF(OR('Loan Tape'!$AN277=0,'Loan Tape'!$Z277="Interest Only",'Loan Tape'!$Z277=""),0,MIN(MAX(0,F281-F887),IFERROR(MAX(0,MIN(4,'Loan Tape'!$AV277)-MAX(3,'Loan Tape'!$AT277))*IF(F584&lt;=0,F281/MAX(1,'Loan Tape'!$AU277-4+1),F584*F281/(1-(1+F584)^(-MAX(1,'Loan Tape'!$AU277-4+1)))-F584*F281),0)))</f>
        <v>0</v>
      </c>
      <c r="G1190" s="71" t="n">
        <f aca="false">IF(OR('Loan Tape'!$AN277=0,'Loan Tape'!$Z277="Interest Only",'Loan Tape'!$Z277=""),0,MIN(MAX(0,G281-G887),IFERROR(MAX(0,MIN(5,'Loan Tape'!$AV277)-MAX(4,'Loan Tape'!$AT277))*IF(G584&lt;=0,G281/MAX(1,'Loan Tape'!$AU277-5+1),G584*G281/(1-(1+G584)^(-MAX(1,'Loan Tape'!$AU277-5+1)))-G584*G281),0)))</f>
        <v>0</v>
      </c>
      <c r="H1190" s="71" t="n">
        <f aca="false">IF(OR('Loan Tape'!$AN277=0,'Loan Tape'!$Z277="Interest Only",'Loan Tape'!$Z277=""),0,MIN(MAX(0,H281-H887),IFERROR(MAX(0,MIN(6,'Loan Tape'!$AV277)-MAX(5,'Loan Tape'!$AT277))*IF(H584&lt;=0,H281/MAX(1,'Loan Tape'!$AU277-6+1),H584*H281/(1-(1+H584)^(-MAX(1,'Loan Tape'!$AU277-6+1)))-H584*H281),0)))</f>
        <v>0</v>
      </c>
      <c r="I1190" s="71" t="n">
        <f aca="false">IF(OR('Loan Tape'!$AN277=0,'Loan Tape'!$Z277="Interest Only",'Loan Tape'!$Z277=""),0,MIN(MAX(0,I281-I887),IFERROR(MAX(0,MIN(7,'Loan Tape'!$AV277)-MAX(6,'Loan Tape'!$AT277))*IF(I584&lt;=0,I281/MAX(1,'Loan Tape'!$AU277-7+1),I584*I281/(1-(1+I584)^(-MAX(1,'Loan Tape'!$AU277-7+1)))-I584*I281),0)))</f>
        <v>0</v>
      </c>
      <c r="J1190" s="71" t="n">
        <f aca="false">IF(OR('Loan Tape'!$AN277=0,'Loan Tape'!$Z277="Interest Only",'Loan Tape'!$Z277=""),0,MIN(MAX(0,J281-J887),IFERROR(MAX(0,MIN(8,'Loan Tape'!$AV277)-MAX(7,'Loan Tape'!$AT277))*IF(J584&lt;=0,J281/MAX(1,'Loan Tape'!$AU277-8+1),J584*J281/(1-(1+J584)^(-MAX(1,'Loan Tape'!$AU277-8+1)))-J584*J281),0)))</f>
        <v>0</v>
      </c>
      <c r="K1190" s="71" t="n">
        <f aca="false">IF(OR('Loan Tape'!$AN277=0,'Loan Tape'!$Z277="Interest Only",'Loan Tape'!$Z277=""),0,MIN(MAX(0,K281-K887),IFERROR(MAX(0,MIN(9,'Loan Tape'!$AV277)-MAX(8,'Loan Tape'!$AT277))*IF(K584&lt;=0,K281/MAX(1,'Loan Tape'!$AU277-9+1),K584*K281/(1-(1+K584)^(-MAX(1,'Loan Tape'!$AU277-9+1)))-K584*K281),0)))</f>
        <v>0</v>
      </c>
      <c r="L1190" s="71" t="n">
        <f aca="false">IF(OR('Loan Tape'!$AN277=0,'Loan Tape'!$Z277="Interest Only",'Loan Tape'!$Z277=""),0,MIN(MAX(0,L281-L887),IFERROR(MAX(0,MIN(10,'Loan Tape'!$AV277)-MAX(9,'Loan Tape'!$AT277))*IF(L584&lt;=0,L281/MAX(1,'Loan Tape'!$AU277-10+1),L584*L281/(1-(1+L584)^(-MAX(1,'Loan Tape'!$AU277-10+1)))-L584*L281),0)))</f>
        <v>0</v>
      </c>
    </row>
    <row r="1191" customFormat="false" ht="15" hidden="false" customHeight="false" outlineLevel="0" collapsed="false">
      <c r="B1191" s="102" t="n">
        <f aca="false">'Loan Tape'!$A278</f>
        <v>0</v>
      </c>
      <c r="C1191" s="99" t="n">
        <f aca="false">IF(OR('Loan Tape'!$AN278=0,'Loan Tape'!$Z278="Interest Only",'Loan Tape'!$Z278=""),0,MIN(MAX(0,C282-C888),IFERROR(MAX(0,MIN(1,'Loan Tape'!$AV278)-MAX(0,'Loan Tape'!$AT278))*IF(C585&lt;=0,C282/MAX(1,'Loan Tape'!$AU278-1+1),C585*C282/(1-(1+C585)^(-MAX(1,'Loan Tape'!$AU278-1+1)))-C585*C282),0)))</f>
        <v>0</v>
      </c>
      <c r="D1191" s="99" t="n">
        <f aca="false">IF(OR('Loan Tape'!$AN278=0,'Loan Tape'!$Z278="Interest Only",'Loan Tape'!$Z278=""),0,MIN(MAX(0,D282-D888),IFERROR(MAX(0,MIN(2,'Loan Tape'!$AV278)-MAX(1,'Loan Tape'!$AT278))*IF(D585&lt;=0,D282/MAX(1,'Loan Tape'!$AU278-2+1),D585*D282/(1-(1+D585)^(-MAX(1,'Loan Tape'!$AU278-2+1)))-D585*D282),0)))</f>
        <v>0</v>
      </c>
      <c r="E1191" s="99" t="n">
        <f aca="false">IF(OR('Loan Tape'!$AN278=0,'Loan Tape'!$Z278="Interest Only",'Loan Tape'!$Z278=""),0,MIN(MAX(0,E282-E888),IFERROR(MAX(0,MIN(3,'Loan Tape'!$AV278)-MAX(2,'Loan Tape'!$AT278))*IF(E585&lt;=0,E282/MAX(1,'Loan Tape'!$AU278-3+1),E585*E282/(1-(1+E585)^(-MAX(1,'Loan Tape'!$AU278-3+1)))-E585*E282),0)))</f>
        <v>0</v>
      </c>
      <c r="F1191" s="99" t="n">
        <f aca="false">IF(OR('Loan Tape'!$AN278=0,'Loan Tape'!$Z278="Interest Only",'Loan Tape'!$Z278=""),0,MIN(MAX(0,F282-F888),IFERROR(MAX(0,MIN(4,'Loan Tape'!$AV278)-MAX(3,'Loan Tape'!$AT278))*IF(F585&lt;=0,F282/MAX(1,'Loan Tape'!$AU278-4+1),F585*F282/(1-(1+F585)^(-MAX(1,'Loan Tape'!$AU278-4+1)))-F585*F282),0)))</f>
        <v>0</v>
      </c>
      <c r="G1191" s="99" t="n">
        <f aca="false">IF(OR('Loan Tape'!$AN278=0,'Loan Tape'!$Z278="Interest Only",'Loan Tape'!$Z278=""),0,MIN(MAX(0,G282-G888),IFERROR(MAX(0,MIN(5,'Loan Tape'!$AV278)-MAX(4,'Loan Tape'!$AT278))*IF(G585&lt;=0,G282/MAX(1,'Loan Tape'!$AU278-5+1),G585*G282/(1-(1+G585)^(-MAX(1,'Loan Tape'!$AU278-5+1)))-G585*G282),0)))</f>
        <v>0</v>
      </c>
      <c r="H1191" s="99" t="n">
        <f aca="false">IF(OR('Loan Tape'!$AN278=0,'Loan Tape'!$Z278="Interest Only",'Loan Tape'!$Z278=""),0,MIN(MAX(0,H282-H888),IFERROR(MAX(0,MIN(6,'Loan Tape'!$AV278)-MAX(5,'Loan Tape'!$AT278))*IF(H585&lt;=0,H282/MAX(1,'Loan Tape'!$AU278-6+1),H585*H282/(1-(1+H585)^(-MAX(1,'Loan Tape'!$AU278-6+1)))-H585*H282),0)))</f>
        <v>0</v>
      </c>
      <c r="I1191" s="99" t="n">
        <f aca="false">IF(OR('Loan Tape'!$AN278=0,'Loan Tape'!$Z278="Interest Only",'Loan Tape'!$Z278=""),0,MIN(MAX(0,I282-I888),IFERROR(MAX(0,MIN(7,'Loan Tape'!$AV278)-MAX(6,'Loan Tape'!$AT278))*IF(I585&lt;=0,I282/MAX(1,'Loan Tape'!$AU278-7+1),I585*I282/(1-(1+I585)^(-MAX(1,'Loan Tape'!$AU278-7+1)))-I585*I282),0)))</f>
        <v>0</v>
      </c>
      <c r="J1191" s="99" t="n">
        <f aca="false">IF(OR('Loan Tape'!$AN278=0,'Loan Tape'!$Z278="Interest Only",'Loan Tape'!$Z278=""),0,MIN(MAX(0,J282-J888),IFERROR(MAX(0,MIN(8,'Loan Tape'!$AV278)-MAX(7,'Loan Tape'!$AT278))*IF(J585&lt;=0,J282/MAX(1,'Loan Tape'!$AU278-8+1),J585*J282/(1-(1+J585)^(-MAX(1,'Loan Tape'!$AU278-8+1)))-J585*J282),0)))</f>
        <v>0</v>
      </c>
      <c r="K1191" s="99" t="n">
        <f aca="false">IF(OR('Loan Tape'!$AN278=0,'Loan Tape'!$Z278="Interest Only",'Loan Tape'!$Z278=""),0,MIN(MAX(0,K282-K888),IFERROR(MAX(0,MIN(9,'Loan Tape'!$AV278)-MAX(8,'Loan Tape'!$AT278))*IF(K585&lt;=0,K282/MAX(1,'Loan Tape'!$AU278-9+1),K585*K282/(1-(1+K585)^(-MAX(1,'Loan Tape'!$AU278-9+1)))-K585*K282),0)))</f>
        <v>0</v>
      </c>
      <c r="L1191" s="99" t="n">
        <f aca="false">IF(OR('Loan Tape'!$AN278=0,'Loan Tape'!$Z278="Interest Only",'Loan Tape'!$Z278=""),0,MIN(MAX(0,L282-L888),IFERROR(MAX(0,MIN(10,'Loan Tape'!$AV278)-MAX(9,'Loan Tape'!$AT278))*IF(L585&lt;=0,L282/MAX(1,'Loan Tape'!$AU278-10+1),L585*L282/(1-(1+L585)^(-MAX(1,'Loan Tape'!$AU278-10+1)))-L585*L282),0)))</f>
        <v>0</v>
      </c>
    </row>
    <row r="1192" customFormat="false" ht="15" hidden="false" customHeight="false" outlineLevel="0" collapsed="false">
      <c r="B1192" s="108" t="n">
        <f aca="false">'Loan Tape'!$A279</f>
        <v>0</v>
      </c>
      <c r="C1192" s="71" t="n">
        <f aca="false">IF(OR('Loan Tape'!$AN279=0,'Loan Tape'!$Z279="Interest Only",'Loan Tape'!$Z279=""),0,MIN(MAX(0,C283-C889),IFERROR(MAX(0,MIN(1,'Loan Tape'!$AV279)-MAX(0,'Loan Tape'!$AT279))*IF(C586&lt;=0,C283/MAX(1,'Loan Tape'!$AU279-1+1),C586*C283/(1-(1+C586)^(-MAX(1,'Loan Tape'!$AU279-1+1)))-C586*C283),0)))</f>
        <v>0</v>
      </c>
      <c r="D1192" s="71" t="n">
        <f aca="false">IF(OR('Loan Tape'!$AN279=0,'Loan Tape'!$Z279="Interest Only",'Loan Tape'!$Z279=""),0,MIN(MAX(0,D283-D889),IFERROR(MAX(0,MIN(2,'Loan Tape'!$AV279)-MAX(1,'Loan Tape'!$AT279))*IF(D586&lt;=0,D283/MAX(1,'Loan Tape'!$AU279-2+1),D586*D283/(1-(1+D586)^(-MAX(1,'Loan Tape'!$AU279-2+1)))-D586*D283),0)))</f>
        <v>0</v>
      </c>
      <c r="E1192" s="71" t="n">
        <f aca="false">IF(OR('Loan Tape'!$AN279=0,'Loan Tape'!$Z279="Interest Only",'Loan Tape'!$Z279=""),0,MIN(MAX(0,E283-E889),IFERROR(MAX(0,MIN(3,'Loan Tape'!$AV279)-MAX(2,'Loan Tape'!$AT279))*IF(E586&lt;=0,E283/MAX(1,'Loan Tape'!$AU279-3+1),E586*E283/(1-(1+E586)^(-MAX(1,'Loan Tape'!$AU279-3+1)))-E586*E283),0)))</f>
        <v>0</v>
      </c>
      <c r="F1192" s="71" t="n">
        <f aca="false">IF(OR('Loan Tape'!$AN279=0,'Loan Tape'!$Z279="Interest Only",'Loan Tape'!$Z279=""),0,MIN(MAX(0,F283-F889),IFERROR(MAX(0,MIN(4,'Loan Tape'!$AV279)-MAX(3,'Loan Tape'!$AT279))*IF(F586&lt;=0,F283/MAX(1,'Loan Tape'!$AU279-4+1),F586*F283/(1-(1+F586)^(-MAX(1,'Loan Tape'!$AU279-4+1)))-F586*F283),0)))</f>
        <v>0</v>
      </c>
      <c r="G1192" s="71" t="n">
        <f aca="false">IF(OR('Loan Tape'!$AN279=0,'Loan Tape'!$Z279="Interest Only",'Loan Tape'!$Z279=""),0,MIN(MAX(0,G283-G889),IFERROR(MAX(0,MIN(5,'Loan Tape'!$AV279)-MAX(4,'Loan Tape'!$AT279))*IF(G586&lt;=0,G283/MAX(1,'Loan Tape'!$AU279-5+1),G586*G283/(1-(1+G586)^(-MAX(1,'Loan Tape'!$AU279-5+1)))-G586*G283),0)))</f>
        <v>0</v>
      </c>
      <c r="H1192" s="71" t="n">
        <f aca="false">IF(OR('Loan Tape'!$AN279=0,'Loan Tape'!$Z279="Interest Only",'Loan Tape'!$Z279=""),0,MIN(MAX(0,H283-H889),IFERROR(MAX(0,MIN(6,'Loan Tape'!$AV279)-MAX(5,'Loan Tape'!$AT279))*IF(H586&lt;=0,H283/MAX(1,'Loan Tape'!$AU279-6+1),H586*H283/(1-(1+H586)^(-MAX(1,'Loan Tape'!$AU279-6+1)))-H586*H283),0)))</f>
        <v>0</v>
      </c>
      <c r="I1192" s="71" t="n">
        <f aca="false">IF(OR('Loan Tape'!$AN279=0,'Loan Tape'!$Z279="Interest Only",'Loan Tape'!$Z279=""),0,MIN(MAX(0,I283-I889),IFERROR(MAX(0,MIN(7,'Loan Tape'!$AV279)-MAX(6,'Loan Tape'!$AT279))*IF(I586&lt;=0,I283/MAX(1,'Loan Tape'!$AU279-7+1),I586*I283/(1-(1+I586)^(-MAX(1,'Loan Tape'!$AU279-7+1)))-I586*I283),0)))</f>
        <v>0</v>
      </c>
      <c r="J1192" s="71" t="n">
        <f aca="false">IF(OR('Loan Tape'!$AN279=0,'Loan Tape'!$Z279="Interest Only",'Loan Tape'!$Z279=""),0,MIN(MAX(0,J283-J889),IFERROR(MAX(0,MIN(8,'Loan Tape'!$AV279)-MAX(7,'Loan Tape'!$AT279))*IF(J586&lt;=0,J283/MAX(1,'Loan Tape'!$AU279-8+1),J586*J283/(1-(1+J586)^(-MAX(1,'Loan Tape'!$AU279-8+1)))-J586*J283),0)))</f>
        <v>0</v>
      </c>
      <c r="K1192" s="71" t="n">
        <f aca="false">IF(OR('Loan Tape'!$AN279=0,'Loan Tape'!$Z279="Interest Only",'Loan Tape'!$Z279=""),0,MIN(MAX(0,K283-K889),IFERROR(MAX(0,MIN(9,'Loan Tape'!$AV279)-MAX(8,'Loan Tape'!$AT279))*IF(K586&lt;=0,K283/MAX(1,'Loan Tape'!$AU279-9+1),K586*K283/(1-(1+K586)^(-MAX(1,'Loan Tape'!$AU279-9+1)))-K586*K283),0)))</f>
        <v>0</v>
      </c>
      <c r="L1192" s="71" t="n">
        <f aca="false">IF(OR('Loan Tape'!$AN279=0,'Loan Tape'!$Z279="Interest Only",'Loan Tape'!$Z279=""),0,MIN(MAX(0,L283-L889),IFERROR(MAX(0,MIN(10,'Loan Tape'!$AV279)-MAX(9,'Loan Tape'!$AT279))*IF(L586&lt;=0,L283/MAX(1,'Loan Tape'!$AU279-10+1),L586*L283/(1-(1+L586)^(-MAX(1,'Loan Tape'!$AU279-10+1)))-L586*L283),0)))</f>
        <v>0</v>
      </c>
    </row>
    <row r="1193" customFormat="false" ht="15" hidden="false" customHeight="false" outlineLevel="0" collapsed="false">
      <c r="B1193" s="102" t="n">
        <f aca="false">'Loan Tape'!$A280</f>
        <v>0</v>
      </c>
      <c r="C1193" s="99" t="n">
        <f aca="false">IF(OR('Loan Tape'!$AN280=0,'Loan Tape'!$Z280="Interest Only",'Loan Tape'!$Z280=""),0,MIN(MAX(0,C284-C890),IFERROR(MAX(0,MIN(1,'Loan Tape'!$AV280)-MAX(0,'Loan Tape'!$AT280))*IF(C587&lt;=0,C284/MAX(1,'Loan Tape'!$AU280-1+1),C587*C284/(1-(1+C587)^(-MAX(1,'Loan Tape'!$AU280-1+1)))-C587*C284),0)))</f>
        <v>0</v>
      </c>
      <c r="D1193" s="99" t="n">
        <f aca="false">IF(OR('Loan Tape'!$AN280=0,'Loan Tape'!$Z280="Interest Only",'Loan Tape'!$Z280=""),0,MIN(MAX(0,D284-D890),IFERROR(MAX(0,MIN(2,'Loan Tape'!$AV280)-MAX(1,'Loan Tape'!$AT280))*IF(D587&lt;=0,D284/MAX(1,'Loan Tape'!$AU280-2+1),D587*D284/(1-(1+D587)^(-MAX(1,'Loan Tape'!$AU280-2+1)))-D587*D284),0)))</f>
        <v>0</v>
      </c>
      <c r="E1193" s="99" t="n">
        <f aca="false">IF(OR('Loan Tape'!$AN280=0,'Loan Tape'!$Z280="Interest Only",'Loan Tape'!$Z280=""),0,MIN(MAX(0,E284-E890),IFERROR(MAX(0,MIN(3,'Loan Tape'!$AV280)-MAX(2,'Loan Tape'!$AT280))*IF(E587&lt;=0,E284/MAX(1,'Loan Tape'!$AU280-3+1),E587*E284/(1-(1+E587)^(-MAX(1,'Loan Tape'!$AU280-3+1)))-E587*E284),0)))</f>
        <v>0</v>
      </c>
      <c r="F1193" s="99" t="n">
        <f aca="false">IF(OR('Loan Tape'!$AN280=0,'Loan Tape'!$Z280="Interest Only",'Loan Tape'!$Z280=""),0,MIN(MAX(0,F284-F890),IFERROR(MAX(0,MIN(4,'Loan Tape'!$AV280)-MAX(3,'Loan Tape'!$AT280))*IF(F587&lt;=0,F284/MAX(1,'Loan Tape'!$AU280-4+1),F587*F284/(1-(1+F587)^(-MAX(1,'Loan Tape'!$AU280-4+1)))-F587*F284),0)))</f>
        <v>0</v>
      </c>
      <c r="G1193" s="99" t="n">
        <f aca="false">IF(OR('Loan Tape'!$AN280=0,'Loan Tape'!$Z280="Interest Only",'Loan Tape'!$Z280=""),0,MIN(MAX(0,G284-G890),IFERROR(MAX(0,MIN(5,'Loan Tape'!$AV280)-MAX(4,'Loan Tape'!$AT280))*IF(G587&lt;=0,G284/MAX(1,'Loan Tape'!$AU280-5+1),G587*G284/(1-(1+G587)^(-MAX(1,'Loan Tape'!$AU280-5+1)))-G587*G284),0)))</f>
        <v>0</v>
      </c>
      <c r="H1193" s="99" t="n">
        <f aca="false">IF(OR('Loan Tape'!$AN280=0,'Loan Tape'!$Z280="Interest Only",'Loan Tape'!$Z280=""),0,MIN(MAX(0,H284-H890),IFERROR(MAX(0,MIN(6,'Loan Tape'!$AV280)-MAX(5,'Loan Tape'!$AT280))*IF(H587&lt;=0,H284/MAX(1,'Loan Tape'!$AU280-6+1),H587*H284/(1-(1+H587)^(-MAX(1,'Loan Tape'!$AU280-6+1)))-H587*H284),0)))</f>
        <v>0</v>
      </c>
      <c r="I1193" s="99" t="n">
        <f aca="false">IF(OR('Loan Tape'!$AN280=0,'Loan Tape'!$Z280="Interest Only",'Loan Tape'!$Z280=""),0,MIN(MAX(0,I284-I890),IFERROR(MAX(0,MIN(7,'Loan Tape'!$AV280)-MAX(6,'Loan Tape'!$AT280))*IF(I587&lt;=0,I284/MAX(1,'Loan Tape'!$AU280-7+1),I587*I284/(1-(1+I587)^(-MAX(1,'Loan Tape'!$AU280-7+1)))-I587*I284),0)))</f>
        <v>0</v>
      </c>
      <c r="J1193" s="99" t="n">
        <f aca="false">IF(OR('Loan Tape'!$AN280=0,'Loan Tape'!$Z280="Interest Only",'Loan Tape'!$Z280=""),0,MIN(MAX(0,J284-J890),IFERROR(MAX(0,MIN(8,'Loan Tape'!$AV280)-MAX(7,'Loan Tape'!$AT280))*IF(J587&lt;=0,J284/MAX(1,'Loan Tape'!$AU280-8+1),J587*J284/(1-(1+J587)^(-MAX(1,'Loan Tape'!$AU280-8+1)))-J587*J284),0)))</f>
        <v>0</v>
      </c>
      <c r="K1193" s="99" t="n">
        <f aca="false">IF(OR('Loan Tape'!$AN280=0,'Loan Tape'!$Z280="Interest Only",'Loan Tape'!$Z280=""),0,MIN(MAX(0,K284-K890),IFERROR(MAX(0,MIN(9,'Loan Tape'!$AV280)-MAX(8,'Loan Tape'!$AT280))*IF(K587&lt;=0,K284/MAX(1,'Loan Tape'!$AU280-9+1),K587*K284/(1-(1+K587)^(-MAX(1,'Loan Tape'!$AU280-9+1)))-K587*K284),0)))</f>
        <v>0</v>
      </c>
      <c r="L1193" s="99" t="n">
        <f aca="false">IF(OR('Loan Tape'!$AN280=0,'Loan Tape'!$Z280="Interest Only",'Loan Tape'!$Z280=""),0,MIN(MAX(0,L284-L890),IFERROR(MAX(0,MIN(10,'Loan Tape'!$AV280)-MAX(9,'Loan Tape'!$AT280))*IF(L587&lt;=0,L284/MAX(1,'Loan Tape'!$AU280-10+1),L587*L284/(1-(1+L587)^(-MAX(1,'Loan Tape'!$AU280-10+1)))-L587*L284),0)))</f>
        <v>0</v>
      </c>
    </row>
    <row r="1194" customFormat="false" ht="15" hidden="false" customHeight="false" outlineLevel="0" collapsed="false">
      <c r="B1194" s="108" t="n">
        <f aca="false">'Loan Tape'!$A281</f>
        <v>0</v>
      </c>
      <c r="C1194" s="71" t="n">
        <f aca="false">IF(OR('Loan Tape'!$AN281=0,'Loan Tape'!$Z281="Interest Only",'Loan Tape'!$Z281=""),0,MIN(MAX(0,C285-C891),IFERROR(MAX(0,MIN(1,'Loan Tape'!$AV281)-MAX(0,'Loan Tape'!$AT281))*IF(C588&lt;=0,C285/MAX(1,'Loan Tape'!$AU281-1+1),C588*C285/(1-(1+C588)^(-MAX(1,'Loan Tape'!$AU281-1+1)))-C588*C285),0)))</f>
        <v>0</v>
      </c>
      <c r="D1194" s="71" t="n">
        <f aca="false">IF(OR('Loan Tape'!$AN281=0,'Loan Tape'!$Z281="Interest Only",'Loan Tape'!$Z281=""),0,MIN(MAX(0,D285-D891),IFERROR(MAX(0,MIN(2,'Loan Tape'!$AV281)-MAX(1,'Loan Tape'!$AT281))*IF(D588&lt;=0,D285/MAX(1,'Loan Tape'!$AU281-2+1),D588*D285/(1-(1+D588)^(-MAX(1,'Loan Tape'!$AU281-2+1)))-D588*D285),0)))</f>
        <v>0</v>
      </c>
      <c r="E1194" s="71" t="n">
        <f aca="false">IF(OR('Loan Tape'!$AN281=0,'Loan Tape'!$Z281="Interest Only",'Loan Tape'!$Z281=""),0,MIN(MAX(0,E285-E891),IFERROR(MAX(0,MIN(3,'Loan Tape'!$AV281)-MAX(2,'Loan Tape'!$AT281))*IF(E588&lt;=0,E285/MAX(1,'Loan Tape'!$AU281-3+1),E588*E285/(1-(1+E588)^(-MAX(1,'Loan Tape'!$AU281-3+1)))-E588*E285),0)))</f>
        <v>0</v>
      </c>
      <c r="F1194" s="71" t="n">
        <f aca="false">IF(OR('Loan Tape'!$AN281=0,'Loan Tape'!$Z281="Interest Only",'Loan Tape'!$Z281=""),0,MIN(MAX(0,F285-F891),IFERROR(MAX(0,MIN(4,'Loan Tape'!$AV281)-MAX(3,'Loan Tape'!$AT281))*IF(F588&lt;=0,F285/MAX(1,'Loan Tape'!$AU281-4+1),F588*F285/(1-(1+F588)^(-MAX(1,'Loan Tape'!$AU281-4+1)))-F588*F285),0)))</f>
        <v>0</v>
      </c>
      <c r="G1194" s="71" t="n">
        <f aca="false">IF(OR('Loan Tape'!$AN281=0,'Loan Tape'!$Z281="Interest Only",'Loan Tape'!$Z281=""),0,MIN(MAX(0,G285-G891),IFERROR(MAX(0,MIN(5,'Loan Tape'!$AV281)-MAX(4,'Loan Tape'!$AT281))*IF(G588&lt;=0,G285/MAX(1,'Loan Tape'!$AU281-5+1),G588*G285/(1-(1+G588)^(-MAX(1,'Loan Tape'!$AU281-5+1)))-G588*G285),0)))</f>
        <v>0</v>
      </c>
      <c r="H1194" s="71" t="n">
        <f aca="false">IF(OR('Loan Tape'!$AN281=0,'Loan Tape'!$Z281="Interest Only",'Loan Tape'!$Z281=""),0,MIN(MAX(0,H285-H891),IFERROR(MAX(0,MIN(6,'Loan Tape'!$AV281)-MAX(5,'Loan Tape'!$AT281))*IF(H588&lt;=0,H285/MAX(1,'Loan Tape'!$AU281-6+1),H588*H285/(1-(1+H588)^(-MAX(1,'Loan Tape'!$AU281-6+1)))-H588*H285),0)))</f>
        <v>0</v>
      </c>
      <c r="I1194" s="71" t="n">
        <f aca="false">IF(OR('Loan Tape'!$AN281=0,'Loan Tape'!$Z281="Interest Only",'Loan Tape'!$Z281=""),0,MIN(MAX(0,I285-I891),IFERROR(MAX(0,MIN(7,'Loan Tape'!$AV281)-MAX(6,'Loan Tape'!$AT281))*IF(I588&lt;=0,I285/MAX(1,'Loan Tape'!$AU281-7+1),I588*I285/(1-(1+I588)^(-MAX(1,'Loan Tape'!$AU281-7+1)))-I588*I285),0)))</f>
        <v>0</v>
      </c>
      <c r="J1194" s="71" t="n">
        <f aca="false">IF(OR('Loan Tape'!$AN281=0,'Loan Tape'!$Z281="Interest Only",'Loan Tape'!$Z281=""),0,MIN(MAX(0,J285-J891),IFERROR(MAX(0,MIN(8,'Loan Tape'!$AV281)-MAX(7,'Loan Tape'!$AT281))*IF(J588&lt;=0,J285/MAX(1,'Loan Tape'!$AU281-8+1),J588*J285/(1-(1+J588)^(-MAX(1,'Loan Tape'!$AU281-8+1)))-J588*J285),0)))</f>
        <v>0</v>
      </c>
      <c r="K1194" s="71" t="n">
        <f aca="false">IF(OR('Loan Tape'!$AN281=0,'Loan Tape'!$Z281="Interest Only",'Loan Tape'!$Z281=""),0,MIN(MAX(0,K285-K891),IFERROR(MAX(0,MIN(9,'Loan Tape'!$AV281)-MAX(8,'Loan Tape'!$AT281))*IF(K588&lt;=0,K285/MAX(1,'Loan Tape'!$AU281-9+1),K588*K285/(1-(1+K588)^(-MAX(1,'Loan Tape'!$AU281-9+1)))-K588*K285),0)))</f>
        <v>0</v>
      </c>
      <c r="L1194" s="71" t="n">
        <f aca="false">IF(OR('Loan Tape'!$AN281=0,'Loan Tape'!$Z281="Interest Only",'Loan Tape'!$Z281=""),0,MIN(MAX(0,L285-L891),IFERROR(MAX(0,MIN(10,'Loan Tape'!$AV281)-MAX(9,'Loan Tape'!$AT281))*IF(L588&lt;=0,L285/MAX(1,'Loan Tape'!$AU281-10+1),L588*L285/(1-(1+L588)^(-MAX(1,'Loan Tape'!$AU281-10+1)))-L588*L285),0)))</f>
        <v>0</v>
      </c>
    </row>
    <row r="1195" customFormat="false" ht="15" hidden="false" customHeight="false" outlineLevel="0" collapsed="false">
      <c r="B1195" s="102" t="n">
        <f aca="false">'Loan Tape'!$A282</f>
        <v>0</v>
      </c>
      <c r="C1195" s="99" t="n">
        <f aca="false">IF(OR('Loan Tape'!$AN282=0,'Loan Tape'!$Z282="Interest Only",'Loan Tape'!$Z282=""),0,MIN(MAX(0,C286-C892),IFERROR(MAX(0,MIN(1,'Loan Tape'!$AV282)-MAX(0,'Loan Tape'!$AT282))*IF(C589&lt;=0,C286/MAX(1,'Loan Tape'!$AU282-1+1),C589*C286/(1-(1+C589)^(-MAX(1,'Loan Tape'!$AU282-1+1)))-C589*C286),0)))</f>
        <v>0</v>
      </c>
      <c r="D1195" s="99" t="n">
        <f aca="false">IF(OR('Loan Tape'!$AN282=0,'Loan Tape'!$Z282="Interest Only",'Loan Tape'!$Z282=""),0,MIN(MAX(0,D286-D892),IFERROR(MAX(0,MIN(2,'Loan Tape'!$AV282)-MAX(1,'Loan Tape'!$AT282))*IF(D589&lt;=0,D286/MAX(1,'Loan Tape'!$AU282-2+1),D589*D286/(1-(1+D589)^(-MAX(1,'Loan Tape'!$AU282-2+1)))-D589*D286),0)))</f>
        <v>0</v>
      </c>
      <c r="E1195" s="99" t="n">
        <f aca="false">IF(OR('Loan Tape'!$AN282=0,'Loan Tape'!$Z282="Interest Only",'Loan Tape'!$Z282=""),0,MIN(MAX(0,E286-E892),IFERROR(MAX(0,MIN(3,'Loan Tape'!$AV282)-MAX(2,'Loan Tape'!$AT282))*IF(E589&lt;=0,E286/MAX(1,'Loan Tape'!$AU282-3+1),E589*E286/(1-(1+E589)^(-MAX(1,'Loan Tape'!$AU282-3+1)))-E589*E286),0)))</f>
        <v>0</v>
      </c>
      <c r="F1195" s="99" t="n">
        <f aca="false">IF(OR('Loan Tape'!$AN282=0,'Loan Tape'!$Z282="Interest Only",'Loan Tape'!$Z282=""),0,MIN(MAX(0,F286-F892),IFERROR(MAX(0,MIN(4,'Loan Tape'!$AV282)-MAX(3,'Loan Tape'!$AT282))*IF(F589&lt;=0,F286/MAX(1,'Loan Tape'!$AU282-4+1),F589*F286/(1-(1+F589)^(-MAX(1,'Loan Tape'!$AU282-4+1)))-F589*F286),0)))</f>
        <v>0</v>
      </c>
      <c r="G1195" s="99" t="n">
        <f aca="false">IF(OR('Loan Tape'!$AN282=0,'Loan Tape'!$Z282="Interest Only",'Loan Tape'!$Z282=""),0,MIN(MAX(0,G286-G892),IFERROR(MAX(0,MIN(5,'Loan Tape'!$AV282)-MAX(4,'Loan Tape'!$AT282))*IF(G589&lt;=0,G286/MAX(1,'Loan Tape'!$AU282-5+1),G589*G286/(1-(1+G589)^(-MAX(1,'Loan Tape'!$AU282-5+1)))-G589*G286),0)))</f>
        <v>0</v>
      </c>
      <c r="H1195" s="99" t="n">
        <f aca="false">IF(OR('Loan Tape'!$AN282=0,'Loan Tape'!$Z282="Interest Only",'Loan Tape'!$Z282=""),0,MIN(MAX(0,H286-H892),IFERROR(MAX(0,MIN(6,'Loan Tape'!$AV282)-MAX(5,'Loan Tape'!$AT282))*IF(H589&lt;=0,H286/MAX(1,'Loan Tape'!$AU282-6+1),H589*H286/(1-(1+H589)^(-MAX(1,'Loan Tape'!$AU282-6+1)))-H589*H286),0)))</f>
        <v>0</v>
      </c>
      <c r="I1195" s="99" t="n">
        <f aca="false">IF(OR('Loan Tape'!$AN282=0,'Loan Tape'!$Z282="Interest Only",'Loan Tape'!$Z282=""),0,MIN(MAX(0,I286-I892),IFERROR(MAX(0,MIN(7,'Loan Tape'!$AV282)-MAX(6,'Loan Tape'!$AT282))*IF(I589&lt;=0,I286/MAX(1,'Loan Tape'!$AU282-7+1),I589*I286/(1-(1+I589)^(-MAX(1,'Loan Tape'!$AU282-7+1)))-I589*I286),0)))</f>
        <v>0</v>
      </c>
      <c r="J1195" s="99" t="n">
        <f aca="false">IF(OR('Loan Tape'!$AN282=0,'Loan Tape'!$Z282="Interest Only",'Loan Tape'!$Z282=""),0,MIN(MAX(0,J286-J892),IFERROR(MAX(0,MIN(8,'Loan Tape'!$AV282)-MAX(7,'Loan Tape'!$AT282))*IF(J589&lt;=0,J286/MAX(1,'Loan Tape'!$AU282-8+1),J589*J286/(1-(1+J589)^(-MAX(1,'Loan Tape'!$AU282-8+1)))-J589*J286),0)))</f>
        <v>0</v>
      </c>
      <c r="K1195" s="99" t="n">
        <f aca="false">IF(OR('Loan Tape'!$AN282=0,'Loan Tape'!$Z282="Interest Only",'Loan Tape'!$Z282=""),0,MIN(MAX(0,K286-K892),IFERROR(MAX(0,MIN(9,'Loan Tape'!$AV282)-MAX(8,'Loan Tape'!$AT282))*IF(K589&lt;=0,K286/MAX(1,'Loan Tape'!$AU282-9+1),K589*K286/(1-(1+K589)^(-MAX(1,'Loan Tape'!$AU282-9+1)))-K589*K286),0)))</f>
        <v>0</v>
      </c>
      <c r="L1195" s="99" t="n">
        <f aca="false">IF(OR('Loan Tape'!$AN282=0,'Loan Tape'!$Z282="Interest Only",'Loan Tape'!$Z282=""),0,MIN(MAX(0,L286-L892),IFERROR(MAX(0,MIN(10,'Loan Tape'!$AV282)-MAX(9,'Loan Tape'!$AT282))*IF(L589&lt;=0,L286/MAX(1,'Loan Tape'!$AU282-10+1),L589*L286/(1-(1+L589)^(-MAX(1,'Loan Tape'!$AU282-10+1)))-L589*L286),0)))</f>
        <v>0</v>
      </c>
    </row>
    <row r="1196" customFormat="false" ht="15" hidden="false" customHeight="false" outlineLevel="0" collapsed="false">
      <c r="B1196" s="108" t="n">
        <f aca="false">'Loan Tape'!$A283</f>
        <v>0</v>
      </c>
      <c r="C1196" s="71" t="n">
        <f aca="false">IF(OR('Loan Tape'!$AN283=0,'Loan Tape'!$Z283="Interest Only",'Loan Tape'!$Z283=""),0,MIN(MAX(0,C287-C893),IFERROR(MAX(0,MIN(1,'Loan Tape'!$AV283)-MAX(0,'Loan Tape'!$AT283))*IF(C590&lt;=0,C287/MAX(1,'Loan Tape'!$AU283-1+1),C590*C287/(1-(1+C590)^(-MAX(1,'Loan Tape'!$AU283-1+1)))-C590*C287),0)))</f>
        <v>0</v>
      </c>
      <c r="D1196" s="71" t="n">
        <f aca="false">IF(OR('Loan Tape'!$AN283=0,'Loan Tape'!$Z283="Interest Only",'Loan Tape'!$Z283=""),0,MIN(MAX(0,D287-D893),IFERROR(MAX(0,MIN(2,'Loan Tape'!$AV283)-MAX(1,'Loan Tape'!$AT283))*IF(D590&lt;=0,D287/MAX(1,'Loan Tape'!$AU283-2+1),D590*D287/(1-(1+D590)^(-MAX(1,'Loan Tape'!$AU283-2+1)))-D590*D287),0)))</f>
        <v>0</v>
      </c>
      <c r="E1196" s="71" t="n">
        <f aca="false">IF(OR('Loan Tape'!$AN283=0,'Loan Tape'!$Z283="Interest Only",'Loan Tape'!$Z283=""),0,MIN(MAX(0,E287-E893),IFERROR(MAX(0,MIN(3,'Loan Tape'!$AV283)-MAX(2,'Loan Tape'!$AT283))*IF(E590&lt;=0,E287/MAX(1,'Loan Tape'!$AU283-3+1),E590*E287/(1-(1+E590)^(-MAX(1,'Loan Tape'!$AU283-3+1)))-E590*E287),0)))</f>
        <v>0</v>
      </c>
      <c r="F1196" s="71" t="n">
        <f aca="false">IF(OR('Loan Tape'!$AN283=0,'Loan Tape'!$Z283="Interest Only",'Loan Tape'!$Z283=""),0,MIN(MAX(0,F287-F893),IFERROR(MAX(0,MIN(4,'Loan Tape'!$AV283)-MAX(3,'Loan Tape'!$AT283))*IF(F590&lt;=0,F287/MAX(1,'Loan Tape'!$AU283-4+1),F590*F287/(1-(1+F590)^(-MAX(1,'Loan Tape'!$AU283-4+1)))-F590*F287),0)))</f>
        <v>0</v>
      </c>
      <c r="G1196" s="71" t="n">
        <f aca="false">IF(OR('Loan Tape'!$AN283=0,'Loan Tape'!$Z283="Interest Only",'Loan Tape'!$Z283=""),0,MIN(MAX(0,G287-G893),IFERROR(MAX(0,MIN(5,'Loan Tape'!$AV283)-MAX(4,'Loan Tape'!$AT283))*IF(G590&lt;=0,G287/MAX(1,'Loan Tape'!$AU283-5+1),G590*G287/(1-(1+G590)^(-MAX(1,'Loan Tape'!$AU283-5+1)))-G590*G287),0)))</f>
        <v>0</v>
      </c>
      <c r="H1196" s="71" t="n">
        <f aca="false">IF(OR('Loan Tape'!$AN283=0,'Loan Tape'!$Z283="Interest Only",'Loan Tape'!$Z283=""),0,MIN(MAX(0,H287-H893),IFERROR(MAX(0,MIN(6,'Loan Tape'!$AV283)-MAX(5,'Loan Tape'!$AT283))*IF(H590&lt;=0,H287/MAX(1,'Loan Tape'!$AU283-6+1),H590*H287/(1-(1+H590)^(-MAX(1,'Loan Tape'!$AU283-6+1)))-H590*H287),0)))</f>
        <v>0</v>
      </c>
      <c r="I1196" s="71" t="n">
        <f aca="false">IF(OR('Loan Tape'!$AN283=0,'Loan Tape'!$Z283="Interest Only",'Loan Tape'!$Z283=""),0,MIN(MAX(0,I287-I893),IFERROR(MAX(0,MIN(7,'Loan Tape'!$AV283)-MAX(6,'Loan Tape'!$AT283))*IF(I590&lt;=0,I287/MAX(1,'Loan Tape'!$AU283-7+1),I590*I287/(1-(1+I590)^(-MAX(1,'Loan Tape'!$AU283-7+1)))-I590*I287),0)))</f>
        <v>0</v>
      </c>
      <c r="J1196" s="71" t="n">
        <f aca="false">IF(OR('Loan Tape'!$AN283=0,'Loan Tape'!$Z283="Interest Only",'Loan Tape'!$Z283=""),0,MIN(MAX(0,J287-J893),IFERROR(MAX(0,MIN(8,'Loan Tape'!$AV283)-MAX(7,'Loan Tape'!$AT283))*IF(J590&lt;=0,J287/MAX(1,'Loan Tape'!$AU283-8+1),J590*J287/(1-(1+J590)^(-MAX(1,'Loan Tape'!$AU283-8+1)))-J590*J287),0)))</f>
        <v>0</v>
      </c>
      <c r="K1196" s="71" t="n">
        <f aca="false">IF(OR('Loan Tape'!$AN283=0,'Loan Tape'!$Z283="Interest Only",'Loan Tape'!$Z283=""),0,MIN(MAX(0,K287-K893),IFERROR(MAX(0,MIN(9,'Loan Tape'!$AV283)-MAX(8,'Loan Tape'!$AT283))*IF(K590&lt;=0,K287/MAX(1,'Loan Tape'!$AU283-9+1),K590*K287/(1-(1+K590)^(-MAX(1,'Loan Tape'!$AU283-9+1)))-K590*K287),0)))</f>
        <v>0</v>
      </c>
      <c r="L1196" s="71" t="n">
        <f aca="false">IF(OR('Loan Tape'!$AN283=0,'Loan Tape'!$Z283="Interest Only",'Loan Tape'!$Z283=""),0,MIN(MAX(0,L287-L893),IFERROR(MAX(0,MIN(10,'Loan Tape'!$AV283)-MAX(9,'Loan Tape'!$AT283))*IF(L590&lt;=0,L287/MAX(1,'Loan Tape'!$AU283-10+1),L590*L287/(1-(1+L590)^(-MAX(1,'Loan Tape'!$AU283-10+1)))-L590*L287),0)))</f>
        <v>0</v>
      </c>
    </row>
    <row r="1197" customFormat="false" ht="15" hidden="false" customHeight="false" outlineLevel="0" collapsed="false">
      <c r="B1197" s="102" t="n">
        <f aca="false">'Loan Tape'!$A284</f>
        <v>0</v>
      </c>
      <c r="C1197" s="99" t="n">
        <f aca="false">IF(OR('Loan Tape'!$AN284=0,'Loan Tape'!$Z284="Interest Only",'Loan Tape'!$Z284=""),0,MIN(MAX(0,C288-C894),IFERROR(MAX(0,MIN(1,'Loan Tape'!$AV284)-MAX(0,'Loan Tape'!$AT284))*IF(C591&lt;=0,C288/MAX(1,'Loan Tape'!$AU284-1+1),C591*C288/(1-(1+C591)^(-MAX(1,'Loan Tape'!$AU284-1+1)))-C591*C288),0)))</f>
        <v>0</v>
      </c>
      <c r="D1197" s="99" t="n">
        <f aca="false">IF(OR('Loan Tape'!$AN284=0,'Loan Tape'!$Z284="Interest Only",'Loan Tape'!$Z284=""),0,MIN(MAX(0,D288-D894),IFERROR(MAX(0,MIN(2,'Loan Tape'!$AV284)-MAX(1,'Loan Tape'!$AT284))*IF(D591&lt;=0,D288/MAX(1,'Loan Tape'!$AU284-2+1),D591*D288/(1-(1+D591)^(-MAX(1,'Loan Tape'!$AU284-2+1)))-D591*D288),0)))</f>
        <v>0</v>
      </c>
      <c r="E1197" s="99" t="n">
        <f aca="false">IF(OR('Loan Tape'!$AN284=0,'Loan Tape'!$Z284="Interest Only",'Loan Tape'!$Z284=""),0,MIN(MAX(0,E288-E894),IFERROR(MAX(0,MIN(3,'Loan Tape'!$AV284)-MAX(2,'Loan Tape'!$AT284))*IF(E591&lt;=0,E288/MAX(1,'Loan Tape'!$AU284-3+1),E591*E288/(1-(1+E591)^(-MAX(1,'Loan Tape'!$AU284-3+1)))-E591*E288),0)))</f>
        <v>0</v>
      </c>
      <c r="F1197" s="99" t="n">
        <f aca="false">IF(OR('Loan Tape'!$AN284=0,'Loan Tape'!$Z284="Interest Only",'Loan Tape'!$Z284=""),0,MIN(MAX(0,F288-F894),IFERROR(MAX(0,MIN(4,'Loan Tape'!$AV284)-MAX(3,'Loan Tape'!$AT284))*IF(F591&lt;=0,F288/MAX(1,'Loan Tape'!$AU284-4+1),F591*F288/(1-(1+F591)^(-MAX(1,'Loan Tape'!$AU284-4+1)))-F591*F288),0)))</f>
        <v>0</v>
      </c>
      <c r="G1197" s="99" t="n">
        <f aca="false">IF(OR('Loan Tape'!$AN284=0,'Loan Tape'!$Z284="Interest Only",'Loan Tape'!$Z284=""),0,MIN(MAX(0,G288-G894),IFERROR(MAX(0,MIN(5,'Loan Tape'!$AV284)-MAX(4,'Loan Tape'!$AT284))*IF(G591&lt;=0,G288/MAX(1,'Loan Tape'!$AU284-5+1),G591*G288/(1-(1+G591)^(-MAX(1,'Loan Tape'!$AU284-5+1)))-G591*G288),0)))</f>
        <v>0</v>
      </c>
      <c r="H1197" s="99" t="n">
        <f aca="false">IF(OR('Loan Tape'!$AN284=0,'Loan Tape'!$Z284="Interest Only",'Loan Tape'!$Z284=""),0,MIN(MAX(0,H288-H894),IFERROR(MAX(0,MIN(6,'Loan Tape'!$AV284)-MAX(5,'Loan Tape'!$AT284))*IF(H591&lt;=0,H288/MAX(1,'Loan Tape'!$AU284-6+1),H591*H288/(1-(1+H591)^(-MAX(1,'Loan Tape'!$AU284-6+1)))-H591*H288),0)))</f>
        <v>0</v>
      </c>
      <c r="I1197" s="99" t="n">
        <f aca="false">IF(OR('Loan Tape'!$AN284=0,'Loan Tape'!$Z284="Interest Only",'Loan Tape'!$Z284=""),0,MIN(MAX(0,I288-I894),IFERROR(MAX(0,MIN(7,'Loan Tape'!$AV284)-MAX(6,'Loan Tape'!$AT284))*IF(I591&lt;=0,I288/MAX(1,'Loan Tape'!$AU284-7+1),I591*I288/(1-(1+I591)^(-MAX(1,'Loan Tape'!$AU284-7+1)))-I591*I288),0)))</f>
        <v>0</v>
      </c>
      <c r="J1197" s="99" t="n">
        <f aca="false">IF(OR('Loan Tape'!$AN284=0,'Loan Tape'!$Z284="Interest Only",'Loan Tape'!$Z284=""),0,MIN(MAX(0,J288-J894),IFERROR(MAX(0,MIN(8,'Loan Tape'!$AV284)-MAX(7,'Loan Tape'!$AT284))*IF(J591&lt;=0,J288/MAX(1,'Loan Tape'!$AU284-8+1),J591*J288/(1-(1+J591)^(-MAX(1,'Loan Tape'!$AU284-8+1)))-J591*J288),0)))</f>
        <v>0</v>
      </c>
      <c r="K1197" s="99" t="n">
        <f aca="false">IF(OR('Loan Tape'!$AN284=0,'Loan Tape'!$Z284="Interest Only",'Loan Tape'!$Z284=""),0,MIN(MAX(0,K288-K894),IFERROR(MAX(0,MIN(9,'Loan Tape'!$AV284)-MAX(8,'Loan Tape'!$AT284))*IF(K591&lt;=0,K288/MAX(1,'Loan Tape'!$AU284-9+1),K591*K288/(1-(1+K591)^(-MAX(1,'Loan Tape'!$AU284-9+1)))-K591*K288),0)))</f>
        <v>0</v>
      </c>
      <c r="L1197" s="99" t="n">
        <f aca="false">IF(OR('Loan Tape'!$AN284=0,'Loan Tape'!$Z284="Interest Only",'Loan Tape'!$Z284=""),0,MIN(MAX(0,L288-L894),IFERROR(MAX(0,MIN(10,'Loan Tape'!$AV284)-MAX(9,'Loan Tape'!$AT284))*IF(L591&lt;=0,L288/MAX(1,'Loan Tape'!$AU284-10+1),L591*L288/(1-(1+L591)^(-MAX(1,'Loan Tape'!$AU284-10+1)))-L591*L288),0)))</f>
        <v>0</v>
      </c>
    </row>
    <row r="1198" customFormat="false" ht="15" hidden="false" customHeight="false" outlineLevel="0" collapsed="false">
      <c r="B1198" s="108" t="n">
        <f aca="false">'Loan Tape'!$A285</f>
        <v>0</v>
      </c>
      <c r="C1198" s="71" t="n">
        <f aca="false">IF(OR('Loan Tape'!$AN285=0,'Loan Tape'!$Z285="Interest Only",'Loan Tape'!$Z285=""),0,MIN(MAX(0,C289-C895),IFERROR(MAX(0,MIN(1,'Loan Tape'!$AV285)-MAX(0,'Loan Tape'!$AT285))*IF(C592&lt;=0,C289/MAX(1,'Loan Tape'!$AU285-1+1),C592*C289/(1-(1+C592)^(-MAX(1,'Loan Tape'!$AU285-1+1)))-C592*C289),0)))</f>
        <v>0</v>
      </c>
      <c r="D1198" s="71" t="n">
        <f aca="false">IF(OR('Loan Tape'!$AN285=0,'Loan Tape'!$Z285="Interest Only",'Loan Tape'!$Z285=""),0,MIN(MAX(0,D289-D895),IFERROR(MAX(0,MIN(2,'Loan Tape'!$AV285)-MAX(1,'Loan Tape'!$AT285))*IF(D592&lt;=0,D289/MAX(1,'Loan Tape'!$AU285-2+1),D592*D289/(1-(1+D592)^(-MAX(1,'Loan Tape'!$AU285-2+1)))-D592*D289),0)))</f>
        <v>0</v>
      </c>
      <c r="E1198" s="71" t="n">
        <f aca="false">IF(OR('Loan Tape'!$AN285=0,'Loan Tape'!$Z285="Interest Only",'Loan Tape'!$Z285=""),0,MIN(MAX(0,E289-E895),IFERROR(MAX(0,MIN(3,'Loan Tape'!$AV285)-MAX(2,'Loan Tape'!$AT285))*IF(E592&lt;=0,E289/MAX(1,'Loan Tape'!$AU285-3+1),E592*E289/(1-(1+E592)^(-MAX(1,'Loan Tape'!$AU285-3+1)))-E592*E289),0)))</f>
        <v>0</v>
      </c>
      <c r="F1198" s="71" t="n">
        <f aca="false">IF(OR('Loan Tape'!$AN285=0,'Loan Tape'!$Z285="Interest Only",'Loan Tape'!$Z285=""),0,MIN(MAX(0,F289-F895),IFERROR(MAX(0,MIN(4,'Loan Tape'!$AV285)-MAX(3,'Loan Tape'!$AT285))*IF(F592&lt;=0,F289/MAX(1,'Loan Tape'!$AU285-4+1),F592*F289/(1-(1+F592)^(-MAX(1,'Loan Tape'!$AU285-4+1)))-F592*F289),0)))</f>
        <v>0</v>
      </c>
      <c r="G1198" s="71" t="n">
        <f aca="false">IF(OR('Loan Tape'!$AN285=0,'Loan Tape'!$Z285="Interest Only",'Loan Tape'!$Z285=""),0,MIN(MAX(0,G289-G895),IFERROR(MAX(0,MIN(5,'Loan Tape'!$AV285)-MAX(4,'Loan Tape'!$AT285))*IF(G592&lt;=0,G289/MAX(1,'Loan Tape'!$AU285-5+1),G592*G289/(1-(1+G592)^(-MAX(1,'Loan Tape'!$AU285-5+1)))-G592*G289),0)))</f>
        <v>0</v>
      </c>
      <c r="H1198" s="71" t="n">
        <f aca="false">IF(OR('Loan Tape'!$AN285=0,'Loan Tape'!$Z285="Interest Only",'Loan Tape'!$Z285=""),0,MIN(MAX(0,H289-H895),IFERROR(MAX(0,MIN(6,'Loan Tape'!$AV285)-MAX(5,'Loan Tape'!$AT285))*IF(H592&lt;=0,H289/MAX(1,'Loan Tape'!$AU285-6+1),H592*H289/(1-(1+H592)^(-MAX(1,'Loan Tape'!$AU285-6+1)))-H592*H289),0)))</f>
        <v>0</v>
      </c>
      <c r="I1198" s="71" t="n">
        <f aca="false">IF(OR('Loan Tape'!$AN285=0,'Loan Tape'!$Z285="Interest Only",'Loan Tape'!$Z285=""),0,MIN(MAX(0,I289-I895),IFERROR(MAX(0,MIN(7,'Loan Tape'!$AV285)-MAX(6,'Loan Tape'!$AT285))*IF(I592&lt;=0,I289/MAX(1,'Loan Tape'!$AU285-7+1),I592*I289/(1-(1+I592)^(-MAX(1,'Loan Tape'!$AU285-7+1)))-I592*I289),0)))</f>
        <v>0</v>
      </c>
      <c r="J1198" s="71" t="n">
        <f aca="false">IF(OR('Loan Tape'!$AN285=0,'Loan Tape'!$Z285="Interest Only",'Loan Tape'!$Z285=""),0,MIN(MAX(0,J289-J895),IFERROR(MAX(0,MIN(8,'Loan Tape'!$AV285)-MAX(7,'Loan Tape'!$AT285))*IF(J592&lt;=0,J289/MAX(1,'Loan Tape'!$AU285-8+1),J592*J289/(1-(1+J592)^(-MAX(1,'Loan Tape'!$AU285-8+1)))-J592*J289),0)))</f>
        <v>0</v>
      </c>
      <c r="K1198" s="71" t="n">
        <f aca="false">IF(OR('Loan Tape'!$AN285=0,'Loan Tape'!$Z285="Interest Only",'Loan Tape'!$Z285=""),0,MIN(MAX(0,K289-K895),IFERROR(MAX(0,MIN(9,'Loan Tape'!$AV285)-MAX(8,'Loan Tape'!$AT285))*IF(K592&lt;=0,K289/MAX(1,'Loan Tape'!$AU285-9+1),K592*K289/(1-(1+K592)^(-MAX(1,'Loan Tape'!$AU285-9+1)))-K592*K289),0)))</f>
        <v>0</v>
      </c>
      <c r="L1198" s="71" t="n">
        <f aca="false">IF(OR('Loan Tape'!$AN285=0,'Loan Tape'!$Z285="Interest Only",'Loan Tape'!$Z285=""),0,MIN(MAX(0,L289-L895),IFERROR(MAX(0,MIN(10,'Loan Tape'!$AV285)-MAX(9,'Loan Tape'!$AT285))*IF(L592&lt;=0,L289/MAX(1,'Loan Tape'!$AU285-10+1),L592*L289/(1-(1+L592)^(-MAX(1,'Loan Tape'!$AU285-10+1)))-L592*L289),0)))</f>
        <v>0</v>
      </c>
    </row>
    <row r="1199" customFormat="false" ht="15" hidden="false" customHeight="false" outlineLevel="0" collapsed="false">
      <c r="B1199" s="102" t="n">
        <f aca="false">'Loan Tape'!$A286</f>
        <v>0</v>
      </c>
      <c r="C1199" s="99" t="n">
        <f aca="false">IF(OR('Loan Tape'!$AN286=0,'Loan Tape'!$Z286="Interest Only",'Loan Tape'!$Z286=""),0,MIN(MAX(0,C290-C896),IFERROR(MAX(0,MIN(1,'Loan Tape'!$AV286)-MAX(0,'Loan Tape'!$AT286))*IF(C593&lt;=0,C290/MAX(1,'Loan Tape'!$AU286-1+1),C593*C290/(1-(1+C593)^(-MAX(1,'Loan Tape'!$AU286-1+1)))-C593*C290),0)))</f>
        <v>0</v>
      </c>
      <c r="D1199" s="99" t="n">
        <f aca="false">IF(OR('Loan Tape'!$AN286=0,'Loan Tape'!$Z286="Interest Only",'Loan Tape'!$Z286=""),0,MIN(MAX(0,D290-D896),IFERROR(MAX(0,MIN(2,'Loan Tape'!$AV286)-MAX(1,'Loan Tape'!$AT286))*IF(D593&lt;=0,D290/MAX(1,'Loan Tape'!$AU286-2+1),D593*D290/(1-(1+D593)^(-MAX(1,'Loan Tape'!$AU286-2+1)))-D593*D290),0)))</f>
        <v>0</v>
      </c>
      <c r="E1199" s="99" t="n">
        <f aca="false">IF(OR('Loan Tape'!$AN286=0,'Loan Tape'!$Z286="Interest Only",'Loan Tape'!$Z286=""),0,MIN(MAX(0,E290-E896),IFERROR(MAX(0,MIN(3,'Loan Tape'!$AV286)-MAX(2,'Loan Tape'!$AT286))*IF(E593&lt;=0,E290/MAX(1,'Loan Tape'!$AU286-3+1),E593*E290/(1-(1+E593)^(-MAX(1,'Loan Tape'!$AU286-3+1)))-E593*E290),0)))</f>
        <v>0</v>
      </c>
      <c r="F1199" s="99" t="n">
        <f aca="false">IF(OR('Loan Tape'!$AN286=0,'Loan Tape'!$Z286="Interest Only",'Loan Tape'!$Z286=""),0,MIN(MAX(0,F290-F896),IFERROR(MAX(0,MIN(4,'Loan Tape'!$AV286)-MAX(3,'Loan Tape'!$AT286))*IF(F593&lt;=0,F290/MAX(1,'Loan Tape'!$AU286-4+1),F593*F290/(1-(1+F593)^(-MAX(1,'Loan Tape'!$AU286-4+1)))-F593*F290),0)))</f>
        <v>0</v>
      </c>
      <c r="G1199" s="99" t="n">
        <f aca="false">IF(OR('Loan Tape'!$AN286=0,'Loan Tape'!$Z286="Interest Only",'Loan Tape'!$Z286=""),0,MIN(MAX(0,G290-G896),IFERROR(MAX(0,MIN(5,'Loan Tape'!$AV286)-MAX(4,'Loan Tape'!$AT286))*IF(G593&lt;=0,G290/MAX(1,'Loan Tape'!$AU286-5+1),G593*G290/(1-(1+G593)^(-MAX(1,'Loan Tape'!$AU286-5+1)))-G593*G290),0)))</f>
        <v>0</v>
      </c>
      <c r="H1199" s="99" t="n">
        <f aca="false">IF(OR('Loan Tape'!$AN286=0,'Loan Tape'!$Z286="Interest Only",'Loan Tape'!$Z286=""),0,MIN(MAX(0,H290-H896),IFERROR(MAX(0,MIN(6,'Loan Tape'!$AV286)-MAX(5,'Loan Tape'!$AT286))*IF(H593&lt;=0,H290/MAX(1,'Loan Tape'!$AU286-6+1),H593*H290/(1-(1+H593)^(-MAX(1,'Loan Tape'!$AU286-6+1)))-H593*H290),0)))</f>
        <v>0</v>
      </c>
      <c r="I1199" s="99" t="n">
        <f aca="false">IF(OR('Loan Tape'!$AN286=0,'Loan Tape'!$Z286="Interest Only",'Loan Tape'!$Z286=""),0,MIN(MAX(0,I290-I896),IFERROR(MAX(0,MIN(7,'Loan Tape'!$AV286)-MAX(6,'Loan Tape'!$AT286))*IF(I593&lt;=0,I290/MAX(1,'Loan Tape'!$AU286-7+1),I593*I290/(1-(1+I593)^(-MAX(1,'Loan Tape'!$AU286-7+1)))-I593*I290),0)))</f>
        <v>0</v>
      </c>
      <c r="J1199" s="99" t="n">
        <f aca="false">IF(OR('Loan Tape'!$AN286=0,'Loan Tape'!$Z286="Interest Only",'Loan Tape'!$Z286=""),0,MIN(MAX(0,J290-J896),IFERROR(MAX(0,MIN(8,'Loan Tape'!$AV286)-MAX(7,'Loan Tape'!$AT286))*IF(J593&lt;=0,J290/MAX(1,'Loan Tape'!$AU286-8+1),J593*J290/(1-(1+J593)^(-MAX(1,'Loan Tape'!$AU286-8+1)))-J593*J290),0)))</f>
        <v>0</v>
      </c>
      <c r="K1199" s="99" t="n">
        <f aca="false">IF(OR('Loan Tape'!$AN286=0,'Loan Tape'!$Z286="Interest Only",'Loan Tape'!$Z286=""),0,MIN(MAX(0,K290-K896),IFERROR(MAX(0,MIN(9,'Loan Tape'!$AV286)-MAX(8,'Loan Tape'!$AT286))*IF(K593&lt;=0,K290/MAX(1,'Loan Tape'!$AU286-9+1),K593*K290/(1-(1+K593)^(-MAX(1,'Loan Tape'!$AU286-9+1)))-K593*K290),0)))</f>
        <v>0</v>
      </c>
      <c r="L1199" s="99" t="n">
        <f aca="false">IF(OR('Loan Tape'!$AN286=0,'Loan Tape'!$Z286="Interest Only",'Loan Tape'!$Z286=""),0,MIN(MAX(0,L290-L896),IFERROR(MAX(0,MIN(10,'Loan Tape'!$AV286)-MAX(9,'Loan Tape'!$AT286))*IF(L593&lt;=0,L290/MAX(1,'Loan Tape'!$AU286-10+1),L593*L290/(1-(1+L593)^(-MAX(1,'Loan Tape'!$AU286-10+1)))-L593*L290),0)))</f>
        <v>0</v>
      </c>
    </row>
    <row r="1200" customFormat="false" ht="15" hidden="false" customHeight="false" outlineLevel="0" collapsed="false">
      <c r="B1200" s="108" t="n">
        <f aca="false">'Loan Tape'!$A287</f>
        <v>0</v>
      </c>
      <c r="C1200" s="71" t="n">
        <f aca="false">IF(OR('Loan Tape'!$AN287=0,'Loan Tape'!$Z287="Interest Only",'Loan Tape'!$Z287=""),0,MIN(MAX(0,C291-C897),IFERROR(MAX(0,MIN(1,'Loan Tape'!$AV287)-MAX(0,'Loan Tape'!$AT287))*IF(C594&lt;=0,C291/MAX(1,'Loan Tape'!$AU287-1+1),C594*C291/(1-(1+C594)^(-MAX(1,'Loan Tape'!$AU287-1+1)))-C594*C291),0)))</f>
        <v>0</v>
      </c>
      <c r="D1200" s="71" t="n">
        <f aca="false">IF(OR('Loan Tape'!$AN287=0,'Loan Tape'!$Z287="Interest Only",'Loan Tape'!$Z287=""),0,MIN(MAX(0,D291-D897),IFERROR(MAX(0,MIN(2,'Loan Tape'!$AV287)-MAX(1,'Loan Tape'!$AT287))*IF(D594&lt;=0,D291/MAX(1,'Loan Tape'!$AU287-2+1),D594*D291/(1-(1+D594)^(-MAX(1,'Loan Tape'!$AU287-2+1)))-D594*D291),0)))</f>
        <v>0</v>
      </c>
      <c r="E1200" s="71" t="n">
        <f aca="false">IF(OR('Loan Tape'!$AN287=0,'Loan Tape'!$Z287="Interest Only",'Loan Tape'!$Z287=""),0,MIN(MAX(0,E291-E897),IFERROR(MAX(0,MIN(3,'Loan Tape'!$AV287)-MAX(2,'Loan Tape'!$AT287))*IF(E594&lt;=0,E291/MAX(1,'Loan Tape'!$AU287-3+1),E594*E291/(1-(1+E594)^(-MAX(1,'Loan Tape'!$AU287-3+1)))-E594*E291),0)))</f>
        <v>0</v>
      </c>
      <c r="F1200" s="71" t="n">
        <f aca="false">IF(OR('Loan Tape'!$AN287=0,'Loan Tape'!$Z287="Interest Only",'Loan Tape'!$Z287=""),0,MIN(MAX(0,F291-F897),IFERROR(MAX(0,MIN(4,'Loan Tape'!$AV287)-MAX(3,'Loan Tape'!$AT287))*IF(F594&lt;=0,F291/MAX(1,'Loan Tape'!$AU287-4+1),F594*F291/(1-(1+F594)^(-MAX(1,'Loan Tape'!$AU287-4+1)))-F594*F291),0)))</f>
        <v>0</v>
      </c>
      <c r="G1200" s="71" t="n">
        <f aca="false">IF(OR('Loan Tape'!$AN287=0,'Loan Tape'!$Z287="Interest Only",'Loan Tape'!$Z287=""),0,MIN(MAX(0,G291-G897),IFERROR(MAX(0,MIN(5,'Loan Tape'!$AV287)-MAX(4,'Loan Tape'!$AT287))*IF(G594&lt;=0,G291/MAX(1,'Loan Tape'!$AU287-5+1),G594*G291/(1-(1+G594)^(-MAX(1,'Loan Tape'!$AU287-5+1)))-G594*G291),0)))</f>
        <v>0</v>
      </c>
      <c r="H1200" s="71" t="n">
        <f aca="false">IF(OR('Loan Tape'!$AN287=0,'Loan Tape'!$Z287="Interest Only",'Loan Tape'!$Z287=""),0,MIN(MAX(0,H291-H897),IFERROR(MAX(0,MIN(6,'Loan Tape'!$AV287)-MAX(5,'Loan Tape'!$AT287))*IF(H594&lt;=0,H291/MAX(1,'Loan Tape'!$AU287-6+1),H594*H291/(1-(1+H594)^(-MAX(1,'Loan Tape'!$AU287-6+1)))-H594*H291),0)))</f>
        <v>0</v>
      </c>
      <c r="I1200" s="71" t="n">
        <f aca="false">IF(OR('Loan Tape'!$AN287=0,'Loan Tape'!$Z287="Interest Only",'Loan Tape'!$Z287=""),0,MIN(MAX(0,I291-I897),IFERROR(MAX(0,MIN(7,'Loan Tape'!$AV287)-MAX(6,'Loan Tape'!$AT287))*IF(I594&lt;=0,I291/MAX(1,'Loan Tape'!$AU287-7+1),I594*I291/(1-(1+I594)^(-MAX(1,'Loan Tape'!$AU287-7+1)))-I594*I291),0)))</f>
        <v>0</v>
      </c>
      <c r="J1200" s="71" t="n">
        <f aca="false">IF(OR('Loan Tape'!$AN287=0,'Loan Tape'!$Z287="Interest Only",'Loan Tape'!$Z287=""),0,MIN(MAX(0,J291-J897),IFERROR(MAX(0,MIN(8,'Loan Tape'!$AV287)-MAX(7,'Loan Tape'!$AT287))*IF(J594&lt;=0,J291/MAX(1,'Loan Tape'!$AU287-8+1),J594*J291/(1-(1+J594)^(-MAX(1,'Loan Tape'!$AU287-8+1)))-J594*J291),0)))</f>
        <v>0</v>
      </c>
      <c r="K1200" s="71" t="n">
        <f aca="false">IF(OR('Loan Tape'!$AN287=0,'Loan Tape'!$Z287="Interest Only",'Loan Tape'!$Z287=""),0,MIN(MAX(0,K291-K897),IFERROR(MAX(0,MIN(9,'Loan Tape'!$AV287)-MAX(8,'Loan Tape'!$AT287))*IF(K594&lt;=0,K291/MAX(1,'Loan Tape'!$AU287-9+1),K594*K291/(1-(1+K594)^(-MAX(1,'Loan Tape'!$AU287-9+1)))-K594*K291),0)))</f>
        <v>0</v>
      </c>
      <c r="L1200" s="71" t="n">
        <f aca="false">IF(OR('Loan Tape'!$AN287=0,'Loan Tape'!$Z287="Interest Only",'Loan Tape'!$Z287=""),0,MIN(MAX(0,L291-L897),IFERROR(MAX(0,MIN(10,'Loan Tape'!$AV287)-MAX(9,'Loan Tape'!$AT287))*IF(L594&lt;=0,L291/MAX(1,'Loan Tape'!$AU287-10+1),L594*L291/(1-(1+L594)^(-MAX(1,'Loan Tape'!$AU287-10+1)))-L594*L291),0)))</f>
        <v>0</v>
      </c>
    </row>
    <row r="1201" customFormat="false" ht="15" hidden="false" customHeight="false" outlineLevel="0" collapsed="false">
      <c r="B1201" s="102" t="n">
        <f aca="false">'Loan Tape'!$A288</f>
        <v>0</v>
      </c>
      <c r="C1201" s="99" t="n">
        <f aca="false">IF(OR('Loan Tape'!$AN288=0,'Loan Tape'!$Z288="Interest Only",'Loan Tape'!$Z288=""),0,MIN(MAX(0,C292-C898),IFERROR(MAX(0,MIN(1,'Loan Tape'!$AV288)-MAX(0,'Loan Tape'!$AT288))*IF(C595&lt;=0,C292/MAX(1,'Loan Tape'!$AU288-1+1),C595*C292/(1-(1+C595)^(-MAX(1,'Loan Tape'!$AU288-1+1)))-C595*C292),0)))</f>
        <v>0</v>
      </c>
      <c r="D1201" s="99" t="n">
        <f aca="false">IF(OR('Loan Tape'!$AN288=0,'Loan Tape'!$Z288="Interest Only",'Loan Tape'!$Z288=""),0,MIN(MAX(0,D292-D898),IFERROR(MAX(0,MIN(2,'Loan Tape'!$AV288)-MAX(1,'Loan Tape'!$AT288))*IF(D595&lt;=0,D292/MAX(1,'Loan Tape'!$AU288-2+1),D595*D292/(1-(1+D595)^(-MAX(1,'Loan Tape'!$AU288-2+1)))-D595*D292),0)))</f>
        <v>0</v>
      </c>
      <c r="E1201" s="99" t="n">
        <f aca="false">IF(OR('Loan Tape'!$AN288=0,'Loan Tape'!$Z288="Interest Only",'Loan Tape'!$Z288=""),0,MIN(MAX(0,E292-E898),IFERROR(MAX(0,MIN(3,'Loan Tape'!$AV288)-MAX(2,'Loan Tape'!$AT288))*IF(E595&lt;=0,E292/MAX(1,'Loan Tape'!$AU288-3+1),E595*E292/(1-(1+E595)^(-MAX(1,'Loan Tape'!$AU288-3+1)))-E595*E292),0)))</f>
        <v>0</v>
      </c>
      <c r="F1201" s="99" t="n">
        <f aca="false">IF(OR('Loan Tape'!$AN288=0,'Loan Tape'!$Z288="Interest Only",'Loan Tape'!$Z288=""),0,MIN(MAX(0,F292-F898),IFERROR(MAX(0,MIN(4,'Loan Tape'!$AV288)-MAX(3,'Loan Tape'!$AT288))*IF(F595&lt;=0,F292/MAX(1,'Loan Tape'!$AU288-4+1),F595*F292/(1-(1+F595)^(-MAX(1,'Loan Tape'!$AU288-4+1)))-F595*F292),0)))</f>
        <v>0</v>
      </c>
      <c r="G1201" s="99" t="n">
        <f aca="false">IF(OR('Loan Tape'!$AN288=0,'Loan Tape'!$Z288="Interest Only",'Loan Tape'!$Z288=""),0,MIN(MAX(0,G292-G898),IFERROR(MAX(0,MIN(5,'Loan Tape'!$AV288)-MAX(4,'Loan Tape'!$AT288))*IF(G595&lt;=0,G292/MAX(1,'Loan Tape'!$AU288-5+1),G595*G292/(1-(1+G595)^(-MAX(1,'Loan Tape'!$AU288-5+1)))-G595*G292),0)))</f>
        <v>0</v>
      </c>
      <c r="H1201" s="99" t="n">
        <f aca="false">IF(OR('Loan Tape'!$AN288=0,'Loan Tape'!$Z288="Interest Only",'Loan Tape'!$Z288=""),0,MIN(MAX(0,H292-H898),IFERROR(MAX(0,MIN(6,'Loan Tape'!$AV288)-MAX(5,'Loan Tape'!$AT288))*IF(H595&lt;=0,H292/MAX(1,'Loan Tape'!$AU288-6+1),H595*H292/(1-(1+H595)^(-MAX(1,'Loan Tape'!$AU288-6+1)))-H595*H292),0)))</f>
        <v>0</v>
      </c>
      <c r="I1201" s="99" t="n">
        <f aca="false">IF(OR('Loan Tape'!$AN288=0,'Loan Tape'!$Z288="Interest Only",'Loan Tape'!$Z288=""),0,MIN(MAX(0,I292-I898),IFERROR(MAX(0,MIN(7,'Loan Tape'!$AV288)-MAX(6,'Loan Tape'!$AT288))*IF(I595&lt;=0,I292/MAX(1,'Loan Tape'!$AU288-7+1),I595*I292/(1-(1+I595)^(-MAX(1,'Loan Tape'!$AU288-7+1)))-I595*I292),0)))</f>
        <v>0</v>
      </c>
      <c r="J1201" s="99" t="n">
        <f aca="false">IF(OR('Loan Tape'!$AN288=0,'Loan Tape'!$Z288="Interest Only",'Loan Tape'!$Z288=""),0,MIN(MAX(0,J292-J898),IFERROR(MAX(0,MIN(8,'Loan Tape'!$AV288)-MAX(7,'Loan Tape'!$AT288))*IF(J595&lt;=0,J292/MAX(1,'Loan Tape'!$AU288-8+1),J595*J292/(1-(1+J595)^(-MAX(1,'Loan Tape'!$AU288-8+1)))-J595*J292),0)))</f>
        <v>0</v>
      </c>
      <c r="K1201" s="99" t="n">
        <f aca="false">IF(OR('Loan Tape'!$AN288=0,'Loan Tape'!$Z288="Interest Only",'Loan Tape'!$Z288=""),0,MIN(MAX(0,K292-K898),IFERROR(MAX(0,MIN(9,'Loan Tape'!$AV288)-MAX(8,'Loan Tape'!$AT288))*IF(K595&lt;=0,K292/MAX(1,'Loan Tape'!$AU288-9+1),K595*K292/(1-(1+K595)^(-MAX(1,'Loan Tape'!$AU288-9+1)))-K595*K292),0)))</f>
        <v>0</v>
      </c>
      <c r="L1201" s="99" t="n">
        <f aca="false">IF(OR('Loan Tape'!$AN288=0,'Loan Tape'!$Z288="Interest Only",'Loan Tape'!$Z288=""),0,MIN(MAX(0,L292-L898),IFERROR(MAX(0,MIN(10,'Loan Tape'!$AV288)-MAX(9,'Loan Tape'!$AT288))*IF(L595&lt;=0,L292/MAX(1,'Loan Tape'!$AU288-10+1),L595*L292/(1-(1+L595)^(-MAX(1,'Loan Tape'!$AU288-10+1)))-L595*L292),0)))</f>
        <v>0</v>
      </c>
    </row>
    <row r="1202" customFormat="false" ht="15" hidden="false" customHeight="false" outlineLevel="0" collapsed="false">
      <c r="B1202" s="108" t="n">
        <f aca="false">'Loan Tape'!$A289</f>
        <v>0</v>
      </c>
      <c r="C1202" s="71" t="n">
        <f aca="false">IF(OR('Loan Tape'!$AN289=0,'Loan Tape'!$Z289="Interest Only",'Loan Tape'!$Z289=""),0,MIN(MAX(0,C293-C899),IFERROR(MAX(0,MIN(1,'Loan Tape'!$AV289)-MAX(0,'Loan Tape'!$AT289))*IF(C596&lt;=0,C293/MAX(1,'Loan Tape'!$AU289-1+1),C596*C293/(1-(1+C596)^(-MAX(1,'Loan Tape'!$AU289-1+1)))-C596*C293),0)))</f>
        <v>0</v>
      </c>
      <c r="D1202" s="71" t="n">
        <f aca="false">IF(OR('Loan Tape'!$AN289=0,'Loan Tape'!$Z289="Interest Only",'Loan Tape'!$Z289=""),0,MIN(MAX(0,D293-D899),IFERROR(MAX(0,MIN(2,'Loan Tape'!$AV289)-MAX(1,'Loan Tape'!$AT289))*IF(D596&lt;=0,D293/MAX(1,'Loan Tape'!$AU289-2+1),D596*D293/(1-(1+D596)^(-MAX(1,'Loan Tape'!$AU289-2+1)))-D596*D293),0)))</f>
        <v>0</v>
      </c>
      <c r="E1202" s="71" t="n">
        <f aca="false">IF(OR('Loan Tape'!$AN289=0,'Loan Tape'!$Z289="Interest Only",'Loan Tape'!$Z289=""),0,MIN(MAX(0,E293-E899),IFERROR(MAX(0,MIN(3,'Loan Tape'!$AV289)-MAX(2,'Loan Tape'!$AT289))*IF(E596&lt;=0,E293/MAX(1,'Loan Tape'!$AU289-3+1),E596*E293/(1-(1+E596)^(-MAX(1,'Loan Tape'!$AU289-3+1)))-E596*E293),0)))</f>
        <v>0</v>
      </c>
      <c r="F1202" s="71" t="n">
        <f aca="false">IF(OR('Loan Tape'!$AN289=0,'Loan Tape'!$Z289="Interest Only",'Loan Tape'!$Z289=""),0,MIN(MAX(0,F293-F899),IFERROR(MAX(0,MIN(4,'Loan Tape'!$AV289)-MAX(3,'Loan Tape'!$AT289))*IF(F596&lt;=0,F293/MAX(1,'Loan Tape'!$AU289-4+1),F596*F293/(1-(1+F596)^(-MAX(1,'Loan Tape'!$AU289-4+1)))-F596*F293),0)))</f>
        <v>0</v>
      </c>
      <c r="G1202" s="71" t="n">
        <f aca="false">IF(OR('Loan Tape'!$AN289=0,'Loan Tape'!$Z289="Interest Only",'Loan Tape'!$Z289=""),0,MIN(MAX(0,G293-G899),IFERROR(MAX(0,MIN(5,'Loan Tape'!$AV289)-MAX(4,'Loan Tape'!$AT289))*IF(G596&lt;=0,G293/MAX(1,'Loan Tape'!$AU289-5+1),G596*G293/(1-(1+G596)^(-MAX(1,'Loan Tape'!$AU289-5+1)))-G596*G293),0)))</f>
        <v>0</v>
      </c>
      <c r="H1202" s="71" t="n">
        <f aca="false">IF(OR('Loan Tape'!$AN289=0,'Loan Tape'!$Z289="Interest Only",'Loan Tape'!$Z289=""),0,MIN(MAX(0,H293-H899),IFERROR(MAX(0,MIN(6,'Loan Tape'!$AV289)-MAX(5,'Loan Tape'!$AT289))*IF(H596&lt;=0,H293/MAX(1,'Loan Tape'!$AU289-6+1),H596*H293/(1-(1+H596)^(-MAX(1,'Loan Tape'!$AU289-6+1)))-H596*H293),0)))</f>
        <v>0</v>
      </c>
      <c r="I1202" s="71" t="n">
        <f aca="false">IF(OR('Loan Tape'!$AN289=0,'Loan Tape'!$Z289="Interest Only",'Loan Tape'!$Z289=""),0,MIN(MAX(0,I293-I899),IFERROR(MAX(0,MIN(7,'Loan Tape'!$AV289)-MAX(6,'Loan Tape'!$AT289))*IF(I596&lt;=0,I293/MAX(1,'Loan Tape'!$AU289-7+1),I596*I293/(1-(1+I596)^(-MAX(1,'Loan Tape'!$AU289-7+1)))-I596*I293),0)))</f>
        <v>0</v>
      </c>
      <c r="J1202" s="71" t="n">
        <f aca="false">IF(OR('Loan Tape'!$AN289=0,'Loan Tape'!$Z289="Interest Only",'Loan Tape'!$Z289=""),0,MIN(MAX(0,J293-J899),IFERROR(MAX(0,MIN(8,'Loan Tape'!$AV289)-MAX(7,'Loan Tape'!$AT289))*IF(J596&lt;=0,J293/MAX(1,'Loan Tape'!$AU289-8+1),J596*J293/(1-(1+J596)^(-MAX(1,'Loan Tape'!$AU289-8+1)))-J596*J293),0)))</f>
        <v>0</v>
      </c>
      <c r="K1202" s="71" t="n">
        <f aca="false">IF(OR('Loan Tape'!$AN289=0,'Loan Tape'!$Z289="Interest Only",'Loan Tape'!$Z289=""),0,MIN(MAX(0,K293-K899),IFERROR(MAX(0,MIN(9,'Loan Tape'!$AV289)-MAX(8,'Loan Tape'!$AT289))*IF(K596&lt;=0,K293/MAX(1,'Loan Tape'!$AU289-9+1),K596*K293/(1-(1+K596)^(-MAX(1,'Loan Tape'!$AU289-9+1)))-K596*K293),0)))</f>
        <v>0</v>
      </c>
      <c r="L1202" s="71" t="n">
        <f aca="false">IF(OR('Loan Tape'!$AN289=0,'Loan Tape'!$Z289="Interest Only",'Loan Tape'!$Z289=""),0,MIN(MAX(0,L293-L899),IFERROR(MAX(0,MIN(10,'Loan Tape'!$AV289)-MAX(9,'Loan Tape'!$AT289))*IF(L596&lt;=0,L293/MAX(1,'Loan Tape'!$AU289-10+1),L596*L293/(1-(1+L596)^(-MAX(1,'Loan Tape'!$AU289-10+1)))-L596*L293),0)))</f>
        <v>0</v>
      </c>
    </row>
    <row r="1203" customFormat="false" ht="15" hidden="false" customHeight="false" outlineLevel="0" collapsed="false">
      <c r="B1203" s="102" t="n">
        <f aca="false">'Loan Tape'!$A290</f>
        <v>0</v>
      </c>
      <c r="C1203" s="99" t="n">
        <f aca="false">IF(OR('Loan Tape'!$AN290=0,'Loan Tape'!$Z290="Interest Only",'Loan Tape'!$Z290=""),0,MIN(MAX(0,C294-C900),IFERROR(MAX(0,MIN(1,'Loan Tape'!$AV290)-MAX(0,'Loan Tape'!$AT290))*IF(C597&lt;=0,C294/MAX(1,'Loan Tape'!$AU290-1+1),C597*C294/(1-(1+C597)^(-MAX(1,'Loan Tape'!$AU290-1+1)))-C597*C294),0)))</f>
        <v>0</v>
      </c>
      <c r="D1203" s="99" t="n">
        <f aca="false">IF(OR('Loan Tape'!$AN290=0,'Loan Tape'!$Z290="Interest Only",'Loan Tape'!$Z290=""),0,MIN(MAX(0,D294-D900),IFERROR(MAX(0,MIN(2,'Loan Tape'!$AV290)-MAX(1,'Loan Tape'!$AT290))*IF(D597&lt;=0,D294/MAX(1,'Loan Tape'!$AU290-2+1),D597*D294/(1-(1+D597)^(-MAX(1,'Loan Tape'!$AU290-2+1)))-D597*D294),0)))</f>
        <v>0</v>
      </c>
      <c r="E1203" s="99" t="n">
        <f aca="false">IF(OR('Loan Tape'!$AN290=0,'Loan Tape'!$Z290="Interest Only",'Loan Tape'!$Z290=""),0,MIN(MAX(0,E294-E900),IFERROR(MAX(0,MIN(3,'Loan Tape'!$AV290)-MAX(2,'Loan Tape'!$AT290))*IF(E597&lt;=0,E294/MAX(1,'Loan Tape'!$AU290-3+1),E597*E294/(1-(1+E597)^(-MAX(1,'Loan Tape'!$AU290-3+1)))-E597*E294),0)))</f>
        <v>0</v>
      </c>
      <c r="F1203" s="99" t="n">
        <f aca="false">IF(OR('Loan Tape'!$AN290=0,'Loan Tape'!$Z290="Interest Only",'Loan Tape'!$Z290=""),0,MIN(MAX(0,F294-F900),IFERROR(MAX(0,MIN(4,'Loan Tape'!$AV290)-MAX(3,'Loan Tape'!$AT290))*IF(F597&lt;=0,F294/MAX(1,'Loan Tape'!$AU290-4+1),F597*F294/(1-(1+F597)^(-MAX(1,'Loan Tape'!$AU290-4+1)))-F597*F294),0)))</f>
        <v>0</v>
      </c>
      <c r="G1203" s="99" t="n">
        <f aca="false">IF(OR('Loan Tape'!$AN290=0,'Loan Tape'!$Z290="Interest Only",'Loan Tape'!$Z290=""),0,MIN(MAX(0,G294-G900),IFERROR(MAX(0,MIN(5,'Loan Tape'!$AV290)-MAX(4,'Loan Tape'!$AT290))*IF(G597&lt;=0,G294/MAX(1,'Loan Tape'!$AU290-5+1),G597*G294/(1-(1+G597)^(-MAX(1,'Loan Tape'!$AU290-5+1)))-G597*G294),0)))</f>
        <v>0</v>
      </c>
      <c r="H1203" s="99" t="n">
        <f aca="false">IF(OR('Loan Tape'!$AN290=0,'Loan Tape'!$Z290="Interest Only",'Loan Tape'!$Z290=""),0,MIN(MAX(0,H294-H900),IFERROR(MAX(0,MIN(6,'Loan Tape'!$AV290)-MAX(5,'Loan Tape'!$AT290))*IF(H597&lt;=0,H294/MAX(1,'Loan Tape'!$AU290-6+1),H597*H294/(1-(1+H597)^(-MAX(1,'Loan Tape'!$AU290-6+1)))-H597*H294),0)))</f>
        <v>0</v>
      </c>
      <c r="I1203" s="99" t="n">
        <f aca="false">IF(OR('Loan Tape'!$AN290=0,'Loan Tape'!$Z290="Interest Only",'Loan Tape'!$Z290=""),0,MIN(MAX(0,I294-I900),IFERROR(MAX(0,MIN(7,'Loan Tape'!$AV290)-MAX(6,'Loan Tape'!$AT290))*IF(I597&lt;=0,I294/MAX(1,'Loan Tape'!$AU290-7+1),I597*I294/(1-(1+I597)^(-MAX(1,'Loan Tape'!$AU290-7+1)))-I597*I294),0)))</f>
        <v>0</v>
      </c>
      <c r="J1203" s="99" t="n">
        <f aca="false">IF(OR('Loan Tape'!$AN290=0,'Loan Tape'!$Z290="Interest Only",'Loan Tape'!$Z290=""),0,MIN(MAX(0,J294-J900),IFERROR(MAX(0,MIN(8,'Loan Tape'!$AV290)-MAX(7,'Loan Tape'!$AT290))*IF(J597&lt;=0,J294/MAX(1,'Loan Tape'!$AU290-8+1),J597*J294/(1-(1+J597)^(-MAX(1,'Loan Tape'!$AU290-8+1)))-J597*J294),0)))</f>
        <v>0</v>
      </c>
      <c r="K1203" s="99" t="n">
        <f aca="false">IF(OR('Loan Tape'!$AN290=0,'Loan Tape'!$Z290="Interest Only",'Loan Tape'!$Z290=""),0,MIN(MAX(0,K294-K900),IFERROR(MAX(0,MIN(9,'Loan Tape'!$AV290)-MAX(8,'Loan Tape'!$AT290))*IF(K597&lt;=0,K294/MAX(1,'Loan Tape'!$AU290-9+1),K597*K294/(1-(1+K597)^(-MAX(1,'Loan Tape'!$AU290-9+1)))-K597*K294),0)))</f>
        <v>0</v>
      </c>
      <c r="L1203" s="99" t="n">
        <f aca="false">IF(OR('Loan Tape'!$AN290=0,'Loan Tape'!$Z290="Interest Only",'Loan Tape'!$Z290=""),0,MIN(MAX(0,L294-L900),IFERROR(MAX(0,MIN(10,'Loan Tape'!$AV290)-MAX(9,'Loan Tape'!$AT290))*IF(L597&lt;=0,L294/MAX(1,'Loan Tape'!$AU290-10+1),L597*L294/(1-(1+L597)^(-MAX(1,'Loan Tape'!$AU290-10+1)))-L597*L294),0)))</f>
        <v>0</v>
      </c>
    </row>
    <row r="1204" customFormat="false" ht="15" hidden="false" customHeight="false" outlineLevel="0" collapsed="false">
      <c r="B1204" s="108" t="n">
        <f aca="false">'Loan Tape'!$A291</f>
        <v>0</v>
      </c>
      <c r="C1204" s="71" t="n">
        <f aca="false">IF(OR('Loan Tape'!$AN291=0,'Loan Tape'!$Z291="Interest Only",'Loan Tape'!$Z291=""),0,MIN(MAX(0,C295-C901),IFERROR(MAX(0,MIN(1,'Loan Tape'!$AV291)-MAX(0,'Loan Tape'!$AT291))*IF(C598&lt;=0,C295/MAX(1,'Loan Tape'!$AU291-1+1),C598*C295/(1-(1+C598)^(-MAX(1,'Loan Tape'!$AU291-1+1)))-C598*C295),0)))</f>
        <v>0</v>
      </c>
      <c r="D1204" s="71" t="n">
        <f aca="false">IF(OR('Loan Tape'!$AN291=0,'Loan Tape'!$Z291="Interest Only",'Loan Tape'!$Z291=""),0,MIN(MAX(0,D295-D901),IFERROR(MAX(0,MIN(2,'Loan Tape'!$AV291)-MAX(1,'Loan Tape'!$AT291))*IF(D598&lt;=0,D295/MAX(1,'Loan Tape'!$AU291-2+1),D598*D295/(1-(1+D598)^(-MAX(1,'Loan Tape'!$AU291-2+1)))-D598*D295),0)))</f>
        <v>0</v>
      </c>
      <c r="E1204" s="71" t="n">
        <f aca="false">IF(OR('Loan Tape'!$AN291=0,'Loan Tape'!$Z291="Interest Only",'Loan Tape'!$Z291=""),0,MIN(MAX(0,E295-E901),IFERROR(MAX(0,MIN(3,'Loan Tape'!$AV291)-MAX(2,'Loan Tape'!$AT291))*IF(E598&lt;=0,E295/MAX(1,'Loan Tape'!$AU291-3+1),E598*E295/(1-(1+E598)^(-MAX(1,'Loan Tape'!$AU291-3+1)))-E598*E295),0)))</f>
        <v>0</v>
      </c>
      <c r="F1204" s="71" t="n">
        <f aca="false">IF(OR('Loan Tape'!$AN291=0,'Loan Tape'!$Z291="Interest Only",'Loan Tape'!$Z291=""),0,MIN(MAX(0,F295-F901),IFERROR(MAX(0,MIN(4,'Loan Tape'!$AV291)-MAX(3,'Loan Tape'!$AT291))*IF(F598&lt;=0,F295/MAX(1,'Loan Tape'!$AU291-4+1),F598*F295/(1-(1+F598)^(-MAX(1,'Loan Tape'!$AU291-4+1)))-F598*F295),0)))</f>
        <v>0</v>
      </c>
      <c r="G1204" s="71" t="n">
        <f aca="false">IF(OR('Loan Tape'!$AN291=0,'Loan Tape'!$Z291="Interest Only",'Loan Tape'!$Z291=""),0,MIN(MAX(0,G295-G901),IFERROR(MAX(0,MIN(5,'Loan Tape'!$AV291)-MAX(4,'Loan Tape'!$AT291))*IF(G598&lt;=0,G295/MAX(1,'Loan Tape'!$AU291-5+1),G598*G295/(1-(1+G598)^(-MAX(1,'Loan Tape'!$AU291-5+1)))-G598*G295),0)))</f>
        <v>0</v>
      </c>
      <c r="H1204" s="71" t="n">
        <f aca="false">IF(OR('Loan Tape'!$AN291=0,'Loan Tape'!$Z291="Interest Only",'Loan Tape'!$Z291=""),0,MIN(MAX(0,H295-H901),IFERROR(MAX(0,MIN(6,'Loan Tape'!$AV291)-MAX(5,'Loan Tape'!$AT291))*IF(H598&lt;=0,H295/MAX(1,'Loan Tape'!$AU291-6+1),H598*H295/(1-(1+H598)^(-MAX(1,'Loan Tape'!$AU291-6+1)))-H598*H295),0)))</f>
        <v>0</v>
      </c>
      <c r="I1204" s="71" t="n">
        <f aca="false">IF(OR('Loan Tape'!$AN291=0,'Loan Tape'!$Z291="Interest Only",'Loan Tape'!$Z291=""),0,MIN(MAX(0,I295-I901),IFERROR(MAX(0,MIN(7,'Loan Tape'!$AV291)-MAX(6,'Loan Tape'!$AT291))*IF(I598&lt;=0,I295/MAX(1,'Loan Tape'!$AU291-7+1),I598*I295/(1-(1+I598)^(-MAX(1,'Loan Tape'!$AU291-7+1)))-I598*I295),0)))</f>
        <v>0</v>
      </c>
      <c r="J1204" s="71" t="n">
        <f aca="false">IF(OR('Loan Tape'!$AN291=0,'Loan Tape'!$Z291="Interest Only",'Loan Tape'!$Z291=""),0,MIN(MAX(0,J295-J901),IFERROR(MAX(0,MIN(8,'Loan Tape'!$AV291)-MAX(7,'Loan Tape'!$AT291))*IF(J598&lt;=0,J295/MAX(1,'Loan Tape'!$AU291-8+1),J598*J295/(1-(1+J598)^(-MAX(1,'Loan Tape'!$AU291-8+1)))-J598*J295),0)))</f>
        <v>0</v>
      </c>
      <c r="K1204" s="71" t="n">
        <f aca="false">IF(OR('Loan Tape'!$AN291=0,'Loan Tape'!$Z291="Interest Only",'Loan Tape'!$Z291=""),0,MIN(MAX(0,K295-K901),IFERROR(MAX(0,MIN(9,'Loan Tape'!$AV291)-MAX(8,'Loan Tape'!$AT291))*IF(K598&lt;=0,K295/MAX(1,'Loan Tape'!$AU291-9+1),K598*K295/(1-(1+K598)^(-MAX(1,'Loan Tape'!$AU291-9+1)))-K598*K295),0)))</f>
        <v>0</v>
      </c>
      <c r="L1204" s="71" t="n">
        <f aca="false">IF(OR('Loan Tape'!$AN291=0,'Loan Tape'!$Z291="Interest Only",'Loan Tape'!$Z291=""),0,MIN(MAX(0,L295-L901),IFERROR(MAX(0,MIN(10,'Loan Tape'!$AV291)-MAX(9,'Loan Tape'!$AT291))*IF(L598&lt;=0,L295/MAX(1,'Loan Tape'!$AU291-10+1),L598*L295/(1-(1+L598)^(-MAX(1,'Loan Tape'!$AU291-10+1)))-L598*L295),0)))</f>
        <v>0</v>
      </c>
    </row>
    <row r="1205" customFormat="false" ht="15" hidden="false" customHeight="false" outlineLevel="0" collapsed="false">
      <c r="B1205" s="102" t="n">
        <f aca="false">'Loan Tape'!$A292</f>
        <v>0</v>
      </c>
      <c r="C1205" s="99" t="n">
        <f aca="false">IF(OR('Loan Tape'!$AN292=0,'Loan Tape'!$Z292="Interest Only",'Loan Tape'!$Z292=""),0,MIN(MAX(0,C296-C902),IFERROR(MAX(0,MIN(1,'Loan Tape'!$AV292)-MAX(0,'Loan Tape'!$AT292))*IF(C599&lt;=0,C296/MAX(1,'Loan Tape'!$AU292-1+1),C599*C296/(1-(1+C599)^(-MAX(1,'Loan Tape'!$AU292-1+1)))-C599*C296),0)))</f>
        <v>0</v>
      </c>
      <c r="D1205" s="99" t="n">
        <f aca="false">IF(OR('Loan Tape'!$AN292=0,'Loan Tape'!$Z292="Interest Only",'Loan Tape'!$Z292=""),0,MIN(MAX(0,D296-D902),IFERROR(MAX(0,MIN(2,'Loan Tape'!$AV292)-MAX(1,'Loan Tape'!$AT292))*IF(D599&lt;=0,D296/MAX(1,'Loan Tape'!$AU292-2+1),D599*D296/(1-(1+D599)^(-MAX(1,'Loan Tape'!$AU292-2+1)))-D599*D296),0)))</f>
        <v>0</v>
      </c>
      <c r="E1205" s="99" t="n">
        <f aca="false">IF(OR('Loan Tape'!$AN292=0,'Loan Tape'!$Z292="Interest Only",'Loan Tape'!$Z292=""),0,MIN(MAX(0,E296-E902),IFERROR(MAX(0,MIN(3,'Loan Tape'!$AV292)-MAX(2,'Loan Tape'!$AT292))*IF(E599&lt;=0,E296/MAX(1,'Loan Tape'!$AU292-3+1),E599*E296/(1-(1+E599)^(-MAX(1,'Loan Tape'!$AU292-3+1)))-E599*E296),0)))</f>
        <v>0</v>
      </c>
      <c r="F1205" s="99" t="n">
        <f aca="false">IF(OR('Loan Tape'!$AN292=0,'Loan Tape'!$Z292="Interest Only",'Loan Tape'!$Z292=""),0,MIN(MAX(0,F296-F902),IFERROR(MAX(0,MIN(4,'Loan Tape'!$AV292)-MAX(3,'Loan Tape'!$AT292))*IF(F599&lt;=0,F296/MAX(1,'Loan Tape'!$AU292-4+1),F599*F296/(1-(1+F599)^(-MAX(1,'Loan Tape'!$AU292-4+1)))-F599*F296),0)))</f>
        <v>0</v>
      </c>
      <c r="G1205" s="99" t="n">
        <f aca="false">IF(OR('Loan Tape'!$AN292=0,'Loan Tape'!$Z292="Interest Only",'Loan Tape'!$Z292=""),0,MIN(MAX(0,G296-G902),IFERROR(MAX(0,MIN(5,'Loan Tape'!$AV292)-MAX(4,'Loan Tape'!$AT292))*IF(G599&lt;=0,G296/MAX(1,'Loan Tape'!$AU292-5+1),G599*G296/(1-(1+G599)^(-MAX(1,'Loan Tape'!$AU292-5+1)))-G599*G296),0)))</f>
        <v>0</v>
      </c>
      <c r="H1205" s="99" t="n">
        <f aca="false">IF(OR('Loan Tape'!$AN292=0,'Loan Tape'!$Z292="Interest Only",'Loan Tape'!$Z292=""),0,MIN(MAX(0,H296-H902),IFERROR(MAX(0,MIN(6,'Loan Tape'!$AV292)-MAX(5,'Loan Tape'!$AT292))*IF(H599&lt;=0,H296/MAX(1,'Loan Tape'!$AU292-6+1),H599*H296/(1-(1+H599)^(-MAX(1,'Loan Tape'!$AU292-6+1)))-H599*H296),0)))</f>
        <v>0</v>
      </c>
      <c r="I1205" s="99" t="n">
        <f aca="false">IF(OR('Loan Tape'!$AN292=0,'Loan Tape'!$Z292="Interest Only",'Loan Tape'!$Z292=""),0,MIN(MAX(0,I296-I902),IFERROR(MAX(0,MIN(7,'Loan Tape'!$AV292)-MAX(6,'Loan Tape'!$AT292))*IF(I599&lt;=0,I296/MAX(1,'Loan Tape'!$AU292-7+1),I599*I296/(1-(1+I599)^(-MAX(1,'Loan Tape'!$AU292-7+1)))-I599*I296),0)))</f>
        <v>0</v>
      </c>
      <c r="J1205" s="99" t="n">
        <f aca="false">IF(OR('Loan Tape'!$AN292=0,'Loan Tape'!$Z292="Interest Only",'Loan Tape'!$Z292=""),0,MIN(MAX(0,J296-J902),IFERROR(MAX(0,MIN(8,'Loan Tape'!$AV292)-MAX(7,'Loan Tape'!$AT292))*IF(J599&lt;=0,J296/MAX(1,'Loan Tape'!$AU292-8+1),J599*J296/(1-(1+J599)^(-MAX(1,'Loan Tape'!$AU292-8+1)))-J599*J296),0)))</f>
        <v>0</v>
      </c>
      <c r="K1205" s="99" t="n">
        <f aca="false">IF(OR('Loan Tape'!$AN292=0,'Loan Tape'!$Z292="Interest Only",'Loan Tape'!$Z292=""),0,MIN(MAX(0,K296-K902),IFERROR(MAX(0,MIN(9,'Loan Tape'!$AV292)-MAX(8,'Loan Tape'!$AT292))*IF(K599&lt;=0,K296/MAX(1,'Loan Tape'!$AU292-9+1),K599*K296/(1-(1+K599)^(-MAX(1,'Loan Tape'!$AU292-9+1)))-K599*K296),0)))</f>
        <v>0</v>
      </c>
      <c r="L1205" s="99" t="n">
        <f aca="false">IF(OR('Loan Tape'!$AN292=0,'Loan Tape'!$Z292="Interest Only",'Loan Tape'!$Z292=""),0,MIN(MAX(0,L296-L902),IFERROR(MAX(0,MIN(10,'Loan Tape'!$AV292)-MAX(9,'Loan Tape'!$AT292))*IF(L599&lt;=0,L296/MAX(1,'Loan Tape'!$AU292-10+1),L599*L296/(1-(1+L599)^(-MAX(1,'Loan Tape'!$AU292-10+1)))-L599*L296),0)))</f>
        <v>0</v>
      </c>
    </row>
    <row r="1206" customFormat="false" ht="15" hidden="false" customHeight="false" outlineLevel="0" collapsed="false">
      <c r="B1206" s="108" t="n">
        <f aca="false">'Loan Tape'!$A293</f>
        <v>0</v>
      </c>
      <c r="C1206" s="71" t="n">
        <f aca="false">IF(OR('Loan Tape'!$AN293=0,'Loan Tape'!$Z293="Interest Only",'Loan Tape'!$Z293=""),0,MIN(MAX(0,C297-C903),IFERROR(MAX(0,MIN(1,'Loan Tape'!$AV293)-MAX(0,'Loan Tape'!$AT293))*IF(C600&lt;=0,C297/MAX(1,'Loan Tape'!$AU293-1+1),C600*C297/(1-(1+C600)^(-MAX(1,'Loan Tape'!$AU293-1+1)))-C600*C297),0)))</f>
        <v>0</v>
      </c>
      <c r="D1206" s="71" t="n">
        <f aca="false">IF(OR('Loan Tape'!$AN293=0,'Loan Tape'!$Z293="Interest Only",'Loan Tape'!$Z293=""),0,MIN(MAX(0,D297-D903),IFERROR(MAX(0,MIN(2,'Loan Tape'!$AV293)-MAX(1,'Loan Tape'!$AT293))*IF(D600&lt;=0,D297/MAX(1,'Loan Tape'!$AU293-2+1),D600*D297/(1-(1+D600)^(-MAX(1,'Loan Tape'!$AU293-2+1)))-D600*D297),0)))</f>
        <v>0</v>
      </c>
      <c r="E1206" s="71" t="n">
        <f aca="false">IF(OR('Loan Tape'!$AN293=0,'Loan Tape'!$Z293="Interest Only",'Loan Tape'!$Z293=""),0,MIN(MAX(0,E297-E903),IFERROR(MAX(0,MIN(3,'Loan Tape'!$AV293)-MAX(2,'Loan Tape'!$AT293))*IF(E600&lt;=0,E297/MAX(1,'Loan Tape'!$AU293-3+1),E600*E297/(1-(1+E600)^(-MAX(1,'Loan Tape'!$AU293-3+1)))-E600*E297),0)))</f>
        <v>0</v>
      </c>
      <c r="F1206" s="71" t="n">
        <f aca="false">IF(OR('Loan Tape'!$AN293=0,'Loan Tape'!$Z293="Interest Only",'Loan Tape'!$Z293=""),0,MIN(MAX(0,F297-F903),IFERROR(MAX(0,MIN(4,'Loan Tape'!$AV293)-MAX(3,'Loan Tape'!$AT293))*IF(F600&lt;=0,F297/MAX(1,'Loan Tape'!$AU293-4+1),F600*F297/(1-(1+F600)^(-MAX(1,'Loan Tape'!$AU293-4+1)))-F600*F297),0)))</f>
        <v>0</v>
      </c>
      <c r="G1206" s="71" t="n">
        <f aca="false">IF(OR('Loan Tape'!$AN293=0,'Loan Tape'!$Z293="Interest Only",'Loan Tape'!$Z293=""),0,MIN(MAX(0,G297-G903),IFERROR(MAX(0,MIN(5,'Loan Tape'!$AV293)-MAX(4,'Loan Tape'!$AT293))*IF(G600&lt;=0,G297/MAX(1,'Loan Tape'!$AU293-5+1),G600*G297/(1-(1+G600)^(-MAX(1,'Loan Tape'!$AU293-5+1)))-G600*G297),0)))</f>
        <v>0</v>
      </c>
      <c r="H1206" s="71" t="n">
        <f aca="false">IF(OR('Loan Tape'!$AN293=0,'Loan Tape'!$Z293="Interest Only",'Loan Tape'!$Z293=""),0,MIN(MAX(0,H297-H903),IFERROR(MAX(0,MIN(6,'Loan Tape'!$AV293)-MAX(5,'Loan Tape'!$AT293))*IF(H600&lt;=0,H297/MAX(1,'Loan Tape'!$AU293-6+1),H600*H297/(1-(1+H600)^(-MAX(1,'Loan Tape'!$AU293-6+1)))-H600*H297),0)))</f>
        <v>0</v>
      </c>
      <c r="I1206" s="71" t="n">
        <f aca="false">IF(OR('Loan Tape'!$AN293=0,'Loan Tape'!$Z293="Interest Only",'Loan Tape'!$Z293=""),0,MIN(MAX(0,I297-I903),IFERROR(MAX(0,MIN(7,'Loan Tape'!$AV293)-MAX(6,'Loan Tape'!$AT293))*IF(I600&lt;=0,I297/MAX(1,'Loan Tape'!$AU293-7+1),I600*I297/(1-(1+I600)^(-MAX(1,'Loan Tape'!$AU293-7+1)))-I600*I297),0)))</f>
        <v>0</v>
      </c>
      <c r="J1206" s="71" t="n">
        <f aca="false">IF(OR('Loan Tape'!$AN293=0,'Loan Tape'!$Z293="Interest Only",'Loan Tape'!$Z293=""),0,MIN(MAX(0,J297-J903),IFERROR(MAX(0,MIN(8,'Loan Tape'!$AV293)-MAX(7,'Loan Tape'!$AT293))*IF(J600&lt;=0,J297/MAX(1,'Loan Tape'!$AU293-8+1),J600*J297/(1-(1+J600)^(-MAX(1,'Loan Tape'!$AU293-8+1)))-J600*J297),0)))</f>
        <v>0</v>
      </c>
      <c r="K1206" s="71" t="n">
        <f aca="false">IF(OR('Loan Tape'!$AN293=0,'Loan Tape'!$Z293="Interest Only",'Loan Tape'!$Z293=""),0,MIN(MAX(0,K297-K903),IFERROR(MAX(0,MIN(9,'Loan Tape'!$AV293)-MAX(8,'Loan Tape'!$AT293))*IF(K600&lt;=0,K297/MAX(1,'Loan Tape'!$AU293-9+1),K600*K297/(1-(1+K600)^(-MAX(1,'Loan Tape'!$AU293-9+1)))-K600*K297),0)))</f>
        <v>0</v>
      </c>
      <c r="L1206" s="71" t="n">
        <f aca="false">IF(OR('Loan Tape'!$AN293=0,'Loan Tape'!$Z293="Interest Only",'Loan Tape'!$Z293=""),0,MIN(MAX(0,L297-L903),IFERROR(MAX(0,MIN(10,'Loan Tape'!$AV293)-MAX(9,'Loan Tape'!$AT293))*IF(L600&lt;=0,L297/MAX(1,'Loan Tape'!$AU293-10+1),L600*L297/(1-(1+L600)^(-MAX(1,'Loan Tape'!$AU293-10+1)))-L600*L297),0)))</f>
        <v>0</v>
      </c>
    </row>
    <row r="1207" customFormat="false" ht="15" hidden="false" customHeight="false" outlineLevel="0" collapsed="false">
      <c r="B1207" s="102" t="n">
        <f aca="false">'Loan Tape'!$A294</f>
        <v>0</v>
      </c>
      <c r="C1207" s="99" t="n">
        <f aca="false">IF(OR('Loan Tape'!$AN294=0,'Loan Tape'!$Z294="Interest Only",'Loan Tape'!$Z294=""),0,MIN(MAX(0,C298-C904),IFERROR(MAX(0,MIN(1,'Loan Tape'!$AV294)-MAX(0,'Loan Tape'!$AT294))*IF(C601&lt;=0,C298/MAX(1,'Loan Tape'!$AU294-1+1),C601*C298/(1-(1+C601)^(-MAX(1,'Loan Tape'!$AU294-1+1)))-C601*C298),0)))</f>
        <v>0</v>
      </c>
      <c r="D1207" s="99" t="n">
        <f aca="false">IF(OR('Loan Tape'!$AN294=0,'Loan Tape'!$Z294="Interest Only",'Loan Tape'!$Z294=""),0,MIN(MAX(0,D298-D904),IFERROR(MAX(0,MIN(2,'Loan Tape'!$AV294)-MAX(1,'Loan Tape'!$AT294))*IF(D601&lt;=0,D298/MAX(1,'Loan Tape'!$AU294-2+1),D601*D298/(1-(1+D601)^(-MAX(1,'Loan Tape'!$AU294-2+1)))-D601*D298),0)))</f>
        <v>0</v>
      </c>
      <c r="E1207" s="99" t="n">
        <f aca="false">IF(OR('Loan Tape'!$AN294=0,'Loan Tape'!$Z294="Interest Only",'Loan Tape'!$Z294=""),0,MIN(MAX(0,E298-E904),IFERROR(MAX(0,MIN(3,'Loan Tape'!$AV294)-MAX(2,'Loan Tape'!$AT294))*IF(E601&lt;=0,E298/MAX(1,'Loan Tape'!$AU294-3+1),E601*E298/(1-(1+E601)^(-MAX(1,'Loan Tape'!$AU294-3+1)))-E601*E298),0)))</f>
        <v>0</v>
      </c>
      <c r="F1207" s="99" t="n">
        <f aca="false">IF(OR('Loan Tape'!$AN294=0,'Loan Tape'!$Z294="Interest Only",'Loan Tape'!$Z294=""),0,MIN(MAX(0,F298-F904),IFERROR(MAX(0,MIN(4,'Loan Tape'!$AV294)-MAX(3,'Loan Tape'!$AT294))*IF(F601&lt;=0,F298/MAX(1,'Loan Tape'!$AU294-4+1),F601*F298/(1-(1+F601)^(-MAX(1,'Loan Tape'!$AU294-4+1)))-F601*F298),0)))</f>
        <v>0</v>
      </c>
      <c r="G1207" s="99" t="n">
        <f aca="false">IF(OR('Loan Tape'!$AN294=0,'Loan Tape'!$Z294="Interest Only",'Loan Tape'!$Z294=""),0,MIN(MAX(0,G298-G904),IFERROR(MAX(0,MIN(5,'Loan Tape'!$AV294)-MAX(4,'Loan Tape'!$AT294))*IF(G601&lt;=0,G298/MAX(1,'Loan Tape'!$AU294-5+1),G601*G298/(1-(1+G601)^(-MAX(1,'Loan Tape'!$AU294-5+1)))-G601*G298),0)))</f>
        <v>0</v>
      </c>
      <c r="H1207" s="99" t="n">
        <f aca="false">IF(OR('Loan Tape'!$AN294=0,'Loan Tape'!$Z294="Interest Only",'Loan Tape'!$Z294=""),0,MIN(MAX(0,H298-H904),IFERROR(MAX(0,MIN(6,'Loan Tape'!$AV294)-MAX(5,'Loan Tape'!$AT294))*IF(H601&lt;=0,H298/MAX(1,'Loan Tape'!$AU294-6+1),H601*H298/(1-(1+H601)^(-MAX(1,'Loan Tape'!$AU294-6+1)))-H601*H298),0)))</f>
        <v>0</v>
      </c>
      <c r="I1207" s="99" t="n">
        <f aca="false">IF(OR('Loan Tape'!$AN294=0,'Loan Tape'!$Z294="Interest Only",'Loan Tape'!$Z294=""),0,MIN(MAX(0,I298-I904),IFERROR(MAX(0,MIN(7,'Loan Tape'!$AV294)-MAX(6,'Loan Tape'!$AT294))*IF(I601&lt;=0,I298/MAX(1,'Loan Tape'!$AU294-7+1),I601*I298/(1-(1+I601)^(-MAX(1,'Loan Tape'!$AU294-7+1)))-I601*I298),0)))</f>
        <v>0</v>
      </c>
      <c r="J1207" s="99" t="n">
        <f aca="false">IF(OR('Loan Tape'!$AN294=0,'Loan Tape'!$Z294="Interest Only",'Loan Tape'!$Z294=""),0,MIN(MAX(0,J298-J904),IFERROR(MAX(0,MIN(8,'Loan Tape'!$AV294)-MAX(7,'Loan Tape'!$AT294))*IF(J601&lt;=0,J298/MAX(1,'Loan Tape'!$AU294-8+1),J601*J298/(1-(1+J601)^(-MAX(1,'Loan Tape'!$AU294-8+1)))-J601*J298),0)))</f>
        <v>0</v>
      </c>
      <c r="K1207" s="99" t="n">
        <f aca="false">IF(OR('Loan Tape'!$AN294=0,'Loan Tape'!$Z294="Interest Only",'Loan Tape'!$Z294=""),0,MIN(MAX(0,K298-K904),IFERROR(MAX(0,MIN(9,'Loan Tape'!$AV294)-MAX(8,'Loan Tape'!$AT294))*IF(K601&lt;=0,K298/MAX(1,'Loan Tape'!$AU294-9+1),K601*K298/(1-(1+K601)^(-MAX(1,'Loan Tape'!$AU294-9+1)))-K601*K298),0)))</f>
        <v>0</v>
      </c>
      <c r="L1207" s="99" t="n">
        <f aca="false">IF(OR('Loan Tape'!$AN294=0,'Loan Tape'!$Z294="Interest Only",'Loan Tape'!$Z294=""),0,MIN(MAX(0,L298-L904),IFERROR(MAX(0,MIN(10,'Loan Tape'!$AV294)-MAX(9,'Loan Tape'!$AT294))*IF(L601&lt;=0,L298/MAX(1,'Loan Tape'!$AU294-10+1),L601*L298/(1-(1+L601)^(-MAX(1,'Loan Tape'!$AU294-10+1)))-L601*L298),0)))</f>
        <v>0</v>
      </c>
    </row>
    <row r="1208" customFormat="false" ht="15" hidden="false" customHeight="false" outlineLevel="0" collapsed="false">
      <c r="B1208" s="108" t="n">
        <f aca="false">'Loan Tape'!$A295</f>
        <v>0</v>
      </c>
      <c r="C1208" s="71" t="n">
        <f aca="false">IF(OR('Loan Tape'!$AN295=0,'Loan Tape'!$Z295="Interest Only",'Loan Tape'!$Z295=""),0,MIN(MAX(0,C299-C905),IFERROR(MAX(0,MIN(1,'Loan Tape'!$AV295)-MAX(0,'Loan Tape'!$AT295))*IF(C602&lt;=0,C299/MAX(1,'Loan Tape'!$AU295-1+1),C602*C299/(1-(1+C602)^(-MAX(1,'Loan Tape'!$AU295-1+1)))-C602*C299),0)))</f>
        <v>0</v>
      </c>
      <c r="D1208" s="71" t="n">
        <f aca="false">IF(OR('Loan Tape'!$AN295=0,'Loan Tape'!$Z295="Interest Only",'Loan Tape'!$Z295=""),0,MIN(MAX(0,D299-D905),IFERROR(MAX(0,MIN(2,'Loan Tape'!$AV295)-MAX(1,'Loan Tape'!$AT295))*IF(D602&lt;=0,D299/MAX(1,'Loan Tape'!$AU295-2+1),D602*D299/(1-(1+D602)^(-MAX(1,'Loan Tape'!$AU295-2+1)))-D602*D299),0)))</f>
        <v>0</v>
      </c>
      <c r="E1208" s="71" t="n">
        <f aca="false">IF(OR('Loan Tape'!$AN295=0,'Loan Tape'!$Z295="Interest Only",'Loan Tape'!$Z295=""),0,MIN(MAX(0,E299-E905),IFERROR(MAX(0,MIN(3,'Loan Tape'!$AV295)-MAX(2,'Loan Tape'!$AT295))*IF(E602&lt;=0,E299/MAX(1,'Loan Tape'!$AU295-3+1),E602*E299/(1-(1+E602)^(-MAX(1,'Loan Tape'!$AU295-3+1)))-E602*E299),0)))</f>
        <v>0</v>
      </c>
      <c r="F1208" s="71" t="n">
        <f aca="false">IF(OR('Loan Tape'!$AN295=0,'Loan Tape'!$Z295="Interest Only",'Loan Tape'!$Z295=""),0,MIN(MAX(0,F299-F905),IFERROR(MAX(0,MIN(4,'Loan Tape'!$AV295)-MAX(3,'Loan Tape'!$AT295))*IF(F602&lt;=0,F299/MAX(1,'Loan Tape'!$AU295-4+1),F602*F299/(1-(1+F602)^(-MAX(1,'Loan Tape'!$AU295-4+1)))-F602*F299),0)))</f>
        <v>0</v>
      </c>
      <c r="G1208" s="71" t="n">
        <f aca="false">IF(OR('Loan Tape'!$AN295=0,'Loan Tape'!$Z295="Interest Only",'Loan Tape'!$Z295=""),0,MIN(MAX(0,G299-G905),IFERROR(MAX(0,MIN(5,'Loan Tape'!$AV295)-MAX(4,'Loan Tape'!$AT295))*IF(G602&lt;=0,G299/MAX(1,'Loan Tape'!$AU295-5+1),G602*G299/(1-(1+G602)^(-MAX(1,'Loan Tape'!$AU295-5+1)))-G602*G299),0)))</f>
        <v>0</v>
      </c>
      <c r="H1208" s="71" t="n">
        <f aca="false">IF(OR('Loan Tape'!$AN295=0,'Loan Tape'!$Z295="Interest Only",'Loan Tape'!$Z295=""),0,MIN(MAX(0,H299-H905),IFERROR(MAX(0,MIN(6,'Loan Tape'!$AV295)-MAX(5,'Loan Tape'!$AT295))*IF(H602&lt;=0,H299/MAX(1,'Loan Tape'!$AU295-6+1),H602*H299/(1-(1+H602)^(-MAX(1,'Loan Tape'!$AU295-6+1)))-H602*H299),0)))</f>
        <v>0</v>
      </c>
      <c r="I1208" s="71" t="n">
        <f aca="false">IF(OR('Loan Tape'!$AN295=0,'Loan Tape'!$Z295="Interest Only",'Loan Tape'!$Z295=""),0,MIN(MAX(0,I299-I905),IFERROR(MAX(0,MIN(7,'Loan Tape'!$AV295)-MAX(6,'Loan Tape'!$AT295))*IF(I602&lt;=0,I299/MAX(1,'Loan Tape'!$AU295-7+1),I602*I299/(1-(1+I602)^(-MAX(1,'Loan Tape'!$AU295-7+1)))-I602*I299),0)))</f>
        <v>0</v>
      </c>
      <c r="J1208" s="71" t="n">
        <f aca="false">IF(OR('Loan Tape'!$AN295=0,'Loan Tape'!$Z295="Interest Only",'Loan Tape'!$Z295=""),0,MIN(MAX(0,J299-J905),IFERROR(MAX(0,MIN(8,'Loan Tape'!$AV295)-MAX(7,'Loan Tape'!$AT295))*IF(J602&lt;=0,J299/MAX(1,'Loan Tape'!$AU295-8+1),J602*J299/(1-(1+J602)^(-MAX(1,'Loan Tape'!$AU295-8+1)))-J602*J299),0)))</f>
        <v>0</v>
      </c>
      <c r="K1208" s="71" t="n">
        <f aca="false">IF(OR('Loan Tape'!$AN295=0,'Loan Tape'!$Z295="Interest Only",'Loan Tape'!$Z295=""),0,MIN(MAX(0,K299-K905),IFERROR(MAX(0,MIN(9,'Loan Tape'!$AV295)-MAX(8,'Loan Tape'!$AT295))*IF(K602&lt;=0,K299/MAX(1,'Loan Tape'!$AU295-9+1),K602*K299/(1-(1+K602)^(-MAX(1,'Loan Tape'!$AU295-9+1)))-K602*K299),0)))</f>
        <v>0</v>
      </c>
      <c r="L1208" s="71" t="n">
        <f aca="false">IF(OR('Loan Tape'!$AN295=0,'Loan Tape'!$Z295="Interest Only",'Loan Tape'!$Z295=""),0,MIN(MAX(0,L299-L905),IFERROR(MAX(0,MIN(10,'Loan Tape'!$AV295)-MAX(9,'Loan Tape'!$AT295))*IF(L602&lt;=0,L299/MAX(1,'Loan Tape'!$AU295-10+1),L602*L299/(1-(1+L602)^(-MAX(1,'Loan Tape'!$AU295-10+1)))-L602*L299),0)))</f>
        <v>0</v>
      </c>
    </row>
    <row r="1209" customFormat="false" ht="15" hidden="false" customHeight="false" outlineLevel="0" collapsed="false">
      <c r="B1209" s="102" t="n">
        <f aca="false">'Loan Tape'!$A296</f>
        <v>0</v>
      </c>
      <c r="C1209" s="99" t="n">
        <f aca="false">IF(OR('Loan Tape'!$AN296=0,'Loan Tape'!$Z296="Interest Only",'Loan Tape'!$Z296=""),0,MIN(MAX(0,C300-C906),IFERROR(MAX(0,MIN(1,'Loan Tape'!$AV296)-MAX(0,'Loan Tape'!$AT296))*IF(C603&lt;=0,C300/MAX(1,'Loan Tape'!$AU296-1+1),C603*C300/(1-(1+C603)^(-MAX(1,'Loan Tape'!$AU296-1+1)))-C603*C300),0)))</f>
        <v>0</v>
      </c>
      <c r="D1209" s="99" t="n">
        <f aca="false">IF(OR('Loan Tape'!$AN296=0,'Loan Tape'!$Z296="Interest Only",'Loan Tape'!$Z296=""),0,MIN(MAX(0,D300-D906),IFERROR(MAX(0,MIN(2,'Loan Tape'!$AV296)-MAX(1,'Loan Tape'!$AT296))*IF(D603&lt;=0,D300/MAX(1,'Loan Tape'!$AU296-2+1),D603*D300/(1-(1+D603)^(-MAX(1,'Loan Tape'!$AU296-2+1)))-D603*D300),0)))</f>
        <v>0</v>
      </c>
      <c r="E1209" s="99" t="n">
        <f aca="false">IF(OR('Loan Tape'!$AN296=0,'Loan Tape'!$Z296="Interest Only",'Loan Tape'!$Z296=""),0,MIN(MAX(0,E300-E906),IFERROR(MAX(0,MIN(3,'Loan Tape'!$AV296)-MAX(2,'Loan Tape'!$AT296))*IF(E603&lt;=0,E300/MAX(1,'Loan Tape'!$AU296-3+1),E603*E300/(1-(1+E603)^(-MAX(1,'Loan Tape'!$AU296-3+1)))-E603*E300),0)))</f>
        <v>0</v>
      </c>
      <c r="F1209" s="99" t="n">
        <f aca="false">IF(OR('Loan Tape'!$AN296=0,'Loan Tape'!$Z296="Interest Only",'Loan Tape'!$Z296=""),0,MIN(MAX(0,F300-F906),IFERROR(MAX(0,MIN(4,'Loan Tape'!$AV296)-MAX(3,'Loan Tape'!$AT296))*IF(F603&lt;=0,F300/MAX(1,'Loan Tape'!$AU296-4+1),F603*F300/(1-(1+F603)^(-MAX(1,'Loan Tape'!$AU296-4+1)))-F603*F300),0)))</f>
        <v>0</v>
      </c>
      <c r="G1209" s="99" t="n">
        <f aca="false">IF(OR('Loan Tape'!$AN296=0,'Loan Tape'!$Z296="Interest Only",'Loan Tape'!$Z296=""),0,MIN(MAX(0,G300-G906),IFERROR(MAX(0,MIN(5,'Loan Tape'!$AV296)-MAX(4,'Loan Tape'!$AT296))*IF(G603&lt;=0,G300/MAX(1,'Loan Tape'!$AU296-5+1),G603*G300/(1-(1+G603)^(-MAX(1,'Loan Tape'!$AU296-5+1)))-G603*G300),0)))</f>
        <v>0</v>
      </c>
      <c r="H1209" s="99" t="n">
        <f aca="false">IF(OR('Loan Tape'!$AN296=0,'Loan Tape'!$Z296="Interest Only",'Loan Tape'!$Z296=""),0,MIN(MAX(0,H300-H906),IFERROR(MAX(0,MIN(6,'Loan Tape'!$AV296)-MAX(5,'Loan Tape'!$AT296))*IF(H603&lt;=0,H300/MAX(1,'Loan Tape'!$AU296-6+1),H603*H300/(1-(1+H603)^(-MAX(1,'Loan Tape'!$AU296-6+1)))-H603*H300),0)))</f>
        <v>0</v>
      </c>
      <c r="I1209" s="99" t="n">
        <f aca="false">IF(OR('Loan Tape'!$AN296=0,'Loan Tape'!$Z296="Interest Only",'Loan Tape'!$Z296=""),0,MIN(MAX(0,I300-I906),IFERROR(MAX(0,MIN(7,'Loan Tape'!$AV296)-MAX(6,'Loan Tape'!$AT296))*IF(I603&lt;=0,I300/MAX(1,'Loan Tape'!$AU296-7+1),I603*I300/(1-(1+I603)^(-MAX(1,'Loan Tape'!$AU296-7+1)))-I603*I300),0)))</f>
        <v>0</v>
      </c>
      <c r="J1209" s="99" t="n">
        <f aca="false">IF(OR('Loan Tape'!$AN296=0,'Loan Tape'!$Z296="Interest Only",'Loan Tape'!$Z296=""),0,MIN(MAX(0,J300-J906),IFERROR(MAX(0,MIN(8,'Loan Tape'!$AV296)-MAX(7,'Loan Tape'!$AT296))*IF(J603&lt;=0,J300/MAX(1,'Loan Tape'!$AU296-8+1),J603*J300/(1-(1+J603)^(-MAX(1,'Loan Tape'!$AU296-8+1)))-J603*J300),0)))</f>
        <v>0</v>
      </c>
      <c r="K1209" s="99" t="n">
        <f aca="false">IF(OR('Loan Tape'!$AN296=0,'Loan Tape'!$Z296="Interest Only",'Loan Tape'!$Z296=""),0,MIN(MAX(0,K300-K906),IFERROR(MAX(0,MIN(9,'Loan Tape'!$AV296)-MAX(8,'Loan Tape'!$AT296))*IF(K603&lt;=0,K300/MAX(1,'Loan Tape'!$AU296-9+1),K603*K300/(1-(1+K603)^(-MAX(1,'Loan Tape'!$AU296-9+1)))-K603*K300),0)))</f>
        <v>0</v>
      </c>
      <c r="L1209" s="99" t="n">
        <f aca="false">IF(OR('Loan Tape'!$AN296=0,'Loan Tape'!$Z296="Interest Only",'Loan Tape'!$Z296=""),0,MIN(MAX(0,L300-L906),IFERROR(MAX(0,MIN(10,'Loan Tape'!$AV296)-MAX(9,'Loan Tape'!$AT296))*IF(L603&lt;=0,L300/MAX(1,'Loan Tape'!$AU296-10+1),L603*L300/(1-(1+L603)^(-MAX(1,'Loan Tape'!$AU296-10+1)))-L603*L300),0)))</f>
        <v>0</v>
      </c>
    </row>
    <row r="1210" customFormat="false" ht="15" hidden="false" customHeight="false" outlineLevel="0" collapsed="false">
      <c r="B1210" s="108" t="n">
        <f aca="false">'Loan Tape'!$A297</f>
        <v>0</v>
      </c>
      <c r="C1210" s="71" t="n">
        <f aca="false">IF(OR('Loan Tape'!$AN297=0,'Loan Tape'!$Z297="Interest Only",'Loan Tape'!$Z297=""),0,MIN(MAX(0,C301-C907),IFERROR(MAX(0,MIN(1,'Loan Tape'!$AV297)-MAX(0,'Loan Tape'!$AT297))*IF(C604&lt;=0,C301/MAX(1,'Loan Tape'!$AU297-1+1),C604*C301/(1-(1+C604)^(-MAX(1,'Loan Tape'!$AU297-1+1)))-C604*C301),0)))</f>
        <v>0</v>
      </c>
      <c r="D1210" s="71" t="n">
        <f aca="false">IF(OR('Loan Tape'!$AN297=0,'Loan Tape'!$Z297="Interest Only",'Loan Tape'!$Z297=""),0,MIN(MAX(0,D301-D907),IFERROR(MAX(0,MIN(2,'Loan Tape'!$AV297)-MAX(1,'Loan Tape'!$AT297))*IF(D604&lt;=0,D301/MAX(1,'Loan Tape'!$AU297-2+1),D604*D301/(1-(1+D604)^(-MAX(1,'Loan Tape'!$AU297-2+1)))-D604*D301),0)))</f>
        <v>0</v>
      </c>
      <c r="E1210" s="71" t="n">
        <f aca="false">IF(OR('Loan Tape'!$AN297=0,'Loan Tape'!$Z297="Interest Only",'Loan Tape'!$Z297=""),0,MIN(MAX(0,E301-E907),IFERROR(MAX(0,MIN(3,'Loan Tape'!$AV297)-MAX(2,'Loan Tape'!$AT297))*IF(E604&lt;=0,E301/MAX(1,'Loan Tape'!$AU297-3+1),E604*E301/(1-(1+E604)^(-MAX(1,'Loan Tape'!$AU297-3+1)))-E604*E301),0)))</f>
        <v>0</v>
      </c>
      <c r="F1210" s="71" t="n">
        <f aca="false">IF(OR('Loan Tape'!$AN297=0,'Loan Tape'!$Z297="Interest Only",'Loan Tape'!$Z297=""),0,MIN(MAX(0,F301-F907),IFERROR(MAX(0,MIN(4,'Loan Tape'!$AV297)-MAX(3,'Loan Tape'!$AT297))*IF(F604&lt;=0,F301/MAX(1,'Loan Tape'!$AU297-4+1),F604*F301/(1-(1+F604)^(-MAX(1,'Loan Tape'!$AU297-4+1)))-F604*F301),0)))</f>
        <v>0</v>
      </c>
      <c r="G1210" s="71" t="n">
        <f aca="false">IF(OR('Loan Tape'!$AN297=0,'Loan Tape'!$Z297="Interest Only",'Loan Tape'!$Z297=""),0,MIN(MAX(0,G301-G907),IFERROR(MAX(0,MIN(5,'Loan Tape'!$AV297)-MAX(4,'Loan Tape'!$AT297))*IF(G604&lt;=0,G301/MAX(1,'Loan Tape'!$AU297-5+1),G604*G301/(1-(1+G604)^(-MAX(1,'Loan Tape'!$AU297-5+1)))-G604*G301),0)))</f>
        <v>0</v>
      </c>
      <c r="H1210" s="71" t="n">
        <f aca="false">IF(OR('Loan Tape'!$AN297=0,'Loan Tape'!$Z297="Interest Only",'Loan Tape'!$Z297=""),0,MIN(MAX(0,H301-H907),IFERROR(MAX(0,MIN(6,'Loan Tape'!$AV297)-MAX(5,'Loan Tape'!$AT297))*IF(H604&lt;=0,H301/MAX(1,'Loan Tape'!$AU297-6+1),H604*H301/(1-(1+H604)^(-MAX(1,'Loan Tape'!$AU297-6+1)))-H604*H301),0)))</f>
        <v>0</v>
      </c>
      <c r="I1210" s="71" t="n">
        <f aca="false">IF(OR('Loan Tape'!$AN297=0,'Loan Tape'!$Z297="Interest Only",'Loan Tape'!$Z297=""),0,MIN(MAX(0,I301-I907),IFERROR(MAX(0,MIN(7,'Loan Tape'!$AV297)-MAX(6,'Loan Tape'!$AT297))*IF(I604&lt;=0,I301/MAX(1,'Loan Tape'!$AU297-7+1),I604*I301/(1-(1+I604)^(-MAX(1,'Loan Tape'!$AU297-7+1)))-I604*I301),0)))</f>
        <v>0</v>
      </c>
      <c r="J1210" s="71" t="n">
        <f aca="false">IF(OR('Loan Tape'!$AN297=0,'Loan Tape'!$Z297="Interest Only",'Loan Tape'!$Z297=""),0,MIN(MAX(0,J301-J907),IFERROR(MAX(0,MIN(8,'Loan Tape'!$AV297)-MAX(7,'Loan Tape'!$AT297))*IF(J604&lt;=0,J301/MAX(1,'Loan Tape'!$AU297-8+1),J604*J301/(1-(1+J604)^(-MAX(1,'Loan Tape'!$AU297-8+1)))-J604*J301),0)))</f>
        <v>0</v>
      </c>
      <c r="K1210" s="71" t="n">
        <f aca="false">IF(OR('Loan Tape'!$AN297=0,'Loan Tape'!$Z297="Interest Only",'Loan Tape'!$Z297=""),0,MIN(MAX(0,K301-K907),IFERROR(MAX(0,MIN(9,'Loan Tape'!$AV297)-MAX(8,'Loan Tape'!$AT297))*IF(K604&lt;=0,K301/MAX(1,'Loan Tape'!$AU297-9+1),K604*K301/(1-(1+K604)^(-MAX(1,'Loan Tape'!$AU297-9+1)))-K604*K301),0)))</f>
        <v>0</v>
      </c>
      <c r="L1210" s="71" t="n">
        <f aca="false">IF(OR('Loan Tape'!$AN297=0,'Loan Tape'!$Z297="Interest Only",'Loan Tape'!$Z297=""),0,MIN(MAX(0,L301-L907),IFERROR(MAX(0,MIN(10,'Loan Tape'!$AV297)-MAX(9,'Loan Tape'!$AT297))*IF(L604&lt;=0,L301/MAX(1,'Loan Tape'!$AU297-10+1),L604*L301/(1-(1+L604)^(-MAX(1,'Loan Tape'!$AU297-10+1)))-L604*L301),0)))</f>
        <v>0</v>
      </c>
    </row>
    <row r="1211" customFormat="false" ht="15" hidden="false" customHeight="false" outlineLevel="0" collapsed="false">
      <c r="B1211" s="102" t="n">
        <f aca="false">'Loan Tape'!$A298</f>
        <v>0</v>
      </c>
      <c r="C1211" s="99" t="n">
        <f aca="false">IF(OR('Loan Tape'!$AN298=0,'Loan Tape'!$Z298="Interest Only",'Loan Tape'!$Z298=""),0,MIN(MAX(0,C302-C908),IFERROR(MAX(0,MIN(1,'Loan Tape'!$AV298)-MAX(0,'Loan Tape'!$AT298))*IF(C605&lt;=0,C302/MAX(1,'Loan Tape'!$AU298-1+1),C605*C302/(1-(1+C605)^(-MAX(1,'Loan Tape'!$AU298-1+1)))-C605*C302),0)))</f>
        <v>0</v>
      </c>
      <c r="D1211" s="99" t="n">
        <f aca="false">IF(OR('Loan Tape'!$AN298=0,'Loan Tape'!$Z298="Interest Only",'Loan Tape'!$Z298=""),0,MIN(MAX(0,D302-D908),IFERROR(MAX(0,MIN(2,'Loan Tape'!$AV298)-MAX(1,'Loan Tape'!$AT298))*IF(D605&lt;=0,D302/MAX(1,'Loan Tape'!$AU298-2+1),D605*D302/(1-(1+D605)^(-MAX(1,'Loan Tape'!$AU298-2+1)))-D605*D302),0)))</f>
        <v>0</v>
      </c>
      <c r="E1211" s="99" t="n">
        <f aca="false">IF(OR('Loan Tape'!$AN298=0,'Loan Tape'!$Z298="Interest Only",'Loan Tape'!$Z298=""),0,MIN(MAX(0,E302-E908),IFERROR(MAX(0,MIN(3,'Loan Tape'!$AV298)-MAX(2,'Loan Tape'!$AT298))*IF(E605&lt;=0,E302/MAX(1,'Loan Tape'!$AU298-3+1),E605*E302/(1-(1+E605)^(-MAX(1,'Loan Tape'!$AU298-3+1)))-E605*E302),0)))</f>
        <v>0</v>
      </c>
      <c r="F1211" s="99" t="n">
        <f aca="false">IF(OR('Loan Tape'!$AN298=0,'Loan Tape'!$Z298="Interest Only",'Loan Tape'!$Z298=""),0,MIN(MAX(0,F302-F908),IFERROR(MAX(0,MIN(4,'Loan Tape'!$AV298)-MAX(3,'Loan Tape'!$AT298))*IF(F605&lt;=0,F302/MAX(1,'Loan Tape'!$AU298-4+1),F605*F302/(1-(1+F605)^(-MAX(1,'Loan Tape'!$AU298-4+1)))-F605*F302),0)))</f>
        <v>0</v>
      </c>
      <c r="G1211" s="99" t="n">
        <f aca="false">IF(OR('Loan Tape'!$AN298=0,'Loan Tape'!$Z298="Interest Only",'Loan Tape'!$Z298=""),0,MIN(MAX(0,G302-G908),IFERROR(MAX(0,MIN(5,'Loan Tape'!$AV298)-MAX(4,'Loan Tape'!$AT298))*IF(G605&lt;=0,G302/MAX(1,'Loan Tape'!$AU298-5+1),G605*G302/(1-(1+G605)^(-MAX(1,'Loan Tape'!$AU298-5+1)))-G605*G302),0)))</f>
        <v>0</v>
      </c>
      <c r="H1211" s="99" t="n">
        <f aca="false">IF(OR('Loan Tape'!$AN298=0,'Loan Tape'!$Z298="Interest Only",'Loan Tape'!$Z298=""),0,MIN(MAX(0,H302-H908),IFERROR(MAX(0,MIN(6,'Loan Tape'!$AV298)-MAX(5,'Loan Tape'!$AT298))*IF(H605&lt;=0,H302/MAX(1,'Loan Tape'!$AU298-6+1),H605*H302/(1-(1+H605)^(-MAX(1,'Loan Tape'!$AU298-6+1)))-H605*H302),0)))</f>
        <v>0</v>
      </c>
      <c r="I1211" s="99" t="n">
        <f aca="false">IF(OR('Loan Tape'!$AN298=0,'Loan Tape'!$Z298="Interest Only",'Loan Tape'!$Z298=""),0,MIN(MAX(0,I302-I908),IFERROR(MAX(0,MIN(7,'Loan Tape'!$AV298)-MAX(6,'Loan Tape'!$AT298))*IF(I605&lt;=0,I302/MAX(1,'Loan Tape'!$AU298-7+1),I605*I302/(1-(1+I605)^(-MAX(1,'Loan Tape'!$AU298-7+1)))-I605*I302),0)))</f>
        <v>0</v>
      </c>
      <c r="J1211" s="99" t="n">
        <f aca="false">IF(OR('Loan Tape'!$AN298=0,'Loan Tape'!$Z298="Interest Only",'Loan Tape'!$Z298=""),0,MIN(MAX(0,J302-J908),IFERROR(MAX(0,MIN(8,'Loan Tape'!$AV298)-MAX(7,'Loan Tape'!$AT298))*IF(J605&lt;=0,J302/MAX(1,'Loan Tape'!$AU298-8+1),J605*J302/(1-(1+J605)^(-MAX(1,'Loan Tape'!$AU298-8+1)))-J605*J302),0)))</f>
        <v>0</v>
      </c>
      <c r="K1211" s="99" t="n">
        <f aca="false">IF(OR('Loan Tape'!$AN298=0,'Loan Tape'!$Z298="Interest Only",'Loan Tape'!$Z298=""),0,MIN(MAX(0,K302-K908),IFERROR(MAX(0,MIN(9,'Loan Tape'!$AV298)-MAX(8,'Loan Tape'!$AT298))*IF(K605&lt;=0,K302/MAX(1,'Loan Tape'!$AU298-9+1),K605*K302/(1-(1+K605)^(-MAX(1,'Loan Tape'!$AU298-9+1)))-K605*K302),0)))</f>
        <v>0</v>
      </c>
      <c r="L1211" s="99" t="n">
        <f aca="false">IF(OR('Loan Tape'!$AN298=0,'Loan Tape'!$Z298="Interest Only",'Loan Tape'!$Z298=""),0,MIN(MAX(0,L302-L908),IFERROR(MAX(0,MIN(10,'Loan Tape'!$AV298)-MAX(9,'Loan Tape'!$AT298))*IF(L605&lt;=0,L302/MAX(1,'Loan Tape'!$AU298-10+1),L605*L302/(1-(1+L605)^(-MAX(1,'Loan Tape'!$AU298-10+1)))-L605*L302),0)))</f>
        <v>0</v>
      </c>
    </row>
    <row r="1212" customFormat="false" ht="15" hidden="false" customHeight="false" outlineLevel="0" collapsed="false">
      <c r="B1212" s="108" t="n">
        <f aca="false">'Loan Tape'!$A299</f>
        <v>0</v>
      </c>
      <c r="C1212" s="71" t="n">
        <f aca="false">IF(OR('Loan Tape'!$AN299=0,'Loan Tape'!$Z299="Interest Only",'Loan Tape'!$Z299=""),0,MIN(MAX(0,C303-C909),IFERROR(MAX(0,MIN(1,'Loan Tape'!$AV299)-MAX(0,'Loan Tape'!$AT299))*IF(C606&lt;=0,C303/MAX(1,'Loan Tape'!$AU299-1+1),C606*C303/(1-(1+C606)^(-MAX(1,'Loan Tape'!$AU299-1+1)))-C606*C303),0)))</f>
        <v>0</v>
      </c>
      <c r="D1212" s="71" t="n">
        <f aca="false">IF(OR('Loan Tape'!$AN299=0,'Loan Tape'!$Z299="Interest Only",'Loan Tape'!$Z299=""),0,MIN(MAX(0,D303-D909),IFERROR(MAX(0,MIN(2,'Loan Tape'!$AV299)-MAX(1,'Loan Tape'!$AT299))*IF(D606&lt;=0,D303/MAX(1,'Loan Tape'!$AU299-2+1),D606*D303/(1-(1+D606)^(-MAX(1,'Loan Tape'!$AU299-2+1)))-D606*D303),0)))</f>
        <v>0</v>
      </c>
      <c r="E1212" s="71" t="n">
        <f aca="false">IF(OR('Loan Tape'!$AN299=0,'Loan Tape'!$Z299="Interest Only",'Loan Tape'!$Z299=""),0,MIN(MAX(0,E303-E909),IFERROR(MAX(0,MIN(3,'Loan Tape'!$AV299)-MAX(2,'Loan Tape'!$AT299))*IF(E606&lt;=0,E303/MAX(1,'Loan Tape'!$AU299-3+1),E606*E303/(1-(1+E606)^(-MAX(1,'Loan Tape'!$AU299-3+1)))-E606*E303),0)))</f>
        <v>0</v>
      </c>
      <c r="F1212" s="71" t="n">
        <f aca="false">IF(OR('Loan Tape'!$AN299=0,'Loan Tape'!$Z299="Interest Only",'Loan Tape'!$Z299=""),0,MIN(MAX(0,F303-F909),IFERROR(MAX(0,MIN(4,'Loan Tape'!$AV299)-MAX(3,'Loan Tape'!$AT299))*IF(F606&lt;=0,F303/MAX(1,'Loan Tape'!$AU299-4+1),F606*F303/(1-(1+F606)^(-MAX(1,'Loan Tape'!$AU299-4+1)))-F606*F303),0)))</f>
        <v>0</v>
      </c>
      <c r="G1212" s="71" t="n">
        <f aca="false">IF(OR('Loan Tape'!$AN299=0,'Loan Tape'!$Z299="Interest Only",'Loan Tape'!$Z299=""),0,MIN(MAX(0,G303-G909),IFERROR(MAX(0,MIN(5,'Loan Tape'!$AV299)-MAX(4,'Loan Tape'!$AT299))*IF(G606&lt;=0,G303/MAX(1,'Loan Tape'!$AU299-5+1),G606*G303/(1-(1+G606)^(-MAX(1,'Loan Tape'!$AU299-5+1)))-G606*G303),0)))</f>
        <v>0</v>
      </c>
      <c r="H1212" s="71" t="n">
        <f aca="false">IF(OR('Loan Tape'!$AN299=0,'Loan Tape'!$Z299="Interest Only",'Loan Tape'!$Z299=""),0,MIN(MAX(0,H303-H909),IFERROR(MAX(0,MIN(6,'Loan Tape'!$AV299)-MAX(5,'Loan Tape'!$AT299))*IF(H606&lt;=0,H303/MAX(1,'Loan Tape'!$AU299-6+1),H606*H303/(1-(1+H606)^(-MAX(1,'Loan Tape'!$AU299-6+1)))-H606*H303),0)))</f>
        <v>0</v>
      </c>
      <c r="I1212" s="71" t="n">
        <f aca="false">IF(OR('Loan Tape'!$AN299=0,'Loan Tape'!$Z299="Interest Only",'Loan Tape'!$Z299=""),0,MIN(MAX(0,I303-I909),IFERROR(MAX(0,MIN(7,'Loan Tape'!$AV299)-MAX(6,'Loan Tape'!$AT299))*IF(I606&lt;=0,I303/MAX(1,'Loan Tape'!$AU299-7+1),I606*I303/(1-(1+I606)^(-MAX(1,'Loan Tape'!$AU299-7+1)))-I606*I303),0)))</f>
        <v>0</v>
      </c>
      <c r="J1212" s="71" t="n">
        <f aca="false">IF(OR('Loan Tape'!$AN299=0,'Loan Tape'!$Z299="Interest Only",'Loan Tape'!$Z299=""),0,MIN(MAX(0,J303-J909),IFERROR(MAX(0,MIN(8,'Loan Tape'!$AV299)-MAX(7,'Loan Tape'!$AT299))*IF(J606&lt;=0,J303/MAX(1,'Loan Tape'!$AU299-8+1),J606*J303/(1-(1+J606)^(-MAX(1,'Loan Tape'!$AU299-8+1)))-J606*J303),0)))</f>
        <v>0</v>
      </c>
      <c r="K1212" s="71" t="n">
        <f aca="false">IF(OR('Loan Tape'!$AN299=0,'Loan Tape'!$Z299="Interest Only",'Loan Tape'!$Z299=""),0,MIN(MAX(0,K303-K909),IFERROR(MAX(0,MIN(9,'Loan Tape'!$AV299)-MAX(8,'Loan Tape'!$AT299))*IF(K606&lt;=0,K303/MAX(1,'Loan Tape'!$AU299-9+1),K606*K303/(1-(1+K606)^(-MAX(1,'Loan Tape'!$AU299-9+1)))-K606*K303),0)))</f>
        <v>0</v>
      </c>
      <c r="L1212" s="71" t="n">
        <f aca="false">IF(OR('Loan Tape'!$AN299=0,'Loan Tape'!$Z299="Interest Only",'Loan Tape'!$Z299=""),0,MIN(MAX(0,L303-L909),IFERROR(MAX(0,MIN(10,'Loan Tape'!$AV299)-MAX(9,'Loan Tape'!$AT299))*IF(L606&lt;=0,L303/MAX(1,'Loan Tape'!$AU299-10+1),L606*L303/(1-(1+L606)^(-MAX(1,'Loan Tape'!$AU299-10+1)))-L606*L303),0)))</f>
        <v>0</v>
      </c>
    </row>
    <row r="1213" customFormat="false" ht="15" hidden="false" customHeight="false" outlineLevel="0" collapsed="false">
      <c r="B1213" s="102" t="n">
        <f aca="false">'Loan Tape'!$A300</f>
        <v>0</v>
      </c>
      <c r="C1213" s="99" t="n">
        <f aca="false">IF(OR('Loan Tape'!$AN300=0,'Loan Tape'!$Z300="Interest Only",'Loan Tape'!$Z300=""),0,MIN(MAX(0,C304-C910),IFERROR(MAX(0,MIN(1,'Loan Tape'!$AV300)-MAX(0,'Loan Tape'!$AT300))*IF(C607&lt;=0,C304/MAX(1,'Loan Tape'!$AU300-1+1),C607*C304/(1-(1+C607)^(-MAX(1,'Loan Tape'!$AU300-1+1)))-C607*C304),0)))</f>
        <v>0</v>
      </c>
      <c r="D1213" s="99" t="n">
        <f aca="false">IF(OR('Loan Tape'!$AN300=0,'Loan Tape'!$Z300="Interest Only",'Loan Tape'!$Z300=""),0,MIN(MAX(0,D304-D910),IFERROR(MAX(0,MIN(2,'Loan Tape'!$AV300)-MAX(1,'Loan Tape'!$AT300))*IF(D607&lt;=0,D304/MAX(1,'Loan Tape'!$AU300-2+1),D607*D304/(1-(1+D607)^(-MAX(1,'Loan Tape'!$AU300-2+1)))-D607*D304),0)))</f>
        <v>0</v>
      </c>
      <c r="E1213" s="99" t="n">
        <f aca="false">IF(OR('Loan Tape'!$AN300=0,'Loan Tape'!$Z300="Interest Only",'Loan Tape'!$Z300=""),0,MIN(MAX(0,E304-E910),IFERROR(MAX(0,MIN(3,'Loan Tape'!$AV300)-MAX(2,'Loan Tape'!$AT300))*IF(E607&lt;=0,E304/MAX(1,'Loan Tape'!$AU300-3+1),E607*E304/(1-(1+E607)^(-MAX(1,'Loan Tape'!$AU300-3+1)))-E607*E304),0)))</f>
        <v>0</v>
      </c>
      <c r="F1213" s="99" t="n">
        <f aca="false">IF(OR('Loan Tape'!$AN300=0,'Loan Tape'!$Z300="Interest Only",'Loan Tape'!$Z300=""),0,MIN(MAX(0,F304-F910),IFERROR(MAX(0,MIN(4,'Loan Tape'!$AV300)-MAX(3,'Loan Tape'!$AT300))*IF(F607&lt;=0,F304/MAX(1,'Loan Tape'!$AU300-4+1),F607*F304/(1-(1+F607)^(-MAX(1,'Loan Tape'!$AU300-4+1)))-F607*F304),0)))</f>
        <v>0</v>
      </c>
      <c r="G1213" s="99" t="n">
        <f aca="false">IF(OR('Loan Tape'!$AN300=0,'Loan Tape'!$Z300="Interest Only",'Loan Tape'!$Z300=""),0,MIN(MAX(0,G304-G910),IFERROR(MAX(0,MIN(5,'Loan Tape'!$AV300)-MAX(4,'Loan Tape'!$AT300))*IF(G607&lt;=0,G304/MAX(1,'Loan Tape'!$AU300-5+1),G607*G304/(1-(1+G607)^(-MAX(1,'Loan Tape'!$AU300-5+1)))-G607*G304),0)))</f>
        <v>0</v>
      </c>
      <c r="H1213" s="99" t="n">
        <f aca="false">IF(OR('Loan Tape'!$AN300=0,'Loan Tape'!$Z300="Interest Only",'Loan Tape'!$Z300=""),0,MIN(MAX(0,H304-H910),IFERROR(MAX(0,MIN(6,'Loan Tape'!$AV300)-MAX(5,'Loan Tape'!$AT300))*IF(H607&lt;=0,H304/MAX(1,'Loan Tape'!$AU300-6+1),H607*H304/(1-(1+H607)^(-MAX(1,'Loan Tape'!$AU300-6+1)))-H607*H304),0)))</f>
        <v>0</v>
      </c>
      <c r="I1213" s="99" t="n">
        <f aca="false">IF(OR('Loan Tape'!$AN300=0,'Loan Tape'!$Z300="Interest Only",'Loan Tape'!$Z300=""),0,MIN(MAX(0,I304-I910),IFERROR(MAX(0,MIN(7,'Loan Tape'!$AV300)-MAX(6,'Loan Tape'!$AT300))*IF(I607&lt;=0,I304/MAX(1,'Loan Tape'!$AU300-7+1),I607*I304/(1-(1+I607)^(-MAX(1,'Loan Tape'!$AU300-7+1)))-I607*I304),0)))</f>
        <v>0</v>
      </c>
      <c r="J1213" s="99" t="n">
        <f aca="false">IF(OR('Loan Tape'!$AN300=0,'Loan Tape'!$Z300="Interest Only",'Loan Tape'!$Z300=""),0,MIN(MAX(0,J304-J910),IFERROR(MAX(0,MIN(8,'Loan Tape'!$AV300)-MAX(7,'Loan Tape'!$AT300))*IF(J607&lt;=0,J304/MAX(1,'Loan Tape'!$AU300-8+1),J607*J304/(1-(1+J607)^(-MAX(1,'Loan Tape'!$AU300-8+1)))-J607*J304),0)))</f>
        <v>0</v>
      </c>
      <c r="K1213" s="99" t="n">
        <f aca="false">IF(OR('Loan Tape'!$AN300=0,'Loan Tape'!$Z300="Interest Only",'Loan Tape'!$Z300=""),0,MIN(MAX(0,K304-K910),IFERROR(MAX(0,MIN(9,'Loan Tape'!$AV300)-MAX(8,'Loan Tape'!$AT300))*IF(K607&lt;=0,K304/MAX(1,'Loan Tape'!$AU300-9+1),K607*K304/(1-(1+K607)^(-MAX(1,'Loan Tape'!$AU300-9+1)))-K607*K304),0)))</f>
        <v>0</v>
      </c>
      <c r="L1213" s="99" t="n">
        <f aca="false">IF(OR('Loan Tape'!$AN300=0,'Loan Tape'!$Z300="Interest Only",'Loan Tape'!$Z300=""),0,MIN(MAX(0,L304-L910),IFERROR(MAX(0,MIN(10,'Loan Tape'!$AV300)-MAX(9,'Loan Tape'!$AT300))*IF(L607&lt;=0,L304/MAX(1,'Loan Tape'!$AU300-10+1),L607*L304/(1-(1+L607)^(-MAX(1,'Loan Tape'!$AU300-10+1)))-L607*L304),0)))</f>
        <v>0</v>
      </c>
    </row>
    <row r="1214" customFormat="false" ht="15" hidden="false" customHeight="false" outlineLevel="0" collapsed="false">
      <c r="B1214" s="108" t="n">
        <f aca="false">'Loan Tape'!$A301</f>
        <v>0</v>
      </c>
      <c r="C1214" s="71" t="n">
        <f aca="false">IF(OR('Loan Tape'!$AN301=0,'Loan Tape'!$Z301="Interest Only",'Loan Tape'!$Z301=""),0,MIN(MAX(0,C305-C911),IFERROR(MAX(0,MIN(1,'Loan Tape'!$AV301)-MAX(0,'Loan Tape'!$AT301))*IF(C608&lt;=0,C305/MAX(1,'Loan Tape'!$AU301-1+1),C608*C305/(1-(1+C608)^(-MAX(1,'Loan Tape'!$AU301-1+1)))-C608*C305),0)))</f>
        <v>0</v>
      </c>
      <c r="D1214" s="71" t="n">
        <f aca="false">IF(OR('Loan Tape'!$AN301=0,'Loan Tape'!$Z301="Interest Only",'Loan Tape'!$Z301=""),0,MIN(MAX(0,D305-D911),IFERROR(MAX(0,MIN(2,'Loan Tape'!$AV301)-MAX(1,'Loan Tape'!$AT301))*IF(D608&lt;=0,D305/MAX(1,'Loan Tape'!$AU301-2+1),D608*D305/(1-(1+D608)^(-MAX(1,'Loan Tape'!$AU301-2+1)))-D608*D305),0)))</f>
        <v>0</v>
      </c>
      <c r="E1214" s="71" t="n">
        <f aca="false">IF(OR('Loan Tape'!$AN301=0,'Loan Tape'!$Z301="Interest Only",'Loan Tape'!$Z301=""),0,MIN(MAX(0,E305-E911),IFERROR(MAX(0,MIN(3,'Loan Tape'!$AV301)-MAX(2,'Loan Tape'!$AT301))*IF(E608&lt;=0,E305/MAX(1,'Loan Tape'!$AU301-3+1),E608*E305/(1-(1+E608)^(-MAX(1,'Loan Tape'!$AU301-3+1)))-E608*E305),0)))</f>
        <v>0</v>
      </c>
      <c r="F1214" s="71" t="n">
        <f aca="false">IF(OR('Loan Tape'!$AN301=0,'Loan Tape'!$Z301="Interest Only",'Loan Tape'!$Z301=""),0,MIN(MAX(0,F305-F911),IFERROR(MAX(0,MIN(4,'Loan Tape'!$AV301)-MAX(3,'Loan Tape'!$AT301))*IF(F608&lt;=0,F305/MAX(1,'Loan Tape'!$AU301-4+1),F608*F305/(1-(1+F608)^(-MAX(1,'Loan Tape'!$AU301-4+1)))-F608*F305),0)))</f>
        <v>0</v>
      </c>
      <c r="G1214" s="71" t="n">
        <f aca="false">IF(OR('Loan Tape'!$AN301=0,'Loan Tape'!$Z301="Interest Only",'Loan Tape'!$Z301=""),0,MIN(MAX(0,G305-G911),IFERROR(MAX(0,MIN(5,'Loan Tape'!$AV301)-MAX(4,'Loan Tape'!$AT301))*IF(G608&lt;=0,G305/MAX(1,'Loan Tape'!$AU301-5+1),G608*G305/(1-(1+G608)^(-MAX(1,'Loan Tape'!$AU301-5+1)))-G608*G305),0)))</f>
        <v>0</v>
      </c>
      <c r="H1214" s="71" t="n">
        <f aca="false">IF(OR('Loan Tape'!$AN301=0,'Loan Tape'!$Z301="Interest Only",'Loan Tape'!$Z301=""),0,MIN(MAX(0,H305-H911),IFERROR(MAX(0,MIN(6,'Loan Tape'!$AV301)-MAX(5,'Loan Tape'!$AT301))*IF(H608&lt;=0,H305/MAX(1,'Loan Tape'!$AU301-6+1),H608*H305/(1-(1+H608)^(-MAX(1,'Loan Tape'!$AU301-6+1)))-H608*H305),0)))</f>
        <v>0</v>
      </c>
      <c r="I1214" s="71" t="n">
        <f aca="false">IF(OR('Loan Tape'!$AN301=0,'Loan Tape'!$Z301="Interest Only",'Loan Tape'!$Z301=""),0,MIN(MAX(0,I305-I911),IFERROR(MAX(0,MIN(7,'Loan Tape'!$AV301)-MAX(6,'Loan Tape'!$AT301))*IF(I608&lt;=0,I305/MAX(1,'Loan Tape'!$AU301-7+1),I608*I305/(1-(1+I608)^(-MAX(1,'Loan Tape'!$AU301-7+1)))-I608*I305),0)))</f>
        <v>0</v>
      </c>
      <c r="J1214" s="71" t="n">
        <f aca="false">IF(OR('Loan Tape'!$AN301=0,'Loan Tape'!$Z301="Interest Only",'Loan Tape'!$Z301=""),0,MIN(MAX(0,J305-J911),IFERROR(MAX(0,MIN(8,'Loan Tape'!$AV301)-MAX(7,'Loan Tape'!$AT301))*IF(J608&lt;=0,J305/MAX(1,'Loan Tape'!$AU301-8+1),J608*J305/(1-(1+J608)^(-MAX(1,'Loan Tape'!$AU301-8+1)))-J608*J305),0)))</f>
        <v>0</v>
      </c>
      <c r="K1214" s="71" t="n">
        <f aca="false">IF(OR('Loan Tape'!$AN301=0,'Loan Tape'!$Z301="Interest Only",'Loan Tape'!$Z301=""),0,MIN(MAX(0,K305-K911),IFERROR(MAX(0,MIN(9,'Loan Tape'!$AV301)-MAX(8,'Loan Tape'!$AT301))*IF(K608&lt;=0,K305/MAX(1,'Loan Tape'!$AU301-9+1),K608*K305/(1-(1+K608)^(-MAX(1,'Loan Tape'!$AU301-9+1)))-K608*K305),0)))</f>
        <v>0</v>
      </c>
      <c r="L1214" s="71" t="n">
        <f aca="false">IF(OR('Loan Tape'!$AN301=0,'Loan Tape'!$Z301="Interest Only",'Loan Tape'!$Z301=""),0,MIN(MAX(0,L305-L911),IFERROR(MAX(0,MIN(10,'Loan Tape'!$AV301)-MAX(9,'Loan Tape'!$AT301))*IF(L608&lt;=0,L305/MAX(1,'Loan Tape'!$AU301-10+1),L608*L305/(1-(1+L608)^(-MAX(1,'Loan Tape'!$AU301-10+1)))-L608*L305),0)))</f>
        <v>0</v>
      </c>
    </row>
    <row r="1215" customFormat="false" ht="15" hidden="false" customHeight="false" outlineLevel="0" collapsed="false">
      <c r="B1215" s="102" t="n">
        <f aca="false">'Loan Tape'!$A302</f>
        <v>0</v>
      </c>
      <c r="C1215" s="99" t="n">
        <f aca="false">IF(OR('Loan Tape'!$AN302=0,'Loan Tape'!$Z302="Interest Only",'Loan Tape'!$Z302=""),0,MIN(MAX(0,C306-C912),IFERROR(MAX(0,MIN(1,'Loan Tape'!$AV302)-MAX(0,'Loan Tape'!$AT302))*IF(C609&lt;=0,C306/MAX(1,'Loan Tape'!$AU302-1+1),C609*C306/(1-(1+C609)^(-MAX(1,'Loan Tape'!$AU302-1+1)))-C609*C306),0)))</f>
        <v>0</v>
      </c>
      <c r="D1215" s="99" t="n">
        <f aca="false">IF(OR('Loan Tape'!$AN302=0,'Loan Tape'!$Z302="Interest Only",'Loan Tape'!$Z302=""),0,MIN(MAX(0,D306-D912),IFERROR(MAX(0,MIN(2,'Loan Tape'!$AV302)-MAX(1,'Loan Tape'!$AT302))*IF(D609&lt;=0,D306/MAX(1,'Loan Tape'!$AU302-2+1),D609*D306/(1-(1+D609)^(-MAX(1,'Loan Tape'!$AU302-2+1)))-D609*D306),0)))</f>
        <v>0</v>
      </c>
      <c r="E1215" s="99" t="n">
        <f aca="false">IF(OR('Loan Tape'!$AN302=0,'Loan Tape'!$Z302="Interest Only",'Loan Tape'!$Z302=""),0,MIN(MAX(0,E306-E912),IFERROR(MAX(0,MIN(3,'Loan Tape'!$AV302)-MAX(2,'Loan Tape'!$AT302))*IF(E609&lt;=0,E306/MAX(1,'Loan Tape'!$AU302-3+1),E609*E306/(1-(1+E609)^(-MAX(1,'Loan Tape'!$AU302-3+1)))-E609*E306),0)))</f>
        <v>0</v>
      </c>
      <c r="F1215" s="99" t="n">
        <f aca="false">IF(OR('Loan Tape'!$AN302=0,'Loan Tape'!$Z302="Interest Only",'Loan Tape'!$Z302=""),0,MIN(MAX(0,F306-F912),IFERROR(MAX(0,MIN(4,'Loan Tape'!$AV302)-MAX(3,'Loan Tape'!$AT302))*IF(F609&lt;=0,F306/MAX(1,'Loan Tape'!$AU302-4+1),F609*F306/(1-(1+F609)^(-MAX(1,'Loan Tape'!$AU302-4+1)))-F609*F306),0)))</f>
        <v>0</v>
      </c>
      <c r="G1215" s="99" t="n">
        <f aca="false">IF(OR('Loan Tape'!$AN302=0,'Loan Tape'!$Z302="Interest Only",'Loan Tape'!$Z302=""),0,MIN(MAX(0,G306-G912),IFERROR(MAX(0,MIN(5,'Loan Tape'!$AV302)-MAX(4,'Loan Tape'!$AT302))*IF(G609&lt;=0,G306/MAX(1,'Loan Tape'!$AU302-5+1),G609*G306/(1-(1+G609)^(-MAX(1,'Loan Tape'!$AU302-5+1)))-G609*G306),0)))</f>
        <v>0</v>
      </c>
      <c r="H1215" s="99" t="n">
        <f aca="false">IF(OR('Loan Tape'!$AN302=0,'Loan Tape'!$Z302="Interest Only",'Loan Tape'!$Z302=""),0,MIN(MAX(0,H306-H912),IFERROR(MAX(0,MIN(6,'Loan Tape'!$AV302)-MAX(5,'Loan Tape'!$AT302))*IF(H609&lt;=0,H306/MAX(1,'Loan Tape'!$AU302-6+1),H609*H306/(1-(1+H609)^(-MAX(1,'Loan Tape'!$AU302-6+1)))-H609*H306),0)))</f>
        <v>0</v>
      </c>
      <c r="I1215" s="99" t="n">
        <f aca="false">IF(OR('Loan Tape'!$AN302=0,'Loan Tape'!$Z302="Interest Only",'Loan Tape'!$Z302=""),0,MIN(MAX(0,I306-I912),IFERROR(MAX(0,MIN(7,'Loan Tape'!$AV302)-MAX(6,'Loan Tape'!$AT302))*IF(I609&lt;=0,I306/MAX(1,'Loan Tape'!$AU302-7+1),I609*I306/(1-(1+I609)^(-MAX(1,'Loan Tape'!$AU302-7+1)))-I609*I306),0)))</f>
        <v>0</v>
      </c>
      <c r="J1215" s="99" t="n">
        <f aca="false">IF(OR('Loan Tape'!$AN302=0,'Loan Tape'!$Z302="Interest Only",'Loan Tape'!$Z302=""),0,MIN(MAX(0,J306-J912),IFERROR(MAX(0,MIN(8,'Loan Tape'!$AV302)-MAX(7,'Loan Tape'!$AT302))*IF(J609&lt;=0,J306/MAX(1,'Loan Tape'!$AU302-8+1),J609*J306/(1-(1+J609)^(-MAX(1,'Loan Tape'!$AU302-8+1)))-J609*J306),0)))</f>
        <v>0</v>
      </c>
      <c r="K1215" s="99" t="n">
        <f aca="false">IF(OR('Loan Tape'!$AN302=0,'Loan Tape'!$Z302="Interest Only",'Loan Tape'!$Z302=""),0,MIN(MAX(0,K306-K912),IFERROR(MAX(0,MIN(9,'Loan Tape'!$AV302)-MAX(8,'Loan Tape'!$AT302))*IF(K609&lt;=0,K306/MAX(1,'Loan Tape'!$AU302-9+1),K609*K306/(1-(1+K609)^(-MAX(1,'Loan Tape'!$AU302-9+1)))-K609*K306),0)))</f>
        <v>0</v>
      </c>
      <c r="L1215" s="99" t="n">
        <f aca="false">IF(OR('Loan Tape'!$AN302=0,'Loan Tape'!$Z302="Interest Only",'Loan Tape'!$Z302=""),0,MIN(MAX(0,L306-L912),IFERROR(MAX(0,MIN(10,'Loan Tape'!$AV302)-MAX(9,'Loan Tape'!$AT302))*IF(L609&lt;=0,L306/MAX(1,'Loan Tape'!$AU302-10+1),L609*L306/(1-(1+L609)^(-MAX(1,'Loan Tape'!$AU302-10+1)))-L609*L306),0)))</f>
        <v>0</v>
      </c>
    </row>
    <row r="1216" customFormat="false" ht="15" hidden="false" customHeight="false" outlineLevel="0" collapsed="false">
      <c r="B1216" s="108" t="n">
        <f aca="false">'Loan Tape'!$A303</f>
        <v>0</v>
      </c>
      <c r="C1216" s="71" t="n">
        <f aca="false">IF(OR('Loan Tape'!$AN303=0,'Loan Tape'!$Z303="Interest Only",'Loan Tape'!$Z303=""),0,MIN(MAX(0,C307-C913),IFERROR(MAX(0,MIN(1,'Loan Tape'!$AV303)-MAX(0,'Loan Tape'!$AT303))*IF(C610&lt;=0,C307/MAX(1,'Loan Tape'!$AU303-1+1),C610*C307/(1-(1+C610)^(-MAX(1,'Loan Tape'!$AU303-1+1)))-C610*C307),0)))</f>
        <v>0</v>
      </c>
      <c r="D1216" s="71" t="n">
        <f aca="false">IF(OR('Loan Tape'!$AN303=0,'Loan Tape'!$Z303="Interest Only",'Loan Tape'!$Z303=""),0,MIN(MAX(0,D307-D913),IFERROR(MAX(0,MIN(2,'Loan Tape'!$AV303)-MAX(1,'Loan Tape'!$AT303))*IF(D610&lt;=0,D307/MAX(1,'Loan Tape'!$AU303-2+1),D610*D307/(1-(1+D610)^(-MAX(1,'Loan Tape'!$AU303-2+1)))-D610*D307),0)))</f>
        <v>0</v>
      </c>
      <c r="E1216" s="71" t="n">
        <f aca="false">IF(OR('Loan Tape'!$AN303=0,'Loan Tape'!$Z303="Interest Only",'Loan Tape'!$Z303=""),0,MIN(MAX(0,E307-E913),IFERROR(MAX(0,MIN(3,'Loan Tape'!$AV303)-MAX(2,'Loan Tape'!$AT303))*IF(E610&lt;=0,E307/MAX(1,'Loan Tape'!$AU303-3+1),E610*E307/(1-(1+E610)^(-MAX(1,'Loan Tape'!$AU303-3+1)))-E610*E307),0)))</f>
        <v>0</v>
      </c>
      <c r="F1216" s="71" t="n">
        <f aca="false">IF(OR('Loan Tape'!$AN303=0,'Loan Tape'!$Z303="Interest Only",'Loan Tape'!$Z303=""),0,MIN(MAX(0,F307-F913),IFERROR(MAX(0,MIN(4,'Loan Tape'!$AV303)-MAX(3,'Loan Tape'!$AT303))*IF(F610&lt;=0,F307/MAX(1,'Loan Tape'!$AU303-4+1),F610*F307/(1-(1+F610)^(-MAX(1,'Loan Tape'!$AU303-4+1)))-F610*F307),0)))</f>
        <v>0</v>
      </c>
      <c r="G1216" s="71" t="n">
        <f aca="false">IF(OR('Loan Tape'!$AN303=0,'Loan Tape'!$Z303="Interest Only",'Loan Tape'!$Z303=""),0,MIN(MAX(0,G307-G913),IFERROR(MAX(0,MIN(5,'Loan Tape'!$AV303)-MAX(4,'Loan Tape'!$AT303))*IF(G610&lt;=0,G307/MAX(1,'Loan Tape'!$AU303-5+1),G610*G307/(1-(1+G610)^(-MAX(1,'Loan Tape'!$AU303-5+1)))-G610*G307),0)))</f>
        <v>0</v>
      </c>
      <c r="H1216" s="71" t="n">
        <f aca="false">IF(OR('Loan Tape'!$AN303=0,'Loan Tape'!$Z303="Interest Only",'Loan Tape'!$Z303=""),0,MIN(MAX(0,H307-H913),IFERROR(MAX(0,MIN(6,'Loan Tape'!$AV303)-MAX(5,'Loan Tape'!$AT303))*IF(H610&lt;=0,H307/MAX(1,'Loan Tape'!$AU303-6+1),H610*H307/(1-(1+H610)^(-MAX(1,'Loan Tape'!$AU303-6+1)))-H610*H307),0)))</f>
        <v>0</v>
      </c>
      <c r="I1216" s="71" t="n">
        <f aca="false">IF(OR('Loan Tape'!$AN303=0,'Loan Tape'!$Z303="Interest Only",'Loan Tape'!$Z303=""),0,MIN(MAX(0,I307-I913),IFERROR(MAX(0,MIN(7,'Loan Tape'!$AV303)-MAX(6,'Loan Tape'!$AT303))*IF(I610&lt;=0,I307/MAX(1,'Loan Tape'!$AU303-7+1),I610*I307/(1-(1+I610)^(-MAX(1,'Loan Tape'!$AU303-7+1)))-I610*I307),0)))</f>
        <v>0</v>
      </c>
      <c r="J1216" s="71" t="n">
        <f aca="false">IF(OR('Loan Tape'!$AN303=0,'Loan Tape'!$Z303="Interest Only",'Loan Tape'!$Z303=""),0,MIN(MAX(0,J307-J913),IFERROR(MAX(0,MIN(8,'Loan Tape'!$AV303)-MAX(7,'Loan Tape'!$AT303))*IF(J610&lt;=0,J307/MAX(1,'Loan Tape'!$AU303-8+1),J610*J307/(1-(1+J610)^(-MAX(1,'Loan Tape'!$AU303-8+1)))-J610*J307),0)))</f>
        <v>0</v>
      </c>
      <c r="K1216" s="71" t="n">
        <f aca="false">IF(OR('Loan Tape'!$AN303=0,'Loan Tape'!$Z303="Interest Only",'Loan Tape'!$Z303=""),0,MIN(MAX(0,K307-K913),IFERROR(MAX(0,MIN(9,'Loan Tape'!$AV303)-MAX(8,'Loan Tape'!$AT303))*IF(K610&lt;=0,K307/MAX(1,'Loan Tape'!$AU303-9+1),K610*K307/(1-(1+K610)^(-MAX(1,'Loan Tape'!$AU303-9+1)))-K610*K307),0)))</f>
        <v>0</v>
      </c>
      <c r="L1216" s="71" t="n">
        <f aca="false">IF(OR('Loan Tape'!$AN303=0,'Loan Tape'!$Z303="Interest Only",'Loan Tape'!$Z303=""),0,MIN(MAX(0,L307-L913),IFERROR(MAX(0,MIN(10,'Loan Tape'!$AV303)-MAX(9,'Loan Tape'!$AT303))*IF(L610&lt;=0,L307/MAX(1,'Loan Tape'!$AU303-10+1),L610*L307/(1-(1+L610)^(-MAX(1,'Loan Tape'!$AU303-10+1)))-L610*L307),0)))</f>
        <v>0</v>
      </c>
    </row>
    <row r="1218" customFormat="false" ht="18" hidden="false" customHeight="true" outlineLevel="0" collapsed="false">
      <c r="B1218" s="5" t="s">
        <v>585</v>
      </c>
      <c r="C1218" s="5"/>
      <c r="D1218" s="5"/>
      <c r="E1218" s="5"/>
      <c r="F1218" s="5"/>
      <c r="G1218" s="5"/>
      <c r="H1218" s="5"/>
      <c r="I1218" s="5"/>
      <c r="J1218" s="5"/>
      <c r="K1218" s="5"/>
      <c r="L1218" s="5"/>
      <c r="N1218" s="30" t="s">
        <v>586</v>
      </c>
    </row>
    <row r="1219" customFormat="false" ht="15.75" hidden="false" customHeight="true" outlineLevel="0" collapsed="false">
      <c r="B1219" s="54" t="s">
        <v>148</v>
      </c>
      <c r="C1219" s="55" t="n">
        <v>1</v>
      </c>
      <c r="D1219" s="55" t="n">
        <v>2</v>
      </c>
      <c r="E1219" s="55" t="n">
        <v>3</v>
      </c>
      <c r="F1219" s="55" t="n">
        <v>4</v>
      </c>
      <c r="G1219" s="55" t="n">
        <v>5</v>
      </c>
      <c r="H1219" s="55" t="n">
        <v>6</v>
      </c>
      <c r="I1219" s="55" t="n">
        <v>7</v>
      </c>
      <c r="J1219" s="55" t="n">
        <v>8</v>
      </c>
      <c r="K1219" s="55" t="n">
        <v>9</v>
      </c>
      <c r="L1219" s="55" t="n">
        <v>10</v>
      </c>
    </row>
    <row r="1220" customFormat="false" ht="15" hidden="false" customHeight="false" outlineLevel="0" collapsed="false">
      <c r="B1220" s="102" t="str">
        <f aca="false">'Loan Tape'!$A4</f>
        <v>L-001</v>
      </c>
      <c r="C1220" s="99" t="n">
        <f aca="false">MIN(MAX(0,C8-C614-C917),C8*CPR*MAX(0,MIN(1,'Loan Tape'!$AV4)-0))</f>
        <v>815500</v>
      </c>
      <c r="D1220" s="99" t="n">
        <f aca="false">MIN(MAX(0,D8-D614-D917),D8*CPR*MAX(0,MIN(2,'Loan Tape'!$AV4)-1))</f>
        <v>0</v>
      </c>
      <c r="E1220" s="99" t="n">
        <f aca="false">MIN(MAX(0,E8-E614-E917),E8*CPR*MAX(0,MIN(3,'Loan Tape'!$AV4)-2))</f>
        <v>0</v>
      </c>
      <c r="F1220" s="99" t="n">
        <f aca="false">MIN(MAX(0,F8-F614-F917),F8*CPR*MAX(0,MIN(4,'Loan Tape'!$AV4)-3))</f>
        <v>0</v>
      </c>
      <c r="G1220" s="99" t="n">
        <f aca="false">MIN(MAX(0,G8-G614-G917),G8*CPR*MAX(0,MIN(5,'Loan Tape'!$AV4)-4))</f>
        <v>0</v>
      </c>
      <c r="H1220" s="99" t="n">
        <f aca="false">MIN(MAX(0,H8-H614-H917),H8*CPR*MAX(0,MIN(6,'Loan Tape'!$AV4)-5))</f>
        <v>0</v>
      </c>
      <c r="I1220" s="99" t="n">
        <f aca="false">MIN(MAX(0,I8-I614-I917),I8*CPR*MAX(0,MIN(7,'Loan Tape'!$AV4)-6))</f>
        <v>0</v>
      </c>
      <c r="J1220" s="99" t="n">
        <f aca="false">MIN(MAX(0,J8-J614-J917),J8*CPR*MAX(0,MIN(8,'Loan Tape'!$AV4)-7))</f>
        <v>0</v>
      </c>
      <c r="K1220" s="99" t="n">
        <f aca="false">MIN(MAX(0,K8-K614-K917),K8*CPR*MAX(0,MIN(9,'Loan Tape'!$AV4)-8))</f>
        <v>0</v>
      </c>
      <c r="L1220" s="99" t="n">
        <f aca="false">MIN(MAX(0,L8-L614-L917),L8*CPR*MAX(0,MIN(10,'Loan Tape'!$AV4)-9))</f>
        <v>0</v>
      </c>
    </row>
    <row r="1221" customFormat="false" ht="15" hidden="false" customHeight="false" outlineLevel="0" collapsed="false">
      <c r="B1221" s="108" t="str">
        <f aca="false">'Loan Tape'!$A5</f>
        <v>L-002</v>
      </c>
      <c r="C1221" s="71" t="n">
        <f aca="false">MIN(MAX(0,C9-C615-C918),C9*CPR*MAX(0,MIN(1,'Loan Tape'!$AV5)-0))</f>
        <v>1068700</v>
      </c>
      <c r="D1221" s="71" t="n">
        <f aca="false">MIN(MAX(0,D9-D615-D918),D9*CPR*MAX(0,MIN(2,'Loan Tape'!$AV5)-1))</f>
        <v>686679.944657017</v>
      </c>
      <c r="E1221" s="71" t="n">
        <f aca="false">MIN(MAX(0,E9-E615-E918),E9*CPR*MAX(0,MIN(3,'Loan Tape'!$AV5)-2))</f>
        <v>0</v>
      </c>
      <c r="F1221" s="71" t="n">
        <f aca="false">MIN(MAX(0,F9-F615-F918),F9*CPR*MAX(0,MIN(4,'Loan Tape'!$AV5)-3))</f>
        <v>0</v>
      </c>
      <c r="G1221" s="71" t="n">
        <f aca="false">MIN(MAX(0,G9-G615-G918),G9*CPR*MAX(0,MIN(5,'Loan Tape'!$AV5)-4))</f>
        <v>0</v>
      </c>
      <c r="H1221" s="71" t="n">
        <f aca="false">MIN(MAX(0,H9-H615-H918),H9*CPR*MAX(0,MIN(6,'Loan Tape'!$AV5)-5))</f>
        <v>0</v>
      </c>
      <c r="I1221" s="71" t="n">
        <f aca="false">MIN(MAX(0,I9-I615-I918),I9*CPR*MAX(0,MIN(7,'Loan Tape'!$AV5)-6))</f>
        <v>0</v>
      </c>
      <c r="J1221" s="71" t="n">
        <f aca="false">MIN(MAX(0,J9-J615-J918),J9*CPR*MAX(0,MIN(8,'Loan Tape'!$AV5)-7))</f>
        <v>0</v>
      </c>
      <c r="K1221" s="71" t="n">
        <f aca="false">MIN(MAX(0,K9-K615-K918),K9*CPR*MAX(0,MIN(9,'Loan Tape'!$AV5)-8))</f>
        <v>0</v>
      </c>
      <c r="L1221" s="71" t="n">
        <f aca="false">MIN(MAX(0,L9-L615-L918),L9*CPR*MAX(0,MIN(10,'Loan Tape'!$AV5)-9))</f>
        <v>0</v>
      </c>
    </row>
    <row r="1222" customFormat="false" ht="15" hidden="false" customHeight="false" outlineLevel="0" collapsed="false">
      <c r="B1222" s="102" t="str">
        <f aca="false">'Loan Tape'!$A6</f>
        <v>L-003</v>
      </c>
      <c r="C1222" s="99" t="n">
        <f aca="false">MIN(MAX(0,C10-C616-C919),C10*CPR*MAX(0,MIN(1,'Loan Tape'!$AV6)-0))</f>
        <v>11922900</v>
      </c>
      <c r="D1222" s="99" t="n">
        <f aca="false">MIN(MAX(0,D10-D616-D919),D10*CPR*MAX(0,MIN(2,'Loan Tape'!$AV6)-1))</f>
        <v>10346236.9679664</v>
      </c>
      <c r="E1222" s="99" t="n">
        <f aca="false">MIN(MAX(0,E10-E616-E919),E10*CPR*MAX(0,MIN(3,'Loan Tape'!$AV6)-2))</f>
        <v>8955452.69608972</v>
      </c>
      <c r="F1222" s="99" t="n">
        <f aca="false">MIN(MAX(0,F10-F616-F919),F10*CPR*MAX(0,MIN(4,'Loan Tape'!$AV6)-3))</f>
        <v>5175552.18633609</v>
      </c>
      <c r="G1222" s="99" t="n">
        <f aca="false">MIN(MAX(0,G10-G616-G919),G10*CPR*MAX(0,MIN(5,'Loan Tape'!$AV6)-4))</f>
        <v>0</v>
      </c>
      <c r="H1222" s="99" t="n">
        <f aca="false">MIN(MAX(0,H10-H616-H919),H10*CPR*MAX(0,MIN(6,'Loan Tape'!$AV6)-5))</f>
        <v>0</v>
      </c>
      <c r="I1222" s="99" t="n">
        <f aca="false">MIN(MAX(0,I10-I616-I919),I10*CPR*MAX(0,MIN(7,'Loan Tape'!$AV6)-6))</f>
        <v>0</v>
      </c>
      <c r="J1222" s="99" t="n">
        <f aca="false">MIN(MAX(0,J10-J616-J919),J10*CPR*MAX(0,MIN(8,'Loan Tape'!$AV6)-7))</f>
        <v>0</v>
      </c>
      <c r="K1222" s="99" t="n">
        <f aca="false">MIN(MAX(0,K10-K616-K919),K10*CPR*MAX(0,MIN(9,'Loan Tape'!$AV6)-8))</f>
        <v>0</v>
      </c>
      <c r="L1222" s="99" t="n">
        <f aca="false">MIN(MAX(0,L10-L616-L919),L10*CPR*MAX(0,MIN(10,'Loan Tape'!$AV6)-9))</f>
        <v>0</v>
      </c>
    </row>
    <row r="1223" customFormat="false" ht="15" hidden="false" customHeight="false" outlineLevel="0" collapsed="false">
      <c r="B1223" s="108" t="str">
        <f aca="false">'Loan Tape'!$A7</f>
        <v>L-004</v>
      </c>
      <c r="C1223" s="71" t="n">
        <f aca="false">MIN(MAX(0,C11-C617-C920),C11*CPR*MAX(0,MIN(1,'Loan Tape'!$AV7)-0))</f>
        <v>4604200</v>
      </c>
      <c r="D1223" s="71" t="n">
        <f aca="false">MIN(MAX(0,D11-D617-D920),D11*CPR*MAX(0,MIN(2,'Loan Tape'!$AV7)-1))</f>
        <v>3641124.52064347</v>
      </c>
      <c r="E1223" s="71" t="n">
        <f aca="false">MIN(MAX(0,E11-E617-E920),E11*CPR*MAX(0,MIN(3,'Loan Tape'!$AV7)-2))</f>
        <v>0</v>
      </c>
      <c r="F1223" s="71" t="n">
        <f aca="false">MIN(MAX(0,F11-F617-F920),F11*CPR*MAX(0,MIN(4,'Loan Tape'!$AV7)-3))</f>
        <v>0</v>
      </c>
      <c r="G1223" s="71" t="n">
        <f aca="false">MIN(MAX(0,G11-G617-G920),G11*CPR*MAX(0,MIN(5,'Loan Tape'!$AV7)-4))</f>
        <v>0</v>
      </c>
      <c r="H1223" s="71" t="n">
        <f aca="false">MIN(MAX(0,H11-H617-H920),H11*CPR*MAX(0,MIN(6,'Loan Tape'!$AV7)-5))</f>
        <v>0</v>
      </c>
      <c r="I1223" s="71" t="n">
        <f aca="false">MIN(MAX(0,I11-I617-I920),I11*CPR*MAX(0,MIN(7,'Loan Tape'!$AV7)-6))</f>
        <v>0</v>
      </c>
      <c r="J1223" s="71" t="n">
        <f aca="false">MIN(MAX(0,J11-J617-J920),J11*CPR*MAX(0,MIN(8,'Loan Tape'!$AV7)-7))</f>
        <v>0</v>
      </c>
      <c r="K1223" s="71" t="n">
        <f aca="false">MIN(MAX(0,K11-K617-K920),K11*CPR*MAX(0,MIN(9,'Loan Tape'!$AV7)-8))</f>
        <v>0</v>
      </c>
      <c r="L1223" s="71" t="n">
        <f aca="false">MIN(MAX(0,L11-L617-L920),L11*CPR*MAX(0,MIN(10,'Loan Tape'!$AV7)-9))</f>
        <v>0</v>
      </c>
    </row>
    <row r="1224" customFormat="false" ht="15" hidden="false" customHeight="false" outlineLevel="0" collapsed="false">
      <c r="B1224" s="102" t="str">
        <f aca="false">'Loan Tape'!$A8</f>
        <v>L-005</v>
      </c>
      <c r="C1224" s="99" t="n">
        <f aca="false">MIN(MAX(0,C12-C618-C921),C12*CPR*MAX(0,MIN(1,'Loan Tape'!$AV8)-0))</f>
        <v>11769600</v>
      </c>
      <c r="D1224" s="99" t="n">
        <f aca="false">MIN(MAX(0,D12-D618-D921),D12*CPR*MAX(0,MIN(2,'Loan Tape'!$AV8)-1))</f>
        <v>0</v>
      </c>
      <c r="E1224" s="99" t="n">
        <f aca="false">MIN(MAX(0,E12-E618-E921),E12*CPR*MAX(0,MIN(3,'Loan Tape'!$AV8)-2))</f>
        <v>0</v>
      </c>
      <c r="F1224" s="99" t="n">
        <f aca="false">MIN(MAX(0,F12-F618-F921),F12*CPR*MAX(0,MIN(4,'Loan Tape'!$AV8)-3))</f>
        <v>0</v>
      </c>
      <c r="G1224" s="99" t="n">
        <f aca="false">MIN(MAX(0,G12-G618-G921),G12*CPR*MAX(0,MIN(5,'Loan Tape'!$AV8)-4))</f>
        <v>0</v>
      </c>
      <c r="H1224" s="99" t="n">
        <f aca="false">MIN(MAX(0,H12-H618-H921),H12*CPR*MAX(0,MIN(6,'Loan Tape'!$AV8)-5))</f>
        <v>0</v>
      </c>
      <c r="I1224" s="99" t="n">
        <f aca="false">MIN(MAX(0,I12-I618-I921),I12*CPR*MAX(0,MIN(7,'Loan Tape'!$AV8)-6))</f>
        <v>0</v>
      </c>
      <c r="J1224" s="99" t="n">
        <f aca="false">MIN(MAX(0,J12-J618-J921),J12*CPR*MAX(0,MIN(8,'Loan Tape'!$AV8)-7))</f>
        <v>0</v>
      </c>
      <c r="K1224" s="99" t="n">
        <f aca="false">MIN(MAX(0,K12-K618-K921),K12*CPR*MAX(0,MIN(9,'Loan Tape'!$AV8)-8))</f>
        <v>0</v>
      </c>
      <c r="L1224" s="99" t="n">
        <f aca="false">MIN(MAX(0,L12-L618-L921),L12*CPR*MAX(0,MIN(10,'Loan Tape'!$AV8)-9))</f>
        <v>0</v>
      </c>
    </row>
    <row r="1225" customFormat="false" ht="15" hidden="false" customHeight="false" outlineLevel="0" collapsed="false">
      <c r="B1225" s="108" t="str">
        <f aca="false">'Loan Tape'!$A9</f>
        <v>L-006</v>
      </c>
      <c r="C1225" s="71" t="n">
        <f aca="false">MIN(MAX(0,C13-C619-C922),C13*CPR*MAX(0,MIN(1,'Loan Tape'!$AV9)-0))</f>
        <v>5760800</v>
      </c>
      <c r="D1225" s="71" t="n">
        <f aca="false">MIN(MAX(0,D13-D619-D922),D13*CPR*MAX(0,MIN(2,'Loan Tape'!$AV9)-1))</f>
        <v>2891008.82263962</v>
      </c>
      <c r="E1225" s="71" t="n">
        <f aca="false">MIN(MAX(0,E13-E619-E922),E13*CPR*MAX(0,MIN(3,'Loan Tape'!$AV9)-2))</f>
        <v>0</v>
      </c>
      <c r="F1225" s="71" t="n">
        <f aca="false">MIN(MAX(0,F13-F619-F922),F13*CPR*MAX(0,MIN(4,'Loan Tape'!$AV9)-3))</f>
        <v>0</v>
      </c>
      <c r="G1225" s="71" t="n">
        <f aca="false">MIN(MAX(0,G13-G619-G922),G13*CPR*MAX(0,MIN(5,'Loan Tape'!$AV9)-4))</f>
        <v>0</v>
      </c>
      <c r="H1225" s="71" t="n">
        <f aca="false">MIN(MAX(0,H13-H619-H922),H13*CPR*MAX(0,MIN(6,'Loan Tape'!$AV9)-5))</f>
        <v>0</v>
      </c>
      <c r="I1225" s="71" t="n">
        <f aca="false">MIN(MAX(0,I13-I619-I922),I13*CPR*MAX(0,MIN(7,'Loan Tape'!$AV9)-6))</f>
        <v>0</v>
      </c>
      <c r="J1225" s="71" t="n">
        <f aca="false">MIN(MAX(0,J13-J619-J922),J13*CPR*MAX(0,MIN(8,'Loan Tape'!$AV9)-7))</f>
        <v>0</v>
      </c>
      <c r="K1225" s="71" t="n">
        <f aca="false">MIN(MAX(0,K13-K619-K922),K13*CPR*MAX(0,MIN(9,'Loan Tape'!$AV9)-8))</f>
        <v>0</v>
      </c>
      <c r="L1225" s="71" t="n">
        <f aca="false">MIN(MAX(0,L13-L619-L922),L13*CPR*MAX(0,MIN(10,'Loan Tape'!$AV9)-9))</f>
        <v>0</v>
      </c>
    </row>
    <row r="1226" customFormat="false" ht="15" hidden="false" customHeight="false" outlineLevel="0" collapsed="false">
      <c r="B1226" s="102" t="str">
        <f aca="false">'Loan Tape'!$A10</f>
        <v>L-007</v>
      </c>
      <c r="C1226" s="99" t="n">
        <f aca="false">MIN(MAX(0,C14-C620-C923),C14*CPR*MAX(0,MIN(1,'Loan Tape'!$AV10)-0))</f>
        <v>452400</v>
      </c>
      <c r="D1226" s="99" t="n">
        <f aca="false">MIN(MAX(0,D14-D620-D923),D14*CPR*MAX(0,MIN(2,'Loan Tape'!$AV10)-1))</f>
        <v>398112</v>
      </c>
      <c r="E1226" s="99" t="n">
        <f aca="false">MIN(MAX(0,E14-E620-E923),E14*CPR*MAX(0,MIN(3,'Loan Tape'!$AV10)-2))</f>
        <v>350338.56</v>
      </c>
      <c r="F1226" s="99" t="n">
        <f aca="false">MIN(MAX(0,F14-F620-F923),F14*CPR*MAX(0,MIN(4,'Loan Tape'!$AV10)-3))</f>
        <v>308297.9328</v>
      </c>
      <c r="G1226" s="99" t="n">
        <f aca="false">MIN(MAX(0,G14-G620-G923),G14*CPR*MAX(0,MIN(5,'Loan Tape'!$AV10)-4))</f>
        <v>271302.180864</v>
      </c>
      <c r="H1226" s="99" t="n">
        <f aca="false">MIN(MAX(0,H14-H620-H923),H14*CPR*MAX(0,MIN(6,'Loan Tape'!$AV10)-5))</f>
        <v>0</v>
      </c>
      <c r="I1226" s="99" t="n">
        <f aca="false">MIN(MAX(0,I14-I620-I923),I14*CPR*MAX(0,MIN(7,'Loan Tape'!$AV10)-6))</f>
        <v>0</v>
      </c>
      <c r="J1226" s="99" t="n">
        <f aca="false">MIN(MAX(0,J14-J620-J923),J14*CPR*MAX(0,MIN(8,'Loan Tape'!$AV10)-7))</f>
        <v>0</v>
      </c>
      <c r="K1226" s="99" t="n">
        <f aca="false">MIN(MAX(0,K14-K620-K923),K14*CPR*MAX(0,MIN(9,'Loan Tape'!$AV10)-8))</f>
        <v>0</v>
      </c>
      <c r="L1226" s="99" t="n">
        <f aca="false">MIN(MAX(0,L14-L620-L923),L14*CPR*MAX(0,MIN(10,'Loan Tape'!$AV10)-9))</f>
        <v>0</v>
      </c>
    </row>
    <row r="1227" customFormat="false" ht="15" hidden="false" customHeight="false" outlineLevel="0" collapsed="false">
      <c r="B1227" s="108" t="str">
        <f aca="false">'Loan Tape'!$A11</f>
        <v>L-008</v>
      </c>
      <c r="C1227" s="71" t="n">
        <f aca="false">MIN(MAX(0,C15-C621-C924),C15*CPR*MAX(0,MIN(1,'Loan Tape'!$AV11)-0))</f>
        <v>4833100</v>
      </c>
      <c r="D1227" s="71" t="n">
        <f aca="false">MIN(MAX(0,D15-D621-D924),D15*CPR*MAX(0,MIN(2,'Loan Tape'!$AV11)-1))</f>
        <v>4177779.75360093</v>
      </c>
      <c r="E1227" s="71" t="n">
        <f aca="false">MIN(MAX(0,E15-E621-E924),E15*CPR*MAX(0,MIN(3,'Loan Tape'!$AV11)-2))</f>
        <v>3600224.90536721</v>
      </c>
      <c r="F1227" s="71" t="n">
        <f aca="false">MIN(MAX(0,F15-F621-F924),F15*CPR*MAX(0,MIN(4,'Loan Tape'!$AV11)-3))</f>
        <v>1289147.90220418</v>
      </c>
      <c r="G1227" s="71" t="n">
        <f aca="false">MIN(MAX(0,G15-G621-G924),G15*CPR*MAX(0,MIN(5,'Loan Tape'!$AV11)-4))</f>
        <v>0</v>
      </c>
      <c r="H1227" s="71" t="n">
        <f aca="false">MIN(MAX(0,H15-H621-H924),H15*CPR*MAX(0,MIN(6,'Loan Tape'!$AV11)-5))</f>
        <v>0</v>
      </c>
      <c r="I1227" s="71" t="n">
        <f aca="false">MIN(MAX(0,I15-I621-I924),I15*CPR*MAX(0,MIN(7,'Loan Tape'!$AV11)-6))</f>
        <v>0</v>
      </c>
      <c r="J1227" s="71" t="n">
        <f aca="false">MIN(MAX(0,J15-J621-J924),J15*CPR*MAX(0,MIN(8,'Loan Tape'!$AV11)-7))</f>
        <v>0</v>
      </c>
      <c r="K1227" s="71" t="n">
        <f aca="false">MIN(MAX(0,K15-K621-K924),K15*CPR*MAX(0,MIN(9,'Loan Tape'!$AV11)-8))</f>
        <v>0</v>
      </c>
      <c r="L1227" s="71" t="n">
        <f aca="false">MIN(MAX(0,L15-L621-L924),L15*CPR*MAX(0,MIN(10,'Loan Tape'!$AV11)-9))</f>
        <v>0</v>
      </c>
    </row>
    <row r="1228" customFormat="false" ht="15" hidden="false" customHeight="false" outlineLevel="0" collapsed="false">
      <c r="B1228" s="102" t="str">
        <f aca="false">'Loan Tape'!$A12</f>
        <v>L-009</v>
      </c>
      <c r="C1228" s="99" t="n">
        <f aca="false">MIN(MAX(0,C16-C622-C925),C16*CPR*MAX(0,MIN(1,'Loan Tape'!$AV12)-0))</f>
        <v>1641500</v>
      </c>
      <c r="D1228" s="99" t="n">
        <f aca="false">MIN(MAX(0,D16-D622-D925),D16*CPR*MAX(0,MIN(2,'Loan Tape'!$AV12)-1))</f>
        <v>1444520</v>
      </c>
      <c r="E1228" s="99" t="n">
        <f aca="false">MIN(MAX(0,E16-E622-E925),E16*CPR*MAX(0,MIN(3,'Loan Tape'!$AV12)-2))</f>
        <v>1271177.6</v>
      </c>
      <c r="F1228" s="99" t="n">
        <f aca="false">MIN(MAX(0,F16-F622-F925),F16*CPR*MAX(0,MIN(4,'Loan Tape'!$AV12)-3))</f>
        <v>1098420.11788546</v>
      </c>
      <c r="G1228" s="99" t="n">
        <f aca="false">MIN(MAX(0,G16-G622-G925),G16*CPR*MAX(0,MIN(5,'Loan Tape'!$AV12)-4))</f>
        <v>941673.644778171</v>
      </c>
      <c r="H1228" s="99" t="n">
        <f aca="false">MIN(MAX(0,H16-H622-H925),H16*CPR*MAX(0,MIN(6,'Loan Tape'!$AV12)-5))</f>
        <v>0</v>
      </c>
      <c r="I1228" s="99" t="n">
        <f aca="false">MIN(MAX(0,I16-I622-I925),I16*CPR*MAX(0,MIN(7,'Loan Tape'!$AV12)-6))</f>
        <v>0</v>
      </c>
      <c r="J1228" s="99" t="n">
        <f aca="false">MIN(MAX(0,J16-J622-J925),J16*CPR*MAX(0,MIN(8,'Loan Tape'!$AV12)-7))</f>
        <v>0</v>
      </c>
      <c r="K1228" s="99" t="n">
        <f aca="false">MIN(MAX(0,K16-K622-K925),K16*CPR*MAX(0,MIN(9,'Loan Tape'!$AV12)-8))</f>
        <v>0</v>
      </c>
      <c r="L1228" s="99" t="n">
        <f aca="false">MIN(MAX(0,L16-L622-L925),L16*CPR*MAX(0,MIN(10,'Loan Tape'!$AV12)-9))</f>
        <v>0</v>
      </c>
    </row>
    <row r="1229" customFormat="false" ht="15" hidden="false" customHeight="false" outlineLevel="0" collapsed="false">
      <c r="B1229" s="108" t="str">
        <f aca="false">'Loan Tape'!$A13</f>
        <v>L-010</v>
      </c>
      <c r="C1229" s="71" t="n">
        <f aca="false">MIN(MAX(0,C17-C623-C926),C17*CPR*MAX(0,MIN(1,'Loan Tape'!$AV13)-0))</f>
        <v>4505600</v>
      </c>
      <c r="D1229" s="71" t="n">
        <f aca="false">MIN(MAX(0,D17-D623-D926),D17*CPR*MAX(0,MIN(2,'Loan Tape'!$AV13)-1))</f>
        <v>0</v>
      </c>
      <c r="E1229" s="71" t="n">
        <f aca="false">MIN(MAX(0,E17-E623-E926),E17*CPR*MAX(0,MIN(3,'Loan Tape'!$AV13)-2))</f>
        <v>0</v>
      </c>
      <c r="F1229" s="71" t="n">
        <f aca="false">MIN(MAX(0,F17-F623-F926),F17*CPR*MAX(0,MIN(4,'Loan Tape'!$AV13)-3))</f>
        <v>0</v>
      </c>
      <c r="G1229" s="71" t="n">
        <f aca="false">MIN(MAX(0,G17-G623-G926),G17*CPR*MAX(0,MIN(5,'Loan Tape'!$AV13)-4))</f>
        <v>0</v>
      </c>
      <c r="H1229" s="71" t="n">
        <f aca="false">MIN(MAX(0,H17-H623-H926),H17*CPR*MAX(0,MIN(6,'Loan Tape'!$AV13)-5))</f>
        <v>0</v>
      </c>
      <c r="I1229" s="71" t="n">
        <f aca="false">MIN(MAX(0,I17-I623-I926),I17*CPR*MAX(0,MIN(7,'Loan Tape'!$AV13)-6))</f>
        <v>0</v>
      </c>
      <c r="J1229" s="71" t="n">
        <f aca="false">MIN(MAX(0,J17-J623-J926),J17*CPR*MAX(0,MIN(8,'Loan Tape'!$AV13)-7))</f>
        <v>0</v>
      </c>
      <c r="K1229" s="71" t="n">
        <f aca="false">MIN(MAX(0,K17-K623-K926),K17*CPR*MAX(0,MIN(9,'Loan Tape'!$AV13)-8))</f>
        <v>0</v>
      </c>
      <c r="L1229" s="71" t="n">
        <f aca="false">MIN(MAX(0,L17-L623-L926),L17*CPR*MAX(0,MIN(10,'Loan Tape'!$AV13)-9))</f>
        <v>0</v>
      </c>
    </row>
    <row r="1230" customFormat="false" ht="15" hidden="false" customHeight="false" outlineLevel="0" collapsed="false">
      <c r="B1230" s="102" t="str">
        <f aca="false">'Loan Tape'!$A14</f>
        <v>L-011</v>
      </c>
      <c r="C1230" s="99" t="n">
        <f aca="false">MIN(MAX(0,C18-C624-C927),C18*CPR*MAX(0,MIN(1,'Loan Tape'!$AV14)-0))</f>
        <v>2771000</v>
      </c>
      <c r="D1230" s="99" t="n">
        <f aca="false">MIN(MAX(0,D18-D624-D927),D18*CPR*MAX(0,MIN(2,'Loan Tape'!$AV14)-1))</f>
        <v>2398070.55468066</v>
      </c>
      <c r="E1230" s="99" t="n">
        <f aca="false">MIN(MAX(0,E18-E624-E927),E18*CPR*MAX(0,MIN(3,'Loan Tape'!$AV14)-2))</f>
        <v>2069521.34564899</v>
      </c>
      <c r="F1230" s="99" t="n">
        <f aca="false">MIN(MAX(0,F18-F624-F927),F18*CPR*MAX(0,MIN(4,'Loan Tape'!$AV14)-3))</f>
        <v>1780941.32728441</v>
      </c>
      <c r="G1230" s="99" t="n">
        <f aca="false">MIN(MAX(0,G18-G624-G927),G18*CPR*MAX(0,MIN(5,'Loan Tape'!$AV14)-4))</f>
        <v>1528798.95306066</v>
      </c>
      <c r="H1230" s="99" t="n">
        <f aca="false">MIN(MAX(0,H18-H624-H927),H18*CPR*MAX(0,MIN(6,'Loan Tape'!$AV14)-5))</f>
        <v>0</v>
      </c>
      <c r="I1230" s="99" t="n">
        <f aca="false">MIN(MAX(0,I18-I624-I927),I18*CPR*MAX(0,MIN(7,'Loan Tape'!$AV14)-6))</f>
        <v>0</v>
      </c>
      <c r="J1230" s="99" t="n">
        <f aca="false">MIN(MAX(0,J18-J624-J927),J18*CPR*MAX(0,MIN(8,'Loan Tape'!$AV14)-7))</f>
        <v>0</v>
      </c>
      <c r="K1230" s="99" t="n">
        <f aca="false">MIN(MAX(0,K18-K624-K927),K18*CPR*MAX(0,MIN(9,'Loan Tape'!$AV14)-8))</f>
        <v>0</v>
      </c>
      <c r="L1230" s="99" t="n">
        <f aca="false">MIN(MAX(0,L18-L624-L927),L18*CPR*MAX(0,MIN(10,'Loan Tape'!$AV14)-9))</f>
        <v>0</v>
      </c>
    </row>
    <row r="1231" customFormat="false" ht="15" hidden="false" customHeight="false" outlineLevel="0" collapsed="false">
      <c r="B1231" s="108" t="str">
        <f aca="false">'Loan Tape'!$A15</f>
        <v>L-012</v>
      </c>
      <c r="C1231" s="71" t="n">
        <f aca="false">MIN(MAX(0,C19-C625-C928),C19*CPR*MAX(0,MIN(1,'Loan Tape'!$AV15)-0))</f>
        <v>565400</v>
      </c>
      <c r="D1231" s="71" t="n">
        <f aca="false">MIN(MAX(0,D19-D625-D928),D19*CPR*MAX(0,MIN(2,'Loan Tape'!$AV15)-1))</f>
        <v>283064.212978853</v>
      </c>
      <c r="E1231" s="71" t="n">
        <f aca="false">MIN(MAX(0,E19-E625-E928),E19*CPR*MAX(0,MIN(3,'Loan Tape'!$AV15)-2))</f>
        <v>0</v>
      </c>
      <c r="F1231" s="71" t="n">
        <f aca="false">MIN(MAX(0,F19-F625-F928),F19*CPR*MAX(0,MIN(4,'Loan Tape'!$AV15)-3))</f>
        <v>0</v>
      </c>
      <c r="G1231" s="71" t="n">
        <f aca="false">MIN(MAX(0,G19-G625-G928),G19*CPR*MAX(0,MIN(5,'Loan Tape'!$AV15)-4))</f>
        <v>0</v>
      </c>
      <c r="H1231" s="71" t="n">
        <f aca="false">MIN(MAX(0,H19-H625-H928),H19*CPR*MAX(0,MIN(6,'Loan Tape'!$AV15)-5))</f>
        <v>0</v>
      </c>
      <c r="I1231" s="71" t="n">
        <f aca="false">MIN(MAX(0,I19-I625-I928),I19*CPR*MAX(0,MIN(7,'Loan Tape'!$AV15)-6))</f>
        <v>0</v>
      </c>
      <c r="J1231" s="71" t="n">
        <f aca="false">MIN(MAX(0,J19-J625-J928),J19*CPR*MAX(0,MIN(8,'Loan Tape'!$AV15)-7))</f>
        <v>0</v>
      </c>
      <c r="K1231" s="71" t="n">
        <f aca="false">MIN(MAX(0,K19-K625-K928),K19*CPR*MAX(0,MIN(9,'Loan Tape'!$AV15)-8))</f>
        <v>0</v>
      </c>
      <c r="L1231" s="71" t="n">
        <f aca="false">MIN(MAX(0,L19-L625-L928),L19*CPR*MAX(0,MIN(10,'Loan Tape'!$AV15)-9))</f>
        <v>0</v>
      </c>
    </row>
    <row r="1232" customFormat="false" ht="15" hidden="false" customHeight="false" outlineLevel="0" collapsed="false">
      <c r="B1232" s="102" t="str">
        <f aca="false">'Loan Tape'!$A16</f>
        <v>L-013</v>
      </c>
      <c r="C1232" s="99" t="n">
        <f aca="false">MIN(MAX(0,C20-C626-C929),C20*CPR*MAX(0,MIN(1,'Loan Tape'!$AV16)-0))</f>
        <v>8544500</v>
      </c>
      <c r="D1232" s="99" t="n">
        <f aca="false">MIN(MAX(0,D20-D626-D929),D20*CPR*MAX(0,MIN(2,'Loan Tape'!$AV16)-1))</f>
        <v>7393625.89425082</v>
      </c>
      <c r="E1232" s="99" t="n">
        <f aca="false">MIN(MAX(0,E20-E626-E929),E20*CPR*MAX(0,MIN(3,'Loan Tape'!$AV16)-2))</f>
        <v>6388924.31928005</v>
      </c>
      <c r="F1232" s="99" t="n">
        <f aca="false">MIN(MAX(0,F20-F626-F929),F20*CPR*MAX(0,MIN(4,'Loan Tape'!$AV16)-3))</f>
        <v>5512354.61351315</v>
      </c>
      <c r="G1232" s="99" t="n">
        <f aca="false">MIN(MAX(0,G20-G626-G929),G20*CPR*MAX(0,MIN(5,'Loan Tape'!$AV16)-4))</f>
        <v>3565116.72336391</v>
      </c>
      <c r="H1232" s="99" t="n">
        <f aca="false">MIN(MAX(0,H20-H626-H929),H20*CPR*MAX(0,MIN(6,'Loan Tape'!$AV16)-5))</f>
        <v>0</v>
      </c>
      <c r="I1232" s="99" t="n">
        <f aca="false">MIN(MAX(0,I20-I626-I929),I20*CPR*MAX(0,MIN(7,'Loan Tape'!$AV16)-6))</f>
        <v>0</v>
      </c>
      <c r="J1232" s="99" t="n">
        <f aca="false">MIN(MAX(0,J20-J626-J929),J20*CPR*MAX(0,MIN(8,'Loan Tape'!$AV16)-7))</f>
        <v>0</v>
      </c>
      <c r="K1232" s="99" t="n">
        <f aca="false">MIN(MAX(0,K20-K626-K929),K20*CPR*MAX(0,MIN(9,'Loan Tape'!$AV16)-8))</f>
        <v>0</v>
      </c>
      <c r="L1232" s="99" t="n">
        <f aca="false">MIN(MAX(0,L20-L626-L929),L20*CPR*MAX(0,MIN(10,'Loan Tape'!$AV16)-9))</f>
        <v>0</v>
      </c>
    </row>
    <row r="1233" customFormat="false" ht="15" hidden="false" customHeight="false" outlineLevel="0" collapsed="false">
      <c r="B1233" s="108" t="str">
        <f aca="false">'Loan Tape'!$A17</f>
        <v>L-014</v>
      </c>
      <c r="C1233" s="71" t="n">
        <f aca="false">MIN(MAX(0,C21-C627-C930),C21*CPR*MAX(0,MIN(1,'Loan Tape'!$AV17)-0))</f>
        <v>12829100</v>
      </c>
      <c r="D1233" s="71" t="n">
        <f aca="false">MIN(MAX(0,D21-D627-D930),D21*CPR*MAX(0,MIN(2,'Loan Tape'!$AV17)-1))</f>
        <v>11076981.3864162</v>
      </c>
      <c r="E1233" s="71" t="n">
        <f aca="false">MIN(MAX(0,E21-E627-E930),E21*CPR*MAX(0,MIN(3,'Loan Tape'!$AV17)-2))</f>
        <v>9533498.84513291</v>
      </c>
      <c r="F1233" s="71" t="n">
        <f aca="false">MIN(MAX(0,F21-F627-F930),F21*CPR*MAX(0,MIN(4,'Loan Tape'!$AV17)-3))</f>
        <v>8191974.01718975</v>
      </c>
      <c r="G1233" s="71" t="n">
        <f aca="false">MIN(MAX(0,G21-G627-G930),G21*CPR*MAX(0,MIN(5,'Loan Tape'!$AV17)-4))</f>
        <v>7026899.68565136</v>
      </c>
      <c r="H1233" s="71" t="n">
        <f aca="false">MIN(MAX(0,H21-H627-H930),H21*CPR*MAX(0,MIN(6,'Loan Tape'!$AV17)-5))</f>
        <v>0</v>
      </c>
      <c r="I1233" s="71" t="n">
        <f aca="false">MIN(MAX(0,I21-I627-I930),I21*CPR*MAX(0,MIN(7,'Loan Tape'!$AV17)-6))</f>
        <v>0</v>
      </c>
      <c r="J1233" s="71" t="n">
        <f aca="false">MIN(MAX(0,J21-J627-J930),J21*CPR*MAX(0,MIN(8,'Loan Tape'!$AV17)-7))</f>
        <v>0</v>
      </c>
      <c r="K1233" s="71" t="n">
        <f aca="false">MIN(MAX(0,K21-K627-K930),K21*CPR*MAX(0,MIN(9,'Loan Tape'!$AV17)-8))</f>
        <v>0</v>
      </c>
      <c r="L1233" s="71" t="n">
        <f aca="false">MIN(MAX(0,L21-L627-L930),L21*CPR*MAX(0,MIN(10,'Loan Tape'!$AV17)-9))</f>
        <v>0</v>
      </c>
    </row>
    <row r="1234" customFormat="false" ht="15" hidden="false" customHeight="false" outlineLevel="0" collapsed="false">
      <c r="B1234" s="102" t="str">
        <f aca="false">'Loan Tape'!$A18</f>
        <v>L-015</v>
      </c>
      <c r="C1234" s="99" t="n">
        <f aca="false">MIN(MAX(0,C22-C628-C931),C22*CPR*MAX(0,MIN(1,'Loan Tape'!$AV18)-0))</f>
        <v>13178600</v>
      </c>
      <c r="D1234" s="99" t="n">
        <f aca="false">MIN(MAX(0,D22-D628-D931),D22*CPR*MAX(0,MIN(2,'Loan Tape'!$AV18)-1))</f>
        <v>11597168</v>
      </c>
      <c r="E1234" s="99" t="n">
        <f aca="false">MIN(MAX(0,E22-E628-E931),E22*CPR*MAX(0,MIN(3,'Loan Tape'!$AV18)-2))</f>
        <v>10205507.84</v>
      </c>
      <c r="F1234" s="99" t="n">
        <f aca="false">MIN(MAX(0,F22-F628-F931),F22*CPR*MAX(0,MIN(4,'Loan Tape'!$AV18)-3))</f>
        <v>8980846.8992</v>
      </c>
      <c r="G1234" s="99" t="n">
        <f aca="false">MIN(MAX(0,G22-G628-G931),G22*CPR*MAX(0,MIN(5,'Loan Tape'!$AV18)-4))</f>
        <v>7903145.271296</v>
      </c>
      <c r="H1234" s="99" t="n">
        <f aca="false">MIN(MAX(0,H22-H628-H931),H22*CPR*MAX(0,MIN(6,'Loan Tape'!$AV18)-5))</f>
        <v>0</v>
      </c>
      <c r="I1234" s="99" t="n">
        <f aca="false">MIN(MAX(0,I22-I628-I931),I22*CPR*MAX(0,MIN(7,'Loan Tape'!$AV18)-6))</f>
        <v>0</v>
      </c>
      <c r="J1234" s="99" t="n">
        <f aca="false">MIN(MAX(0,J22-J628-J931),J22*CPR*MAX(0,MIN(8,'Loan Tape'!$AV18)-7))</f>
        <v>0</v>
      </c>
      <c r="K1234" s="99" t="n">
        <f aca="false">MIN(MAX(0,K22-K628-K931),K22*CPR*MAX(0,MIN(9,'Loan Tape'!$AV18)-8))</f>
        <v>0</v>
      </c>
      <c r="L1234" s="99" t="n">
        <f aca="false">MIN(MAX(0,L22-L628-L931),L22*CPR*MAX(0,MIN(10,'Loan Tape'!$AV18)-9))</f>
        <v>0</v>
      </c>
    </row>
    <row r="1235" customFormat="false" ht="15" hidden="false" customHeight="false" outlineLevel="0" collapsed="false">
      <c r="B1235" s="108" t="str">
        <f aca="false">'Loan Tape'!$A19</f>
        <v>L-016</v>
      </c>
      <c r="C1235" s="71" t="n">
        <f aca="false">MIN(MAX(0,C23-C629-C932),C23*CPR*MAX(0,MIN(1,'Loan Tape'!$AV19)-0))</f>
        <v>0</v>
      </c>
      <c r="D1235" s="71" t="n">
        <f aca="false">MIN(MAX(0,D23-D629-D932),D23*CPR*MAX(0,MIN(2,'Loan Tape'!$AV19)-1))</f>
        <v>0</v>
      </c>
      <c r="E1235" s="71" t="n">
        <f aca="false">MIN(MAX(0,E23-E629-E932),E23*CPR*MAX(0,MIN(3,'Loan Tape'!$AV19)-2))</f>
        <v>0</v>
      </c>
      <c r="F1235" s="71" t="n">
        <f aca="false">MIN(MAX(0,F23-F629-F932),F23*CPR*MAX(0,MIN(4,'Loan Tape'!$AV19)-3))</f>
        <v>0</v>
      </c>
      <c r="G1235" s="71" t="n">
        <f aca="false">MIN(MAX(0,G23-G629-G932),G23*CPR*MAX(0,MIN(5,'Loan Tape'!$AV19)-4))</f>
        <v>0</v>
      </c>
      <c r="H1235" s="71" t="n">
        <f aca="false">MIN(MAX(0,H23-H629-H932),H23*CPR*MAX(0,MIN(6,'Loan Tape'!$AV19)-5))</f>
        <v>0</v>
      </c>
      <c r="I1235" s="71" t="n">
        <f aca="false">MIN(MAX(0,I23-I629-I932),I23*CPR*MAX(0,MIN(7,'Loan Tape'!$AV19)-6))</f>
        <v>0</v>
      </c>
      <c r="J1235" s="71" t="n">
        <f aca="false">MIN(MAX(0,J23-J629-J932),J23*CPR*MAX(0,MIN(8,'Loan Tape'!$AV19)-7))</f>
        <v>0</v>
      </c>
      <c r="K1235" s="71" t="n">
        <f aca="false">MIN(MAX(0,K23-K629-K932),K23*CPR*MAX(0,MIN(9,'Loan Tape'!$AV19)-8))</f>
        <v>0</v>
      </c>
      <c r="L1235" s="71" t="n">
        <f aca="false">MIN(MAX(0,L23-L629-L932),L23*CPR*MAX(0,MIN(10,'Loan Tape'!$AV19)-9))</f>
        <v>0</v>
      </c>
    </row>
    <row r="1236" customFormat="false" ht="15" hidden="false" customHeight="false" outlineLevel="0" collapsed="false">
      <c r="B1236" s="102" t="str">
        <f aca="false">'Loan Tape'!$A20</f>
        <v>L-017</v>
      </c>
      <c r="C1236" s="99" t="n">
        <f aca="false">MIN(MAX(0,C24-C630-C933),C24*CPR*MAX(0,MIN(1,'Loan Tape'!$AV20)-0))</f>
        <v>511100</v>
      </c>
      <c r="D1236" s="99" t="n">
        <f aca="false">MIN(MAX(0,D24-D630-D933),D24*CPR*MAX(0,MIN(2,'Loan Tape'!$AV20)-1))</f>
        <v>449768</v>
      </c>
      <c r="E1236" s="99" t="n">
        <f aca="false">MIN(MAX(0,E24-E630-E933),E24*CPR*MAX(0,MIN(3,'Loan Tape'!$AV20)-2))</f>
        <v>395795.84</v>
      </c>
      <c r="F1236" s="99" t="n">
        <f aca="false">MIN(MAX(0,F24-F630-F933),F24*CPR*MAX(0,MIN(4,'Loan Tape'!$AV20)-3))</f>
        <v>348300.3392</v>
      </c>
      <c r="G1236" s="99" t="n">
        <f aca="false">MIN(MAX(0,G24-G630-G933),G24*CPR*MAX(0,MIN(5,'Loan Tape'!$AV20)-4))</f>
        <v>306504.298496</v>
      </c>
      <c r="H1236" s="99" t="n">
        <f aca="false">MIN(MAX(0,H24-H630-H933),H24*CPR*MAX(0,MIN(6,'Loan Tape'!$AV20)-5))</f>
        <v>0</v>
      </c>
      <c r="I1236" s="99" t="n">
        <f aca="false">MIN(MAX(0,I24-I630-I933),I24*CPR*MAX(0,MIN(7,'Loan Tape'!$AV20)-6))</f>
        <v>0</v>
      </c>
      <c r="J1236" s="99" t="n">
        <f aca="false">MIN(MAX(0,J24-J630-J933),J24*CPR*MAX(0,MIN(8,'Loan Tape'!$AV20)-7))</f>
        <v>0</v>
      </c>
      <c r="K1236" s="99" t="n">
        <f aca="false">MIN(MAX(0,K24-K630-K933),K24*CPR*MAX(0,MIN(9,'Loan Tape'!$AV20)-8))</f>
        <v>0</v>
      </c>
      <c r="L1236" s="99" t="n">
        <f aca="false">MIN(MAX(0,L24-L630-L933),L24*CPR*MAX(0,MIN(10,'Loan Tape'!$AV20)-9))</f>
        <v>0</v>
      </c>
    </row>
    <row r="1237" customFormat="false" ht="15" hidden="false" customHeight="false" outlineLevel="0" collapsed="false">
      <c r="B1237" s="108" t="str">
        <f aca="false">'Loan Tape'!$A21</f>
        <v>L-018</v>
      </c>
      <c r="C1237" s="71" t="n">
        <f aca="false">MIN(MAX(0,C25-C631-C934),C25*CPR*MAX(0,MIN(1,'Loan Tape'!$AV21)-0))</f>
        <v>7672800</v>
      </c>
      <c r="D1237" s="71" t="n">
        <f aca="false">MIN(MAX(0,D25-D631-D934),D25*CPR*MAX(0,MIN(2,'Loan Tape'!$AV21)-1))</f>
        <v>6628566.47868805</v>
      </c>
      <c r="E1237" s="71" t="n">
        <f aca="false">MIN(MAX(0,E25-E631-E934),E25*CPR*MAX(0,MIN(3,'Loan Tape'!$AV21)-2))</f>
        <v>5708918.10778968</v>
      </c>
      <c r="F1237" s="71" t="n">
        <f aca="false">MIN(MAX(0,F25-F631-F934),F25*CPR*MAX(0,MIN(4,'Loan Tape'!$AV21)-3))</f>
        <v>4901549.82988605</v>
      </c>
      <c r="G1237" s="71" t="n">
        <f aca="false">MIN(MAX(0,G25-G631-G934),G25*CPR*MAX(0,MIN(5,'Loan Tape'!$AV21)-4))</f>
        <v>1746418.99307293</v>
      </c>
      <c r="H1237" s="71" t="n">
        <f aca="false">MIN(MAX(0,H25-H631-H934),H25*CPR*MAX(0,MIN(6,'Loan Tape'!$AV21)-5))</f>
        <v>0</v>
      </c>
      <c r="I1237" s="71" t="n">
        <f aca="false">MIN(MAX(0,I25-I631-I934),I25*CPR*MAX(0,MIN(7,'Loan Tape'!$AV21)-6))</f>
        <v>0</v>
      </c>
      <c r="J1237" s="71" t="n">
        <f aca="false">MIN(MAX(0,J25-J631-J934),J25*CPR*MAX(0,MIN(8,'Loan Tape'!$AV21)-7))</f>
        <v>0</v>
      </c>
      <c r="K1237" s="71" t="n">
        <f aca="false">MIN(MAX(0,K25-K631-K934),K25*CPR*MAX(0,MIN(9,'Loan Tape'!$AV21)-8))</f>
        <v>0</v>
      </c>
      <c r="L1237" s="71" t="n">
        <f aca="false">MIN(MAX(0,L25-L631-L934),L25*CPR*MAX(0,MIN(10,'Loan Tape'!$AV21)-9))</f>
        <v>0</v>
      </c>
    </row>
    <row r="1238" customFormat="false" ht="15" hidden="false" customHeight="false" outlineLevel="0" collapsed="false">
      <c r="B1238" s="102" t="str">
        <f aca="false">'Loan Tape'!$A22</f>
        <v>L-019</v>
      </c>
      <c r="C1238" s="99" t="n">
        <f aca="false">MIN(MAX(0,C26-C632-C935),C26*CPR*MAX(0,MIN(1,'Loan Tape'!$AV22)-0))</f>
        <v>822200</v>
      </c>
      <c r="D1238" s="99" t="n">
        <f aca="false">MIN(MAX(0,D26-D632-D935),D26*CPR*MAX(0,MIN(2,'Loan Tape'!$AV22)-1))</f>
        <v>0</v>
      </c>
      <c r="E1238" s="99" t="n">
        <f aca="false">MIN(MAX(0,E26-E632-E935),E26*CPR*MAX(0,MIN(3,'Loan Tape'!$AV22)-2))</f>
        <v>0</v>
      </c>
      <c r="F1238" s="99" t="n">
        <f aca="false">MIN(MAX(0,F26-F632-F935),F26*CPR*MAX(0,MIN(4,'Loan Tape'!$AV22)-3))</f>
        <v>0</v>
      </c>
      <c r="G1238" s="99" t="n">
        <f aca="false">MIN(MAX(0,G26-G632-G935),G26*CPR*MAX(0,MIN(5,'Loan Tape'!$AV22)-4))</f>
        <v>0</v>
      </c>
      <c r="H1238" s="99" t="n">
        <f aca="false">MIN(MAX(0,H26-H632-H935),H26*CPR*MAX(0,MIN(6,'Loan Tape'!$AV22)-5))</f>
        <v>0</v>
      </c>
      <c r="I1238" s="99" t="n">
        <f aca="false">MIN(MAX(0,I26-I632-I935),I26*CPR*MAX(0,MIN(7,'Loan Tape'!$AV22)-6))</f>
        <v>0</v>
      </c>
      <c r="J1238" s="99" t="n">
        <f aca="false">MIN(MAX(0,J26-J632-J935),J26*CPR*MAX(0,MIN(8,'Loan Tape'!$AV22)-7))</f>
        <v>0</v>
      </c>
      <c r="K1238" s="99" t="n">
        <f aca="false">MIN(MAX(0,K26-K632-K935),K26*CPR*MAX(0,MIN(9,'Loan Tape'!$AV22)-8))</f>
        <v>0</v>
      </c>
      <c r="L1238" s="99" t="n">
        <f aca="false">MIN(MAX(0,L26-L632-L935),L26*CPR*MAX(0,MIN(10,'Loan Tape'!$AV22)-9))</f>
        <v>0</v>
      </c>
    </row>
    <row r="1239" customFormat="false" ht="15" hidden="false" customHeight="false" outlineLevel="0" collapsed="false">
      <c r="B1239" s="108" t="str">
        <f aca="false">'Loan Tape'!$A23</f>
        <v>L-020</v>
      </c>
      <c r="C1239" s="71" t="n">
        <f aca="false">MIN(MAX(0,C27-C633-C936),C27*CPR*MAX(0,MIN(1,'Loan Tape'!$AV23)-0))</f>
        <v>6910900</v>
      </c>
      <c r="D1239" s="71" t="n">
        <f aca="false">MIN(MAX(0,D27-D633-D936),D27*CPR*MAX(0,MIN(2,'Loan Tape'!$AV23)-1))</f>
        <v>6081592</v>
      </c>
      <c r="E1239" s="71" t="n">
        <f aca="false">MIN(MAX(0,E27-E633-E936),E27*CPR*MAX(0,MIN(3,'Loan Tape'!$AV23)-2))</f>
        <v>5351800.96</v>
      </c>
      <c r="F1239" s="71" t="n">
        <f aca="false">MIN(MAX(0,F27-F633-F936),F27*CPR*MAX(0,MIN(4,'Loan Tape'!$AV23)-3))</f>
        <v>4709584.8448</v>
      </c>
      <c r="G1239" s="71" t="n">
        <f aca="false">MIN(MAX(0,G27-G633-G936),G27*CPR*MAX(0,MIN(5,'Loan Tape'!$AV23)-4))</f>
        <v>4144434.663424</v>
      </c>
      <c r="H1239" s="71" t="n">
        <f aca="false">MIN(MAX(0,H27-H633-H936),H27*CPR*MAX(0,MIN(6,'Loan Tape'!$AV23)-5))</f>
        <v>0</v>
      </c>
      <c r="I1239" s="71" t="n">
        <f aca="false">MIN(MAX(0,I27-I633-I936),I27*CPR*MAX(0,MIN(7,'Loan Tape'!$AV23)-6))</f>
        <v>0</v>
      </c>
      <c r="J1239" s="71" t="n">
        <f aca="false">MIN(MAX(0,J27-J633-J936),J27*CPR*MAX(0,MIN(8,'Loan Tape'!$AV23)-7))</f>
        <v>0</v>
      </c>
      <c r="K1239" s="71" t="n">
        <f aca="false">MIN(MAX(0,K27-K633-K936),K27*CPR*MAX(0,MIN(9,'Loan Tape'!$AV23)-8))</f>
        <v>0</v>
      </c>
      <c r="L1239" s="71" t="n">
        <f aca="false">MIN(MAX(0,L27-L633-L936),L27*CPR*MAX(0,MIN(10,'Loan Tape'!$AV23)-9))</f>
        <v>0</v>
      </c>
    </row>
    <row r="1240" customFormat="false" ht="15" hidden="false" customHeight="false" outlineLevel="0" collapsed="false">
      <c r="B1240" s="102" t="str">
        <f aca="false">'Loan Tape'!$A24</f>
        <v>L-021</v>
      </c>
      <c r="C1240" s="99" t="n">
        <f aca="false">MIN(MAX(0,C28-C634-C937),C28*CPR*MAX(0,MIN(1,'Loan Tape'!$AV24)-0))</f>
        <v>3674800</v>
      </c>
      <c r="D1240" s="99" t="n">
        <f aca="false">MIN(MAX(0,D28-D634-D937),D28*CPR*MAX(0,MIN(2,'Loan Tape'!$AV24)-1))</f>
        <v>3185264.46809391</v>
      </c>
      <c r="E1240" s="99" t="n">
        <f aca="false">MIN(MAX(0,E28-E634-E937),E28*CPR*MAX(0,MIN(3,'Loan Tape'!$AV24)-2))</f>
        <v>2753717.07075554</v>
      </c>
      <c r="F1240" s="99" t="n">
        <f aca="false">MIN(MAX(0,F28-F634-F937),F28*CPR*MAX(0,MIN(4,'Loan Tape'!$AV24)-3))</f>
        <v>807692.20200352</v>
      </c>
      <c r="G1240" s="99" t="n">
        <f aca="false">MIN(MAX(0,G28-G634-G937),G28*CPR*MAX(0,MIN(5,'Loan Tape'!$AV24)-4))</f>
        <v>0</v>
      </c>
      <c r="H1240" s="99" t="n">
        <f aca="false">MIN(MAX(0,H28-H634-H937),H28*CPR*MAX(0,MIN(6,'Loan Tape'!$AV24)-5))</f>
        <v>0</v>
      </c>
      <c r="I1240" s="99" t="n">
        <f aca="false">MIN(MAX(0,I28-I634-I937),I28*CPR*MAX(0,MIN(7,'Loan Tape'!$AV24)-6))</f>
        <v>0</v>
      </c>
      <c r="J1240" s="99" t="n">
        <f aca="false">MIN(MAX(0,J28-J634-J937),J28*CPR*MAX(0,MIN(8,'Loan Tape'!$AV24)-7))</f>
        <v>0</v>
      </c>
      <c r="K1240" s="99" t="n">
        <f aca="false">MIN(MAX(0,K28-K634-K937),K28*CPR*MAX(0,MIN(9,'Loan Tape'!$AV24)-8))</f>
        <v>0</v>
      </c>
      <c r="L1240" s="99" t="n">
        <f aca="false">MIN(MAX(0,L28-L634-L937),L28*CPR*MAX(0,MIN(10,'Loan Tape'!$AV24)-9))</f>
        <v>0</v>
      </c>
    </row>
    <row r="1241" customFormat="false" ht="15" hidden="false" customHeight="false" outlineLevel="0" collapsed="false">
      <c r="B1241" s="108" t="str">
        <f aca="false">'Loan Tape'!$A25</f>
        <v>L-022</v>
      </c>
      <c r="C1241" s="71" t="n">
        <f aca="false">MIN(MAX(0,C29-C635-C938),C29*CPR*MAX(0,MIN(1,'Loan Tape'!$AV25)-0))</f>
        <v>702600</v>
      </c>
      <c r="D1241" s="71" t="n">
        <f aca="false">MIN(MAX(0,D29-D635-D938),D29*CPR*MAX(0,MIN(2,'Loan Tape'!$AV25)-1))</f>
        <v>501957.17842043</v>
      </c>
      <c r="E1241" s="71" t="n">
        <f aca="false">MIN(MAX(0,E29-E635-E938),E29*CPR*MAX(0,MIN(3,'Loan Tape'!$AV25)-2))</f>
        <v>0</v>
      </c>
      <c r="F1241" s="71" t="n">
        <f aca="false">MIN(MAX(0,F29-F635-F938),F29*CPR*MAX(0,MIN(4,'Loan Tape'!$AV25)-3))</f>
        <v>0</v>
      </c>
      <c r="G1241" s="71" t="n">
        <f aca="false">MIN(MAX(0,G29-G635-G938),G29*CPR*MAX(0,MIN(5,'Loan Tape'!$AV25)-4))</f>
        <v>0</v>
      </c>
      <c r="H1241" s="71" t="n">
        <f aca="false">MIN(MAX(0,H29-H635-H938),H29*CPR*MAX(0,MIN(6,'Loan Tape'!$AV25)-5))</f>
        <v>0</v>
      </c>
      <c r="I1241" s="71" t="n">
        <f aca="false">MIN(MAX(0,I29-I635-I938),I29*CPR*MAX(0,MIN(7,'Loan Tape'!$AV25)-6))</f>
        <v>0</v>
      </c>
      <c r="J1241" s="71" t="n">
        <f aca="false">MIN(MAX(0,J29-J635-J938),J29*CPR*MAX(0,MIN(8,'Loan Tape'!$AV25)-7))</f>
        <v>0</v>
      </c>
      <c r="K1241" s="71" t="n">
        <f aca="false">MIN(MAX(0,K29-K635-K938),K29*CPR*MAX(0,MIN(9,'Loan Tape'!$AV25)-8))</f>
        <v>0</v>
      </c>
      <c r="L1241" s="71" t="n">
        <f aca="false">MIN(MAX(0,L29-L635-L938),L29*CPR*MAX(0,MIN(10,'Loan Tape'!$AV25)-9))</f>
        <v>0</v>
      </c>
    </row>
    <row r="1242" customFormat="false" ht="15" hidden="false" customHeight="false" outlineLevel="0" collapsed="false">
      <c r="B1242" s="102" t="str">
        <f aca="false">'Loan Tape'!$A26</f>
        <v>L-023</v>
      </c>
      <c r="C1242" s="99" t="n">
        <f aca="false">MIN(MAX(0,C30-C636-C939),C30*CPR*MAX(0,MIN(1,'Loan Tape'!$AV26)-0))</f>
        <v>0</v>
      </c>
      <c r="D1242" s="99" t="n">
        <f aca="false">MIN(MAX(0,D30-D636-D939),D30*CPR*MAX(0,MIN(2,'Loan Tape'!$AV26)-1))</f>
        <v>0</v>
      </c>
      <c r="E1242" s="99" t="n">
        <f aca="false">MIN(MAX(0,E30-E636-E939),E30*CPR*MAX(0,MIN(3,'Loan Tape'!$AV26)-2))</f>
        <v>0</v>
      </c>
      <c r="F1242" s="99" t="n">
        <f aca="false">MIN(MAX(0,F30-F636-F939),F30*CPR*MAX(0,MIN(4,'Loan Tape'!$AV26)-3))</f>
        <v>0</v>
      </c>
      <c r="G1242" s="99" t="n">
        <f aca="false">MIN(MAX(0,G30-G636-G939),G30*CPR*MAX(0,MIN(5,'Loan Tape'!$AV26)-4))</f>
        <v>0</v>
      </c>
      <c r="H1242" s="99" t="n">
        <f aca="false">MIN(MAX(0,H30-H636-H939),H30*CPR*MAX(0,MIN(6,'Loan Tape'!$AV26)-5))</f>
        <v>0</v>
      </c>
      <c r="I1242" s="99" t="n">
        <f aca="false">MIN(MAX(0,I30-I636-I939),I30*CPR*MAX(0,MIN(7,'Loan Tape'!$AV26)-6))</f>
        <v>0</v>
      </c>
      <c r="J1242" s="99" t="n">
        <f aca="false">MIN(MAX(0,J30-J636-J939),J30*CPR*MAX(0,MIN(8,'Loan Tape'!$AV26)-7))</f>
        <v>0</v>
      </c>
      <c r="K1242" s="99" t="n">
        <f aca="false">MIN(MAX(0,K30-K636-K939),K30*CPR*MAX(0,MIN(9,'Loan Tape'!$AV26)-8))</f>
        <v>0</v>
      </c>
      <c r="L1242" s="99" t="n">
        <f aca="false">MIN(MAX(0,L30-L636-L939),L30*CPR*MAX(0,MIN(10,'Loan Tape'!$AV26)-9))</f>
        <v>0</v>
      </c>
    </row>
    <row r="1243" customFormat="false" ht="15" hidden="false" customHeight="false" outlineLevel="0" collapsed="false">
      <c r="B1243" s="108" t="str">
        <f aca="false">'Loan Tape'!$A27</f>
        <v>L-024</v>
      </c>
      <c r="C1243" s="71" t="n">
        <f aca="false">MIN(MAX(0,C31-C637-C940),C31*CPR*MAX(0,MIN(1,'Loan Tape'!$AV27)-0))</f>
        <v>1763300</v>
      </c>
      <c r="D1243" s="71" t="n">
        <f aca="false">MIN(MAX(0,D31-D637-D940),D31*CPR*MAX(0,MIN(2,'Loan Tape'!$AV27)-1))</f>
        <v>1551704</v>
      </c>
      <c r="E1243" s="71" t="n">
        <f aca="false">MIN(MAX(0,E31-E637-E940),E31*CPR*MAX(0,MIN(3,'Loan Tape'!$AV27)-2))</f>
        <v>1365499.52</v>
      </c>
      <c r="F1243" s="71" t="n">
        <f aca="false">MIN(MAX(0,F31-F637-F940),F31*CPR*MAX(0,MIN(4,'Loan Tape'!$AV27)-3))</f>
        <v>1106232.19156194</v>
      </c>
      <c r="G1243" s="71" t="n">
        <f aca="false">MIN(MAX(0,G31-G637-G940),G31*CPR*MAX(0,MIN(5,'Loan Tape'!$AV27)-4))</f>
        <v>0</v>
      </c>
      <c r="H1243" s="71" t="n">
        <f aca="false">MIN(MAX(0,H31-H637-H940),H31*CPR*MAX(0,MIN(6,'Loan Tape'!$AV27)-5))</f>
        <v>0</v>
      </c>
      <c r="I1243" s="71" t="n">
        <f aca="false">MIN(MAX(0,I31-I637-I940),I31*CPR*MAX(0,MIN(7,'Loan Tape'!$AV27)-6))</f>
        <v>0</v>
      </c>
      <c r="J1243" s="71" t="n">
        <f aca="false">MIN(MAX(0,J31-J637-J940),J31*CPR*MAX(0,MIN(8,'Loan Tape'!$AV27)-7))</f>
        <v>0</v>
      </c>
      <c r="K1243" s="71" t="n">
        <f aca="false">MIN(MAX(0,K31-K637-K940),K31*CPR*MAX(0,MIN(9,'Loan Tape'!$AV27)-8))</f>
        <v>0</v>
      </c>
      <c r="L1243" s="71" t="n">
        <f aca="false">MIN(MAX(0,L31-L637-L940),L31*CPR*MAX(0,MIN(10,'Loan Tape'!$AV27)-9))</f>
        <v>0</v>
      </c>
    </row>
    <row r="1244" customFormat="false" ht="15" hidden="false" customHeight="false" outlineLevel="0" collapsed="false">
      <c r="B1244" s="102" t="str">
        <f aca="false">'Loan Tape'!$A28</f>
        <v>L-025</v>
      </c>
      <c r="C1244" s="99" t="n">
        <f aca="false">MIN(MAX(0,C32-C638-C941),C32*CPR*MAX(0,MIN(1,'Loan Tape'!$AV28)-0))</f>
        <v>1477300</v>
      </c>
      <c r="D1244" s="99" t="n">
        <f aca="false">MIN(MAX(0,D32-D638-D941),D32*CPR*MAX(0,MIN(2,'Loan Tape'!$AV28)-1))</f>
        <v>1272685.52755478</v>
      </c>
      <c r="E1244" s="99" t="n">
        <f aca="false">MIN(MAX(0,E32-E638-E941),E32*CPR*MAX(0,MIN(3,'Loan Tape'!$AV28)-2))</f>
        <v>1094705.07362368</v>
      </c>
      <c r="F1244" s="99" t="n">
        <f aca="false">MIN(MAX(0,F32-F638-F941),F32*CPR*MAX(0,MIN(4,'Loan Tape'!$AV28)-3))</f>
        <v>239988.533454962</v>
      </c>
      <c r="G1244" s="99" t="n">
        <f aca="false">MIN(MAX(0,G32-G638-G941),G32*CPR*MAX(0,MIN(5,'Loan Tape'!$AV28)-4))</f>
        <v>0</v>
      </c>
      <c r="H1244" s="99" t="n">
        <f aca="false">MIN(MAX(0,H32-H638-H941),H32*CPR*MAX(0,MIN(6,'Loan Tape'!$AV28)-5))</f>
        <v>0</v>
      </c>
      <c r="I1244" s="99" t="n">
        <f aca="false">MIN(MAX(0,I32-I638-I941),I32*CPR*MAX(0,MIN(7,'Loan Tape'!$AV28)-6))</f>
        <v>0</v>
      </c>
      <c r="J1244" s="99" t="n">
        <f aca="false">MIN(MAX(0,J32-J638-J941),J32*CPR*MAX(0,MIN(8,'Loan Tape'!$AV28)-7))</f>
        <v>0</v>
      </c>
      <c r="K1244" s="99" t="n">
        <f aca="false">MIN(MAX(0,K32-K638-K941),K32*CPR*MAX(0,MIN(9,'Loan Tape'!$AV28)-8))</f>
        <v>0</v>
      </c>
      <c r="L1244" s="99" t="n">
        <f aca="false">MIN(MAX(0,L32-L638-L941),L32*CPR*MAX(0,MIN(10,'Loan Tape'!$AV28)-9))</f>
        <v>0</v>
      </c>
    </row>
    <row r="1245" customFormat="false" ht="15" hidden="false" customHeight="false" outlineLevel="0" collapsed="false">
      <c r="B1245" s="108" t="str">
        <f aca="false">'Loan Tape'!$A29</f>
        <v>L-026</v>
      </c>
      <c r="C1245" s="71" t="n">
        <f aca="false">MIN(MAX(0,C33-C639-C942),C33*CPR*MAX(0,MIN(1,'Loan Tape'!$AV29)-0))</f>
        <v>8989700</v>
      </c>
      <c r="D1245" s="71" t="n">
        <f aca="false">MIN(MAX(0,D33-D639-D942),D33*CPR*MAX(0,MIN(2,'Loan Tape'!$AV29)-1))</f>
        <v>0</v>
      </c>
      <c r="E1245" s="71" t="n">
        <f aca="false">MIN(MAX(0,E33-E639-E942),E33*CPR*MAX(0,MIN(3,'Loan Tape'!$AV29)-2))</f>
        <v>0</v>
      </c>
      <c r="F1245" s="71" t="n">
        <f aca="false">MIN(MAX(0,F33-F639-F942),F33*CPR*MAX(0,MIN(4,'Loan Tape'!$AV29)-3))</f>
        <v>0</v>
      </c>
      <c r="G1245" s="71" t="n">
        <f aca="false">MIN(MAX(0,G33-G639-G942),G33*CPR*MAX(0,MIN(5,'Loan Tape'!$AV29)-4))</f>
        <v>0</v>
      </c>
      <c r="H1245" s="71" t="n">
        <f aca="false">MIN(MAX(0,H33-H639-H942),H33*CPR*MAX(0,MIN(6,'Loan Tape'!$AV29)-5))</f>
        <v>0</v>
      </c>
      <c r="I1245" s="71" t="n">
        <f aca="false">MIN(MAX(0,I33-I639-I942),I33*CPR*MAX(0,MIN(7,'Loan Tape'!$AV29)-6))</f>
        <v>0</v>
      </c>
      <c r="J1245" s="71" t="n">
        <f aca="false">MIN(MAX(0,J33-J639-J942),J33*CPR*MAX(0,MIN(8,'Loan Tape'!$AV29)-7))</f>
        <v>0</v>
      </c>
      <c r="K1245" s="71" t="n">
        <f aca="false">MIN(MAX(0,K33-K639-K942),K33*CPR*MAX(0,MIN(9,'Loan Tape'!$AV29)-8))</f>
        <v>0</v>
      </c>
      <c r="L1245" s="71" t="n">
        <f aca="false">MIN(MAX(0,L33-L639-L942),L33*CPR*MAX(0,MIN(10,'Loan Tape'!$AV29)-9))</f>
        <v>0</v>
      </c>
    </row>
    <row r="1246" customFormat="false" ht="15" hidden="false" customHeight="false" outlineLevel="0" collapsed="false">
      <c r="B1246" s="102" t="str">
        <f aca="false">'Loan Tape'!$A30</f>
        <v>L-027</v>
      </c>
      <c r="C1246" s="99" t="n">
        <f aca="false">MIN(MAX(0,C34-C640-C943),C34*CPR*MAX(0,MIN(1,'Loan Tape'!$AV30)-0))</f>
        <v>8848100</v>
      </c>
      <c r="D1246" s="99" t="n">
        <f aca="false">MIN(MAX(0,D34-D640-D943),D34*CPR*MAX(0,MIN(2,'Loan Tape'!$AV30)-1))</f>
        <v>7786328</v>
      </c>
      <c r="E1246" s="99" t="n">
        <f aca="false">MIN(MAX(0,E34-E640-E943),E34*CPR*MAX(0,MIN(3,'Loan Tape'!$AV30)-2))</f>
        <v>6851968.64</v>
      </c>
      <c r="F1246" s="99" t="n">
        <f aca="false">MIN(MAX(0,F34-F640-F943),F34*CPR*MAX(0,MIN(4,'Loan Tape'!$AV30)-3))</f>
        <v>3025184.01885394</v>
      </c>
      <c r="G1246" s="99" t="n">
        <f aca="false">MIN(MAX(0,G34-G640-G943),G34*CPR*MAX(0,MIN(5,'Loan Tape'!$AV30)-4))</f>
        <v>0</v>
      </c>
      <c r="H1246" s="99" t="n">
        <f aca="false">MIN(MAX(0,H34-H640-H943),H34*CPR*MAX(0,MIN(6,'Loan Tape'!$AV30)-5))</f>
        <v>0</v>
      </c>
      <c r="I1246" s="99" t="n">
        <f aca="false">MIN(MAX(0,I34-I640-I943),I34*CPR*MAX(0,MIN(7,'Loan Tape'!$AV30)-6))</f>
        <v>0</v>
      </c>
      <c r="J1246" s="99" t="n">
        <f aca="false">MIN(MAX(0,J34-J640-J943),J34*CPR*MAX(0,MIN(8,'Loan Tape'!$AV30)-7))</f>
        <v>0</v>
      </c>
      <c r="K1246" s="99" t="n">
        <f aca="false">MIN(MAX(0,K34-K640-K943),K34*CPR*MAX(0,MIN(9,'Loan Tape'!$AV30)-8))</f>
        <v>0</v>
      </c>
      <c r="L1246" s="99" t="n">
        <f aca="false">MIN(MAX(0,L34-L640-L943),L34*CPR*MAX(0,MIN(10,'Loan Tape'!$AV30)-9))</f>
        <v>0</v>
      </c>
    </row>
    <row r="1247" customFormat="false" ht="15" hidden="false" customHeight="false" outlineLevel="0" collapsed="false">
      <c r="B1247" s="108" t="str">
        <f aca="false">'Loan Tape'!$A31</f>
        <v>L-028</v>
      </c>
      <c r="C1247" s="71" t="n">
        <f aca="false">MIN(MAX(0,C35-C641-C944),C35*CPR*MAX(0,MIN(1,'Loan Tape'!$AV31)-0))</f>
        <v>0</v>
      </c>
      <c r="D1247" s="71" t="n">
        <f aca="false">MIN(MAX(0,D35-D641-D944),D35*CPR*MAX(0,MIN(2,'Loan Tape'!$AV31)-1))</f>
        <v>0</v>
      </c>
      <c r="E1247" s="71" t="n">
        <f aca="false">MIN(MAX(0,E35-E641-E944),E35*CPR*MAX(0,MIN(3,'Loan Tape'!$AV31)-2))</f>
        <v>0</v>
      </c>
      <c r="F1247" s="71" t="n">
        <f aca="false">MIN(MAX(0,F35-F641-F944),F35*CPR*MAX(0,MIN(4,'Loan Tape'!$AV31)-3))</f>
        <v>0</v>
      </c>
      <c r="G1247" s="71" t="n">
        <f aca="false">MIN(MAX(0,G35-G641-G944),G35*CPR*MAX(0,MIN(5,'Loan Tape'!$AV31)-4))</f>
        <v>0</v>
      </c>
      <c r="H1247" s="71" t="n">
        <f aca="false">MIN(MAX(0,H35-H641-H944),H35*CPR*MAX(0,MIN(6,'Loan Tape'!$AV31)-5))</f>
        <v>0</v>
      </c>
      <c r="I1247" s="71" t="n">
        <f aca="false">MIN(MAX(0,I35-I641-I944),I35*CPR*MAX(0,MIN(7,'Loan Tape'!$AV31)-6))</f>
        <v>0</v>
      </c>
      <c r="J1247" s="71" t="n">
        <f aca="false">MIN(MAX(0,J35-J641-J944),J35*CPR*MAX(0,MIN(8,'Loan Tape'!$AV31)-7))</f>
        <v>0</v>
      </c>
      <c r="K1247" s="71" t="n">
        <f aca="false">MIN(MAX(0,K35-K641-K944),K35*CPR*MAX(0,MIN(9,'Loan Tape'!$AV31)-8))</f>
        <v>0</v>
      </c>
      <c r="L1247" s="71" t="n">
        <f aca="false">MIN(MAX(0,L35-L641-L944),L35*CPR*MAX(0,MIN(10,'Loan Tape'!$AV31)-9))</f>
        <v>0</v>
      </c>
    </row>
    <row r="1248" customFormat="false" ht="15" hidden="false" customHeight="false" outlineLevel="0" collapsed="false">
      <c r="B1248" s="102" t="str">
        <f aca="false">'Loan Tape'!$A32</f>
        <v>L-029</v>
      </c>
      <c r="C1248" s="99" t="n">
        <f aca="false">MIN(MAX(0,C36-C642-C945),C36*CPR*MAX(0,MIN(1,'Loan Tape'!$AV32)-0))</f>
        <v>0</v>
      </c>
      <c r="D1248" s="99" t="n">
        <f aca="false">MIN(MAX(0,D36-D642-D945),D36*CPR*MAX(0,MIN(2,'Loan Tape'!$AV32)-1))</f>
        <v>0</v>
      </c>
      <c r="E1248" s="99" t="n">
        <f aca="false">MIN(MAX(0,E36-E642-E945),E36*CPR*MAX(0,MIN(3,'Loan Tape'!$AV32)-2))</f>
        <v>0</v>
      </c>
      <c r="F1248" s="99" t="n">
        <f aca="false">MIN(MAX(0,F36-F642-F945),F36*CPR*MAX(0,MIN(4,'Loan Tape'!$AV32)-3))</f>
        <v>0</v>
      </c>
      <c r="G1248" s="99" t="n">
        <f aca="false">MIN(MAX(0,G36-G642-G945),G36*CPR*MAX(0,MIN(5,'Loan Tape'!$AV32)-4))</f>
        <v>0</v>
      </c>
      <c r="H1248" s="99" t="n">
        <f aca="false">MIN(MAX(0,H36-H642-H945),H36*CPR*MAX(0,MIN(6,'Loan Tape'!$AV32)-5))</f>
        <v>0</v>
      </c>
      <c r="I1248" s="99" t="n">
        <f aca="false">MIN(MAX(0,I36-I642-I945),I36*CPR*MAX(0,MIN(7,'Loan Tape'!$AV32)-6))</f>
        <v>0</v>
      </c>
      <c r="J1248" s="99" t="n">
        <f aca="false">MIN(MAX(0,J36-J642-J945),J36*CPR*MAX(0,MIN(8,'Loan Tape'!$AV32)-7))</f>
        <v>0</v>
      </c>
      <c r="K1248" s="99" t="n">
        <f aca="false">MIN(MAX(0,K36-K642-K945),K36*CPR*MAX(0,MIN(9,'Loan Tape'!$AV32)-8))</f>
        <v>0</v>
      </c>
      <c r="L1248" s="99" t="n">
        <f aca="false">MIN(MAX(0,L36-L642-L945),L36*CPR*MAX(0,MIN(10,'Loan Tape'!$AV32)-9))</f>
        <v>0</v>
      </c>
    </row>
    <row r="1249" customFormat="false" ht="15" hidden="false" customHeight="false" outlineLevel="0" collapsed="false">
      <c r="B1249" s="108" t="str">
        <f aca="false">'Loan Tape'!$A33</f>
        <v>L-030</v>
      </c>
      <c r="C1249" s="71" t="n">
        <f aca="false">MIN(MAX(0,C37-C643-C946),C37*CPR*MAX(0,MIN(1,'Loan Tape'!$AV33)-0))</f>
        <v>1419600</v>
      </c>
      <c r="D1249" s="71" t="n">
        <f aca="false">MIN(MAX(0,D37-D643-D946),D37*CPR*MAX(0,MIN(2,'Loan Tape'!$AV33)-1))</f>
        <v>1228432.50668399</v>
      </c>
      <c r="E1249" s="71" t="n">
        <f aca="false">MIN(MAX(0,E37-E643-E946),E37*CPR*MAX(0,MIN(3,'Loan Tape'!$AV33)-2))</f>
        <v>1060235.62923256</v>
      </c>
      <c r="F1249" s="71" t="n">
        <f aca="false">MIN(MAX(0,F37-F643-F946),F37*CPR*MAX(0,MIN(4,'Loan Tape'!$AV33)-3))</f>
        <v>912371.522885641</v>
      </c>
      <c r="G1249" s="71" t="n">
        <f aca="false">MIN(MAX(0,G37-G643-G946),G37*CPR*MAX(0,MIN(5,'Loan Tape'!$AV33)-4))</f>
        <v>265829.856336898</v>
      </c>
      <c r="H1249" s="71" t="n">
        <f aca="false">MIN(MAX(0,H37-H643-H946),H37*CPR*MAX(0,MIN(6,'Loan Tape'!$AV33)-5))</f>
        <v>0</v>
      </c>
      <c r="I1249" s="71" t="n">
        <f aca="false">MIN(MAX(0,I37-I643-I946),I37*CPR*MAX(0,MIN(7,'Loan Tape'!$AV33)-6))</f>
        <v>0</v>
      </c>
      <c r="J1249" s="71" t="n">
        <f aca="false">MIN(MAX(0,J37-J643-J946),J37*CPR*MAX(0,MIN(8,'Loan Tape'!$AV33)-7))</f>
        <v>0</v>
      </c>
      <c r="K1249" s="71" t="n">
        <f aca="false">MIN(MAX(0,K37-K643-K946),K37*CPR*MAX(0,MIN(9,'Loan Tape'!$AV33)-8))</f>
        <v>0</v>
      </c>
      <c r="L1249" s="71" t="n">
        <f aca="false">MIN(MAX(0,L37-L643-L946),L37*CPR*MAX(0,MIN(10,'Loan Tape'!$AV33)-9))</f>
        <v>0</v>
      </c>
    </row>
    <row r="1250" customFormat="false" ht="15" hidden="false" customHeight="false" outlineLevel="0" collapsed="false">
      <c r="B1250" s="102" t="str">
        <f aca="false">'Loan Tape'!$A34</f>
        <v>L-031</v>
      </c>
      <c r="C1250" s="99" t="n">
        <f aca="false">MIN(MAX(0,C38-C644-C947),C38*CPR*MAX(0,MIN(1,'Loan Tape'!$AV34)-0))</f>
        <v>1164900</v>
      </c>
      <c r="D1250" s="99" t="n">
        <f aca="false">MIN(MAX(0,D38-D644-D947),D38*CPR*MAX(0,MIN(2,'Loan Tape'!$AV34)-1))</f>
        <v>260312.492813142</v>
      </c>
      <c r="E1250" s="99" t="n">
        <f aca="false">MIN(MAX(0,E38-E644-E947),E38*CPR*MAX(0,MIN(3,'Loan Tape'!$AV34)-2))</f>
        <v>0</v>
      </c>
      <c r="F1250" s="99" t="n">
        <f aca="false">MIN(MAX(0,F38-F644-F947),F38*CPR*MAX(0,MIN(4,'Loan Tape'!$AV34)-3))</f>
        <v>0</v>
      </c>
      <c r="G1250" s="99" t="n">
        <f aca="false">MIN(MAX(0,G38-G644-G947),G38*CPR*MAX(0,MIN(5,'Loan Tape'!$AV34)-4))</f>
        <v>0</v>
      </c>
      <c r="H1250" s="99" t="n">
        <f aca="false">MIN(MAX(0,H38-H644-H947),H38*CPR*MAX(0,MIN(6,'Loan Tape'!$AV34)-5))</f>
        <v>0</v>
      </c>
      <c r="I1250" s="99" t="n">
        <f aca="false">MIN(MAX(0,I38-I644-I947),I38*CPR*MAX(0,MIN(7,'Loan Tape'!$AV34)-6))</f>
        <v>0</v>
      </c>
      <c r="J1250" s="99" t="n">
        <f aca="false">MIN(MAX(0,J38-J644-J947),J38*CPR*MAX(0,MIN(8,'Loan Tape'!$AV34)-7))</f>
        <v>0</v>
      </c>
      <c r="K1250" s="99" t="n">
        <f aca="false">MIN(MAX(0,K38-K644-K947),K38*CPR*MAX(0,MIN(9,'Loan Tape'!$AV34)-8))</f>
        <v>0</v>
      </c>
      <c r="L1250" s="99" t="n">
        <f aca="false">MIN(MAX(0,L38-L644-L947),L38*CPR*MAX(0,MIN(10,'Loan Tape'!$AV34)-9))</f>
        <v>0</v>
      </c>
    </row>
    <row r="1251" customFormat="false" ht="15" hidden="false" customHeight="false" outlineLevel="0" collapsed="false">
      <c r="B1251" s="108" t="str">
        <f aca="false">'Loan Tape'!$A35</f>
        <v>L-032</v>
      </c>
      <c r="C1251" s="71" t="n">
        <f aca="false">MIN(MAX(0,C39-C645-C948),C39*CPR*MAX(0,MIN(1,'Loan Tape'!$AV35)-0))</f>
        <v>13973100</v>
      </c>
      <c r="D1251" s="71" t="n">
        <f aca="false">MIN(MAX(0,D39-D645-D948),D39*CPR*MAX(0,MIN(2,'Loan Tape'!$AV35)-1))</f>
        <v>12100742.4140044</v>
      </c>
      <c r="E1251" s="71" t="n">
        <f aca="false">MIN(MAX(0,E39-E645-E948),E39*CPR*MAX(0,MIN(3,'Loan Tape'!$AV35)-2))</f>
        <v>10449451.2467614</v>
      </c>
      <c r="F1251" s="71" t="n">
        <f aca="false">MIN(MAX(0,F39-F645-F948),F39*CPR*MAX(0,MIN(4,'Loan Tape'!$AV35)-3))</f>
        <v>7518967.21354255</v>
      </c>
      <c r="G1251" s="71" t="n">
        <f aca="false">MIN(MAX(0,G39-G645-G948),G39*CPR*MAX(0,MIN(5,'Loan Tape'!$AV35)-4))</f>
        <v>0</v>
      </c>
      <c r="H1251" s="71" t="n">
        <f aca="false">MIN(MAX(0,H39-H645-H948),H39*CPR*MAX(0,MIN(6,'Loan Tape'!$AV35)-5))</f>
        <v>0</v>
      </c>
      <c r="I1251" s="71" t="n">
        <f aca="false">MIN(MAX(0,I39-I645-I948),I39*CPR*MAX(0,MIN(7,'Loan Tape'!$AV35)-6))</f>
        <v>0</v>
      </c>
      <c r="J1251" s="71" t="n">
        <f aca="false">MIN(MAX(0,J39-J645-J948),J39*CPR*MAX(0,MIN(8,'Loan Tape'!$AV35)-7))</f>
        <v>0</v>
      </c>
      <c r="K1251" s="71" t="n">
        <f aca="false">MIN(MAX(0,K39-K645-K948),K39*CPR*MAX(0,MIN(9,'Loan Tape'!$AV35)-8))</f>
        <v>0</v>
      </c>
      <c r="L1251" s="71" t="n">
        <f aca="false">MIN(MAX(0,L39-L645-L948),L39*CPR*MAX(0,MIN(10,'Loan Tape'!$AV35)-9))</f>
        <v>0</v>
      </c>
    </row>
    <row r="1252" customFormat="false" ht="15" hidden="false" customHeight="false" outlineLevel="0" collapsed="false">
      <c r="B1252" s="102" t="str">
        <f aca="false">'Loan Tape'!$A36</f>
        <v>L-033</v>
      </c>
      <c r="C1252" s="99" t="n">
        <f aca="false">MIN(MAX(0,C40-C646-C949),C40*CPR*MAX(0,MIN(1,'Loan Tape'!$AV36)-0))</f>
        <v>0</v>
      </c>
      <c r="D1252" s="99" t="n">
        <f aca="false">MIN(MAX(0,D40-D646-D949),D40*CPR*MAX(0,MIN(2,'Loan Tape'!$AV36)-1))</f>
        <v>0</v>
      </c>
      <c r="E1252" s="99" t="n">
        <f aca="false">MIN(MAX(0,E40-E646-E949),E40*CPR*MAX(0,MIN(3,'Loan Tape'!$AV36)-2))</f>
        <v>0</v>
      </c>
      <c r="F1252" s="99" t="n">
        <f aca="false">MIN(MAX(0,F40-F646-F949),F40*CPR*MAX(0,MIN(4,'Loan Tape'!$AV36)-3))</f>
        <v>0</v>
      </c>
      <c r="G1252" s="99" t="n">
        <f aca="false">MIN(MAX(0,G40-G646-G949),G40*CPR*MAX(0,MIN(5,'Loan Tape'!$AV36)-4))</f>
        <v>0</v>
      </c>
      <c r="H1252" s="99" t="n">
        <f aca="false">MIN(MAX(0,H40-H646-H949),H40*CPR*MAX(0,MIN(6,'Loan Tape'!$AV36)-5))</f>
        <v>0</v>
      </c>
      <c r="I1252" s="99" t="n">
        <f aca="false">MIN(MAX(0,I40-I646-I949),I40*CPR*MAX(0,MIN(7,'Loan Tape'!$AV36)-6))</f>
        <v>0</v>
      </c>
      <c r="J1252" s="99" t="n">
        <f aca="false">MIN(MAX(0,J40-J646-J949),J40*CPR*MAX(0,MIN(8,'Loan Tape'!$AV36)-7))</f>
        <v>0</v>
      </c>
      <c r="K1252" s="99" t="n">
        <f aca="false">MIN(MAX(0,K40-K646-K949),K40*CPR*MAX(0,MIN(9,'Loan Tape'!$AV36)-8))</f>
        <v>0</v>
      </c>
      <c r="L1252" s="99" t="n">
        <f aca="false">MIN(MAX(0,L40-L646-L949),L40*CPR*MAX(0,MIN(10,'Loan Tape'!$AV36)-9))</f>
        <v>0</v>
      </c>
    </row>
    <row r="1253" customFormat="false" ht="15" hidden="false" customHeight="false" outlineLevel="0" collapsed="false">
      <c r="B1253" s="108" t="str">
        <f aca="false">'Loan Tape'!$A37</f>
        <v>L-034</v>
      </c>
      <c r="C1253" s="71" t="n">
        <f aca="false">MIN(MAX(0,C41-C647-C950),C41*CPR*MAX(0,MIN(1,'Loan Tape'!$AV37)-0))</f>
        <v>1137600</v>
      </c>
      <c r="D1253" s="71" t="n">
        <f aca="false">MIN(MAX(0,D41-D647-D950),D41*CPR*MAX(0,MIN(2,'Loan Tape'!$AV37)-1))</f>
        <v>976083.964178394</v>
      </c>
      <c r="E1253" s="71" t="n">
        <f aca="false">MIN(MAX(0,E41-E647-E950),E41*CPR*MAX(0,MIN(3,'Loan Tape'!$AV37)-2))</f>
        <v>835951.673211353</v>
      </c>
      <c r="F1253" s="71" t="n">
        <f aca="false">MIN(MAX(0,F41-F647-F950),F41*CPR*MAX(0,MIN(4,'Loan Tape'!$AV37)-3))</f>
        <v>714481.619696313</v>
      </c>
      <c r="G1253" s="71" t="n">
        <f aca="false">MIN(MAX(0,G41-G647-G950),G41*CPR*MAX(0,MIN(5,'Loan Tape'!$AV37)-4))</f>
        <v>609291.001365014</v>
      </c>
      <c r="H1253" s="71" t="n">
        <f aca="false">MIN(MAX(0,H41-H647-H950),H41*CPR*MAX(0,MIN(6,'Loan Tape'!$AV37)-5))</f>
        <v>0</v>
      </c>
      <c r="I1253" s="71" t="n">
        <f aca="false">MIN(MAX(0,I41-I647-I950),I41*CPR*MAX(0,MIN(7,'Loan Tape'!$AV37)-6))</f>
        <v>0</v>
      </c>
      <c r="J1253" s="71" t="n">
        <f aca="false">MIN(MAX(0,J41-J647-J950),J41*CPR*MAX(0,MIN(8,'Loan Tape'!$AV37)-7))</f>
        <v>0</v>
      </c>
      <c r="K1253" s="71" t="n">
        <f aca="false">MIN(MAX(0,K41-K647-K950),K41*CPR*MAX(0,MIN(9,'Loan Tape'!$AV37)-8))</f>
        <v>0</v>
      </c>
      <c r="L1253" s="71" t="n">
        <f aca="false">MIN(MAX(0,L41-L647-L950),L41*CPR*MAX(0,MIN(10,'Loan Tape'!$AV37)-9))</f>
        <v>0</v>
      </c>
    </row>
    <row r="1254" customFormat="false" ht="15" hidden="false" customHeight="false" outlineLevel="0" collapsed="false">
      <c r="B1254" s="102" t="str">
        <f aca="false">'Loan Tape'!$A38</f>
        <v>L-035</v>
      </c>
      <c r="C1254" s="99" t="n">
        <f aca="false">MIN(MAX(0,C42-C648-C951),C42*CPR*MAX(0,MIN(1,'Loan Tape'!$AV38)-0))</f>
        <v>6312500</v>
      </c>
      <c r="D1254" s="99" t="n">
        <f aca="false">MIN(MAX(0,D42-D648-D951),D42*CPR*MAX(0,MIN(2,'Loan Tape'!$AV38)-1))</f>
        <v>5410985.08615535</v>
      </c>
      <c r="E1254" s="99" t="n">
        <f aca="false">MIN(MAX(0,E42-E648-E951),E42*CPR*MAX(0,MIN(3,'Loan Tape'!$AV38)-2))</f>
        <v>1931900.36475528</v>
      </c>
      <c r="F1254" s="99" t="n">
        <f aca="false">MIN(MAX(0,F42-F648-F951),F42*CPR*MAX(0,MIN(4,'Loan Tape'!$AV38)-3))</f>
        <v>0</v>
      </c>
      <c r="G1254" s="99" t="n">
        <f aca="false">MIN(MAX(0,G42-G648-G951),G42*CPR*MAX(0,MIN(5,'Loan Tape'!$AV38)-4))</f>
        <v>0</v>
      </c>
      <c r="H1254" s="99" t="n">
        <f aca="false">MIN(MAX(0,H42-H648-H951),H42*CPR*MAX(0,MIN(6,'Loan Tape'!$AV38)-5))</f>
        <v>0</v>
      </c>
      <c r="I1254" s="99" t="n">
        <f aca="false">MIN(MAX(0,I42-I648-I951),I42*CPR*MAX(0,MIN(7,'Loan Tape'!$AV38)-6))</f>
        <v>0</v>
      </c>
      <c r="J1254" s="99" t="n">
        <f aca="false">MIN(MAX(0,J42-J648-J951),J42*CPR*MAX(0,MIN(8,'Loan Tape'!$AV38)-7))</f>
        <v>0</v>
      </c>
      <c r="K1254" s="99" t="n">
        <f aca="false">MIN(MAX(0,K42-K648-K951),K42*CPR*MAX(0,MIN(9,'Loan Tape'!$AV38)-8))</f>
        <v>0</v>
      </c>
      <c r="L1254" s="99" t="n">
        <f aca="false">MIN(MAX(0,L42-L648-L951),L42*CPR*MAX(0,MIN(10,'Loan Tape'!$AV38)-9))</f>
        <v>0</v>
      </c>
    </row>
    <row r="1255" customFormat="false" ht="15" hidden="false" customHeight="false" outlineLevel="0" collapsed="false">
      <c r="B1255" s="108" t="str">
        <f aca="false">'Loan Tape'!$A39</f>
        <v>L-036</v>
      </c>
      <c r="C1255" s="71" t="n">
        <f aca="false">MIN(MAX(0,C43-C649-C952),C43*CPR*MAX(0,MIN(1,'Loan Tape'!$AV39)-0))</f>
        <v>3826500</v>
      </c>
      <c r="D1255" s="71" t="n">
        <f aca="false">MIN(MAX(0,D43-D649-D952),D43*CPR*MAX(0,MIN(2,'Loan Tape'!$AV39)-1))</f>
        <v>0</v>
      </c>
      <c r="E1255" s="71" t="n">
        <f aca="false">MIN(MAX(0,E43-E649-E952),E43*CPR*MAX(0,MIN(3,'Loan Tape'!$AV39)-2))</f>
        <v>0</v>
      </c>
      <c r="F1255" s="71" t="n">
        <f aca="false">MIN(MAX(0,F43-F649-F952),F43*CPR*MAX(0,MIN(4,'Loan Tape'!$AV39)-3))</f>
        <v>0</v>
      </c>
      <c r="G1255" s="71" t="n">
        <f aca="false">MIN(MAX(0,G43-G649-G952),G43*CPR*MAX(0,MIN(5,'Loan Tape'!$AV39)-4))</f>
        <v>0</v>
      </c>
      <c r="H1255" s="71" t="n">
        <f aca="false">MIN(MAX(0,H43-H649-H952),H43*CPR*MAX(0,MIN(6,'Loan Tape'!$AV39)-5))</f>
        <v>0</v>
      </c>
      <c r="I1255" s="71" t="n">
        <f aca="false">MIN(MAX(0,I43-I649-I952),I43*CPR*MAX(0,MIN(7,'Loan Tape'!$AV39)-6))</f>
        <v>0</v>
      </c>
      <c r="J1255" s="71" t="n">
        <f aca="false">MIN(MAX(0,J43-J649-J952),J43*CPR*MAX(0,MIN(8,'Loan Tape'!$AV39)-7))</f>
        <v>0</v>
      </c>
      <c r="K1255" s="71" t="n">
        <f aca="false">MIN(MAX(0,K43-K649-K952),K43*CPR*MAX(0,MIN(9,'Loan Tape'!$AV39)-8))</f>
        <v>0</v>
      </c>
      <c r="L1255" s="71" t="n">
        <f aca="false">MIN(MAX(0,L43-L649-L952),L43*CPR*MAX(0,MIN(10,'Loan Tape'!$AV39)-9))</f>
        <v>0</v>
      </c>
    </row>
    <row r="1256" customFormat="false" ht="15" hidden="false" customHeight="false" outlineLevel="0" collapsed="false">
      <c r="B1256" s="102" t="str">
        <f aca="false">'Loan Tape'!$A40</f>
        <v>L-037</v>
      </c>
      <c r="C1256" s="99" t="n">
        <f aca="false">MIN(MAX(0,C44-C650-C953),C44*CPR*MAX(0,MIN(1,'Loan Tape'!$AV40)-0))</f>
        <v>0</v>
      </c>
      <c r="D1256" s="99" t="n">
        <f aca="false">MIN(MAX(0,D44-D650-D953),D44*CPR*MAX(0,MIN(2,'Loan Tape'!$AV40)-1))</f>
        <v>0</v>
      </c>
      <c r="E1256" s="99" t="n">
        <f aca="false">MIN(MAX(0,E44-E650-E953),E44*CPR*MAX(0,MIN(3,'Loan Tape'!$AV40)-2))</f>
        <v>0</v>
      </c>
      <c r="F1256" s="99" t="n">
        <f aca="false">MIN(MAX(0,F44-F650-F953),F44*CPR*MAX(0,MIN(4,'Loan Tape'!$AV40)-3))</f>
        <v>0</v>
      </c>
      <c r="G1256" s="99" t="n">
        <f aca="false">MIN(MAX(0,G44-G650-G953),G44*CPR*MAX(0,MIN(5,'Loan Tape'!$AV40)-4))</f>
        <v>0</v>
      </c>
      <c r="H1256" s="99" t="n">
        <f aca="false">MIN(MAX(0,H44-H650-H953),H44*CPR*MAX(0,MIN(6,'Loan Tape'!$AV40)-5))</f>
        <v>0</v>
      </c>
      <c r="I1256" s="99" t="n">
        <f aca="false">MIN(MAX(0,I44-I650-I953),I44*CPR*MAX(0,MIN(7,'Loan Tape'!$AV40)-6))</f>
        <v>0</v>
      </c>
      <c r="J1256" s="99" t="n">
        <f aca="false">MIN(MAX(0,J44-J650-J953),J44*CPR*MAX(0,MIN(8,'Loan Tape'!$AV40)-7))</f>
        <v>0</v>
      </c>
      <c r="K1256" s="99" t="n">
        <f aca="false">MIN(MAX(0,K44-K650-K953),K44*CPR*MAX(0,MIN(9,'Loan Tape'!$AV40)-8))</f>
        <v>0</v>
      </c>
      <c r="L1256" s="99" t="n">
        <f aca="false">MIN(MAX(0,L44-L650-L953),L44*CPR*MAX(0,MIN(10,'Loan Tape'!$AV40)-9))</f>
        <v>0</v>
      </c>
    </row>
    <row r="1257" customFormat="false" ht="15" hidden="false" customHeight="false" outlineLevel="0" collapsed="false">
      <c r="B1257" s="108" t="str">
        <f aca="false">'Loan Tape'!$A41</f>
        <v>L-038</v>
      </c>
      <c r="C1257" s="71" t="n">
        <f aca="false">MIN(MAX(0,C45-C651-C954),C45*CPR*MAX(0,MIN(1,'Loan Tape'!$AV41)-0))</f>
        <v>536900</v>
      </c>
      <c r="D1257" s="71" t="n">
        <f aca="false">MIN(MAX(0,D45-D651-D954),D45*CPR*MAX(0,MIN(2,'Loan Tape'!$AV41)-1))</f>
        <v>466668.665016205</v>
      </c>
      <c r="E1257" s="71" t="n">
        <f aca="false">MIN(MAX(0,E45-E651-E954),E45*CPR*MAX(0,MIN(3,'Loan Tape'!$AV41)-2))</f>
        <v>404147.128482671</v>
      </c>
      <c r="F1257" s="71" t="n">
        <f aca="false">MIN(MAX(0,F45-F651-F954),F45*CPR*MAX(0,MIN(4,'Loan Tape'!$AV41)-3))</f>
        <v>349160.479578587</v>
      </c>
      <c r="G1257" s="71" t="n">
        <f aca="false">MIN(MAX(0,G45-G651-G954),G45*CPR*MAX(0,MIN(5,'Loan Tape'!$AV41)-4))</f>
        <v>301030.160933279</v>
      </c>
      <c r="H1257" s="71" t="n">
        <f aca="false">MIN(MAX(0,H45-H651-H954),H45*CPR*MAX(0,MIN(6,'Loan Tape'!$AV41)-5))</f>
        <v>0</v>
      </c>
      <c r="I1257" s="71" t="n">
        <f aca="false">MIN(MAX(0,I45-I651-I954),I45*CPR*MAX(0,MIN(7,'Loan Tape'!$AV41)-6))</f>
        <v>0</v>
      </c>
      <c r="J1257" s="71" t="n">
        <f aca="false">MIN(MAX(0,J45-J651-J954),J45*CPR*MAX(0,MIN(8,'Loan Tape'!$AV41)-7))</f>
        <v>0</v>
      </c>
      <c r="K1257" s="71" t="n">
        <f aca="false">MIN(MAX(0,K45-K651-K954),K45*CPR*MAX(0,MIN(9,'Loan Tape'!$AV41)-8))</f>
        <v>0</v>
      </c>
      <c r="L1257" s="71" t="n">
        <f aca="false">MIN(MAX(0,L45-L651-L954),L45*CPR*MAX(0,MIN(10,'Loan Tape'!$AV41)-9))</f>
        <v>0</v>
      </c>
    </row>
    <row r="1258" customFormat="false" ht="15" hidden="false" customHeight="false" outlineLevel="0" collapsed="false">
      <c r="B1258" s="102" t="str">
        <f aca="false">'Loan Tape'!$A42</f>
        <v>L-039</v>
      </c>
      <c r="C1258" s="99" t="n">
        <f aca="false">MIN(MAX(0,C46-C652-C955),C46*CPR*MAX(0,MIN(1,'Loan Tape'!$AV42)-0))</f>
        <v>449900</v>
      </c>
      <c r="D1258" s="99" t="n">
        <f aca="false">MIN(MAX(0,D46-D652-D955),D46*CPR*MAX(0,MIN(2,'Loan Tape'!$AV42)-1))</f>
        <v>389389.420318302</v>
      </c>
      <c r="E1258" s="99" t="n">
        <f aca="false">MIN(MAX(0,E46-E652-E955),E46*CPR*MAX(0,MIN(3,'Loan Tape'!$AV42)-2))</f>
        <v>336025.554776724</v>
      </c>
      <c r="F1258" s="99" t="n">
        <f aca="false">MIN(MAX(0,F46-F652-F955),F46*CPR*MAX(0,MIN(4,'Loan Tape'!$AV42)-3))</f>
        <v>289088.421190636</v>
      </c>
      <c r="G1258" s="99" t="n">
        <f aca="false">MIN(MAX(0,G46-G652-G955),G46*CPR*MAX(0,MIN(5,'Loan Tape'!$AV42)-4))</f>
        <v>84363.6867420099</v>
      </c>
      <c r="H1258" s="99" t="n">
        <f aca="false">MIN(MAX(0,H46-H652-H955),H46*CPR*MAX(0,MIN(6,'Loan Tape'!$AV42)-5))</f>
        <v>0</v>
      </c>
      <c r="I1258" s="99" t="n">
        <f aca="false">MIN(MAX(0,I46-I652-I955),I46*CPR*MAX(0,MIN(7,'Loan Tape'!$AV42)-6))</f>
        <v>0</v>
      </c>
      <c r="J1258" s="99" t="n">
        <f aca="false">MIN(MAX(0,J46-J652-J955),J46*CPR*MAX(0,MIN(8,'Loan Tape'!$AV42)-7))</f>
        <v>0</v>
      </c>
      <c r="K1258" s="99" t="n">
        <f aca="false">MIN(MAX(0,K46-K652-K955),K46*CPR*MAX(0,MIN(9,'Loan Tape'!$AV42)-8))</f>
        <v>0</v>
      </c>
      <c r="L1258" s="99" t="n">
        <f aca="false">MIN(MAX(0,L46-L652-L955),L46*CPR*MAX(0,MIN(10,'Loan Tape'!$AV42)-9))</f>
        <v>0</v>
      </c>
    </row>
    <row r="1259" customFormat="false" ht="15" hidden="false" customHeight="false" outlineLevel="0" collapsed="false">
      <c r="B1259" s="108" t="str">
        <f aca="false">'Loan Tape'!$A43</f>
        <v>L-040</v>
      </c>
      <c r="C1259" s="71" t="n">
        <f aca="false">MIN(MAX(0,C47-C653-C956),C47*CPR*MAX(0,MIN(1,'Loan Tape'!$AV43)-0))</f>
        <v>8112500</v>
      </c>
      <c r="D1259" s="71" t="n">
        <f aca="false">MIN(MAX(0,D47-D653-D956),D47*CPR*MAX(0,MIN(2,'Loan Tape'!$AV43)-1))</f>
        <v>6910560.17560847</v>
      </c>
      <c r="E1259" s="71" t="n">
        <f aca="false">MIN(MAX(0,E47-E653-E956),E47*CPR*MAX(0,MIN(3,'Loan Tape'!$AV43)-2))</f>
        <v>2953990.37427237</v>
      </c>
      <c r="F1259" s="71" t="n">
        <f aca="false">MIN(MAX(0,F47-F653-F956),F47*CPR*MAX(0,MIN(4,'Loan Tape'!$AV43)-3))</f>
        <v>0</v>
      </c>
      <c r="G1259" s="71" t="n">
        <f aca="false">MIN(MAX(0,G47-G653-G956),G47*CPR*MAX(0,MIN(5,'Loan Tape'!$AV43)-4))</f>
        <v>0</v>
      </c>
      <c r="H1259" s="71" t="n">
        <f aca="false">MIN(MAX(0,H47-H653-H956),H47*CPR*MAX(0,MIN(6,'Loan Tape'!$AV43)-5))</f>
        <v>0</v>
      </c>
      <c r="I1259" s="71" t="n">
        <f aca="false">MIN(MAX(0,I47-I653-I956),I47*CPR*MAX(0,MIN(7,'Loan Tape'!$AV43)-6))</f>
        <v>0</v>
      </c>
      <c r="J1259" s="71" t="n">
        <f aca="false">MIN(MAX(0,J47-J653-J956),J47*CPR*MAX(0,MIN(8,'Loan Tape'!$AV43)-7))</f>
        <v>0</v>
      </c>
      <c r="K1259" s="71" t="n">
        <f aca="false">MIN(MAX(0,K47-K653-K956),K47*CPR*MAX(0,MIN(9,'Loan Tape'!$AV43)-8))</f>
        <v>0</v>
      </c>
      <c r="L1259" s="71" t="n">
        <f aca="false">MIN(MAX(0,L47-L653-L956),L47*CPR*MAX(0,MIN(10,'Loan Tape'!$AV43)-9))</f>
        <v>0</v>
      </c>
    </row>
    <row r="1260" customFormat="false" ht="15" hidden="false" customHeight="false" outlineLevel="0" collapsed="false">
      <c r="B1260" s="102" t="str">
        <f aca="false">'Loan Tape'!$A44</f>
        <v>L-041</v>
      </c>
      <c r="C1260" s="99" t="n">
        <f aca="false">MIN(MAX(0,C48-C654-C957),C48*CPR*MAX(0,MIN(1,'Loan Tape'!$AV44)-0))</f>
        <v>3061300</v>
      </c>
      <c r="D1260" s="99" t="n">
        <f aca="false">MIN(MAX(0,D48-D654-D957),D48*CPR*MAX(0,MIN(2,'Loan Tape'!$AV44)-1))</f>
        <v>0</v>
      </c>
      <c r="E1260" s="99" t="n">
        <f aca="false">MIN(MAX(0,E48-E654-E957),E48*CPR*MAX(0,MIN(3,'Loan Tape'!$AV44)-2))</f>
        <v>0</v>
      </c>
      <c r="F1260" s="99" t="n">
        <f aca="false">MIN(MAX(0,F48-F654-F957),F48*CPR*MAX(0,MIN(4,'Loan Tape'!$AV44)-3))</f>
        <v>0</v>
      </c>
      <c r="G1260" s="99" t="n">
        <f aca="false">MIN(MAX(0,G48-G654-G957),G48*CPR*MAX(0,MIN(5,'Loan Tape'!$AV44)-4))</f>
        <v>0</v>
      </c>
      <c r="H1260" s="99" t="n">
        <f aca="false">MIN(MAX(0,H48-H654-H957),H48*CPR*MAX(0,MIN(6,'Loan Tape'!$AV44)-5))</f>
        <v>0</v>
      </c>
      <c r="I1260" s="99" t="n">
        <f aca="false">MIN(MAX(0,I48-I654-I957),I48*CPR*MAX(0,MIN(7,'Loan Tape'!$AV44)-6))</f>
        <v>0</v>
      </c>
      <c r="J1260" s="99" t="n">
        <f aca="false">MIN(MAX(0,J48-J654-J957),J48*CPR*MAX(0,MIN(8,'Loan Tape'!$AV44)-7))</f>
        <v>0</v>
      </c>
      <c r="K1260" s="99" t="n">
        <f aca="false">MIN(MAX(0,K48-K654-K957),K48*CPR*MAX(0,MIN(9,'Loan Tape'!$AV44)-8))</f>
        <v>0</v>
      </c>
      <c r="L1260" s="99" t="n">
        <f aca="false">MIN(MAX(0,L48-L654-L957),L48*CPR*MAX(0,MIN(10,'Loan Tape'!$AV44)-9))</f>
        <v>0</v>
      </c>
    </row>
    <row r="1261" customFormat="false" ht="15" hidden="false" customHeight="false" outlineLevel="0" collapsed="false">
      <c r="B1261" s="108" t="str">
        <f aca="false">'Loan Tape'!$A45</f>
        <v>L-042</v>
      </c>
      <c r="C1261" s="71" t="n">
        <f aca="false">MIN(MAX(0,C49-C655-C958),C49*CPR*MAX(0,MIN(1,'Loan Tape'!$AV45)-0))</f>
        <v>503900</v>
      </c>
      <c r="D1261" s="71" t="n">
        <f aca="false">MIN(MAX(0,D49-D655-D958),D49*CPR*MAX(0,MIN(2,'Loan Tape'!$AV45)-1))</f>
        <v>435148.034124436</v>
      </c>
      <c r="E1261" s="71" t="n">
        <f aca="false">MIN(MAX(0,E49-E655-E958),E49*CPR*MAX(0,MIN(3,'Loan Tape'!$AV45)-2))</f>
        <v>251203.576625126</v>
      </c>
      <c r="F1261" s="71" t="n">
        <f aca="false">MIN(MAX(0,F49-F655-F958),F49*CPR*MAX(0,MIN(4,'Loan Tape'!$AV45)-3))</f>
        <v>0</v>
      </c>
      <c r="G1261" s="71" t="n">
        <f aca="false">MIN(MAX(0,G49-G655-G958),G49*CPR*MAX(0,MIN(5,'Loan Tape'!$AV45)-4))</f>
        <v>0</v>
      </c>
      <c r="H1261" s="71" t="n">
        <f aca="false">MIN(MAX(0,H49-H655-H958),H49*CPR*MAX(0,MIN(6,'Loan Tape'!$AV45)-5))</f>
        <v>0</v>
      </c>
      <c r="I1261" s="71" t="n">
        <f aca="false">MIN(MAX(0,I49-I655-I958),I49*CPR*MAX(0,MIN(7,'Loan Tape'!$AV45)-6))</f>
        <v>0</v>
      </c>
      <c r="J1261" s="71" t="n">
        <f aca="false">MIN(MAX(0,J49-J655-J958),J49*CPR*MAX(0,MIN(8,'Loan Tape'!$AV45)-7))</f>
        <v>0</v>
      </c>
      <c r="K1261" s="71" t="n">
        <f aca="false">MIN(MAX(0,K49-K655-K958),K49*CPR*MAX(0,MIN(9,'Loan Tape'!$AV45)-8))</f>
        <v>0</v>
      </c>
      <c r="L1261" s="71" t="n">
        <f aca="false">MIN(MAX(0,L49-L655-L958),L49*CPR*MAX(0,MIN(10,'Loan Tape'!$AV45)-9))</f>
        <v>0</v>
      </c>
    </row>
    <row r="1262" customFormat="false" ht="15" hidden="false" customHeight="false" outlineLevel="0" collapsed="false">
      <c r="B1262" s="102" t="str">
        <f aca="false">'Loan Tape'!$A46</f>
        <v>L-043</v>
      </c>
      <c r="C1262" s="99" t="n">
        <f aca="false">MIN(MAX(0,C50-C656-C959),C50*CPR*MAX(0,MIN(1,'Loan Tape'!$AV46)-0))</f>
        <v>868000</v>
      </c>
      <c r="D1262" s="99" t="n">
        <f aca="false">MIN(MAX(0,D50-D656-D959),D50*CPR*MAX(0,MIN(2,'Loan Tape'!$AV46)-1))</f>
        <v>746478.999924696</v>
      </c>
      <c r="E1262" s="99" t="n">
        <f aca="false">MIN(MAX(0,E50-E656-E959),E50*CPR*MAX(0,MIN(3,'Loan Tape'!$AV46)-2))</f>
        <v>639619.898529877</v>
      </c>
      <c r="F1262" s="99" t="n">
        <f aca="false">MIN(MAX(0,F50-F656-F959),F50*CPR*MAX(0,MIN(4,'Loan Tape'!$AV46)-3))</f>
        <v>139770.199504543</v>
      </c>
      <c r="G1262" s="99" t="n">
        <f aca="false">MIN(MAX(0,G50-G656-G959),G50*CPR*MAX(0,MIN(5,'Loan Tape'!$AV46)-4))</f>
        <v>0</v>
      </c>
      <c r="H1262" s="99" t="n">
        <f aca="false">MIN(MAX(0,H50-H656-H959),H50*CPR*MAX(0,MIN(6,'Loan Tape'!$AV46)-5))</f>
        <v>0</v>
      </c>
      <c r="I1262" s="99" t="n">
        <f aca="false">MIN(MAX(0,I50-I656-I959),I50*CPR*MAX(0,MIN(7,'Loan Tape'!$AV46)-6))</f>
        <v>0</v>
      </c>
      <c r="J1262" s="99" t="n">
        <f aca="false">MIN(MAX(0,J50-J656-J959),J50*CPR*MAX(0,MIN(8,'Loan Tape'!$AV46)-7))</f>
        <v>0</v>
      </c>
      <c r="K1262" s="99" t="n">
        <f aca="false">MIN(MAX(0,K50-K656-K959),K50*CPR*MAX(0,MIN(9,'Loan Tape'!$AV46)-8))</f>
        <v>0</v>
      </c>
      <c r="L1262" s="99" t="n">
        <f aca="false">MIN(MAX(0,L50-L656-L959),L50*CPR*MAX(0,MIN(10,'Loan Tape'!$AV46)-9))</f>
        <v>0</v>
      </c>
    </row>
    <row r="1263" customFormat="false" ht="15" hidden="false" customHeight="false" outlineLevel="0" collapsed="false">
      <c r="B1263" s="108" t="str">
        <f aca="false">'Loan Tape'!$A47</f>
        <v>L-044</v>
      </c>
      <c r="C1263" s="71" t="n">
        <f aca="false">MIN(MAX(0,C51-C657-C960),C51*CPR*MAX(0,MIN(1,'Loan Tape'!$AV47)-0))</f>
        <v>7870700</v>
      </c>
      <c r="D1263" s="71" t="n">
        <f aca="false">MIN(MAX(0,D51-D657-D960),D51*CPR*MAX(0,MIN(2,'Loan Tape'!$AV47)-1))</f>
        <v>0</v>
      </c>
      <c r="E1263" s="71" t="n">
        <f aca="false">MIN(MAX(0,E51-E657-E960),E51*CPR*MAX(0,MIN(3,'Loan Tape'!$AV47)-2))</f>
        <v>0</v>
      </c>
      <c r="F1263" s="71" t="n">
        <f aca="false">MIN(MAX(0,F51-F657-F960),F51*CPR*MAX(0,MIN(4,'Loan Tape'!$AV47)-3))</f>
        <v>0</v>
      </c>
      <c r="G1263" s="71" t="n">
        <f aca="false">MIN(MAX(0,G51-G657-G960),G51*CPR*MAX(0,MIN(5,'Loan Tape'!$AV47)-4))</f>
        <v>0</v>
      </c>
      <c r="H1263" s="71" t="n">
        <f aca="false">MIN(MAX(0,H51-H657-H960),H51*CPR*MAX(0,MIN(6,'Loan Tape'!$AV47)-5))</f>
        <v>0</v>
      </c>
      <c r="I1263" s="71" t="n">
        <f aca="false">MIN(MAX(0,I51-I657-I960),I51*CPR*MAX(0,MIN(7,'Loan Tape'!$AV47)-6))</f>
        <v>0</v>
      </c>
      <c r="J1263" s="71" t="n">
        <f aca="false">MIN(MAX(0,J51-J657-J960),J51*CPR*MAX(0,MIN(8,'Loan Tape'!$AV47)-7))</f>
        <v>0</v>
      </c>
      <c r="K1263" s="71" t="n">
        <f aca="false">MIN(MAX(0,K51-K657-K960),K51*CPR*MAX(0,MIN(9,'Loan Tape'!$AV47)-8))</f>
        <v>0</v>
      </c>
      <c r="L1263" s="71" t="n">
        <f aca="false">MIN(MAX(0,L51-L657-L960),L51*CPR*MAX(0,MIN(10,'Loan Tape'!$AV47)-9))</f>
        <v>0</v>
      </c>
    </row>
    <row r="1264" customFormat="false" ht="15" hidden="false" customHeight="false" outlineLevel="0" collapsed="false">
      <c r="B1264" s="102" t="str">
        <f aca="false">'Loan Tape'!$A48</f>
        <v>L-045</v>
      </c>
      <c r="C1264" s="99" t="n">
        <f aca="false">MIN(MAX(0,C52-C658-C961),C52*CPR*MAX(0,MIN(1,'Loan Tape'!$AV48)-0))</f>
        <v>5453800</v>
      </c>
      <c r="D1264" s="99" t="n">
        <f aca="false">MIN(MAX(0,D52-D658-D961),D52*CPR*MAX(0,MIN(2,'Loan Tape'!$AV48)-1))</f>
        <v>4785207.01467651</v>
      </c>
      <c r="E1264" s="99" t="n">
        <f aca="false">MIN(MAX(0,E52-E658-E961),E52*CPR*MAX(0,MIN(3,'Loan Tape'!$AV48)-2))</f>
        <v>4152253.43196195</v>
      </c>
      <c r="F1264" s="99" t="n">
        <f aca="false">MIN(MAX(0,F52-F658-F961),F52*CPR*MAX(0,MIN(4,'Loan Tape'!$AV48)-3))</f>
        <v>3594974.73201453</v>
      </c>
      <c r="G1264" s="99" t="n">
        <f aca="false">MIN(MAX(0,G52-G658-G961),G52*CPR*MAX(0,MIN(5,'Loan Tape'!$AV48)-4))</f>
        <v>3106363.95282498</v>
      </c>
      <c r="H1264" s="99" t="n">
        <f aca="false">MIN(MAX(0,H52-H658-H961),H52*CPR*MAX(0,MIN(6,'Loan Tape'!$AV48)-5))</f>
        <v>0</v>
      </c>
      <c r="I1264" s="99" t="n">
        <f aca="false">MIN(MAX(0,I52-I658-I961),I52*CPR*MAX(0,MIN(7,'Loan Tape'!$AV48)-6))</f>
        <v>0</v>
      </c>
      <c r="J1264" s="99" t="n">
        <f aca="false">MIN(MAX(0,J52-J658-J961),J52*CPR*MAX(0,MIN(8,'Loan Tape'!$AV48)-7))</f>
        <v>0</v>
      </c>
      <c r="K1264" s="99" t="n">
        <f aca="false">MIN(MAX(0,K52-K658-K961),K52*CPR*MAX(0,MIN(9,'Loan Tape'!$AV48)-8))</f>
        <v>0</v>
      </c>
      <c r="L1264" s="99" t="n">
        <f aca="false">MIN(MAX(0,L52-L658-L961),L52*CPR*MAX(0,MIN(10,'Loan Tape'!$AV48)-9))</f>
        <v>0</v>
      </c>
    </row>
    <row r="1265" customFormat="false" ht="15" hidden="false" customHeight="false" outlineLevel="0" collapsed="false">
      <c r="B1265" s="108" t="str">
        <f aca="false">'Loan Tape'!$A49</f>
        <v>L-046</v>
      </c>
      <c r="C1265" s="71" t="n">
        <f aca="false">MIN(MAX(0,C53-C659-C962),C53*CPR*MAX(0,MIN(1,'Loan Tape'!$AV49)-0))</f>
        <v>11337000</v>
      </c>
      <c r="D1265" s="71" t="n">
        <f aca="false">MIN(MAX(0,D53-D659-D962),D53*CPR*MAX(0,MIN(2,'Loan Tape'!$AV49)-1))</f>
        <v>0</v>
      </c>
      <c r="E1265" s="71" t="n">
        <f aca="false">MIN(MAX(0,E53-E659-E962),E53*CPR*MAX(0,MIN(3,'Loan Tape'!$AV49)-2))</f>
        <v>0</v>
      </c>
      <c r="F1265" s="71" t="n">
        <f aca="false">MIN(MAX(0,F53-F659-F962),F53*CPR*MAX(0,MIN(4,'Loan Tape'!$AV49)-3))</f>
        <v>0</v>
      </c>
      <c r="G1265" s="71" t="n">
        <f aca="false">MIN(MAX(0,G53-G659-G962),G53*CPR*MAX(0,MIN(5,'Loan Tape'!$AV49)-4))</f>
        <v>0</v>
      </c>
      <c r="H1265" s="71" t="n">
        <f aca="false">MIN(MAX(0,H53-H659-H962),H53*CPR*MAX(0,MIN(6,'Loan Tape'!$AV49)-5))</f>
        <v>0</v>
      </c>
      <c r="I1265" s="71" t="n">
        <f aca="false">MIN(MAX(0,I53-I659-I962),I53*CPR*MAX(0,MIN(7,'Loan Tape'!$AV49)-6))</f>
        <v>0</v>
      </c>
      <c r="J1265" s="71" t="n">
        <f aca="false">MIN(MAX(0,J53-J659-J962),J53*CPR*MAX(0,MIN(8,'Loan Tape'!$AV49)-7))</f>
        <v>0</v>
      </c>
      <c r="K1265" s="71" t="n">
        <f aca="false">MIN(MAX(0,K53-K659-K962),K53*CPR*MAX(0,MIN(9,'Loan Tape'!$AV49)-8))</f>
        <v>0</v>
      </c>
      <c r="L1265" s="71" t="n">
        <f aca="false">MIN(MAX(0,L53-L659-L962),L53*CPR*MAX(0,MIN(10,'Loan Tape'!$AV49)-9))</f>
        <v>0</v>
      </c>
    </row>
    <row r="1266" customFormat="false" ht="15" hidden="false" customHeight="false" outlineLevel="0" collapsed="false">
      <c r="B1266" s="102" t="str">
        <f aca="false">'Loan Tape'!$A50</f>
        <v>L-047</v>
      </c>
      <c r="C1266" s="99" t="n">
        <f aca="false">MIN(MAX(0,C54-C660-C963),C54*CPR*MAX(0,MIN(1,'Loan Tape'!$AV50)-0))</f>
        <v>525900</v>
      </c>
      <c r="D1266" s="99" t="n">
        <f aca="false">MIN(MAX(0,D54-D660-D963),D54*CPR*MAX(0,MIN(2,'Loan Tape'!$AV50)-1))</f>
        <v>462792</v>
      </c>
      <c r="E1266" s="99" t="n">
        <f aca="false">MIN(MAX(0,E54-E660-E963),E54*CPR*MAX(0,MIN(3,'Loan Tape'!$AV50)-2))</f>
        <v>407256.96</v>
      </c>
      <c r="F1266" s="99" t="n">
        <f aca="false">MIN(MAX(0,F54-F660-F963),F54*CPR*MAX(0,MIN(4,'Loan Tape'!$AV50)-3))</f>
        <v>179806.317233676</v>
      </c>
      <c r="G1266" s="99" t="n">
        <f aca="false">MIN(MAX(0,G54-G660-G963),G54*CPR*MAX(0,MIN(5,'Loan Tape'!$AV50)-4))</f>
        <v>0</v>
      </c>
      <c r="H1266" s="99" t="n">
        <f aca="false">MIN(MAX(0,H54-H660-H963),H54*CPR*MAX(0,MIN(6,'Loan Tape'!$AV50)-5))</f>
        <v>0</v>
      </c>
      <c r="I1266" s="99" t="n">
        <f aca="false">MIN(MAX(0,I54-I660-I963),I54*CPR*MAX(0,MIN(7,'Loan Tape'!$AV50)-6))</f>
        <v>0</v>
      </c>
      <c r="J1266" s="99" t="n">
        <f aca="false">MIN(MAX(0,J54-J660-J963),J54*CPR*MAX(0,MIN(8,'Loan Tape'!$AV50)-7))</f>
        <v>0</v>
      </c>
      <c r="K1266" s="99" t="n">
        <f aca="false">MIN(MAX(0,K54-K660-K963),K54*CPR*MAX(0,MIN(9,'Loan Tape'!$AV50)-8))</f>
        <v>0</v>
      </c>
      <c r="L1266" s="99" t="n">
        <f aca="false">MIN(MAX(0,L54-L660-L963),L54*CPR*MAX(0,MIN(10,'Loan Tape'!$AV50)-9))</f>
        <v>0</v>
      </c>
    </row>
    <row r="1267" customFormat="false" ht="15" hidden="false" customHeight="false" outlineLevel="0" collapsed="false">
      <c r="B1267" s="108" t="str">
        <f aca="false">'Loan Tape'!$A51</f>
        <v>L-048</v>
      </c>
      <c r="C1267" s="71" t="n">
        <f aca="false">MIN(MAX(0,C55-C661-C964),C55*CPR*MAX(0,MIN(1,'Loan Tape'!$AV51)-0))</f>
        <v>10020100</v>
      </c>
      <c r="D1267" s="71" t="n">
        <f aca="false">MIN(MAX(0,D55-D661-D964),D55*CPR*MAX(0,MIN(2,'Loan Tape'!$AV51)-1))</f>
        <v>5761505.77434335</v>
      </c>
      <c r="E1267" s="71" t="n">
        <f aca="false">MIN(MAX(0,E55-E661-E964),E55*CPR*MAX(0,MIN(3,'Loan Tape'!$AV51)-2))</f>
        <v>0</v>
      </c>
      <c r="F1267" s="71" t="n">
        <f aca="false">MIN(MAX(0,F55-F661-F964),F55*CPR*MAX(0,MIN(4,'Loan Tape'!$AV51)-3))</f>
        <v>0</v>
      </c>
      <c r="G1267" s="71" t="n">
        <f aca="false">MIN(MAX(0,G55-G661-G964),G55*CPR*MAX(0,MIN(5,'Loan Tape'!$AV51)-4))</f>
        <v>0</v>
      </c>
      <c r="H1267" s="71" t="n">
        <f aca="false">MIN(MAX(0,H55-H661-H964),H55*CPR*MAX(0,MIN(6,'Loan Tape'!$AV51)-5))</f>
        <v>0</v>
      </c>
      <c r="I1267" s="71" t="n">
        <f aca="false">MIN(MAX(0,I55-I661-I964),I55*CPR*MAX(0,MIN(7,'Loan Tape'!$AV51)-6))</f>
        <v>0</v>
      </c>
      <c r="J1267" s="71" t="n">
        <f aca="false">MIN(MAX(0,J55-J661-J964),J55*CPR*MAX(0,MIN(8,'Loan Tape'!$AV51)-7))</f>
        <v>0</v>
      </c>
      <c r="K1267" s="71" t="n">
        <f aca="false">MIN(MAX(0,K55-K661-K964),K55*CPR*MAX(0,MIN(9,'Loan Tape'!$AV51)-8))</f>
        <v>0</v>
      </c>
      <c r="L1267" s="71" t="n">
        <f aca="false">MIN(MAX(0,L55-L661-L964),L55*CPR*MAX(0,MIN(10,'Loan Tape'!$AV51)-9))</f>
        <v>0</v>
      </c>
    </row>
    <row r="1268" customFormat="false" ht="15" hidden="false" customHeight="false" outlineLevel="0" collapsed="false">
      <c r="B1268" s="102" t="str">
        <f aca="false">'Loan Tape'!$A52</f>
        <v>L-049</v>
      </c>
      <c r="C1268" s="99" t="n">
        <f aca="false">MIN(MAX(0,C56-C662-C965),C56*CPR*MAX(0,MIN(1,'Loan Tape'!$AV52)-0))</f>
        <v>0</v>
      </c>
      <c r="D1268" s="99" t="n">
        <f aca="false">MIN(MAX(0,D56-D662-D965),D56*CPR*MAX(0,MIN(2,'Loan Tape'!$AV52)-1))</f>
        <v>0</v>
      </c>
      <c r="E1268" s="99" t="n">
        <f aca="false">MIN(MAX(0,E56-E662-E965),E56*CPR*MAX(0,MIN(3,'Loan Tape'!$AV52)-2))</f>
        <v>0</v>
      </c>
      <c r="F1268" s="99" t="n">
        <f aca="false">MIN(MAX(0,F56-F662-F965),F56*CPR*MAX(0,MIN(4,'Loan Tape'!$AV52)-3))</f>
        <v>0</v>
      </c>
      <c r="G1268" s="99" t="n">
        <f aca="false">MIN(MAX(0,G56-G662-G965),G56*CPR*MAX(0,MIN(5,'Loan Tape'!$AV52)-4))</f>
        <v>0</v>
      </c>
      <c r="H1268" s="99" t="n">
        <f aca="false">MIN(MAX(0,H56-H662-H965),H56*CPR*MAX(0,MIN(6,'Loan Tape'!$AV52)-5))</f>
        <v>0</v>
      </c>
      <c r="I1268" s="99" t="n">
        <f aca="false">MIN(MAX(0,I56-I662-I965),I56*CPR*MAX(0,MIN(7,'Loan Tape'!$AV52)-6))</f>
        <v>0</v>
      </c>
      <c r="J1268" s="99" t="n">
        <f aca="false">MIN(MAX(0,J56-J662-J965),J56*CPR*MAX(0,MIN(8,'Loan Tape'!$AV52)-7))</f>
        <v>0</v>
      </c>
      <c r="K1268" s="99" t="n">
        <f aca="false">MIN(MAX(0,K56-K662-K965),K56*CPR*MAX(0,MIN(9,'Loan Tape'!$AV52)-8))</f>
        <v>0</v>
      </c>
      <c r="L1268" s="99" t="n">
        <f aca="false">MIN(MAX(0,L56-L662-L965),L56*CPR*MAX(0,MIN(10,'Loan Tape'!$AV52)-9))</f>
        <v>0</v>
      </c>
    </row>
    <row r="1269" customFormat="false" ht="15" hidden="false" customHeight="false" outlineLevel="0" collapsed="false">
      <c r="B1269" s="108" t="str">
        <f aca="false">'Loan Tape'!$A53</f>
        <v>L-050</v>
      </c>
      <c r="C1269" s="71" t="n">
        <f aca="false">MIN(MAX(0,C57-C663-C966),C57*CPR*MAX(0,MIN(1,'Loan Tape'!$AV53)-0))</f>
        <v>12031300</v>
      </c>
      <c r="D1269" s="71" t="n">
        <f aca="false">MIN(MAX(0,D57-D663-D966),D57*CPR*MAX(0,MIN(2,'Loan Tape'!$AV53)-1))</f>
        <v>10587544</v>
      </c>
      <c r="E1269" s="71" t="n">
        <f aca="false">MIN(MAX(0,E57-E663-E966),E57*CPR*MAX(0,MIN(3,'Loan Tape'!$AV53)-2))</f>
        <v>6243244.97390829</v>
      </c>
      <c r="F1269" s="71" t="n">
        <f aca="false">MIN(MAX(0,F57-F663-F966),F57*CPR*MAX(0,MIN(4,'Loan Tape'!$AV53)-3))</f>
        <v>0</v>
      </c>
      <c r="G1269" s="71" t="n">
        <f aca="false">MIN(MAX(0,G57-G663-G966),G57*CPR*MAX(0,MIN(5,'Loan Tape'!$AV53)-4))</f>
        <v>0</v>
      </c>
      <c r="H1269" s="71" t="n">
        <f aca="false">MIN(MAX(0,H57-H663-H966),H57*CPR*MAX(0,MIN(6,'Loan Tape'!$AV53)-5))</f>
        <v>0</v>
      </c>
      <c r="I1269" s="71" t="n">
        <f aca="false">MIN(MAX(0,I57-I663-I966),I57*CPR*MAX(0,MIN(7,'Loan Tape'!$AV53)-6))</f>
        <v>0</v>
      </c>
      <c r="J1269" s="71" t="n">
        <f aca="false">MIN(MAX(0,J57-J663-J966),J57*CPR*MAX(0,MIN(8,'Loan Tape'!$AV53)-7))</f>
        <v>0</v>
      </c>
      <c r="K1269" s="71" t="n">
        <f aca="false">MIN(MAX(0,K57-K663-K966),K57*CPR*MAX(0,MIN(9,'Loan Tape'!$AV53)-8))</f>
        <v>0</v>
      </c>
      <c r="L1269" s="71" t="n">
        <f aca="false">MIN(MAX(0,L57-L663-L966),L57*CPR*MAX(0,MIN(10,'Loan Tape'!$AV53)-9))</f>
        <v>0</v>
      </c>
    </row>
    <row r="1270" customFormat="false" ht="15" hidden="false" customHeight="false" outlineLevel="0" collapsed="false">
      <c r="B1270" s="102" t="n">
        <f aca="false">'Loan Tape'!$A54</f>
        <v>0</v>
      </c>
      <c r="C1270" s="99" t="n">
        <f aca="false">MIN(MAX(0,C58-C664-C967),C58*CPR*MAX(0,MIN(1,'Loan Tape'!$AV54)-0))</f>
        <v>0</v>
      </c>
      <c r="D1270" s="99" t="n">
        <f aca="false">MIN(MAX(0,D58-D664-D967),D58*CPR*MAX(0,MIN(2,'Loan Tape'!$AV54)-1))</f>
        <v>0</v>
      </c>
      <c r="E1270" s="99" t="n">
        <f aca="false">MIN(MAX(0,E58-E664-E967),E58*CPR*MAX(0,MIN(3,'Loan Tape'!$AV54)-2))</f>
        <v>0</v>
      </c>
      <c r="F1270" s="99" t="n">
        <f aca="false">MIN(MAX(0,F58-F664-F967),F58*CPR*MAX(0,MIN(4,'Loan Tape'!$AV54)-3))</f>
        <v>0</v>
      </c>
      <c r="G1270" s="99" t="n">
        <f aca="false">MIN(MAX(0,G58-G664-G967),G58*CPR*MAX(0,MIN(5,'Loan Tape'!$AV54)-4))</f>
        <v>0</v>
      </c>
      <c r="H1270" s="99" t="n">
        <f aca="false">MIN(MAX(0,H58-H664-H967),H58*CPR*MAX(0,MIN(6,'Loan Tape'!$AV54)-5))</f>
        <v>0</v>
      </c>
      <c r="I1270" s="99" t="n">
        <f aca="false">MIN(MAX(0,I58-I664-I967),I58*CPR*MAX(0,MIN(7,'Loan Tape'!$AV54)-6))</f>
        <v>0</v>
      </c>
      <c r="J1270" s="99" t="n">
        <f aca="false">MIN(MAX(0,J58-J664-J967),J58*CPR*MAX(0,MIN(8,'Loan Tape'!$AV54)-7))</f>
        <v>0</v>
      </c>
      <c r="K1270" s="99" t="n">
        <f aca="false">MIN(MAX(0,K58-K664-K967),K58*CPR*MAX(0,MIN(9,'Loan Tape'!$AV54)-8))</f>
        <v>0</v>
      </c>
      <c r="L1270" s="99" t="n">
        <f aca="false">MIN(MAX(0,L58-L664-L967),L58*CPR*MAX(0,MIN(10,'Loan Tape'!$AV54)-9))</f>
        <v>0</v>
      </c>
    </row>
    <row r="1271" customFormat="false" ht="15" hidden="false" customHeight="false" outlineLevel="0" collapsed="false">
      <c r="B1271" s="108" t="n">
        <f aca="false">'Loan Tape'!$A55</f>
        <v>0</v>
      </c>
      <c r="C1271" s="71" t="n">
        <f aca="false">MIN(MAX(0,C59-C665-C968),C59*CPR*MAX(0,MIN(1,'Loan Tape'!$AV55)-0))</f>
        <v>0</v>
      </c>
      <c r="D1271" s="71" t="n">
        <f aca="false">MIN(MAX(0,D59-D665-D968),D59*CPR*MAX(0,MIN(2,'Loan Tape'!$AV55)-1))</f>
        <v>0</v>
      </c>
      <c r="E1271" s="71" t="n">
        <f aca="false">MIN(MAX(0,E59-E665-E968),E59*CPR*MAX(0,MIN(3,'Loan Tape'!$AV55)-2))</f>
        <v>0</v>
      </c>
      <c r="F1271" s="71" t="n">
        <f aca="false">MIN(MAX(0,F59-F665-F968),F59*CPR*MAX(0,MIN(4,'Loan Tape'!$AV55)-3))</f>
        <v>0</v>
      </c>
      <c r="G1271" s="71" t="n">
        <f aca="false">MIN(MAX(0,G59-G665-G968),G59*CPR*MAX(0,MIN(5,'Loan Tape'!$AV55)-4))</f>
        <v>0</v>
      </c>
      <c r="H1271" s="71" t="n">
        <f aca="false">MIN(MAX(0,H59-H665-H968),H59*CPR*MAX(0,MIN(6,'Loan Tape'!$AV55)-5))</f>
        <v>0</v>
      </c>
      <c r="I1271" s="71" t="n">
        <f aca="false">MIN(MAX(0,I59-I665-I968),I59*CPR*MAX(0,MIN(7,'Loan Tape'!$AV55)-6))</f>
        <v>0</v>
      </c>
      <c r="J1271" s="71" t="n">
        <f aca="false">MIN(MAX(0,J59-J665-J968),J59*CPR*MAX(0,MIN(8,'Loan Tape'!$AV55)-7))</f>
        <v>0</v>
      </c>
      <c r="K1271" s="71" t="n">
        <f aca="false">MIN(MAX(0,K59-K665-K968),K59*CPR*MAX(0,MIN(9,'Loan Tape'!$AV55)-8))</f>
        <v>0</v>
      </c>
      <c r="L1271" s="71" t="n">
        <f aca="false">MIN(MAX(0,L59-L665-L968),L59*CPR*MAX(0,MIN(10,'Loan Tape'!$AV55)-9))</f>
        <v>0</v>
      </c>
    </row>
    <row r="1272" customFormat="false" ht="15" hidden="false" customHeight="false" outlineLevel="0" collapsed="false">
      <c r="B1272" s="102" t="n">
        <f aca="false">'Loan Tape'!$A56</f>
        <v>0</v>
      </c>
      <c r="C1272" s="99" t="n">
        <f aca="false">MIN(MAX(0,C60-C666-C969),C60*CPR*MAX(0,MIN(1,'Loan Tape'!$AV56)-0))</f>
        <v>0</v>
      </c>
      <c r="D1272" s="99" t="n">
        <f aca="false">MIN(MAX(0,D60-D666-D969),D60*CPR*MAX(0,MIN(2,'Loan Tape'!$AV56)-1))</f>
        <v>0</v>
      </c>
      <c r="E1272" s="99" t="n">
        <f aca="false">MIN(MAX(0,E60-E666-E969),E60*CPR*MAX(0,MIN(3,'Loan Tape'!$AV56)-2))</f>
        <v>0</v>
      </c>
      <c r="F1272" s="99" t="n">
        <f aca="false">MIN(MAX(0,F60-F666-F969),F60*CPR*MAX(0,MIN(4,'Loan Tape'!$AV56)-3))</f>
        <v>0</v>
      </c>
      <c r="G1272" s="99" t="n">
        <f aca="false">MIN(MAX(0,G60-G666-G969),G60*CPR*MAX(0,MIN(5,'Loan Tape'!$AV56)-4))</f>
        <v>0</v>
      </c>
      <c r="H1272" s="99" t="n">
        <f aca="false">MIN(MAX(0,H60-H666-H969),H60*CPR*MAX(0,MIN(6,'Loan Tape'!$AV56)-5))</f>
        <v>0</v>
      </c>
      <c r="I1272" s="99" t="n">
        <f aca="false">MIN(MAX(0,I60-I666-I969),I60*CPR*MAX(0,MIN(7,'Loan Tape'!$AV56)-6))</f>
        <v>0</v>
      </c>
      <c r="J1272" s="99" t="n">
        <f aca="false">MIN(MAX(0,J60-J666-J969),J60*CPR*MAX(0,MIN(8,'Loan Tape'!$AV56)-7))</f>
        <v>0</v>
      </c>
      <c r="K1272" s="99" t="n">
        <f aca="false">MIN(MAX(0,K60-K666-K969),K60*CPR*MAX(0,MIN(9,'Loan Tape'!$AV56)-8))</f>
        <v>0</v>
      </c>
      <c r="L1272" s="99" t="n">
        <f aca="false">MIN(MAX(0,L60-L666-L969),L60*CPR*MAX(0,MIN(10,'Loan Tape'!$AV56)-9))</f>
        <v>0</v>
      </c>
    </row>
    <row r="1273" customFormat="false" ht="15" hidden="false" customHeight="false" outlineLevel="0" collapsed="false">
      <c r="B1273" s="108" t="n">
        <f aca="false">'Loan Tape'!$A57</f>
        <v>0</v>
      </c>
      <c r="C1273" s="71" t="n">
        <f aca="false">MIN(MAX(0,C61-C667-C970),C61*CPR*MAX(0,MIN(1,'Loan Tape'!$AV57)-0))</f>
        <v>0</v>
      </c>
      <c r="D1273" s="71" t="n">
        <f aca="false">MIN(MAX(0,D61-D667-D970),D61*CPR*MAX(0,MIN(2,'Loan Tape'!$AV57)-1))</f>
        <v>0</v>
      </c>
      <c r="E1273" s="71" t="n">
        <f aca="false">MIN(MAX(0,E61-E667-E970),E61*CPR*MAX(0,MIN(3,'Loan Tape'!$AV57)-2))</f>
        <v>0</v>
      </c>
      <c r="F1273" s="71" t="n">
        <f aca="false">MIN(MAX(0,F61-F667-F970),F61*CPR*MAX(0,MIN(4,'Loan Tape'!$AV57)-3))</f>
        <v>0</v>
      </c>
      <c r="G1273" s="71" t="n">
        <f aca="false">MIN(MAX(0,G61-G667-G970),G61*CPR*MAX(0,MIN(5,'Loan Tape'!$AV57)-4))</f>
        <v>0</v>
      </c>
      <c r="H1273" s="71" t="n">
        <f aca="false">MIN(MAX(0,H61-H667-H970),H61*CPR*MAX(0,MIN(6,'Loan Tape'!$AV57)-5))</f>
        <v>0</v>
      </c>
      <c r="I1273" s="71" t="n">
        <f aca="false">MIN(MAX(0,I61-I667-I970),I61*CPR*MAX(0,MIN(7,'Loan Tape'!$AV57)-6))</f>
        <v>0</v>
      </c>
      <c r="J1273" s="71" t="n">
        <f aca="false">MIN(MAX(0,J61-J667-J970),J61*CPR*MAX(0,MIN(8,'Loan Tape'!$AV57)-7))</f>
        <v>0</v>
      </c>
      <c r="K1273" s="71" t="n">
        <f aca="false">MIN(MAX(0,K61-K667-K970),K61*CPR*MAX(0,MIN(9,'Loan Tape'!$AV57)-8))</f>
        <v>0</v>
      </c>
      <c r="L1273" s="71" t="n">
        <f aca="false">MIN(MAX(0,L61-L667-L970),L61*CPR*MAX(0,MIN(10,'Loan Tape'!$AV57)-9))</f>
        <v>0</v>
      </c>
    </row>
    <row r="1274" customFormat="false" ht="15" hidden="false" customHeight="false" outlineLevel="0" collapsed="false">
      <c r="B1274" s="102" t="n">
        <f aca="false">'Loan Tape'!$A58</f>
        <v>0</v>
      </c>
      <c r="C1274" s="99" t="n">
        <f aca="false">MIN(MAX(0,C62-C668-C971),C62*CPR*MAX(0,MIN(1,'Loan Tape'!$AV58)-0))</f>
        <v>0</v>
      </c>
      <c r="D1274" s="99" t="n">
        <f aca="false">MIN(MAX(0,D62-D668-D971),D62*CPR*MAX(0,MIN(2,'Loan Tape'!$AV58)-1))</f>
        <v>0</v>
      </c>
      <c r="E1274" s="99" t="n">
        <f aca="false">MIN(MAX(0,E62-E668-E971),E62*CPR*MAX(0,MIN(3,'Loan Tape'!$AV58)-2))</f>
        <v>0</v>
      </c>
      <c r="F1274" s="99" t="n">
        <f aca="false">MIN(MAX(0,F62-F668-F971),F62*CPR*MAX(0,MIN(4,'Loan Tape'!$AV58)-3))</f>
        <v>0</v>
      </c>
      <c r="G1274" s="99" t="n">
        <f aca="false">MIN(MAX(0,G62-G668-G971),G62*CPR*MAX(0,MIN(5,'Loan Tape'!$AV58)-4))</f>
        <v>0</v>
      </c>
      <c r="H1274" s="99" t="n">
        <f aca="false">MIN(MAX(0,H62-H668-H971),H62*CPR*MAX(0,MIN(6,'Loan Tape'!$AV58)-5))</f>
        <v>0</v>
      </c>
      <c r="I1274" s="99" t="n">
        <f aca="false">MIN(MAX(0,I62-I668-I971),I62*CPR*MAX(0,MIN(7,'Loan Tape'!$AV58)-6))</f>
        <v>0</v>
      </c>
      <c r="J1274" s="99" t="n">
        <f aca="false">MIN(MAX(0,J62-J668-J971),J62*CPR*MAX(0,MIN(8,'Loan Tape'!$AV58)-7))</f>
        <v>0</v>
      </c>
      <c r="K1274" s="99" t="n">
        <f aca="false">MIN(MAX(0,K62-K668-K971),K62*CPR*MAX(0,MIN(9,'Loan Tape'!$AV58)-8))</f>
        <v>0</v>
      </c>
      <c r="L1274" s="99" t="n">
        <f aca="false">MIN(MAX(0,L62-L668-L971),L62*CPR*MAX(0,MIN(10,'Loan Tape'!$AV58)-9))</f>
        <v>0</v>
      </c>
    </row>
    <row r="1275" customFormat="false" ht="15" hidden="false" customHeight="false" outlineLevel="0" collapsed="false">
      <c r="B1275" s="108" t="n">
        <f aca="false">'Loan Tape'!$A59</f>
        <v>0</v>
      </c>
      <c r="C1275" s="71" t="n">
        <f aca="false">MIN(MAX(0,C63-C669-C972),C63*CPR*MAX(0,MIN(1,'Loan Tape'!$AV59)-0))</f>
        <v>0</v>
      </c>
      <c r="D1275" s="71" t="n">
        <f aca="false">MIN(MAX(0,D63-D669-D972),D63*CPR*MAX(0,MIN(2,'Loan Tape'!$AV59)-1))</f>
        <v>0</v>
      </c>
      <c r="E1275" s="71" t="n">
        <f aca="false">MIN(MAX(0,E63-E669-E972),E63*CPR*MAX(0,MIN(3,'Loan Tape'!$AV59)-2))</f>
        <v>0</v>
      </c>
      <c r="F1275" s="71" t="n">
        <f aca="false">MIN(MAX(0,F63-F669-F972),F63*CPR*MAX(0,MIN(4,'Loan Tape'!$AV59)-3))</f>
        <v>0</v>
      </c>
      <c r="G1275" s="71" t="n">
        <f aca="false">MIN(MAX(0,G63-G669-G972),G63*CPR*MAX(0,MIN(5,'Loan Tape'!$AV59)-4))</f>
        <v>0</v>
      </c>
      <c r="H1275" s="71" t="n">
        <f aca="false">MIN(MAX(0,H63-H669-H972),H63*CPR*MAX(0,MIN(6,'Loan Tape'!$AV59)-5))</f>
        <v>0</v>
      </c>
      <c r="I1275" s="71" t="n">
        <f aca="false">MIN(MAX(0,I63-I669-I972),I63*CPR*MAX(0,MIN(7,'Loan Tape'!$AV59)-6))</f>
        <v>0</v>
      </c>
      <c r="J1275" s="71" t="n">
        <f aca="false">MIN(MAX(0,J63-J669-J972),J63*CPR*MAX(0,MIN(8,'Loan Tape'!$AV59)-7))</f>
        <v>0</v>
      </c>
      <c r="K1275" s="71" t="n">
        <f aca="false">MIN(MAX(0,K63-K669-K972),K63*CPR*MAX(0,MIN(9,'Loan Tape'!$AV59)-8))</f>
        <v>0</v>
      </c>
      <c r="L1275" s="71" t="n">
        <f aca="false">MIN(MAX(0,L63-L669-L972),L63*CPR*MAX(0,MIN(10,'Loan Tape'!$AV59)-9))</f>
        <v>0</v>
      </c>
    </row>
    <row r="1276" customFormat="false" ht="15" hidden="false" customHeight="false" outlineLevel="0" collapsed="false">
      <c r="B1276" s="102" t="n">
        <f aca="false">'Loan Tape'!$A60</f>
        <v>0</v>
      </c>
      <c r="C1276" s="99" t="n">
        <f aca="false">MIN(MAX(0,C64-C670-C973),C64*CPR*MAX(0,MIN(1,'Loan Tape'!$AV60)-0))</f>
        <v>0</v>
      </c>
      <c r="D1276" s="99" t="n">
        <f aca="false">MIN(MAX(0,D64-D670-D973),D64*CPR*MAX(0,MIN(2,'Loan Tape'!$AV60)-1))</f>
        <v>0</v>
      </c>
      <c r="E1276" s="99" t="n">
        <f aca="false">MIN(MAX(0,E64-E670-E973),E64*CPR*MAX(0,MIN(3,'Loan Tape'!$AV60)-2))</f>
        <v>0</v>
      </c>
      <c r="F1276" s="99" t="n">
        <f aca="false">MIN(MAX(0,F64-F670-F973),F64*CPR*MAX(0,MIN(4,'Loan Tape'!$AV60)-3))</f>
        <v>0</v>
      </c>
      <c r="G1276" s="99" t="n">
        <f aca="false">MIN(MAX(0,G64-G670-G973),G64*CPR*MAX(0,MIN(5,'Loan Tape'!$AV60)-4))</f>
        <v>0</v>
      </c>
      <c r="H1276" s="99" t="n">
        <f aca="false">MIN(MAX(0,H64-H670-H973),H64*CPR*MAX(0,MIN(6,'Loan Tape'!$AV60)-5))</f>
        <v>0</v>
      </c>
      <c r="I1276" s="99" t="n">
        <f aca="false">MIN(MAX(0,I64-I670-I973),I64*CPR*MAX(0,MIN(7,'Loan Tape'!$AV60)-6))</f>
        <v>0</v>
      </c>
      <c r="J1276" s="99" t="n">
        <f aca="false">MIN(MAX(0,J64-J670-J973),J64*CPR*MAX(0,MIN(8,'Loan Tape'!$AV60)-7))</f>
        <v>0</v>
      </c>
      <c r="K1276" s="99" t="n">
        <f aca="false">MIN(MAX(0,K64-K670-K973),K64*CPR*MAX(0,MIN(9,'Loan Tape'!$AV60)-8))</f>
        <v>0</v>
      </c>
      <c r="L1276" s="99" t="n">
        <f aca="false">MIN(MAX(0,L64-L670-L973),L64*CPR*MAX(0,MIN(10,'Loan Tape'!$AV60)-9))</f>
        <v>0</v>
      </c>
    </row>
    <row r="1277" customFormat="false" ht="15" hidden="false" customHeight="false" outlineLevel="0" collapsed="false">
      <c r="B1277" s="108" t="n">
        <f aca="false">'Loan Tape'!$A61</f>
        <v>0</v>
      </c>
      <c r="C1277" s="71" t="n">
        <f aca="false">MIN(MAX(0,C65-C671-C974),C65*CPR*MAX(0,MIN(1,'Loan Tape'!$AV61)-0))</f>
        <v>0</v>
      </c>
      <c r="D1277" s="71" t="n">
        <f aca="false">MIN(MAX(0,D65-D671-D974),D65*CPR*MAX(0,MIN(2,'Loan Tape'!$AV61)-1))</f>
        <v>0</v>
      </c>
      <c r="E1277" s="71" t="n">
        <f aca="false">MIN(MAX(0,E65-E671-E974),E65*CPR*MAX(0,MIN(3,'Loan Tape'!$AV61)-2))</f>
        <v>0</v>
      </c>
      <c r="F1277" s="71" t="n">
        <f aca="false">MIN(MAX(0,F65-F671-F974),F65*CPR*MAX(0,MIN(4,'Loan Tape'!$AV61)-3))</f>
        <v>0</v>
      </c>
      <c r="G1277" s="71" t="n">
        <f aca="false">MIN(MAX(0,G65-G671-G974),G65*CPR*MAX(0,MIN(5,'Loan Tape'!$AV61)-4))</f>
        <v>0</v>
      </c>
      <c r="H1277" s="71" t="n">
        <f aca="false">MIN(MAX(0,H65-H671-H974),H65*CPR*MAX(0,MIN(6,'Loan Tape'!$AV61)-5))</f>
        <v>0</v>
      </c>
      <c r="I1277" s="71" t="n">
        <f aca="false">MIN(MAX(0,I65-I671-I974),I65*CPR*MAX(0,MIN(7,'Loan Tape'!$AV61)-6))</f>
        <v>0</v>
      </c>
      <c r="J1277" s="71" t="n">
        <f aca="false">MIN(MAX(0,J65-J671-J974),J65*CPR*MAX(0,MIN(8,'Loan Tape'!$AV61)-7))</f>
        <v>0</v>
      </c>
      <c r="K1277" s="71" t="n">
        <f aca="false">MIN(MAX(0,K65-K671-K974),K65*CPR*MAX(0,MIN(9,'Loan Tape'!$AV61)-8))</f>
        <v>0</v>
      </c>
      <c r="L1277" s="71" t="n">
        <f aca="false">MIN(MAX(0,L65-L671-L974),L65*CPR*MAX(0,MIN(10,'Loan Tape'!$AV61)-9))</f>
        <v>0</v>
      </c>
    </row>
    <row r="1278" customFormat="false" ht="15" hidden="false" customHeight="false" outlineLevel="0" collapsed="false">
      <c r="B1278" s="102" t="n">
        <f aca="false">'Loan Tape'!$A62</f>
        <v>0</v>
      </c>
      <c r="C1278" s="99" t="n">
        <f aca="false">MIN(MAX(0,C66-C672-C975),C66*CPR*MAX(0,MIN(1,'Loan Tape'!$AV62)-0))</f>
        <v>0</v>
      </c>
      <c r="D1278" s="99" t="n">
        <f aca="false">MIN(MAX(0,D66-D672-D975),D66*CPR*MAX(0,MIN(2,'Loan Tape'!$AV62)-1))</f>
        <v>0</v>
      </c>
      <c r="E1278" s="99" t="n">
        <f aca="false">MIN(MAX(0,E66-E672-E975),E66*CPR*MAX(0,MIN(3,'Loan Tape'!$AV62)-2))</f>
        <v>0</v>
      </c>
      <c r="F1278" s="99" t="n">
        <f aca="false">MIN(MAX(0,F66-F672-F975),F66*CPR*MAX(0,MIN(4,'Loan Tape'!$AV62)-3))</f>
        <v>0</v>
      </c>
      <c r="G1278" s="99" t="n">
        <f aca="false">MIN(MAX(0,G66-G672-G975),G66*CPR*MAX(0,MIN(5,'Loan Tape'!$AV62)-4))</f>
        <v>0</v>
      </c>
      <c r="H1278" s="99" t="n">
        <f aca="false">MIN(MAX(0,H66-H672-H975),H66*CPR*MAX(0,MIN(6,'Loan Tape'!$AV62)-5))</f>
        <v>0</v>
      </c>
      <c r="I1278" s="99" t="n">
        <f aca="false">MIN(MAX(0,I66-I672-I975),I66*CPR*MAX(0,MIN(7,'Loan Tape'!$AV62)-6))</f>
        <v>0</v>
      </c>
      <c r="J1278" s="99" t="n">
        <f aca="false">MIN(MAX(0,J66-J672-J975),J66*CPR*MAX(0,MIN(8,'Loan Tape'!$AV62)-7))</f>
        <v>0</v>
      </c>
      <c r="K1278" s="99" t="n">
        <f aca="false">MIN(MAX(0,K66-K672-K975),K66*CPR*MAX(0,MIN(9,'Loan Tape'!$AV62)-8))</f>
        <v>0</v>
      </c>
      <c r="L1278" s="99" t="n">
        <f aca="false">MIN(MAX(0,L66-L672-L975),L66*CPR*MAX(0,MIN(10,'Loan Tape'!$AV62)-9))</f>
        <v>0</v>
      </c>
    </row>
    <row r="1279" customFormat="false" ht="15" hidden="false" customHeight="false" outlineLevel="0" collapsed="false">
      <c r="B1279" s="108" t="n">
        <f aca="false">'Loan Tape'!$A63</f>
        <v>0</v>
      </c>
      <c r="C1279" s="71" t="n">
        <f aca="false">MIN(MAX(0,C67-C673-C976),C67*CPR*MAX(0,MIN(1,'Loan Tape'!$AV63)-0))</f>
        <v>0</v>
      </c>
      <c r="D1279" s="71" t="n">
        <f aca="false">MIN(MAX(0,D67-D673-D976),D67*CPR*MAX(0,MIN(2,'Loan Tape'!$AV63)-1))</f>
        <v>0</v>
      </c>
      <c r="E1279" s="71" t="n">
        <f aca="false">MIN(MAX(0,E67-E673-E976),E67*CPR*MAX(0,MIN(3,'Loan Tape'!$AV63)-2))</f>
        <v>0</v>
      </c>
      <c r="F1279" s="71" t="n">
        <f aca="false">MIN(MAX(0,F67-F673-F976),F67*CPR*MAX(0,MIN(4,'Loan Tape'!$AV63)-3))</f>
        <v>0</v>
      </c>
      <c r="G1279" s="71" t="n">
        <f aca="false">MIN(MAX(0,G67-G673-G976),G67*CPR*MAX(0,MIN(5,'Loan Tape'!$AV63)-4))</f>
        <v>0</v>
      </c>
      <c r="H1279" s="71" t="n">
        <f aca="false">MIN(MAX(0,H67-H673-H976),H67*CPR*MAX(0,MIN(6,'Loan Tape'!$AV63)-5))</f>
        <v>0</v>
      </c>
      <c r="I1279" s="71" t="n">
        <f aca="false">MIN(MAX(0,I67-I673-I976),I67*CPR*MAX(0,MIN(7,'Loan Tape'!$AV63)-6))</f>
        <v>0</v>
      </c>
      <c r="J1279" s="71" t="n">
        <f aca="false">MIN(MAX(0,J67-J673-J976),J67*CPR*MAX(0,MIN(8,'Loan Tape'!$AV63)-7))</f>
        <v>0</v>
      </c>
      <c r="K1279" s="71" t="n">
        <f aca="false">MIN(MAX(0,K67-K673-K976),K67*CPR*MAX(0,MIN(9,'Loan Tape'!$AV63)-8))</f>
        <v>0</v>
      </c>
      <c r="L1279" s="71" t="n">
        <f aca="false">MIN(MAX(0,L67-L673-L976),L67*CPR*MAX(0,MIN(10,'Loan Tape'!$AV63)-9))</f>
        <v>0</v>
      </c>
    </row>
    <row r="1280" customFormat="false" ht="15" hidden="false" customHeight="false" outlineLevel="0" collapsed="false">
      <c r="B1280" s="102" t="n">
        <f aca="false">'Loan Tape'!$A64</f>
        <v>0</v>
      </c>
      <c r="C1280" s="99" t="n">
        <f aca="false">MIN(MAX(0,C68-C674-C977),C68*CPR*MAX(0,MIN(1,'Loan Tape'!$AV64)-0))</f>
        <v>0</v>
      </c>
      <c r="D1280" s="99" t="n">
        <f aca="false">MIN(MAX(0,D68-D674-D977),D68*CPR*MAX(0,MIN(2,'Loan Tape'!$AV64)-1))</f>
        <v>0</v>
      </c>
      <c r="E1280" s="99" t="n">
        <f aca="false">MIN(MAX(0,E68-E674-E977),E68*CPR*MAX(0,MIN(3,'Loan Tape'!$AV64)-2))</f>
        <v>0</v>
      </c>
      <c r="F1280" s="99" t="n">
        <f aca="false">MIN(MAX(0,F68-F674-F977),F68*CPR*MAX(0,MIN(4,'Loan Tape'!$AV64)-3))</f>
        <v>0</v>
      </c>
      <c r="G1280" s="99" t="n">
        <f aca="false">MIN(MAX(0,G68-G674-G977),G68*CPR*MAX(0,MIN(5,'Loan Tape'!$AV64)-4))</f>
        <v>0</v>
      </c>
      <c r="H1280" s="99" t="n">
        <f aca="false">MIN(MAX(0,H68-H674-H977),H68*CPR*MAX(0,MIN(6,'Loan Tape'!$AV64)-5))</f>
        <v>0</v>
      </c>
      <c r="I1280" s="99" t="n">
        <f aca="false">MIN(MAX(0,I68-I674-I977),I68*CPR*MAX(0,MIN(7,'Loan Tape'!$AV64)-6))</f>
        <v>0</v>
      </c>
      <c r="J1280" s="99" t="n">
        <f aca="false">MIN(MAX(0,J68-J674-J977),J68*CPR*MAX(0,MIN(8,'Loan Tape'!$AV64)-7))</f>
        <v>0</v>
      </c>
      <c r="K1280" s="99" t="n">
        <f aca="false">MIN(MAX(0,K68-K674-K977),K68*CPR*MAX(0,MIN(9,'Loan Tape'!$AV64)-8))</f>
        <v>0</v>
      </c>
      <c r="L1280" s="99" t="n">
        <f aca="false">MIN(MAX(0,L68-L674-L977),L68*CPR*MAX(0,MIN(10,'Loan Tape'!$AV64)-9))</f>
        <v>0</v>
      </c>
    </row>
    <row r="1281" customFormat="false" ht="15" hidden="false" customHeight="false" outlineLevel="0" collapsed="false">
      <c r="B1281" s="108" t="n">
        <f aca="false">'Loan Tape'!$A65</f>
        <v>0</v>
      </c>
      <c r="C1281" s="71" t="n">
        <f aca="false">MIN(MAX(0,C69-C675-C978),C69*CPR*MAX(0,MIN(1,'Loan Tape'!$AV65)-0))</f>
        <v>0</v>
      </c>
      <c r="D1281" s="71" t="n">
        <f aca="false">MIN(MAX(0,D69-D675-D978),D69*CPR*MAX(0,MIN(2,'Loan Tape'!$AV65)-1))</f>
        <v>0</v>
      </c>
      <c r="E1281" s="71" t="n">
        <f aca="false">MIN(MAX(0,E69-E675-E978),E69*CPR*MAX(0,MIN(3,'Loan Tape'!$AV65)-2))</f>
        <v>0</v>
      </c>
      <c r="F1281" s="71" t="n">
        <f aca="false">MIN(MAX(0,F69-F675-F978),F69*CPR*MAX(0,MIN(4,'Loan Tape'!$AV65)-3))</f>
        <v>0</v>
      </c>
      <c r="G1281" s="71" t="n">
        <f aca="false">MIN(MAX(0,G69-G675-G978),G69*CPR*MAX(0,MIN(5,'Loan Tape'!$AV65)-4))</f>
        <v>0</v>
      </c>
      <c r="H1281" s="71" t="n">
        <f aca="false">MIN(MAX(0,H69-H675-H978),H69*CPR*MAX(0,MIN(6,'Loan Tape'!$AV65)-5))</f>
        <v>0</v>
      </c>
      <c r="I1281" s="71" t="n">
        <f aca="false">MIN(MAX(0,I69-I675-I978),I69*CPR*MAX(0,MIN(7,'Loan Tape'!$AV65)-6))</f>
        <v>0</v>
      </c>
      <c r="J1281" s="71" t="n">
        <f aca="false">MIN(MAX(0,J69-J675-J978),J69*CPR*MAX(0,MIN(8,'Loan Tape'!$AV65)-7))</f>
        <v>0</v>
      </c>
      <c r="K1281" s="71" t="n">
        <f aca="false">MIN(MAX(0,K69-K675-K978),K69*CPR*MAX(0,MIN(9,'Loan Tape'!$AV65)-8))</f>
        <v>0</v>
      </c>
      <c r="L1281" s="71" t="n">
        <f aca="false">MIN(MAX(0,L69-L675-L978),L69*CPR*MAX(0,MIN(10,'Loan Tape'!$AV65)-9))</f>
        <v>0</v>
      </c>
    </row>
    <row r="1282" customFormat="false" ht="15" hidden="false" customHeight="false" outlineLevel="0" collapsed="false">
      <c r="B1282" s="102" t="n">
        <f aca="false">'Loan Tape'!$A66</f>
        <v>0</v>
      </c>
      <c r="C1282" s="99" t="n">
        <f aca="false">MIN(MAX(0,C70-C676-C979),C70*CPR*MAX(0,MIN(1,'Loan Tape'!$AV66)-0))</f>
        <v>0</v>
      </c>
      <c r="D1282" s="99" t="n">
        <f aca="false">MIN(MAX(0,D70-D676-D979),D70*CPR*MAX(0,MIN(2,'Loan Tape'!$AV66)-1))</f>
        <v>0</v>
      </c>
      <c r="E1282" s="99" t="n">
        <f aca="false">MIN(MAX(0,E70-E676-E979),E70*CPR*MAX(0,MIN(3,'Loan Tape'!$AV66)-2))</f>
        <v>0</v>
      </c>
      <c r="F1282" s="99" t="n">
        <f aca="false">MIN(MAX(0,F70-F676-F979),F70*CPR*MAX(0,MIN(4,'Loan Tape'!$AV66)-3))</f>
        <v>0</v>
      </c>
      <c r="G1282" s="99" t="n">
        <f aca="false">MIN(MAX(0,G70-G676-G979),G70*CPR*MAX(0,MIN(5,'Loan Tape'!$AV66)-4))</f>
        <v>0</v>
      </c>
      <c r="H1282" s="99" t="n">
        <f aca="false">MIN(MAX(0,H70-H676-H979),H70*CPR*MAX(0,MIN(6,'Loan Tape'!$AV66)-5))</f>
        <v>0</v>
      </c>
      <c r="I1282" s="99" t="n">
        <f aca="false">MIN(MAX(0,I70-I676-I979),I70*CPR*MAX(0,MIN(7,'Loan Tape'!$AV66)-6))</f>
        <v>0</v>
      </c>
      <c r="J1282" s="99" t="n">
        <f aca="false">MIN(MAX(0,J70-J676-J979),J70*CPR*MAX(0,MIN(8,'Loan Tape'!$AV66)-7))</f>
        <v>0</v>
      </c>
      <c r="K1282" s="99" t="n">
        <f aca="false">MIN(MAX(0,K70-K676-K979),K70*CPR*MAX(0,MIN(9,'Loan Tape'!$AV66)-8))</f>
        <v>0</v>
      </c>
      <c r="L1282" s="99" t="n">
        <f aca="false">MIN(MAX(0,L70-L676-L979),L70*CPR*MAX(0,MIN(10,'Loan Tape'!$AV66)-9))</f>
        <v>0</v>
      </c>
    </row>
    <row r="1283" customFormat="false" ht="15" hidden="false" customHeight="false" outlineLevel="0" collapsed="false">
      <c r="B1283" s="108" t="n">
        <f aca="false">'Loan Tape'!$A67</f>
        <v>0</v>
      </c>
      <c r="C1283" s="71" t="n">
        <f aca="false">MIN(MAX(0,C71-C677-C980),C71*CPR*MAX(0,MIN(1,'Loan Tape'!$AV67)-0))</f>
        <v>0</v>
      </c>
      <c r="D1283" s="71" t="n">
        <f aca="false">MIN(MAX(0,D71-D677-D980),D71*CPR*MAX(0,MIN(2,'Loan Tape'!$AV67)-1))</f>
        <v>0</v>
      </c>
      <c r="E1283" s="71" t="n">
        <f aca="false">MIN(MAX(0,E71-E677-E980),E71*CPR*MAX(0,MIN(3,'Loan Tape'!$AV67)-2))</f>
        <v>0</v>
      </c>
      <c r="F1283" s="71" t="n">
        <f aca="false">MIN(MAX(0,F71-F677-F980),F71*CPR*MAX(0,MIN(4,'Loan Tape'!$AV67)-3))</f>
        <v>0</v>
      </c>
      <c r="G1283" s="71" t="n">
        <f aca="false">MIN(MAX(0,G71-G677-G980),G71*CPR*MAX(0,MIN(5,'Loan Tape'!$AV67)-4))</f>
        <v>0</v>
      </c>
      <c r="H1283" s="71" t="n">
        <f aca="false">MIN(MAX(0,H71-H677-H980),H71*CPR*MAX(0,MIN(6,'Loan Tape'!$AV67)-5))</f>
        <v>0</v>
      </c>
      <c r="I1283" s="71" t="n">
        <f aca="false">MIN(MAX(0,I71-I677-I980),I71*CPR*MAX(0,MIN(7,'Loan Tape'!$AV67)-6))</f>
        <v>0</v>
      </c>
      <c r="J1283" s="71" t="n">
        <f aca="false">MIN(MAX(0,J71-J677-J980),J71*CPR*MAX(0,MIN(8,'Loan Tape'!$AV67)-7))</f>
        <v>0</v>
      </c>
      <c r="K1283" s="71" t="n">
        <f aca="false">MIN(MAX(0,K71-K677-K980),K71*CPR*MAX(0,MIN(9,'Loan Tape'!$AV67)-8))</f>
        <v>0</v>
      </c>
      <c r="L1283" s="71" t="n">
        <f aca="false">MIN(MAX(0,L71-L677-L980),L71*CPR*MAX(0,MIN(10,'Loan Tape'!$AV67)-9))</f>
        <v>0</v>
      </c>
    </row>
    <row r="1284" customFormat="false" ht="15" hidden="false" customHeight="false" outlineLevel="0" collapsed="false">
      <c r="B1284" s="102" t="n">
        <f aca="false">'Loan Tape'!$A68</f>
        <v>0</v>
      </c>
      <c r="C1284" s="99" t="n">
        <f aca="false">MIN(MAX(0,C72-C678-C981),C72*CPR*MAX(0,MIN(1,'Loan Tape'!$AV68)-0))</f>
        <v>0</v>
      </c>
      <c r="D1284" s="99" t="n">
        <f aca="false">MIN(MAX(0,D72-D678-D981),D72*CPR*MAX(0,MIN(2,'Loan Tape'!$AV68)-1))</f>
        <v>0</v>
      </c>
      <c r="E1284" s="99" t="n">
        <f aca="false">MIN(MAX(0,E72-E678-E981),E72*CPR*MAX(0,MIN(3,'Loan Tape'!$AV68)-2))</f>
        <v>0</v>
      </c>
      <c r="F1284" s="99" t="n">
        <f aca="false">MIN(MAX(0,F72-F678-F981),F72*CPR*MAX(0,MIN(4,'Loan Tape'!$AV68)-3))</f>
        <v>0</v>
      </c>
      <c r="G1284" s="99" t="n">
        <f aca="false">MIN(MAX(0,G72-G678-G981),G72*CPR*MAX(0,MIN(5,'Loan Tape'!$AV68)-4))</f>
        <v>0</v>
      </c>
      <c r="H1284" s="99" t="n">
        <f aca="false">MIN(MAX(0,H72-H678-H981),H72*CPR*MAX(0,MIN(6,'Loan Tape'!$AV68)-5))</f>
        <v>0</v>
      </c>
      <c r="I1284" s="99" t="n">
        <f aca="false">MIN(MAX(0,I72-I678-I981),I72*CPR*MAX(0,MIN(7,'Loan Tape'!$AV68)-6))</f>
        <v>0</v>
      </c>
      <c r="J1284" s="99" t="n">
        <f aca="false">MIN(MAX(0,J72-J678-J981),J72*CPR*MAX(0,MIN(8,'Loan Tape'!$AV68)-7))</f>
        <v>0</v>
      </c>
      <c r="K1284" s="99" t="n">
        <f aca="false">MIN(MAX(0,K72-K678-K981),K72*CPR*MAX(0,MIN(9,'Loan Tape'!$AV68)-8))</f>
        <v>0</v>
      </c>
      <c r="L1284" s="99" t="n">
        <f aca="false">MIN(MAX(0,L72-L678-L981),L72*CPR*MAX(0,MIN(10,'Loan Tape'!$AV68)-9))</f>
        <v>0</v>
      </c>
    </row>
    <row r="1285" customFormat="false" ht="15" hidden="false" customHeight="false" outlineLevel="0" collapsed="false">
      <c r="B1285" s="108" t="n">
        <f aca="false">'Loan Tape'!$A69</f>
        <v>0</v>
      </c>
      <c r="C1285" s="71" t="n">
        <f aca="false">MIN(MAX(0,C73-C679-C982),C73*CPR*MAX(0,MIN(1,'Loan Tape'!$AV69)-0))</f>
        <v>0</v>
      </c>
      <c r="D1285" s="71" t="n">
        <f aca="false">MIN(MAX(0,D73-D679-D982),D73*CPR*MAX(0,MIN(2,'Loan Tape'!$AV69)-1))</f>
        <v>0</v>
      </c>
      <c r="E1285" s="71" t="n">
        <f aca="false">MIN(MAX(0,E73-E679-E982),E73*CPR*MAX(0,MIN(3,'Loan Tape'!$AV69)-2))</f>
        <v>0</v>
      </c>
      <c r="F1285" s="71" t="n">
        <f aca="false">MIN(MAX(0,F73-F679-F982),F73*CPR*MAX(0,MIN(4,'Loan Tape'!$AV69)-3))</f>
        <v>0</v>
      </c>
      <c r="G1285" s="71" t="n">
        <f aca="false">MIN(MAX(0,G73-G679-G982),G73*CPR*MAX(0,MIN(5,'Loan Tape'!$AV69)-4))</f>
        <v>0</v>
      </c>
      <c r="H1285" s="71" t="n">
        <f aca="false">MIN(MAX(0,H73-H679-H982),H73*CPR*MAX(0,MIN(6,'Loan Tape'!$AV69)-5))</f>
        <v>0</v>
      </c>
      <c r="I1285" s="71" t="n">
        <f aca="false">MIN(MAX(0,I73-I679-I982),I73*CPR*MAX(0,MIN(7,'Loan Tape'!$AV69)-6))</f>
        <v>0</v>
      </c>
      <c r="J1285" s="71" t="n">
        <f aca="false">MIN(MAX(0,J73-J679-J982),J73*CPR*MAX(0,MIN(8,'Loan Tape'!$AV69)-7))</f>
        <v>0</v>
      </c>
      <c r="K1285" s="71" t="n">
        <f aca="false">MIN(MAX(0,K73-K679-K982),K73*CPR*MAX(0,MIN(9,'Loan Tape'!$AV69)-8))</f>
        <v>0</v>
      </c>
      <c r="L1285" s="71" t="n">
        <f aca="false">MIN(MAX(0,L73-L679-L982),L73*CPR*MAX(0,MIN(10,'Loan Tape'!$AV69)-9))</f>
        <v>0</v>
      </c>
    </row>
    <row r="1286" customFormat="false" ht="15" hidden="false" customHeight="false" outlineLevel="0" collapsed="false">
      <c r="B1286" s="102" t="n">
        <f aca="false">'Loan Tape'!$A70</f>
        <v>0</v>
      </c>
      <c r="C1286" s="99" t="n">
        <f aca="false">MIN(MAX(0,C74-C680-C983),C74*CPR*MAX(0,MIN(1,'Loan Tape'!$AV70)-0))</f>
        <v>0</v>
      </c>
      <c r="D1286" s="99" t="n">
        <f aca="false">MIN(MAX(0,D74-D680-D983),D74*CPR*MAX(0,MIN(2,'Loan Tape'!$AV70)-1))</f>
        <v>0</v>
      </c>
      <c r="E1286" s="99" t="n">
        <f aca="false">MIN(MAX(0,E74-E680-E983),E74*CPR*MAX(0,MIN(3,'Loan Tape'!$AV70)-2))</f>
        <v>0</v>
      </c>
      <c r="F1286" s="99" t="n">
        <f aca="false">MIN(MAX(0,F74-F680-F983),F74*CPR*MAX(0,MIN(4,'Loan Tape'!$AV70)-3))</f>
        <v>0</v>
      </c>
      <c r="G1286" s="99" t="n">
        <f aca="false">MIN(MAX(0,G74-G680-G983),G74*CPR*MAX(0,MIN(5,'Loan Tape'!$AV70)-4))</f>
        <v>0</v>
      </c>
      <c r="H1286" s="99" t="n">
        <f aca="false">MIN(MAX(0,H74-H680-H983),H74*CPR*MAX(0,MIN(6,'Loan Tape'!$AV70)-5))</f>
        <v>0</v>
      </c>
      <c r="I1286" s="99" t="n">
        <f aca="false">MIN(MAX(0,I74-I680-I983),I74*CPR*MAX(0,MIN(7,'Loan Tape'!$AV70)-6))</f>
        <v>0</v>
      </c>
      <c r="J1286" s="99" t="n">
        <f aca="false">MIN(MAX(0,J74-J680-J983),J74*CPR*MAX(0,MIN(8,'Loan Tape'!$AV70)-7))</f>
        <v>0</v>
      </c>
      <c r="K1286" s="99" t="n">
        <f aca="false">MIN(MAX(0,K74-K680-K983),K74*CPR*MAX(0,MIN(9,'Loan Tape'!$AV70)-8))</f>
        <v>0</v>
      </c>
      <c r="L1286" s="99" t="n">
        <f aca="false">MIN(MAX(0,L74-L680-L983),L74*CPR*MAX(0,MIN(10,'Loan Tape'!$AV70)-9))</f>
        <v>0</v>
      </c>
    </row>
    <row r="1287" customFormat="false" ht="15" hidden="false" customHeight="false" outlineLevel="0" collapsed="false">
      <c r="B1287" s="108" t="n">
        <f aca="false">'Loan Tape'!$A71</f>
        <v>0</v>
      </c>
      <c r="C1287" s="71" t="n">
        <f aca="false">MIN(MAX(0,C75-C681-C984),C75*CPR*MAX(0,MIN(1,'Loan Tape'!$AV71)-0))</f>
        <v>0</v>
      </c>
      <c r="D1287" s="71" t="n">
        <f aca="false">MIN(MAX(0,D75-D681-D984),D75*CPR*MAX(0,MIN(2,'Loan Tape'!$AV71)-1))</f>
        <v>0</v>
      </c>
      <c r="E1287" s="71" t="n">
        <f aca="false">MIN(MAX(0,E75-E681-E984),E75*CPR*MAX(0,MIN(3,'Loan Tape'!$AV71)-2))</f>
        <v>0</v>
      </c>
      <c r="F1287" s="71" t="n">
        <f aca="false">MIN(MAX(0,F75-F681-F984),F75*CPR*MAX(0,MIN(4,'Loan Tape'!$AV71)-3))</f>
        <v>0</v>
      </c>
      <c r="G1287" s="71" t="n">
        <f aca="false">MIN(MAX(0,G75-G681-G984),G75*CPR*MAX(0,MIN(5,'Loan Tape'!$AV71)-4))</f>
        <v>0</v>
      </c>
      <c r="H1287" s="71" t="n">
        <f aca="false">MIN(MAX(0,H75-H681-H984),H75*CPR*MAX(0,MIN(6,'Loan Tape'!$AV71)-5))</f>
        <v>0</v>
      </c>
      <c r="I1287" s="71" t="n">
        <f aca="false">MIN(MAX(0,I75-I681-I984),I75*CPR*MAX(0,MIN(7,'Loan Tape'!$AV71)-6))</f>
        <v>0</v>
      </c>
      <c r="J1287" s="71" t="n">
        <f aca="false">MIN(MAX(0,J75-J681-J984),J75*CPR*MAX(0,MIN(8,'Loan Tape'!$AV71)-7))</f>
        <v>0</v>
      </c>
      <c r="K1287" s="71" t="n">
        <f aca="false">MIN(MAX(0,K75-K681-K984),K75*CPR*MAX(0,MIN(9,'Loan Tape'!$AV71)-8))</f>
        <v>0</v>
      </c>
      <c r="L1287" s="71" t="n">
        <f aca="false">MIN(MAX(0,L75-L681-L984),L75*CPR*MAX(0,MIN(10,'Loan Tape'!$AV71)-9))</f>
        <v>0</v>
      </c>
    </row>
    <row r="1288" customFormat="false" ht="15" hidden="false" customHeight="false" outlineLevel="0" collapsed="false">
      <c r="B1288" s="102" t="n">
        <f aca="false">'Loan Tape'!$A72</f>
        <v>0</v>
      </c>
      <c r="C1288" s="99" t="n">
        <f aca="false">MIN(MAX(0,C76-C682-C985),C76*CPR*MAX(0,MIN(1,'Loan Tape'!$AV72)-0))</f>
        <v>0</v>
      </c>
      <c r="D1288" s="99" t="n">
        <f aca="false">MIN(MAX(0,D76-D682-D985),D76*CPR*MAX(0,MIN(2,'Loan Tape'!$AV72)-1))</f>
        <v>0</v>
      </c>
      <c r="E1288" s="99" t="n">
        <f aca="false">MIN(MAX(0,E76-E682-E985),E76*CPR*MAX(0,MIN(3,'Loan Tape'!$AV72)-2))</f>
        <v>0</v>
      </c>
      <c r="F1288" s="99" t="n">
        <f aca="false">MIN(MAX(0,F76-F682-F985),F76*CPR*MAX(0,MIN(4,'Loan Tape'!$AV72)-3))</f>
        <v>0</v>
      </c>
      <c r="G1288" s="99" t="n">
        <f aca="false">MIN(MAX(0,G76-G682-G985),G76*CPR*MAX(0,MIN(5,'Loan Tape'!$AV72)-4))</f>
        <v>0</v>
      </c>
      <c r="H1288" s="99" t="n">
        <f aca="false">MIN(MAX(0,H76-H682-H985),H76*CPR*MAX(0,MIN(6,'Loan Tape'!$AV72)-5))</f>
        <v>0</v>
      </c>
      <c r="I1288" s="99" t="n">
        <f aca="false">MIN(MAX(0,I76-I682-I985),I76*CPR*MAX(0,MIN(7,'Loan Tape'!$AV72)-6))</f>
        <v>0</v>
      </c>
      <c r="J1288" s="99" t="n">
        <f aca="false">MIN(MAX(0,J76-J682-J985),J76*CPR*MAX(0,MIN(8,'Loan Tape'!$AV72)-7))</f>
        <v>0</v>
      </c>
      <c r="K1288" s="99" t="n">
        <f aca="false">MIN(MAX(0,K76-K682-K985),K76*CPR*MAX(0,MIN(9,'Loan Tape'!$AV72)-8))</f>
        <v>0</v>
      </c>
      <c r="L1288" s="99" t="n">
        <f aca="false">MIN(MAX(0,L76-L682-L985),L76*CPR*MAX(0,MIN(10,'Loan Tape'!$AV72)-9))</f>
        <v>0</v>
      </c>
    </row>
    <row r="1289" customFormat="false" ht="15" hidden="false" customHeight="false" outlineLevel="0" collapsed="false">
      <c r="B1289" s="108" t="n">
        <f aca="false">'Loan Tape'!$A73</f>
        <v>0</v>
      </c>
      <c r="C1289" s="71" t="n">
        <f aca="false">MIN(MAX(0,C77-C683-C986),C77*CPR*MAX(0,MIN(1,'Loan Tape'!$AV73)-0))</f>
        <v>0</v>
      </c>
      <c r="D1289" s="71" t="n">
        <f aca="false">MIN(MAX(0,D77-D683-D986),D77*CPR*MAX(0,MIN(2,'Loan Tape'!$AV73)-1))</f>
        <v>0</v>
      </c>
      <c r="E1289" s="71" t="n">
        <f aca="false">MIN(MAX(0,E77-E683-E986),E77*CPR*MAX(0,MIN(3,'Loan Tape'!$AV73)-2))</f>
        <v>0</v>
      </c>
      <c r="F1289" s="71" t="n">
        <f aca="false">MIN(MAX(0,F77-F683-F986),F77*CPR*MAX(0,MIN(4,'Loan Tape'!$AV73)-3))</f>
        <v>0</v>
      </c>
      <c r="G1289" s="71" t="n">
        <f aca="false">MIN(MAX(0,G77-G683-G986),G77*CPR*MAX(0,MIN(5,'Loan Tape'!$AV73)-4))</f>
        <v>0</v>
      </c>
      <c r="H1289" s="71" t="n">
        <f aca="false">MIN(MAX(0,H77-H683-H986),H77*CPR*MAX(0,MIN(6,'Loan Tape'!$AV73)-5))</f>
        <v>0</v>
      </c>
      <c r="I1289" s="71" t="n">
        <f aca="false">MIN(MAX(0,I77-I683-I986),I77*CPR*MAX(0,MIN(7,'Loan Tape'!$AV73)-6))</f>
        <v>0</v>
      </c>
      <c r="J1289" s="71" t="n">
        <f aca="false">MIN(MAX(0,J77-J683-J986),J77*CPR*MAX(0,MIN(8,'Loan Tape'!$AV73)-7))</f>
        <v>0</v>
      </c>
      <c r="K1289" s="71" t="n">
        <f aca="false">MIN(MAX(0,K77-K683-K986),K77*CPR*MAX(0,MIN(9,'Loan Tape'!$AV73)-8))</f>
        <v>0</v>
      </c>
      <c r="L1289" s="71" t="n">
        <f aca="false">MIN(MAX(0,L77-L683-L986),L77*CPR*MAX(0,MIN(10,'Loan Tape'!$AV73)-9))</f>
        <v>0</v>
      </c>
    </row>
    <row r="1290" customFormat="false" ht="15" hidden="false" customHeight="false" outlineLevel="0" collapsed="false">
      <c r="B1290" s="102" t="n">
        <f aca="false">'Loan Tape'!$A74</f>
        <v>0</v>
      </c>
      <c r="C1290" s="99" t="n">
        <f aca="false">MIN(MAX(0,C78-C684-C987),C78*CPR*MAX(0,MIN(1,'Loan Tape'!$AV74)-0))</f>
        <v>0</v>
      </c>
      <c r="D1290" s="99" t="n">
        <f aca="false">MIN(MAX(0,D78-D684-D987),D78*CPR*MAX(0,MIN(2,'Loan Tape'!$AV74)-1))</f>
        <v>0</v>
      </c>
      <c r="E1290" s="99" t="n">
        <f aca="false">MIN(MAX(0,E78-E684-E987),E78*CPR*MAX(0,MIN(3,'Loan Tape'!$AV74)-2))</f>
        <v>0</v>
      </c>
      <c r="F1290" s="99" t="n">
        <f aca="false">MIN(MAX(0,F78-F684-F987),F78*CPR*MAX(0,MIN(4,'Loan Tape'!$AV74)-3))</f>
        <v>0</v>
      </c>
      <c r="G1290" s="99" t="n">
        <f aca="false">MIN(MAX(0,G78-G684-G987),G78*CPR*MAX(0,MIN(5,'Loan Tape'!$AV74)-4))</f>
        <v>0</v>
      </c>
      <c r="H1290" s="99" t="n">
        <f aca="false">MIN(MAX(0,H78-H684-H987),H78*CPR*MAX(0,MIN(6,'Loan Tape'!$AV74)-5))</f>
        <v>0</v>
      </c>
      <c r="I1290" s="99" t="n">
        <f aca="false">MIN(MAX(0,I78-I684-I987),I78*CPR*MAX(0,MIN(7,'Loan Tape'!$AV74)-6))</f>
        <v>0</v>
      </c>
      <c r="J1290" s="99" t="n">
        <f aca="false">MIN(MAX(0,J78-J684-J987),J78*CPR*MAX(0,MIN(8,'Loan Tape'!$AV74)-7))</f>
        <v>0</v>
      </c>
      <c r="K1290" s="99" t="n">
        <f aca="false">MIN(MAX(0,K78-K684-K987),K78*CPR*MAX(0,MIN(9,'Loan Tape'!$AV74)-8))</f>
        <v>0</v>
      </c>
      <c r="L1290" s="99" t="n">
        <f aca="false">MIN(MAX(0,L78-L684-L987),L78*CPR*MAX(0,MIN(10,'Loan Tape'!$AV74)-9))</f>
        <v>0</v>
      </c>
    </row>
    <row r="1291" customFormat="false" ht="15" hidden="false" customHeight="false" outlineLevel="0" collapsed="false">
      <c r="B1291" s="108" t="n">
        <f aca="false">'Loan Tape'!$A75</f>
        <v>0</v>
      </c>
      <c r="C1291" s="71" t="n">
        <f aca="false">MIN(MAX(0,C79-C685-C988),C79*CPR*MAX(0,MIN(1,'Loan Tape'!$AV75)-0))</f>
        <v>0</v>
      </c>
      <c r="D1291" s="71" t="n">
        <f aca="false">MIN(MAX(0,D79-D685-D988),D79*CPR*MAX(0,MIN(2,'Loan Tape'!$AV75)-1))</f>
        <v>0</v>
      </c>
      <c r="E1291" s="71" t="n">
        <f aca="false">MIN(MAX(0,E79-E685-E988),E79*CPR*MAX(0,MIN(3,'Loan Tape'!$AV75)-2))</f>
        <v>0</v>
      </c>
      <c r="F1291" s="71" t="n">
        <f aca="false">MIN(MAX(0,F79-F685-F988),F79*CPR*MAX(0,MIN(4,'Loan Tape'!$AV75)-3))</f>
        <v>0</v>
      </c>
      <c r="G1291" s="71" t="n">
        <f aca="false">MIN(MAX(0,G79-G685-G988),G79*CPR*MAX(0,MIN(5,'Loan Tape'!$AV75)-4))</f>
        <v>0</v>
      </c>
      <c r="H1291" s="71" t="n">
        <f aca="false">MIN(MAX(0,H79-H685-H988),H79*CPR*MAX(0,MIN(6,'Loan Tape'!$AV75)-5))</f>
        <v>0</v>
      </c>
      <c r="I1291" s="71" t="n">
        <f aca="false">MIN(MAX(0,I79-I685-I988),I79*CPR*MAX(0,MIN(7,'Loan Tape'!$AV75)-6))</f>
        <v>0</v>
      </c>
      <c r="J1291" s="71" t="n">
        <f aca="false">MIN(MAX(0,J79-J685-J988),J79*CPR*MAX(0,MIN(8,'Loan Tape'!$AV75)-7))</f>
        <v>0</v>
      </c>
      <c r="K1291" s="71" t="n">
        <f aca="false">MIN(MAX(0,K79-K685-K988),K79*CPR*MAX(0,MIN(9,'Loan Tape'!$AV75)-8))</f>
        <v>0</v>
      </c>
      <c r="L1291" s="71" t="n">
        <f aca="false">MIN(MAX(0,L79-L685-L988),L79*CPR*MAX(0,MIN(10,'Loan Tape'!$AV75)-9))</f>
        <v>0</v>
      </c>
    </row>
    <row r="1292" customFormat="false" ht="15" hidden="false" customHeight="false" outlineLevel="0" collapsed="false">
      <c r="B1292" s="102" t="n">
        <f aca="false">'Loan Tape'!$A76</f>
        <v>0</v>
      </c>
      <c r="C1292" s="99" t="n">
        <f aca="false">MIN(MAX(0,C80-C686-C989),C80*CPR*MAX(0,MIN(1,'Loan Tape'!$AV76)-0))</f>
        <v>0</v>
      </c>
      <c r="D1292" s="99" t="n">
        <f aca="false">MIN(MAX(0,D80-D686-D989),D80*CPR*MAX(0,MIN(2,'Loan Tape'!$AV76)-1))</f>
        <v>0</v>
      </c>
      <c r="E1292" s="99" t="n">
        <f aca="false">MIN(MAX(0,E80-E686-E989),E80*CPR*MAX(0,MIN(3,'Loan Tape'!$AV76)-2))</f>
        <v>0</v>
      </c>
      <c r="F1292" s="99" t="n">
        <f aca="false">MIN(MAX(0,F80-F686-F989),F80*CPR*MAX(0,MIN(4,'Loan Tape'!$AV76)-3))</f>
        <v>0</v>
      </c>
      <c r="G1292" s="99" t="n">
        <f aca="false">MIN(MAX(0,G80-G686-G989),G80*CPR*MAX(0,MIN(5,'Loan Tape'!$AV76)-4))</f>
        <v>0</v>
      </c>
      <c r="H1292" s="99" t="n">
        <f aca="false">MIN(MAX(0,H80-H686-H989),H80*CPR*MAX(0,MIN(6,'Loan Tape'!$AV76)-5))</f>
        <v>0</v>
      </c>
      <c r="I1292" s="99" t="n">
        <f aca="false">MIN(MAX(0,I80-I686-I989),I80*CPR*MAX(0,MIN(7,'Loan Tape'!$AV76)-6))</f>
        <v>0</v>
      </c>
      <c r="J1292" s="99" t="n">
        <f aca="false">MIN(MAX(0,J80-J686-J989),J80*CPR*MAX(0,MIN(8,'Loan Tape'!$AV76)-7))</f>
        <v>0</v>
      </c>
      <c r="K1292" s="99" t="n">
        <f aca="false">MIN(MAX(0,K80-K686-K989),K80*CPR*MAX(0,MIN(9,'Loan Tape'!$AV76)-8))</f>
        <v>0</v>
      </c>
      <c r="L1292" s="99" t="n">
        <f aca="false">MIN(MAX(0,L80-L686-L989),L80*CPR*MAX(0,MIN(10,'Loan Tape'!$AV76)-9))</f>
        <v>0</v>
      </c>
    </row>
    <row r="1293" customFormat="false" ht="15" hidden="false" customHeight="false" outlineLevel="0" collapsed="false">
      <c r="B1293" s="108" t="n">
        <f aca="false">'Loan Tape'!$A77</f>
        <v>0</v>
      </c>
      <c r="C1293" s="71" t="n">
        <f aca="false">MIN(MAX(0,C81-C687-C990),C81*CPR*MAX(0,MIN(1,'Loan Tape'!$AV77)-0))</f>
        <v>0</v>
      </c>
      <c r="D1293" s="71" t="n">
        <f aca="false">MIN(MAX(0,D81-D687-D990),D81*CPR*MAX(0,MIN(2,'Loan Tape'!$AV77)-1))</f>
        <v>0</v>
      </c>
      <c r="E1293" s="71" t="n">
        <f aca="false">MIN(MAX(0,E81-E687-E990),E81*CPR*MAX(0,MIN(3,'Loan Tape'!$AV77)-2))</f>
        <v>0</v>
      </c>
      <c r="F1293" s="71" t="n">
        <f aca="false">MIN(MAX(0,F81-F687-F990),F81*CPR*MAX(0,MIN(4,'Loan Tape'!$AV77)-3))</f>
        <v>0</v>
      </c>
      <c r="G1293" s="71" t="n">
        <f aca="false">MIN(MAX(0,G81-G687-G990),G81*CPR*MAX(0,MIN(5,'Loan Tape'!$AV77)-4))</f>
        <v>0</v>
      </c>
      <c r="H1293" s="71" t="n">
        <f aca="false">MIN(MAX(0,H81-H687-H990),H81*CPR*MAX(0,MIN(6,'Loan Tape'!$AV77)-5))</f>
        <v>0</v>
      </c>
      <c r="I1293" s="71" t="n">
        <f aca="false">MIN(MAX(0,I81-I687-I990),I81*CPR*MAX(0,MIN(7,'Loan Tape'!$AV77)-6))</f>
        <v>0</v>
      </c>
      <c r="J1293" s="71" t="n">
        <f aca="false">MIN(MAX(0,J81-J687-J990),J81*CPR*MAX(0,MIN(8,'Loan Tape'!$AV77)-7))</f>
        <v>0</v>
      </c>
      <c r="K1293" s="71" t="n">
        <f aca="false">MIN(MAX(0,K81-K687-K990),K81*CPR*MAX(0,MIN(9,'Loan Tape'!$AV77)-8))</f>
        <v>0</v>
      </c>
      <c r="L1293" s="71" t="n">
        <f aca="false">MIN(MAX(0,L81-L687-L990),L81*CPR*MAX(0,MIN(10,'Loan Tape'!$AV77)-9))</f>
        <v>0</v>
      </c>
    </row>
    <row r="1294" customFormat="false" ht="15" hidden="false" customHeight="false" outlineLevel="0" collapsed="false">
      <c r="B1294" s="102" t="n">
        <f aca="false">'Loan Tape'!$A78</f>
        <v>0</v>
      </c>
      <c r="C1294" s="99" t="n">
        <f aca="false">MIN(MAX(0,C82-C688-C991),C82*CPR*MAX(0,MIN(1,'Loan Tape'!$AV78)-0))</f>
        <v>0</v>
      </c>
      <c r="D1294" s="99" t="n">
        <f aca="false">MIN(MAX(0,D82-D688-D991),D82*CPR*MAX(0,MIN(2,'Loan Tape'!$AV78)-1))</f>
        <v>0</v>
      </c>
      <c r="E1294" s="99" t="n">
        <f aca="false">MIN(MAX(0,E82-E688-E991),E82*CPR*MAX(0,MIN(3,'Loan Tape'!$AV78)-2))</f>
        <v>0</v>
      </c>
      <c r="F1294" s="99" t="n">
        <f aca="false">MIN(MAX(0,F82-F688-F991),F82*CPR*MAX(0,MIN(4,'Loan Tape'!$AV78)-3))</f>
        <v>0</v>
      </c>
      <c r="G1294" s="99" t="n">
        <f aca="false">MIN(MAX(0,G82-G688-G991),G82*CPR*MAX(0,MIN(5,'Loan Tape'!$AV78)-4))</f>
        <v>0</v>
      </c>
      <c r="H1294" s="99" t="n">
        <f aca="false">MIN(MAX(0,H82-H688-H991),H82*CPR*MAX(0,MIN(6,'Loan Tape'!$AV78)-5))</f>
        <v>0</v>
      </c>
      <c r="I1294" s="99" t="n">
        <f aca="false">MIN(MAX(0,I82-I688-I991),I82*CPR*MAX(0,MIN(7,'Loan Tape'!$AV78)-6))</f>
        <v>0</v>
      </c>
      <c r="J1294" s="99" t="n">
        <f aca="false">MIN(MAX(0,J82-J688-J991),J82*CPR*MAX(0,MIN(8,'Loan Tape'!$AV78)-7))</f>
        <v>0</v>
      </c>
      <c r="K1294" s="99" t="n">
        <f aca="false">MIN(MAX(0,K82-K688-K991),K82*CPR*MAX(0,MIN(9,'Loan Tape'!$AV78)-8))</f>
        <v>0</v>
      </c>
      <c r="L1294" s="99" t="n">
        <f aca="false">MIN(MAX(0,L82-L688-L991),L82*CPR*MAX(0,MIN(10,'Loan Tape'!$AV78)-9))</f>
        <v>0</v>
      </c>
    </row>
    <row r="1295" customFormat="false" ht="15" hidden="false" customHeight="false" outlineLevel="0" collapsed="false">
      <c r="B1295" s="108" t="n">
        <f aca="false">'Loan Tape'!$A79</f>
        <v>0</v>
      </c>
      <c r="C1295" s="71" t="n">
        <f aca="false">MIN(MAX(0,C83-C689-C992),C83*CPR*MAX(0,MIN(1,'Loan Tape'!$AV79)-0))</f>
        <v>0</v>
      </c>
      <c r="D1295" s="71" t="n">
        <f aca="false">MIN(MAX(0,D83-D689-D992),D83*CPR*MAX(0,MIN(2,'Loan Tape'!$AV79)-1))</f>
        <v>0</v>
      </c>
      <c r="E1295" s="71" t="n">
        <f aca="false">MIN(MAX(0,E83-E689-E992),E83*CPR*MAX(0,MIN(3,'Loan Tape'!$AV79)-2))</f>
        <v>0</v>
      </c>
      <c r="F1295" s="71" t="n">
        <f aca="false">MIN(MAX(0,F83-F689-F992),F83*CPR*MAX(0,MIN(4,'Loan Tape'!$AV79)-3))</f>
        <v>0</v>
      </c>
      <c r="G1295" s="71" t="n">
        <f aca="false">MIN(MAX(0,G83-G689-G992),G83*CPR*MAX(0,MIN(5,'Loan Tape'!$AV79)-4))</f>
        <v>0</v>
      </c>
      <c r="H1295" s="71" t="n">
        <f aca="false">MIN(MAX(0,H83-H689-H992),H83*CPR*MAX(0,MIN(6,'Loan Tape'!$AV79)-5))</f>
        <v>0</v>
      </c>
      <c r="I1295" s="71" t="n">
        <f aca="false">MIN(MAX(0,I83-I689-I992),I83*CPR*MAX(0,MIN(7,'Loan Tape'!$AV79)-6))</f>
        <v>0</v>
      </c>
      <c r="J1295" s="71" t="n">
        <f aca="false">MIN(MAX(0,J83-J689-J992),J83*CPR*MAX(0,MIN(8,'Loan Tape'!$AV79)-7))</f>
        <v>0</v>
      </c>
      <c r="K1295" s="71" t="n">
        <f aca="false">MIN(MAX(0,K83-K689-K992),K83*CPR*MAX(0,MIN(9,'Loan Tape'!$AV79)-8))</f>
        <v>0</v>
      </c>
      <c r="L1295" s="71" t="n">
        <f aca="false">MIN(MAX(0,L83-L689-L992),L83*CPR*MAX(0,MIN(10,'Loan Tape'!$AV79)-9))</f>
        <v>0</v>
      </c>
    </row>
    <row r="1296" customFormat="false" ht="15" hidden="false" customHeight="false" outlineLevel="0" collapsed="false">
      <c r="B1296" s="102" t="n">
        <f aca="false">'Loan Tape'!$A80</f>
        <v>0</v>
      </c>
      <c r="C1296" s="99" t="n">
        <f aca="false">MIN(MAX(0,C84-C690-C993),C84*CPR*MAX(0,MIN(1,'Loan Tape'!$AV80)-0))</f>
        <v>0</v>
      </c>
      <c r="D1296" s="99" t="n">
        <f aca="false">MIN(MAX(0,D84-D690-D993),D84*CPR*MAX(0,MIN(2,'Loan Tape'!$AV80)-1))</f>
        <v>0</v>
      </c>
      <c r="E1296" s="99" t="n">
        <f aca="false">MIN(MAX(0,E84-E690-E993),E84*CPR*MAX(0,MIN(3,'Loan Tape'!$AV80)-2))</f>
        <v>0</v>
      </c>
      <c r="F1296" s="99" t="n">
        <f aca="false">MIN(MAX(0,F84-F690-F993),F84*CPR*MAX(0,MIN(4,'Loan Tape'!$AV80)-3))</f>
        <v>0</v>
      </c>
      <c r="G1296" s="99" t="n">
        <f aca="false">MIN(MAX(0,G84-G690-G993),G84*CPR*MAX(0,MIN(5,'Loan Tape'!$AV80)-4))</f>
        <v>0</v>
      </c>
      <c r="H1296" s="99" t="n">
        <f aca="false">MIN(MAX(0,H84-H690-H993),H84*CPR*MAX(0,MIN(6,'Loan Tape'!$AV80)-5))</f>
        <v>0</v>
      </c>
      <c r="I1296" s="99" t="n">
        <f aca="false">MIN(MAX(0,I84-I690-I993),I84*CPR*MAX(0,MIN(7,'Loan Tape'!$AV80)-6))</f>
        <v>0</v>
      </c>
      <c r="J1296" s="99" t="n">
        <f aca="false">MIN(MAX(0,J84-J690-J993),J84*CPR*MAX(0,MIN(8,'Loan Tape'!$AV80)-7))</f>
        <v>0</v>
      </c>
      <c r="K1296" s="99" t="n">
        <f aca="false">MIN(MAX(0,K84-K690-K993),K84*CPR*MAX(0,MIN(9,'Loan Tape'!$AV80)-8))</f>
        <v>0</v>
      </c>
      <c r="L1296" s="99" t="n">
        <f aca="false">MIN(MAX(0,L84-L690-L993),L84*CPR*MAX(0,MIN(10,'Loan Tape'!$AV80)-9))</f>
        <v>0</v>
      </c>
    </row>
    <row r="1297" customFormat="false" ht="15" hidden="false" customHeight="false" outlineLevel="0" collapsed="false">
      <c r="B1297" s="108" t="n">
        <f aca="false">'Loan Tape'!$A81</f>
        <v>0</v>
      </c>
      <c r="C1297" s="71" t="n">
        <f aca="false">MIN(MAX(0,C85-C691-C994),C85*CPR*MAX(0,MIN(1,'Loan Tape'!$AV81)-0))</f>
        <v>0</v>
      </c>
      <c r="D1297" s="71" t="n">
        <f aca="false">MIN(MAX(0,D85-D691-D994),D85*CPR*MAX(0,MIN(2,'Loan Tape'!$AV81)-1))</f>
        <v>0</v>
      </c>
      <c r="E1297" s="71" t="n">
        <f aca="false">MIN(MAX(0,E85-E691-E994),E85*CPR*MAX(0,MIN(3,'Loan Tape'!$AV81)-2))</f>
        <v>0</v>
      </c>
      <c r="F1297" s="71" t="n">
        <f aca="false">MIN(MAX(0,F85-F691-F994),F85*CPR*MAX(0,MIN(4,'Loan Tape'!$AV81)-3))</f>
        <v>0</v>
      </c>
      <c r="G1297" s="71" t="n">
        <f aca="false">MIN(MAX(0,G85-G691-G994),G85*CPR*MAX(0,MIN(5,'Loan Tape'!$AV81)-4))</f>
        <v>0</v>
      </c>
      <c r="H1297" s="71" t="n">
        <f aca="false">MIN(MAX(0,H85-H691-H994),H85*CPR*MAX(0,MIN(6,'Loan Tape'!$AV81)-5))</f>
        <v>0</v>
      </c>
      <c r="I1297" s="71" t="n">
        <f aca="false">MIN(MAX(0,I85-I691-I994),I85*CPR*MAX(0,MIN(7,'Loan Tape'!$AV81)-6))</f>
        <v>0</v>
      </c>
      <c r="J1297" s="71" t="n">
        <f aca="false">MIN(MAX(0,J85-J691-J994),J85*CPR*MAX(0,MIN(8,'Loan Tape'!$AV81)-7))</f>
        <v>0</v>
      </c>
      <c r="K1297" s="71" t="n">
        <f aca="false">MIN(MAX(0,K85-K691-K994),K85*CPR*MAX(0,MIN(9,'Loan Tape'!$AV81)-8))</f>
        <v>0</v>
      </c>
      <c r="L1297" s="71" t="n">
        <f aca="false">MIN(MAX(0,L85-L691-L994),L85*CPR*MAX(0,MIN(10,'Loan Tape'!$AV81)-9))</f>
        <v>0</v>
      </c>
    </row>
    <row r="1298" customFormat="false" ht="15" hidden="false" customHeight="false" outlineLevel="0" collapsed="false">
      <c r="B1298" s="102" t="n">
        <f aca="false">'Loan Tape'!$A82</f>
        <v>0</v>
      </c>
      <c r="C1298" s="99" t="n">
        <f aca="false">MIN(MAX(0,C86-C692-C995),C86*CPR*MAX(0,MIN(1,'Loan Tape'!$AV82)-0))</f>
        <v>0</v>
      </c>
      <c r="D1298" s="99" t="n">
        <f aca="false">MIN(MAX(0,D86-D692-D995),D86*CPR*MAX(0,MIN(2,'Loan Tape'!$AV82)-1))</f>
        <v>0</v>
      </c>
      <c r="E1298" s="99" t="n">
        <f aca="false">MIN(MAX(0,E86-E692-E995),E86*CPR*MAX(0,MIN(3,'Loan Tape'!$AV82)-2))</f>
        <v>0</v>
      </c>
      <c r="F1298" s="99" t="n">
        <f aca="false">MIN(MAX(0,F86-F692-F995),F86*CPR*MAX(0,MIN(4,'Loan Tape'!$AV82)-3))</f>
        <v>0</v>
      </c>
      <c r="G1298" s="99" t="n">
        <f aca="false">MIN(MAX(0,G86-G692-G995),G86*CPR*MAX(0,MIN(5,'Loan Tape'!$AV82)-4))</f>
        <v>0</v>
      </c>
      <c r="H1298" s="99" t="n">
        <f aca="false">MIN(MAX(0,H86-H692-H995),H86*CPR*MAX(0,MIN(6,'Loan Tape'!$AV82)-5))</f>
        <v>0</v>
      </c>
      <c r="I1298" s="99" t="n">
        <f aca="false">MIN(MAX(0,I86-I692-I995),I86*CPR*MAX(0,MIN(7,'Loan Tape'!$AV82)-6))</f>
        <v>0</v>
      </c>
      <c r="J1298" s="99" t="n">
        <f aca="false">MIN(MAX(0,J86-J692-J995),J86*CPR*MAX(0,MIN(8,'Loan Tape'!$AV82)-7))</f>
        <v>0</v>
      </c>
      <c r="K1298" s="99" t="n">
        <f aca="false">MIN(MAX(0,K86-K692-K995),K86*CPR*MAX(0,MIN(9,'Loan Tape'!$AV82)-8))</f>
        <v>0</v>
      </c>
      <c r="L1298" s="99" t="n">
        <f aca="false">MIN(MAX(0,L86-L692-L995),L86*CPR*MAX(0,MIN(10,'Loan Tape'!$AV82)-9))</f>
        <v>0</v>
      </c>
    </row>
    <row r="1299" customFormat="false" ht="15" hidden="false" customHeight="false" outlineLevel="0" collapsed="false">
      <c r="B1299" s="108" t="n">
        <f aca="false">'Loan Tape'!$A83</f>
        <v>0</v>
      </c>
      <c r="C1299" s="71" t="n">
        <f aca="false">MIN(MAX(0,C87-C693-C996),C87*CPR*MAX(0,MIN(1,'Loan Tape'!$AV83)-0))</f>
        <v>0</v>
      </c>
      <c r="D1299" s="71" t="n">
        <f aca="false">MIN(MAX(0,D87-D693-D996),D87*CPR*MAX(0,MIN(2,'Loan Tape'!$AV83)-1))</f>
        <v>0</v>
      </c>
      <c r="E1299" s="71" t="n">
        <f aca="false">MIN(MAX(0,E87-E693-E996),E87*CPR*MAX(0,MIN(3,'Loan Tape'!$AV83)-2))</f>
        <v>0</v>
      </c>
      <c r="F1299" s="71" t="n">
        <f aca="false">MIN(MAX(0,F87-F693-F996),F87*CPR*MAX(0,MIN(4,'Loan Tape'!$AV83)-3))</f>
        <v>0</v>
      </c>
      <c r="G1299" s="71" t="n">
        <f aca="false">MIN(MAX(0,G87-G693-G996),G87*CPR*MAX(0,MIN(5,'Loan Tape'!$AV83)-4))</f>
        <v>0</v>
      </c>
      <c r="H1299" s="71" t="n">
        <f aca="false">MIN(MAX(0,H87-H693-H996),H87*CPR*MAX(0,MIN(6,'Loan Tape'!$AV83)-5))</f>
        <v>0</v>
      </c>
      <c r="I1299" s="71" t="n">
        <f aca="false">MIN(MAX(0,I87-I693-I996),I87*CPR*MAX(0,MIN(7,'Loan Tape'!$AV83)-6))</f>
        <v>0</v>
      </c>
      <c r="J1299" s="71" t="n">
        <f aca="false">MIN(MAX(0,J87-J693-J996),J87*CPR*MAX(0,MIN(8,'Loan Tape'!$AV83)-7))</f>
        <v>0</v>
      </c>
      <c r="K1299" s="71" t="n">
        <f aca="false">MIN(MAX(0,K87-K693-K996),K87*CPR*MAX(0,MIN(9,'Loan Tape'!$AV83)-8))</f>
        <v>0</v>
      </c>
      <c r="L1299" s="71" t="n">
        <f aca="false">MIN(MAX(0,L87-L693-L996),L87*CPR*MAX(0,MIN(10,'Loan Tape'!$AV83)-9))</f>
        <v>0</v>
      </c>
    </row>
    <row r="1300" customFormat="false" ht="15" hidden="false" customHeight="false" outlineLevel="0" collapsed="false">
      <c r="B1300" s="102" t="n">
        <f aca="false">'Loan Tape'!$A84</f>
        <v>0</v>
      </c>
      <c r="C1300" s="99" t="n">
        <f aca="false">MIN(MAX(0,C88-C694-C997),C88*CPR*MAX(0,MIN(1,'Loan Tape'!$AV84)-0))</f>
        <v>0</v>
      </c>
      <c r="D1300" s="99" t="n">
        <f aca="false">MIN(MAX(0,D88-D694-D997),D88*CPR*MAX(0,MIN(2,'Loan Tape'!$AV84)-1))</f>
        <v>0</v>
      </c>
      <c r="E1300" s="99" t="n">
        <f aca="false">MIN(MAX(0,E88-E694-E997),E88*CPR*MAX(0,MIN(3,'Loan Tape'!$AV84)-2))</f>
        <v>0</v>
      </c>
      <c r="F1300" s="99" t="n">
        <f aca="false">MIN(MAX(0,F88-F694-F997),F88*CPR*MAX(0,MIN(4,'Loan Tape'!$AV84)-3))</f>
        <v>0</v>
      </c>
      <c r="G1300" s="99" t="n">
        <f aca="false">MIN(MAX(0,G88-G694-G997),G88*CPR*MAX(0,MIN(5,'Loan Tape'!$AV84)-4))</f>
        <v>0</v>
      </c>
      <c r="H1300" s="99" t="n">
        <f aca="false">MIN(MAX(0,H88-H694-H997),H88*CPR*MAX(0,MIN(6,'Loan Tape'!$AV84)-5))</f>
        <v>0</v>
      </c>
      <c r="I1300" s="99" t="n">
        <f aca="false">MIN(MAX(0,I88-I694-I997),I88*CPR*MAX(0,MIN(7,'Loan Tape'!$AV84)-6))</f>
        <v>0</v>
      </c>
      <c r="J1300" s="99" t="n">
        <f aca="false">MIN(MAX(0,J88-J694-J997),J88*CPR*MAX(0,MIN(8,'Loan Tape'!$AV84)-7))</f>
        <v>0</v>
      </c>
      <c r="K1300" s="99" t="n">
        <f aca="false">MIN(MAX(0,K88-K694-K997),K88*CPR*MAX(0,MIN(9,'Loan Tape'!$AV84)-8))</f>
        <v>0</v>
      </c>
      <c r="L1300" s="99" t="n">
        <f aca="false">MIN(MAX(0,L88-L694-L997),L88*CPR*MAX(0,MIN(10,'Loan Tape'!$AV84)-9))</f>
        <v>0</v>
      </c>
    </row>
    <row r="1301" customFormat="false" ht="15" hidden="false" customHeight="false" outlineLevel="0" collapsed="false">
      <c r="B1301" s="108" t="n">
        <f aca="false">'Loan Tape'!$A85</f>
        <v>0</v>
      </c>
      <c r="C1301" s="71" t="n">
        <f aca="false">MIN(MAX(0,C89-C695-C998),C89*CPR*MAX(0,MIN(1,'Loan Tape'!$AV85)-0))</f>
        <v>0</v>
      </c>
      <c r="D1301" s="71" t="n">
        <f aca="false">MIN(MAX(0,D89-D695-D998),D89*CPR*MAX(0,MIN(2,'Loan Tape'!$AV85)-1))</f>
        <v>0</v>
      </c>
      <c r="E1301" s="71" t="n">
        <f aca="false">MIN(MAX(0,E89-E695-E998),E89*CPR*MAX(0,MIN(3,'Loan Tape'!$AV85)-2))</f>
        <v>0</v>
      </c>
      <c r="F1301" s="71" t="n">
        <f aca="false">MIN(MAX(0,F89-F695-F998),F89*CPR*MAX(0,MIN(4,'Loan Tape'!$AV85)-3))</f>
        <v>0</v>
      </c>
      <c r="G1301" s="71" t="n">
        <f aca="false">MIN(MAX(0,G89-G695-G998),G89*CPR*MAX(0,MIN(5,'Loan Tape'!$AV85)-4))</f>
        <v>0</v>
      </c>
      <c r="H1301" s="71" t="n">
        <f aca="false">MIN(MAX(0,H89-H695-H998),H89*CPR*MAX(0,MIN(6,'Loan Tape'!$AV85)-5))</f>
        <v>0</v>
      </c>
      <c r="I1301" s="71" t="n">
        <f aca="false">MIN(MAX(0,I89-I695-I998),I89*CPR*MAX(0,MIN(7,'Loan Tape'!$AV85)-6))</f>
        <v>0</v>
      </c>
      <c r="J1301" s="71" t="n">
        <f aca="false">MIN(MAX(0,J89-J695-J998),J89*CPR*MAX(0,MIN(8,'Loan Tape'!$AV85)-7))</f>
        <v>0</v>
      </c>
      <c r="K1301" s="71" t="n">
        <f aca="false">MIN(MAX(0,K89-K695-K998),K89*CPR*MAX(0,MIN(9,'Loan Tape'!$AV85)-8))</f>
        <v>0</v>
      </c>
      <c r="L1301" s="71" t="n">
        <f aca="false">MIN(MAX(0,L89-L695-L998),L89*CPR*MAX(0,MIN(10,'Loan Tape'!$AV85)-9))</f>
        <v>0</v>
      </c>
    </row>
    <row r="1302" customFormat="false" ht="15" hidden="false" customHeight="false" outlineLevel="0" collapsed="false">
      <c r="B1302" s="102" t="n">
        <f aca="false">'Loan Tape'!$A86</f>
        <v>0</v>
      </c>
      <c r="C1302" s="99" t="n">
        <f aca="false">MIN(MAX(0,C90-C696-C999),C90*CPR*MAX(0,MIN(1,'Loan Tape'!$AV86)-0))</f>
        <v>0</v>
      </c>
      <c r="D1302" s="99" t="n">
        <f aca="false">MIN(MAX(0,D90-D696-D999),D90*CPR*MAX(0,MIN(2,'Loan Tape'!$AV86)-1))</f>
        <v>0</v>
      </c>
      <c r="E1302" s="99" t="n">
        <f aca="false">MIN(MAX(0,E90-E696-E999),E90*CPR*MAX(0,MIN(3,'Loan Tape'!$AV86)-2))</f>
        <v>0</v>
      </c>
      <c r="F1302" s="99" t="n">
        <f aca="false">MIN(MAX(0,F90-F696-F999),F90*CPR*MAX(0,MIN(4,'Loan Tape'!$AV86)-3))</f>
        <v>0</v>
      </c>
      <c r="G1302" s="99" t="n">
        <f aca="false">MIN(MAX(0,G90-G696-G999),G90*CPR*MAX(0,MIN(5,'Loan Tape'!$AV86)-4))</f>
        <v>0</v>
      </c>
      <c r="H1302" s="99" t="n">
        <f aca="false">MIN(MAX(0,H90-H696-H999),H90*CPR*MAX(0,MIN(6,'Loan Tape'!$AV86)-5))</f>
        <v>0</v>
      </c>
      <c r="I1302" s="99" t="n">
        <f aca="false">MIN(MAX(0,I90-I696-I999),I90*CPR*MAX(0,MIN(7,'Loan Tape'!$AV86)-6))</f>
        <v>0</v>
      </c>
      <c r="J1302" s="99" t="n">
        <f aca="false">MIN(MAX(0,J90-J696-J999),J90*CPR*MAX(0,MIN(8,'Loan Tape'!$AV86)-7))</f>
        <v>0</v>
      </c>
      <c r="K1302" s="99" t="n">
        <f aca="false">MIN(MAX(0,K90-K696-K999),K90*CPR*MAX(0,MIN(9,'Loan Tape'!$AV86)-8))</f>
        <v>0</v>
      </c>
      <c r="L1302" s="99" t="n">
        <f aca="false">MIN(MAX(0,L90-L696-L999),L90*CPR*MAX(0,MIN(10,'Loan Tape'!$AV86)-9))</f>
        <v>0</v>
      </c>
    </row>
    <row r="1303" customFormat="false" ht="15" hidden="false" customHeight="false" outlineLevel="0" collapsed="false">
      <c r="B1303" s="108" t="n">
        <f aca="false">'Loan Tape'!$A87</f>
        <v>0</v>
      </c>
      <c r="C1303" s="71" t="n">
        <f aca="false">MIN(MAX(0,C91-C697-C1000),C91*CPR*MAX(0,MIN(1,'Loan Tape'!$AV87)-0))</f>
        <v>0</v>
      </c>
      <c r="D1303" s="71" t="n">
        <f aca="false">MIN(MAX(0,D91-D697-D1000),D91*CPR*MAX(0,MIN(2,'Loan Tape'!$AV87)-1))</f>
        <v>0</v>
      </c>
      <c r="E1303" s="71" t="n">
        <f aca="false">MIN(MAX(0,E91-E697-E1000),E91*CPR*MAX(0,MIN(3,'Loan Tape'!$AV87)-2))</f>
        <v>0</v>
      </c>
      <c r="F1303" s="71" t="n">
        <f aca="false">MIN(MAX(0,F91-F697-F1000),F91*CPR*MAX(0,MIN(4,'Loan Tape'!$AV87)-3))</f>
        <v>0</v>
      </c>
      <c r="G1303" s="71" t="n">
        <f aca="false">MIN(MAX(0,G91-G697-G1000),G91*CPR*MAX(0,MIN(5,'Loan Tape'!$AV87)-4))</f>
        <v>0</v>
      </c>
      <c r="H1303" s="71" t="n">
        <f aca="false">MIN(MAX(0,H91-H697-H1000),H91*CPR*MAX(0,MIN(6,'Loan Tape'!$AV87)-5))</f>
        <v>0</v>
      </c>
      <c r="I1303" s="71" t="n">
        <f aca="false">MIN(MAX(0,I91-I697-I1000),I91*CPR*MAX(0,MIN(7,'Loan Tape'!$AV87)-6))</f>
        <v>0</v>
      </c>
      <c r="J1303" s="71" t="n">
        <f aca="false">MIN(MAX(0,J91-J697-J1000),J91*CPR*MAX(0,MIN(8,'Loan Tape'!$AV87)-7))</f>
        <v>0</v>
      </c>
      <c r="K1303" s="71" t="n">
        <f aca="false">MIN(MAX(0,K91-K697-K1000),K91*CPR*MAX(0,MIN(9,'Loan Tape'!$AV87)-8))</f>
        <v>0</v>
      </c>
      <c r="L1303" s="71" t="n">
        <f aca="false">MIN(MAX(0,L91-L697-L1000),L91*CPR*MAX(0,MIN(10,'Loan Tape'!$AV87)-9))</f>
        <v>0</v>
      </c>
    </row>
    <row r="1304" customFormat="false" ht="15" hidden="false" customHeight="false" outlineLevel="0" collapsed="false">
      <c r="B1304" s="102" t="n">
        <f aca="false">'Loan Tape'!$A88</f>
        <v>0</v>
      </c>
      <c r="C1304" s="99" t="n">
        <f aca="false">MIN(MAX(0,C92-C698-C1001),C92*CPR*MAX(0,MIN(1,'Loan Tape'!$AV88)-0))</f>
        <v>0</v>
      </c>
      <c r="D1304" s="99" t="n">
        <f aca="false">MIN(MAX(0,D92-D698-D1001),D92*CPR*MAX(0,MIN(2,'Loan Tape'!$AV88)-1))</f>
        <v>0</v>
      </c>
      <c r="E1304" s="99" t="n">
        <f aca="false">MIN(MAX(0,E92-E698-E1001),E92*CPR*MAX(0,MIN(3,'Loan Tape'!$AV88)-2))</f>
        <v>0</v>
      </c>
      <c r="F1304" s="99" t="n">
        <f aca="false">MIN(MAX(0,F92-F698-F1001),F92*CPR*MAX(0,MIN(4,'Loan Tape'!$AV88)-3))</f>
        <v>0</v>
      </c>
      <c r="G1304" s="99" t="n">
        <f aca="false">MIN(MAX(0,G92-G698-G1001),G92*CPR*MAX(0,MIN(5,'Loan Tape'!$AV88)-4))</f>
        <v>0</v>
      </c>
      <c r="H1304" s="99" t="n">
        <f aca="false">MIN(MAX(0,H92-H698-H1001),H92*CPR*MAX(0,MIN(6,'Loan Tape'!$AV88)-5))</f>
        <v>0</v>
      </c>
      <c r="I1304" s="99" t="n">
        <f aca="false">MIN(MAX(0,I92-I698-I1001),I92*CPR*MAX(0,MIN(7,'Loan Tape'!$AV88)-6))</f>
        <v>0</v>
      </c>
      <c r="J1304" s="99" t="n">
        <f aca="false">MIN(MAX(0,J92-J698-J1001),J92*CPR*MAX(0,MIN(8,'Loan Tape'!$AV88)-7))</f>
        <v>0</v>
      </c>
      <c r="K1304" s="99" t="n">
        <f aca="false">MIN(MAX(0,K92-K698-K1001),K92*CPR*MAX(0,MIN(9,'Loan Tape'!$AV88)-8))</f>
        <v>0</v>
      </c>
      <c r="L1304" s="99" t="n">
        <f aca="false">MIN(MAX(0,L92-L698-L1001),L92*CPR*MAX(0,MIN(10,'Loan Tape'!$AV88)-9))</f>
        <v>0</v>
      </c>
    </row>
    <row r="1305" customFormat="false" ht="15" hidden="false" customHeight="false" outlineLevel="0" collapsed="false">
      <c r="B1305" s="108" t="n">
        <f aca="false">'Loan Tape'!$A89</f>
        <v>0</v>
      </c>
      <c r="C1305" s="71" t="n">
        <f aca="false">MIN(MAX(0,C93-C699-C1002),C93*CPR*MAX(0,MIN(1,'Loan Tape'!$AV89)-0))</f>
        <v>0</v>
      </c>
      <c r="D1305" s="71" t="n">
        <f aca="false">MIN(MAX(0,D93-D699-D1002),D93*CPR*MAX(0,MIN(2,'Loan Tape'!$AV89)-1))</f>
        <v>0</v>
      </c>
      <c r="E1305" s="71" t="n">
        <f aca="false">MIN(MAX(0,E93-E699-E1002),E93*CPR*MAX(0,MIN(3,'Loan Tape'!$AV89)-2))</f>
        <v>0</v>
      </c>
      <c r="F1305" s="71" t="n">
        <f aca="false">MIN(MAX(0,F93-F699-F1002),F93*CPR*MAX(0,MIN(4,'Loan Tape'!$AV89)-3))</f>
        <v>0</v>
      </c>
      <c r="G1305" s="71" t="n">
        <f aca="false">MIN(MAX(0,G93-G699-G1002),G93*CPR*MAX(0,MIN(5,'Loan Tape'!$AV89)-4))</f>
        <v>0</v>
      </c>
      <c r="H1305" s="71" t="n">
        <f aca="false">MIN(MAX(0,H93-H699-H1002),H93*CPR*MAX(0,MIN(6,'Loan Tape'!$AV89)-5))</f>
        <v>0</v>
      </c>
      <c r="I1305" s="71" t="n">
        <f aca="false">MIN(MAX(0,I93-I699-I1002),I93*CPR*MAX(0,MIN(7,'Loan Tape'!$AV89)-6))</f>
        <v>0</v>
      </c>
      <c r="J1305" s="71" t="n">
        <f aca="false">MIN(MAX(0,J93-J699-J1002),J93*CPR*MAX(0,MIN(8,'Loan Tape'!$AV89)-7))</f>
        <v>0</v>
      </c>
      <c r="K1305" s="71" t="n">
        <f aca="false">MIN(MAX(0,K93-K699-K1002),K93*CPR*MAX(0,MIN(9,'Loan Tape'!$AV89)-8))</f>
        <v>0</v>
      </c>
      <c r="L1305" s="71" t="n">
        <f aca="false">MIN(MAX(0,L93-L699-L1002),L93*CPR*MAX(0,MIN(10,'Loan Tape'!$AV89)-9))</f>
        <v>0</v>
      </c>
    </row>
    <row r="1306" customFormat="false" ht="15" hidden="false" customHeight="false" outlineLevel="0" collapsed="false">
      <c r="B1306" s="102" t="n">
        <f aca="false">'Loan Tape'!$A90</f>
        <v>0</v>
      </c>
      <c r="C1306" s="99" t="n">
        <f aca="false">MIN(MAX(0,C94-C700-C1003),C94*CPR*MAX(0,MIN(1,'Loan Tape'!$AV90)-0))</f>
        <v>0</v>
      </c>
      <c r="D1306" s="99" t="n">
        <f aca="false">MIN(MAX(0,D94-D700-D1003),D94*CPR*MAX(0,MIN(2,'Loan Tape'!$AV90)-1))</f>
        <v>0</v>
      </c>
      <c r="E1306" s="99" t="n">
        <f aca="false">MIN(MAX(0,E94-E700-E1003),E94*CPR*MAX(0,MIN(3,'Loan Tape'!$AV90)-2))</f>
        <v>0</v>
      </c>
      <c r="F1306" s="99" t="n">
        <f aca="false">MIN(MAX(0,F94-F700-F1003),F94*CPR*MAX(0,MIN(4,'Loan Tape'!$AV90)-3))</f>
        <v>0</v>
      </c>
      <c r="G1306" s="99" t="n">
        <f aca="false">MIN(MAX(0,G94-G700-G1003),G94*CPR*MAX(0,MIN(5,'Loan Tape'!$AV90)-4))</f>
        <v>0</v>
      </c>
      <c r="H1306" s="99" t="n">
        <f aca="false">MIN(MAX(0,H94-H700-H1003),H94*CPR*MAX(0,MIN(6,'Loan Tape'!$AV90)-5))</f>
        <v>0</v>
      </c>
      <c r="I1306" s="99" t="n">
        <f aca="false">MIN(MAX(0,I94-I700-I1003),I94*CPR*MAX(0,MIN(7,'Loan Tape'!$AV90)-6))</f>
        <v>0</v>
      </c>
      <c r="J1306" s="99" t="n">
        <f aca="false">MIN(MAX(0,J94-J700-J1003),J94*CPR*MAX(0,MIN(8,'Loan Tape'!$AV90)-7))</f>
        <v>0</v>
      </c>
      <c r="K1306" s="99" t="n">
        <f aca="false">MIN(MAX(0,K94-K700-K1003),K94*CPR*MAX(0,MIN(9,'Loan Tape'!$AV90)-8))</f>
        <v>0</v>
      </c>
      <c r="L1306" s="99" t="n">
        <f aca="false">MIN(MAX(0,L94-L700-L1003),L94*CPR*MAX(0,MIN(10,'Loan Tape'!$AV90)-9))</f>
        <v>0</v>
      </c>
    </row>
    <row r="1307" customFormat="false" ht="15" hidden="false" customHeight="false" outlineLevel="0" collapsed="false">
      <c r="B1307" s="108" t="n">
        <f aca="false">'Loan Tape'!$A91</f>
        <v>0</v>
      </c>
      <c r="C1307" s="71" t="n">
        <f aca="false">MIN(MAX(0,C95-C701-C1004),C95*CPR*MAX(0,MIN(1,'Loan Tape'!$AV91)-0))</f>
        <v>0</v>
      </c>
      <c r="D1307" s="71" t="n">
        <f aca="false">MIN(MAX(0,D95-D701-D1004),D95*CPR*MAX(0,MIN(2,'Loan Tape'!$AV91)-1))</f>
        <v>0</v>
      </c>
      <c r="E1307" s="71" t="n">
        <f aca="false">MIN(MAX(0,E95-E701-E1004),E95*CPR*MAX(0,MIN(3,'Loan Tape'!$AV91)-2))</f>
        <v>0</v>
      </c>
      <c r="F1307" s="71" t="n">
        <f aca="false">MIN(MAX(0,F95-F701-F1004),F95*CPR*MAX(0,MIN(4,'Loan Tape'!$AV91)-3))</f>
        <v>0</v>
      </c>
      <c r="G1307" s="71" t="n">
        <f aca="false">MIN(MAX(0,G95-G701-G1004),G95*CPR*MAX(0,MIN(5,'Loan Tape'!$AV91)-4))</f>
        <v>0</v>
      </c>
      <c r="H1307" s="71" t="n">
        <f aca="false">MIN(MAX(0,H95-H701-H1004),H95*CPR*MAX(0,MIN(6,'Loan Tape'!$AV91)-5))</f>
        <v>0</v>
      </c>
      <c r="I1307" s="71" t="n">
        <f aca="false">MIN(MAX(0,I95-I701-I1004),I95*CPR*MAX(0,MIN(7,'Loan Tape'!$AV91)-6))</f>
        <v>0</v>
      </c>
      <c r="J1307" s="71" t="n">
        <f aca="false">MIN(MAX(0,J95-J701-J1004),J95*CPR*MAX(0,MIN(8,'Loan Tape'!$AV91)-7))</f>
        <v>0</v>
      </c>
      <c r="K1307" s="71" t="n">
        <f aca="false">MIN(MAX(0,K95-K701-K1004),K95*CPR*MAX(0,MIN(9,'Loan Tape'!$AV91)-8))</f>
        <v>0</v>
      </c>
      <c r="L1307" s="71" t="n">
        <f aca="false">MIN(MAX(0,L95-L701-L1004),L95*CPR*MAX(0,MIN(10,'Loan Tape'!$AV91)-9))</f>
        <v>0</v>
      </c>
    </row>
    <row r="1308" customFormat="false" ht="15" hidden="false" customHeight="false" outlineLevel="0" collapsed="false">
      <c r="B1308" s="102" t="n">
        <f aca="false">'Loan Tape'!$A92</f>
        <v>0</v>
      </c>
      <c r="C1308" s="99" t="n">
        <f aca="false">MIN(MAX(0,C96-C702-C1005),C96*CPR*MAX(0,MIN(1,'Loan Tape'!$AV92)-0))</f>
        <v>0</v>
      </c>
      <c r="D1308" s="99" t="n">
        <f aca="false">MIN(MAX(0,D96-D702-D1005),D96*CPR*MAX(0,MIN(2,'Loan Tape'!$AV92)-1))</f>
        <v>0</v>
      </c>
      <c r="E1308" s="99" t="n">
        <f aca="false">MIN(MAX(0,E96-E702-E1005),E96*CPR*MAX(0,MIN(3,'Loan Tape'!$AV92)-2))</f>
        <v>0</v>
      </c>
      <c r="F1308" s="99" t="n">
        <f aca="false">MIN(MAX(0,F96-F702-F1005),F96*CPR*MAX(0,MIN(4,'Loan Tape'!$AV92)-3))</f>
        <v>0</v>
      </c>
      <c r="G1308" s="99" t="n">
        <f aca="false">MIN(MAX(0,G96-G702-G1005),G96*CPR*MAX(0,MIN(5,'Loan Tape'!$AV92)-4))</f>
        <v>0</v>
      </c>
      <c r="H1308" s="99" t="n">
        <f aca="false">MIN(MAX(0,H96-H702-H1005),H96*CPR*MAX(0,MIN(6,'Loan Tape'!$AV92)-5))</f>
        <v>0</v>
      </c>
      <c r="I1308" s="99" t="n">
        <f aca="false">MIN(MAX(0,I96-I702-I1005),I96*CPR*MAX(0,MIN(7,'Loan Tape'!$AV92)-6))</f>
        <v>0</v>
      </c>
      <c r="J1308" s="99" t="n">
        <f aca="false">MIN(MAX(0,J96-J702-J1005),J96*CPR*MAX(0,MIN(8,'Loan Tape'!$AV92)-7))</f>
        <v>0</v>
      </c>
      <c r="K1308" s="99" t="n">
        <f aca="false">MIN(MAX(0,K96-K702-K1005),K96*CPR*MAX(0,MIN(9,'Loan Tape'!$AV92)-8))</f>
        <v>0</v>
      </c>
      <c r="L1308" s="99" t="n">
        <f aca="false">MIN(MAX(0,L96-L702-L1005),L96*CPR*MAX(0,MIN(10,'Loan Tape'!$AV92)-9))</f>
        <v>0</v>
      </c>
    </row>
    <row r="1309" customFormat="false" ht="15" hidden="false" customHeight="false" outlineLevel="0" collapsed="false">
      <c r="B1309" s="108" t="n">
        <f aca="false">'Loan Tape'!$A93</f>
        <v>0</v>
      </c>
      <c r="C1309" s="71" t="n">
        <f aca="false">MIN(MAX(0,C97-C703-C1006),C97*CPR*MAX(0,MIN(1,'Loan Tape'!$AV93)-0))</f>
        <v>0</v>
      </c>
      <c r="D1309" s="71" t="n">
        <f aca="false">MIN(MAX(0,D97-D703-D1006),D97*CPR*MAX(0,MIN(2,'Loan Tape'!$AV93)-1))</f>
        <v>0</v>
      </c>
      <c r="E1309" s="71" t="n">
        <f aca="false">MIN(MAX(0,E97-E703-E1006),E97*CPR*MAX(0,MIN(3,'Loan Tape'!$AV93)-2))</f>
        <v>0</v>
      </c>
      <c r="F1309" s="71" t="n">
        <f aca="false">MIN(MAX(0,F97-F703-F1006),F97*CPR*MAX(0,MIN(4,'Loan Tape'!$AV93)-3))</f>
        <v>0</v>
      </c>
      <c r="G1309" s="71" t="n">
        <f aca="false">MIN(MAX(0,G97-G703-G1006),G97*CPR*MAX(0,MIN(5,'Loan Tape'!$AV93)-4))</f>
        <v>0</v>
      </c>
      <c r="H1309" s="71" t="n">
        <f aca="false">MIN(MAX(0,H97-H703-H1006),H97*CPR*MAX(0,MIN(6,'Loan Tape'!$AV93)-5))</f>
        <v>0</v>
      </c>
      <c r="I1309" s="71" t="n">
        <f aca="false">MIN(MAX(0,I97-I703-I1006),I97*CPR*MAX(0,MIN(7,'Loan Tape'!$AV93)-6))</f>
        <v>0</v>
      </c>
      <c r="J1309" s="71" t="n">
        <f aca="false">MIN(MAX(0,J97-J703-J1006),J97*CPR*MAX(0,MIN(8,'Loan Tape'!$AV93)-7))</f>
        <v>0</v>
      </c>
      <c r="K1309" s="71" t="n">
        <f aca="false">MIN(MAX(0,K97-K703-K1006),K97*CPR*MAX(0,MIN(9,'Loan Tape'!$AV93)-8))</f>
        <v>0</v>
      </c>
      <c r="L1309" s="71" t="n">
        <f aca="false">MIN(MAX(0,L97-L703-L1006),L97*CPR*MAX(0,MIN(10,'Loan Tape'!$AV93)-9))</f>
        <v>0</v>
      </c>
    </row>
    <row r="1310" customFormat="false" ht="15" hidden="false" customHeight="false" outlineLevel="0" collapsed="false">
      <c r="B1310" s="102" t="n">
        <f aca="false">'Loan Tape'!$A94</f>
        <v>0</v>
      </c>
      <c r="C1310" s="99" t="n">
        <f aca="false">MIN(MAX(0,C98-C704-C1007),C98*CPR*MAX(0,MIN(1,'Loan Tape'!$AV94)-0))</f>
        <v>0</v>
      </c>
      <c r="D1310" s="99" t="n">
        <f aca="false">MIN(MAX(0,D98-D704-D1007),D98*CPR*MAX(0,MIN(2,'Loan Tape'!$AV94)-1))</f>
        <v>0</v>
      </c>
      <c r="E1310" s="99" t="n">
        <f aca="false">MIN(MAX(0,E98-E704-E1007),E98*CPR*MAX(0,MIN(3,'Loan Tape'!$AV94)-2))</f>
        <v>0</v>
      </c>
      <c r="F1310" s="99" t="n">
        <f aca="false">MIN(MAX(0,F98-F704-F1007),F98*CPR*MAX(0,MIN(4,'Loan Tape'!$AV94)-3))</f>
        <v>0</v>
      </c>
      <c r="G1310" s="99" t="n">
        <f aca="false">MIN(MAX(0,G98-G704-G1007),G98*CPR*MAX(0,MIN(5,'Loan Tape'!$AV94)-4))</f>
        <v>0</v>
      </c>
      <c r="H1310" s="99" t="n">
        <f aca="false">MIN(MAX(0,H98-H704-H1007),H98*CPR*MAX(0,MIN(6,'Loan Tape'!$AV94)-5))</f>
        <v>0</v>
      </c>
      <c r="I1310" s="99" t="n">
        <f aca="false">MIN(MAX(0,I98-I704-I1007),I98*CPR*MAX(0,MIN(7,'Loan Tape'!$AV94)-6))</f>
        <v>0</v>
      </c>
      <c r="J1310" s="99" t="n">
        <f aca="false">MIN(MAX(0,J98-J704-J1007),J98*CPR*MAX(0,MIN(8,'Loan Tape'!$AV94)-7))</f>
        <v>0</v>
      </c>
      <c r="K1310" s="99" t="n">
        <f aca="false">MIN(MAX(0,K98-K704-K1007),K98*CPR*MAX(0,MIN(9,'Loan Tape'!$AV94)-8))</f>
        <v>0</v>
      </c>
      <c r="L1310" s="99" t="n">
        <f aca="false">MIN(MAX(0,L98-L704-L1007),L98*CPR*MAX(0,MIN(10,'Loan Tape'!$AV94)-9))</f>
        <v>0</v>
      </c>
    </row>
    <row r="1311" customFormat="false" ht="15" hidden="false" customHeight="false" outlineLevel="0" collapsed="false">
      <c r="B1311" s="108" t="n">
        <f aca="false">'Loan Tape'!$A95</f>
        <v>0</v>
      </c>
      <c r="C1311" s="71" t="n">
        <f aca="false">MIN(MAX(0,C99-C705-C1008),C99*CPR*MAX(0,MIN(1,'Loan Tape'!$AV95)-0))</f>
        <v>0</v>
      </c>
      <c r="D1311" s="71" t="n">
        <f aca="false">MIN(MAX(0,D99-D705-D1008),D99*CPR*MAX(0,MIN(2,'Loan Tape'!$AV95)-1))</f>
        <v>0</v>
      </c>
      <c r="E1311" s="71" t="n">
        <f aca="false">MIN(MAX(0,E99-E705-E1008),E99*CPR*MAX(0,MIN(3,'Loan Tape'!$AV95)-2))</f>
        <v>0</v>
      </c>
      <c r="F1311" s="71" t="n">
        <f aca="false">MIN(MAX(0,F99-F705-F1008),F99*CPR*MAX(0,MIN(4,'Loan Tape'!$AV95)-3))</f>
        <v>0</v>
      </c>
      <c r="G1311" s="71" t="n">
        <f aca="false">MIN(MAX(0,G99-G705-G1008),G99*CPR*MAX(0,MIN(5,'Loan Tape'!$AV95)-4))</f>
        <v>0</v>
      </c>
      <c r="H1311" s="71" t="n">
        <f aca="false">MIN(MAX(0,H99-H705-H1008),H99*CPR*MAX(0,MIN(6,'Loan Tape'!$AV95)-5))</f>
        <v>0</v>
      </c>
      <c r="I1311" s="71" t="n">
        <f aca="false">MIN(MAX(0,I99-I705-I1008),I99*CPR*MAX(0,MIN(7,'Loan Tape'!$AV95)-6))</f>
        <v>0</v>
      </c>
      <c r="J1311" s="71" t="n">
        <f aca="false">MIN(MAX(0,J99-J705-J1008),J99*CPR*MAX(0,MIN(8,'Loan Tape'!$AV95)-7))</f>
        <v>0</v>
      </c>
      <c r="K1311" s="71" t="n">
        <f aca="false">MIN(MAX(0,K99-K705-K1008),K99*CPR*MAX(0,MIN(9,'Loan Tape'!$AV95)-8))</f>
        <v>0</v>
      </c>
      <c r="L1311" s="71" t="n">
        <f aca="false">MIN(MAX(0,L99-L705-L1008),L99*CPR*MAX(0,MIN(10,'Loan Tape'!$AV95)-9))</f>
        <v>0</v>
      </c>
    </row>
    <row r="1312" customFormat="false" ht="15" hidden="false" customHeight="false" outlineLevel="0" collapsed="false">
      <c r="B1312" s="102" t="n">
        <f aca="false">'Loan Tape'!$A96</f>
        <v>0</v>
      </c>
      <c r="C1312" s="99" t="n">
        <f aca="false">MIN(MAX(0,C100-C706-C1009),C100*CPR*MAX(0,MIN(1,'Loan Tape'!$AV96)-0))</f>
        <v>0</v>
      </c>
      <c r="D1312" s="99" t="n">
        <f aca="false">MIN(MAX(0,D100-D706-D1009),D100*CPR*MAX(0,MIN(2,'Loan Tape'!$AV96)-1))</f>
        <v>0</v>
      </c>
      <c r="E1312" s="99" t="n">
        <f aca="false">MIN(MAX(0,E100-E706-E1009),E100*CPR*MAX(0,MIN(3,'Loan Tape'!$AV96)-2))</f>
        <v>0</v>
      </c>
      <c r="F1312" s="99" t="n">
        <f aca="false">MIN(MAX(0,F100-F706-F1009),F100*CPR*MAX(0,MIN(4,'Loan Tape'!$AV96)-3))</f>
        <v>0</v>
      </c>
      <c r="G1312" s="99" t="n">
        <f aca="false">MIN(MAX(0,G100-G706-G1009),G100*CPR*MAX(0,MIN(5,'Loan Tape'!$AV96)-4))</f>
        <v>0</v>
      </c>
      <c r="H1312" s="99" t="n">
        <f aca="false">MIN(MAX(0,H100-H706-H1009),H100*CPR*MAX(0,MIN(6,'Loan Tape'!$AV96)-5))</f>
        <v>0</v>
      </c>
      <c r="I1312" s="99" t="n">
        <f aca="false">MIN(MAX(0,I100-I706-I1009),I100*CPR*MAX(0,MIN(7,'Loan Tape'!$AV96)-6))</f>
        <v>0</v>
      </c>
      <c r="J1312" s="99" t="n">
        <f aca="false">MIN(MAX(0,J100-J706-J1009),J100*CPR*MAX(0,MIN(8,'Loan Tape'!$AV96)-7))</f>
        <v>0</v>
      </c>
      <c r="K1312" s="99" t="n">
        <f aca="false">MIN(MAX(0,K100-K706-K1009),K100*CPR*MAX(0,MIN(9,'Loan Tape'!$AV96)-8))</f>
        <v>0</v>
      </c>
      <c r="L1312" s="99" t="n">
        <f aca="false">MIN(MAX(0,L100-L706-L1009),L100*CPR*MAX(0,MIN(10,'Loan Tape'!$AV96)-9))</f>
        <v>0</v>
      </c>
    </row>
    <row r="1313" customFormat="false" ht="15" hidden="false" customHeight="false" outlineLevel="0" collapsed="false">
      <c r="B1313" s="108" t="n">
        <f aca="false">'Loan Tape'!$A97</f>
        <v>0</v>
      </c>
      <c r="C1313" s="71" t="n">
        <f aca="false">MIN(MAX(0,C101-C707-C1010),C101*CPR*MAX(0,MIN(1,'Loan Tape'!$AV97)-0))</f>
        <v>0</v>
      </c>
      <c r="D1313" s="71" t="n">
        <f aca="false">MIN(MAX(0,D101-D707-D1010),D101*CPR*MAX(0,MIN(2,'Loan Tape'!$AV97)-1))</f>
        <v>0</v>
      </c>
      <c r="E1313" s="71" t="n">
        <f aca="false">MIN(MAX(0,E101-E707-E1010),E101*CPR*MAX(0,MIN(3,'Loan Tape'!$AV97)-2))</f>
        <v>0</v>
      </c>
      <c r="F1313" s="71" t="n">
        <f aca="false">MIN(MAX(0,F101-F707-F1010),F101*CPR*MAX(0,MIN(4,'Loan Tape'!$AV97)-3))</f>
        <v>0</v>
      </c>
      <c r="G1313" s="71" t="n">
        <f aca="false">MIN(MAX(0,G101-G707-G1010),G101*CPR*MAX(0,MIN(5,'Loan Tape'!$AV97)-4))</f>
        <v>0</v>
      </c>
      <c r="H1313" s="71" t="n">
        <f aca="false">MIN(MAX(0,H101-H707-H1010),H101*CPR*MAX(0,MIN(6,'Loan Tape'!$AV97)-5))</f>
        <v>0</v>
      </c>
      <c r="I1313" s="71" t="n">
        <f aca="false">MIN(MAX(0,I101-I707-I1010),I101*CPR*MAX(0,MIN(7,'Loan Tape'!$AV97)-6))</f>
        <v>0</v>
      </c>
      <c r="J1313" s="71" t="n">
        <f aca="false">MIN(MAX(0,J101-J707-J1010),J101*CPR*MAX(0,MIN(8,'Loan Tape'!$AV97)-7))</f>
        <v>0</v>
      </c>
      <c r="K1313" s="71" t="n">
        <f aca="false">MIN(MAX(0,K101-K707-K1010),K101*CPR*MAX(0,MIN(9,'Loan Tape'!$AV97)-8))</f>
        <v>0</v>
      </c>
      <c r="L1313" s="71" t="n">
        <f aca="false">MIN(MAX(0,L101-L707-L1010),L101*CPR*MAX(0,MIN(10,'Loan Tape'!$AV97)-9))</f>
        <v>0</v>
      </c>
    </row>
    <row r="1314" customFormat="false" ht="15" hidden="false" customHeight="false" outlineLevel="0" collapsed="false">
      <c r="B1314" s="102" t="n">
        <f aca="false">'Loan Tape'!$A98</f>
        <v>0</v>
      </c>
      <c r="C1314" s="99" t="n">
        <f aca="false">MIN(MAX(0,C102-C708-C1011),C102*CPR*MAX(0,MIN(1,'Loan Tape'!$AV98)-0))</f>
        <v>0</v>
      </c>
      <c r="D1314" s="99" t="n">
        <f aca="false">MIN(MAX(0,D102-D708-D1011),D102*CPR*MAX(0,MIN(2,'Loan Tape'!$AV98)-1))</f>
        <v>0</v>
      </c>
      <c r="E1314" s="99" t="n">
        <f aca="false">MIN(MAX(0,E102-E708-E1011),E102*CPR*MAX(0,MIN(3,'Loan Tape'!$AV98)-2))</f>
        <v>0</v>
      </c>
      <c r="F1314" s="99" t="n">
        <f aca="false">MIN(MAX(0,F102-F708-F1011),F102*CPR*MAX(0,MIN(4,'Loan Tape'!$AV98)-3))</f>
        <v>0</v>
      </c>
      <c r="G1314" s="99" t="n">
        <f aca="false">MIN(MAX(0,G102-G708-G1011),G102*CPR*MAX(0,MIN(5,'Loan Tape'!$AV98)-4))</f>
        <v>0</v>
      </c>
      <c r="H1314" s="99" t="n">
        <f aca="false">MIN(MAX(0,H102-H708-H1011),H102*CPR*MAX(0,MIN(6,'Loan Tape'!$AV98)-5))</f>
        <v>0</v>
      </c>
      <c r="I1314" s="99" t="n">
        <f aca="false">MIN(MAX(0,I102-I708-I1011),I102*CPR*MAX(0,MIN(7,'Loan Tape'!$AV98)-6))</f>
        <v>0</v>
      </c>
      <c r="J1314" s="99" t="n">
        <f aca="false">MIN(MAX(0,J102-J708-J1011),J102*CPR*MAX(0,MIN(8,'Loan Tape'!$AV98)-7))</f>
        <v>0</v>
      </c>
      <c r="K1314" s="99" t="n">
        <f aca="false">MIN(MAX(0,K102-K708-K1011),K102*CPR*MAX(0,MIN(9,'Loan Tape'!$AV98)-8))</f>
        <v>0</v>
      </c>
      <c r="L1314" s="99" t="n">
        <f aca="false">MIN(MAX(0,L102-L708-L1011),L102*CPR*MAX(0,MIN(10,'Loan Tape'!$AV98)-9))</f>
        <v>0</v>
      </c>
    </row>
    <row r="1315" customFormat="false" ht="15" hidden="false" customHeight="false" outlineLevel="0" collapsed="false">
      <c r="B1315" s="108" t="n">
        <f aca="false">'Loan Tape'!$A99</f>
        <v>0</v>
      </c>
      <c r="C1315" s="71" t="n">
        <f aca="false">MIN(MAX(0,C103-C709-C1012),C103*CPR*MAX(0,MIN(1,'Loan Tape'!$AV99)-0))</f>
        <v>0</v>
      </c>
      <c r="D1315" s="71" t="n">
        <f aca="false">MIN(MAX(0,D103-D709-D1012),D103*CPR*MAX(0,MIN(2,'Loan Tape'!$AV99)-1))</f>
        <v>0</v>
      </c>
      <c r="E1315" s="71" t="n">
        <f aca="false">MIN(MAX(0,E103-E709-E1012),E103*CPR*MAX(0,MIN(3,'Loan Tape'!$AV99)-2))</f>
        <v>0</v>
      </c>
      <c r="F1315" s="71" t="n">
        <f aca="false">MIN(MAX(0,F103-F709-F1012),F103*CPR*MAX(0,MIN(4,'Loan Tape'!$AV99)-3))</f>
        <v>0</v>
      </c>
      <c r="G1315" s="71" t="n">
        <f aca="false">MIN(MAX(0,G103-G709-G1012),G103*CPR*MAX(0,MIN(5,'Loan Tape'!$AV99)-4))</f>
        <v>0</v>
      </c>
      <c r="H1315" s="71" t="n">
        <f aca="false">MIN(MAX(0,H103-H709-H1012),H103*CPR*MAX(0,MIN(6,'Loan Tape'!$AV99)-5))</f>
        <v>0</v>
      </c>
      <c r="I1315" s="71" t="n">
        <f aca="false">MIN(MAX(0,I103-I709-I1012),I103*CPR*MAX(0,MIN(7,'Loan Tape'!$AV99)-6))</f>
        <v>0</v>
      </c>
      <c r="J1315" s="71" t="n">
        <f aca="false">MIN(MAX(0,J103-J709-J1012),J103*CPR*MAX(0,MIN(8,'Loan Tape'!$AV99)-7))</f>
        <v>0</v>
      </c>
      <c r="K1315" s="71" t="n">
        <f aca="false">MIN(MAX(0,K103-K709-K1012),K103*CPR*MAX(0,MIN(9,'Loan Tape'!$AV99)-8))</f>
        <v>0</v>
      </c>
      <c r="L1315" s="71" t="n">
        <f aca="false">MIN(MAX(0,L103-L709-L1012),L103*CPR*MAX(0,MIN(10,'Loan Tape'!$AV99)-9))</f>
        <v>0</v>
      </c>
    </row>
    <row r="1316" customFormat="false" ht="15" hidden="false" customHeight="false" outlineLevel="0" collapsed="false">
      <c r="B1316" s="102" t="n">
        <f aca="false">'Loan Tape'!$A100</f>
        <v>0</v>
      </c>
      <c r="C1316" s="99" t="n">
        <f aca="false">MIN(MAX(0,C104-C710-C1013),C104*CPR*MAX(0,MIN(1,'Loan Tape'!$AV100)-0))</f>
        <v>0</v>
      </c>
      <c r="D1316" s="99" t="n">
        <f aca="false">MIN(MAX(0,D104-D710-D1013),D104*CPR*MAX(0,MIN(2,'Loan Tape'!$AV100)-1))</f>
        <v>0</v>
      </c>
      <c r="E1316" s="99" t="n">
        <f aca="false">MIN(MAX(0,E104-E710-E1013),E104*CPR*MAX(0,MIN(3,'Loan Tape'!$AV100)-2))</f>
        <v>0</v>
      </c>
      <c r="F1316" s="99" t="n">
        <f aca="false">MIN(MAX(0,F104-F710-F1013),F104*CPR*MAX(0,MIN(4,'Loan Tape'!$AV100)-3))</f>
        <v>0</v>
      </c>
      <c r="G1316" s="99" t="n">
        <f aca="false">MIN(MAX(0,G104-G710-G1013),G104*CPR*MAX(0,MIN(5,'Loan Tape'!$AV100)-4))</f>
        <v>0</v>
      </c>
      <c r="H1316" s="99" t="n">
        <f aca="false">MIN(MAX(0,H104-H710-H1013),H104*CPR*MAX(0,MIN(6,'Loan Tape'!$AV100)-5))</f>
        <v>0</v>
      </c>
      <c r="I1316" s="99" t="n">
        <f aca="false">MIN(MAX(0,I104-I710-I1013),I104*CPR*MAX(0,MIN(7,'Loan Tape'!$AV100)-6))</f>
        <v>0</v>
      </c>
      <c r="J1316" s="99" t="n">
        <f aca="false">MIN(MAX(0,J104-J710-J1013),J104*CPR*MAX(0,MIN(8,'Loan Tape'!$AV100)-7))</f>
        <v>0</v>
      </c>
      <c r="K1316" s="99" t="n">
        <f aca="false">MIN(MAX(0,K104-K710-K1013),K104*CPR*MAX(0,MIN(9,'Loan Tape'!$AV100)-8))</f>
        <v>0</v>
      </c>
      <c r="L1316" s="99" t="n">
        <f aca="false">MIN(MAX(0,L104-L710-L1013),L104*CPR*MAX(0,MIN(10,'Loan Tape'!$AV100)-9))</f>
        <v>0</v>
      </c>
    </row>
    <row r="1317" customFormat="false" ht="15" hidden="false" customHeight="false" outlineLevel="0" collapsed="false">
      <c r="B1317" s="108" t="n">
        <f aca="false">'Loan Tape'!$A101</f>
        <v>0</v>
      </c>
      <c r="C1317" s="71" t="n">
        <f aca="false">MIN(MAX(0,C105-C711-C1014),C105*CPR*MAX(0,MIN(1,'Loan Tape'!$AV101)-0))</f>
        <v>0</v>
      </c>
      <c r="D1317" s="71" t="n">
        <f aca="false">MIN(MAX(0,D105-D711-D1014),D105*CPR*MAX(0,MIN(2,'Loan Tape'!$AV101)-1))</f>
        <v>0</v>
      </c>
      <c r="E1317" s="71" t="n">
        <f aca="false">MIN(MAX(0,E105-E711-E1014),E105*CPR*MAX(0,MIN(3,'Loan Tape'!$AV101)-2))</f>
        <v>0</v>
      </c>
      <c r="F1317" s="71" t="n">
        <f aca="false">MIN(MAX(0,F105-F711-F1014),F105*CPR*MAX(0,MIN(4,'Loan Tape'!$AV101)-3))</f>
        <v>0</v>
      </c>
      <c r="G1317" s="71" t="n">
        <f aca="false">MIN(MAX(0,G105-G711-G1014),G105*CPR*MAX(0,MIN(5,'Loan Tape'!$AV101)-4))</f>
        <v>0</v>
      </c>
      <c r="H1317" s="71" t="n">
        <f aca="false">MIN(MAX(0,H105-H711-H1014),H105*CPR*MAX(0,MIN(6,'Loan Tape'!$AV101)-5))</f>
        <v>0</v>
      </c>
      <c r="I1317" s="71" t="n">
        <f aca="false">MIN(MAX(0,I105-I711-I1014),I105*CPR*MAX(0,MIN(7,'Loan Tape'!$AV101)-6))</f>
        <v>0</v>
      </c>
      <c r="J1317" s="71" t="n">
        <f aca="false">MIN(MAX(0,J105-J711-J1014),J105*CPR*MAX(0,MIN(8,'Loan Tape'!$AV101)-7))</f>
        <v>0</v>
      </c>
      <c r="K1317" s="71" t="n">
        <f aca="false">MIN(MAX(0,K105-K711-K1014),K105*CPR*MAX(0,MIN(9,'Loan Tape'!$AV101)-8))</f>
        <v>0</v>
      </c>
      <c r="L1317" s="71" t="n">
        <f aca="false">MIN(MAX(0,L105-L711-L1014),L105*CPR*MAX(0,MIN(10,'Loan Tape'!$AV101)-9))</f>
        <v>0</v>
      </c>
    </row>
    <row r="1318" customFormat="false" ht="15" hidden="false" customHeight="false" outlineLevel="0" collapsed="false">
      <c r="B1318" s="102" t="n">
        <f aca="false">'Loan Tape'!$A102</f>
        <v>0</v>
      </c>
      <c r="C1318" s="99" t="n">
        <f aca="false">MIN(MAX(0,C106-C712-C1015),C106*CPR*MAX(0,MIN(1,'Loan Tape'!$AV102)-0))</f>
        <v>0</v>
      </c>
      <c r="D1318" s="99" t="n">
        <f aca="false">MIN(MAX(0,D106-D712-D1015),D106*CPR*MAX(0,MIN(2,'Loan Tape'!$AV102)-1))</f>
        <v>0</v>
      </c>
      <c r="E1318" s="99" t="n">
        <f aca="false">MIN(MAX(0,E106-E712-E1015),E106*CPR*MAX(0,MIN(3,'Loan Tape'!$AV102)-2))</f>
        <v>0</v>
      </c>
      <c r="F1318" s="99" t="n">
        <f aca="false">MIN(MAX(0,F106-F712-F1015),F106*CPR*MAX(0,MIN(4,'Loan Tape'!$AV102)-3))</f>
        <v>0</v>
      </c>
      <c r="G1318" s="99" t="n">
        <f aca="false">MIN(MAX(0,G106-G712-G1015),G106*CPR*MAX(0,MIN(5,'Loan Tape'!$AV102)-4))</f>
        <v>0</v>
      </c>
      <c r="H1318" s="99" t="n">
        <f aca="false">MIN(MAX(0,H106-H712-H1015),H106*CPR*MAX(0,MIN(6,'Loan Tape'!$AV102)-5))</f>
        <v>0</v>
      </c>
      <c r="I1318" s="99" t="n">
        <f aca="false">MIN(MAX(0,I106-I712-I1015),I106*CPR*MAX(0,MIN(7,'Loan Tape'!$AV102)-6))</f>
        <v>0</v>
      </c>
      <c r="J1318" s="99" t="n">
        <f aca="false">MIN(MAX(0,J106-J712-J1015),J106*CPR*MAX(0,MIN(8,'Loan Tape'!$AV102)-7))</f>
        <v>0</v>
      </c>
      <c r="K1318" s="99" t="n">
        <f aca="false">MIN(MAX(0,K106-K712-K1015),K106*CPR*MAX(0,MIN(9,'Loan Tape'!$AV102)-8))</f>
        <v>0</v>
      </c>
      <c r="L1318" s="99" t="n">
        <f aca="false">MIN(MAX(0,L106-L712-L1015),L106*CPR*MAX(0,MIN(10,'Loan Tape'!$AV102)-9))</f>
        <v>0</v>
      </c>
    </row>
    <row r="1319" customFormat="false" ht="15" hidden="false" customHeight="false" outlineLevel="0" collapsed="false">
      <c r="B1319" s="108" t="n">
        <f aca="false">'Loan Tape'!$A103</f>
        <v>0</v>
      </c>
      <c r="C1319" s="71" t="n">
        <f aca="false">MIN(MAX(0,C107-C713-C1016),C107*CPR*MAX(0,MIN(1,'Loan Tape'!$AV103)-0))</f>
        <v>0</v>
      </c>
      <c r="D1319" s="71" t="n">
        <f aca="false">MIN(MAX(0,D107-D713-D1016),D107*CPR*MAX(0,MIN(2,'Loan Tape'!$AV103)-1))</f>
        <v>0</v>
      </c>
      <c r="E1319" s="71" t="n">
        <f aca="false">MIN(MAX(0,E107-E713-E1016),E107*CPR*MAX(0,MIN(3,'Loan Tape'!$AV103)-2))</f>
        <v>0</v>
      </c>
      <c r="F1319" s="71" t="n">
        <f aca="false">MIN(MAX(0,F107-F713-F1016),F107*CPR*MAX(0,MIN(4,'Loan Tape'!$AV103)-3))</f>
        <v>0</v>
      </c>
      <c r="G1319" s="71" t="n">
        <f aca="false">MIN(MAX(0,G107-G713-G1016),G107*CPR*MAX(0,MIN(5,'Loan Tape'!$AV103)-4))</f>
        <v>0</v>
      </c>
      <c r="H1319" s="71" t="n">
        <f aca="false">MIN(MAX(0,H107-H713-H1016),H107*CPR*MAX(0,MIN(6,'Loan Tape'!$AV103)-5))</f>
        <v>0</v>
      </c>
      <c r="I1319" s="71" t="n">
        <f aca="false">MIN(MAX(0,I107-I713-I1016),I107*CPR*MAX(0,MIN(7,'Loan Tape'!$AV103)-6))</f>
        <v>0</v>
      </c>
      <c r="J1319" s="71" t="n">
        <f aca="false">MIN(MAX(0,J107-J713-J1016),J107*CPR*MAX(0,MIN(8,'Loan Tape'!$AV103)-7))</f>
        <v>0</v>
      </c>
      <c r="K1319" s="71" t="n">
        <f aca="false">MIN(MAX(0,K107-K713-K1016),K107*CPR*MAX(0,MIN(9,'Loan Tape'!$AV103)-8))</f>
        <v>0</v>
      </c>
      <c r="L1319" s="71" t="n">
        <f aca="false">MIN(MAX(0,L107-L713-L1016),L107*CPR*MAX(0,MIN(10,'Loan Tape'!$AV103)-9))</f>
        <v>0</v>
      </c>
    </row>
    <row r="1320" customFormat="false" ht="15" hidden="false" customHeight="false" outlineLevel="0" collapsed="false">
      <c r="B1320" s="102" t="n">
        <f aca="false">'Loan Tape'!$A104</f>
        <v>0</v>
      </c>
      <c r="C1320" s="99" t="n">
        <f aca="false">MIN(MAX(0,C108-C714-C1017),C108*CPR*MAX(0,MIN(1,'Loan Tape'!$AV104)-0))</f>
        <v>0</v>
      </c>
      <c r="D1320" s="99" t="n">
        <f aca="false">MIN(MAX(0,D108-D714-D1017),D108*CPR*MAX(0,MIN(2,'Loan Tape'!$AV104)-1))</f>
        <v>0</v>
      </c>
      <c r="E1320" s="99" t="n">
        <f aca="false">MIN(MAX(0,E108-E714-E1017),E108*CPR*MAX(0,MIN(3,'Loan Tape'!$AV104)-2))</f>
        <v>0</v>
      </c>
      <c r="F1320" s="99" t="n">
        <f aca="false">MIN(MAX(0,F108-F714-F1017),F108*CPR*MAX(0,MIN(4,'Loan Tape'!$AV104)-3))</f>
        <v>0</v>
      </c>
      <c r="G1320" s="99" t="n">
        <f aca="false">MIN(MAX(0,G108-G714-G1017),G108*CPR*MAX(0,MIN(5,'Loan Tape'!$AV104)-4))</f>
        <v>0</v>
      </c>
      <c r="H1320" s="99" t="n">
        <f aca="false">MIN(MAX(0,H108-H714-H1017),H108*CPR*MAX(0,MIN(6,'Loan Tape'!$AV104)-5))</f>
        <v>0</v>
      </c>
      <c r="I1320" s="99" t="n">
        <f aca="false">MIN(MAX(0,I108-I714-I1017),I108*CPR*MAX(0,MIN(7,'Loan Tape'!$AV104)-6))</f>
        <v>0</v>
      </c>
      <c r="J1320" s="99" t="n">
        <f aca="false">MIN(MAX(0,J108-J714-J1017),J108*CPR*MAX(0,MIN(8,'Loan Tape'!$AV104)-7))</f>
        <v>0</v>
      </c>
      <c r="K1320" s="99" t="n">
        <f aca="false">MIN(MAX(0,K108-K714-K1017),K108*CPR*MAX(0,MIN(9,'Loan Tape'!$AV104)-8))</f>
        <v>0</v>
      </c>
      <c r="L1320" s="99" t="n">
        <f aca="false">MIN(MAX(0,L108-L714-L1017),L108*CPR*MAX(0,MIN(10,'Loan Tape'!$AV104)-9))</f>
        <v>0</v>
      </c>
    </row>
    <row r="1321" customFormat="false" ht="15" hidden="false" customHeight="false" outlineLevel="0" collapsed="false">
      <c r="B1321" s="108" t="n">
        <f aca="false">'Loan Tape'!$A105</f>
        <v>0</v>
      </c>
      <c r="C1321" s="71" t="n">
        <f aca="false">MIN(MAX(0,C109-C715-C1018),C109*CPR*MAX(0,MIN(1,'Loan Tape'!$AV105)-0))</f>
        <v>0</v>
      </c>
      <c r="D1321" s="71" t="n">
        <f aca="false">MIN(MAX(0,D109-D715-D1018),D109*CPR*MAX(0,MIN(2,'Loan Tape'!$AV105)-1))</f>
        <v>0</v>
      </c>
      <c r="E1321" s="71" t="n">
        <f aca="false">MIN(MAX(0,E109-E715-E1018),E109*CPR*MAX(0,MIN(3,'Loan Tape'!$AV105)-2))</f>
        <v>0</v>
      </c>
      <c r="F1321" s="71" t="n">
        <f aca="false">MIN(MAX(0,F109-F715-F1018),F109*CPR*MAX(0,MIN(4,'Loan Tape'!$AV105)-3))</f>
        <v>0</v>
      </c>
      <c r="G1321" s="71" t="n">
        <f aca="false">MIN(MAX(0,G109-G715-G1018),G109*CPR*MAX(0,MIN(5,'Loan Tape'!$AV105)-4))</f>
        <v>0</v>
      </c>
      <c r="H1321" s="71" t="n">
        <f aca="false">MIN(MAX(0,H109-H715-H1018),H109*CPR*MAX(0,MIN(6,'Loan Tape'!$AV105)-5))</f>
        <v>0</v>
      </c>
      <c r="I1321" s="71" t="n">
        <f aca="false">MIN(MAX(0,I109-I715-I1018),I109*CPR*MAX(0,MIN(7,'Loan Tape'!$AV105)-6))</f>
        <v>0</v>
      </c>
      <c r="J1321" s="71" t="n">
        <f aca="false">MIN(MAX(0,J109-J715-J1018),J109*CPR*MAX(0,MIN(8,'Loan Tape'!$AV105)-7))</f>
        <v>0</v>
      </c>
      <c r="K1321" s="71" t="n">
        <f aca="false">MIN(MAX(0,K109-K715-K1018),K109*CPR*MAX(0,MIN(9,'Loan Tape'!$AV105)-8))</f>
        <v>0</v>
      </c>
      <c r="L1321" s="71" t="n">
        <f aca="false">MIN(MAX(0,L109-L715-L1018),L109*CPR*MAX(0,MIN(10,'Loan Tape'!$AV105)-9))</f>
        <v>0</v>
      </c>
    </row>
    <row r="1322" customFormat="false" ht="15" hidden="false" customHeight="false" outlineLevel="0" collapsed="false">
      <c r="B1322" s="102" t="n">
        <f aca="false">'Loan Tape'!$A106</f>
        <v>0</v>
      </c>
      <c r="C1322" s="99" t="n">
        <f aca="false">MIN(MAX(0,C110-C716-C1019),C110*CPR*MAX(0,MIN(1,'Loan Tape'!$AV106)-0))</f>
        <v>0</v>
      </c>
      <c r="D1322" s="99" t="n">
        <f aca="false">MIN(MAX(0,D110-D716-D1019),D110*CPR*MAX(0,MIN(2,'Loan Tape'!$AV106)-1))</f>
        <v>0</v>
      </c>
      <c r="E1322" s="99" t="n">
        <f aca="false">MIN(MAX(0,E110-E716-E1019),E110*CPR*MAX(0,MIN(3,'Loan Tape'!$AV106)-2))</f>
        <v>0</v>
      </c>
      <c r="F1322" s="99" t="n">
        <f aca="false">MIN(MAX(0,F110-F716-F1019),F110*CPR*MAX(0,MIN(4,'Loan Tape'!$AV106)-3))</f>
        <v>0</v>
      </c>
      <c r="G1322" s="99" t="n">
        <f aca="false">MIN(MAX(0,G110-G716-G1019),G110*CPR*MAX(0,MIN(5,'Loan Tape'!$AV106)-4))</f>
        <v>0</v>
      </c>
      <c r="H1322" s="99" t="n">
        <f aca="false">MIN(MAX(0,H110-H716-H1019),H110*CPR*MAX(0,MIN(6,'Loan Tape'!$AV106)-5))</f>
        <v>0</v>
      </c>
      <c r="I1322" s="99" t="n">
        <f aca="false">MIN(MAX(0,I110-I716-I1019),I110*CPR*MAX(0,MIN(7,'Loan Tape'!$AV106)-6))</f>
        <v>0</v>
      </c>
      <c r="J1322" s="99" t="n">
        <f aca="false">MIN(MAX(0,J110-J716-J1019),J110*CPR*MAX(0,MIN(8,'Loan Tape'!$AV106)-7))</f>
        <v>0</v>
      </c>
      <c r="K1322" s="99" t="n">
        <f aca="false">MIN(MAX(0,K110-K716-K1019),K110*CPR*MAX(0,MIN(9,'Loan Tape'!$AV106)-8))</f>
        <v>0</v>
      </c>
      <c r="L1322" s="99" t="n">
        <f aca="false">MIN(MAX(0,L110-L716-L1019),L110*CPR*MAX(0,MIN(10,'Loan Tape'!$AV106)-9))</f>
        <v>0</v>
      </c>
    </row>
    <row r="1323" customFormat="false" ht="15" hidden="false" customHeight="false" outlineLevel="0" collapsed="false">
      <c r="B1323" s="108" t="n">
        <f aca="false">'Loan Tape'!$A107</f>
        <v>0</v>
      </c>
      <c r="C1323" s="71" t="n">
        <f aca="false">MIN(MAX(0,C111-C717-C1020),C111*CPR*MAX(0,MIN(1,'Loan Tape'!$AV107)-0))</f>
        <v>0</v>
      </c>
      <c r="D1323" s="71" t="n">
        <f aca="false">MIN(MAX(0,D111-D717-D1020),D111*CPR*MAX(0,MIN(2,'Loan Tape'!$AV107)-1))</f>
        <v>0</v>
      </c>
      <c r="E1323" s="71" t="n">
        <f aca="false">MIN(MAX(0,E111-E717-E1020),E111*CPR*MAX(0,MIN(3,'Loan Tape'!$AV107)-2))</f>
        <v>0</v>
      </c>
      <c r="F1323" s="71" t="n">
        <f aca="false">MIN(MAX(0,F111-F717-F1020),F111*CPR*MAX(0,MIN(4,'Loan Tape'!$AV107)-3))</f>
        <v>0</v>
      </c>
      <c r="G1323" s="71" t="n">
        <f aca="false">MIN(MAX(0,G111-G717-G1020),G111*CPR*MAX(0,MIN(5,'Loan Tape'!$AV107)-4))</f>
        <v>0</v>
      </c>
      <c r="H1323" s="71" t="n">
        <f aca="false">MIN(MAX(0,H111-H717-H1020),H111*CPR*MAX(0,MIN(6,'Loan Tape'!$AV107)-5))</f>
        <v>0</v>
      </c>
      <c r="I1323" s="71" t="n">
        <f aca="false">MIN(MAX(0,I111-I717-I1020),I111*CPR*MAX(0,MIN(7,'Loan Tape'!$AV107)-6))</f>
        <v>0</v>
      </c>
      <c r="J1323" s="71" t="n">
        <f aca="false">MIN(MAX(0,J111-J717-J1020),J111*CPR*MAX(0,MIN(8,'Loan Tape'!$AV107)-7))</f>
        <v>0</v>
      </c>
      <c r="K1323" s="71" t="n">
        <f aca="false">MIN(MAX(0,K111-K717-K1020),K111*CPR*MAX(0,MIN(9,'Loan Tape'!$AV107)-8))</f>
        <v>0</v>
      </c>
      <c r="L1323" s="71" t="n">
        <f aca="false">MIN(MAX(0,L111-L717-L1020),L111*CPR*MAX(0,MIN(10,'Loan Tape'!$AV107)-9))</f>
        <v>0</v>
      </c>
    </row>
    <row r="1324" customFormat="false" ht="15" hidden="false" customHeight="false" outlineLevel="0" collapsed="false">
      <c r="B1324" s="102" t="n">
        <f aca="false">'Loan Tape'!$A108</f>
        <v>0</v>
      </c>
      <c r="C1324" s="99" t="n">
        <f aca="false">MIN(MAX(0,C112-C718-C1021),C112*CPR*MAX(0,MIN(1,'Loan Tape'!$AV108)-0))</f>
        <v>0</v>
      </c>
      <c r="D1324" s="99" t="n">
        <f aca="false">MIN(MAX(0,D112-D718-D1021),D112*CPR*MAX(0,MIN(2,'Loan Tape'!$AV108)-1))</f>
        <v>0</v>
      </c>
      <c r="E1324" s="99" t="n">
        <f aca="false">MIN(MAX(0,E112-E718-E1021),E112*CPR*MAX(0,MIN(3,'Loan Tape'!$AV108)-2))</f>
        <v>0</v>
      </c>
      <c r="F1324" s="99" t="n">
        <f aca="false">MIN(MAX(0,F112-F718-F1021),F112*CPR*MAX(0,MIN(4,'Loan Tape'!$AV108)-3))</f>
        <v>0</v>
      </c>
      <c r="G1324" s="99" t="n">
        <f aca="false">MIN(MAX(0,G112-G718-G1021),G112*CPR*MAX(0,MIN(5,'Loan Tape'!$AV108)-4))</f>
        <v>0</v>
      </c>
      <c r="H1324" s="99" t="n">
        <f aca="false">MIN(MAX(0,H112-H718-H1021),H112*CPR*MAX(0,MIN(6,'Loan Tape'!$AV108)-5))</f>
        <v>0</v>
      </c>
      <c r="I1324" s="99" t="n">
        <f aca="false">MIN(MAX(0,I112-I718-I1021),I112*CPR*MAX(0,MIN(7,'Loan Tape'!$AV108)-6))</f>
        <v>0</v>
      </c>
      <c r="J1324" s="99" t="n">
        <f aca="false">MIN(MAX(0,J112-J718-J1021),J112*CPR*MAX(0,MIN(8,'Loan Tape'!$AV108)-7))</f>
        <v>0</v>
      </c>
      <c r="K1324" s="99" t="n">
        <f aca="false">MIN(MAX(0,K112-K718-K1021),K112*CPR*MAX(0,MIN(9,'Loan Tape'!$AV108)-8))</f>
        <v>0</v>
      </c>
      <c r="L1324" s="99" t="n">
        <f aca="false">MIN(MAX(0,L112-L718-L1021),L112*CPR*MAX(0,MIN(10,'Loan Tape'!$AV108)-9))</f>
        <v>0</v>
      </c>
    </row>
    <row r="1325" customFormat="false" ht="15" hidden="false" customHeight="false" outlineLevel="0" collapsed="false">
      <c r="B1325" s="108" t="n">
        <f aca="false">'Loan Tape'!$A109</f>
        <v>0</v>
      </c>
      <c r="C1325" s="71" t="n">
        <f aca="false">MIN(MAX(0,C113-C719-C1022),C113*CPR*MAX(0,MIN(1,'Loan Tape'!$AV109)-0))</f>
        <v>0</v>
      </c>
      <c r="D1325" s="71" t="n">
        <f aca="false">MIN(MAX(0,D113-D719-D1022),D113*CPR*MAX(0,MIN(2,'Loan Tape'!$AV109)-1))</f>
        <v>0</v>
      </c>
      <c r="E1325" s="71" t="n">
        <f aca="false">MIN(MAX(0,E113-E719-E1022),E113*CPR*MAX(0,MIN(3,'Loan Tape'!$AV109)-2))</f>
        <v>0</v>
      </c>
      <c r="F1325" s="71" t="n">
        <f aca="false">MIN(MAX(0,F113-F719-F1022),F113*CPR*MAX(0,MIN(4,'Loan Tape'!$AV109)-3))</f>
        <v>0</v>
      </c>
      <c r="G1325" s="71" t="n">
        <f aca="false">MIN(MAX(0,G113-G719-G1022),G113*CPR*MAX(0,MIN(5,'Loan Tape'!$AV109)-4))</f>
        <v>0</v>
      </c>
      <c r="H1325" s="71" t="n">
        <f aca="false">MIN(MAX(0,H113-H719-H1022),H113*CPR*MAX(0,MIN(6,'Loan Tape'!$AV109)-5))</f>
        <v>0</v>
      </c>
      <c r="I1325" s="71" t="n">
        <f aca="false">MIN(MAX(0,I113-I719-I1022),I113*CPR*MAX(0,MIN(7,'Loan Tape'!$AV109)-6))</f>
        <v>0</v>
      </c>
      <c r="J1325" s="71" t="n">
        <f aca="false">MIN(MAX(0,J113-J719-J1022),J113*CPR*MAX(0,MIN(8,'Loan Tape'!$AV109)-7))</f>
        <v>0</v>
      </c>
      <c r="K1325" s="71" t="n">
        <f aca="false">MIN(MAX(0,K113-K719-K1022),K113*CPR*MAX(0,MIN(9,'Loan Tape'!$AV109)-8))</f>
        <v>0</v>
      </c>
      <c r="L1325" s="71" t="n">
        <f aca="false">MIN(MAX(0,L113-L719-L1022),L113*CPR*MAX(0,MIN(10,'Loan Tape'!$AV109)-9))</f>
        <v>0</v>
      </c>
    </row>
    <row r="1326" customFormat="false" ht="15" hidden="false" customHeight="false" outlineLevel="0" collapsed="false">
      <c r="B1326" s="102" t="n">
        <f aca="false">'Loan Tape'!$A110</f>
        <v>0</v>
      </c>
      <c r="C1326" s="99" t="n">
        <f aca="false">MIN(MAX(0,C114-C720-C1023),C114*CPR*MAX(0,MIN(1,'Loan Tape'!$AV110)-0))</f>
        <v>0</v>
      </c>
      <c r="D1326" s="99" t="n">
        <f aca="false">MIN(MAX(0,D114-D720-D1023),D114*CPR*MAX(0,MIN(2,'Loan Tape'!$AV110)-1))</f>
        <v>0</v>
      </c>
      <c r="E1326" s="99" t="n">
        <f aca="false">MIN(MAX(0,E114-E720-E1023),E114*CPR*MAX(0,MIN(3,'Loan Tape'!$AV110)-2))</f>
        <v>0</v>
      </c>
      <c r="F1326" s="99" t="n">
        <f aca="false">MIN(MAX(0,F114-F720-F1023),F114*CPR*MAX(0,MIN(4,'Loan Tape'!$AV110)-3))</f>
        <v>0</v>
      </c>
      <c r="G1326" s="99" t="n">
        <f aca="false">MIN(MAX(0,G114-G720-G1023),G114*CPR*MAX(0,MIN(5,'Loan Tape'!$AV110)-4))</f>
        <v>0</v>
      </c>
      <c r="H1326" s="99" t="n">
        <f aca="false">MIN(MAX(0,H114-H720-H1023),H114*CPR*MAX(0,MIN(6,'Loan Tape'!$AV110)-5))</f>
        <v>0</v>
      </c>
      <c r="I1326" s="99" t="n">
        <f aca="false">MIN(MAX(0,I114-I720-I1023),I114*CPR*MAX(0,MIN(7,'Loan Tape'!$AV110)-6))</f>
        <v>0</v>
      </c>
      <c r="J1326" s="99" t="n">
        <f aca="false">MIN(MAX(0,J114-J720-J1023),J114*CPR*MAX(0,MIN(8,'Loan Tape'!$AV110)-7))</f>
        <v>0</v>
      </c>
      <c r="K1326" s="99" t="n">
        <f aca="false">MIN(MAX(0,K114-K720-K1023),K114*CPR*MAX(0,MIN(9,'Loan Tape'!$AV110)-8))</f>
        <v>0</v>
      </c>
      <c r="L1326" s="99" t="n">
        <f aca="false">MIN(MAX(0,L114-L720-L1023),L114*CPR*MAX(0,MIN(10,'Loan Tape'!$AV110)-9))</f>
        <v>0</v>
      </c>
    </row>
    <row r="1327" customFormat="false" ht="15" hidden="false" customHeight="false" outlineLevel="0" collapsed="false">
      <c r="B1327" s="108" t="n">
        <f aca="false">'Loan Tape'!$A111</f>
        <v>0</v>
      </c>
      <c r="C1327" s="71" t="n">
        <f aca="false">MIN(MAX(0,C115-C721-C1024),C115*CPR*MAX(0,MIN(1,'Loan Tape'!$AV111)-0))</f>
        <v>0</v>
      </c>
      <c r="D1327" s="71" t="n">
        <f aca="false">MIN(MAX(0,D115-D721-D1024),D115*CPR*MAX(0,MIN(2,'Loan Tape'!$AV111)-1))</f>
        <v>0</v>
      </c>
      <c r="E1327" s="71" t="n">
        <f aca="false">MIN(MAX(0,E115-E721-E1024),E115*CPR*MAX(0,MIN(3,'Loan Tape'!$AV111)-2))</f>
        <v>0</v>
      </c>
      <c r="F1327" s="71" t="n">
        <f aca="false">MIN(MAX(0,F115-F721-F1024),F115*CPR*MAX(0,MIN(4,'Loan Tape'!$AV111)-3))</f>
        <v>0</v>
      </c>
      <c r="G1327" s="71" t="n">
        <f aca="false">MIN(MAX(0,G115-G721-G1024),G115*CPR*MAX(0,MIN(5,'Loan Tape'!$AV111)-4))</f>
        <v>0</v>
      </c>
      <c r="H1327" s="71" t="n">
        <f aca="false">MIN(MAX(0,H115-H721-H1024),H115*CPR*MAX(0,MIN(6,'Loan Tape'!$AV111)-5))</f>
        <v>0</v>
      </c>
      <c r="I1327" s="71" t="n">
        <f aca="false">MIN(MAX(0,I115-I721-I1024),I115*CPR*MAX(0,MIN(7,'Loan Tape'!$AV111)-6))</f>
        <v>0</v>
      </c>
      <c r="J1327" s="71" t="n">
        <f aca="false">MIN(MAX(0,J115-J721-J1024),J115*CPR*MAX(0,MIN(8,'Loan Tape'!$AV111)-7))</f>
        <v>0</v>
      </c>
      <c r="K1327" s="71" t="n">
        <f aca="false">MIN(MAX(0,K115-K721-K1024),K115*CPR*MAX(0,MIN(9,'Loan Tape'!$AV111)-8))</f>
        <v>0</v>
      </c>
      <c r="L1327" s="71" t="n">
        <f aca="false">MIN(MAX(0,L115-L721-L1024),L115*CPR*MAX(0,MIN(10,'Loan Tape'!$AV111)-9))</f>
        <v>0</v>
      </c>
    </row>
    <row r="1328" customFormat="false" ht="15" hidden="false" customHeight="false" outlineLevel="0" collapsed="false">
      <c r="B1328" s="102" t="n">
        <f aca="false">'Loan Tape'!$A112</f>
        <v>0</v>
      </c>
      <c r="C1328" s="99" t="n">
        <f aca="false">MIN(MAX(0,C116-C722-C1025),C116*CPR*MAX(0,MIN(1,'Loan Tape'!$AV112)-0))</f>
        <v>0</v>
      </c>
      <c r="D1328" s="99" t="n">
        <f aca="false">MIN(MAX(0,D116-D722-D1025),D116*CPR*MAX(0,MIN(2,'Loan Tape'!$AV112)-1))</f>
        <v>0</v>
      </c>
      <c r="E1328" s="99" t="n">
        <f aca="false">MIN(MAX(0,E116-E722-E1025),E116*CPR*MAX(0,MIN(3,'Loan Tape'!$AV112)-2))</f>
        <v>0</v>
      </c>
      <c r="F1328" s="99" t="n">
        <f aca="false">MIN(MAX(0,F116-F722-F1025),F116*CPR*MAX(0,MIN(4,'Loan Tape'!$AV112)-3))</f>
        <v>0</v>
      </c>
      <c r="G1328" s="99" t="n">
        <f aca="false">MIN(MAX(0,G116-G722-G1025),G116*CPR*MAX(0,MIN(5,'Loan Tape'!$AV112)-4))</f>
        <v>0</v>
      </c>
      <c r="H1328" s="99" t="n">
        <f aca="false">MIN(MAX(0,H116-H722-H1025),H116*CPR*MAX(0,MIN(6,'Loan Tape'!$AV112)-5))</f>
        <v>0</v>
      </c>
      <c r="I1328" s="99" t="n">
        <f aca="false">MIN(MAX(0,I116-I722-I1025),I116*CPR*MAX(0,MIN(7,'Loan Tape'!$AV112)-6))</f>
        <v>0</v>
      </c>
      <c r="J1328" s="99" t="n">
        <f aca="false">MIN(MAX(0,J116-J722-J1025),J116*CPR*MAX(0,MIN(8,'Loan Tape'!$AV112)-7))</f>
        <v>0</v>
      </c>
      <c r="K1328" s="99" t="n">
        <f aca="false">MIN(MAX(0,K116-K722-K1025),K116*CPR*MAX(0,MIN(9,'Loan Tape'!$AV112)-8))</f>
        <v>0</v>
      </c>
      <c r="L1328" s="99" t="n">
        <f aca="false">MIN(MAX(0,L116-L722-L1025),L116*CPR*MAX(0,MIN(10,'Loan Tape'!$AV112)-9))</f>
        <v>0</v>
      </c>
    </row>
    <row r="1329" customFormat="false" ht="15" hidden="false" customHeight="false" outlineLevel="0" collapsed="false">
      <c r="B1329" s="108" t="n">
        <f aca="false">'Loan Tape'!$A113</f>
        <v>0</v>
      </c>
      <c r="C1329" s="71" t="n">
        <f aca="false">MIN(MAX(0,C117-C723-C1026),C117*CPR*MAX(0,MIN(1,'Loan Tape'!$AV113)-0))</f>
        <v>0</v>
      </c>
      <c r="D1329" s="71" t="n">
        <f aca="false">MIN(MAX(0,D117-D723-D1026),D117*CPR*MAX(0,MIN(2,'Loan Tape'!$AV113)-1))</f>
        <v>0</v>
      </c>
      <c r="E1329" s="71" t="n">
        <f aca="false">MIN(MAX(0,E117-E723-E1026),E117*CPR*MAX(0,MIN(3,'Loan Tape'!$AV113)-2))</f>
        <v>0</v>
      </c>
      <c r="F1329" s="71" t="n">
        <f aca="false">MIN(MAX(0,F117-F723-F1026),F117*CPR*MAX(0,MIN(4,'Loan Tape'!$AV113)-3))</f>
        <v>0</v>
      </c>
      <c r="G1329" s="71" t="n">
        <f aca="false">MIN(MAX(0,G117-G723-G1026),G117*CPR*MAX(0,MIN(5,'Loan Tape'!$AV113)-4))</f>
        <v>0</v>
      </c>
      <c r="H1329" s="71" t="n">
        <f aca="false">MIN(MAX(0,H117-H723-H1026),H117*CPR*MAX(0,MIN(6,'Loan Tape'!$AV113)-5))</f>
        <v>0</v>
      </c>
      <c r="I1329" s="71" t="n">
        <f aca="false">MIN(MAX(0,I117-I723-I1026),I117*CPR*MAX(0,MIN(7,'Loan Tape'!$AV113)-6))</f>
        <v>0</v>
      </c>
      <c r="J1329" s="71" t="n">
        <f aca="false">MIN(MAX(0,J117-J723-J1026),J117*CPR*MAX(0,MIN(8,'Loan Tape'!$AV113)-7))</f>
        <v>0</v>
      </c>
      <c r="K1329" s="71" t="n">
        <f aca="false">MIN(MAX(0,K117-K723-K1026),K117*CPR*MAX(0,MIN(9,'Loan Tape'!$AV113)-8))</f>
        <v>0</v>
      </c>
      <c r="L1329" s="71" t="n">
        <f aca="false">MIN(MAX(0,L117-L723-L1026),L117*CPR*MAX(0,MIN(10,'Loan Tape'!$AV113)-9))</f>
        <v>0</v>
      </c>
    </row>
    <row r="1330" customFormat="false" ht="15" hidden="false" customHeight="false" outlineLevel="0" collapsed="false">
      <c r="B1330" s="102" t="n">
        <f aca="false">'Loan Tape'!$A114</f>
        <v>0</v>
      </c>
      <c r="C1330" s="99" t="n">
        <f aca="false">MIN(MAX(0,C118-C724-C1027),C118*CPR*MAX(0,MIN(1,'Loan Tape'!$AV114)-0))</f>
        <v>0</v>
      </c>
      <c r="D1330" s="99" t="n">
        <f aca="false">MIN(MAX(0,D118-D724-D1027),D118*CPR*MAX(0,MIN(2,'Loan Tape'!$AV114)-1))</f>
        <v>0</v>
      </c>
      <c r="E1330" s="99" t="n">
        <f aca="false">MIN(MAX(0,E118-E724-E1027),E118*CPR*MAX(0,MIN(3,'Loan Tape'!$AV114)-2))</f>
        <v>0</v>
      </c>
      <c r="F1330" s="99" t="n">
        <f aca="false">MIN(MAX(0,F118-F724-F1027),F118*CPR*MAX(0,MIN(4,'Loan Tape'!$AV114)-3))</f>
        <v>0</v>
      </c>
      <c r="G1330" s="99" t="n">
        <f aca="false">MIN(MAX(0,G118-G724-G1027),G118*CPR*MAX(0,MIN(5,'Loan Tape'!$AV114)-4))</f>
        <v>0</v>
      </c>
      <c r="H1330" s="99" t="n">
        <f aca="false">MIN(MAX(0,H118-H724-H1027),H118*CPR*MAX(0,MIN(6,'Loan Tape'!$AV114)-5))</f>
        <v>0</v>
      </c>
      <c r="I1330" s="99" t="n">
        <f aca="false">MIN(MAX(0,I118-I724-I1027),I118*CPR*MAX(0,MIN(7,'Loan Tape'!$AV114)-6))</f>
        <v>0</v>
      </c>
      <c r="J1330" s="99" t="n">
        <f aca="false">MIN(MAX(0,J118-J724-J1027),J118*CPR*MAX(0,MIN(8,'Loan Tape'!$AV114)-7))</f>
        <v>0</v>
      </c>
      <c r="K1330" s="99" t="n">
        <f aca="false">MIN(MAX(0,K118-K724-K1027),K118*CPR*MAX(0,MIN(9,'Loan Tape'!$AV114)-8))</f>
        <v>0</v>
      </c>
      <c r="L1330" s="99" t="n">
        <f aca="false">MIN(MAX(0,L118-L724-L1027),L118*CPR*MAX(0,MIN(10,'Loan Tape'!$AV114)-9))</f>
        <v>0</v>
      </c>
    </row>
    <row r="1331" customFormat="false" ht="15" hidden="false" customHeight="false" outlineLevel="0" collapsed="false">
      <c r="B1331" s="108" t="n">
        <f aca="false">'Loan Tape'!$A115</f>
        <v>0</v>
      </c>
      <c r="C1331" s="71" t="n">
        <f aca="false">MIN(MAX(0,C119-C725-C1028),C119*CPR*MAX(0,MIN(1,'Loan Tape'!$AV115)-0))</f>
        <v>0</v>
      </c>
      <c r="D1331" s="71" t="n">
        <f aca="false">MIN(MAX(0,D119-D725-D1028),D119*CPR*MAX(0,MIN(2,'Loan Tape'!$AV115)-1))</f>
        <v>0</v>
      </c>
      <c r="E1331" s="71" t="n">
        <f aca="false">MIN(MAX(0,E119-E725-E1028),E119*CPR*MAX(0,MIN(3,'Loan Tape'!$AV115)-2))</f>
        <v>0</v>
      </c>
      <c r="F1331" s="71" t="n">
        <f aca="false">MIN(MAX(0,F119-F725-F1028),F119*CPR*MAX(0,MIN(4,'Loan Tape'!$AV115)-3))</f>
        <v>0</v>
      </c>
      <c r="G1331" s="71" t="n">
        <f aca="false">MIN(MAX(0,G119-G725-G1028),G119*CPR*MAX(0,MIN(5,'Loan Tape'!$AV115)-4))</f>
        <v>0</v>
      </c>
      <c r="H1331" s="71" t="n">
        <f aca="false">MIN(MAX(0,H119-H725-H1028),H119*CPR*MAX(0,MIN(6,'Loan Tape'!$AV115)-5))</f>
        <v>0</v>
      </c>
      <c r="I1331" s="71" t="n">
        <f aca="false">MIN(MAX(0,I119-I725-I1028),I119*CPR*MAX(0,MIN(7,'Loan Tape'!$AV115)-6))</f>
        <v>0</v>
      </c>
      <c r="J1331" s="71" t="n">
        <f aca="false">MIN(MAX(0,J119-J725-J1028),J119*CPR*MAX(0,MIN(8,'Loan Tape'!$AV115)-7))</f>
        <v>0</v>
      </c>
      <c r="K1331" s="71" t="n">
        <f aca="false">MIN(MAX(0,K119-K725-K1028),K119*CPR*MAX(0,MIN(9,'Loan Tape'!$AV115)-8))</f>
        <v>0</v>
      </c>
      <c r="L1331" s="71" t="n">
        <f aca="false">MIN(MAX(0,L119-L725-L1028),L119*CPR*MAX(0,MIN(10,'Loan Tape'!$AV115)-9))</f>
        <v>0</v>
      </c>
    </row>
    <row r="1332" customFormat="false" ht="15" hidden="false" customHeight="false" outlineLevel="0" collapsed="false">
      <c r="B1332" s="102" t="n">
        <f aca="false">'Loan Tape'!$A116</f>
        <v>0</v>
      </c>
      <c r="C1332" s="99" t="n">
        <f aca="false">MIN(MAX(0,C120-C726-C1029),C120*CPR*MAX(0,MIN(1,'Loan Tape'!$AV116)-0))</f>
        <v>0</v>
      </c>
      <c r="D1332" s="99" t="n">
        <f aca="false">MIN(MAX(0,D120-D726-D1029),D120*CPR*MAX(0,MIN(2,'Loan Tape'!$AV116)-1))</f>
        <v>0</v>
      </c>
      <c r="E1332" s="99" t="n">
        <f aca="false">MIN(MAX(0,E120-E726-E1029),E120*CPR*MAX(0,MIN(3,'Loan Tape'!$AV116)-2))</f>
        <v>0</v>
      </c>
      <c r="F1332" s="99" t="n">
        <f aca="false">MIN(MAX(0,F120-F726-F1029),F120*CPR*MAX(0,MIN(4,'Loan Tape'!$AV116)-3))</f>
        <v>0</v>
      </c>
      <c r="G1332" s="99" t="n">
        <f aca="false">MIN(MAX(0,G120-G726-G1029),G120*CPR*MAX(0,MIN(5,'Loan Tape'!$AV116)-4))</f>
        <v>0</v>
      </c>
      <c r="H1332" s="99" t="n">
        <f aca="false">MIN(MAX(0,H120-H726-H1029),H120*CPR*MAX(0,MIN(6,'Loan Tape'!$AV116)-5))</f>
        <v>0</v>
      </c>
      <c r="I1332" s="99" t="n">
        <f aca="false">MIN(MAX(0,I120-I726-I1029),I120*CPR*MAX(0,MIN(7,'Loan Tape'!$AV116)-6))</f>
        <v>0</v>
      </c>
      <c r="J1332" s="99" t="n">
        <f aca="false">MIN(MAX(0,J120-J726-J1029),J120*CPR*MAX(0,MIN(8,'Loan Tape'!$AV116)-7))</f>
        <v>0</v>
      </c>
      <c r="K1332" s="99" t="n">
        <f aca="false">MIN(MAX(0,K120-K726-K1029),K120*CPR*MAX(0,MIN(9,'Loan Tape'!$AV116)-8))</f>
        <v>0</v>
      </c>
      <c r="L1332" s="99" t="n">
        <f aca="false">MIN(MAX(0,L120-L726-L1029),L120*CPR*MAX(0,MIN(10,'Loan Tape'!$AV116)-9))</f>
        <v>0</v>
      </c>
    </row>
    <row r="1333" customFormat="false" ht="15" hidden="false" customHeight="false" outlineLevel="0" collapsed="false">
      <c r="B1333" s="108" t="n">
        <f aca="false">'Loan Tape'!$A117</f>
        <v>0</v>
      </c>
      <c r="C1333" s="71" t="n">
        <f aca="false">MIN(MAX(0,C121-C727-C1030),C121*CPR*MAX(0,MIN(1,'Loan Tape'!$AV117)-0))</f>
        <v>0</v>
      </c>
      <c r="D1333" s="71" t="n">
        <f aca="false">MIN(MAX(0,D121-D727-D1030),D121*CPR*MAX(0,MIN(2,'Loan Tape'!$AV117)-1))</f>
        <v>0</v>
      </c>
      <c r="E1333" s="71" t="n">
        <f aca="false">MIN(MAX(0,E121-E727-E1030),E121*CPR*MAX(0,MIN(3,'Loan Tape'!$AV117)-2))</f>
        <v>0</v>
      </c>
      <c r="F1333" s="71" t="n">
        <f aca="false">MIN(MAX(0,F121-F727-F1030),F121*CPR*MAX(0,MIN(4,'Loan Tape'!$AV117)-3))</f>
        <v>0</v>
      </c>
      <c r="G1333" s="71" t="n">
        <f aca="false">MIN(MAX(0,G121-G727-G1030),G121*CPR*MAX(0,MIN(5,'Loan Tape'!$AV117)-4))</f>
        <v>0</v>
      </c>
      <c r="H1333" s="71" t="n">
        <f aca="false">MIN(MAX(0,H121-H727-H1030),H121*CPR*MAX(0,MIN(6,'Loan Tape'!$AV117)-5))</f>
        <v>0</v>
      </c>
      <c r="I1333" s="71" t="n">
        <f aca="false">MIN(MAX(0,I121-I727-I1030),I121*CPR*MAX(0,MIN(7,'Loan Tape'!$AV117)-6))</f>
        <v>0</v>
      </c>
      <c r="J1333" s="71" t="n">
        <f aca="false">MIN(MAX(0,J121-J727-J1030),J121*CPR*MAX(0,MIN(8,'Loan Tape'!$AV117)-7))</f>
        <v>0</v>
      </c>
      <c r="K1333" s="71" t="n">
        <f aca="false">MIN(MAX(0,K121-K727-K1030),K121*CPR*MAX(0,MIN(9,'Loan Tape'!$AV117)-8))</f>
        <v>0</v>
      </c>
      <c r="L1333" s="71" t="n">
        <f aca="false">MIN(MAX(0,L121-L727-L1030),L121*CPR*MAX(0,MIN(10,'Loan Tape'!$AV117)-9))</f>
        <v>0</v>
      </c>
    </row>
    <row r="1334" customFormat="false" ht="15" hidden="false" customHeight="false" outlineLevel="0" collapsed="false">
      <c r="B1334" s="102" t="n">
        <f aca="false">'Loan Tape'!$A118</f>
        <v>0</v>
      </c>
      <c r="C1334" s="99" t="n">
        <f aca="false">MIN(MAX(0,C122-C728-C1031),C122*CPR*MAX(0,MIN(1,'Loan Tape'!$AV118)-0))</f>
        <v>0</v>
      </c>
      <c r="D1334" s="99" t="n">
        <f aca="false">MIN(MAX(0,D122-D728-D1031),D122*CPR*MAX(0,MIN(2,'Loan Tape'!$AV118)-1))</f>
        <v>0</v>
      </c>
      <c r="E1334" s="99" t="n">
        <f aca="false">MIN(MAX(0,E122-E728-E1031),E122*CPR*MAX(0,MIN(3,'Loan Tape'!$AV118)-2))</f>
        <v>0</v>
      </c>
      <c r="F1334" s="99" t="n">
        <f aca="false">MIN(MAX(0,F122-F728-F1031),F122*CPR*MAX(0,MIN(4,'Loan Tape'!$AV118)-3))</f>
        <v>0</v>
      </c>
      <c r="G1334" s="99" t="n">
        <f aca="false">MIN(MAX(0,G122-G728-G1031),G122*CPR*MAX(0,MIN(5,'Loan Tape'!$AV118)-4))</f>
        <v>0</v>
      </c>
      <c r="H1334" s="99" t="n">
        <f aca="false">MIN(MAX(0,H122-H728-H1031),H122*CPR*MAX(0,MIN(6,'Loan Tape'!$AV118)-5))</f>
        <v>0</v>
      </c>
      <c r="I1334" s="99" t="n">
        <f aca="false">MIN(MAX(0,I122-I728-I1031),I122*CPR*MAX(0,MIN(7,'Loan Tape'!$AV118)-6))</f>
        <v>0</v>
      </c>
      <c r="J1334" s="99" t="n">
        <f aca="false">MIN(MAX(0,J122-J728-J1031),J122*CPR*MAX(0,MIN(8,'Loan Tape'!$AV118)-7))</f>
        <v>0</v>
      </c>
      <c r="K1334" s="99" t="n">
        <f aca="false">MIN(MAX(0,K122-K728-K1031),K122*CPR*MAX(0,MIN(9,'Loan Tape'!$AV118)-8))</f>
        <v>0</v>
      </c>
      <c r="L1334" s="99" t="n">
        <f aca="false">MIN(MAX(0,L122-L728-L1031),L122*CPR*MAX(0,MIN(10,'Loan Tape'!$AV118)-9))</f>
        <v>0</v>
      </c>
    </row>
    <row r="1335" customFormat="false" ht="15" hidden="false" customHeight="false" outlineLevel="0" collapsed="false">
      <c r="B1335" s="108" t="n">
        <f aca="false">'Loan Tape'!$A119</f>
        <v>0</v>
      </c>
      <c r="C1335" s="71" t="n">
        <f aca="false">MIN(MAX(0,C123-C729-C1032),C123*CPR*MAX(0,MIN(1,'Loan Tape'!$AV119)-0))</f>
        <v>0</v>
      </c>
      <c r="D1335" s="71" t="n">
        <f aca="false">MIN(MAX(0,D123-D729-D1032),D123*CPR*MAX(0,MIN(2,'Loan Tape'!$AV119)-1))</f>
        <v>0</v>
      </c>
      <c r="E1335" s="71" t="n">
        <f aca="false">MIN(MAX(0,E123-E729-E1032),E123*CPR*MAX(0,MIN(3,'Loan Tape'!$AV119)-2))</f>
        <v>0</v>
      </c>
      <c r="F1335" s="71" t="n">
        <f aca="false">MIN(MAX(0,F123-F729-F1032),F123*CPR*MAX(0,MIN(4,'Loan Tape'!$AV119)-3))</f>
        <v>0</v>
      </c>
      <c r="G1335" s="71" t="n">
        <f aca="false">MIN(MAX(0,G123-G729-G1032),G123*CPR*MAX(0,MIN(5,'Loan Tape'!$AV119)-4))</f>
        <v>0</v>
      </c>
      <c r="H1335" s="71" t="n">
        <f aca="false">MIN(MAX(0,H123-H729-H1032),H123*CPR*MAX(0,MIN(6,'Loan Tape'!$AV119)-5))</f>
        <v>0</v>
      </c>
      <c r="I1335" s="71" t="n">
        <f aca="false">MIN(MAX(0,I123-I729-I1032),I123*CPR*MAX(0,MIN(7,'Loan Tape'!$AV119)-6))</f>
        <v>0</v>
      </c>
      <c r="J1335" s="71" t="n">
        <f aca="false">MIN(MAX(0,J123-J729-J1032),J123*CPR*MAX(0,MIN(8,'Loan Tape'!$AV119)-7))</f>
        <v>0</v>
      </c>
      <c r="K1335" s="71" t="n">
        <f aca="false">MIN(MAX(0,K123-K729-K1032),K123*CPR*MAX(0,MIN(9,'Loan Tape'!$AV119)-8))</f>
        <v>0</v>
      </c>
      <c r="L1335" s="71" t="n">
        <f aca="false">MIN(MAX(0,L123-L729-L1032),L123*CPR*MAX(0,MIN(10,'Loan Tape'!$AV119)-9))</f>
        <v>0</v>
      </c>
    </row>
    <row r="1336" customFormat="false" ht="15" hidden="false" customHeight="false" outlineLevel="0" collapsed="false">
      <c r="B1336" s="102" t="n">
        <f aca="false">'Loan Tape'!$A120</f>
        <v>0</v>
      </c>
      <c r="C1336" s="99" t="n">
        <f aca="false">MIN(MAX(0,C124-C730-C1033),C124*CPR*MAX(0,MIN(1,'Loan Tape'!$AV120)-0))</f>
        <v>0</v>
      </c>
      <c r="D1336" s="99" t="n">
        <f aca="false">MIN(MAX(0,D124-D730-D1033),D124*CPR*MAX(0,MIN(2,'Loan Tape'!$AV120)-1))</f>
        <v>0</v>
      </c>
      <c r="E1336" s="99" t="n">
        <f aca="false">MIN(MAX(0,E124-E730-E1033),E124*CPR*MAX(0,MIN(3,'Loan Tape'!$AV120)-2))</f>
        <v>0</v>
      </c>
      <c r="F1336" s="99" t="n">
        <f aca="false">MIN(MAX(0,F124-F730-F1033),F124*CPR*MAX(0,MIN(4,'Loan Tape'!$AV120)-3))</f>
        <v>0</v>
      </c>
      <c r="G1336" s="99" t="n">
        <f aca="false">MIN(MAX(0,G124-G730-G1033),G124*CPR*MAX(0,MIN(5,'Loan Tape'!$AV120)-4))</f>
        <v>0</v>
      </c>
      <c r="H1336" s="99" t="n">
        <f aca="false">MIN(MAX(0,H124-H730-H1033),H124*CPR*MAX(0,MIN(6,'Loan Tape'!$AV120)-5))</f>
        <v>0</v>
      </c>
      <c r="I1336" s="99" t="n">
        <f aca="false">MIN(MAX(0,I124-I730-I1033),I124*CPR*MAX(0,MIN(7,'Loan Tape'!$AV120)-6))</f>
        <v>0</v>
      </c>
      <c r="J1336" s="99" t="n">
        <f aca="false">MIN(MAX(0,J124-J730-J1033),J124*CPR*MAX(0,MIN(8,'Loan Tape'!$AV120)-7))</f>
        <v>0</v>
      </c>
      <c r="K1336" s="99" t="n">
        <f aca="false">MIN(MAX(0,K124-K730-K1033),K124*CPR*MAX(0,MIN(9,'Loan Tape'!$AV120)-8))</f>
        <v>0</v>
      </c>
      <c r="L1336" s="99" t="n">
        <f aca="false">MIN(MAX(0,L124-L730-L1033),L124*CPR*MAX(0,MIN(10,'Loan Tape'!$AV120)-9))</f>
        <v>0</v>
      </c>
    </row>
    <row r="1337" customFormat="false" ht="15" hidden="false" customHeight="false" outlineLevel="0" collapsed="false">
      <c r="B1337" s="108" t="n">
        <f aca="false">'Loan Tape'!$A121</f>
        <v>0</v>
      </c>
      <c r="C1337" s="71" t="n">
        <f aca="false">MIN(MAX(0,C125-C731-C1034),C125*CPR*MAX(0,MIN(1,'Loan Tape'!$AV121)-0))</f>
        <v>0</v>
      </c>
      <c r="D1337" s="71" t="n">
        <f aca="false">MIN(MAX(0,D125-D731-D1034),D125*CPR*MAX(0,MIN(2,'Loan Tape'!$AV121)-1))</f>
        <v>0</v>
      </c>
      <c r="E1337" s="71" t="n">
        <f aca="false">MIN(MAX(0,E125-E731-E1034),E125*CPR*MAX(0,MIN(3,'Loan Tape'!$AV121)-2))</f>
        <v>0</v>
      </c>
      <c r="F1337" s="71" t="n">
        <f aca="false">MIN(MAX(0,F125-F731-F1034),F125*CPR*MAX(0,MIN(4,'Loan Tape'!$AV121)-3))</f>
        <v>0</v>
      </c>
      <c r="G1337" s="71" t="n">
        <f aca="false">MIN(MAX(0,G125-G731-G1034),G125*CPR*MAX(0,MIN(5,'Loan Tape'!$AV121)-4))</f>
        <v>0</v>
      </c>
      <c r="H1337" s="71" t="n">
        <f aca="false">MIN(MAX(0,H125-H731-H1034),H125*CPR*MAX(0,MIN(6,'Loan Tape'!$AV121)-5))</f>
        <v>0</v>
      </c>
      <c r="I1337" s="71" t="n">
        <f aca="false">MIN(MAX(0,I125-I731-I1034),I125*CPR*MAX(0,MIN(7,'Loan Tape'!$AV121)-6))</f>
        <v>0</v>
      </c>
      <c r="J1337" s="71" t="n">
        <f aca="false">MIN(MAX(0,J125-J731-J1034),J125*CPR*MAX(0,MIN(8,'Loan Tape'!$AV121)-7))</f>
        <v>0</v>
      </c>
      <c r="K1337" s="71" t="n">
        <f aca="false">MIN(MAX(0,K125-K731-K1034),K125*CPR*MAX(0,MIN(9,'Loan Tape'!$AV121)-8))</f>
        <v>0</v>
      </c>
      <c r="L1337" s="71" t="n">
        <f aca="false">MIN(MAX(0,L125-L731-L1034),L125*CPR*MAX(0,MIN(10,'Loan Tape'!$AV121)-9))</f>
        <v>0</v>
      </c>
    </row>
    <row r="1338" customFormat="false" ht="15" hidden="false" customHeight="false" outlineLevel="0" collapsed="false">
      <c r="B1338" s="102" t="n">
        <f aca="false">'Loan Tape'!$A122</f>
        <v>0</v>
      </c>
      <c r="C1338" s="99" t="n">
        <f aca="false">MIN(MAX(0,C126-C732-C1035),C126*CPR*MAX(0,MIN(1,'Loan Tape'!$AV122)-0))</f>
        <v>0</v>
      </c>
      <c r="D1338" s="99" t="n">
        <f aca="false">MIN(MAX(0,D126-D732-D1035),D126*CPR*MAX(0,MIN(2,'Loan Tape'!$AV122)-1))</f>
        <v>0</v>
      </c>
      <c r="E1338" s="99" t="n">
        <f aca="false">MIN(MAX(0,E126-E732-E1035),E126*CPR*MAX(0,MIN(3,'Loan Tape'!$AV122)-2))</f>
        <v>0</v>
      </c>
      <c r="F1338" s="99" t="n">
        <f aca="false">MIN(MAX(0,F126-F732-F1035),F126*CPR*MAX(0,MIN(4,'Loan Tape'!$AV122)-3))</f>
        <v>0</v>
      </c>
      <c r="G1338" s="99" t="n">
        <f aca="false">MIN(MAX(0,G126-G732-G1035),G126*CPR*MAX(0,MIN(5,'Loan Tape'!$AV122)-4))</f>
        <v>0</v>
      </c>
      <c r="H1338" s="99" t="n">
        <f aca="false">MIN(MAX(0,H126-H732-H1035),H126*CPR*MAX(0,MIN(6,'Loan Tape'!$AV122)-5))</f>
        <v>0</v>
      </c>
      <c r="I1338" s="99" t="n">
        <f aca="false">MIN(MAX(0,I126-I732-I1035),I126*CPR*MAX(0,MIN(7,'Loan Tape'!$AV122)-6))</f>
        <v>0</v>
      </c>
      <c r="J1338" s="99" t="n">
        <f aca="false">MIN(MAX(0,J126-J732-J1035),J126*CPR*MAX(0,MIN(8,'Loan Tape'!$AV122)-7))</f>
        <v>0</v>
      </c>
      <c r="K1338" s="99" t="n">
        <f aca="false">MIN(MAX(0,K126-K732-K1035),K126*CPR*MAX(0,MIN(9,'Loan Tape'!$AV122)-8))</f>
        <v>0</v>
      </c>
      <c r="L1338" s="99" t="n">
        <f aca="false">MIN(MAX(0,L126-L732-L1035),L126*CPR*MAX(0,MIN(10,'Loan Tape'!$AV122)-9))</f>
        <v>0</v>
      </c>
    </row>
    <row r="1339" customFormat="false" ht="15" hidden="false" customHeight="false" outlineLevel="0" collapsed="false">
      <c r="B1339" s="108" t="n">
        <f aca="false">'Loan Tape'!$A123</f>
        <v>0</v>
      </c>
      <c r="C1339" s="71" t="n">
        <f aca="false">MIN(MAX(0,C127-C733-C1036),C127*CPR*MAX(0,MIN(1,'Loan Tape'!$AV123)-0))</f>
        <v>0</v>
      </c>
      <c r="D1339" s="71" t="n">
        <f aca="false">MIN(MAX(0,D127-D733-D1036),D127*CPR*MAX(0,MIN(2,'Loan Tape'!$AV123)-1))</f>
        <v>0</v>
      </c>
      <c r="E1339" s="71" t="n">
        <f aca="false">MIN(MAX(0,E127-E733-E1036),E127*CPR*MAX(0,MIN(3,'Loan Tape'!$AV123)-2))</f>
        <v>0</v>
      </c>
      <c r="F1339" s="71" t="n">
        <f aca="false">MIN(MAX(0,F127-F733-F1036),F127*CPR*MAX(0,MIN(4,'Loan Tape'!$AV123)-3))</f>
        <v>0</v>
      </c>
      <c r="G1339" s="71" t="n">
        <f aca="false">MIN(MAX(0,G127-G733-G1036),G127*CPR*MAX(0,MIN(5,'Loan Tape'!$AV123)-4))</f>
        <v>0</v>
      </c>
      <c r="H1339" s="71" t="n">
        <f aca="false">MIN(MAX(0,H127-H733-H1036),H127*CPR*MAX(0,MIN(6,'Loan Tape'!$AV123)-5))</f>
        <v>0</v>
      </c>
      <c r="I1339" s="71" t="n">
        <f aca="false">MIN(MAX(0,I127-I733-I1036),I127*CPR*MAX(0,MIN(7,'Loan Tape'!$AV123)-6))</f>
        <v>0</v>
      </c>
      <c r="J1339" s="71" t="n">
        <f aca="false">MIN(MAX(0,J127-J733-J1036),J127*CPR*MAX(0,MIN(8,'Loan Tape'!$AV123)-7))</f>
        <v>0</v>
      </c>
      <c r="K1339" s="71" t="n">
        <f aca="false">MIN(MAX(0,K127-K733-K1036),K127*CPR*MAX(0,MIN(9,'Loan Tape'!$AV123)-8))</f>
        <v>0</v>
      </c>
      <c r="L1339" s="71" t="n">
        <f aca="false">MIN(MAX(0,L127-L733-L1036),L127*CPR*MAX(0,MIN(10,'Loan Tape'!$AV123)-9))</f>
        <v>0</v>
      </c>
    </row>
    <row r="1340" customFormat="false" ht="15" hidden="false" customHeight="false" outlineLevel="0" collapsed="false">
      <c r="B1340" s="102" t="n">
        <f aca="false">'Loan Tape'!$A124</f>
        <v>0</v>
      </c>
      <c r="C1340" s="99" t="n">
        <f aca="false">MIN(MAX(0,C128-C734-C1037),C128*CPR*MAX(0,MIN(1,'Loan Tape'!$AV124)-0))</f>
        <v>0</v>
      </c>
      <c r="D1340" s="99" t="n">
        <f aca="false">MIN(MAX(0,D128-D734-D1037),D128*CPR*MAX(0,MIN(2,'Loan Tape'!$AV124)-1))</f>
        <v>0</v>
      </c>
      <c r="E1340" s="99" t="n">
        <f aca="false">MIN(MAX(0,E128-E734-E1037),E128*CPR*MAX(0,MIN(3,'Loan Tape'!$AV124)-2))</f>
        <v>0</v>
      </c>
      <c r="F1340" s="99" t="n">
        <f aca="false">MIN(MAX(0,F128-F734-F1037),F128*CPR*MAX(0,MIN(4,'Loan Tape'!$AV124)-3))</f>
        <v>0</v>
      </c>
      <c r="G1340" s="99" t="n">
        <f aca="false">MIN(MAX(0,G128-G734-G1037),G128*CPR*MAX(0,MIN(5,'Loan Tape'!$AV124)-4))</f>
        <v>0</v>
      </c>
      <c r="H1340" s="99" t="n">
        <f aca="false">MIN(MAX(0,H128-H734-H1037),H128*CPR*MAX(0,MIN(6,'Loan Tape'!$AV124)-5))</f>
        <v>0</v>
      </c>
      <c r="I1340" s="99" t="n">
        <f aca="false">MIN(MAX(0,I128-I734-I1037),I128*CPR*MAX(0,MIN(7,'Loan Tape'!$AV124)-6))</f>
        <v>0</v>
      </c>
      <c r="J1340" s="99" t="n">
        <f aca="false">MIN(MAX(0,J128-J734-J1037),J128*CPR*MAX(0,MIN(8,'Loan Tape'!$AV124)-7))</f>
        <v>0</v>
      </c>
      <c r="K1340" s="99" t="n">
        <f aca="false">MIN(MAX(0,K128-K734-K1037),K128*CPR*MAX(0,MIN(9,'Loan Tape'!$AV124)-8))</f>
        <v>0</v>
      </c>
      <c r="L1340" s="99" t="n">
        <f aca="false">MIN(MAX(0,L128-L734-L1037),L128*CPR*MAX(0,MIN(10,'Loan Tape'!$AV124)-9))</f>
        <v>0</v>
      </c>
    </row>
    <row r="1341" customFormat="false" ht="15" hidden="false" customHeight="false" outlineLevel="0" collapsed="false">
      <c r="B1341" s="108" t="n">
        <f aca="false">'Loan Tape'!$A125</f>
        <v>0</v>
      </c>
      <c r="C1341" s="71" t="n">
        <f aca="false">MIN(MAX(0,C129-C735-C1038),C129*CPR*MAX(0,MIN(1,'Loan Tape'!$AV125)-0))</f>
        <v>0</v>
      </c>
      <c r="D1341" s="71" t="n">
        <f aca="false">MIN(MAX(0,D129-D735-D1038),D129*CPR*MAX(0,MIN(2,'Loan Tape'!$AV125)-1))</f>
        <v>0</v>
      </c>
      <c r="E1341" s="71" t="n">
        <f aca="false">MIN(MAX(0,E129-E735-E1038),E129*CPR*MAX(0,MIN(3,'Loan Tape'!$AV125)-2))</f>
        <v>0</v>
      </c>
      <c r="F1341" s="71" t="n">
        <f aca="false">MIN(MAX(0,F129-F735-F1038),F129*CPR*MAX(0,MIN(4,'Loan Tape'!$AV125)-3))</f>
        <v>0</v>
      </c>
      <c r="G1341" s="71" t="n">
        <f aca="false">MIN(MAX(0,G129-G735-G1038),G129*CPR*MAX(0,MIN(5,'Loan Tape'!$AV125)-4))</f>
        <v>0</v>
      </c>
      <c r="H1341" s="71" t="n">
        <f aca="false">MIN(MAX(0,H129-H735-H1038),H129*CPR*MAX(0,MIN(6,'Loan Tape'!$AV125)-5))</f>
        <v>0</v>
      </c>
      <c r="I1341" s="71" t="n">
        <f aca="false">MIN(MAX(0,I129-I735-I1038),I129*CPR*MAX(0,MIN(7,'Loan Tape'!$AV125)-6))</f>
        <v>0</v>
      </c>
      <c r="J1341" s="71" t="n">
        <f aca="false">MIN(MAX(0,J129-J735-J1038),J129*CPR*MAX(0,MIN(8,'Loan Tape'!$AV125)-7))</f>
        <v>0</v>
      </c>
      <c r="K1341" s="71" t="n">
        <f aca="false">MIN(MAX(0,K129-K735-K1038),K129*CPR*MAX(0,MIN(9,'Loan Tape'!$AV125)-8))</f>
        <v>0</v>
      </c>
      <c r="L1341" s="71" t="n">
        <f aca="false">MIN(MAX(0,L129-L735-L1038),L129*CPR*MAX(0,MIN(10,'Loan Tape'!$AV125)-9))</f>
        <v>0</v>
      </c>
    </row>
    <row r="1342" customFormat="false" ht="15" hidden="false" customHeight="false" outlineLevel="0" collapsed="false">
      <c r="B1342" s="102" t="n">
        <f aca="false">'Loan Tape'!$A126</f>
        <v>0</v>
      </c>
      <c r="C1342" s="99" t="n">
        <f aca="false">MIN(MAX(0,C130-C736-C1039),C130*CPR*MAX(0,MIN(1,'Loan Tape'!$AV126)-0))</f>
        <v>0</v>
      </c>
      <c r="D1342" s="99" t="n">
        <f aca="false">MIN(MAX(0,D130-D736-D1039),D130*CPR*MAX(0,MIN(2,'Loan Tape'!$AV126)-1))</f>
        <v>0</v>
      </c>
      <c r="E1342" s="99" t="n">
        <f aca="false">MIN(MAX(0,E130-E736-E1039),E130*CPR*MAX(0,MIN(3,'Loan Tape'!$AV126)-2))</f>
        <v>0</v>
      </c>
      <c r="F1342" s="99" t="n">
        <f aca="false">MIN(MAX(0,F130-F736-F1039),F130*CPR*MAX(0,MIN(4,'Loan Tape'!$AV126)-3))</f>
        <v>0</v>
      </c>
      <c r="G1342" s="99" t="n">
        <f aca="false">MIN(MAX(0,G130-G736-G1039),G130*CPR*MAX(0,MIN(5,'Loan Tape'!$AV126)-4))</f>
        <v>0</v>
      </c>
      <c r="H1342" s="99" t="n">
        <f aca="false">MIN(MAX(0,H130-H736-H1039),H130*CPR*MAX(0,MIN(6,'Loan Tape'!$AV126)-5))</f>
        <v>0</v>
      </c>
      <c r="I1342" s="99" t="n">
        <f aca="false">MIN(MAX(0,I130-I736-I1039),I130*CPR*MAX(0,MIN(7,'Loan Tape'!$AV126)-6))</f>
        <v>0</v>
      </c>
      <c r="J1342" s="99" t="n">
        <f aca="false">MIN(MAX(0,J130-J736-J1039),J130*CPR*MAX(0,MIN(8,'Loan Tape'!$AV126)-7))</f>
        <v>0</v>
      </c>
      <c r="K1342" s="99" t="n">
        <f aca="false">MIN(MAX(0,K130-K736-K1039),K130*CPR*MAX(0,MIN(9,'Loan Tape'!$AV126)-8))</f>
        <v>0</v>
      </c>
      <c r="L1342" s="99" t="n">
        <f aca="false">MIN(MAX(0,L130-L736-L1039),L130*CPR*MAX(0,MIN(10,'Loan Tape'!$AV126)-9))</f>
        <v>0</v>
      </c>
    </row>
    <row r="1343" customFormat="false" ht="15" hidden="false" customHeight="false" outlineLevel="0" collapsed="false">
      <c r="B1343" s="108" t="n">
        <f aca="false">'Loan Tape'!$A127</f>
        <v>0</v>
      </c>
      <c r="C1343" s="71" t="n">
        <f aca="false">MIN(MAX(0,C131-C737-C1040),C131*CPR*MAX(0,MIN(1,'Loan Tape'!$AV127)-0))</f>
        <v>0</v>
      </c>
      <c r="D1343" s="71" t="n">
        <f aca="false">MIN(MAX(0,D131-D737-D1040),D131*CPR*MAX(0,MIN(2,'Loan Tape'!$AV127)-1))</f>
        <v>0</v>
      </c>
      <c r="E1343" s="71" t="n">
        <f aca="false">MIN(MAX(0,E131-E737-E1040),E131*CPR*MAX(0,MIN(3,'Loan Tape'!$AV127)-2))</f>
        <v>0</v>
      </c>
      <c r="F1343" s="71" t="n">
        <f aca="false">MIN(MAX(0,F131-F737-F1040),F131*CPR*MAX(0,MIN(4,'Loan Tape'!$AV127)-3))</f>
        <v>0</v>
      </c>
      <c r="G1343" s="71" t="n">
        <f aca="false">MIN(MAX(0,G131-G737-G1040),G131*CPR*MAX(0,MIN(5,'Loan Tape'!$AV127)-4))</f>
        <v>0</v>
      </c>
      <c r="H1343" s="71" t="n">
        <f aca="false">MIN(MAX(0,H131-H737-H1040),H131*CPR*MAX(0,MIN(6,'Loan Tape'!$AV127)-5))</f>
        <v>0</v>
      </c>
      <c r="I1343" s="71" t="n">
        <f aca="false">MIN(MAX(0,I131-I737-I1040),I131*CPR*MAX(0,MIN(7,'Loan Tape'!$AV127)-6))</f>
        <v>0</v>
      </c>
      <c r="J1343" s="71" t="n">
        <f aca="false">MIN(MAX(0,J131-J737-J1040),J131*CPR*MAX(0,MIN(8,'Loan Tape'!$AV127)-7))</f>
        <v>0</v>
      </c>
      <c r="K1343" s="71" t="n">
        <f aca="false">MIN(MAX(0,K131-K737-K1040),K131*CPR*MAX(0,MIN(9,'Loan Tape'!$AV127)-8))</f>
        <v>0</v>
      </c>
      <c r="L1343" s="71" t="n">
        <f aca="false">MIN(MAX(0,L131-L737-L1040),L131*CPR*MAX(0,MIN(10,'Loan Tape'!$AV127)-9))</f>
        <v>0</v>
      </c>
    </row>
    <row r="1344" customFormat="false" ht="15" hidden="false" customHeight="false" outlineLevel="0" collapsed="false">
      <c r="B1344" s="102" t="n">
        <f aca="false">'Loan Tape'!$A128</f>
        <v>0</v>
      </c>
      <c r="C1344" s="99" t="n">
        <f aca="false">MIN(MAX(0,C132-C738-C1041),C132*CPR*MAX(0,MIN(1,'Loan Tape'!$AV128)-0))</f>
        <v>0</v>
      </c>
      <c r="D1344" s="99" t="n">
        <f aca="false">MIN(MAX(0,D132-D738-D1041),D132*CPR*MAX(0,MIN(2,'Loan Tape'!$AV128)-1))</f>
        <v>0</v>
      </c>
      <c r="E1344" s="99" t="n">
        <f aca="false">MIN(MAX(0,E132-E738-E1041),E132*CPR*MAX(0,MIN(3,'Loan Tape'!$AV128)-2))</f>
        <v>0</v>
      </c>
      <c r="F1344" s="99" t="n">
        <f aca="false">MIN(MAX(0,F132-F738-F1041),F132*CPR*MAX(0,MIN(4,'Loan Tape'!$AV128)-3))</f>
        <v>0</v>
      </c>
      <c r="G1344" s="99" t="n">
        <f aca="false">MIN(MAX(0,G132-G738-G1041),G132*CPR*MAX(0,MIN(5,'Loan Tape'!$AV128)-4))</f>
        <v>0</v>
      </c>
      <c r="H1344" s="99" t="n">
        <f aca="false">MIN(MAX(0,H132-H738-H1041),H132*CPR*MAX(0,MIN(6,'Loan Tape'!$AV128)-5))</f>
        <v>0</v>
      </c>
      <c r="I1344" s="99" t="n">
        <f aca="false">MIN(MAX(0,I132-I738-I1041),I132*CPR*MAX(0,MIN(7,'Loan Tape'!$AV128)-6))</f>
        <v>0</v>
      </c>
      <c r="J1344" s="99" t="n">
        <f aca="false">MIN(MAX(0,J132-J738-J1041),J132*CPR*MAX(0,MIN(8,'Loan Tape'!$AV128)-7))</f>
        <v>0</v>
      </c>
      <c r="K1344" s="99" t="n">
        <f aca="false">MIN(MAX(0,K132-K738-K1041),K132*CPR*MAX(0,MIN(9,'Loan Tape'!$AV128)-8))</f>
        <v>0</v>
      </c>
      <c r="L1344" s="99" t="n">
        <f aca="false">MIN(MAX(0,L132-L738-L1041),L132*CPR*MAX(0,MIN(10,'Loan Tape'!$AV128)-9))</f>
        <v>0</v>
      </c>
    </row>
    <row r="1345" customFormat="false" ht="15" hidden="false" customHeight="false" outlineLevel="0" collapsed="false">
      <c r="B1345" s="108" t="n">
        <f aca="false">'Loan Tape'!$A129</f>
        <v>0</v>
      </c>
      <c r="C1345" s="71" t="n">
        <f aca="false">MIN(MAX(0,C133-C739-C1042),C133*CPR*MAX(0,MIN(1,'Loan Tape'!$AV129)-0))</f>
        <v>0</v>
      </c>
      <c r="D1345" s="71" t="n">
        <f aca="false">MIN(MAX(0,D133-D739-D1042),D133*CPR*MAX(0,MIN(2,'Loan Tape'!$AV129)-1))</f>
        <v>0</v>
      </c>
      <c r="E1345" s="71" t="n">
        <f aca="false">MIN(MAX(0,E133-E739-E1042),E133*CPR*MAX(0,MIN(3,'Loan Tape'!$AV129)-2))</f>
        <v>0</v>
      </c>
      <c r="F1345" s="71" t="n">
        <f aca="false">MIN(MAX(0,F133-F739-F1042),F133*CPR*MAX(0,MIN(4,'Loan Tape'!$AV129)-3))</f>
        <v>0</v>
      </c>
      <c r="G1345" s="71" t="n">
        <f aca="false">MIN(MAX(0,G133-G739-G1042),G133*CPR*MAX(0,MIN(5,'Loan Tape'!$AV129)-4))</f>
        <v>0</v>
      </c>
      <c r="H1345" s="71" t="n">
        <f aca="false">MIN(MAX(0,H133-H739-H1042),H133*CPR*MAX(0,MIN(6,'Loan Tape'!$AV129)-5))</f>
        <v>0</v>
      </c>
      <c r="I1345" s="71" t="n">
        <f aca="false">MIN(MAX(0,I133-I739-I1042),I133*CPR*MAX(0,MIN(7,'Loan Tape'!$AV129)-6))</f>
        <v>0</v>
      </c>
      <c r="J1345" s="71" t="n">
        <f aca="false">MIN(MAX(0,J133-J739-J1042),J133*CPR*MAX(0,MIN(8,'Loan Tape'!$AV129)-7))</f>
        <v>0</v>
      </c>
      <c r="K1345" s="71" t="n">
        <f aca="false">MIN(MAX(0,K133-K739-K1042),K133*CPR*MAX(0,MIN(9,'Loan Tape'!$AV129)-8))</f>
        <v>0</v>
      </c>
      <c r="L1345" s="71" t="n">
        <f aca="false">MIN(MAX(0,L133-L739-L1042),L133*CPR*MAX(0,MIN(10,'Loan Tape'!$AV129)-9))</f>
        <v>0</v>
      </c>
    </row>
    <row r="1346" customFormat="false" ht="15" hidden="false" customHeight="false" outlineLevel="0" collapsed="false">
      <c r="B1346" s="102" t="n">
        <f aca="false">'Loan Tape'!$A130</f>
        <v>0</v>
      </c>
      <c r="C1346" s="99" t="n">
        <f aca="false">MIN(MAX(0,C134-C740-C1043),C134*CPR*MAX(0,MIN(1,'Loan Tape'!$AV130)-0))</f>
        <v>0</v>
      </c>
      <c r="D1346" s="99" t="n">
        <f aca="false">MIN(MAX(0,D134-D740-D1043),D134*CPR*MAX(0,MIN(2,'Loan Tape'!$AV130)-1))</f>
        <v>0</v>
      </c>
      <c r="E1346" s="99" t="n">
        <f aca="false">MIN(MAX(0,E134-E740-E1043),E134*CPR*MAX(0,MIN(3,'Loan Tape'!$AV130)-2))</f>
        <v>0</v>
      </c>
      <c r="F1346" s="99" t="n">
        <f aca="false">MIN(MAX(0,F134-F740-F1043),F134*CPR*MAX(0,MIN(4,'Loan Tape'!$AV130)-3))</f>
        <v>0</v>
      </c>
      <c r="G1346" s="99" t="n">
        <f aca="false">MIN(MAX(0,G134-G740-G1043),G134*CPR*MAX(0,MIN(5,'Loan Tape'!$AV130)-4))</f>
        <v>0</v>
      </c>
      <c r="H1346" s="99" t="n">
        <f aca="false">MIN(MAX(0,H134-H740-H1043),H134*CPR*MAX(0,MIN(6,'Loan Tape'!$AV130)-5))</f>
        <v>0</v>
      </c>
      <c r="I1346" s="99" t="n">
        <f aca="false">MIN(MAX(0,I134-I740-I1043),I134*CPR*MAX(0,MIN(7,'Loan Tape'!$AV130)-6))</f>
        <v>0</v>
      </c>
      <c r="J1346" s="99" t="n">
        <f aca="false">MIN(MAX(0,J134-J740-J1043),J134*CPR*MAX(0,MIN(8,'Loan Tape'!$AV130)-7))</f>
        <v>0</v>
      </c>
      <c r="K1346" s="99" t="n">
        <f aca="false">MIN(MAX(0,K134-K740-K1043),K134*CPR*MAX(0,MIN(9,'Loan Tape'!$AV130)-8))</f>
        <v>0</v>
      </c>
      <c r="L1346" s="99" t="n">
        <f aca="false">MIN(MAX(0,L134-L740-L1043),L134*CPR*MAX(0,MIN(10,'Loan Tape'!$AV130)-9))</f>
        <v>0</v>
      </c>
    </row>
    <row r="1347" customFormat="false" ht="15" hidden="false" customHeight="false" outlineLevel="0" collapsed="false">
      <c r="B1347" s="108" t="n">
        <f aca="false">'Loan Tape'!$A131</f>
        <v>0</v>
      </c>
      <c r="C1347" s="71" t="n">
        <f aca="false">MIN(MAX(0,C135-C741-C1044),C135*CPR*MAX(0,MIN(1,'Loan Tape'!$AV131)-0))</f>
        <v>0</v>
      </c>
      <c r="D1347" s="71" t="n">
        <f aca="false">MIN(MAX(0,D135-D741-D1044),D135*CPR*MAX(0,MIN(2,'Loan Tape'!$AV131)-1))</f>
        <v>0</v>
      </c>
      <c r="E1347" s="71" t="n">
        <f aca="false">MIN(MAX(0,E135-E741-E1044),E135*CPR*MAX(0,MIN(3,'Loan Tape'!$AV131)-2))</f>
        <v>0</v>
      </c>
      <c r="F1347" s="71" t="n">
        <f aca="false">MIN(MAX(0,F135-F741-F1044),F135*CPR*MAX(0,MIN(4,'Loan Tape'!$AV131)-3))</f>
        <v>0</v>
      </c>
      <c r="G1347" s="71" t="n">
        <f aca="false">MIN(MAX(0,G135-G741-G1044),G135*CPR*MAX(0,MIN(5,'Loan Tape'!$AV131)-4))</f>
        <v>0</v>
      </c>
      <c r="H1347" s="71" t="n">
        <f aca="false">MIN(MAX(0,H135-H741-H1044),H135*CPR*MAX(0,MIN(6,'Loan Tape'!$AV131)-5))</f>
        <v>0</v>
      </c>
      <c r="I1347" s="71" t="n">
        <f aca="false">MIN(MAX(0,I135-I741-I1044),I135*CPR*MAX(0,MIN(7,'Loan Tape'!$AV131)-6))</f>
        <v>0</v>
      </c>
      <c r="J1347" s="71" t="n">
        <f aca="false">MIN(MAX(0,J135-J741-J1044),J135*CPR*MAX(0,MIN(8,'Loan Tape'!$AV131)-7))</f>
        <v>0</v>
      </c>
      <c r="K1347" s="71" t="n">
        <f aca="false">MIN(MAX(0,K135-K741-K1044),K135*CPR*MAX(0,MIN(9,'Loan Tape'!$AV131)-8))</f>
        <v>0</v>
      </c>
      <c r="L1347" s="71" t="n">
        <f aca="false">MIN(MAX(0,L135-L741-L1044),L135*CPR*MAX(0,MIN(10,'Loan Tape'!$AV131)-9))</f>
        <v>0</v>
      </c>
    </row>
    <row r="1348" customFormat="false" ht="15" hidden="false" customHeight="false" outlineLevel="0" collapsed="false">
      <c r="B1348" s="102" t="n">
        <f aca="false">'Loan Tape'!$A132</f>
        <v>0</v>
      </c>
      <c r="C1348" s="99" t="n">
        <f aca="false">MIN(MAX(0,C136-C742-C1045),C136*CPR*MAX(0,MIN(1,'Loan Tape'!$AV132)-0))</f>
        <v>0</v>
      </c>
      <c r="D1348" s="99" t="n">
        <f aca="false">MIN(MAX(0,D136-D742-D1045),D136*CPR*MAX(0,MIN(2,'Loan Tape'!$AV132)-1))</f>
        <v>0</v>
      </c>
      <c r="E1348" s="99" t="n">
        <f aca="false">MIN(MAX(0,E136-E742-E1045),E136*CPR*MAX(0,MIN(3,'Loan Tape'!$AV132)-2))</f>
        <v>0</v>
      </c>
      <c r="F1348" s="99" t="n">
        <f aca="false">MIN(MAX(0,F136-F742-F1045),F136*CPR*MAX(0,MIN(4,'Loan Tape'!$AV132)-3))</f>
        <v>0</v>
      </c>
      <c r="G1348" s="99" t="n">
        <f aca="false">MIN(MAX(0,G136-G742-G1045),G136*CPR*MAX(0,MIN(5,'Loan Tape'!$AV132)-4))</f>
        <v>0</v>
      </c>
      <c r="H1348" s="99" t="n">
        <f aca="false">MIN(MAX(0,H136-H742-H1045),H136*CPR*MAX(0,MIN(6,'Loan Tape'!$AV132)-5))</f>
        <v>0</v>
      </c>
      <c r="I1348" s="99" t="n">
        <f aca="false">MIN(MAX(0,I136-I742-I1045),I136*CPR*MAX(0,MIN(7,'Loan Tape'!$AV132)-6))</f>
        <v>0</v>
      </c>
      <c r="J1348" s="99" t="n">
        <f aca="false">MIN(MAX(0,J136-J742-J1045),J136*CPR*MAX(0,MIN(8,'Loan Tape'!$AV132)-7))</f>
        <v>0</v>
      </c>
      <c r="K1348" s="99" t="n">
        <f aca="false">MIN(MAX(0,K136-K742-K1045),K136*CPR*MAX(0,MIN(9,'Loan Tape'!$AV132)-8))</f>
        <v>0</v>
      </c>
      <c r="L1348" s="99" t="n">
        <f aca="false">MIN(MAX(0,L136-L742-L1045),L136*CPR*MAX(0,MIN(10,'Loan Tape'!$AV132)-9))</f>
        <v>0</v>
      </c>
    </row>
    <row r="1349" customFormat="false" ht="15" hidden="false" customHeight="false" outlineLevel="0" collapsed="false">
      <c r="B1349" s="108" t="n">
        <f aca="false">'Loan Tape'!$A133</f>
        <v>0</v>
      </c>
      <c r="C1349" s="71" t="n">
        <f aca="false">MIN(MAX(0,C137-C743-C1046),C137*CPR*MAX(0,MIN(1,'Loan Tape'!$AV133)-0))</f>
        <v>0</v>
      </c>
      <c r="D1349" s="71" t="n">
        <f aca="false">MIN(MAX(0,D137-D743-D1046),D137*CPR*MAX(0,MIN(2,'Loan Tape'!$AV133)-1))</f>
        <v>0</v>
      </c>
      <c r="E1349" s="71" t="n">
        <f aca="false">MIN(MAX(0,E137-E743-E1046),E137*CPR*MAX(0,MIN(3,'Loan Tape'!$AV133)-2))</f>
        <v>0</v>
      </c>
      <c r="F1349" s="71" t="n">
        <f aca="false">MIN(MAX(0,F137-F743-F1046),F137*CPR*MAX(0,MIN(4,'Loan Tape'!$AV133)-3))</f>
        <v>0</v>
      </c>
      <c r="G1349" s="71" t="n">
        <f aca="false">MIN(MAX(0,G137-G743-G1046),G137*CPR*MAX(0,MIN(5,'Loan Tape'!$AV133)-4))</f>
        <v>0</v>
      </c>
      <c r="H1349" s="71" t="n">
        <f aca="false">MIN(MAX(0,H137-H743-H1046),H137*CPR*MAX(0,MIN(6,'Loan Tape'!$AV133)-5))</f>
        <v>0</v>
      </c>
      <c r="I1349" s="71" t="n">
        <f aca="false">MIN(MAX(0,I137-I743-I1046),I137*CPR*MAX(0,MIN(7,'Loan Tape'!$AV133)-6))</f>
        <v>0</v>
      </c>
      <c r="J1349" s="71" t="n">
        <f aca="false">MIN(MAX(0,J137-J743-J1046),J137*CPR*MAX(0,MIN(8,'Loan Tape'!$AV133)-7))</f>
        <v>0</v>
      </c>
      <c r="K1349" s="71" t="n">
        <f aca="false">MIN(MAX(0,K137-K743-K1046),K137*CPR*MAX(0,MIN(9,'Loan Tape'!$AV133)-8))</f>
        <v>0</v>
      </c>
      <c r="L1349" s="71" t="n">
        <f aca="false">MIN(MAX(0,L137-L743-L1046),L137*CPR*MAX(0,MIN(10,'Loan Tape'!$AV133)-9))</f>
        <v>0</v>
      </c>
    </row>
    <row r="1350" customFormat="false" ht="15" hidden="false" customHeight="false" outlineLevel="0" collapsed="false">
      <c r="B1350" s="102" t="n">
        <f aca="false">'Loan Tape'!$A134</f>
        <v>0</v>
      </c>
      <c r="C1350" s="99" t="n">
        <f aca="false">MIN(MAX(0,C138-C744-C1047),C138*CPR*MAX(0,MIN(1,'Loan Tape'!$AV134)-0))</f>
        <v>0</v>
      </c>
      <c r="D1350" s="99" t="n">
        <f aca="false">MIN(MAX(0,D138-D744-D1047),D138*CPR*MAX(0,MIN(2,'Loan Tape'!$AV134)-1))</f>
        <v>0</v>
      </c>
      <c r="E1350" s="99" t="n">
        <f aca="false">MIN(MAX(0,E138-E744-E1047),E138*CPR*MAX(0,MIN(3,'Loan Tape'!$AV134)-2))</f>
        <v>0</v>
      </c>
      <c r="F1350" s="99" t="n">
        <f aca="false">MIN(MAX(0,F138-F744-F1047),F138*CPR*MAX(0,MIN(4,'Loan Tape'!$AV134)-3))</f>
        <v>0</v>
      </c>
      <c r="G1350" s="99" t="n">
        <f aca="false">MIN(MAX(0,G138-G744-G1047),G138*CPR*MAX(0,MIN(5,'Loan Tape'!$AV134)-4))</f>
        <v>0</v>
      </c>
      <c r="H1350" s="99" t="n">
        <f aca="false">MIN(MAX(0,H138-H744-H1047),H138*CPR*MAX(0,MIN(6,'Loan Tape'!$AV134)-5))</f>
        <v>0</v>
      </c>
      <c r="I1350" s="99" t="n">
        <f aca="false">MIN(MAX(0,I138-I744-I1047),I138*CPR*MAX(0,MIN(7,'Loan Tape'!$AV134)-6))</f>
        <v>0</v>
      </c>
      <c r="J1350" s="99" t="n">
        <f aca="false">MIN(MAX(0,J138-J744-J1047),J138*CPR*MAX(0,MIN(8,'Loan Tape'!$AV134)-7))</f>
        <v>0</v>
      </c>
      <c r="K1350" s="99" t="n">
        <f aca="false">MIN(MAX(0,K138-K744-K1047),K138*CPR*MAX(0,MIN(9,'Loan Tape'!$AV134)-8))</f>
        <v>0</v>
      </c>
      <c r="L1350" s="99" t="n">
        <f aca="false">MIN(MAX(0,L138-L744-L1047),L138*CPR*MAX(0,MIN(10,'Loan Tape'!$AV134)-9))</f>
        <v>0</v>
      </c>
    </row>
    <row r="1351" customFormat="false" ht="15" hidden="false" customHeight="false" outlineLevel="0" collapsed="false">
      <c r="B1351" s="108" t="n">
        <f aca="false">'Loan Tape'!$A135</f>
        <v>0</v>
      </c>
      <c r="C1351" s="71" t="n">
        <f aca="false">MIN(MAX(0,C139-C745-C1048),C139*CPR*MAX(0,MIN(1,'Loan Tape'!$AV135)-0))</f>
        <v>0</v>
      </c>
      <c r="D1351" s="71" t="n">
        <f aca="false">MIN(MAX(0,D139-D745-D1048),D139*CPR*MAX(0,MIN(2,'Loan Tape'!$AV135)-1))</f>
        <v>0</v>
      </c>
      <c r="E1351" s="71" t="n">
        <f aca="false">MIN(MAX(0,E139-E745-E1048),E139*CPR*MAX(0,MIN(3,'Loan Tape'!$AV135)-2))</f>
        <v>0</v>
      </c>
      <c r="F1351" s="71" t="n">
        <f aca="false">MIN(MAX(0,F139-F745-F1048),F139*CPR*MAX(0,MIN(4,'Loan Tape'!$AV135)-3))</f>
        <v>0</v>
      </c>
      <c r="G1351" s="71" t="n">
        <f aca="false">MIN(MAX(0,G139-G745-G1048),G139*CPR*MAX(0,MIN(5,'Loan Tape'!$AV135)-4))</f>
        <v>0</v>
      </c>
      <c r="H1351" s="71" t="n">
        <f aca="false">MIN(MAX(0,H139-H745-H1048),H139*CPR*MAX(0,MIN(6,'Loan Tape'!$AV135)-5))</f>
        <v>0</v>
      </c>
      <c r="I1351" s="71" t="n">
        <f aca="false">MIN(MAX(0,I139-I745-I1048),I139*CPR*MAX(0,MIN(7,'Loan Tape'!$AV135)-6))</f>
        <v>0</v>
      </c>
      <c r="J1351" s="71" t="n">
        <f aca="false">MIN(MAX(0,J139-J745-J1048),J139*CPR*MAX(0,MIN(8,'Loan Tape'!$AV135)-7))</f>
        <v>0</v>
      </c>
      <c r="K1351" s="71" t="n">
        <f aca="false">MIN(MAX(0,K139-K745-K1048),K139*CPR*MAX(0,MIN(9,'Loan Tape'!$AV135)-8))</f>
        <v>0</v>
      </c>
      <c r="L1351" s="71" t="n">
        <f aca="false">MIN(MAX(0,L139-L745-L1048),L139*CPR*MAX(0,MIN(10,'Loan Tape'!$AV135)-9))</f>
        <v>0</v>
      </c>
    </row>
    <row r="1352" customFormat="false" ht="15" hidden="false" customHeight="false" outlineLevel="0" collapsed="false">
      <c r="B1352" s="102" t="n">
        <f aca="false">'Loan Tape'!$A136</f>
        <v>0</v>
      </c>
      <c r="C1352" s="99" t="n">
        <f aca="false">MIN(MAX(0,C140-C746-C1049),C140*CPR*MAX(0,MIN(1,'Loan Tape'!$AV136)-0))</f>
        <v>0</v>
      </c>
      <c r="D1352" s="99" t="n">
        <f aca="false">MIN(MAX(0,D140-D746-D1049),D140*CPR*MAX(0,MIN(2,'Loan Tape'!$AV136)-1))</f>
        <v>0</v>
      </c>
      <c r="E1352" s="99" t="n">
        <f aca="false">MIN(MAX(0,E140-E746-E1049),E140*CPR*MAX(0,MIN(3,'Loan Tape'!$AV136)-2))</f>
        <v>0</v>
      </c>
      <c r="F1352" s="99" t="n">
        <f aca="false">MIN(MAX(0,F140-F746-F1049),F140*CPR*MAX(0,MIN(4,'Loan Tape'!$AV136)-3))</f>
        <v>0</v>
      </c>
      <c r="G1352" s="99" t="n">
        <f aca="false">MIN(MAX(0,G140-G746-G1049),G140*CPR*MAX(0,MIN(5,'Loan Tape'!$AV136)-4))</f>
        <v>0</v>
      </c>
      <c r="H1352" s="99" t="n">
        <f aca="false">MIN(MAX(0,H140-H746-H1049),H140*CPR*MAX(0,MIN(6,'Loan Tape'!$AV136)-5))</f>
        <v>0</v>
      </c>
      <c r="I1352" s="99" t="n">
        <f aca="false">MIN(MAX(0,I140-I746-I1049),I140*CPR*MAX(0,MIN(7,'Loan Tape'!$AV136)-6))</f>
        <v>0</v>
      </c>
      <c r="J1352" s="99" t="n">
        <f aca="false">MIN(MAX(0,J140-J746-J1049),J140*CPR*MAX(0,MIN(8,'Loan Tape'!$AV136)-7))</f>
        <v>0</v>
      </c>
      <c r="K1352" s="99" t="n">
        <f aca="false">MIN(MAX(0,K140-K746-K1049),K140*CPR*MAX(0,MIN(9,'Loan Tape'!$AV136)-8))</f>
        <v>0</v>
      </c>
      <c r="L1352" s="99" t="n">
        <f aca="false">MIN(MAX(0,L140-L746-L1049),L140*CPR*MAX(0,MIN(10,'Loan Tape'!$AV136)-9))</f>
        <v>0</v>
      </c>
    </row>
    <row r="1353" customFormat="false" ht="15" hidden="false" customHeight="false" outlineLevel="0" collapsed="false">
      <c r="B1353" s="108" t="n">
        <f aca="false">'Loan Tape'!$A137</f>
        <v>0</v>
      </c>
      <c r="C1353" s="71" t="n">
        <f aca="false">MIN(MAX(0,C141-C747-C1050),C141*CPR*MAX(0,MIN(1,'Loan Tape'!$AV137)-0))</f>
        <v>0</v>
      </c>
      <c r="D1353" s="71" t="n">
        <f aca="false">MIN(MAX(0,D141-D747-D1050),D141*CPR*MAX(0,MIN(2,'Loan Tape'!$AV137)-1))</f>
        <v>0</v>
      </c>
      <c r="E1353" s="71" t="n">
        <f aca="false">MIN(MAX(0,E141-E747-E1050),E141*CPR*MAX(0,MIN(3,'Loan Tape'!$AV137)-2))</f>
        <v>0</v>
      </c>
      <c r="F1353" s="71" t="n">
        <f aca="false">MIN(MAX(0,F141-F747-F1050),F141*CPR*MAX(0,MIN(4,'Loan Tape'!$AV137)-3))</f>
        <v>0</v>
      </c>
      <c r="G1353" s="71" t="n">
        <f aca="false">MIN(MAX(0,G141-G747-G1050),G141*CPR*MAX(0,MIN(5,'Loan Tape'!$AV137)-4))</f>
        <v>0</v>
      </c>
      <c r="H1353" s="71" t="n">
        <f aca="false">MIN(MAX(0,H141-H747-H1050),H141*CPR*MAX(0,MIN(6,'Loan Tape'!$AV137)-5))</f>
        <v>0</v>
      </c>
      <c r="I1353" s="71" t="n">
        <f aca="false">MIN(MAX(0,I141-I747-I1050),I141*CPR*MAX(0,MIN(7,'Loan Tape'!$AV137)-6))</f>
        <v>0</v>
      </c>
      <c r="J1353" s="71" t="n">
        <f aca="false">MIN(MAX(0,J141-J747-J1050),J141*CPR*MAX(0,MIN(8,'Loan Tape'!$AV137)-7))</f>
        <v>0</v>
      </c>
      <c r="K1353" s="71" t="n">
        <f aca="false">MIN(MAX(0,K141-K747-K1050),K141*CPR*MAX(0,MIN(9,'Loan Tape'!$AV137)-8))</f>
        <v>0</v>
      </c>
      <c r="L1353" s="71" t="n">
        <f aca="false">MIN(MAX(0,L141-L747-L1050),L141*CPR*MAX(0,MIN(10,'Loan Tape'!$AV137)-9))</f>
        <v>0</v>
      </c>
    </row>
    <row r="1354" customFormat="false" ht="15" hidden="false" customHeight="false" outlineLevel="0" collapsed="false">
      <c r="B1354" s="102" t="n">
        <f aca="false">'Loan Tape'!$A138</f>
        <v>0</v>
      </c>
      <c r="C1354" s="99" t="n">
        <f aca="false">MIN(MAX(0,C142-C748-C1051),C142*CPR*MAX(0,MIN(1,'Loan Tape'!$AV138)-0))</f>
        <v>0</v>
      </c>
      <c r="D1354" s="99" t="n">
        <f aca="false">MIN(MAX(0,D142-D748-D1051),D142*CPR*MAX(0,MIN(2,'Loan Tape'!$AV138)-1))</f>
        <v>0</v>
      </c>
      <c r="E1354" s="99" t="n">
        <f aca="false">MIN(MAX(0,E142-E748-E1051),E142*CPR*MAX(0,MIN(3,'Loan Tape'!$AV138)-2))</f>
        <v>0</v>
      </c>
      <c r="F1354" s="99" t="n">
        <f aca="false">MIN(MAX(0,F142-F748-F1051),F142*CPR*MAX(0,MIN(4,'Loan Tape'!$AV138)-3))</f>
        <v>0</v>
      </c>
      <c r="G1354" s="99" t="n">
        <f aca="false">MIN(MAX(0,G142-G748-G1051),G142*CPR*MAX(0,MIN(5,'Loan Tape'!$AV138)-4))</f>
        <v>0</v>
      </c>
      <c r="H1354" s="99" t="n">
        <f aca="false">MIN(MAX(0,H142-H748-H1051),H142*CPR*MAX(0,MIN(6,'Loan Tape'!$AV138)-5))</f>
        <v>0</v>
      </c>
      <c r="I1354" s="99" t="n">
        <f aca="false">MIN(MAX(0,I142-I748-I1051),I142*CPR*MAX(0,MIN(7,'Loan Tape'!$AV138)-6))</f>
        <v>0</v>
      </c>
      <c r="J1354" s="99" t="n">
        <f aca="false">MIN(MAX(0,J142-J748-J1051),J142*CPR*MAX(0,MIN(8,'Loan Tape'!$AV138)-7))</f>
        <v>0</v>
      </c>
      <c r="K1354" s="99" t="n">
        <f aca="false">MIN(MAX(0,K142-K748-K1051),K142*CPR*MAX(0,MIN(9,'Loan Tape'!$AV138)-8))</f>
        <v>0</v>
      </c>
      <c r="L1354" s="99" t="n">
        <f aca="false">MIN(MAX(0,L142-L748-L1051),L142*CPR*MAX(0,MIN(10,'Loan Tape'!$AV138)-9))</f>
        <v>0</v>
      </c>
    </row>
    <row r="1355" customFormat="false" ht="15" hidden="false" customHeight="false" outlineLevel="0" collapsed="false">
      <c r="B1355" s="108" t="n">
        <f aca="false">'Loan Tape'!$A139</f>
        <v>0</v>
      </c>
      <c r="C1355" s="71" t="n">
        <f aca="false">MIN(MAX(0,C143-C749-C1052),C143*CPR*MAX(0,MIN(1,'Loan Tape'!$AV139)-0))</f>
        <v>0</v>
      </c>
      <c r="D1355" s="71" t="n">
        <f aca="false">MIN(MAX(0,D143-D749-D1052),D143*CPR*MAX(0,MIN(2,'Loan Tape'!$AV139)-1))</f>
        <v>0</v>
      </c>
      <c r="E1355" s="71" t="n">
        <f aca="false">MIN(MAX(0,E143-E749-E1052),E143*CPR*MAX(0,MIN(3,'Loan Tape'!$AV139)-2))</f>
        <v>0</v>
      </c>
      <c r="F1355" s="71" t="n">
        <f aca="false">MIN(MAX(0,F143-F749-F1052),F143*CPR*MAX(0,MIN(4,'Loan Tape'!$AV139)-3))</f>
        <v>0</v>
      </c>
      <c r="G1355" s="71" t="n">
        <f aca="false">MIN(MAX(0,G143-G749-G1052),G143*CPR*MAX(0,MIN(5,'Loan Tape'!$AV139)-4))</f>
        <v>0</v>
      </c>
      <c r="H1355" s="71" t="n">
        <f aca="false">MIN(MAX(0,H143-H749-H1052),H143*CPR*MAX(0,MIN(6,'Loan Tape'!$AV139)-5))</f>
        <v>0</v>
      </c>
      <c r="I1355" s="71" t="n">
        <f aca="false">MIN(MAX(0,I143-I749-I1052),I143*CPR*MAX(0,MIN(7,'Loan Tape'!$AV139)-6))</f>
        <v>0</v>
      </c>
      <c r="J1355" s="71" t="n">
        <f aca="false">MIN(MAX(0,J143-J749-J1052),J143*CPR*MAX(0,MIN(8,'Loan Tape'!$AV139)-7))</f>
        <v>0</v>
      </c>
      <c r="K1355" s="71" t="n">
        <f aca="false">MIN(MAX(0,K143-K749-K1052),K143*CPR*MAX(0,MIN(9,'Loan Tape'!$AV139)-8))</f>
        <v>0</v>
      </c>
      <c r="L1355" s="71" t="n">
        <f aca="false">MIN(MAX(0,L143-L749-L1052),L143*CPR*MAX(0,MIN(10,'Loan Tape'!$AV139)-9))</f>
        <v>0</v>
      </c>
    </row>
    <row r="1356" customFormat="false" ht="15" hidden="false" customHeight="false" outlineLevel="0" collapsed="false">
      <c r="B1356" s="102" t="n">
        <f aca="false">'Loan Tape'!$A140</f>
        <v>0</v>
      </c>
      <c r="C1356" s="99" t="n">
        <f aca="false">MIN(MAX(0,C144-C750-C1053),C144*CPR*MAX(0,MIN(1,'Loan Tape'!$AV140)-0))</f>
        <v>0</v>
      </c>
      <c r="D1356" s="99" t="n">
        <f aca="false">MIN(MAX(0,D144-D750-D1053),D144*CPR*MAX(0,MIN(2,'Loan Tape'!$AV140)-1))</f>
        <v>0</v>
      </c>
      <c r="E1356" s="99" t="n">
        <f aca="false">MIN(MAX(0,E144-E750-E1053),E144*CPR*MAX(0,MIN(3,'Loan Tape'!$AV140)-2))</f>
        <v>0</v>
      </c>
      <c r="F1356" s="99" t="n">
        <f aca="false">MIN(MAX(0,F144-F750-F1053),F144*CPR*MAX(0,MIN(4,'Loan Tape'!$AV140)-3))</f>
        <v>0</v>
      </c>
      <c r="G1356" s="99" t="n">
        <f aca="false">MIN(MAX(0,G144-G750-G1053),G144*CPR*MAX(0,MIN(5,'Loan Tape'!$AV140)-4))</f>
        <v>0</v>
      </c>
      <c r="H1356" s="99" t="n">
        <f aca="false">MIN(MAX(0,H144-H750-H1053),H144*CPR*MAX(0,MIN(6,'Loan Tape'!$AV140)-5))</f>
        <v>0</v>
      </c>
      <c r="I1356" s="99" t="n">
        <f aca="false">MIN(MAX(0,I144-I750-I1053),I144*CPR*MAX(0,MIN(7,'Loan Tape'!$AV140)-6))</f>
        <v>0</v>
      </c>
      <c r="J1356" s="99" t="n">
        <f aca="false">MIN(MAX(0,J144-J750-J1053),J144*CPR*MAX(0,MIN(8,'Loan Tape'!$AV140)-7))</f>
        <v>0</v>
      </c>
      <c r="K1356" s="99" t="n">
        <f aca="false">MIN(MAX(0,K144-K750-K1053),K144*CPR*MAX(0,MIN(9,'Loan Tape'!$AV140)-8))</f>
        <v>0</v>
      </c>
      <c r="L1356" s="99" t="n">
        <f aca="false">MIN(MAX(0,L144-L750-L1053),L144*CPR*MAX(0,MIN(10,'Loan Tape'!$AV140)-9))</f>
        <v>0</v>
      </c>
    </row>
    <row r="1357" customFormat="false" ht="15" hidden="false" customHeight="false" outlineLevel="0" collapsed="false">
      <c r="B1357" s="108" t="n">
        <f aca="false">'Loan Tape'!$A141</f>
        <v>0</v>
      </c>
      <c r="C1357" s="71" t="n">
        <f aca="false">MIN(MAX(0,C145-C751-C1054),C145*CPR*MAX(0,MIN(1,'Loan Tape'!$AV141)-0))</f>
        <v>0</v>
      </c>
      <c r="D1357" s="71" t="n">
        <f aca="false">MIN(MAX(0,D145-D751-D1054),D145*CPR*MAX(0,MIN(2,'Loan Tape'!$AV141)-1))</f>
        <v>0</v>
      </c>
      <c r="E1357" s="71" t="n">
        <f aca="false">MIN(MAX(0,E145-E751-E1054),E145*CPR*MAX(0,MIN(3,'Loan Tape'!$AV141)-2))</f>
        <v>0</v>
      </c>
      <c r="F1357" s="71" t="n">
        <f aca="false">MIN(MAX(0,F145-F751-F1054),F145*CPR*MAX(0,MIN(4,'Loan Tape'!$AV141)-3))</f>
        <v>0</v>
      </c>
      <c r="G1357" s="71" t="n">
        <f aca="false">MIN(MAX(0,G145-G751-G1054),G145*CPR*MAX(0,MIN(5,'Loan Tape'!$AV141)-4))</f>
        <v>0</v>
      </c>
      <c r="H1357" s="71" t="n">
        <f aca="false">MIN(MAX(0,H145-H751-H1054),H145*CPR*MAX(0,MIN(6,'Loan Tape'!$AV141)-5))</f>
        <v>0</v>
      </c>
      <c r="I1357" s="71" t="n">
        <f aca="false">MIN(MAX(0,I145-I751-I1054),I145*CPR*MAX(0,MIN(7,'Loan Tape'!$AV141)-6))</f>
        <v>0</v>
      </c>
      <c r="J1357" s="71" t="n">
        <f aca="false">MIN(MAX(0,J145-J751-J1054),J145*CPR*MAX(0,MIN(8,'Loan Tape'!$AV141)-7))</f>
        <v>0</v>
      </c>
      <c r="K1357" s="71" t="n">
        <f aca="false">MIN(MAX(0,K145-K751-K1054),K145*CPR*MAX(0,MIN(9,'Loan Tape'!$AV141)-8))</f>
        <v>0</v>
      </c>
      <c r="L1357" s="71" t="n">
        <f aca="false">MIN(MAX(0,L145-L751-L1054),L145*CPR*MAX(0,MIN(10,'Loan Tape'!$AV141)-9))</f>
        <v>0</v>
      </c>
    </row>
    <row r="1358" customFormat="false" ht="15" hidden="false" customHeight="false" outlineLevel="0" collapsed="false">
      <c r="B1358" s="102" t="n">
        <f aca="false">'Loan Tape'!$A142</f>
        <v>0</v>
      </c>
      <c r="C1358" s="99" t="n">
        <f aca="false">MIN(MAX(0,C146-C752-C1055),C146*CPR*MAX(0,MIN(1,'Loan Tape'!$AV142)-0))</f>
        <v>0</v>
      </c>
      <c r="D1358" s="99" t="n">
        <f aca="false">MIN(MAX(0,D146-D752-D1055),D146*CPR*MAX(0,MIN(2,'Loan Tape'!$AV142)-1))</f>
        <v>0</v>
      </c>
      <c r="E1358" s="99" t="n">
        <f aca="false">MIN(MAX(0,E146-E752-E1055),E146*CPR*MAX(0,MIN(3,'Loan Tape'!$AV142)-2))</f>
        <v>0</v>
      </c>
      <c r="F1358" s="99" t="n">
        <f aca="false">MIN(MAX(0,F146-F752-F1055),F146*CPR*MAX(0,MIN(4,'Loan Tape'!$AV142)-3))</f>
        <v>0</v>
      </c>
      <c r="G1358" s="99" t="n">
        <f aca="false">MIN(MAX(0,G146-G752-G1055),G146*CPR*MAX(0,MIN(5,'Loan Tape'!$AV142)-4))</f>
        <v>0</v>
      </c>
      <c r="H1358" s="99" t="n">
        <f aca="false">MIN(MAX(0,H146-H752-H1055),H146*CPR*MAX(0,MIN(6,'Loan Tape'!$AV142)-5))</f>
        <v>0</v>
      </c>
      <c r="I1358" s="99" t="n">
        <f aca="false">MIN(MAX(0,I146-I752-I1055),I146*CPR*MAX(0,MIN(7,'Loan Tape'!$AV142)-6))</f>
        <v>0</v>
      </c>
      <c r="J1358" s="99" t="n">
        <f aca="false">MIN(MAX(0,J146-J752-J1055),J146*CPR*MAX(0,MIN(8,'Loan Tape'!$AV142)-7))</f>
        <v>0</v>
      </c>
      <c r="K1358" s="99" t="n">
        <f aca="false">MIN(MAX(0,K146-K752-K1055),K146*CPR*MAX(0,MIN(9,'Loan Tape'!$AV142)-8))</f>
        <v>0</v>
      </c>
      <c r="L1358" s="99" t="n">
        <f aca="false">MIN(MAX(0,L146-L752-L1055),L146*CPR*MAX(0,MIN(10,'Loan Tape'!$AV142)-9))</f>
        <v>0</v>
      </c>
    </row>
    <row r="1359" customFormat="false" ht="15" hidden="false" customHeight="false" outlineLevel="0" collapsed="false">
      <c r="B1359" s="108" t="n">
        <f aca="false">'Loan Tape'!$A143</f>
        <v>0</v>
      </c>
      <c r="C1359" s="71" t="n">
        <f aca="false">MIN(MAX(0,C147-C753-C1056),C147*CPR*MAX(0,MIN(1,'Loan Tape'!$AV143)-0))</f>
        <v>0</v>
      </c>
      <c r="D1359" s="71" t="n">
        <f aca="false">MIN(MAX(0,D147-D753-D1056),D147*CPR*MAX(0,MIN(2,'Loan Tape'!$AV143)-1))</f>
        <v>0</v>
      </c>
      <c r="E1359" s="71" t="n">
        <f aca="false">MIN(MAX(0,E147-E753-E1056),E147*CPR*MAX(0,MIN(3,'Loan Tape'!$AV143)-2))</f>
        <v>0</v>
      </c>
      <c r="F1359" s="71" t="n">
        <f aca="false">MIN(MAX(0,F147-F753-F1056),F147*CPR*MAX(0,MIN(4,'Loan Tape'!$AV143)-3))</f>
        <v>0</v>
      </c>
      <c r="G1359" s="71" t="n">
        <f aca="false">MIN(MAX(0,G147-G753-G1056),G147*CPR*MAX(0,MIN(5,'Loan Tape'!$AV143)-4))</f>
        <v>0</v>
      </c>
      <c r="H1359" s="71" t="n">
        <f aca="false">MIN(MAX(0,H147-H753-H1056),H147*CPR*MAX(0,MIN(6,'Loan Tape'!$AV143)-5))</f>
        <v>0</v>
      </c>
      <c r="I1359" s="71" t="n">
        <f aca="false">MIN(MAX(0,I147-I753-I1056),I147*CPR*MAX(0,MIN(7,'Loan Tape'!$AV143)-6))</f>
        <v>0</v>
      </c>
      <c r="J1359" s="71" t="n">
        <f aca="false">MIN(MAX(0,J147-J753-J1056),J147*CPR*MAX(0,MIN(8,'Loan Tape'!$AV143)-7))</f>
        <v>0</v>
      </c>
      <c r="K1359" s="71" t="n">
        <f aca="false">MIN(MAX(0,K147-K753-K1056),K147*CPR*MAX(0,MIN(9,'Loan Tape'!$AV143)-8))</f>
        <v>0</v>
      </c>
      <c r="L1359" s="71" t="n">
        <f aca="false">MIN(MAX(0,L147-L753-L1056),L147*CPR*MAX(0,MIN(10,'Loan Tape'!$AV143)-9))</f>
        <v>0</v>
      </c>
    </row>
    <row r="1360" customFormat="false" ht="15" hidden="false" customHeight="false" outlineLevel="0" collapsed="false">
      <c r="B1360" s="102" t="n">
        <f aca="false">'Loan Tape'!$A144</f>
        <v>0</v>
      </c>
      <c r="C1360" s="99" t="n">
        <f aca="false">MIN(MAX(0,C148-C754-C1057),C148*CPR*MAX(0,MIN(1,'Loan Tape'!$AV144)-0))</f>
        <v>0</v>
      </c>
      <c r="D1360" s="99" t="n">
        <f aca="false">MIN(MAX(0,D148-D754-D1057),D148*CPR*MAX(0,MIN(2,'Loan Tape'!$AV144)-1))</f>
        <v>0</v>
      </c>
      <c r="E1360" s="99" t="n">
        <f aca="false">MIN(MAX(0,E148-E754-E1057),E148*CPR*MAX(0,MIN(3,'Loan Tape'!$AV144)-2))</f>
        <v>0</v>
      </c>
      <c r="F1360" s="99" t="n">
        <f aca="false">MIN(MAX(0,F148-F754-F1057),F148*CPR*MAX(0,MIN(4,'Loan Tape'!$AV144)-3))</f>
        <v>0</v>
      </c>
      <c r="G1360" s="99" t="n">
        <f aca="false">MIN(MAX(0,G148-G754-G1057),G148*CPR*MAX(0,MIN(5,'Loan Tape'!$AV144)-4))</f>
        <v>0</v>
      </c>
      <c r="H1360" s="99" t="n">
        <f aca="false">MIN(MAX(0,H148-H754-H1057),H148*CPR*MAX(0,MIN(6,'Loan Tape'!$AV144)-5))</f>
        <v>0</v>
      </c>
      <c r="I1360" s="99" t="n">
        <f aca="false">MIN(MAX(0,I148-I754-I1057),I148*CPR*MAX(0,MIN(7,'Loan Tape'!$AV144)-6))</f>
        <v>0</v>
      </c>
      <c r="J1360" s="99" t="n">
        <f aca="false">MIN(MAX(0,J148-J754-J1057),J148*CPR*MAX(0,MIN(8,'Loan Tape'!$AV144)-7))</f>
        <v>0</v>
      </c>
      <c r="K1360" s="99" t="n">
        <f aca="false">MIN(MAX(0,K148-K754-K1057),K148*CPR*MAX(0,MIN(9,'Loan Tape'!$AV144)-8))</f>
        <v>0</v>
      </c>
      <c r="L1360" s="99" t="n">
        <f aca="false">MIN(MAX(0,L148-L754-L1057),L148*CPR*MAX(0,MIN(10,'Loan Tape'!$AV144)-9))</f>
        <v>0</v>
      </c>
    </row>
    <row r="1361" customFormat="false" ht="15" hidden="false" customHeight="false" outlineLevel="0" collapsed="false">
      <c r="B1361" s="108" t="n">
        <f aca="false">'Loan Tape'!$A145</f>
        <v>0</v>
      </c>
      <c r="C1361" s="71" t="n">
        <f aca="false">MIN(MAX(0,C149-C755-C1058),C149*CPR*MAX(0,MIN(1,'Loan Tape'!$AV145)-0))</f>
        <v>0</v>
      </c>
      <c r="D1361" s="71" t="n">
        <f aca="false">MIN(MAX(0,D149-D755-D1058),D149*CPR*MAX(0,MIN(2,'Loan Tape'!$AV145)-1))</f>
        <v>0</v>
      </c>
      <c r="E1361" s="71" t="n">
        <f aca="false">MIN(MAX(0,E149-E755-E1058),E149*CPR*MAX(0,MIN(3,'Loan Tape'!$AV145)-2))</f>
        <v>0</v>
      </c>
      <c r="F1361" s="71" t="n">
        <f aca="false">MIN(MAX(0,F149-F755-F1058),F149*CPR*MAX(0,MIN(4,'Loan Tape'!$AV145)-3))</f>
        <v>0</v>
      </c>
      <c r="G1361" s="71" t="n">
        <f aca="false">MIN(MAX(0,G149-G755-G1058),G149*CPR*MAX(0,MIN(5,'Loan Tape'!$AV145)-4))</f>
        <v>0</v>
      </c>
      <c r="H1361" s="71" t="n">
        <f aca="false">MIN(MAX(0,H149-H755-H1058),H149*CPR*MAX(0,MIN(6,'Loan Tape'!$AV145)-5))</f>
        <v>0</v>
      </c>
      <c r="I1361" s="71" t="n">
        <f aca="false">MIN(MAX(0,I149-I755-I1058),I149*CPR*MAX(0,MIN(7,'Loan Tape'!$AV145)-6))</f>
        <v>0</v>
      </c>
      <c r="J1361" s="71" t="n">
        <f aca="false">MIN(MAX(0,J149-J755-J1058),J149*CPR*MAX(0,MIN(8,'Loan Tape'!$AV145)-7))</f>
        <v>0</v>
      </c>
      <c r="K1361" s="71" t="n">
        <f aca="false">MIN(MAX(0,K149-K755-K1058),K149*CPR*MAX(0,MIN(9,'Loan Tape'!$AV145)-8))</f>
        <v>0</v>
      </c>
      <c r="L1361" s="71" t="n">
        <f aca="false">MIN(MAX(0,L149-L755-L1058),L149*CPR*MAX(0,MIN(10,'Loan Tape'!$AV145)-9))</f>
        <v>0</v>
      </c>
    </row>
    <row r="1362" customFormat="false" ht="15" hidden="false" customHeight="false" outlineLevel="0" collapsed="false">
      <c r="B1362" s="102" t="n">
        <f aca="false">'Loan Tape'!$A146</f>
        <v>0</v>
      </c>
      <c r="C1362" s="99" t="n">
        <f aca="false">MIN(MAX(0,C150-C756-C1059),C150*CPR*MAX(0,MIN(1,'Loan Tape'!$AV146)-0))</f>
        <v>0</v>
      </c>
      <c r="D1362" s="99" t="n">
        <f aca="false">MIN(MAX(0,D150-D756-D1059),D150*CPR*MAX(0,MIN(2,'Loan Tape'!$AV146)-1))</f>
        <v>0</v>
      </c>
      <c r="E1362" s="99" t="n">
        <f aca="false">MIN(MAX(0,E150-E756-E1059),E150*CPR*MAX(0,MIN(3,'Loan Tape'!$AV146)-2))</f>
        <v>0</v>
      </c>
      <c r="F1362" s="99" t="n">
        <f aca="false">MIN(MAX(0,F150-F756-F1059),F150*CPR*MAX(0,MIN(4,'Loan Tape'!$AV146)-3))</f>
        <v>0</v>
      </c>
      <c r="G1362" s="99" t="n">
        <f aca="false">MIN(MAX(0,G150-G756-G1059),G150*CPR*MAX(0,MIN(5,'Loan Tape'!$AV146)-4))</f>
        <v>0</v>
      </c>
      <c r="H1362" s="99" t="n">
        <f aca="false">MIN(MAX(0,H150-H756-H1059),H150*CPR*MAX(0,MIN(6,'Loan Tape'!$AV146)-5))</f>
        <v>0</v>
      </c>
      <c r="I1362" s="99" t="n">
        <f aca="false">MIN(MAX(0,I150-I756-I1059),I150*CPR*MAX(0,MIN(7,'Loan Tape'!$AV146)-6))</f>
        <v>0</v>
      </c>
      <c r="J1362" s="99" t="n">
        <f aca="false">MIN(MAX(0,J150-J756-J1059),J150*CPR*MAX(0,MIN(8,'Loan Tape'!$AV146)-7))</f>
        <v>0</v>
      </c>
      <c r="K1362" s="99" t="n">
        <f aca="false">MIN(MAX(0,K150-K756-K1059),K150*CPR*MAX(0,MIN(9,'Loan Tape'!$AV146)-8))</f>
        <v>0</v>
      </c>
      <c r="L1362" s="99" t="n">
        <f aca="false">MIN(MAX(0,L150-L756-L1059),L150*CPR*MAX(0,MIN(10,'Loan Tape'!$AV146)-9))</f>
        <v>0</v>
      </c>
    </row>
    <row r="1363" customFormat="false" ht="15" hidden="false" customHeight="false" outlineLevel="0" collapsed="false">
      <c r="B1363" s="108" t="n">
        <f aca="false">'Loan Tape'!$A147</f>
        <v>0</v>
      </c>
      <c r="C1363" s="71" t="n">
        <f aca="false">MIN(MAX(0,C151-C757-C1060),C151*CPR*MAX(0,MIN(1,'Loan Tape'!$AV147)-0))</f>
        <v>0</v>
      </c>
      <c r="D1363" s="71" t="n">
        <f aca="false">MIN(MAX(0,D151-D757-D1060),D151*CPR*MAX(0,MIN(2,'Loan Tape'!$AV147)-1))</f>
        <v>0</v>
      </c>
      <c r="E1363" s="71" t="n">
        <f aca="false">MIN(MAX(0,E151-E757-E1060),E151*CPR*MAX(0,MIN(3,'Loan Tape'!$AV147)-2))</f>
        <v>0</v>
      </c>
      <c r="F1363" s="71" t="n">
        <f aca="false">MIN(MAX(0,F151-F757-F1060),F151*CPR*MAX(0,MIN(4,'Loan Tape'!$AV147)-3))</f>
        <v>0</v>
      </c>
      <c r="G1363" s="71" t="n">
        <f aca="false">MIN(MAX(0,G151-G757-G1060),G151*CPR*MAX(0,MIN(5,'Loan Tape'!$AV147)-4))</f>
        <v>0</v>
      </c>
      <c r="H1363" s="71" t="n">
        <f aca="false">MIN(MAX(0,H151-H757-H1060),H151*CPR*MAX(0,MIN(6,'Loan Tape'!$AV147)-5))</f>
        <v>0</v>
      </c>
      <c r="I1363" s="71" t="n">
        <f aca="false">MIN(MAX(0,I151-I757-I1060),I151*CPR*MAX(0,MIN(7,'Loan Tape'!$AV147)-6))</f>
        <v>0</v>
      </c>
      <c r="J1363" s="71" t="n">
        <f aca="false">MIN(MAX(0,J151-J757-J1060),J151*CPR*MAX(0,MIN(8,'Loan Tape'!$AV147)-7))</f>
        <v>0</v>
      </c>
      <c r="K1363" s="71" t="n">
        <f aca="false">MIN(MAX(0,K151-K757-K1060),K151*CPR*MAX(0,MIN(9,'Loan Tape'!$AV147)-8))</f>
        <v>0</v>
      </c>
      <c r="L1363" s="71" t="n">
        <f aca="false">MIN(MAX(0,L151-L757-L1060),L151*CPR*MAX(0,MIN(10,'Loan Tape'!$AV147)-9))</f>
        <v>0</v>
      </c>
    </row>
    <row r="1364" customFormat="false" ht="15" hidden="false" customHeight="false" outlineLevel="0" collapsed="false">
      <c r="B1364" s="102" t="n">
        <f aca="false">'Loan Tape'!$A148</f>
        <v>0</v>
      </c>
      <c r="C1364" s="99" t="n">
        <f aca="false">MIN(MAX(0,C152-C758-C1061),C152*CPR*MAX(0,MIN(1,'Loan Tape'!$AV148)-0))</f>
        <v>0</v>
      </c>
      <c r="D1364" s="99" t="n">
        <f aca="false">MIN(MAX(0,D152-D758-D1061),D152*CPR*MAX(0,MIN(2,'Loan Tape'!$AV148)-1))</f>
        <v>0</v>
      </c>
      <c r="E1364" s="99" t="n">
        <f aca="false">MIN(MAX(0,E152-E758-E1061),E152*CPR*MAX(0,MIN(3,'Loan Tape'!$AV148)-2))</f>
        <v>0</v>
      </c>
      <c r="F1364" s="99" t="n">
        <f aca="false">MIN(MAX(0,F152-F758-F1061),F152*CPR*MAX(0,MIN(4,'Loan Tape'!$AV148)-3))</f>
        <v>0</v>
      </c>
      <c r="G1364" s="99" t="n">
        <f aca="false">MIN(MAX(0,G152-G758-G1061),G152*CPR*MAX(0,MIN(5,'Loan Tape'!$AV148)-4))</f>
        <v>0</v>
      </c>
      <c r="H1364" s="99" t="n">
        <f aca="false">MIN(MAX(0,H152-H758-H1061),H152*CPR*MAX(0,MIN(6,'Loan Tape'!$AV148)-5))</f>
        <v>0</v>
      </c>
      <c r="I1364" s="99" t="n">
        <f aca="false">MIN(MAX(0,I152-I758-I1061),I152*CPR*MAX(0,MIN(7,'Loan Tape'!$AV148)-6))</f>
        <v>0</v>
      </c>
      <c r="J1364" s="99" t="n">
        <f aca="false">MIN(MAX(0,J152-J758-J1061),J152*CPR*MAX(0,MIN(8,'Loan Tape'!$AV148)-7))</f>
        <v>0</v>
      </c>
      <c r="K1364" s="99" t="n">
        <f aca="false">MIN(MAX(0,K152-K758-K1061),K152*CPR*MAX(0,MIN(9,'Loan Tape'!$AV148)-8))</f>
        <v>0</v>
      </c>
      <c r="L1364" s="99" t="n">
        <f aca="false">MIN(MAX(0,L152-L758-L1061),L152*CPR*MAX(0,MIN(10,'Loan Tape'!$AV148)-9))</f>
        <v>0</v>
      </c>
    </row>
    <row r="1365" customFormat="false" ht="15" hidden="false" customHeight="false" outlineLevel="0" collapsed="false">
      <c r="B1365" s="108" t="n">
        <f aca="false">'Loan Tape'!$A149</f>
        <v>0</v>
      </c>
      <c r="C1365" s="71" t="n">
        <f aca="false">MIN(MAX(0,C153-C759-C1062),C153*CPR*MAX(0,MIN(1,'Loan Tape'!$AV149)-0))</f>
        <v>0</v>
      </c>
      <c r="D1365" s="71" t="n">
        <f aca="false">MIN(MAX(0,D153-D759-D1062),D153*CPR*MAX(0,MIN(2,'Loan Tape'!$AV149)-1))</f>
        <v>0</v>
      </c>
      <c r="E1365" s="71" t="n">
        <f aca="false">MIN(MAX(0,E153-E759-E1062),E153*CPR*MAX(0,MIN(3,'Loan Tape'!$AV149)-2))</f>
        <v>0</v>
      </c>
      <c r="F1365" s="71" t="n">
        <f aca="false">MIN(MAX(0,F153-F759-F1062),F153*CPR*MAX(0,MIN(4,'Loan Tape'!$AV149)-3))</f>
        <v>0</v>
      </c>
      <c r="G1365" s="71" t="n">
        <f aca="false">MIN(MAX(0,G153-G759-G1062),G153*CPR*MAX(0,MIN(5,'Loan Tape'!$AV149)-4))</f>
        <v>0</v>
      </c>
      <c r="H1365" s="71" t="n">
        <f aca="false">MIN(MAX(0,H153-H759-H1062),H153*CPR*MAX(0,MIN(6,'Loan Tape'!$AV149)-5))</f>
        <v>0</v>
      </c>
      <c r="I1365" s="71" t="n">
        <f aca="false">MIN(MAX(0,I153-I759-I1062),I153*CPR*MAX(0,MIN(7,'Loan Tape'!$AV149)-6))</f>
        <v>0</v>
      </c>
      <c r="J1365" s="71" t="n">
        <f aca="false">MIN(MAX(0,J153-J759-J1062),J153*CPR*MAX(0,MIN(8,'Loan Tape'!$AV149)-7))</f>
        <v>0</v>
      </c>
      <c r="K1365" s="71" t="n">
        <f aca="false">MIN(MAX(0,K153-K759-K1062),K153*CPR*MAX(0,MIN(9,'Loan Tape'!$AV149)-8))</f>
        <v>0</v>
      </c>
      <c r="L1365" s="71" t="n">
        <f aca="false">MIN(MAX(0,L153-L759-L1062),L153*CPR*MAX(0,MIN(10,'Loan Tape'!$AV149)-9))</f>
        <v>0</v>
      </c>
    </row>
    <row r="1366" customFormat="false" ht="15" hidden="false" customHeight="false" outlineLevel="0" collapsed="false">
      <c r="B1366" s="102" t="n">
        <f aca="false">'Loan Tape'!$A150</f>
        <v>0</v>
      </c>
      <c r="C1366" s="99" t="n">
        <f aca="false">MIN(MAX(0,C154-C760-C1063),C154*CPR*MAX(0,MIN(1,'Loan Tape'!$AV150)-0))</f>
        <v>0</v>
      </c>
      <c r="D1366" s="99" t="n">
        <f aca="false">MIN(MAX(0,D154-D760-D1063),D154*CPR*MAX(0,MIN(2,'Loan Tape'!$AV150)-1))</f>
        <v>0</v>
      </c>
      <c r="E1366" s="99" t="n">
        <f aca="false">MIN(MAX(0,E154-E760-E1063),E154*CPR*MAX(0,MIN(3,'Loan Tape'!$AV150)-2))</f>
        <v>0</v>
      </c>
      <c r="F1366" s="99" t="n">
        <f aca="false">MIN(MAX(0,F154-F760-F1063),F154*CPR*MAX(0,MIN(4,'Loan Tape'!$AV150)-3))</f>
        <v>0</v>
      </c>
      <c r="G1366" s="99" t="n">
        <f aca="false">MIN(MAX(0,G154-G760-G1063),G154*CPR*MAX(0,MIN(5,'Loan Tape'!$AV150)-4))</f>
        <v>0</v>
      </c>
      <c r="H1366" s="99" t="n">
        <f aca="false">MIN(MAX(0,H154-H760-H1063),H154*CPR*MAX(0,MIN(6,'Loan Tape'!$AV150)-5))</f>
        <v>0</v>
      </c>
      <c r="I1366" s="99" t="n">
        <f aca="false">MIN(MAX(0,I154-I760-I1063),I154*CPR*MAX(0,MIN(7,'Loan Tape'!$AV150)-6))</f>
        <v>0</v>
      </c>
      <c r="J1366" s="99" t="n">
        <f aca="false">MIN(MAX(0,J154-J760-J1063),J154*CPR*MAX(0,MIN(8,'Loan Tape'!$AV150)-7))</f>
        <v>0</v>
      </c>
      <c r="K1366" s="99" t="n">
        <f aca="false">MIN(MAX(0,K154-K760-K1063),K154*CPR*MAX(0,MIN(9,'Loan Tape'!$AV150)-8))</f>
        <v>0</v>
      </c>
      <c r="L1366" s="99" t="n">
        <f aca="false">MIN(MAX(0,L154-L760-L1063),L154*CPR*MAX(0,MIN(10,'Loan Tape'!$AV150)-9))</f>
        <v>0</v>
      </c>
    </row>
    <row r="1367" customFormat="false" ht="15" hidden="false" customHeight="false" outlineLevel="0" collapsed="false">
      <c r="B1367" s="108" t="n">
        <f aca="false">'Loan Tape'!$A151</f>
        <v>0</v>
      </c>
      <c r="C1367" s="71" t="n">
        <f aca="false">MIN(MAX(0,C155-C761-C1064),C155*CPR*MAX(0,MIN(1,'Loan Tape'!$AV151)-0))</f>
        <v>0</v>
      </c>
      <c r="D1367" s="71" t="n">
        <f aca="false">MIN(MAX(0,D155-D761-D1064),D155*CPR*MAX(0,MIN(2,'Loan Tape'!$AV151)-1))</f>
        <v>0</v>
      </c>
      <c r="E1367" s="71" t="n">
        <f aca="false">MIN(MAX(0,E155-E761-E1064),E155*CPR*MAX(0,MIN(3,'Loan Tape'!$AV151)-2))</f>
        <v>0</v>
      </c>
      <c r="F1367" s="71" t="n">
        <f aca="false">MIN(MAX(0,F155-F761-F1064),F155*CPR*MAX(0,MIN(4,'Loan Tape'!$AV151)-3))</f>
        <v>0</v>
      </c>
      <c r="G1367" s="71" t="n">
        <f aca="false">MIN(MAX(0,G155-G761-G1064),G155*CPR*MAX(0,MIN(5,'Loan Tape'!$AV151)-4))</f>
        <v>0</v>
      </c>
      <c r="H1367" s="71" t="n">
        <f aca="false">MIN(MAX(0,H155-H761-H1064),H155*CPR*MAX(0,MIN(6,'Loan Tape'!$AV151)-5))</f>
        <v>0</v>
      </c>
      <c r="I1367" s="71" t="n">
        <f aca="false">MIN(MAX(0,I155-I761-I1064),I155*CPR*MAX(0,MIN(7,'Loan Tape'!$AV151)-6))</f>
        <v>0</v>
      </c>
      <c r="J1367" s="71" t="n">
        <f aca="false">MIN(MAX(0,J155-J761-J1064),J155*CPR*MAX(0,MIN(8,'Loan Tape'!$AV151)-7))</f>
        <v>0</v>
      </c>
      <c r="K1367" s="71" t="n">
        <f aca="false">MIN(MAX(0,K155-K761-K1064),K155*CPR*MAX(0,MIN(9,'Loan Tape'!$AV151)-8))</f>
        <v>0</v>
      </c>
      <c r="L1367" s="71" t="n">
        <f aca="false">MIN(MAX(0,L155-L761-L1064),L155*CPR*MAX(0,MIN(10,'Loan Tape'!$AV151)-9))</f>
        <v>0</v>
      </c>
    </row>
    <row r="1368" customFormat="false" ht="15" hidden="false" customHeight="false" outlineLevel="0" collapsed="false">
      <c r="B1368" s="102" t="n">
        <f aca="false">'Loan Tape'!$A152</f>
        <v>0</v>
      </c>
      <c r="C1368" s="99" t="n">
        <f aca="false">MIN(MAX(0,C156-C762-C1065),C156*CPR*MAX(0,MIN(1,'Loan Tape'!$AV152)-0))</f>
        <v>0</v>
      </c>
      <c r="D1368" s="99" t="n">
        <f aca="false">MIN(MAX(0,D156-D762-D1065),D156*CPR*MAX(0,MIN(2,'Loan Tape'!$AV152)-1))</f>
        <v>0</v>
      </c>
      <c r="E1368" s="99" t="n">
        <f aca="false">MIN(MAX(0,E156-E762-E1065),E156*CPR*MAX(0,MIN(3,'Loan Tape'!$AV152)-2))</f>
        <v>0</v>
      </c>
      <c r="F1368" s="99" t="n">
        <f aca="false">MIN(MAX(0,F156-F762-F1065),F156*CPR*MAX(0,MIN(4,'Loan Tape'!$AV152)-3))</f>
        <v>0</v>
      </c>
      <c r="G1368" s="99" t="n">
        <f aca="false">MIN(MAX(0,G156-G762-G1065),G156*CPR*MAX(0,MIN(5,'Loan Tape'!$AV152)-4))</f>
        <v>0</v>
      </c>
      <c r="H1368" s="99" t="n">
        <f aca="false">MIN(MAX(0,H156-H762-H1065),H156*CPR*MAX(0,MIN(6,'Loan Tape'!$AV152)-5))</f>
        <v>0</v>
      </c>
      <c r="I1368" s="99" t="n">
        <f aca="false">MIN(MAX(0,I156-I762-I1065),I156*CPR*MAX(0,MIN(7,'Loan Tape'!$AV152)-6))</f>
        <v>0</v>
      </c>
      <c r="J1368" s="99" t="n">
        <f aca="false">MIN(MAX(0,J156-J762-J1065),J156*CPR*MAX(0,MIN(8,'Loan Tape'!$AV152)-7))</f>
        <v>0</v>
      </c>
      <c r="K1368" s="99" t="n">
        <f aca="false">MIN(MAX(0,K156-K762-K1065),K156*CPR*MAX(0,MIN(9,'Loan Tape'!$AV152)-8))</f>
        <v>0</v>
      </c>
      <c r="L1368" s="99" t="n">
        <f aca="false">MIN(MAX(0,L156-L762-L1065),L156*CPR*MAX(0,MIN(10,'Loan Tape'!$AV152)-9))</f>
        <v>0</v>
      </c>
    </row>
    <row r="1369" customFormat="false" ht="15" hidden="false" customHeight="false" outlineLevel="0" collapsed="false">
      <c r="B1369" s="108" t="n">
        <f aca="false">'Loan Tape'!$A153</f>
        <v>0</v>
      </c>
      <c r="C1369" s="71" t="n">
        <f aca="false">MIN(MAX(0,C157-C763-C1066),C157*CPR*MAX(0,MIN(1,'Loan Tape'!$AV153)-0))</f>
        <v>0</v>
      </c>
      <c r="D1369" s="71" t="n">
        <f aca="false">MIN(MAX(0,D157-D763-D1066),D157*CPR*MAX(0,MIN(2,'Loan Tape'!$AV153)-1))</f>
        <v>0</v>
      </c>
      <c r="E1369" s="71" t="n">
        <f aca="false">MIN(MAX(0,E157-E763-E1066),E157*CPR*MAX(0,MIN(3,'Loan Tape'!$AV153)-2))</f>
        <v>0</v>
      </c>
      <c r="F1369" s="71" t="n">
        <f aca="false">MIN(MAX(0,F157-F763-F1066),F157*CPR*MAX(0,MIN(4,'Loan Tape'!$AV153)-3))</f>
        <v>0</v>
      </c>
      <c r="G1369" s="71" t="n">
        <f aca="false">MIN(MAX(0,G157-G763-G1066),G157*CPR*MAX(0,MIN(5,'Loan Tape'!$AV153)-4))</f>
        <v>0</v>
      </c>
      <c r="H1369" s="71" t="n">
        <f aca="false">MIN(MAX(0,H157-H763-H1066),H157*CPR*MAX(0,MIN(6,'Loan Tape'!$AV153)-5))</f>
        <v>0</v>
      </c>
      <c r="I1369" s="71" t="n">
        <f aca="false">MIN(MAX(0,I157-I763-I1066),I157*CPR*MAX(0,MIN(7,'Loan Tape'!$AV153)-6))</f>
        <v>0</v>
      </c>
      <c r="J1369" s="71" t="n">
        <f aca="false">MIN(MAX(0,J157-J763-J1066),J157*CPR*MAX(0,MIN(8,'Loan Tape'!$AV153)-7))</f>
        <v>0</v>
      </c>
      <c r="K1369" s="71" t="n">
        <f aca="false">MIN(MAX(0,K157-K763-K1066),K157*CPR*MAX(0,MIN(9,'Loan Tape'!$AV153)-8))</f>
        <v>0</v>
      </c>
      <c r="L1369" s="71" t="n">
        <f aca="false">MIN(MAX(0,L157-L763-L1066),L157*CPR*MAX(0,MIN(10,'Loan Tape'!$AV153)-9))</f>
        <v>0</v>
      </c>
    </row>
    <row r="1370" customFormat="false" ht="15" hidden="false" customHeight="false" outlineLevel="0" collapsed="false">
      <c r="B1370" s="102" t="n">
        <f aca="false">'Loan Tape'!$A154</f>
        <v>0</v>
      </c>
      <c r="C1370" s="99" t="n">
        <f aca="false">MIN(MAX(0,C158-C764-C1067),C158*CPR*MAX(0,MIN(1,'Loan Tape'!$AV154)-0))</f>
        <v>0</v>
      </c>
      <c r="D1370" s="99" t="n">
        <f aca="false">MIN(MAX(0,D158-D764-D1067),D158*CPR*MAX(0,MIN(2,'Loan Tape'!$AV154)-1))</f>
        <v>0</v>
      </c>
      <c r="E1370" s="99" t="n">
        <f aca="false">MIN(MAX(0,E158-E764-E1067),E158*CPR*MAX(0,MIN(3,'Loan Tape'!$AV154)-2))</f>
        <v>0</v>
      </c>
      <c r="F1370" s="99" t="n">
        <f aca="false">MIN(MAX(0,F158-F764-F1067),F158*CPR*MAX(0,MIN(4,'Loan Tape'!$AV154)-3))</f>
        <v>0</v>
      </c>
      <c r="G1370" s="99" t="n">
        <f aca="false">MIN(MAX(0,G158-G764-G1067),G158*CPR*MAX(0,MIN(5,'Loan Tape'!$AV154)-4))</f>
        <v>0</v>
      </c>
      <c r="H1370" s="99" t="n">
        <f aca="false">MIN(MAX(0,H158-H764-H1067),H158*CPR*MAX(0,MIN(6,'Loan Tape'!$AV154)-5))</f>
        <v>0</v>
      </c>
      <c r="I1370" s="99" t="n">
        <f aca="false">MIN(MAX(0,I158-I764-I1067),I158*CPR*MAX(0,MIN(7,'Loan Tape'!$AV154)-6))</f>
        <v>0</v>
      </c>
      <c r="J1370" s="99" t="n">
        <f aca="false">MIN(MAX(0,J158-J764-J1067),J158*CPR*MAX(0,MIN(8,'Loan Tape'!$AV154)-7))</f>
        <v>0</v>
      </c>
      <c r="K1370" s="99" t="n">
        <f aca="false">MIN(MAX(0,K158-K764-K1067),K158*CPR*MAX(0,MIN(9,'Loan Tape'!$AV154)-8))</f>
        <v>0</v>
      </c>
      <c r="L1370" s="99" t="n">
        <f aca="false">MIN(MAX(0,L158-L764-L1067),L158*CPR*MAX(0,MIN(10,'Loan Tape'!$AV154)-9))</f>
        <v>0</v>
      </c>
    </row>
    <row r="1371" customFormat="false" ht="15" hidden="false" customHeight="false" outlineLevel="0" collapsed="false">
      <c r="B1371" s="108" t="n">
        <f aca="false">'Loan Tape'!$A155</f>
        <v>0</v>
      </c>
      <c r="C1371" s="71" t="n">
        <f aca="false">MIN(MAX(0,C159-C765-C1068),C159*CPR*MAX(0,MIN(1,'Loan Tape'!$AV155)-0))</f>
        <v>0</v>
      </c>
      <c r="D1371" s="71" t="n">
        <f aca="false">MIN(MAX(0,D159-D765-D1068),D159*CPR*MAX(0,MIN(2,'Loan Tape'!$AV155)-1))</f>
        <v>0</v>
      </c>
      <c r="E1371" s="71" t="n">
        <f aca="false">MIN(MAX(0,E159-E765-E1068),E159*CPR*MAX(0,MIN(3,'Loan Tape'!$AV155)-2))</f>
        <v>0</v>
      </c>
      <c r="F1371" s="71" t="n">
        <f aca="false">MIN(MAX(0,F159-F765-F1068),F159*CPR*MAX(0,MIN(4,'Loan Tape'!$AV155)-3))</f>
        <v>0</v>
      </c>
      <c r="G1371" s="71" t="n">
        <f aca="false">MIN(MAX(0,G159-G765-G1068),G159*CPR*MAX(0,MIN(5,'Loan Tape'!$AV155)-4))</f>
        <v>0</v>
      </c>
      <c r="H1371" s="71" t="n">
        <f aca="false">MIN(MAX(0,H159-H765-H1068),H159*CPR*MAX(0,MIN(6,'Loan Tape'!$AV155)-5))</f>
        <v>0</v>
      </c>
      <c r="I1371" s="71" t="n">
        <f aca="false">MIN(MAX(0,I159-I765-I1068),I159*CPR*MAX(0,MIN(7,'Loan Tape'!$AV155)-6))</f>
        <v>0</v>
      </c>
      <c r="J1371" s="71" t="n">
        <f aca="false">MIN(MAX(0,J159-J765-J1068),J159*CPR*MAX(0,MIN(8,'Loan Tape'!$AV155)-7))</f>
        <v>0</v>
      </c>
      <c r="K1371" s="71" t="n">
        <f aca="false">MIN(MAX(0,K159-K765-K1068),K159*CPR*MAX(0,MIN(9,'Loan Tape'!$AV155)-8))</f>
        <v>0</v>
      </c>
      <c r="L1371" s="71" t="n">
        <f aca="false">MIN(MAX(0,L159-L765-L1068),L159*CPR*MAX(0,MIN(10,'Loan Tape'!$AV155)-9))</f>
        <v>0</v>
      </c>
    </row>
    <row r="1372" customFormat="false" ht="15" hidden="false" customHeight="false" outlineLevel="0" collapsed="false">
      <c r="B1372" s="102" t="n">
        <f aca="false">'Loan Tape'!$A156</f>
        <v>0</v>
      </c>
      <c r="C1372" s="99" t="n">
        <f aca="false">MIN(MAX(0,C160-C766-C1069),C160*CPR*MAX(0,MIN(1,'Loan Tape'!$AV156)-0))</f>
        <v>0</v>
      </c>
      <c r="D1372" s="99" t="n">
        <f aca="false">MIN(MAX(0,D160-D766-D1069),D160*CPR*MAX(0,MIN(2,'Loan Tape'!$AV156)-1))</f>
        <v>0</v>
      </c>
      <c r="E1372" s="99" t="n">
        <f aca="false">MIN(MAX(0,E160-E766-E1069),E160*CPR*MAX(0,MIN(3,'Loan Tape'!$AV156)-2))</f>
        <v>0</v>
      </c>
      <c r="F1372" s="99" t="n">
        <f aca="false">MIN(MAX(0,F160-F766-F1069),F160*CPR*MAX(0,MIN(4,'Loan Tape'!$AV156)-3))</f>
        <v>0</v>
      </c>
      <c r="G1372" s="99" t="n">
        <f aca="false">MIN(MAX(0,G160-G766-G1069),G160*CPR*MAX(0,MIN(5,'Loan Tape'!$AV156)-4))</f>
        <v>0</v>
      </c>
      <c r="H1372" s="99" t="n">
        <f aca="false">MIN(MAX(0,H160-H766-H1069),H160*CPR*MAX(0,MIN(6,'Loan Tape'!$AV156)-5))</f>
        <v>0</v>
      </c>
      <c r="I1372" s="99" t="n">
        <f aca="false">MIN(MAX(0,I160-I766-I1069),I160*CPR*MAX(0,MIN(7,'Loan Tape'!$AV156)-6))</f>
        <v>0</v>
      </c>
      <c r="J1372" s="99" t="n">
        <f aca="false">MIN(MAX(0,J160-J766-J1069),J160*CPR*MAX(0,MIN(8,'Loan Tape'!$AV156)-7))</f>
        <v>0</v>
      </c>
      <c r="K1372" s="99" t="n">
        <f aca="false">MIN(MAX(0,K160-K766-K1069),K160*CPR*MAX(0,MIN(9,'Loan Tape'!$AV156)-8))</f>
        <v>0</v>
      </c>
      <c r="L1372" s="99" t="n">
        <f aca="false">MIN(MAX(0,L160-L766-L1069),L160*CPR*MAX(0,MIN(10,'Loan Tape'!$AV156)-9))</f>
        <v>0</v>
      </c>
    </row>
    <row r="1373" customFormat="false" ht="15" hidden="false" customHeight="false" outlineLevel="0" collapsed="false">
      <c r="B1373" s="108" t="n">
        <f aca="false">'Loan Tape'!$A157</f>
        <v>0</v>
      </c>
      <c r="C1373" s="71" t="n">
        <f aca="false">MIN(MAX(0,C161-C767-C1070),C161*CPR*MAX(0,MIN(1,'Loan Tape'!$AV157)-0))</f>
        <v>0</v>
      </c>
      <c r="D1373" s="71" t="n">
        <f aca="false">MIN(MAX(0,D161-D767-D1070),D161*CPR*MAX(0,MIN(2,'Loan Tape'!$AV157)-1))</f>
        <v>0</v>
      </c>
      <c r="E1373" s="71" t="n">
        <f aca="false">MIN(MAX(0,E161-E767-E1070),E161*CPR*MAX(0,MIN(3,'Loan Tape'!$AV157)-2))</f>
        <v>0</v>
      </c>
      <c r="F1373" s="71" t="n">
        <f aca="false">MIN(MAX(0,F161-F767-F1070),F161*CPR*MAX(0,MIN(4,'Loan Tape'!$AV157)-3))</f>
        <v>0</v>
      </c>
      <c r="G1373" s="71" t="n">
        <f aca="false">MIN(MAX(0,G161-G767-G1070),G161*CPR*MAX(0,MIN(5,'Loan Tape'!$AV157)-4))</f>
        <v>0</v>
      </c>
      <c r="H1373" s="71" t="n">
        <f aca="false">MIN(MAX(0,H161-H767-H1070),H161*CPR*MAX(0,MIN(6,'Loan Tape'!$AV157)-5))</f>
        <v>0</v>
      </c>
      <c r="I1373" s="71" t="n">
        <f aca="false">MIN(MAX(0,I161-I767-I1070),I161*CPR*MAX(0,MIN(7,'Loan Tape'!$AV157)-6))</f>
        <v>0</v>
      </c>
      <c r="J1373" s="71" t="n">
        <f aca="false">MIN(MAX(0,J161-J767-J1070),J161*CPR*MAX(0,MIN(8,'Loan Tape'!$AV157)-7))</f>
        <v>0</v>
      </c>
      <c r="K1373" s="71" t="n">
        <f aca="false">MIN(MAX(0,K161-K767-K1070),K161*CPR*MAX(0,MIN(9,'Loan Tape'!$AV157)-8))</f>
        <v>0</v>
      </c>
      <c r="L1373" s="71" t="n">
        <f aca="false">MIN(MAX(0,L161-L767-L1070),L161*CPR*MAX(0,MIN(10,'Loan Tape'!$AV157)-9))</f>
        <v>0</v>
      </c>
    </row>
    <row r="1374" customFormat="false" ht="15" hidden="false" customHeight="false" outlineLevel="0" collapsed="false">
      <c r="B1374" s="102" t="n">
        <f aca="false">'Loan Tape'!$A158</f>
        <v>0</v>
      </c>
      <c r="C1374" s="99" t="n">
        <f aca="false">MIN(MAX(0,C162-C768-C1071),C162*CPR*MAX(0,MIN(1,'Loan Tape'!$AV158)-0))</f>
        <v>0</v>
      </c>
      <c r="D1374" s="99" t="n">
        <f aca="false">MIN(MAX(0,D162-D768-D1071),D162*CPR*MAX(0,MIN(2,'Loan Tape'!$AV158)-1))</f>
        <v>0</v>
      </c>
      <c r="E1374" s="99" t="n">
        <f aca="false">MIN(MAX(0,E162-E768-E1071),E162*CPR*MAX(0,MIN(3,'Loan Tape'!$AV158)-2))</f>
        <v>0</v>
      </c>
      <c r="F1374" s="99" t="n">
        <f aca="false">MIN(MAX(0,F162-F768-F1071),F162*CPR*MAX(0,MIN(4,'Loan Tape'!$AV158)-3))</f>
        <v>0</v>
      </c>
      <c r="G1374" s="99" t="n">
        <f aca="false">MIN(MAX(0,G162-G768-G1071),G162*CPR*MAX(0,MIN(5,'Loan Tape'!$AV158)-4))</f>
        <v>0</v>
      </c>
      <c r="H1374" s="99" t="n">
        <f aca="false">MIN(MAX(0,H162-H768-H1071),H162*CPR*MAX(0,MIN(6,'Loan Tape'!$AV158)-5))</f>
        <v>0</v>
      </c>
      <c r="I1374" s="99" t="n">
        <f aca="false">MIN(MAX(0,I162-I768-I1071),I162*CPR*MAX(0,MIN(7,'Loan Tape'!$AV158)-6))</f>
        <v>0</v>
      </c>
      <c r="J1374" s="99" t="n">
        <f aca="false">MIN(MAX(0,J162-J768-J1071),J162*CPR*MAX(0,MIN(8,'Loan Tape'!$AV158)-7))</f>
        <v>0</v>
      </c>
      <c r="K1374" s="99" t="n">
        <f aca="false">MIN(MAX(0,K162-K768-K1071),K162*CPR*MAX(0,MIN(9,'Loan Tape'!$AV158)-8))</f>
        <v>0</v>
      </c>
      <c r="L1374" s="99" t="n">
        <f aca="false">MIN(MAX(0,L162-L768-L1071),L162*CPR*MAX(0,MIN(10,'Loan Tape'!$AV158)-9))</f>
        <v>0</v>
      </c>
    </row>
    <row r="1375" customFormat="false" ht="15" hidden="false" customHeight="false" outlineLevel="0" collapsed="false">
      <c r="B1375" s="108" t="n">
        <f aca="false">'Loan Tape'!$A159</f>
        <v>0</v>
      </c>
      <c r="C1375" s="71" t="n">
        <f aca="false">MIN(MAX(0,C163-C769-C1072),C163*CPR*MAX(0,MIN(1,'Loan Tape'!$AV159)-0))</f>
        <v>0</v>
      </c>
      <c r="D1375" s="71" t="n">
        <f aca="false">MIN(MAX(0,D163-D769-D1072),D163*CPR*MAX(0,MIN(2,'Loan Tape'!$AV159)-1))</f>
        <v>0</v>
      </c>
      <c r="E1375" s="71" t="n">
        <f aca="false">MIN(MAX(0,E163-E769-E1072),E163*CPR*MAX(0,MIN(3,'Loan Tape'!$AV159)-2))</f>
        <v>0</v>
      </c>
      <c r="F1375" s="71" t="n">
        <f aca="false">MIN(MAX(0,F163-F769-F1072),F163*CPR*MAX(0,MIN(4,'Loan Tape'!$AV159)-3))</f>
        <v>0</v>
      </c>
      <c r="G1375" s="71" t="n">
        <f aca="false">MIN(MAX(0,G163-G769-G1072),G163*CPR*MAX(0,MIN(5,'Loan Tape'!$AV159)-4))</f>
        <v>0</v>
      </c>
      <c r="H1375" s="71" t="n">
        <f aca="false">MIN(MAX(0,H163-H769-H1072),H163*CPR*MAX(0,MIN(6,'Loan Tape'!$AV159)-5))</f>
        <v>0</v>
      </c>
      <c r="I1375" s="71" t="n">
        <f aca="false">MIN(MAX(0,I163-I769-I1072),I163*CPR*MAX(0,MIN(7,'Loan Tape'!$AV159)-6))</f>
        <v>0</v>
      </c>
      <c r="J1375" s="71" t="n">
        <f aca="false">MIN(MAX(0,J163-J769-J1072),J163*CPR*MAX(0,MIN(8,'Loan Tape'!$AV159)-7))</f>
        <v>0</v>
      </c>
      <c r="K1375" s="71" t="n">
        <f aca="false">MIN(MAX(0,K163-K769-K1072),K163*CPR*MAX(0,MIN(9,'Loan Tape'!$AV159)-8))</f>
        <v>0</v>
      </c>
      <c r="L1375" s="71" t="n">
        <f aca="false">MIN(MAX(0,L163-L769-L1072),L163*CPR*MAX(0,MIN(10,'Loan Tape'!$AV159)-9))</f>
        <v>0</v>
      </c>
    </row>
    <row r="1376" customFormat="false" ht="15" hidden="false" customHeight="false" outlineLevel="0" collapsed="false">
      <c r="B1376" s="102" t="n">
        <f aca="false">'Loan Tape'!$A160</f>
        <v>0</v>
      </c>
      <c r="C1376" s="99" t="n">
        <f aca="false">MIN(MAX(0,C164-C770-C1073),C164*CPR*MAX(0,MIN(1,'Loan Tape'!$AV160)-0))</f>
        <v>0</v>
      </c>
      <c r="D1376" s="99" t="n">
        <f aca="false">MIN(MAX(0,D164-D770-D1073),D164*CPR*MAX(0,MIN(2,'Loan Tape'!$AV160)-1))</f>
        <v>0</v>
      </c>
      <c r="E1376" s="99" t="n">
        <f aca="false">MIN(MAX(0,E164-E770-E1073),E164*CPR*MAX(0,MIN(3,'Loan Tape'!$AV160)-2))</f>
        <v>0</v>
      </c>
      <c r="F1376" s="99" t="n">
        <f aca="false">MIN(MAX(0,F164-F770-F1073),F164*CPR*MAX(0,MIN(4,'Loan Tape'!$AV160)-3))</f>
        <v>0</v>
      </c>
      <c r="G1376" s="99" t="n">
        <f aca="false">MIN(MAX(0,G164-G770-G1073),G164*CPR*MAX(0,MIN(5,'Loan Tape'!$AV160)-4))</f>
        <v>0</v>
      </c>
      <c r="H1376" s="99" t="n">
        <f aca="false">MIN(MAX(0,H164-H770-H1073),H164*CPR*MAX(0,MIN(6,'Loan Tape'!$AV160)-5))</f>
        <v>0</v>
      </c>
      <c r="I1376" s="99" t="n">
        <f aca="false">MIN(MAX(0,I164-I770-I1073),I164*CPR*MAX(0,MIN(7,'Loan Tape'!$AV160)-6))</f>
        <v>0</v>
      </c>
      <c r="J1376" s="99" t="n">
        <f aca="false">MIN(MAX(0,J164-J770-J1073),J164*CPR*MAX(0,MIN(8,'Loan Tape'!$AV160)-7))</f>
        <v>0</v>
      </c>
      <c r="K1376" s="99" t="n">
        <f aca="false">MIN(MAX(0,K164-K770-K1073),K164*CPR*MAX(0,MIN(9,'Loan Tape'!$AV160)-8))</f>
        <v>0</v>
      </c>
      <c r="L1376" s="99" t="n">
        <f aca="false">MIN(MAX(0,L164-L770-L1073),L164*CPR*MAX(0,MIN(10,'Loan Tape'!$AV160)-9))</f>
        <v>0</v>
      </c>
    </row>
    <row r="1377" customFormat="false" ht="15" hidden="false" customHeight="false" outlineLevel="0" collapsed="false">
      <c r="B1377" s="108" t="n">
        <f aca="false">'Loan Tape'!$A161</f>
        <v>0</v>
      </c>
      <c r="C1377" s="71" t="n">
        <f aca="false">MIN(MAX(0,C165-C771-C1074),C165*CPR*MAX(0,MIN(1,'Loan Tape'!$AV161)-0))</f>
        <v>0</v>
      </c>
      <c r="D1377" s="71" t="n">
        <f aca="false">MIN(MAX(0,D165-D771-D1074),D165*CPR*MAX(0,MIN(2,'Loan Tape'!$AV161)-1))</f>
        <v>0</v>
      </c>
      <c r="E1377" s="71" t="n">
        <f aca="false">MIN(MAX(0,E165-E771-E1074),E165*CPR*MAX(0,MIN(3,'Loan Tape'!$AV161)-2))</f>
        <v>0</v>
      </c>
      <c r="F1377" s="71" t="n">
        <f aca="false">MIN(MAX(0,F165-F771-F1074),F165*CPR*MAX(0,MIN(4,'Loan Tape'!$AV161)-3))</f>
        <v>0</v>
      </c>
      <c r="G1377" s="71" t="n">
        <f aca="false">MIN(MAX(0,G165-G771-G1074),G165*CPR*MAX(0,MIN(5,'Loan Tape'!$AV161)-4))</f>
        <v>0</v>
      </c>
      <c r="H1377" s="71" t="n">
        <f aca="false">MIN(MAX(0,H165-H771-H1074),H165*CPR*MAX(0,MIN(6,'Loan Tape'!$AV161)-5))</f>
        <v>0</v>
      </c>
      <c r="I1377" s="71" t="n">
        <f aca="false">MIN(MAX(0,I165-I771-I1074),I165*CPR*MAX(0,MIN(7,'Loan Tape'!$AV161)-6))</f>
        <v>0</v>
      </c>
      <c r="J1377" s="71" t="n">
        <f aca="false">MIN(MAX(0,J165-J771-J1074),J165*CPR*MAX(0,MIN(8,'Loan Tape'!$AV161)-7))</f>
        <v>0</v>
      </c>
      <c r="K1377" s="71" t="n">
        <f aca="false">MIN(MAX(0,K165-K771-K1074),K165*CPR*MAX(0,MIN(9,'Loan Tape'!$AV161)-8))</f>
        <v>0</v>
      </c>
      <c r="L1377" s="71" t="n">
        <f aca="false">MIN(MAX(0,L165-L771-L1074),L165*CPR*MAX(0,MIN(10,'Loan Tape'!$AV161)-9))</f>
        <v>0</v>
      </c>
    </row>
    <row r="1378" customFormat="false" ht="15" hidden="false" customHeight="false" outlineLevel="0" collapsed="false">
      <c r="B1378" s="102" t="n">
        <f aca="false">'Loan Tape'!$A162</f>
        <v>0</v>
      </c>
      <c r="C1378" s="99" t="n">
        <f aca="false">MIN(MAX(0,C166-C772-C1075),C166*CPR*MAX(0,MIN(1,'Loan Tape'!$AV162)-0))</f>
        <v>0</v>
      </c>
      <c r="D1378" s="99" t="n">
        <f aca="false">MIN(MAX(0,D166-D772-D1075),D166*CPR*MAX(0,MIN(2,'Loan Tape'!$AV162)-1))</f>
        <v>0</v>
      </c>
      <c r="E1378" s="99" t="n">
        <f aca="false">MIN(MAX(0,E166-E772-E1075),E166*CPR*MAX(0,MIN(3,'Loan Tape'!$AV162)-2))</f>
        <v>0</v>
      </c>
      <c r="F1378" s="99" t="n">
        <f aca="false">MIN(MAX(0,F166-F772-F1075),F166*CPR*MAX(0,MIN(4,'Loan Tape'!$AV162)-3))</f>
        <v>0</v>
      </c>
      <c r="G1378" s="99" t="n">
        <f aca="false">MIN(MAX(0,G166-G772-G1075),G166*CPR*MAX(0,MIN(5,'Loan Tape'!$AV162)-4))</f>
        <v>0</v>
      </c>
      <c r="H1378" s="99" t="n">
        <f aca="false">MIN(MAX(0,H166-H772-H1075),H166*CPR*MAX(0,MIN(6,'Loan Tape'!$AV162)-5))</f>
        <v>0</v>
      </c>
      <c r="I1378" s="99" t="n">
        <f aca="false">MIN(MAX(0,I166-I772-I1075),I166*CPR*MAX(0,MIN(7,'Loan Tape'!$AV162)-6))</f>
        <v>0</v>
      </c>
      <c r="J1378" s="99" t="n">
        <f aca="false">MIN(MAX(0,J166-J772-J1075),J166*CPR*MAX(0,MIN(8,'Loan Tape'!$AV162)-7))</f>
        <v>0</v>
      </c>
      <c r="K1378" s="99" t="n">
        <f aca="false">MIN(MAX(0,K166-K772-K1075),K166*CPR*MAX(0,MIN(9,'Loan Tape'!$AV162)-8))</f>
        <v>0</v>
      </c>
      <c r="L1378" s="99" t="n">
        <f aca="false">MIN(MAX(0,L166-L772-L1075),L166*CPR*MAX(0,MIN(10,'Loan Tape'!$AV162)-9))</f>
        <v>0</v>
      </c>
    </row>
    <row r="1379" customFormat="false" ht="15" hidden="false" customHeight="false" outlineLevel="0" collapsed="false">
      <c r="B1379" s="108" t="n">
        <f aca="false">'Loan Tape'!$A163</f>
        <v>0</v>
      </c>
      <c r="C1379" s="71" t="n">
        <f aca="false">MIN(MAX(0,C167-C773-C1076),C167*CPR*MAX(0,MIN(1,'Loan Tape'!$AV163)-0))</f>
        <v>0</v>
      </c>
      <c r="D1379" s="71" t="n">
        <f aca="false">MIN(MAX(0,D167-D773-D1076),D167*CPR*MAX(0,MIN(2,'Loan Tape'!$AV163)-1))</f>
        <v>0</v>
      </c>
      <c r="E1379" s="71" t="n">
        <f aca="false">MIN(MAX(0,E167-E773-E1076),E167*CPR*MAX(0,MIN(3,'Loan Tape'!$AV163)-2))</f>
        <v>0</v>
      </c>
      <c r="F1379" s="71" t="n">
        <f aca="false">MIN(MAX(0,F167-F773-F1076),F167*CPR*MAX(0,MIN(4,'Loan Tape'!$AV163)-3))</f>
        <v>0</v>
      </c>
      <c r="G1379" s="71" t="n">
        <f aca="false">MIN(MAX(0,G167-G773-G1076),G167*CPR*MAX(0,MIN(5,'Loan Tape'!$AV163)-4))</f>
        <v>0</v>
      </c>
      <c r="H1379" s="71" t="n">
        <f aca="false">MIN(MAX(0,H167-H773-H1076),H167*CPR*MAX(0,MIN(6,'Loan Tape'!$AV163)-5))</f>
        <v>0</v>
      </c>
      <c r="I1379" s="71" t="n">
        <f aca="false">MIN(MAX(0,I167-I773-I1076),I167*CPR*MAX(0,MIN(7,'Loan Tape'!$AV163)-6))</f>
        <v>0</v>
      </c>
      <c r="J1379" s="71" t="n">
        <f aca="false">MIN(MAX(0,J167-J773-J1076),J167*CPR*MAX(0,MIN(8,'Loan Tape'!$AV163)-7))</f>
        <v>0</v>
      </c>
      <c r="K1379" s="71" t="n">
        <f aca="false">MIN(MAX(0,K167-K773-K1076),K167*CPR*MAX(0,MIN(9,'Loan Tape'!$AV163)-8))</f>
        <v>0</v>
      </c>
      <c r="L1379" s="71" t="n">
        <f aca="false">MIN(MAX(0,L167-L773-L1076),L167*CPR*MAX(0,MIN(10,'Loan Tape'!$AV163)-9))</f>
        <v>0</v>
      </c>
    </row>
    <row r="1380" customFormat="false" ht="15" hidden="false" customHeight="false" outlineLevel="0" collapsed="false">
      <c r="B1380" s="102" t="n">
        <f aca="false">'Loan Tape'!$A164</f>
        <v>0</v>
      </c>
      <c r="C1380" s="99" t="n">
        <f aca="false">MIN(MAX(0,C168-C774-C1077),C168*CPR*MAX(0,MIN(1,'Loan Tape'!$AV164)-0))</f>
        <v>0</v>
      </c>
      <c r="D1380" s="99" t="n">
        <f aca="false">MIN(MAX(0,D168-D774-D1077),D168*CPR*MAX(0,MIN(2,'Loan Tape'!$AV164)-1))</f>
        <v>0</v>
      </c>
      <c r="E1380" s="99" t="n">
        <f aca="false">MIN(MAX(0,E168-E774-E1077),E168*CPR*MAX(0,MIN(3,'Loan Tape'!$AV164)-2))</f>
        <v>0</v>
      </c>
      <c r="F1380" s="99" t="n">
        <f aca="false">MIN(MAX(0,F168-F774-F1077),F168*CPR*MAX(0,MIN(4,'Loan Tape'!$AV164)-3))</f>
        <v>0</v>
      </c>
      <c r="G1380" s="99" t="n">
        <f aca="false">MIN(MAX(0,G168-G774-G1077),G168*CPR*MAX(0,MIN(5,'Loan Tape'!$AV164)-4))</f>
        <v>0</v>
      </c>
      <c r="H1380" s="99" t="n">
        <f aca="false">MIN(MAX(0,H168-H774-H1077),H168*CPR*MAX(0,MIN(6,'Loan Tape'!$AV164)-5))</f>
        <v>0</v>
      </c>
      <c r="I1380" s="99" t="n">
        <f aca="false">MIN(MAX(0,I168-I774-I1077),I168*CPR*MAX(0,MIN(7,'Loan Tape'!$AV164)-6))</f>
        <v>0</v>
      </c>
      <c r="J1380" s="99" t="n">
        <f aca="false">MIN(MAX(0,J168-J774-J1077),J168*CPR*MAX(0,MIN(8,'Loan Tape'!$AV164)-7))</f>
        <v>0</v>
      </c>
      <c r="K1380" s="99" t="n">
        <f aca="false">MIN(MAX(0,K168-K774-K1077),K168*CPR*MAX(0,MIN(9,'Loan Tape'!$AV164)-8))</f>
        <v>0</v>
      </c>
      <c r="L1380" s="99" t="n">
        <f aca="false">MIN(MAX(0,L168-L774-L1077),L168*CPR*MAX(0,MIN(10,'Loan Tape'!$AV164)-9))</f>
        <v>0</v>
      </c>
    </row>
    <row r="1381" customFormat="false" ht="15" hidden="false" customHeight="false" outlineLevel="0" collapsed="false">
      <c r="B1381" s="108" t="n">
        <f aca="false">'Loan Tape'!$A165</f>
        <v>0</v>
      </c>
      <c r="C1381" s="71" t="n">
        <f aca="false">MIN(MAX(0,C169-C775-C1078),C169*CPR*MAX(0,MIN(1,'Loan Tape'!$AV165)-0))</f>
        <v>0</v>
      </c>
      <c r="D1381" s="71" t="n">
        <f aca="false">MIN(MAX(0,D169-D775-D1078),D169*CPR*MAX(0,MIN(2,'Loan Tape'!$AV165)-1))</f>
        <v>0</v>
      </c>
      <c r="E1381" s="71" t="n">
        <f aca="false">MIN(MAX(0,E169-E775-E1078),E169*CPR*MAX(0,MIN(3,'Loan Tape'!$AV165)-2))</f>
        <v>0</v>
      </c>
      <c r="F1381" s="71" t="n">
        <f aca="false">MIN(MAX(0,F169-F775-F1078),F169*CPR*MAX(0,MIN(4,'Loan Tape'!$AV165)-3))</f>
        <v>0</v>
      </c>
      <c r="G1381" s="71" t="n">
        <f aca="false">MIN(MAX(0,G169-G775-G1078),G169*CPR*MAX(0,MIN(5,'Loan Tape'!$AV165)-4))</f>
        <v>0</v>
      </c>
      <c r="H1381" s="71" t="n">
        <f aca="false">MIN(MAX(0,H169-H775-H1078),H169*CPR*MAX(0,MIN(6,'Loan Tape'!$AV165)-5))</f>
        <v>0</v>
      </c>
      <c r="I1381" s="71" t="n">
        <f aca="false">MIN(MAX(0,I169-I775-I1078),I169*CPR*MAX(0,MIN(7,'Loan Tape'!$AV165)-6))</f>
        <v>0</v>
      </c>
      <c r="J1381" s="71" t="n">
        <f aca="false">MIN(MAX(0,J169-J775-J1078),J169*CPR*MAX(0,MIN(8,'Loan Tape'!$AV165)-7))</f>
        <v>0</v>
      </c>
      <c r="K1381" s="71" t="n">
        <f aca="false">MIN(MAX(0,K169-K775-K1078),K169*CPR*MAX(0,MIN(9,'Loan Tape'!$AV165)-8))</f>
        <v>0</v>
      </c>
      <c r="L1381" s="71" t="n">
        <f aca="false">MIN(MAX(0,L169-L775-L1078),L169*CPR*MAX(0,MIN(10,'Loan Tape'!$AV165)-9))</f>
        <v>0</v>
      </c>
    </row>
    <row r="1382" customFormat="false" ht="15" hidden="false" customHeight="false" outlineLevel="0" collapsed="false">
      <c r="B1382" s="102" t="n">
        <f aca="false">'Loan Tape'!$A166</f>
        <v>0</v>
      </c>
      <c r="C1382" s="99" t="n">
        <f aca="false">MIN(MAX(0,C170-C776-C1079),C170*CPR*MAX(0,MIN(1,'Loan Tape'!$AV166)-0))</f>
        <v>0</v>
      </c>
      <c r="D1382" s="99" t="n">
        <f aca="false">MIN(MAX(0,D170-D776-D1079),D170*CPR*MAX(0,MIN(2,'Loan Tape'!$AV166)-1))</f>
        <v>0</v>
      </c>
      <c r="E1382" s="99" t="n">
        <f aca="false">MIN(MAX(0,E170-E776-E1079),E170*CPR*MAX(0,MIN(3,'Loan Tape'!$AV166)-2))</f>
        <v>0</v>
      </c>
      <c r="F1382" s="99" t="n">
        <f aca="false">MIN(MAX(0,F170-F776-F1079),F170*CPR*MAX(0,MIN(4,'Loan Tape'!$AV166)-3))</f>
        <v>0</v>
      </c>
      <c r="G1382" s="99" t="n">
        <f aca="false">MIN(MAX(0,G170-G776-G1079),G170*CPR*MAX(0,MIN(5,'Loan Tape'!$AV166)-4))</f>
        <v>0</v>
      </c>
      <c r="H1382" s="99" t="n">
        <f aca="false">MIN(MAX(0,H170-H776-H1079),H170*CPR*MAX(0,MIN(6,'Loan Tape'!$AV166)-5))</f>
        <v>0</v>
      </c>
      <c r="I1382" s="99" t="n">
        <f aca="false">MIN(MAX(0,I170-I776-I1079),I170*CPR*MAX(0,MIN(7,'Loan Tape'!$AV166)-6))</f>
        <v>0</v>
      </c>
      <c r="J1382" s="99" t="n">
        <f aca="false">MIN(MAX(0,J170-J776-J1079),J170*CPR*MAX(0,MIN(8,'Loan Tape'!$AV166)-7))</f>
        <v>0</v>
      </c>
      <c r="K1382" s="99" t="n">
        <f aca="false">MIN(MAX(0,K170-K776-K1079),K170*CPR*MAX(0,MIN(9,'Loan Tape'!$AV166)-8))</f>
        <v>0</v>
      </c>
      <c r="L1382" s="99" t="n">
        <f aca="false">MIN(MAX(0,L170-L776-L1079),L170*CPR*MAX(0,MIN(10,'Loan Tape'!$AV166)-9))</f>
        <v>0</v>
      </c>
    </row>
    <row r="1383" customFormat="false" ht="15" hidden="false" customHeight="false" outlineLevel="0" collapsed="false">
      <c r="B1383" s="108" t="n">
        <f aca="false">'Loan Tape'!$A167</f>
        <v>0</v>
      </c>
      <c r="C1383" s="71" t="n">
        <f aca="false">MIN(MAX(0,C171-C777-C1080),C171*CPR*MAX(0,MIN(1,'Loan Tape'!$AV167)-0))</f>
        <v>0</v>
      </c>
      <c r="D1383" s="71" t="n">
        <f aca="false">MIN(MAX(0,D171-D777-D1080),D171*CPR*MAX(0,MIN(2,'Loan Tape'!$AV167)-1))</f>
        <v>0</v>
      </c>
      <c r="E1383" s="71" t="n">
        <f aca="false">MIN(MAX(0,E171-E777-E1080),E171*CPR*MAX(0,MIN(3,'Loan Tape'!$AV167)-2))</f>
        <v>0</v>
      </c>
      <c r="F1383" s="71" t="n">
        <f aca="false">MIN(MAX(0,F171-F777-F1080),F171*CPR*MAX(0,MIN(4,'Loan Tape'!$AV167)-3))</f>
        <v>0</v>
      </c>
      <c r="G1383" s="71" t="n">
        <f aca="false">MIN(MAX(0,G171-G777-G1080),G171*CPR*MAX(0,MIN(5,'Loan Tape'!$AV167)-4))</f>
        <v>0</v>
      </c>
      <c r="H1383" s="71" t="n">
        <f aca="false">MIN(MAX(0,H171-H777-H1080),H171*CPR*MAX(0,MIN(6,'Loan Tape'!$AV167)-5))</f>
        <v>0</v>
      </c>
      <c r="I1383" s="71" t="n">
        <f aca="false">MIN(MAX(0,I171-I777-I1080),I171*CPR*MAX(0,MIN(7,'Loan Tape'!$AV167)-6))</f>
        <v>0</v>
      </c>
      <c r="J1383" s="71" t="n">
        <f aca="false">MIN(MAX(0,J171-J777-J1080),J171*CPR*MAX(0,MIN(8,'Loan Tape'!$AV167)-7))</f>
        <v>0</v>
      </c>
      <c r="K1383" s="71" t="n">
        <f aca="false">MIN(MAX(0,K171-K777-K1080),K171*CPR*MAX(0,MIN(9,'Loan Tape'!$AV167)-8))</f>
        <v>0</v>
      </c>
      <c r="L1383" s="71" t="n">
        <f aca="false">MIN(MAX(0,L171-L777-L1080),L171*CPR*MAX(0,MIN(10,'Loan Tape'!$AV167)-9))</f>
        <v>0</v>
      </c>
    </row>
    <row r="1384" customFormat="false" ht="15" hidden="false" customHeight="false" outlineLevel="0" collapsed="false">
      <c r="B1384" s="102" t="n">
        <f aca="false">'Loan Tape'!$A168</f>
        <v>0</v>
      </c>
      <c r="C1384" s="99" t="n">
        <f aca="false">MIN(MAX(0,C172-C778-C1081),C172*CPR*MAX(0,MIN(1,'Loan Tape'!$AV168)-0))</f>
        <v>0</v>
      </c>
      <c r="D1384" s="99" t="n">
        <f aca="false">MIN(MAX(0,D172-D778-D1081),D172*CPR*MAX(0,MIN(2,'Loan Tape'!$AV168)-1))</f>
        <v>0</v>
      </c>
      <c r="E1384" s="99" t="n">
        <f aca="false">MIN(MAX(0,E172-E778-E1081),E172*CPR*MAX(0,MIN(3,'Loan Tape'!$AV168)-2))</f>
        <v>0</v>
      </c>
      <c r="F1384" s="99" t="n">
        <f aca="false">MIN(MAX(0,F172-F778-F1081),F172*CPR*MAX(0,MIN(4,'Loan Tape'!$AV168)-3))</f>
        <v>0</v>
      </c>
      <c r="G1384" s="99" t="n">
        <f aca="false">MIN(MAX(0,G172-G778-G1081),G172*CPR*MAX(0,MIN(5,'Loan Tape'!$AV168)-4))</f>
        <v>0</v>
      </c>
      <c r="H1384" s="99" t="n">
        <f aca="false">MIN(MAX(0,H172-H778-H1081),H172*CPR*MAX(0,MIN(6,'Loan Tape'!$AV168)-5))</f>
        <v>0</v>
      </c>
      <c r="I1384" s="99" t="n">
        <f aca="false">MIN(MAX(0,I172-I778-I1081),I172*CPR*MAX(0,MIN(7,'Loan Tape'!$AV168)-6))</f>
        <v>0</v>
      </c>
      <c r="J1384" s="99" t="n">
        <f aca="false">MIN(MAX(0,J172-J778-J1081),J172*CPR*MAX(0,MIN(8,'Loan Tape'!$AV168)-7))</f>
        <v>0</v>
      </c>
      <c r="K1384" s="99" t="n">
        <f aca="false">MIN(MAX(0,K172-K778-K1081),K172*CPR*MAX(0,MIN(9,'Loan Tape'!$AV168)-8))</f>
        <v>0</v>
      </c>
      <c r="L1384" s="99" t="n">
        <f aca="false">MIN(MAX(0,L172-L778-L1081),L172*CPR*MAX(0,MIN(10,'Loan Tape'!$AV168)-9))</f>
        <v>0</v>
      </c>
    </row>
    <row r="1385" customFormat="false" ht="15" hidden="false" customHeight="false" outlineLevel="0" collapsed="false">
      <c r="B1385" s="108" t="n">
        <f aca="false">'Loan Tape'!$A169</f>
        <v>0</v>
      </c>
      <c r="C1385" s="71" t="n">
        <f aca="false">MIN(MAX(0,C173-C779-C1082),C173*CPR*MAX(0,MIN(1,'Loan Tape'!$AV169)-0))</f>
        <v>0</v>
      </c>
      <c r="D1385" s="71" t="n">
        <f aca="false">MIN(MAX(0,D173-D779-D1082),D173*CPR*MAX(0,MIN(2,'Loan Tape'!$AV169)-1))</f>
        <v>0</v>
      </c>
      <c r="E1385" s="71" t="n">
        <f aca="false">MIN(MAX(0,E173-E779-E1082),E173*CPR*MAX(0,MIN(3,'Loan Tape'!$AV169)-2))</f>
        <v>0</v>
      </c>
      <c r="F1385" s="71" t="n">
        <f aca="false">MIN(MAX(0,F173-F779-F1082),F173*CPR*MAX(0,MIN(4,'Loan Tape'!$AV169)-3))</f>
        <v>0</v>
      </c>
      <c r="G1385" s="71" t="n">
        <f aca="false">MIN(MAX(0,G173-G779-G1082),G173*CPR*MAX(0,MIN(5,'Loan Tape'!$AV169)-4))</f>
        <v>0</v>
      </c>
      <c r="H1385" s="71" t="n">
        <f aca="false">MIN(MAX(0,H173-H779-H1082),H173*CPR*MAX(0,MIN(6,'Loan Tape'!$AV169)-5))</f>
        <v>0</v>
      </c>
      <c r="I1385" s="71" t="n">
        <f aca="false">MIN(MAX(0,I173-I779-I1082),I173*CPR*MAX(0,MIN(7,'Loan Tape'!$AV169)-6))</f>
        <v>0</v>
      </c>
      <c r="J1385" s="71" t="n">
        <f aca="false">MIN(MAX(0,J173-J779-J1082),J173*CPR*MAX(0,MIN(8,'Loan Tape'!$AV169)-7))</f>
        <v>0</v>
      </c>
      <c r="K1385" s="71" t="n">
        <f aca="false">MIN(MAX(0,K173-K779-K1082),K173*CPR*MAX(0,MIN(9,'Loan Tape'!$AV169)-8))</f>
        <v>0</v>
      </c>
      <c r="L1385" s="71" t="n">
        <f aca="false">MIN(MAX(0,L173-L779-L1082),L173*CPR*MAX(0,MIN(10,'Loan Tape'!$AV169)-9))</f>
        <v>0</v>
      </c>
    </row>
    <row r="1386" customFormat="false" ht="15" hidden="false" customHeight="false" outlineLevel="0" collapsed="false">
      <c r="B1386" s="102" t="n">
        <f aca="false">'Loan Tape'!$A170</f>
        <v>0</v>
      </c>
      <c r="C1386" s="99" t="n">
        <f aca="false">MIN(MAX(0,C174-C780-C1083),C174*CPR*MAX(0,MIN(1,'Loan Tape'!$AV170)-0))</f>
        <v>0</v>
      </c>
      <c r="D1386" s="99" t="n">
        <f aca="false">MIN(MAX(0,D174-D780-D1083),D174*CPR*MAX(0,MIN(2,'Loan Tape'!$AV170)-1))</f>
        <v>0</v>
      </c>
      <c r="E1386" s="99" t="n">
        <f aca="false">MIN(MAX(0,E174-E780-E1083),E174*CPR*MAX(0,MIN(3,'Loan Tape'!$AV170)-2))</f>
        <v>0</v>
      </c>
      <c r="F1386" s="99" t="n">
        <f aca="false">MIN(MAX(0,F174-F780-F1083),F174*CPR*MAX(0,MIN(4,'Loan Tape'!$AV170)-3))</f>
        <v>0</v>
      </c>
      <c r="G1386" s="99" t="n">
        <f aca="false">MIN(MAX(0,G174-G780-G1083),G174*CPR*MAX(0,MIN(5,'Loan Tape'!$AV170)-4))</f>
        <v>0</v>
      </c>
      <c r="H1386" s="99" t="n">
        <f aca="false">MIN(MAX(0,H174-H780-H1083),H174*CPR*MAX(0,MIN(6,'Loan Tape'!$AV170)-5))</f>
        <v>0</v>
      </c>
      <c r="I1386" s="99" t="n">
        <f aca="false">MIN(MAX(0,I174-I780-I1083),I174*CPR*MAX(0,MIN(7,'Loan Tape'!$AV170)-6))</f>
        <v>0</v>
      </c>
      <c r="J1386" s="99" t="n">
        <f aca="false">MIN(MAX(0,J174-J780-J1083),J174*CPR*MAX(0,MIN(8,'Loan Tape'!$AV170)-7))</f>
        <v>0</v>
      </c>
      <c r="K1386" s="99" t="n">
        <f aca="false">MIN(MAX(0,K174-K780-K1083),K174*CPR*MAX(0,MIN(9,'Loan Tape'!$AV170)-8))</f>
        <v>0</v>
      </c>
      <c r="L1386" s="99" t="n">
        <f aca="false">MIN(MAX(0,L174-L780-L1083),L174*CPR*MAX(0,MIN(10,'Loan Tape'!$AV170)-9))</f>
        <v>0</v>
      </c>
    </row>
    <row r="1387" customFormat="false" ht="15" hidden="false" customHeight="false" outlineLevel="0" collapsed="false">
      <c r="B1387" s="108" t="n">
        <f aca="false">'Loan Tape'!$A171</f>
        <v>0</v>
      </c>
      <c r="C1387" s="71" t="n">
        <f aca="false">MIN(MAX(0,C175-C781-C1084),C175*CPR*MAX(0,MIN(1,'Loan Tape'!$AV171)-0))</f>
        <v>0</v>
      </c>
      <c r="D1387" s="71" t="n">
        <f aca="false">MIN(MAX(0,D175-D781-D1084),D175*CPR*MAX(0,MIN(2,'Loan Tape'!$AV171)-1))</f>
        <v>0</v>
      </c>
      <c r="E1387" s="71" t="n">
        <f aca="false">MIN(MAX(0,E175-E781-E1084),E175*CPR*MAX(0,MIN(3,'Loan Tape'!$AV171)-2))</f>
        <v>0</v>
      </c>
      <c r="F1387" s="71" t="n">
        <f aca="false">MIN(MAX(0,F175-F781-F1084),F175*CPR*MAX(0,MIN(4,'Loan Tape'!$AV171)-3))</f>
        <v>0</v>
      </c>
      <c r="G1387" s="71" t="n">
        <f aca="false">MIN(MAX(0,G175-G781-G1084),G175*CPR*MAX(0,MIN(5,'Loan Tape'!$AV171)-4))</f>
        <v>0</v>
      </c>
      <c r="H1387" s="71" t="n">
        <f aca="false">MIN(MAX(0,H175-H781-H1084),H175*CPR*MAX(0,MIN(6,'Loan Tape'!$AV171)-5))</f>
        <v>0</v>
      </c>
      <c r="I1387" s="71" t="n">
        <f aca="false">MIN(MAX(0,I175-I781-I1084),I175*CPR*MAX(0,MIN(7,'Loan Tape'!$AV171)-6))</f>
        <v>0</v>
      </c>
      <c r="J1387" s="71" t="n">
        <f aca="false">MIN(MAX(0,J175-J781-J1084),J175*CPR*MAX(0,MIN(8,'Loan Tape'!$AV171)-7))</f>
        <v>0</v>
      </c>
      <c r="K1387" s="71" t="n">
        <f aca="false">MIN(MAX(0,K175-K781-K1084),K175*CPR*MAX(0,MIN(9,'Loan Tape'!$AV171)-8))</f>
        <v>0</v>
      </c>
      <c r="L1387" s="71" t="n">
        <f aca="false">MIN(MAX(0,L175-L781-L1084),L175*CPR*MAX(0,MIN(10,'Loan Tape'!$AV171)-9))</f>
        <v>0</v>
      </c>
    </row>
    <row r="1388" customFormat="false" ht="15" hidden="false" customHeight="false" outlineLevel="0" collapsed="false">
      <c r="B1388" s="102" t="n">
        <f aca="false">'Loan Tape'!$A172</f>
        <v>0</v>
      </c>
      <c r="C1388" s="99" t="n">
        <f aca="false">MIN(MAX(0,C176-C782-C1085),C176*CPR*MAX(0,MIN(1,'Loan Tape'!$AV172)-0))</f>
        <v>0</v>
      </c>
      <c r="D1388" s="99" t="n">
        <f aca="false">MIN(MAX(0,D176-D782-D1085),D176*CPR*MAX(0,MIN(2,'Loan Tape'!$AV172)-1))</f>
        <v>0</v>
      </c>
      <c r="E1388" s="99" t="n">
        <f aca="false">MIN(MAX(0,E176-E782-E1085),E176*CPR*MAX(0,MIN(3,'Loan Tape'!$AV172)-2))</f>
        <v>0</v>
      </c>
      <c r="F1388" s="99" t="n">
        <f aca="false">MIN(MAX(0,F176-F782-F1085),F176*CPR*MAX(0,MIN(4,'Loan Tape'!$AV172)-3))</f>
        <v>0</v>
      </c>
      <c r="G1388" s="99" t="n">
        <f aca="false">MIN(MAX(0,G176-G782-G1085),G176*CPR*MAX(0,MIN(5,'Loan Tape'!$AV172)-4))</f>
        <v>0</v>
      </c>
      <c r="H1388" s="99" t="n">
        <f aca="false">MIN(MAX(0,H176-H782-H1085),H176*CPR*MAX(0,MIN(6,'Loan Tape'!$AV172)-5))</f>
        <v>0</v>
      </c>
      <c r="I1388" s="99" t="n">
        <f aca="false">MIN(MAX(0,I176-I782-I1085),I176*CPR*MAX(0,MIN(7,'Loan Tape'!$AV172)-6))</f>
        <v>0</v>
      </c>
      <c r="J1388" s="99" t="n">
        <f aca="false">MIN(MAX(0,J176-J782-J1085),J176*CPR*MAX(0,MIN(8,'Loan Tape'!$AV172)-7))</f>
        <v>0</v>
      </c>
      <c r="K1388" s="99" t="n">
        <f aca="false">MIN(MAX(0,K176-K782-K1085),K176*CPR*MAX(0,MIN(9,'Loan Tape'!$AV172)-8))</f>
        <v>0</v>
      </c>
      <c r="L1388" s="99" t="n">
        <f aca="false">MIN(MAX(0,L176-L782-L1085),L176*CPR*MAX(0,MIN(10,'Loan Tape'!$AV172)-9))</f>
        <v>0</v>
      </c>
    </row>
    <row r="1389" customFormat="false" ht="15" hidden="false" customHeight="false" outlineLevel="0" collapsed="false">
      <c r="B1389" s="108" t="n">
        <f aca="false">'Loan Tape'!$A173</f>
        <v>0</v>
      </c>
      <c r="C1389" s="71" t="n">
        <f aca="false">MIN(MAX(0,C177-C783-C1086),C177*CPR*MAX(0,MIN(1,'Loan Tape'!$AV173)-0))</f>
        <v>0</v>
      </c>
      <c r="D1389" s="71" t="n">
        <f aca="false">MIN(MAX(0,D177-D783-D1086),D177*CPR*MAX(0,MIN(2,'Loan Tape'!$AV173)-1))</f>
        <v>0</v>
      </c>
      <c r="E1389" s="71" t="n">
        <f aca="false">MIN(MAX(0,E177-E783-E1086),E177*CPR*MAX(0,MIN(3,'Loan Tape'!$AV173)-2))</f>
        <v>0</v>
      </c>
      <c r="F1389" s="71" t="n">
        <f aca="false">MIN(MAX(0,F177-F783-F1086),F177*CPR*MAX(0,MIN(4,'Loan Tape'!$AV173)-3))</f>
        <v>0</v>
      </c>
      <c r="G1389" s="71" t="n">
        <f aca="false">MIN(MAX(0,G177-G783-G1086),G177*CPR*MAX(0,MIN(5,'Loan Tape'!$AV173)-4))</f>
        <v>0</v>
      </c>
      <c r="H1389" s="71" t="n">
        <f aca="false">MIN(MAX(0,H177-H783-H1086),H177*CPR*MAX(0,MIN(6,'Loan Tape'!$AV173)-5))</f>
        <v>0</v>
      </c>
      <c r="I1389" s="71" t="n">
        <f aca="false">MIN(MAX(0,I177-I783-I1086),I177*CPR*MAX(0,MIN(7,'Loan Tape'!$AV173)-6))</f>
        <v>0</v>
      </c>
      <c r="J1389" s="71" t="n">
        <f aca="false">MIN(MAX(0,J177-J783-J1086),J177*CPR*MAX(0,MIN(8,'Loan Tape'!$AV173)-7))</f>
        <v>0</v>
      </c>
      <c r="K1389" s="71" t="n">
        <f aca="false">MIN(MAX(0,K177-K783-K1086),K177*CPR*MAX(0,MIN(9,'Loan Tape'!$AV173)-8))</f>
        <v>0</v>
      </c>
      <c r="L1389" s="71" t="n">
        <f aca="false">MIN(MAX(0,L177-L783-L1086),L177*CPR*MAX(0,MIN(10,'Loan Tape'!$AV173)-9))</f>
        <v>0</v>
      </c>
    </row>
    <row r="1390" customFormat="false" ht="15" hidden="false" customHeight="false" outlineLevel="0" collapsed="false">
      <c r="B1390" s="102" t="n">
        <f aca="false">'Loan Tape'!$A174</f>
        <v>0</v>
      </c>
      <c r="C1390" s="99" t="n">
        <f aca="false">MIN(MAX(0,C178-C784-C1087),C178*CPR*MAX(0,MIN(1,'Loan Tape'!$AV174)-0))</f>
        <v>0</v>
      </c>
      <c r="D1390" s="99" t="n">
        <f aca="false">MIN(MAX(0,D178-D784-D1087),D178*CPR*MAX(0,MIN(2,'Loan Tape'!$AV174)-1))</f>
        <v>0</v>
      </c>
      <c r="E1390" s="99" t="n">
        <f aca="false">MIN(MAX(0,E178-E784-E1087),E178*CPR*MAX(0,MIN(3,'Loan Tape'!$AV174)-2))</f>
        <v>0</v>
      </c>
      <c r="F1390" s="99" t="n">
        <f aca="false">MIN(MAX(0,F178-F784-F1087),F178*CPR*MAX(0,MIN(4,'Loan Tape'!$AV174)-3))</f>
        <v>0</v>
      </c>
      <c r="G1390" s="99" t="n">
        <f aca="false">MIN(MAX(0,G178-G784-G1087),G178*CPR*MAX(0,MIN(5,'Loan Tape'!$AV174)-4))</f>
        <v>0</v>
      </c>
      <c r="H1390" s="99" t="n">
        <f aca="false">MIN(MAX(0,H178-H784-H1087),H178*CPR*MAX(0,MIN(6,'Loan Tape'!$AV174)-5))</f>
        <v>0</v>
      </c>
      <c r="I1390" s="99" t="n">
        <f aca="false">MIN(MAX(0,I178-I784-I1087),I178*CPR*MAX(0,MIN(7,'Loan Tape'!$AV174)-6))</f>
        <v>0</v>
      </c>
      <c r="J1390" s="99" t="n">
        <f aca="false">MIN(MAX(0,J178-J784-J1087),J178*CPR*MAX(0,MIN(8,'Loan Tape'!$AV174)-7))</f>
        <v>0</v>
      </c>
      <c r="K1390" s="99" t="n">
        <f aca="false">MIN(MAX(0,K178-K784-K1087),K178*CPR*MAX(0,MIN(9,'Loan Tape'!$AV174)-8))</f>
        <v>0</v>
      </c>
      <c r="L1390" s="99" t="n">
        <f aca="false">MIN(MAX(0,L178-L784-L1087),L178*CPR*MAX(0,MIN(10,'Loan Tape'!$AV174)-9))</f>
        <v>0</v>
      </c>
    </row>
    <row r="1391" customFormat="false" ht="15" hidden="false" customHeight="false" outlineLevel="0" collapsed="false">
      <c r="B1391" s="108" t="n">
        <f aca="false">'Loan Tape'!$A175</f>
        <v>0</v>
      </c>
      <c r="C1391" s="71" t="n">
        <f aca="false">MIN(MAX(0,C179-C785-C1088),C179*CPR*MAX(0,MIN(1,'Loan Tape'!$AV175)-0))</f>
        <v>0</v>
      </c>
      <c r="D1391" s="71" t="n">
        <f aca="false">MIN(MAX(0,D179-D785-D1088),D179*CPR*MAX(0,MIN(2,'Loan Tape'!$AV175)-1))</f>
        <v>0</v>
      </c>
      <c r="E1391" s="71" t="n">
        <f aca="false">MIN(MAX(0,E179-E785-E1088),E179*CPR*MAX(0,MIN(3,'Loan Tape'!$AV175)-2))</f>
        <v>0</v>
      </c>
      <c r="F1391" s="71" t="n">
        <f aca="false">MIN(MAX(0,F179-F785-F1088),F179*CPR*MAX(0,MIN(4,'Loan Tape'!$AV175)-3))</f>
        <v>0</v>
      </c>
      <c r="G1391" s="71" t="n">
        <f aca="false">MIN(MAX(0,G179-G785-G1088),G179*CPR*MAX(0,MIN(5,'Loan Tape'!$AV175)-4))</f>
        <v>0</v>
      </c>
      <c r="H1391" s="71" t="n">
        <f aca="false">MIN(MAX(0,H179-H785-H1088),H179*CPR*MAX(0,MIN(6,'Loan Tape'!$AV175)-5))</f>
        <v>0</v>
      </c>
      <c r="I1391" s="71" t="n">
        <f aca="false">MIN(MAX(0,I179-I785-I1088),I179*CPR*MAX(0,MIN(7,'Loan Tape'!$AV175)-6))</f>
        <v>0</v>
      </c>
      <c r="J1391" s="71" t="n">
        <f aca="false">MIN(MAX(0,J179-J785-J1088),J179*CPR*MAX(0,MIN(8,'Loan Tape'!$AV175)-7))</f>
        <v>0</v>
      </c>
      <c r="K1391" s="71" t="n">
        <f aca="false">MIN(MAX(0,K179-K785-K1088),K179*CPR*MAX(0,MIN(9,'Loan Tape'!$AV175)-8))</f>
        <v>0</v>
      </c>
      <c r="L1391" s="71" t="n">
        <f aca="false">MIN(MAX(0,L179-L785-L1088),L179*CPR*MAX(0,MIN(10,'Loan Tape'!$AV175)-9))</f>
        <v>0</v>
      </c>
    </row>
    <row r="1392" customFormat="false" ht="15" hidden="false" customHeight="false" outlineLevel="0" collapsed="false">
      <c r="B1392" s="102" t="n">
        <f aca="false">'Loan Tape'!$A176</f>
        <v>0</v>
      </c>
      <c r="C1392" s="99" t="n">
        <f aca="false">MIN(MAX(0,C180-C786-C1089),C180*CPR*MAX(0,MIN(1,'Loan Tape'!$AV176)-0))</f>
        <v>0</v>
      </c>
      <c r="D1392" s="99" t="n">
        <f aca="false">MIN(MAX(0,D180-D786-D1089),D180*CPR*MAX(0,MIN(2,'Loan Tape'!$AV176)-1))</f>
        <v>0</v>
      </c>
      <c r="E1392" s="99" t="n">
        <f aca="false">MIN(MAX(0,E180-E786-E1089),E180*CPR*MAX(0,MIN(3,'Loan Tape'!$AV176)-2))</f>
        <v>0</v>
      </c>
      <c r="F1392" s="99" t="n">
        <f aca="false">MIN(MAX(0,F180-F786-F1089),F180*CPR*MAX(0,MIN(4,'Loan Tape'!$AV176)-3))</f>
        <v>0</v>
      </c>
      <c r="G1392" s="99" t="n">
        <f aca="false">MIN(MAX(0,G180-G786-G1089),G180*CPR*MAX(0,MIN(5,'Loan Tape'!$AV176)-4))</f>
        <v>0</v>
      </c>
      <c r="H1392" s="99" t="n">
        <f aca="false">MIN(MAX(0,H180-H786-H1089),H180*CPR*MAX(0,MIN(6,'Loan Tape'!$AV176)-5))</f>
        <v>0</v>
      </c>
      <c r="I1392" s="99" t="n">
        <f aca="false">MIN(MAX(0,I180-I786-I1089),I180*CPR*MAX(0,MIN(7,'Loan Tape'!$AV176)-6))</f>
        <v>0</v>
      </c>
      <c r="J1392" s="99" t="n">
        <f aca="false">MIN(MAX(0,J180-J786-J1089),J180*CPR*MAX(0,MIN(8,'Loan Tape'!$AV176)-7))</f>
        <v>0</v>
      </c>
      <c r="K1392" s="99" t="n">
        <f aca="false">MIN(MAX(0,K180-K786-K1089),K180*CPR*MAX(0,MIN(9,'Loan Tape'!$AV176)-8))</f>
        <v>0</v>
      </c>
      <c r="L1392" s="99" t="n">
        <f aca="false">MIN(MAX(0,L180-L786-L1089),L180*CPR*MAX(0,MIN(10,'Loan Tape'!$AV176)-9))</f>
        <v>0</v>
      </c>
    </row>
    <row r="1393" customFormat="false" ht="15" hidden="false" customHeight="false" outlineLevel="0" collapsed="false">
      <c r="B1393" s="108" t="n">
        <f aca="false">'Loan Tape'!$A177</f>
        <v>0</v>
      </c>
      <c r="C1393" s="71" t="n">
        <f aca="false">MIN(MAX(0,C181-C787-C1090),C181*CPR*MAX(0,MIN(1,'Loan Tape'!$AV177)-0))</f>
        <v>0</v>
      </c>
      <c r="D1393" s="71" t="n">
        <f aca="false">MIN(MAX(0,D181-D787-D1090),D181*CPR*MAX(0,MIN(2,'Loan Tape'!$AV177)-1))</f>
        <v>0</v>
      </c>
      <c r="E1393" s="71" t="n">
        <f aca="false">MIN(MAX(0,E181-E787-E1090),E181*CPR*MAX(0,MIN(3,'Loan Tape'!$AV177)-2))</f>
        <v>0</v>
      </c>
      <c r="F1393" s="71" t="n">
        <f aca="false">MIN(MAX(0,F181-F787-F1090),F181*CPR*MAX(0,MIN(4,'Loan Tape'!$AV177)-3))</f>
        <v>0</v>
      </c>
      <c r="G1393" s="71" t="n">
        <f aca="false">MIN(MAX(0,G181-G787-G1090),G181*CPR*MAX(0,MIN(5,'Loan Tape'!$AV177)-4))</f>
        <v>0</v>
      </c>
      <c r="H1393" s="71" t="n">
        <f aca="false">MIN(MAX(0,H181-H787-H1090),H181*CPR*MAX(0,MIN(6,'Loan Tape'!$AV177)-5))</f>
        <v>0</v>
      </c>
      <c r="I1393" s="71" t="n">
        <f aca="false">MIN(MAX(0,I181-I787-I1090),I181*CPR*MAX(0,MIN(7,'Loan Tape'!$AV177)-6))</f>
        <v>0</v>
      </c>
      <c r="J1393" s="71" t="n">
        <f aca="false">MIN(MAX(0,J181-J787-J1090),J181*CPR*MAX(0,MIN(8,'Loan Tape'!$AV177)-7))</f>
        <v>0</v>
      </c>
      <c r="K1393" s="71" t="n">
        <f aca="false">MIN(MAX(0,K181-K787-K1090),K181*CPR*MAX(0,MIN(9,'Loan Tape'!$AV177)-8))</f>
        <v>0</v>
      </c>
      <c r="L1393" s="71" t="n">
        <f aca="false">MIN(MAX(0,L181-L787-L1090),L181*CPR*MAX(0,MIN(10,'Loan Tape'!$AV177)-9))</f>
        <v>0</v>
      </c>
    </row>
    <row r="1394" customFormat="false" ht="15" hidden="false" customHeight="false" outlineLevel="0" collapsed="false">
      <c r="B1394" s="102" t="n">
        <f aca="false">'Loan Tape'!$A178</f>
        <v>0</v>
      </c>
      <c r="C1394" s="99" t="n">
        <f aca="false">MIN(MAX(0,C182-C788-C1091),C182*CPR*MAX(0,MIN(1,'Loan Tape'!$AV178)-0))</f>
        <v>0</v>
      </c>
      <c r="D1394" s="99" t="n">
        <f aca="false">MIN(MAX(0,D182-D788-D1091),D182*CPR*MAX(0,MIN(2,'Loan Tape'!$AV178)-1))</f>
        <v>0</v>
      </c>
      <c r="E1394" s="99" t="n">
        <f aca="false">MIN(MAX(0,E182-E788-E1091),E182*CPR*MAX(0,MIN(3,'Loan Tape'!$AV178)-2))</f>
        <v>0</v>
      </c>
      <c r="F1394" s="99" t="n">
        <f aca="false">MIN(MAX(0,F182-F788-F1091),F182*CPR*MAX(0,MIN(4,'Loan Tape'!$AV178)-3))</f>
        <v>0</v>
      </c>
      <c r="G1394" s="99" t="n">
        <f aca="false">MIN(MAX(0,G182-G788-G1091),G182*CPR*MAX(0,MIN(5,'Loan Tape'!$AV178)-4))</f>
        <v>0</v>
      </c>
      <c r="H1394" s="99" t="n">
        <f aca="false">MIN(MAX(0,H182-H788-H1091),H182*CPR*MAX(0,MIN(6,'Loan Tape'!$AV178)-5))</f>
        <v>0</v>
      </c>
      <c r="I1394" s="99" t="n">
        <f aca="false">MIN(MAX(0,I182-I788-I1091),I182*CPR*MAX(0,MIN(7,'Loan Tape'!$AV178)-6))</f>
        <v>0</v>
      </c>
      <c r="J1394" s="99" t="n">
        <f aca="false">MIN(MAX(0,J182-J788-J1091),J182*CPR*MAX(0,MIN(8,'Loan Tape'!$AV178)-7))</f>
        <v>0</v>
      </c>
      <c r="K1394" s="99" t="n">
        <f aca="false">MIN(MAX(0,K182-K788-K1091),K182*CPR*MAX(0,MIN(9,'Loan Tape'!$AV178)-8))</f>
        <v>0</v>
      </c>
      <c r="L1394" s="99" t="n">
        <f aca="false">MIN(MAX(0,L182-L788-L1091),L182*CPR*MAX(0,MIN(10,'Loan Tape'!$AV178)-9))</f>
        <v>0</v>
      </c>
    </row>
    <row r="1395" customFormat="false" ht="15" hidden="false" customHeight="false" outlineLevel="0" collapsed="false">
      <c r="B1395" s="108" t="n">
        <f aca="false">'Loan Tape'!$A179</f>
        <v>0</v>
      </c>
      <c r="C1395" s="71" t="n">
        <f aca="false">MIN(MAX(0,C183-C789-C1092),C183*CPR*MAX(0,MIN(1,'Loan Tape'!$AV179)-0))</f>
        <v>0</v>
      </c>
      <c r="D1395" s="71" t="n">
        <f aca="false">MIN(MAX(0,D183-D789-D1092),D183*CPR*MAX(0,MIN(2,'Loan Tape'!$AV179)-1))</f>
        <v>0</v>
      </c>
      <c r="E1395" s="71" t="n">
        <f aca="false">MIN(MAX(0,E183-E789-E1092),E183*CPR*MAX(0,MIN(3,'Loan Tape'!$AV179)-2))</f>
        <v>0</v>
      </c>
      <c r="F1395" s="71" t="n">
        <f aca="false">MIN(MAX(0,F183-F789-F1092),F183*CPR*MAX(0,MIN(4,'Loan Tape'!$AV179)-3))</f>
        <v>0</v>
      </c>
      <c r="G1395" s="71" t="n">
        <f aca="false">MIN(MAX(0,G183-G789-G1092),G183*CPR*MAX(0,MIN(5,'Loan Tape'!$AV179)-4))</f>
        <v>0</v>
      </c>
      <c r="H1395" s="71" t="n">
        <f aca="false">MIN(MAX(0,H183-H789-H1092),H183*CPR*MAX(0,MIN(6,'Loan Tape'!$AV179)-5))</f>
        <v>0</v>
      </c>
      <c r="I1395" s="71" t="n">
        <f aca="false">MIN(MAX(0,I183-I789-I1092),I183*CPR*MAX(0,MIN(7,'Loan Tape'!$AV179)-6))</f>
        <v>0</v>
      </c>
      <c r="J1395" s="71" t="n">
        <f aca="false">MIN(MAX(0,J183-J789-J1092),J183*CPR*MAX(0,MIN(8,'Loan Tape'!$AV179)-7))</f>
        <v>0</v>
      </c>
      <c r="K1395" s="71" t="n">
        <f aca="false">MIN(MAX(0,K183-K789-K1092),K183*CPR*MAX(0,MIN(9,'Loan Tape'!$AV179)-8))</f>
        <v>0</v>
      </c>
      <c r="L1395" s="71" t="n">
        <f aca="false">MIN(MAX(0,L183-L789-L1092),L183*CPR*MAX(0,MIN(10,'Loan Tape'!$AV179)-9))</f>
        <v>0</v>
      </c>
    </row>
    <row r="1396" customFormat="false" ht="15" hidden="false" customHeight="false" outlineLevel="0" collapsed="false">
      <c r="B1396" s="102" t="n">
        <f aca="false">'Loan Tape'!$A180</f>
        <v>0</v>
      </c>
      <c r="C1396" s="99" t="n">
        <f aca="false">MIN(MAX(0,C184-C790-C1093),C184*CPR*MAX(0,MIN(1,'Loan Tape'!$AV180)-0))</f>
        <v>0</v>
      </c>
      <c r="D1396" s="99" t="n">
        <f aca="false">MIN(MAX(0,D184-D790-D1093),D184*CPR*MAX(0,MIN(2,'Loan Tape'!$AV180)-1))</f>
        <v>0</v>
      </c>
      <c r="E1396" s="99" t="n">
        <f aca="false">MIN(MAX(0,E184-E790-E1093),E184*CPR*MAX(0,MIN(3,'Loan Tape'!$AV180)-2))</f>
        <v>0</v>
      </c>
      <c r="F1396" s="99" t="n">
        <f aca="false">MIN(MAX(0,F184-F790-F1093),F184*CPR*MAX(0,MIN(4,'Loan Tape'!$AV180)-3))</f>
        <v>0</v>
      </c>
      <c r="G1396" s="99" t="n">
        <f aca="false">MIN(MAX(0,G184-G790-G1093),G184*CPR*MAX(0,MIN(5,'Loan Tape'!$AV180)-4))</f>
        <v>0</v>
      </c>
      <c r="H1396" s="99" t="n">
        <f aca="false">MIN(MAX(0,H184-H790-H1093),H184*CPR*MAX(0,MIN(6,'Loan Tape'!$AV180)-5))</f>
        <v>0</v>
      </c>
      <c r="I1396" s="99" t="n">
        <f aca="false">MIN(MAX(0,I184-I790-I1093),I184*CPR*MAX(0,MIN(7,'Loan Tape'!$AV180)-6))</f>
        <v>0</v>
      </c>
      <c r="J1396" s="99" t="n">
        <f aca="false">MIN(MAX(0,J184-J790-J1093),J184*CPR*MAX(0,MIN(8,'Loan Tape'!$AV180)-7))</f>
        <v>0</v>
      </c>
      <c r="K1396" s="99" t="n">
        <f aca="false">MIN(MAX(0,K184-K790-K1093),K184*CPR*MAX(0,MIN(9,'Loan Tape'!$AV180)-8))</f>
        <v>0</v>
      </c>
      <c r="L1396" s="99" t="n">
        <f aca="false">MIN(MAX(0,L184-L790-L1093),L184*CPR*MAX(0,MIN(10,'Loan Tape'!$AV180)-9))</f>
        <v>0</v>
      </c>
    </row>
    <row r="1397" customFormat="false" ht="15" hidden="false" customHeight="false" outlineLevel="0" collapsed="false">
      <c r="B1397" s="108" t="n">
        <f aca="false">'Loan Tape'!$A181</f>
        <v>0</v>
      </c>
      <c r="C1397" s="71" t="n">
        <f aca="false">MIN(MAX(0,C185-C791-C1094),C185*CPR*MAX(0,MIN(1,'Loan Tape'!$AV181)-0))</f>
        <v>0</v>
      </c>
      <c r="D1397" s="71" t="n">
        <f aca="false">MIN(MAX(0,D185-D791-D1094),D185*CPR*MAX(0,MIN(2,'Loan Tape'!$AV181)-1))</f>
        <v>0</v>
      </c>
      <c r="E1397" s="71" t="n">
        <f aca="false">MIN(MAX(0,E185-E791-E1094),E185*CPR*MAX(0,MIN(3,'Loan Tape'!$AV181)-2))</f>
        <v>0</v>
      </c>
      <c r="F1397" s="71" t="n">
        <f aca="false">MIN(MAX(0,F185-F791-F1094),F185*CPR*MAX(0,MIN(4,'Loan Tape'!$AV181)-3))</f>
        <v>0</v>
      </c>
      <c r="G1397" s="71" t="n">
        <f aca="false">MIN(MAX(0,G185-G791-G1094),G185*CPR*MAX(0,MIN(5,'Loan Tape'!$AV181)-4))</f>
        <v>0</v>
      </c>
      <c r="H1397" s="71" t="n">
        <f aca="false">MIN(MAX(0,H185-H791-H1094),H185*CPR*MAX(0,MIN(6,'Loan Tape'!$AV181)-5))</f>
        <v>0</v>
      </c>
      <c r="I1397" s="71" t="n">
        <f aca="false">MIN(MAX(0,I185-I791-I1094),I185*CPR*MAX(0,MIN(7,'Loan Tape'!$AV181)-6))</f>
        <v>0</v>
      </c>
      <c r="J1397" s="71" t="n">
        <f aca="false">MIN(MAX(0,J185-J791-J1094),J185*CPR*MAX(0,MIN(8,'Loan Tape'!$AV181)-7))</f>
        <v>0</v>
      </c>
      <c r="K1397" s="71" t="n">
        <f aca="false">MIN(MAX(0,K185-K791-K1094),K185*CPR*MAX(0,MIN(9,'Loan Tape'!$AV181)-8))</f>
        <v>0</v>
      </c>
      <c r="L1397" s="71" t="n">
        <f aca="false">MIN(MAX(0,L185-L791-L1094),L185*CPR*MAX(0,MIN(10,'Loan Tape'!$AV181)-9))</f>
        <v>0</v>
      </c>
    </row>
    <row r="1398" customFormat="false" ht="15" hidden="false" customHeight="false" outlineLevel="0" collapsed="false">
      <c r="B1398" s="102" t="n">
        <f aca="false">'Loan Tape'!$A182</f>
        <v>0</v>
      </c>
      <c r="C1398" s="99" t="n">
        <f aca="false">MIN(MAX(0,C186-C792-C1095),C186*CPR*MAX(0,MIN(1,'Loan Tape'!$AV182)-0))</f>
        <v>0</v>
      </c>
      <c r="D1398" s="99" t="n">
        <f aca="false">MIN(MAX(0,D186-D792-D1095),D186*CPR*MAX(0,MIN(2,'Loan Tape'!$AV182)-1))</f>
        <v>0</v>
      </c>
      <c r="E1398" s="99" t="n">
        <f aca="false">MIN(MAX(0,E186-E792-E1095),E186*CPR*MAX(0,MIN(3,'Loan Tape'!$AV182)-2))</f>
        <v>0</v>
      </c>
      <c r="F1398" s="99" t="n">
        <f aca="false">MIN(MAX(0,F186-F792-F1095),F186*CPR*MAX(0,MIN(4,'Loan Tape'!$AV182)-3))</f>
        <v>0</v>
      </c>
      <c r="G1398" s="99" t="n">
        <f aca="false">MIN(MAX(0,G186-G792-G1095),G186*CPR*MAX(0,MIN(5,'Loan Tape'!$AV182)-4))</f>
        <v>0</v>
      </c>
      <c r="H1398" s="99" t="n">
        <f aca="false">MIN(MAX(0,H186-H792-H1095),H186*CPR*MAX(0,MIN(6,'Loan Tape'!$AV182)-5))</f>
        <v>0</v>
      </c>
      <c r="I1398" s="99" t="n">
        <f aca="false">MIN(MAX(0,I186-I792-I1095),I186*CPR*MAX(0,MIN(7,'Loan Tape'!$AV182)-6))</f>
        <v>0</v>
      </c>
      <c r="J1398" s="99" t="n">
        <f aca="false">MIN(MAX(0,J186-J792-J1095),J186*CPR*MAX(0,MIN(8,'Loan Tape'!$AV182)-7))</f>
        <v>0</v>
      </c>
      <c r="K1398" s="99" t="n">
        <f aca="false">MIN(MAX(0,K186-K792-K1095),K186*CPR*MAX(0,MIN(9,'Loan Tape'!$AV182)-8))</f>
        <v>0</v>
      </c>
      <c r="L1398" s="99" t="n">
        <f aca="false">MIN(MAX(0,L186-L792-L1095),L186*CPR*MAX(0,MIN(10,'Loan Tape'!$AV182)-9))</f>
        <v>0</v>
      </c>
    </row>
    <row r="1399" customFormat="false" ht="15" hidden="false" customHeight="false" outlineLevel="0" collapsed="false">
      <c r="B1399" s="108" t="n">
        <f aca="false">'Loan Tape'!$A183</f>
        <v>0</v>
      </c>
      <c r="C1399" s="71" t="n">
        <f aca="false">MIN(MAX(0,C187-C793-C1096),C187*CPR*MAX(0,MIN(1,'Loan Tape'!$AV183)-0))</f>
        <v>0</v>
      </c>
      <c r="D1399" s="71" t="n">
        <f aca="false">MIN(MAX(0,D187-D793-D1096),D187*CPR*MAX(0,MIN(2,'Loan Tape'!$AV183)-1))</f>
        <v>0</v>
      </c>
      <c r="E1399" s="71" t="n">
        <f aca="false">MIN(MAX(0,E187-E793-E1096),E187*CPR*MAX(0,MIN(3,'Loan Tape'!$AV183)-2))</f>
        <v>0</v>
      </c>
      <c r="F1399" s="71" t="n">
        <f aca="false">MIN(MAX(0,F187-F793-F1096),F187*CPR*MAX(0,MIN(4,'Loan Tape'!$AV183)-3))</f>
        <v>0</v>
      </c>
      <c r="G1399" s="71" t="n">
        <f aca="false">MIN(MAX(0,G187-G793-G1096),G187*CPR*MAX(0,MIN(5,'Loan Tape'!$AV183)-4))</f>
        <v>0</v>
      </c>
      <c r="H1399" s="71" t="n">
        <f aca="false">MIN(MAX(0,H187-H793-H1096),H187*CPR*MAX(0,MIN(6,'Loan Tape'!$AV183)-5))</f>
        <v>0</v>
      </c>
      <c r="I1399" s="71" t="n">
        <f aca="false">MIN(MAX(0,I187-I793-I1096),I187*CPR*MAX(0,MIN(7,'Loan Tape'!$AV183)-6))</f>
        <v>0</v>
      </c>
      <c r="J1399" s="71" t="n">
        <f aca="false">MIN(MAX(0,J187-J793-J1096),J187*CPR*MAX(0,MIN(8,'Loan Tape'!$AV183)-7))</f>
        <v>0</v>
      </c>
      <c r="K1399" s="71" t="n">
        <f aca="false">MIN(MAX(0,K187-K793-K1096),K187*CPR*MAX(0,MIN(9,'Loan Tape'!$AV183)-8))</f>
        <v>0</v>
      </c>
      <c r="L1399" s="71" t="n">
        <f aca="false">MIN(MAX(0,L187-L793-L1096),L187*CPR*MAX(0,MIN(10,'Loan Tape'!$AV183)-9))</f>
        <v>0</v>
      </c>
    </row>
    <row r="1400" customFormat="false" ht="15" hidden="false" customHeight="false" outlineLevel="0" collapsed="false">
      <c r="B1400" s="102" t="n">
        <f aca="false">'Loan Tape'!$A184</f>
        <v>0</v>
      </c>
      <c r="C1400" s="99" t="n">
        <f aca="false">MIN(MAX(0,C188-C794-C1097),C188*CPR*MAX(0,MIN(1,'Loan Tape'!$AV184)-0))</f>
        <v>0</v>
      </c>
      <c r="D1400" s="99" t="n">
        <f aca="false">MIN(MAX(0,D188-D794-D1097),D188*CPR*MAX(0,MIN(2,'Loan Tape'!$AV184)-1))</f>
        <v>0</v>
      </c>
      <c r="E1400" s="99" t="n">
        <f aca="false">MIN(MAX(0,E188-E794-E1097),E188*CPR*MAX(0,MIN(3,'Loan Tape'!$AV184)-2))</f>
        <v>0</v>
      </c>
      <c r="F1400" s="99" t="n">
        <f aca="false">MIN(MAX(0,F188-F794-F1097),F188*CPR*MAX(0,MIN(4,'Loan Tape'!$AV184)-3))</f>
        <v>0</v>
      </c>
      <c r="G1400" s="99" t="n">
        <f aca="false">MIN(MAX(0,G188-G794-G1097),G188*CPR*MAX(0,MIN(5,'Loan Tape'!$AV184)-4))</f>
        <v>0</v>
      </c>
      <c r="H1400" s="99" t="n">
        <f aca="false">MIN(MAX(0,H188-H794-H1097),H188*CPR*MAX(0,MIN(6,'Loan Tape'!$AV184)-5))</f>
        <v>0</v>
      </c>
      <c r="I1400" s="99" t="n">
        <f aca="false">MIN(MAX(0,I188-I794-I1097),I188*CPR*MAX(0,MIN(7,'Loan Tape'!$AV184)-6))</f>
        <v>0</v>
      </c>
      <c r="J1400" s="99" t="n">
        <f aca="false">MIN(MAX(0,J188-J794-J1097),J188*CPR*MAX(0,MIN(8,'Loan Tape'!$AV184)-7))</f>
        <v>0</v>
      </c>
      <c r="K1400" s="99" t="n">
        <f aca="false">MIN(MAX(0,K188-K794-K1097),K188*CPR*MAX(0,MIN(9,'Loan Tape'!$AV184)-8))</f>
        <v>0</v>
      </c>
      <c r="L1400" s="99" t="n">
        <f aca="false">MIN(MAX(0,L188-L794-L1097),L188*CPR*MAX(0,MIN(10,'Loan Tape'!$AV184)-9))</f>
        <v>0</v>
      </c>
    </row>
    <row r="1401" customFormat="false" ht="15" hidden="false" customHeight="false" outlineLevel="0" collapsed="false">
      <c r="B1401" s="108" t="n">
        <f aca="false">'Loan Tape'!$A185</f>
        <v>0</v>
      </c>
      <c r="C1401" s="71" t="n">
        <f aca="false">MIN(MAX(0,C189-C795-C1098),C189*CPR*MAX(0,MIN(1,'Loan Tape'!$AV185)-0))</f>
        <v>0</v>
      </c>
      <c r="D1401" s="71" t="n">
        <f aca="false">MIN(MAX(0,D189-D795-D1098),D189*CPR*MAX(0,MIN(2,'Loan Tape'!$AV185)-1))</f>
        <v>0</v>
      </c>
      <c r="E1401" s="71" t="n">
        <f aca="false">MIN(MAX(0,E189-E795-E1098),E189*CPR*MAX(0,MIN(3,'Loan Tape'!$AV185)-2))</f>
        <v>0</v>
      </c>
      <c r="F1401" s="71" t="n">
        <f aca="false">MIN(MAX(0,F189-F795-F1098),F189*CPR*MAX(0,MIN(4,'Loan Tape'!$AV185)-3))</f>
        <v>0</v>
      </c>
      <c r="G1401" s="71" t="n">
        <f aca="false">MIN(MAX(0,G189-G795-G1098),G189*CPR*MAX(0,MIN(5,'Loan Tape'!$AV185)-4))</f>
        <v>0</v>
      </c>
      <c r="H1401" s="71" t="n">
        <f aca="false">MIN(MAX(0,H189-H795-H1098),H189*CPR*MAX(0,MIN(6,'Loan Tape'!$AV185)-5))</f>
        <v>0</v>
      </c>
      <c r="I1401" s="71" t="n">
        <f aca="false">MIN(MAX(0,I189-I795-I1098),I189*CPR*MAX(0,MIN(7,'Loan Tape'!$AV185)-6))</f>
        <v>0</v>
      </c>
      <c r="J1401" s="71" t="n">
        <f aca="false">MIN(MAX(0,J189-J795-J1098),J189*CPR*MAX(0,MIN(8,'Loan Tape'!$AV185)-7))</f>
        <v>0</v>
      </c>
      <c r="K1401" s="71" t="n">
        <f aca="false">MIN(MAX(0,K189-K795-K1098),K189*CPR*MAX(0,MIN(9,'Loan Tape'!$AV185)-8))</f>
        <v>0</v>
      </c>
      <c r="L1401" s="71" t="n">
        <f aca="false">MIN(MAX(0,L189-L795-L1098),L189*CPR*MAX(0,MIN(10,'Loan Tape'!$AV185)-9))</f>
        <v>0</v>
      </c>
    </row>
    <row r="1402" customFormat="false" ht="15" hidden="false" customHeight="false" outlineLevel="0" collapsed="false">
      <c r="B1402" s="102" t="n">
        <f aca="false">'Loan Tape'!$A186</f>
        <v>0</v>
      </c>
      <c r="C1402" s="99" t="n">
        <f aca="false">MIN(MAX(0,C190-C796-C1099),C190*CPR*MAX(0,MIN(1,'Loan Tape'!$AV186)-0))</f>
        <v>0</v>
      </c>
      <c r="D1402" s="99" t="n">
        <f aca="false">MIN(MAX(0,D190-D796-D1099),D190*CPR*MAX(0,MIN(2,'Loan Tape'!$AV186)-1))</f>
        <v>0</v>
      </c>
      <c r="E1402" s="99" t="n">
        <f aca="false">MIN(MAX(0,E190-E796-E1099),E190*CPR*MAX(0,MIN(3,'Loan Tape'!$AV186)-2))</f>
        <v>0</v>
      </c>
      <c r="F1402" s="99" t="n">
        <f aca="false">MIN(MAX(0,F190-F796-F1099),F190*CPR*MAX(0,MIN(4,'Loan Tape'!$AV186)-3))</f>
        <v>0</v>
      </c>
      <c r="G1402" s="99" t="n">
        <f aca="false">MIN(MAX(0,G190-G796-G1099),G190*CPR*MAX(0,MIN(5,'Loan Tape'!$AV186)-4))</f>
        <v>0</v>
      </c>
      <c r="H1402" s="99" t="n">
        <f aca="false">MIN(MAX(0,H190-H796-H1099),H190*CPR*MAX(0,MIN(6,'Loan Tape'!$AV186)-5))</f>
        <v>0</v>
      </c>
      <c r="I1402" s="99" t="n">
        <f aca="false">MIN(MAX(0,I190-I796-I1099),I190*CPR*MAX(0,MIN(7,'Loan Tape'!$AV186)-6))</f>
        <v>0</v>
      </c>
      <c r="J1402" s="99" t="n">
        <f aca="false">MIN(MAX(0,J190-J796-J1099),J190*CPR*MAX(0,MIN(8,'Loan Tape'!$AV186)-7))</f>
        <v>0</v>
      </c>
      <c r="K1402" s="99" t="n">
        <f aca="false">MIN(MAX(0,K190-K796-K1099),K190*CPR*MAX(0,MIN(9,'Loan Tape'!$AV186)-8))</f>
        <v>0</v>
      </c>
      <c r="L1402" s="99" t="n">
        <f aca="false">MIN(MAX(0,L190-L796-L1099),L190*CPR*MAX(0,MIN(10,'Loan Tape'!$AV186)-9))</f>
        <v>0</v>
      </c>
    </row>
    <row r="1403" customFormat="false" ht="15" hidden="false" customHeight="false" outlineLevel="0" collapsed="false">
      <c r="B1403" s="108" t="n">
        <f aca="false">'Loan Tape'!$A187</f>
        <v>0</v>
      </c>
      <c r="C1403" s="71" t="n">
        <f aca="false">MIN(MAX(0,C191-C797-C1100),C191*CPR*MAX(0,MIN(1,'Loan Tape'!$AV187)-0))</f>
        <v>0</v>
      </c>
      <c r="D1403" s="71" t="n">
        <f aca="false">MIN(MAX(0,D191-D797-D1100),D191*CPR*MAX(0,MIN(2,'Loan Tape'!$AV187)-1))</f>
        <v>0</v>
      </c>
      <c r="E1403" s="71" t="n">
        <f aca="false">MIN(MAX(0,E191-E797-E1100),E191*CPR*MAX(0,MIN(3,'Loan Tape'!$AV187)-2))</f>
        <v>0</v>
      </c>
      <c r="F1403" s="71" t="n">
        <f aca="false">MIN(MAX(0,F191-F797-F1100),F191*CPR*MAX(0,MIN(4,'Loan Tape'!$AV187)-3))</f>
        <v>0</v>
      </c>
      <c r="G1403" s="71" t="n">
        <f aca="false">MIN(MAX(0,G191-G797-G1100),G191*CPR*MAX(0,MIN(5,'Loan Tape'!$AV187)-4))</f>
        <v>0</v>
      </c>
      <c r="H1403" s="71" t="n">
        <f aca="false">MIN(MAX(0,H191-H797-H1100),H191*CPR*MAX(0,MIN(6,'Loan Tape'!$AV187)-5))</f>
        <v>0</v>
      </c>
      <c r="I1403" s="71" t="n">
        <f aca="false">MIN(MAX(0,I191-I797-I1100),I191*CPR*MAX(0,MIN(7,'Loan Tape'!$AV187)-6))</f>
        <v>0</v>
      </c>
      <c r="J1403" s="71" t="n">
        <f aca="false">MIN(MAX(0,J191-J797-J1100),J191*CPR*MAX(0,MIN(8,'Loan Tape'!$AV187)-7))</f>
        <v>0</v>
      </c>
      <c r="K1403" s="71" t="n">
        <f aca="false">MIN(MAX(0,K191-K797-K1100),K191*CPR*MAX(0,MIN(9,'Loan Tape'!$AV187)-8))</f>
        <v>0</v>
      </c>
      <c r="L1403" s="71" t="n">
        <f aca="false">MIN(MAX(0,L191-L797-L1100),L191*CPR*MAX(0,MIN(10,'Loan Tape'!$AV187)-9))</f>
        <v>0</v>
      </c>
    </row>
    <row r="1404" customFormat="false" ht="15" hidden="false" customHeight="false" outlineLevel="0" collapsed="false">
      <c r="B1404" s="102" t="n">
        <f aca="false">'Loan Tape'!$A188</f>
        <v>0</v>
      </c>
      <c r="C1404" s="99" t="n">
        <f aca="false">MIN(MAX(0,C192-C798-C1101),C192*CPR*MAX(0,MIN(1,'Loan Tape'!$AV188)-0))</f>
        <v>0</v>
      </c>
      <c r="D1404" s="99" t="n">
        <f aca="false">MIN(MAX(0,D192-D798-D1101),D192*CPR*MAX(0,MIN(2,'Loan Tape'!$AV188)-1))</f>
        <v>0</v>
      </c>
      <c r="E1404" s="99" t="n">
        <f aca="false">MIN(MAX(0,E192-E798-E1101),E192*CPR*MAX(0,MIN(3,'Loan Tape'!$AV188)-2))</f>
        <v>0</v>
      </c>
      <c r="F1404" s="99" t="n">
        <f aca="false">MIN(MAX(0,F192-F798-F1101),F192*CPR*MAX(0,MIN(4,'Loan Tape'!$AV188)-3))</f>
        <v>0</v>
      </c>
      <c r="G1404" s="99" t="n">
        <f aca="false">MIN(MAX(0,G192-G798-G1101),G192*CPR*MAX(0,MIN(5,'Loan Tape'!$AV188)-4))</f>
        <v>0</v>
      </c>
      <c r="H1404" s="99" t="n">
        <f aca="false">MIN(MAX(0,H192-H798-H1101),H192*CPR*MAX(0,MIN(6,'Loan Tape'!$AV188)-5))</f>
        <v>0</v>
      </c>
      <c r="I1404" s="99" t="n">
        <f aca="false">MIN(MAX(0,I192-I798-I1101),I192*CPR*MAX(0,MIN(7,'Loan Tape'!$AV188)-6))</f>
        <v>0</v>
      </c>
      <c r="J1404" s="99" t="n">
        <f aca="false">MIN(MAX(0,J192-J798-J1101),J192*CPR*MAX(0,MIN(8,'Loan Tape'!$AV188)-7))</f>
        <v>0</v>
      </c>
      <c r="K1404" s="99" t="n">
        <f aca="false">MIN(MAX(0,K192-K798-K1101),K192*CPR*MAX(0,MIN(9,'Loan Tape'!$AV188)-8))</f>
        <v>0</v>
      </c>
      <c r="L1404" s="99" t="n">
        <f aca="false">MIN(MAX(0,L192-L798-L1101),L192*CPR*MAX(0,MIN(10,'Loan Tape'!$AV188)-9))</f>
        <v>0</v>
      </c>
    </row>
    <row r="1405" customFormat="false" ht="15" hidden="false" customHeight="false" outlineLevel="0" collapsed="false">
      <c r="B1405" s="108" t="n">
        <f aca="false">'Loan Tape'!$A189</f>
        <v>0</v>
      </c>
      <c r="C1405" s="71" t="n">
        <f aca="false">MIN(MAX(0,C193-C799-C1102),C193*CPR*MAX(0,MIN(1,'Loan Tape'!$AV189)-0))</f>
        <v>0</v>
      </c>
      <c r="D1405" s="71" t="n">
        <f aca="false">MIN(MAX(0,D193-D799-D1102),D193*CPR*MAX(0,MIN(2,'Loan Tape'!$AV189)-1))</f>
        <v>0</v>
      </c>
      <c r="E1405" s="71" t="n">
        <f aca="false">MIN(MAX(0,E193-E799-E1102),E193*CPR*MAX(0,MIN(3,'Loan Tape'!$AV189)-2))</f>
        <v>0</v>
      </c>
      <c r="F1405" s="71" t="n">
        <f aca="false">MIN(MAX(0,F193-F799-F1102),F193*CPR*MAX(0,MIN(4,'Loan Tape'!$AV189)-3))</f>
        <v>0</v>
      </c>
      <c r="G1405" s="71" t="n">
        <f aca="false">MIN(MAX(0,G193-G799-G1102),G193*CPR*MAX(0,MIN(5,'Loan Tape'!$AV189)-4))</f>
        <v>0</v>
      </c>
      <c r="H1405" s="71" t="n">
        <f aca="false">MIN(MAX(0,H193-H799-H1102),H193*CPR*MAX(0,MIN(6,'Loan Tape'!$AV189)-5))</f>
        <v>0</v>
      </c>
      <c r="I1405" s="71" t="n">
        <f aca="false">MIN(MAX(0,I193-I799-I1102),I193*CPR*MAX(0,MIN(7,'Loan Tape'!$AV189)-6))</f>
        <v>0</v>
      </c>
      <c r="J1405" s="71" t="n">
        <f aca="false">MIN(MAX(0,J193-J799-J1102),J193*CPR*MAX(0,MIN(8,'Loan Tape'!$AV189)-7))</f>
        <v>0</v>
      </c>
      <c r="K1405" s="71" t="n">
        <f aca="false">MIN(MAX(0,K193-K799-K1102),K193*CPR*MAX(0,MIN(9,'Loan Tape'!$AV189)-8))</f>
        <v>0</v>
      </c>
      <c r="L1405" s="71" t="n">
        <f aca="false">MIN(MAX(0,L193-L799-L1102),L193*CPR*MAX(0,MIN(10,'Loan Tape'!$AV189)-9))</f>
        <v>0</v>
      </c>
    </row>
    <row r="1406" customFormat="false" ht="15" hidden="false" customHeight="false" outlineLevel="0" collapsed="false">
      <c r="B1406" s="102" t="n">
        <f aca="false">'Loan Tape'!$A190</f>
        <v>0</v>
      </c>
      <c r="C1406" s="99" t="n">
        <f aca="false">MIN(MAX(0,C194-C800-C1103),C194*CPR*MAX(0,MIN(1,'Loan Tape'!$AV190)-0))</f>
        <v>0</v>
      </c>
      <c r="D1406" s="99" t="n">
        <f aca="false">MIN(MAX(0,D194-D800-D1103),D194*CPR*MAX(0,MIN(2,'Loan Tape'!$AV190)-1))</f>
        <v>0</v>
      </c>
      <c r="E1406" s="99" t="n">
        <f aca="false">MIN(MAX(0,E194-E800-E1103),E194*CPR*MAX(0,MIN(3,'Loan Tape'!$AV190)-2))</f>
        <v>0</v>
      </c>
      <c r="F1406" s="99" t="n">
        <f aca="false">MIN(MAX(0,F194-F800-F1103),F194*CPR*MAX(0,MIN(4,'Loan Tape'!$AV190)-3))</f>
        <v>0</v>
      </c>
      <c r="G1406" s="99" t="n">
        <f aca="false">MIN(MAX(0,G194-G800-G1103),G194*CPR*MAX(0,MIN(5,'Loan Tape'!$AV190)-4))</f>
        <v>0</v>
      </c>
      <c r="H1406" s="99" t="n">
        <f aca="false">MIN(MAX(0,H194-H800-H1103),H194*CPR*MAX(0,MIN(6,'Loan Tape'!$AV190)-5))</f>
        <v>0</v>
      </c>
      <c r="I1406" s="99" t="n">
        <f aca="false">MIN(MAX(0,I194-I800-I1103),I194*CPR*MAX(0,MIN(7,'Loan Tape'!$AV190)-6))</f>
        <v>0</v>
      </c>
      <c r="J1406" s="99" t="n">
        <f aca="false">MIN(MAX(0,J194-J800-J1103),J194*CPR*MAX(0,MIN(8,'Loan Tape'!$AV190)-7))</f>
        <v>0</v>
      </c>
      <c r="K1406" s="99" t="n">
        <f aca="false">MIN(MAX(0,K194-K800-K1103),K194*CPR*MAX(0,MIN(9,'Loan Tape'!$AV190)-8))</f>
        <v>0</v>
      </c>
      <c r="L1406" s="99" t="n">
        <f aca="false">MIN(MAX(0,L194-L800-L1103),L194*CPR*MAX(0,MIN(10,'Loan Tape'!$AV190)-9))</f>
        <v>0</v>
      </c>
    </row>
    <row r="1407" customFormat="false" ht="15" hidden="false" customHeight="false" outlineLevel="0" collapsed="false">
      <c r="B1407" s="108" t="n">
        <f aca="false">'Loan Tape'!$A191</f>
        <v>0</v>
      </c>
      <c r="C1407" s="71" t="n">
        <f aca="false">MIN(MAX(0,C195-C801-C1104),C195*CPR*MAX(0,MIN(1,'Loan Tape'!$AV191)-0))</f>
        <v>0</v>
      </c>
      <c r="D1407" s="71" t="n">
        <f aca="false">MIN(MAX(0,D195-D801-D1104),D195*CPR*MAX(0,MIN(2,'Loan Tape'!$AV191)-1))</f>
        <v>0</v>
      </c>
      <c r="E1407" s="71" t="n">
        <f aca="false">MIN(MAX(0,E195-E801-E1104),E195*CPR*MAX(0,MIN(3,'Loan Tape'!$AV191)-2))</f>
        <v>0</v>
      </c>
      <c r="F1407" s="71" t="n">
        <f aca="false">MIN(MAX(0,F195-F801-F1104),F195*CPR*MAX(0,MIN(4,'Loan Tape'!$AV191)-3))</f>
        <v>0</v>
      </c>
      <c r="G1407" s="71" t="n">
        <f aca="false">MIN(MAX(0,G195-G801-G1104),G195*CPR*MAX(0,MIN(5,'Loan Tape'!$AV191)-4))</f>
        <v>0</v>
      </c>
      <c r="H1407" s="71" t="n">
        <f aca="false">MIN(MAX(0,H195-H801-H1104),H195*CPR*MAX(0,MIN(6,'Loan Tape'!$AV191)-5))</f>
        <v>0</v>
      </c>
      <c r="I1407" s="71" t="n">
        <f aca="false">MIN(MAX(0,I195-I801-I1104),I195*CPR*MAX(0,MIN(7,'Loan Tape'!$AV191)-6))</f>
        <v>0</v>
      </c>
      <c r="J1407" s="71" t="n">
        <f aca="false">MIN(MAX(0,J195-J801-J1104),J195*CPR*MAX(0,MIN(8,'Loan Tape'!$AV191)-7))</f>
        <v>0</v>
      </c>
      <c r="K1407" s="71" t="n">
        <f aca="false">MIN(MAX(0,K195-K801-K1104),K195*CPR*MAX(0,MIN(9,'Loan Tape'!$AV191)-8))</f>
        <v>0</v>
      </c>
      <c r="L1407" s="71" t="n">
        <f aca="false">MIN(MAX(0,L195-L801-L1104),L195*CPR*MAX(0,MIN(10,'Loan Tape'!$AV191)-9))</f>
        <v>0</v>
      </c>
    </row>
    <row r="1408" customFormat="false" ht="15" hidden="false" customHeight="false" outlineLevel="0" collapsed="false">
      <c r="B1408" s="102" t="n">
        <f aca="false">'Loan Tape'!$A192</f>
        <v>0</v>
      </c>
      <c r="C1408" s="99" t="n">
        <f aca="false">MIN(MAX(0,C196-C802-C1105),C196*CPR*MAX(0,MIN(1,'Loan Tape'!$AV192)-0))</f>
        <v>0</v>
      </c>
      <c r="D1408" s="99" t="n">
        <f aca="false">MIN(MAX(0,D196-D802-D1105),D196*CPR*MAX(0,MIN(2,'Loan Tape'!$AV192)-1))</f>
        <v>0</v>
      </c>
      <c r="E1408" s="99" t="n">
        <f aca="false">MIN(MAX(0,E196-E802-E1105),E196*CPR*MAX(0,MIN(3,'Loan Tape'!$AV192)-2))</f>
        <v>0</v>
      </c>
      <c r="F1408" s="99" t="n">
        <f aca="false">MIN(MAX(0,F196-F802-F1105),F196*CPR*MAX(0,MIN(4,'Loan Tape'!$AV192)-3))</f>
        <v>0</v>
      </c>
      <c r="G1408" s="99" t="n">
        <f aca="false">MIN(MAX(0,G196-G802-G1105),G196*CPR*MAX(0,MIN(5,'Loan Tape'!$AV192)-4))</f>
        <v>0</v>
      </c>
      <c r="H1408" s="99" t="n">
        <f aca="false">MIN(MAX(0,H196-H802-H1105),H196*CPR*MAX(0,MIN(6,'Loan Tape'!$AV192)-5))</f>
        <v>0</v>
      </c>
      <c r="I1408" s="99" t="n">
        <f aca="false">MIN(MAX(0,I196-I802-I1105),I196*CPR*MAX(0,MIN(7,'Loan Tape'!$AV192)-6))</f>
        <v>0</v>
      </c>
      <c r="J1408" s="99" t="n">
        <f aca="false">MIN(MAX(0,J196-J802-J1105),J196*CPR*MAX(0,MIN(8,'Loan Tape'!$AV192)-7))</f>
        <v>0</v>
      </c>
      <c r="K1408" s="99" t="n">
        <f aca="false">MIN(MAX(0,K196-K802-K1105),K196*CPR*MAX(0,MIN(9,'Loan Tape'!$AV192)-8))</f>
        <v>0</v>
      </c>
      <c r="L1408" s="99" t="n">
        <f aca="false">MIN(MAX(0,L196-L802-L1105),L196*CPR*MAX(0,MIN(10,'Loan Tape'!$AV192)-9))</f>
        <v>0</v>
      </c>
    </row>
    <row r="1409" customFormat="false" ht="15" hidden="false" customHeight="false" outlineLevel="0" collapsed="false">
      <c r="B1409" s="108" t="n">
        <f aca="false">'Loan Tape'!$A193</f>
        <v>0</v>
      </c>
      <c r="C1409" s="71" t="n">
        <f aca="false">MIN(MAX(0,C197-C803-C1106),C197*CPR*MAX(0,MIN(1,'Loan Tape'!$AV193)-0))</f>
        <v>0</v>
      </c>
      <c r="D1409" s="71" t="n">
        <f aca="false">MIN(MAX(0,D197-D803-D1106),D197*CPR*MAX(0,MIN(2,'Loan Tape'!$AV193)-1))</f>
        <v>0</v>
      </c>
      <c r="E1409" s="71" t="n">
        <f aca="false">MIN(MAX(0,E197-E803-E1106),E197*CPR*MAX(0,MIN(3,'Loan Tape'!$AV193)-2))</f>
        <v>0</v>
      </c>
      <c r="F1409" s="71" t="n">
        <f aca="false">MIN(MAX(0,F197-F803-F1106),F197*CPR*MAX(0,MIN(4,'Loan Tape'!$AV193)-3))</f>
        <v>0</v>
      </c>
      <c r="G1409" s="71" t="n">
        <f aca="false">MIN(MAX(0,G197-G803-G1106),G197*CPR*MAX(0,MIN(5,'Loan Tape'!$AV193)-4))</f>
        <v>0</v>
      </c>
      <c r="H1409" s="71" t="n">
        <f aca="false">MIN(MAX(0,H197-H803-H1106),H197*CPR*MAX(0,MIN(6,'Loan Tape'!$AV193)-5))</f>
        <v>0</v>
      </c>
      <c r="I1409" s="71" t="n">
        <f aca="false">MIN(MAX(0,I197-I803-I1106),I197*CPR*MAX(0,MIN(7,'Loan Tape'!$AV193)-6))</f>
        <v>0</v>
      </c>
      <c r="J1409" s="71" t="n">
        <f aca="false">MIN(MAX(0,J197-J803-J1106),J197*CPR*MAX(0,MIN(8,'Loan Tape'!$AV193)-7))</f>
        <v>0</v>
      </c>
      <c r="K1409" s="71" t="n">
        <f aca="false">MIN(MAX(0,K197-K803-K1106),K197*CPR*MAX(0,MIN(9,'Loan Tape'!$AV193)-8))</f>
        <v>0</v>
      </c>
      <c r="L1409" s="71" t="n">
        <f aca="false">MIN(MAX(0,L197-L803-L1106),L197*CPR*MAX(0,MIN(10,'Loan Tape'!$AV193)-9))</f>
        <v>0</v>
      </c>
    </row>
    <row r="1410" customFormat="false" ht="15" hidden="false" customHeight="false" outlineLevel="0" collapsed="false">
      <c r="B1410" s="102" t="n">
        <f aca="false">'Loan Tape'!$A194</f>
        <v>0</v>
      </c>
      <c r="C1410" s="99" t="n">
        <f aca="false">MIN(MAX(0,C198-C804-C1107),C198*CPR*MAX(0,MIN(1,'Loan Tape'!$AV194)-0))</f>
        <v>0</v>
      </c>
      <c r="D1410" s="99" t="n">
        <f aca="false">MIN(MAX(0,D198-D804-D1107),D198*CPR*MAX(0,MIN(2,'Loan Tape'!$AV194)-1))</f>
        <v>0</v>
      </c>
      <c r="E1410" s="99" t="n">
        <f aca="false">MIN(MAX(0,E198-E804-E1107),E198*CPR*MAX(0,MIN(3,'Loan Tape'!$AV194)-2))</f>
        <v>0</v>
      </c>
      <c r="F1410" s="99" t="n">
        <f aca="false">MIN(MAX(0,F198-F804-F1107),F198*CPR*MAX(0,MIN(4,'Loan Tape'!$AV194)-3))</f>
        <v>0</v>
      </c>
      <c r="G1410" s="99" t="n">
        <f aca="false">MIN(MAX(0,G198-G804-G1107),G198*CPR*MAX(0,MIN(5,'Loan Tape'!$AV194)-4))</f>
        <v>0</v>
      </c>
      <c r="H1410" s="99" t="n">
        <f aca="false">MIN(MAX(0,H198-H804-H1107),H198*CPR*MAX(0,MIN(6,'Loan Tape'!$AV194)-5))</f>
        <v>0</v>
      </c>
      <c r="I1410" s="99" t="n">
        <f aca="false">MIN(MAX(0,I198-I804-I1107),I198*CPR*MAX(0,MIN(7,'Loan Tape'!$AV194)-6))</f>
        <v>0</v>
      </c>
      <c r="J1410" s="99" t="n">
        <f aca="false">MIN(MAX(0,J198-J804-J1107),J198*CPR*MAX(0,MIN(8,'Loan Tape'!$AV194)-7))</f>
        <v>0</v>
      </c>
      <c r="K1410" s="99" t="n">
        <f aca="false">MIN(MAX(0,K198-K804-K1107),K198*CPR*MAX(0,MIN(9,'Loan Tape'!$AV194)-8))</f>
        <v>0</v>
      </c>
      <c r="L1410" s="99" t="n">
        <f aca="false">MIN(MAX(0,L198-L804-L1107),L198*CPR*MAX(0,MIN(10,'Loan Tape'!$AV194)-9))</f>
        <v>0</v>
      </c>
    </row>
    <row r="1411" customFormat="false" ht="15" hidden="false" customHeight="false" outlineLevel="0" collapsed="false">
      <c r="B1411" s="108" t="n">
        <f aca="false">'Loan Tape'!$A195</f>
        <v>0</v>
      </c>
      <c r="C1411" s="71" t="n">
        <f aca="false">MIN(MAX(0,C199-C805-C1108),C199*CPR*MAX(0,MIN(1,'Loan Tape'!$AV195)-0))</f>
        <v>0</v>
      </c>
      <c r="D1411" s="71" t="n">
        <f aca="false">MIN(MAX(0,D199-D805-D1108),D199*CPR*MAX(0,MIN(2,'Loan Tape'!$AV195)-1))</f>
        <v>0</v>
      </c>
      <c r="E1411" s="71" t="n">
        <f aca="false">MIN(MAX(0,E199-E805-E1108),E199*CPR*MAX(0,MIN(3,'Loan Tape'!$AV195)-2))</f>
        <v>0</v>
      </c>
      <c r="F1411" s="71" t="n">
        <f aca="false">MIN(MAX(0,F199-F805-F1108),F199*CPR*MAX(0,MIN(4,'Loan Tape'!$AV195)-3))</f>
        <v>0</v>
      </c>
      <c r="G1411" s="71" t="n">
        <f aca="false">MIN(MAX(0,G199-G805-G1108),G199*CPR*MAX(0,MIN(5,'Loan Tape'!$AV195)-4))</f>
        <v>0</v>
      </c>
      <c r="H1411" s="71" t="n">
        <f aca="false">MIN(MAX(0,H199-H805-H1108),H199*CPR*MAX(0,MIN(6,'Loan Tape'!$AV195)-5))</f>
        <v>0</v>
      </c>
      <c r="I1411" s="71" t="n">
        <f aca="false">MIN(MAX(0,I199-I805-I1108),I199*CPR*MAX(0,MIN(7,'Loan Tape'!$AV195)-6))</f>
        <v>0</v>
      </c>
      <c r="J1411" s="71" t="n">
        <f aca="false">MIN(MAX(0,J199-J805-J1108),J199*CPR*MAX(0,MIN(8,'Loan Tape'!$AV195)-7))</f>
        <v>0</v>
      </c>
      <c r="K1411" s="71" t="n">
        <f aca="false">MIN(MAX(0,K199-K805-K1108),K199*CPR*MAX(0,MIN(9,'Loan Tape'!$AV195)-8))</f>
        <v>0</v>
      </c>
      <c r="L1411" s="71" t="n">
        <f aca="false">MIN(MAX(0,L199-L805-L1108),L199*CPR*MAX(0,MIN(10,'Loan Tape'!$AV195)-9))</f>
        <v>0</v>
      </c>
    </row>
    <row r="1412" customFormat="false" ht="15" hidden="false" customHeight="false" outlineLevel="0" collapsed="false">
      <c r="B1412" s="102" t="n">
        <f aca="false">'Loan Tape'!$A196</f>
        <v>0</v>
      </c>
      <c r="C1412" s="99" t="n">
        <f aca="false">MIN(MAX(0,C200-C806-C1109),C200*CPR*MAX(0,MIN(1,'Loan Tape'!$AV196)-0))</f>
        <v>0</v>
      </c>
      <c r="D1412" s="99" t="n">
        <f aca="false">MIN(MAX(0,D200-D806-D1109),D200*CPR*MAX(0,MIN(2,'Loan Tape'!$AV196)-1))</f>
        <v>0</v>
      </c>
      <c r="E1412" s="99" t="n">
        <f aca="false">MIN(MAX(0,E200-E806-E1109),E200*CPR*MAX(0,MIN(3,'Loan Tape'!$AV196)-2))</f>
        <v>0</v>
      </c>
      <c r="F1412" s="99" t="n">
        <f aca="false">MIN(MAX(0,F200-F806-F1109),F200*CPR*MAX(0,MIN(4,'Loan Tape'!$AV196)-3))</f>
        <v>0</v>
      </c>
      <c r="G1412" s="99" t="n">
        <f aca="false">MIN(MAX(0,G200-G806-G1109),G200*CPR*MAX(0,MIN(5,'Loan Tape'!$AV196)-4))</f>
        <v>0</v>
      </c>
      <c r="H1412" s="99" t="n">
        <f aca="false">MIN(MAX(0,H200-H806-H1109),H200*CPR*MAX(0,MIN(6,'Loan Tape'!$AV196)-5))</f>
        <v>0</v>
      </c>
      <c r="I1412" s="99" t="n">
        <f aca="false">MIN(MAX(0,I200-I806-I1109),I200*CPR*MAX(0,MIN(7,'Loan Tape'!$AV196)-6))</f>
        <v>0</v>
      </c>
      <c r="J1412" s="99" t="n">
        <f aca="false">MIN(MAX(0,J200-J806-J1109),J200*CPR*MAX(0,MIN(8,'Loan Tape'!$AV196)-7))</f>
        <v>0</v>
      </c>
      <c r="K1412" s="99" t="n">
        <f aca="false">MIN(MAX(0,K200-K806-K1109),K200*CPR*MAX(0,MIN(9,'Loan Tape'!$AV196)-8))</f>
        <v>0</v>
      </c>
      <c r="L1412" s="99" t="n">
        <f aca="false">MIN(MAX(0,L200-L806-L1109),L200*CPR*MAX(0,MIN(10,'Loan Tape'!$AV196)-9))</f>
        <v>0</v>
      </c>
    </row>
    <row r="1413" customFormat="false" ht="15" hidden="false" customHeight="false" outlineLevel="0" collapsed="false">
      <c r="B1413" s="108" t="n">
        <f aca="false">'Loan Tape'!$A197</f>
        <v>0</v>
      </c>
      <c r="C1413" s="71" t="n">
        <f aca="false">MIN(MAX(0,C201-C807-C1110),C201*CPR*MAX(0,MIN(1,'Loan Tape'!$AV197)-0))</f>
        <v>0</v>
      </c>
      <c r="D1413" s="71" t="n">
        <f aca="false">MIN(MAX(0,D201-D807-D1110),D201*CPR*MAX(0,MIN(2,'Loan Tape'!$AV197)-1))</f>
        <v>0</v>
      </c>
      <c r="E1413" s="71" t="n">
        <f aca="false">MIN(MAX(0,E201-E807-E1110),E201*CPR*MAX(0,MIN(3,'Loan Tape'!$AV197)-2))</f>
        <v>0</v>
      </c>
      <c r="F1413" s="71" t="n">
        <f aca="false">MIN(MAX(0,F201-F807-F1110),F201*CPR*MAX(0,MIN(4,'Loan Tape'!$AV197)-3))</f>
        <v>0</v>
      </c>
      <c r="G1413" s="71" t="n">
        <f aca="false">MIN(MAX(0,G201-G807-G1110),G201*CPR*MAX(0,MIN(5,'Loan Tape'!$AV197)-4))</f>
        <v>0</v>
      </c>
      <c r="H1413" s="71" t="n">
        <f aca="false">MIN(MAX(0,H201-H807-H1110),H201*CPR*MAX(0,MIN(6,'Loan Tape'!$AV197)-5))</f>
        <v>0</v>
      </c>
      <c r="I1413" s="71" t="n">
        <f aca="false">MIN(MAX(0,I201-I807-I1110),I201*CPR*MAX(0,MIN(7,'Loan Tape'!$AV197)-6))</f>
        <v>0</v>
      </c>
      <c r="J1413" s="71" t="n">
        <f aca="false">MIN(MAX(0,J201-J807-J1110),J201*CPR*MAX(0,MIN(8,'Loan Tape'!$AV197)-7))</f>
        <v>0</v>
      </c>
      <c r="K1413" s="71" t="n">
        <f aca="false">MIN(MAX(0,K201-K807-K1110),K201*CPR*MAX(0,MIN(9,'Loan Tape'!$AV197)-8))</f>
        <v>0</v>
      </c>
      <c r="L1413" s="71" t="n">
        <f aca="false">MIN(MAX(0,L201-L807-L1110),L201*CPR*MAX(0,MIN(10,'Loan Tape'!$AV197)-9))</f>
        <v>0</v>
      </c>
    </row>
    <row r="1414" customFormat="false" ht="15" hidden="false" customHeight="false" outlineLevel="0" collapsed="false">
      <c r="B1414" s="102" t="n">
        <f aca="false">'Loan Tape'!$A198</f>
        <v>0</v>
      </c>
      <c r="C1414" s="99" t="n">
        <f aca="false">MIN(MAX(0,C202-C808-C1111),C202*CPR*MAX(0,MIN(1,'Loan Tape'!$AV198)-0))</f>
        <v>0</v>
      </c>
      <c r="D1414" s="99" t="n">
        <f aca="false">MIN(MAX(0,D202-D808-D1111),D202*CPR*MAX(0,MIN(2,'Loan Tape'!$AV198)-1))</f>
        <v>0</v>
      </c>
      <c r="E1414" s="99" t="n">
        <f aca="false">MIN(MAX(0,E202-E808-E1111),E202*CPR*MAX(0,MIN(3,'Loan Tape'!$AV198)-2))</f>
        <v>0</v>
      </c>
      <c r="F1414" s="99" t="n">
        <f aca="false">MIN(MAX(0,F202-F808-F1111),F202*CPR*MAX(0,MIN(4,'Loan Tape'!$AV198)-3))</f>
        <v>0</v>
      </c>
      <c r="G1414" s="99" t="n">
        <f aca="false">MIN(MAX(0,G202-G808-G1111),G202*CPR*MAX(0,MIN(5,'Loan Tape'!$AV198)-4))</f>
        <v>0</v>
      </c>
      <c r="H1414" s="99" t="n">
        <f aca="false">MIN(MAX(0,H202-H808-H1111),H202*CPR*MAX(0,MIN(6,'Loan Tape'!$AV198)-5))</f>
        <v>0</v>
      </c>
      <c r="I1414" s="99" t="n">
        <f aca="false">MIN(MAX(0,I202-I808-I1111),I202*CPR*MAX(0,MIN(7,'Loan Tape'!$AV198)-6))</f>
        <v>0</v>
      </c>
      <c r="J1414" s="99" t="n">
        <f aca="false">MIN(MAX(0,J202-J808-J1111),J202*CPR*MAX(0,MIN(8,'Loan Tape'!$AV198)-7))</f>
        <v>0</v>
      </c>
      <c r="K1414" s="99" t="n">
        <f aca="false">MIN(MAX(0,K202-K808-K1111),K202*CPR*MAX(0,MIN(9,'Loan Tape'!$AV198)-8))</f>
        <v>0</v>
      </c>
      <c r="L1414" s="99" t="n">
        <f aca="false">MIN(MAX(0,L202-L808-L1111),L202*CPR*MAX(0,MIN(10,'Loan Tape'!$AV198)-9))</f>
        <v>0</v>
      </c>
    </row>
    <row r="1415" customFormat="false" ht="15" hidden="false" customHeight="false" outlineLevel="0" collapsed="false">
      <c r="B1415" s="108" t="n">
        <f aca="false">'Loan Tape'!$A199</f>
        <v>0</v>
      </c>
      <c r="C1415" s="71" t="n">
        <f aca="false">MIN(MAX(0,C203-C809-C1112),C203*CPR*MAX(0,MIN(1,'Loan Tape'!$AV199)-0))</f>
        <v>0</v>
      </c>
      <c r="D1415" s="71" t="n">
        <f aca="false">MIN(MAX(0,D203-D809-D1112),D203*CPR*MAX(0,MIN(2,'Loan Tape'!$AV199)-1))</f>
        <v>0</v>
      </c>
      <c r="E1415" s="71" t="n">
        <f aca="false">MIN(MAX(0,E203-E809-E1112),E203*CPR*MAX(0,MIN(3,'Loan Tape'!$AV199)-2))</f>
        <v>0</v>
      </c>
      <c r="F1415" s="71" t="n">
        <f aca="false">MIN(MAX(0,F203-F809-F1112),F203*CPR*MAX(0,MIN(4,'Loan Tape'!$AV199)-3))</f>
        <v>0</v>
      </c>
      <c r="G1415" s="71" t="n">
        <f aca="false">MIN(MAX(0,G203-G809-G1112),G203*CPR*MAX(0,MIN(5,'Loan Tape'!$AV199)-4))</f>
        <v>0</v>
      </c>
      <c r="H1415" s="71" t="n">
        <f aca="false">MIN(MAX(0,H203-H809-H1112),H203*CPR*MAX(0,MIN(6,'Loan Tape'!$AV199)-5))</f>
        <v>0</v>
      </c>
      <c r="I1415" s="71" t="n">
        <f aca="false">MIN(MAX(0,I203-I809-I1112),I203*CPR*MAX(0,MIN(7,'Loan Tape'!$AV199)-6))</f>
        <v>0</v>
      </c>
      <c r="J1415" s="71" t="n">
        <f aca="false">MIN(MAX(0,J203-J809-J1112),J203*CPR*MAX(0,MIN(8,'Loan Tape'!$AV199)-7))</f>
        <v>0</v>
      </c>
      <c r="K1415" s="71" t="n">
        <f aca="false">MIN(MAX(0,K203-K809-K1112),K203*CPR*MAX(0,MIN(9,'Loan Tape'!$AV199)-8))</f>
        <v>0</v>
      </c>
      <c r="L1415" s="71" t="n">
        <f aca="false">MIN(MAX(0,L203-L809-L1112),L203*CPR*MAX(0,MIN(10,'Loan Tape'!$AV199)-9))</f>
        <v>0</v>
      </c>
    </row>
    <row r="1416" customFormat="false" ht="15" hidden="false" customHeight="false" outlineLevel="0" collapsed="false">
      <c r="B1416" s="102" t="n">
        <f aca="false">'Loan Tape'!$A200</f>
        <v>0</v>
      </c>
      <c r="C1416" s="99" t="n">
        <f aca="false">MIN(MAX(0,C204-C810-C1113),C204*CPR*MAX(0,MIN(1,'Loan Tape'!$AV200)-0))</f>
        <v>0</v>
      </c>
      <c r="D1416" s="99" t="n">
        <f aca="false">MIN(MAX(0,D204-D810-D1113),D204*CPR*MAX(0,MIN(2,'Loan Tape'!$AV200)-1))</f>
        <v>0</v>
      </c>
      <c r="E1416" s="99" t="n">
        <f aca="false">MIN(MAX(0,E204-E810-E1113),E204*CPR*MAX(0,MIN(3,'Loan Tape'!$AV200)-2))</f>
        <v>0</v>
      </c>
      <c r="F1416" s="99" t="n">
        <f aca="false">MIN(MAX(0,F204-F810-F1113),F204*CPR*MAX(0,MIN(4,'Loan Tape'!$AV200)-3))</f>
        <v>0</v>
      </c>
      <c r="G1416" s="99" t="n">
        <f aca="false">MIN(MAX(0,G204-G810-G1113),G204*CPR*MAX(0,MIN(5,'Loan Tape'!$AV200)-4))</f>
        <v>0</v>
      </c>
      <c r="H1416" s="99" t="n">
        <f aca="false">MIN(MAX(0,H204-H810-H1113),H204*CPR*MAX(0,MIN(6,'Loan Tape'!$AV200)-5))</f>
        <v>0</v>
      </c>
      <c r="I1416" s="99" t="n">
        <f aca="false">MIN(MAX(0,I204-I810-I1113),I204*CPR*MAX(0,MIN(7,'Loan Tape'!$AV200)-6))</f>
        <v>0</v>
      </c>
      <c r="J1416" s="99" t="n">
        <f aca="false">MIN(MAX(0,J204-J810-J1113),J204*CPR*MAX(0,MIN(8,'Loan Tape'!$AV200)-7))</f>
        <v>0</v>
      </c>
      <c r="K1416" s="99" t="n">
        <f aca="false">MIN(MAX(0,K204-K810-K1113),K204*CPR*MAX(0,MIN(9,'Loan Tape'!$AV200)-8))</f>
        <v>0</v>
      </c>
      <c r="L1416" s="99" t="n">
        <f aca="false">MIN(MAX(0,L204-L810-L1113),L204*CPR*MAX(0,MIN(10,'Loan Tape'!$AV200)-9))</f>
        <v>0</v>
      </c>
    </row>
    <row r="1417" customFormat="false" ht="15" hidden="false" customHeight="false" outlineLevel="0" collapsed="false">
      <c r="B1417" s="108" t="n">
        <f aca="false">'Loan Tape'!$A201</f>
        <v>0</v>
      </c>
      <c r="C1417" s="71" t="n">
        <f aca="false">MIN(MAX(0,C205-C811-C1114),C205*CPR*MAX(0,MIN(1,'Loan Tape'!$AV201)-0))</f>
        <v>0</v>
      </c>
      <c r="D1417" s="71" t="n">
        <f aca="false">MIN(MAX(0,D205-D811-D1114),D205*CPR*MAX(0,MIN(2,'Loan Tape'!$AV201)-1))</f>
        <v>0</v>
      </c>
      <c r="E1417" s="71" t="n">
        <f aca="false">MIN(MAX(0,E205-E811-E1114),E205*CPR*MAX(0,MIN(3,'Loan Tape'!$AV201)-2))</f>
        <v>0</v>
      </c>
      <c r="F1417" s="71" t="n">
        <f aca="false">MIN(MAX(0,F205-F811-F1114),F205*CPR*MAX(0,MIN(4,'Loan Tape'!$AV201)-3))</f>
        <v>0</v>
      </c>
      <c r="G1417" s="71" t="n">
        <f aca="false">MIN(MAX(0,G205-G811-G1114),G205*CPR*MAX(0,MIN(5,'Loan Tape'!$AV201)-4))</f>
        <v>0</v>
      </c>
      <c r="H1417" s="71" t="n">
        <f aca="false">MIN(MAX(0,H205-H811-H1114),H205*CPR*MAX(0,MIN(6,'Loan Tape'!$AV201)-5))</f>
        <v>0</v>
      </c>
      <c r="I1417" s="71" t="n">
        <f aca="false">MIN(MAX(0,I205-I811-I1114),I205*CPR*MAX(0,MIN(7,'Loan Tape'!$AV201)-6))</f>
        <v>0</v>
      </c>
      <c r="J1417" s="71" t="n">
        <f aca="false">MIN(MAX(0,J205-J811-J1114),J205*CPR*MAX(0,MIN(8,'Loan Tape'!$AV201)-7))</f>
        <v>0</v>
      </c>
      <c r="K1417" s="71" t="n">
        <f aca="false">MIN(MAX(0,K205-K811-K1114),K205*CPR*MAX(0,MIN(9,'Loan Tape'!$AV201)-8))</f>
        <v>0</v>
      </c>
      <c r="L1417" s="71" t="n">
        <f aca="false">MIN(MAX(0,L205-L811-L1114),L205*CPR*MAX(0,MIN(10,'Loan Tape'!$AV201)-9))</f>
        <v>0</v>
      </c>
    </row>
    <row r="1418" customFormat="false" ht="15" hidden="false" customHeight="false" outlineLevel="0" collapsed="false">
      <c r="B1418" s="102" t="n">
        <f aca="false">'Loan Tape'!$A202</f>
        <v>0</v>
      </c>
      <c r="C1418" s="99" t="n">
        <f aca="false">MIN(MAX(0,C206-C812-C1115),C206*CPR*MAX(0,MIN(1,'Loan Tape'!$AV202)-0))</f>
        <v>0</v>
      </c>
      <c r="D1418" s="99" t="n">
        <f aca="false">MIN(MAX(0,D206-D812-D1115),D206*CPR*MAX(0,MIN(2,'Loan Tape'!$AV202)-1))</f>
        <v>0</v>
      </c>
      <c r="E1418" s="99" t="n">
        <f aca="false">MIN(MAX(0,E206-E812-E1115),E206*CPR*MAX(0,MIN(3,'Loan Tape'!$AV202)-2))</f>
        <v>0</v>
      </c>
      <c r="F1418" s="99" t="n">
        <f aca="false">MIN(MAX(0,F206-F812-F1115),F206*CPR*MAX(0,MIN(4,'Loan Tape'!$AV202)-3))</f>
        <v>0</v>
      </c>
      <c r="G1418" s="99" t="n">
        <f aca="false">MIN(MAX(0,G206-G812-G1115),G206*CPR*MAX(0,MIN(5,'Loan Tape'!$AV202)-4))</f>
        <v>0</v>
      </c>
      <c r="H1418" s="99" t="n">
        <f aca="false">MIN(MAX(0,H206-H812-H1115),H206*CPR*MAX(0,MIN(6,'Loan Tape'!$AV202)-5))</f>
        <v>0</v>
      </c>
      <c r="I1418" s="99" t="n">
        <f aca="false">MIN(MAX(0,I206-I812-I1115),I206*CPR*MAX(0,MIN(7,'Loan Tape'!$AV202)-6))</f>
        <v>0</v>
      </c>
      <c r="J1418" s="99" t="n">
        <f aca="false">MIN(MAX(0,J206-J812-J1115),J206*CPR*MAX(0,MIN(8,'Loan Tape'!$AV202)-7))</f>
        <v>0</v>
      </c>
      <c r="K1418" s="99" t="n">
        <f aca="false">MIN(MAX(0,K206-K812-K1115),K206*CPR*MAX(0,MIN(9,'Loan Tape'!$AV202)-8))</f>
        <v>0</v>
      </c>
      <c r="L1418" s="99" t="n">
        <f aca="false">MIN(MAX(0,L206-L812-L1115),L206*CPR*MAX(0,MIN(10,'Loan Tape'!$AV202)-9))</f>
        <v>0</v>
      </c>
    </row>
    <row r="1419" customFormat="false" ht="15" hidden="false" customHeight="false" outlineLevel="0" collapsed="false">
      <c r="B1419" s="108" t="n">
        <f aca="false">'Loan Tape'!$A203</f>
        <v>0</v>
      </c>
      <c r="C1419" s="71" t="n">
        <f aca="false">MIN(MAX(0,C207-C813-C1116),C207*CPR*MAX(0,MIN(1,'Loan Tape'!$AV203)-0))</f>
        <v>0</v>
      </c>
      <c r="D1419" s="71" t="n">
        <f aca="false">MIN(MAX(0,D207-D813-D1116),D207*CPR*MAX(0,MIN(2,'Loan Tape'!$AV203)-1))</f>
        <v>0</v>
      </c>
      <c r="E1419" s="71" t="n">
        <f aca="false">MIN(MAX(0,E207-E813-E1116),E207*CPR*MAX(0,MIN(3,'Loan Tape'!$AV203)-2))</f>
        <v>0</v>
      </c>
      <c r="F1419" s="71" t="n">
        <f aca="false">MIN(MAX(0,F207-F813-F1116),F207*CPR*MAX(0,MIN(4,'Loan Tape'!$AV203)-3))</f>
        <v>0</v>
      </c>
      <c r="G1419" s="71" t="n">
        <f aca="false">MIN(MAX(0,G207-G813-G1116),G207*CPR*MAX(0,MIN(5,'Loan Tape'!$AV203)-4))</f>
        <v>0</v>
      </c>
      <c r="H1419" s="71" t="n">
        <f aca="false">MIN(MAX(0,H207-H813-H1116),H207*CPR*MAX(0,MIN(6,'Loan Tape'!$AV203)-5))</f>
        <v>0</v>
      </c>
      <c r="I1419" s="71" t="n">
        <f aca="false">MIN(MAX(0,I207-I813-I1116),I207*CPR*MAX(0,MIN(7,'Loan Tape'!$AV203)-6))</f>
        <v>0</v>
      </c>
      <c r="J1419" s="71" t="n">
        <f aca="false">MIN(MAX(0,J207-J813-J1116),J207*CPR*MAX(0,MIN(8,'Loan Tape'!$AV203)-7))</f>
        <v>0</v>
      </c>
      <c r="K1419" s="71" t="n">
        <f aca="false">MIN(MAX(0,K207-K813-K1116),K207*CPR*MAX(0,MIN(9,'Loan Tape'!$AV203)-8))</f>
        <v>0</v>
      </c>
      <c r="L1419" s="71" t="n">
        <f aca="false">MIN(MAX(0,L207-L813-L1116),L207*CPR*MAX(0,MIN(10,'Loan Tape'!$AV203)-9))</f>
        <v>0</v>
      </c>
    </row>
    <row r="1420" customFormat="false" ht="15" hidden="false" customHeight="false" outlineLevel="0" collapsed="false">
      <c r="B1420" s="102" t="n">
        <f aca="false">'Loan Tape'!$A204</f>
        <v>0</v>
      </c>
      <c r="C1420" s="99" t="n">
        <f aca="false">MIN(MAX(0,C208-C814-C1117),C208*CPR*MAX(0,MIN(1,'Loan Tape'!$AV204)-0))</f>
        <v>0</v>
      </c>
      <c r="D1420" s="99" t="n">
        <f aca="false">MIN(MAX(0,D208-D814-D1117),D208*CPR*MAX(0,MIN(2,'Loan Tape'!$AV204)-1))</f>
        <v>0</v>
      </c>
      <c r="E1420" s="99" t="n">
        <f aca="false">MIN(MAX(0,E208-E814-E1117),E208*CPR*MAX(0,MIN(3,'Loan Tape'!$AV204)-2))</f>
        <v>0</v>
      </c>
      <c r="F1420" s="99" t="n">
        <f aca="false">MIN(MAX(0,F208-F814-F1117),F208*CPR*MAX(0,MIN(4,'Loan Tape'!$AV204)-3))</f>
        <v>0</v>
      </c>
      <c r="G1420" s="99" t="n">
        <f aca="false">MIN(MAX(0,G208-G814-G1117),G208*CPR*MAX(0,MIN(5,'Loan Tape'!$AV204)-4))</f>
        <v>0</v>
      </c>
      <c r="H1420" s="99" t="n">
        <f aca="false">MIN(MAX(0,H208-H814-H1117),H208*CPR*MAX(0,MIN(6,'Loan Tape'!$AV204)-5))</f>
        <v>0</v>
      </c>
      <c r="I1420" s="99" t="n">
        <f aca="false">MIN(MAX(0,I208-I814-I1117),I208*CPR*MAX(0,MIN(7,'Loan Tape'!$AV204)-6))</f>
        <v>0</v>
      </c>
      <c r="J1420" s="99" t="n">
        <f aca="false">MIN(MAX(0,J208-J814-J1117),J208*CPR*MAX(0,MIN(8,'Loan Tape'!$AV204)-7))</f>
        <v>0</v>
      </c>
      <c r="K1420" s="99" t="n">
        <f aca="false">MIN(MAX(0,K208-K814-K1117),K208*CPR*MAX(0,MIN(9,'Loan Tape'!$AV204)-8))</f>
        <v>0</v>
      </c>
      <c r="L1420" s="99" t="n">
        <f aca="false">MIN(MAX(0,L208-L814-L1117),L208*CPR*MAX(0,MIN(10,'Loan Tape'!$AV204)-9))</f>
        <v>0</v>
      </c>
    </row>
    <row r="1421" customFormat="false" ht="15" hidden="false" customHeight="false" outlineLevel="0" collapsed="false">
      <c r="B1421" s="108" t="n">
        <f aca="false">'Loan Tape'!$A205</f>
        <v>0</v>
      </c>
      <c r="C1421" s="71" t="n">
        <f aca="false">MIN(MAX(0,C209-C815-C1118),C209*CPR*MAX(0,MIN(1,'Loan Tape'!$AV205)-0))</f>
        <v>0</v>
      </c>
      <c r="D1421" s="71" t="n">
        <f aca="false">MIN(MAX(0,D209-D815-D1118),D209*CPR*MAX(0,MIN(2,'Loan Tape'!$AV205)-1))</f>
        <v>0</v>
      </c>
      <c r="E1421" s="71" t="n">
        <f aca="false">MIN(MAX(0,E209-E815-E1118),E209*CPR*MAX(0,MIN(3,'Loan Tape'!$AV205)-2))</f>
        <v>0</v>
      </c>
      <c r="F1421" s="71" t="n">
        <f aca="false">MIN(MAX(0,F209-F815-F1118),F209*CPR*MAX(0,MIN(4,'Loan Tape'!$AV205)-3))</f>
        <v>0</v>
      </c>
      <c r="G1421" s="71" t="n">
        <f aca="false">MIN(MAX(0,G209-G815-G1118),G209*CPR*MAX(0,MIN(5,'Loan Tape'!$AV205)-4))</f>
        <v>0</v>
      </c>
      <c r="H1421" s="71" t="n">
        <f aca="false">MIN(MAX(0,H209-H815-H1118),H209*CPR*MAX(0,MIN(6,'Loan Tape'!$AV205)-5))</f>
        <v>0</v>
      </c>
      <c r="I1421" s="71" t="n">
        <f aca="false">MIN(MAX(0,I209-I815-I1118),I209*CPR*MAX(0,MIN(7,'Loan Tape'!$AV205)-6))</f>
        <v>0</v>
      </c>
      <c r="J1421" s="71" t="n">
        <f aca="false">MIN(MAX(0,J209-J815-J1118),J209*CPR*MAX(0,MIN(8,'Loan Tape'!$AV205)-7))</f>
        <v>0</v>
      </c>
      <c r="K1421" s="71" t="n">
        <f aca="false">MIN(MAX(0,K209-K815-K1118),K209*CPR*MAX(0,MIN(9,'Loan Tape'!$AV205)-8))</f>
        <v>0</v>
      </c>
      <c r="L1421" s="71" t="n">
        <f aca="false">MIN(MAX(0,L209-L815-L1118),L209*CPR*MAX(0,MIN(10,'Loan Tape'!$AV205)-9))</f>
        <v>0</v>
      </c>
    </row>
    <row r="1422" customFormat="false" ht="15" hidden="false" customHeight="false" outlineLevel="0" collapsed="false">
      <c r="B1422" s="102" t="n">
        <f aca="false">'Loan Tape'!$A206</f>
        <v>0</v>
      </c>
      <c r="C1422" s="99" t="n">
        <f aca="false">MIN(MAX(0,C210-C816-C1119),C210*CPR*MAX(0,MIN(1,'Loan Tape'!$AV206)-0))</f>
        <v>0</v>
      </c>
      <c r="D1422" s="99" t="n">
        <f aca="false">MIN(MAX(0,D210-D816-D1119),D210*CPR*MAX(0,MIN(2,'Loan Tape'!$AV206)-1))</f>
        <v>0</v>
      </c>
      <c r="E1422" s="99" t="n">
        <f aca="false">MIN(MAX(0,E210-E816-E1119),E210*CPR*MAX(0,MIN(3,'Loan Tape'!$AV206)-2))</f>
        <v>0</v>
      </c>
      <c r="F1422" s="99" t="n">
        <f aca="false">MIN(MAX(0,F210-F816-F1119),F210*CPR*MAX(0,MIN(4,'Loan Tape'!$AV206)-3))</f>
        <v>0</v>
      </c>
      <c r="G1422" s="99" t="n">
        <f aca="false">MIN(MAX(0,G210-G816-G1119),G210*CPR*MAX(0,MIN(5,'Loan Tape'!$AV206)-4))</f>
        <v>0</v>
      </c>
      <c r="H1422" s="99" t="n">
        <f aca="false">MIN(MAX(0,H210-H816-H1119),H210*CPR*MAX(0,MIN(6,'Loan Tape'!$AV206)-5))</f>
        <v>0</v>
      </c>
      <c r="I1422" s="99" t="n">
        <f aca="false">MIN(MAX(0,I210-I816-I1119),I210*CPR*MAX(0,MIN(7,'Loan Tape'!$AV206)-6))</f>
        <v>0</v>
      </c>
      <c r="J1422" s="99" t="n">
        <f aca="false">MIN(MAX(0,J210-J816-J1119),J210*CPR*MAX(0,MIN(8,'Loan Tape'!$AV206)-7))</f>
        <v>0</v>
      </c>
      <c r="K1422" s="99" t="n">
        <f aca="false">MIN(MAX(0,K210-K816-K1119),K210*CPR*MAX(0,MIN(9,'Loan Tape'!$AV206)-8))</f>
        <v>0</v>
      </c>
      <c r="L1422" s="99" t="n">
        <f aca="false">MIN(MAX(0,L210-L816-L1119),L210*CPR*MAX(0,MIN(10,'Loan Tape'!$AV206)-9))</f>
        <v>0</v>
      </c>
    </row>
    <row r="1423" customFormat="false" ht="15" hidden="false" customHeight="false" outlineLevel="0" collapsed="false">
      <c r="B1423" s="108" t="n">
        <f aca="false">'Loan Tape'!$A207</f>
        <v>0</v>
      </c>
      <c r="C1423" s="71" t="n">
        <f aca="false">MIN(MAX(0,C211-C817-C1120),C211*CPR*MAX(0,MIN(1,'Loan Tape'!$AV207)-0))</f>
        <v>0</v>
      </c>
      <c r="D1423" s="71" t="n">
        <f aca="false">MIN(MAX(0,D211-D817-D1120),D211*CPR*MAX(0,MIN(2,'Loan Tape'!$AV207)-1))</f>
        <v>0</v>
      </c>
      <c r="E1423" s="71" t="n">
        <f aca="false">MIN(MAX(0,E211-E817-E1120),E211*CPR*MAX(0,MIN(3,'Loan Tape'!$AV207)-2))</f>
        <v>0</v>
      </c>
      <c r="F1423" s="71" t="n">
        <f aca="false">MIN(MAX(0,F211-F817-F1120),F211*CPR*MAX(0,MIN(4,'Loan Tape'!$AV207)-3))</f>
        <v>0</v>
      </c>
      <c r="G1423" s="71" t="n">
        <f aca="false">MIN(MAX(0,G211-G817-G1120),G211*CPR*MAX(0,MIN(5,'Loan Tape'!$AV207)-4))</f>
        <v>0</v>
      </c>
      <c r="H1423" s="71" t="n">
        <f aca="false">MIN(MAX(0,H211-H817-H1120),H211*CPR*MAX(0,MIN(6,'Loan Tape'!$AV207)-5))</f>
        <v>0</v>
      </c>
      <c r="I1423" s="71" t="n">
        <f aca="false">MIN(MAX(0,I211-I817-I1120),I211*CPR*MAX(0,MIN(7,'Loan Tape'!$AV207)-6))</f>
        <v>0</v>
      </c>
      <c r="J1423" s="71" t="n">
        <f aca="false">MIN(MAX(0,J211-J817-J1120),J211*CPR*MAX(0,MIN(8,'Loan Tape'!$AV207)-7))</f>
        <v>0</v>
      </c>
      <c r="K1423" s="71" t="n">
        <f aca="false">MIN(MAX(0,K211-K817-K1120),K211*CPR*MAX(0,MIN(9,'Loan Tape'!$AV207)-8))</f>
        <v>0</v>
      </c>
      <c r="L1423" s="71" t="n">
        <f aca="false">MIN(MAX(0,L211-L817-L1120),L211*CPR*MAX(0,MIN(10,'Loan Tape'!$AV207)-9))</f>
        <v>0</v>
      </c>
    </row>
    <row r="1424" customFormat="false" ht="15" hidden="false" customHeight="false" outlineLevel="0" collapsed="false">
      <c r="B1424" s="102" t="n">
        <f aca="false">'Loan Tape'!$A208</f>
        <v>0</v>
      </c>
      <c r="C1424" s="99" t="n">
        <f aca="false">MIN(MAX(0,C212-C818-C1121),C212*CPR*MAX(0,MIN(1,'Loan Tape'!$AV208)-0))</f>
        <v>0</v>
      </c>
      <c r="D1424" s="99" t="n">
        <f aca="false">MIN(MAX(0,D212-D818-D1121),D212*CPR*MAX(0,MIN(2,'Loan Tape'!$AV208)-1))</f>
        <v>0</v>
      </c>
      <c r="E1424" s="99" t="n">
        <f aca="false">MIN(MAX(0,E212-E818-E1121),E212*CPR*MAX(0,MIN(3,'Loan Tape'!$AV208)-2))</f>
        <v>0</v>
      </c>
      <c r="F1424" s="99" t="n">
        <f aca="false">MIN(MAX(0,F212-F818-F1121),F212*CPR*MAX(0,MIN(4,'Loan Tape'!$AV208)-3))</f>
        <v>0</v>
      </c>
      <c r="G1424" s="99" t="n">
        <f aca="false">MIN(MAX(0,G212-G818-G1121),G212*CPR*MAX(0,MIN(5,'Loan Tape'!$AV208)-4))</f>
        <v>0</v>
      </c>
      <c r="H1424" s="99" t="n">
        <f aca="false">MIN(MAX(0,H212-H818-H1121),H212*CPR*MAX(0,MIN(6,'Loan Tape'!$AV208)-5))</f>
        <v>0</v>
      </c>
      <c r="I1424" s="99" t="n">
        <f aca="false">MIN(MAX(0,I212-I818-I1121),I212*CPR*MAX(0,MIN(7,'Loan Tape'!$AV208)-6))</f>
        <v>0</v>
      </c>
      <c r="J1424" s="99" t="n">
        <f aca="false">MIN(MAX(0,J212-J818-J1121),J212*CPR*MAX(0,MIN(8,'Loan Tape'!$AV208)-7))</f>
        <v>0</v>
      </c>
      <c r="K1424" s="99" t="n">
        <f aca="false">MIN(MAX(0,K212-K818-K1121),K212*CPR*MAX(0,MIN(9,'Loan Tape'!$AV208)-8))</f>
        <v>0</v>
      </c>
      <c r="L1424" s="99" t="n">
        <f aca="false">MIN(MAX(0,L212-L818-L1121),L212*CPR*MAX(0,MIN(10,'Loan Tape'!$AV208)-9))</f>
        <v>0</v>
      </c>
    </row>
    <row r="1425" customFormat="false" ht="15" hidden="false" customHeight="false" outlineLevel="0" collapsed="false">
      <c r="B1425" s="108" t="n">
        <f aca="false">'Loan Tape'!$A209</f>
        <v>0</v>
      </c>
      <c r="C1425" s="71" t="n">
        <f aca="false">MIN(MAX(0,C213-C819-C1122),C213*CPR*MAX(0,MIN(1,'Loan Tape'!$AV209)-0))</f>
        <v>0</v>
      </c>
      <c r="D1425" s="71" t="n">
        <f aca="false">MIN(MAX(0,D213-D819-D1122),D213*CPR*MAX(0,MIN(2,'Loan Tape'!$AV209)-1))</f>
        <v>0</v>
      </c>
      <c r="E1425" s="71" t="n">
        <f aca="false">MIN(MAX(0,E213-E819-E1122),E213*CPR*MAX(0,MIN(3,'Loan Tape'!$AV209)-2))</f>
        <v>0</v>
      </c>
      <c r="F1425" s="71" t="n">
        <f aca="false">MIN(MAX(0,F213-F819-F1122),F213*CPR*MAX(0,MIN(4,'Loan Tape'!$AV209)-3))</f>
        <v>0</v>
      </c>
      <c r="G1425" s="71" t="n">
        <f aca="false">MIN(MAX(0,G213-G819-G1122),G213*CPR*MAX(0,MIN(5,'Loan Tape'!$AV209)-4))</f>
        <v>0</v>
      </c>
      <c r="H1425" s="71" t="n">
        <f aca="false">MIN(MAX(0,H213-H819-H1122),H213*CPR*MAX(0,MIN(6,'Loan Tape'!$AV209)-5))</f>
        <v>0</v>
      </c>
      <c r="I1425" s="71" t="n">
        <f aca="false">MIN(MAX(0,I213-I819-I1122),I213*CPR*MAX(0,MIN(7,'Loan Tape'!$AV209)-6))</f>
        <v>0</v>
      </c>
      <c r="J1425" s="71" t="n">
        <f aca="false">MIN(MAX(0,J213-J819-J1122),J213*CPR*MAX(0,MIN(8,'Loan Tape'!$AV209)-7))</f>
        <v>0</v>
      </c>
      <c r="K1425" s="71" t="n">
        <f aca="false">MIN(MAX(0,K213-K819-K1122),K213*CPR*MAX(0,MIN(9,'Loan Tape'!$AV209)-8))</f>
        <v>0</v>
      </c>
      <c r="L1425" s="71" t="n">
        <f aca="false">MIN(MAX(0,L213-L819-L1122),L213*CPR*MAX(0,MIN(10,'Loan Tape'!$AV209)-9))</f>
        <v>0</v>
      </c>
    </row>
    <row r="1426" customFormat="false" ht="15" hidden="false" customHeight="false" outlineLevel="0" collapsed="false">
      <c r="B1426" s="102" t="n">
        <f aca="false">'Loan Tape'!$A210</f>
        <v>0</v>
      </c>
      <c r="C1426" s="99" t="n">
        <f aca="false">MIN(MAX(0,C214-C820-C1123),C214*CPR*MAX(0,MIN(1,'Loan Tape'!$AV210)-0))</f>
        <v>0</v>
      </c>
      <c r="D1426" s="99" t="n">
        <f aca="false">MIN(MAX(0,D214-D820-D1123),D214*CPR*MAX(0,MIN(2,'Loan Tape'!$AV210)-1))</f>
        <v>0</v>
      </c>
      <c r="E1426" s="99" t="n">
        <f aca="false">MIN(MAX(0,E214-E820-E1123),E214*CPR*MAX(0,MIN(3,'Loan Tape'!$AV210)-2))</f>
        <v>0</v>
      </c>
      <c r="F1426" s="99" t="n">
        <f aca="false">MIN(MAX(0,F214-F820-F1123),F214*CPR*MAX(0,MIN(4,'Loan Tape'!$AV210)-3))</f>
        <v>0</v>
      </c>
      <c r="G1426" s="99" t="n">
        <f aca="false">MIN(MAX(0,G214-G820-G1123),G214*CPR*MAX(0,MIN(5,'Loan Tape'!$AV210)-4))</f>
        <v>0</v>
      </c>
      <c r="H1426" s="99" t="n">
        <f aca="false">MIN(MAX(0,H214-H820-H1123),H214*CPR*MAX(0,MIN(6,'Loan Tape'!$AV210)-5))</f>
        <v>0</v>
      </c>
      <c r="I1426" s="99" t="n">
        <f aca="false">MIN(MAX(0,I214-I820-I1123),I214*CPR*MAX(0,MIN(7,'Loan Tape'!$AV210)-6))</f>
        <v>0</v>
      </c>
      <c r="J1426" s="99" t="n">
        <f aca="false">MIN(MAX(0,J214-J820-J1123),J214*CPR*MAX(0,MIN(8,'Loan Tape'!$AV210)-7))</f>
        <v>0</v>
      </c>
      <c r="K1426" s="99" t="n">
        <f aca="false">MIN(MAX(0,K214-K820-K1123),K214*CPR*MAX(0,MIN(9,'Loan Tape'!$AV210)-8))</f>
        <v>0</v>
      </c>
      <c r="L1426" s="99" t="n">
        <f aca="false">MIN(MAX(0,L214-L820-L1123),L214*CPR*MAX(0,MIN(10,'Loan Tape'!$AV210)-9))</f>
        <v>0</v>
      </c>
    </row>
    <row r="1427" customFormat="false" ht="15" hidden="false" customHeight="false" outlineLevel="0" collapsed="false">
      <c r="B1427" s="108" t="n">
        <f aca="false">'Loan Tape'!$A211</f>
        <v>0</v>
      </c>
      <c r="C1427" s="71" t="n">
        <f aca="false">MIN(MAX(0,C215-C821-C1124),C215*CPR*MAX(0,MIN(1,'Loan Tape'!$AV211)-0))</f>
        <v>0</v>
      </c>
      <c r="D1427" s="71" t="n">
        <f aca="false">MIN(MAX(0,D215-D821-D1124),D215*CPR*MAX(0,MIN(2,'Loan Tape'!$AV211)-1))</f>
        <v>0</v>
      </c>
      <c r="E1427" s="71" t="n">
        <f aca="false">MIN(MAX(0,E215-E821-E1124),E215*CPR*MAX(0,MIN(3,'Loan Tape'!$AV211)-2))</f>
        <v>0</v>
      </c>
      <c r="F1427" s="71" t="n">
        <f aca="false">MIN(MAX(0,F215-F821-F1124),F215*CPR*MAX(0,MIN(4,'Loan Tape'!$AV211)-3))</f>
        <v>0</v>
      </c>
      <c r="G1427" s="71" t="n">
        <f aca="false">MIN(MAX(0,G215-G821-G1124),G215*CPR*MAX(0,MIN(5,'Loan Tape'!$AV211)-4))</f>
        <v>0</v>
      </c>
      <c r="H1427" s="71" t="n">
        <f aca="false">MIN(MAX(0,H215-H821-H1124),H215*CPR*MAX(0,MIN(6,'Loan Tape'!$AV211)-5))</f>
        <v>0</v>
      </c>
      <c r="I1427" s="71" t="n">
        <f aca="false">MIN(MAX(0,I215-I821-I1124),I215*CPR*MAX(0,MIN(7,'Loan Tape'!$AV211)-6))</f>
        <v>0</v>
      </c>
      <c r="J1427" s="71" t="n">
        <f aca="false">MIN(MAX(0,J215-J821-J1124),J215*CPR*MAX(0,MIN(8,'Loan Tape'!$AV211)-7))</f>
        <v>0</v>
      </c>
      <c r="K1427" s="71" t="n">
        <f aca="false">MIN(MAX(0,K215-K821-K1124),K215*CPR*MAX(0,MIN(9,'Loan Tape'!$AV211)-8))</f>
        <v>0</v>
      </c>
      <c r="L1427" s="71" t="n">
        <f aca="false">MIN(MAX(0,L215-L821-L1124),L215*CPR*MAX(0,MIN(10,'Loan Tape'!$AV211)-9))</f>
        <v>0</v>
      </c>
    </row>
    <row r="1428" customFormat="false" ht="15" hidden="false" customHeight="false" outlineLevel="0" collapsed="false">
      <c r="B1428" s="102" t="n">
        <f aca="false">'Loan Tape'!$A212</f>
        <v>0</v>
      </c>
      <c r="C1428" s="99" t="n">
        <f aca="false">MIN(MAX(0,C216-C822-C1125),C216*CPR*MAX(0,MIN(1,'Loan Tape'!$AV212)-0))</f>
        <v>0</v>
      </c>
      <c r="D1428" s="99" t="n">
        <f aca="false">MIN(MAX(0,D216-D822-D1125),D216*CPR*MAX(0,MIN(2,'Loan Tape'!$AV212)-1))</f>
        <v>0</v>
      </c>
      <c r="E1428" s="99" t="n">
        <f aca="false">MIN(MAX(0,E216-E822-E1125),E216*CPR*MAX(0,MIN(3,'Loan Tape'!$AV212)-2))</f>
        <v>0</v>
      </c>
      <c r="F1428" s="99" t="n">
        <f aca="false">MIN(MAX(0,F216-F822-F1125),F216*CPR*MAX(0,MIN(4,'Loan Tape'!$AV212)-3))</f>
        <v>0</v>
      </c>
      <c r="G1428" s="99" t="n">
        <f aca="false">MIN(MAX(0,G216-G822-G1125),G216*CPR*MAX(0,MIN(5,'Loan Tape'!$AV212)-4))</f>
        <v>0</v>
      </c>
      <c r="H1428" s="99" t="n">
        <f aca="false">MIN(MAX(0,H216-H822-H1125),H216*CPR*MAX(0,MIN(6,'Loan Tape'!$AV212)-5))</f>
        <v>0</v>
      </c>
      <c r="I1428" s="99" t="n">
        <f aca="false">MIN(MAX(0,I216-I822-I1125),I216*CPR*MAX(0,MIN(7,'Loan Tape'!$AV212)-6))</f>
        <v>0</v>
      </c>
      <c r="J1428" s="99" t="n">
        <f aca="false">MIN(MAX(0,J216-J822-J1125),J216*CPR*MAX(0,MIN(8,'Loan Tape'!$AV212)-7))</f>
        <v>0</v>
      </c>
      <c r="K1428" s="99" t="n">
        <f aca="false">MIN(MAX(0,K216-K822-K1125),K216*CPR*MAX(0,MIN(9,'Loan Tape'!$AV212)-8))</f>
        <v>0</v>
      </c>
      <c r="L1428" s="99" t="n">
        <f aca="false">MIN(MAX(0,L216-L822-L1125),L216*CPR*MAX(0,MIN(10,'Loan Tape'!$AV212)-9))</f>
        <v>0</v>
      </c>
    </row>
    <row r="1429" customFormat="false" ht="15" hidden="false" customHeight="false" outlineLevel="0" collapsed="false">
      <c r="B1429" s="108" t="n">
        <f aca="false">'Loan Tape'!$A213</f>
        <v>0</v>
      </c>
      <c r="C1429" s="71" t="n">
        <f aca="false">MIN(MAX(0,C217-C823-C1126),C217*CPR*MAX(0,MIN(1,'Loan Tape'!$AV213)-0))</f>
        <v>0</v>
      </c>
      <c r="D1429" s="71" t="n">
        <f aca="false">MIN(MAX(0,D217-D823-D1126),D217*CPR*MAX(0,MIN(2,'Loan Tape'!$AV213)-1))</f>
        <v>0</v>
      </c>
      <c r="E1429" s="71" t="n">
        <f aca="false">MIN(MAX(0,E217-E823-E1126),E217*CPR*MAX(0,MIN(3,'Loan Tape'!$AV213)-2))</f>
        <v>0</v>
      </c>
      <c r="F1429" s="71" t="n">
        <f aca="false">MIN(MAX(0,F217-F823-F1126),F217*CPR*MAX(0,MIN(4,'Loan Tape'!$AV213)-3))</f>
        <v>0</v>
      </c>
      <c r="G1429" s="71" t="n">
        <f aca="false">MIN(MAX(0,G217-G823-G1126),G217*CPR*MAX(0,MIN(5,'Loan Tape'!$AV213)-4))</f>
        <v>0</v>
      </c>
      <c r="H1429" s="71" t="n">
        <f aca="false">MIN(MAX(0,H217-H823-H1126),H217*CPR*MAX(0,MIN(6,'Loan Tape'!$AV213)-5))</f>
        <v>0</v>
      </c>
      <c r="I1429" s="71" t="n">
        <f aca="false">MIN(MAX(0,I217-I823-I1126),I217*CPR*MAX(0,MIN(7,'Loan Tape'!$AV213)-6))</f>
        <v>0</v>
      </c>
      <c r="J1429" s="71" t="n">
        <f aca="false">MIN(MAX(0,J217-J823-J1126),J217*CPR*MAX(0,MIN(8,'Loan Tape'!$AV213)-7))</f>
        <v>0</v>
      </c>
      <c r="K1429" s="71" t="n">
        <f aca="false">MIN(MAX(0,K217-K823-K1126),K217*CPR*MAX(0,MIN(9,'Loan Tape'!$AV213)-8))</f>
        <v>0</v>
      </c>
      <c r="L1429" s="71" t="n">
        <f aca="false">MIN(MAX(0,L217-L823-L1126),L217*CPR*MAX(0,MIN(10,'Loan Tape'!$AV213)-9))</f>
        <v>0</v>
      </c>
    </row>
    <row r="1430" customFormat="false" ht="15" hidden="false" customHeight="false" outlineLevel="0" collapsed="false">
      <c r="B1430" s="102" t="n">
        <f aca="false">'Loan Tape'!$A214</f>
        <v>0</v>
      </c>
      <c r="C1430" s="99" t="n">
        <f aca="false">MIN(MAX(0,C218-C824-C1127),C218*CPR*MAX(0,MIN(1,'Loan Tape'!$AV214)-0))</f>
        <v>0</v>
      </c>
      <c r="D1430" s="99" t="n">
        <f aca="false">MIN(MAX(0,D218-D824-D1127),D218*CPR*MAX(0,MIN(2,'Loan Tape'!$AV214)-1))</f>
        <v>0</v>
      </c>
      <c r="E1430" s="99" t="n">
        <f aca="false">MIN(MAX(0,E218-E824-E1127),E218*CPR*MAX(0,MIN(3,'Loan Tape'!$AV214)-2))</f>
        <v>0</v>
      </c>
      <c r="F1430" s="99" t="n">
        <f aca="false">MIN(MAX(0,F218-F824-F1127),F218*CPR*MAX(0,MIN(4,'Loan Tape'!$AV214)-3))</f>
        <v>0</v>
      </c>
      <c r="G1430" s="99" t="n">
        <f aca="false">MIN(MAX(0,G218-G824-G1127),G218*CPR*MAX(0,MIN(5,'Loan Tape'!$AV214)-4))</f>
        <v>0</v>
      </c>
      <c r="H1430" s="99" t="n">
        <f aca="false">MIN(MAX(0,H218-H824-H1127),H218*CPR*MAX(0,MIN(6,'Loan Tape'!$AV214)-5))</f>
        <v>0</v>
      </c>
      <c r="I1430" s="99" t="n">
        <f aca="false">MIN(MAX(0,I218-I824-I1127),I218*CPR*MAX(0,MIN(7,'Loan Tape'!$AV214)-6))</f>
        <v>0</v>
      </c>
      <c r="J1430" s="99" t="n">
        <f aca="false">MIN(MAX(0,J218-J824-J1127),J218*CPR*MAX(0,MIN(8,'Loan Tape'!$AV214)-7))</f>
        <v>0</v>
      </c>
      <c r="K1430" s="99" t="n">
        <f aca="false">MIN(MAX(0,K218-K824-K1127),K218*CPR*MAX(0,MIN(9,'Loan Tape'!$AV214)-8))</f>
        <v>0</v>
      </c>
      <c r="L1430" s="99" t="n">
        <f aca="false">MIN(MAX(0,L218-L824-L1127),L218*CPR*MAX(0,MIN(10,'Loan Tape'!$AV214)-9))</f>
        <v>0</v>
      </c>
    </row>
    <row r="1431" customFormat="false" ht="15" hidden="false" customHeight="false" outlineLevel="0" collapsed="false">
      <c r="B1431" s="108" t="n">
        <f aca="false">'Loan Tape'!$A215</f>
        <v>0</v>
      </c>
      <c r="C1431" s="71" t="n">
        <f aca="false">MIN(MAX(0,C219-C825-C1128),C219*CPR*MAX(0,MIN(1,'Loan Tape'!$AV215)-0))</f>
        <v>0</v>
      </c>
      <c r="D1431" s="71" t="n">
        <f aca="false">MIN(MAX(0,D219-D825-D1128),D219*CPR*MAX(0,MIN(2,'Loan Tape'!$AV215)-1))</f>
        <v>0</v>
      </c>
      <c r="E1431" s="71" t="n">
        <f aca="false">MIN(MAX(0,E219-E825-E1128),E219*CPR*MAX(0,MIN(3,'Loan Tape'!$AV215)-2))</f>
        <v>0</v>
      </c>
      <c r="F1431" s="71" t="n">
        <f aca="false">MIN(MAX(0,F219-F825-F1128),F219*CPR*MAX(0,MIN(4,'Loan Tape'!$AV215)-3))</f>
        <v>0</v>
      </c>
      <c r="G1431" s="71" t="n">
        <f aca="false">MIN(MAX(0,G219-G825-G1128),G219*CPR*MAX(0,MIN(5,'Loan Tape'!$AV215)-4))</f>
        <v>0</v>
      </c>
      <c r="H1431" s="71" t="n">
        <f aca="false">MIN(MAX(0,H219-H825-H1128),H219*CPR*MAX(0,MIN(6,'Loan Tape'!$AV215)-5))</f>
        <v>0</v>
      </c>
      <c r="I1431" s="71" t="n">
        <f aca="false">MIN(MAX(0,I219-I825-I1128),I219*CPR*MAX(0,MIN(7,'Loan Tape'!$AV215)-6))</f>
        <v>0</v>
      </c>
      <c r="J1431" s="71" t="n">
        <f aca="false">MIN(MAX(0,J219-J825-J1128),J219*CPR*MAX(0,MIN(8,'Loan Tape'!$AV215)-7))</f>
        <v>0</v>
      </c>
      <c r="K1431" s="71" t="n">
        <f aca="false">MIN(MAX(0,K219-K825-K1128),K219*CPR*MAX(0,MIN(9,'Loan Tape'!$AV215)-8))</f>
        <v>0</v>
      </c>
      <c r="L1431" s="71" t="n">
        <f aca="false">MIN(MAX(0,L219-L825-L1128),L219*CPR*MAX(0,MIN(10,'Loan Tape'!$AV215)-9))</f>
        <v>0</v>
      </c>
    </row>
    <row r="1432" customFormat="false" ht="15" hidden="false" customHeight="false" outlineLevel="0" collapsed="false">
      <c r="B1432" s="102" t="n">
        <f aca="false">'Loan Tape'!$A216</f>
        <v>0</v>
      </c>
      <c r="C1432" s="99" t="n">
        <f aca="false">MIN(MAX(0,C220-C826-C1129),C220*CPR*MAX(0,MIN(1,'Loan Tape'!$AV216)-0))</f>
        <v>0</v>
      </c>
      <c r="D1432" s="99" t="n">
        <f aca="false">MIN(MAX(0,D220-D826-D1129),D220*CPR*MAX(0,MIN(2,'Loan Tape'!$AV216)-1))</f>
        <v>0</v>
      </c>
      <c r="E1432" s="99" t="n">
        <f aca="false">MIN(MAX(0,E220-E826-E1129),E220*CPR*MAX(0,MIN(3,'Loan Tape'!$AV216)-2))</f>
        <v>0</v>
      </c>
      <c r="F1432" s="99" t="n">
        <f aca="false">MIN(MAX(0,F220-F826-F1129),F220*CPR*MAX(0,MIN(4,'Loan Tape'!$AV216)-3))</f>
        <v>0</v>
      </c>
      <c r="G1432" s="99" t="n">
        <f aca="false">MIN(MAX(0,G220-G826-G1129),G220*CPR*MAX(0,MIN(5,'Loan Tape'!$AV216)-4))</f>
        <v>0</v>
      </c>
      <c r="H1432" s="99" t="n">
        <f aca="false">MIN(MAX(0,H220-H826-H1129),H220*CPR*MAX(0,MIN(6,'Loan Tape'!$AV216)-5))</f>
        <v>0</v>
      </c>
      <c r="I1432" s="99" t="n">
        <f aca="false">MIN(MAX(0,I220-I826-I1129),I220*CPR*MAX(0,MIN(7,'Loan Tape'!$AV216)-6))</f>
        <v>0</v>
      </c>
      <c r="J1432" s="99" t="n">
        <f aca="false">MIN(MAX(0,J220-J826-J1129),J220*CPR*MAX(0,MIN(8,'Loan Tape'!$AV216)-7))</f>
        <v>0</v>
      </c>
      <c r="K1432" s="99" t="n">
        <f aca="false">MIN(MAX(0,K220-K826-K1129),K220*CPR*MAX(0,MIN(9,'Loan Tape'!$AV216)-8))</f>
        <v>0</v>
      </c>
      <c r="L1432" s="99" t="n">
        <f aca="false">MIN(MAX(0,L220-L826-L1129),L220*CPR*MAX(0,MIN(10,'Loan Tape'!$AV216)-9))</f>
        <v>0</v>
      </c>
    </row>
    <row r="1433" customFormat="false" ht="15" hidden="false" customHeight="false" outlineLevel="0" collapsed="false">
      <c r="B1433" s="108" t="n">
        <f aca="false">'Loan Tape'!$A217</f>
        <v>0</v>
      </c>
      <c r="C1433" s="71" t="n">
        <f aca="false">MIN(MAX(0,C221-C827-C1130),C221*CPR*MAX(0,MIN(1,'Loan Tape'!$AV217)-0))</f>
        <v>0</v>
      </c>
      <c r="D1433" s="71" t="n">
        <f aca="false">MIN(MAX(0,D221-D827-D1130),D221*CPR*MAX(0,MIN(2,'Loan Tape'!$AV217)-1))</f>
        <v>0</v>
      </c>
      <c r="E1433" s="71" t="n">
        <f aca="false">MIN(MAX(0,E221-E827-E1130),E221*CPR*MAX(0,MIN(3,'Loan Tape'!$AV217)-2))</f>
        <v>0</v>
      </c>
      <c r="F1433" s="71" t="n">
        <f aca="false">MIN(MAX(0,F221-F827-F1130),F221*CPR*MAX(0,MIN(4,'Loan Tape'!$AV217)-3))</f>
        <v>0</v>
      </c>
      <c r="G1433" s="71" t="n">
        <f aca="false">MIN(MAX(0,G221-G827-G1130),G221*CPR*MAX(0,MIN(5,'Loan Tape'!$AV217)-4))</f>
        <v>0</v>
      </c>
      <c r="H1433" s="71" t="n">
        <f aca="false">MIN(MAX(0,H221-H827-H1130),H221*CPR*MAX(0,MIN(6,'Loan Tape'!$AV217)-5))</f>
        <v>0</v>
      </c>
      <c r="I1433" s="71" t="n">
        <f aca="false">MIN(MAX(0,I221-I827-I1130),I221*CPR*MAX(0,MIN(7,'Loan Tape'!$AV217)-6))</f>
        <v>0</v>
      </c>
      <c r="J1433" s="71" t="n">
        <f aca="false">MIN(MAX(0,J221-J827-J1130),J221*CPR*MAX(0,MIN(8,'Loan Tape'!$AV217)-7))</f>
        <v>0</v>
      </c>
      <c r="K1433" s="71" t="n">
        <f aca="false">MIN(MAX(0,K221-K827-K1130),K221*CPR*MAX(0,MIN(9,'Loan Tape'!$AV217)-8))</f>
        <v>0</v>
      </c>
      <c r="L1433" s="71" t="n">
        <f aca="false">MIN(MAX(0,L221-L827-L1130),L221*CPR*MAX(0,MIN(10,'Loan Tape'!$AV217)-9))</f>
        <v>0</v>
      </c>
    </row>
    <row r="1434" customFormat="false" ht="15" hidden="false" customHeight="false" outlineLevel="0" collapsed="false">
      <c r="B1434" s="102" t="n">
        <f aca="false">'Loan Tape'!$A218</f>
        <v>0</v>
      </c>
      <c r="C1434" s="99" t="n">
        <f aca="false">MIN(MAX(0,C222-C828-C1131),C222*CPR*MAX(0,MIN(1,'Loan Tape'!$AV218)-0))</f>
        <v>0</v>
      </c>
      <c r="D1434" s="99" t="n">
        <f aca="false">MIN(MAX(0,D222-D828-D1131),D222*CPR*MAX(0,MIN(2,'Loan Tape'!$AV218)-1))</f>
        <v>0</v>
      </c>
      <c r="E1434" s="99" t="n">
        <f aca="false">MIN(MAX(0,E222-E828-E1131),E222*CPR*MAX(0,MIN(3,'Loan Tape'!$AV218)-2))</f>
        <v>0</v>
      </c>
      <c r="F1434" s="99" t="n">
        <f aca="false">MIN(MAX(0,F222-F828-F1131),F222*CPR*MAX(0,MIN(4,'Loan Tape'!$AV218)-3))</f>
        <v>0</v>
      </c>
      <c r="G1434" s="99" t="n">
        <f aca="false">MIN(MAX(0,G222-G828-G1131),G222*CPR*MAX(0,MIN(5,'Loan Tape'!$AV218)-4))</f>
        <v>0</v>
      </c>
      <c r="H1434" s="99" t="n">
        <f aca="false">MIN(MAX(0,H222-H828-H1131),H222*CPR*MAX(0,MIN(6,'Loan Tape'!$AV218)-5))</f>
        <v>0</v>
      </c>
      <c r="I1434" s="99" t="n">
        <f aca="false">MIN(MAX(0,I222-I828-I1131),I222*CPR*MAX(0,MIN(7,'Loan Tape'!$AV218)-6))</f>
        <v>0</v>
      </c>
      <c r="J1434" s="99" t="n">
        <f aca="false">MIN(MAX(0,J222-J828-J1131),J222*CPR*MAX(0,MIN(8,'Loan Tape'!$AV218)-7))</f>
        <v>0</v>
      </c>
      <c r="K1434" s="99" t="n">
        <f aca="false">MIN(MAX(0,K222-K828-K1131),K222*CPR*MAX(0,MIN(9,'Loan Tape'!$AV218)-8))</f>
        <v>0</v>
      </c>
      <c r="L1434" s="99" t="n">
        <f aca="false">MIN(MAX(0,L222-L828-L1131),L222*CPR*MAX(0,MIN(10,'Loan Tape'!$AV218)-9))</f>
        <v>0</v>
      </c>
    </row>
    <row r="1435" customFormat="false" ht="15" hidden="false" customHeight="false" outlineLevel="0" collapsed="false">
      <c r="B1435" s="108" t="n">
        <f aca="false">'Loan Tape'!$A219</f>
        <v>0</v>
      </c>
      <c r="C1435" s="71" t="n">
        <f aca="false">MIN(MAX(0,C223-C829-C1132),C223*CPR*MAX(0,MIN(1,'Loan Tape'!$AV219)-0))</f>
        <v>0</v>
      </c>
      <c r="D1435" s="71" t="n">
        <f aca="false">MIN(MAX(0,D223-D829-D1132),D223*CPR*MAX(0,MIN(2,'Loan Tape'!$AV219)-1))</f>
        <v>0</v>
      </c>
      <c r="E1435" s="71" t="n">
        <f aca="false">MIN(MAX(0,E223-E829-E1132),E223*CPR*MAX(0,MIN(3,'Loan Tape'!$AV219)-2))</f>
        <v>0</v>
      </c>
      <c r="F1435" s="71" t="n">
        <f aca="false">MIN(MAX(0,F223-F829-F1132),F223*CPR*MAX(0,MIN(4,'Loan Tape'!$AV219)-3))</f>
        <v>0</v>
      </c>
      <c r="G1435" s="71" t="n">
        <f aca="false">MIN(MAX(0,G223-G829-G1132),G223*CPR*MAX(0,MIN(5,'Loan Tape'!$AV219)-4))</f>
        <v>0</v>
      </c>
      <c r="H1435" s="71" t="n">
        <f aca="false">MIN(MAX(0,H223-H829-H1132),H223*CPR*MAX(0,MIN(6,'Loan Tape'!$AV219)-5))</f>
        <v>0</v>
      </c>
      <c r="I1435" s="71" t="n">
        <f aca="false">MIN(MAX(0,I223-I829-I1132),I223*CPR*MAX(0,MIN(7,'Loan Tape'!$AV219)-6))</f>
        <v>0</v>
      </c>
      <c r="J1435" s="71" t="n">
        <f aca="false">MIN(MAX(0,J223-J829-J1132),J223*CPR*MAX(0,MIN(8,'Loan Tape'!$AV219)-7))</f>
        <v>0</v>
      </c>
      <c r="K1435" s="71" t="n">
        <f aca="false">MIN(MAX(0,K223-K829-K1132),K223*CPR*MAX(0,MIN(9,'Loan Tape'!$AV219)-8))</f>
        <v>0</v>
      </c>
      <c r="L1435" s="71" t="n">
        <f aca="false">MIN(MAX(0,L223-L829-L1132),L223*CPR*MAX(0,MIN(10,'Loan Tape'!$AV219)-9))</f>
        <v>0</v>
      </c>
    </row>
    <row r="1436" customFormat="false" ht="15" hidden="false" customHeight="false" outlineLevel="0" collapsed="false">
      <c r="B1436" s="102" t="n">
        <f aca="false">'Loan Tape'!$A220</f>
        <v>0</v>
      </c>
      <c r="C1436" s="99" t="n">
        <f aca="false">MIN(MAX(0,C224-C830-C1133),C224*CPR*MAX(0,MIN(1,'Loan Tape'!$AV220)-0))</f>
        <v>0</v>
      </c>
      <c r="D1436" s="99" t="n">
        <f aca="false">MIN(MAX(0,D224-D830-D1133),D224*CPR*MAX(0,MIN(2,'Loan Tape'!$AV220)-1))</f>
        <v>0</v>
      </c>
      <c r="E1436" s="99" t="n">
        <f aca="false">MIN(MAX(0,E224-E830-E1133),E224*CPR*MAX(0,MIN(3,'Loan Tape'!$AV220)-2))</f>
        <v>0</v>
      </c>
      <c r="F1436" s="99" t="n">
        <f aca="false">MIN(MAX(0,F224-F830-F1133),F224*CPR*MAX(0,MIN(4,'Loan Tape'!$AV220)-3))</f>
        <v>0</v>
      </c>
      <c r="G1436" s="99" t="n">
        <f aca="false">MIN(MAX(0,G224-G830-G1133),G224*CPR*MAX(0,MIN(5,'Loan Tape'!$AV220)-4))</f>
        <v>0</v>
      </c>
      <c r="H1436" s="99" t="n">
        <f aca="false">MIN(MAX(0,H224-H830-H1133),H224*CPR*MAX(0,MIN(6,'Loan Tape'!$AV220)-5))</f>
        <v>0</v>
      </c>
      <c r="I1436" s="99" t="n">
        <f aca="false">MIN(MAX(0,I224-I830-I1133),I224*CPR*MAX(0,MIN(7,'Loan Tape'!$AV220)-6))</f>
        <v>0</v>
      </c>
      <c r="J1436" s="99" t="n">
        <f aca="false">MIN(MAX(0,J224-J830-J1133),J224*CPR*MAX(0,MIN(8,'Loan Tape'!$AV220)-7))</f>
        <v>0</v>
      </c>
      <c r="K1436" s="99" t="n">
        <f aca="false">MIN(MAX(0,K224-K830-K1133),K224*CPR*MAX(0,MIN(9,'Loan Tape'!$AV220)-8))</f>
        <v>0</v>
      </c>
      <c r="L1436" s="99" t="n">
        <f aca="false">MIN(MAX(0,L224-L830-L1133),L224*CPR*MAX(0,MIN(10,'Loan Tape'!$AV220)-9))</f>
        <v>0</v>
      </c>
    </row>
    <row r="1437" customFormat="false" ht="15" hidden="false" customHeight="false" outlineLevel="0" collapsed="false">
      <c r="B1437" s="108" t="n">
        <f aca="false">'Loan Tape'!$A221</f>
        <v>0</v>
      </c>
      <c r="C1437" s="71" t="n">
        <f aca="false">MIN(MAX(0,C225-C831-C1134),C225*CPR*MAX(0,MIN(1,'Loan Tape'!$AV221)-0))</f>
        <v>0</v>
      </c>
      <c r="D1437" s="71" t="n">
        <f aca="false">MIN(MAX(0,D225-D831-D1134),D225*CPR*MAX(0,MIN(2,'Loan Tape'!$AV221)-1))</f>
        <v>0</v>
      </c>
      <c r="E1437" s="71" t="n">
        <f aca="false">MIN(MAX(0,E225-E831-E1134),E225*CPR*MAX(0,MIN(3,'Loan Tape'!$AV221)-2))</f>
        <v>0</v>
      </c>
      <c r="F1437" s="71" t="n">
        <f aca="false">MIN(MAX(0,F225-F831-F1134),F225*CPR*MAX(0,MIN(4,'Loan Tape'!$AV221)-3))</f>
        <v>0</v>
      </c>
      <c r="G1437" s="71" t="n">
        <f aca="false">MIN(MAX(0,G225-G831-G1134),G225*CPR*MAX(0,MIN(5,'Loan Tape'!$AV221)-4))</f>
        <v>0</v>
      </c>
      <c r="H1437" s="71" t="n">
        <f aca="false">MIN(MAX(0,H225-H831-H1134),H225*CPR*MAX(0,MIN(6,'Loan Tape'!$AV221)-5))</f>
        <v>0</v>
      </c>
      <c r="I1437" s="71" t="n">
        <f aca="false">MIN(MAX(0,I225-I831-I1134),I225*CPR*MAX(0,MIN(7,'Loan Tape'!$AV221)-6))</f>
        <v>0</v>
      </c>
      <c r="J1437" s="71" t="n">
        <f aca="false">MIN(MAX(0,J225-J831-J1134),J225*CPR*MAX(0,MIN(8,'Loan Tape'!$AV221)-7))</f>
        <v>0</v>
      </c>
      <c r="K1437" s="71" t="n">
        <f aca="false">MIN(MAX(0,K225-K831-K1134),K225*CPR*MAX(0,MIN(9,'Loan Tape'!$AV221)-8))</f>
        <v>0</v>
      </c>
      <c r="L1437" s="71" t="n">
        <f aca="false">MIN(MAX(0,L225-L831-L1134),L225*CPR*MAX(0,MIN(10,'Loan Tape'!$AV221)-9))</f>
        <v>0</v>
      </c>
    </row>
    <row r="1438" customFormat="false" ht="15" hidden="false" customHeight="false" outlineLevel="0" collapsed="false">
      <c r="B1438" s="102" t="n">
        <f aca="false">'Loan Tape'!$A222</f>
        <v>0</v>
      </c>
      <c r="C1438" s="99" t="n">
        <f aca="false">MIN(MAX(0,C226-C832-C1135),C226*CPR*MAX(0,MIN(1,'Loan Tape'!$AV222)-0))</f>
        <v>0</v>
      </c>
      <c r="D1438" s="99" t="n">
        <f aca="false">MIN(MAX(0,D226-D832-D1135),D226*CPR*MAX(0,MIN(2,'Loan Tape'!$AV222)-1))</f>
        <v>0</v>
      </c>
      <c r="E1438" s="99" t="n">
        <f aca="false">MIN(MAX(0,E226-E832-E1135),E226*CPR*MAX(0,MIN(3,'Loan Tape'!$AV222)-2))</f>
        <v>0</v>
      </c>
      <c r="F1438" s="99" t="n">
        <f aca="false">MIN(MAX(0,F226-F832-F1135),F226*CPR*MAX(0,MIN(4,'Loan Tape'!$AV222)-3))</f>
        <v>0</v>
      </c>
      <c r="G1438" s="99" t="n">
        <f aca="false">MIN(MAX(0,G226-G832-G1135),G226*CPR*MAX(0,MIN(5,'Loan Tape'!$AV222)-4))</f>
        <v>0</v>
      </c>
      <c r="H1438" s="99" t="n">
        <f aca="false">MIN(MAX(0,H226-H832-H1135),H226*CPR*MAX(0,MIN(6,'Loan Tape'!$AV222)-5))</f>
        <v>0</v>
      </c>
      <c r="I1438" s="99" t="n">
        <f aca="false">MIN(MAX(0,I226-I832-I1135),I226*CPR*MAX(0,MIN(7,'Loan Tape'!$AV222)-6))</f>
        <v>0</v>
      </c>
      <c r="J1438" s="99" t="n">
        <f aca="false">MIN(MAX(0,J226-J832-J1135),J226*CPR*MAX(0,MIN(8,'Loan Tape'!$AV222)-7))</f>
        <v>0</v>
      </c>
      <c r="K1438" s="99" t="n">
        <f aca="false">MIN(MAX(0,K226-K832-K1135),K226*CPR*MAX(0,MIN(9,'Loan Tape'!$AV222)-8))</f>
        <v>0</v>
      </c>
      <c r="L1438" s="99" t="n">
        <f aca="false">MIN(MAX(0,L226-L832-L1135),L226*CPR*MAX(0,MIN(10,'Loan Tape'!$AV222)-9))</f>
        <v>0</v>
      </c>
    </row>
    <row r="1439" customFormat="false" ht="15" hidden="false" customHeight="false" outlineLevel="0" collapsed="false">
      <c r="B1439" s="108" t="n">
        <f aca="false">'Loan Tape'!$A223</f>
        <v>0</v>
      </c>
      <c r="C1439" s="71" t="n">
        <f aca="false">MIN(MAX(0,C227-C833-C1136),C227*CPR*MAX(0,MIN(1,'Loan Tape'!$AV223)-0))</f>
        <v>0</v>
      </c>
      <c r="D1439" s="71" t="n">
        <f aca="false">MIN(MAX(0,D227-D833-D1136),D227*CPR*MAX(0,MIN(2,'Loan Tape'!$AV223)-1))</f>
        <v>0</v>
      </c>
      <c r="E1439" s="71" t="n">
        <f aca="false">MIN(MAX(0,E227-E833-E1136),E227*CPR*MAX(0,MIN(3,'Loan Tape'!$AV223)-2))</f>
        <v>0</v>
      </c>
      <c r="F1439" s="71" t="n">
        <f aca="false">MIN(MAX(0,F227-F833-F1136),F227*CPR*MAX(0,MIN(4,'Loan Tape'!$AV223)-3))</f>
        <v>0</v>
      </c>
      <c r="G1439" s="71" t="n">
        <f aca="false">MIN(MAX(0,G227-G833-G1136),G227*CPR*MAX(0,MIN(5,'Loan Tape'!$AV223)-4))</f>
        <v>0</v>
      </c>
      <c r="H1439" s="71" t="n">
        <f aca="false">MIN(MAX(0,H227-H833-H1136),H227*CPR*MAX(0,MIN(6,'Loan Tape'!$AV223)-5))</f>
        <v>0</v>
      </c>
      <c r="I1439" s="71" t="n">
        <f aca="false">MIN(MAX(0,I227-I833-I1136),I227*CPR*MAX(0,MIN(7,'Loan Tape'!$AV223)-6))</f>
        <v>0</v>
      </c>
      <c r="J1439" s="71" t="n">
        <f aca="false">MIN(MAX(0,J227-J833-J1136),J227*CPR*MAX(0,MIN(8,'Loan Tape'!$AV223)-7))</f>
        <v>0</v>
      </c>
      <c r="K1439" s="71" t="n">
        <f aca="false">MIN(MAX(0,K227-K833-K1136),K227*CPR*MAX(0,MIN(9,'Loan Tape'!$AV223)-8))</f>
        <v>0</v>
      </c>
      <c r="L1439" s="71" t="n">
        <f aca="false">MIN(MAX(0,L227-L833-L1136),L227*CPR*MAX(0,MIN(10,'Loan Tape'!$AV223)-9))</f>
        <v>0</v>
      </c>
    </row>
    <row r="1440" customFormat="false" ht="15" hidden="false" customHeight="false" outlineLevel="0" collapsed="false">
      <c r="B1440" s="102" t="n">
        <f aca="false">'Loan Tape'!$A224</f>
        <v>0</v>
      </c>
      <c r="C1440" s="99" t="n">
        <f aca="false">MIN(MAX(0,C228-C834-C1137),C228*CPR*MAX(0,MIN(1,'Loan Tape'!$AV224)-0))</f>
        <v>0</v>
      </c>
      <c r="D1440" s="99" t="n">
        <f aca="false">MIN(MAX(0,D228-D834-D1137),D228*CPR*MAX(0,MIN(2,'Loan Tape'!$AV224)-1))</f>
        <v>0</v>
      </c>
      <c r="E1440" s="99" t="n">
        <f aca="false">MIN(MAX(0,E228-E834-E1137),E228*CPR*MAX(0,MIN(3,'Loan Tape'!$AV224)-2))</f>
        <v>0</v>
      </c>
      <c r="F1440" s="99" t="n">
        <f aca="false">MIN(MAX(0,F228-F834-F1137),F228*CPR*MAX(0,MIN(4,'Loan Tape'!$AV224)-3))</f>
        <v>0</v>
      </c>
      <c r="G1440" s="99" t="n">
        <f aca="false">MIN(MAX(0,G228-G834-G1137),G228*CPR*MAX(0,MIN(5,'Loan Tape'!$AV224)-4))</f>
        <v>0</v>
      </c>
      <c r="H1440" s="99" t="n">
        <f aca="false">MIN(MAX(0,H228-H834-H1137),H228*CPR*MAX(0,MIN(6,'Loan Tape'!$AV224)-5))</f>
        <v>0</v>
      </c>
      <c r="I1440" s="99" t="n">
        <f aca="false">MIN(MAX(0,I228-I834-I1137),I228*CPR*MAX(0,MIN(7,'Loan Tape'!$AV224)-6))</f>
        <v>0</v>
      </c>
      <c r="J1440" s="99" t="n">
        <f aca="false">MIN(MAX(0,J228-J834-J1137),J228*CPR*MAX(0,MIN(8,'Loan Tape'!$AV224)-7))</f>
        <v>0</v>
      </c>
      <c r="K1440" s="99" t="n">
        <f aca="false">MIN(MAX(0,K228-K834-K1137),K228*CPR*MAX(0,MIN(9,'Loan Tape'!$AV224)-8))</f>
        <v>0</v>
      </c>
      <c r="L1440" s="99" t="n">
        <f aca="false">MIN(MAX(0,L228-L834-L1137),L228*CPR*MAX(0,MIN(10,'Loan Tape'!$AV224)-9))</f>
        <v>0</v>
      </c>
    </row>
    <row r="1441" customFormat="false" ht="15" hidden="false" customHeight="false" outlineLevel="0" collapsed="false">
      <c r="B1441" s="108" t="n">
        <f aca="false">'Loan Tape'!$A225</f>
        <v>0</v>
      </c>
      <c r="C1441" s="71" t="n">
        <f aca="false">MIN(MAX(0,C229-C835-C1138),C229*CPR*MAX(0,MIN(1,'Loan Tape'!$AV225)-0))</f>
        <v>0</v>
      </c>
      <c r="D1441" s="71" t="n">
        <f aca="false">MIN(MAX(0,D229-D835-D1138),D229*CPR*MAX(0,MIN(2,'Loan Tape'!$AV225)-1))</f>
        <v>0</v>
      </c>
      <c r="E1441" s="71" t="n">
        <f aca="false">MIN(MAX(0,E229-E835-E1138),E229*CPR*MAX(0,MIN(3,'Loan Tape'!$AV225)-2))</f>
        <v>0</v>
      </c>
      <c r="F1441" s="71" t="n">
        <f aca="false">MIN(MAX(0,F229-F835-F1138),F229*CPR*MAX(0,MIN(4,'Loan Tape'!$AV225)-3))</f>
        <v>0</v>
      </c>
      <c r="G1441" s="71" t="n">
        <f aca="false">MIN(MAX(0,G229-G835-G1138),G229*CPR*MAX(0,MIN(5,'Loan Tape'!$AV225)-4))</f>
        <v>0</v>
      </c>
      <c r="H1441" s="71" t="n">
        <f aca="false">MIN(MAX(0,H229-H835-H1138),H229*CPR*MAX(0,MIN(6,'Loan Tape'!$AV225)-5))</f>
        <v>0</v>
      </c>
      <c r="I1441" s="71" t="n">
        <f aca="false">MIN(MAX(0,I229-I835-I1138),I229*CPR*MAX(0,MIN(7,'Loan Tape'!$AV225)-6))</f>
        <v>0</v>
      </c>
      <c r="J1441" s="71" t="n">
        <f aca="false">MIN(MAX(0,J229-J835-J1138),J229*CPR*MAX(0,MIN(8,'Loan Tape'!$AV225)-7))</f>
        <v>0</v>
      </c>
      <c r="K1441" s="71" t="n">
        <f aca="false">MIN(MAX(0,K229-K835-K1138),K229*CPR*MAX(0,MIN(9,'Loan Tape'!$AV225)-8))</f>
        <v>0</v>
      </c>
      <c r="L1441" s="71" t="n">
        <f aca="false">MIN(MAX(0,L229-L835-L1138),L229*CPR*MAX(0,MIN(10,'Loan Tape'!$AV225)-9))</f>
        <v>0</v>
      </c>
    </row>
    <row r="1442" customFormat="false" ht="15" hidden="false" customHeight="false" outlineLevel="0" collapsed="false">
      <c r="B1442" s="102" t="n">
        <f aca="false">'Loan Tape'!$A226</f>
        <v>0</v>
      </c>
      <c r="C1442" s="99" t="n">
        <f aca="false">MIN(MAX(0,C230-C836-C1139),C230*CPR*MAX(0,MIN(1,'Loan Tape'!$AV226)-0))</f>
        <v>0</v>
      </c>
      <c r="D1442" s="99" t="n">
        <f aca="false">MIN(MAX(0,D230-D836-D1139),D230*CPR*MAX(0,MIN(2,'Loan Tape'!$AV226)-1))</f>
        <v>0</v>
      </c>
      <c r="E1442" s="99" t="n">
        <f aca="false">MIN(MAX(0,E230-E836-E1139),E230*CPR*MAX(0,MIN(3,'Loan Tape'!$AV226)-2))</f>
        <v>0</v>
      </c>
      <c r="F1442" s="99" t="n">
        <f aca="false">MIN(MAX(0,F230-F836-F1139),F230*CPR*MAX(0,MIN(4,'Loan Tape'!$AV226)-3))</f>
        <v>0</v>
      </c>
      <c r="G1442" s="99" t="n">
        <f aca="false">MIN(MAX(0,G230-G836-G1139),G230*CPR*MAX(0,MIN(5,'Loan Tape'!$AV226)-4))</f>
        <v>0</v>
      </c>
      <c r="H1442" s="99" t="n">
        <f aca="false">MIN(MAX(0,H230-H836-H1139),H230*CPR*MAX(0,MIN(6,'Loan Tape'!$AV226)-5))</f>
        <v>0</v>
      </c>
      <c r="I1442" s="99" t="n">
        <f aca="false">MIN(MAX(0,I230-I836-I1139),I230*CPR*MAX(0,MIN(7,'Loan Tape'!$AV226)-6))</f>
        <v>0</v>
      </c>
      <c r="J1442" s="99" t="n">
        <f aca="false">MIN(MAX(0,J230-J836-J1139),J230*CPR*MAX(0,MIN(8,'Loan Tape'!$AV226)-7))</f>
        <v>0</v>
      </c>
      <c r="K1442" s="99" t="n">
        <f aca="false">MIN(MAX(0,K230-K836-K1139),K230*CPR*MAX(0,MIN(9,'Loan Tape'!$AV226)-8))</f>
        <v>0</v>
      </c>
      <c r="L1442" s="99" t="n">
        <f aca="false">MIN(MAX(0,L230-L836-L1139),L230*CPR*MAX(0,MIN(10,'Loan Tape'!$AV226)-9))</f>
        <v>0</v>
      </c>
    </row>
    <row r="1443" customFormat="false" ht="15" hidden="false" customHeight="false" outlineLevel="0" collapsed="false">
      <c r="B1443" s="108" t="n">
        <f aca="false">'Loan Tape'!$A227</f>
        <v>0</v>
      </c>
      <c r="C1443" s="71" t="n">
        <f aca="false">MIN(MAX(0,C231-C837-C1140),C231*CPR*MAX(0,MIN(1,'Loan Tape'!$AV227)-0))</f>
        <v>0</v>
      </c>
      <c r="D1443" s="71" t="n">
        <f aca="false">MIN(MAX(0,D231-D837-D1140),D231*CPR*MAX(0,MIN(2,'Loan Tape'!$AV227)-1))</f>
        <v>0</v>
      </c>
      <c r="E1443" s="71" t="n">
        <f aca="false">MIN(MAX(0,E231-E837-E1140),E231*CPR*MAX(0,MIN(3,'Loan Tape'!$AV227)-2))</f>
        <v>0</v>
      </c>
      <c r="F1443" s="71" t="n">
        <f aca="false">MIN(MAX(0,F231-F837-F1140),F231*CPR*MAX(0,MIN(4,'Loan Tape'!$AV227)-3))</f>
        <v>0</v>
      </c>
      <c r="G1443" s="71" t="n">
        <f aca="false">MIN(MAX(0,G231-G837-G1140),G231*CPR*MAX(0,MIN(5,'Loan Tape'!$AV227)-4))</f>
        <v>0</v>
      </c>
      <c r="H1443" s="71" t="n">
        <f aca="false">MIN(MAX(0,H231-H837-H1140),H231*CPR*MAX(0,MIN(6,'Loan Tape'!$AV227)-5))</f>
        <v>0</v>
      </c>
      <c r="I1443" s="71" t="n">
        <f aca="false">MIN(MAX(0,I231-I837-I1140),I231*CPR*MAX(0,MIN(7,'Loan Tape'!$AV227)-6))</f>
        <v>0</v>
      </c>
      <c r="J1443" s="71" t="n">
        <f aca="false">MIN(MAX(0,J231-J837-J1140),J231*CPR*MAX(0,MIN(8,'Loan Tape'!$AV227)-7))</f>
        <v>0</v>
      </c>
      <c r="K1443" s="71" t="n">
        <f aca="false">MIN(MAX(0,K231-K837-K1140),K231*CPR*MAX(0,MIN(9,'Loan Tape'!$AV227)-8))</f>
        <v>0</v>
      </c>
      <c r="L1443" s="71" t="n">
        <f aca="false">MIN(MAX(0,L231-L837-L1140),L231*CPR*MAX(0,MIN(10,'Loan Tape'!$AV227)-9))</f>
        <v>0</v>
      </c>
    </row>
    <row r="1444" customFormat="false" ht="15" hidden="false" customHeight="false" outlineLevel="0" collapsed="false">
      <c r="B1444" s="102" t="n">
        <f aca="false">'Loan Tape'!$A228</f>
        <v>0</v>
      </c>
      <c r="C1444" s="99" t="n">
        <f aca="false">MIN(MAX(0,C232-C838-C1141),C232*CPR*MAX(0,MIN(1,'Loan Tape'!$AV228)-0))</f>
        <v>0</v>
      </c>
      <c r="D1444" s="99" t="n">
        <f aca="false">MIN(MAX(0,D232-D838-D1141),D232*CPR*MAX(0,MIN(2,'Loan Tape'!$AV228)-1))</f>
        <v>0</v>
      </c>
      <c r="E1444" s="99" t="n">
        <f aca="false">MIN(MAX(0,E232-E838-E1141),E232*CPR*MAX(0,MIN(3,'Loan Tape'!$AV228)-2))</f>
        <v>0</v>
      </c>
      <c r="F1444" s="99" t="n">
        <f aca="false">MIN(MAX(0,F232-F838-F1141),F232*CPR*MAX(0,MIN(4,'Loan Tape'!$AV228)-3))</f>
        <v>0</v>
      </c>
      <c r="G1444" s="99" t="n">
        <f aca="false">MIN(MAX(0,G232-G838-G1141),G232*CPR*MAX(0,MIN(5,'Loan Tape'!$AV228)-4))</f>
        <v>0</v>
      </c>
      <c r="H1444" s="99" t="n">
        <f aca="false">MIN(MAX(0,H232-H838-H1141),H232*CPR*MAX(0,MIN(6,'Loan Tape'!$AV228)-5))</f>
        <v>0</v>
      </c>
      <c r="I1444" s="99" t="n">
        <f aca="false">MIN(MAX(0,I232-I838-I1141),I232*CPR*MAX(0,MIN(7,'Loan Tape'!$AV228)-6))</f>
        <v>0</v>
      </c>
      <c r="J1444" s="99" t="n">
        <f aca="false">MIN(MAX(0,J232-J838-J1141),J232*CPR*MAX(0,MIN(8,'Loan Tape'!$AV228)-7))</f>
        <v>0</v>
      </c>
      <c r="K1444" s="99" t="n">
        <f aca="false">MIN(MAX(0,K232-K838-K1141),K232*CPR*MAX(0,MIN(9,'Loan Tape'!$AV228)-8))</f>
        <v>0</v>
      </c>
      <c r="L1444" s="99" t="n">
        <f aca="false">MIN(MAX(0,L232-L838-L1141),L232*CPR*MAX(0,MIN(10,'Loan Tape'!$AV228)-9))</f>
        <v>0</v>
      </c>
    </row>
    <row r="1445" customFormat="false" ht="15" hidden="false" customHeight="false" outlineLevel="0" collapsed="false">
      <c r="B1445" s="108" t="n">
        <f aca="false">'Loan Tape'!$A229</f>
        <v>0</v>
      </c>
      <c r="C1445" s="71" t="n">
        <f aca="false">MIN(MAX(0,C233-C839-C1142),C233*CPR*MAX(0,MIN(1,'Loan Tape'!$AV229)-0))</f>
        <v>0</v>
      </c>
      <c r="D1445" s="71" t="n">
        <f aca="false">MIN(MAX(0,D233-D839-D1142),D233*CPR*MAX(0,MIN(2,'Loan Tape'!$AV229)-1))</f>
        <v>0</v>
      </c>
      <c r="E1445" s="71" t="n">
        <f aca="false">MIN(MAX(0,E233-E839-E1142),E233*CPR*MAX(0,MIN(3,'Loan Tape'!$AV229)-2))</f>
        <v>0</v>
      </c>
      <c r="F1445" s="71" t="n">
        <f aca="false">MIN(MAX(0,F233-F839-F1142),F233*CPR*MAX(0,MIN(4,'Loan Tape'!$AV229)-3))</f>
        <v>0</v>
      </c>
      <c r="G1445" s="71" t="n">
        <f aca="false">MIN(MAX(0,G233-G839-G1142),G233*CPR*MAX(0,MIN(5,'Loan Tape'!$AV229)-4))</f>
        <v>0</v>
      </c>
      <c r="H1445" s="71" t="n">
        <f aca="false">MIN(MAX(0,H233-H839-H1142),H233*CPR*MAX(0,MIN(6,'Loan Tape'!$AV229)-5))</f>
        <v>0</v>
      </c>
      <c r="I1445" s="71" t="n">
        <f aca="false">MIN(MAX(0,I233-I839-I1142),I233*CPR*MAX(0,MIN(7,'Loan Tape'!$AV229)-6))</f>
        <v>0</v>
      </c>
      <c r="J1445" s="71" t="n">
        <f aca="false">MIN(MAX(0,J233-J839-J1142),J233*CPR*MAX(0,MIN(8,'Loan Tape'!$AV229)-7))</f>
        <v>0</v>
      </c>
      <c r="K1445" s="71" t="n">
        <f aca="false">MIN(MAX(0,K233-K839-K1142),K233*CPR*MAX(0,MIN(9,'Loan Tape'!$AV229)-8))</f>
        <v>0</v>
      </c>
      <c r="L1445" s="71" t="n">
        <f aca="false">MIN(MAX(0,L233-L839-L1142),L233*CPR*MAX(0,MIN(10,'Loan Tape'!$AV229)-9))</f>
        <v>0</v>
      </c>
    </row>
    <row r="1446" customFormat="false" ht="15" hidden="false" customHeight="false" outlineLevel="0" collapsed="false">
      <c r="B1446" s="102" t="n">
        <f aca="false">'Loan Tape'!$A230</f>
        <v>0</v>
      </c>
      <c r="C1446" s="99" t="n">
        <f aca="false">MIN(MAX(0,C234-C840-C1143),C234*CPR*MAX(0,MIN(1,'Loan Tape'!$AV230)-0))</f>
        <v>0</v>
      </c>
      <c r="D1446" s="99" t="n">
        <f aca="false">MIN(MAX(0,D234-D840-D1143),D234*CPR*MAX(0,MIN(2,'Loan Tape'!$AV230)-1))</f>
        <v>0</v>
      </c>
      <c r="E1446" s="99" t="n">
        <f aca="false">MIN(MAX(0,E234-E840-E1143),E234*CPR*MAX(0,MIN(3,'Loan Tape'!$AV230)-2))</f>
        <v>0</v>
      </c>
      <c r="F1446" s="99" t="n">
        <f aca="false">MIN(MAX(0,F234-F840-F1143),F234*CPR*MAX(0,MIN(4,'Loan Tape'!$AV230)-3))</f>
        <v>0</v>
      </c>
      <c r="G1446" s="99" t="n">
        <f aca="false">MIN(MAX(0,G234-G840-G1143),G234*CPR*MAX(0,MIN(5,'Loan Tape'!$AV230)-4))</f>
        <v>0</v>
      </c>
      <c r="H1446" s="99" t="n">
        <f aca="false">MIN(MAX(0,H234-H840-H1143),H234*CPR*MAX(0,MIN(6,'Loan Tape'!$AV230)-5))</f>
        <v>0</v>
      </c>
      <c r="I1446" s="99" t="n">
        <f aca="false">MIN(MAX(0,I234-I840-I1143),I234*CPR*MAX(0,MIN(7,'Loan Tape'!$AV230)-6))</f>
        <v>0</v>
      </c>
      <c r="J1446" s="99" t="n">
        <f aca="false">MIN(MAX(0,J234-J840-J1143),J234*CPR*MAX(0,MIN(8,'Loan Tape'!$AV230)-7))</f>
        <v>0</v>
      </c>
      <c r="K1446" s="99" t="n">
        <f aca="false">MIN(MAX(0,K234-K840-K1143),K234*CPR*MAX(0,MIN(9,'Loan Tape'!$AV230)-8))</f>
        <v>0</v>
      </c>
      <c r="L1446" s="99" t="n">
        <f aca="false">MIN(MAX(0,L234-L840-L1143),L234*CPR*MAX(0,MIN(10,'Loan Tape'!$AV230)-9))</f>
        <v>0</v>
      </c>
    </row>
    <row r="1447" customFormat="false" ht="15" hidden="false" customHeight="false" outlineLevel="0" collapsed="false">
      <c r="B1447" s="108" t="n">
        <f aca="false">'Loan Tape'!$A231</f>
        <v>0</v>
      </c>
      <c r="C1447" s="71" t="n">
        <f aca="false">MIN(MAX(0,C235-C841-C1144),C235*CPR*MAX(0,MIN(1,'Loan Tape'!$AV231)-0))</f>
        <v>0</v>
      </c>
      <c r="D1447" s="71" t="n">
        <f aca="false">MIN(MAX(0,D235-D841-D1144),D235*CPR*MAX(0,MIN(2,'Loan Tape'!$AV231)-1))</f>
        <v>0</v>
      </c>
      <c r="E1447" s="71" t="n">
        <f aca="false">MIN(MAX(0,E235-E841-E1144),E235*CPR*MAX(0,MIN(3,'Loan Tape'!$AV231)-2))</f>
        <v>0</v>
      </c>
      <c r="F1447" s="71" t="n">
        <f aca="false">MIN(MAX(0,F235-F841-F1144),F235*CPR*MAX(0,MIN(4,'Loan Tape'!$AV231)-3))</f>
        <v>0</v>
      </c>
      <c r="G1447" s="71" t="n">
        <f aca="false">MIN(MAX(0,G235-G841-G1144),G235*CPR*MAX(0,MIN(5,'Loan Tape'!$AV231)-4))</f>
        <v>0</v>
      </c>
      <c r="H1447" s="71" t="n">
        <f aca="false">MIN(MAX(0,H235-H841-H1144),H235*CPR*MAX(0,MIN(6,'Loan Tape'!$AV231)-5))</f>
        <v>0</v>
      </c>
      <c r="I1447" s="71" t="n">
        <f aca="false">MIN(MAX(0,I235-I841-I1144),I235*CPR*MAX(0,MIN(7,'Loan Tape'!$AV231)-6))</f>
        <v>0</v>
      </c>
      <c r="J1447" s="71" t="n">
        <f aca="false">MIN(MAX(0,J235-J841-J1144),J235*CPR*MAX(0,MIN(8,'Loan Tape'!$AV231)-7))</f>
        <v>0</v>
      </c>
      <c r="K1447" s="71" t="n">
        <f aca="false">MIN(MAX(0,K235-K841-K1144),K235*CPR*MAX(0,MIN(9,'Loan Tape'!$AV231)-8))</f>
        <v>0</v>
      </c>
      <c r="L1447" s="71" t="n">
        <f aca="false">MIN(MAX(0,L235-L841-L1144),L235*CPR*MAX(0,MIN(10,'Loan Tape'!$AV231)-9))</f>
        <v>0</v>
      </c>
    </row>
    <row r="1448" customFormat="false" ht="15" hidden="false" customHeight="false" outlineLevel="0" collapsed="false">
      <c r="B1448" s="102" t="n">
        <f aca="false">'Loan Tape'!$A232</f>
        <v>0</v>
      </c>
      <c r="C1448" s="99" t="n">
        <f aca="false">MIN(MAX(0,C236-C842-C1145),C236*CPR*MAX(0,MIN(1,'Loan Tape'!$AV232)-0))</f>
        <v>0</v>
      </c>
      <c r="D1448" s="99" t="n">
        <f aca="false">MIN(MAX(0,D236-D842-D1145),D236*CPR*MAX(0,MIN(2,'Loan Tape'!$AV232)-1))</f>
        <v>0</v>
      </c>
      <c r="E1448" s="99" t="n">
        <f aca="false">MIN(MAX(0,E236-E842-E1145),E236*CPR*MAX(0,MIN(3,'Loan Tape'!$AV232)-2))</f>
        <v>0</v>
      </c>
      <c r="F1448" s="99" t="n">
        <f aca="false">MIN(MAX(0,F236-F842-F1145),F236*CPR*MAX(0,MIN(4,'Loan Tape'!$AV232)-3))</f>
        <v>0</v>
      </c>
      <c r="G1448" s="99" t="n">
        <f aca="false">MIN(MAX(0,G236-G842-G1145),G236*CPR*MAX(0,MIN(5,'Loan Tape'!$AV232)-4))</f>
        <v>0</v>
      </c>
      <c r="H1448" s="99" t="n">
        <f aca="false">MIN(MAX(0,H236-H842-H1145),H236*CPR*MAX(0,MIN(6,'Loan Tape'!$AV232)-5))</f>
        <v>0</v>
      </c>
      <c r="I1448" s="99" t="n">
        <f aca="false">MIN(MAX(0,I236-I842-I1145),I236*CPR*MAX(0,MIN(7,'Loan Tape'!$AV232)-6))</f>
        <v>0</v>
      </c>
      <c r="J1448" s="99" t="n">
        <f aca="false">MIN(MAX(0,J236-J842-J1145),J236*CPR*MAX(0,MIN(8,'Loan Tape'!$AV232)-7))</f>
        <v>0</v>
      </c>
      <c r="K1448" s="99" t="n">
        <f aca="false">MIN(MAX(0,K236-K842-K1145),K236*CPR*MAX(0,MIN(9,'Loan Tape'!$AV232)-8))</f>
        <v>0</v>
      </c>
      <c r="L1448" s="99" t="n">
        <f aca="false">MIN(MAX(0,L236-L842-L1145),L236*CPR*MAX(0,MIN(10,'Loan Tape'!$AV232)-9))</f>
        <v>0</v>
      </c>
    </row>
    <row r="1449" customFormat="false" ht="15" hidden="false" customHeight="false" outlineLevel="0" collapsed="false">
      <c r="B1449" s="108" t="n">
        <f aca="false">'Loan Tape'!$A233</f>
        <v>0</v>
      </c>
      <c r="C1449" s="71" t="n">
        <f aca="false">MIN(MAX(0,C237-C843-C1146),C237*CPR*MAX(0,MIN(1,'Loan Tape'!$AV233)-0))</f>
        <v>0</v>
      </c>
      <c r="D1449" s="71" t="n">
        <f aca="false">MIN(MAX(0,D237-D843-D1146),D237*CPR*MAX(0,MIN(2,'Loan Tape'!$AV233)-1))</f>
        <v>0</v>
      </c>
      <c r="E1449" s="71" t="n">
        <f aca="false">MIN(MAX(0,E237-E843-E1146),E237*CPR*MAX(0,MIN(3,'Loan Tape'!$AV233)-2))</f>
        <v>0</v>
      </c>
      <c r="F1449" s="71" t="n">
        <f aca="false">MIN(MAX(0,F237-F843-F1146),F237*CPR*MAX(0,MIN(4,'Loan Tape'!$AV233)-3))</f>
        <v>0</v>
      </c>
      <c r="G1449" s="71" t="n">
        <f aca="false">MIN(MAX(0,G237-G843-G1146),G237*CPR*MAX(0,MIN(5,'Loan Tape'!$AV233)-4))</f>
        <v>0</v>
      </c>
      <c r="H1449" s="71" t="n">
        <f aca="false">MIN(MAX(0,H237-H843-H1146),H237*CPR*MAX(0,MIN(6,'Loan Tape'!$AV233)-5))</f>
        <v>0</v>
      </c>
      <c r="I1449" s="71" t="n">
        <f aca="false">MIN(MAX(0,I237-I843-I1146),I237*CPR*MAX(0,MIN(7,'Loan Tape'!$AV233)-6))</f>
        <v>0</v>
      </c>
      <c r="J1449" s="71" t="n">
        <f aca="false">MIN(MAX(0,J237-J843-J1146),J237*CPR*MAX(0,MIN(8,'Loan Tape'!$AV233)-7))</f>
        <v>0</v>
      </c>
      <c r="K1449" s="71" t="n">
        <f aca="false">MIN(MAX(0,K237-K843-K1146),K237*CPR*MAX(0,MIN(9,'Loan Tape'!$AV233)-8))</f>
        <v>0</v>
      </c>
      <c r="L1449" s="71" t="n">
        <f aca="false">MIN(MAX(0,L237-L843-L1146),L237*CPR*MAX(0,MIN(10,'Loan Tape'!$AV233)-9))</f>
        <v>0</v>
      </c>
    </row>
    <row r="1450" customFormat="false" ht="15" hidden="false" customHeight="false" outlineLevel="0" collapsed="false">
      <c r="B1450" s="102" t="n">
        <f aca="false">'Loan Tape'!$A234</f>
        <v>0</v>
      </c>
      <c r="C1450" s="99" t="n">
        <f aca="false">MIN(MAX(0,C238-C844-C1147),C238*CPR*MAX(0,MIN(1,'Loan Tape'!$AV234)-0))</f>
        <v>0</v>
      </c>
      <c r="D1450" s="99" t="n">
        <f aca="false">MIN(MAX(0,D238-D844-D1147),D238*CPR*MAX(0,MIN(2,'Loan Tape'!$AV234)-1))</f>
        <v>0</v>
      </c>
      <c r="E1450" s="99" t="n">
        <f aca="false">MIN(MAX(0,E238-E844-E1147),E238*CPR*MAX(0,MIN(3,'Loan Tape'!$AV234)-2))</f>
        <v>0</v>
      </c>
      <c r="F1450" s="99" t="n">
        <f aca="false">MIN(MAX(0,F238-F844-F1147),F238*CPR*MAX(0,MIN(4,'Loan Tape'!$AV234)-3))</f>
        <v>0</v>
      </c>
      <c r="G1450" s="99" t="n">
        <f aca="false">MIN(MAX(0,G238-G844-G1147),G238*CPR*MAX(0,MIN(5,'Loan Tape'!$AV234)-4))</f>
        <v>0</v>
      </c>
      <c r="H1450" s="99" t="n">
        <f aca="false">MIN(MAX(0,H238-H844-H1147),H238*CPR*MAX(0,MIN(6,'Loan Tape'!$AV234)-5))</f>
        <v>0</v>
      </c>
      <c r="I1450" s="99" t="n">
        <f aca="false">MIN(MAX(0,I238-I844-I1147),I238*CPR*MAX(0,MIN(7,'Loan Tape'!$AV234)-6))</f>
        <v>0</v>
      </c>
      <c r="J1450" s="99" t="n">
        <f aca="false">MIN(MAX(0,J238-J844-J1147),J238*CPR*MAX(0,MIN(8,'Loan Tape'!$AV234)-7))</f>
        <v>0</v>
      </c>
      <c r="K1450" s="99" t="n">
        <f aca="false">MIN(MAX(0,K238-K844-K1147),K238*CPR*MAX(0,MIN(9,'Loan Tape'!$AV234)-8))</f>
        <v>0</v>
      </c>
      <c r="L1450" s="99" t="n">
        <f aca="false">MIN(MAX(0,L238-L844-L1147),L238*CPR*MAX(0,MIN(10,'Loan Tape'!$AV234)-9))</f>
        <v>0</v>
      </c>
    </row>
    <row r="1451" customFormat="false" ht="15" hidden="false" customHeight="false" outlineLevel="0" collapsed="false">
      <c r="B1451" s="108" t="n">
        <f aca="false">'Loan Tape'!$A235</f>
        <v>0</v>
      </c>
      <c r="C1451" s="71" t="n">
        <f aca="false">MIN(MAX(0,C239-C845-C1148),C239*CPR*MAX(0,MIN(1,'Loan Tape'!$AV235)-0))</f>
        <v>0</v>
      </c>
      <c r="D1451" s="71" t="n">
        <f aca="false">MIN(MAX(0,D239-D845-D1148),D239*CPR*MAX(0,MIN(2,'Loan Tape'!$AV235)-1))</f>
        <v>0</v>
      </c>
      <c r="E1451" s="71" t="n">
        <f aca="false">MIN(MAX(0,E239-E845-E1148),E239*CPR*MAX(0,MIN(3,'Loan Tape'!$AV235)-2))</f>
        <v>0</v>
      </c>
      <c r="F1451" s="71" t="n">
        <f aca="false">MIN(MAX(0,F239-F845-F1148),F239*CPR*MAX(0,MIN(4,'Loan Tape'!$AV235)-3))</f>
        <v>0</v>
      </c>
      <c r="G1451" s="71" t="n">
        <f aca="false">MIN(MAX(0,G239-G845-G1148),G239*CPR*MAX(0,MIN(5,'Loan Tape'!$AV235)-4))</f>
        <v>0</v>
      </c>
      <c r="H1451" s="71" t="n">
        <f aca="false">MIN(MAX(0,H239-H845-H1148),H239*CPR*MAX(0,MIN(6,'Loan Tape'!$AV235)-5))</f>
        <v>0</v>
      </c>
      <c r="I1451" s="71" t="n">
        <f aca="false">MIN(MAX(0,I239-I845-I1148),I239*CPR*MAX(0,MIN(7,'Loan Tape'!$AV235)-6))</f>
        <v>0</v>
      </c>
      <c r="J1451" s="71" t="n">
        <f aca="false">MIN(MAX(0,J239-J845-J1148),J239*CPR*MAX(0,MIN(8,'Loan Tape'!$AV235)-7))</f>
        <v>0</v>
      </c>
      <c r="K1451" s="71" t="n">
        <f aca="false">MIN(MAX(0,K239-K845-K1148),K239*CPR*MAX(0,MIN(9,'Loan Tape'!$AV235)-8))</f>
        <v>0</v>
      </c>
      <c r="L1451" s="71" t="n">
        <f aca="false">MIN(MAX(0,L239-L845-L1148),L239*CPR*MAX(0,MIN(10,'Loan Tape'!$AV235)-9))</f>
        <v>0</v>
      </c>
    </row>
    <row r="1452" customFormat="false" ht="15" hidden="false" customHeight="false" outlineLevel="0" collapsed="false">
      <c r="B1452" s="102" t="n">
        <f aca="false">'Loan Tape'!$A236</f>
        <v>0</v>
      </c>
      <c r="C1452" s="99" t="n">
        <f aca="false">MIN(MAX(0,C240-C846-C1149),C240*CPR*MAX(0,MIN(1,'Loan Tape'!$AV236)-0))</f>
        <v>0</v>
      </c>
      <c r="D1452" s="99" t="n">
        <f aca="false">MIN(MAX(0,D240-D846-D1149),D240*CPR*MAX(0,MIN(2,'Loan Tape'!$AV236)-1))</f>
        <v>0</v>
      </c>
      <c r="E1452" s="99" t="n">
        <f aca="false">MIN(MAX(0,E240-E846-E1149),E240*CPR*MAX(0,MIN(3,'Loan Tape'!$AV236)-2))</f>
        <v>0</v>
      </c>
      <c r="F1452" s="99" t="n">
        <f aca="false">MIN(MAX(0,F240-F846-F1149),F240*CPR*MAX(0,MIN(4,'Loan Tape'!$AV236)-3))</f>
        <v>0</v>
      </c>
      <c r="G1452" s="99" t="n">
        <f aca="false">MIN(MAX(0,G240-G846-G1149),G240*CPR*MAX(0,MIN(5,'Loan Tape'!$AV236)-4))</f>
        <v>0</v>
      </c>
      <c r="H1452" s="99" t="n">
        <f aca="false">MIN(MAX(0,H240-H846-H1149),H240*CPR*MAX(0,MIN(6,'Loan Tape'!$AV236)-5))</f>
        <v>0</v>
      </c>
      <c r="I1452" s="99" t="n">
        <f aca="false">MIN(MAX(0,I240-I846-I1149),I240*CPR*MAX(0,MIN(7,'Loan Tape'!$AV236)-6))</f>
        <v>0</v>
      </c>
      <c r="J1452" s="99" t="n">
        <f aca="false">MIN(MAX(0,J240-J846-J1149),J240*CPR*MAX(0,MIN(8,'Loan Tape'!$AV236)-7))</f>
        <v>0</v>
      </c>
      <c r="K1452" s="99" t="n">
        <f aca="false">MIN(MAX(0,K240-K846-K1149),K240*CPR*MAX(0,MIN(9,'Loan Tape'!$AV236)-8))</f>
        <v>0</v>
      </c>
      <c r="L1452" s="99" t="n">
        <f aca="false">MIN(MAX(0,L240-L846-L1149),L240*CPR*MAX(0,MIN(10,'Loan Tape'!$AV236)-9))</f>
        <v>0</v>
      </c>
    </row>
    <row r="1453" customFormat="false" ht="15" hidden="false" customHeight="false" outlineLevel="0" collapsed="false">
      <c r="B1453" s="108" t="n">
        <f aca="false">'Loan Tape'!$A237</f>
        <v>0</v>
      </c>
      <c r="C1453" s="71" t="n">
        <f aca="false">MIN(MAX(0,C241-C847-C1150),C241*CPR*MAX(0,MIN(1,'Loan Tape'!$AV237)-0))</f>
        <v>0</v>
      </c>
      <c r="D1453" s="71" t="n">
        <f aca="false">MIN(MAX(0,D241-D847-D1150),D241*CPR*MAX(0,MIN(2,'Loan Tape'!$AV237)-1))</f>
        <v>0</v>
      </c>
      <c r="E1453" s="71" t="n">
        <f aca="false">MIN(MAX(0,E241-E847-E1150),E241*CPR*MAX(0,MIN(3,'Loan Tape'!$AV237)-2))</f>
        <v>0</v>
      </c>
      <c r="F1453" s="71" t="n">
        <f aca="false">MIN(MAX(0,F241-F847-F1150),F241*CPR*MAX(0,MIN(4,'Loan Tape'!$AV237)-3))</f>
        <v>0</v>
      </c>
      <c r="G1453" s="71" t="n">
        <f aca="false">MIN(MAX(0,G241-G847-G1150),G241*CPR*MAX(0,MIN(5,'Loan Tape'!$AV237)-4))</f>
        <v>0</v>
      </c>
      <c r="H1453" s="71" t="n">
        <f aca="false">MIN(MAX(0,H241-H847-H1150),H241*CPR*MAX(0,MIN(6,'Loan Tape'!$AV237)-5))</f>
        <v>0</v>
      </c>
      <c r="I1453" s="71" t="n">
        <f aca="false">MIN(MAX(0,I241-I847-I1150),I241*CPR*MAX(0,MIN(7,'Loan Tape'!$AV237)-6))</f>
        <v>0</v>
      </c>
      <c r="J1453" s="71" t="n">
        <f aca="false">MIN(MAX(0,J241-J847-J1150),J241*CPR*MAX(0,MIN(8,'Loan Tape'!$AV237)-7))</f>
        <v>0</v>
      </c>
      <c r="K1453" s="71" t="n">
        <f aca="false">MIN(MAX(0,K241-K847-K1150),K241*CPR*MAX(0,MIN(9,'Loan Tape'!$AV237)-8))</f>
        <v>0</v>
      </c>
      <c r="L1453" s="71" t="n">
        <f aca="false">MIN(MAX(0,L241-L847-L1150),L241*CPR*MAX(0,MIN(10,'Loan Tape'!$AV237)-9))</f>
        <v>0</v>
      </c>
    </row>
    <row r="1454" customFormat="false" ht="15" hidden="false" customHeight="false" outlineLevel="0" collapsed="false">
      <c r="B1454" s="102" t="n">
        <f aca="false">'Loan Tape'!$A238</f>
        <v>0</v>
      </c>
      <c r="C1454" s="99" t="n">
        <f aca="false">MIN(MAX(0,C242-C848-C1151),C242*CPR*MAX(0,MIN(1,'Loan Tape'!$AV238)-0))</f>
        <v>0</v>
      </c>
      <c r="D1454" s="99" t="n">
        <f aca="false">MIN(MAX(0,D242-D848-D1151),D242*CPR*MAX(0,MIN(2,'Loan Tape'!$AV238)-1))</f>
        <v>0</v>
      </c>
      <c r="E1454" s="99" t="n">
        <f aca="false">MIN(MAX(0,E242-E848-E1151),E242*CPR*MAX(0,MIN(3,'Loan Tape'!$AV238)-2))</f>
        <v>0</v>
      </c>
      <c r="F1454" s="99" t="n">
        <f aca="false">MIN(MAX(0,F242-F848-F1151),F242*CPR*MAX(0,MIN(4,'Loan Tape'!$AV238)-3))</f>
        <v>0</v>
      </c>
      <c r="G1454" s="99" t="n">
        <f aca="false">MIN(MAX(0,G242-G848-G1151),G242*CPR*MAX(0,MIN(5,'Loan Tape'!$AV238)-4))</f>
        <v>0</v>
      </c>
      <c r="H1454" s="99" t="n">
        <f aca="false">MIN(MAX(0,H242-H848-H1151),H242*CPR*MAX(0,MIN(6,'Loan Tape'!$AV238)-5))</f>
        <v>0</v>
      </c>
      <c r="I1454" s="99" t="n">
        <f aca="false">MIN(MAX(0,I242-I848-I1151),I242*CPR*MAX(0,MIN(7,'Loan Tape'!$AV238)-6))</f>
        <v>0</v>
      </c>
      <c r="J1454" s="99" t="n">
        <f aca="false">MIN(MAX(0,J242-J848-J1151),J242*CPR*MAX(0,MIN(8,'Loan Tape'!$AV238)-7))</f>
        <v>0</v>
      </c>
      <c r="K1454" s="99" t="n">
        <f aca="false">MIN(MAX(0,K242-K848-K1151),K242*CPR*MAX(0,MIN(9,'Loan Tape'!$AV238)-8))</f>
        <v>0</v>
      </c>
      <c r="L1454" s="99" t="n">
        <f aca="false">MIN(MAX(0,L242-L848-L1151),L242*CPR*MAX(0,MIN(10,'Loan Tape'!$AV238)-9))</f>
        <v>0</v>
      </c>
    </row>
    <row r="1455" customFormat="false" ht="15" hidden="false" customHeight="false" outlineLevel="0" collapsed="false">
      <c r="B1455" s="108" t="n">
        <f aca="false">'Loan Tape'!$A239</f>
        <v>0</v>
      </c>
      <c r="C1455" s="71" t="n">
        <f aca="false">MIN(MAX(0,C243-C849-C1152),C243*CPR*MAX(0,MIN(1,'Loan Tape'!$AV239)-0))</f>
        <v>0</v>
      </c>
      <c r="D1455" s="71" t="n">
        <f aca="false">MIN(MAX(0,D243-D849-D1152),D243*CPR*MAX(0,MIN(2,'Loan Tape'!$AV239)-1))</f>
        <v>0</v>
      </c>
      <c r="E1455" s="71" t="n">
        <f aca="false">MIN(MAX(0,E243-E849-E1152),E243*CPR*MAX(0,MIN(3,'Loan Tape'!$AV239)-2))</f>
        <v>0</v>
      </c>
      <c r="F1455" s="71" t="n">
        <f aca="false">MIN(MAX(0,F243-F849-F1152),F243*CPR*MAX(0,MIN(4,'Loan Tape'!$AV239)-3))</f>
        <v>0</v>
      </c>
      <c r="G1455" s="71" t="n">
        <f aca="false">MIN(MAX(0,G243-G849-G1152),G243*CPR*MAX(0,MIN(5,'Loan Tape'!$AV239)-4))</f>
        <v>0</v>
      </c>
      <c r="H1455" s="71" t="n">
        <f aca="false">MIN(MAX(0,H243-H849-H1152),H243*CPR*MAX(0,MIN(6,'Loan Tape'!$AV239)-5))</f>
        <v>0</v>
      </c>
      <c r="I1455" s="71" t="n">
        <f aca="false">MIN(MAX(0,I243-I849-I1152),I243*CPR*MAX(0,MIN(7,'Loan Tape'!$AV239)-6))</f>
        <v>0</v>
      </c>
      <c r="J1455" s="71" t="n">
        <f aca="false">MIN(MAX(0,J243-J849-J1152),J243*CPR*MAX(0,MIN(8,'Loan Tape'!$AV239)-7))</f>
        <v>0</v>
      </c>
      <c r="K1455" s="71" t="n">
        <f aca="false">MIN(MAX(0,K243-K849-K1152),K243*CPR*MAX(0,MIN(9,'Loan Tape'!$AV239)-8))</f>
        <v>0</v>
      </c>
      <c r="L1455" s="71" t="n">
        <f aca="false">MIN(MAX(0,L243-L849-L1152),L243*CPR*MAX(0,MIN(10,'Loan Tape'!$AV239)-9))</f>
        <v>0</v>
      </c>
    </row>
    <row r="1456" customFormat="false" ht="15" hidden="false" customHeight="false" outlineLevel="0" collapsed="false">
      <c r="B1456" s="102" t="n">
        <f aca="false">'Loan Tape'!$A240</f>
        <v>0</v>
      </c>
      <c r="C1456" s="99" t="n">
        <f aca="false">MIN(MAX(0,C244-C850-C1153),C244*CPR*MAX(0,MIN(1,'Loan Tape'!$AV240)-0))</f>
        <v>0</v>
      </c>
      <c r="D1456" s="99" t="n">
        <f aca="false">MIN(MAX(0,D244-D850-D1153),D244*CPR*MAX(0,MIN(2,'Loan Tape'!$AV240)-1))</f>
        <v>0</v>
      </c>
      <c r="E1456" s="99" t="n">
        <f aca="false">MIN(MAX(0,E244-E850-E1153),E244*CPR*MAX(0,MIN(3,'Loan Tape'!$AV240)-2))</f>
        <v>0</v>
      </c>
      <c r="F1456" s="99" t="n">
        <f aca="false">MIN(MAX(0,F244-F850-F1153),F244*CPR*MAX(0,MIN(4,'Loan Tape'!$AV240)-3))</f>
        <v>0</v>
      </c>
      <c r="G1456" s="99" t="n">
        <f aca="false">MIN(MAX(0,G244-G850-G1153),G244*CPR*MAX(0,MIN(5,'Loan Tape'!$AV240)-4))</f>
        <v>0</v>
      </c>
      <c r="H1456" s="99" t="n">
        <f aca="false">MIN(MAX(0,H244-H850-H1153),H244*CPR*MAX(0,MIN(6,'Loan Tape'!$AV240)-5))</f>
        <v>0</v>
      </c>
      <c r="I1456" s="99" t="n">
        <f aca="false">MIN(MAX(0,I244-I850-I1153),I244*CPR*MAX(0,MIN(7,'Loan Tape'!$AV240)-6))</f>
        <v>0</v>
      </c>
      <c r="J1456" s="99" t="n">
        <f aca="false">MIN(MAX(0,J244-J850-J1153),J244*CPR*MAX(0,MIN(8,'Loan Tape'!$AV240)-7))</f>
        <v>0</v>
      </c>
      <c r="K1456" s="99" t="n">
        <f aca="false">MIN(MAX(0,K244-K850-K1153),K244*CPR*MAX(0,MIN(9,'Loan Tape'!$AV240)-8))</f>
        <v>0</v>
      </c>
      <c r="L1456" s="99" t="n">
        <f aca="false">MIN(MAX(0,L244-L850-L1153),L244*CPR*MAX(0,MIN(10,'Loan Tape'!$AV240)-9))</f>
        <v>0</v>
      </c>
    </row>
    <row r="1457" customFormat="false" ht="15" hidden="false" customHeight="false" outlineLevel="0" collapsed="false">
      <c r="B1457" s="108" t="n">
        <f aca="false">'Loan Tape'!$A241</f>
        <v>0</v>
      </c>
      <c r="C1457" s="71" t="n">
        <f aca="false">MIN(MAX(0,C245-C851-C1154),C245*CPR*MAX(0,MIN(1,'Loan Tape'!$AV241)-0))</f>
        <v>0</v>
      </c>
      <c r="D1457" s="71" t="n">
        <f aca="false">MIN(MAX(0,D245-D851-D1154),D245*CPR*MAX(0,MIN(2,'Loan Tape'!$AV241)-1))</f>
        <v>0</v>
      </c>
      <c r="E1457" s="71" t="n">
        <f aca="false">MIN(MAX(0,E245-E851-E1154),E245*CPR*MAX(0,MIN(3,'Loan Tape'!$AV241)-2))</f>
        <v>0</v>
      </c>
      <c r="F1457" s="71" t="n">
        <f aca="false">MIN(MAX(0,F245-F851-F1154),F245*CPR*MAX(0,MIN(4,'Loan Tape'!$AV241)-3))</f>
        <v>0</v>
      </c>
      <c r="G1457" s="71" t="n">
        <f aca="false">MIN(MAX(0,G245-G851-G1154),G245*CPR*MAX(0,MIN(5,'Loan Tape'!$AV241)-4))</f>
        <v>0</v>
      </c>
      <c r="H1457" s="71" t="n">
        <f aca="false">MIN(MAX(0,H245-H851-H1154),H245*CPR*MAX(0,MIN(6,'Loan Tape'!$AV241)-5))</f>
        <v>0</v>
      </c>
      <c r="I1457" s="71" t="n">
        <f aca="false">MIN(MAX(0,I245-I851-I1154),I245*CPR*MAX(0,MIN(7,'Loan Tape'!$AV241)-6))</f>
        <v>0</v>
      </c>
      <c r="J1457" s="71" t="n">
        <f aca="false">MIN(MAX(0,J245-J851-J1154),J245*CPR*MAX(0,MIN(8,'Loan Tape'!$AV241)-7))</f>
        <v>0</v>
      </c>
      <c r="K1457" s="71" t="n">
        <f aca="false">MIN(MAX(0,K245-K851-K1154),K245*CPR*MAX(0,MIN(9,'Loan Tape'!$AV241)-8))</f>
        <v>0</v>
      </c>
      <c r="L1457" s="71" t="n">
        <f aca="false">MIN(MAX(0,L245-L851-L1154),L245*CPR*MAX(0,MIN(10,'Loan Tape'!$AV241)-9))</f>
        <v>0</v>
      </c>
    </row>
    <row r="1458" customFormat="false" ht="15" hidden="false" customHeight="false" outlineLevel="0" collapsed="false">
      <c r="B1458" s="102" t="n">
        <f aca="false">'Loan Tape'!$A242</f>
        <v>0</v>
      </c>
      <c r="C1458" s="99" t="n">
        <f aca="false">MIN(MAX(0,C246-C852-C1155),C246*CPR*MAX(0,MIN(1,'Loan Tape'!$AV242)-0))</f>
        <v>0</v>
      </c>
      <c r="D1458" s="99" t="n">
        <f aca="false">MIN(MAX(0,D246-D852-D1155),D246*CPR*MAX(0,MIN(2,'Loan Tape'!$AV242)-1))</f>
        <v>0</v>
      </c>
      <c r="E1458" s="99" t="n">
        <f aca="false">MIN(MAX(0,E246-E852-E1155),E246*CPR*MAX(0,MIN(3,'Loan Tape'!$AV242)-2))</f>
        <v>0</v>
      </c>
      <c r="F1458" s="99" t="n">
        <f aca="false">MIN(MAX(0,F246-F852-F1155),F246*CPR*MAX(0,MIN(4,'Loan Tape'!$AV242)-3))</f>
        <v>0</v>
      </c>
      <c r="G1458" s="99" t="n">
        <f aca="false">MIN(MAX(0,G246-G852-G1155),G246*CPR*MAX(0,MIN(5,'Loan Tape'!$AV242)-4))</f>
        <v>0</v>
      </c>
      <c r="H1458" s="99" t="n">
        <f aca="false">MIN(MAX(0,H246-H852-H1155),H246*CPR*MAX(0,MIN(6,'Loan Tape'!$AV242)-5))</f>
        <v>0</v>
      </c>
      <c r="I1458" s="99" t="n">
        <f aca="false">MIN(MAX(0,I246-I852-I1155),I246*CPR*MAX(0,MIN(7,'Loan Tape'!$AV242)-6))</f>
        <v>0</v>
      </c>
      <c r="J1458" s="99" t="n">
        <f aca="false">MIN(MAX(0,J246-J852-J1155),J246*CPR*MAX(0,MIN(8,'Loan Tape'!$AV242)-7))</f>
        <v>0</v>
      </c>
      <c r="K1458" s="99" t="n">
        <f aca="false">MIN(MAX(0,K246-K852-K1155),K246*CPR*MAX(0,MIN(9,'Loan Tape'!$AV242)-8))</f>
        <v>0</v>
      </c>
      <c r="L1458" s="99" t="n">
        <f aca="false">MIN(MAX(0,L246-L852-L1155),L246*CPR*MAX(0,MIN(10,'Loan Tape'!$AV242)-9))</f>
        <v>0</v>
      </c>
    </row>
    <row r="1459" customFormat="false" ht="15" hidden="false" customHeight="false" outlineLevel="0" collapsed="false">
      <c r="B1459" s="108" t="n">
        <f aca="false">'Loan Tape'!$A243</f>
        <v>0</v>
      </c>
      <c r="C1459" s="71" t="n">
        <f aca="false">MIN(MAX(0,C247-C853-C1156),C247*CPR*MAX(0,MIN(1,'Loan Tape'!$AV243)-0))</f>
        <v>0</v>
      </c>
      <c r="D1459" s="71" t="n">
        <f aca="false">MIN(MAX(0,D247-D853-D1156),D247*CPR*MAX(0,MIN(2,'Loan Tape'!$AV243)-1))</f>
        <v>0</v>
      </c>
      <c r="E1459" s="71" t="n">
        <f aca="false">MIN(MAX(0,E247-E853-E1156),E247*CPR*MAX(0,MIN(3,'Loan Tape'!$AV243)-2))</f>
        <v>0</v>
      </c>
      <c r="F1459" s="71" t="n">
        <f aca="false">MIN(MAX(0,F247-F853-F1156),F247*CPR*MAX(0,MIN(4,'Loan Tape'!$AV243)-3))</f>
        <v>0</v>
      </c>
      <c r="G1459" s="71" t="n">
        <f aca="false">MIN(MAX(0,G247-G853-G1156),G247*CPR*MAX(0,MIN(5,'Loan Tape'!$AV243)-4))</f>
        <v>0</v>
      </c>
      <c r="H1459" s="71" t="n">
        <f aca="false">MIN(MAX(0,H247-H853-H1156),H247*CPR*MAX(0,MIN(6,'Loan Tape'!$AV243)-5))</f>
        <v>0</v>
      </c>
      <c r="I1459" s="71" t="n">
        <f aca="false">MIN(MAX(0,I247-I853-I1156),I247*CPR*MAX(0,MIN(7,'Loan Tape'!$AV243)-6))</f>
        <v>0</v>
      </c>
      <c r="J1459" s="71" t="n">
        <f aca="false">MIN(MAX(0,J247-J853-J1156),J247*CPR*MAX(0,MIN(8,'Loan Tape'!$AV243)-7))</f>
        <v>0</v>
      </c>
      <c r="K1459" s="71" t="n">
        <f aca="false">MIN(MAX(0,K247-K853-K1156),K247*CPR*MAX(0,MIN(9,'Loan Tape'!$AV243)-8))</f>
        <v>0</v>
      </c>
      <c r="L1459" s="71" t="n">
        <f aca="false">MIN(MAX(0,L247-L853-L1156),L247*CPR*MAX(0,MIN(10,'Loan Tape'!$AV243)-9))</f>
        <v>0</v>
      </c>
    </row>
    <row r="1460" customFormat="false" ht="15" hidden="false" customHeight="false" outlineLevel="0" collapsed="false">
      <c r="B1460" s="102" t="n">
        <f aca="false">'Loan Tape'!$A244</f>
        <v>0</v>
      </c>
      <c r="C1460" s="99" t="n">
        <f aca="false">MIN(MAX(0,C248-C854-C1157),C248*CPR*MAX(0,MIN(1,'Loan Tape'!$AV244)-0))</f>
        <v>0</v>
      </c>
      <c r="D1460" s="99" t="n">
        <f aca="false">MIN(MAX(0,D248-D854-D1157),D248*CPR*MAX(0,MIN(2,'Loan Tape'!$AV244)-1))</f>
        <v>0</v>
      </c>
      <c r="E1460" s="99" t="n">
        <f aca="false">MIN(MAX(0,E248-E854-E1157),E248*CPR*MAX(0,MIN(3,'Loan Tape'!$AV244)-2))</f>
        <v>0</v>
      </c>
      <c r="F1460" s="99" t="n">
        <f aca="false">MIN(MAX(0,F248-F854-F1157),F248*CPR*MAX(0,MIN(4,'Loan Tape'!$AV244)-3))</f>
        <v>0</v>
      </c>
      <c r="G1460" s="99" t="n">
        <f aca="false">MIN(MAX(0,G248-G854-G1157),G248*CPR*MAX(0,MIN(5,'Loan Tape'!$AV244)-4))</f>
        <v>0</v>
      </c>
      <c r="H1460" s="99" t="n">
        <f aca="false">MIN(MAX(0,H248-H854-H1157),H248*CPR*MAX(0,MIN(6,'Loan Tape'!$AV244)-5))</f>
        <v>0</v>
      </c>
      <c r="I1460" s="99" t="n">
        <f aca="false">MIN(MAX(0,I248-I854-I1157),I248*CPR*MAX(0,MIN(7,'Loan Tape'!$AV244)-6))</f>
        <v>0</v>
      </c>
      <c r="J1460" s="99" t="n">
        <f aca="false">MIN(MAX(0,J248-J854-J1157),J248*CPR*MAX(0,MIN(8,'Loan Tape'!$AV244)-7))</f>
        <v>0</v>
      </c>
      <c r="K1460" s="99" t="n">
        <f aca="false">MIN(MAX(0,K248-K854-K1157),K248*CPR*MAX(0,MIN(9,'Loan Tape'!$AV244)-8))</f>
        <v>0</v>
      </c>
      <c r="L1460" s="99" t="n">
        <f aca="false">MIN(MAX(0,L248-L854-L1157),L248*CPR*MAX(0,MIN(10,'Loan Tape'!$AV244)-9))</f>
        <v>0</v>
      </c>
    </row>
    <row r="1461" customFormat="false" ht="15" hidden="false" customHeight="false" outlineLevel="0" collapsed="false">
      <c r="B1461" s="108" t="n">
        <f aca="false">'Loan Tape'!$A245</f>
        <v>0</v>
      </c>
      <c r="C1461" s="71" t="n">
        <f aca="false">MIN(MAX(0,C249-C855-C1158),C249*CPR*MAX(0,MIN(1,'Loan Tape'!$AV245)-0))</f>
        <v>0</v>
      </c>
      <c r="D1461" s="71" t="n">
        <f aca="false">MIN(MAX(0,D249-D855-D1158),D249*CPR*MAX(0,MIN(2,'Loan Tape'!$AV245)-1))</f>
        <v>0</v>
      </c>
      <c r="E1461" s="71" t="n">
        <f aca="false">MIN(MAX(0,E249-E855-E1158),E249*CPR*MAX(0,MIN(3,'Loan Tape'!$AV245)-2))</f>
        <v>0</v>
      </c>
      <c r="F1461" s="71" t="n">
        <f aca="false">MIN(MAX(0,F249-F855-F1158),F249*CPR*MAX(0,MIN(4,'Loan Tape'!$AV245)-3))</f>
        <v>0</v>
      </c>
      <c r="G1461" s="71" t="n">
        <f aca="false">MIN(MAX(0,G249-G855-G1158),G249*CPR*MAX(0,MIN(5,'Loan Tape'!$AV245)-4))</f>
        <v>0</v>
      </c>
      <c r="H1461" s="71" t="n">
        <f aca="false">MIN(MAX(0,H249-H855-H1158),H249*CPR*MAX(0,MIN(6,'Loan Tape'!$AV245)-5))</f>
        <v>0</v>
      </c>
      <c r="I1461" s="71" t="n">
        <f aca="false">MIN(MAX(0,I249-I855-I1158),I249*CPR*MAX(0,MIN(7,'Loan Tape'!$AV245)-6))</f>
        <v>0</v>
      </c>
      <c r="J1461" s="71" t="n">
        <f aca="false">MIN(MAX(0,J249-J855-J1158),J249*CPR*MAX(0,MIN(8,'Loan Tape'!$AV245)-7))</f>
        <v>0</v>
      </c>
      <c r="K1461" s="71" t="n">
        <f aca="false">MIN(MAX(0,K249-K855-K1158),K249*CPR*MAX(0,MIN(9,'Loan Tape'!$AV245)-8))</f>
        <v>0</v>
      </c>
      <c r="L1461" s="71" t="n">
        <f aca="false">MIN(MAX(0,L249-L855-L1158),L249*CPR*MAX(0,MIN(10,'Loan Tape'!$AV245)-9))</f>
        <v>0</v>
      </c>
    </row>
    <row r="1462" customFormat="false" ht="15" hidden="false" customHeight="false" outlineLevel="0" collapsed="false">
      <c r="B1462" s="102" t="n">
        <f aca="false">'Loan Tape'!$A246</f>
        <v>0</v>
      </c>
      <c r="C1462" s="99" t="n">
        <f aca="false">MIN(MAX(0,C250-C856-C1159),C250*CPR*MAX(0,MIN(1,'Loan Tape'!$AV246)-0))</f>
        <v>0</v>
      </c>
      <c r="D1462" s="99" t="n">
        <f aca="false">MIN(MAX(0,D250-D856-D1159),D250*CPR*MAX(0,MIN(2,'Loan Tape'!$AV246)-1))</f>
        <v>0</v>
      </c>
      <c r="E1462" s="99" t="n">
        <f aca="false">MIN(MAX(0,E250-E856-E1159),E250*CPR*MAX(0,MIN(3,'Loan Tape'!$AV246)-2))</f>
        <v>0</v>
      </c>
      <c r="F1462" s="99" t="n">
        <f aca="false">MIN(MAX(0,F250-F856-F1159),F250*CPR*MAX(0,MIN(4,'Loan Tape'!$AV246)-3))</f>
        <v>0</v>
      </c>
      <c r="G1462" s="99" t="n">
        <f aca="false">MIN(MAX(0,G250-G856-G1159),G250*CPR*MAX(0,MIN(5,'Loan Tape'!$AV246)-4))</f>
        <v>0</v>
      </c>
      <c r="H1462" s="99" t="n">
        <f aca="false">MIN(MAX(0,H250-H856-H1159),H250*CPR*MAX(0,MIN(6,'Loan Tape'!$AV246)-5))</f>
        <v>0</v>
      </c>
      <c r="I1462" s="99" t="n">
        <f aca="false">MIN(MAX(0,I250-I856-I1159),I250*CPR*MAX(0,MIN(7,'Loan Tape'!$AV246)-6))</f>
        <v>0</v>
      </c>
      <c r="J1462" s="99" t="n">
        <f aca="false">MIN(MAX(0,J250-J856-J1159),J250*CPR*MAX(0,MIN(8,'Loan Tape'!$AV246)-7))</f>
        <v>0</v>
      </c>
      <c r="K1462" s="99" t="n">
        <f aca="false">MIN(MAX(0,K250-K856-K1159),K250*CPR*MAX(0,MIN(9,'Loan Tape'!$AV246)-8))</f>
        <v>0</v>
      </c>
      <c r="L1462" s="99" t="n">
        <f aca="false">MIN(MAX(0,L250-L856-L1159),L250*CPR*MAX(0,MIN(10,'Loan Tape'!$AV246)-9))</f>
        <v>0</v>
      </c>
    </row>
    <row r="1463" customFormat="false" ht="15" hidden="false" customHeight="false" outlineLevel="0" collapsed="false">
      <c r="B1463" s="108" t="n">
        <f aca="false">'Loan Tape'!$A247</f>
        <v>0</v>
      </c>
      <c r="C1463" s="71" t="n">
        <f aca="false">MIN(MAX(0,C251-C857-C1160),C251*CPR*MAX(0,MIN(1,'Loan Tape'!$AV247)-0))</f>
        <v>0</v>
      </c>
      <c r="D1463" s="71" t="n">
        <f aca="false">MIN(MAX(0,D251-D857-D1160),D251*CPR*MAX(0,MIN(2,'Loan Tape'!$AV247)-1))</f>
        <v>0</v>
      </c>
      <c r="E1463" s="71" t="n">
        <f aca="false">MIN(MAX(0,E251-E857-E1160),E251*CPR*MAX(0,MIN(3,'Loan Tape'!$AV247)-2))</f>
        <v>0</v>
      </c>
      <c r="F1463" s="71" t="n">
        <f aca="false">MIN(MAX(0,F251-F857-F1160),F251*CPR*MAX(0,MIN(4,'Loan Tape'!$AV247)-3))</f>
        <v>0</v>
      </c>
      <c r="G1463" s="71" t="n">
        <f aca="false">MIN(MAX(0,G251-G857-G1160),G251*CPR*MAX(0,MIN(5,'Loan Tape'!$AV247)-4))</f>
        <v>0</v>
      </c>
      <c r="H1463" s="71" t="n">
        <f aca="false">MIN(MAX(0,H251-H857-H1160),H251*CPR*MAX(0,MIN(6,'Loan Tape'!$AV247)-5))</f>
        <v>0</v>
      </c>
      <c r="I1463" s="71" t="n">
        <f aca="false">MIN(MAX(0,I251-I857-I1160),I251*CPR*MAX(0,MIN(7,'Loan Tape'!$AV247)-6))</f>
        <v>0</v>
      </c>
      <c r="J1463" s="71" t="n">
        <f aca="false">MIN(MAX(0,J251-J857-J1160),J251*CPR*MAX(0,MIN(8,'Loan Tape'!$AV247)-7))</f>
        <v>0</v>
      </c>
      <c r="K1463" s="71" t="n">
        <f aca="false">MIN(MAX(0,K251-K857-K1160),K251*CPR*MAX(0,MIN(9,'Loan Tape'!$AV247)-8))</f>
        <v>0</v>
      </c>
      <c r="L1463" s="71" t="n">
        <f aca="false">MIN(MAX(0,L251-L857-L1160),L251*CPR*MAX(0,MIN(10,'Loan Tape'!$AV247)-9))</f>
        <v>0</v>
      </c>
    </row>
    <row r="1464" customFormat="false" ht="15" hidden="false" customHeight="false" outlineLevel="0" collapsed="false">
      <c r="B1464" s="102" t="n">
        <f aca="false">'Loan Tape'!$A248</f>
        <v>0</v>
      </c>
      <c r="C1464" s="99" t="n">
        <f aca="false">MIN(MAX(0,C252-C858-C1161),C252*CPR*MAX(0,MIN(1,'Loan Tape'!$AV248)-0))</f>
        <v>0</v>
      </c>
      <c r="D1464" s="99" t="n">
        <f aca="false">MIN(MAX(0,D252-D858-D1161),D252*CPR*MAX(0,MIN(2,'Loan Tape'!$AV248)-1))</f>
        <v>0</v>
      </c>
      <c r="E1464" s="99" t="n">
        <f aca="false">MIN(MAX(0,E252-E858-E1161),E252*CPR*MAX(0,MIN(3,'Loan Tape'!$AV248)-2))</f>
        <v>0</v>
      </c>
      <c r="F1464" s="99" t="n">
        <f aca="false">MIN(MAX(0,F252-F858-F1161),F252*CPR*MAX(0,MIN(4,'Loan Tape'!$AV248)-3))</f>
        <v>0</v>
      </c>
      <c r="G1464" s="99" t="n">
        <f aca="false">MIN(MAX(0,G252-G858-G1161),G252*CPR*MAX(0,MIN(5,'Loan Tape'!$AV248)-4))</f>
        <v>0</v>
      </c>
      <c r="H1464" s="99" t="n">
        <f aca="false">MIN(MAX(0,H252-H858-H1161),H252*CPR*MAX(0,MIN(6,'Loan Tape'!$AV248)-5))</f>
        <v>0</v>
      </c>
      <c r="I1464" s="99" t="n">
        <f aca="false">MIN(MAX(0,I252-I858-I1161),I252*CPR*MAX(0,MIN(7,'Loan Tape'!$AV248)-6))</f>
        <v>0</v>
      </c>
      <c r="J1464" s="99" t="n">
        <f aca="false">MIN(MAX(0,J252-J858-J1161),J252*CPR*MAX(0,MIN(8,'Loan Tape'!$AV248)-7))</f>
        <v>0</v>
      </c>
      <c r="K1464" s="99" t="n">
        <f aca="false">MIN(MAX(0,K252-K858-K1161),K252*CPR*MAX(0,MIN(9,'Loan Tape'!$AV248)-8))</f>
        <v>0</v>
      </c>
      <c r="L1464" s="99" t="n">
        <f aca="false">MIN(MAX(0,L252-L858-L1161),L252*CPR*MAX(0,MIN(10,'Loan Tape'!$AV248)-9))</f>
        <v>0</v>
      </c>
    </row>
    <row r="1465" customFormat="false" ht="15" hidden="false" customHeight="false" outlineLevel="0" collapsed="false">
      <c r="B1465" s="108" t="n">
        <f aca="false">'Loan Tape'!$A249</f>
        <v>0</v>
      </c>
      <c r="C1465" s="71" t="n">
        <f aca="false">MIN(MAX(0,C253-C859-C1162),C253*CPR*MAX(0,MIN(1,'Loan Tape'!$AV249)-0))</f>
        <v>0</v>
      </c>
      <c r="D1465" s="71" t="n">
        <f aca="false">MIN(MAX(0,D253-D859-D1162),D253*CPR*MAX(0,MIN(2,'Loan Tape'!$AV249)-1))</f>
        <v>0</v>
      </c>
      <c r="E1465" s="71" t="n">
        <f aca="false">MIN(MAX(0,E253-E859-E1162),E253*CPR*MAX(0,MIN(3,'Loan Tape'!$AV249)-2))</f>
        <v>0</v>
      </c>
      <c r="F1465" s="71" t="n">
        <f aca="false">MIN(MAX(0,F253-F859-F1162),F253*CPR*MAX(0,MIN(4,'Loan Tape'!$AV249)-3))</f>
        <v>0</v>
      </c>
      <c r="G1465" s="71" t="n">
        <f aca="false">MIN(MAX(0,G253-G859-G1162),G253*CPR*MAX(0,MIN(5,'Loan Tape'!$AV249)-4))</f>
        <v>0</v>
      </c>
      <c r="H1465" s="71" t="n">
        <f aca="false">MIN(MAX(0,H253-H859-H1162),H253*CPR*MAX(0,MIN(6,'Loan Tape'!$AV249)-5))</f>
        <v>0</v>
      </c>
      <c r="I1465" s="71" t="n">
        <f aca="false">MIN(MAX(0,I253-I859-I1162),I253*CPR*MAX(0,MIN(7,'Loan Tape'!$AV249)-6))</f>
        <v>0</v>
      </c>
      <c r="J1465" s="71" t="n">
        <f aca="false">MIN(MAX(0,J253-J859-J1162),J253*CPR*MAX(0,MIN(8,'Loan Tape'!$AV249)-7))</f>
        <v>0</v>
      </c>
      <c r="K1465" s="71" t="n">
        <f aca="false">MIN(MAX(0,K253-K859-K1162),K253*CPR*MAX(0,MIN(9,'Loan Tape'!$AV249)-8))</f>
        <v>0</v>
      </c>
      <c r="L1465" s="71" t="n">
        <f aca="false">MIN(MAX(0,L253-L859-L1162),L253*CPR*MAX(0,MIN(10,'Loan Tape'!$AV249)-9))</f>
        <v>0</v>
      </c>
    </row>
    <row r="1466" customFormat="false" ht="15" hidden="false" customHeight="false" outlineLevel="0" collapsed="false">
      <c r="B1466" s="102" t="n">
        <f aca="false">'Loan Tape'!$A250</f>
        <v>0</v>
      </c>
      <c r="C1466" s="99" t="n">
        <f aca="false">MIN(MAX(0,C254-C860-C1163),C254*CPR*MAX(0,MIN(1,'Loan Tape'!$AV250)-0))</f>
        <v>0</v>
      </c>
      <c r="D1466" s="99" t="n">
        <f aca="false">MIN(MAX(0,D254-D860-D1163),D254*CPR*MAX(0,MIN(2,'Loan Tape'!$AV250)-1))</f>
        <v>0</v>
      </c>
      <c r="E1466" s="99" t="n">
        <f aca="false">MIN(MAX(0,E254-E860-E1163),E254*CPR*MAX(0,MIN(3,'Loan Tape'!$AV250)-2))</f>
        <v>0</v>
      </c>
      <c r="F1466" s="99" t="n">
        <f aca="false">MIN(MAX(0,F254-F860-F1163),F254*CPR*MAX(0,MIN(4,'Loan Tape'!$AV250)-3))</f>
        <v>0</v>
      </c>
      <c r="G1466" s="99" t="n">
        <f aca="false">MIN(MAX(0,G254-G860-G1163),G254*CPR*MAX(0,MIN(5,'Loan Tape'!$AV250)-4))</f>
        <v>0</v>
      </c>
      <c r="H1466" s="99" t="n">
        <f aca="false">MIN(MAX(0,H254-H860-H1163),H254*CPR*MAX(0,MIN(6,'Loan Tape'!$AV250)-5))</f>
        <v>0</v>
      </c>
      <c r="I1466" s="99" t="n">
        <f aca="false">MIN(MAX(0,I254-I860-I1163),I254*CPR*MAX(0,MIN(7,'Loan Tape'!$AV250)-6))</f>
        <v>0</v>
      </c>
      <c r="J1466" s="99" t="n">
        <f aca="false">MIN(MAX(0,J254-J860-J1163),J254*CPR*MAX(0,MIN(8,'Loan Tape'!$AV250)-7))</f>
        <v>0</v>
      </c>
      <c r="K1466" s="99" t="n">
        <f aca="false">MIN(MAX(0,K254-K860-K1163),K254*CPR*MAX(0,MIN(9,'Loan Tape'!$AV250)-8))</f>
        <v>0</v>
      </c>
      <c r="L1466" s="99" t="n">
        <f aca="false">MIN(MAX(0,L254-L860-L1163),L254*CPR*MAX(0,MIN(10,'Loan Tape'!$AV250)-9))</f>
        <v>0</v>
      </c>
    </row>
    <row r="1467" customFormat="false" ht="15" hidden="false" customHeight="false" outlineLevel="0" collapsed="false">
      <c r="B1467" s="108" t="n">
        <f aca="false">'Loan Tape'!$A251</f>
        <v>0</v>
      </c>
      <c r="C1467" s="71" t="n">
        <f aca="false">MIN(MAX(0,C255-C861-C1164),C255*CPR*MAX(0,MIN(1,'Loan Tape'!$AV251)-0))</f>
        <v>0</v>
      </c>
      <c r="D1467" s="71" t="n">
        <f aca="false">MIN(MAX(0,D255-D861-D1164),D255*CPR*MAX(0,MIN(2,'Loan Tape'!$AV251)-1))</f>
        <v>0</v>
      </c>
      <c r="E1467" s="71" t="n">
        <f aca="false">MIN(MAX(0,E255-E861-E1164),E255*CPR*MAX(0,MIN(3,'Loan Tape'!$AV251)-2))</f>
        <v>0</v>
      </c>
      <c r="F1467" s="71" t="n">
        <f aca="false">MIN(MAX(0,F255-F861-F1164),F255*CPR*MAX(0,MIN(4,'Loan Tape'!$AV251)-3))</f>
        <v>0</v>
      </c>
      <c r="G1467" s="71" t="n">
        <f aca="false">MIN(MAX(0,G255-G861-G1164),G255*CPR*MAX(0,MIN(5,'Loan Tape'!$AV251)-4))</f>
        <v>0</v>
      </c>
      <c r="H1467" s="71" t="n">
        <f aca="false">MIN(MAX(0,H255-H861-H1164),H255*CPR*MAX(0,MIN(6,'Loan Tape'!$AV251)-5))</f>
        <v>0</v>
      </c>
      <c r="I1467" s="71" t="n">
        <f aca="false">MIN(MAX(0,I255-I861-I1164),I255*CPR*MAX(0,MIN(7,'Loan Tape'!$AV251)-6))</f>
        <v>0</v>
      </c>
      <c r="J1467" s="71" t="n">
        <f aca="false">MIN(MAX(0,J255-J861-J1164),J255*CPR*MAX(0,MIN(8,'Loan Tape'!$AV251)-7))</f>
        <v>0</v>
      </c>
      <c r="K1467" s="71" t="n">
        <f aca="false">MIN(MAX(0,K255-K861-K1164),K255*CPR*MAX(0,MIN(9,'Loan Tape'!$AV251)-8))</f>
        <v>0</v>
      </c>
      <c r="L1467" s="71" t="n">
        <f aca="false">MIN(MAX(0,L255-L861-L1164),L255*CPR*MAX(0,MIN(10,'Loan Tape'!$AV251)-9))</f>
        <v>0</v>
      </c>
    </row>
    <row r="1468" customFormat="false" ht="15" hidden="false" customHeight="false" outlineLevel="0" collapsed="false">
      <c r="B1468" s="102" t="n">
        <f aca="false">'Loan Tape'!$A252</f>
        <v>0</v>
      </c>
      <c r="C1468" s="99" t="n">
        <f aca="false">MIN(MAX(0,C256-C862-C1165),C256*CPR*MAX(0,MIN(1,'Loan Tape'!$AV252)-0))</f>
        <v>0</v>
      </c>
      <c r="D1468" s="99" t="n">
        <f aca="false">MIN(MAX(0,D256-D862-D1165),D256*CPR*MAX(0,MIN(2,'Loan Tape'!$AV252)-1))</f>
        <v>0</v>
      </c>
      <c r="E1468" s="99" t="n">
        <f aca="false">MIN(MAX(0,E256-E862-E1165),E256*CPR*MAX(0,MIN(3,'Loan Tape'!$AV252)-2))</f>
        <v>0</v>
      </c>
      <c r="F1468" s="99" t="n">
        <f aca="false">MIN(MAX(0,F256-F862-F1165),F256*CPR*MAX(0,MIN(4,'Loan Tape'!$AV252)-3))</f>
        <v>0</v>
      </c>
      <c r="G1468" s="99" t="n">
        <f aca="false">MIN(MAX(0,G256-G862-G1165),G256*CPR*MAX(0,MIN(5,'Loan Tape'!$AV252)-4))</f>
        <v>0</v>
      </c>
      <c r="H1468" s="99" t="n">
        <f aca="false">MIN(MAX(0,H256-H862-H1165),H256*CPR*MAX(0,MIN(6,'Loan Tape'!$AV252)-5))</f>
        <v>0</v>
      </c>
      <c r="I1468" s="99" t="n">
        <f aca="false">MIN(MAX(0,I256-I862-I1165),I256*CPR*MAX(0,MIN(7,'Loan Tape'!$AV252)-6))</f>
        <v>0</v>
      </c>
      <c r="J1468" s="99" t="n">
        <f aca="false">MIN(MAX(0,J256-J862-J1165),J256*CPR*MAX(0,MIN(8,'Loan Tape'!$AV252)-7))</f>
        <v>0</v>
      </c>
      <c r="K1468" s="99" t="n">
        <f aca="false">MIN(MAX(0,K256-K862-K1165),K256*CPR*MAX(0,MIN(9,'Loan Tape'!$AV252)-8))</f>
        <v>0</v>
      </c>
      <c r="L1468" s="99" t="n">
        <f aca="false">MIN(MAX(0,L256-L862-L1165),L256*CPR*MAX(0,MIN(10,'Loan Tape'!$AV252)-9))</f>
        <v>0</v>
      </c>
    </row>
    <row r="1469" customFormat="false" ht="15" hidden="false" customHeight="false" outlineLevel="0" collapsed="false">
      <c r="B1469" s="108" t="n">
        <f aca="false">'Loan Tape'!$A253</f>
        <v>0</v>
      </c>
      <c r="C1469" s="71" t="n">
        <f aca="false">MIN(MAX(0,C257-C863-C1166),C257*CPR*MAX(0,MIN(1,'Loan Tape'!$AV253)-0))</f>
        <v>0</v>
      </c>
      <c r="D1469" s="71" t="n">
        <f aca="false">MIN(MAX(0,D257-D863-D1166),D257*CPR*MAX(0,MIN(2,'Loan Tape'!$AV253)-1))</f>
        <v>0</v>
      </c>
      <c r="E1469" s="71" t="n">
        <f aca="false">MIN(MAX(0,E257-E863-E1166),E257*CPR*MAX(0,MIN(3,'Loan Tape'!$AV253)-2))</f>
        <v>0</v>
      </c>
      <c r="F1469" s="71" t="n">
        <f aca="false">MIN(MAX(0,F257-F863-F1166),F257*CPR*MAX(0,MIN(4,'Loan Tape'!$AV253)-3))</f>
        <v>0</v>
      </c>
      <c r="G1469" s="71" t="n">
        <f aca="false">MIN(MAX(0,G257-G863-G1166),G257*CPR*MAX(0,MIN(5,'Loan Tape'!$AV253)-4))</f>
        <v>0</v>
      </c>
      <c r="H1469" s="71" t="n">
        <f aca="false">MIN(MAX(0,H257-H863-H1166),H257*CPR*MAX(0,MIN(6,'Loan Tape'!$AV253)-5))</f>
        <v>0</v>
      </c>
      <c r="I1469" s="71" t="n">
        <f aca="false">MIN(MAX(0,I257-I863-I1166),I257*CPR*MAX(0,MIN(7,'Loan Tape'!$AV253)-6))</f>
        <v>0</v>
      </c>
      <c r="J1469" s="71" t="n">
        <f aca="false">MIN(MAX(0,J257-J863-J1166),J257*CPR*MAX(0,MIN(8,'Loan Tape'!$AV253)-7))</f>
        <v>0</v>
      </c>
      <c r="K1469" s="71" t="n">
        <f aca="false">MIN(MAX(0,K257-K863-K1166),K257*CPR*MAX(0,MIN(9,'Loan Tape'!$AV253)-8))</f>
        <v>0</v>
      </c>
      <c r="L1469" s="71" t="n">
        <f aca="false">MIN(MAX(0,L257-L863-L1166),L257*CPR*MAX(0,MIN(10,'Loan Tape'!$AV253)-9))</f>
        <v>0</v>
      </c>
    </row>
    <row r="1470" customFormat="false" ht="15" hidden="false" customHeight="false" outlineLevel="0" collapsed="false">
      <c r="B1470" s="102" t="n">
        <f aca="false">'Loan Tape'!$A254</f>
        <v>0</v>
      </c>
      <c r="C1470" s="99" t="n">
        <f aca="false">MIN(MAX(0,C258-C864-C1167),C258*CPR*MAX(0,MIN(1,'Loan Tape'!$AV254)-0))</f>
        <v>0</v>
      </c>
      <c r="D1470" s="99" t="n">
        <f aca="false">MIN(MAX(0,D258-D864-D1167),D258*CPR*MAX(0,MIN(2,'Loan Tape'!$AV254)-1))</f>
        <v>0</v>
      </c>
      <c r="E1470" s="99" t="n">
        <f aca="false">MIN(MAX(0,E258-E864-E1167),E258*CPR*MAX(0,MIN(3,'Loan Tape'!$AV254)-2))</f>
        <v>0</v>
      </c>
      <c r="F1470" s="99" t="n">
        <f aca="false">MIN(MAX(0,F258-F864-F1167),F258*CPR*MAX(0,MIN(4,'Loan Tape'!$AV254)-3))</f>
        <v>0</v>
      </c>
      <c r="G1470" s="99" t="n">
        <f aca="false">MIN(MAX(0,G258-G864-G1167),G258*CPR*MAX(0,MIN(5,'Loan Tape'!$AV254)-4))</f>
        <v>0</v>
      </c>
      <c r="H1470" s="99" t="n">
        <f aca="false">MIN(MAX(0,H258-H864-H1167),H258*CPR*MAX(0,MIN(6,'Loan Tape'!$AV254)-5))</f>
        <v>0</v>
      </c>
      <c r="I1470" s="99" t="n">
        <f aca="false">MIN(MAX(0,I258-I864-I1167),I258*CPR*MAX(0,MIN(7,'Loan Tape'!$AV254)-6))</f>
        <v>0</v>
      </c>
      <c r="J1470" s="99" t="n">
        <f aca="false">MIN(MAX(0,J258-J864-J1167),J258*CPR*MAX(0,MIN(8,'Loan Tape'!$AV254)-7))</f>
        <v>0</v>
      </c>
      <c r="K1470" s="99" t="n">
        <f aca="false">MIN(MAX(0,K258-K864-K1167),K258*CPR*MAX(0,MIN(9,'Loan Tape'!$AV254)-8))</f>
        <v>0</v>
      </c>
      <c r="L1470" s="99" t="n">
        <f aca="false">MIN(MAX(0,L258-L864-L1167),L258*CPR*MAX(0,MIN(10,'Loan Tape'!$AV254)-9))</f>
        <v>0</v>
      </c>
    </row>
    <row r="1471" customFormat="false" ht="15" hidden="false" customHeight="false" outlineLevel="0" collapsed="false">
      <c r="B1471" s="108" t="n">
        <f aca="false">'Loan Tape'!$A255</f>
        <v>0</v>
      </c>
      <c r="C1471" s="71" t="n">
        <f aca="false">MIN(MAX(0,C259-C865-C1168),C259*CPR*MAX(0,MIN(1,'Loan Tape'!$AV255)-0))</f>
        <v>0</v>
      </c>
      <c r="D1471" s="71" t="n">
        <f aca="false">MIN(MAX(0,D259-D865-D1168),D259*CPR*MAX(0,MIN(2,'Loan Tape'!$AV255)-1))</f>
        <v>0</v>
      </c>
      <c r="E1471" s="71" t="n">
        <f aca="false">MIN(MAX(0,E259-E865-E1168),E259*CPR*MAX(0,MIN(3,'Loan Tape'!$AV255)-2))</f>
        <v>0</v>
      </c>
      <c r="F1471" s="71" t="n">
        <f aca="false">MIN(MAX(0,F259-F865-F1168),F259*CPR*MAX(0,MIN(4,'Loan Tape'!$AV255)-3))</f>
        <v>0</v>
      </c>
      <c r="G1471" s="71" t="n">
        <f aca="false">MIN(MAX(0,G259-G865-G1168),G259*CPR*MAX(0,MIN(5,'Loan Tape'!$AV255)-4))</f>
        <v>0</v>
      </c>
      <c r="H1471" s="71" t="n">
        <f aca="false">MIN(MAX(0,H259-H865-H1168),H259*CPR*MAX(0,MIN(6,'Loan Tape'!$AV255)-5))</f>
        <v>0</v>
      </c>
      <c r="I1471" s="71" t="n">
        <f aca="false">MIN(MAX(0,I259-I865-I1168),I259*CPR*MAX(0,MIN(7,'Loan Tape'!$AV255)-6))</f>
        <v>0</v>
      </c>
      <c r="J1471" s="71" t="n">
        <f aca="false">MIN(MAX(0,J259-J865-J1168),J259*CPR*MAX(0,MIN(8,'Loan Tape'!$AV255)-7))</f>
        <v>0</v>
      </c>
      <c r="K1471" s="71" t="n">
        <f aca="false">MIN(MAX(0,K259-K865-K1168),K259*CPR*MAX(0,MIN(9,'Loan Tape'!$AV255)-8))</f>
        <v>0</v>
      </c>
      <c r="L1471" s="71" t="n">
        <f aca="false">MIN(MAX(0,L259-L865-L1168),L259*CPR*MAX(0,MIN(10,'Loan Tape'!$AV255)-9))</f>
        <v>0</v>
      </c>
    </row>
    <row r="1472" customFormat="false" ht="15" hidden="false" customHeight="false" outlineLevel="0" collapsed="false">
      <c r="B1472" s="102" t="n">
        <f aca="false">'Loan Tape'!$A256</f>
        <v>0</v>
      </c>
      <c r="C1472" s="99" t="n">
        <f aca="false">MIN(MAX(0,C260-C866-C1169),C260*CPR*MAX(0,MIN(1,'Loan Tape'!$AV256)-0))</f>
        <v>0</v>
      </c>
      <c r="D1472" s="99" t="n">
        <f aca="false">MIN(MAX(0,D260-D866-D1169),D260*CPR*MAX(0,MIN(2,'Loan Tape'!$AV256)-1))</f>
        <v>0</v>
      </c>
      <c r="E1472" s="99" t="n">
        <f aca="false">MIN(MAX(0,E260-E866-E1169),E260*CPR*MAX(0,MIN(3,'Loan Tape'!$AV256)-2))</f>
        <v>0</v>
      </c>
      <c r="F1472" s="99" t="n">
        <f aca="false">MIN(MAX(0,F260-F866-F1169),F260*CPR*MAX(0,MIN(4,'Loan Tape'!$AV256)-3))</f>
        <v>0</v>
      </c>
      <c r="G1472" s="99" t="n">
        <f aca="false">MIN(MAX(0,G260-G866-G1169),G260*CPR*MAX(0,MIN(5,'Loan Tape'!$AV256)-4))</f>
        <v>0</v>
      </c>
      <c r="H1472" s="99" t="n">
        <f aca="false">MIN(MAX(0,H260-H866-H1169),H260*CPR*MAX(0,MIN(6,'Loan Tape'!$AV256)-5))</f>
        <v>0</v>
      </c>
      <c r="I1472" s="99" t="n">
        <f aca="false">MIN(MAX(0,I260-I866-I1169),I260*CPR*MAX(0,MIN(7,'Loan Tape'!$AV256)-6))</f>
        <v>0</v>
      </c>
      <c r="J1472" s="99" t="n">
        <f aca="false">MIN(MAX(0,J260-J866-J1169),J260*CPR*MAX(0,MIN(8,'Loan Tape'!$AV256)-7))</f>
        <v>0</v>
      </c>
      <c r="K1472" s="99" t="n">
        <f aca="false">MIN(MAX(0,K260-K866-K1169),K260*CPR*MAX(0,MIN(9,'Loan Tape'!$AV256)-8))</f>
        <v>0</v>
      </c>
      <c r="L1472" s="99" t="n">
        <f aca="false">MIN(MAX(0,L260-L866-L1169),L260*CPR*MAX(0,MIN(10,'Loan Tape'!$AV256)-9))</f>
        <v>0</v>
      </c>
    </row>
    <row r="1473" customFormat="false" ht="15" hidden="false" customHeight="false" outlineLevel="0" collapsed="false">
      <c r="B1473" s="108" t="n">
        <f aca="false">'Loan Tape'!$A257</f>
        <v>0</v>
      </c>
      <c r="C1473" s="71" t="n">
        <f aca="false">MIN(MAX(0,C261-C867-C1170),C261*CPR*MAX(0,MIN(1,'Loan Tape'!$AV257)-0))</f>
        <v>0</v>
      </c>
      <c r="D1473" s="71" t="n">
        <f aca="false">MIN(MAX(0,D261-D867-D1170),D261*CPR*MAX(0,MIN(2,'Loan Tape'!$AV257)-1))</f>
        <v>0</v>
      </c>
      <c r="E1473" s="71" t="n">
        <f aca="false">MIN(MAX(0,E261-E867-E1170),E261*CPR*MAX(0,MIN(3,'Loan Tape'!$AV257)-2))</f>
        <v>0</v>
      </c>
      <c r="F1473" s="71" t="n">
        <f aca="false">MIN(MAX(0,F261-F867-F1170),F261*CPR*MAX(0,MIN(4,'Loan Tape'!$AV257)-3))</f>
        <v>0</v>
      </c>
      <c r="G1473" s="71" t="n">
        <f aca="false">MIN(MAX(0,G261-G867-G1170),G261*CPR*MAX(0,MIN(5,'Loan Tape'!$AV257)-4))</f>
        <v>0</v>
      </c>
      <c r="H1473" s="71" t="n">
        <f aca="false">MIN(MAX(0,H261-H867-H1170),H261*CPR*MAX(0,MIN(6,'Loan Tape'!$AV257)-5))</f>
        <v>0</v>
      </c>
      <c r="I1473" s="71" t="n">
        <f aca="false">MIN(MAX(0,I261-I867-I1170),I261*CPR*MAX(0,MIN(7,'Loan Tape'!$AV257)-6))</f>
        <v>0</v>
      </c>
      <c r="J1473" s="71" t="n">
        <f aca="false">MIN(MAX(0,J261-J867-J1170),J261*CPR*MAX(0,MIN(8,'Loan Tape'!$AV257)-7))</f>
        <v>0</v>
      </c>
      <c r="K1473" s="71" t="n">
        <f aca="false">MIN(MAX(0,K261-K867-K1170),K261*CPR*MAX(0,MIN(9,'Loan Tape'!$AV257)-8))</f>
        <v>0</v>
      </c>
      <c r="L1473" s="71" t="n">
        <f aca="false">MIN(MAX(0,L261-L867-L1170),L261*CPR*MAX(0,MIN(10,'Loan Tape'!$AV257)-9))</f>
        <v>0</v>
      </c>
    </row>
    <row r="1474" customFormat="false" ht="15" hidden="false" customHeight="false" outlineLevel="0" collapsed="false">
      <c r="B1474" s="102" t="n">
        <f aca="false">'Loan Tape'!$A258</f>
        <v>0</v>
      </c>
      <c r="C1474" s="99" t="n">
        <f aca="false">MIN(MAX(0,C262-C868-C1171),C262*CPR*MAX(0,MIN(1,'Loan Tape'!$AV258)-0))</f>
        <v>0</v>
      </c>
      <c r="D1474" s="99" t="n">
        <f aca="false">MIN(MAX(0,D262-D868-D1171),D262*CPR*MAX(0,MIN(2,'Loan Tape'!$AV258)-1))</f>
        <v>0</v>
      </c>
      <c r="E1474" s="99" t="n">
        <f aca="false">MIN(MAX(0,E262-E868-E1171),E262*CPR*MAX(0,MIN(3,'Loan Tape'!$AV258)-2))</f>
        <v>0</v>
      </c>
      <c r="F1474" s="99" t="n">
        <f aca="false">MIN(MAX(0,F262-F868-F1171),F262*CPR*MAX(0,MIN(4,'Loan Tape'!$AV258)-3))</f>
        <v>0</v>
      </c>
      <c r="G1474" s="99" t="n">
        <f aca="false">MIN(MAX(0,G262-G868-G1171),G262*CPR*MAX(0,MIN(5,'Loan Tape'!$AV258)-4))</f>
        <v>0</v>
      </c>
      <c r="H1474" s="99" t="n">
        <f aca="false">MIN(MAX(0,H262-H868-H1171),H262*CPR*MAX(0,MIN(6,'Loan Tape'!$AV258)-5))</f>
        <v>0</v>
      </c>
      <c r="I1474" s="99" t="n">
        <f aca="false">MIN(MAX(0,I262-I868-I1171),I262*CPR*MAX(0,MIN(7,'Loan Tape'!$AV258)-6))</f>
        <v>0</v>
      </c>
      <c r="J1474" s="99" t="n">
        <f aca="false">MIN(MAX(0,J262-J868-J1171),J262*CPR*MAX(0,MIN(8,'Loan Tape'!$AV258)-7))</f>
        <v>0</v>
      </c>
      <c r="K1474" s="99" t="n">
        <f aca="false">MIN(MAX(0,K262-K868-K1171),K262*CPR*MAX(0,MIN(9,'Loan Tape'!$AV258)-8))</f>
        <v>0</v>
      </c>
      <c r="L1474" s="99" t="n">
        <f aca="false">MIN(MAX(0,L262-L868-L1171),L262*CPR*MAX(0,MIN(10,'Loan Tape'!$AV258)-9))</f>
        <v>0</v>
      </c>
    </row>
    <row r="1475" customFormat="false" ht="15" hidden="false" customHeight="false" outlineLevel="0" collapsed="false">
      <c r="B1475" s="108" t="n">
        <f aca="false">'Loan Tape'!$A259</f>
        <v>0</v>
      </c>
      <c r="C1475" s="71" t="n">
        <f aca="false">MIN(MAX(0,C263-C869-C1172),C263*CPR*MAX(0,MIN(1,'Loan Tape'!$AV259)-0))</f>
        <v>0</v>
      </c>
      <c r="D1475" s="71" t="n">
        <f aca="false">MIN(MAX(0,D263-D869-D1172),D263*CPR*MAX(0,MIN(2,'Loan Tape'!$AV259)-1))</f>
        <v>0</v>
      </c>
      <c r="E1475" s="71" t="n">
        <f aca="false">MIN(MAX(0,E263-E869-E1172),E263*CPR*MAX(0,MIN(3,'Loan Tape'!$AV259)-2))</f>
        <v>0</v>
      </c>
      <c r="F1475" s="71" t="n">
        <f aca="false">MIN(MAX(0,F263-F869-F1172),F263*CPR*MAX(0,MIN(4,'Loan Tape'!$AV259)-3))</f>
        <v>0</v>
      </c>
      <c r="G1475" s="71" t="n">
        <f aca="false">MIN(MAX(0,G263-G869-G1172),G263*CPR*MAX(0,MIN(5,'Loan Tape'!$AV259)-4))</f>
        <v>0</v>
      </c>
      <c r="H1475" s="71" t="n">
        <f aca="false">MIN(MAX(0,H263-H869-H1172),H263*CPR*MAX(0,MIN(6,'Loan Tape'!$AV259)-5))</f>
        <v>0</v>
      </c>
      <c r="I1475" s="71" t="n">
        <f aca="false">MIN(MAX(0,I263-I869-I1172),I263*CPR*MAX(0,MIN(7,'Loan Tape'!$AV259)-6))</f>
        <v>0</v>
      </c>
      <c r="J1475" s="71" t="n">
        <f aca="false">MIN(MAX(0,J263-J869-J1172),J263*CPR*MAX(0,MIN(8,'Loan Tape'!$AV259)-7))</f>
        <v>0</v>
      </c>
      <c r="K1475" s="71" t="n">
        <f aca="false">MIN(MAX(0,K263-K869-K1172),K263*CPR*MAX(0,MIN(9,'Loan Tape'!$AV259)-8))</f>
        <v>0</v>
      </c>
      <c r="L1475" s="71" t="n">
        <f aca="false">MIN(MAX(0,L263-L869-L1172),L263*CPR*MAX(0,MIN(10,'Loan Tape'!$AV259)-9))</f>
        <v>0</v>
      </c>
    </row>
    <row r="1476" customFormat="false" ht="15" hidden="false" customHeight="false" outlineLevel="0" collapsed="false">
      <c r="B1476" s="102" t="n">
        <f aca="false">'Loan Tape'!$A260</f>
        <v>0</v>
      </c>
      <c r="C1476" s="99" t="n">
        <f aca="false">MIN(MAX(0,C264-C870-C1173),C264*CPR*MAX(0,MIN(1,'Loan Tape'!$AV260)-0))</f>
        <v>0</v>
      </c>
      <c r="D1476" s="99" t="n">
        <f aca="false">MIN(MAX(0,D264-D870-D1173),D264*CPR*MAX(0,MIN(2,'Loan Tape'!$AV260)-1))</f>
        <v>0</v>
      </c>
      <c r="E1476" s="99" t="n">
        <f aca="false">MIN(MAX(0,E264-E870-E1173),E264*CPR*MAX(0,MIN(3,'Loan Tape'!$AV260)-2))</f>
        <v>0</v>
      </c>
      <c r="F1476" s="99" t="n">
        <f aca="false">MIN(MAX(0,F264-F870-F1173),F264*CPR*MAX(0,MIN(4,'Loan Tape'!$AV260)-3))</f>
        <v>0</v>
      </c>
      <c r="G1476" s="99" t="n">
        <f aca="false">MIN(MAX(0,G264-G870-G1173),G264*CPR*MAX(0,MIN(5,'Loan Tape'!$AV260)-4))</f>
        <v>0</v>
      </c>
      <c r="H1476" s="99" t="n">
        <f aca="false">MIN(MAX(0,H264-H870-H1173),H264*CPR*MAX(0,MIN(6,'Loan Tape'!$AV260)-5))</f>
        <v>0</v>
      </c>
      <c r="I1476" s="99" t="n">
        <f aca="false">MIN(MAX(0,I264-I870-I1173),I264*CPR*MAX(0,MIN(7,'Loan Tape'!$AV260)-6))</f>
        <v>0</v>
      </c>
      <c r="J1476" s="99" t="n">
        <f aca="false">MIN(MAX(0,J264-J870-J1173),J264*CPR*MAX(0,MIN(8,'Loan Tape'!$AV260)-7))</f>
        <v>0</v>
      </c>
      <c r="K1476" s="99" t="n">
        <f aca="false">MIN(MAX(0,K264-K870-K1173),K264*CPR*MAX(0,MIN(9,'Loan Tape'!$AV260)-8))</f>
        <v>0</v>
      </c>
      <c r="L1476" s="99" t="n">
        <f aca="false">MIN(MAX(0,L264-L870-L1173),L264*CPR*MAX(0,MIN(10,'Loan Tape'!$AV260)-9))</f>
        <v>0</v>
      </c>
    </row>
    <row r="1477" customFormat="false" ht="15" hidden="false" customHeight="false" outlineLevel="0" collapsed="false">
      <c r="B1477" s="108" t="n">
        <f aca="false">'Loan Tape'!$A261</f>
        <v>0</v>
      </c>
      <c r="C1477" s="71" t="n">
        <f aca="false">MIN(MAX(0,C265-C871-C1174),C265*CPR*MAX(0,MIN(1,'Loan Tape'!$AV261)-0))</f>
        <v>0</v>
      </c>
      <c r="D1477" s="71" t="n">
        <f aca="false">MIN(MAX(0,D265-D871-D1174),D265*CPR*MAX(0,MIN(2,'Loan Tape'!$AV261)-1))</f>
        <v>0</v>
      </c>
      <c r="E1477" s="71" t="n">
        <f aca="false">MIN(MAX(0,E265-E871-E1174),E265*CPR*MAX(0,MIN(3,'Loan Tape'!$AV261)-2))</f>
        <v>0</v>
      </c>
      <c r="F1477" s="71" t="n">
        <f aca="false">MIN(MAX(0,F265-F871-F1174),F265*CPR*MAX(0,MIN(4,'Loan Tape'!$AV261)-3))</f>
        <v>0</v>
      </c>
      <c r="G1477" s="71" t="n">
        <f aca="false">MIN(MAX(0,G265-G871-G1174),G265*CPR*MAX(0,MIN(5,'Loan Tape'!$AV261)-4))</f>
        <v>0</v>
      </c>
      <c r="H1477" s="71" t="n">
        <f aca="false">MIN(MAX(0,H265-H871-H1174),H265*CPR*MAX(0,MIN(6,'Loan Tape'!$AV261)-5))</f>
        <v>0</v>
      </c>
      <c r="I1477" s="71" t="n">
        <f aca="false">MIN(MAX(0,I265-I871-I1174),I265*CPR*MAX(0,MIN(7,'Loan Tape'!$AV261)-6))</f>
        <v>0</v>
      </c>
      <c r="J1477" s="71" t="n">
        <f aca="false">MIN(MAX(0,J265-J871-J1174),J265*CPR*MAX(0,MIN(8,'Loan Tape'!$AV261)-7))</f>
        <v>0</v>
      </c>
      <c r="K1477" s="71" t="n">
        <f aca="false">MIN(MAX(0,K265-K871-K1174),K265*CPR*MAX(0,MIN(9,'Loan Tape'!$AV261)-8))</f>
        <v>0</v>
      </c>
      <c r="L1477" s="71" t="n">
        <f aca="false">MIN(MAX(0,L265-L871-L1174),L265*CPR*MAX(0,MIN(10,'Loan Tape'!$AV261)-9))</f>
        <v>0</v>
      </c>
    </row>
    <row r="1478" customFormat="false" ht="15" hidden="false" customHeight="false" outlineLevel="0" collapsed="false">
      <c r="B1478" s="102" t="n">
        <f aca="false">'Loan Tape'!$A262</f>
        <v>0</v>
      </c>
      <c r="C1478" s="99" t="n">
        <f aca="false">MIN(MAX(0,C266-C872-C1175),C266*CPR*MAX(0,MIN(1,'Loan Tape'!$AV262)-0))</f>
        <v>0</v>
      </c>
      <c r="D1478" s="99" t="n">
        <f aca="false">MIN(MAX(0,D266-D872-D1175),D266*CPR*MAX(0,MIN(2,'Loan Tape'!$AV262)-1))</f>
        <v>0</v>
      </c>
      <c r="E1478" s="99" t="n">
        <f aca="false">MIN(MAX(0,E266-E872-E1175),E266*CPR*MAX(0,MIN(3,'Loan Tape'!$AV262)-2))</f>
        <v>0</v>
      </c>
      <c r="F1478" s="99" t="n">
        <f aca="false">MIN(MAX(0,F266-F872-F1175),F266*CPR*MAX(0,MIN(4,'Loan Tape'!$AV262)-3))</f>
        <v>0</v>
      </c>
      <c r="G1478" s="99" t="n">
        <f aca="false">MIN(MAX(0,G266-G872-G1175),G266*CPR*MAX(0,MIN(5,'Loan Tape'!$AV262)-4))</f>
        <v>0</v>
      </c>
      <c r="H1478" s="99" t="n">
        <f aca="false">MIN(MAX(0,H266-H872-H1175),H266*CPR*MAX(0,MIN(6,'Loan Tape'!$AV262)-5))</f>
        <v>0</v>
      </c>
      <c r="I1478" s="99" t="n">
        <f aca="false">MIN(MAX(0,I266-I872-I1175),I266*CPR*MAX(0,MIN(7,'Loan Tape'!$AV262)-6))</f>
        <v>0</v>
      </c>
      <c r="J1478" s="99" t="n">
        <f aca="false">MIN(MAX(0,J266-J872-J1175),J266*CPR*MAX(0,MIN(8,'Loan Tape'!$AV262)-7))</f>
        <v>0</v>
      </c>
      <c r="K1478" s="99" t="n">
        <f aca="false">MIN(MAX(0,K266-K872-K1175),K266*CPR*MAX(0,MIN(9,'Loan Tape'!$AV262)-8))</f>
        <v>0</v>
      </c>
      <c r="L1478" s="99" t="n">
        <f aca="false">MIN(MAX(0,L266-L872-L1175),L266*CPR*MAX(0,MIN(10,'Loan Tape'!$AV262)-9))</f>
        <v>0</v>
      </c>
    </row>
    <row r="1479" customFormat="false" ht="15" hidden="false" customHeight="false" outlineLevel="0" collapsed="false">
      <c r="B1479" s="108" t="n">
        <f aca="false">'Loan Tape'!$A263</f>
        <v>0</v>
      </c>
      <c r="C1479" s="71" t="n">
        <f aca="false">MIN(MAX(0,C267-C873-C1176),C267*CPR*MAX(0,MIN(1,'Loan Tape'!$AV263)-0))</f>
        <v>0</v>
      </c>
      <c r="D1479" s="71" t="n">
        <f aca="false">MIN(MAX(0,D267-D873-D1176),D267*CPR*MAX(0,MIN(2,'Loan Tape'!$AV263)-1))</f>
        <v>0</v>
      </c>
      <c r="E1479" s="71" t="n">
        <f aca="false">MIN(MAX(0,E267-E873-E1176),E267*CPR*MAX(0,MIN(3,'Loan Tape'!$AV263)-2))</f>
        <v>0</v>
      </c>
      <c r="F1479" s="71" t="n">
        <f aca="false">MIN(MAX(0,F267-F873-F1176),F267*CPR*MAX(0,MIN(4,'Loan Tape'!$AV263)-3))</f>
        <v>0</v>
      </c>
      <c r="G1479" s="71" t="n">
        <f aca="false">MIN(MAX(0,G267-G873-G1176),G267*CPR*MAX(0,MIN(5,'Loan Tape'!$AV263)-4))</f>
        <v>0</v>
      </c>
      <c r="H1479" s="71" t="n">
        <f aca="false">MIN(MAX(0,H267-H873-H1176),H267*CPR*MAX(0,MIN(6,'Loan Tape'!$AV263)-5))</f>
        <v>0</v>
      </c>
      <c r="I1479" s="71" t="n">
        <f aca="false">MIN(MAX(0,I267-I873-I1176),I267*CPR*MAX(0,MIN(7,'Loan Tape'!$AV263)-6))</f>
        <v>0</v>
      </c>
      <c r="J1479" s="71" t="n">
        <f aca="false">MIN(MAX(0,J267-J873-J1176),J267*CPR*MAX(0,MIN(8,'Loan Tape'!$AV263)-7))</f>
        <v>0</v>
      </c>
      <c r="K1479" s="71" t="n">
        <f aca="false">MIN(MAX(0,K267-K873-K1176),K267*CPR*MAX(0,MIN(9,'Loan Tape'!$AV263)-8))</f>
        <v>0</v>
      </c>
      <c r="L1479" s="71" t="n">
        <f aca="false">MIN(MAX(0,L267-L873-L1176),L267*CPR*MAX(0,MIN(10,'Loan Tape'!$AV263)-9))</f>
        <v>0</v>
      </c>
    </row>
    <row r="1480" customFormat="false" ht="15" hidden="false" customHeight="false" outlineLevel="0" collapsed="false">
      <c r="B1480" s="102" t="n">
        <f aca="false">'Loan Tape'!$A264</f>
        <v>0</v>
      </c>
      <c r="C1480" s="99" t="n">
        <f aca="false">MIN(MAX(0,C268-C874-C1177),C268*CPR*MAX(0,MIN(1,'Loan Tape'!$AV264)-0))</f>
        <v>0</v>
      </c>
      <c r="D1480" s="99" t="n">
        <f aca="false">MIN(MAX(0,D268-D874-D1177),D268*CPR*MAX(0,MIN(2,'Loan Tape'!$AV264)-1))</f>
        <v>0</v>
      </c>
      <c r="E1480" s="99" t="n">
        <f aca="false">MIN(MAX(0,E268-E874-E1177),E268*CPR*MAX(0,MIN(3,'Loan Tape'!$AV264)-2))</f>
        <v>0</v>
      </c>
      <c r="F1480" s="99" t="n">
        <f aca="false">MIN(MAX(0,F268-F874-F1177),F268*CPR*MAX(0,MIN(4,'Loan Tape'!$AV264)-3))</f>
        <v>0</v>
      </c>
      <c r="G1480" s="99" t="n">
        <f aca="false">MIN(MAX(0,G268-G874-G1177),G268*CPR*MAX(0,MIN(5,'Loan Tape'!$AV264)-4))</f>
        <v>0</v>
      </c>
      <c r="H1480" s="99" t="n">
        <f aca="false">MIN(MAX(0,H268-H874-H1177),H268*CPR*MAX(0,MIN(6,'Loan Tape'!$AV264)-5))</f>
        <v>0</v>
      </c>
      <c r="I1480" s="99" t="n">
        <f aca="false">MIN(MAX(0,I268-I874-I1177),I268*CPR*MAX(0,MIN(7,'Loan Tape'!$AV264)-6))</f>
        <v>0</v>
      </c>
      <c r="J1480" s="99" t="n">
        <f aca="false">MIN(MAX(0,J268-J874-J1177),J268*CPR*MAX(0,MIN(8,'Loan Tape'!$AV264)-7))</f>
        <v>0</v>
      </c>
      <c r="K1480" s="99" t="n">
        <f aca="false">MIN(MAX(0,K268-K874-K1177),K268*CPR*MAX(0,MIN(9,'Loan Tape'!$AV264)-8))</f>
        <v>0</v>
      </c>
      <c r="L1480" s="99" t="n">
        <f aca="false">MIN(MAX(0,L268-L874-L1177),L268*CPR*MAX(0,MIN(10,'Loan Tape'!$AV264)-9))</f>
        <v>0</v>
      </c>
    </row>
    <row r="1481" customFormat="false" ht="15" hidden="false" customHeight="false" outlineLevel="0" collapsed="false">
      <c r="B1481" s="108" t="n">
        <f aca="false">'Loan Tape'!$A265</f>
        <v>0</v>
      </c>
      <c r="C1481" s="71" t="n">
        <f aca="false">MIN(MAX(0,C269-C875-C1178),C269*CPR*MAX(0,MIN(1,'Loan Tape'!$AV265)-0))</f>
        <v>0</v>
      </c>
      <c r="D1481" s="71" t="n">
        <f aca="false">MIN(MAX(0,D269-D875-D1178),D269*CPR*MAX(0,MIN(2,'Loan Tape'!$AV265)-1))</f>
        <v>0</v>
      </c>
      <c r="E1481" s="71" t="n">
        <f aca="false">MIN(MAX(0,E269-E875-E1178),E269*CPR*MAX(0,MIN(3,'Loan Tape'!$AV265)-2))</f>
        <v>0</v>
      </c>
      <c r="F1481" s="71" t="n">
        <f aca="false">MIN(MAX(0,F269-F875-F1178),F269*CPR*MAX(0,MIN(4,'Loan Tape'!$AV265)-3))</f>
        <v>0</v>
      </c>
      <c r="G1481" s="71" t="n">
        <f aca="false">MIN(MAX(0,G269-G875-G1178),G269*CPR*MAX(0,MIN(5,'Loan Tape'!$AV265)-4))</f>
        <v>0</v>
      </c>
      <c r="H1481" s="71" t="n">
        <f aca="false">MIN(MAX(0,H269-H875-H1178),H269*CPR*MAX(0,MIN(6,'Loan Tape'!$AV265)-5))</f>
        <v>0</v>
      </c>
      <c r="I1481" s="71" t="n">
        <f aca="false">MIN(MAX(0,I269-I875-I1178),I269*CPR*MAX(0,MIN(7,'Loan Tape'!$AV265)-6))</f>
        <v>0</v>
      </c>
      <c r="J1481" s="71" t="n">
        <f aca="false">MIN(MAX(0,J269-J875-J1178),J269*CPR*MAX(0,MIN(8,'Loan Tape'!$AV265)-7))</f>
        <v>0</v>
      </c>
      <c r="K1481" s="71" t="n">
        <f aca="false">MIN(MAX(0,K269-K875-K1178),K269*CPR*MAX(0,MIN(9,'Loan Tape'!$AV265)-8))</f>
        <v>0</v>
      </c>
      <c r="L1481" s="71" t="n">
        <f aca="false">MIN(MAX(0,L269-L875-L1178),L269*CPR*MAX(0,MIN(10,'Loan Tape'!$AV265)-9))</f>
        <v>0</v>
      </c>
    </row>
    <row r="1482" customFormat="false" ht="15" hidden="false" customHeight="false" outlineLevel="0" collapsed="false">
      <c r="B1482" s="102" t="n">
        <f aca="false">'Loan Tape'!$A266</f>
        <v>0</v>
      </c>
      <c r="C1482" s="99" t="n">
        <f aca="false">MIN(MAX(0,C270-C876-C1179),C270*CPR*MAX(0,MIN(1,'Loan Tape'!$AV266)-0))</f>
        <v>0</v>
      </c>
      <c r="D1482" s="99" t="n">
        <f aca="false">MIN(MAX(0,D270-D876-D1179),D270*CPR*MAX(0,MIN(2,'Loan Tape'!$AV266)-1))</f>
        <v>0</v>
      </c>
      <c r="E1482" s="99" t="n">
        <f aca="false">MIN(MAX(0,E270-E876-E1179),E270*CPR*MAX(0,MIN(3,'Loan Tape'!$AV266)-2))</f>
        <v>0</v>
      </c>
      <c r="F1482" s="99" t="n">
        <f aca="false">MIN(MAX(0,F270-F876-F1179),F270*CPR*MAX(0,MIN(4,'Loan Tape'!$AV266)-3))</f>
        <v>0</v>
      </c>
      <c r="G1482" s="99" t="n">
        <f aca="false">MIN(MAX(0,G270-G876-G1179),G270*CPR*MAX(0,MIN(5,'Loan Tape'!$AV266)-4))</f>
        <v>0</v>
      </c>
      <c r="H1482" s="99" t="n">
        <f aca="false">MIN(MAX(0,H270-H876-H1179),H270*CPR*MAX(0,MIN(6,'Loan Tape'!$AV266)-5))</f>
        <v>0</v>
      </c>
      <c r="I1482" s="99" t="n">
        <f aca="false">MIN(MAX(0,I270-I876-I1179),I270*CPR*MAX(0,MIN(7,'Loan Tape'!$AV266)-6))</f>
        <v>0</v>
      </c>
      <c r="J1482" s="99" t="n">
        <f aca="false">MIN(MAX(0,J270-J876-J1179),J270*CPR*MAX(0,MIN(8,'Loan Tape'!$AV266)-7))</f>
        <v>0</v>
      </c>
      <c r="K1482" s="99" t="n">
        <f aca="false">MIN(MAX(0,K270-K876-K1179),K270*CPR*MAX(0,MIN(9,'Loan Tape'!$AV266)-8))</f>
        <v>0</v>
      </c>
      <c r="L1482" s="99" t="n">
        <f aca="false">MIN(MAX(0,L270-L876-L1179),L270*CPR*MAX(0,MIN(10,'Loan Tape'!$AV266)-9))</f>
        <v>0</v>
      </c>
    </row>
    <row r="1483" customFormat="false" ht="15" hidden="false" customHeight="false" outlineLevel="0" collapsed="false">
      <c r="B1483" s="108" t="n">
        <f aca="false">'Loan Tape'!$A267</f>
        <v>0</v>
      </c>
      <c r="C1483" s="71" t="n">
        <f aca="false">MIN(MAX(0,C271-C877-C1180),C271*CPR*MAX(0,MIN(1,'Loan Tape'!$AV267)-0))</f>
        <v>0</v>
      </c>
      <c r="D1483" s="71" t="n">
        <f aca="false">MIN(MAX(0,D271-D877-D1180),D271*CPR*MAX(0,MIN(2,'Loan Tape'!$AV267)-1))</f>
        <v>0</v>
      </c>
      <c r="E1483" s="71" t="n">
        <f aca="false">MIN(MAX(0,E271-E877-E1180),E271*CPR*MAX(0,MIN(3,'Loan Tape'!$AV267)-2))</f>
        <v>0</v>
      </c>
      <c r="F1483" s="71" t="n">
        <f aca="false">MIN(MAX(0,F271-F877-F1180),F271*CPR*MAX(0,MIN(4,'Loan Tape'!$AV267)-3))</f>
        <v>0</v>
      </c>
      <c r="G1483" s="71" t="n">
        <f aca="false">MIN(MAX(0,G271-G877-G1180),G271*CPR*MAX(0,MIN(5,'Loan Tape'!$AV267)-4))</f>
        <v>0</v>
      </c>
      <c r="H1483" s="71" t="n">
        <f aca="false">MIN(MAX(0,H271-H877-H1180),H271*CPR*MAX(0,MIN(6,'Loan Tape'!$AV267)-5))</f>
        <v>0</v>
      </c>
      <c r="I1483" s="71" t="n">
        <f aca="false">MIN(MAX(0,I271-I877-I1180),I271*CPR*MAX(0,MIN(7,'Loan Tape'!$AV267)-6))</f>
        <v>0</v>
      </c>
      <c r="J1483" s="71" t="n">
        <f aca="false">MIN(MAX(0,J271-J877-J1180),J271*CPR*MAX(0,MIN(8,'Loan Tape'!$AV267)-7))</f>
        <v>0</v>
      </c>
      <c r="K1483" s="71" t="n">
        <f aca="false">MIN(MAX(0,K271-K877-K1180),K271*CPR*MAX(0,MIN(9,'Loan Tape'!$AV267)-8))</f>
        <v>0</v>
      </c>
      <c r="L1483" s="71" t="n">
        <f aca="false">MIN(MAX(0,L271-L877-L1180),L271*CPR*MAX(0,MIN(10,'Loan Tape'!$AV267)-9))</f>
        <v>0</v>
      </c>
    </row>
    <row r="1484" customFormat="false" ht="15" hidden="false" customHeight="false" outlineLevel="0" collapsed="false">
      <c r="B1484" s="102" t="n">
        <f aca="false">'Loan Tape'!$A268</f>
        <v>0</v>
      </c>
      <c r="C1484" s="99" t="n">
        <f aca="false">MIN(MAX(0,C272-C878-C1181),C272*CPR*MAX(0,MIN(1,'Loan Tape'!$AV268)-0))</f>
        <v>0</v>
      </c>
      <c r="D1484" s="99" t="n">
        <f aca="false">MIN(MAX(0,D272-D878-D1181),D272*CPR*MAX(0,MIN(2,'Loan Tape'!$AV268)-1))</f>
        <v>0</v>
      </c>
      <c r="E1484" s="99" t="n">
        <f aca="false">MIN(MAX(0,E272-E878-E1181),E272*CPR*MAX(0,MIN(3,'Loan Tape'!$AV268)-2))</f>
        <v>0</v>
      </c>
      <c r="F1484" s="99" t="n">
        <f aca="false">MIN(MAX(0,F272-F878-F1181),F272*CPR*MAX(0,MIN(4,'Loan Tape'!$AV268)-3))</f>
        <v>0</v>
      </c>
      <c r="G1484" s="99" t="n">
        <f aca="false">MIN(MAX(0,G272-G878-G1181),G272*CPR*MAX(0,MIN(5,'Loan Tape'!$AV268)-4))</f>
        <v>0</v>
      </c>
      <c r="H1484" s="99" t="n">
        <f aca="false">MIN(MAX(0,H272-H878-H1181),H272*CPR*MAX(0,MIN(6,'Loan Tape'!$AV268)-5))</f>
        <v>0</v>
      </c>
      <c r="I1484" s="99" t="n">
        <f aca="false">MIN(MAX(0,I272-I878-I1181),I272*CPR*MAX(0,MIN(7,'Loan Tape'!$AV268)-6))</f>
        <v>0</v>
      </c>
      <c r="J1484" s="99" t="n">
        <f aca="false">MIN(MAX(0,J272-J878-J1181),J272*CPR*MAX(0,MIN(8,'Loan Tape'!$AV268)-7))</f>
        <v>0</v>
      </c>
      <c r="K1484" s="99" t="n">
        <f aca="false">MIN(MAX(0,K272-K878-K1181),K272*CPR*MAX(0,MIN(9,'Loan Tape'!$AV268)-8))</f>
        <v>0</v>
      </c>
      <c r="L1484" s="99" t="n">
        <f aca="false">MIN(MAX(0,L272-L878-L1181),L272*CPR*MAX(0,MIN(10,'Loan Tape'!$AV268)-9))</f>
        <v>0</v>
      </c>
    </row>
    <row r="1485" customFormat="false" ht="15" hidden="false" customHeight="false" outlineLevel="0" collapsed="false">
      <c r="B1485" s="108" t="n">
        <f aca="false">'Loan Tape'!$A269</f>
        <v>0</v>
      </c>
      <c r="C1485" s="71" t="n">
        <f aca="false">MIN(MAX(0,C273-C879-C1182),C273*CPR*MAX(0,MIN(1,'Loan Tape'!$AV269)-0))</f>
        <v>0</v>
      </c>
      <c r="D1485" s="71" t="n">
        <f aca="false">MIN(MAX(0,D273-D879-D1182),D273*CPR*MAX(0,MIN(2,'Loan Tape'!$AV269)-1))</f>
        <v>0</v>
      </c>
      <c r="E1485" s="71" t="n">
        <f aca="false">MIN(MAX(0,E273-E879-E1182),E273*CPR*MAX(0,MIN(3,'Loan Tape'!$AV269)-2))</f>
        <v>0</v>
      </c>
      <c r="F1485" s="71" t="n">
        <f aca="false">MIN(MAX(0,F273-F879-F1182),F273*CPR*MAX(0,MIN(4,'Loan Tape'!$AV269)-3))</f>
        <v>0</v>
      </c>
      <c r="G1485" s="71" t="n">
        <f aca="false">MIN(MAX(0,G273-G879-G1182),G273*CPR*MAX(0,MIN(5,'Loan Tape'!$AV269)-4))</f>
        <v>0</v>
      </c>
      <c r="H1485" s="71" t="n">
        <f aca="false">MIN(MAX(0,H273-H879-H1182),H273*CPR*MAX(0,MIN(6,'Loan Tape'!$AV269)-5))</f>
        <v>0</v>
      </c>
      <c r="I1485" s="71" t="n">
        <f aca="false">MIN(MAX(0,I273-I879-I1182),I273*CPR*MAX(0,MIN(7,'Loan Tape'!$AV269)-6))</f>
        <v>0</v>
      </c>
      <c r="J1485" s="71" t="n">
        <f aca="false">MIN(MAX(0,J273-J879-J1182),J273*CPR*MAX(0,MIN(8,'Loan Tape'!$AV269)-7))</f>
        <v>0</v>
      </c>
      <c r="K1485" s="71" t="n">
        <f aca="false">MIN(MAX(0,K273-K879-K1182),K273*CPR*MAX(0,MIN(9,'Loan Tape'!$AV269)-8))</f>
        <v>0</v>
      </c>
      <c r="L1485" s="71" t="n">
        <f aca="false">MIN(MAX(0,L273-L879-L1182),L273*CPR*MAX(0,MIN(10,'Loan Tape'!$AV269)-9))</f>
        <v>0</v>
      </c>
    </row>
    <row r="1486" customFormat="false" ht="15" hidden="false" customHeight="false" outlineLevel="0" collapsed="false">
      <c r="B1486" s="102" t="n">
        <f aca="false">'Loan Tape'!$A270</f>
        <v>0</v>
      </c>
      <c r="C1486" s="99" t="n">
        <f aca="false">MIN(MAX(0,C274-C880-C1183),C274*CPR*MAX(0,MIN(1,'Loan Tape'!$AV270)-0))</f>
        <v>0</v>
      </c>
      <c r="D1486" s="99" t="n">
        <f aca="false">MIN(MAX(0,D274-D880-D1183),D274*CPR*MAX(0,MIN(2,'Loan Tape'!$AV270)-1))</f>
        <v>0</v>
      </c>
      <c r="E1486" s="99" t="n">
        <f aca="false">MIN(MAX(0,E274-E880-E1183),E274*CPR*MAX(0,MIN(3,'Loan Tape'!$AV270)-2))</f>
        <v>0</v>
      </c>
      <c r="F1486" s="99" t="n">
        <f aca="false">MIN(MAX(0,F274-F880-F1183),F274*CPR*MAX(0,MIN(4,'Loan Tape'!$AV270)-3))</f>
        <v>0</v>
      </c>
      <c r="G1486" s="99" t="n">
        <f aca="false">MIN(MAX(0,G274-G880-G1183),G274*CPR*MAX(0,MIN(5,'Loan Tape'!$AV270)-4))</f>
        <v>0</v>
      </c>
      <c r="H1486" s="99" t="n">
        <f aca="false">MIN(MAX(0,H274-H880-H1183),H274*CPR*MAX(0,MIN(6,'Loan Tape'!$AV270)-5))</f>
        <v>0</v>
      </c>
      <c r="I1486" s="99" t="n">
        <f aca="false">MIN(MAX(0,I274-I880-I1183),I274*CPR*MAX(0,MIN(7,'Loan Tape'!$AV270)-6))</f>
        <v>0</v>
      </c>
      <c r="J1486" s="99" t="n">
        <f aca="false">MIN(MAX(0,J274-J880-J1183),J274*CPR*MAX(0,MIN(8,'Loan Tape'!$AV270)-7))</f>
        <v>0</v>
      </c>
      <c r="K1486" s="99" t="n">
        <f aca="false">MIN(MAX(0,K274-K880-K1183),K274*CPR*MAX(0,MIN(9,'Loan Tape'!$AV270)-8))</f>
        <v>0</v>
      </c>
      <c r="L1486" s="99" t="n">
        <f aca="false">MIN(MAX(0,L274-L880-L1183),L274*CPR*MAX(0,MIN(10,'Loan Tape'!$AV270)-9))</f>
        <v>0</v>
      </c>
    </row>
    <row r="1487" customFormat="false" ht="15" hidden="false" customHeight="false" outlineLevel="0" collapsed="false">
      <c r="B1487" s="108" t="n">
        <f aca="false">'Loan Tape'!$A271</f>
        <v>0</v>
      </c>
      <c r="C1487" s="71" t="n">
        <f aca="false">MIN(MAX(0,C275-C881-C1184),C275*CPR*MAX(0,MIN(1,'Loan Tape'!$AV271)-0))</f>
        <v>0</v>
      </c>
      <c r="D1487" s="71" t="n">
        <f aca="false">MIN(MAX(0,D275-D881-D1184),D275*CPR*MAX(0,MIN(2,'Loan Tape'!$AV271)-1))</f>
        <v>0</v>
      </c>
      <c r="E1487" s="71" t="n">
        <f aca="false">MIN(MAX(0,E275-E881-E1184),E275*CPR*MAX(0,MIN(3,'Loan Tape'!$AV271)-2))</f>
        <v>0</v>
      </c>
      <c r="F1487" s="71" t="n">
        <f aca="false">MIN(MAX(0,F275-F881-F1184),F275*CPR*MAX(0,MIN(4,'Loan Tape'!$AV271)-3))</f>
        <v>0</v>
      </c>
      <c r="G1487" s="71" t="n">
        <f aca="false">MIN(MAX(0,G275-G881-G1184),G275*CPR*MAX(0,MIN(5,'Loan Tape'!$AV271)-4))</f>
        <v>0</v>
      </c>
      <c r="H1487" s="71" t="n">
        <f aca="false">MIN(MAX(0,H275-H881-H1184),H275*CPR*MAX(0,MIN(6,'Loan Tape'!$AV271)-5))</f>
        <v>0</v>
      </c>
      <c r="I1487" s="71" t="n">
        <f aca="false">MIN(MAX(0,I275-I881-I1184),I275*CPR*MAX(0,MIN(7,'Loan Tape'!$AV271)-6))</f>
        <v>0</v>
      </c>
      <c r="J1487" s="71" t="n">
        <f aca="false">MIN(MAX(0,J275-J881-J1184),J275*CPR*MAX(0,MIN(8,'Loan Tape'!$AV271)-7))</f>
        <v>0</v>
      </c>
      <c r="K1487" s="71" t="n">
        <f aca="false">MIN(MAX(0,K275-K881-K1184),K275*CPR*MAX(0,MIN(9,'Loan Tape'!$AV271)-8))</f>
        <v>0</v>
      </c>
      <c r="L1487" s="71" t="n">
        <f aca="false">MIN(MAX(0,L275-L881-L1184),L275*CPR*MAX(0,MIN(10,'Loan Tape'!$AV271)-9))</f>
        <v>0</v>
      </c>
    </row>
    <row r="1488" customFormat="false" ht="15" hidden="false" customHeight="false" outlineLevel="0" collapsed="false">
      <c r="B1488" s="102" t="n">
        <f aca="false">'Loan Tape'!$A272</f>
        <v>0</v>
      </c>
      <c r="C1488" s="99" t="n">
        <f aca="false">MIN(MAX(0,C276-C882-C1185),C276*CPR*MAX(0,MIN(1,'Loan Tape'!$AV272)-0))</f>
        <v>0</v>
      </c>
      <c r="D1488" s="99" t="n">
        <f aca="false">MIN(MAX(0,D276-D882-D1185),D276*CPR*MAX(0,MIN(2,'Loan Tape'!$AV272)-1))</f>
        <v>0</v>
      </c>
      <c r="E1488" s="99" t="n">
        <f aca="false">MIN(MAX(0,E276-E882-E1185),E276*CPR*MAX(0,MIN(3,'Loan Tape'!$AV272)-2))</f>
        <v>0</v>
      </c>
      <c r="F1488" s="99" t="n">
        <f aca="false">MIN(MAX(0,F276-F882-F1185),F276*CPR*MAX(0,MIN(4,'Loan Tape'!$AV272)-3))</f>
        <v>0</v>
      </c>
      <c r="G1488" s="99" t="n">
        <f aca="false">MIN(MAX(0,G276-G882-G1185),G276*CPR*MAX(0,MIN(5,'Loan Tape'!$AV272)-4))</f>
        <v>0</v>
      </c>
      <c r="H1488" s="99" t="n">
        <f aca="false">MIN(MAX(0,H276-H882-H1185),H276*CPR*MAX(0,MIN(6,'Loan Tape'!$AV272)-5))</f>
        <v>0</v>
      </c>
      <c r="I1488" s="99" t="n">
        <f aca="false">MIN(MAX(0,I276-I882-I1185),I276*CPR*MAX(0,MIN(7,'Loan Tape'!$AV272)-6))</f>
        <v>0</v>
      </c>
      <c r="J1488" s="99" t="n">
        <f aca="false">MIN(MAX(0,J276-J882-J1185),J276*CPR*MAX(0,MIN(8,'Loan Tape'!$AV272)-7))</f>
        <v>0</v>
      </c>
      <c r="K1488" s="99" t="n">
        <f aca="false">MIN(MAX(0,K276-K882-K1185),K276*CPR*MAX(0,MIN(9,'Loan Tape'!$AV272)-8))</f>
        <v>0</v>
      </c>
      <c r="L1488" s="99" t="n">
        <f aca="false">MIN(MAX(0,L276-L882-L1185),L276*CPR*MAX(0,MIN(10,'Loan Tape'!$AV272)-9))</f>
        <v>0</v>
      </c>
    </row>
    <row r="1489" customFormat="false" ht="15" hidden="false" customHeight="false" outlineLevel="0" collapsed="false">
      <c r="B1489" s="108" t="n">
        <f aca="false">'Loan Tape'!$A273</f>
        <v>0</v>
      </c>
      <c r="C1489" s="71" t="n">
        <f aca="false">MIN(MAX(0,C277-C883-C1186),C277*CPR*MAX(0,MIN(1,'Loan Tape'!$AV273)-0))</f>
        <v>0</v>
      </c>
      <c r="D1489" s="71" t="n">
        <f aca="false">MIN(MAX(0,D277-D883-D1186),D277*CPR*MAX(0,MIN(2,'Loan Tape'!$AV273)-1))</f>
        <v>0</v>
      </c>
      <c r="E1489" s="71" t="n">
        <f aca="false">MIN(MAX(0,E277-E883-E1186),E277*CPR*MAX(0,MIN(3,'Loan Tape'!$AV273)-2))</f>
        <v>0</v>
      </c>
      <c r="F1489" s="71" t="n">
        <f aca="false">MIN(MAX(0,F277-F883-F1186),F277*CPR*MAX(0,MIN(4,'Loan Tape'!$AV273)-3))</f>
        <v>0</v>
      </c>
      <c r="G1489" s="71" t="n">
        <f aca="false">MIN(MAX(0,G277-G883-G1186),G277*CPR*MAX(0,MIN(5,'Loan Tape'!$AV273)-4))</f>
        <v>0</v>
      </c>
      <c r="H1489" s="71" t="n">
        <f aca="false">MIN(MAX(0,H277-H883-H1186),H277*CPR*MAX(0,MIN(6,'Loan Tape'!$AV273)-5))</f>
        <v>0</v>
      </c>
      <c r="I1489" s="71" t="n">
        <f aca="false">MIN(MAX(0,I277-I883-I1186),I277*CPR*MAX(0,MIN(7,'Loan Tape'!$AV273)-6))</f>
        <v>0</v>
      </c>
      <c r="J1489" s="71" t="n">
        <f aca="false">MIN(MAX(0,J277-J883-J1186),J277*CPR*MAX(0,MIN(8,'Loan Tape'!$AV273)-7))</f>
        <v>0</v>
      </c>
      <c r="K1489" s="71" t="n">
        <f aca="false">MIN(MAX(0,K277-K883-K1186),K277*CPR*MAX(0,MIN(9,'Loan Tape'!$AV273)-8))</f>
        <v>0</v>
      </c>
      <c r="L1489" s="71" t="n">
        <f aca="false">MIN(MAX(0,L277-L883-L1186),L277*CPR*MAX(0,MIN(10,'Loan Tape'!$AV273)-9))</f>
        <v>0</v>
      </c>
    </row>
    <row r="1490" customFormat="false" ht="15" hidden="false" customHeight="false" outlineLevel="0" collapsed="false">
      <c r="B1490" s="102" t="n">
        <f aca="false">'Loan Tape'!$A274</f>
        <v>0</v>
      </c>
      <c r="C1490" s="99" t="n">
        <f aca="false">MIN(MAX(0,C278-C884-C1187),C278*CPR*MAX(0,MIN(1,'Loan Tape'!$AV274)-0))</f>
        <v>0</v>
      </c>
      <c r="D1490" s="99" t="n">
        <f aca="false">MIN(MAX(0,D278-D884-D1187),D278*CPR*MAX(0,MIN(2,'Loan Tape'!$AV274)-1))</f>
        <v>0</v>
      </c>
      <c r="E1490" s="99" t="n">
        <f aca="false">MIN(MAX(0,E278-E884-E1187),E278*CPR*MAX(0,MIN(3,'Loan Tape'!$AV274)-2))</f>
        <v>0</v>
      </c>
      <c r="F1490" s="99" t="n">
        <f aca="false">MIN(MAX(0,F278-F884-F1187),F278*CPR*MAX(0,MIN(4,'Loan Tape'!$AV274)-3))</f>
        <v>0</v>
      </c>
      <c r="G1490" s="99" t="n">
        <f aca="false">MIN(MAX(0,G278-G884-G1187),G278*CPR*MAX(0,MIN(5,'Loan Tape'!$AV274)-4))</f>
        <v>0</v>
      </c>
      <c r="H1490" s="99" t="n">
        <f aca="false">MIN(MAX(0,H278-H884-H1187),H278*CPR*MAX(0,MIN(6,'Loan Tape'!$AV274)-5))</f>
        <v>0</v>
      </c>
      <c r="I1490" s="99" t="n">
        <f aca="false">MIN(MAX(0,I278-I884-I1187),I278*CPR*MAX(0,MIN(7,'Loan Tape'!$AV274)-6))</f>
        <v>0</v>
      </c>
      <c r="J1490" s="99" t="n">
        <f aca="false">MIN(MAX(0,J278-J884-J1187),J278*CPR*MAX(0,MIN(8,'Loan Tape'!$AV274)-7))</f>
        <v>0</v>
      </c>
      <c r="K1490" s="99" t="n">
        <f aca="false">MIN(MAX(0,K278-K884-K1187),K278*CPR*MAX(0,MIN(9,'Loan Tape'!$AV274)-8))</f>
        <v>0</v>
      </c>
      <c r="L1490" s="99" t="n">
        <f aca="false">MIN(MAX(0,L278-L884-L1187),L278*CPR*MAX(0,MIN(10,'Loan Tape'!$AV274)-9))</f>
        <v>0</v>
      </c>
    </row>
    <row r="1491" customFormat="false" ht="15" hidden="false" customHeight="false" outlineLevel="0" collapsed="false">
      <c r="B1491" s="108" t="n">
        <f aca="false">'Loan Tape'!$A275</f>
        <v>0</v>
      </c>
      <c r="C1491" s="71" t="n">
        <f aca="false">MIN(MAX(0,C279-C885-C1188),C279*CPR*MAX(0,MIN(1,'Loan Tape'!$AV275)-0))</f>
        <v>0</v>
      </c>
      <c r="D1491" s="71" t="n">
        <f aca="false">MIN(MAX(0,D279-D885-D1188),D279*CPR*MAX(0,MIN(2,'Loan Tape'!$AV275)-1))</f>
        <v>0</v>
      </c>
      <c r="E1491" s="71" t="n">
        <f aca="false">MIN(MAX(0,E279-E885-E1188),E279*CPR*MAX(0,MIN(3,'Loan Tape'!$AV275)-2))</f>
        <v>0</v>
      </c>
      <c r="F1491" s="71" t="n">
        <f aca="false">MIN(MAX(0,F279-F885-F1188),F279*CPR*MAX(0,MIN(4,'Loan Tape'!$AV275)-3))</f>
        <v>0</v>
      </c>
      <c r="G1491" s="71" t="n">
        <f aca="false">MIN(MAX(0,G279-G885-G1188),G279*CPR*MAX(0,MIN(5,'Loan Tape'!$AV275)-4))</f>
        <v>0</v>
      </c>
      <c r="H1491" s="71" t="n">
        <f aca="false">MIN(MAX(0,H279-H885-H1188),H279*CPR*MAX(0,MIN(6,'Loan Tape'!$AV275)-5))</f>
        <v>0</v>
      </c>
      <c r="I1491" s="71" t="n">
        <f aca="false">MIN(MAX(0,I279-I885-I1188),I279*CPR*MAX(0,MIN(7,'Loan Tape'!$AV275)-6))</f>
        <v>0</v>
      </c>
      <c r="J1491" s="71" t="n">
        <f aca="false">MIN(MAX(0,J279-J885-J1188),J279*CPR*MAX(0,MIN(8,'Loan Tape'!$AV275)-7))</f>
        <v>0</v>
      </c>
      <c r="K1491" s="71" t="n">
        <f aca="false">MIN(MAX(0,K279-K885-K1188),K279*CPR*MAX(0,MIN(9,'Loan Tape'!$AV275)-8))</f>
        <v>0</v>
      </c>
      <c r="L1491" s="71" t="n">
        <f aca="false">MIN(MAX(0,L279-L885-L1188),L279*CPR*MAX(0,MIN(10,'Loan Tape'!$AV275)-9))</f>
        <v>0</v>
      </c>
    </row>
    <row r="1492" customFormat="false" ht="15" hidden="false" customHeight="false" outlineLevel="0" collapsed="false">
      <c r="B1492" s="102" t="n">
        <f aca="false">'Loan Tape'!$A276</f>
        <v>0</v>
      </c>
      <c r="C1492" s="99" t="n">
        <f aca="false">MIN(MAX(0,C280-C886-C1189),C280*CPR*MAX(0,MIN(1,'Loan Tape'!$AV276)-0))</f>
        <v>0</v>
      </c>
      <c r="D1492" s="99" t="n">
        <f aca="false">MIN(MAX(0,D280-D886-D1189),D280*CPR*MAX(0,MIN(2,'Loan Tape'!$AV276)-1))</f>
        <v>0</v>
      </c>
      <c r="E1492" s="99" t="n">
        <f aca="false">MIN(MAX(0,E280-E886-E1189),E280*CPR*MAX(0,MIN(3,'Loan Tape'!$AV276)-2))</f>
        <v>0</v>
      </c>
      <c r="F1492" s="99" t="n">
        <f aca="false">MIN(MAX(0,F280-F886-F1189),F280*CPR*MAX(0,MIN(4,'Loan Tape'!$AV276)-3))</f>
        <v>0</v>
      </c>
      <c r="G1492" s="99" t="n">
        <f aca="false">MIN(MAX(0,G280-G886-G1189),G280*CPR*MAX(0,MIN(5,'Loan Tape'!$AV276)-4))</f>
        <v>0</v>
      </c>
      <c r="H1492" s="99" t="n">
        <f aca="false">MIN(MAX(0,H280-H886-H1189),H280*CPR*MAX(0,MIN(6,'Loan Tape'!$AV276)-5))</f>
        <v>0</v>
      </c>
      <c r="I1492" s="99" t="n">
        <f aca="false">MIN(MAX(0,I280-I886-I1189),I280*CPR*MAX(0,MIN(7,'Loan Tape'!$AV276)-6))</f>
        <v>0</v>
      </c>
      <c r="J1492" s="99" t="n">
        <f aca="false">MIN(MAX(0,J280-J886-J1189),J280*CPR*MAX(0,MIN(8,'Loan Tape'!$AV276)-7))</f>
        <v>0</v>
      </c>
      <c r="K1492" s="99" t="n">
        <f aca="false">MIN(MAX(0,K280-K886-K1189),K280*CPR*MAX(0,MIN(9,'Loan Tape'!$AV276)-8))</f>
        <v>0</v>
      </c>
      <c r="L1492" s="99" t="n">
        <f aca="false">MIN(MAX(0,L280-L886-L1189),L280*CPR*MAX(0,MIN(10,'Loan Tape'!$AV276)-9))</f>
        <v>0</v>
      </c>
    </row>
    <row r="1493" customFormat="false" ht="15" hidden="false" customHeight="false" outlineLevel="0" collapsed="false">
      <c r="B1493" s="108" t="n">
        <f aca="false">'Loan Tape'!$A277</f>
        <v>0</v>
      </c>
      <c r="C1493" s="71" t="n">
        <f aca="false">MIN(MAX(0,C281-C887-C1190),C281*CPR*MAX(0,MIN(1,'Loan Tape'!$AV277)-0))</f>
        <v>0</v>
      </c>
      <c r="D1493" s="71" t="n">
        <f aca="false">MIN(MAX(0,D281-D887-D1190),D281*CPR*MAX(0,MIN(2,'Loan Tape'!$AV277)-1))</f>
        <v>0</v>
      </c>
      <c r="E1493" s="71" t="n">
        <f aca="false">MIN(MAX(0,E281-E887-E1190),E281*CPR*MAX(0,MIN(3,'Loan Tape'!$AV277)-2))</f>
        <v>0</v>
      </c>
      <c r="F1493" s="71" t="n">
        <f aca="false">MIN(MAX(0,F281-F887-F1190),F281*CPR*MAX(0,MIN(4,'Loan Tape'!$AV277)-3))</f>
        <v>0</v>
      </c>
      <c r="G1493" s="71" t="n">
        <f aca="false">MIN(MAX(0,G281-G887-G1190),G281*CPR*MAX(0,MIN(5,'Loan Tape'!$AV277)-4))</f>
        <v>0</v>
      </c>
      <c r="H1493" s="71" t="n">
        <f aca="false">MIN(MAX(0,H281-H887-H1190),H281*CPR*MAX(0,MIN(6,'Loan Tape'!$AV277)-5))</f>
        <v>0</v>
      </c>
      <c r="I1493" s="71" t="n">
        <f aca="false">MIN(MAX(0,I281-I887-I1190),I281*CPR*MAX(0,MIN(7,'Loan Tape'!$AV277)-6))</f>
        <v>0</v>
      </c>
      <c r="J1493" s="71" t="n">
        <f aca="false">MIN(MAX(0,J281-J887-J1190),J281*CPR*MAX(0,MIN(8,'Loan Tape'!$AV277)-7))</f>
        <v>0</v>
      </c>
      <c r="K1493" s="71" t="n">
        <f aca="false">MIN(MAX(0,K281-K887-K1190),K281*CPR*MAX(0,MIN(9,'Loan Tape'!$AV277)-8))</f>
        <v>0</v>
      </c>
      <c r="L1493" s="71" t="n">
        <f aca="false">MIN(MAX(0,L281-L887-L1190),L281*CPR*MAX(0,MIN(10,'Loan Tape'!$AV277)-9))</f>
        <v>0</v>
      </c>
    </row>
    <row r="1494" customFormat="false" ht="15" hidden="false" customHeight="false" outlineLevel="0" collapsed="false">
      <c r="B1494" s="102" t="n">
        <f aca="false">'Loan Tape'!$A278</f>
        <v>0</v>
      </c>
      <c r="C1494" s="99" t="n">
        <f aca="false">MIN(MAX(0,C282-C888-C1191),C282*CPR*MAX(0,MIN(1,'Loan Tape'!$AV278)-0))</f>
        <v>0</v>
      </c>
      <c r="D1494" s="99" t="n">
        <f aca="false">MIN(MAX(0,D282-D888-D1191),D282*CPR*MAX(0,MIN(2,'Loan Tape'!$AV278)-1))</f>
        <v>0</v>
      </c>
      <c r="E1494" s="99" t="n">
        <f aca="false">MIN(MAX(0,E282-E888-E1191),E282*CPR*MAX(0,MIN(3,'Loan Tape'!$AV278)-2))</f>
        <v>0</v>
      </c>
      <c r="F1494" s="99" t="n">
        <f aca="false">MIN(MAX(0,F282-F888-F1191),F282*CPR*MAX(0,MIN(4,'Loan Tape'!$AV278)-3))</f>
        <v>0</v>
      </c>
      <c r="G1494" s="99" t="n">
        <f aca="false">MIN(MAX(0,G282-G888-G1191),G282*CPR*MAX(0,MIN(5,'Loan Tape'!$AV278)-4))</f>
        <v>0</v>
      </c>
      <c r="H1494" s="99" t="n">
        <f aca="false">MIN(MAX(0,H282-H888-H1191),H282*CPR*MAX(0,MIN(6,'Loan Tape'!$AV278)-5))</f>
        <v>0</v>
      </c>
      <c r="I1494" s="99" t="n">
        <f aca="false">MIN(MAX(0,I282-I888-I1191),I282*CPR*MAX(0,MIN(7,'Loan Tape'!$AV278)-6))</f>
        <v>0</v>
      </c>
      <c r="J1494" s="99" t="n">
        <f aca="false">MIN(MAX(0,J282-J888-J1191),J282*CPR*MAX(0,MIN(8,'Loan Tape'!$AV278)-7))</f>
        <v>0</v>
      </c>
      <c r="K1494" s="99" t="n">
        <f aca="false">MIN(MAX(0,K282-K888-K1191),K282*CPR*MAX(0,MIN(9,'Loan Tape'!$AV278)-8))</f>
        <v>0</v>
      </c>
      <c r="L1494" s="99" t="n">
        <f aca="false">MIN(MAX(0,L282-L888-L1191),L282*CPR*MAX(0,MIN(10,'Loan Tape'!$AV278)-9))</f>
        <v>0</v>
      </c>
    </row>
    <row r="1495" customFormat="false" ht="15" hidden="false" customHeight="false" outlineLevel="0" collapsed="false">
      <c r="B1495" s="108" t="n">
        <f aca="false">'Loan Tape'!$A279</f>
        <v>0</v>
      </c>
      <c r="C1495" s="71" t="n">
        <f aca="false">MIN(MAX(0,C283-C889-C1192),C283*CPR*MAX(0,MIN(1,'Loan Tape'!$AV279)-0))</f>
        <v>0</v>
      </c>
      <c r="D1495" s="71" t="n">
        <f aca="false">MIN(MAX(0,D283-D889-D1192),D283*CPR*MAX(0,MIN(2,'Loan Tape'!$AV279)-1))</f>
        <v>0</v>
      </c>
      <c r="E1495" s="71" t="n">
        <f aca="false">MIN(MAX(0,E283-E889-E1192),E283*CPR*MAX(0,MIN(3,'Loan Tape'!$AV279)-2))</f>
        <v>0</v>
      </c>
      <c r="F1495" s="71" t="n">
        <f aca="false">MIN(MAX(0,F283-F889-F1192),F283*CPR*MAX(0,MIN(4,'Loan Tape'!$AV279)-3))</f>
        <v>0</v>
      </c>
      <c r="G1495" s="71" t="n">
        <f aca="false">MIN(MAX(0,G283-G889-G1192),G283*CPR*MAX(0,MIN(5,'Loan Tape'!$AV279)-4))</f>
        <v>0</v>
      </c>
      <c r="H1495" s="71" t="n">
        <f aca="false">MIN(MAX(0,H283-H889-H1192),H283*CPR*MAX(0,MIN(6,'Loan Tape'!$AV279)-5))</f>
        <v>0</v>
      </c>
      <c r="I1495" s="71" t="n">
        <f aca="false">MIN(MAX(0,I283-I889-I1192),I283*CPR*MAX(0,MIN(7,'Loan Tape'!$AV279)-6))</f>
        <v>0</v>
      </c>
      <c r="J1495" s="71" t="n">
        <f aca="false">MIN(MAX(0,J283-J889-J1192),J283*CPR*MAX(0,MIN(8,'Loan Tape'!$AV279)-7))</f>
        <v>0</v>
      </c>
      <c r="K1495" s="71" t="n">
        <f aca="false">MIN(MAX(0,K283-K889-K1192),K283*CPR*MAX(0,MIN(9,'Loan Tape'!$AV279)-8))</f>
        <v>0</v>
      </c>
      <c r="L1495" s="71" t="n">
        <f aca="false">MIN(MAX(0,L283-L889-L1192),L283*CPR*MAX(0,MIN(10,'Loan Tape'!$AV279)-9))</f>
        <v>0</v>
      </c>
    </row>
    <row r="1496" customFormat="false" ht="15" hidden="false" customHeight="false" outlineLevel="0" collapsed="false">
      <c r="B1496" s="102" t="n">
        <f aca="false">'Loan Tape'!$A280</f>
        <v>0</v>
      </c>
      <c r="C1496" s="99" t="n">
        <f aca="false">MIN(MAX(0,C284-C890-C1193),C284*CPR*MAX(0,MIN(1,'Loan Tape'!$AV280)-0))</f>
        <v>0</v>
      </c>
      <c r="D1496" s="99" t="n">
        <f aca="false">MIN(MAX(0,D284-D890-D1193),D284*CPR*MAX(0,MIN(2,'Loan Tape'!$AV280)-1))</f>
        <v>0</v>
      </c>
      <c r="E1496" s="99" t="n">
        <f aca="false">MIN(MAX(0,E284-E890-E1193),E284*CPR*MAX(0,MIN(3,'Loan Tape'!$AV280)-2))</f>
        <v>0</v>
      </c>
      <c r="F1496" s="99" t="n">
        <f aca="false">MIN(MAX(0,F284-F890-F1193),F284*CPR*MAX(0,MIN(4,'Loan Tape'!$AV280)-3))</f>
        <v>0</v>
      </c>
      <c r="G1496" s="99" t="n">
        <f aca="false">MIN(MAX(0,G284-G890-G1193),G284*CPR*MAX(0,MIN(5,'Loan Tape'!$AV280)-4))</f>
        <v>0</v>
      </c>
      <c r="H1496" s="99" t="n">
        <f aca="false">MIN(MAX(0,H284-H890-H1193),H284*CPR*MAX(0,MIN(6,'Loan Tape'!$AV280)-5))</f>
        <v>0</v>
      </c>
      <c r="I1496" s="99" t="n">
        <f aca="false">MIN(MAX(0,I284-I890-I1193),I284*CPR*MAX(0,MIN(7,'Loan Tape'!$AV280)-6))</f>
        <v>0</v>
      </c>
      <c r="J1496" s="99" t="n">
        <f aca="false">MIN(MAX(0,J284-J890-J1193),J284*CPR*MAX(0,MIN(8,'Loan Tape'!$AV280)-7))</f>
        <v>0</v>
      </c>
      <c r="K1496" s="99" t="n">
        <f aca="false">MIN(MAX(0,K284-K890-K1193),K284*CPR*MAX(0,MIN(9,'Loan Tape'!$AV280)-8))</f>
        <v>0</v>
      </c>
      <c r="L1496" s="99" t="n">
        <f aca="false">MIN(MAX(0,L284-L890-L1193),L284*CPR*MAX(0,MIN(10,'Loan Tape'!$AV280)-9))</f>
        <v>0</v>
      </c>
    </row>
    <row r="1497" customFormat="false" ht="15" hidden="false" customHeight="false" outlineLevel="0" collapsed="false">
      <c r="B1497" s="108" t="n">
        <f aca="false">'Loan Tape'!$A281</f>
        <v>0</v>
      </c>
      <c r="C1497" s="71" t="n">
        <f aca="false">MIN(MAX(0,C285-C891-C1194),C285*CPR*MAX(0,MIN(1,'Loan Tape'!$AV281)-0))</f>
        <v>0</v>
      </c>
      <c r="D1497" s="71" t="n">
        <f aca="false">MIN(MAX(0,D285-D891-D1194),D285*CPR*MAX(0,MIN(2,'Loan Tape'!$AV281)-1))</f>
        <v>0</v>
      </c>
      <c r="E1497" s="71" t="n">
        <f aca="false">MIN(MAX(0,E285-E891-E1194),E285*CPR*MAX(0,MIN(3,'Loan Tape'!$AV281)-2))</f>
        <v>0</v>
      </c>
      <c r="F1497" s="71" t="n">
        <f aca="false">MIN(MAX(0,F285-F891-F1194),F285*CPR*MAX(0,MIN(4,'Loan Tape'!$AV281)-3))</f>
        <v>0</v>
      </c>
      <c r="G1497" s="71" t="n">
        <f aca="false">MIN(MAX(0,G285-G891-G1194),G285*CPR*MAX(0,MIN(5,'Loan Tape'!$AV281)-4))</f>
        <v>0</v>
      </c>
      <c r="H1497" s="71" t="n">
        <f aca="false">MIN(MAX(0,H285-H891-H1194),H285*CPR*MAX(0,MIN(6,'Loan Tape'!$AV281)-5))</f>
        <v>0</v>
      </c>
      <c r="I1497" s="71" t="n">
        <f aca="false">MIN(MAX(0,I285-I891-I1194),I285*CPR*MAX(0,MIN(7,'Loan Tape'!$AV281)-6))</f>
        <v>0</v>
      </c>
      <c r="J1497" s="71" t="n">
        <f aca="false">MIN(MAX(0,J285-J891-J1194),J285*CPR*MAX(0,MIN(8,'Loan Tape'!$AV281)-7))</f>
        <v>0</v>
      </c>
      <c r="K1497" s="71" t="n">
        <f aca="false">MIN(MAX(0,K285-K891-K1194),K285*CPR*MAX(0,MIN(9,'Loan Tape'!$AV281)-8))</f>
        <v>0</v>
      </c>
      <c r="L1497" s="71" t="n">
        <f aca="false">MIN(MAX(0,L285-L891-L1194),L285*CPR*MAX(0,MIN(10,'Loan Tape'!$AV281)-9))</f>
        <v>0</v>
      </c>
    </row>
    <row r="1498" customFormat="false" ht="15" hidden="false" customHeight="false" outlineLevel="0" collapsed="false">
      <c r="B1498" s="102" t="n">
        <f aca="false">'Loan Tape'!$A282</f>
        <v>0</v>
      </c>
      <c r="C1498" s="99" t="n">
        <f aca="false">MIN(MAX(0,C286-C892-C1195),C286*CPR*MAX(0,MIN(1,'Loan Tape'!$AV282)-0))</f>
        <v>0</v>
      </c>
      <c r="D1498" s="99" t="n">
        <f aca="false">MIN(MAX(0,D286-D892-D1195),D286*CPR*MAX(0,MIN(2,'Loan Tape'!$AV282)-1))</f>
        <v>0</v>
      </c>
      <c r="E1498" s="99" t="n">
        <f aca="false">MIN(MAX(0,E286-E892-E1195),E286*CPR*MAX(0,MIN(3,'Loan Tape'!$AV282)-2))</f>
        <v>0</v>
      </c>
      <c r="F1498" s="99" t="n">
        <f aca="false">MIN(MAX(0,F286-F892-F1195),F286*CPR*MAX(0,MIN(4,'Loan Tape'!$AV282)-3))</f>
        <v>0</v>
      </c>
      <c r="G1498" s="99" t="n">
        <f aca="false">MIN(MAX(0,G286-G892-G1195),G286*CPR*MAX(0,MIN(5,'Loan Tape'!$AV282)-4))</f>
        <v>0</v>
      </c>
      <c r="H1498" s="99" t="n">
        <f aca="false">MIN(MAX(0,H286-H892-H1195),H286*CPR*MAX(0,MIN(6,'Loan Tape'!$AV282)-5))</f>
        <v>0</v>
      </c>
      <c r="I1498" s="99" t="n">
        <f aca="false">MIN(MAX(0,I286-I892-I1195),I286*CPR*MAX(0,MIN(7,'Loan Tape'!$AV282)-6))</f>
        <v>0</v>
      </c>
      <c r="J1498" s="99" t="n">
        <f aca="false">MIN(MAX(0,J286-J892-J1195),J286*CPR*MAX(0,MIN(8,'Loan Tape'!$AV282)-7))</f>
        <v>0</v>
      </c>
      <c r="K1498" s="99" t="n">
        <f aca="false">MIN(MAX(0,K286-K892-K1195),K286*CPR*MAX(0,MIN(9,'Loan Tape'!$AV282)-8))</f>
        <v>0</v>
      </c>
      <c r="L1498" s="99" t="n">
        <f aca="false">MIN(MAX(0,L286-L892-L1195),L286*CPR*MAX(0,MIN(10,'Loan Tape'!$AV282)-9))</f>
        <v>0</v>
      </c>
    </row>
    <row r="1499" customFormat="false" ht="15" hidden="false" customHeight="false" outlineLevel="0" collapsed="false">
      <c r="B1499" s="108" t="n">
        <f aca="false">'Loan Tape'!$A283</f>
        <v>0</v>
      </c>
      <c r="C1499" s="71" t="n">
        <f aca="false">MIN(MAX(0,C287-C893-C1196),C287*CPR*MAX(0,MIN(1,'Loan Tape'!$AV283)-0))</f>
        <v>0</v>
      </c>
      <c r="D1499" s="71" t="n">
        <f aca="false">MIN(MAX(0,D287-D893-D1196),D287*CPR*MAX(0,MIN(2,'Loan Tape'!$AV283)-1))</f>
        <v>0</v>
      </c>
      <c r="E1499" s="71" t="n">
        <f aca="false">MIN(MAX(0,E287-E893-E1196),E287*CPR*MAX(0,MIN(3,'Loan Tape'!$AV283)-2))</f>
        <v>0</v>
      </c>
      <c r="F1499" s="71" t="n">
        <f aca="false">MIN(MAX(0,F287-F893-F1196),F287*CPR*MAX(0,MIN(4,'Loan Tape'!$AV283)-3))</f>
        <v>0</v>
      </c>
      <c r="G1499" s="71" t="n">
        <f aca="false">MIN(MAX(0,G287-G893-G1196),G287*CPR*MAX(0,MIN(5,'Loan Tape'!$AV283)-4))</f>
        <v>0</v>
      </c>
      <c r="H1499" s="71" t="n">
        <f aca="false">MIN(MAX(0,H287-H893-H1196),H287*CPR*MAX(0,MIN(6,'Loan Tape'!$AV283)-5))</f>
        <v>0</v>
      </c>
      <c r="I1499" s="71" t="n">
        <f aca="false">MIN(MAX(0,I287-I893-I1196),I287*CPR*MAX(0,MIN(7,'Loan Tape'!$AV283)-6))</f>
        <v>0</v>
      </c>
      <c r="J1499" s="71" t="n">
        <f aca="false">MIN(MAX(0,J287-J893-J1196),J287*CPR*MAX(0,MIN(8,'Loan Tape'!$AV283)-7))</f>
        <v>0</v>
      </c>
      <c r="K1499" s="71" t="n">
        <f aca="false">MIN(MAX(0,K287-K893-K1196),K287*CPR*MAX(0,MIN(9,'Loan Tape'!$AV283)-8))</f>
        <v>0</v>
      </c>
      <c r="L1499" s="71" t="n">
        <f aca="false">MIN(MAX(0,L287-L893-L1196),L287*CPR*MAX(0,MIN(10,'Loan Tape'!$AV283)-9))</f>
        <v>0</v>
      </c>
    </row>
    <row r="1500" customFormat="false" ht="15" hidden="false" customHeight="false" outlineLevel="0" collapsed="false">
      <c r="B1500" s="102" t="n">
        <f aca="false">'Loan Tape'!$A284</f>
        <v>0</v>
      </c>
      <c r="C1500" s="99" t="n">
        <f aca="false">MIN(MAX(0,C288-C894-C1197),C288*CPR*MAX(0,MIN(1,'Loan Tape'!$AV284)-0))</f>
        <v>0</v>
      </c>
      <c r="D1500" s="99" t="n">
        <f aca="false">MIN(MAX(0,D288-D894-D1197),D288*CPR*MAX(0,MIN(2,'Loan Tape'!$AV284)-1))</f>
        <v>0</v>
      </c>
      <c r="E1500" s="99" t="n">
        <f aca="false">MIN(MAX(0,E288-E894-E1197),E288*CPR*MAX(0,MIN(3,'Loan Tape'!$AV284)-2))</f>
        <v>0</v>
      </c>
      <c r="F1500" s="99" t="n">
        <f aca="false">MIN(MAX(0,F288-F894-F1197),F288*CPR*MAX(0,MIN(4,'Loan Tape'!$AV284)-3))</f>
        <v>0</v>
      </c>
      <c r="G1500" s="99" t="n">
        <f aca="false">MIN(MAX(0,G288-G894-G1197),G288*CPR*MAX(0,MIN(5,'Loan Tape'!$AV284)-4))</f>
        <v>0</v>
      </c>
      <c r="H1500" s="99" t="n">
        <f aca="false">MIN(MAX(0,H288-H894-H1197),H288*CPR*MAX(0,MIN(6,'Loan Tape'!$AV284)-5))</f>
        <v>0</v>
      </c>
      <c r="I1500" s="99" t="n">
        <f aca="false">MIN(MAX(0,I288-I894-I1197),I288*CPR*MAX(0,MIN(7,'Loan Tape'!$AV284)-6))</f>
        <v>0</v>
      </c>
      <c r="J1500" s="99" t="n">
        <f aca="false">MIN(MAX(0,J288-J894-J1197),J288*CPR*MAX(0,MIN(8,'Loan Tape'!$AV284)-7))</f>
        <v>0</v>
      </c>
      <c r="K1500" s="99" t="n">
        <f aca="false">MIN(MAX(0,K288-K894-K1197),K288*CPR*MAX(0,MIN(9,'Loan Tape'!$AV284)-8))</f>
        <v>0</v>
      </c>
      <c r="L1500" s="99" t="n">
        <f aca="false">MIN(MAX(0,L288-L894-L1197),L288*CPR*MAX(0,MIN(10,'Loan Tape'!$AV284)-9))</f>
        <v>0</v>
      </c>
    </row>
    <row r="1501" customFormat="false" ht="15" hidden="false" customHeight="false" outlineLevel="0" collapsed="false">
      <c r="B1501" s="108" t="n">
        <f aca="false">'Loan Tape'!$A285</f>
        <v>0</v>
      </c>
      <c r="C1501" s="71" t="n">
        <f aca="false">MIN(MAX(0,C289-C895-C1198),C289*CPR*MAX(0,MIN(1,'Loan Tape'!$AV285)-0))</f>
        <v>0</v>
      </c>
      <c r="D1501" s="71" t="n">
        <f aca="false">MIN(MAX(0,D289-D895-D1198),D289*CPR*MAX(0,MIN(2,'Loan Tape'!$AV285)-1))</f>
        <v>0</v>
      </c>
      <c r="E1501" s="71" t="n">
        <f aca="false">MIN(MAX(0,E289-E895-E1198),E289*CPR*MAX(0,MIN(3,'Loan Tape'!$AV285)-2))</f>
        <v>0</v>
      </c>
      <c r="F1501" s="71" t="n">
        <f aca="false">MIN(MAX(0,F289-F895-F1198),F289*CPR*MAX(0,MIN(4,'Loan Tape'!$AV285)-3))</f>
        <v>0</v>
      </c>
      <c r="G1501" s="71" t="n">
        <f aca="false">MIN(MAX(0,G289-G895-G1198),G289*CPR*MAX(0,MIN(5,'Loan Tape'!$AV285)-4))</f>
        <v>0</v>
      </c>
      <c r="H1501" s="71" t="n">
        <f aca="false">MIN(MAX(0,H289-H895-H1198),H289*CPR*MAX(0,MIN(6,'Loan Tape'!$AV285)-5))</f>
        <v>0</v>
      </c>
      <c r="I1501" s="71" t="n">
        <f aca="false">MIN(MAX(0,I289-I895-I1198),I289*CPR*MAX(0,MIN(7,'Loan Tape'!$AV285)-6))</f>
        <v>0</v>
      </c>
      <c r="J1501" s="71" t="n">
        <f aca="false">MIN(MAX(0,J289-J895-J1198),J289*CPR*MAX(0,MIN(8,'Loan Tape'!$AV285)-7))</f>
        <v>0</v>
      </c>
      <c r="K1501" s="71" t="n">
        <f aca="false">MIN(MAX(0,K289-K895-K1198),K289*CPR*MAX(0,MIN(9,'Loan Tape'!$AV285)-8))</f>
        <v>0</v>
      </c>
      <c r="L1501" s="71" t="n">
        <f aca="false">MIN(MAX(0,L289-L895-L1198),L289*CPR*MAX(0,MIN(10,'Loan Tape'!$AV285)-9))</f>
        <v>0</v>
      </c>
    </row>
    <row r="1502" customFormat="false" ht="15" hidden="false" customHeight="false" outlineLevel="0" collapsed="false">
      <c r="B1502" s="102" t="n">
        <f aca="false">'Loan Tape'!$A286</f>
        <v>0</v>
      </c>
      <c r="C1502" s="99" t="n">
        <f aca="false">MIN(MAX(0,C290-C896-C1199),C290*CPR*MAX(0,MIN(1,'Loan Tape'!$AV286)-0))</f>
        <v>0</v>
      </c>
      <c r="D1502" s="99" t="n">
        <f aca="false">MIN(MAX(0,D290-D896-D1199),D290*CPR*MAX(0,MIN(2,'Loan Tape'!$AV286)-1))</f>
        <v>0</v>
      </c>
      <c r="E1502" s="99" t="n">
        <f aca="false">MIN(MAX(0,E290-E896-E1199),E290*CPR*MAX(0,MIN(3,'Loan Tape'!$AV286)-2))</f>
        <v>0</v>
      </c>
      <c r="F1502" s="99" t="n">
        <f aca="false">MIN(MAX(0,F290-F896-F1199),F290*CPR*MAX(0,MIN(4,'Loan Tape'!$AV286)-3))</f>
        <v>0</v>
      </c>
      <c r="G1502" s="99" t="n">
        <f aca="false">MIN(MAX(0,G290-G896-G1199),G290*CPR*MAX(0,MIN(5,'Loan Tape'!$AV286)-4))</f>
        <v>0</v>
      </c>
      <c r="H1502" s="99" t="n">
        <f aca="false">MIN(MAX(0,H290-H896-H1199),H290*CPR*MAX(0,MIN(6,'Loan Tape'!$AV286)-5))</f>
        <v>0</v>
      </c>
      <c r="I1502" s="99" t="n">
        <f aca="false">MIN(MAX(0,I290-I896-I1199),I290*CPR*MAX(0,MIN(7,'Loan Tape'!$AV286)-6))</f>
        <v>0</v>
      </c>
      <c r="J1502" s="99" t="n">
        <f aca="false">MIN(MAX(0,J290-J896-J1199),J290*CPR*MAX(0,MIN(8,'Loan Tape'!$AV286)-7))</f>
        <v>0</v>
      </c>
      <c r="K1502" s="99" t="n">
        <f aca="false">MIN(MAX(0,K290-K896-K1199),K290*CPR*MAX(0,MIN(9,'Loan Tape'!$AV286)-8))</f>
        <v>0</v>
      </c>
      <c r="L1502" s="99" t="n">
        <f aca="false">MIN(MAX(0,L290-L896-L1199),L290*CPR*MAX(0,MIN(10,'Loan Tape'!$AV286)-9))</f>
        <v>0</v>
      </c>
    </row>
    <row r="1503" customFormat="false" ht="15" hidden="false" customHeight="false" outlineLevel="0" collapsed="false">
      <c r="B1503" s="108" t="n">
        <f aca="false">'Loan Tape'!$A287</f>
        <v>0</v>
      </c>
      <c r="C1503" s="71" t="n">
        <f aca="false">MIN(MAX(0,C291-C897-C1200),C291*CPR*MAX(0,MIN(1,'Loan Tape'!$AV287)-0))</f>
        <v>0</v>
      </c>
      <c r="D1503" s="71" t="n">
        <f aca="false">MIN(MAX(0,D291-D897-D1200),D291*CPR*MAX(0,MIN(2,'Loan Tape'!$AV287)-1))</f>
        <v>0</v>
      </c>
      <c r="E1503" s="71" t="n">
        <f aca="false">MIN(MAX(0,E291-E897-E1200),E291*CPR*MAX(0,MIN(3,'Loan Tape'!$AV287)-2))</f>
        <v>0</v>
      </c>
      <c r="F1503" s="71" t="n">
        <f aca="false">MIN(MAX(0,F291-F897-F1200),F291*CPR*MAX(0,MIN(4,'Loan Tape'!$AV287)-3))</f>
        <v>0</v>
      </c>
      <c r="G1503" s="71" t="n">
        <f aca="false">MIN(MAX(0,G291-G897-G1200),G291*CPR*MAX(0,MIN(5,'Loan Tape'!$AV287)-4))</f>
        <v>0</v>
      </c>
      <c r="H1503" s="71" t="n">
        <f aca="false">MIN(MAX(0,H291-H897-H1200),H291*CPR*MAX(0,MIN(6,'Loan Tape'!$AV287)-5))</f>
        <v>0</v>
      </c>
      <c r="I1503" s="71" t="n">
        <f aca="false">MIN(MAX(0,I291-I897-I1200),I291*CPR*MAX(0,MIN(7,'Loan Tape'!$AV287)-6))</f>
        <v>0</v>
      </c>
      <c r="J1503" s="71" t="n">
        <f aca="false">MIN(MAX(0,J291-J897-J1200),J291*CPR*MAX(0,MIN(8,'Loan Tape'!$AV287)-7))</f>
        <v>0</v>
      </c>
      <c r="K1503" s="71" t="n">
        <f aca="false">MIN(MAX(0,K291-K897-K1200),K291*CPR*MAX(0,MIN(9,'Loan Tape'!$AV287)-8))</f>
        <v>0</v>
      </c>
      <c r="L1503" s="71" t="n">
        <f aca="false">MIN(MAX(0,L291-L897-L1200),L291*CPR*MAX(0,MIN(10,'Loan Tape'!$AV287)-9))</f>
        <v>0</v>
      </c>
    </row>
    <row r="1504" customFormat="false" ht="15" hidden="false" customHeight="false" outlineLevel="0" collapsed="false">
      <c r="B1504" s="102" t="n">
        <f aca="false">'Loan Tape'!$A288</f>
        <v>0</v>
      </c>
      <c r="C1504" s="99" t="n">
        <f aca="false">MIN(MAX(0,C292-C898-C1201),C292*CPR*MAX(0,MIN(1,'Loan Tape'!$AV288)-0))</f>
        <v>0</v>
      </c>
      <c r="D1504" s="99" t="n">
        <f aca="false">MIN(MAX(0,D292-D898-D1201),D292*CPR*MAX(0,MIN(2,'Loan Tape'!$AV288)-1))</f>
        <v>0</v>
      </c>
      <c r="E1504" s="99" t="n">
        <f aca="false">MIN(MAX(0,E292-E898-E1201),E292*CPR*MAX(0,MIN(3,'Loan Tape'!$AV288)-2))</f>
        <v>0</v>
      </c>
      <c r="F1504" s="99" t="n">
        <f aca="false">MIN(MAX(0,F292-F898-F1201),F292*CPR*MAX(0,MIN(4,'Loan Tape'!$AV288)-3))</f>
        <v>0</v>
      </c>
      <c r="G1504" s="99" t="n">
        <f aca="false">MIN(MAX(0,G292-G898-G1201),G292*CPR*MAX(0,MIN(5,'Loan Tape'!$AV288)-4))</f>
        <v>0</v>
      </c>
      <c r="H1504" s="99" t="n">
        <f aca="false">MIN(MAX(0,H292-H898-H1201),H292*CPR*MAX(0,MIN(6,'Loan Tape'!$AV288)-5))</f>
        <v>0</v>
      </c>
      <c r="I1504" s="99" t="n">
        <f aca="false">MIN(MAX(0,I292-I898-I1201),I292*CPR*MAX(0,MIN(7,'Loan Tape'!$AV288)-6))</f>
        <v>0</v>
      </c>
      <c r="J1504" s="99" t="n">
        <f aca="false">MIN(MAX(0,J292-J898-J1201),J292*CPR*MAX(0,MIN(8,'Loan Tape'!$AV288)-7))</f>
        <v>0</v>
      </c>
      <c r="K1504" s="99" t="n">
        <f aca="false">MIN(MAX(0,K292-K898-K1201),K292*CPR*MAX(0,MIN(9,'Loan Tape'!$AV288)-8))</f>
        <v>0</v>
      </c>
      <c r="L1504" s="99" t="n">
        <f aca="false">MIN(MAX(0,L292-L898-L1201),L292*CPR*MAX(0,MIN(10,'Loan Tape'!$AV288)-9))</f>
        <v>0</v>
      </c>
    </row>
    <row r="1505" customFormat="false" ht="15" hidden="false" customHeight="false" outlineLevel="0" collapsed="false">
      <c r="B1505" s="108" t="n">
        <f aca="false">'Loan Tape'!$A289</f>
        <v>0</v>
      </c>
      <c r="C1505" s="71" t="n">
        <f aca="false">MIN(MAX(0,C293-C899-C1202),C293*CPR*MAX(0,MIN(1,'Loan Tape'!$AV289)-0))</f>
        <v>0</v>
      </c>
      <c r="D1505" s="71" t="n">
        <f aca="false">MIN(MAX(0,D293-D899-D1202),D293*CPR*MAX(0,MIN(2,'Loan Tape'!$AV289)-1))</f>
        <v>0</v>
      </c>
      <c r="E1505" s="71" t="n">
        <f aca="false">MIN(MAX(0,E293-E899-E1202),E293*CPR*MAX(0,MIN(3,'Loan Tape'!$AV289)-2))</f>
        <v>0</v>
      </c>
      <c r="F1505" s="71" t="n">
        <f aca="false">MIN(MAX(0,F293-F899-F1202),F293*CPR*MAX(0,MIN(4,'Loan Tape'!$AV289)-3))</f>
        <v>0</v>
      </c>
      <c r="G1505" s="71" t="n">
        <f aca="false">MIN(MAX(0,G293-G899-G1202),G293*CPR*MAX(0,MIN(5,'Loan Tape'!$AV289)-4))</f>
        <v>0</v>
      </c>
      <c r="H1505" s="71" t="n">
        <f aca="false">MIN(MAX(0,H293-H899-H1202),H293*CPR*MAX(0,MIN(6,'Loan Tape'!$AV289)-5))</f>
        <v>0</v>
      </c>
      <c r="I1505" s="71" t="n">
        <f aca="false">MIN(MAX(0,I293-I899-I1202),I293*CPR*MAX(0,MIN(7,'Loan Tape'!$AV289)-6))</f>
        <v>0</v>
      </c>
      <c r="J1505" s="71" t="n">
        <f aca="false">MIN(MAX(0,J293-J899-J1202),J293*CPR*MAX(0,MIN(8,'Loan Tape'!$AV289)-7))</f>
        <v>0</v>
      </c>
      <c r="K1505" s="71" t="n">
        <f aca="false">MIN(MAX(0,K293-K899-K1202),K293*CPR*MAX(0,MIN(9,'Loan Tape'!$AV289)-8))</f>
        <v>0</v>
      </c>
      <c r="L1505" s="71" t="n">
        <f aca="false">MIN(MAX(0,L293-L899-L1202),L293*CPR*MAX(0,MIN(10,'Loan Tape'!$AV289)-9))</f>
        <v>0</v>
      </c>
    </row>
    <row r="1506" customFormat="false" ht="15" hidden="false" customHeight="false" outlineLevel="0" collapsed="false">
      <c r="B1506" s="102" t="n">
        <f aca="false">'Loan Tape'!$A290</f>
        <v>0</v>
      </c>
      <c r="C1506" s="99" t="n">
        <f aca="false">MIN(MAX(0,C294-C900-C1203),C294*CPR*MAX(0,MIN(1,'Loan Tape'!$AV290)-0))</f>
        <v>0</v>
      </c>
      <c r="D1506" s="99" t="n">
        <f aca="false">MIN(MAX(0,D294-D900-D1203),D294*CPR*MAX(0,MIN(2,'Loan Tape'!$AV290)-1))</f>
        <v>0</v>
      </c>
      <c r="E1506" s="99" t="n">
        <f aca="false">MIN(MAX(0,E294-E900-E1203),E294*CPR*MAX(0,MIN(3,'Loan Tape'!$AV290)-2))</f>
        <v>0</v>
      </c>
      <c r="F1506" s="99" t="n">
        <f aca="false">MIN(MAX(0,F294-F900-F1203),F294*CPR*MAX(0,MIN(4,'Loan Tape'!$AV290)-3))</f>
        <v>0</v>
      </c>
      <c r="G1506" s="99" t="n">
        <f aca="false">MIN(MAX(0,G294-G900-G1203),G294*CPR*MAX(0,MIN(5,'Loan Tape'!$AV290)-4))</f>
        <v>0</v>
      </c>
      <c r="H1506" s="99" t="n">
        <f aca="false">MIN(MAX(0,H294-H900-H1203),H294*CPR*MAX(0,MIN(6,'Loan Tape'!$AV290)-5))</f>
        <v>0</v>
      </c>
      <c r="I1506" s="99" t="n">
        <f aca="false">MIN(MAX(0,I294-I900-I1203),I294*CPR*MAX(0,MIN(7,'Loan Tape'!$AV290)-6))</f>
        <v>0</v>
      </c>
      <c r="J1506" s="99" t="n">
        <f aca="false">MIN(MAX(0,J294-J900-J1203),J294*CPR*MAX(0,MIN(8,'Loan Tape'!$AV290)-7))</f>
        <v>0</v>
      </c>
      <c r="K1506" s="99" t="n">
        <f aca="false">MIN(MAX(0,K294-K900-K1203),K294*CPR*MAX(0,MIN(9,'Loan Tape'!$AV290)-8))</f>
        <v>0</v>
      </c>
      <c r="L1506" s="99" t="n">
        <f aca="false">MIN(MAX(0,L294-L900-L1203),L294*CPR*MAX(0,MIN(10,'Loan Tape'!$AV290)-9))</f>
        <v>0</v>
      </c>
    </row>
    <row r="1507" customFormat="false" ht="15" hidden="false" customHeight="false" outlineLevel="0" collapsed="false">
      <c r="B1507" s="108" t="n">
        <f aca="false">'Loan Tape'!$A291</f>
        <v>0</v>
      </c>
      <c r="C1507" s="71" t="n">
        <f aca="false">MIN(MAX(0,C295-C901-C1204),C295*CPR*MAX(0,MIN(1,'Loan Tape'!$AV291)-0))</f>
        <v>0</v>
      </c>
      <c r="D1507" s="71" t="n">
        <f aca="false">MIN(MAX(0,D295-D901-D1204),D295*CPR*MAX(0,MIN(2,'Loan Tape'!$AV291)-1))</f>
        <v>0</v>
      </c>
      <c r="E1507" s="71" t="n">
        <f aca="false">MIN(MAX(0,E295-E901-E1204),E295*CPR*MAX(0,MIN(3,'Loan Tape'!$AV291)-2))</f>
        <v>0</v>
      </c>
      <c r="F1507" s="71" t="n">
        <f aca="false">MIN(MAX(0,F295-F901-F1204),F295*CPR*MAX(0,MIN(4,'Loan Tape'!$AV291)-3))</f>
        <v>0</v>
      </c>
      <c r="G1507" s="71" t="n">
        <f aca="false">MIN(MAX(0,G295-G901-G1204),G295*CPR*MAX(0,MIN(5,'Loan Tape'!$AV291)-4))</f>
        <v>0</v>
      </c>
      <c r="H1507" s="71" t="n">
        <f aca="false">MIN(MAX(0,H295-H901-H1204),H295*CPR*MAX(0,MIN(6,'Loan Tape'!$AV291)-5))</f>
        <v>0</v>
      </c>
      <c r="I1507" s="71" t="n">
        <f aca="false">MIN(MAX(0,I295-I901-I1204),I295*CPR*MAX(0,MIN(7,'Loan Tape'!$AV291)-6))</f>
        <v>0</v>
      </c>
      <c r="J1507" s="71" t="n">
        <f aca="false">MIN(MAX(0,J295-J901-J1204),J295*CPR*MAX(0,MIN(8,'Loan Tape'!$AV291)-7))</f>
        <v>0</v>
      </c>
      <c r="K1507" s="71" t="n">
        <f aca="false">MIN(MAX(0,K295-K901-K1204),K295*CPR*MAX(0,MIN(9,'Loan Tape'!$AV291)-8))</f>
        <v>0</v>
      </c>
      <c r="L1507" s="71" t="n">
        <f aca="false">MIN(MAX(0,L295-L901-L1204),L295*CPR*MAX(0,MIN(10,'Loan Tape'!$AV291)-9))</f>
        <v>0</v>
      </c>
    </row>
    <row r="1508" customFormat="false" ht="15" hidden="false" customHeight="false" outlineLevel="0" collapsed="false">
      <c r="B1508" s="102" t="n">
        <f aca="false">'Loan Tape'!$A292</f>
        <v>0</v>
      </c>
      <c r="C1508" s="99" t="n">
        <f aca="false">MIN(MAX(0,C296-C902-C1205),C296*CPR*MAX(0,MIN(1,'Loan Tape'!$AV292)-0))</f>
        <v>0</v>
      </c>
      <c r="D1508" s="99" t="n">
        <f aca="false">MIN(MAX(0,D296-D902-D1205),D296*CPR*MAX(0,MIN(2,'Loan Tape'!$AV292)-1))</f>
        <v>0</v>
      </c>
      <c r="E1508" s="99" t="n">
        <f aca="false">MIN(MAX(0,E296-E902-E1205),E296*CPR*MAX(0,MIN(3,'Loan Tape'!$AV292)-2))</f>
        <v>0</v>
      </c>
      <c r="F1508" s="99" t="n">
        <f aca="false">MIN(MAX(0,F296-F902-F1205),F296*CPR*MAX(0,MIN(4,'Loan Tape'!$AV292)-3))</f>
        <v>0</v>
      </c>
      <c r="G1508" s="99" t="n">
        <f aca="false">MIN(MAX(0,G296-G902-G1205),G296*CPR*MAX(0,MIN(5,'Loan Tape'!$AV292)-4))</f>
        <v>0</v>
      </c>
      <c r="H1508" s="99" t="n">
        <f aca="false">MIN(MAX(0,H296-H902-H1205),H296*CPR*MAX(0,MIN(6,'Loan Tape'!$AV292)-5))</f>
        <v>0</v>
      </c>
      <c r="I1508" s="99" t="n">
        <f aca="false">MIN(MAX(0,I296-I902-I1205),I296*CPR*MAX(0,MIN(7,'Loan Tape'!$AV292)-6))</f>
        <v>0</v>
      </c>
      <c r="J1508" s="99" t="n">
        <f aca="false">MIN(MAX(0,J296-J902-J1205),J296*CPR*MAX(0,MIN(8,'Loan Tape'!$AV292)-7))</f>
        <v>0</v>
      </c>
      <c r="K1508" s="99" t="n">
        <f aca="false">MIN(MAX(0,K296-K902-K1205),K296*CPR*MAX(0,MIN(9,'Loan Tape'!$AV292)-8))</f>
        <v>0</v>
      </c>
      <c r="L1508" s="99" t="n">
        <f aca="false">MIN(MAX(0,L296-L902-L1205),L296*CPR*MAX(0,MIN(10,'Loan Tape'!$AV292)-9))</f>
        <v>0</v>
      </c>
    </row>
    <row r="1509" customFormat="false" ht="15" hidden="false" customHeight="false" outlineLevel="0" collapsed="false">
      <c r="B1509" s="108" t="n">
        <f aca="false">'Loan Tape'!$A293</f>
        <v>0</v>
      </c>
      <c r="C1509" s="71" t="n">
        <f aca="false">MIN(MAX(0,C297-C903-C1206),C297*CPR*MAX(0,MIN(1,'Loan Tape'!$AV293)-0))</f>
        <v>0</v>
      </c>
      <c r="D1509" s="71" t="n">
        <f aca="false">MIN(MAX(0,D297-D903-D1206),D297*CPR*MAX(0,MIN(2,'Loan Tape'!$AV293)-1))</f>
        <v>0</v>
      </c>
      <c r="E1509" s="71" t="n">
        <f aca="false">MIN(MAX(0,E297-E903-E1206),E297*CPR*MAX(0,MIN(3,'Loan Tape'!$AV293)-2))</f>
        <v>0</v>
      </c>
      <c r="F1509" s="71" t="n">
        <f aca="false">MIN(MAX(0,F297-F903-F1206),F297*CPR*MAX(0,MIN(4,'Loan Tape'!$AV293)-3))</f>
        <v>0</v>
      </c>
      <c r="G1509" s="71" t="n">
        <f aca="false">MIN(MAX(0,G297-G903-G1206),G297*CPR*MAX(0,MIN(5,'Loan Tape'!$AV293)-4))</f>
        <v>0</v>
      </c>
      <c r="H1509" s="71" t="n">
        <f aca="false">MIN(MAX(0,H297-H903-H1206),H297*CPR*MAX(0,MIN(6,'Loan Tape'!$AV293)-5))</f>
        <v>0</v>
      </c>
      <c r="I1509" s="71" t="n">
        <f aca="false">MIN(MAX(0,I297-I903-I1206),I297*CPR*MAX(0,MIN(7,'Loan Tape'!$AV293)-6))</f>
        <v>0</v>
      </c>
      <c r="J1509" s="71" t="n">
        <f aca="false">MIN(MAX(0,J297-J903-J1206),J297*CPR*MAX(0,MIN(8,'Loan Tape'!$AV293)-7))</f>
        <v>0</v>
      </c>
      <c r="K1509" s="71" t="n">
        <f aca="false">MIN(MAX(0,K297-K903-K1206),K297*CPR*MAX(0,MIN(9,'Loan Tape'!$AV293)-8))</f>
        <v>0</v>
      </c>
      <c r="L1509" s="71" t="n">
        <f aca="false">MIN(MAX(0,L297-L903-L1206),L297*CPR*MAX(0,MIN(10,'Loan Tape'!$AV293)-9))</f>
        <v>0</v>
      </c>
    </row>
    <row r="1510" customFormat="false" ht="15" hidden="false" customHeight="false" outlineLevel="0" collapsed="false">
      <c r="B1510" s="102" t="n">
        <f aca="false">'Loan Tape'!$A294</f>
        <v>0</v>
      </c>
      <c r="C1510" s="99" t="n">
        <f aca="false">MIN(MAX(0,C298-C904-C1207),C298*CPR*MAX(0,MIN(1,'Loan Tape'!$AV294)-0))</f>
        <v>0</v>
      </c>
      <c r="D1510" s="99" t="n">
        <f aca="false">MIN(MAX(0,D298-D904-D1207),D298*CPR*MAX(0,MIN(2,'Loan Tape'!$AV294)-1))</f>
        <v>0</v>
      </c>
      <c r="E1510" s="99" t="n">
        <f aca="false">MIN(MAX(0,E298-E904-E1207),E298*CPR*MAX(0,MIN(3,'Loan Tape'!$AV294)-2))</f>
        <v>0</v>
      </c>
      <c r="F1510" s="99" t="n">
        <f aca="false">MIN(MAX(0,F298-F904-F1207),F298*CPR*MAX(0,MIN(4,'Loan Tape'!$AV294)-3))</f>
        <v>0</v>
      </c>
      <c r="G1510" s="99" t="n">
        <f aca="false">MIN(MAX(0,G298-G904-G1207),G298*CPR*MAX(0,MIN(5,'Loan Tape'!$AV294)-4))</f>
        <v>0</v>
      </c>
      <c r="H1510" s="99" t="n">
        <f aca="false">MIN(MAX(0,H298-H904-H1207),H298*CPR*MAX(0,MIN(6,'Loan Tape'!$AV294)-5))</f>
        <v>0</v>
      </c>
      <c r="I1510" s="99" t="n">
        <f aca="false">MIN(MAX(0,I298-I904-I1207),I298*CPR*MAX(0,MIN(7,'Loan Tape'!$AV294)-6))</f>
        <v>0</v>
      </c>
      <c r="J1510" s="99" t="n">
        <f aca="false">MIN(MAX(0,J298-J904-J1207),J298*CPR*MAX(0,MIN(8,'Loan Tape'!$AV294)-7))</f>
        <v>0</v>
      </c>
      <c r="K1510" s="99" t="n">
        <f aca="false">MIN(MAX(0,K298-K904-K1207),K298*CPR*MAX(0,MIN(9,'Loan Tape'!$AV294)-8))</f>
        <v>0</v>
      </c>
      <c r="L1510" s="99" t="n">
        <f aca="false">MIN(MAX(0,L298-L904-L1207),L298*CPR*MAX(0,MIN(10,'Loan Tape'!$AV294)-9))</f>
        <v>0</v>
      </c>
    </row>
    <row r="1511" customFormat="false" ht="15" hidden="false" customHeight="false" outlineLevel="0" collapsed="false">
      <c r="B1511" s="108" t="n">
        <f aca="false">'Loan Tape'!$A295</f>
        <v>0</v>
      </c>
      <c r="C1511" s="71" t="n">
        <f aca="false">MIN(MAX(0,C299-C905-C1208),C299*CPR*MAX(0,MIN(1,'Loan Tape'!$AV295)-0))</f>
        <v>0</v>
      </c>
      <c r="D1511" s="71" t="n">
        <f aca="false">MIN(MAX(0,D299-D905-D1208),D299*CPR*MAX(0,MIN(2,'Loan Tape'!$AV295)-1))</f>
        <v>0</v>
      </c>
      <c r="E1511" s="71" t="n">
        <f aca="false">MIN(MAX(0,E299-E905-E1208),E299*CPR*MAX(0,MIN(3,'Loan Tape'!$AV295)-2))</f>
        <v>0</v>
      </c>
      <c r="F1511" s="71" t="n">
        <f aca="false">MIN(MAX(0,F299-F905-F1208),F299*CPR*MAX(0,MIN(4,'Loan Tape'!$AV295)-3))</f>
        <v>0</v>
      </c>
      <c r="G1511" s="71" t="n">
        <f aca="false">MIN(MAX(0,G299-G905-G1208),G299*CPR*MAX(0,MIN(5,'Loan Tape'!$AV295)-4))</f>
        <v>0</v>
      </c>
      <c r="H1511" s="71" t="n">
        <f aca="false">MIN(MAX(0,H299-H905-H1208),H299*CPR*MAX(0,MIN(6,'Loan Tape'!$AV295)-5))</f>
        <v>0</v>
      </c>
      <c r="I1511" s="71" t="n">
        <f aca="false">MIN(MAX(0,I299-I905-I1208),I299*CPR*MAX(0,MIN(7,'Loan Tape'!$AV295)-6))</f>
        <v>0</v>
      </c>
      <c r="J1511" s="71" t="n">
        <f aca="false">MIN(MAX(0,J299-J905-J1208),J299*CPR*MAX(0,MIN(8,'Loan Tape'!$AV295)-7))</f>
        <v>0</v>
      </c>
      <c r="K1511" s="71" t="n">
        <f aca="false">MIN(MAX(0,K299-K905-K1208),K299*CPR*MAX(0,MIN(9,'Loan Tape'!$AV295)-8))</f>
        <v>0</v>
      </c>
      <c r="L1511" s="71" t="n">
        <f aca="false">MIN(MAX(0,L299-L905-L1208),L299*CPR*MAX(0,MIN(10,'Loan Tape'!$AV295)-9))</f>
        <v>0</v>
      </c>
    </row>
    <row r="1512" customFormat="false" ht="15" hidden="false" customHeight="false" outlineLevel="0" collapsed="false">
      <c r="B1512" s="102" t="n">
        <f aca="false">'Loan Tape'!$A296</f>
        <v>0</v>
      </c>
      <c r="C1512" s="99" t="n">
        <f aca="false">MIN(MAX(0,C300-C906-C1209),C300*CPR*MAX(0,MIN(1,'Loan Tape'!$AV296)-0))</f>
        <v>0</v>
      </c>
      <c r="D1512" s="99" t="n">
        <f aca="false">MIN(MAX(0,D300-D906-D1209),D300*CPR*MAX(0,MIN(2,'Loan Tape'!$AV296)-1))</f>
        <v>0</v>
      </c>
      <c r="E1512" s="99" t="n">
        <f aca="false">MIN(MAX(0,E300-E906-E1209),E300*CPR*MAX(0,MIN(3,'Loan Tape'!$AV296)-2))</f>
        <v>0</v>
      </c>
      <c r="F1512" s="99" t="n">
        <f aca="false">MIN(MAX(0,F300-F906-F1209),F300*CPR*MAX(0,MIN(4,'Loan Tape'!$AV296)-3))</f>
        <v>0</v>
      </c>
      <c r="G1512" s="99" t="n">
        <f aca="false">MIN(MAX(0,G300-G906-G1209),G300*CPR*MAX(0,MIN(5,'Loan Tape'!$AV296)-4))</f>
        <v>0</v>
      </c>
      <c r="H1512" s="99" t="n">
        <f aca="false">MIN(MAX(0,H300-H906-H1209),H300*CPR*MAX(0,MIN(6,'Loan Tape'!$AV296)-5))</f>
        <v>0</v>
      </c>
      <c r="I1512" s="99" t="n">
        <f aca="false">MIN(MAX(0,I300-I906-I1209),I300*CPR*MAX(0,MIN(7,'Loan Tape'!$AV296)-6))</f>
        <v>0</v>
      </c>
      <c r="J1512" s="99" t="n">
        <f aca="false">MIN(MAX(0,J300-J906-J1209),J300*CPR*MAX(0,MIN(8,'Loan Tape'!$AV296)-7))</f>
        <v>0</v>
      </c>
      <c r="K1512" s="99" t="n">
        <f aca="false">MIN(MAX(0,K300-K906-K1209),K300*CPR*MAX(0,MIN(9,'Loan Tape'!$AV296)-8))</f>
        <v>0</v>
      </c>
      <c r="L1512" s="99" t="n">
        <f aca="false">MIN(MAX(0,L300-L906-L1209),L300*CPR*MAX(0,MIN(10,'Loan Tape'!$AV296)-9))</f>
        <v>0</v>
      </c>
    </row>
    <row r="1513" customFormat="false" ht="15" hidden="false" customHeight="false" outlineLevel="0" collapsed="false">
      <c r="B1513" s="108" t="n">
        <f aca="false">'Loan Tape'!$A297</f>
        <v>0</v>
      </c>
      <c r="C1513" s="71" t="n">
        <f aca="false">MIN(MAX(0,C301-C907-C1210),C301*CPR*MAX(0,MIN(1,'Loan Tape'!$AV297)-0))</f>
        <v>0</v>
      </c>
      <c r="D1513" s="71" t="n">
        <f aca="false">MIN(MAX(0,D301-D907-D1210),D301*CPR*MAX(0,MIN(2,'Loan Tape'!$AV297)-1))</f>
        <v>0</v>
      </c>
      <c r="E1513" s="71" t="n">
        <f aca="false">MIN(MAX(0,E301-E907-E1210),E301*CPR*MAX(0,MIN(3,'Loan Tape'!$AV297)-2))</f>
        <v>0</v>
      </c>
      <c r="F1513" s="71" t="n">
        <f aca="false">MIN(MAX(0,F301-F907-F1210),F301*CPR*MAX(0,MIN(4,'Loan Tape'!$AV297)-3))</f>
        <v>0</v>
      </c>
      <c r="G1513" s="71" t="n">
        <f aca="false">MIN(MAX(0,G301-G907-G1210),G301*CPR*MAX(0,MIN(5,'Loan Tape'!$AV297)-4))</f>
        <v>0</v>
      </c>
      <c r="H1513" s="71" t="n">
        <f aca="false">MIN(MAX(0,H301-H907-H1210),H301*CPR*MAX(0,MIN(6,'Loan Tape'!$AV297)-5))</f>
        <v>0</v>
      </c>
      <c r="I1513" s="71" t="n">
        <f aca="false">MIN(MAX(0,I301-I907-I1210),I301*CPR*MAX(0,MIN(7,'Loan Tape'!$AV297)-6))</f>
        <v>0</v>
      </c>
      <c r="J1513" s="71" t="n">
        <f aca="false">MIN(MAX(0,J301-J907-J1210),J301*CPR*MAX(0,MIN(8,'Loan Tape'!$AV297)-7))</f>
        <v>0</v>
      </c>
      <c r="K1513" s="71" t="n">
        <f aca="false">MIN(MAX(0,K301-K907-K1210),K301*CPR*MAX(0,MIN(9,'Loan Tape'!$AV297)-8))</f>
        <v>0</v>
      </c>
      <c r="L1513" s="71" t="n">
        <f aca="false">MIN(MAX(0,L301-L907-L1210),L301*CPR*MAX(0,MIN(10,'Loan Tape'!$AV297)-9))</f>
        <v>0</v>
      </c>
    </row>
    <row r="1514" customFormat="false" ht="15" hidden="false" customHeight="false" outlineLevel="0" collapsed="false">
      <c r="B1514" s="102" t="n">
        <f aca="false">'Loan Tape'!$A298</f>
        <v>0</v>
      </c>
      <c r="C1514" s="99" t="n">
        <f aca="false">MIN(MAX(0,C302-C908-C1211),C302*CPR*MAX(0,MIN(1,'Loan Tape'!$AV298)-0))</f>
        <v>0</v>
      </c>
      <c r="D1514" s="99" t="n">
        <f aca="false">MIN(MAX(0,D302-D908-D1211),D302*CPR*MAX(0,MIN(2,'Loan Tape'!$AV298)-1))</f>
        <v>0</v>
      </c>
      <c r="E1514" s="99" t="n">
        <f aca="false">MIN(MAX(0,E302-E908-E1211),E302*CPR*MAX(0,MIN(3,'Loan Tape'!$AV298)-2))</f>
        <v>0</v>
      </c>
      <c r="F1514" s="99" t="n">
        <f aca="false">MIN(MAX(0,F302-F908-F1211),F302*CPR*MAX(0,MIN(4,'Loan Tape'!$AV298)-3))</f>
        <v>0</v>
      </c>
      <c r="G1514" s="99" t="n">
        <f aca="false">MIN(MAX(0,G302-G908-G1211),G302*CPR*MAX(0,MIN(5,'Loan Tape'!$AV298)-4))</f>
        <v>0</v>
      </c>
      <c r="H1514" s="99" t="n">
        <f aca="false">MIN(MAX(0,H302-H908-H1211),H302*CPR*MAX(0,MIN(6,'Loan Tape'!$AV298)-5))</f>
        <v>0</v>
      </c>
      <c r="I1514" s="99" t="n">
        <f aca="false">MIN(MAX(0,I302-I908-I1211),I302*CPR*MAX(0,MIN(7,'Loan Tape'!$AV298)-6))</f>
        <v>0</v>
      </c>
      <c r="J1514" s="99" t="n">
        <f aca="false">MIN(MAX(0,J302-J908-J1211),J302*CPR*MAX(0,MIN(8,'Loan Tape'!$AV298)-7))</f>
        <v>0</v>
      </c>
      <c r="K1514" s="99" t="n">
        <f aca="false">MIN(MAX(0,K302-K908-K1211),K302*CPR*MAX(0,MIN(9,'Loan Tape'!$AV298)-8))</f>
        <v>0</v>
      </c>
      <c r="L1514" s="99" t="n">
        <f aca="false">MIN(MAX(0,L302-L908-L1211),L302*CPR*MAX(0,MIN(10,'Loan Tape'!$AV298)-9))</f>
        <v>0</v>
      </c>
    </row>
    <row r="1515" customFormat="false" ht="15" hidden="false" customHeight="false" outlineLevel="0" collapsed="false">
      <c r="B1515" s="108" t="n">
        <f aca="false">'Loan Tape'!$A299</f>
        <v>0</v>
      </c>
      <c r="C1515" s="71" t="n">
        <f aca="false">MIN(MAX(0,C303-C909-C1212),C303*CPR*MAX(0,MIN(1,'Loan Tape'!$AV299)-0))</f>
        <v>0</v>
      </c>
      <c r="D1515" s="71" t="n">
        <f aca="false">MIN(MAX(0,D303-D909-D1212),D303*CPR*MAX(0,MIN(2,'Loan Tape'!$AV299)-1))</f>
        <v>0</v>
      </c>
      <c r="E1515" s="71" t="n">
        <f aca="false">MIN(MAX(0,E303-E909-E1212),E303*CPR*MAX(0,MIN(3,'Loan Tape'!$AV299)-2))</f>
        <v>0</v>
      </c>
      <c r="F1515" s="71" t="n">
        <f aca="false">MIN(MAX(0,F303-F909-F1212),F303*CPR*MAX(0,MIN(4,'Loan Tape'!$AV299)-3))</f>
        <v>0</v>
      </c>
      <c r="G1515" s="71" t="n">
        <f aca="false">MIN(MAX(0,G303-G909-G1212),G303*CPR*MAX(0,MIN(5,'Loan Tape'!$AV299)-4))</f>
        <v>0</v>
      </c>
      <c r="H1515" s="71" t="n">
        <f aca="false">MIN(MAX(0,H303-H909-H1212),H303*CPR*MAX(0,MIN(6,'Loan Tape'!$AV299)-5))</f>
        <v>0</v>
      </c>
      <c r="I1515" s="71" t="n">
        <f aca="false">MIN(MAX(0,I303-I909-I1212),I303*CPR*MAX(0,MIN(7,'Loan Tape'!$AV299)-6))</f>
        <v>0</v>
      </c>
      <c r="J1515" s="71" t="n">
        <f aca="false">MIN(MAX(0,J303-J909-J1212),J303*CPR*MAX(0,MIN(8,'Loan Tape'!$AV299)-7))</f>
        <v>0</v>
      </c>
      <c r="K1515" s="71" t="n">
        <f aca="false">MIN(MAX(0,K303-K909-K1212),K303*CPR*MAX(0,MIN(9,'Loan Tape'!$AV299)-8))</f>
        <v>0</v>
      </c>
      <c r="L1515" s="71" t="n">
        <f aca="false">MIN(MAX(0,L303-L909-L1212),L303*CPR*MAX(0,MIN(10,'Loan Tape'!$AV299)-9))</f>
        <v>0</v>
      </c>
    </row>
    <row r="1516" customFormat="false" ht="15" hidden="false" customHeight="false" outlineLevel="0" collapsed="false">
      <c r="B1516" s="102" t="n">
        <f aca="false">'Loan Tape'!$A300</f>
        <v>0</v>
      </c>
      <c r="C1516" s="99" t="n">
        <f aca="false">MIN(MAX(0,C304-C910-C1213),C304*CPR*MAX(0,MIN(1,'Loan Tape'!$AV300)-0))</f>
        <v>0</v>
      </c>
      <c r="D1516" s="99" t="n">
        <f aca="false">MIN(MAX(0,D304-D910-D1213),D304*CPR*MAX(0,MIN(2,'Loan Tape'!$AV300)-1))</f>
        <v>0</v>
      </c>
      <c r="E1516" s="99" t="n">
        <f aca="false">MIN(MAX(0,E304-E910-E1213),E304*CPR*MAX(0,MIN(3,'Loan Tape'!$AV300)-2))</f>
        <v>0</v>
      </c>
      <c r="F1516" s="99" t="n">
        <f aca="false">MIN(MAX(0,F304-F910-F1213),F304*CPR*MAX(0,MIN(4,'Loan Tape'!$AV300)-3))</f>
        <v>0</v>
      </c>
      <c r="G1516" s="99" t="n">
        <f aca="false">MIN(MAX(0,G304-G910-G1213),G304*CPR*MAX(0,MIN(5,'Loan Tape'!$AV300)-4))</f>
        <v>0</v>
      </c>
      <c r="H1516" s="99" t="n">
        <f aca="false">MIN(MAX(0,H304-H910-H1213),H304*CPR*MAX(0,MIN(6,'Loan Tape'!$AV300)-5))</f>
        <v>0</v>
      </c>
      <c r="I1516" s="99" t="n">
        <f aca="false">MIN(MAX(0,I304-I910-I1213),I304*CPR*MAX(0,MIN(7,'Loan Tape'!$AV300)-6))</f>
        <v>0</v>
      </c>
      <c r="J1516" s="99" t="n">
        <f aca="false">MIN(MAX(0,J304-J910-J1213),J304*CPR*MAX(0,MIN(8,'Loan Tape'!$AV300)-7))</f>
        <v>0</v>
      </c>
      <c r="K1516" s="99" t="n">
        <f aca="false">MIN(MAX(0,K304-K910-K1213),K304*CPR*MAX(0,MIN(9,'Loan Tape'!$AV300)-8))</f>
        <v>0</v>
      </c>
      <c r="L1516" s="99" t="n">
        <f aca="false">MIN(MAX(0,L304-L910-L1213),L304*CPR*MAX(0,MIN(10,'Loan Tape'!$AV300)-9))</f>
        <v>0</v>
      </c>
    </row>
    <row r="1517" customFormat="false" ht="15" hidden="false" customHeight="false" outlineLevel="0" collapsed="false">
      <c r="B1517" s="108" t="n">
        <f aca="false">'Loan Tape'!$A301</f>
        <v>0</v>
      </c>
      <c r="C1517" s="71" t="n">
        <f aca="false">MIN(MAX(0,C305-C911-C1214),C305*CPR*MAX(0,MIN(1,'Loan Tape'!$AV301)-0))</f>
        <v>0</v>
      </c>
      <c r="D1517" s="71" t="n">
        <f aca="false">MIN(MAX(0,D305-D911-D1214),D305*CPR*MAX(0,MIN(2,'Loan Tape'!$AV301)-1))</f>
        <v>0</v>
      </c>
      <c r="E1517" s="71" t="n">
        <f aca="false">MIN(MAX(0,E305-E911-E1214),E305*CPR*MAX(0,MIN(3,'Loan Tape'!$AV301)-2))</f>
        <v>0</v>
      </c>
      <c r="F1517" s="71" t="n">
        <f aca="false">MIN(MAX(0,F305-F911-F1214),F305*CPR*MAX(0,MIN(4,'Loan Tape'!$AV301)-3))</f>
        <v>0</v>
      </c>
      <c r="G1517" s="71" t="n">
        <f aca="false">MIN(MAX(0,G305-G911-G1214),G305*CPR*MAX(0,MIN(5,'Loan Tape'!$AV301)-4))</f>
        <v>0</v>
      </c>
      <c r="H1517" s="71" t="n">
        <f aca="false">MIN(MAX(0,H305-H911-H1214),H305*CPR*MAX(0,MIN(6,'Loan Tape'!$AV301)-5))</f>
        <v>0</v>
      </c>
      <c r="I1517" s="71" t="n">
        <f aca="false">MIN(MAX(0,I305-I911-I1214),I305*CPR*MAX(0,MIN(7,'Loan Tape'!$AV301)-6))</f>
        <v>0</v>
      </c>
      <c r="J1517" s="71" t="n">
        <f aca="false">MIN(MAX(0,J305-J911-J1214),J305*CPR*MAX(0,MIN(8,'Loan Tape'!$AV301)-7))</f>
        <v>0</v>
      </c>
      <c r="K1517" s="71" t="n">
        <f aca="false">MIN(MAX(0,K305-K911-K1214),K305*CPR*MAX(0,MIN(9,'Loan Tape'!$AV301)-8))</f>
        <v>0</v>
      </c>
      <c r="L1517" s="71" t="n">
        <f aca="false">MIN(MAX(0,L305-L911-L1214),L305*CPR*MAX(0,MIN(10,'Loan Tape'!$AV301)-9))</f>
        <v>0</v>
      </c>
    </row>
    <row r="1518" customFormat="false" ht="15" hidden="false" customHeight="false" outlineLevel="0" collapsed="false">
      <c r="B1518" s="102" t="n">
        <f aca="false">'Loan Tape'!$A302</f>
        <v>0</v>
      </c>
      <c r="C1518" s="99" t="n">
        <f aca="false">MIN(MAX(0,C306-C912-C1215),C306*CPR*MAX(0,MIN(1,'Loan Tape'!$AV302)-0))</f>
        <v>0</v>
      </c>
      <c r="D1518" s="99" t="n">
        <f aca="false">MIN(MAX(0,D306-D912-D1215),D306*CPR*MAX(0,MIN(2,'Loan Tape'!$AV302)-1))</f>
        <v>0</v>
      </c>
      <c r="E1518" s="99" t="n">
        <f aca="false">MIN(MAX(0,E306-E912-E1215),E306*CPR*MAX(0,MIN(3,'Loan Tape'!$AV302)-2))</f>
        <v>0</v>
      </c>
      <c r="F1518" s="99" t="n">
        <f aca="false">MIN(MAX(0,F306-F912-F1215),F306*CPR*MAX(0,MIN(4,'Loan Tape'!$AV302)-3))</f>
        <v>0</v>
      </c>
      <c r="G1518" s="99" t="n">
        <f aca="false">MIN(MAX(0,G306-G912-G1215),G306*CPR*MAX(0,MIN(5,'Loan Tape'!$AV302)-4))</f>
        <v>0</v>
      </c>
      <c r="H1518" s="99" t="n">
        <f aca="false">MIN(MAX(0,H306-H912-H1215),H306*CPR*MAX(0,MIN(6,'Loan Tape'!$AV302)-5))</f>
        <v>0</v>
      </c>
      <c r="I1518" s="99" t="n">
        <f aca="false">MIN(MAX(0,I306-I912-I1215),I306*CPR*MAX(0,MIN(7,'Loan Tape'!$AV302)-6))</f>
        <v>0</v>
      </c>
      <c r="J1518" s="99" t="n">
        <f aca="false">MIN(MAX(0,J306-J912-J1215),J306*CPR*MAX(0,MIN(8,'Loan Tape'!$AV302)-7))</f>
        <v>0</v>
      </c>
      <c r="K1518" s="99" t="n">
        <f aca="false">MIN(MAX(0,K306-K912-K1215),K306*CPR*MAX(0,MIN(9,'Loan Tape'!$AV302)-8))</f>
        <v>0</v>
      </c>
      <c r="L1518" s="99" t="n">
        <f aca="false">MIN(MAX(0,L306-L912-L1215),L306*CPR*MAX(0,MIN(10,'Loan Tape'!$AV302)-9))</f>
        <v>0</v>
      </c>
    </row>
    <row r="1519" customFormat="false" ht="15" hidden="false" customHeight="false" outlineLevel="0" collapsed="false">
      <c r="B1519" s="108" t="n">
        <f aca="false">'Loan Tape'!$A303</f>
        <v>0</v>
      </c>
      <c r="C1519" s="71" t="n">
        <f aca="false">MIN(MAX(0,C307-C913-C1216),C307*CPR*MAX(0,MIN(1,'Loan Tape'!$AV303)-0))</f>
        <v>0</v>
      </c>
      <c r="D1519" s="71" t="n">
        <f aca="false">MIN(MAX(0,D307-D913-D1216),D307*CPR*MAX(0,MIN(2,'Loan Tape'!$AV303)-1))</f>
        <v>0</v>
      </c>
      <c r="E1519" s="71" t="n">
        <f aca="false">MIN(MAX(0,E307-E913-E1216),E307*CPR*MAX(0,MIN(3,'Loan Tape'!$AV303)-2))</f>
        <v>0</v>
      </c>
      <c r="F1519" s="71" t="n">
        <f aca="false">MIN(MAX(0,F307-F913-F1216),F307*CPR*MAX(0,MIN(4,'Loan Tape'!$AV303)-3))</f>
        <v>0</v>
      </c>
      <c r="G1519" s="71" t="n">
        <f aca="false">MIN(MAX(0,G307-G913-G1216),G307*CPR*MAX(0,MIN(5,'Loan Tape'!$AV303)-4))</f>
        <v>0</v>
      </c>
      <c r="H1519" s="71" t="n">
        <f aca="false">MIN(MAX(0,H307-H913-H1216),H307*CPR*MAX(0,MIN(6,'Loan Tape'!$AV303)-5))</f>
        <v>0</v>
      </c>
      <c r="I1519" s="71" t="n">
        <f aca="false">MIN(MAX(0,I307-I913-I1216),I307*CPR*MAX(0,MIN(7,'Loan Tape'!$AV303)-6))</f>
        <v>0</v>
      </c>
      <c r="J1519" s="71" t="n">
        <f aca="false">MIN(MAX(0,J307-J913-J1216),J307*CPR*MAX(0,MIN(8,'Loan Tape'!$AV303)-7))</f>
        <v>0</v>
      </c>
      <c r="K1519" s="71" t="n">
        <f aca="false">MIN(MAX(0,K307-K913-K1216),K307*CPR*MAX(0,MIN(9,'Loan Tape'!$AV303)-8))</f>
        <v>0</v>
      </c>
      <c r="L1519" s="71" t="n">
        <f aca="false">MIN(MAX(0,L307-L913-L1216),L307*CPR*MAX(0,MIN(10,'Loan Tape'!$AV303)-9))</f>
        <v>0</v>
      </c>
    </row>
    <row r="1521" customFormat="false" ht="18" hidden="false" customHeight="true" outlineLevel="0" collapsed="false">
      <c r="B1521" s="5" t="s">
        <v>587</v>
      </c>
      <c r="C1521" s="5"/>
      <c r="D1521" s="5"/>
      <c r="E1521" s="5"/>
      <c r="F1521" s="5"/>
      <c r="G1521" s="5"/>
      <c r="H1521" s="5"/>
      <c r="I1521" s="5"/>
      <c r="J1521" s="5"/>
      <c r="K1521" s="5"/>
      <c r="L1521" s="5"/>
      <c r="N1521" s="30" t="s">
        <v>588</v>
      </c>
    </row>
    <row r="1522" customFormat="false" ht="15.75" hidden="false" customHeight="true" outlineLevel="0" collapsed="false">
      <c r="B1522" s="54" t="s">
        <v>148</v>
      </c>
      <c r="C1522" s="55" t="n">
        <v>1</v>
      </c>
      <c r="D1522" s="55" t="n">
        <v>2</v>
      </c>
      <c r="E1522" s="55" t="n">
        <v>3</v>
      </c>
      <c r="F1522" s="55" t="n">
        <v>4</v>
      </c>
      <c r="G1522" s="55" t="n">
        <v>5</v>
      </c>
      <c r="H1522" s="55" t="n">
        <v>6</v>
      </c>
      <c r="I1522" s="55" t="n">
        <v>7</v>
      </c>
      <c r="J1522" s="55" t="n">
        <v>8</v>
      </c>
      <c r="K1522" s="55" t="n">
        <v>9</v>
      </c>
      <c r="L1522" s="55" t="n">
        <v>10</v>
      </c>
    </row>
    <row r="1523" customFormat="false" ht="15" hidden="false" customHeight="false" outlineLevel="0" collapsed="false">
      <c r="B1523" s="102" t="str">
        <f aca="false">'Loan Tape'!$A4</f>
        <v>L-001</v>
      </c>
      <c r="C1523" s="99" t="n">
        <f aca="false">IF(AND('Loan Tape'!$AX4=1,'Loan Tape'!$AW4=1),MAX(0,C8-C614-C917-C1220),0)</f>
        <v>7011079.35970212</v>
      </c>
      <c r="D1523" s="99" t="n">
        <f aca="false">IF(AND('Loan Tape'!$AX4=1,'Loan Tape'!$AW4=2),MAX(0,D8-D614-D917-D1220),0)</f>
        <v>0</v>
      </c>
      <c r="E1523" s="99" t="n">
        <f aca="false">IF(AND('Loan Tape'!$AX4=1,'Loan Tape'!$AW4=3),MAX(0,E8-E614-E917-E1220),0)</f>
        <v>0</v>
      </c>
      <c r="F1523" s="99" t="n">
        <f aca="false">IF(AND('Loan Tape'!$AX4=1,'Loan Tape'!$AW4=4),MAX(0,F8-F614-F917-F1220),0)</f>
        <v>0</v>
      </c>
      <c r="G1523" s="99" t="n">
        <f aca="false">IF(AND('Loan Tape'!$AX4=1,'Loan Tape'!$AW4=5),MAX(0,G8-G614-G917-G1220),0)</f>
        <v>0</v>
      </c>
      <c r="H1523" s="99" t="n">
        <f aca="false">IF(AND('Loan Tape'!$AX4=1,'Loan Tape'!$AW4=6),MAX(0,H8-H614-H917-H1220),0)</f>
        <v>0</v>
      </c>
      <c r="I1523" s="99" t="n">
        <f aca="false">IF(AND('Loan Tape'!$AX4=1,'Loan Tape'!$AW4=7),MAX(0,I8-I614-I917-I1220),0)</f>
        <v>0</v>
      </c>
      <c r="J1523" s="99" t="n">
        <f aca="false">IF(AND('Loan Tape'!$AX4=1,'Loan Tape'!$AW4=8),MAX(0,J8-J614-J917-J1220),0)</f>
        <v>0</v>
      </c>
      <c r="K1523" s="99" t="n">
        <f aca="false">IF(AND('Loan Tape'!$AX4=1,'Loan Tape'!$AW4=9),MAX(0,K8-K614-K917-K1220),0)</f>
        <v>0</v>
      </c>
      <c r="L1523" s="99" t="n">
        <f aca="false">IF(AND('Loan Tape'!$AX4=1,'Loan Tape'!$AW4=10),MAX(0,L8-L614-L917-L1220),0)</f>
        <v>0</v>
      </c>
    </row>
    <row r="1524" customFormat="false" ht="15" hidden="false" customHeight="false" outlineLevel="0" collapsed="false">
      <c r="B1524" s="108" t="str">
        <f aca="false">'Loan Tape'!$A5</f>
        <v>L-002</v>
      </c>
      <c r="C1524" s="71" t="n">
        <f aca="false">IF(AND('Loan Tape'!$AX5=1,'Loan Tape'!$AW5=1),MAX(0,C9-C615-C918-C1221),0)</f>
        <v>0</v>
      </c>
      <c r="D1524" s="71" t="n">
        <f aca="false">IF(AND('Loan Tape'!$AX5=1,'Loan Tape'!$AW5=2),MAX(0,D9-D615-D918-D1221),0)</f>
        <v>8143743.98480007</v>
      </c>
      <c r="E1524" s="71" t="n">
        <f aca="false">IF(AND('Loan Tape'!$AX5=1,'Loan Tape'!$AW5=3),MAX(0,E9-E615-E918-E1221),0)</f>
        <v>0</v>
      </c>
      <c r="F1524" s="71" t="n">
        <f aca="false">IF(AND('Loan Tape'!$AX5=1,'Loan Tape'!$AW5=4),MAX(0,F9-F615-F918-F1221),0)</f>
        <v>0</v>
      </c>
      <c r="G1524" s="71" t="n">
        <f aca="false">IF(AND('Loan Tape'!$AX5=1,'Loan Tape'!$AW5=5),MAX(0,G9-G615-G918-G1221),0)</f>
        <v>0</v>
      </c>
      <c r="H1524" s="71" t="n">
        <f aca="false">IF(AND('Loan Tape'!$AX5=1,'Loan Tape'!$AW5=6),MAX(0,H9-H615-H918-H1221),0)</f>
        <v>0</v>
      </c>
      <c r="I1524" s="71" t="n">
        <f aca="false">IF(AND('Loan Tape'!$AX5=1,'Loan Tape'!$AW5=7),MAX(0,I9-I615-I918-I1221),0)</f>
        <v>0</v>
      </c>
      <c r="J1524" s="71" t="n">
        <f aca="false">IF(AND('Loan Tape'!$AX5=1,'Loan Tape'!$AW5=8),MAX(0,J9-J615-J918-J1221),0)</f>
        <v>0</v>
      </c>
      <c r="K1524" s="71" t="n">
        <f aca="false">IF(AND('Loan Tape'!$AX5=1,'Loan Tape'!$AW5=9),MAX(0,K9-K615-K918-K1221),0)</f>
        <v>0</v>
      </c>
      <c r="L1524" s="71" t="n">
        <f aca="false">IF(AND('Loan Tape'!$AX5=1,'Loan Tape'!$AW5=10),MAX(0,L9-L615-L918-L1221),0)</f>
        <v>0</v>
      </c>
    </row>
    <row r="1525" customFormat="false" ht="15" hidden="false" customHeight="false" outlineLevel="0" collapsed="false">
      <c r="B1525" s="102" t="str">
        <f aca="false">'Loan Tape'!$A6</f>
        <v>L-003</v>
      </c>
      <c r="C1525" s="99" t="n">
        <f aca="false">IF(AND('Loan Tape'!$AX6=1,'Loan Tape'!$AW6=1),MAX(0,C10-C616-C919-C1222),0)</f>
        <v>0</v>
      </c>
      <c r="D1525" s="99" t="n">
        <f aca="false">IF(AND('Loan Tape'!$AX6=1,'Loan Tape'!$AW6=2),MAX(0,D10-D616-D919-D1222),0)</f>
        <v>0</v>
      </c>
      <c r="E1525" s="99" t="n">
        <f aca="false">IF(AND('Loan Tape'!$AX6=1,'Loan Tape'!$AW6=3),MAX(0,E10-E616-E919-E1222),0)</f>
        <v>0</v>
      </c>
      <c r="F1525" s="99" t="n">
        <f aca="false">IF(AND('Loan Tape'!$AX6=1,'Loan Tape'!$AW6=4),MAX(0,F10-F616-F919-F1222),0)</f>
        <v>70138424.5194093</v>
      </c>
      <c r="G1525" s="99" t="n">
        <f aca="false">IF(AND('Loan Tape'!$AX6=1,'Loan Tape'!$AW6=5),MAX(0,G10-G616-G919-G1222),0)</f>
        <v>0</v>
      </c>
      <c r="H1525" s="99" t="n">
        <f aca="false">IF(AND('Loan Tape'!$AX6=1,'Loan Tape'!$AW6=6),MAX(0,H10-H616-H919-H1222),0)</f>
        <v>0</v>
      </c>
      <c r="I1525" s="99" t="n">
        <f aca="false">IF(AND('Loan Tape'!$AX6=1,'Loan Tape'!$AW6=7),MAX(0,I10-I616-I919-I1222),0)</f>
        <v>0</v>
      </c>
      <c r="J1525" s="99" t="n">
        <f aca="false">IF(AND('Loan Tape'!$AX6=1,'Loan Tape'!$AW6=8),MAX(0,J10-J616-J919-J1222),0)</f>
        <v>0</v>
      </c>
      <c r="K1525" s="99" t="n">
        <f aca="false">IF(AND('Loan Tape'!$AX6=1,'Loan Tape'!$AW6=9),MAX(0,K10-K616-K919-K1222),0)</f>
        <v>0</v>
      </c>
      <c r="L1525" s="99" t="n">
        <f aca="false">IF(AND('Loan Tape'!$AX6=1,'Loan Tape'!$AW6=10),MAX(0,L10-L616-L919-L1222),0)</f>
        <v>0</v>
      </c>
    </row>
    <row r="1526" customFormat="false" ht="15" hidden="false" customHeight="false" outlineLevel="0" collapsed="false">
      <c r="B1526" s="108" t="str">
        <f aca="false">'Loan Tape'!$A7</f>
        <v>L-004</v>
      </c>
      <c r="C1526" s="71" t="n">
        <f aca="false">IF(AND('Loan Tape'!$AX7=1,'Loan Tape'!$AW7=1),MAX(0,C11-C617-C920-C1223),0)</f>
        <v>0</v>
      </c>
      <c r="D1526" s="71" t="n">
        <f aca="false">IF(AND('Loan Tape'!$AX7=1,'Loan Tape'!$AW7=2),MAX(0,D11-D617-D920-D1223),0)</f>
        <v>34191017.6457515</v>
      </c>
      <c r="E1526" s="71" t="n">
        <f aca="false">IF(AND('Loan Tape'!$AX7=1,'Loan Tape'!$AW7=3),MAX(0,E11-E617-E920-E1223),0)</f>
        <v>0</v>
      </c>
      <c r="F1526" s="71" t="n">
        <f aca="false">IF(AND('Loan Tape'!$AX7=1,'Loan Tape'!$AW7=4),MAX(0,F11-F617-F920-F1223),0)</f>
        <v>0</v>
      </c>
      <c r="G1526" s="71" t="n">
        <f aca="false">IF(AND('Loan Tape'!$AX7=1,'Loan Tape'!$AW7=5),MAX(0,G11-G617-G920-G1223),0)</f>
        <v>0</v>
      </c>
      <c r="H1526" s="71" t="n">
        <f aca="false">IF(AND('Loan Tape'!$AX7=1,'Loan Tape'!$AW7=6),MAX(0,H11-H617-H920-H1223),0)</f>
        <v>0</v>
      </c>
      <c r="I1526" s="71" t="n">
        <f aca="false">IF(AND('Loan Tape'!$AX7=1,'Loan Tape'!$AW7=7),MAX(0,I11-I617-I920-I1223),0)</f>
        <v>0</v>
      </c>
      <c r="J1526" s="71" t="n">
        <f aca="false">IF(AND('Loan Tape'!$AX7=1,'Loan Tape'!$AW7=8),MAX(0,J11-J617-J920-J1223),0)</f>
        <v>0</v>
      </c>
      <c r="K1526" s="71" t="n">
        <f aca="false">IF(AND('Loan Tape'!$AX7=1,'Loan Tape'!$AW7=9),MAX(0,K11-K617-K920-K1223),0)</f>
        <v>0</v>
      </c>
      <c r="L1526" s="71" t="n">
        <f aca="false">IF(AND('Loan Tape'!$AX7=1,'Loan Tape'!$AW7=10),MAX(0,L11-L617-L920-L1223),0)</f>
        <v>0</v>
      </c>
    </row>
    <row r="1527" customFormat="false" ht="15" hidden="false" customHeight="false" outlineLevel="0" collapsed="false">
      <c r="B1527" s="102" t="str">
        <f aca="false">'Loan Tape'!$A8</f>
        <v>L-005</v>
      </c>
      <c r="C1527" s="99" t="n">
        <f aca="false">IF(AND('Loan Tape'!$AX8=1,'Loan Tape'!$AW8=1),MAX(0,C12-C618-C921-C1224),0)</f>
        <v>103572480</v>
      </c>
      <c r="D1527" s="99" t="n">
        <f aca="false">IF(AND('Loan Tape'!$AX8=1,'Loan Tape'!$AW8=2),MAX(0,D12-D618-D921-D1224),0)</f>
        <v>0</v>
      </c>
      <c r="E1527" s="99" t="n">
        <f aca="false">IF(AND('Loan Tape'!$AX8=1,'Loan Tape'!$AW8=3),MAX(0,E12-E618-E921-E1224),0)</f>
        <v>0</v>
      </c>
      <c r="F1527" s="99" t="n">
        <f aca="false">IF(AND('Loan Tape'!$AX8=1,'Loan Tape'!$AW8=4),MAX(0,F12-F618-F921-F1224),0)</f>
        <v>0</v>
      </c>
      <c r="G1527" s="99" t="n">
        <f aca="false">IF(AND('Loan Tape'!$AX8=1,'Loan Tape'!$AW8=5),MAX(0,G12-G618-G921-G1224),0)</f>
        <v>0</v>
      </c>
      <c r="H1527" s="99" t="n">
        <f aca="false">IF(AND('Loan Tape'!$AX8=1,'Loan Tape'!$AW8=6),MAX(0,H12-H618-H921-H1224),0)</f>
        <v>0</v>
      </c>
      <c r="I1527" s="99" t="n">
        <f aca="false">IF(AND('Loan Tape'!$AX8=1,'Loan Tape'!$AW8=7),MAX(0,I12-I618-I921-I1224),0)</f>
        <v>0</v>
      </c>
      <c r="J1527" s="99" t="n">
        <f aca="false">IF(AND('Loan Tape'!$AX8=1,'Loan Tape'!$AW8=8),MAX(0,J12-J618-J921-J1224),0)</f>
        <v>0</v>
      </c>
      <c r="K1527" s="99" t="n">
        <f aca="false">IF(AND('Loan Tape'!$AX8=1,'Loan Tape'!$AW8=9),MAX(0,K12-K618-K921-K1224),0)</f>
        <v>0</v>
      </c>
      <c r="L1527" s="99" t="n">
        <f aca="false">IF(AND('Loan Tape'!$AX8=1,'Loan Tape'!$AW8=10),MAX(0,L12-L618-L921-L1224),0)</f>
        <v>0</v>
      </c>
    </row>
    <row r="1528" customFormat="false" ht="15" hidden="false" customHeight="false" outlineLevel="0" collapsed="false">
      <c r="B1528" s="108" t="str">
        <f aca="false">'Loan Tape'!$A9</f>
        <v>L-006</v>
      </c>
      <c r="C1528" s="71" t="n">
        <f aca="false">IF(AND('Loan Tape'!$AX9=1,'Loan Tape'!$AW9=1),MAX(0,C13-C619-C922-C1225),0)</f>
        <v>0</v>
      </c>
      <c r="D1528" s="71" t="n">
        <f aca="false">IF(AND('Loan Tape'!$AX9=1,'Loan Tape'!$AW9=2),MAX(0,D13-D619-D922-D1225),0)</f>
        <v>45183223.4699324</v>
      </c>
      <c r="E1528" s="71" t="n">
        <f aca="false">IF(AND('Loan Tape'!$AX9=1,'Loan Tape'!$AW9=3),MAX(0,E13-E619-E922-E1225),0)</f>
        <v>0</v>
      </c>
      <c r="F1528" s="71" t="n">
        <f aca="false">IF(AND('Loan Tape'!$AX9=1,'Loan Tape'!$AW9=4),MAX(0,F13-F619-F922-F1225),0)</f>
        <v>0</v>
      </c>
      <c r="G1528" s="71" t="n">
        <f aca="false">IF(AND('Loan Tape'!$AX9=1,'Loan Tape'!$AW9=5),MAX(0,G13-G619-G922-G1225),0)</f>
        <v>0</v>
      </c>
      <c r="H1528" s="71" t="n">
        <f aca="false">IF(AND('Loan Tape'!$AX9=1,'Loan Tape'!$AW9=6),MAX(0,H13-H619-H922-H1225),0)</f>
        <v>0</v>
      </c>
      <c r="I1528" s="71" t="n">
        <f aca="false">IF(AND('Loan Tape'!$AX9=1,'Loan Tape'!$AW9=7),MAX(0,I13-I619-I922-I1225),0)</f>
        <v>0</v>
      </c>
      <c r="J1528" s="71" t="n">
        <f aca="false">IF(AND('Loan Tape'!$AX9=1,'Loan Tape'!$AW9=8),MAX(0,J13-J619-J922-J1225),0)</f>
        <v>0</v>
      </c>
      <c r="K1528" s="71" t="n">
        <f aca="false">IF(AND('Loan Tape'!$AX9=1,'Loan Tape'!$AW9=9),MAX(0,K13-K619-K922-K1225),0)</f>
        <v>0</v>
      </c>
      <c r="L1528" s="71" t="n">
        <f aca="false">IF(AND('Loan Tape'!$AX9=1,'Loan Tape'!$AW9=10),MAX(0,L13-L619-L922-L1225),0)</f>
        <v>0</v>
      </c>
    </row>
    <row r="1529" customFormat="false" ht="15" hidden="false" customHeight="false" outlineLevel="0" collapsed="false">
      <c r="B1529" s="102" t="str">
        <f aca="false">'Loan Tape'!$A10</f>
        <v>L-007</v>
      </c>
      <c r="C1529" s="99" t="n">
        <f aca="false">IF(AND('Loan Tape'!$AX10=1,'Loan Tape'!$AW10=1),MAX(0,C14-C620-C923-C1226),0)</f>
        <v>0</v>
      </c>
      <c r="D1529" s="99" t="n">
        <f aca="false">IF(AND('Loan Tape'!$AX10=1,'Loan Tape'!$AW10=2),MAX(0,D14-D620-D923-D1226),0)</f>
        <v>0</v>
      </c>
      <c r="E1529" s="99" t="n">
        <f aca="false">IF(AND('Loan Tape'!$AX10=1,'Loan Tape'!$AW10=3),MAX(0,E14-E620-E923-E1226),0)</f>
        <v>0</v>
      </c>
      <c r="F1529" s="99" t="n">
        <f aca="false">IF(AND('Loan Tape'!$AX10=1,'Loan Tape'!$AW10=4),MAX(0,F14-F620-F923-F1226),0)</f>
        <v>0</v>
      </c>
      <c r="G1529" s="99" t="n">
        <f aca="false">IF(AND('Loan Tape'!$AX10=1,'Loan Tape'!$AW10=5),MAX(0,G14-G620-G923-G1226),0)</f>
        <v>0</v>
      </c>
      <c r="H1529" s="99" t="n">
        <f aca="false">IF(AND('Loan Tape'!$AX10=1,'Loan Tape'!$AW10=6),MAX(0,H14-H620-H923-H1226),0)</f>
        <v>0</v>
      </c>
      <c r="I1529" s="99" t="n">
        <f aca="false">IF(AND('Loan Tape'!$AX10=1,'Loan Tape'!$AW10=7),MAX(0,I14-I620-I923-I1226),0)</f>
        <v>0</v>
      </c>
      <c r="J1529" s="99" t="n">
        <f aca="false">IF(AND('Loan Tape'!$AX10=1,'Loan Tape'!$AW10=8),MAX(0,J14-J620-J923-J1226),0)</f>
        <v>0</v>
      </c>
      <c r="K1529" s="99" t="n">
        <f aca="false">IF(AND('Loan Tape'!$AX10=1,'Loan Tape'!$AW10=9),MAX(0,K14-K620-K923-K1226),0)</f>
        <v>0</v>
      </c>
      <c r="L1529" s="99" t="n">
        <f aca="false">IF(AND('Loan Tape'!$AX10=1,'Loan Tape'!$AW10=10),MAX(0,L14-L620-L923-L1226),0)</f>
        <v>0</v>
      </c>
    </row>
    <row r="1530" customFormat="false" ht="15" hidden="false" customHeight="false" outlineLevel="0" collapsed="false">
      <c r="B1530" s="108" t="str">
        <f aca="false">'Loan Tape'!$A11</f>
        <v>L-008</v>
      </c>
      <c r="C1530" s="71" t="n">
        <f aca="false">IF(AND('Loan Tape'!$AX11=1,'Loan Tape'!$AW11=1),MAX(0,C15-C621-C924-C1227),0)</f>
        <v>0</v>
      </c>
      <c r="D1530" s="71" t="n">
        <f aca="false">IF(AND('Loan Tape'!$AX11=1,'Loan Tape'!$AW11=2),MAX(0,D15-D621-D924-D1227),0)</f>
        <v>0</v>
      </c>
      <c r="E1530" s="71" t="n">
        <f aca="false">IF(AND('Loan Tape'!$AX11=1,'Loan Tape'!$AW11=3),MAX(0,E15-E621-E924-E1227),0)</f>
        <v>0</v>
      </c>
      <c r="F1530" s="71" t="n">
        <f aca="false">IF(AND('Loan Tape'!$AX11=1,'Loan Tape'!$AW11=4),MAX(0,F15-F621-F924-F1227),0)</f>
        <v>29077084.4928661</v>
      </c>
      <c r="G1530" s="71" t="n">
        <f aca="false">IF(AND('Loan Tape'!$AX11=1,'Loan Tape'!$AW11=5),MAX(0,G15-G621-G924-G1227),0)</f>
        <v>0</v>
      </c>
      <c r="H1530" s="71" t="n">
        <f aca="false">IF(AND('Loan Tape'!$AX11=1,'Loan Tape'!$AW11=6),MAX(0,H15-H621-H924-H1227),0)</f>
        <v>0</v>
      </c>
      <c r="I1530" s="71" t="n">
        <f aca="false">IF(AND('Loan Tape'!$AX11=1,'Loan Tape'!$AW11=7),MAX(0,I15-I621-I924-I1227),0)</f>
        <v>0</v>
      </c>
      <c r="J1530" s="71" t="n">
        <f aca="false">IF(AND('Loan Tape'!$AX11=1,'Loan Tape'!$AW11=8),MAX(0,J15-J621-J924-J1227),0)</f>
        <v>0</v>
      </c>
      <c r="K1530" s="71" t="n">
        <f aca="false">IF(AND('Loan Tape'!$AX11=1,'Loan Tape'!$AW11=9),MAX(0,K15-K621-K924-K1227),0)</f>
        <v>0</v>
      </c>
      <c r="L1530" s="71" t="n">
        <f aca="false">IF(AND('Loan Tape'!$AX11=1,'Loan Tape'!$AW11=10),MAX(0,L15-L621-L924-L1227),0)</f>
        <v>0</v>
      </c>
    </row>
    <row r="1531" customFormat="false" ht="15" hidden="false" customHeight="false" outlineLevel="0" collapsed="false">
      <c r="B1531" s="102" t="str">
        <f aca="false">'Loan Tape'!$A12</f>
        <v>L-009</v>
      </c>
      <c r="C1531" s="99" t="n">
        <f aca="false">IF(AND('Loan Tape'!$AX12=1,'Loan Tape'!$AW12=1),MAX(0,C16-C622-C925-C1228),0)</f>
        <v>0</v>
      </c>
      <c r="D1531" s="99" t="n">
        <f aca="false">IF(AND('Loan Tape'!$AX12=1,'Loan Tape'!$AW12=2),MAX(0,D16-D622-D925-D1228),0)</f>
        <v>0</v>
      </c>
      <c r="E1531" s="99" t="n">
        <f aca="false">IF(AND('Loan Tape'!$AX12=1,'Loan Tape'!$AW12=3),MAX(0,E16-E622-E925-E1228),0)</f>
        <v>0</v>
      </c>
      <c r="F1531" s="99" t="n">
        <f aca="false">IF(AND('Loan Tape'!$AX12=1,'Loan Tape'!$AW12=4),MAX(0,F16-F622-F925-F1228),0)</f>
        <v>0</v>
      </c>
      <c r="G1531" s="99" t="n">
        <f aca="false">IF(AND('Loan Tape'!$AX12=1,'Loan Tape'!$AW12=5),MAX(0,G16-G622-G925-G1228),0)</f>
        <v>0</v>
      </c>
      <c r="H1531" s="99" t="n">
        <f aca="false">IF(AND('Loan Tape'!$AX12=1,'Loan Tape'!$AW12=6),MAX(0,H16-H622-H925-H1228),0)</f>
        <v>0</v>
      </c>
      <c r="I1531" s="99" t="n">
        <f aca="false">IF(AND('Loan Tape'!$AX12=1,'Loan Tape'!$AW12=7),MAX(0,I16-I622-I925-I1228),0)</f>
        <v>0</v>
      </c>
      <c r="J1531" s="99" t="n">
        <f aca="false">IF(AND('Loan Tape'!$AX12=1,'Loan Tape'!$AW12=8),MAX(0,J16-J622-J925-J1228),0)</f>
        <v>0</v>
      </c>
      <c r="K1531" s="99" t="n">
        <f aca="false">IF(AND('Loan Tape'!$AX12=1,'Loan Tape'!$AW12=9),MAX(0,K16-K622-K925-K1228),0)</f>
        <v>0</v>
      </c>
      <c r="L1531" s="99" t="n">
        <f aca="false">IF(AND('Loan Tape'!$AX12=1,'Loan Tape'!$AW12=10),MAX(0,L16-L622-L925-L1228),0)</f>
        <v>0</v>
      </c>
    </row>
    <row r="1532" customFormat="false" ht="15" hidden="false" customHeight="false" outlineLevel="0" collapsed="false">
      <c r="B1532" s="108" t="str">
        <f aca="false">'Loan Tape'!$A13</f>
        <v>L-010</v>
      </c>
      <c r="C1532" s="71" t="n">
        <f aca="false">IF(AND('Loan Tape'!$AX13=1,'Loan Tape'!$AW13=1),MAX(0,C17-C623-C926-C1229),0)</f>
        <v>38681967.4801812</v>
      </c>
      <c r="D1532" s="71" t="n">
        <f aca="false">IF(AND('Loan Tape'!$AX13=1,'Loan Tape'!$AW13=2),MAX(0,D17-D623-D926-D1229),0)</f>
        <v>0</v>
      </c>
      <c r="E1532" s="71" t="n">
        <f aca="false">IF(AND('Loan Tape'!$AX13=1,'Loan Tape'!$AW13=3),MAX(0,E17-E623-E926-E1229),0)</f>
        <v>0</v>
      </c>
      <c r="F1532" s="71" t="n">
        <f aca="false">IF(AND('Loan Tape'!$AX13=1,'Loan Tape'!$AW13=4),MAX(0,F17-F623-F926-F1229),0)</f>
        <v>0</v>
      </c>
      <c r="G1532" s="71" t="n">
        <f aca="false">IF(AND('Loan Tape'!$AX13=1,'Loan Tape'!$AW13=5),MAX(0,G17-G623-G926-G1229),0)</f>
        <v>0</v>
      </c>
      <c r="H1532" s="71" t="n">
        <f aca="false">IF(AND('Loan Tape'!$AX13=1,'Loan Tape'!$AW13=6),MAX(0,H17-H623-H926-H1229),0)</f>
        <v>0</v>
      </c>
      <c r="I1532" s="71" t="n">
        <f aca="false">IF(AND('Loan Tape'!$AX13=1,'Loan Tape'!$AW13=7),MAX(0,I17-I623-I926-I1229),0)</f>
        <v>0</v>
      </c>
      <c r="J1532" s="71" t="n">
        <f aca="false">IF(AND('Loan Tape'!$AX13=1,'Loan Tape'!$AW13=8),MAX(0,J17-J623-J926-J1229),0)</f>
        <v>0</v>
      </c>
      <c r="K1532" s="71" t="n">
        <f aca="false">IF(AND('Loan Tape'!$AX13=1,'Loan Tape'!$AW13=9),MAX(0,K17-K623-K926-K1229),0)</f>
        <v>0</v>
      </c>
      <c r="L1532" s="71" t="n">
        <f aca="false">IF(AND('Loan Tape'!$AX13=1,'Loan Tape'!$AW13=10),MAX(0,L17-L623-L926-L1229),0)</f>
        <v>0</v>
      </c>
    </row>
    <row r="1533" customFormat="false" ht="15" hidden="false" customHeight="false" outlineLevel="0" collapsed="false">
      <c r="B1533" s="102" t="str">
        <f aca="false">'Loan Tape'!$A14</f>
        <v>L-011</v>
      </c>
      <c r="C1533" s="99" t="n">
        <f aca="false">IF(AND('Loan Tape'!$AX14=1,'Loan Tape'!$AW14=1),MAX(0,C18-C624-C927-C1230),0)</f>
        <v>0</v>
      </c>
      <c r="D1533" s="99" t="n">
        <f aca="false">IF(AND('Loan Tape'!$AX14=1,'Loan Tape'!$AW14=2),MAX(0,D18-D624-D927-D1230),0)</f>
        <v>0</v>
      </c>
      <c r="E1533" s="99" t="n">
        <f aca="false">IF(AND('Loan Tape'!$AX14=1,'Loan Tape'!$AW14=3),MAX(0,E18-E624-E927-E1230),0)</f>
        <v>0</v>
      </c>
      <c r="F1533" s="99" t="n">
        <f aca="false">IF(AND('Loan Tape'!$AX14=1,'Loan Tape'!$AW14=4),MAX(0,F18-F624-F927-F1230),0)</f>
        <v>0</v>
      </c>
      <c r="G1533" s="99" t="n">
        <f aca="false">IF(AND('Loan Tape'!$AX14=1,'Loan Tape'!$AW14=5),MAX(0,G18-G624-G927-G1230),0)</f>
        <v>0</v>
      </c>
      <c r="H1533" s="99" t="n">
        <f aca="false">IF(AND('Loan Tape'!$AX14=1,'Loan Tape'!$AW14=6),MAX(0,H18-H624-H927-H1230),0)</f>
        <v>0</v>
      </c>
      <c r="I1533" s="99" t="n">
        <f aca="false">IF(AND('Loan Tape'!$AX14=1,'Loan Tape'!$AW14=7),MAX(0,I18-I624-I927-I1230),0)</f>
        <v>0</v>
      </c>
      <c r="J1533" s="99" t="n">
        <f aca="false">IF(AND('Loan Tape'!$AX14=1,'Loan Tape'!$AW14=8),MAX(0,J18-J624-J927-J1230),0)</f>
        <v>0</v>
      </c>
      <c r="K1533" s="99" t="n">
        <f aca="false">IF(AND('Loan Tape'!$AX14=1,'Loan Tape'!$AW14=9),MAX(0,K18-K624-K927-K1230),0)</f>
        <v>0</v>
      </c>
      <c r="L1533" s="99" t="n">
        <f aca="false">IF(AND('Loan Tape'!$AX14=1,'Loan Tape'!$AW14=10),MAX(0,L18-L624-L927-L1230),0)</f>
        <v>0</v>
      </c>
    </row>
    <row r="1534" customFormat="false" ht="15" hidden="false" customHeight="false" outlineLevel="0" collapsed="false">
      <c r="B1534" s="108" t="str">
        <f aca="false">'Loan Tape'!$A15</f>
        <v>L-012</v>
      </c>
      <c r="C1534" s="71" t="n">
        <f aca="false">IF(AND('Loan Tape'!$AX15=1,'Loan Tape'!$AW15=1),MAX(0,C19-C625-C928-C1231),0)</f>
        <v>0</v>
      </c>
      <c r="D1534" s="71" t="n">
        <f aca="false">IF(AND('Loan Tape'!$AX15=1,'Loan Tape'!$AW15=2),MAX(0,D19-D625-D928-D1231),0)</f>
        <v>4448612.65014714</v>
      </c>
      <c r="E1534" s="71" t="n">
        <f aca="false">IF(AND('Loan Tape'!$AX15=1,'Loan Tape'!$AW15=3),MAX(0,E19-E625-E928-E1231),0)</f>
        <v>0</v>
      </c>
      <c r="F1534" s="71" t="n">
        <f aca="false">IF(AND('Loan Tape'!$AX15=1,'Loan Tape'!$AW15=4),MAX(0,F19-F625-F928-F1231),0)</f>
        <v>0</v>
      </c>
      <c r="G1534" s="71" t="n">
        <f aca="false">IF(AND('Loan Tape'!$AX15=1,'Loan Tape'!$AW15=5),MAX(0,G19-G625-G928-G1231),0)</f>
        <v>0</v>
      </c>
      <c r="H1534" s="71" t="n">
        <f aca="false">IF(AND('Loan Tape'!$AX15=1,'Loan Tape'!$AW15=6),MAX(0,H19-H625-H928-H1231),0)</f>
        <v>0</v>
      </c>
      <c r="I1534" s="71" t="n">
        <f aca="false">IF(AND('Loan Tape'!$AX15=1,'Loan Tape'!$AW15=7),MAX(0,I19-I625-I928-I1231),0)</f>
        <v>0</v>
      </c>
      <c r="J1534" s="71" t="n">
        <f aca="false">IF(AND('Loan Tape'!$AX15=1,'Loan Tape'!$AW15=8),MAX(0,J19-J625-J928-J1231),0)</f>
        <v>0</v>
      </c>
      <c r="K1534" s="71" t="n">
        <f aca="false">IF(AND('Loan Tape'!$AX15=1,'Loan Tape'!$AW15=9),MAX(0,K19-K625-K928-K1231),0)</f>
        <v>0</v>
      </c>
      <c r="L1534" s="71" t="n">
        <f aca="false">IF(AND('Loan Tape'!$AX15=1,'Loan Tape'!$AW15=10),MAX(0,L19-L625-L928-L1231),0)</f>
        <v>0</v>
      </c>
    </row>
    <row r="1535" customFormat="false" ht="15" hidden="false" customHeight="false" outlineLevel="0" collapsed="false">
      <c r="B1535" s="102" t="str">
        <f aca="false">'Loan Tape'!$A16</f>
        <v>L-013</v>
      </c>
      <c r="C1535" s="99" t="n">
        <f aca="false">IF(AND('Loan Tape'!$AX16=1,'Loan Tape'!$AW16=1),MAX(0,C20-C626-C929-C1232),0)</f>
        <v>0</v>
      </c>
      <c r="D1535" s="99" t="n">
        <f aca="false">IF(AND('Loan Tape'!$AX16=1,'Loan Tape'!$AW16=2),MAX(0,D20-D626-D929-D1232),0)</f>
        <v>0</v>
      </c>
      <c r="E1535" s="99" t="n">
        <f aca="false">IF(AND('Loan Tape'!$AX16=1,'Loan Tape'!$AW16=3),MAX(0,E20-E626-E929-E1232),0)</f>
        <v>0</v>
      </c>
      <c r="F1535" s="99" t="n">
        <f aca="false">IF(AND('Loan Tape'!$AX16=1,'Loan Tape'!$AW16=4),MAX(0,F20-F626-F929-F1232),0)</f>
        <v>0</v>
      </c>
      <c r="G1535" s="99" t="n">
        <f aca="false">IF(AND('Loan Tape'!$AX16=1,'Loan Tape'!$AW16=5),MAX(0,G20-G626-G929-G1232),0)</f>
        <v>42480718.3873123</v>
      </c>
      <c r="H1535" s="99" t="n">
        <f aca="false">IF(AND('Loan Tape'!$AX16=1,'Loan Tape'!$AW16=6),MAX(0,H20-H626-H929-H1232),0)</f>
        <v>0</v>
      </c>
      <c r="I1535" s="99" t="n">
        <f aca="false">IF(AND('Loan Tape'!$AX16=1,'Loan Tape'!$AW16=7),MAX(0,I20-I626-I929-I1232),0)</f>
        <v>0</v>
      </c>
      <c r="J1535" s="99" t="n">
        <f aca="false">IF(AND('Loan Tape'!$AX16=1,'Loan Tape'!$AW16=8),MAX(0,J20-J626-J929-J1232),0)</f>
        <v>0</v>
      </c>
      <c r="K1535" s="99" t="n">
        <f aca="false">IF(AND('Loan Tape'!$AX16=1,'Loan Tape'!$AW16=9),MAX(0,K20-K626-K929-K1232),0)</f>
        <v>0</v>
      </c>
      <c r="L1535" s="99" t="n">
        <f aca="false">IF(AND('Loan Tape'!$AX16=1,'Loan Tape'!$AW16=10),MAX(0,L20-L626-L929-L1232),0)</f>
        <v>0</v>
      </c>
    </row>
    <row r="1536" customFormat="false" ht="15" hidden="false" customHeight="false" outlineLevel="0" collapsed="false">
      <c r="B1536" s="108" t="str">
        <f aca="false">'Loan Tape'!$A17</f>
        <v>L-014</v>
      </c>
      <c r="C1536" s="71" t="n">
        <f aca="false">IF(AND('Loan Tape'!$AX17=1,'Loan Tape'!$AW17=1),MAX(0,C21-C627-C930-C1233),0)</f>
        <v>0</v>
      </c>
      <c r="D1536" s="71" t="n">
        <f aca="false">IF(AND('Loan Tape'!$AX17=1,'Loan Tape'!$AW17=2),MAX(0,D21-D627-D930-D1233),0)</f>
        <v>0</v>
      </c>
      <c r="E1536" s="71" t="n">
        <f aca="false">IF(AND('Loan Tape'!$AX17=1,'Loan Tape'!$AW17=3),MAX(0,E21-E627-E930-E1233),0)</f>
        <v>0</v>
      </c>
      <c r="F1536" s="71" t="n">
        <f aca="false">IF(AND('Loan Tape'!$AX17=1,'Loan Tape'!$AW17=4),MAX(0,F21-F627-F930-F1233),0)</f>
        <v>0</v>
      </c>
      <c r="G1536" s="71" t="n">
        <f aca="false">IF(AND('Loan Tape'!$AX17=1,'Loan Tape'!$AW17=5),MAX(0,G21-G627-G930-G1233),0)</f>
        <v>0</v>
      </c>
      <c r="H1536" s="71" t="n">
        <f aca="false">IF(AND('Loan Tape'!$AX17=1,'Loan Tape'!$AW17=6),MAX(0,H21-H627-H930-H1233),0)</f>
        <v>0</v>
      </c>
      <c r="I1536" s="71" t="n">
        <f aca="false">IF(AND('Loan Tape'!$AX17=1,'Loan Tape'!$AW17=7),MAX(0,I21-I627-I930-I1233),0)</f>
        <v>0</v>
      </c>
      <c r="J1536" s="71" t="n">
        <f aca="false">IF(AND('Loan Tape'!$AX17=1,'Loan Tape'!$AW17=8),MAX(0,J21-J627-J930-J1233),0)</f>
        <v>0</v>
      </c>
      <c r="K1536" s="71" t="n">
        <f aca="false">IF(AND('Loan Tape'!$AX17=1,'Loan Tape'!$AW17=9),MAX(0,K21-K627-K930-K1233),0)</f>
        <v>0</v>
      </c>
      <c r="L1536" s="71" t="n">
        <f aca="false">IF(AND('Loan Tape'!$AX17=1,'Loan Tape'!$AW17=10),MAX(0,L21-L627-L930-L1233),0)</f>
        <v>0</v>
      </c>
    </row>
    <row r="1537" customFormat="false" ht="15" hidden="false" customHeight="false" outlineLevel="0" collapsed="false">
      <c r="B1537" s="102" t="str">
        <f aca="false">'Loan Tape'!$A18</f>
        <v>L-015</v>
      </c>
      <c r="C1537" s="99" t="n">
        <f aca="false">IF(AND('Loan Tape'!$AX18=1,'Loan Tape'!$AW18=1),MAX(0,C22-C628-C931-C1234),0)</f>
        <v>0</v>
      </c>
      <c r="D1537" s="99" t="n">
        <f aca="false">IF(AND('Loan Tape'!$AX18=1,'Loan Tape'!$AW18=2),MAX(0,D22-D628-D931-D1234),0)</f>
        <v>0</v>
      </c>
      <c r="E1537" s="99" t="n">
        <f aca="false">IF(AND('Loan Tape'!$AX18=1,'Loan Tape'!$AW18=3),MAX(0,E22-E628-E931-E1234),0)</f>
        <v>0</v>
      </c>
      <c r="F1537" s="99" t="n">
        <f aca="false">IF(AND('Loan Tape'!$AX18=1,'Loan Tape'!$AW18=4),MAX(0,F22-F628-F931-F1234),0)</f>
        <v>0</v>
      </c>
      <c r="G1537" s="99" t="n">
        <f aca="false">IF(AND('Loan Tape'!$AX18=1,'Loan Tape'!$AW18=5),MAX(0,G22-G628-G931-G1234),0)</f>
        <v>0</v>
      </c>
      <c r="H1537" s="99" t="n">
        <f aca="false">IF(AND('Loan Tape'!$AX18=1,'Loan Tape'!$AW18=6),MAX(0,H22-H628-H931-H1234),0)</f>
        <v>0</v>
      </c>
      <c r="I1537" s="99" t="n">
        <f aca="false">IF(AND('Loan Tape'!$AX18=1,'Loan Tape'!$AW18=7),MAX(0,I22-I628-I931-I1234),0)</f>
        <v>0</v>
      </c>
      <c r="J1537" s="99" t="n">
        <f aca="false">IF(AND('Loan Tape'!$AX18=1,'Loan Tape'!$AW18=8),MAX(0,J22-J628-J931-J1234),0)</f>
        <v>0</v>
      </c>
      <c r="K1537" s="99" t="n">
        <f aca="false">IF(AND('Loan Tape'!$AX18=1,'Loan Tape'!$AW18=9),MAX(0,K22-K628-K931-K1234),0)</f>
        <v>0</v>
      </c>
      <c r="L1537" s="99" t="n">
        <f aca="false">IF(AND('Loan Tape'!$AX18=1,'Loan Tape'!$AW18=10),MAX(0,L22-L628-L931-L1234),0)</f>
        <v>0</v>
      </c>
    </row>
    <row r="1538" customFormat="false" ht="15" hidden="false" customHeight="false" outlineLevel="0" collapsed="false">
      <c r="B1538" s="108" t="str">
        <f aca="false">'Loan Tape'!$A19</f>
        <v>L-016</v>
      </c>
      <c r="C1538" s="71" t="n">
        <f aca="false">IF(AND('Loan Tape'!$AX19=1,'Loan Tape'!$AW19=1),MAX(0,C23-C629-C932-C1235),0)</f>
        <v>8243000</v>
      </c>
      <c r="D1538" s="71" t="n">
        <f aca="false">IF(AND('Loan Tape'!$AX19=1,'Loan Tape'!$AW19=2),MAX(0,D23-D629-D932-D1235),0)</f>
        <v>0</v>
      </c>
      <c r="E1538" s="71" t="n">
        <f aca="false">IF(AND('Loan Tape'!$AX19=1,'Loan Tape'!$AW19=3),MAX(0,E23-E629-E932-E1235),0)</f>
        <v>0</v>
      </c>
      <c r="F1538" s="71" t="n">
        <f aca="false">IF(AND('Loan Tape'!$AX19=1,'Loan Tape'!$AW19=4),MAX(0,F23-F629-F932-F1235),0)</f>
        <v>0</v>
      </c>
      <c r="G1538" s="71" t="n">
        <f aca="false">IF(AND('Loan Tape'!$AX19=1,'Loan Tape'!$AW19=5),MAX(0,G23-G629-G932-G1235),0)</f>
        <v>0</v>
      </c>
      <c r="H1538" s="71" t="n">
        <f aca="false">IF(AND('Loan Tape'!$AX19=1,'Loan Tape'!$AW19=6),MAX(0,H23-H629-H932-H1235),0)</f>
        <v>0</v>
      </c>
      <c r="I1538" s="71" t="n">
        <f aca="false">IF(AND('Loan Tape'!$AX19=1,'Loan Tape'!$AW19=7),MAX(0,I23-I629-I932-I1235),0)</f>
        <v>0</v>
      </c>
      <c r="J1538" s="71" t="n">
        <f aca="false">IF(AND('Loan Tape'!$AX19=1,'Loan Tape'!$AW19=8),MAX(0,J23-J629-J932-J1235),0)</f>
        <v>0</v>
      </c>
      <c r="K1538" s="71" t="n">
        <f aca="false">IF(AND('Loan Tape'!$AX19=1,'Loan Tape'!$AW19=9),MAX(0,K23-K629-K932-K1235),0)</f>
        <v>0</v>
      </c>
      <c r="L1538" s="71" t="n">
        <f aca="false">IF(AND('Loan Tape'!$AX19=1,'Loan Tape'!$AW19=10),MAX(0,L23-L629-L932-L1235),0)</f>
        <v>0</v>
      </c>
    </row>
    <row r="1539" customFormat="false" ht="15" hidden="false" customHeight="false" outlineLevel="0" collapsed="false">
      <c r="B1539" s="102" t="str">
        <f aca="false">'Loan Tape'!$A20</f>
        <v>L-017</v>
      </c>
      <c r="C1539" s="99" t="n">
        <f aca="false">IF(AND('Loan Tape'!$AX20=1,'Loan Tape'!$AW20=1),MAX(0,C24-C630-C933-C1236),0)</f>
        <v>0</v>
      </c>
      <c r="D1539" s="99" t="n">
        <f aca="false">IF(AND('Loan Tape'!$AX20=1,'Loan Tape'!$AW20=2),MAX(0,D24-D630-D933-D1236),0)</f>
        <v>0</v>
      </c>
      <c r="E1539" s="99" t="n">
        <f aca="false">IF(AND('Loan Tape'!$AX20=1,'Loan Tape'!$AW20=3),MAX(0,E24-E630-E933-E1236),0)</f>
        <v>0</v>
      </c>
      <c r="F1539" s="99" t="n">
        <f aca="false">IF(AND('Loan Tape'!$AX20=1,'Loan Tape'!$AW20=4),MAX(0,F24-F630-F933-F1236),0)</f>
        <v>0</v>
      </c>
      <c r="G1539" s="99" t="n">
        <f aca="false">IF(AND('Loan Tape'!$AX20=1,'Loan Tape'!$AW20=5),MAX(0,G24-G630-G933-G1236),0)</f>
        <v>0</v>
      </c>
      <c r="H1539" s="99" t="n">
        <f aca="false">IF(AND('Loan Tape'!$AX20=1,'Loan Tape'!$AW20=6),MAX(0,H24-H630-H933-H1236),0)</f>
        <v>0</v>
      </c>
      <c r="I1539" s="99" t="n">
        <f aca="false">IF(AND('Loan Tape'!$AX20=1,'Loan Tape'!$AW20=7),MAX(0,I24-I630-I933-I1236),0)</f>
        <v>0</v>
      </c>
      <c r="J1539" s="99" t="n">
        <f aca="false">IF(AND('Loan Tape'!$AX20=1,'Loan Tape'!$AW20=8),MAX(0,J24-J630-J933-J1236),0)</f>
        <v>0</v>
      </c>
      <c r="K1539" s="99" t="n">
        <f aca="false">IF(AND('Loan Tape'!$AX20=1,'Loan Tape'!$AW20=9),MAX(0,K24-K630-K933-K1236),0)</f>
        <v>0</v>
      </c>
      <c r="L1539" s="99" t="n">
        <f aca="false">IF(AND('Loan Tape'!$AX20=1,'Loan Tape'!$AW20=10),MAX(0,L24-L630-L933-L1236),0)</f>
        <v>0</v>
      </c>
    </row>
    <row r="1540" customFormat="false" ht="15" hidden="false" customHeight="false" outlineLevel="0" collapsed="false">
      <c r="B1540" s="108" t="str">
        <f aca="false">'Loan Tape'!$A21</f>
        <v>L-018</v>
      </c>
      <c r="C1540" s="71" t="n">
        <f aca="false">IF(AND('Loan Tape'!$AX21=1,'Loan Tape'!$AW21=1),MAX(0,C25-C631-C934-C1237),0)</f>
        <v>0</v>
      </c>
      <c r="D1540" s="71" t="n">
        <f aca="false">IF(AND('Loan Tape'!$AX21=1,'Loan Tape'!$AW21=2),MAX(0,D25-D631-D934-D1237),0)</f>
        <v>0</v>
      </c>
      <c r="E1540" s="71" t="n">
        <f aca="false">IF(AND('Loan Tape'!$AX21=1,'Loan Tape'!$AW21=3),MAX(0,E25-E631-E934-E1237),0)</f>
        <v>0</v>
      </c>
      <c r="F1540" s="71" t="n">
        <f aca="false">IF(AND('Loan Tape'!$AX21=1,'Loan Tape'!$AW21=4),MAX(0,F25-F631-F934-F1237),0)</f>
        <v>0</v>
      </c>
      <c r="G1540" s="71" t="n">
        <f aca="false">IF(AND('Loan Tape'!$AX21=1,'Loan Tape'!$AW21=5),MAX(0,G25-G631-G934-G1237),0)</f>
        <v>39412678.5810207</v>
      </c>
      <c r="H1540" s="71" t="n">
        <f aca="false">IF(AND('Loan Tape'!$AX21=1,'Loan Tape'!$AW21=6),MAX(0,H25-H631-H934-H1237),0)</f>
        <v>0</v>
      </c>
      <c r="I1540" s="71" t="n">
        <f aca="false">IF(AND('Loan Tape'!$AX21=1,'Loan Tape'!$AW21=7),MAX(0,I25-I631-I934-I1237),0)</f>
        <v>0</v>
      </c>
      <c r="J1540" s="71" t="n">
        <f aca="false">IF(AND('Loan Tape'!$AX21=1,'Loan Tape'!$AW21=8),MAX(0,J25-J631-J934-J1237),0)</f>
        <v>0</v>
      </c>
      <c r="K1540" s="71" t="n">
        <f aca="false">IF(AND('Loan Tape'!$AX21=1,'Loan Tape'!$AW21=9),MAX(0,K25-K631-K934-K1237),0)</f>
        <v>0</v>
      </c>
      <c r="L1540" s="71" t="n">
        <f aca="false">IF(AND('Loan Tape'!$AX21=1,'Loan Tape'!$AW21=10),MAX(0,L25-L631-L934-L1237),0)</f>
        <v>0</v>
      </c>
    </row>
    <row r="1541" customFormat="false" ht="15" hidden="false" customHeight="false" outlineLevel="0" collapsed="false">
      <c r="B1541" s="102" t="str">
        <f aca="false">'Loan Tape'!$A22</f>
        <v>L-019</v>
      </c>
      <c r="C1541" s="99" t="n">
        <f aca="false">IF(AND('Loan Tape'!$AX22=1,'Loan Tape'!$AW22=1),MAX(0,C26-C632-C935-C1238),0)</f>
        <v>7098940.83352907</v>
      </c>
      <c r="D1541" s="99" t="n">
        <f aca="false">IF(AND('Loan Tape'!$AX22=1,'Loan Tape'!$AW22=2),MAX(0,D26-D632-D935-D1238),0)</f>
        <v>0</v>
      </c>
      <c r="E1541" s="99" t="n">
        <f aca="false">IF(AND('Loan Tape'!$AX22=1,'Loan Tape'!$AW22=3),MAX(0,E26-E632-E935-E1238),0)</f>
        <v>0</v>
      </c>
      <c r="F1541" s="99" t="n">
        <f aca="false">IF(AND('Loan Tape'!$AX22=1,'Loan Tape'!$AW22=4),MAX(0,F26-F632-F935-F1238),0)</f>
        <v>0</v>
      </c>
      <c r="G1541" s="99" t="n">
        <f aca="false">IF(AND('Loan Tape'!$AX22=1,'Loan Tape'!$AW22=5),MAX(0,G26-G632-G935-G1238),0)</f>
        <v>0</v>
      </c>
      <c r="H1541" s="99" t="n">
        <f aca="false">IF(AND('Loan Tape'!$AX22=1,'Loan Tape'!$AW22=6),MAX(0,H26-H632-H935-H1238),0)</f>
        <v>0</v>
      </c>
      <c r="I1541" s="99" t="n">
        <f aca="false">IF(AND('Loan Tape'!$AX22=1,'Loan Tape'!$AW22=7),MAX(0,I26-I632-I935-I1238),0)</f>
        <v>0</v>
      </c>
      <c r="J1541" s="99" t="n">
        <f aca="false">IF(AND('Loan Tape'!$AX22=1,'Loan Tape'!$AW22=8),MAX(0,J26-J632-J935-J1238),0)</f>
        <v>0</v>
      </c>
      <c r="K1541" s="99" t="n">
        <f aca="false">IF(AND('Loan Tape'!$AX22=1,'Loan Tape'!$AW22=9),MAX(0,K26-K632-K935-K1238),0)</f>
        <v>0</v>
      </c>
      <c r="L1541" s="99" t="n">
        <f aca="false">IF(AND('Loan Tape'!$AX22=1,'Loan Tape'!$AW22=10),MAX(0,L26-L632-L935-L1238),0)</f>
        <v>0</v>
      </c>
    </row>
    <row r="1542" customFormat="false" ht="15" hidden="false" customHeight="false" outlineLevel="0" collapsed="false">
      <c r="B1542" s="108" t="str">
        <f aca="false">'Loan Tape'!$A23</f>
        <v>L-020</v>
      </c>
      <c r="C1542" s="71" t="n">
        <f aca="false">IF(AND('Loan Tape'!$AX23=1,'Loan Tape'!$AW23=1),MAX(0,C27-C633-C936-C1239),0)</f>
        <v>0</v>
      </c>
      <c r="D1542" s="71" t="n">
        <f aca="false">IF(AND('Loan Tape'!$AX23=1,'Loan Tape'!$AW23=2),MAX(0,D27-D633-D936-D1239),0)</f>
        <v>0</v>
      </c>
      <c r="E1542" s="71" t="n">
        <f aca="false">IF(AND('Loan Tape'!$AX23=1,'Loan Tape'!$AW23=3),MAX(0,E27-E633-E936-E1239),0)</f>
        <v>0</v>
      </c>
      <c r="F1542" s="71" t="n">
        <f aca="false">IF(AND('Loan Tape'!$AX23=1,'Loan Tape'!$AW23=4),MAX(0,F27-F633-F936-F1239),0)</f>
        <v>0</v>
      </c>
      <c r="G1542" s="71" t="n">
        <f aca="false">IF(AND('Loan Tape'!$AX23=1,'Loan Tape'!$AW23=5),MAX(0,G27-G633-G936-G1239),0)</f>
        <v>0</v>
      </c>
      <c r="H1542" s="71" t="n">
        <f aca="false">IF(AND('Loan Tape'!$AX23=1,'Loan Tape'!$AW23=6),MAX(0,H27-H633-H936-H1239),0)</f>
        <v>0</v>
      </c>
      <c r="I1542" s="71" t="n">
        <f aca="false">IF(AND('Loan Tape'!$AX23=1,'Loan Tape'!$AW23=7),MAX(0,I27-I633-I936-I1239),0)</f>
        <v>0</v>
      </c>
      <c r="J1542" s="71" t="n">
        <f aca="false">IF(AND('Loan Tape'!$AX23=1,'Loan Tape'!$AW23=8),MAX(0,J27-J633-J936-J1239),0)</f>
        <v>0</v>
      </c>
      <c r="K1542" s="71" t="n">
        <f aca="false">IF(AND('Loan Tape'!$AX23=1,'Loan Tape'!$AW23=9),MAX(0,K27-K633-K936-K1239),0)</f>
        <v>0</v>
      </c>
      <c r="L1542" s="71" t="n">
        <f aca="false">IF(AND('Loan Tape'!$AX23=1,'Loan Tape'!$AW23=10),MAX(0,L27-L633-L936-L1239),0)</f>
        <v>0</v>
      </c>
    </row>
    <row r="1543" customFormat="false" ht="15" hidden="false" customHeight="false" outlineLevel="0" collapsed="false">
      <c r="B1543" s="102" t="str">
        <f aca="false">'Loan Tape'!$A24</f>
        <v>L-021</v>
      </c>
      <c r="C1543" s="99" t="n">
        <f aca="false">IF(AND('Loan Tape'!$AX24=1,'Loan Tape'!$AW24=1),MAX(0,C28-C634-C937-C1240),0)</f>
        <v>0</v>
      </c>
      <c r="D1543" s="99" t="n">
        <f aca="false">IF(AND('Loan Tape'!$AX24=1,'Loan Tape'!$AW24=2),MAX(0,D28-D634-D937-D1240),0)</f>
        <v>0</v>
      </c>
      <c r="E1543" s="99" t="n">
        <f aca="false">IF(AND('Loan Tape'!$AX24=1,'Loan Tape'!$AW24=3),MAX(0,E28-E634-E937-E1240),0)</f>
        <v>0</v>
      </c>
      <c r="F1543" s="99" t="n">
        <f aca="false">IF(AND('Loan Tape'!$AX24=1,'Loan Tape'!$AW24=4),MAX(0,F28-F634-F937-F1240),0)</f>
        <v>22614128.7209493</v>
      </c>
      <c r="G1543" s="99" t="n">
        <f aca="false">IF(AND('Loan Tape'!$AX24=1,'Loan Tape'!$AW24=5),MAX(0,G28-G634-G937-G1240),0)</f>
        <v>0</v>
      </c>
      <c r="H1543" s="99" t="n">
        <f aca="false">IF(AND('Loan Tape'!$AX24=1,'Loan Tape'!$AW24=6),MAX(0,H28-H634-H937-H1240),0)</f>
        <v>0</v>
      </c>
      <c r="I1543" s="99" t="n">
        <f aca="false">IF(AND('Loan Tape'!$AX24=1,'Loan Tape'!$AW24=7),MAX(0,I28-I634-I937-I1240),0)</f>
        <v>0</v>
      </c>
      <c r="J1543" s="99" t="n">
        <f aca="false">IF(AND('Loan Tape'!$AX24=1,'Loan Tape'!$AW24=8),MAX(0,J28-J634-J937-J1240),0)</f>
        <v>0</v>
      </c>
      <c r="K1543" s="99" t="n">
        <f aca="false">IF(AND('Loan Tape'!$AX24=1,'Loan Tape'!$AW24=9),MAX(0,K28-K634-K937-K1240),0)</f>
        <v>0</v>
      </c>
      <c r="L1543" s="99" t="n">
        <f aca="false">IF(AND('Loan Tape'!$AX24=1,'Loan Tape'!$AW24=10),MAX(0,L28-L634-L937-L1240),0)</f>
        <v>0</v>
      </c>
    </row>
    <row r="1544" customFormat="false" ht="15" hidden="false" customHeight="false" outlineLevel="0" collapsed="false">
      <c r="B1544" s="108" t="str">
        <f aca="false">'Loan Tape'!$A25</f>
        <v>L-022</v>
      </c>
      <c r="C1544" s="71" t="n">
        <f aca="false">IF(AND('Loan Tape'!$AX25=1,'Loan Tape'!$AW25=1),MAX(0,C29-C635-C938-C1241),0)</f>
        <v>0</v>
      </c>
      <c r="D1544" s="71" t="n">
        <f aca="false">IF(AND('Loan Tape'!$AX25=1,'Loan Tape'!$AW25=2),MAX(0,D29-D635-D938-D1241),0)</f>
        <v>5250454.80719232</v>
      </c>
      <c r="E1544" s="71" t="n">
        <f aca="false">IF(AND('Loan Tape'!$AX25=1,'Loan Tape'!$AW25=3),MAX(0,E29-E635-E938-E1241),0)</f>
        <v>0</v>
      </c>
      <c r="F1544" s="71" t="n">
        <f aca="false">IF(AND('Loan Tape'!$AX25=1,'Loan Tape'!$AW25=4),MAX(0,F29-F635-F938-F1241),0)</f>
        <v>0</v>
      </c>
      <c r="G1544" s="71" t="n">
        <f aca="false">IF(AND('Loan Tape'!$AX25=1,'Loan Tape'!$AW25=5),MAX(0,G29-G635-G938-G1241),0)</f>
        <v>0</v>
      </c>
      <c r="H1544" s="71" t="n">
        <f aca="false">IF(AND('Loan Tape'!$AX25=1,'Loan Tape'!$AW25=6),MAX(0,H29-H635-H938-H1241),0)</f>
        <v>0</v>
      </c>
      <c r="I1544" s="71" t="n">
        <f aca="false">IF(AND('Loan Tape'!$AX25=1,'Loan Tape'!$AW25=7),MAX(0,I29-I635-I938-I1241),0)</f>
        <v>0</v>
      </c>
      <c r="J1544" s="71" t="n">
        <f aca="false">IF(AND('Loan Tape'!$AX25=1,'Loan Tape'!$AW25=8),MAX(0,J29-J635-J938-J1241),0)</f>
        <v>0</v>
      </c>
      <c r="K1544" s="71" t="n">
        <f aca="false">IF(AND('Loan Tape'!$AX25=1,'Loan Tape'!$AW25=9),MAX(0,K29-K635-K938-K1241),0)</f>
        <v>0</v>
      </c>
      <c r="L1544" s="71" t="n">
        <f aca="false">IF(AND('Loan Tape'!$AX25=1,'Loan Tape'!$AW25=10),MAX(0,L29-L635-L938-L1241),0)</f>
        <v>0</v>
      </c>
    </row>
    <row r="1545" customFormat="false" ht="15" hidden="false" customHeight="false" outlineLevel="0" collapsed="false">
      <c r="B1545" s="102" t="str">
        <f aca="false">'Loan Tape'!$A26</f>
        <v>L-023</v>
      </c>
      <c r="C1545" s="99" t="n">
        <f aca="false">IF(AND('Loan Tape'!$AX26=1,'Loan Tape'!$AW26=1),MAX(0,C30-C636-C939-C1242),0)</f>
        <v>76306000</v>
      </c>
      <c r="D1545" s="99" t="n">
        <f aca="false">IF(AND('Loan Tape'!$AX26=1,'Loan Tape'!$AW26=2),MAX(0,D30-D636-D939-D1242),0)</f>
        <v>0</v>
      </c>
      <c r="E1545" s="99" t="n">
        <f aca="false">IF(AND('Loan Tape'!$AX26=1,'Loan Tape'!$AW26=3),MAX(0,E30-E636-E939-E1242),0)</f>
        <v>0</v>
      </c>
      <c r="F1545" s="99" t="n">
        <f aca="false">IF(AND('Loan Tape'!$AX26=1,'Loan Tape'!$AW26=4),MAX(0,F30-F636-F939-F1242),0)</f>
        <v>0</v>
      </c>
      <c r="G1545" s="99" t="n">
        <f aca="false">IF(AND('Loan Tape'!$AX26=1,'Loan Tape'!$AW26=5),MAX(0,G30-G636-G939-G1242),0)</f>
        <v>0</v>
      </c>
      <c r="H1545" s="99" t="n">
        <f aca="false">IF(AND('Loan Tape'!$AX26=1,'Loan Tape'!$AW26=6),MAX(0,H30-H636-H939-H1242),0)</f>
        <v>0</v>
      </c>
      <c r="I1545" s="99" t="n">
        <f aca="false">IF(AND('Loan Tape'!$AX26=1,'Loan Tape'!$AW26=7),MAX(0,I30-I636-I939-I1242),0)</f>
        <v>0</v>
      </c>
      <c r="J1545" s="99" t="n">
        <f aca="false">IF(AND('Loan Tape'!$AX26=1,'Loan Tape'!$AW26=8),MAX(0,J30-J636-J939-J1242),0)</f>
        <v>0</v>
      </c>
      <c r="K1545" s="99" t="n">
        <f aca="false">IF(AND('Loan Tape'!$AX26=1,'Loan Tape'!$AW26=9),MAX(0,K30-K636-K939-K1242),0)</f>
        <v>0</v>
      </c>
      <c r="L1545" s="99" t="n">
        <f aca="false">IF(AND('Loan Tape'!$AX26=1,'Loan Tape'!$AW26=10),MAX(0,L30-L636-L939-L1242),0)</f>
        <v>0</v>
      </c>
    </row>
    <row r="1546" customFormat="false" ht="15" hidden="false" customHeight="false" outlineLevel="0" collapsed="false">
      <c r="B1546" s="108" t="str">
        <f aca="false">'Loan Tape'!$A27</f>
        <v>L-024</v>
      </c>
      <c r="C1546" s="71" t="n">
        <f aca="false">IF(AND('Loan Tape'!$AX27=1,'Loan Tape'!$AW27=1),MAX(0,C31-C637-C940-C1243),0)</f>
        <v>0</v>
      </c>
      <c r="D1546" s="71" t="n">
        <f aca="false">IF(AND('Loan Tape'!$AX27=1,'Loan Tape'!$AW27=2),MAX(0,D31-D637-D940-D1243),0)</f>
        <v>0</v>
      </c>
      <c r="E1546" s="71" t="n">
        <f aca="false">IF(AND('Loan Tape'!$AX27=1,'Loan Tape'!$AW27=3),MAX(0,E31-E637-E940-E1243),0)</f>
        <v>0</v>
      </c>
      <c r="F1546" s="71" t="n">
        <f aca="false">IF(AND('Loan Tape'!$AX27=1,'Loan Tape'!$AW27=4),MAX(0,F31-F637-F940-F1243),0)</f>
        <v>10688917.1461257</v>
      </c>
      <c r="G1546" s="71" t="n">
        <f aca="false">IF(AND('Loan Tape'!$AX27=1,'Loan Tape'!$AW27=5),MAX(0,G31-G637-G940-G1243),0)</f>
        <v>0</v>
      </c>
      <c r="H1546" s="71" t="n">
        <f aca="false">IF(AND('Loan Tape'!$AX27=1,'Loan Tape'!$AW27=6),MAX(0,H31-H637-H940-H1243),0)</f>
        <v>0</v>
      </c>
      <c r="I1546" s="71" t="n">
        <f aca="false">IF(AND('Loan Tape'!$AX27=1,'Loan Tape'!$AW27=7),MAX(0,I31-I637-I940-I1243),0)</f>
        <v>0</v>
      </c>
      <c r="J1546" s="71" t="n">
        <f aca="false">IF(AND('Loan Tape'!$AX27=1,'Loan Tape'!$AW27=8),MAX(0,J31-J637-J940-J1243),0)</f>
        <v>0</v>
      </c>
      <c r="K1546" s="71" t="n">
        <f aca="false">IF(AND('Loan Tape'!$AX27=1,'Loan Tape'!$AW27=9),MAX(0,K31-K637-K940-K1243),0)</f>
        <v>0</v>
      </c>
      <c r="L1546" s="71" t="n">
        <f aca="false">IF(AND('Loan Tape'!$AX27=1,'Loan Tape'!$AW27=10),MAX(0,L31-L637-L940-L1243),0)</f>
        <v>0</v>
      </c>
    </row>
    <row r="1547" customFormat="false" ht="15" hidden="false" customHeight="false" outlineLevel="0" collapsed="false">
      <c r="B1547" s="102" t="str">
        <f aca="false">'Loan Tape'!$A28</f>
        <v>L-025</v>
      </c>
      <c r="C1547" s="99" t="n">
        <f aca="false">IF(AND('Loan Tape'!$AX28=1,'Loan Tape'!$AW28=1),MAX(0,C32-C638-C941-C1244),0)</f>
        <v>0</v>
      </c>
      <c r="D1547" s="99" t="n">
        <f aca="false">IF(AND('Loan Tape'!$AX28=1,'Loan Tape'!$AW28=2),MAX(0,D32-D638-D941-D1244),0)</f>
        <v>0</v>
      </c>
      <c r="E1547" s="99" t="n">
        <f aca="false">IF(AND('Loan Tape'!$AX28=1,'Loan Tape'!$AW28=3),MAX(0,E32-E638-E941-E1244),0)</f>
        <v>0</v>
      </c>
      <c r="F1547" s="99" t="n">
        <f aca="false">IF(AND('Loan Tape'!$AX28=1,'Loan Tape'!$AW28=4),MAX(0,F32-F638-F941-F1244),0)</f>
        <v>9057088.43152801</v>
      </c>
      <c r="G1547" s="99" t="n">
        <f aca="false">IF(AND('Loan Tape'!$AX28=1,'Loan Tape'!$AW28=5),MAX(0,G32-G638-G941-G1244),0)</f>
        <v>0</v>
      </c>
      <c r="H1547" s="99" t="n">
        <f aca="false">IF(AND('Loan Tape'!$AX28=1,'Loan Tape'!$AW28=6),MAX(0,H32-H638-H941-H1244),0)</f>
        <v>0</v>
      </c>
      <c r="I1547" s="99" t="n">
        <f aca="false">IF(AND('Loan Tape'!$AX28=1,'Loan Tape'!$AW28=7),MAX(0,I32-I638-I941-I1244),0)</f>
        <v>0</v>
      </c>
      <c r="J1547" s="99" t="n">
        <f aca="false">IF(AND('Loan Tape'!$AX28=1,'Loan Tape'!$AW28=8),MAX(0,J32-J638-J941-J1244),0)</f>
        <v>0</v>
      </c>
      <c r="K1547" s="99" t="n">
        <f aca="false">IF(AND('Loan Tape'!$AX28=1,'Loan Tape'!$AW28=9),MAX(0,K32-K638-K941-K1244),0)</f>
        <v>0</v>
      </c>
      <c r="L1547" s="99" t="n">
        <f aca="false">IF(AND('Loan Tape'!$AX28=1,'Loan Tape'!$AW28=10),MAX(0,L32-L638-L941-L1244),0)</f>
        <v>0</v>
      </c>
    </row>
    <row r="1548" customFormat="false" ht="15" hidden="false" customHeight="false" outlineLevel="0" collapsed="false">
      <c r="B1548" s="108" t="str">
        <f aca="false">'Loan Tape'!$A29</f>
        <v>L-026</v>
      </c>
      <c r="C1548" s="71" t="n">
        <f aca="false">IF(AND('Loan Tape'!$AX29=1,'Loan Tape'!$AW29=1),MAX(0,C33-C639-C942-C1245),0)</f>
        <v>79109360</v>
      </c>
      <c r="D1548" s="71" t="n">
        <f aca="false">IF(AND('Loan Tape'!$AX29=1,'Loan Tape'!$AW29=2),MAX(0,D33-D639-D942-D1245),0)</f>
        <v>0</v>
      </c>
      <c r="E1548" s="71" t="n">
        <f aca="false">IF(AND('Loan Tape'!$AX29=1,'Loan Tape'!$AW29=3),MAX(0,E33-E639-E942-E1245),0)</f>
        <v>0</v>
      </c>
      <c r="F1548" s="71" t="n">
        <f aca="false">IF(AND('Loan Tape'!$AX29=1,'Loan Tape'!$AW29=4),MAX(0,F33-F639-F942-F1245),0)</f>
        <v>0</v>
      </c>
      <c r="G1548" s="71" t="n">
        <f aca="false">IF(AND('Loan Tape'!$AX29=1,'Loan Tape'!$AW29=5),MAX(0,G33-G639-G942-G1245),0)</f>
        <v>0</v>
      </c>
      <c r="H1548" s="71" t="n">
        <f aca="false">IF(AND('Loan Tape'!$AX29=1,'Loan Tape'!$AW29=6),MAX(0,H33-H639-H942-H1245),0)</f>
        <v>0</v>
      </c>
      <c r="I1548" s="71" t="n">
        <f aca="false">IF(AND('Loan Tape'!$AX29=1,'Loan Tape'!$AW29=7),MAX(0,I33-I639-I942-I1245),0)</f>
        <v>0</v>
      </c>
      <c r="J1548" s="71" t="n">
        <f aca="false">IF(AND('Loan Tape'!$AX29=1,'Loan Tape'!$AW29=8),MAX(0,J33-J639-J942-J1245),0)</f>
        <v>0</v>
      </c>
      <c r="K1548" s="71" t="n">
        <f aca="false">IF(AND('Loan Tape'!$AX29=1,'Loan Tape'!$AW29=9),MAX(0,K33-K639-K942-K1245),0)</f>
        <v>0</v>
      </c>
      <c r="L1548" s="71" t="n">
        <f aca="false">IF(AND('Loan Tape'!$AX29=1,'Loan Tape'!$AW29=10),MAX(0,L33-L639-L942-L1245),0)</f>
        <v>0</v>
      </c>
    </row>
    <row r="1549" customFormat="false" ht="15" hidden="false" customHeight="false" outlineLevel="0" collapsed="false">
      <c r="B1549" s="102" t="str">
        <f aca="false">'Loan Tape'!$A30</f>
        <v>L-027</v>
      </c>
      <c r="C1549" s="99" t="n">
        <f aca="false">IF(AND('Loan Tape'!$AX30=1,'Loan Tape'!$AW30=1),MAX(0,C34-C640-C943-C1246),0)</f>
        <v>0</v>
      </c>
      <c r="D1549" s="99" t="n">
        <f aca="false">IF(AND('Loan Tape'!$AX30=1,'Loan Tape'!$AW30=2),MAX(0,D34-D640-D943-D1246),0)</f>
        <v>0</v>
      </c>
      <c r="E1549" s="99" t="n">
        <f aca="false">IF(AND('Loan Tape'!$AX30=1,'Loan Tape'!$AW30=3),MAX(0,E34-E640-E943-E1246),0)</f>
        <v>0</v>
      </c>
      <c r="F1549" s="99" t="n">
        <f aca="false">IF(AND('Loan Tape'!$AX30=1,'Loan Tape'!$AW30=4),MAX(0,F34-F640-F943-F1246),0)</f>
        <v>56667103.2093753</v>
      </c>
      <c r="G1549" s="99" t="n">
        <f aca="false">IF(AND('Loan Tape'!$AX30=1,'Loan Tape'!$AW30=5),MAX(0,G34-G640-G943-G1246),0)</f>
        <v>0</v>
      </c>
      <c r="H1549" s="99" t="n">
        <f aca="false">IF(AND('Loan Tape'!$AX30=1,'Loan Tape'!$AW30=6),MAX(0,H34-H640-H943-H1246),0)</f>
        <v>0</v>
      </c>
      <c r="I1549" s="99" t="n">
        <f aca="false">IF(AND('Loan Tape'!$AX30=1,'Loan Tape'!$AW30=7),MAX(0,I34-I640-I943-I1246),0)</f>
        <v>0</v>
      </c>
      <c r="J1549" s="99" t="n">
        <f aca="false">IF(AND('Loan Tape'!$AX30=1,'Loan Tape'!$AW30=8),MAX(0,J34-J640-J943-J1246),0)</f>
        <v>0</v>
      </c>
      <c r="K1549" s="99" t="n">
        <f aca="false">IF(AND('Loan Tape'!$AX30=1,'Loan Tape'!$AW30=9),MAX(0,K34-K640-K943-K1246),0)</f>
        <v>0</v>
      </c>
      <c r="L1549" s="99" t="n">
        <f aca="false">IF(AND('Loan Tape'!$AX30=1,'Loan Tape'!$AW30=10),MAX(0,L34-L640-L943-L1246),0)</f>
        <v>0</v>
      </c>
    </row>
    <row r="1550" customFormat="false" ht="15" hidden="false" customHeight="false" outlineLevel="0" collapsed="false">
      <c r="B1550" s="108" t="str">
        <f aca="false">'Loan Tape'!$A31</f>
        <v>L-028</v>
      </c>
      <c r="C1550" s="71" t="n">
        <f aca="false">IF(AND('Loan Tape'!$AX31=1,'Loan Tape'!$AW31=1),MAX(0,C35-C641-C944-C1247),0)</f>
        <v>86385000</v>
      </c>
      <c r="D1550" s="71" t="n">
        <f aca="false">IF(AND('Loan Tape'!$AX31=1,'Loan Tape'!$AW31=2),MAX(0,D35-D641-D944-D1247),0)</f>
        <v>0</v>
      </c>
      <c r="E1550" s="71" t="n">
        <f aca="false">IF(AND('Loan Tape'!$AX31=1,'Loan Tape'!$AW31=3),MAX(0,E35-E641-E944-E1247),0)</f>
        <v>0</v>
      </c>
      <c r="F1550" s="71" t="n">
        <f aca="false">IF(AND('Loan Tape'!$AX31=1,'Loan Tape'!$AW31=4),MAX(0,F35-F641-F944-F1247),0)</f>
        <v>0</v>
      </c>
      <c r="G1550" s="71" t="n">
        <f aca="false">IF(AND('Loan Tape'!$AX31=1,'Loan Tape'!$AW31=5),MAX(0,G35-G641-G944-G1247),0)</f>
        <v>0</v>
      </c>
      <c r="H1550" s="71" t="n">
        <f aca="false">IF(AND('Loan Tape'!$AX31=1,'Loan Tape'!$AW31=6),MAX(0,H35-H641-H944-H1247),0)</f>
        <v>0</v>
      </c>
      <c r="I1550" s="71" t="n">
        <f aca="false">IF(AND('Loan Tape'!$AX31=1,'Loan Tape'!$AW31=7),MAX(0,I35-I641-I944-I1247),0)</f>
        <v>0</v>
      </c>
      <c r="J1550" s="71" t="n">
        <f aca="false">IF(AND('Loan Tape'!$AX31=1,'Loan Tape'!$AW31=8),MAX(0,J35-J641-J944-J1247),0)</f>
        <v>0</v>
      </c>
      <c r="K1550" s="71" t="n">
        <f aca="false">IF(AND('Loan Tape'!$AX31=1,'Loan Tape'!$AW31=9),MAX(0,K35-K641-K944-K1247),0)</f>
        <v>0</v>
      </c>
      <c r="L1550" s="71" t="n">
        <f aca="false">IF(AND('Loan Tape'!$AX31=1,'Loan Tape'!$AW31=10),MAX(0,L35-L641-L944-L1247),0)</f>
        <v>0</v>
      </c>
    </row>
    <row r="1551" customFormat="false" ht="15" hidden="false" customHeight="false" outlineLevel="0" collapsed="false">
      <c r="B1551" s="102" t="str">
        <f aca="false">'Loan Tape'!$A32</f>
        <v>L-029</v>
      </c>
      <c r="C1551" s="99" t="n">
        <f aca="false">IF(AND('Loan Tape'!$AX32=1,'Loan Tape'!$AW32=1),MAX(0,C36-C642-C945-C1248),0)</f>
        <v>43725000</v>
      </c>
      <c r="D1551" s="99" t="n">
        <f aca="false">IF(AND('Loan Tape'!$AX32=1,'Loan Tape'!$AW32=2),MAX(0,D36-D642-D945-D1248),0)</f>
        <v>0</v>
      </c>
      <c r="E1551" s="99" t="n">
        <f aca="false">IF(AND('Loan Tape'!$AX32=1,'Loan Tape'!$AW32=3),MAX(0,E36-E642-E945-E1248),0)</f>
        <v>0</v>
      </c>
      <c r="F1551" s="99" t="n">
        <f aca="false">IF(AND('Loan Tape'!$AX32=1,'Loan Tape'!$AW32=4),MAX(0,F36-F642-F945-F1248),0)</f>
        <v>0</v>
      </c>
      <c r="G1551" s="99" t="n">
        <f aca="false">IF(AND('Loan Tape'!$AX32=1,'Loan Tape'!$AW32=5),MAX(0,G36-G642-G945-G1248),0)</f>
        <v>0</v>
      </c>
      <c r="H1551" s="99" t="n">
        <f aca="false">IF(AND('Loan Tape'!$AX32=1,'Loan Tape'!$AW32=6),MAX(0,H36-H642-H945-H1248),0)</f>
        <v>0</v>
      </c>
      <c r="I1551" s="99" t="n">
        <f aca="false">IF(AND('Loan Tape'!$AX32=1,'Loan Tape'!$AW32=7),MAX(0,I36-I642-I945-I1248),0)</f>
        <v>0</v>
      </c>
      <c r="J1551" s="99" t="n">
        <f aca="false">IF(AND('Loan Tape'!$AX32=1,'Loan Tape'!$AW32=8),MAX(0,J36-J642-J945-J1248),0)</f>
        <v>0</v>
      </c>
      <c r="K1551" s="99" t="n">
        <f aca="false">IF(AND('Loan Tape'!$AX32=1,'Loan Tape'!$AW32=9),MAX(0,K36-K642-K945-K1248),0)</f>
        <v>0</v>
      </c>
      <c r="L1551" s="99" t="n">
        <f aca="false">IF(AND('Loan Tape'!$AX32=1,'Loan Tape'!$AW32=10),MAX(0,L36-L642-L945-L1248),0)</f>
        <v>0</v>
      </c>
    </row>
    <row r="1552" customFormat="false" ht="15" hidden="false" customHeight="false" outlineLevel="0" collapsed="false">
      <c r="B1552" s="108" t="str">
        <f aca="false">'Loan Tape'!$A33</f>
        <v>L-030</v>
      </c>
      <c r="C1552" s="71" t="n">
        <f aca="false">IF(AND('Loan Tape'!$AX33=1,'Loan Tape'!$AW33=1),MAX(0,C37-C643-C946-C1249),0)</f>
        <v>0</v>
      </c>
      <c r="D1552" s="71" t="n">
        <f aca="false">IF(AND('Loan Tape'!$AX33=1,'Loan Tape'!$AW33=2),MAX(0,D37-D643-D946-D1249),0)</f>
        <v>0</v>
      </c>
      <c r="E1552" s="71" t="n">
        <f aca="false">IF(AND('Loan Tape'!$AX33=1,'Loan Tape'!$AW33=3),MAX(0,E37-E643-E946-E1249),0)</f>
        <v>0</v>
      </c>
      <c r="F1552" s="71" t="n">
        <f aca="false">IF(AND('Loan Tape'!$AX33=1,'Loan Tape'!$AW33=4),MAX(0,F37-F643-F946-F1249),0)</f>
        <v>0</v>
      </c>
      <c r="G1552" s="71" t="n">
        <f aca="false">IF(AND('Loan Tape'!$AX33=1,'Loan Tape'!$AW33=5),MAX(0,G37-G643-G946-G1249),0)</f>
        <v>7447202.91733462</v>
      </c>
      <c r="H1552" s="71" t="n">
        <f aca="false">IF(AND('Loan Tape'!$AX33=1,'Loan Tape'!$AW33=6),MAX(0,H37-H643-H946-H1249),0)</f>
        <v>0</v>
      </c>
      <c r="I1552" s="71" t="n">
        <f aca="false">IF(AND('Loan Tape'!$AX33=1,'Loan Tape'!$AW33=7),MAX(0,I37-I643-I946-I1249),0)</f>
        <v>0</v>
      </c>
      <c r="J1552" s="71" t="n">
        <f aca="false">IF(AND('Loan Tape'!$AX33=1,'Loan Tape'!$AW33=8),MAX(0,J37-J643-J946-J1249),0)</f>
        <v>0</v>
      </c>
      <c r="K1552" s="71" t="n">
        <f aca="false">IF(AND('Loan Tape'!$AX33=1,'Loan Tape'!$AW33=9),MAX(0,K37-K643-K946-K1249),0)</f>
        <v>0</v>
      </c>
      <c r="L1552" s="71" t="n">
        <f aca="false">IF(AND('Loan Tape'!$AX33=1,'Loan Tape'!$AW33=10),MAX(0,L37-L643-L946-L1249),0)</f>
        <v>0</v>
      </c>
    </row>
    <row r="1553" customFormat="false" ht="15" hidden="false" customHeight="false" outlineLevel="0" collapsed="false">
      <c r="B1553" s="102" t="str">
        <f aca="false">'Loan Tape'!$A34</f>
        <v>L-031</v>
      </c>
      <c r="C1553" s="99" t="n">
        <f aca="false">IF(AND('Loan Tape'!$AX34=1,'Loan Tape'!$AW34=1),MAX(0,C38-C644-C947-C1250),0)</f>
        <v>0</v>
      </c>
      <c r="D1553" s="99" t="n">
        <f aca="false">IF(AND('Loan Tape'!$AX34=1,'Loan Tape'!$AW34=2),MAX(0,D38-D644-D947-D1250),0)</f>
        <v>9938745.00862423</v>
      </c>
      <c r="E1553" s="99" t="n">
        <f aca="false">IF(AND('Loan Tape'!$AX34=1,'Loan Tape'!$AW34=3),MAX(0,E38-E644-E947-E1250),0)</f>
        <v>0</v>
      </c>
      <c r="F1553" s="99" t="n">
        <f aca="false">IF(AND('Loan Tape'!$AX34=1,'Loan Tape'!$AW34=4),MAX(0,F38-F644-F947-F1250),0)</f>
        <v>0</v>
      </c>
      <c r="G1553" s="99" t="n">
        <f aca="false">IF(AND('Loan Tape'!$AX34=1,'Loan Tape'!$AW34=5),MAX(0,G38-G644-G947-G1250),0)</f>
        <v>0</v>
      </c>
      <c r="H1553" s="99" t="n">
        <f aca="false">IF(AND('Loan Tape'!$AX34=1,'Loan Tape'!$AW34=6),MAX(0,H38-H644-H947-H1250),0)</f>
        <v>0</v>
      </c>
      <c r="I1553" s="99" t="n">
        <f aca="false">IF(AND('Loan Tape'!$AX34=1,'Loan Tape'!$AW34=7),MAX(0,I38-I644-I947-I1250),0)</f>
        <v>0</v>
      </c>
      <c r="J1553" s="99" t="n">
        <f aca="false">IF(AND('Loan Tape'!$AX34=1,'Loan Tape'!$AW34=8),MAX(0,J38-J644-J947-J1250),0)</f>
        <v>0</v>
      </c>
      <c r="K1553" s="99" t="n">
        <f aca="false">IF(AND('Loan Tape'!$AX34=1,'Loan Tape'!$AW34=9),MAX(0,K38-K644-K947-K1250),0)</f>
        <v>0</v>
      </c>
      <c r="L1553" s="99" t="n">
        <f aca="false">IF(AND('Loan Tape'!$AX34=1,'Loan Tape'!$AW34=10),MAX(0,L38-L644-L947-L1250),0)</f>
        <v>0</v>
      </c>
    </row>
    <row r="1554" customFormat="false" ht="15" hidden="false" customHeight="false" outlineLevel="0" collapsed="false">
      <c r="B1554" s="108" t="str">
        <f aca="false">'Loan Tape'!$A35</f>
        <v>L-032</v>
      </c>
      <c r="C1554" s="71" t="n">
        <f aca="false">IF(AND('Loan Tape'!$AX35=1,'Loan Tape'!$AW35=1),MAX(0,C39-C645-C948-C1251),0)</f>
        <v>0</v>
      </c>
      <c r="D1554" s="71" t="n">
        <f aca="false">IF(AND('Loan Tape'!$AX35=1,'Loan Tape'!$AW35=2),MAX(0,D39-D645-D948-D1251),0)</f>
        <v>0</v>
      </c>
      <c r="E1554" s="71" t="n">
        <f aca="false">IF(AND('Loan Tape'!$AX35=1,'Loan Tape'!$AW35=3),MAX(0,E39-E645-E948-E1251),0)</f>
        <v>0</v>
      </c>
      <c r="F1554" s="71" t="n">
        <f aca="false">IF(AND('Loan Tape'!$AX35=1,'Loan Tape'!$AW35=4),MAX(0,F39-F645-F948-F1251),0)</f>
        <v>79340382.3038197</v>
      </c>
      <c r="G1554" s="71" t="n">
        <f aca="false">IF(AND('Loan Tape'!$AX35=1,'Loan Tape'!$AW35=5),MAX(0,G39-G645-G948-G1251),0)</f>
        <v>0</v>
      </c>
      <c r="H1554" s="71" t="n">
        <f aca="false">IF(AND('Loan Tape'!$AX35=1,'Loan Tape'!$AW35=6),MAX(0,H39-H645-H948-H1251),0)</f>
        <v>0</v>
      </c>
      <c r="I1554" s="71" t="n">
        <f aca="false">IF(AND('Loan Tape'!$AX35=1,'Loan Tape'!$AW35=7),MAX(0,I39-I645-I948-I1251),0)</f>
        <v>0</v>
      </c>
      <c r="J1554" s="71" t="n">
        <f aca="false">IF(AND('Loan Tape'!$AX35=1,'Loan Tape'!$AW35=8),MAX(0,J39-J645-J948-J1251),0)</f>
        <v>0</v>
      </c>
      <c r="K1554" s="71" t="n">
        <f aca="false">IF(AND('Loan Tape'!$AX35=1,'Loan Tape'!$AW35=9),MAX(0,K39-K645-K948-K1251),0)</f>
        <v>0</v>
      </c>
      <c r="L1554" s="71" t="n">
        <f aca="false">IF(AND('Loan Tape'!$AX35=1,'Loan Tape'!$AW35=10),MAX(0,L39-L645-L948-L1251),0)</f>
        <v>0</v>
      </c>
    </row>
    <row r="1555" customFormat="false" ht="15" hidden="false" customHeight="false" outlineLevel="0" collapsed="false">
      <c r="B1555" s="102" t="str">
        <f aca="false">'Loan Tape'!$A36</f>
        <v>L-033</v>
      </c>
      <c r="C1555" s="99" t="n">
        <f aca="false">IF(AND('Loan Tape'!$AX36=1,'Loan Tape'!$AW36=1),MAX(0,C40-C646-C949-C1252),0)</f>
        <v>43757000</v>
      </c>
      <c r="D1555" s="99" t="n">
        <f aca="false">IF(AND('Loan Tape'!$AX36=1,'Loan Tape'!$AW36=2),MAX(0,D40-D646-D949-D1252),0)</f>
        <v>0</v>
      </c>
      <c r="E1555" s="99" t="n">
        <f aca="false">IF(AND('Loan Tape'!$AX36=1,'Loan Tape'!$AW36=3),MAX(0,E40-E646-E949-E1252),0)</f>
        <v>0</v>
      </c>
      <c r="F1555" s="99" t="n">
        <f aca="false">IF(AND('Loan Tape'!$AX36=1,'Loan Tape'!$AW36=4),MAX(0,F40-F646-F949-F1252),0)</f>
        <v>0</v>
      </c>
      <c r="G1555" s="99" t="n">
        <f aca="false">IF(AND('Loan Tape'!$AX36=1,'Loan Tape'!$AW36=5),MAX(0,G40-G646-G949-G1252),0)</f>
        <v>0</v>
      </c>
      <c r="H1555" s="99" t="n">
        <f aca="false">IF(AND('Loan Tape'!$AX36=1,'Loan Tape'!$AW36=6),MAX(0,H40-H646-H949-H1252),0)</f>
        <v>0</v>
      </c>
      <c r="I1555" s="99" t="n">
        <f aca="false">IF(AND('Loan Tape'!$AX36=1,'Loan Tape'!$AW36=7),MAX(0,I40-I646-I949-I1252),0)</f>
        <v>0</v>
      </c>
      <c r="J1555" s="99" t="n">
        <f aca="false">IF(AND('Loan Tape'!$AX36=1,'Loan Tape'!$AW36=8),MAX(0,J40-J646-J949-J1252),0)</f>
        <v>0</v>
      </c>
      <c r="K1555" s="99" t="n">
        <f aca="false">IF(AND('Loan Tape'!$AX36=1,'Loan Tape'!$AW36=9),MAX(0,K40-K646-K949-K1252),0)</f>
        <v>0</v>
      </c>
      <c r="L1555" s="99" t="n">
        <f aca="false">IF(AND('Loan Tape'!$AX36=1,'Loan Tape'!$AW36=10),MAX(0,L40-L646-L949-L1252),0)</f>
        <v>0</v>
      </c>
    </row>
    <row r="1556" customFormat="false" ht="15" hidden="false" customHeight="false" outlineLevel="0" collapsed="false">
      <c r="B1556" s="108" t="str">
        <f aca="false">'Loan Tape'!$A37</f>
        <v>L-034</v>
      </c>
      <c r="C1556" s="71" t="n">
        <f aca="false">IF(AND('Loan Tape'!$AX37=1,'Loan Tape'!$AW37=1),MAX(0,C41-C647-C950-C1253),0)</f>
        <v>0</v>
      </c>
      <c r="D1556" s="71" t="n">
        <f aca="false">IF(AND('Loan Tape'!$AX37=1,'Loan Tape'!$AW37=2),MAX(0,D41-D647-D950-D1253),0)</f>
        <v>0</v>
      </c>
      <c r="E1556" s="71" t="n">
        <f aca="false">IF(AND('Loan Tape'!$AX37=1,'Loan Tape'!$AW37=3),MAX(0,E41-E647-E950-E1253),0)</f>
        <v>0</v>
      </c>
      <c r="F1556" s="71" t="n">
        <f aca="false">IF(AND('Loan Tape'!$AX37=1,'Loan Tape'!$AW37=4),MAX(0,F41-F647-F950-F1253),0)</f>
        <v>0</v>
      </c>
      <c r="G1556" s="71" t="n">
        <f aca="false">IF(AND('Loan Tape'!$AX37=1,'Loan Tape'!$AW37=5),MAX(0,G41-G647-G950-G1253),0)</f>
        <v>0</v>
      </c>
      <c r="H1556" s="71" t="n">
        <f aca="false">IF(AND('Loan Tape'!$AX37=1,'Loan Tape'!$AW37=6),MAX(0,H41-H647-H950-H1253),0)</f>
        <v>0</v>
      </c>
      <c r="I1556" s="71" t="n">
        <f aca="false">IF(AND('Loan Tape'!$AX37=1,'Loan Tape'!$AW37=7),MAX(0,I41-I647-I950-I1253),0)</f>
        <v>0</v>
      </c>
      <c r="J1556" s="71" t="n">
        <f aca="false">IF(AND('Loan Tape'!$AX37=1,'Loan Tape'!$AW37=8),MAX(0,J41-J647-J950-J1253),0)</f>
        <v>0</v>
      </c>
      <c r="K1556" s="71" t="n">
        <f aca="false">IF(AND('Loan Tape'!$AX37=1,'Loan Tape'!$AW37=9),MAX(0,K41-K647-K950-K1253),0)</f>
        <v>0</v>
      </c>
      <c r="L1556" s="71" t="n">
        <f aca="false">IF(AND('Loan Tape'!$AX37=1,'Loan Tape'!$AW37=10),MAX(0,L41-L647-L950-L1253),0)</f>
        <v>0</v>
      </c>
    </row>
    <row r="1557" customFormat="false" ht="15" hidden="false" customHeight="false" outlineLevel="0" collapsed="false">
      <c r="B1557" s="102" t="str">
        <f aca="false">'Loan Tape'!$A38</f>
        <v>L-035</v>
      </c>
      <c r="C1557" s="99" t="n">
        <f aca="false">IF(AND('Loan Tape'!$AX38=1,'Loan Tape'!$AW38=1),MAX(0,C42-C648-C951-C1254),0)</f>
        <v>0</v>
      </c>
      <c r="D1557" s="99" t="n">
        <f aca="false">IF(AND('Loan Tape'!$AX38=1,'Loan Tape'!$AW38=2),MAX(0,D42-D648-D951-D1254),0)</f>
        <v>0</v>
      </c>
      <c r="E1557" s="99" t="n">
        <f aca="false">IF(AND('Loan Tape'!$AX38=1,'Loan Tape'!$AW38=3),MAX(0,E42-E648-E951-E1254),0)</f>
        <v>43300700.8776955</v>
      </c>
      <c r="F1557" s="99" t="n">
        <f aca="false">IF(AND('Loan Tape'!$AX38=1,'Loan Tape'!$AW38=4),MAX(0,F42-F648-F951-F1254),0)</f>
        <v>0</v>
      </c>
      <c r="G1557" s="99" t="n">
        <f aca="false">IF(AND('Loan Tape'!$AX38=1,'Loan Tape'!$AW38=5),MAX(0,G42-G648-G951-G1254),0)</f>
        <v>0</v>
      </c>
      <c r="H1557" s="99" t="n">
        <f aca="false">IF(AND('Loan Tape'!$AX38=1,'Loan Tape'!$AW38=6),MAX(0,H42-H648-H951-H1254),0)</f>
        <v>0</v>
      </c>
      <c r="I1557" s="99" t="n">
        <f aca="false">IF(AND('Loan Tape'!$AX38=1,'Loan Tape'!$AW38=7),MAX(0,I42-I648-I951-I1254),0)</f>
        <v>0</v>
      </c>
      <c r="J1557" s="99" t="n">
        <f aca="false">IF(AND('Loan Tape'!$AX38=1,'Loan Tape'!$AW38=8),MAX(0,J42-J648-J951-J1254),0)</f>
        <v>0</v>
      </c>
      <c r="K1557" s="99" t="n">
        <f aca="false">IF(AND('Loan Tape'!$AX38=1,'Loan Tape'!$AW38=9),MAX(0,K42-K648-K951-K1254),0)</f>
        <v>0</v>
      </c>
      <c r="L1557" s="99" t="n">
        <f aca="false">IF(AND('Loan Tape'!$AX38=1,'Loan Tape'!$AW38=10),MAX(0,L42-L648-L951-L1254),0)</f>
        <v>0</v>
      </c>
    </row>
    <row r="1558" customFormat="false" ht="15" hidden="false" customHeight="false" outlineLevel="0" collapsed="false">
      <c r="B1558" s="108" t="str">
        <f aca="false">'Loan Tape'!$A39</f>
        <v>L-036</v>
      </c>
      <c r="C1558" s="71" t="n">
        <f aca="false">IF(AND('Loan Tape'!$AX39=1,'Loan Tape'!$AW39=1),MAX(0,C43-C649-C952-C1255),0)</f>
        <v>32742950.0875032</v>
      </c>
      <c r="D1558" s="71" t="n">
        <f aca="false">IF(AND('Loan Tape'!$AX39=1,'Loan Tape'!$AW39=2),MAX(0,D43-D649-D952-D1255),0)</f>
        <v>0</v>
      </c>
      <c r="E1558" s="71" t="n">
        <f aca="false">IF(AND('Loan Tape'!$AX39=1,'Loan Tape'!$AW39=3),MAX(0,E43-E649-E952-E1255),0)</f>
        <v>0</v>
      </c>
      <c r="F1558" s="71" t="n">
        <f aca="false">IF(AND('Loan Tape'!$AX39=1,'Loan Tape'!$AW39=4),MAX(0,F43-F649-F952-F1255),0)</f>
        <v>0</v>
      </c>
      <c r="G1558" s="71" t="n">
        <f aca="false">IF(AND('Loan Tape'!$AX39=1,'Loan Tape'!$AW39=5),MAX(0,G43-G649-G952-G1255),0)</f>
        <v>0</v>
      </c>
      <c r="H1558" s="71" t="n">
        <f aca="false">IF(AND('Loan Tape'!$AX39=1,'Loan Tape'!$AW39=6),MAX(0,H43-H649-H952-H1255),0)</f>
        <v>0</v>
      </c>
      <c r="I1558" s="71" t="n">
        <f aca="false">IF(AND('Loan Tape'!$AX39=1,'Loan Tape'!$AW39=7),MAX(0,I43-I649-I952-I1255),0)</f>
        <v>0</v>
      </c>
      <c r="J1558" s="71" t="n">
        <f aca="false">IF(AND('Loan Tape'!$AX39=1,'Loan Tape'!$AW39=8),MAX(0,J43-J649-J952-J1255),0)</f>
        <v>0</v>
      </c>
      <c r="K1558" s="71" t="n">
        <f aca="false">IF(AND('Loan Tape'!$AX39=1,'Loan Tape'!$AW39=9),MAX(0,K43-K649-K952-K1255),0)</f>
        <v>0</v>
      </c>
      <c r="L1558" s="71" t="n">
        <f aca="false">IF(AND('Loan Tape'!$AX39=1,'Loan Tape'!$AW39=10),MAX(0,L43-L649-L952-L1255),0)</f>
        <v>0</v>
      </c>
    </row>
    <row r="1559" customFormat="false" ht="15" hidden="false" customHeight="false" outlineLevel="0" collapsed="false">
      <c r="B1559" s="102" t="str">
        <f aca="false">'Loan Tape'!$A40</f>
        <v>L-037</v>
      </c>
      <c r="C1559" s="99" t="n">
        <f aca="false">IF(AND('Loan Tape'!$AX40=1,'Loan Tape'!$AW40=1),MAX(0,C44-C650-C953-C1256),0)</f>
        <v>32760000</v>
      </c>
      <c r="D1559" s="99" t="n">
        <f aca="false">IF(AND('Loan Tape'!$AX40=1,'Loan Tape'!$AW40=2),MAX(0,D44-D650-D953-D1256),0)</f>
        <v>0</v>
      </c>
      <c r="E1559" s="99" t="n">
        <f aca="false">IF(AND('Loan Tape'!$AX40=1,'Loan Tape'!$AW40=3),MAX(0,E44-E650-E953-E1256),0)</f>
        <v>0</v>
      </c>
      <c r="F1559" s="99" t="n">
        <f aca="false">IF(AND('Loan Tape'!$AX40=1,'Loan Tape'!$AW40=4),MAX(0,F44-F650-F953-F1256),0)</f>
        <v>0</v>
      </c>
      <c r="G1559" s="99" t="n">
        <f aca="false">IF(AND('Loan Tape'!$AX40=1,'Loan Tape'!$AW40=5),MAX(0,G44-G650-G953-G1256),0)</f>
        <v>0</v>
      </c>
      <c r="H1559" s="99" t="n">
        <f aca="false">IF(AND('Loan Tape'!$AX40=1,'Loan Tape'!$AW40=6),MAX(0,H44-H650-H953-H1256),0)</f>
        <v>0</v>
      </c>
      <c r="I1559" s="99" t="n">
        <f aca="false">IF(AND('Loan Tape'!$AX40=1,'Loan Tape'!$AW40=7),MAX(0,I44-I650-I953-I1256),0)</f>
        <v>0</v>
      </c>
      <c r="J1559" s="99" t="n">
        <f aca="false">IF(AND('Loan Tape'!$AX40=1,'Loan Tape'!$AW40=8),MAX(0,J44-J650-J953-J1256),0)</f>
        <v>0</v>
      </c>
      <c r="K1559" s="99" t="n">
        <f aca="false">IF(AND('Loan Tape'!$AX40=1,'Loan Tape'!$AW40=9),MAX(0,K44-K650-K953-K1256),0)</f>
        <v>0</v>
      </c>
      <c r="L1559" s="99" t="n">
        <f aca="false">IF(AND('Loan Tape'!$AX40=1,'Loan Tape'!$AW40=10),MAX(0,L44-L650-L953-L1256),0)</f>
        <v>0</v>
      </c>
    </row>
    <row r="1560" customFormat="false" ht="15" hidden="false" customHeight="false" outlineLevel="0" collapsed="false">
      <c r="B1560" s="108" t="str">
        <f aca="false">'Loan Tape'!$A41</f>
        <v>L-038</v>
      </c>
      <c r="C1560" s="71" t="n">
        <f aca="false">IF(AND('Loan Tape'!$AX41=1,'Loan Tape'!$AW41=1),MAX(0,C45-C651-C954-C1257),0)</f>
        <v>0</v>
      </c>
      <c r="D1560" s="71" t="n">
        <f aca="false">IF(AND('Loan Tape'!$AX41=1,'Loan Tape'!$AW41=2),MAX(0,D45-D651-D954-D1257),0)</f>
        <v>0</v>
      </c>
      <c r="E1560" s="71" t="n">
        <f aca="false">IF(AND('Loan Tape'!$AX41=1,'Loan Tape'!$AW41=3),MAX(0,E45-E651-E954-E1257),0)</f>
        <v>0</v>
      </c>
      <c r="F1560" s="71" t="n">
        <f aca="false">IF(AND('Loan Tape'!$AX41=1,'Loan Tape'!$AW41=4),MAX(0,F45-F651-F954-F1257),0)</f>
        <v>0</v>
      </c>
      <c r="G1560" s="71" t="n">
        <f aca="false">IF(AND('Loan Tape'!$AX41=1,'Loan Tape'!$AW41=5),MAX(0,G45-G651-G954-G1257),0)</f>
        <v>0</v>
      </c>
      <c r="H1560" s="71" t="n">
        <f aca="false">IF(AND('Loan Tape'!$AX41=1,'Loan Tape'!$AW41=6),MAX(0,H45-H651-H954-H1257),0)</f>
        <v>0</v>
      </c>
      <c r="I1560" s="71" t="n">
        <f aca="false">IF(AND('Loan Tape'!$AX41=1,'Loan Tape'!$AW41=7),MAX(0,I45-I651-I954-I1257),0)</f>
        <v>0</v>
      </c>
      <c r="J1560" s="71" t="n">
        <f aca="false">IF(AND('Loan Tape'!$AX41=1,'Loan Tape'!$AW41=8),MAX(0,J45-J651-J954-J1257),0)</f>
        <v>0</v>
      </c>
      <c r="K1560" s="71" t="n">
        <f aca="false">IF(AND('Loan Tape'!$AX41=1,'Loan Tape'!$AW41=9),MAX(0,K45-K651-K954-K1257),0)</f>
        <v>0</v>
      </c>
      <c r="L1560" s="71" t="n">
        <f aca="false">IF(AND('Loan Tape'!$AX41=1,'Loan Tape'!$AW41=10),MAX(0,L45-L651-L954-L1257),0)</f>
        <v>0</v>
      </c>
    </row>
    <row r="1561" customFormat="false" ht="15" hidden="false" customHeight="false" outlineLevel="0" collapsed="false">
      <c r="B1561" s="102" t="str">
        <f aca="false">'Loan Tape'!$A42</f>
        <v>L-039</v>
      </c>
      <c r="C1561" s="99" t="n">
        <f aca="false">IF(AND('Loan Tape'!$AX42=1,'Loan Tape'!$AW42=1),MAX(0,C46-C652-C955-C1258),0)</f>
        <v>0</v>
      </c>
      <c r="D1561" s="99" t="n">
        <f aca="false">IF(AND('Loan Tape'!$AX42=1,'Loan Tape'!$AW42=2),MAX(0,D46-D652-D955-D1258),0)</f>
        <v>0</v>
      </c>
      <c r="E1561" s="99" t="n">
        <f aca="false">IF(AND('Loan Tape'!$AX42=1,'Loan Tape'!$AW42=3),MAX(0,E46-E652-E955-E1258),0)</f>
        <v>0</v>
      </c>
      <c r="F1561" s="99" t="n">
        <f aca="false">IF(AND('Loan Tape'!$AX42=1,'Loan Tape'!$AW42=4),MAX(0,F46-F652-F955-F1258),0)</f>
        <v>0</v>
      </c>
      <c r="G1561" s="99" t="n">
        <f aca="false">IF(AND('Loan Tape'!$AX42=1,'Loan Tape'!$AW42=5),MAX(0,G46-G652-G955-G1258),0)</f>
        <v>2357985.69392823</v>
      </c>
      <c r="H1561" s="99" t="n">
        <f aca="false">IF(AND('Loan Tape'!$AX42=1,'Loan Tape'!$AW42=6),MAX(0,H46-H652-H955-H1258),0)</f>
        <v>0</v>
      </c>
      <c r="I1561" s="99" t="n">
        <f aca="false">IF(AND('Loan Tape'!$AX42=1,'Loan Tape'!$AW42=7),MAX(0,I46-I652-I955-I1258),0)</f>
        <v>0</v>
      </c>
      <c r="J1561" s="99" t="n">
        <f aca="false">IF(AND('Loan Tape'!$AX42=1,'Loan Tape'!$AW42=8),MAX(0,J46-J652-J955-J1258),0)</f>
        <v>0</v>
      </c>
      <c r="K1561" s="99" t="n">
        <f aca="false">IF(AND('Loan Tape'!$AX42=1,'Loan Tape'!$AW42=9),MAX(0,K46-K652-K955-K1258),0)</f>
        <v>0</v>
      </c>
      <c r="L1561" s="99" t="n">
        <f aca="false">IF(AND('Loan Tape'!$AX42=1,'Loan Tape'!$AW42=10),MAX(0,L46-L652-L955-L1258),0)</f>
        <v>0</v>
      </c>
    </row>
    <row r="1562" customFormat="false" ht="15" hidden="false" customHeight="false" outlineLevel="0" collapsed="false">
      <c r="B1562" s="108" t="str">
        <f aca="false">'Loan Tape'!$A43</f>
        <v>L-040</v>
      </c>
      <c r="C1562" s="71" t="n">
        <f aca="false">IF(AND('Loan Tape'!$AX43=1,'Loan Tape'!$AW43=1),MAX(0,C47-C653-C956-C1259),0)</f>
        <v>0</v>
      </c>
      <c r="D1562" s="71" t="n">
        <f aca="false">IF(AND('Loan Tape'!$AX43=1,'Loan Tape'!$AW43=2),MAX(0,D47-D653-D956-D1259),0)</f>
        <v>0</v>
      </c>
      <c r="E1562" s="71" t="n">
        <f aca="false">IF(AND('Loan Tape'!$AX43=1,'Loan Tape'!$AW43=3),MAX(0,E47-E653-E956-E1259),0)</f>
        <v>54207190.4037666</v>
      </c>
      <c r="F1562" s="71" t="n">
        <f aca="false">IF(AND('Loan Tape'!$AX43=1,'Loan Tape'!$AW43=4),MAX(0,F47-F653-F956-F1259),0)</f>
        <v>0</v>
      </c>
      <c r="G1562" s="71" t="n">
        <f aca="false">IF(AND('Loan Tape'!$AX43=1,'Loan Tape'!$AW43=5),MAX(0,G47-G653-G956-G1259),0)</f>
        <v>0</v>
      </c>
      <c r="H1562" s="71" t="n">
        <f aca="false">IF(AND('Loan Tape'!$AX43=1,'Loan Tape'!$AW43=6),MAX(0,H47-H653-H956-H1259),0)</f>
        <v>0</v>
      </c>
      <c r="I1562" s="71" t="n">
        <f aca="false">IF(AND('Loan Tape'!$AX43=1,'Loan Tape'!$AW43=7),MAX(0,I47-I653-I956-I1259),0)</f>
        <v>0</v>
      </c>
      <c r="J1562" s="71" t="n">
        <f aca="false">IF(AND('Loan Tape'!$AX43=1,'Loan Tape'!$AW43=8),MAX(0,J47-J653-J956-J1259),0)</f>
        <v>0</v>
      </c>
      <c r="K1562" s="71" t="n">
        <f aca="false">IF(AND('Loan Tape'!$AX43=1,'Loan Tape'!$AW43=9),MAX(0,K47-K653-K956-K1259),0)</f>
        <v>0</v>
      </c>
      <c r="L1562" s="71" t="n">
        <f aca="false">IF(AND('Loan Tape'!$AX43=1,'Loan Tape'!$AW43=10),MAX(0,L47-L653-L956-L1259),0)</f>
        <v>0</v>
      </c>
    </row>
    <row r="1563" customFormat="false" ht="15" hidden="false" customHeight="false" outlineLevel="0" collapsed="false">
      <c r="B1563" s="102" t="str">
        <f aca="false">'Loan Tape'!$A44</f>
        <v>L-041</v>
      </c>
      <c r="C1563" s="99" t="n">
        <f aca="false">IF(AND('Loan Tape'!$AX44=1,'Loan Tape'!$AW44=1),MAX(0,C48-C654-C957-C1260),0)</f>
        <v>26325838.8830773</v>
      </c>
      <c r="D1563" s="99" t="n">
        <f aca="false">IF(AND('Loan Tape'!$AX44=1,'Loan Tape'!$AW44=2),MAX(0,D48-D654-D957-D1260),0)</f>
        <v>0</v>
      </c>
      <c r="E1563" s="99" t="n">
        <f aca="false">IF(AND('Loan Tape'!$AX44=1,'Loan Tape'!$AW44=3),MAX(0,E48-E654-E957-E1260),0)</f>
        <v>0</v>
      </c>
      <c r="F1563" s="99" t="n">
        <f aca="false">IF(AND('Loan Tape'!$AX44=1,'Loan Tape'!$AW44=4),MAX(0,F48-F654-F957-F1260),0)</f>
        <v>0</v>
      </c>
      <c r="G1563" s="99" t="n">
        <f aca="false">IF(AND('Loan Tape'!$AX44=1,'Loan Tape'!$AW44=5),MAX(0,G48-G654-G957-G1260),0)</f>
        <v>0</v>
      </c>
      <c r="H1563" s="99" t="n">
        <f aca="false">IF(AND('Loan Tape'!$AX44=1,'Loan Tape'!$AW44=6),MAX(0,H48-H654-H957-H1260),0)</f>
        <v>0</v>
      </c>
      <c r="I1563" s="99" t="n">
        <f aca="false">IF(AND('Loan Tape'!$AX44=1,'Loan Tape'!$AW44=7),MAX(0,I48-I654-I957-I1260),0)</f>
        <v>0</v>
      </c>
      <c r="J1563" s="99" t="n">
        <f aca="false">IF(AND('Loan Tape'!$AX44=1,'Loan Tape'!$AW44=8),MAX(0,J48-J654-J957-J1260),0)</f>
        <v>0</v>
      </c>
      <c r="K1563" s="99" t="n">
        <f aca="false">IF(AND('Loan Tape'!$AX44=1,'Loan Tape'!$AW44=9),MAX(0,K48-K654-K957-K1260),0)</f>
        <v>0</v>
      </c>
      <c r="L1563" s="99" t="n">
        <f aca="false">IF(AND('Loan Tape'!$AX44=1,'Loan Tape'!$AW44=10),MAX(0,L48-L654-L957-L1260),0)</f>
        <v>0</v>
      </c>
    </row>
    <row r="1564" customFormat="false" ht="15" hidden="false" customHeight="false" outlineLevel="0" collapsed="false">
      <c r="B1564" s="108" t="str">
        <f aca="false">'Loan Tape'!$A45</f>
        <v>L-042</v>
      </c>
      <c r="C1564" s="71" t="n">
        <f aca="false">IF(AND('Loan Tape'!$AX45=1,'Loan Tape'!$AW45=1),MAX(0,C49-C655-C958-C1261),0)</f>
        <v>0</v>
      </c>
      <c r="D1564" s="71" t="n">
        <f aca="false">IF(AND('Loan Tape'!$AX45=1,'Loan Tape'!$AW45=2),MAX(0,D49-D655-D958-D1261),0)</f>
        <v>0</v>
      </c>
      <c r="E1564" s="71" t="n">
        <f aca="false">IF(AND('Loan Tape'!$AX45=1,'Loan Tape'!$AW45=3),MAX(0,E49-E655-E958-E1261),0)</f>
        <v>3403717.16866945</v>
      </c>
      <c r="F1564" s="71" t="n">
        <f aca="false">IF(AND('Loan Tape'!$AX45=1,'Loan Tape'!$AW45=4),MAX(0,F49-F655-F958-F1261),0)</f>
        <v>0</v>
      </c>
      <c r="G1564" s="71" t="n">
        <f aca="false">IF(AND('Loan Tape'!$AX45=1,'Loan Tape'!$AW45=5),MAX(0,G49-G655-G958-G1261),0)</f>
        <v>0</v>
      </c>
      <c r="H1564" s="71" t="n">
        <f aca="false">IF(AND('Loan Tape'!$AX45=1,'Loan Tape'!$AW45=6),MAX(0,H49-H655-H958-H1261),0)</f>
        <v>0</v>
      </c>
      <c r="I1564" s="71" t="n">
        <f aca="false">IF(AND('Loan Tape'!$AX45=1,'Loan Tape'!$AW45=7),MAX(0,I49-I655-I958-I1261),0)</f>
        <v>0</v>
      </c>
      <c r="J1564" s="71" t="n">
        <f aca="false">IF(AND('Loan Tape'!$AX45=1,'Loan Tape'!$AW45=8),MAX(0,J49-J655-J958-J1261),0)</f>
        <v>0</v>
      </c>
      <c r="K1564" s="71" t="n">
        <f aca="false">IF(AND('Loan Tape'!$AX45=1,'Loan Tape'!$AW45=9),MAX(0,K49-K655-K958-K1261),0)</f>
        <v>0</v>
      </c>
      <c r="L1564" s="71" t="n">
        <f aca="false">IF(AND('Loan Tape'!$AX45=1,'Loan Tape'!$AW45=10),MAX(0,L49-L655-L958-L1261),0)</f>
        <v>0</v>
      </c>
    </row>
    <row r="1565" customFormat="false" ht="15" hidden="false" customHeight="false" outlineLevel="0" collapsed="false">
      <c r="B1565" s="102" t="str">
        <f aca="false">'Loan Tape'!$A46</f>
        <v>L-043</v>
      </c>
      <c r="C1565" s="99" t="n">
        <f aca="false">IF(AND('Loan Tape'!$AX46=1,'Loan Tape'!$AW46=1),MAX(0,C50-C656-C959-C1262),0)</f>
        <v>0</v>
      </c>
      <c r="D1565" s="99" t="n">
        <f aca="false">IF(AND('Loan Tape'!$AX46=1,'Loan Tape'!$AW46=2),MAX(0,D50-D656-D959-D1262),0)</f>
        <v>0</v>
      </c>
      <c r="E1565" s="99" t="n">
        <f aca="false">IF(AND('Loan Tape'!$AX46=1,'Loan Tape'!$AW46=3),MAX(0,E50-E656-E959-E1262),0)</f>
        <v>0</v>
      </c>
      <c r="F1565" s="99" t="n">
        <f aca="false">IF(AND('Loan Tape'!$AX46=1,'Loan Tape'!$AW46=4),MAX(0,F50-F656-F959-F1262),0)</f>
        <v>5251297.10366525</v>
      </c>
      <c r="G1565" s="99" t="n">
        <f aca="false">IF(AND('Loan Tape'!$AX46=1,'Loan Tape'!$AW46=5),MAX(0,G50-G656-G959-G1262),0)</f>
        <v>0</v>
      </c>
      <c r="H1565" s="99" t="n">
        <f aca="false">IF(AND('Loan Tape'!$AX46=1,'Loan Tape'!$AW46=6),MAX(0,H50-H656-H959-H1262),0)</f>
        <v>0</v>
      </c>
      <c r="I1565" s="99" t="n">
        <f aca="false">IF(AND('Loan Tape'!$AX46=1,'Loan Tape'!$AW46=7),MAX(0,I50-I656-I959-I1262),0)</f>
        <v>0</v>
      </c>
      <c r="J1565" s="99" t="n">
        <f aca="false">IF(AND('Loan Tape'!$AX46=1,'Loan Tape'!$AW46=8),MAX(0,J50-J656-J959-J1262),0)</f>
        <v>0</v>
      </c>
      <c r="K1565" s="99" t="n">
        <f aca="false">IF(AND('Loan Tape'!$AX46=1,'Loan Tape'!$AW46=9),MAX(0,K50-K656-K959-K1262),0)</f>
        <v>0</v>
      </c>
      <c r="L1565" s="99" t="n">
        <f aca="false">IF(AND('Loan Tape'!$AX46=1,'Loan Tape'!$AW46=10),MAX(0,L50-L656-L959-L1262),0)</f>
        <v>0</v>
      </c>
    </row>
    <row r="1566" customFormat="false" ht="15" hidden="false" customHeight="false" outlineLevel="0" collapsed="false">
      <c r="B1566" s="108" t="str">
        <f aca="false">'Loan Tape'!$A47</f>
        <v>L-044</v>
      </c>
      <c r="C1566" s="71" t="n">
        <f aca="false">IF(AND('Loan Tape'!$AX47=1,'Loan Tape'!$AW47=1),MAX(0,C51-C657-C960-C1263),0)</f>
        <v>68007586.1264132</v>
      </c>
      <c r="D1566" s="71" t="n">
        <f aca="false">IF(AND('Loan Tape'!$AX47=1,'Loan Tape'!$AW47=2),MAX(0,D51-D657-D960-D1263),0)</f>
        <v>0</v>
      </c>
      <c r="E1566" s="71" t="n">
        <f aca="false">IF(AND('Loan Tape'!$AX47=1,'Loan Tape'!$AW47=3),MAX(0,E51-E657-E960-E1263),0)</f>
        <v>0</v>
      </c>
      <c r="F1566" s="71" t="n">
        <f aca="false">IF(AND('Loan Tape'!$AX47=1,'Loan Tape'!$AW47=4),MAX(0,F51-F657-F960-F1263),0)</f>
        <v>0</v>
      </c>
      <c r="G1566" s="71" t="n">
        <f aca="false">IF(AND('Loan Tape'!$AX47=1,'Loan Tape'!$AW47=5),MAX(0,G51-G657-G960-G1263),0)</f>
        <v>0</v>
      </c>
      <c r="H1566" s="71" t="n">
        <f aca="false">IF(AND('Loan Tape'!$AX47=1,'Loan Tape'!$AW47=6),MAX(0,H51-H657-H960-H1263),0)</f>
        <v>0</v>
      </c>
      <c r="I1566" s="71" t="n">
        <f aca="false">IF(AND('Loan Tape'!$AX47=1,'Loan Tape'!$AW47=7),MAX(0,I51-I657-I960-I1263),0)</f>
        <v>0</v>
      </c>
      <c r="J1566" s="71" t="n">
        <f aca="false">IF(AND('Loan Tape'!$AX47=1,'Loan Tape'!$AW47=8),MAX(0,J51-J657-J960-J1263),0)</f>
        <v>0</v>
      </c>
      <c r="K1566" s="71" t="n">
        <f aca="false">IF(AND('Loan Tape'!$AX47=1,'Loan Tape'!$AW47=9),MAX(0,K51-K657-K960-K1263),0)</f>
        <v>0</v>
      </c>
      <c r="L1566" s="71" t="n">
        <f aca="false">IF(AND('Loan Tape'!$AX47=1,'Loan Tape'!$AW47=10),MAX(0,L51-L657-L960-L1263),0)</f>
        <v>0</v>
      </c>
    </row>
    <row r="1567" customFormat="false" ht="15" hidden="false" customHeight="false" outlineLevel="0" collapsed="false">
      <c r="B1567" s="102" t="str">
        <f aca="false">'Loan Tape'!$A48</f>
        <v>L-045</v>
      </c>
      <c r="C1567" s="99" t="n">
        <f aca="false">IF(AND('Loan Tape'!$AX48=1,'Loan Tape'!$AW48=1),MAX(0,C52-C658-C961-C1264),0)</f>
        <v>0</v>
      </c>
      <c r="D1567" s="99" t="n">
        <f aca="false">IF(AND('Loan Tape'!$AX48=1,'Loan Tape'!$AW48=2),MAX(0,D52-D658-D961-D1264),0)</f>
        <v>0</v>
      </c>
      <c r="E1567" s="99" t="n">
        <f aca="false">IF(AND('Loan Tape'!$AX48=1,'Loan Tape'!$AW48=3),MAX(0,E52-E658-E961-E1264),0)</f>
        <v>0</v>
      </c>
      <c r="F1567" s="99" t="n">
        <f aca="false">IF(AND('Loan Tape'!$AX48=1,'Loan Tape'!$AW48=4),MAX(0,F52-F658-F961-F1264),0)</f>
        <v>0</v>
      </c>
      <c r="G1567" s="99" t="n">
        <f aca="false">IF(AND('Loan Tape'!$AX48=1,'Loan Tape'!$AW48=5),MAX(0,G52-G658-G961-G1264),0)</f>
        <v>0</v>
      </c>
      <c r="H1567" s="99" t="n">
        <f aca="false">IF(AND('Loan Tape'!$AX48=1,'Loan Tape'!$AW48=6),MAX(0,H52-H658-H961-H1264),0)</f>
        <v>0</v>
      </c>
      <c r="I1567" s="99" t="n">
        <f aca="false">IF(AND('Loan Tape'!$AX48=1,'Loan Tape'!$AW48=7),MAX(0,I52-I658-I961-I1264),0)</f>
        <v>0</v>
      </c>
      <c r="J1567" s="99" t="n">
        <f aca="false">IF(AND('Loan Tape'!$AX48=1,'Loan Tape'!$AW48=8),MAX(0,J52-J658-J961-J1264),0)</f>
        <v>0</v>
      </c>
      <c r="K1567" s="99" t="n">
        <f aca="false">IF(AND('Loan Tape'!$AX48=1,'Loan Tape'!$AW48=9),MAX(0,K52-K658-K961-K1264),0)</f>
        <v>0</v>
      </c>
      <c r="L1567" s="99" t="n">
        <f aca="false">IF(AND('Loan Tape'!$AX48=1,'Loan Tape'!$AW48=10),MAX(0,L52-L658-L961-L1264),0)</f>
        <v>0</v>
      </c>
    </row>
    <row r="1568" customFormat="false" ht="15" hidden="false" customHeight="false" outlineLevel="0" collapsed="false">
      <c r="B1568" s="108" t="str">
        <f aca="false">'Loan Tape'!$A49</f>
        <v>L-046</v>
      </c>
      <c r="C1568" s="71" t="n">
        <f aca="false">IF(AND('Loan Tape'!$AX49=1,'Loan Tape'!$AW49=1),MAX(0,C53-C659-C962-C1265),0)</f>
        <v>97060181.4810622</v>
      </c>
      <c r="D1568" s="71" t="n">
        <f aca="false">IF(AND('Loan Tape'!$AX49=1,'Loan Tape'!$AW49=2),MAX(0,D53-D659-D962-D1265),0)</f>
        <v>0</v>
      </c>
      <c r="E1568" s="71" t="n">
        <f aca="false">IF(AND('Loan Tape'!$AX49=1,'Loan Tape'!$AW49=3),MAX(0,E53-E659-E962-E1265),0)</f>
        <v>0</v>
      </c>
      <c r="F1568" s="71" t="n">
        <f aca="false">IF(AND('Loan Tape'!$AX49=1,'Loan Tape'!$AW49=4),MAX(0,F53-F659-F962-F1265),0)</f>
        <v>0</v>
      </c>
      <c r="G1568" s="71" t="n">
        <f aca="false">IF(AND('Loan Tape'!$AX49=1,'Loan Tape'!$AW49=5),MAX(0,G53-G659-G962-G1265),0)</f>
        <v>0</v>
      </c>
      <c r="H1568" s="71" t="n">
        <f aca="false">IF(AND('Loan Tape'!$AX49=1,'Loan Tape'!$AW49=6),MAX(0,H53-H659-H962-H1265),0)</f>
        <v>0</v>
      </c>
      <c r="I1568" s="71" t="n">
        <f aca="false">IF(AND('Loan Tape'!$AX49=1,'Loan Tape'!$AW49=7),MAX(0,I53-I659-I962-I1265),0)</f>
        <v>0</v>
      </c>
      <c r="J1568" s="71" t="n">
        <f aca="false">IF(AND('Loan Tape'!$AX49=1,'Loan Tape'!$AW49=8),MAX(0,J53-J659-J962-J1265),0)</f>
        <v>0</v>
      </c>
      <c r="K1568" s="71" t="n">
        <f aca="false">IF(AND('Loan Tape'!$AX49=1,'Loan Tape'!$AW49=9),MAX(0,K53-K659-K962-K1265),0)</f>
        <v>0</v>
      </c>
      <c r="L1568" s="71" t="n">
        <f aca="false">IF(AND('Loan Tape'!$AX49=1,'Loan Tape'!$AW49=10),MAX(0,L53-L659-L962-L1265),0)</f>
        <v>0</v>
      </c>
    </row>
    <row r="1569" customFormat="false" ht="15" hidden="false" customHeight="false" outlineLevel="0" collapsed="false">
      <c r="B1569" s="102" t="str">
        <f aca="false">'Loan Tape'!$A50</f>
        <v>L-047</v>
      </c>
      <c r="C1569" s="99" t="n">
        <f aca="false">IF(AND('Loan Tape'!$AX50=1,'Loan Tape'!$AW50=1),MAX(0,C54-C660-C963-C1266),0)</f>
        <v>0</v>
      </c>
      <c r="D1569" s="99" t="n">
        <f aca="false">IF(AND('Loan Tape'!$AX50=1,'Loan Tape'!$AW50=2),MAX(0,D54-D660-D963-D1266),0)</f>
        <v>0</v>
      </c>
      <c r="E1569" s="99" t="n">
        <f aca="false">IF(AND('Loan Tape'!$AX50=1,'Loan Tape'!$AW50=3),MAX(0,E54-E660-E963-E1266),0)</f>
        <v>0</v>
      </c>
      <c r="F1569" s="99" t="n">
        <f aca="false">IF(AND('Loan Tape'!$AX50=1,'Loan Tape'!$AW50=4),MAX(0,F54-F660-F963-F1266),0)</f>
        <v>3368093.66731959</v>
      </c>
      <c r="G1569" s="99" t="n">
        <f aca="false">IF(AND('Loan Tape'!$AX50=1,'Loan Tape'!$AW50=5),MAX(0,G54-G660-G963-G1266),0)</f>
        <v>0</v>
      </c>
      <c r="H1569" s="99" t="n">
        <f aca="false">IF(AND('Loan Tape'!$AX50=1,'Loan Tape'!$AW50=6),MAX(0,H54-H660-H963-H1266),0)</f>
        <v>0</v>
      </c>
      <c r="I1569" s="99" t="n">
        <f aca="false">IF(AND('Loan Tape'!$AX50=1,'Loan Tape'!$AW50=7),MAX(0,I54-I660-I963-I1266),0)</f>
        <v>0</v>
      </c>
      <c r="J1569" s="99" t="n">
        <f aca="false">IF(AND('Loan Tape'!$AX50=1,'Loan Tape'!$AW50=8),MAX(0,J54-J660-J963-J1266),0)</f>
        <v>0</v>
      </c>
      <c r="K1569" s="99" t="n">
        <f aca="false">IF(AND('Loan Tape'!$AX50=1,'Loan Tape'!$AW50=9),MAX(0,K54-K660-K963-K1266),0)</f>
        <v>0</v>
      </c>
      <c r="L1569" s="99" t="n">
        <f aca="false">IF(AND('Loan Tape'!$AX50=1,'Loan Tape'!$AW50=10),MAX(0,L54-L660-L963-L1266),0)</f>
        <v>0</v>
      </c>
    </row>
    <row r="1570" customFormat="false" ht="15" hidden="false" customHeight="false" outlineLevel="0" collapsed="false">
      <c r="B1570" s="108" t="str">
        <f aca="false">'Loan Tape'!$A51</f>
        <v>L-048</v>
      </c>
      <c r="C1570" s="71" t="n">
        <f aca="false">IF(AND('Loan Tape'!$AX51=1,'Loan Tape'!$AW51=1),MAX(0,C55-C661-C964-C1267),0)</f>
        <v>0</v>
      </c>
      <c r="D1570" s="71" t="n">
        <f aca="false">IF(AND('Loan Tape'!$AX51=1,'Loan Tape'!$AW51=2),MAX(0,D55-D661-D964-D1267),0)</f>
        <v>77611066.0128345</v>
      </c>
      <c r="E1570" s="71" t="n">
        <f aca="false">IF(AND('Loan Tape'!$AX51=1,'Loan Tape'!$AW51=3),MAX(0,E55-E661-E964-E1267),0)</f>
        <v>0</v>
      </c>
      <c r="F1570" s="71" t="n">
        <f aca="false">IF(AND('Loan Tape'!$AX51=1,'Loan Tape'!$AW51=4),MAX(0,F55-F661-F964-F1267),0)</f>
        <v>0</v>
      </c>
      <c r="G1570" s="71" t="n">
        <f aca="false">IF(AND('Loan Tape'!$AX51=1,'Loan Tape'!$AW51=5),MAX(0,G55-G661-G964-G1267),0)</f>
        <v>0</v>
      </c>
      <c r="H1570" s="71" t="n">
        <f aca="false">IF(AND('Loan Tape'!$AX51=1,'Loan Tape'!$AW51=6),MAX(0,H55-H661-H964-H1267),0)</f>
        <v>0</v>
      </c>
      <c r="I1570" s="71" t="n">
        <f aca="false">IF(AND('Loan Tape'!$AX51=1,'Loan Tape'!$AW51=7),MAX(0,I55-I661-I964-I1267),0)</f>
        <v>0</v>
      </c>
      <c r="J1570" s="71" t="n">
        <f aca="false">IF(AND('Loan Tape'!$AX51=1,'Loan Tape'!$AW51=8),MAX(0,J55-J661-J964-J1267),0)</f>
        <v>0</v>
      </c>
      <c r="K1570" s="71" t="n">
        <f aca="false">IF(AND('Loan Tape'!$AX51=1,'Loan Tape'!$AW51=9),MAX(0,K55-K661-K964-K1267),0)</f>
        <v>0</v>
      </c>
      <c r="L1570" s="71" t="n">
        <f aca="false">IF(AND('Loan Tape'!$AX51=1,'Loan Tape'!$AW51=10),MAX(0,L55-L661-L964-L1267),0)</f>
        <v>0</v>
      </c>
    </row>
    <row r="1571" customFormat="false" ht="15" hidden="false" customHeight="false" outlineLevel="0" collapsed="false">
      <c r="B1571" s="102" t="str">
        <f aca="false">'Loan Tape'!$A52</f>
        <v>L-049</v>
      </c>
      <c r="C1571" s="99" t="n">
        <f aca="false">IF(AND('Loan Tape'!$AX52=1,'Loan Tape'!$AW52=1),MAX(0,C56-C662-C965-C1268),0)</f>
        <v>52022000</v>
      </c>
      <c r="D1571" s="99" t="n">
        <f aca="false">IF(AND('Loan Tape'!$AX52=1,'Loan Tape'!$AW52=2),MAX(0,D56-D662-D965-D1268),0)</f>
        <v>0</v>
      </c>
      <c r="E1571" s="99" t="n">
        <f aca="false">IF(AND('Loan Tape'!$AX52=1,'Loan Tape'!$AW52=3),MAX(0,E56-E662-E965-E1268),0)</f>
        <v>0</v>
      </c>
      <c r="F1571" s="99" t="n">
        <f aca="false">IF(AND('Loan Tape'!$AX52=1,'Loan Tape'!$AW52=4),MAX(0,F56-F662-F965-F1268),0)</f>
        <v>0</v>
      </c>
      <c r="G1571" s="99" t="n">
        <f aca="false">IF(AND('Loan Tape'!$AX52=1,'Loan Tape'!$AW52=5),MAX(0,G56-G662-G965-G1268),0)</f>
        <v>0</v>
      </c>
      <c r="H1571" s="99" t="n">
        <f aca="false">IF(AND('Loan Tape'!$AX52=1,'Loan Tape'!$AW52=6),MAX(0,H56-H662-H965-H1268),0)</f>
        <v>0</v>
      </c>
      <c r="I1571" s="99" t="n">
        <f aca="false">IF(AND('Loan Tape'!$AX52=1,'Loan Tape'!$AW52=7),MAX(0,I56-I662-I965-I1268),0)</f>
        <v>0</v>
      </c>
      <c r="J1571" s="99" t="n">
        <f aca="false">IF(AND('Loan Tape'!$AX52=1,'Loan Tape'!$AW52=8),MAX(0,J56-J662-J965-J1268),0)</f>
        <v>0</v>
      </c>
      <c r="K1571" s="99" t="n">
        <f aca="false">IF(AND('Loan Tape'!$AX52=1,'Loan Tape'!$AW52=9),MAX(0,K56-K662-K965-K1268),0)</f>
        <v>0</v>
      </c>
      <c r="L1571" s="99" t="n">
        <f aca="false">IF(AND('Loan Tape'!$AX52=1,'Loan Tape'!$AW52=10),MAX(0,L56-L662-L965-L1268),0)</f>
        <v>0</v>
      </c>
    </row>
    <row r="1572" customFormat="false" ht="15" hidden="false" customHeight="false" outlineLevel="0" collapsed="false">
      <c r="B1572" s="108" t="str">
        <f aca="false">'Loan Tape'!$A53</f>
        <v>L-050</v>
      </c>
      <c r="C1572" s="71" t="n">
        <f aca="false">IF(AND('Loan Tape'!$AX53=1,'Loan Tape'!$AW53=1),MAX(0,C57-C663-C966-C1269),0)</f>
        <v>0</v>
      </c>
      <c r="D1572" s="71" t="n">
        <f aca="false">IF(AND('Loan Tape'!$AX53=1,'Loan Tape'!$AW53=2),MAX(0,D57-D663-D966-D1269),0)</f>
        <v>0</v>
      </c>
      <c r="E1572" s="71" t="n">
        <f aca="false">IF(AND('Loan Tape'!$AX53=1,'Loan Tape'!$AW53=3),MAX(0,E57-E663-E966-E1269),0)</f>
        <v>85678493.2313101</v>
      </c>
      <c r="F1572" s="71" t="n">
        <f aca="false">IF(AND('Loan Tape'!$AX53=1,'Loan Tape'!$AW53=4),MAX(0,F57-F663-F966-F1269),0)</f>
        <v>0</v>
      </c>
      <c r="G1572" s="71" t="n">
        <f aca="false">IF(AND('Loan Tape'!$AX53=1,'Loan Tape'!$AW53=5),MAX(0,G57-G663-G966-G1269),0)</f>
        <v>0</v>
      </c>
      <c r="H1572" s="71" t="n">
        <f aca="false">IF(AND('Loan Tape'!$AX53=1,'Loan Tape'!$AW53=6),MAX(0,H57-H663-H966-H1269),0)</f>
        <v>0</v>
      </c>
      <c r="I1572" s="71" t="n">
        <f aca="false">IF(AND('Loan Tape'!$AX53=1,'Loan Tape'!$AW53=7),MAX(0,I57-I663-I966-I1269),0)</f>
        <v>0</v>
      </c>
      <c r="J1572" s="71" t="n">
        <f aca="false">IF(AND('Loan Tape'!$AX53=1,'Loan Tape'!$AW53=8),MAX(0,J57-J663-J966-J1269),0)</f>
        <v>0</v>
      </c>
      <c r="K1572" s="71" t="n">
        <f aca="false">IF(AND('Loan Tape'!$AX53=1,'Loan Tape'!$AW53=9),MAX(0,K57-K663-K966-K1269),0)</f>
        <v>0</v>
      </c>
      <c r="L1572" s="71" t="n">
        <f aca="false">IF(AND('Loan Tape'!$AX53=1,'Loan Tape'!$AW53=10),MAX(0,L57-L663-L966-L1269),0)</f>
        <v>0</v>
      </c>
    </row>
    <row r="1573" customFormat="false" ht="15" hidden="false" customHeight="false" outlineLevel="0" collapsed="false">
      <c r="B1573" s="102" t="n">
        <f aca="false">'Loan Tape'!$A54</f>
        <v>0</v>
      </c>
      <c r="C1573" s="99" t="n">
        <f aca="false">IF(AND('Loan Tape'!$AX54=1,'Loan Tape'!$AW54=1),MAX(0,C58-C664-C967-C1270),0)</f>
        <v>0</v>
      </c>
      <c r="D1573" s="99" t="n">
        <f aca="false">IF(AND('Loan Tape'!$AX54=1,'Loan Tape'!$AW54=2),MAX(0,D58-D664-D967-D1270),0)</f>
        <v>0</v>
      </c>
      <c r="E1573" s="99" t="n">
        <f aca="false">IF(AND('Loan Tape'!$AX54=1,'Loan Tape'!$AW54=3),MAX(0,E58-E664-E967-E1270),0)</f>
        <v>0</v>
      </c>
      <c r="F1573" s="99" t="n">
        <f aca="false">IF(AND('Loan Tape'!$AX54=1,'Loan Tape'!$AW54=4),MAX(0,F58-F664-F967-F1270),0)</f>
        <v>0</v>
      </c>
      <c r="G1573" s="99" t="n">
        <f aca="false">IF(AND('Loan Tape'!$AX54=1,'Loan Tape'!$AW54=5),MAX(0,G58-G664-G967-G1270),0)</f>
        <v>0</v>
      </c>
      <c r="H1573" s="99" t="n">
        <f aca="false">IF(AND('Loan Tape'!$AX54=1,'Loan Tape'!$AW54=6),MAX(0,H58-H664-H967-H1270),0)</f>
        <v>0</v>
      </c>
      <c r="I1573" s="99" t="n">
        <f aca="false">IF(AND('Loan Tape'!$AX54=1,'Loan Tape'!$AW54=7),MAX(0,I58-I664-I967-I1270),0)</f>
        <v>0</v>
      </c>
      <c r="J1573" s="99" t="n">
        <f aca="false">IF(AND('Loan Tape'!$AX54=1,'Loan Tape'!$AW54=8),MAX(0,J58-J664-J967-J1270),0)</f>
        <v>0</v>
      </c>
      <c r="K1573" s="99" t="n">
        <f aca="false">IF(AND('Loan Tape'!$AX54=1,'Loan Tape'!$AW54=9),MAX(0,K58-K664-K967-K1270),0)</f>
        <v>0</v>
      </c>
      <c r="L1573" s="99" t="n">
        <f aca="false">IF(AND('Loan Tape'!$AX54=1,'Loan Tape'!$AW54=10),MAX(0,L58-L664-L967-L1270),0)</f>
        <v>0</v>
      </c>
    </row>
    <row r="1574" customFormat="false" ht="15" hidden="false" customHeight="false" outlineLevel="0" collapsed="false">
      <c r="B1574" s="108" t="n">
        <f aca="false">'Loan Tape'!$A55</f>
        <v>0</v>
      </c>
      <c r="C1574" s="71" t="n">
        <f aca="false">IF(AND('Loan Tape'!$AX55=1,'Loan Tape'!$AW55=1),MAX(0,C59-C665-C968-C1271),0)</f>
        <v>0</v>
      </c>
      <c r="D1574" s="71" t="n">
        <f aca="false">IF(AND('Loan Tape'!$AX55=1,'Loan Tape'!$AW55=2),MAX(0,D59-D665-D968-D1271),0)</f>
        <v>0</v>
      </c>
      <c r="E1574" s="71" t="n">
        <f aca="false">IF(AND('Loan Tape'!$AX55=1,'Loan Tape'!$AW55=3),MAX(0,E59-E665-E968-E1271),0)</f>
        <v>0</v>
      </c>
      <c r="F1574" s="71" t="n">
        <f aca="false">IF(AND('Loan Tape'!$AX55=1,'Loan Tape'!$AW55=4),MAX(0,F59-F665-F968-F1271),0)</f>
        <v>0</v>
      </c>
      <c r="G1574" s="71" t="n">
        <f aca="false">IF(AND('Loan Tape'!$AX55=1,'Loan Tape'!$AW55=5),MAX(0,G59-G665-G968-G1271),0)</f>
        <v>0</v>
      </c>
      <c r="H1574" s="71" t="n">
        <f aca="false">IF(AND('Loan Tape'!$AX55=1,'Loan Tape'!$AW55=6),MAX(0,H59-H665-H968-H1271),0)</f>
        <v>0</v>
      </c>
      <c r="I1574" s="71" t="n">
        <f aca="false">IF(AND('Loan Tape'!$AX55=1,'Loan Tape'!$AW55=7),MAX(0,I59-I665-I968-I1271),0)</f>
        <v>0</v>
      </c>
      <c r="J1574" s="71" t="n">
        <f aca="false">IF(AND('Loan Tape'!$AX55=1,'Loan Tape'!$AW55=8),MAX(0,J59-J665-J968-J1271),0)</f>
        <v>0</v>
      </c>
      <c r="K1574" s="71" t="n">
        <f aca="false">IF(AND('Loan Tape'!$AX55=1,'Loan Tape'!$AW55=9),MAX(0,K59-K665-K968-K1271),0)</f>
        <v>0</v>
      </c>
      <c r="L1574" s="71" t="n">
        <f aca="false">IF(AND('Loan Tape'!$AX55=1,'Loan Tape'!$AW55=10),MAX(0,L59-L665-L968-L1271),0)</f>
        <v>0</v>
      </c>
    </row>
    <row r="1575" customFormat="false" ht="15" hidden="false" customHeight="false" outlineLevel="0" collapsed="false">
      <c r="B1575" s="102" t="n">
        <f aca="false">'Loan Tape'!$A56</f>
        <v>0</v>
      </c>
      <c r="C1575" s="99" t="n">
        <f aca="false">IF(AND('Loan Tape'!$AX56=1,'Loan Tape'!$AW56=1),MAX(0,C60-C666-C969-C1272),0)</f>
        <v>0</v>
      </c>
      <c r="D1575" s="99" t="n">
        <f aca="false">IF(AND('Loan Tape'!$AX56=1,'Loan Tape'!$AW56=2),MAX(0,D60-D666-D969-D1272),0)</f>
        <v>0</v>
      </c>
      <c r="E1575" s="99" t="n">
        <f aca="false">IF(AND('Loan Tape'!$AX56=1,'Loan Tape'!$AW56=3),MAX(0,E60-E666-E969-E1272),0)</f>
        <v>0</v>
      </c>
      <c r="F1575" s="99" t="n">
        <f aca="false">IF(AND('Loan Tape'!$AX56=1,'Loan Tape'!$AW56=4),MAX(0,F60-F666-F969-F1272),0)</f>
        <v>0</v>
      </c>
      <c r="G1575" s="99" t="n">
        <f aca="false">IF(AND('Loan Tape'!$AX56=1,'Loan Tape'!$AW56=5),MAX(0,G60-G666-G969-G1272),0)</f>
        <v>0</v>
      </c>
      <c r="H1575" s="99" t="n">
        <f aca="false">IF(AND('Loan Tape'!$AX56=1,'Loan Tape'!$AW56=6),MAX(0,H60-H666-H969-H1272),0)</f>
        <v>0</v>
      </c>
      <c r="I1575" s="99" t="n">
        <f aca="false">IF(AND('Loan Tape'!$AX56=1,'Loan Tape'!$AW56=7),MAX(0,I60-I666-I969-I1272),0)</f>
        <v>0</v>
      </c>
      <c r="J1575" s="99" t="n">
        <f aca="false">IF(AND('Loan Tape'!$AX56=1,'Loan Tape'!$AW56=8),MAX(0,J60-J666-J969-J1272),0)</f>
        <v>0</v>
      </c>
      <c r="K1575" s="99" t="n">
        <f aca="false">IF(AND('Loan Tape'!$AX56=1,'Loan Tape'!$AW56=9),MAX(0,K60-K666-K969-K1272),0)</f>
        <v>0</v>
      </c>
      <c r="L1575" s="99" t="n">
        <f aca="false">IF(AND('Loan Tape'!$AX56=1,'Loan Tape'!$AW56=10),MAX(0,L60-L666-L969-L1272),0)</f>
        <v>0</v>
      </c>
    </row>
    <row r="1576" customFormat="false" ht="15" hidden="false" customHeight="false" outlineLevel="0" collapsed="false">
      <c r="B1576" s="108" t="n">
        <f aca="false">'Loan Tape'!$A57</f>
        <v>0</v>
      </c>
      <c r="C1576" s="71" t="n">
        <f aca="false">IF(AND('Loan Tape'!$AX57=1,'Loan Tape'!$AW57=1),MAX(0,C61-C667-C970-C1273),0)</f>
        <v>0</v>
      </c>
      <c r="D1576" s="71" t="n">
        <f aca="false">IF(AND('Loan Tape'!$AX57=1,'Loan Tape'!$AW57=2),MAX(0,D61-D667-D970-D1273),0)</f>
        <v>0</v>
      </c>
      <c r="E1576" s="71" t="n">
        <f aca="false">IF(AND('Loan Tape'!$AX57=1,'Loan Tape'!$AW57=3),MAX(0,E61-E667-E970-E1273),0)</f>
        <v>0</v>
      </c>
      <c r="F1576" s="71" t="n">
        <f aca="false">IF(AND('Loan Tape'!$AX57=1,'Loan Tape'!$AW57=4),MAX(0,F61-F667-F970-F1273),0)</f>
        <v>0</v>
      </c>
      <c r="G1576" s="71" t="n">
        <f aca="false">IF(AND('Loan Tape'!$AX57=1,'Loan Tape'!$AW57=5),MAX(0,G61-G667-G970-G1273),0)</f>
        <v>0</v>
      </c>
      <c r="H1576" s="71" t="n">
        <f aca="false">IF(AND('Loan Tape'!$AX57=1,'Loan Tape'!$AW57=6),MAX(0,H61-H667-H970-H1273),0)</f>
        <v>0</v>
      </c>
      <c r="I1576" s="71" t="n">
        <f aca="false">IF(AND('Loan Tape'!$AX57=1,'Loan Tape'!$AW57=7),MAX(0,I61-I667-I970-I1273),0)</f>
        <v>0</v>
      </c>
      <c r="J1576" s="71" t="n">
        <f aca="false">IF(AND('Loan Tape'!$AX57=1,'Loan Tape'!$AW57=8),MAX(0,J61-J667-J970-J1273),0)</f>
        <v>0</v>
      </c>
      <c r="K1576" s="71" t="n">
        <f aca="false">IF(AND('Loan Tape'!$AX57=1,'Loan Tape'!$AW57=9),MAX(0,K61-K667-K970-K1273),0)</f>
        <v>0</v>
      </c>
      <c r="L1576" s="71" t="n">
        <f aca="false">IF(AND('Loan Tape'!$AX57=1,'Loan Tape'!$AW57=10),MAX(0,L61-L667-L970-L1273),0)</f>
        <v>0</v>
      </c>
    </row>
    <row r="1577" customFormat="false" ht="15" hidden="false" customHeight="false" outlineLevel="0" collapsed="false">
      <c r="B1577" s="102" t="n">
        <f aca="false">'Loan Tape'!$A58</f>
        <v>0</v>
      </c>
      <c r="C1577" s="99" t="n">
        <f aca="false">IF(AND('Loan Tape'!$AX58=1,'Loan Tape'!$AW58=1),MAX(0,C62-C668-C971-C1274),0)</f>
        <v>0</v>
      </c>
      <c r="D1577" s="99" t="n">
        <f aca="false">IF(AND('Loan Tape'!$AX58=1,'Loan Tape'!$AW58=2),MAX(0,D62-D668-D971-D1274),0)</f>
        <v>0</v>
      </c>
      <c r="E1577" s="99" t="n">
        <f aca="false">IF(AND('Loan Tape'!$AX58=1,'Loan Tape'!$AW58=3),MAX(0,E62-E668-E971-E1274),0)</f>
        <v>0</v>
      </c>
      <c r="F1577" s="99" t="n">
        <f aca="false">IF(AND('Loan Tape'!$AX58=1,'Loan Tape'!$AW58=4),MAX(0,F62-F668-F971-F1274),0)</f>
        <v>0</v>
      </c>
      <c r="G1577" s="99" t="n">
        <f aca="false">IF(AND('Loan Tape'!$AX58=1,'Loan Tape'!$AW58=5),MAX(0,G62-G668-G971-G1274),0)</f>
        <v>0</v>
      </c>
      <c r="H1577" s="99" t="n">
        <f aca="false">IF(AND('Loan Tape'!$AX58=1,'Loan Tape'!$AW58=6),MAX(0,H62-H668-H971-H1274),0)</f>
        <v>0</v>
      </c>
      <c r="I1577" s="99" t="n">
        <f aca="false">IF(AND('Loan Tape'!$AX58=1,'Loan Tape'!$AW58=7),MAX(0,I62-I668-I971-I1274),0)</f>
        <v>0</v>
      </c>
      <c r="J1577" s="99" t="n">
        <f aca="false">IF(AND('Loan Tape'!$AX58=1,'Loan Tape'!$AW58=8),MAX(0,J62-J668-J971-J1274),0)</f>
        <v>0</v>
      </c>
      <c r="K1577" s="99" t="n">
        <f aca="false">IF(AND('Loan Tape'!$AX58=1,'Loan Tape'!$AW58=9),MAX(0,K62-K668-K971-K1274),0)</f>
        <v>0</v>
      </c>
      <c r="L1577" s="99" t="n">
        <f aca="false">IF(AND('Loan Tape'!$AX58=1,'Loan Tape'!$AW58=10),MAX(0,L62-L668-L971-L1274),0)</f>
        <v>0</v>
      </c>
    </row>
    <row r="1578" customFormat="false" ht="15" hidden="false" customHeight="false" outlineLevel="0" collapsed="false">
      <c r="B1578" s="108" t="n">
        <f aca="false">'Loan Tape'!$A59</f>
        <v>0</v>
      </c>
      <c r="C1578" s="71" t="n">
        <f aca="false">IF(AND('Loan Tape'!$AX59=1,'Loan Tape'!$AW59=1),MAX(0,C63-C669-C972-C1275),0)</f>
        <v>0</v>
      </c>
      <c r="D1578" s="71" t="n">
        <f aca="false">IF(AND('Loan Tape'!$AX59=1,'Loan Tape'!$AW59=2),MAX(0,D63-D669-D972-D1275),0)</f>
        <v>0</v>
      </c>
      <c r="E1578" s="71" t="n">
        <f aca="false">IF(AND('Loan Tape'!$AX59=1,'Loan Tape'!$AW59=3),MAX(0,E63-E669-E972-E1275),0)</f>
        <v>0</v>
      </c>
      <c r="F1578" s="71" t="n">
        <f aca="false">IF(AND('Loan Tape'!$AX59=1,'Loan Tape'!$AW59=4),MAX(0,F63-F669-F972-F1275),0)</f>
        <v>0</v>
      </c>
      <c r="G1578" s="71" t="n">
        <f aca="false">IF(AND('Loan Tape'!$AX59=1,'Loan Tape'!$AW59=5),MAX(0,G63-G669-G972-G1275),0)</f>
        <v>0</v>
      </c>
      <c r="H1578" s="71" t="n">
        <f aca="false">IF(AND('Loan Tape'!$AX59=1,'Loan Tape'!$AW59=6),MAX(0,H63-H669-H972-H1275),0)</f>
        <v>0</v>
      </c>
      <c r="I1578" s="71" t="n">
        <f aca="false">IF(AND('Loan Tape'!$AX59=1,'Loan Tape'!$AW59=7),MAX(0,I63-I669-I972-I1275),0)</f>
        <v>0</v>
      </c>
      <c r="J1578" s="71" t="n">
        <f aca="false">IF(AND('Loan Tape'!$AX59=1,'Loan Tape'!$AW59=8),MAX(0,J63-J669-J972-J1275),0)</f>
        <v>0</v>
      </c>
      <c r="K1578" s="71" t="n">
        <f aca="false">IF(AND('Loan Tape'!$AX59=1,'Loan Tape'!$AW59=9),MAX(0,K63-K669-K972-K1275),0)</f>
        <v>0</v>
      </c>
      <c r="L1578" s="71" t="n">
        <f aca="false">IF(AND('Loan Tape'!$AX59=1,'Loan Tape'!$AW59=10),MAX(0,L63-L669-L972-L1275),0)</f>
        <v>0</v>
      </c>
    </row>
    <row r="1579" customFormat="false" ht="15" hidden="false" customHeight="false" outlineLevel="0" collapsed="false">
      <c r="B1579" s="102" t="n">
        <f aca="false">'Loan Tape'!$A60</f>
        <v>0</v>
      </c>
      <c r="C1579" s="99" t="n">
        <f aca="false">IF(AND('Loan Tape'!$AX60=1,'Loan Tape'!$AW60=1),MAX(0,C64-C670-C973-C1276),0)</f>
        <v>0</v>
      </c>
      <c r="D1579" s="99" t="n">
        <f aca="false">IF(AND('Loan Tape'!$AX60=1,'Loan Tape'!$AW60=2),MAX(0,D64-D670-D973-D1276),0)</f>
        <v>0</v>
      </c>
      <c r="E1579" s="99" t="n">
        <f aca="false">IF(AND('Loan Tape'!$AX60=1,'Loan Tape'!$AW60=3),MAX(0,E64-E670-E973-E1276),0)</f>
        <v>0</v>
      </c>
      <c r="F1579" s="99" t="n">
        <f aca="false">IF(AND('Loan Tape'!$AX60=1,'Loan Tape'!$AW60=4),MAX(0,F64-F670-F973-F1276),0)</f>
        <v>0</v>
      </c>
      <c r="G1579" s="99" t="n">
        <f aca="false">IF(AND('Loan Tape'!$AX60=1,'Loan Tape'!$AW60=5),MAX(0,G64-G670-G973-G1276),0)</f>
        <v>0</v>
      </c>
      <c r="H1579" s="99" t="n">
        <f aca="false">IF(AND('Loan Tape'!$AX60=1,'Loan Tape'!$AW60=6),MAX(0,H64-H670-H973-H1276),0)</f>
        <v>0</v>
      </c>
      <c r="I1579" s="99" t="n">
        <f aca="false">IF(AND('Loan Tape'!$AX60=1,'Loan Tape'!$AW60=7),MAX(0,I64-I670-I973-I1276),0)</f>
        <v>0</v>
      </c>
      <c r="J1579" s="99" t="n">
        <f aca="false">IF(AND('Loan Tape'!$AX60=1,'Loan Tape'!$AW60=8),MAX(0,J64-J670-J973-J1276),0)</f>
        <v>0</v>
      </c>
      <c r="K1579" s="99" t="n">
        <f aca="false">IF(AND('Loan Tape'!$AX60=1,'Loan Tape'!$AW60=9),MAX(0,K64-K670-K973-K1276),0)</f>
        <v>0</v>
      </c>
      <c r="L1579" s="99" t="n">
        <f aca="false">IF(AND('Loan Tape'!$AX60=1,'Loan Tape'!$AW60=10),MAX(0,L64-L670-L973-L1276),0)</f>
        <v>0</v>
      </c>
    </row>
    <row r="1580" customFormat="false" ht="15" hidden="false" customHeight="false" outlineLevel="0" collapsed="false">
      <c r="B1580" s="108" t="n">
        <f aca="false">'Loan Tape'!$A61</f>
        <v>0</v>
      </c>
      <c r="C1580" s="71" t="n">
        <f aca="false">IF(AND('Loan Tape'!$AX61=1,'Loan Tape'!$AW61=1),MAX(0,C65-C671-C974-C1277),0)</f>
        <v>0</v>
      </c>
      <c r="D1580" s="71" t="n">
        <f aca="false">IF(AND('Loan Tape'!$AX61=1,'Loan Tape'!$AW61=2),MAX(0,D65-D671-D974-D1277),0)</f>
        <v>0</v>
      </c>
      <c r="E1580" s="71" t="n">
        <f aca="false">IF(AND('Loan Tape'!$AX61=1,'Loan Tape'!$AW61=3),MAX(0,E65-E671-E974-E1277),0)</f>
        <v>0</v>
      </c>
      <c r="F1580" s="71" t="n">
        <f aca="false">IF(AND('Loan Tape'!$AX61=1,'Loan Tape'!$AW61=4),MAX(0,F65-F671-F974-F1277),0)</f>
        <v>0</v>
      </c>
      <c r="G1580" s="71" t="n">
        <f aca="false">IF(AND('Loan Tape'!$AX61=1,'Loan Tape'!$AW61=5),MAX(0,G65-G671-G974-G1277),0)</f>
        <v>0</v>
      </c>
      <c r="H1580" s="71" t="n">
        <f aca="false">IF(AND('Loan Tape'!$AX61=1,'Loan Tape'!$AW61=6),MAX(0,H65-H671-H974-H1277),0)</f>
        <v>0</v>
      </c>
      <c r="I1580" s="71" t="n">
        <f aca="false">IF(AND('Loan Tape'!$AX61=1,'Loan Tape'!$AW61=7),MAX(0,I65-I671-I974-I1277),0)</f>
        <v>0</v>
      </c>
      <c r="J1580" s="71" t="n">
        <f aca="false">IF(AND('Loan Tape'!$AX61=1,'Loan Tape'!$AW61=8),MAX(0,J65-J671-J974-J1277),0)</f>
        <v>0</v>
      </c>
      <c r="K1580" s="71" t="n">
        <f aca="false">IF(AND('Loan Tape'!$AX61=1,'Loan Tape'!$AW61=9),MAX(0,K65-K671-K974-K1277),0)</f>
        <v>0</v>
      </c>
      <c r="L1580" s="71" t="n">
        <f aca="false">IF(AND('Loan Tape'!$AX61=1,'Loan Tape'!$AW61=10),MAX(0,L65-L671-L974-L1277),0)</f>
        <v>0</v>
      </c>
    </row>
    <row r="1581" customFormat="false" ht="15" hidden="false" customHeight="false" outlineLevel="0" collapsed="false">
      <c r="B1581" s="102" t="n">
        <f aca="false">'Loan Tape'!$A62</f>
        <v>0</v>
      </c>
      <c r="C1581" s="99" t="n">
        <f aca="false">IF(AND('Loan Tape'!$AX62=1,'Loan Tape'!$AW62=1),MAX(0,C66-C672-C975-C1278),0)</f>
        <v>0</v>
      </c>
      <c r="D1581" s="99" t="n">
        <f aca="false">IF(AND('Loan Tape'!$AX62=1,'Loan Tape'!$AW62=2),MAX(0,D66-D672-D975-D1278),0)</f>
        <v>0</v>
      </c>
      <c r="E1581" s="99" t="n">
        <f aca="false">IF(AND('Loan Tape'!$AX62=1,'Loan Tape'!$AW62=3),MAX(0,E66-E672-E975-E1278),0)</f>
        <v>0</v>
      </c>
      <c r="F1581" s="99" t="n">
        <f aca="false">IF(AND('Loan Tape'!$AX62=1,'Loan Tape'!$AW62=4),MAX(0,F66-F672-F975-F1278),0)</f>
        <v>0</v>
      </c>
      <c r="G1581" s="99" t="n">
        <f aca="false">IF(AND('Loan Tape'!$AX62=1,'Loan Tape'!$AW62=5),MAX(0,G66-G672-G975-G1278),0)</f>
        <v>0</v>
      </c>
      <c r="H1581" s="99" t="n">
        <f aca="false">IF(AND('Loan Tape'!$AX62=1,'Loan Tape'!$AW62=6),MAX(0,H66-H672-H975-H1278),0)</f>
        <v>0</v>
      </c>
      <c r="I1581" s="99" t="n">
        <f aca="false">IF(AND('Loan Tape'!$AX62=1,'Loan Tape'!$AW62=7),MAX(0,I66-I672-I975-I1278),0)</f>
        <v>0</v>
      </c>
      <c r="J1581" s="99" t="n">
        <f aca="false">IF(AND('Loan Tape'!$AX62=1,'Loan Tape'!$AW62=8),MAX(0,J66-J672-J975-J1278),0)</f>
        <v>0</v>
      </c>
      <c r="K1581" s="99" t="n">
        <f aca="false">IF(AND('Loan Tape'!$AX62=1,'Loan Tape'!$AW62=9),MAX(0,K66-K672-K975-K1278),0)</f>
        <v>0</v>
      </c>
      <c r="L1581" s="99" t="n">
        <f aca="false">IF(AND('Loan Tape'!$AX62=1,'Loan Tape'!$AW62=10),MAX(0,L66-L672-L975-L1278),0)</f>
        <v>0</v>
      </c>
    </row>
    <row r="1582" customFormat="false" ht="15" hidden="false" customHeight="false" outlineLevel="0" collapsed="false">
      <c r="B1582" s="108" t="n">
        <f aca="false">'Loan Tape'!$A63</f>
        <v>0</v>
      </c>
      <c r="C1582" s="71" t="n">
        <f aca="false">IF(AND('Loan Tape'!$AX63=1,'Loan Tape'!$AW63=1),MAX(0,C67-C673-C976-C1279),0)</f>
        <v>0</v>
      </c>
      <c r="D1582" s="71" t="n">
        <f aca="false">IF(AND('Loan Tape'!$AX63=1,'Loan Tape'!$AW63=2),MAX(0,D67-D673-D976-D1279),0)</f>
        <v>0</v>
      </c>
      <c r="E1582" s="71" t="n">
        <f aca="false">IF(AND('Loan Tape'!$AX63=1,'Loan Tape'!$AW63=3),MAX(0,E67-E673-E976-E1279),0)</f>
        <v>0</v>
      </c>
      <c r="F1582" s="71" t="n">
        <f aca="false">IF(AND('Loan Tape'!$AX63=1,'Loan Tape'!$AW63=4),MAX(0,F67-F673-F976-F1279),0)</f>
        <v>0</v>
      </c>
      <c r="G1582" s="71" t="n">
        <f aca="false">IF(AND('Loan Tape'!$AX63=1,'Loan Tape'!$AW63=5),MAX(0,G67-G673-G976-G1279),0)</f>
        <v>0</v>
      </c>
      <c r="H1582" s="71" t="n">
        <f aca="false">IF(AND('Loan Tape'!$AX63=1,'Loan Tape'!$AW63=6),MAX(0,H67-H673-H976-H1279),0)</f>
        <v>0</v>
      </c>
      <c r="I1582" s="71" t="n">
        <f aca="false">IF(AND('Loan Tape'!$AX63=1,'Loan Tape'!$AW63=7),MAX(0,I67-I673-I976-I1279),0)</f>
        <v>0</v>
      </c>
      <c r="J1582" s="71" t="n">
        <f aca="false">IF(AND('Loan Tape'!$AX63=1,'Loan Tape'!$AW63=8),MAX(0,J67-J673-J976-J1279),0)</f>
        <v>0</v>
      </c>
      <c r="K1582" s="71" t="n">
        <f aca="false">IF(AND('Loan Tape'!$AX63=1,'Loan Tape'!$AW63=9),MAX(0,K67-K673-K976-K1279),0)</f>
        <v>0</v>
      </c>
      <c r="L1582" s="71" t="n">
        <f aca="false">IF(AND('Loan Tape'!$AX63=1,'Loan Tape'!$AW63=10),MAX(0,L67-L673-L976-L1279),0)</f>
        <v>0</v>
      </c>
    </row>
    <row r="1583" customFormat="false" ht="15" hidden="false" customHeight="false" outlineLevel="0" collapsed="false">
      <c r="B1583" s="102" t="n">
        <f aca="false">'Loan Tape'!$A64</f>
        <v>0</v>
      </c>
      <c r="C1583" s="99" t="n">
        <f aca="false">IF(AND('Loan Tape'!$AX64=1,'Loan Tape'!$AW64=1),MAX(0,C68-C674-C977-C1280),0)</f>
        <v>0</v>
      </c>
      <c r="D1583" s="99" t="n">
        <f aca="false">IF(AND('Loan Tape'!$AX64=1,'Loan Tape'!$AW64=2),MAX(0,D68-D674-D977-D1280),0)</f>
        <v>0</v>
      </c>
      <c r="E1583" s="99" t="n">
        <f aca="false">IF(AND('Loan Tape'!$AX64=1,'Loan Tape'!$AW64=3),MAX(0,E68-E674-E977-E1280),0)</f>
        <v>0</v>
      </c>
      <c r="F1583" s="99" t="n">
        <f aca="false">IF(AND('Loan Tape'!$AX64=1,'Loan Tape'!$AW64=4),MAX(0,F68-F674-F977-F1280),0)</f>
        <v>0</v>
      </c>
      <c r="G1583" s="99" t="n">
        <f aca="false">IF(AND('Loan Tape'!$AX64=1,'Loan Tape'!$AW64=5),MAX(0,G68-G674-G977-G1280),0)</f>
        <v>0</v>
      </c>
      <c r="H1583" s="99" t="n">
        <f aca="false">IF(AND('Loan Tape'!$AX64=1,'Loan Tape'!$AW64=6),MAX(0,H68-H674-H977-H1280),0)</f>
        <v>0</v>
      </c>
      <c r="I1583" s="99" t="n">
        <f aca="false">IF(AND('Loan Tape'!$AX64=1,'Loan Tape'!$AW64=7),MAX(0,I68-I674-I977-I1280),0)</f>
        <v>0</v>
      </c>
      <c r="J1583" s="99" t="n">
        <f aca="false">IF(AND('Loan Tape'!$AX64=1,'Loan Tape'!$AW64=8),MAX(0,J68-J674-J977-J1280),0)</f>
        <v>0</v>
      </c>
      <c r="K1583" s="99" t="n">
        <f aca="false">IF(AND('Loan Tape'!$AX64=1,'Loan Tape'!$AW64=9),MAX(0,K68-K674-K977-K1280),0)</f>
        <v>0</v>
      </c>
      <c r="L1583" s="99" t="n">
        <f aca="false">IF(AND('Loan Tape'!$AX64=1,'Loan Tape'!$AW64=10),MAX(0,L68-L674-L977-L1280),0)</f>
        <v>0</v>
      </c>
    </row>
    <row r="1584" customFormat="false" ht="15" hidden="false" customHeight="false" outlineLevel="0" collapsed="false">
      <c r="B1584" s="108" t="n">
        <f aca="false">'Loan Tape'!$A65</f>
        <v>0</v>
      </c>
      <c r="C1584" s="71" t="n">
        <f aca="false">IF(AND('Loan Tape'!$AX65=1,'Loan Tape'!$AW65=1),MAX(0,C69-C675-C978-C1281),0)</f>
        <v>0</v>
      </c>
      <c r="D1584" s="71" t="n">
        <f aca="false">IF(AND('Loan Tape'!$AX65=1,'Loan Tape'!$AW65=2),MAX(0,D69-D675-D978-D1281),0)</f>
        <v>0</v>
      </c>
      <c r="E1584" s="71" t="n">
        <f aca="false">IF(AND('Loan Tape'!$AX65=1,'Loan Tape'!$AW65=3),MAX(0,E69-E675-E978-E1281),0)</f>
        <v>0</v>
      </c>
      <c r="F1584" s="71" t="n">
        <f aca="false">IF(AND('Loan Tape'!$AX65=1,'Loan Tape'!$AW65=4),MAX(0,F69-F675-F978-F1281),0)</f>
        <v>0</v>
      </c>
      <c r="G1584" s="71" t="n">
        <f aca="false">IF(AND('Loan Tape'!$AX65=1,'Loan Tape'!$AW65=5),MAX(0,G69-G675-G978-G1281),0)</f>
        <v>0</v>
      </c>
      <c r="H1584" s="71" t="n">
        <f aca="false">IF(AND('Loan Tape'!$AX65=1,'Loan Tape'!$AW65=6),MAX(0,H69-H675-H978-H1281),0)</f>
        <v>0</v>
      </c>
      <c r="I1584" s="71" t="n">
        <f aca="false">IF(AND('Loan Tape'!$AX65=1,'Loan Tape'!$AW65=7),MAX(0,I69-I675-I978-I1281),0)</f>
        <v>0</v>
      </c>
      <c r="J1584" s="71" t="n">
        <f aca="false">IF(AND('Loan Tape'!$AX65=1,'Loan Tape'!$AW65=8),MAX(0,J69-J675-J978-J1281),0)</f>
        <v>0</v>
      </c>
      <c r="K1584" s="71" t="n">
        <f aca="false">IF(AND('Loan Tape'!$AX65=1,'Loan Tape'!$AW65=9),MAX(0,K69-K675-K978-K1281),0)</f>
        <v>0</v>
      </c>
      <c r="L1584" s="71" t="n">
        <f aca="false">IF(AND('Loan Tape'!$AX65=1,'Loan Tape'!$AW65=10),MAX(0,L69-L675-L978-L1281),0)</f>
        <v>0</v>
      </c>
    </row>
    <row r="1585" customFormat="false" ht="15" hidden="false" customHeight="false" outlineLevel="0" collapsed="false">
      <c r="B1585" s="102" t="n">
        <f aca="false">'Loan Tape'!$A66</f>
        <v>0</v>
      </c>
      <c r="C1585" s="99" t="n">
        <f aca="false">IF(AND('Loan Tape'!$AX66=1,'Loan Tape'!$AW66=1),MAX(0,C70-C676-C979-C1282),0)</f>
        <v>0</v>
      </c>
      <c r="D1585" s="99" t="n">
        <f aca="false">IF(AND('Loan Tape'!$AX66=1,'Loan Tape'!$AW66=2),MAX(0,D70-D676-D979-D1282),0)</f>
        <v>0</v>
      </c>
      <c r="E1585" s="99" t="n">
        <f aca="false">IF(AND('Loan Tape'!$AX66=1,'Loan Tape'!$AW66=3),MAX(0,E70-E676-E979-E1282),0)</f>
        <v>0</v>
      </c>
      <c r="F1585" s="99" t="n">
        <f aca="false">IF(AND('Loan Tape'!$AX66=1,'Loan Tape'!$AW66=4),MAX(0,F70-F676-F979-F1282),0)</f>
        <v>0</v>
      </c>
      <c r="G1585" s="99" t="n">
        <f aca="false">IF(AND('Loan Tape'!$AX66=1,'Loan Tape'!$AW66=5),MAX(0,G70-G676-G979-G1282),0)</f>
        <v>0</v>
      </c>
      <c r="H1585" s="99" t="n">
        <f aca="false">IF(AND('Loan Tape'!$AX66=1,'Loan Tape'!$AW66=6),MAX(0,H70-H676-H979-H1282),0)</f>
        <v>0</v>
      </c>
      <c r="I1585" s="99" t="n">
        <f aca="false">IF(AND('Loan Tape'!$AX66=1,'Loan Tape'!$AW66=7),MAX(0,I70-I676-I979-I1282),0)</f>
        <v>0</v>
      </c>
      <c r="J1585" s="99" t="n">
        <f aca="false">IF(AND('Loan Tape'!$AX66=1,'Loan Tape'!$AW66=8),MAX(0,J70-J676-J979-J1282),0)</f>
        <v>0</v>
      </c>
      <c r="K1585" s="99" t="n">
        <f aca="false">IF(AND('Loan Tape'!$AX66=1,'Loan Tape'!$AW66=9),MAX(0,K70-K676-K979-K1282),0)</f>
        <v>0</v>
      </c>
      <c r="L1585" s="99" t="n">
        <f aca="false">IF(AND('Loan Tape'!$AX66=1,'Loan Tape'!$AW66=10),MAX(0,L70-L676-L979-L1282),0)</f>
        <v>0</v>
      </c>
    </row>
    <row r="1586" customFormat="false" ht="15" hidden="false" customHeight="false" outlineLevel="0" collapsed="false">
      <c r="B1586" s="108" t="n">
        <f aca="false">'Loan Tape'!$A67</f>
        <v>0</v>
      </c>
      <c r="C1586" s="71" t="n">
        <f aca="false">IF(AND('Loan Tape'!$AX67=1,'Loan Tape'!$AW67=1),MAX(0,C71-C677-C980-C1283),0)</f>
        <v>0</v>
      </c>
      <c r="D1586" s="71" t="n">
        <f aca="false">IF(AND('Loan Tape'!$AX67=1,'Loan Tape'!$AW67=2),MAX(0,D71-D677-D980-D1283),0)</f>
        <v>0</v>
      </c>
      <c r="E1586" s="71" t="n">
        <f aca="false">IF(AND('Loan Tape'!$AX67=1,'Loan Tape'!$AW67=3),MAX(0,E71-E677-E980-E1283),0)</f>
        <v>0</v>
      </c>
      <c r="F1586" s="71" t="n">
        <f aca="false">IF(AND('Loan Tape'!$AX67=1,'Loan Tape'!$AW67=4),MAX(0,F71-F677-F980-F1283),0)</f>
        <v>0</v>
      </c>
      <c r="G1586" s="71" t="n">
        <f aca="false">IF(AND('Loan Tape'!$AX67=1,'Loan Tape'!$AW67=5),MAX(0,G71-G677-G980-G1283),0)</f>
        <v>0</v>
      </c>
      <c r="H1586" s="71" t="n">
        <f aca="false">IF(AND('Loan Tape'!$AX67=1,'Loan Tape'!$AW67=6),MAX(0,H71-H677-H980-H1283),0)</f>
        <v>0</v>
      </c>
      <c r="I1586" s="71" t="n">
        <f aca="false">IF(AND('Loan Tape'!$AX67=1,'Loan Tape'!$AW67=7),MAX(0,I71-I677-I980-I1283),0)</f>
        <v>0</v>
      </c>
      <c r="J1586" s="71" t="n">
        <f aca="false">IF(AND('Loan Tape'!$AX67=1,'Loan Tape'!$AW67=8),MAX(0,J71-J677-J980-J1283),0)</f>
        <v>0</v>
      </c>
      <c r="K1586" s="71" t="n">
        <f aca="false">IF(AND('Loan Tape'!$AX67=1,'Loan Tape'!$AW67=9),MAX(0,K71-K677-K980-K1283),0)</f>
        <v>0</v>
      </c>
      <c r="L1586" s="71" t="n">
        <f aca="false">IF(AND('Loan Tape'!$AX67=1,'Loan Tape'!$AW67=10),MAX(0,L71-L677-L980-L1283),0)</f>
        <v>0</v>
      </c>
    </row>
    <row r="1587" customFormat="false" ht="15" hidden="false" customHeight="false" outlineLevel="0" collapsed="false">
      <c r="B1587" s="102" t="n">
        <f aca="false">'Loan Tape'!$A68</f>
        <v>0</v>
      </c>
      <c r="C1587" s="99" t="n">
        <f aca="false">IF(AND('Loan Tape'!$AX68=1,'Loan Tape'!$AW68=1),MAX(0,C72-C678-C981-C1284),0)</f>
        <v>0</v>
      </c>
      <c r="D1587" s="99" t="n">
        <f aca="false">IF(AND('Loan Tape'!$AX68=1,'Loan Tape'!$AW68=2),MAX(0,D72-D678-D981-D1284),0)</f>
        <v>0</v>
      </c>
      <c r="E1587" s="99" t="n">
        <f aca="false">IF(AND('Loan Tape'!$AX68=1,'Loan Tape'!$AW68=3),MAX(0,E72-E678-E981-E1284),0)</f>
        <v>0</v>
      </c>
      <c r="F1587" s="99" t="n">
        <f aca="false">IF(AND('Loan Tape'!$AX68=1,'Loan Tape'!$AW68=4),MAX(0,F72-F678-F981-F1284),0)</f>
        <v>0</v>
      </c>
      <c r="G1587" s="99" t="n">
        <f aca="false">IF(AND('Loan Tape'!$AX68=1,'Loan Tape'!$AW68=5),MAX(0,G72-G678-G981-G1284),0)</f>
        <v>0</v>
      </c>
      <c r="H1587" s="99" t="n">
        <f aca="false">IF(AND('Loan Tape'!$AX68=1,'Loan Tape'!$AW68=6),MAX(0,H72-H678-H981-H1284),0)</f>
        <v>0</v>
      </c>
      <c r="I1587" s="99" t="n">
        <f aca="false">IF(AND('Loan Tape'!$AX68=1,'Loan Tape'!$AW68=7),MAX(0,I72-I678-I981-I1284),0)</f>
        <v>0</v>
      </c>
      <c r="J1587" s="99" t="n">
        <f aca="false">IF(AND('Loan Tape'!$AX68=1,'Loan Tape'!$AW68=8),MAX(0,J72-J678-J981-J1284),0)</f>
        <v>0</v>
      </c>
      <c r="K1587" s="99" t="n">
        <f aca="false">IF(AND('Loan Tape'!$AX68=1,'Loan Tape'!$AW68=9),MAX(0,K72-K678-K981-K1284),0)</f>
        <v>0</v>
      </c>
      <c r="L1587" s="99" t="n">
        <f aca="false">IF(AND('Loan Tape'!$AX68=1,'Loan Tape'!$AW68=10),MAX(0,L72-L678-L981-L1284),0)</f>
        <v>0</v>
      </c>
    </row>
    <row r="1588" customFormat="false" ht="15" hidden="false" customHeight="false" outlineLevel="0" collapsed="false">
      <c r="B1588" s="108" t="n">
        <f aca="false">'Loan Tape'!$A69</f>
        <v>0</v>
      </c>
      <c r="C1588" s="71" t="n">
        <f aca="false">IF(AND('Loan Tape'!$AX69=1,'Loan Tape'!$AW69=1),MAX(0,C73-C679-C982-C1285),0)</f>
        <v>0</v>
      </c>
      <c r="D1588" s="71" t="n">
        <f aca="false">IF(AND('Loan Tape'!$AX69=1,'Loan Tape'!$AW69=2),MAX(0,D73-D679-D982-D1285),0)</f>
        <v>0</v>
      </c>
      <c r="E1588" s="71" t="n">
        <f aca="false">IF(AND('Loan Tape'!$AX69=1,'Loan Tape'!$AW69=3),MAX(0,E73-E679-E982-E1285),0)</f>
        <v>0</v>
      </c>
      <c r="F1588" s="71" t="n">
        <f aca="false">IF(AND('Loan Tape'!$AX69=1,'Loan Tape'!$AW69=4),MAX(0,F73-F679-F982-F1285),0)</f>
        <v>0</v>
      </c>
      <c r="G1588" s="71" t="n">
        <f aca="false">IF(AND('Loan Tape'!$AX69=1,'Loan Tape'!$AW69=5),MAX(0,G73-G679-G982-G1285),0)</f>
        <v>0</v>
      </c>
      <c r="H1588" s="71" t="n">
        <f aca="false">IF(AND('Loan Tape'!$AX69=1,'Loan Tape'!$AW69=6),MAX(0,H73-H679-H982-H1285),0)</f>
        <v>0</v>
      </c>
      <c r="I1588" s="71" t="n">
        <f aca="false">IF(AND('Loan Tape'!$AX69=1,'Loan Tape'!$AW69=7),MAX(0,I73-I679-I982-I1285),0)</f>
        <v>0</v>
      </c>
      <c r="J1588" s="71" t="n">
        <f aca="false">IF(AND('Loan Tape'!$AX69=1,'Loan Tape'!$AW69=8),MAX(0,J73-J679-J982-J1285),0)</f>
        <v>0</v>
      </c>
      <c r="K1588" s="71" t="n">
        <f aca="false">IF(AND('Loan Tape'!$AX69=1,'Loan Tape'!$AW69=9),MAX(0,K73-K679-K982-K1285),0)</f>
        <v>0</v>
      </c>
      <c r="L1588" s="71" t="n">
        <f aca="false">IF(AND('Loan Tape'!$AX69=1,'Loan Tape'!$AW69=10),MAX(0,L73-L679-L982-L1285),0)</f>
        <v>0</v>
      </c>
    </row>
    <row r="1589" customFormat="false" ht="15" hidden="false" customHeight="false" outlineLevel="0" collapsed="false">
      <c r="B1589" s="102" t="n">
        <f aca="false">'Loan Tape'!$A70</f>
        <v>0</v>
      </c>
      <c r="C1589" s="99" t="n">
        <f aca="false">IF(AND('Loan Tape'!$AX70=1,'Loan Tape'!$AW70=1),MAX(0,C74-C680-C983-C1286),0)</f>
        <v>0</v>
      </c>
      <c r="D1589" s="99" t="n">
        <f aca="false">IF(AND('Loan Tape'!$AX70=1,'Loan Tape'!$AW70=2),MAX(0,D74-D680-D983-D1286),0)</f>
        <v>0</v>
      </c>
      <c r="E1589" s="99" t="n">
        <f aca="false">IF(AND('Loan Tape'!$AX70=1,'Loan Tape'!$AW70=3),MAX(0,E74-E680-E983-E1286),0)</f>
        <v>0</v>
      </c>
      <c r="F1589" s="99" t="n">
        <f aca="false">IF(AND('Loan Tape'!$AX70=1,'Loan Tape'!$AW70=4),MAX(0,F74-F680-F983-F1286),0)</f>
        <v>0</v>
      </c>
      <c r="G1589" s="99" t="n">
        <f aca="false">IF(AND('Loan Tape'!$AX70=1,'Loan Tape'!$AW70=5),MAX(0,G74-G680-G983-G1286),0)</f>
        <v>0</v>
      </c>
      <c r="H1589" s="99" t="n">
        <f aca="false">IF(AND('Loan Tape'!$AX70=1,'Loan Tape'!$AW70=6),MAX(0,H74-H680-H983-H1286),0)</f>
        <v>0</v>
      </c>
      <c r="I1589" s="99" t="n">
        <f aca="false">IF(AND('Loan Tape'!$AX70=1,'Loan Tape'!$AW70=7),MAX(0,I74-I680-I983-I1286),0)</f>
        <v>0</v>
      </c>
      <c r="J1589" s="99" t="n">
        <f aca="false">IF(AND('Loan Tape'!$AX70=1,'Loan Tape'!$AW70=8),MAX(0,J74-J680-J983-J1286),0)</f>
        <v>0</v>
      </c>
      <c r="K1589" s="99" t="n">
        <f aca="false">IF(AND('Loan Tape'!$AX70=1,'Loan Tape'!$AW70=9),MAX(0,K74-K680-K983-K1286),0)</f>
        <v>0</v>
      </c>
      <c r="L1589" s="99" t="n">
        <f aca="false">IF(AND('Loan Tape'!$AX70=1,'Loan Tape'!$AW70=10),MAX(0,L74-L680-L983-L1286),0)</f>
        <v>0</v>
      </c>
    </row>
    <row r="1590" customFormat="false" ht="15" hidden="false" customHeight="false" outlineLevel="0" collapsed="false">
      <c r="B1590" s="108" t="n">
        <f aca="false">'Loan Tape'!$A71</f>
        <v>0</v>
      </c>
      <c r="C1590" s="71" t="n">
        <f aca="false">IF(AND('Loan Tape'!$AX71=1,'Loan Tape'!$AW71=1),MAX(0,C75-C681-C984-C1287),0)</f>
        <v>0</v>
      </c>
      <c r="D1590" s="71" t="n">
        <f aca="false">IF(AND('Loan Tape'!$AX71=1,'Loan Tape'!$AW71=2),MAX(0,D75-D681-D984-D1287),0)</f>
        <v>0</v>
      </c>
      <c r="E1590" s="71" t="n">
        <f aca="false">IF(AND('Loan Tape'!$AX71=1,'Loan Tape'!$AW71=3),MAX(0,E75-E681-E984-E1287),0)</f>
        <v>0</v>
      </c>
      <c r="F1590" s="71" t="n">
        <f aca="false">IF(AND('Loan Tape'!$AX71=1,'Loan Tape'!$AW71=4),MAX(0,F75-F681-F984-F1287),0)</f>
        <v>0</v>
      </c>
      <c r="G1590" s="71" t="n">
        <f aca="false">IF(AND('Loan Tape'!$AX71=1,'Loan Tape'!$AW71=5),MAX(0,G75-G681-G984-G1287),0)</f>
        <v>0</v>
      </c>
      <c r="H1590" s="71" t="n">
        <f aca="false">IF(AND('Loan Tape'!$AX71=1,'Loan Tape'!$AW71=6),MAX(0,H75-H681-H984-H1287),0)</f>
        <v>0</v>
      </c>
      <c r="I1590" s="71" t="n">
        <f aca="false">IF(AND('Loan Tape'!$AX71=1,'Loan Tape'!$AW71=7),MAX(0,I75-I681-I984-I1287),0)</f>
        <v>0</v>
      </c>
      <c r="J1590" s="71" t="n">
        <f aca="false">IF(AND('Loan Tape'!$AX71=1,'Loan Tape'!$AW71=8),MAX(0,J75-J681-J984-J1287),0)</f>
        <v>0</v>
      </c>
      <c r="K1590" s="71" t="n">
        <f aca="false">IF(AND('Loan Tape'!$AX71=1,'Loan Tape'!$AW71=9),MAX(0,K75-K681-K984-K1287),0)</f>
        <v>0</v>
      </c>
      <c r="L1590" s="71" t="n">
        <f aca="false">IF(AND('Loan Tape'!$AX71=1,'Loan Tape'!$AW71=10),MAX(0,L75-L681-L984-L1287),0)</f>
        <v>0</v>
      </c>
    </row>
    <row r="1591" customFormat="false" ht="15" hidden="false" customHeight="false" outlineLevel="0" collapsed="false">
      <c r="B1591" s="102" t="n">
        <f aca="false">'Loan Tape'!$A72</f>
        <v>0</v>
      </c>
      <c r="C1591" s="99" t="n">
        <f aca="false">IF(AND('Loan Tape'!$AX72=1,'Loan Tape'!$AW72=1),MAX(0,C76-C682-C985-C1288),0)</f>
        <v>0</v>
      </c>
      <c r="D1591" s="99" t="n">
        <f aca="false">IF(AND('Loan Tape'!$AX72=1,'Loan Tape'!$AW72=2),MAX(0,D76-D682-D985-D1288),0)</f>
        <v>0</v>
      </c>
      <c r="E1591" s="99" t="n">
        <f aca="false">IF(AND('Loan Tape'!$AX72=1,'Loan Tape'!$AW72=3),MAX(0,E76-E682-E985-E1288),0)</f>
        <v>0</v>
      </c>
      <c r="F1591" s="99" t="n">
        <f aca="false">IF(AND('Loan Tape'!$AX72=1,'Loan Tape'!$AW72=4),MAX(0,F76-F682-F985-F1288),0)</f>
        <v>0</v>
      </c>
      <c r="G1591" s="99" t="n">
        <f aca="false">IF(AND('Loan Tape'!$AX72=1,'Loan Tape'!$AW72=5),MAX(0,G76-G682-G985-G1288),0)</f>
        <v>0</v>
      </c>
      <c r="H1591" s="99" t="n">
        <f aca="false">IF(AND('Loan Tape'!$AX72=1,'Loan Tape'!$AW72=6),MAX(0,H76-H682-H985-H1288),0)</f>
        <v>0</v>
      </c>
      <c r="I1591" s="99" t="n">
        <f aca="false">IF(AND('Loan Tape'!$AX72=1,'Loan Tape'!$AW72=7),MAX(0,I76-I682-I985-I1288),0)</f>
        <v>0</v>
      </c>
      <c r="J1591" s="99" t="n">
        <f aca="false">IF(AND('Loan Tape'!$AX72=1,'Loan Tape'!$AW72=8),MAX(0,J76-J682-J985-J1288),0)</f>
        <v>0</v>
      </c>
      <c r="K1591" s="99" t="n">
        <f aca="false">IF(AND('Loan Tape'!$AX72=1,'Loan Tape'!$AW72=9),MAX(0,K76-K682-K985-K1288),0)</f>
        <v>0</v>
      </c>
      <c r="L1591" s="99" t="n">
        <f aca="false">IF(AND('Loan Tape'!$AX72=1,'Loan Tape'!$AW72=10),MAX(0,L76-L682-L985-L1288),0)</f>
        <v>0</v>
      </c>
    </row>
    <row r="1592" customFormat="false" ht="15" hidden="false" customHeight="false" outlineLevel="0" collapsed="false">
      <c r="B1592" s="108" t="n">
        <f aca="false">'Loan Tape'!$A73</f>
        <v>0</v>
      </c>
      <c r="C1592" s="71" t="n">
        <f aca="false">IF(AND('Loan Tape'!$AX73=1,'Loan Tape'!$AW73=1),MAX(0,C77-C683-C986-C1289),0)</f>
        <v>0</v>
      </c>
      <c r="D1592" s="71" t="n">
        <f aca="false">IF(AND('Loan Tape'!$AX73=1,'Loan Tape'!$AW73=2),MAX(0,D77-D683-D986-D1289),0)</f>
        <v>0</v>
      </c>
      <c r="E1592" s="71" t="n">
        <f aca="false">IF(AND('Loan Tape'!$AX73=1,'Loan Tape'!$AW73=3),MAX(0,E77-E683-E986-E1289),0)</f>
        <v>0</v>
      </c>
      <c r="F1592" s="71" t="n">
        <f aca="false">IF(AND('Loan Tape'!$AX73=1,'Loan Tape'!$AW73=4),MAX(0,F77-F683-F986-F1289),0)</f>
        <v>0</v>
      </c>
      <c r="G1592" s="71" t="n">
        <f aca="false">IF(AND('Loan Tape'!$AX73=1,'Loan Tape'!$AW73=5),MAX(0,G77-G683-G986-G1289),0)</f>
        <v>0</v>
      </c>
      <c r="H1592" s="71" t="n">
        <f aca="false">IF(AND('Loan Tape'!$AX73=1,'Loan Tape'!$AW73=6),MAX(0,H77-H683-H986-H1289),0)</f>
        <v>0</v>
      </c>
      <c r="I1592" s="71" t="n">
        <f aca="false">IF(AND('Loan Tape'!$AX73=1,'Loan Tape'!$AW73=7),MAX(0,I77-I683-I986-I1289),0)</f>
        <v>0</v>
      </c>
      <c r="J1592" s="71" t="n">
        <f aca="false">IF(AND('Loan Tape'!$AX73=1,'Loan Tape'!$AW73=8),MAX(0,J77-J683-J986-J1289),0)</f>
        <v>0</v>
      </c>
      <c r="K1592" s="71" t="n">
        <f aca="false">IF(AND('Loan Tape'!$AX73=1,'Loan Tape'!$AW73=9),MAX(0,K77-K683-K986-K1289),0)</f>
        <v>0</v>
      </c>
      <c r="L1592" s="71" t="n">
        <f aca="false">IF(AND('Loan Tape'!$AX73=1,'Loan Tape'!$AW73=10),MAX(0,L77-L683-L986-L1289),0)</f>
        <v>0</v>
      </c>
    </row>
    <row r="1593" customFormat="false" ht="15" hidden="false" customHeight="false" outlineLevel="0" collapsed="false">
      <c r="B1593" s="102" t="n">
        <f aca="false">'Loan Tape'!$A74</f>
        <v>0</v>
      </c>
      <c r="C1593" s="99" t="n">
        <f aca="false">IF(AND('Loan Tape'!$AX74=1,'Loan Tape'!$AW74=1),MAX(0,C78-C684-C987-C1290),0)</f>
        <v>0</v>
      </c>
      <c r="D1593" s="99" t="n">
        <f aca="false">IF(AND('Loan Tape'!$AX74=1,'Loan Tape'!$AW74=2),MAX(0,D78-D684-D987-D1290),0)</f>
        <v>0</v>
      </c>
      <c r="E1593" s="99" t="n">
        <f aca="false">IF(AND('Loan Tape'!$AX74=1,'Loan Tape'!$AW74=3),MAX(0,E78-E684-E987-E1290),0)</f>
        <v>0</v>
      </c>
      <c r="F1593" s="99" t="n">
        <f aca="false">IF(AND('Loan Tape'!$AX74=1,'Loan Tape'!$AW74=4),MAX(0,F78-F684-F987-F1290),0)</f>
        <v>0</v>
      </c>
      <c r="G1593" s="99" t="n">
        <f aca="false">IF(AND('Loan Tape'!$AX74=1,'Loan Tape'!$AW74=5),MAX(0,G78-G684-G987-G1290),0)</f>
        <v>0</v>
      </c>
      <c r="H1593" s="99" t="n">
        <f aca="false">IF(AND('Loan Tape'!$AX74=1,'Loan Tape'!$AW74=6),MAX(0,H78-H684-H987-H1290),0)</f>
        <v>0</v>
      </c>
      <c r="I1593" s="99" t="n">
        <f aca="false">IF(AND('Loan Tape'!$AX74=1,'Loan Tape'!$AW74=7),MAX(0,I78-I684-I987-I1290),0)</f>
        <v>0</v>
      </c>
      <c r="J1593" s="99" t="n">
        <f aca="false">IF(AND('Loan Tape'!$AX74=1,'Loan Tape'!$AW74=8),MAX(0,J78-J684-J987-J1290),0)</f>
        <v>0</v>
      </c>
      <c r="K1593" s="99" t="n">
        <f aca="false">IF(AND('Loan Tape'!$AX74=1,'Loan Tape'!$AW74=9),MAX(0,K78-K684-K987-K1290),0)</f>
        <v>0</v>
      </c>
      <c r="L1593" s="99" t="n">
        <f aca="false">IF(AND('Loan Tape'!$AX74=1,'Loan Tape'!$AW74=10),MAX(0,L78-L684-L987-L1290),0)</f>
        <v>0</v>
      </c>
    </row>
    <row r="1594" customFormat="false" ht="15" hidden="false" customHeight="false" outlineLevel="0" collapsed="false">
      <c r="B1594" s="108" t="n">
        <f aca="false">'Loan Tape'!$A75</f>
        <v>0</v>
      </c>
      <c r="C1594" s="71" t="n">
        <f aca="false">IF(AND('Loan Tape'!$AX75=1,'Loan Tape'!$AW75=1),MAX(0,C79-C685-C988-C1291),0)</f>
        <v>0</v>
      </c>
      <c r="D1594" s="71" t="n">
        <f aca="false">IF(AND('Loan Tape'!$AX75=1,'Loan Tape'!$AW75=2),MAX(0,D79-D685-D988-D1291),0)</f>
        <v>0</v>
      </c>
      <c r="E1594" s="71" t="n">
        <f aca="false">IF(AND('Loan Tape'!$AX75=1,'Loan Tape'!$AW75=3),MAX(0,E79-E685-E988-E1291),0)</f>
        <v>0</v>
      </c>
      <c r="F1594" s="71" t="n">
        <f aca="false">IF(AND('Loan Tape'!$AX75=1,'Loan Tape'!$AW75=4),MAX(0,F79-F685-F988-F1291),0)</f>
        <v>0</v>
      </c>
      <c r="G1594" s="71" t="n">
        <f aca="false">IF(AND('Loan Tape'!$AX75=1,'Loan Tape'!$AW75=5),MAX(0,G79-G685-G988-G1291),0)</f>
        <v>0</v>
      </c>
      <c r="H1594" s="71" t="n">
        <f aca="false">IF(AND('Loan Tape'!$AX75=1,'Loan Tape'!$AW75=6),MAX(0,H79-H685-H988-H1291),0)</f>
        <v>0</v>
      </c>
      <c r="I1594" s="71" t="n">
        <f aca="false">IF(AND('Loan Tape'!$AX75=1,'Loan Tape'!$AW75=7),MAX(0,I79-I685-I988-I1291),0)</f>
        <v>0</v>
      </c>
      <c r="J1594" s="71" t="n">
        <f aca="false">IF(AND('Loan Tape'!$AX75=1,'Loan Tape'!$AW75=8),MAX(0,J79-J685-J988-J1291),0)</f>
        <v>0</v>
      </c>
      <c r="K1594" s="71" t="n">
        <f aca="false">IF(AND('Loan Tape'!$AX75=1,'Loan Tape'!$AW75=9),MAX(0,K79-K685-K988-K1291),0)</f>
        <v>0</v>
      </c>
      <c r="L1594" s="71" t="n">
        <f aca="false">IF(AND('Loan Tape'!$AX75=1,'Loan Tape'!$AW75=10),MAX(0,L79-L685-L988-L1291),0)</f>
        <v>0</v>
      </c>
    </row>
    <row r="1595" customFormat="false" ht="15" hidden="false" customHeight="false" outlineLevel="0" collapsed="false">
      <c r="B1595" s="102" t="n">
        <f aca="false">'Loan Tape'!$A76</f>
        <v>0</v>
      </c>
      <c r="C1595" s="99" t="n">
        <f aca="false">IF(AND('Loan Tape'!$AX76=1,'Loan Tape'!$AW76=1),MAX(0,C80-C686-C989-C1292),0)</f>
        <v>0</v>
      </c>
      <c r="D1595" s="99" t="n">
        <f aca="false">IF(AND('Loan Tape'!$AX76=1,'Loan Tape'!$AW76=2),MAX(0,D80-D686-D989-D1292),0)</f>
        <v>0</v>
      </c>
      <c r="E1595" s="99" t="n">
        <f aca="false">IF(AND('Loan Tape'!$AX76=1,'Loan Tape'!$AW76=3),MAX(0,E80-E686-E989-E1292),0)</f>
        <v>0</v>
      </c>
      <c r="F1595" s="99" t="n">
        <f aca="false">IF(AND('Loan Tape'!$AX76=1,'Loan Tape'!$AW76=4),MAX(0,F80-F686-F989-F1292),0)</f>
        <v>0</v>
      </c>
      <c r="G1595" s="99" t="n">
        <f aca="false">IF(AND('Loan Tape'!$AX76=1,'Loan Tape'!$AW76=5),MAX(0,G80-G686-G989-G1292),0)</f>
        <v>0</v>
      </c>
      <c r="H1595" s="99" t="n">
        <f aca="false">IF(AND('Loan Tape'!$AX76=1,'Loan Tape'!$AW76=6),MAX(0,H80-H686-H989-H1292),0)</f>
        <v>0</v>
      </c>
      <c r="I1595" s="99" t="n">
        <f aca="false">IF(AND('Loan Tape'!$AX76=1,'Loan Tape'!$AW76=7),MAX(0,I80-I686-I989-I1292),0)</f>
        <v>0</v>
      </c>
      <c r="J1595" s="99" t="n">
        <f aca="false">IF(AND('Loan Tape'!$AX76=1,'Loan Tape'!$AW76=8),MAX(0,J80-J686-J989-J1292),0)</f>
        <v>0</v>
      </c>
      <c r="K1595" s="99" t="n">
        <f aca="false">IF(AND('Loan Tape'!$AX76=1,'Loan Tape'!$AW76=9),MAX(0,K80-K686-K989-K1292),0)</f>
        <v>0</v>
      </c>
      <c r="L1595" s="99" t="n">
        <f aca="false">IF(AND('Loan Tape'!$AX76=1,'Loan Tape'!$AW76=10),MAX(0,L80-L686-L989-L1292),0)</f>
        <v>0</v>
      </c>
    </row>
    <row r="1596" customFormat="false" ht="15" hidden="false" customHeight="false" outlineLevel="0" collapsed="false">
      <c r="B1596" s="108" t="n">
        <f aca="false">'Loan Tape'!$A77</f>
        <v>0</v>
      </c>
      <c r="C1596" s="71" t="n">
        <f aca="false">IF(AND('Loan Tape'!$AX77=1,'Loan Tape'!$AW77=1),MAX(0,C81-C687-C990-C1293),0)</f>
        <v>0</v>
      </c>
      <c r="D1596" s="71" t="n">
        <f aca="false">IF(AND('Loan Tape'!$AX77=1,'Loan Tape'!$AW77=2),MAX(0,D81-D687-D990-D1293),0)</f>
        <v>0</v>
      </c>
      <c r="E1596" s="71" t="n">
        <f aca="false">IF(AND('Loan Tape'!$AX77=1,'Loan Tape'!$AW77=3),MAX(0,E81-E687-E990-E1293),0)</f>
        <v>0</v>
      </c>
      <c r="F1596" s="71" t="n">
        <f aca="false">IF(AND('Loan Tape'!$AX77=1,'Loan Tape'!$AW77=4),MAX(0,F81-F687-F990-F1293),0)</f>
        <v>0</v>
      </c>
      <c r="G1596" s="71" t="n">
        <f aca="false">IF(AND('Loan Tape'!$AX77=1,'Loan Tape'!$AW77=5),MAX(0,G81-G687-G990-G1293),0)</f>
        <v>0</v>
      </c>
      <c r="H1596" s="71" t="n">
        <f aca="false">IF(AND('Loan Tape'!$AX77=1,'Loan Tape'!$AW77=6),MAX(0,H81-H687-H990-H1293),0)</f>
        <v>0</v>
      </c>
      <c r="I1596" s="71" t="n">
        <f aca="false">IF(AND('Loan Tape'!$AX77=1,'Loan Tape'!$AW77=7),MAX(0,I81-I687-I990-I1293),0)</f>
        <v>0</v>
      </c>
      <c r="J1596" s="71" t="n">
        <f aca="false">IF(AND('Loan Tape'!$AX77=1,'Loan Tape'!$AW77=8),MAX(0,J81-J687-J990-J1293),0)</f>
        <v>0</v>
      </c>
      <c r="K1596" s="71" t="n">
        <f aca="false">IF(AND('Loan Tape'!$AX77=1,'Loan Tape'!$AW77=9),MAX(0,K81-K687-K990-K1293),0)</f>
        <v>0</v>
      </c>
      <c r="L1596" s="71" t="n">
        <f aca="false">IF(AND('Loan Tape'!$AX77=1,'Loan Tape'!$AW77=10),MAX(0,L81-L687-L990-L1293),0)</f>
        <v>0</v>
      </c>
    </row>
    <row r="1597" customFormat="false" ht="15" hidden="false" customHeight="false" outlineLevel="0" collapsed="false">
      <c r="B1597" s="102" t="n">
        <f aca="false">'Loan Tape'!$A78</f>
        <v>0</v>
      </c>
      <c r="C1597" s="99" t="n">
        <f aca="false">IF(AND('Loan Tape'!$AX78=1,'Loan Tape'!$AW78=1),MAX(0,C82-C688-C991-C1294),0)</f>
        <v>0</v>
      </c>
      <c r="D1597" s="99" t="n">
        <f aca="false">IF(AND('Loan Tape'!$AX78=1,'Loan Tape'!$AW78=2),MAX(0,D82-D688-D991-D1294),0)</f>
        <v>0</v>
      </c>
      <c r="E1597" s="99" t="n">
        <f aca="false">IF(AND('Loan Tape'!$AX78=1,'Loan Tape'!$AW78=3),MAX(0,E82-E688-E991-E1294),0)</f>
        <v>0</v>
      </c>
      <c r="F1597" s="99" t="n">
        <f aca="false">IF(AND('Loan Tape'!$AX78=1,'Loan Tape'!$AW78=4),MAX(0,F82-F688-F991-F1294),0)</f>
        <v>0</v>
      </c>
      <c r="G1597" s="99" t="n">
        <f aca="false">IF(AND('Loan Tape'!$AX78=1,'Loan Tape'!$AW78=5),MAX(0,G82-G688-G991-G1294),0)</f>
        <v>0</v>
      </c>
      <c r="H1597" s="99" t="n">
        <f aca="false">IF(AND('Loan Tape'!$AX78=1,'Loan Tape'!$AW78=6),MAX(0,H82-H688-H991-H1294),0)</f>
        <v>0</v>
      </c>
      <c r="I1597" s="99" t="n">
        <f aca="false">IF(AND('Loan Tape'!$AX78=1,'Loan Tape'!$AW78=7),MAX(0,I82-I688-I991-I1294),0)</f>
        <v>0</v>
      </c>
      <c r="J1597" s="99" t="n">
        <f aca="false">IF(AND('Loan Tape'!$AX78=1,'Loan Tape'!$AW78=8),MAX(0,J82-J688-J991-J1294),0)</f>
        <v>0</v>
      </c>
      <c r="K1597" s="99" t="n">
        <f aca="false">IF(AND('Loan Tape'!$AX78=1,'Loan Tape'!$AW78=9),MAX(0,K82-K688-K991-K1294),0)</f>
        <v>0</v>
      </c>
      <c r="L1597" s="99" t="n">
        <f aca="false">IF(AND('Loan Tape'!$AX78=1,'Loan Tape'!$AW78=10),MAX(0,L82-L688-L991-L1294),0)</f>
        <v>0</v>
      </c>
    </row>
    <row r="1598" customFormat="false" ht="15" hidden="false" customHeight="false" outlineLevel="0" collapsed="false">
      <c r="B1598" s="108" t="n">
        <f aca="false">'Loan Tape'!$A79</f>
        <v>0</v>
      </c>
      <c r="C1598" s="71" t="n">
        <f aca="false">IF(AND('Loan Tape'!$AX79=1,'Loan Tape'!$AW79=1),MAX(0,C83-C689-C992-C1295),0)</f>
        <v>0</v>
      </c>
      <c r="D1598" s="71" t="n">
        <f aca="false">IF(AND('Loan Tape'!$AX79=1,'Loan Tape'!$AW79=2),MAX(0,D83-D689-D992-D1295),0)</f>
        <v>0</v>
      </c>
      <c r="E1598" s="71" t="n">
        <f aca="false">IF(AND('Loan Tape'!$AX79=1,'Loan Tape'!$AW79=3),MAX(0,E83-E689-E992-E1295),0)</f>
        <v>0</v>
      </c>
      <c r="F1598" s="71" t="n">
        <f aca="false">IF(AND('Loan Tape'!$AX79=1,'Loan Tape'!$AW79=4),MAX(0,F83-F689-F992-F1295),0)</f>
        <v>0</v>
      </c>
      <c r="G1598" s="71" t="n">
        <f aca="false">IF(AND('Loan Tape'!$AX79=1,'Loan Tape'!$AW79=5),MAX(0,G83-G689-G992-G1295),0)</f>
        <v>0</v>
      </c>
      <c r="H1598" s="71" t="n">
        <f aca="false">IF(AND('Loan Tape'!$AX79=1,'Loan Tape'!$AW79=6),MAX(0,H83-H689-H992-H1295),0)</f>
        <v>0</v>
      </c>
      <c r="I1598" s="71" t="n">
        <f aca="false">IF(AND('Loan Tape'!$AX79=1,'Loan Tape'!$AW79=7),MAX(0,I83-I689-I992-I1295),0)</f>
        <v>0</v>
      </c>
      <c r="J1598" s="71" t="n">
        <f aca="false">IF(AND('Loan Tape'!$AX79=1,'Loan Tape'!$AW79=8),MAX(0,J83-J689-J992-J1295),0)</f>
        <v>0</v>
      </c>
      <c r="K1598" s="71" t="n">
        <f aca="false">IF(AND('Loan Tape'!$AX79=1,'Loan Tape'!$AW79=9),MAX(0,K83-K689-K992-K1295),0)</f>
        <v>0</v>
      </c>
      <c r="L1598" s="71" t="n">
        <f aca="false">IF(AND('Loan Tape'!$AX79=1,'Loan Tape'!$AW79=10),MAX(0,L83-L689-L992-L1295),0)</f>
        <v>0</v>
      </c>
    </row>
    <row r="1599" customFormat="false" ht="15" hidden="false" customHeight="false" outlineLevel="0" collapsed="false">
      <c r="B1599" s="102" t="n">
        <f aca="false">'Loan Tape'!$A80</f>
        <v>0</v>
      </c>
      <c r="C1599" s="99" t="n">
        <f aca="false">IF(AND('Loan Tape'!$AX80=1,'Loan Tape'!$AW80=1),MAX(0,C84-C690-C993-C1296),0)</f>
        <v>0</v>
      </c>
      <c r="D1599" s="99" t="n">
        <f aca="false">IF(AND('Loan Tape'!$AX80=1,'Loan Tape'!$AW80=2),MAX(0,D84-D690-D993-D1296),0)</f>
        <v>0</v>
      </c>
      <c r="E1599" s="99" t="n">
        <f aca="false">IF(AND('Loan Tape'!$AX80=1,'Loan Tape'!$AW80=3),MAX(0,E84-E690-E993-E1296),0)</f>
        <v>0</v>
      </c>
      <c r="F1599" s="99" t="n">
        <f aca="false">IF(AND('Loan Tape'!$AX80=1,'Loan Tape'!$AW80=4),MAX(0,F84-F690-F993-F1296),0)</f>
        <v>0</v>
      </c>
      <c r="G1599" s="99" t="n">
        <f aca="false">IF(AND('Loan Tape'!$AX80=1,'Loan Tape'!$AW80=5),MAX(0,G84-G690-G993-G1296),0)</f>
        <v>0</v>
      </c>
      <c r="H1599" s="99" t="n">
        <f aca="false">IF(AND('Loan Tape'!$AX80=1,'Loan Tape'!$AW80=6),MAX(0,H84-H690-H993-H1296),0)</f>
        <v>0</v>
      </c>
      <c r="I1599" s="99" t="n">
        <f aca="false">IF(AND('Loan Tape'!$AX80=1,'Loan Tape'!$AW80=7),MAX(0,I84-I690-I993-I1296),0)</f>
        <v>0</v>
      </c>
      <c r="J1599" s="99" t="n">
        <f aca="false">IF(AND('Loan Tape'!$AX80=1,'Loan Tape'!$AW80=8),MAX(0,J84-J690-J993-J1296),0)</f>
        <v>0</v>
      </c>
      <c r="K1599" s="99" t="n">
        <f aca="false">IF(AND('Loan Tape'!$AX80=1,'Loan Tape'!$AW80=9),MAX(0,K84-K690-K993-K1296),0)</f>
        <v>0</v>
      </c>
      <c r="L1599" s="99" t="n">
        <f aca="false">IF(AND('Loan Tape'!$AX80=1,'Loan Tape'!$AW80=10),MAX(0,L84-L690-L993-L1296),0)</f>
        <v>0</v>
      </c>
    </row>
    <row r="1600" customFormat="false" ht="15" hidden="false" customHeight="false" outlineLevel="0" collapsed="false">
      <c r="B1600" s="108" t="n">
        <f aca="false">'Loan Tape'!$A81</f>
        <v>0</v>
      </c>
      <c r="C1600" s="71" t="n">
        <f aca="false">IF(AND('Loan Tape'!$AX81=1,'Loan Tape'!$AW81=1),MAX(0,C85-C691-C994-C1297),0)</f>
        <v>0</v>
      </c>
      <c r="D1600" s="71" t="n">
        <f aca="false">IF(AND('Loan Tape'!$AX81=1,'Loan Tape'!$AW81=2),MAX(0,D85-D691-D994-D1297),0)</f>
        <v>0</v>
      </c>
      <c r="E1600" s="71" t="n">
        <f aca="false">IF(AND('Loan Tape'!$AX81=1,'Loan Tape'!$AW81=3),MAX(0,E85-E691-E994-E1297),0)</f>
        <v>0</v>
      </c>
      <c r="F1600" s="71" t="n">
        <f aca="false">IF(AND('Loan Tape'!$AX81=1,'Loan Tape'!$AW81=4),MAX(0,F85-F691-F994-F1297),0)</f>
        <v>0</v>
      </c>
      <c r="G1600" s="71" t="n">
        <f aca="false">IF(AND('Loan Tape'!$AX81=1,'Loan Tape'!$AW81=5),MAX(0,G85-G691-G994-G1297),0)</f>
        <v>0</v>
      </c>
      <c r="H1600" s="71" t="n">
        <f aca="false">IF(AND('Loan Tape'!$AX81=1,'Loan Tape'!$AW81=6),MAX(0,H85-H691-H994-H1297),0)</f>
        <v>0</v>
      </c>
      <c r="I1600" s="71" t="n">
        <f aca="false">IF(AND('Loan Tape'!$AX81=1,'Loan Tape'!$AW81=7),MAX(0,I85-I691-I994-I1297),0)</f>
        <v>0</v>
      </c>
      <c r="J1600" s="71" t="n">
        <f aca="false">IF(AND('Loan Tape'!$AX81=1,'Loan Tape'!$AW81=8),MAX(0,J85-J691-J994-J1297),0)</f>
        <v>0</v>
      </c>
      <c r="K1600" s="71" t="n">
        <f aca="false">IF(AND('Loan Tape'!$AX81=1,'Loan Tape'!$AW81=9),MAX(0,K85-K691-K994-K1297),0)</f>
        <v>0</v>
      </c>
      <c r="L1600" s="71" t="n">
        <f aca="false">IF(AND('Loan Tape'!$AX81=1,'Loan Tape'!$AW81=10),MAX(0,L85-L691-L994-L1297),0)</f>
        <v>0</v>
      </c>
    </row>
    <row r="1601" customFormat="false" ht="15" hidden="false" customHeight="false" outlineLevel="0" collapsed="false">
      <c r="B1601" s="102" t="n">
        <f aca="false">'Loan Tape'!$A82</f>
        <v>0</v>
      </c>
      <c r="C1601" s="99" t="n">
        <f aca="false">IF(AND('Loan Tape'!$AX82=1,'Loan Tape'!$AW82=1),MAX(0,C86-C692-C995-C1298),0)</f>
        <v>0</v>
      </c>
      <c r="D1601" s="99" t="n">
        <f aca="false">IF(AND('Loan Tape'!$AX82=1,'Loan Tape'!$AW82=2),MAX(0,D86-D692-D995-D1298),0)</f>
        <v>0</v>
      </c>
      <c r="E1601" s="99" t="n">
        <f aca="false">IF(AND('Loan Tape'!$AX82=1,'Loan Tape'!$AW82=3),MAX(0,E86-E692-E995-E1298),0)</f>
        <v>0</v>
      </c>
      <c r="F1601" s="99" t="n">
        <f aca="false">IF(AND('Loan Tape'!$AX82=1,'Loan Tape'!$AW82=4),MAX(0,F86-F692-F995-F1298),0)</f>
        <v>0</v>
      </c>
      <c r="G1601" s="99" t="n">
        <f aca="false">IF(AND('Loan Tape'!$AX82=1,'Loan Tape'!$AW82=5),MAX(0,G86-G692-G995-G1298),0)</f>
        <v>0</v>
      </c>
      <c r="H1601" s="99" t="n">
        <f aca="false">IF(AND('Loan Tape'!$AX82=1,'Loan Tape'!$AW82=6),MAX(0,H86-H692-H995-H1298),0)</f>
        <v>0</v>
      </c>
      <c r="I1601" s="99" t="n">
        <f aca="false">IF(AND('Loan Tape'!$AX82=1,'Loan Tape'!$AW82=7),MAX(0,I86-I692-I995-I1298),0)</f>
        <v>0</v>
      </c>
      <c r="J1601" s="99" t="n">
        <f aca="false">IF(AND('Loan Tape'!$AX82=1,'Loan Tape'!$AW82=8),MAX(0,J86-J692-J995-J1298),0)</f>
        <v>0</v>
      </c>
      <c r="K1601" s="99" t="n">
        <f aca="false">IF(AND('Loan Tape'!$AX82=1,'Loan Tape'!$AW82=9),MAX(0,K86-K692-K995-K1298),0)</f>
        <v>0</v>
      </c>
      <c r="L1601" s="99" t="n">
        <f aca="false">IF(AND('Loan Tape'!$AX82=1,'Loan Tape'!$AW82=10),MAX(0,L86-L692-L995-L1298),0)</f>
        <v>0</v>
      </c>
    </row>
    <row r="1602" customFormat="false" ht="15" hidden="false" customHeight="false" outlineLevel="0" collapsed="false">
      <c r="B1602" s="108" t="n">
        <f aca="false">'Loan Tape'!$A83</f>
        <v>0</v>
      </c>
      <c r="C1602" s="71" t="n">
        <f aca="false">IF(AND('Loan Tape'!$AX83=1,'Loan Tape'!$AW83=1),MAX(0,C87-C693-C996-C1299),0)</f>
        <v>0</v>
      </c>
      <c r="D1602" s="71" t="n">
        <f aca="false">IF(AND('Loan Tape'!$AX83=1,'Loan Tape'!$AW83=2),MAX(0,D87-D693-D996-D1299),0)</f>
        <v>0</v>
      </c>
      <c r="E1602" s="71" t="n">
        <f aca="false">IF(AND('Loan Tape'!$AX83=1,'Loan Tape'!$AW83=3),MAX(0,E87-E693-E996-E1299),0)</f>
        <v>0</v>
      </c>
      <c r="F1602" s="71" t="n">
        <f aca="false">IF(AND('Loan Tape'!$AX83=1,'Loan Tape'!$AW83=4),MAX(0,F87-F693-F996-F1299),0)</f>
        <v>0</v>
      </c>
      <c r="G1602" s="71" t="n">
        <f aca="false">IF(AND('Loan Tape'!$AX83=1,'Loan Tape'!$AW83=5),MAX(0,G87-G693-G996-G1299),0)</f>
        <v>0</v>
      </c>
      <c r="H1602" s="71" t="n">
        <f aca="false">IF(AND('Loan Tape'!$AX83=1,'Loan Tape'!$AW83=6),MAX(0,H87-H693-H996-H1299),0)</f>
        <v>0</v>
      </c>
      <c r="I1602" s="71" t="n">
        <f aca="false">IF(AND('Loan Tape'!$AX83=1,'Loan Tape'!$AW83=7),MAX(0,I87-I693-I996-I1299),0)</f>
        <v>0</v>
      </c>
      <c r="J1602" s="71" t="n">
        <f aca="false">IF(AND('Loan Tape'!$AX83=1,'Loan Tape'!$AW83=8),MAX(0,J87-J693-J996-J1299),0)</f>
        <v>0</v>
      </c>
      <c r="K1602" s="71" t="n">
        <f aca="false">IF(AND('Loan Tape'!$AX83=1,'Loan Tape'!$AW83=9),MAX(0,K87-K693-K996-K1299),0)</f>
        <v>0</v>
      </c>
      <c r="L1602" s="71" t="n">
        <f aca="false">IF(AND('Loan Tape'!$AX83=1,'Loan Tape'!$AW83=10),MAX(0,L87-L693-L996-L1299),0)</f>
        <v>0</v>
      </c>
    </row>
    <row r="1603" customFormat="false" ht="15" hidden="false" customHeight="false" outlineLevel="0" collapsed="false">
      <c r="B1603" s="102" t="n">
        <f aca="false">'Loan Tape'!$A84</f>
        <v>0</v>
      </c>
      <c r="C1603" s="99" t="n">
        <f aca="false">IF(AND('Loan Tape'!$AX84=1,'Loan Tape'!$AW84=1),MAX(0,C88-C694-C997-C1300),0)</f>
        <v>0</v>
      </c>
      <c r="D1603" s="99" t="n">
        <f aca="false">IF(AND('Loan Tape'!$AX84=1,'Loan Tape'!$AW84=2),MAX(0,D88-D694-D997-D1300),0)</f>
        <v>0</v>
      </c>
      <c r="E1603" s="99" t="n">
        <f aca="false">IF(AND('Loan Tape'!$AX84=1,'Loan Tape'!$AW84=3),MAX(0,E88-E694-E997-E1300),0)</f>
        <v>0</v>
      </c>
      <c r="F1603" s="99" t="n">
        <f aca="false">IF(AND('Loan Tape'!$AX84=1,'Loan Tape'!$AW84=4),MAX(0,F88-F694-F997-F1300),0)</f>
        <v>0</v>
      </c>
      <c r="G1603" s="99" t="n">
        <f aca="false">IF(AND('Loan Tape'!$AX84=1,'Loan Tape'!$AW84=5),MAX(0,G88-G694-G997-G1300),0)</f>
        <v>0</v>
      </c>
      <c r="H1603" s="99" t="n">
        <f aca="false">IF(AND('Loan Tape'!$AX84=1,'Loan Tape'!$AW84=6),MAX(0,H88-H694-H997-H1300),0)</f>
        <v>0</v>
      </c>
      <c r="I1603" s="99" t="n">
        <f aca="false">IF(AND('Loan Tape'!$AX84=1,'Loan Tape'!$AW84=7),MAX(0,I88-I694-I997-I1300),0)</f>
        <v>0</v>
      </c>
      <c r="J1603" s="99" t="n">
        <f aca="false">IF(AND('Loan Tape'!$AX84=1,'Loan Tape'!$AW84=8),MAX(0,J88-J694-J997-J1300),0)</f>
        <v>0</v>
      </c>
      <c r="K1603" s="99" t="n">
        <f aca="false">IF(AND('Loan Tape'!$AX84=1,'Loan Tape'!$AW84=9),MAX(0,K88-K694-K997-K1300),0)</f>
        <v>0</v>
      </c>
      <c r="L1603" s="99" t="n">
        <f aca="false">IF(AND('Loan Tape'!$AX84=1,'Loan Tape'!$AW84=10),MAX(0,L88-L694-L997-L1300),0)</f>
        <v>0</v>
      </c>
    </row>
    <row r="1604" customFormat="false" ht="15" hidden="false" customHeight="false" outlineLevel="0" collapsed="false">
      <c r="B1604" s="108" t="n">
        <f aca="false">'Loan Tape'!$A85</f>
        <v>0</v>
      </c>
      <c r="C1604" s="71" t="n">
        <f aca="false">IF(AND('Loan Tape'!$AX85=1,'Loan Tape'!$AW85=1),MAX(0,C89-C695-C998-C1301),0)</f>
        <v>0</v>
      </c>
      <c r="D1604" s="71" t="n">
        <f aca="false">IF(AND('Loan Tape'!$AX85=1,'Loan Tape'!$AW85=2),MAX(0,D89-D695-D998-D1301),0)</f>
        <v>0</v>
      </c>
      <c r="E1604" s="71" t="n">
        <f aca="false">IF(AND('Loan Tape'!$AX85=1,'Loan Tape'!$AW85=3),MAX(0,E89-E695-E998-E1301),0)</f>
        <v>0</v>
      </c>
      <c r="F1604" s="71" t="n">
        <f aca="false">IF(AND('Loan Tape'!$AX85=1,'Loan Tape'!$AW85=4),MAX(0,F89-F695-F998-F1301),0)</f>
        <v>0</v>
      </c>
      <c r="G1604" s="71" t="n">
        <f aca="false">IF(AND('Loan Tape'!$AX85=1,'Loan Tape'!$AW85=5),MAX(0,G89-G695-G998-G1301),0)</f>
        <v>0</v>
      </c>
      <c r="H1604" s="71" t="n">
        <f aca="false">IF(AND('Loan Tape'!$AX85=1,'Loan Tape'!$AW85=6),MAX(0,H89-H695-H998-H1301),0)</f>
        <v>0</v>
      </c>
      <c r="I1604" s="71" t="n">
        <f aca="false">IF(AND('Loan Tape'!$AX85=1,'Loan Tape'!$AW85=7),MAX(0,I89-I695-I998-I1301),0)</f>
        <v>0</v>
      </c>
      <c r="J1604" s="71" t="n">
        <f aca="false">IF(AND('Loan Tape'!$AX85=1,'Loan Tape'!$AW85=8),MAX(0,J89-J695-J998-J1301),0)</f>
        <v>0</v>
      </c>
      <c r="K1604" s="71" t="n">
        <f aca="false">IF(AND('Loan Tape'!$AX85=1,'Loan Tape'!$AW85=9),MAX(0,K89-K695-K998-K1301),0)</f>
        <v>0</v>
      </c>
      <c r="L1604" s="71" t="n">
        <f aca="false">IF(AND('Loan Tape'!$AX85=1,'Loan Tape'!$AW85=10),MAX(0,L89-L695-L998-L1301),0)</f>
        <v>0</v>
      </c>
    </row>
    <row r="1605" customFormat="false" ht="15" hidden="false" customHeight="false" outlineLevel="0" collapsed="false">
      <c r="B1605" s="102" t="n">
        <f aca="false">'Loan Tape'!$A86</f>
        <v>0</v>
      </c>
      <c r="C1605" s="99" t="n">
        <f aca="false">IF(AND('Loan Tape'!$AX86=1,'Loan Tape'!$AW86=1),MAX(0,C90-C696-C999-C1302),0)</f>
        <v>0</v>
      </c>
      <c r="D1605" s="99" t="n">
        <f aca="false">IF(AND('Loan Tape'!$AX86=1,'Loan Tape'!$AW86=2),MAX(0,D90-D696-D999-D1302),0)</f>
        <v>0</v>
      </c>
      <c r="E1605" s="99" t="n">
        <f aca="false">IF(AND('Loan Tape'!$AX86=1,'Loan Tape'!$AW86=3),MAX(0,E90-E696-E999-E1302),0)</f>
        <v>0</v>
      </c>
      <c r="F1605" s="99" t="n">
        <f aca="false">IF(AND('Loan Tape'!$AX86=1,'Loan Tape'!$AW86=4),MAX(0,F90-F696-F999-F1302),0)</f>
        <v>0</v>
      </c>
      <c r="G1605" s="99" t="n">
        <f aca="false">IF(AND('Loan Tape'!$AX86=1,'Loan Tape'!$AW86=5),MAX(0,G90-G696-G999-G1302),0)</f>
        <v>0</v>
      </c>
      <c r="H1605" s="99" t="n">
        <f aca="false">IF(AND('Loan Tape'!$AX86=1,'Loan Tape'!$AW86=6),MAX(0,H90-H696-H999-H1302),0)</f>
        <v>0</v>
      </c>
      <c r="I1605" s="99" t="n">
        <f aca="false">IF(AND('Loan Tape'!$AX86=1,'Loan Tape'!$AW86=7),MAX(0,I90-I696-I999-I1302),0)</f>
        <v>0</v>
      </c>
      <c r="J1605" s="99" t="n">
        <f aca="false">IF(AND('Loan Tape'!$AX86=1,'Loan Tape'!$AW86=8),MAX(0,J90-J696-J999-J1302),0)</f>
        <v>0</v>
      </c>
      <c r="K1605" s="99" t="n">
        <f aca="false">IF(AND('Loan Tape'!$AX86=1,'Loan Tape'!$AW86=9),MAX(0,K90-K696-K999-K1302),0)</f>
        <v>0</v>
      </c>
      <c r="L1605" s="99" t="n">
        <f aca="false">IF(AND('Loan Tape'!$AX86=1,'Loan Tape'!$AW86=10),MAX(0,L90-L696-L999-L1302),0)</f>
        <v>0</v>
      </c>
    </row>
    <row r="1606" customFormat="false" ht="15" hidden="false" customHeight="false" outlineLevel="0" collapsed="false">
      <c r="B1606" s="108" t="n">
        <f aca="false">'Loan Tape'!$A87</f>
        <v>0</v>
      </c>
      <c r="C1606" s="71" t="n">
        <f aca="false">IF(AND('Loan Tape'!$AX87=1,'Loan Tape'!$AW87=1),MAX(0,C91-C697-C1000-C1303),0)</f>
        <v>0</v>
      </c>
      <c r="D1606" s="71" t="n">
        <f aca="false">IF(AND('Loan Tape'!$AX87=1,'Loan Tape'!$AW87=2),MAX(0,D91-D697-D1000-D1303),0)</f>
        <v>0</v>
      </c>
      <c r="E1606" s="71" t="n">
        <f aca="false">IF(AND('Loan Tape'!$AX87=1,'Loan Tape'!$AW87=3),MAX(0,E91-E697-E1000-E1303),0)</f>
        <v>0</v>
      </c>
      <c r="F1606" s="71" t="n">
        <f aca="false">IF(AND('Loan Tape'!$AX87=1,'Loan Tape'!$AW87=4),MAX(0,F91-F697-F1000-F1303),0)</f>
        <v>0</v>
      </c>
      <c r="G1606" s="71" t="n">
        <f aca="false">IF(AND('Loan Tape'!$AX87=1,'Loan Tape'!$AW87=5),MAX(0,G91-G697-G1000-G1303),0)</f>
        <v>0</v>
      </c>
      <c r="H1606" s="71" t="n">
        <f aca="false">IF(AND('Loan Tape'!$AX87=1,'Loan Tape'!$AW87=6),MAX(0,H91-H697-H1000-H1303),0)</f>
        <v>0</v>
      </c>
      <c r="I1606" s="71" t="n">
        <f aca="false">IF(AND('Loan Tape'!$AX87=1,'Loan Tape'!$AW87=7),MAX(0,I91-I697-I1000-I1303),0)</f>
        <v>0</v>
      </c>
      <c r="J1606" s="71" t="n">
        <f aca="false">IF(AND('Loan Tape'!$AX87=1,'Loan Tape'!$AW87=8),MAX(0,J91-J697-J1000-J1303),0)</f>
        <v>0</v>
      </c>
      <c r="K1606" s="71" t="n">
        <f aca="false">IF(AND('Loan Tape'!$AX87=1,'Loan Tape'!$AW87=9),MAX(0,K91-K697-K1000-K1303),0)</f>
        <v>0</v>
      </c>
      <c r="L1606" s="71" t="n">
        <f aca="false">IF(AND('Loan Tape'!$AX87=1,'Loan Tape'!$AW87=10),MAX(0,L91-L697-L1000-L1303),0)</f>
        <v>0</v>
      </c>
    </row>
    <row r="1607" customFormat="false" ht="15" hidden="false" customHeight="false" outlineLevel="0" collapsed="false">
      <c r="B1607" s="102" t="n">
        <f aca="false">'Loan Tape'!$A88</f>
        <v>0</v>
      </c>
      <c r="C1607" s="99" t="n">
        <f aca="false">IF(AND('Loan Tape'!$AX88=1,'Loan Tape'!$AW88=1),MAX(0,C92-C698-C1001-C1304),0)</f>
        <v>0</v>
      </c>
      <c r="D1607" s="99" t="n">
        <f aca="false">IF(AND('Loan Tape'!$AX88=1,'Loan Tape'!$AW88=2),MAX(0,D92-D698-D1001-D1304),0)</f>
        <v>0</v>
      </c>
      <c r="E1607" s="99" t="n">
        <f aca="false">IF(AND('Loan Tape'!$AX88=1,'Loan Tape'!$AW88=3),MAX(0,E92-E698-E1001-E1304),0)</f>
        <v>0</v>
      </c>
      <c r="F1607" s="99" t="n">
        <f aca="false">IF(AND('Loan Tape'!$AX88=1,'Loan Tape'!$AW88=4),MAX(0,F92-F698-F1001-F1304),0)</f>
        <v>0</v>
      </c>
      <c r="G1607" s="99" t="n">
        <f aca="false">IF(AND('Loan Tape'!$AX88=1,'Loan Tape'!$AW88=5),MAX(0,G92-G698-G1001-G1304),0)</f>
        <v>0</v>
      </c>
      <c r="H1607" s="99" t="n">
        <f aca="false">IF(AND('Loan Tape'!$AX88=1,'Loan Tape'!$AW88=6),MAX(0,H92-H698-H1001-H1304),0)</f>
        <v>0</v>
      </c>
      <c r="I1607" s="99" t="n">
        <f aca="false">IF(AND('Loan Tape'!$AX88=1,'Loan Tape'!$AW88=7),MAX(0,I92-I698-I1001-I1304),0)</f>
        <v>0</v>
      </c>
      <c r="J1607" s="99" t="n">
        <f aca="false">IF(AND('Loan Tape'!$AX88=1,'Loan Tape'!$AW88=8),MAX(0,J92-J698-J1001-J1304),0)</f>
        <v>0</v>
      </c>
      <c r="K1607" s="99" t="n">
        <f aca="false">IF(AND('Loan Tape'!$AX88=1,'Loan Tape'!$AW88=9),MAX(0,K92-K698-K1001-K1304),0)</f>
        <v>0</v>
      </c>
      <c r="L1607" s="99" t="n">
        <f aca="false">IF(AND('Loan Tape'!$AX88=1,'Loan Tape'!$AW88=10),MAX(0,L92-L698-L1001-L1304),0)</f>
        <v>0</v>
      </c>
    </row>
    <row r="1608" customFormat="false" ht="15" hidden="false" customHeight="false" outlineLevel="0" collapsed="false">
      <c r="B1608" s="108" t="n">
        <f aca="false">'Loan Tape'!$A89</f>
        <v>0</v>
      </c>
      <c r="C1608" s="71" t="n">
        <f aca="false">IF(AND('Loan Tape'!$AX89=1,'Loan Tape'!$AW89=1),MAX(0,C93-C699-C1002-C1305),0)</f>
        <v>0</v>
      </c>
      <c r="D1608" s="71" t="n">
        <f aca="false">IF(AND('Loan Tape'!$AX89=1,'Loan Tape'!$AW89=2),MAX(0,D93-D699-D1002-D1305),0)</f>
        <v>0</v>
      </c>
      <c r="E1608" s="71" t="n">
        <f aca="false">IF(AND('Loan Tape'!$AX89=1,'Loan Tape'!$AW89=3),MAX(0,E93-E699-E1002-E1305),0)</f>
        <v>0</v>
      </c>
      <c r="F1608" s="71" t="n">
        <f aca="false">IF(AND('Loan Tape'!$AX89=1,'Loan Tape'!$AW89=4),MAX(0,F93-F699-F1002-F1305),0)</f>
        <v>0</v>
      </c>
      <c r="G1608" s="71" t="n">
        <f aca="false">IF(AND('Loan Tape'!$AX89=1,'Loan Tape'!$AW89=5),MAX(0,G93-G699-G1002-G1305),0)</f>
        <v>0</v>
      </c>
      <c r="H1608" s="71" t="n">
        <f aca="false">IF(AND('Loan Tape'!$AX89=1,'Loan Tape'!$AW89=6),MAX(0,H93-H699-H1002-H1305),0)</f>
        <v>0</v>
      </c>
      <c r="I1608" s="71" t="n">
        <f aca="false">IF(AND('Loan Tape'!$AX89=1,'Loan Tape'!$AW89=7),MAX(0,I93-I699-I1002-I1305),0)</f>
        <v>0</v>
      </c>
      <c r="J1608" s="71" t="n">
        <f aca="false">IF(AND('Loan Tape'!$AX89=1,'Loan Tape'!$AW89=8),MAX(0,J93-J699-J1002-J1305),0)</f>
        <v>0</v>
      </c>
      <c r="K1608" s="71" t="n">
        <f aca="false">IF(AND('Loan Tape'!$AX89=1,'Loan Tape'!$AW89=9),MAX(0,K93-K699-K1002-K1305),0)</f>
        <v>0</v>
      </c>
      <c r="L1608" s="71" t="n">
        <f aca="false">IF(AND('Loan Tape'!$AX89=1,'Loan Tape'!$AW89=10),MAX(0,L93-L699-L1002-L1305),0)</f>
        <v>0</v>
      </c>
    </row>
    <row r="1609" customFormat="false" ht="15" hidden="false" customHeight="false" outlineLevel="0" collapsed="false">
      <c r="B1609" s="102" t="n">
        <f aca="false">'Loan Tape'!$A90</f>
        <v>0</v>
      </c>
      <c r="C1609" s="99" t="n">
        <f aca="false">IF(AND('Loan Tape'!$AX90=1,'Loan Tape'!$AW90=1),MAX(0,C94-C700-C1003-C1306),0)</f>
        <v>0</v>
      </c>
      <c r="D1609" s="99" t="n">
        <f aca="false">IF(AND('Loan Tape'!$AX90=1,'Loan Tape'!$AW90=2),MAX(0,D94-D700-D1003-D1306),0)</f>
        <v>0</v>
      </c>
      <c r="E1609" s="99" t="n">
        <f aca="false">IF(AND('Loan Tape'!$AX90=1,'Loan Tape'!$AW90=3),MAX(0,E94-E700-E1003-E1306),0)</f>
        <v>0</v>
      </c>
      <c r="F1609" s="99" t="n">
        <f aca="false">IF(AND('Loan Tape'!$AX90=1,'Loan Tape'!$AW90=4),MAX(0,F94-F700-F1003-F1306),0)</f>
        <v>0</v>
      </c>
      <c r="G1609" s="99" t="n">
        <f aca="false">IF(AND('Loan Tape'!$AX90=1,'Loan Tape'!$AW90=5),MAX(0,G94-G700-G1003-G1306),0)</f>
        <v>0</v>
      </c>
      <c r="H1609" s="99" t="n">
        <f aca="false">IF(AND('Loan Tape'!$AX90=1,'Loan Tape'!$AW90=6),MAX(0,H94-H700-H1003-H1306),0)</f>
        <v>0</v>
      </c>
      <c r="I1609" s="99" t="n">
        <f aca="false">IF(AND('Loan Tape'!$AX90=1,'Loan Tape'!$AW90=7),MAX(0,I94-I700-I1003-I1306),0)</f>
        <v>0</v>
      </c>
      <c r="J1609" s="99" t="n">
        <f aca="false">IF(AND('Loan Tape'!$AX90=1,'Loan Tape'!$AW90=8),MAX(0,J94-J700-J1003-J1306),0)</f>
        <v>0</v>
      </c>
      <c r="K1609" s="99" t="n">
        <f aca="false">IF(AND('Loan Tape'!$AX90=1,'Loan Tape'!$AW90=9),MAX(0,K94-K700-K1003-K1306),0)</f>
        <v>0</v>
      </c>
      <c r="L1609" s="99" t="n">
        <f aca="false">IF(AND('Loan Tape'!$AX90=1,'Loan Tape'!$AW90=10),MAX(0,L94-L700-L1003-L1306),0)</f>
        <v>0</v>
      </c>
    </row>
    <row r="1610" customFormat="false" ht="15" hidden="false" customHeight="false" outlineLevel="0" collapsed="false">
      <c r="B1610" s="108" t="n">
        <f aca="false">'Loan Tape'!$A91</f>
        <v>0</v>
      </c>
      <c r="C1610" s="71" t="n">
        <f aca="false">IF(AND('Loan Tape'!$AX91=1,'Loan Tape'!$AW91=1),MAX(0,C95-C701-C1004-C1307),0)</f>
        <v>0</v>
      </c>
      <c r="D1610" s="71" t="n">
        <f aca="false">IF(AND('Loan Tape'!$AX91=1,'Loan Tape'!$AW91=2),MAX(0,D95-D701-D1004-D1307),0)</f>
        <v>0</v>
      </c>
      <c r="E1610" s="71" t="n">
        <f aca="false">IF(AND('Loan Tape'!$AX91=1,'Loan Tape'!$AW91=3),MAX(0,E95-E701-E1004-E1307),0)</f>
        <v>0</v>
      </c>
      <c r="F1610" s="71" t="n">
        <f aca="false">IF(AND('Loan Tape'!$AX91=1,'Loan Tape'!$AW91=4),MAX(0,F95-F701-F1004-F1307),0)</f>
        <v>0</v>
      </c>
      <c r="G1610" s="71" t="n">
        <f aca="false">IF(AND('Loan Tape'!$AX91=1,'Loan Tape'!$AW91=5),MAX(0,G95-G701-G1004-G1307),0)</f>
        <v>0</v>
      </c>
      <c r="H1610" s="71" t="n">
        <f aca="false">IF(AND('Loan Tape'!$AX91=1,'Loan Tape'!$AW91=6),MAX(0,H95-H701-H1004-H1307),0)</f>
        <v>0</v>
      </c>
      <c r="I1610" s="71" t="n">
        <f aca="false">IF(AND('Loan Tape'!$AX91=1,'Loan Tape'!$AW91=7),MAX(0,I95-I701-I1004-I1307),0)</f>
        <v>0</v>
      </c>
      <c r="J1610" s="71" t="n">
        <f aca="false">IF(AND('Loan Tape'!$AX91=1,'Loan Tape'!$AW91=8),MAX(0,J95-J701-J1004-J1307),0)</f>
        <v>0</v>
      </c>
      <c r="K1610" s="71" t="n">
        <f aca="false">IF(AND('Loan Tape'!$AX91=1,'Loan Tape'!$AW91=9),MAX(0,K95-K701-K1004-K1307),0)</f>
        <v>0</v>
      </c>
      <c r="L1610" s="71" t="n">
        <f aca="false">IF(AND('Loan Tape'!$AX91=1,'Loan Tape'!$AW91=10),MAX(0,L95-L701-L1004-L1307),0)</f>
        <v>0</v>
      </c>
    </row>
    <row r="1611" customFormat="false" ht="15" hidden="false" customHeight="false" outlineLevel="0" collapsed="false">
      <c r="B1611" s="102" t="n">
        <f aca="false">'Loan Tape'!$A92</f>
        <v>0</v>
      </c>
      <c r="C1611" s="99" t="n">
        <f aca="false">IF(AND('Loan Tape'!$AX92=1,'Loan Tape'!$AW92=1),MAX(0,C96-C702-C1005-C1308),0)</f>
        <v>0</v>
      </c>
      <c r="D1611" s="99" t="n">
        <f aca="false">IF(AND('Loan Tape'!$AX92=1,'Loan Tape'!$AW92=2),MAX(0,D96-D702-D1005-D1308),0)</f>
        <v>0</v>
      </c>
      <c r="E1611" s="99" t="n">
        <f aca="false">IF(AND('Loan Tape'!$AX92=1,'Loan Tape'!$AW92=3),MAX(0,E96-E702-E1005-E1308),0)</f>
        <v>0</v>
      </c>
      <c r="F1611" s="99" t="n">
        <f aca="false">IF(AND('Loan Tape'!$AX92=1,'Loan Tape'!$AW92=4),MAX(0,F96-F702-F1005-F1308),0)</f>
        <v>0</v>
      </c>
      <c r="G1611" s="99" t="n">
        <f aca="false">IF(AND('Loan Tape'!$AX92=1,'Loan Tape'!$AW92=5),MAX(0,G96-G702-G1005-G1308),0)</f>
        <v>0</v>
      </c>
      <c r="H1611" s="99" t="n">
        <f aca="false">IF(AND('Loan Tape'!$AX92=1,'Loan Tape'!$AW92=6),MAX(0,H96-H702-H1005-H1308),0)</f>
        <v>0</v>
      </c>
      <c r="I1611" s="99" t="n">
        <f aca="false">IF(AND('Loan Tape'!$AX92=1,'Loan Tape'!$AW92=7),MAX(0,I96-I702-I1005-I1308),0)</f>
        <v>0</v>
      </c>
      <c r="J1611" s="99" t="n">
        <f aca="false">IF(AND('Loan Tape'!$AX92=1,'Loan Tape'!$AW92=8),MAX(0,J96-J702-J1005-J1308),0)</f>
        <v>0</v>
      </c>
      <c r="K1611" s="99" t="n">
        <f aca="false">IF(AND('Loan Tape'!$AX92=1,'Loan Tape'!$AW92=9),MAX(0,K96-K702-K1005-K1308),0)</f>
        <v>0</v>
      </c>
      <c r="L1611" s="99" t="n">
        <f aca="false">IF(AND('Loan Tape'!$AX92=1,'Loan Tape'!$AW92=10),MAX(0,L96-L702-L1005-L1308),0)</f>
        <v>0</v>
      </c>
    </row>
    <row r="1612" customFormat="false" ht="15" hidden="false" customHeight="false" outlineLevel="0" collapsed="false">
      <c r="B1612" s="108" t="n">
        <f aca="false">'Loan Tape'!$A93</f>
        <v>0</v>
      </c>
      <c r="C1612" s="71" t="n">
        <f aca="false">IF(AND('Loan Tape'!$AX93=1,'Loan Tape'!$AW93=1),MAX(0,C97-C703-C1006-C1309),0)</f>
        <v>0</v>
      </c>
      <c r="D1612" s="71" t="n">
        <f aca="false">IF(AND('Loan Tape'!$AX93=1,'Loan Tape'!$AW93=2),MAX(0,D97-D703-D1006-D1309),0)</f>
        <v>0</v>
      </c>
      <c r="E1612" s="71" t="n">
        <f aca="false">IF(AND('Loan Tape'!$AX93=1,'Loan Tape'!$AW93=3),MAX(0,E97-E703-E1006-E1309),0)</f>
        <v>0</v>
      </c>
      <c r="F1612" s="71" t="n">
        <f aca="false">IF(AND('Loan Tape'!$AX93=1,'Loan Tape'!$AW93=4),MAX(0,F97-F703-F1006-F1309),0)</f>
        <v>0</v>
      </c>
      <c r="G1612" s="71" t="n">
        <f aca="false">IF(AND('Loan Tape'!$AX93=1,'Loan Tape'!$AW93=5),MAX(0,G97-G703-G1006-G1309),0)</f>
        <v>0</v>
      </c>
      <c r="H1612" s="71" t="n">
        <f aca="false">IF(AND('Loan Tape'!$AX93=1,'Loan Tape'!$AW93=6),MAX(0,H97-H703-H1006-H1309),0)</f>
        <v>0</v>
      </c>
      <c r="I1612" s="71" t="n">
        <f aca="false">IF(AND('Loan Tape'!$AX93=1,'Loan Tape'!$AW93=7),MAX(0,I97-I703-I1006-I1309),0)</f>
        <v>0</v>
      </c>
      <c r="J1612" s="71" t="n">
        <f aca="false">IF(AND('Loan Tape'!$AX93=1,'Loan Tape'!$AW93=8),MAX(0,J97-J703-J1006-J1309),0)</f>
        <v>0</v>
      </c>
      <c r="K1612" s="71" t="n">
        <f aca="false">IF(AND('Loan Tape'!$AX93=1,'Loan Tape'!$AW93=9),MAX(0,K97-K703-K1006-K1309),0)</f>
        <v>0</v>
      </c>
      <c r="L1612" s="71" t="n">
        <f aca="false">IF(AND('Loan Tape'!$AX93=1,'Loan Tape'!$AW93=10),MAX(0,L97-L703-L1006-L1309),0)</f>
        <v>0</v>
      </c>
    </row>
    <row r="1613" customFormat="false" ht="15" hidden="false" customHeight="false" outlineLevel="0" collapsed="false">
      <c r="B1613" s="102" t="n">
        <f aca="false">'Loan Tape'!$A94</f>
        <v>0</v>
      </c>
      <c r="C1613" s="99" t="n">
        <f aca="false">IF(AND('Loan Tape'!$AX94=1,'Loan Tape'!$AW94=1),MAX(0,C98-C704-C1007-C1310),0)</f>
        <v>0</v>
      </c>
      <c r="D1613" s="99" t="n">
        <f aca="false">IF(AND('Loan Tape'!$AX94=1,'Loan Tape'!$AW94=2),MAX(0,D98-D704-D1007-D1310),0)</f>
        <v>0</v>
      </c>
      <c r="E1613" s="99" t="n">
        <f aca="false">IF(AND('Loan Tape'!$AX94=1,'Loan Tape'!$AW94=3),MAX(0,E98-E704-E1007-E1310),0)</f>
        <v>0</v>
      </c>
      <c r="F1613" s="99" t="n">
        <f aca="false">IF(AND('Loan Tape'!$AX94=1,'Loan Tape'!$AW94=4),MAX(0,F98-F704-F1007-F1310),0)</f>
        <v>0</v>
      </c>
      <c r="G1613" s="99" t="n">
        <f aca="false">IF(AND('Loan Tape'!$AX94=1,'Loan Tape'!$AW94=5),MAX(0,G98-G704-G1007-G1310),0)</f>
        <v>0</v>
      </c>
      <c r="H1613" s="99" t="n">
        <f aca="false">IF(AND('Loan Tape'!$AX94=1,'Loan Tape'!$AW94=6),MAX(0,H98-H704-H1007-H1310),0)</f>
        <v>0</v>
      </c>
      <c r="I1613" s="99" t="n">
        <f aca="false">IF(AND('Loan Tape'!$AX94=1,'Loan Tape'!$AW94=7),MAX(0,I98-I704-I1007-I1310),0)</f>
        <v>0</v>
      </c>
      <c r="J1613" s="99" t="n">
        <f aca="false">IF(AND('Loan Tape'!$AX94=1,'Loan Tape'!$AW94=8),MAX(0,J98-J704-J1007-J1310),0)</f>
        <v>0</v>
      </c>
      <c r="K1613" s="99" t="n">
        <f aca="false">IF(AND('Loan Tape'!$AX94=1,'Loan Tape'!$AW94=9),MAX(0,K98-K704-K1007-K1310),0)</f>
        <v>0</v>
      </c>
      <c r="L1613" s="99" t="n">
        <f aca="false">IF(AND('Loan Tape'!$AX94=1,'Loan Tape'!$AW94=10),MAX(0,L98-L704-L1007-L1310),0)</f>
        <v>0</v>
      </c>
    </row>
    <row r="1614" customFormat="false" ht="15" hidden="false" customHeight="false" outlineLevel="0" collapsed="false">
      <c r="B1614" s="108" t="n">
        <f aca="false">'Loan Tape'!$A95</f>
        <v>0</v>
      </c>
      <c r="C1614" s="71" t="n">
        <f aca="false">IF(AND('Loan Tape'!$AX95=1,'Loan Tape'!$AW95=1),MAX(0,C99-C705-C1008-C1311),0)</f>
        <v>0</v>
      </c>
      <c r="D1614" s="71" t="n">
        <f aca="false">IF(AND('Loan Tape'!$AX95=1,'Loan Tape'!$AW95=2),MAX(0,D99-D705-D1008-D1311),0)</f>
        <v>0</v>
      </c>
      <c r="E1614" s="71" t="n">
        <f aca="false">IF(AND('Loan Tape'!$AX95=1,'Loan Tape'!$AW95=3),MAX(0,E99-E705-E1008-E1311),0)</f>
        <v>0</v>
      </c>
      <c r="F1614" s="71" t="n">
        <f aca="false">IF(AND('Loan Tape'!$AX95=1,'Loan Tape'!$AW95=4),MAX(0,F99-F705-F1008-F1311),0)</f>
        <v>0</v>
      </c>
      <c r="G1614" s="71" t="n">
        <f aca="false">IF(AND('Loan Tape'!$AX95=1,'Loan Tape'!$AW95=5),MAX(0,G99-G705-G1008-G1311),0)</f>
        <v>0</v>
      </c>
      <c r="H1614" s="71" t="n">
        <f aca="false">IF(AND('Loan Tape'!$AX95=1,'Loan Tape'!$AW95=6),MAX(0,H99-H705-H1008-H1311),0)</f>
        <v>0</v>
      </c>
      <c r="I1614" s="71" t="n">
        <f aca="false">IF(AND('Loan Tape'!$AX95=1,'Loan Tape'!$AW95=7),MAX(0,I99-I705-I1008-I1311),0)</f>
        <v>0</v>
      </c>
      <c r="J1614" s="71" t="n">
        <f aca="false">IF(AND('Loan Tape'!$AX95=1,'Loan Tape'!$AW95=8),MAX(0,J99-J705-J1008-J1311),0)</f>
        <v>0</v>
      </c>
      <c r="K1614" s="71" t="n">
        <f aca="false">IF(AND('Loan Tape'!$AX95=1,'Loan Tape'!$AW95=9),MAX(0,K99-K705-K1008-K1311),0)</f>
        <v>0</v>
      </c>
      <c r="L1614" s="71" t="n">
        <f aca="false">IF(AND('Loan Tape'!$AX95=1,'Loan Tape'!$AW95=10),MAX(0,L99-L705-L1008-L1311),0)</f>
        <v>0</v>
      </c>
    </row>
    <row r="1615" customFormat="false" ht="15" hidden="false" customHeight="false" outlineLevel="0" collapsed="false">
      <c r="B1615" s="102" t="n">
        <f aca="false">'Loan Tape'!$A96</f>
        <v>0</v>
      </c>
      <c r="C1615" s="99" t="n">
        <f aca="false">IF(AND('Loan Tape'!$AX96=1,'Loan Tape'!$AW96=1),MAX(0,C100-C706-C1009-C1312),0)</f>
        <v>0</v>
      </c>
      <c r="D1615" s="99" t="n">
        <f aca="false">IF(AND('Loan Tape'!$AX96=1,'Loan Tape'!$AW96=2),MAX(0,D100-D706-D1009-D1312),0)</f>
        <v>0</v>
      </c>
      <c r="E1615" s="99" t="n">
        <f aca="false">IF(AND('Loan Tape'!$AX96=1,'Loan Tape'!$AW96=3),MAX(0,E100-E706-E1009-E1312),0)</f>
        <v>0</v>
      </c>
      <c r="F1615" s="99" t="n">
        <f aca="false">IF(AND('Loan Tape'!$AX96=1,'Loan Tape'!$AW96=4),MAX(0,F100-F706-F1009-F1312),0)</f>
        <v>0</v>
      </c>
      <c r="G1615" s="99" t="n">
        <f aca="false">IF(AND('Loan Tape'!$AX96=1,'Loan Tape'!$AW96=5),MAX(0,G100-G706-G1009-G1312),0)</f>
        <v>0</v>
      </c>
      <c r="H1615" s="99" t="n">
        <f aca="false">IF(AND('Loan Tape'!$AX96=1,'Loan Tape'!$AW96=6),MAX(0,H100-H706-H1009-H1312),0)</f>
        <v>0</v>
      </c>
      <c r="I1615" s="99" t="n">
        <f aca="false">IF(AND('Loan Tape'!$AX96=1,'Loan Tape'!$AW96=7),MAX(0,I100-I706-I1009-I1312),0)</f>
        <v>0</v>
      </c>
      <c r="J1615" s="99" t="n">
        <f aca="false">IF(AND('Loan Tape'!$AX96=1,'Loan Tape'!$AW96=8),MAX(0,J100-J706-J1009-J1312),0)</f>
        <v>0</v>
      </c>
      <c r="K1615" s="99" t="n">
        <f aca="false">IF(AND('Loan Tape'!$AX96=1,'Loan Tape'!$AW96=9),MAX(0,K100-K706-K1009-K1312),0)</f>
        <v>0</v>
      </c>
      <c r="L1615" s="99" t="n">
        <f aca="false">IF(AND('Loan Tape'!$AX96=1,'Loan Tape'!$AW96=10),MAX(0,L100-L706-L1009-L1312),0)</f>
        <v>0</v>
      </c>
    </row>
    <row r="1616" customFormat="false" ht="15" hidden="false" customHeight="false" outlineLevel="0" collapsed="false">
      <c r="B1616" s="108" t="n">
        <f aca="false">'Loan Tape'!$A97</f>
        <v>0</v>
      </c>
      <c r="C1616" s="71" t="n">
        <f aca="false">IF(AND('Loan Tape'!$AX97=1,'Loan Tape'!$AW97=1),MAX(0,C101-C707-C1010-C1313),0)</f>
        <v>0</v>
      </c>
      <c r="D1616" s="71" t="n">
        <f aca="false">IF(AND('Loan Tape'!$AX97=1,'Loan Tape'!$AW97=2),MAX(0,D101-D707-D1010-D1313),0)</f>
        <v>0</v>
      </c>
      <c r="E1616" s="71" t="n">
        <f aca="false">IF(AND('Loan Tape'!$AX97=1,'Loan Tape'!$AW97=3),MAX(0,E101-E707-E1010-E1313),0)</f>
        <v>0</v>
      </c>
      <c r="F1616" s="71" t="n">
        <f aca="false">IF(AND('Loan Tape'!$AX97=1,'Loan Tape'!$AW97=4),MAX(0,F101-F707-F1010-F1313),0)</f>
        <v>0</v>
      </c>
      <c r="G1616" s="71" t="n">
        <f aca="false">IF(AND('Loan Tape'!$AX97=1,'Loan Tape'!$AW97=5),MAX(0,G101-G707-G1010-G1313),0)</f>
        <v>0</v>
      </c>
      <c r="H1616" s="71" t="n">
        <f aca="false">IF(AND('Loan Tape'!$AX97=1,'Loan Tape'!$AW97=6),MAX(0,H101-H707-H1010-H1313),0)</f>
        <v>0</v>
      </c>
      <c r="I1616" s="71" t="n">
        <f aca="false">IF(AND('Loan Tape'!$AX97=1,'Loan Tape'!$AW97=7),MAX(0,I101-I707-I1010-I1313),0)</f>
        <v>0</v>
      </c>
      <c r="J1616" s="71" t="n">
        <f aca="false">IF(AND('Loan Tape'!$AX97=1,'Loan Tape'!$AW97=8),MAX(0,J101-J707-J1010-J1313),0)</f>
        <v>0</v>
      </c>
      <c r="K1616" s="71" t="n">
        <f aca="false">IF(AND('Loan Tape'!$AX97=1,'Loan Tape'!$AW97=9),MAX(0,K101-K707-K1010-K1313),0)</f>
        <v>0</v>
      </c>
      <c r="L1616" s="71" t="n">
        <f aca="false">IF(AND('Loan Tape'!$AX97=1,'Loan Tape'!$AW97=10),MAX(0,L101-L707-L1010-L1313),0)</f>
        <v>0</v>
      </c>
    </row>
    <row r="1617" customFormat="false" ht="15" hidden="false" customHeight="false" outlineLevel="0" collapsed="false">
      <c r="B1617" s="102" t="n">
        <f aca="false">'Loan Tape'!$A98</f>
        <v>0</v>
      </c>
      <c r="C1617" s="99" t="n">
        <f aca="false">IF(AND('Loan Tape'!$AX98=1,'Loan Tape'!$AW98=1),MAX(0,C102-C708-C1011-C1314),0)</f>
        <v>0</v>
      </c>
      <c r="D1617" s="99" t="n">
        <f aca="false">IF(AND('Loan Tape'!$AX98=1,'Loan Tape'!$AW98=2),MAX(0,D102-D708-D1011-D1314),0)</f>
        <v>0</v>
      </c>
      <c r="E1617" s="99" t="n">
        <f aca="false">IF(AND('Loan Tape'!$AX98=1,'Loan Tape'!$AW98=3),MAX(0,E102-E708-E1011-E1314),0)</f>
        <v>0</v>
      </c>
      <c r="F1617" s="99" t="n">
        <f aca="false">IF(AND('Loan Tape'!$AX98=1,'Loan Tape'!$AW98=4),MAX(0,F102-F708-F1011-F1314),0)</f>
        <v>0</v>
      </c>
      <c r="G1617" s="99" t="n">
        <f aca="false">IF(AND('Loan Tape'!$AX98=1,'Loan Tape'!$AW98=5),MAX(0,G102-G708-G1011-G1314),0)</f>
        <v>0</v>
      </c>
      <c r="H1617" s="99" t="n">
        <f aca="false">IF(AND('Loan Tape'!$AX98=1,'Loan Tape'!$AW98=6),MAX(0,H102-H708-H1011-H1314),0)</f>
        <v>0</v>
      </c>
      <c r="I1617" s="99" t="n">
        <f aca="false">IF(AND('Loan Tape'!$AX98=1,'Loan Tape'!$AW98=7),MAX(0,I102-I708-I1011-I1314),0)</f>
        <v>0</v>
      </c>
      <c r="J1617" s="99" t="n">
        <f aca="false">IF(AND('Loan Tape'!$AX98=1,'Loan Tape'!$AW98=8),MAX(0,J102-J708-J1011-J1314),0)</f>
        <v>0</v>
      </c>
      <c r="K1617" s="99" t="n">
        <f aca="false">IF(AND('Loan Tape'!$AX98=1,'Loan Tape'!$AW98=9),MAX(0,K102-K708-K1011-K1314),0)</f>
        <v>0</v>
      </c>
      <c r="L1617" s="99" t="n">
        <f aca="false">IF(AND('Loan Tape'!$AX98=1,'Loan Tape'!$AW98=10),MAX(0,L102-L708-L1011-L1314),0)</f>
        <v>0</v>
      </c>
    </row>
    <row r="1618" customFormat="false" ht="15" hidden="false" customHeight="false" outlineLevel="0" collapsed="false">
      <c r="B1618" s="108" t="n">
        <f aca="false">'Loan Tape'!$A99</f>
        <v>0</v>
      </c>
      <c r="C1618" s="71" t="n">
        <f aca="false">IF(AND('Loan Tape'!$AX99=1,'Loan Tape'!$AW99=1),MAX(0,C103-C709-C1012-C1315),0)</f>
        <v>0</v>
      </c>
      <c r="D1618" s="71" t="n">
        <f aca="false">IF(AND('Loan Tape'!$AX99=1,'Loan Tape'!$AW99=2),MAX(0,D103-D709-D1012-D1315),0)</f>
        <v>0</v>
      </c>
      <c r="E1618" s="71" t="n">
        <f aca="false">IF(AND('Loan Tape'!$AX99=1,'Loan Tape'!$AW99=3),MAX(0,E103-E709-E1012-E1315),0)</f>
        <v>0</v>
      </c>
      <c r="F1618" s="71" t="n">
        <f aca="false">IF(AND('Loan Tape'!$AX99=1,'Loan Tape'!$AW99=4),MAX(0,F103-F709-F1012-F1315),0)</f>
        <v>0</v>
      </c>
      <c r="G1618" s="71" t="n">
        <f aca="false">IF(AND('Loan Tape'!$AX99=1,'Loan Tape'!$AW99=5),MAX(0,G103-G709-G1012-G1315),0)</f>
        <v>0</v>
      </c>
      <c r="H1618" s="71" t="n">
        <f aca="false">IF(AND('Loan Tape'!$AX99=1,'Loan Tape'!$AW99=6),MAX(0,H103-H709-H1012-H1315),0)</f>
        <v>0</v>
      </c>
      <c r="I1618" s="71" t="n">
        <f aca="false">IF(AND('Loan Tape'!$AX99=1,'Loan Tape'!$AW99=7),MAX(0,I103-I709-I1012-I1315),0)</f>
        <v>0</v>
      </c>
      <c r="J1618" s="71" t="n">
        <f aca="false">IF(AND('Loan Tape'!$AX99=1,'Loan Tape'!$AW99=8),MAX(0,J103-J709-J1012-J1315),0)</f>
        <v>0</v>
      </c>
      <c r="K1618" s="71" t="n">
        <f aca="false">IF(AND('Loan Tape'!$AX99=1,'Loan Tape'!$AW99=9),MAX(0,K103-K709-K1012-K1315),0)</f>
        <v>0</v>
      </c>
      <c r="L1618" s="71" t="n">
        <f aca="false">IF(AND('Loan Tape'!$AX99=1,'Loan Tape'!$AW99=10),MAX(0,L103-L709-L1012-L1315),0)</f>
        <v>0</v>
      </c>
    </row>
    <row r="1619" customFormat="false" ht="15" hidden="false" customHeight="false" outlineLevel="0" collapsed="false">
      <c r="B1619" s="102" t="n">
        <f aca="false">'Loan Tape'!$A100</f>
        <v>0</v>
      </c>
      <c r="C1619" s="99" t="n">
        <f aca="false">IF(AND('Loan Tape'!$AX100=1,'Loan Tape'!$AW100=1),MAX(0,C104-C710-C1013-C1316),0)</f>
        <v>0</v>
      </c>
      <c r="D1619" s="99" t="n">
        <f aca="false">IF(AND('Loan Tape'!$AX100=1,'Loan Tape'!$AW100=2),MAX(0,D104-D710-D1013-D1316),0)</f>
        <v>0</v>
      </c>
      <c r="E1619" s="99" t="n">
        <f aca="false">IF(AND('Loan Tape'!$AX100=1,'Loan Tape'!$AW100=3),MAX(0,E104-E710-E1013-E1316),0)</f>
        <v>0</v>
      </c>
      <c r="F1619" s="99" t="n">
        <f aca="false">IF(AND('Loan Tape'!$AX100=1,'Loan Tape'!$AW100=4),MAX(0,F104-F710-F1013-F1316),0)</f>
        <v>0</v>
      </c>
      <c r="G1619" s="99" t="n">
        <f aca="false">IF(AND('Loan Tape'!$AX100=1,'Loan Tape'!$AW100=5),MAX(0,G104-G710-G1013-G1316),0)</f>
        <v>0</v>
      </c>
      <c r="H1619" s="99" t="n">
        <f aca="false">IF(AND('Loan Tape'!$AX100=1,'Loan Tape'!$AW100=6),MAX(0,H104-H710-H1013-H1316),0)</f>
        <v>0</v>
      </c>
      <c r="I1619" s="99" t="n">
        <f aca="false">IF(AND('Loan Tape'!$AX100=1,'Loan Tape'!$AW100=7),MAX(0,I104-I710-I1013-I1316),0)</f>
        <v>0</v>
      </c>
      <c r="J1619" s="99" t="n">
        <f aca="false">IF(AND('Loan Tape'!$AX100=1,'Loan Tape'!$AW100=8),MAX(0,J104-J710-J1013-J1316),0)</f>
        <v>0</v>
      </c>
      <c r="K1619" s="99" t="n">
        <f aca="false">IF(AND('Loan Tape'!$AX100=1,'Loan Tape'!$AW100=9),MAX(0,K104-K710-K1013-K1316),0)</f>
        <v>0</v>
      </c>
      <c r="L1619" s="99" t="n">
        <f aca="false">IF(AND('Loan Tape'!$AX100=1,'Loan Tape'!$AW100=10),MAX(0,L104-L710-L1013-L1316),0)</f>
        <v>0</v>
      </c>
    </row>
    <row r="1620" customFormat="false" ht="15" hidden="false" customHeight="false" outlineLevel="0" collapsed="false">
      <c r="B1620" s="108" t="n">
        <f aca="false">'Loan Tape'!$A101</f>
        <v>0</v>
      </c>
      <c r="C1620" s="71" t="n">
        <f aca="false">IF(AND('Loan Tape'!$AX101=1,'Loan Tape'!$AW101=1),MAX(0,C105-C711-C1014-C1317),0)</f>
        <v>0</v>
      </c>
      <c r="D1620" s="71" t="n">
        <f aca="false">IF(AND('Loan Tape'!$AX101=1,'Loan Tape'!$AW101=2),MAX(0,D105-D711-D1014-D1317),0)</f>
        <v>0</v>
      </c>
      <c r="E1620" s="71" t="n">
        <f aca="false">IF(AND('Loan Tape'!$AX101=1,'Loan Tape'!$AW101=3),MAX(0,E105-E711-E1014-E1317),0)</f>
        <v>0</v>
      </c>
      <c r="F1620" s="71" t="n">
        <f aca="false">IF(AND('Loan Tape'!$AX101=1,'Loan Tape'!$AW101=4),MAX(0,F105-F711-F1014-F1317),0)</f>
        <v>0</v>
      </c>
      <c r="G1620" s="71" t="n">
        <f aca="false">IF(AND('Loan Tape'!$AX101=1,'Loan Tape'!$AW101=5),MAX(0,G105-G711-G1014-G1317),0)</f>
        <v>0</v>
      </c>
      <c r="H1620" s="71" t="n">
        <f aca="false">IF(AND('Loan Tape'!$AX101=1,'Loan Tape'!$AW101=6),MAX(0,H105-H711-H1014-H1317),0)</f>
        <v>0</v>
      </c>
      <c r="I1620" s="71" t="n">
        <f aca="false">IF(AND('Loan Tape'!$AX101=1,'Loan Tape'!$AW101=7),MAX(0,I105-I711-I1014-I1317),0)</f>
        <v>0</v>
      </c>
      <c r="J1620" s="71" t="n">
        <f aca="false">IF(AND('Loan Tape'!$AX101=1,'Loan Tape'!$AW101=8),MAX(0,J105-J711-J1014-J1317),0)</f>
        <v>0</v>
      </c>
      <c r="K1620" s="71" t="n">
        <f aca="false">IF(AND('Loan Tape'!$AX101=1,'Loan Tape'!$AW101=9),MAX(0,K105-K711-K1014-K1317),0)</f>
        <v>0</v>
      </c>
      <c r="L1620" s="71" t="n">
        <f aca="false">IF(AND('Loan Tape'!$AX101=1,'Loan Tape'!$AW101=10),MAX(0,L105-L711-L1014-L1317),0)</f>
        <v>0</v>
      </c>
    </row>
    <row r="1621" customFormat="false" ht="15" hidden="false" customHeight="false" outlineLevel="0" collapsed="false">
      <c r="B1621" s="102" t="n">
        <f aca="false">'Loan Tape'!$A102</f>
        <v>0</v>
      </c>
      <c r="C1621" s="99" t="n">
        <f aca="false">IF(AND('Loan Tape'!$AX102=1,'Loan Tape'!$AW102=1),MAX(0,C106-C712-C1015-C1318),0)</f>
        <v>0</v>
      </c>
      <c r="D1621" s="99" t="n">
        <f aca="false">IF(AND('Loan Tape'!$AX102=1,'Loan Tape'!$AW102=2),MAX(0,D106-D712-D1015-D1318),0)</f>
        <v>0</v>
      </c>
      <c r="E1621" s="99" t="n">
        <f aca="false">IF(AND('Loan Tape'!$AX102=1,'Loan Tape'!$AW102=3),MAX(0,E106-E712-E1015-E1318),0)</f>
        <v>0</v>
      </c>
      <c r="F1621" s="99" t="n">
        <f aca="false">IF(AND('Loan Tape'!$AX102=1,'Loan Tape'!$AW102=4),MAX(0,F106-F712-F1015-F1318),0)</f>
        <v>0</v>
      </c>
      <c r="G1621" s="99" t="n">
        <f aca="false">IF(AND('Loan Tape'!$AX102=1,'Loan Tape'!$AW102=5),MAX(0,G106-G712-G1015-G1318),0)</f>
        <v>0</v>
      </c>
      <c r="H1621" s="99" t="n">
        <f aca="false">IF(AND('Loan Tape'!$AX102=1,'Loan Tape'!$AW102=6),MAX(0,H106-H712-H1015-H1318),0)</f>
        <v>0</v>
      </c>
      <c r="I1621" s="99" t="n">
        <f aca="false">IF(AND('Loan Tape'!$AX102=1,'Loan Tape'!$AW102=7),MAX(0,I106-I712-I1015-I1318),0)</f>
        <v>0</v>
      </c>
      <c r="J1621" s="99" t="n">
        <f aca="false">IF(AND('Loan Tape'!$AX102=1,'Loan Tape'!$AW102=8),MAX(0,J106-J712-J1015-J1318),0)</f>
        <v>0</v>
      </c>
      <c r="K1621" s="99" t="n">
        <f aca="false">IF(AND('Loan Tape'!$AX102=1,'Loan Tape'!$AW102=9),MAX(0,K106-K712-K1015-K1318),0)</f>
        <v>0</v>
      </c>
      <c r="L1621" s="99" t="n">
        <f aca="false">IF(AND('Loan Tape'!$AX102=1,'Loan Tape'!$AW102=10),MAX(0,L106-L712-L1015-L1318),0)</f>
        <v>0</v>
      </c>
    </row>
    <row r="1622" customFormat="false" ht="15" hidden="false" customHeight="false" outlineLevel="0" collapsed="false">
      <c r="B1622" s="108" t="n">
        <f aca="false">'Loan Tape'!$A103</f>
        <v>0</v>
      </c>
      <c r="C1622" s="71" t="n">
        <f aca="false">IF(AND('Loan Tape'!$AX103=1,'Loan Tape'!$AW103=1),MAX(0,C107-C713-C1016-C1319),0)</f>
        <v>0</v>
      </c>
      <c r="D1622" s="71" t="n">
        <f aca="false">IF(AND('Loan Tape'!$AX103=1,'Loan Tape'!$AW103=2),MAX(0,D107-D713-D1016-D1319),0)</f>
        <v>0</v>
      </c>
      <c r="E1622" s="71" t="n">
        <f aca="false">IF(AND('Loan Tape'!$AX103=1,'Loan Tape'!$AW103=3),MAX(0,E107-E713-E1016-E1319),0)</f>
        <v>0</v>
      </c>
      <c r="F1622" s="71" t="n">
        <f aca="false">IF(AND('Loan Tape'!$AX103=1,'Loan Tape'!$AW103=4),MAX(0,F107-F713-F1016-F1319),0)</f>
        <v>0</v>
      </c>
      <c r="G1622" s="71" t="n">
        <f aca="false">IF(AND('Loan Tape'!$AX103=1,'Loan Tape'!$AW103=5),MAX(0,G107-G713-G1016-G1319),0)</f>
        <v>0</v>
      </c>
      <c r="H1622" s="71" t="n">
        <f aca="false">IF(AND('Loan Tape'!$AX103=1,'Loan Tape'!$AW103=6),MAX(0,H107-H713-H1016-H1319),0)</f>
        <v>0</v>
      </c>
      <c r="I1622" s="71" t="n">
        <f aca="false">IF(AND('Loan Tape'!$AX103=1,'Loan Tape'!$AW103=7),MAX(0,I107-I713-I1016-I1319),0)</f>
        <v>0</v>
      </c>
      <c r="J1622" s="71" t="n">
        <f aca="false">IF(AND('Loan Tape'!$AX103=1,'Loan Tape'!$AW103=8),MAX(0,J107-J713-J1016-J1319),0)</f>
        <v>0</v>
      </c>
      <c r="K1622" s="71" t="n">
        <f aca="false">IF(AND('Loan Tape'!$AX103=1,'Loan Tape'!$AW103=9),MAX(0,K107-K713-K1016-K1319),0)</f>
        <v>0</v>
      </c>
      <c r="L1622" s="71" t="n">
        <f aca="false">IF(AND('Loan Tape'!$AX103=1,'Loan Tape'!$AW103=10),MAX(0,L107-L713-L1016-L1319),0)</f>
        <v>0</v>
      </c>
    </row>
    <row r="1623" customFormat="false" ht="15" hidden="false" customHeight="false" outlineLevel="0" collapsed="false">
      <c r="B1623" s="102" t="n">
        <f aca="false">'Loan Tape'!$A104</f>
        <v>0</v>
      </c>
      <c r="C1623" s="99" t="n">
        <f aca="false">IF(AND('Loan Tape'!$AX104=1,'Loan Tape'!$AW104=1),MAX(0,C108-C714-C1017-C1320),0)</f>
        <v>0</v>
      </c>
      <c r="D1623" s="99" t="n">
        <f aca="false">IF(AND('Loan Tape'!$AX104=1,'Loan Tape'!$AW104=2),MAX(0,D108-D714-D1017-D1320),0)</f>
        <v>0</v>
      </c>
      <c r="E1623" s="99" t="n">
        <f aca="false">IF(AND('Loan Tape'!$AX104=1,'Loan Tape'!$AW104=3),MAX(0,E108-E714-E1017-E1320),0)</f>
        <v>0</v>
      </c>
      <c r="F1623" s="99" t="n">
        <f aca="false">IF(AND('Loan Tape'!$AX104=1,'Loan Tape'!$AW104=4),MAX(0,F108-F714-F1017-F1320),0)</f>
        <v>0</v>
      </c>
      <c r="G1623" s="99" t="n">
        <f aca="false">IF(AND('Loan Tape'!$AX104=1,'Loan Tape'!$AW104=5),MAX(0,G108-G714-G1017-G1320),0)</f>
        <v>0</v>
      </c>
      <c r="H1623" s="99" t="n">
        <f aca="false">IF(AND('Loan Tape'!$AX104=1,'Loan Tape'!$AW104=6),MAX(0,H108-H714-H1017-H1320),0)</f>
        <v>0</v>
      </c>
      <c r="I1623" s="99" t="n">
        <f aca="false">IF(AND('Loan Tape'!$AX104=1,'Loan Tape'!$AW104=7),MAX(0,I108-I714-I1017-I1320),0)</f>
        <v>0</v>
      </c>
      <c r="J1623" s="99" t="n">
        <f aca="false">IF(AND('Loan Tape'!$AX104=1,'Loan Tape'!$AW104=8),MAX(0,J108-J714-J1017-J1320),0)</f>
        <v>0</v>
      </c>
      <c r="K1623" s="99" t="n">
        <f aca="false">IF(AND('Loan Tape'!$AX104=1,'Loan Tape'!$AW104=9),MAX(0,K108-K714-K1017-K1320),0)</f>
        <v>0</v>
      </c>
      <c r="L1623" s="99" t="n">
        <f aca="false">IF(AND('Loan Tape'!$AX104=1,'Loan Tape'!$AW104=10),MAX(0,L108-L714-L1017-L1320),0)</f>
        <v>0</v>
      </c>
    </row>
    <row r="1624" customFormat="false" ht="15" hidden="false" customHeight="false" outlineLevel="0" collapsed="false">
      <c r="B1624" s="108" t="n">
        <f aca="false">'Loan Tape'!$A105</f>
        <v>0</v>
      </c>
      <c r="C1624" s="71" t="n">
        <f aca="false">IF(AND('Loan Tape'!$AX105=1,'Loan Tape'!$AW105=1),MAX(0,C109-C715-C1018-C1321),0)</f>
        <v>0</v>
      </c>
      <c r="D1624" s="71" t="n">
        <f aca="false">IF(AND('Loan Tape'!$AX105=1,'Loan Tape'!$AW105=2),MAX(0,D109-D715-D1018-D1321),0)</f>
        <v>0</v>
      </c>
      <c r="E1624" s="71" t="n">
        <f aca="false">IF(AND('Loan Tape'!$AX105=1,'Loan Tape'!$AW105=3),MAX(0,E109-E715-E1018-E1321),0)</f>
        <v>0</v>
      </c>
      <c r="F1624" s="71" t="n">
        <f aca="false">IF(AND('Loan Tape'!$AX105=1,'Loan Tape'!$AW105=4),MAX(0,F109-F715-F1018-F1321),0)</f>
        <v>0</v>
      </c>
      <c r="G1624" s="71" t="n">
        <f aca="false">IF(AND('Loan Tape'!$AX105=1,'Loan Tape'!$AW105=5),MAX(0,G109-G715-G1018-G1321),0)</f>
        <v>0</v>
      </c>
      <c r="H1624" s="71" t="n">
        <f aca="false">IF(AND('Loan Tape'!$AX105=1,'Loan Tape'!$AW105=6),MAX(0,H109-H715-H1018-H1321),0)</f>
        <v>0</v>
      </c>
      <c r="I1624" s="71" t="n">
        <f aca="false">IF(AND('Loan Tape'!$AX105=1,'Loan Tape'!$AW105=7),MAX(0,I109-I715-I1018-I1321),0)</f>
        <v>0</v>
      </c>
      <c r="J1624" s="71" t="n">
        <f aca="false">IF(AND('Loan Tape'!$AX105=1,'Loan Tape'!$AW105=8),MAX(0,J109-J715-J1018-J1321),0)</f>
        <v>0</v>
      </c>
      <c r="K1624" s="71" t="n">
        <f aca="false">IF(AND('Loan Tape'!$AX105=1,'Loan Tape'!$AW105=9),MAX(0,K109-K715-K1018-K1321),0)</f>
        <v>0</v>
      </c>
      <c r="L1624" s="71" t="n">
        <f aca="false">IF(AND('Loan Tape'!$AX105=1,'Loan Tape'!$AW105=10),MAX(0,L109-L715-L1018-L1321),0)</f>
        <v>0</v>
      </c>
    </row>
    <row r="1625" customFormat="false" ht="15" hidden="false" customHeight="false" outlineLevel="0" collapsed="false">
      <c r="B1625" s="102" t="n">
        <f aca="false">'Loan Tape'!$A106</f>
        <v>0</v>
      </c>
      <c r="C1625" s="99" t="n">
        <f aca="false">IF(AND('Loan Tape'!$AX106=1,'Loan Tape'!$AW106=1),MAX(0,C110-C716-C1019-C1322),0)</f>
        <v>0</v>
      </c>
      <c r="D1625" s="99" t="n">
        <f aca="false">IF(AND('Loan Tape'!$AX106=1,'Loan Tape'!$AW106=2),MAX(0,D110-D716-D1019-D1322),0)</f>
        <v>0</v>
      </c>
      <c r="E1625" s="99" t="n">
        <f aca="false">IF(AND('Loan Tape'!$AX106=1,'Loan Tape'!$AW106=3),MAX(0,E110-E716-E1019-E1322),0)</f>
        <v>0</v>
      </c>
      <c r="F1625" s="99" t="n">
        <f aca="false">IF(AND('Loan Tape'!$AX106=1,'Loan Tape'!$AW106=4),MAX(0,F110-F716-F1019-F1322),0)</f>
        <v>0</v>
      </c>
      <c r="G1625" s="99" t="n">
        <f aca="false">IF(AND('Loan Tape'!$AX106=1,'Loan Tape'!$AW106=5),MAX(0,G110-G716-G1019-G1322),0)</f>
        <v>0</v>
      </c>
      <c r="H1625" s="99" t="n">
        <f aca="false">IF(AND('Loan Tape'!$AX106=1,'Loan Tape'!$AW106=6),MAX(0,H110-H716-H1019-H1322),0)</f>
        <v>0</v>
      </c>
      <c r="I1625" s="99" t="n">
        <f aca="false">IF(AND('Loan Tape'!$AX106=1,'Loan Tape'!$AW106=7),MAX(0,I110-I716-I1019-I1322),0)</f>
        <v>0</v>
      </c>
      <c r="J1625" s="99" t="n">
        <f aca="false">IF(AND('Loan Tape'!$AX106=1,'Loan Tape'!$AW106=8),MAX(0,J110-J716-J1019-J1322),0)</f>
        <v>0</v>
      </c>
      <c r="K1625" s="99" t="n">
        <f aca="false">IF(AND('Loan Tape'!$AX106=1,'Loan Tape'!$AW106=9),MAX(0,K110-K716-K1019-K1322),0)</f>
        <v>0</v>
      </c>
      <c r="L1625" s="99" t="n">
        <f aca="false">IF(AND('Loan Tape'!$AX106=1,'Loan Tape'!$AW106=10),MAX(0,L110-L716-L1019-L1322),0)</f>
        <v>0</v>
      </c>
    </row>
    <row r="1626" customFormat="false" ht="15" hidden="false" customHeight="false" outlineLevel="0" collapsed="false">
      <c r="B1626" s="108" t="n">
        <f aca="false">'Loan Tape'!$A107</f>
        <v>0</v>
      </c>
      <c r="C1626" s="71" t="n">
        <f aca="false">IF(AND('Loan Tape'!$AX107=1,'Loan Tape'!$AW107=1),MAX(0,C111-C717-C1020-C1323),0)</f>
        <v>0</v>
      </c>
      <c r="D1626" s="71" t="n">
        <f aca="false">IF(AND('Loan Tape'!$AX107=1,'Loan Tape'!$AW107=2),MAX(0,D111-D717-D1020-D1323),0)</f>
        <v>0</v>
      </c>
      <c r="E1626" s="71" t="n">
        <f aca="false">IF(AND('Loan Tape'!$AX107=1,'Loan Tape'!$AW107=3),MAX(0,E111-E717-E1020-E1323),0)</f>
        <v>0</v>
      </c>
      <c r="F1626" s="71" t="n">
        <f aca="false">IF(AND('Loan Tape'!$AX107=1,'Loan Tape'!$AW107=4),MAX(0,F111-F717-F1020-F1323),0)</f>
        <v>0</v>
      </c>
      <c r="G1626" s="71" t="n">
        <f aca="false">IF(AND('Loan Tape'!$AX107=1,'Loan Tape'!$AW107=5),MAX(0,G111-G717-G1020-G1323),0)</f>
        <v>0</v>
      </c>
      <c r="H1626" s="71" t="n">
        <f aca="false">IF(AND('Loan Tape'!$AX107=1,'Loan Tape'!$AW107=6),MAX(0,H111-H717-H1020-H1323),0)</f>
        <v>0</v>
      </c>
      <c r="I1626" s="71" t="n">
        <f aca="false">IF(AND('Loan Tape'!$AX107=1,'Loan Tape'!$AW107=7),MAX(0,I111-I717-I1020-I1323),0)</f>
        <v>0</v>
      </c>
      <c r="J1626" s="71" t="n">
        <f aca="false">IF(AND('Loan Tape'!$AX107=1,'Loan Tape'!$AW107=8),MAX(0,J111-J717-J1020-J1323),0)</f>
        <v>0</v>
      </c>
      <c r="K1626" s="71" t="n">
        <f aca="false">IF(AND('Loan Tape'!$AX107=1,'Loan Tape'!$AW107=9),MAX(0,K111-K717-K1020-K1323),0)</f>
        <v>0</v>
      </c>
      <c r="L1626" s="71" t="n">
        <f aca="false">IF(AND('Loan Tape'!$AX107=1,'Loan Tape'!$AW107=10),MAX(0,L111-L717-L1020-L1323),0)</f>
        <v>0</v>
      </c>
    </row>
    <row r="1627" customFormat="false" ht="15" hidden="false" customHeight="false" outlineLevel="0" collapsed="false">
      <c r="B1627" s="102" t="n">
        <f aca="false">'Loan Tape'!$A108</f>
        <v>0</v>
      </c>
      <c r="C1627" s="99" t="n">
        <f aca="false">IF(AND('Loan Tape'!$AX108=1,'Loan Tape'!$AW108=1),MAX(0,C112-C718-C1021-C1324),0)</f>
        <v>0</v>
      </c>
      <c r="D1627" s="99" t="n">
        <f aca="false">IF(AND('Loan Tape'!$AX108=1,'Loan Tape'!$AW108=2),MAX(0,D112-D718-D1021-D1324),0)</f>
        <v>0</v>
      </c>
      <c r="E1627" s="99" t="n">
        <f aca="false">IF(AND('Loan Tape'!$AX108=1,'Loan Tape'!$AW108=3),MAX(0,E112-E718-E1021-E1324),0)</f>
        <v>0</v>
      </c>
      <c r="F1627" s="99" t="n">
        <f aca="false">IF(AND('Loan Tape'!$AX108=1,'Loan Tape'!$AW108=4),MAX(0,F112-F718-F1021-F1324),0)</f>
        <v>0</v>
      </c>
      <c r="G1627" s="99" t="n">
        <f aca="false">IF(AND('Loan Tape'!$AX108=1,'Loan Tape'!$AW108=5),MAX(0,G112-G718-G1021-G1324),0)</f>
        <v>0</v>
      </c>
      <c r="H1627" s="99" t="n">
        <f aca="false">IF(AND('Loan Tape'!$AX108=1,'Loan Tape'!$AW108=6),MAX(0,H112-H718-H1021-H1324),0)</f>
        <v>0</v>
      </c>
      <c r="I1627" s="99" t="n">
        <f aca="false">IF(AND('Loan Tape'!$AX108=1,'Loan Tape'!$AW108=7),MAX(0,I112-I718-I1021-I1324),0)</f>
        <v>0</v>
      </c>
      <c r="J1627" s="99" t="n">
        <f aca="false">IF(AND('Loan Tape'!$AX108=1,'Loan Tape'!$AW108=8),MAX(0,J112-J718-J1021-J1324),0)</f>
        <v>0</v>
      </c>
      <c r="K1627" s="99" t="n">
        <f aca="false">IF(AND('Loan Tape'!$AX108=1,'Loan Tape'!$AW108=9),MAX(0,K112-K718-K1021-K1324),0)</f>
        <v>0</v>
      </c>
      <c r="L1627" s="99" t="n">
        <f aca="false">IF(AND('Loan Tape'!$AX108=1,'Loan Tape'!$AW108=10),MAX(0,L112-L718-L1021-L1324),0)</f>
        <v>0</v>
      </c>
    </row>
    <row r="1628" customFormat="false" ht="15" hidden="false" customHeight="false" outlineLevel="0" collapsed="false">
      <c r="B1628" s="108" t="n">
        <f aca="false">'Loan Tape'!$A109</f>
        <v>0</v>
      </c>
      <c r="C1628" s="71" t="n">
        <f aca="false">IF(AND('Loan Tape'!$AX109=1,'Loan Tape'!$AW109=1),MAX(0,C113-C719-C1022-C1325),0)</f>
        <v>0</v>
      </c>
      <c r="D1628" s="71" t="n">
        <f aca="false">IF(AND('Loan Tape'!$AX109=1,'Loan Tape'!$AW109=2),MAX(0,D113-D719-D1022-D1325),0)</f>
        <v>0</v>
      </c>
      <c r="E1628" s="71" t="n">
        <f aca="false">IF(AND('Loan Tape'!$AX109=1,'Loan Tape'!$AW109=3),MAX(0,E113-E719-E1022-E1325),0)</f>
        <v>0</v>
      </c>
      <c r="F1628" s="71" t="n">
        <f aca="false">IF(AND('Loan Tape'!$AX109=1,'Loan Tape'!$AW109=4),MAX(0,F113-F719-F1022-F1325),0)</f>
        <v>0</v>
      </c>
      <c r="G1628" s="71" t="n">
        <f aca="false">IF(AND('Loan Tape'!$AX109=1,'Loan Tape'!$AW109=5),MAX(0,G113-G719-G1022-G1325),0)</f>
        <v>0</v>
      </c>
      <c r="H1628" s="71" t="n">
        <f aca="false">IF(AND('Loan Tape'!$AX109=1,'Loan Tape'!$AW109=6),MAX(0,H113-H719-H1022-H1325),0)</f>
        <v>0</v>
      </c>
      <c r="I1628" s="71" t="n">
        <f aca="false">IF(AND('Loan Tape'!$AX109=1,'Loan Tape'!$AW109=7),MAX(0,I113-I719-I1022-I1325),0)</f>
        <v>0</v>
      </c>
      <c r="J1628" s="71" t="n">
        <f aca="false">IF(AND('Loan Tape'!$AX109=1,'Loan Tape'!$AW109=8),MAX(0,J113-J719-J1022-J1325),0)</f>
        <v>0</v>
      </c>
      <c r="K1628" s="71" t="n">
        <f aca="false">IF(AND('Loan Tape'!$AX109=1,'Loan Tape'!$AW109=9),MAX(0,K113-K719-K1022-K1325),0)</f>
        <v>0</v>
      </c>
      <c r="L1628" s="71" t="n">
        <f aca="false">IF(AND('Loan Tape'!$AX109=1,'Loan Tape'!$AW109=10),MAX(0,L113-L719-L1022-L1325),0)</f>
        <v>0</v>
      </c>
    </row>
    <row r="1629" customFormat="false" ht="15" hidden="false" customHeight="false" outlineLevel="0" collapsed="false">
      <c r="B1629" s="102" t="n">
        <f aca="false">'Loan Tape'!$A110</f>
        <v>0</v>
      </c>
      <c r="C1629" s="99" t="n">
        <f aca="false">IF(AND('Loan Tape'!$AX110=1,'Loan Tape'!$AW110=1),MAX(0,C114-C720-C1023-C1326),0)</f>
        <v>0</v>
      </c>
      <c r="D1629" s="99" t="n">
        <f aca="false">IF(AND('Loan Tape'!$AX110=1,'Loan Tape'!$AW110=2),MAX(0,D114-D720-D1023-D1326),0)</f>
        <v>0</v>
      </c>
      <c r="E1629" s="99" t="n">
        <f aca="false">IF(AND('Loan Tape'!$AX110=1,'Loan Tape'!$AW110=3),MAX(0,E114-E720-E1023-E1326),0)</f>
        <v>0</v>
      </c>
      <c r="F1629" s="99" t="n">
        <f aca="false">IF(AND('Loan Tape'!$AX110=1,'Loan Tape'!$AW110=4),MAX(0,F114-F720-F1023-F1326),0)</f>
        <v>0</v>
      </c>
      <c r="G1629" s="99" t="n">
        <f aca="false">IF(AND('Loan Tape'!$AX110=1,'Loan Tape'!$AW110=5),MAX(0,G114-G720-G1023-G1326),0)</f>
        <v>0</v>
      </c>
      <c r="H1629" s="99" t="n">
        <f aca="false">IF(AND('Loan Tape'!$AX110=1,'Loan Tape'!$AW110=6),MAX(0,H114-H720-H1023-H1326),0)</f>
        <v>0</v>
      </c>
      <c r="I1629" s="99" t="n">
        <f aca="false">IF(AND('Loan Tape'!$AX110=1,'Loan Tape'!$AW110=7),MAX(0,I114-I720-I1023-I1326),0)</f>
        <v>0</v>
      </c>
      <c r="J1629" s="99" t="n">
        <f aca="false">IF(AND('Loan Tape'!$AX110=1,'Loan Tape'!$AW110=8),MAX(0,J114-J720-J1023-J1326),0)</f>
        <v>0</v>
      </c>
      <c r="K1629" s="99" t="n">
        <f aca="false">IF(AND('Loan Tape'!$AX110=1,'Loan Tape'!$AW110=9),MAX(0,K114-K720-K1023-K1326),0)</f>
        <v>0</v>
      </c>
      <c r="L1629" s="99" t="n">
        <f aca="false">IF(AND('Loan Tape'!$AX110=1,'Loan Tape'!$AW110=10),MAX(0,L114-L720-L1023-L1326),0)</f>
        <v>0</v>
      </c>
    </row>
    <row r="1630" customFormat="false" ht="15" hidden="false" customHeight="false" outlineLevel="0" collapsed="false">
      <c r="B1630" s="108" t="n">
        <f aca="false">'Loan Tape'!$A111</f>
        <v>0</v>
      </c>
      <c r="C1630" s="71" t="n">
        <f aca="false">IF(AND('Loan Tape'!$AX111=1,'Loan Tape'!$AW111=1),MAX(0,C115-C721-C1024-C1327),0)</f>
        <v>0</v>
      </c>
      <c r="D1630" s="71" t="n">
        <f aca="false">IF(AND('Loan Tape'!$AX111=1,'Loan Tape'!$AW111=2),MAX(0,D115-D721-D1024-D1327),0)</f>
        <v>0</v>
      </c>
      <c r="E1630" s="71" t="n">
        <f aca="false">IF(AND('Loan Tape'!$AX111=1,'Loan Tape'!$AW111=3),MAX(0,E115-E721-E1024-E1327),0)</f>
        <v>0</v>
      </c>
      <c r="F1630" s="71" t="n">
        <f aca="false">IF(AND('Loan Tape'!$AX111=1,'Loan Tape'!$AW111=4),MAX(0,F115-F721-F1024-F1327),0)</f>
        <v>0</v>
      </c>
      <c r="G1630" s="71" t="n">
        <f aca="false">IF(AND('Loan Tape'!$AX111=1,'Loan Tape'!$AW111=5),MAX(0,G115-G721-G1024-G1327),0)</f>
        <v>0</v>
      </c>
      <c r="H1630" s="71" t="n">
        <f aca="false">IF(AND('Loan Tape'!$AX111=1,'Loan Tape'!$AW111=6),MAX(0,H115-H721-H1024-H1327),0)</f>
        <v>0</v>
      </c>
      <c r="I1630" s="71" t="n">
        <f aca="false">IF(AND('Loan Tape'!$AX111=1,'Loan Tape'!$AW111=7),MAX(0,I115-I721-I1024-I1327),0)</f>
        <v>0</v>
      </c>
      <c r="J1630" s="71" t="n">
        <f aca="false">IF(AND('Loan Tape'!$AX111=1,'Loan Tape'!$AW111=8),MAX(0,J115-J721-J1024-J1327),0)</f>
        <v>0</v>
      </c>
      <c r="K1630" s="71" t="n">
        <f aca="false">IF(AND('Loan Tape'!$AX111=1,'Loan Tape'!$AW111=9),MAX(0,K115-K721-K1024-K1327),0)</f>
        <v>0</v>
      </c>
      <c r="L1630" s="71" t="n">
        <f aca="false">IF(AND('Loan Tape'!$AX111=1,'Loan Tape'!$AW111=10),MAX(0,L115-L721-L1024-L1327),0)</f>
        <v>0</v>
      </c>
    </row>
    <row r="1631" customFormat="false" ht="15" hidden="false" customHeight="false" outlineLevel="0" collapsed="false">
      <c r="B1631" s="102" t="n">
        <f aca="false">'Loan Tape'!$A112</f>
        <v>0</v>
      </c>
      <c r="C1631" s="99" t="n">
        <f aca="false">IF(AND('Loan Tape'!$AX112=1,'Loan Tape'!$AW112=1),MAX(0,C116-C722-C1025-C1328),0)</f>
        <v>0</v>
      </c>
      <c r="D1631" s="99" t="n">
        <f aca="false">IF(AND('Loan Tape'!$AX112=1,'Loan Tape'!$AW112=2),MAX(0,D116-D722-D1025-D1328),0)</f>
        <v>0</v>
      </c>
      <c r="E1631" s="99" t="n">
        <f aca="false">IF(AND('Loan Tape'!$AX112=1,'Loan Tape'!$AW112=3),MAX(0,E116-E722-E1025-E1328),0)</f>
        <v>0</v>
      </c>
      <c r="F1631" s="99" t="n">
        <f aca="false">IF(AND('Loan Tape'!$AX112=1,'Loan Tape'!$AW112=4),MAX(0,F116-F722-F1025-F1328),0)</f>
        <v>0</v>
      </c>
      <c r="G1631" s="99" t="n">
        <f aca="false">IF(AND('Loan Tape'!$AX112=1,'Loan Tape'!$AW112=5),MAX(0,G116-G722-G1025-G1328),0)</f>
        <v>0</v>
      </c>
      <c r="H1631" s="99" t="n">
        <f aca="false">IF(AND('Loan Tape'!$AX112=1,'Loan Tape'!$AW112=6),MAX(0,H116-H722-H1025-H1328),0)</f>
        <v>0</v>
      </c>
      <c r="I1631" s="99" t="n">
        <f aca="false">IF(AND('Loan Tape'!$AX112=1,'Loan Tape'!$AW112=7),MAX(0,I116-I722-I1025-I1328),0)</f>
        <v>0</v>
      </c>
      <c r="J1631" s="99" t="n">
        <f aca="false">IF(AND('Loan Tape'!$AX112=1,'Loan Tape'!$AW112=8),MAX(0,J116-J722-J1025-J1328),0)</f>
        <v>0</v>
      </c>
      <c r="K1631" s="99" t="n">
        <f aca="false">IF(AND('Loan Tape'!$AX112=1,'Loan Tape'!$AW112=9),MAX(0,K116-K722-K1025-K1328),0)</f>
        <v>0</v>
      </c>
      <c r="L1631" s="99" t="n">
        <f aca="false">IF(AND('Loan Tape'!$AX112=1,'Loan Tape'!$AW112=10),MAX(0,L116-L722-L1025-L1328),0)</f>
        <v>0</v>
      </c>
    </row>
    <row r="1632" customFormat="false" ht="15" hidden="false" customHeight="false" outlineLevel="0" collapsed="false">
      <c r="B1632" s="108" t="n">
        <f aca="false">'Loan Tape'!$A113</f>
        <v>0</v>
      </c>
      <c r="C1632" s="71" t="n">
        <f aca="false">IF(AND('Loan Tape'!$AX113=1,'Loan Tape'!$AW113=1),MAX(0,C117-C723-C1026-C1329),0)</f>
        <v>0</v>
      </c>
      <c r="D1632" s="71" t="n">
        <f aca="false">IF(AND('Loan Tape'!$AX113=1,'Loan Tape'!$AW113=2),MAX(0,D117-D723-D1026-D1329),0)</f>
        <v>0</v>
      </c>
      <c r="E1632" s="71" t="n">
        <f aca="false">IF(AND('Loan Tape'!$AX113=1,'Loan Tape'!$AW113=3),MAX(0,E117-E723-E1026-E1329),0)</f>
        <v>0</v>
      </c>
      <c r="F1632" s="71" t="n">
        <f aca="false">IF(AND('Loan Tape'!$AX113=1,'Loan Tape'!$AW113=4),MAX(0,F117-F723-F1026-F1329),0)</f>
        <v>0</v>
      </c>
      <c r="G1632" s="71" t="n">
        <f aca="false">IF(AND('Loan Tape'!$AX113=1,'Loan Tape'!$AW113=5),MAX(0,G117-G723-G1026-G1329),0)</f>
        <v>0</v>
      </c>
      <c r="H1632" s="71" t="n">
        <f aca="false">IF(AND('Loan Tape'!$AX113=1,'Loan Tape'!$AW113=6),MAX(0,H117-H723-H1026-H1329),0)</f>
        <v>0</v>
      </c>
      <c r="I1632" s="71" t="n">
        <f aca="false">IF(AND('Loan Tape'!$AX113=1,'Loan Tape'!$AW113=7),MAX(0,I117-I723-I1026-I1329),0)</f>
        <v>0</v>
      </c>
      <c r="J1632" s="71" t="n">
        <f aca="false">IF(AND('Loan Tape'!$AX113=1,'Loan Tape'!$AW113=8),MAX(0,J117-J723-J1026-J1329),0)</f>
        <v>0</v>
      </c>
      <c r="K1632" s="71" t="n">
        <f aca="false">IF(AND('Loan Tape'!$AX113=1,'Loan Tape'!$AW113=9),MAX(0,K117-K723-K1026-K1329),0)</f>
        <v>0</v>
      </c>
      <c r="L1632" s="71" t="n">
        <f aca="false">IF(AND('Loan Tape'!$AX113=1,'Loan Tape'!$AW113=10),MAX(0,L117-L723-L1026-L1329),0)</f>
        <v>0</v>
      </c>
    </row>
    <row r="1633" customFormat="false" ht="15" hidden="false" customHeight="false" outlineLevel="0" collapsed="false">
      <c r="B1633" s="102" t="n">
        <f aca="false">'Loan Tape'!$A114</f>
        <v>0</v>
      </c>
      <c r="C1633" s="99" t="n">
        <f aca="false">IF(AND('Loan Tape'!$AX114=1,'Loan Tape'!$AW114=1),MAX(0,C118-C724-C1027-C1330),0)</f>
        <v>0</v>
      </c>
      <c r="D1633" s="99" t="n">
        <f aca="false">IF(AND('Loan Tape'!$AX114=1,'Loan Tape'!$AW114=2),MAX(0,D118-D724-D1027-D1330),0)</f>
        <v>0</v>
      </c>
      <c r="E1633" s="99" t="n">
        <f aca="false">IF(AND('Loan Tape'!$AX114=1,'Loan Tape'!$AW114=3),MAX(0,E118-E724-E1027-E1330),0)</f>
        <v>0</v>
      </c>
      <c r="F1633" s="99" t="n">
        <f aca="false">IF(AND('Loan Tape'!$AX114=1,'Loan Tape'!$AW114=4),MAX(0,F118-F724-F1027-F1330),0)</f>
        <v>0</v>
      </c>
      <c r="G1633" s="99" t="n">
        <f aca="false">IF(AND('Loan Tape'!$AX114=1,'Loan Tape'!$AW114=5),MAX(0,G118-G724-G1027-G1330),0)</f>
        <v>0</v>
      </c>
      <c r="H1633" s="99" t="n">
        <f aca="false">IF(AND('Loan Tape'!$AX114=1,'Loan Tape'!$AW114=6),MAX(0,H118-H724-H1027-H1330),0)</f>
        <v>0</v>
      </c>
      <c r="I1633" s="99" t="n">
        <f aca="false">IF(AND('Loan Tape'!$AX114=1,'Loan Tape'!$AW114=7),MAX(0,I118-I724-I1027-I1330),0)</f>
        <v>0</v>
      </c>
      <c r="J1633" s="99" t="n">
        <f aca="false">IF(AND('Loan Tape'!$AX114=1,'Loan Tape'!$AW114=8),MAX(0,J118-J724-J1027-J1330),0)</f>
        <v>0</v>
      </c>
      <c r="K1633" s="99" t="n">
        <f aca="false">IF(AND('Loan Tape'!$AX114=1,'Loan Tape'!$AW114=9),MAX(0,K118-K724-K1027-K1330),0)</f>
        <v>0</v>
      </c>
      <c r="L1633" s="99" t="n">
        <f aca="false">IF(AND('Loan Tape'!$AX114=1,'Loan Tape'!$AW114=10),MAX(0,L118-L724-L1027-L1330),0)</f>
        <v>0</v>
      </c>
    </row>
    <row r="1634" customFormat="false" ht="15" hidden="false" customHeight="false" outlineLevel="0" collapsed="false">
      <c r="B1634" s="108" t="n">
        <f aca="false">'Loan Tape'!$A115</f>
        <v>0</v>
      </c>
      <c r="C1634" s="71" t="n">
        <f aca="false">IF(AND('Loan Tape'!$AX115=1,'Loan Tape'!$AW115=1),MAX(0,C119-C725-C1028-C1331),0)</f>
        <v>0</v>
      </c>
      <c r="D1634" s="71" t="n">
        <f aca="false">IF(AND('Loan Tape'!$AX115=1,'Loan Tape'!$AW115=2),MAX(0,D119-D725-D1028-D1331),0)</f>
        <v>0</v>
      </c>
      <c r="E1634" s="71" t="n">
        <f aca="false">IF(AND('Loan Tape'!$AX115=1,'Loan Tape'!$AW115=3),MAX(0,E119-E725-E1028-E1331),0)</f>
        <v>0</v>
      </c>
      <c r="F1634" s="71" t="n">
        <f aca="false">IF(AND('Loan Tape'!$AX115=1,'Loan Tape'!$AW115=4),MAX(0,F119-F725-F1028-F1331),0)</f>
        <v>0</v>
      </c>
      <c r="G1634" s="71" t="n">
        <f aca="false">IF(AND('Loan Tape'!$AX115=1,'Loan Tape'!$AW115=5),MAX(0,G119-G725-G1028-G1331),0)</f>
        <v>0</v>
      </c>
      <c r="H1634" s="71" t="n">
        <f aca="false">IF(AND('Loan Tape'!$AX115=1,'Loan Tape'!$AW115=6),MAX(0,H119-H725-H1028-H1331),0)</f>
        <v>0</v>
      </c>
      <c r="I1634" s="71" t="n">
        <f aca="false">IF(AND('Loan Tape'!$AX115=1,'Loan Tape'!$AW115=7),MAX(0,I119-I725-I1028-I1331),0)</f>
        <v>0</v>
      </c>
      <c r="J1634" s="71" t="n">
        <f aca="false">IF(AND('Loan Tape'!$AX115=1,'Loan Tape'!$AW115=8),MAX(0,J119-J725-J1028-J1331),0)</f>
        <v>0</v>
      </c>
      <c r="K1634" s="71" t="n">
        <f aca="false">IF(AND('Loan Tape'!$AX115=1,'Loan Tape'!$AW115=9),MAX(0,K119-K725-K1028-K1331),0)</f>
        <v>0</v>
      </c>
      <c r="L1634" s="71" t="n">
        <f aca="false">IF(AND('Loan Tape'!$AX115=1,'Loan Tape'!$AW115=10),MAX(0,L119-L725-L1028-L1331),0)</f>
        <v>0</v>
      </c>
    </row>
    <row r="1635" customFormat="false" ht="15" hidden="false" customHeight="false" outlineLevel="0" collapsed="false">
      <c r="B1635" s="102" t="n">
        <f aca="false">'Loan Tape'!$A116</f>
        <v>0</v>
      </c>
      <c r="C1635" s="99" t="n">
        <f aca="false">IF(AND('Loan Tape'!$AX116=1,'Loan Tape'!$AW116=1),MAX(0,C120-C726-C1029-C1332),0)</f>
        <v>0</v>
      </c>
      <c r="D1635" s="99" t="n">
        <f aca="false">IF(AND('Loan Tape'!$AX116=1,'Loan Tape'!$AW116=2),MAX(0,D120-D726-D1029-D1332),0)</f>
        <v>0</v>
      </c>
      <c r="E1635" s="99" t="n">
        <f aca="false">IF(AND('Loan Tape'!$AX116=1,'Loan Tape'!$AW116=3),MAX(0,E120-E726-E1029-E1332),0)</f>
        <v>0</v>
      </c>
      <c r="F1635" s="99" t="n">
        <f aca="false">IF(AND('Loan Tape'!$AX116=1,'Loan Tape'!$AW116=4),MAX(0,F120-F726-F1029-F1332),0)</f>
        <v>0</v>
      </c>
      <c r="G1635" s="99" t="n">
        <f aca="false">IF(AND('Loan Tape'!$AX116=1,'Loan Tape'!$AW116=5),MAX(0,G120-G726-G1029-G1332),0)</f>
        <v>0</v>
      </c>
      <c r="H1635" s="99" t="n">
        <f aca="false">IF(AND('Loan Tape'!$AX116=1,'Loan Tape'!$AW116=6),MAX(0,H120-H726-H1029-H1332),0)</f>
        <v>0</v>
      </c>
      <c r="I1635" s="99" t="n">
        <f aca="false">IF(AND('Loan Tape'!$AX116=1,'Loan Tape'!$AW116=7),MAX(0,I120-I726-I1029-I1332),0)</f>
        <v>0</v>
      </c>
      <c r="J1635" s="99" t="n">
        <f aca="false">IF(AND('Loan Tape'!$AX116=1,'Loan Tape'!$AW116=8),MAX(0,J120-J726-J1029-J1332),0)</f>
        <v>0</v>
      </c>
      <c r="K1635" s="99" t="n">
        <f aca="false">IF(AND('Loan Tape'!$AX116=1,'Loan Tape'!$AW116=9),MAX(0,K120-K726-K1029-K1332),0)</f>
        <v>0</v>
      </c>
      <c r="L1635" s="99" t="n">
        <f aca="false">IF(AND('Loan Tape'!$AX116=1,'Loan Tape'!$AW116=10),MAX(0,L120-L726-L1029-L1332),0)</f>
        <v>0</v>
      </c>
    </row>
    <row r="1636" customFormat="false" ht="15" hidden="false" customHeight="false" outlineLevel="0" collapsed="false">
      <c r="B1636" s="108" t="n">
        <f aca="false">'Loan Tape'!$A117</f>
        <v>0</v>
      </c>
      <c r="C1636" s="71" t="n">
        <f aca="false">IF(AND('Loan Tape'!$AX117=1,'Loan Tape'!$AW117=1),MAX(0,C121-C727-C1030-C1333),0)</f>
        <v>0</v>
      </c>
      <c r="D1636" s="71" t="n">
        <f aca="false">IF(AND('Loan Tape'!$AX117=1,'Loan Tape'!$AW117=2),MAX(0,D121-D727-D1030-D1333),0)</f>
        <v>0</v>
      </c>
      <c r="E1636" s="71" t="n">
        <f aca="false">IF(AND('Loan Tape'!$AX117=1,'Loan Tape'!$AW117=3),MAX(0,E121-E727-E1030-E1333),0)</f>
        <v>0</v>
      </c>
      <c r="F1636" s="71" t="n">
        <f aca="false">IF(AND('Loan Tape'!$AX117=1,'Loan Tape'!$AW117=4),MAX(0,F121-F727-F1030-F1333),0)</f>
        <v>0</v>
      </c>
      <c r="G1636" s="71" t="n">
        <f aca="false">IF(AND('Loan Tape'!$AX117=1,'Loan Tape'!$AW117=5),MAX(0,G121-G727-G1030-G1333),0)</f>
        <v>0</v>
      </c>
      <c r="H1636" s="71" t="n">
        <f aca="false">IF(AND('Loan Tape'!$AX117=1,'Loan Tape'!$AW117=6),MAX(0,H121-H727-H1030-H1333),0)</f>
        <v>0</v>
      </c>
      <c r="I1636" s="71" t="n">
        <f aca="false">IF(AND('Loan Tape'!$AX117=1,'Loan Tape'!$AW117=7),MAX(0,I121-I727-I1030-I1333),0)</f>
        <v>0</v>
      </c>
      <c r="J1636" s="71" t="n">
        <f aca="false">IF(AND('Loan Tape'!$AX117=1,'Loan Tape'!$AW117=8),MAX(0,J121-J727-J1030-J1333),0)</f>
        <v>0</v>
      </c>
      <c r="K1636" s="71" t="n">
        <f aca="false">IF(AND('Loan Tape'!$AX117=1,'Loan Tape'!$AW117=9),MAX(0,K121-K727-K1030-K1333),0)</f>
        <v>0</v>
      </c>
      <c r="L1636" s="71" t="n">
        <f aca="false">IF(AND('Loan Tape'!$AX117=1,'Loan Tape'!$AW117=10),MAX(0,L121-L727-L1030-L1333),0)</f>
        <v>0</v>
      </c>
    </row>
    <row r="1637" customFormat="false" ht="15" hidden="false" customHeight="false" outlineLevel="0" collapsed="false">
      <c r="B1637" s="102" t="n">
        <f aca="false">'Loan Tape'!$A118</f>
        <v>0</v>
      </c>
      <c r="C1637" s="99" t="n">
        <f aca="false">IF(AND('Loan Tape'!$AX118=1,'Loan Tape'!$AW118=1),MAX(0,C122-C728-C1031-C1334),0)</f>
        <v>0</v>
      </c>
      <c r="D1637" s="99" t="n">
        <f aca="false">IF(AND('Loan Tape'!$AX118=1,'Loan Tape'!$AW118=2),MAX(0,D122-D728-D1031-D1334),0)</f>
        <v>0</v>
      </c>
      <c r="E1637" s="99" t="n">
        <f aca="false">IF(AND('Loan Tape'!$AX118=1,'Loan Tape'!$AW118=3),MAX(0,E122-E728-E1031-E1334),0)</f>
        <v>0</v>
      </c>
      <c r="F1637" s="99" t="n">
        <f aca="false">IF(AND('Loan Tape'!$AX118=1,'Loan Tape'!$AW118=4),MAX(0,F122-F728-F1031-F1334),0)</f>
        <v>0</v>
      </c>
      <c r="G1637" s="99" t="n">
        <f aca="false">IF(AND('Loan Tape'!$AX118=1,'Loan Tape'!$AW118=5),MAX(0,G122-G728-G1031-G1334),0)</f>
        <v>0</v>
      </c>
      <c r="H1637" s="99" t="n">
        <f aca="false">IF(AND('Loan Tape'!$AX118=1,'Loan Tape'!$AW118=6),MAX(0,H122-H728-H1031-H1334),0)</f>
        <v>0</v>
      </c>
      <c r="I1637" s="99" t="n">
        <f aca="false">IF(AND('Loan Tape'!$AX118=1,'Loan Tape'!$AW118=7),MAX(0,I122-I728-I1031-I1334),0)</f>
        <v>0</v>
      </c>
      <c r="J1637" s="99" t="n">
        <f aca="false">IF(AND('Loan Tape'!$AX118=1,'Loan Tape'!$AW118=8),MAX(0,J122-J728-J1031-J1334),0)</f>
        <v>0</v>
      </c>
      <c r="K1637" s="99" t="n">
        <f aca="false">IF(AND('Loan Tape'!$AX118=1,'Loan Tape'!$AW118=9),MAX(0,K122-K728-K1031-K1334),0)</f>
        <v>0</v>
      </c>
      <c r="L1637" s="99" t="n">
        <f aca="false">IF(AND('Loan Tape'!$AX118=1,'Loan Tape'!$AW118=10),MAX(0,L122-L728-L1031-L1334),0)</f>
        <v>0</v>
      </c>
    </row>
    <row r="1638" customFormat="false" ht="15" hidden="false" customHeight="false" outlineLevel="0" collapsed="false">
      <c r="B1638" s="108" t="n">
        <f aca="false">'Loan Tape'!$A119</f>
        <v>0</v>
      </c>
      <c r="C1638" s="71" t="n">
        <f aca="false">IF(AND('Loan Tape'!$AX119=1,'Loan Tape'!$AW119=1),MAX(0,C123-C729-C1032-C1335),0)</f>
        <v>0</v>
      </c>
      <c r="D1638" s="71" t="n">
        <f aca="false">IF(AND('Loan Tape'!$AX119=1,'Loan Tape'!$AW119=2),MAX(0,D123-D729-D1032-D1335),0)</f>
        <v>0</v>
      </c>
      <c r="E1638" s="71" t="n">
        <f aca="false">IF(AND('Loan Tape'!$AX119=1,'Loan Tape'!$AW119=3),MAX(0,E123-E729-E1032-E1335),0)</f>
        <v>0</v>
      </c>
      <c r="F1638" s="71" t="n">
        <f aca="false">IF(AND('Loan Tape'!$AX119=1,'Loan Tape'!$AW119=4),MAX(0,F123-F729-F1032-F1335),0)</f>
        <v>0</v>
      </c>
      <c r="G1638" s="71" t="n">
        <f aca="false">IF(AND('Loan Tape'!$AX119=1,'Loan Tape'!$AW119=5),MAX(0,G123-G729-G1032-G1335),0)</f>
        <v>0</v>
      </c>
      <c r="H1638" s="71" t="n">
        <f aca="false">IF(AND('Loan Tape'!$AX119=1,'Loan Tape'!$AW119=6),MAX(0,H123-H729-H1032-H1335),0)</f>
        <v>0</v>
      </c>
      <c r="I1638" s="71" t="n">
        <f aca="false">IF(AND('Loan Tape'!$AX119=1,'Loan Tape'!$AW119=7),MAX(0,I123-I729-I1032-I1335),0)</f>
        <v>0</v>
      </c>
      <c r="J1638" s="71" t="n">
        <f aca="false">IF(AND('Loan Tape'!$AX119=1,'Loan Tape'!$AW119=8),MAX(0,J123-J729-J1032-J1335),0)</f>
        <v>0</v>
      </c>
      <c r="K1638" s="71" t="n">
        <f aca="false">IF(AND('Loan Tape'!$AX119=1,'Loan Tape'!$AW119=9),MAX(0,K123-K729-K1032-K1335),0)</f>
        <v>0</v>
      </c>
      <c r="L1638" s="71" t="n">
        <f aca="false">IF(AND('Loan Tape'!$AX119=1,'Loan Tape'!$AW119=10),MAX(0,L123-L729-L1032-L1335),0)</f>
        <v>0</v>
      </c>
    </row>
    <row r="1639" customFormat="false" ht="15" hidden="false" customHeight="false" outlineLevel="0" collapsed="false">
      <c r="B1639" s="102" t="n">
        <f aca="false">'Loan Tape'!$A120</f>
        <v>0</v>
      </c>
      <c r="C1639" s="99" t="n">
        <f aca="false">IF(AND('Loan Tape'!$AX120=1,'Loan Tape'!$AW120=1),MAX(0,C124-C730-C1033-C1336),0)</f>
        <v>0</v>
      </c>
      <c r="D1639" s="99" t="n">
        <f aca="false">IF(AND('Loan Tape'!$AX120=1,'Loan Tape'!$AW120=2),MAX(0,D124-D730-D1033-D1336),0)</f>
        <v>0</v>
      </c>
      <c r="E1639" s="99" t="n">
        <f aca="false">IF(AND('Loan Tape'!$AX120=1,'Loan Tape'!$AW120=3),MAX(0,E124-E730-E1033-E1336),0)</f>
        <v>0</v>
      </c>
      <c r="F1639" s="99" t="n">
        <f aca="false">IF(AND('Loan Tape'!$AX120=1,'Loan Tape'!$AW120=4),MAX(0,F124-F730-F1033-F1336),0)</f>
        <v>0</v>
      </c>
      <c r="G1639" s="99" t="n">
        <f aca="false">IF(AND('Loan Tape'!$AX120=1,'Loan Tape'!$AW120=5),MAX(0,G124-G730-G1033-G1336),0)</f>
        <v>0</v>
      </c>
      <c r="H1639" s="99" t="n">
        <f aca="false">IF(AND('Loan Tape'!$AX120=1,'Loan Tape'!$AW120=6),MAX(0,H124-H730-H1033-H1336),0)</f>
        <v>0</v>
      </c>
      <c r="I1639" s="99" t="n">
        <f aca="false">IF(AND('Loan Tape'!$AX120=1,'Loan Tape'!$AW120=7),MAX(0,I124-I730-I1033-I1336),0)</f>
        <v>0</v>
      </c>
      <c r="J1639" s="99" t="n">
        <f aca="false">IF(AND('Loan Tape'!$AX120=1,'Loan Tape'!$AW120=8),MAX(0,J124-J730-J1033-J1336),0)</f>
        <v>0</v>
      </c>
      <c r="K1639" s="99" t="n">
        <f aca="false">IF(AND('Loan Tape'!$AX120=1,'Loan Tape'!$AW120=9),MAX(0,K124-K730-K1033-K1336),0)</f>
        <v>0</v>
      </c>
      <c r="L1639" s="99" t="n">
        <f aca="false">IF(AND('Loan Tape'!$AX120=1,'Loan Tape'!$AW120=10),MAX(0,L124-L730-L1033-L1336),0)</f>
        <v>0</v>
      </c>
    </row>
    <row r="1640" customFormat="false" ht="15" hidden="false" customHeight="false" outlineLevel="0" collapsed="false">
      <c r="B1640" s="108" t="n">
        <f aca="false">'Loan Tape'!$A121</f>
        <v>0</v>
      </c>
      <c r="C1640" s="71" t="n">
        <f aca="false">IF(AND('Loan Tape'!$AX121=1,'Loan Tape'!$AW121=1),MAX(0,C125-C731-C1034-C1337),0)</f>
        <v>0</v>
      </c>
      <c r="D1640" s="71" t="n">
        <f aca="false">IF(AND('Loan Tape'!$AX121=1,'Loan Tape'!$AW121=2),MAX(0,D125-D731-D1034-D1337),0)</f>
        <v>0</v>
      </c>
      <c r="E1640" s="71" t="n">
        <f aca="false">IF(AND('Loan Tape'!$AX121=1,'Loan Tape'!$AW121=3),MAX(0,E125-E731-E1034-E1337),0)</f>
        <v>0</v>
      </c>
      <c r="F1640" s="71" t="n">
        <f aca="false">IF(AND('Loan Tape'!$AX121=1,'Loan Tape'!$AW121=4),MAX(0,F125-F731-F1034-F1337),0)</f>
        <v>0</v>
      </c>
      <c r="G1640" s="71" t="n">
        <f aca="false">IF(AND('Loan Tape'!$AX121=1,'Loan Tape'!$AW121=5),MAX(0,G125-G731-G1034-G1337),0)</f>
        <v>0</v>
      </c>
      <c r="H1640" s="71" t="n">
        <f aca="false">IF(AND('Loan Tape'!$AX121=1,'Loan Tape'!$AW121=6),MAX(0,H125-H731-H1034-H1337),0)</f>
        <v>0</v>
      </c>
      <c r="I1640" s="71" t="n">
        <f aca="false">IF(AND('Loan Tape'!$AX121=1,'Loan Tape'!$AW121=7),MAX(0,I125-I731-I1034-I1337),0)</f>
        <v>0</v>
      </c>
      <c r="J1640" s="71" t="n">
        <f aca="false">IF(AND('Loan Tape'!$AX121=1,'Loan Tape'!$AW121=8),MAX(0,J125-J731-J1034-J1337),0)</f>
        <v>0</v>
      </c>
      <c r="K1640" s="71" t="n">
        <f aca="false">IF(AND('Loan Tape'!$AX121=1,'Loan Tape'!$AW121=9),MAX(0,K125-K731-K1034-K1337),0)</f>
        <v>0</v>
      </c>
      <c r="L1640" s="71" t="n">
        <f aca="false">IF(AND('Loan Tape'!$AX121=1,'Loan Tape'!$AW121=10),MAX(0,L125-L731-L1034-L1337),0)</f>
        <v>0</v>
      </c>
    </row>
    <row r="1641" customFormat="false" ht="15" hidden="false" customHeight="false" outlineLevel="0" collapsed="false">
      <c r="B1641" s="102" t="n">
        <f aca="false">'Loan Tape'!$A122</f>
        <v>0</v>
      </c>
      <c r="C1641" s="99" t="n">
        <f aca="false">IF(AND('Loan Tape'!$AX122=1,'Loan Tape'!$AW122=1),MAX(0,C126-C732-C1035-C1338),0)</f>
        <v>0</v>
      </c>
      <c r="D1641" s="99" t="n">
        <f aca="false">IF(AND('Loan Tape'!$AX122=1,'Loan Tape'!$AW122=2),MAX(0,D126-D732-D1035-D1338),0)</f>
        <v>0</v>
      </c>
      <c r="E1641" s="99" t="n">
        <f aca="false">IF(AND('Loan Tape'!$AX122=1,'Loan Tape'!$AW122=3),MAX(0,E126-E732-E1035-E1338),0)</f>
        <v>0</v>
      </c>
      <c r="F1641" s="99" t="n">
        <f aca="false">IF(AND('Loan Tape'!$AX122=1,'Loan Tape'!$AW122=4),MAX(0,F126-F732-F1035-F1338),0)</f>
        <v>0</v>
      </c>
      <c r="G1641" s="99" t="n">
        <f aca="false">IF(AND('Loan Tape'!$AX122=1,'Loan Tape'!$AW122=5),MAX(0,G126-G732-G1035-G1338),0)</f>
        <v>0</v>
      </c>
      <c r="H1641" s="99" t="n">
        <f aca="false">IF(AND('Loan Tape'!$AX122=1,'Loan Tape'!$AW122=6),MAX(0,H126-H732-H1035-H1338),0)</f>
        <v>0</v>
      </c>
      <c r="I1641" s="99" t="n">
        <f aca="false">IF(AND('Loan Tape'!$AX122=1,'Loan Tape'!$AW122=7),MAX(0,I126-I732-I1035-I1338),0)</f>
        <v>0</v>
      </c>
      <c r="J1641" s="99" t="n">
        <f aca="false">IF(AND('Loan Tape'!$AX122=1,'Loan Tape'!$AW122=8),MAX(0,J126-J732-J1035-J1338),0)</f>
        <v>0</v>
      </c>
      <c r="K1641" s="99" t="n">
        <f aca="false">IF(AND('Loan Tape'!$AX122=1,'Loan Tape'!$AW122=9),MAX(0,K126-K732-K1035-K1338),0)</f>
        <v>0</v>
      </c>
      <c r="L1641" s="99" t="n">
        <f aca="false">IF(AND('Loan Tape'!$AX122=1,'Loan Tape'!$AW122=10),MAX(0,L126-L732-L1035-L1338),0)</f>
        <v>0</v>
      </c>
    </row>
    <row r="1642" customFormat="false" ht="15" hidden="false" customHeight="false" outlineLevel="0" collapsed="false">
      <c r="B1642" s="108" t="n">
        <f aca="false">'Loan Tape'!$A123</f>
        <v>0</v>
      </c>
      <c r="C1642" s="71" t="n">
        <f aca="false">IF(AND('Loan Tape'!$AX123=1,'Loan Tape'!$AW123=1),MAX(0,C127-C733-C1036-C1339),0)</f>
        <v>0</v>
      </c>
      <c r="D1642" s="71" t="n">
        <f aca="false">IF(AND('Loan Tape'!$AX123=1,'Loan Tape'!$AW123=2),MAX(0,D127-D733-D1036-D1339),0)</f>
        <v>0</v>
      </c>
      <c r="E1642" s="71" t="n">
        <f aca="false">IF(AND('Loan Tape'!$AX123=1,'Loan Tape'!$AW123=3),MAX(0,E127-E733-E1036-E1339),0)</f>
        <v>0</v>
      </c>
      <c r="F1642" s="71" t="n">
        <f aca="false">IF(AND('Loan Tape'!$AX123=1,'Loan Tape'!$AW123=4),MAX(0,F127-F733-F1036-F1339),0)</f>
        <v>0</v>
      </c>
      <c r="G1642" s="71" t="n">
        <f aca="false">IF(AND('Loan Tape'!$AX123=1,'Loan Tape'!$AW123=5),MAX(0,G127-G733-G1036-G1339),0)</f>
        <v>0</v>
      </c>
      <c r="H1642" s="71" t="n">
        <f aca="false">IF(AND('Loan Tape'!$AX123=1,'Loan Tape'!$AW123=6),MAX(0,H127-H733-H1036-H1339),0)</f>
        <v>0</v>
      </c>
      <c r="I1642" s="71" t="n">
        <f aca="false">IF(AND('Loan Tape'!$AX123=1,'Loan Tape'!$AW123=7),MAX(0,I127-I733-I1036-I1339),0)</f>
        <v>0</v>
      </c>
      <c r="J1642" s="71" t="n">
        <f aca="false">IF(AND('Loan Tape'!$AX123=1,'Loan Tape'!$AW123=8),MAX(0,J127-J733-J1036-J1339),0)</f>
        <v>0</v>
      </c>
      <c r="K1642" s="71" t="n">
        <f aca="false">IF(AND('Loan Tape'!$AX123=1,'Loan Tape'!$AW123=9),MAX(0,K127-K733-K1036-K1339),0)</f>
        <v>0</v>
      </c>
      <c r="L1642" s="71" t="n">
        <f aca="false">IF(AND('Loan Tape'!$AX123=1,'Loan Tape'!$AW123=10),MAX(0,L127-L733-L1036-L1339),0)</f>
        <v>0</v>
      </c>
    </row>
    <row r="1643" customFormat="false" ht="15" hidden="false" customHeight="false" outlineLevel="0" collapsed="false">
      <c r="B1643" s="102" t="n">
        <f aca="false">'Loan Tape'!$A124</f>
        <v>0</v>
      </c>
      <c r="C1643" s="99" t="n">
        <f aca="false">IF(AND('Loan Tape'!$AX124=1,'Loan Tape'!$AW124=1),MAX(0,C128-C734-C1037-C1340),0)</f>
        <v>0</v>
      </c>
      <c r="D1643" s="99" t="n">
        <f aca="false">IF(AND('Loan Tape'!$AX124=1,'Loan Tape'!$AW124=2),MAX(0,D128-D734-D1037-D1340),0)</f>
        <v>0</v>
      </c>
      <c r="E1643" s="99" t="n">
        <f aca="false">IF(AND('Loan Tape'!$AX124=1,'Loan Tape'!$AW124=3),MAX(0,E128-E734-E1037-E1340),0)</f>
        <v>0</v>
      </c>
      <c r="F1643" s="99" t="n">
        <f aca="false">IF(AND('Loan Tape'!$AX124=1,'Loan Tape'!$AW124=4),MAX(0,F128-F734-F1037-F1340),0)</f>
        <v>0</v>
      </c>
      <c r="G1643" s="99" t="n">
        <f aca="false">IF(AND('Loan Tape'!$AX124=1,'Loan Tape'!$AW124=5),MAX(0,G128-G734-G1037-G1340),0)</f>
        <v>0</v>
      </c>
      <c r="H1643" s="99" t="n">
        <f aca="false">IF(AND('Loan Tape'!$AX124=1,'Loan Tape'!$AW124=6),MAX(0,H128-H734-H1037-H1340),0)</f>
        <v>0</v>
      </c>
      <c r="I1643" s="99" t="n">
        <f aca="false">IF(AND('Loan Tape'!$AX124=1,'Loan Tape'!$AW124=7),MAX(0,I128-I734-I1037-I1340),0)</f>
        <v>0</v>
      </c>
      <c r="J1643" s="99" t="n">
        <f aca="false">IF(AND('Loan Tape'!$AX124=1,'Loan Tape'!$AW124=8),MAX(0,J128-J734-J1037-J1340),0)</f>
        <v>0</v>
      </c>
      <c r="K1643" s="99" t="n">
        <f aca="false">IF(AND('Loan Tape'!$AX124=1,'Loan Tape'!$AW124=9),MAX(0,K128-K734-K1037-K1340),0)</f>
        <v>0</v>
      </c>
      <c r="L1643" s="99" t="n">
        <f aca="false">IF(AND('Loan Tape'!$AX124=1,'Loan Tape'!$AW124=10),MAX(0,L128-L734-L1037-L1340),0)</f>
        <v>0</v>
      </c>
    </row>
    <row r="1644" customFormat="false" ht="15" hidden="false" customHeight="false" outlineLevel="0" collapsed="false">
      <c r="B1644" s="108" t="n">
        <f aca="false">'Loan Tape'!$A125</f>
        <v>0</v>
      </c>
      <c r="C1644" s="71" t="n">
        <f aca="false">IF(AND('Loan Tape'!$AX125=1,'Loan Tape'!$AW125=1),MAX(0,C129-C735-C1038-C1341),0)</f>
        <v>0</v>
      </c>
      <c r="D1644" s="71" t="n">
        <f aca="false">IF(AND('Loan Tape'!$AX125=1,'Loan Tape'!$AW125=2),MAX(0,D129-D735-D1038-D1341),0)</f>
        <v>0</v>
      </c>
      <c r="E1644" s="71" t="n">
        <f aca="false">IF(AND('Loan Tape'!$AX125=1,'Loan Tape'!$AW125=3),MAX(0,E129-E735-E1038-E1341),0)</f>
        <v>0</v>
      </c>
      <c r="F1644" s="71" t="n">
        <f aca="false">IF(AND('Loan Tape'!$AX125=1,'Loan Tape'!$AW125=4),MAX(0,F129-F735-F1038-F1341),0)</f>
        <v>0</v>
      </c>
      <c r="G1644" s="71" t="n">
        <f aca="false">IF(AND('Loan Tape'!$AX125=1,'Loan Tape'!$AW125=5),MAX(0,G129-G735-G1038-G1341),0)</f>
        <v>0</v>
      </c>
      <c r="H1644" s="71" t="n">
        <f aca="false">IF(AND('Loan Tape'!$AX125=1,'Loan Tape'!$AW125=6),MAX(0,H129-H735-H1038-H1341),0)</f>
        <v>0</v>
      </c>
      <c r="I1644" s="71" t="n">
        <f aca="false">IF(AND('Loan Tape'!$AX125=1,'Loan Tape'!$AW125=7),MAX(0,I129-I735-I1038-I1341),0)</f>
        <v>0</v>
      </c>
      <c r="J1644" s="71" t="n">
        <f aca="false">IF(AND('Loan Tape'!$AX125=1,'Loan Tape'!$AW125=8),MAX(0,J129-J735-J1038-J1341),0)</f>
        <v>0</v>
      </c>
      <c r="K1644" s="71" t="n">
        <f aca="false">IF(AND('Loan Tape'!$AX125=1,'Loan Tape'!$AW125=9),MAX(0,K129-K735-K1038-K1341),0)</f>
        <v>0</v>
      </c>
      <c r="L1644" s="71" t="n">
        <f aca="false">IF(AND('Loan Tape'!$AX125=1,'Loan Tape'!$AW125=10),MAX(0,L129-L735-L1038-L1341),0)</f>
        <v>0</v>
      </c>
    </row>
    <row r="1645" customFormat="false" ht="15" hidden="false" customHeight="false" outlineLevel="0" collapsed="false">
      <c r="B1645" s="102" t="n">
        <f aca="false">'Loan Tape'!$A126</f>
        <v>0</v>
      </c>
      <c r="C1645" s="99" t="n">
        <f aca="false">IF(AND('Loan Tape'!$AX126=1,'Loan Tape'!$AW126=1),MAX(0,C130-C736-C1039-C1342),0)</f>
        <v>0</v>
      </c>
      <c r="D1645" s="99" t="n">
        <f aca="false">IF(AND('Loan Tape'!$AX126=1,'Loan Tape'!$AW126=2),MAX(0,D130-D736-D1039-D1342),0)</f>
        <v>0</v>
      </c>
      <c r="E1645" s="99" t="n">
        <f aca="false">IF(AND('Loan Tape'!$AX126=1,'Loan Tape'!$AW126=3),MAX(0,E130-E736-E1039-E1342),0)</f>
        <v>0</v>
      </c>
      <c r="F1645" s="99" t="n">
        <f aca="false">IF(AND('Loan Tape'!$AX126=1,'Loan Tape'!$AW126=4),MAX(0,F130-F736-F1039-F1342),0)</f>
        <v>0</v>
      </c>
      <c r="G1645" s="99" t="n">
        <f aca="false">IF(AND('Loan Tape'!$AX126=1,'Loan Tape'!$AW126=5),MAX(0,G130-G736-G1039-G1342),0)</f>
        <v>0</v>
      </c>
      <c r="H1645" s="99" t="n">
        <f aca="false">IF(AND('Loan Tape'!$AX126=1,'Loan Tape'!$AW126=6),MAX(0,H130-H736-H1039-H1342),0)</f>
        <v>0</v>
      </c>
      <c r="I1645" s="99" t="n">
        <f aca="false">IF(AND('Loan Tape'!$AX126=1,'Loan Tape'!$AW126=7),MAX(0,I130-I736-I1039-I1342),0)</f>
        <v>0</v>
      </c>
      <c r="J1645" s="99" t="n">
        <f aca="false">IF(AND('Loan Tape'!$AX126=1,'Loan Tape'!$AW126=8),MAX(0,J130-J736-J1039-J1342),0)</f>
        <v>0</v>
      </c>
      <c r="K1645" s="99" t="n">
        <f aca="false">IF(AND('Loan Tape'!$AX126=1,'Loan Tape'!$AW126=9),MAX(0,K130-K736-K1039-K1342),0)</f>
        <v>0</v>
      </c>
      <c r="L1645" s="99" t="n">
        <f aca="false">IF(AND('Loan Tape'!$AX126=1,'Loan Tape'!$AW126=10),MAX(0,L130-L736-L1039-L1342),0)</f>
        <v>0</v>
      </c>
    </row>
    <row r="1646" customFormat="false" ht="15" hidden="false" customHeight="false" outlineLevel="0" collapsed="false">
      <c r="B1646" s="108" t="n">
        <f aca="false">'Loan Tape'!$A127</f>
        <v>0</v>
      </c>
      <c r="C1646" s="71" t="n">
        <f aca="false">IF(AND('Loan Tape'!$AX127=1,'Loan Tape'!$AW127=1),MAX(0,C131-C737-C1040-C1343),0)</f>
        <v>0</v>
      </c>
      <c r="D1646" s="71" t="n">
        <f aca="false">IF(AND('Loan Tape'!$AX127=1,'Loan Tape'!$AW127=2),MAX(0,D131-D737-D1040-D1343),0)</f>
        <v>0</v>
      </c>
      <c r="E1646" s="71" t="n">
        <f aca="false">IF(AND('Loan Tape'!$AX127=1,'Loan Tape'!$AW127=3),MAX(0,E131-E737-E1040-E1343),0)</f>
        <v>0</v>
      </c>
      <c r="F1646" s="71" t="n">
        <f aca="false">IF(AND('Loan Tape'!$AX127=1,'Loan Tape'!$AW127=4),MAX(0,F131-F737-F1040-F1343),0)</f>
        <v>0</v>
      </c>
      <c r="G1646" s="71" t="n">
        <f aca="false">IF(AND('Loan Tape'!$AX127=1,'Loan Tape'!$AW127=5),MAX(0,G131-G737-G1040-G1343),0)</f>
        <v>0</v>
      </c>
      <c r="H1646" s="71" t="n">
        <f aca="false">IF(AND('Loan Tape'!$AX127=1,'Loan Tape'!$AW127=6),MAX(0,H131-H737-H1040-H1343),0)</f>
        <v>0</v>
      </c>
      <c r="I1646" s="71" t="n">
        <f aca="false">IF(AND('Loan Tape'!$AX127=1,'Loan Tape'!$AW127=7),MAX(0,I131-I737-I1040-I1343),0)</f>
        <v>0</v>
      </c>
      <c r="J1646" s="71" t="n">
        <f aca="false">IF(AND('Loan Tape'!$AX127=1,'Loan Tape'!$AW127=8),MAX(0,J131-J737-J1040-J1343),0)</f>
        <v>0</v>
      </c>
      <c r="K1646" s="71" t="n">
        <f aca="false">IF(AND('Loan Tape'!$AX127=1,'Loan Tape'!$AW127=9),MAX(0,K131-K737-K1040-K1343),0)</f>
        <v>0</v>
      </c>
      <c r="L1646" s="71" t="n">
        <f aca="false">IF(AND('Loan Tape'!$AX127=1,'Loan Tape'!$AW127=10),MAX(0,L131-L737-L1040-L1343),0)</f>
        <v>0</v>
      </c>
    </row>
    <row r="1647" customFormat="false" ht="15" hidden="false" customHeight="false" outlineLevel="0" collapsed="false">
      <c r="B1647" s="102" t="n">
        <f aca="false">'Loan Tape'!$A128</f>
        <v>0</v>
      </c>
      <c r="C1647" s="99" t="n">
        <f aca="false">IF(AND('Loan Tape'!$AX128=1,'Loan Tape'!$AW128=1),MAX(0,C132-C738-C1041-C1344),0)</f>
        <v>0</v>
      </c>
      <c r="D1647" s="99" t="n">
        <f aca="false">IF(AND('Loan Tape'!$AX128=1,'Loan Tape'!$AW128=2),MAX(0,D132-D738-D1041-D1344),0)</f>
        <v>0</v>
      </c>
      <c r="E1647" s="99" t="n">
        <f aca="false">IF(AND('Loan Tape'!$AX128=1,'Loan Tape'!$AW128=3),MAX(0,E132-E738-E1041-E1344),0)</f>
        <v>0</v>
      </c>
      <c r="F1647" s="99" t="n">
        <f aca="false">IF(AND('Loan Tape'!$AX128=1,'Loan Tape'!$AW128=4),MAX(0,F132-F738-F1041-F1344),0)</f>
        <v>0</v>
      </c>
      <c r="G1647" s="99" t="n">
        <f aca="false">IF(AND('Loan Tape'!$AX128=1,'Loan Tape'!$AW128=5),MAX(0,G132-G738-G1041-G1344),0)</f>
        <v>0</v>
      </c>
      <c r="H1647" s="99" t="n">
        <f aca="false">IF(AND('Loan Tape'!$AX128=1,'Loan Tape'!$AW128=6),MAX(0,H132-H738-H1041-H1344),0)</f>
        <v>0</v>
      </c>
      <c r="I1647" s="99" t="n">
        <f aca="false">IF(AND('Loan Tape'!$AX128=1,'Loan Tape'!$AW128=7),MAX(0,I132-I738-I1041-I1344),0)</f>
        <v>0</v>
      </c>
      <c r="J1647" s="99" t="n">
        <f aca="false">IF(AND('Loan Tape'!$AX128=1,'Loan Tape'!$AW128=8),MAX(0,J132-J738-J1041-J1344),0)</f>
        <v>0</v>
      </c>
      <c r="K1647" s="99" t="n">
        <f aca="false">IF(AND('Loan Tape'!$AX128=1,'Loan Tape'!$AW128=9),MAX(0,K132-K738-K1041-K1344),0)</f>
        <v>0</v>
      </c>
      <c r="L1647" s="99" t="n">
        <f aca="false">IF(AND('Loan Tape'!$AX128=1,'Loan Tape'!$AW128=10),MAX(0,L132-L738-L1041-L1344),0)</f>
        <v>0</v>
      </c>
    </row>
    <row r="1648" customFormat="false" ht="15" hidden="false" customHeight="false" outlineLevel="0" collapsed="false">
      <c r="B1648" s="108" t="n">
        <f aca="false">'Loan Tape'!$A129</f>
        <v>0</v>
      </c>
      <c r="C1648" s="71" t="n">
        <f aca="false">IF(AND('Loan Tape'!$AX129=1,'Loan Tape'!$AW129=1),MAX(0,C133-C739-C1042-C1345),0)</f>
        <v>0</v>
      </c>
      <c r="D1648" s="71" t="n">
        <f aca="false">IF(AND('Loan Tape'!$AX129=1,'Loan Tape'!$AW129=2),MAX(0,D133-D739-D1042-D1345),0)</f>
        <v>0</v>
      </c>
      <c r="E1648" s="71" t="n">
        <f aca="false">IF(AND('Loan Tape'!$AX129=1,'Loan Tape'!$AW129=3),MAX(0,E133-E739-E1042-E1345),0)</f>
        <v>0</v>
      </c>
      <c r="F1648" s="71" t="n">
        <f aca="false">IF(AND('Loan Tape'!$AX129=1,'Loan Tape'!$AW129=4),MAX(0,F133-F739-F1042-F1345),0)</f>
        <v>0</v>
      </c>
      <c r="G1648" s="71" t="n">
        <f aca="false">IF(AND('Loan Tape'!$AX129=1,'Loan Tape'!$AW129=5),MAX(0,G133-G739-G1042-G1345),0)</f>
        <v>0</v>
      </c>
      <c r="H1648" s="71" t="n">
        <f aca="false">IF(AND('Loan Tape'!$AX129=1,'Loan Tape'!$AW129=6),MAX(0,H133-H739-H1042-H1345),0)</f>
        <v>0</v>
      </c>
      <c r="I1648" s="71" t="n">
        <f aca="false">IF(AND('Loan Tape'!$AX129=1,'Loan Tape'!$AW129=7),MAX(0,I133-I739-I1042-I1345),0)</f>
        <v>0</v>
      </c>
      <c r="J1648" s="71" t="n">
        <f aca="false">IF(AND('Loan Tape'!$AX129=1,'Loan Tape'!$AW129=8),MAX(0,J133-J739-J1042-J1345),0)</f>
        <v>0</v>
      </c>
      <c r="K1648" s="71" t="n">
        <f aca="false">IF(AND('Loan Tape'!$AX129=1,'Loan Tape'!$AW129=9),MAX(0,K133-K739-K1042-K1345),0)</f>
        <v>0</v>
      </c>
      <c r="L1648" s="71" t="n">
        <f aca="false">IF(AND('Loan Tape'!$AX129=1,'Loan Tape'!$AW129=10),MAX(0,L133-L739-L1042-L1345),0)</f>
        <v>0</v>
      </c>
    </row>
    <row r="1649" customFormat="false" ht="15" hidden="false" customHeight="false" outlineLevel="0" collapsed="false">
      <c r="B1649" s="102" t="n">
        <f aca="false">'Loan Tape'!$A130</f>
        <v>0</v>
      </c>
      <c r="C1649" s="99" t="n">
        <f aca="false">IF(AND('Loan Tape'!$AX130=1,'Loan Tape'!$AW130=1),MAX(0,C134-C740-C1043-C1346),0)</f>
        <v>0</v>
      </c>
      <c r="D1649" s="99" t="n">
        <f aca="false">IF(AND('Loan Tape'!$AX130=1,'Loan Tape'!$AW130=2),MAX(0,D134-D740-D1043-D1346),0)</f>
        <v>0</v>
      </c>
      <c r="E1649" s="99" t="n">
        <f aca="false">IF(AND('Loan Tape'!$AX130=1,'Loan Tape'!$AW130=3),MAX(0,E134-E740-E1043-E1346),0)</f>
        <v>0</v>
      </c>
      <c r="F1649" s="99" t="n">
        <f aca="false">IF(AND('Loan Tape'!$AX130=1,'Loan Tape'!$AW130=4),MAX(0,F134-F740-F1043-F1346),0)</f>
        <v>0</v>
      </c>
      <c r="G1649" s="99" t="n">
        <f aca="false">IF(AND('Loan Tape'!$AX130=1,'Loan Tape'!$AW130=5),MAX(0,G134-G740-G1043-G1346),0)</f>
        <v>0</v>
      </c>
      <c r="H1649" s="99" t="n">
        <f aca="false">IF(AND('Loan Tape'!$AX130=1,'Loan Tape'!$AW130=6),MAX(0,H134-H740-H1043-H1346),0)</f>
        <v>0</v>
      </c>
      <c r="I1649" s="99" t="n">
        <f aca="false">IF(AND('Loan Tape'!$AX130=1,'Loan Tape'!$AW130=7),MAX(0,I134-I740-I1043-I1346),0)</f>
        <v>0</v>
      </c>
      <c r="J1649" s="99" t="n">
        <f aca="false">IF(AND('Loan Tape'!$AX130=1,'Loan Tape'!$AW130=8),MAX(0,J134-J740-J1043-J1346),0)</f>
        <v>0</v>
      </c>
      <c r="K1649" s="99" t="n">
        <f aca="false">IF(AND('Loan Tape'!$AX130=1,'Loan Tape'!$AW130=9),MAX(0,K134-K740-K1043-K1346),0)</f>
        <v>0</v>
      </c>
      <c r="L1649" s="99" t="n">
        <f aca="false">IF(AND('Loan Tape'!$AX130=1,'Loan Tape'!$AW130=10),MAX(0,L134-L740-L1043-L1346),0)</f>
        <v>0</v>
      </c>
    </row>
    <row r="1650" customFormat="false" ht="15" hidden="false" customHeight="false" outlineLevel="0" collapsed="false">
      <c r="B1650" s="108" t="n">
        <f aca="false">'Loan Tape'!$A131</f>
        <v>0</v>
      </c>
      <c r="C1650" s="71" t="n">
        <f aca="false">IF(AND('Loan Tape'!$AX131=1,'Loan Tape'!$AW131=1),MAX(0,C135-C741-C1044-C1347),0)</f>
        <v>0</v>
      </c>
      <c r="D1650" s="71" t="n">
        <f aca="false">IF(AND('Loan Tape'!$AX131=1,'Loan Tape'!$AW131=2),MAX(0,D135-D741-D1044-D1347),0)</f>
        <v>0</v>
      </c>
      <c r="E1650" s="71" t="n">
        <f aca="false">IF(AND('Loan Tape'!$AX131=1,'Loan Tape'!$AW131=3),MAX(0,E135-E741-E1044-E1347),0)</f>
        <v>0</v>
      </c>
      <c r="F1650" s="71" t="n">
        <f aca="false">IF(AND('Loan Tape'!$AX131=1,'Loan Tape'!$AW131=4),MAX(0,F135-F741-F1044-F1347),0)</f>
        <v>0</v>
      </c>
      <c r="G1650" s="71" t="n">
        <f aca="false">IF(AND('Loan Tape'!$AX131=1,'Loan Tape'!$AW131=5),MAX(0,G135-G741-G1044-G1347),0)</f>
        <v>0</v>
      </c>
      <c r="H1650" s="71" t="n">
        <f aca="false">IF(AND('Loan Tape'!$AX131=1,'Loan Tape'!$AW131=6),MAX(0,H135-H741-H1044-H1347),0)</f>
        <v>0</v>
      </c>
      <c r="I1650" s="71" t="n">
        <f aca="false">IF(AND('Loan Tape'!$AX131=1,'Loan Tape'!$AW131=7),MAX(0,I135-I741-I1044-I1347),0)</f>
        <v>0</v>
      </c>
      <c r="J1650" s="71" t="n">
        <f aca="false">IF(AND('Loan Tape'!$AX131=1,'Loan Tape'!$AW131=8),MAX(0,J135-J741-J1044-J1347),0)</f>
        <v>0</v>
      </c>
      <c r="K1650" s="71" t="n">
        <f aca="false">IF(AND('Loan Tape'!$AX131=1,'Loan Tape'!$AW131=9),MAX(0,K135-K741-K1044-K1347),0)</f>
        <v>0</v>
      </c>
      <c r="L1650" s="71" t="n">
        <f aca="false">IF(AND('Loan Tape'!$AX131=1,'Loan Tape'!$AW131=10),MAX(0,L135-L741-L1044-L1347),0)</f>
        <v>0</v>
      </c>
    </row>
    <row r="1651" customFormat="false" ht="15" hidden="false" customHeight="false" outlineLevel="0" collapsed="false">
      <c r="B1651" s="102" t="n">
        <f aca="false">'Loan Tape'!$A132</f>
        <v>0</v>
      </c>
      <c r="C1651" s="99" t="n">
        <f aca="false">IF(AND('Loan Tape'!$AX132=1,'Loan Tape'!$AW132=1),MAX(0,C136-C742-C1045-C1348),0)</f>
        <v>0</v>
      </c>
      <c r="D1651" s="99" t="n">
        <f aca="false">IF(AND('Loan Tape'!$AX132=1,'Loan Tape'!$AW132=2),MAX(0,D136-D742-D1045-D1348),0)</f>
        <v>0</v>
      </c>
      <c r="E1651" s="99" t="n">
        <f aca="false">IF(AND('Loan Tape'!$AX132=1,'Loan Tape'!$AW132=3),MAX(0,E136-E742-E1045-E1348),0)</f>
        <v>0</v>
      </c>
      <c r="F1651" s="99" t="n">
        <f aca="false">IF(AND('Loan Tape'!$AX132=1,'Loan Tape'!$AW132=4),MAX(0,F136-F742-F1045-F1348),0)</f>
        <v>0</v>
      </c>
      <c r="G1651" s="99" t="n">
        <f aca="false">IF(AND('Loan Tape'!$AX132=1,'Loan Tape'!$AW132=5),MAX(0,G136-G742-G1045-G1348),0)</f>
        <v>0</v>
      </c>
      <c r="H1651" s="99" t="n">
        <f aca="false">IF(AND('Loan Tape'!$AX132=1,'Loan Tape'!$AW132=6),MAX(0,H136-H742-H1045-H1348),0)</f>
        <v>0</v>
      </c>
      <c r="I1651" s="99" t="n">
        <f aca="false">IF(AND('Loan Tape'!$AX132=1,'Loan Tape'!$AW132=7),MAX(0,I136-I742-I1045-I1348),0)</f>
        <v>0</v>
      </c>
      <c r="J1651" s="99" t="n">
        <f aca="false">IF(AND('Loan Tape'!$AX132=1,'Loan Tape'!$AW132=8),MAX(0,J136-J742-J1045-J1348),0)</f>
        <v>0</v>
      </c>
      <c r="K1651" s="99" t="n">
        <f aca="false">IF(AND('Loan Tape'!$AX132=1,'Loan Tape'!$AW132=9),MAX(0,K136-K742-K1045-K1348),0)</f>
        <v>0</v>
      </c>
      <c r="L1651" s="99" t="n">
        <f aca="false">IF(AND('Loan Tape'!$AX132=1,'Loan Tape'!$AW132=10),MAX(0,L136-L742-L1045-L1348),0)</f>
        <v>0</v>
      </c>
    </row>
    <row r="1652" customFormat="false" ht="15" hidden="false" customHeight="false" outlineLevel="0" collapsed="false">
      <c r="B1652" s="108" t="n">
        <f aca="false">'Loan Tape'!$A133</f>
        <v>0</v>
      </c>
      <c r="C1652" s="71" t="n">
        <f aca="false">IF(AND('Loan Tape'!$AX133=1,'Loan Tape'!$AW133=1),MAX(0,C137-C743-C1046-C1349),0)</f>
        <v>0</v>
      </c>
      <c r="D1652" s="71" t="n">
        <f aca="false">IF(AND('Loan Tape'!$AX133=1,'Loan Tape'!$AW133=2),MAX(0,D137-D743-D1046-D1349),0)</f>
        <v>0</v>
      </c>
      <c r="E1652" s="71" t="n">
        <f aca="false">IF(AND('Loan Tape'!$AX133=1,'Loan Tape'!$AW133=3),MAX(0,E137-E743-E1046-E1349),0)</f>
        <v>0</v>
      </c>
      <c r="F1652" s="71" t="n">
        <f aca="false">IF(AND('Loan Tape'!$AX133=1,'Loan Tape'!$AW133=4),MAX(0,F137-F743-F1046-F1349),0)</f>
        <v>0</v>
      </c>
      <c r="G1652" s="71" t="n">
        <f aca="false">IF(AND('Loan Tape'!$AX133=1,'Loan Tape'!$AW133=5),MAX(0,G137-G743-G1046-G1349),0)</f>
        <v>0</v>
      </c>
      <c r="H1652" s="71" t="n">
        <f aca="false">IF(AND('Loan Tape'!$AX133=1,'Loan Tape'!$AW133=6),MAX(0,H137-H743-H1046-H1349),0)</f>
        <v>0</v>
      </c>
      <c r="I1652" s="71" t="n">
        <f aca="false">IF(AND('Loan Tape'!$AX133=1,'Loan Tape'!$AW133=7),MAX(0,I137-I743-I1046-I1349),0)</f>
        <v>0</v>
      </c>
      <c r="J1652" s="71" t="n">
        <f aca="false">IF(AND('Loan Tape'!$AX133=1,'Loan Tape'!$AW133=8),MAX(0,J137-J743-J1046-J1349),0)</f>
        <v>0</v>
      </c>
      <c r="K1652" s="71" t="n">
        <f aca="false">IF(AND('Loan Tape'!$AX133=1,'Loan Tape'!$AW133=9),MAX(0,K137-K743-K1046-K1349),0)</f>
        <v>0</v>
      </c>
      <c r="L1652" s="71" t="n">
        <f aca="false">IF(AND('Loan Tape'!$AX133=1,'Loan Tape'!$AW133=10),MAX(0,L137-L743-L1046-L1349),0)</f>
        <v>0</v>
      </c>
    </row>
    <row r="1653" customFormat="false" ht="15" hidden="false" customHeight="false" outlineLevel="0" collapsed="false">
      <c r="B1653" s="102" t="n">
        <f aca="false">'Loan Tape'!$A134</f>
        <v>0</v>
      </c>
      <c r="C1653" s="99" t="n">
        <f aca="false">IF(AND('Loan Tape'!$AX134=1,'Loan Tape'!$AW134=1),MAX(0,C138-C744-C1047-C1350),0)</f>
        <v>0</v>
      </c>
      <c r="D1653" s="99" t="n">
        <f aca="false">IF(AND('Loan Tape'!$AX134=1,'Loan Tape'!$AW134=2),MAX(0,D138-D744-D1047-D1350),0)</f>
        <v>0</v>
      </c>
      <c r="E1653" s="99" t="n">
        <f aca="false">IF(AND('Loan Tape'!$AX134=1,'Loan Tape'!$AW134=3),MAX(0,E138-E744-E1047-E1350),0)</f>
        <v>0</v>
      </c>
      <c r="F1653" s="99" t="n">
        <f aca="false">IF(AND('Loan Tape'!$AX134=1,'Loan Tape'!$AW134=4),MAX(0,F138-F744-F1047-F1350),0)</f>
        <v>0</v>
      </c>
      <c r="G1653" s="99" t="n">
        <f aca="false">IF(AND('Loan Tape'!$AX134=1,'Loan Tape'!$AW134=5),MAX(0,G138-G744-G1047-G1350),0)</f>
        <v>0</v>
      </c>
      <c r="H1653" s="99" t="n">
        <f aca="false">IF(AND('Loan Tape'!$AX134=1,'Loan Tape'!$AW134=6),MAX(0,H138-H744-H1047-H1350),0)</f>
        <v>0</v>
      </c>
      <c r="I1653" s="99" t="n">
        <f aca="false">IF(AND('Loan Tape'!$AX134=1,'Loan Tape'!$AW134=7),MAX(0,I138-I744-I1047-I1350),0)</f>
        <v>0</v>
      </c>
      <c r="J1653" s="99" t="n">
        <f aca="false">IF(AND('Loan Tape'!$AX134=1,'Loan Tape'!$AW134=8),MAX(0,J138-J744-J1047-J1350),0)</f>
        <v>0</v>
      </c>
      <c r="K1653" s="99" t="n">
        <f aca="false">IF(AND('Loan Tape'!$AX134=1,'Loan Tape'!$AW134=9),MAX(0,K138-K744-K1047-K1350),0)</f>
        <v>0</v>
      </c>
      <c r="L1653" s="99" t="n">
        <f aca="false">IF(AND('Loan Tape'!$AX134=1,'Loan Tape'!$AW134=10),MAX(0,L138-L744-L1047-L1350),0)</f>
        <v>0</v>
      </c>
    </row>
    <row r="1654" customFormat="false" ht="15" hidden="false" customHeight="false" outlineLevel="0" collapsed="false">
      <c r="B1654" s="108" t="n">
        <f aca="false">'Loan Tape'!$A135</f>
        <v>0</v>
      </c>
      <c r="C1654" s="71" t="n">
        <f aca="false">IF(AND('Loan Tape'!$AX135=1,'Loan Tape'!$AW135=1),MAX(0,C139-C745-C1048-C1351),0)</f>
        <v>0</v>
      </c>
      <c r="D1654" s="71" t="n">
        <f aca="false">IF(AND('Loan Tape'!$AX135=1,'Loan Tape'!$AW135=2),MAX(0,D139-D745-D1048-D1351),0)</f>
        <v>0</v>
      </c>
      <c r="E1654" s="71" t="n">
        <f aca="false">IF(AND('Loan Tape'!$AX135=1,'Loan Tape'!$AW135=3),MAX(0,E139-E745-E1048-E1351),0)</f>
        <v>0</v>
      </c>
      <c r="F1654" s="71" t="n">
        <f aca="false">IF(AND('Loan Tape'!$AX135=1,'Loan Tape'!$AW135=4),MAX(0,F139-F745-F1048-F1351),0)</f>
        <v>0</v>
      </c>
      <c r="G1654" s="71" t="n">
        <f aca="false">IF(AND('Loan Tape'!$AX135=1,'Loan Tape'!$AW135=5),MAX(0,G139-G745-G1048-G1351),0)</f>
        <v>0</v>
      </c>
      <c r="H1654" s="71" t="n">
        <f aca="false">IF(AND('Loan Tape'!$AX135=1,'Loan Tape'!$AW135=6),MAX(0,H139-H745-H1048-H1351),0)</f>
        <v>0</v>
      </c>
      <c r="I1654" s="71" t="n">
        <f aca="false">IF(AND('Loan Tape'!$AX135=1,'Loan Tape'!$AW135=7),MAX(0,I139-I745-I1048-I1351),0)</f>
        <v>0</v>
      </c>
      <c r="J1654" s="71" t="n">
        <f aca="false">IF(AND('Loan Tape'!$AX135=1,'Loan Tape'!$AW135=8),MAX(0,J139-J745-J1048-J1351),0)</f>
        <v>0</v>
      </c>
      <c r="K1654" s="71" t="n">
        <f aca="false">IF(AND('Loan Tape'!$AX135=1,'Loan Tape'!$AW135=9),MAX(0,K139-K745-K1048-K1351),0)</f>
        <v>0</v>
      </c>
      <c r="L1654" s="71" t="n">
        <f aca="false">IF(AND('Loan Tape'!$AX135=1,'Loan Tape'!$AW135=10),MAX(0,L139-L745-L1048-L1351),0)</f>
        <v>0</v>
      </c>
    </row>
    <row r="1655" customFormat="false" ht="15" hidden="false" customHeight="false" outlineLevel="0" collapsed="false">
      <c r="B1655" s="102" t="n">
        <f aca="false">'Loan Tape'!$A136</f>
        <v>0</v>
      </c>
      <c r="C1655" s="99" t="n">
        <f aca="false">IF(AND('Loan Tape'!$AX136=1,'Loan Tape'!$AW136=1),MAX(0,C140-C746-C1049-C1352),0)</f>
        <v>0</v>
      </c>
      <c r="D1655" s="99" t="n">
        <f aca="false">IF(AND('Loan Tape'!$AX136=1,'Loan Tape'!$AW136=2),MAX(0,D140-D746-D1049-D1352),0)</f>
        <v>0</v>
      </c>
      <c r="E1655" s="99" t="n">
        <f aca="false">IF(AND('Loan Tape'!$AX136=1,'Loan Tape'!$AW136=3),MAX(0,E140-E746-E1049-E1352),0)</f>
        <v>0</v>
      </c>
      <c r="F1655" s="99" t="n">
        <f aca="false">IF(AND('Loan Tape'!$AX136=1,'Loan Tape'!$AW136=4),MAX(0,F140-F746-F1049-F1352),0)</f>
        <v>0</v>
      </c>
      <c r="G1655" s="99" t="n">
        <f aca="false">IF(AND('Loan Tape'!$AX136=1,'Loan Tape'!$AW136=5),MAX(0,G140-G746-G1049-G1352),0)</f>
        <v>0</v>
      </c>
      <c r="H1655" s="99" t="n">
        <f aca="false">IF(AND('Loan Tape'!$AX136=1,'Loan Tape'!$AW136=6),MAX(0,H140-H746-H1049-H1352),0)</f>
        <v>0</v>
      </c>
      <c r="I1655" s="99" t="n">
        <f aca="false">IF(AND('Loan Tape'!$AX136=1,'Loan Tape'!$AW136=7),MAX(0,I140-I746-I1049-I1352),0)</f>
        <v>0</v>
      </c>
      <c r="J1655" s="99" t="n">
        <f aca="false">IF(AND('Loan Tape'!$AX136=1,'Loan Tape'!$AW136=8),MAX(0,J140-J746-J1049-J1352),0)</f>
        <v>0</v>
      </c>
      <c r="K1655" s="99" t="n">
        <f aca="false">IF(AND('Loan Tape'!$AX136=1,'Loan Tape'!$AW136=9),MAX(0,K140-K746-K1049-K1352),0)</f>
        <v>0</v>
      </c>
      <c r="L1655" s="99" t="n">
        <f aca="false">IF(AND('Loan Tape'!$AX136=1,'Loan Tape'!$AW136=10),MAX(0,L140-L746-L1049-L1352),0)</f>
        <v>0</v>
      </c>
    </row>
    <row r="1656" customFormat="false" ht="15" hidden="false" customHeight="false" outlineLevel="0" collapsed="false">
      <c r="B1656" s="108" t="n">
        <f aca="false">'Loan Tape'!$A137</f>
        <v>0</v>
      </c>
      <c r="C1656" s="71" t="n">
        <f aca="false">IF(AND('Loan Tape'!$AX137=1,'Loan Tape'!$AW137=1),MAX(0,C141-C747-C1050-C1353),0)</f>
        <v>0</v>
      </c>
      <c r="D1656" s="71" t="n">
        <f aca="false">IF(AND('Loan Tape'!$AX137=1,'Loan Tape'!$AW137=2),MAX(0,D141-D747-D1050-D1353),0)</f>
        <v>0</v>
      </c>
      <c r="E1656" s="71" t="n">
        <f aca="false">IF(AND('Loan Tape'!$AX137=1,'Loan Tape'!$AW137=3),MAX(0,E141-E747-E1050-E1353),0)</f>
        <v>0</v>
      </c>
      <c r="F1656" s="71" t="n">
        <f aca="false">IF(AND('Loan Tape'!$AX137=1,'Loan Tape'!$AW137=4),MAX(0,F141-F747-F1050-F1353),0)</f>
        <v>0</v>
      </c>
      <c r="G1656" s="71" t="n">
        <f aca="false">IF(AND('Loan Tape'!$AX137=1,'Loan Tape'!$AW137=5),MAX(0,G141-G747-G1050-G1353),0)</f>
        <v>0</v>
      </c>
      <c r="H1656" s="71" t="n">
        <f aca="false">IF(AND('Loan Tape'!$AX137=1,'Loan Tape'!$AW137=6),MAX(0,H141-H747-H1050-H1353),0)</f>
        <v>0</v>
      </c>
      <c r="I1656" s="71" t="n">
        <f aca="false">IF(AND('Loan Tape'!$AX137=1,'Loan Tape'!$AW137=7),MAX(0,I141-I747-I1050-I1353),0)</f>
        <v>0</v>
      </c>
      <c r="J1656" s="71" t="n">
        <f aca="false">IF(AND('Loan Tape'!$AX137=1,'Loan Tape'!$AW137=8),MAX(0,J141-J747-J1050-J1353),0)</f>
        <v>0</v>
      </c>
      <c r="K1656" s="71" t="n">
        <f aca="false">IF(AND('Loan Tape'!$AX137=1,'Loan Tape'!$AW137=9),MAX(0,K141-K747-K1050-K1353),0)</f>
        <v>0</v>
      </c>
      <c r="L1656" s="71" t="n">
        <f aca="false">IF(AND('Loan Tape'!$AX137=1,'Loan Tape'!$AW137=10),MAX(0,L141-L747-L1050-L1353),0)</f>
        <v>0</v>
      </c>
    </row>
    <row r="1657" customFormat="false" ht="15" hidden="false" customHeight="false" outlineLevel="0" collapsed="false">
      <c r="B1657" s="102" t="n">
        <f aca="false">'Loan Tape'!$A138</f>
        <v>0</v>
      </c>
      <c r="C1657" s="99" t="n">
        <f aca="false">IF(AND('Loan Tape'!$AX138=1,'Loan Tape'!$AW138=1),MAX(0,C142-C748-C1051-C1354),0)</f>
        <v>0</v>
      </c>
      <c r="D1657" s="99" t="n">
        <f aca="false">IF(AND('Loan Tape'!$AX138=1,'Loan Tape'!$AW138=2),MAX(0,D142-D748-D1051-D1354),0)</f>
        <v>0</v>
      </c>
      <c r="E1657" s="99" t="n">
        <f aca="false">IF(AND('Loan Tape'!$AX138=1,'Loan Tape'!$AW138=3),MAX(0,E142-E748-E1051-E1354),0)</f>
        <v>0</v>
      </c>
      <c r="F1657" s="99" t="n">
        <f aca="false">IF(AND('Loan Tape'!$AX138=1,'Loan Tape'!$AW138=4),MAX(0,F142-F748-F1051-F1354),0)</f>
        <v>0</v>
      </c>
      <c r="G1657" s="99" t="n">
        <f aca="false">IF(AND('Loan Tape'!$AX138=1,'Loan Tape'!$AW138=5),MAX(0,G142-G748-G1051-G1354),0)</f>
        <v>0</v>
      </c>
      <c r="H1657" s="99" t="n">
        <f aca="false">IF(AND('Loan Tape'!$AX138=1,'Loan Tape'!$AW138=6),MAX(0,H142-H748-H1051-H1354),0)</f>
        <v>0</v>
      </c>
      <c r="I1657" s="99" t="n">
        <f aca="false">IF(AND('Loan Tape'!$AX138=1,'Loan Tape'!$AW138=7),MAX(0,I142-I748-I1051-I1354),0)</f>
        <v>0</v>
      </c>
      <c r="J1657" s="99" t="n">
        <f aca="false">IF(AND('Loan Tape'!$AX138=1,'Loan Tape'!$AW138=8),MAX(0,J142-J748-J1051-J1354),0)</f>
        <v>0</v>
      </c>
      <c r="K1657" s="99" t="n">
        <f aca="false">IF(AND('Loan Tape'!$AX138=1,'Loan Tape'!$AW138=9),MAX(0,K142-K748-K1051-K1354),0)</f>
        <v>0</v>
      </c>
      <c r="L1657" s="99" t="n">
        <f aca="false">IF(AND('Loan Tape'!$AX138=1,'Loan Tape'!$AW138=10),MAX(0,L142-L748-L1051-L1354),0)</f>
        <v>0</v>
      </c>
    </row>
    <row r="1658" customFormat="false" ht="15" hidden="false" customHeight="false" outlineLevel="0" collapsed="false">
      <c r="B1658" s="108" t="n">
        <f aca="false">'Loan Tape'!$A139</f>
        <v>0</v>
      </c>
      <c r="C1658" s="71" t="n">
        <f aca="false">IF(AND('Loan Tape'!$AX139=1,'Loan Tape'!$AW139=1),MAX(0,C143-C749-C1052-C1355),0)</f>
        <v>0</v>
      </c>
      <c r="D1658" s="71" t="n">
        <f aca="false">IF(AND('Loan Tape'!$AX139=1,'Loan Tape'!$AW139=2),MAX(0,D143-D749-D1052-D1355),0)</f>
        <v>0</v>
      </c>
      <c r="E1658" s="71" t="n">
        <f aca="false">IF(AND('Loan Tape'!$AX139=1,'Loan Tape'!$AW139=3),MAX(0,E143-E749-E1052-E1355),0)</f>
        <v>0</v>
      </c>
      <c r="F1658" s="71" t="n">
        <f aca="false">IF(AND('Loan Tape'!$AX139=1,'Loan Tape'!$AW139=4),MAX(0,F143-F749-F1052-F1355),0)</f>
        <v>0</v>
      </c>
      <c r="G1658" s="71" t="n">
        <f aca="false">IF(AND('Loan Tape'!$AX139=1,'Loan Tape'!$AW139=5),MAX(0,G143-G749-G1052-G1355),0)</f>
        <v>0</v>
      </c>
      <c r="H1658" s="71" t="n">
        <f aca="false">IF(AND('Loan Tape'!$AX139=1,'Loan Tape'!$AW139=6),MAX(0,H143-H749-H1052-H1355),0)</f>
        <v>0</v>
      </c>
      <c r="I1658" s="71" t="n">
        <f aca="false">IF(AND('Loan Tape'!$AX139=1,'Loan Tape'!$AW139=7),MAX(0,I143-I749-I1052-I1355),0)</f>
        <v>0</v>
      </c>
      <c r="J1658" s="71" t="n">
        <f aca="false">IF(AND('Loan Tape'!$AX139=1,'Loan Tape'!$AW139=8),MAX(0,J143-J749-J1052-J1355),0)</f>
        <v>0</v>
      </c>
      <c r="K1658" s="71" t="n">
        <f aca="false">IF(AND('Loan Tape'!$AX139=1,'Loan Tape'!$AW139=9),MAX(0,K143-K749-K1052-K1355),0)</f>
        <v>0</v>
      </c>
      <c r="L1658" s="71" t="n">
        <f aca="false">IF(AND('Loan Tape'!$AX139=1,'Loan Tape'!$AW139=10),MAX(0,L143-L749-L1052-L1355),0)</f>
        <v>0</v>
      </c>
    </row>
    <row r="1659" customFormat="false" ht="15" hidden="false" customHeight="false" outlineLevel="0" collapsed="false">
      <c r="B1659" s="102" t="n">
        <f aca="false">'Loan Tape'!$A140</f>
        <v>0</v>
      </c>
      <c r="C1659" s="99" t="n">
        <f aca="false">IF(AND('Loan Tape'!$AX140=1,'Loan Tape'!$AW140=1),MAX(0,C144-C750-C1053-C1356),0)</f>
        <v>0</v>
      </c>
      <c r="D1659" s="99" t="n">
        <f aca="false">IF(AND('Loan Tape'!$AX140=1,'Loan Tape'!$AW140=2),MAX(0,D144-D750-D1053-D1356),0)</f>
        <v>0</v>
      </c>
      <c r="E1659" s="99" t="n">
        <f aca="false">IF(AND('Loan Tape'!$AX140=1,'Loan Tape'!$AW140=3),MAX(0,E144-E750-E1053-E1356),0)</f>
        <v>0</v>
      </c>
      <c r="F1659" s="99" t="n">
        <f aca="false">IF(AND('Loan Tape'!$AX140=1,'Loan Tape'!$AW140=4),MAX(0,F144-F750-F1053-F1356),0)</f>
        <v>0</v>
      </c>
      <c r="G1659" s="99" t="n">
        <f aca="false">IF(AND('Loan Tape'!$AX140=1,'Loan Tape'!$AW140=5),MAX(0,G144-G750-G1053-G1356),0)</f>
        <v>0</v>
      </c>
      <c r="H1659" s="99" t="n">
        <f aca="false">IF(AND('Loan Tape'!$AX140=1,'Loan Tape'!$AW140=6),MAX(0,H144-H750-H1053-H1356),0)</f>
        <v>0</v>
      </c>
      <c r="I1659" s="99" t="n">
        <f aca="false">IF(AND('Loan Tape'!$AX140=1,'Loan Tape'!$AW140=7),MAX(0,I144-I750-I1053-I1356),0)</f>
        <v>0</v>
      </c>
      <c r="J1659" s="99" t="n">
        <f aca="false">IF(AND('Loan Tape'!$AX140=1,'Loan Tape'!$AW140=8),MAX(0,J144-J750-J1053-J1356),0)</f>
        <v>0</v>
      </c>
      <c r="K1659" s="99" t="n">
        <f aca="false">IF(AND('Loan Tape'!$AX140=1,'Loan Tape'!$AW140=9),MAX(0,K144-K750-K1053-K1356),0)</f>
        <v>0</v>
      </c>
      <c r="L1659" s="99" t="n">
        <f aca="false">IF(AND('Loan Tape'!$AX140=1,'Loan Tape'!$AW140=10),MAX(0,L144-L750-L1053-L1356),0)</f>
        <v>0</v>
      </c>
    </row>
    <row r="1660" customFormat="false" ht="15" hidden="false" customHeight="false" outlineLevel="0" collapsed="false">
      <c r="B1660" s="108" t="n">
        <f aca="false">'Loan Tape'!$A141</f>
        <v>0</v>
      </c>
      <c r="C1660" s="71" t="n">
        <f aca="false">IF(AND('Loan Tape'!$AX141=1,'Loan Tape'!$AW141=1),MAX(0,C145-C751-C1054-C1357),0)</f>
        <v>0</v>
      </c>
      <c r="D1660" s="71" t="n">
        <f aca="false">IF(AND('Loan Tape'!$AX141=1,'Loan Tape'!$AW141=2),MAX(0,D145-D751-D1054-D1357),0)</f>
        <v>0</v>
      </c>
      <c r="E1660" s="71" t="n">
        <f aca="false">IF(AND('Loan Tape'!$AX141=1,'Loan Tape'!$AW141=3),MAX(0,E145-E751-E1054-E1357),0)</f>
        <v>0</v>
      </c>
      <c r="F1660" s="71" t="n">
        <f aca="false">IF(AND('Loan Tape'!$AX141=1,'Loan Tape'!$AW141=4),MAX(0,F145-F751-F1054-F1357),0)</f>
        <v>0</v>
      </c>
      <c r="G1660" s="71" t="n">
        <f aca="false">IF(AND('Loan Tape'!$AX141=1,'Loan Tape'!$AW141=5),MAX(0,G145-G751-G1054-G1357),0)</f>
        <v>0</v>
      </c>
      <c r="H1660" s="71" t="n">
        <f aca="false">IF(AND('Loan Tape'!$AX141=1,'Loan Tape'!$AW141=6),MAX(0,H145-H751-H1054-H1357),0)</f>
        <v>0</v>
      </c>
      <c r="I1660" s="71" t="n">
        <f aca="false">IF(AND('Loan Tape'!$AX141=1,'Loan Tape'!$AW141=7),MAX(0,I145-I751-I1054-I1357),0)</f>
        <v>0</v>
      </c>
      <c r="J1660" s="71" t="n">
        <f aca="false">IF(AND('Loan Tape'!$AX141=1,'Loan Tape'!$AW141=8),MAX(0,J145-J751-J1054-J1357),0)</f>
        <v>0</v>
      </c>
      <c r="K1660" s="71" t="n">
        <f aca="false">IF(AND('Loan Tape'!$AX141=1,'Loan Tape'!$AW141=9),MAX(0,K145-K751-K1054-K1357),0)</f>
        <v>0</v>
      </c>
      <c r="L1660" s="71" t="n">
        <f aca="false">IF(AND('Loan Tape'!$AX141=1,'Loan Tape'!$AW141=10),MAX(0,L145-L751-L1054-L1357),0)</f>
        <v>0</v>
      </c>
    </row>
    <row r="1661" customFormat="false" ht="15" hidden="false" customHeight="false" outlineLevel="0" collapsed="false">
      <c r="B1661" s="102" t="n">
        <f aca="false">'Loan Tape'!$A142</f>
        <v>0</v>
      </c>
      <c r="C1661" s="99" t="n">
        <f aca="false">IF(AND('Loan Tape'!$AX142=1,'Loan Tape'!$AW142=1),MAX(0,C146-C752-C1055-C1358),0)</f>
        <v>0</v>
      </c>
      <c r="D1661" s="99" t="n">
        <f aca="false">IF(AND('Loan Tape'!$AX142=1,'Loan Tape'!$AW142=2),MAX(0,D146-D752-D1055-D1358),0)</f>
        <v>0</v>
      </c>
      <c r="E1661" s="99" t="n">
        <f aca="false">IF(AND('Loan Tape'!$AX142=1,'Loan Tape'!$AW142=3),MAX(0,E146-E752-E1055-E1358),0)</f>
        <v>0</v>
      </c>
      <c r="F1661" s="99" t="n">
        <f aca="false">IF(AND('Loan Tape'!$AX142=1,'Loan Tape'!$AW142=4),MAX(0,F146-F752-F1055-F1358),0)</f>
        <v>0</v>
      </c>
      <c r="G1661" s="99" t="n">
        <f aca="false">IF(AND('Loan Tape'!$AX142=1,'Loan Tape'!$AW142=5),MAX(0,G146-G752-G1055-G1358),0)</f>
        <v>0</v>
      </c>
      <c r="H1661" s="99" t="n">
        <f aca="false">IF(AND('Loan Tape'!$AX142=1,'Loan Tape'!$AW142=6),MAX(0,H146-H752-H1055-H1358),0)</f>
        <v>0</v>
      </c>
      <c r="I1661" s="99" t="n">
        <f aca="false">IF(AND('Loan Tape'!$AX142=1,'Loan Tape'!$AW142=7),MAX(0,I146-I752-I1055-I1358),0)</f>
        <v>0</v>
      </c>
      <c r="J1661" s="99" t="n">
        <f aca="false">IF(AND('Loan Tape'!$AX142=1,'Loan Tape'!$AW142=8),MAX(0,J146-J752-J1055-J1358),0)</f>
        <v>0</v>
      </c>
      <c r="K1661" s="99" t="n">
        <f aca="false">IF(AND('Loan Tape'!$AX142=1,'Loan Tape'!$AW142=9),MAX(0,K146-K752-K1055-K1358),0)</f>
        <v>0</v>
      </c>
      <c r="L1661" s="99" t="n">
        <f aca="false">IF(AND('Loan Tape'!$AX142=1,'Loan Tape'!$AW142=10),MAX(0,L146-L752-L1055-L1358),0)</f>
        <v>0</v>
      </c>
    </row>
    <row r="1662" customFormat="false" ht="15" hidden="false" customHeight="false" outlineLevel="0" collapsed="false">
      <c r="B1662" s="108" t="n">
        <f aca="false">'Loan Tape'!$A143</f>
        <v>0</v>
      </c>
      <c r="C1662" s="71" t="n">
        <f aca="false">IF(AND('Loan Tape'!$AX143=1,'Loan Tape'!$AW143=1),MAX(0,C147-C753-C1056-C1359),0)</f>
        <v>0</v>
      </c>
      <c r="D1662" s="71" t="n">
        <f aca="false">IF(AND('Loan Tape'!$AX143=1,'Loan Tape'!$AW143=2),MAX(0,D147-D753-D1056-D1359),0)</f>
        <v>0</v>
      </c>
      <c r="E1662" s="71" t="n">
        <f aca="false">IF(AND('Loan Tape'!$AX143=1,'Loan Tape'!$AW143=3),MAX(0,E147-E753-E1056-E1359),0)</f>
        <v>0</v>
      </c>
      <c r="F1662" s="71" t="n">
        <f aca="false">IF(AND('Loan Tape'!$AX143=1,'Loan Tape'!$AW143=4),MAX(0,F147-F753-F1056-F1359),0)</f>
        <v>0</v>
      </c>
      <c r="G1662" s="71" t="n">
        <f aca="false">IF(AND('Loan Tape'!$AX143=1,'Loan Tape'!$AW143=5),MAX(0,G147-G753-G1056-G1359),0)</f>
        <v>0</v>
      </c>
      <c r="H1662" s="71" t="n">
        <f aca="false">IF(AND('Loan Tape'!$AX143=1,'Loan Tape'!$AW143=6),MAX(0,H147-H753-H1056-H1359),0)</f>
        <v>0</v>
      </c>
      <c r="I1662" s="71" t="n">
        <f aca="false">IF(AND('Loan Tape'!$AX143=1,'Loan Tape'!$AW143=7),MAX(0,I147-I753-I1056-I1359),0)</f>
        <v>0</v>
      </c>
      <c r="J1662" s="71" t="n">
        <f aca="false">IF(AND('Loan Tape'!$AX143=1,'Loan Tape'!$AW143=8),MAX(0,J147-J753-J1056-J1359),0)</f>
        <v>0</v>
      </c>
      <c r="K1662" s="71" t="n">
        <f aca="false">IF(AND('Loan Tape'!$AX143=1,'Loan Tape'!$AW143=9),MAX(0,K147-K753-K1056-K1359),0)</f>
        <v>0</v>
      </c>
      <c r="L1662" s="71" t="n">
        <f aca="false">IF(AND('Loan Tape'!$AX143=1,'Loan Tape'!$AW143=10),MAX(0,L147-L753-L1056-L1359),0)</f>
        <v>0</v>
      </c>
    </row>
    <row r="1663" customFormat="false" ht="15" hidden="false" customHeight="false" outlineLevel="0" collapsed="false">
      <c r="B1663" s="102" t="n">
        <f aca="false">'Loan Tape'!$A144</f>
        <v>0</v>
      </c>
      <c r="C1663" s="99" t="n">
        <f aca="false">IF(AND('Loan Tape'!$AX144=1,'Loan Tape'!$AW144=1),MAX(0,C148-C754-C1057-C1360),0)</f>
        <v>0</v>
      </c>
      <c r="D1663" s="99" t="n">
        <f aca="false">IF(AND('Loan Tape'!$AX144=1,'Loan Tape'!$AW144=2),MAX(0,D148-D754-D1057-D1360),0)</f>
        <v>0</v>
      </c>
      <c r="E1663" s="99" t="n">
        <f aca="false">IF(AND('Loan Tape'!$AX144=1,'Loan Tape'!$AW144=3),MAX(0,E148-E754-E1057-E1360),0)</f>
        <v>0</v>
      </c>
      <c r="F1663" s="99" t="n">
        <f aca="false">IF(AND('Loan Tape'!$AX144=1,'Loan Tape'!$AW144=4),MAX(0,F148-F754-F1057-F1360),0)</f>
        <v>0</v>
      </c>
      <c r="G1663" s="99" t="n">
        <f aca="false">IF(AND('Loan Tape'!$AX144=1,'Loan Tape'!$AW144=5),MAX(0,G148-G754-G1057-G1360),0)</f>
        <v>0</v>
      </c>
      <c r="H1663" s="99" t="n">
        <f aca="false">IF(AND('Loan Tape'!$AX144=1,'Loan Tape'!$AW144=6),MAX(0,H148-H754-H1057-H1360),0)</f>
        <v>0</v>
      </c>
      <c r="I1663" s="99" t="n">
        <f aca="false">IF(AND('Loan Tape'!$AX144=1,'Loan Tape'!$AW144=7),MAX(0,I148-I754-I1057-I1360),0)</f>
        <v>0</v>
      </c>
      <c r="J1663" s="99" t="n">
        <f aca="false">IF(AND('Loan Tape'!$AX144=1,'Loan Tape'!$AW144=8),MAX(0,J148-J754-J1057-J1360),0)</f>
        <v>0</v>
      </c>
      <c r="K1663" s="99" t="n">
        <f aca="false">IF(AND('Loan Tape'!$AX144=1,'Loan Tape'!$AW144=9),MAX(0,K148-K754-K1057-K1360),0)</f>
        <v>0</v>
      </c>
      <c r="L1663" s="99" t="n">
        <f aca="false">IF(AND('Loan Tape'!$AX144=1,'Loan Tape'!$AW144=10),MAX(0,L148-L754-L1057-L1360),0)</f>
        <v>0</v>
      </c>
    </row>
    <row r="1664" customFormat="false" ht="15" hidden="false" customHeight="false" outlineLevel="0" collapsed="false">
      <c r="B1664" s="108" t="n">
        <f aca="false">'Loan Tape'!$A145</f>
        <v>0</v>
      </c>
      <c r="C1664" s="71" t="n">
        <f aca="false">IF(AND('Loan Tape'!$AX145=1,'Loan Tape'!$AW145=1),MAX(0,C149-C755-C1058-C1361),0)</f>
        <v>0</v>
      </c>
      <c r="D1664" s="71" t="n">
        <f aca="false">IF(AND('Loan Tape'!$AX145=1,'Loan Tape'!$AW145=2),MAX(0,D149-D755-D1058-D1361),0)</f>
        <v>0</v>
      </c>
      <c r="E1664" s="71" t="n">
        <f aca="false">IF(AND('Loan Tape'!$AX145=1,'Loan Tape'!$AW145=3),MAX(0,E149-E755-E1058-E1361),0)</f>
        <v>0</v>
      </c>
      <c r="F1664" s="71" t="n">
        <f aca="false">IF(AND('Loan Tape'!$AX145=1,'Loan Tape'!$AW145=4),MAX(0,F149-F755-F1058-F1361),0)</f>
        <v>0</v>
      </c>
      <c r="G1664" s="71" t="n">
        <f aca="false">IF(AND('Loan Tape'!$AX145=1,'Loan Tape'!$AW145=5),MAX(0,G149-G755-G1058-G1361),0)</f>
        <v>0</v>
      </c>
      <c r="H1664" s="71" t="n">
        <f aca="false">IF(AND('Loan Tape'!$AX145=1,'Loan Tape'!$AW145=6),MAX(0,H149-H755-H1058-H1361),0)</f>
        <v>0</v>
      </c>
      <c r="I1664" s="71" t="n">
        <f aca="false">IF(AND('Loan Tape'!$AX145=1,'Loan Tape'!$AW145=7),MAX(0,I149-I755-I1058-I1361),0)</f>
        <v>0</v>
      </c>
      <c r="J1664" s="71" t="n">
        <f aca="false">IF(AND('Loan Tape'!$AX145=1,'Loan Tape'!$AW145=8),MAX(0,J149-J755-J1058-J1361),0)</f>
        <v>0</v>
      </c>
      <c r="K1664" s="71" t="n">
        <f aca="false">IF(AND('Loan Tape'!$AX145=1,'Loan Tape'!$AW145=9),MAX(0,K149-K755-K1058-K1361),0)</f>
        <v>0</v>
      </c>
      <c r="L1664" s="71" t="n">
        <f aca="false">IF(AND('Loan Tape'!$AX145=1,'Loan Tape'!$AW145=10),MAX(0,L149-L755-L1058-L1361),0)</f>
        <v>0</v>
      </c>
    </row>
    <row r="1665" customFormat="false" ht="15" hidden="false" customHeight="false" outlineLevel="0" collapsed="false">
      <c r="B1665" s="102" t="n">
        <f aca="false">'Loan Tape'!$A146</f>
        <v>0</v>
      </c>
      <c r="C1665" s="99" t="n">
        <f aca="false">IF(AND('Loan Tape'!$AX146=1,'Loan Tape'!$AW146=1),MAX(0,C150-C756-C1059-C1362),0)</f>
        <v>0</v>
      </c>
      <c r="D1665" s="99" t="n">
        <f aca="false">IF(AND('Loan Tape'!$AX146=1,'Loan Tape'!$AW146=2),MAX(0,D150-D756-D1059-D1362),0)</f>
        <v>0</v>
      </c>
      <c r="E1665" s="99" t="n">
        <f aca="false">IF(AND('Loan Tape'!$AX146=1,'Loan Tape'!$AW146=3),MAX(0,E150-E756-E1059-E1362),0)</f>
        <v>0</v>
      </c>
      <c r="F1665" s="99" t="n">
        <f aca="false">IF(AND('Loan Tape'!$AX146=1,'Loan Tape'!$AW146=4),MAX(0,F150-F756-F1059-F1362),0)</f>
        <v>0</v>
      </c>
      <c r="G1665" s="99" t="n">
        <f aca="false">IF(AND('Loan Tape'!$AX146=1,'Loan Tape'!$AW146=5),MAX(0,G150-G756-G1059-G1362),0)</f>
        <v>0</v>
      </c>
      <c r="H1665" s="99" t="n">
        <f aca="false">IF(AND('Loan Tape'!$AX146=1,'Loan Tape'!$AW146=6),MAX(0,H150-H756-H1059-H1362),0)</f>
        <v>0</v>
      </c>
      <c r="I1665" s="99" t="n">
        <f aca="false">IF(AND('Loan Tape'!$AX146=1,'Loan Tape'!$AW146=7),MAX(0,I150-I756-I1059-I1362),0)</f>
        <v>0</v>
      </c>
      <c r="J1665" s="99" t="n">
        <f aca="false">IF(AND('Loan Tape'!$AX146=1,'Loan Tape'!$AW146=8),MAX(0,J150-J756-J1059-J1362),0)</f>
        <v>0</v>
      </c>
      <c r="K1665" s="99" t="n">
        <f aca="false">IF(AND('Loan Tape'!$AX146=1,'Loan Tape'!$AW146=9),MAX(0,K150-K756-K1059-K1362),0)</f>
        <v>0</v>
      </c>
      <c r="L1665" s="99" t="n">
        <f aca="false">IF(AND('Loan Tape'!$AX146=1,'Loan Tape'!$AW146=10),MAX(0,L150-L756-L1059-L1362),0)</f>
        <v>0</v>
      </c>
    </row>
    <row r="1666" customFormat="false" ht="15" hidden="false" customHeight="false" outlineLevel="0" collapsed="false">
      <c r="B1666" s="108" t="n">
        <f aca="false">'Loan Tape'!$A147</f>
        <v>0</v>
      </c>
      <c r="C1666" s="71" t="n">
        <f aca="false">IF(AND('Loan Tape'!$AX147=1,'Loan Tape'!$AW147=1),MAX(0,C151-C757-C1060-C1363),0)</f>
        <v>0</v>
      </c>
      <c r="D1666" s="71" t="n">
        <f aca="false">IF(AND('Loan Tape'!$AX147=1,'Loan Tape'!$AW147=2),MAX(0,D151-D757-D1060-D1363),0)</f>
        <v>0</v>
      </c>
      <c r="E1666" s="71" t="n">
        <f aca="false">IF(AND('Loan Tape'!$AX147=1,'Loan Tape'!$AW147=3),MAX(0,E151-E757-E1060-E1363),0)</f>
        <v>0</v>
      </c>
      <c r="F1666" s="71" t="n">
        <f aca="false">IF(AND('Loan Tape'!$AX147=1,'Loan Tape'!$AW147=4),MAX(0,F151-F757-F1060-F1363),0)</f>
        <v>0</v>
      </c>
      <c r="G1666" s="71" t="n">
        <f aca="false">IF(AND('Loan Tape'!$AX147=1,'Loan Tape'!$AW147=5),MAX(0,G151-G757-G1060-G1363),0)</f>
        <v>0</v>
      </c>
      <c r="H1666" s="71" t="n">
        <f aca="false">IF(AND('Loan Tape'!$AX147=1,'Loan Tape'!$AW147=6),MAX(0,H151-H757-H1060-H1363),0)</f>
        <v>0</v>
      </c>
      <c r="I1666" s="71" t="n">
        <f aca="false">IF(AND('Loan Tape'!$AX147=1,'Loan Tape'!$AW147=7),MAX(0,I151-I757-I1060-I1363),0)</f>
        <v>0</v>
      </c>
      <c r="J1666" s="71" t="n">
        <f aca="false">IF(AND('Loan Tape'!$AX147=1,'Loan Tape'!$AW147=8),MAX(0,J151-J757-J1060-J1363),0)</f>
        <v>0</v>
      </c>
      <c r="K1666" s="71" t="n">
        <f aca="false">IF(AND('Loan Tape'!$AX147=1,'Loan Tape'!$AW147=9),MAX(0,K151-K757-K1060-K1363),0)</f>
        <v>0</v>
      </c>
      <c r="L1666" s="71" t="n">
        <f aca="false">IF(AND('Loan Tape'!$AX147=1,'Loan Tape'!$AW147=10),MAX(0,L151-L757-L1060-L1363),0)</f>
        <v>0</v>
      </c>
    </row>
    <row r="1667" customFormat="false" ht="15" hidden="false" customHeight="false" outlineLevel="0" collapsed="false">
      <c r="B1667" s="102" t="n">
        <f aca="false">'Loan Tape'!$A148</f>
        <v>0</v>
      </c>
      <c r="C1667" s="99" t="n">
        <f aca="false">IF(AND('Loan Tape'!$AX148=1,'Loan Tape'!$AW148=1),MAX(0,C152-C758-C1061-C1364),0)</f>
        <v>0</v>
      </c>
      <c r="D1667" s="99" t="n">
        <f aca="false">IF(AND('Loan Tape'!$AX148=1,'Loan Tape'!$AW148=2),MAX(0,D152-D758-D1061-D1364),0)</f>
        <v>0</v>
      </c>
      <c r="E1667" s="99" t="n">
        <f aca="false">IF(AND('Loan Tape'!$AX148=1,'Loan Tape'!$AW148=3),MAX(0,E152-E758-E1061-E1364),0)</f>
        <v>0</v>
      </c>
      <c r="F1667" s="99" t="n">
        <f aca="false">IF(AND('Loan Tape'!$AX148=1,'Loan Tape'!$AW148=4),MAX(0,F152-F758-F1061-F1364),0)</f>
        <v>0</v>
      </c>
      <c r="G1667" s="99" t="n">
        <f aca="false">IF(AND('Loan Tape'!$AX148=1,'Loan Tape'!$AW148=5),MAX(0,G152-G758-G1061-G1364),0)</f>
        <v>0</v>
      </c>
      <c r="H1667" s="99" t="n">
        <f aca="false">IF(AND('Loan Tape'!$AX148=1,'Loan Tape'!$AW148=6),MAX(0,H152-H758-H1061-H1364),0)</f>
        <v>0</v>
      </c>
      <c r="I1667" s="99" t="n">
        <f aca="false">IF(AND('Loan Tape'!$AX148=1,'Loan Tape'!$AW148=7),MAX(0,I152-I758-I1061-I1364),0)</f>
        <v>0</v>
      </c>
      <c r="J1667" s="99" t="n">
        <f aca="false">IF(AND('Loan Tape'!$AX148=1,'Loan Tape'!$AW148=8),MAX(0,J152-J758-J1061-J1364),0)</f>
        <v>0</v>
      </c>
      <c r="K1667" s="99" t="n">
        <f aca="false">IF(AND('Loan Tape'!$AX148=1,'Loan Tape'!$AW148=9),MAX(0,K152-K758-K1061-K1364),0)</f>
        <v>0</v>
      </c>
      <c r="L1667" s="99" t="n">
        <f aca="false">IF(AND('Loan Tape'!$AX148=1,'Loan Tape'!$AW148=10),MAX(0,L152-L758-L1061-L1364),0)</f>
        <v>0</v>
      </c>
    </row>
    <row r="1668" customFormat="false" ht="15" hidden="false" customHeight="false" outlineLevel="0" collapsed="false">
      <c r="B1668" s="108" t="n">
        <f aca="false">'Loan Tape'!$A149</f>
        <v>0</v>
      </c>
      <c r="C1668" s="71" t="n">
        <f aca="false">IF(AND('Loan Tape'!$AX149=1,'Loan Tape'!$AW149=1),MAX(0,C153-C759-C1062-C1365),0)</f>
        <v>0</v>
      </c>
      <c r="D1668" s="71" t="n">
        <f aca="false">IF(AND('Loan Tape'!$AX149=1,'Loan Tape'!$AW149=2),MAX(0,D153-D759-D1062-D1365),0)</f>
        <v>0</v>
      </c>
      <c r="E1668" s="71" t="n">
        <f aca="false">IF(AND('Loan Tape'!$AX149=1,'Loan Tape'!$AW149=3),MAX(0,E153-E759-E1062-E1365),0)</f>
        <v>0</v>
      </c>
      <c r="F1668" s="71" t="n">
        <f aca="false">IF(AND('Loan Tape'!$AX149=1,'Loan Tape'!$AW149=4),MAX(0,F153-F759-F1062-F1365),0)</f>
        <v>0</v>
      </c>
      <c r="G1668" s="71" t="n">
        <f aca="false">IF(AND('Loan Tape'!$AX149=1,'Loan Tape'!$AW149=5),MAX(0,G153-G759-G1062-G1365),0)</f>
        <v>0</v>
      </c>
      <c r="H1668" s="71" t="n">
        <f aca="false">IF(AND('Loan Tape'!$AX149=1,'Loan Tape'!$AW149=6),MAX(0,H153-H759-H1062-H1365),0)</f>
        <v>0</v>
      </c>
      <c r="I1668" s="71" t="n">
        <f aca="false">IF(AND('Loan Tape'!$AX149=1,'Loan Tape'!$AW149=7),MAX(0,I153-I759-I1062-I1365),0)</f>
        <v>0</v>
      </c>
      <c r="J1668" s="71" t="n">
        <f aca="false">IF(AND('Loan Tape'!$AX149=1,'Loan Tape'!$AW149=8),MAX(0,J153-J759-J1062-J1365),0)</f>
        <v>0</v>
      </c>
      <c r="K1668" s="71" t="n">
        <f aca="false">IF(AND('Loan Tape'!$AX149=1,'Loan Tape'!$AW149=9),MAX(0,K153-K759-K1062-K1365),0)</f>
        <v>0</v>
      </c>
      <c r="L1668" s="71" t="n">
        <f aca="false">IF(AND('Loan Tape'!$AX149=1,'Loan Tape'!$AW149=10),MAX(0,L153-L759-L1062-L1365),0)</f>
        <v>0</v>
      </c>
    </row>
    <row r="1669" customFormat="false" ht="15" hidden="false" customHeight="false" outlineLevel="0" collapsed="false">
      <c r="B1669" s="102" t="n">
        <f aca="false">'Loan Tape'!$A150</f>
        <v>0</v>
      </c>
      <c r="C1669" s="99" t="n">
        <f aca="false">IF(AND('Loan Tape'!$AX150=1,'Loan Tape'!$AW150=1),MAX(0,C154-C760-C1063-C1366),0)</f>
        <v>0</v>
      </c>
      <c r="D1669" s="99" t="n">
        <f aca="false">IF(AND('Loan Tape'!$AX150=1,'Loan Tape'!$AW150=2),MAX(0,D154-D760-D1063-D1366),0)</f>
        <v>0</v>
      </c>
      <c r="E1669" s="99" t="n">
        <f aca="false">IF(AND('Loan Tape'!$AX150=1,'Loan Tape'!$AW150=3),MAX(0,E154-E760-E1063-E1366),0)</f>
        <v>0</v>
      </c>
      <c r="F1669" s="99" t="n">
        <f aca="false">IF(AND('Loan Tape'!$AX150=1,'Loan Tape'!$AW150=4),MAX(0,F154-F760-F1063-F1366),0)</f>
        <v>0</v>
      </c>
      <c r="G1669" s="99" t="n">
        <f aca="false">IF(AND('Loan Tape'!$AX150=1,'Loan Tape'!$AW150=5),MAX(0,G154-G760-G1063-G1366),0)</f>
        <v>0</v>
      </c>
      <c r="H1669" s="99" t="n">
        <f aca="false">IF(AND('Loan Tape'!$AX150=1,'Loan Tape'!$AW150=6),MAX(0,H154-H760-H1063-H1366),0)</f>
        <v>0</v>
      </c>
      <c r="I1669" s="99" t="n">
        <f aca="false">IF(AND('Loan Tape'!$AX150=1,'Loan Tape'!$AW150=7),MAX(0,I154-I760-I1063-I1366),0)</f>
        <v>0</v>
      </c>
      <c r="J1669" s="99" t="n">
        <f aca="false">IF(AND('Loan Tape'!$AX150=1,'Loan Tape'!$AW150=8),MAX(0,J154-J760-J1063-J1366),0)</f>
        <v>0</v>
      </c>
      <c r="K1669" s="99" t="n">
        <f aca="false">IF(AND('Loan Tape'!$AX150=1,'Loan Tape'!$AW150=9),MAX(0,K154-K760-K1063-K1366),0)</f>
        <v>0</v>
      </c>
      <c r="L1669" s="99" t="n">
        <f aca="false">IF(AND('Loan Tape'!$AX150=1,'Loan Tape'!$AW150=10),MAX(0,L154-L760-L1063-L1366),0)</f>
        <v>0</v>
      </c>
    </row>
    <row r="1670" customFormat="false" ht="15" hidden="false" customHeight="false" outlineLevel="0" collapsed="false">
      <c r="B1670" s="108" t="n">
        <f aca="false">'Loan Tape'!$A151</f>
        <v>0</v>
      </c>
      <c r="C1670" s="71" t="n">
        <f aca="false">IF(AND('Loan Tape'!$AX151=1,'Loan Tape'!$AW151=1),MAX(0,C155-C761-C1064-C1367),0)</f>
        <v>0</v>
      </c>
      <c r="D1670" s="71" t="n">
        <f aca="false">IF(AND('Loan Tape'!$AX151=1,'Loan Tape'!$AW151=2),MAX(0,D155-D761-D1064-D1367),0)</f>
        <v>0</v>
      </c>
      <c r="E1670" s="71" t="n">
        <f aca="false">IF(AND('Loan Tape'!$AX151=1,'Loan Tape'!$AW151=3),MAX(0,E155-E761-E1064-E1367),0)</f>
        <v>0</v>
      </c>
      <c r="F1670" s="71" t="n">
        <f aca="false">IF(AND('Loan Tape'!$AX151=1,'Loan Tape'!$AW151=4),MAX(0,F155-F761-F1064-F1367),0)</f>
        <v>0</v>
      </c>
      <c r="G1670" s="71" t="n">
        <f aca="false">IF(AND('Loan Tape'!$AX151=1,'Loan Tape'!$AW151=5),MAX(0,G155-G761-G1064-G1367),0)</f>
        <v>0</v>
      </c>
      <c r="H1670" s="71" t="n">
        <f aca="false">IF(AND('Loan Tape'!$AX151=1,'Loan Tape'!$AW151=6),MAX(0,H155-H761-H1064-H1367),0)</f>
        <v>0</v>
      </c>
      <c r="I1670" s="71" t="n">
        <f aca="false">IF(AND('Loan Tape'!$AX151=1,'Loan Tape'!$AW151=7),MAX(0,I155-I761-I1064-I1367),0)</f>
        <v>0</v>
      </c>
      <c r="J1670" s="71" t="n">
        <f aca="false">IF(AND('Loan Tape'!$AX151=1,'Loan Tape'!$AW151=8),MAX(0,J155-J761-J1064-J1367),0)</f>
        <v>0</v>
      </c>
      <c r="K1670" s="71" t="n">
        <f aca="false">IF(AND('Loan Tape'!$AX151=1,'Loan Tape'!$AW151=9),MAX(0,K155-K761-K1064-K1367),0)</f>
        <v>0</v>
      </c>
      <c r="L1670" s="71" t="n">
        <f aca="false">IF(AND('Loan Tape'!$AX151=1,'Loan Tape'!$AW151=10),MAX(0,L155-L761-L1064-L1367),0)</f>
        <v>0</v>
      </c>
    </row>
    <row r="1671" customFormat="false" ht="15" hidden="false" customHeight="false" outlineLevel="0" collapsed="false">
      <c r="B1671" s="102" t="n">
        <f aca="false">'Loan Tape'!$A152</f>
        <v>0</v>
      </c>
      <c r="C1671" s="99" t="n">
        <f aca="false">IF(AND('Loan Tape'!$AX152=1,'Loan Tape'!$AW152=1),MAX(0,C156-C762-C1065-C1368),0)</f>
        <v>0</v>
      </c>
      <c r="D1671" s="99" t="n">
        <f aca="false">IF(AND('Loan Tape'!$AX152=1,'Loan Tape'!$AW152=2),MAX(0,D156-D762-D1065-D1368),0)</f>
        <v>0</v>
      </c>
      <c r="E1671" s="99" t="n">
        <f aca="false">IF(AND('Loan Tape'!$AX152=1,'Loan Tape'!$AW152=3),MAX(0,E156-E762-E1065-E1368),0)</f>
        <v>0</v>
      </c>
      <c r="F1671" s="99" t="n">
        <f aca="false">IF(AND('Loan Tape'!$AX152=1,'Loan Tape'!$AW152=4),MAX(0,F156-F762-F1065-F1368),0)</f>
        <v>0</v>
      </c>
      <c r="G1671" s="99" t="n">
        <f aca="false">IF(AND('Loan Tape'!$AX152=1,'Loan Tape'!$AW152=5),MAX(0,G156-G762-G1065-G1368),0)</f>
        <v>0</v>
      </c>
      <c r="H1671" s="99" t="n">
        <f aca="false">IF(AND('Loan Tape'!$AX152=1,'Loan Tape'!$AW152=6),MAX(0,H156-H762-H1065-H1368),0)</f>
        <v>0</v>
      </c>
      <c r="I1671" s="99" t="n">
        <f aca="false">IF(AND('Loan Tape'!$AX152=1,'Loan Tape'!$AW152=7),MAX(0,I156-I762-I1065-I1368),0)</f>
        <v>0</v>
      </c>
      <c r="J1671" s="99" t="n">
        <f aca="false">IF(AND('Loan Tape'!$AX152=1,'Loan Tape'!$AW152=8),MAX(0,J156-J762-J1065-J1368),0)</f>
        <v>0</v>
      </c>
      <c r="K1671" s="99" t="n">
        <f aca="false">IF(AND('Loan Tape'!$AX152=1,'Loan Tape'!$AW152=9),MAX(0,K156-K762-K1065-K1368),0)</f>
        <v>0</v>
      </c>
      <c r="L1671" s="99" t="n">
        <f aca="false">IF(AND('Loan Tape'!$AX152=1,'Loan Tape'!$AW152=10),MAX(0,L156-L762-L1065-L1368),0)</f>
        <v>0</v>
      </c>
    </row>
    <row r="1672" customFormat="false" ht="15" hidden="false" customHeight="false" outlineLevel="0" collapsed="false">
      <c r="B1672" s="108" t="n">
        <f aca="false">'Loan Tape'!$A153</f>
        <v>0</v>
      </c>
      <c r="C1672" s="71" t="n">
        <f aca="false">IF(AND('Loan Tape'!$AX153=1,'Loan Tape'!$AW153=1),MAX(0,C157-C763-C1066-C1369),0)</f>
        <v>0</v>
      </c>
      <c r="D1672" s="71" t="n">
        <f aca="false">IF(AND('Loan Tape'!$AX153=1,'Loan Tape'!$AW153=2),MAX(0,D157-D763-D1066-D1369),0)</f>
        <v>0</v>
      </c>
      <c r="E1672" s="71" t="n">
        <f aca="false">IF(AND('Loan Tape'!$AX153=1,'Loan Tape'!$AW153=3),MAX(0,E157-E763-E1066-E1369),0)</f>
        <v>0</v>
      </c>
      <c r="F1672" s="71" t="n">
        <f aca="false">IF(AND('Loan Tape'!$AX153=1,'Loan Tape'!$AW153=4),MAX(0,F157-F763-F1066-F1369),0)</f>
        <v>0</v>
      </c>
      <c r="G1672" s="71" t="n">
        <f aca="false">IF(AND('Loan Tape'!$AX153=1,'Loan Tape'!$AW153=5),MAX(0,G157-G763-G1066-G1369),0)</f>
        <v>0</v>
      </c>
      <c r="H1672" s="71" t="n">
        <f aca="false">IF(AND('Loan Tape'!$AX153=1,'Loan Tape'!$AW153=6),MAX(0,H157-H763-H1066-H1369),0)</f>
        <v>0</v>
      </c>
      <c r="I1672" s="71" t="n">
        <f aca="false">IF(AND('Loan Tape'!$AX153=1,'Loan Tape'!$AW153=7),MAX(0,I157-I763-I1066-I1369),0)</f>
        <v>0</v>
      </c>
      <c r="J1672" s="71" t="n">
        <f aca="false">IF(AND('Loan Tape'!$AX153=1,'Loan Tape'!$AW153=8),MAX(0,J157-J763-J1066-J1369),0)</f>
        <v>0</v>
      </c>
      <c r="K1672" s="71" t="n">
        <f aca="false">IF(AND('Loan Tape'!$AX153=1,'Loan Tape'!$AW153=9),MAX(0,K157-K763-K1066-K1369),0)</f>
        <v>0</v>
      </c>
      <c r="L1672" s="71" t="n">
        <f aca="false">IF(AND('Loan Tape'!$AX153=1,'Loan Tape'!$AW153=10),MAX(0,L157-L763-L1066-L1369),0)</f>
        <v>0</v>
      </c>
    </row>
    <row r="1673" customFormat="false" ht="15" hidden="false" customHeight="false" outlineLevel="0" collapsed="false">
      <c r="B1673" s="102" t="n">
        <f aca="false">'Loan Tape'!$A154</f>
        <v>0</v>
      </c>
      <c r="C1673" s="99" t="n">
        <f aca="false">IF(AND('Loan Tape'!$AX154=1,'Loan Tape'!$AW154=1),MAX(0,C158-C764-C1067-C1370),0)</f>
        <v>0</v>
      </c>
      <c r="D1673" s="99" t="n">
        <f aca="false">IF(AND('Loan Tape'!$AX154=1,'Loan Tape'!$AW154=2),MAX(0,D158-D764-D1067-D1370),0)</f>
        <v>0</v>
      </c>
      <c r="E1673" s="99" t="n">
        <f aca="false">IF(AND('Loan Tape'!$AX154=1,'Loan Tape'!$AW154=3),MAX(0,E158-E764-E1067-E1370),0)</f>
        <v>0</v>
      </c>
      <c r="F1673" s="99" t="n">
        <f aca="false">IF(AND('Loan Tape'!$AX154=1,'Loan Tape'!$AW154=4),MAX(0,F158-F764-F1067-F1370),0)</f>
        <v>0</v>
      </c>
      <c r="G1673" s="99" t="n">
        <f aca="false">IF(AND('Loan Tape'!$AX154=1,'Loan Tape'!$AW154=5),MAX(0,G158-G764-G1067-G1370),0)</f>
        <v>0</v>
      </c>
      <c r="H1673" s="99" t="n">
        <f aca="false">IF(AND('Loan Tape'!$AX154=1,'Loan Tape'!$AW154=6),MAX(0,H158-H764-H1067-H1370),0)</f>
        <v>0</v>
      </c>
      <c r="I1673" s="99" t="n">
        <f aca="false">IF(AND('Loan Tape'!$AX154=1,'Loan Tape'!$AW154=7),MAX(0,I158-I764-I1067-I1370),0)</f>
        <v>0</v>
      </c>
      <c r="J1673" s="99" t="n">
        <f aca="false">IF(AND('Loan Tape'!$AX154=1,'Loan Tape'!$AW154=8),MAX(0,J158-J764-J1067-J1370),0)</f>
        <v>0</v>
      </c>
      <c r="K1673" s="99" t="n">
        <f aca="false">IF(AND('Loan Tape'!$AX154=1,'Loan Tape'!$AW154=9),MAX(0,K158-K764-K1067-K1370),0)</f>
        <v>0</v>
      </c>
      <c r="L1673" s="99" t="n">
        <f aca="false">IF(AND('Loan Tape'!$AX154=1,'Loan Tape'!$AW154=10),MAX(0,L158-L764-L1067-L1370),0)</f>
        <v>0</v>
      </c>
    </row>
    <row r="1674" customFormat="false" ht="15" hidden="false" customHeight="false" outlineLevel="0" collapsed="false">
      <c r="B1674" s="108" t="n">
        <f aca="false">'Loan Tape'!$A155</f>
        <v>0</v>
      </c>
      <c r="C1674" s="71" t="n">
        <f aca="false">IF(AND('Loan Tape'!$AX155=1,'Loan Tape'!$AW155=1),MAX(0,C159-C765-C1068-C1371),0)</f>
        <v>0</v>
      </c>
      <c r="D1674" s="71" t="n">
        <f aca="false">IF(AND('Loan Tape'!$AX155=1,'Loan Tape'!$AW155=2),MAX(0,D159-D765-D1068-D1371),0)</f>
        <v>0</v>
      </c>
      <c r="E1674" s="71" t="n">
        <f aca="false">IF(AND('Loan Tape'!$AX155=1,'Loan Tape'!$AW155=3),MAX(0,E159-E765-E1068-E1371),0)</f>
        <v>0</v>
      </c>
      <c r="F1674" s="71" t="n">
        <f aca="false">IF(AND('Loan Tape'!$AX155=1,'Loan Tape'!$AW155=4),MAX(0,F159-F765-F1068-F1371),0)</f>
        <v>0</v>
      </c>
      <c r="G1674" s="71" t="n">
        <f aca="false">IF(AND('Loan Tape'!$AX155=1,'Loan Tape'!$AW155=5),MAX(0,G159-G765-G1068-G1371),0)</f>
        <v>0</v>
      </c>
      <c r="H1674" s="71" t="n">
        <f aca="false">IF(AND('Loan Tape'!$AX155=1,'Loan Tape'!$AW155=6),MAX(0,H159-H765-H1068-H1371),0)</f>
        <v>0</v>
      </c>
      <c r="I1674" s="71" t="n">
        <f aca="false">IF(AND('Loan Tape'!$AX155=1,'Loan Tape'!$AW155=7),MAX(0,I159-I765-I1068-I1371),0)</f>
        <v>0</v>
      </c>
      <c r="J1674" s="71" t="n">
        <f aca="false">IF(AND('Loan Tape'!$AX155=1,'Loan Tape'!$AW155=8),MAX(0,J159-J765-J1068-J1371),0)</f>
        <v>0</v>
      </c>
      <c r="K1674" s="71" t="n">
        <f aca="false">IF(AND('Loan Tape'!$AX155=1,'Loan Tape'!$AW155=9),MAX(0,K159-K765-K1068-K1371),0)</f>
        <v>0</v>
      </c>
      <c r="L1674" s="71" t="n">
        <f aca="false">IF(AND('Loan Tape'!$AX155=1,'Loan Tape'!$AW155=10),MAX(0,L159-L765-L1068-L1371),0)</f>
        <v>0</v>
      </c>
    </row>
    <row r="1675" customFormat="false" ht="15" hidden="false" customHeight="false" outlineLevel="0" collapsed="false">
      <c r="B1675" s="102" t="n">
        <f aca="false">'Loan Tape'!$A156</f>
        <v>0</v>
      </c>
      <c r="C1675" s="99" t="n">
        <f aca="false">IF(AND('Loan Tape'!$AX156=1,'Loan Tape'!$AW156=1),MAX(0,C160-C766-C1069-C1372),0)</f>
        <v>0</v>
      </c>
      <c r="D1675" s="99" t="n">
        <f aca="false">IF(AND('Loan Tape'!$AX156=1,'Loan Tape'!$AW156=2),MAX(0,D160-D766-D1069-D1372),0)</f>
        <v>0</v>
      </c>
      <c r="E1675" s="99" t="n">
        <f aca="false">IF(AND('Loan Tape'!$AX156=1,'Loan Tape'!$AW156=3),MAX(0,E160-E766-E1069-E1372),0)</f>
        <v>0</v>
      </c>
      <c r="F1675" s="99" t="n">
        <f aca="false">IF(AND('Loan Tape'!$AX156=1,'Loan Tape'!$AW156=4),MAX(0,F160-F766-F1069-F1372),0)</f>
        <v>0</v>
      </c>
      <c r="G1675" s="99" t="n">
        <f aca="false">IF(AND('Loan Tape'!$AX156=1,'Loan Tape'!$AW156=5),MAX(0,G160-G766-G1069-G1372),0)</f>
        <v>0</v>
      </c>
      <c r="H1675" s="99" t="n">
        <f aca="false">IF(AND('Loan Tape'!$AX156=1,'Loan Tape'!$AW156=6),MAX(0,H160-H766-H1069-H1372),0)</f>
        <v>0</v>
      </c>
      <c r="I1675" s="99" t="n">
        <f aca="false">IF(AND('Loan Tape'!$AX156=1,'Loan Tape'!$AW156=7),MAX(0,I160-I766-I1069-I1372),0)</f>
        <v>0</v>
      </c>
      <c r="J1675" s="99" t="n">
        <f aca="false">IF(AND('Loan Tape'!$AX156=1,'Loan Tape'!$AW156=8),MAX(0,J160-J766-J1069-J1372),0)</f>
        <v>0</v>
      </c>
      <c r="K1675" s="99" t="n">
        <f aca="false">IF(AND('Loan Tape'!$AX156=1,'Loan Tape'!$AW156=9),MAX(0,K160-K766-K1069-K1372),0)</f>
        <v>0</v>
      </c>
      <c r="L1675" s="99" t="n">
        <f aca="false">IF(AND('Loan Tape'!$AX156=1,'Loan Tape'!$AW156=10),MAX(0,L160-L766-L1069-L1372),0)</f>
        <v>0</v>
      </c>
    </row>
    <row r="1676" customFormat="false" ht="15" hidden="false" customHeight="false" outlineLevel="0" collapsed="false">
      <c r="B1676" s="108" t="n">
        <f aca="false">'Loan Tape'!$A157</f>
        <v>0</v>
      </c>
      <c r="C1676" s="71" t="n">
        <f aca="false">IF(AND('Loan Tape'!$AX157=1,'Loan Tape'!$AW157=1),MAX(0,C161-C767-C1070-C1373),0)</f>
        <v>0</v>
      </c>
      <c r="D1676" s="71" t="n">
        <f aca="false">IF(AND('Loan Tape'!$AX157=1,'Loan Tape'!$AW157=2),MAX(0,D161-D767-D1070-D1373),0)</f>
        <v>0</v>
      </c>
      <c r="E1676" s="71" t="n">
        <f aca="false">IF(AND('Loan Tape'!$AX157=1,'Loan Tape'!$AW157=3),MAX(0,E161-E767-E1070-E1373),0)</f>
        <v>0</v>
      </c>
      <c r="F1676" s="71" t="n">
        <f aca="false">IF(AND('Loan Tape'!$AX157=1,'Loan Tape'!$AW157=4),MAX(0,F161-F767-F1070-F1373),0)</f>
        <v>0</v>
      </c>
      <c r="G1676" s="71" t="n">
        <f aca="false">IF(AND('Loan Tape'!$AX157=1,'Loan Tape'!$AW157=5),MAX(0,G161-G767-G1070-G1373),0)</f>
        <v>0</v>
      </c>
      <c r="H1676" s="71" t="n">
        <f aca="false">IF(AND('Loan Tape'!$AX157=1,'Loan Tape'!$AW157=6),MAX(0,H161-H767-H1070-H1373),0)</f>
        <v>0</v>
      </c>
      <c r="I1676" s="71" t="n">
        <f aca="false">IF(AND('Loan Tape'!$AX157=1,'Loan Tape'!$AW157=7),MAX(0,I161-I767-I1070-I1373),0)</f>
        <v>0</v>
      </c>
      <c r="J1676" s="71" t="n">
        <f aca="false">IF(AND('Loan Tape'!$AX157=1,'Loan Tape'!$AW157=8),MAX(0,J161-J767-J1070-J1373),0)</f>
        <v>0</v>
      </c>
      <c r="K1676" s="71" t="n">
        <f aca="false">IF(AND('Loan Tape'!$AX157=1,'Loan Tape'!$AW157=9),MAX(0,K161-K767-K1070-K1373),0)</f>
        <v>0</v>
      </c>
      <c r="L1676" s="71" t="n">
        <f aca="false">IF(AND('Loan Tape'!$AX157=1,'Loan Tape'!$AW157=10),MAX(0,L161-L767-L1070-L1373),0)</f>
        <v>0</v>
      </c>
    </row>
    <row r="1677" customFormat="false" ht="15" hidden="false" customHeight="false" outlineLevel="0" collapsed="false">
      <c r="B1677" s="102" t="n">
        <f aca="false">'Loan Tape'!$A158</f>
        <v>0</v>
      </c>
      <c r="C1677" s="99" t="n">
        <f aca="false">IF(AND('Loan Tape'!$AX158=1,'Loan Tape'!$AW158=1),MAX(0,C162-C768-C1071-C1374),0)</f>
        <v>0</v>
      </c>
      <c r="D1677" s="99" t="n">
        <f aca="false">IF(AND('Loan Tape'!$AX158=1,'Loan Tape'!$AW158=2),MAX(0,D162-D768-D1071-D1374),0)</f>
        <v>0</v>
      </c>
      <c r="E1677" s="99" t="n">
        <f aca="false">IF(AND('Loan Tape'!$AX158=1,'Loan Tape'!$AW158=3),MAX(0,E162-E768-E1071-E1374),0)</f>
        <v>0</v>
      </c>
      <c r="F1677" s="99" t="n">
        <f aca="false">IF(AND('Loan Tape'!$AX158=1,'Loan Tape'!$AW158=4),MAX(0,F162-F768-F1071-F1374),0)</f>
        <v>0</v>
      </c>
      <c r="G1677" s="99" t="n">
        <f aca="false">IF(AND('Loan Tape'!$AX158=1,'Loan Tape'!$AW158=5),MAX(0,G162-G768-G1071-G1374),0)</f>
        <v>0</v>
      </c>
      <c r="H1677" s="99" t="n">
        <f aca="false">IF(AND('Loan Tape'!$AX158=1,'Loan Tape'!$AW158=6),MAX(0,H162-H768-H1071-H1374),0)</f>
        <v>0</v>
      </c>
      <c r="I1677" s="99" t="n">
        <f aca="false">IF(AND('Loan Tape'!$AX158=1,'Loan Tape'!$AW158=7),MAX(0,I162-I768-I1071-I1374),0)</f>
        <v>0</v>
      </c>
      <c r="J1677" s="99" t="n">
        <f aca="false">IF(AND('Loan Tape'!$AX158=1,'Loan Tape'!$AW158=8),MAX(0,J162-J768-J1071-J1374),0)</f>
        <v>0</v>
      </c>
      <c r="K1677" s="99" t="n">
        <f aca="false">IF(AND('Loan Tape'!$AX158=1,'Loan Tape'!$AW158=9),MAX(0,K162-K768-K1071-K1374),0)</f>
        <v>0</v>
      </c>
      <c r="L1677" s="99" t="n">
        <f aca="false">IF(AND('Loan Tape'!$AX158=1,'Loan Tape'!$AW158=10),MAX(0,L162-L768-L1071-L1374),0)</f>
        <v>0</v>
      </c>
    </row>
    <row r="1678" customFormat="false" ht="15" hidden="false" customHeight="false" outlineLevel="0" collapsed="false">
      <c r="B1678" s="108" t="n">
        <f aca="false">'Loan Tape'!$A159</f>
        <v>0</v>
      </c>
      <c r="C1678" s="71" t="n">
        <f aca="false">IF(AND('Loan Tape'!$AX159=1,'Loan Tape'!$AW159=1),MAX(0,C163-C769-C1072-C1375),0)</f>
        <v>0</v>
      </c>
      <c r="D1678" s="71" t="n">
        <f aca="false">IF(AND('Loan Tape'!$AX159=1,'Loan Tape'!$AW159=2),MAX(0,D163-D769-D1072-D1375),0)</f>
        <v>0</v>
      </c>
      <c r="E1678" s="71" t="n">
        <f aca="false">IF(AND('Loan Tape'!$AX159=1,'Loan Tape'!$AW159=3),MAX(0,E163-E769-E1072-E1375),0)</f>
        <v>0</v>
      </c>
      <c r="F1678" s="71" t="n">
        <f aca="false">IF(AND('Loan Tape'!$AX159=1,'Loan Tape'!$AW159=4),MAX(0,F163-F769-F1072-F1375),0)</f>
        <v>0</v>
      </c>
      <c r="G1678" s="71" t="n">
        <f aca="false">IF(AND('Loan Tape'!$AX159=1,'Loan Tape'!$AW159=5),MAX(0,G163-G769-G1072-G1375),0)</f>
        <v>0</v>
      </c>
      <c r="H1678" s="71" t="n">
        <f aca="false">IF(AND('Loan Tape'!$AX159=1,'Loan Tape'!$AW159=6),MAX(0,H163-H769-H1072-H1375),0)</f>
        <v>0</v>
      </c>
      <c r="I1678" s="71" t="n">
        <f aca="false">IF(AND('Loan Tape'!$AX159=1,'Loan Tape'!$AW159=7),MAX(0,I163-I769-I1072-I1375),0)</f>
        <v>0</v>
      </c>
      <c r="J1678" s="71" t="n">
        <f aca="false">IF(AND('Loan Tape'!$AX159=1,'Loan Tape'!$AW159=8),MAX(0,J163-J769-J1072-J1375),0)</f>
        <v>0</v>
      </c>
      <c r="K1678" s="71" t="n">
        <f aca="false">IF(AND('Loan Tape'!$AX159=1,'Loan Tape'!$AW159=9),MAX(0,K163-K769-K1072-K1375),0)</f>
        <v>0</v>
      </c>
      <c r="L1678" s="71" t="n">
        <f aca="false">IF(AND('Loan Tape'!$AX159=1,'Loan Tape'!$AW159=10),MAX(0,L163-L769-L1072-L1375),0)</f>
        <v>0</v>
      </c>
    </row>
    <row r="1679" customFormat="false" ht="15" hidden="false" customHeight="false" outlineLevel="0" collapsed="false">
      <c r="B1679" s="102" t="n">
        <f aca="false">'Loan Tape'!$A160</f>
        <v>0</v>
      </c>
      <c r="C1679" s="99" t="n">
        <f aca="false">IF(AND('Loan Tape'!$AX160=1,'Loan Tape'!$AW160=1),MAX(0,C164-C770-C1073-C1376),0)</f>
        <v>0</v>
      </c>
      <c r="D1679" s="99" t="n">
        <f aca="false">IF(AND('Loan Tape'!$AX160=1,'Loan Tape'!$AW160=2),MAX(0,D164-D770-D1073-D1376),0)</f>
        <v>0</v>
      </c>
      <c r="E1679" s="99" t="n">
        <f aca="false">IF(AND('Loan Tape'!$AX160=1,'Loan Tape'!$AW160=3),MAX(0,E164-E770-E1073-E1376),0)</f>
        <v>0</v>
      </c>
      <c r="F1679" s="99" t="n">
        <f aca="false">IF(AND('Loan Tape'!$AX160=1,'Loan Tape'!$AW160=4),MAX(0,F164-F770-F1073-F1376),0)</f>
        <v>0</v>
      </c>
      <c r="G1679" s="99" t="n">
        <f aca="false">IF(AND('Loan Tape'!$AX160=1,'Loan Tape'!$AW160=5),MAX(0,G164-G770-G1073-G1376),0)</f>
        <v>0</v>
      </c>
      <c r="H1679" s="99" t="n">
        <f aca="false">IF(AND('Loan Tape'!$AX160=1,'Loan Tape'!$AW160=6),MAX(0,H164-H770-H1073-H1376),0)</f>
        <v>0</v>
      </c>
      <c r="I1679" s="99" t="n">
        <f aca="false">IF(AND('Loan Tape'!$AX160=1,'Loan Tape'!$AW160=7),MAX(0,I164-I770-I1073-I1376),0)</f>
        <v>0</v>
      </c>
      <c r="J1679" s="99" t="n">
        <f aca="false">IF(AND('Loan Tape'!$AX160=1,'Loan Tape'!$AW160=8),MAX(0,J164-J770-J1073-J1376),0)</f>
        <v>0</v>
      </c>
      <c r="K1679" s="99" t="n">
        <f aca="false">IF(AND('Loan Tape'!$AX160=1,'Loan Tape'!$AW160=9),MAX(0,K164-K770-K1073-K1376),0)</f>
        <v>0</v>
      </c>
      <c r="L1679" s="99" t="n">
        <f aca="false">IF(AND('Loan Tape'!$AX160=1,'Loan Tape'!$AW160=10),MAX(0,L164-L770-L1073-L1376),0)</f>
        <v>0</v>
      </c>
    </row>
    <row r="1680" customFormat="false" ht="15" hidden="false" customHeight="false" outlineLevel="0" collapsed="false">
      <c r="B1680" s="108" t="n">
        <f aca="false">'Loan Tape'!$A161</f>
        <v>0</v>
      </c>
      <c r="C1680" s="71" t="n">
        <f aca="false">IF(AND('Loan Tape'!$AX161=1,'Loan Tape'!$AW161=1),MAX(0,C165-C771-C1074-C1377),0)</f>
        <v>0</v>
      </c>
      <c r="D1680" s="71" t="n">
        <f aca="false">IF(AND('Loan Tape'!$AX161=1,'Loan Tape'!$AW161=2),MAX(0,D165-D771-D1074-D1377),0)</f>
        <v>0</v>
      </c>
      <c r="E1680" s="71" t="n">
        <f aca="false">IF(AND('Loan Tape'!$AX161=1,'Loan Tape'!$AW161=3),MAX(0,E165-E771-E1074-E1377),0)</f>
        <v>0</v>
      </c>
      <c r="F1680" s="71" t="n">
        <f aca="false">IF(AND('Loan Tape'!$AX161=1,'Loan Tape'!$AW161=4),MAX(0,F165-F771-F1074-F1377),0)</f>
        <v>0</v>
      </c>
      <c r="G1680" s="71" t="n">
        <f aca="false">IF(AND('Loan Tape'!$AX161=1,'Loan Tape'!$AW161=5),MAX(0,G165-G771-G1074-G1377),0)</f>
        <v>0</v>
      </c>
      <c r="H1680" s="71" t="n">
        <f aca="false">IF(AND('Loan Tape'!$AX161=1,'Loan Tape'!$AW161=6),MAX(0,H165-H771-H1074-H1377),0)</f>
        <v>0</v>
      </c>
      <c r="I1680" s="71" t="n">
        <f aca="false">IF(AND('Loan Tape'!$AX161=1,'Loan Tape'!$AW161=7),MAX(0,I165-I771-I1074-I1377),0)</f>
        <v>0</v>
      </c>
      <c r="J1680" s="71" t="n">
        <f aca="false">IF(AND('Loan Tape'!$AX161=1,'Loan Tape'!$AW161=8),MAX(0,J165-J771-J1074-J1377),0)</f>
        <v>0</v>
      </c>
      <c r="K1680" s="71" t="n">
        <f aca="false">IF(AND('Loan Tape'!$AX161=1,'Loan Tape'!$AW161=9),MAX(0,K165-K771-K1074-K1377),0)</f>
        <v>0</v>
      </c>
      <c r="L1680" s="71" t="n">
        <f aca="false">IF(AND('Loan Tape'!$AX161=1,'Loan Tape'!$AW161=10),MAX(0,L165-L771-L1074-L1377),0)</f>
        <v>0</v>
      </c>
    </row>
    <row r="1681" customFormat="false" ht="15" hidden="false" customHeight="false" outlineLevel="0" collapsed="false">
      <c r="B1681" s="102" t="n">
        <f aca="false">'Loan Tape'!$A162</f>
        <v>0</v>
      </c>
      <c r="C1681" s="99" t="n">
        <f aca="false">IF(AND('Loan Tape'!$AX162=1,'Loan Tape'!$AW162=1),MAX(0,C166-C772-C1075-C1378),0)</f>
        <v>0</v>
      </c>
      <c r="D1681" s="99" t="n">
        <f aca="false">IF(AND('Loan Tape'!$AX162=1,'Loan Tape'!$AW162=2),MAX(0,D166-D772-D1075-D1378),0)</f>
        <v>0</v>
      </c>
      <c r="E1681" s="99" t="n">
        <f aca="false">IF(AND('Loan Tape'!$AX162=1,'Loan Tape'!$AW162=3),MAX(0,E166-E772-E1075-E1378),0)</f>
        <v>0</v>
      </c>
      <c r="F1681" s="99" t="n">
        <f aca="false">IF(AND('Loan Tape'!$AX162=1,'Loan Tape'!$AW162=4),MAX(0,F166-F772-F1075-F1378),0)</f>
        <v>0</v>
      </c>
      <c r="G1681" s="99" t="n">
        <f aca="false">IF(AND('Loan Tape'!$AX162=1,'Loan Tape'!$AW162=5),MAX(0,G166-G772-G1075-G1378),0)</f>
        <v>0</v>
      </c>
      <c r="H1681" s="99" t="n">
        <f aca="false">IF(AND('Loan Tape'!$AX162=1,'Loan Tape'!$AW162=6),MAX(0,H166-H772-H1075-H1378),0)</f>
        <v>0</v>
      </c>
      <c r="I1681" s="99" t="n">
        <f aca="false">IF(AND('Loan Tape'!$AX162=1,'Loan Tape'!$AW162=7),MAX(0,I166-I772-I1075-I1378),0)</f>
        <v>0</v>
      </c>
      <c r="J1681" s="99" t="n">
        <f aca="false">IF(AND('Loan Tape'!$AX162=1,'Loan Tape'!$AW162=8),MAX(0,J166-J772-J1075-J1378),0)</f>
        <v>0</v>
      </c>
      <c r="K1681" s="99" t="n">
        <f aca="false">IF(AND('Loan Tape'!$AX162=1,'Loan Tape'!$AW162=9),MAX(0,K166-K772-K1075-K1378),0)</f>
        <v>0</v>
      </c>
      <c r="L1681" s="99" t="n">
        <f aca="false">IF(AND('Loan Tape'!$AX162=1,'Loan Tape'!$AW162=10),MAX(0,L166-L772-L1075-L1378),0)</f>
        <v>0</v>
      </c>
    </row>
    <row r="1682" customFormat="false" ht="15" hidden="false" customHeight="false" outlineLevel="0" collapsed="false">
      <c r="B1682" s="108" t="n">
        <f aca="false">'Loan Tape'!$A163</f>
        <v>0</v>
      </c>
      <c r="C1682" s="71" t="n">
        <f aca="false">IF(AND('Loan Tape'!$AX163=1,'Loan Tape'!$AW163=1),MAX(0,C167-C773-C1076-C1379),0)</f>
        <v>0</v>
      </c>
      <c r="D1682" s="71" t="n">
        <f aca="false">IF(AND('Loan Tape'!$AX163=1,'Loan Tape'!$AW163=2),MAX(0,D167-D773-D1076-D1379),0)</f>
        <v>0</v>
      </c>
      <c r="E1682" s="71" t="n">
        <f aca="false">IF(AND('Loan Tape'!$AX163=1,'Loan Tape'!$AW163=3),MAX(0,E167-E773-E1076-E1379),0)</f>
        <v>0</v>
      </c>
      <c r="F1682" s="71" t="n">
        <f aca="false">IF(AND('Loan Tape'!$AX163=1,'Loan Tape'!$AW163=4),MAX(0,F167-F773-F1076-F1379),0)</f>
        <v>0</v>
      </c>
      <c r="G1682" s="71" t="n">
        <f aca="false">IF(AND('Loan Tape'!$AX163=1,'Loan Tape'!$AW163=5),MAX(0,G167-G773-G1076-G1379),0)</f>
        <v>0</v>
      </c>
      <c r="H1682" s="71" t="n">
        <f aca="false">IF(AND('Loan Tape'!$AX163=1,'Loan Tape'!$AW163=6),MAX(0,H167-H773-H1076-H1379),0)</f>
        <v>0</v>
      </c>
      <c r="I1682" s="71" t="n">
        <f aca="false">IF(AND('Loan Tape'!$AX163=1,'Loan Tape'!$AW163=7),MAX(0,I167-I773-I1076-I1379),0)</f>
        <v>0</v>
      </c>
      <c r="J1682" s="71" t="n">
        <f aca="false">IF(AND('Loan Tape'!$AX163=1,'Loan Tape'!$AW163=8),MAX(0,J167-J773-J1076-J1379),0)</f>
        <v>0</v>
      </c>
      <c r="K1682" s="71" t="n">
        <f aca="false">IF(AND('Loan Tape'!$AX163=1,'Loan Tape'!$AW163=9),MAX(0,K167-K773-K1076-K1379),0)</f>
        <v>0</v>
      </c>
      <c r="L1682" s="71" t="n">
        <f aca="false">IF(AND('Loan Tape'!$AX163=1,'Loan Tape'!$AW163=10),MAX(0,L167-L773-L1076-L1379),0)</f>
        <v>0</v>
      </c>
    </row>
    <row r="1683" customFormat="false" ht="15" hidden="false" customHeight="false" outlineLevel="0" collapsed="false">
      <c r="B1683" s="102" t="n">
        <f aca="false">'Loan Tape'!$A164</f>
        <v>0</v>
      </c>
      <c r="C1683" s="99" t="n">
        <f aca="false">IF(AND('Loan Tape'!$AX164=1,'Loan Tape'!$AW164=1),MAX(0,C168-C774-C1077-C1380),0)</f>
        <v>0</v>
      </c>
      <c r="D1683" s="99" t="n">
        <f aca="false">IF(AND('Loan Tape'!$AX164=1,'Loan Tape'!$AW164=2),MAX(0,D168-D774-D1077-D1380),0)</f>
        <v>0</v>
      </c>
      <c r="E1683" s="99" t="n">
        <f aca="false">IF(AND('Loan Tape'!$AX164=1,'Loan Tape'!$AW164=3),MAX(0,E168-E774-E1077-E1380),0)</f>
        <v>0</v>
      </c>
      <c r="F1683" s="99" t="n">
        <f aca="false">IF(AND('Loan Tape'!$AX164=1,'Loan Tape'!$AW164=4),MAX(0,F168-F774-F1077-F1380),0)</f>
        <v>0</v>
      </c>
      <c r="G1683" s="99" t="n">
        <f aca="false">IF(AND('Loan Tape'!$AX164=1,'Loan Tape'!$AW164=5),MAX(0,G168-G774-G1077-G1380),0)</f>
        <v>0</v>
      </c>
      <c r="H1683" s="99" t="n">
        <f aca="false">IF(AND('Loan Tape'!$AX164=1,'Loan Tape'!$AW164=6),MAX(0,H168-H774-H1077-H1380),0)</f>
        <v>0</v>
      </c>
      <c r="I1683" s="99" t="n">
        <f aca="false">IF(AND('Loan Tape'!$AX164=1,'Loan Tape'!$AW164=7),MAX(0,I168-I774-I1077-I1380),0)</f>
        <v>0</v>
      </c>
      <c r="J1683" s="99" t="n">
        <f aca="false">IF(AND('Loan Tape'!$AX164=1,'Loan Tape'!$AW164=8),MAX(0,J168-J774-J1077-J1380),0)</f>
        <v>0</v>
      </c>
      <c r="K1683" s="99" t="n">
        <f aca="false">IF(AND('Loan Tape'!$AX164=1,'Loan Tape'!$AW164=9),MAX(0,K168-K774-K1077-K1380),0)</f>
        <v>0</v>
      </c>
      <c r="L1683" s="99" t="n">
        <f aca="false">IF(AND('Loan Tape'!$AX164=1,'Loan Tape'!$AW164=10),MAX(0,L168-L774-L1077-L1380),0)</f>
        <v>0</v>
      </c>
    </row>
    <row r="1684" customFormat="false" ht="15" hidden="false" customHeight="false" outlineLevel="0" collapsed="false">
      <c r="B1684" s="108" t="n">
        <f aca="false">'Loan Tape'!$A165</f>
        <v>0</v>
      </c>
      <c r="C1684" s="71" t="n">
        <f aca="false">IF(AND('Loan Tape'!$AX165=1,'Loan Tape'!$AW165=1),MAX(0,C169-C775-C1078-C1381),0)</f>
        <v>0</v>
      </c>
      <c r="D1684" s="71" t="n">
        <f aca="false">IF(AND('Loan Tape'!$AX165=1,'Loan Tape'!$AW165=2),MAX(0,D169-D775-D1078-D1381),0)</f>
        <v>0</v>
      </c>
      <c r="E1684" s="71" t="n">
        <f aca="false">IF(AND('Loan Tape'!$AX165=1,'Loan Tape'!$AW165=3),MAX(0,E169-E775-E1078-E1381),0)</f>
        <v>0</v>
      </c>
      <c r="F1684" s="71" t="n">
        <f aca="false">IF(AND('Loan Tape'!$AX165=1,'Loan Tape'!$AW165=4),MAX(0,F169-F775-F1078-F1381),0)</f>
        <v>0</v>
      </c>
      <c r="G1684" s="71" t="n">
        <f aca="false">IF(AND('Loan Tape'!$AX165=1,'Loan Tape'!$AW165=5),MAX(0,G169-G775-G1078-G1381),0)</f>
        <v>0</v>
      </c>
      <c r="H1684" s="71" t="n">
        <f aca="false">IF(AND('Loan Tape'!$AX165=1,'Loan Tape'!$AW165=6),MAX(0,H169-H775-H1078-H1381),0)</f>
        <v>0</v>
      </c>
      <c r="I1684" s="71" t="n">
        <f aca="false">IF(AND('Loan Tape'!$AX165=1,'Loan Tape'!$AW165=7),MAX(0,I169-I775-I1078-I1381),0)</f>
        <v>0</v>
      </c>
      <c r="J1684" s="71" t="n">
        <f aca="false">IF(AND('Loan Tape'!$AX165=1,'Loan Tape'!$AW165=8),MAX(0,J169-J775-J1078-J1381),0)</f>
        <v>0</v>
      </c>
      <c r="K1684" s="71" t="n">
        <f aca="false">IF(AND('Loan Tape'!$AX165=1,'Loan Tape'!$AW165=9),MAX(0,K169-K775-K1078-K1381),0)</f>
        <v>0</v>
      </c>
      <c r="L1684" s="71" t="n">
        <f aca="false">IF(AND('Loan Tape'!$AX165=1,'Loan Tape'!$AW165=10),MAX(0,L169-L775-L1078-L1381),0)</f>
        <v>0</v>
      </c>
    </row>
    <row r="1685" customFormat="false" ht="15" hidden="false" customHeight="false" outlineLevel="0" collapsed="false">
      <c r="B1685" s="102" t="n">
        <f aca="false">'Loan Tape'!$A166</f>
        <v>0</v>
      </c>
      <c r="C1685" s="99" t="n">
        <f aca="false">IF(AND('Loan Tape'!$AX166=1,'Loan Tape'!$AW166=1),MAX(0,C170-C776-C1079-C1382),0)</f>
        <v>0</v>
      </c>
      <c r="D1685" s="99" t="n">
        <f aca="false">IF(AND('Loan Tape'!$AX166=1,'Loan Tape'!$AW166=2),MAX(0,D170-D776-D1079-D1382),0)</f>
        <v>0</v>
      </c>
      <c r="E1685" s="99" t="n">
        <f aca="false">IF(AND('Loan Tape'!$AX166=1,'Loan Tape'!$AW166=3),MAX(0,E170-E776-E1079-E1382),0)</f>
        <v>0</v>
      </c>
      <c r="F1685" s="99" t="n">
        <f aca="false">IF(AND('Loan Tape'!$AX166=1,'Loan Tape'!$AW166=4),MAX(0,F170-F776-F1079-F1382),0)</f>
        <v>0</v>
      </c>
      <c r="G1685" s="99" t="n">
        <f aca="false">IF(AND('Loan Tape'!$AX166=1,'Loan Tape'!$AW166=5),MAX(0,G170-G776-G1079-G1382),0)</f>
        <v>0</v>
      </c>
      <c r="H1685" s="99" t="n">
        <f aca="false">IF(AND('Loan Tape'!$AX166=1,'Loan Tape'!$AW166=6),MAX(0,H170-H776-H1079-H1382),0)</f>
        <v>0</v>
      </c>
      <c r="I1685" s="99" t="n">
        <f aca="false">IF(AND('Loan Tape'!$AX166=1,'Loan Tape'!$AW166=7),MAX(0,I170-I776-I1079-I1382),0)</f>
        <v>0</v>
      </c>
      <c r="J1685" s="99" t="n">
        <f aca="false">IF(AND('Loan Tape'!$AX166=1,'Loan Tape'!$AW166=8),MAX(0,J170-J776-J1079-J1382),0)</f>
        <v>0</v>
      </c>
      <c r="K1685" s="99" t="n">
        <f aca="false">IF(AND('Loan Tape'!$AX166=1,'Loan Tape'!$AW166=9),MAX(0,K170-K776-K1079-K1382),0)</f>
        <v>0</v>
      </c>
      <c r="L1685" s="99" t="n">
        <f aca="false">IF(AND('Loan Tape'!$AX166=1,'Loan Tape'!$AW166=10),MAX(0,L170-L776-L1079-L1382),0)</f>
        <v>0</v>
      </c>
    </row>
    <row r="1686" customFormat="false" ht="15" hidden="false" customHeight="false" outlineLevel="0" collapsed="false">
      <c r="B1686" s="108" t="n">
        <f aca="false">'Loan Tape'!$A167</f>
        <v>0</v>
      </c>
      <c r="C1686" s="71" t="n">
        <f aca="false">IF(AND('Loan Tape'!$AX167=1,'Loan Tape'!$AW167=1),MAX(0,C171-C777-C1080-C1383),0)</f>
        <v>0</v>
      </c>
      <c r="D1686" s="71" t="n">
        <f aca="false">IF(AND('Loan Tape'!$AX167=1,'Loan Tape'!$AW167=2),MAX(0,D171-D777-D1080-D1383),0)</f>
        <v>0</v>
      </c>
      <c r="E1686" s="71" t="n">
        <f aca="false">IF(AND('Loan Tape'!$AX167=1,'Loan Tape'!$AW167=3),MAX(0,E171-E777-E1080-E1383),0)</f>
        <v>0</v>
      </c>
      <c r="F1686" s="71" t="n">
        <f aca="false">IF(AND('Loan Tape'!$AX167=1,'Loan Tape'!$AW167=4),MAX(0,F171-F777-F1080-F1383),0)</f>
        <v>0</v>
      </c>
      <c r="G1686" s="71" t="n">
        <f aca="false">IF(AND('Loan Tape'!$AX167=1,'Loan Tape'!$AW167=5),MAX(0,G171-G777-G1080-G1383),0)</f>
        <v>0</v>
      </c>
      <c r="H1686" s="71" t="n">
        <f aca="false">IF(AND('Loan Tape'!$AX167=1,'Loan Tape'!$AW167=6),MAX(0,H171-H777-H1080-H1383),0)</f>
        <v>0</v>
      </c>
      <c r="I1686" s="71" t="n">
        <f aca="false">IF(AND('Loan Tape'!$AX167=1,'Loan Tape'!$AW167=7),MAX(0,I171-I777-I1080-I1383),0)</f>
        <v>0</v>
      </c>
      <c r="J1686" s="71" t="n">
        <f aca="false">IF(AND('Loan Tape'!$AX167=1,'Loan Tape'!$AW167=8),MAX(0,J171-J777-J1080-J1383),0)</f>
        <v>0</v>
      </c>
      <c r="K1686" s="71" t="n">
        <f aca="false">IF(AND('Loan Tape'!$AX167=1,'Loan Tape'!$AW167=9),MAX(0,K171-K777-K1080-K1383),0)</f>
        <v>0</v>
      </c>
      <c r="L1686" s="71" t="n">
        <f aca="false">IF(AND('Loan Tape'!$AX167=1,'Loan Tape'!$AW167=10),MAX(0,L171-L777-L1080-L1383),0)</f>
        <v>0</v>
      </c>
    </row>
    <row r="1687" customFormat="false" ht="15" hidden="false" customHeight="false" outlineLevel="0" collapsed="false">
      <c r="B1687" s="102" t="n">
        <f aca="false">'Loan Tape'!$A168</f>
        <v>0</v>
      </c>
      <c r="C1687" s="99" t="n">
        <f aca="false">IF(AND('Loan Tape'!$AX168=1,'Loan Tape'!$AW168=1),MAX(0,C172-C778-C1081-C1384),0)</f>
        <v>0</v>
      </c>
      <c r="D1687" s="99" t="n">
        <f aca="false">IF(AND('Loan Tape'!$AX168=1,'Loan Tape'!$AW168=2),MAX(0,D172-D778-D1081-D1384),0)</f>
        <v>0</v>
      </c>
      <c r="E1687" s="99" t="n">
        <f aca="false">IF(AND('Loan Tape'!$AX168=1,'Loan Tape'!$AW168=3),MAX(0,E172-E778-E1081-E1384),0)</f>
        <v>0</v>
      </c>
      <c r="F1687" s="99" t="n">
        <f aca="false">IF(AND('Loan Tape'!$AX168=1,'Loan Tape'!$AW168=4),MAX(0,F172-F778-F1081-F1384),0)</f>
        <v>0</v>
      </c>
      <c r="G1687" s="99" t="n">
        <f aca="false">IF(AND('Loan Tape'!$AX168=1,'Loan Tape'!$AW168=5),MAX(0,G172-G778-G1081-G1384),0)</f>
        <v>0</v>
      </c>
      <c r="H1687" s="99" t="n">
        <f aca="false">IF(AND('Loan Tape'!$AX168=1,'Loan Tape'!$AW168=6),MAX(0,H172-H778-H1081-H1384),0)</f>
        <v>0</v>
      </c>
      <c r="I1687" s="99" t="n">
        <f aca="false">IF(AND('Loan Tape'!$AX168=1,'Loan Tape'!$AW168=7),MAX(0,I172-I778-I1081-I1384),0)</f>
        <v>0</v>
      </c>
      <c r="J1687" s="99" t="n">
        <f aca="false">IF(AND('Loan Tape'!$AX168=1,'Loan Tape'!$AW168=8),MAX(0,J172-J778-J1081-J1384),0)</f>
        <v>0</v>
      </c>
      <c r="K1687" s="99" t="n">
        <f aca="false">IF(AND('Loan Tape'!$AX168=1,'Loan Tape'!$AW168=9),MAX(0,K172-K778-K1081-K1384),0)</f>
        <v>0</v>
      </c>
      <c r="L1687" s="99" t="n">
        <f aca="false">IF(AND('Loan Tape'!$AX168=1,'Loan Tape'!$AW168=10),MAX(0,L172-L778-L1081-L1384),0)</f>
        <v>0</v>
      </c>
    </row>
    <row r="1688" customFormat="false" ht="15" hidden="false" customHeight="false" outlineLevel="0" collapsed="false">
      <c r="B1688" s="108" t="n">
        <f aca="false">'Loan Tape'!$A169</f>
        <v>0</v>
      </c>
      <c r="C1688" s="71" t="n">
        <f aca="false">IF(AND('Loan Tape'!$AX169=1,'Loan Tape'!$AW169=1),MAX(0,C173-C779-C1082-C1385),0)</f>
        <v>0</v>
      </c>
      <c r="D1688" s="71" t="n">
        <f aca="false">IF(AND('Loan Tape'!$AX169=1,'Loan Tape'!$AW169=2),MAX(0,D173-D779-D1082-D1385),0)</f>
        <v>0</v>
      </c>
      <c r="E1688" s="71" t="n">
        <f aca="false">IF(AND('Loan Tape'!$AX169=1,'Loan Tape'!$AW169=3),MAX(0,E173-E779-E1082-E1385),0)</f>
        <v>0</v>
      </c>
      <c r="F1688" s="71" t="n">
        <f aca="false">IF(AND('Loan Tape'!$AX169=1,'Loan Tape'!$AW169=4),MAX(0,F173-F779-F1082-F1385),0)</f>
        <v>0</v>
      </c>
      <c r="G1688" s="71" t="n">
        <f aca="false">IF(AND('Loan Tape'!$AX169=1,'Loan Tape'!$AW169=5),MAX(0,G173-G779-G1082-G1385),0)</f>
        <v>0</v>
      </c>
      <c r="H1688" s="71" t="n">
        <f aca="false">IF(AND('Loan Tape'!$AX169=1,'Loan Tape'!$AW169=6),MAX(0,H173-H779-H1082-H1385),0)</f>
        <v>0</v>
      </c>
      <c r="I1688" s="71" t="n">
        <f aca="false">IF(AND('Loan Tape'!$AX169=1,'Loan Tape'!$AW169=7),MAX(0,I173-I779-I1082-I1385),0)</f>
        <v>0</v>
      </c>
      <c r="J1688" s="71" t="n">
        <f aca="false">IF(AND('Loan Tape'!$AX169=1,'Loan Tape'!$AW169=8),MAX(0,J173-J779-J1082-J1385),0)</f>
        <v>0</v>
      </c>
      <c r="K1688" s="71" t="n">
        <f aca="false">IF(AND('Loan Tape'!$AX169=1,'Loan Tape'!$AW169=9),MAX(0,K173-K779-K1082-K1385),0)</f>
        <v>0</v>
      </c>
      <c r="L1688" s="71" t="n">
        <f aca="false">IF(AND('Loan Tape'!$AX169=1,'Loan Tape'!$AW169=10),MAX(0,L173-L779-L1082-L1385),0)</f>
        <v>0</v>
      </c>
    </row>
    <row r="1689" customFormat="false" ht="15" hidden="false" customHeight="false" outlineLevel="0" collapsed="false">
      <c r="B1689" s="102" t="n">
        <f aca="false">'Loan Tape'!$A170</f>
        <v>0</v>
      </c>
      <c r="C1689" s="99" t="n">
        <f aca="false">IF(AND('Loan Tape'!$AX170=1,'Loan Tape'!$AW170=1),MAX(0,C174-C780-C1083-C1386),0)</f>
        <v>0</v>
      </c>
      <c r="D1689" s="99" t="n">
        <f aca="false">IF(AND('Loan Tape'!$AX170=1,'Loan Tape'!$AW170=2),MAX(0,D174-D780-D1083-D1386),0)</f>
        <v>0</v>
      </c>
      <c r="E1689" s="99" t="n">
        <f aca="false">IF(AND('Loan Tape'!$AX170=1,'Loan Tape'!$AW170=3),MAX(0,E174-E780-E1083-E1386),0)</f>
        <v>0</v>
      </c>
      <c r="F1689" s="99" t="n">
        <f aca="false">IF(AND('Loan Tape'!$AX170=1,'Loan Tape'!$AW170=4),MAX(0,F174-F780-F1083-F1386),0)</f>
        <v>0</v>
      </c>
      <c r="G1689" s="99" t="n">
        <f aca="false">IF(AND('Loan Tape'!$AX170=1,'Loan Tape'!$AW170=5),MAX(0,G174-G780-G1083-G1386),0)</f>
        <v>0</v>
      </c>
      <c r="H1689" s="99" t="n">
        <f aca="false">IF(AND('Loan Tape'!$AX170=1,'Loan Tape'!$AW170=6),MAX(0,H174-H780-H1083-H1386),0)</f>
        <v>0</v>
      </c>
      <c r="I1689" s="99" t="n">
        <f aca="false">IF(AND('Loan Tape'!$AX170=1,'Loan Tape'!$AW170=7),MAX(0,I174-I780-I1083-I1386),0)</f>
        <v>0</v>
      </c>
      <c r="J1689" s="99" t="n">
        <f aca="false">IF(AND('Loan Tape'!$AX170=1,'Loan Tape'!$AW170=8),MAX(0,J174-J780-J1083-J1386),0)</f>
        <v>0</v>
      </c>
      <c r="K1689" s="99" t="n">
        <f aca="false">IF(AND('Loan Tape'!$AX170=1,'Loan Tape'!$AW170=9),MAX(0,K174-K780-K1083-K1386),0)</f>
        <v>0</v>
      </c>
      <c r="L1689" s="99" t="n">
        <f aca="false">IF(AND('Loan Tape'!$AX170=1,'Loan Tape'!$AW170=10),MAX(0,L174-L780-L1083-L1386),0)</f>
        <v>0</v>
      </c>
    </row>
    <row r="1690" customFormat="false" ht="15" hidden="false" customHeight="false" outlineLevel="0" collapsed="false">
      <c r="B1690" s="108" t="n">
        <f aca="false">'Loan Tape'!$A171</f>
        <v>0</v>
      </c>
      <c r="C1690" s="71" t="n">
        <f aca="false">IF(AND('Loan Tape'!$AX171=1,'Loan Tape'!$AW171=1),MAX(0,C175-C781-C1084-C1387),0)</f>
        <v>0</v>
      </c>
      <c r="D1690" s="71" t="n">
        <f aca="false">IF(AND('Loan Tape'!$AX171=1,'Loan Tape'!$AW171=2),MAX(0,D175-D781-D1084-D1387),0)</f>
        <v>0</v>
      </c>
      <c r="E1690" s="71" t="n">
        <f aca="false">IF(AND('Loan Tape'!$AX171=1,'Loan Tape'!$AW171=3),MAX(0,E175-E781-E1084-E1387),0)</f>
        <v>0</v>
      </c>
      <c r="F1690" s="71" t="n">
        <f aca="false">IF(AND('Loan Tape'!$AX171=1,'Loan Tape'!$AW171=4),MAX(0,F175-F781-F1084-F1387),0)</f>
        <v>0</v>
      </c>
      <c r="G1690" s="71" t="n">
        <f aca="false">IF(AND('Loan Tape'!$AX171=1,'Loan Tape'!$AW171=5),MAX(0,G175-G781-G1084-G1387),0)</f>
        <v>0</v>
      </c>
      <c r="H1690" s="71" t="n">
        <f aca="false">IF(AND('Loan Tape'!$AX171=1,'Loan Tape'!$AW171=6),MAX(0,H175-H781-H1084-H1387),0)</f>
        <v>0</v>
      </c>
      <c r="I1690" s="71" t="n">
        <f aca="false">IF(AND('Loan Tape'!$AX171=1,'Loan Tape'!$AW171=7),MAX(0,I175-I781-I1084-I1387),0)</f>
        <v>0</v>
      </c>
      <c r="J1690" s="71" t="n">
        <f aca="false">IF(AND('Loan Tape'!$AX171=1,'Loan Tape'!$AW171=8),MAX(0,J175-J781-J1084-J1387),0)</f>
        <v>0</v>
      </c>
      <c r="K1690" s="71" t="n">
        <f aca="false">IF(AND('Loan Tape'!$AX171=1,'Loan Tape'!$AW171=9),MAX(0,K175-K781-K1084-K1387),0)</f>
        <v>0</v>
      </c>
      <c r="L1690" s="71" t="n">
        <f aca="false">IF(AND('Loan Tape'!$AX171=1,'Loan Tape'!$AW171=10),MAX(0,L175-L781-L1084-L1387),0)</f>
        <v>0</v>
      </c>
    </row>
    <row r="1691" customFormat="false" ht="15" hidden="false" customHeight="false" outlineLevel="0" collapsed="false">
      <c r="B1691" s="102" t="n">
        <f aca="false">'Loan Tape'!$A172</f>
        <v>0</v>
      </c>
      <c r="C1691" s="99" t="n">
        <f aca="false">IF(AND('Loan Tape'!$AX172=1,'Loan Tape'!$AW172=1),MAX(0,C176-C782-C1085-C1388),0)</f>
        <v>0</v>
      </c>
      <c r="D1691" s="99" t="n">
        <f aca="false">IF(AND('Loan Tape'!$AX172=1,'Loan Tape'!$AW172=2),MAX(0,D176-D782-D1085-D1388),0)</f>
        <v>0</v>
      </c>
      <c r="E1691" s="99" t="n">
        <f aca="false">IF(AND('Loan Tape'!$AX172=1,'Loan Tape'!$AW172=3),MAX(0,E176-E782-E1085-E1388),0)</f>
        <v>0</v>
      </c>
      <c r="F1691" s="99" t="n">
        <f aca="false">IF(AND('Loan Tape'!$AX172=1,'Loan Tape'!$AW172=4),MAX(0,F176-F782-F1085-F1388),0)</f>
        <v>0</v>
      </c>
      <c r="G1691" s="99" t="n">
        <f aca="false">IF(AND('Loan Tape'!$AX172=1,'Loan Tape'!$AW172=5),MAX(0,G176-G782-G1085-G1388),0)</f>
        <v>0</v>
      </c>
      <c r="H1691" s="99" t="n">
        <f aca="false">IF(AND('Loan Tape'!$AX172=1,'Loan Tape'!$AW172=6),MAX(0,H176-H782-H1085-H1388),0)</f>
        <v>0</v>
      </c>
      <c r="I1691" s="99" t="n">
        <f aca="false">IF(AND('Loan Tape'!$AX172=1,'Loan Tape'!$AW172=7),MAX(0,I176-I782-I1085-I1388),0)</f>
        <v>0</v>
      </c>
      <c r="J1691" s="99" t="n">
        <f aca="false">IF(AND('Loan Tape'!$AX172=1,'Loan Tape'!$AW172=8),MAX(0,J176-J782-J1085-J1388),0)</f>
        <v>0</v>
      </c>
      <c r="K1691" s="99" t="n">
        <f aca="false">IF(AND('Loan Tape'!$AX172=1,'Loan Tape'!$AW172=9),MAX(0,K176-K782-K1085-K1388),0)</f>
        <v>0</v>
      </c>
      <c r="L1691" s="99" t="n">
        <f aca="false">IF(AND('Loan Tape'!$AX172=1,'Loan Tape'!$AW172=10),MAX(0,L176-L782-L1085-L1388),0)</f>
        <v>0</v>
      </c>
    </row>
    <row r="1692" customFormat="false" ht="15" hidden="false" customHeight="false" outlineLevel="0" collapsed="false">
      <c r="B1692" s="108" t="n">
        <f aca="false">'Loan Tape'!$A173</f>
        <v>0</v>
      </c>
      <c r="C1692" s="71" t="n">
        <f aca="false">IF(AND('Loan Tape'!$AX173=1,'Loan Tape'!$AW173=1),MAX(0,C177-C783-C1086-C1389),0)</f>
        <v>0</v>
      </c>
      <c r="D1692" s="71" t="n">
        <f aca="false">IF(AND('Loan Tape'!$AX173=1,'Loan Tape'!$AW173=2),MAX(0,D177-D783-D1086-D1389),0)</f>
        <v>0</v>
      </c>
      <c r="E1692" s="71" t="n">
        <f aca="false">IF(AND('Loan Tape'!$AX173=1,'Loan Tape'!$AW173=3),MAX(0,E177-E783-E1086-E1389),0)</f>
        <v>0</v>
      </c>
      <c r="F1692" s="71" t="n">
        <f aca="false">IF(AND('Loan Tape'!$AX173=1,'Loan Tape'!$AW173=4),MAX(0,F177-F783-F1086-F1389),0)</f>
        <v>0</v>
      </c>
      <c r="G1692" s="71" t="n">
        <f aca="false">IF(AND('Loan Tape'!$AX173=1,'Loan Tape'!$AW173=5),MAX(0,G177-G783-G1086-G1389),0)</f>
        <v>0</v>
      </c>
      <c r="H1692" s="71" t="n">
        <f aca="false">IF(AND('Loan Tape'!$AX173=1,'Loan Tape'!$AW173=6),MAX(0,H177-H783-H1086-H1389),0)</f>
        <v>0</v>
      </c>
      <c r="I1692" s="71" t="n">
        <f aca="false">IF(AND('Loan Tape'!$AX173=1,'Loan Tape'!$AW173=7),MAX(0,I177-I783-I1086-I1389),0)</f>
        <v>0</v>
      </c>
      <c r="J1692" s="71" t="n">
        <f aca="false">IF(AND('Loan Tape'!$AX173=1,'Loan Tape'!$AW173=8),MAX(0,J177-J783-J1086-J1389),0)</f>
        <v>0</v>
      </c>
      <c r="K1692" s="71" t="n">
        <f aca="false">IF(AND('Loan Tape'!$AX173=1,'Loan Tape'!$AW173=9),MAX(0,K177-K783-K1086-K1389),0)</f>
        <v>0</v>
      </c>
      <c r="L1692" s="71" t="n">
        <f aca="false">IF(AND('Loan Tape'!$AX173=1,'Loan Tape'!$AW173=10),MAX(0,L177-L783-L1086-L1389),0)</f>
        <v>0</v>
      </c>
    </row>
    <row r="1693" customFormat="false" ht="15" hidden="false" customHeight="false" outlineLevel="0" collapsed="false">
      <c r="B1693" s="102" t="n">
        <f aca="false">'Loan Tape'!$A174</f>
        <v>0</v>
      </c>
      <c r="C1693" s="99" t="n">
        <f aca="false">IF(AND('Loan Tape'!$AX174=1,'Loan Tape'!$AW174=1),MAX(0,C178-C784-C1087-C1390),0)</f>
        <v>0</v>
      </c>
      <c r="D1693" s="99" t="n">
        <f aca="false">IF(AND('Loan Tape'!$AX174=1,'Loan Tape'!$AW174=2),MAX(0,D178-D784-D1087-D1390),0)</f>
        <v>0</v>
      </c>
      <c r="E1693" s="99" t="n">
        <f aca="false">IF(AND('Loan Tape'!$AX174=1,'Loan Tape'!$AW174=3),MAX(0,E178-E784-E1087-E1390),0)</f>
        <v>0</v>
      </c>
      <c r="F1693" s="99" t="n">
        <f aca="false">IF(AND('Loan Tape'!$AX174=1,'Loan Tape'!$AW174=4),MAX(0,F178-F784-F1087-F1390),0)</f>
        <v>0</v>
      </c>
      <c r="G1693" s="99" t="n">
        <f aca="false">IF(AND('Loan Tape'!$AX174=1,'Loan Tape'!$AW174=5),MAX(0,G178-G784-G1087-G1390),0)</f>
        <v>0</v>
      </c>
      <c r="H1693" s="99" t="n">
        <f aca="false">IF(AND('Loan Tape'!$AX174=1,'Loan Tape'!$AW174=6),MAX(0,H178-H784-H1087-H1390),0)</f>
        <v>0</v>
      </c>
      <c r="I1693" s="99" t="n">
        <f aca="false">IF(AND('Loan Tape'!$AX174=1,'Loan Tape'!$AW174=7),MAX(0,I178-I784-I1087-I1390),0)</f>
        <v>0</v>
      </c>
      <c r="J1693" s="99" t="n">
        <f aca="false">IF(AND('Loan Tape'!$AX174=1,'Loan Tape'!$AW174=8),MAX(0,J178-J784-J1087-J1390),0)</f>
        <v>0</v>
      </c>
      <c r="K1693" s="99" t="n">
        <f aca="false">IF(AND('Loan Tape'!$AX174=1,'Loan Tape'!$AW174=9),MAX(0,K178-K784-K1087-K1390),0)</f>
        <v>0</v>
      </c>
      <c r="L1693" s="99" t="n">
        <f aca="false">IF(AND('Loan Tape'!$AX174=1,'Loan Tape'!$AW174=10),MAX(0,L178-L784-L1087-L1390),0)</f>
        <v>0</v>
      </c>
    </row>
    <row r="1694" customFormat="false" ht="15" hidden="false" customHeight="false" outlineLevel="0" collapsed="false">
      <c r="B1694" s="108" t="n">
        <f aca="false">'Loan Tape'!$A175</f>
        <v>0</v>
      </c>
      <c r="C1694" s="71" t="n">
        <f aca="false">IF(AND('Loan Tape'!$AX175=1,'Loan Tape'!$AW175=1),MAX(0,C179-C785-C1088-C1391),0)</f>
        <v>0</v>
      </c>
      <c r="D1694" s="71" t="n">
        <f aca="false">IF(AND('Loan Tape'!$AX175=1,'Loan Tape'!$AW175=2),MAX(0,D179-D785-D1088-D1391),0)</f>
        <v>0</v>
      </c>
      <c r="E1694" s="71" t="n">
        <f aca="false">IF(AND('Loan Tape'!$AX175=1,'Loan Tape'!$AW175=3),MAX(0,E179-E785-E1088-E1391),0)</f>
        <v>0</v>
      </c>
      <c r="F1694" s="71" t="n">
        <f aca="false">IF(AND('Loan Tape'!$AX175=1,'Loan Tape'!$AW175=4),MAX(0,F179-F785-F1088-F1391),0)</f>
        <v>0</v>
      </c>
      <c r="G1694" s="71" t="n">
        <f aca="false">IF(AND('Loan Tape'!$AX175=1,'Loan Tape'!$AW175=5),MAX(0,G179-G785-G1088-G1391),0)</f>
        <v>0</v>
      </c>
      <c r="H1694" s="71" t="n">
        <f aca="false">IF(AND('Loan Tape'!$AX175=1,'Loan Tape'!$AW175=6),MAX(0,H179-H785-H1088-H1391),0)</f>
        <v>0</v>
      </c>
      <c r="I1694" s="71" t="n">
        <f aca="false">IF(AND('Loan Tape'!$AX175=1,'Loan Tape'!$AW175=7),MAX(0,I179-I785-I1088-I1391),0)</f>
        <v>0</v>
      </c>
      <c r="J1694" s="71" t="n">
        <f aca="false">IF(AND('Loan Tape'!$AX175=1,'Loan Tape'!$AW175=8),MAX(0,J179-J785-J1088-J1391),0)</f>
        <v>0</v>
      </c>
      <c r="K1694" s="71" t="n">
        <f aca="false">IF(AND('Loan Tape'!$AX175=1,'Loan Tape'!$AW175=9),MAX(0,K179-K785-K1088-K1391),0)</f>
        <v>0</v>
      </c>
      <c r="L1694" s="71" t="n">
        <f aca="false">IF(AND('Loan Tape'!$AX175=1,'Loan Tape'!$AW175=10),MAX(0,L179-L785-L1088-L1391),0)</f>
        <v>0</v>
      </c>
    </row>
    <row r="1695" customFormat="false" ht="15" hidden="false" customHeight="false" outlineLevel="0" collapsed="false">
      <c r="B1695" s="102" t="n">
        <f aca="false">'Loan Tape'!$A176</f>
        <v>0</v>
      </c>
      <c r="C1695" s="99" t="n">
        <f aca="false">IF(AND('Loan Tape'!$AX176=1,'Loan Tape'!$AW176=1),MAX(0,C180-C786-C1089-C1392),0)</f>
        <v>0</v>
      </c>
      <c r="D1695" s="99" t="n">
        <f aca="false">IF(AND('Loan Tape'!$AX176=1,'Loan Tape'!$AW176=2),MAX(0,D180-D786-D1089-D1392),0)</f>
        <v>0</v>
      </c>
      <c r="E1695" s="99" t="n">
        <f aca="false">IF(AND('Loan Tape'!$AX176=1,'Loan Tape'!$AW176=3),MAX(0,E180-E786-E1089-E1392),0)</f>
        <v>0</v>
      </c>
      <c r="F1695" s="99" t="n">
        <f aca="false">IF(AND('Loan Tape'!$AX176=1,'Loan Tape'!$AW176=4),MAX(0,F180-F786-F1089-F1392),0)</f>
        <v>0</v>
      </c>
      <c r="G1695" s="99" t="n">
        <f aca="false">IF(AND('Loan Tape'!$AX176=1,'Loan Tape'!$AW176=5),MAX(0,G180-G786-G1089-G1392),0)</f>
        <v>0</v>
      </c>
      <c r="H1695" s="99" t="n">
        <f aca="false">IF(AND('Loan Tape'!$AX176=1,'Loan Tape'!$AW176=6),MAX(0,H180-H786-H1089-H1392),0)</f>
        <v>0</v>
      </c>
      <c r="I1695" s="99" t="n">
        <f aca="false">IF(AND('Loan Tape'!$AX176=1,'Loan Tape'!$AW176=7),MAX(0,I180-I786-I1089-I1392),0)</f>
        <v>0</v>
      </c>
      <c r="J1695" s="99" t="n">
        <f aca="false">IF(AND('Loan Tape'!$AX176=1,'Loan Tape'!$AW176=8),MAX(0,J180-J786-J1089-J1392),0)</f>
        <v>0</v>
      </c>
      <c r="K1695" s="99" t="n">
        <f aca="false">IF(AND('Loan Tape'!$AX176=1,'Loan Tape'!$AW176=9),MAX(0,K180-K786-K1089-K1392),0)</f>
        <v>0</v>
      </c>
      <c r="L1695" s="99" t="n">
        <f aca="false">IF(AND('Loan Tape'!$AX176=1,'Loan Tape'!$AW176=10),MAX(0,L180-L786-L1089-L1392),0)</f>
        <v>0</v>
      </c>
    </row>
    <row r="1696" customFormat="false" ht="15" hidden="false" customHeight="false" outlineLevel="0" collapsed="false">
      <c r="B1696" s="108" t="n">
        <f aca="false">'Loan Tape'!$A177</f>
        <v>0</v>
      </c>
      <c r="C1696" s="71" t="n">
        <f aca="false">IF(AND('Loan Tape'!$AX177=1,'Loan Tape'!$AW177=1),MAX(0,C181-C787-C1090-C1393),0)</f>
        <v>0</v>
      </c>
      <c r="D1696" s="71" t="n">
        <f aca="false">IF(AND('Loan Tape'!$AX177=1,'Loan Tape'!$AW177=2),MAX(0,D181-D787-D1090-D1393),0)</f>
        <v>0</v>
      </c>
      <c r="E1696" s="71" t="n">
        <f aca="false">IF(AND('Loan Tape'!$AX177=1,'Loan Tape'!$AW177=3),MAX(0,E181-E787-E1090-E1393),0)</f>
        <v>0</v>
      </c>
      <c r="F1696" s="71" t="n">
        <f aca="false">IF(AND('Loan Tape'!$AX177=1,'Loan Tape'!$AW177=4),MAX(0,F181-F787-F1090-F1393),0)</f>
        <v>0</v>
      </c>
      <c r="G1696" s="71" t="n">
        <f aca="false">IF(AND('Loan Tape'!$AX177=1,'Loan Tape'!$AW177=5),MAX(0,G181-G787-G1090-G1393),0)</f>
        <v>0</v>
      </c>
      <c r="H1696" s="71" t="n">
        <f aca="false">IF(AND('Loan Tape'!$AX177=1,'Loan Tape'!$AW177=6),MAX(0,H181-H787-H1090-H1393),0)</f>
        <v>0</v>
      </c>
      <c r="I1696" s="71" t="n">
        <f aca="false">IF(AND('Loan Tape'!$AX177=1,'Loan Tape'!$AW177=7),MAX(0,I181-I787-I1090-I1393),0)</f>
        <v>0</v>
      </c>
      <c r="J1696" s="71" t="n">
        <f aca="false">IF(AND('Loan Tape'!$AX177=1,'Loan Tape'!$AW177=8),MAX(0,J181-J787-J1090-J1393),0)</f>
        <v>0</v>
      </c>
      <c r="K1696" s="71" t="n">
        <f aca="false">IF(AND('Loan Tape'!$AX177=1,'Loan Tape'!$AW177=9),MAX(0,K181-K787-K1090-K1393),0)</f>
        <v>0</v>
      </c>
      <c r="L1696" s="71" t="n">
        <f aca="false">IF(AND('Loan Tape'!$AX177=1,'Loan Tape'!$AW177=10),MAX(0,L181-L787-L1090-L1393),0)</f>
        <v>0</v>
      </c>
    </row>
    <row r="1697" customFormat="false" ht="15" hidden="false" customHeight="false" outlineLevel="0" collapsed="false">
      <c r="B1697" s="102" t="n">
        <f aca="false">'Loan Tape'!$A178</f>
        <v>0</v>
      </c>
      <c r="C1697" s="99" t="n">
        <f aca="false">IF(AND('Loan Tape'!$AX178=1,'Loan Tape'!$AW178=1),MAX(0,C182-C788-C1091-C1394),0)</f>
        <v>0</v>
      </c>
      <c r="D1697" s="99" t="n">
        <f aca="false">IF(AND('Loan Tape'!$AX178=1,'Loan Tape'!$AW178=2),MAX(0,D182-D788-D1091-D1394),0)</f>
        <v>0</v>
      </c>
      <c r="E1697" s="99" t="n">
        <f aca="false">IF(AND('Loan Tape'!$AX178=1,'Loan Tape'!$AW178=3),MAX(0,E182-E788-E1091-E1394),0)</f>
        <v>0</v>
      </c>
      <c r="F1697" s="99" t="n">
        <f aca="false">IF(AND('Loan Tape'!$AX178=1,'Loan Tape'!$AW178=4),MAX(0,F182-F788-F1091-F1394),0)</f>
        <v>0</v>
      </c>
      <c r="G1697" s="99" t="n">
        <f aca="false">IF(AND('Loan Tape'!$AX178=1,'Loan Tape'!$AW178=5),MAX(0,G182-G788-G1091-G1394),0)</f>
        <v>0</v>
      </c>
      <c r="H1697" s="99" t="n">
        <f aca="false">IF(AND('Loan Tape'!$AX178=1,'Loan Tape'!$AW178=6),MAX(0,H182-H788-H1091-H1394),0)</f>
        <v>0</v>
      </c>
      <c r="I1697" s="99" t="n">
        <f aca="false">IF(AND('Loan Tape'!$AX178=1,'Loan Tape'!$AW178=7),MAX(0,I182-I788-I1091-I1394),0)</f>
        <v>0</v>
      </c>
      <c r="J1697" s="99" t="n">
        <f aca="false">IF(AND('Loan Tape'!$AX178=1,'Loan Tape'!$AW178=8),MAX(0,J182-J788-J1091-J1394),0)</f>
        <v>0</v>
      </c>
      <c r="K1697" s="99" t="n">
        <f aca="false">IF(AND('Loan Tape'!$AX178=1,'Loan Tape'!$AW178=9),MAX(0,K182-K788-K1091-K1394),0)</f>
        <v>0</v>
      </c>
      <c r="L1697" s="99" t="n">
        <f aca="false">IF(AND('Loan Tape'!$AX178=1,'Loan Tape'!$AW178=10),MAX(0,L182-L788-L1091-L1394),0)</f>
        <v>0</v>
      </c>
    </row>
    <row r="1698" customFormat="false" ht="15" hidden="false" customHeight="false" outlineLevel="0" collapsed="false">
      <c r="B1698" s="108" t="n">
        <f aca="false">'Loan Tape'!$A179</f>
        <v>0</v>
      </c>
      <c r="C1698" s="71" t="n">
        <f aca="false">IF(AND('Loan Tape'!$AX179=1,'Loan Tape'!$AW179=1),MAX(0,C183-C789-C1092-C1395),0)</f>
        <v>0</v>
      </c>
      <c r="D1698" s="71" t="n">
        <f aca="false">IF(AND('Loan Tape'!$AX179=1,'Loan Tape'!$AW179=2),MAX(0,D183-D789-D1092-D1395),0)</f>
        <v>0</v>
      </c>
      <c r="E1698" s="71" t="n">
        <f aca="false">IF(AND('Loan Tape'!$AX179=1,'Loan Tape'!$AW179=3),MAX(0,E183-E789-E1092-E1395),0)</f>
        <v>0</v>
      </c>
      <c r="F1698" s="71" t="n">
        <f aca="false">IF(AND('Loan Tape'!$AX179=1,'Loan Tape'!$AW179=4),MAX(0,F183-F789-F1092-F1395),0)</f>
        <v>0</v>
      </c>
      <c r="G1698" s="71" t="n">
        <f aca="false">IF(AND('Loan Tape'!$AX179=1,'Loan Tape'!$AW179=5),MAX(0,G183-G789-G1092-G1395),0)</f>
        <v>0</v>
      </c>
      <c r="H1698" s="71" t="n">
        <f aca="false">IF(AND('Loan Tape'!$AX179=1,'Loan Tape'!$AW179=6),MAX(0,H183-H789-H1092-H1395),0)</f>
        <v>0</v>
      </c>
      <c r="I1698" s="71" t="n">
        <f aca="false">IF(AND('Loan Tape'!$AX179=1,'Loan Tape'!$AW179=7),MAX(0,I183-I789-I1092-I1395),0)</f>
        <v>0</v>
      </c>
      <c r="J1698" s="71" t="n">
        <f aca="false">IF(AND('Loan Tape'!$AX179=1,'Loan Tape'!$AW179=8),MAX(0,J183-J789-J1092-J1395),0)</f>
        <v>0</v>
      </c>
      <c r="K1698" s="71" t="n">
        <f aca="false">IF(AND('Loan Tape'!$AX179=1,'Loan Tape'!$AW179=9),MAX(0,K183-K789-K1092-K1395),0)</f>
        <v>0</v>
      </c>
      <c r="L1698" s="71" t="n">
        <f aca="false">IF(AND('Loan Tape'!$AX179=1,'Loan Tape'!$AW179=10),MAX(0,L183-L789-L1092-L1395),0)</f>
        <v>0</v>
      </c>
    </row>
    <row r="1699" customFormat="false" ht="15" hidden="false" customHeight="false" outlineLevel="0" collapsed="false">
      <c r="B1699" s="102" t="n">
        <f aca="false">'Loan Tape'!$A180</f>
        <v>0</v>
      </c>
      <c r="C1699" s="99" t="n">
        <f aca="false">IF(AND('Loan Tape'!$AX180=1,'Loan Tape'!$AW180=1),MAX(0,C184-C790-C1093-C1396),0)</f>
        <v>0</v>
      </c>
      <c r="D1699" s="99" t="n">
        <f aca="false">IF(AND('Loan Tape'!$AX180=1,'Loan Tape'!$AW180=2),MAX(0,D184-D790-D1093-D1396),0)</f>
        <v>0</v>
      </c>
      <c r="E1699" s="99" t="n">
        <f aca="false">IF(AND('Loan Tape'!$AX180=1,'Loan Tape'!$AW180=3),MAX(0,E184-E790-E1093-E1396),0)</f>
        <v>0</v>
      </c>
      <c r="F1699" s="99" t="n">
        <f aca="false">IF(AND('Loan Tape'!$AX180=1,'Loan Tape'!$AW180=4),MAX(0,F184-F790-F1093-F1396),0)</f>
        <v>0</v>
      </c>
      <c r="G1699" s="99" t="n">
        <f aca="false">IF(AND('Loan Tape'!$AX180=1,'Loan Tape'!$AW180=5),MAX(0,G184-G790-G1093-G1396),0)</f>
        <v>0</v>
      </c>
      <c r="H1699" s="99" t="n">
        <f aca="false">IF(AND('Loan Tape'!$AX180=1,'Loan Tape'!$AW180=6),MAX(0,H184-H790-H1093-H1396),0)</f>
        <v>0</v>
      </c>
      <c r="I1699" s="99" t="n">
        <f aca="false">IF(AND('Loan Tape'!$AX180=1,'Loan Tape'!$AW180=7),MAX(0,I184-I790-I1093-I1396),0)</f>
        <v>0</v>
      </c>
      <c r="J1699" s="99" t="n">
        <f aca="false">IF(AND('Loan Tape'!$AX180=1,'Loan Tape'!$AW180=8),MAX(0,J184-J790-J1093-J1396),0)</f>
        <v>0</v>
      </c>
      <c r="K1699" s="99" t="n">
        <f aca="false">IF(AND('Loan Tape'!$AX180=1,'Loan Tape'!$AW180=9),MAX(0,K184-K790-K1093-K1396),0)</f>
        <v>0</v>
      </c>
      <c r="L1699" s="99" t="n">
        <f aca="false">IF(AND('Loan Tape'!$AX180=1,'Loan Tape'!$AW180=10),MAX(0,L184-L790-L1093-L1396),0)</f>
        <v>0</v>
      </c>
    </row>
    <row r="1700" customFormat="false" ht="15" hidden="false" customHeight="false" outlineLevel="0" collapsed="false">
      <c r="B1700" s="108" t="n">
        <f aca="false">'Loan Tape'!$A181</f>
        <v>0</v>
      </c>
      <c r="C1700" s="71" t="n">
        <f aca="false">IF(AND('Loan Tape'!$AX181=1,'Loan Tape'!$AW181=1),MAX(0,C185-C791-C1094-C1397),0)</f>
        <v>0</v>
      </c>
      <c r="D1700" s="71" t="n">
        <f aca="false">IF(AND('Loan Tape'!$AX181=1,'Loan Tape'!$AW181=2),MAX(0,D185-D791-D1094-D1397),0)</f>
        <v>0</v>
      </c>
      <c r="E1700" s="71" t="n">
        <f aca="false">IF(AND('Loan Tape'!$AX181=1,'Loan Tape'!$AW181=3),MAX(0,E185-E791-E1094-E1397),0)</f>
        <v>0</v>
      </c>
      <c r="F1700" s="71" t="n">
        <f aca="false">IF(AND('Loan Tape'!$AX181=1,'Loan Tape'!$AW181=4),MAX(0,F185-F791-F1094-F1397),0)</f>
        <v>0</v>
      </c>
      <c r="G1700" s="71" t="n">
        <f aca="false">IF(AND('Loan Tape'!$AX181=1,'Loan Tape'!$AW181=5),MAX(0,G185-G791-G1094-G1397),0)</f>
        <v>0</v>
      </c>
      <c r="H1700" s="71" t="n">
        <f aca="false">IF(AND('Loan Tape'!$AX181=1,'Loan Tape'!$AW181=6),MAX(0,H185-H791-H1094-H1397),0)</f>
        <v>0</v>
      </c>
      <c r="I1700" s="71" t="n">
        <f aca="false">IF(AND('Loan Tape'!$AX181=1,'Loan Tape'!$AW181=7),MAX(0,I185-I791-I1094-I1397),0)</f>
        <v>0</v>
      </c>
      <c r="J1700" s="71" t="n">
        <f aca="false">IF(AND('Loan Tape'!$AX181=1,'Loan Tape'!$AW181=8),MAX(0,J185-J791-J1094-J1397),0)</f>
        <v>0</v>
      </c>
      <c r="K1700" s="71" t="n">
        <f aca="false">IF(AND('Loan Tape'!$AX181=1,'Loan Tape'!$AW181=9),MAX(0,K185-K791-K1094-K1397),0)</f>
        <v>0</v>
      </c>
      <c r="L1700" s="71" t="n">
        <f aca="false">IF(AND('Loan Tape'!$AX181=1,'Loan Tape'!$AW181=10),MAX(0,L185-L791-L1094-L1397),0)</f>
        <v>0</v>
      </c>
    </row>
    <row r="1701" customFormat="false" ht="15" hidden="false" customHeight="false" outlineLevel="0" collapsed="false">
      <c r="B1701" s="102" t="n">
        <f aca="false">'Loan Tape'!$A182</f>
        <v>0</v>
      </c>
      <c r="C1701" s="99" t="n">
        <f aca="false">IF(AND('Loan Tape'!$AX182=1,'Loan Tape'!$AW182=1),MAX(0,C186-C792-C1095-C1398),0)</f>
        <v>0</v>
      </c>
      <c r="D1701" s="99" t="n">
        <f aca="false">IF(AND('Loan Tape'!$AX182=1,'Loan Tape'!$AW182=2),MAX(0,D186-D792-D1095-D1398),0)</f>
        <v>0</v>
      </c>
      <c r="E1701" s="99" t="n">
        <f aca="false">IF(AND('Loan Tape'!$AX182=1,'Loan Tape'!$AW182=3),MAX(0,E186-E792-E1095-E1398),0)</f>
        <v>0</v>
      </c>
      <c r="F1701" s="99" t="n">
        <f aca="false">IF(AND('Loan Tape'!$AX182=1,'Loan Tape'!$AW182=4),MAX(0,F186-F792-F1095-F1398),0)</f>
        <v>0</v>
      </c>
      <c r="G1701" s="99" t="n">
        <f aca="false">IF(AND('Loan Tape'!$AX182=1,'Loan Tape'!$AW182=5),MAX(0,G186-G792-G1095-G1398),0)</f>
        <v>0</v>
      </c>
      <c r="H1701" s="99" t="n">
        <f aca="false">IF(AND('Loan Tape'!$AX182=1,'Loan Tape'!$AW182=6),MAX(0,H186-H792-H1095-H1398),0)</f>
        <v>0</v>
      </c>
      <c r="I1701" s="99" t="n">
        <f aca="false">IF(AND('Loan Tape'!$AX182=1,'Loan Tape'!$AW182=7),MAX(0,I186-I792-I1095-I1398),0)</f>
        <v>0</v>
      </c>
      <c r="J1701" s="99" t="n">
        <f aca="false">IF(AND('Loan Tape'!$AX182=1,'Loan Tape'!$AW182=8),MAX(0,J186-J792-J1095-J1398),0)</f>
        <v>0</v>
      </c>
      <c r="K1701" s="99" t="n">
        <f aca="false">IF(AND('Loan Tape'!$AX182=1,'Loan Tape'!$AW182=9),MAX(0,K186-K792-K1095-K1398),0)</f>
        <v>0</v>
      </c>
      <c r="L1701" s="99" t="n">
        <f aca="false">IF(AND('Loan Tape'!$AX182=1,'Loan Tape'!$AW182=10),MAX(0,L186-L792-L1095-L1398),0)</f>
        <v>0</v>
      </c>
    </row>
    <row r="1702" customFormat="false" ht="15" hidden="false" customHeight="false" outlineLevel="0" collapsed="false">
      <c r="B1702" s="108" t="n">
        <f aca="false">'Loan Tape'!$A183</f>
        <v>0</v>
      </c>
      <c r="C1702" s="71" t="n">
        <f aca="false">IF(AND('Loan Tape'!$AX183=1,'Loan Tape'!$AW183=1),MAX(0,C187-C793-C1096-C1399),0)</f>
        <v>0</v>
      </c>
      <c r="D1702" s="71" t="n">
        <f aca="false">IF(AND('Loan Tape'!$AX183=1,'Loan Tape'!$AW183=2),MAX(0,D187-D793-D1096-D1399),0)</f>
        <v>0</v>
      </c>
      <c r="E1702" s="71" t="n">
        <f aca="false">IF(AND('Loan Tape'!$AX183=1,'Loan Tape'!$AW183=3),MAX(0,E187-E793-E1096-E1399),0)</f>
        <v>0</v>
      </c>
      <c r="F1702" s="71" t="n">
        <f aca="false">IF(AND('Loan Tape'!$AX183=1,'Loan Tape'!$AW183=4),MAX(0,F187-F793-F1096-F1399),0)</f>
        <v>0</v>
      </c>
      <c r="G1702" s="71" t="n">
        <f aca="false">IF(AND('Loan Tape'!$AX183=1,'Loan Tape'!$AW183=5),MAX(0,G187-G793-G1096-G1399),0)</f>
        <v>0</v>
      </c>
      <c r="H1702" s="71" t="n">
        <f aca="false">IF(AND('Loan Tape'!$AX183=1,'Loan Tape'!$AW183=6),MAX(0,H187-H793-H1096-H1399),0)</f>
        <v>0</v>
      </c>
      <c r="I1702" s="71" t="n">
        <f aca="false">IF(AND('Loan Tape'!$AX183=1,'Loan Tape'!$AW183=7),MAX(0,I187-I793-I1096-I1399),0)</f>
        <v>0</v>
      </c>
      <c r="J1702" s="71" t="n">
        <f aca="false">IF(AND('Loan Tape'!$AX183=1,'Loan Tape'!$AW183=8),MAX(0,J187-J793-J1096-J1399),0)</f>
        <v>0</v>
      </c>
      <c r="K1702" s="71" t="n">
        <f aca="false">IF(AND('Loan Tape'!$AX183=1,'Loan Tape'!$AW183=9),MAX(0,K187-K793-K1096-K1399),0)</f>
        <v>0</v>
      </c>
      <c r="L1702" s="71" t="n">
        <f aca="false">IF(AND('Loan Tape'!$AX183=1,'Loan Tape'!$AW183=10),MAX(0,L187-L793-L1096-L1399),0)</f>
        <v>0</v>
      </c>
    </row>
    <row r="1703" customFormat="false" ht="15" hidden="false" customHeight="false" outlineLevel="0" collapsed="false">
      <c r="B1703" s="102" t="n">
        <f aca="false">'Loan Tape'!$A184</f>
        <v>0</v>
      </c>
      <c r="C1703" s="99" t="n">
        <f aca="false">IF(AND('Loan Tape'!$AX184=1,'Loan Tape'!$AW184=1),MAX(0,C188-C794-C1097-C1400),0)</f>
        <v>0</v>
      </c>
      <c r="D1703" s="99" t="n">
        <f aca="false">IF(AND('Loan Tape'!$AX184=1,'Loan Tape'!$AW184=2),MAX(0,D188-D794-D1097-D1400),0)</f>
        <v>0</v>
      </c>
      <c r="E1703" s="99" t="n">
        <f aca="false">IF(AND('Loan Tape'!$AX184=1,'Loan Tape'!$AW184=3),MAX(0,E188-E794-E1097-E1400),0)</f>
        <v>0</v>
      </c>
      <c r="F1703" s="99" t="n">
        <f aca="false">IF(AND('Loan Tape'!$AX184=1,'Loan Tape'!$AW184=4),MAX(0,F188-F794-F1097-F1400),0)</f>
        <v>0</v>
      </c>
      <c r="G1703" s="99" t="n">
        <f aca="false">IF(AND('Loan Tape'!$AX184=1,'Loan Tape'!$AW184=5),MAX(0,G188-G794-G1097-G1400),0)</f>
        <v>0</v>
      </c>
      <c r="H1703" s="99" t="n">
        <f aca="false">IF(AND('Loan Tape'!$AX184=1,'Loan Tape'!$AW184=6),MAX(0,H188-H794-H1097-H1400),0)</f>
        <v>0</v>
      </c>
      <c r="I1703" s="99" t="n">
        <f aca="false">IF(AND('Loan Tape'!$AX184=1,'Loan Tape'!$AW184=7),MAX(0,I188-I794-I1097-I1400),0)</f>
        <v>0</v>
      </c>
      <c r="J1703" s="99" t="n">
        <f aca="false">IF(AND('Loan Tape'!$AX184=1,'Loan Tape'!$AW184=8),MAX(0,J188-J794-J1097-J1400),0)</f>
        <v>0</v>
      </c>
      <c r="K1703" s="99" t="n">
        <f aca="false">IF(AND('Loan Tape'!$AX184=1,'Loan Tape'!$AW184=9),MAX(0,K188-K794-K1097-K1400),0)</f>
        <v>0</v>
      </c>
      <c r="L1703" s="99" t="n">
        <f aca="false">IF(AND('Loan Tape'!$AX184=1,'Loan Tape'!$AW184=10),MAX(0,L188-L794-L1097-L1400),0)</f>
        <v>0</v>
      </c>
    </row>
    <row r="1704" customFormat="false" ht="15" hidden="false" customHeight="false" outlineLevel="0" collapsed="false">
      <c r="B1704" s="108" t="n">
        <f aca="false">'Loan Tape'!$A185</f>
        <v>0</v>
      </c>
      <c r="C1704" s="71" t="n">
        <f aca="false">IF(AND('Loan Tape'!$AX185=1,'Loan Tape'!$AW185=1),MAX(0,C189-C795-C1098-C1401),0)</f>
        <v>0</v>
      </c>
      <c r="D1704" s="71" t="n">
        <f aca="false">IF(AND('Loan Tape'!$AX185=1,'Loan Tape'!$AW185=2),MAX(0,D189-D795-D1098-D1401),0)</f>
        <v>0</v>
      </c>
      <c r="E1704" s="71" t="n">
        <f aca="false">IF(AND('Loan Tape'!$AX185=1,'Loan Tape'!$AW185=3),MAX(0,E189-E795-E1098-E1401),0)</f>
        <v>0</v>
      </c>
      <c r="F1704" s="71" t="n">
        <f aca="false">IF(AND('Loan Tape'!$AX185=1,'Loan Tape'!$AW185=4),MAX(0,F189-F795-F1098-F1401),0)</f>
        <v>0</v>
      </c>
      <c r="G1704" s="71" t="n">
        <f aca="false">IF(AND('Loan Tape'!$AX185=1,'Loan Tape'!$AW185=5),MAX(0,G189-G795-G1098-G1401),0)</f>
        <v>0</v>
      </c>
      <c r="H1704" s="71" t="n">
        <f aca="false">IF(AND('Loan Tape'!$AX185=1,'Loan Tape'!$AW185=6),MAX(0,H189-H795-H1098-H1401),0)</f>
        <v>0</v>
      </c>
      <c r="I1704" s="71" t="n">
        <f aca="false">IF(AND('Loan Tape'!$AX185=1,'Loan Tape'!$AW185=7),MAX(0,I189-I795-I1098-I1401),0)</f>
        <v>0</v>
      </c>
      <c r="J1704" s="71" t="n">
        <f aca="false">IF(AND('Loan Tape'!$AX185=1,'Loan Tape'!$AW185=8),MAX(0,J189-J795-J1098-J1401),0)</f>
        <v>0</v>
      </c>
      <c r="K1704" s="71" t="n">
        <f aca="false">IF(AND('Loan Tape'!$AX185=1,'Loan Tape'!$AW185=9),MAX(0,K189-K795-K1098-K1401),0)</f>
        <v>0</v>
      </c>
      <c r="L1704" s="71" t="n">
        <f aca="false">IF(AND('Loan Tape'!$AX185=1,'Loan Tape'!$AW185=10),MAX(0,L189-L795-L1098-L1401),0)</f>
        <v>0</v>
      </c>
    </row>
    <row r="1705" customFormat="false" ht="15" hidden="false" customHeight="false" outlineLevel="0" collapsed="false">
      <c r="B1705" s="102" t="n">
        <f aca="false">'Loan Tape'!$A186</f>
        <v>0</v>
      </c>
      <c r="C1705" s="99" t="n">
        <f aca="false">IF(AND('Loan Tape'!$AX186=1,'Loan Tape'!$AW186=1),MAX(0,C190-C796-C1099-C1402),0)</f>
        <v>0</v>
      </c>
      <c r="D1705" s="99" t="n">
        <f aca="false">IF(AND('Loan Tape'!$AX186=1,'Loan Tape'!$AW186=2),MAX(0,D190-D796-D1099-D1402),0)</f>
        <v>0</v>
      </c>
      <c r="E1705" s="99" t="n">
        <f aca="false">IF(AND('Loan Tape'!$AX186=1,'Loan Tape'!$AW186=3),MAX(0,E190-E796-E1099-E1402),0)</f>
        <v>0</v>
      </c>
      <c r="F1705" s="99" t="n">
        <f aca="false">IF(AND('Loan Tape'!$AX186=1,'Loan Tape'!$AW186=4),MAX(0,F190-F796-F1099-F1402),0)</f>
        <v>0</v>
      </c>
      <c r="G1705" s="99" t="n">
        <f aca="false">IF(AND('Loan Tape'!$AX186=1,'Loan Tape'!$AW186=5),MAX(0,G190-G796-G1099-G1402),0)</f>
        <v>0</v>
      </c>
      <c r="H1705" s="99" t="n">
        <f aca="false">IF(AND('Loan Tape'!$AX186=1,'Loan Tape'!$AW186=6),MAX(0,H190-H796-H1099-H1402),0)</f>
        <v>0</v>
      </c>
      <c r="I1705" s="99" t="n">
        <f aca="false">IF(AND('Loan Tape'!$AX186=1,'Loan Tape'!$AW186=7),MAX(0,I190-I796-I1099-I1402),0)</f>
        <v>0</v>
      </c>
      <c r="J1705" s="99" t="n">
        <f aca="false">IF(AND('Loan Tape'!$AX186=1,'Loan Tape'!$AW186=8),MAX(0,J190-J796-J1099-J1402),0)</f>
        <v>0</v>
      </c>
      <c r="K1705" s="99" t="n">
        <f aca="false">IF(AND('Loan Tape'!$AX186=1,'Loan Tape'!$AW186=9),MAX(0,K190-K796-K1099-K1402),0)</f>
        <v>0</v>
      </c>
      <c r="L1705" s="99" t="n">
        <f aca="false">IF(AND('Loan Tape'!$AX186=1,'Loan Tape'!$AW186=10),MAX(0,L190-L796-L1099-L1402),0)</f>
        <v>0</v>
      </c>
    </row>
    <row r="1706" customFormat="false" ht="15" hidden="false" customHeight="false" outlineLevel="0" collapsed="false">
      <c r="B1706" s="108" t="n">
        <f aca="false">'Loan Tape'!$A187</f>
        <v>0</v>
      </c>
      <c r="C1706" s="71" t="n">
        <f aca="false">IF(AND('Loan Tape'!$AX187=1,'Loan Tape'!$AW187=1),MAX(0,C191-C797-C1100-C1403),0)</f>
        <v>0</v>
      </c>
      <c r="D1706" s="71" t="n">
        <f aca="false">IF(AND('Loan Tape'!$AX187=1,'Loan Tape'!$AW187=2),MAX(0,D191-D797-D1100-D1403),0)</f>
        <v>0</v>
      </c>
      <c r="E1706" s="71" t="n">
        <f aca="false">IF(AND('Loan Tape'!$AX187=1,'Loan Tape'!$AW187=3),MAX(0,E191-E797-E1100-E1403),0)</f>
        <v>0</v>
      </c>
      <c r="F1706" s="71" t="n">
        <f aca="false">IF(AND('Loan Tape'!$AX187=1,'Loan Tape'!$AW187=4),MAX(0,F191-F797-F1100-F1403),0)</f>
        <v>0</v>
      </c>
      <c r="G1706" s="71" t="n">
        <f aca="false">IF(AND('Loan Tape'!$AX187=1,'Loan Tape'!$AW187=5),MAX(0,G191-G797-G1100-G1403),0)</f>
        <v>0</v>
      </c>
      <c r="H1706" s="71" t="n">
        <f aca="false">IF(AND('Loan Tape'!$AX187=1,'Loan Tape'!$AW187=6),MAX(0,H191-H797-H1100-H1403),0)</f>
        <v>0</v>
      </c>
      <c r="I1706" s="71" t="n">
        <f aca="false">IF(AND('Loan Tape'!$AX187=1,'Loan Tape'!$AW187=7),MAX(0,I191-I797-I1100-I1403),0)</f>
        <v>0</v>
      </c>
      <c r="J1706" s="71" t="n">
        <f aca="false">IF(AND('Loan Tape'!$AX187=1,'Loan Tape'!$AW187=8),MAX(0,J191-J797-J1100-J1403),0)</f>
        <v>0</v>
      </c>
      <c r="K1706" s="71" t="n">
        <f aca="false">IF(AND('Loan Tape'!$AX187=1,'Loan Tape'!$AW187=9),MAX(0,K191-K797-K1100-K1403),0)</f>
        <v>0</v>
      </c>
      <c r="L1706" s="71" t="n">
        <f aca="false">IF(AND('Loan Tape'!$AX187=1,'Loan Tape'!$AW187=10),MAX(0,L191-L797-L1100-L1403),0)</f>
        <v>0</v>
      </c>
    </row>
    <row r="1707" customFormat="false" ht="15" hidden="false" customHeight="false" outlineLevel="0" collapsed="false">
      <c r="B1707" s="102" t="n">
        <f aca="false">'Loan Tape'!$A188</f>
        <v>0</v>
      </c>
      <c r="C1707" s="99" t="n">
        <f aca="false">IF(AND('Loan Tape'!$AX188=1,'Loan Tape'!$AW188=1),MAX(0,C192-C798-C1101-C1404),0)</f>
        <v>0</v>
      </c>
      <c r="D1707" s="99" t="n">
        <f aca="false">IF(AND('Loan Tape'!$AX188=1,'Loan Tape'!$AW188=2),MAX(0,D192-D798-D1101-D1404),0)</f>
        <v>0</v>
      </c>
      <c r="E1707" s="99" t="n">
        <f aca="false">IF(AND('Loan Tape'!$AX188=1,'Loan Tape'!$AW188=3),MAX(0,E192-E798-E1101-E1404),0)</f>
        <v>0</v>
      </c>
      <c r="F1707" s="99" t="n">
        <f aca="false">IF(AND('Loan Tape'!$AX188=1,'Loan Tape'!$AW188=4),MAX(0,F192-F798-F1101-F1404),0)</f>
        <v>0</v>
      </c>
      <c r="G1707" s="99" t="n">
        <f aca="false">IF(AND('Loan Tape'!$AX188=1,'Loan Tape'!$AW188=5),MAX(0,G192-G798-G1101-G1404),0)</f>
        <v>0</v>
      </c>
      <c r="H1707" s="99" t="n">
        <f aca="false">IF(AND('Loan Tape'!$AX188=1,'Loan Tape'!$AW188=6),MAX(0,H192-H798-H1101-H1404),0)</f>
        <v>0</v>
      </c>
      <c r="I1707" s="99" t="n">
        <f aca="false">IF(AND('Loan Tape'!$AX188=1,'Loan Tape'!$AW188=7),MAX(0,I192-I798-I1101-I1404),0)</f>
        <v>0</v>
      </c>
      <c r="J1707" s="99" t="n">
        <f aca="false">IF(AND('Loan Tape'!$AX188=1,'Loan Tape'!$AW188=8),MAX(0,J192-J798-J1101-J1404),0)</f>
        <v>0</v>
      </c>
      <c r="K1707" s="99" t="n">
        <f aca="false">IF(AND('Loan Tape'!$AX188=1,'Loan Tape'!$AW188=9),MAX(0,K192-K798-K1101-K1404),0)</f>
        <v>0</v>
      </c>
      <c r="L1707" s="99" t="n">
        <f aca="false">IF(AND('Loan Tape'!$AX188=1,'Loan Tape'!$AW188=10),MAX(0,L192-L798-L1101-L1404),0)</f>
        <v>0</v>
      </c>
    </row>
    <row r="1708" customFormat="false" ht="15" hidden="false" customHeight="false" outlineLevel="0" collapsed="false">
      <c r="B1708" s="108" t="n">
        <f aca="false">'Loan Tape'!$A189</f>
        <v>0</v>
      </c>
      <c r="C1708" s="71" t="n">
        <f aca="false">IF(AND('Loan Tape'!$AX189=1,'Loan Tape'!$AW189=1),MAX(0,C193-C799-C1102-C1405),0)</f>
        <v>0</v>
      </c>
      <c r="D1708" s="71" t="n">
        <f aca="false">IF(AND('Loan Tape'!$AX189=1,'Loan Tape'!$AW189=2),MAX(0,D193-D799-D1102-D1405),0)</f>
        <v>0</v>
      </c>
      <c r="E1708" s="71" t="n">
        <f aca="false">IF(AND('Loan Tape'!$AX189=1,'Loan Tape'!$AW189=3),MAX(0,E193-E799-E1102-E1405),0)</f>
        <v>0</v>
      </c>
      <c r="F1708" s="71" t="n">
        <f aca="false">IF(AND('Loan Tape'!$AX189=1,'Loan Tape'!$AW189=4),MAX(0,F193-F799-F1102-F1405),0)</f>
        <v>0</v>
      </c>
      <c r="G1708" s="71" t="n">
        <f aca="false">IF(AND('Loan Tape'!$AX189=1,'Loan Tape'!$AW189=5),MAX(0,G193-G799-G1102-G1405),0)</f>
        <v>0</v>
      </c>
      <c r="H1708" s="71" t="n">
        <f aca="false">IF(AND('Loan Tape'!$AX189=1,'Loan Tape'!$AW189=6),MAX(0,H193-H799-H1102-H1405),0)</f>
        <v>0</v>
      </c>
      <c r="I1708" s="71" t="n">
        <f aca="false">IF(AND('Loan Tape'!$AX189=1,'Loan Tape'!$AW189=7),MAX(0,I193-I799-I1102-I1405),0)</f>
        <v>0</v>
      </c>
      <c r="J1708" s="71" t="n">
        <f aca="false">IF(AND('Loan Tape'!$AX189=1,'Loan Tape'!$AW189=8),MAX(0,J193-J799-J1102-J1405),0)</f>
        <v>0</v>
      </c>
      <c r="K1708" s="71" t="n">
        <f aca="false">IF(AND('Loan Tape'!$AX189=1,'Loan Tape'!$AW189=9),MAX(0,K193-K799-K1102-K1405),0)</f>
        <v>0</v>
      </c>
      <c r="L1708" s="71" t="n">
        <f aca="false">IF(AND('Loan Tape'!$AX189=1,'Loan Tape'!$AW189=10),MAX(0,L193-L799-L1102-L1405),0)</f>
        <v>0</v>
      </c>
    </row>
    <row r="1709" customFormat="false" ht="15" hidden="false" customHeight="false" outlineLevel="0" collapsed="false">
      <c r="B1709" s="102" t="n">
        <f aca="false">'Loan Tape'!$A190</f>
        <v>0</v>
      </c>
      <c r="C1709" s="99" t="n">
        <f aca="false">IF(AND('Loan Tape'!$AX190=1,'Loan Tape'!$AW190=1),MAX(0,C194-C800-C1103-C1406),0)</f>
        <v>0</v>
      </c>
      <c r="D1709" s="99" t="n">
        <f aca="false">IF(AND('Loan Tape'!$AX190=1,'Loan Tape'!$AW190=2),MAX(0,D194-D800-D1103-D1406),0)</f>
        <v>0</v>
      </c>
      <c r="E1709" s="99" t="n">
        <f aca="false">IF(AND('Loan Tape'!$AX190=1,'Loan Tape'!$AW190=3),MAX(0,E194-E800-E1103-E1406),0)</f>
        <v>0</v>
      </c>
      <c r="F1709" s="99" t="n">
        <f aca="false">IF(AND('Loan Tape'!$AX190=1,'Loan Tape'!$AW190=4),MAX(0,F194-F800-F1103-F1406),0)</f>
        <v>0</v>
      </c>
      <c r="G1709" s="99" t="n">
        <f aca="false">IF(AND('Loan Tape'!$AX190=1,'Loan Tape'!$AW190=5),MAX(0,G194-G800-G1103-G1406),0)</f>
        <v>0</v>
      </c>
      <c r="H1709" s="99" t="n">
        <f aca="false">IF(AND('Loan Tape'!$AX190=1,'Loan Tape'!$AW190=6),MAX(0,H194-H800-H1103-H1406),0)</f>
        <v>0</v>
      </c>
      <c r="I1709" s="99" t="n">
        <f aca="false">IF(AND('Loan Tape'!$AX190=1,'Loan Tape'!$AW190=7),MAX(0,I194-I800-I1103-I1406),0)</f>
        <v>0</v>
      </c>
      <c r="J1709" s="99" t="n">
        <f aca="false">IF(AND('Loan Tape'!$AX190=1,'Loan Tape'!$AW190=8),MAX(0,J194-J800-J1103-J1406),0)</f>
        <v>0</v>
      </c>
      <c r="K1709" s="99" t="n">
        <f aca="false">IF(AND('Loan Tape'!$AX190=1,'Loan Tape'!$AW190=9),MAX(0,K194-K800-K1103-K1406),0)</f>
        <v>0</v>
      </c>
      <c r="L1709" s="99" t="n">
        <f aca="false">IF(AND('Loan Tape'!$AX190=1,'Loan Tape'!$AW190=10),MAX(0,L194-L800-L1103-L1406),0)</f>
        <v>0</v>
      </c>
    </row>
    <row r="1710" customFormat="false" ht="15" hidden="false" customHeight="false" outlineLevel="0" collapsed="false">
      <c r="B1710" s="108" t="n">
        <f aca="false">'Loan Tape'!$A191</f>
        <v>0</v>
      </c>
      <c r="C1710" s="71" t="n">
        <f aca="false">IF(AND('Loan Tape'!$AX191=1,'Loan Tape'!$AW191=1),MAX(0,C195-C801-C1104-C1407),0)</f>
        <v>0</v>
      </c>
      <c r="D1710" s="71" t="n">
        <f aca="false">IF(AND('Loan Tape'!$AX191=1,'Loan Tape'!$AW191=2),MAX(0,D195-D801-D1104-D1407),0)</f>
        <v>0</v>
      </c>
      <c r="E1710" s="71" t="n">
        <f aca="false">IF(AND('Loan Tape'!$AX191=1,'Loan Tape'!$AW191=3),MAX(0,E195-E801-E1104-E1407),0)</f>
        <v>0</v>
      </c>
      <c r="F1710" s="71" t="n">
        <f aca="false">IF(AND('Loan Tape'!$AX191=1,'Loan Tape'!$AW191=4),MAX(0,F195-F801-F1104-F1407),0)</f>
        <v>0</v>
      </c>
      <c r="G1710" s="71" t="n">
        <f aca="false">IF(AND('Loan Tape'!$AX191=1,'Loan Tape'!$AW191=5),MAX(0,G195-G801-G1104-G1407),0)</f>
        <v>0</v>
      </c>
      <c r="H1710" s="71" t="n">
        <f aca="false">IF(AND('Loan Tape'!$AX191=1,'Loan Tape'!$AW191=6),MAX(0,H195-H801-H1104-H1407),0)</f>
        <v>0</v>
      </c>
      <c r="I1710" s="71" t="n">
        <f aca="false">IF(AND('Loan Tape'!$AX191=1,'Loan Tape'!$AW191=7),MAX(0,I195-I801-I1104-I1407),0)</f>
        <v>0</v>
      </c>
      <c r="J1710" s="71" t="n">
        <f aca="false">IF(AND('Loan Tape'!$AX191=1,'Loan Tape'!$AW191=8),MAX(0,J195-J801-J1104-J1407),0)</f>
        <v>0</v>
      </c>
      <c r="K1710" s="71" t="n">
        <f aca="false">IF(AND('Loan Tape'!$AX191=1,'Loan Tape'!$AW191=9),MAX(0,K195-K801-K1104-K1407),0)</f>
        <v>0</v>
      </c>
      <c r="L1710" s="71" t="n">
        <f aca="false">IF(AND('Loan Tape'!$AX191=1,'Loan Tape'!$AW191=10),MAX(0,L195-L801-L1104-L1407),0)</f>
        <v>0</v>
      </c>
    </row>
    <row r="1711" customFormat="false" ht="15" hidden="false" customHeight="false" outlineLevel="0" collapsed="false">
      <c r="B1711" s="102" t="n">
        <f aca="false">'Loan Tape'!$A192</f>
        <v>0</v>
      </c>
      <c r="C1711" s="99" t="n">
        <f aca="false">IF(AND('Loan Tape'!$AX192=1,'Loan Tape'!$AW192=1),MAX(0,C196-C802-C1105-C1408),0)</f>
        <v>0</v>
      </c>
      <c r="D1711" s="99" t="n">
        <f aca="false">IF(AND('Loan Tape'!$AX192=1,'Loan Tape'!$AW192=2),MAX(0,D196-D802-D1105-D1408),0)</f>
        <v>0</v>
      </c>
      <c r="E1711" s="99" t="n">
        <f aca="false">IF(AND('Loan Tape'!$AX192=1,'Loan Tape'!$AW192=3),MAX(0,E196-E802-E1105-E1408),0)</f>
        <v>0</v>
      </c>
      <c r="F1711" s="99" t="n">
        <f aca="false">IF(AND('Loan Tape'!$AX192=1,'Loan Tape'!$AW192=4),MAX(0,F196-F802-F1105-F1408),0)</f>
        <v>0</v>
      </c>
      <c r="G1711" s="99" t="n">
        <f aca="false">IF(AND('Loan Tape'!$AX192=1,'Loan Tape'!$AW192=5),MAX(0,G196-G802-G1105-G1408),0)</f>
        <v>0</v>
      </c>
      <c r="H1711" s="99" t="n">
        <f aca="false">IF(AND('Loan Tape'!$AX192=1,'Loan Tape'!$AW192=6),MAX(0,H196-H802-H1105-H1408),0)</f>
        <v>0</v>
      </c>
      <c r="I1711" s="99" t="n">
        <f aca="false">IF(AND('Loan Tape'!$AX192=1,'Loan Tape'!$AW192=7),MAX(0,I196-I802-I1105-I1408),0)</f>
        <v>0</v>
      </c>
      <c r="J1711" s="99" t="n">
        <f aca="false">IF(AND('Loan Tape'!$AX192=1,'Loan Tape'!$AW192=8),MAX(0,J196-J802-J1105-J1408),0)</f>
        <v>0</v>
      </c>
      <c r="K1711" s="99" t="n">
        <f aca="false">IF(AND('Loan Tape'!$AX192=1,'Loan Tape'!$AW192=9),MAX(0,K196-K802-K1105-K1408),0)</f>
        <v>0</v>
      </c>
      <c r="L1711" s="99" t="n">
        <f aca="false">IF(AND('Loan Tape'!$AX192=1,'Loan Tape'!$AW192=10),MAX(0,L196-L802-L1105-L1408),0)</f>
        <v>0</v>
      </c>
    </row>
    <row r="1712" customFormat="false" ht="15" hidden="false" customHeight="false" outlineLevel="0" collapsed="false">
      <c r="B1712" s="108" t="n">
        <f aca="false">'Loan Tape'!$A193</f>
        <v>0</v>
      </c>
      <c r="C1712" s="71" t="n">
        <f aca="false">IF(AND('Loan Tape'!$AX193=1,'Loan Tape'!$AW193=1),MAX(0,C197-C803-C1106-C1409),0)</f>
        <v>0</v>
      </c>
      <c r="D1712" s="71" t="n">
        <f aca="false">IF(AND('Loan Tape'!$AX193=1,'Loan Tape'!$AW193=2),MAX(0,D197-D803-D1106-D1409),0)</f>
        <v>0</v>
      </c>
      <c r="E1712" s="71" t="n">
        <f aca="false">IF(AND('Loan Tape'!$AX193=1,'Loan Tape'!$AW193=3),MAX(0,E197-E803-E1106-E1409),0)</f>
        <v>0</v>
      </c>
      <c r="F1712" s="71" t="n">
        <f aca="false">IF(AND('Loan Tape'!$AX193=1,'Loan Tape'!$AW193=4),MAX(0,F197-F803-F1106-F1409),0)</f>
        <v>0</v>
      </c>
      <c r="G1712" s="71" t="n">
        <f aca="false">IF(AND('Loan Tape'!$AX193=1,'Loan Tape'!$AW193=5),MAX(0,G197-G803-G1106-G1409),0)</f>
        <v>0</v>
      </c>
      <c r="H1712" s="71" t="n">
        <f aca="false">IF(AND('Loan Tape'!$AX193=1,'Loan Tape'!$AW193=6),MAX(0,H197-H803-H1106-H1409),0)</f>
        <v>0</v>
      </c>
      <c r="I1712" s="71" t="n">
        <f aca="false">IF(AND('Loan Tape'!$AX193=1,'Loan Tape'!$AW193=7),MAX(0,I197-I803-I1106-I1409),0)</f>
        <v>0</v>
      </c>
      <c r="J1712" s="71" t="n">
        <f aca="false">IF(AND('Loan Tape'!$AX193=1,'Loan Tape'!$AW193=8),MAX(0,J197-J803-J1106-J1409),0)</f>
        <v>0</v>
      </c>
      <c r="K1712" s="71" t="n">
        <f aca="false">IF(AND('Loan Tape'!$AX193=1,'Loan Tape'!$AW193=9),MAX(0,K197-K803-K1106-K1409),0)</f>
        <v>0</v>
      </c>
      <c r="L1712" s="71" t="n">
        <f aca="false">IF(AND('Loan Tape'!$AX193=1,'Loan Tape'!$AW193=10),MAX(0,L197-L803-L1106-L1409),0)</f>
        <v>0</v>
      </c>
    </row>
    <row r="1713" customFormat="false" ht="15" hidden="false" customHeight="false" outlineLevel="0" collapsed="false">
      <c r="B1713" s="102" t="n">
        <f aca="false">'Loan Tape'!$A194</f>
        <v>0</v>
      </c>
      <c r="C1713" s="99" t="n">
        <f aca="false">IF(AND('Loan Tape'!$AX194=1,'Loan Tape'!$AW194=1),MAX(0,C198-C804-C1107-C1410),0)</f>
        <v>0</v>
      </c>
      <c r="D1713" s="99" t="n">
        <f aca="false">IF(AND('Loan Tape'!$AX194=1,'Loan Tape'!$AW194=2),MAX(0,D198-D804-D1107-D1410),0)</f>
        <v>0</v>
      </c>
      <c r="E1713" s="99" t="n">
        <f aca="false">IF(AND('Loan Tape'!$AX194=1,'Loan Tape'!$AW194=3),MAX(0,E198-E804-E1107-E1410),0)</f>
        <v>0</v>
      </c>
      <c r="F1713" s="99" t="n">
        <f aca="false">IF(AND('Loan Tape'!$AX194=1,'Loan Tape'!$AW194=4),MAX(0,F198-F804-F1107-F1410),0)</f>
        <v>0</v>
      </c>
      <c r="G1713" s="99" t="n">
        <f aca="false">IF(AND('Loan Tape'!$AX194=1,'Loan Tape'!$AW194=5),MAX(0,G198-G804-G1107-G1410),0)</f>
        <v>0</v>
      </c>
      <c r="H1713" s="99" t="n">
        <f aca="false">IF(AND('Loan Tape'!$AX194=1,'Loan Tape'!$AW194=6),MAX(0,H198-H804-H1107-H1410),0)</f>
        <v>0</v>
      </c>
      <c r="I1713" s="99" t="n">
        <f aca="false">IF(AND('Loan Tape'!$AX194=1,'Loan Tape'!$AW194=7),MAX(0,I198-I804-I1107-I1410),0)</f>
        <v>0</v>
      </c>
      <c r="J1713" s="99" t="n">
        <f aca="false">IF(AND('Loan Tape'!$AX194=1,'Loan Tape'!$AW194=8),MAX(0,J198-J804-J1107-J1410),0)</f>
        <v>0</v>
      </c>
      <c r="K1713" s="99" t="n">
        <f aca="false">IF(AND('Loan Tape'!$AX194=1,'Loan Tape'!$AW194=9),MAX(0,K198-K804-K1107-K1410),0)</f>
        <v>0</v>
      </c>
      <c r="L1713" s="99" t="n">
        <f aca="false">IF(AND('Loan Tape'!$AX194=1,'Loan Tape'!$AW194=10),MAX(0,L198-L804-L1107-L1410),0)</f>
        <v>0</v>
      </c>
    </row>
    <row r="1714" customFormat="false" ht="15" hidden="false" customHeight="false" outlineLevel="0" collapsed="false">
      <c r="B1714" s="108" t="n">
        <f aca="false">'Loan Tape'!$A195</f>
        <v>0</v>
      </c>
      <c r="C1714" s="71" t="n">
        <f aca="false">IF(AND('Loan Tape'!$AX195=1,'Loan Tape'!$AW195=1),MAX(0,C199-C805-C1108-C1411),0)</f>
        <v>0</v>
      </c>
      <c r="D1714" s="71" t="n">
        <f aca="false">IF(AND('Loan Tape'!$AX195=1,'Loan Tape'!$AW195=2),MAX(0,D199-D805-D1108-D1411),0)</f>
        <v>0</v>
      </c>
      <c r="E1714" s="71" t="n">
        <f aca="false">IF(AND('Loan Tape'!$AX195=1,'Loan Tape'!$AW195=3),MAX(0,E199-E805-E1108-E1411),0)</f>
        <v>0</v>
      </c>
      <c r="F1714" s="71" t="n">
        <f aca="false">IF(AND('Loan Tape'!$AX195=1,'Loan Tape'!$AW195=4),MAX(0,F199-F805-F1108-F1411),0)</f>
        <v>0</v>
      </c>
      <c r="G1714" s="71" t="n">
        <f aca="false">IF(AND('Loan Tape'!$AX195=1,'Loan Tape'!$AW195=5),MAX(0,G199-G805-G1108-G1411),0)</f>
        <v>0</v>
      </c>
      <c r="H1714" s="71" t="n">
        <f aca="false">IF(AND('Loan Tape'!$AX195=1,'Loan Tape'!$AW195=6),MAX(0,H199-H805-H1108-H1411),0)</f>
        <v>0</v>
      </c>
      <c r="I1714" s="71" t="n">
        <f aca="false">IF(AND('Loan Tape'!$AX195=1,'Loan Tape'!$AW195=7),MAX(0,I199-I805-I1108-I1411),0)</f>
        <v>0</v>
      </c>
      <c r="J1714" s="71" t="n">
        <f aca="false">IF(AND('Loan Tape'!$AX195=1,'Loan Tape'!$AW195=8),MAX(0,J199-J805-J1108-J1411),0)</f>
        <v>0</v>
      </c>
      <c r="K1714" s="71" t="n">
        <f aca="false">IF(AND('Loan Tape'!$AX195=1,'Loan Tape'!$AW195=9),MAX(0,K199-K805-K1108-K1411),0)</f>
        <v>0</v>
      </c>
      <c r="L1714" s="71" t="n">
        <f aca="false">IF(AND('Loan Tape'!$AX195=1,'Loan Tape'!$AW195=10),MAX(0,L199-L805-L1108-L1411),0)</f>
        <v>0</v>
      </c>
    </row>
    <row r="1715" customFormat="false" ht="15" hidden="false" customHeight="false" outlineLevel="0" collapsed="false">
      <c r="B1715" s="102" t="n">
        <f aca="false">'Loan Tape'!$A196</f>
        <v>0</v>
      </c>
      <c r="C1715" s="99" t="n">
        <f aca="false">IF(AND('Loan Tape'!$AX196=1,'Loan Tape'!$AW196=1),MAX(0,C200-C806-C1109-C1412),0)</f>
        <v>0</v>
      </c>
      <c r="D1715" s="99" t="n">
        <f aca="false">IF(AND('Loan Tape'!$AX196=1,'Loan Tape'!$AW196=2),MAX(0,D200-D806-D1109-D1412),0)</f>
        <v>0</v>
      </c>
      <c r="E1715" s="99" t="n">
        <f aca="false">IF(AND('Loan Tape'!$AX196=1,'Loan Tape'!$AW196=3),MAX(0,E200-E806-E1109-E1412),0)</f>
        <v>0</v>
      </c>
      <c r="F1715" s="99" t="n">
        <f aca="false">IF(AND('Loan Tape'!$AX196=1,'Loan Tape'!$AW196=4),MAX(0,F200-F806-F1109-F1412),0)</f>
        <v>0</v>
      </c>
      <c r="G1715" s="99" t="n">
        <f aca="false">IF(AND('Loan Tape'!$AX196=1,'Loan Tape'!$AW196=5),MAX(0,G200-G806-G1109-G1412),0)</f>
        <v>0</v>
      </c>
      <c r="H1715" s="99" t="n">
        <f aca="false">IF(AND('Loan Tape'!$AX196=1,'Loan Tape'!$AW196=6),MAX(0,H200-H806-H1109-H1412),0)</f>
        <v>0</v>
      </c>
      <c r="I1715" s="99" t="n">
        <f aca="false">IF(AND('Loan Tape'!$AX196=1,'Loan Tape'!$AW196=7),MAX(0,I200-I806-I1109-I1412),0)</f>
        <v>0</v>
      </c>
      <c r="J1715" s="99" t="n">
        <f aca="false">IF(AND('Loan Tape'!$AX196=1,'Loan Tape'!$AW196=8),MAX(0,J200-J806-J1109-J1412),0)</f>
        <v>0</v>
      </c>
      <c r="K1715" s="99" t="n">
        <f aca="false">IF(AND('Loan Tape'!$AX196=1,'Loan Tape'!$AW196=9),MAX(0,K200-K806-K1109-K1412),0)</f>
        <v>0</v>
      </c>
      <c r="L1715" s="99" t="n">
        <f aca="false">IF(AND('Loan Tape'!$AX196=1,'Loan Tape'!$AW196=10),MAX(0,L200-L806-L1109-L1412),0)</f>
        <v>0</v>
      </c>
    </row>
    <row r="1716" customFormat="false" ht="15" hidden="false" customHeight="false" outlineLevel="0" collapsed="false">
      <c r="B1716" s="108" t="n">
        <f aca="false">'Loan Tape'!$A197</f>
        <v>0</v>
      </c>
      <c r="C1716" s="71" t="n">
        <f aca="false">IF(AND('Loan Tape'!$AX197=1,'Loan Tape'!$AW197=1),MAX(0,C201-C807-C1110-C1413),0)</f>
        <v>0</v>
      </c>
      <c r="D1716" s="71" t="n">
        <f aca="false">IF(AND('Loan Tape'!$AX197=1,'Loan Tape'!$AW197=2),MAX(0,D201-D807-D1110-D1413),0)</f>
        <v>0</v>
      </c>
      <c r="E1716" s="71" t="n">
        <f aca="false">IF(AND('Loan Tape'!$AX197=1,'Loan Tape'!$AW197=3),MAX(0,E201-E807-E1110-E1413),0)</f>
        <v>0</v>
      </c>
      <c r="F1716" s="71" t="n">
        <f aca="false">IF(AND('Loan Tape'!$AX197=1,'Loan Tape'!$AW197=4),MAX(0,F201-F807-F1110-F1413),0)</f>
        <v>0</v>
      </c>
      <c r="G1716" s="71" t="n">
        <f aca="false">IF(AND('Loan Tape'!$AX197=1,'Loan Tape'!$AW197=5),MAX(0,G201-G807-G1110-G1413),0)</f>
        <v>0</v>
      </c>
      <c r="H1716" s="71" t="n">
        <f aca="false">IF(AND('Loan Tape'!$AX197=1,'Loan Tape'!$AW197=6),MAX(0,H201-H807-H1110-H1413),0)</f>
        <v>0</v>
      </c>
      <c r="I1716" s="71" t="n">
        <f aca="false">IF(AND('Loan Tape'!$AX197=1,'Loan Tape'!$AW197=7),MAX(0,I201-I807-I1110-I1413),0)</f>
        <v>0</v>
      </c>
      <c r="J1716" s="71" t="n">
        <f aca="false">IF(AND('Loan Tape'!$AX197=1,'Loan Tape'!$AW197=8),MAX(0,J201-J807-J1110-J1413),0)</f>
        <v>0</v>
      </c>
      <c r="K1716" s="71" t="n">
        <f aca="false">IF(AND('Loan Tape'!$AX197=1,'Loan Tape'!$AW197=9),MAX(0,K201-K807-K1110-K1413),0)</f>
        <v>0</v>
      </c>
      <c r="L1716" s="71" t="n">
        <f aca="false">IF(AND('Loan Tape'!$AX197=1,'Loan Tape'!$AW197=10),MAX(0,L201-L807-L1110-L1413),0)</f>
        <v>0</v>
      </c>
    </row>
    <row r="1717" customFormat="false" ht="15" hidden="false" customHeight="false" outlineLevel="0" collapsed="false">
      <c r="B1717" s="102" t="n">
        <f aca="false">'Loan Tape'!$A198</f>
        <v>0</v>
      </c>
      <c r="C1717" s="99" t="n">
        <f aca="false">IF(AND('Loan Tape'!$AX198=1,'Loan Tape'!$AW198=1),MAX(0,C202-C808-C1111-C1414),0)</f>
        <v>0</v>
      </c>
      <c r="D1717" s="99" t="n">
        <f aca="false">IF(AND('Loan Tape'!$AX198=1,'Loan Tape'!$AW198=2),MAX(0,D202-D808-D1111-D1414),0)</f>
        <v>0</v>
      </c>
      <c r="E1717" s="99" t="n">
        <f aca="false">IF(AND('Loan Tape'!$AX198=1,'Loan Tape'!$AW198=3),MAX(0,E202-E808-E1111-E1414),0)</f>
        <v>0</v>
      </c>
      <c r="F1717" s="99" t="n">
        <f aca="false">IF(AND('Loan Tape'!$AX198=1,'Loan Tape'!$AW198=4),MAX(0,F202-F808-F1111-F1414),0)</f>
        <v>0</v>
      </c>
      <c r="G1717" s="99" t="n">
        <f aca="false">IF(AND('Loan Tape'!$AX198=1,'Loan Tape'!$AW198=5),MAX(0,G202-G808-G1111-G1414),0)</f>
        <v>0</v>
      </c>
      <c r="H1717" s="99" t="n">
        <f aca="false">IF(AND('Loan Tape'!$AX198=1,'Loan Tape'!$AW198=6),MAX(0,H202-H808-H1111-H1414),0)</f>
        <v>0</v>
      </c>
      <c r="I1717" s="99" t="n">
        <f aca="false">IF(AND('Loan Tape'!$AX198=1,'Loan Tape'!$AW198=7),MAX(0,I202-I808-I1111-I1414),0)</f>
        <v>0</v>
      </c>
      <c r="J1717" s="99" t="n">
        <f aca="false">IF(AND('Loan Tape'!$AX198=1,'Loan Tape'!$AW198=8),MAX(0,J202-J808-J1111-J1414),0)</f>
        <v>0</v>
      </c>
      <c r="K1717" s="99" t="n">
        <f aca="false">IF(AND('Loan Tape'!$AX198=1,'Loan Tape'!$AW198=9),MAX(0,K202-K808-K1111-K1414),0)</f>
        <v>0</v>
      </c>
      <c r="L1717" s="99" t="n">
        <f aca="false">IF(AND('Loan Tape'!$AX198=1,'Loan Tape'!$AW198=10),MAX(0,L202-L808-L1111-L1414),0)</f>
        <v>0</v>
      </c>
    </row>
    <row r="1718" customFormat="false" ht="15" hidden="false" customHeight="false" outlineLevel="0" collapsed="false">
      <c r="B1718" s="108" t="n">
        <f aca="false">'Loan Tape'!$A199</f>
        <v>0</v>
      </c>
      <c r="C1718" s="71" t="n">
        <f aca="false">IF(AND('Loan Tape'!$AX199=1,'Loan Tape'!$AW199=1),MAX(0,C203-C809-C1112-C1415),0)</f>
        <v>0</v>
      </c>
      <c r="D1718" s="71" t="n">
        <f aca="false">IF(AND('Loan Tape'!$AX199=1,'Loan Tape'!$AW199=2),MAX(0,D203-D809-D1112-D1415),0)</f>
        <v>0</v>
      </c>
      <c r="E1718" s="71" t="n">
        <f aca="false">IF(AND('Loan Tape'!$AX199=1,'Loan Tape'!$AW199=3),MAX(0,E203-E809-E1112-E1415),0)</f>
        <v>0</v>
      </c>
      <c r="F1718" s="71" t="n">
        <f aca="false">IF(AND('Loan Tape'!$AX199=1,'Loan Tape'!$AW199=4),MAX(0,F203-F809-F1112-F1415),0)</f>
        <v>0</v>
      </c>
      <c r="G1718" s="71" t="n">
        <f aca="false">IF(AND('Loan Tape'!$AX199=1,'Loan Tape'!$AW199=5),MAX(0,G203-G809-G1112-G1415),0)</f>
        <v>0</v>
      </c>
      <c r="H1718" s="71" t="n">
        <f aca="false">IF(AND('Loan Tape'!$AX199=1,'Loan Tape'!$AW199=6),MAX(0,H203-H809-H1112-H1415),0)</f>
        <v>0</v>
      </c>
      <c r="I1718" s="71" t="n">
        <f aca="false">IF(AND('Loan Tape'!$AX199=1,'Loan Tape'!$AW199=7),MAX(0,I203-I809-I1112-I1415),0)</f>
        <v>0</v>
      </c>
      <c r="J1718" s="71" t="n">
        <f aca="false">IF(AND('Loan Tape'!$AX199=1,'Loan Tape'!$AW199=8),MAX(0,J203-J809-J1112-J1415),0)</f>
        <v>0</v>
      </c>
      <c r="K1718" s="71" t="n">
        <f aca="false">IF(AND('Loan Tape'!$AX199=1,'Loan Tape'!$AW199=9),MAX(0,K203-K809-K1112-K1415),0)</f>
        <v>0</v>
      </c>
      <c r="L1718" s="71" t="n">
        <f aca="false">IF(AND('Loan Tape'!$AX199=1,'Loan Tape'!$AW199=10),MAX(0,L203-L809-L1112-L1415),0)</f>
        <v>0</v>
      </c>
    </row>
    <row r="1719" customFormat="false" ht="15" hidden="false" customHeight="false" outlineLevel="0" collapsed="false">
      <c r="B1719" s="102" t="n">
        <f aca="false">'Loan Tape'!$A200</f>
        <v>0</v>
      </c>
      <c r="C1719" s="99" t="n">
        <f aca="false">IF(AND('Loan Tape'!$AX200=1,'Loan Tape'!$AW200=1),MAX(0,C204-C810-C1113-C1416),0)</f>
        <v>0</v>
      </c>
      <c r="D1719" s="99" t="n">
        <f aca="false">IF(AND('Loan Tape'!$AX200=1,'Loan Tape'!$AW200=2),MAX(0,D204-D810-D1113-D1416),0)</f>
        <v>0</v>
      </c>
      <c r="E1719" s="99" t="n">
        <f aca="false">IF(AND('Loan Tape'!$AX200=1,'Loan Tape'!$AW200=3),MAX(0,E204-E810-E1113-E1416),0)</f>
        <v>0</v>
      </c>
      <c r="F1719" s="99" t="n">
        <f aca="false">IF(AND('Loan Tape'!$AX200=1,'Loan Tape'!$AW200=4),MAX(0,F204-F810-F1113-F1416),0)</f>
        <v>0</v>
      </c>
      <c r="G1719" s="99" t="n">
        <f aca="false">IF(AND('Loan Tape'!$AX200=1,'Loan Tape'!$AW200=5),MAX(0,G204-G810-G1113-G1416),0)</f>
        <v>0</v>
      </c>
      <c r="H1719" s="99" t="n">
        <f aca="false">IF(AND('Loan Tape'!$AX200=1,'Loan Tape'!$AW200=6),MAX(0,H204-H810-H1113-H1416),0)</f>
        <v>0</v>
      </c>
      <c r="I1719" s="99" t="n">
        <f aca="false">IF(AND('Loan Tape'!$AX200=1,'Loan Tape'!$AW200=7),MAX(0,I204-I810-I1113-I1416),0)</f>
        <v>0</v>
      </c>
      <c r="J1719" s="99" t="n">
        <f aca="false">IF(AND('Loan Tape'!$AX200=1,'Loan Tape'!$AW200=8),MAX(0,J204-J810-J1113-J1416),0)</f>
        <v>0</v>
      </c>
      <c r="K1719" s="99" t="n">
        <f aca="false">IF(AND('Loan Tape'!$AX200=1,'Loan Tape'!$AW200=9),MAX(0,K204-K810-K1113-K1416),0)</f>
        <v>0</v>
      </c>
      <c r="L1719" s="99" t="n">
        <f aca="false">IF(AND('Loan Tape'!$AX200=1,'Loan Tape'!$AW200=10),MAX(0,L204-L810-L1113-L1416),0)</f>
        <v>0</v>
      </c>
    </row>
    <row r="1720" customFormat="false" ht="15" hidden="false" customHeight="false" outlineLevel="0" collapsed="false">
      <c r="B1720" s="108" t="n">
        <f aca="false">'Loan Tape'!$A201</f>
        <v>0</v>
      </c>
      <c r="C1720" s="71" t="n">
        <f aca="false">IF(AND('Loan Tape'!$AX201=1,'Loan Tape'!$AW201=1),MAX(0,C205-C811-C1114-C1417),0)</f>
        <v>0</v>
      </c>
      <c r="D1720" s="71" t="n">
        <f aca="false">IF(AND('Loan Tape'!$AX201=1,'Loan Tape'!$AW201=2),MAX(0,D205-D811-D1114-D1417),0)</f>
        <v>0</v>
      </c>
      <c r="E1720" s="71" t="n">
        <f aca="false">IF(AND('Loan Tape'!$AX201=1,'Loan Tape'!$AW201=3),MAX(0,E205-E811-E1114-E1417),0)</f>
        <v>0</v>
      </c>
      <c r="F1720" s="71" t="n">
        <f aca="false">IF(AND('Loan Tape'!$AX201=1,'Loan Tape'!$AW201=4),MAX(0,F205-F811-F1114-F1417),0)</f>
        <v>0</v>
      </c>
      <c r="G1720" s="71" t="n">
        <f aca="false">IF(AND('Loan Tape'!$AX201=1,'Loan Tape'!$AW201=5),MAX(0,G205-G811-G1114-G1417),0)</f>
        <v>0</v>
      </c>
      <c r="H1720" s="71" t="n">
        <f aca="false">IF(AND('Loan Tape'!$AX201=1,'Loan Tape'!$AW201=6),MAX(0,H205-H811-H1114-H1417),0)</f>
        <v>0</v>
      </c>
      <c r="I1720" s="71" t="n">
        <f aca="false">IF(AND('Loan Tape'!$AX201=1,'Loan Tape'!$AW201=7),MAX(0,I205-I811-I1114-I1417),0)</f>
        <v>0</v>
      </c>
      <c r="J1720" s="71" t="n">
        <f aca="false">IF(AND('Loan Tape'!$AX201=1,'Loan Tape'!$AW201=8),MAX(0,J205-J811-J1114-J1417),0)</f>
        <v>0</v>
      </c>
      <c r="K1720" s="71" t="n">
        <f aca="false">IF(AND('Loan Tape'!$AX201=1,'Loan Tape'!$AW201=9),MAX(0,K205-K811-K1114-K1417),0)</f>
        <v>0</v>
      </c>
      <c r="L1720" s="71" t="n">
        <f aca="false">IF(AND('Loan Tape'!$AX201=1,'Loan Tape'!$AW201=10),MAX(0,L205-L811-L1114-L1417),0)</f>
        <v>0</v>
      </c>
    </row>
    <row r="1721" customFormat="false" ht="15" hidden="false" customHeight="false" outlineLevel="0" collapsed="false">
      <c r="B1721" s="102" t="n">
        <f aca="false">'Loan Tape'!$A202</f>
        <v>0</v>
      </c>
      <c r="C1721" s="99" t="n">
        <f aca="false">IF(AND('Loan Tape'!$AX202=1,'Loan Tape'!$AW202=1),MAX(0,C206-C812-C1115-C1418),0)</f>
        <v>0</v>
      </c>
      <c r="D1721" s="99" t="n">
        <f aca="false">IF(AND('Loan Tape'!$AX202=1,'Loan Tape'!$AW202=2),MAX(0,D206-D812-D1115-D1418),0)</f>
        <v>0</v>
      </c>
      <c r="E1721" s="99" t="n">
        <f aca="false">IF(AND('Loan Tape'!$AX202=1,'Loan Tape'!$AW202=3),MAX(0,E206-E812-E1115-E1418),0)</f>
        <v>0</v>
      </c>
      <c r="F1721" s="99" t="n">
        <f aca="false">IF(AND('Loan Tape'!$AX202=1,'Loan Tape'!$AW202=4),MAX(0,F206-F812-F1115-F1418),0)</f>
        <v>0</v>
      </c>
      <c r="G1721" s="99" t="n">
        <f aca="false">IF(AND('Loan Tape'!$AX202=1,'Loan Tape'!$AW202=5),MAX(0,G206-G812-G1115-G1418),0)</f>
        <v>0</v>
      </c>
      <c r="H1721" s="99" t="n">
        <f aca="false">IF(AND('Loan Tape'!$AX202=1,'Loan Tape'!$AW202=6),MAX(0,H206-H812-H1115-H1418),0)</f>
        <v>0</v>
      </c>
      <c r="I1721" s="99" t="n">
        <f aca="false">IF(AND('Loan Tape'!$AX202=1,'Loan Tape'!$AW202=7),MAX(0,I206-I812-I1115-I1418),0)</f>
        <v>0</v>
      </c>
      <c r="J1721" s="99" t="n">
        <f aca="false">IF(AND('Loan Tape'!$AX202=1,'Loan Tape'!$AW202=8),MAX(0,J206-J812-J1115-J1418),0)</f>
        <v>0</v>
      </c>
      <c r="K1721" s="99" t="n">
        <f aca="false">IF(AND('Loan Tape'!$AX202=1,'Loan Tape'!$AW202=9),MAX(0,K206-K812-K1115-K1418),0)</f>
        <v>0</v>
      </c>
      <c r="L1721" s="99" t="n">
        <f aca="false">IF(AND('Loan Tape'!$AX202=1,'Loan Tape'!$AW202=10),MAX(0,L206-L812-L1115-L1418),0)</f>
        <v>0</v>
      </c>
    </row>
    <row r="1722" customFormat="false" ht="15" hidden="false" customHeight="false" outlineLevel="0" collapsed="false">
      <c r="B1722" s="108" t="n">
        <f aca="false">'Loan Tape'!$A203</f>
        <v>0</v>
      </c>
      <c r="C1722" s="71" t="n">
        <f aca="false">IF(AND('Loan Tape'!$AX203=1,'Loan Tape'!$AW203=1),MAX(0,C207-C813-C1116-C1419),0)</f>
        <v>0</v>
      </c>
      <c r="D1722" s="71" t="n">
        <f aca="false">IF(AND('Loan Tape'!$AX203=1,'Loan Tape'!$AW203=2),MAX(0,D207-D813-D1116-D1419),0)</f>
        <v>0</v>
      </c>
      <c r="E1722" s="71" t="n">
        <f aca="false">IF(AND('Loan Tape'!$AX203=1,'Loan Tape'!$AW203=3),MAX(0,E207-E813-E1116-E1419),0)</f>
        <v>0</v>
      </c>
      <c r="F1722" s="71" t="n">
        <f aca="false">IF(AND('Loan Tape'!$AX203=1,'Loan Tape'!$AW203=4),MAX(0,F207-F813-F1116-F1419),0)</f>
        <v>0</v>
      </c>
      <c r="G1722" s="71" t="n">
        <f aca="false">IF(AND('Loan Tape'!$AX203=1,'Loan Tape'!$AW203=5),MAX(0,G207-G813-G1116-G1419),0)</f>
        <v>0</v>
      </c>
      <c r="H1722" s="71" t="n">
        <f aca="false">IF(AND('Loan Tape'!$AX203=1,'Loan Tape'!$AW203=6),MAX(0,H207-H813-H1116-H1419),0)</f>
        <v>0</v>
      </c>
      <c r="I1722" s="71" t="n">
        <f aca="false">IF(AND('Loan Tape'!$AX203=1,'Loan Tape'!$AW203=7),MAX(0,I207-I813-I1116-I1419),0)</f>
        <v>0</v>
      </c>
      <c r="J1722" s="71" t="n">
        <f aca="false">IF(AND('Loan Tape'!$AX203=1,'Loan Tape'!$AW203=8),MAX(0,J207-J813-J1116-J1419),0)</f>
        <v>0</v>
      </c>
      <c r="K1722" s="71" t="n">
        <f aca="false">IF(AND('Loan Tape'!$AX203=1,'Loan Tape'!$AW203=9),MAX(0,K207-K813-K1116-K1419),0)</f>
        <v>0</v>
      </c>
      <c r="L1722" s="71" t="n">
        <f aca="false">IF(AND('Loan Tape'!$AX203=1,'Loan Tape'!$AW203=10),MAX(0,L207-L813-L1116-L1419),0)</f>
        <v>0</v>
      </c>
    </row>
    <row r="1723" customFormat="false" ht="15" hidden="false" customHeight="false" outlineLevel="0" collapsed="false">
      <c r="B1723" s="102" t="n">
        <f aca="false">'Loan Tape'!$A204</f>
        <v>0</v>
      </c>
      <c r="C1723" s="99" t="n">
        <f aca="false">IF(AND('Loan Tape'!$AX204=1,'Loan Tape'!$AW204=1),MAX(0,C208-C814-C1117-C1420),0)</f>
        <v>0</v>
      </c>
      <c r="D1723" s="99" t="n">
        <f aca="false">IF(AND('Loan Tape'!$AX204=1,'Loan Tape'!$AW204=2),MAX(0,D208-D814-D1117-D1420),0)</f>
        <v>0</v>
      </c>
      <c r="E1723" s="99" t="n">
        <f aca="false">IF(AND('Loan Tape'!$AX204=1,'Loan Tape'!$AW204=3),MAX(0,E208-E814-E1117-E1420),0)</f>
        <v>0</v>
      </c>
      <c r="F1723" s="99" t="n">
        <f aca="false">IF(AND('Loan Tape'!$AX204=1,'Loan Tape'!$AW204=4),MAX(0,F208-F814-F1117-F1420),0)</f>
        <v>0</v>
      </c>
      <c r="G1723" s="99" t="n">
        <f aca="false">IF(AND('Loan Tape'!$AX204=1,'Loan Tape'!$AW204=5),MAX(0,G208-G814-G1117-G1420),0)</f>
        <v>0</v>
      </c>
      <c r="H1723" s="99" t="n">
        <f aca="false">IF(AND('Loan Tape'!$AX204=1,'Loan Tape'!$AW204=6),MAX(0,H208-H814-H1117-H1420),0)</f>
        <v>0</v>
      </c>
      <c r="I1723" s="99" t="n">
        <f aca="false">IF(AND('Loan Tape'!$AX204=1,'Loan Tape'!$AW204=7),MAX(0,I208-I814-I1117-I1420),0)</f>
        <v>0</v>
      </c>
      <c r="J1723" s="99" t="n">
        <f aca="false">IF(AND('Loan Tape'!$AX204=1,'Loan Tape'!$AW204=8),MAX(0,J208-J814-J1117-J1420),0)</f>
        <v>0</v>
      </c>
      <c r="K1723" s="99" t="n">
        <f aca="false">IF(AND('Loan Tape'!$AX204=1,'Loan Tape'!$AW204=9),MAX(0,K208-K814-K1117-K1420),0)</f>
        <v>0</v>
      </c>
      <c r="L1723" s="99" t="n">
        <f aca="false">IF(AND('Loan Tape'!$AX204=1,'Loan Tape'!$AW204=10),MAX(0,L208-L814-L1117-L1420),0)</f>
        <v>0</v>
      </c>
    </row>
    <row r="1724" customFormat="false" ht="15" hidden="false" customHeight="false" outlineLevel="0" collapsed="false">
      <c r="B1724" s="108" t="n">
        <f aca="false">'Loan Tape'!$A205</f>
        <v>0</v>
      </c>
      <c r="C1724" s="71" t="n">
        <f aca="false">IF(AND('Loan Tape'!$AX205=1,'Loan Tape'!$AW205=1),MAX(0,C209-C815-C1118-C1421),0)</f>
        <v>0</v>
      </c>
      <c r="D1724" s="71" t="n">
        <f aca="false">IF(AND('Loan Tape'!$AX205=1,'Loan Tape'!$AW205=2),MAX(0,D209-D815-D1118-D1421),0)</f>
        <v>0</v>
      </c>
      <c r="E1724" s="71" t="n">
        <f aca="false">IF(AND('Loan Tape'!$AX205=1,'Loan Tape'!$AW205=3),MAX(0,E209-E815-E1118-E1421),0)</f>
        <v>0</v>
      </c>
      <c r="F1724" s="71" t="n">
        <f aca="false">IF(AND('Loan Tape'!$AX205=1,'Loan Tape'!$AW205=4),MAX(0,F209-F815-F1118-F1421),0)</f>
        <v>0</v>
      </c>
      <c r="G1724" s="71" t="n">
        <f aca="false">IF(AND('Loan Tape'!$AX205=1,'Loan Tape'!$AW205=5),MAX(0,G209-G815-G1118-G1421),0)</f>
        <v>0</v>
      </c>
      <c r="H1724" s="71" t="n">
        <f aca="false">IF(AND('Loan Tape'!$AX205=1,'Loan Tape'!$AW205=6),MAX(0,H209-H815-H1118-H1421),0)</f>
        <v>0</v>
      </c>
      <c r="I1724" s="71" t="n">
        <f aca="false">IF(AND('Loan Tape'!$AX205=1,'Loan Tape'!$AW205=7),MAX(0,I209-I815-I1118-I1421),0)</f>
        <v>0</v>
      </c>
      <c r="J1724" s="71" t="n">
        <f aca="false">IF(AND('Loan Tape'!$AX205=1,'Loan Tape'!$AW205=8),MAX(0,J209-J815-J1118-J1421),0)</f>
        <v>0</v>
      </c>
      <c r="K1724" s="71" t="n">
        <f aca="false">IF(AND('Loan Tape'!$AX205=1,'Loan Tape'!$AW205=9),MAX(0,K209-K815-K1118-K1421),0)</f>
        <v>0</v>
      </c>
      <c r="L1724" s="71" t="n">
        <f aca="false">IF(AND('Loan Tape'!$AX205=1,'Loan Tape'!$AW205=10),MAX(0,L209-L815-L1118-L1421),0)</f>
        <v>0</v>
      </c>
    </row>
    <row r="1725" customFormat="false" ht="15" hidden="false" customHeight="false" outlineLevel="0" collapsed="false">
      <c r="B1725" s="102" t="n">
        <f aca="false">'Loan Tape'!$A206</f>
        <v>0</v>
      </c>
      <c r="C1725" s="99" t="n">
        <f aca="false">IF(AND('Loan Tape'!$AX206=1,'Loan Tape'!$AW206=1),MAX(0,C210-C816-C1119-C1422),0)</f>
        <v>0</v>
      </c>
      <c r="D1725" s="99" t="n">
        <f aca="false">IF(AND('Loan Tape'!$AX206=1,'Loan Tape'!$AW206=2),MAX(0,D210-D816-D1119-D1422),0)</f>
        <v>0</v>
      </c>
      <c r="E1725" s="99" t="n">
        <f aca="false">IF(AND('Loan Tape'!$AX206=1,'Loan Tape'!$AW206=3),MAX(0,E210-E816-E1119-E1422),0)</f>
        <v>0</v>
      </c>
      <c r="F1725" s="99" t="n">
        <f aca="false">IF(AND('Loan Tape'!$AX206=1,'Loan Tape'!$AW206=4),MAX(0,F210-F816-F1119-F1422),0)</f>
        <v>0</v>
      </c>
      <c r="G1725" s="99" t="n">
        <f aca="false">IF(AND('Loan Tape'!$AX206=1,'Loan Tape'!$AW206=5),MAX(0,G210-G816-G1119-G1422),0)</f>
        <v>0</v>
      </c>
      <c r="H1725" s="99" t="n">
        <f aca="false">IF(AND('Loan Tape'!$AX206=1,'Loan Tape'!$AW206=6),MAX(0,H210-H816-H1119-H1422),0)</f>
        <v>0</v>
      </c>
      <c r="I1725" s="99" t="n">
        <f aca="false">IF(AND('Loan Tape'!$AX206=1,'Loan Tape'!$AW206=7),MAX(0,I210-I816-I1119-I1422),0)</f>
        <v>0</v>
      </c>
      <c r="J1725" s="99" t="n">
        <f aca="false">IF(AND('Loan Tape'!$AX206=1,'Loan Tape'!$AW206=8),MAX(0,J210-J816-J1119-J1422),0)</f>
        <v>0</v>
      </c>
      <c r="K1725" s="99" t="n">
        <f aca="false">IF(AND('Loan Tape'!$AX206=1,'Loan Tape'!$AW206=9),MAX(0,K210-K816-K1119-K1422),0)</f>
        <v>0</v>
      </c>
      <c r="L1725" s="99" t="n">
        <f aca="false">IF(AND('Loan Tape'!$AX206=1,'Loan Tape'!$AW206=10),MAX(0,L210-L816-L1119-L1422),0)</f>
        <v>0</v>
      </c>
    </row>
    <row r="1726" customFormat="false" ht="15" hidden="false" customHeight="false" outlineLevel="0" collapsed="false">
      <c r="B1726" s="108" t="n">
        <f aca="false">'Loan Tape'!$A207</f>
        <v>0</v>
      </c>
      <c r="C1726" s="71" t="n">
        <f aca="false">IF(AND('Loan Tape'!$AX207=1,'Loan Tape'!$AW207=1),MAX(0,C211-C817-C1120-C1423),0)</f>
        <v>0</v>
      </c>
      <c r="D1726" s="71" t="n">
        <f aca="false">IF(AND('Loan Tape'!$AX207=1,'Loan Tape'!$AW207=2),MAX(0,D211-D817-D1120-D1423),0)</f>
        <v>0</v>
      </c>
      <c r="E1726" s="71" t="n">
        <f aca="false">IF(AND('Loan Tape'!$AX207=1,'Loan Tape'!$AW207=3),MAX(0,E211-E817-E1120-E1423),0)</f>
        <v>0</v>
      </c>
      <c r="F1726" s="71" t="n">
        <f aca="false">IF(AND('Loan Tape'!$AX207=1,'Loan Tape'!$AW207=4),MAX(0,F211-F817-F1120-F1423),0)</f>
        <v>0</v>
      </c>
      <c r="G1726" s="71" t="n">
        <f aca="false">IF(AND('Loan Tape'!$AX207=1,'Loan Tape'!$AW207=5),MAX(0,G211-G817-G1120-G1423),0)</f>
        <v>0</v>
      </c>
      <c r="H1726" s="71" t="n">
        <f aca="false">IF(AND('Loan Tape'!$AX207=1,'Loan Tape'!$AW207=6),MAX(0,H211-H817-H1120-H1423),0)</f>
        <v>0</v>
      </c>
      <c r="I1726" s="71" t="n">
        <f aca="false">IF(AND('Loan Tape'!$AX207=1,'Loan Tape'!$AW207=7),MAX(0,I211-I817-I1120-I1423),0)</f>
        <v>0</v>
      </c>
      <c r="J1726" s="71" t="n">
        <f aca="false">IF(AND('Loan Tape'!$AX207=1,'Loan Tape'!$AW207=8),MAX(0,J211-J817-J1120-J1423),0)</f>
        <v>0</v>
      </c>
      <c r="K1726" s="71" t="n">
        <f aca="false">IF(AND('Loan Tape'!$AX207=1,'Loan Tape'!$AW207=9),MAX(0,K211-K817-K1120-K1423),0)</f>
        <v>0</v>
      </c>
      <c r="L1726" s="71" t="n">
        <f aca="false">IF(AND('Loan Tape'!$AX207=1,'Loan Tape'!$AW207=10),MAX(0,L211-L817-L1120-L1423),0)</f>
        <v>0</v>
      </c>
    </row>
    <row r="1727" customFormat="false" ht="15" hidden="false" customHeight="false" outlineLevel="0" collapsed="false">
      <c r="B1727" s="102" t="n">
        <f aca="false">'Loan Tape'!$A208</f>
        <v>0</v>
      </c>
      <c r="C1727" s="99" t="n">
        <f aca="false">IF(AND('Loan Tape'!$AX208=1,'Loan Tape'!$AW208=1),MAX(0,C212-C818-C1121-C1424),0)</f>
        <v>0</v>
      </c>
      <c r="D1727" s="99" t="n">
        <f aca="false">IF(AND('Loan Tape'!$AX208=1,'Loan Tape'!$AW208=2),MAX(0,D212-D818-D1121-D1424),0)</f>
        <v>0</v>
      </c>
      <c r="E1727" s="99" t="n">
        <f aca="false">IF(AND('Loan Tape'!$AX208=1,'Loan Tape'!$AW208=3),MAX(0,E212-E818-E1121-E1424),0)</f>
        <v>0</v>
      </c>
      <c r="F1727" s="99" t="n">
        <f aca="false">IF(AND('Loan Tape'!$AX208=1,'Loan Tape'!$AW208=4),MAX(0,F212-F818-F1121-F1424),0)</f>
        <v>0</v>
      </c>
      <c r="G1727" s="99" t="n">
        <f aca="false">IF(AND('Loan Tape'!$AX208=1,'Loan Tape'!$AW208=5),MAX(0,G212-G818-G1121-G1424),0)</f>
        <v>0</v>
      </c>
      <c r="H1727" s="99" t="n">
        <f aca="false">IF(AND('Loan Tape'!$AX208=1,'Loan Tape'!$AW208=6),MAX(0,H212-H818-H1121-H1424),0)</f>
        <v>0</v>
      </c>
      <c r="I1727" s="99" t="n">
        <f aca="false">IF(AND('Loan Tape'!$AX208=1,'Loan Tape'!$AW208=7),MAX(0,I212-I818-I1121-I1424),0)</f>
        <v>0</v>
      </c>
      <c r="J1727" s="99" t="n">
        <f aca="false">IF(AND('Loan Tape'!$AX208=1,'Loan Tape'!$AW208=8),MAX(0,J212-J818-J1121-J1424),0)</f>
        <v>0</v>
      </c>
      <c r="K1727" s="99" t="n">
        <f aca="false">IF(AND('Loan Tape'!$AX208=1,'Loan Tape'!$AW208=9),MAX(0,K212-K818-K1121-K1424),0)</f>
        <v>0</v>
      </c>
      <c r="L1727" s="99" t="n">
        <f aca="false">IF(AND('Loan Tape'!$AX208=1,'Loan Tape'!$AW208=10),MAX(0,L212-L818-L1121-L1424),0)</f>
        <v>0</v>
      </c>
    </row>
    <row r="1728" customFormat="false" ht="15" hidden="false" customHeight="false" outlineLevel="0" collapsed="false">
      <c r="B1728" s="108" t="n">
        <f aca="false">'Loan Tape'!$A209</f>
        <v>0</v>
      </c>
      <c r="C1728" s="71" t="n">
        <f aca="false">IF(AND('Loan Tape'!$AX209=1,'Loan Tape'!$AW209=1),MAX(0,C213-C819-C1122-C1425),0)</f>
        <v>0</v>
      </c>
      <c r="D1728" s="71" t="n">
        <f aca="false">IF(AND('Loan Tape'!$AX209=1,'Loan Tape'!$AW209=2),MAX(0,D213-D819-D1122-D1425),0)</f>
        <v>0</v>
      </c>
      <c r="E1728" s="71" t="n">
        <f aca="false">IF(AND('Loan Tape'!$AX209=1,'Loan Tape'!$AW209=3),MAX(0,E213-E819-E1122-E1425),0)</f>
        <v>0</v>
      </c>
      <c r="F1728" s="71" t="n">
        <f aca="false">IF(AND('Loan Tape'!$AX209=1,'Loan Tape'!$AW209=4),MAX(0,F213-F819-F1122-F1425),0)</f>
        <v>0</v>
      </c>
      <c r="G1728" s="71" t="n">
        <f aca="false">IF(AND('Loan Tape'!$AX209=1,'Loan Tape'!$AW209=5),MAX(0,G213-G819-G1122-G1425),0)</f>
        <v>0</v>
      </c>
      <c r="H1728" s="71" t="n">
        <f aca="false">IF(AND('Loan Tape'!$AX209=1,'Loan Tape'!$AW209=6),MAX(0,H213-H819-H1122-H1425),0)</f>
        <v>0</v>
      </c>
      <c r="I1728" s="71" t="n">
        <f aca="false">IF(AND('Loan Tape'!$AX209=1,'Loan Tape'!$AW209=7),MAX(0,I213-I819-I1122-I1425),0)</f>
        <v>0</v>
      </c>
      <c r="J1728" s="71" t="n">
        <f aca="false">IF(AND('Loan Tape'!$AX209=1,'Loan Tape'!$AW209=8),MAX(0,J213-J819-J1122-J1425),0)</f>
        <v>0</v>
      </c>
      <c r="K1728" s="71" t="n">
        <f aca="false">IF(AND('Loan Tape'!$AX209=1,'Loan Tape'!$AW209=9),MAX(0,K213-K819-K1122-K1425),0)</f>
        <v>0</v>
      </c>
      <c r="L1728" s="71" t="n">
        <f aca="false">IF(AND('Loan Tape'!$AX209=1,'Loan Tape'!$AW209=10),MAX(0,L213-L819-L1122-L1425),0)</f>
        <v>0</v>
      </c>
    </row>
    <row r="1729" customFormat="false" ht="15" hidden="false" customHeight="false" outlineLevel="0" collapsed="false">
      <c r="B1729" s="102" t="n">
        <f aca="false">'Loan Tape'!$A210</f>
        <v>0</v>
      </c>
      <c r="C1729" s="99" t="n">
        <f aca="false">IF(AND('Loan Tape'!$AX210=1,'Loan Tape'!$AW210=1),MAX(0,C214-C820-C1123-C1426),0)</f>
        <v>0</v>
      </c>
      <c r="D1729" s="99" t="n">
        <f aca="false">IF(AND('Loan Tape'!$AX210=1,'Loan Tape'!$AW210=2),MAX(0,D214-D820-D1123-D1426),0)</f>
        <v>0</v>
      </c>
      <c r="E1729" s="99" t="n">
        <f aca="false">IF(AND('Loan Tape'!$AX210=1,'Loan Tape'!$AW210=3),MAX(0,E214-E820-E1123-E1426),0)</f>
        <v>0</v>
      </c>
      <c r="F1729" s="99" t="n">
        <f aca="false">IF(AND('Loan Tape'!$AX210=1,'Loan Tape'!$AW210=4),MAX(0,F214-F820-F1123-F1426),0)</f>
        <v>0</v>
      </c>
      <c r="G1729" s="99" t="n">
        <f aca="false">IF(AND('Loan Tape'!$AX210=1,'Loan Tape'!$AW210=5),MAX(0,G214-G820-G1123-G1426),0)</f>
        <v>0</v>
      </c>
      <c r="H1729" s="99" t="n">
        <f aca="false">IF(AND('Loan Tape'!$AX210=1,'Loan Tape'!$AW210=6),MAX(0,H214-H820-H1123-H1426),0)</f>
        <v>0</v>
      </c>
      <c r="I1729" s="99" t="n">
        <f aca="false">IF(AND('Loan Tape'!$AX210=1,'Loan Tape'!$AW210=7),MAX(0,I214-I820-I1123-I1426),0)</f>
        <v>0</v>
      </c>
      <c r="J1729" s="99" t="n">
        <f aca="false">IF(AND('Loan Tape'!$AX210=1,'Loan Tape'!$AW210=8),MAX(0,J214-J820-J1123-J1426),0)</f>
        <v>0</v>
      </c>
      <c r="K1729" s="99" t="n">
        <f aca="false">IF(AND('Loan Tape'!$AX210=1,'Loan Tape'!$AW210=9),MAX(0,K214-K820-K1123-K1426),0)</f>
        <v>0</v>
      </c>
      <c r="L1729" s="99" t="n">
        <f aca="false">IF(AND('Loan Tape'!$AX210=1,'Loan Tape'!$AW210=10),MAX(0,L214-L820-L1123-L1426),0)</f>
        <v>0</v>
      </c>
    </row>
    <row r="1730" customFormat="false" ht="15" hidden="false" customHeight="false" outlineLevel="0" collapsed="false">
      <c r="B1730" s="108" t="n">
        <f aca="false">'Loan Tape'!$A211</f>
        <v>0</v>
      </c>
      <c r="C1730" s="71" t="n">
        <f aca="false">IF(AND('Loan Tape'!$AX211=1,'Loan Tape'!$AW211=1),MAX(0,C215-C821-C1124-C1427),0)</f>
        <v>0</v>
      </c>
      <c r="D1730" s="71" t="n">
        <f aca="false">IF(AND('Loan Tape'!$AX211=1,'Loan Tape'!$AW211=2),MAX(0,D215-D821-D1124-D1427),0)</f>
        <v>0</v>
      </c>
      <c r="E1730" s="71" t="n">
        <f aca="false">IF(AND('Loan Tape'!$AX211=1,'Loan Tape'!$AW211=3),MAX(0,E215-E821-E1124-E1427),0)</f>
        <v>0</v>
      </c>
      <c r="F1730" s="71" t="n">
        <f aca="false">IF(AND('Loan Tape'!$AX211=1,'Loan Tape'!$AW211=4),MAX(0,F215-F821-F1124-F1427),0)</f>
        <v>0</v>
      </c>
      <c r="G1730" s="71" t="n">
        <f aca="false">IF(AND('Loan Tape'!$AX211=1,'Loan Tape'!$AW211=5),MAX(0,G215-G821-G1124-G1427),0)</f>
        <v>0</v>
      </c>
      <c r="H1730" s="71" t="n">
        <f aca="false">IF(AND('Loan Tape'!$AX211=1,'Loan Tape'!$AW211=6),MAX(0,H215-H821-H1124-H1427),0)</f>
        <v>0</v>
      </c>
      <c r="I1730" s="71" t="n">
        <f aca="false">IF(AND('Loan Tape'!$AX211=1,'Loan Tape'!$AW211=7),MAX(0,I215-I821-I1124-I1427),0)</f>
        <v>0</v>
      </c>
      <c r="J1730" s="71" t="n">
        <f aca="false">IF(AND('Loan Tape'!$AX211=1,'Loan Tape'!$AW211=8),MAX(0,J215-J821-J1124-J1427),0)</f>
        <v>0</v>
      </c>
      <c r="K1730" s="71" t="n">
        <f aca="false">IF(AND('Loan Tape'!$AX211=1,'Loan Tape'!$AW211=9),MAX(0,K215-K821-K1124-K1427),0)</f>
        <v>0</v>
      </c>
      <c r="L1730" s="71" t="n">
        <f aca="false">IF(AND('Loan Tape'!$AX211=1,'Loan Tape'!$AW211=10),MAX(0,L215-L821-L1124-L1427),0)</f>
        <v>0</v>
      </c>
    </row>
    <row r="1731" customFormat="false" ht="15" hidden="false" customHeight="false" outlineLevel="0" collapsed="false">
      <c r="B1731" s="102" t="n">
        <f aca="false">'Loan Tape'!$A212</f>
        <v>0</v>
      </c>
      <c r="C1731" s="99" t="n">
        <f aca="false">IF(AND('Loan Tape'!$AX212=1,'Loan Tape'!$AW212=1),MAX(0,C216-C822-C1125-C1428),0)</f>
        <v>0</v>
      </c>
      <c r="D1731" s="99" t="n">
        <f aca="false">IF(AND('Loan Tape'!$AX212=1,'Loan Tape'!$AW212=2),MAX(0,D216-D822-D1125-D1428),0)</f>
        <v>0</v>
      </c>
      <c r="E1731" s="99" t="n">
        <f aca="false">IF(AND('Loan Tape'!$AX212=1,'Loan Tape'!$AW212=3),MAX(0,E216-E822-E1125-E1428),0)</f>
        <v>0</v>
      </c>
      <c r="F1731" s="99" t="n">
        <f aca="false">IF(AND('Loan Tape'!$AX212=1,'Loan Tape'!$AW212=4),MAX(0,F216-F822-F1125-F1428),0)</f>
        <v>0</v>
      </c>
      <c r="G1731" s="99" t="n">
        <f aca="false">IF(AND('Loan Tape'!$AX212=1,'Loan Tape'!$AW212=5),MAX(0,G216-G822-G1125-G1428),0)</f>
        <v>0</v>
      </c>
      <c r="H1731" s="99" t="n">
        <f aca="false">IF(AND('Loan Tape'!$AX212=1,'Loan Tape'!$AW212=6),MAX(0,H216-H822-H1125-H1428),0)</f>
        <v>0</v>
      </c>
      <c r="I1731" s="99" t="n">
        <f aca="false">IF(AND('Loan Tape'!$AX212=1,'Loan Tape'!$AW212=7),MAX(0,I216-I822-I1125-I1428),0)</f>
        <v>0</v>
      </c>
      <c r="J1731" s="99" t="n">
        <f aca="false">IF(AND('Loan Tape'!$AX212=1,'Loan Tape'!$AW212=8),MAX(0,J216-J822-J1125-J1428),0)</f>
        <v>0</v>
      </c>
      <c r="K1731" s="99" t="n">
        <f aca="false">IF(AND('Loan Tape'!$AX212=1,'Loan Tape'!$AW212=9),MAX(0,K216-K822-K1125-K1428),0)</f>
        <v>0</v>
      </c>
      <c r="L1731" s="99" t="n">
        <f aca="false">IF(AND('Loan Tape'!$AX212=1,'Loan Tape'!$AW212=10),MAX(0,L216-L822-L1125-L1428),0)</f>
        <v>0</v>
      </c>
    </row>
    <row r="1732" customFormat="false" ht="15" hidden="false" customHeight="false" outlineLevel="0" collapsed="false">
      <c r="B1732" s="108" t="n">
        <f aca="false">'Loan Tape'!$A213</f>
        <v>0</v>
      </c>
      <c r="C1732" s="71" t="n">
        <f aca="false">IF(AND('Loan Tape'!$AX213=1,'Loan Tape'!$AW213=1),MAX(0,C217-C823-C1126-C1429),0)</f>
        <v>0</v>
      </c>
      <c r="D1732" s="71" t="n">
        <f aca="false">IF(AND('Loan Tape'!$AX213=1,'Loan Tape'!$AW213=2),MAX(0,D217-D823-D1126-D1429),0)</f>
        <v>0</v>
      </c>
      <c r="E1732" s="71" t="n">
        <f aca="false">IF(AND('Loan Tape'!$AX213=1,'Loan Tape'!$AW213=3),MAX(0,E217-E823-E1126-E1429),0)</f>
        <v>0</v>
      </c>
      <c r="F1732" s="71" t="n">
        <f aca="false">IF(AND('Loan Tape'!$AX213=1,'Loan Tape'!$AW213=4),MAX(0,F217-F823-F1126-F1429),0)</f>
        <v>0</v>
      </c>
      <c r="G1732" s="71" t="n">
        <f aca="false">IF(AND('Loan Tape'!$AX213=1,'Loan Tape'!$AW213=5),MAX(0,G217-G823-G1126-G1429),0)</f>
        <v>0</v>
      </c>
      <c r="H1732" s="71" t="n">
        <f aca="false">IF(AND('Loan Tape'!$AX213=1,'Loan Tape'!$AW213=6),MAX(0,H217-H823-H1126-H1429),0)</f>
        <v>0</v>
      </c>
      <c r="I1732" s="71" t="n">
        <f aca="false">IF(AND('Loan Tape'!$AX213=1,'Loan Tape'!$AW213=7),MAX(0,I217-I823-I1126-I1429),0)</f>
        <v>0</v>
      </c>
      <c r="J1732" s="71" t="n">
        <f aca="false">IF(AND('Loan Tape'!$AX213=1,'Loan Tape'!$AW213=8),MAX(0,J217-J823-J1126-J1429),0)</f>
        <v>0</v>
      </c>
      <c r="K1732" s="71" t="n">
        <f aca="false">IF(AND('Loan Tape'!$AX213=1,'Loan Tape'!$AW213=9),MAX(0,K217-K823-K1126-K1429),0)</f>
        <v>0</v>
      </c>
      <c r="L1732" s="71" t="n">
        <f aca="false">IF(AND('Loan Tape'!$AX213=1,'Loan Tape'!$AW213=10),MAX(0,L217-L823-L1126-L1429),0)</f>
        <v>0</v>
      </c>
    </row>
    <row r="1733" customFormat="false" ht="15" hidden="false" customHeight="false" outlineLevel="0" collapsed="false">
      <c r="B1733" s="102" t="n">
        <f aca="false">'Loan Tape'!$A214</f>
        <v>0</v>
      </c>
      <c r="C1733" s="99" t="n">
        <f aca="false">IF(AND('Loan Tape'!$AX214=1,'Loan Tape'!$AW214=1),MAX(0,C218-C824-C1127-C1430),0)</f>
        <v>0</v>
      </c>
      <c r="D1733" s="99" t="n">
        <f aca="false">IF(AND('Loan Tape'!$AX214=1,'Loan Tape'!$AW214=2),MAX(0,D218-D824-D1127-D1430),0)</f>
        <v>0</v>
      </c>
      <c r="E1733" s="99" t="n">
        <f aca="false">IF(AND('Loan Tape'!$AX214=1,'Loan Tape'!$AW214=3),MAX(0,E218-E824-E1127-E1430),0)</f>
        <v>0</v>
      </c>
      <c r="F1733" s="99" t="n">
        <f aca="false">IF(AND('Loan Tape'!$AX214=1,'Loan Tape'!$AW214=4),MAX(0,F218-F824-F1127-F1430),0)</f>
        <v>0</v>
      </c>
      <c r="G1733" s="99" t="n">
        <f aca="false">IF(AND('Loan Tape'!$AX214=1,'Loan Tape'!$AW214=5),MAX(0,G218-G824-G1127-G1430),0)</f>
        <v>0</v>
      </c>
      <c r="H1733" s="99" t="n">
        <f aca="false">IF(AND('Loan Tape'!$AX214=1,'Loan Tape'!$AW214=6),MAX(0,H218-H824-H1127-H1430),0)</f>
        <v>0</v>
      </c>
      <c r="I1733" s="99" t="n">
        <f aca="false">IF(AND('Loan Tape'!$AX214=1,'Loan Tape'!$AW214=7),MAX(0,I218-I824-I1127-I1430),0)</f>
        <v>0</v>
      </c>
      <c r="J1733" s="99" t="n">
        <f aca="false">IF(AND('Loan Tape'!$AX214=1,'Loan Tape'!$AW214=8),MAX(0,J218-J824-J1127-J1430),0)</f>
        <v>0</v>
      </c>
      <c r="K1733" s="99" t="n">
        <f aca="false">IF(AND('Loan Tape'!$AX214=1,'Loan Tape'!$AW214=9),MAX(0,K218-K824-K1127-K1430),0)</f>
        <v>0</v>
      </c>
      <c r="L1733" s="99" t="n">
        <f aca="false">IF(AND('Loan Tape'!$AX214=1,'Loan Tape'!$AW214=10),MAX(0,L218-L824-L1127-L1430),0)</f>
        <v>0</v>
      </c>
    </row>
    <row r="1734" customFormat="false" ht="15" hidden="false" customHeight="false" outlineLevel="0" collapsed="false">
      <c r="B1734" s="108" t="n">
        <f aca="false">'Loan Tape'!$A215</f>
        <v>0</v>
      </c>
      <c r="C1734" s="71" t="n">
        <f aca="false">IF(AND('Loan Tape'!$AX215=1,'Loan Tape'!$AW215=1),MAX(0,C219-C825-C1128-C1431),0)</f>
        <v>0</v>
      </c>
      <c r="D1734" s="71" t="n">
        <f aca="false">IF(AND('Loan Tape'!$AX215=1,'Loan Tape'!$AW215=2),MAX(0,D219-D825-D1128-D1431),0)</f>
        <v>0</v>
      </c>
      <c r="E1734" s="71" t="n">
        <f aca="false">IF(AND('Loan Tape'!$AX215=1,'Loan Tape'!$AW215=3),MAX(0,E219-E825-E1128-E1431),0)</f>
        <v>0</v>
      </c>
      <c r="F1734" s="71" t="n">
        <f aca="false">IF(AND('Loan Tape'!$AX215=1,'Loan Tape'!$AW215=4),MAX(0,F219-F825-F1128-F1431),0)</f>
        <v>0</v>
      </c>
      <c r="G1734" s="71" t="n">
        <f aca="false">IF(AND('Loan Tape'!$AX215=1,'Loan Tape'!$AW215=5),MAX(0,G219-G825-G1128-G1431),0)</f>
        <v>0</v>
      </c>
      <c r="H1734" s="71" t="n">
        <f aca="false">IF(AND('Loan Tape'!$AX215=1,'Loan Tape'!$AW215=6),MAX(0,H219-H825-H1128-H1431),0)</f>
        <v>0</v>
      </c>
      <c r="I1734" s="71" t="n">
        <f aca="false">IF(AND('Loan Tape'!$AX215=1,'Loan Tape'!$AW215=7),MAX(0,I219-I825-I1128-I1431),0)</f>
        <v>0</v>
      </c>
      <c r="J1734" s="71" t="n">
        <f aca="false">IF(AND('Loan Tape'!$AX215=1,'Loan Tape'!$AW215=8),MAX(0,J219-J825-J1128-J1431),0)</f>
        <v>0</v>
      </c>
      <c r="K1734" s="71" t="n">
        <f aca="false">IF(AND('Loan Tape'!$AX215=1,'Loan Tape'!$AW215=9),MAX(0,K219-K825-K1128-K1431),0)</f>
        <v>0</v>
      </c>
      <c r="L1734" s="71" t="n">
        <f aca="false">IF(AND('Loan Tape'!$AX215=1,'Loan Tape'!$AW215=10),MAX(0,L219-L825-L1128-L1431),0)</f>
        <v>0</v>
      </c>
    </row>
    <row r="1735" customFormat="false" ht="15" hidden="false" customHeight="false" outlineLevel="0" collapsed="false">
      <c r="B1735" s="102" t="n">
        <f aca="false">'Loan Tape'!$A216</f>
        <v>0</v>
      </c>
      <c r="C1735" s="99" t="n">
        <f aca="false">IF(AND('Loan Tape'!$AX216=1,'Loan Tape'!$AW216=1),MAX(0,C220-C826-C1129-C1432),0)</f>
        <v>0</v>
      </c>
      <c r="D1735" s="99" t="n">
        <f aca="false">IF(AND('Loan Tape'!$AX216=1,'Loan Tape'!$AW216=2),MAX(0,D220-D826-D1129-D1432),0)</f>
        <v>0</v>
      </c>
      <c r="E1735" s="99" t="n">
        <f aca="false">IF(AND('Loan Tape'!$AX216=1,'Loan Tape'!$AW216=3),MAX(0,E220-E826-E1129-E1432),0)</f>
        <v>0</v>
      </c>
      <c r="F1735" s="99" t="n">
        <f aca="false">IF(AND('Loan Tape'!$AX216=1,'Loan Tape'!$AW216=4),MAX(0,F220-F826-F1129-F1432),0)</f>
        <v>0</v>
      </c>
      <c r="G1735" s="99" t="n">
        <f aca="false">IF(AND('Loan Tape'!$AX216=1,'Loan Tape'!$AW216=5),MAX(0,G220-G826-G1129-G1432),0)</f>
        <v>0</v>
      </c>
      <c r="H1735" s="99" t="n">
        <f aca="false">IF(AND('Loan Tape'!$AX216=1,'Loan Tape'!$AW216=6),MAX(0,H220-H826-H1129-H1432),0)</f>
        <v>0</v>
      </c>
      <c r="I1735" s="99" t="n">
        <f aca="false">IF(AND('Loan Tape'!$AX216=1,'Loan Tape'!$AW216=7),MAX(0,I220-I826-I1129-I1432),0)</f>
        <v>0</v>
      </c>
      <c r="J1735" s="99" t="n">
        <f aca="false">IF(AND('Loan Tape'!$AX216=1,'Loan Tape'!$AW216=8),MAX(0,J220-J826-J1129-J1432),0)</f>
        <v>0</v>
      </c>
      <c r="K1735" s="99" t="n">
        <f aca="false">IF(AND('Loan Tape'!$AX216=1,'Loan Tape'!$AW216=9),MAX(0,K220-K826-K1129-K1432),0)</f>
        <v>0</v>
      </c>
      <c r="L1735" s="99" t="n">
        <f aca="false">IF(AND('Loan Tape'!$AX216=1,'Loan Tape'!$AW216=10),MAX(0,L220-L826-L1129-L1432),0)</f>
        <v>0</v>
      </c>
    </row>
    <row r="1736" customFormat="false" ht="15" hidden="false" customHeight="false" outlineLevel="0" collapsed="false">
      <c r="B1736" s="108" t="n">
        <f aca="false">'Loan Tape'!$A217</f>
        <v>0</v>
      </c>
      <c r="C1736" s="71" t="n">
        <f aca="false">IF(AND('Loan Tape'!$AX217=1,'Loan Tape'!$AW217=1),MAX(0,C221-C827-C1130-C1433),0)</f>
        <v>0</v>
      </c>
      <c r="D1736" s="71" t="n">
        <f aca="false">IF(AND('Loan Tape'!$AX217=1,'Loan Tape'!$AW217=2),MAX(0,D221-D827-D1130-D1433),0)</f>
        <v>0</v>
      </c>
      <c r="E1736" s="71" t="n">
        <f aca="false">IF(AND('Loan Tape'!$AX217=1,'Loan Tape'!$AW217=3),MAX(0,E221-E827-E1130-E1433),0)</f>
        <v>0</v>
      </c>
      <c r="F1736" s="71" t="n">
        <f aca="false">IF(AND('Loan Tape'!$AX217=1,'Loan Tape'!$AW217=4),MAX(0,F221-F827-F1130-F1433),0)</f>
        <v>0</v>
      </c>
      <c r="G1736" s="71" t="n">
        <f aca="false">IF(AND('Loan Tape'!$AX217=1,'Loan Tape'!$AW217=5),MAX(0,G221-G827-G1130-G1433),0)</f>
        <v>0</v>
      </c>
      <c r="H1736" s="71" t="n">
        <f aca="false">IF(AND('Loan Tape'!$AX217=1,'Loan Tape'!$AW217=6),MAX(0,H221-H827-H1130-H1433),0)</f>
        <v>0</v>
      </c>
      <c r="I1736" s="71" t="n">
        <f aca="false">IF(AND('Loan Tape'!$AX217=1,'Loan Tape'!$AW217=7),MAX(0,I221-I827-I1130-I1433),0)</f>
        <v>0</v>
      </c>
      <c r="J1736" s="71" t="n">
        <f aca="false">IF(AND('Loan Tape'!$AX217=1,'Loan Tape'!$AW217=8),MAX(0,J221-J827-J1130-J1433),0)</f>
        <v>0</v>
      </c>
      <c r="K1736" s="71" t="n">
        <f aca="false">IF(AND('Loan Tape'!$AX217=1,'Loan Tape'!$AW217=9),MAX(0,K221-K827-K1130-K1433),0)</f>
        <v>0</v>
      </c>
      <c r="L1736" s="71" t="n">
        <f aca="false">IF(AND('Loan Tape'!$AX217=1,'Loan Tape'!$AW217=10),MAX(0,L221-L827-L1130-L1433),0)</f>
        <v>0</v>
      </c>
    </row>
    <row r="1737" customFormat="false" ht="15" hidden="false" customHeight="false" outlineLevel="0" collapsed="false">
      <c r="B1737" s="102" t="n">
        <f aca="false">'Loan Tape'!$A218</f>
        <v>0</v>
      </c>
      <c r="C1737" s="99" t="n">
        <f aca="false">IF(AND('Loan Tape'!$AX218=1,'Loan Tape'!$AW218=1),MAX(0,C222-C828-C1131-C1434),0)</f>
        <v>0</v>
      </c>
      <c r="D1737" s="99" t="n">
        <f aca="false">IF(AND('Loan Tape'!$AX218=1,'Loan Tape'!$AW218=2),MAX(0,D222-D828-D1131-D1434),0)</f>
        <v>0</v>
      </c>
      <c r="E1737" s="99" t="n">
        <f aca="false">IF(AND('Loan Tape'!$AX218=1,'Loan Tape'!$AW218=3),MAX(0,E222-E828-E1131-E1434),0)</f>
        <v>0</v>
      </c>
      <c r="F1737" s="99" t="n">
        <f aca="false">IF(AND('Loan Tape'!$AX218=1,'Loan Tape'!$AW218=4),MAX(0,F222-F828-F1131-F1434),0)</f>
        <v>0</v>
      </c>
      <c r="G1737" s="99" t="n">
        <f aca="false">IF(AND('Loan Tape'!$AX218=1,'Loan Tape'!$AW218=5),MAX(0,G222-G828-G1131-G1434),0)</f>
        <v>0</v>
      </c>
      <c r="H1737" s="99" t="n">
        <f aca="false">IF(AND('Loan Tape'!$AX218=1,'Loan Tape'!$AW218=6),MAX(0,H222-H828-H1131-H1434),0)</f>
        <v>0</v>
      </c>
      <c r="I1737" s="99" t="n">
        <f aca="false">IF(AND('Loan Tape'!$AX218=1,'Loan Tape'!$AW218=7),MAX(0,I222-I828-I1131-I1434),0)</f>
        <v>0</v>
      </c>
      <c r="J1737" s="99" t="n">
        <f aca="false">IF(AND('Loan Tape'!$AX218=1,'Loan Tape'!$AW218=8),MAX(0,J222-J828-J1131-J1434),0)</f>
        <v>0</v>
      </c>
      <c r="K1737" s="99" t="n">
        <f aca="false">IF(AND('Loan Tape'!$AX218=1,'Loan Tape'!$AW218=9),MAX(0,K222-K828-K1131-K1434),0)</f>
        <v>0</v>
      </c>
      <c r="L1737" s="99" t="n">
        <f aca="false">IF(AND('Loan Tape'!$AX218=1,'Loan Tape'!$AW218=10),MAX(0,L222-L828-L1131-L1434),0)</f>
        <v>0</v>
      </c>
    </row>
    <row r="1738" customFormat="false" ht="15" hidden="false" customHeight="false" outlineLevel="0" collapsed="false">
      <c r="B1738" s="108" t="n">
        <f aca="false">'Loan Tape'!$A219</f>
        <v>0</v>
      </c>
      <c r="C1738" s="71" t="n">
        <f aca="false">IF(AND('Loan Tape'!$AX219=1,'Loan Tape'!$AW219=1),MAX(0,C223-C829-C1132-C1435),0)</f>
        <v>0</v>
      </c>
      <c r="D1738" s="71" t="n">
        <f aca="false">IF(AND('Loan Tape'!$AX219=1,'Loan Tape'!$AW219=2),MAX(0,D223-D829-D1132-D1435),0)</f>
        <v>0</v>
      </c>
      <c r="E1738" s="71" t="n">
        <f aca="false">IF(AND('Loan Tape'!$AX219=1,'Loan Tape'!$AW219=3),MAX(0,E223-E829-E1132-E1435),0)</f>
        <v>0</v>
      </c>
      <c r="F1738" s="71" t="n">
        <f aca="false">IF(AND('Loan Tape'!$AX219=1,'Loan Tape'!$AW219=4),MAX(0,F223-F829-F1132-F1435),0)</f>
        <v>0</v>
      </c>
      <c r="G1738" s="71" t="n">
        <f aca="false">IF(AND('Loan Tape'!$AX219=1,'Loan Tape'!$AW219=5),MAX(0,G223-G829-G1132-G1435),0)</f>
        <v>0</v>
      </c>
      <c r="H1738" s="71" t="n">
        <f aca="false">IF(AND('Loan Tape'!$AX219=1,'Loan Tape'!$AW219=6),MAX(0,H223-H829-H1132-H1435),0)</f>
        <v>0</v>
      </c>
      <c r="I1738" s="71" t="n">
        <f aca="false">IF(AND('Loan Tape'!$AX219=1,'Loan Tape'!$AW219=7),MAX(0,I223-I829-I1132-I1435),0)</f>
        <v>0</v>
      </c>
      <c r="J1738" s="71" t="n">
        <f aca="false">IF(AND('Loan Tape'!$AX219=1,'Loan Tape'!$AW219=8),MAX(0,J223-J829-J1132-J1435),0)</f>
        <v>0</v>
      </c>
      <c r="K1738" s="71" t="n">
        <f aca="false">IF(AND('Loan Tape'!$AX219=1,'Loan Tape'!$AW219=9),MAX(0,K223-K829-K1132-K1435),0)</f>
        <v>0</v>
      </c>
      <c r="L1738" s="71" t="n">
        <f aca="false">IF(AND('Loan Tape'!$AX219=1,'Loan Tape'!$AW219=10),MAX(0,L223-L829-L1132-L1435),0)</f>
        <v>0</v>
      </c>
    </row>
    <row r="1739" customFormat="false" ht="15" hidden="false" customHeight="false" outlineLevel="0" collapsed="false">
      <c r="B1739" s="102" t="n">
        <f aca="false">'Loan Tape'!$A220</f>
        <v>0</v>
      </c>
      <c r="C1739" s="99" t="n">
        <f aca="false">IF(AND('Loan Tape'!$AX220=1,'Loan Tape'!$AW220=1),MAX(0,C224-C830-C1133-C1436),0)</f>
        <v>0</v>
      </c>
      <c r="D1739" s="99" t="n">
        <f aca="false">IF(AND('Loan Tape'!$AX220=1,'Loan Tape'!$AW220=2),MAX(0,D224-D830-D1133-D1436),0)</f>
        <v>0</v>
      </c>
      <c r="E1739" s="99" t="n">
        <f aca="false">IF(AND('Loan Tape'!$AX220=1,'Loan Tape'!$AW220=3),MAX(0,E224-E830-E1133-E1436),0)</f>
        <v>0</v>
      </c>
      <c r="F1739" s="99" t="n">
        <f aca="false">IF(AND('Loan Tape'!$AX220=1,'Loan Tape'!$AW220=4),MAX(0,F224-F830-F1133-F1436),0)</f>
        <v>0</v>
      </c>
      <c r="G1739" s="99" t="n">
        <f aca="false">IF(AND('Loan Tape'!$AX220=1,'Loan Tape'!$AW220=5),MAX(0,G224-G830-G1133-G1436),0)</f>
        <v>0</v>
      </c>
      <c r="H1739" s="99" t="n">
        <f aca="false">IF(AND('Loan Tape'!$AX220=1,'Loan Tape'!$AW220=6),MAX(0,H224-H830-H1133-H1436),0)</f>
        <v>0</v>
      </c>
      <c r="I1739" s="99" t="n">
        <f aca="false">IF(AND('Loan Tape'!$AX220=1,'Loan Tape'!$AW220=7),MAX(0,I224-I830-I1133-I1436),0)</f>
        <v>0</v>
      </c>
      <c r="J1739" s="99" t="n">
        <f aca="false">IF(AND('Loan Tape'!$AX220=1,'Loan Tape'!$AW220=8),MAX(0,J224-J830-J1133-J1436),0)</f>
        <v>0</v>
      </c>
      <c r="K1739" s="99" t="n">
        <f aca="false">IF(AND('Loan Tape'!$AX220=1,'Loan Tape'!$AW220=9),MAX(0,K224-K830-K1133-K1436),0)</f>
        <v>0</v>
      </c>
      <c r="L1739" s="99" t="n">
        <f aca="false">IF(AND('Loan Tape'!$AX220=1,'Loan Tape'!$AW220=10),MAX(0,L224-L830-L1133-L1436),0)</f>
        <v>0</v>
      </c>
    </row>
    <row r="1740" customFormat="false" ht="15" hidden="false" customHeight="false" outlineLevel="0" collapsed="false">
      <c r="B1740" s="108" t="n">
        <f aca="false">'Loan Tape'!$A221</f>
        <v>0</v>
      </c>
      <c r="C1740" s="71" t="n">
        <f aca="false">IF(AND('Loan Tape'!$AX221=1,'Loan Tape'!$AW221=1),MAX(0,C225-C831-C1134-C1437),0)</f>
        <v>0</v>
      </c>
      <c r="D1740" s="71" t="n">
        <f aca="false">IF(AND('Loan Tape'!$AX221=1,'Loan Tape'!$AW221=2),MAX(0,D225-D831-D1134-D1437),0)</f>
        <v>0</v>
      </c>
      <c r="E1740" s="71" t="n">
        <f aca="false">IF(AND('Loan Tape'!$AX221=1,'Loan Tape'!$AW221=3),MAX(0,E225-E831-E1134-E1437),0)</f>
        <v>0</v>
      </c>
      <c r="F1740" s="71" t="n">
        <f aca="false">IF(AND('Loan Tape'!$AX221=1,'Loan Tape'!$AW221=4),MAX(0,F225-F831-F1134-F1437),0)</f>
        <v>0</v>
      </c>
      <c r="G1740" s="71" t="n">
        <f aca="false">IF(AND('Loan Tape'!$AX221=1,'Loan Tape'!$AW221=5),MAX(0,G225-G831-G1134-G1437),0)</f>
        <v>0</v>
      </c>
      <c r="H1740" s="71" t="n">
        <f aca="false">IF(AND('Loan Tape'!$AX221=1,'Loan Tape'!$AW221=6),MAX(0,H225-H831-H1134-H1437),0)</f>
        <v>0</v>
      </c>
      <c r="I1740" s="71" t="n">
        <f aca="false">IF(AND('Loan Tape'!$AX221=1,'Loan Tape'!$AW221=7),MAX(0,I225-I831-I1134-I1437),0)</f>
        <v>0</v>
      </c>
      <c r="J1740" s="71" t="n">
        <f aca="false">IF(AND('Loan Tape'!$AX221=1,'Loan Tape'!$AW221=8),MAX(0,J225-J831-J1134-J1437),0)</f>
        <v>0</v>
      </c>
      <c r="K1740" s="71" t="n">
        <f aca="false">IF(AND('Loan Tape'!$AX221=1,'Loan Tape'!$AW221=9),MAX(0,K225-K831-K1134-K1437),0)</f>
        <v>0</v>
      </c>
      <c r="L1740" s="71" t="n">
        <f aca="false">IF(AND('Loan Tape'!$AX221=1,'Loan Tape'!$AW221=10),MAX(0,L225-L831-L1134-L1437),0)</f>
        <v>0</v>
      </c>
    </row>
    <row r="1741" customFormat="false" ht="15" hidden="false" customHeight="false" outlineLevel="0" collapsed="false">
      <c r="B1741" s="102" t="n">
        <f aca="false">'Loan Tape'!$A222</f>
        <v>0</v>
      </c>
      <c r="C1741" s="99" t="n">
        <f aca="false">IF(AND('Loan Tape'!$AX222=1,'Loan Tape'!$AW222=1),MAX(0,C226-C832-C1135-C1438),0)</f>
        <v>0</v>
      </c>
      <c r="D1741" s="99" t="n">
        <f aca="false">IF(AND('Loan Tape'!$AX222=1,'Loan Tape'!$AW222=2),MAX(0,D226-D832-D1135-D1438),0)</f>
        <v>0</v>
      </c>
      <c r="E1741" s="99" t="n">
        <f aca="false">IF(AND('Loan Tape'!$AX222=1,'Loan Tape'!$AW222=3),MAX(0,E226-E832-E1135-E1438),0)</f>
        <v>0</v>
      </c>
      <c r="F1741" s="99" t="n">
        <f aca="false">IF(AND('Loan Tape'!$AX222=1,'Loan Tape'!$AW222=4),MAX(0,F226-F832-F1135-F1438),0)</f>
        <v>0</v>
      </c>
      <c r="G1741" s="99" t="n">
        <f aca="false">IF(AND('Loan Tape'!$AX222=1,'Loan Tape'!$AW222=5),MAX(0,G226-G832-G1135-G1438),0)</f>
        <v>0</v>
      </c>
      <c r="H1741" s="99" t="n">
        <f aca="false">IF(AND('Loan Tape'!$AX222=1,'Loan Tape'!$AW222=6),MAX(0,H226-H832-H1135-H1438),0)</f>
        <v>0</v>
      </c>
      <c r="I1741" s="99" t="n">
        <f aca="false">IF(AND('Loan Tape'!$AX222=1,'Loan Tape'!$AW222=7),MAX(0,I226-I832-I1135-I1438),0)</f>
        <v>0</v>
      </c>
      <c r="J1741" s="99" t="n">
        <f aca="false">IF(AND('Loan Tape'!$AX222=1,'Loan Tape'!$AW222=8),MAX(0,J226-J832-J1135-J1438),0)</f>
        <v>0</v>
      </c>
      <c r="K1741" s="99" t="n">
        <f aca="false">IF(AND('Loan Tape'!$AX222=1,'Loan Tape'!$AW222=9),MAX(0,K226-K832-K1135-K1438),0)</f>
        <v>0</v>
      </c>
      <c r="L1741" s="99" t="n">
        <f aca="false">IF(AND('Loan Tape'!$AX222=1,'Loan Tape'!$AW222=10),MAX(0,L226-L832-L1135-L1438),0)</f>
        <v>0</v>
      </c>
    </row>
    <row r="1742" customFormat="false" ht="15" hidden="false" customHeight="false" outlineLevel="0" collapsed="false">
      <c r="B1742" s="108" t="n">
        <f aca="false">'Loan Tape'!$A223</f>
        <v>0</v>
      </c>
      <c r="C1742" s="71" t="n">
        <f aca="false">IF(AND('Loan Tape'!$AX223=1,'Loan Tape'!$AW223=1),MAX(0,C227-C833-C1136-C1439),0)</f>
        <v>0</v>
      </c>
      <c r="D1742" s="71" t="n">
        <f aca="false">IF(AND('Loan Tape'!$AX223=1,'Loan Tape'!$AW223=2),MAX(0,D227-D833-D1136-D1439),0)</f>
        <v>0</v>
      </c>
      <c r="E1742" s="71" t="n">
        <f aca="false">IF(AND('Loan Tape'!$AX223=1,'Loan Tape'!$AW223=3),MAX(0,E227-E833-E1136-E1439),0)</f>
        <v>0</v>
      </c>
      <c r="F1742" s="71" t="n">
        <f aca="false">IF(AND('Loan Tape'!$AX223=1,'Loan Tape'!$AW223=4),MAX(0,F227-F833-F1136-F1439),0)</f>
        <v>0</v>
      </c>
      <c r="G1742" s="71" t="n">
        <f aca="false">IF(AND('Loan Tape'!$AX223=1,'Loan Tape'!$AW223=5),MAX(0,G227-G833-G1136-G1439),0)</f>
        <v>0</v>
      </c>
      <c r="H1742" s="71" t="n">
        <f aca="false">IF(AND('Loan Tape'!$AX223=1,'Loan Tape'!$AW223=6),MAX(0,H227-H833-H1136-H1439),0)</f>
        <v>0</v>
      </c>
      <c r="I1742" s="71" t="n">
        <f aca="false">IF(AND('Loan Tape'!$AX223=1,'Loan Tape'!$AW223=7),MAX(0,I227-I833-I1136-I1439),0)</f>
        <v>0</v>
      </c>
      <c r="J1742" s="71" t="n">
        <f aca="false">IF(AND('Loan Tape'!$AX223=1,'Loan Tape'!$AW223=8),MAX(0,J227-J833-J1136-J1439),0)</f>
        <v>0</v>
      </c>
      <c r="K1742" s="71" t="n">
        <f aca="false">IF(AND('Loan Tape'!$AX223=1,'Loan Tape'!$AW223=9),MAX(0,K227-K833-K1136-K1439),0)</f>
        <v>0</v>
      </c>
      <c r="L1742" s="71" t="n">
        <f aca="false">IF(AND('Loan Tape'!$AX223=1,'Loan Tape'!$AW223=10),MAX(0,L227-L833-L1136-L1439),0)</f>
        <v>0</v>
      </c>
    </row>
    <row r="1743" customFormat="false" ht="15" hidden="false" customHeight="false" outlineLevel="0" collapsed="false">
      <c r="B1743" s="102" t="n">
        <f aca="false">'Loan Tape'!$A224</f>
        <v>0</v>
      </c>
      <c r="C1743" s="99" t="n">
        <f aca="false">IF(AND('Loan Tape'!$AX224=1,'Loan Tape'!$AW224=1),MAX(0,C228-C834-C1137-C1440),0)</f>
        <v>0</v>
      </c>
      <c r="D1743" s="99" t="n">
        <f aca="false">IF(AND('Loan Tape'!$AX224=1,'Loan Tape'!$AW224=2),MAX(0,D228-D834-D1137-D1440),0)</f>
        <v>0</v>
      </c>
      <c r="E1743" s="99" t="n">
        <f aca="false">IF(AND('Loan Tape'!$AX224=1,'Loan Tape'!$AW224=3),MAX(0,E228-E834-E1137-E1440),0)</f>
        <v>0</v>
      </c>
      <c r="F1743" s="99" t="n">
        <f aca="false">IF(AND('Loan Tape'!$AX224=1,'Loan Tape'!$AW224=4),MAX(0,F228-F834-F1137-F1440),0)</f>
        <v>0</v>
      </c>
      <c r="G1743" s="99" t="n">
        <f aca="false">IF(AND('Loan Tape'!$AX224=1,'Loan Tape'!$AW224=5),MAX(0,G228-G834-G1137-G1440),0)</f>
        <v>0</v>
      </c>
      <c r="H1743" s="99" t="n">
        <f aca="false">IF(AND('Loan Tape'!$AX224=1,'Loan Tape'!$AW224=6),MAX(0,H228-H834-H1137-H1440),0)</f>
        <v>0</v>
      </c>
      <c r="I1743" s="99" t="n">
        <f aca="false">IF(AND('Loan Tape'!$AX224=1,'Loan Tape'!$AW224=7),MAX(0,I228-I834-I1137-I1440),0)</f>
        <v>0</v>
      </c>
      <c r="J1743" s="99" t="n">
        <f aca="false">IF(AND('Loan Tape'!$AX224=1,'Loan Tape'!$AW224=8),MAX(0,J228-J834-J1137-J1440),0)</f>
        <v>0</v>
      </c>
      <c r="K1743" s="99" t="n">
        <f aca="false">IF(AND('Loan Tape'!$AX224=1,'Loan Tape'!$AW224=9),MAX(0,K228-K834-K1137-K1440),0)</f>
        <v>0</v>
      </c>
      <c r="L1743" s="99" t="n">
        <f aca="false">IF(AND('Loan Tape'!$AX224=1,'Loan Tape'!$AW224=10),MAX(0,L228-L834-L1137-L1440),0)</f>
        <v>0</v>
      </c>
    </row>
    <row r="1744" customFormat="false" ht="15" hidden="false" customHeight="false" outlineLevel="0" collapsed="false">
      <c r="B1744" s="108" t="n">
        <f aca="false">'Loan Tape'!$A225</f>
        <v>0</v>
      </c>
      <c r="C1744" s="71" t="n">
        <f aca="false">IF(AND('Loan Tape'!$AX225=1,'Loan Tape'!$AW225=1),MAX(0,C229-C835-C1138-C1441),0)</f>
        <v>0</v>
      </c>
      <c r="D1744" s="71" t="n">
        <f aca="false">IF(AND('Loan Tape'!$AX225=1,'Loan Tape'!$AW225=2),MAX(0,D229-D835-D1138-D1441),0)</f>
        <v>0</v>
      </c>
      <c r="E1744" s="71" t="n">
        <f aca="false">IF(AND('Loan Tape'!$AX225=1,'Loan Tape'!$AW225=3),MAX(0,E229-E835-E1138-E1441),0)</f>
        <v>0</v>
      </c>
      <c r="F1744" s="71" t="n">
        <f aca="false">IF(AND('Loan Tape'!$AX225=1,'Loan Tape'!$AW225=4),MAX(0,F229-F835-F1138-F1441),0)</f>
        <v>0</v>
      </c>
      <c r="G1744" s="71" t="n">
        <f aca="false">IF(AND('Loan Tape'!$AX225=1,'Loan Tape'!$AW225=5),MAX(0,G229-G835-G1138-G1441),0)</f>
        <v>0</v>
      </c>
      <c r="H1744" s="71" t="n">
        <f aca="false">IF(AND('Loan Tape'!$AX225=1,'Loan Tape'!$AW225=6),MAX(0,H229-H835-H1138-H1441),0)</f>
        <v>0</v>
      </c>
      <c r="I1744" s="71" t="n">
        <f aca="false">IF(AND('Loan Tape'!$AX225=1,'Loan Tape'!$AW225=7),MAX(0,I229-I835-I1138-I1441),0)</f>
        <v>0</v>
      </c>
      <c r="J1744" s="71" t="n">
        <f aca="false">IF(AND('Loan Tape'!$AX225=1,'Loan Tape'!$AW225=8),MAX(0,J229-J835-J1138-J1441),0)</f>
        <v>0</v>
      </c>
      <c r="K1744" s="71" t="n">
        <f aca="false">IF(AND('Loan Tape'!$AX225=1,'Loan Tape'!$AW225=9),MAX(0,K229-K835-K1138-K1441),0)</f>
        <v>0</v>
      </c>
      <c r="L1744" s="71" t="n">
        <f aca="false">IF(AND('Loan Tape'!$AX225=1,'Loan Tape'!$AW225=10),MAX(0,L229-L835-L1138-L1441),0)</f>
        <v>0</v>
      </c>
    </row>
    <row r="1745" customFormat="false" ht="15" hidden="false" customHeight="false" outlineLevel="0" collapsed="false">
      <c r="B1745" s="102" t="n">
        <f aca="false">'Loan Tape'!$A226</f>
        <v>0</v>
      </c>
      <c r="C1745" s="99" t="n">
        <f aca="false">IF(AND('Loan Tape'!$AX226=1,'Loan Tape'!$AW226=1),MAX(0,C230-C836-C1139-C1442),0)</f>
        <v>0</v>
      </c>
      <c r="D1745" s="99" t="n">
        <f aca="false">IF(AND('Loan Tape'!$AX226=1,'Loan Tape'!$AW226=2),MAX(0,D230-D836-D1139-D1442),0)</f>
        <v>0</v>
      </c>
      <c r="E1745" s="99" t="n">
        <f aca="false">IF(AND('Loan Tape'!$AX226=1,'Loan Tape'!$AW226=3),MAX(0,E230-E836-E1139-E1442),0)</f>
        <v>0</v>
      </c>
      <c r="F1745" s="99" t="n">
        <f aca="false">IF(AND('Loan Tape'!$AX226=1,'Loan Tape'!$AW226=4),MAX(0,F230-F836-F1139-F1442),0)</f>
        <v>0</v>
      </c>
      <c r="G1745" s="99" t="n">
        <f aca="false">IF(AND('Loan Tape'!$AX226=1,'Loan Tape'!$AW226=5),MAX(0,G230-G836-G1139-G1442),0)</f>
        <v>0</v>
      </c>
      <c r="H1745" s="99" t="n">
        <f aca="false">IF(AND('Loan Tape'!$AX226=1,'Loan Tape'!$AW226=6),MAX(0,H230-H836-H1139-H1442),0)</f>
        <v>0</v>
      </c>
      <c r="I1745" s="99" t="n">
        <f aca="false">IF(AND('Loan Tape'!$AX226=1,'Loan Tape'!$AW226=7),MAX(0,I230-I836-I1139-I1442),0)</f>
        <v>0</v>
      </c>
      <c r="J1745" s="99" t="n">
        <f aca="false">IF(AND('Loan Tape'!$AX226=1,'Loan Tape'!$AW226=8),MAX(0,J230-J836-J1139-J1442),0)</f>
        <v>0</v>
      </c>
      <c r="K1745" s="99" t="n">
        <f aca="false">IF(AND('Loan Tape'!$AX226=1,'Loan Tape'!$AW226=9),MAX(0,K230-K836-K1139-K1442),0)</f>
        <v>0</v>
      </c>
      <c r="L1745" s="99" t="n">
        <f aca="false">IF(AND('Loan Tape'!$AX226=1,'Loan Tape'!$AW226=10),MAX(0,L230-L836-L1139-L1442),0)</f>
        <v>0</v>
      </c>
    </row>
    <row r="1746" customFormat="false" ht="15" hidden="false" customHeight="false" outlineLevel="0" collapsed="false">
      <c r="B1746" s="108" t="n">
        <f aca="false">'Loan Tape'!$A227</f>
        <v>0</v>
      </c>
      <c r="C1746" s="71" t="n">
        <f aca="false">IF(AND('Loan Tape'!$AX227=1,'Loan Tape'!$AW227=1),MAX(0,C231-C837-C1140-C1443),0)</f>
        <v>0</v>
      </c>
      <c r="D1746" s="71" t="n">
        <f aca="false">IF(AND('Loan Tape'!$AX227=1,'Loan Tape'!$AW227=2),MAX(0,D231-D837-D1140-D1443),0)</f>
        <v>0</v>
      </c>
      <c r="E1746" s="71" t="n">
        <f aca="false">IF(AND('Loan Tape'!$AX227=1,'Loan Tape'!$AW227=3),MAX(0,E231-E837-E1140-E1443),0)</f>
        <v>0</v>
      </c>
      <c r="F1746" s="71" t="n">
        <f aca="false">IF(AND('Loan Tape'!$AX227=1,'Loan Tape'!$AW227=4),MAX(0,F231-F837-F1140-F1443),0)</f>
        <v>0</v>
      </c>
      <c r="G1746" s="71" t="n">
        <f aca="false">IF(AND('Loan Tape'!$AX227=1,'Loan Tape'!$AW227=5),MAX(0,G231-G837-G1140-G1443),0)</f>
        <v>0</v>
      </c>
      <c r="H1746" s="71" t="n">
        <f aca="false">IF(AND('Loan Tape'!$AX227=1,'Loan Tape'!$AW227=6),MAX(0,H231-H837-H1140-H1443),0)</f>
        <v>0</v>
      </c>
      <c r="I1746" s="71" t="n">
        <f aca="false">IF(AND('Loan Tape'!$AX227=1,'Loan Tape'!$AW227=7),MAX(0,I231-I837-I1140-I1443),0)</f>
        <v>0</v>
      </c>
      <c r="J1746" s="71" t="n">
        <f aca="false">IF(AND('Loan Tape'!$AX227=1,'Loan Tape'!$AW227=8),MAX(0,J231-J837-J1140-J1443),0)</f>
        <v>0</v>
      </c>
      <c r="K1746" s="71" t="n">
        <f aca="false">IF(AND('Loan Tape'!$AX227=1,'Loan Tape'!$AW227=9),MAX(0,K231-K837-K1140-K1443),0)</f>
        <v>0</v>
      </c>
      <c r="L1746" s="71" t="n">
        <f aca="false">IF(AND('Loan Tape'!$AX227=1,'Loan Tape'!$AW227=10),MAX(0,L231-L837-L1140-L1443),0)</f>
        <v>0</v>
      </c>
    </row>
    <row r="1747" customFormat="false" ht="15" hidden="false" customHeight="false" outlineLevel="0" collapsed="false">
      <c r="B1747" s="102" t="n">
        <f aca="false">'Loan Tape'!$A228</f>
        <v>0</v>
      </c>
      <c r="C1747" s="99" t="n">
        <f aca="false">IF(AND('Loan Tape'!$AX228=1,'Loan Tape'!$AW228=1),MAX(0,C232-C838-C1141-C1444),0)</f>
        <v>0</v>
      </c>
      <c r="D1747" s="99" t="n">
        <f aca="false">IF(AND('Loan Tape'!$AX228=1,'Loan Tape'!$AW228=2),MAX(0,D232-D838-D1141-D1444),0)</f>
        <v>0</v>
      </c>
      <c r="E1747" s="99" t="n">
        <f aca="false">IF(AND('Loan Tape'!$AX228=1,'Loan Tape'!$AW228=3),MAX(0,E232-E838-E1141-E1444),0)</f>
        <v>0</v>
      </c>
      <c r="F1747" s="99" t="n">
        <f aca="false">IF(AND('Loan Tape'!$AX228=1,'Loan Tape'!$AW228=4),MAX(0,F232-F838-F1141-F1444),0)</f>
        <v>0</v>
      </c>
      <c r="G1747" s="99" t="n">
        <f aca="false">IF(AND('Loan Tape'!$AX228=1,'Loan Tape'!$AW228=5),MAX(0,G232-G838-G1141-G1444),0)</f>
        <v>0</v>
      </c>
      <c r="H1747" s="99" t="n">
        <f aca="false">IF(AND('Loan Tape'!$AX228=1,'Loan Tape'!$AW228=6),MAX(0,H232-H838-H1141-H1444),0)</f>
        <v>0</v>
      </c>
      <c r="I1747" s="99" t="n">
        <f aca="false">IF(AND('Loan Tape'!$AX228=1,'Loan Tape'!$AW228=7),MAX(0,I232-I838-I1141-I1444),0)</f>
        <v>0</v>
      </c>
      <c r="J1747" s="99" t="n">
        <f aca="false">IF(AND('Loan Tape'!$AX228=1,'Loan Tape'!$AW228=8),MAX(0,J232-J838-J1141-J1444),0)</f>
        <v>0</v>
      </c>
      <c r="K1747" s="99" t="n">
        <f aca="false">IF(AND('Loan Tape'!$AX228=1,'Loan Tape'!$AW228=9),MAX(0,K232-K838-K1141-K1444),0)</f>
        <v>0</v>
      </c>
      <c r="L1747" s="99" t="n">
        <f aca="false">IF(AND('Loan Tape'!$AX228=1,'Loan Tape'!$AW228=10),MAX(0,L232-L838-L1141-L1444),0)</f>
        <v>0</v>
      </c>
    </row>
    <row r="1748" customFormat="false" ht="15" hidden="false" customHeight="false" outlineLevel="0" collapsed="false">
      <c r="B1748" s="108" t="n">
        <f aca="false">'Loan Tape'!$A229</f>
        <v>0</v>
      </c>
      <c r="C1748" s="71" t="n">
        <f aca="false">IF(AND('Loan Tape'!$AX229=1,'Loan Tape'!$AW229=1),MAX(0,C233-C839-C1142-C1445),0)</f>
        <v>0</v>
      </c>
      <c r="D1748" s="71" t="n">
        <f aca="false">IF(AND('Loan Tape'!$AX229=1,'Loan Tape'!$AW229=2),MAX(0,D233-D839-D1142-D1445),0)</f>
        <v>0</v>
      </c>
      <c r="E1748" s="71" t="n">
        <f aca="false">IF(AND('Loan Tape'!$AX229=1,'Loan Tape'!$AW229=3),MAX(0,E233-E839-E1142-E1445),0)</f>
        <v>0</v>
      </c>
      <c r="F1748" s="71" t="n">
        <f aca="false">IF(AND('Loan Tape'!$AX229=1,'Loan Tape'!$AW229=4),MAX(0,F233-F839-F1142-F1445),0)</f>
        <v>0</v>
      </c>
      <c r="G1748" s="71" t="n">
        <f aca="false">IF(AND('Loan Tape'!$AX229=1,'Loan Tape'!$AW229=5),MAX(0,G233-G839-G1142-G1445),0)</f>
        <v>0</v>
      </c>
      <c r="H1748" s="71" t="n">
        <f aca="false">IF(AND('Loan Tape'!$AX229=1,'Loan Tape'!$AW229=6),MAX(0,H233-H839-H1142-H1445),0)</f>
        <v>0</v>
      </c>
      <c r="I1748" s="71" t="n">
        <f aca="false">IF(AND('Loan Tape'!$AX229=1,'Loan Tape'!$AW229=7),MAX(0,I233-I839-I1142-I1445),0)</f>
        <v>0</v>
      </c>
      <c r="J1748" s="71" t="n">
        <f aca="false">IF(AND('Loan Tape'!$AX229=1,'Loan Tape'!$AW229=8),MAX(0,J233-J839-J1142-J1445),0)</f>
        <v>0</v>
      </c>
      <c r="K1748" s="71" t="n">
        <f aca="false">IF(AND('Loan Tape'!$AX229=1,'Loan Tape'!$AW229=9),MAX(0,K233-K839-K1142-K1445),0)</f>
        <v>0</v>
      </c>
      <c r="L1748" s="71" t="n">
        <f aca="false">IF(AND('Loan Tape'!$AX229=1,'Loan Tape'!$AW229=10),MAX(0,L233-L839-L1142-L1445),0)</f>
        <v>0</v>
      </c>
    </row>
    <row r="1749" customFormat="false" ht="15" hidden="false" customHeight="false" outlineLevel="0" collapsed="false">
      <c r="B1749" s="102" t="n">
        <f aca="false">'Loan Tape'!$A230</f>
        <v>0</v>
      </c>
      <c r="C1749" s="99" t="n">
        <f aca="false">IF(AND('Loan Tape'!$AX230=1,'Loan Tape'!$AW230=1),MAX(0,C234-C840-C1143-C1446),0)</f>
        <v>0</v>
      </c>
      <c r="D1749" s="99" t="n">
        <f aca="false">IF(AND('Loan Tape'!$AX230=1,'Loan Tape'!$AW230=2),MAX(0,D234-D840-D1143-D1446),0)</f>
        <v>0</v>
      </c>
      <c r="E1749" s="99" t="n">
        <f aca="false">IF(AND('Loan Tape'!$AX230=1,'Loan Tape'!$AW230=3),MAX(0,E234-E840-E1143-E1446),0)</f>
        <v>0</v>
      </c>
      <c r="F1749" s="99" t="n">
        <f aca="false">IF(AND('Loan Tape'!$AX230=1,'Loan Tape'!$AW230=4),MAX(0,F234-F840-F1143-F1446),0)</f>
        <v>0</v>
      </c>
      <c r="G1749" s="99" t="n">
        <f aca="false">IF(AND('Loan Tape'!$AX230=1,'Loan Tape'!$AW230=5),MAX(0,G234-G840-G1143-G1446),0)</f>
        <v>0</v>
      </c>
      <c r="H1749" s="99" t="n">
        <f aca="false">IF(AND('Loan Tape'!$AX230=1,'Loan Tape'!$AW230=6),MAX(0,H234-H840-H1143-H1446),0)</f>
        <v>0</v>
      </c>
      <c r="I1749" s="99" t="n">
        <f aca="false">IF(AND('Loan Tape'!$AX230=1,'Loan Tape'!$AW230=7),MAX(0,I234-I840-I1143-I1446),0)</f>
        <v>0</v>
      </c>
      <c r="J1749" s="99" t="n">
        <f aca="false">IF(AND('Loan Tape'!$AX230=1,'Loan Tape'!$AW230=8),MAX(0,J234-J840-J1143-J1446),0)</f>
        <v>0</v>
      </c>
      <c r="K1749" s="99" t="n">
        <f aca="false">IF(AND('Loan Tape'!$AX230=1,'Loan Tape'!$AW230=9),MAX(0,K234-K840-K1143-K1446),0)</f>
        <v>0</v>
      </c>
      <c r="L1749" s="99" t="n">
        <f aca="false">IF(AND('Loan Tape'!$AX230=1,'Loan Tape'!$AW230=10),MAX(0,L234-L840-L1143-L1446),0)</f>
        <v>0</v>
      </c>
    </row>
    <row r="1750" customFormat="false" ht="15" hidden="false" customHeight="false" outlineLevel="0" collapsed="false">
      <c r="B1750" s="108" t="n">
        <f aca="false">'Loan Tape'!$A231</f>
        <v>0</v>
      </c>
      <c r="C1750" s="71" t="n">
        <f aca="false">IF(AND('Loan Tape'!$AX231=1,'Loan Tape'!$AW231=1),MAX(0,C235-C841-C1144-C1447),0)</f>
        <v>0</v>
      </c>
      <c r="D1750" s="71" t="n">
        <f aca="false">IF(AND('Loan Tape'!$AX231=1,'Loan Tape'!$AW231=2),MAX(0,D235-D841-D1144-D1447),0)</f>
        <v>0</v>
      </c>
      <c r="E1750" s="71" t="n">
        <f aca="false">IF(AND('Loan Tape'!$AX231=1,'Loan Tape'!$AW231=3),MAX(0,E235-E841-E1144-E1447),0)</f>
        <v>0</v>
      </c>
      <c r="F1750" s="71" t="n">
        <f aca="false">IF(AND('Loan Tape'!$AX231=1,'Loan Tape'!$AW231=4),MAX(0,F235-F841-F1144-F1447),0)</f>
        <v>0</v>
      </c>
      <c r="G1750" s="71" t="n">
        <f aca="false">IF(AND('Loan Tape'!$AX231=1,'Loan Tape'!$AW231=5),MAX(0,G235-G841-G1144-G1447),0)</f>
        <v>0</v>
      </c>
      <c r="H1750" s="71" t="n">
        <f aca="false">IF(AND('Loan Tape'!$AX231=1,'Loan Tape'!$AW231=6),MAX(0,H235-H841-H1144-H1447),0)</f>
        <v>0</v>
      </c>
      <c r="I1750" s="71" t="n">
        <f aca="false">IF(AND('Loan Tape'!$AX231=1,'Loan Tape'!$AW231=7),MAX(0,I235-I841-I1144-I1447),0)</f>
        <v>0</v>
      </c>
      <c r="J1750" s="71" t="n">
        <f aca="false">IF(AND('Loan Tape'!$AX231=1,'Loan Tape'!$AW231=8),MAX(0,J235-J841-J1144-J1447),0)</f>
        <v>0</v>
      </c>
      <c r="K1750" s="71" t="n">
        <f aca="false">IF(AND('Loan Tape'!$AX231=1,'Loan Tape'!$AW231=9),MAX(0,K235-K841-K1144-K1447),0)</f>
        <v>0</v>
      </c>
      <c r="L1750" s="71" t="n">
        <f aca="false">IF(AND('Loan Tape'!$AX231=1,'Loan Tape'!$AW231=10),MAX(0,L235-L841-L1144-L1447),0)</f>
        <v>0</v>
      </c>
    </row>
    <row r="1751" customFormat="false" ht="15" hidden="false" customHeight="false" outlineLevel="0" collapsed="false">
      <c r="B1751" s="102" t="n">
        <f aca="false">'Loan Tape'!$A232</f>
        <v>0</v>
      </c>
      <c r="C1751" s="99" t="n">
        <f aca="false">IF(AND('Loan Tape'!$AX232=1,'Loan Tape'!$AW232=1),MAX(0,C236-C842-C1145-C1448),0)</f>
        <v>0</v>
      </c>
      <c r="D1751" s="99" t="n">
        <f aca="false">IF(AND('Loan Tape'!$AX232=1,'Loan Tape'!$AW232=2),MAX(0,D236-D842-D1145-D1448),0)</f>
        <v>0</v>
      </c>
      <c r="E1751" s="99" t="n">
        <f aca="false">IF(AND('Loan Tape'!$AX232=1,'Loan Tape'!$AW232=3),MAX(0,E236-E842-E1145-E1448),0)</f>
        <v>0</v>
      </c>
      <c r="F1751" s="99" t="n">
        <f aca="false">IF(AND('Loan Tape'!$AX232=1,'Loan Tape'!$AW232=4),MAX(0,F236-F842-F1145-F1448),0)</f>
        <v>0</v>
      </c>
      <c r="G1751" s="99" t="n">
        <f aca="false">IF(AND('Loan Tape'!$AX232=1,'Loan Tape'!$AW232=5),MAX(0,G236-G842-G1145-G1448),0)</f>
        <v>0</v>
      </c>
      <c r="H1751" s="99" t="n">
        <f aca="false">IF(AND('Loan Tape'!$AX232=1,'Loan Tape'!$AW232=6),MAX(0,H236-H842-H1145-H1448),0)</f>
        <v>0</v>
      </c>
      <c r="I1751" s="99" t="n">
        <f aca="false">IF(AND('Loan Tape'!$AX232=1,'Loan Tape'!$AW232=7),MAX(0,I236-I842-I1145-I1448),0)</f>
        <v>0</v>
      </c>
      <c r="J1751" s="99" t="n">
        <f aca="false">IF(AND('Loan Tape'!$AX232=1,'Loan Tape'!$AW232=8),MAX(0,J236-J842-J1145-J1448),0)</f>
        <v>0</v>
      </c>
      <c r="K1751" s="99" t="n">
        <f aca="false">IF(AND('Loan Tape'!$AX232=1,'Loan Tape'!$AW232=9),MAX(0,K236-K842-K1145-K1448),0)</f>
        <v>0</v>
      </c>
      <c r="L1751" s="99" t="n">
        <f aca="false">IF(AND('Loan Tape'!$AX232=1,'Loan Tape'!$AW232=10),MAX(0,L236-L842-L1145-L1448),0)</f>
        <v>0</v>
      </c>
    </row>
    <row r="1752" customFormat="false" ht="15" hidden="false" customHeight="false" outlineLevel="0" collapsed="false">
      <c r="B1752" s="108" t="n">
        <f aca="false">'Loan Tape'!$A233</f>
        <v>0</v>
      </c>
      <c r="C1752" s="71" t="n">
        <f aca="false">IF(AND('Loan Tape'!$AX233=1,'Loan Tape'!$AW233=1),MAX(0,C237-C843-C1146-C1449),0)</f>
        <v>0</v>
      </c>
      <c r="D1752" s="71" t="n">
        <f aca="false">IF(AND('Loan Tape'!$AX233=1,'Loan Tape'!$AW233=2),MAX(0,D237-D843-D1146-D1449),0)</f>
        <v>0</v>
      </c>
      <c r="E1752" s="71" t="n">
        <f aca="false">IF(AND('Loan Tape'!$AX233=1,'Loan Tape'!$AW233=3),MAX(0,E237-E843-E1146-E1449),0)</f>
        <v>0</v>
      </c>
      <c r="F1752" s="71" t="n">
        <f aca="false">IF(AND('Loan Tape'!$AX233=1,'Loan Tape'!$AW233=4),MAX(0,F237-F843-F1146-F1449),0)</f>
        <v>0</v>
      </c>
      <c r="G1752" s="71" t="n">
        <f aca="false">IF(AND('Loan Tape'!$AX233=1,'Loan Tape'!$AW233=5),MAX(0,G237-G843-G1146-G1449),0)</f>
        <v>0</v>
      </c>
      <c r="H1752" s="71" t="n">
        <f aca="false">IF(AND('Loan Tape'!$AX233=1,'Loan Tape'!$AW233=6),MAX(0,H237-H843-H1146-H1449),0)</f>
        <v>0</v>
      </c>
      <c r="I1752" s="71" t="n">
        <f aca="false">IF(AND('Loan Tape'!$AX233=1,'Loan Tape'!$AW233=7),MAX(0,I237-I843-I1146-I1449),0)</f>
        <v>0</v>
      </c>
      <c r="J1752" s="71" t="n">
        <f aca="false">IF(AND('Loan Tape'!$AX233=1,'Loan Tape'!$AW233=8),MAX(0,J237-J843-J1146-J1449),0)</f>
        <v>0</v>
      </c>
      <c r="K1752" s="71" t="n">
        <f aca="false">IF(AND('Loan Tape'!$AX233=1,'Loan Tape'!$AW233=9),MAX(0,K237-K843-K1146-K1449),0)</f>
        <v>0</v>
      </c>
      <c r="L1752" s="71" t="n">
        <f aca="false">IF(AND('Loan Tape'!$AX233=1,'Loan Tape'!$AW233=10),MAX(0,L237-L843-L1146-L1449),0)</f>
        <v>0</v>
      </c>
    </row>
    <row r="1753" customFormat="false" ht="15" hidden="false" customHeight="false" outlineLevel="0" collapsed="false">
      <c r="B1753" s="102" t="n">
        <f aca="false">'Loan Tape'!$A234</f>
        <v>0</v>
      </c>
      <c r="C1753" s="99" t="n">
        <f aca="false">IF(AND('Loan Tape'!$AX234=1,'Loan Tape'!$AW234=1),MAX(0,C238-C844-C1147-C1450),0)</f>
        <v>0</v>
      </c>
      <c r="D1753" s="99" t="n">
        <f aca="false">IF(AND('Loan Tape'!$AX234=1,'Loan Tape'!$AW234=2),MAX(0,D238-D844-D1147-D1450),0)</f>
        <v>0</v>
      </c>
      <c r="E1753" s="99" t="n">
        <f aca="false">IF(AND('Loan Tape'!$AX234=1,'Loan Tape'!$AW234=3),MAX(0,E238-E844-E1147-E1450),0)</f>
        <v>0</v>
      </c>
      <c r="F1753" s="99" t="n">
        <f aca="false">IF(AND('Loan Tape'!$AX234=1,'Loan Tape'!$AW234=4),MAX(0,F238-F844-F1147-F1450),0)</f>
        <v>0</v>
      </c>
      <c r="G1753" s="99" t="n">
        <f aca="false">IF(AND('Loan Tape'!$AX234=1,'Loan Tape'!$AW234=5),MAX(0,G238-G844-G1147-G1450),0)</f>
        <v>0</v>
      </c>
      <c r="H1753" s="99" t="n">
        <f aca="false">IF(AND('Loan Tape'!$AX234=1,'Loan Tape'!$AW234=6),MAX(0,H238-H844-H1147-H1450),0)</f>
        <v>0</v>
      </c>
      <c r="I1753" s="99" t="n">
        <f aca="false">IF(AND('Loan Tape'!$AX234=1,'Loan Tape'!$AW234=7),MAX(0,I238-I844-I1147-I1450),0)</f>
        <v>0</v>
      </c>
      <c r="J1753" s="99" t="n">
        <f aca="false">IF(AND('Loan Tape'!$AX234=1,'Loan Tape'!$AW234=8),MAX(0,J238-J844-J1147-J1450),0)</f>
        <v>0</v>
      </c>
      <c r="K1753" s="99" t="n">
        <f aca="false">IF(AND('Loan Tape'!$AX234=1,'Loan Tape'!$AW234=9),MAX(0,K238-K844-K1147-K1450),0)</f>
        <v>0</v>
      </c>
      <c r="L1753" s="99" t="n">
        <f aca="false">IF(AND('Loan Tape'!$AX234=1,'Loan Tape'!$AW234=10),MAX(0,L238-L844-L1147-L1450),0)</f>
        <v>0</v>
      </c>
    </row>
    <row r="1754" customFormat="false" ht="15" hidden="false" customHeight="false" outlineLevel="0" collapsed="false">
      <c r="B1754" s="108" t="n">
        <f aca="false">'Loan Tape'!$A235</f>
        <v>0</v>
      </c>
      <c r="C1754" s="71" t="n">
        <f aca="false">IF(AND('Loan Tape'!$AX235=1,'Loan Tape'!$AW235=1),MAX(0,C239-C845-C1148-C1451),0)</f>
        <v>0</v>
      </c>
      <c r="D1754" s="71" t="n">
        <f aca="false">IF(AND('Loan Tape'!$AX235=1,'Loan Tape'!$AW235=2),MAX(0,D239-D845-D1148-D1451),0)</f>
        <v>0</v>
      </c>
      <c r="E1754" s="71" t="n">
        <f aca="false">IF(AND('Loan Tape'!$AX235=1,'Loan Tape'!$AW235=3),MAX(0,E239-E845-E1148-E1451),0)</f>
        <v>0</v>
      </c>
      <c r="F1754" s="71" t="n">
        <f aca="false">IF(AND('Loan Tape'!$AX235=1,'Loan Tape'!$AW235=4),MAX(0,F239-F845-F1148-F1451),0)</f>
        <v>0</v>
      </c>
      <c r="G1754" s="71" t="n">
        <f aca="false">IF(AND('Loan Tape'!$AX235=1,'Loan Tape'!$AW235=5),MAX(0,G239-G845-G1148-G1451),0)</f>
        <v>0</v>
      </c>
      <c r="H1754" s="71" t="n">
        <f aca="false">IF(AND('Loan Tape'!$AX235=1,'Loan Tape'!$AW235=6),MAX(0,H239-H845-H1148-H1451),0)</f>
        <v>0</v>
      </c>
      <c r="I1754" s="71" t="n">
        <f aca="false">IF(AND('Loan Tape'!$AX235=1,'Loan Tape'!$AW235=7),MAX(0,I239-I845-I1148-I1451),0)</f>
        <v>0</v>
      </c>
      <c r="J1754" s="71" t="n">
        <f aca="false">IF(AND('Loan Tape'!$AX235=1,'Loan Tape'!$AW235=8),MAX(0,J239-J845-J1148-J1451),0)</f>
        <v>0</v>
      </c>
      <c r="K1754" s="71" t="n">
        <f aca="false">IF(AND('Loan Tape'!$AX235=1,'Loan Tape'!$AW235=9),MAX(0,K239-K845-K1148-K1451),0)</f>
        <v>0</v>
      </c>
      <c r="L1754" s="71" t="n">
        <f aca="false">IF(AND('Loan Tape'!$AX235=1,'Loan Tape'!$AW235=10),MAX(0,L239-L845-L1148-L1451),0)</f>
        <v>0</v>
      </c>
    </row>
    <row r="1755" customFormat="false" ht="15" hidden="false" customHeight="false" outlineLevel="0" collapsed="false">
      <c r="B1755" s="102" t="n">
        <f aca="false">'Loan Tape'!$A236</f>
        <v>0</v>
      </c>
      <c r="C1755" s="99" t="n">
        <f aca="false">IF(AND('Loan Tape'!$AX236=1,'Loan Tape'!$AW236=1),MAX(0,C240-C846-C1149-C1452),0)</f>
        <v>0</v>
      </c>
      <c r="D1755" s="99" t="n">
        <f aca="false">IF(AND('Loan Tape'!$AX236=1,'Loan Tape'!$AW236=2),MAX(0,D240-D846-D1149-D1452),0)</f>
        <v>0</v>
      </c>
      <c r="E1755" s="99" t="n">
        <f aca="false">IF(AND('Loan Tape'!$AX236=1,'Loan Tape'!$AW236=3),MAX(0,E240-E846-E1149-E1452),0)</f>
        <v>0</v>
      </c>
      <c r="F1755" s="99" t="n">
        <f aca="false">IF(AND('Loan Tape'!$AX236=1,'Loan Tape'!$AW236=4),MAX(0,F240-F846-F1149-F1452),0)</f>
        <v>0</v>
      </c>
      <c r="G1755" s="99" t="n">
        <f aca="false">IF(AND('Loan Tape'!$AX236=1,'Loan Tape'!$AW236=5),MAX(0,G240-G846-G1149-G1452),0)</f>
        <v>0</v>
      </c>
      <c r="H1755" s="99" t="n">
        <f aca="false">IF(AND('Loan Tape'!$AX236=1,'Loan Tape'!$AW236=6),MAX(0,H240-H846-H1149-H1452),0)</f>
        <v>0</v>
      </c>
      <c r="I1755" s="99" t="n">
        <f aca="false">IF(AND('Loan Tape'!$AX236=1,'Loan Tape'!$AW236=7),MAX(0,I240-I846-I1149-I1452),0)</f>
        <v>0</v>
      </c>
      <c r="J1755" s="99" t="n">
        <f aca="false">IF(AND('Loan Tape'!$AX236=1,'Loan Tape'!$AW236=8),MAX(0,J240-J846-J1149-J1452),0)</f>
        <v>0</v>
      </c>
      <c r="K1755" s="99" t="n">
        <f aca="false">IF(AND('Loan Tape'!$AX236=1,'Loan Tape'!$AW236=9),MAX(0,K240-K846-K1149-K1452),0)</f>
        <v>0</v>
      </c>
      <c r="L1755" s="99" t="n">
        <f aca="false">IF(AND('Loan Tape'!$AX236=1,'Loan Tape'!$AW236=10),MAX(0,L240-L846-L1149-L1452),0)</f>
        <v>0</v>
      </c>
    </row>
    <row r="1756" customFormat="false" ht="15" hidden="false" customHeight="false" outlineLevel="0" collapsed="false">
      <c r="B1756" s="108" t="n">
        <f aca="false">'Loan Tape'!$A237</f>
        <v>0</v>
      </c>
      <c r="C1756" s="71" t="n">
        <f aca="false">IF(AND('Loan Tape'!$AX237=1,'Loan Tape'!$AW237=1),MAX(0,C241-C847-C1150-C1453),0)</f>
        <v>0</v>
      </c>
      <c r="D1756" s="71" t="n">
        <f aca="false">IF(AND('Loan Tape'!$AX237=1,'Loan Tape'!$AW237=2),MAX(0,D241-D847-D1150-D1453),0)</f>
        <v>0</v>
      </c>
      <c r="E1756" s="71" t="n">
        <f aca="false">IF(AND('Loan Tape'!$AX237=1,'Loan Tape'!$AW237=3),MAX(0,E241-E847-E1150-E1453),0)</f>
        <v>0</v>
      </c>
      <c r="F1756" s="71" t="n">
        <f aca="false">IF(AND('Loan Tape'!$AX237=1,'Loan Tape'!$AW237=4),MAX(0,F241-F847-F1150-F1453),0)</f>
        <v>0</v>
      </c>
      <c r="G1756" s="71" t="n">
        <f aca="false">IF(AND('Loan Tape'!$AX237=1,'Loan Tape'!$AW237=5),MAX(0,G241-G847-G1150-G1453),0)</f>
        <v>0</v>
      </c>
      <c r="H1756" s="71" t="n">
        <f aca="false">IF(AND('Loan Tape'!$AX237=1,'Loan Tape'!$AW237=6),MAX(0,H241-H847-H1150-H1453),0)</f>
        <v>0</v>
      </c>
      <c r="I1756" s="71" t="n">
        <f aca="false">IF(AND('Loan Tape'!$AX237=1,'Loan Tape'!$AW237=7),MAX(0,I241-I847-I1150-I1453),0)</f>
        <v>0</v>
      </c>
      <c r="J1756" s="71" t="n">
        <f aca="false">IF(AND('Loan Tape'!$AX237=1,'Loan Tape'!$AW237=8),MAX(0,J241-J847-J1150-J1453),0)</f>
        <v>0</v>
      </c>
      <c r="K1756" s="71" t="n">
        <f aca="false">IF(AND('Loan Tape'!$AX237=1,'Loan Tape'!$AW237=9),MAX(0,K241-K847-K1150-K1453),0)</f>
        <v>0</v>
      </c>
      <c r="L1756" s="71" t="n">
        <f aca="false">IF(AND('Loan Tape'!$AX237=1,'Loan Tape'!$AW237=10),MAX(0,L241-L847-L1150-L1453),0)</f>
        <v>0</v>
      </c>
    </row>
    <row r="1757" customFormat="false" ht="15" hidden="false" customHeight="false" outlineLevel="0" collapsed="false">
      <c r="B1757" s="102" t="n">
        <f aca="false">'Loan Tape'!$A238</f>
        <v>0</v>
      </c>
      <c r="C1757" s="99" t="n">
        <f aca="false">IF(AND('Loan Tape'!$AX238=1,'Loan Tape'!$AW238=1),MAX(0,C242-C848-C1151-C1454),0)</f>
        <v>0</v>
      </c>
      <c r="D1757" s="99" t="n">
        <f aca="false">IF(AND('Loan Tape'!$AX238=1,'Loan Tape'!$AW238=2),MAX(0,D242-D848-D1151-D1454),0)</f>
        <v>0</v>
      </c>
      <c r="E1757" s="99" t="n">
        <f aca="false">IF(AND('Loan Tape'!$AX238=1,'Loan Tape'!$AW238=3),MAX(0,E242-E848-E1151-E1454),0)</f>
        <v>0</v>
      </c>
      <c r="F1757" s="99" t="n">
        <f aca="false">IF(AND('Loan Tape'!$AX238=1,'Loan Tape'!$AW238=4),MAX(0,F242-F848-F1151-F1454),0)</f>
        <v>0</v>
      </c>
      <c r="G1757" s="99" t="n">
        <f aca="false">IF(AND('Loan Tape'!$AX238=1,'Loan Tape'!$AW238=5),MAX(0,G242-G848-G1151-G1454),0)</f>
        <v>0</v>
      </c>
      <c r="H1757" s="99" t="n">
        <f aca="false">IF(AND('Loan Tape'!$AX238=1,'Loan Tape'!$AW238=6),MAX(0,H242-H848-H1151-H1454),0)</f>
        <v>0</v>
      </c>
      <c r="I1757" s="99" t="n">
        <f aca="false">IF(AND('Loan Tape'!$AX238=1,'Loan Tape'!$AW238=7),MAX(0,I242-I848-I1151-I1454),0)</f>
        <v>0</v>
      </c>
      <c r="J1757" s="99" t="n">
        <f aca="false">IF(AND('Loan Tape'!$AX238=1,'Loan Tape'!$AW238=8),MAX(0,J242-J848-J1151-J1454),0)</f>
        <v>0</v>
      </c>
      <c r="K1757" s="99" t="n">
        <f aca="false">IF(AND('Loan Tape'!$AX238=1,'Loan Tape'!$AW238=9),MAX(0,K242-K848-K1151-K1454),0)</f>
        <v>0</v>
      </c>
      <c r="L1757" s="99" t="n">
        <f aca="false">IF(AND('Loan Tape'!$AX238=1,'Loan Tape'!$AW238=10),MAX(0,L242-L848-L1151-L1454),0)</f>
        <v>0</v>
      </c>
    </row>
    <row r="1758" customFormat="false" ht="15" hidden="false" customHeight="false" outlineLevel="0" collapsed="false">
      <c r="B1758" s="108" t="n">
        <f aca="false">'Loan Tape'!$A239</f>
        <v>0</v>
      </c>
      <c r="C1758" s="71" t="n">
        <f aca="false">IF(AND('Loan Tape'!$AX239=1,'Loan Tape'!$AW239=1),MAX(0,C243-C849-C1152-C1455),0)</f>
        <v>0</v>
      </c>
      <c r="D1758" s="71" t="n">
        <f aca="false">IF(AND('Loan Tape'!$AX239=1,'Loan Tape'!$AW239=2),MAX(0,D243-D849-D1152-D1455),0)</f>
        <v>0</v>
      </c>
      <c r="E1758" s="71" t="n">
        <f aca="false">IF(AND('Loan Tape'!$AX239=1,'Loan Tape'!$AW239=3),MAX(0,E243-E849-E1152-E1455),0)</f>
        <v>0</v>
      </c>
      <c r="F1758" s="71" t="n">
        <f aca="false">IF(AND('Loan Tape'!$AX239=1,'Loan Tape'!$AW239=4),MAX(0,F243-F849-F1152-F1455),0)</f>
        <v>0</v>
      </c>
      <c r="G1758" s="71" t="n">
        <f aca="false">IF(AND('Loan Tape'!$AX239=1,'Loan Tape'!$AW239=5),MAX(0,G243-G849-G1152-G1455),0)</f>
        <v>0</v>
      </c>
      <c r="H1758" s="71" t="n">
        <f aca="false">IF(AND('Loan Tape'!$AX239=1,'Loan Tape'!$AW239=6),MAX(0,H243-H849-H1152-H1455),0)</f>
        <v>0</v>
      </c>
      <c r="I1758" s="71" t="n">
        <f aca="false">IF(AND('Loan Tape'!$AX239=1,'Loan Tape'!$AW239=7),MAX(0,I243-I849-I1152-I1455),0)</f>
        <v>0</v>
      </c>
      <c r="J1758" s="71" t="n">
        <f aca="false">IF(AND('Loan Tape'!$AX239=1,'Loan Tape'!$AW239=8),MAX(0,J243-J849-J1152-J1455),0)</f>
        <v>0</v>
      </c>
      <c r="K1758" s="71" t="n">
        <f aca="false">IF(AND('Loan Tape'!$AX239=1,'Loan Tape'!$AW239=9),MAX(0,K243-K849-K1152-K1455),0)</f>
        <v>0</v>
      </c>
      <c r="L1758" s="71" t="n">
        <f aca="false">IF(AND('Loan Tape'!$AX239=1,'Loan Tape'!$AW239=10),MAX(0,L243-L849-L1152-L1455),0)</f>
        <v>0</v>
      </c>
    </row>
    <row r="1759" customFormat="false" ht="15" hidden="false" customHeight="false" outlineLevel="0" collapsed="false">
      <c r="B1759" s="102" t="n">
        <f aca="false">'Loan Tape'!$A240</f>
        <v>0</v>
      </c>
      <c r="C1759" s="99" t="n">
        <f aca="false">IF(AND('Loan Tape'!$AX240=1,'Loan Tape'!$AW240=1),MAX(0,C244-C850-C1153-C1456),0)</f>
        <v>0</v>
      </c>
      <c r="D1759" s="99" t="n">
        <f aca="false">IF(AND('Loan Tape'!$AX240=1,'Loan Tape'!$AW240=2),MAX(0,D244-D850-D1153-D1456),0)</f>
        <v>0</v>
      </c>
      <c r="E1759" s="99" t="n">
        <f aca="false">IF(AND('Loan Tape'!$AX240=1,'Loan Tape'!$AW240=3),MAX(0,E244-E850-E1153-E1456),0)</f>
        <v>0</v>
      </c>
      <c r="F1759" s="99" t="n">
        <f aca="false">IF(AND('Loan Tape'!$AX240=1,'Loan Tape'!$AW240=4),MAX(0,F244-F850-F1153-F1456),0)</f>
        <v>0</v>
      </c>
      <c r="G1759" s="99" t="n">
        <f aca="false">IF(AND('Loan Tape'!$AX240=1,'Loan Tape'!$AW240=5),MAX(0,G244-G850-G1153-G1456),0)</f>
        <v>0</v>
      </c>
      <c r="H1759" s="99" t="n">
        <f aca="false">IF(AND('Loan Tape'!$AX240=1,'Loan Tape'!$AW240=6),MAX(0,H244-H850-H1153-H1456),0)</f>
        <v>0</v>
      </c>
      <c r="I1759" s="99" t="n">
        <f aca="false">IF(AND('Loan Tape'!$AX240=1,'Loan Tape'!$AW240=7),MAX(0,I244-I850-I1153-I1456),0)</f>
        <v>0</v>
      </c>
      <c r="J1759" s="99" t="n">
        <f aca="false">IF(AND('Loan Tape'!$AX240=1,'Loan Tape'!$AW240=8),MAX(0,J244-J850-J1153-J1456),0)</f>
        <v>0</v>
      </c>
      <c r="K1759" s="99" t="n">
        <f aca="false">IF(AND('Loan Tape'!$AX240=1,'Loan Tape'!$AW240=9),MAX(0,K244-K850-K1153-K1456),0)</f>
        <v>0</v>
      </c>
      <c r="L1759" s="99" t="n">
        <f aca="false">IF(AND('Loan Tape'!$AX240=1,'Loan Tape'!$AW240=10),MAX(0,L244-L850-L1153-L1456),0)</f>
        <v>0</v>
      </c>
    </row>
    <row r="1760" customFormat="false" ht="15" hidden="false" customHeight="false" outlineLevel="0" collapsed="false">
      <c r="B1760" s="108" t="n">
        <f aca="false">'Loan Tape'!$A241</f>
        <v>0</v>
      </c>
      <c r="C1760" s="71" t="n">
        <f aca="false">IF(AND('Loan Tape'!$AX241=1,'Loan Tape'!$AW241=1),MAX(0,C245-C851-C1154-C1457),0)</f>
        <v>0</v>
      </c>
      <c r="D1760" s="71" t="n">
        <f aca="false">IF(AND('Loan Tape'!$AX241=1,'Loan Tape'!$AW241=2),MAX(0,D245-D851-D1154-D1457),0)</f>
        <v>0</v>
      </c>
      <c r="E1760" s="71" t="n">
        <f aca="false">IF(AND('Loan Tape'!$AX241=1,'Loan Tape'!$AW241=3),MAX(0,E245-E851-E1154-E1457),0)</f>
        <v>0</v>
      </c>
      <c r="F1760" s="71" t="n">
        <f aca="false">IF(AND('Loan Tape'!$AX241=1,'Loan Tape'!$AW241=4),MAX(0,F245-F851-F1154-F1457),0)</f>
        <v>0</v>
      </c>
      <c r="G1760" s="71" t="n">
        <f aca="false">IF(AND('Loan Tape'!$AX241=1,'Loan Tape'!$AW241=5),MAX(0,G245-G851-G1154-G1457),0)</f>
        <v>0</v>
      </c>
      <c r="H1760" s="71" t="n">
        <f aca="false">IF(AND('Loan Tape'!$AX241=1,'Loan Tape'!$AW241=6),MAX(0,H245-H851-H1154-H1457),0)</f>
        <v>0</v>
      </c>
      <c r="I1760" s="71" t="n">
        <f aca="false">IF(AND('Loan Tape'!$AX241=1,'Loan Tape'!$AW241=7),MAX(0,I245-I851-I1154-I1457),0)</f>
        <v>0</v>
      </c>
      <c r="J1760" s="71" t="n">
        <f aca="false">IF(AND('Loan Tape'!$AX241=1,'Loan Tape'!$AW241=8),MAX(0,J245-J851-J1154-J1457),0)</f>
        <v>0</v>
      </c>
      <c r="K1760" s="71" t="n">
        <f aca="false">IF(AND('Loan Tape'!$AX241=1,'Loan Tape'!$AW241=9),MAX(0,K245-K851-K1154-K1457),0)</f>
        <v>0</v>
      </c>
      <c r="L1760" s="71" t="n">
        <f aca="false">IF(AND('Loan Tape'!$AX241=1,'Loan Tape'!$AW241=10),MAX(0,L245-L851-L1154-L1457),0)</f>
        <v>0</v>
      </c>
    </row>
    <row r="1761" customFormat="false" ht="15" hidden="false" customHeight="false" outlineLevel="0" collapsed="false">
      <c r="B1761" s="102" t="n">
        <f aca="false">'Loan Tape'!$A242</f>
        <v>0</v>
      </c>
      <c r="C1761" s="99" t="n">
        <f aca="false">IF(AND('Loan Tape'!$AX242=1,'Loan Tape'!$AW242=1),MAX(0,C246-C852-C1155-C1458),0)</f>
        <v>0</v>
      </c>
      <c r="D1761" s="99" t="n">
        <f aca="false">IF(AND('Loan Tape'!$AX242=1,'Loan Tape'!$AW242=2),MAX(0,D246-D852-D1155-D1458),0)</f>
        <v>0</v>
      </c>
      <c r="E1761" s="99" t="n">
        <f aca="false">IF(AND('Loan Tape'!$AX242=1,'Loan Tape'!$AW242=3),MAX(0,E246-E852-E1155-E1458),0)</f>
        <v>0</v>
      </c>
      <c r="F1761" s="99" t="n">
        <f aca="false">IF(AND('Loan Tape'!$AX242=1,'Loan Tape'!$AW242=4),MAX(0,F246-F852-F1155-F1458),0)</f>
        <v>0</v>
      </c>
      <c r="G1761" s="99" t="n">
        <f aca="false">IF(AND('Loan Tape'!$AX242=1,'Loan Tape'!$AW242=5),MAX(0,G246-G852-G1155-G1458),0)</f>
        <v>0</v>
      </c>
      <c r="H1761" s="99" t="n">
        <f aca="false">IF(AND('Loan Tape'!$AX242=1,'Loan Tape'!$AW242=6),MAX(0,H246-H852-H1155-H1458),0)</f>
        <v>0</v>
      </c>
      <c r="I1761" s="99" t="n">
        <f aca="false">IF(AND('Loan Tape'!$AX242=1,'Loan Tape'!$AW242=7),MAX(0,I246-I852-I1155-I1458),0)</f>
        <v>0</v>
      </c>
      <c r="J1761" s="99" t="n">
        <f aca="false">IF(AND('Loan Tape'!$AX242=1,'Loan Tape'!$AW242=8),MAX(0,J246-J852-J1155-J1458),0)</f>
        <v>0</v>
      </c>
      <c r="K1761" s="99" t="n">
        <f aca="false">IF(AND('Loan Tape'!$AX242=1,'Loan Tape'!$AW242=9),MAX(0,K246-K852-K1155-K1458),0)</f>
        <v>0</v>
      </c>
      <c r="L1761" s="99" t="n">
        <f aca="false">IF(AND('Loan Tape'!$AX242=1,'Loan Tape'!$AW242=10),MAX(0,L246-L852-L1155-L1458),0)</f>
        <v>0</v>
      </c>
    </row>
    <row r="1762" customFormat="false" ht="15" hidden="false" customHeight="false" outlineLevel="0" collapsed="false">
      <c r="B1762" s="108" t="n">
        <f aca="false">'Loan Tape'!$A243</f>
        <v>0</v>
      </c>
      <c r="C1762" s="71" t="n">
        <f aca="false">IF(AND('Loan Tape'!$AX243=1,'Loan Tape'!$AW243=1),MAX(0,C247-C853-C1156-C1459),0)</f>
        <v>0</v>
      </c>
      <c r="D1762" s="71" t="n">
        <f aca="false">IF(AND('Loan Tape'!$AX243=1,'Loan Tape'!$AW243=2),MAX(0,D247-D853-D1156-D1459),0)</f>
        <v>0</v>
      </c>
      <c r="E1762" s="71" t="n">
        <f aca="false">IF(AND('Loan Tape'!$AX243=1,'Loan Tape'!$AW243=3),MAX(0,E247-E853-E1156-E1459),0)</f>
        <v>0</v>
      </c>
      <c r="F1762" s="71" t="n">
        <f aca="false">IF(AND('Loan Tape'!$AX243=1,'Loan Tape'!$AW243=4),MAX(0,F247-F853-F1156-F1459),0)</f>
        <v>0</v>
      </c>
      <c r="G1762" s="71" t="n">
        <f aca="false">IF(AND('Loan Tape'!$AX243=1,'Loan Tape'!$AW243=5),MAX(0,G247-G853-G1156-G1459),0)</f>
        <v>0</v>
      </c>
      <c r="H1762" s="71" t="n">
        <f aca="false">IF(AND('Loan Tape'!$AX243=1,'Loan Tape'!$AW243=6),MAX(0,H247-H853-H1156-H1459),0)</f>
        <v>0</v>
      </c>
      <c r="I1762" s="71" t="n">
        <f aca="false">IF(AND('Loan Tape'!$AX243=1,'Loan Tape'!$AW243=7),MAX(0,I247-I853-I1156-I1459),0)</f>
        <v>0</v>
      </c>
      <c r="J1762" s="71" t="n">
        <f aca="false">IF(AND('Loan Tape'!$AX243=1,'Loan Tape'!$AW243=8),MAX(0,J247-J853-J1156-J1459),0)</f>
        <v>0</v>
      </c>
      <c r="K1762" s="71" t="n">
        <f aca="false">IF(AND('Loan Tape'!$AX243=1,'Loan Tape'!$AW243=9),MAX(0,K247-K853-K1156-K1459),0)</f>
        <v>0</v>
      </c>
      <c r="L1762" s="71" t="n">
        <f aca="false">IF(AND('Loan Tape'!$AX243=1,'Loan Tape'!$AW243=10),MAX(0,L247-L853-L1156-L1459),0)</f>
        <v>0</v>
      </c>
    </row>
    <row r="1763" customFormat="false" ht="15" hidden="false" customHeight="false" outlineLevel="0" collapsed="false">
      <c r="B1763" s="102" t="n">
        <f aca="false">'Loan Tape'!$A244</f>
        <v>0</v>
      </c>
      <c r="C1763" s="99" t="n">
        <f aca="false">IF(AND('Loan Tape'!$AX244=1,'Loan Tape'!$AW244=1),MAX(0,C248-C854-C1157-C1460),0)</f>
        <v>0</v>
      </c>
      <c r="D1763" s="99" t="n">
        <f aca="false">IF(AND('Loan Tape'!$AX244=1,'Loan Tape'!$AW244=2),MAX(0,D248-D854-D1157-D1460),0)</f>
        <v>0</v>
      </c>
      <c r="E1763" s="99" t="n">
        <f aca="false">IF(AND('Loan Tape'!$AX244=1,'Loan Tape'!$AW244=3),MAX(0,E248-E854-E1157-E1460),0)</f>
        <v>0</v>
      </c>
      <c r="F1763" s="99" t="n">
        <f aca="false">IF(AND('Loan Tape'!$AX244=1,'Loan Tape'!$AW244=4),MAX(0,F248-F854-F1157-F1460),0)</f>
        <v>0</v>
      </c>
      <c r="G1763" s="99" t="n">
        <f aca="false">IF(AND('Loan Tape'!$AX244=1,'Loan Tape'!$AW244=5),MAX(0,G248-G854-G1157-G1460),0)</f>
        <v>0</v>
      </c>
      <c r="H1763" s="99" t="n">
        <f aca="false">IF(AND('Loan Tape'!$AX244=1,'Loan Tape'!$AW244=6),MAX(0,H248-H854-H1157-H1460),0)</f>
        <v>0</v>
      </c>
      <c r="I1763" s="99" t="n">
        <f aca="false">IF(AND('Loan Tape'!$AX244=1,'Loan Tape'!$AW244=7),MAX(0,I248-I854-I1157-I1460),0)</f>
        <v>0</v>
      </c>
      <c r="J1763" s="99" t="n">
        <f aca="false">IF(AND('Loan Tape'!$AX244=1,'Loan Tape'!$AW244=8),MAX(0,J248-J854-J1157-J1460),0)</f>
        <v>0</v>
      </c>
      <c r="K1763" s="99" t="n">
        <f aca="false">IF(AND('Loan Tape'!$AX244=1,'Loan Tape'!$AW244=9),MAX(0,K248-K854-K1157-K1460),0)</f>
        <v>0</v>
      </c>
      <c r="L1763" s="99" t="n">
        <f aca="false">IF(AND('Loan Tape'!$AX244=1,'Loan Tape'!$AW244=10),MAX(0,L248-L854-L1157-L1460),0)</f>
        <v>0</v>
      </c>
    </row>
    <row r="1764" customFormat="false" ht="15" hidden="false" customHeight="false" outlineLevel="0" collapsed="false">
      <c r="B1764" s="108" t="n">
        <f aca="false">'Loan Tape'!$A245</f>
        <v>0</v>
      </c>
      <c r="C1764" s="71" t="n">
        <f aca="false">IF(AND('Loan Tape'!$AX245=1,'Loan Tape'!$AW245=1),MAX(0,C249-C855-C1158-C1461),0)</f>
        <v>0</v>
      </c>
      <c r="D1764" s="71" t="n">
        <f aca="false">IF(AND('Loan Tape'!$AX245=1,'Loan Tape'!$AW245=2),MAX(0,D249-D855-D1158-D1461),0)</f>
        <v>0</v>
      </c>
      <c r="E1764" s="71" t="n">
        <f aca="false">IF(AND('Loan Tape'!$AX245=1,'Loan Tape'!$AW245=3),MAX(0,E249-E855-E1158-E1461),0)</f>
        <v>0</v>
      </c>
      <c r="F1764" s="71" t="n">
        <f aca="false">IF(AND('Loan Tape'!$AX245=1,'Loan Tape'!$AW245=4),MAX(0,F249-F855-F1158-F1461),0)</f>
        <v>0</v>
      </c>
      <c r="G1764" s="71" t="n">
        <f aca="false">IF(AND('Loan Tape'!$AX245=1,'Loan Tape'!$AW245=5),MAX(0,G249-G855-G1158-G1461),0)</f>
        <v>0</v>
      </c>
      <c r="H1764" s="71" t="n">
        <f aca="false">IF(AND('Loan Tape'!$AX245=1,'Loan Tape'!$AW245=6),MAX(0,H249-H855-H1158-H1461),0)</f>
        <v>0</v>
      </c>
      <c r="I1764" s="71" t="n">
        <f aca="false">IF(AND('Loan Tape'!$AX245=1,'Loan Tape'!$AW245=7),MAX(0,I249-I855-I1158-I1461),0)</f>
        <v>0</v>
      </c>
      <c r="J1764" s="71" t="n">
        <f aca="false">IF(AND('Loan Tape'!$AX245=1,'Loan Tape'!$AW245=8),MAX(0,J249-J855-J1158-J1461),0)</f>
        <v>0</v>
      </c>
      <c r="K1764" s="71" t="n">
        <f aca="false">IF(AND('Loan Tape'!$AX245=1,'Loan Tape'!$AW245=9),MAX(0,K249-K855-K1158-K1461),0)</f>
        <v>0</v>
      </c>
      <c r="L1764" s="71" t="n">
        <f aca="false">IF(AND('Loan Tape'!$AX245=1,'Loan Tape'!$AW245=10),MAX(0,L249-L855-L1158-L1461),0)</f>
        <v>0</v>
      </c>
    </row>
    <row r="1765" customFormat="false" ht="15" hidden="false" customHeight="false" outlineLevel="0" collapsed="false">
      <c r="B1765" s="102" t="n">
        <f aca="false">'Loan Tape'!$A246</f>
        <v>0</v>
      </c>
      <c r="C1765" s="99" t="n">
        <f aca="false">IF(AND('Loan Tape'!$AX246=1,'Loan Tape'!$AW246=1),MAX(0,C250-C856-C1159-C1462),0)</f>
        <v>0</v>
      </c>
      <c r="D1765" s="99" t="n">
        <f aca="false">IF(AND('Loan Tape'!$AX246=1,'Loan Tape'!$AW246=2),MAX(0,D250-D856-D1159-D1462),0)</f>
        <v>0</v>
      </c>
      <c r="E1765" s="99" t="n">
        <f aca="false">IF(AND('Loan Tape'!$AX246=1,'Loan Tape'!$AW246=3),MAX(0,E250-E856-E1159-E1462),0)</f>
        <v>0</v>
      </c>
      <c r="F1765" s="99" t="n">
        <f aca="false">IF(AND('Loan Tape'!$AX246=1,'Loan Tape'!$AW246=4),MAX(0,F250-F856-F1159-F1462),0)</f>
        <v>0</v>
      </c>
      <c r="G1765" s="99" t="n">
        <f aca="false">IF(AND('Loan Tape'!$AX246=1,'Loan Tape'!$AW246=5),MAX(0,G250-G856-G1159-G1462),0)</f>
        <v>0</v>
      </c>
      <c r="H1765" s="99" t="n">
        <f aca="false">IF(AND('Loan Tape'!$AX246=1,'Loan Tape'!$AW246=6),MAX(0,H250-H856-H1159-H1462),0)</f>
        <v>0</v>
      </c>
      <c r="I1765" s="99" t="n">
        <f aca="false">IF(AND('Loan Tape'!$AX246=1,'Loan Tape'!$AW246=7),MAX(0,I250-I856-I1159-I1462),0)</f>
        <v>0</v>
      </c>
      <c r="J1765" s="99" t="n">
        <f aca="false">IF(AND('Loan Tape'!$AX246=1,'Loan Tape'!$AW246=8),MAX(0,J250-J856-J1159-J1462),0)</f>
        <v>0</v>
      </c>
      <c r="K1765" s="99" t="n">
        <f aca="false">IF(AND('Loan Tape'!$AX246=1,'Loan Tape'!$AW246=9),MAX(0,K250-K856-K1159-K1462),0)</f>
        <v>0</v>
      </c>
      <c r="L1765" s="99" t="n">
        <f aca="false">IF(AND('Loan Tape'!$AX246=1,'Loan Tape'!$AW246=10),MAX(0,L250-L856-L1159-L1462),0)</f>
        <v>0</v>
      </c>
    </row>
    <row r="1766" customFormat="false" ht="15" hidden="false" customHeight="false" outlineLevel="0" collapsed="false">
      <c r="B1766" s="108" t="n">
        <f aca="false">'Loan Tape'!$A247</f>
        <v>0</v>
      </c>
      <c r="C1766" s="71" t="n">
        <f aca="false">IF(AND('Loan Tape'!$AX247=1,'Loan Tape'!$AW247=1),MAX(0,C251-C857-C1160-C1463),0)</f>
        <v>0</v>
      </c>
      <c r="D1766" s="71" t="n">
        <f aca="false">IF(AND('Loan Tape'!$AX247=1,'Loan Tape'!$AW247=2),MAX(0,D251-D857-D1160-D1463),0)</f>
        <v>0</v>
      </c>
      <c r="E1766" s="71" t="n">
        <f aca="false">IF(AND('Loan Tape'!$AX247=1,'Loan Tape'!$AW247=3),MAX(0,E251-E857-E1160-E1463),0)</f>
        <v>0</v>
      </c>
      <c r="F1766" s="71" t="n">
        <f aca="false">IF(AND('Loan Tape'!$AX247=1,'Loan Tape'!$AW247=4),MAX(0,F251-F857-F1160-F1463),0)</f>
        <v>0</v>
      </c>
      <c r="G1766" s="71" t="n">
        <f aca="false">IF(AND('Loan Tape'!$AX247=1,'Loan Tape'!$AW247=5),MAX(0,G251-G857-G1160-G1463),0)</f>
        <v>0</v>
      </c>
      <c r="H1766" s="71" t="n">
        <f aca="false">IF(AND('Loan Tape'!$AX247=1,'Loan Tape'!$AW247=6),MAX(0,H251-H857-H1160-H1463),0)</f>
        <v>0</v>
      </c>
      <c r="I1766" s="71" t="n">
        <f aca="false">IF(AND('Loan Tape'!$AX247=1,'Loan Tape'!$AW247=7),MAX(0,I251-I857-I1160-I1463),0)</f>
        <v>0</v>
      </c>
      <c r="J1766" s="71" t="n">
        <f aca="false">IF(AND('Loan Tape'!$AX247=1,'Loan Tape'!$AW247=8),MAX(0,J251-J857-J1160-J1463),0)</f>
        <v>0</v>
      </c>
      <c r="K1766" s="71" t="n">
        <f aca="false">IF(AND('Loan Tape'!$AX247=1,'Loan Tape'!$AW247=9),MAX(0,K251-K857-K1160-K1463),0)</f>
        <v>0</v>
      </c>
      <c r="L1766" s="71" t="n">
        <f aca="false">IF(AND('Loan Tape'!$AX247=1,'Loan Tape'!$AW247=10),MAX(0,L251-L857-L1160-L1463),0)</f>
        <v>0</v>
      </c>
    </row>
    <row r="1767" customFormat="false" ht="15" hidden="false" customHeight="false" outlineLevel="0" collapsed="false">
      <c r="B1767" s="102" t="n">
        <f aca="false">'Loan Tape'!$A248</f>
        <v>0</v>
      </c>
      <c r="C1767" s="99" t="n">
        <f aca="false">IF(AND('Loan Tape'!$AX248=1,'Loan Tape'!$AW248=1),MAX(0,C252-C858-C1161-C1464),0)</f>
        <v>0</v>
      </c>
      <c r="D1767" s="99" t="n">
        <f aca="false">IF(AND('Loan Tape'!$AX248=1,'Loan Tape'!$AW248=2),MAX(0,D252-D858-D1161-D1464),0)</f>
        <v>0</v>
      </c>
      <c r="E1767" s="99" t="n">
        <f aca="false">IF(AND('Loan Tape'!$AX248=1,'Loan Tape'!$AW248=3),MAX(0,E252-E858-E1161-E1464),0)</f>
        <v>0</v>
      </c>
      <c r="F1767" s="99" t="n">
        <f aca="false">IF(AND('Loan Tape'!$AX248=1,'Loan Tape'!$AW248=4),MAX(0,F252-F858-F1161-F1464),0)</f>
        <v>0</v>
      </c>
      <c r="G1767" s="99" t="n">
        <f aca="false">IF(AND('Loan Tape'!$AX248=1,'Loan Tape'!$AW248=5),MAX(0,G252-G858-G1161-G1464),0)</f>
        <v>0</v>
      </c>
      <c r="H1767" s="99" t="n">
        <f aca="false">IF(AND('Loan Tape'!$AX248=1,'Loan Tape'!$AW248=6),MAX(0,H252-H858-H1161-H1464),0)</f>
        <v>0</v>
      </c>
      <c r="I1767" s="99" t="n">
        <f aca="false">IF(AND('Loan Tape'!$AX248=1,'Loan Tape'!$AW248=7),MAX(0,I252-I858-I1161-I1464),0)</f>
        <v>0</v>
      </c>
      <c r="J1767" s="99" t="n">
        <f aca="false">IF(AND('Loan Tape'!$AX248=1,'Loan Tape'!$AW248=8),MAX(0,J252-J858-J1161-J1464),0)</f>
        <v>0</v>
      </c>
      <c r="K1767" s="99" t="n">
        <f aca="false">IF(AND('Loan Tape'!$AX248=1,'Loan Tape'!$AW248=9),MAX(0,K252-K858-K1161-K1464),0)</f>
        <v>0</v>
      </c>
      <c r="L1767" s="99" t="n">
        <f aca="false">IF(AND('Loan Tape'!$AX248=1,'Loan Tape'!$AW248=10),MAX(0,L252-L858-L1161-L1464),0)</f>
        <v>0</v>
      </c>
    </row>
    <row r="1768" customFormat="false" ht="15" hidden="false" customHeight="false" outlineLevel="0" collapsed="false">
      <c r="B1768" s="108" t="n">
        <f aca="false">'Loan Tape'!$A249</f>
        <v>0</v>
      </c>
      <c r="C1768" s="71" t="n">
        <f aca="false">IF(AND('Loan Tape'!$AX249=1,'Loan Tape'!$AW249=1),MAX(0,C253-C859-C1162-C1465),0)</f>
        <v>0</v>
      </c>
      <c r="D1768" s="71" t="n">
        <f aca="false">IF(AND('Loan Tape'!$AX249=1,'Loan Tape'!$AW249=2),MAX(0,D253-D859-D1162-D1465),0)</f>
        <v>0</v>
      </c>
      <c r="E1768" s="71" t="n">
        <f aca="false">IF(AND('Loan Tape'!$AX249=1,'Loan Tape'!$AW249=3),MAX(0,E253-E859-E1162-E1465),0)</f>
        <v>0</v>
      </c>
      <c r="F1768" s="71" t="n">
        <f aca="false">IF(AND('Loan Tape'!$AX249=1,'Loan Tape'!$AW249=4),MAX(0,F253-F859-F1162-F1465),0)</f>
        <v>0</v>
      </c>
      <c r="G1768" s="71" t="n">
        <f aca="false">IF(AND('Loan Tape'!$AX249=1,'Loan Tape'!$AW249=5),MAX(0,G253-G859-G1162-G1465),0)</f>
        <v>0</v>
      </c>
      <c r="H1768" s="71" t="n">
        <f aca="false">IF(AND('Loan Tape'!$AX249=1,'Loan Tape'!$AW249=6),MAX(0,H253-H859-H1162-H1465),0)</f>
        <v>0</v>
      </c>
      <c r="I1768" s="71" t="n">
        <f aca="false">IF(AND('Loan Tape'!$AX249=1,'Loan Tape'!$AW249=7),MAX(0,I253-I859-I1162-I1465),0)</f>
        <v>0</v>
      </c>
      <c r="J1768" s="71" t="n">
        <f aca="false">IF(AND('Loan Tape'!$AX249=1,'Loan Tape'!$AW249=8),MAX(0,J253-J859-J1162-J1465),0)</f>
        <v>0</v>
      </c>
      <c r="K1768" s="71" t="n">
        <f aca="false">IF(AND('Loan Tape'!$AX249=1,'Loan Tape'!$AW249=9),MAX(0,K253-K859-K1162-K1465),0)</f>
        <v>0</v>
      </c>
      <c r="L1768" s="71" t="n">
        <f aca="false">IF(AND('Loan Tape'!$AX249=1,'Loan Tape'!$AW249=10),MAX(0,L253-L859-L1162-L1465),0)</f>
        <v>0</v>
      </c>
    </row>
    <row r="1769" customFormat="false" ht="15" hidden="false" customHeight="false" outlineLevel="0" collapsed="false">
      <c r="B1769" s="102" t="n">
        <f aca="false">'Loan Tape'!$A250</f>
        <v>0</v>
      </c>
      <c r="C1769" s="99" t="n">
        <f aca="false">IF(AND('Loan Tape'!$AX250=1,'Loan Tape'!$AW250=1),MAX(0,C254-C860-C1163-C1466),0)</f>
        <v>0</v>
      </c>
      <c r="D1769" s="99" t="n">
        <f aca="false">IF(AND('Loan Tape'!$AX250=1,'Loan Tape'!$AW250=2),MAX(0,D254-D860-D1163-D1466),0)</f>
        <v>0</v>
      </c>
      <c r="E1769" s="99" t="n">
        <f aca="false">IF(AND('Loan Tape'!$AX250=1,'Loan Tape'!$AW250=3),MAX(0,E254-E860-E1163-E1466),0)</f>
        <v>0</v>
      </c>
      <c r="F1769" s="99" t="n">
        <f aca="false">IF(AND('Loan Tape'!$AX250=1,'Loan Tape'!$AW250=4),MAX(0,F254-F860-F1163-F1466),0)</f>
        <v>0</v>
      </c>
      <c r="G1769" s="99" t="n">
        <f aca="false">IF(AND('Loan Tape'!$AX250=1,'Loan Tape'!$AW250=5),MAX(0,G254-G860-G1163-G1466),0)</f>
        <v>0</v>
      </c>
      <c r="H1769" s="99" t="n">
        <f aca="false">IF(AND('Loan Tape'!$AX250=1,'Loan Tape'!$AW250=6),MAX(0,H254-H860-H1163-H1466),0)</f>
        <v>0</v>
      </c>
      <c r="I1769" s="99" t="n">
        <f aca="false">IF(AND('Loan Tape'!$AX250=1,'Loan Tape'!$AW250=7),MAX(0,I254-I860-I1163-I1466),0)</f>
        <v>0</v>
      </c>
      <c r="J1769" s="99" t="n">
        <f aca="false">IF(AND('Loan Tape'!$AX250=1,'Loan Tape'!$AW250=8),MAX(0,J254-J860-J1163-J1466),0)</f>
        <v>0</v>
      </c>
      <c r="K1769" s="99" t="n">
        <f aca="false">IF(AND('Loan Tape'!$AX250=1,'Loan Tape'!$AW250=9),MAX(0,K254-K860-K1163-K1466),0)</f>
        <v>0</v>
      </c>
      <c r="L1769" s="99" t="n">
        <f aca="false">IF(AND('Loan Tape'!$AX250=1,'Loan Tape'!$AW250=10),MAX(0,L254-L860-L1163-L1466),0)</f>
        <v>0</v>
      </c>
    </row>
    <row r="1770" customFormat="false" ht="15" hidden="false" customHeight="false" outlineLevel="0" collapsed="false">
      <c r="B1770" s="108" t="n">
        <f aca="false">'Loan Tape'!$A251</f>
        <v>0</v>
      </c>
      <c r="C1770" s="71" t="n">
        <f aca="false">IF(AND('Loan Tape'!$AX251=1,'Loan Tape'!$AW251=1),MAX(0,C255-C861-C1164-C1467),0)</f>
        <v>0</v>
      </c>
      <c r="D1770" s="71" t="n">
        <f aca="false">IF(AND('Loan Tape'!$AX251=1,'Loan Tape'!$AW251=2),MAX(0,D255-D861-D1164-D1467),0)</f>
        <v>0</v>
      </c>
      <c r="E1770" s="71" t="n">
        <f aca="false">IF(AND('Loan Tape'!$AX251=1,'Loan Tape'!$AW251=3),MAX(0,E255-E861-E1164-E1467),0)</f>
        <v>0</v>
      </c>
      <c r="F1770" s="71" t="n">
        <f aca="false">IF(AND('Loan Tape'!$AX251=1,'Loan Tape'!$AW251=4),MAX(0,F255-F861-F1164-F1467),0)</f>
        <v>0</v>
      </c>
      <c r="G1770" s="71" t="n">
        <f aca="false">IF(AND('Loan Tape'!$AX251=1,'Loan Tape'!$AW251=5),MAX(0,G255-G861-G1164-G1467),0)</f>
        <v>0</v>
      </c>
      <c r="H1770" s="71" t="n">
        <f aca="false">IF(AND('Loan Tape'!$AX251=1,'Loan Tape'!$AW251=6),MAX(0,H255-H861-H1164-H1467),0)</f>
        <v>0</v>
      </c>
      <c r="I1770" s="71" t="n">
        <f aca="false">IF(AND('Loan Tape'!$AX251=1,'Loan Tape'!$AW251=7),MAX(0,I255-I861-I1164-I1467),0)</f>
        <v>0</v>
      </c>
      <c r="J1770" s="71" t="n">
        <f aca="false">IF(AND('Loan Tape'!$AX251=1,'Loan Tape'!$AW251=8),MAX(0,J255-J861-J1164-J1467),0)</f>
        <v>0</v>
      </c>
      <c r="K1770" s="71" t="n">
        <f aca="false">IF(AND('Loan Tape'!$AX251=1,'Loan Tape'!$AW251=9),MAX(0,K255-K861-K1164-K1467),0)</f>
        <v>0</v>
      </c>
      <c r="L1770" s="71" t="n">
        <f aca="false">IF(AND('Loan Tape'!$AX251=1,'Loan Tape'!$AW251=10),MAX(0,L255-L861-L1164-L1467),0)</f>
        <v>0</v>
      </c>
    </row>
    <row r="1771" customFormat="false" ht="15" hidden="false" customHeight="false" outlineLevel="0" collapsed="false">
      <c r="B1771" s="102" t="n">
        <f aca="false">'Loan Tape'!$A252</f>
        <v>0</v>
      </c>
      <c r="C1771" s="99" t="n">
        <f aca="false">IF(AND('Loan Tape'!$AX252=1,'Loan Tape'!$AW252=1),MAX(0,C256-C862-C1165-C1468),0)</f>
        <v>0</v>
      </c>
      <c r="D1771" s="99" t="n">
        <f aca="false">IF(AND('Loan Tape'!$AX252=1,'Loan Tape'!$AW252=2),MAX(0,D256-D862-D1165-D1468),0)</f>
        <v>0</v>
      </c>
      <c r="E1771" s="99" t="n">
        <f aca="false">IF(AND('Loan Tape'!$AX252=1,'Loan Tape'!$AW252=3),MAX(0,E256-E862-E1165-E1468),0)</f>
        <v>0</v>
      </c>
      <c r="F1771" s="99" t="n">
        <f aca="false">IF(AND('Loan Tape'!$AX252=1,'Loan Tape'!$AW252=4),MAX(0,F256-F862-F1165-F1468),0)</f>
        <v>0</v>
      </c>
      <c r="G1771" s="99" t="n">
        <f aca="false">IF(AND('Loan Tape'!$AX252=1,'Loan Tape'!$AW252=5),MAX(0,G256-G862-G1165-G1468),0)</f>
        <v>0</v>
      </c>
      <c r="H1771" s="99" t="n">
        <f aca="false">IF(AND('Loan Tape'!$AX252=1,'Loan Tape'!$AW252=6),MAX(0,H256-H862-H1165-H1468),0)</f>
        <v>0</v>
      </c>
      <c r="I1771" s="99" t="n">
        <f aca="false">IF(AND('Loan Tape'!$AX252=1,'Loan Tape'!$AW252=7),MAX(0,I256-I862-I1165-I1468),0)</f>
        <v>0</v>
      </c>
      <c r="J1771" s="99" t="n">
        <f aca="false">IF(AND('Loan Tape'!$AX252=1,'Loan Tape'!$AW252=8),MAX(0,J256-J862-J1165-J1468),0)</f>
        <v>0</v>
      </c>
      <c r="K1771" s="99" t="n">
        <f aca="false">IF(AND('Loan Tape'!$AX252=1,'Loan Tape'!$AW252=9),MAX(0,K256-K862-K1165-K1468),0)</f>
        <v>0</v>
      </c>
      <c r="L1771" s="99" t="n">
        <f aca="false">IF(AND('Loan Tape'!$AX252=1,'Loan Tape'!$AW252=10),MAX(0,L256-L862-L1165-L1468),0)</f>
        <v>0</v>
      </c>
    </row>
    <row r="1772" customFormat="false" ht="15" hidden="false" customHeight="false" outlineLevel="0" collapsed="false">
      <c r="B1772" s="108" t="n">
        <f aca="false">'Loan Tape'!$A253</f>
        <v>0</v>
      </c>
      <c r="C1772" s="71" t="n">
        <f aca="false">IF(AND('Loan Tape'!$AX253=1,'Loan Tape'!$AW253=1),MAX(0,C257-C863-C1166-C1469),0)</f>
        <v>0</v>
      </c>
      <c r="D1772" s="71" t="n">
        <f aca="false">IF(AND('Loan Tape'!$AX253=1,'Loan Tape'!$AW253=2),MAX(0,D257-D863-D1166-D1469),0)</f>
        <v>0</v>
      </c>
      <c r="E1772" s="71" t="n">
        <f aca="false">IF(AND('Loan Tape'!$AX253=1,'Loan Tape'!$AW253=3),MAX(0,E257-E863-E1166-E1469),0)</f>
        <v>0</v>
      </c>
      <c r="F1772" s="71" t="n">
        <f aca="false">IF(AND('Loan Tape'!$AX253=1,'Loan Tape'!$AW253=4),MAX(0,F257-F863-F1166-F1469),0)</f>
        <v>0</v>
      </c>
      <c r="G1772" s="71" t="n">
        <f aca="false">IF(AND('Loan Tape'!$AX253=1,'Loan Tape'!$AW253=5),MAX(0,G257-G863-G1166-G1469),0)</f>
        <v>0</v>
      </c>
      <c r="H1772" s="71" t="n">
        <f aca="false">IF(AND('Loan Tape'!$AX253=1,'Loan Tape'!$AW253=6),MAX(0,H257-H863-H1166-H1469),0)</f>
        <v>0</v>
      </c>
      <c r="I1772" s="71" t="n">
        <f aca="false">IF(AND('Loan Tape'!$AX253=1,'Loan Tape'!$AW253=7),MAX(0,I257-I863-I1166-I1469),0)</f>
        <v>0</v>
      </c>
      <c r="J1772" s="71" t="n">
        <f aca="false">IF(AND('Loan Tape'!$AX253=1,'Loan Tape'!$AW253=8),MAX(0,J257-J863-J1166-J1469),0)</f>
        <v>0</v>
      </c>
      <c r="K1772" s="71" t="n">
        <f aca="false">IF(AND('Loan Tape'!$AX253=1,'Loan Tape'!$AW253=9),MAX(0,K257-K863-K1166-K1469),0)</f>
        <v>0</v>
      </c>
      <c r="L1772" s="71" t="n">
        <f aca="false">IF(AND('Loan Tape'!$AX253=1,'Loan Tape'!$AW253=10),MAX(0,L257-L863-L1166-L1469),0)</f>
        <v>0</v>
      </c>
    </row>
    <row r="1773" customFormat="false" ht="15" hidden="false" customHeight="false" outlineLevel="0" collapsed="false">
      <c r="B1773" s="102" t="n">
        <f aca="false">'Loan Tape'!$A254</f>
        <v>0</v>
      </c>
      <c r="C1773" s="99" t="n">
        <f aca="false">IF(AND('Loan Tape'!$AX254=1,'Loan Tape'!$AW254=1),MAX(0,C258-C864-C1167-C1470),0)</f>
        <v>0</v>
      </c>
      <c r="D1773" s="99" t="n">
        <f aca="false">IF(AND('Loan Tape'!$AX254=1,'Loan Tape'!$AW254=2),MAX(0,D258-D864-D1167-D1470),0)</f>
        <v>0</v>
      </c>
      <c r="E1773" s="99" t="n">
        <f aca="false">IF(AND('Loan Tape'!$AX254=1,'Loan Tape'!$AW254=3),MAX(0,E258-E864-E1167-E1470),0)</f>
        <v>0</v>
      </c>
      <c r="F1773" s="99" t="n">
        <f aca="false">IF(AND('Loan Tape'!$AX254=1,'Loan Tape'!$AW254=4),MAX(0,F258-F864-F1167-F1470),0)</f>
        <v>0</v>
      </c>
      <c r="G1773" s="99" t="n">
        <f aca="false">IF(AND('Loan Tape'!$AX254=1,'Loan Tape'!$AW254=5),MAX(0,G258-G864-G1167-G1470),0)</f>
        <v>0</v>
      </c>
      <c r="H1773" s="99" t="n">
        <f aca="false">IF(AND('Loan Tape'!$AX254=1,'Loan Tape'!$AW254=6),MAX(0,H258-H864-H1167-H1470),0)</f>
        <v>0</v>
      </c>
      <c r="I1773" s="99" t="n">
        <f aca="false">IF(AND('Loan Tape'!$AX254=1,'Loan Tape'!$AW254=7),MAX(0,I258-I864-I1167-I1470),0)</f>
        <v>0</v>
      </c>
      <c r="J1773" s="99" t="n">
        <f aca="false">IF(AND('Loan Tape'!$AX254=1,'Loan Tape'!$AW254=8),MAX(0,J258-J864-J1167-J1470),0)</f>
        <v>0</v>
      </c>
      <c r="K1773" s="99" t="n">
        <f aca="false">IF(AND('Loan Tape'!$AX254=1,'Loan Tape'!$AW254=9),MAX(0,K258-K864-K1167-K1470),0)</f>
        <v>0</v>
      </c>
      <c r="L1773" s="99" t="n">
        <f aca="false">IF(AND('Loan Tape'!$AX254=1,'Loan Tape'!$AW254=10),MAX(0,L258-L864-L1167-L1470),0)</f>
        <v>0</v>
      </c>
    </row>
    <row r="1774" customFormat="false" ht="15" hidden="false" customHeight="false" outlineLevel="0" collapsed="false">
      <c r="B1774" s="108" t="n">
        <f aca="false">'Loan Tape'!$A255</f>
        <v>0</v>
      </c>
      <c r="C1774" s="71" t="n">
        <f aca="false">IF(AND('Loan Tape'!$AX255=1,'Loan Tape'!$AW255=1),MAX(0,C259-C865-C1168-C1471),0)</f>
        <v>0</v>
      </c>
      <c r="D1774" s="71" t="n">
        <f aca="false">IF(AND('Loan Tape'!$AX255=1,'Loan Tape'!$AW255=2),MAX(0,D259-D865-D1168-D1471),0)</f>
        <v>0</v>
      </c>
      <c r="E1774" s="71" t="n">
        <f aca="false">IF(AND('Loan Tape'!$AX255=1,'Loan Tape'!$AW255=3),MAX(0,E259-E865-E1168-E1471),0)</f>
        <v>0</v>
      </c>
      <c r="F1774" s="71" t="n">
        <f aca="false">IF(AND('Loan Tape'!$AX255=1,'Loan Tape'!$AW255=4),MAX(0,F259-F865-F1168-F1471),0)</f>
        <v>0</v>
      </c>
      <c r="G1774" s="71" t="n">
        <f aca="false">IF(AND('Loan Tape'!$AX255=1,'Loan Tape'!$AW255=5),MAX(0,G259-G865-G1168-G1471),0)</f>
        <v>0</v>
      </c>
      <c r="H1774" s="71" t="n">
        <f aca="false">IF(AND('Loan Tape'!$AX255=1,'Loan Tape'!$AW255=6),MAX(0,H259-H865-H1168-H1471),0)</f>
        <v>0</v>
      </c>
      <c r="I1774" s="71" t="n">
        <f aca="false">IF(AND('Loan Tape'!$AX255=1,'Loan Tape'!$AW255=7),MAX(0,I259-I865-I1168-I1471),0)</f>
        <v>0</v>
      </c>
      <c r="J1774" s="71" t="n">
        <f aca="false">IF(AND('Loan Tape'!$AX255=1,'Loan Tape'!$AW255=8),MAX(0,J259-J865-J1168-J1471),0)</f>
        <v>0</v>
      </c>
      <c r="K1774" s="71" t="n">
        <f aca="false">IF(AND('Loan Tape'!$AX255=1,'Loan Tape'!$AW255=9),MAX(0,K259-K865-K1168-K1471),0)</f>
        <v>0</v>
      </c>
      <c r="L1774" s="71" t="n">
        <f aca="false">IF(AND('Loan Tape'!$AX255=1,'Loan Tape'!$AW255=10),MAX(0,L259-L865-L1168-L1471),0)</f>
        <v>0</v>
      </c>
    </row>
    <row r="1775" customFormat="false" ht="15" hidden="false" customHeight="false" outlineLevel="0" collapsed="false">
      <c r="B1775" s="102" t="n">
        <f aca="false">'Loan Tape'!$A256</f>
        <v>0</v>
      </c>
      <c r="C1775" s="99" t="n">
        <f aca="false">IF(AND('Loan Tape'!$AX256=1,'Loan Tape'!$AW256=1),MAX(0,C260-C866-C1169-C1472),0)</f>
        <v>0</v>
      </c>
      <c r="D1775" s="99" t="n">
        <f aca="false">IF(AND('Loan Tape'!$AX256=1,'Loan Tape'!$AW256=2),MAX(0,D260-D866-D1169-D1472),0)</f>
        <v>0</v>
      </c>
      <c r="E1775" s="99" t="n">
        <f aca="false">IF(AND('Loan Tape'!$AX256=1,'Loan Tape'!$AW256=3),MAX(0,E260-E866-E1169-E1472),0)</f>
        <v>0</v>
      </c>
      <c r="F1775" s="99" t="n">
        <f aca="false">IF(AND('Loan Tape'!$AX256=1,'Loan Tape'!$AW256=4),MAX(0,F260-F866-F1169-F1472),0)</f>
        <v>0</v>
      </c>
      <c r="G1775" s="99" t="n">
        <f aca="false">IF(AND('Loan Tape'!$AX256=1,'Loan Tape'!$AW256=5),MAX(0,G260-G866-G1169-G1472),0)</f>
        <v>0</v>
      </c>
      <c r="H1775" s="99" t="n">
        <f aca="false">IF(AND('Loan Tape'!$AX256=1,'Loan Tape'!$AW256=6),MAX(0,H260-H866-H1169-H1472),0)</f>
        <v>0</v>
      </c>
      <c r="I1775" s="99" t="n">
        <f aca="false">IF(AND('Loan Tape'!$AX256=1,'Loan Tape'!$AW256=7),MAX(0,I260-I866-I1169-I1472),0)</f>
        <v>0</v>
      </c>
      <c r="J1775" s="99" t="n">
        <f aca="false">IF(AND('Loan Tape'!$AX256=1,'Loan Tape'!$AW256=8),MAX(0,J260-J866-J1169-J1472),0)</f>
        <v>0</v>
      </c>
      <c r="K1775" s="99" t="n">
        <f aca="false">IF(AND('Loan Tape'!$AX256=1,'Loan Tape'!$AW256=9),MAX(0,K260-K866-K1169-K1472),0)</f>
        <v>0</v>
      </c>
      <c r="L1775" s="99" t="n">
        <f aca="false">IF(AND('Loan Tape'!$AX256=1,'Loan Tape'!$AW256=10),MAX(0,L260-L866-L1169-L1472),0)</f>
        <v>0</v>
      </c>
    </row>
    <row r="1776" customFormat="false" ht="15" hidden="false" customHeight="false" outlineLevel="0" collapsed="false">
      <c r="B1776" s="108" t="n">
        <f aca="false">'Loan Tape'!$A257</f>
        <v>0</v>
      </c>
      <c r="C1776" s="71" t="n">
        <f aca="false">IF(AND('Loan Tape'!$AX257=1,'Loan Tape'!$AW257=1),MAX(0,C261-C867-C1170-C1473),0)</f>
        <v>0</v>
      </c>
      <c r="D1776" s="71" t="n">
        <f aca="false">IF(AND('Loan Tape'!$AX257=1,'Loan Tape'!$AW257=2),MAX(0,D261-D867-D1170-D1473),0)</f>
        <v>0</v>
      </c>
      <c r="E1776" s="71" t="n">
        <f aca="false">IF(AND('Loan Tape'!$AX257=1,'Loan Tape'!$AW257=3),MAX(0,E261-E867-E1170-E1473),0)</f>
        <v>0</v>
      </c>
      <c r="F1776" s="71" t="n">
        <f aca="false">IF(AND('Loan Tape'!$AX257=1,'Loan Tape'!$AW257=4),MAX(0,F261-F867-F1170-F1473),0)</f>
        <v>0</v>
      </c>
      <c r="G1776" s="71" t="n">
        <f aca="false">IF(AND('Loan Tape'!$AX257=1,'Loan Tape'!$AW257=5),MAX(0,G261-G867-G1170-G1473),0)</f>
        <v>0</v>
      </c>
      <c r="H1776" s="71" t="n">
        <f aca="false">IF(AND('Loan Tape'!$AX257=1,'Loan Tape'!$AW257=6),MAX(0,H261-H867-H1170-H1473),0)</f>
        <v>0</v>
      </c>
      <c r="I1776" s="71" t="n">
        <f aca="false">IF(AND('Loan Tape'!$AX257=1,'Loan Tape'!$AW257=7),MAX(0,I261-I867-I1170-I1473),0)</f>
        <v>0</v>
      </c>
      <c r="J1776" s="71" t="n">
        <f aca="false">IF(AND('Loan Tape'!$AX257=1,'Loan Tape'!$AW257=8),MAX(0,J261-J867-J1170-J1473),0)</f>
        <v>0</v>
      </c>
      <c r="K1776" s="71" t="n">
        <f aca="false">IF(AND('Loan Tape'!$AX257=1,'Loan Tape'!$AW257=9),MAX(0,K261-K867-K1170-K1473),0)</f>
        <v>0</v>
      </c>
      <c r="L1776" s="71" t="n">
        <f aca="false">IF(AND('Loan Tape'!$AX257=1,'Loan Tape'!$AW257=10),MAX(0,L261-L867-L1170-L1473),0)</f>
        <v>0</v>
      </c>
    </row>
    <row r="1777" customFormat="false" ht="15" hidden="false" customHeight="false" outlineLevel="0" collapsed="false">
      <c r="B1777" s="102" t="n">
        <f aca="false">'Loan Tape'!$A258</f>
        <v>0</v>
      </c>
      <c r="C1777" s="99" t="n">
        <f aca="false">IF(AND('Loan Tape'!$AX258=1,'Loan Tape'!$AW258=1),MAX(0,C262-C868-C1171-C1474),0)</f>
        <v>0</v>
      </c>
      <c r="D1777" s="99" t="n">
        <f aca="false">IF(AND('Loan Tape'!$AX258=1,'Loan Tape'!$AW258=2),MAX(0,D262-D868-D1171-D1474),0)</f>
        <v>0</v>
      </c>
      <c r="E1777" s="99" t="n">
        <f aca="false">IF(AND('Loan Tape'!$AX258=1,'Loan Tape'!$AW258=3),MAX(0,E262-E868-E1171-E1474),0)</f>
        <v>0</v>
      </c>
      <c r="F1777" s="99" t="n">
        <f aca="false">IF(AND('Loan Tape'!$AX258=1,'Loan Tape'!$AW258=4),MAX(0,F262-F868-F1171-F1474),0)</f>
        <v>0</v>
      </c>
      <c r="G1777" s="99" t="n">
        <f aca="false">IF(AND('Loan Tape'!$AX258=1,'Loan Tape'!$AW258=5),MAX(0,G262-G868-G1171-G1474),0)</f>
        <v>0</v>
      </c>
      <c r="H1777" s="99" t="n">
        <f aca="false">IF(AND('Loan Tape'!$AX258=1,'Loan Tape'!$AW258=6),MAX(0,H262-H868-H1171-H1474),0)</f>
        <v>0</v>
      </c>
      <c r="I1777" s="99" t="n">
        <f aca="false">IF(AND('Loan Tape'!$AX258=1,'Loan Tape'!$AW258=7),MAX(0,I262-I868-I1171-I1474),0)</f>
        <v>0</v>
      </c>
      <c r="J1777" s="99" t="n">
        <f aca="false">IF(AND('Loan Tape'!$AX258=1,'Loan Tape'!$AW258=8),MAX(0,J262-J868-J1171-J1474),0)</f>
        <v>0</v>
      </c>
      <c r="K1777" s="99" t="n">
        <f aca="false">IF(AND('Loan Tape'!$AX258=1,'Loan Tape'!$AW258=9),MAX(0,K262-K868-K1171-K1474),0)</f>
        <v>0</v>
      </c>
      <c r="L1777" s="99" t="n">
        <f aca="false">IF(AND('Loan Tape'!$AX258=1,'Loan Tape'!$AW258=10),MAX(0,L262-L868-L1171-L1474),0)</f>
        <v>0</v>
      </c>
    </row>
    <row r="1778" customFormat="false" ht="15" hidden="false" customHeight="false" outlineLevel="0" collapsed="false">
      <c r="B1778" s="108" t="n">
        <f aca="false">'Loan Tape'!$A259</f>
        <v>0</v>
      </c>
      <c r="C1778" s="71" t="n">
        <f aca="false">IF(AND('Loan Tape'!$AX259=1,'Loan Tape'!$AW259=1),MAX(0,C263-C869-C1172-C1475),0)</f>
        <v>0</v>
      </c>
      <c r="D1778" s="71" t="n">
        <f aca="false">IF(AND('Loan Tape'!$AX259=1,'Loan Tape'!$AW259=2),MAX(0,D263-D869-D1172-D1475),0)</f>
        <v>0</v>
      </c>
      <c r="E1778" s="71" t="n">
        <f aca="false">IF(AND('Loan Tape'!$AX259=1,'Loan Tape'!$AW259=3),MAX(0,E263-E869-E1172-E1475),0)</f>
        <v>0</v>
      </c>
      <c r="F1778" s="71" t="n">
        <f aca="false">IF(AND('Loan Tape'!$AX259=1,'Loan Tape'!$AW259=4),MAX(0,F263-F869-F1172-F1475),0)</f>
        <v>0</v>
      </c>
      <c r="G1778" s="71" t="n">
        <f aca="false">IF(AND('Loan Tape'!$AX259=1,'Loan Tape'!$AW259=5),MAX(0,G263-G869-G1172-G1475),0)</f>
        <v>0</v>
      </c>
      <c r="H1778" s="71" t="n">
        <f aca="false">IF(AND('Loan Tape'!$AX259=1,'Loan Tape'!$AW259=6),MAX(0,H263-H869-H1172-H1475),0)</f>
        <v>0</v>
      </c>
      <c r="I1778" s="71" t="n">
        <f aca="false">IF(AND('Loan Tape'!$AX259=1,'Loan Tape'!$AW259=7),MAX(0,I263-I869-I1172-I1475),0)</f>
        <v>0</v>
      </c>
      <c r="J1778" s="71" t="n">
        <f aca="false">IF(AND('Loan Tape'!$AX259=1,'Loan Tape'!$AW259=8),MAX(0,J263-J869-J1172-J1475),0)</f>
        <v>0</v>
      </c>
      <c r="K1778" s="71" t="n">
        <f aca="false">IF(AND('Loan Tape'!$AX259=1,'Loan Tape'!$AW259=9),MAX(0,K263-K869-K1172-K1475),0)</f>
        <v>0</v>
      </c>
      <c r="L1778" s="71" t="n">
        <f aca="false">IF(AND('Loan Tape'!$AX259=1,'Loan Tape'!$AW259=10),MAX(0,L263-L869-L1172-L1475),0)</f>
        <v>0</v>
      </c>
    </row>
    <row r="1779" customFormat="false" ht="15" hidden="false" customHeight="false" outlineLevel="0" collapsed="false">
      <c r="B1779" s="102" t="n">
        <f aca="false">'Loan Tape'!$A260</f>
        <v>0</v>
      </c>
      <c r="C1779" s="99" t="n">
        <f aca="false">IF(AND('Loan Tape'!$AX260=1,'Loan Tape'!$AW260=1),MAX(0,C264-C870-C1173-C1476),0)</f>
        <v>0</v>
      </c>
      <c r="D1779" s="99" t="n">
        <f aca="false">IF(AND('Loan Tape'!$AX260=1,'Loan Tape'!$AW260=2),MAX(0,D264-D870-D1173-D1476),0)</f>
        <v>0</v>
      </c>
      <c r="E1779" s="99" t="n">
        <f aca="false">IF(AND('Loan Tape'!$AX260=1,'Loan Tape'!$AW260=3),MAX(0,E264-E870-E1173-E1476),0)</f>
        <v>0</v>
      </c>
      <c r="F1779" s="99" t="n">
        <f aca="false">IF(AND('Loan Tape'!$AX260=1,'Loan Tape'!$AW260=4),MAX(0,F264-F870-F1173-F1476),0)</f>
        <v>0</v>
      </c>
      <c r="G1779" s="99" t="n">
        <f aca="false">IF(AND('Loan Tape'!$AX260=1,'Loan Tape'!$AW260=5),MAX(0,G264-G870-G1173-G1476),0)</f>
        <v>0</v>
      </c>
      <c r="H1779" s="99" t="n">
        <f aca="false">IF(AND('Loan Tape'!$AX260=1,'Loan Tape'!$AW260=6),MAX(0,H264-H870-H1173-H1476),0)</f>
        <v>0</v>
      </c>
      <c r="I1779" s="99" t="n">
        <f aca="false">IF(AND('Loan Tape'!$AX260=1,'Loan Tape'!$AW260=7),MAX(0,I264-I870-I1173-I1476),0)</f>
        <v>0</v>
      </c>
      <c r="J1779" s="99" t="n">
        <f aca="false">IF(AND('Loan Tape'!$AX260=1,'Loan Tape'!$AW260=8),MAX(0,J264-J870-J1173-J1476),0)</f>
        <v>0</v>
      </c>
      <c r="K1779" s="99" t="n">
        <f aca="false">IF(AND('Loan Tape'!$AX260=1,'Loan Tape'!$AW260=9),MAX(0,K264-K870-K1173-K1476),0)</f>
        <v>0</v>
      </c>
      <c r="L1779" s="99" t="n">
        <f aca="false">IF(AND('Loan Tape'!$AX260=1,'Loan Tape'!$AW260=10),MAX(0,L264-L870-L1173-L1476),0)</f>
        <v>0</v>
      </c>
    </row>
    <row r="1780" customFormat="false" ht="15" hidden="false" customHeight="false" outlineLevel="0" collapsed="false">
      <c r="B1780" s="108" t="n">
        <f aca="false">'Loan Tape'!$A261</f>
        <v>0</v>
      </c>
      <c r="C1780" s="71" t="n">
        <f aca="false">IF(AND('Loan Tape'!$AX261=1,'Loan Tape'!$AW261=1),MAX(0,C265-C871-C1174-C1477),0)</f>
        <v>0</v>
      </c>
      <c r="D1780" s="71" t="n">
        <f aca="false">IF(AND('Loan Tape'!$AX261=1,'Loan Tape'!$AW261=2),MAX(0,D265-D871-D1174-D1477),0)</f>
        <v>0</v>
      </c>
      <c r="E1780" s="71" t="n">
        <f aca="false">IF(AND('Loan Tape'!$AX261=1,'Loan Tape'!$AW261=3),MAX(0,E265-E871-E1174-E1477),0)</f>
        <v>0</v>
      </c>
      <c r="F1780" s="71" t="n">
        <f aca="false">IF(AND('Loan Tape'!$AX261=1,'Loan Tape'!$AW261=4),MAX(0,F265-F871-F1174-F1477),0)</f>
        <v>0</v>
      </c>
      <c r="G1780" s="71" t="n">
        <f aca="false">IF(AND('Loan Tape'!$AX261=1,'Loan Tape'!$AW261=5),MAX(0,G265-G871-G1174-G1477),0)</f>
        <v>0</v>
      </c>
      <c r="H1780" s="71" t="n">
        <f aca="false">IF(AND('Loan Tape'!$AX261=1,'Loan Tape'!$AW261=6),MAX(0,H265-H871-H1174-H1477),0)</f>
        <v>0</v>
      </c>
      <c r="I1780" s="71" t="n">
        <f aca="false">IF(AND('Loan Tape'!$AX261=1,'Loan Tape'!$AW261=7),MAX(0,I265-I871-I1174-I1477),0)</f>
        <v>0</v>
      </c>
      <c r="J1780" s="71" t="n">
        <f aca="false">IF(AND('Loan Tape'!$AX261=1,'Loan Tape'!$AW261=8),MAX(0,J265-J871-J1174-J1477),0)</f>
        <v>0</v>
      </c>
      <c r="K1780" s="71" t="n">
        <f aca="false">IF(AND('Loan Tape'!$AX261=1,'Loan Tape'!$AW261=9),MAX(0,K265-K871-K1174-K1477),0)</f>
        <v>0</v>
      </c>
      <c r="L1780" s="71" t="n">
        <f aca="false">IF(AND('Loan Tape'!$AX261=1,'Loan Tape'!$AW261=10),MAX(0,L265-L871-L1174-L1477),0)</f>
        <v>0</v>
      </c>
    </row>
    <row r="1781" customFormat="false" ht="15" hidden="false" customHeight="false" outlineLevel="0" collapsed="false">
      <c r="B1781" s="102" t="n">
        <f aca="false">'Loan Tape'!$A262</f>
        <v>0</v>
      </c>
      <c r="C1781" s="99" t="n">
        <f aca="false">IF(AND('Loan Tape'!$AX262=1,'Loan Tape'!$AW262=1),MAX(0,C266-C872-C1175-C1478),0)</f>
        <v>0</v>
      </c>
      <c r="D1781" s="99" t="n">
        <f aca="false">IF(AND('Loan Tape'!$AX262=1,'Loan Tape'!$AW262=2),MAX(0,D266-D872-D1175-D1478),0)</f>
        <v>0</v>
      </c>
      <c r="E1781" s="99" t="n">
        <f aca="false">IF(AND('Loan Tape'!$AX262=1,'Loan Tape'!$AW262=3),MAX(0,E266-E872-E1175-E1478),0)</f>
        <v>0</v>
      </c>
      <c r="F1781" s="99" t="n">
        <f aca="false">IF(AND('Loan Tape'!$AX262=1,'Loan Tape'!$AW262=4),MAX(0,F266-F872-F1175-F1478),0)</f>
        <v>0</v>
      </c>
      <c r="G1781" s="99" t="n">
        <f aca="false">IF(AND('Loan Tape'!$AX262=1,'Loan Tape'!$AW262=5),MAX(0,G266-G872-G1175-G1478),0)</f>
        <v>0</v>
      </c>
      <c r="H1781" s="99" t="n">
        <f aca="false">IF(AND('Loan Tape'!$AX262=1,'Loan Tape'!$AW262=6),MAX(0,H266-H872-H1175-H1478),0)</f>
        <v>0</v>
      </c>
      <c r="I1781" s="99" t="n">
        <f aca="false">IF(AND('Loan Tape'!$AX262=1,'Loan Tape'!$AW262=7),MAX(0,I266-I872-I1175-I1478),0)</f>
        <v>0</v>
      </c>
      <c r="J1781" s="99" t="n">
        <f aca="false">IF(AND('Loan Tape'!$AX262=1,'Loan Tape'!$AW262=8),MAX(0,J266-J872-J1175-J1478),0)</f>
        <v>0</v>
      </c>
      <c r="K1781" s="99" t="n">
        <f aca="false">IF(AND('Loan Tape'!$AX262=1,'Loan Tape'!$AW262=9),MAX(0,K266-K872-K1175-K1478),0)</f>
        <v>0</v>
      </c>
      <c r="L1781" s="99" t="n">
        <f aca="false">IF(AND('Loan Tape'!$AX262=1,'Loan Tape'!$AW262=10),MAX(0,L266-L872-L1175-L1478),0)</f>
        <v>0</v>
      </c>
    </row>
    <row r="1782" customFormat="false" ht="15" hidden="false" customHeight="false" outlineLevel="0" collapsed="false">
      <c r="B1782" s="108" t="n">
        <f aca="false">'Loan Tape'!$A263</f>
        <v>0</v>
      </c>
      <c r="C1782" s="71" t="n">
        <f aca="false">IF(AND('Loan Tape'!$AX263=1,'Loan Tape'!$AW263=1),MAX(0,C267-C873-C1176-C1479),0)</f>
        <v>0</v>
      </c>
      <c r="D1782" s="71" t="n">
        <f aca="false">IF(AND('Loan Tape'!$AX263=1,'Loan Tape'!$AW263=2),MAX(0,D267-D873-D1176-D1479),0)</f>
        <v>0</v>
      </c>
      <c r="E1782" s="71" t="n">
        <f aca="false">IF(AND('Loan Tape'!$AX263=1,'Loan Tape'!$AW263=3),MAX(0,E267-E873-E1176-E1479),0)</f>
        <v>0</v>
      </c>
      <c r="F1782" s="71" t="n">
        <f aca="false">IF(AND('Loan Tape'!$AX263=1,'Loan Tape'!$AW263=4),MAX(0,F267-F873-F1176-F1479),0)</f>
        <v>0</v>
      </c>
      <c r="G1782" s="71" t="n">
        <f aca="false">IF(AND('Loan Tape'!$AX263=1,'Loan Tape'!$AW263=5),MAX(0,G267-G873-G1176-G1479),0)</f>
        <v>0</v>
      </c>
      <c r="H1782" s="71" t="n">
        <f aca="false">IF(AND('Loan Tape'!$AX263=1,'Loan Tape'!$AW263=6),MAX(0,H267-H873-H1176-H1479),0)</f>
        <v>0</v>
      </c>
      <c r="I1782" s="71" t="n">
        <f aca="false">IF(AND('Loan Tape'!$AX263=1,'Loan Tape'!$AW263=7),MAX(0,I267-I873-I1176-I1479),0)</f>
        <v>0</v>
      </c>
      <c r="J1782" s="71" t="n">
        <f aca="false">IF(AND('Loan Tape'!$AX263=1,'Loan Tape'!$AW263=8),MAX(0,J267-J873-J1176-J1479),0)</f>
        <v>0</v>
      </c>
      <c r="K1782" s="71" t="n">
        <f aca="false">IF(AND('Loan Tape'!$AX263=1,'Loan Tape'!$AW263=9),MAX(0,K267-K873-K1176-K1479),0)</f>
        <v>0</v>
      </c>
      <c r="L1782" s="71" t="n">
        <f aca="false">IF(AND('Loan Tape'!$AX263=1,'Loan Tape'!$AW263=10),MAX(0,L267-L873-L1176-L1479),0)</f>
        <v>0</v>
      </c>
    </row>
    <row r="1783" customFormat="false" ht="15" hidden="false" customHeight="false" outlineLevel="0" collapsed="false">
      <c r="B1783" s="102" t="n">
        <f aca="false">'Loan Tape'!$A264</f>
        <v>0</v>
      </c>
      <c r="C1783" s="99" t="n">
        <f aca="false">IF(AND('Loan Tape'!$AX264=1,'Loan Tape'!$AW264=1),MAX(0,C268-C874-C1177-C1480),0)</f>
        <v>0</v>
      </c>
      <c r="D1783" s="99" t="n">
        <f aca="false">IF(AND('Loan Tape'!$AX264=1,'Loan Tape'!$AW264=2),MAX(0,D268-D874-D1177-D1480),0)</f>
        <v>0</v>
      </c>
      <c r="E1783" s="99" t="n">
        <f aca="false">IF(AND('Loan Tape'!$AX264=1,'Loan Tape'!$AW264=3),MAX(0,E268-E874-E1177-E1480),0)</f>
        <v>0</v>
      </c>
      <c r="F1783" s="99" t="n">
        <f aca="false">IF(AND('Loan Tape'!$AX264=1,'Loan Tape'!$AW264=4),MAX(0,F268-F874-F1177-F1480),0)</f>
        <v>0</v>
      </c>
      <c r="G1783" s="99" t="n">
        <f aca="false">IF(AND('Loan Tape'!$AX264=1,'Loan Tape'!$AW264=5),MAX(0,G268-G874-G1177-G1480),0)</f>
        <v>0</v>
      </c>
      <c r="H1783" s="99" t="n">
        <f aca="false">IF(AND('Loan Tape'!$AX264=1,'Loan Tape'!$AW264=6),MAX(0,H268-H874-H1177-H1480),0)</f>
        <v>0</v>
      </c>
      <c r="I1783" s="99" t="n">
        <f aca="false">IF(AND('Loan Tape'!$AX264=1,'Loan Tape'!$AW264=7),MAX(0,I268-I874-I1177-I1480),0)</f>
        <v>0</v>
      </c>
      <c r="J1783" s="99" t="n">
        <f aca="false">IF(AND('Loan Tape'!$AX264=1,'Loan Tape'!$AW264=8),MAX(0,J268-J874-J1177-J1480),0)</f>
        <v>0</v>
      </c>
      <c r="K1783" s="99" t="n">
        <f aca="false">IF(AND('Loan Tape'!$AX264=1,'Loan Tape'!$AW264=9),MAX(0,K268-K874-K1177-K1480),0)</f>
        <v>0</v>
      </c>
      <c r="L1783" s="99" t="n">
        <f aca="false">IF(AND('Loan Tape'!$AX264=1,'Loan Tape'!$AW264=10),MAX(0,L268-L874-L1177-L1480),0)</f>
        <v>0</v>
      </c>
    </row>
    <row r="1784" customFormat="false" ht="15" hidden="false" customHeight="false" outlineLevel="0" collapsed="false">
      <c r="B1784" s="108" t="n">
        <f aca="false">'Loan Tape'!$A265</f>
        <v>0</v>
      </c>
      <c r="C1784" s="71" t="n">
        <f aca="false">IF(AND('Loan Tape'!$AX265=1,'Loan Tape'!$AW265=1),MAX(0,C269-C875-C1178-C1481),0)</f>
        <v>0</v>
      </c>
      <c r="D1784" s="71" t="n">
        <f aca="false">IF(AND('Loan Tape'!$AX265=1,'Loan Tape'!$AW265=2),MAX(0,D269-D875-D1178-D1481),0)</f>
        <v>0</v>
      </c>
      <c r="E1784" s="71" t="n">
        <f aca="false">IF(AND('Loan Tape'!$AX265=1,'Loan Tape'!$AW265=3),MAX(0,E269-E875-E1178-E1481),0)</f>
        <v>0</v>
      </c>
      <c r="F1784" s="71" t="n">
        <f aca="false">IF(AND('Loan Tape'!$AX265=1,'Loan Tape'!$AW265=4),MAX(0,F269-F875-F1178-F1481),0)</f>
        <v>0</v>
      </c>
      <c r="G1784" s="71" t="n">
        <f aca="false">IF(AND('Loan Tape'!$AX265=1,'Loan Tape'!$AW265=5),MAX(0,G269-G875-G1178-G1481),0)</f>
        <v>0</v>
      </c>
      <c r="H1784" s="71" t="n">
        <f aca="false">IF(AND('Loan Tape'!$AX265=1,'Loan Tape'!$AW265=6),MAX(0,H269-H875-H1178-H1481),0)</f>
        <v>0</v>
      </c>
      <c r="I1784" s="71" t="n">
        <f aca="false">IF(AND('Loan Tape'!$AX265=1,'Loan Tape'!$AW265=7),MAX(0,I269-I875-I1178-I1481),0)</f>
        <v>0</v>
      </c>
      <c r="J1784" s="71" t="n">
        <f aca="false">IF(AND('Loan Tape'!$AX265=1,'Loan Tape'!$AW265=8),MAX(0,J269-J875-J1178-J1481),0)</f>
        <v>0</v>
      </c>
      <c r="K1784" s="71" t="n">
        <f aca="false">IF(AND('Loan Tape'!$AX265=1,'Loan Tape'!$AW265=9),MAX(0,K269-K875-K1178-K1481),0)</f>
        <v>0</v>
      </c>
      <c r="L1784" s="71" t="n">
        <f aca="false">IF(AND('Loan Tape'!$AX265=1,'Loan Tape'!$AW265=10),MAX(0,L269-L875-L1178-L1481),0)</f>
        <v>0</v>
      </c>
    </row>
    <row r="1785" customFormat="false" ht="15" hidden="false" customHeight="false" outlineLevel="0" collapsed="false">
      <c r="B1785" s="102" t="n">
        <f aca="false">'Loan Tape'!$A266</f>
        <v>0</v>
      </c>
      <c r="C1785" s="99" t="n">
        <f aca="false">IF(AND('Loan Tape'!$AX266=1,'Loan Tape'!$AW266=1),MAX(0,C270-C876-C1179-C1482),0)</f>
        <v>0</v>
      </c>
      <c r="D1785" s="99" t="n">
        <f aca="false">IF(AND('Loan Tape'!$AX266=1,'Loan Tape'!$AW266=2),MAX(0,D270-D876-D1179-D1482),0)</f>
        <v>0</v>
      </c>
      <c r="E1785" s="99" t="n">
        <f aca="false">IF(AND('Loan Tape'!$AX266=1,'Loan Tape'!$AW266=3),MAX(0,E270-E876-E1179-E1482),0)</f>
        <v>0</v>
      </c>
      <c r="F1785" s="99" t="n">
        <f aca="false">IF(AND('Loan Tape'!$AX266=1,'Loan Tape'!$AW266=4),MAX(0,F270-F876-F1179-F1482),0)</f>
        <v>0</v>
      </c>
      <c r="G1785" s="99" t="n">
        <f aca="false">IF(AND('Loan Tape'!$AX266=1,'Loan Tape'!$AW266=5),MAX(0,G270-G876-G1179-G1482),0)</f>
        <v>0</v>
      </c>
      <c r="H1785" s="99" t="n">
        <f aca="false">IF(AND('Loan Tape'!$AX266=1,'Loan Tape'!$AW266=6),MAX(0,H270-H876-H1179-H1482),0)</f>
        <v>0</v>
      </c>
      <c r="I1785" s="99" t="n">
        <f aca="false">IF(AND('Loan Tape'!$AX266=1,'Loan Tape'!$AW266=7),MAX(0,I270-I876-I1179-I1482),0)</f>
        <v>0</v>
      </c>
      <c r="J1785" s="99" t="n">
        <f aca="false">IF(AND('Loan Tape'!$AX266=1,'Loan Tape'!$AW266=8),MAX(0,J270-J876-J1179-J1482),0)</f>
        <v>0</v>
      </c>
      <c r="K1785" s="99" t="n">
        <f aca="false">IF(AND('Loan Tape'!$AX266=1,'Loan Tape'!$AW266=9),MAX(0,K270-K876-K1179-K1482),0)</f>
        <v>0</v>
      </c>
      <c r="L1785" s="99" t="n">
        <f aca="false">IF(AND('Loan Tape'!$AX266=1,'Loan Tape'!$AW266=10),MAX(0,L270-L876-L1179-L1482),0)</f>
        <v>0</v>
      </c>
    </row>
    <row r="1786" customFormat="false" ht="15" hidden="false" customHeight="false" outlineLevel="0" collapsed="false">
      <c r="B1786" s="108" t="n">
        <f aca="false">'Loan Tape'!$A267</f>
        <v>0</v>
      </c>
      <c r="C1786" s="71" t="n">
        <f aca="false">IF(AND('Loan Tape'!$AX267=1,'Loan Tape'!$AW267=1),MAX(0,C271-C877-C1180-C1483),0)</f>
        <v>0</v>
      </c>
      <c r="D1786" s="71" t="n">
        <f aca="false">IF(AND('Loan Tape'!$AX267=1,'Loan Tape'!$AW267=2),MAX(0,D271-D877-D1180-D1483),0)</f>
        <v>0</v>
      </c>
      <c r="E1786" s="71" t="n">
        <f aca="false">IF(AND('Loan Tape'!$AX267=1,'Loan Tape'!$AW267=3),MAX(0,E271-E877-E1180-E1483),0)</f>
        <v>0</v>
      </c>
      <c r="F1786" s="71" t="n">
        <f aca="false">IF(AND('Loan Tape'!$AX267=1,'Loan Tape'!$AW267=4),MAX(0,F271-F877-F1180-F1483),0)</f>
        <v>0</v>
      </c>
      <c r="G1786" s="71" t="n">
        <f aca="false">IF(AND('Loan Tape'!$AX267=1,'Loan Tape'!$AW267=5),MAX(0,G271-G877-G1180-G1483),0)</f>
        <v>0</v>
      </c>
      <c r="H1786" s="71" t="n">
        <f aca="false">IF(AND('Loan Tape'!$AX267=1,'Loan Tape'!$AW267=6),MAX(0,H271-H877-H1180-H1483),0)</f>
        <v>0</v>
      </c>
      <c r="I1786" s="71" t="n">
        <f aca="false">IF(AND('Loan Tape'!$AX267=1,'Loan Tape'!$AW267=7),MAX(0,I271-I877-I1180-I1483),0)</f>
        <v>0</v>
      </c>
      <c r="J1786" s="71" t="n">
        <f aca="false">IF(AND('Loan Tape'!$AX267=1,'Loan Tape'!$AW267=8),MAX(0,J271-J877-J1180-J1483),0)</f>
        <v>0</v>
      </c>
      <c r="K1786" s="71" t="n">
        <f aca="false">IF(AND('Loan Tape'!$AX267=1,'Loan Tape'!$AW267=9),MAX(0,K271-K877-K1180-K1483),0)</f>
        <v>0</v>
      </c>
      <c r="L1786" s="71" t="n">
        <f aca="false">IF(AND('Loan Tape'!$AX267=1,'Loan Tape'!$AW267=10),MAX(0,L271-L877-L1180-L1483),0)</f>
        <v>0</v>
      </c>
    </row>
    <row r="1787" customFormat="false" ht="15" hidden="false" customHeight="false" outlineLevel="0" collapsed="false">
      <c r="B1787" s="102" t="n">
        <f aca="false">'Loan Tape'!$A268</f>
        <v>0</v>
      </c>
      <c r="C1787" s="99" t="n">
        <f aca="false">IF(AND('Loan Tape'!$AX268=1,'Loan Tape'!$AW268=1),MAX(0,C272-C878-C1181-C1484),0)</f>
        <v>0</v>
      </c>
      <c r="D1787" s="99" t="n">
        <f aca="false">IF(AND('Loan Tape'!$AX268=1,'Loan Tape'!$AW268=2),MAX(0,D272-D878-D1181-D1484),0)</f>
        <v>0</v>
      </c>
      <c r="E1787" s="99" t="n">
        <f aca="false">IF(AND('Loan Tape'!$AX268=1,'Loan Tape'!$AW268=3),MAX(0,E272-E878-E1181-E1484),0)</f>
        <v>0</v>
      </c>
      <c r="F1787" s="99" t="n">
        <f aca="false">IF(AND('Loan Tape'!$AX268=1,'Loan Tape'!$AW268=4),MAX(0,F272-F878-F1181-F1484),0)</f>
        <v>0</v>
      </c>
      <c r="G1787" s="99" t="n">
        <f aca="false">IF(AND('Loan Tape'!$AX268=1,'Loan Tape'!$AW268=5),MAX(0,G272-G878-G1181-G1484),0)</f>
        <v>0</v>
      </c>
      <c r="H1787" s="99" t="n">
        <f aca="false">IF(AND('Loan Tape'!$AX268=1,'Loan Tape'!$AW268=6),MAX(0,H272-H878-H1181-H1484),0)</f>
        <v>0</v>
      </c>
      <c r="I1787" s="99" t="n">
        <f aca="false">IF(AND('Loan Tape'!$AX268=1,'Loan Tape'!$AW268=7),MAX(0,I272-I878-I1181-I1484),0)</f>
        <v>0</v>
      </c>
      <c r="J1787" s="99" t="n">
        <f aca="false">IF(AND('Loan Tape'!$AX268=1,'Loan Tape'!$AW268=8),MAX(0,J272-J878-J1181-J1484),0)</f>
        <v>0</v>
      </c>
      <c r="K1787" s="99" t="n">
        <f aca="false">IF(AND('Loan Tape'!$AX268=1,'Loan Tape'!$AW268=9),MAX(0,K272-K878-K1181-K1484),0)</f>
        <v>0</v>
      </c>
      <c r="L1787" s="99" t="n">
        <f aca="false">IF(AND('Loan Tape'!$AX268=1,'Loan Tape'!$AW268=10),MAX(0,L272-L878-L1181-L1484),0)</f>
        <v>0</v>
      </c>
    </row>
    <row r="1788" customFormat="false" ht="15" hidden="false" customHeight="false" outlineLevel="0" collapsed="false">
      <c r="B1788" s="108" t="n">
        <f aca="false">'Loan Tape'!$A269</f>
        <v>0</v>
      </c>
      <c r="C1788" s="71" t="n">
        <f aca="false">IF(AND('Loan Tape'!$AX269=1,'Loan Tape'!$AW269=1),MAX(0,C273-C879-C1182-C1485),0)</f>
        <v>0</v>
      </c>
      <c r="D1788" s="71" t="n">
        <f aca="false">IF(AND('Loan Tape'!$AX269=1,'Loan Tape'!$AW269=2),MAX(0,D273-D879-D1182-D1485),0)</f>
        <v>0</v>
      </c>
      <c r="E1788" s="71" t="n">
        <f aca="false">IF(AND('Loan Tape'!$AX269=1,'Loan Tape'!$AW269=3),MAX(0,E273-E879-E1182-E1485),0)</f>
        <v>0</v>
      </c>
      <c r="F1788" s="71" t="n">
        <f aca="false">IF(AND('Loan Tape'!$AX269=1,'Loan Tape'!$AW269=4),MAX(0,F273-F879-F1182-F1485),0)</f>
        <v>0</v>
      </c>
      <c r="G1788" s="71" t="n">
        <f aca="false">IF(AND('Loan Tape'!$AX269=1,'Loan Tape'!$AW269=5),MAX(0,G273-G879-G1182-G1485),0)</f>
        <v>0</v>
      </c>
      <c r="H1788" s="71" t="n">
        <f aca="false">IF(AND('Loan Tape'!$AX269=1,'Loan Tape'!$AW269=6),MAX(0,H273-H879-H1182-H1485),0)</f>
        <v>0</v>
      </c>
      <c r="I1788" s="71" t="n">
        <f aca="false">IF(AND('Loan Tape'!$AX269=1,'Loan Tape'!$AW269=7),MAX(0,I273-I879-I1182-I1485),0)</f>
        <v>0</v>
      </c>
      <c r="J1788" s="71" t="n">
        <f aca="false">IF(AND('Loan Tape'!$AX269=1,'Loan Tape'!$AW269=8),MAX(0,J273-J879-J1182-J1485),0)</f>
        <v>0</v>
      </c>
      <c r="K1788" s="71" t="n">
        <f aca="false">IF(AND('Loan Tape'!$AX269=1,'Loan Tape'!$AW269=9),MAX(0,K273-K879-K1182-K1485),0)</f>
        <v>0</v>
      </c>
      <c r="L1788" s="71" t="n">
        <f aca="false">IF(AND('Loan Tape'!$AX269=1,'Loan Tape'!$AW269=10),MAX(0,L273-L879-L1182-L1485),0)</f>
        <v>0</v>
      </c>
    </row>
    <row r="1789" customFormat="false" ht="15" hidden="false" customHeight="false" outlineLevel="0" collapsed="false">
      <c r="B1789" s="102" t="n">
        <f aca="false">'Loan Tape'!$A270</f>
        <v>0</v>
      </c>
      <c r="C1789" s="99" t="n">
        <f aca="false">IF(AND('Loan Tape'!$AX270=1,'Loan Tape'!$AW270=1),MAX(0,C274-C880-C1183-C1486),0)</f>
        <v>0</v>
      </c>
      <c r="D1789" s="99" t="n">
        <f aca="false">IF(AND('Loan Tape'!$AX270=1,'Loan Tape'!$AW270=2),MAX(0,D274-D880-D1183-D1486),0)</f>
        <v>0</v>
      </c>
      <c r="E1789" s="99" t="n">
        <f aca="false">IF(AND('Loan Tape'!$AX270=1,'Loan Tape'!$AW270=3),MAX(0,E274-E880-E1183-E1486),0)</f>
        <v>0</v>
      </c>
      <c r="F1789" s="99" t="n">
        <f aca="false">IF(AND('Loan Tape'!$AX270=1,'Loan Tape'!$AW270=4),MAX(0,F274-F880-F1183-F1486),0)</f>
        <v>0</v>
      </c>
      <c r="G1789" s="99" t="n">
        <f aca="false">IF(AND('Loan Tape'!$AX270=1,'Loan Tape'!$AW270=5),MAX(0,G274-G880-G1183-G1486),0)</f>
        <v>0</v>
      </c>
      <c r="H1789" s="99" t="n">
        <f aca="false">IF(AND('Loan Tape'!$AX270=1,'Loan Tape'!$AW270=6),MAX(0,H274-H880-H1183-H1486),0)</f>
        <v>0</v>
      </c>
      <c r="I1789" s="99" t="n">
        <f aca="false">IF(AND('Loan Tape'!$AX270=1,'Loan Tape'!$AW270=7),MAX(0,I274-I880-I1183-I1486),0)</f>
        <v>0</v>
      </c>
      <c r="J1789" s="99" t="n">
        <f aca="false">IF(AND('Loan Tape'!$AX270=1,'Loan Tape'!$AW270=8),MAX(0,J274-J880-J1183-J1486),0)</f>
        <v>0</v>
      </c>
      <c r="K1789" s="99" t="n">
        <f aca="false">IF(AND('Loan Tape'!$AX270=1,'Loan Tape'!$AW270=9),MAX(0,K274-K880-K1183-K1486),0)</f>
        <v>0</v>
      </c>
      <c r="L1789" s="99" t="n">
        <f aca="false">IF(AND('Loan Tape'!$AX270=1,'Loan Tape'!$AW270=10),MAX(0,L274-L880-L1183-L1486),0)</f>
        <v>0</v>
      </c>
    </row>
    <row r="1790" customFormat="false" ht="15" hidden="false" customHeight="false" outlineLevel="0" collapsed="false">
      <c r="B1790" s="108" t="n">
        <f aca="false">'Loan Tape'!$A271</f>
        <v>0</v>
      </c>
      <c r="C1790" s="71" t="n">
        <f aca="false">IF(AND('Loan Tape'!$AX271=1,'Loan Tape'!$AW271=1),MAX(0,C275-C881-C1184-C1487),0)</f>
        <v>0</v>
      </c>
      <c r="D1790" s="71" t="n">
        <f aca="false">IF(AND('Loan Tape'!$AX271=1,'Loan Tape'!$AW271=2),MAX(0,D275-D881-D1184-D1487),0)</f>
        <v>0</v>
      </c>
      <c r="E1790" s="71" t="n">
        <f aca="false">IF(AND('Loan Tape'!$AX271=1,'Loan Tape'!$AW271=3),MAX(0,E275-E881-E1184-E1487),0)</f>
        <v>0</v>
      </c>
      <c r="F1790" s="71" t="n">
        <f aca="false">IF(AND('Loan Tape'!$AX271=1,'Loan Tape'!$AW271=4),MAX(0,F275-F881-F1184-F1487),0)</f>
        <v>0</v>
      </c>
      <c r="G1790" s="71" t="n">
        <f aca="false">IF(AND('Loan Tape'!$AX271=1,'Loan Tape'!$AW271=5),MAX(0,G275-G881-G1184-G1487),0)</f>
        <v>0</v>
      </c>
      <c r="H1790" s="71" t="n">
        <f aca="false">IF(AND('Loan Tape'!$AX271=1,'Loan Tape'!$AW271=6),MAX(0,H275-H881-H1184-H1487),0)</f>
        <v>0</v>
      </c>
      <c r="I1790" s="71" t="n">
        <f aca="false">IF(AND('Loan Tape'!$AX271=1,'Loan Tape'!$AW271=7),MAX(0,I275-I881-I1184-I1487),0)</f>
        <v>0</v>
      </c>
      <c r="J1790" s="71" t="n">
        <f aca="false">IF(AND('Loan Tape'!$AX271=1,'Loan Tape'!$AW271=8),MAX(0,J275-J881-J1184-J1487),0)</f>
        <v>0</v>
      </c>
      <c r="K1790" s="71" t="n">
        <f aca="false">IF(AND('Loan Tape'!$AX271=1,'Loan Tape'!$AW271=9),MAX(0,K275-K881-K1184-K1487),0)</f>
        <v>0</v>
      </c>
      <c r="L1790" s="71" t="n">
        <f aca="false">IF(AND('Loan Tape'!$AX271=1,'Loan Tape'!$AW271=10),MAX(0,L275-L881-L1184-L1487),0)</f>
        <v>0</v>
      </c>
    </row>
    <row r="1791" customFormat="false" ht="15" hidden="false" customHeight="false" outlineLevel="0" collapsed="false">
      <c r="B1791" s="102" t="n">
        <f aca="false">'Loan Tape'!$A272</f>
        <v>0</v>
      </c>
      <c r="C1791" s="99" t="n">
        <f aca="false">IF(AND('Loan Tape'!$AX272=1,'Loan Tape'!$AW272=1),MAX(0,C276-C882-C1185-C1488),0)</f>
        <v>0</v>
      </c>
      <c r="D1791" s="99" t="n">
        <f aca="false">IF(AND('Loan Tape'!$AX272=1,'Loan Tape'!$AW272=2),MAX(0,D276-D882-D1185-D1488),0)</f>
        <v>0</v>
      </c>
      <c r="E1791" s="99" t="n">
        <f aca="false">IF(AND('Loan Tape'!$AX272=1,'Loan Tape'!$AW272=3),MAX(0,E276-E882-E1185-E1488),0)</f>
        <v>0</v>
      </c>
      <c r="F1791" s="99" t="n">
        <f aca="false">IF(AND('Loan Tape'!$AX272=1,'Loan Tape'!$AW272=4),MAX(0,F276-F882-F1185-F1488),0)</f>
        <v>0</v>
      </c>
      <c r="G1791" s="99" t="n">
        <f aca="false">IF(AND('Loan Tape'!$AX272=1,'Loan Tape'!$AW272=5),MAX(0,G276-G882-G1185-G1488),0)</f>
        <v>0</v>
      </c>
      <c r="H1791" s="99" t="n">
        <f aca="false">IF(AND('Loan Tape'!$AX272=1,'Loan Tape'!$AW272=6),MAX(0,H276-H882-H1185-H1488),0)</f>
        <v>0</v>
      </c>
      <c r="I1791" s="99" t="n">
        <f aca="false">IF(AND('Loan Tape'!$AX272=1,'Loan Tape'!$AW272=7),MAX(0,I276-I882-I1185-I1488),0)</f>
        <v>0</v>
      </c>
      <c r="J1791" s="99" t="n">
        <f aca="false">IF(AND('Loan Tape'!$AX272=1,'Loan Tape'!$AW272=8),MAX(0,J276-J882-J1185-J1488),0)</f>
        <v>0</v>
      </c>
      <c r="K1791" s="99" t="n">
        <f aca="false">IF(AND('Loan Tape'!$AX272=1,'Loan Tape'!$AW272=9),MAX(0,K276-K882-K1185-K1488),0)</f>
        <v>0</v>
      </c>
      <c r="L1791" s="99" t="n">
        <f aca="false">IF(AND('Loan Tape'!$AX272=1,'Loan Tape'!$AW272=10),MAX(0,L276-L882-L1185-L1488),0)</f>
        <v>0</v>
      </c>
    </row>
    <row r="1792" customFormat="false" ht="15" hidden="false" customHeight="false" outlineLevel="0" collapsed="false">
      <c r="B1792" s="108" t="n">
        <f aca="false">'Loan Tape'!$A273</f>
        <v>0</v>
      </c>
      <c r="C1792" s="71" t="n">
        <f aca="false">IF(AND('Loan Tape'!$AX273=1,'Loan Tape'!$AW273=1),MAX(0,C277-C883-C1186-C1489),0)</f>
        <v>0</v>
      </c>
      <c r="D1792" s="71" t="n">
        <f aca="false">IF(AND('Loan Tape'!$AX273=1,'Loan Tape'!$AW273=2),MAX(0,D277-D883-D1186-D1489),0)</f>
        <v>0</v>
      </c>
      <c r="E1792" s="71" t="n">
        <f aca="false">IF(AND('Loan Tape'!$AX273=1,'Loan Tape'!$AW273=3),MAX(0,E277-E883-E1186-E1489),0)</f>
        <v>0</v>
      </c>
      <c r="F1792" s="71" t="n">
        <f aca="false">IF(AND('Loan Tape'!$AX273=1,'Loan Tape'!$AW273=4),MAX(0,F277-F883-F1186-F1489),0)</f>
        <v>0</v>
      </c>
      <c r="G1792" s="71" t="n">
        <f aca="false">IF(AND('Loan Tape'!$AX273=1,'Loan Tape'!$AW273=5),MAX(0,G277-G883-G1186-G1489),0)</f>
        <v>0</v>
      </c>
      <c r="H1792" s="71" t="n">
        <f aca="false">IF(AND('Loan Tape'!$AX273=1,'Loan Tape'!$AW273=6),MAX(0,H277-H883-H1186-H1489),0)</f>
        <v>0</v>
      </c>
      <c r="I1792" s="71" t="n">
        <f aca="false">IF(AND('Loan Tape'!$AX273=1,'Loan Tape'!$AW273=7),MAX(0,I277-I883-I1186-I1489),0)</f>
        <v>0</v>
      </c>
      <c r="J1792" s="71" t="n">
        <f aca="false">IF(AND('Loan Tape'!$AX273=1,'Loan Tape'!$AW273=8),MAX(0,J277-J883-J1186-J1489),0)</f>
        <v>0</v>
      </c>
      <c r="K1792" s="71" t="n">
        <f aca="false">IF(AND('Loan Tape'!$AX273=1,'Loan Tape'!$AW273=9),MAX(0,K277-K883-K1186-K1489),0)</f>
        <v>0</v>
      </c>
      <c r="L1792" s="71" t="n">
        <f aca="false">IF(AND('Loan Tape'!$AX273=1,'Loan Tape'!$AW273=10),MAX(0,L277-L883-L1186-L1489),0)</f>
        <v>0</v>
      </c>
    </row>
    <row r="1793" customFormat="false" ht="15" hidden="false" customHeight="false" outlineLevel="0" collapsed="false">
      <c r="B1793" s="102" t="n">
        <f aca="false">'Loan Tape'!$A274</f>
        <v>0</v>
      </c>
      <c r="C1793" s="99" t="n">
        <f aca="false">IF(AND('Loan Tape'!$AX274=1,'Loan Tape'!$AW274=1),MAX(0,C278-C884-C1187-C1490),0)</f>
        <v>0</v>
      </c>
      <c r="D1793" s="99" t="n">
        <f aca="false">IF(AND('Loan Tape'!$AX274=1,'Loan Tape'!$AW274=2),MAX(0,D278-D884-D1187-D1490),0)</f>
        <v>0</v>
      </c>
      <c r="E1793" s="99" t="n">
        <f aca="false">IF(AND('Loan Tape'!$AX274=1,'Loan Tape'!$AW274=3),MAX(0,E278-E884-E1187-E1490),0)</f>
        <v>0</v>
      </c>
      <c r="F1793" s="99" t="n">
        <f aca="false">IF(AND('Loan Tape'!$AX274=1,'Loan Tape'!$AW274=4),MAX(0,F278-F884-F1187-F1490),0)</f>
        <v>0</v>
      </c>
      <c r="G1793" s="99" t="n">
        <f aca="false">IF(AND('Loan Tape'!$AX274=1,'Loan Tape'!$AW274=5),MAX(0,G278-G884-G1187-G1490),0)</f>
        <v>0</v>
      </c>
      <c r="H1793" s="99" t="n">
        <f aca="false">IF(AND('Loan Tape'!$AX274=1,'Loan Tape'!$AW274=6),MAX(0,H278-H884-H1187-H1490),0)</f>
        <v>0</v>
      </c>
      <c r="I1793" s="99" t="n">
        <f aca="false">IF(AND('Loan Tape'!$AX274=1,'Loan Tape'!$AW274=7),MAX(0,I278-I884-I1187-I1490),0)</f>
        <v>0</v>
      </c>
      <c r="J1793" s="99" t="n">
        <f aca="false">IF(AND('Loan Tape'!$AX274=1,'Loan Tape'!$AW274=8),MAX(0,J278-J884-J1187-J1490),0)</f>
        <v>0</v>
      </c>
      <c r="K1793" s="99" t="n">
        <f aca="false">IF(AND('Loan Tape'!$AX274=1,'Loan Tape'!$AW274=9),MAX(0,K278-K884-K1187-K1490),0)</f>
        <v>0</v>
      </c>
      <c r="L1793" s="99" t="n">
        <f aca="false">IF(AND('Loan Tape'!$AX274=1,'Loan Tape'!$AW274=10),MAX(0,L278-L884-L1187-L1490),0)</f>
        <v>0</v>
      </c>
    </row>
    <row r="1794" customFormat="false" ht="15" hidden="false" customHeight="false" outlineLevel="0" collapsed="false">
      <c r="B1794" s="108" t="n">
        <f aca="false">'Loan Tape'!$A275</f>
        <v>0</v>
      </c>
      <c r="C1794" s="71" t="n">
        <f aca="false">IF(AND('Loan Tape'!$AX275=1,'Loan Tape'!$AW275=1),MAX(0,C279-C885-C1188-C1491),0)</f>
        <v>0</v>
      </c>
      <c r="D1794" s="71" t="n">
        <f aca="false">IF(AND('Loan Tape'!$AX275=1,'Loan Tape'!$AW275=2),MAX(0,D279-D885-D1188-D1491),0)</f>
        <v>0</v>
      </c>
      <c r="E1794" s="71" t="n">
        <f aca="false">IF(AND('Loan Tape'!$AX275=1,'Loan Tape'!$AW275=3),MAX(0,E279-E885-E1188-E1491),0)</f>
        <v>0</v>
      </c>
      <c r="F1794" s="71" t="n">
        <f aca="false">IF(AND('Loan Tape'!$AX275=1,'Loan Tape'!$AW275=4),MAX(0,F279-F885-F1188-F1491),0)</f>
        <v>0</v>
      </c>
      <c r="G1794" s="71" t="n">
        <f aca="false">IF(AND('Loan Tape'!$AX275=1,'Loan Tape'!$AW275=5),MAX(0,G279-G885-G1188-G1491),0)</f>
        <v>0</v>
      </c>
      <c r="H1794" s="71" t="n">
        <f aca="false">IF(AND('Loan Tape'!$AX275=1,'Loan Tape'!$AW275=6),MAX(0,H279-H885-H1188-H1491),0)</f>
        <v>0</v>
      </c>
      <c r="I1794" s="71" t="n">
        <f aca="false">IF(AND('Loan Tape'!$AX275=1,'Loan Tape'!$AW275=7),MAX(0,I279-I885-I1188-I1491),0)</f>
        <v>0</v>
      </c>
      <c r="J1794" s="71" t="n">
        <f aca="false">IF(AND('Loan Tape'!$AX275=1,'Loan Tape'!$AW275=8),MAX(0,J279-J885-J1188-J1491),0)</f>
        <v>0</v>
      </c>
      <c r="K1794" s="71" t="n">
        <f aca="false">IF(AND('Loan Tape'!$AX275=1,'Loan Tape'!$AW275=9),MAX(0,K279-K885-K1188-K1491),0)</f>
        <v>0</v>
      </c>
      <c r="L1794" s="71" t="n">
        <f aca="false">IF(AND('Loan Tape'!$AX275=1,'Loan Tape'!$AW275=10),MAX(0,L279-L885-L1188-L1491),0)</f>
        <v>0</v>
      </c>
    </row>
    <row r="1795" customFormat="false" ht="15" hidden="false" customHeight="false" outlineLevel="0" collapsed="false">
      <c r="B1795" s="102" t="n">
        <f aca="false">'Loan Tape'!$A276</f>
        <v>0</v>
      </c>
      <c r="C1795" s="99" t="n">
        <f aca="false">IF(AND('Loan Tape'!$AX276=1,'Loan Tape'!$AW276=1),MAX(0,C280-C886-C1189-C1492),0)</f>
        <v>0</v>
      </c>
      <c r="D1795" s="99" t="n">
        <f aca="false">IF(AND('Loan Tape'!$AX276=1,'Loan Tape'!$AW276=2),MAX(0,D280-D886-D1189-D1492),0)</f>
        <v>0</v>
      </c>
      <c r="E1795" s="99" t="n">
        <f aca="false">IF(AND('Loan Tape'!$AX276=1,'Loan Tape'!$AW276=3),MAX(0,E280-E886-E1189-E1492),0)</f>
        <v>0</v>
      </c>
      <c r="F1795" s="99" t="n">
        <f aca="false">IF(AND('Loan Tape'!$AX276=1,'Loan Tape'!$AW276=4),MAX(0,F280-F886-F1189-F1492),0)</f>
        <v>0</v>
      </c>
      <c r="G1795" s="99" t="n">
        <f aca="false">IF(AND('Loan Tape'!$AX276=1,'Loan Tape'!$AW276=5),MAX(0,G280-G886-G1189-G1492),0)</f>
        <v>0</v>
      </c>
      <c r="H1795" s="99" t="n">
        <f aca="false">IF(AND('Loan Tape'!$AX276=1,'Loan Tape'!$AW276=6),MAX(0,H280-H886-H1189-H1492),0)</f>
        <v>0</v>
      </c>
      <c r="I1795" s="99" t="n">
        <f aca="false">IF(AND('Loan Tape'!$AX276=1,'Loan Tape'!$AW276=7),MAX(0,I280-I886-I1189-I1492),0)</f>
        <v>0</v>
      </c>
      <c r="J1795" s="99" t="n">
        <f aca="false">IF(AND('Loan Tape'!$AX276=1,'Loan Tape'!$AW276=8),MAX(0,J280-J886-J1189-J1492),0)</f>
        <v>0</v>
      </c>
      <c r="K1795" s="99" t="n">
        <f aca="false">IF(AND('Loan Tape'!$AX276=1,'Loan Tape'!$AW276=9),MAX(0,K280-K886-K1189-K1492),0)</f>
        <v>0</v>
      </c>
      <c r="L1795" s="99" t="n">
        <f aca="false">IF(AND('Loan Tape'!$AX276=1,'Loan Tape'!$AW276=10),MAX(0,L280-L886-L1189-L1492),0)</f>
        <v>0</v>
      </c>
    </row>
    <row r="1796" customFormat="false" ht="15" hidden="false" customHeight="false" outlineLevel="0" collapsed="false">
      <c r="B1796" s="108" t="n">
        <f aca="false">'Loan Tape'!$A277</f>
        <v>0</v>
      </c>
      <c r="C1796" s="71" t="n">
        <f aca="false">IF(AND('Loan Tape'!$AX277=1,'Loan Tape'!$AW277=1),MAX(0,C281-C887-C1190-C1493),0)</f>
        <v>0</v>
      </c>
      <c r="D1796" s="71" t="n">
        <f aca="false">IF(AND('Loan Tape'!$AX277=1,'Loan Tape'!$AW277=2),MAX(0,D281-D887-D1190-D1493),0)</f>
        <v>0</v>
      </c>
      <c r="E1796" s="71" t="n">
        <f aca="false">IF(AND('Loan Tape'!$AX277=1,'Loan Tape'!$AW277=3),MAX(0,E281-E887-E1190-E1493),0)</f>
        <v>0</v>
      </c>
      <c r="F1796" s="71" t="n">
        <f aca="false">IF(AND('Loan Tape'!$AX277=1,'Loan Tape'!$AW277=4),MAX(0,F281-F887-F1190-F1493),0)</f>
        <v>0</v>
      </c>
      <c r="G1796" s="71" t="n">
        <f aca="false">IF(AND('Loan Tape'!$AX277=1,'Loan Tape'!$AW277=5),MAX(0,G281-G887-G1190-G1493),0)</f>
        <v>0</v>
      </c>
      <c r="H1796" s="71" t="n">
        <f aca="false">IF(AND('Loan Tape'!$AX277=1,'Loan Tape'!$AW277=6),MAX(0,H281-H887-H1190-H1493),0)</f>
        <v>0</v>
      </c>
      <c r="I1796" s="71" t="n">
        <f aca="false">IF(AND('Loan Tape'!$AX277=1,'Loan Tape'!$AW277=7),MAX(0,I281-I887-I1190-I1493),0)</f>
        <v>0</v>
      </c>
      <c r="J1796" s="71" t="n">
        <f aca="false">IF(AND('Loan Tape'!$AX277=1,'Loan Tape'!$AW277=8),MAX(0,J281-J887-J1190-J1493),0)</f>
        <v>0</v>
      </c>
      <c r="K1796" s="71" t="n">
        <f aca="false">IF(AND('Loan Tape'!$AX277=1,'Loan Tape'!$AW277=9),MAX(0,K281-K887-K1190-K1493),0)</f>
        <v>0</v>
      </c>
      <c r="L1796" s="71" t="n">
        <f aca="false">IF(AND('Loan Tape'!$AX277=1,'Loan Tape'!$AW277=10),MAX(0,L281-L887-L1190-L1493),0)</f>
        <v>0</v>
      </c>
    </row>
    <row r="1797" customFormat="false" ht="15" hidden="false" customHeight="false" outlineLevel="0" collapsed="false">
      <c r="B1797" s="102" t="n">
        <f aca="false">'Loan Tape'!$A278</f>
        <v>0</v>
      </c>
      <c r="C1797" s="99" t="n">
        <f aca="false">IF(AND('Loan Tape'!$AX278=1,'Loan Tape'!$AW278=1),MAX(0,C282-C888-C1191-C1494),0)</f>
        <v>0</v>
      </c>
      <c r="D1797" s="99" t="n">
        <f aca="false">IF(AND('Loan Tape'!$AX278=1,'Loan Tape'!$AW278=2),MAX(0,D282-D888-D1191-D1494),0)</f>
        <v>0</v>
      </c>
      <c r="E1797" s="99" t="n">
        <f aca="false">IF(AND('Loan Tape'!$AX278=1,'Loan Tape'!$AW278=3),MAX(0,E282-E888-E1191-E1494),0)</f>
        <v>0</v>
      </c>
      <c r="F1797" s="99" t="n">
        <f aca="false">IF(AND('Loan Tape'!$AX278=1,'Loan Tape'!$AW278=4),MAX(0,F282-F888-F1191-F1494),0)</f>
        <v>0</v>
      </c>
      <c r="G1797" s="99" t="n">
        <f aca="false">IF(AND('Loan Tape'!$AX278=1,'Loan Tape'!$AW278=5),MAX(0,G282-G888-G1191-G1494),0)</f>
        <v>0</v>
      </c>
      <c r="H1797" s="99" t="n">
        <f aca="false">IF(AND('Loan Tape'!$AX278=1,'Loan Tape'!$AW278=6),MAX(0,H282-H888-H1191-H1494),0)</f>
        <v>0</v>
      </c>
      <c r="I1797" s="99" t="n">
        <f aca="false">IF(AND('Loan Tape'!$AX278=1,'Loan Tape'!$AW278=7),MAX(0,I282-I888-I1191-I1494),0)</f>
        <v>0</v>
      </c>
      <c r="J1797" s="99" t="n">
        <f aca="false">IF(AND('Loan Tape'!$AX278=1,'Loan Tape'!$AW278=8),MAX(0,J282-J888-J1191-J1494),0)</f>
        <v>0</v>
      </c>
      <c r="K1797" s="99" t="n">
        <f aca="false">IF(AND('Loan Tape'!$AX278=1,'Loan Tape'!$AW278=9),MAX(0,K282-K888-K1191-K1494),0)</f>
        <v>0</v>
      </c>
      <c r="L1797" s="99" t="n">
        <f aca="false">IF(AND('Loan Tape'!$AX278=1,'Loan Tape'!$AW278=10),MAX(0,L282-L888-L1191-L1494),0)</f>
        <v>0</v>
      </c>
    </row>
    <row r="1798" customFormat="false" ht="15" hidden="false" customHeight="false" outlineLevel="0" collapsed="false">
      <c r="B1798" s="108" t="n">
        <f aca="false">'Loan Tape'!$A279</f>
        <v>0</v>
      </c>
      <c r="C1798" s="71" t="n">
        <f aca="false">IF(AND('Loan Tape'!$AX279=1,'Loan Tape'!$AW279=1),MAX(0,C283-C889-C1192-C1495),0)</f>
        <v>0</v>
      </c>
      <c r="D1798" s="71" t="n">
        <f aca="false">IF(AND('Loan Tape'!$AX279=1,'Loan Tape'!$AW279=2),MAX(0,D283-D889-D1192-D1495),0)</f>
        <v>0</v>
      </c>
      <c r="E1798" s="71" t="n">
        <f aca="false">IF(AND('Loan Tape'!$AX279=1,'Loan Tape'!$AW279=3),MAX(0,E283-E889-E1192-E1495),0)</f>
        <v>0</v>
      </c>
      <c r="F1798" s="71" t="n">
        <f aca="false">IF(AND('Loan Tape'!$AX279=1,'Loan Tape'!$AW279=4),MAX(0,F283-F889-F1192-F1495),0)</f>
        <v>0</v>
      </c>
      <c r="G1798" s="71" t="n">
        <f aca="false">IF(AND('Loan Tape'!$AX279=1,'Loan Tape'!$AW279=5),MAX(0,G283-G889-G1192-G1495),0)</f>
        <v>0</v>
      </c>
      <c r="H1798" s="71" t="n">
        <f aca="false">IF(AND('Loan Tape'!$AX279=1,'Loan Tape'!$AW279=6),MAX(0,H283-H889-H1192-H1495),0)</f>
        <v>0</v>
      </c>
      <c r="I1798" s="71" t="n">
        <f aca="false">IF(AND('Loan Tape'!$AX279=1,'Loan Tape'!$AW279=7),MAX(0,I283-I889-I1192-I1495),0)</f>
        <v>0</v>
      </c>
      <c r="J1798" s="71" t="n">
        <f aca="false">IF(AND('Loan Tape'!$AX279=1,'Loan Tape'!$AW279=8),MAX(0,J283-J889-J1192-J1495),0)</f>
        <v>0</v>
      </c>
      <c r="K1798" s="71" t="n">
        <f aca="false">IF(AND('Loan Tape'!$AX279=1,'Loan Tape'!$AW279=9),MAX(0,K283-K889-K1192-K1495),0)</f>
        <v>0</v>
      </c>
      <c r="L1798" s="71" t="n">
        <f aca="false">IF(AND('Loan Tape'!$AX279=1,'Loan Tape'!$AW279=10),MAX(0,L283-L889-L1192-L1495),0)</f>
        <v>0</v>
      </c>
    </row>
    <row r="1799" customFormat="false" ht="15" hidden="false" customHeight="false" outlineLevel="0" collapsed="false">
      <c r="B1799" s="102" t="n">
        <f aca="false">'Loan Tape'!$A280</f>
        <v>0</v>
      </c>
      <c r="C1799" s="99" t="n">
        <f aca="false">IF(AND('Loan Tape'!$AX280=1,'Loan Tape'!$AW280=1),MAX(0,C284-C890-C1193-C1496),0)</f>
        <v>0</v>
      </c>
      <c r="D1799" s="99" t="n">
        <f aca="false">IF(AND('Loan Tape'!$AX280=1,'Loan Tape'!$AW280=2),MAX(0,D284-D890-D1193-D1496),0)</f>
        <v>0</v>
      </c>
      <c r="E1799" s="99" t="n">
        <f aca="false">IF(AND('Loan Tape'!$AX280=1,'Loan Tape'!$AW280=3),MAX(0,E284-E890-E1193-E1496),0)</f>
        <v>0</v>
      </c>
      <c r="F1799" s="99" t="n">
        <f aca="false">IF(AND('Loan Tape'!$AX280=1,'Loan Tape'!$AW280=4),MAX(0,F284-F890-F1193-F1496),0)</f>
        <v>0</v>
      </c>
      <c r="G1799" s="99" t="n">
        <f aca="false">IF(AND('Loan Tape'!$AX280=1,'Loan Tape'!$AW280=5),MAX(0,G284-G890-G1193-G1496),0)</f>
        <v>0</v>
      </c>
      <c r="H1799" s="99" t="n">
        <f aca="false">IF(AND('Loan Tape'!$AX280=1,'Loan Tape'!$AW280=6),MAX(0,H284-H890-H1193-H1496),0)</f>
        <v>0</v>
      </c>
      <c r="I1799" s="99" t="n">
        <f aca="false">IF(AND('Loan Tape'!$AX280=1,'Loan Tape'!$AW280=7),MAX(0,I284-I890-I1193-I1496),0)</f>
        <v>0</v>
      </c>
      <c r="J1799" s="99" t="n">
        <f aca="false">IF(AND('Loan Tape'!$AX280=1,'Loan Tape'!$AW280=8),MAX(0,J284-J890-J1193-J1496),0)</f>
        <v>0</v>
      </c>
      <c r="K1799" s="99" t="n">
        <f aca="false">IF(AND('Loan Tape'!$AX280=1,'Loan Tape'!$AW280=9),MAX(0,K284-K890-K1193-K1496),0)</f>
        <v>0</v>
      </c>
      <c r="L1799" s="99" t="n">
        <f aca="false">IF(AND('Loan Tape'!$AX280=1,'Loan Tape'!$AW280=10),MAX(0,L284-L890-L1193-L1496),0)</f>
        <v>0</v>
      </c>
    </row>
    <row r="1800" customFormat="false" ht="15" hidden="false" customHeight="false" outlineLevel="0" collapsed="false">
      <c r="B1800" s="108" t="n">
        <f aca="false">'Loan Tape'!$A281</f>
        <v>0</v>
      </c>
      <c r="C1800" s="71" t="n">
        <f aca="false">IF(AND('Loan Tape'!$AX281=1,'Loan Tape'!$AW281=1),MAX(0,C285-C891-C1194-C1497),0)</f>
        <v>0</v>
      </c>
      <c r="D1800" s="71" t="n">
        <f aca="false">IF(AND('Loan Tape'!$AX281=1,'Loan Tape'!$AW281=2),MAX(0,D285-D891-D1194-D1497),0)</f>
        <v>0</v>
      </c>
      <c r="E1800" s="71" t="n">
        <f aca="false">IF(AND('Loan Tape'!$AX281=1,'Loan Tape'!$AW281=3),MAX(0,E285-E891-E1194-E1497),0)</f>
        <v>0</v>
      </c>
      <c r="F1800" s="71" t="n">
        <f aca="false">IF(AND('Loan Tape'!$AX281=1,'Loan Tape'!$AW281=4),MAX(0,F285-F891-F1194-F1497),0)</f>
        <v>0</v>
      </c>
      <c r="G1800" s="71" t="n">
        <f aca="false">IF(AND('Loan Tape'!$AX281=1,'Loan Tape'!$AW281=5),MAX(0,G285-G891-G1194-G1497),0)</f>
        <v>0</v>
      </c>
      <c r="H1800" s="71" t="n">
        <f aca="false">IF(AND('Loan Tape'!$AX281=1,'Loan Tape'!$AW281=6),MAX(0,H285-H891-H1194-H1497),0)</f>
        <v>0</v>
      </c>
      <c r="I1800" s="71" t="n">
        <f aca="false">IF(AND('Loan Tape'!$AX281=1,'Loan Tape'!$AW281=7),MAX(0,I285-I891-I1194-I1497),0)</f>
        <v>0</v>
      </c>
      <c r="J1800" s="71" t="n">
        <f aca="false">IF(AND('Loan Tape'!$AX281=1,'Loan Tape'!$AW281=8),MAX(0,J285-J891-J1194-J1497),0)</f>
        <v>0</v>
      </c>
      <c r="K1800" s="71" t="n">
        <f aca="false">IF(AND('Loan Tape'!$AX281=1,'Loan Tape'!$AW281=9),MAX(0,K285-K891-K1194-K1497),0)</f>
        <v>0</v>
      </c>
      <c r="L1800" s="71" t="n">
        <f aca="false">IF(AND('Loan Tape'!$AX281=1,'Loan Tape'!$AW281=10),MAX(0,L285-L891-L1194-L1497),0)</f>
        <v>0</v>
      </c>
    </row>
    <row r="1801" customFormat="false" ht="15" hidden="false" customHeight="false" outlineLevel="0" collapsed="false">
      <c r="B1801" s="102" t="n">
        <f aca="false">'Loan Tape'!$A282</f>
        <v>0</v>
      </c>
      <c r="C1801" s="99" t="n">
        <f aca="false">IF(AND('Loan Tape'!$AX282=1,'Loan Tape'!$AW282=1),MAX(0,C286-C892-C1195-C1498),0)</f>
        <v>0</v>
      </c>
      <c r="D1801" s="99" t="n">
        <f aca="false">IF(AND('Loan Tape'!$AX282=1,'Loan Tape'!$AW282=2),MAX(0,D286-D892-D1195-D1498),0)</f>
        <v>0</v>
      </c>
      <c r="E1801" s="99" t="n">
        <f aca="false">IF(AND('Loan Tape'!$AX282=1,'Loan Tape'!$AW282=3),MAX(0,E286-E892-E1195-E1498),0)</f>
        <v>0</v>
      </c>
      <c r="F1801" s="99" t="n">
        <f aca="false">IF(AND('Loan Tape'!$AX282=1,'Loan Tape'!$AW282=4),MAX(0,F286-F892-F1195-F1498),0)</f>
        <v>0</v>
      </c>
      <c r="G1801" s="99" t="n">
        <f aca="false">IF(AND('Loan Tape'!$AX282=1,'Loan Tape'!$AW282=5),MAX(0,G286-G892-G1195-G1498),0)</f>
        <v>0</v>
      </c>
      <c r="H1801" s="99" t="n">
        <f aca="false">IF(AND('Loan Tape'!$AX282=1,'Loan Tape'!$AW282=6),MAX(0,H286-H892-H1195-H1498),0)</f>
        <v>0</v>
      </c>
      <c r="I1801" s="99" t="n">
        <f aca="false">IF(AND('Loan Tape'!$AX282=1,'Loan Tape'!$AW282=7),MAX(0,I286-I892-I1195-I1498),0)</f>
        <v>0</v>
      </c>
      <c r="J1801" s="99" t="n">
        <f aca="false">IF(AND('Loan Tape'!$AX282=1,'Loan Tape'!$AW282=8),MAX(0,J286-J892-J1195-J1498),0)</f>
        <v>0</v>
      </c>
      <c r="K1801" s="99" t="n">
        <f aca="false">IF(AND('Loan Tape'!$AX282=1,'Loan Tape'!$AW282=9),MAX(0,K286-K892-K1195-K1498),0)</f>
        <v>0</v>
      </c>
      <c r="L1801" s="99" t="n">
        <f aca="false">IF(AND('Loan Tape'!$AX282=1,'Loan Tape'!$AW282=10),MAX(0,L286-L892-L1195-L1498),0)</f>
        <v>0</v>
      </c>
    </row>
    <row r="1802" customFormat="false" ht="15" hidden="false" customHeight="false" outlineLevel="0" collapsed="false">
      <c r="B1802" s="108" t="n">
        <f aca="false">'Loan Tape'!$A283</f>
        <v>0</v>
      </c>
      <c r="C1802" s="71" t="n">
        <f aca="false">IF(AND('Loan Tape'!$AX283=1,'Loan Tape'!$AW283=1),MAX(0,C287-C893-C1196-C1499),0)</f>
        <v>0</v>
      </c>
      <c r="D1802" s="71" t="n">
        <f aca="false">IF(AND('Loan Tape'!$AX283=1,'Loan Tape'!$AW283=2),MAX(0,D287-D893-D1196-D1499),0)</f>
        <v>0</v>
      </c>
      <c r="E1802" s="71" t="n">
        <f aca="false">IF(AND('Loan Tape'!$AX283=1,'Loan Tape'!$AW283=3),MAX(0,E287-E893-E1196-E1499),0)</f>
        <v>0</v>
      </c>
      <c r="F1802" s="71" t="n">
        <f aca="false">IF(AND('Loan Tape'!$AX283=1,'Loan Tape'!$AW283=4),MAX(0,F287-F893-F1196-F1499),0)</f>
        <v>0</v>
      </c>
      <c r="G1802" s="71" t="n">
        <f aca="false">IF(AND('Loan Tape'!$AX283=1,'Loan Tape'!$AW283=5),MAX(0,G287-G893-G1196-G1499),0)</f>
        <v>0</v>
      </c>
      <c r="H1802" s="71" t="n">
        <f aca="false">IF(AND('Loan Tape'!$AX283=1,'Loan Tape'!$AW283=6),MAX(0,H287-H893-H1196-H1499),0)</f>
        <v>0</v>
      </c>
      <c r="I1802" s="71" t="n">
        <f aca="false">IF(AND('Loan Tape'!$AX283=1,'Loan Tape'!$AW283=7),MAX(0,I287-I893-I1196-I1499),0)</f>
        <v>0</v>
      </c>
      <c r="J1802" s="71" t="n">
        <f aca="false">IF(AND('Loan Tape'!$AX283=1,'Loan Tape'!$AW283=8),MAX(0,J287-J893-J1196-J1499),0)</f>
        <v>0</v>
      </c>
      <c r="K1802" s="71" t="n">
        <f aca="false">IF(AND('Loan Tape'!$AX283=1,'Loan Tape'!$AW283=9),MAX(0,K287-K893-K1196-K1499),0)</f>
        <v>0</v>
      </c>
      <c r="L1802" s="71" t="n">
        <f aca="false">IF(AND('Loan Tape'!$AX283=1,'Loan Tape'!$AW283=10),MAX(0,L287-L893-L1196-L1499),0)</f>
        <v>0</v>
      </c>
    </row>
    <row r="1803" customFormat="false" ht="15" hidden="false" customHeight="false" outlineLevel="0" collapsed="false">
      <c r="B1803" s="102" t="n">
        <f aca="false">'Loan Tape'!$A284</f>
        <v>0</v>
      </c>
      <c r="C1803" s="99" t="n">
        <f aca="false">IF(AND('Loan Tape'!$AX284=1,'Loan Tape'!$AW284=1),MAX(0,C288-C894-C1197-C1500),0)</f>
        <v>0</v>
      </c>
      <c r="D1803" s="99" t="n">
        <f aca="false">IF(AND('Loan Tape'!$AX284=1,'Loan Tape'!$AW284=2),MAX(0,D288-D894-D1197-D1500),0)</f>
        <v>0</v>
      </c>
      <c r="E1803" s="99" t="n">
        <f aca="false">IF(AND('Loan Tape'!$AX284=1,'Loan Tape'!$AW284=3),MAX(0,E288-E894-E1197-E1500),0)</f>
        <v>0</v>
      </c>
      <c r="F1803" s="99" t="n">
        <f aca="false">IF(AND('Loan Tape'!$AX284=1,'Loan Tape'!$AW284=4),MAX(0,F288-F894-F1197-F1500),0)</f>
        <v>0</v>
      </c>
      <c r="G1803" s="99" t="n">
        <f aca="false">IF(AND('Loan Tape'!$AX284=1,'Loan Tape'!$AW284=5),MAX(0,G288-G894-G1197-G1500),0)</f>
        <v>0</v>
      </c>
      <c r="H1803" s="99" t="n">
        <f aca="false">IF(AND('Loan Tape'!$AX284=1,'Loan Tape'!$AW284=6),MAX(0,H288-H894-H1197-H1500),0)</f>
        <v>0</v>
      </c>
      <c r="I1803" s="99" t="n">
        <f aca="false">IF(AND('Loan Tape'!$AX284=1,'Loan Tape'!$AW284=7),MAX(0,I288-I894-I1197-I1500),0)</f>
        <v>0</v>
      </c>
      <c r="J1803" s="99" t="n">
        <f aca="false">IF(AND('Loan Tape'!$AX284=1,'Loan Tape'!$AW284=8),MAX(0,J288-J894-J1197-J1500),0)</f>
        <v>0</v>
      </c>
      <c r="K1803" s="99" t="n">
        <f aca="false">IF(AND('Loan Tape'!$AX284=1,'Loan Tape'!$AW284=9),MAX(0,K288-K894-K1197-K1500),0)</f>
        <v>0</v>
      </c>
      <c r="L1803" s="99" t="n">
        <f aca="false">IF(AND('Loan Tape'!$AX284=1,'Loan Tape'!$AW284=10),MAX(0,L288-L894-L1197-L1500),0)</f>
        <v>0</v>
      </c>
    </row>
    <row r="1804" customFormat="false" ht="15" hidden="false" customHeight="false" outlineLevel="0" collapsed="false">
      <c r="B1804" s="108" t="n">
        <f aca="false">'Loan Tape'!$A285</f>
        <v>0</v>
      </c>
      <c r="C1804" s="71" t="n">
        <f aca="false">IF(AND('Loan Tape'!$AX285=1,'Loan Tape'!$AW285=1),MAX(0,C289-C895-C1198-C1501),0)</f>
        <v>0</v>
      </c>
      <c r="D1804" s="71" t="n">
        <f aca="false">IF(AND('Loan Tape'!$AX285=1,'Loan Tape'!$AW285=2),MAX(0,D289-D895-D1198-D1501),0)</f>
        <v>0</v>
      </c>
      <c r="E1804" s="71" t="n">
        <f aca="false">IF(AND('Loan Tape'!$AX285=1,'Loan Tape'!$AW285=3),MAX(0,E289-E895-E1198-E1501),0)</f>
        <v>0</v>
      </c>
      <c r="F1804" s="71" t="n">
        <f aca="false">IF(AND('Loan Tape'!$AX285=1,'Loan Tape'!$AW285=4),MAX(0,F289-F895-F1198-F1501),0)</f>
        <v>0</v>
      </c>
      <c r="G1804" s="71" t="n">
        <f aca="false">IF(AND('Loan Tape'!$AX285=1,'Loan Tape'!$AW285=5),MAX(0,G289-G895-G1198-G1501),0)</f>
        <v>0</v>
      </c>
      <c r="H1804" s="71" t="n">
        <f aca="false">IF(AND('Loan Tape'!$AX285=1,'Loan Tape'!$AW285=6),MAX(0,H289-H895-H1198-H1501),0)</f>
        <v>0</v>
      </c>
      <c r="I1804" s="71" t="n">
        <f aca="false">IF(AND('Loan Tape'!$AX285=1,'Loan Tape'!$AW285=7),MAX(0,I289-I895-I1198-I1501),0)</f>
        <v>0</v>
      </c>
      <c r="J1804" s="71" t="n">
        <f aca="false">IF(AND('Loan Tape'!$AX285=1,'Loan Tape'!$AW285=8),MAX(0,J289-J895-J1198-J1501),0)</f>
        <v>0</v>
      </c>
      <c r="K1804" s="71" t="n">
        <f aca="false">IF(AND('Loan Tape'!$AX285=1,'Loan Tape'!$AW285=9),MAX(0,K289-K895-K1198-K1501),0)</f>
        <v>0</v>
      </c>
      <c r="L1804" s="71" t="n">
        <f aca="false">IF(AND('Loan Tape'!$AX285=1,'Loan Tape'!$AW285=10),MAX(0,L289-L895-L1198-L1501),0)</f>
        <v>0</v>
      </c>
    </row>
    <row r="1805" customFormat="false" ht="15" hidden="false" customHeight="false" outlineLevel="0" collapsed="false">
      <c r="B1805" s="102" t="n">
        <f aca="false">'Loan Tape'!$A286</f>
        <v>0</v>
      </c>
      <c r="C1805" s="99" t="n">
        <f aca="false">IF(AND('Loan Tape'!$AX286=1,'Loan Tape'!$AW286=1),MAX(0,C290-C896-C1199-C1502),0)</f>
        <v>0</v>
      </c>
      <c r="D1805" s="99" t="n">
        <f aca="false">IF(AND('Loan Tape'!$AX286=1,'Loan Tape'!$AW286=2),MAX(0,D290-D896-D1199-D1502),0)</f>
        <v>0</v>
      </c>
      <c r="E1805" s="99" t="n">
        <f aca="false">IF(AND('Loan Tape'!$AX286=1,'Loan Tape'!$AW286=3),MAX(0,E290-E896-E1199-E1502),0)</f>
        <v>0</v>
      </c>
      <c r="F1805" s="99" t="n">
        <f aca="false">IF(AND('Loan Tape'!$AX286=1,'Loan Tape'!$AW286=4),MAX(0,F290-F896-F1199-F1502),0)</f>
        <v>0</v>
      </c>
      <c r="G1805" s="99" t="n">
        <f aca="false">IF(AND('Loan Tape'!$AX286=1,'Loan Tape'!$AW286=5),MAX(0,G290-G896-G1199-G1502),0)</f>
        <v>0</v>
      </c>
      <c r="H1805" s="99" t="n">
        <f aca="false">IF(AND('Loan Tape'!$AX286=1,'Loan Tape'!$AW286=6),MAX(0,H290-H896-H1199-H1502),0)</f>
        <v>0</v>
      </c>
      <c r="I1805" s="99" t="n">
        <f aca="false">IF(AND('Loan Tape'!$AX286=1,'Loan Tape'!$AW286=7),MAX(0,I290-I896-I1199-I1502),0)</f>
        <v>0</v>
      </c>
      <c r="J1805" s="99" t="n">
        <f aca="false">IF(AND('Loan Tape'!$AX286=1,'Loan Tape'!$AW286=8),MAX(0,J290-J896-J1199-J1502),0)</f>
        <v>0</v>
      </c>
      <c r="K1805" s="99" t="n">
        <f aca="false">IF(AND('Loan Tape'!$AX286=1,'Loan Tape'!$AW286=9),MAX(0,K290-K896-K1199-K1502),0)</f>
        <v>0</v>
      </c>
      <c r="L1805" s="99" t="n">
        <f aca="false">IF(AND('Loan Tape'!$AX286=1,'Loan Tape'!$AW286=10),MAX(0,L290-L896-L1199-L1502),0)</f>
        <v>0</v>
      </c>
    </row>
    <row r="1806" customFormat="false" ht="15" hidden="false" customHeight="false" outlineLevel="0" collapsed="false">
      <c r="B1806" s="108" t="n">
        <f aca="false">'Loan Tape'!$A287</f>
        <v>0</v>
      </c>
      <c r="C1806" s="71" t="n">
        <f aca="false">IF(AND('Loan Tape'!$AX287=1,'Loan Tape'!$AW287=1),MAX(0,C291-C897-C1200-C1503),0)</f>
        <v>0</v>
      </c>
      <c r="D1806" s="71" t="n">
        <f aca="false">IF(AND('Loan Tape'!$AX287=1,'Loan Tape'!$AW287=2),MAX(0,D291-D897-D1200-D1503),0)</f>
        <v>0</v>
      </c>
      <c r="E1806" s="71" t="n">
        <f aca="false">IF(AND('Loan Tape'!$AX287=1,'Loan Tape'!$AW287=3),MAX(0,E291-E897-E1200-E1503),0)</f>
        <v>0</v>
      </c>
      <c r="F1806" s="71" t="n">
        <f aca="false">IF(AND('Loan Tape'!$AX287=1,'Loan Tape'!$AW287=4),MAX(0,F291-F897-F1200-F1503),0)</f>
        <v>0</v>
      </c>
      <c r="G1806" s="71" t="n">
        <f aca="false">IF(AND('Loan Tape'!$AX287=1,'Loan Tape'!$AW287=5),MAX(0,G291-G897-G1200-G1503),0)</f>
        <v>0</v>
      </c>
      <c r="H1806" s="71" t="n">
        <f aca="false">IF(AND('Loan Tape'!$AX287=1,'Loan Tape'!$AW287=6),MAX(0,H291-H897-H1200-H1503),0)</f>
        <v>0</v>
      </c>
      <c r="I1806" s="71" t="n">
        <f aca="false">IF(AND('Loan Tape'!$AX287=1,'Loan Tape'!$AW287=7),MAX(0,I291-I897-I1200-I1503),0)</f>
        <v>0</v>
      </c>
      <c r="J1806" s="71" t="n">
        <f aca="false">IF(AND('Loan Tape'!$AX287=1,'Loan Tape'!$AW287=8),MAX(0,J291-J897-J1200-J1503),0)</f>
        <v>0</v>
      </c>
      <c r="K1806" s="71" t="n">
        <f aca="false">IF(AND('Loan Tape'!$AX287=1,'Loan Tape'!$AW287=9),MAX(0,K291-K897-K1200-K1503),0)</f>
        <v>0</v>
      </c>
      <c r="L1806" s="71" t="n">
        <f aca="false">IF(AND('Loan Tape'!$AX287=1,'Loan Tape'!$AW287=10),MAX(0,L291-L897-L1200-L1503),0)</f>
        <v>0</v>
      </c>
    </row>
    <row r="1807" customFormat="false" ht="15" hidden="false" customHeight="false" outlineLevel="0" collapsed="false">
      <c r="B1807" s="102" t="n">
        <f aca="false">'Loan Tape'!$A288</f>
        <v>0</v>
      </c>
      <c r="C1807" s="99" t="n">
        <f aca="false">IF(AND('Loan Tape'!$AX288=1,'Loan Tape'!$AW288=1),MAX(0,C292-C898-C1201-C1504),0)</f>
        <v>0</v>
      </c>
      <c r="D1807" s="99" t="n">
        <f aca="false">IF(AND('Loan Tape'!$AX288=1,'Loan Tape'!$AW288=2),MAX(0,D292-D898-D1201-D1504),0)</f>
        <v>0</v>
      </c>
      <c r="E1807" s="99" t="n">
        <f aca="false">IF(AND('Loan Tape'!$AX288=1,'Loan Tape'!$AW288=3),MAX(0,E292-E898-E1201-E1504),0)</f>
        <v>0</v>
      </c>
      <c r="F1807" s="99" t="n">
        <f aca="false">IF(AND('Loan Tape'!$AX288=1,'Loan Tape'!$AW288=4),MAX(0,F292-F898-F1201-F1504),0)</f>
        <v>0</v>
      </c>
      <c r="G1807" s="99" t="n">
        <f aca="false">IF(AND('Loan Tape'!$AX288=1,'Loan Tape'!$AW288=5),MAX(0,G292-G898-G1201-G1504),0)</f>
        <v>0</v>
      </c>
      <c r="H1807" s="99" t="n">
        <f aca="false">IF(AND('Loan Tape'!$AX288=1,'Loan Tape'!$AW288=6),MAX(0,H292-H898-H1201-H1504),0)</f>
        <v>0</v>
      </c>
      <c r="I1807" s="99" t="n">
        <f aca="false">IF(AND('Loan Tape'!$AX288=1,'Loan Tape'!$AW288=7),MAX(0,I292-I898-I1201-I1504),0)</f>
        <v>0</v>
      </c>
      <c r="J1807" s="99" t="n">
        <f aca="false">IF(AND('Loan Tape'!$AX288=1,'Loan Tape'!$AW288=8),MAX(0,J292-J898-J1201-J1504),0)</f>
        <v>0</v>
      </c>
      <c r="K1807" s="99" t="n">
        <f aca="false">IF(AND('Loan Tape'!$AX288=1,'Loan Tape'!$AW288=9),MAX(0,K292-K898-K1201-K1504),0)</f>
        <v>0</v>
      </c>
      <c r="L1807" s="99" t="n">
        <f aca="false">IF(AND('Loan Tape'!$AX288=1,'Loan Tape'!$AW288=10),MAX(0,L292-L898-L1201-L1504),0)</f>
        <v>0</v>
      </c>
    </row>
    <row r="1808" customFormat="false" ht="15" hidden="false" customHeight="false" outlineLevel="0" collapsed="false">
      <c r="B1808" s="108" t="n">
        <f aca="false">'Loan Tape'!$A289</f>
        <v>0</v>
      </c>
      <c r="C1808" s="71" t="n">
        <f aca="false">IF(AND('Loan Tape'!$AX289=1,'Loan Tape'!$AW289=1),MAX(0,C293-C899-C1202-C1505),0)</f>
        <v>0</v>
      </c>
      <c r="D1808" s="71" t="n">
        <f aca="false">IF(AND('Loan Tape'!$AX289=1,'Loan Tape'!$AW289=2),MAX(0,D293-D899-D1202-D1505),0)</f>
        <v>0</v>
      </c>
      <c r="E1808" s="71" t="n">
        <f aca="false">IF(AND('Loan Tape'!$AX289=1,'Loan Tape'!$AW289=3),MAX(0,E293-E899-E1202-E1505),0)</f>
        <v>0</v>
      </c>
      <c r="F1808" s="71" t="n">
        <f aca="false">IF(AND('Loan Tape'!$AX289=1,'Loan Tape'!$AW289=4),MAX(0,F293-F899-F1202-F1505),0)</f>
        <v>0</v>
      </c>
      <c r="G1808" s="71" t="n">
        <f aca="false">IF(AND('Loan Tape'!$AX289=1,'Loan Tape'!$AW289=5),MAX(0,G293-G899-G1202-G1505),0)</f>
        <v>0</v>
      </c>
      <c r="H1808" s="71" t="n">
        <f aca="false">IF(AND('Loan Tape'!$AX289=1,'Loan Tape'!$AW289=6),MAX(0,H293-H899-H1202-H1505),0)</f>
        <v>0</v>
      </c>
      <c r="I1808" s="71" t="n">
        <f aca="false">IF(AND('Loan Tape'!$AX289=1,'Loan Tape'!$AW289=7),MAX(0,I293-I899-I1202-I1505),0)</f>
        <v>0</v>
      </c>
      <c r="J1808" s="71" t="n">
        <f aca="false">IF(AND('Loan Tape'!$AX289=1,'Loan Tape'!$AW289=8),MAX(0,J293-J899-J1202-J1505),0)</f>
        <v>0</v>
      </c>
      <c r="K1808" s="71" t="n">
        <f aca="false">IF(AND('Loan Tape'!$AX289=1,'Loan Tape'!$AW289=9),MAX(0,K293-K899-K1202-K1505),0)</f>
        <v>0</v>
      </c>
      <c r="L1808" s="71" t="n">
        <f aca="false">IF(AND('Loan Tape'!$AX289=1,'Loan Tape'!$AW289=10),MAX(0,L293-L899-L1202-L1505),0)</f>
        <v>0</v>
      </c>
    </row>
    <row r="1809" customFormat="false" ht="15" hidden="false" customHeight="false" outlineLevel="0" collapsed="false">
      <c r="B1809" s="102" t="n">
        <f aca="false">'Loan Tape'!$A290</f>
        <v>0</v>
      </c>
      <c r="C1809" s="99" t="n">
        <f aca="false">IF(AND('Loan Tape'!$AX290=1,'Loan Tape'!$AW290=1),MAX(0,C294-C900-C1203-C1506),0)</f>
        <v>0</v>
      </c>
      <c r="D1809" s="99" t="n">
        <f aca="false">IF(AND('Loan Tape'!$AX290=1,'Loan Tape'!$AW290=2),MAX(0,D294-D900-D1203-D1506),0)</f>
        <v>0</v>
      </c>
      <c r="E1809" s="99" t="n">
        <f aca="false">IF(AND('Loan Tape'!$AX290=1,'Loan Tape'!$AW290=3),MAX(0,E294-E900-E1203-E1506),0)</f>
        <v>0</v>
      </c>
      <c r="F1809" s="99" t="n">
        <f aca="false">IF(AND('Loan Tape'!$AX290=1,'Loan Tape'!$AW290=4),MAX(0,F294-F900-F1203-F1506),0)</f>
        <v>0</v>
      </c>
      <c r="G1809" s="99" t="n">
        <f aca="false">IF(AND('Loan Tape'!$AX290=1,'Loan Tape'!$AW290=5),MAX(0,G294-G900-G1203-G1506),0)</f>
        <v>0</v>
      </c>
      <c r="H1809" s="99" t="n">
        <f aca="false">IF(AND('Loan Tape'!$AX290=1,'Loan Tape'!$AW290=6),MAX(0,H294-H900-H1203-H1506),0)</f>
        <v>0</v>
      </c>
      <c r="I1809" s="99" t="n">
        <f aca="false">IF(AND('Loan Tape'!$AX290=1,'Loan Tape'!$AW290=7),MAX(0,I294-I900-I1203-I1506),0)</f>
        <v>0</v>
      </c>
      <c r="J1809" s="99" t="n">
        <f aca="false">IF(AND('Loan Tape'!$AX290=1,'Loan Tape'!$AW290=8),MAX(0,J294-J900-J1203-J1506),0)</f>
        <v>0</v>
      </c>
      <c r="K1809" s="99" t="n">
        <f aca="false">IF(AND('Loan Tape'!$AX290=1,'Loan Tape'!$AW290=9),MAX(0,K294-K900-K1203-K1506),0)</f>
        <v>0</v>
      </c>
      <c r="L1809" s="99" t="n">
        <f aca="false">IF(AND('Loan Tape'!$AX290=1,'Loan Tape'!$AW290=10),MAX(0,L294-L900-L1203-L1506),0)</f>
        <v>0</v>
      </c>
    </row>
    <row r="1810" customFormat="false" ht="15" hidden="false" customHeight="false" outlineLevel="0" collapsed="false">
      <c r="B1810" s="108" t="n">
        <f aca="false">'Loan Tape'!$A291</f>
        <v>0</v>
      </c>
      <c r="C1810" s="71" t="n">
        <f aca="false">IF(AND('Loan Tape'!$AX291=1,'Loan Tape'!$AW291=1),MAX(0,C295-C901-C1204-C1507),0)</f>
        <v>0</v>
      </c>
      <c r="D1810" s="71" t="n">
        <f aca="false">IF(AND('Loan Tape'!$AX291=1,'Loan Tape'!$AW291=2),MAX(0,D295-D901-D1204-D1507),0)</f>
        <v>0</v>
      </c>
      <c r="E1810" s="71" t="n">
        <f aca="false">IF(AND('Loan Tape'!$AX291=1,'Loan Tape'!$AW291=3),MAX(0,E295-E901-E1204-E1507),0)</f>
        <v>0</v>
      </c>
      <c r="F1810" s="71" t="n">
        <f aca="false">IF(AND('Loan Tape'!$AX291=1,'Loan Tape'!$AW291=4),MAX(0,F295-F901-F1204-F1507),0)</f>
        <v>0</v>
      </c>
      <c r="G1810" s="71" t="n">
        <f aca="false">IF(AND('Loan Tape'!$AX291=1,'Loan Tape'!$AW291=5),MAX(0,G295-G901-G1204-G1507),0)</f>
        <v>0</v>
      </c>
      <c r="H1810" s="71" t="n">
        <f aca="false">IF(AND('Loan Tape'!$AX291=1,'Loan Tape'!$AW291=6),MAX(0,H295-H901-H1204-H1507),0)</f>
        <v>0</v>
      </c>
      <c r="I1810" s="71" t="n">
        <f aca="false">IF(AND('Loan Tape'!$AX291=1,'Loan Tape'!$AW291=7),MAX(0,I295-I901-I1204-I1507),0)</f>
        <v>0</v>
      </c>
      <c r="J1810" s="71" t="n">
        <f aca="false">IF(AND('Loan Tape'!$AX291=1,'Loan Tape'!$AW291=8),MAX(0,J295-J901-J1204-J1507),0)</f>
        <v>0</v>
      </c>
      <c r="K1810" s="71" t="n">
        <f aca="false">IF(AND('Loan Tape'!$AX291=1,'Loan Tape'!$AW291=9),MAX(0,K295-K901-K1204-K1507),0)</f>
        <v>0</v>
      </c>
      <c r="L1810" s="71" t="n">
        <f aca="false">IF(AND('Loan Tape'!$AX291=1,'Loan Tape'!$AW291=10),MAX(0,L295-L901-L1204-L1507),0)</f>
        <v>0</v>
      </c>
    </row>
    <row r="1811" customFormat="false" ht="15" hidden="false" customHeight="false" outlineLevel="0" collapsed="false">
      <c r="B1811" s="102" t="n">
        <f aca="false">'Loan Tape'!$A292</f>
        <v>0</v>
      </c>
      <c r="C1811" s="99" t="n">
        <f aca="false">IF(AND('Loan Tape'!$AX292=1,'Loan Tape'!$AW292=1),MAX(0,C296-C902-C1205-C1508),0)</f>
        <v>0</v>
      </c>
      <c r="D1811" s="99" t="n">
        <f aca="false">IF(AND('Loan Tape'!$AX292=1,'Loan Tape'!$AW292=2),MAX(0,D296-D902-D1205-D1508),0)</f>
        <v>0</v>
      </c>
      <c r="E1811" s="99" t="n">
        <f aca="false">IF(AND('Loan Tape'!$AX292=1,'Loan Tape'!$AW292=3),MAX(0,E296-E902-E1205-E1508),0)</f>
        <v>0</v>
      </c>
      <c r="F1811" s="99" t="n">
        <f aca="false">IF(AND('Loan Tape'!$AX292=1,'Loan Tape'!$AW292=4),MAX(0,F296-F902-F1205-F1508),0)</f>
        <v>0</v>
      </c>
      <c r="G1811" s="99" t="n">
        <f aca="false">IF(AND('Loan Tape'!$AX292=1,'Loan Tape'!$AW292=5),MAX(0,G296-G902-G1205-G1508),0)</f>
        <v>0</v>
      </c>
      <c r="H1811" s="99" t="n">
        <f aca="false">IF(AND('Loan Tape'!$AX292=1,'Loan Tape'!$AW292=6),MAX(0,H296-H902-H1205-H1508),0)</f>
        <v>0</v>
      </c>
      <c r="I1811" s="99" t="n">
        <f aca="false">IF(AND('Loan Tape'!$AX292=1,'Loan Tape'!$AW292=7),MAX(0,I296-I902-I1205-I1508),0)</f>
        <v>0</v>
      </c>
      <c r="J1811" s="99" t="n">
        <f aca="false">IF(AND('Loan Tape'!$AX292=1,'Loan Tape'!$AW292=8),MAX(0,J296-J902-J1205-J1508),0)</f>
        <v>0</v>
      </c>
      <c r="K1811" s="99" t="n">
        <f aca="false">IF(AND('Loan Tape'!$AX292=1,'Loan Tape'!$AW292=9),MAX(0,K296-K902-K1205-K1508),0)</f>
        <v>0</v>
      </c>
      <c r="L1811" s="99" t="n">
        <f aca="false">IF(AND('Loan Tape'!$AX292=1,'Loan Tape'!$AW292=10),MAX(0,L296-L902-L1205-L1508),0)</f>
        <v>0</v>
      </c>
    </row>
    <row r="1812" customFormat="false" ht="15" hidden="false" customHeight="false" outlineLevel="0" collapsed="false">
      <c r="B1812" s="108" t="n">
        <f aca="false">'Loan Tape'!$A293</f>
        <v>0</v>
      </c>
      <c r="C1812" s="71" t="n">
        <f aca="false">IF(AND('Loan Tape'!$AX293=1,'Loan Tape'!$AW293=1),MAX(0,C297-C903-C1206-C1509),0)</f>
        <v>0</v>
      </c>
      <c r="D1812" s="71" t="n">
        <f aca="false">IF(AND('Loan Tape'!$AX293=1,'Loan Tape'!$AW293=2),MAX(0,D297-D903-D1206-D1509),0)</f>
        <v>0</v>
      </c>
      <c r="E1812" s="71" t="n">
        <f aca="false">IF(AND('Loan Tape'!$AX293=1,'Loan Tape'!$AW293=3),MAX(0,E297-E903-E1206-E1509),0)</f>
        <v>0</v>
      </c>
      <c r="F1812" s="71" t="n">
        <f aca="false">IF(AND('Loan Tape'!$AX293=1,'Loan Tape'!$AW293=4),MAX(0,F297-F903-F1206-F1509),0)</f>
        <v>0</v>
      </c>
      <c r="G1812" s="71" t="n">
        <f aca="false">IF(AND('Loan Tape'!$AX293=1,'Loan Tape'!$AW293=5),MAX(0,G297-G903-G1206-G1509),0)</f>
        <v>0</v>
      </c>
      <c r="H1812" s="71" t="n">
        <f aca="false">IF(AND('Loan Tape'!$AX293=1,'Loan Tape'!$AW293=6),MAX(0,H297-H903-H1206-H1509),0)</f>
        <v>0</v>
      </c>
      <c r="I1812" s="71" t="n">
        <f aca="false">IF(AND('Loan Tape'!$AX293=1,'Loan Tape'!$AW293=7),MAX(0,I297-I903-I1206-I1509),0)</f>
        <v>0</v>
      </c>
      <c r="J1812" s="71" t="n">
        <f aca="false">IF(AND('Loan Tape'!$AX293=1,'Loan Tape'!$AW293=8),MAX(0,J297-J903-J1206-J1509),0)</f>
        <v>0</v>
      </c>
      <c r="K1812" s="71" t="n">
        <f aca="false">IF(AND('Loan Tape'!$AX293=1,'Loan Tape'!$AW293=9),MAX(0,K297-K903-K1206-K1509),0)</f>
        <v>0</v>
      </c>
      <c r="L1812" s="71" t="n">
        <f aca="false">IF(AND('Loan Tape'!$AX293=1,'Loan Tape'!$AW293=10),MAX(0,L297-L903-L1206-L1509),0)</f>
        <v>0</v>
      </c>
    </row>
    <row r="1813" customFormat="false" ht="15" hidden="false" customHeight="false" outlineLevel="0" collapsed="false">
      <c r="B1813" s="102" t="n">
        <f aca="false">'Loan Tape'!$A294</f>
        <v>0</v>
      </c>
      <c r="C1813" s="99" t="n">
        <f aca="false">IF(AND('Loan Tape'!$AX294=1,'Loan Tape'!$AW294=1),MAX(0,C298-C904-C1207-C1510),0)</f>
        <v>0</v>
      </c>
      <c r="D1813" s="99" t="n">
        <f aca="false">IF(AND('Loan Tape'!$AX294=1,'Loan Tape'!$AW294=2),MAX(0,D298-D904-D1207-D1510),0)</f>
        <v>0</v>
      </c>
      <c r="E1813" s="99" t="n">
        <f aca="false">IF(AND('Loan Tape'!$AX294=1,'Loan Tape'!$AW294=3),MAX(0,E298-E904-E1207-E1510),0)</f>
        <v>0</v>
      </c>
      <c r="F1813" s="99" t="n">
        <f aca="false">IF(AND('Loan Tape'!$AX294=1,'Loan Tape'!$AW294=4),MAX(0,F298-F904-F1207-F1510),0)</f>
        <v>0</v>
      </c>
      <c r="G1813" s="99" t="n">
        <f aca="false">IF(AND('Loan Tape'!$AX294=1,'Loan Tape'!$AW294=5),MAX(0,G298-G904-G1207-G1510),0)</f>
        <v>0</v>
      </c>
      <c r="H1813" s="99" t="n">
        <f aca="false">IF(AND('Loan Tape'!$AX294=1,'Loan Tape'!$AW294=6),MAX(0,H298-H904-H1207-H1510),0)</f>
        <v>0</v>
      </c>
      <c r="I1813" s="99" t="n">
        <f aca="false">IF(AND('Loan Tape'!$AX294=1,'Loan Tape'!$AW294=7),MAX(0,I298-I904-I1207-I1510),0)</f>
        <v>0</v>
      </c>
      <c r="J1813" s="99" t="n">
        <f aca="false">IF(AND('Loan Tape'!$AX294=1,'Loan Tape'!$AW294=8),MAX(0,J298-J904-J1207-J1510),0)</f>
        <v>0</v>
      </c>
      <c r="K1813" s="99" t="n">
        <f aca="false">IF(AND('Loan Tape'!$AX294=1,'Loan Tape'!$AW294=9),MAX(0,K298-K904-K1207-K1510),0)</f>
        <v>0</v>
      </c>
      <c r="L1813" s="99" t="n">
        <f aca="false">IF(AND('Loan Tape'!$AX294=1,'Loan Tape'!$AW294=10),MAX(0,L298-L904-L1207-L1510),0)</f>
        <v>0</v>
      </c>
    </row>
    <row r="1814" customFormat="false" ht="15" hidden="false" customHeight="false" outlineLevel="0" collapsed="false">
      <c r="B1814" s="108" t="n">
        <f aca="false">'Loan Tape'!$A295</f>
        <v>0</v>
      </c>
      <c r="C1814" s="71" t="n">
        <f aca="false">IF(AND('Loan Tape'!$AX295=1,'Loan Tape'!$AW295=1),MAX(0,C299-C905-C1208-C1511),0)</f>
        <v>0</v>
      </c>
      <c r="D1814" s="71" t="n">
        <f aca="false">IF(AND('Loan Tape'!$AX295=1,'Loan Tape'!$AW295=2),MAX(0,D299-D905-D1208-D1511),0)</f>
        <v>0</v>
      </c>
      <c r="E1814" s="71" t="n">
        <f aca="false">IF(AND('Loan Tape'!$AX295=1,'Loan Tape'!$AW295=3),MAX(0,E299-E905-E1208-E1511),0)</f>
        <v>0</v>
      </c>
      <c r="F1814" s="71" t="n">
        <f aca="false">IF(AND('Loan Tape'!$AX295=1,'Loan Tape'!$AW295=4),MAX(0,F299-F905-F1208-F1511),0)</f>
        <v>0</v>
      </c>
      <c r="G1814" s="71" t="n">
        <f aca="false">IF(AND('Loan Tape'!$AX295=1,'Loan Tape'!$AW295=5),MAX(0,G299-G905-G1208-G1511),0)</f>
        <v>0</v>
      </c>
      <c r="H1814" s="71" t="n">
        <f aca="false">IF(AND('Loan Tape'!$AX295=1,'Loan Tape'!$AW295=6),MAX(0,H299-H905-H1208-H1511),0)</f>
        <v>0</v>
      </c>
      <c r="I1814" s="71" t="n">
        <f aca="false">IF(AND('Loan Tape'!$AX295=1,'Loan Tape'!$AW295=7),MAX(0,I299-I905-I1208-I1511),0)</f>
        <v>0</v>
      </c>
      <c r="J1814" s="71" t="n">
        <f aca="false">IF(AND('Loan Tape'!$AX295=1,'Loan Tape'!$AW295=8),MAX(0,J299-J905-J1208-J1511),0)</f>
        <v>0</v>
      </c>
      <c r="K1814" s="71" t="n">
        <f aca="false">IF(AND('Loan Tape'!$AX295=1,'Loan Tape'!$AW295=9),MAX(0,K299-K905-K1208-K1511),0)</f>
        <v>0</v>
      </c>
      <c r="L1814" s="71" t="n">
        <f aca="false">IF(AND('Loan Tape'!$AX295=1,'Loan Tape'!$AW295=10),MAX(0,L299-L905-L1208-L1511),0)</f>
        <v>0</v>
      </c>
    </row>
    <row r="1815" customFormat="false" ht="15" hidden="false" customHeight="false" outlineLevel="0" collapsed="false">
      <c r="B1815" s="102" t="n">
        <f aca="false">'Loan Tape'!$A296</f>
        <v>0</v>
      </c>
      <c r="C1815" s="99" t="n">
        <f aca="false">IF(AND('Loan Tape'!$AX296=1,'Loan Tape'!$AW296=1),MAX(0,C300-C906-C1209-C1512),0)</f>
        <v>0</v>
      </c>
      <c r="D1815" s="99" t="n">
        <f aca="false">IF(AND('Loan Tape'!$AX296=1,'Loan Tape'!$AW296=2),MAX(0,D300-D906-D1209-D1512),0)</f>
        <v>0</v>
      </c>
      <c r="E1815" s="99" t="n">
        <f aca="false">IF(AND('Loan Tape'!$AX296=1,'Loan Tape'!$AW296=3),MAX(0,E300-E906-E1209-E1512),0)</f>
        <v>0</v>
      </c>
      <c r="F1815" s="99" t="n">
        <f aca="false">IF(AND('Loan Tape'!$AX296=1,'Loan Tape'!$AW296=4),MAX(0,F300-F906-F1209-F1512),0)</f>
        <v>0</v>
      </c>
      <c r="G1815" s="99" t="n">
        <f aca="false">IF(AND('Loan Tape'!$AX296=1,'Loan Tape'!$AW296=5),MAX(0,G300-G906-G1209-G1512),0)</f>
        <v>0</v>
      </c>
      <c r="H1815" s="99" t="n">
        <f aca="false">IF(AND('Loan Tape'!$AX296=1,'Loan Tape'!$AW296=6),MAX(0,H300-H906-H1209-H1512),0)</f>
        <v>0</v>
      </c>
      <c r="I1815" s="99" t="n">
        <f aca="false">IF(AND('Loan Tape'!$AX296=1,'Loan Tape'!$AW296=7),MAX(0,I300-I906-I1209-I1512),0)</f>
        <v>0</v>
      </c>
      <c r="J1815" s="99" t="n">
        <f aca="false">IF(AND('Loan Tape'!$AX296=1,'Loan Tape'!$AW296=8),MAX(0,J300-J906-J1209-J1512),0)</f>
        <v>0</v>
      </c>
      <c r="K1815" s="99" t="n">
        <f aca="false">IF(AND('Loan Tape'!$AX296=1,'Loan Tape'!$AW296=9),MAX(0,K300-K906-K1209-K1512),0)</f>
        <v>0</v>
      </c>
      <c r="L1815" s="99" t="n">
        <f aca="false">IF(AND('Loan Tape'!$AX296=1,'Loan Tape'!$AW296=10),MAX(0,L300-L906-L1209-L1512),0)</f>
        <v>0</v>
      </c>
    </row>
    <row r="1816" customFormat="false" ht="15" hidden="false" customHeight="false" outlineLevel="0" collapsed="false">
      <c r="B1816" s="108" t="n">
        <f aca="false">'Loan Tape'!$A297</f>
        <v>0</v>
      </c>
      <c r="C1816" s="71" t="n">
        <f aca="false">IF(AND('Loan Tape'!$AX297=1,'Loan Tape'!$AW297=1),MAX(0,C301-C907-C1210-C1513),0)</f>
        <v>0</v>
      </c>
      <c r="D1816" s="71" t="n">
        <f aca="false">IF(AND('Loan Tape'!$AX297=1,'Loan Tape'!$AW297=2),MAX(0,D301-D907-D1210-D1513),0)</f>
        <v>0</v>
      </c>
      <c r="E1816" s="71" t="n">
        <f aca="false">IF(AND('Loan Tape'!$AX297=1,'Loan Tape'!$AW297=3),MAX(0,E301-E907-E1210-E1513),0)</f>
        <v>0</v>
      </c>
      <c r="F1816" s="71" t="n">
        <f aca="false">IF(AND('Loan Tape'!$AX297=1,'Loan Tape'!$AW297=4),MAX(0,F301-F907-F1210-F1513),0)</f>
        <v>0</v>
      </c>
      <c r="G1816" s="71" t="n">
        <f aca="false">IF(AND('Loan Tape'!$AX297=1,'Loan Tape'!$AW297=5),MAX(0,G301-G907-G1210-G1513),0)</f>
        <v>0</v>
      </c>
      <c r="H1816" s="71" t="n">
        <f aca="false">IF(AND('Loan Tape'!$AX297=1,'Loan Tape'!$AW297=6),MAX(0,H301-H907-H1210-H1513),0)</f>
        <v>0</v>
      </c>
      <c r="I1816" s="71" t="n">
        <f aca="false">IF(AND('Loan Tape'!$AX297=1,'Loan Tape'!$AW297=7),MAX(0,I301-I907-I1210-I1513),0)</f>
        <v>0</v>
      </c>
      <c r="J1816" s="71" t="n">
        <f aca="false">IF(AND('Loan Tape'!$AX297=1,'Loan Tape'!$AW297=8),MAX(0,J301-J907-J1210-J1513),0)</f>
        <v>0</v>
      </c>
      <c r="K1816" s="71" t="n">
        <f aca="false">IF(AND('Loan Tape'!$AX297=1,'Loan Tape'!$AW297=9),MAX(0,K301-K907-K1210-K1513),0)</f>
        <v>0</v>
      </c>
      <c r="L1816" s="71" t="n">
        <f aca="false">IF(AND('Loan Tape'!$AX297=1,'Loan Tape'!$AW297=10),MAX(0,L301-L907-L1210-L1513),0)</f>
        <v>0</v>
      </c>
    </row>
    <row r="1817" customFormat="false" ht="15" hidden="false" customHeight="false" outlineLevel="0" collapsed="false">
      <c r="B1817" s="102" t="n">
        <f aca="false">'Loan Tape'!$A298</f>
        <v>0</v>
      </c>
      <c r="C1817" s="99" t="n">
        <f aca="false">IF(AND('Loan Tape'!$AX298=1,'Loan Tape'!$AW298=1),MAX(0,C302-C908-C1211-C1514),0)</f>
        <v>0</v>
      </c>
      <c r="D1817" s="99" t="n">
        <f aca="false">IF(AND('Loan Tape'!$AX298=1,'Loan Tape'!$AW298=2),MAX(0,D302-D908-D1211-D1514),0)</f>
        <v>0</v>
      </c>
      <c r="E1817" s="99" t="n">
        <f aca="false">IF(AND('Loan Tape'!$AX298=1,'Loan Tape'!$AW298=3),MAX(0,E302-E908-E1211-E1514),0)</f>
        <v>0</v>
      </c>
      <c r="F1817" s="99" t="n">
        <f aca="false">IF(AND('Loan Tape'!$AX298=1,'Loan Tape'!$AW298=4),MAX(0,F302-F908-F1211-F1514),0)</f>
        <v>0</v>
      </c>
      <c r="G1817" s="99" t="n">
        <f aca="false">IF(AND('Loan Tape'!$AX298=1,'Loan Tape'!$AW298=5),MAX(0,G302-G908-G1211-G1514),0)</f>
        <v>0</v>
      </c>
      <c r="H1817" s="99" t="n">
        <f aca="false">IF(AND('Loan Tape'!$AX298=1,'Loan Tape'!$AW298=6),MAX(0,H302-H908-H1211-H1514),0)</f>
        <v>0</v>
      </c>
      <c r="I1817" s="99" t="n">
        <f aca="false">IF(AND('Loan Tape'!$AX298=1,'Loan Tape'!$AW298=7),MAX(0,I302-I908-I1211-I1514),0)</f>
        <v>0</v>
      </c>
      <c r="J1817" s="99" t="n">
        <f aca="false">IF(AND('Loan Tape'!$AX298=1,'Loan Tape'!$AW298=8),MAX(0,J302-J908-J1211-J1514),0)</f>
        <v>0</v>
      </c>
      <c r="K1817" s="99" t="n">
        <f aca="false">IF(AND('Loan Tape'!$AX298=1,'Loan Tape'!$AW298=9),MAX(0,K302-K908-K1211-K1514),0)</f>
        <v>0</v>
      </c>
      <c r="L1817" s="99" t="n">
        <f aca="false">IF(AND('Loan Tape'!$AX298=1,'Loan Tape'!$AW298=10),MAX(0,L302-L908-L1211-L1514),0)</f>
        <v>0</v>
      </c>
    </row>
    <row r="1818" customFormat="false" ht="15" hidden="false" customHeight="false" outlineLevel="0" collapsed="false">
      <c r="B1818" s="108" t="n">
        <f aca="false">'Loan Tape'!$A299</f>
        <v>0</v>
      </c>
      <c r="C1818" s="71" t="n">
        <f aca="false">IF(AND('Loan Tape'!$AX299=1,'Loan Tape'!$AW299=1),MAX(0,C303-C909-C1212-C1515),0)</f>
        <v>0</v>
      </c>
      <c r="D1818" s="71" t="n">
        <f aca="false">IF(AND('Loan Tape'!$AX299=1,'Loan Tape'!$AW299=2),MAX(0,D303-D909-D1212-D1515),0)</f>
        <v>0</v>
      </c>
      <c r="E1818" s="71" t="n">
        <f aca="false">IF(AND('Loan Tape'!$AX299=1,'Loan Tape'!$AW299=3),MAX(0,E303-E909-E1212-E1515),0)</f>
        <v>0</v>
      </c>
      <c r="F1818" s="71" t="n">
        <f aca="false">IF(AND('Loan Tape'!$AX299=1,'Loan Tape'!$AW299=4),MAX(0,F303-F909-F1212-F1515),0)</f>
        <v>0</v>
      </c>
      <c r="G1818" s="71" t="n">
        <f aca="false">IF(AND('Loan Tape'!$AX299=1,'Loan Tape'!$AW299=5),MAX(0,G303-G909-G1212-G1515),0)</f>
        <v>0</v>
      </c>
      <c r="H1818" s="71" t="n">
        <f aca="false">IF(AND('Loan Tape'!$AX299=1,'Loan Tape'!$AW299=6),MAX(0,H303-H909-H1212-H1515),0)</f>
        <v>0</v>
      </c>
      <c r="I1818" s="71" t="n">
        <f aca="false">IF(AND('Loan Tape'!$AX299=1,'Loan Tape'!$AW299=7),MAX(0,I303-I909-I1212-I1515),0)</f>
        <v>0</v>
      </c>
      <c r="J1818" s="71" t="n">
        <f aca="false">IF(AND('Loan Tape'!$AX299=1,'Loan Tape'!$AW299=8),MAX(0,J303-J909-J1212-J1515),0)</f>
        <v>0</v>
      </c>
      <c r="K1818" s="71" t="n">
        <f aca="false">IF(AND('Loan Tape'!$AX299=1,'Loan Tape'!$AW299=9),MAX(0,K303-K909-K1212-K1515),0)</f>
        <v>0</v>
      </c>
      <c r="L1818" s="71" t="n">
        <f aca="false">IF(AND('Loan Tape'!$AX299=1,'Loan Tape'!$AW299=10),MAX(0,L303-L909-L1212-L1515),0)</f>
        <v>0</v>
      </c>
    </row>
    <row r="1819" customFormat="false" ht="15" hidden="false" customHeight="false" outlineLevel="0" collapsed="false">
      <c r="B1819" s="102" t="n">
        <f aca="false">'Loan Tape'!$A300</f>
        <v>0</v>
      </c>
      <c r="C1819" s="99" t="n">
        <f aca="false">IF(AND('Loan Tape'!$AX300=1,'Loan Tape'!$AW300=1),MAX(0,C304-C910-C1213-C1516),0)</f>
        <v>0</v>
      </c>
      <c r="D1819" s="99" t="n">
        <f aca="false">IF(AND('Loan Tape'!$AX300=1,'Loan Tape'!$AW300=2),MAX(0,D304-D910-D1213-D1516),0)</f>
        <v>0</v>
      </c>
      <c r="E1819" s="99" t="n">
        <f aca="false">IF(AND('Loan Tape'!$AX300=1,'Loan Tape'!$AW300=3),MAX(0,E304-E910-E1213-E1516),0)</f>
        <v>0</v>
      </c>
      <c r="F1819" s="99" t="n">
        <f aca="false">IF(AND('Loan Tape'!$AX300=1,'Loan Tape'!$AW300=4),MAX(0,F304-F910-F1213-F1516),0)</f>
        <v>0</v>
      </c>
      <c r="G1819" s="99" t="n">
        <f aca="false">IF(AND('Loan Tape'!$AX300=1,'Loan Tape'!$AW300=5),MAX(0,G304-G910-G1213-G1516),0)</f>
        <v>0</v>
      </c>
      <c r="H1819" s="99" t="n">
        <f aca="false">IF(AND('Loan Tape'!$AX300=1,'Loan Tape'!$AW300=6),MAX(0,H304-H910-H1213-H1516),0)</f>
        <v>0</v>
      </c>
      <c r="I1819" s="99" t="n">
        <f aca="false">IF(AND('Loan Tape'!$AX300=1,'Loan Tape'!$AW300=7),MAX(0,I304-I910-I1213-I1516),0)</f>
        <v>0</v>
      </c>
      <c r="J1819" s="99" t="n">
        <f aca="false">IF(AND('Loan Tape'!$AX300=1,'Loan Tape'!$AW300=8),MAX(0,J304-J910-J1213-J1516),0)</f>
        <v>0</v>
      </c>
      <c r="K1819" s="99" t="n">
        <f aca="false">IF(AND('Loan Tape'!$AX300=1,'Loan Tape'!$AW300=9),MAX(0,K304-K910-K1213-K1516),0)</f>
        <v>0</v>
      </c>
      <c r="L1819" s="99" t="n">
        <f aca="false">IF(AND('Loan Tape'!$AX300=1,'Loan Tape'!$AW300=10),MAX(0,L304-L910-L1213-L1516),0)</f>
        <v>0</v>
      </c>
    </row>
    <row r="1820" customFormat="false" ht="15" hidden="false" customHeight="false" outlineLevel="0" collapsed="false">
      <c r="B1820" s="108" t="n">
        <f aca="false">'Loan Tape'!$A301</f>
        <v>0</v>
      </c>
      <c r="C1820" s="71" t="n">
        <f aca="false">IF(AND('Loan Tape'!$AX301=1,'Loan Tape'!$AW301=1),MAX(0,C305-C911-C1214-C1517),0)</f>
        <v>0</v>
      </c>
      <c r="D1820" s="71" t="n">
        <f aca="false">IF(AND('Loan Tape'!$AX301=1,'Loan Tape'!$AW301=2),MAX(0,D305-D911-D1214-D1517),0)</f>
        <v>0</v>
      </c>
      <c r="E1820" s="71" t="n">
        <f aca="false">IF(AND('Loan Tape'!$AX301=1,'Loan Tape'!$AW301=3),MAX(0,E305-E911-E1214-E1517),0)</f>
        <v>0</v>
      </c>
      <c r="F1820" s="71" t="n">
        <f aca="false">IF(AND('Loan Tape'!$AX301=1,'Loan Tape'!$AW301=4),MAX(0,F305-F911-F1214-F1517),0)</f>
        <v>0</v>
      </c>
      <c r="G1820" s="71" t="n">
        <f aca="false">IF(AND('Loan Tape'!$AX301=1,'Loan Tape'!$AW301=5),MAX(0,G305-G911-G1214-G1517),0)</f>
        <v>0</v>
      </c>
      <c r="H1820" s="71" t="n">
        <f aca="false">IF(AND('Loan Tape'!$AX301=1,'Loan Tape'!$AW301=6),MAX(0,H305-H911-H1214-H1517),0)</f>
        <v>0</v>
      </c>
      <c r="I1820" s="71" t="n">
        <f aca="false">IF(AND('Loan Tape'!$AX301=1,'Loan Tape'!$AW301=7),MAX(0,I305-I911-I1214-I1517),0)</f>
        <v>0</v>
      </c>
      <c r="J1820" s="71" t="n">
        <f aca="false">IF(AND('Loan Tape'!$AX301=1,'Loan Tape'!$AW301=8),MAX(0,J305-J911-J1214-J1517),0)</f>
        <v>0</v>
      </c>
      <c r="K1820" s="71" t="n">
        <f aca="false">IF(AND('Loan Tape'!$AX301=1,'Loan Tape'!$AW301=9),MAX(0,K305-K911-K1214-K1517),0)</f>
        <v>0</v>
      </c>
      <c r="L1820" s="71" t="n">
        <f aca="false">IF(AND('Loan Tape'!$AX301=1,'Loan Tape'!$AW301=10),MAX(0,L305-L911-L1214-L1517),0)</f>
        <v>0</v>
      </c>
    </row>
    <row r="1821" customFormat="false" ht="15" hidden="false" customHeight="false" outlineLevel="0" collapsed="false">
      <c r="B1821" s="102" t="n">
        <f aca="false">'Loan Tape'!$A302</f>
        <v>0</v>
      </c>
      <c r="C1821" s="99" t="n">
        <f aca="false">IF(AND('Loan Tape'!$AX302=1,'Loan Tape'!$AW302=1),MAX(0,C306-C912-C1215-C1518),0)</f>
        <v>0</v>
      </c>
      <c r="D1821" s="99" t="n">
        <f aca="false">IF(AND('Loan Tape'!$AX302=1,'Loan Tape'!$AW302=2),MAX(0,D306-D912-D1215-D1518),0)</f>
        <v>0</v>
      </c>
      <c r="E1821" s="99" t="n">
        <f aca="false">IF(AND('Loan Tape'!$AX302=1,'Loan Tape'!$AW302=3),MAX(0,E306-E912-E1215-E1518),0)</f>
        <v>0</v>
      </c>
      <c r="F1821" s="99" t="n">
        <f aca="false">IF(AND('Loan Tape'!$AX302=1,'Loan Tape'!$AW302=4),MAX(0,F306-F912-F1215-F1518),0)</f>
        <v>0</v>
      </c>
      <c r="G1821" s="99" t="n">
        <f aca="false">IF(AND('Loan Tape'!$AX302=1,'Loan Tape'!$AW302=5),MAX(0,G306-G912-G1215-G1518),0)</f>
        <v>0</v>
      </c>
      <c r="H1821" s="99" t="n">
        <f aca="false">IF(AND('Loan Tape'!$AX302=1,'Loan Tape'!$AW302=6),MAX(0,H306-H912-H1215-H1518),0)</f>
        <v>0</v>
      </c>
      <c r="I1821" s="99" t="n">
        <f aca="false">IF(AND('Loan Tape'!$AX302=1,'Loan Tape'!$AW302=7),MAX(0,I306-I912-I1215-I1518),0)</f>
        <v>0</v>
      </c>
      <c r="J1821" s="99" t="n">
        <f aca="false">IF(AND('Loan Tape'!$AX302=1,'Loan Tape'!$AW302=8),MAX(0,J306-J912-J1215-J1518),0)</f>
        <v>0</v>
      </c>
      <c r="K1821" s="99" t="n">
        <f aca="false">IF(AND('Loan Tape'!$AX302=1,'Loan Tape'!$AW302=9),MAX(0,K306-K912-K1215-K1518),0)</f>
        <v>0</v>
      </c>
      <c r="L1821" s="99" t="n">
        <f aca="false">IF(AND('Loan Tape'!$AX302=1,'Loan Tape'!$AW302=10),MAX(0,L306-L912-L1215-L1518),0)</f>
        <v>0</v>
      </c>
    </row>
    <row r="1822" customFormat="false" ht="15" hidden="false" customHeight="false" outlineLevel="0" collapsed="false">
      <c r="B1822" s="108" t="n">
        <f aca="false">'Loan Tape'!$A303</f>
        <v>0</v>
      </c>
      <c r="C1822" s="71" t="n">
        <f aca="false">IF(AND('Loan Tape'!$AX303=1,'Loan Tape'!$AW303=1),MAX(0,C307-C913-C1216-C1519),0)</f>
        <v>0</v>
      </c>
      <c r="D1822" s="71" t="n">
        <f aca="false">IF(AND('Loan Tape'!$AX303=1,'Loan Tape'!$AW303=2),MAX(0,D307-D913-D1216-D1519),0)</f>
        <v>0</v>
      </c>
      <c r="E1822" s="71" t="n">
        <f aca="false">IF(AND('Loan Tape'!$AX303=1,'Loan Tape'!$AW303=3),MAX(0,E307-E913-E1216-E1519),0)</f>
        <v>0</v>
      </c>
      <c r="F1822" s="71" t="n">
        <f aca="false">IF(AND('Loan Tape'!$AX303=1,'Loan Tape'!$AW303=4),MAX(0,F307-F913-F1216-F1519),0)</f>
        <v>0</v>
      </c>
      <c r="G1822" s="71" t="n">
        <f aca="false">IF(AND('Loan Tape'!$AX303=1,'Loan Tape'!$AW303=5),MAX(0,G307-G913-G1216-G1519),0)</f>
        <v>0</v>
      </c>
      <c r="H1822" s="71" t="n">
        <f aca="false">IF(AND('Loan Tape'!$AX303=1,'Loan Tape'!$AW303=6),MAX(0,H307-H913-H1216-H1519),0)</f>
        <v>0</v>
      </c>
      <c r="I1822" s="71" t="n">
        <f aca="false">IF(AND('Loan Tape'!$AX303=1,'Loan Tape'!$AW303=7),MAX(0,I307-I913-I1216-I1519),0)</f>
        <v>0</v>
      </c>
      <c r="J1822" s="71" t="n">
        <f aca="false">IF(AND('Loan Tape'!$AX303=1,'Loan Tape'!$AW303=8),MAX(0,J307-J913-J1216-J1519),0)</f>
        <v>0</v>
      </c>
      <c r="K1822" s="71" t="n">
        <f aca="false">IF(AND('Loan Tape'!$AX303=1,'Loan Tape'!$AW303=9),MAX(0,K307-K913-K1216-K1519),0)</f>
        <v>0</v>
      </c>
      <c r="L1822" s="71" t="n">
        <f aca="false">IF(AND('Loan Tape'!$AX303=1,'Loan Tape'!$AW303=10),MAX(0,L307-L913-L1216-L1519),0)</f>
        <v>0</v>
      </c>
    </row>
    <row r="1824" customFormat="false" ht="18" hidden="false" customHeight="true" outlineLevel="0" collapsed="false">
      <c r="B1824" s="5" t="s">
        <v>589</v>
      </c>
      <c r="C1824" s="5"/>
      <c r="D1824" s="5"/>
      <c r="E1824" s="5"/>
      <c r="F1824" s="5"/>
      <c r="G1824" s="5"/>
      <c r="H1824" s="5"/>
      <c r="I1824" s="5"/>
      <c r="J1824" s="5"/>
      <c r="K1824" s="5"/>
      <c r="L1824" s="5"/>
      <c r="N1824" s="30" t="s">
        <v>590</v>
      </c>
    </row>
    <row r="1825" customFormat="false" ht="15.75" hidden="false" customHeight="true" outlineLevel="0" collapsed="false">
      <c r="B1825" s="54" t="s">
        <v>148</v>
      </c>
      <c r="C1825" s="55" t="n">
        <v>1</v>
      </c>
      <c r="D1825" s="55" t="n">
        <v>2</v>
      </c>
      <c r="E1825" s="55" t="n">
        <v>3</v>
      </c>
      <c r="F1825" s="55" t="n">
        <v>4</v>
      </c>
      <c r="G1825" s="55" t="n">
        <v>5</v>
      </c>
      <c r="H1825" s="55" t="n">
        <v>6</v>
      </c>
      <c r="I1825" s="55" t="n">
        <v>7</v>
      </c>
      <c r="J1825" s="55" t="n">
        <v>8</v>
      </c>
      <c r="K1825" s="55" t="n">
        <v>9</v>
      </c>
      <c r="L1825" s="55" t="n">
        <v>10</v>
      </c>
    </row>
    <row r="1826" customFormat="false" ht="15" hidden="false" customHeight="false" outlineLevel="0" collapsed="false">
      <c r="B1826" s="102" t="str">
        <f aca="false">'Loan Tape'!$A4</f>
        <v>L-001</v>
      </c>
      <c r="C1826" s="99" t="n">
        <f aca="false">C311*MAX(0,C8-0.5*(C614+C917+C1220))*MAX(0,MIN(1,'Loan Tape'!$AV4)-0)</f>
        <v>624084.165651742</v>
      </c>
      <c r="D1826" s="99" t="n">
        <f aca="false">D311*MAX(0,D8-0.5*(D614+D917+D1220))*MAX(0,MIN(2,'Loan Tape'!$AV4)-1)</f>
        <v>0</v>
      </c>
      <c r="E1826" s="99" t="n">
        <f aca="false">E311*MAX(0,E8-0.5*(E614+E917+E1220))*MAX(0,MIN(3,'Loan Tape'!$AV4)-2)</f>
        <v>0</v>
      </c>
      <c r="F1826" s="99" t="n">
        <f aca="false">F311*MAX(0,F8-0.5*(F614+F917+F1220))*MAX(0,MIN(4,'Loan Tape'!$AV4)-3)</f>
        <v>0</v>
      </c>
      <c r="G1826" s="99" t="n">
        <f aca="false">G311*MAX(0,G8-0.5*(G614+G917+G1220))*MAX(0,MIN(5,'Loan Tape'!$AV4)-4)</f>
        <v>0</v>
      </c>
      <c r="H1826" s="99" t="n">
        <f aca="false">H311*MAX(0,H8-0.5*(H614+H917+H1220))*MAX(0,MIN(6,'Loan Tape'!$AV4)-5)</f>
        <v>0</v>
      </c>
      <c r="I1826" s="99" t="n">
        <f aca="false">I311*MAX(0,I8-0.5*(I614+I917+I1220))*MAX(0,MIN(7,'Loan Tape'!$AV4)-6)</f>
        <v>0</v>
      </c>
      <c r="J1826" s="99" t="n">
        <f aca="false">J311*MAX(0,J8-0.5*(J614+J917+J1220))*MAX(0,MIN(8,'Loan Tape'!$AV4)-7)</f>
        <v>0</v>
      </c>
      <c r="K1826" s="99" t="n">
        <f aca="false">K311*MAX(0,K8-0.5*(K614+K917+K1220))*MAX(0,MIN(9,'Loan Tape'!$AV4)-8)</f>
        <v>0</v>
      </c>
      <c r="L1826" s="99" t="n">
        <f aca="false">L311*MAX(0,L8-0.5*(L614+L917+L1220))*MAX(0,MIN(10,'Loan Tape'!$AV4)-9)</f>
        <v>0</v>
      </c>
    </row>
    <row r="1827" customFormat="false" ht="15" hidden="false" customHeight="false" outlineLevel="0" collapsed="false">
      <c r="B1827" s="108" t="str">
        <f aca="false">'Loan Tape'!$A5</f>
        <v>L-002</v>
      </c>
      <c r="C1827" s="71" t="n">
        <f aca="false">C312*MAX(0,C9-0.5*(C615+C918+C1221))*MAX(0,MIN(1,'Loan Tape'!$AV5)-0)</f>
        <v>668629.707948445</v>
      </c>
      <c r="D1827" s="71" t="n">
        <f aca="false">D312*MAX(0,D9-0.5*(D615+D918+D1221))*MAX(0,MIN(2,'Loan Tape'!$AV5)-1)</f>
        <v>404851.229871275</v>
      </c>
      <c r="E1827" s="71" t="n">
        <f aca="false">E312*MAX(0,E9-0.5*(E615+E918+E1221))*MAX(0,MIN(3,'Loan Tape'!$AV5)-2)</f>
        <v>0</v>
      </c>
      <c r="F1827" s="71" t="n">
        <f aca="false">F312*MAX(0,F9-0.5*(F615+F918+F1221))*MAX(0,MIN(4,'Loan Tape'!$AV5)-3)</f>
        <v>0</v>
      </c>
      <c r="G1827" s="71" t="n">
        <f aca="false">G312*MAX(0,G9-0.5*(G615+G918+G1221))*MAX(0,MIN(5,'Loan Tape'!$AV5)-4)</f>
        <v>0</v>
      </c>
      <c r="H1827" s="71" t="n">
        <f aca="false">H312*MAX(0,H9-0.5*(H615+H918+H1221))*MAX(0,MIN(6,'Loan Tape'!$AV5)-5)</f>
        <v>0</v>
      </c>
      <c r="I1827" s="71" t="n">
        <f aca="false">I312*MAX(0,I9-0.5*(I615+I918+I1221))*MAX(0,MIN(7,'Loan Tape'!$AV5)-6)</f>
        <v>0</v>
      </c>
      <c r="J1827" s="71" t="n">
        <f aca="false">J312*MAX(0,J9-0.5*(J615+J918+J1221))*MAX(0,MIN(8,'Loan Tape'!$AV5)-7)</f>
        <v>0</v>
      </c>
      <c r="K1827" s="71" t="n">
        <f aca="false">K312*MAX(0,K9-0.5*(K615+K918+K1221))*MAX(0,MIN(9,'Loan Tape'!$AV5)-8)</f>
        <v>0</v>
      </c>
      <c r="L1827" s="71" t="n">
        <f aca="false">L312*MAX(0,L9-0.5*(L615+L918+L1221))*MAX(0,MIN(10,'Loan Tape'!$AV5)-9)</f>
        <v>0</v>
      </c>
    </row>
    <row r="1828" customFormat="false" ht="15" hidden="false" customHeight="false" outlineLevel="0" collapsed="false">
      <c r="B1828" s="102" t="str">
        <f aca="false">'Loan Tape'!$A6</f>
        <v>L-003</v>
      </c>
      <c r="C1828" s="99" t="n">
        <f aca="false">C313*MAX(0,C10-0.5*(C616+C919+C1222))*MAX(0,MIN(1,'Loan Tape'!$AV6)-0)</f>
        <v>9286230.11564199</v>
      </c>
      <c r="D1828" s="99" t="n">
        <f aca="false">D313*MAX(0,D10-0.5*(D616+D919+D1222))*MAX(0,MIN(2,'Loan Tape'!$AV6)-1)</f>
        <v>7566262.34831</v>
      </c>
      <c r="E1828" s="99" t="n">
        <f aca="false">E313*MAX(0,E10-0.5*(E616+E919+E1222))*MAX(0,MIN(3,'Loan Tape'!$AV6)-2)</f>
        <v>6207574.83326866</v>
      </c>
      <c r="F1828" s="99" t="n">
        <f aca="false">F313*MAX(0,F10-0.5*(F616+F919+F1222))*MAX(0,MIN(4,'Loan Tape'!$AV6)-3)</f>
        <v>3573175.3030316</v>
      </c>
      <c r="G1828" s="99" t="n">
        <f aca="false">G313*MAX(0,G10-0.5*(G616+G919+G1222))*MAX(0,MIN(5,'Loan Tape'!$AV6)-4)</f>
        <v>0</v>
      </c>
      <c r="H1828" s="99" t="n">
        <f aca="false">H313*MAX(0,H10-0.5*(H616+H919+H1222))*MAX(0,MIN(6,'Loan Tape'!$AV6)-5)</f>
        <v>0</v>
      </c>
      <c r="I1828" s="99" t="n">
        <f aca="false">I313*MAX(0,I10-0.5*(I616+I919+I1222))*MAX(0,MIN(7,'Loan Tape'!$AV6)-6)</f>
        <v>0</v>
      </c>
      <c r="J1828" s="99" t="n">
        <f aca="false">J313*MAX(0,J10-0.5*(J616+J919+J1222))*MAX(0,MIN(8,'Loan Tape'!$AV6)-7)</f>
        <v>0</v>
      </c>
      <c r="K1828" s="99" t="n">
        <f aca="false">K313*MAX(0,K10-0.5*(K616+K919+K1222))*MAX(0,MIN(9,'Loan Tape'!$AV6)-8)</f>
        <v>0</v>
      </c>
      <c r="L1828" s="99" t="n">
        <f aca="false">L313*MAX(0,L10-0.5*(L616+L919+L1222))*MAX(0,MIN(10,'Loan Tape'!$AV6)-9)</f>
        <v>0</v>
      </c>
    </row>
    <row r="1829" customFormat="false" ht="15" hidden="false" customHeight="false" outlineLevel="0" collapsed="false">
      <c r="B1829" s="108" t="str">
        <f aca="false">'Loan Tape'!$A7</f>
        <v>L-004</v>
      </c>
      <c r="C1829" s="71" t="n">
        <f aca="false">C314*MAX(0,C11-0.5*(C617+C920+C1223))*MAX(0,MIN(1,'Loan Tape'!$AV7)-0)</f>
        <v>2715730.55165522</v>
      </c>
      <c r="D1829" s="71" t="n">
        <f aca="false">D314*MAX(0,D11-0.5*(D617+D920+D1223))*MAX(0,MIN(2,'Loan Tape'!$AV7)-1)</f>
        <v>1987080.63172572</v>
      </c>
      <c r="E1829" s="71" t="n">
        <f aca="false">E314*MAX(0,E11-0.5*(E617+E920+E1223))*MAX(0,MIN(3,'Loan Tape'!$AV7)-2)</f>
        <v>0</v>
      </c>
      <c r="F1829" s="71" t="n">
        <f aca="false">F314*MAX(0,F11-0.5*(F617+F920+F1223))*MAX(0,MIN(4,'Loan Tape'!$AV7)-3)</f>
        <v>0</v>
      </c>
      <c r="G1829" s="71" t="n">
        <f aca="false">G314*MAX(0,G11-0.5*(G617+G920+G1223))*MAX(0,MIN(5,'Loan Tape'!$AV7)-4)</f>
        <v>0</v>
      </c>
      <c r="H1829" s="71" t="n">
        <f aca="false">H314*MAX(0,H11-0.5*(H617+H920+H1223))*MAX(0,MIN(6,'Loan Tape'!$AV7)-5)</f>
        <v>0</v>
      </c>
      <c r="I1829" s="71" t="n">
        <f aca="false">I314*MAX(0,I11-0.5*(I617+I920+I1223))*MAX(0,MIN(7,'Loan Tape'!$AV7)-6)</f>
        <v>0</v>
      </c>
      <c r="J1829" s="71" t="n">
        <f aca="false">J314*MAX(0,J11-0.5*(J617+J920+J1223))*MAX(0,MIN(8,'Loan Tape'!$AV7)-7)</f>
        <v>0</v>
      </c>
      <c r="K1829" s="71" t="n">
        <f aca="false">K314*MAX(0,K11-0.5*(K617+K920+K1223))*MAX(0,MIN(9,'Loan Tape'!$AV7)-8)</f>
        <v>0</v>
      </c>
      <c r="L1829" s="71" t="n">
        <f aca="false">L314*MAX(0,L11-0.5*(L617+L920+L1223))*MAX(0,MIN(10,'Loan Tape'!$AV7)-9)</f>
        <v>0</v>
      </c>
    </row>
    <row r="1830" customFormat="false" ht="15" hidden="false" customHeight="false" outlineLevel="0" collapsed="false">
      <c r="B1830" s="102" t="str">
        <f aca="false">'Loan Tape'!$A8</f>
        <v>L-005</v>
      </c>
      <c r="C1830" s="99" t="n">
        <f aca="false">C315*MAX(0,C12-0.5*(C618+C921+C1224))*MAX(0,MIN(1,'Loan Tape'!$AV8)-0)</f>
        <v>7169098.752</v>
      </c>
      <c r="D1830" s="99" t="n">
        <f aca="false">D315*MAX(0,D12-0.5*(D618+D921+D1224))*MAX(0,MIN(2,'Loan Tape'!$AV8)-1)</f>
        <v>0</v>
      </c>
      <c r="E1830" s="99" t="n">
        <f aca="false">E315*MAX(0,E12-0.5*(E618+E921+E1224))*MAX(0,MIN(3,'Loan Tape'!$AV8)-2)</f>
        <v>0</v>
      </c>
      <c r="F1830" s="99" t="n">
        <f aca="false">F315*MAX(0,F12-0.5*(F618+F921+F1224))*MAX(0,MIN(4,'Loan Tape'!$AV8)-3)</f>
        <v>0</v>
      </c>
      <c r="G1830" s="99" t="n">
        <f aca="false">G315*MAX(0,G12-0.5*(G618+G921+G1224))*MAX(0,MIN(5,'Loan Tape'!$AV8)-4)</f>
        <v>0</v>
      </c>
      <c r="H1830" s="99" t="n">
        <f aca="false">H315*MAX(0,H12-0.5*(H618+H921+H1224))*MAX(0,MIN(6,'Loan Tape'!$AV8)-5)</f>
        <v>0</v>
      </c>
      <c r="I1830" s="99" t="n">
        <f aca="false">I315*MAX(0,I12-0.5*(I618+I921+I1224))*MAX(0,MIN(7,'Loan Tape'!$AV8)-6)</f>
        <v>0</v>
      </c>
      <c r="J1830" s="99" t="n">
        <f aca="false">J315*MAX(0,J12-0.5*(J618+J921+J1224))*MAX(0,MIN(8,'Loan Tape'!$AV8)-7)</f>
        <v>0</v>
      </c>
      <c r="K1830" s="99" t="n">
        <f aca="false">K315*MAX(0,K12-0.5*(K618+K921+K1224))*MAX(0,MIN(9,'Loan Tape'!$AV8)-8)</f>
        <v>0</v>
      </c>
      <c r="L1830" s="99" t="n">
        <f aca="false">L315*MAX(0,L12-0.5*(L618+L921+L1224))*MAX(0,MIN(10,'Loan Tape'!$AV8)-9)</f>
        <v>0</v>
      </c>
    </row>
    <row r="1831" customFormat="false" ht="15" hidden="false" customHeight="false" outlineLevel="0" collapsed="false">
      <c r="B1831" s="108" t="str">
        <f aca="false">'Loan Tape'!$A9</f>
        <v>L-006</v>
      </c>
      <c r="C1831" s="71" t="n">
        <f aca="false">C316*MAX(0,C13-0.5*(C619+C922+C1225))*MAX(0,MIN(1,'Loan Tape'!$AV9)-0)</f>
        <v>3477784.28562556</v>
      </c>
      <c r="D1831" s="71" t="n">
        <f aca="false">D316*MAX(0,D13-0.5*(D619+D922+D1225))*MAX(0,MIN(2,'Loan Tape'!$AV9)-1)</f>
        <v>1660560.47157201</v>
      </c>
      <c r="E1831" s="71" t="n">
        <f aca="false">E316*MAX(0,E13-0.5*(E619+E922+E1225))*MAX(0,MIN(3,'Loan Tape'!$AV9)-2)</f>
        <v>0</v>
      </c>
      <c r="F1831" s="71" t="n">
        <f aca="false">F316*MAX(0,F13-0.5*(F619+F922+F1225))*MAX(0,MIN(4,'Loan Tape'!$AV9)-3)</f>
        <v>0</v>
      </c>
      <c r="G1831" s="71" t="n">
        <f aca="false">G316*MAX(0,G13-0.5*(G619+G922+G1225))*MAX(0,MIN(5,'Loan Tape'!$AV9)-4)</f>
        <v>0</v>
      </c>
      <c r="H1831" s="71" t="n">
        <f aca="false">H316*MAX(0,H13-0.5*(H619+H922+H1225))*MAX(0,MIN(6,'Loan Tape'!$AV9)-5)</f>
        <v>0</v>
      </c>
      <c r="I1831" s="71" t="n">
        <f aca="false">I316*MAX(0,I13-0.5*(I619+I922+I1225))*MAX(0,MIN(7,'Loan Tape'!$AV9)-6)</f>
        <v>0</v>
      </c>
      <c r="J1831" s="71" t="n">
        <f aca="false">J316*MAX(0,J13-0.5*(J619+J922+J1225))*MAX(0,MIN(8,'Loan Tape'!$AV9)-7)</f>
        <v>0</v>
      </c>
      <c r="K1831" s="71" t="n">
        <f aca="false">K316*MAX(0,K13-0.5*(K619+K922+K1225))*MAX(0,MIN(9,'Loan Tape'!$AV9)-8)</f>
        <v>0</v>
      </c>
      <c r="L1831" s="71" t="n">
        <f aca="false">L316*MAX(0,L13-0.5*(L619+L922+L1225))*MAX(0,MIN(10,'Loan Tape'!$AV9)-9)</f>
        <v>0</v>
      </c>
    </row>
    <row r="1832" customFormat="false" ht="15" hidden="false" customHeight="false" outlineLevel="0" collapsed="false">
      <c r="B1832" s="102" t="str">
        <f aca="false">'Loan Tape'!$A10</f>
        <v>L-007</v>
      </c>
      <c r="C1832" s="99" t="n">
        <f aca="false">C317*MAX(0,C14-0.5*(C620+C923+C1226))*MAX(0,MIN(1,'Loan Tape'!$AV10)-0)</f>
        <v>277266.912</v>
      </c>
      <c r="D1832" s="99" t="n">
        <f aca="false">D317*MAX(0,D14-0.5*(D620+D923+D1226))*MAX(0,MIN(2,'Loan Tape'!$AV10)-1)</f>
        <v>225283.61856</v>
      </c>
      <c r="E1832" s="99" t="n">
        <f aca="false">E317*MAX(0,E14-0.5*(E620+E923+E1226))*MAX(0,MIN(3,'Loan Tape'!$AV10)-2)</f>
        <v>185076.8544768</v>
      </c>
      <c r="F1832" s="99" t="n">
        <f aca="false">F317*MAX(0,F14-0.5*(F620+F923+F1226))*MAX(0,MIN(4,'Loan Tape'!$AV10)-3)</f>
        <v>157071.630802944</v>
      </c>
      <c r="G1832" s="99" t="n">
        <f aca="false">G317*MAX(0,G14-0.5*(G620+G923+G1226))*MAX(0,MIN(5,'Loan Tape'!$AV10)-4)</f>
        <v>135672.794606469</v>
      </c>
      <c r="H1832" s="99" t="n">
        <f aca="false">H317*MAX(0,H14-0.5*(H620+H923+H1226))*MAX(0,MIN(6,'Loan Tape'!$AV10)-5)</f>
        <v>0</v>
      </c>
      <c r="I1832" s="99" t="n">
        <f aca="false">I317*MAX(0,I14-0.5*(I620+I923+I1226))*MAX(0,MIN(7,'Loan Tape'!$AV10)-6)</f>
        <v>0</v>
      </c>
      <c r="J1832" s="99" t="n">
        <f aca="false">J317*MAX(0,J14-0.5*(J620+J923+J1226))*MAX(0,MIN(8,'Loan Tape'!$AV10)-7)</f>
        <v>0</v>
      </c>
      <c r="K1832" s="99" t="n">
        <f aca="false">K317*MAX(0,K14-0.5*(K620+K923+K1226))*MAX(0,MIN(9,'Loan Tape'!$AV10)-8)</f>
        <v>0</v>
      </c>
      <c r="L1832" s="99" t="n">
        <f aca="false">L317*MAX(0,L14-0.5*(L620+L923+L1226))*MAX(0,MIN(10,'Loan Tape'!$AV10)-9)</f>
        <v>0</v>
      </c>
    </row>
    <row r="1833" customFormat="false" ht="15" hidden="false" customHeight="false" outlineLevel="0" collapsed="false">
      <c r="B1833" s="108" t="str">
        <f aca="false">'Loan Tape'!$A11</f>
        <v>L-008</v>
      </c>
      <c r="C1833" s="71" t="n">
        <f aca="false">C318*MAX(0,C15-0.5*(C621+C924+C1227))*MAX(0,MIN(1,'Loan Tape'!$AV11)-0)</f>
        <v>3649406.30020838</v>
      </c>
      <c r="D1833" s="71" t="n">
        <f aca="false">D318*MAX(0,D15-0.5*(D621+D924+D1227))*MAX(0,MIN(2,'Loan Tape'!$AV11)-1)</f>
        <v>2955641.77040789</v>
      </c>
      <c r="E1833" s="71" t="n">
        <f aca="false">E318*MAX(0,E15-0.5*(E621+E924+E1227))*MAX(0,MIN(3,'Loan Tape'!$AV11)-2)</f>
        <v>2409447.51871267</v>
      </c>
      <c r="F1833" s="71" t="n">
        <f aca="false">F318*MAX(0,F15-0.5*(F621+F924+F1227))*MAX(0,MIN(4,'Loan Tape'!$AV11)-3)</f>
        <v>875416.72536451</v>
      </c>
      <c r="G1833" s="71" t="n">
        <f aca="false">G318*MAX(0,G15-0.5*(G621+G924+G1227))*MAX(0,MIN(5,'Loan Tape'!$AV11)-4)</f>
        <v>0</v>
      </c>
      <c r="H1833" s="71" t="n">
        <f aca="false">H318*MAX(0,H15-0.5*(H621+H924+H1227))*MAX(0,MIN(6,'Loan Tape'!$AV11)-5)</f>
        <v>0</v>
      </c>
      <c r="I1833" s="71" t="n">
        <f aca="false">I318*MAX(0,I15-0.5*(I621+I924+I1227))*MAX(0,MIN(7,'Loan Tape'!$AV11)-6)</f>
        <v>0</v>
      </c>
      <c r="J1833" s="71" t="n">
        <f aca="false">J318*MAX(0,J15-0.5*(J621+J924+J1227))*MAX(0,MIN(8,'Loan Tape'!$AV11)-7)</f>
        <v>0</v>
      </c>
      <c r="K1833" s="71" t="n">
        <f aca="false">K318*MAX(0,K15-0.5*(K621+K924+K1227))*MAX(0,MIN(9,'Loan Tape'!$AV11)-8)</f>
        <v>0</v>
      </c>
      <c r="L1833" s="71" t="n">
        <f aca="false">L318*MAX(0,L15-0.5*(L621+L924+L1227))*MAX(0,MIN(10,'Loan Tape'!$AV11)-9)</f>
        <v>0</v>
      </c>
    </row>
    <row r="1834" customFormat="false" ht="15" hidden="false" customHeight="false" outlineLevel="0" collapsed="false">
      <c r="B1834" s="102" t="str">
        <f aca="false">'Loan Tape'!$A12</f>
        <v>L-009</v>
      </c>
      <c r="C1834" s="99" t="n">
        <f aca="false">C319*MAX(0,C16-0.5*(C622+C925+C1228))*MAX(0,MIN(1,'Loan Tape'!$AV12)-0)</f>
        <v>739101.79</v>
      </c>
      <c r="D1834" s="99" t="n">
        <f aca="false">D319*MAX(0,D16-0.5*(D622+D925+D1228))*MAX(0,MIN(2,'Loan Tape'!$AV12)-1)</f>
        <v>650409.5752</v>
      </c>
      <c r="E1834" s="99" t="n">
        <f aca="false">E319*MAX(0,E16-0.5*(E622+E925+E1228))*MAX(0,MIN(3,'Loan Tape'!$AV12)-2)</f>
        <v>567518.653433567</v>
      </c>
      <c r="F1834" s="99" t="n">
        <f aca="false">F319*MAX(0,F16-0.5*(F622+F925+F1228))*MAX(0,MIN(4,'Loan Tape'!$AV12)-3)</f>
        <v>488602.456157939</v>
      </c>
      <c r="G1834" s="99" t="n">
        <f aca="false">G319*MAX(0,G16-0.5*(G622+G925+G1228))*MAX(0,MIN(5,'Loan Tape'!$AV12)-4)</f>
        <v>418508.156747606</v>
      </c>
      <c r="H1834" s="99" t="n">
        <f aca="false">H319*MAX(0,H16-0.5*(H622+H925+H1228))*MAX(0,MIN(6,'Loan Tape'!$AV12)-5)</f>
        <v>0</v>
      </c>
      <c r="I1834" s="99" t="n">
        <f aca="false">I319*MAX(0,I16-0.5*(I622+I925+I1228))*MAX(0,MIN(7,'Loan Tape'!$AV12)-6)</f>
        <v>0</v>
      </c>
      <c r="J1834" s="99" t="n">
        <f aca="false">J319*MAX(0,J16-0.5*(J622+J925+J1228))*MAX(0,MIN(8,'Loan Tape'!$AV12)-7)</f>
        <v>0</v>
      </c>
      <c r="K1834" s="99" t="n">
        <f aca="false">K319*MAX(0,K16-0.5*(K622+K925+K1228))*MAX(0,MIN(9,'Loan Tape'!$AV12)-8)</f>
        <v>0</v>
      </c>
      <c r="L1834" s="99" t="n">
        <f aca="false">L319*MAX(0,L16-0.5*(L622+L925+L1228))*MAX(0,MIN(10,'Loan Tape'!$AV12)-9)</f>
        <v>0</v>
      </c>
    </row>
    <row r="1835" customFormat="false" ht="15" hidden="false" customHeight="false" outlineLevel="0" collapsed="false">
      <c r="B1835" s="108" t="str">
        <f aca="false">'Loan Tape'!$A13</f>
        <v>L-010</v>
      </c>
      <c r="C1835" s="71" t="n">
        <f aca="false">C320*MAX(0,C17-0.5*(C623+C926+C1229))*MAX(0,MIN(1,'Loan Tape'!$AV13)-0)</f>
        <v>2708923.24798386</v>
      </c>
      <c r="D1835" s="71" t="n">
        <f aca="false">D320*MAX(0,D17-0.5*(D623+D926+D1229))*MAX(0,MIN(2,'Loan Tape'!$AV13)-1)</f>
        <v>0</v>
      </c>
      <c r="E1835" s="71" t="n">
        <f aca="false">E320*MAX(0,E17-0.5*(E623+E926+E1229))*MAX(0,MIN(3,'Loan Tape'!$AV13)-2)</f>
        <v>0</v>
      </c>
      <c r="F1835" s="71" t="n">
        <f aca="false">F320*MAX(0,F17-0.5*(F623+F926+F1229))*MAX(0,MIN(4,'Loan Tape'!$AV13)-3)</f>
        <v>0</v>
      </c>
      <c r="G1835" s="71" t="n">
        <f aca="false">G320*MAX(0,G17-0.5*(G623+G926+G1229))*MAX(0,MIN(5,'Loan Tape'!$AV13)-4)</f>
        <v>0</v>
      </c>
      <c r="H1835" s="71" t="n">
        <f aca="false">H320*MAX(0,H17-0.5*(H623+H926+H1229))*MAX(0,MIN(6,'Loan Tape'!$AV13)-5)</f>
        <v>0</v>
      </c>
      <c r="I1835" s="71" t="n">
        <f aca="false">I320*MAX(0,I17-0.5*(I623+I926+I1229))*MAX(0,MIN(7,'Loan Tape'!$AV13)-6)</f>
        <v>0</v>
      </c>
      <c r="J1835" s="71" t="n">
        <f aca="false">J320*MAX(0,J17-0.5*(J623+J926+J1229))*MAX(0,MIN(8,'Loan Tape'!$AV13)-7)</f>
        <v>0</v>
      </c>
      <c r="K1835" s="71" t="n">
        <f aca="false">K320*MAX(0,K17-0.5*(K623+K926+K1229))*MAX(0,MIN(9,'Loan Tape'!$AV13)-8)</f>
        <v>0</v>
      </c>
      <c r="L1835" s="71" t="n">
        <f aca="false">L320*MAX(0,L17-0.5*(L623+L926+L1229))*MAX(0,MIN(10,'Loan Tape'!$AV13)-9)</f>
        <v>0</v>
      </c>
    </row>
    <row r="1836" customFormat="false" ht="15" hidden="false" customHeight="false" outlineLevel="0" collapsed="false">
      <c r="B1836" s="102" t="str">
        <f aca="false">'Loan Tape'!$A14</f>
        <v>L-011</v>
      </c>
      <c r="C1836" s="99" t="n">
        <f aca="false">C321*MAX(0,C18-0.5*(C624+C927+C1230))*MAX(0,MIN(1,'Loan Tape'!$AV14)-0)</f>
        <v>1806590.15886089</v>
      </c>
      <c r="D1836" s="99" t="n">
        <f aca="false">D321*MAX(0,D18-0.5*(D624+D927+D1230))*MAX(0,MIN(2,'Loan Tape'!$AV14)-1)</f>
        <v>1449733.57165697</v>
      </c>
      <c r="E1836" s="99" t="n">
        <f aca="false">E321*MAX(0,E18-0.5*(E624+E927+E1230))*MAX(0,MIN(3,'Loan Tape'!$AV14)-2)</f>
        <v>1172465.88390822</v>
      </c>
      <c r="F1836" s="99" t="n">
        <f aca="false">F321*MAX(0,F18-0.5*(F624+F927+F1230))*MAX(0,MIN(4,'Loan Tape'!$AV14)-3)</f>
        <v>974718.512561622</v>
      </c>
      <c r="G1836" s="99" t="n">
        <f aca="false">G321*MAX(0,G18-0.5*(G624+G927+G1230))*MAX(0,MIN(5,'Loan Tape'!$AV14)-4)</f>
        <v>821603.333660835</v>
      </c>
      <c r="H1836" s="99" t="n">
        <f aca="false">H321*MAX(0,H18-0.5*(H624+H927+H1230))*MAX(0,MIN(6,'Loan Tape'!$AV14)-5)</f>
        <v>0</v>
      </c>
      <c r="I1836" s="99" t="n">
        <f aca="false">I321*MAX(0,I18-0.5*(I624+I927+I1230))*MAX(0,MIN(7,'Loan Tape'!$AV14)-6)</f>
        <v>0</v>
      </c>
      <c r="J1836" s="99" t="n">
        <f aca="false">J321*MAX(0,J18-0.5*(J624+J927+J1230))*MAX(0,MIN(8,'Loan Tape'!$AV14)-7)</f>
        <v>0</v>
      </c>
      <c r="K1836" s="99" t="n">
        <f aca="false">K321*MAX(0,K18-0.5*(K624+K927+K1230))*MAX(0,MIN(9,'Loan Tape'!$AV14)-8)</f>
        <v>0</v>
      </c>
      <c r="L1836" s="99" t="n">
        <f aca="false">L321*MAX(0,L18-0.5*(L624+L927+L1230))*MAX(0,MIN(10,'Loan Tape'!$AV14)-9)</f>
        <v>0</v>
      </c>
    </row>
    <row r="1837" customFormat="false" ht="15" hidden="false" customHeight="false" outlineLevel="0" collapsed="false">
      <c r="B1837" s="108" t="str">
        <f aca="false">'Loan Tape'!$A15</f>
        <v>L-012</v>
      </c>
      <c r="C1837" s="71" t="n">
        <f aca="false">C322*MAX(0,C19-0.5*(C625+C928+C1231))*MAX(0,MIN(1,'Loan Tape'!$AV15)-0)</f>
        <v>292646.49744442</v>
      </c>
      <c r="D1837" s="71" t="n">
        <f aca="false">D322*MAX(0,D19-0.5*(D625+D928+D1231))*MAX(0,MIN(2,'Loan Tape'!$AV15)-1)</f>
        <v>151083.602811682</v>
      </c>
      <c r="E1837" s="71" t="n">
        <f aca="false">E322*MAX(0,E19-0.5*(E625+E928+E1231))*MAX(0,MIN(3,'Loan Tape'!$AV15)-2)</f>
        <v>0</v>
      </c>
      <c r="F1837" s="71" t="n">
        <f aca="false">F322*MAX(0,F19-0.5*(F625+F928+F1231))*MAX(0,MIN(4,'Loan Tape'!$AV15)-3)</f>
        <v>0</v>
      </c>
      <c r="G1837" s="71" t="n">
        <f aca="false">G322*MAX(0,G19-0.5*(G625+G928+G1231))*MAX(0,MIN(5,'Loan Tape'!$AV15)-4)</f>
        <v>0</v>
      </c>
      <c r="H1837" s="71" t="n">
        <f aca="false">H322*MAX(0,H19-0.5*(H625+H928+H1231))*MAX(0,MIN(6,'Loan Tape'!$AV15)-5)</f>
        <v>0</v>
      </c>
      <c r="I1837" s="71" t="n">
        <f aca="false">I322*MAX(0,I19-0.5*(I625+I928+I1231))*MAX(0,MIN(7,'Loan Tape'!$AV15)-6)</f>
        <v>0</v>
      </c>
      <c r="J1837" s="71" t="n">
        <f aca="false">J322*MAX(0,J19-0.5*(J625+J928+J1231))*MAX(0,MIN(8,'Loan Tape'!$AV15)-7)</f>
        <v>0</v>
      </c>
      <c r="K1837" s="71" t="n">
        <f aca="false">K322*MAX(0,K19-0.5*(K625+K928+K1231))*MAX(0,MIN(9,'Loan Tape'!$AV15)-8)</f>
        <v>0</v>
      </c>
      <c r="L1837" s="71" t="n">
        <f aca="false">L322*MAX(0,L19-0.5*(L625+L928+L1231))*MAX(0,MIN(10,'Loan Tape'!$AV15)-9)</f>
        <v>0</v>
      </c>
    </row>
    <row r="1838" customFormat="false" ht="15" hidden="false" customHeight="false" outlineLevel="0" collapsed="false">
      <c r="B1838" s="102" t="str">
        <f aca="false">'Loan Tape'!$A16</f>
        <v>L-013</v>
      </c>
      <c r="C1838" s="99" t="n">
        <f aca="false">C323*MAX(0,C20-0.5*(C626+C929+C1232))*MAX(0,MIN(1,'Loan Tape'!$AV16)-0)</f>
        <v>5219736.23036714</v>
      </c>
      <c r="D1838" s="99" t="n">
        <f aca="false">D323*MAX(0,D20-0.5*(D626+D929+D1232))*MAX(0,MIN(2,'Loan Tape'!$AV16)-1)</f>
        <v>4513785.19493136</v>
      </c>
      <c r="E1838" s="99" t="n">
        <f aca="false">E323*MAX(0,E20-0.5*(E626+E929+E1232))*MAX(0,MIN(3,'Loan Tape'!$AV16)-2)</f>
        <v>3897668.85048977</v>
      </c>
      <c r="F1838" s="99" t="n">
        <f aca="false">F323*MAX(0,F20-0.5*(F626+F929+F1232))*MAX(0,MIN(4,'Loan Tape'!$AV16)-3)</f>
        <v>3360289.87977547</v>
      </c>
      <c r="G1838" s="99" t="n">
        <f aca="false">G323*MAX(0,G20-0.5*(G626+G929+G1232))*MAX(0,MIN(5,'Loan Tape'!$AV16)-4)</f>
        <v>2212198.69016066</v>
      </c>
      <c r="H1838" s="99" t="n">
        <f aca="false">H323*MAX(0,H20-0.5*(H626+H929+H1232))*MAX(0,MIN(6,'Loan Tape'!$AV16)-5)</f>
        <v>0</v>
      </c>
      <c r="I1838" s="99" t="n">
        <f aca="false">I323*MAX(0,I20-0.5*(I626+I929+I1232))*MAX(0,MIN(7,'Loan Tape'!$AV16)-6)</f>
        <v>0</v>
      </c>
      <c r="J1838" s="99" t="n">
        <f aca="false">J323*MAX(0,J20-0.5*(J626+J929+J1232))*MAX(0,MIN(8,'Loan Tape'!$AV16)-7)</f>
        <v>0</v>
      </c>
      <c r="K1838" s="99" t="n">
        <f aca="false">K323*MAX(0,K20-0.5*(K626+K929+K1232))*MAX(0,MIN(9,'Loan Tape'!$AV16)-8)</f>
        <v>0</v>
      </c>
      <c r="L1838" s="99" t="n">
        <f aca="false">L323*MAX(0,L20-0.5*(L626+L929+L1232))*MAX(0,MIN(10,'Loan Tape'!$AV16)-9)</f>
        <v>0</v>
      </c>
    </row>
    <row r="1839" customFormat="false" ht="15" hidden="false" customHeight="false" outlineLevel="0" collapsed="false">
      <c r="B1839" s="108" t="str">
        <f aca="false">'Loan Tape'!$A17</f>
        <v>L-014</v>
      </c>
      <c r="C1839" s="71" t="n">
        <f aca="false">C324*MAX(0,C21-0.5*(C627+C930+C1233))*MAX(0,MIN(1,'Loan Tape'!$AV17)-0)</f>
        <v>6024332.50937689</v>
      </c>
      <c r="D1839" s="71" t="n">
        <f aca="false">D324*MAX(0,D21-0.5*(D627+D930+D1233))*MAX(0,MIN(2,'Loan Tape'!$AV17)-1)</f>
        <v>5193841.01835038</v>
      </c>
      <c r="E1839" s="71" t="n">
        <f aca="false">E324*MAX(0,E21-0.5*(E627+E930+E1233))*MAX(0,MIN(3,'Loan Tape'!$AV17)-2)</f>
        <v>4466819.16130531</v>
      </c>
      <c r="F1839" s="71" t="n">
        <f aca="false">F324*MAX(0,F21-0.5*(F627+F930+F1233))*MAX(0,MIN(4,'Loan Tape'!$AV17)-3)</f>
        <v>3835156.17311596</v>
      </c>
      <c r="G1839" s="71" t="n">
        <f aca="false">G324*MAX(0,G21-0.5*(G627+G930+G1233))*MAX(0,MIN(5,'Loan Tape'!$AV17)-4)</f>
        <v>3286792.20173757</v>
      </c>
      <c r="H1839" s="71" t="n">
        <f aca="false">H324*MAX(0,H21-0.5*(H627+H930+H1233))*MAX(0,MIN(6,'Loan Tape'!$AV17)-5)</f>
        <v>0</v>
      </c>
      <c r="I1839" s="71" t="n">
        <f aca="false">I324*MAX(0,I21-0.5*(I627+I930+I1233))*MAX(0,MIN(7,'Loan Tape'!$AV17)-6)</f>
        <v>0</v>
      </c>
      <c r="J1839" s="71" t="n">
        <f aca="false">J324*MAX(0,J21-0.5*(J627+J930+J1233))*MAX(0,MIN(8,'Loan Tape'!$AV17)-7)</f>
        <v>0</v>
      </c>
      <c r="K1839" s="71" t="n">
        <f aca="false">K324*MAX(0,K21-0.5*(K627+K930+K1233))*MAX(0,MIN(9,'Loan Tape'!$AV17)-8)</f>
        <v>0</v>
      </c>
      <c r="L1839" s="71" t="n">
        <f aca="false">L324*MAX(0,L21-0.5*(L627+L930+L1233))*MAX(0,MIN(10,'Loan Tape'!$AV17)-9)</f>
        <v>0</v>
      </c>
    </row>
    <row r="1840" customFormat="false" ht="15" hidden="false" customHeight="false" outlineLevel="0" collapsed="false">
      <c r="B1840" s="102" t="str">
        <f aca="false">'Loan Tape'!$A18</f>
        <v>L-015</v>
      </c>
      <c r="C1840" s="99" t="n">
        <f aca="false">C325*MAX(0,C22-0.5*(C628+C931+C1234))*MAX(0,MIN(1,'Loan Tape'!$AV18)-0)</f>
        <v>9427179.724</v>
      </c>
      <c r="D1840" s="99" t="n">
        <f aca="false">D325*MAX(0,D22-0.5*(D628+D931+D1234))*MAX(0,MIN(2,'Loan Tape'!$AV18)-1)</f>
        <v>7750851.26112</v>
      </c>
      <c r="E1840" s="99" t="n">
        <f aca="false">E325*MAX(0,E22-0.5*(E628+E931+E1234))*MAX(0,MIN(3,'Loan Tape'!$AV18)-2)</f>
        <v>6437022.0150016</v>
      </c>
      <c r="F1840" s="99" t="n">
        <f aca="false">F325*MAX(0,F22-0.5*(F628+F931+F1234))*MAX(0,MIN(4,'Loan Tape'!$AV18)-3)</f>
        <v>5495739.45149645</v>
      </c>
      <c r="G1840" s="99" t="n">
        <f aca="false">G325*MAX(0,G22-0.5*(G628+G931+G1234))*MAX(0,MIN(5,'Loan Tape'!$AV18)-4)</f>
        <v>4761961.15176669</v>
      </c>
      <c r="H1840" s="99" t="n">
        <f aca="false">H325*MAX(0,H22-0.5*(H628+H931+H1234))*MAX(0,MIN(6,'Loan Tape'!$AV18)-5)</f>
        <v>0</v>
      </c>
      <c r="I1840" s="99" t="n">
        <f aca="false">I325*MAX(0,I22-0.5*(I628+I931+I1234))*MAX(0,MIN(7,'Loan Tape'!$AV18)-6)</f>
        <v>0</v>
      </c>
      <c r="J1840" s="99" t="n">
        <f aca="false">J325*MAX(0,J22-0.5*(J628+J931+J1234))*MAX(0,MIN(8,'Loan Tape'!$AV18)-7)</f>
        <v>0</v>
      </c>
      <c r="K1840" s="99" t="n">
        <f aca="false">K325*MAX(0,K22-0.5*(K628+K931+K1234))*MAX(0,MIN(9,'Loan Tape'!$AV18)-8)</f>
        <v>0</v>
      </c>
      <c r="L1840" s="99" t="n">
        <f aca="false">L325*MAX(0,L22-0.5*(L628+L931+L1234))*MAX(0,MIN(10,'Loan Tape'!$AV18)-9)</f>
        <v>0</v>
      </c>
    </row>
    <row r="1841" customFormat="false" ht="15" hidden="false" customHeight="false" outlineLevel="0" collapsed="false">
      <c r="B1841" s="108" t="str">
        <f aca="false">'Loan Tape'!$A19</f>
        <v>L-016</v>
      </c>
      <c r="C1841" s="71" t="n">
        <f aca="false">C326*MAX(0,C23-0.5*(C629+C932+C1235))*MAX(0,MIN(1,'Loan Tape'!$AV19)-0)</f>
        <v>0</v>
      </c>
      <c r="D1841" s="71" t="n">
        <f aca="false">D326*MAX(0,D23-0.5*(D629+D932+D1235))*MAX(0,MIN(2,'Loan Tape'!$AV19)-1)</f>
        <v>0</v>
      </c>
      <c r="E1841" s="71" t="n">
        <f aca="false">E326*MAX(0,E23-0.5*(E629+E932+E1235))*MAX(0,MIN(3,'Loan Tape'!$AV19)-2)</f>
        <v>0</v>
      </c>
      <c r="F1841" s="71" t="n">
        <f aca="false">F326*MAX(0,F23-0.5*(F629+F932+F1235))*MAX(0,MIN(4,'Loan Tape'!$AV19)-3)</f>
        <v>0</v>
      </c>
      <c r="G1841" s="71" t="n">
        <f aca="false">G326*MAX(0,G23-0.5*(G629+G932+G1235))*MAX(0,MIN(5,'Loan Tape'!$AV19)-4)</f>
        <v>0</v>
      </c>
      <c r="H1841" s="71" t="n">
        <f aca="false">H326*MAX(0,H23-0.5*(H629+H932+H1235))*MAX(0,MIN(6,'Loan Tape'!$AV19)-5)</f>
        <v>0</v>
      </c>
      <c r="I1841" s="71" t="n">
        <f aca="false">I326*MAX(0,I23-0.5*(I629+I932+I1235))*MAX(0,MIN(7,'Loan Tape'!$AV19)-6)</f>
        <v>0</v>
      </c>
      <c r="J1841" s="71" t="n">
        <f aca="false">J326*MAX(0,J23-0.5*(J629+J932+J1235))*MAX(0,MIN(8,'Loan Tape'!$AV19)-7)</f>
        <v>0</v>
      </c>
      <c r="K1841" s="71" t="n">
        <f aca="false">K326*MAX(0,K23-0.5*(K629+K932+K1235))*MAX(0,MIN(9,'Loan Tape'!$AV19)-8)</f>
        <v>0</v>
      </c>
      <c r="L1841" s="71" t="n">
        <f aca="false">L326*MAX(0,L23-0.5*(L629+L932+L1235))*MAX(0,MIN(10,'Loan Tape'!$AV19)-9)</f>
        <v>0</v>
      </c>
    </row>
    <row r="1842" customFormat="false" ht="15" hidden="false" customHeight="false" outlineLevel="0" collapsed="false">
      <c r="B1842" s="102" t="str">
        <f aca="false">'Loan Tape'!$A20</f>
        <v>L-017</v>
      </c>
      <c r="C1842" s="99" t="n">
        <f aca="false">C327*MAX(0,C24-0.5*(C630+C933+C1236))*MAX(0,MIN(1,'Loan Tape'!$AV20)-0)</f>
        <v>217636.602</v>
      </c>
      <c r="D1842" s="99" t="n">
        <f aca="false">D327*MAX(0,D24-0.5*(D630+D933+D1236))*MAX(0,MIN(2,'Loan Tape'!$AV20)-1)</f>
        <v>191520.20976</v>
      </c>
      <c r="E1842" s="99" t="n">
        <f aca="false">E327*MAX(0,E24-0.5*(E630+E933+E1236))*MAX(0,MIN(3,'Loan Tape'!$AV20)-2)</f>
        <v>168537.7845888</v>
      </c>
      <c r="F1842" s="99" t="n">
        <f aca="false">F327*MAX(0,F24-0.5*(F630+F933+F1236))*MAX(0,MIN(4,'Loan Tape'!$AV20)-3)</f>
        <v>148313.250438144</v>
      </c>
      <c r="G1842" s="99" t="n">
        <f aca="false">G327*MAX(0,G24-0.5*(G630+G933+G1236))*MAX(0,MIN(5,'Loan Tape'!$AV20)-4)</f>
        <v>130515.660385567</v>
      </c>
      <c r="H1842" s="99" t="n">
        <f aca="false">H327*MAX(0,H24-0.5*(H630+H933+H1236))*MAX(0,MIN(6,'Loan Tape'!$AV20)-5)</f>
        <v>0</v>
      </c>
      <c r="I1842" s="99" t="n">
        <f aca="false">I327*MAX(0,I24-0.5*(I630+I933+I1236))*MAX(0,MIN(7,'Loan Tape'!$AV20)-6)</f>
        <v>0</v>
      </c>
      <c r="J1842" s="99" t="n">
        <f aca="false">J327*MAX(0,J24-0.5*(J630+J933+J1236))*MAX(0,MIN(8,'Loan Tape'!$AV20)-7)</f>
        <v>0</v>
      </c>
      <c r="K1842" s="99" t="n">
        <f aca="false">K327*MAX(0,K24-0.5*(K630+K933+K1236))*MAX(0,MIN(9,'Loan Tape'!$AV20)-8)</f>
        <v>0</v>
      </c>
      <c r="L1842" s="99" t="n">
        <f aca="false">L327*MAX(0,L24-0.5*(L630+L933+L1236))*MAX(0,MIN(10,'Loan Tape'!$AV20)-9)</f>
        <v>0</v>
      </c>
    </row>
    <row r="1843" customFormat="false" ht="15" hidden="false" customHeight="false" outlineLevel="0" collapsed="false">
      <c r="B1843" s="108" t="str">
        <f aca="false">'Loan Tape'!$A21</f>
        <v>L-018</v>
      </c>
      <c r="C1843" s="71" t="n">
        <f aca="false">C328*MAX(0,C25-0.5*(C631+C934+C1237))*MAX(0,MIN(1,'Loan Tape'!$AV21)-0)</f>
        <v>5162793.29880639</v>
      </c>
      <c r="D1843" s="71" t="n">
        <f aca="false">D328*MAX(0,D25-0.5*(D631+D934+D1237))*MAX(0,MIN(2,'Loan Tape'!$AV21)-1)</f>
        <v>4145394.82105652</v>
      </c>
      <c r="E1843" s="71" t="n">
        <f aca="false">E328*MAX(0,E25-0.5*(E631+E934+E1237))*MAX(0,MIN(3,'Loan Tape'!$AV21)-2)</f>
        <v>3352907.86830553</v>
      </c>
      <c r="F1843" s="71" t="n">
        <f aca="false">F328*MAX(0,F25-0.5*(F631+F934+F1237))*MAX(0,MIN(4,'Loan Tape'!$AV21)-3)</f>
        <v>2784026.47419043</v>
      </c>
      <c r="G1843" s="71" t="n">
        <f aca="false">G328*MAX(0,G25-0.5*(G631+G934+G1237))*MAX(0,MIN(5,'Loan Tape'!$AV21)-4)</f>
        <v>1019363.79944441</v>
      </c>
      <c r="H1843" s="71" t="n">
        <f aca="false">H328*MAX(0,H25-0.5*(H631+H934+H1237))*MAX(0,MIN(6,'Loan Tape'!$AV21)-5)</f>
        <v>0</v>
      </c>
      <c r="I1843" s="71" t="n">
        <f aca="false">I328*MAX(0,I25-0.5*(I631+I934+I1237))*MAX(0,MIN(7,'Loan Tape'!$AV21)-6)</f>
        <v>0</v>
      </c>
      <c r="J1843" s="71" t="n">
        <f aca="false">J328*MAX(0,J25-0.5*(J631+J934+J1237))*MAX(0,MIN(8,'Loan Tape'!$AV21)-7)</f>
        <v>0</v>
      </c>
      <c r="K1843" s="71" t="n">
        <f aca="false">K328*MAX(0,K25-0.5*(K631+K934+K1237))*MAX(0,MIN(9,'Loan Tape'!$AV21)-8)</f>
        <v>0</v>
      </c>
      <c r="L1843" s="71" t="n">
        <f aca="false">L328*MAX(0,L25-0.5*(L631+L934+L1237))*MAX(0,MIN(10,'Loan Tape'!$AV21)-9)</f>
        <v>0</v>
      </c>
    </row>
    <row r="1844" customFormat="false" ht="15" hidden="false" customHeight="false" outlineLevel="0" collapsed="false">
      <c r="B1844" s="102" t="str">
        <f aca="false">'Loan Tape'!$A22</f>
        <v>L-019</v>
      </c>
      <c r="C1844" s="99" t="n">
        <f aca="false">C329*MAX(0,C26-0.5*(C632+C935+C1238))*MAX(0,MIN(1,'Loan Tape'!$AV22)-0)</f>
        <v>625094.386007986</v>
      </c>
      <c r="D1844" s="99" t="n">
        <f aca="false">D329*MAX(0,D26-0.5*(D632+D935+D1238))*MAX(0,MIN(2,'Loan Tape'!$AV22)-1)</f>
        <v>0</v>
      </c>
      <c r="E1844" s="99" t="n">
        <f aca="false">E329*MAX(0,E26-0.5*(E632+E935+E1238))*MAX(0,MIN(3,'Loan Tape'!$AV22)-2)</f>
        <v>0</v>
      </c>
      <c r="F1844" s="99" t="n">
        <f aca="false">F329*MAX(0,F26-0.5*(F632+F935+F1238))*MAX(0,MIN(4,'Loan Tape'!$AV22)-3)</f>
        <v>0</v>
      </c>
      <c r="G1844" s="99" t="n">
        <f aca="false">G329*MAX(0,G26-0.5*(G632+G935+G1238))*MAX(0,MIN(5,'Loan Tape'!$AV22)-4)</f>
        <v>0</v>
      </c>
      <c r="H1844" s="99" t="n">
        <f aca="false">H329*MAX(0,H26-0.5*(H632+H935+H1238))*MAX(0,MIN(6,'Loan Tape'!$AV22)-5)</f>
        <v>0</v>
      </c>
      <c r="I1844" s="99" t="n">
        <f aca="false">I329*MAX(0,I26-0.5*(I632+I935+I1238))*MAX(0,MIN(7,'Loan Tape'!$AV22)-6)</f>
        <v>0</v>
      </c>
      <c r="J1844" s="99" t="n">
        <f aca="false">J329*MAX(0,J26-0.5*(J632+J935+J1238))*MAX(0,MIN(8,'Loan Tape'!$AV22)-7)</f>
        <v>0</v>
      </c>
      <c r="K1844" s="99" t="n">
        <f aca="false">K329*MAX(0,K26-0.5*(K632+K935+K1238))*MAX(0,MIN(9,'Loan Tape'!$AV22)-8)</f>
        <v>0</v>
      </c>
      <c r="L1844" s="99" t="n">
        <f aca="false">L329*MAX(0,L26-0.5*(L632+L935+L1238))*MAX(0,MIN(10,'Loan Tape'!$AV22)-9)</f>
        <v>0</v>
      </c>
    </row>
    <row r="1845" customFormat="false" ht="15" hidden="false" customHeight="false" outlineLevel="0" collapsed="false">
      <c r="B1845" s="108" t="str">
        <f aca="false">'Loan Tape'!$A23</f>
        <v>L-020</v>
      </c>
      <c r="C1845" s="71" t="n">
        <f aca="false">C330*MAX(0,C27-0.5*(C633+C936+C1239))*MAX(0,MIN(1,'Loan Tape'!$AV23)-0)</f>
        <v>5755673.956</v>
      </c>
      <c r="D1845" s="71" t="n">
        <f aca="false">D330*MAX(0,D27-0.5*(D633+D936+D1239))*MAX(0,MIN(2,'Loan Tape'!$AV23)-1)</f>
        <v>4779158.25728</v>
      </c>
      <c r="E1845" s="71" t="n">
        <f aca="false">E330*MAX(0,E27-0.5*(E633+E936+E1239))*MAX(0,MIN(3,'Loan Tape'!$AV23)-2)</f>
        <v>4004431.5503104</v>
      </c>
      <c r="F1845" s="71" t="n">
        <f aca="false">F330*MAX(0,F27-0.5*(F633+F936+F1239))*MAX(0,MIN(4,'Loan Tape'!$AV23)-3)</f>
        <v>3435359.56919091</v>
      </c>
      <c r="G1845" s="71" t="n">
        <f aca="false">G330*MAX(0,G27-0.5*(G633+G936+G1239))*MAX(0,MIN(5,'Loan Tape'!$AV23)-4)</f>
        <v>2984158.73505182</v>
      </c>
      <c r="H1845" s="71" t="n">
        <f aca="false">H330*MAX(0,H27-0.5*(H633+H936+H1239))*MAX(0,MIN(6,'Loan Tape'!$AV23)-5)</f>
        <v>0</v>
      </c>
      <c r="I1845" s="71" t="n">
        <f aca="false">I330*MAX(0,I27-0.5*(I633+I936+I1239))*MAX(0,MIN(7,'Loan Tape'!$AV23)-6)</f>
        <v>0</v>
      </c>
      <c r="J1845" s="71" t="n">
        <f aca="false">J330*MAX(0,J27-0.5*(J633+J936+J1239))*MAX(0,MIN(8,'Loan Tape'!$AV23)-7)</f>
        <v>0</v>
      </c>
      <c r="K1845" s="71" t="n">
        <f aca="false">K330*MAX(0,K27-0.5*(K633+K936+K1239))*MAX(0,MIN(9,'Loan Tape'!$AV23)-8)</f>
        <v>0</v>
      </c>
      <c r="L1845" s="71" t="n">
        <f aca="false">L330*MAX(0,L27-0.5*(L633+L936+L1239))*MAX(0,MIN(10,'Loan Tape'!$AV23)-9)</f>
        <v>0</v>
      </c>
    </row>
    <row r="1846" customFormat="false" ht="15" hidden="false" customHeight="false" outlineLevel="0" collapsed="false">
      <c r="B1846" s="102" t="str">
        <f aca="false">'Loan Tape'!$A24</f>
        <v>L-021</v>
      </c>
      <c r="C1846" s="99" t="n">
        <f aca="false">C331*MAX(0,C28-0.5*(C634+C937+C1240))*MAX(0,MIN(1,'Loan Tape'!$AV24)-0)</f>
        <v>2555374.01436498</v>
      </c>
      <c r="D1846" s="99" t="n">
        <f aca="false">D331*MAX(0,D28-0.5*(D634+D937+D1240))*MAX(0,MIN(2,'Loan Tape'!$AV24)-1)</f>
        <v>2063796.08475019</v>
      </c>
      <c r="E1846" s="99" t="n">
        <f aca="false">E331*MAX(0,E28-0.5*(E634+E937+E1240))*MAX(0,MIN(3,'Loan Tape'!$AV24)-2)</f>
        <v>1679432.97565059</v>
      </c>
      <c r="F1846" s="99" t="n">
        <f aca="false">F331*MAX(0,F28-0.5*(F634+F937+F1240))*MAX(0,MIN(4,'Loan Tape'!$AV24)-3)</f>
        <v>500689.568923524</v>
      </c>
      <c r="G1846" s="99" t="n">
        <f aca="false">G331*MAX(0,G28-0.5*(G634+G937+G1240))*MAX(0,MIN(5,'Loan Tape'!$AV24)-4)</f>
        <v>0</v>
      </c>
      <c r="H1846" s="99" t="n">
        <f aca="false">H331*MAX(0,H28-0.5*(H634+H937+H1240))*MAX(0,MIN(6,'Loan Tape'!$AV24)-5)</f>
        <v>0</v>
      </c>
      <c r="I1846" s="99" t="n">
        <f aca="false">I331*MAX(0,I28-0.5*(I634+I937+I1240))*MAX(0,MIN(7,'Loan Tape'!$AV24)-6)</f>
        <v>0</v>
      </c>
      <c r="J1846" s="99" t="n">
        <f aca="false">J331*MAX(0,J28-0.5*(J634+J937+J1240))*MAX(0,MIN(8,'Loan Tape'!$AV24)-7)</f>
        <v>0</v>
      </c>
      <c r="K1846" s="99" t="n">
        <f aca="false">K331*MAX(0,K28-0.5*(K634+K937+K1240))*MAX(0,MIN(9,'Loan Tape'!$AV24)-8)</f>
        <v>0</v>
      </c>
      <c r="L1846" s="99" t="n">
        <f aca="false">L331*MAX(0,L28-0.5*(L634+L937+L1240))*MAX(0,MIN(10,'Loan Tape'!$AV24)-9)</f>
        <v>0</v>
      </c>
    </row>
    <row r="1847" customFormat="false" ht="15" hidden="false" customHeight="false" outlineLevel="0" collapsed="false">
      <c r="B1847" s="108" t="str">
        <f aca="false">'Loan Tape'!$A25</f>
        <v>L-022</v>
      </c>
      <c r="C1847" s="71" t="n">
        <f aca="false">C332*MAX(0,C29-0.5*(C635+C938+C1241))*MAX(0,MIN(1,'Loan Tape'!$AV25)-0)</f>
        <v>320350.983211262</v>
      </c>
      <c r="D1847" s="71" t="n">
        <f aca="false">D332*MAX(0,D29-0.5*(D635+D938+D1241))*MAX(0,MIN(2,'Loan Tape'!$AV25)-1)</f>
        <v>231602.022522655</v>
      </c>
      <c r="E1847" s="71" t="n">
        <f aca="false">E332*MAX(0,E29-0.5*(E635+E938+E1241))*MAX(0,MIN(3,'Loan Tape'!$AV25)-2)</f>
        <v>0</v>
      </c>
      <c r="F1847" s="71" t="n">
        <f aca="false">F332*MAX(0,F29-0.5*(F635+F938+F1241))*MAX(0,MIN(4,'Loan Tape'!$AV25)-3)</f>
        <v>0</v>
      </c>
      <c r="G1847" s="71" t="n">
        <f aca="false">G332*MAX(0,G29-0.5*(G635+G938+G1241))*MAX(0,MIN(5,'Loan Tape'!$AV25)-4)</f>
        <v>0</v>
      </c>
      <c r="H1847" s="71" t="n">
        <f aca="false">H332*MAX(0,H29-0.5*(H635+H938+H1241))*MAX(0,MIN(6,'Loan Tape'!$AV25)-5)</f>
        <v>0</v>
      </c>
      <c r="I1847" s="71" t="n">
        <f aca="false">I332*MAX(0,I29-0.5*(I635+I938+I1241))*MAX(0,MIN(7,'Loan Tape'!$AV25)-6)</f>
        <v>0</v>
      </c>
      <c r="J1847" s="71" t="n">
        <f aca="false">J332*MAX(0,J29-0.5*(J635+J938+J1241))*MAX(0,MIN(8,'Loan Tape'!$AV25)-7)</f>
        <v>0</v>
      </c>
      <c r="K1847" s="71" t="n">
        <f aca="false">K332*MAX(0,K29-0.5*(K635+K938+K1241))*MAX(0,MIN(9,'Loan Tape'!$AV25)-8)</f>
        <v>0</v>
      </c>
      <c r="L1847" s="71" t="n">
        <f aca="false">L332*MAX(0,L29-0.5*(L635+L938+L1241))*MAX(0,MIN(10,'Loan Tape'!$AV25)-9)</f>
        <v>0</v>
      </c>
    </row>
    <row r="1848" customFormat="false" ht="15" hidden="false" customHeight="false" outlineLevel="0" collapsed="false">
      <c r="B1848" s="102" t="str">
        <f aca="false">'Loan Tape'!$A26</f>
        <v>L-023</v>
      </c>
      <c r="C1848" s="99" t="n">
        <f aca="false">C333*MAX(0,C30-0.5*(C636+C939+C1242))*MAX(0,MIN(1,'Loan Tape'!$AV26)-0)</f>
        <v>0</v>
      </c>
      <c r="D1848" s="99" t="n">
        <f aca="false">D333*MAX(0,D30-0.5*(D636+D939+D1242))*MAX(0,MIN(2,'Loan Tape'!$AV26)-1)</f>
        <v>0</v>
      </c>
      <c r="E1848" s="99" t="n">
        <f aca="false">E333*MAX(0,E30-0.5*(E636+E939+E1242))*MAX(0,MIN(3,'Loan Tape'!$AV26)-2)</f>
        <v>0</v>
      </c>
      <c r="F1848" s="99" t="n">
        <f aca="false">F333*MAX(0,F30-0.5*(F636+F939+F1242))*MAX(0,MIN(4,'Loan Tape'!$AV26)-3)</f>
        <v>0</v>
      </c>
      <c r="G1848" s="99" t="n">
        <f aca="false">G333*MAX(0,G30-0.5*(G636+G939+G1242))*MAX(0,MIN(5,'Loan Tape'!$AV26)-4)</f>
        <v>0</v>
      </c>
      <c r="H1848" s="99" t="n">
        <f aca="false">H333*MAX(0,H30-0.5*(H636+H939+H1242))*MAX(0,MIN(6,'Loan Tape'!$AV26)-5)</f>
        <v>0</v>
      </c>
      <c r="I1848" s="99" t="n">
        <f aca="false">I333*MAX(0,I30-0.5*(I636+I939+I1242))*MAX(0,MIN(7,'Loan Tape'!$AV26)-6)</f>
        <v>0</v>
      </c>
      <c r="J1848" s="99" t="n">
        <f aca="false">J333*MAX(0,J30-0.5*(J636+J939+J1242))*MAX(0,MIN(8,'Loan Tape'!$AV26)-7)</f>
        <v>0</v>
      </c>
      <c r="K1848" s="99" t="n">
        <f aca="false">K333*MAX(0,K30-0.5*(K636+K939+K1242))*MAX(0,MIN(9,'Loan Tape'!$AV26)-8)</f>
        <v>0</v>
      </c>
      <c r="L1848" s="99" t="n">
        <f aca="false">L333*MAX(0,L30-0.5*(L636+L939+L1242))*MAX(0,MIN(10,'Loan Tape'!$AV26)-9)</f>
        <v>0</v>
      </c>
    </row>
    <row r="1849" customFormat="false" ht="15" hidden="false" customHeight="false" outlineLevel="0" collapsed="false">
      <c r="B1849" s="108" t="str">
        <f aca="false">'Loan Tape'!$A27</f>
        <v>L-024</v>
      </c>
      <c r="C1849" s="71" t="n">
        <f aca="false">C334*MAX(0,C31-0.5*(C637+C940+C1243))*MAX(0,MIN(1,'Loan Tape'!$AV27)-0)</f>
        <v>1271304.034</v>
      </c>
      <c r="D1849" s="71" t="n">
        <f aca="false">D334*MAX(0,D31-0.5*(D637+D940+D1243))*MAX(0,MIN(2,'Loan Tape'!$AV27)-1)</f>
        <v>1045817.46192</v>
      </c>
      <c r="E1849" s="71" t="n">
        <f aca="false">E334*MAX(0,E31-0.5*(E637+E940+E1243))*MAX(0,MIN(3,'Loan Tape'!$AV27)-2)</f>
        <v>868976.5845376</v>
      </c>
      <c r="F1849" s="71" t="n">
        <f aca="false">F334*MAX(0,F31-0.5*(F637+F940+F1243))*MAX(0,MIN(4,'Loan Tape'!$AV27)-3)</f>
        <v>686649.224617734</v>
      </c>
      <c r="G1849" s="71" t="n">
        <f aca="false">G334*MAX(0,G31-0.5*(G637+G940+G1243))*MAX(0,MIN(5,'Loan Tape'!$AV27)-4)</f>
        <v>0</v>
      </c>
      <c r="H1849" s="71" t="n">
        <f aca="false">H334*MAX(0,H31-0.5*(H637+H940+H1243))*MAX(0,MIN(6,'Loan Tape'!$AV27)-5)</f>
        <v>0</v>
      </c>
      <c r="I1849" s="71" t="n">
        <f aca="false">I334*MAX(0,I31-0.5*(I637+I940+I1243))*MAX(0,MIN(7,'Loan Tape'!$AV27)-6)</f>
        <v>0</v>
      </c>
      <c r="J1849" s="71" t="n">
        <f aca="false">J334*MAX(0,J31-0.5*(J637+J940+J1243))*MAX(0,MIN(8,'Loan Tape'!$AV27)-7)</f>
        <v>0</v>
      </c>
      <c r="K1849" s="71" t="n">
        <f aca="false">K334*MAX(0,K31-0.5*(K637+K940+K1243))*MAX(0,MIN(9,'Loan Tape'!$AV27)-8)</f>
        <v>0</v>
      </c>
      <c r="L1849" s="71" t="n">
        <f aca="false">L334*MAX(0,L31-0.5*(L637+L940+L1243))*MAX(0,MIN(10,'Loan Tape'!$AV27)-9)</f>
        <v>0</v>
      </c>
    </row>
    <row r="1850" customFormat="false" ht="15" hidden="false" customHeight="false" outlineLevel="0" collapsed="false">
      <c r="B1850" s="102" t="str">
        <f aca="false">'Loan Tape'!$A28</f>
        <v>L-025</v>
      </c>
      <c r="C1850" s="99" t="n">
        <f aca="false">C335*MAX(0,C32-0.5*(C638+C941+C1244))*MAX(0,MIN(1,'Loan Tape'!$AV28)-0)</f>
        <v>723246.193746906</v>
      </c>
      <c r="D1850" s="99" t="n">
        <f aca="false">D335*MAX(0,D32-0.5*(D638+D941+D1244))*MAX(0,MIN(2,'Loan Tape'!$AV28)-1)</f>
        <v>622623.728109934</v>
      </c>
      <c r="E1850" s="99" t="n">
        <f aca="false">E335*MAX(0,E32-0.5*(E638+E941+E1244))*MAX(0,MIN(3,'Loan Tape'!$AV28)-2)</f>
        <v>535129.72406902</v>
      </c>
      <c r="F1850" s="99" t="n">
        <f aca="false">F335*MAX(0,F32-0.5*(F638+F941+F1244))*MAX(0,MIN(4,'Loan Tape'!$AV28)-3)</f>
        <v>123930.900660357</v>
      </c>
      <c r="G1850" s="99" t="n">
        <f aca="false">G335*MAX(0,G32-0.5*(G638+G941+G1244))*MAX(0,MIN(5,'Loan Tape'!$AV28)-4)</f>
        <v>0</v>
      </c>
      <c r="H1850" s="99" t="n">
        <f aca="false">H335*MAX(0,H32-0.5*(H638+H941+H1244))*MAX(0,MIN(6,'Loan Tape'!$AV28)-5)</f>
        <v>0</v>
      </c>
      <c r="I1850" s="99" t="n">
        <f aca="false">I335*MAX(0,I32-0.5*(I638+I941+I1244))*MAX(0,MIN(7,'Loan Tape'!$AV28)-6)</f>
        <v>0</v>
      </c>
      <c r="J1850" s="99" t="n">
        <f aca="false">J335*MAX(0,J32-0.5*(J638+J941+J1244))*MAX(0,MIN(8,'Loan Tape'!$AV28)-7)</f>
        <v>0</v>
      </c>
      <c r="K1850" s="99" t="n">
        <f aca="false">K335*MAX(0,K32-0.5*(K638+K941+K1244))*MAX(0,MIN(9,'Loan Tape'!$AV28)-8)</f>
        <v>0</v>
      </c>
      <c r="L1850" s="99" t="n">
        <f aca="false">L335*MAX(0,L32-0.5*(L638+L941+L1244))*MAX(0,MIN(10,'Loan Tape'!$AV28)-9)</f>
        <v>0</v>
      </c>
    </row>
    <row r="1851" customFormat="false" ht="15" hidden="false" customHeight="false" outlineLevel="0" collapsed="false">
      <c r="B1851" s="108" t="str">
        <f aca="false">'Loan Tape'!$A29</f>
        <v>L-026</v>
      </c>
      <c r="C1851" s="71" t="n">
        <f aca="false">C336*MAX(0,C33-0.5*(C639+C942+C1245))*MAX(0,MIN(1,'Loan Tape'!$AV29)-0)</f>
        <v>7385577.932</v>
      </c>
      <c r="D1851" s="71" t="n">
        <f aca="false">D336*MAX(0,D33-0.5*(D639+D942+D1245))*MAX(0,MIN(2,'Loan Tape'!$AV29)-1)</f>
        <v>0</v>
      </c>
      <c r="E1851" s="71" t="n">
        <f aca="false">E336*MAX(0,E33-0.5*(E639+E942+E1245))*MAX(0,MIN(3,'Loan Tape'!$AV29)-2)</f>
        <v>0</v>
      </c>
      <c r="F1851" s="71" t="n">
        <f aca="false">F336*MAX(0,F33-0.5*(F639+F942+F1245))*MAX(0,MIN(4,'Loan Tape'!$AV29)-3)</f>
        <v>0</v>
      </c>
      <c r="G1851" s="71" t="n">
        <f aca="false">G336*MAX(0,G33-0.5*(G639+G942+G1245))*MAX(0,MIN(5,'Loan Tape'!$AV29)-4)</f>
        <v>0</v>
      </c>
      <c r="H1851" s="71" t="n">
        <f aca="false">H336*MAX(0,H33-0.5*(H639+H942+H1245))*MAX(0,MIN(6,'Loan Tape'!$AV29)-5)</f>
        <v>0</v>
      </c>
      <c r="I1851" s="71" t="n">
        <f aca="false">I336*MAX(0,I33-0.5*(I639+I942+I1245))*MAX(0,MIN(7,'Loan Tape'!$AV29)-6)</f>
        <v>0</v>
      </c>
      <c r="J1851" s="71" t="n">
        <f aca="false">J336*MAX(0,J33-0.5*(J639+J942+J1245))*MAX(0,MIN(8,'Loan Tape'!$AV29)-7)</f>
        <v>0</v>
      </c>
      <c r="K1851" s="71" t="n">
        <f aca="false">K336*MAX(0,K33-0.5*(K639+K942+K1245))*MAX(0,MIN(9,'Loan Tape'!$AV29)-8)</f>
        <v>0</v>
      </c>
      <c r="L1851" s="71" t="n">
        <f aca="false">L336*MAX(0,L33-0.5*(L639+L942+L1245))*MAX(0,MIN(10,'Loan Tape'!$AV29)-9)</f>
        <v>0</v>
      </c>
    </row>
    <row r="1852" customFormat="false" ht="15" hidden="false" customHeight="false" outlineLevel="0" collapsed="false">
      <c r="B1852" s="102" t="str">
        <f aca="false">'Loan Tape'!$A30</f>
        <v>L-027</v>
      </c>
      <c r="C1852" s="99" t="n">
        <f aca="false">C337*MAX(0,C34-0.5*(C640+C943+C1246))*MAX(0,MIN(1,'Loan Tape'!$AV30)-0)</f>
        <v>6520695.776</v>
      </c>
      <c r="D1852" s="99" t="n">
        <f aca="false">D337*MAX(0,D34-0.5*(D640+D943+D1246))*MAX(0,MIN(2,'Loan Tape'!$AV30)-1)</f>
        <v>5372254.86688</v>
      </c>
      <c r="E1852" s="99" t="n">
        <f aca="false">E337*MAX(0,E34-0.5*(E640+E943+E1246))*MAX(0,MIN(3,'Loan Tape'!$AV30)-2)</f>
        <v>4469950.2619904</v>
      </c>
      <c r="F1852" s="99" t="n">
        <f aca="false">F337*MAX(0,F34-0.5*(F640+F943+F1246))*MAX(0,MIN(4,'Loan Tape'!$AV30)-3)</f>
        <v>1977595.46759697</v>
      </c>
      <c r="G1852" s="99" t="n">
        <f aca="false">G337*MAX(0,G34-0.5*(G640+G943+G1246))*MAX(0,MIN(5,'Loan Tape'!$AV30)-4)</f>
        <v>0</v>
      </c>
      <c r="H1852" s="99" t="n">
        <f aca="false">H337*MAX(0,H34-0.5*(H640+H943+H1246))*MAX(0,MIN(6,'Loan Tape'!$AV30)-5)</f>
        <v>0</v>
      </c>
      <c r="I1852" s="99" t="n">
        <f aca="false">I337*MAX(0,I34-0.5*(I640+I943+I1246))*MAX(0,MIN(7,'Loan Tape'!$AV30)-6)</f>
        <v>0</v>
      </c>
      <c r="J1852" s="99" t="n">
        <f aca="false">J337*MAX(0,J34-0.5*(J640+J943+J1246))*MAX(0,MIN(8,'Loan Tape'!$AV30)-7)</f>
        <v>0</v>
      </c>
      <c r="K1852" s="99" t="n">
        <f aca="false">K337*MAX(0,K34-0.5*(K640+K943+K1246))*MAX(0,MIN(9,'Loan Tape'!$AV30)-8)</f>
        <v>0</v>
      </c>
      <c r="L1852" s="99" t="n">
        <f aca="false">L337*MAX(0,L34-0.5*(L640+L943+L1246))*MAX(0,MIN(10,'Loan Tape'!$AV30)-9)</f>
        <v>0</v>
      </c>
    </row>
    <row r="1853" customFormat="false" ht="15" hidden="false" customHeight="false" outlineLevel="0" collapsed="false">
      <c r="B1853" s="108" t="str">
        <f aca="false">'Loan Tape'!$A31</f>
        <v>L-028</v>
      </c>
      <c r="C1853" s="71" t="n">
        <f aca="false">C338*MAX(0,C35-0.5*(C641+C944+C1247))*MAX(0,MIN(1,'Loan Tape'!$AV31)-0)</f>
        <v>0</v>
      </c>
      <c r="D1853" s="71" t="n">
        <f aca="false">D338*MAX(0,D35-0.5*(D641+D944+D1247))*MAX(0,MIN(2,'Loan Tape'!$AV31)-1)</f>
        <v>0</v>
      </c>
      <c r="E1853" s="71" t="n">
        <f aca="false">E338*MAX(0,E35-0.5*(E641+E944+E1247))*MAX(0,MIN(3,'Loan Tape'!$AV31)-2)</f>
        <v>0</v>
      </c>
      <c r="F1853" s="71" t="n">
        <f aca="false">F338*MAX(0,F35-0.5*(F641+F944+F1247))*MAX(0,MIN(4,'Loan Tape'!$AV31)-3)</f>
        <v>0</v>
      </c>
      <c r="G1853" s="71" t="n">
        <f aca="false">G338*MAX(0,G35-0.5*(G641+G944+G1247))*MAX(0,MIN(5,'Loan Tape'!$AV31)-4)</f>
        <v>0</v>
      </c>
      <c r="H1853" s="71" t="n">
        <f aca="false">H338*MAX(0,H35-0.5*(H641+H944+H1247))*MAX(0,MIN(6,'Loan Tape'!$AV31)-5)</f>
        <v>0</v>
      </c>
      <c r="I1853" s="71" t="n">
        <f aca="false">I338*MAX(0,I35-0.5*(I641+I944+I1247))*MAX(0,MIN(7,'Loan Tape'!$AV31)-6)</f>
        <v>0</v>
      </c>
      <c r="J1853" s="71" t="n">
        <f aca="false">J338*MAX(0,J35-0.5*(J641+J944+J1247))*MAX(0,MIN(8,'Loan Tape'!$AV31)-7)</f>
        <v>0</v>
      </c>
      <c r="K1853" s="71" t="n">
        <f aca="false">K338*MAX(0,K35-0.5*(K641+K944+K1247))*MAX(0,MIN(9,'Loan Tape'!$AV31)-8)</f>
        <v>0</v>
      </c>
      <c r="L1853" s="71" t="n">
        <f aca="false">L338*MAX(0,L35-0.5*(L641+L944+L1247))*MAX(0,MIN(10,'Loan Tape'!$AV31)-9)</f>
        <v>0</v>
      </c>
    </row>
    <row r="1854" customFormat="false" ht="15" hidden="false" customHeight="false" outlineLevel="0" collapsed="false">
      <c r="B1854" s="102" t="str">
        <f aca="false">'Loan Tape'!$A32</f>
        <v>L-029</v>
      </c>
      <c r="C1854" s="99" t="n">
        <f aca="false">C339*MAX(0,C36-0.5*(C642+C945+C1248))*MAX(0,MIN(1,'Loan Tape'!$AV32)-0)</f>
        <v>0</v>
      </c>
      <c r="D1854" s="99" t="n">
        <f aca="false">D339*MAX(0,D36-0.5*(D642+D945+D1248))*MAX(0,MIN(2,'Loan Tape'!$AV32)-1)</f>
        <v>0</v>
      </c>
      <c r="E1854" s="99" t="n">
        <f aca="false">E339*MAX(0,E36-0.5*(E642+E945+E1248))*MAX(0,MIN(3,'Loan Tape'!$AV32)-2)</f>
        <v>0</v>
      </c>
      <c r="F1854" s="99" t="n">
        <f aca="false">F339*MAX(0,F36-0.5*(F642+F945+F1248))*MAX(0,MIN(4,'Loan Tape'!$AV32)-3)</f>
        <v>0</v>
      </c>
      <c r="G1854" s="99" t="n">
        <f aca="false">G339*MAX(0,G36-0.5*(G642+G945+G1248))*MAX(0,MIN(5,'Loan Tape'!$AV32)-4)</f>
        <v>0</v>
      </c>
      <c r="H1854" s="99" t="n">
        <f aca="false">H339*MAX(0,H36-0.5*(H642+H945+H1248))*MAX(0,MIN(6,'Loan Tape'!$AV32)-5)</f>
        <v>0</v>
      </c>
      <c r="I1854" s="99" t="n">
        <f aca="false">I339*MAX(0,I36-0.5*(I642+I945+I1248))*MAX(0,MIN(7,'Loan Tape'!$AV32)-6)</f>
        <v>0</v>
      </c>
      <c r="J1854" s="99" t="n">
        <f aca="false">J339*MAX(0,J36-0.5*(J642+J945+J1248))*MAX(0,MIN(8,'Loan Tape'!$AV32)-7)</f>
        <v>0</v>
      </c>
      <c r="K1854" s="99" t="n">
        <f aca="false">K339*MAX(0,K36-0.5*(K642+K945+K1248))*MAX(0,MIN(9,'Loan Tape'!$AV32)-8)</f>
        <v>0</v>
      </c>
      <c r="L1854" s="99" t="n">
        <f aca="false">L339*MAX(0,L36-0.5*(L642+L945+L1248))*MAX(0,MIN(10,'Loan Tape'!$AV32)-9)</f>
        <v>0</v>
      </c>
    </row>
    <row r="1855" customFormat="false" ht="15" hidden="false" customHeight="false" outlineLevel="0" collapsed="false">
      <c r="B1855" s="108" t="str">
        <f aca="false">'Loan Tape'!$A33</f>
        <v>L-030</v>
      </c>
      <c r="C1855" s="71" t="n">
        <f aca="false">C340*MAX(0,C37-0.5*(C643+C946+C1249))*MAX(0,MIN(1,'Loan Tape'!$AV33)-0)</f>
        <v>1049944.8889002</v>
      </c>
      <c r="D1855" s="71" t="n">
        <f aca="false">D340*MAX(0,D37-0.5*(D643+D946+D1249))*MAX(0,MIN(2,'Loan Tape'!$AV33)-1)</f>
        <v>862827.887240542</v>
      </c>
      <c r="E1855" s="71" t="n">
        <f aca="false">E340*MAX(0,E37-0.5*(E643+E946+E1249))*MAX(0,MIN(3,'Loan Tape'!$AV33)-2)</f>
        <v>704220.753306199</v>
      </c>
      <c r="F1855" s="71" t="n">
        <f aca="false">F340*MAX(0,F37-0.5*(F643+F946+F1249))*MAX(0,MIN(4,'Loan Tape'!$AV33)-3)</f>
        <v>588300.508718632</v>
      </c>
      <c r="G1855" s="71" t="n">
        <f aca="false">G340*MAX(0,G37-0.5*(G643+G946+G1249))*MAX(0,MIN(5,'Loan Tape'!$AV33)-4)</f>
        <v>177380.883096741</v>
      </c>
      <c r="H1855" s="71" t="n">
        <f aca="false">H340*MAX(0,H37-0.5*(H643+H946+H1249))*MAX(0,MIN(6,'Loan Tape'!$AV33)-5)</f>
        <v>0</v>
      </c>
      <c r="I1855" s="71" t="n">
        <f aca="false">I340*MAX(0,I37-0.5*(I643+I946+I1249))*MAX(0,MIN(7,'Loan Tape'!$AV33)-6)</f>
        <v>0</v>
      </c>
      <c r="J1855" s="71" t="n">
        <f aca="false">J340*MAX(0,J37-0.5*(J643+J946+J1249))*MAX(0,MIN(8,'Loan Tape'!$AV33)-7)</f>
        <v>0</v>
      </c>
      <c r="K1855" s="71" t="n">
        <f aca="false">K340*MAX(0,K37-0.5*(K643+K946+K1249))*MAX(0,MIN(9,'Loan Tape'!$AV33)-8)</f>
        <v>0</v>
      </c>
      <c r="L1855" s="71" t="n">
        <f aca="false">L340*MAX(0,L37-0.5*(L643+L946+L1249))*MAX(0,MIN(10,'Loan Tape'!$AV33)-9)</f>
        <v>0</v>
      </c>
    </row>
    <row r="1856" customFormat="false" ht="15" hidden="false" customHeight="false" outlineLevel="0" collapsed="false">
      <c r="B1856" s="102" t="str">
        <f aca="false">'Loan Tape'!$A34</f>
        <v>L-031</v>
      </c>
      <c r="C1856" s="99" t="n">
        <f aca="false">C341*MAX(0,C38-0.5*(C644+C947+C1250))*MAX(0,MIN(1,'Loan Tape'!$AV34)-0)</f>
        <v>845344.632</v>
      </c>
      <c r="D1856" s="99" t="n">
        <f aca="false">D341*MAX(0,D38-0.5*(D644+D947+D1250))*MAX(0,MIN(2,'Loan Tape'!$AV34)-1)</f>
        <v>185082.054104726</v>
      </c>
      <c r="E1856" s="99" t="n">
        <f aca="false">E341*MAX(0,E38-0.5*(E644+E947+E1250))*MAX(0,MIN(3,'Loan Tape'!$AV34)-2)</f>
        <v>0</v>
      </c>
      <c r="F1856" s="99" t="n">
        <f aca="false">F341*MAX(0,F38-0.5*(F644+F947+F1250))*MAX(0,MIN(4,'Loan Tape'!$AV34)-3)</f>
        <v>0</v>
      </c>
      <c r="G1856" s="99" t="n">
        <f aca="false">G341*MAX(0,G38-0.5*(G644+G947+G1250))*MAX(0,MIN(5,'Loan Tape'!$AV34)-4)</f>
        <v>0</v>
      </c>
      <c r="H1856" s="99" t="n">
        <f aca="false">H341*MAX(0,H38-0.5*(H644+H947+H1250))*MAX(0,MIN(6,'Loan Tape'!$AV34)-5)</f>
        <v>0</v>
      </c>
      <c r="I1856" s="99" t="n">
        <f aca="false">I341*MAX(0,I38-0.5*(I644+I947+I1250))*MAX(0,MIN(7,'Loan Tape'!$AV34)-6)</f>
        <v>0</v>
      </c>
      <c r="J1856" s="99" t="n">
        <f aca="false">J341*MAX(0,J38-0.5*(J644+J947+J1250))*MAX(0,MIN(8,'Loan Tape'!$AV34)-7)</f>
        <v>0</v>
      </c>
      <c r="K1856" s="99" t="n">
        <f aca="false">K341*MAX(0,K38-0.5*(K644+K947+K1250))*MAX(0,MIN(9,'Loan Tape'!$AV34)-8)</f>
        <v>0</v>
      </c>
      <c r="L1856" s="99" t="n">
        <f aca="false">L341*MAX(0,L38-0.5*(L644+L947+L1250))*MAX(0,MIN(10,'Loan Tape'!$AV34)-9)</f>
        <v>0</v>
      </c>
    </row>
    <row r="1857" customFormat="false" ht="15" hidden="false" customHeight="false" outlineLevel="0" collapsed="false">
      <c r="B1857" s="108" t="str">
        <f aca="false">'Loan Tape'!$A35</f>
        <v>L-032</v>
      </c>
      <c r="C1857" s="71" t="n">
        <f aca="false">C342*MAX(0,C39-0.5*(C645+C948+C1251))*MAX(0,MIN(1,'Loan Tape'!$AV35)-0)</f>
        <v>11211752.2380219</v>
      </c>
      <c r="D1857" s="71" t="n">
        <f aca="false">D342*MAX(0,D39-0.5*(D645+D948+D1251))*MAX(0,MIN(2,'Loan Tape'!$AV35)-1)</f>
        <v>9132828.43261015</v>
      </c>
      <c r="E1857" s="71" t="n">
        <f aca="false">E342*MAX(0,E39-0.5*(E645+E948+E1251))*MAX(0,MIN(3,'Loan Tape'!$AV35)-2)</f>
        <v>7486844.03148512</v>
      </c>
      <c r="F1857" s="71" t="n">
        <f aca="false">F342*MAX(0,F39-0.5*(F645+F948+F1251))*MAX(0,MIN(4,'Loan Tape'!$AV35)-3)</f>
        <v>5306127.25315248</v>
      </c>
      <c r="G1857" s="71" t="n">
        <f aca="false">G342*MAX(0,G39-0.5*(G645+G948+G1251))*MAX(0,MIN(5,'Loan Tape'!$AV35)-4)</f>
        <v>0</v>
      </c>
      <c r="H1857" s="71" t="n">
        <f aca="false">H342*MAX(0,H39-0.5*(H645+H948+H1251))*MAX(0,MIN(6,'Loan Tape'!$AV35)-5)</f>
        <v>0</v>
      </c>
      <c r="I1857" s="71" t="n">
        <f aca="false">I342*MAX(0,I39-0.5*(I645+I948+I1251))*MAX(0,MIN(7,'Loan Tape'!$AV35)-6)</f>
        <v>0</v>
      </c>
      <c r="J1857" s="71" t="n">
        <f aca="false">J342*MAX(0,J39-0.5*(J645+J948+J1251))*MAX(0,MIN(8,'Loan Tape'!$AV35)-7)</f>
        <v>0</v>
      </c>
      <c r="K1857" s="71" t="n">
        <f aca="false">K342*MAX(0,K39-0.5*(K645+K948+K1251))*MAX(0,MIN(9,'Loan Tape'!$AV35)-8)</f>
        <v>0</v>
      </c>
      <c r="L1857" s="71" t="n">
        <f aca="false">L342*MAX(0,L39-0.5*(L645+L948+L1251))*MAX(0,MIN(10,'Loan Tape'!$AV35)-9)</f>
        <v>0</v>
      </c>
    </row>
    <row r="1858" customFormat="false" ht="15" hidden="false" customHeight="false" outlineLevel="0" collapsed="false">
      <c r="B1858" s="102" t="str">
        <f aca="false">'Loan Tape'!$A36</f>
        <v>L-033</v>
      </c>
      <c r="C1858" s="99" t="n">
        <f aca="false">C343*MAX(0,C40-0.5*(C646+C949+C1252))*MAX(0,MIN(1,'Loan Tape'!$AV36)-0)</f>
        <v>0</v>
      </c>
      <c r="D1858" s="99" t="n">
        <f aca="false">D343*MAX(0,D40-0.5*(D646+D949+D1252))*MAX(0,MIN(2,'Loan Tape'!$AV36)-1)</f>
        <v>0</v>
      </c>
      <c r="E1858" s="99" t="n">
        <f aca="false">E343*MAX(0,E40-0.5*(E646+E949+E1252))*MAX(0,MIN(3,'Loan Tape'!$AV36)-2)</f>
        <v>0</v>
      </c>
      <c r="F1858" s="99" t="n">
        <f aca="false">F343*MAX(0,F40-0.5*(F646+F949+F1252))*MAX(0,MIN(4,'Loan Tape'!$AV36)-3)</f>
        <v>0</v>
      </c>
      <c r="G1858" s="99" t="n">
        <f aca="false">G343*MAX(0,G40-0.5*(G646+G949+G1252))*MAX(0,MIN(5,'Loan Tape'!$AV36)-4)</f>
        <v>0</v>
      </c>
      <c r="H1858" s="99" t="n">
        <f aca="false">H343*MAX(0,H40-0.5*(H646+H949+H1252))*MAX(0,MIN(6,'Loan Tape'!$AV36)-5)</f>
        <v>0</v>
      </c>
      <c r="I1858" s="99" t="n">
        <f aca="false">I343*MAX(0,I40-0.5*(I646+I949+I1252))*MAX(0,MIN(7,'Loan Tape'!$AV36)-6)</f>
        <v>0</v>
      </c>
      <c r="J1858" s="99" t="n">
        <f aca="false">J343*MAX(0,J40-0.5*(J646+J949+J1252))*MAX(0,MIN(8,'Loan Tape'!$AV36)-7)</f>
        <v>0</v>
      </c>
      <c r="K1858" s="99" t="n">
        <f aca="false">K343*MAX(0,K40-0.5*(K646+K949+K1252))*MAX(0,MIN(9,'Loan Tape'!$AV36)-8)</f>
        <v>0</v>
      </c>
      <c r="L1858" s="99" t="n">
        <f aca="false">L343*MAX(0,L40-0.5*(L646+L949+L1252))*MAX(0,MIN(10,'Loan Tape'!$AV36)-9)</f>
        <v>0</v>
      </c>
    </row>
    <row r="1859" customFormat="false" ht="15" hidden="false" customHeight="false" outlineLevel="0" collapsed="false">
      <c r="B1859" s="108" t="str">
        <f aca="false">'Loan Tape'!$A37</f>
        <v>L-034</v>
      </c>
      <c r="C1859" s="71" t="n">
        <f aca="false">C344*MAX(0,C41-0.5*(C647+C950+C1253))*MAX(0,MIN(1,'Loan Tape'!$AV37)-0)</f>
        <v>513625.20329535</v>
      </c>
      <c r="D1859" s="71" t="n">
        <f aca="false">D344*MAX(0,D41-0.5*(D647+D950+D1253))*MAX(0,MIN(2,'Loan Tape'!$AV37)-1)</f>
        <v>440324.659885709</v>
      </c>
      <c r="E1859" s="71" t="n">
        <f aca="false">E344*MAX(0,E41-0.5*(E647+E950+E1253))*MAX(0,MIN(3,'Loan Tape'!$AV37)-2)</f>
        <v>376755.290176563</v>
      </c>
      <c r="F1859" s="71" t="n">
        <f aca="false">F344*MAX(0,F41-0.5*(F647+F950+F1253))*MAX(0,MIN(4,'Loan Tape'!$AV37)-3)</f>
        <v>321676.746917902</v>
      </c>
      <c r="G1859" s="71" t="n">
        <f aca="false">G344*MAX(0,G41-0.5*(G647+G950+G1253))*MAX(0,MIN(5,'Loan Tape'!$AV37)-4)</f>
        <v>274003.191217576</v>
      </c>
      <c r="H1859" s="71" t="n">
        <f aca="false">H344*MAX(0,H41-0.5*(H647+H950+H1253))*MAX(0,MIN(6,'Loan Tape'!$AV37)-5)</f>
        <v>0</v>
      </c>
      <c r="I1859" s="71" t="n">
        <f aca="false">I344*MAX(0,I41-0.5*(I647+I950+I1253))*MAX(0,MIN(7,'Loan Tape'!$AV37)-6)</f>
        <v>0</v>
      </c>
      <c r="J1859" s="71" t="n">
        <f aca="false">J344*MAX(0,J41-0.5*(J647+J950+J1253))*MAX(0,MIN(8,'Loan Tape'!$AV37)-7)</f>
        <v>0</v>
      </c>
      <c r="K1859" s="71" t="n">
        <f aca="false">K344*MAX(0,K41-0.5*(K647+K950+K1253))*MAX(0,MIN(9,'Loan Tape'!$AV37)-8)</f>
        <v>0</v>
      </c>
      <c r="L1859" s="71" t="n">
        <f aca="false">L344*MAX(0,L41-0.5*(L647+L950+L1253))*MAX(0,MIN(10,'Loan Tape'!$AV37)-9)</f>
        <v>0</v>
      </c>
    </row>
    <row r="1860" customFormat="false" ht="15" hidden="false" customHeight="false" outlineLevel="0" collapsed="false">
      <c r="B1860" s="102" t="str">
        <f aca="false">'Loan Tape'!$A38</f>
        <v>L-035</v>
      </c>
      <c r="C1860" s="99" t="n">
        <f aca="false">C345*MAX(0,C42-0.5*(C648+C951+C1254))*MAX(0,MIN(1,'Loan Tape'!$AV38)-0)</f>
        <v>3804270.91045741</v>
      </c>
      <c r="D1860" s="99" t="n">
        <f aca="false">D345*MAX(0,D42-0.5*(D648+D951+D1254))*MAX(0,MIN(2,'Loan Tape'!$AV38)-1)</f>
        <v>3004126.32897584</v>
      </c>
      <c r="E1860" s="99" t="n">
        <f aca="false">E345*MAX(0,E42-0.5*(E648+E951+E1254))*MAX(0,MIN(3,'Loan Tape'!$AV38)-2)</f>
        <v>1046102.73935759</v>
      </c>
      <c r="F1860" s="99" t="n">
        <f aca="false">F345*MAX(0,F42-0.5*(F648+F951+F1254))*MAX(0,MIN(4,'Loan Tape'!$AV38)-3)</f>
        <v>0</v>
      </c>
      <c r="G1860" s="99" t="n">
        <f aca="false">G345*MAX(0,G42-0.5*(G648+G951+G1254))*MAX(0,MIN(5,'Loan Tape'!$AV38)-4)</f>
        <v>0</v>
      </c>
      <c r="H1860" s="99" t="n">
        <f aca="false">H345*MAX(0,H42-0.5*(H648+H951+H1254))*MAX(0,MIN(6,'Loan Tape'!$AV38)-5)</f>
        <v>0</v>
      </c>
      <c r="I1860" s="99" t="n">
        <f aca="false">I345*MAX(0,I42-0.5*(I648+I951+I1254))*MAX(0,MIN(7,'Loan Tape'!$AV38)-6)</f>
        <v>0</v>
      </c>
      <c r="J1860" s="99" t="n">
        <f aca="false">J345*MAX(0,J42-0.5*(J648+J951+J1254))*MAX(0,MIN(8,'Loan Tape'!$AV38)-7)</f>
        <v>0</v>
      </c>
      <c r="K1860" s="99" t="n">
        <f aca="false">K345*MAX(0,K42-0.5*(K648+K951+K1254))*MAX(0,MIN(9,'Loan Tape'!$AV38)-8)</f>
        <v>0</v>
      </c>
      <c r="L1860" s="99" t="n">
        <f aca="false">L345*MAX(0,L42-0.5*(L648+L951+L1254))*MAX(0,MIN(10,'Loan Tape'!$AV38)-9)</f>
        <v>0</v>
      </c>
    </row>
    <row r="1861" customFormat="false" ht="15" hidden="false" customHeight="false" outlineLevel="0" collapsed="false">
      <c r="B1861" s="108" t="str">
        <f aca="false">'Loan Tape'!$A39</f>
        <v>L-036</v>
      </c>
      <c r="C1861" s="71" t="n">
        <f aca="false">C346*MAX(0,C43-0.5*(C649+C952+C1255))*MAX(0,MIN(1,'Loan Tape'!$AV39)-0)</f>
        <v>2091184.13007697</v>
      </c>
      <c r="D1861" s="71" t="n">
        <f aca="false">D346*MAX(0,D43-0.5*(D649+D952+D1255))*MAX(0,MIN(2,'Loan Tape'!$AV39)-1)</f>
        <v>0</v>
      </c>
      <c r="E1861" s="71" t="n">
        <f aca="false">E346*MAX(0,E43-0.5*(E649+E952+E1255))*MAX(0,MIN(3,'Loan Tape'!$AV39)-2)</f>
        <v>0</v>
      </c>
      <c r="F1861" s="71" t="n">
        <f aca="false">F346*MAX(0,F43-0.5*(F649+F952+F1255))*MAX(0,MIN(4,'Loan Tape'!$AV39)-3)</f>
        <v>0</v>
      </c>
      <c r="G1861" s="71" t="n">
        <f aca="false">G346*MAX(0,G43-0.5*(G649+G952+G1255))*MAX(0,MIN(5,'Loan Tape'!$AV39)-4)</f>
        <v>0</v>
      </c>
      <c r="H1861" s="71" t="n">
        <f aca="false">H346*MAX(0,H43-0.5*(H649+H952+H1255))*MAX(0,MIN(6,'Loan Tape'!$AV39)-5)</f>
        <v>0</v>
      </c>
      <c r="I1861" s="71" t="n">
        <f aca="false">I346*MAX(0,I43-0.5*(I649+I952+I1255))*MAX(0,MIN(7,'Loan Tape'!$AV39)-6)</f>
        <v>0</v>
      </c>
      <c r="J1861" s="71" t="n">
        <f aca="false">J346*MAX(0,J43-0.5*(J649+J952+J1255))*MAX(0,MIN(8,'Loan Tape'!$AV39)-7)</f>
        <v>0</v>
      </c>
      <c r="K1861" s="71" t="n">
        <f aca="false">K346*MAX(0,K43-0.5*(K649+K952+K1255))*MAX(0,MIN(9,'Loan Tape'!$AV39)-8)</f>
        <v>0</v>
      </c>
      <c r="L1861" s="71" t="n">
        <f aca="false">L346*MAX(0,L43-0.5*(L649+L952+L1255))*MAX(0,MIN(10,'Loan Tape'!$AV39)-9)</f>
        <v>0</v>
      </c>
    </row>
    <row r="1862" customFormat="false" ht="15" hidden="false" customHeight="false" outlineLevel="0" collapsed="false">
      <c r="B1862" s="102" t="str">
        <f aca="false">'Loan Tape'!$A40</f>
        <v>L-037</v>
      </c>
      <c r="C1862" s="99" t="n">
        <f aca="false">C347*MAX(0,C44-0.5*(C650+C953+C1256))*MAX(0,MIN(1,'Loan Tape'!$AV40)-0)</f>
        <v>0</v>
      </c>
      <c r="D1862" s="99" t="n">
        <f aca="false">D347*MAX(0,D44-0.5*(D650+D953+D1256))*MAX(0,MIN(2,'Loan Tape'!$AV40)-1)</f>
        <v>0</v>
      </c>
      <c r="E1862" s="99" t="n">
        <f aca="false">E347*MAX(0,E44-0.5*(E650+E953+E1256))*MAX(0,MIN(3,'Loan Tape'!$AV40)-2)</f>
        <v>0</v>
      </c>
      <c r="F1862" s="99" t="n">
        <f aca="false">F347*MAX(0,F44-0.5*(F650+F953+F1256))*MAX(0,MIN(4,'Loan Tape'!$AV40)-3)</f>
        <v>0</v>
      </c>
      <c r="G1862" s="99" t="n">
        <f aca="false">G347*MAX(0,G44-0.5*(G650+G953+G1256))*MAX(0,MIN(5,'Loan Tape'!$AV40)-4)</f>
        <v>0</v>
      </c>
      <c r="H1862" s="99" t="n">
        <f aca="false">H347*MAX(0,H44-0.5*(H650+H953+H1256))*MAX(0,MIN(6,'Loan Tape'!$AV40)-5)</f>
        <v>0</v>
      </c>
      <c r="I1862" s="99" t="n">
        <f aca="false">I347*MAX(0,I44-0.5*(I650+I953+I1256))*MAX(0,MIN(7,'Loan Tape'!$AV40)-6)</f>
        <v>0</v>
      </c>
      <c r="J1862" s="99" t="n">
        <f aca="false">J347*MAX(0,J44-0.5*(J650+J953+J1256))*MAX(0,MIN(8,'Loan Tape'!$AV40)-7)</f>
        <v>0</v>
      </c>
      <c r="K1862" s="99" t="n">
        <f aca="false">K347*MAX(0,K44-0.5*(K650+K953+K1256))*MAX(0,MIN(9,'Loan Tape'!$AV40)-8)</f>
        <v>0</v>
      </c>
      <c r="L1862" s="99" t="n">
        <f aca="false">L347*MAX(0,L44-0.5*(L650+L953+L1256))*MAX(0,MIN(10,'Loan Tape'!$AV40)-9)</f>
        <v>0</v>
      </c>
    </row>
    <row r="1863" customFormat="false" ht="15" hidden="false" customHeight="false" outlineLevel="0" collapsed="false">
      <c r="B1863" s="108" t="str">
        <f aca="false">'Loan Tape'!$A41</f>
        <v>L-038</v>
      </c>
      <c r="C1863" s="71" t="n">
        <f aca="false">C348*MAX(0,C45-0.5*(C651+C954+C1257))*MAX(0,MIN(1,'Loan Tape'!$AV41)-0)</f>
        <v>361284.719405834</v>
      </c>
      <c r="D1863" s="71" t="n">
        <f aca="false">D348*MAX(0,D45-0.5*(D651+D954+D1257))*MAX(0,MIN(2,'Loan Tape'!$AV41)-1)</f>
        <v>291723.290822123</v>
      </c>
      <c r="E1863" s="71" t="n">
        <f aca="false">E348*MAX(0,E45-0.5*(E651+E954+E1257))*MAX(0,MIN(3,'Loan Tape'!$AV41)-2)</f>
        <v>237291.896539296</v>
      </c>
      <c r="F1863" s="71" t="n">
        <f aca="false">F348*MAX(0,F45-0.5*(F651+F954+F1257))*MAX(0,MIN(4,'Loan Tape'!$AV41)-3)</f>
        <v>198308.145356119</v>
      </c>
      <c r="G1863" s="71" t="n">
        <f aca="false">G348*MAX(0,G45-0.5*(G651+G954+G1257))*MAX(0,MIN(5,'Loan Tape'!$AV41)-4)</f>
        <v>168016.368964872</v>
      </c>
      <c r="H1863" s="71" t="n">
        <f aca="false">H348*MAX(0,H45-0.5*(H651+H954+H1257))*MAX(0,MIN(6,'Loan Tape'!$AV41)-5)</f>
        <v>0</v>
      </c>
      <c r="I1863" s="71" t="n">
        <f aca="false">I348*MAX(0,I45-0.5*(I651+I954+I1257))*MAX(0,MIN(7,'Loan Tape'!$AV41)-6)</f>
        <v>0</v>
      </c>
      <c r="J1863" s="71" t="n">
        <f aca="false">J348*MAX(0,J45-0.5*(J651+J954+J1257))*MAX(0,MIN(8,'Loan Tape'!$AV41)-7)</f>
        <v>0</v>
      </c>
      <c r="K1863" s="71" t="n">
        <f aca="false">K348*MAX(0,K45-0.5*(K651+K954+K1257))*MAX(0,MIN(9,'Loan Tape'!$AV41)-8)</f>
        <v>0</v>
      </c>
      <c r="L1863" s="71" t="n">
        <f aca="false">L348*MAX(0,L45-0.5*(L651+L954+L1257))*MAX(0,MIN(10,'Loan Tape'!$AV41)-9)</f>
        <v>0</v>
      </c>
    </row>
    <row r="1864" customFormat="false" ht="15" hidden="false" customHeight="false" outlineLevel="0" collapsed="false">
      <c r="B1864" s="102" t="str">
        <f aca="false">'Loan Tape'!$A42</f>
        <v>L-039</v>
      </c>
      <c r="C1864" s="99" t="n">
        <f aca="false">C349*MAX(0,C46-0.5*(C652+C955+C1258))*MAX(0,MIN(1,'Loan Tape'!$AV42)-0)</f>
        <v>364671.253128302</v>
      </c>
      <c r="D1864" s="99" t="n">
        <f aca="false">D349*MAX(0,D46-0.5*(D652+D955+D1258))*MAX(0,MIN(2,'Loan Tape'!$AV42)-1)</f>
        <v>297057.432301413</v>
      </c>
      <c r="E1864" s="99" t="n">
        <f aca="false">E349*MAX(0,E46-0.5*(E652+E955+E1258))*MAX(0,MIN(3,'Loan Tape'!$AV42)-2)</f>
        <v>243481.893639286</v>
      </c>
      <c r="F1864" s="99" t="n">
        <f aca="false">F349*MAX(0,F46-0.5*(F652+F955+F1258))*MAX(0,MIN(4,'Loan Tape'!$AV42)-3)</f>
        <v>203824.556711593</v>
      </c>
      <c r="G1864" s="99" t="n">
        <f aca="false">G349*MAX(0,G46-0.5*(G652+G955+G1258))*MAX(0,MIN(5,'Loan Tape'!$AV42)-4)</f>
        <v>61634.1475884373</v>
      </c>
      <c r="H1864" s="99" t="n">
        <f aca="false">H349*MAX(0,H46-0.5*(H652+H955+H1258))*MAX(0,MIN(6,'Loan Tape'!$AV42)-5)</f>
        <v>0</v>
      </c>
      <c r="I1864" s="99" t="n">
        <f aca="false">I349*MAX(0,I46-0.5*(I652+I955+I1258))*MAX(0,MIN(7,'Loan Tape'!$AV42)-6)</f>
        <v>0</v>
      </c>
      <c r="J1864" s="99" t="n">
        <f aca="false">J349*MAX(0,J46-0.5*(J652+J955+J1258))*MAX(0,MIN(8,'Loan Tape'!$AV42)-7)</f>
        <v>0</v>
      </c>
      <c r="K1864" s="99" t="n">
        <f aca="false">K349*MAX(0,K46-0.5*(K652+K955+K1258))*MAX(0,MIN(9,'Loan Tape'!$AV42)-8)</f>
        <v>0</v>
      </c>
      <c r="L1864" s="99" t="n">
        <f aca="false">L349*MAX(0,L46-0.5*(L652+L955+L1258))*MAX(0,MIN(10,'Loan Tape'!$AV42)-9)</f>
        <v>0</v>
      </c>
    </row>
    <row r="1865" customFormat="false" ht="15" hidden="false" customHeight="false" outlineLevel="0" collapsed="false">
      <c r="B1865" s="108" t="str">
        <f aca="false">'Loan Tape'!$A43</f>
        <v>L-040</v>
      </c>
      <c r="C1865" s="71" t="n">
        <f aca="false">C350*MAX(0,C47-0.5*(C653+C956+C1259))*MAX(0,MIN(1,'Loan Tape'!$AV43)-0)</f>
        <v>3470326.90056556</v>
      </c>
      <c r="D1865" s="71" t="n">
        <f aca="false">D350*MAX(0,D47-0.5*(D653+D956+D1259))*MAX(0,MIN(2,'Loan Tape'!$AV43)-1)</f>
        <v>2952727.38070645</v>
      </c>
      <c r="E1865" s="71" t="n">
        <f aca="false">E350*MAX(0,E47-0.5*(E653+E956+E1259))*MAX(0,MIN(3,'Loan Tape'!$AV43)-2)</f>
        <v>1312321.66165223</v>
      </c>
      <c r="F1865" s="71" t="n">
        <f aca="false">F350*MAX(0,F47-0.5*(F653+F956+F1259))*MAX(0,MIN(4,'Loan Tape'!$AV43)-3)</f>
        <v>0</v>
      </c>
      <c r="G1865" s="71" t="n">
        <f aca="false">G350*MAX(0,G47-0.5*(G653+G956+G1259))*MAX(0,MIN(5,'Loan Tape'!$AV43)-4)</f>
        <v>0</v>
      </c>
      <c r="H1865" s="71" t="n">
        <f aca="false">H350*MAX(0,H47-0.5*(H653+H956+H1259))*MAX(0,MIN(6,'Loan Tape'!$AV43)-5)</f>
        <v>0</v>
      </c>
      <c r="I1865" s="71" t="n">
        <f aca="false">I350*MAX(0,I47-0.5*(I653+I956+I1259))*MAX(0,MIN(7,'Loan Tape'!$AV43)-6)</f>
        <v>0</v>
      </c>
      <c r="J1865" s="71" t="n">
        <f aca="false">J350*MAX(0,J47-0.5*(J653+J956+J1259))*MAX(0,MIN(8,'Loan Tape'!$AV43)-7)</f>
        <v>0</v>
      </c>
      <c r="K1865" s="71" t="n">
        <f aca="false">K350*MAX(0,K47-0.5*(K653+K956+K1259))*MAX(0,MIN(9,'Loan Tape'!$AV43)-8)</f>
        <v>0</v>
      </c>
      <c r="L1865" s="71" t="n">
        <f aca="false">L350*MAX(0,L47-0.5*(L653+L956+L1259))*MAX(0,MIN(10,'Loan Tape'!$AV43)-9)</f>
        <v>0</v>
      </c>
    </row>
    <row r="1866" customFormat="false" ht="15" hidden="false" customHeight="false" outlineLevel="0" collapsed="false">
      <c r="B1866" s="102" t="str">
        <f aca="false">'Loan Tape'!$A44</f>
        <v>L-041</v>
      </c>
      <c r="C1866" s="99" t="n">
        <f aca="false">C351*MAX(0,C48-0.5*(C654+C957+C1260))*MAX(0,MIN(1,'Loan Tape'!$AV44)-0)</f>
        <v>2157981.99366863</v>
      </c>
      <c r="D1866" s="99" t="n">
        <f aca="false">D351*MAX(0,D48-0.5*(D654+D957+D1260))*MAX(0,MIN(2,'Loan Tape'!$AV44)-1)</f>
        <v>0</v>
      </c>
      <c r="E1866" s="99" t="n">
        <f aca="false">E351*MAX(0,E48-0.5*(E654+E957+E1260))*MAX(0,MIN(3,'Loan Tape'!$AV44)-2)</f>
        <v>0</v>
      </c>
      <c r="F1866" s="99" t="n">
        <f aca="false">F351*MAX(0,F48-0.5*(F654+F957+F1260))*MAX(0,MIN(4,'Loan Tape'!$AV44)-3)</f>
        <v>0</v>
      </c>
      <c r="G1866" s="99" t="n">
        <f aca="false">G351*MAX(0,G48-0.5*(G654+G957+G1260))*MAX(0,MIN(5,'Loan Tape'!$AV44)-4)</f>
        <v>0</v>
      </c>
      <c r="H1866" s="99" t="n">
        <f aca="false">H351*MAX(0,H48-0.5*(H654+H957+H1260))*MAX(0,MIN(6,'Loan Tape'!$AV44)-5)</f>
        <v>0</v>
      </c>
      <c r="I1866" s="99" t="n">
        <f aca="false">I351*MAX(0,I48-0.5*(I654+I957+I1260))*MAX(0,MIN(7,'Loan Tape'!$AV44)-6)</f>
        <v>0</v>
      </c>
      <c r="J1866" s="99" t="n">
        <f aca="false">J351*MAX(0,J48-0.5*(J654+J957+J1260))*MAX(0,MIN(8,'Loan Tape'!$AV44)-7)</f>
        <v>0</v>
      </c>
      <c r="K1866" s="99" t="n">
        <f aca="false">K351*MAX(0,K48-0.5*(K654+K957+K1260))*MAX(0,MIN(9,'Loan Tape'!$AV44)-8)</f>
        <v>0</v>
      </c>
      <c r="L1866" s="99" t="n">
        <f aca="false">L351*MAX(0,L48-0.5*(L654+L957+L1260))*MAX(0,MIN(10,'Loan Tape'!$AV44)-9)</f>
        <v>0</v>
      </c>
    </row>
    <row r="1867" customFormat="false" ht="15" hidden="false" customHeight="false" outlineLevel="0" collapsed="false">
      <c r="B1867" s="108" t="str">
        <f aca="false">'Loan Tape'!$A45</f>
        <v>L-042</v>
      </c>
      <c r="C1867" s="71" t="n">
        <f aca="false">C352*MAX(0,C49-0.5*(C655+C958+C1261))*MAX(0,MIN(1,'Loan Tape'!$AV45)-0)</f>
        <v>253542.969213598</v>
      </c>
      <c r="D1867" s="71" t="n">
        <f aca="false">D352*MAX(0,D49-0.5*(D655+D958+D1261))*MAX(0,MIN(2,'Loan Tape'!$AV45)-1)</f>
        <v>218811.313662793</v>
      </c>
      <c r="E1867" s="71" t="n">
        <f aca="false">E352*MAX(0,E49-0.5*(E655+E958+E1261))*MAX(0,MIN(3,'Loan Tape'!$AV45)-2)</f>
        <v>129343.484207528</v>
      </c>
      <c r="F1867" s="71" t="n">
        <f aca="false">F352*MAX(0,F49-0.5*(F655+F958+F1261))*MAX(0,MIN(4,'Loan Tape'!$AV45)-3)</f>
        <v>0</v>
      </c>
      <c r="G1867" s="71" t="n">
        <f aca="false">G352*MAX(0,G49-0.5*(G655+G958+G1261))*MAX(0,MIN(5,'Loan Tape'!$AV45)-4)</f>
        <v>0</v>
      </c>
      <c r="H1867" s="71" t="n">
        <f aca="false">H352*MAX(0,H49-0.5*(H655+H958+H1261))*MAX(0,MIN(6,'Loan Tape'!$AV45)-5)</f>
        <v>0</v>
      </c>
      <c r="I1867" s="71" t="n">
        <f aca="false">I352*MAX(0,I49-0.5*(I655+I958+I1261))*MAX(0,MIN(7,'Loan Tape'!$AV45)-6)</f>
        <v>0</v>
      </c>
      <c r="J1867" s="71" t="n">
        <f aca="false">J352*MAX(0,J49-0.5*(J655+J958+J1261))*MAX(0,MIN(8,'Loan Tape'!$AV45)-7)</f>
        <v>0</v>
      </c>
      <c r="K1867" s="71" t="n">
        <f aca="false">K352*MAX(0,K49-0.5*(K655+K958+K1261))*MAX(0,MIN(9,'Loan Tape'!$AV45)-8)</f>
        <v>0</v>
      </c>
      <c r="L1867" s="71" t="n">
        <f aca="false">L352*MAX(0,L49-0.5*(L655+L958+L1261))*MAX(0,MIN(10,'Loan Tape'!$AV45)-9)</f>
        <v>0</v>
      </c>
    </row>
    <row r="1868" customFormat="false" ht="15" hidden="false" customHeight="false" outlineLevel="0" collapsed="false">
      <c r="B1868" s="102" t="str">
        <f aca="false">'Loan Tape'!$A46</f>
        <v>L-043</v>
      </c>
      <c r="C1868" s="99" t="n">
        <f aca="false">C353*MAX(0,C50-0.5*(C656+C959+C1262))*MAX(0,MIN(1,'Loan Tape'!$AV46)-0)</f>
        <v>563453.170973719</v>
      </c>
      <c r="D1868" s="99" t="n">
        <f aca="false">D353*MAX(0,D50-0.5*(D656+D959+D1262))*MAX(0,MIN(2,'Loan Tape'!$AV46)-1)</f>
        <v>449096.043099282</v>
      </c>
      <c r="E1868" s="99" t="n">
        <f aca="false">E353*MAX(0,E50-0.5*(E656+E959+E1262))*MAX(0,MIN(3,'Loan Tape'!$AV46)-2)</f>
        <v>360428.661689836</v>
      </c>
      <c r="F1868" s="99" t="n">
        <f aca="false">F353*MAX(0,F50-0.5*(F656+F959+F1262))*MAX(0,MIN(4,'Loan Tape'!$AV46)-3)</f>
        <v>80614.1104086555</v>
      </c>
      <c r="G1868" s="99" t="n">
        <f aca="false">G353*MAX(0,G50-0.5*(G656+G959+G1262))*MAX(0,MIN(5,'Loan Tape'!$AV46)-4)</f>
        <v>0</v>
      </c>
      <c r="H1868" s="99" t="n">
        <f aca="false">H353*MAX(0,H50-0.5*(H656+H959+H1262))*MAX(0,MIN(6,'Loan Tape'!$AV46)-5)</f>
        <v>0</v>
      </c>
      <c r="I1868" s="99" t="n">
        <f aca="false">I353*MAX(0,I50-0.5*(I656+I959+I1262))*MAX(0,MIN(7,'Loan Tape'!$AV46)-6)</f>
        <v>0</v>
      </c>
      <c r="J1868" s="99" t="n">
        <f aca="false">J353*MAX(0,J50-0.5*(J656+J959+J1262))*MAX(0,MIN(8,'Loan Tape'!$AV46)-7)</f>
        <v>0</v>
      </c>
      <c r="K1868" s="99" t="n">
        <f aca="false">K353*MAX(0,K50-0.5*(K656+K959+K1262))*MAX(0,MIN(9,'Loan Tape'!$AV46)-8)</f>
        <v>0</v>
      </c>
      <c r="L1868" s="99" t="n">
        <f aca="false">L353*MAX(0,L50-0.5*(L656+L959+L1262))*MAX(0,MIN(10,'Loan Tape'!$AV46)-9)</f>
        <v>0</v>
      </c>
    </row>
    <row r="1869" customFormat="false" ht="15" hidden="false" customHeight="false" outlineLevel="0" collapsed="false">
      <c r="B1869" s="108" t="str">
        <f aca="false">'Loan Tape'!$A47</f>
        <v>L-044</v>
      </c>
      <c r="C1869" s="71" t="n">
        <f aca="false">C354*MAX(0,C51-0.5*(C657+C960+C1263))*MAX(0,MIN(1,'Loan Tape'!$AV47)-0)</f>
        <v>5164353.43164974</v>
      </c>
      <c r="D1869" s="71" t="n">
        <f aca="false">D354*MAX(0,D51-0.5*(D657+D960+D1263))*MAX(0,MIN(2,'Loan Tape'!$AV47)-1)</f>
        <v>0</v>
      </c>
      <c r="E1869" s="71" t="n">
        <f aca="false">E354*MAX(0,E51-0.5*(E657+E960+E1263))*MAX(0,MIN(3,'Loan Tape'!$AV47)-2)</f>
        <v>0</v>
      </c>
      <c r="F1869" s="71" t="n">
        <f aca="false">F354*MAX(0,F51-0.5*(F657+F960+F1263))*MAX(0,MIN(4,'Loan Tape'!$AV47)-3)</f>
        <v>0</v>
      </c>
      <c r="G1869" s="71" t="n">
        <f aca="false">G354*MAX(0,G51-0.5*(G657+G960+G1263))*MAX(0,MIN(5,'Loan Tape'!$AV47)-4)</f>
        <v>0</v>
      </c>
      <c r="H1869" s="71" t="n">
        <f aca="false">H354*MAX(0,H51-0.5*(H657+H960+H1263))*MAX(0,MIN(6,'Loan Tape'!$AV47)-5)</f>
        <v>0</v>
      </c>
      <c r="I1869" s="71" t="n">
        <f aca="false">I354*MAX(0,I51-0.5*(I657+I960+I1263))*MAX(0,MIN(7,'Loan Tape'!$AV47)-6)</f>
        <v>0</v>
      </c>
      <c r="J1869" s="71" t="n">
        <f aca="false">J354*MAX(0,J51-0.5*(J657+J960+J1263))*MAX(0,MIN(8,'Loan Tape'!$AV47)-7)</f>
        <v>0</v>
      </c>
      <c r="K1869" s="71" t="n">
        <f aca="false">K354*MAX(0,K51-0.5*(K657+K960+K1263))*MAX(0,MIN(9,'Loan Tape'!$AV47)-8)</f>
        <v>0</v>
      </c>
      <c r="L1869" s="71" t="n">
        <f aca="false">L354*MAX(0,L51-0.5*(L657+L960+L1263))*MAX(0,MIN(10,'Loan Tape'!$AV47)-9)</f>
        <v>0</v>
      </c>
    </row>
    <row r="1870" customFormat="false" ht="15" hidden="false" customHeight="false" outlineLevel="0" collapsed="false">
      <c r="B1870" s="102" t="str">
        <f aca="false">'Loan Tape'!$A48</f>
        <v>L-045</v>
      </c>
      <c r="C1870" s="99" t="n">
        <f aca="false">C355*MAX(0,C52-0.5*(C658+C961+C1264))*MAX(0,MIN(1,'Loan Tape'!$AV48)-0)</f>
        <v>4197992.87601737</v>
      </c>
      <c r="D1870" s="99" t="n">
        <f aca="false">D355*MAX(0,D52-0.5*(D658+D961+D1264))*MAX(0,MIN(2,'Loan Tape'!$AV48)-1)</f>
        <v>3440922.27195581</v>
      </c>
      <c r="E1870" s="99" t="n">
        <f aca="false">E355*MAX(0,E52-0.5*(E658+E961+E1264))*MAX(0,MIN(3,'Loan Tape'!$AV48)-2)</f>
        <v>2827738.27985141</v>
      </c>
      <c r="F1870" s="99" t="n">
        <f aca="false">F355*MAX(0,F52-0.5*(F658+F961+F1264))*MAX(0,MIN(4,'Loan Tape'!$AV48)-3)</f>
        <v>2378975.23311803</v>
      </c>
      <c r="G1870" s="99" t="n">
        <f aca="false">G355*MAX(0,G52-0.5*(G658+G961+G1264))*MAX(0,MIN(5,'Loan Tape'!$AV48)-4)</f>
        <v>2024900.35777291</v>
      </c>
      <c r="H1870" s="99" t="n">
        <f aca="false">H355*MAX(0,H52-0.5*(H658+H961+H1264))*MAX(0,MIN(6,'Loan Tape'!$AV48)-5)</f>
        <v>0</v>
      </c>
      <c r="I1870" s="99" t="n">
        <f aca="false">I355*MAX(0,I52-0.5*(I658+I961+I1264))*MAX(0,MIN(7,'Loan Tape'!$AV48)-6)</f>
        <v>0</v>
      </c>
      <c r="J1870" s="99" t="n">
        <f aca="false">J355*MAX(0,J52-0.5*(J658+J961+J1264))*MAX(0,MIN(8,'Loan Tape'!$AV48)-7)</f>
        <v>0</v>
      </c>
      <c r="K1870" s="99" t="n">
        <f aca="false">K355*MAX(0,K52-0.5*(K658+K961+K1264))*MAX(0,MIN(9,'Loan Tape'!$AV48)-8)</f>
        <v>0</v>
      </c>
      <c r="L1870" s="99" t="n">
        <f aca="false">L355*MAX(0,L52-0.5*(L658+L961+L1264))*MAX(0,MIN(10,'Loan Tape'!$AV48)-9)</f>
        <v>0</v>
      </c>
    </row>
    <row r="1871" customFormat="false" ht="15" hidden="false" customHeight="false" outlineLevel="0" collapsed="false">
      <c r="B1871" s="108" t="str">
        <f aca="false">'Loan Tape'!$A49</f>
        <v>L-046</v>
      </c>
      <c r="C1871" s="71" t="n">
        <f aca="false">C356*MAX(0,C53-0.5*(C659+C962+C1265))*MAX(0,MIN(1,'Loan Tape'!$AV49)-0)</f>
        <v>6007781.68128433</v>
      </c>
      <c r="D1871" s="71" t="n">
        <f aca="false">D356*MAX(0,D53-0.5*(D659+D962+D1265))*MAX(0,MIN(2,'Loan Tape'!$AV49)-1)</f>
        <v>0</v>
      </c>
      <c r="E1871" s="71" t="n">
        <f aca="false">E356*MAX(0,E53-0.5*(E659+E962+E1265))*MAX(0,MIN(3,'Loan Tape'!$AV49)-2)</f>
        <v>0</v>
      </c>
      <c r="F1871" s="71" t="n">
        <f aca="false">F356*MAX(0,F53-0.5*(F659+F962+F1265))*MAX(0,MIN(4,'Loan Tape'!$AV49)-3)</f>
        <v>0</v>
      </c>
      <c r="G1871" s="71" t="n">
        <f aca="false">G356*MAX(0,G53-0.5*(G659+G962+G1265))*MAX(0,MIN(5,'Loan Tape'!$AV49)-4)</f>
        <v>0</v>
      </c>
      <c r="H1871" s="71" t="n">
        <f aca="false">H356*MAX(0,H53-0.5*(H659+H962+H1265))*MAX(0,MIN(6,'Loan Tape'!$AV49)-5)</f>
        <v>0</v>
      </c>
      <c r="I1871" s="71" t="n">
        <f aca="false">I356*MAX(0,I53-0.5*(I659+I962+I1265))*MAX(0,MIN(7,'Loan Tape'!$AV49)-6)</f>
        <v>0</v>
      </c>
      <c r="J1871" s="71" t="n">
        <f aca="false">J356*MAX(0,J53-0.5*(J659+J962+J1265))*MAX(0,MIN(8,'Loan Tape'!$AV49)-7)</f>
        <v>0</v>
      </c>
      <c r="K1871" s="71" t="n">
        <f aca="false">K356*MAX(0,K53-0.5*(K659+K962+K1265))*MAX(0,MIN(9,'Loan Tape'!$AV49)-8)</f>
        <v>0</v>
      </c>
      <c r="L1871" s="71" t="n">
        <f aca="false">L356*MAX(0,L53-0.5*(L659+L962+L1265))*MAX(0,MIN(10,'Loan Tape'!$AV49)-9)</f>
        <v>0</v>
      </c>
    </row>
    <row r="1872" customFormat="false" ht="15" hidden="false" customHeight="false" outlineLevel="0" collapsed="false">
      <c r="B1872" s="102" t="str">
        <f aca="false">'Loan Tape'!$A50</f>
        <v>L-047</v>
      </c>
      <c r="C1872" s="99" t="n">
        <f aca="false">C357*MAX(0,C54-0.5*(C660+C963+C1266))*MAX(0,MIN(1,'Loan Tape'!$AV50)-0)</f>
        <v>393499.416</v>
      </c>
      <c r="D1872" s="99" t="n">
        <f aca="false">D357*MAX(0,D54-0.5*(D660+D963+D1266))*MAX(0,MIN(2,'Loan Tape'!$AV50)-1)</f>
        <v>324528.26208</v>
      </c>
      <c r="E1872" s="99" t="n">
        <f aca="false">E357*MAX(0,E54-0.5*(E660+E963+E1266))*MAX(0,MIN(3,'Loan Tape'!$AV50)-2)</f>
        <v>270272.0089344</v>
      </c>
      <c r="F1872" s="99" t="n">
        <f aca="false">F357*MAX(0,F54-0.5*(F660+F963+F1266))*MAX(0,MIN(4,'Loan Tape'!$AV50)-3)</f>
        <v>119634.055636875</v>
      </c>
      <c r="G1872" s="99" t="n">
        <f aca="false">G357*MAX(0,G54-0.5*(G660+G963+G1266))*MAX(0,MIN(5,'Loan Tape'!$AV50)-4)</f>
        <v>0</v>
      </c>
      <c r="H1872" s="99" t="n">
        <f aca="false">H357*MAX(0,H54-0.5*(H660+H963+H1266))*MAX(0,MIN(6,'Loan Tape'!$AV50)-5)</f>
        <v>0</v>
      </c>
      <c r="I1872" s="99" t="n">
        <f aca="false">I357*MAX(0,I54-0.5*(I660+I963+I1266))*MAX(0,MIN(7,'Loan Tape'!$AV50)-6)</f>
        <v>0</v>
      </c>
      <c r="J1872" s="99" t="n">
        <f aca="false">J357*MAX(0,J54-0.5*(J660+J963+J1266))*MAX(0,MIN(8,'Loan Tape'!$AV50)-7)</f>
        <v>0</v>
      </c>
      <c r="K1872" s="99" t="n">
        <f aca="false">K357*MAX(0,K54-0.5*(K660+K963+K1266))*MAX(0,MIN(9,'Loan Tape'!$AV50)-8)</f>
        <v>0</v>
      </c>
      <c r="L1872" s="99" t="n">
        <f aca="false">L357*MAX(0,L54-0.5*(L660+L963+L1266))*MAX(0,MIN(10,'Loan Tape'!$AV50)-9)</f>
        <v>0</v>
      </c>
    </row>
    <row r="1873" customFormat="false" ht="15" hidden="false" customHeight="false" outlineLevel="0" collapsed="false">
      <c r="B1873" s="108" t="str">
        <f aca="false">'Loan Tape'!$A51</f>
        <v>L-048</v>
      </c>
      <c r="C1873" s="71" t="n">
        <f aca="false">C358*MAX(0,C55-0.5*(C661+C964+C1267))*MAX(0,MIN(1,'Loan Tape'!$AV51)-0)</f>
        <v>6190558.30497952</v>
      </c>
      <c r="D1873" s="71" t="n">
        <f aca="false">D358*MAX(0,D55-0.5*(D661+D964+D1267))*MAX(0,MIN(2,'Loan Tape'!$AV51)-1)</f>
        <v>3370857.36785348</v>
      </c>
      <c r="E1873" s="71" t="n">
        <f aca="false">E358*MAX(0,E55-0.5*(E661+E964+E1267))*MAX(0,MIN(3,'Loan Tape'!$AV51)-2)</f>
        <v>0</v>
      </c>
      <c r="F1873" s="71" t="n">
        <f aca="false">F358*MAX(0,F55-0.5*(F661+F964+F1267))*MAX(0,MIN(4,'Loan Tape'!$AV51)-3)</f>
        <v>0</v>
      </c>
      <c r="G1873" s="71" t="n">
        <f aca="false">G358*MAX(0,G55-0.5*(G661+G964+G1267))*MAX(0,MIN(5,'Loan Tape'!$AV51)-4)</f>
        <v>0</v>
      </c>
      <c r="H1873" s="71" t="n">
        <f aca="false">H358*MAX(0,H55-0.5*(H661+H964+H1267))*MAX(0,MIN(6,'Loan Tape'!$AV51)-5)</f>
        <v>0</v>
      </c>
      <c r="I1873" s="71" t="n">
        <f aca="false">I358*MAX(0,I55-0.5*(I661+I964+I1267))*MAX(0,MIN(7,'Loan Tape'!$AV51)-6)</f>
        <v>0</v>
      </c>
      <c r="J1873" s="71" t="n">
        <f aca="false">J358*MAX(0,J55-0.5*(J661+J964+J1267))*MAX(0,MIN(8,'Loan Tape'!$AV51)-7)</f>
        <v>0</v>
      </c>
      <c r="K1873" s="71" t="n">
        <f aca="false">K358*MAX(0,K55-0.5*(K661+K964+K1267))*MAX(0,MIN(9,'Loan Tape'!$AV51)-8)</f>
        <v>0</v>
      </c>
      <c r="L1873" s="71" t="n">
        <f aca="false">L358*MAX(0,L55-0.5*(L661+L964+L1267))*MAX(0,MIN(10,'Loan Tape'!$AV51)-9)</f>
        <v>0</v>
      </c>
    </row>
    <row r="1874" customFormat="false" ht="15" hidden="false" customHeight="false" outlineLevel="0" collapsed="false">
      <c r="B1874" s="102" t="str">
        <f aca="false">'Loan Tape'!$A52</f>
        <v>L-049</v>
      </c>
      <c r="C1874" s="99" t="n">
        <f aca="false">C359*MAX(0,C56-0.5*(C662+C965+C1268))*MAX(0,MIN(1,'Loan Tape'!$AV52)-0)</f>
        <v>0</v>
      </c>
      <c r="D1874" s="99" t="n">
        <f aca="false">D359*MAX(0,D56-0.5*(D662+D965+D1268))*MAX(0,MIN(2,'Loan Tape'!$AV52)-1)</f>
        <v>0</v>
      </c>
      <c r="E1874" s="99" t="n">
        <f aca="false">E359*MAX(0,E56-0.5*(E662+E965+E1268))*MAX(0,MIN(3,'Loan Tape'!$AV52)-2)</f>
        <v>0</v>
      </c>
      <c r="F1874" s="99" t="n">
        <f aca="false">F359*MAX(0,F56-0.5*(F662+F965+F1268))*MAX(0,MIN(4,'Loan Tape'!$AV52)-3)</f>
        <v>0</v>
      </c>
      <c r="G1874" s="99" t="n">
        <f aca="false">G359*MAX(0,G56-0.5*(G662+G965+G1268))*MAX(0,MIN(5,'Loan Tape'!$AV52)-4)</f>
        <v>0</v>
      </c>
      <c r="H1874" s="99" t="n">
        <f aca="false">H359*MAX(0,H56-0.5*(H662+H965+H1268))*MAX(0,MIN(6,'Loan Tape'!$AV52)-5)</f>
        <v>0</v>
      </c>
      <c r="I1874" s="99" t="n">
        <f aca="false">I359*MAX(0,I56-0.5*(I662+I965+I1268))*MAX(0,MIN(7,'Loan Tape'!$AV52)-6)</f>
        <v>0</v>
      </c>
      <c r="J1874" s="99" t="n">
        <f aca="false">J359*MAX(0,J56-0.5*(J662+J965+J1268))*MAX(0,MIN(8,'Loan Tape'!$AV52)-7)</f>
        <v>0</v>
      </c>
      <c r="K1874" s="99" t="n">
        <f aca="false">K359*MAX(0,K56-0.5*(K662+K965+K1268))*MAX(0,MIN(9,'Loan Tape'!$AV52)-8)</f>
        <v>0</v>
      </c>
      <c r="L1874" s="99" t="n">
        <f aca="false">L359*MAX(0,L56-0.5*(L662+L965+L1268))*MAX(0,MIN(10,'Loan Tape'!$AV52)-9)</f>
        <v>0</v>
      </c>
    </row>
    <row r="1875" customFormat="false" ht="15" hidden="false" customHeight="false" outlineLevel="0" collapsed="false">
      <c r="B1875" s="108" t="str">
        <f aca="false">'Loan Tape'!$A53</f>
        <v>L-050</v>
      </c>
      <c r="C1875" s="71" t="n">
        <f aca="false">C360*MAX(0,C57-0.5*(C663+C966+C1269))*MAX(0,MIN(1,'Loan Tape'!$AV53)-0)</f>
        <v>9386820.26</v>
      </c>
      <c r="D1875" s="71" t="n">
        <f aca="false">D360*MAX(0,D57-0.5*(D663+D966+D1269))*MAX(0,MIN(2,'Loan Tape'!$AV53)-1)</f>
        <v>7762787.2608</v>
      </c>
      <c r="E1875" s="71" t="n">
        <f aca="false">E360*MAX(0,E57-0.5*(E663+E966+E1269))*MAX(0,MIN(3,'Loan Tape'!$AV53)-2)</f>
        <v>4434252.56390373</v>
      </c>
      <c r="F1875" s="71" t="n">
        <f aca="false">F360*MAX(0,F57-0.5*(F663+F966+F1269))*MAX(0,MIN(4,'Loan Tape'!$AV53)-3)</f>
        <v>0</v>
      </c>
      <c r="G1875" s="71" t="n">
        <f aca="false">G360*MAX(0,G57-0.5*(G663+G966+G1269))*MAX(0,MIN(5,'Loan Tape'!$AV53)-4)</f>
        <v>0</v>
      </c>
      <c r="H1875" s="71" t="n">
        <f aca="false">H360*MAX(0,H57-0.5*(H663+H966+H1269))*MAX(0,MIN(6,'Loan Tape'!$AV53)-5)</f>
        <v>0</v>
      </c>
      <c r="I1875" s="71" t="n">
        <f aca="false">I360*MAX(0,I57-0.5*(I663+I966+I1269))*MAX(0,MIN(7,'Loan Tape'!$AV53)-6)</f>
        <v>0</v>
      </c>
      <c r="J1875" s="71" t="n">
        <f aca="false">J360*MAX(0,J57-0.5*(J663+J966+J1269))*MAX(0,MIN(8,'Loan Tape'!$AV53)-7)</f>
        <v>0</v>
      </c>
      <c r="K1875" s="71" t="n">
        <f aca="false">K360*MAX(0,K57-0.5*(K663+K966+K1269))*MAX(0,MIN(9,'Loan Tape'!$AV53)-8)</f>
        <v>0</v>
      </c>
      <c r="L1875" s="71" t="n">
        <f aca="false">L360*MAX(0,L57-0.5*(L663+L966+L1269))*MAX(0,MIN(10,'Loan Tape'!$AV53)-9)</f>
        <v>0</v>
      </c>
    </row>
    <row r="1876" customFormat="false" ht="15" hidden="false" customHeight="false" outlineLevel="0" collapsed="false">
      <c r="B1876" s="102" t="n">
        <f aca="false">'Loan Tape'!$A54</f>
        <v>0</v>
      </c>
      <c r="C1876" s="99" t="n">
        <f aca="false">C361*MAX(0,C58-0.5*(C664+C967+C1270))*MAX(0,MIN(1,'Loan Tape'!$AV54)-0)</f>
        <v>0</v>
      </c>
      <c r="D1876" s="99" t="n">
        <f aca="false">D361*MAX(0,D58-0.5*(D664+D967+D1270))*MAX(0,MIN(2,'Loan Tape'!$AV54)-1)</f>
        <v>0</v>
      </c>
      <c r="E1876" s="99" t="n">
        <f aca="false">E361*MAX(0,E58-0.5*(E664+E967+E1270))*MAX(0,MIN(3,'Loan Tape'!$AV54)-2)</f>
        <v>0</v>
      </c>
      <c r="F1876" s="99" t="n">
        <f aca="false">F361*MAX(0,F58-0.5*(F664+F967+F1270))*MAX(0,MIN(4,'Loan Tape'!$AV54)-3)</f>
        <v>0</v>
      </c>
      <c r="G1876" s="99" t="n">
        <f aca="false">G361*MAX(0,G58-0.5*(G664+G967+G1270))*MAX(0,MIN(5,'Loan Tape'!$AV54)-4)</f>
        <v>0</v>
      </c>
      <c r="H1876" s="99" t="n">
        <f aca="false">H361*MAX(0,H58-0.5*(H664+H967+H1270))*MAX(0,MIN(6,'Loan Tape'!$AV54)-5)</f>
        <v>0</v>
      </c>
      <c r="I1876" s="99" t="n">
        <f aca="false">I361*MAX(0,I58-0.5*(I664+I967+I1270))*MAX(0,MIN(7,'Loan Tape'!$AV54)-6)</f>
        <v>0</v>
      </c>
      <c r="J1876" s="99" t="n">
        <f aca="false">J361*MAX(0,J58-0.5*(J664+J967+J1270))*MAX(0,MIN(8,'Loan Tape'!$AV54)-7)</f>
        <v>0</v>
      </c>
      <c r="K1876" s="99" t="n">
        <f aca="false">K361*MAX(0,K58-0.5*(K664+K967+K1270))*MAX(0,MIN(9,'Loan Tape'!$AV54)-8)</f>
        <v>0</v>
      </c>
      <c r="L1876" s="99" t="n">
        <f aca="false">L361*MAX(0,L58-0.5*(L664+L967+L1270))*MAX(0,MIN(10,'Loan Tape'!$AV54)-9)</f>
        <v>0</v>
      </c>
    </row>
    <row r="1877" customFormat="false" ht="15" hidden="false" customHeight="false" outlineLevel="0" collapsed="false">
      <c r="B1877" s="108" t="n">
        <f aca="false">'Loan Tape'!$A55</f>
        <v>0</v>
      </c>
      <c r="C1877" s="71" t="n">
        <f aca="false">C362*MAX(0,C59-0.5*(C665+C968+C1271))*MAX(0,MIN(1,'Loan Tape'!$AV55)-0)</f>
        <v>0</v>
      </c>
      <c r="D1877" s="71" t="n">
        <f aca="false">D362*MAX(0,D59-0.5*(D665+D968+D1271))*MAX(0,MIN(2,'Loan Tape'!$AV55)-1)</f>
        <v>0</v>
      </c>
      <c r="E1877" s="71" t="n">
        <f aca="false">E362*MAX(0,E59-0.5*(E665+E968+E1271))*MAX(0,MIN(3,'Loan Tape'!$AV55)-2)</f>
        <v>0</v>
      </c>
      <c r="F1877" s="71" t="n">
        <f aca="false">F362*MAX(0,F59-0.5*(F665+F968+F1271))*MAX(0,MIN(4,'Loan Tape'!$AV55)-3)</f>
        <v>0</v>
      </c>
      <c r="G1877" s="71" t="n">
        <f aca="false">G362*MAX(0,G59-0.5*(G665+G968+G1271))*MAX(0,MIN(5,'Loan Tape'!$AV55)-4)</f>
        <v>0</v>
      </c>
      <c r="H1877" s="71" t="n">
        <f aca="false">H362*MAX(0,H59-0.5*(H665+H968+H1271))*MAX(0,MIN(6,'Loan Tape'!$AV55)-5)</f>
        <v>0</v>
      </c>
      <c r="I1877" s="71" t="n">
        <f aca="false">I362*MAX(0,I59-0.5*(I665+I968+I1271))*MAX(0,MIN(7,'Loan Tape'!$AV55)-6)</f>
        <v>0</v>
      </c>
      <c r="J1877" s="71" t="n">
        <f aca="false">J362*MAX(0,J59-0.5*(J665+J968+J1271))*MAX(0,MIN(8,'Loan Tape'!$AV55)-7)</f>
        <v>0</v>
      </c>
      <c r="K1877" s="71" t="n">
        <f aca="false">K362*MAX(0,K59-0.5*(K665+K968+K1271))*MAX(0,MIN(9,'Loan Tape'!$AV55)-8)</f>
        <v>0</v>
      </c>
      <c r="L1877" s="71" t="n">
        <f aca="false">L362*MAX(0,L59-0.5*(L665+L968+L1271))*MAX(0,MIN(10,'Loan Tape'!$AV55)-9)</f>
        <v>0</v>
      </c>
    </row>
    <row r="1878" customFormat="false" ht="15" hidden="false" customHeight="false" outlineLevel="0" collapsed="false">
      <c r="B1878" s="102" t="n">
        <f aca="false">'Loan Tape'!$A56</f>
        <v>0</v>
      </c>
      <c r="C1878" s="99" t="n">
        <f aca="false">C363*MAX(0,C60-0.5*(C666+C969+C1272))*MAX(0,MIN(1,'Loan Tape'!$AV56)-0)</f>
        <v>0</v>
      </c>
      <c r="D1878" s="99" t="n">
        <f aca="false">D363*MAX(0,D60-0.5*(D666+D969+D1272))*MAX(0,MIN(2,'Loan Tape'!$AV56)-1)</f>
        <v>0</v>
      </c>
      <c r="E1878" s="99" t="n">
        <f aca="false">E363*MAX(0,E60-0.5*(E666+E969+E1272))*MAX(0,MIN(3,'Loan Tape'!$AV56)-2)</f>
        <v>0</v>
      </c>
      <c r="F1878" s="99" t="n">
        <f aca="false">F363*MAX(0,F60-0.5*(F666+F969+F1272))*MAX(0,MIN(4,'Loan Tape'!$AV56)-3)</f>
        <v>0</v>
      </c>
      <c r="G1878" s="99" t="n">
        <f aca="false">G363*MAX(0,G60-0.5*(G666+G969+G1272))*MAX(0,MIN(5,'Loan Tape'!$AV56)-4)</f>
        <v>0</v>
      </c>
      <c r="H1878" s="99" t="n">
        <f aca="false">H363*MAX(0,H60-0.5*(H666+H969+H1272))*MAX(0,MIN(6,'Loan Tape'!$AV56)-5)</f>
        <v>0</v>
      </c>
      <c r="I1878" s="99" t="n">
        <f aca="false">I363*MAX(0,I60-0.5*(I666+I969+I1272))*MAX(0,MIN(7,'Loan Tape'!$AV56)-6)</f>
        <v>0</v>
      </c>
      <c r="J1878" s="99" t="n">
        <f aca="false">J363*MAX(0,J60-0.5*(J666+J969+J1272))*MAX(0,MIN(8,'Loan Tape'!$AV56)-7)</f>
        <v>0</v>
      </c>
      <c r="K1878" s="99" t="n">
        <f aca="false">K363*MAX(0,K60-0.5*(K666+K969+K1272))*MAX(0,MIN(9,'Loan Tape'!$AV56)-8)</f>
        <v>0</v>
      </c>
      <c r="L1878" s="99" t="n">
        <f aca="false">L363*MAX(0,L60-0.5*(L666+L969+L1272))*MAX(0,MIN(10,'Loan Tape'!$AV56)-9)</f>
        <v>0</v>
      </c>
    </row>
    <row r="1879" customFormat="false" ht="15" hidden="false" customHeight="false" outlineLevel="0" collapsed="false">
      <c r="B1879" s="108" t="n">
        <f aca="false">'Loan Tape'!$A57</f>
        <v>0</v>
      </c>
      <c r="C1879" s="71" t="n">
        <f aca="false">C364*MAX(0,C61-0.5*(C667+C970+C1273))*MAX(0,MIN(1,'Loan Tape'!$AV57)-0)</f>
        <v>0</v>
      </c>
      <c r="D1879" s="71" t="n">
        <f aca="false">D364*MAX(0,D61-0.5*(D667+D970+D1273))*MAX(0,MIN(2,'Loan Tape'!$AV57)-1)</f>
        <v>0</v>
      </c>
      <c r="E1879" s="71" t="n">
        <f aca="false">E364*MAX(0,E61-0.5*(E667+E970+E1273))*MAX(0,MIN(3,'Loan Tape'!$AV57)-2)</f>
        <v>0</v>
      </c>
      <c r="F1879" s="71" t="n">
        <f aca="false">F364*MAX(0,F61-0.5*(F667+F970+F1273))*MAX(0,MIN(4,'Loan Tape'!$AV57)-3)</f>
        <v>0</v>
      </c>
      <c r="G1879" s="71" t="n">
        <f aca="false">G364*MAX(0,G61-0.5*(G667+G970+G1273))*MAX(0,MIN(5,'Loan Tape'!$AV57)-4)</f>
        <v>0</v>
      </c>
      <c r="H1879" s="71" t="n">
        <f aca="false">H364*MAX(0,H61-0.5*(H667+H970+H1273))*MAX(0,MIN(6,'Loan Tape'!$AV57)-5)</f>
        <v>0</v>
      </c>
      <c r="I1879" s="71" t="n">
        <f aca="false">I364*MAX(0,I61-0.5*(I667+I970+I1273))*MAX(0,MIN(7,'Loan Tape'!$AV57)-6)</f>
        <v>0</v>
      </c>
      <c r="J1879" s="71" t="n">
        <f aca="false">J364*MAX(0,J61-0.5*(J667+J970+J1273))*MAX(0,MIN(8,'Loan Tape'!$AV57)-7)</f>
        <v>0</v>
      </c>
      <c r="K1879" s="71" t="n">
        <f aca="false">K364*MAX(0,K61-0.5*(K667+K970+K1273))*MAX(0,MIN(9,'Loan Tape'!$AV57)-8)</f>
        <v>0</v>
      </c>
      <c r="L1879" s="71" t="n">
        <f aca="false">L364*MAX(0,L61-0.5*(L667+L970+L1273))*MAX(0,MIN(10,'Loan Tape'!$AV57)-9)</f>
        <v>0</v>
      </c>
    </row>
    <row r="1880" customFormat="false" ht="15" hidden="false" customHeight="false" outlineLevel="0" collapsed="false">
      <c r="B1880" s="102" t="n">
        <f aca="false">'Loan Tape'!$A58</f>
        <v>0</v>
      </c>
      <c r="C1880" s="99" t="n">
        <f aca="false">C365*MAX(0,C62-0.5*(C668+C971+C1274))*MAX(0,MIN(1,'Loan Tape'!$AV58)-0)</f>
        <v>0</v>
      </c>
      <c r="D1880" s="99" t="n">
        <f aca="false">D365*MAX(0,D62-0.5*(D668+D971+D1274))*MAX(0,MIN(2,'Loan Tape'!$AV58)-1)</f>
        <v>0</v>
      </c>
      <c r="E1880" s="99" t="n">
        <f aca="false">E365*MAX(0,E62-0.5*(E668+E971+E1274))*MAX(0,MIN(3,'Loan Tape'!$AV58)-2)</f>
        <v>0</v>
      </c>
      <c r="F1880" s="99" t="n">
        <f aca="false">F365*MAX(0,F62-0.5*(F668+F971+F1274))*MAX(0,MIN(4,'Loan Tape'!$AV58)-3)</f>
        <v>0</v>
      </c>
      <c r="G1880" s="99" t="n">
        <f aca="false">G365*MAX(0,G62-0.5*(G668+G971+G1274))*MAX(0,MIN(5,'Loan Tape'!$AV58)-4)</f>
        <v>0</v>
      </c>
      <c r="H1880" s="99" t="n">
        <f aca="false">H365*MAX(0,H62-0.5*(H668+H971+H1274))*MAX(0,MIN(6,'Loan Tape'!$AV58)-5)</f>
        <v>0</v>
      </c>
      <c r="I1880" s="99" t="n">
        <f aca="false">I365*MAX(0,I62-0.5*(I668+I971+I1274))*MAX(0,MIN(7,'Loan Tape'!$AV58)-6)</f>
        <v>0</v>
      </c>
      <c r="J1880" s="99" t="n">
        <f aca="false">J365*MAX(0,J62-0.5*(J668+J971+J1274))*MAX(0,MIN(8,'Loan Tape'!$AV58)-7)</f>
        <v>0</v>
      </c>
      <c r="K1880" s="99" t="n">
        <f aca="false">K365*MAX(0,K62-0.5*(K668+K971+K1274))*MAX(0,MIN(9,'Loan Tape'!$AV58)-8)</f>
        <v>0</v>
      </c>
      <c r="L1880" s="99" t="n">
        <f aca="false">L365*MAX(0,L62-0.5*(L668+L971+L1274))*MAX(0,MIN(10,'Loan Tape'!$AV58)-9)</f>
        <v>0</v>
      </c>
    </row>
    <row r="1881" customFormat="false" ht="15" hidden="false" customHeight="false" outlineLevel="0" collapsed="false">
      <c r="B1881" s="108" t="n">
        <f aca="false">'Loan Tape'!$A59</f>
        <v>0</v>
      </c>
      <c r="C1881" s="71" t="n">
        <f aca="false">C366*MAX(0,C63-0.5*(C669+C972+C1275))*MAX(0,MIN(1,'Loan Tape'!$AV59)-0)</f>
        <v>0</v>
      </c>
      <c r="D1881" s="71" t="n">
        <f aca="false">D366*MAX(0,D63-0.5*(D669+D972+D1275))*MAX(0,MIN(2,'Loan Tape'!$AV59)-1)</f>
        <v>0</v>
      </c>
      <c r="E1881" s="71" t="n">
        <f aca="false">E366*MAX(0,E63-0.5*(E669+E972+E1275))*MAX(0,MIN(3,'Loan Tape'!$AV59)-2)</f>
        <v>0</v>
      </c>
      <c r="F1881" s="71" t="n">
        <f aca="false">F366*MAX(0,F63-0.5*(F669+F972+F1275))*MAX(0,MIN(4,'Loan Tape'!$AV59)-3)</f>
        <v>0</v>
      </c>
      <c r="G1881" s="71" t="n">
        <f aca="false">G366*MAX(0,G63-0.5*(G669+G972+G1275))*MAX(0,MIN(5,'Loan Tape'!$AV59)-4)</f>
        <v>0</v>
      </c>
      <c r="H1881" s="71" t="n">
        <f aca="false">H366*MAX(0,H63-0.5*(H669+H972+H1275))*MAX(0,MIN(6,'Loan Tape'!$AV59)-5)</f>
        <v>0</v>
      </c>
      <c r="I1881" s="71" t="n">
        <f aca="false">I366*MAX(0,I63-0.5*(I669+I972+I1275))*MAX(0,MIN(7,'Loan Tape'!$AV59)-6)</f>
        <v>0</v>
      </c>
      <c r="J1881" s="71" t="n">
        <f aca="false">J366*MAX(0,J63-0.5*(J669+J972+J1275))*MAX(0,MIN(8,'Loan Tape'!$AV59)-7)</f>
        <v>0</v>
      </c>
      <c r="K1881" s="71" t="n">
        <f aca="false">K366*MAX(0,K63-0.5*(K669+K972+K1275))*MAX(0,MIN(9,'Loan Tape'!$AV59)-8)</f>
        <v>0</v>
      </c>
      <c r="L1881" s="71" t="n">
        <f aca="false">L366*MAX(0,L63-0.5*(L669+L972+L1275))*MAX(0,MIN(10,'Loan Tape'!$AV59)-9)</f>
        <v>0</v>
      </c>
    </row>
    <row r="1882" customFormat="false" ht="15" hidden="false" customHeight="false" outlineLevel="0" collapsed="false">
      <c r="B1882" s="102" t="n">
        <f aca="false">'Loan Tape'!$A60</f>
        <v>0</v>
      </c>
      <c r="C1882" s="99" t="n">
        <f aca="false">C367*MAX(0,C64-0.5*(C670+C973+C1276))*MAX(0,MIN(1,'Loan Tape'!$AV60)-0)</f>
        <v>0</v>
      </c>
      <c r="D1882" s="99" t="n">
        <f aca="false">D367*MAX(0,D64-0.5*(D670+D973+D1276))*MAX(0,MIN(2,'Loan Tape'!$AV60)-1)</f>
        <v>0</v>
      </c>
      <c r="E1882" s="99" t="n">
        <f aca="false">E367*MAX(0,E64-0.5*(E670+E973+E1276))*MAX(0,MIN(3,'Loan Tape'!$AV60)-2)</f>
        <v>0</v>
      </c>
      <c r="F1882" s="99" t="n">
        <f aca="false">F367*MAX(0,F64-0.5*(F670+F973+F1276))*MAX(0,MIN(4,'Loan Tape'!$AV60)-3)</f>
        <v>0</v>
      </c>
      <c r="G1882" s="99" t="n">
        <f aca="false">G367*MAX(0,G64-0.5*(G670+G973+G1276))*MAX(0,MIN(5,'Loan Tape'!$AV60)-4)</f>
        <v>0</v>
      </c>
      <c r="H1882" s="99" t="n">
        <f aca="false">H367*MAX(0,H64-0.5*(H670+H973+H1276))*MAX(0,MIN(6,'Loan Tape'!$AV60)-5)</f>
        <v>0</v>
      </c>
      <c r="I1882" s="99" t="n">
        <f aca="false">I367*MAX(0,I64-0.5*(I670+I973+I1276))*MAX(0,MIN(7,'Loan Tape'!$AV60)-6)</f>
        <v>0</v>
      </c>
      <c r="J1882" s="99" t="n">
        <f aca="false">J367*MAX(0,J64-0.5*(J670+J973+J1276))*MAX(0,MIN(8,'Loan Tape'!$AV60)-7)</f>
        <v>0</v>
      </c>
      <c r="K1882" s="99" t="n">
        <f aca="false">K367*MAX(0,K64-0.5*(K670+K973+K1276))*MAX(0,MIN(9,'Loan Tape'!$AV60)-8)</f>
        <v>0</v>
      </c>
      <c r="L1882" s="99" t="n">
        <f aca="false">L367*MAX(0,L64-0.5*(L670+L973+L1276))*MAX(0,MIN(10,'Loan Tape'!$AV60)-9)</f>
        <v>0</v>
      </c>
    </row>
    <row r="1883" customFormat="false" ht="15" hidden="false" customHeight="false" outlineLevel="0" collapsed="false">
      <c r="B1883" s="108" t="n">
        <f aca="false">'Loan Tape'!$A61</f>
        <v>0</v>
      </c>
      <c r="C1883" s="71" t="n">
        <f aca="false">C368*MAX(0,C65-0.5*(C671+C974+C1277))*MAX(0,MIN(1,'Loan Tape'!$AV61)-0)</f>
        <v>0</v>
      </c>
      <c r="D1883" s="71" t="n">
        <f aca="false">D368*MAX(0,D65-0.5*(D671+D974+D1277))*MAX(0,MIN(2,'Loan Tape'!$AV61)-1)</f>
        <v>0</v>
      </c>
      <c r="E1883" s="71" t="n">
        <f aca="false">E368*MAX(0,E65-0.5*(E671+E974+E1277))*MAX(0,MIN(3,'Loan Tape'!$AV61)-2)</f>
        <v>0</v>
      </c>
      <c r="F1883" s="71" t="n">
        <f aca="false">F368*MAX(0,F65-0.5*(F671+F974+F1277))*MAX(0,MIN(4,'Loan Tape'!$AV61)-3)</f>
        <v>0</v>
      </c>
      <c r="G1883" s="71" t="n">
        <f aca="false">G368*MAX(0,G65-0.5*(G671+G974+G1277))*MAX(0,MIN(5,'Loan Tape'!$AV61)-4)</f>
        <v>0</v>
      </c>
      <c r="H1883" s="71" t="n">
        <f aca="false">H368*MAX(0,H65-0.5*(H671+H974+H1277))*MAX(0,MIN(6,'Loan Tape'!$AV61)-5)</f>
        <v>0</v>
      </c>
      <c r="I1883" s="71" t="n">
        <f aca="false">I368*MAX(0,I65-0.5*(I671+I974+I1277))*MAX(0,MIN(7,'Loan Tape'!$AV61)-6)</f>
        <v>0</v>
      </c>
      <c r="J1883" s="71" t="n">
        <f aca="false">J368*MAX(0,J65-0.5*(J671+J974+J1277))*MAX(0,MIN(8,'Loan Tape'!$AV61)-7)</f>
        <v>0</v>
      </c>
      <c r="K1883" s="71" t="n">
        <f aca="false">K368*MAX(0,K65-0.5*(K671+K974+K1277))*MAX(0,MIN(9,'Loan Tape'!$AV61)-8)</f>
        <v>0</v>
      </c>
      <c r="L1883" s="71" t="n">
        <f aca="false">L368*MAX(0,L65-0.5*(L671+L974+L1277))*MAX(0,MIN(10,'Loan Tape'!$AV61)-9)</f>
        <v>0</v>
      </c>
    </row>
    <row r="1884" customFormat="false" ht="15" hidden="false" customHeight="false" outlineLevel="0" collapsed="false">
      <c r="B1884" s="102" t="n">
        <f aca="false">'Loan Tape'!$A62</f>
        <v>0</v>
      </c>
      <c r="C1884" s="99" t="n">
        <f aca="false">C369*MAX(0,C66-0.5*(C672+C975+C1278))*MAX(0,MIN(1,'Loan Tape'!$AV62)-0)</f>
        <v>0</v>
      </c>
      <c r="D1884" s="99" t="n">
        <f aca="false">D369*MAX(0,D66-0.5*(D672+D975+D1278))*MAX(0,MIN(2,'Loan Tape'!$AV62)-1)</f>
        <v>0</v>
      </c>
      <c r="E1884" s="99" t="n">
        <f aca="false">E369*MAX(0,E66-0.5*(E672+E975+E1278))*MAX(0,MIN(3,'Loan Tape'!$AV62)-2)</f>
        <v>0</v>
      </c>
      <c r="F1884" s="99" t="n">
        <f aca="false">F369*MAX(0,F66-0.5*(F672+F975+F1278))*MAX(0,MIN(4,'Loan Tape'!$AV62)-3)</f>
        <v>0</v>
      </c>
      <c r="G1884" s="99" t="n">
        <f aca="false">G369*MAX(0,G66-0.5*(G672+G975+G1278))*MAX(0,MIN(5,'Loan Tape'!$AV62)-4)</f>
        <v>0</v>
      </c>
      <c r="H1884" s="99" t="n">
        <f aca="false">H369*MAX(0,H66-0.5*(H672+H975+H1278))*MAX(0,MIN(6,'Loan Tape'!$AV62)-5)</f>
        <v>0</v>
      </c>
      <c r="I1884" s="99" t="n">
        <f aca="false">I369*MAX(0,I66-0.5*(I672+I975+I1278))*MAX(0,MIN(7,'Loan Tape'!$AV62)-6)</f>
        <v>0</v>
      </c>
      <c r="J1884" s="99" t="n">
        <f aca="false">J369*MAX(0,J66-0.5*(J672+J975+J1278))*MAX(0,MIN(8,'Loan Tape'!$AV62)-7)</f>
        <v>0</v>
      </c>
      <c r="K1884" s="99" t="n">
        <f aca="false">K369*MAX(0,K66-0.5*(K672+K975+K1278))*MAX(0,MIN(9,'Loan Tape'!$AV62)-8)</f>
        <v>0</v>
      </c>
      <c r="L1884" s="99" t="n">
        <f aca="false">L369*MAX(0,L66-0.5*(L672+L975+L1278))*MAX(0,MIN(10,'Loan Tape'!$AV62)-9)</f>
        <v>0</v>
      </c>
    </row>
    <row r="1885" customFormat="false" ht="15" hidden="false" customHeight="false" outlineLevel="0" collapsed="false">
      <c r="B1885" s="108" t="n">
        <f aca="false">'Loan Tape'!$A63</f>
        <v>0</v>
      </c>
      <c r="C1885" s="71" t="n">
        <f aca="false">C370*MAX(0,C67-0.5*(C673+C976+C1279))*MAX(0,MIN(1,'Loan Tape'!$AV63)-0)</f>
        <v>0</v>
      </c>
      <c r="D1885" s="71" t="n">
        <f aca="false">D370*MAX(0,D67-0.5*(D673+D976+D1279))*MAX(0,MIN(2,'Loan Tape'!$AV63)-1)</f>
        <v>0</v>
      </c>
      <c r="E1885" s="71" t="n">
        <f aca="false">E370*MAX(0,E67-0.5*(E673+E976+E1279))*MAX(0,MIN(3,'Loan Tape'!$AV63)-2)</f>
        <v>0</v>
      </c>
      <c r="F1885" s="71" t="n">
        <f aca="false">F370*MAX(0,F67-0.5*(F673+F976+F1279))*MAX(0,MIN(4,'Loan Tape'!$AV63)-3)</f>
        <v>0</v>
      </c>
      <c r="G1885" s="71" t="n">
        <f aca="false">G370*MAX(0,G67-0.5*(G673+G976+G1279))*MAX(0,MIN(5,'Loan Tape'!$AV63)-4)</f>
        <v>0</v>
      </c>
      <c r="H1885" s="71" t="n">
        <f aca="false">H370*MAX(0,H67-0.5*(H673+H976+H1279))*MAX(0,MIN(6,'Loan Tape'!$AV63)-5)</f>
        <v>0</v>
      </c>
      <c r="I1885" s="71" t="n">
        <f aca="false">I370*MAX(0,I67-0.5*(I673+I976+I1279))*MAX(0,MIN(7,'Loan Tape'!$AV63)-6)</f>
        <v>0</v>
      </c>
      <c r="J1885" s="71" t="n">
        <f aca="false">J370*MAX(0,J67-0.5*(J673+J976+J1279))*MAX(0,MIN(8,'Loan Tape'!$AV63)-7)</f>
        <v>0</v>
      </c>
      <c r="K1885" s="71" t="n">
        <f aca="false">K370*MAX(0,K67-0.5*(K673+K976+K1279))*MAX(0,MIN(9,'Loan Tape'!$AV63)-8)</f>
        <v>0</v>
      </c>
      <c r="L1885" s="71" t="n">
        <f aca="false">L370*MAX(0,L67-0.5*(L673+L976+L1279))*MAX(0,MIN(10,'Loan Tape'!$AV63)-9)</f>
        <v>0</v>
      </c>
    </row>
    <row r="1886" customFormat="false" ht="15" hidden="false" customHeight="false" outlineLevel="0" collapsed="false">
      <c r="B1886" s="102" t="n">
        <f aca="false">'Loan Tape'!$A64</f>
        <v>0</v>
      </c>
      <c r="C1886" s="99" t="n">
        <f aca="false">C371*MAX(0,C68-0.5*(C674+C977+C1280))*MAX(0,MIN(1,'Loan Tape'!$AV64)-0)</f>
        <v>0</v>
      </c>
      <c r="D1886" s="99" t="n">
        <f aca="false">D371*MAX(0,D68-0.5*(D674+D977+D1280))*MAX(0,MIN(2,'Loan Tape'!$AV64)-1)</f>
        <v>0</v>
      </c>
      <c r="E1886" s="99" t="n">
        <f aca="false">E371*MAX(0,E68-0.5*(E674+E977+E1280))*MAX(0,MIN(3,'Loan Tape'!$AV64)-2)</f>
        <v>0</v>
      </c>
      <c r="F1886" s="99" t="n">
        <f aca="false">F371*MAX(0,F68-0.5*(F674+F977+F1280))*MAX(0,MIN(4,'Loan Tape'!$AV64)-3)</f>
        <v>0</v>
      </c>
      <c r="G1886" s="99" t="n">
        <f aca="false">G371*MAX(0,G68-0.5*(G674+G977+G1280))*MAX(0,MIN(5,'Loan Tape'!$AV64)-4)</f>
        <v>0</v>
      </c>
      <c r="H1886" s="99" t="n">
        <f aca="false">H371*MAX(0,H68-0.5*(H674+H977+H1280))*MAX(0,MIN(6,'Loan Tape'!$AV64)-5)</f>
        <v>0</v>
      </c>
      <c r="I1886" s="99" t="n">
        <f aca="false">I371*MAX(0,I68-0.5*(I674+I977+I1280))*MAX(0,MIN(7,'Loan Tape'!$AV64)-6)</f>
        <v>0</v>
      </c>
      <c r="J1886" s="99" t="n">
        <f aca="false">J371*MAX(0,J68-0.5*(J674+J977+J1280))*MAX(0,MIN(8,'Loan Tape'!$AV64)-7)</f>
        <v>0</v>
      </c>
      <c r="K1886" s="99" t="n">
        <f aca="false">K371*MAX(0,K68-0.5*(K674+K977+K1280))*MAX(0,MIN(9,'Loan Tape'!$AV64)-8)</f>
        <v>0</v>
      </c>
      <c r="L1886" s="99" t="n">
        <f aca="false">L371*MAX(0,L68-0.5*(L674+L977+L1280))*MAX(0,MIN(10,'Loan Tape'!$AV64)-9)</f>
        <v>0</v>
      </c>
    </row>
    <row r="1887" customFormat="false" ht="15" hidden="false" customHeight="false" outlineLevel="0" collapsed="false">
      <c r="B1887" s="108" t="n">
        <f aca="false">'Loan Tape'!$A65</f>
        <v>0</v>
      </c>
      <c r="C1887" s="71" t="n">
        <f aca="false">C372*MAX(0,C69-0.5*(C675+C978+C1281))*MAX(0,MIN(1,'Loan Tape'!$AV65)-0)</f>
        <v>0</v>
      </c>
      <c r="D1887" s="71" t="n">
        <f aca="false">D372*MAX(0,D69-0.5*(D675+D978+D1281))*MAX(0,MIN(2,'Loan Tape'!$AV65)-1)</f>
        <v>0</v>
      </c>
      <c r="E1887" s="71" t="n">
        <f aca="false">E372*MAX(0,E69-0.5*(E675+E978+E1281))*MAX(0,MIN(3,'Loan Tape'!$AV65)-2)</f>
        <v>0</v>
      </c>
      <c r="F1887" s="71" t="n">
        <f aca="false">F372*MAX(0,F69-0.5*(F675+F978+F1281))*MAX(0,MIN(4,'Loan Tape'!$AV65)-3)</f>
        <v>0</v>
      </c>
      <c r="G1887" s="71" t="n">
        <f aca="false">G372*MAX(0,G69-0.5*(G675+G978+G1281))*MAX(0,MIN(5,'Loan Tape'!$AV65)-4)</f>
        <v>0</v>
      </c>
      <c r="H1887" s="71" t="n">
        <f aca="false">H372*MAX(0,H69-0.5*(H675+H978+H1281))*MAX(0,MIN(6,'Loan Tape'!$AV65)-5)</f>
        <v>0</v>
      </c>
      <c r="I1887" s="71" t="n">
        <f aca="false">I372*MAX(0,I69-0.5*(I675+I978+I1281))*MAX(0,MIN(7,'Loan Tape'!$AV65)-6)</f>
        <v>0</v>
      </c>
      <c r="J1887" s="71" t="n">
        <f aca="false">J372*MAX(0,J69-0.5*(J675+J978+J1281))*MAX(0,MIN(8,'Loan Tape'!$AV65)-7)</f>
        <v>0</v>
      </c>
      <c r="K1887" s="71" t="n">
        <f aca="false">K372*MAX(0,K69-0.5*(K675+K978+K1281))*MAX(0,MIN(9,'Loan Tape'!$AV65)-8)</f>
        <v>0</v>
      </c>
      <c r="L1887" s="71" t="n">
        <f aca="false">L372*MAX(0,L69-0.5*(L675+L978+L1281))*MAX(0,MIN(10,'Loan Tape'!$AV65)-9)</f>
        <v>0</v>
      </c>
    </row>
    <row r="1888" customFormat="false" ht="15" hidden="false" customHeight="false" outlineLevel="0" collapsed="false">
      <c r="B1888" s="102" t="n">
        <f aca="false">'Loan Tape'!$A66</f>
        <v>0</v>
      </c>
      <c r="C1888" s="99" t="n">
        <f aca="false">C373*MAX(0,C70-0.5*(C676+C979+C1282))*MAX(0,MIN(1,'Loan Tape'!$AV66)-0)</f>
        <v>0</v>
      </c>
      <c r="D1888" s="99" t="n">
        <f aca="false">D373*MAX(0,D70-0.5*(D676+D979+D1282))*MAX(0,MIN(2,'Loan Tape'!$AV66)-1)</f>
        <v>0</v>
      </c>
      <c r="E1888" s="99" t="n">
        <f aca="false">E373*MAX(0,E70-0.5*(E676+E979+E1282))*MAX(0,MIN(3,'Loan Tape'!$AV66)-2)</f>
        <v>0</v>
      </c>
      <c r="F1888" s="99" t="n">
        <f aca="false">F373*MAX(0,F70-0.5*(F676+F979+F1282))*MAX(0,MIN(4,'Loan Tape'!$AV66)-3)</f>
        <v>0</v>
      </c>
      <c r="G1888" s="99" t="n">
        <f aca="false">G373*MAX(0,G70-0.5*(G676+G979+G1282))*MAX(0,MIN(5,'Loan Tape'!$AV66)-4)</f>
        <v>0</v>
      </c>
      <c r="H1888" s="99" t="n">
        <f aca="false">H373*MAX(0,H70-0.5*(H676+H979+H1282))*MAX(0,MIN(6,'Loan Tape'!$AV66)-5)</f>
        <v>0</v>
      </c>
      <c r="I1888" s="99" t="n">
        <f aca="false">I373*MAX(0,I70-0.5*(I676+I979+I1282))*MAX(0,MIN(7,'Loan Tape'!$AV66)-6)</f>
        <v>0</v>
      </c>
      <c r="J1888" s="99" t="n">
        <f aca="false">J373*MAX(0,J70-0.5*(J676+J979+J1282))*MAX(0,MIN(8,'Loan Tape'!$AV66)-7)</f>
        <v>0</v>
      </c>
      <c r="K1888" s="99" t="n">
        <f aca="false">K373*MAX(0,K70-0.5*(K676+K979+K1282))*MAX(0,MIN(9,'Loan Tape'!$AV66)-8)</f>
        <v>0</v>
      </c>
      <c r="L1888" s="99" t="n">
        <f aca="false">L373*MAX(0,L70-0.5*(L676+L979+L1282))*MAX(0,MIN(10,'Loan Tape'!$AV66)-9)</f>
        <v>0</v>
      </c>
    </row>
    <row r="1889" customFormat="false" ht="15" hidden="false" customHeight="false" outlineLevel="0" collapsed="false">
      <c r="B1889" s="108" t="n">
        <f aca="false">'Loan Tape'!$A67</f>
        <v>0</v>
      </c>
      <c r="C1889" s="71" t="n">
        <f aca="false">C374*MAX(0,C71-0.5*(C677+C980+C1283))*MAX(0,MIN(1,'Loan Tape'!$AV67)-0)</f>
        <v>0</v>
      </c>
      <c r="D1889" s="71" t="n">
        <f aca="false">D374*MAX(0,D71-0.5*(D677+D980+D1283))*MAX(0,MIN(2,'Loan Tape'!$AV67)-1)</f>
        <v>0</v>
      </c>
      <c r="E1889" s="71" t="n">
        <f aca="false">E374*MAX(0,E71-0.5*(E677+E980+E1283))*MAX(0,MIN(3,'Loan Tape'!$AV67)-2)</f>
        <v>0</v>
      </c>
      <c r="F1889" s="71" t="n">
        <f aca="false">F374*MAX(0,F71-0.5*(F677+F980+F1283))*MAX(0,MIN(4,'Loan Tape'!$AV67)-3)</f>
        <v>0</v>
      </c>
      <c r="G1889" s="71" t="n">
        <f aca="false">G374*MAX(0,G71-0.5*(G677+G980+G1283))*MAX(0,MIN(5,'Loan Tape'!$AV67)-4)</f>
        <v>0</v>
      </c>
      <c r="H1889" s="71" t="n">
        <f aca="false">H374*MAX(0,H71-0.5*(H677+H980+H1283))*MAX(0,MIN(6,'Loan Tape'!$AV67)-5)</f>
        <v>0</v>
      </c>
      <c r="I1889" s="71" t="n">
        <f aca="false">I374*MAX(0,I71-0.5*(I677+I980+I1283))*MAX(0,MIN(7,'Loan Tape'!$AV67)-6)</f>
        <v>0</v>
      </c>
      <c r="J1889" s="71" t="n">
        <f aca="false">J374*MAX(0,J71-0.5*(J677+J980+J1283))*MAX(0,MIN(8,'Loan Tape'!$AV67)-7)</f>
        <v>0</v>
      </c>
      <c r="K1889" s="71" t="n">
        <f aca="false">K374*MAX(0,K71-0.5*(K677+K980+K1283))*MAX(0,MIN(9,'Loan Tape'!$AV67)-8)</f>
        <v>0</v>
      </c>
      <c r="L1889" s="71" t="n">
        <f aca="false">L374*MAX(0,L71-0.5*(L677+L980+L1283))*MAX(0,MIN(10,'Loan Tape'!$AV67)-9)</f>
        <v>0</v>
      </c>
    </row>
    <row r="1890" customFormat="false" ht="15" hidden="false" customHeight="false" outlineLevel="0" collapsed="false">
      <c r="B1890" s="102" t="n">
        <f aca="false">'Loan Tape'!$A68</f>
        <v>0</v>
      </c>
      <c r="C1890" s="99" t="n">
        <f aca="false">C375*MAX(0,C72-0.5*(C678+C981+C1284))*MAX(0,MIN(1,'Loan Tape'!$AV68)-0)</f>
        <v>0</v>
      </c>
      <c r="D1890" s="99" t="n">
        <f aca="false">D375*MAX(0,D72-0.5*(D678+D981+D1284))*MAX(0,MIN(2,'Loan Tape'!$AV68)-1)</f>
        <v>0</v>
      </c>
      <c r="E1890" s="99" t="n">
        <f aca="false">E375*MAX(0,E72-0.5*(E678+E981+E1284))*MAX(0,MIN(3,'Loan Tape'!$AV68)-2)</f>
        <v>0</v>
      </c>
      <c r="F1890" s="99" t="n">
        <f aca="false">F375*MAX(0,F72-0.5*(F678+F981+F1284))*MAX(0,MIN(4,'Loan Tape'!$AV68)-3)</f>
        <v>0</v>
      </c>
      <c r="G1890" s="99" t="n">
        <f aca="false">G375*MAX(0,G72-0.5*(G678+G981+G1284))*MAX(0,MIN(5,'Loan Tape'!$AV68)-4)</f>
        <v>0</v>
      </c>
      <c r="H1890" s="99" t="n">
        <f aca="false">H375*MAX(0,H72-0.5*(H678+H981+H1284))*MAX(0,MIN(6,'Loan Tape'!$AV68)-5)</f>
        <v>0</v>
      </c>
      <c r="I1890" s="99" t="n">
        <f aca="false">I375*MAX(0,I72-0.5*(I678+I981+I1284))*MAX(0,MIN(7,'Loan Tape'!$AV68)-6)</f>
        <v>0</v>
      </c>
      <c r="J1890" s="99" t="n">
        <f aca="false">J375*MAX(0,J72-0.5*(J678+J981+J1284))*MAX(0,MIN(8,'Loan Tape'!$AV68)-7)</f>
        <v>0</v>
      </c>
      <c r="K1890" s="99" t="n">
        <f aca="false">K375*MAX(0,K72-0.5*(K678+K981+K1284))*MAX(0,MIN(9,'Loan Tape'!$AV68)-8)</f>
        <v>0</v>
      </c>
      <c r="L1890" s="99" t="n">
        <f aca="false">L375*MAX(0,L72-0.5*(L678+L981+L1284))*MAX(0,MIN(10,'Loan Tape'!$AV68)-9)</f>
        <v>0</v>
      </c>
    </row>
    <row r="1891" customFormat="false" ht="15" hidden="false" customHeight="false" outlineLevel="0" collapsed="false">
      <c r="B1891" s="108" t="n">
        <f aca="false">'Loan Tape'!$A69</f>
        <v>0</v>
      </c>
      <c r="C1891" s="71" t="n">
        <f aca="false">C376*MAX(0,C73-0.5*(C679+C982+C1285))*MAX(0,MIN(1,'Loan Tape'!$AV69)-0)</f>
        <v>0</v>
      </c>
      <c r="D1891" s="71" t="n">
        <f aca="false">D376*MAX(0,D73-0.5*(D679+D982+D1285))*MAX(0,MIN(2,'Loan Tape'!$AV69)-1)</f>
        <v>0</v>
      </c>
      <c r="E1891" s="71" t="n">
        <f aca="false">E376*MAX(0,E73-0.5*(E679+E982+E1285))*MAX(0,MIN(3,'Loan Tape'!$AV69)-2)</f>
        <v>0</v>
      </c>
      <c r="F1891" s="71" t="n">
        <f aca="false">F376*MAX(0,F73-0.5*(F679+F982+F1285))*MAX(0,MIN(4,'Loan Tape'!$AV69)-3)</f>
        <v>0</v>
      </c>
      <c r="G1891" s="71" t="n">
        <f aca="false">G376*MAX(0,G73-0.5*(G679+G982+G1285))*MAX(0,MIN(5,'Loan Tape'!$AV69)-4)</f>
        <v>0</v>
      </c>
      <c r="H1891" s="71" t="n">
        <f aca="false">H376*MAX(0,H73-0.5*(H679+H982+H1285))*MAX(0,MIN(6,'Loan Tape'!$AV69)-5)</f>
        <v>0</v>
      </c>
      <c r="I1891" s="71" t="n">
        <f aca="false">I376*MAX(0,I73-0.5*(I679+I982+I1285))*MAX(0,MIN(7,'Loan Tape'!$AV69)-6)</f>
        <v>0</v>
      </c>
      <c r="J1891" s="71" t="n">
        <f aca="false">J376*MAX(0,J73-0.5*(J679+J982+J1285))*MAX(0,MIN(8,'Loan Tape'!$AV69)-7)</f>
        <v>0</v>
      </c>
      <c r="K1891" s="71" t="n">
        <f aca="false">K376*MAX(0,K73-0.5*(K679+K982+K1285))*MAX(0,MIN(9,'Loan Tape'!$AV69)-8)</f>
        <v>0</v>
      </c>
      <c r="L1891" s="71" t="n">
        <f aca="false">L376*MAX(0,L73-0.5*(L679+L982+L1285))*MAX(0,MIN(10,'Loan Tape'!$AV69)-9)</f>
        <v>0</v>
      </c>
    </row>
    <row r="1892" customFormat="false" ht="15" hidden="false" customHeight="false" outlineLevel="0" collapsed="false">
      <c r="B1892" s="102" t="n">
        <f aca="false">'Loan Tape'!$A70</f>
        <v>0</v>
      </c>
      <c r="C1892" s="99" t="n">
        <f aca="false">C377*MAX(0,C74-0.5*(C680+C983+C1286))*MAX(0,MIN(1,'Loan Tape'!$AV70)-0)</f>
        <v>0</v>
      </c>
      <c r="D1892" s="99" t="n">
        <f aca="false">D377*MAX(0,D74-0.5*(D680+D983+D1286))*MAX(0,MIN(2,'Loan Tape'!$AV70)-1)</f>
        <v>0</v>
      </c>
      <c r="E1892" s="99" t="n">
        <f aca="false">E377*MAX(0,E74-0.5*(E680+E983+E1286))*MAX(0,MIN(3,'Loan Tape'!$AV70)-2)</f>
        <v>0</v>
      </c>
      <c r="F1892" s="99" t="n">
        <f aca="false">F377*MAX(0,F74-0.5*(F680+F983+F1286))*MAX(0,MIN(4,'Loan Tape'!$AV70)-3)</f>
        <v>0</v>
      </c>
      <c r="G1892" s="99" t="n">
        <f aca="false">G377*MAX(0,G74-0.5*(G680+G983+G1286))*MAX(0,MIN(5,'Loan Tape'!$AV70)-4)</f>
        <v>0</v>
      </c>
      <c r="H1892" s="99" t="n">
        <f aca="false">H377*MAX(0,H74-0.5*(H680+H983+H1286))*MAX(0,MIN(6,'Loan Tape'!$AV70)-5)</f>
        <v>0</v>
      </c>
      <c r="I1892" s="99" t="n">
        <f aca="false">I377*MAX(0,I74-0.5*(I680+I983+I1286))*MAX(0,MIN(7,'Loan Tape'!$AV70)-6)</f>
        <v>0</v>
      </c>
      <c r="J1892" s="99" t="n">
        <f aca="false">J377*MAX(0,J74-0.5*(J680+J983+J1286))*MAX(0,MIN(8,'Loan Tape'!$AV70)-7)</f>
        <v>0</v>
      </c>
      <c r="K1892" s="99" t="n">
        <f aca="false">K377*MAX(0,K74-0.5*(K680+K983+K1286))*MAX(0,MIN(9,'Loan Tape'!$AV70)-8)</f>
        <v>0</v>
      </c>
      <c r="L1892" s="99" t="n">
        <f aca="false">L377*MAX(0,L74-0.5*(L680+L983+L1286))*MAX(0,MIN(10,'Loan Tape'!$AV70)-9)</f>
        <v>0</v>
      </c>
    </row>
    <row r="1893" customFormat="false" ht="15" hidden="false" customHeight="false" outlineLevel="0" collapsed="false">
      <c r="B1893" s="108" t="n">
        <f aca="false">'Loan Tape'!$A71</f>
        <v>0</v>
      </c>
      <c r="C1893" s="71" t="n">
        <f aca="false">C378*MAX(0,C75-0.5*(C681+C984+C1287))*MAX(0,MIN(1,'Loan Tape'!$AV71)-0)</f>
        <v>0</v>
      </c>
      <c r="D1893" s="71" t="n">
        <f aca="false">D378*MAX(0,D75-0.5*(D681+D984+D1287))*MAX(0,MIN(2,'Loan Tape'!$AV71)-1)</f>
        <v>0</v>
      </c>
      <c r="E1893" s="71" t="n">
        <f aca="false">E378*MAX(0,E75-0.5*(E681+E984+E1287))*MAX(0,MIN(3,'Loan Tape'!$AV71)-2)</f>
        <v>0</v>
      </c>
      <c r="F1893" s="71" t="n">
        <f aca="false">F378*MAX(0,F75-0.5*(F681+F984+F1287))*MAX(0,MIN(4,'Loan Tape'!$AV71)-3)</f>
        <v>0</v>
      </c>
      <c r="G1893" s="71" t="n">
        <f aca="false">G378*MAX(0,G75-0.5*(G681+G984+G1287))*MAX(0,MIN(5,'Loan Tape'!$AV71)-4)</f>
        <v>0</v>
      </c>
      <c r="H1893" s="71" t="n">
        <f aca="false">H378*MAX(0,H75-0.5*(H681+H984+H1287))*MAX(0,MIN(6,'Loan Tape'!$AV71)-5)</f>
        <v>0</v>
      </c>
      <c r="I1893" s="71" t="n">
        <f aca="false">I378*MAX(0,I75-0.5*(I681+I984+I1287))*MAX(0,MIN(7,'Loan Tape'!$AV71)-6)</f>
        <v>0</v>
      </c>
      <c r="J1893" s="71" t="n">
        <f aca="false">J378*MAX(0,J75-0.5*(J681+J984+J1287))*MAX(0,MIN(8,'Loan Tape'!$AV71)-7)</f>
        <v>0</v>
      </c>
      <c r="K1893" s="71" t="n">
        <f aca="false">K378*MAX(0,K75-0.5*(K681+K984+K1287))*MAX(0,MIN(9,'Loan Tape'!$AV71)-8)</f>
        <v>0</v>
      </c>
      <c r="L1893" s="71" t="n">
        <f aca="false">L378*MAX(0,L75-0.5*(L681+L984+L1287))*MAX(0,MIN(10,'Loan Tape'!$AV71)-9)</f>
        <v>0</v>
      </c>
    </row>
    <row r="1894" customFormat="false" ht="15" hidden="false" customHeight="false" outlineLevel="0" collapsed="false">
      <c r="B1894" s="102" t="n">
        <f aca="false">'Loan Tape'!$A72</f>
        <v>0</v>
      </c>
      <c r="C1894" s="99" t="n">
        <f aca="false">C379*MAX(0,C76-0.5*(C682+C985+C1288))*MAX(0,MIN(1,'Loan Tape'!$AV72)-0)</f>
        <v>0</v>
      </c>
      <c r="D1894" s="99" t="n">
        <f aca="false">D379*MAX(0,D76-0.5*(D682+D985+D1288))*MAX(0,MIN(2,'Loan Tape'!$AV72)-1)</f>
        <v>0</v>
      </c>
      <c r="E1894" s="99" t="n">
        <f aca="false">E379*MAX(0,E76-0.5*(E682+E985+E1288))*MAX(0,MIN(3,'Loan Tape'!$AV72)-2)</f>
        <v>0</v>
      </c>
      <c r="F1894" s="99" t="n">
        <f aca="false">F379*MAX(0,F76-0.5*(F682+F985+F1288))*MAX(0,MIN(4,'Loan Tape'!$AV72)-3)</f>
        <v>0</v>
      </c>
      <c r="G1894" s="99" t="n">
        <f aca="false">G379*MAX(0,G76-0.5*(G682+G985+G1288))*MAX(0,MIN(5,'Loan Tape'!$AV72)-4)</f>
        <v>0</v>
      </c>
      <c r="H1894" s="99" t="n">
        <f aca="false">H379*MAX(0,H76-0.5*(H682+H985+H1288))*MAX(0,MIN(6,'Loan Tape'!$AV72)-5)</f>
        <v>0</v>
      </c>
      <c r="I1894" s="99" t="n">
        <f aca="false">I379*MAX(0,I76-0.5*(I682+I985+I1288))*MAX(0,MIN(7,'Loan Tape'!$AV72)-6)</f>
        <v>0</v>
      </c>
      <c r="J1894" s="99" t="n">
        <f aca="false">J379*MAX(0,J76-0.5*(J682+J985+J1288))*MAX(0,MIN(8,'Loan Tape'!$AV72)-7)</f>
        <v>0</v>
      </c>
      <c r="K1894" s="99" t="n">
        <f aca="false">K379*MAX(0,K76-0.5*(K682+K985+K1288))*MAX(0,MIN(9,'Loan Tape'!$AV72)-8)</f>
        <v>0</v>
      </c>
      <c r="L1894" s="99" t="n">
        <f aca="false">L379*MAX(0,L76-0.5*(L682+L985+L1288))*MAX(0,MIN(10,'Loan Tape'!$AV72)-9)</f>
        <v>0</v>
      </c>
    </row>
    <row r="1895" customFormat="false" ht="15" hidden="false" customHeight="false" outlineLevel="0" collapsed="false">
      <c r="B1895" s="108" t="n">
        <f aca="false">'Loan Tape'!$A73</f>
        <v>0</v>
      </c>
      <c r="C1895" s="71" t="n">
        <f aca="false">C380*MAX(0,C77-0.5*(C683+C986+C1289))*MAX(0,MIN(1,'Loan Tape'!$AV73)-0)</f>
        <v>0</v>
      </c>
      <c r="D1895" s="71" t="n">
        <f aca="false">D380*MAX(0,D77-0.5*(D683+D986+D1289))*MAX(0,MIN(2,'Loan Tape'!$AV73)-1)</f>
        <v>0</v>
      </c>
      <c r="E1895" s="71" t="n">
        <f aca="false">E380*MAX(0,E77-0.5*(E683+E986+E1289))*MAX(0,MIN(3,'Loan Tape'!$AV73)-2)</f>
        <v>0</v>
      </c>
      <c r="F1895" s="71" t="n">
        <f aca="false">F380*MAX(0,F77-0.5*(F683+F986+F1289))*MAX(0,MIN(4,'Loan Tape'!$AV73)-3)</f>
        <v>0</v>
      </c>
      <c r="G1895" s="71" t="n">
        <f aca="false">G380*MAX(0,G77-0.5*(G683+G986+G1289))*MAX(0,MIN(5,'Loan Tape'!$AV73)-4)</f>
        <v>0</v>
      </c>
      <c r="H1895" s="71" t="n">
        <f aca="false">H380*MAX(0,H77-0.5*(H683+H986+H1289))*MAX(0,MIN(6,'Loan Tape'!$AV73)-5)</f>
        <v>0</v>
      </c>
      <c r="I1895" s="71" t="n">
        <f aca="false">I380*MAX(0,I77-0.5*(I683+I986+I1289))*MAX(0,MIN(7,'Loan Tape'!$AV73)-6)</f>
        <v>0</v>
      </c>
      <c r="J1895" s="71" t="n">
        <f aca="false">J380*MAX(0,J77-0.5*(J683+J986+J1289))*MAX(0,MIN(8,'Loan Tape'!$AV73)-7)</f>
        <v>0</v>
      </c>
      <c r="K1895" s="71" t="n">
        <f aca="false">K380*MAX(0,K77-0.5*(K683+K986+K1289))*MAX(0,MIN(9,'Loan Tape'!$AV73)-8)</f>
        <v>0</v>
      </c>
      <c r="L1895" s="71" t="n">
        <f aca="false">L380*MAX(0,L77-0.5*(L683+L986+L1289))*MAX(0,MIN(10,'Loan Tape'!$AV73)-9)</f>
        <v>0</v>
      </c>
    </row>
    <row r="1896" customFormat="false" ht="15" hidden="false" customHeight="false" outlineLevel="0" collapsed="false">
      <c r="B1896" s="102" t="n">
        <f aca="false">'Loan Tape'!$A74</f>
        <v>0</v>
      </c>
      <c r="C1896" s="99" t="n">
        <f aca="false">C381*MAX(0,C78-0.5*(C684+C987+C1290))*MAX(0,MIN(1,'Loan Tape'!$AV74)-0)</f>
        <v>0</v>
      </c>
      <c r="D1896" s="99" t="n">
        <f aca="false">D381*MAX(0,D78-0.5*(D684+D987+D1290))*MAX(0,MIN(2,'Loan Tape'!$AV74)-1)</f>
        <v>0</v>
      </c>
      <c r="E1896" s="99" t="n">
        <f aca="false">E381*MAX(0,E78-0.5*(E684+E987+E1290))*MAX(0,MIN(3,'Loan Tape'!$AV74)-2)</f>
        <v>0</v>
      </c>
      <c r="F1896" s="99" t="n">
        <f aca="false">F381*MAX(0,F78-0.5*(F684+F987+F1290))*MAX(0,MIN(4,'Loan Tape'!$AV74)-3)</f>
        <v>0</v>
      </c>
      <c r="G1896" s="99" t="n">
        <f aca="false">G381*MAX(0,G78-0.5*(G684+G987+G1290))*MAX(0,MIN(5,'Loan Tape'!$AV74)-4)</f>
        <v>0</v>
      </c>
      <c r="H1896" s="99" t="n">
        <f aca="false">H381*MAX(0,H78-0.5*(H684+H987+H1290))*MAX(0,MIN(6,'Loan Tape'!$AV74)-5)</f>
        <v>0</v>
      </c>
      <c r="I1896" s="99" t="n">
        <f aca="false">I381*MAX(0,I78-0.5*(I684+I987+I1290))*MAX(0,MIN(7,'Loan Tape'!$AV74)-6)</f>
        <v>0</v>
      </c>
      <c r="J1896" s="99" t="n">
        <f aca="false">J381*MAX(0,J78-0.5*(J684+J987+J1290))*MAX(0,MIN(8,'Loan Tape'!$AV74)-7)</f>
        <v>0</v>
      </c>
      <c r="K1896" s="99" t="n">
        <f aca="false">K381*MAX(0,K78-0.5*(K684+K987+K1290))*MAX(0,MIN(9,'Loan Tape'!$AV74)-8)</f>
        <v>0</v>
      </c>
      <c r="L1896" s="99" t="n">
        <f aca="false">L381*MAX(0,L78-0.5*(L684+L987+L1290))*MAX(0,MIN(10,'Loan Tape'!$AV74)-9)</f>
        <v>0</v>
      </c>
    </row>
    <row r="1897" customFormat="false" ht="15" hidden="false" customHeight="false" outlineLevel="0" collapsed="false">
      <c r="B1897" s="108" t="n">
        <f aca="false">'Loan Tape'!$A75</f>
        <v>0</v>
      </c>
      <c r="C1897" s="71" t="n">
        <f aca="false">C382*MAX(0,C79-0.5*(C685+C988+C1291))*MAX(0,MIN(1,'Loan Tape'!$AV75)-0)</f>
        <v>0</v>
      </c>
      <c r="D1897" s="71" t="n">
        <f aca="false">D382*MAX(0,D79-0.5*(D685+D988+D1291))*MAX(0,MIN(2,'Loan Tape'!$AV75)-1)</f>
        <v>0</v>
      </c>
      <c r="E1897" s="71" t="n">
        <f aca="false">E382*MAX(0,E79-0.5*(E685+E988+E1291))*MAX(0,MIN(3,'Loan Tape'!$AV75)-2)</f>
        <v>0</v>
      </c>
      <c r="F1897" s="71" t="n">
        <f aca="false">F382*MAX(0,F79-0.5*(F685+F988+F1291))*MAX(0,MIN(4,'Loan Tape'!$AV75)-3)</f>
        <v>0</v>
      </c>
      <c r="G1897" s="71" t="n">
        <f aca="false">G382*MAX(0,G79-0.5*(G685+G988+G1291))*MAX(0,MIN(5,'Loan Tape'!$AV75)-4)</f>
        <v>0</v>
      </c>
      <c r="H1897" s="71" t="n">
        <f aca="false">H382*MAX(0,H79-0.5*(H685+H988+H1291))*MAX(0,MIN(6,'Loan Tape'!$AV75)-5)</f>
        <v>0</v>
      </c>
      <c r="I1897" s="71" t="n">
        <f aca="false">I382*MAX(0,I79-0.5*(I685+I988+I1291))*MAX(0,MIN(7,'Loan Tape'!$AV75)-6)</f>
        <v>0</v>
      </c>
      <c r="J1897" s="71" t="n">
        <f aca="false">J382*MAX(0,J79-0.5*(J685+J988+J1291))*MAX(0,MIN(8,'Loan Tape'!$AV75)-7)</f>
        <v>0</v>
      </c>
      <c r="K1897" s="71" t="n">
        <f aca="false">K382*MAX(0,K79-0.5*(K685+K988+K1291))*MAX(0,MIN(9,'Loan Tape'!$AV75)-8)</f>
        <v>0</v>
      </c>
      <c r="L1897" s="71" t="n">
        <f aca="false">L382*MAX(0,L79-0.5*(L685+L988+L1291))*MAX(0,MIN(10,'Loan Tape'!$AV75)-9)</f>
        <v>0</v>
      </c>
    </row>
    <row r="1898" customFormat="false" ht="15" hidden="false" customHeight="false" outlineLevel="0" collapsed="false">
      <c r="B1898" s="102" t="n">
        <f aca="false">'Loan Tape'!$A76</f>
        <v>0</v>
      </c>
      <c r="C1898" s="99" t="n">
        <f aca="false">C383*MAX(0,C80-0.5*(C686+C989+C1292))*MAX(0,MIN(1,'Loan Tape'!$AV76)-0)</f>
        <v>0</v>
      </c>
      <c r="D1898" s="99" t="n">
        <f aca="false">D383*MAX(0,D80-0.5*(D686+D989+D1292))*MAX(0,MIN(2,'Loan Tape'!$AV76)-1)</f>
        <v>0</v>
      </c>
      <c r="E1898" s="99" t="n">
        <f aca="false">E383*MAX(0,E80-0.5*(E686+E989+E1292))*MAX(0,MIN(3,'Loan Tape'!$AV76)-2)</f>
        <v>0</v>
      </c>
      <c r="F1898" s="99" t="n">
        <f aca="false">F383*MAX(0,F80-0.5*(F686+F989+F1292))*MAX(0,MIN(4,'Loan Tape'!$AV76)-3)</f>
        <v>0</v>
      </c>
      <c r="G1898" s="99" t="n">
        <f aca="false">G383*MAX(0,G80-0.5*(G686+G989+G1292))*MAX(0,MIN(5,'Loan Tape'!$AV76)-4)</f>
        <v>0</v>
      </c>
      <c r="H1898" s="99" t="n">
        <f aca="false">H383*MAX(0,H80-0.5*(H686+H989+H1292))*MAX(0,MIN(6,'Loan Tape'!$AV76)-5)</f>
        <v>0</v>
      </c>
      <c r="I1898" s="99" t="n">
        <f aca="false">I383*MAX(0,I80-0.5*(I686+I989+I1292))*MAX(0,MIN(7,'Loan Tape'!$AV76)-6)</f>
        <v>0</v>
      </c>
      <c r="J1898" s="99" t="n">
        <f aca="false">J383*MAX(0,J80-0.5*(J686+J989+J1292))*MAX(0,MIN(8,'Loan Tape'!$AV76)-7)</f>
        <v>0</v>
      </c>
      <c r="K1898" s="99" t="n">
        <f aca="false">K383*MAX(0,K80-0.5*(K686+K989+K1292))*MAX(0,MIN(9,'Loan Tape'!$AV76)-8)</f>
        <v>0</v>
      </c>
      <c r="L1898" s="99" t="n">
        <f aca="false">L383*MAX(0,L80-0.5*(L686+L989+L1292))*MAX(0,MIN(10,'Loan Tape'!$AV76)-9)</f>
        <v>0</v>
      </c>
    </row>
    <row r="1899" customFormat="false" ht="15" hidden="false" customHeight="false" outlineLevel="0" collapsed="false">
      <c r="B1899" s="108" t="n">
        <f aca="false">'Loan Tape'!$A77</f>
        <v>0</v>
      </c>
      <c r="C1899" s="71" t="n">
        <f aca="false">C384*MAX(0,C81-0.5*(C687+C990+C1293))*MAX(0,MIN(1,'Loan Tape'!$AV77)-0)</f>
        <v>0</v>
      </c>
      <c r="D1899" s="71" t="n">
        <f aca="false">D384*MAX(0,D81-0.5*(D687+D990+D1293))*MAX(0,MIN(2,'Loan Tape'!$AV77)-1)</f>
        <v>0</v>
      </c>
      <c r="E1899" s="71" t="n">
        <f aca="false">E384*MAX(0,E81-0.5*(E687+E990+E1293))*MAX(0,MIN(3,'Loan Tape'!$AV77)-2)</f>
        <v>0</v>
      </c>
      <c r="F1899" s="71" t="n">
        <f aca="false">F384*MAX(0,F81-0.5*(F687+F990+F1293))*MAX(0,MIN(4,'Loan Tape'!$AV77)-3)</f>
        <v>0</v>
      </c>
      <c r="G1899" s="71" t="n">
        <f aca="false">G384*MAX(0,G81-0.5*(G687+G990+G1293))*MAX(0,MIN(5,'Loan Tape'!$AV77)-4)</f>
        <v>0</v>
      </c>
      <c r="H1899" s="71" t="n">
        <f aca="false">H384*MAX(0,H81-0.5*(H687+H990+H1293))*MAX(0,MIN(6,'Loan Tape'!$AV77)-5)</f>
        <v>0</v>
      </c>
      <c r="I1899" s="71" t="n">
        <f aca="false">I384*MAX(0,I81-0.5*(I687+I990+I1293))*MAX(0,MIN(7,'Loan Tape'!$AV77)-6)</f>
        <v>0</v>
      </c>
      <c r="J1899" s="71" t="n">
        <f aca="false">J384*MAX(0,J81-0.5*(J687+J990+J1293))*MAX(0,MIN(8,'Loan Tape'!$AV77)-7)</f>
        <v>0</v>
      </c>
      <c r="K1899" s="71" t="n">
        <f aca="false">K384*MAX(0,K81-0.5*(K687+K990+K1293))*MAX(0,MIN(9,'Loan Tape'!$AV77)-8)</f>
        <v>0</v>
      </c>
      <c r="L1899" s="71" t="n">
        <f aca="false">L384*MAX(0,L81-0.5*(L687+L990+L1293))*MAX(0,MIN(10,'Loan Tape'!$AV77)-9)</f>
        <v>0</v>
      </c>
    </row>
    <row r="1900" customFormat="false" ht="15" hidden="false" customHeight="false" outlineLevel="0" collapsed="false">
      <c r="B1900" s="102" t="n">
        <f aca="false">'Loan Tape'!$A78</f>
        <v>0</v>
      </c>
      <c r="C1900" s="99" t="n">
        <f aca="false">C385*MAX(0,C82-0.5*(C688+C991+C1294))*MAX(0,MIN(1,'Loan Tape'!$AV78)-0)</f>
        <v>0</v>
      </c>
      <c r="D1900" s="99" t="n">
        <f aca="false">D385*MAX(0,D82-0.5*(D688+D991+D1294))*MAX(0,MIN(2,'Loan Tape'!$AV78)-1)</f>
        <v>0</v>
      </c>
      <c r="E1900" s="99" t="n">
        <f aca="false">E385*MAX(0,E82-0.5*(E688+E991+E1294))*MAX(0,MIN(3,'Loan Tape'!$AV78)-2)</f>
        <v>0</v>
      </c>
      <c r="F1900" s="99" t="n">
        <f aca="false">F385*MAX(0,F82-0.5*(F688+F991+F1294))*MAX(0,MIN(4,'Loan Tape'!$AV78)-3)</f>
        <v>0</v>
      </c>
      <c r="G1900" s="99" t="n">
        <f aca="false">G385*MAX(0,G82-0.5*(G688+G991+G1294))*MAX(0,MIN(5,'Loan Tape'!$AV78)-4)</f>
        <v>0</v>
      </c>
      <c r="H1900" s="99" t="n">
        <f aca="false">H385*MAX(0,H82-0.5*(H688+H991+H1294))*MAX(0,MIN(6,'Loan Tape'!$AV78)-5)</f>
        <v>0</v>
      </c>
      <c r="I1900" s="99" t="n">
        <f aca="false">I385*MAX(0,I82-0.5*(I688+I991+I1294))*MAX(0,MIN(7,'Loan Tape'!$AV78)-6)</f>
        <v>0</v>
      </c>
      <c r="J1900" s="99" t="n">
        <f aca="false">J385*MAX(0,J82-0.5*(J688+J991+J1294))*MAX(0,MIN(8,'Loan Tape'!$AV78)-7)</f>
        <v>0</v>
      </c>
      <c r="K1900" s="99" t="n">
        <f aca="false">K385*MAX(0,K82-0.5*(K688+K991+K1294))*MAX(0,MIN(9,'Loan Tape'!$AV78)-8)</f>
        <v>0</v>
      </c>
      <c r="L1900" s="99" t="n">
        <f aca="false">L385*MAX(0,L82-0.5*(L688+L991+L1294))*MAX(0,MIN(10,'Loan Tape'!$AV78)-9)</f>
        <v>0</v>
      </c>
    </row>
    <row r="1901" customFormat="false" ht="15" hidden="false" customHeight="false" outlineLevel="0" collapsed="false">
      <c r="B1901" s="108" t="n">
        <f aca="false">'Loan Tape'!$A79</f>
        <v>0</v>
      </c>
      <c r="C1901" s="71" t="n">
        <f aca="false">C386*MAX(0,C83-0.5*(C689+C992+C1295))*MAX(0,MIN(1,'Loan Tape'!$AV79)-0)</f>
        <v>0</v>
      </c>
      <c r="D1901" s="71" t="n">
        <f aca="false">D386*MAX(0,D83-0.5*(D689+D992+D1295))*MAX(0,MIN(2,'Loan Tape'!$AV79)-1)</f>
        <v>0</v>
      </c>
      <c r="E1901" s="71" t="n">
        <f aca="false">E386*MAX(0,E83-0.5*(E689+E992+E1295))*MAX(0,MIN(3,'Loan Tape'!$AV79)-2)</f>
        <v>0</v>
      </c>
      <c r="F1901" s="71" t="n">
        <f aca="false">F386*MAX(0,F83-0.5*(F689+F992+F1295))*MAX(0,MIN(4,'Loan Tape'!$AV79)-3)</f>
        <v>0</v>
      </c>
      <c r="G1901" s="71" t="n">
        <f aca="false">G386*MAX(0,G83-0.5*(G689+G992+G1295))*MAX(0,MIN(5,'Loan Tape'!$AV79)-4)</f>
        <v>0</v>
      </c>
      <c r="H1901" s="71" t="n">
        <f aca="false">H386*MAX(0,H83-0.5*(H689+H992+H1295))*MAX(0,MIN(6,'Loan Tape'!$AV79)-5)</f>
        <v>0</v>
      </c>
      <c r="I1901" s="71" t="n">
        <f aca="false">I386*MAX(0,I83-0.5*(I689+I992+I1295))*MAX(0,MIN(7,'Loan Tape'!$AV79)-6)</f>
        <v>0</v>
      </c>
      <c r="J1901" s="71" t="n">
        <f aca="false">J386*MAX(0,J83-0.5*(J689+J992+J1295))*MAX(0,MIN(8,'Loan Tape'!$AV79)-7)</f>
        <v>0</v>
      </c>
      <c r="K1901" s="71" t="n">
        <f aca="false">K386*MAX(0,K83-0.5*(K689+K992+K1295))*MAX(0,MIN(9,'Loan Tape'!$AV79)-8)</f>
        <v>0</v>
      </c>
      <c r="L1901" s="71" t="n">
        <f aca="false">L386*MAX(0,L83-0.5*(L689+L992+L1295))*MAX(0,MIN(10,'Loan Tape'!$AV79)-9)</f>
        <v>0</v>
      </c>
    </row>
    <row r="1902" customFormat="false" ht="15" hidden="false" customHeight="false" outlineLevel="0" collapsed="false">
      <c r="B1902" s="102" t="n">
        <f aca="false">'Loan Tape'!$A80</f>
        <v>0</v>
      </c>
      <c r="C1902" s="99" t="n">
        <f aca="false">C387*MAX(0,C84-0.5*(C690+C993+C1296))*MAX(0,MIN(1,'Loan Tape'!$AV80)-0)</f>
        <v>0</v>
      </c>
      <c r="D1902" s="99" t="n">
        <f aca="false">D387*MAX(0,D84-0.5*(D690+D993+D1296))*MAX(0,MIN(2,'Loan Tape'!$AV80)-1)</f>
        <v>0</v>
      </c>
      <c r="E1902" s="99" t="n">
        <f aca="false">E387*MAX(0,E84-0.5*(E690+E993+E1296))*MAX(0,MIN(3,'Loan Tape'!$AV80)-2)</f>
        <v>0</v>
      </c>
      <c r="F1902" s="99" t="n">
        <f aca="false">F387*MAX(0,F84-0.5*(F690+F993+F1296))*MAX(0,MIN(4,'Loan Tape'!$AV80)-3)</f>
        <v>0</v>
      </c>
      <c r="G1902" s="99" t="n">
        <f aca="false">G387*MAX(0,G84-0.5*(G690+G993+G1296))*MAX(0,MIN(5,'Loan Tape'!$AV80)-4)</f>
        <v>0</v>
      </c>
      <c r="H1902" s="99" t="n">
        <f aca="false">H387*MAX(0,H84-0.5*(H690+H993+H1296))*MAX(0,MIN(6,'Loan Tape'!$AV80)-5)</f>
        <v>0</v>
      </c>
      <c r="I1902" s="99" t="n">
        <f aca="false">I387*MAX(0,I84-0.5*(I690+I993+I1296))*MAX(0,MIN(7,'Loan Tape'!$AV80)-6)</f>
        <v>0</v>
      </c>
      <c r="J1902" s="99" t="n">
        <f aca="false">J387*MAX(0,J84-0.5*(J690+J993+J1296))*MAX(0,MIN(8,'Loan Tape'!$AV80)-7)</f>
        <v>0</v>
      </c>
      <c r="K1902" s="99" t="n">
        <f aca="false">K387*MAX(0,K84-0.5*(K690+K993+K1296))*MAX(0,MIN(9,'Loan Tape'!$AV80)-8)</f>
        <v>0</v>
      </c>
      <c r="L1902" s="99" t="n">
        <f aca="false">L387*MAX(0,L84-0.5*(L690+L993+L1296))*MAX(0,MIN(10,'Loan Tape'!$AV80)-9)</f>
        <v>0</v>
      </c>
    </row>
    <row r="1903" customFormat="false" ht="15" hidden="false" customHeight="false" outlineLevel="0" collapsed="false">
      <c r="B1903" s="108" t="n">
        <f aca="false">'Loan Tape'!$A81</f>
        <v>0</v>
      </c>
      <c r="C1903" s="71" t="n">
        <f aca="false">C388*MAX(0,C85-0.5*(C691+C994+C1297))*MAX(0,MIN(1,'Loan Tape'!$AV81)-0)</f>
        <v>0</v>
      </c>
      <c r="D1903" s="71" t="n">
        <f aca="false">D388*MAX(0,D85-0.5*(D691+D994+D1297))*MAX(0,MIN(2,'Loan Tape'!$AV81)-1)</f>
        <v>0</v>
      </c>
      <c r="E1903" s="71" t="n">
        <f aca="false">E388*MAX(0,E85-0.5*(E691+E994+E1297))*MAX(0,MIN(3,'Loan Tape'!$AV81)-2)</f>
        <v>0</v>
      </c>
      <c r="F1903" s="71" t="n">
        <f aca="false">F388*MAX(0,F85-0.5*(F691+F994+F1297))*MAX(0,MIN(4,'Loan Tape'!$AV81)-3)</f>
        <v>0</v>
      </c>
      <c r="G1903" s="71" t="n">
        <f aca="false">G388*MAX(0,G85-0.5*(G691+G994+G1297))*MAX(0,MIN(5,'Loan Tape'!$AV81)-4)</f>
        <v>0</v>
      </c>
      <c r="H1903" s="71" t="n">
        <f aca="false">H388*MAX(0,H85-0.5*(H691+H994+H1297))*MAX(0,MIN(6,'Loan Tape'!$AV81)-5)</f>
        <v>0</v>
      </c>
      <c r="I1903" s="71" t="n">
        <f aca="false">I388*MAX(0,I85-0.5*(I691+I994+I1297))*MAX(0,MIN(7,'Loan Tape'!$AV81)-6)</f>
        <v>0</v>
      </c>
      <c r="J1903" s="71" t="n">
        <f aca="false">J388*MAX(0,J85-0.5*(J691+J994+J1297))*MAX(0,MIN(8,'Loan Tape'!$AV81)-7)</f>
        <v>0</v>
      </c>
      <c r="K1903" s="71" t="n">
        <f aca="false">K388*MAX(0,K85-0.5*(K691+K994+K1297))*MAX(0,MIN(9,'Loan Tape'!$AV81)-8)</f>
        <v>0</v>
      </c>
      <c r="L1903" s="71" t="n">
        <f aca="false">L388*MAX(0,L85-0.5*(L691+L994+L1297))*MAX(0,MIN(10,'Loan Tape'!$AV81)-9)</f>
        <v>0</v>
      </c>
    </row>
    <row r="1904" customFormat="false" ht="15" hidden="false" customHeight="false" outlineLevel="0" collapsed="false">
      <c r="B1904" s="102" t="n">
        <f aca="false">'Loan Tape'!$A82</f>
        <v>0</v>
      </c>
      <c r="C1904" s="99" t="n">
        <f aca="false">C389*MAX(0,C86-0.5*(C692+C995+C1298))*MAX(0,MIN(1,'Loan Tape'!$AV82)-0)</f>
        <v>0</v>
      </c>
      <c r="D1904" s="99" t="n">
        <f aca="false">D389*MAX(0,D86-0.5*(D692+D995+D1298))*MAX(0,MIN(2,'Loan Tape'!$AV82)-1)</f>
        <v>0</v>
      </c>
      <c r="E1904" s="99" t="n">
        <f aca="false">E389*MAX(0,E86-0.5*(E692+E995+E1298))*MAX(0,MIN(3,'Loan Tape'!$AV82)-2)</f>
        <v>0</v>
      </c>
      <c r="F1904" s="99" t="n">
        <f aca="false">F389*MAX(0,F86-0.5*(F692+F995+F1298))*MAX(0,MIN(4,'Loan Tape'!$AV82)-3)</f>
        <v>0</v>
      </c>
      <c r="G1904" s="99" t="n">
        <f aca="false">G389*MAX(0,G86-0.5*(G692+G995+G1298))*MAX(0,MIN(5,'Loan Tape'!$AV82)-4)</f>
        <v>0</v>
      </c>
      <c r="H1904" s="99" t="n">
        <f aca="false">H389*MAX(0,H86-0.5*(H692+H995+H1298))*MAX(0,MIN(6,'Loan Tape'!$AV82)-5)</f>
        <v>0</v>
      </c>
      <c r="I1904" s="99" t="n">
        <f aca="false">I389*MAX(0,I86-0.5*(I692+I995+I1298))*MAX(0,MIN(7,'Loan Tape'!$AV82)-6)</f>
        <v>0</v>
      </c>
      <c r="J1904" s="99" t="n">
        <f aca="false">J389*MAX(0,J86-0.5*(J692+J995+J1298))*MAX(0,MIN(8,'Loan Tape'!$AV82)-7)</f>
        <v>0</v>
      </c>
      <c r="K1904" s="99" t="n">
        <f aca="false">K389*MAX(0,K86-0.5*(K692+K995+K1298))*MAX(0,MIN(9,'Loan Tape'!$AV82)-8)</f>
        <v>0</v>
      </c>
      <c r="L1904" s="99" t="n">
        <f aca="false">L389*MAX(0,L86-0.5*(L692+L995+L1298))*MAX(0,MIN(10,'Loan Tape'!$AV82)-9)</f>
        <v>0</v>
      </c>
    </row>
    <row r="1905" customFormat="false" ht="15" hidden="false" customHeight="false" outlineLevel="0" collapsed="false">
      <c r="B1905" s="108" t="n">
        <f aca="false">'Loan Tape'!$A83</f>
        <v>0</v>
      </c>
      <c r="C1905" s="71" t="n">
        <f aca="false">C390*MAX(0,C87-0.5*(C693+C996+C1299))*MAX(0,MIN(1,'Loan Tape'!$AV83)-0)</f>
        <v>0</v>
      </c>
      <c r="D1905" s="71" t="n">
        <f aca="false">D390*MAX(0,D87-0.5*(D693+D996+D1299))*MAX(0,MIN(2,'Loan Tape'!$AV83)-1)</f>
        <v>0</v>
      </c>
      <c r="E1905" s="71" t="n">
        <f aca="false">E390*MAX(0,E87-0.5*(E693+E996+E1299))*MAX(0,MIN(3,'Loan Tape'!$AV83)-2)</f>
        <v>0</v>
      </c>
      <c r="F1905" s="71" t="n">
        <f aca="false">F390*MAX(0,F87-0.5*(F693+F996+F1299))*MAX(0,MIN(4,'Loan Tape'!$AV83)-3)</f>
        <v>0</v>
      </c>
      <c r="G1905" s="71" t="n">
        <f aca="false">G390*MAX(0,G87-0.5*(G693+G996+G1299))*MAX(0,MIN(5,'Loan Tape'!$AV83)-4)</f>
        <v>0</v>
      </c>
      <c r="H1905" s="71" t="n">
        <f aca="false">H390*MAX(0,H87-0.5*(H693+H996+H1299))*MAX(0,MIN(6,'Loan Tape'!$AV83)-5)</f>
        <v>0</v>
      </c>
      <c r="I1905" s="71" t="n">
        <f aca="false">I390*MAX(0,I87-0.5*(I693+I996+I1299))*MAX(0,MIN(7,'Loan Tape'!$AV83)-6)</f>
        <v>0</v>
      </c>
      <c r="J1905" s="71" t="n">
        <f aca="false">J390*MAX(0,J87-0.5*(J693+J996+J1299))*MAX(0,MIN(8,'Loan Tape'!$AV83)-7)</f>
        <v>0</v>
      </c>
      <c r="K1905" s="71" t="n">
        <f aca="false">K390*MAX(0,K87-0.5*(K693+K996+K1299))*MAX(0,MIN(9,'Loan Tape'!$AV83)-8)</f>
        <v>0</v>
      </c>
      <c r="L1905" s="71" t="n">
        <f aca="false">L390*MAX(0,L87-0.5*(L693+L996+L1299))*MAX(0,MIN(10,'Loan Tape'!$AV83)-9)</f>
        <v>0</v>
      </c>
    </row>
    <row r="1906" customFormat="false" ht="15" hidden="false" customHeight="false" outlineLevel="0" collapsed="false">
      <c r="B1906" s="102" t="n">
        <f aca="false">'Loan Tape'!$A84</f>
        <v>0</v>
      </c>
      <c r="C1906" s="99" t="n">
        <f aca="false">C391*MAX(0,C88-0.5*(C694+C997+C1300))*MAX(0,MIN(1,'Loan Tape'!$AV84)-0)</f>
        <v>0</v>
      </c>
      <c r="D1906" s="99" t="n">
        <f aca="false">D391*MAX(0,D88-0.5*(D694+D997+D1300))*MAX(0,MIN(2,'Loan Tape'!$AV84)-1)</f>
        <v>0</v>
      </c>
      <c r="E1906" s="99" t="n">
        <f aca="false">E391*MAX(0,E88-0.5*(E694+E997+E1300))*MAX(0,MIN(3,'Loan Tape'!$AV84)-2)</f>
        <v>0</v>
      </c>
      <c r="F1906" s="99" t="n">
        <f aca="false">F391*MAX(0,F88-0.5*(F694+F997+F1300))*MAX(0,MIN(4,'Loan Tape'!$AV84)-3)</f>
        <v>0</v>
      </c>
      <c r="G1906" s="99" t="n">
        <f aca="false">G391*MAX(0,G88-0.5*(G694+G997+G1300))*MAX(0,MIN(5,'Loan Tape'!$AV84)-4)</f>
        <v>0</v>
      </c>
      <c r="H1906" s="99" t="n">
        <f aca="false">H391*MAX(0,H88-0.5*(H694+H997+H1300))*MAX(0,MIN(6,'Loan Tape'!$AV84)-5)</f>
        <v>0</v>
      </c>
      <c r="I1906" s="99" t="n">
        <f aca="false">I391*MAX(0,I88-0.5*(I694+I997+I1300))*MAX(0,MIN(7,'Loan Tape'!$AV84)-6)</f>
        <v>0</v>
      </c>
      <c r="J1906" s="99" t="n">
        <f aca="false">J391*MAX(0,J88-0.5*(J694+J997+J1300))*MAX(0,MIN(8,'Loan Tape'!$AV84)-7)</f>
        <v>0</v>
      </c>
      <c r="K1906" s="99" t="n">
        <f aca="false">K391*MAX(0,K88-0.5*(K694+K997+K1300))*MAX(0,MIN(9,'Loan Tape'!$AV84)-8)</f>
        <v>0</v>
      </c>
      <c r="L1906" s="99" t="n">
        <f aca="false">L391*MAX(0,L88-0.5*(L694+L997+L1300))*MAX(0,MIN(10,'Loan Tape'!$AV84)-9)</f>
        <v>0</v>
      </c>
    </row>
    <row r="1907" customFormat="false" ht="15" hidden="false" customHeight="false" outlineLevel="0" collapsed="false">
      <c r="B1907" s="108" t="n">
        <f aca="false">'Loan Tape'!$A85</f>
        <v>0</v>
      </c>
      <c r="C1907" s="71" t="n">
        <f aca="false">C392*MAX(0,C89-0.5*(C695+C998+C1301))*MAX(0,MIN(1,'Loan Tape'!$AV85)-0)</f>
        <v>0</v>
      </c>
      <c r="D1907" s="71" t="n">
        <f aca="false">D392*MAX(0,D89-0.5*(D695+D998+D1301))*MAX(0,MIN(2,'Loan Tape'!$AV85)-1)</f>
        <v>0</v>
      </c>
      <c r="E1907" s="71" t="n">
        <f aca="false">E392*MAX(0,E89-0.5*(E695+E998+E1301))*MAX(0,MIN(3,'Loan Tape'!$AV85)-2)</f>
        <v>0</v>
      </c>
      <c r="F1907" s="71" t="n">
        <f aca="false">F392*MAX(0,F89-0.5*(F695+F998+F1301))*MAX(0,MIN(4,'Loan Tape'!$AV85)-3)</f>
        <v>0</v>
      </c>
      <c r="G1907" s="71" t="n">
        <f aca="false">G392*MAX(0,G89-0.5*(G695+G998+G1301))*MAX(0,MIN(5,'Loan Tape'!$AV85)-4)</f>
        <v>0</v>
      </c>
      <c r="H1907" s="71" t="n">
        <f aca="false">H392*MAX(0,H89-0.5*(H695+H998+H1301))*MAX(0,MIN(6,'Loan Tape'!$AV85)-5)</f>
        <v>0</v>
      </c>
      <c r="I1907" s="71" t="n">
        <f aca="false">I392*MAX(0,I89-0.5*(I695+I998+I1301))*MAX(0,MIN(7,'Loan Tape'!$AV85)-6)</f>
        <v>0</v>
      </c>
      <c r="J1907" s="71" t="n">
        <f aca="false">J392*MAX(0,J89-0.5*(J695+J998+J1301))*MAX(0,MIN(8,'Loan Tape'!$AV85)-7)</f>
        <v>0</v>
      </c>
      <c r="K1907" s="71" t="n">
        <f aca="false">K392*MAX(0,K89-0.5*(K695+K998+K1301))*MAX(0,MIN(9,'Loan Tape'!$AV85)-8)</f>
        <v>0</v>
      </c>
      <c r="L1907" s="71" t="n">
        <f aca="false">L392*MAX(0,L89-0.5*(L695+L998+L1301))*MAX(0,MIN(10,'Loan Tape'!$AV85)-9)</f>
        <v>0</v>
      </c>
    </row>
    <row r="1908" customFormat="false" ht="15" hidden="false" customHeight="false" outlineLevel="0" collapsed="false">
      <c r="B1908" s="102" t="n">
        <f aca="false">'Loan Tape'!$A86</f>
        <v>0</v>
      </c>
      <c r="C1908" s="99" t="n">
        <f aca="false">C393*MAX(0,C90-0.5*(C696+C999+C1302))*MAX(0,MIN(1,'Loan Tape'!$AV86)-0)</f>
        <v>0</v>
      </c>
      <c r="D1908" s="99" t="n">
        <f aca="false">D393*MAX(0,D90-0.5*(D696+D999+D1302))*MAX(0,MIN(2,'Loan Tape'!$AV86)-1)</f>
        <v>0</v>
      </c>
      <c r="E1908" s="99" t="n">
        <f aca="false">E393*MAX(0,E90-0.5*(E696+E999+E1302))*MAX(0,MIN(3,'Loan Tape'!$AV86)-2)</f>
        <v>0</v>
      </c>
      <c r="F1908" s="99" t="n">
        <f aca="false">F393*MAX(0,F90-0.5*(F696+F999+F1302))*MAX(0,MIN(4,'Loan Tape'!$AV86)-3)</f>
        <v>0</v>
      </c>
      <c r="G1908" s="99" t="n">
        <f aca="false">G393*MAX(0,G90-0.5*(G696+G999+G1302))*MAX(0,MIN(5,'Loan Tape'!$AV86)-4)</f>
        <v>0</v>
      </c>
      <c r="H1908" s="99" t="n">
        <f aca="false">H393*MAX(0,H90-0.5*(H696+H999+H1302))*MAX(0,MIN(6,'Loan Tape'!$AV86)-5)</f>
        <v>0</v>
      </c>
      <c r="I1908" s="99" t="n">
        <f aca="false">I393*MAX(0,I90-0.5*(I696+I999+I1302))*MAX(0,MIN(7,'Loan Tape'!$AV86)-6)</f>
        <v>0</v>
      </c>
      <c r="J1908" s="99" t="n">
        <f aca="false">J393*MAX(0,J90-0.5*(J696+J999+J1302))*MAX(0,MIN(8,'Loan Tape'!$AV86)-7)</f>
        <v>0</v>
      </c>
      <c r="K1908" s="99" t="n">
        <f aca="false">K393*MAX(0,K90-0.5*(K696+K999+K1302))*MAX(0,MIN(9,'Loan Tape'!$AV86)-8)</f>
        <v>0</v>
      </c>
      <c r="L1908" s="99" t="n">
        <f aca="false">L393*MAX(0,L90-0.5*(L696+L999+L1302))*MAX(0,MIN(10,'Loan Tape'!$AV86)-9)</f>
        <v>0</v>
      </c>
    </row>
    <row r="1909" customFormat="false" ht="15" hidden="false" customHeight="false" outlineLevel="0" collapsed="false">
      <c r="B1909" s="108" t="n">
        <f aca="false">'Loan Tape'!$A87</f>
        <v>0</v>
      </c>
      <c r="C1909" s="71" t="n">
        <f aca="false">C394*MAX(0,C91-0.5*(C697+C1000+C1303))*MAX(0,MIN(1,'Loan Tape'!$AV87)-0)</f>
        <v>0</v>
      </c>
      <c r="D1909" s="71" t="n">
        <f aca="false">D394*MAX(0,D91-0.5*(D697+D1000+D1303))*MAX(0,MIN(2,'Loan Tape'!$AV87)-1)</f>
        <v>0</v>
      </c>
      <c r="E1909" s="71" t="n">
        <f aca="false">E394*MAX(0,E91-0.5*(E697+E1000+E1303))*MAX(0,MIN(3,'Loan Tape'!$AV87)-2)</f>
        <v>0</v>
      </c>
      <c r="F1909" s="71" t="n">
        <f aca="false">F394*MAX(0,F91-0.5*(F697+F1000+F1303))*MAX(0,MIN(4,'Loan Tape'!$AV87)-3)</f>
        <v>0</v>
      </c>
      <c r="G1909" s="71" t="n">
        <f aca="false">G394*MAX(0,G91-0.5*(G697+G1000+G1303))*MAX(0,MIN(5,'Loan Tape'!$AV87)-4)</f>
        <v>0</v>
      </c>
      <c r="H1909" s="71" t="n">
        <f aca="false">H394*MAX(0,H91-0.5*(H697+H1000+H1303))*MAX(0,MIN(6,'Loan Tape'!$AV87)-5)</f>
        <v>0</v>
      </c>
      <c r="I1909" s="71" t="n">
        <f aca="false">I394*MAX(0,I91-0.5*(I697+I1000+I1303))*MAX(0,MIN(7,'Loan Tape'!$AV87)-6)</f>
        <v>0</v>
      </c>
      <c r="J1909" s="71" t="n">
        <f aca="false">J394*MAX(0,J91-0.5*(J697+J1000+J1303))*MAX(0,MIN(8,'Loan Tape'!$AV87)-7)</f>
        <v>0</v>
      </c>
      <c r="K1909" s="71" t="n">
        <f aca="false">K394*MAX(0,K91-0.5*(K697+K1000+K1303))*MAX(0,MIN(9,'Loan Tape'!$AV87)-8)</f>
        <v>0</v>
      </c>
      <c r="L1909" s="71" t="n">
        <f aca="false">L394*MAX(0,L91-0.5*(L697+L1000+L1303))*MAX(0,MIN(10,'Loan Tape'!$AV87)-9)</f>
        <v>0</v>
      </c>
    </row>
    <row r="1910" customFormat="false" ht="15" hidden="false" customHeight="false" outlineLevel="0" collapsed="false">
      <c r="B1910" s="102" t="n">
        <f aca="false">'Loan Tape'!$A88</f>
        <v>0</v>
      </c>
      <c r="C1910" s="99" t="n">
        <f aca="false">C395*MAX(0,C92-0.5*(C698+C1001+C1304))*MAX(0,MIN(1,'Loan Tape'!$AV88)-0)</f>
        <v>0</v>
      </c>
      <c r="D1910" s="99" t="n">
        <f aca="false">D395*MAX(0,D92-0.5*(D698+D1001+D1304))*MAX(0,MIN(2,'Loan Tape'!$AV88)-1)</f>
        <v>0</v>
      </c>
      <c r="E1910" s="99" t="n">
        <f aca="false">E395*MAX(0,E92-0.5*(E698+E1001+E1304))*MAX(0,MIN(3,'Loan Tape'!$AV88)-2)</f>
        <v>0</v>
      </c>
      <c r="F1910" s="99" t="n">
        <f aca="false">F395*MAX(0,F92-0.5*(F698+F1001+F1304))*MAX(0,MIN(4,'Loan Tape'!$AV88)-3)</f>
        <v>0</v>
      </c>
      <c r="G1910" s="99" t="n">
        <f aca="false">G395*MAX(0,G92-0.5*(G698+G1001+G1304))*MAX(0,MIN(5,'Loan Tape'!$AV88)-4)</f>
        <v>0</v>
      </c>
      <c r="H1910" s="99" t="n">
        <f aca="false">H395*MAX(0,H92-0.5*(H698+H1001+H1304))*MAX(0,MIN(6,'Loan Tape'!$AV88)-5)</f>
        <v>0</v>
      </c>
      <c r="I1910" s="99" t="n">
        <f aca="false">I395*MAX(0,I92-0.5*(I698+I1001+I1304))*MAX(0,MIN(7,'Loan Tape'!$AV88)-6)</f>
        <v>0</v>
      </c>
      <c r="J1910" s="99" t="n">
        <f aca="false">J395*MAX(0,J92-0.5*(J698+J1001+J1304))*MAX(0,MIN(8,'Loan Tape'!$AV88)-7)</f>
        <v>0</v>
      </c>
      <c r="K1910" s="99" t="n">
        <f aca="false">K395*MAX(0,K92-0.5*(K698+K1001+K1304))*MAX(0,MIN(9,'Loan Tape'!$AV88)-8)</f>
        <v>0</v>
      </c>
      <c r="L1910" s="99" t="n">
        <f aca="false">L395*MAX(0,L92-0.5*(L698+L1001+L1304))*MAX(0,MIN(10,'Loan Tape'!$AV88)-9)</f>
        <v>0</v>
      </c>
    </row>
    <row r="1911" customFormat="false" ht="15" hidden="false" customHeight="false" outlineLevel="0" collapsed="false">
      <c r="B1911" s="108" t="n">
        <f aca="false">'Loan Tape'!$A89</f>
        <v>0</v>
      </c>
      <c r="C1911" s="71" t="n">
        <f aca="false">C396*MAX(0,C93-0.5*(C699+C1002+C1305))*MAX(0,MIN(1,'Loan Tape'!$AV89)-0)</f>
        <v>0</v>
      </c>
      <c r="D1911" s="71" t="n">
        <f aca="false">D396*MAX(0,D93-0.5*(D699+D1002+D1305))*MAX(0,MIN(2,'Loan Tape'!$AV89)-1)</f>
        <v>0</v>
      </c>
      <c r="E1911" s="71" t="n">
        <f aca="false">E396*MAX(0,E93-0.5*(E699+E1002+E1305))*MAX(0,MIN(3,'Loan Tape'!$AV89)-2)</f>
        <v>0</v>
      </c>
      <c r="F1911" s="71" t="n">
        <f aca="false">F396*MAX(0,F93-0.5*(F699+F1002+F1305))*MAX(0,MIN(4,'Loan Tape'!$AV89)-3)</f>
        <v>0</v>
      </c>
      <c r="G1911" s="71" t="n">
        <f aca="false">G396*MAX(0,G93-0.5*(G699+G1002+G1305))*MAX(0,MIN(5,'Loan Tape'!$AV89)-4)</f>
        <v>0</v>
      </c>
      <c r="H1911" s="71" t="n">
        <f aca="false">H396*MAX(0,H93-0.5*(H699+H1002+H1305))*MAX(0,MIN(6,'Loan Tape'!$AV89)-5)</f>
        <v>0</v>
      </c>
      <c r="I1911" s="71" t="n">
        <f aca="false">I396*MAX(0,I93-0.5*(I699+I1002+I1305))*MAX(0,MIN(7,'Loan Tape'!$AV89)-6)</f>
        <v>0</v>
      </c>
      <c r="J1911" s="71" t="n">
        <f aca="false">J396*MAX(0,J93-0.5*(J699+J1002+J1305))*MAX(0,MIN(8,'Loan Tape'!$AV89)-7)</f>
        <v>0</v>
      </c>
      <c r="K1911" s="71" t="n">
        <f aca="false">K396*MAX(0,K93-0.5*(K699+K1002+K1305))*MAX(0,MIN(9,'Loan Tape'!$AV89)-8)</f>
        <v>0</v>
      </c>
      <c r="L1911" s="71" t="n">
        <f aca="false">L396*MAX(0,L93-0.5*(L699+L1002+L1305))*MAX(0,MIN(10,'Loan Tape'!$AV89)-9)</f>
        <v>0</v>
      </c>
    </row>
    <row r="1912" customFormat="false" ht="15" hidden="false" customHeight="false" outlineLevel="0" collapsed="false">
      <c r="B1912" s="102" t="n">
        <f aca="false">'Loan Tape'!$A90</f>
        <v>0</v>
      </c>
      <c r="C1912" s="99" t="n">
        <f aca="false">C397*MAX(0,C94-0.5*(C700+C1003+C1306))*MAX(0,MIN(1,'Loan Tape'!$AV90)-0)</f>
        <v>0</v>
      </c>
      <c r="D1912" s="99" t="n">
        <f aca="false">D397*MAX(0,D94-0.5*(D700+D1003+D1306))*MAX(0,MIN(2,'Loan Tape'!$AV90)-1)</f>
        <v>0</v>
      </c>
      <c r="E1912" s="99" t="n">
        <f aca="false">E397*MAX(0,E94-0.5*(E700+E1003+E1306))*MAX(0,MIN(3,'Loan Tape'!$AV90)-2)</f>
        <v>0</v>
      </c>
      <c r="F1912" s="99" t="n">
        <f aca="false">F397*MAX(0,F94-0.5*(F700+F1003+F1306))*MAX(0,MIN(4,'Loan Tape'!$AV90)-3)</f>
        <v>0</v>
      </c>
      <c r="G1912" s="99" t="n">
        <f aca="false">G397*MAX(0,G94-0.5*(G700+G1003+G1306))*MAX(0,MIN(5,'Loan Tape'!$AV90)-4)</f>
        <v>0</v>
      </c>
      <c r="H1912" s="99" t="n">
        <f aca="false">H397*MAX(0,H94-0.5*(H700+H1003+H1306))*MAX(0,MIN(6,'Loan Tape'!$AV90)-5)</f>
        <v>0</v>
      </c>
      <c r="I1912" s="99" t="n">
        <f aca="false">I397*MAX(0,I94-0.5*(I700+I1003+I1306))*MAX(0,MIN(7,'Loan Tape'!$AV90)-6)</f>
        <v>0</v>
      </c>
      <c r="J1912" s="99" t="n">
        <f aca="false">J397*MAX(0,J94-0.5*(J700+J1003+J1306))*MAX(0,MIN(8,'Loan Tape'!$AV90)-7)</f>
        <v>0</v>
      </c>
      <c r="K1912" s="99" t="n">
        <f aca="false">K397*MAX(0,K94-0.5*(K700+K1003+K1306))*MAX(0,MIN(9,'Loan Tape'!$AV90)-8)</f>
        <v>0</v>
      </c>
      <c r="L1912" s="99" t="n">
        <f aca="false">L397*MAX(0,L94-0.5*(L700+L1003+L1306))*MAX(0,MIN(10,'Loan Tape'!$AV90)-9)</f>
        <v>0</v>
      </c>
    </row>
    <row r="1913" customFormat="false" ht="15" hidden="false" customHeight="false" outlineLevel="0" collapsed="false">
      <c r="B1913" s="108" t="n">
        <f aca="false">'Loan Tape'!$A91</f>
        <v>0</v>
      </c>
      <c r="C1913" s="71" t="n">
        <f aca="false">C398*MAX(0,C95-0.5*(C701+C1004+C1307))*MAX(0,MIN(1,'Loan Tape'!$AV91)-0)</f>
        <v>0</v>
      </c>
      <c r="D1913" s="71" t="n">
        <f aca="false">D398*MAX(0,D95-0.5*(D701+D1004+D1307))*MAX(0,MIN(2,'Loan Tape'!$AV91)-1)</f>
        <v>0</v>
      </c>
      <c r="E1913" s="71" t="n">
        <f aca="false">E398*MAX(0,E95-0.5*(E701+E1004+E1307))*MAX(0,MIN(3,'Loan Tape'!$AV91)-2)</f>
        <v>0</v>
      </c>
      <c r="F1913" s="71" t="n">
        <f aca="false">F398*MAX(0,F95-0.5*(F701+F1004+F1307))*MAX(0,MIN(4,'Loan Tape'!$AV91)-3)</f>
        <v>0</v>
      </c>
      <c r="G1913" s="71" t="n">
        <f aca="false">G398*MAX(0,G95-0.5*(G701+G1004+G1307))*MAX(0,MIN(5,'Loan Tape'!$AV91)-4)</f>
        <v>0</v>
      </c>
      <c r="H1913" s="71" t="n">
        <f aca="false">H398*MAX(0,H95-0.5*(H701+H1004+H1307))*MAX(0,MIN(6,'Loan Tape'!$AV91)-5)</f>
        <v>0</v>
      </c>
      <c r="I1913" s="71" t="n">
        <f aca="false">I398*MAX(0,I95-0.5*(I701+I1004+I1307))*MAX(0,MIN(7,'Loan Tape'!$AV91)-6)</f>
        <v>0</v>
      </c>
      <c r="J1913" s="71" t="n">
        <f aca="false">J398*MAX(0,J95-0.5*(J701+J1004+J1307))*MAX(0,MIN(8,'Loan Tape'!$AV91)-7)</f>
        <v>0</v>
      </c>
      <c r="K1913" s="71" t="n">
        <f aca="false">K398*MAX(0,K95-0.5*(K701+K1004+K1307))*MAX(0,MIN(9,'Loan Tape'!$AV91)-8)</f>
        <v>0</v>
      </c>
      <c r="L1913" s="71" t="n">
        <f aca="false">L398*MAX(0,L95-0.5*(L701+L1004+L1307))*MAX(0,MIN(10,'Loan Tape'!$AV91)-9)</f>
        <v>0</v>
      </c>
    </row>
    <row r="1914" customFormat="false" ht="15" hidden="false" customHeight="false" outlineLevel="0" collapsed="false">
      <c r="B1914" s="102" t="n">
        <f aca="false">'Loan Tape'!$A92</f>
        <v>0</v>
      </c>
      <c r="C1914" s="99" t="n">
        <f aca="false">C399*MAX(0,C96-0.5*(C702+C1005+C1308))*MAX(0,MIN(1,'Loan Tape'!$AV92)-0)</f>
        <v>0</v>
      </c>
      <c r="D1914" s="99" t="n">
        <f aca="false">D399*MAX(0,D96-0.5*(D702+D1005+D1308))*MAX(0,MIN(2,'Loan Tape'!$AV92)-1)</f>
        <v>0</v>
      </c>
      <c r="E1914" s="99" t="n">
        <f aca="false">E399*MAX(0,E96-0.5*(E702+E1005+E1308))*MAX(0,MIN(3,'Loan Tape'!$AV92)-2)</f>
        <v>0</v>
      </c>
      <c r="F1914" s="99" t="n">
        <f aca="false">F399*MAX(0,F96-0.5*(F702+F1005+F1308))*MAX(0,MIN(4,'Loan Tape'!$AV92)-3)</f>
        <v>0</v>
      </c>
      <c r="G1914" s="99" t="n">
        <f aca="false">G399*MAX(0,G96-0.5*(G702+G1005+G1308))*MAX(0,MIN(5,'Loan Tape'!$AV92)-4)</f>
        <v>0</v>
      </c>
      <c r="H1914" s="99" t="n">
        <f aca="false">H399*MAX(0,H96-0.5*(H702+H1005+H1308))*MAX(0,MIN(6,'Loan Tape'!$AV92)-5)</f>
        <v>0</v>
      </c>
      <c r="I1914" s="99" t="n">
        <f aca="false">I399*MAX(0,I96-0.5*(I702+I1005+I1308))*MAX(0,MIN(7,'Loan Tape'!$AV92)-6)</f>
        <v>0</v>
      </c>
      <c r="J1914" s="99" t="n">
        <f aca="false">J399*MAX(0,J96-0.5*(J702+J1005+J1308))*MAX(0,MIN(8,'Loan Tape'!$AV92)-7)</f>
        <v>0</v>
      </c>
      <c r="K1914" s="99" t="n">
        <f aca="false">K399*MAX(0,K96-0.5*(K702+K1005+K1308))*MAX(0,MIN(9,'Loan Tape'!$AV92)-8)</f>
        <v>0</v>
      </c>
      <c r="L1914" s="99" t="n">
        <f aca="false">L399*MAX(0,L96-0.5*(L702+L1005+L1308))*MAX(0,MIN(10,'Loan Tape'!$AV92)-9)</f>
        <v>0</v>
      </c>
    </row>
    <row r="1915" customFormat="false" ht="15" hidden="false" customHeight="false" outlineLevel="0" collapsed="false">
      <c r="B1915" s="108" t="n">
        <f aca="false">'Loan Tape'!$A93</f>
        <v>0</v>
      </c>
      <c r="C1915" s="71" t="n">
        <f aca="false">C400*MAX(0,C97-0.5*(C703+C1006+C1309))*MAX(0,MIN(1,'Loan Tape'!$AV93)-0)</f>
        <v>0</v>
      </c>
      <c r="D1915" s="71" t="n">
        <f aca="false">D400*MAX(0,D97-0.5*(D703+D1006+D1309))*MAX(0,MIN(2,'Loan Tape'!$AV93)-1)</f>
        <v>0</v>
      </c>
      <c r="E1915" s="71" t="n">
        <f aca="false">E400*MAX(0,E97-0.5*(E703+E1006+E1309))*MAX(0,MIN(3,'Loan Tape'!$AV93)-2)</f>
        <v>0</v>
      </c>
      <c r="F1915" s="71" t="n">
        <f aca="false">F400*MAX(0,F97-0.5*(F703+F1006+F1309))*MAX(0,MIN(4,'Loan Tape'!$AV93)-3)</f>
        <v>0</v>
      </c>
      <c r="G1915" s="71" t="n">
        <f aca="false">G400*MAX(0,G97-0.5*(G703+G1006+G1309))*MAX(0,MIN(5,'Loan Tape'!$AV93)-4)</f>
        <v>0</v>
      </c>
      <c r="H1915" s="71" t="n">
        <f aca="false">H400*MAX(0,H97-0.5*(H703+H1006+H1309))*MAX(0,MIN(6,'Loan Tape'!$AV93)-5)</f>
        <v>0</v>
      </c>
      <c r="I1915" s="71" t="n">
        <f aca="false">I400*MAX(0,I97-0.5*(I703+I1006+I1309))*MAX(0,MIN(7,'Loan Tape'!$AV93)-6)</f>
        <v>0</v>
      </c>
      <c r="J1915" s="71" t="n">
        <f aca="false">J400*MAX(0,J97-0.5*(J703+J1006+J1309))*MAX(0,MIN(8,'Loan Tape'!$AV93)-7)</f>
        <v>0</v>
      </c>
      <c r="K1915" s="71" t="n">
        <f aca="false">K400*MAX(0,K97-0.5*(K703+K1006+K1309))*MAX(0,MIN(9,'Loan Tape'!$AV93)-8)</f>
        <v>0</v>
      </c>
      <c r="L1915" s="71" t="n">
        <f aca="false">L400*MAX(0,L97-0.5*(L703+L1006+L1309))*MAX(0,MIN(10,'Loan Tape'!$AV93)-9)</f>
        <v>0</v>
      </c>
    </row>
    <row r="1916" customFormat="false" ht="15" hidden="false" customHeight="false" outlineLevel="0" collapsed="false">
      <c r="B1916" s="102" t="n">
        <f aca="false">'Loan Tape'!$A94</f>
        <v>0</v>
      </c>
      <c r="C1916" s="99" t="n">
        <f aca="false">C401*MAX(0,C98-0.5*(C704+C1007+C1310))*MAX(0,MIN(1,'Loan Tape'!$AV94)-0)</f>
        <v>0</v>
      </c>
      <c r="D1916" s="99" t="n">
        <f aca="false">D401*MAX(0,D98-0.5*(D704+D1007+D1310))*MAX(0,MIN(2,'Loan Tape'!$AV94)-1)</f>
        <v>0</v>
      </c>
      <c r="E1916" s="99" t="n">
        <f aca="false">E401*MAX(0,E98-0.5*(E704+E1007+E1310))*MAX(0,MIN(3,'Loan Tape'!$AV94)-2)</f>
        <v>0</v>
      </c>
      <c r="F1916" s="99" t="n">
        <f aca="false">F401*MAX(0,F98-0.5*(F704+F1007+F1310))*MAX(0,MIN(4,'Loan Tape'!$AV94)-3)</f>
        <v>0</v>
      </c>
      <c r="G1916" s="99" t="n">
        <f aca="false">G401*MAX(0,G98-0.5*(G704+G1007+G1310))*MAX(0,MIN(5,'Loan Tape'!$AV94)-4)</f>
        <v>0</v>
      </c>
      <c r="H1916" s="99" t="n">
        <f aca="false">H401*MAX(0,H98-0.5*(H704+H1007+H1310))*MAX(0,MIN(6,'Loan Tape'!$AV94)-5)</f>
        <v>0</v>
      </c>
      <c r="I1916" s="99" t="n">
        <f aca="false">I401*MAX(0,I98-0.5*(I704+I1007+I1310))*MAX(0,MIN(7,'Loan Tape'!$AV94)-6)</f>
        <v>0</v>
      </c>
      <c r="J1916" s="99" t="n">
        <f aca="false">J401*MAX(0,J98-0.5*(J704+J1007+J1310))*MAX(0,MIN(8,'Loan Tape'!$AV94)-7)</f>
        <v>0</v>
      </c>
      <c r="K1916" s="99" t="n">
        <f aca="false">K401*MAX(0,K98-0.5*(K704+K1007+K1310))*MAX(0,MIN(9,'Loan Tape'!$AV94)-8)</f>
        <v>0</v>
      </c>
      <c r="L1916" s="99" t="n">
        <f aca="false">L401*MAX(0,L98-0.5*(L704+L1007+L1310))*MAX(0,MIN(10,'Loan Tape'!$AV94)-9)</f>
        <v>0</v>
      </c>
    </row>
    <row r="1917" customFormat="false" ht="15" hidden="false" customHeight="false" outlineLevel="0" collapsed="false">
      <c r="B1917" s="108" t="n">
        <f aca="false">'Loan Tape'!$A95</f>
        <v>0</v>
      </c>
      <c r="C1917" s="71" t="n">
        <f aca="false">C402*MAX(0,C99-0.5*(C705+C1008+C1311))*MAX(0,MIN(1,'Loan Tape'!$AV95)-0)</f>
        <v>0</v>
      </c>
      <c r="D1917" s="71" t="n">
        <f aca="false">D402*MAX(0,D99-0.5*(D705+D1008+D1311))*MAX(0,MIN(2,'Loan Tape'!$AV95)-1)</f>
        <v>0</v>
      </c>
      <c r="E1917" s="71" t="n">
        <f aca="false">E402*MAX(0,E99-0.5*(E705+E1008+E1311))*MAX(0,MIN(3,'Loan Tape'!$AV95)-2)</f>
        <v>0</v>
      </c>
      <c r="F1917" s="71" t="n">
        <f aca="false">F402*MAX(0,F99-0.5*(F705+F1008+F1311))*MAX(0,MIN(4,'Loan Tape'!$AV95)-3)</f>
        <v>0</v>
      </c>
      <c r="G1917" s="71" t="n">
        <f aca="false">G402*MAX(0,G99-0.5*(G705+G1008+G1311))*MAX(0,MIN(5,'Loan Tape'!$AV95)-4)</f>
        <v>0</v>
      </c>
      <c r="H1917" s="71" t="n">
        <f aca="false">H402*MAX(0,H99-0.5*(H705+H1008+H1311))*MAX(0,MIN(6,'Loan Tape'!$AV95)-5)</f>
        <v>0</v>
      </c>
      <c r="I1917" s="71" t="n">
        <f aca="false">I402*MAX(0,I99-0.5*(I705+I1008+I1311))*MAX(0,MIN(7,'Loan Tape'!$AV95)-6)</f>
        <v>0</v>
      </c>
      <c r="J1917" s="71" t="n">
        <f aca="false">J402*MAX(0,J99-0.5*(J705+J1008+J1311))*MAX(0,MIN(8,'Loan Tape'!$AV95)-7)</f>
        <v>0</v>
      </c>
      <c r="K1917" s="71" t="n">
        <f aca="false">K402*MAX(0,K99-0.5*(K705+K1008+K1311))*MAX(0,MIN(9,'Loan Tape'!$AV95)-8)</f>
        <v>0</v>
      </c>
      <c r="L1917" s="71" t="n">
        <f aca="false">L402*MAX(0,L99-0.5*(L705+L1008+L1311))*MAX(0,MIN(10,'Loan Tape'!$AV95)-9)</f>
        <v>0</v>
      </c>
    </row>
    <row r="1918" customFormat="false" ht="15" hidden="false" customHeight="false" outlineLevel="0" collapsed="false">
      <c r="B1918" s="102" t="n">
        <f aca="false">'Loan Tape'!$A96</f>
        <v>0</v>
      </c>
      <c r="C1918" s="99" t="n">
        <f aca="false">C403*MAX(0,C100-0.5*(C706+C1009+C1312))*MAX(0,MIN(1,'Loan Tape'!$AV96)-0)</f>
        <v>0</v>
      </c>
      <c r="D1918" s="99" t="n">
        <f aca="false">D403*MAX(0,D100-0.5*(D706+D1009+D1312))*MAX(0,MIN(2,'Loan Tape'!$AV96)-1)</f>
        <v>0</v>
      </c>
      <c r="E1918" s="99" t="n">
        <f aca="false">E403*MAX(0,E100-0.5*(E706+E1009+E1312))*MAX(0,MIN(3,'Loan Tape'!$AV96)-2)</f>
        <v>0</v>
      </c>
      <c r="F1918" s="99" t="n">
        <f aca="false">F403*MAX(0,F100-0.5*(F706+F1009+F1312))*MAX(0,MIN(4,'Loan Tape'!$AV96)-3)</f>
        <v>0</v>
      </c>
      <c r="G1918" s="99" t="n">
        <f aca="false">G403*MAX(0,G100-0.5*(G706+G1009+G1312))*MAX(0,MIN(5,'Loan Tape'!$AV96)-4)</f>
        <v>0</v>
      </c>
      <c r="H1918" s="99" t="n">
        <f aca="false">H403*MAX(0,H100-0.5*(H706+H1009+H1312))*MAX(0,MIN(6,'Loan Tape'!$AV96)-5)</f>
        <v>0</v>
      </c>
      <c r="I1918" s="99" t="n">
        <f aca="false">I403*MAX(0,I100-0.5*(I706+I1009+I1312))*MAX(0,MIN(7,'Loan Tape'!$AV96)-6)</f>
        <v>0</v>
      </c>
      <c r="J1918" s="99" t="n">
        <f aca="false">J403*MAX(0,J100-0.5*(J706+J1009+J1312))*MAX(0,MIN(8,'Loan Tape'!$AV96)-7)</f>
        <v>0</v>
      </c>
      <c r="K1918" s="99" t="n">
        <f aca="false">K403*MAX(0,K100-0.5*(K706+K1009+K1312))*MAX(0,MIN(9,'Loan Tape'!$AV96)-8)</f>
        <v>0</v>
      </c>
      <c r="L1918" s="99" t="n">
        <f aca="false">L403*MAX(0,L100-0.5*(L706+L1009+L1312))*MAX(0,MIN(10,'Loan Tape'!$AV96)-9)</f>
        <v>0</v>
      </c>
    </row>
    <row r="1919" customFormat="false" ht="15" hidden="false" customHeight="false" outlineLevel="0" collapsed="false">
      <c r="B1919" s="108" t="n">
        <f aca="false">'Loan Tape'!$A97</f>
        <v>0</v>
      </c>
      <c r="C1919" s="71" t="n">
        <f aca="false">C404*MAX(0,C101-0.5*(C707+C1010+C1313))*MAX(0,MIN(1,'Loan Tape'!$AV97)-0)</f>
        <v>0</v>
      </c>
      <c r="D1919" s="71" t="n">
        <f aca="false">D404*MAX(0,D101-0.5*(D707+D1010+D1313))*MAX(0,MIN(2,'Loan Tape'!$AV97)-1)</f>
        <v>0</v>
      </c>
      <c r="E1919" s="71" t="n">
        <f aca="false">E404*MAX(0,E101-0.5*(E707+E1010+E1313))*MAX(0,MIN(3,'Loan Tape'!$AV97)-2)</f>
        <v>0</v>
      </c>
      <c r="F1919" s="71" t="n">
        <f aca="false">F404*MAX(0,F101-0.5*(F707+F1010+F1313))*MAX(0,MIN(4,'Loan Tape'!$AV97)-3)</f>
        <v>0</v>
      </c>
      <c r="G1919" s="71" t="n">
        <f aca="false">G404*MAX(0,G101-0.5*(G707+G1010+G1313))*MAX(0,MIN(5,'Loan Tape'!$AV97)-4)</f>
        <v>0</v>
      </c>
      <c r="H1919" s="71" t="n">
        <f aca="false">H404*MAX(0,H101-0.5*(H707+H1010+H1313))*MAX(0,MIN(6,'Loan Tape'!$AV97)-5)</f>
        <v>0</v>
      </c>
      <c r="I1919" s="71" t="n">
        <f aca="false">I404*MAX(0,I101-0.5*(I707+I1010+I1313))*MAX(0,MIN(7,'Loan Tape'!$AV97)-6)</f>
        <v>0</v>
      </c>
      <c r="J1919" s="71" t="n">
        <f aca="false">J404*MAX(0,J101-0.5*(J707+J1010+J1313))*MAX(0,MIN(8,'Loan Tape'!$AV97)-7)</f>
        <v>0</v>
      </c>
      <c r="K1919" s="71" t="n">
        <f aca="false">K404*MAX(0,K101-0.5*(K707+K1010+K1313))*MAX(0,MIN(9,'Loan Tape'!$AV97)-8)</f>
        <v>0</v>
      </c>
      <c r="L1919" s="71" t="n">
        <f aca="false">L404*MAX(0,L101-0.5*(L707+L1010+L1313))*MAX(0,MIN(10,'Loan Tape'!$AV97)-9)</f>
        <v>0</v>
      </c>
    </row>
    <row r="1920" customFormat="false" ht="15" hidden="false" customHeight="false" outlineLevel="0" collapsed="false">
      <c r="B1920" s="102" t="n">
        <f aca="false">'Loan Tape'!$A98</f>
        <v>0</v>
      </c>
      <c r="C1920" s="99" t="n">
        <f aca="false">C405*MAX(0,C102-0.5*(C708+C1011+C1314))*MAX(0,MIN(1,'Loan Tape'!$AV98)-0)</f>
        <v>0</v>
      </c>
      <c r="D1920" s="99" t="n">
        <f aca="false">D405*MAX(0,D102-0.5*(D708+D1011+D1314))*MAX(0,MIN(2,'Loan Tape'!$AV98)-1)</f>
        <v>0</v>
      </c>
      <c r="E1920" s="99" t="n">
        <f aca="false">E405*MAX(0,E102-0.5*(E708+E1011+E1314))*MAX(0,MIN(3,'Loan Tape'!$AV98)-2)</f>
        <v>0</v>
      </c>
      <c r="F1920" s="99" t="n">
        <f aca="false">F405*MAX(0,F102-0.5*(F708+F1011+F1314))*MAX(0,MIN(4,'Loan Tape'!$AV98)-3)</f>
        <v>0</v>
      </c>
      <c r="G1920" s="99" t="n">
        <f aca="false">G405*MAX(0,G102-0.5*(G708+G1011+G1314))*MAX(0,MIN(5,'Loan Tape'!$AV98)-4)</f>
        <v>0</v>
      </c>
      <c r="H1920" s="99" t="n">
        <f aca="false">H405*MAX(0,H102-0.5*(H708+H1011+H1314))*MAX(0,MIN(6,'Loan Tape'!$AV98)-5)</f>
        <v>0</v>
      </c>
      <c r="I1920" s="99" t="n">
        <f aca="false">I405*MAX(0,I102-0.5*(I708+I1011+I1314))*MAX(0,MIN(7,'Loan Tape'!$AV98)-6)</f>
        <v>0</v>
      </c>
      <c r="J1920" s="99" t="n">
        <f aca="false">J405*MAX(0,J102-0.5*(J708+J1011+J1314))*MAX(0,MIN(8,'Loan Tape'!$AV98)-7)</f>
        <v>0</v>
      </c>
      <c r="K1920" s="99" t="n">
        <f aca="false">K405*MAX(0,K102-0.5*(K708+K1011+K1314))*MAX(0,MIN(9,'Loan Tape'!$AV98)-8)</f>
        <v>0</v>
      </c>
      <c r="L1920" s="99" t="n">
        <f aca="false">L405*MAX(0,L102-0.5*(L708+L1011+L1314))*MAX(0,MIN(10,'Loan Tape'!$AV98)-9)</f>
        <v>0</v>
      </c>
    </row>
    <row r="1921" customFormat="false" ht="15" hidden="false" customHeight="false" outlineLevel="0" collapsed="false">
      <c r="B1921" s="108" t="n">
        <f aca="false">'Loan Tape'!$A99</f>
        <v>0</v>
      </c>
      <c r="C1921" s="71" t="n">
        <f aca="false">C406*MAX(0,C103-0.5*(C709+C1012+C1315))*MAX(0,MIN(1,'Loan Tape'!$AV99)-0)</f>
        <v>0</v>
      </c>
      <c r="D1921" s="71" t="n">
        <f aca="false">D406*MAX(0,D103-0.5*(D709+D1012+D1315))*MAX(0,MIN(2,'Loan Tape'!$AV99)-1)</f>
        <v>0</v>
      </c>
      <c r="E1921" s="71" t="n">
        <f aca="false">E406*MAX(0,E103-0.5*(E709+E1012+E1315))*MAX(0,MIN(3,'Loan Tape'!$AV99)-2)</f>
        <v>0</v>
      </c>
      <c r="F1921" s="71" t="n">
        <f aca="false">F406*MAX(0,F103-0.5*(F709+F1012+F1315))*MAX(0,MIN(4,'Loan Tape'!$AV99)-3)</f>
        <v>0</v>
      </c>
      <c r="G1921" s="71" t="n">
        <f aca="false">G406*MAX(0,G103-0.5*(G709+G1012+G1315))*MAX(0,MIN(5,'Loan Tape'!$AV99)-4)</f>
        <v>0</v>
      </c>
      <c r="H1921" s="71" t="n">
        <f aca="false">H406*MAX(0,H103-0.5*(H709+H1012+H1315))*MAX(0,MIN(6,'Loan Tape'!$AV99)-5)</f>
        <v>0</v>
      </c>
      <c r="I1921" s="71" t="n">
        <f aca="false">I406*MAX(0,I103-0.5*(I709+I1012+I1315))*MAX(0,MIN(7,'Loan Tape'!$AV99)-6)</f>
        <v>0</v>
      </c>
      <c r="J1921" s="71" t="n">
        <f aca="false">J406*MAX(0,J103-0.5*(J709+J1012+J1315))*MAX(0,MIN(8,'Loan Tape'!$AV99)-7)</f>
        <v>0</v>
      </c>
      <c r="K1921" s="71" t="n">
        <f aca="false">K406*MAX(0,K103-0.5*(K709+K1012+K1315))*MAX(0,MIN(9,'Loan Tape'!$AV99)-8)</f>
        <v>0</v>
      </c>
      <c r="L1921" s="71" t="n">
        <f aca="false">L406*MAX(0,L103-0.5*(L709+L1012+L1315))*MAX(0,MIN(10,'Loan Tape'!$AV99)-9)</f>
        <v>0</v>
      </c>
    </row>
    <row r="1922" customFormat="false" ht="15" hidden="false" customHeight="false" outlineLevel="0" collapsed="false">
      <c r="B1922" s="102" t="n">
        <f aca="false">'Loan Tape'!$A100</f>
        <v>0</v>
      </c>
      <c r="C1922" s="99" t="n">
        <f aca="false">C407*MAX(0,C104-0.5*(C710+C1013+C1316))*MAX(0,MIN(1,'Loan Tape'!$AV100)-0)</f>
        <v>0</v>
      </c>
      <c r="D1922" s="99" t="n">
        <f aca="false">D407*MAX(0,D104-0.5*(D710+D1013+D1316))*MAX(0,MIN(2,'Loan Tape'!$AV100)-1)</f>
        <v>0</v>
      </c>
      <c r="E1922" s="99" t="n">
        <f aca="false">E407*MAX(0,E104-0.5*(E710+E1013+E1316))*MAX(0,MIN(3,'Loan Tape'!$AV100)-2)</f>
        <v>0</v>
      </c>
      <c r="F1922" s="99" t="n">
        <f aca="false">F407*MAX(0,F104-0.5*(F710+F1013+F1316))*MAX(0,MIN(4,'Loan Tape'!$AV100)-3)</f>
        <v>0</v>
      </c>
      <c r="G1922" s="99" t="n">
        <f aca="false">G407*MAX(0,G104-0.5*(G710+G1013+G1316))*MAX(0,MIN(5,'Loan Tape'!$AV100)-4)</f>
        <v>0</v>
      </c>
      <c r="H1922" s="99" t="n">
        <f aca="false">H407*MAX(0,H104-0.5*(H710+H1013+H1316))*MAX(0,MIN(6,'Loan Tape'!$AV100)-5)</f>
        <v>0</v>
      </c>
      <c r="I1922" s="99" t="n">
        <f aca="false">I407*MAX(0,I104-0.5*(I710+I1013+I1316))*MAX(0,MIN(7,'Loan Tape'!$AV100)-6)</f>
        <v>0</v>
      </c>
      <c r="J1922" s="99" t="n">
        <f aca="false">J407*MAX(0,J104-0.5*(J710+J1013+J1316))*MAX(0,MIN(8,'Loan Tape'!$AV100)-7)</f>
        <v>0</v>
      </c>
      <c r="K1922" s="99" t="n">
        <f aca="false">K407*MAX(0,K104-0.5*(K710+K1013+K1316))*MAX(0,MIN(9,'Loan Tape'!$AV100)-8)</f>
        <v>0</v>
      </c>
      <c r="L1922" s="99" t="n">
        <f aca="false">L407*MAX(0,L104-0.5*(L710+L1013+L1316))*MAX(0,MIN(10,'Loan Tape'!$AV100)-9)</f>
        <v>0</v>
      </c>
    </row>
    <row r="1923" customFormat="false" ht="15" hidden="false" customHeight="false" outlineLevel="0" collapsed="false">
      <c r="B1923" s="108" t="n">
        <f aca="false">'Loan Tape'!$A101</f>
        <v>0</v>
      </c>
      <c r="C1923" s="71" t="n">
        <f aca="false">C408*MAX(0,C105-0.5*(C711+C1014+C1317))*MAX(0,MIN(1,'Loan Tape'!$AV101)-0)</f>
        <v>0</v>
      </c>
      <c r="D1923" s="71" t="n">
        <f aca="false">D408*MAX(0,D105-0.5*(D711+D1014+D1317))*MAX(0,MIN(2,'Loan Tape'!$AV101)-1)</f>
        <v>0</v>
      </c>
      <c r="E1923" s="71" t="n">
        <f aca="false">E408*MAX(0,E105-0.5*(E711+E1014+E1317))*MAX(0,MIN(3,'Loan Tape'!$AV101)-2)</f>
        <v>0</v>
      </c>
      <c r="F1923" s="71" t="n">
        <f aca="false">F408*MAX(0,F105-0.5*(F711+F1014+F1317))*MAX(0,MIN(4,'Loan Tape'!$AV101)-3)</f>
        <v>0</v>
      </c>
      <c r="G1923" s="71" t="n">
        <f aca="false">G408*MAX(0,G105-0.5*(G711+G1014+G1317))*MAX(0,MIN(5,'Loan Tape'!$AV101)-4)</f>
        <v>0</v>
      </c>
      <c r="H1923" s="71" t="n">
        <f aca="false">H408*MAX(0,H105-0.5*(H711+H1014+H1317))*MAX(0,MIN(6,'Loan Tape'!$AV101)-5)</f>
        <v>0</v>
      </c>
      <c r="I1923" s="71" t="n">
        <f aca="false">I408*MAX(0,I105-0.5*(I711+I1014+I1317))*MAX(0,MIN(7,'Loan Tape'!$AV101)-6)</f>
        <v>0</v>
      </c>
      <c r="J1923" s="71" t="n">
        <f aca="false">J408*MAX(0,J105-0.5*(J711+J1014+J1317))*MAX(0,MIN(8,'Loan Tape'!$AV101)-7)</f>
        <v>0</v>
      </c>
      <c r="K1923" s="71" t="n">
        <f aca="false">K408*MAX(0,K105-0.5*(K711+K1014+K1317))*MAX(0,MIN(9,'Loan Tape'!$AV101)-8)</f>
        <v>0</v>
      </c>
      <c r="L1923" s="71" t="n">
        <f aca="false">L408*MAX(0,L105-0.5*(L711+L1014+L1317))*MAX(0,MIN(10,'Loan Tape'!$AV101)-9)</f>
        <v>0</v>
      </c>
    </row>
    <row r="1924" customFormat="false" ht="15" hidden="false" customHeight="false" outlineLevel="0" collapsed="false">
      <c r="B1924" s="102" t="n">
        <f aca="false">'Loan Tape'!$A102</f>
        <v>0</v>
      </c>
      <c r="C1924" s="99" t="n">
        <f aca="false">C409*MAX(0,C106-0.5*(C712+C1015+C1318))*MAX(0,MIN(1,'Loan Tape'!$AV102)-0)</f>
        <v>0</v>
      </c>
      <c r="D1924" s="99" t="n">
        <f aca="false">D409*MAX(0,D106-0.5*(D712+D1015+D1318))*MAX(0,MIN(2,'Loan Tape'!$AV102)-1)</f>
        <v>0</v>
      </c>
      <c r="E1924" s="99" t="n">
        <f aca="false">E409*MAX(0,E106-0.5*(E712+E1015+E1318))*MAX(0,MIN(3,'Loan Tape'!$AV102)-2)</f>
        <v>0</v>
      </c>
      <c r="F1924" s="99" t="n">
        <f aca="false">F409*MAX(0,F106-0.5*(F712+F1015+F1318))*MAX(0,MIN(4,'Loan Tape'!$AV102)-3)</f>
        <v>0</v>
      </c>
      <c r="G1924" s="99" t="n">
        <f aca="false">G409*MAX(0,G106-0.5*(G712+G1015+G1318))*MAX(0,MIN(5,'Loan Tape'!$AV102)-4)</f>
        <v>0</v>
      </c>
      <c r="H1924" s="99" t="n">
        <f aca="false">H409*MAX(0,H106-0.5*(H712+H1015+H1318))*MAX(0,MIN(6,'Loan Tape'!$AV102)-5)</f>
        <v>0</v>
      </c>
      <c r="I1924" s="99" t="n">
        <f aca="false">I409*MAX(0,I106-0.5*(I712+I1015+I1318))*MAX(0,MIN(7,'Loan Tape'!$AV102)-6)</f>
        <v>0</v>
      </c>
      <c r="J1924" s="99" t="n">
        <f aca="false">J409*MAX(0,J106-0.5*(J712+J1015+J1318))*MAX(0,MIN(8,'Loan Tape'!$AV102)-7)</f>
        <v>0</v>
      </c>
      <c r="K1924" s="99" t="n">
        <f aca="false">K409*MAX(0,K106-0.5*(K712+K1015+K1318))*MAX(0,MIN(9,'Loan Tape'!$AV102)-8)</f>
        <v>0</v>
      </c>
      <c r="L1924" s="99" t="n">
        <f aca="false">L409*MAX(0,L106-0.5*(L712+L1015+L1318))*MAX(0,MIN(10,'Loan Tape'!$AV102)-9)</f>
        <v>0</v>
      </c>
    </row>
    <row r="1925" customFormat="false" ht="15" hidden="false" customHeight="false" outlineLevel="0" collapsed="false">
      <c r="B1925" s="108" t="n">
        <f aca="false">'Loan Tape'!$A103</f>
        <v>0</v>
      </c>
      <c r="C1925" s="71" t="n">
        <f aca="false">C410*MAX(0,C107-0.5*(C713+C1016+C1319))*MAX(0,MIN(1,'Loan Tape'!$AV103)-0)</f>
        <v>0</v>
      </c>
      <c r="D1925" s="71" t="n">
        <f aca="false">D410*MAX(0,D107-0.5*(D713+D1016+D1319))*MAX(0,MIN(2,'Loan Tape'!$AV103)-1)</f>
        <v>0</v>
      </c>
      <c r="E1925" s="71" t="n">
        <f aca="false">E410*MAX(0,E107-0.5*(E713+E1016+E1319))*MAX(0,MIN(3,'Loan Tape'!$AV103)-2)</f>
        <v>0</v>
      </c>
      <c r="F1925" s="71" t="n">
        <f aca="false">F410*MAX(0,F107-0.5*(F713+F1016+F1319))*MAX(0,MIN(4,'Loan Tape'!$AV103)-3)</f>
        <v>0</v>
      </c>
      <c r="G1925" s="71" t="n">
        <f aca="false">G410*MAX(0,G107-0.5*(G713+G1016+G1319))*MAX(0,MIN(5,'Loan Tape'!$AV103)-4)</f>
        <v>0</v>
      </c>
      <c r="H1925" s="71" t="n">
        <f aca="false">H410*MAX(0,H107-0.5*(H713+H1016+H1319))*MAX(0,MIN(6,'Loan Tape'!$AV103)-5)</f>
        <v>0</v>
      </c>
      <c r="I1925" s="71" t="n">
        <f aca="false">I410*MAX(0,I107-0.5*(I713+I1016+I1319))*MAX(0,MIN(7,'Loan Tape'!$AV103)-6)</f>
        <v>0</v>
      </c>
      <c r="J1925" s="71" t="n">
        <f aca="false">J410*MAX(0,J107-0.5*(J713+J1016+J1319))*MAX(0,MIN(8,'Loan Tape'!$AV103)-7)</f>
        <v>0</v>
      </c>
      <c r="K1925" s="71" t="n">
        <f aca="false">K410*MAX(0,K107-0.5*(K713+K1016+K1319))*MAX(0,MIN(9,'Loan Tape'!$AV103)-8)</f>
        <v>0</v>
      </c>
      <c r="L1925" s="71" t="n">
        <f aca="false">L410*MAX(0,L107-0.5*(L713+L1016+L1319))*MAX(0,MIN(10,'Loan Tape'!$AV103)-9)</f>
        <v>0</v>
      </c>
    </row>
    <row r="1926" customFormat="false" ht="15" hidden="false" customHeight="false" outlineLevel="0" collapsed="false">
      <c r="B1926" s="102" t="n">
        <f aca="false">'Loan Tape'!$A104</f>
        <v>0</v>
      </c>
      <c r="C1926" s="99" t="n">
        <f aca="false">C411*MAX(0,C108-0.5*(C714+C1017+C1320))*MAX(0,MIN(1,'Loan Tape'!$AV104)-0)</f>
        <v>0</v>
      </c>
      <c r="D1926" s="99" t="n">
        <f aca="false">D411*MAX(0,D108-0.5*(D714+D1017+D1320))*MAX(0,MIN(2,'Loan Tape'!$AV104)-1)</f>
        <v>0</v>
      </c>
      <c r="E1926" s="99" t="n">
        <f aca="false">E411*MAX(0,E108-0.5*(E714+E1017+E1320))*MAX(0,MIN(3,'Loan Tape'!$AV104)-2)</f>
        <v>0</v>
      </c>
      <c r="F1926" s="99" t="n">
        <f aca="false">F411*MAX(0,F108-0.5*(F714+F1017+F1320))*MAX(0,MIN(4,'Loan Tape'!$AV104)-3)</f>
        <v>0</v>
      </c>
      <c r="G1926" s="99" t="n">
        <f aca="false">G411*MAX(0,G108-0.5*(G714+G1017+G1320))*MAX(0,MIN(5,'Loan Tape'!$AV104)-4)</f>
        <v>0</v>
      </c>
      <c r="H1926" s="99" t="n">
        <f aca="false">H411*MAX(0,H108-0.5*(H714+H1017+H1320))*MAX(0,MIN(6,'Loan Tape'!$AV104)-5)</f>
        <v>0</v>
      </c>
      <c r="I1926" s="99" t="n">
        <f aca="false">I411*MAX(0,I108-0.5*(I714+I1017+I1320))*MAX(0,MIN(7,'Loan Tape'!$AV104)-6)</f>
        <v>0</v>
      </c>
      <c r="J1926" s="99" t="n">
        <f aca="false">J411*MAX(0,J108-0.5*(J714+J1017+J1320))*MAX(0,MIN(8,'Loan Tape'!$AV104)-7)</f>
        <v>0</v>
      </c>
      <c r="K1926" s="99" t="n">
        <f aca="false">K411*MAX(0,K108-0.5*(K714+K1017+K1320))*MAX(0,MIN(9,'Loan Tape'!$AV104)-8)</f>
        <v>0</v>
      </c>
      <c r="L1926" s="99" t="n">
        <f aca="false">L411*MAX(0,L108-0.5*(L714+L1017+L1320))*MAX(0,MIN(10,'Loan Tape'!$AV104)-9)</f>
        <v>0</v>
      </c>
    </row>
    <row r="1927" customFormat="false" ht="15" hidden="false" customHeight="false" outlineLevel="0" collapsed="false">
      <c r="B1927" s="108" t="n">
        <f aca="false">'Loan Tape'!$A105</f>
        <v>0</v>
      </c>
      <c r="C1927" s="71" t="n">
        <f aca="false">C412*MAX(0,C109-0.5*(C715+C1018+C1321))*MAX(0,MIN(1,'Loan Tape'!$AV105)-0)</f>
        <v>0</v>
      </c>
      <c r="D1927" s="71" t="n">
        <f aca="false">D412*MAX(0,D109-0.5*(D715+D1018+D1321))*MAX(0,MIN(2,'Loan Tape'!$AV105)-1)</f>
        <v>0</v>
      </c>
      <c r="E1927" s="71" t="n">
        <f aca="false">E412*MAX(0,E109-0.5*(E715+E1018+E1321))*MAX(0,MIN(3,'Loan Tape'!$AV105)-2)</f>
        <v>0</v>
      </c>
      <c r="F1927" s="71" t="n">
        <f aca="false">F412*MAX(0,F109-0.5*(F715+F1018+F1321))*MAX(0,MIN(4,'Loan Tape'!$AV105)-3)</f>
        <v>0</v>
      </c>
      <c r="G1927" s="71" t="n">
        <f aca="false">G412*MAX(0,G109-0.5*(G715+G1018+G1321))*MAX(0,MIN(5,'Loan Tape'!$AV105)-4)</f>
        <v>0</v>
      </c>
      <c r="H1927" s="71" t="n">
        <f aca="false">H412*MAX(0,H109-0.5*(H715+H1018+H1321))*MAX(0,MIN(6,'Loan Tape'!$AV105)-5)</f>
        <v>0</v>
      </c>
      <c r="I1927" s="71" t="n">
        <f aca="false">I412*MAX(0,I109-0.5*(I715+I1018+I1321))*MAX(0,MIN(7,'Loan Tape'!$AV105)-6)</f>
        <v>0</v>
      </c>
      <c r="J1927" s="71" t="n">
        <f aca="false">J412*MAX(0,J109-0.5*(J715+J1018+J1321))*MAX(0,MIN(8,'Loan Tape'!$AV105)-7)</f>
        <v>0</v>
      </c>
      <c r="K1927" s="71" t="n">
        <f aca="false">K412*MAX(0,K109-0.5*(K715+K1018+K1321))*MAX(0,MIN(9,'Loan Tape'!$AV105)-8)</f>
        <v>0</v>
      </c>
      <c r="L1927" s="71" t="n">
        <f aca="false">L412*MAX(0,L109-0.5*(L715+L1018+L1321))*MAX(0,MIN(10,'Loan Tape'!$AV105)-9)</f>
        <v>0</v>
      </c>
    </row>
    <row r="1928" customFormat="false" ht="15" hidden="false" customHeight="false" outlineLevel="0" collapsed="false">
      <c r="B1928" s="102" t="n">
        <f aca="false">'Loan Tape'!$A106</f>
        <v>0</v>
      </c>
      <c r="C1928" s="99" t="n">
        <f aca="false">C413*MAX(0,C110-0.5*(C716+C1019+C1322))*MAX(0,MIN(1,'Loan Tape'!$AV106)-0)</f>
        <v>0</v>
      </c>
      <c r="D1928" s="99" t="n">
        <f aca="false">D413*MAX(0,D110-0.5*(D716+D1019+D1322))*MAX(0,MIN(2,'Loan Tape'!$AV106)-1)</f>
        <v>0</v>
      </c>
      <c r="E1928" s="99" t="n">
        <f aca="false">E413*MAX(0,E110-0.5*(E716+E1019+E1322))*MAX(0,MIN(3,'Loan Tape'!$AV106)-2)</f>
        <v>0</v>
      </c>
      <c r="F1928" s="99" t="n">
        <f aca="false">F413*MAX(0,F110-0.5*(F716+F1019+F1322))*MAX(0,MIN(4,'Loan Tape'!$AV106)-3)</f>
        <v>0</v>
      </c>
      <c r="G1928" s="99" t="n">
        <f aca="false">G413*MAX(0,G110-0.5*(G716+G1019+G1322))*MAX(0,MIN(5,'Loan Tape'!$AV106)-4)</f>
        <v>0</v>
      </c>
      <c r="H1928" s="99" t="n">
        <f aca="false">H413*MAX(0,H110-0.5*(H716+H1019+H1322))*MAX(0,MIN(6,'Loan Tape'!$AV106)-5)</f>
        <v>0</v>
      </c>
      <c r="I1928" s="99" t="n">
        <f aca="false">I413*MAX(0,I110-0.5*(I716+I1019+I1322))*MAX(0,MIN(7,'Loan Tape'!$AV106)-6)</f>
        <v>0</v>
      </c>
      <c r="J1928" s="99" t="n">
        <f aca="false">J413*MAX(0,J110-0.5*(J716+J1019+J1322))*MAX(0,MIN(8,'Loan Tape'!$AV106)-7)</f>
        <v>0</v>
      </c>
      <c r="K1928" s="99" t="n">
        <f aca="false">K413*MAX(0,K110-0.5*(K716+K1019+K1322))*MAX(0,MIN(9,'Loan Tape'!$AV106)-8)</f>
        <v>0</v>
      </c>
      <c r="L1928" s="99" t="n">
        <f aca="false">L413*MAX(0,L110-0.5*(L716+L1019+L1322))*MAX(0,MIN(10,'Loan Tape'!$AV106)-9)</f>
        <v>0</v>
      </c>
    </row>
    <row r="1929" customFormat="false" ht="15" hidden="false" customHeight="false" outlineLevel="0" collapsed="false">
      <c r="B1929" s="108" t="n">
        <f aca="false">'Loan Tape'!$A107</f>
        <v>0</v>
      </c>
      <c r="C1929" s="71" t="n">
        <f aca="false">C414*MAX(0,C111-0.5*(C717+C1020+C1323))*MAX(0,MIN(1,'Loan Tape'!$AV107)-0)</f>
        <v>0</v>
      </c>
      <c r="D1929" s="71" t="n">
        <f aca="false">D414*MAX(0,D111-0.5*(D717+D1020+D1323))*MAX(0,MIN(2,'Loan Tape'!$AV107)-1)</f>
        <v>0</v>
      </c>
      <c r="E1929" s="71" t="n">
        <f aca="false">E414*MAX(0,E111-0.5*(E717+E1020+E1323))*MAX(0,MIN(3,'Loan Tape'!$AV107)-2)</f>
        <v>0</v>
      </c>
      <c r="F1929" s="71" t="n">
        <f aca="false">F414*MAX(0,F111-0.5*(F717+F1020+F1323))*MAX(0,MIN(4,'Loan Tape'!$AV107)-3)</f>
        <v>0</v>
      </c>
      <c r="G1929" s="71" t="n">
        <f aca="false">G414*MAX(0,G111-0.5*(G717+G1020+G1323))*MAX(0,MIN(5,'Loan Tape'!$AV107)-4)</f>
        <v>0</v>
      </c>
      <c r="H1929" s="71" t="n">
        <f aca="false">H414*MAX(0,H111-0.5*(H717+H1020+H1323))*MAX(0,MIN(6,'Loan Tape'!$AV107)-5)</f>
        <v>0</v>
      </c>
      <c r="I1929" s="71" t="n">
        <f aca="false">I414*MAX(0,I111-0.5*(I717+I1020+I1323))*MAX(0,MIN(7,'Loan Tape'!$AV107)-6)</f>
        <v>0</v>
      </c>
      <c r="J1929" s="71" t="n">
        <f aca="false">J414*MAX(0,J111-0.5*(J717+J1020+J1323))*MAX(0,MIN(8,'Loan Tape'!$AV107)-7)</f>
        <v>0</v>
      </c>
      <c r="K1929" s="71" t="n">
        <f aca="false">K414*MAX(0,K111-0.5*(K717+K1020+K1323))*MAX(0,MIN(9,'Loan Tape'!$AV107)-8)</f>
        <v>0</v>
      </c>
      <c r="L1929" s="71" t="n">
        <f aca="false">L414*MAX(0,L111-0.5*(L717+L1020+L1323))*MAX(0,MIN(10,'Loan Tape'!$AV107)-9)</f>
        <v>0</v>
      </c>
    </row>
    <row r="1930" customFormat="false" ht="15" hidden="false" customHeight="false" outlineLevel="0" collapsed="false">
      <c r="B1930" s="102" t="n">
        <f aca="false">'Loan Tape'!$A108</f>
        <v>0</v>
      </c>
      <c r="C1930" s="99" t="n">
        <f aca="false">C415*MAX(0,C112-0.5*(C718+C1021+C1324))*MAX(0,MIN(1,'Loan Tape'!$AV108)-0)</f>
        <v>0</v>
      </c>
      <c r="D1930" s="99" t="n">
        <f aca="false">D415*MAX(0,D112-0.5*(D718+D1021+D1324))*MAX(0,MIN(2,'Loan Tape'!$AV108)-1)</f>
        <v>0</v>
      </c>
      <c r="E1930" s="99" t="n">
        <f aca="false">E415*MAX(0,E112-0.5*(E718+E1021+E1324))*MAX(0,MIN(3,'Loan Tape'!$AV108)-2)</f>
        <v>0</v>
      </c>
      <c r="F1930" s="99" t="n">
        <f aca="false">F415*MAX(0,F112-0.5*(F718+F1021+F1324))*MAX(0,MIN(4,'Loan Tape'!$AV108)-3)</f>
        <v>0</v>
      </c>
      <c r="G1930" s="99" t="n">
        <f aca="false">G415*MAX(0,G112-0.5*(G718+G1021+G1324))*MAX(0,MIN(5,'Loan Tape'!$AV108)-4)</f>
        <v>0</v>
      </c>
      <c r="H1930" s="99" t="n">
        <f aca="false">H415*MAX(0,H112-0.5*(H718+H1021+H1324))*MAX(0,MIN(6,'Loan Tape'!$AV108)-5)</f>
        <v>0</v>
      </c>
      <c r="I1930" s="99" t="n">
        <f aca="false">I415*MAX(0,I112-0.5*(I718+I1021+I1324))*MAX(0,MIN(7,'Loan Tape'!$AV108)-6)</f>
        <v>0</v>
      </c>
      <c r="J1930" s="99" t="n">
        <f aca="false">J415*MAX(0,J112-0.5*(J718+J1021+J1324))*MAX(0,MIN(8,'Loan Tape'!$AV108)-7)</f>
        <v>0</v>
      </c>
      <c r="K1930" s="99" t="n">
        <f aca="false">K415*MAX(0,K112-0.5*(K718+K1021+K1324))*MAX(0,MIN(9,'Loan Tape'!$AV108)-8)</f>
        <v>0</v>
      </c>
      <c r="L1930" s="99" t="n">
        <f aca="false">L415*MAX(0,L112-0.5*(L718+L1021+L1324))*MAX(0,MIN(10,'Loan Tape'!$AV108)-9)</f>
        <v>0</v>
      </c>
    </row>
    <row r="1931" customFormat="false" ht="15" hidden="false" customHeight="false" outlineLevel="0" collapsed="false">
      <c r="B1931" s="108" t="n">
        <f aca="false">'Loan Tape'!$A109</f>
        <v>0</v>
      </c>
      <c r="C1931" s="71" t="n">
        <f aca="false">C416*MAX(0,C113-0.5*(C719+C1022+C1325))*MAX(0,MIN(1,'Loan Tape'!$AV109)-0)</f>
        <v>0</v>
      </c>
      <c r="D1931" s="71" t="n">
        <f aca="false">D416*MAX(0,D113-0.5*(D719+D1022+D1325))*MAX(0,MIN(2,'Loan Tape'!$AV109)-1)</f>
        <v>0</v>
      </c>
      <c r="E1931" s="71" t="n">
        <f aca="false">E416*MAX(0,E113-0.5*(E719+E1022+E1325))*MAX(0,MIN(3,'Loan Tape'!$AV109)-2)</f>
        <v>0</v>
      </c>
      <c r="F1931" s="71" t="n">
        <f aca="false">F416*MAX(0,F113-0.5*(F719+F1022+F1325))*MAX(0,MIN(4,'Loan Tape'!$AV109)-3)</f>
        <v>0</v>
      </c>
      <c r="G1931" s="71" t="n">
        <f aca="false">G416*MAX(0,G113-0.5*(G719+G1022+G1325))*MAX(0,MIN(5,'Loan Tape'!$AV109)-4)</f>
        <v>0</v>
      </c>
      <c r="H1931" s="71" t="n">
        <f aca="false">H416*MAX(0,H113-0.5*(H719+H1022+H1325))*MAX(0,MIN(6,'Loan Tape'!$AV109)-5)</f>
        <v>0</v>
      </c>
      <c r="I1931" s="71" t="n">
        <f aca="false">I416*MAX(0,I113-0.5*(I719+I1022+I1325))*MAX(0,MIN(7,'Loan Tape'!$AV109)-6)</f>
        <v>0</v>
      </c>
      <c r="J1931" s="71" t="n">
        <f aca="false">J416*MAX(0,J113-0.5*(J719+J1022+J1325))*MAX(0,MIN(8,'Loan Tape'!$AV109)-7)</f>
        <v>0</v>
      </c>
      <c r="K1931" s="71" t="n">
        <f aca="false">K416*MAX(0,K113-0.5*(K719+K1022+K1325))*MAX(0,MIN(9,'Loan Tape'!$AV109)-8)</f>
        <v>0</v>
      </c>
      <c r="L1931" s="71" t="n">
        <f aca="false">L416*MAX(0,L113-0.5*(L719+L1022+L1325))*MAX(0,MIN(10,'Loan Tape'!$AV109)-9)</f>
        <v>0</v>
      </c>
    </row>
    <row r="1932" customFormat="false" ht="15" hidden="false" customHeight="false" outlineLevel="0" collapsed="false">
      <c r="B1932" s="102" t="n">
        <f aca="false">'Loan Tape'!$A110</f>
        <v>0</v>
      </c>
      <c r="C1932" s="99" t="n">
        <f aca="false">C417*MAX(0,C114-0.5*(C720+C1023+C1326))*MAX(0,MIN(1,'Loan Tape'!$AV110)-0)</f>
        <v>0</v>
      </c>
      <c r="D1932" s="99" t="n">
        <f aca="false">D417*MAX(0,D114-0.5*(D720+D1023+D1326))*MAX(0,MIN(2,'Loan Tape'!$AV110)-1)</f>
        <v>0</v>
      </c>
      <c r="E1932" s="99" t="n">
        <f aca="false">E417*MAX(0,E114-0.5*(E720+E1023+E1326))*MAX(0,MIN(3,'Loan Tape'!$AV110)-2)</f>
        <v>0</v>
      </c>
      <c r="F1932" s="99" t="n">
        <f aca="false">F417*MAX(0,F114-0.5*(F720+F1023+F1326))*MAX(0,MIN(4,'Loan Tape'!$AV110)-3)</f>
        <v>0</v>
      </c>
      <c r="G1932" s="99" t="n">
        <f aca="false">G417*MAX(0,G114-0.5*(G720+G1023+G1326))*MAX(0,MIN(5,'Loan Tape'!$AV110)-4)</f>
        <v>0</v>
      </c>
      <c r="H1932" s="99" t="n">
        <f aca="false">H417*MAX(0,H114-0.5*(H720+H1023+H1326))*MAX(0,MIN(6,'Loan Tape'!$AV110)-5)</f>
        <v>0</v>
      </c>
      <c r="I1932" s="99" t="n">
        <f aca="false">I417*MAX(0,I114-0.5*(I720+I1023+I1326))*MAX(0,MIN(7,'Loan Tape'!$AV110)-6)</f>
        <v>0</v>
      </c>
      <c r="J1932" s="99" t="n">
        <f aca="false">J417*MAX(0,J114-0.5*(J720+J1023+J1326))*MAX(0,MIN(8,'Loan Tape'!$AV110)-7)</f>
        <v>0</v>
      </c>
      <c r="K1932" s="99" t="n">
        <f aca="false">K417*MAX(0,K114-0.5*(K720+K1023+K1326))*MAX(0,MIN(9,'Loan Tape'!$AV110)-8)</f>
        <v>0</v>
      </c>
      <c r="L1932" s="99" t="n">
        <f aca="false">L417*MAX(0,L114-0.5*(L720+L1023+L1326))*MAX(0,MIN(10,'Loan Tape'!$AV110)-9)</f>
        <v>0</v>
      </c>
    </row>
    <row r="1933" customFormat="false" ht="15" hidden="false" customHeight="false" outlineLevel="0" collapsed="false">
      <c r="B1933" s="108" t="n">
        <f aca="false">'Loan Tape'!$A111</f>
        <v>0</v>
      </c>
      <c r="C1933" s="71" t="n">
        <f aca="false">C418*MAX(0,C115-0.5*(C721+C1024+C1327))*MAX(0,MIN(1,'Loan Tape'!$AV111)-0)</f>
        <v>0</v>
      </c>
      <c r="D1933" s="71" t="n">
        <f aca="false">D418*MAX(0,D115-0.5*(D721+D1024+D1327))*MAX(0,MIN(2,'Loan Tape'!$AV111)-1)</f>
        <v>0</v>
      </c>
      <c r="E1933" s="71" t="n">
        <f aca="false">E418*MAX(0,E115-0.5*(E721+E1024+E1327))*MAX(0,MIN(3,'Loan Tape'!$AV111)-2)</f>
        <v>0</v>
      </c>
      <c r="F1933" s="71" t="n">
        <f aca="false">F418*MAX(0,F115-0.5*(F721+F1024+F1327))*MAX(0,MIN(4,'Loan Tape'!$AV111)-3)</f>
        <v>0</v>
      </c>
      <c r="G1933" s="71" t="n">
        <f aca="false">G418*MAX(0,G115-0.5*(G721+G1024+G1327))*MAX(0,MIN(5,'Loan Tape'!$AV111)-4)</f>
        <v>0</v>
      </c>
      <c r="H1933" s="71" t="n">
        <f aca="false">H418*MAX(0,H115-0.5*(H721+H1024+H1327))*MAX(0,MIN(6,'Loan Tape'!$AV111)-5)</f>
        <v>0</v>
      </c>
      <c r="I1933" s="71" t="n">
        <f aca="false">I418*MAX(0,I115-0.5*(I721+I1024+I1327))*MAX(0,MIN(7,'Loan Tape'!$AV111)-6)</f>
        <v>0</v>
      </c>
      <c r="J1933" s="71" t="n">
        <f aca="false">J418*MAX(0,J115-0.5*(J721+J1024+J1327))*MAX(0,MIN(8,'Loan Tape'!$AV111)-7)</f>
        <v>0</v>
      </c>
      <c r="K1933" s="71" t="n">
        <f aca="false">K418*MAX(0,K115-0.5*(K721+K1024+K1327))*MAX(0,MIN(9,'Loan Tape'!$AV111)-8)</f>
        <v>0</v>
      </c>
      <c r="L1933" s="71" t="n">
        <f aca="false">L418*MAX(0,L115-0.5*(L721+L1024+L1327))*MAX(0,MIN(10,'Loan Tape'!$AV111)-9)</f>
        <v>0</v>
      </c>
    </row>
    <row r="1934" customFormat="false" ht="15" hidden="false" customHeight="false" outlineLevel="0" collapsed="false">
      <c r="B1934" s="102" t="n">
        <f aca="false">'Loan Tape'!$A112</f>
        <v>0</v>
      </c>
      <c r="C1934" s="99" t="n">
        <f aca="false">C419*MAX(0,C116-0.5*(C722+C1025+C1328))*MAX(0,MIN(1,'Loan Tape'!$AV112)-0)</f>
        <v>0</v>
      </c>
      <c r="D1934" s="99" t="n">
        <f aca="false">D419*MAX(0,D116-0.5*(D722+D1025+D1328))*MAX(0,MIN(2,'Loan Tape'!$AV112)-1)</f>
        <v>0</v>
      </c>
      <c r="E1934" s="99" t="n">
        <f aca="false">E419*MAX(0,E116-0.5*(E722+E1025+E1328))*MAX(0,MIN(3,'Loan Tape'!$AV112)-2)</f>
        <v>0</v>
      </c>
      <c r="F1934" s="99" t="n">
        <f aca="false">F419*MAX(0,F116-0.5*(F722+F1025+F1328))*MAX(0,MIN(4,'Loan Tape'!$AV112)-3)</f>
        <v>0</v>
      </c>
      <c r="G1934" s="99" t="n">
        <f aca="false">G419*MAX(0,G116-0.5*(G722+G1025+G1328))*MAX(0,MIN(5,'Loan Tape'!$AV112)-4)</f>
        <v>0</v>
      </c>
      <c r="H1934" s="99" t="n">
        <f aca="false">H419*MAX(0,H116-0.5*(H722+H1025+H1328))*MAX(0,MIN(6,'Loan Tape'!$AV112)-5)</f>
        <v>0</v>
      </c>
      <c r="I1934" s="99" t="n">
        <f aca="false">I419*MAX(0,I116-0.5*(I722+I1025+I1328))*MAX(0,MIN(7,'Loan Tape'!$AV112)-6)</f>
        <v>0</v>
      </c>
      <c r="J1934" s="99" t="n">
        <f aca="false">J419*MAX(0,J116-0.5*(J722+J1025+J1328))*MAX(0,MIN(8,'Loan Tape'!$AV112)-7)</f>
        <v>0</v>
      </c>
      <c r="K1934" s="99" t="n">
        <f aca="false">K419*MAX(0,K116-0.5*(K722+K1025+K1328))*MAX(0,MIN(9,'Loan Tape'!$AV112)-8)</f>
        <v>0</v>
      </c>
      <c r="L1934" s="99" t="n">
        <f aca="false">L419*MAX(0,L116-0.5*(L722+L1025+L1328))*MAX(0,MIN(10,'Loan Tape'!$AV112)-9)</f>
        <v>0</v>
      </c>
    </row>
    <row r="1935" customFormat="false" ht="15" hidden="false" customHeight="false" outlineLevel="0" collapsed="false">
      <c r="B1935" s="108" t="n">
        <f aca="false">'Loan Tape'!$A113</f>
        <v>0</v>
      </c>
      <c r="C1935" s="71" t="n">
        <f aca="false">C420*MAX(0,C117-0.5*(C723+C1026+C1329))*MAX(0,MIN(1,'Loan Tape'!$AV113)-0)</f>
        <v>0</v>
      </c>
      <c r="D1935" s="71" t="n">
        <f aca="false">D420*MAX(0,D117-0.5*(D723+D1026+D1329))*MAX(0,MIN(2,'Loan Tape'!$AV113)-1)</f>
        <v>0</v>
      </c>
      <c r="E1935" s="71" t="n">
        <f aca="false">E420*MAX(0,E117-0.5*(E723+E1026+E1329))*MAX(0,MIN(3,'Loan Tape'!$AV113)-2)</f>
        <v>0</v>
      </c>
      <c r="F1935" s="71" t="n">
        <f aca="false">F420*MAX(0,F117-0.5*(F723+F1026+F1329))*MAX(0,MIN(4,'Loan Tape'!$AV113)-3)</f>
        <v>0</v>
      </c>
      <c r="G1935" s="71" t="n">
        <f aca="false">G420*MAX(0,G117-0.5*(G723+G1026+G1329))*MAX(0,MIN(5,'Loan Tape'!$AV113)-4)</f>
        <v>0</v>
      </c>
      <c r="H1935" s="71" t="n">
        <f aca="false">H420*MAX(0,H117-0.5*(H723+H1026+H1329))*MAX(0,MIN(6,'Loan Tape'!$AV113)-5)</f>
        <v>0</v>
      </c>
      <c r="I1935" s="71" t="n">
        <f aca="false">I420*MAX(0,I117-0.5*(I723+I1026+I1329))*MAX(0,MIN(7,'Loan Tape'!$AV113)-6)</f>
        <v>0</v>
      </c>
      <c r="J1935" s="71" t="n">
        <f aca="false">J420*MAX(0,J117-0.5*(J723+J1026+J1329))*MAX(0,MIN(8,'Loan Tape'!$AV113)-7)</f>
        <v>0</v>
      </c>
      <c r="K1935" s="71" t="n">
        <f aca="false">K420*MAX(0,K117-0.5*(K723+K1026+K1329))*MAX(0,MIN(9,'Loan Tape'!$AV113)-8)</f>
        <v>0</v>
      </c>
      <c r="L1935" s="71" t="n">
        <f aca="false">L420*MAX(0,L117-0.5*(L723+L1026+L1329))*MAX(0,MIN(10,'Loan Tape'!$AV113)-9)</f>
        <v>0</v>
      </c>
    </row>
    <row r="1936" customFormat="false" ht="15" hidden="false" customHeight="false" outlineLevel="0" collapsed="false">
      <c r="B1936" s="102" t="n">
        <f aca="false">'Loan Tape'!$A114</f>
        <v>0</v>
      </c>
      <c r="C1936" s="99" t="n">
        <f aca="false">C421*MAX(0,C118-0.5*(C724+C1027+C1330))*MAX(0,MIN(1,'Loan Tape'!$AV114)-0)</f>
        <v>0</v>
      </c>
      <c r="D1936" s="99" t="n">
        <f aca="false">D421*MAX(0,D118-0.5*(D724+D1027+D1330))*MAX(0,MIN(2,'Loan Tape'!$AV114)-1)</f>
        <v>0</v>
      </c>
      <c r="E1936" s="99" t="n">
        <f aca="false">E421*MAX(0,E118-0.5*(E724+E1027+E1330))*MAX(0,MIN(3,'Loan Tape'!$AV114)-2)</f>
        <v>0</v>
      </c>
      <c r="F1936" s="99" t="n">
        <f aca="false">F421*MAX(0,F118-0.5*(F724+F1027+F1330))*MAX(0,MIN(4,'Loan Tape'!$AV114)-3)</f>
        <v>0</v>
      </c>
      <c r="G1936" s="99" t="n">
        <f aca="false">G421*MAX(0,G118-0.5*(G724+G1027+G1330))*MAX(0,MIN(5,'Loan Tape'!$AV114)-4)</f>
        <v>0</v>
      </c>
      <c r="H1936" s="99" t="n">
        <f aca="false">H421*MAX(0,H118-0.5*(H724+H1027+H1330))*MAX(0,MIN(6,'Loan Tape'!$AV114)-5)</f>
        <v>0</v>
      </c>
      <c r="I1936" s="99" t="n">
        <f aca="false">I421*MAX(0,I118-0.5*(I724+I1027+I1330))*MAX(0,MIN(7,'Loan Tape'!$AV114)-6)</f>
        <v>0</v>
      </c>
      <c r="J1936" s="99" t="n">
        <f aca="false">J421*MAX(0,J118-0.5*(J724+J1027+J1330))*MAX(0,MIN(8,'Loan Tape'!$AV114)-7)</f>
        <v>0</v>
      </c>
      <c r="K1936" s="99" t="n">
        <f aca="false">K421*MAX(0,K118-0.5*(K724+K1027+K1330))*MAX(0,MIN(9,'Loan Tape'!$AV114)-8)</f>
        <v>0</v>
      </c>
      <c r="L1936" s="99" t="n">
        <f aca="false">L421*MAX(0,L118-0.5*(L724+L1027+L1330))*MAX(0,MIN(10,'Loan Tape'!$AV114)-9)</f>
        <v>0</v>
      </c>
    </row>
    <row r="1937" customFormat="false" ht="15" hidden="false" customHeight="false" outlineLevel="0" collapsed="false">
      <c r="B1937" s="108" t="n">
        <f aca="false">'Loan Tape'!$A115</f>
        <v>0</v>
      </c>
      <c r="C1937" s="71" t="n">
        <f aca="false">C422*MAX(0,C119-0.5*(C725+C1028+C1331))*MAX(0,MIN(1,'Loan Tape'!$AV115)-0)</f>
        <v>0</v>
      </c>
      <c r="D1937" s="71" t="n">
        <f aca="false">D422*MAX(0,D119-0.5*(D725+D1028+D1331))*MAX(0,MIN(2,'Loan Tape'!$AV115)-1)</f>
        <v>0</v>
      </c>
      <c r="E1937" s="71" t="n">
        <f aca="false">E422*MAX(0,E119-0.5*(E725+E1028+E1331))*MAX(0,MIN(3,'Loan Tape'!$AV115)-2)</f>
        <v>0</v>
      </c>
      <c r="F1937" s="71" t="n">
        <f aca="false">F422*MAX(0,F119-0.5*(F725+F1028+F1331))*MAX(0,MIN(4,'Loan Tape'!$AV115)-3)</f>
        <v>0</v>
      </c>
      <c r="G1937" s="71" t="n">
        <f aca="false">G422*MAX(0,G119-0.5*(G725+G1028+G1331))*MAX(0,MIN(5,'Loan Tape'!$AV115)-4)</f>
        <v>0</v>
      </c>
      <c r="H1937" s="71" t="n">
        <f aca="false">H422*MAX(0,H119-0.5*(H725+H1028+H1331))*MAX(0,MIN(6,'Loan Tape'!$AV115)-5)</f>
        <v>0</v>
      </c>
      <c r="I1937" s="71" t="n">
        <f aca="false">I422*MAX(0,I119-0.5*(I725+I1028+I1331))*MAX(0,MIN(7,'Loan Tape'!$AV115)-6)</f>
        <v>0</v>
      </c>
      <c r="J1937" s="71" t="n">
        <f aca="false">J422*MAX(0,J119-0.5*(J725+J1028+J1331))*MAX(0,MIN(8,'Loan Tape'!$AV115)-7)</f>
        <v>0</v>
      </c>
      <c r="K1937" s="71" t="n">
        <f aca="false">K422*MAX(0,K119-0.5*(K725+K1028+K1331))*MAX(0,MIN(9,'Loan Tape'!$AV115)-8)</f>
        <v>0</v>
      </c>
      <c r="L1937" s="71" t="n">
        <f aca="false">L422*MAX(0,L119-0.5*(L725+L1028+L1331))*MAX(0,MIN(10,'Loan Tape'!$AV115)-9)</f>
        <v>0</v>
      </c>
    </row>
    <row r="1938" customFormat="false" ht="15" hidden="false" customHeight="false" outlineLevel="0" collapsed="false">
      <c r="B1938" s="102" t="n">
        <f aca="false">'Loan Tape'!$A116</f>
        <v>0</v>
      </c>
      <c r="C1938" s="99" t="n">
        <f aca="false">C423*MAX(0,C120-0.5*(C726+C1029+C1332))*MAX(0,MIN(1,'Loan Tape'!$AV116)-0)</f>
        <v>0</v>
      </c>
      <c r="D1938" s="99" t="n">
        <f aca="false">D423*MAX(0,D120-0.5*(D726+D1029+D1332))*MAX(0,MIN(2,'Loan Tape'!$AV116)-1)</f>
        <v>0</v>
      </c>
      <c r="E1938" s="99" t="n">
        <f aca="false">E423*MAX(0,E120-0.5*(E726+E1029+E1332))*MAX(0,MIN(3,'Loan Tape'!$AV116)-2)</f>
        <v>0</v>
      </c>
      <c r="F1938" s="99" t="n">
        <f aca="false">F423*MAX(0,F120-0.5*(F726+F1029+F1332))*MAX(0,MIN(4,'Loan Tape'!$AV116)-3)</f>
        <v>0</v>
      </c>
      <c r="G1938" s="99" t="n">
        <f aca="false">G423*MAX(0,G120-0.5*(G726+G1029+G1332))*MAX(0,MIN(5,'Loan Tape'!$AV116)-4)</f>
        <v>0</v>
      </c>
      <c r="H1938" s="99" t="n">
        <f aca="false">H423*MAX(0,H120-0.5*(H726+H1029+H1332))*MAX(0,MIN(6,'Loan Tape'!$AV116)-5)</f>
        <v>0</v>
      </c>
      <c r="I1938" s="99" t="n">
        <f aca="false">I423*MAX(0,I120-0.5*(I726+I1029+I1332))*MAX(0,MIN(7,'Loan Tape'!$AV116)-6)</f>
        <v>0</v>
      </c>
      <c r="J1938" s="99" t="n">
        <f aca="false">J423*MAX(0,J120-0.5*(J726+J1029+J1332))*MAX(0,MIN(8,'Loan Tape'!$AV116)-7)</f>
        <v>0</v>
      </c>
      <c r="K1938" s="99" t="n">
        <f aca="false">K423*MAX(0,K120-0.5*(K726+K1029+K1332))*MAX(0,MIN(9,'Loan Tape'!$AV116)-8)</f>
        <v>0</v>
      </c>
      <c r="L1938" s="99" t="n">
        <f aca="false">L423*MAX(0,L120-0.5*(L726+L1029+L1332))*MAX(0,MIN(10,'Loan Tape'!$AV116)-9)</f>
        <v>0</v>
      </c>
    </row>
    <row r="1939" customFormat="false" ht="15" hidden="false" customHeight="false" outlineLevel="0" collapsed="false">
      <c r="B1939" s="108" t="n">
        <f aca="false">'Loan Tape'!$A117</f>
        <v>0</v>
      </c>
      <c r="C1939" s="71" t="n">
        <f aca="false">C424*MAX(0,C121-0.5*(C727+C1030+C1333))*MAX(0,MIN(1,'Loan Tape'!$AV117)-0)</f>
        <v>0</v>
      </c>
      <c r="D1939" s="71" t="n">
        <f aca="false">D424*MAX(0,D121-0.5*(D727+D1030+D1333))*MAX(0,MIN(2,'Loan Tape'!$AV117)-1)</f>
        <v>0</v>
      </c>
      <c r="E1939" s="71" t="n">
        <f aca="false">E424*MAX(0,E121-0.5*(E727+E1030+E1333))*MAX(0,MIN(3,'Loan Tape'!$AV117)-2)</f>
        <v>0</v>
      </c>
      <c r="F1939" s="71" t="n">
        <f aca="false">F424*MAX(0,F121-0.5*(F727+F1030+F1333))*MAX(0,MIN(4,'Loan Tape'!$AV117)-3)</f>
        <v>0</v>
      </c>
      <c r="G1939" s="71" t="n">
        <f aca="false">G424*MAX(0,G121-0.5*(G727+G1030+G1333))*MAX(0,MIN(5,'Loan Tape'!$AV117)-4)</f>
        <v>0</v>
      </c>
      <c r="H1939" s="71" t="n">
        <f aca="false">H424*MAX(0,H121-0.5*(H727+H1030+H1333))*MAX(0,MIN(6,'Loan Tape'!$AV117)-5)</f>
        <v>0</v>
      </c>
      <c r="I1939" s="71" t="n">
        <f aca="false">I424*MAX(0,I121-0.5*(I727+I1030+I1333))*MAX(0,MIN(7,'Loan Tape'!$AV117)-6)</f>
        <v>0</v>
      </c>
      <c r="J1939" s="71" t="n">
        <f aca="false">J424*MAX(0,J121-0.5*(J727+J1030+J1333))*MAX(0,MIN(8,'Loan Tape'!$AV117)-7)</f>
        <v>0</v>
      </c>
      <c r="K1939" s="71" t="n">
        <f aca="false">K424*MAX(0,K121-0.5*(K727+K1030+K1333))*MAX(0,MIN(9,'Loan Tape'!$AV117)-8)</f>
        <v>0</v>
      </c>
      <c r="L1939" s="71" t="n">
        <f aca="false">L424*MAX(0,L121-0.5*(L727+L1030+L1333))*MAX(0,MIN(10,'Loan Tape'!$AV117)-9)</f>
        <v>0</v>
      </c>
    </row>
    <row r="1940" customFormat="false" ht="15" hidden="false" customHeight="false" outlineLevel="0" collapsed="false">
      <c r="B1940" s="102" t="n">
        <f aca="false">'Loan Tape'!$A118</f>
        <v>0</v>
      </c>
      <c r="C1940" s="99" t="n">
        <f aca="false">C425*MAX(0,C122-0.5*(C728+C1031+C1334))*MAX(0,MIN(1,'Loan Tape'!$AV118)-0)</f>
        <v>0</v>
      </c>
      <c r="D1940" s="99" t="n">
        <f aca="false">D425*MAX(0,D122-0.5*(D728+D1031+D1334))*MAX(0,MIN(2,'Loan Tape'!$AV118)-1)</f>
        <v>0</v>
      </c>
      <c r="E1940" s="99" t="n">
        <f aca="false">E425*MAX(0,E122-0.5*(E728+E1031+E1334))*MAX(0,MIN(3,'Loan Tape'!$AV118)-2)</f>
        <v>0</v>
      </c>
      <c r="F1940" s="99" t="n">
        <f aca="false">F425*MAX(0,F122-0.5*(F728+F1031+F1334))*MAX(0,MIN(4,'Loan Tape'!$AV118)-3)</f>
        <v>0</v>
      </c>
      <c r="G1940" s="99" t="n">
        <f aca="false">G425*MAX(0,G122-0.5*(G728+G1031+G1334))*MAX(0,MIN(5,'Loan Tape'!$AV118)-4)</f>
        <v>0</v>
      </c>
      <c r="H1940" s="99" t="n">
        <f aca="false">H425*MAX(0,H122-0.5*(H728+H1031+H1334))*MAX(0,MIN(6,'Loan Tape'!$AV118)-5)</f>
        <v>0</v>
      </c>
      <c r="I1940" s="99" t="n">
        <f aca="false">I425*MAX(0,I122-0.5*(I728+I1031+I1334))*MAX(0,MIN(7,'Loan Tape'!$AV118)-6)</f>
        <v>0</v>
      </c>
      <c r="J1940" s="99" t="n">
        <f aca="false">J425*MAX(0,J122-0.5*(J728+J1031+J1334))*MAX(0,MIN(8,'Loan Tape'!$AV118)-7)</f>
        <v>0</v>
      </c>
      <c r="K1940" s="99" t="n">
        <f aca="false">K425*MAX(0,K122-0.5*(K728+K1031+K1334))*MAX(0,MIN(9,'Loan Tape'!$AV118)-8)</f>
        <v>0</v>
      </c>
      <c r="L1940" s="99" t="n">
        <f aca="false">L425*MAX(0,L122-0.5*(L728+L1031+L1334))*MAX(0,MIN(10,'Loan Tape'!$AV118)-9)</f>
        <v>0</v>
      </c>
    </row>
    <row r="1941" customFormat="false" ht="15" hidden="false" customHeight="false" outlineLevel="0" collapsed="false">
      <c r="B1941" s="108" t="n">
        <f aca="false">'Loan Tape'!$A119</f>
        <v>0</v>
      </c>
      <c r="C1941" s="71" t="n">
        <f aca="false">C426*MAX(0,C123-0.5*(C729+C1032+C1335))*MAX(0,MIN(1,'Loan Tape'!$AV119)-0)</f>
        <v>0</v>
      </c>
      <c r="D1941" s="71" t="n">
        <f aca="false">D426*MAX(0,D123-0.5*(D729+D1032+D1335))*MAX(0,MIN(2,'Loan Tape'!$AV119)-1)</f>
        <v>0</v>
      </c>
      <c r="E1941" s="71" t="n">
        <f aca="false">E426*MAX(0,E123-0.5*(E729+E1032+E1335))*MAX(0,MIN(3,'Loan Tape'!$AV119)-2)</f>
        <v>0</v>
      </c>
      <c r="F1941" s="71" t="n">
        <f aca="false">F426*MAX(0,F123-0.5*(F729+F1032+F1335))*MAX(0,MIN(4,'Loan Tape'!$AV119)-3)</f>
        <v>0</v>
      </c>
      <c r="G1941" s="71" t="n">
        <f aca="false">G426*MAX(0,G123-0.5*(G729+G1032+G1335))*MAX(0,MIN(5,'Loan Tape'!$AV119)-4)</f>
        <v>0</v>
      </c>
      <c r="H1941" s="71" t="n">
        <f aca="false">H426*MAX(0,H123-0.5*(H729+H1032+H1335))*MAX(0,MIN(6,'Loan Tape'!$AV119)-5)</f>
        <v>0</v>
      </c>
      <c r="I1941" s="71" t="n">
        <f aca="false">I426*MAX(0,I123-0.5*(I729+I1032+I1335))*MAX(0,MIN(7,'Loan Tape'!$AV119)-6)</f>
        <v>0</v>
      </c>
      <c r="J1941" s="71" t="n">
        <f aca="false">J426*MAX(0,J123-0.5*(J729+J1032+J1335))*MAX(0,MIN(8,'Loan Tape'!$AV119)-7)</f>
        <v>0</v>
      </c>
      <c r="K1941" s="71" t="n">
        <f aca="false">K426*MAX(0,K123-0.5*(K729+K1032+K1335))*MAX(0,MIN(9,'Loan Tape'!$AV119)-8)</f>
        <v>0</v>
      </c>
      <c r="L1941" s="71" t="n">
        <f aca="false">L426*MAX(0,L123-0.5*(L729+L1032+L1335))*MAX(0,MIN(10,'Loan Tape'!$AV119)-9)</f>
        <v>0</v>
      </c>
    </row>
    <row r="1942" customFormat="false" ht="15" hidden="false" customHeight="false" outlineLevel="0" collapsed="false">
      <c r="B1942" s="102" t="n">
        <f aca="false">'Loan Tape'!$A120</f>
        <v>0</v>
      </c>
      <c r="C1942" s="99" t="n">
        <f aca="false">C427*MAX(0,C124-0.5*(C730+C1033+C1336))*MAX(0,MIN(1,'Loan Tape'!$AV120)-0)</f>
        <v>0</v>
      </c>
      <c r="D1942" s="99" t="n">
        <f aca="false">D427*MAX(0,D124-0.5*(D730+D1033+D1336))*MAX(0,MIN(2,'Loan Tape'!$AV120)-1)</f>
        <v>0</v>
      </c>
      <c r="E1942" s="99" t="n">
        <f aca="false">E427*MAX(0,E124-0.5*(E730+E1033+E1336))*MAX(0,MIN(3,'Loan Tape'!$AV120)-2)</f>
        <v>0</v>
      </c>
      <c r="F1942" s="99" t="n">
        <f aca="false">F427*MAX(0,F124-0.5*(F730+F1033+F1336))*MAX(0,MIN(4,'Loan Tape'!$AV120)-3)</f>
        <v>0</v>
      </c>
      <c r="G1942" s="99" t="n">
        <f aca="false">G427*MAX(0,G124-0.5*(G730+G1033+G1336))*MAX(0,MIN(5,'Loan Tape'!$AV120)-4)</f>
        <v>0</v>
      </c>
      <c r="H1942" s="99" t="n">
        <f aca="false">H427*MAX(0,H124-0.5*(H730+H1033+H1336))*MAX(0,MIN(6,'Loan Tape'!$AV120)-5)</f>
        <v>0</v>
      </c>
      <c r="I1942" s="99" t="n">
        <f aca="false">I427*MAX(0,I124-0.5*(I730+I1033+I1336))*MAX(0,MIN(7,'Loan Tape'!$AV120)-6)</f>
        <v>0</v>
      </c>
      <c r="J1942" s="99" t="n">
        <f aca="false">J427*MAX(0,J124-0.5*(J730+J1033+J1336))*MAX(0,MIN(8,'Loan Tape'!$AV120)-7)</f>
        <v>0</v>
      </c>
      <c r="K1942" s="99" t="n">
        <f aca="false">K427*MAX(0,K124-0.5*(K730+K1033+K1336))*MAX(0,MIN(9,'Loan Tape'!$AV120)-8)</f>
        <v>0</v>
      </c>
      <c r="L1942" s="99" t="n">
        <f aca="false">L427*MAX(0,L124-0.5*(L730+L1033+L1336))*MAX(0,MIN(10,'Loan Tape'!$AV120)-9)</f>
        <v>0</v>
      </c>
    </row>
    <row r="1943" customFormat="false" ht="15" hidden="false" customHeight="false" outlineLevel="0" collapsed="false">
      <c r="B1943" s="108" t="n">
        <f aca="false">'Loan Tape'!$A121</f>
        <v>0</v>
      </c>
      <c r="C1943" s="71" t="n">
        <f aca="false">C428*MAX(0,C125-0.5*(C731+C1034+C1337))*MAX(0,MIN(1,'Loan Tape'!$AV121)-0)</f>
        <v>0</v>
      </c>
      <c r="D1943" s="71" t="n">
        <f aca="false">D428*MAX(0,D125-0.5*(D731+D1034+D1337))*MAX(0,MIN(2,'Loan Tape'!$AV121)-1)</f>
        <v>0</v>
      </c>
      <c r="E1943" s="71" t="n">
        <f aca="false">E428*MAX(0,E125-0.5*(E731+E1034+E1337))*MAX(0,MIN(3,'Loan Tape'!$AV121)-2)</f>
        <v>0</v>
      </c>
      <c r="F1943" s="71" t="n">
        <f aca="false">F428*MAX(0,F125-0.5*(F731+F1034+F1337))*MAX(0,MIN(4,'Loan Tape'!$AV121)-3)</f>
        <v>0</v>
      </c>
      <c r="G1943" s="71" t="n">
        <f aca="false">G428*MAX(0,G125-0.5*(G731+G1034+G1337))*MAX(0,MIN(5,'Loan Tape'!$AV121)-4)</f>
        <v>0</v>
      </c>
      <c r="H1943" s="71" t="n">
        <f aca="false">H428*MAX(0,H125-0.5*(H731+H1034+H1337))*MAX(0,MIN(6,'Loan Tape'!$AV121)-5)</f>
        <v>0</v>
      </c>
      <c r="I1943" s="71" t="n">
        <f aca="false">I428*MAX(0,I125-0.5*(I731+I1034+I1337))*MAX(0,MIN(7,'Loan Tape'!$AV121)-6)</f>
        <v>0</v>
      </c>
      <c r="J1943" s="71" t="n">
        <f aca="false">J428*MAX(0,J125-0.5*(J731+J1034+J1337))*MAX(0,MIN(8,'Loan Tape'!$AV121)-7)</f>
        <v>0</v>
      </c>
      <c r="K1943" s="71" t="n">
        <f aca="false">K428*MAX(0,K125-0.5*(K731+K1034+K1337))*MAX(0,MIN(9,'Loan Tape'!$AV121)-8)</f>
        <v>0</v>
      </c>
      <c r="L1943" s="71" t="n">
        <f aca="false">L428*MAX(0,L125-0.5*(L731+L1034+L1337))*MAX(0,MIN(10,'Loan Tape'!$AV121)-9)</f>
        <v>0</v>
      </c>
    </row>
    <row r="1944" customFormat="false" ht="15" hidden="false" customHeight="false" outlineLevel="0" collapsed="false">
      <c r="B1944" s="102" t="n">
        <f aca="false">'Loan Tape'!$A122</f>
        <v>0</v>
      </c>
      <c r="C1944" s="99" t="n">
        <f aca="false">C429*MAX(0,C126-0.5*(C732+C1035+C1338))*MAX(0,MIN(1,'Loan Tape'!$AV122)-0)</f>
        <v>0</v>
      </c>
      <c r="D1944" s="99" t="n">
        <f aca="false">D429*MAX(0,D126-0.5*(D732+D1035+D1338))*MAX(0,MIN(2,'Loan Tape'!$AV122)-1)</f>
        <v>0</v>
      </c>
      <c r="E1944" s="99" t="n">
        <f aca="false">E429*MAX(0,E126-0.5*(E732+E1035+E1338))*MAX(0,MIN(3,'Loan Tape'!$AV122)-2)</f>
        <v>0</v>
      </c>
      <c r="F1944" s="99" t="n">
        <f aca="false">F429*MAX(0,F126-0.5*(F732+F1035+F1338))*MAX(0,MIN(4,'Loan Tape'!$AV122)-3)</f>
        <v>0</v>
      </c>
      <c r="G1944" s="99" t="n">
        <f aca="false">G429*MAX(0,G126-0.5*(G732+G1035+G1338))*MAX(0,MIN(5,'Loan Tape'!$AV122)-4)</f>
        <v>0</v>
      </c>
      <c r="H1944" s="99" t="n">
        <f aca="false">H429*MAX(0,H126-0.5*(H732+H1035+H1338))*MAX(0,MIN(6,'Loan Tape'!$AV122)-5)</f>
        <v>0</v>
      </c>
      <c r="I1944" s="99" t="n">
        <f aca="false">I429*MAX(0,I126-0.5*(I732+I1035+I1338))*MAX(0,MIN(7,'Loan Tape'!$AV122)-6)</f>
        <v>0</v>
      </c>
      <c r="J1944" s="99" t="n">
        <f aca="false">J429*MAX(0,J126-0.5*(J732+J1035+J1338))*MAX(0,MIN(8,'Loan Tape'!$AV122)-7)</f>
        <v>0</v>
      </c>
      <c r="K1944" s="99" t="n">
        <f aca="false">K429*MAX(0,K126-0.5*(K732+K1035+K1338))*MAX(0,MIN(9,'Loan Tape'!$AV122)-8)</f>
        <v>0</v>
      </c>
      <c r="L1944" s="99" t="n">
        <f aca="false">L429*MAX(0,L126-0.5*(L732+L1035+L1338))*MAX(0,MIN(10,'Loan Tape'!$AV122)-9)</f>
        <v>0</v>
      </c>
    </row>
    <row r="1945" customFormat="false" ht="15" hidden="false" customHeight="false" outlineLevel="0" collapsed="false">
      <c r="B1945" s="108" t="n">
        <f aca="false">'Loan Tape'!$A123</f>
        <v>0</v>
      </c>
      <c r="C1945" s="71" t="n">
        <f aca="false">C430*MAX(0,C127-0.5*(C733+C1036+C1339))*MAX(0,MIN(1,'Loan Tape'!$AV123)-0)</f>
        <v>0</v>
      </c>
      <c r="D1945" s="71" t="n">
        <f aca="false">D430*MAX(0,D127-0.5*(D733+D1036+D1339))*MAX(0,MIN(2,'Loan Tape'!$AV123)-1)</f>
        <v>0</v>
      </c>
      <c r="E1945" s="71" t="n">
        <f aca="false">E430*MAX(0,E127-0.5*(E733+E1036+E1339))*MAX(0,MIN(3,'Loan Tape'!$AV123)-2)</f>
        <v>0</v>
      </c>
      <c r="F1945" s="71" t="n">
        <f aca="false">F430*MAX(0,F127-0.5*(F733+F1036+F1339))*MAX(0,MIN(4,'Loan Tape'!$AV123)-3)</f>
        <v>0</v>
      </c>
      <c r="G1945" s="71" t="n">
        <f aca="false">G430*MAX(0,G127-0.5*(G733+G1036+G1339))*MAX(0,MIN(5,'Loan Tape'!$AV123)-4)</f>
        <v>0</v>
      </c>
      <c r="H1945" s="71" t="n">
        <f aca="false">H430*MAX(0,H127-0.5*(H733+H1036+H1339))*MAX(0,MIN(6,'Loan Tape'!$AV123)-5)</f>
        <v>0</v>
      </c>
      <c r="I1945" s="71" t="n">
        <f aca="false">I430*MAX(0,I127-0.5*(I733+I1036+I1339))*MAX(0,MIN(7,'Loan Tape'!$AV123)-6)</f>
        <v>0</v>
      </c>
      <c r="J1945" s="71" t="n">
        <f aca="false">J430*MAX(0,J127-0.5*(J733+J1036+J1339))*MAX(0,MIN(8,'Loan Tape'!$AV123)-7)</f>
        <v>0</v>
      </c>
      <c r="K1945" s="71" t="n">
        <f aca="false">K430*MAX(0,K127-0.5*(K733+K1036+K1339))*MAX(0,MIN(9,'Loan Tape'!$AV123)-8)</f>
        <v>0</v>
      </c>
      <c r="L1945" s="71" t="n">
        <f aca="false">L430*MAX(0,L127-0.5*(L733+L1036+L1339))*MAX(0,MIN(10,'Loan Tape'!$AV123)-9)</f>
        <v>0</v>
      </c>
    </row>
    <row r="1946" customFormat="false" ht="15" hidden="false" customHeight="false" outlineLevel="0" collapsed="false">
      <c r="B1946" s="102" t="n">
        <f aca="false">'Loan Tape'!$A124</f>
        <v>0</v>
      </c>
      <c r="C1946" s="99" t="n">
        <f aca="false">C431*MAX(0,C128-0.5*(C734+C1037+C1340))*MAX(0,MIN(1,'Loan Tape'!$AV124)-0)</f>
        <v>0</v>
      </c>
      <c r="D1946" s="99" t="n">
        <f aca="false">D431*MAX(0,D128-0.5*(D734+D1037+D1340))*MAX(0,MIN(2,'Loan Tape'!$AV124)-1)</f>
        <v>0</v>
      </c>
      <c r="E1946" s="99" t="n">
        <f aca="false">E431*MAX(0,E128-0.5*(E734+E1037+E1340))*MAX(0,MIN(3,'Loan Tape'!$AV124)-2)</f>
        <v>0</v>
      </c>
      <c r="F1946" s="99" t="n">
        <f aca="false">F431*MAX(0,F128-0.5*(F734+F1037+F1340))*MAX(0,MIN(4,'Loan Tape'!$AV124)-3)</f>
        <v>0</v>
      </c>
      <c r="G1946" s="99" t="n">
        <f aca="false">G431*MAX(0,G128-0.5*(G734+G1037+G1340))*MAX(0,MIN(5,'Loan Tape'!$AV124)-4)</f>
        <v>0</v>
      </c>
      <c r="H1946" s="99" t="n">
        <f aca="false">H431*MAX(0,H128-0.5*(H734+H1037+H1340))*MAX(0,MIN(6,'Loan Tape'!$AV124)-5)</f>
        <v>0</v>
      </c>
      <c r="I1946" s="99" t="n">
        <f aca="false">I431*MAX(0,I128-0.5*(I734+I1037+I1340))*MAX(0,MIN(7,'Loan Tape'!$AV124)-6)</f>
        <v>0</v>
      </c>
      <c r="J1946" s="99" t="n">
        <f aca="false">J431*MAX(0,J128-0.5*(J734+J1037+J1340))*MAX(0,MIN(8,'Loan Tape'!$AV124)-7)</f>
        <v>0</v>
      </c>
      <c r="K1946" s="99" t="n">
        <f aca="false">K431*MAX(0,K128-0.5*(K734+K1037+K1340))*MAX(0,MIN(9,'Loan Tape'!$AV124)-8)</f>
        <v>0</v>
      </c>
      <c r="L1946" s="99" t="n">
        <f aca="false">L431*MAX(0,L128-0.5*(L734+L1037+L1340))*MAX(0,MIN(10,'Loan Tape'!$AV124)-9)</f>
        <v>0</v>
      </c>
    </row>
    <row r="1947" customFormat="false" ht="15" hidden="false" customHeight="false" outlineLevel="0" collapsed="false">
      <c r="B1947" s="108" t="n">
        <f aca="false">'Loan Tape'!$A125</f>
        <v>0</v>
      </c>
      <c r="C1947" s="71" t="n">
        <f aca="false">C432*MAX(0,C129-0.5*(C735+C1038+C1341))*MAX(0,MIN(1,'Loan Tape'!$AV125)-0)</f>
        <v>0</v>
      </c>
      <c r="D1947" s="71" t="n">
        <f aca="false">D432*MAX(0,D129-0.5*(D735+D1038+D1341))*MAX(0,MIN(2,'Loan Tape'!$AV125)-1)</f>
        <v>0</v>
      </c>
      <c r="E1947" s="71" t="n">
        <f aca="false">E432*MAX(0,E129-0.5*(E735+E1038+E1341))*MAX(0,MIN(3,'Loan Tape'!$AV125)-2)</f>
        <v>0</v>
      </c>
      <c r="F1947" s="71" t="n">
        <f aca="false">F432*MAX(0,F129-0.5*(F735+F1038+F1341))*MAX(0,MIN(4,'Loan Tape'!$AV125)-3)</f>
        <v>0</v>
      </c>
      <c r="G1947" s="71" t="n">
        <f aca="false">G432*MAX(0,G129-0.5*(G735+G1038+G1341))*MAX(0,MIN(5,'Loan Tape'!$AV125)-4)</f>
        <v>0</v>
      </c>
      <c r="H1947" s="71" t="n">
        <f aca="false">H432*MAX(0,H129-0.5*(H735+H1038+H1341))*MAX(0,MIN(6,'Loan Tape'!$AV125)-5)</f>
        <v>0</v>
      </c>
      <c r="I1947" s="71" t="n">
        <f aca="false">I432*MAX(0,I129-0.5*(I735+I1038+I1341))*MAX(0,MIN(7,'Loan Tape'!$AV125)-6)</f>
        <v>0</v>
      </c>
      <c r="J1947" s="71" t="n">
        <f aca="false">J432*MAX(0,J129-0.5*(J735+J1038+J1341))*MAX(0,MIN(8,'Loan Tape'!$AV125)-7)</f>
        <v>0</v>
      </c>
      <c r="K1947" s="71" t="n">
        <f aca="false">K432*MAX(0,K129-0.5*(K735+K1038+K1341))*MAX(0,MIN(9,'Loan Tape'!$AV125)-8)</f>
        <v>0</v>
      </c>
      <c r="L1947" s="71" t="n">
        <f aca="false">L432*MAX(0,L129-0.5*(L735+L1038+L1341))*MAX(0,MIN(10,'Loan Tape'!$AV125)-9)</f>
        <v>0</v>
      </c>
    </row>
    <row r="1948" customFormat="false" ht="15" hidden="false" customHeight="false" outlineLevel="0" collapsed="false">
      <c r="B1948" s="102" t="n">
        <f aca="false">'Loan Tape'!$A126</f>
        <v>0</v>
      </c>
      <c r="C1948" s="99" t="n">
        <f aca="false">C433*MAX(0,C130-0.5*(C736+C1039+C1342))*MAX(0,MIN(1,'Loan Tape'!$AV126)-0)</f>
        <v>0</v>
      </c>
      <c r="D1948" s="99" t="n">
        <f aca="false">D433*MAX(0,D130-0.5*(D736+D1039+D1342))*MAX(0,MIN(2,'Loan Tape'!$AV126)-1)</f>
        <v>0</v>
      </c>
      <c r="E1948" s="99" t="n">
        <f aca="false">E433*MAX(0,E130-0.5*(E736+E1039+E1342))*MAX(0,MIN(3,'Loan Tape'!$AV126)-2)</f>
        <v>0</v>
      </c>
      <c r="F1948" s="99" t="n">
        <f aca="false">F433*MAX(0,F130-0.5*(F736+F1039+F1342))*MAX(0,MIN(4,'Loan Tape'!$AV126)-3)</f>
        <v>0</v>
      </c>
      <c r="G1948" s="99" t="n">
        <f aca="false">G433*MAX(0,G130-0.5*(G736+G1039+G1342))*MAX(0,MIN(5,'Loan Tape'!$AV126)-4)</f>
        <v>0</v>
      </c>
      <c r="H1948" s="99" t="n">
        <f aca="false">H433*MAX(0,H130-0.5*(H736+H1039+H1342))*MAX(0,MIN(6,'Loan Tape'!$AV126)-5)</f>
        <v>0</v>
      </c>
      <c r="I1948" s="99" t="n">
        <f aca="false">I433*MAX(0,I130-0.5*(I736+I1039+I1342))*MAX(0,MIN(7,'Loan Tape'!$AV126)-6)</f>
        <v>0</v>
      </c>
      <c r="J1948" s="99" t="n">
        <f aca="false">J433*MAX(0,J130-0.5*(J736+J1039+J1342))*MAX(0,MIN(8,'Loan Tape'!$AV126)-7)</f>
        <v>0</v>
      </c>
      <c r="K1948" s="99" t="n">
        <f aca="false">K433*MAX(0,K130-0.5*(K736+K1039+K1342))*MAX(0,MIN(9,'Loan Tape'!$AV126)-8)</f>
        <v>0</v>
      </c>
      <c r="L1948" s="99" t="n">
        <f aca="false">L433*MAX(0,L130-0.5*(L736+L1039+L1342))*MAX(0,MIN(10,'Loan Tape'!$AV126)-9)</f>
        <v>0</v>
      </c>
    </row>
    <row r="1949" customFormat="false" ht="15" hidden="false" customHeight="false" outlineLevel="0" collapsed="false">
      <c r="B1949" s="108" t="n">
        <f aca="false">'Loan Tape'!$A127</f>
        <v>0</v>
      </c>
      <c r="C1949" s="71" t="n">
        <f aca="false">C434*MAX(0,C131-0.5*(C737+C1040+C1343))*MAX(0,MIN(1,'Loan Tape'!$AV127)-0)</f>
        <v>0</v>
      </c>
      <c r="D1949" s="71" t="n">
        <f aca="false">D434*MAX(0,D131-0.5*(D737+D1040+D1343))*MAX(0,MIN(2,'Loan Tape'!$AV127)-1)</f>
        <v>0</v>
      </c>
      <c r="E1949" s="71" t="n">
        <f aca="false">E434*MAX(0,E131-0.5*(E737+E1040+E1343))*MAX(0,MIN(3,'Loan Tape'!$AV127)-2)</f>
        <v>0</v>
      </c>
      <c r="F1949" s="71" t="n">
        <f aca="false">F434*MAX(0,F131-0.5*(F737+F1040+F1343))*MAX(0,MIN(4,'Loan Tape'!$AV127)-3)</f>
        <v>0</v>
      </c>
      <c r="G1949" s="71" t="n">
        <f aca="false">G434*MAX(0,G131-0.5*(G737+G1040+G1343))*MAX(0,MIN(5,'Loan Tape'!$AV127)-4)</f>
        <v>0</v>
      </c>
      <c r="H1949" s="71" t="n">
        <f aca="false">H434*MAX(0,H131-0.5*(H737+H1040+H1343))*MAX(0,MIN(6,'Loan Tape'!$AV127)-5)</f>
        <v>0</v>
      </c>
      <c r="I1949" s="71" t="n">
        <f aca="false">I434*MAX(0,I131-0.5*(I737+I1040+I1343))*MAX(0,MIN(7,'Loan Tape'!$AV127)-6)</f>
        <v>0</v>
      </c>
      <c r="J1949" s="71" t="n">
        <f aca="false">J434*MAX(0,J131-0.5*(J737+J1040+J1343))*MAX(0,MIN(8,'Loan Tape'!$AV127)-7)</f>
        <v>0</v>
      </c>
      <c r="K1949" s="71" t="n">
        <f aca="false">K434*MAX(0,K131-0.5*(K737+K1040+K1343))*MAX(0,MIN(9,'Loan Tape'!$AV127)-8)</f>
        <v>0</v>
      </c>
      <c r="L1949" s="71" t="n">
        <f aca="false">L434*MAX(0,L131-0.5*(L737+L1040+L1343))*MAX(0,MIN(10,'Loan Tape'!$AV127)-9)</f>
        <v>0</v>
      </c>
    </row>
    <row r="1950" customFormat="false" ht="15" hidden="false" customHeight="false" outlineLevel="0" collapsed="false">
      <c r="B1950" s="102" t="n">
        <f aca="false">'Loan Tape'!$A128</f>
        <v>0</v>
      </c>
      <c r="C1950" s="99" t="n">
        <f aca="false">C435*MAX(0,C132-0.5*(C738+C1041+C1344))*MAX(0,MIN(1,'Loan Tape'!$AV128)-0)</f>
        <v>0</v>
      </c>
      <c r="D1950" s="99" t="n">
        <f aca="false">D435*MAX(0,D132-0.5*(D738+D1041+D1344))*MAX(0,MIN(2,'Loan Tape'!$AV128)-1)</f>
        <v>0</v>
      </c>
      <c r="E1950" s="99" t="n">
        <f aca="false">E435*MAX(0,E132-0.5*(E738+E1041+E1344))*MAX(0,MIN(3,'Loan Tape'!$AV128)-2)</f>
        <v>0</v>
      </c>
      <c r="F1950" s="99" t="n">
        <f aca="false">F435*MAX(0,F132-0.5*(F738+F1041+F1344))*MAX(0,MIN(4,'Loan Tape'!$AV128)-3)</f>
        <v>0</v>
      </c>
      <c r="G1950" s="99" t="n">
        <f aca="false">G435*MAX(0,G132-0.5*(G738+G1041+G1344))*MAX(0,MIN(5,'Loan Tape'!$AV128)-4)</f>
        <v>0</v>
      </c>
      <c r="H1950" s="99" t="n">
        <f aca="false">H435*MAX(0,H132-0.5*(H738+H1041+H1344))*MAX(0,MIN(6,'Loan Tape'!$AV128)-5)</f>
        <v>0</v>
      </c>
      <c r="I1950" s="99" t="n">
        <f aca="false">I435*MAX(0,I132-0.5*(I738+I1041+I1344))*MAX(0,MIN(7,'Loan Tape'!$AV128)-6)</f>
        <v>0</v>
      </c>
      <c r="J1950" s="99" t="n">
        <f aca="false">J435*MAX(0,J132-0.5*(J738+J1041+J1344))*MAX(0,MIN(8,'Loan Tape'!$AV128)-7)</f>
        <v>0</v>
      </c>
      <c r="K1950" s="99" t="n">
        <f aca="false">K435*MAX(0,K132-0.5*(K738+K1041+K1344))*MAX(0,MIN(9,'Loan Tape'!$AV128)-8)</f>
        <v>0</v>
      </c>
      <c r="L1950" s="99" t="n">
        <f aca="false">L435*MAX(0,L132-0.5*(L738+L1041+L1344))*MAX(0,MIN(10,'Loan Tape'!$AV128)-9)</f>
        <v>0</v>
      </c>
    </row>
    <row r="1951" customFormat="false" ht="15" hidden="false" customHeight="false" outlineLevel="0" collapsed="false">
      <c r="B1951" s="108" t="n">
        <f aca="false">'Loan Tape'!$A129</f>
        <v>0</v>
      </c>
      <c r="C1951" s="71" t="n">
        <f aca="false">C436*MAX(0,C133-0.5*(C739+C1042+C1345))*MAX(0,MIN(1,'Loan Tape'!$AV129)-0)</f>
        <v>0</v>
      </c>
      <c r="D1951" s="71" t="n">
        <f aca="false">D436*MAX(0,D133-0.5*(D739+D1042+D1345))*MAX(0,MIN(2,'Loan Tape'!$AV129)-1)</f>
        <v>0</v>
      </c>
      <c r="E1951" s="71" t="n">
        <f aca="false">E436*MAX(0,E133-0.5*(E739+E1042+E1345))*MAX(0,MIN(3,'Loan Tape'!$AV129)-2)</f>
        <v>0</v>
      </c>
      <c r="F1951" s="71" t="n">
        <f aca="false">F436*MAX(0,F133-0.5*(F739+F1042+F1345))*MAX(0,MIN(4,'Loan Tape'!$AV129)-3)</f>
        <v>0</v>
      </c>
      <c r="G1951" s="71" t="n">
        <f aca="false">G436*MAX(0,G133-0.5*(G739+G1042+G1345))*MAX(0,MIN(5,'Loan Tape'!$AV129)-4)</f>
        <v>0</v>
      </c>
      <c r="H1951" s="71" t="n">
        <f aca="false">H436*MAX(0,H133-0.5*(H739+H1042+H1345))*MAX(0,MIN(6,'Loan Tape'!$AV129)-5)</f>
        <v>0</v>
      </c>
      <c r="I1951" s="71" t="n">
        <f aca="false">I436*MAX(0,I133-0.5*(I739+I1042+I1345))*MAX(0,MIN(7,'Loan Tape'!$AV129)-6)</f>
        <v>0</v>
      </c>
      <c r="J1951" s="71" t="n">
        <f aca="false">J436*MAX(0,J133-0.5*(J739+J1042+J1345))*MAX(0,MIN(8,'Loan Tape'!$AV129)-7)</f>
        <v>0</v>
      </c>
      <c r="K1951" s="71" t="n">
        <f aca="false">K436*MAX(0,K133-0.5*(K739+K1042+K1345))*MAX(0,MIN(9,'Loan Tape'!$AV129)-8)</f>
        <v>0</v>
      </c>
      <c r="L1951" s="71" t="n">
        <f aca="false">L436*MAX(0,L133-0.5*(L739+L1042+L1345))*MAX(0,MIN(10,'Loan Tape'!$AV129)-9)</f>
        <v>0</v>
      </c>
    </row>
    <row r="1952" customFormat="false" ht="15" hidden="false" customHeight="false" outlineLevel="0" collapsed="false">
      <c r="B1952" s="102" t="n">
        <f aca="false">'Loan Tape'!$A130</f>
        <v>0</v>
      </c>
      <c r="C1952" s="99" t="n">
        <f aca="false">C437*MAX(0,C134-0.5*(C740+C1043+C1346))*MAX(0,MIN(1,'Loan Tape'!$AV130)-0)</f>
        <v>0</v>
      </c>
      <c r="D1952" s="99" t="n">
        <f aca="false">D437*MAX(0,D134-0.5*(D740+D1043+D1346))*MAX(0,MIN(2,'Loan Tape'!$AV130)-1)</f>
        <v>0</v>
      </c>
      <c r="E1952" s="99" t="n">
        <f aca="false">E437*MAX(0,E134-0.5*(E740+E1043+E1346))*MAX(0,MIN(3,'Loan Tape'!$AV130)-2)</f>
        <v>0</v>
      </c>
      <c r="F1952" s="99" t="n">
        <f aca="false">F437*MAX(0,F134-0.5*(F740+F1043+F1346))*MAX(0,MIN(4,'Loan Tape'!$AV130)-3)</f>
        <v>0</v>
      </c>
      <c r="G1952" s="99" t="n">
        <f aca="false">G437*MAX(0,G134-0.5*(G740+G1043+G1346))*MAX(0,MIN(5,'Loan Tape'!$AV130)-4)</f>
        <v>0</v>
      </c>
      <c r="H1952" s="99" t="n">
        <f aca="false">H437*MAX(0,H134-0.5*(H740+H1043+H1346))*MAX(0,MIN(6,'Loan Tape'!$AV130)-5)</f>
        <v>0</v>
      </c>
      <c r="I1952" s="99" t="n">
        <f aca="false">I437*MAX(0,I134-0.5*(I740+I1043+I1346))*MAX(0,MIN(7,'Loan Tape'!$AV130)-6)</f>
        <v>0</v>
      </c>
      <c r="J1952" s="99" t="n">
        <f aca="false">J437*MAX(0,J134-0.5*(J740+J1043+J1346))*MAX(0,MIN(8,'Loan Tape'!$AV130)-7)</f>
        <v>0</v>
      </c>
      <c r="K1952" s="99" t="n">
        <f aca="false">K437*MAX(0,K134-0.5*(K740+K1043+K1346))*MAX(0,MIN(9,'Loan Tape'!$AV130)-8)</f>
        <v>0</v>
      </c>
      <c r="L1952" s="99" t="n">
        <f aca="false">L437*MAX(0,L134-0.5*(L740+L1043+L1346))*MAX(0,MIN(10,'Loan Tape'!$AV130)-9)</f>
        <v>0</v>
      </c>
    </row>
    <row r="1953" customFormat="false" ht="15" hidden="false" customHeight="false" outlineLevel="0" collapsed="false">
      <c r="B1953" s="108" t="n">
        <f aca="false">'Loan Tape'!$A131</f>
        <v>0</v>
      </c>
      <c r="C1953" s="71" t="n">
        <f aca="false">C438*MAX(0,C135-0.5*(C741+C1044+C1347))*MAX(0,MIN(1,'Loan Tape'!$AV131)-0)</f>
        <v>0</v>
      </c>
      <c r="D1953" s="71" t="n">
        <f aca="false">D438*MAX(0,D135-0.5*(D741+D1044+D1347))*MAX(0,MIN(2,'Loan Tape'!$AV131)-1)</f>
        <v>0</v>
      </c>
      <c r="E1953" s="71" t="n">
        <f aca="false">E438*MAX(0,E135-0.5*(E741+E1044+E1347))*MAX(0,MIN(3,'Loan Tape'!$AV131)-2)</f>
        <v>0</v>
      </c>
      <c r="F1953" s="71" t="n">
        <f aca="false">F438*MAX(0,F135-0.5*(F741+F1044+F1347))*MAX(0,MIN(4,'Loan Tape'!$AV131)-3)</f>
        <v>0</v>
      </c>
      <c r="G1953" s="71" t="n">
        <f aca="false">G438*MAX(0,G135-0.5*(G741+G1044+G1347))*MAX(0,MIN(5,'Loan Tape'!$AV131)-4)</f>
        <v>0</v>
      </c>
      <c r="H1953" s="71" t="n">
        <f aca="false">H438*MAX(0,H135-0.5*(H741+H1044+H1347))*MAX(0,MIN(6,'Loan Tape'!$AV131)-5)</f>
        <v>0</v>
      </c>
      <c r="I1953" s="71" t="n">
        <f aca="false">I438*MAX(0,I135-0.5*(I741+I1044+I1347))*MAX(0,MIN(7,'Loan Tape'!$AV131)-6)</f>
        <v>0</v>
      </c>
      <c r="J1953" s="71" t="n">
        <f aca="false">J438*MAX(0,J135-0.5*(J741+J1044+J1347))*MAX(0,MIN(8,'Loan Tape'!$AV131)-7)</f>
        <v>0</v>
      </c>
      <c r="K1953" s="71" t="n">
        <f aca="false">K438*MAX(0,K135-0.5*(K741+K1044+K1347))*MAX(0,MIN(9,'Loan Tape'!$AV131)-8)</f>
        <v>0</v>
      </c>
      <c r="L1953" s="71" t="n">
        <f aca="false">L438*MAX(0,L135-0.5*(L741+L1044+L1347))*MAX(0,MIN(10,'Loan Tape'!$AV131)-9)</f>
        <v>0</v>
      </c>
    </row>
    <row r="1954" customFormat="false" ht="15" hidden="false" customHeight="false" outlineLevel="0" collapsed="false">
      <c r="B1954" s="102" t="n">
        <f aca="false">'Loan Tape'!$A132</f>
        <v>0</v>
      </c>
      <c r="C1954" s="99" t="n">
        <f aca="false">C439*MAX(0,C136-0.5*(C742+C1045+C1348))*MAX(0,MIN(1,'Loan Tape'!$AV132)-0)</f>
        <v>0</v>
      </c>
      <c r="D1954" s="99" t="n">
        <f aca="false">D439*MAX(0,D136-0.5*(D742+D1045+D1348))*MAX(0,MIN(2,'Loan Tape'!$AV132)-1)</f>
        <v>0</v>
      </c>
      <c r="E1954" s="99" t="n">
        <f aca="false">E439*MAX(0,E136-0.5*(E742+E1045+E1348))*MAX(0,MIN(3,'Loan Tape'!$AV132)-2)</f>
        <v>0</v>
      </c>
      <c r="F1954" s="99" t="n">
        <f aca="false">F439*MAX(0,F136-0.5*(F742+F1045+F1348))*MAX(0,MIN(4,'Loan Tape'!$AV132)-3)</f>
        <v>0</v>
      </c>
      <c r="G1954" s="99" t="n">
        <f aca="false">G439*MAX(0,G136-0.5*(G742+G1045+G1348))*MAX(0,MIN(5,'Loan Tape'!$AV132)-4)</f>
        <v>0</v>
      </c>
      <c r="H1954" s="99" t="n">
        <f aca="false">H439*MAX(0,H136-0.5*(H742+H1045+H1348))*MAX(0,MIN(6,'Loan Tape'!$AV132)-5)</f>
        <v>0</v>
      </c>
      <c r="I1954" s="99" t="n">
        <f aca="false">I439*MAX(0,I136-0.5*(I742+I1045+I1348))*MAX(0,MIN(7,'Loan Tape'!$AV132)-6)</f>
        <v>0</v>
      </c>
      <c r="J1954" s="99" t="n">
        <f aca="false">J439*MAX(0,J136-0.5*(J742+J1045+J1348))*MAX(0,MIN(8,'Loan Tape'!$AV132)-7)</f>
        <v>0</v>
      </c>
      <c r="K1954" s="99" t="n">
        <f aca="false">K439*MAX(0,K136-0.5*(K742+K1045+K1348))*MAX(0,MIN(9,'Loan Tape'!$AV132)-8)</f>
        <v>0</v>
      </c>
      <c r="L1954" s="99" t="n">
        <f aca="false">L439*MAX(0,L136-0.5*(L742+L1045+L1348))*MAX(0,MIN(10,'Loan Tape'!$AV132)-9)</f>
        <v>0</v>
      </c>
    </row>
    <row r="1955" customFormat="false" ht="15" hidden="false" customHeight="false" outlineLevel="0" collapsed="false">
      <c r="B1955" s="108" t="n">
        <f aca="false">'Loan Tape'!$A133</f>
        <v>0</v>
      </c>
      <c r="C1955" s="71" t="n">
        <f aca="false">C440*MAX(0,C137-0.5*(C743+C1046+C1349))*MAX(0,MIN(1,'Loan Tape'!$AV133)-0)</f>
        <v>0</v>
      </c>
      <c r="D1955" s="71" t="n">
        <f aca="false">D440*MAX(0,D137-0.5*(D743+D1046+D1349))*MAX(0,MIN(2,'Loan Tape'!$AV133)-1)</f>
        <v>0</v>
      </c>
      <c r="E1955" s="71" t="n">
        <f aca="false">E440*MAX(0,E137-0.5*(E743+E1046+E1349))*MAX(0,MIN(3,'Loan Tape'!$AV133)-2)</f>
        <v>0</v>
      </c>
      <c r="F1955" s="71" t="n">
        <f aca="false">F440*MAX(0,F137-0.5*(F743+F1046+F1349))*MAX(0,MIN(4,'Loan Tape'!$AV133)-3)</f>
        <v>0</v>
      </c>
      <c r="G1955" s="71" t="n">
        <f aca="false">G440*MAX(0,G137-0.5*(G743+G1046+G1349))*MAX(0,MIN(5,'Loan Tape'!$AV133)-4)</f>
        <v>0</v>
      </c>
      <c r="H1955" s="71" t="n">
        <f aca="false">H440*MAX(0,H137-0.5*(H743+H1046+H1349))*MAX(0,MIN(6,'Loan Tape'!$AV133)-5)</f>
        <v>0</v>
      </c>
      <c r="I1955" s="71" t="n">
        <f aca="false">I440*MAX(0,I137-0.5*(I743+I1046+I1349))*MAX(0,MIN(7,'Loan Tape'!$AV133)-6)</f>
        <v>0</v>
      </c>
      <c r="J1955" s="71" t="n">
        <f aca="false">J440*MAX(0,J137-0.5*(J743+J1046+J1349))*MAX(0,MIN(8,'Loan Tape'!$AV133)-7)</f>
        <v>0</v>
      </c>
      <c r="K1955" s="71" t="n">
        <f aca="false">K440*MAX(0,K137-0.5*(K743+K1046+K1349))*MAX(0,MIN(9,'Loan Tape'!$AV133)-8)</f>
        <v>0</v>
      </c>
      <c r="L1955" s="71" t="n">
        <f aca="false">L440*MAX(0,L137-0.5*(L743+L1046+L1349))*MAX(0,MIN(10,'Loan Tape'!$AV133)-9)</f>
        <v>0</v>
      </c>
    </row>
    <row r="1956" customFormat="false" ht="15" hidden="false" customHeight="false" outlineLevel="0" collapsed="false">
      <c r="B1956" s="102" t="n">
        <f aca="false">'Loan Tape'!$A134</f>
        <v>0</v>
      </c>
      <c r="C1956" s="99" t="n">
        <f aca="false">C441*MAX(0,C138-0.5*(C744+C1047+C1350))*MAX(0,MIN(1,'Loan Tape'!$AV134)-0)</f>
        <v>0</v>
      </c>
      <c r="D1956" s="99" t="n">
        <f aca="false">D441*MAX(0,D138-0.5*(D744+D1047+D1350))*MAX(0,MIN(2,'Loan Tape'!$AV134)-1)</f>
        <v>0</v>
      </c>
      <c r="E1956" s="99" t="n">
        <f aca="false">E441*MAX(0,E138-0.5*(E744+E1047+E1350))*MAX(0,MIN(3,'Loan Tape'!$AV134)-2)</f>
        <v>0</v>
      </c>
      <c r="F1956" s="99" t="n">
        <f aca="false">F441*MAX(0,F138-0.5*(F744+F1047+F1350))*MAX(0,MIN(4,'Loan Tape'!$AV134)-3)</f>
        <v>0</v>
      </c>
      <c r="G1956" s="99" t="n">
        <f aca="false">G441*MAX(0,G138-0.5*(G744+G1047+G1350))*MAX(0,MIN(5,'Loan Tape'!$AV134)-4)</f>
        <v>0</v>
      </c>
      <c r="H1956" s="99" t="n">
        <f aca="false">H441*MAX(0,H138-0.5*(H744+H1047+H1350))*MAX(0,MIN(6,'Loan Tape'!$AV134)-5)</f>
        <v>0</v>
      </c>
      <c r="I1956" s="99" t="n">
        <f aca="false">I441*MAX(0,I138-0.5*(I744+I1047+I1350))*MAX(0,MIN(7,'Loan Tape'!$AV134)-6)</f>
        <v>0</v>
      </c>
      <c r="J1956" s="99" t="n">
        <f aca="false">J441*MAX(0,J138-0.5*(J744+J1047+J1350))*MAX(0,MIN(8,'Loan Tape'!$AV134)-7)</f>
        <v>0</v>
      </c>
      <c r="K1956" s="99" t="n">
        <f aca="false">K441*MAX(0,K138-0.5*(K744+K1047+K1350))*MAX(0,MIN(9,'Loan Tape'!$AV134)-8)</f>
        <v>0</v>
      </c>
      <c r="L1956" s="99" t="n">
        <f aca="false">L441*MAX(0,L138-0.5*(L744+L1047+L1350))*MAX(0,MIN(10,'Loan Tape'!$AV134)-9)</f>
        <v>0</v>
      </c>
    </row>
    <row r="1957" customFormat="false" ht="15" hidden="false" customHeight="false" outlineLevel="0" collapsed="false">
      <c r="B1957" s="108" t="n">
        <f aca="false">'Loan Tape'!$A135</f>
        <v>0</v>
      </c>
      <c r="C1957" s="71" t="n">
        <f aca="false">C442*MAX(0,C139-0.5*(C745+C1048+C1351))*MAX(0,MIN(1,'Loan Tape'!$AV135)-0)</f>
        <v>0</v>
      </c>
      <c r="D1957" s="71" t="n">
        <f aca="false">D442*MAX(0,D139-0.5*(D745+D1048+D1351))*MAX(0,MIN(2,'Loan Tape'!$AV135)-1)</f>
        <v>0</v>
      </c>
      <c r="E1957" s="71" t="n">
        <f aca="false">E442*MAX(0,E139-0.5*(E745+E1048+E1351))*MAX(0,MIN(3,'Loan Tape'!$AV135)-2)</f>
        <v>0</v>
      </c>
      <c r="F1957" s="71" t="n">
        <f aca="false">F442*MAX(0,F139-0.5*(F745+F1048+F1351))*MAX(0,MIN(4,'Loan Tape'!$AV135)-3)</f>
        <v>0</v>
      </c>
      <c r="G1957" s="71" t="n">
        <f aca="false">G442*MAX(0,G139-0.5*(G745+G1048+G1351))*MAX(0,MIN(5,'Loan Tape'!$AV135)-4)</f>
        <v>0</v>
      </c>
      <c r="H1957" s="71" t="n">
        <f aca="false">H442*MAX(0,H139-0.5*(H745+H1048+H1351))*MAX(0,MIN(6,'Loan Tape'!$AV135)-5)</f>
        <v>0</v>
      </c>
      <c r="I1957" s="71" t="n">
        <f aca="false">I442*MAX(0,I139-0.5*(I745+I1048+I1351))*MAX(0,MIN(7,'Loan Tape'!$AV135)-6)</f>
        <v>0</v>
      </c>
      <c r="J1957" s="71" t="n">
        <f aca="false">J442*MAX(0,J139-0.5*(J745+J1048+J1351))*MAX(0,MIN(8,'Loan Tape'!$AV135)-7)</f>
        <v>0</v>
      </c>
      <c r="K1957" s="71" t="n">
        <f aca="false">K442*MAX(0,K139-0.5*(K745+K1048+K1351))*MAX(0,MIN(9,'Loan Tape'!$AV135)-8)</f>
        <v>0</v>
      </c>
      <c r="L1957" s="71" t="n">
        <f aca="false">L442*MAX(0,L139-0.5*(L745+L1048+L1351))*MAX(0,MIN(10,'Loan Tape'!$AV135)-9)</f>
        <v>0</v>
      </c>
    </row>
    <row r="1958" customFormat="false" ht="15" hidden="false" customHeight="false" outlineLevel="0" collapsed="false">
      <c r="B1958" s="102" t="n">
        <f aca="false">'Loan Tape'!$A136</f>
        <v>0</v>
      </c>
      <c r="C1958" s="99" t="n">
        <f aca="false">C443*MAX(0,C140-0.5*(C746+C1049+C1352))*MAX(0,MIN(1,'Loan Tape'!$AV136)-0)</f>
        <v>0</v>
      </c>
      <c r="D1958" s="99" t="n">
        <f aca="false">D443*MAX(0,D140-0.5*(D746+D1049+D1352))*MAX(0,MIN(2,'Loan Tape'!$AV136)-1)</f>
        <v>0</v>
      </c>
      <c r="E1958" s="99" t="n">
        <f aca="false">E443*MAX(0,E140-0.5*(E746+E1049+E1352))*MAX(0,MIN(3,'Loan Tape'!$AV136)-2)</f>
        <v>0</v>
      </c>
      <c r="F1958" s="99" t="n">
        <f aca="false">F443*MAX(0,F140-0.5*(F746+F1049+F1352))*MAX(0,MIN(4,'Loan Tape'!$AV136)-3)</f>
        <v>0</v>
      </c>
      <c r="G1958" s="99" t="n">
        <f aca="false">G443*MAX(0,G140-0.5*(G746+G1049+G1352))*MAX(0,MIN(5,'Loan Tape'!$AV136)-4)</f>
        <v>0</v>
      </c>
      <c r="H1958" s="99" t="n">
        <f aca="false">H443*MAX(0,H140-0.5*(H746+H1049+H1352))*MAX(0,MIN(6,'Loan Tape'!$AV136)-5)</f>
        <v>0</v>
      </c>
      <c r="I1958" s="99" t="n">
        <f aca="false">I443*MAX(0,I140-0.5*(I746+I1049+I1352))*MAX(0,MIN(7,'Loan Tape'!$AV136)-6)</f>
        <v>0</v>
      </c>
      <c r="J1958" s="99" t="n">
        <f aca="false">J443*MAX(0,J140-0.5*(J746+J1049+J1352))*MAX(0,MIN(8,'Loan Tape'!$AV136)-7)</f>
        <v>0</v>
      </c>
      <c r="K1958" s="99" t="n">
        <f aca="false">K443*MAX(0,K140-0.5*(K746+K1049+K1352))*MAX(0,MIN(9,'Loan Tape'!$AV136)-8)</f>
        <v>0</v>
      </c>
      <c r="L1958" s="99" t="n">
        <f aca="false">L443*MAX(0,L140-0.5*(L746+L1049+L1352))*MAX(0,MIN(10,'Loan Tape'!$AV136)-9)</f>
        <v>0</v>
      </c>
    </row>
    <row r="1959" customFormat="false" ht="15" hidden="false" customHeight="false" outlineLevel="0" collapsed="false">
      <c r="B1959" s="108" t="n">
        <f aca="false">'Loan Tape'!$A137</f>
        <v>0</v>
      </c>
      <c r="C1959" s="71" t="n">
        <f aca="false">C444*MAX(0,C141-0.5*(C747+C1050+C1353))*MAX(0,MIN(1,'Loan Tape'!$AV137)-0)</f>
        <v>0</v>
      </c>
      <c r="D1959" s="71" t="n">
        <f aca="false">D444*MAX(0,D141-0.5*(D747+D1050+D1353))*MAX(0,MIN(2,'Loan Tape'!$AV137)-1)</f>
        <v>0</v>
      </c>
      <c r="E1959" s="71" t="n">
        <f aca="false">E444*MAX(0,E141-0.5*(E747+E1050+E1353))*MAX(0,MIN(3,'Loan Tape'!$AV137)-2)</f>
        <v>0</v>
      </c>
      <c r="F1959" s="71" t="n">
        <f aca="false">F444*MAX(0,F141-0.5*(F747+F1050+F1353))*MAX(0,MIN(4,'Loan Tape'!$AV137)-3)</f>
        <v>0</v>
      </c>
      <c r="G1959" s="71" t="n">
        <f aca="false">G444*MAX(0,G141-0.5*(G747+G1050+G1353))*MAX(0,MIN(5,'Loan Tape'!$AV137)-4)</f>
        <v>0</v>
      </c>
      <c r="H1959" s="71" t="n">
        <f aca="false">H444*MAX(0,H141-0.5*(H747+H1050+H1353))*MAX(0,MIN(6,'Loan Tape'!$AV137)-5)</f>
        <v>0</v>
      </c>
      <c r="I1959" s="71" t="n">
        <f aca="false">I444*MAX(0,I141-0.5*(I747+I1050+I1353))*MAX(0,MIN(7,'Loan Tape'!$AV137)-6)</f>
        <v>0</v>
      </c>
      <c r="J1959" s="71" t="n">
        <f aca="false">J444*MAX(0,J141-0.5*(J747+J1050+J1353))*MAX(0,MIN(8,'Loan Tape'!$AV137)-7)</f>
        <v>0</v>
      </c>
      <c r="K1959" s="71" t="n">
        <f aca="false">K444*MAX(0,K141-0.5*(K747+K1050+K1353))*MAX(0,MIN(9,'Loan Tape'!$AV137)-8)</f>
        <v>0</v>
      </c>
      <c r="L1959" s="71" t="n">
        <f aca="false">L444*MAX(0,L141-0.5*(L747+L1050+L1353))*MAX(0,MIN(10,'Loan Tape'!$AV137)-9)</f>
        <v>0</v>
      </c>
    </row>
    <row r="1960" customFormat="false" ht="15" hidden="false" customHeight="false" outlineLevel="0" collapsed="false">
      <c r="B1960" s="102" t="n">
        <f aca="false">'Loan Tape'!$A138</f>
        <v>0</v>
      </c>
      <c r="C1960" s="99" t="n">
        <f aca="false">C445*MAX(0,C142-0.5*(C748+C1051+C1354))*MAX(0,MIN(1,'Loan Tape'!$AV138)-0)</f>
        <v>0</v>
      </c>
      <c r="D1960" s="99" t="n">
        <f aca="false">D445*MAX(0,D142-0.5*(D748+D1051+D1354))*MAX(0,MIN(2,'Loan Tape'!$AV138)-1)</f>
        <v>0</v>
      </c>
      <c r="E1960" s="99" t="n">
        <f aca="false">E445*MAX(0,E142-0.5*(E748+E1051+E1354))*MAX(0,MIN(3,'Loan Tape'!$AV138)-2)</f>
        <v>0</v>
      </c>
      <c r="F1960" s="99" t="n">
        <f aca="false">F445*MAX(0,F142-0.5*(F748+F1051+F1354))*MAX(0,MIN(4,'Loan Tape'!$AV138)-3)</f>
        <v>0</v>
      </c>
      <c r="G1960" s="99" t="n">
        <f aca="false">G445*MAX(0,G142-0.5*(G748+G1051+G1354))*MAX(0,MIN(5,'Loan Tape'!$AV138)-4)</f>
        <v>0</v>
      </c>
      <c r="H1960" s="99" t="n">
        <f aca="false">H445*MAX(0,H142-0.5*(H748+H1051+H1354))*MAX(0,MIN(6,'Loan Tape'!$AV138)-5)</f>
        <v>0</v>
      </c>
      <c r="I1960" s="99" t="n">
        <f aca="false">I445*MAX(0,I142-0.5*(I748+I1051+I1354))*MAX(0,MIN(7,'Loan Tape'!$AV138)-6)</f>
        <v>0</v>
      </c>
      <c r="J1960" s="99" t="n">
        <f aca="false">J445*MAX(0,J142-0.5*(J748+J1051+J1354))*MAX(0,MIN(8,'Loan Tape'!$AV138)-7)</f>
        <v>0</v>
      </c>
      <c r="K1960" s="99" t="n">
        <f aca="false">K445*MAX(0,K142-0.5*(K748+K1051+K1354))*MAX(0,MIN(9,'Loan Tape'!$AV138)-8)</f>
        <v>0</v>
      </c>
      <c r="L1960" s="99" t="n">
        <f aca="false">L445*MAX(0,L142-0.5*(L748+L1051+L1354))*MAX(0,MIN(10,'Loan Tape'!$AV138)-9)</f>
        <v>0</v>
      </c>
    </row>
    <row r="1961" customFormat="false" ht="15" hidden="false" customHeight="false" outlineLevel="0" collapsed="false">
      <c r="B1961" s="108" t="n">
        <f aca="false">'Loan Tape'!$A139</f>
        <v>0</v>
      </c>
      <c r="C1961" s="71" t="n">
        <f aca="false">C446*MAX(0,C143-0.5*(C749+C1052+C1355))*MAX(0,MIN(1,'Loan Tape'!$AV139)-0)</f>
        <v>0</v>
      </c>
      <c r="D1961" s="71" t="n">
        <f aca="false">D446*MAX(0,D143-0.5*(D749+D1052+D1355))*MAX(0,MIN(2,'Loan Tape'!$AV139)-1)</f>
        <v>0</v>
      </c>
      <c r="E1961" s="71" t="n">
        <f aca="false">E446*MAX(0,E143-0.5*(E749+E1052+E1355))*MAX(0,MIN(3,'Loan Tape'!$AV139)-2)</f>
        <v>0</v>
      </c>
      <c r="F1961" s="71" t="n">
        <f aca="false">F446*MAX(0,F143-0.5*(F749+F1052+F1355))*MAX(0,MIN(4,'Loan Tape'!$AV139)-3)</f>
        <v>0</v>
      </c>
      <c r="G1961" s="71" t="n">
        <f aca="false">G446*MAX(0,G143-0.5*(G749+G1052+G1355))*MAX(0,MIN(5,'Loan Tape'!$AV139)-4)</f>
        <v>0</v>
      </c>
      <c r="H1961" s="71" t="n">
        <f aca="false">H446*MAX(0,H143-0.5*(H749+H1052+H1355))*MAX(0,MIN(6,'Loan Tape'!$AV139)-5)</f>
        <v>0</v>
      </c>
      <c r="I1961" s="71" t="n">
        <f aca="false">I446*MAX(0,I143-0.5*(I749+I1052+I1355))*MAX(0,MIN(7,'Loan Tape'!$AV139)-6)</f>
        <v>0</v>
      </c>
      <c r="J1961" s="71" t="n">
        <f aca="false">J446*MAX(0,J143-0.5*(J749+J1052+J1355))*MAX(0,MIN(8,'Loan Tape'!$AV139)-7)</f>
        <v>0</v>
      </c>
      <c r="K1961" s="71" t="n">
        <f aca="false">K446*MAX(0,K143-0.5*(K749+K1052+K1355))*MAX(0,MIN(9,'Loan Tape'!$AV139)-8)</f>
        <v>0</v>
      </c>
      <c r="L1961" s="71" t="n">
        <f aca="false">L446*MAX(0,L143-0.5*(L749+L1052+L1355))*MAX(0,MIN(10,'Loan Tape'!$AV139)-9)</f>
        <v>0</v>
      </c>
    </row>
    <row r="1962" customFormat="false" ht="15" hidden="false" customHeight="false" outlineLevel="0" collapsed="false">
      <c r="B1962" s="102" t="n">
        <f aca="false">'Loan Tape'!$A140</f>
        <v>0</v>
      </c>
      <c r="C1962" s="99" t="n">
        <f aca="false">C447*MAX(0,C144-0.5*(C750+C1053+C1356))*MAX(0,MIN(1,'Loan Tape'!$AV140)-0)</f>
        <v>0</v>
      </c>
      <c r="D1962" s="99" t="n">
        <f aca="false">D447*MAX(0,D144-0.5*(D750+D1053+D1356))*MAX(0,MIN(2,'Loan Tape'!$AV140)-1)</f>
        <v>0</v>
      </c>
      <c r="E1962" s="99" t="n">
        <f aca="false">E447*MAX(0,E144-0.5*(E750+E1053+E1356))*MAX(0,MIN(3,'Loan Tape'!$AV140)-2)</f>
        <v>0</v>
      </c>
      <c r="F1962" s="99" t="n">
        <f aca="false">F447*MAX(0,F144-0.5*(F750+F1053+F1356))*MAX(0,MIN(4,'Loan Tape'!$AV140)-3)</f>
        <v>0</v>
      </c>
      <c r="G1962" s="99" t="n">
        <f aca="false">G447*MAX(0,G144-0.5*(G750+G1053+G1356))*MAX(0,MIN(5,'Loan Tape'!$AV140)-4)</f>
        <v>0</v>
      </c>
      <c r="H1962" s="99" t="n">
        <f aca="false">H447*MAX(0,H144-0.5*(H750+H1053+H1356))*MAX(0,MIN(6,'Loan Tape'!$AV140)-5)</f>
        <v>0</v>
      </c>
      <c r="I1962" s="99" t="n">
        <f aca="false">I447*MAX(0,I144-0.5*(I750+I1053+I1356))*MAX(0,MIN(7,'Loan Tape'!$AV140)-6)</f>
        <v>0</v>
      </c>
      <c r="J1962" s="99" t="n">
        <f aca="false">J447*MAX(0,J144-0.5*(J750+J1053+J1356))*MAX(0,MIN(8,'Loan Tape'!$AV140)-7)</f>
        <v>0</v>
      </c>
      <c r="K1962" s="99" t="n">
        <f aca="false">K447*MAX(0,K144-0.5*(K750+K1053+K1356))*MAX(0,MIN(9,'Loan Tape'!$AV140)-8)</f>
        <v>0</v>
      </c>
      <c r="L1962" s="99" t="n">
        <f aca="false">L447*MAX(0,L144-0.5*(L750+L1053+L1356))*MAX(0,MIN(10,'Loan Tape'!$AV140)-9)</f>
        <v>0</v>
      </c>
    </row>
    <row r="1963" customFormat="false" ht="15" hidden="false" customHeight="false" outlineLevel="0" collapsed="false">
      <c r="B1963" s="108" t="n">
        <f aca="false">'Loan Tape'!$A141</f>
        <v>0</v>
      </c>
      <c r="C1963" s="71" t="n">
        <f aca="false">C448*MAX(0,C145-0.5*(C751+C1054+C1357))*MAX(0,MIN(1,'Loan Tape'!$AV141)-0)</f>
        <v>0</v>
      </c>
      <c r="D1963" s="71" t="n">
        <f aca="false">D448*MAX(0,D145-0.5*(D751+D1054+D1357))*MAX(0,MIN(2,'Loan Tape'!$AV141)-1)</f>
        <v>0</v>
      </c>
      <c r="E1963" s="71" t="n">
        <f aca="false">E448*MAX(0,E145-0.5*(E751+E1054+E1357))*MAX(0,MIN(3,'Loan Tape'!$AV141)-2)</f>
        <v>0</v>
      </c>
      <c r="F1963" s="71" t="n">
        <f aca="false">F448*MAX(0,F145-0.5*(F751+F1054+F1357))*MAX(0,MIN(4,'Loan Tape'!$AV141)-3)</f>
        <v>0</v>
      </c>
      <c r="G1963" s="71" t="n">
        <f aca="false">G448*MAX(0,G145-0.5*(G751+G1054+G1357))*MAX(0,MIN(5,'Loan Tape'!$AV141)-4)</f>
        <v>0</v>
      </c>
      <c r="H1963" s="71" t="n">
        <f aca="false">H448*MAX(0,H145-0.5*(H751+H1054+H1357))*MAX(0,MIN(6,'Loan Tape'!$AV141)-5)</f>
        <v>0</v>
      </c>
      <c r="I1963" s="71" t="n">
        <f aca="false">I448*MAX(0,I145-0.5*(I751+I1054+I1357))*MAX(0,MIN(7,'Loan Tape'!$AV141)-6)</f>
        <v>0</v>
      </c>
      <c r="J1963" s="71" t="n">
        <f aca="false">J448*MAX(0,J145-0.5*(J751+J1054+J1357))*MAX(0,MIN(8,'Loan Tape'!$AV141)-7)</f>
        <v>0</v>
      </c>
      <c r="K1963" s="71" t="n">
        <f aca="false">K448*MAX(0,K145-0.5*(K751+K1054+K1357))*MAX(0,MIN(9,'Loan Tape'!$AV141)-8)</f>
        <v>0</v>
      </c>
      <c r="L1963" s="71" t="n">
        <f aca="false">L448*MAX(0,L145-0.5*(L751+L1054+L1357))*MAX(0,MIN(10,'Loan Tape'!$AV141)-9)</f>
        <v>0</v>
      </c>
    </row>
    <row r="1964" customFormat="false" ht="15" hidden="false" customHeight="false" outlineLevel="0" collapsed="false">
      <c r="B1964" s="102" t="n">
        <f aca="false">'Loan Tape'!$A142</f>
        <v>0</v>
      </c>
      <c r="C1964" s="99" t="n">
        <f aca="false">C449*MAX(0,C146-0.5*(C752+C1055+C1358))*MAX(0,MIN(1,'Loan Tape'!$AV142)-0)</f>
        <v>0</v>
      </c>
      <c r="D1964" s="99" t="n">
        <f aca="false">D449*MAX(0,D146-0.5*(D752+D1055+D1358))*MAX(0,MIN(2,'Loan Tape'!$AV142)-1)</f>
        <v>0</v>
      </c>
      <c r="E1964" s="99" t="n">
        <f aca="false">E449*MAX(0,E146-0.5*(E752+E1055+E1358))*MAX(0,MIN(3,'Loan Tape'!$AV142)-2)</f>
        <v>0</v>
      </c>
      <c r="F1964" s="99" t="n">
        <f aca="false">F449*MAX(0,F146-0.5*(F752+F1055+F1358))*MAX(0,MIN(4,'Loan Tape'!$AV142)-3)</f>
        <v>0</v>
      </c>
      <c r="G1964" s="99" t="n">
        <f aca="false">G449*MAX(0,G146-0.5*(G752+G1055+G1358))*MAX(0,MIN(5,'Loan Tape'!$AV142)-4)</f>
        <v>0</v>
      </c>
      <c r="H1964" s="99" t="n">
        <f aca="false">H449*MAX(0,H146-0.5*(H752+H1055+H1358))*MAX(0,MIN(6,'Loan Tape'!$AV142)-5)</f>
        <v>0</v>
      </c>
      <c r="I1964" s="99" t="n">
        <f aca="false">I449*MAX(0,I146-0.5*(I752+I1055+I1358))*MAX(0,MIN(7,'Loan Tape'!$AV142)-6)</f>
        <v>0</v>
      </c>
      <c r="J1964" s="99" t="n">
        <f aca="false">J449*MAX(0,J146-0.5*(J752+J1055+J1358))*MAX(0,MIN(8,'Loan Tape'!$AV142)-7)</f>
        <v>0</v>
      </c>
      <c r="K1964" s="99" t="n">
        <f aca="false">K449*MAX(0,K146-0.5*(K752+K1055+K1358))*MAX(0,MIN(9,'Loan Tape'!$AV142)-8)</f>
        <v>0</v>
      </c>
      <c r="L1964" s="99" t="n">
        <f aca="false">L449*MAX(0,L146-0.5*(L752+L1055+L1358))*MAX(0,MIN(10,'Loan Tape'!$AV142)-9)</f>
        <v>0</v>
      </c>
    </row>
    <row r="1965" customFormat="false" ht="15" hidden="false" customHeight="false" outlineLevel="0" collapsed="false">
      <c r="B1965" s="108" t="n">
        <f aca="false">'Loan Tape'!$A143</f>
        <v>0</v>
      </c>
      <c r="C1965" s="71" t="n">
        <f aca="false">C450*MAX(0,C147-0.5*(C753+C1056+C1359))*MAX(0,MIN(1,'Loan Tape'!$AV143)-0)</f>
        <v>0</v>
      </c>
      <c r="D1965" s="71" t="n">
        <f aca="false">D450*MAX(0,D147-0.5*(D753+D1056+D1359))*MAX(0,MIN(2,'Loan Tape'!$AV143)-1)</f>
        <v>0</v>
      </c>
      <c r="E1965" s="71" t="n">
        <f aca="false">E450*MAX(0,E147-0.5*(E753+E1056+E1359))*MAX(0,MIN(3,'Loan Tape'!$AV143)-2)</f>
        <v>0</v>
      </c>
      <c r="F1965" s="71" t="n">
        <f aca="false">F450*MAX(0,F147-0.5*(F753+F1056+F1359))*MAX(0,MIN(4,'Loan Tape'!$AV143)-3)</f>
        <v>0</v>
      </c>
      <c r="G1965" s="71" t="n">
        <f aca="false">G450*MAX(0,G147-0.5*(G753+G1056+G1359))*MAX(0,MIN(5,'Loan Tape'!$AV143)-4)</f>
        <v>0</v>
      </c>
      <c r="H1965" s="71" t="n">
        <f aca="false">H450*MAX(0,H147-0.5*(H753+H1056+H1359))*MAX(0,MIN(6,'Loan Tape'!$AV143)-5)</f>
        <v>0</v>
      </c>
      <c r="I1965" s="71" t="n">
        <f aca="false">I450*MAX(0,I147-0.5*(I753+I1056+I1359))*MAX(0,MIN(7,'Loan Tape'!$AV143)-6)</f>
        <v>0</v>
      </c>
      <c r="J1965" s="71" t="n">
        <f aca="false">J450*MAX(0,J147-0.5*(J753+J1056+J1359))*MAX(0,MIN(8,'Loan Tape'!$AV143)-7)</f>
        <v>0</v>
      </c>
      <c r="K1965" s="71" t="n">
        <f aca="false">K450*MAX(0,K147-0.5*(K753+K1056+K1359))*MAX(0,MIN(9,'Loan Tape'!$AV143)-8)</f>
        <v>0</v>
      </c>
      <c r="L1965" s="71" t="n">
        <f aca="false">L450*MAX(0,L147-0.5*(L753+L1056+L1359))*MAX(0,MIN(10,'Loan Tape'!$AV143)-9)</f>
        <v>0</v>
      </c>
    </row>
    <row r="1966" customFormat="false" ht="15" hidden="false" customHeight="false" outlineLevel="0" collapsed="false">
      <c r="B1966" s="102" t="n">
        <f aca="false">'Loan Tape'!$A144</f>
        <v>0</v>
      </c>
      <c r="C1966" s="99" t="n">
        <f aca="false">C451*MAX(0,C148-0.5*(C754+C1057+C1360))*MAX(0,MIN(1,'Loan Tape'!$AV144)-0)</f>
        <v>0</v>
      </c>
      <c r="D1966" s="99" t="n">
        <f aca="false">D451*MAX(0,D148-0.5*(D754+D1057+D1360))*MAX(0,MIN(2,'Loan Tape'!$AV144)-1)</f>
        <v>0</v>
      </c>
      <c r="E1966" s="99" t="n">
        <f aca="false">E451*MAX(0,E148-0.5*(E754+E1057+E1360))*MAX(0,MIN(3,'Loan Tape'!$AV144)-2)</f>
        <v>0</v>
      </c>
      <c r="F1966" s="99" t="n">
        <f aca="false">F451*MAX(0,F148-0.5*(F754+F1057+F1360))*MAX(0,MIN(4,'Loan Tape'!$AV144)-3)</f>
        <v>0</v>
      </c>
      <c r="G1966" s="99" t="n">
        <f aca="false">G451*MAX(0,G148-0.5*(G754+G1057+G1360))*MAX(0,MIN(5,'Loan Tape'!$AV144)-4)</f>
        <v>0</v>
      </c>
      <c r="H1966" s="99" t="n">
        <f aca="false">H451*MAX(0,H148-0.5*(H754+H1057+H1360))*MAX(0,MIN(6,'Loan Tape'!$AV144)-5)</f>
        <v>0</v>
      </c>
      <c r="I1966" s="99" t="n">
        <f aca="false">I451*MAX(0,I148-0.5*(I754+I1057+I1360))*MAX(0,MIN(7,'Loan Tape'!$AV144)-6)</f>
        <v>0</v>
      </c>
      <c r="J1966" s="99" t="n">
        <f aca="false">J451*MAX(0,J148-0.5*(J754+J1057+J1360))*MAX(0,MIN(8,'Loan Tape'!$AV144)-7)</f>
        <v>0</v>
      </c>
      <c r="K1966" s="99" t="n">
        <f aca="false">K451*MAX(0,K148-0.5*(K754+K1057+K1360))*MAX(0,MIN(9,'Loan Tape'!$AV144)-8)</f>
        <v>0</v>
      </c>
      <c r="L1966" s="99" t="n">
        <f aca="false">L451*MAX(0,L148-0.5*(L754+L1057+L1360))*MAX(0,MIN(10,'Loan Tape'!$AV144)-9)</f>
        <v>0</v>
      </c>
    </row>
    <row r="1967" customFormat="false" ht="15" hidden="false" customHeight="false" outlineLevel="0" collapsed="false">
      <c r="B1967" s="108" t="n">
        <f aca="false">'Loan Tape'!$A145</f>
        <v>0</v>
      </c>
      <c r="C1967" s="71" t="n">
        <f aca="false">C452*MAX(0,C149-0.5*(C755+C1058+C1361))*MAX(0,MIN(1,'Loan Tape'!$AV145)-0)</f>
        <v>0</v>
      </c>
      <c r="D1967" s="71" t="n">
        <f aca="false">D452*MAX(0,D149-0.5*(D755+D1058+D1361))*MAX(0,MIN(2,'Loan Tape'!$AV145)-1)</f>
        <v>0</v>
      </c>
      <c r="E1967" s="71" t="n">
        <f aca="false">E452*MAX(0,E149-0.5*(E755+E1058+E1361))*MAX(0,MIN(3,'Loan Tape'!$AV145)-2)</f>
        <v>0</v>
      </c>
      <c r="F1967" s="71" t="n">
        <f aca="false">F452*MAX(0,F149-0.5*(F755+F1058+F1361))*MAX(0,MIN(4,'Loan Tape'!$AV145)-3)</f>
        <v>0</v>
      </c>
      <c r="G1967" s="71" t="n">
        <f aca="false">G452*MAX(0,G149-0.5*(G755+G1058+G1361))*MAX(0,MIN(5,'Loan Tape'!$AV145)-4)</f>
        <v>0</v>
      </c>
      <c r="H1967" s="71" t="n">
        <f aca="false">H452*MAX(0,H149-0.5*(H755+H1058+H1361))*MAX(0,MIN(6,'Loan Tape'!$AV145)-5)</f>
        <v>0</v>
      </c>
      <c r="I1967" s="71" t="n">
        <f aca="false">I452*MAX(0,I149-0.5*(I755+I1058+I1361))*MAX(0,MIN(7,'Loan Tape'!$AV145)-6)</f>
        <v>0</v>
      </c>
      <c r="J1967" s="71" t="n">
        <f aca="false">J452*MAX(0,J149-0.5*(J755+J1058+J1361))*MAX(0,MIN(8,'Loan Tape'!$AV145)-7)</f>
        <v>0</v>
      </c>
      <c r="K1967" s="71" t="n">
        <f aca="false">K452*MAX(0,K149-0.5*(K755+K1058+K1361))*MAX(0,MIN(9,'Loan Tape'!$AV145)-8)</f>
        <v>0</v>
      </c>
      <c r="L1967" s="71" t="n">
        <f aca="false">L452*MAX(0,L149-0.5*(L755+L1058+L1361))*MAX(0,MIN(10,'Loan Tape'!$AV145)-9)</f>
        <v>0</v>
      </c>
    </row>
    <row r="1968" customFormat="false" ht="15" hidden="false" customHeight="false" outlineLevel="0" collapsed="false">
      <c r="B1968" s="102" t="n">
        <f aca="false">'Loan Tape'!$A146</f>
        <v>0</v>
      </c>
      <c r="C1968" s="99" t="n">
        <f aca="false">C453*MAX(0,C150-0.5*(C756+C1059+C1362))*MAX(0,MIN(1,'Loan Tape'!$AV146)-0)</f>
        <v>0</v>
      </c>
      <c r="D1968" s="99" t="n">
        <f aca="false">D453*MAX(0,D150-0.5*(D756+D1059+D1362))*MAX(0,MIN(2,'Loan Tape'!$AV146)-1)</f>
        <v>0</v>
      </c>
      <c r="E1968" s="99" t="n">
        <f aca="false">E453*MAX(0,E150-0.5*(E756+E1059+E1362))*MAX(0,MIN(3,'Loan Tape'!$AV146)-2)</f>
        <v>0</v>
      </c>
      <c r="F1968" s="99" t="n">
        <f aca="false">F453*MAX(0,F150-0.5*(F756+F1059+F1362))*MAX(0,MIN(4,'Loan Tape'!$AV146)-3)</f>
        <v>0</v>
      </c>
      <c r="G1968" s="99" t="n">
        <f aca="false">G453*MAX(0,G150-0.5*(G756+G1059+G1362))*MAX(0,MIN(5,'Loan Tape'!$AV146)-4)</f>
        <v>0</v>
      </c>
      <c r="H1968" s="99" t="n">
        <f aca="false">H453*MAX(0,H150-0.5*(H756+H1059+H1362))*MAX(0,MIN(6,'Loan Tape'!$AV146)-5)</f>
        <v>0</v>
      </c>
      <c r="I1968" s="99" t="n">
        <f aca="false">I453*MAX(0,I150-0.5*(I756+I1059+I1362))*MAX(0,MIN(7,'Loan Tape'!$AV146)-6)</f>
        <v>0</v>
      </c>
      <c r="J1968" s="99" t="n">
        <f aca="false">J453*MAX(0,J150-0.5*(J756+J1059+J1362))*MAX(0,MIN(8,'Loan Tape'!$AV146)-7)</f>
        <v>0</v>
      </c>
      <c r="K1968" s="99" t="n">
        <f aca="false">K453*MAX(0,K150-0.5*(K756+K1059+K1362))*MAX(0,MIN(9,'Loan Tape'!$AV146)-8)</f>
        <v>0</v>
      </c>
      <c r="L1968" s="99" t="n">
        <f aca="false">L453*MAX(0,L150-0.5*(L756+L1059+L1362))*MAX(0,MIN(10,'Loan Tape'!$AV146)-9)</f>
        <v>0</v>
      </c>
    </row>
    <row r="1969" customFormat="false" ht="15" hidden="false" customHeight="false" outlineLevel="0" collapsed="false">
      <c r="B1969" s="108" t="n">
        <f aca="false">'Loan Tape'!$A147</f>
        <v>0</v>
      </c>
      <c r="C1969" s="71" t="n">
        <f aca="false">C454*MAX(0,C151-0.5*(C757+C1060+C1363))*MAX(0,MIN(1,'Loan Tape'!$AV147)-0)</f>
        <v>0</v>
      </c>
      <c r="D1969" s="71" t="n">
        <f aca="false">D454*MAX(0,D151-0.5*(D757+D1060+D1363))*MAX(0,MIN(2,'Loan Tape'!$AV147)-1)</f>
        <v>0</v>
      </c>
      <c r="E1969" s="71" t="n">
        <f aca="false">E454*MAX(0,E151-0.5*(E757+E1060+E1363))*MAX(0,MIN(3,'Loan Tape'!$AV147)-2)</f>
        <v>0</v>
      </c>
      <c r="F1969" s="71" t="n">
        <f aca="false">F454*MAX(0,F151-0.5*(F757+F1060+F1363))*MAX(0,MIN(4,'Loan Tape'!$AV147)-3)</f>
        <v>0</v>
      </c>
      <c r="G1969" s="71" t="n">
        <f aca="false">G454*MAX(0,G151-0.5*(G757+G1060+G1363))*MAX(0,MIN(5,'Loan Tape'!$AV147)-4)</f>
        <v>0</v>
      </c>
      <c r="H1969" s="71" t="n">
        <f aca="false">H454*MAX(0,H151-0.5*(H757+H1060+H1363))*MAX(0,MIN(6,'Loan Tape'!$AV147)-5)</f>
        <v>0</v>
      </c>
      <c r="I1969" s="71" t="n">
        <f aca="false">I454*MAX(0,I151-0.5*(I757+I1060+I1363))*MAX(0,MIN(7,'Loan Tape'!$AV147)-6)</f>
        <v>0</v>
      </c>
      <c r="J1969" s="71" t="n">
        <f aca="false">J454*MAX(0,J151-0.5*(J757+J1060+J1363))*MAX(0,MIN(8,'Loan Tape'!$AV147)-7)</f>
        <v>0</v>
      </c>
      <c r="K1969" s="71" t="n">
        <f aca="false">K454*MAX(0,K151-0.5*(K757+K1060+K1363))*MAX(0,MIN(9,'Loan Tape'!$AV147)-8)</f>
        <v>0</v>
      </c>
      <c r="L1969" s="71" t="n">
        <f aca="false">L454*MAX(0,L151-0.5*(L757+L1060+L1363))*MAX(0,MIN(10,'Loan Tape'!$AV147)-9)</f>
        <v>0</v>
      </c>
    </row>
    <row r="1970" customFormat="false" ht="15" hidden="false" customHeight="false" outlineLevel="0" collapsed="false">
      <c r="B1970" s="102" t="n">
        <f aca="false">'Loan Tape'!$A148</f>
        <v>0</v>
      </c>
      <c r="C1970" s="99" t="n">
        <f aca="false">C455*MAX(0,C152-0.5*(C758+C1061+C1364))*MAX(0,MIN(1,'Loan Tape'!$AV148)-0)</f>
        <v>0</v>
      </c>
      <c r="D1970" s="99" t="n">
        <f aca="false">D455*MAX(0,D152-0.5*(D758+D1061+D1364))*MAX(0,MIN(2,'Loan Tape'!$AV148)-1)</f>
        <v>0</v>
      </c>
      <c r="E1970" s="99" t="n">
        <f aca="false">E455*MAX(0,E152-0.5*(E758+E1061+E1364))*MAX(0,MIN(3,'Loan Tape'!$AV148)-2)</f>
        <v>0</v>
      </c>
      <c r="F1970" s="99" t="n">
        <f aca="false">F455*MAX(0,F152-0.5*(F758+F1061+F1364))*MAX(0,MIN(4,'Loan Tape'!$AV148)-3)</f>
        <v>0</v>
      </c>
      <c r="G1970" s="99" t="n">
        <f aca="false">G455*MAX(0,G152-0.5*(G758+G1061+G1364))*MAX(0,MIN(5,'Loan Tape'!$AV148)-4)</f>
        <v>0</v>
      </c>
      <c r="H1970" s="99" t="n">
        <f aca="false">H455*MAX(0,H152-0.5*(H758+H1061+H1364))*MAX(0,MIN(6,'Loan Tape'!$AV148)-5)</f>
        <v>0</v>
      </c>
      <c r="I1970" s="99" t="n">
        <f aca="false">I455*MAX(0,I152-0.5*(I758+I1061+I1364))*MAX(0,MIN(7,'Loan Tape'!$AV148)-6)</f>
        <v>0</v>
      </c>
      <c r="J1970" s="99" t="n">
        <f aca="false">J455*MAX(0,J152-0.5*(J758+J1061+J1364))*MAX(0,MIN(8,'Loan Tape'!$AV148)-7)</f>
        <v>0</v>
      </c>
      <c r="K1970" s="99" t="n">
        <f aca="false">K455*MAX(0,K152-0.5*(K758+K1061+K1364))*MAX(0,MIN(9,'Loan Tape'!$AV148)-8)</f>
        <v>0</v>
      </c>
      <c r="L1970" s="99" t="n">
        <f aca="false">L455*MAX(0,L152-0.5*(L758+L1061+L1364))*MAX(0,MIN(10,'Loan Tape'!$AV148)-9)</f>
        <v>0</v>
      </c>
    </row>
    <row r="1971" customFormat="false" ht="15" hidden="false" customHeight="false" outlineLevel="0" collapsed="false">
      <c r="B1971" s="108" t="n">
        <f aca="false">'Loan Tape'!$A149</f>
        <v>0</v>
      </c>
      <c r="C1971" s="71" t="n">
        <f aca="false">C456*MAX(0,C153-0.5*(C759+C1062+C1365))*MAX(0,MIN(1,'Loan Tape'!$AV149)-0)</f>
        <v>0</v>
      </c>
      <c r="D1971" s="71" t="n">
        <f aca="false">D456*MAX(0,D153-0.5*(D759+D1062+D1365))*MAX(0,MIN(2,'Loan Tape'!$AV149)-1)</f>
        <v>0</v>
      </c>
      <c r="E1971" s="71" t="n">
        <f aca="false">E456*MAX(0,E153-0.5*(E759+E1062+E1365))*MAX(0,MIN(3,'Loan Tape'!$AV149)-2)</f>
        <v>0</v>
      </c>
      <c r="F1971" s="71" t="n">
        <f aca="false">F456*MAX(0,F153-0.5*(F759+F1062+F1365))*MAX(0,MIN(4,'Loan Tape'!$AV149)-3)</f>
        <v>0</v>
      </c>
      <c r="G1971" s="71" t="n">
        <f aca="false">G456*MAX(0,G153-0.5*(G759+G1062+G1365))*MAX(0,MIN(5,'Loan Tape'!$AV149)-4)</f>
        <v>0</v>
      </c>
      <c r="H1971" s="71" t="n">
        <f aca="false">H456*MAX(0,H153-0.5*(H759+H1062+H1365))*MAX(0,MIN(6,'Loan Tape'!$AV149)-5)</f>
        <v>0</v>
      </c>
      <c r="I1971" s="71" t="n">
        <f aca="false">I456*MAX(0,I153-0.5*(I759+I1062+I1365))*MAX(0,MIN(7,'Loan Tape'!$AV149)-6)</f>
        <v>0</v>
      </c>
      <c r="J1971" s="71" t="n">
        <f aca="false">J456*MAX(0,J153-0.5*(J759+J1062+J1365))*MAX(0,MIN(8,'Loan Tape'!$AV149)-7)</f>
        <v>0</v>
      </c>
      <c r="K1971" s="71" t="n">
        <f aca="false">K456*MAX(0,K153-0.5*(K759+K1062+K1365))*MAX(0,MIN(9,'Loan Tape'!$AV149)-8)</f>
        <v>0</v>
      </c>
      <c r="L1971" s="71" t="n">
        <f aca="false">L456*MAX(0,L153-0.5*(L759+L1062+L1365))*MAX(0,MIN(10,'Loan Tape'!$AV149)-9)</f>
        <v>0</v>
      </c>
    </row>
    <row r="1972" customFormat="false" ht="15" hidden="false" customHeight="false" outlineLevel="0" collapsed="false">
      <c r="B1972" s="102" t="n">
        <f aca="false">'Loan Tape'!$A150</f>
        <v>0</v>
      </c>
      <c r="C1972" s="99" t="n">
        <f aca="false">C457*MAX(0,C154-0.5*(C760+C1063+C1366))*MAX(0,MIN(1,'Loan Tape'!$AV150)-0)</f>
        <v>0</v>
      </c>
      <c r="D1972" s="99" t="n">
        <f aca="false">D457*MAX(0,D154-0.5*(D760+D1063+D1366))*MAX(0,MIN(2,'Loan Tape'!$AV150)-1)</f>
        <v>0</v>
      </c>
      <c r="E1972" s="99" t="n">
        <f aca="false">E457*MAX(0,E154-0.5*(E760+E1063+E1366))*MAX(0,MIN(3,'Loan Tape'!$AV150)-2)</f>
        <v>0</v>
      </c>
      <c r="F1972" s="99" t="n">
        <f aca="false">F457*MAX(0,F154-0.5*(F760+F1063+F1366))*MAX(0,MIN(4,'Loan Tape'!$AV150)-3)</f>
        <v>0</v>
      </c>
      <c r="G1972" s="99" t="n">
        <f aca="false">G457*MAX(0,G154-0.5*(G760+G1063+G1366))*MAX(0,MIN(5,'Loan Tape'!$AV150)-4)</f>
        <v>0</v>
      </c>
      <c r="H1972" s="99" t="n">
        <f aca="false">H457*MAX(0,H154-0.5*(H760+H1063+H1366))*MAX(0,MIN(6,'Loan Tape'!$AV150)-5)</f>
        <v>0</v>
      </c>
      <c r="I1972" s="99" t="n">
        <f aca="false">I457*MAX(0,I154-0.5*(I760+I1063+I1366))*MAX(0,MIN(7,'Loan Tape'!$AV150)-6)</f>
        <v>0</v>
      </c>
      <c r="J1972" s="99" t="n">
        <f aca="false">J457*MAX(0,J154-0.5*(J760+J1063+J1366))*MAX(0,MIN(8,'Loan Tape'!$AV150)-7)</f>
        <v>0</v>
      </c>
      <c r="K1972" s="99" t="n">
        <f aca="false">K457*MAX(0,K154-0.5*(K760+K1063+K1366))*MAX(0,MIN(9,'Loan Tape'!$AV150)-8)</f>
        <v>0</v>
      </c>
      <c r="L1972" s="99" t="n">
        <f aca="false">L457*MAX(0,L154-0.5*(L760+L1063+L1366))*MAX(0,MIN(10,'Loan Tape'!$AV150)-9)</f>
        <v>0</v>
      </c>
    </row>
    <row r="1973" customFormat="false" ht="15" hidden="false" customHeight="false" outlineLevel="0" collapsed="false">
      <c r="B1973" s="108" t="n">
        <f aca="false">'Loan Tape'!$A151</f>
        <v>0</v>
      </c>
      <c r="C1973" s="71" t="n">
        <f aca="false">C458*MAX(0,C155-0.5*(C761+C1064+C1367))*MAX(0,MIN(1,'Loan Tape'!$AV151)-0)</f>
        <v>0</v>
      </c>
      <c r="D1973" s="71" t="n">
        <f aca="false">D458*MAX(0,D155-0.5*(D761+D1064+D1367))*MAX(0,MIN(2,'Loan Tape'!$AV151)-1)</f>
        <v>0</v>
      </c>
      <c r="E1973" s="71" t="n">
        <f aca="false">E458*MAX(0,E155-0.5*(E761+E1064+E1367))*MAX(0,MIN(3,'Loan Tape'!$AV151)-2)</f>
        <v>0</v>
      </c>
      <c r="F1973" s="71" t="n">
        <f aca="false">F458*MAX(0,F155-0.5*(F761+F1064+F1367))*MAX(0,MIN(4,'Loan Tape'!$AV151)-3)</f>
        <v>0</v>
      </c>
      <c r="G1973" s="71" t="n">
        <f aca="false">G458*MAX(0,G155-0.5*(G761+G1064+G1367))*MAX(0,MIN(5,'Loan Tape'!$AV151)-4)</f>
        <v>0</v>
      </c>
      <c r="H1973" s="71" t="n">
        <f aca="false">H458*MAX(0,H155-0.5*(H761+H1064+H1367))*MAX(0,MIN(6,'Loan Tape'!$AV151)-5)</f>
        <v>0</v>
      </c>
      <c r="I1973" s="71" t="n">
        <f aca="false">I458*MAX(0,I155-0.5*(I761+I1064+I1367))*MAX(0,MIN(7,'Loan Tape'!$AV151)-6)</f>
        <v>0</v>
      </c>
      <c r="J1973" s="71" t="n">
        <f aca="false">J458*MAX(0,J155-0.5*(J761+J1064+J1367))*MAX(0,MIN(8,'Loan Tape'!$AV151)-7)</f>
        <v>0</v>
      </c>
      <c r="K1973" s="71" t="n">
        <f aca="false">K458*MAX(0,K155-0.5*(K761+K1064+K1367))*MAX(0,MIN(9,'Loan Tape'!$AV151)-8)</f>
        <v>0</v>
      </c>
      <c r="L1973" s="71" t="n">
        <f aca="false">L458*MAX(0,L155-0.5*(L761+L1064+L1367))*MAX(0,MIN(10,'Loan Tape'!$AV151)-9)</f>
        <v>0</v>
      </c>
    </row>
    <row r="1974" customFormat="false" ht="15" hidden="false" customHeight="false" outlineLevel="0" collapsed="false">
      <c r="B1974" s="102" t="n">
        <f aca="false">'Loan Tape'!$A152</f>
        <v>0</v>
      </c>
      <c r="C1974" s="99" t="n">
        <f aca="false">C459*MAX(0,C156-0.5*(C762+C1065+C1368))*MAX(0,MIN(1,'Loan Tape'!$AV152)-0)</f>
        <v>0</v>
      </c>
      <c r="D1974" s="99" t="n">
        <f aca="false">D459*MAX(0,D156-0.5*(D762+D1065+D1368))*MAX(0,MIN(2,'Loan Tape'!$AV152)-1)</f>
        <v>0</v>
      </c>
      <c r="E1974" s="99" t="n">
        <f aca="false">E459*MAX(0,E156-0.5*(E762+E1065+E1368))*MAX(0,MIN(3,'Loan Tape'!$AV152)-2)</f>
        <v>0</v>
      </c>
      <c r="F1974" s="99" t="n">
        <f aca="false">F459*MAX(0,F156-0.5*(F762+F1065+F1368))*MAX(0,MIN(4,'Loan Tape'!$AV152)-3)</f>
        <v>0</v>
      </c>
      <c r="G1974" s="99" t="n">
        <f aca="false">G459*MAX(0,G156-0.5*(G762+G1065+G1368))*MAX(0,MIN(5,'Loan Tape'!$AV152)-4)</f>
        <v>0</v>
      </c>
      <c r="H1974" s="99" t="n">
        <f aca="false">H459*MAX(0,H156-0.5*(H762+H1065+H1368))*MAX(0,MIN(6,'Loan Tape'!$AV152)-5)</f>
        <v>0</v>
      </c>
      <c r="I1974" s="99" t="n">
        <f aca="false">I459*MAX(0,I156-0.5*(I762+I1065+I1368))*MAX(0,MIN(7,'Loan Tape'!$AV152)-6)</f>
        <v>0</v>
      </c>
      <c r="J1974" s="99" t="n">
        <f aca="false">J459*MAX(0,J156-0.5*(J762+J1065+J1368))*MAX(0,MIN(8,'Loan Tape'!$AV152)-7)</f>
        <v>0</v>
      </c>
      <c r="K1974" s="99" t="n">
        <f aca="false">K459*MAX(0,K156-0.5*(K762+K1065+K1368))*MAX(0,MIN(9,'Loan Tape'!$AV152)-8)</f>
        <v>0</v>
      </c>
      <c r="L1974" s="99" t="n">
        <f aca="false">L459*MAX(0,L156-0.5*(L762+L1065+L1368))*MAX(0,MIN(10,'Loan Tape'!$AV152)-9)</f>
        <v>0</v>
      </c>
    </row>
    <row r="1975" customFormat="false" ht="15" hidden="false" customHeight="false" outlineLevel="0" collapsed="false">
      <c r="B1975" s="108" t="n">
        <f aca="false">'Loan Tape'!$A153</f>
        <v>0</v>
      </c>
      <c r="C1975" s="71" t="n">
        <f aca="false">C460*MAX(0,C157-0.5*(C763+C1066+C1369))*MAX(0,MIN(1,'Loan Tape'!$AV153)-0)</f>
        <v>0</v>
      </c>
      <c r="D1975" s="71" t="n">
        <f aca="false">D460*MAX(0,D157-0.5*(D763+D1066+D1369))*MAX(0,MIN(2,'Loan Tape'!$AV153)-1)</f>
        <v>0</v>
      </c>
      <c r="E1975" s="71" t="n">
        <f aca="false">E460*MAX(0,E157-0.5*(E763+E1066+E1369))*MAX(0,MIN(3,'Loan Tape'!$AV153)-2)</f>
        <v>0</v>
      </c>
      <c r="F1975" s="71" t="n">
        <f aca="false">F460*MAX(0,F157-0.5*(F763+F1066+F1369))*MAX(0,MIN(4,'Loan Tape'!$AV153)-3)</f>
        <v>0</v>
      </c>
      <c r="G1975" s="71" t="n">
        <f aca="false">G460*MAX(0,G157-0.5*(G763+G1066+G1369))*MAX(0,MIN(5,'Loan Tape'!$AV153)-4)</f>
        <v>0</v>
      </c>
      <c r="H1975" s="71" t="n">
        <f aca="false">H460*MAX(0,H157-0.5*(H763+H1066+H1369))*MAX(0,MIN(6,'Loan Tape'!$AV153)-5)</f>
        <v>0</v>
      </c>
      <c r="I1975" s="71" t="n">
        <f aca="false">I460*MAX(0,I157-0.5*(I763+I1066+I1369))*MAX(0,MIN(7,'Loan Tape'!$AV153)-6)</f>
        <v>0</v>
      </c>
      <c r="J1975" s="71" t="n">
        <f aca="false">J460*MAX(0,J157-0.5*(J763+J1066+J1369))*MAX(0,MIN(8,'Loan Tape'!$AV153)-7)</f>
        <v>0</v>
      </c>
      <c r="K1975" s="71" t="n">
        <f aca="false">K460*MAX(0,K157-0.5*(K763+K1066+K1369))*MAX(0,MIN(9,'Loan Tape'!$AV153)-8)</f>
        <v>0</v>
      </c>
      <c r="L1975" s="71" t="n">
        <f aca="false">L460*MAX(0,L157-0.5*(L763+L1066+L1369))*MAX(0,MIN(10,'Loan Tape'!$AV153)-9)</f>
        <v>0</v>
      </c>
    </row>
    <row r="1976" customFormat="false" ht="15" hidden="false" customHeight="false" outlineLevel="0" collapsed="false">
      <c r="B1976" s="102" t="n">
        <f aca="false">'Loan Tape'!$A154</f>
        <v>0</v>
      </c>
      <c r="C1976" s="99" t="n">
        <f aca="false">C461*MAX(0,C158-0.5*(C764+C1067+C1370))*MAX(0,MIN(1,'Loan Tape'!$AV154)-0)</f>
        <v>0</v>
      </c>
      <c r="D1976" s="99" t="n">
        <f aca="false">D461*MAX(0,D158-0.5*(D764+D1067+D1370))*MAX(0,MIN(2,'Loan Tape'!$AV154)-1)</f>
        <v>0</v>
      </c>
      <c r="E1976" s="99" t="n">
        <f aca="false">E461*MAX(0,E158-0.5*(E764+E1067+E1370))*MAX(0,MIN(3,'Loan Tape'!$AV154)-2)</f>
        <v>0</v>
      </c>
      <c r="F1976" s="99" t="n">
        <f aca="false">F461*MAX(0,F158-0.5*(F764+F1067+F1370))*MAX(0,MIN(4,'Loan Tape'!$AV154)-3)</f>
        <v>0</v>
      </c>
      <c r="G1976" s="99" t="n">
        <f aca="false">G461*MAX(0,G158-0.5*(G764+G1067+G1370))*MAX(0,MIN(5,'Loan Tape'!$AV154)-4)</f>
        <v>0</v>
      </c>
      <c r="H1976" s="99" t="n">
        <f aca="false">H461*MAX(0,H158-0.5*(H764+H1067+H1370))*MAX(0,MIN(6,'Loan Tape'!$AV154)-5)</f>
        <v>0</v>
      </c>
      <c r="I1976" s="99" t="n">
        <f aca="false">I461*MAX(0,I158-0.5*(I764+I1067+I1370))*MAX(0,MIN(7,'Loan Tape'!$AV154)-6)</f>
        <v>0</v>
      </c>
      <c r="J1976" s="99" t="n">
        <f aca="false">J461*MAX(0,J158-0.5*(J764+J1067+J1370))*MAX(0,MIN(8,'Loan Tape'!$AV154)-7)</f>
        <v>0</v>
      </c>
      <c r="K1976" s="99" t="n">
        <f aca="false">K461*MAX(0,K158-0.5*(K764+K1067+K1370))*MAX(0,MIN(9,'Loan Tape'!$AV154)-8)</f>
        <v>0</v>
      </c>
      <c r="L1976" s="99" t="n">
        <f aca="false">L461*MAX(0,L158-0.5*(L764+L1067+L1370))*MAX(0,MIN(10,'Loan Tape'!$AV154)-9)</f>
        <v>0</v>
      </c>
    </row>
    <row r="1977" customFormat="false" ht="15" hidden="false" customHeight="false" outlineLevel="0" collapsed="false">
      <c r="B1977" s="108" t="n">
        <f aca="false">'Loan Tape'!$A155</f>
        <v>0</v>
      </c>
      <c r="C1977" s="71" t="n">
        <f aca="false">C462*MAX(0,C159-0.5*(C765+C1068+C1371))*MAX(0,MIN(1,'Loan Tape'!$AV155)-0)</f>
        <v>0</v>
      </c>
      <c r="D1977" s="71" t="n">
        <f aca="false">D462*MAX(0,D159-0.5*(D765+D1068+D1371))*MAX(0,MIN(2,'Loan Tape'!$AV155)-1)</f>
        <v>0</v>
      </c>
      <c r="E1977" s="71" t="n">
        <f aca="false">E462*MAX(0,E159-0.5*(E765+E1068+E1371))*MAX(0,MIN(3,'Loan Tape'!$AV155)-2)</f>
        <v>0</v>
      </c>
      <c r="F1977" s="71" t="n">
        <f aca="false">F462*MAX(0,F159-0.5*(F765+F1068+F1371))*MAX(0,MIN(4,'Loan Tape'!$AV155)-3)</f>
        <v>0</v>
      </c>
      <c r="G1977" s="71" t="n">
        <f aca="false">G462*MAX(0,G159-0.5*(G765+G1068+G1371))*MAX(0,MIN(5,'Loan Tape'!$AV155)-4)</f>
        <v>0</v>
      </c>
      <c r="H1977" s="71" t="n">
        <f aca="false">H462*MAX(0,H159-0.5*(H765+H1068+H1371))*MAX(0,MIN(6,'Loan Tape'!$AV155)-5)</f>
        <v>0</v>
      </c>
      <c r="I1977" s="71" t="n">
        <f aca="false">I462*MAX(0,I159-0.5*(I765+I1068+I1371))*MAX(0,MIN(7,'Loan Tape'!$AV155)-6)</f>
        <v>0</v>
      </c>
      <c r="J1977" s="71" t="n">
        <f aca="false">J462*MAX(0,J159-0.5*(J765+J1068+J1371))*MAX(0,MIN(8,'Loan Tape'!$AV155)-7)</f>
        <v>0</v>
      </c>
      <c r="K1977" s="71" t="n">
        <f aca="false">K462*MAX(0,K159-0.5*(K765+K1068+K1371))*MAX(0,MIN(9,'Loan Tape'!$AV155)-8)</f>
        <v>0</v>
      </c>
      <c r="L1977" s="71" t="n">
        <f aca="false">L462*MAX(0,L159-0.5*(L765+L1068+L1371))*MAX(0,MIN(10,'Loan Tape'!$AV155)-9)</f>
        <v>0</v>
      </c>
    </row>
    <row r="1978" customFormat="false" ht="15" hidden="false" customHeight="false" outlineLevel="0" collapsed="false">
      <c r="B1978" s="102" t="n">
        <f aca="false">'Loan Tape'!$A156</f>
        <v>0</v>
      </c>
      <c r="C1978" s="99" t="n">
        <f aca="false">C463*MAX(0,C160-0.5*(C766+C1069+C1372))*MAX(0,MIN(1,'Loan Tape'!$AV156)-0)</f>
        <v>0</v>
      </c>
      <c r="D1978" s="99" t="n">
        <f aca="false">D463*MAX(0,D160-0.5*(D766+D1069+D1372))*MAX(0,MIN(2,'Loan Tape'!$AV156)-1)</f>
        <v>0</v>
      </c>
      <c r="E1978" s="99" t="n">
        <f aca="false">E463*MAX(0,E160-0.5*(E766+E1069+E1372))*MAX(0,MIN(3,'Loan Tape'!$AV156)-2)</f>
        <v>0</v>
      </c>
      <c r="F1978" s="99" t="n">
        <f aca="false">F463*MAX(0,F160-0.5*(F766+F1069+F1372))*MAX(0,MIN(4,'Loan Tape'!$AV156)-3)</f>
        <v>0</v>
      </c>
      <c r="G1978" s="99" t="n">
        <f aca="false">G463*MAX(0,G160-0.5*(G766+G1069+G1372))*MAX(0,MIN(5,'Loan Tape'!$AV156)-4)</f>
        <v>0</v>
      </c>
      <c r="H1978" s="99" t="n">
        <f aca="false">H463*MAX(0,H160-0.5*(H766+H1069+H1372))*MAX(0,MIN(6,'Loan Tape'!$AV156)-5)</f>
        <v>0</v>
      </c>
      <c r="I1978" s="99" t="n">
        <f aca="false">I463*MAX(0,I160-0.5*(I766+I1069+I1372))*MAX(0,MIN(7,'Loan Tape'!$AV156)-6)</f>
        <v>0</v>
      </c>
      <c r="J1978" s="99" t="n">
        <f aca="false">J463*MAX(0,J160-0.5*(J766+J1069+J1372))*MAX(0,MIN(8,'Loan Tape'!$AV156)-7)</f>
        <v>0</v>
      </c>
      <c r="K1978" s="99" t="n">
        <f aca="false">K463*MAX(0,K160-0.5*(K766+K1069+K1372))*MAX(0,MIN(9,'Loan Tape'!$AV156)-8)</f>
        <v>0</v>
      </c>
      <c r="L1978" s="99" t="n">
        <f aca="false">L463*MAX(0,L160-0.5*(L766+L1069+L1372))*MAX(0,MIN(10,'Loan Tape'!$AV156)-9)</f>
        <v>0</v>
      </c>
    </row>
    <row r="1979" customFormat="false" ht="15" hidden="false" customHeight="false" outlineLevel="0" collapsed="false">
      <c r="B1979" s="108" t="n">
        <f aca="false">'Loan Tape'!$A157</f>
        <v>0</v>
      </c>
      <c r="C1979" s="71" t="n">
        <f aca="false">C464*MAX(0,C161-0.5*(C767+C1070+C1373))*MAX(0,MIN(1,'Loan Tape'!$AV157)-0)</f>
        <v>0</v>
      </c>
      <c r="D1979" s="71" t="n">
        <f aca="false">D464*MAX(0,D161-0.5*(D767+D1070+D1373))*MAX(0,MIN(2,'Loan Tape'!$AV157)-1)</f>
        <v>0</v>
      </c>
      <c r="E1979" s="71" t="n">
        <f aca="false">E464*MAX(0,E161-0.5*(E767+E1070+E1373))*MAX(0,MIN(3,'Loan Tape'!$AV157)-2)</f>
        <v>0</v>
      </c>
      <c r="F1979" s="71" t="n">
        <f aca="false">F464*MAX(0,F161-0.5*(F767+F1070+F1373))*MAX(0,MIN(4,'Loan Tape'!$AV157)-3)</f>
        <v>0</v>
      </c>
      <c r="G1979" s="71" t="n">
        <f aca="false">G464*MAX(0,G161-0.5*(G767+G1070+G1373))*MAX(0,MIN(5,'Loan Tape'!$AV157)-4)</f>
        <v>0</v>
      </c>
      <c r="H1979" s="71" t="n">
        <f aca="false">H464*MAX(0,H161-0.5*(H767+H1070+H1373))*MAX(0,MIN(6,'Loan Tape'!$AV157)-5)</f>
        <v>0</v>
      </c>
      <c r="I1979" s="71" t="n">
        <f aca="false">I464*MAX(0,I161-0.5*(I767+I1070+I1373))*MAX(0,MIN(7,'Loan Tape'!$AV157)-6)</f>
        <v>0</v>
      </c>
      <c r="J1979" s="71" t="n">
        <f aca="false">J464*MAX(0,J161-0.5*(J767+J1070+J1373))*MAX(0,MIN(8,'Loan Tape'!$AV157)-7)</f>
        <v>0</v>
      </c>
      <c r="K1979" s="71" t="n">
        <f aca="false">K464*MAX(0,K161-0.5*(K767+K1070+K1373))*MAX(0,MIN(9,'Loan Tape'!$AV157)-8)</f>
        <v>0</v>
      </c>
      <c r="L1979" s="71" t="n">
        <f aca="false">L464*MAX(0,L161-0.5*(L767+L1070+L1373))*MAX(0,MIN(10,'Loan Tape'!$AV157)-9)</f>
        <v>0</v>
      </c>
    </row>
    <row r="1980" customFormat="false" ht="15" hidden="false" customHeight="false" outlineLevel="0" collapsed="false">
      <c r="B1980" s="102" t="n">
        <f aca="false">'Loan Tape'!$A158</f>
        <v>0</v>
      </c>
      <c r="C1980" s="99" t="n">
        <f aca="false">C465*MAX(0,C162-0.5*(C768+C1071+C1374))*MAX(0,MIN(1,'Loan Tape'!$AV158)-0)</f>
        <v>0</v>
      </c>
      <c r="D1980" s="99" t="n">
        <f aca="false">D465*MAX(0,D162-0.5*(D768+D1071+D1374))*MAX(0,MIN(2,'Loan Tape'!$AV158)-1)</f>
        <v>0</v>
      </c>
      <c r="E1980" s="99" t="n">
        <f aca="false">E465*MAX(0,E162-0.5*(E768+E1071+E1374))*MAX(0,MIN(3,'Loan Tape'!$AV158)-2)</f>
        <v>0</v>
      </c>
      <c r="F1980" s="99" t="n">
        <f aca="false">F465*MAX(0,F162-0.5*(F768+F1071+F1374))*MAX(0,MIN(4,'Loan Tape'!$AV158)-3)</f>
        <v>0</v>
      </c>
      <c r="G1980" s="99" t="n">
        <f aca="false">G465*MAX(0,G162-0.5*(G768+G1071+G1374))*MAX(0,MIN(5,'Loan Tape'!$AV158)-4)</f>
        <v>0</v>
      </c>
      <c r="H1980" s="99" t="n">
        <f aca="false">H465*MAX(0,H162-0.5*(H768+H1071+H1374))*MAX(0,MIN(6,'Loan Tape'!$AV158)-5)</f>
        <v>0</v>
      </c>
      <c r="I1980" s="99" t="n">
        <f aca="false">I465*MAX(0,I162-0.5*(I768+I1071+I1374))*MAX(0,MIN(7,'Loan Tape'!$AV158)-6)</f>
        <v>0</v>
      </c>
      <c r="J1980" s="99" t="n">
        <f aca="false">J465*MAX(0,J162-0.5*(J768+J1071+J1374))*MAX(0,MIN(8,'Loan Tape'!$AV158)-7)</f>
        <v>0</v>
      </c>
      <c r="K1980" s="99" t="n">
        <f aca="false">K465*MAX(0,K162-0.5*(K768+K1071+K1374))*MAX(0,MIN(9,'Loan Tape'!$AV158)-8)</f>
        <v>0</v>
      </c>
      <c r="L1980" s="99" t="n">
        <f aca="false">L465*MAX(0,L162-0.5*(L768+L1071+L1374))*MAX(0,MIN(10,'Loan Tape'!$AV158)-9)</f>
        <v>0</v>
      </c>
    </row>
    <row r="1981" customFormat="false" ht="15" hidden="false" customHeight="false" outlineLevel="0" collapsed="false">
      <c r="B1981" s="108" t="n">
        <f aca="false">'Loan Tape'!$A159</f>
        <v>0</v>
      </c>
      <c r="C1981" s="71" t="n">
        <f aca="false">C466*MAX(0,C163-0.5*(C769+C1072+C1375))*MAX(0,MIN(1,'Loan Tape'!$AV159)-0)</f>
        <v>0</v>
      </c>
      <c r="D1981" s="71" t="n">
        <f aca="false">D466*MAX(0,D163-0.5*(D769+D1072+D1375))*MAX(0,MIN(2,'Loan Tape'!$AV159)-1)</f>
        <v>0</v>
      </c>
      <c r="E1981" s="71" t="n">
        <f aca="false">E466*MAX(0,E163-0.5*(E769+E1072+E1375))*MAX(0,MIN(3,'Loan Tape'!$AV159)-2)</f>
        <v>0</v>
      </c>
      <c r="F1981" s="71" t="n">
        <f aca="false">F466*MAX(0,F163-0.5*(F769+F1072+F1375))*MAX(0,MIN(4,'Loan Tape'!$AV159)-3)</f>
        <v>0</v>
      </c>
      <c r="G1981" s="71" t="n">
        <f aca="false">G466*MAX(0,G163-0.5*(G769+G1072+G1375))*MAX(0,MIN(5,'Loan Tape'!$AV159)-4)</f>
        <v>0</v>
      </c>
      <c r="H1981" s="71" t="n">
        <f aca="false">H466*MAX(0,H163-0.5*(H769+H1072+H1375))*MAX(0,MIN(6,'Loan Tape'!$AV159)-5)</f>
        <v>0</v>
      </c>
      <c r="I1981" s="71" t="n">
        <f aca="false">I466*MAX(0,I163-0.5*(I769+I1072+I1375))*MAX(0,MIN(7,'Loan Tape'!$AV159)-6)</f>
        <v>0</v>
      </c>
      <c r="J1981" s="71" t="n">
        <f aca="false">J466*MAX(0,J163-0.5*(J769+J1072+J1375))*MAX(0,MIN(8,'Loan Tape'!$AV159)-7)</f>
        <v>0</v>
      </c>
      <c r="K1981" s="71" t="n">
        <f aca="false">K466*MAX(0,K163-0.5*(K769+K1072+K1375))*MAX(0,MIN(9,'Loan Tape'!$AV159)-8)</f>
        <v>0</v>
      </c>
      <c r="L1981" s="71" t="n">
        <f aca="false">L466*MAX(0,L163-0.5*(L769+L1072+L1375))*MAX(0,MIN(10,'Loan Tape'!$AV159)-9)</f>
        <v>0</v>
      </c>
    </row>
    <row r="1982" customFormat="false" ht="15" hidden="false" customHeight="false" outlineLevel="0" collapsed="false">
      <c r="B1982" s="102" t="n">
        <f aca="false">'Loan Tape'!$A160</f>
        <v>0</v>
      </c>
      <c r="C1982" s="99" t="n">
        <f aca="false">C467*MAX(0,C164-0.5*(C770+C1073+C1376))*MAX(0,MIN(1,'Loan Tape'!$AV160)-0)</f>
        <v>0</v>
      </c>
      <c r="D1982" s="99" t="n">
        <f aca="false">D467*MAX(0,D164-0.5*(D770+D1073+D1376))*MAX(0,MIN(2,'Loan Tape'!$AV160)-1)</f>
        <v>0</v>
      </c>
      <c r="E1982" s="99" t="n">
        <f aca="false">E467*MAX(0,E164-0.5*(E770+E1073+E1376))*MAX(0,MIN(3,'Loan Tape'!$AV160)-2)</f>
        <v>0</v>
      </c>
      <c r="F1982" s="99" t="n">
        <f aca="false">F467*MAX(0,F164-0.5*(F770+F1073+F1376))*MAX(0,MIN(4,'Loan Tape'!$AV160)-3)</f>
        <v>0</v>
      </c>
      <c r="G1982" s="99" t="n">
        <f aca="false">G467*MAX(0,G164-0.5*(G770+G1073+G1376))*MAX(0,MIN(5,'Loan Tape'!$AV160)-4)</f>
        <v>0</v>
      </c>
      <c r="H1982" s="99" t="n">
        <f aca="false">H467*MAX(0,H164-0.5*(H770+H1073+H1376))*MAX(0,MIN(6,'Loan Tape'!$AV160)-5)</f>
        <v>0</v>
      </c>
      <c r="I1982" s="99" t="n">
        <f aca="false">I467*MAX(0,I164-0.5*(I770+I1073+I1376))*MAX(0,MIN(7,'Loan Tape'!$AV160)-6)</f>
        <v>0</v>
      </c>
      <c r="J1982" s="99" t="n">
        <f aca="false">J467*MAX(0,J164-0.5*(J770+J1073+J1376))*MAX(0,MIN(8,'Loan Tape'!$AV160)-7)</f>
        <v>0</v>
      </c>
      <c r="K1982" s="99" t="n">
        <f aca="false">K467*MAX(0,K164-0.5*(K770+K1073+K1376))*MAX(0,MIN(9,'Loan Tape'!$AV160)-8)</f>
        <v>0</v>
      </c>
      <c r="L1982" s="99" t="n">
        <f aca="false">L467*MAX(0,L164-0.5*(L770+L1073+L1376))*MAX(0,MIN(10,'Loan Tape'!$AV160)-9)</f>
        <v>0</v>
      </c>
    </row>
    <row r="1983" customFormat="false" ht="15" hidden="false" customHeight="false" outlineLevel="0" collapsed="false">
      <c r="B1983" s="108" t="n">
        <f aca="false">'Loan Tape'!$A161</f>
        <v>0</v>
      </c>
      <c r="C1983" s="71" t="n">
        <f aca="false">C468*MAX(0,C165-0.5*(C771+C1074+C1377))*MAX(0,MIN(1,'Loan Tape'!$AV161)-0)</f>
        <v>0</v>
      </c>
      <c r="D1983" s="71" t="n">
        <f aca="false">D468*MAX(0,D165-0.5*(D771+D1074+D1377))*MAX(0,MIN(2,'Loan Tape'!$AV161)-1)</f>
        <v>0</v>
      </c>
      <c r="E1983" s="71" t="n">
        <f aca="false">E468*MAX(0,E165-0.5*(E771+E1074+E1377))*MAX(0,MIN(3,'Loan Tape'!$AV161)-2)</f>
        <v>0</v>
      </c>
      <c r="F1983" s="71" t="n">
        <f aca="false">F468*MAX(0,F165-0.5*(F771+F1074+F1377))*MAX(0,MIN(4,'Loan Tape'!$AV161)-3)</f>
        <v>0</v>
      </c>
      <c r="G1983" s="71" t="n">
        <f aca="false">G468*MAX(0,G165-0.5*(G771+G1074+G1377))*MAX(0,MIN(5,'Loan Tape'!$AV161)-4)</f>
        <v>0</v>
      </c>
      <c r="H1983" s="71" t="n">
        <f aca="false">H468*MAX(0,H165-0.5*(H771+H1074+H1377))*MAX(0,MIN(6,'Loan Tape'!$AV161)-5)</f>
        <v>0</v>
      </c>
      <c r="I1983" s="71" t="n">
        <f aca="false">I468*MAX(0,I165-0.5*(I771+I1074+I1377))*MAX(0,MIN(7,'Loan Tape'!$AV161)-6)</f>
        <v>0</v>
      </c>
      <c r="J1983" s="71" t="n">
        <f aca="false">J468*MAX(0,J165-0.5*(J771+J1074+J1377))*MAX(0,MIN(8,'Loan Tape'!$AV161)-7)</f>
        <v>0</v>
      </c>
      <c r="K1983" s="71" t="n">
        <f aca="false">K468*MAX(0,K165-0.5*(K771+K1074+K1377))*MAX(0,MIN(9,'Loan Tape'!$AV161)-8)</f>
        <v>0</v>
      </c>
      <c r="L1983" s="71" t="n">
        <f aca="false">L468*MAX(0,L165-0.5*(L771+L1074+L1377))*MAX(0,MIN(10,'Loan Tape'!$AV161)-9)</f>
        <v>0</v>
      </c>
    </row>
    <row r="1984" customFormat="false" ht="15" hidden="false" customHeight="false" outlineLevel="0" collapsed="false">
      <c r="B1984" s="102" t="n">
        <f aca="false">'Loan Tape'!$A162</f>
        <v>0</v>
      </c>
      <c r="C1984" s="99" t="n">
        <f aca="false">C469*MAX(0,C166-0.5*(C772+C1075+C1378))*MAX(0,MIN(1,'Loan Tape'!$AV162)-0)</f>
        <v>0</v>
      </c>
      <c r="D1984" s="99" t="n">
        <f aca="false">D469*MAX(0,D166-0.5*(D772+D1075+D1378))*MAX(0,MIN(2,'Loan Tape'!$AV162)-1)</f>
        <v>0</v>
      </c>
      <c r="E1984" s="99" t="n">
        <f aca="false">E469*MAX(0,E166-0.5*(E772+E1075+E1378))*MAX(0,MIN(3,'Loan Tape'!$AV162)-2)</f>
        <v>0</v>
      </c>
      <c r="F1984" s="99" t="n">
        <f aca="false">F469*MAX(0,F166-0.5*(F772+F1075+F1378))*MAX(0,MIN(4,'Loan Tape'!$AV162)-3)</f>
        <v>0</v>
      </c>
      <c r="G1984" s="99" t="n">
        <f aca="false">G469*MAX(0,G166-0.5*(G772+G1075+G1378))*MAX(0,MIN(5,'Loan Tape'!$AV162)-4)</f>
        <v>0</v>
      </c>
      <c r="H1984" s="99" t="n">
        <f aca="false">H469*MAX(0,H166-0.5*(H772+H1075+H1378))*MAX(0,MIN(6,'Loan Tape'!$AV162)-5)</f>
        <v>0</v>
      </c>
      <c r="I1984" s="99" t="n">
        <f aca="false">I469*MAX(0,I166-0.5*(I772+I1075+I1378))*MAX(0,MIN(7,'Loan Tape'!$AV162)-6)</f>
        <v>0</v>
      </c>
      <c r="J1984" s="99" t="n">
        <f aca="false">J469*MAX(0,J166-0.5*(J772+J1075+J1378))*MAX(0,MIN(8,'Loan Tape'!$AV162)-7)</f>
        <v>0</v>
      </c>
      <c r="K1984" s="99" t="n">
        <f aca="false">K469*MAX(0,K166-0.5*(K772+K1075+K1378))*MAX(0,MIN(9,'Loan Tape'!$AV162)-8)</f>
        <v>0</v>
      </c>
      <c r="L1984" s="99" t="n">
        <f aca="false">L469*MAX(0,L166-0.5*(L772+L1075+L1378))*MAX(0,MIN(10,'Loan Tape'!$AV162)-9)</f>
        <v>0</v>
      </c>
    </row>
    <row r="1985" customFormat="false" ht="15" hidden="false" customHeight="false" outlineLevel="0" collapsed="false">
      <c r="B1985" s="108" t="n">
        <f aca="false">'Loan Tape'!$A163</f>
        <v>0</v>
      </c>
      <c r="C1985" s="71" t="n">
        <f aca="false">C470*MAX(0,C167-0.5*(C773+C1076+C1379))*MAX(0,MIN(1,'Loan Tape'!$AV163)-0)</f>
        <v>0</v>
      </c>
      <c r="D1985" s="71" t="n">
        <f aca="false">D470*MAX(0,D167-0.5*(D773+D1076+D1379))*MAX(0,MIN(2,'Loan Tape'!$AV163)-1)</f>
        <v>0</v>
      </c>
      <c r="E1985" s="71" t="n">
        <f aca="false">E470*MAX(0,E167-0.5*(E773+E1076+E1379))*MAX(0,MIN(3,'Loan Tape'!$AV163)-2)</f>
        <v>0</v>
      </c>
      <c r="F1985" s="71" t="n">
        <f aca="false">F470*MAX(0,F167-0.5*(F773+F1076+F1379))*MAX(0,MIN(4,'Loan Tape'!$AV163)-3)</f>
        <v>0</v>
      </c>
      <c r="G1985" s="71" t="n">
        <f aca="false">G470*MAX(0,G167-0.5*(G773+G1076+G1379))*MAX(0,MIN(5,'Loan Tape'!$AV163)-4)</f>
        <v>0</v>
      </c>
      <c r="H1985" s="71" t="n">
        <f aca="false">H470*MAX(0,H167-0.5*(H773+H1076+H1379))*MAX(0,MIN(6,'Loan Tape'!$AV163)-5)</f>
        <v>0</v>
      </c>
      <c r="I1985" s="71" t="n">
        <f aca="false">I470*MAX(0,I167-0.5*(I773+I1076+I1379))*MAX(0,MIN(7,'Loan Tape'!$AV163)-6)</f>
        <v>0</v>
      </c>
      <c r="J1985" s="71" t="n">
        <f aca="false">J470*MAX(0,J167-0.5*(J773+J1076+J1379))*MAX(0,MIN(8,'Loan Tape'!$AV163)-7)</f>
        <v>0</v>
      </c>
      <c r="K1985" s="71" t="n">
        <f aca="false">K470*MAX(0,K167-0.5*(K773+K1076+K1379))*MAX(0,MIN(9,'Loan Tape'!$AV163)-8)</f>
        <v>0</v>
      </c>
      <c r="L1985" s="71" t="n">
        <f aca="false">L470*MAX(0,L167-0.5*(L773+L1076+L1379))*MAX(0,MIN(10,'Loan Tape'!$AV163)-9)</f>
        <v>0</v>
      </c>
    </row>
    <row r="1986" customFormat="false" ht="15" hidden="false" customHeight="false" outlineLevel="0" collapsed="false">
      <c r="B1986" s="102" t="n">
        <f aca="false">'Loan Tape'!$A164</f>
        <v>0</v>
      </c>
      <c r="C1986" s="99" t="n">
        <f aca="false">C471*MAX(0,C168-0.5*(C774+C1077+C1380))*MAX(0,MIN(1,'Loan Tape'!$AV164)-0)</f>
        <v>0</v>
      </c>
      <c r="D1986" s="99" t="n">
        <f aca="false">D471*MAX(0,D168-0.5*(D774+D1077+D1380))*MAX(0,MIN(2,'Loan Tape'!$AV164)-1)</f>
        <v>0</v>
      </c>
      <c r="E1986" s="99" t="n">
        <f aca="false">E471*MAX(0,E168-0.5*(E774+E1077+E1380))*MAX(0,MIN(3,'Loan Tape'!$AV164)-2)</f>
        <v>0</v>
      </c>
      <c r="F1986" s="99" t="n">
        <f aca="false">F471*MAX(0,F168-0.5*(F774+F1077+F1380))*MAX(0,MIN(4,'Loan Tape'!$AV164)-3)</f>
        <v>0</v>
      </c>
      <c r="G1986" s="99" t="n">
        <f aca="false">G471*MAX(0,G168-0.5*(G774+G1077+G1380))*MAX(0,MIN(5,'Loan Tape'!$AV164)-4)</f>
        <v>0</v>
      </c>
      <c r="H1986" s="99" t="n">
        <f aca="false">H471*MAX(0,H168-0.5*(H774+H1077+H1380))*MAX(0,MIN(6,'Loan Tape'!$AV164)-5)</f>
        <v>0</v>
      </c>
      <c r="I1986" s="99" t="n">
        <f aca="false">I471*MAX(0,I168-0.5*(I774+I1077+I1380))*MAX(0,MIN(7,'Loan Tape'!$AV164)-6)</f>
        <v>0</v>
      </c>
      <c r="J1986" s="99" t="n">
        <f aca="false">J471*MAX(0,J168-0.5*(J774+J1077+J1380))*MAX(0,MIN(8,'Loan Tape'!$AV164)-7)</f>
        <v>0</v>
      </c>
      <c r="K1986" s="99" t="n">
        <f aca="false">K471*MAX(0,K168-0.5*(K774+K1077+K1380))*MAX(0,MIN(9,'Loan Tape'!$AV164)-8)</f>
        <v>0</v>
      </c>
      <c r="L1986" s="99" t="n">
        <f aca="false">L471*MAX(0,L168-0.5*(L774+L1077+L1380))*MAX(0,MIN(10,'Loan Tape'!$AV164)-9)</f>
        <v>0</v>
      </c>
    </row>
    <row r="1987" customFormat="false" ht="15" hidden="false" customHeight="false" outlineLevel="0" collapsed="false">
      <c r="B1987" s="108" t="n">
        <f aca="false">'Loan Tape'!$A165</f>
        <v>0</v>
      </c>
      <c r="C1987" s="71" t="n">
        <f aca="false">C472*MAX(0,C169-0.5*(C775+C1078+C1381))*MAX(0,MIN(1,'Loan Tape'!$AV165)-0)</f>
        <v>0</v>
      </c>
      <c r="D1987" s="71" t="n">
        <f aca="false">D472*MAX(0,D169-0.5*(D775+D1078+D1381))*MAX(0,MIN(2,'Loan Tape'!$AV165)-1)</f>
        <v>0</v>
      </c>
      <c r="E1987" s="71" t="n">
        <f aca="false">E472*MAX(0,E169-0.5*(E775+E1078+E1381))*MAX(0,MIN(3,'Loan Tape'!$AV165)-2)</f>
        <v>0</v>
      </c>
      <c r="F1987" s="71" t="n">
        <f aca="false">F472*MAX(0,F169-0.5*(F775+F1078+F1381))*MAX(0,MIN(4,'Loan Tape'!$AV165)-3)</f>
        <v>0</v>
      </c>
      <c r="G1987" s="71" t="n">
        <f aca="false">G472*MAX(0,G169-0.5*(G775+G1078+G1381))*MAX(0,MIN(5,'Loan Tape'!$AV165)-4)</f>
        <v>0</v>
      </c>
      <c r="H1987" s="71" t="n">
        <f aca="false">H472*MAX(0,H169-0.5*(H775+H1078+H1381))*MAX(0,MIN(6,'Loan Tape'!$AV165)-5)</f>
        <v>0</v>
      </c>
      <c r="I1987" s="71" t="n">
        <f aca="false">I472*MAX(0,I169-0.5*(I775+I1078+I1381))*MAX(0,MIN(7,'Loan Tape'!$AV165)-6)</f>
        <v>0</v>
      </c>
      <c r="J1987" s="71" t="n">
        <f aca="false">J472*MAX(0,J169-0.5*(J775+J1078+J1381))*MAX(0,MIN(8,'Loan Tape'!$AV165)-7)</f>
        <v>0</v>
      </c>
      <c r="K1987" s="71" t="n">
        <f aca="false">K472*MAX(0,K169-0.5*(K775+K1078+K1381))*MAX(0,MIN(9,'Loan Tape'!$AV165)-8)</f>
        <v>0</v>
      </c>
      <c r="L1987" s="71" t="n">
        <f aca="false">L472*MAX(0,L169-0.5*(L775+L1078+L1381))*MAX(0,MIN(10,'Loan Tape'!$AV165)-9)</f>
        <v>0</v>
      </c>
    </row>
    <row r="1988" customFormat="false" ht="15" hidden="false" customHeight="false" outlineLevel="0" collapsed="false">
      <c r="B1988" s="102" t="n">
        <f aca="false">'Loan Tape'!$A166</f>
        <v>0</v>
      </c>
      <c r="C1988" s="99" t="n">
        <f aca="false">C473*MAX(0,C170-0.5*(C776+C1079+C1382))*MAX(0,MIN(1,'Loan Tape'!$AV166)-0)</f>
        <v>0</v>
      </c>
      <c r="D1988" s="99" t="n">
        <f aca="false">D473*MAX(0,D170-0.5*(D776+D1079+D1382))*MAX(0,MIN(2,'Loan Tape'!$AV166)-1)</f>
        <v>0</v>
      </c>
      <c r="E1988" s="99" t="n">
        <f aca="false">E473*MAX(0,E170-0.5*(E776+E1079+E1382))*MAX(0,MIN(3,'Loan Tape'!$AV166)-2)</f>
        <v>0</v>
      </c>
      <c r="F1988" s="99" t="n">
        <f aca="false">F473*MAX(0,F170-0.5*(F776+F1079+F1382))*MAX(0,MIN(4,'Loan Tape'!$AV166)-3)</f>
        <v>0</v>
      </c>
      <c r="G1988" s="99" t="n">
        <f aca="false">G473*MAX(0,G170-0.5*(G776+G1079+G1382))*MAX(0,MIN(5,'Loan Tape'!$AV166)-4)</f>
        <v>0</v>
      </c>
      <c r="H1988" s="99" t="n">
        <f aca="false">H473*MAX(0,H170-0.5*(H776+H1079+H1382))*MAX(0,MIN(6,'Loan Tape'!$AV166)-5)</f>
        <v>0</v>
      </c>
      <c r="I1988" s="99" t="n">
        <f aca="false">I473*MAX(0,I170-0.5*(I776+I1079+I1382))*MAX(0,MIN(7,'Loan Tape'!$AV166)-6)</f>
        <v>0</v>
      </c>
      <c r="J1988" s="99" t="n">
        <f aca="false">J473*MAX(0,J170-0.5*(J776+J1079+J1382))*MAX(0,MIN(8,'Loan Tape'!$AV166)-7)</f>
        <v>0</v>
      </c>
      <c r="K1988" s="99" t="n">
        <f aca="false">K473*MAX(0,K170-0.5*(K776+K1079+K1382))*MAX(0,MIN(9,'Loan Tape'!$AV166)-8)</f>
        <v>0</v>
      </c>
      <c r="L1988" s="99" t="n">
        <f aca="false">L473*MAX(0,L170-0.5*(L776+L1079+L1382))*MAX(0,MIN(10,'Loan Tape'!$AV166)-9)</f>
        <v>0</v>
      </c>
    </row>
    <row r="1989" customFormat="false" ht="15" hidden="false" customHeight="false" outlineLevel="0" collapsed="false">
      <c r="B1989" s="108" t="n">
        <f aca="false">'Loan Tape'!$A167</f>
        <v>0</v>
      </c>
      <c r="C1989" s="71" t="n">
        <f aca="false">C474*MAX(0,C171-0.5*(C777+C1080+C1383))*MAX(0,MIN(1,'Loan Tape'!$AV167)-0)</f>
        <v>0</v>
      </c>
      <c r="D1989" s="71" t="n">
        <f aca="false">D474*MAX(0,D171-0.5*(D777+D1080+D1383))*MAX(0,MIN(2,'Loan Tape'!$AV167)-1)</f>
        <v>0</v>
      </c>
      <c r="E1989" s="71" t="n">
        <f aca="false">E474*MAX(0,E171-0.5*(E777+E1080+E1383))*MAX(0,MIN(3,'Loan Tape'!$AV167)-2)</f>
        <v>0</v>
      </c>
      <c r="F1989" s="71" t="n">
        <f aca="false">F474*MAX(0,F171-0.5*(F777+F1080+F1383))*MAX(0,MIN(4,'Loan Tape'!$AV167)-3)</f>
        <v>0</v>
      </c>
      <c r="G1989" s="71" t="n">
        <f aca="false">G474*MAX(0,G171-0.5*(G777+G1080+G1383))*MAX(0,MIN(5,'Loan Tape'!$AV167)-4)</f>
        <v>0</v>
      </c>
      <c r="H1989" s="71" t="n">
        <f aca="false">H474*MAX(0,H171-0.5*(H777+H1080+H1383))*MAX(0,MIN(6,'Loan Tape'!$AV167)-5)</f>
        <v>0</v>
      </c>
      <c r="I1989" s="71" t="n">
        <f aca="false">I474*MAX(0,I171-0.5*(I777+I1080+I1383))*MAX(0,MIN(7,'Loan Tape'!$AV167)-6)</f>
        <v>0</v>
      </c>
      <c r="J1989" s="71" t="n">
        <f aca="false">J474*MAX(0,J171-0.5*(J777+J1080+J1383))*MAX(0,MIN(8,'Loan Tape'!$AV167)-7)</f>
        <v>0</v>
      </c>
      <c r="K1989" s="71" t="n">
        <f aca="false">K474*MAX(0,K171-0.5*(K777+K1080+K1383))*MAX(0,MIN(9,'Loan Tape'!$AV167)-8)</f>
        <v>0</v>
      </c>
      <c r="L1989" s="71" t="n">
        <f aca="false">L474*MAX(0,L171-0.5*(L777+L1080+L1383))*MAX(0,MIN(10,'Loan Tape'!$AV167)-9)</f>
        <v>0</v>
      </c>
    </row>
    <row r="1990" customFormat="false" ht="15" hidden="false" customHeight="false" outlineLevel="0" collapsed="false">
      <c r="B1990" s="102" t="n">
        <f aca="false">'Loan Tape'!$A168</f>
        <v>0</v>
      </c>
      <c r="C1990" s="99" t="n">
        <f aca="false">C475*MAX(0,C172-0.5*(C778+C1081+C1384))*MAX(0,MIN(1,'Loan Tape'!$AV168)-0)</f>
        <v>0</v>
      </c>
      <c r="D1990" s="99" t="n">
        <f aca="false">D475*MAX(0,D172-0.5*(D778+D1081+D1384))*MAX(0,MIN(2,'Loan Tape'!$AV168)-1)</f>
        <v>0</v>
      </c>
      <c r="E1990" s="99" t="n">
        <f aca="false">E475*MAX(0,E172-0.5*(E778+E1081+E1384))*MAX(0,MIN(3,'Loan Tape'!$AV168)-2)</f>
        <v>0</v>
      </c>
      <c r="F1990" s="99" t="n">
        <f aca="false">F475*MAX(0,F172-0.5*(F778+F1081+F1384))*MAX(0,MIN(4,'Loan Tape'!$AV168)-3)</f>
        <v>0</v>
      </c>
      <c r="G1990" s="99" t="n">
        <f aca="false">G475*MAX(0,G172-0.5*(G778+G1081+G1384))*MAX(0,MIN(5,'Loan Tape'!$AV168)-4)</f>
        <v>0</v>
      </c>
      <c r="H1990" s="99" t="n">
        <f aca="false">H475*MAX(0,H172-0.5*(H778+H1081+H1384))*MAX(0,MIN(6,'Loan Tape'!$AV168)-5)</f>
        <v>0</v>
      </c>
      <c r="I1990" s="99" t="n">
        <f aca="false">I475*MAX(0,I172-0.5*(I778+I1081+I1384))*MAX(0,MIN(7,'Loan Tape'!$AV168)-6)</f>
        <v>0</v>
      </c>
      <c r="J1990" s="99" t="n">
        <f aca="false">J475*MAX(0,J172-0.5*(J778+J1081+J1384))*MAX(0,MIN(8,'Loan Tape'!$AV168)-7)</f>
        <v>0</v>
      </c>
      <c r="K1990" s="99" t="n">
        <f aca="false">K475*MAX(0,K172-0.5*(K778+K1081+K1384))*MAX(0,MIN(9,'Loan Tape'!$AV168)-8)</f>
        <v>0</v>
      </c>
      <c r="L1990" s="99" t="n">
        <f aca="false">L475*MAX(0,L172-0.5*(L778+L1081+L1384))*MAX(0,MIN(10,'Loan Tape'!$AV168)-9)</f>
        <v>0</v>
      </c>
    </row>
    <row r="1991" customFormat="false" ht="15" hidden="false" customHeight="false" outlineLevel="0" collapsed="false">
      <c r="B1991" s="108" t="n">
        <f aca="false">'Loan Tape'!$A169</f>
        <v>0</v>
      </c>
      <c r="C1991" s="71" t="n">
        <f aca="false">C476*MAX(0,C173-0.5*(C779+C1082+C1385))*MAX(0,MIN(1,'Loan Tape'!$AV169)-0)</f>
        <v>0</v>
      </c>
      <c r="D1991" s="71" t="n">
        <f aca="false">D476*MAX(0,D173-0.5*(D779+D1082+D1385))*MAX(0,MIN(2,'Loan Tape'!$AV169)-1)</f>
        <v>0</v>
      </c>
      <c r="E1991" s="71" t="n">
        <f aca="false">E476*MAX(0,E173-0.5*(E779+E1082+E1385))*MAX(0,MIN(3,'Loan Tape'!$AV169)-2)</f>
        <v>0</v>
      </c>
      <c r="F1991" s="71" t="n">
        <f aca="false">F476*MAX(0,F173-0.5*(F779+F1082+F1385))*MAX(0,MIN(4,'Loan Tape'!$AV169)-3)</f>
        <v>0</v>
      </c>
      <c r="G1991" s="71" t="n">
        <f aca="false">G476*MAX(0,G173-0.5*(G779+G1082+G1385))*MAX(0,MIN(5,'Loan Tape'!$AV169)-4)</f>
        <v>0</v>
      </c>
      <c r="H1991" s="71" t="n">
        <f aca="false">H476*MAX(0,H173-0.5*(H779+H1082+H1385))*MAX(0,MIN(6,'Loan Tape'!$AV169)-5)</f>
        <v>0</v>
      </c>
      <c r="I1991" s="71" t="n">
        <f aca="false">I476*MAX(0,I173-0.5*(I779+I1082+I1385))*MAX(0,MIN(7,'Loan Tape'!$AV169)-6)</f>
        <v>0</v>
      </c>
      <c r="J1991" s="71" t="n">
        <f aca="false">J476*MAX(0,J173-0.5*(J779+J1082+J1385))*MAX(0,MIN(8,'Loan Tape'!$AV169)-7)</f>
        <v>0</v>
      </c>
      <c r="K1991" s="71" t="n">
        <f aca="false">K476*MAX(0,K173-0.5*(K779+K1082+K1385))*MAX(0,MIN(9,'Loan Tape'!$AV169)-8)</f>
        <v>0</v>
      </c>
      <c r="L1991" s="71" t="n">
        <f aca="false">L476*MAX(0,L173-0.5*(L779+L1082+L1385))*MAX(0,MIN(10,'Loan Tape'!$AV169)-9)</f>
        <v>0</v>
      </c>
    </row>
    <row r="1992" customFormat="false" ht="15" hidden="false" customHeight="false" outlineLevel="0" collapsed="false">
      <c r="B1992" s="102" t="n">
        <f aca="false">'Loan Tape'!$A170</f>
        <v>0</v>
      </c>
      <c r="C1992" s="99" t="n">
        <f aca="false">C477*MAX(0,C174-0.5*(C780+C1083+C1386))*MAX(0,MIN(1,'Loan Tape'!$AV170)-0)</f>
        <v>0</v>
      </c>
      <c r="D1992" s="99" t="n">
        <f aca="false">D477*MAX(0,D174-0.5*(D780+D1083+D1386))*MAX(0,MIN(2,'Loan Tape'!$AV170)-1)</f>
        <v>0</v>
      </c>
      <c r="E1992" s="99" t="n">
        <f aca="false">E477*MAX(0,E174-0.5*(E780+E1083+E1386))*MAX(0,MIN(3,'Loan Tape'!$AV170)-2)</f>
        <v>0</v>
      </c>
      <c r="F1992" s="99" t="n">
        <f aca="false">F477*MAX(0,F174-0.5*(F780+F1083+F1386))*MAX(0,MIN(4,'Loan Tape'!$AV170)-3)</f>
        <v>0</v>
      </c>
      <c r="G1992" s="99" t="n">
        <f aca="false">G477*MAX(0,G174-0.5*(G780+G1083+G1386))*MAX(0,MIN(5,'Loan Tape'!$AV170)-4)</f>
        <v>0</v>
      </c>
      <c r="H1992" s="99" t="n">
        <f aca="false">H477*MAX(0,H174-0.5*(H780+H1083+H1386))*MAX(0,MIN(6,'Loan Tape'!$AV170)-5)</f>
        <v>0</v>
      </c>
      <c r="I1992" s="99" t="n">
        <f aca="false">I477*MAX(0,I174-0.5*(I780+I1083+I1386))*MAX(0,MIN(7,'Loan Tape'!$AV170)-6)</f>
        <v>0</v>
      </c>
      <c r="J1992" s="99" t="n">
        <f aca="false">J477*MAX(0,J174-0.5*(J780+J1083+J1386))*MAX(0,MIN(8,'Loan Tape'!$AV170)-7)</f>
        <v>0</v>
      </c>
      <c r="K1992" s="99" t="n">
        <f aca="false">K477*MAX(0,K174-0.5*(K780+K1083+K1386))*MAX(0,MIN(9,'Loan Tape'!$AV170)-8)</f>
        <v>0</v>
      </c>
      <c r="L1992" s="99" t="n">
        <f aca="false">L477*MAX(0,L174-0.5*(L780+L1083+L1386))*MAX(0,MIN(10,'Loan Tape'!$AV170)-9)</f>
        <v>0</v>
      </c>
    </row>
    <row r="1993" customFormat="false" ht="15" hidden="false" customHeight="false" outlineLevel="0" collapsed="false">
      <c r="B1993" s="108" t="n">
        <f aca="false">'Loan Tape'!$A171</f>
        <v>0</v>
      </c>
      <c r="C1993" s="71" t="n">
        <f aca="false">C478*MAX(0,C175-0.5*(C781+C1084+C1387))*MAX(0,MIN(1,'Loan Tape'!$AV171)-0)</f>
        <v>0</v>
      </c>
      <c r="D1993" s="71" t="n">
        <f aca="false">D478*MAX(0,D175-0.5*(D781+D1084+D1387))*MAX(0,MIN(2,'Loan Tape'!$AV171)-1)</f>
        <v>0</v>
      </c>
      <c r="E1993" s="71" t="n">
        <f aca="false">E478*MAX(0,E175-0.5*(E781+E1084+E1387))*MAX(0,MIN(3,'Loan Tape'!$AV171)-2)</f>
        <v>0</v>
      </c>
      <c r="F1993" s="71" t="n">
        <f aca="false">F478*MAX(0,F175-0.5*(F781+F1084+F1387))*MAX(0,MIN(4,'Loan Tape'!$AV171)-3)</f>
        <v>0</v>
      </c>
      <c r="G1993" s="71" t="n">
        <f aca="false">G478*MAX(0,G175-0.5*(G781+G1084+G1387))*MAX(0,MIN(5,'Loan Tape'!$AV171)-4)</f>
        <v>0</v>
      </c>
      <c r="H1993" s="71" t="n">
        <f aca="false">H478*MAX(0,H175-0.5*(H781+H1084+H1387))*MAX(0,MIN(6,'Loan Tape'!$AV171)-5)</f>
        <v>0</v>
      </c>
      <c r="I1993" s="71" t="n">
        <f aca="false">I478*MAX(0,I175-0.5*(I781+I1084+I1387))*MAX(0,MIN(7,'Loan Tape'!$AV171)-6)</f>
        <v>0</v>
      </c>
      <c r="J1993" s="71" t="n">
        <f aca="false">J478*MAX(0,J175-0.5*(J781+J1084+J1387))*MAX(0,MIN(8,'Loan Tape'!$AV171)-7)</f>
        <v>0</v>
      </c>
      <c r="K1993" s="71" t="n">
        <f aca="false">K478*MAX(0,K175-0.5*(K781+K1084+K1387))*MAX(0,MIN(9,'Loan Tape'!$AV171)-8)</f>
        <v>0</v>
      </c>
      <c r="L1993" s="71" t="n">
        <f aca="false">L478*MAX(0,L175-0.5*(L781+L1084+L1387))*MAX(0,MIN(10,'Loan Tape'!$AV171)-9)</f>
        <v>0</v>
      </c>
    </row>
    <row r="1994" customFormat="false" ht="15" hidden="false" customHeight="false" outlineLevel="0" collapsed="false">
      <c r="B1994" s="102" t="n">
        <f aca="false">'Loan Tape'!$A172</f>
        <v>0</v>
      </c>
      <c r="C1994" s="99" t="n">
        <f aca="false">C479*MAX(0,C176-0.5*(C782+C1085+C1388))*MAX(0,MIN(1,'Loan Tape'!$AV172)-0)</f>
        <v>0</v>
      </c>
      <c r="D1994" s="99" t="n">
        <f aca="false">D479*MAX(0,D176-0.5*(D782+D1085+D1388))*MAX(0,MIN(2,'Loan Tape'!$AV172)-1)</f>
        <v>0</v>
      </c>
      <c r="E1994" s="99" t="n">
        <f aca="false">E479*MAX(0,E176-0.5*(E782+E1085+E1388))*MAX(0,MIN(3,'Loan Tape'!$AV172)-2)</f>
        <v>0</v>
      </c>
      <c r="F1994" s="99" t="n">
        <f aca="false">F479*MAX(0,F176-0.5*(F782+F1085+F1388))*MAX(0,MIN(4,'Loan Tape'!$AV172)-3)</f>
        <v>0</v>
      </c>
      <c r="G1994" s="99" t="n">
        <f aca="false">G479*MAX(0,G176-0.5*(G782+G1085+G1388))*MAX(0,MIN(5,'Loan Tape'!$AV172)-4)</f>
        <v>0</v>
      </c>
      <c r="H1994" s="99" t="n">
        <f aca="false">H479*MAX(0,H176-0.5*(H782+H1085+H1388))*MAX(0,MIN(6,'Loan Tape'!$AV172)-5)</f>
        <v>0</v>
      </c>
      <c r="I1994" s="99" t="n">
        <f aca="false">I479*MAX(0,I176-0.5*(I782+I1085+I1388))*MAX(0,MIN(7,'Loan Tape'!$AV172)-6)</f>
        <v>0</v>
      </c>
      <c r="J1994" s="99" t="n">
        <f aca="false">J479*MAX(0,J176-0.5*(J782+J1085+J1388))*MAX(0,MIN(8,'Loan Tape'!$AV172)-7)</f>
        <v>0</v>
      </c>
      <c r="K1994" s="99" t="n">
        <f aca="false">K479*MAX(0,K176-0.5*(K782+K1085+K1388))*MAX(0,MIN(9,'Loan Tape'!$AV172)-8)</f>
        <v>0</v>
      </c>
      <c r="L1994" s="99" t="n">
        <f aca="false">L479*MAX(0,L176-0.5*(L782+L1085+L1388))*MAX(0,MIN(10,'Loan Tape'!$AV172)-9)</f>
        <v>0</v>
      </c>
    </row>
    <row r="1995" customFormat="false" ht="15" hidden="false" customHeight="false" outlineLevel="0" collapsed="false">
      <c r="B1995" s="108" t="n">
        <f aca="false">'Loan Tape'!$A173</f>
        <v>0</v>
      </c>
      <c r="C1995" s="71" t="n">
        <f aca="false">C480*MAX(0,C177-0.5*(C783+C1086+C1389))*MAX(0,MIN(1,'Loan Tape'!$AV173)-0)</f>
        <v>0</v>
      </c>
      <c r="D1995" s="71" t="n">
        <f aca="false">D480*MAX(0,D177-0.5*(D783+D1086+D1389))*MAX(0,MIN(2,'Loan Tape'!$AV173)-1)</f>
        <v>0</v>
      </c>
      <c r="E1995" s="71" t="n">
        <f aca="false">E480*MAX(0,E177-0.5*(E783+E1086+E1389))*MAX(0,MIN(3,'Loan Tape'!$AV173)-2)</f>
        <v>0</v>
      </c>
      <c r="F1995" s="71" t="n">
        <f aca="false">F480*MAX(0,F177-0.5*(F783+F1086+F1389))*MAX(0,MIN(4,'Loan Tape'!$AV173)-3)</f>
        <v>0</v>
      </c>
      <c r="G1995" s="71" t="n">
        <f aca="false">G480*MAX(0,G177-0.5*(G783+G1086+G1389))*MAX(0,MIN(5,'Loan Tape'!$AV173)-4)</f>
        <v>0</v>
      </c>
      <c r="H1995" s="71" t="n">
        <f aca="false">H480*MAX(0,H177-0.5*(H783+H1086+H1389))*MAX(0,MIN(6,'Loan Tape'!$AV173)-5)</f>
        <v>0</v>
      </c>
      <c r="I1995" s="71" t="n">
        <f aca="false">I480*MAX(0,I177-0.5*(I783+I1086+I1389))*MAX(0,MIN(7,'Loan Tape'!$AV173)-6)</f>
        <v>0</v>
      </c>
      <c r="J1995" s="71" t="n">
        <f aca="false">J480*MAX(0,J177-0.5*(J783+J1086+J1389))*MAX(0,MIN(8,'Loan Tape'!$AV173)-7)</f>
        <v>0</v>
      </c>
      <c r="K1995" s="71" t="n">
        <f aca="false">K480*MAX(0,K177-0.5*(K783+K1086+K1389))*MAX(0,MIN(9,'Loan Tape'!$AV173)-8)</f>
        <v>0</v>
      </c>
      <c r="L1995" s="71" t="n">
        <f aca="false">L480*MAX(0,L177-0.5*(L783+L1086+L1389))*MAX(0,MIN(10,'Loan Tape'!$AV173)-9)</f>
        <v>0</v>
      </c>
    </row>
    <row r="1996" customFormat="false" ht="15" hidden="false" customHeight="false" outlineLevel="0" collapsed="false">
      <c r="B1996" s="102" t="n">
        <f aca="false">'Loan Tape'!$A174</f>
        <v>0</v>
      </c>
      <c r="C1996" s="99" t="n">
        <f aca="false">C481*MAX(0,C178-0.5*(C784+C1087+C1390))*MAX(0,MIN(1,'Loan Tape'!$AV174)-0)</f>
        <v>0</v>
      </c>
      <c r="D1996" s="99" t="n">
        <f aca="false">D481*MAX(0,D178-0.5*(D784+D1087+D1390))*MAX(0,MIN(2,'Loan Tape'!$AV174)-1)</f>
        <v>0</v>
      </c>
      <c r="E1996" s="99" t="n">
        <f aca="false">E481*MAX(0,E178-0.5*(E784+E1087+E1390))*MAX(0,MIN(3,'Loan Tape'!$AV174)-2)</f>
        <v>0</v>
      </c>
      <c r="F1996" s="99" t="n">
        <f aca="false">F481*MAX(0,F178-0.5*(F784+F1087+F1390))*MAX(0,MIN(4,'Loan Tape'!$AV174)-3)</f>
        <v>0</v>
      </c>
      <c r="G1996" s="99" t="n">
        <f aca="false">G481*MAX(0,G178-0.5*(G784+G1087+G1390))*MAX(0,MIN(5,'Loan Tape'!$AV174)-4)</f>
        <v>0</v>
      </c>
      <c r="H1996" s="99" t="n">
        <f aca="false">H481*MAX(0,H178-0.5*(H784+H1087+H1390))*MAX(0,MIN(6,'Loan Tape'!$AV174)-5)</f>
        <v>0</v>
      </c>
      <c r="I1996" s="99" t="n">
        <f aca="false">I481*MAX(0,I178-0.5*(I784+I1087+I1390))*MAX(0,MIN(7,'Loan Tape'!$AV174)-6)</f>
        <v>0</v>
      </c>
      <c r="J1996" s="99" t="n">
        <f aca="false">J481*MAX(0,J178-0.5*(J784+J1087+J1390))*MAX(0,MIN(8,'Loan Tape'!$AV174)-7)</f>
        <v>0</v>
      </c>
      <c r="K1996" s="99" t="n">
        <f aca="false">K481*MAX(0,K178-0.5*(K784+K1087+K1390))*MAX(0,MIN(9,'Loan Tape'!$AV174)-8)</f>
        <v>0</v>
      </c>
      <c r="L1996" s="99" t="n">
        <f aca="false">L481*MAX(0,L178-0.5*(L784+L1087+L1390))*MAX(0,MIN(10,'Loan Tape'!$AV174)-9)</f>
        <v>0</v>
      </c>
    </row>
    <row r="1997" customFormat="false" ht="15" hidden="false" customHeight="false" outlineLevel="0" collapsed="false">
      <c r="B1997" s="108" t="n">
        <f aca="false">'Loan Tape'!$A175</f>
        <v>0</v>
      </c>
      <c r="C1997" s="71" t="n">
        <f aca="false">C482*MAX(0,C179-0.5*(C785+C1088+C1391))*MAX(0,MIN(1,'Loan Tape'!$AV175)-0)</f>
        <v>0</v>
      </c>
      <c r="D1997" s="71" t="n">
        <f aca="false">D482*MAX(0,D179-0.5*(D785+D1088+D1391))*MAX(0,MIN(2,'Loan Tape'!$AV175)-1)</f>
        <v>0</v>
      </c>
      <c r="E1997" s="71" t="n">
        <f aca="false">E482*MAX(0,E179-0.5*(E785+E1088+E1391))*MAX(0,MIN(3,'Loan Tape'!$AV175)-2)</f>
        <v>0</v>
      </c>
      <c r="F1997" s="71" t="n">
        <f aca="false">F482*MAX(0,F179-0.5*(F785+F1088+F1391))*MAX(0,MIN(4,'Loan Tape'!$AV175)-3)</f>
        <v>0</v>
      </c>
      <c r="G1997" s="71" t="n">
        <f aca="false">G482*MAX(0,G179-0.5*(G785+G1088+G1391))*MAX(0,MIN(5,'Loan Tape'!$AV175)-4)</f>
        <v>0</v>
      </c>
      <c r="H1997" s="71" t="n">
        <f aca="false">H482*MAX(0,H179-0.5*(H785+H1088+H1391))*MAX(0,MIN(6,'Loan Tape'!$AV175)-5)</f>
        <v>0</v>
      </c>
      <c r="I1997" s="71" t="n">
        <f aca="false">I482*MAX(0,I179-0.5*(I785+I1088+I1391))*MAX(0,MIN(7,'Loan Tape'!$AV175)-6)</f>
        <v>0</v>
      </c>
      <c r="J1997" s="71" t="n">
        <f aca="false">J482*MAX(0,J179-0.5*(J785+J1088+J1391))*MAX(0,MIN(8,'Loan Tape'!$AV175)-7)</f>
        <v>0</v>
      </c>
      <c r="K1997" s="71" t="n">
        <f aca="false">K482*MAX(0,K179-0.5*(K785+K1088+K1391))*MAX(0,MIN(9,'Loan Tape'!$AV175)-8)</f>
        <v>0</v>
      </c>
      <c r="L1997" s="71" t="n">
        <f aca="false">L482*MAX(0,L179-0.5*(L785+L1088+L1391))*MAX(0,MIN(10,'Loan Tape'!$AV175)-9)</f>
        <v>0</v>
      </c>
    </row>
    <row r="1998" customFormat="false" ht="15" hidden="false" customHeight="false" outlineLevel="0" collapsed="false">
      <c r="B1998" s="102" t="n">
        <f aca="false">'Loan Tape'!$A176</f>
        <v>0</v>
      </c>
      <c r="C1998" s="99" t="n">
        <f aca="false">C483*MAX(0,C180-0.5*(C786+C1089+C1392))*MAX(0,MIN(1,'Loan Tape'!$AV176)-0)</f>
        <v>0</v>
      </c>
      <c r="D1998" s="99" t="n">
        <f aca="false">D483*MAX(0,D180-0.5*(D786+D1089+D1392))*MAX(0,MIN(2,'Loan Tape'!$AV176)-1)</f>
        <v>0</v>
      </c>
      <c r="E1998" s="99" t="n">
        <f aca="false">E483*MAX(0,E180-0.5*(E786+E1089+E1392))*MAX(0,MIN(3,'Loan Tape'!$AV176)-2)</f>
        <v>0</v>
      </c>
      <c r="F1998" s="99" t="n">
        <f aca="false">F483*MAX(0,F180-0.5*(F786+F1089+F1392))*MAX(0,MIN(4,'Loan Tape'!$AV176)-3)</f>
        <v>0</v>
      </c>
      <c r="G1998" s="99" t="n">
        <f aca="false">G483*MAX(0,G180-0.5*(G786+G1089+G1392))*MAX(0,MIN(5,'Loan Tape'!$AV176)-4)</f>
        <v>0</v>
      </c>
      <c r="H1998" s="99" t="n">
        <f aca="false">H483*MAX(0,H180-0.5*(H786+H1089+H1392))*MAX(0,MIN(6,'Loan Tape'!$AV176)-5)</f>
        <v>0</v>
      </c>
      <c r="I1998" s="99" t="n">
        <f aca="false">I483*MAX(0,I180-0.5*(I786+I1089+I1392))*MAX(0,MIN(7,'Loan Tape'!$AV176)-6)</f>
        <v>0</v>
      </c>
      <c r="J1998" s="99" t="n">
        <f aca="false">J483*MAX(0,J180-0.5*(J786+J1089+J1392))*MAX(0,MIN(8,'Loan Tape'!$AV176)-7)</f>
        <v>0</v>
      </c>
      <c r="K1998" s="99" t="n">
        <f aca="false">K483*MAX(0,K180-0.5*(K786+K1089+K1392))*MAX(0,MIN(9,'Loan Tape'!$AV176)-8)</f>
        <v>0</v>
      </c>
      <c r="L1998" s="99" t="n">
        <f aca="false">L483*MAX(0,L180-0.5*(L786+L1089+L1392))*MAX(0,MIN(10,'Loan Tape'!$AV176)-9)</f>
        <v>0</v>
      </c>
    </row>
    <row r="1999" customFormat="false" ht="15" hidden="false" customHeight="false" outlineLevel="0" collapsed="false">
      <c r="B1999" s="108" t="n">
        <f aca="false">'Loan Tape'!$A177</f>
        <v>0</v>
      </c>
      <c r="C1999" s="71" t="n">
        <f aca="false">C484*MAX(0,C181-0.5*(C787+C1090+C1393))*MAX(0,MIN(1,'Loan Tape'!$AV177)-0)</f>
        <v>0</v>
      </c>
      <c r="D1999" s="71" t="n">
        <f aca="false">D484*MAX(0,D181-0.5*(D787+D1090+D1393))*MAX(0,MIN(2,'Loan Tape'!$AV177)-1)</f>
        <v>0</v>
      </c>
      <c r="E1999" s="71" t="n">
        <f aca="false">E484*MAX(0,E181-0.5*(E787+E1090+E1393))*MAX(0,MIN(3,'Loan Tape'!$AV177)-2)</f>
        <v>0</v>
      </c>
      <c r="F1999" s="71" t="n">
        <f aca="false">F484*MAX(0,F181-0.5*(F787+F1090+F1393))*MAX(0,MIN(4,'Loan Tape'!$AV177)-3)</f>
        <v>0</v>
      </c>
      <c r="G1999" s="71" t="n">
        <f aca="false">G484*MAX(0,G181-0.5*(G787+G1090+G1393))*MAX(0,MIN(5,'Loan Tape'!$AV177)-4)</f>
        <v>0</v>
      </c>
      <c r="H1999" s="71" t="n">
        <f aca="false">H484*MAX(0,H181-0.5*(H787+H1090+H1393))*MAX(0,MIN(6,'Loan Tape'!$AV177)-5)</f>
        <v>0</v>
      </c>
      <c r="I1999" s="71" t="n">
        <f aca="false">I484*MAX(0,I181-0.5*(I787+I1090+I1393))*MAX(0,MIN(7,'Loan Tape'!$AV177)-6)</f>
        <v>0</v>
      </c>
      <c r="J1999" s="71" t="n">
        <f aca="false">J484*MAX(0,J181-0.5*(J787+J1090+J1393))*MAX(0,MIN(8,'Loan Tape'!$AV177)-7)</f>
        <v>0</v>
      </c>
      <c r="K1999" s="71" t="n">
        <f aca="false">K484*MAX(0,K181-0.5*(K787+K1090+K1393))*MAX(0,MIN(9,'Loan Tape'!$AV177)-8)</f>
        <v>0</v>
      </c>
      <c r="L1999" s="71" t="n">
        <f aca="false">L484*MAX(0,L181-0.5*(L787+L1090+L1393))*MAX(0,MIN(10,'Loan Tape'!$AV177)-9)</f>
        <v>0</v>
      </c>
    </row>
    <row r="2000" customFormat="false" ht="15" hidden="false" customHeight="false" outlineLevel="0" collapsed="false">
      <c r="B2000" s="102" t="n">
        <f aca="false">'Loan Tape'!$A178</f>
        <v>0</v>
      </c>
      <c r="C2000" s="99" t="n">
        <f aca="false">C485*MAX(0,C182-0.5*(C788+C1091+C1394))*MAX(0,MIN(1,'Loan Tape'!$AV178)-0)</f>
        <v>0</v>
      </c>
      <c r="D2000" s="99" t="n">
        <f aca="false">D485*MAX(0,D182-0.5*(D788+D1091+D1394))*MAX(0,MIN(2,'Loan Tape'!$AV178)-1)</f>
        <v>0</v>
      </c>
      <c r="E2000" s="99" t="n">
        <f aca="false">E485*MAX(0,E182-0.5*(E788+E1091+E1394))*MAX(0,MIN(3,'Loan Tape'!$AV178)-2)</f>
        <v>0</v>
      </c>
      <c r="F2000" s="99" t="n">
        <f aca="false">F485*MAX(0,F182-0.5*(F788+F1091+F1394))*MAX(0,MIN(4,'Loan Tape'!$AV178)-3)</f>
        <v>0</v>
      </c>
      <c r="G2000" s="99" t="n">
        <f aca="false">G485*MAX(0,G182-0.5*(G788+G1091+G1394))*MAX(0,MIN(5,'Loan Tape'!$AV178)-4)</f>
        <v>0</v>
      </c>
      <c r="H2000" s="99" t="n">
        <f aca="false">H485*MAX(0,H182-0.5*(H788+H1091+H1394))*MAX(0,MIN(6,'Loan Tape'!$AV178)-5)</f>
        <v>0</v>
      </c>
      <c r="I2000" s="99" t="n">
        <f aca="false">I485*MAX(0,I182-0.5*(I788+I1091+I1394))*MAX(0,MIN(7,'Loan Tape'!$AV178)-6)</f>
        <v>0</v>
      </c>
      <c r="J2000" s="99" t="n">
        <f aca="false">J485*MAX(0,J182-0.5*(J788+J1091+J1394))*MAX(0,MIN(8,'Loan Tape'!$AV178)-7)</f>
        <v>0</v>
      </c>
      <c r="K2000" s="99" t="n">
        <f aca="false">K485*MAX(0,K182-0.5*(K788+K1091+K1394))*MAX(0,MIN(9,'Loan Tape'!$AV178)-8)</f>
        <v>0</v>
      </c>
      <c r="L2000" s="99" t="n">
        <f aca="false">L485*MAX(0,L182-0.5*(L788+L1091+L1394))*MAX(0,MIN(10,'Loan Tape'!$AV178)-9)</f>
        <v>0</v>
      </c>
    </row>
    <row r="2001" customFormat="false" ht="15" hidden="false" customHeight="false" outlineLevel="0" collapsed="false">
      <c r="B2001" s="108" t="n">
        <f aca="false">'Loan Tape'!$A179</f>
        <v>0</v>
      </c>
      <c r="C2001" s="71" t="n">
        <f aca="false">C486*MAX(0,C183-0.5*(C789+C1092+C1395))*MAX(0,MIN(1,'Loan Tape'!$AV179)-0)</f>
        <v>0</v>
      </c>
      <c r="D2001" s="71" t="n">
        <f aca="false">D486*MAX(0,D183-0.5*(D789+D1092+D1395))*MAX(0,MIN(2,'Loan Tape'!$AV179)-1)</f>
        <v>0</v>
      </c>
      <c r="E2001" s="71" t="n">
        <f aca="false">E486*MAX(0,E183-0.5*(E789+E1092+E1395))*MAX(0,MIN(3,'Loan Tape'!$AV179)-2)</f>
        <v>0</v>
      </c>
      <c r="F2001" s="71" t="n">
        <f aca="false">F486*MAX(0,F183-0.5*(F789+F1092+F1395))*MAX(0,MIN(4,'Loan Tape'!$AV179)-3)</f>
        <v>0</v>
      </c>
      <c r="G2001" s="71" t="n">
        <f aca="false">G486*MAX(0,G183-0.5*(G789+G1092+G1395))*MAX(0,MIN(5,'Loan Tape'!$AV179)-4)</f>
        <v>0</v>
      </c>
      <c r="H2001" s="71" t="n">
        <f aca="false">H486*MAX(0,H183-0.5*(H789+H1092+H1395))*MAX(0,MIN(6,'Loan Tape'!$AV179)-5)</f>
        <v>0</v>
      </c>
      <c r="I2001" s="71" t="n">
        <f aca="false">I486*MAX(0,I183-0.5*(I789+I1092+I1395))*MAX(0,MIN(7,'Loan Tape'!$AV179)-6)</f>
        <v>0</v>
      </c>
      <c r="J2001" s="71" t="n">
        <f aca="false">J486*MAX(0,J183-0.5*(J789+J1092+J1395))*MAX(0,MIN(8,'Loan Tape'!$AV179)-7)</f>
        <v>0</v>
      </c>
      <c r="K2001" s="71" t="n">
        <f aca="false">K486*MAX(0,K183-0.5*(K789+K1092+K1395))*MAX(0,MIN(9,'Loan Tape'!$AV179)-8)</f>
        <v>0</v>
      </c>
      <c r="L2001" s="71" t="n">
        <f aca="false">L486*MAX(0,L183-0.5*(L789+L1092+L1395))*MAX(0,MIN(10,'Loan Tape'!$AV179)-9)</f>
        <v>0</v>
      </c>
    </row>
    <row r="2002" customFormat="false" ht="15" hidden="false" customHeight="false" outlineLevel="0" collapsed="false">
      <c r="B2002" s="102" t="n">
        <f aca="false">'Loan Tape'!$A180</f>
        <v>0</v>
      </c>
      <c r="C2002" s="99" t="n">
        <f aca="false">C487*MAX(0,C184-0.5*(C790+C1093+C1396))*MAX(0,MIN(1,'Loan Tape'!$AV180)-0)</f>
        <v>0</v>
      </c>
      <c r="D2002" s="99" t="n">
        <f aca="false">D487*MAX(0,D184-0.5*(D790+D1093+D1396))*MAX(0,MIN(2,'Loan Tape'!$AV180)-1)</f>
        <v>0</v>
      </c>
      <c r="E2002" s="99" t="n">
        <f aca="false">E487*MAX(0,E184-0.5*(E790+E1093+E1396))*MAX(0,MIN(3,'Loan Tape'!$AV180)-2)</f>
        <v>0</v>
      </c>
      <c r="F2002" s="99" t="n">
        <f aca="false">F487*MAX(0,F184-0.5*(F790+F1093+F1396))*MAX(0,MIN(4,'Loan Tape'!$AV180)-3)</f>
        <v>0</v>
      </c>
      <c r="G2002" s="99" t="n">
        <f aca="false">G487*MAX(0,G184-0.5*(G790+G1093+G1396))*MAX(0,MIN(5,'Loan Tape'!$AV180)-4)</f>
        <v>0</v>
      </c>
      <c r="H2002" s="99" t="n">
        <f aca="false">H487*MAX(0,H184-0.5*(H790+H1093+H1396))*MAX(0,MIN(6,'Loan Tape'!$AV180)-5)</f>
        <v>0</v>
      </c>
      <c r="I2002" s="99" t="n">
        <f aca="false">I487*MAX(0,I184-0.5*(I790+I1093+I1396))*MAX(0,MIN(7,'Loan Tape'!$AV180)-6)</f>
        <v>0</v>
      </c>
      <c r="J2002" s="99" t="n">
        <f aca="false">J487*MAX(0,J184-0.5*(J790+J1093+J1396))*MAX(0,MIN(8,'Loan Tape'!$AV180)-7)</f>
        <v>0</v>
      </c>
      <c r="K2002" s="99" t="n">
        <f aca="false">K487*MAX(0,K184-0.5*(K790+K1093+K1396))*MAX(0,MIN(9,'Loan Tape'!$AV180)-8)</f>
        <v>0</v>
      </c>
      <c r="L2002" s="99" t="n">
        <f aca="false">L487*MAX(0,L184-0.5*(L790+L1093+L1396))*MAX(0,MIN(10,'Loan Tape'!$AV180)-9)</f>
        <v>0</v>
      </c>
    </row>
    <row r="2003" customFormat="false" ht="15" hidden="false" customHeight="false" outlineLevel="0" collapsed="false">
      <c r="B2003" s="108" t="n">
        <f aca="false">'Loan Tape'!$A181</f>
        <v>0</v>
      </c>
      <c r="C2003" s="71" t="n">
        <f aca="false">C488*MAX(0,C185-0.5*(C791+C1094+C1397))*MAX(0,MIN(1,'Loan Tape'!$AV181)-0)</f>
        <v>0</v>
      </c>
      <c r="D2003" s="71" t="n">
        <f aca="false">D488*MAX(0,D185-0.5*(D791+D1094+D1397))*MAX(0,MIN(2,'Loan Tape'!$AV181)-1)</f>
        <v>0</v>
      </c>
      <c r="E2003" s="71" t="n">
        <f aca="false">E488*MAX(0,E185-0.5*(E791+E1094+E1397))*MAX(0,MIN(3,'Loan Tape'!$AV181)-2)</f>
        <v>0</v>
      </c>
      <c r="F2003" s="71" t="n">
        <f aca="false">F488*MAX(0,F185-0.5*(F791+F1094+F1397))*MAX(0,MIN(4,'Loan Tape'!$AV181)-3)</f>
        <v>0</v>
      </c>
      <c r="G2003" s="71" t="n">
        <f aca="false">G488*MAX(0,G185-0.5*(G791+G1094+G1397))*MAX(0,MIN(5,'Loan Tape'!$AV181)-4)</f>
        <v>0</v>
      </c>
      <c r="H2003" s="71" t="n">
        <f aca="false">H488*MAX(0,H185-0.5*(H791+H1094+H1397))*MAX(0,MIN(6,'Loan Tape'!$AV181)-5)</f>
        <v>0</v>
      </c>
      <c r="I2003" s="71" t="n">
        <f aca="false">I488*MAX(0,I185-0.5*(I791+I1094+I1397))*MAX(0,MIN(7,'Loan Tape'!$AV181)-6)</f>
        <v>0</v>
      </c>
      <c r="J2003" s="71" t="n">
        <f aca="false">J488*MAX(0,J185-0.5*(J791+J1094+J1397))*MAX(0,MIN(8,'Loan Tape'!$AV181)-7)</f>
        <v>0</v>
      </c>
      <c r="K2003" s="71" t="n">
        <f aca="false">K488*MAX(0,K185-0.5*(K791+K1094+K1397))*MAX(0,MIN(9,'Loan Tape'!$AV181)-8)</f>
        <v>0</v>
      </c>
      <c r="L2003" s="71" t="n">
        <f aca="false">L488*MAX(0,L185-0.5*(L791+L1094+L1397))*MAX(0,MIN(10,'Loan Tape'!$AV181)-9)</f>
        <v>0</v>
      </c>
    </row>
    <row r="2004" customFormat="false" ht="15" hidden="false" customHeight="false" outlineLevel="0" collapsed="false">
      <c r="B2004" s="102" t="n">
        <f aca="false">'Loan Tape'!$A182</f>
        <v>0</v>
      </c>
      <c r="C2004" s="99" t="n">
        <f aca="false">C489*MAX(0,C186-0.5*(C792+C1095+C1398))*MAX(0,MIN(1,'Loan Tape'!$AV182)-0)</f>
        <v>0</v>
      </c>
      <c r="D2004" s="99" t="n">
        <f aca="false">D489*MAX(0,D186-0.5*(D792+D1095+D1398))*MAX(0,MIN(2,'Loan Tape'!$AV182)-1)</f>
        <v>0</v>
      </c>
      <c r="E2004" s="99" t="n">
        <f aca="false">E489*MAX(0,E186-0.5*(E792+E1095+E1398))*MAX(0,MIN(3,'Loan Tape'!$AV182)-2)</f>
        <v>0</v>
      </c>
      <c r="F2004" s="99" t="n">
        <f aca="false">F489*MAX(0,F186-0.5*(F792+F1095+F1398))*MAX(0,MIN(4,'Loan Tape'!$AV182)-3)</f>
        <v>0</v>
      </c>
      <c r="G2004" s="99" t="n">
        <f aca="false">G489*MAX(0,G186-0.5*(G792+G1095+G1398))*MAX(0,MIN(5,'Loan Tape'!$AV182)-4)</f>
        <v>0</v>
      </c>
      <c r="H2004" s="99" t="n">
        <f aca="false">H489*MAX(0,H186-0.5*(H792+H1095+H1398))*MAX(0,MIN(6,'Loan Tape'!$AV182)-5)</f>
        <v>0</v>
      </c>
      <c r="I2004" s="99" t="n">
        <f aca="false">I489*MAX(0,I186-0.5*(I792+I1095+I1398))*MAX(0,MIN(7,'Loan Tape'!$AV182)-6)</f>
        <v>0</v>
      </c>
      <c r="J2004" s="99" t="n">
        <f aca="false">J489*MAX(0,J186-0.5*(J792+J1095+J1398))*MAX(0,MIN(8,'Loan Tape'!$AV182)-7)</f>
        <v>0</v>
      </c>
      <c r="K2004" s="99" t="n">
        <f aca="false">K489*MAX(0,K186-0.5*(K792+K1095+K1398))*MAX(0,MIN(9,'Loan Tape'!$AV182)-8)</f>
        <v>0</v>
      </c>
      <c r="L2004" s="99" t="n">
        <f aca="false">L489*MAX(0,L186-0.5*(L792+L1095+L1398))*MAX(0,MIN(10,'Loan Tape'!$AV182)-9)</f>
        <v>0</v>
      </c>
    </row>
    <row r="2005" customFormat="false" ht="15" hidden="false" customHeight="false" outlineLevel="0" collapsed="false">
      <c r="B2005" s="108" t="n">
        <f aca="false">'Loan Tape'!$A183</f>
        <v>0</v>
      </c>
      <c r="C2005" s="71" t="n">
        <f aca="false">C490*MAX(0,C187-0.5*(C793+C1096+C1399))*MAX(0,MIN(1,'Loan Tape'!$AV183)-0)</f>
        <v>0</v>
      </c>
      <c r="D2005" s="71" t="n">
        <f aca="false">D490*MAX(0,D187-0.5*(D793+D1096+D1399))*MAX(0,MIN(2,'Loan Tape'!$AV183)-1)</f>
        <v>0</v>
      </c>
      <c r="E2005" s="71" t="n">
        <f aca="false">E490*MAX(0,E187-0.5*(E793+E1096+E1399))*MAX(0,MIN(3,'Loan Tape'!$AV183)-2)</f>
        <v>0</v>
      </c>
      <c r="F2005" s="71" t="n">
        <f aca="false">F490*MAX(0,F187-0.5*(F793+F1096+F1399))*MAX(0,MIN(4,'Loan Tape'!$AV183)-3)</f>
        <v>0</v>
      </c>
      <c r="G2005" s="71" t="n">
        <f aca="false">G490*MAX(0,G187-0.5*(G793+G1096+G1399))*MAX(0,MIN(5,'Loan Tape'!$AV183)-4)</f>
        <v>0</v>
      </c>
      <c r="H2005" s="71" t="n">
        <f aca="false">H490*MAX(0,H187-0.5*(H793+H1096+H1399))*MAX(0,MIN(6,'Loan Tape'!$AV183)-5)</f>
        <v>0</v>
      </c>
      <c r="I2005" s="71" t="n">
        <f aca="false">I490*MAX(0,I187-0.5*(I793+I1096+I1399))*MAX(0,MIN(7,'Loan Tape'!$AV183)-6)</f>
        <v>0</v>
      </c>
      <c r="J2005" s="71" t="n">
        <f aca="false">J490*MAX(0,J187-0.5*(J793+J1096+J1399))*MAX(0,MIN(8,'Loan Tape'!$AV183)-7)</f>
        <v>0</v>
      </c>
      <c r="K2005" s="71" t="n">
        <f aca="false">K490*MAX(0,K187-0.5*(K793+K1096+K1399))*MAX(0,MIN(9,'Loan Tape'!$AV183)-8)</f>
        <v>0</v>
      </c>
      <c r="L2005" s="71" t="n">
        <f aca="false">L490*MAX(0,L187-0.5*(L793+L1096+L1399))*MAX(0,MIN(10,'Loan Tape'!$AV183)-9)</f>
        <v>0</v>
      </c>
    </row>
    <row r="2006" customFormat="false" ht="15" hidden="false" customHeight="false" outlineLevel="0" collapsed="false">
      <c r="B2006" s="102" t="n">
        <f aca="false">'Loan Tape'!$A184</f>
        <v>0</v>
      </c>
      <c r="C2006" s="99" t="n">
        <f aca="false">C491*MAX(0,C188-0.5*(C794+C1097+C1400))*MAX(0,MIN(1,'Loan Tape'!$AV184)-0)</f>
        <v>0</v>
      </c>
      <c r="D2006" s="99" t="n">
        <f aca="false">D491*MAX(0,D188-0.5*(D794+D1097+D1400))*MAX(0,MIN(2,'Loan Tape'!$AV184)-1)</f>
        <v>0</v>
      </c>
      <c r="E2006" s="99" t="n">
        <f aca="false">E491*MAX(0,E188-0.5*(E794+E1097+E1400))*MAX(0,MIN(3,'Loan Tape'!$AV184)-2)</f>
        <v>0</v>
      </c>
      <c r="F2006" s="99" t="n">
        <f aca="false">F491*MAX(0,F188-0.5*(F794+F1097+F1400))*MAX(0,MIN(4,'Loan Tape'!$AV184)-3)</f>
        <v>0</v>
      </c>
      <c r="G2006" s="99" t="n">
        <f aca="false">G491*MAX(0,G188-0.5*(G794+G1097+G1400))*MAX(0,MIN(5,'Loan Tape'!$AV184)-4)</f>
        <v>0</v>
      </c>
      <c r="H2006" s="99" t="n">
        <f aca="false">H491*MAX(0,H188-0.5*(H794+H1097+H1400))*MAX(0,MIN(6,'Loan Tape'!$AV184)-5)</f>
        <v>0</v>
      </c>
      <c r="I2006" s="99" t="n">
        <f aca="false">I491*MAX(0,I188-0.5*(I794+I1097+I1400))*MAX(0,MIN(7,'Loan Tape'!$AV184)-6)</f>
        <v>0</v>
      </c>
      <c r="J2006" s="99" t="n">
        <f aca="false">J491*MAX(0,J188-0.5*(J794+J1097+J1400))*MAX(0,MIN(8,'Loan Tape'!$AV184)-7)</f>
        <v>0</v>
      </c>
      <c r="K2006" s="99" t="n">
        <f aca="false">K491*MAX(0,K188-0.5*(K794+K1097+K1400))*MAX(0,MIN(9,'Loan Tape'!$AV184)-8)</f>
        <v>0</v>
      </c>
      <c r="L2006" s="99" t="n">
        <f aca="false">L491*MAX(0,L188-0.5*(L794+L1097+L1400))*MAX(0,MIN(10,'Loan Tape'!$AV184)-9)</f>
        <v>0</v>
      </c>
    </row>
    <row r="2007" customFormat="false" ht="15" hidden="false" customHeight="false" outlineLevel="0" collapsed="false">
      <c r="B2007" s="108" t="n">
        <f aca="false">'Loan Tape'!$A185</f>
        <v>0</v>
      </c>
      <c r="C2007" s="71" t="n">
        <f aca="false">C492*MAX(0,C189-0.5*(C795+C1098+C1401))*MAX(0,MIN(1,'Loan Tape'!$AV185)-0)</f>
        <v>0</v>
      </c>
      <c r="D2007" s="71" t="n">
        <f aca="false">D492*MAX(0,D189-0.5*(D795+D1098+D1401))*MAX(0,MIN(2,'Loan Tape'!$AV185)-1)</f>
        <v>0</v>
      </c>
      <c r="E2007" s="71" t="n">
        <f aca="false">E492*MAX(0,E189-0.5*(E795+E1098+E1401))*MAX(0,MIN(3,'Loan Tape'!$AV185)-2)</f>
        <v>0</v>
      </c>
      <c r="F2007" s="71" t="n">
        <f aca="false">F492*MAX(0,F189-0.5*(F795+F1098+F1401))*MAX(0,MIN(4,'Loan Tape'!$AV185)-3)</f>
        <v>0</v>
      </c>
      <c r="G2007" s="71" t="n">
        <f aca="false">G492*MAX(0,G189-0.5*(G795+G1098+G1401))*MAX(0,MIN(5,'Loan Tape'!$AV185)-4)</f>
        <v>0</v>
      </c>
      <c r="H2007" s="71" t="n">
        <f aca="false">H492*MAX(0,H189-0.5*(H795+H1098+H1401))*MAX(0,MIN(6,'Loan Tape'!$AV185)-5)</f>
        <v>0</v>
      </c>
      <c r="I2007" s="71" t="n">
        <f aca="false">I492*MAX(0,I189-0.5*(I795+I1098+I1401))*MAX(0,MIN(7,'Loan Tape'!$AV185)-6)</f>
        <v>0</v>
      </c>
      <c r="J2007" s="71" t="n">
        <f aca="false">J492*MAX(0,J189-0.5*(J795+J1098+J1401))*MAX(0,MIN(8,'Loan Tape'!$AV185)-7)</f>
        <v>0</v>
      </c>
      <c r="K2007" s="71" t="n">
        <f aca="false">K492*MAX(0,K189-0.5*(K795+K1098+K1401))*MAX(0,MIN(9,'Loan Tape'!$AV185)-8)</f>
        <v>0</v>
      </c>
      <c r="L2007" s="71" t="n">
        <f aca="false">L492*MAX(0,L189-0.5*(L795+L1098+L1401))*MAX(0,MIN(10,'Loan Tape'!$AV185)-9)</f>
        <v>0</v>
      </c>
    </row>
    <row r="2008" customFormat="false" ht="15" hidden="false" customHeight="false" outlineLevel="0" collapsed="false">
      <c r="B2008" s="102" t="n">
        <f aca="false">'Loan Tape'!$A186</f>
        <v>0</v>
      </c>
      <c r="C2008" s="99" t="n">
        <f aca="false">C493*MAX(0,C190-0.5*(C796+C1099+C1402))*MAX(0,MIN(1,'Loan Tape'!$AV186)-0)</f>
        <v>0</v>
      </c>
      <c r="D2008" s="99" t="n">
        <f aca="false">D493*MAX(0,D190-0.5*(D796+D1099+D1402))*MAX(0,MIN(2,'Loan Tape'!$AV186)-1)</f>
        <v>0</v>
      </c>
      <c r="E2008" s="99" t="n">
        <f aca="false">E493*MAX(0,E190-0.5*(E796+E1099+E1402))*MAX(0,MIN(3,'Loan Tape'!$AV186)-2)</f>
        <v>0</v>
      </c>
      <c r="F2008" s="99" t="n">
        <f aca="false">F493*MAX(0,F190-0.5*(F796+F1099+F1402))*MAX(0,MIN(4,'Loan Tape'!$AV186)-3)</f>
        <v>0</v>
      </c>
      <c r="G2008" s="99" t="n">
        <f aca="false">G493*MAX(0,G190-0.5*(G796+G1099+G1402))*MAX(0,MIN(5,'Loan Tape'!$AV186)-4)</f>
        <v>0</v>
      </c>
      <c r="H2008" s="99" t="n">
        <f aca="false">H493*MAX(0,H190-0.5*(H796+H1099+H1402))*MAX(0,MIN(6,'Loan Tape'!$AV186)-5)</f>
        <v>0</v>
      </c>
      <c r="I2008" s="99" t="n">
        <f aca="false">I493*MAX(0,I190-0.5*(I796+I1099+I1402))*MAX(0,MIN(7,'Loan Tape'!$AV186)-6)</f>
        <v>0</v>
      </c>
      <c r="J2008" s="99" t="n">
        <f aca="false">J493*MAX(0,J190-0.5*(J796+J1099+J1402))*MAX(0,MIN(8,'Loan Tape'!$AV186)-7)</f>
        <v>0</v>
      </c>
      <c r="K2008" s="99" t="n">
        <f aca="false">K493*MAX(0,K190-0.5*(K796+K1099+K1402))*MAX(0,MIN(9,'Loan Tape'!$AV186)-8)</f>
        <v>0</v>
      </c>
      <c r="L2008" s="99" t="n">
        <f aca="false">L493*MAX(0,L190-0.5*(L796+L1099+L1402))*MAX(0,MIN(10,'Loan Tape'!$AV186)-9)</f>
        <v>0</v>
      </c>
    </row>
    <row r="2009" customFormat="false" ht="15" hidden="false" customHeight="false" outlineLevel="0" collapsed="false">
      <c r="B2009" s="108" t="n">
        <f aca="false">'Loan Tape'!$A187</f>
        <v>0</v>
      </c>
      <c r="C2009" s="71" t="n">
        <f aca="false">C494*MAX(0,C191-0.5*(C797+C1100+C1403))*MAX(0,MIN(1,'Loan Tape'!$AV187)-0)</f>
        <v>0</v>
      </c>
      <c r="D2009" s="71" t="n">
        <f aca="false">D494*MAX(0,D191-0.5*(D797+D1100+D1403))*MAX(0,MIN(2,'Loan Tape'!$AV187)-1)</f>
        <v>0</v>
      </c>
      <c r="E2009" s="71" t="n">
        <f aca="false">E494*MAX(0,E191-0.5*(E797+E1100+E1403))*MAX(0,MIN(3,'Loan Tape'!$AV187)-2)</f>
        <v>0</v>
      </c>
      <c r="F2009" s="71" t="n">
        <f aca="false">F494*MAX(0,F191-0.5*(F797+F1100+F1403))*MAX(0,MIN(4,'Loan Tape'!$AV187)-3)</f>
        <v>0</v>
      </c>
      <c r="G2009" s="71" t="n">
        <f aca="false">G494*MAX(0,G191-0.5*(G797+G1100+G1403))*MAX(0,MIN(5,'Loan Tape'!$AV187)-4)</f>
        <v>0</v>
      </c>
      <c r="H2009" s="71" t="n">
        <f aca="false">H494*MAX(0,H191-0.5*(H797+H1100+H1403))*MAX(0,MIN(6,'Loan Tape'!$AV187)-5)</f>
        <v>0</v>
      </c>
      <c r="I2009" s="71" t="n">
        <f aca="false">I494*MAX(0,I191-0.5*(I797+I1100+I1403))*MAX(0,MIN(7,'Loan Tape'!$AV187)-6)</f>
        <v>0</v>
      </c>
      <c r="J2009" s="71" t="n">
        <f aca="false">J494*MAX(0,J191-0.5*(J797+J1100+J1403))*MAX(0,MIN(8,'Loan Tape'!$AV187)-7)</f>
        <v>0</v>
      </c>
      <c r="K2009" s="71" t="n">
        <f aca="false">K494*MAX(0,K191-0.5*(K797+K1100+K1403))*MAX(0,MIN(9,'Loan Tape'!$AV187)-8)</f>
        <v>0</v>
      </c>
      <c r="L2009" s="71" t="n">
        <f aca="false">L494*MAX(0,L191-0.5*(L797+L1100+L1403))*MAX(0,MIN(10,'Loan Tape'!$AV187)-9)</f>
        <v>0</v>
      </c>
    </row>
    <row r="2010" customFormat="false" ht="15" hidden="false" customHeight="false" outlineLevel="0" collapsed="false">
      <c r="B2010" s="102" t="n">
        <f aca="false">'Loan Tape'!$A188</f>
        <v>0</v>
      </c>
      <c r="C2010" s="99" t="n">
        <f aca="false">C495*MAX(0,C192-0.5*(C798+C1101+C1404))*MAX(0,MIN(1,'Loan Tape'!$AV188)-0)</f>
        <v>0</v>
      </c>
      <c r="D2010" s="99" t="n">
        <f aca="false">D495*MAX(0,D192-0.5*(D798+D1101+D1404))*MAX(0,MIN(2,'Loan Tape'!$AV188)-1)</f>
        <v>0</v>
      </c>
      <c r="E2010" s="99" t="n">
        <f aca="false">E495*MAX(0,E192-0.5*(E798+E1101+E1404))*MAX(0,MIN(3,'Loan Tape'!$AV188)-2)</f>
        <v>0</v>
      </c>
      <c r="F2010" s="99" t="n">
        <f aca="false">F495*MAX(0,F192-0.5*(F798+F1101+F1404))*MAX(0,MIN(4,'Loan Tape'!$AV188)-3)</f>
        <v>0</v>
      </c>
      <c r="G2010" s="99" t="n">
        <f aca="false">G495*MAX(0,G192-0.5*(G798+G1101+G1404))*MAX(0,MIN(5,'Loan Tape'!$AV188)-4)</f>
        <v>0</v>
      </c>
      <c r="H2010" s="99" t="n">
        <f aca="false">H495*MAX(0,H192-0.5*(H798+H1101+H1404))*MAX(0,MIN(6,'Loan Tape'!$AV188)-5)</f>
        <v>0</v>
      </c>
      <c r="I2010" s="99" t="n">
        <f aca="false">I495*MAX(0,I192-0.5*(I798+I1101+I1404))*MAX(0,MIN(7,'Loan Tape'!$AV188)-6)</f>
        <v>0</v>
      </c>
      <c r="J2010" s="99" t="n">
        <f aca="false">J495*MAX(0,J192-0.5*(J798+J1101+J1404))*MAX(0,MIN(8,'Loan Tape'!$AV188)-7)</f>
        <v>0</v>
      </c>
      <c r="K2010" s="99" t="n">
        <f aca="false">K495*MAX(0,K192-0.5*(K798+K1101+K1404))*MAX(0,MIN(9,'Loan Tape'!$AV188)-8)</f>
        <v>0</v>
      </c>
      <c r="L2010" s="99" t="n">
        <f aca="false">L495*MAX(0,L192-0.5*(L798+L1101+L1404))*MAX(0,MIN(10,'Loan Tape'!$AV188)-9)</f>
        <v>0</v>
      </c>
    </row>
    <row r="2011" customFormat="false" ht="15" hidden="false" customHeight="false" outlineLevel="0" collapsed="false">
      <c r="B2011" s="108" t="n">
        <f aca="false">'Loan Tape'!$A189</f>
        <v>0</v>
      </c>
      <c r="C2011" s="71" t="n">
        <f aca="false">C496*MAX(0,C193-0.5*(C799+C1102+C1405))*MAX(0,MIN(1,'Loan Tape'!$AV189)-0)</f>
        <v>0</v>
      </c>
      <c r="D2011" s="71" t="n">
        <f aca="false">D496*MAX(0,D193-0.5*(D799+D1102+D1405))*MAX(0,MIN(2,'Loan Tape'!$AV189)-1)</f>
        <v>0</v>
      </c>
      <c r="E2011" s="71" t="n">
        <f aca="false">E496*MAX(0,E193-0.5*(E799+E1102+E1405))*MAX(0,MIN(3,'Loan Tape'!$AV189)-2)</f>
        <v>0</v>
      </c>
      <c r="F2011" s="71" t="n">
        <f aca="false">F496*MAX(0,F193-0.5*(F799+F1102+F1405))*MAX(0,MIN(4,'Loan Tape'!$AV189)-3)</f>
        <v>0</v>
      </c>
      <c r="G2011" s="71" t="n">
        <f aca="false">G496*MAX(0,G193-0.5*(G799+G1102+G1405))*MAX(0,MIN(5,'Loan Tape'!$AV189)-4)</f>
        <v>0</v>
      </c>
      <c r="H2011" s="71" t="n">
        <f aca="false">H496*MAX(0,H193-0.5*(H799+H1102+H1405))*MAX(0,MIN(6,'Loan Tape'!$AV189)-5)</f>
        <v>0</v>
      </c>
      <c r="I2011" s="71" t="n">
        <f aca="false">I496*MAX(0,I193-0.5*(I799+I1102+I1405))*MAX(0,MIN(7,'Loan Tape'!$AV189)-6)</f>
        <v>0</v>
      </c>
      <c r="J2011" s="71" t="n">
        <f aca="false">J496*MAX(0,J193-0.5*(J799+J1102+J1405))*MAX(0,MIN(8,'Loan Tape'!$AV189)-7)</f>
        <v>0</v>
      </c>
      <c r="K2011" s="71" t="n">
        <f aca="false">K496*MAX(0,K193-0.5*(K799+K1102+K1405))*MAX(0,MIN(9,'Loan Tape'!$AV189)-8)</f>
        <v>0</v>
      </c>
      <c r="L2011" s="71" t="n">
        <f aca="false">L496*MAX(0,L193-0.5*(L799+L1102+L1405))*MAX(0,MIN(10,'Loan Tape'!$AV189)-9)</f>
        <v>0</v>
      </c>
    </row>
    <row r="2012" customFormat="false" ht="15" hidden="false" customHeight="false" outlineLevel="0" collapsed="false">
      <c r="B2012" s="102" t="n">
        <f aca="false">'Loan Tape'!$A190</f>
        <v>0</v>
      </c>
      <c r="C2012" s="99" t="n">
        <f aca="false">C497*MAX(0,C194-0.5*(C800+C1103+C1406))*MAX(0,MIN(1,'Loan Tape'!$AV190)-0)</f>
        <v>0</v>
      </c>
      <c r="D2012" s="99" t="n">
        <f aca="false">D497*MAX(0,D194-0.5*(D800+D1103+D1406))*MAX(0,MIN(2,'Loan Tape'!$AV190)-1)</f>
        <v>0</v>
      </c>
      <c r="E2012" s="99" t="n">
        <f aca="false">E497*MAX(0,E194-0.5*(E800+E1103+E1406))*MAX(0,MIN(3,'Loan Tape'!$AV190)-2)</f>
        <v>0</v>
      </c>
      <c r="F2012" s="99" t="n">
        <f aca="false">F497*MAX(0,F194-0.5*(F800+F1103+F1406))*MAX(0,MIN(4,'Loan Tape'!$AV190)-3)</f>
        <v>0</v>
      </c>
      <c r="G2012" s="99" t="n">
        <f aca="false">G497*MAX(0,G194-0.5*(G800+G1103+G1406))*MAX(0,MIN(5,'Loan Tape'!$AV190)-4)</f>
        <v>0</v>
      </c>
      <c r="H2012" s="99" t="n">
        <f aca="false">H497*MAX(0,H194-0.5*(H800+H1103+H1406))*MAX(0,MIN(6,'Loan Tape'!$AV190)-5)</f>
        <v>0</v>
      </c>
      <c r="I2012" s="99" t="n">
        <f aca="false">I497*MAX(0,I194-0.5*(I800+I1103+I1406))*MAX(0,MIN(7,'Loan Tape'!$AV190)-6)</f>
        <v>0</v>
      </c>
      <c r="J2012" s="99" t="n">
        <f aca="false">J497*MAX(0,J194-0.5*(J800+J1103+J1406))*MAX(0,MIN(8,'Loan Tape'!$AV190)-7)</f>
        <v>0</v>
      </c>
      <c r="K2012" s="99" t="n">
        <f aca="false">K497*MAX(0,K194-0.5*(K800+K1103+K1406))*MAX(0,MIN(9,'Loan Tape'!$AV190)-8)</f>
        <v>0</v>
      </c>
      <c r="L2012" s="99" t="n">
        <f aca="false">L497*MAX(0,L194-0.5*(L800+L1103+L1406))*MAX(0,MIN(10,'Loan Tape'!$AV190)-9)</f>
        <v>0</v>
      </c>
    </row>
    <row r="2013" customFormat="false" ht="15" hidden="false" customHeight="false" outlineLevel="0" collapsed="false">
      <c r="B2013" s="108" t="n">
        <f aca="false">'Loan Tape'!$A191</f>
        <v>0</v>
      </c>
      <c r="C2013" s="71" t="n">
        <f aca="false">C498*MAX(0,C195-0.5*(C801+C1104+C1407))*MAX(0,MIN(1,'Loan Tape'!$AV191)-0)</f>
        <v>0</v>
      </c>
      <c r="D2013" s="71" t="n">
        <f aca="false">D498*MAX(0,D195-0.5*(D801+D1104+D1407))*MAX(0,MIN(2,'Loan Tape'!$AV191)-1)</f>
        <v>0</v>
      </c>
      <c r="E2013" s="71" t="n">
        <f aca="false">E498*MAX(0,E195-0.5*(E801+E1104+E1407))*MAX(0,MIN(3,'Loan Tape'!$AV191)-2)</f>
        <v>0</v>
      </c>
      <c r="F2013" s="71" t="n">
        <f aca="false">F498*MAX(0,F195-0.5*(F801+F1104+F1407))*MAX(0,MIN(4,'Loan Tape'!$AV191)-3)</f>
        <v>0</v>
      </c>
      <c r="G2013" s="71" t="n">
        <f aca="false">G498*MAX(0,G195-0.5*(G801+G1104+G1407))*MAX(0,MIN(5,'Loan Tape'!$AV191)-4)</f>
        <v>0</v>
      </c>
      <c r="H2013" s="71" t="n">
        <f aca="false">H498*MAX(0,H195-0.5*(H801+H1104+H1407))*MAX(0,MIN(6,'Loan Tape'!$AV191)-5)</f>
        <v>0</v>
      </c>
      <c r="I2013" s="71" t="n">
        <f aca="false">I498*MAX(0,I195-0.5*(I801+I1104+I1407))*MAX(0,MIN(7,'Loan Tape'!$AV191)-6)</f>
        <v>0</v>
      </c>
      <c r="J2013" s="71" t="n">
        <f aca="false">J498*MAX(0,J195-0.5*(J801+J1104+J1407))*MAX(0,MIN(8,'Loan Tape'!$AV191)-7)</f>
        <v>0</v>
      </c>
      <c r="K2013" s="71" t="n">
        <f aca="false">K498*MAX(0,K195-0.5*(K801+K1104+K1407))*MAX(0,MIN(9,'Loan Tape'!$AV191)-8)</f>
        <v>0</v>
      </c>
      <c r="L2013" s="71" t="n">
        <f aca="false">L498*MAX(0,L195-0.5*(L801+L1104+L1407))*MAX(0,MIN(10,'Loan Tape'!$AV191)-9)</f>
        <v>0</v>
      </c>
    </row>
    <row r="2014" customFormat="false" ht="15" hidden="false" customHeight="false" outlineLevel="0" collapsed="false">
      <c r="B2014" s="102" t="n">
        <f aca="false">'Loan Tape'!$A192</f>
        <v>0</v>
      </c>
      <c r="C2014" s="99" t="n">
        <f aca="false">C499*MAX(0,C196-0.5*(C802+C1105+C1408))*MAX(0,MIN(1,'Loan Tape'!$AV192)-0)</f>
        <v>0</v>
      </c>
      <c r="D2014" s="99" t="n">
        <f aca="false">D499*MAX(0,D196-0.5*(D802+D1105+D1408))*MAX(0,MIN(2,'Loan Tape'!$AV192)-1)</f>
        <v>0</v>
      </c>
      <c r="E2014" s="99" t="n">
        <f aca="false">E499*MAX(0,E196-0.5*(E802+E1105+E1408))*MAX(0,MIN(3,'Loan Tape'!$AV192)-2)</f>
        <v>0</v>
      </c>
      <c r="F2014" s="99" t="n">
        <f aca="false">F499*MAX(0,F196-0.5*(F802+F1105+F1408))*MAX(0,MIN(4,'Loan Tape'!$AV192)-3)</f>
        <v>0</v>
      </c>
      <c r="G2014" s="99" t="n">
        <f aca="false">G499*MAX(0,G196-0.5*(G802+G1105+G1408))*MAX(0,MIN(5,'Loan Tape'!$AV192)-4)</f>
        <v>0</v>
      </c>
      <c r="H2014" s="99" t="n">
        <f aca="false">H499*MAX(0,H196-0.5*(H802+H1105+H1408))*MAX(0,MIN(6,'Loan Tape'!$AV192)-5)</f>
        <v>0</v>
      </c>
      <c r="I2014" s="99" t="n">
        <f aca="false">I499*MAX(0,I196-0.5*(I802+I1105+I1408))*MAX(0,MIN(7,'Loan Tape'!$AV192)-6)</f>
        <v>0</v>
      </c>
      <c r="J2014" s="99" t="n">
        <f aca="false">J499*MAX(0,J196-0.5*(J802+J1105+J1408))*MAX(0,MIN(8,'Loan Tape'!$AV192)-7)</f>
        <v>0</v>
      </c>
      <c r="K2014" s="99" t="n">
        <f aca="false">K499*MAX(0,K196-0.5*(K802+K1105+K1408))*MAX(0,MIN(9,'Loan Tape'!$AV192)-8)</f>
        <v>0</v>
      </c>
      <c r="L2014" s="99" t="n">
        <f aca="false">L499*MAX(0,L196-0.5*(L802+L1105+L1408))*MAX(0,MIN(10,'Loan Tape'!$AV192)-9)</f>
        <v>0</v>
      </c>
    </row>
    <row r="2015" customFormat="false" ht="15" hidden="false" customHeight="false" outlineLevel="0" collapsed="false">
      <c r="B2015" s="108" t="n">
        <f aca="false">'Loan Tape'!$A193</f>
        <v>0</v>
      </c>
      <c r="C2015" s="71" t="n">
        <f aca="false">C500*MAX(0,C197-0.5*(C803+C1106+C1409))*MAX(0,MIN(1,'Loan Tape'!$AV193)-0)</f>
        <v>0</v>
      </c>
      <c r="D2015" s="71" t="n">
        <f aca="false">D500*MAX(0,D197-0.5*(D803+D1106+D1409))*MAX(0,MIN(2,'Loan Tape'!$AV193)-1)</f>
        <v>0</v>
      </c>
      <c r="E2015" s="71" t="n">
        <f aca="false">E500*MAX(0,E197-0.5*(E803+E1106+E1409))*MAX(0,MIN(3,'Loan Tape'!$AV193)-2)</f>
        <v>0</v>
      </c>
      <c r="F2015" s="71" t="n">
        <f aca="false">F500*MAX(0,F197-0.5*(F803+F1106+F1409))*MAX(0,MIN(4,'Loan Tape'!$AV193)-3)</f>
        <v>0</v>
      </c>
      <c r="G2015" s="71" t="n">
        <f aca="false">G500*MAX(0,G197-0.5*(G803+G1106+G1409))*MAX(0,MIN(5,'Loan Tape'!$AV193)-4)</f>
        <v>0</v>
      </c>
      <c r="H2015" s="71" t="n">
        <f aca="false">H500*MAX(0,H197-0.5*(H803+H1106+H1409))*MAX(0,MIN(6,'Loan Tape'!$AV193)-5)</f>
        <v>0</v>
      </c>
      <c r="I2015" s="71" t="n">
        <f aca="false">I500*MAX(0,I197-0.5*(I803+I1106+I1409))*MAX(0,MIN(7,'Loan Tape'!$AV193)-6)</f>
        <v>0</v>
      </c>
      <c r="J2015" s="71" t="n">
        <f aca="false">J500*MAX(0,J197-0.5*(J803+J1106+J1409))*MAX(0,MIN(8,'Loan Tape'!$AV193)-7)</f>
        <v>0</v>
      </c>
      <c r="K2015" s="71" t="n">
        <f aca="false">K500*MAX(0,K197-0.5*(K803+K1106+K1409))*MAX(0,MIN(9,'Loan Tape'!$AV193)-8)</f>
        <v>0</v>
      </c>
      <c r="L2015" s="71" t="n">
        <f aca="false">L500*MAX(0,L197-0.5*(L803+L1106+L1409))*MAX(0,MIN(10,'Loan Tape'!$AV193)-9)</f>
        <v>0</v>
      </c>
    </row>
    <row r="2016" customFormat="false" ht="15" hidden="false" customHeight="false" outlineLevel="0" collapsed="false">
      <c r="B2016" s="102" t="n">
        <f aca="false">'Loan Tape'!$A194</f>
        <v>0</v>
      </c>
      <c r="C2016" s="99" t="n">
        <f aca="false">C501*MAX(0,C198-0.5*(C804+C1107+C1410))*MAX(0,MIN(1,'Loan Tape'!$AV194)-0)</f>
        <v>0</v>
      </c>
      <c r="D2016" s="99" t="n">
        <f aca="false">D501*MAX(0,D198-0.5*(D804+D1107+D1410))*MAX(0,MIN(2,'Loan Tape'!$AV194)-1)</f>
        <v>0</v>
      </c>
      <c r="E2016" s="99" t="n">
        <f aca="false">E501*MAX(0,E198-0.5*(E804+E1107+E1410))*MAX(0,MIN(3,'Loan Tape'!$AV194)-2)</f>
        <v>0</v>
      </c>
      <c r="F2016" s="99" t="n">
        <f aca="false">F501*MAX(0,F198-0.5*(F804+F1107+F1410))*MAX(0,MIN(4,'Loan Tape'!$AV194)-3)</f>
        <v>0</v>
      </c>
      <c r="G2016" s="99" t="n">
        <f aca="false">G501*MAX(0,G198-0.5*(G804+G1107+G1410))*MAX(0,MIN(5,'Loan Tape'!$AV194)-4)</f>
        <v>0</v>
      </c>
      <c r="H2016" s="99" t="n">
        <f aca="false">H501*MAX(0,H198-0.5*(H804+H1107+H1410))*MAX(0,MIN(6,'Loan Tape'!$AV194)-5)</f>
        <v>0</v>
      </c>
      <c r="I2016" s="99" t="n">
        <f aca="false">I501*MAX(0,I198-0.5*(I804+I1107+I1410))*MAX(0,MIN(7,'Loan Tape'!$AV194)-6)</f>
        <v>0</v>
      </c>
      <c r="J2016" s="99" t="n">
        <f aca="false">J501*MAX(0,J198-0.5*(J804+J1107+J1410))*MAX(0,MIN(8,'Loan Tape'!$AV194)-7)</f>
        <v>0</v>
      </c>
      <c r="K2016" s="99" t="n">
        <f aca="false">K501*MAX(0,K198-0.5*(K804+K1107+K1410))*MAX(0,MIN(9,'Loan Tape'!$AV194)-8)</f>
        <v>0</v>
      </c>
      <c r="L2016" s="99" t="n">
        <f aca="false">L501*MAX(0,L198-0.5*(L804+L1107+L1410))*MAX(0,MIN(10,'Loan Tape'!$AV194)-9)</f>
        <v>0</v>
      </c>
    </row>
    <row r="2017" customFormat="false" ht="15" hidden="false" customHeight="false" outlineLevel="0" collapsed="false">
      <c r="B2017" s="108" t="n">
        <f aca="false">'Loan Tape'!$A195</f>
        <v>0</v>
      </c>
      <c r="C2017" s="71" t="n">
        <f aca="false">C502*MAX(0,C199-0.5*(C805+C1108+C1411))*MAX(0,MIN(1,'Loan Tape'!$AV195)-0)</f>
        <v>0</v>
      </c>
      <c r="D2017" s="71" t="n">
        <f aca="false">D502*MAX(0,D199-0.5*(D805+D1108+D1411))*MAX(0,MIN(2,'Loan Tape'!$AV195)-1)</f>
        <v>0</v>
      </c>
      <c r="E2017" s="71" t="n">
        <f aca="false">E502*MAX(0,E199-0.5*(E805+E1108+E1411))*MAX(0,MIN(3,'Loan Tape'!$AV195)-2)</f>
        <v>0</v>
      </c>
      <c r="F2017" s="71" t="n">
        <f aca="false">F502*MAX(0,F199-0.5*(F805+F1108+F1411))*MAX(0,MIN(4,'Loan Tape'!$AV195)-3)</f>
        <v>0</v>
      </c>
      <c r="G2017" s="71" t="n">
        <f aca="false">G502*MAX(0,G199-0.5*(G805+G1108+G1411))*MAX(0,MIN(5,'Loan Tape'!$AV195)-4)</f>
        <v>0</v>
      </c>
      <c r="H2017" s="71" t="n">
        <f aca="false">H502*MAX(0,H199-0.5*(H805+H1108+H1411))*MAX(0,MIN(6,'Loan Tape'!$AV195)-5)</f>
        <v>0</v>
      </c>
      <c r="I2017" s="71" t="n">
        <f aca="false">I502*MAX(0,I199-0.5*(I805+I1108+I1411))*MAX(0,MIN(7,'Loan Tape'!$AV195)-6)</f>
        <v>0</v>
      </c>
      <c r="J2017" s="71" t="n">
        <f aca="false">J502*MAX(0,J199-0.5*(J805+J1108+J1411))*MAX(0,MIN(8,'Loan Tape'!$AV195)-7)</f>
        <v>0</v>
      </c>
      <c r="K2017" s="71" t="n">
        <f aca="false">K502*MAX(0,K199-0.5*(K805+K1108+K1411))*MAX(0,MIN(9,'Loan Tape'!$AV195)-8)</f>
        <v>0</v>
      </c>
      <c r="L2017" s="71" t="n">
        <f aca="false">L502*MAX(0,L199-0.5*(L805+L1108+L1411))*MAX(0,MIN(10,'Loan Tape'!$AV195)-9)</f>
        <v>0</v>
      </c>
    </row>
    <row r="2018" customFormat="false" ht="15" hidden="false" customHeight="false" outlineLevel="0" collapsed="false">
      <c r="B2018" s="102" t="n">
        <f aca="false">'Loan Tape'!$A196</f>
        <v>0</v>
      </c>
      <c r="C2018" s="99" t="n">
        <f aca="false">C503*MAX(0,C200-0.5*(C806+C1109+C1412))*MAX(0,MIN(1,'Loan Tape'!$AV196)-0)</f>
        <v>0</v>
      </c>
      <c r="D2018" s="99" t="n">
        <f aca="false">D503*MAX(0,D200-0.5*(D806+D1109+D1412))*MAX(0,MIN(2,'Loan Tape'!$AV196)-1)</f>
        <v>0</v>
      </c>
      <c r="E2018" s="99" t="n">
        <f aca="false">E503*MAX(0,E200-0.5*(E806+E1109+E1412))*MAX(0,MIN(3,'Loan Tape'!$AV196)-2)</f>
        <v>0</v>
      </c>
      <c r="F2018" s="99" t="n">
        <f aca="false">F503*MAX(0,F200-0.5*(F806+F1109+F1412))*MAX(0,MIN(4,'Loan Tape'!$AV196)-3)</f>
        <v>0</v>
      </c>
      <c r="G2018" s="99" t="n">
        <f aca="false">G503*MAX(0,G200-0.5*(G806+G1109+G1412))*MAX(0,MIN(5,'Loan Tape'!$AV196)-4)</f>
        <v>0</v>
      </c>
      <c r="H2018" s="99" t="n">
        <f aca="false">H503*MAX(0,H200-0.5*(H806+H1109+H1412))*MAX(0,MIN(6,'Loan Tape'!$AV196)-5)</f>
        <v>0</v>
      </c>
      <c r="I2018" s="99" t="n">
        <f aca="false">I503*MAX(0,I200-0.5*(I806+I1109+I1412))*MAX(0,MIN(7,'Loan Tape'!$AV196)-6)</f>
        <v>0</v>
      </c>
      <c r="J2018" s="99" t="n">
        <f aca="false">J503*MAX(0,J200-0.5*(J806+J1109+J1412))*MAX(0,MIN(8,'Loan Tape'!$AV196)-7)</f>
        <v>0</v>
      </c>
      <c r="K2018" s="99" t="n">
        <f aca="false">K503*MAX(0,K200-0.5*(K806+K1109+K1412))*MAX(0,MIN(9,'Loan Tape'!$AV196)-8)</f>
        <v>0</v>
      </c>
      <c r="L2018" s="99" t="n">
        <f aca="false">L503*MAX(0,L200-0.5*(L806+L1109+L1412))*MAX(0,MIN(10,'Loan Tape'!$AV196)-9)</f>
        <v>0</v>
      </c>
    </row>
    <row r="2019" customFormat="false" ht="15" hidden="false" customHeight="false" outlineLevel="0" collapsed="false">
      <c r="B2019" s="108" t="n">
        <f aca="false">'Loan Tape'!$A197</f>
        <v>0</v>
      </c>
      <c r="C2019" s="71" t="n">
        <f aca="false">C504*MAX(0,C201-0.5*(C807+C1110+C1413))*MAX(0,MIN(1,'Loan Tape'!$AV197)-0)</f>
        <v>0</v>
      </c>
      <c r="D2019" s="71" t="n">
        <f aca="false">D504*MAX(0,D201-0.5*(D807+D1110+D1413))*MAX(0,MIN(2,'Loan Tape'!$AV197)-1)</f>
        <v>0</v>
      </c>
      <c r="E2019" s="71" t="n">
        <f aca="false">E504*MAX(0,E201-0.5*(E807+E1110+E1413))*MAX(0,MIN(3,'Loan Tape'!$AV197)-2)</f>
        <v>0</v>
      </c>
      <c r="F2019" s="71" t="n">
        <f aca="false">F504*MAX(0,F201-0.5*(F807+F1110+F1413))*MAX(0,MIN(4,'Loan Tape'!$AV197)-3)</f>
        <v>0</v>
      </c>
      <c r="G2019" s="71" t="n">
        <f aca="false">G504*MAX(0,G201-0.5*(G807+G1110+G1413))*MAX(0,MIN(5,'Loan Tape'!$AV197)-4)</f>
        <v>0</v>
      </c>
      <c r="H2019" s="71" t="n">
        <f aca="false">H504*MAX(0,H201-0.5*(H807+H1110+H1413))*MAX(0,MIN(6,'Loan Tape'!$AV197)-5)</f>
        <v>0</v>
      </c>
      <c r="I2019" s="71" t="n">
        <f aca="false">I504*MAX(0,I201-0.5*(I807+I1110+I1413))*MAX(0,MIN(7,'Loan Tape'!$AV197)-6)</f>
        <v>0</v>
      </c>
      <c r="J2019" s="71" t="n">
        <f aca="false">J504*MAX(0,J201-0.5*(J807+J1110+J1413))*MAX(0,MIN(8,'Loan Tape'!$AV197)-7)</f>
        <v>0</v>
      </c>
      <c r="K2019" s="71" t="n">
        <f aca="false">K504*MAX(0,K201-0.5*(K807+K1110+K1413))*MAX(0,MIN(9,'Loan Tape'!$AV197)-8)</f>
        <v>0</v>
      </c>
      <c r="L2019" s="71" t="n">
        <f aca="false">L504*MAX(0,L201-0.5*(L807+L1110+L1413))*MAX(0,MIN(10,'Loan Tape'!$AV197)-9)</f>
        <v>0</v>
      </c>
    </row>
    <row r="2020" customFormat="false" ht="15" hidden="false" customHeight="false" outlineLevel="0" collapsed="false">
      <c r="B2020" s="102" t="n">
        <f aca="false">'Loan Tape'!$A198</f>
        <v>0</v>
      </c>
      <c r="C2020" s="99" t="n">
        <f aca="false">C505*MAX(0,C202-0.5*(C808+C1111+C1414))*MAX(0,MIN(1,'Loan Tape'!$AV198)-0)</f>
        <v>0</v>
      </c>
      <c r="D2020" s="99" t="n">
        <f aca="false">D505*MAX(0,D202-0.5*(D808+D1111+D1414))*MAX(0,MIN(2,'Loan Tape'!$AV198)-1)</f>
        <v>0</v>
      </c>
      <c r="E2020" s="99" t="n">
        <f aca="false">E505*MAX(0,E202-0.5*(E808+E1111+E1414))*MAX(0,MIN(3,'Loan Tape'!$AV198)-2)</f>
        <v>0</v>
      </c>
      <c r="F2020" s="99" t="n">
        <f aca="false">F505*MAX(0,F202-0.5*(F808+F1111+F1414))*MAX(0,MIN(4,'Loan Tape'!$AV198)-3)</f>
        <v>0</v>
      </c>
      <c r="G2020" s="99" t="n">
        <f aca="false">G505*MAX(0,G202-0.5*(G808+G1111+G1414))*MAX(0,MIN(5,'Loan Tape'!$AV198)-4)</f>
        <v>0</v>
      </c>
      <c r="H2020" s="99" t="n">
        <f aca="false">H505*MAX(0,H202-0.5*(H808+H1111+H1414))*MAX(0,MIN(6,'Loan Tape'!$AV198)-5)</f>
        <v>0</v>
      </c>
      <c r="I2020" s="99" t="n">
        <f aca="false">I505*MAX(0,I202-0.5*(I808+I1111+I1414))*MAX(0,MIN(7,'Loan Tape'!$AV198)-6)</f>
        <v>0</v>
      </c>
      <c r="J2020" s="99" t="n">
        <f aca="false">J505*MAX(0,J202-0.5*(J808+J1111+J1414))*MAX(0,MIN(8,'Loan Tape'!$AV198)-7)</f>
        <v>0</v>
      </c>
      <c r="K2020" s="99" t="n">
        <f aca="false">K505*MAX(0,K202-0.5*(K808+K1111+K1414))*MAX(0,MIN(9,'Loan Tape'!$AV198)-8)</f>
        <v>0</v>
      </c>
      <c r="L2020" s="99" t="n">
        <f aca="false">L505*MAX(0,L202-0.5*(L808+L1111+L1414))*MAX(0,MIN(10,'Loan Tape'!$AV198)-9)</f>
        <v>0</v>
      </c>
    </row>
    <row r="2021" customFormat="false" ht="15" hidden="false" customHeight="false" outlineLevel="0" collapsed="false">
      <c r="B2021" s="108" t="n">
        <f aca="false">'Loan Tape'!$A199</f>
        <v>0</v>
      </c>
      <c r="C2021" s="71" t="n">
        <f aca="false">C506*MAX(0,C203-0.5*(C809+C1112+C1415))*MAX(0,MIN(1,'Loan Tape'!$AV199)-0)</f>
        <v>0</v>
      </c>
      <c r="D2021" s="71" t="n">
        <f aca="false">D506*MAX(0,D203-0.5*(D809+D1112+D1415))*MAX(0,MIN(2,'Loan Tape'!$AV199)-1)</f>
        <v>0</v>
      </c>
      <c r="E2021" s="71" t="n">
        <f aca="false">E506*MAX(0,E203-0.5*(E809+E1112+E1415))*MAX(0,MIN(3,'Loan Tape'!$AV199)-2)</f>
        <v>0</v>
      </c>
      <c r="F2021" s="71" t="n">
        <f aca="false">F506*MAX(0,F203-0.5*(F809+F1112+F1415))*MAX(0,MIN(4,'Loan Tape'!$AV199)-3)</f>
        <v>0</v>
      </c>
      <c r="G2021" s="71" t="n">
        <f aca="false">G506*MAX(0,G203-0.5*(G809+G1112+G1415))*MAX(0,MIN(5,'Loan Tape'!$AV199)-4)</f>
        <v>0</v>
      </c>
      <c r="H2021" s="71" t="n">
        <f aca="false">H506*MAX(0,H203-0.5*(H809+H1112+H1415))*MAX(0,MIN(6,'Loan Tape'!$AV199)-5)</f>
        <v>0</v>
      </c>
      <c r="I2021" s="71" t="n">
        <f aca="false">I506*MAX(0,I203-0.5*(I809+I1112+I1415))*MAX(0,MIN(7,'Loan Tape'!$AV199)-6)</f>
        <v>0</v>
      </c>
      <c r="J2021" s="71" t="n">
        <f aca="false">J506*MAX(0,J203-0.5*(J809+J1112+J1415))*MAX(0,MIN(8,'Loan Tape'!$AV199)-7)</f>
        <v>0</v>
      </c>
      <c r="K2021" s="71" t="n">
        <f aca="false">K506*MAX(0,K203-0.5*(K809+K1112+K1415))*MAX(0,MIN(9,'Loan Tape'!$AV199)-8)</f>
        <v>0</v>
      </c>
      <c r="L2021" s="71" t="n">
        <f aca="false">L506*MAX(0,L203-0.5*(L809+L1112+L1415))*MAX(0,MIN(10,'Loan Tape'!$AV199)-9)</f>
        <v>0</v>
      </c>
    </row>
    <row r="2022" customFormat="false" ht="15" hidden="false" customHeight="false" outlineLevel="0" collapsed="false">
      <c r="B2022" s="102" t="n">
        <f aca="false">'Loan Tape'!$A200</f>
        <v>0</v>
      </c>
      <c r="C2022" s="99" t="n">
        <f aca="false">C507*MAX(0,C204-0.5*(C810+C1113+C1416))*MAX(0,MIN(1,'Loan Tape'!$AV200)-0)</f>
        <v>0</v>
      </c>
      <c r="D2022" s="99" t="n">
        <f aca="false">D507*MAX(0,D204-0.5*(D810+D1113+D1416))*MAX(0,MIN(2,'Loan Tape'!$AV200)-1)</f>
        <v>0</v>
      </c>
      <c r="E2022" s="99" t="n">
        <f aca="false">E507*MAX(0,E204-0.5*(E810+E1113+E1416))*MAX(0,MIN(3,'Loan Tape'!$AV200)-2)</f>
        <v>0</v>
      </c>
      <c r="F2022" s="99" t="n">
        <f aca="false">F507*MAX(0,F204-0.5*(F810+F1113+F1416))*MAX(0,MIN(4,'Loan Tape'!$AV200)-3)</f>
        <v>0</v>
      </c>
      <c r="G2022" s="99" t="n">
        <f aca="false">G507*MAX(0,G204-0.5*(G810+G1113+G1416))*MAX(0,MIN(5,'Loan Tape'!$AV200)-4)</f>
        <v>0</v>
      </c>
      <c r="H2022" s="99" t="n">
        <f aca="false">H507*MAX(0,H204-0.5*(H810+H1113+H1416))*MAX(0,MIN(6,'Loan Tape'!$AV200)-5)</f>
        <v>0</v>
      </c>
      <c r="I2022" s="99" t="n">
        <f aca="false">I507*MAX(0,I204-0.5*(I810+I1113+I1416))*MAX(0,MIN(7,'Loan Tape'!$AV200)-6)</f>
        <v>0</v>
      </c>
      <c r="J2022" s="99" t="n">
        <f aca="false">J507*MAX(0,J204-0.5*(J810+J1113+J1416))*MAX(0,MIN(8,'Loan Tape'!$AV200)-7)</f>
        <v>0</v>
      </c>
      <c r="K2022" s="99" t="n">
        <f aca="false">K507*MAX(0,K204-0.5*(K810+K1113+K1416))*MAX(0,MIN(9,'Loan Tape'!$AV200)-8)</f>
        <v>0</v>
      </c>
      <c r="L2022" s="99" t="n">
        <f aca="false">L507*MAX(0,L204-0.5*(L810+L1113+L1416))*MAX(0,MIN(10,'Loan Tape'!$AV200)-9)</f>
        <v>0</v>
      </c>
    </row>
    <row r="2023" customFormat="false" ht="15" hidden="false" customHeight="false" outlineLevel="0" collapsed="false">
      <c r="B2023" s="108" t="n">
        <f aca="false">'Loan Tape'!$A201</f>
        <v>0</v>
      </c>
      <c r="C2023" s="71" t="n">
        <f aca="false">C508*MAX(0,C205-0.5*(C811+C1114+C1417))*MAX(0,MIN(1,'Loan Tape'!$AV201)-0)</f>
        <v>0</v>
      </c>
      <c r="D2023" s="71" t="n">
        <f aca="false">D508*MAX(0,D205-0.5*(D811+D1114+D1417))*MAX(0,MIN(2,'Loan Tape'!$AV201)-1)</f>
        <v>0</v>
      </c>
      <c r="E2023" s="71" t="n">
        <f aca="false">E508*MAX(0,E205-0.5*(E811+E1114+E1417))*MAX(0,MIN(3,'Loan Tape'!$AV201)-2)</f>
        <v>0</v>
      </c>
      <c r="F2023" s="71" t="n">
        <f aca="false">F508*MAX(0,F205-0.5*(F811+F1114+F1417))*MAX(0,MIN(4,'Loan Tape'!$AV201)-3)</f>
        <v>0</v>
      </c>
      <c r="G2023" s="71" t="n">
        <f aca="false">G508*MAX(0,G205-0.5*(G811+G1114+G1417))*MAX(0,MIN(5,'Loan Tape'!$AV201)-4)</f>
        <v>0</v>
      </c>
      <c r="H2023" s="71" t="n">
        <f aca="false">H508*MAX(0,H205-0.5*(H811+H1114+H1417))*MAX(0,MIN(6,'Loan Tape'!$AV201)-5)</f>
        <v>0</v>
      </c>
      <c r="I2023" s="71" t="n">
        <f aca="false">I508*MAX(0,I205-0.5*(I811+I1114+I1417))*MAX(0,MIN(7,'Loan Tape'!$AV201)-6)</f>
        <v>0</v>
      </c>
      <c r="J2023" s="71" t="n">
        <f aca="false">J508*MAX(0,J205-0.5*(J811+J1114+J1417))*MAX(0,MIN(8,'Loan Tape'!$AV201)-7)</f>
        <v>0</v>
      </c>
      <c r="K2023" s="71" t="n">
        <f aca="false">K508*MAX(0,K205-0.5*(K811+K1114+K1417))*MAX(0,MIN(9,'Loan Tape'!$AV201)-8)</f>
        <v>0</v>
      </c>
      <c r="L2023" s="71" t="n">
        <f aca="false">L508*MAX(0,L205-0.5*(L811+L1114+L1417))*MAX(0,MIN(10,'Loan Tape'!$AV201)-9)</f>
        <v>0</v>
      </c>
    </row>
    <row r="2024" customFormat="false" ht="15" hidden="false" customHeight="false" outlineLevel="0" collapsed="false">
      <c r="B2024" s="102" t="n">
        <f aca="false">'Loan Tape'!$A202</f>
        <v>0</v>
      </c>
      <c r="C2024" s="99" t="n">
        <f aca="false">C509*MAX(0,C206-0.5*(C812+C1115+C1418))*MAX(0,MIN(1,'Loan Tape'!$AV202)-0)</f>
        <v>0</v>
      </c>
      <c r="D2024" s="99" t="n">
        <f aca="false">D509*MAX(0,D206-0.5*(D812+D1115+D1418))*MAX(0,MIN(2,'Loan Tape'!$AV202)-1)</f>
        <v>0</v>
      </c>
      <c r="E2024" s="99" t="n">
        <f aca="false">E509*MAX(0,E206-0.5*(E812+E1115+E1418))*MAX(0,MIN(3,'Loan Tape'!$AV202)-2)</f>
        <v>0</v>
      </c>
      <c r="F2024" s="99" t="n">
        <f aca="false">F509*MAX(0,F206-0.5*(F812+F1115+F1418))*MAX(0,MIN(4,'Loan Tape'!$AV202)-3)</f>
        <v>0</v>
      </c>
      <c r="G2024" s="99" t="n">
        <f aca="false">G509*MAX(0,G206-0.5*(G812+G1115+G1418))*MAX(0,MIN(5,'Loan Tape'!$AV202)-4)</f>
        <v>0</v>
      </c>
      <c r="H2024" s="99" t="n">
        <f aca="false">H509*MAX(0,H206-0.5*(H812+H1115+H1418))*MAX(0,MIN(6,'Loan Tape'!$AV202)-5)</f>
        <v>0</v>
      </c>
      <c r="I2024" s="99" t="n">
        <f aca="false">I509*MAX(0,I206-0.5*(I812+I1115+I1418))*MAX(0,MIN(7,'Loan Tape'!$AV202)-6)</f>
        <v>0</v>
      </c>
      <c r="J2024" s="99" t="n">
        <f aca="false">J509*MAX(0,J206-0.5*(J812+J1115+J1418))*MAX(0,MIN(8,'Loan Tape'!$AV202)-7)</f>
        <v>0</v>
      </c>
      <c r="K2024" s="99" t="n">
        <f aca="false">K509*MAX(0,K206-0.5*(K812+K1115+K1418))*MAX(0,MIN(9,'Loan Tape'!$AV202)-8)</f>
        <v>0</v>
      </c>
      <c r="L2024" s="99" t="n">
        <f aca="false">L509*MAX(0,L206-0.5*(L812+L1115+L1418))*MAX(0,MIN(10,'Loan Tape'!$AV202)-9)</f>
        <v>0</v>
      </c>
    </row>
    <row r="2025" customFormat="false" ht="15" hidden="false" customHeight="false" outlineLevel="0" collapsed="false">
      <c r="B2025" s="108" t="n">
        <f aca="false">'Loan Tape'!$A203</f>
        <v>0</v>
      </c>
      <c r="C2025" s="71" t="n">
        <f aca="false">C510*MAX(0,C207-0.5*(C813+C1116+C1419))*MAX(0,MIN(1,'Loan Tape'!$AV203)-0)</f>
        <v>0</v>
      </c>
      <c r="D2025" s="71" t="n">
        <f aca="false">D510*MAX(0,D207-0.5*(D813+D1116+D1419))*MAX(0,MIN(2,'Loan Tape'!$AV203)-1)</f>
        <v>0</v>
      </c>
      <c r="E2025" s="71" t="n">
        <f aca="false">E510*MAX(0,E207-0.5*(E813+E1116+E1419))*MAX(0,MIN(3,'Loan Tape'!$AV203)-2)</f>
        <v>0</v>
      </c>
      <c r="F2025" s="71" t="n">
        <f aca="false">F510*MAX(0,F207-0.5*(F813+F1116+F1419))*MAX(0,MIN(4,'Loan Tape'!$AV203)-3)</f>
        <v>0</v>
      </c>
      <c r="G2025" s="71" t="n">
        <f aca="false">G510*MAX(0,G207-0.5*(G813+G1116+G1419))*MAX(0,MIN(5,'Loan Tape'!$AV203)-4)</f>
        <v>0</v>
      </c>
      <c r="H2025" s="71" t="n">
        <f aca="false">H510*MAX(0,H207-0.5*(H813+H1116+H1419))*MAX(0,MIN(6,'Loan Tape'!$AV203)-5)</f>
        <v>0</v>
      </c>
      <c r="I2025" s="71" t="n">
        <f aca="false">I510*MAX(0,I207-0.5*(I813+I1116+I1419))*MAX(0,MIN(7,'Loan Tape'!$AV203)-6)</f>
        <v>0</v>
      </c>
      <c r="J2025" s="71" t="n">
        <f aca="false">J510*MAX(0,J207-0.5*(J813+J1116+J1419))*MAX(0,MIN(8,'Loan Tape'!$AV203)-7)</f>
        <v>0</v>
      </c>
      <c r="K2025" s="71" t="n">
        <f aca="false">K510*MAX(0,K207-0.5*(K813+K1116+K1419))*MAX(0,MIN(9,'Loan Tape'!$AV203)-8)</f>
        <v>0</v>
      </c>
      <c r="L2025" s="71" t="n">
        <f aca="false">L510*MAX(0,L207-0.5*(L813+L1116+L1419))*MAX(0,MIN(10,'Loan Tape'!$AV203)-9)</f>
        <v>0</v>
      </c>
    </row>
    <row r="2026" customFormat="false" ht="15" hidden="false" customHeight="false" outlineLevel="0" collapsed="false">
      <c r="B2026" s="102" t="n">
        <f aca="false">'Loan Tape'!$A204</f>
        <v>0</v>
      </c>
      <c r="C2026" s="99" t="n">
        <f aca="false">C511*MAX(0,C208-0.5*(C814+C1117+C1420))*MAX(0,MIN(1,'Loan Tape'!$AV204)-0)</f>
        <v>0</v>
      </c>
      <c r="D2026" s="99" t="n">
        <f aca="false">D511*MAX(0,D208-0.5*(D814+D1117+D1420))*MAX(0,MIN(2,'Loan Tape'!$AV204)-1)</f>
        <v>0</v>
      </c>
      <c r="E2026" s="99" t="n">
        <f aca="false">E511*MAX(0,E208-0.5*(E814+E1117+E1420))*MAX(0,MIN(3,'Loan Tape'!$AV204)-2)</f>
        <v>0</v>
      </c>
      <c r="F2026" s="99" t="n">
        <f aca="false">F511*MAX(0,F208-0.5*(F814+F1117+F1420))*MAX(0,MIN(4,'Loan Tape'!$AV204)-3)</f>
        <v>0</v>
      </c>
      <c r="G2026" s="99" t="n">
        <f aca="false">G511*MAX(0,G208-0.5*(G814+G1117+G1420))*MAX(0,MIN(5,'Loan Tape'!$AV204)-4)</f>
        <v>0</v>
      </c>
      <c r="H2026" s="99" t="n">
        <f aca="false">H511*MAX(0,H208-0.5*(H814+H1117+H1420))*MAX(0,MIN(6,'Loan Tape'!$AV204)-5)</f>
        <v>0</v>
      </c>
      <c r="I2026" s="99" t="n">
        <f aca="false">I511*MAX(0,I208-0.5*(I814+I1117+I1420))*MAX(0,MIN(7,'Loan Tape'!$AV204)-6)</f>
        <v>0</v>
      </c>
      <c r="J2026" s="99" t="n">
        <f aca="false">J511*MAX(0,J208-0.5*(J814+J1117+J1420))*MAX(0,MIN(8,'Loan Tape'!$AV204)-7)</f>
        <v>0</v>
      </c>
      <c r="K2026" s="99" t="n">
        <f aca="false">K511*MAX(0,K208-0.5*(K814+K1117+K1420))*MAX(0,MIN(9,'Loan Tape'!$AV204)-8)</f>
        <v>0</v>
      </c>
      <c r="L2026" s="99" t="n">
        <f aca="false">L511*MAX(0,L208-0.5*(L814+L1117+L1420))*MAX(0,MIN(10,'Loan Tape'!$AV204)-9)</f>
        <v>0</v>
      </c>
    </row>
    <row r="2027" customFormat="false" ht="15" hidden="false" customHeight="false" outlineLevel="0" collapsed="false">
      <c r="B2027" s="108" t="n">
        <f aca="false">'Loan Tape'!$A205</f>
        <v>0</v>
      </c>
      <c r="C2027" s="71" t="n">
        <f aca="false">C512*MAX(0,C209-0.5*(C815+C1118+C1421))*MAX(0,MIN(1,'Loan Tape'!$AV205)-0)</f>
        <v>0</v>
      </c>
      <c r="D2027" s="71" t="n">
        <f aca="false">D512*MAX(0,D209-0.5*(D815+D1118+D1421))*MAX(0,MIN(2,'Loan Tape'!$AV205)-1)</f>
        <v>0</v>
      </c>
      <c r="E2027" s="71" t="n">
        <f aca="false">E512*MAX(0,E209-0.5*(E815+E1118+E1421))*MAX(0,MIN(3,'Loan Tape'!$AV205)-2)</f>
        <v>0</v>
      </c>
      <c r="F2027" s="71" t="n">
        <f aca="false">F512*MAX(0,F209-0.5*(F815+F1118+F1421))*MAX(0,MIN(4,'Loan Tape'!$AV205)-3)</f>
        <v>0</v>
      </c>
      <c r="G2027" s="71" t="n">
        <f aca="false">G512*MAX(0,G209-0.5*(G815+G1118+G1421))*MAX(0,MIN(5,'Loan Tape'!$AV205)-4)</f>
        <v>0</v>
      </c>
      <c r="H2027" s="71" t="n">
        <f aca="false">H512*MAX(0,H209-0.5*(H815+H1118+H1421))*MAX(0,MIN(6,'Loan Tape'!$AV205)-5)</f>
        <v>0</v>
      </c>
      <c r="I2027" s="71" t="n">
        <f aca="false">I512*MAX(0,I209-0.5*(I815+I1118+I1421))*MAX(0,MIN(7,'Loan Tape'!$AV205)-6)</f>
        <v>0</v>
      </c>
      <c r="J2027" s="71" t="n">
        <f aca="false">J512*MAX(0,J209-0.5*(J815+J1118+J1421))*MAX(0,MIN(8,'Loan Tape'!$AV205)-7)</f>
        <v>0</v>
      </c>
      <c r="K2027" s="71" t="n">
        <f aca="false">K512*MAX(0,K209-0.5*(K815+K1118+K1421))*MAX(0,MIN(9,'Loan Tape'!$AV205)-8)</f>
        <v>0</v>
      </c>
      <c r="L2027" s="71" t="n">
        <f aca="false">L512*MAX(0,L209-0.5*(L815+L1118+L1421))*MAX(0,MIN(10,'Loan Tape'!$AV205)-9)</f>
        <v>0</v>
      </c>
    </row>
    <row r="2028" customFormat="false" ht="15" hidden="false" customHeight="false" outlineLevel="0" collapsed="false">
      <c r="B2028" s="102" t="n">
        <f aca="false">'Loan Tape'!$A206</f>
        <v>0</v>
      </c>
      <c r="C2028" s="99" t="n">
        <f aca="false">C513*MAX(0,C210-0.5*(C816+C1119+C1422))*MAX(0,MIN(1,'Loan Tape'!$AV206)-0)</f>
        <v>0</v>
      </c>
      <c r="D2028" s="99" t="n">
        <f aca="false">D513*MAX(0,D210-0.5*(D816+D1119+D1422))*MAX(0,MIN(2,'Loan Tape'!$AV206)-1)</f>
        <v>0</v>
      </c>
      <c r="E2028" s="99" t="n">
        <f aca="false">E513*MAX(0,E210-0.5*(E816+E1119+E1422))*MAX(0,MIN(3,'Loan Tape'!$AV206)-2)</f>
        <v>0</v>
      </c>
      <c r="F2028" s="99" t="n">
        <f aca="false">F513*MAX(0,F210-0.5*(F816+F1119+F1422))*MAX(0,MIN(4,'Loan Tape'!$AV206)-3)</f>
        <v>0</v>
      </c>
      <c r="G2028" s="99" t="n">
        <f aca="false">G513*MAX(0,G210-0.5*(G816+G1119+G1422))*MAX(0,MIN(5,'Loan Tape'!$AV206)-4)</f>
        <v>0</v>
      </c>
      <c r="H2028" s="99" t="n">
        <f aca="false">H513*MAX(0,H210-0.5*(H816+H1119+H1422))*MAX(0,MIN(6,'Loan Tape'!$AV206)-5)</f>
        <v>0</v>
      </c>
      <c r="I2028" s="99" t="n">
        <f aca="false">I513*MAX(0,I210-0.5*(I816+I1119+I1422))*MAX(0,MIN(7,'Loan Tape'!$AV206)-6)</f>
        <v>0</v>
      </c>
      <c r="J2028" s="99" t="n">
        <f aca="false">J513*MAX(0,J210-0.5*(J816+J1119+J1422))*MAX(0,MIN(8,'Loan Tape'!$AV206)-7)</f>
        <v>0</v>
      </c>
      <c r="K2028" s="99" t="n">
        <f aca="false">K513*MAX(0,K210-0.5*(K816+K1119+K1422))*MAX(0,MIN(9,'Loan Tape'!$AV206)-8)</f>
        <v>0</v>
      </c>
      <c r="L2028" s="99" t="n">
        <f aca="false">L513*MAX(0,L210-0.5*(L816+L1119+L1422))*MAX(0,MIN(10,'Loan Tape'!$AV206)-9)</f>
        <v>0</v>
      </c>
    </row>
    <row r="2029" customFormat="false" ht="15" hidden="false" customHeight="false" outlineLevel="0" collapsed="false">
      <c r="B2029" s="108" t="n">
        <f aca="false">'Loan Tape'!$A207</f>
        <v>0</v>
      </c>
      <c r="C2029" s="71" t="n">
        <f aca="false">C514*MAX(0,C211-0.5*(C817+C1120+C1423))*MAX(0,MIN(1,'Loan Tape'!$AV207)-0)</f>
        <v>0</v>
      </c>
      <c r="D2029" s="71" t="n">
        <f aca="false">D514*MAX(0,D211-0.5*(D817+D1120+D1423))*MAX(0,MIN(2,'Loan Tape'!$AV207)-1)</f>
        <v>0</v>
      </c>
      <c r="E2029" s="71" t="n">
        <f aca="false">E514*MAX(0,E211-0.5*(E817+E1120+E1423))*MAX(0,MIN(3,'Loan Tape'!$AV207)-2)</f>
        <v>0</v>
      </c>
      <c r="F2029" s="71" t="n">
        <f aca="false">F514*MAX(0,F211-0.5*(F817+F1120+F1423))*MAX(0,MIN(4,'Loan Tape'!$AV207)-3)</f>
        <v>0</v>
      </c>
      <c r="G2029" s="71" t="n">
        <f aca="false">G514*MAX(0,G211-0.5*(G817+G1120+G1423))*MAX(0,MIN(5,'Loan Tape'!$AV207)-4)</f>
        <v>0</v>
      </c>
      <c r="H2029" s="71" t="n">
        <f aca="false">H514*MAX(0,H211-0.5*(H817+H1120+H1423))*MAX(0,MIN(6,'Loan Tape'!$AV207)-5)</f>
        <v>0</v>
      </c>
      <c r="I2029" s="71" t="n">
        <f aca="false">I514*MAX(0,I211-0.5*(I817+I1120+I1423))*MAX(0,MIN(7,'Loan Tape'!$AV207)-6)</f>
        <v>0</v>
      </c>
      <c r="J2029" s="71" t="n">
        <f aca="false">J514*MAX(0,J211-0.5*(J817+J1120+J1423))*MAX(0,MIN(8,'Loan Tape'!$AV207)-7)</f>
        <v>0</v>
      </c>
      <c r="K2029" s="71" t="n">
        <f aca="false">K514*MAX(0,K211-0.5*(K817+K1120+K1423))*MAX(0,MIN(9,'Loan Tape'!$AV207)-8)</f>
        <v>0</v>
      </c>
      <c r="L2029" s="71" t="n">
        <f aca="false">L514*MAX(0,L211-0.5*(L817+L1120+L1423))*MAX(0,MIN(10,'Loan Tape'!$AV207)-9)</f>
        <v>0</v>
      </c>
    </row>
    <row r="2030" customFormat="false" ht="15" hidden="false" customHeight="false" outlineLevel="0" collapsed="false">
      <c r="B2030" s="102" t="n">
        <f aca="false">'Loan Tape'!$A208</f>
        <v>0</v>
      </c>
      <c r="C2030" s="99" t="n">
        <f aca="false">C515*MAX(0,C212-0.5*(C818+C1121+C1424))*MAX(0,MIN(1,'Loan Tape'!$AV208)-0)</f>
        <v>0</v>
      </c>
      <c r="D2030" s="99" t="n">
        <f aca="false">D515*MAX(0,D212-0.5*(D818+D1121+D1424))*MAX(0,MIN(2,'Loan Tape'!$AV208)-1)</f>
        <v>0</v>
      </c>
      <c r="E2030" s="99" t="n">
        <f aca="false">E515*MAX(0,E212-0.5*(E818+E1121+E1424))*MAX(0,MIN(3,'Loan Tape'!$AV208)-2)</f>
        <v>0</v>
      </c>
      <c r="F2030" s="99" t="n">
        <f aca="false">F515*MAX(0,F212-0.5*(F818+F1121+F1424))*MAX(0,MIN(4,'Loan Tape'!$AV208)-3)</f>
        <v>0</v>
      </c>
      <c r="G2030" s="99" t="n">
        <f aca="false">G515*MAX(0,G212-0.5*(G818+G1121+G1424))*MAX(0,MIN(5,'Loan Tape'!$AV208)-4)</f>
        <v>0</v>
      </c>
      <c r="H2030" s="99" t="n">
        <f aca="false">H515*MAX(0,H212-0.5*(H818+H1121+H1424))*MAX(0,MIN(6,'Loan Tape'!$AV208)-5)</f>
        <v>0</v>
      </c>
      <c r="I2030" s="99" t="n">
        <f aca="false">I515*MAX(0,I212-0.5*(I818+I1121+I1424))*MAX(0,MIN(7,'Loan Tape'!$AV208)-6)</f>
        <v>0</v>
      </c>
      <c r="J2030" s="99" t="n">
        <f aca="false">J515*MAX(0,J212-0.5*(J818+J1121+J1424))*MAX(0,MIN(8,'Loan Tape'!$AV208)-7)</f>
        <v>0</v>
      </c>
      <c r="K2030" s="99" t="n">
        <f aca="false">K515*MAX(0,K212-0.5*(K818+K1121+K1424))*MAX(0,MIN(9,'Loan Tape'!$AV208)-8)</f>
        <v>0</v>
      </c>
      <c r="L2030" s="99" t="n">
        <f aca="false">L515*MAX(0,L212-0.5*(L818+L1121+L1424))*MAX(0,MIN(10,'Loan Tape'!$AV208)-9)</f>
        <v>0</v>
      </c>
    </row>
    <row r="2031" customFormat="false" ht="15" hidden="false" customHeight="false" outlineLevel="0" collapsed="false">
      <c r="B2031" s="108" t="n">
        <f aca="false">'Loan Tape'!$A209</f>
        <v>0</v>
      </c>
      <c r="C2031" s="71" t="n">
        <f aca="false">C516*MAX(0,C213-0.5*(C819+C1122+C1425))*MAX(0,MIN(1,'Loan Tape'!$AV209)-0)</f>
        <v>0</v>
      </c>
      <c r="D2031" s="71" t="n">
        <f aca="false">D516*MAX(0,D213-0.5*(D819+D1122+D1425))*MAX(0,MIN(2,'Loan Tape'!$AV209)-1)</f>
        <v>0</v>
      </c>
      <c r="E2031" s="71" t="n">
        <f aca="false">E516*MAX(0,E213-0.5*(E819+E1122+E1425))*MAX(0,MIN(3,'Loan Tape'!$AV209)-2)</f>
        <v>0</v>
      </c>
      <c r="F2031" s="71" t="n">
        <f aca="false">F516*MAX(0,F213-0.5*(F819+F1122+F1425))*MAX(0,MIN(4,'Loan Tape'!$AV209)-3)</f>
        <v>0</v>
      </c>
      <c r="G2031" s="71" t="n">
        <f aca="false">G516*MAX(0,G213-0.5*(G819+G1122+G1425))*MAX(0,MIN(5,'Loan Tape'!$AV209)-4)</f>
        <v>0</v>
      </c>
      <c r="H2031" s="71" t="n">
        <f aca="false">H516*MAX(0,H213-0.5*(H819+H1122+H1425))*MAX(0,MIN(6,'Loan Tape'!$AV209)-5)</f>
        <v>0</v>
      </c>
      <c r="I2031" s="71" t="n">
        <f aca="false">I516*MAX(0,I213-0.5*(I819+I1122+I1425))*MAX(0,MIN(7,'Loan Tape'!$AV209)-6)</f>
        <v>0</v>
      </c>
      <c r="J2031" s="71" t="n">
        <f aca="false">J516*MAX(0,J213-0.5*(J819+J1122+J1425))*MAX(0,MIN(8,'Loan Tape'!$AV209)-7)</f>
        <v>0</v>
      </c>
      <c r="K2031" s="71" t="n">
        <f aca="false">K516*MAX(0,K213-0.5*(K819+K1122+K1425))*MAX(0,MIN(9,'Loan Tape'!$AV209)-8)</f>
        <v>0</v>
      </c>
      <c r="L2031" s="71" t="n">
        <f aca="false">L516*MAX(0,L213-0.5*(L819+L1122+L1425))*MAX(0,MIN(10,'Loan Tape'!$AV209)-9)</f>
        <v>0</v>
      </c>
    </row>
    <row r="2032" customFormat="false" ht="15" hidden="false" customHeight="false" outlineLevel="0" collapsed="false">
      <c r="B2032" s="102" t="n">
        <f aca="false">'Loan Tape'!$A210</f>
        <v>0</v>
      </c>
      <c r="C2032" s="99" t="n">
        <f aca="false">C517*MAX(0,C214-0.5*(C820+C1123+C1426))*MAX(0,MIN(1,'Loan Tape'!$AV210)-0)</f>
        <v>0</v>
      </c>
      <c r="D2032" s="99" t="n">
        <f aca="false">D517*MAX(0,D214-0.5*(D820+D1123+D1426))*MAX(0,MIN(2,'Loan Tape'!$AV210)-1)</f>
        <v>0</v>
      </c>
      <c r="E2032" s="99" t="n">
        <f aca="false">E517*MAX(0,E214-0.5*(E820+E1123+E1426))*MAX(0,MIN(3,'Loan Tape'!$AV210)-2)</f>
        <v>0</v>
      </c>
      <c r="F2032" s="99" t="n">
        <f aca="false">F517*MAX(0,F214-0.5*(F820+F1123+F1426))*MAX(0,MIN(4,'Loan Tape'!$AV210)-3)</f>
        <v>0</v>
      </c>
      <c r="G2032" s="99" t="n">
        <f aca="false">G517*MAX(0,G214-0.5*(G820+G1123+G1426))*MAX(0,MIN(5,'Loan Tape'!$AV210)-4)</f>
        <v>0</v>
      </c>
      <c r="H2032" s="99" t="n">
        <f aca="false">H517*MAX(0,H214-0.5*(H820+H1123+H1426))*MAX(0,MIN(6,'Loan Tape'!$AV210)-5)</f>
        <v>0</v>
      </c>
      <c r="I2032" s="99" t="n">
        <f aca="false">I517*MAX(0,I214-0.5*(I820+I1123+I1426))*MAX(0,MIN(7,'Loan Tape'!$AV210)-6)</f>
        <v>0</v>
      </c>
      <c r="J2032" s="99" t="n">
        <f aca="false">J517*MAX(0,J214-0.5*(J820+J1123+J1426))*MAX(0,MIN(8,'Loan Tape'!$AV210)-7)</f>
        <v>0</v>
      </c>
      <c r="K2032" s="99" t="n">
        <f aca="false">K517*MAX(0,K214-0.5*(K820+K1123+K1426))*MAX(0,MIN(9,'Loan Tape'!$AV210)-8)</f>
        <v>0</v>
      </c>
      <c r="L2032" s="99" t="n">
        <f aca="false">L517*MAX(0,L214-0.5*(L820+L1123+L1426))*MAX(0,MIN(10,'Loan Tape'!$AV210)-9)</f>
        <v>0</v>
      </c>
    </row>
    <row r="2033" customFormat="false" ht="15" hidden="false" customHeight="false" outlineLevel="0" collapsed="false">
      <c r="B2033" s="108" t="n">
        <f aca="false">'Loan Tape'!$A211</f>
        <v>0</v>
      </c>
      <c r="C2033" s="71" t="n">
        <f aca="false">C518*MAX(0,C215-0.5*(C821+C1124+C1427))*MAX(0,MIN(1,'Loan Tape'!$AV211)-0)</f>
        <v>0</v>
      </c>
      <c r="D2033" s="71" t="n">
        <f aca="false">D518*MAX(0,D215-0.5*(D821+D1124+D1427))*MAX(0,MIN(2,'Loan Tape'!$AV211)-1)</f>
        <v>0</v>
      </c>
      <c r="E2033" s="71" t="n">
        <f aca="false">E518*MAX(0,E215-0.5*(E821+E1124+E1427))*MAX(0,MIN(3,'Loan Tape'!$AV211)-2)</f>
        <v>0</v>
      </c>
      <c r="F2033" s="71" t="n">
        <f aca="false">F518*MAX(0,F215-0.5*(F821+F1124+F1427))*MAX(0,MIN(4,'Loan Tape'!$AV211)-3)</f>
        <v>0</v>
      </c>
      <c r="G2033" s="71" t="n">
        <f aca="false">G518*MAX(0,G215-0.5*(G821+G1124+G1427))*MAX(0,MIN(5,'Loan Tape'!$AV211)-4)</f>
        <v>0</v>
      </c>
      <c r="H2033" s="71" t="n">
        <f aca="false">H518*MAX(0,H215-0.5*(H821+H1124+H1427))*MAX(0,MIN(6,'Loan Tape'!$AV211)-5)</f>
        <v>0</v>
      </c>
      <c r="I2033" s="71" t="n">
        <f aca="false">I518*MAX(0,I215-0.5*(I821+I1124+I1427))*MAX(0,MIN(7,'Loan Tape'!$AV211)-6)</f>
        <v>0</v>
      </c>
      <c r="J2033" s="71" t="n">
        <f aca="false">J518*MAX(0,J215-0.5*(J821+J1124+J1427))*MAX(0,MIN(8,'Loan Tape'!$AV211)-7)</f>
        <v>0</v>
      </c>
      <c r="K2033" s="71" t="n">
        <f aca="false">K518*MAX(0,K215-0.5*(K821+K1124+K1427))*MAX(0,MIN(9,'Loan Tape'!$AV211)-8)</f>
        <v>0</v>
      </c>
      <c r="L2033" s="71" t="n">
        <f aca="false">L518*MAX(0,L215-0.5*(L821+L1124+L1427))*MAX(0,MIN(10,'Loan Tape'!$AV211)-9)</f>
        <v>0</v>
      </c>
    </row>
    <row r="2034" customFormat="false" ht="15" hidden="false" customHeight="false" outlineLevel="0" collapsed="false">
      <c r="B2034" s="102" t="n">
        <f aca="false">'Loan Tape'!$A212</f>
        <v>0</v>
      </c>
      <c r="C2034" s="99" t="n">
        <f aca="false">C519*MAX(0,C216-0.5*(C822+C1125+C1428))*MAX(0,MIN(1,'Loan Tape'!$AV212)-0)</f>
        <v>0</v>
      </c>
      <c r="D2034" s="99" t="n">
        <f aca="false">D519*MAX(0,D216-0.5*(D822+D1125+D1428))*MAX(0,MIN(2,'Loan Tape'!$AV212)-1)</f>
        <v>0</v>
      </c>
      <c r="E2034" s="99" t="n">
        <f aca="false">E519*MAX(0,E216-0.5*(E822+E1125+E1428))*MAX(0,MIN(3,'Loan Tape'!$AV212)-2)</f>
        <v>0</v>
      </c>
      <c r="F2034" s="99" t="n">
        <f aca="false">F519*MAX(0,F216-0.5*(F822+F1125+F1428))*MAX(0,MIN(4,'Loan Tape'!$AV212)-3)</f>
        <v>0</v>
      </c>
      <c r="G2034" s="99" t="n">
        <f aca="false">G519*MAX(0,G216-0.5*(G822+G1125+G1428))*MAX(0,MIN(5,'Loan Tape'!$AV212)-4)</f>
        <v>0</v>
      </c>
      <c r="H2034" s="99" t="n">
        <f aca="false">H519*MAX(0,H216-0.5*(H822+H1125+H1428))*MAX(0,MIN(6,'Loan Tape'!$AV212)-5)</f>
        <v>0</v>
      </c>
      <c r="I2034" s="99" t="n">
        <f aca="false">I519*MAX(0,I216-0.5*(I822+I1125+I1428))*MAX(0,MIN(7,'Loan Tape'!$AV212)-6)</f>
        <v>0</v>
      </c>
      <c r="J2034" s="99" t="n">
        <f aca="false">J519*MAX(0,J216-0.5*(J822+J1125+J1428))*MAX(0,MIN(8,'Loan Tape'!$AV212)-7)</f>
        <v>0</v>
      </c>
      <c r="K2034" s="99" t="n">
        <f aca="false">K519*MAX(0,K216-0.5*(K822+K1125+K1428))*MAX(0,MIN(9,'Loan Tape'!$AV212)-8)</f>
        <v>0</v>
      </c>
      <c r="L2034" s="99" t="n">
        <f aca="false">L519*MAX(0,L216-0.5*(L822+L1125+L1428))*MAX(0,MIN(10,'Loan Tape'!$AV212)-9)</f>
        <v>0</v>
      </c>
    </row>
    <row r="2035" customFormat="false" ht="15" hidden="false" customHeight="false" outlineLevel="0" collapsed="false">
      <c r="B2035" s="108" t="n">
        <f aca="false">'Loan Tape'!$A213</f>
        <v>0</v>
      </c>
      <c r="C2035" s="71" t="n">
        <f aca="false">C520*MAX(0,C217-0.5*(C823+C1126+C1429))*MAX(0,MIN(1,'Loan Tape'!$AV213)-0)</f>
        <v>0</v>
      </c>
      <c r="D2035" s="71" t="n">
        <f aca="false">D520*MAX(0,D217-0.5*(D823+D1126+D1429))*MAX(0,MIN(2,'Loan Tape'!$AV213)-1)</f>
        <v>0</v>
      </c>
      <c r="E2035" s="71" t="n">
        <f aca="false">E520*MAX(0,E217-0.5*(E823+E1126+E1429))*MAX(0,MIN(3,'Loan Tape'!$AV213)-2)</f>
        <v>0</v>
      </c>
      <c r="F2035" s="71" t="n">
        <f aca="false">F520*MAX(0,F217-0.5*(F823+F1126+F1429))*MAX(0,MIN(4,'Loan Tape'!$AV213)-3)</f>
        <v>0</v>
      </c>
      <c r="G2035" s="71" t="n">
        <f aca="false">G520*MAX(0,G217-0.5*(G823+G1126+G1429))*MAX(0,MIN(5,'Loan Tape'!$AV213)-4)</f>
        <v>0</v>
      </c>
      <c r="H2035" s="71" t="n">
        <f aca="false">H520*MAX(0,H217-0.5*(H823+H1126+H1429))*MAX(0,MIN(6,'Loan Tape'!$AV213)-5)</f>
        <v>0</v>
      </c>
      <c r="I2035" s="71" t="n">
        <f aca="false">I520*MAX(0,I217-0.5*(I823+I1126+I1429))*MAX(0,MIN(7,'Loan Tape'!$AV213)-6)</f>
        <v>0</v>
      </c>
      <c r="J2035" s="71" t="n">
        <f aca="false">J520*MAX(0,J217-0.5*(J823+J1126+J1429))*MAX(0,MIN(8,'Loan Tape'!$AV213)-7)</f>
        <v>0</v>
      </c>
      <c r="K2035" s="71" t="n">
        <f aca="false">K520*MAX(0,K217-0.5*(K823+K1126+K1429))*MAX(0,MIN(9,'Loan Tape'!$AV213)-8)</f>
        <v>0</v>
      </c>
      <c r="L2035" s="71" t="n">
        <f aca="false">L520*MAX(0,L217-0.5*(L823+L1126+L1429))*MAX(0,MIN(10,'Loan Tape'!$AV213)-9)</f>
        <v>0</v>
      </c>
    </row>
    <row r="2036" customFormat="false" ht="15" hidden="false" customHeight="false" outlineLevel="0" collapsed="false">
      <c r="B2036" s="102" t="n">
        <f aca="false">'Loan Tape'!$A214</f>
        <v>0</v>
      </c>
      <c r="C2036" s="99" t="n">
        <f aca="false">C521*MAX(0,C218-0.5*(C824+C1127+C1430))*MAX(0,MIN(1,'Loan Tape'!$AV214)-0)</f>
        <v>0</v>
      </c>
      <c r="D2036" s="99" t="n">
        <f aca="false">D521*MAX(0,D218-0.5*(D824+D1127+D1430))*MAX(0,MIN(2,'Loan Tape'!$AV214)-1)</f>
        <v>0</v>
      </c>
      <c r="E2036" s="99" t="n">
        <f aca="false">E521*MAX(0,E218-0.5*(E824+E1127+E1430))*MAX(0,MIN(3,'Loan Tape'!$AV214)-2)</f>
        <v>0</v>
      </c>
      <c r="F2036" s="99" t="n">
        <f aca="false">F521*MAX(0,F218-0.5*(F824+F1127+F1430))*MAX(0,MIN(4,'Loan Tape'!$AV214)-3)</f>
        <v>0</v>
      </c>
      <c r="G2036" s="99" t="n">
        <f aca="false">G521*MAX(0,G218-0.5*(G824+G1127+G1430))*MAX(0,MIN(5,'Loan Tape'!$AV214)-4)</f>
        <v>0</v>
      </c>
      <c r="H2036" s="99" t="n">
        <f aca="false">H521*MAX(0,H218-0.5*(H824+H1127+H1430))*MAX(0,MIN(6,'Loan Tape'!$AV214)-5)</f>
        <v>0</v>
      </c>
      <c r="I2036" s="99" t="n">
        <f aca="false">I521*MAX(0,I218-0.5*(I824+I1127+I1430))*MAX(0,MIN(7,'Loan Tape'!$AV214)-6)</f>
        <v>0</v>
      </c>
      <c r="J2036" s="99" t="n">
        <f aca="false">J521*MAX(0,J218-0.5*(J824+J1127+J1430))*MAX(0,MIN(8,'Loan Tape'!$AV214)-7)</f>
        <v>0</v>
      </c>
      <c r="K2036" s="99" t="n">
        <f aca="false">K521*MAX(0,K218-0.5*(K824+K1127+K1430))*MAX(0,MIN(9,'Loan Tape'!$AV214)-8)</f>
        <v>0</v>
      </c>
      <c r="L2036" s="99" t="n">
        <f aca="false">L521*MAX(0,L218-0.5*(L824+L1127+L1430))*MAX(0,MIN(10,'Loan Tape'!$AV214)-9)</f>
        <v>0</v>
      </c>
    </row>
    <row r="2037" customFormat="false" ht="15" hidden="false" customHeight="false" outlineLevel="0" collapsed="false">
      <c r="B2037" s="108" t="n">
        <f aca="false">'Loan Tape'!$A215</f>
        <v>0</v>
      </c>
      <c r="C2037" s="71" t="n">
        <f aca="false">C522*MAX(0,C219-0.5*(C825+C1128+C1431))*MAX(0,MIN(1,'Loan Tape'!$AV215)-0)</f>
        <v>0</v>
      </c>
      <c r="D2037" s="71" t="n">
        <f aca="false">D522*MAX(0,D219-0.5*(D825+D1128+D1431))*MAX(0,MIN(2,'Loan Tape'!$AV215)-1)</f>
        <v>0</v>
      </c>
      <c r="E2037" s="71" t="n">
        <f aca="false">E522*MAX(0,E219-0.5*(E825+E1128+E1431))*MAX(0,MIN(3,'Loan Tape'!$AV215)-2)</f>
        <v>0</v>
      </c>
      <c r="F2037" s="71" t="n">
        <f aca="false">F522*MAX(0,F219-0.5*(F825+F1128+F1431))*MAX(0,MIN(4,'Loan Tape'!$AV215)-3)</f>
        <v>0</v>
      </c>
      <c r="G2037" s="71" t="n">
        <f aca="false">G522*MAX(0,G219-0.5*(G825+G1128+G1431))*MAX(0,MIN(5,'Loan Tape'!$AV215)-4)</f>
        <v>0</v>
      </c>
      <c r="H2037" s="71" t="n">
        <f aca="false">H522*MAX(0,H219-0.5*(H825+H1128+H1431))*MAX(0,MIN(6,'Loan Tape'!$AV215)-5)</f>
        <v>0</v>
      </c>
      <c r="I2037" s="71" t="n">
        <f aca="false">I522*MAX(0,I219-0.5*(I825+I1128+I1431))*MAX(0,MIN(7,'Loan Tape'!$AV215)-6)</f>
        <v>0</v>
      </c>
      <c r="J2037" s="71" t="n">
        <f aca="false">J522*MAX(0,J219-0.5*(J825+J1128+J1431))*MAX(0,MIN(8,'Loan Tape'!$AV215)-7)</f>
        <v>0</v>
      </c>
      <c r="K2037" s="71" t="n">
        <f aca="false">K522*MAX(0,K219-0.5*(K825+K1128+K1431))*MAX(0,MIN(9,'Loan Tape'!$AV215)-8)</f>
        <v>0</v>
      </c>
      <c r="L2037" s="71" t="n">
        <f aca="false">L522*MAX(0,L219-0.5*(L825+L1128+L1431))*MAX(0,MIN(10,'Loan Tape'!$AV215)-9)</f>
        <v>0</v>
      </c>
    </row>
    <row r="2038" customFormat="false" ht="15" hidden="false" customHeight="false" outlineLevel="0" collapsed="false">
      <c r="B2038" s="102" t="n">
        <f aca="false">'Loan Tape'!$A216</f>
        <v>0</v>
      </c>
      <c r="C2038" s="99" t="n">
        <f aca="false">C523*MAX(0,C220-0.5*(C826+C1129+C1432))*MAX(0,MIN(1,'Loan Tape'!$AV216)-0)</f>
        <v>0</v>
      </c>
      <c r="D2038" s="99" t="n">
        <f aca="false">D523*MAX(0,D220-0.5*(D826+D1129+D1432))*MAX(0,MIN(2,'Loan Tape'!$AV216)-1)</f>
        <v>0</v>
      </c>
      <c r="E2038" s="99" t="n">
        <f aca="false">E523*MAX(0,E220-0.5*(E826+E1129+E1432))*MAX(0,MIN(3,'Loan Tape'!$AV216)-2)</f>
        <v>0</v>
      </c>
      <c r="F2038" s="99" t="n">
        <f aca="false">F523*MAX(0,F220-0.5*(F826+F1129+F1432))*MAX(0,MIN(4,'Loan Tape'!$AV216)-3)</f>
        <v>0</v>
      </c>
      <c r="G2038" s="99" t="n">
        <f aca="false">G523*MAX(0,G220-0.5*(G826+G1129+G1432))*MAX(0,MIN(5,'Loan Tape'!$AV216)-4)</f>
        <v>0</v>
      </c>
      <c r="H2038" s="99" t="n">
        <f aca="false">H523*MAX(0,H220-0.5*(H826+H1129+H1432))*MAX(0,MIN(6,'Loan Tape'!$AV216)-5)</f>
        <v>0</v>
      </c>
      <c r="I2038" s="99" t="n">
        <f aca="false">I523*MAX(0,I220-0.5*(I826+I1129+I1432))*MAX(0,MIN(7,'Loan Tape'!$AV216)-6)</f>
        <v>0</v>
      </c>
      <c r="J2038" s="99" t="n">
        <f aca="false">J523*MAX(0,J220-0.5*(J826+J1129+J1432))*MAX(0,MIN(8,'Loan Tape'!$AV216)-7)</f>
        <v>0</v>
      </c>
      <c r="K2038" s="99" t="n">
        <f aca="false">K523*MAX(0,K220-0.5*(K826+K1129+K1432))*MAX(0,MIN(9,'Loan Tape'!$AV216)-8)</f>
        <v>0</v>
      </c>
      <c r="L2038" s="99" t="n">
        <f aca="false">L523*MAX(0,L220-0.5*(L826+L1129+L1432))*MAX(0,MIN(10,'Loan Tape'!$AV216)-9)</f>
        <v>0</v>
      </c>
    </row>
    <row r="2039" customFormat="false" ht="15" hidden="false" customHeight="false" outlineLevel="0" collapsed="false">
      <c r="B2039" s="108" t="n">
        <f aca="false">'Loan Tape'!$A217</f>
        <v>0</v>
      </c>
      <c r="C2039" s="71" t="n">
        <f aca="false">C524*MAX(0,C221-0.5*(C827+C1130+C1433))*MAX(0,MIN(1,'Loan Tape'!$AV217)-0)</f>
        <v>0</v>
      </c>
      <c r="D2039" s="71" t="n">
        <f aca="false">D524*MAX(0,D221-0.5*(D827+D1130+D1433))*MAX(0,MIN(2,'Loan Tape'!$AV217)-1)</f>
        <v>0</v>
      </c>
      <c r="E2039" s="71" t="n">
        <f aca="false">E524*MAX(0,E221-0.5*(E827+E1130+E1433))*MAX(0,MIN(3,'Loan Tape'!$AV217)-2)</f>
        <v>0</v>
      </c>
      <c r="F2039" s="71" t="n">
        <f aca="false">F524*MAX(0,F221-0.5*(F827+F1130+F1433))*MAX(0,MIN(4,'Loan Tape'!$AV217)-3)</f>
        <v>0</v>
      </c>
      <c r="G2039" s="71" t="n">
        <f aca="false">G524*MAX(0,G221-0.5*(G827+G1130+G1433))*MAX(0,MIN(5,'Loan Tape'!$AV217)-4)</f>
        <v>0</v>
      </c>
      <c r="H2039" s="71" t="n">
        <f aca="false">H524*MAX(0,H221-0.5*(H827+H1130+H1433))*MAX(0,MIN(6,'Loan Tape'!$AV217)-5)</f>
        <v>0</v>
      </c>
      <c r="I2039" s="71" t="n">
        <f aca="false">I524*MAX(0,I221-0.5*(I827+I1130+I1433))*MAX(0,MIN(7,'Loan Tape'!$AV217)-6)</f>
        <v>0</v>
      </c>
      <c r="J2039" s="71" t="n">
        <f aca="false">J524*MAX(0,J221-0.5*(J827+J1130+J1433))*MAX(0,MIN(8,'Loan Tape'!$AV217)-7)</f>
        <v>0</v>
      </c>
      <c r="K2039" s="71" t="n">
        <f aca="false">K524*MAX(0,K221-0.5*(K827+K1130+K1433))*MAX(0,MIN(9,'Loan Tape'!$AV217)-8)</f>
        <v>0</v>
      </c>
      <c r="L2039" s="71" t="n">
        <f aca="false">L524*MAX(0,L221-0.5*(L827+L1130+L1433))*MAX(0,MIN(10,'Loan Tape'!$AV217)-9)</f>
        <v>0</v>
      </c>
    </row>
    <row r="2040" customFormat="false" ht="15" hidden="false" customHeight="false" outlineLevel="0" collapsed="false">
      <c r="B2040" s="102" t="n">
        <f aca="false">'Loan Tape'!$A218</f>
        <v>0</v>
      </c>
      <c r="C2040" s="99" t="n">
        <f aca="false">C525*MAX(0,C222-0.5*(C828+C1131+C1434))*MAX(0,MIN(1,'Loan Tape'!$AV218)-0)</f>
        <v>0</v>
      </c>
      <c r="D2040" s="99" t="n">
        <f aca="false">D525*MAX(0,D222-0.5*(D828+D1131+D1434))*MAX(0,MIN(2,'Loan Tape'!$AV218)-1)</f>
        <v>0</v>
      </c>
      <c r="E2040" s="99" t="n">
        <f aca="false">E525*MAX(0,E222-0.5*(E828+E1131+E1434))*MAX(0,MIN(3,'Loan Tape'!$AV218)-2)</f>
        <v>0</v>
      </c>
      <c r="F2040" s="99" t="n">
        <f aca="false">F525*MAX(0,F222-0.5*(F828+F1131+F1434))*MAX(0,MIN(4,'Loan Tape'!$AV218)-3)</f>
        <v>0</v>
      </c>
      <c r="G2040" s="99" t="n">
        <f aca="false">G525*MAX(0,G222-0.5*(G828+G1131+G1434))*MAX(0,MIN(5,'Loan Tape'!$AV218)-4)</f>
        <v>0</v>
      </c>
      <c r="H2040" s="99" t="n">
        <f aca="false">H525*MAX(0,H222-0.5*(H828+H1131+H1434))*MAX(0,MIN(6,'Loan Tape'!$AV218)-5)</f>
        <v>0</v>
      </c>
      <c r="I2040" s="99" t="n">
        <f aca="false">I525*MAX(0,I222-0.5*(I828+I1131+I1434))*MAX(0,MIN(7,'Loan Tape'!$AV218)-6)</f>
        <v>0</v>
      </c>
      <c r="J2040" s="99" t="n">
        <f aca="false">J525*MAX(0,J222-0.5*(J828+J1131+J1434))*MAX(0,MIN(8,'Loan Tape'!$AV218)-7)</f>
        <v>0</v>
      </c>
      <c r="K2040" s="99" t="n">
        <f aca="false">K525*MAX(0,K222-0.5*(K828+K1131+K1434))*MAX(0,MIN(9,'Loan Tape'!$AV218)-8)</f>
        <v>0</v>
      </c>
      <c r="L2040" s="99" t="n">
        <f aca="false">L525*MAX(0,L222-0.5*(L828+L1131+L1434))*MAX(0,MIN(10,'Loan Tape'!$AV218)-9)</f>
        <v>0</v>
      </c>
    </row>
    <row r="2041" customFormat="false" ht="15" hidden="false" customHeight="false" outlineLevel="0" collapsed="false">
      <c r="B2041" s="108" t="n">
        <f aca="false">'Loan Tape'!$A219</f>
        <v>0</v>
      </c>
      <c r="C2041" s="71" t="n">
        <f aca="false">C526*MAX(0,C223-0.5*(C829+C1132+C1435))*MAX(0,MIN(1,'Loan Tape'!$AV219)-0)</f>
        <v>0</v>
      </c>
      <c r="D2041" s="71" t="n">
        <f aca="false">D526*MAX(0,D223-0.5*(D829+D1132+D1435))*MAX(0,MIN(2,'Loan Tape'!$AV219)-1)</f>
        <v>0</v>
      </c>
      <c r="E2041" s="71" t="n">
        <f aca="false">E526*MAX(0,E223-0.5*(E829+E1132+E1435))*MAX(0,MIN(3,'Loan Tape'!$AV219)-2)</f>
        <v>0</v>
      </c>
      <c r="F2041" s="71" t="n">
        <f aca="false">F526*MAX(0,F223-0.5*(F829+F1132+F1435))*MAX(0,MIN(4,'Loan Tape'!$AV219)-3)</f>
        <v>0</v>
      </c>
      <c r="G2041" s="71" t="n">
        <f aca="false">G526*MAX(0,G223-0.5*(G829+G1132+G1435))*MAX(0,MIN(5,'Loan Tape'!$AV219)-4)</f>
        <v>0</v>
      </c>
      <c r="H2041" s="71" t="n">
        <f aca="false">H526*MAX(0,H223-0.5*(H829+H1132+H1435))*MAX(0,MIN(6,'Loan Tape'!$AV219)-5)</f>
        <v>0</v>
      </c>
      <c r="I2041" s="71" t="n">
        <f aca="false">I526*MAX(0,I223-0.5*(I829+I1132+I1435))*MAX(0,MIN(7,'Loan Tape'!$AV219)-6)</f>
        <v>0</v>
      </c>
      <c r="J2041" s="71" t="n">
        <f aca="false">J526*MAX(0,J223-0.5*(J829+J1132+J1435))*MAX(0,MIN(8,'Loan Tape'!$AV219)-7)</f>
        <v>0</v>
      </c>
      <c r="K2041" s="71" t="n">
        <f aca="false">K526*MAX(0,K223-0.5*(K829+K1132+K1435))*MAX(0,MIN(9,'Loan Tape'!$AV219)-8)</f>
        <v>0</v>
      </c>
      <c r="L2041" s="71" t="n">
        <f aca="false">L526*MAX(0,L223-0.5*(L829+L1132+L1435))*MAX(0,MIN(10,'Loan Tape'!$AV219)-9)</f>
        <v>0</v>
      </c>
    </row>
    <row r="2042" customFormat="false" ht="15" hidden="false" customHeight="false" outlineLevel="0" collapsed="false">
      <c r="B2042" s="102" t="n">
        <f aca="false">'Loan Tape'!$A220</f>
        <v>0</v>
      </c>
      <c r="C2042" s="99" t="n">
        <f aca="false">C527*MAX(0,C224-0.5*(C830+C1133+C1436))*MAX(0,MIN(1,'Loan Tape'!$AV220)-0)</f>
        <v>0</v>
      </c>
      <c r="D2042" s="99" t="n">
        <f aca="false">D527*MAX(0,D224-0.5*(D830+D1133+D1436))*MAX(0,MIN(2,'Loan Tape'!$AV220)-1)</f>
        <v>0</v>
      </c>
      <c r="E2042" s="99" t="n">
        <f aca="false">E527*MAX(0,E224-0.5*(E830+E1133+E1436))*MAX(0,MIN(3,'Loan Tape'!$AV220)-2)</f>
        <v>0</v>
      </c>
      <c r="F2042" s="99" t="n">
        <f aca="false">F527*MAX(0,F224-0.5*(F830+F1133+F1436))*MAX(0,MIN(4,'Loan Tape'!$AV220)-3)</f>
        <v>0</v>
      </c>
      <c r="G2042" s="99" t="n">
        <f aca="false">G527*MAX(0,G224-0.5*(G830+G1133+G1436))*MAX(0,MIN(5,'Loan Tape'!$AV220)-4)</f>
        <v>0</v>
      </c>
      <c r="H2042" s="99" t="n">
        <f aca="false">H527*MAX(0,H224-0.5*(H830+H1133+H1436))*MAX(0,MIN(6,'Loan Tape'!$AV220)-5)</f>
        <v>0</v>
      </c>
      <c r="I2042" s="99" t="n">
        <f aca="false">I527*MAX(0,I224-0.5*(I830+I1133+I1436))*MAX(0,MIN(7,'Loan Tape'!$AV220)-6)</f>
        <v>0</v>
      </c>
      <c r="J2042" s="99" t="n">
        <f aca="false">J527*MAX(0,J224-0.5*(J830+J1133+J1436))*MAX(0,MIN(8,'Loan Tape'!$AV220)-7)</f>
        <v>0</v>
      </c>
      <c r="K2042" s="99" t="n">
        <f aca="false">K527*MAX(0,K224-0.5*(K830+K1133+K1436))*MAX(0,MIN(9,'Loan Tape'!$AV220)-8)</f>
        <v>0</v>
      </c>
      <c r="L2042" s="99" t="n">
        <f aca="false">L527*MAX(0,L224-0.5*(L830+L1133+L1436))*MAX(0,MIN(10,'Loan Tape'!$AV220)-9)</f>
        <v>0</v>
      </c>
    </row>
    <row r="2043" customFormat="false" ht="15" hidden="false" customHeight="false" outlineLevel="0" collapsed="false">
      <c r="B2043" s="108" t="n">
        <f aca="false">'Loan Tape'!$A221</f>
        <v>0</v>
      </c>
      <c r="C2043" s="71" t="n">
        <f aca="false">C528*MAX(0,C225-0.5*(C831+C1134+C1437))*MAX(0,MIN(1,'Loan Tape'!$AV221)-0)</f>
        <v>0</v>
      </c>
      <c r="D2043" s="71" t="n">
        <f aca="false">D528*MAX(0,D225-0.5*(D831+D1134+D1437))*MAX(0,MIN(2,'Loan Tape'!$AV221)-1)</f>
        <v>0</v>
      </c>
      <c r="E2043" s="71" t="n">
        <f aca="false">E528*MAX(0,E225-0.5*(E831+E1134+E1437))*MAX(0,MIN(3,'Loan Tape'!$AV221)-2)</f>
        <v>0</v>
      </c>
      <c r="F2043" s="71" t="n">
        <f aca="false">F528*MAX(0,F225-0.5*(F831+F1134+F1437))*MAX(0,MIN(4,'Loan Tape'!$AV221)-3)</f>
        <v>0</v>
      </c>
      <c r="G2043" s="71" t="n">
        <f aca="false">G528*MAX(0,G225-0.5*(G831+G1134+G1437))*MAX(0,MIN(5,'Loan Tape'!$AV221)-4)</f>
        <v>0</v>
      </c>
      <c r="H2043" s="71" t="n">
        <f aca="false">H528*MAX(0,H225-0.5*(H831+H1134+H1437))*MAX(0,MIN(6,'Loan Tape'!$AV221)-5)</f>
        <v>0</v>
      </c>
      <c r="I2043" s="71" t="n">
        <f aca="false">I528*MAX(0,I225-0.5*(I831+I1134+I1437))*MAX(0,MIN(7,'Loan Tape'!$AV221)-6)</f>
        <v>0</v>
      </c>
      <c r="J2043" s="71" t="n">
        <f aca="false">J528*MAX(0,J225-0.5*(J831+J1134+J1437))*MAX(0,MIN(8,'Loan Tape'!$AV221)-7)</f>
        <v>0</v>
      </c>
      <c r="K2043" s="71" t="n">
        <f aca="false">K528*MAX(0,K225-0.5*(K831+K1134+K1437))*MAX(0,MIN(9,'Loan Tape'!$AV221)-8)</f>
        <v>0</v>
      </c>
      <c r="L2043" s="71" t="n">
        <f aca="false">L528*MAX(0,L225-0.5*(L831+L1134+L1437))*MAX(0,MIN(10,'Loan Tape'!$AV221)-9)</f>
        <v>0</v>
      </c>
    </row>
    <row r="2044" customFormat="false" ht="15" hidden="false" customHeight="false" outlineLevel="0" collapsed="false">
      <c r="B2044" s="102" t="n">
        <f aca="false">'Loan Tape'!$A222</f>
        <v>0</v>
      </c>
      <c r="C2044" s="99" t="n">
        <f aca="false">C529*MAX(0,C226-0.5*(C832+C1135+C1438))*MAX(0,MIN(1,'Loan Tape'!$AV222)-0)</f>
        <v>0</v>
      </c>
      <c r="D2044" s="99" t="n">
        <f aca="false">D529*MAX(0,D226-0.5*(D832+D1135+D1438))*MAX(0,MIN(2,'Loan Tape'!$AV222)-1)</f>
        <v>0</v>
      </c>
      <c r="E2044" s="99" t="n">
        <f aca="false">E529*MAX(0,E226-0.5*(E832+E1135+E1438))*MAX(0,MIN(3,'Loan Tape'!$AV222)-2)</f>
        <v>0</v>
      </c>
      <c r="F2044" s="99" t="n">
        <f aca="false">F529*MAX(0,F226-0.5*(F832+F1135+F1438))*MAX(0,MIN(4,'Loan Tape'!$AV222)-3)</f>
        <v>0</v>
      </c>
      <c r="G2044" s="99" t="n">
        <f aca="false">G529*MAX(0,G226-0.5*(G832+G1135+G1438))*MAX(0,MIN(5,'Loan Tape'!$AV222)-4)</f>
        <v>0</v>
      </c>
      <c r="H2044" s="99" t="n">
        <f aca="false">H529*MAX(0,H226-0.5*(H832+H1135+H1438))*MAX(0,MIN(6,'Loan Tape'!$AV222)-5)</f>
        <v>0</v>
      </c>
      <c r="I2044" s="99" t="n">
        <f aca="false">I529*MAX(0,I226-0.5*(I832+I1135+I1438))*MAX(0,MIN(7,'Loan Tape'!$AV222)-6)</f>
        <v>0</v>
      </c>
      <c r="J2044" s="99" t="n">
        <f aca="false">J529*MAX(0,J226-0.5*(J832+J1135+J1438))*MAX(0,MIN(8,'Loan Tape'!$AV222)-7)</f>
        <v>0</v>
      </c>
      <c r="K2044" s="99" t="n">
        <f aca="false">K529*MAX(0,K226-0.5*(K832+K1135+K1438))*MAX(0,MIN(9,'Loan Tape'!$AV222)-8)</f>
        <v>0</v>
      </c>
      <c r="L2044" s="99" t="n">
        <f aca="false">L529*MAX(0,L226-0.5*(L832+L1135+L1438))*MAX(0,MIN(10,'Loan Tape'!$AV222)-9)</f>
        <v>0</v>
      </c>
    </row>
    <row r="2045" customFormat="false" ht="15" hidden="false" customHeight="false" outlineLevel="0" collapsed="false">
      <c r="B2045" s="108" t="n">
        <f aca="false">'Loan Tape'!$A223</f>
        <v>0</v>
      </c>
      <c r="C2045" s="71" t="n">
        <f aca="false">C530*MAX(0,C227-0.5*(C833+C1136+C1439))*MAX(0,MIN(1,'Loan Tape'!$AV223)-0)</f>
        <v>0</v>
      </c>
      <c r="D2045" s="71" t="n">
        <f aca="false">D530*MAX(0,D227-0.5*(D833+D1136+D1439))*MAX(0,MIN(2,'Loan Tape'!$AV223)-1)</f>
        <v>0</v>
      </c>
      <c r="E2045" s="71" t="n">
        <f aca="false">E530*MAX(0,E227-0.5*(E833+E1136+E1439))*MAX(0,MIN(3,'Loan Tape'!$AV223)-2)</f>
        <v>0</v>
      </c>
      <c r="F2045" s="71" t="n">
        <f aca="false">F530*MAX(0,F227-0.5*(F833+F1136+F1439))*MAX(0,MIN(4,'Loan Tape'!$AV223)-3)</f>
        <v>0</v>
      </c>
      <c r="G2045" s="71" t="n">
        <f aca="false">G530*MAX(0,G227-0.5*(G833+G1136+G1439))*MAX(0,MIN(5,'Loan Tape'!$AV223)-4)</f>
        <v>0</v>
      </c>
      <c r="H2045" s="71" t="n">
        <f aca="false">H530*MAX(0,H227-0.5*(H833+H1136+H1439))*MAX(0,MIN(6,'Loan Tape'!$AV223)-5)</f>
        <v>0</v>
      </c>
      <c r="I2045" s="71" t="n">
        <f aca="false">I530*MAX(0,I227-0.5*(I833+I1136+I1439))*MAX(0,MIN(7,'Loan Tape'!$AV223)-6)</f>
        <v>0</v>
      </c>
      <c r="J2045" s="71" t="n">
        <f aca="false">J530*MAX(0,J227-0.5*(J833+J1136+J1439))*MAX(0,MIN(8,'Loan Tape'!$AV223)-7)</f>
        <v>0</v>
      </c>
      <c r="K2045" s="71" t="n">
        <f aca="false">K530*MAX(0,K227-0.5*(K833+K1136+K1439))*MAX(0,MIN(9,'Loan Tape'!$AV223)-8)</f>
        <v>0</v>
      </c>
      <c r="L2045" s="71" t="n">
        <f aca="false">L530*MAX(0,L227-0.5*(L833+L1136+L1439))*MAX(0,MIN(10,'Loan Tape'!$AV223)-9)</f>
        <v>0</v>
      </c>
    </row>
    <row r="2046" customFormat="false" ht="15" hidden="false" customHeight="false" outlineLevel="0" collapsed="false">
      <c r="B2046" s="102" t="n">
        <f aca="false">'Loan Tape'!$A224</f>
        <v>0</v>
      </c>
      <c r="C2046" s="99" t="n">
        <f aca="false">C531*MAX(0,C228-0.5*(C834+C1137+C1440))*MAX(0,MIN(1,'Loan Tape'!$AV224)-0)</f>
        <v>0</v>
      </c>
      <c r="D2046" s="99" t="n">
        <f aca="false">D531*MAX(0,D228-0.5*(D834+D1137+D1440))*MAX(0,MIN(2,'Loan Tape'!$AV224)-1)</f>
        <v>0</v>
      </c>
      <c r="E2046" s="99" t="n">
        <f aca="false">E531*MAX(0,E228-0.5*(E834+E1137+E1440))*MAX(0,MIN(3,'Loan Tape'!$AV224)-2)</f>
        <v>0</v>
      </c>
      <c r="F2046" s="99" t="n">
        <f aca="false">F531*MAX(0,F228-0.5*(F834+F1137+F1440))*MAX(0,MIN(4,'Loan Tape'!$AV224)-3)</f>
        <v>0</v>
      </c>
      <c r="G2046" s="99" t="n">
        <f aca="false">G531*MAX(0,G228-0.5*(G834+G1137+G1440))*MAX(0,MIN(5,'Loan Tape'!$AV224)-4)</f>
        <v>0</v>
      </c>
      <c r="H2046" s="99" t="n">
        <f aca="false">H531*MAX(0,H228-0.5*(H834+H1137+H1440))*MAX(0,MIN(6,'Loan Tape'!$AV224)-5)</f>
        <v>0</v>
      </c>
      <c r="I2046" s="99" t="n">
        <f aca="false">I531*MAX(0,I228-0.5*(I834+I1137+I1440))*MAX(0,MIN(7,'Loan Tape'!$AV224)-6)</f>
        <v>0</v>
      </c>
      <c r="J2046" s="99" t="n">
        <f aca="false">J531*MAX(0,J228-0.5*(J834+J1137+J1440))*MAX(0,MIN(8,'Loan Tape'!$AV224)-7)</f>
        <v>0</v>
      </c>
      <c r="K2046" s="99" t="n">
        <f aca="false">K531*MAX(0,K228-0.5*(K834+K1137+K1440))*MAX(0,MIN(9,'Loan Tape'!$AV224)-8)</f>
        <v>0</v>
      </c>
      <c r="L2046" s="99" t="n">
        <f aca="false">L531*MAX(0,L228-0.5*(L834+L1137+L1440))*MAX(0,MIN(10,'Loan Tape'!$AV224)-9)</f>
        <v>0</v>
      </c>
    </row>
    <row r="2047" customFormat="false" ht="15" hidden="false" customHeight="false" outlineLevel="0" collapsed="false">
      <c r="B2047" s="108" t="n">
        <f aca="false">'Loan Tape'!$A225</f>
        <v>0</v>
      </c>
      <c r="C2047" s="71" t="n">
        <f aca="false">C532*MAX(0,C229-0.5*(C835+C1138+C1441))*MAX(0,MIN(1,'Loan Tape'!$AV225)-0)</f>
        <v>0</v>
      </c>
      <c r="D2047" s="71" t="n">
        <f aca="false">D532*MAX(0,D229-0.5*(D835+D1138+D1441))*MAX(0,MIN(2,'Loan Tape'!$AV225)-1)</f>
        <v>0</v>
      </c>
      <c r="E2047" s="71" t="n">
        <f aca="false">E532*MAX(0,E229-0.5*(E835+E1138+E1441))*MAX(0,MIN(3,'Loan Tape'!$AV225)-2)</f>
        <v>0</v>
      </c>
      <c r="F2047" s="71" t="n">
        <f aca="false">F532*MAX(0,F229-0.5*(F835+F1138+F1441))*MAX(0,MIN(4,'Loan Tape'!$AV225)-3)</f>
        <v>0</v>
      </c>
      <c r="G2047" s="71" t="n">
        <f aca="false">G532*MAX(0,G229-0.5*(G835+G1138+G1441))*MAX(0,MIN(5,'Loan Tape'!$AV225)-4)</f>
        <v>0</v>
      </c>
      <c r="H2047" s="71" t="n">
        <f aca="false">H532*MAX(0,H229-0.5*(H835+H1138+H1441))*MAX(0,MIN(6,'Loan Tape'!$AV225)-5)</f>
        <v>0</v>
      </c>
      <c r="I2047" s="71" t="n">
        <f aca="false">I532*MAX(0,I229-0.5*(I835+I1138+I1441))*MAX(0,MIN(7,'Loan Tape'!$AV225)-6)</f>
        <v>0</v>
      </c>
      <c r="J2047" s="71" t="n">
        <f aca="false">J532*MAX(0,J229-0.5*(J835+J1138+J1441))*MAX(0,MIN(8,'Loan Tape'!$AV225)-7)</f>
        <v>0</v>
      </c>
      <c r="K2047" s="71" t="n">
        <f aca="false">K532*MAX(0,K229-0.5*(K835+K1138+K1441))*MAX(0,MIN(9,'Loan Tape'!$AV225)-8)</f>
        <v>0</v>
      </c>
      <c r="L2047" s="71" t="n">
        <f aca="false">L532*MAX(0,L229-0.5*(L835+L1138+L1441))*MAX(0,MIN(10,'Loan Tape'!$AV225)-9)</f>
        <v>0</v>
      </c>
    </row>
    <row r="2048" customFormat="false" ht="15" hidden="false" customHeight="false" outlineLevel="0" collapsed="false">
      <c r="B2048" s="102" t="n">
        <f aca="false">'Loan Tape'!$A226</f>
        <v>0</v>
      </c>
      <c r="C2048" s="99" t="n">
        <f aca="false">C533*MAX(0,C230-0.5*(C836+C1139+C1442))*MAX(0,MIN(1,'Loan Tape'!$AV226)-0)</f>
        <v>0</v>
      </c>
      <c r="D2048" s="99" t="n">
        <f aca="false">D533*MAX(0,D230-0.5*(D836+D1139+D1442))*MAX(0,MIN(2,'Loan Tape'!$AV226)-1)</f>
        <v>0</v>
      </c>
      <c r="E2048" s="99" t="n">
        <f aca="false">E533*MAX(0,E230-0.5*(E836+E1139+E1442))*MAX(0,MIN(3,'Loan Tape'!$AV226)-2)</f>
        <v>0</v>
      </c>
      <c r="F2048" s="99" t="n">
        <f aca="false">F533*MAX(0,F230-0.5*(F836+F1139+F1442))*MAX(0,MIN(4,'Loan Tape'!$AV226)-3)</f>
        <v>0</v>
      </c>
      <c r="G2048" s="99" t="n">
        <f aca="false">G533*MAX(0,G230-0.5*(G836+G1139+G1442))*MAX(0,MIN(5,'Loan Tape'!$AV226)-4)</f>
        <v>0</v>
      </c>
      <c r="H2048" s="99" t="n">
        <f aca="false">H533*MAX(0,H230-0.5*(H836+H1139+H1442))*MAX(0,MIN(6,'Loan Tape'!$AV226)-5)</f>
        <v>0</v>
      </c>
      <c r="I2048" s="99" t="n">
        <f aca="false">I533*MAX(0,I230-0.5*(I836+I1139+I1442))*MAX(0,MIN(7,'Loan Tape'!$AV226)-6)</f>
        <v>0</v>
      </c>
      <c r="J2048" s="99" t="n">
        <f aca="false">J533*MAX(0,J230-0.5*(J836+J1139+J1442))*MAX(0,MIN(8,'Loan Tape'!$AV226)-7)</f>
        <v>0</v>
      </c>
      <c r="K2048" s="99" t="n">
        <f aca="false">K533*MAX(0,K230-0.5*(K836+K1139+K1442))*MAX(0,MIN(9,'Loan Tape'!$AV226)-8)</f>
        <v>0</v>
      </c>
      <c r="L2048" s="99" t="n">
        <f aca="false">L533*MAX(0,L230-0.5*(L836+L1139+L1442))*MAX(0,MIN(10,'Loan Tape'!$AV226)-9)</f>
        <v>0</v>
      </c>
    </row>
    <row r="2049" customFormat="false" ht="15" hidden="false" customHeight="false" outlineLevel="0" collapsed="false">
      <c r="B2049" s="108" t="n">
        <f aca="false">'Loan Tape'!$A227</f>
        <v>0</v>
      </c>
      <c r="C2049" s="71" t="n">
        <f aca="false">C534*MAX(0,C231-0.5*(C837+C1140+C1443))*MAX(0,MIN(1,'Loan Tape'!$AV227)-0)</f>
        <v>0</v>
      </c>
      <c r="D2049" s="71" t="n">
        <f aca="false">D534*MAX(0,D231-0.5*(D837+D1140+D1443))*MAX(0,MIN(2,'Loan Tape'!$AV227)-1)</f>
        <v>0</v>
      </c>
      <c r="E2049" s="71" t="n">
        <f aca="false">E534*MAX(0,E231-0.5*(E837+E1140+E1443))*MAX(0,MIN(3,'Loan Tape'!$AV227)-2)</f>
        <v>0</v>
      </c>
      <c r="F2049" s="71" t="n">
        <f aca="false">F534*MAX(0,F231-0.5*(F837+F1140+F1443))*MAX(0,MIN(4,'Loan Tape'!$AV227)-3)</f>
        <v>0</v>
      </c>
      <c r="G2049" s="71" t="n">
        <f aca="false">G534*MAX(0,G231-0.5*(G837+G1140+G1443))*MAX(0,MIN(5,'Loan Tape'!$AV227)-4)</f>
        <v>0</v>
      </c>
      <c r="H2049" s="71" t="n">
        <f aca="false">H534*MAX(0,H231-0.5*(H837+H1140+H1443))*MAX(0,MIN(6,'Loan Tape'!$AV227)-5)</f>
        <v>0</v>
      </c>
      <c r="I2049" s="71" t="n">
        <f aca="false">I534*MAX(0,I231-0.5*(I837+I1140+I1443))*MAX(0,MIN(7,'Loan Tape'!$AV227)-6)</f>
        <v>0</v>
      </c>
      <c r="J2049" s="71" t="n">
        <f aca="false">J534*MAX(0,J231-0.5*(J837+J1140+J1443))*MAX(0,MIN(8,'Loan Tape'!$AV227)-7)</f>
        <v>0</v>
      </c>
      <c r="K2049" s="71" t="n">
        <f aca="false">K534*MAX(0,K231-0.5*(K837+K1140+K1443))*MAX(0,MIN(9,'Loan Tape'!$AV227)-8)</f>
        <v>0</v>
      </c>
      <c r="L2049" s="71" t="n">
        <f aca="false">L534*MAX(0,L231-0.5*(L837+L1140+L1443))*MAX(0,MIN(10,'Loan Tape'!$AV227)-9)</f>
        <v>0</v>
      </c>
    </row>
    <row r="2050" customFormat="false" ht="15" hidden="false" customHeight="false" outlineLevel="0" collapsed="false">
      <c r="B2050" s="102" t="n">
        <f aca="false">'Loan Tape'!$A228</f>
        <v>0</v>
      </c>
      <c r="C2050" s="99" t="n">
        <f aca="false">C535*MAX(0,C232-0.5*(C838+C1141+C1444))*MAX(0,MIN(1,'Loan Tape'!$AV228)-0)</f>
        <v>0</v>
      </c>
      <c r="D2050" s="99" t="n">
        <f aca="false">D535*MAX(0,D232-0.5*(D838+D1141+D1444))*MAX(0,MIN(2,'Loan Tape'!$AV228)-1)</f>
        <v>0</v>
      </c>
      <c r="E2050" s="99" t="n">
        <f aca="false">E535*MAX(0,E232-0.5*(E838+E1141+E1444))*MAX(0,MIN(3,'Loan Tape'!$AV228)-2)</f>
        <v>0</v>
      </c>
      <c r="F2050" s="99" t="n">
        <f aca="false">F535*MAX(0,F232-0.5*(F838+F1141+F1444))*MAX(0,MIN(4,'Loan Tape'!$AV228)-3)</f>
        <v>0</v>
      </c>
      <c r="G2050" s="99" t="n">
        <f aca="false">G535*MAX(0,G232-0.5*(G838+G1141+G1444))*MAX(0,MIN(5,'Loan Tape'!$AV228)-4)</f>
        <v>0</v>
      </c>
      <c r="H2050" s="99" t="n">
        <f aca="false">H535*MAX(0,H232-0.5*(H838+H1141+H1444))*MAX(0,MIN(6,'Loan Tape'!$AV228)-5)</f>
        <v>0</v>
      </c>
      <c r="I2050" s="99" t="n">
        <f aca="false">I535*MAX(0,I232-0.5*(I838+I1141+I1444))*MAX(0,MIN(7,'Loan Tape'!$AV228)-6)</f>
        <v>0</v>
      </c>
      <c r="J2050" s="99" t="n">
        <f aca="false">J535*MAX(0,J232-0.5*(J838+J1141+J1444))*MAX(0,MIN(8,'Loan Tape'!$AV228)-7)</f>
        <v>0</v>
      </c>
      <c r="K2050" s="99" t="n">
        <f aca="false">K535*MAX(0,K232-0.5*(K838+K1141+K1444))*MAX(0,MIN(9,'Loan Tape'!$AV228)-8)</f>
        <v>0</v>
      </c>
      <c r="L2050" s="99" t="n">
        <f aca="false">L535*MAX(0,L232-0.5*(L838+L1141+L1444))*MAX(0,MIN(10,'Loan Tape'!$AV228)-9)</f>
        <v>0</v>
      </c>
    </row>
    <row r="2051" customFormat="false" ht="15" hidden="false" customHeight="false" outlineLevel="0" collapsed="false">
      <c r="B2051" s="108" t="n">
        <f aca="false">'Loan Tape'!$A229</f>
        <v>0</v>
      </c>
      <c r="C2051" s="71" t="n">
        <f aca="false">C536*MAX(0,C233-0.5*(C839+C1142+C1445))*MAX(0,MIN(1,'Loan Tape'!$AV229)-0)</f>
        <v>0</v>
      </c>
      <c r="D2051" s="71" t="n">
        <f aca="false">D536*MAX(0,D233-0.5*(D839+D1142+D1445))*MAX(0,MIN(2,'Loan Tape'!$AV229)-1)</f>
        <v>0</v>
      </c>
      <c r="E2051" s="71" t="n">
        <f aca="false">E536*MAX(0,E233-0.5*(E839+E1142+E1445))*MAX(0,MIN(3,'Loan Tape'!$AV229)-2)</f>
        <v>0</v>
      </c>
      <c r="F2051" s="71" t="n">
        <f aca="false">F536*MAX(0,F233-0.5*(F839+F1142+F1445))*MAX(0,MIN(4,'Loan Tape'!$AV229)-3)</f>
        <v>0</v>
      </c>
      <c r="G2051" s="71" t="n">
        <f aca="false">G536*MAX(0,G233-0.5*(G839+G1142+G1445))*MAX(0,MIN(5,'Loan Tape'!$AV229)-4)</f>
        <v>0</v>
      </c>
      <c r="H2051" s="71" t="n">
        <f aca="false">H536*MAX(0,H233-0.5*(H839+H1142+H1445))*MAX(0,MIN(6,'Loan Tape'!$AV229)-5)</f>
        <v>0</v>
      </c>
      <c r="I2051" s="71" t="n">
        <f aca="false">I536*MAX(0,I233-0.5*(I839+I1142+I1445))*MAX(0,MIN(7,'Loan Tape'!$AV229)-6)</f>
        <v>0</v>
      </c>
      <c r="J2051" s="71" t="n">
        <f aca="false">J536*MAX(0,J233-0.5*(J839+J1142+J1445))*MAX(0,MIN(8,'Loan Tape'!$AV229)-7)</f>
        <v>0</v>
      </c>
      <c r="K2051" s="71" t="n">
        <f aca="false">K536*MAX(0,K233-0.5*(K839+K1142+K1445))*MAX(0,MIN(9,'Loan Tape'!$AV229)-8)</f>
        <v>0</v>
      </c>
      <c r="L2051" s="71" t="n">
        <f aca="false">L536*MAX(0,L233-0.5*(L839+L1142+L1445))*MAX(0,MIN(10,'Loan Tape'!$AV229)-9)</f>
        <v>0</v>
      </c>
    </row>
    <row r="2052" customFormat="false" ht="15" hidden="false" customHeight="false" outlineLevel="0" collapsed="false">
      <c r="B2052" s="102" t="n">
        <f aca="false">'Loan Tape'!$A230</f>
        <v>0</v>
      </c>
      <c r="C2052" s="99" t="n">
        <f aca="false">C537*MAX(0,C234-0.5*(C840+C1143+C1446))*MAX(0,MIN(1,'Loan Tape'!$AV230)-0)</f>
        <v>0</v>
      </c>
      <c r="D2052" s="99" t="n">
        <f aca="false">D537*MAX(0,D234-0.5*(D840+D1143+D1446))*MAX(0,MIN(2,'Loan Tape'!$AV230)-1)</f>
        <v>0</v>
      </c>
      <c r="E2052" s="99" t="n">
        <f aca="false">E537*MAX(0,E234-0.5*(E840+E1143+E1446))*MAX(0,MIN(3,'Loan Tape'!$AV230)-2)</f>
        <v>0</v>
      </c>
      <c r="F2052" s="99" t="n">
        <f aca="false">F537*MAX(0,F234-0.5*(F840+F1143+F1446))*MAX(0,MIN(4,'Loan Tape'!$AV230)-3)</f>
        <v>0</v>
      </c>
      <c r="G2052" s="99" t="n">
        <f aca="false">G537*MAX(0,G234-0.5*(G840+G1143+G1446))*MAX(0,MIN(5,'Loan Tape'!$AV230)-4)</f>
        <v>0</v>
      </c>
      <c r="H2052" s="99" t="n">
        <f aca="false">H537*MAX(0,H234-0.5*(H840+H1143+H1446))*MAX(0,MIN(6,'Loan Tape'!$AV230)-5)</f>
        <v>0</v>
      </c>
      <c r="I2052" s="99" t="n">
        <f aca="false">I537*MAX(0,I234-0.5*(I840+I1143+I1446))*MAX(0,MIN(7,'Loan Tape'!$AV230)-6)</f>
        <v>0</v>
      </c>
      <c r="J2052" s="99" t="n">
        <f aca="false">J537*MAX(0,J234-0.5*(J840+J1143+J1446))*MAX(0,MIN(8,'Loan Tape'!$AV230)-7)</f>
        <v>0</v>
      </c>
      <c r="K2052" s="99" t="n">
        <f aca="false">K537*MAX(0,K234-0.5*(K840+K1143+K1446))*MAX(0,MIN(9,'Loan Tape'!$AV230)-8)</f>
        <v>0</v>
      </c>
      <c r="L2052" s="99" t="n">
        <f aca="false">L537*MAX(0,L234-0.5*(L840+L1143+L1446))*MAX(0,MIN(10,'Loan Tape'!$AV230)-9)</f>
        <v>0</v>
      </c>
    </row>
    <row r="2053" customFormat="false" ht="15" hidden="false" customHeight="false" outlineLevel="0" collapsed="false">
      <c r="B2053" s="108" t="n">
        <f aca="false">'Loan Tape'!$A231</f>
        <v>0</v>
      </c>
      <c r="C2053" s="71" t="n">
        <f aca="false">C538*MAX(0,C235-0.5*(C841+C1144+C1447))*MAX(0,MIN(1,'Loan Tape'!$AV231)-0)</f>
        <v>0</v>
      </c>
      <c r="D2053" s="71" t="n">
        <f aca="false">D538*MAX(0,D235-0.5*(D841+D1144+D1447))*MAX(0,MIN(2,'Loan Tape'!$AV231)-1)</f>
        <v>0</v>
      </c>
      <c r="E2053" s="71" t="n">
        <f aca="false">E538*MAX(0,E235-0.5*(E841+E1144+E1447))*MAX(0,MIN(3,'Loan Tape'!$AV231)-2)</f>
        <v>0</v>
      </c>
      <c r="F2053" s="71" t="n">
        <f aca="false">F538*MAX(0,F235-0.5*(F841+F1144+F1447))*MAX(0,MIN(4,'Loan Tape'!$AV231)-3)</f>
        <v>0</v>
      </c>
      <c r="G2053" s="71" t="n">
        <f aca="false">G538*MAX(0,G235-0.5*(G841+G1144+G1447))*MAX(0,MIN(5,'Loan Tape'!$AV231)-4)</f>
        <v>0</v>
      </c>
      <c r="H2053" s="71" t="n">
        <f aca="false">H538*MAX(0,H235-0.5*(H841+H1144+H1447))*MAX(0,MIN(6,'Loan Tape'!$AV231)-5)</f>
        <v>0</v>
      </c>
      <c r="I2053" s="71" t="n">
        <f aca="false">I538*MAX(0,I235-0.5*(I841+I1144+I1447))*MAX(0,MIN(7,'Loan Tape'!$AV231)-6)</f>
        <v>0</v>
      </c>
      <c r="J2053" s="71" t="n">
        <f aca="false">J538*MAX(0,J235-0.5*(J841+J1144+J1447))*MAX(0,MIN(8,'Loan Tape'!$AV231)-7)</f>
        <v>0</v>
      </c>
      <c r="K2053" s="71" t="n">
        <f aca="false">K538*MAX(0,K235-0.5*(K841+K1144+K1447))*MAX(0,MIN(9,'Loan Tape'!$AV231)-8)</f>
        <v>0</v>
      </c>
      <c r="L2053" s="71" t="n">
        <f aca="false">L538*MAX(0,L235-0.5*(L841+L1144+L1447))*MAX(0,MIN(10,'Loan Tape'!$AV231)-9)</f>
        <v>0</v>
      </c>
    </row>
    <row r="2054" customFormat="false" ht="15" hidden="false" customHeight="false" outlineLevel="0" collapsed="false">
      <c r="B2054" s="102" t="n">
        <f aca="false">'Loan Tape'!$A232</f>
        <v>0</v>
      </c>
      <c r="C2054" s="99" t="n">
        <f aca="false">C539*MAX(0,C236-0.5*(C842+C1145+C1448))*MAX(0,MIN(1,'Loan Tape'!$AV232)-0)</f>
        <v>0</v>
      </c>
      <c r="D2054" s="99" t="n">
        <f aca="false">D539*MAX(0,D236-0.5*(D842+D1145+D1448))*MAX(0,MIN(2,'Loan Tape'!$AV232)-1)</f>
        <v>0</v>
      </c>
      <c r="E2054" s="99" t="n">
        <f aca="false">E539*MAX(0,E236-0.5*(E842+E1145+E1448))*MAX(0,MIN(3,'Loan Tape'!$AV232)-2)</f>
        <v>0</v>
      </c>
      <c r="F2054" s="99" t="n">
        <f aca="false">F539*MAX(0,F236-0.5*(F842+F1145+F1448))*MAX(0,MIN(4,'Loan Tape'!$AV232)-3)</f>
        <v>0</v>
      </c>
      <c r="G2054" s="99" t="n">
        <f aca="false">G539*MAX(0,G236-0.5*(G842+G1145+G1448))*MAX(0,MIN(5,'Loan Tape'!$AV232)-4)</f>
        <v>0</v>
      </c>
      <c r="H2054" s="99" t="n">
        <f aca="false">H539*MAX(0,H236-0.5*(H842+H1145+H1448))*MAX(0,MIN(6,'Loan Tape'!$AV232)-5)</f>
        <v>0</v>
      </c>
      <c r="I2054" s="99" t="n">
        <f aca="false">I539*MAX(0,I236-0.5*(I842+I1145+I1448))*MAX(0,MIN(7,'Loan Tape'!$AV232)-6)</f>
        <v>0</v>
      </c>
      <c r="J2054" s="99" t="n">
        <f aca="false">J539*MAX(0,J236-0.5*(J842+J1145+J1448))*MAX(0,MIN(8,'Loan Tape'!$AV232)-7)</f>
        <v>0</v>
      </c>
      <c r="K2054" s="99" t="n">
        <f aca="false">K539*MAX(0,K236-0.5*(K842+K1145+K1448))*MAX(0,MIN(9,'Loan Tape'!$AV232)-8)</f>
        <v>0</v>
      </c>
      <c r="L2054" s="99" t="n">
        <f aca="false">L539*MAX(0,L236-0.5*(L842+L1145+L1448))*MAX(0,MIN(10,'Loan Tape'!$AV232)-9)</f>
        <v>0</v>
      </c>
    </row>
    <row r="2055" customFormat="false" ht="15" hidden="false" customHeight="false" outlineLevel="0" collapsed="false">
      <c r="B2055" s="108" t="n">
        <f aca="false">'Loan Tape'!$A233</f>
        <v>0</v>
      </c>
      <c r="C2055" s="71" t="n">
        <f aca="false">C540*MAX(0,C237-0.5*(C843+C1146+C1449))*MAX(0,MIN(1,'Loan Tape'!$AV233)-0)</f>
        <v>0</v>
      </c>
      <c r="D2055" s="71" t="n">
        <f aca="false">D540*MAX(0,D237-0.5*(D843+D1146+D1449))*MAX(0,MIN(2,'Loan Tape'!$AV233)-1)</f>
        <v>0</v>
      </c>
      <c r="E2055" s="71" t="n">
        <f aca="false">E540*MAX(0,E237-0.5*(E843+E1146+E1449))*MAX(0,MIN(3,'Loan Tape'!$AV233)-2)</f>
        <v>0</v>
      </c>
      <c r="F2055" s="71" t="n">
        <f aca="false">F540*MAX(0,F237-0.5*(F843+F1146+F1449))*MAX(0,MIN(4,'Loan Tape'!$AV233)-3)</f>
        <v>0</v>
      </c>
      <c r="G2055" s="71" t="n">
        <f aca="false">G540*MAX(0,G237-0.5*(G843+G1146+G1449))*MAX(0,MIN(5,'Loan Tape'!$AV233)-4)</f>
        <v>0</v>
      </c>
      <c r="H2055" s="71" t="n">
        <f aca="false">H540*MAX(0,H237-0.5*(H843+H1146+H1449))*MAX(0,MIN(6,'Loan Tape'!$AV233)-5)</f>
        <v>0</v>
      </c>
      <c r="I2055" s="71" t="n">
        <f aca="false">I540*MAX(0,I237-0.5*(I843+I1146+I1449))*MAX(0,MIN(7,'Loan Tape'!$AV233)-6)</f>
        <v>0</v>
      </c>
      <c r="J2055" s="71" t="n">
        <f aca="false">J540*MAX(0,J237-0.5*(J843+J1146+J1449))*MAX(0,MIN(8,'Loan Tape'!$AV233)-7)</f>
        <v>0</v>
      </c>
      <c r="K2055" s="71" t="n">
        <f aca="false">K540*MAX(0,K237-0.5*(K843+K1146+K1449))*MAX(0,MIN(9,'Loan Tape'!$AV233)-8)</f>
        <v>0</v>
      </c>
      <c r="L2055" s="71" t="n">
        <f aca="false">L540*MAX(0,L237-0.5*(L843+L1146+L1449))*MAX(0,MIN(10,'Loan Tape'!$AV233)-9)</f>
        <v>0</v>
      </c>
    </row>
    <row r="2056" customFormat="false" ht="15" hidden="false" customHeight="false" outlineLevel="0" collapsed="false">
      <c r="B2056" s="102" t="n">
        <f aca="false">'Loan Tape'!$A234</f>
        <v>0</v>
      </c>
      <c r="C2056" s="99" t="n">
        <f aca="false">C541*MAX(0,C238-0.5*(C844+C1147+C1450))*MAX(0,MIN(1,'Loan Tape'!$AV234)-0)</f>
        <v>0</v>
      </c>
      <c r="D2056" s="99" t="n">
        <f aca="false">D541*MAX(0,D238-0.5*(D844+D1147+D1450))*MAX(0,MIN(2,'Loan Tape'!$AV234)-1)</f>
        <v>0</v>
      </c>
      <c r="E2056" s="99" t="n">
        <f aca="false">E541*MAX(0,E238-0.5*(E844+E1147+E1450))*MAX(0,MIN(3,'Loan Tape'!$AV234)-2)</f>
        <v>0</v>
      </c>
      <c r="F2056" s="99" t="n">
        <f aca="false">F541*MAX(0,F238-0.5*(F844+F1147+F1450))*MAX(0,MIN(4,'Loan Tape'!$AV234)-3)</f>
        <v>0</v>
      </c>
      <c r="G2056" s="99" t="n">
        <f aca="false">G541*MAX(0,G238-0.5*(G844+G1147+G1450))*MAX(0,MIN(5,'Loan Tape'!$AV234)-4)</f>
        <v>0</v>
      </c>
      <c r="H2056" s="99" t="n">
        <f aca="false">H541*MAX(0,H238-0.5*(H844+H1147+H1450))*MAX(0,MIN(6,'Loan Tape'!$AV234)-5)</f>
        <v>0</v>
      </c>
      <c r="I2056" s="99" t="n">
        <f aca="false">I541*MAX(0,I238-0.5*(I844+I1147+I1450))*MAX(0,MIN(7,'Loan Tape'!$AV234)-6)</f>
        <v>0</v>
      </c>
      <c r="J2056" s="99" t="n">
        <f aca="false">J541*MAX(0,J238-0.5*(J844+J1147+J1450))*MAX(0,MIN(8,'Loan Tape'!$AV234)-7)</f>
        <v>0</v>
      </c>
      <c r="K2056" s="99" t="n">
        <f aca="false">K541*MAX(0,K238-0.5*(K844+K1147+K1450))*MAX(0,MIN(9,'Loan Tape'!$AV234)-8)</f>
        <v>0</v>
      </c>
      <c r="L2056" s="99" t="n">
        <f aca="false">L541*MAX(0,L238-0.5*(L844+L1147+L1450))*MAX(0,MIN(10,'Loan Tape'!$AV234)-9)</f>
        <v>0</v>
      </c>
    </row>
    <row r="2057" customFormat="false" ht="15" hidden="false" customHeight="false" outlineLevel="0" collapsed="false">
      <c r="B2057" s="108" t="n">
        <f aca="false">'Loan Tape'!$A235</f>
        <v>0</v>
      </c>
      <c r="C2057" s="71" t="n">
        <f aca="false">C542*MAX(0,C239-0.5*(C845+C1148+C1451))*MAX(0,MIN(1,'Loan Tape'!$AV235)-0)</f>
        <v>0</v>
      </c>
      <c r="D2057" s="71" t="n">
        <f aca="false">D542*MAX(0,D239-0.5*(D845+D1148+D1451))*MAX(0,MIN(2,'Loan Tape'!$AV235)-1)</f>
        <v>0</v>
      </c>
      <c r="E2057" s="71" t="n">
        <f aca="false">E542*MAX(0,E239-0.5*(E845+E1148+E1451))*MAX(0,MIN(3,'Loan Tape'!$AV235)-2)</f>
        <v>0</v>
      </c>
      <c r="F2057" s="71" t="n">
        <f aca="false">F542*MAX(0,F239-0.5*(F845+F1148+F1451))*MAX(0,MIN(4,'Loan Tape'!$AV235)-3)</f>
        <v>0</v>
      </c>
      <c r="G2057" s="71" t="n">
        <f aca="false">G542*MAX(0,G239-0.5*(G845+G1148+G1451))*MAX(0,MIN(5,'Loan Tape'!$AV235)-4)</f>
        <v>0</v>
      </c>
      <c r="H2057" s="71" t="n">
        <f aca="false">H542*MAX(0,H239-0.5*(H845+H1148+H1451))*MAX(0,MIN(6,'Loan Tape'!$AV235)-5)</f>
        <v>0</v>
      </c>
      <c r="I2057" s="71" t="n">
        <f aca="false">I542*MAX(0,I239-0.5*(I845+I1148+I1451))*MAX(0,MIN(7,'Loan Tape'!$AV235)-6)</f>
        <v>0</v>
      </c>
      <c r="J2057" s="71" t="n">
        <f aca="false">J542*MAX(0,J239-0.5*(J845+J1148+J1451))*MAX(0,MIN(8,'Loan Tape'!$AV235)-7)</f>
        <v>0</v>
      </c>
      <c r="K2057" s="71" t="n">
        <f aca="false">K542*MAX(0,K239-0.5*(K845+K1148+K1451))*MAX(0,MIN(9,'Loan Tape'!$AV235)-8)</f>
        <v>0</v>
      </c>
      <c r="L2057" s="71" t="n">
        <f aca="false">L542*MAX(0,L239-0.5*(L845+L1148+L1451))*MAX(0,MIN(10,'Loan Tape'!$AV235)-9)</f>
        <v>0</v>
      </c>
    </row>
    <row r="2058" customFormat="false" ht="15" hidden="false" customHeight="false" outlineLevel="0" collapsed="false">
      <c r="B2058" s="102" t="n">
        <f aca="false">'Loan Tape'!$A236</f>
        <v>0</v>
      </c>
      <c r="C2058" s="99" t="n">
        <f aca="false">C543*MAX(0,C240-0.5*(C846+C1149+C1452))*MAX(0,MIN(1,'Loan Tape'!$AV236)-0)</f>
        <v>0</v>
      </c>
      <c r="D2058" s="99" t="n">
        <f aca="false">D543*MAX(0,D240-0.5*(D846+D1149+D1452))*MAX(0,MIN(2,'Loan Tape'!$AV236)-1)</f>
        <v>0</v>
      </c>
      <c r="E2058" s="99" t="n">
        <f aca="false">E543*MAX(0,E240-0.5*(E846+E1149+E1452))*MAX(0,MIN(3,'Loan Tape'!$AV236)-2)</f>
        <v>0</v>
      </c>
      <c r="F2058" s="99" t="n">
        <f aca="false">F543*MAX(0,F240-0.5*(F846+F1149+F1452))*MAX(0,MIN(4,'Loan Tape'!$AV236)-3)</f>
        <v>0</v>
      </c>
      <c r="G2058" s="99" t="n">
        <f aca="false">G543*MAX(0,G240-0.5*(G846+G1149+G1452))*MAX(0,MIN(5,'Loan Tape'!$AV236)-4)</f>
        <v>0</v>
      </c>
      <c r="H2058" s="99" t="n">
        <f aca="false">H543*MAX(0,H240-0.5*(H846+H1149+H1452))*MAX(0,MIN(6,'Loan Tape'!$AV236)-5)</f>
        <v>0</v>
      </c>
      <c r="I2058" s="99" t="n">
        <f aca="false">I543*MAX(0,I240-0.5*(I846+I1149+I1452))*MAX(0,MIN(7,'Loan Tape'!$AV236)-6)</f>
        <v>0</v>
      </c>
      <c r="J2058" s="99" t="n">
        <f aca="false">J543*MAX(0,J240-0.5*(J846+J1149+J1452))*MAX(0,MIN(8,'Loan Tape'!$AV236)-7)</f>
        <v>0</v>
      </c>
      <c r="K2058" s="99" t="n">
        <f aca="false">K543*MAX(0,K240-0.5*(K846+K1149+K1452))*MAX(0,MIN(9,'Loan Tape'!$AV236)-8)</f>
        <v>0</v>
      </c>
      <c r="L2058" s="99" t="n">
        <f aca="false">L543*MAX(0,L240-0.5*(L846+L1149+L1452))*MAX(0,MIN(10,'Loan Tape'!$AV236)-9)</f>
        <v>0</v>
      </c>
    </row>
    <row r="2059" customFormat="false" ht="15" hidden="false" customHeight="false" outlineLevel="0" collapsed="false">
      <c r="B2059" s="108" t="n">
        <f aca="false">'Loan Tape'!$A237</f>
        <v>0</v>
      </c>
      <c r="C2059" s="71" t="n">
        <f aca="false">C544*MAX(0,C241-0.5*(C847+C1150+C1453))*MAX(0,MIN(1,'Loan Tape'!$AV237)-0)</f>
        <v>0</v>
      </c>
      <c r="D2059" s="71" t="n">
        <f aca="false">D544*MAX(0,D241-0.5*(D847+D1150+D1453))*MAX(0,MIN(2,'Loan Tape'!$AV237)-1)</f>
        <v>0</v>
      </c>
      <c r="E2059" s="71" t="n">
        <f aca="false">E544*MAX(0,E241-0.5*(E847+E1150+E1453))*MAX(0,MIN(3,'Loan Tape'!$AV237)-2)</f>
        <v>0</v>
      </c>
      <c r="F2059" s="71" t="n">
        <f aca="false">F544*MAX(0,F241-0.5*(F847+F1150+F1453))*MAX(0,MIN(4,'Loan Tape'!$AV237)-3)</f>
        <v>0</v>
      </c>
      <c r="G2059" s="71" t="n">
        <f aca="false">G544*MAX(0,G241-0.5*(G847+G1150+G1453))*MAX(0,MIN(5,'Loan Tape'!$AV237)-4)</f>
        <v>0</v>
      </c>
      <c r="H2059" s="71" t="n">
        <f aca="false">H544*MAX(0,H241-0.5*(H847+H1150+H1453))*MAX(0,MIN(6,'Loan Tape'!$AV237)-5)</f>
        <v>0</v>
      </c>
      <c r="I2059" s="71" t="n">
        <f aca="false">I544*MAX(0,I241-0.5*(I847+I1150+I1453))*MAX(0,MIN(7,'Loan Tape'!$AV237)-6)</f>
        <v>0</v>
      </c>
      <c r="J2059" s="71" t="n">
        <f aca="false">J544*MAX(0,J241-0.5*(J847+J1150+J1453))*MAX(0,MIN(8,'Loan Tape'!$AV237)-7)</f>
        <v>0</v>
      </c>
      <c r="K2059" s="71" t="n">
        <f aca="false">K544*MAX(0,K241-0.5*(K847+K1150+K1453))*MAX(0,MIN(9,'Loan Tape'!$AV237)-8)</f>
        <v>0</v>
      </c>
      <c r="L2059" s="71" t="n">
        <f aca="false">L544*MAX(0,L241-0.5*(L847+L1150+L1453))*MAX(0,MIN(10,'Loan Tape'!$AV237)-9)</f>
        <v>0</v>
      </c>
    </row>
    <row r="2060" customFormat="false" ht="15" hidden="false" customHeight="false" outlineLevel="0" collapsed="false">
      <c r="B2060" s="102" t="n">
        <f aca="false">'Loan Tape'!$A238</f>
        <v>0</v>
      </c>
      <c r="C2060" s="99" t="n">
        <f aca="false">C545*MAX(0,C242-0.5*(C848+C1151+C1454))*MAX(0,MIN(1,'Loan Tape'!$AV238)-0)</f>
        <v>0</v>
      </c>
      <c r="D2060" s="99" t="n">
        <f aca="false">D545*MAX(0,D242-0.5*(D848+D1151+D1454))*MAX(0,MIN(2,'Loan Tape'!$AV238)-1)</f>
        <v>0</v>
      </c>
      <c r="E2060" s="99" t="n">
        <f aca="false">E545*MAX(0,E242-0.5*(E848+E1151+E1454))*MAX(0,MIN(3,'Loan Tape'!$AV238)-2)</f>
        <v>0</v>
      </c>
      <c r="F2060" s="99" t="n">
        <f aca="false">F545*MAX(0,F242-0.5*(F848+F1151+F1454))*MAX(0,MIN(4,'Loan Tape'!$AV238)-3)</f>
        <v>0</v>
      </c>
      <c r="G2060" s="99" t="n">
        <f aca="false">G545*MAX(0,G242-0.5*(G848+G1151+G1454))*MAX(0,MIN(5,'Loan Tape'!$AV238)-4)</f>
        <v>0</v>
      </c>
      <c r="H2060" s="99" t="n">
        <f aca="false">H545*MAX(0,H242-0.5*(H848+H1151+H1454))*MAX(0,MIN(6,'Loan Tape'!$AV238)-5)</f>
        <v>0</v>
      </c>
      <c r="I2060" s="99" t="n">
        <f aca="false">I545*MAX(0,I242-0.5*(I848+I1151+I1454))*MAX(0,MIN(7,'Loan Tape'!$AV238)-6)</f>
        <v>0</v>
      </c>
      <c r="J2060" s="99" t="n">
        <f aca="false">J545*MAX(0,J242-0.5*(J848+J1151+J1454))*MAX(0,MIN(8,'Loan Tape'!$AV238)-7)</f>
        <v>0</v>
      </c>
      <c r="K2060" s="99" t="n">
        <f aca="false">K545*MAX(0,K242-0.5*(K848+K1151+K1454))*MAX(0,MIN(9,'Loan Tape'!$AV238)-8)</f>
        <v>0</v>
      </c>
      <c r="L2060" s="99" t="n">
        <f aca="false">L545*MAX(0,L242-0.5*(L848+L1151+L1454))*MAX(0,MIN(10,'Loan Tape'!$AV238)-9)</f>
        <v>0</v>
      </c>
    </row>
    <row r="2061" customFormat="false" ht="15" hidden="false" customHeight="false" outlineLevel="0" collapsed="false">
      <c r="B2061" s="108" t="n">
        <f aca="false">'Loan Tape'!$A239</f>
        <v>0</v>
      </c>
      <c r="C2061" s="71" t="n">
        <f aca="false">C546*MAX(0,C243-0.5*(C849+C1152+C1455))*MAX(0,MIN(1,'Loan Tape'!$AV239)-0)</f>
        <v>0</v>
      </c>
      <c r="D2061" s="71" t="n">
        <f aca="false">D546*MAX(0,D243-0.5*(D849+D1152+D1455))*MAX(0,MIN(2,'Loan Tape'!$AV239)-1)</f>
        <v>0</v>
      </c>
      <c r="E2061" s="71" t="n">
        <f aca="false">E546*MAX(0,E243-0.5*(E849+E1152+E1455))*MAX(0,MIN(3,'Loan Tape'!$AV239)-2)</f>
        <v>0</v>
      </c>
      <c r="F2061" s="71" t="n">
        <f aca="false">F546*MAX(0,F243-0.5*(F849+F1152+F1455))*MAX(0,MIN(4,'Loan Tape'!$AV239)-3)</f>
        <v>0</v>
      </c>
      <c r="G2061" s="71" t="n">
        <f aca="false">G546*MAX(0,G243-0.5*(G849+G1152+G1455))*MAX(0,MIN(5,'Loan Tape'!$AV239)-4)</f>
        <v>0</v>
      </c>
      <c r="H2061" s="71" t="n">
        <f aca="false">H546*MAX(0,H243-0.5*(H849+H1152+H1455))*MAX(0,MIN(6,'Loan Tape'!$AV239)-5)</f>
        <v>0</v>
      </c>
      <c r="I2061" s="71" t="n">
        <f aca="false">I546*MAX(0,I243-0.5*(I849+I1152+I1455))*MAX(0,MIN(7,'Loan Tape'!$AV239)-6)</f>
        <v>0</v>
      </c>
      <c r="J2061" s="71" t="n">
        <f aca="false">J546*MAX(0,J243-0.5*(J849+J1152+J1455))*MAX(0,MIN(8,'Loan Tape'!$AV239)-7)</f>
        <v>0</v>
      </c>
      <c r="K2061" s="71" t="n">
        <f aca="false">K546*MAX(0,K243-0.5*(K849+K1152+K1455))*MAX(0,MIN(9,'Loan Tape'!$AV239)-8)</f>
        <v>0</v>
      </c>
      <c r="L2061" s="71" t="n">
        <f aca="false">L546*MAX(0,L243-0.5*(L849+L1152+L1455))*MAX(0,MIN(10,'Loan Tape'!$AV239)-9)</f>
        <v>0</v>
      </c>
    </row>
    <row r="2062" customFormat="false" ht="15" hidden="false" customHeight="false" outlineLevel="0" collapsed="false">
      <c r="B2062" s="102" t="n">
        <f aca="false">'Loan Tape'!$A240</f>
        <v>0</v>
      </c>
      <c r="C2062" s="99" t="n">
        <f aca="false">C547*MAX(0,C244-0.5*(C850+C1153+C1456))*MAX(0,MIN(1,'Loan Tape'!$AV240)-0)</f>
        <v>0</v>
      </c>
      <c r="D2062" s="99" t="n">
        <f aca="false">D547*MAX(0,D244-0.5*(D850+D1153+D1456))*MAX(0,MIN(2,'Loan Tape'!$AV240)-1)</f>
        <v>0</v>
      </c>
      <c r="E2062" s="99" t="n">
        <f aca="false">E547*MAX(0,E244-0.5*(E850+E1153+E1456))*MAX(0,MIN(3,'Loan Tape'!$AV240)-2)</f>
        <v>0</v>
      </c>
      <c r="F2062" s="99" t="n">
        <f aca="false">F547*MAX(0,F244-0.5*(F850+F1153+F1456))*MAX(0,MIN(4,'Loan Tape'!$AV240)-3)</f>
        <v>0</v>
      </c>
      <c r="G2062" s="99" t="n">
        <f aca="false">G547*MAX(0,G244-0.5*(G850+G1153+G1456))*MAX(0,MIN(5,'Loan Tape'!$AV240)-4)</f>
        <v>0</v>
      </c>
      <c r="H2062" s="99" t="n">
        <f aca="false">H547*MAX(0,H244-0.5*(H850+H1153+H1456))*MAX(0,MIN(6,'Loan Tape'!$AV240)-5)</f>
        <v>0</v>
      </c>
      <c r="I2062" s="99" t="n">
        <f aca="false">I547*MAX(0,I244-0.5*(I850+I1153+I1456))*MAX(0,MIN(7,'Loan Tape'!$AV240)-6)</f>
        <v>0</v>
      </c>
      <c r="J2062" s="99" t="n">
        <f aca="false">J547*MAX(0,J244-0.5*(J850+J1153+J1456))*MAX(0,MIN(8,'Loan Tape'!$AV240)-7)</f>
        <v>0</v>
      </c>
      <c r="K2062" s="99" t="n">
        <f aca="false">K547*MAX(0,K244-0.5*(K850+K1153+K1456))*MAX(0,MIN(9,'Loan Tape'!$AV240)-8)</f>
        <v>0</v>
      </c>
      <c r="L2062" s="99" t="n">
        <f aca="false">L547*MAX(0,L244-0.5*(L850+L1153+L1456))*MAX(0,MIN(10,'Loan Tape'!$AV240)-9)</f>
        <v>0</v>
      </c>
    </row>
    <row r="2063" customFormat="false" ht="15" hidden="false" customHeight="false" outlineLevel="0" collapsed="false">
      <c r="B2063" s="108" t="n">
        <f aca="false">'Loan Tape'!$A241</f>
        <v>0</v>
      </c>
      <c r="C2063" s="71" t="n">
        <f aca="false">C548*MAX(0,C245-0.5*(C851+C1154+C1457))*MAX(0,MIN(1,'Loan Tape'!$AV241)-0)</f>
        <v>0</v>
      </c>
      <c r="D2063" s="71" t="n">
        <f aca="false">D548*MAX(0,D245-0.5*(D851+D1154+D1457))*MAX(0,MIN(2,'Loan Tape'!$AV241)-1)</f>
        <v>0</v>
      </c>
      <c r="E2063" s="71" t="n">
        <f aca="false">E548*MAX(0,E245-0.5*(E851+E1154+E1457))*MAX(0,MIN(3,'Loan Tape'!$AV241)-2)</f>
        <v>0</v>
      </c>
      <c r="F2063" s="71" t="n">
        <f aca="false">F548*MAX(0,F245-0.5*(F851+F1154+F1457))*MAX(0,MIN(4,'Loan Tape'!$AV241)-3)</f>
        <v>0</v>
      </c>
      <c r="G2063" s="71" t="n">
        <f aca="false">G548*MAX(0,G245-0.5*(G851+G1154+G1457))*MAX(0,MIN(5,'Loan Tape'!$AV241)-4)</f>
        <v>0</v>
      </c>
      <c r="H2063" s="71" t="n">
        <f aca="false">H548*MAX(0,H245-0.5*(H851+H1154+H1457))*MAX(0,MIN(6,'Loan Tape'!$AV241)-5)</f>
        <v>0</v>
      </c>
      <c r="I2063" s="71" t="n">
        <f aca="false">I548*MAX(0,I245-0.5*(I851+I1154+I1457))*MAX(0,MIN(7,'Loan Tape'!$AV241)-6)</f>
        <v>0</v>
      </c>
      <c r="J2063" s="71" t="n">
        <f aca="false">J548*MAX(0,J245-0.5*(J851+J1154+J1457))*MAX(0,MIN(8,'Loan Tape'!$AV241)-7)</f>
        <v>0</v>
      </c>
      <c r="K2063" s="71" t="n">
        <f aca="false">K548*MAX(0,K245-0.5*(K851+K1154+K1457))*MAX(0,MIN(9,'Loan Tape'!$AV241)-8)</f>
        <v>0</v>
      </c>
      <c r="L2063" s="71" t="n">
        <f aca="false">L548*MAX(0,L245-0.5*(L851+L1154+L1457))*MAX(0,MIN(10,'Loan Tape'!$AV241)-9)</f>
        <v>0</v>
      </c>
    </row>
    <row r="2064" customFormat="false" ht="15" hidden="false" customHeight="false" outlineLevel="0" collapsed="false">
      <c r="B2064" s="102" t="n">
        <f aca="false">'Loan Tape'!$A242</f>
        <v>0</v>
      </c>
      <c r="C2064" s="99" t="n">
        <f aca="false">C549*MAX(0,C246-0.5*(C852+C1155+C1458))*MAX(0,MIN(1,'Loan Tape'!$AV242)-0)</f>
        <v>0</v>
      </c>
      <c r="D2064" s="99" t="n">
        <f aca="false">D549*MAX(0,D246-0.5*(D852+D1155+D1458))*MAX(0,MIN(2,'Loan Tape'!$AV242)-1)</f>
        <v>0</v>
      </c>
      <c r="E2064" s="99" t="n">
        <f aca="false">E549*MAX(0,E246-0.5*(E852+E1155+E1458))*MAX(0,MIN(3,'Loan Tape'!$AV242)-2)</f>
        <v>0</v>
      </c>
      <c r="F2064" s="99" t="n">
        <f aca="false">F549*MAX(0,F246-0.5*(F852+F1155+F1458))*MAX(0,MIN(4,'Loan Tape'!$AV242)-3)</f>
        <v>0</v>
      </c>
      <c r="G2064" s="99" t="n">
        <f aca="false">G549*MAX(0,G246-0.5*(G852+G1155+G1458))*MAX(0,MIN(5,'Loan Tape'!$AV242)-4)</f>
        <v>0</v>
      </c>
      <c r="H2064" s="99" t="n">
        <f aca="false">H549*MAX(0,H246-0.5*(H852+H1155+H1458))*MAX(0,MIN(6,'Loan Tape'!$AV242)-5)</f>
        <v>0</v>
      </c>
      <c r="I2064" s="99" t="n">
        <f aca="false">I549*MAX(0,I246-0.5*(I852+I1155+I1458))*MAX(0,MIN(7,'Loan Tape'!$AV242)-6)</f>
        <v>0</v>
      </c>
      <c r="J2064" s="99" t="n">
        <f aca="false">J549*MAX(0,J246-0.5*(J852+J1155+J1458))*MAX(0,MIN(8,'Loan Tape'!$AV242)-7)</f>
        <v>0</v>
      </c>
      <c r="K2064" s="99" t="n">
        <f aca="false">K549*MAX(0,K246-0.5*(K852+K1155+K1458))*MAX(0,MIN(9,'Loan Tape'!$AV242)-8)</f>
        <v>0</v>
      </c>
      <c r="L2064" s="99" t="n">
        <f aca="false">L549*MAX(0,L246-0.5*(L852+L1155+L1458))*MAX(0,MIN(10,'Loan Tape'!$AV242)-9)</f>
        <v>0</v>
      </c>
    </row>
    <row r="2065" customFormat="false" ht="15" hidden="false" customHeight="false" outlineLevel="0" collapsed="false">
      <c r="B2065" s="108" t="n">
        <f aca="false">'Loan Tape'!$A243</f>
        <v>0</v>
      </c>
      <c r="C2065" s="71" t="n">
        <f aca="false">C550*MAX(0,C247-0.5*(C853+C1156+C1459))*MAX(0,MIN(1,'Loan Tape'!$AV243)-0)</f>
        <v>0</v>
      </c>
      <c r="D2065" s="71" t="n">
        <f aca="false">D550*MAX(0,D247-0.5*(D853+D1156+D1459))*MAX(0,MIN(2,'Loan Tape'!$AV243)-1)</f>
        <v>0</v>
      </c>
      <c r="E2065" s="71" t="n">
        <f aca="false">E550*MAX(0,E247-0.5*(E853+E1156+E1459))*MAX(0,MIN(3,'Loan Tape'!$AV243)-2)</f>
        <v>0</v>
      </c>
      <c r="F2065" s="71" t="n">
        <f aca="false">F550*MAX(0,F247-0.5*(F853+F1156+F1459))*MAX(0,MIN(4,'Loan Tape'!$AV243)-3)</f>
        <v>0</v>
      </c>
      <c r="G2065" s="71" t="n">
        <f aca="false">G550*MAX(0,G247-0.5*(G853+G1156+G1459))*MAX(0,MIN(5,'Loan Tape'!$AV243)-4)</f>
        <v>0</v>
      </c>
      <c r="H2065" s="71" t="n">
        <f aca="false">H550*MAX(0,H247-0.5*(H853+H1156+H1459))*MAX(0,MIN(6,'Loan Tape'!$AV243)-5)</f>
        <v>0</v>
      </c>
      <c r="I2065" s="71" t="n">
        <f aca="false">I550*MAX(0,I247-0.5*(I853+I1156+I1459))*MAX(0,MIN(7,'Loan Tape'!$AV243)-6)</f>
        <v>0</v>
      </c>
      <c r="J2065" s="71" t="n">
        <f aca="false">J550*MAX(0,J247-0.5*(J853+J1156+J1459))*MAX(0,MIN(8,'Loan Tape'!$AV243)-7)</f>
        <v>0</v>
      </c>
      <c r="K2065" s="71" t="n">
        <f aca="false">K550*MAX(0,K247-0.5*(K853+K1156+K1459))*MAX(0,MIN(9,'Loan Tape'!$AV243)-8)</f>
        <v>0</v>
      </c>
      <c r="L2065" s="71" t="n">
        <f aca="false">L550*MAX(0,L247-0.5*(L853+L1156+L1459))*MAX(0,MIN(10,'Loan Tape'!$AV243)-9)</f>
        <v>0</v>
      </c>
    </row>
    <row r="2066" customFormat="false" ht="15" hidden="false" customHeight="false" outlineLevel="0" collapsed="false">
      <c r="B2066" s="102" t="n">
        <f aca="false">'Loan Tape'!$A244</f>
        <v>0</v>
      </c>
      <c r="C2066" s="99" t="n">
        <f aca="false">C551*MAX(0,C248-0.5*(C854+C1157+C1460))*MAX(0,MIN(1,'Loan Tape'!$AV244)-0)</f>
        <v>0</v>
      </c>
      <c r="D2066" s="99" t="n">
        <f aca="false">D551*MAX(0,D248-0.5*(D854+D1157+D1460))*MAX(0,MIN(2,'Loan Tape'!$AV244)-1)</f>
        <v>0</v>
      </c>
      <c r="E2066" s="99" t="n">
        <f aca="false">E551*MAX(0,E248-0.5*(E854+E1157+E1460))*MAX(0,MIN(3,'Loan Tape'!$AV244)-2)</f>
        <v>0</v>
      </c>
      <c r="F2066" s="99" t="n">
        <f aca="false">F551*MAX(0,F248-0.5*(F854+F1157+F1460))*MAX(0,MIN(4,'Loan Tape'!$AV244)-3)</f>
        <v>0</v>
      </c>
      <c r="G2066" s="99" t="n">
        <f aca="false">G551*MAX(0,G248-0.5*(G854+G1157+G1460))*MAX(0,MIN(5,'Loan Tape'!$AV244)-4)</f>
        <v>0</v>
      </c>
      <c r="H2066" s="99" t="n">
        <f aca="false">H551*MAX(0,H248-0.5*(H854+H1157+H1460))*MAX(0,MIN(6,'Loan Tape'!$AV244)-5)</f>
        <v>0</v>
      </c>
      <c r="I2066" s="99" t="n">
        <f aca="false">I551*MAX(0,I248-0.5*(I854+I1157+I1460))*MAX(0,MIN(7,'Loan Tape'!$AV244)-6)</f>
        <v>0</v>
      </c>
      <c r="J2066" s="99" t="n">
        <f aca="false">J551*MAX(0,J248-0.5*(J854+J1157+J1460))*MAX(0,MIN(8,'Loan Tape'!$AV244)-7)</f>
        <v>0</v>
      </c>
      <c r="K2066" s="99" t="n">
        <f aca="false">K551*MAX(0,K248-0.5*(K854+K1157+K1460))*MAX(0,MIN(9,'Loan Tape'!$AV244)-8)</f>
        <v>0</v>
      </c>
      <c r="L2066" s="99" t="n">
        <f aca="false">L551*MAX(0,L248-0.5*(L854+L1157+L1460))*MAX(0,MIN(10,'Loan Tape'!$AV244)-9)</f>
        <v>0</v>
      </c>
    </row>
    <row r="2067" customFormat="false" ht="15" hidden="false" customHeight="false" outlineLevel="0" collapsed="false">
      <c r="B2067" s="108" t="n">
        <f aca="false">'Loan Tape'!$A245</f>
        <v>0</v>
      </c>
      <c r="C2067" s="71" t="n">
        <f aca="false">C552*MAX(0,C249-0.5*(C855+C1158+C1461))*MAX(0,MIN(1,'Loan Tape'!$AV245)-0)</f>
        <v>0</v>
      </c>
      <c r="D2067" s="71" t="n">
        <f aca="false">D552*MAX(0,D249-0.5*(D855+D1158+D1461))*MAX(0,MIN(2,'Loan Tape'!$AV245)-1)</f>
        <v>0</v>
      </c>
      <c r="E2067" s="71" t="n">
        <f aca="false">E552*MAX(0,E249-0.5*(E855+E1158+E1461))*MAX(0,MIN(3,'Loan Tape'!$AV245)-2)</f>
        <v>0</v>
      </c>
      <c r="F2067" s="71" t="n">
        <f aca="false">F552*MAX(0,F249-0.5*(F855+F1158+F1461))*MAX(0,MIN(4,'Loan Tape'!$AV245)-3)</f>
        <v>0</v>
      </c>
      <c r="G2067" s="71" t="n">
        <f aca="false">G552*MAX(0,G249-0.5*(G855+G1158+G1461))*MAX(0,MIN(5,'Loan Tape'!$AV245)-4)</f>
        <v>0</v>
      </c>
      <c r="H2067" s="71" t="n">
        <f aca="false">H552*MAX(0,H249-0.5*(H855+H1158+H1461))*MAX(0,MIN(6,'Loan Tape'!$AV245)-5)</f>
        <v>0</v>
      </c>
      <c r="I2067" s="71" t="n">
        <f aca="false">I552*MAX(0,I249-0.5*(I855+I1158+I1461))*MAX(0,MIN(7,'Loan Tape'!$AV245)-6)</f>
        <v>0</v>
      </c>
      <c r="J2067" s="71" t="n">
        <f aca="false">J552*MAX(0,J249-0.5*(J855+J1158+J1461))*MAX(0,MIN(8,'Loan Tape'!$AV245)-7)</f>
        <v>0</v>
      </c>
      <c r="K2067" s="71" t="n">
        <f aca="false">K552*MAX(0,K249-0.5*(K855+K1158+K1461))*MAX(0,MIN(9,'Loan Tape'!$AV245)-8)</f>
        <v>0</v>
      </c>
      <c r="L2067" s="71" t="n">
        <f aca="false">L552*MAX(0,L249-0.5*(L855+L1158+L1461))*MAX(0,MIN(10,'Loan Tape'!$AV245)-9)</f>
        <v>0</v>
      </c>
    </row>
    <row r="2068" customFormat="false" ht="15" hidden="false" customHeight="false" outlineLevel="0" collapsed="false">
      <c r="B2068" s="102" t="n">
        <f aca="false">'Loan Tape'!$A246</f>
        <v>0</v>
      </c>
      <c r="C2068" s="99" t="n">
        <f aca="false">C553*MAX(0,C250-0.5*(C856+C1159+C1462))*MAX(0,MIN(1,'Loan Tape'!$AV246)-0)</f>
        <v>0</v>
      </c>
      <c r="D2068" s="99" t="n">
        <f aca="false">D553*MAX(0,D250-0.5*(D856+D1159+D1462))*MAX(0,MIN(2,'Loan Tape'!$AV246)-1)</f>
        <v>0</v>
      </c>
      <c r="E2068" s="99" t="n">
        <f aca="false">E553*MAX(0,E250-0.5*(E856+E1159+E1462))*MAX(0,MIN(3,'Loan Tape'!$AV246)-2)</f>
        <v>0</v>
      </c>
      <c r="F2068" s="99" t="n">
        <f aca="false">F553*MAX(0,F250-0.5*(F856+F1159+F1462))*MAX(0,MIN(4,'Loan Tape'!$AV246)-3)</f>
        <v>0</v>
      </c>
      <c r="G2068" s="99" t="n">
        <f aca="false">G553*MAX(0,G250-0.5*(G856+G1159+G1462))*MAX(0,MIN(5,'Loan Tape'!$AV246)-4)</f>
        <v>0</v>
      </c>
      <c r="H2068" s="99" t="n">
        <f aca="false">H553*MAX(0,H250-0.5*(H856+H1159+H1462))*MAX(0,MIN(6,'Loan Tape'!$AV246)-5)</f>
        <v>0</v>
      </c>
      <c r="I2068" s="99" t="n">
        <f aca="false">I553*MAX(0,I250-0.5*(I856+I1159+I1462))*MAX(0,MIN(7,'Loan Tape'!$AV246)-6)</f>
        <v>0</v>
      </c>
      <c r="J2068" s="99" t="n">
        <f aca="false">J553*MAX(0,J250-0.5*(J856+J1159+J1462))*MAX(0,MIN(8,'Loan Tape'!$AV246)-7)</f>
        <v>0</v>
      </c>
      <c r="K2068" s="99" t="n">
        <f aca="false">K553*MAX(0,K250-0.5*(K856+K1159+K1462))*MAX(0,MIN(9,'Loan Tape'!$AV246)-8)</f>
        <v>0</v>
      </c>
      <c r="L2068" s="99" t="n">
        <f aca="false">L553*MAX(0,L250-0.5*(L856+L1159+L1462))*MAX(0,MIN(10,'Loan Tape'!$AV246)-9)</f>
        <v>0</v>
      </c>
    </row>
    <row r="2069" customFormat="false" ht="15" hidden="false" customHeight="false" outlineLevel="0" collapsed="false">
      <c r="B2069" s="108" t="n">
        <f aca="false">'Loan Tape'!$A247</f>
        <v>0</v>
      </c>
      <c r="C2069" s="71" t="n">
        <f aca="false">C554*MAX(0,C251-0.5*(C857+C1160+C1463))*MAX(0,MIN(1,'Loan Tape'!$AV247)-0)</f>
        <v>0</v>
      </c>
      <c r="D2069" s="71" t="n">
        <f aca="false">D554*MAX(0,D251-0.5*(D857+D1160+D1463))*MAX(0,MIN(2,'Loan Tape'!$AV247)-1)</f>
        <v>0</v>
      </c>
      <c r="E2069" s="71" t="n">
        <f aca="false">E554*MAX(0,E251-0.5*(E857+E1160+E1463))*MAX(0,MIN(3,'Loan Tape'!$AV247)-2)</f>
        <v>0</v>
      </c>
      <c r="F2069" s="71" t="n">
        <f aca="false">F554*MAX(0,F251-0.5*(F857+F1160+F1463))*MAX(0,MIN(4,'Loan Tape'!$AV247)-3)</f>
        <v>0</v>
      </c>
      <c r="G2069" s="71" t="n">
        <f aca="false">G554*MAX(0,G251-0.5*(G857+G1160+G1463))*MAX(0,MIN(5,'Loan Tape'!$AV247)-4)</f>
        <v>0</v>
      </c>
      <c r="H2069" s="71" t="n">
        <f aca="false">H554*MAX(0,H251-0.5*(H857+H1160+H1463))*MAX(0,MIN(6,'Loan Tape'!$AV247)-5)</f>
        <v>0</v>
      </c>
      <c r="I2069" s="71" t="n">
        <f aca="false">I554*MAX(0,I251-0.5*(I857+I1160+I1463))*MAX(0,MIN(7,'Loan Tape'!$AV247)-6)</f>
        <v>0</v>
      </c>
      <c r="J2069" s="71" t="n">
        <f aca="false">J554*MAX(0,J251-0.5*(J857+J1160+J1463))*MAX(0,MIN(8,'Loan Tape'!$AV247)-7)</f>
        <v>0</v>
      </c>
      <c r="K2069" s="71" t="n">
        <f aca="false">K554*MAX(0,K251-0.5*(K857+K1160+K1463))*MAX(0,MIN(9,'Loan Tape'!$AV247)-8)</f>
        <v>0</v>
      </c>
      <c r="L2069" s="71" t="n">
        <f aca="false">L554*MAX(0,L251-0.5*(L857+L1160+L1463))*MAX(0,MIN(10,'Loan Tape'!$AV247)-9)</f>
        <v>0</v>
      </c>
    </row>
    <row r="2070" customFormat="false" ht="15" hidden="false" customHeight="false" outlineLevel="0" collapsed="false">
      <c r="B2070" s="102" t="n">
        <f aca="false">'Loan Tape'!$A248</f>
        <v>0</v>
      </c>
      <c r="C2070" s="99" t="n">
        <f aca="false">C555*MAX(0,C252-0.5*(C858+C1161+C1464))*MAX(0,MIN(1,'Loan Tape'!$AV248)-0)</f>
        <v>0</v>
      </c>
      <c r="D2070" s="99" t="n">
        <f aca="false">D555*MAX(0,D252-0.5*(D858+D1161+D1464))*MAX(0,MIN(2,'Loan Tape'!$AV248)-1)</f>
        <v>0</v>
      </c>
      <c r="E2070" s="99" t="n">
        <f aca="false">E555*MAX(0,E252-0.5*(E858+E1161+E1464))*MAX(0,MIN(3,'Loan Tape'!$AV248)-2)</f>
        <v>0</v>
      </c>
      <c r="F2070" s="99" t="n">
        <f aca="false">F555*MAX(0,F252-0.5*(F858+F1161+F1464))*MAX(0,MIN(4,'Loan Tape'!$AV248)-3)</f>
        <v>0</v>
      </c>
      <c r="G2070" s="99" t="n">
        <f aca="false">G555*MAX(0,G252-0.5*(G858+G1161+G1464))*MAX(0,MIN(5,'Loan Tape'!$AV248)-4)</f>
        <v>0</v>
      </c>
      <c r="H2070" s="99" t="n">
        <f aca="false">H555*MAX(0,H252-0.5*(H858+H1161+H1464))*MAX(0,MIN(6,'Loan Tape'!$AV248)-5)</f>
        <v>0</v>
      </c>
      <c r="I2070" s="99" t="n">
        <f aca="false">I555*MAX(0,I252-0.5*(I858+I1161+I1464))*MAX(0,MIN(7,'Loan Tape'!$AV248)-6)</f>
        <v>0</v>
      </c>
      <c r="J2070" s="99" t="n">
        <f aca="false">J555*MAX(0,J252-0.5*(J858+J1161+J1464))*MAX(0,MIN(8,'Loan Tape'!$AV248)-7)</f>
        <v>0</v>
      </c>
      <c r="K2070" s="99" t="n">
        <f aca="false">K555*MAX(0,K252-0.5*(K858+K1161+K1464))*MAX(0,MIN(9,'Loan Tape'!$AV248)-8)</f>
        <v>0</v>
      </c>
      <c r="L2070" s="99" t="n">
        <f aca="false">L555*MAX(0,L252-0.5*(L858+L1161+L1464))*MAX(0,MIN(10,'Loan Tape'!$AV248)-9)</f>
        <v>0</v>
      </c>
    </row>
    <row r="2071" customFormat="false" ht="15" hidden="false" customHeight="false" outlineLevel="0" collapsed="false">
      <c r="B2071" s="108" t="n">
        <f aca="false">'Loan Tape'!$A249</f>
        <v>0</v>
      </c>
      <c r="C2071" s="71" t="n">
        <f aca="false">C556*MAX(0,C253-0.5*(C859+C1162+C1465))*MAX(0,MIN(1,'Loan Tape'!$AV249)-0)</f>
        <v>0</v>
      </c>
      <c r="D2071" s="71" t="n">
        <f aca="false">D556*MAX(0,D253-0.5*(D859+D1162+D1465))*MAX(0,MIN(2,'Loan Tape'!$AV249)-1)</f>
        <v>0</v>
      </c>
      <c r="E2071" s="71" t="n">
        <f aca="false">E556*MAX(0,E253-0.5*(E859+E1162+E1465))*MAX(0,MIN(3,'Loan Tape'!$AV249)-2)</f>
        <v>0</v>
      </c>
      <c r="F2071" s="71" t="n">
        <f aca="false">F556*MAX(0,F253-0.5*(F859+F1162+F1465))*MAX(0,MIN(4,'Loan Tape'!$AV249)-3)</f>
        <v>0</v>
      </c>
      <c r="G2071" s="71" t="n">
        <f aca="false">G556*MAX(0,G253-0.5*(G859+G1162+G1465))*MAX(0,MIN(5,'Loan Tape'!$AV249)-4)</f>
        <v>0</v>
      </c>
      <c r="H2071" s="71" t="n">
        <f aca="false">H556*MAX(0,H253-0.5*(H859+H1162+H1465))*MAX(0,MIN(6,'Loan Tape'!$AV249)-5)</f>
        <v>0</v>
      </c>
      <c r="I2071" s="71" t="n">
        <f aca="false">I556*MAX(0,I253-0.5*(I859+I1162+I1465))*MAX(0,MIN(7,'Loan Tape'!$AV249)-6)</f>
        <v>0</v>
      </c>
      <c r="J2071" s="71" t="n">
        <f aca="false">J556*MAX(0,J253-0.5*(J859+J1162+J1465))*MAX(0,MIN(8,'Loan Tape'!$AV249)-7)</f>
        <v>0</v>
      </c>
      <c r="K2071" s="71" t="n">
        <f aca="false">K556*MAX(0,K253-0.5*(K859+K1162+K1465))*MAX(0,MIN(9,'Loan Tape'!$AV249)-8)</f>
        <v>0</v>
      </c>
      <c r="L2071" s="71" t="n">
        <f aca="false">L556*MAX(0,L253-0.5*(L859+L1162+L1465))*MAX(0,MIN(10,'Loan Tape'!$AV249)-9)</f>
        <v>0</v>
      </c>
    </row>
    <row r="2072" customFormat="false" ht="15" hidden="false" customHeight="false" outlineLevel="0" collapsed="false">
      <c r="B2072" s="102" t="n">
        <f aca="false">'Loan Tape'!$A250</f>
        <v>0</v>
      </c>
      <c r="C2072" s="99" t="n">
        <f aca="false">C557*MAX(0,C254-0.5*(C860+C1163+C1466))*MAX(0,MIN(1,'Loan Tape'!$AV250)-0)</f>
        <v>0</v>
      </c>
      <c r="D2072" s="99" t="n">
        <f aca="false">D557*MAX(0,D254-0.5*(D860+D1163+D1466))*MAX(0,MIN(2,'Loan Tape'!$AV250)-1)</f>
        <v>0</v>
      </c>
      <c r="E2072" s="99" t="n">
        <f aca="false">E557*MAX(0,E254-0.5*(E860+E1163+E1466))*MAX(0,MIN(3,'Loan Tape'!$AV250)-2)</f>
        <v>0</v>
      </c>
      <c r="F2072" s="99" t="n">
        <f aca="false">F557*MAX(0,F254-0.5*(F860+F1163+F1466))*MAX(0,MIN(4,'Loan Tape'!$AV250)-3)</f>
        <v>0</v>
      </c>
      <c r="G2072" s="99" t="n">
        <f aca="false">G557*MAX(0,G254-0.5*(G860+G1163+G1466))*MAX(0,MIN(5,'Loan Tape'!$AV250)-4)</f>
        <v>0</v>
      </c>
      <c r="H2072" s="99" t="n">
        <f aca="false">H557*MAX(0,H254-0.5*(H860+H1163+H1466))*MAX(0,MIN(6,'Loan Tape'!$AV250)-5)</f>
        <v>0</v>
      </c>
      <c r="I2072" s="99" t="n">
        <f aca="false">I557*MAX(0,I254-0.5*(I860+I1163+I1466))*MAX(0,MIN(7,'Loan Tape'!$AV250)-6)</f>
        <v>0</v>
      </c>
      <c r="J2072" s="99" t="n">
        <f aca="false">J557*MAX(0,J254-0.5*(J860+J1163+J1466))*MAX(0,MIN(8,'Loan Tape'!$AV250)-7)</f>
        <v>0</v>
      </c>
      <c r="K2072" s="99" t="n">
        <f aca="false">K557*MAX(0,K254-0.5*(K860+K1163+K1466))*MAX(0,MIN(9,'Loan Tape'!$AV250)-8)</f>
        <v>0</v>
      </c>
      <c r="L2072" s="99" t="n">
        <f aca="false">L557*MAX(0,L254-0.5*(L860+L1163+L1466))*MAX(0,MIN(10,'Loan Tape'!$AV250)-9)</f>
        <v>0</v>
      </c>
    </row>
    <row r="2073" customFormat="false" ht="15" hidden="false" customHeight="false" outlineLevel="0" collapsed="false">
      <c r="B2073" s="108" t="n">
        <f aca="false">'Loan Tape'!$A251</f>
        <v>0</v>
      </c>
      <c r="C2073" s="71" t="n">
        <f aca="false">C558*MAX(0,C255-0.5*(C861+C1164+C1467))*MAX(0,MIN(1,'Loan Tape'!$AV251)-0)</f>
        <v>0</v>
      </c>
      <c r="D2073" s="71" t="n">
        <f aca="false">D558*MAX(0,D255-0.5*(D861+D1164+D1467))*MAX(0,MIN(2,'Loan Tape'!$AV251)-1)</f>
        <v>0</v>
      </c>
      <c r="E2073" s="71" t="n">
        <f aca="false">E558*MAX(0,E255-0.5*(E861+E1164+E1467))*MAX(0,MIN(3,'Loan Tape'!$AV251)-2)</f>
        <v>0</v>
      </c>
      <c r="F2073" s="71" t="n">
        <f aca="false">F558*MAX(0,F255-0.5*(F861+F1164+F1467))*MAX(0,MIN(4,'Loan Tape'!$AV251)-3)</f>
        <v>0</v>
      </c>
      <c r="G2073" s="71" t="n">
        <f aca="false">G558*MAX(0,G255-0.5*(G861+G1164+G1467))*MAX(0,MIN(5,'Loan Tape'!$AV251)-4)</f>
        <v>0</v>
      </c>
      <c r="H2073" s="71" t="n">
        <f aca="false">H558*MAX(0,H255-0.5*(H861+H1164+H1467))*MAX(0,MIN(6,'Loan Tape'!$AV251)-5)</f>
        <v>0</v>
      </c>
      <c r="I2073" s="71" t="n">
        <f aca="false">I558*MAX(0,I255-0.5*(I861+I1164+I1467))*MAX(0,MIN(7,'Loan Tape'!$AV251)-6)</f>
        <v>0</v>
      </c>
      <c r="J2073" s="71" t="n">
        <f aca="false">J558*MAX(0,J255-0.5*(J861+J1164+J1467))*MAX(0,MIN(8,'Loan Tape'!$AV251)-7)</f>
        <v>0</v>
      </c>
      <c r="K2073" s="71" t="n">
        <f aca="false">K558*MAX(0,K255-0.5*(K861+K1164+K1467))*MAX(0,MIN(9,'Loan Tape'!$AV251)-8)</f>
        <v>0</v>
      </c>
      <c r="L2073" s="71" t="n">
        <f aca="false">L558*MAX(0,L255-0.5*(L861+L1164+L1467))*MAX(0,MIN(10,'Loan Tape'!$AV251)-9)</f>
        <v>0</v>
      </c>
    </row>
    <row r="2074" customFormat="false" ht="15" hidden="false" customHeight="false" outlineLevel="0" collapsed="false">
      <c r="B2074" s="102" t="n">
        <f aca="false">'Loan Tape'!$A252</f>
        <v>0</v>
      </c>
      <c r="C2074" s="99" t="n">
        <f aca="false">C559*MAX(0,C256-0.5*(C862+C1165+C1468))*MAX(0,MIN(1,'Loan Tape'!$AV252)-0)</f>
        <v>0</v>
      </c>
      <c r="D2074" s="99" t="n">
        <f aca="false">D559*MAX(0,D256-0.5*(D862+D1165+D1468))*MAX(0,MIN(2,'Loan Tape'!$AV252)-1)</f>
        <v>0</v>
      </c>
      <c r="E2074" s="99" t="n">
        <f aca="false">E559*MAX(0,E256-0.5*(E862+E1165+E1468))*MAX(0,MIN(3,'Loan Tape'!$AV252)-2)</f>
        <v>0</v>
      </c>
      <c r="F2074" s="99" t="n">
        <f aca="false">F559*MAX(0,F256-0.5*(F862+F1165+F1468))*MAX(0,MIN(4,'Loan Tape'!$AV252)-3)</f>
        <v>0</v>
      </c>
      <c r="G2074" s="99" t="n">
        <f aca="false">G559*MAX(0,G256-0.5*(G862+G1165+G1468))*MAX(0,MIN(5,'Loan Tape'!$AV252)-4)</f>
        <v>0</v>
      </c>
      <c r="H2074" s="99" t="n">
        <f aca="false">H559*MAX(0,H256-0.5*(H862+H1165+H1468))*MAX(0,MIN(6,'Loan Tape'!$AV252)-5)</f>
        <v>0</v>
      </c>
      <c r="I2074" s="99" t="n">
        <f aca="false">I559*MAX(0,I256-0.5*(I862+I1165+I1468))*MAX(0,MIN(7,'Loan Tape'!$AV252)-6)</f>
        <v>0</v>
      </c>
      <c r="J2074" s="99" t="n">
        <f aca="false">J559*MAX(0,J256-0.5*(J862+J1165+J1468))*MAX(0,MIN(8,'Loan Tape'!$AV252)-7)</f>
        <v>0</v>
      </c>
      <c r="K2074" s="99" t="n">
        <f aca="false">K559*MAX(0,K256-0.5*(K862+K1165+K1468))*MAX(0,MIN(9,'Loan Tape'!$AV252)-8)</f>
        <v>0</v>
      </c>
      <c r="L2074" s="99" t="n">
        <f aca="false">L559*MAX(0,L256-0.5*(L862+L1165+L1468))*MAX(0,MIN(10,'Loan Tape'!$AV252)-9)</f>
        <v>0</v>
      </c>
    </row>
    <row r="2075" customFormat="false" ht="15" hidden="false" customHeight="false" outlineLevel="0" collapsed="false">
      <c r="B2075" s="108" t="n">
        <f aca="false">'Loan Tape'!$A253</f>
        <v>0</v>
      </c>
      <c r="C2075" s="71" t="n">
        <f aca="false">C560*MAX(0,C257-0.5*(C863+C1166+C1469))*MAX(0,MIN(1,'Loan Tape'!$AV253)-0)</f>
        <v>0</v>
      </c>
      <c r="D2075" s="71" t="n">
        <f aca="false">D560*MAX(0,D257-0.5*(D863+D1166+D1469))*MAX(0,MIN(2,'Loan Tape'!$AV253)-1)</f>
        <v>0</v>
      </c>
      <c r="E2075" s="71" t="n">
        <f aca="false">E560*MAX(0,E257-0.5*(E863+E1166+E1469))*MAX(0,MIN(3,'Loan Tape'!$AV253)-2)</f>
        <v>0</v>
      </c>
      <c r="F2075" s="71" t="n">
        <f aca="false">F560*MAX(0,F257-0.5*(F863+F1166+F1469))*MAX(0,MIN(4,'Loan Tape'!$AV253)-3)</f>
        <v>0</v>
      </c>
      <c r="G2075" s="71" t="n">
        <f aca="false">G560*MAX(0,G257-0.5*(G863+G1166+G1469))*MAX(0,MIN(5,'Loan Tape'!$AV253)-4)</f>
        <v>0</v>
      </c>
      <c r="H2075" s="71" t="n">
        <f aca="false">H560*MAX(0,H257-0.5*(H863+H1166+H1469))*MAX(0,MIN(6,'Loan Tape'!$AV253)-5)</f>
        <v>0</v>
      </c>
      <c r="I2075" s="71" t="n">
        <f aca="false">I560*MAX(0,I257-0.5*(I863+I1166+I1469))*MAX(0,MIN(7,'Loan Tape'!$AV253)-6)</f>
        <v>0</v>
      </c>
      <c r="J2075" s="71" t="n">
        <f aca="false">J560*MAX(0,J257-0.5*(J863+J1166+J1469))*MAX(0,MIN(8,'Loan Tape'!$AV253)-7)</f>
        <v>0</v>
      </c>
      <c r="K2075" s="71" t="n">
        <f aca="false">K560*MAX(0,K257-0.5*(K863+K1166+K1469))*MAX(0,MIN(9,'Loan Tape'!$AV253)-8)</f>
        <v>0</v>
      </c>
      <c r="L2075" s="71" t="n">
        <f aca="false">L560*MAX(0,L257-0.5*(L863+L1166+L1469))*MAX(0,MIN(10,'Loan Tape'!$AV253)-9)</f>
        <v>0</v>
      </c>
    </row>
    <row r="2076" customFormat="false" ht="15" hidden="false" customHeight="false" outlineLevel="0" collapsed="false">
      <c r="B2076" s="102" t="n">
        <f aca="false">'Loan Tape'!$A254</f>
        <v>0</v>
      </c>
      <c r="C2076" s="99" t="n">
        <f aca="false">C561*MAX(0,C258-0.5*(C864+C1167+C1470))*MAX(0,MIN(1,'Loan Tape'!$AV254)-0)</f>
        <v>0</v>
      </c>
      <c r="D2076" s="99" t="n">
        <f aca="false">D561*MAX(0,D258-0.5*(D864+D1167+D1470))*MAX(0,MIN(2,'Loan Tape'!$AV254)-1)</f>
        <v>0</v>
      </c>
      <c r="E2076" s="99" t="n">
        <f aca="false">E561*MAX(0,E258-0.5*(E864+E1167+E1470))*MAX(0,MIN(3,'Loan Tape'!$AV254)-2)</f>
        <v>0</v>
      </c>
      <c r="F2076" s="99" t="n">
        <f aca="false">F561*MAX(0,F258-0.5*(F864+F1167+F1470))*MAX(0,MIN(4,'Loan Tape'!$AV254)-3)</f>
        <v>0</v>
      </c>
      <c r="G2076" s="99" t="n">
        <f aca="false">G561*MAX(0,G258-0.5*(G864+G1167+G1470))*MAX(0,MIN(5,'Loan Tape'!$AV254)-4)</f>
        <v>0</v>
      </c>
      <c r="H2076" s="99" t="n">
        <f aca="false">H561*MAX(0,H258-0.5*(H864+H1167+H1470))*MAX(0,MIN(6,'Loan Tape'!$AV254)-5)</f>
        <v>0</v>
      </c>
      <c r="I2076" s="99" t="n">
        <f aca="false">I561*MAX(0,I258-0.5*(I864+I1167+I1470))*MAX(0,MIN(7,'Loan Tape'!$AV254)-6)</f>
        <v>0</v>
      </c>
      <c r="J2076" s="99" t="n">
        <f aca="false">J561*MAX(0,J258-0.5*(J864+J1167+J1470))*MAX(0,MIN(8,'Loan Tape'!$AV254)-7)</f>
        <v>0</v>
      </c>
      <c r="K2076" s="99" t="n">
        <f aca="false">K561*MAX(0,K258-0.5*(K864+K1167+K1470))*MAX(0,MIN(9,'Loan Tape'!$AV254)-8)</f>
        <v>0</v>
      </c>
      <c r="L2076" s="99" t="n">
        <f aca="false">L561*MAX(0,L258-0.5*(L864+L1167+L1470))*MAX(0,MIN(10,'Loan Tape'!$AV254)-9)</f>
        <v>0</v>
      </c>
    </row>
    <row r="2077" customFormat="false" ht="15" hidden="false" customHeight="false" outlineLevel="0" collapsed="false">
      <c r="B2077" s="108" t="n">
        <f aca="false">'Loan Tape'!$A255</f>
        <v>0</v>
      </c>
      <c r="C2077" s="71" t="n">
        <f aca="false">C562*MAX(0,C259-0.5*(C865+C1168+C1471))*MAX(0,MIN(1,'Loan Tape'!$AV255)-0)</f>
        <v>0</v>
      </c>
      <c r="D2077" s="71" t="n">
        <f aca="false">D562*MAX(0,D259-0.5*(D865+D1168+D1471))*MAX(0,MIN(2,'Loan Tape'!$AV255)-1)</f>
        <v>0</v>
      </c>
      <c r="E2077" s="71" t="n">
        <f aca="false">E562*MAX(0,E259-0.5*(E865+E1168+E1471))*MAX(0,MIN(3,'Loan Tape'!$AV255)-2)</f>
        <v>0</v>
      </c>
      <c r="F2077" s="71" t="n">
        <f aca="false">F562*MAX(0,F259-0.5*(F865+F1168+F1471))*MAX(0,MIN(4,'Loan Tape'!$AV255)-3)</f>
        <v>0</v>
      </c>
      <c r="G2077" s="71" t="n">
        <f aca="false">G562*MAX(0,G259-0.5*(G865+G1168+G1471))*MAX(0,MIN(5,'Loan Tape'!$AV255)-4)</f>
        <v>0</v>
      </c>
      <c r="H2077" s="71" t="n">
        <f aca="false">H562*MAX(0,H259-0.5*(H865+H1168+H1471))*MAX(0,MIN(6,'Loan Tape'!$AV255)-5)</f>
        <v>0</v>
      </c>
      <c r="I2077" s="71" t="n">
        <f aca="false">I562*MAX(0,I259-0.5*(I865+I1168+I1471))*MAX(0,MIN(7,'Loan Tape'!$AV255)-6)</f>
        <v>0</v>
      </c>
      <c r="J2077" s="71" t="n">
        <f aca="false">J562*MAX(0,J259-0.5*(J865+J1168+J1471))*MAX(0,MIN(8,'Loan Tape'!$AV255)-7)</f>
        <v>0</v>
      </c>
      <c r="K2077" s="71" t="n">
        <f aca="false">K562*MAX(0,K259-0.5*(K865+K1168+K1471))*MAX(0,MIN(9,'Loan Tape'!$AV255)-8)</f>
        <v>0</v>
      </c>
      <c r="L2077" s="71" t="n">
        <f aca="false">L562*MAX(0,L259-0.5*(L865+L1168+L1471))*MAX(0,MIN(10,'Loan Tape'!$AV255)-9)</f>
        <v>0</v>
      </c>
    </row>
    <row r="2078" customFormat="false" ht="15" hidden="false" customHeight="false" outlineLevel="0" collapsed="false">
      <c r="B2078" s="102" t="n">
        <f aca="false">'Loan Tape'!$A256</f>
        <v>0</v>
      </c>
      <c r="C2078" s="99" t="n">
        <f aca="false">C563*MAX(0,C260-0.5*(C866+C1169+C1472))*MAX(0,MIN(1,'Loan Tape'!$AV256)-0)</f>
        <v>0</v>
      </c>
      <c r="D2078" s="99" t="n">
        <f aca="false">D563*MAX(0,D260-0.5*(D866+D1169+D1472))*MAX(0,MIN(2,'Loan Tape'!$AV256)-1)</f>
        <v>0</v>
      </c>
      <c r="E2078" s="99" t="n">
        <f aca="false">E563*MAX(0,E260-0.5*(E866+E1169+E1472))*MAX(0,MIN(3,'Loan Tape'!$AV256)-2)</f>
        <v>0</v>
      </c>
      <c r="F2078" s="99" t="n">
        <f aca="false">F563*MAX(0,F260-0.5*(F866+F1169+F1472))*MAX(0,MIN(4,'Loan Tape'!$AV256)-3)</f>
        <v>0</v>
      </c>
      <c r="G2078" s="99" t="n">
        <f aca="false">G563*MAX(0,G260-0.5*(G866+G1169+G1472))*MAX(0,MIN(5,'Loan Tape'!$AV256)-4)</f>
        <v>0</v>
      </c>
      <c r="H2078" s="99" t="n">
        <f aca="false">H563*MAX(0,H260-0.5*(H866+H1169+H1472))*MAX(0,MIN(6,'Loan Tape'!$AV256)-5)</f>
        <v>0</v>
      </c>
      <c r="I2078" s="99" t="n">
        <f aca="false">I563*MAX(0,I260-0.5*(I866+I1169+I1472))*MAX(0,MIN(7,'Loan Tape'!$AV256)-6)</f>
        <v>0</v>
      </c>
      <c r="J2078" s="99" t="n">
        <f aca="false">J563*MAX(0,J260-0.5*(J866+J1169+J1472))*MAX(0,MIN(8,'Loan Tape'!$AV256)-7)</f>
        <v>0</v>
      </c>
      <c r="K2078" s="99" t="n">
        <f aca="false">K563*MAX(0,K260-0.5*(K866+K1169+K1472))*MAX(0,MIN(9,'Loan Tape'!$AV256)-8)</f>
        <v>0</v>
      </c>
      <c r="L2078" s="99" t="n">
        <f aca="false">L563*MAX(0,L260-0.5*(L866+L1169+L1472))*MAX(0,MIN(10,'Loan Tape'!$AV256)-9)</f>
        <v>0</v>
      </c>
    </row>
    <row r="2079" customFormat="false" ht="15" hidden="false" customHeight="false" outlineLevel="0" collapsed="false">
      <c r="B2079" s="108" t="n">
        <f aca="false">'Loan Tape'!$A257</f>
        <v>0</v>
      </c>
      <c r="C2079" s="71" t="n">
        <f aca="false">C564*MAX(0,C261-0.5*(C867+C1170+C1473))*MAX(0,MIN(1,'Loan Tape'!$AV257)-0)</f>
        <v>0</v>
      </c>
      <c r="D2079" s="71" t="n">
        <f aca="false">D564*MAX(0,D261-0.5*(D867+D1170+D1473))*MAX(0,MIN(2,'Loan Tape'!$AV257)-1)</f>
        <v>0</v>
      </c>
      <c r="E2079" s="71" t="n">
        <f aca="false">E564*MAX(0,E261-0.5*(E867+E1170+E1473))*MAX(0,MIN(3,'Loan Tape'!$AV257)-2)</f>
        <v>0</v>
      </c>
      <c r="F2079" s="71" t="n">
        <f aca="false">F564*MAX(0,F261-0.5*(F867+F1170+F1473))*MAX(0,MIN(4,'Loan Tape'!$AV257)-3)</f>
        <v>0</v>
      </c>
      <c r="G2079" s="71" t="n">
        <f aca="false">G564*MAX(0,G261-0.5*(G867+G1170+G1473))*MAX(0,MIN(5,'Loan Tape'!$AV257)-4)</f>
        <v>0</v>
      </c>
      <c r="H2079" s="71" t="n">
        <f aca="false">H564*MAX(0,H261-0.5*(H867+H1170+H1473))*MAX(0,MIN(6,'Loan Tape'!$AV257)-5)</f>
        <v>0</v>
      </c>
      <c r="I2079" s="71" t="n">
        <f aca="false">I564*MAX(0,I261-0.5*(I867+I1170+I1473))*MAX(0,MIN(7,'Loan Tape'!$AV257)-6)</f>
        <v>0</v>
      </c>
      <c r="J2079" s="71" t="n">
        <f aca="false">J564*MAX(0,J261-0.5*(J867+J1170+J1473))*MAX(0,MIN(8,'Loan Tape'!$AV257)-7)</f>
        <v>0</v>
      </c>
      <c r="K2079" s="71" t="n">
        <f aca="false">K564*MAX(0,K261-0.5*(K867+K1170+K1473))*MAX(0,MIN(9,'Loan Tape'!$AV257)-8)</f>
        <v>0</v>
      </c>
      <c r="L2079" s="71" t="n">
        <f aca="false">L564*MAX(0,L261-0.5*(L867+L1170+L1473))*MAX(0,MIN(10,'Loan Tape'!$AV257)-9)</f>
        <v>0</v>
      </c>
    </row>
    <row r="2080" customFormat="false" ht="15" hidden="false" customHeight="false" outlineLevel="0" collapsed="false">
      <c r="B2080" s="102" t="n">
        <f aca="false">'Loan Tape'!$A258</f>
        <v>0</v>
      </c>
      <c r="C2080" s="99" t="n">
        <f aca="false">C565*MAX(0,C262-0.5*(C868+C1171+C1474))*MAX(0,MIN(1,'Loan Tape'!$AV258)-0)</f>
        <v>0</v>
      </c>
      <c r="D2080" s="99" t="n">
        <f aca="false">D565*MAX(0,D262-0.5*(D868+D1171+D1474))*MAX(0,MIN(2,'Loan Tape'!$AV258)-1)</f>
        <v>0</v>
      </c>
      <c r="E2080" s="99" t="n">
        <f aca="false">E565*MAX(0,E262-0.5*(E868+E1171+E1474))*MAX(0,MIN(3,'Loan Tape'!$AV258)-2)</f>
        <v>0</v>
      </c>
      <c r="F2080" s="99" t="n">
        <f aca="false">F565*MAX(0,F262-0.5*(F868+F1171+F1474))*MAX(0,MIN(4,'Loan Tape'!$AV258)-3)</f>
        <v>0</v>
      </c>
      <c r="G2080" s="99" t="n">
        <f aca="false">G565*MAX(0,G262-0.5*(G868+G1171+G1474))*MAX(0,MIN(5,'Loan Tape'!$AV258)-4)</f>
        <v>0</v>
      </c>
      <c r="H2080" s="99" t="n">
        <f aca="false">H565*MAX(0,H262-0.5*(H868+H1171+H1474))*MAX(0,MIN(6,'Loan Tape'!$AV258)-5)</f>
        <v>0</v>
      </c>
      <c r="I2080" s="99" t="n">
        <f aca="false">I565*MAX(0,I262-0.5*(I868+I1171+I1474))*MAX(0,MIN(7,'Loan Tape'!$AV258)-6)</f>
        <v>0</v>
      </c>
      <c r="J2080" s="99" t="n">
        <f aca="false">J565*MAX(0,J262-0.5*(J868+J1171+J1474))*MAX(0,MIN(8,'Loan Tape'!$AV258)-7)</f>
        <v>0</v>
      </c>
      <c r="K2080" s="99" t="n">
        <f aca="false">K565*MAX(0,K262-0.5*(K868+K1171+K1474))*MAX(0,MIN(9,'Loan Tape'!$AV258)-8)</f>
        <v>0</v>
      </c>
      <c r="L2080" s="99" t="n">
        <f aca="false">L565*MAX(0,L262-0.5*(L868+L1171+L1474))*MAX(0,MIN(10,'Loan Tape'!$AV258)-9)</f>
        <v>0</v>
      </c>
    </row>
    <row r="2081" customFormat="false" ht="15" hidden="false" customHeight="false" outlineLevel="0" collapsed="false">
      <c r="B2081" s="108" t="n">
        <f aca="false">'Loan Tape'!$A259</f>
        <v>0</v>
      </c>
      <c r="C2081" s="71" t="n">
        <f aca="false">C566*MAX(0,C263-0.5*(C869+C1172+C1475))*MAX(0,MIN(1,'Loan Tape'!$AV259)-0)</f>
        <v>0</v>
      </c>
      <c r="D2081" s="71" t="n">
        <f aca="false">D566*MAX(0,D263-0.5*(D869+D1172+D1475))*MAX(0,MIN(2,'Loan Tape'!$AV259)-1)</f>
        <v>0</v>
      </c>
      <c r="E2081" s="71" t="n">
        <f aca="false">E566*MAX(0,E263-0.5*(E869+E1172+E1475))*MAX(0,MIN(3,'Loan Tape'!$AV259)-2)</f>
        <v>0</v>
      </c>
      <c r="F2081" s="71" t="n">
        <f aca="false">F566*MAX(0,F263-0.5*(F869+F1172+F1475))*MAX(0,MIN(4,'Loan Tape'!$AV259)-3)</f>
        <v>0</v>
      </c>
      <c r="G2081" s="71" t="n">
        <f aca="false">G566*MAX(0,G263-0.5*(G869+G1172+G1475))*MAX(0,MIN(5,'Loan Tape'!$AV259)-4)</f>
        <v>0</v>
      </c>
      <c r="H2081" s="71" t="n">
        <f aca="false">H566*MAX(0,H263-0.5*(H869+H1172+H1475))*MAX(0,MIN(6,'Loan Tape'!$AV259)-5)</f>
        <v>0</v>
      </c>
      <c r="I2081" s="71" t="n">
        <f aca="false">I566*MAX(0,I263-0.5*(I869+I1172+I1475))*MAX(0,MIN(7,'Loan Tape'!$AV259)-6)</f>
        <v>0</v>
      </c>
      <c r="J2081" s="71" t="n">
        <f aca="false">J566*MAX(0,J263-0.5*(J869+J1172+J1475))*MAX(0,MIN(8,'Loan Tape'!$AV259)-7)</f>
        <v>0</v>
      </c>
      <c r="K2081" s="71" t="n">
        <f aca="false">K566*MAX(0,K263-0.5*(K869+K1172+K1475))*MAX(0,MIN(9,'Loan Tape'!$AV259)-8)</f>
        <v>0</v>
      </c>
      <c r="L2081" s="71" t="n">
        <f aca="false">L566*MAX(0,L263-0.5*(L869+L1172+L1475))*MAX(0,MIN(10,'Loan Tape'!$AV259)-9)</f>
        <v>0</v>
      </c>
    </row>
    <row r="2082" customFormat="false" ht="15" hidden="false" customHeight="false" outlineLevel="0" collapsed="false">
      <c r="B2082" s="102" t="n">
        <f aca="false">'Loan Tape'!$A260</f>
        <v>0</v>
      </c>
      <c r="C2082" s="99" t="n">
        <f aca="false">C567*MAX(0,C264-0.5*(C870+C1173+C1476))*MAX(0,MIN(1,'Loan Tape'!$AV260)-0)</f>
        <v>0</v>
      </c>
      <c r="D2082" s="99" t="n">
        <f aca="false">D567*MAX(0,D264-0.5*(D870+D1173+D1476))*MAX(0,MIN(2,'Loan Tape'!$AV260)-1)</f>
        <v>0</v>
      </c>
      <c r="E2082" s="99" t="n">
        <f aca="false">E567*MAX(0,E264-0.5*(E870+E1173+E1476))*MAX(0,MIN(3,'Loan Tape'!$AV260)-2)</f>
        <v>0</v>
      </c>
      <c r="F2082" s="99" t="n">
        <f aca="false">F567*MAX(0,F264-0.5*(F870+F1173+F1476))*MAX(0,MIN(4,'Loan Tape'!$AV260)-3)</f>
        <v>0</v>
      </c>
      <c r="G2082" s="99" t="n">
        <f aca="false">G567*MAX(0,G264-0.5*(G870+G1173+G1476))*MAX(0,MIN(5,'Loan Tape'!$AV260)-4)</f>
        <v>0</v>
      </c>
      <c r="H2082" s="99" t="n">
        <f aca="false">H567*MAX(0,H264-0.5*(H870+H1173+H1476))*MAX(0,MIN(6,'Loan Tape'!$AV260)-5)</f>
        <v>0</v>
      </c>
      <c r="I2082" s="99" t="n">
        <f aca="false">I567*MAX(0,I264-0.5*(I870+I1173+I1476))*MAX(0,MIN(7,'Loan Tape'!$AV260)-6)</f>
        <v>0</v>
      </c>
      <c r="J2082" s="99" t="n">
        <f aca="false">J567*MAX(0,J264-0.5*(J870+J1173+J1476))*MAX(0,MIN(8,'Loan Tape'!$AV260)-7)</f>
        <v>0</v>
      </c>
      <c r="K2082" s="99" t="n">
        <f aca="false">K567*MAX(0,K264-0.5*(K870+K1173+K1476))*MAX(0,MIN(9,'Loan Tape'!$AV260)-8)</f>
        <v>0</v>
      </c>
      <c r="L2082" s="99" t="n">
        <f aca="false">L567*MAX(0,L264-0.5*(L870+L1173+L1476))*MAX(0,MIN(10,'Loan Tape'!$AV260)-9)</f>
        <v>0</v>
      </c>
    </row>
    <row r="2083" customFormat="false" ht="15" hidden="false" customHeight="false" outlineLevel="0" collapsed="false">
      <c r="B2083" s="108" t="n">
        <f aca="false">'Loan Tape'!$A261</f>
        <v>0</v>
      </c>
      <c r="C2083" s="71" t="n">
        <f aca="false">C568*MAX(0,C265-0.5*(C871+C1174+C1477))*MAX(0,MIN(1,'Loan Tape'!$AV261)-0)</f>
        <v>0</v>
      </c>
      <c r="D2083" s="71" t="n">
        <f aca="false">D568*MAX(0,D265-0.5*(D871+D1174+D1477))*MAX(0,MIN(2,'Loan Tape'!$AV261)-1)</f>
        <v>0</v>
      </c>
      <c r="E2083" s="71" t="n">
        <f aca="false">E568*MAX(0,E265-0.5*(E871+E1174+E1477))*MAX(0,MIN(3,'Loan Tape'!$AV261)-2)</f>
        <v>0</v>
      </c>
      <c r="F2083" s="71" t="n">
        <f aca="false">F568*MAX(0,F265-0.5*(F871+F1174+F1477))*MAX(0,MIN(4,'Loan Tape'!$AV261)-3)</f>
        <v>0</v>
      </c>
      <c r="G2083" s="71" t="n">
        <f aca="false">G568*MAX(0,G265-0.5*(G871+G1174+G1477))*MAX(0,MIN(5,'Loan Tape'!$AV261)-4)</f>
        <v>0</v>
      </c>
      <c r="H2083" s="71" t="n">
        <f aca="false">H568*MAX(0,H265-0.5*(H871+H1174+H1477))*MAX(0,MIN(6,'Loan Tape'!$AV261)-5)</f>
        <v>0</v>
      </c>
      <c r="I2083" s="71" t="n">
        <f aca="false">I568*MAX(0,I265-0.5*(I871+I1174+I1477))*MAX(0,MIN(7,'Loan Tape'!$AV261)-6)</f>
        <v>0</v>
      </c>
      <c r="J2083" s="71" t="n">
        <f aca="false">J568*MAX(0,J265-0.5*(J871+J1174+J1477))*MAX(0,MIN(8,'Loan Tape'!$AV261)-7)</f>
        <v>0</v>
      </c>
      <c r="K2083" s="71" t="n">
        <f aca="false">K568*MAX(0,K265-0.5*(K871+K1174+K1477))*MAX(0,MIN(9,'Loan Tape'!$AV261)-8)</f>
        <v>0</v>
      </c>
      <c r="L2083" s="71" t="n">
        <f aca="false">L568*MAX(0,L265-0.5*(L871+L1174+L1477))*MAX(0,MIN(10,'Loan Tape'!$AV261)-9)</f>
        <v>0</v>
      </c>
    </row>
    <row r="2084" customFormat="false" ht="15" hidden="false" customHeight="false" outlineLevel="0" collapsed="false">
      <c r="B2084" s="102" t="n">
        <f aca="false">'Loan Tape'!$A262</f>
        <v>0</v>
      </c>
      <c r="C2084" s="99" t="n">
        <f aca="false">C569*MAX(0,C266-0.5*(C872+C1175+C1478))*MAX(0,MIN(1,'Loan Tape'!$AV262)-0)</f>
        <v>0</v>
      </c>
      <c r="D2084" s="99" t="n">
        <f aca="false">D569*MAX(0,D266-0.5*(D872+D1175+D1478))*MAX(0,MIN(2,'Loan Tape'!$AV262)-1)</f>
        <v>0</v>
      </c>
      <c r="E2084" s="99" t="n">
        <f aca="false">E569*MAX(0,E266-0.5*(E872+E1175+E1478))*MAX(0,MIN(3,'Loan Tape'!$AV262)-2)</f>
        <v>0</v>
      </c>
      <c r="F2084" s="99" t="n">
        <f aca="false">F569*MAX(0,F266-0.5*(F872+F1175+F1478))*MAX(0,MIN(4,'Loan Tape'!$AV262)-3)</f>
        <v>0</v>
      </c>
      <c r="G2084" s="99" t="n">
        <f aca="false">G569*MAX(0,G266-0.5*(G872+G1175+G1478))*MAX(0,MIN(5,'Loan Tape'!$AV262)-4)</f>
        <v>0</v>
      </c>
      <c r="H2084" s="99" t="n">
        <f aca="false">H569*MAX(0,H266-0.5*(H872+H1175+H1478))*MAX(0,MIN(6,'Loan Tape'!$AV262)-5)</f>
        <v>0</v>
      </c>
      <c r="I2084" s="99" t="n">
        <f aca="false">I569*MAX(0,I266-0.5*(I872+I1175+I1478))*MAX(0,MIN(7,'Loan Tape'!$AV262)-6)</f>
        <v>0</v>
      </c>
      <c r="J2084" s="99" t="n">
        <f aca="false">J569*MAX(0,J266-0.5*(J872+J1175+J1478))*MAX(0,MIN(8,'Loan Tape'!$AV262)-7)</f>
        <v>0</v>
      </c>
      <c r="K2084" s="99" t="n">
        <f aca="false">K569*MAX(0,K266-0.5*(K872+K1175+K1478))*MAX(0,MIN(9,'Loan Tape'!$AV262)-8)</f>
        <v>0</v>
      </c>
      <c r="L2084" s="99" t="n">
        <f aca="false">L569*MAX(0,L266-0.5*(L872+L1175+L1478))*MAX(0,MIN(10,'Loan Tape'!$AV262)-9)</f>
        <v>0</v>
      </c>
    </row>
    <row r="2085" customFormat="false" ht="15" hidden="false" customHeight="false" outlineLevel="0" collapsed="false">
      <c r="B2085" s="108" t="n">
        <f aca="false">'Loan Tape'!$A263</f>
        <v>0</v>
      </c>
      <c r="C2085" s="71" t="n">
        <f aca="false">C570*MAX(0,C267-0.5*(C873+C1176+C1479))*MAX(0,MIN(1,'Loan Tape'!$AV263)-0)</f>
        <v>0</v>
      </c>
      <c r="D2085" s="71" t="n">
        <f aca="false">D570*MAX(0,D267-0.5*(D873+D1176+D1479))*MAX(0,MIN(2,'Loan Tape'!$AV263)-1)</f>
        <v>0</v>
      </c>
      <c r="E2085" s="71" t="n">
        <f aca="false">E570*MAX(0,E267-0.5*(E873+E1176+E1479))*MAX(0,MIN(3,'Loan Tape'!$AV263)-2)</f>
        <v>0</v>
      </c>
      <c r="F2085" s="71" t="n">
        <f aca="false">F570*MAX(0,F267-0.5*(F873+F1176+F1479))*MAX(0,MIN(4,'Loan Tape'!$AV263)-3)</f>
        <v>0</v>
      </c>
      <c r="G2085" s="71" t="n">
        <f aca="false">G570*MAX(0,G267-0.5*(G873+G1176+G1479))*MAX(0,MIN(5,'Loan Tape'!$AV263)-4)</f>
        <v>0</v>
      </c>
      <c r="H2085" s="71" t="n">
        <f aca="false">H570*MAX(0,H267-0.5*(H873+H1176+H1479))*MAX(0,MIN(6,'Loan Tape'!$AV263)-5)</f>
        <v>0</v>
      </c>
      <c r="I2085" s="71" t="n">
        <f aca="false">I570*MAX(0,I267-0.5*(I873+I1176+I1479))*MAX(0,MIN(7,'Loan Tape'!$AV263)-6)</f>
        <v>0</v>
      </c>
      <c r="J2085" s="71" t="n">
        <f aca="false">J570*MAX(0,J267-0.5*(J873+J1176+J1479))*MAX(0,MIN(8,'Loan Tape'!$AV263)-7)</f>
        <v>0</v>
      </c>
      <c r="K2085" s="71" t="n">
        <f aca="false">K570*MAX(0,K267-0.5*(K873+K1176+K1479))*MAX(0,MIN(9,'Loan Tape'!$AV263)-8)</f>
        <v>0</v>
      </c>
      <c r="L2085" s="71" t="n">
        <f aca="false">L570*MAX(0,L267-0.5*(L873+L1176+L1479))*MAX(0,MIN(10,'Loan Tape'!$AV263)-9)</f>
        <v>0</v>
      </c>
    </row>
    <row r="2086" customFormat="false" ht="15" hidden="false" customHeight="false" outlineLevel="0" collapsed="false">
      <c r="B2086" s="102" t="n">
        <f aca="false">'Loan Tape'!$A264</f>
        <v>0</v>
      </c>
      <c r="C2086" s="99" t="n">
        <f aca="false">C571*MAX(0,C268-0.5*(C874+C1177+C1480))*MAX(0,MIN(1,'Loan Tape'!$AV264)-0)</f>
        <v>0</v>
      </c>
      <c r="D2086" s="99" t="n">
        <f aca="false">D571*MAX(0,D268-0.5*(D874+D1177+D1480))*MAX(0,MIN(2,'Loan Tape'!$AV264)-1)</f>
        <v>0</v>
      </c>
      <c r="E2086" s="99" t="n">
        <f aca="false">E571*MAX(0,E268-0.5*(E874+E1177+E1480))*MAX(0,MIN(3,'Loan Tape'!$AV264)-2)</f>
        <v>0</v>
      </c>
      <c r="F2086" s="99" t="n">
        <f aca="false">F571*MAX(0,F268-0.5*(F874+F1177+F1480))*MAX(0,MIN(4,'Loan Tape'!$AV264)-3)</f>
        <v>0</v>
      </c>
      <c r="G2086" s="99" t="n">
        <f aca="false">G571*MAX(0,G268-0.5*(G874+G1177+G1480))*MAX(0,MIN(5,'Loan Tape'!$AV264)-4)</f>
        <v>0</v>
      </c>
      <c r="H2086" s="99" t="n">
        <f aca="false">H571*MAX(0,H268-0.5*(H874+H1177+H1480))*MAX(0,MIN(6,'Loan Tape'!$AV264)-5)</f>
        <v>0</v>
      </c>
      <c r="I2086" s="99" t="n">
        <f aca="false">I571*MAX(0,I268-0.5*(I874+I1177+I1480))*MAX(0,MIN(7,'Loan Tape'!$AV264)-6)</f>
        <v>0</v>
      </c>
      <c r="J2086" s="99" t="n">
        <f aca="false">J571*MAX(0,J268-0.5*(J874+J1177+J1480))*MAX(0,MIN(8,'Loan Tape'!$AV264)-7)</f>
        <v>0</v>
      </c>
      <c r="K2086" s="99" t="n">
        <f aca="false">K571*MAX(0,K268-0.5*(K874+K1177+K1480))*MAX(0,MIN(9,'Loan Tape'!$AV264)-8)</f>
        <v>0</v>
      </c>
      <c r="L2086" s="99" t="n">
        <f aca="false">L571*MAX(0,L268-0.5*(L874+L1177+L1480))*MAX(0,MIN(10,'Loan Tape'!$AV264)-9)</f>
        <v>0</v>
      </c>
    </row>
    <row r="2087" customFormat="false" ht="15" hidden="false" customHeight="false" outlineLevel="0" collapsed="false">
      <c r="B2087" s="108" t="n">
        <f aca="false">'Loan Tape'!$A265</f>
        <v>0</v>
      </c>
      <c r="C2087" s="71" t="n">
        <f aca="false">C572*MAX(0,C269-0.5*(C875+C1178+C1481))*MAX(0,MIN(1,'Loan Tape'!$AV265)-0)</f>
        <v>0</v>
      </c>
      <c r="D2087" s="71" t="n">
        <f aca="false">D572*MAX(0,D269-0.5*(D875+D1178+D1481))*MAX(0,MIN(2,'Loan Tape'!$AV265)-1)</f>
        <v>0</v>
      </c>
      <c r="E2087" s="71" t="n">
        <f aca="false">E572*MAX(0,E269-0.5*(E875+E1178+E1481))*MAX(0,MIN(3,'Loan Tape'!$AV265)-2)</f>
        <v>0</v>
      </c>
      <c r="F2087" s="71" t="n">
        <f aca="false">F572*MAX(0,F269-0.5*(F875+F1178+F1481))*MAX(0,MIN(4,'Loan Tape'!$AV265)-3)</f>
        <v>0</v>
      </c>
      <c r="G2087" s="71" t="n">
        <f aca="false">G572*MAX(0,G269-0.5*(G875+G1178+G1481))*MAX(0,MIN(5,'Loan Tape'!$AV265)-4)</f>
        <v>0</v>
      </c>
      <c r="H2087" s="71" t="n">
        <f aca="false">H572*MAX(0,H269-0.5*(H875+H1178+H1481))*MAX(0,MIN(6,'Loan Tape'!$AV265)-5)</f>
        <v>0</v>
      </c>
      <c r="I2087" s="71" t="n">
        <f aca="false">I572*MAX(0,I269-0.5*(I875+I1178+I1481))*MAX(0,MIN(7,'Loan Tape'!$AV265)-6)</f>
        <v>0</v>
      </c>
      <c r="J2087" s="71" t="n">
        <f aca="false">J572*MAX(0,J269-0.5*(J875+J1178+J1481))*MAX(0,MIN(8,'Loan Tape'!$AV265)-7)</f>
        <v>0</v>
      </c>
      <c r="K2087" s="71" t="n">
        <f aca="false">K572*MAX(0,K269-0.5*(K875+K1178+K1481))*MAX(0,MIN(9,'Loan Tape'!$AV265)-8)</f>
        <v>0</v>
      </c>
      <c r="L2087" s="71" t="n">
        <f aca="false">L572*MAX(0,L269-0.5*(L875+L1178+L1481))*MAX(0,MIN(10,'Loan Tape'!$AV265)-9)</f>
        <v>0</v>
      </c>
    </row>
    <row r="2088" customFormat="false" ht="15" hidden="false" customHeight="false" outlineLevel="0" collapsed="false">
      <c r="B2088" s="102" t="n">
        <f aca="false">'Loan Tape'!$A266</f>
        <v>0</v>
      </c>
      <c r="C2088" s="99" t="n">
        <f aca="false">C573*MAX(0,C270-0.5*(C876+C1179+C1482))*MAX(0,MIN(1,'Loan Tape'!$AV266)-0)</f>
        <v>0</v>
      </c>
      <c r="D2088" s="99" t="n">
        <f aca="false">D573*MAX(0,D270-0.5*(D876+D1179+D1482))*MAX(0,MIN(2,'Loan Tape'!$AV266)-1)</f>
        <v>0</v>
      </c>
      <c r="E2088" s="99" t="n">
        <f aca="false">E573*MAX(0,E270-0.5*(E876+E1179+E1482))*MAX(0,MIN(3,'Loan Tape'!$AV266)-2)</f>
        <v>0</v>
      </c>
      <c r="F2088" s="99" t="n">
        <f aca="false">F573*MAX(0,F270-0.5*(F876+F1179+F1482))*MAX(0,MIN(4,'Loan Tape'!$AV266)-3)</f>
        <v>0</v>
      </c>
      <c r="G2088" s="99" t="n">
        <f aca="false">G573*MAX(0,G270-0.5*(G876+G1179+G1482))*MAX(0,MIN(5,'Loan Tape'!$AV266)-4)</f>
        <v>0</v>
      </c>
      <c r="H2088" s="99" t="n">
        <f aca="false">H573*MAX(0,H270-0.5*(H876+H1179+H1482))*MAX(0,MIN(6,'Loan Tape'!$AV266)-5)</f>
        <v>0</v>
      </c>
      <c r="I2088" s="99" t="n">
        <f aca="false">I573*MAX(0,I270-0.5*(I876+I1179+I1482))*MAX(0,MIN(7,'Loan Tape'!$AV266)-6)</f>
        <v>0</v>
      </c>
      <c r="J2088" s="99" t="n">
        <f aca="false">J573*MAX(0,J270-0.5*(J876+J1179+J1482))*MAX(0,MIN(8,'Loan Tape'!$AV266)-7)</f>
        <v>0</v>
      </c>
      <c r="K2088" s="99" t="n">
        <f aca="false">K573*MAX(0,K270-0.5*(K876+K1179+K1482))*MAX(0,MIN(9,'Loan Tape'!$AV266)-8)</f>
        <v>0</v>
      </c>
      <c r="L2088" s="99" t="n">
        <f aca="false">L573*MAX(0,L270-0.5*(L876+L1179+L1482))*MAX(0,MIN(10,'Loan Tape'!$AV266)-9)</f>
        <v>0</v>
      </c>
    </row>
    <row r="2089" customFormat="false" ht="15" hidden="false" customHeight="false" outlineLevel="0" collapsed="false">
      <c r="B2089" s="108" t="n">
        <f aca="false">'Loan Tape'!$A267</f>
        <v>0</v>
      </c>
      <c r="C2089" s="71" t="n">
        <f aca="false">C574*MAX(0,C271-0.5*(C877+C1180+C1483))*MAX(0,MIN(1,'Loan Tape'!$AV267)-0)</f>
        <v>0</v>
      </c>
      <c r="D2089" s="71" t="n">
        <f aca="false">D574*MAX(0,D271-0.5*(D877+D1180+D1483))*MAX(0,MIN(2,'Loan Tape'!$AV267)-1)</f>
        <v>0</v>
      </c>
      <c r="E2089" s="71" t="n">
        <f aca="false">E574*MAX(0,E271-0.5*(E877+E1180+E1483))*MAX(0,MIN(3,'Loan Tape'!$AV267)-2)</f>
        <v>0</v>
      </c>
      <c r="F2089" s="71" t="n">
        <f aca="false">F574*MAX(0,F271-0.5*(F877+F1180+F1483))*MAX(0,MIN(4,'Loan Tape'!$AV267)-3)</f>
        <v>0</v>
      </c>
      <c r="G2089" s="71" t="n">
        <f aca="false">G574*MAX(0,G271-0.5*(G877+G1180+G1483))*MAX(0,MIN(5,'Loan Tape'!$AV267)-4)</f>
        <v>0</v>
      </c>
      <c r="H2089" s="71" t="n">
        <f aca="false">H574*MAX(0,H271-0.5*(H877+H1180+H1483))*MAX(0,MIN(6,'Loan Tape'!$AV267)-5)</f>
        <v>0</v>
      </c>
      <c r="I2089" s="71" t="n">
        <f aca="false">I574*MAX(0,I271-0.5*(I877+I1180+I1483))*MAX(0,MIN(7,'Loan Tape'!$AV267)-6)</f>
        <v>0</v>
      </c>
      <c r="J2089" s="71" t="n">
        <f aca="false">J574*MAX(0,J271-0.5*(J877+J1180+J1483))*MAX(0,MIN(8,'Loan Tape'!$AV267)-7)</f>
        <v>0</v>
      </c>
      <c r="K2089" s="71" t="n">
        <f aca="false">K574*MAX(0,K271-0.5*(K877+K1180+K1483))*MAX(0,MIN(9,'Loan Tape'!$AV267)-8)</f>
        <v>0</v>
      </c>
      <c r="L2089" s="71" t="n">
        <f aca="false">L574*MAX(0,L271-0.5*(L877+L1180+L1483))*MAX(0,MIN(10,'Loan Tape'!$AV267)-9)</f>
        <v>0</v>
      </c>
    </row>
    <row r="2090" customFormat="false" ht="15" hidden="false" customHeight="false" outlineLevel="0" collapsed="false">
      <c r="B2090" s="102" t="n">
        <f aca="false">'Loan Tape'!$A268</f>
        <v>0</v>
      </c>
      <c r="C2090" s="99" t="n">
        <f aca="false">C575*MAX(0,C272-0.5*(C878+C1181+C1484))*MAX(0,MIN(1,'Loan Tape'!$AV268)-0)</f>
        <v>0</v>
      </c>
      <c r="D2090" s="99" t="n">
        <f aca="false">D575*MAX(0,D272-0.5*(D878+D1181+D1484))*MAX(0,MIN(2,'Loan Tape'!$AV268)-1)</f>
        <v>0</v>
      </c>
      <c r="E2090" s="99" t="n">
        <f aca="false">E575*MAX(0,E272-0.5*(E878+E1181+E1484))*MAX(0,MIN(3,'Loan Tape'!$AV268)-2)</f>
        <v>0</v>
      </c>
      <c r="F2090" s="99" t="n">
        <f aca="false">F575*MAX(0,F272-0.5*(F878+F1181+F1484))*MAX(0,MIN(4,'Loan Tape'!$AV268)-3)</f>
        <v>0</v>
      </c>
      <c r="G2090" s="99" t="n">
        <f aca="false">G575*MAX(0,G272-0.5*(G878+G1181+G1484))*MAX(0,MIN(5,'Loan Tape'!$AV268)-4)</f>
        <v>0</v>
      </c>
      <c r="H2090" s="99" t="n">
        <f aca="false">H575*MAX(0,H272-0.5*(H878+H1181+H1484))*MAX(0,MIN(6,'Loan Tape'!$AV268)-5)</f>
        <v>0</v>
      </c>
      <c r="I2090" s="99" t="n">
        <f aca="false">I575*MAX(0,I272-0.5*(I878+I1181+I1484))*MAX(0,MIN(7,'Loan Tape'!$AV268)-6)</f>
        <v>0</v>
      </c>
      <c r="J2090" s="99" t="n">
        <f aca="false">J575*MAX(0,J272-0.5*(J878+J1181+J1484))*MAX(0,MIN(8,'Loan Tape'!$AV268)-7)</f>
        <v>0</v>
      </c>
      <c r="K2090" s="99" t="n">
        <f aca="false">K575*MAX(0,K272-0.5*(K878+K1181+K1484))*MAX(0,MIN(9,'Loan Tape'!$AV268)-8)</f>
        <v>0</v>
      </c>
      <c r="L2090" s="99" t="n">
        <f aca="false">L575*MAX(0,L272-0.5*(L878+L1181+L1484))*MAX(0,MIN(10,'Loan Tape'!$AV268)-9)</f>
        <v>0</v>
      </c>
    </row>
    <row r="2091" customFormat="false" ht="15" hidden="false" customHeight="false" outlineLevel="0" collapsed="false">
      <c r="B2091" s="108" t="n">
        <f aca="false">'Loan Tape'!$A269</f>
        <v>0</v>
      </c>
      <c r="C2091" s="71" t="n">
        <f aca="false">C576*MAX(0,C273-0.5*(C879+C1182+C1485))*MAX(0,MIN(1,'Loan Tape'!$AV269)-0)</f>
        <v>0</v>
      </c>
      <c r="D2091" s="71" t="n">
        <f aca="false">D576*MAX(0,D273-0.5*(D879+D1182+D1485))*MAX(0,MIN(2,'Loan Tape'!$AV269)-1)</f>
        <v>0</v>
      </c>
      <c r="E2091" s="71" t="n">
        <f aca="false">E576*MAX(0,E273-0.5*(E879+E1182+E1485))*MAX(0,MIN(3,'Loan Tape'!$AV269)-2)</f>
        <v>0</v>
      </c>
      <c r="F2091" s="71" t="n">
        <f aca="false">F576*MAX(0,F273-0.5*(F879+F1182+F1485))*MAX(0,MIN(4,'Loan Tape'!$AV269)-3)</f>
        <v>0</v>
      </c>
      <c r="G2091" s="71" t="n">
        <f aca="false">G576*MAX(0,G273-0.5*(G879+G1182+G1485))*MAX(0,MIN(5,'Loan Tape'!$AV269)-4)</f>
        <v>0</v>
      </c>
      <c r="H2091" s="71" t="n">
        <f aca="false">H576*MAX(0,H273-0.5*(H879+H1182+H1485))*MAX(0,MIN(6,'Loan Tape'!$AV269)-5)</f>
        <v>0</v>
      </c>
      <c r="I2091" s="71" t="n">
        <f aca="false">I576*MAX(0,I273-0.5*(I879+I1182+I1485))*MAX(0,MIN(7,'Loan Tape'!$AV269)-6)</f>
        <v>0</v>
      </c>
      <c r="J2091" s="71" t="n">
        <f aca="false">J576*MAX(0,J273-0.5*(J879+J1182+J1485))*MAX(0,MIN(8,'Loan Tape'!$AV269)-7)</f>
        <v>0</v>
      </c>
      <c r="K2091" s="71" t="n">
        <f aca="false">K576*MAX(0,K273-0.5*(K879+K1182+K1485))*MAX(0,MIN(9,'Loan Tape'!$AV269)-8)</f>
        <v>0</v>
      </c>
      <c r="L2091" s="71" t="n">
        <f aca="false">L576*MAX(0,L273-0.5*(L879+L1182+L1485))*MAX(0,MIN(10,'Loan Tape'!$AV269)-9)</f>
        <v>0</v>
      </c>
    </row>
    <row r="2092" customFormat="false" ht="15" hidden="false" customHeight="false" outlineLevel="0" collapsed="false">
      <c r="B2092" s="102" t="n">
        <f aca="false">'Loan Tape'!$A270</f>
        <v>0</v>
      </c>
      <c r="C2092" s="99" t="n">
        <f aca="false">C577*MAX(0,C274-0.5*(C880+C1183+C1486))*MAX(0,MIN(1,'Loan Tape'!$AV270)-0)</f>
        <v>0</v>
      </c>
      <c r="D2092" s="99" t="n">
        <f aca="false">D577*MAX(0,D274-0.5*(D880+D1183+D1486))*MAX(0,MIN(2,'Loan Tape'!$AV270)-1)</f>
        <v>0</v>
      </c>
      <c r="E2092" s="99" t="n">
        <f aca="false">E577*MAX(0,E274-0.5*(E880+E1183+E1486))*MAX(0,MIN(3,'Loan Tape'!$AV270)-2)</f>
        <v>0</v>
      </c>
      <c r="F2092" s="99" t="n">
        <f aca="false">F577*MAX(0,F274-0.5*(F880+F1183+F1486))*MAX(0,MIN(4,'Loan Tape'!$AV270)-3)</f>
        <v>0</v>
      </c>
      <c r="G2092" s="99" t="n">
        <f aca="false">G577*MAX(0,G274-0.5*(G880+G1183+G1486))*MAX(0,MIN(5,'Loan Tape'!$AV270)-4)</f>
        <v>0</v>
      </c>
      <c r="H2092" s="99" t="n">
        <f aca="false">H577*MAX(0,H274-0.5*(H880+H1183+H1486))*MAX(0,MIN(6,'Loan Tape'!$AV270)-5)</f>
        <v>0</v>
      </c>
      <c r="I2092" s="99" t="n">
        <f aca="false">I577*MAX(0,I274-0.5*(I880+I1183+I1486))*MAX(0,MIN(7,'Loan Tape'!$AV270)-6)</f>
        <v>0</v>
      </c>
      <c r="J2092" s="99" t="n">
        <f aca="false">J577*MAX(0,J274-0.5*(J880+J1183+J1486))*MAX(0,MIN(8,'Loan Tape'!$AV270)-7)</f>
        <v>0</v>
      </c>
      <c r="K2092" s="99" t="n">
        <f aca="false">K577*MAX(0,K274-0.5*(K880+K1183+K1486))*MAX(0,MIN(9,'Loan Tape'!$AV270)-8)</f>
        <v>0</v>
      </c>
      <c r="L2092" s="99" t="n">
        <f aca="false">L577*MAX(0,L274-0.5*(L880+L1183+L1486))*MAX(0,MIN(10,'Loan Tape'!$AV270)-9)</f>
        <v>0</v>
      </c>
    </row>
    <row r="2093" customFormat="false" ht="15" hidden="false" customHeight="false" outlineLevel="0" collapsed="false">
      <c r="B2093" s="108" t="n">
        <f aca="false">'Loan Tape'!$A271</f>
        <v>0</v>
      </c>
      <c r="C2093" s="71" t="n">
        <f aca="false">C578*MAX(0,C275-0.5*(C881+C1184+C1487))*MAX(0,MIN(1,'Loan Tape'!$AV271)-0)</f>
        <v>0</v>
      </c>
      <c r="D2093" s="71" t="n">
        <f aca="false">D578*MAX(0,D275-0.5*(D881+D1184+D1487))*MAX(0,MIN(2,'Loan Tape'!$AV271)-1)</f>
        <v>0</v>
      </c>
      <c r="E2093" s="71" t="n">
        <f aca="false">E578*MAX(0,E275-0.5*(E881+E1184+E1487))*MAX(0,MIN(3,'Loan Tape'!$AV271)-2)</f>
        <v>0</v>
      </c>
      <c r="F2093" s="71" t="n">
        <f aca="false">F578*MAX(0,F275-0.5*(F881+F1184+F1487))*MAX(0,MIN(4,'Loan Tape'!$AV271)-3)</f>
        <v>0</v>
      </c>
      <c r="G2093" s="71" t="n">
        <f aca="false">G578*MAX(0,G275-0.5*(G881+G1184+G1487))*MAX(0,MIN(5,'Loan Tape'!$AV271)-4)</f>
        <v>0</v>
      </c>
      <c r="H2093" s="71" t="n">
        <f aca="false">H578*MAX(0,H275-0.5*(H881+H1184+H1487))*MAX(0,MIN(6,'Loan Tape'!$AV271)-5)</f>
        <v>0</v>
      </c>
      <c r="I2093" s="71" t="n">
        <f aca="false">I578*MAX(0,I275-0.5*(I881+I1184+I1487))*MAX(0,MIN(7,'Loan Tape'!$AV271)-6)</f>
        <v>0</v>
      </c>
      <c r="J2093" s="71" t="n">
        <f aca="false">J578*MAX(0,J275-0.5*(J881+J1184+J1487))*MAX(0,MIN(8,'Loan Tape'!$AV271)-7)</f>
        <v>0</v>
      </c>
      <c r="K2093" s="71" t="n">
        <f aca="false">K578*MAX(0,K275-0.5*(K881+K1184+K1487))*MAX(0,MIN(9,'Loan Tape'!$AV271)-8)</f>
        <v>0</v>
      </c>
      <c r="L2093" s="71" t="n">
        <f aca="false">L578*MAX(0,L275-0.5*(L881+L1184+L1487))*MAX(0,MIN(10,'Loan Tape'!$AV271)-9)</f>
        <v>0</v>
      </c>
    </row>
    <row r="2094" customFormat="false" ht="15" hidden="false" customHeight="false" outlineLevel="0" collapsed="false">
      <c r="B2094" s="102" t="n">
        <f aca="false">'Loan Tape'!$A272</f>
        <v>0</v>
      </c>
      <c r="C2094" s="99" t="n">
        <f aca="false">C579*MAX(0,C276-0.5*(C882+C1185+C1488))*MAX(0,MIN(1,'Loan Tape'!$AV272)-0)</f>
        <v>0</v>
      </c>
      <c r="D2094" s="99" t="n">
        <f aca="false">D579*MAX(0,D276-0.5*(D882+D1185+D1488))*MAX(0,MIN(2,'Loan Tape'!$AV272)-1)</f>
        <v>0</v>
      </c>
      <c r="E2094" s="99" t="n">
        <f aca="false">E579*MAX(0,E276-0.5*(E882+E1185+E1488))*MAX(0,MIN(3,'Loan Tape'!$AV272)-2)</f>
        <v>0</v>
      </c>
      <c r="F2094" s="99" t="n">
        <f aca="false">F579*MAX(0,F276-0.5*(F882+F1185+F1488))*MAX(0,MIN(4,'Loan Tape'!$AV272)-3)</f>
        <v>0</v>
      </c>
      <c r="G2094" s="99" t="n">
        <f aca="false">G579*MAX(0,G276-0.5*(G882+G1185+G1488))*MAX(0,MIN(5,'Loan Tape'!$AV272)-4)</f>
        <v>0</v>
      </c>
      <c r="H2094" s="99" t="n">
        <f aca="false">H579*MAX(0,H276-0.5*(H882+H1185+H1488))*MAX(0,MIN(6,'Loan Tape'!$AV272)-5)</f>
        <v>0</v>
      </c>
      <c r="I2094" s="99" t="n">
        <f aca="false">I579*MAX(0,I276-0.5*(I882+I1185+I1488))*MAX(0,MIN(7,'Loan Tape'!$AV272)-6)</f>
        <v>0</v>
      </c>
      <c r="J2094" s="99" t="n">
        <f aca="false">J579*MAX(0,J276-0.5*(J882+J1185+J1488))*MAX(0,MIN(8,'Loan Tape'!$AV272)-7)</f>
        <v>0</v>
      </c>
      <c r="K2094" s="99" t="n">
        <f aca="false">K579*MAX(0,K276-0.5*(K882+K1185+K1488))*MAX(0,MIN(9,'Loan Tape'!$AV272)-8)</f>
        <v>0</v>
      </c>
      <c r="L2094" s="99" t="n">
        <f aca="false">L579*MAX(0,L276-0.5*(L882+L1185+L1488))*MAX(0,MIN(10,'Loan Tape'!$AV272)-9)</f>
        <v>0</v>
      </c>
    </row>
    <row r="2095" customFormat="false" ht="15" hidden="false" customHeight="false" outlineLevel="0" collapsed="false">
      <c r="B2095" s="108" t="n">
        <f aca="false">'Loan Tape'!$A273</f>
        <v>0</v>
      </c>
      <c r="C2095" s="71" t="n">
        <f aca="false">C580*MAX(0,C277-0.5*(C883+C1186+C1489))*MAX(0,MIN(1,'Loan Tape'!$AV273)-0)</f>
        <v>0</v>
      </c>
      <c r="D2095" s="71" t="n">
        <f aca="false">D580*MAX(0,D277-0.5*(D883+D1186+D1489))*MAX(0,MIN(2,'Loan Tape'!$AV273)-1)</f>
        <v>0</v>
      </c>
      <c r="E2095" s="71" t="n">
        <f aca="false">E580*MAX(0,E277-0.5*(E883+E1186+E1489))*MAX(0,MIN(3,'Loan Tape'!$AV273)-2)</f>
        <v>0</v>
      </c>
      <c r="F2095" s="71" t="n">
        <f aca="false">F580*MAX(0,F277-0.5*(F883+F1186+F1489))*MAX(0,MIN(4,'Loan Tape'!$AV273)-3)</f>
        <v>0</v>
      </c>
      <c r="G2095" s="71" t="n">
        <f aca="false">G580*MAX(0,G277-0.5*(G883+G1186+G1489))*MAX(0,MIN(5,'Loan Tape'!$AV273)-4)</f>
        <v>0</v>
      </c>
      <c r="H2095" s="71" t="n">
        <f aca="false">H580*MAX(0,H277-0.5*(H883+H1186+H1489))*MAX(0,MIN(6,'Loan Tape'!$AV273)-5)</f>
        <v>0</v>
      </c>
      <c r="I2095" s="71" t="n">
        <f aca="false">I580*MAX(0,I277-0.5*(I883+I1186+I1489))*MAX(0,MIN(7,'Loan Tape'!$AV273)-6)</f>
        <v>0</v>
      </c>
      <c r="J2095" s="71" t="n">
        <f aca="false">J580*MAX(0,J277-0.5*(J883+J1186+J1489))*MAX(0,MIN(8,'Loan Tape'!$AV273)-7)</f>
        <v>0</v>
      </c>
      <c r="K2095" s="71" t="n">
        <f aca="false">K580*MAX(0,K277-0.5*(K883+K1186+K1489))*MAX(0,MIN(9,'Loan Tape'!$AV273)-8)</f>
        <v>0</v>
      </c>
      <c r="L2095" s="71" t="n">
        <f aca="false">L580*MAX(0,L277-0.5*(L883+L1186+L1489))*MAX(0,MIN(10,'Loan Tape'!$AV273)-9)</f>
        <v>0</v>
      </c>
    </row>
    <row r="2096" customFormat="false" ht="15" hidden="false" customHeight="false" outlineLevel="0" collapsed="false">
      <c r="B2096" s="102" t="n">
        <f aca="false">'Loan Tape'!$A274</f>
        <v>0</v>
      </c>
      <c r="C2096" s="99" t="n">
        <f aca="false">C581*MAX(0,C278-0.5*(C884+C1187+C1490))*MAX(0,MIN(1,'Loan Tape'!$AV274)-0)</f>
        <v>0</v>
      </c>
      <c r="D2096" s="99" t="n">
        <f aca="false">D581*MAX(0,D278-0.5*(D884+D1187+D1490))*MAX(0,MIN(2,'Loan Tape'!$AV274)-1)</f>
        <v>0</v>
      </c>
      <c r="E2096" s="99" t="n">
        <f aca="false">E581*MAX(0,E278-0.5*(E884+E1187+E1490))*MAX(0,MIN(3,'Loan Tape'!$AV274)-2)</f>
        <v>0</v>
      </c>
      <c r="F2096" s="99" t="n">
        <f aca="false">F581*MAX(0,F278-0.5*(F884+F1187+F1490))*MAX(0,MIN(4,'Loan Tape'!$AV274)-3)</f>
        <v>0</v>
      </c>
      <c r="G2096" s="99" t="n">
        <f aca="false">G581*MAX(0,G278-0.5*(G884+G1187+G1490))*MAX(0,MIN(5,'Loan Tape'!$AV274)-4)</f>
        <v>0</v>
      </c>
      <c r="H2096" s="99" t="n">
        <f aca="false">H581*MAX(0,H278-0.5*(H884+H1187+H1490))*MAX(0,MIN(6,'Loan Tape'!$AV274)-5)</f>
        <v>0</v>
      </c>
      <c r="I2096" s="99" t="n">
        <f aca="false">I581*MAX(0,I278-0.5*(I884+I1187+I1490))*MAX(0,MIN(7,'Loan Tape'!$AV274)-6)</f>
        <v>0</v>
      </c>
      <c r="J2096" s="99" t="n">
        <f aca="false">J581*MAX(0,J278-0.5*(J884+J1187+J1490))*MAX(0,MIN(8,'Loan Tape'!$AV274)-7)</f>
        <v>0</v>
      </c>
      <c r="K2096" s="99" t="n">
        <f aca="false">K581*MAX(0,K278-0.5*(K884+K1187+K1490))*MAX(0,MIN(9,'Loan Tape'!$AV274)-8)</f>
        <v>0</v>
      </c>
      <c r="L2096" s="99" t="n">
        <f aca="false">L581*MAX(0,L278-0.5*(L884+L1187+L1490))*MAX(0,MIN(10,'Loan Tape'!$AV274)-9)</f>
        <v>0</v>
      </c>
    </row>
    <row r="2097" customFormat="false" ht="15" hidden="false" customHeight="false" outlineLevel="0" collapsed="false">
      <c r="B2097" s="108" t="n">
        <f aca="false">'Loan Tape'!$A275</f>
        <v>0</v>
      </c>
      <c r="C2097" s="71" t="n">
        <f aca="false">C582*MAX(0,C279-0.5*(C885+C1188+C1491))*MAX(0,MIN(1,'Loan Tape'!$AV275)-0)</f>
        <v>0</v>
      </c>
      <c r="D2097" s="71" t="n">
        <f aca="false">D582*MAX(0,D279-0.5*(D885+D1188+D1491))*MAX(0,MIN(2,'Loan Tape'!$AV275)-1)</f>
        <v>0</v>
      </c>
      <c r="E2097" s="71" t="n">
        <f aca="false">E582*MAX(0,E279-0.5*(E885+E1188+E1491))*MAX(0,MIN(3,'Loan Tape'!$AV275)-2)</f>
        <v>0</v>
      </c>
      <c r="F2097" s="71" t="n">
        <f aca="false">F582*MAX(0,F279-0.5*(F885+F1188+F1491))*MAX(0,MIN(4,'Loan Tape'!$AV275)-3)</f>
        <v>0</v>
      </c>
      <c r="G2097" s="71" t="n">
        <f aca="false">G582*MAX(0,G279-0.5*(G885+G1188+G1491))*MAX(0,MIN(5,'Loan Tape'!$AV275)-4)</f>
        <v>0</v>
      </c>
      <c r="H2097" s="71" t="n">
        <f aca="false">H582*MAX(0,H279-0.5*(H885+H1188+H1491))*MAX(0,MIN(6,'Loan Tape'!$AV275)-5)</f>
        <v>0</v>
      </c>
      <c r="I2097" s="71" t="n">
        <f aca="false">I582*MAX(0,I279-0.5*(I885+I1188+I1491))*MAX(0,MIN(7,'Loan Tape'!$AV275)-6)</f>
        <v>0</v>
      </c>
      <c r="J2097" s="71" t="n">
        <f aca="false">J582*MAX(0,J279-0.5*(J885+J1188+J1491))*MAX(0,MIN(8,'Loan Tape'!$AV275)-7)</f>
        <v>0</v>
      </c>
      <c r="K2097" s="71" t="n">
        <f aca="false">K582*MAX(0,K279-0.5*(K885+K1188+K1491))*MAX(0,MIN(9,'Loan Tape'!$AV275)-8)</f>
        <v>0</v>
      </c>
      <c r="L2097" s="71" t="n">
        <f aca="false">L582*MAX(0,L279-0.5*(L885+L1188+L1491))*MAX(0,MIN(10,'Loan Tape'!$AV275)-9)</f>
        <v>0</v>
      </c>
    </row>
    <row r="2098" customFormat="false" ht="15" hidden="false" customHeight="false" outlineLevel="0" collapsed="false">
      <c r="B2098" s="102" t="n">
        <f aca="false">'Loan Tape'!$A276</f>
        <v>0</v>
      </c>
      <c r="C2098" s="99" t="n">
        <f aca="false">C583*MAX(0,C280-0.5*(C886+C1189+C1492))*MAX(0,MIN(1,'Loan Tape'!$AV276)-0)</f>
        <v>0</v>
      </c>
      <c r="D2098" s="99" t="n">
        <f aca="false">D583*MAX(0,D280-0.5*(D886+D1189+D1492))*MAX(0,MIN(2,'Loan Tape'!$AV276)-1)</f>
        <v>0</v>
      </c>
      <c r="E2098" s="99" t="n">
        <f aca="false">E583*MAX(0,E280-0.5*(E886+E1189+E1492))*MAX(0,MIN(3,'Loan Tape'!$AV276)-2)</f>
        <v>0</v>
      </c>
      <c r="F2098" s="99" t="n">
        <f aca="false">F583*MAX(0,F280-0.5*(F886+F1189+F1492))*MAX(0,MIN(4,'Loan Tape'!$AV276)-3)</f>
        <v>0</v>
      </c>
      <c r="G2098" s="99" t="n">
        <f aca="false">G583*MAX(0,G280-0.5*(G886+G1189+G1492))*MAX(0,MIN(5,'Loan Tape'!$AV276)-4)</f>
        <v>0</v>
      </c>
      <c r="H2098" s="99" t="n">
        <f aca="false">H583*MAX(0,H280-0.5*(H886+H1189+H1492))*MAX(0,MIN(6,'Loan Tape'!$AV276)-5)</f>
        <v>0</v>
      </c>
      <c r="I2098" s="99" t="n">
        <f aca="false">I583*MAX(0,I280-0.5*(I886+I1189+I1492))*MAX(0,MIN(7,'Loan Tape'!$AV276)-6)</f>
        <v>0</v>
      </c>
      <c r="J2098" s="99" t="n">
        <f aca="false">J583*MAX(0,J280-0.5*(J886+J1189+J1492))*MAX(0,MIN(8,'Loan Tape'!$AV276)-7)</f>
        <v>0</v>
      </c>
      <c r="K2098" s="99" t="n">
        <f aca="false">K583*MAX(0,K280-0.5*(K886+K1189+K1492))*MAX(0,MIN(9,'Loan Tape'!$AV276)-8)</f>
        <v>0</v>
      </c>
      <c r="L2098" s="99" t="n">
        <f aca="false">L583*MAX(0,L280-0.5*(L886+L1189+L1492))*MAX(0,MIN(10,'Loan Tape'!$AV276)-9)</f>
        <v>0</v>
      </c>
    </row>
    <row r="2099" customFormat="false" ht="15" hidden="false" customHeight="false" outlineLevel="0" collapsed="false">
      <c r="B2099" s="108" t="n">
        <f aca="false">'Loan Tape'!$A277</f>
        <v>0</v>
      </c>
      <c r="C2099" s="71" t="n">
        <f aca="false">C584*MAX(0,C281-0.5*(C887+C1190+C1493))*MAX(0,MIN(1,'Loan Tape'!$AV277)-0)</f>
        <v>0</v>
      </c>
      <c r="D2099" s="71" t="n">
        <f aca="false">D584*MAX(0,D281-0.5*(D887+D1190+D1493))*MAX(0,MIN(2,'Loan Tape'!$AV277)-1)</f>
        <v>0</v>
      </c>
      <c r="E2099" s="71" t="n">
        <f aca="false">E584*MAX(0,E281-0.5*(E887+E1190+E1493))*MAX(0,MIN(3,'Loan Tape'!$AV277)-2)</f>
        <v>0</v>
      </c>
      <c r="F2099" s="71" t="n">
        <f aca="false">F584*MAX(0,F281-0.5*(F887+F1190+F1493))*MAX(0,MIN(4,'Loan Tape'!$AV277)-3)</f>
        <v>0</v>
      </c>
      <c r="G2099" s="71" t="n">
        <f aca="false">G584*MAX(0,G281-0.5*(G887+G1190+G1493))*MAX(0,MIN(5,'Loan Tape'!$AV277)-4)</f>
        <v>0</v>
      </c>
      <c r="H2099" s="71" t="n">
        <f aca="false">H584*MAX(0,H281-0.5*(H887+H1190+H1493))*MAX(0,MIN(6,'Loan Tape'!$AV277)-5)</f>
        <v>0</v>
      </c>
      <c r="I2099" s="71" t="n">
        <f aca="false">I584*MAX(0,I281-0.5*(I887+I1190+I1493))*MAX(0,MIN(7,'Loan Tape'!$AV277)-6)</f>
        <v>0</v>
      </c>
      <c r="J2099" s="71" t="n">
        <f aca="false">J584*MAX(0,J281-0.5*(J887+J1190+J1493))*MAX(0,MIN(8,'Loan Tape'!$AV277)-7)</f>
        <v>0</v>
      </c>
      <c r="K2099" s="71" t="n">
        <f aca="false">K584*MAX(0,K281-0.5*(K887+K1190+K1493))*MAX(0,MIN(9,'Loan Tape'!$AV277)-8)</f>
        <v>0</v>
      </c>
      <c r="L2099" s="71" t="n">
        <f aca="false">L584*MAX(0,L281-0.5*(L887+L1190+L1493))*MAX(0,MIN(10,'Loan Tape'!$AV277)-9)</f>
        <v>0</v>
      </c>
    </row>
    <row r="2100" customFormat="false" ht="15" hidden="false" customHeight="false" outlineLevel="0" collapsed="false">
      <c r="B2100" s="102" t="n">
        <f aca="false">'Loan Tape'!$A278</f>
        <v>0</v>
      </c>
      <c r="C2100" s="99" t="n">
        <f aca="false">C585*MAX(0,C282-0.5*(C888+C1191+C1494))*MAX(0,MIN(1,'Loan Tape'!$AV278)-0)</f>
        <v>0</v>
      </c>
      <c r="D2100" s="99" t="n">
        <f aca="false">D585*MAX(0,D282-0.5*(D888+D1191+D1494))*MAX(0,MIN(2,'Loan Tape'!$AV278)-1)</f>
        <v>0</v>
      </c>
      <c r="E2100" s="99" t="n">
        <f aca="false">E585*MAX(0,E282-0.5*(E888+E1191+E1494))*MAX(0,MIN(3,'Loan Tape'!$AV278)-2)</f>
        <v>0</v>
      </c>
      <c r="F2100" s="99" t="n">
        <f aca="false">F585*MAX(0,F282-0.5*(F888+F1191+F1494))*MAX(0,MIN(4,'Loan Tape'!$AV278)-3)</f>
        <v>0</v>
      </c>
      <c r="G2100" s="99" t="n">
        <f aca="false">G585*MAX(0,G282-0.5*(G888+G1191+G1494))*MAX(0,MIN(5,'Loan Tape'!$AV278)-4)</f>
        <v>0</v>
      </c>
      <c r="H2100" s="99" t="n">
        <f aca="false">H585*MAX(0,H282-0.5*(H888+H1191+H1494))*MAX(0,MIN(6,'Loan Tape'!$AV278)-5)</f>
        <v>0</v>
      </c>
      <c r="I2100" s="99" t="n">
        <f aca="false">I585*MAX(0,I282-0.5*(I888+I1191+I1494))*MAX(0,MIN(7,'Loan Tape'!$AV278)-6)</f>
        <v>0</v>
      </c>
      <c r="J2100" s="99" t="n">
        <f aca="false">J585*MAX(0,J282-0.5*(J888+J1191+J1494))*MAX(0,MIN(8,'Loan Tape'!$AV278)-7)</f>
        <v>0</v>
      </c>
      <c r="K2100" s="99" t="n">
        <f aca="false">K585*MAX(0,K282-0.5*(K888+K1191+K1494))*MAX(0,MIN(9,'Loan Tape'!$AV278)-8)</f>
        <v>0</v>
      </c>
      <c r="L2100" s="99" t="n">
        <f aca="false">L585*MAX(0,L282-0.5*(L888+L1191+L1494))*MAX(0,MIN(10,'Loan Tape'!$AV278)-9)</f>
        <v>0</v>
      </c>
    </row>
    <row r="2101" customFormat="false" ht="15" hidden="false" customHeight="false" outlineLevel="0" collapsed="false">
      <c r="B2101" s="108" t="n">
        <f aca="false">'Loan Tape'!$A279</f>
        <v>0</v>
      </c>
      <c r="C2101" s="71" t="n">
        <f aca="false">C586*MAX(0,C283-0.5*(C889+C1192+C1495))*MAX(0,MIN(1,'Loan Tape'!$AV279)-0)</f>
        <v>0</v>
      </c>
      <c r="D2101" s="71" t="n">
        <f aca="false">D586*MAX(0,D283-0.5*(D889+D1192+D1495))*MAX(0,MIN(2,'Loan Tape'!$AV279)-1)</f>
        <v>0</v>
      </c>
      <c r="E2101" s="71" t="n">
        <f aca="false">E586*MAX(0,E283-0.5*(E889+E1192+E1495))*MAX(0,MIN(3,'Loan Tape'!$AV279)-2)</f>
        <v>0</v>
      </c>
      <c r="F2101" s="71" t="n">
        <f aca="false">F586*MAX(0,F283-0.5*(F889+F1192+F1495))*MAX(0,MIN(4,'Loan Tape'!$AV279)-3)</f>
        <v>0</v>
      </c>
      <c r="G2101" s="71" t="n">
        <f aca="false">G586*MAX(0,G283-0.5*(G889+G1192+G1495))*MAX(0,MIN(5,'Loan Tape'!$AV279)-4)</f>
        <v>0</v>
      </c>
      <c r="H2101" s="71" t="n">
        <f aca="false">H586*MAX(0,H283-0.5*(H889+H1192+H1495))*MAX(0,MIN(6,'Loan Tape'!$AV279)-5)</f>
        <v>0</v>
      </c>
      <c r="I2101" s="71" t="n">
        <f aca="false">I586*MAX(0,I283-0.5*(I889+I1192+I1495))*MAX(0,MIN(7,'Loan Tape'!$AV279)-6)</f>
        <v>0</v>
      </c>
      <c r="J2101" s="71" t="n">
        <f aca="false">J586*MAX(0,J283-0.5*(J889+J1192+J1495))*MAX(0,MIN(8,'Loan Tape'!$AV279)-7)</f>
        <v>0</v>
      </c>
      <c r="K2101" s="71" t="n">
        <f aca="false">K586*MAX(0,K283-0.5*(K889+K1192+K1495))*MAX(0,MIN(9,'Loan Tape'!$AV279)-8)</f>
        <v>0</v>
      </c>
      <c r="L2101" s="71" t="n">
        <f aca="false">L586*MAX(0,L283-0.5*(L889+L1192+L1495))*MAX(0,MIN(10,'Loan Tape'!$AV279)-9)</f>
        <v>0</v>
      </c>
    </row>
    <row r="2102" customFormat="false" ht="15" hidden="false" customHeight="false" outlineLevel="0" collapsed="false">
      <c r="B2102" s="102" t="n">
        <f aca="false">'Loan Tape'!$A280</f>
        <v>0</v>
      </c>
      <c r="C2102" s="99" t="n">
        <f aca="false">C587*MAX(0,C284-0.5*(C890+C1193+C1496))*MAX(0,MIN(1,'Loan Tape'!$AV280)-0)</f>
        <v>0</v>
      </c>
      <c r="D2102" s="99" t="n">
        <f aca="false">D587*MAX(0,D284-0.5*(D890+D1193+D1496))*MAX(0,MIN(2,'Loan Tape'!$AV280)-1)</f>
        <v>0</v>
      </c>
      <c r="E2102" s="99" t="n">
        <f aca="false">E587*MAX(0,E284-0.5*(E890+E1193+E1496))*MAX(0,MIN(3,'Loan Tape'!$AV280)-2)</f>
        <v>0</v>
      </c>
      <c r="F2102" s="99" t="n">
        <f aca="false">F587*MAX(0,F284-0.5*(F890+F1193+F1496))*MAX(0,MIN(4,'Loan Tape'!$AV280)-3)</f>
        <v>0</v>
      </c>
      <c r="G2102" s="99" t="n">
        <f aca="false">G587*MAX(0,G284-0.5*(G890+G1193+G1496))*MAX(0,MIN(5,'Loan Tape'!$AV280)-4)</f>
        <v>0</v>
      </c>
      <c r="H2102" s="99" t="n">
        <f aca="false">H587*MAX(0,H284-0.5*(H890+H1193+H1496))*MAX(0,MIN(6,'Loan Tape'!$AV280)-5)</f>
        <v>0</v>
      </c>
      <c r="I2102" s="99" t="n">
        <f aca="false">I587*MAX(0,I284-0.5*(I890+I1193+I1496))*MAX(0,MIN(7,'Loan Tape'!$AV280)-6)</f>
        <v>0</v>
      </c>
      <c r="J2102" s="99" t="n">
        <f aca="false">J587*MAX(0,J284-0.5*(J890+J1193+J1496))*MAX(0,MIN(8,'Loan Tape'!$AV280)-7)</f>
        <v>0</v>
      </c>
      <c r="K2102" s="99" t="n">
        <f aca="false">K587*MAX(0,K284-0.5*(K890+K1193+K1496))*MAX(0,MIN(9,'Loan Tape'!$AV280)-8)</f>
        <v>0</v>
      </c>
      <c r="L2102" s="99" t="n">
        <f aca="false">L587*MAX(0,L284-0.5*(L890+L1193+L1496))*MAX(0,MIN(10,'Loan Tape'!$AV280)-9)</f>
        <v>0</v>
      </c>
    </row>
    <row r="2103" customFormat="false" ht="15" hidden="false" customHeight="false" outlineLevel="0" collapsed="false">
      <c r="B2103" s="108" t="n">
        <f aca="false">'Loan Tape'!$A281</f>
        <v>0</v>
      </c>
      <c r="C2103" s="71" t="n">
        <f aca="false">C588*MAX(0,C285-0.5*(C891+C1194+C1497))*MAX(0,MIN(1,'Loan Tape'!$AV281)-0)</f>
        <v>0</v>
      </c>
      <c r="D2103" s="71" t="n">
        <f aca="false">D588*MAX(0,D285-0.5*(D891+D1194+D1497))*MAX(0,MIN(2,'Loan Tape'!$AV281)-1)</f>
        <v>0</v>
      </c>
      <c r="E2103" s="71" t="n">
        <f aca="false">E588*MAX(0,E285-0.5*(E891+E1194+E1497))*MAX(0,MIN(3,'Loan Tape'!$AV281)-2)</f>
        <v>0</v>
      </c>
      <c r="F2103" s="71" t="n">
        <f aca="false">F588*MAX(0,F285-0.5*(F891+F1194+F1497))*MAX(0,MIN(4,'Loan Tape'!$AV281)-3)</f>
        <v>0</v>
      </c>
      <c r="G2103" s="71" t="n">
        <f aca="false">G588*MAX(0,G285-0.5*(G891+G1194+G1497))*MAX(0,MIN(5,'Loan Tape'!$AV281)-4)</f>
        <v>0</v>
      </c>
      <c r="H2103" s="71" t="n">
        <f aca="false">H588*MAX(0,H285-0.5*(H891+H1194+H1497))*MAX(0,MIN(6,'Loan Tape'!$AV281)-5)</f>
        <v>0</v>
      </c>
      <c r="I2103" s="71" t="n">
        <f aca="false">I588*MAX(0,I285-0.5*(I891+I1194+I1497))*MAX(0,MIN(7,'Loan Tape'!$AV281)-6)</f>
        <v>0</v>
      </c>
      <c r="J2103" s="71" t="n">
        <f aca="false">J588*MAX(0,J285-0.5*(J891+J1194+J1497))*MAX(0,MIN(8,'Loan Tape'!$AV281)-7)</f>
        <v>0</v>
      </c>
      <c r="K2103" s="71" t="n">
        <f aca="false">K588*MAX(0,K285-0.5*(K891+K1194+K1497))*MAX(0,MIN(9,'Loan Tape'!$AV281)-8)</f>
        <v>0</v>
      </c>
      <c r="L2103" s="71" t="n">
        <f aca="false">L588*MAX(0,L285-0.5*(L891+L1194+L1497))*MAX(0,MIN(10,'Loan Tape'!$AV281)-9)</f>
        <v>0</v>
      </c>
    </row>
    <row r="2104" customFormat="false" ht="15" hidden="false" customHeight="false" outlineLevel="0" collapsed="false">
      <c r="B2104" s="102" t="n">
        <f aca="false">'Loan Tape'!$A282</f>
        <v>0</v>
      </c>
      <c r="C2104" s="99" t="n">
        <f aca="false">C589*MAX(0,C286-0.5*(C892+C1195+C1498))*MAX(0,MIN(1,'Loan Tape'!$AV282)-0)</f>
        <v>0</v>
      </c>
      <c r="D2104" s="99" t="n">
        <f aca="false">D589*MAX(0,D286-0.5*(D892+D1195+D1498))*MAX(0,MIN(2,'Loan Tape'!$AV282)-1)</f>
        <v>0</v>
      </c>
      <c r="E2104" s="99" t="n">
        <f aca="false">E589*MAX(0,E286-0.5*(E892+E1195+E1498))*MAX(0,MIN(3,'Loan Tape'!$AV282)-2)</f>
        <v>0</v>
      </c>
      <c r="F2104" s="99" t="n">
        <f aca="false">F589*MAX(0,F286-0.5*(F892+F1195+F1498))*MAX(0,MIN(4,'Loan Tape'!$AV282)-3)</f>
        <v>0</v>
      </c>
      <c r="G2104" s="99" t="n">
        <f aca="false">G589*MAX(0,G286-0.5*(G892+G1195+G1498))*MAX(0,MIN(5,'Loan Tape'!$AV282)-4)</f>
        <v>0</v>
      </c>
      <c r="H2104" s="99" t="n">
        <f aca="false">H589*MAX(0,H286-0.5*(H892+H1195+H1498))*MAX(0,MIN(6,'Loan Tape'!$AV282)-5)</f>
        <v>0</v>
      </c>
      <c r="I2104" s="99" t="n">
        <f aca="false">I589*MAX(0,I286-0.5*(I892+I1195+I1498))*MAX(0,MIN(7,'Loan Tape'!$AV282)-6)</f>
        <v>0</v>
      </c>
      <c r="J2104" s="99" t="n">
        <f aca="false">J589*MAX(0,J286-0.5*(J892+J1195+J1498))*MAX(0,MIN(8,'Loan Tape'!$AV282)-7)</f>
        <v>0</v>
      </c>
      <c r="K2104" s="99" t="n">
        <f aca="false">K589*MAX(0,K286-0.5*(K892+K1195+K1498))*MAX(0,MIN(9,'Loan Tape'!$AV282)-8)</f>
        <v>0</v>
      </c>
      <c r="L2104" s="99" t="n">
        <f aca="false">L589*MAX(0,L286-0.5*(L892+L1195+L1498))*MAX(0,MIN(10,'Loan Tape'!$AV282)-9)</f>
        <v>0</v>
      </c>
    </row>
    <row r="2105" customFormat="false" ht="15" hidden="false" customHeight="false" outlineLevel="0" collapsed="false">
      <c r="B2105" s="108" t="n">
        <f aca="false">'Loan Tape'!$A283</f>
        <v>0</v>
      </c>
      <c r="C2105" s="71" t="n">
        <f aca="false">C590*MAX(0,C287-0.5*(C893+C1196+C1499))*MAX(0,MIN(1,'Loan Tape'!$AV283)-0)</f>
        <v>0</v>
      </c>
      <c r="D2105" s="71" t="n">
        <f aca="false">D590*MAX(0,D287-0.5*(D893+D1196+D1499))*MAX(0,MIN(2,'Loan Tape'!$AV283)-1)</f>
        <v>0</v>
      </c>
      <c r="E2105" s="71" t="n">
        <f aca="false">E590*MAX(0,E287-0.5*(E893+E1196+E1499))*MAX(0,MIN(3,'Loan Tape'!$AV283)-2)</f>
        <v>0</v>
      </c>
      <c r="F2105" s="71" t="n">
        <f aca="false">F590*MAX(0,F287-0.5*(F893+F1196+F1499))*MAX(0,MIN(4,'Loan Tape'!$AV283)-3)</f>
        <v>0</v>
      </c>
      <c r="G2105" s="71" t="n">
        <f aca="false">G590*MAX(0,G287-0.5*(G893+G1196+G1499))*MAX(0,MIN(5,'Loan Tape'!$AV283)-4)</f>
        <v>0</v>
      </c>
      <c r="H2105" s="71" t="n">
        <f aca="false">H590*MAX(0,H287-0.5*(H893+H1196+H1499))*MAX(0,MIN(6,'Loan Tape'!$AV283)-5)</f>
        <v>0</v>
      </c>
      <c r="I2105" s="71" t="n">
        <f aca="false">I590*MAX(0,I287-0.5*(I893+I1196+I1499))*MAX(0,MIN(7,'Loan Tape'!$AV283)-6)</f>
        <v>0</v>
      </c>
      <c r="J2105" s="71" t="n">
        <f aca="false">J590*MAX(0,J287-0.5*(J893+J1196+J1499))*MAX(0,MIN(8,'Loan Tape'!$AV283)-7)</f>
        <v>0</v>
      </c>
      <c r="K2105" s="71" t="n">
        <f aca="false">K590*MAX(0,K287-0.5*(K893+K1196+K1499))*MAX(0,MIN(9,'Loan Tape'!$AV283)-8)</f>
        <v>0</v>
      </c>
      <c r="L2105" s="71" t="n">
        <f aca="false">L590*MAX(0,L287-0.5*(L893+L1196+L1499))*MAX(0,MIN(10,'Loan Tape'!$AV283)-9)</f>
        <v>0</v>
      </c>
    </row>
    <row r="2106" customFormat="false" ht="15" hidden="false" customHeight="false" outlineLevel="0" collapsed="false">
      <c r="B2106" s="102" t="n">
        <f aca="false">'Loan Tape'!$A284</f>
        <v>0</v>
      </c>
      <c r="C2106" s="99" t="n">
        <f aca="false">C591*MAX(0,C288-0.5*(C894+C1197+C1500))*MAX(0,MIN(1,'Loan Tape'!$AV284)-0)</f>
        <v>0</v>
      </c>
      <c r="D2106" s="99" t="n">
        <f aca="false">D591*MAX(0,D288-0.5*(D894+D1197+D1500))*MAX(0,MIN(2,'Loan Tape'!$AV284)-1)</f>
        <v>0</v>
      </c>
      <c r="E2106" s="99" t="n">
        <f aca="false">E591*MAX(0,E288-0.5*(E894+E1197+E1500))*MAX(0,MIN(3,'Loan Tape'!$AV284)-2)</f>
        <v>0</v>
      </c>
      <c r="F2106" s="99" t="n">
        <f aca="false">F591*MAX(0,F288-0.5*(F894+F1197+F1500))*MAX(0,MIN(4,'Loan Tape'!$AV284)-3)</f>
        <v>0</v>
      </c>
      <c r="G2106" s="99" t="n">
        <f aca="false">G591*MAX(0,G288-0.5*(G894+G1197+G1500))*MAX(0,MIN(5,'Loan Tape'!$AV284)-4)</f>
        <v>0</v>
      </c>
      <c r="H2106" s="99" t="n">
        <f aca="false">H591*MAX(0,H288-0.5*(H894+H1197+H1500))*MAX(0,MIN(6,'Loan Tape'!$AV284)-5)</f>
        <v>0</v>
      </c>
      <c r="I2106" s="99" t="n">
        <f aca="false">I591*MAX(0,I288-0.5*(I894+I1197+I1500))*MAX(0,MIN(7,'Loan Tape'!$AV284)-6)</f>
        <v>0</v>
      </c>
      <c r="J2106" s="99" t="n">
        <f aca="false">J591*MAX(0,J288-0.5*(J894+J1197+J1500))*MAX(0,MIN(8,'Loan Tape'!$AV284)-7)</f>
        <v>0</v>
      </c>
      <c r="K2106" s="99" t="n">
        <f aca="false">K591*MAX(0,K288-0.5*(K894+K1197+K1500))*MAX(0,MIN(9,'Loan Tape'!$AV284)-8)</f>
        <v>0</v>
      </c>
      <c r="L2106" s="99" t="n">
        <f aca="false">L591*MAX(0,L288-0.5*(L894+L1197+L1500))*MAX(0,MIN(10,'Loan Tape'!$AV284)-9)</f>
        <v>0</v>
      </c>
    </row>
    <row r="2107" customFormat="false" ht="15" hidden="false" customHeight="false" outlineLevel="0" collapsed="false">
      <c r="B2107" s="108" t="n">
        <f aca="false">'Loan Tape'!$A285</f>
        <v>0</v>
      </c>
      <c r="C2107" s="71" t="n">
        <f aca="false">C592*MAX(0,C289-0.5*(C895+C1198+C1501))*MAX(0,MIN(1,'Loan Tape'!$AV285)-0)</f>
        <v>0</v>
      </c>
      <c r="D2107" s="71" t="n">
        <f aca="false">D592*MAX(0,D289-0.5*(D895+D1198+D1501))*MAX(0,MIN(2,'Loan Tape'!$AV285)-1)</f>
        <v>0</v>
      </c>
      <c r="E2107" s="71" t="n">
        <f aca="false">E592*MAX(0,E289-0.5*(E895+E1198+E1501))*MAX(0,MIN(3,'Loan Tape'!$AV285)-2)</f>
        <v>0</v>
      </c>
      <c r="F2107" s="71" t="n">
        <f aca="false">F592*MAX(0,F289-0.5*(F895+F1198+F1501))*MAX(0,MIN(4,'Loan Tape'!$AV285)-3)</f>
        <v>0</v>
      </c>
      <c r="G2107" s="71" t="n">
        <f aca="false">G592*MAX(0,G289-0.5*(G895+G1198+G1501))*MAX(0,MIN(5,'Loan Tape'!$AV285)-4)</f>
        <v>0</v>
      </c>
      <c r="H2107" s="71" t="n">
        <f aca="false">H592*MAX(0,H289-0.5*(H895+H1198+H1501))*MAX(0,MIN(6,'Loan Tape'!$AV285)-5)</f>
        <v>0</v>
      </c>
      <c r="I2107" s="71" t="n">
        <f aca="false">I592*MAX(0,I289-0.5*(I895+I1198+I1501))*MAX(0,MIN(7,'Loan Tape'!$AV285)-6)</f>
        <v>0</v>
      </c>
      <c r="J2107" s="71" t="n">
        <f aca="false">J592*MAX(0,J289-0.5*(J895+J1198+J1501))*MAX(0,MIN(8,'Loan Tape'!$AV285)-7)</f>
        <v>0</v>
      </c>
      <c r="K2107" s="71" t="n">
        <f aca="false">K592*MAX(0,K289-0.5*(K895+K1198+K1501))*MAX(0,MIN(9,'Loan Tape'!$AV285)-8)</f>
        <v>0</v>
      </c>
      <c r="L2107" s="71" t="n">
        <f aca="false">L592*MAX(0,L289-0.5*(L895+L1198+L1501))*MAX(0,MIN(10,'Loan Tape'!$AV285)-9)</f>
        <v>0</v>
      </c>
    </row>
    <row r="2108" customFormat="false" ht="15" hidden="false" customHeight="false" outlineLevel="0" collapsed="false">
      <c r="B2108" s="102" t="n">
        <f aca="false">'Loan Tape'!$A286</f>
        <v>0</v>
      </c>
      <c r="C2108" s="99" t="n">
        <f aca="false">C593*MAX(0,C290-0.5*(C896+C1199+C1502))*MAX(0,MIN(1,'Loan Tape'!$AV286)-0)</f>
        <v>0</v>
      </c>
      <c r="D2108" s="99" t="n">
        <f aca="false">D593*MAX(0,D290-0.5*(D896+D1199+D1502))*MAX(0,MIN(2,'Loan Tape'!$AV286)-1)</f>
        <v>0</v>
      </c>
      <c r="E2108" s="99" t="n">
        <f aca="false">E593*MAX(0,E290-0.5*(E896+E1199+E1502))*MAX(0,MIN(3,'Loan Tape'!$AV286)-2)</f>
        <v>0</v>
      </c>
      <c r="F2108" s="99" t="n">
        <f aca="false">F593*MAX(0,F290-0.5*(F896+F1199+F1502))*MAX(0,MIN(4,'Loan Tape'!$AV286)-3)</f>
        <v>0</v>
      </c>
      <c r="G2108" s="99" t="n">
        <f aca="false">G593*MAX(0,G290-0.5*(G896+G1199+G1502))*MAX(0,MIN(5,'Loan Tape'!$AV286)-4)</f>
        <v>0</v>
      </c>
      <c r="H2108" s="99" t="n">
        <f aca="false">H593*MAX(0,H290-0.5*(H896+H1199+H1502))*MAX(0,MIN(6,'Loan Tape'!$AV286)-5)</f>
        <v>0</v>
      </c>
      <c r="I2108" s="99" t="n">
        <f aca="false">I593*MAX(0,I290-0.5*(I896+I1199+I1502))*MAX(0,MIN(7,'Loan Tape'!$AV286)-6)</f>
        <v>0</v>
      </c>
      <c r="J2108" s="99" t="n">
        <f aca="false">J593*MAX(0,J290-0.5*(J896+J1199+J1502))*MAX(0,MIN(8,'Loan Tape'!$AV286)-7)</f>
        <v>0</v>
      </c>
      <c r="K2108" s="99" t="n">
        <f aca="false">K593*MAX(0,K290-0.5*(K896+K1199+K1502))*MAX(0,MIN(9,'Loan Tape'!$AV286)-8)</f>
        <v>0</v>
      </c>
      <c r="L2108" s="99" t="n">
        <f aca="false">L593*MAX(0,L290-0.5*(L896+L1199+L1502))*MAX(0,MIN(10,'Loan Tape'!$AV286)-9)</f>
        <v>0</v>
      </c>
    </row>
    <row r="2109" customFormat="false" ht="15" hidden="false" customHeight="false" outlineLevel="0" collapsed="false">
      <c r="B2109" s="108" t="n">
        <f aca="false">'Loan Tape'!$A287</f>
        <v>0</v>
      </c>
      <c r="C2109" s="71" t="n">
        <f aca="false">C594*MAX(0,C291-0.5*(C897+C1200+C1503))*MAX(0,MIN(1,'Loan Tape'!$AV287)-0)</f>
        <v>0</v>
      </c>
      <c r="D2109" s="71" t="n">
        <f aca="false">D594*MAX(0,D291-0.5*(D897+D1200+D1503))*MAX(0,MIN(2,'Loan Tape'!$AV287)-1)</f>
        <v>0</v>
      </c>
      <c r="E2109" s="71" t="n">
        <f aca="false">E594*MAX(0,E291-0.5*(E897+E1200+E1503))*MAX(0,MIN(3,'Loan Tape'!$AV287)-2)</f>
        <v>0</v>
      </c>
      <c r="F2109" s="71" t="n">
        <f aca="false">F594*MAX(0,F291-0.5*(F897+F1200+F1503))*MAX(0,MIN(4,'Loan Tape'!$AV287)-3)</f>
        <v>0</v>
      </c>
      <c r="G2109" s="71" t="n">
        <f aca="false">G594*MAX(0,G291-0.5*(G897+G1200+G1503))*MAX(0,MIN(5,'Loan Tape'!$AV287)-4)</f>
        <v>0</v>
      </c>
      <c r="H2109" s="71" t="n">
        <f aca="false">H594*MAX(0,H291-0.5*(H897+H1200+H1503))*MAX(0,MIN(6,'Loan Tape'!$AV287)-5)</f>
        <v>0</v>
      </c>
      <c r="I2109" s="71" t="n">
        <f aca="false">I594*MAX(0,I291-0.5*(I897+I1200+I1503))*MAX(0,MIN(7,'Loan Tape'!$AV287)-6)</f>
        <v>0</v>
      </c>
      <c r="J2109" s="71" t="n">
        <f aca="false">J594*MAX(0,J291-0.5*(J897+J1200+J1503))*MAX(0,MIN(8,'Loan Tape'!$AV287)-7)</f>
        <v>0</v>
      </c>
      <c r="K2109" s="71" t="n">
        <f aca="false">K594*MAX(0,K291-0.5*(K897+K1200+K1503))*MAX(0,MIN(9,'Loan Tape'!$AV287)-8)</f>
        <v>0</v>
      </c>
      <c r="L2109" s="71" t="n">
        <f aca="false">L594*MAX(0,L291-0.5*(L897+L1200+L1503))*MAX(0,MIN(10,'Loan Tape'!$AV287)-9)</f>
        <v>0</v>
      </c>
    </row>
    <row r="2110" customFormat="false" ht="15" hidden="false" customHeight="false" outlineLevel="0" collapsed="false">
      <c r="B2110" s="102" t="n">
        <f aca="false">'Loan Tape'!$A288</f>
        <v>0</v>
      </c>
      <c r="C2110" s="99" t="n">
        <f aca="false">C595*MAX(0,C292-0.5*(C898+C1201+C1504))*MAX(0,MIN(1,'Loan Tape'!$AV288)-0)</f>
        <v>0</v>
      </c>
      <c r="D2110" s="99" t="n">
        <f aca="false">D595*MAX(0,D292-0.5*(D898+D1201+D1504))*MAX(0,MIN(2,'Loan Tape'!$AV288)-1)</f>
        <v>0</v>
      </c>
      <c r="E2110" s="99" t="n">
        <f aca="false">E595*MAX(0,E292-0.5*(E898+E1201+E1504))*MAX(0,MIN(3,'Loan Tape'!$AV288)-2)</f>
        <v>0</v>
      </c>
      <c r="F2110" s="99" t="n">
        <f aca="false">F595*MAX(0,F292-0.5*(F898+F1201+F1504))*MAX(0,MIN(4,'Loan Tape'!$AV288)-3)</f>
        <v>0</v>
      </c>
      <c r="G2110" s="99" t="n">
        <f aca="false">G595*MAX(0,G292-0.5*(G898+G1201+G1504))*MAX(0,MIN(5,'Loan Tape'!$AV288)-4)</f>
        <v>0</v>
      </c>
      <c r="H2110" s="99" t="n">
        <f aca="false">H595*MAX(0,H292-0.5*(H898+H1201+H1504))*MAX(0,MIN(6,'Loan Tape'!$AV288)-5)</f>
        <v>0</v>
      </c>
      <c r="I2110" s="99" t="n">
        <f aca="false">I595*MAX(0,I292-0.5*(I898+I1201+I1504))*MAX(0,MIN(7,'Loan Tape'!$AV288)-6)</f>
        <v>0</v>
      </c>
      <c r="J2110" s="99" t="n">
        <f aca="false">J595*MAX(0,J292-0.5*(J898+J1201+J1504))*MAX(0,MIN(8,'Loan Tape'!$AV288)-7)</f>
        <v>0</v>
      </c>
      <c r="K2110" s="99" t="n">
        <f aca="false">K595*MAX(0,K292-0.5*(K898+K1201+K1504))*MAX(0,MIN(9,'Loan Tape'!$AV288)-8)</f>
        <v>0</v>
      </c>
      <c r="L2110" s="99" t="n">
        <f aca="false">L595*MAX(0,L292-0.5*(L898+L1201+L1504))*MAX(0,MIN(10,'Loan Tape'!$AV288)-9)</f>
        <v>0</v>
      </c>
    </row>
    <row r="2111" customFormat="false" ht="15" hidden="false" customHeight="false" outlineLevel="0" collapsed="false">
      <c r="B2111" s="108" t="n">
        <f aca="false">'Loan Tape'!$A289</f>
        <v>0</v>
      </c>
      <c r="C2111" s="71" t="n">
        <f aca="false">C596*MAX(0,C293-0.5*(C899+C1202+C1505))*MAX(0,MIN(1,'Loan Tape'!$AV289)-0)</f>
        <v>0</v>
      </c>
      <c r="D2111" s="71" t="n">
        <f aca="false">D596*MAX(0,D293-0.5*(D899+D1202+D1505))*MAX(0,MIN(2,'Loan Tape'!$AV289)-1)</f>
        <v>0</v>
      </c>
      <c r="E2111" s="71" t="n">
        <f aca="false">E596*MAX(0,E293-0.5*(E899+E1202+E1505))*MAX(0,MIN(3,'Loan Tape'!$AV289)-2)</f>
        <v>0</v>
      </c>
      <c r="F2111" s="71" t="n">
        <f aca="false">F596*MAX(0,F293-0.5*(F899+F1202+F1505))*MAX(0,MIN(4,'Loan Tape'!$AV289)-3)</f>
        <v>0</v>
      </c>
      <c r="G2111" s="71" t="n">
        <f aca="false">G596*MAX(0,G293-0.5*(G899+G1202+G1505))*MAX(0,MIN(5,'Loan Tape'!$AV289)-4)</f>
        <v>0</v>
      </c>
      <c r="H2111" s="71" t="n">
        <f aca="false">H596*MAX(0,H293-0.5*(H899+H1202+H1505))*MAX(0,MIN(6,'Loan Tape'!$AV289)-5)</f>
        <v>0</v>
      </c>
      <c r="I2111" s="71" t="n">
        <f aca="false">I596*MAX(0,I293-0.5*(I899+I1202+I1505))*MAX(0,MIN(7,'Loan Tape'!$AV289)-6)</f>
        <v>0</v>
      </c>
      <c r="J2111" s="71" t="n">
        <f aca="false">J596*MAX(0,J293-0.5*(J899+J1202+J1505))*MAX(0,MIN(8,'Loan Tape'!$AV289)-7)</f>
        <v>0</v>
      </c>
      <c r="K2111" s="71" t="n">
        <f aca="false">K596*MAX(0,K293-0.5*(K899+K1202+K1505))*MAX(0,MIN(9,'Loan Tape'!$AV289)-8)</f>
        <v>0</v>
      </c>
      <c r="L2111" s="71" t="n">
        <f aca="false">L596*MAX(0,L293-0.5*(L899+L1202+L1505))*MAX(0,MIN(10,'Loan Tape'!$AV289)-9)</f>
        <v>0</v>
      </c>
    </row>
    <row r="2112" customFormat="false" ht="15" hidden="false" customHeight="false" outlineLevel="0" collapsed="false">
      <c r="B2112" s="102" t="n">
        <f aca="false">'Loan Tape'!$A290</f>
        <v>0</v>
      </c>
      <c r="C2112" s="99" t="n">
        <f aca="false">C597*MAX(0,C294-0.5*(C900+C1203+C1506))*MAX(0,MIN(1,'Loan Tape'!$AV290)-0)</f>
        <v>0</v>
      </c>
      <c r="D2112" s="99" t="n">
        <f aca="false">D597*MAX(0,D294-0.5*(D900+D1203+D1506))*MAX(0,MIN(2,'Loan Tape'!$AV290)-1)</f>
        <v>0</v>
      </c>
      <c r="E2112" s="99" t="n">
        <f aca="false">E597*MAX(0,E294-0.5*(E900+E1203+E1506))*MAX(0,MIN(3,'Loan Tape'!$AV290)-2)</f>
        <v>0</v>
      </c>
      <c r="F2112" s="99" t="n">
        <f aca="false">F597*MAX(0,F294-0.5*(F900+F1203+F1506))*MAX(0,MIN(4,'Loan Tape'!$AV290)-3)</f>
        <v>0</v>
      </c>
      <c r="G2112" s="99" t="n">
        <f aca="false">G597*MAX(0,G294-0.5*(G900+G1203+G1506))*MAX(0,MIN(5,'Loan Tape'!$AV290)-4)</f>
        <v>0</v>
      </c>
      <c r="H2112" s="99" t="n">
        <f aca="false">H597*MAX(0,H294-0.5*(H900+H1203+H1506))*MAX(0,MIN(6,'Loan Tape'!$AV290)-5)</f>
        <v>0</v>
      </c>
      <c r="I2112" s="99" t="n">
        <f aca="false">I597*MAX(0,I294-0.5*(I900+I1203+I1506))*MAX(0,MIN(7,'Loan Tape'!$AV290)-6)</f>
        <v>0</v>
      </c>
      <c r="J2112" s="99" t="n">
        <f aca="false">J597*MAX(0,J294-0.5*(J900+J1203+J1506))*MAX(0,MIN(8,'Loan Tape'!$AV290)-7)</f>
        <v>0</v>
      </c>
      <c r="K2112" s="99" t="n">
        <f aca="false">K597*MAX(0,K294-0.5*(K900+K1203+K1506))*MAX(0,MIN(9,'Loan Tape'!$AV290)-8)</f>
        <v>0</v>
      </c>
      <c r="L2112" s="99" t="n">
        <f aca="false">L597*MAX(0,L294-0.5*(L900+L1203+L1506))*MAX(0,MIN(10,'Loan Tape'!$AV290)-9)</f>
        <v>0</v>
      </c>
    </row>
    <row r="2113" customFormat="false" ht="15" hidden="false" customHeight="false" outlineLevel="0" collapsed="false">
      <c r="B2113" s="108" t="n">
        <f aca="false">'Loan Tape'!$A291</f>
        <v>0</v>
      </c>
      <c r="C2113" s="71" t="n">
        <f aca="false">C598*MAX(0,C295-0.5*(C901+C1204+C1507))*MAX(0,MIN(1,'Loan Tape'!$AV291)-0)</f>
        <v>0</v>
      </c>
      <c r="D2113" s="71" t="n">
        <f aca="false">D598*MAX(0,D295-0.5*(D901+D1204+D1507))*MAX(0,MIN(2,'Loan Tape'!$AV291)-1)</f>
        <v>0</v>
      </c>
      <c r="E2113" s="71" t="n">
        <f aca="false">E598*MAX(0,E295-0.5*(E901+E1204+E1507))*MAX(0,MIN(3,'Loan Tape'!$AV291)-2)</f>
        <v>0</v>
      </c>
      <c r="F2113" s="71" t="n">
        <f aca="false">F598*MAX(0,F295-0.5*(F901+F1204+F1507))*MAX(0,MIN(4,'Loan Tape'!$AV291)-3)</f>
        <v>0</v>
      </c>
      <c r="G2113" s="71" t="n">
        <f aca="false">G598*MAX(0,G295-0.5*(G901+G1204+G1507))*MAX(0,MIN(5,'Loan Tape'!$AV291)-4)</f>
        <v>0</v>
      </c>
      <c r="H2113" s="71" t="n">
        <f aca="false">H598*MAX(0,H295-0.5*(H901+H1204+H1507))*MAX(0,MIN(6,'Loan Tape'!$AV291)-5)</f>
        <v>0</v>
      </c>
      <c r="I2113" s="71" t="n">
        <f aca="false">I598*MAX(0,I295-0.5*(I901+I1204+I1507))*MAX(0,MIN(7,'Loan Tape'!$AV291)-6)</f>
        <v>0</v>
      </c>
      <c r="J2113" s="71" t="n">
        <f aca="false">J598*MAX(0,J295-0.5*(J901+J1204+J1507))*MAX(0,MIN(8,'Loan Tape'!$AV291)-7)</f>
        <v>0</v>
      </c>
      <c r="K2113" s="71" t="n">
        <f aca="false">K598*MAX(0,K295-0.5*(K901+K1204+K1507))*MAX(0,MIN(9,'Loan Tape'!$AV291)-8)</f>
        <v>0</v>
      </c>
      <c r="L2113" s="71" t="n">
        <f aca="false">L598*MAX(0,L295-0.5*(L901+L1204+L1507))*MAX(0,MIN(10,'Loan Tape'!$AV291)-9)</f>
        <v>0</v>
      </c>
    </row>
    <row r="2114" customFormat="false" ht="15" hidden="false" customHeight="false" outlineLevel="0" collapsed="false">
      <c r="B2114" s="102" t="n">
        <f aca="false">'Loan Tape'!$A292</f>
        <v>0</v>
      </c>
      <c r="C2114" s="99" t="n">
        <f aca="false">C599*MAX(0,C296-0.5*(C902+C1205+C1508))*MAX(0,MIN(1,'Loan Tape'!$AV292)-0)</f>
        <v>0</v>
      </c>
      <c r="D2114" s="99" t="n">
        <f aca="false">D599*MAX(0,D296-0.5*(D902+D1205+D1508))*MAX(0,MIN(2,'Loan Tape'!$AV292)-1)</f>
        <v>0</v>
      </c>
      <c r="E2114" s="99" t="n">
        <f aca="false">E599*MAX(0,E296-0.5*(E902+E1205+E1508))*MAX(0,MIN(3,'Loan Tape'!$AV292)-2)</f>
        <v>0</v>
      </c>
      <c r="F2114" s="99" t="n">
        <f aca="false">F599*MAX(0,F296-0.5*(F902+F1205+F1508))*MAX(0,MIN(4,'Loan Tape'!$AV292)-3)</f>
        <v>0</v>
      </c>
      <c r="G2114" s="99" t="n">
        <f aca="false">G599*MAX(0,G296-0.5*(G902+G1205+G1508))*MAX(0,MIN(5,'Loan Tape'!$AV292)-4)</f>
        <v>0</v>
      </c>
      <c r="H2114" s="99" t="n">
        <f aca="false">H599*MAX(0,H296-0.5*(H902+H1205+H1508))*MAX(0,MIN(6,'Loan Tape'!$AV292)-5)</f>
        <v>0</v>
      </c>
      <c r="I2114" s="99" t="n">
        <f aca="false">I599*MAX(0,I296-0.5*(I902+I1205+I1508))*MAX(0,MIN(7,'Loan Tape'!$AV292)-6)</f>
        <v>0</v>
      </c>
      <c r="J2114" s="99" t="n">
        <f aca="false">J599*MAX(0,J296-0.5*(J902+J1205+J1508))*MAX(0,MIN(8,'Loan Tape'!$AV292)-7)</f>
        <v>0</v>
      </c>
      <c r="K2114" s="99" t="n">
        <f aca="false">K599*MAX(0,K296-0.5*(K902+K1205+K1508))*MAX(0,MIN(9,'Loan Tape'!$AV292)-8)</f>
        <v>0</v>
      </c>
      <c r="L2114" s="99" t="n">
        <f aca="false">L599*MAX(0,L296-0.5*(L902+L1205+L1508))*MAX(0,MIN(10,'Loan Tape'!$AV292)-9)</f>
        <v>0</v>
      </c>
    </row>
    <row r="2115" customFormat="false" ht="15" hidden="false" customHeight="false" outlineLevel="0" collapsed="false">
      <c r="B2115" s="108" t="n">
        <f aca="false">'Loan Tape'!$A293</f>
        <v>0</v>
      </c>
      <c r="C2115" s="71" t="n">
        <f aca="false">C600*MAX(0,C297-0.5*(C903+C1206+C1509))*MAX(0,MIN(1,'Loan Tape'!$AV293)-0)</f>
        <v>0</v>
      </c>
      <c r="D2115" s="71" t="n">
        <f aca="false">D600*MAX(0,D297-0.5*(D903+D1206+D1509))*MAX(0,MIN(2,'Loan Tape'!$AV293)-1)</f>
        <v>0</v>
      </c>
      <c r="E2115" s="71" t="n">
        <f aca="false">E600*MAX(0,E297-0.5*(E903+E1206+E1509))*MAX(0,MIN(3,'Loan Tape'!$AV293)-2)</f>
        <v>0</v>
      </c>
      <c r="F2115" s="71" t="n">
        <f aca="false">F600*MAX(0,F297-0.5*(F903+F1206+F1509))*MAX(0,MIN(4,'Loan Tape'!$AV293)-3)</f>
        <v>0</v>
      </c>
      <c r="G2115" s="71" t="n">
        <f aca="false">G600*MAX(0,G297-0.5*(G903+G1206+G1509))*MAX(0,MIN(5,'Loan Tape'!$AV293)-4)</f>
        <v>0</v>
      </c>
      <c r="H2115" s="71" t="n">
        <f aca="false">H600*MAX(0,H297-0.5*(H903+H1206+H1509))*MAX(0,MIN(6,'Loan Tape'!$AV293)-5)</f>
        <v>0</v>
      </c>
      <c r="I2115" s="71" t="n">
        <f aca="false">I600*MAX(0,I297-0.5*(I903+I1206+I1509))*MAX(0,MIN(7,'Loan Tape'!$AV293)-6)</f>
        <v>0</v>
      </c>
      <c r="J2115" s="71" t="n">
        <f aca="false">J600*MAX(0,J297-0.5*(J903+J1206+J1509))*MAX(0,MIN(8,'Loan Tape'!$AV293)-7)</f>
        <v>0</v>
      </c>
      <c r="K2115" s="71" t="n">
        <f aca="false">K600*MAX(0,K297-0.5*(K903+K1206+K1509))*MAX(0,MIN(9,'Loan Tape'!$AV293)-8)</f>
        <v>0</v>
      </c>
      <c r="L2115" s="71" t="n">
        <f aca="false">L600*MAX(0,L297-0.5*(L903+L1206+L1509))*MAX(0,MIN(10,'Loan Tape'!$AV293)-9)</f>
        <v>0</v>
      </c>
    </row>
    <row r="2116" customFormat="false" ht="15" hidden="false" customHeight="false" outlineLevel="0" collapsed="false">
      <c r="B2116" s="102" t="n">
        <f aca="false">'Loan Tape'!$A294</f>
        <v>0</v>
      </c>
      <c r="C2116" s="99" t="n">
        <f aca="false">C601*MAX(0,C298-0.5*(C904+C1207+C1510))*MAX(0,MIN(1,'Loan Tape'!$AV294)-0)</f>
        <v>0</v>
      </c>
      <c r="D2116" s="99" t="n">
        <f aca="false">D601*MAX(0,D298-0.5*(D904+D1207+D1510))*MAX(0,MIN(2,'Loan Tape'!$AV294)-1)</f>
        <v>0</v>
      </c>
      <c r="E2116" s="99" t="n">
        <f aca="false">E601*MAX(0,E298-0.5*(E904+E1207+E1510))*MAX(0,MIN(3,'Loan Tape'!$AV294)-2)</f>
        <v>0</v>
      </c>
      <c r="F2116" s="99" t="n">
        <f aca="false">F601*MAX(0,F298-0.5*(F904+F1207+F1510))*MAX(0,MIN(4,'Loan Tape'!$AV294)-3)</f>
        <v>0</v>
      </c>
      <c r="G2116" s="99" t="n">
        <f aca="false">G601*MAX(0,G298-0.5*(G904+G1207+G1510))*MAX(0,MIN(5,'Loan Tape'!$AV294)-4)</f>
        <v>0</v>
      </c>
      <c r="H2116" s="99" t="n">
        <f aca="false">H601*MAX(0,H298-0.5*(H904+H1207+H1510))*MAX(0,MIN(6,'Loan Tape'!$AV294)-5)</f>
        <v>0</v>
      </c>
      <c r="I2116" s="99" t="n">
        <f aca="false">I601*MAX(0,I298-0.5*(I904+I1207+I1510))*MAX(0,MIN(7,'Loan Tape'!$AV294)-6)</f>
        <v>0</v>
      </c>
      <c r="J2116" s="99" t="n">
        <f aca="false">J601*MAX(0,J298-0.5*(J904+J1207+J1510))*MAX(0,MIN(8,'Loan Tape'!$AV294)-7)</f>
        <v>0</v>
      </c>
      <c r="K2116" s="99" t="n">
        <f aca="false">K601*MAX(0,K298-0.5*(K904+K1207+K1510))*MAX(0,MIN(9,'Loan Tape'!$AV294)-8)</f>
        <v>0</v>
      </c>
      <c r="L2116" s="99" t="n">
        <f aca="false">L601*MAX(0,L298-0.5*(L904+L1207+L1510))*MAX(0,MIN(10,'Loan Tape'!$AV294)-9)</f>
        <v>0</v>
      </c>
    </row>
    <row r="2117" customFormat="false" ht="15" hidden="false" customHeight="false" outlineLevel="0" collapsed="false">
      <c r="B2117" s="108" t="n">
        <f aca="false">'Loan Tape'!$A295</f>
        <v>0</v>
      </c>
      <c r="C2117" s="71" t="n">
        <f aca="false">C602*MAX(0,C299-0.5*(C905+C1208+C1511))*MAX(0,MIN(1,'Loan Tape'!$AV295)-0)</f>
        <v>0</v>
      </c>
      <c r="D2117" s="71" t="n">
        <f aca="false">D602*MAX(0,D299-0.5*(D905+D1208+D1511))*MAX(0,MIN(2,'Loan Tape'!$AV295)-1)</f>
        <v>0</v>
      </c>
      <c r="E2117" s="71" t="n">
        <f aca="false">E602*MAX(0,E299-0.5*(E905+E1208+E1511))*MAX(0,MIN(3,'Loan Tape'!$AV295)-2)</f>
        <v>0</v>
      </c>
      <c r="F2117" s="71" t="n">
        <f aca="false">F602*MAX(0,F299-0.5*(F905+F1208+F1511))*MAX(0,MIN(4,'Loan Tape'!$AV295)-3)</f>
        <v>0</v>
      </c>
      <c r="G2117" s="71" t="n">
        <f aca="false">G602*MAX(0,G299-0.5*(G905+G1208+G1511))*MAX(0,MIN(5,'Loan Tape'!$AV295)-4)</f>
        <v>0</v>
      </c>
      <c r="H2117" s="71" t="n">
        <f aca="false">H602*MAX(0,H299-0.5*(H905+H1208+H1511))*MAX(0,MIN(6,'Loan Tape'!$AV295)-5)</f>
        <v>0</v>
      </c>
      <c r="I2117" s="71" t="n">
        <f aca="false">I602*MAX(0,I299-0.5*(I905+I1208+I1511))*MAX(0,MIN(7,'Loan Tape'!$AV295)-6)</f>
        <v>0</v>
      </c>
      <c r="J2117" s="71" t="n">
        <f aca="false">J602*MAX(0,J299-0.5*(J905+J1208+J1511))*MAX(0,MIN(8,'Loan Tape'!$AV295)-7)</f>
        <v>0</v>
      </c>
      <c r="K2117" s="71" t="n">
        <f aca="false">K602*MAX(0,K299-0.5*(K905+K1208+K1511))*MAX(0,MIN(9,'Loan Tape'!$AV295)-8)</f>
        <v>0</v>
      </c>
      <c r="L2117" s="71" t="n">
        <f aca="false">L602*MAX(0,L299-0.5*(L905+L1208+L1511))*MAX(0,MIN(10,'Loan Tape'!$AV295)-9)</f>
        <v>0</v>
      </c>
    </row>
    <row r="2118" customFormat="false" ht="15" hidden="false" customHeight="false" outlineLevel="0" collapsed="false">
      <c r="B2118" s="102" t="n">
        <f aca="false">'Loan Tape'!$A296</f>
        <v>0</v>
      </c>
      <c r="C2118" s="99" t="n">
        <f aca="false">C603*MAX(0,C300-0.5*(C906+C1209+C1512))*MAX(0,MIN(1,'Loan Tape'!$AV296)-0)</f>
        <v>0</v>
      </c>
      <c r="D2118" s="99" t="n">
        <f aca="false">D603*MAX(0,D300-0.5*(D906+D1209+D1512))*MAX(0,MIN(2,'Loan Tape'!$AV296)-1)</f>
        <v>0</v>
      </c>
      <c r="E2118" s="99" t="n">
        <f aca="false">E603*MAX(0,E300-0.5*(E906+E1209+E1512))*MAX(0,MIN(3,'Loan Tape'!$AV296)-2)</f>
        <v>0</v>
      </c>
      <c r="F2118" s="99" t="n">
        <f aca="false">F603*MAX(0,F300-0.5*(F906+F1209+F1512))*MAX(0,MIN(4,'Loan Tape'!$AV296)-3)</f>
        <v>0</v>
      </c>
      <c r="G2118" s="99" t="n">
        <f aca="false">G603*MAX(0,G300-0.5*(G906+G1209+G1512))*MAX(0,MIN(5,'Loan Tape'!$AV296)-4)</f>
        <v>0</v>
      </c>
      <c r="H2118" s="99" t="n">
        <f aca="false">H603*MAX(0,H300-0.5*(H906+H1209+H1512))*MAX(0,MIN(6,'Loan Tape'!$AV296)-5)</f>
        <v>0</v>
      </c>
      <c r="I2118" s="99" t="n">
        <f aca="false">I603*MAX(0,I300-0.5*(I906+I1209+I1512))*MAX(0,MIN(7,'Loan Tape'!$AV296)-6)</f>
        <v>0</v>
      </c>
      <c r="J2118" s="99" t="n">
        <f aca="false">J603*MAX(0,J300-0.5*(J906+J1209+J1512))*MAX(0,MIN(8,'Loan Tape'!$AV296)-7)</f>
        <v>0</v>
      </c>
      <c r="K2118" s="99" t="n">
        <f aca="false">K603*MAX(0,K300-0.5*(K906+K1209+K1512))*MAX(0,MIN(9,'Loan Tape'!$AV296)-8)</f>
        <v>0</v>
      </c>
      <c r="L2118" s="99" t="n">
        <f aca="false">L603*MAX(0,L300-0.5*(L906+L1209+L1512))*MAX(0,MIN(10,'Loan Tape'!$AV296)-9)</f>
        <v>0</v>
      </c>
    </row>
    <row r="2119" customFormat="false" ht="15" hidden="false" customHeight="false" outlineLevel="0" collapsed="false">
      <c r="B2119" s="108" t="n">
        <f aca="false">'Loan Tape'!$A297</f>
        <v>0</v>
      </c>
      <c r="C2119" s="71" t="n">
        <f aca="false">C604*MAX(0,C301-0.5*(C907+C1210+C1513))*MAX(0,MIN(1,'Loan Tape'!$AV297)-0)</f>
        <v>0</v>
      </c>
      <c r="D2119" s="71" t="n">
        <f aca="false">D604*MAX(0,D301-0.5*(D907+D1210+D1513))*MAX(0,MIN(2,'Loan Tape'!$AV297)-1)</f>
        <v>0</v>
      </c>
      <c r="E2119" s="71" t="n">
        <f aca="false">E604*MAX(0,E301-0.5*(E907+E1210+E1513))*MAX(0,MIN(3,'Loan Tape'!$AV297)-2)</f>
        <v>0</v>
      </c>
      <c r="F2119" s="71" t="n">
        <f aca="false">F604*MAX(0,F301-0.5*(F907+F1210+F1513))*MAX(0,MIN(4,'Loan Tape'!$AV297)-3)</f>
        <v>0</v>
      </c>
      <c r="G2119" s="71" t="n">
        <f aca="false">G604*MAX(0,G301-0.5*(G907+G1210+G1513))*MAX(0,MIN(5,'Loan Tape'!$AV297)-4)</f>
        <v>0</v>
      </c>
      <c r="H2119" s="71" t="n">
        <f aca="false">H604*MAX(0,H301-0.5*(H907+H1210+H1513))*MAX(0,MIN(6,'Loan Tape'!$AV297)-5)</f>
        <v>0</v>
      </c>
      <c r="I2119" s="71" t="n">
        <f aca="false">I604*MAX(0,I301-0.5*(I907+I1210+I1513))*MAX(0,MIN(7,'Loan Tape'!$AV297)-6)</f>
        <v>0</v>
      </c>
      <c r="J2119" s="71" t="n">
        <f aca="false">J604*MAX(0,J301-0.5*(J907+J1210+J1513))*MAX(0,MIN(8,'Loan Tape'!$AV297)-7)</f>
        <v>0</v>
      </c>
      <c r="K2119" s="71" t="n">
        <f aca="false">K604*MAX(0,K301-0.5*(K907+K1210+K1513))*MAX(0,MIN(9,'Loan Tape'!$AV297)-8)</f>
        <v>0</v>
      </c>
      <c r="L2119" s="71" t="n">
        <f aca="false">L604*MAX(0,L301-0.5*(L907+L1210+L1513))*MAX(0,MIN(10,'Loan Tape'!$AV297)-9)</f>
        <v>0</v>
      </c>
    </row>
    <row r="2120" customFormat="false" ht="15" hidden="false" customHeight="false" outlineLevel="0" collapsed="false">
      <c r="B2120" s="102" t="n">
        <f aca="false">'Loan Tape'!$A298</f>
        <v>0</v>
      </c>
      <c r="C2120" s="99" t="n">
        <f aca="false">C605*MAX(0,C302-0.5*(C908+C1211+C1514))*MAX(0,MIN(1,'Loan Tape'!$AV298)-0)</f>
        <v>0</v>
      </c>
      <c r="D2120" s="99" t="n">
        <f aca="false">D605*MAX(0,D302-0.5*(D908+D1211+D1514))*MAX(0,MIN(2,'Loan Tape'!$AV298)-1)</f>
        <v>0</v>
      </c>
      <c r="E2120" s="99" t="n">
        <f aca="false">E605*MAX(0,E302-0.5*(E908+E1211+E1514))*MAX(0,MIN(3,'Loan Tape'!$AV298)-2)</f>
        <v>0</v>
      </c>
      <c r="F2120" s="99" t="n">
        <f aca="false">F605*MAX(0,F302-0.5*(F908+F1211+F1514))*MAX(0,MIN(4,'Loan Tape'!$AV298)-3)</f>
        <v>0</v>
      </c>
      <c r="G2120" s="99" t="n">
        <f aca="false">G605*MAX(0,G302-0.5*(G908+G1211+G1514))*MAX(0,MIN(5,'Loan Tape'!$AV298)-4)</f>
        <v>0</v>
      </c>
      <c r="H2120" s="99" t="n">
        <f aca="false">H605*MAX(0,H302-0.5*(H908+H1211+H1514))*MAX(0,MIN(6,'Loan Tape'!$AV298)-5)</f>
        <v>0</v>
      </c>
      <c r="I2120" s="99" t="n">
        <f aca="false">I605*MAX(0,I302-0.5*(I908+I1211+I1514))*MAX(0,MIN(7,'Loan Tape'!$AV298)-6)</f>
        <v>0</v>
      </c>
      <c r="J2120" s="99" t="n">
        <f aca="false">J605*MAX(0,J302-0.5*(J908+J1211+J1514))*MAX(0,MIN(8,'Loan Tape'!$AV298)-7)</f>
        <v>0</v>
      </c>
      <c r="K2120" s="99" t="n">
        <f aca="false">K605*MAX(0,K302-0.5*(K908+K1211+K1514))*MAX(0,MIN(9,'Loan Tape'!$AV298)-8)</f>
        <v>0</v>
      </c>
      <c r="L2120" s="99" t="n">
        <f aca="false">L605*MAX(0,L302-0.5*(L908+L1211+L1514))*MAX(0,MIN(10,'Loan Tape'!$AV298)-9)</f>
        <v>0</v>
      </c>
    </row>
    <row r="2121" customFormat="false" ht="15" hidden="false" customHeight="false" outlineLevel="0" collapsed="false">
      <c r="B2121" s="108" t="n">
        <f aca="false">'Loan Tape'!$A299</f>
        <v>0</v>
      </c>
      <c r="C2121" s="71" t="n">
        <f aca="false">C606*MAX(0,C303-0.5*(C909+C1212+C1515))*MAX(0,MIN(1,'Loan Tape'!$AV299)-0)</f>
        <v>0</v>
      </c>
      <c r="D2121" s="71" t="n">
        <f aca="false">D606*MAX(0,D303-0.5*(D909+D1212+D1515))*MAX(0,MIN(2,'Loan Tape'!$AV299)-1)</f>
        <v>0</v>
      </c>
      <c r="E2121" s="71" t="n">
        <f aca="false">E606*MAX(0,E303-0.5*(E909+E1212+E1515))*MAX(0,MIN(3,'Loan Tape'!$AV299)-2)</f>
        <v>0</v>
      </c>
      <c r="F2121" s="71" t="n">
        <f aca="false">F606*MAX(0,F303-0.5*(F909+F1212+F1515))*MAX(0,MIN(4,'Loan Tape'!$AV299)-3)</f>
        <v>0</v>
      </c>
      <c r="G2121" s="71" t="n">
        <f aca="false">G606*MAX(0,G303-0.5*(G909+G1212+G1515))*MAX(0,MIN(5,'Loan Tape'!$AV299)-4)</f>
        <v>0</v>
      </c>
      <c r="H2121" s="71" t="n">
        <f aca="false">H606*MAX(0,H303-0.5*(H909+H1212+H1515))*MAX(0,MIN(6,'Loan Tape'!$AV299)-5)</f>
        <v>0</v>
      </c>
      <c r="I2121" s="71" t="n">
        <f aca="false">I606*MAX(0,I303-0.5*(I909+I1212+I1515))*MAX(0,MIN(7,'Loan Tape'!$AV299)-6)</f>
        <v>0</v>
      </c>
      <c r="J2121" s="71" t="n">
        <f aca="false">J606*MAX(0,J303-0.5*(J909+J1212+J1515))*MAX(0,MIN(8,'Loan Tape'!$AV299)-7)</f>
        <v>0</v>
      </c>
      <c r="K2121" s="71" t="n">
        <f aca="false">K606*MAX(0,K303-0.5*(K909+K1212+K1515))*MAX(0,MIN(9,'Loan Tape'!$AV299)-8)</f>
        <v>0</v>
      </c>
      <c r="L2121" s="71" t="n">
        <f aca="false">L606*MAX(0,L303-0.5*(L909+L1212+L1515))*MAX(0,MIN(10,'Loan Tape'!$AV299)-9)</f>
        <v>0</v>
      </c>
    </row>
    <row r="2122" customFormat="false" ht="15" hidden="false" customHeight="false" outlineLevel="0" collapsed="false">
      <c r="B2122" s="102" t="n">
        <f aca="false">'Loan Tape'!$A300</f>
        <v>0</v>
      </c>
      <c r="C2122" s="99" t="n">
        <f aca="false">C607*MAX(0,C304-0.5*(C910+C1213+C1516))*MAX(0,MIN(1,'Loan Tape'!$AV300)-0)</f>
        <v>0</v>
      </c>
      <c r="D2122" s="99" t="n">
        <f aca="false">D607*MAX(0,D304-0.5*(D910+D1213+D1516))*MAX(0,MIN(2,'Loan Tape'!$AV300)-1)</f>
        <v>0</v>
      </c>
      <c r="E2122" s="99" t="n">
        <f aca="false">E607*MAX(0,E304-0.5*(E910+E1213+E1516))*MAX(0,MIN(3,'Loan Tape'!$AV300)-2)</f>
        <v>0</v>
      </c>
      <c r="F2122" s="99" t="n">
        <f aca="false">F607*MAX(0,F304-0.5*(F910+F1213+F1516))*MAX(0,MIN(4,'Loan Tape'!$AV300)-3)</f>
        <v>0</v>
      </c>
      <c r="G2122" s="99" t="n">
        <f aca="false">G607*MAX(0,G304-0.5*(G910+G1213+G1516))*MAX(0,MIN(5,'Loan Tape'!$AV300)-4)</f>
        <v>0</v>
      </c>
      <c r="H2122" s="99" t="n">
        <f aca="false">H607*MAX(0,H304-0.5*(H910+H1213+H1516))*MAX(0,MIN(6,'Loan Tape'!$AV300)-5)</f>
        <v>0</v>
      </c>
      <c r="I2122" s="99" t="n">
        <f aca="false">I607*MAX(0,I304-0.5*(I910+I1213+I1516))*MAX(0,MIN(7,'Loan Tape'!$AV300)-6)</f>
        <v>0</v>
      </c>
      <c r="J2122" s="99" t="n">
        <f aca="false">J607*MAX(0,J304-0.5*(J910+J1213+J1516))*MAX(0,MIN(8,'Loan Tape'!$AV300)-7)</f>
        <v>0</v>
      </c>
      <c r="K2122" s="99" t="n">
        <f aca="false">K607*MAX(0,K304-0.5*(K910+K1213+K1516))*MAX(0,MIN(9,'Loan Tape'!$AV300)-8)</f>
        <v>0</v>
      </c>
      <c r="L2122" s="99" t="n">
        <f aca="false">L607*MAX(0,L304-0.5*(L910+L1213+L1516))*MAX(0,MIN(10,'Loan Tape'!$AV300)-9)</f>
        <v>0</v>
      </c>
    </row>
    <row r="2123" customFormat="false" ht="15" hidden="false" customHeight="false" outlineLevel="0" collapsed="false">
      <c r="B2123" s="108" t="n">
        <f aca="false">'Loan Tape'!$A301</f>
        <v>0</v>
      </c>
      <c r="C2123" s="71" t="n">
        <f aca="false">C608*MAX(0,C305-0.5*(C911+C1214+C1517))*MAX(0,MIN(1,'Loan Tape'!$AV301)-0)</f>
        <v>0</v>
      </c>
      <c r="D2123" s="71" t="n">
        <f aca="false">D608*MAX(0,D305-0.5*(D911+D1214+D1517))*MAX(0,MIN(2,'Loan Tape'!$AV301)-1)</f>
        <v>0</v>
      </c>
      <c r="E2123" s="71" t="n">
        <f aca="false">E608*MAX(0,E305-0.5*(E911+E1214+E1517))*MAX(0,MIN(3,'Loan Tape'!$AV301)-2)</f>
        <v>0</v>
      </c>
      <c r="F2123" s="71" t="n">
        <f aca="false">F608*MAX(0,F305-0.5*(F911+F1214+F1517))*MAX(0,MIN(4,'Loan Tape'!$AV301)-3)</f>
        <v>0</v>
      </c>
      <c r="G2123" s="71" t="n">
        <f aca="false">G608*MAX(0,G305-0.5*(G911+G1214+G1517))*MAX(0,MIN(5,'Loan Tape'!$AV301)-4)</f>
        <v>0</v>
      </c>
      <c r="H2123" s="71" t="n">
        <f aca="false">H608*MAX(0,H305-0.5*(H911+H1214+H1517))*MAX(0,MIN(6,'Loan Tape'!$AV301)-5)</f>
        <v>0</v>
      </c>
      <c r="I2123" s="71" t="n">
        <f aca="false">I608*MAX(0,I305-0.5*(I911+I1214+I1517))*MAX(0,MIN(7,'Loan Tape'!$AV301)-6)</f>
        <v>0</v>
      </c>
      <c r="J2123" s="71" t="n">
        <f aca="false">J608*MAX(0,J305-0.5*(J911+J1214+J1517))*MAX(0,MIN(8,'Loan Tape'!$AV301)-7)</f>
        <v>0</v>
      </c>
      <c r="K2123" s="71" t="n">
        <f aca="false">K608*MAX(0,K305-0.5*(K911+K1214+K1517))*MAX(0,MIN(9,'Loan Tape'!$AV301)-8)</f>
        <v>0</v>
      </c>
      <c r="L2123" s="71" t="n">
        <f aca="false">L608*MAX(0,L305-0.5*(L911+L1214+L1517))*MAX(0,MIN(10,'Loan Tape'!$AV301)-9)</f>
        <v>0</v>
      </c>
    </row>
    <row r="2124" customFormat="false" ht="15" hidden="false" customHeight="false" outlineLevel="0" collapsed="false">
      <c r="B2124" s="102" t="n">
        <f aca="false">'Loan Tape'!$A302</f>
        <v>0</v>
      </c>
      <c r="C2124" s="99" t="n">
        <f aca="false">C609*MAX(0,C306-0.5*(C912+C1215+C1518))*MAX(0,MIN(1,'Loan Tape'!$AV302)-0)</f>
        <v>0</v>
      </c>
      <c r="D2124" s="99" t="n">
        <f aca="false">D609*MAX(0,D306-0.5*(D912+D1215+D1518))*MAX(0,MIN(2,'Loan Tape'!$AV302)-1)</f>
        <v>0</v>
      </c>
      <c r="E2124" s="99" t="n">
        <f aca="false">E609*MAX(0,E306-0.5*(E912+E1215+E1518))*MAX(0,MIN(3,'Loan Tape'!$AV302)-2)</f>
        <v>0</v>
      </c>
      <c r="F2124" s="99" t="n">
        <f aca="false">F609*MAX(0,F306-0.5*(F912+F1215+F1518))*MAX(0,MIN(4,'Loan Tape'!$AV302)-3)</f>
        <v>0</v>
      </c>
      <c r="G2124" s="99" t="n">
        <f aca="false">G609*MAX(0,G306-0.5*(G912+G1215+G1518))*MAX(0,MIN(5,'Loan Tape'!$AV302)-4)</f>
        <v>0</v>
      </c>
      <c r="H2124" s="99" t="n">
        <f aca="false">H609*MAX(0,H306-0.5*(H912+H1215+H1518))*MAX(0,MIN(6,'Loan Tape'!$AV302)-5)</f>
        <v>0</v>
      </c>
      <c r="I2124" s="99" t="n">
        <f aca="false">I609*MAX(0,I306-0.5*(I912+I1215+I1518))*MAX(0,MIN(7,'Loan Tape'!$AV302)-6)</f>
        <v>0</v>
      </c>
      <c r="J2124" s="99" t="n">
        <f aca="false">J609*MAX(0,J306-0.5*(J912+J1215+J1518))*MAX(0,MIN(8,'Loan Tape'!$AV302)-7)</f>
        <v>0</v>
      </c>
      <c r="K2124" s="99" t="n">
        <f aca="false">K609*MAX(0,K306-0.5*(K912+K1215+K1518))*MAX(0,MIN(9,'Loan Tape'!$AV302)-8)</f>
        <v>0</v>
      </c>
      <c r="L2124" s="99" t="n">
        <f aca="false">L609*MAX(0,L306-0.5*(L912+L1215+L1518))*MAX(0,MIN(10,'Loan Tape'!$AV302)-9)</f>
        <v>0</v>
      </c>
    </row>
    <row r="2125" customFormat="false" ht="15" hidden="false" customHeight="false" outlineLevel="0" collapsed="false">
      <c r="B2125" s="108" t="n">
        <f aca="false">'Loan Tape'!$A303</f>
        <v>0</v>
      </c>
      <c r="C2125" s="71" t="n">
        <f aca="false">C610*MAX(0,C307-0.5*(C913+C1216+C1519))*MAX(0,MIN(1,'Loan Tape'!$AV303)-0)</f>
        <v>0</v>
      </c>
      <c r="D2125" s="71" t="n">
        <f aca="false">D610*MAX(0,D307-0.5*(D913+D1216+D1519))*MAX(0,MIN(2,'Loan Tape'!$AV303)-1)</f>
        <v>0</v>
      </c>
      <c r="E2125" s="71" t="n">
        <f aca="false">E610*MAX(0,E307-0.5*(E913+E1216+E1519))*MAX(0,MIN(3,'Loan Tape'!$AV303)-2)</f>
        <v>0</v>
      </c>
      <c r="F2125" s="71" t="n">
        <f aca="false">F610*MAX(0,F307-0.5*(F913+F1216+F1519))*MAX(0,MIN(4,'Loan Tape'!$AV303)-3)</f>
        <v>0</v>
      </c>
      <c r="G2125" s="71" t="n">
        <f aca="false">G610*MAX(0,G307-0.5*(G913+G1216+G1519))*MAX(0,MIN(5,'Loan Tape'!$AV303)-4)</f>
        <v>0</v>
      </c>
      <c r="H2125" s="71" t="n">
        <f aca="false">H610*MAX(0,H307-0.5*(H913+H1216+H1519))*MAX(0,MIN(6,'Loan Tape'!$AV303)-5)</f>
        <v>0</v>
      </c>
      <c r="I2125" s="71" t="n">
        <f aca="false">I610*MAX(0,I307-0.5*(I913+I1216+I1519))*MAX(0,MIN(7,'Loan Tape'!$AV303)-6)</f>
        <v>0</v>
      </c>
      <c r="J2125" s="71" t="n">
        <f aca="false">J610*MAX(0,J307-0.5*(J913+J1216+J1519))*MAX(0,MIN(8,'Loan Tape'!$AV303)-7)</f>
        <v>0</v>
      </c>
      <c r="K2125" s="71" t="n">
        <f aca="false">K610*MAX(0,K307-0.5*(K913+K1216+K1519))*MAX(0,MIN(9,'Loan Tape'!$AV303)-8)</f>
        <v>0</v>
      </c>
      <c r="L2125" s="71" t="n">
        <f aca="false">L610*MAX(0,L307-0.5*(L913+L1216+L1519))*MAX(0,MIN(10,'Loan Tape'!$AV303)-9)</f>
        <v>0</v>
      </c>
    </row>
    <row r="2127" customFormat="false" ht="18" hidden="false" customHeight="true" outlineLevel="0" collapsed="false">
      <c r="B2127" s="5" t="s">
        <v>591</v>
      </c>
      <c r="C2127" s="5"/>
      <c r="D2127" s="5"/>
      <c r="E2127" s="5"/>
      <c r="F2127" s="5"/>
      <c r="G2127" s="5"/>
      <c r="H2127" s="5"/>
      <c r="I2127" s="5"/>
      <c r="J2127" s="5"/>
      <c r="K2127" s="5"/>
      <c r="L2127" s="5"/>
      <c r="N2127" s="30" t="s">
        <v>592</v>
      </c>
    </row>
    <row r="2128" customFormat="false" ht="15.75" hidden="false" customHeight="true" outlineLevel="0" collapsed="false">
      <c r="B2128" s="54" t="s">
        <v>148</v>
      </c>
      <c r="C2128" s="55" t="n">
        <v>1</v>
      </c>
      <c r="D2128" s="55" t="n">
        <v>2</v>
      </c>
      <c r="E2128" s="55" t="n">
        <v>3</v>
      </c>
      <c r="F2128" s="55" t="n">
        <v>4</v>
      </c>
      <c r="G2128" s="55" t="n">
        <v>5</v>
      </c>
      <c r="H2128" s="55" t="n">
        <v>6</v>
      </c>
      <c r="I2128" s="55" t="n">
        <v>7</v>
      </c>
      <c r="J2128" s="55" t="n">
        <v>8</v>
      </c>
      <c r="K2128" s="55" t="n">
        <v>9</v>
      </c>
      <c r="L2128" s="55" t="n">
        <v>10</v>
      </c>
    </row>
    <row r="2129" customFormat="false" ht="15" hidden="false" customHeight="false" outlineLevel="0" collapsed="false">
      <c r="B2129" s="102" t="str">
        <f aca="false">'Loan Tape'!$A4</f>
        <v>L-001</v>
      </c>
      <c r="C2129" s="99" t="n">
        <f aca="false">IF(AND(1&lt;=Hold_Yrs,1-ROUND(Rec_Lag,0)&gt;=1),INDEX($C614:$L614,1,1-ROUND(Rec_Lag,0))*(1-Sev),0)</f>
        <v>0</v>
      </c>
      <c r="D2129" s="99" t="n">
        <f aca="false">IF(AND(2&lt;=Hold_Yrs,2-ROUND(Rec_Lag,0)&gt;=1),INDEX($C614:$L614,1,2-ROUND(Rec_Lag,0))*(1-Sev),0)</f>
        <v>114170</v>
      </c>
      <c r="E2129" s="99" t="n">
        <f aca="false">IF(AND(3&lt;=Hold_Yrs,3-ROUND(Rec_Lag,0)&gt;=1),INDEX($C614:$L614,1,3-ROUND(Rec_Lag,0))*(1-Sev),0)</f>
        <v>0</v>
      </c>
      <c r="F2129" s="99" t="n">
        <f aca="false">IF(AND(4&lt;=Hold_Yrs,4-ROUND(Rec_Lag,0)&gt;=1),INDEX($C614:$L614,1,4-ROUND(Rec_Lag,0))*(1-Sev),0)</f>
        <v>0</v>
      </c>
      <c r="G2129" s="99" t="n">
        <f aca="false">IF(AND(5&lt;=Hold_Yrs,5-ROUND(Rec_Lag,0)&gt;=1),INDEX($C614:$L614,1,5-ROUND(Rec_Lag,0))*(1-Sev),0)</f>
        <v>0</v>
      </c>
      <c r="H2129" s="99" t="n">
        <f aca="false">IF(AND(6&lt;=Hold_Yrs,6-ROUND(Rec_Lag,0)&gt;=1),INDEX($C614:$L614,1,6-ROUND(Rec_Lag,0))*(1-Sev),0)</f>
        <v>0</v>
      </c>
      <c r="I2129" s="99" t="n">
        <f aca="false">IF(AND(7&lt;=Hold_Yrs,7-ROUND(Rec_Lag,0)&gt;=1),INDEX($C614:$L614,1,7-ROUND(Rec_Lag,0))*(1-Sev),0)</f>
        <v>0</v>
      </c>
      <c r="J2129" s="99" t="n">
        <f aca="false">IF(AND(8&lt;=Hold_Yrs,8-ROUND(Rec_Lag,0)&gt;=1),INDEX($C614:$L614,1,8-ROUND(Rec_Lag,0))*(1-Sev),0)</f>
        <v>0</v>
      </c>
      <c r="K2129" s="99" t="n">
        <f aca="false">IF(AND(9&lt;=Hold_Yrs,9-ROUND(Rec_Lag,0)&gt;=1),INDEX($C614:$L614,1,9-ROUND(Rec_Lag,0))*(1-Sev),0)</f>
        <v>0</v>
      </c>
      <c r="L2129" s="99" t="n">
        <f aca="false">IF(AND(10&lt;=Hold_Yrs,10-ROUND(Rec_Lag,0)&gt;=1),INDEX($C614:$L614,1,10-ROUND(Rec_Lag,0))*(1-Sev),0)</f>
        <v>0</v>
      </c>
    </row>
    <row r="2130" customFormat="false" ht="15" hidden="false" customHeight="false" outlineLevel="0" collapsed="false">
      <c r="B2130" s="108" t="str">
        <f aca="false">'Loan Tape'!$A5</f>
        <v>L-002</v>
      </c>
      <c r="C2130" s="71" t="n">
        <f aca="false">IF(AND(1&lt;=Hold_Yrs,1-ROUND(Rec_Lag,0)&gt;=1),INDEX($C615:$L615,1,1-ROUND(Rec_Lag,0))*(1-Sev),0)</f>
        <v>0</v>
      </c>
      <c r="D2130" s="71" t="n">
        <f aca="false">IF(AND(2&lt;=Hold_Yrs,2-ROUND(Rec_Lag,0)&gt;=1),INDEX($C615:$L615,1,2-ROUND(Rec_Lag,0))*(1-Sev),0)</f>
        <v>149618</v>
      </c>
      <c r="E2130" s="71" t="n">
        <f aca="false">IF(AND(3&lt;=Hold_Yrs,3-ROUND(Rec_Lag,0)&gt;=1),INDEX($C615:$L615,1,3-ROUND(Rec_Lag,0))*(1-Sev),0)</f>
        <v>96135.1922519824</v>
      </c>
      <c r="F2130" s="71" t="n">
        <f aca="false">IF(AND(4&lt;=Hold_Yrs,4-ROUND(Rec_Lag,0)&gt;=1),INDEX($C615:$L615,1,4-ROUND(Rec_Lag,0))*(1-Sev),0)</f>
        <v>0</v>
      </c>
      <c r="G2130" s="71" t="n">
        <f aca="false">IF(AND(5&lt;=Hold_Yrs,5-ROUND(Rec_Lag,0)&gt;=1),INDEX($C615:$L615,1,5-ROUND(Rec_Lag,0))*(1-Sev),0)</f>
        <v>0</v>
      </c>
      <c r="H2130" s="71" t="n">
        <f aca="false">IF(AND(6&lt;=Hold_Yrs,6-ROUND(Rec_Lag,0)&gt;=1),INDEX($C615:$L615,1,6-ROUND(Rec_Lag,0))*(1-Sev),0)</f>
        <v>0</v>
      </c>
      <c r="I2130" s="71" t="n">
        <f aca="false">IF(AND(7&lt;=Hold_Yrs,7-ROUND(Rec_Lag,0)&gt;=1),INDEX($C615:$L615,1,7-ROUND(Rec_Lag,0))*(1-Sev),0)</f>
        <v>0</v>
      </c>
      <c r="J2130" s="71" t="n">
        <f aca="false">IF(AND(8&lt;=Hold_Yrs,8-ROUND(Rec_Lag,0)&gt;=1),INDEX($C615:$L615,1,8-ROUND(Rec_Lag,0))*(1-Sev),0)</f>
        <v>0</v>
      </c>
      <c r="K2130" s="71" t="n">
        <f aca="false">IF(AND(9&lt;=Hold_Yrs,9-ROUND(Rec_Lag,0)&gt;=1),INDEX($C615:$L615,1,9-ROUND(Rec_Lag,0))*(1-Sev),0)</f>
        <v>0</v>
      </c>
      <c r="L2130" s="71" t="n">
        <f aca="false">IF(AND(10&lt;=Hold_Yrs,10-ROUND(Rec_Lag,0)&gt;=1),INDEX($C615:$L615,1,10-ROUND(Rec_Lag,0))*(1-Sev),0)</f>
        <v>0</v>
      </c>
    </row>
    <row r="2131" customFormat="false" ht="15" hidden="false" customHeight="false" outlineLevel="0" collapsed="false">
      <c r="B2131" s="102" t="str">
        <f aca="false">'Loan Tape'!$A6</f>
        <v>L-003</v>
      </c>
      <c r="C2131" s="99" t="n">
        <f aca="false">IF(AND(1&lt;=Hold_Yrs,1-ROUND(Rec_Lag,0)&gt;=1),INDEX($C616:$L616,1,1-ROUND(Rec_Lag,0))*(1-Sev),0)</f>
        <v>0</v>
      </c>
      <c r="D2131" s="99" t="n">
        <f aca="false">IF(AND(2&lt;=Hold_Yrs,2-ROUND(Rec_Lag,0)&gt;=1),INDEX($C616:$L616,1,2-ROUND(Rec_Lag,0))*(1-Sev),0)</f>
        <v>1669206</v>
      </c>
      <c r="E2131" s="99" t="n">
        <f aca="false">IF(AND(3&lt;=Hold_Yrs,3-ROUND(Rec_Lag,0)&gt;=1),INDEX($C616:$L616,1,3-ROUND(Rec_Lag,0))*(1-Sev),0)</f>
        <v>1448473.1755153</v>
      </c>
      <c r="F2131" s="99" t="n">
        <f aca="false">IF(AND(4&lt;=Hold_Yrs,4-ROUND(Rec_Lag,0)&gt;=1),INDEX($C616:$L616,1,4-ROUND(Rec_Lag,0))*(1-Sev),0)</f>
        <v>1253763.37745256</v>
      </c>
      <c r="G2131" s="99" t="n">
        <f aca="false">IF(AND(5&lt;=Hold_Yrs,5-ROUND(Rec_Lag,0)&gt;=1),INDEX($C616:$L616,1,5-ROUND(Rec_Lag,0))*(1-Sev),0)</f>
        <v>724577.306087053</v>
      </c>
      <c r="H2131" s="99" t="n">
        <f aca="false">IF(AND(6&lt;=Hold_Yrs,6-ROUND(Rec_Lag,0)&gt;=1),INDEX($C616:$L616,1,6-ROUND(Rec_Lag,0))*(1-Sev),0)</f>
        <v>0</v>
      </c>
      <c r="I2131" s="99" t="n">
        <f aca="false">IF(AND(7&lt;=Hold_Yrs,7-ROUND(Rec_Lag,0)&gt;=1),INDEX($C616:$L616,1,7-ROUND(Rec_Lag,0))*(1-Sev),0)</f>
        <v>0</v>
      </c>
      <c r="J2131" s="99" t="n">
        <f aca="false">IF(AND(8&lt;=Hold_Yrs,8-ROUND(Rec_Lag,0)&gt;=1),INDEX($C616:$L616,1,8-ROUND(Rec_Lag,0))*(1-Sev),0)</f>
        <v>0</v>
      </c>
      <c r="K2131" s="99" t="n">
        <f aca="false">IF(AND(9&lt;=Hold_Yrs,9-ROUND(Rec_Lag,0)&gt;=1),INDEX($C616:$L616,1,9-ROUND(Rec_Lag,0))*(1-Sev),0)</f>
        <v>0</v>
      </c>
      <c r="L2131" s="99" t="n">
        <f aca="false">IF(AND(10&lt;=Hold_Yrs,10-ROUND(Rec_Lag,0)&gt;=1),INDEX($C616:$L616,1,10-ROUND(Rec_Lag,0))*(1-Sev),0)</f>
        <v>0</v>
      </c>
    </row>
    <row r="2132" customFormat="false" ht="15" hidden="false" customHeight="false" outlineLevel="0" collapsed="false">
      <c r="B2132" s="108" t="str">
        <f aca="false">'Loan Tape'!$A7</f>
        <v>L-004</v>
      </c>
      <c r="C2132" s="71" t="n">
        <f aca="false">IF(AND(1&lt;=Hold_Yrs,1-ROUND(Rec_Lag,0)&gt;=1),INDEX($C617:$L617,1,1-ROUND(Rec_Lag,0))*(1-Sev),0)</f>
        <v>0</v>
      </c>
      <c r="D2132" s="71" t="n">
        <f aca="false">IF(AND(2&lt;=Hold_Yrs,2-ROUND(Rec_Lag,0)&gt;=1),INDEX($C617:$L617,1,2-ROUND(Rec_Lag,0))*(1-Sev),0)</f>
        <v>644588</v>
      </c>
      <c r="E2132" s="71" t="n">
        <f aca="false">IF(AND(3&lt;=Hold_Yrs,3-ROUND(Rec_Lag,0)&gt;=1),INDEX($C617:$L617,1,3-ROUND(Rec_Lag,0))*(1-Sev),0)</f>
        <v>509757.432890086</v>
      </c>
      <c r="F2132" s="71" t="n">
        <f aca="false">IF(AND(4&lt;=Hold_Yrs,4-ROUND(Rec_Lag,0)&gt;=1),INDEX($C617:$L617,1,4-ROUND(Rec_Lag,0))*(1-Sev),0)</f>
        <v>0</v>
      </c>
      <c r="G2132" s="71" t="n">
        <f aca="false">IF(AND(5&lt;=Hold_Yrs,5-ROUND(Rec_Lag,0)&gt;=1),INDEX($C617:$L617,1,5-ROUND(Rec_Lag,0))*(1-Sev),0)</f>
        <v>0</v>
      </c>
      <c r="H2132" s="71" t="n">
        <f aca="false">IF(AND(6&lt;=Hold_Yrs,6-ROUND(Rec_Lag,0)&gt;=1),INDEX($C617:$L617,1,6-ROUND(Rec_Lag,0))*(1-Sev),0)</f>
        <v>0</v>
      </c>
      <c r="I2132" s="71" t="n">
        <f aca="false">IF(AND(7&lt;=Hold_Yrs,7-ROUND(Rec_Lag,0)&gt;=1),INDEX($C617:$L617,1,7-ROUND(Rec_Lag,0))*(1-Sev),0)</f>
        <v>0</v>
      </c>
      <c r="J2132" s="71" t="n">
        <f aca="false">IF(AND(8&lt;=Hold_Yrs,8-ROUND(Rec_Lag,0)&gt;=1),INDEX($C617:$L617,1,8-ROUND(Rec_Lag,0))*(1-Sev),0)</f>
        <v>0</v>
      </c>
      <c r="K2132" s="71" t="n">
        <f aca="false">IF(AND(9&lt;=Hold_Yrs,9-ROUND(Rec_Lag,0)&gt;=1),INDEX($C617:$L617,1,9-ROUND(Rec_Lag,0))*(1-Sev),0)</f>
        <v>0</v>
      </c>
      <c r="L2132" s="71" t="n">
        <f aca="false">IF(AND(10&lt;=Hold_Yrs,10-ROUND(Rec_Lag,0)&gt;=1),INDEX($C617:$L617,1,10-ROUND(Rec_Lag,0))*(1-Sev),0)</f>
        <v>0</v>
      </c>
    </row>
    <row r="2133" customFormat="false" ht="15" hidden="false" customHeight="false" outlineLevel="0" collapsed="false">
      <c r="B2133" s="102" t="str">
        <f aca="false">'Loan Tape'!$A8</f>
        <v>L-005</v>
      </c>
      <c r="C2133" s="99" t="n">
        <f aca="false">IF(AND(1&lt;=Hold_Yrs,1-ROUND(Rec_Lag,0)&gt;=1),INDEX($C618:$L618,1,1-ROUND(Rec_Lag,0))*(1-Sev),0)</f>
        <v>0</v>
      </c>
      <c r="D2133" s="99" t="n">
        <f aca="false">IF(AND(2&lt;=Hold_Yrs,2-ROUND(Rec_Lag,0)&gt;=1),INDEX($C618:$L618,1,2-ROUND(Rec_Lag,0))*(1-Sev),0)</f>
        <v>1647744</v>
      </c>
      <c r="E2133" s="99" t="n">
        <f aca="false">IF(AND(3&lt;=Hold_Yrs,3-ROUND(Rec_Lag,0)&gt;=1),INDEX($C618:$L618,1,3-ROUND(Rec_Lag,0))*(1-Sev),0)</f>
        <v>0</v>
      </c>
      <c r="F2133" s="99" t="n">
        <f aca="false">IF(AND(4&lt;=Hold_Yrs,4-ROUND(Rec_Lag,0)&gt;=1),INDEX($C618:$L618,1,4-ROUND(Rec_Lag,0))*(1-Sev),0)</f>
        <v>0</v>
      </c>
      <c r="G2133" s="99" t="n">
        <f aca="false">IF(AND(5&lt;=Hold_Yrs,5-ROUND(Rec_Lag,0)&gt;=1),INDEX($C618:$L618,1,5-ROUND(Rec_Lag,0))*(1-Sev),0)</f>
        <v>0</v>
      </c>
      <c r="H2133" s="99" t="n">
        <f aca="false">IF(AND(6&lt;=Hold_Yrs,6-ROUND(Rec_Lag,0)&gt;=1),INDEX($C618:$L618,1,6-ROUND(Rec_Lag,0))*(1-Sev),0)</f>
        <v>0</v>
      </c>
      <c r="I2133" s="99" t="n">
        <f aca="false">IF(AND(7&lt;=Hold_Yrs,7-ROUND(Rec_Lag,0)&gt;=1),INDEX($C618:$L618,1,7-ROUND(Rec_Lag,0))*(1-Sev),0)</f>
        <v>0</v>
      </c>
      <c r="J2133" s="99" t="n">
        <f aca="false">IF(AND(8&lt;=Hold_Yrs,8-ROUND(Rec_Lag,0)&gt;=1),INDEX($C618:$L618,1,8-ROUND(Rec_Lag,0))*(1-Sev),0)</f>
        <v>0</v>
      </c>
      <c r="K2133" s="99" t="n">
        <f aca="false">IF(AND(9&lt;=Hold_Yrs,9-ROUND(Rec_Lag,0)&gt;=1),INDEX($C618:$L618,1,9-ROUND(Rec_Lag,0))*(1-Sev),0)</f>
        <v>0</v>
      </c>
      <c r="L2133" s="99" t="n">
        <f aca="false">IF(AND(10&lt;=Hold_Yrs,10-ROUND(Rec_Lag,0)&gt;=1),INDEX($C618:$L618,1,10-ROUND(Rec_Lag,0))*(1-Sev),0)</f>
        <v>0</v>
      </c>
    </row>
    <row r="2134" customFormat="false" ht="15" hidden="false" customHeight="false" outlineLevel="0" collapsed="false">
      <c r="B2134" s="108" t="str">
        <f aca="false">'Loan Tape'!$A9</f>
        <v>L-006</v>
      </c>
      <c r="C2134" s="71" t="n">
        <f aca="false">IF(AND(1&lt;=Hold_Yrs,1-ROUND(Rec_Lag,0)&gt;=1),INDEX($C619:$L619,1,1-ROUND(Rec_Lag,0))*(1-Sev),0)</f>
        <v>0</v>
      </c>
      <c r="D2134" s="71" t="n">
        <f aca="false">IF(AND(2&lt;=Hold_Yrs,2-ROUND(Rec_Lag,0)&gt;=1),INDEX($C619:$L619,1,2-ROUND(Rec_Lag,0))*(1-Sev),0)</f>
        <v>806512</v>
      </c>
      <c r="E2134" s="71" t="n">
        <f aca="false">IF(AND(3&lt;=Hold_Yrs,3-ROUND(Rec_Lag,0)&gt;=1),INDEX($C619:$L619,1,3-ROUND(Rec_Lag,0))*(1-Sev),0)</f>
        <v>404741.235169546</v>
      </c>
      <c r="F2134" s="71" t="n">
        <f aca="false">IF(AND(4&lt;=Hold_Yrs,4-ROUND(Rec_Lag,0)&gt;=1),INDEX($C619:$L619,1,4-ROUND(Rec_Lag,0))*(1-Sev),0)</f>
        <v>0</v>
      </c>
      <c r="G2134" s="71" t="n">
        <f aca="false">IF(AND(5&lt;=Hold_Yrs,5-ROUND(Rec_Lag,0)&gt;=1),INDEX($C619:$L619,1,5-ROUND(Rec_Lag,0))*(1-Sev),0)</f>
        <v>0</v>
      </c>
      <c r="H2134" s="71" t="n">
        <f aca="false">IF(AND(6&lt;=Hold_Yrs,6-ROUND(Rec_Lag,0)&gt;=1),INDEX($C619:$L619,1,6-ROUND(Rec_Lag,0))*(1-Sev),0)</f>
        <v>0</v>
      </c>
      <c r="I2134" s="71" t="n">
        <f aca="false">IF(AND(7&lt;=Hold_Yrs,7-ROUND(Rec_Lag,0)&gt;=1),INDEX($C619:$L619,1,7-ROUND(Rec_Lag,0))*(1-Sev),0)</f>
        <v>0</v>
      </c>
      <c r="J2134" s="71" t="n">
        <f aca="false">IF(AND(8&lt;=Hold_Yrs,8-ROUND(Rec_Lag,0)&gt;=1),INDEX($C619:$L619,1,8-ROUND(Rec_Lag,0))*(1-Sev),0)</f>
        <v>0</v>
      </c>
      <c r="K2134" s="71" t="n">
        <f aca="false">IF(AND(9&lt;=Hold_Yrs,9-ROUND(Rec_Lag,0)&gt;=1),INDEX($C619:$L619,1,9-ROUND(Rec_Lag,0))*(1-Sev),0)</f>
        <v>0</v>
      </c>
      <c r="L2134" s="71" t="n">
        <f aca="false">IF(AND(10&lt;=Hold_Yrs,10-ROUND(Rec_Lag,0)&gt;=1),INDEX($C619:$L619,1,10-ROUND(Rec_Lag,0))*(1-Sev),0)</f>
        <v>0</v>
      </c>
    </row>
    <row r="2135" customFormat="false" ht="15" hidden="false" customHeight="false" outlineLevel="0" collapsed="false">
      <c r="B2135" s="102" t="str">
        <f aca="false">'Loan Tape'!$A10</f>
        <v>L-007</v>
      </c>
      <c r="C2135" s="99" t="n">
        <f aca="false">IF(AND(1&lt;=Hold_Yrs,1-ROUND(Rec_Lag,0)&gt;=1),INDEX($C620:$L620,1,1-ROUND(Rec_Lag,0))*(1-Sev),0)</f>
        <v>0</v>
      </c>
      <c r="D2135" s="99" t="n">
        <f aca="false">IF(AND(2&lt;=Hold_Yrs,2-ROUND(Rec_Lag,0)&gt;=1),INDEX($C620:$L620,1,2-ROUND(Rec_Lag,0))*(1-Sev),0)</f>
        <v>63336</v>
      </c>
      <c r="E2135" s="99" t="n">
        <f aca="false">IF(AND(3&lt;=Hold_Yrs,3-ROUND(Rec_Lag,0)&gt;=1),INDEX($C620:$L620,1,3-ROUND(Rec_Lag,0))*(1-Sev),0)</f>
        <v>55735.68</v>
      </c>
      <c r="F2135" s="99" t="n">
        <f aca="false">IF(AND(4&lt;=Hold_Yrs,4-ROUND(Rec_Lag,0)&gt;=1),INDEX($C620:$L620,1,4-ROUND(Rec_Lag,0))*(1-Sev),0)</f>
        <v>49047.3984</v>
      </c>
      <c r="G2135" s="99" t="n">
        <f aca="false">IF(AND(5&lt;=Hold_Yrs,5-ROUND(Rec_Lag,0)&gt;=1),INDEX($C620:$L620,1,5-ROUND(Rec_Lag,0))*(1-Sev),0)</f>
        <v>43161.710592</v>
      </c>
      <c r="H2135" s="99" t="n">
        <f aca="false">IF(AND(6&lt;=Hold_Yrs,6-ROUND(Rec_Lag,0)&gt;=1),INDEX($C620:$L620,1,6-ROUND(Rec_Lag,0))*(1-Sev),0)</f>
        <v>0</v>
      </c>
      <c r="I2135" s="99" t="n">
        <f aca="false">IF(AND(7&lt;=Hold_Yrs,7-ROUND(Rec_Lag,0)&gt;=1),INDEX($C620:$L620,1,7-ROUND(Rec_Lag,0))*(1-Sev),0)</f>
        <v>0</v>
      </c>
      <c r="J2135" s="99" t="n">
        <f aca="false">IF(AND(8&lt;=Hold_Yrs,8-ROUND(Rec_Lag,0)&gt;=1),INDEX($C620:$L620,1,8-ROUND(Rec_Lag,0))*(1-Sev),0)</f>
        <v>0</v>
      </c>
      <c r="K2135" s="99" t="n">
        <f aca="false">IF(AND(9&lt;=Hold_Yrs,9-ROUND(Rec_Lag,0)&gt;=1),INDEX($C620:$L620,1,9-ROUND(Rec_Lag,0))*(1-Sev),0)</f>
        <v>0</v>
      </c>
      <c r="L2135" s="99" t="n">
        <f aca="false">IF(AND(10&lt;=Hold_Yrs,10-ROUND(Rec_Lag,0)&gt;=1),INDEX($C620:$L620,1,10-ROUND(Rec_Lag,0))*(1-Sev),0)</f>
        <v>0</v>
      </c>
    </row>
    <row r="2136" customFormat="false" ht="15" hidden="false" customHeight="false" outlineLevel="0" collapsed="false">
      <c r="B2136" s="108" t="str">
        <f aca="false">'Loan Tape'!$A11</f>
        <v>L-008</v>
      </c>
      <c r="C2136" s="71" t="n">
        <f aca="false">IF(AND(1&lt;=Hold_Yrs,1-ROUND(Rec_Lag,0)&gt;=1),INDEX($C621:$L621,1,1-ROUND(Rec_Lag,0))*(1-Sev),0)</f>
        <v>0</v>
      </c>
      <c r="D2136" s="71" t="n">
        <f aca="false">IF(AND(2&lt;=Hold_Yrs,2-ROUND(Rec_Lag,0)&gt;=1),INDEX($C621:$L621,1,2-ROUND(Rec_Lag,0))*(1-Sev),0)</f>
        <v>676634</v>
      </c>
      <c r="E2136" s="71" t="n">
        <f aca="false">IF(AND(3&lt;=Hold_Yrs,3-ROUND(Rec_Lag,0)&gt;=1),INDEX($C621:$L621,1,3-ROUND(Rec_Lag,0))*(1-Sev),0)</f>
        <v>584889.16550413</v>
      </c>
      <c r="F2136" s="71" t="n">
        <f aca="false">IF(AND(4&lt;=Hold_Yrs,4-ROUND(Rec_Lag,0)&gt;=1),INDEX($C621:$L621,1,4-ROUND(Rec_Lag,0))*(1-Sev),0)</f>
        <v>504031.486751409</v>
      </c>
      <c r="G2136" s="71" t="n">
        <f aca="false">IF(AND(5&lt;=Hold_Yrs,5-ROUND(Rec_Lag,0)&gt;=1),INDEX($C621:$L621,1,5-ROUND(Rec_Lag,0))*(1-Sev),0)</f>
        <v>180480.706308586</v>
      </c>
      <c r="H2136" s="71" t="n">
        <f aca="false">IF(AND(6&lt;=Hold_Yrs,6-ROUND(Rec_Lag,0)&gt;=1),INDEX($C621:$L621,1,6-ROUND(Rec_Lag,0))*(1-Sev),0)</f>
        <v>0</v>
      </c>
      <c r="I2136" s="71" t="n">
        <f aca="false">IF(AND(7&lt;=Hold_Yrs,7-ROUND(Rec_Lag,0)&gt;=1),INDEX($C621:$L621,1,7-ROUND(Rec_Lag,0))*(1-Sev),0)</f>
        <v>0</v>
      </c>
      <c r="J2136" s="71" t="n">
        <f aca="false">IF(AND(8&lt;=Hold_Yrs,8-ROUND(Rec_Lag,0)&gt;=1),INDEX($C621:$L621,1,8-ROUND(Rec_Lag,0))*(1-Sev),0)</f>
        <v>0</v>
      </c>
      <c r="K2136" s="71" t="n">
        <f aca="false">IF(AND(9&lt;=Hold_Yrs,9-ROUND(Rec_Lag,0)&gt;=1),INDEX($C621:$L621,1,9-ROUND(Rec_Lag,0))*(1-Sev),0)</f>
        <v>0</v>
      </c>
      <c r="L2136" s="71" t="n">
        <f aca="false">IF(AND(10&lt;=Hold_Yrs,10-ROUND(Rec_Lag,0)&gt;=1),INDEX($C621:$L621,1,10-ROUND(Rec_Lag,0))*(1-Sev),0)</f>
        <v>0</v>
      </c>
    </row>
    <row r="2137" customFormat="false" ht="15" hidden="false" customHeight="false" outlineLevel="0" collapsed="false">
      <c r="B2137" s="102" t="str">
        <f aca="false">'Loan Tape'!$A12</f>
        <v>L-009</v>
      </c>
      <c r="C2137" s="99" t="n">
        <f aca="false">IF(AND(1&lt;=Hold_Yrs,1-ROUND(Rec_Lag,0)&gt;=1),INDEX($C622:$L622,1,1-ROUND(Rec_Lag,0))*(1-Sev),0)</f>
        <v>0</v>
      </c>
      <c r="D2137" s="99" t="n">
        <f aca="false">IF(AND(2&lt;=Hold_Yrs,2-ROUND(Rec_Lag,0)&gt;=1),INDEX($C622:$L622,1,2-ROUND(Rec_Lag,0))*(1-Sev),0)</f>
        <v>229810</v>
      </c>
      <c r="E2137" s="99" t="n">
        <f aca="false">IF(AND(3&lt;=Hold_Yrs,3-ROUND(Rec_Lag,0)&gt;=1),INDEX($C622:$L622,1,3-ROUND(Rec_Lag,0))*(1-Sev),0)</f>
        <v>202232.8</v>
      </c>
      <c r="F2137" s="99" t="n">
        <f aca="false">IF(AND(4&lt;=Hold_Yrs,4-ROUND(Rec_Lag,0)&gt;=1),INDEX($C622:$L622,1,4-ROUND(Rec_Lag,0))*(1-Sev),0)</f>
        <v>177964.864</v>
      </c>
      <c r="G2137" s="99" t="n">
        <f aca="false">IF(AND(5&lt;=Hold_Yrs,5-ROUND(Rec_Lag,0)&gt;=1),INDEX($C622:$L622,1,5-ROUND(Rec_Lag,0))*(1-Sev),0)</f>
        <v>153778.816503964</v>
      </c>
      <c r="H2137" s="99" t="n">
        <f aca="false">IF(AND(6&lt;=Hold_Yrs,6-ROUND(Rec_Lag,0)&gt;=1),INDEX($C622:$L622,1,6-ROUND(Rec_Lag,0))*(1-Sev),0)</f>
        <v>0</v>
      </c>
      <c r="I2137" s="99" t="n">
        <f aca="false">IF(AND(7&lt;=Hold_Yrs,7-ROUND(Rec_Lag,0)&gt;=1),INDEX($C622:$L622,1,7-ROUND(Rec_Lag,0))*(1-Sev),0)</f>
        <v>0</v>
      </c>
      <c r="J2137" s="99" t="n">
        <f aca="false">IF(AND(8&lt;=Hold_Yrs,8-ROUND(Rec_Lag,0)&gt;=1),INDEX($C622:$L622,1,8-ROUND(Rec_Lag,0))*(1-Sev),0)</f>
        <v>0</v>
      </c>
      <c r="K2137" s="99" t="n">
        <f aca="false">IF(AND(9&lt;=Hold_Yrs,9-ROUND(Rec_Lag,0)&gt;=1),INDEX($C622:$L622,1,9-ROUND(Rec_Lag,0))*(1-Sev),0)</f>
        <v>0</v>
      </c>
      <c r="L2137" s="99" t="n">
        <f aca="false">IF(AND(10&lt;=Hold_Yrs,10-ROUND(Rec_Lag,0)&gt;=1),INDEX($C622:$L622,1,10-ROUND(Rec_Lag,0))*(1-Sev),0)</f>
        <v>0</v>
      </c>
    </row>
    <row r="2138" customFormat="false" ht="15" hidden="false" customHeight="false" outlineLevel="0" collapsed="false">
      <c r="B2138" s="108" t="str">
        <f aca="false">'Loan Tape'!$A13</f>
        <v>L-010</v>
      </c>
      <c r="C2138" s="71" t="n">
        <f aca="false">IF(AND(1&lt;=Hold_Yrs,1-ROUND(Rec_Lag,0)&gt;=1),INDEX($C623:$L623,1,1-ROUND(Rec_Lag,0))*(1-Sev),0)</f>
        <v>0</v>
      </c>
      <c r="D2138" s="71" t="n">
        <f aca="false">IF(AND(2&lt;=Hold_Yrs,2-ROUND(Rec_Lag,0)&gt;=1),INDEX($C623:$L623,1,2-ROUND(Rec_Lag,0))*(1-Sev),0)</f>
        <v>630784</v>
      </c>
      <c r="E2138" s="71" t="n">
        <f aca="false">IF(AND(3&lt;=Hold_Yrs,3-ROUND(Rec_Lag,0)&gt;=1),INDEX($C623:$L623,1,3-ROUND(Rec_Lag,0))*(1-Sev),0)</f>
        <v>0</v>
      </c>
      <c r="F2138" s="71" t="n">
        <f aca="false">IF(AND(4&lt;=Hold_Yrs,4-ROUND(Rec_Lag,0)&gt;=1),INDEX($C623:$L623,1,4-ROUND(Rec_Lag,0))*(1-Sev),0)</f>
        <v>0</v>
      </c>
      <c r="G2138" s="71" t="n">
        <f aca="false">IF(AND(5&lt;=Hold_Yrs,5-ROUND(Rec_Lag,0)&gt;=1),INDEX($C623:$L623,1,5-ROUND(Rec_Lag,0))*(1-Sev),0)</f>
        <v>0</v>
      </c>
      <c r="H2138" s="71" t="n">
        <f aca="false">IF(AND(6&lt;=Hold_Yrs,6-ROUND(Rec_Lag,0)&gt;=1),INDEX($C623:$L623,1,6-ROUND(Rec_Lag,0))*(1-Sev),0)</f>
        <v>0</v>
      </c>
      <c r="I2138" s="71" t="n">
        <f aca="false">IF(AND(7&lt;=Hold_Yrs,7-ROUND(Rec_Lag,0)&gt;=1),INDEX($C623:$L623,1,7-ROUND(Rec_Lag,0))*(1-Sev),0)</f>
        <v>0</v>
      </c>
      <c r="J2138" s="71" t="n">
        <f aca="false">IF(AND(8&lt;=Hold_Yrs,8-ROUND(Rec_Lag,0)&gt;=1),INDEX($C623:$L623,1,8-ROUND(Rec_Lag,0))*(1-Sev),0)</f>
        <v>0</v>
      </c>
      <c r="K2138" s="71" t="n">
        <f aca="false">IF(AND(9&lt;=Hold_Yrs,9-ROUND(Rec_Lag,0)&gt;=1),INDEX($C623:$L623,1,9-ROUND(Rec_Lag,0))*(1-Sev),0)</f>
        <v>0</v>
      </c>
      <c r="L2138" s="71" t="n">
        <f aca="false">IF(AND(10&lt;=Hold_Yrs,10-ROUND(Rec_Lag,0)&gt;=1),INDEX($C623:$L623,1,10-ROUND(Rec_Lag,0))*(1-Sev),0)</f>
        <v>0</v>
      </c>
    </row>
    <row r="2139" customFormat="false" ht="15" hidden="false" customHeight="false" outlineLevel="0" collapsed="false">
      <c r="B2139" s="102" t="str">
        <f aca="false">'Loan Tape'!$A14</f>
        <v>L-011</v>
      </c>
      <c r="C2139" s="99" t="n">
        <f aca="false">IF(AND(1&lt;=Hold_Yrs,1-ROUND(Rec_Lag,0)&gt;=1),INDEX($C624:$L624,1,1-ROUND(Rec_Lag,0))*(1-Sev),0)</f>
        <v>0</v>
      </c>
      <c r="D2139" s="99" t="n">
        <f aca="false">IF(AND(2&lt;=Hold_Yrs,2-ROUND(Rec_Lag,0)&gt;=1),INDEX($C624:$L624,1,2-ROUND(Rec_Lag,0))*(1-Sev),0)</f>
        <v>387940</v>
      </c>
      <c r="E2139" s="99" t="n">
        <f aca="false">IF(AND(3&lt;=Hold_Yrs,3-ROUND(Rec_Lag,0)&gt;=1),INDEX($C624:$L624,1,3-ROUND(Rec_Lag,0))*(1-Sev),0)</f>
        <v>335729.877655292</v>
      </c>
      <c r="F2139" s="99" t="n">
        <f aca="false">IF(AND(4&lt;=Hold_Yrs,4-ROUND(Rec_Lag,0)&gt;=1),INDEX($C624:$L624,1,4-ROUND(Rec_Lag,0))*(1-Sev),0)</f>
        <v>289732.988390858</v>
      </c>
      <c r="G2139" s="99" t="n">
        <f aca="false">IF(AND(5&lt;=Hold_Yrs,5-ROUND(Rec_Lag,0)&gt;=1),INDEX($C624:$L624,1,5-ROUND(Rec_Lag,0))*(1-Sev),0)</f>
        <v>249331.785819817</v>
      </c>
      <c r="H2139" s="99" t="n">
        <f aca="false">IF(AND(6&lt;=Hold_Yrs,6-ROUND(Rec_Lag,0)&gt;=1),INDEX($C624:$L624,1,6-ROUND(Rec_Lag,0))*(1-Sev),0)</f>
        <v>0</v>
      </c>
      <c r="I2139" s="99" t="n">
        <f aca="false">IF(AND(7&lt;=Hold_Yrs,7-ROUND(Rec_Lag,0)&gt;=1),INDEX($C624:$L624,1,7-ROUND(Rec_Lag,0))*(1-Sev),0)</f>
        <v>0</v>
      </c>
      <c r="J2139" s="99" t="n">
        <f aca="false">IF(AND(8&lt;=Hold_Yrs,8-ROUND(Rec_Lag,0)&gt;=1),INDEX($C624:$L624,1,8-ROUND(Rec_Lag,0))*(1-Sev),0)</f>
        <v>0</v>
      </c>
      <c r="K2139" s="99" t="n">
        <f aca="false">IF(AND(9&lt;=Hold_Yrs,9-ROUND(Rec_Lag,0)&gt;=1),INDEX($C624:$L624,1,9-ROUND(Rec_Lag,0))*(1-Sev),0)</f>
        <v>0</v>
      </c>
      <c r="L2139" s="99" t="n">
        <f aca="false">IF(AND(10&lt;=Hold_Yrs,10-ROUND(Rec_Lag,0)&gt;=1),INDEX($C624:$L624,1,10-ROUND(Rec_Lag,0))*(1-Sev),0)</f>
        <v>0</v>
      </c>
    </row>
    <row r="2140" customFormat="false" ht="15" hidden="false" customHeight="false" outlineLevel="0" collapsed="false">
      <c r="B2140" s="108" t="str">
        <f aca="false">'Loan Tape'!$A15</f>
        <v>L-012</v>
      </c>
      <c r="C2140" s="71" t="n">
        <f aca="false">IF(AND(1&lt;=Hold_Yrs,1-ROUND(Rec_Lag,0)&gt;=1),INDEX($C625:$L625,1,1-ROUND(Rec_Lag,0))*(1-Sev),0)</f>
        <v>0</v>
      </c>
      <c r="D2140" s="71" t="n">
        <f aca="false">IF(AND(2&lt;=Hold_Yrs,2-ROUND(Rec_Lag,0)&gt;=1),INDEX($C625:$L625,1,2-ROUND(Rec_Lag,0))*(1-Sev),0)</f>
        <v>79156</v>
      </c>
      <c r="E2140" s="71" t="n">
        <f aca="false">IF(AND(3&lt;=Hold_Yrs,3-ROUND(Rec_Lag,0)&gt;=1),INDEX($C625:$L625,1,3-ROUND(Rec_Lag,0))*(1-Sev),0)</f>
        <v>39628.9898170393</v>
      </c>
      <c r="F2140" s="71" t="n">
        <f aca="false">IF(AND(4&lt;=Hold_Yrs,4-ROUND(Rec_Lag,0)&gt;=1),INDEX($C625:$L625,1,4-ROUND(Rec_Lag,0))*(1-Sev),0)</f>
        <v>0</v>
      </c>
      <c r="G2140" s="71" t="n">
        <f aca="false">IF(AND(5&lt;=Hold_Yrs,5-ROUND(Rec_Lag,0)&gt;=1),INDEX($C625:$L625,1,5-ROUND(Rec_Lag,0))*(1-Sev),0)</f>
        <v>0</v>
      </c>
      <c r="H2140" s="71" t="n">
        <f aca="false">IF(AND(6&lt;=Hold_Yrs,6-ROUND(Rec_Lag,0)&gt;=1),INDEX($C625:$L625,1,6-ROUND(Rec_Lag,0))*(1-Sev),0)</f>
        <v>0</v>
      </c>
      <c r="I2140" s="71" t="n">
        <f aca="false">IF(AND(7&lt;=Hold_Yrs,7-ROUND(Rec_Lag,0)&gt;=1),INDEX($C625:$L625,1,7-ROUND(Rec_Lag,0))*(1-Sev),0)</f>
        <v>0</v>
      </c>
      <c r="J2140" s="71" t="n">
        <f aca="false">IF(AND(8&lt;=Hold_Yrs,8-ROUND(Rec_Lag,0)&gt;=1),INDEX($C625:$L625,1,8-ROUND(Rec_Lag,0))*(1-Sev),0)</f>
        <v>0</v>
      </c>
      <c r="K2140" s="71" t="n">
        <f aca="false">IF(AND(9&lt;=Hold_Yrs,9-ROUND(Rec_Lag,0)&gt;=1),INDEX($C625:$L625,1,9-ROUND(Rec_Lag,0))*(1-Sev),0)</f>
        <v>0</v>
      </c>
      <c r="L2140" s="71" t="n">
        <f aca="false">IF(AND(10&lt;=Hold_Yrs,10-ROUND(Rec_Lag,0)&gt;=1),INDEX($C625:$L625,1,10-ROUND(Rec_Lag,0))*(1-Sev),0)</f>
        <v>0</v>
      </c>
    </row>
    <row r="2141" customFormat="false" ht="15" hidden="false" customHeight="false" outlineLevel="0" collapsed="false">
      <c r="B2141" s="102" t="str">
        <f aca="false">'Loan Tape'!$A16</f>
        <v>L-013</v>
      </c>
      <c r="C2141" s="99" t="n">
        <f aca="false">IF(AND(1&lt;=Hold_Yrs,1-ROUND(Rec_Lag,0)&gt;=1),INDEX($C626:$L626,1,1-ROUND(Rec_Lag,0))*(1-Sev),0)</f>
        <v>0</v>
      </c>
      <c r="D2141" s="99" t="n">
        <f aca="false">IF(AND(2&lt;=Hold_Yrs,2-ROUND(Rec_Lag,0)&gt;=1),INDEX($C626:$L626,1,2-ROUND(Rec_Lag,0))*(1-Sev),0)</f>
        <v>1196230</v>
      </c>
      <c r="E2141" s="99" t="n">
        <f aca="false">IF(AND(3&lt;=Hold_Yrs,3-ROUND(Rec_Lag,0)&gt;=1),INDEX($C626:$L626,1,3-ROUND(Rec_Lag,0))*(1-Sev),0)</f>
        <v>1035107.62519511</v>
      </c>
      <c r="F2141" s="99" t="n">
        <f aca="false">IF(AND(4&lt;=Hold_Yrs,4-ROUND(Rec_Lag,0)&gt;=1),INDEX($C626:$L626,1,4-ROUND(Rec_Lag,0))*(1-Sev),0)</f>
        <v>894449.404699206</v>
      </c>
      <c r="G2141" s="99" t="n">
        <f aca="false">IF(AND(5&lt;=Hold_Yrs,5-ROUND(Rec_Lag,0)&gt;=1),INDEX($C626:$L626,1,5-ROUND(Rec_Lag,0))*(1-Sev),0)</f>
        <v>771729.645891841</v>
      </c>
      <c r="H2141" s="99" t="n">
        <f aca="false">IF(AND(6&lt;=Hold_Yrs,6-ROUND(Rec_Lag,0)&gt;=1),INDEX($C626:$L626,1,6-ROUND(Rec_Lag,0))*(1-Sev),0)</f>
        <v>0</v>
      </c>
      <c r="I2141" s="99" t="n">
        <f aca="false">IF(AND(7&lt;=Hold_Yrs,7-ROUND(Rec_Lag,0)&gt;=1),INDEX($C626:$L626,1,7-ROUND(Rec_Lag,0))*(1-Sev),0)</f>
        <v>0</v>
      </c>
      <c r="J2141" s="99" t="n">
        <f aca="false">IF(AND(8&lt;=Hold_Yrs,8-ROUND(Rec_Lag,0)&gt;=1),INDEX($C626:$L626,1,8-ROUND(Rec_Lag,0))*(1-Sev),0)</f>
        <v>0</v>
      </c>
      <c r="K2141" s="99" t="n">
        <f aca="false">IF(AND(9&lt;=Hold_Yrs,9-ROUND(Rec_Lag,0)&gt;=1),INDEX($C626:$L626,1,9-ROUND(Rec_Lag,0))*(1-Sev),0)</f>
        <v>0</v>
      </c>
      <c r="L2141" s="99" t="n">
        <f aca="false">IF(AND(10&lt;=Hold_Yrs,10-ROUND(Rec_Lag,0)&gt;=1),INDEX($C626:$L626,1,10-ROUND(Rec_Lag,0))*(1-Sev),0)</f>
        <v>0</v>
      </c>
    </row>
    <row r="2142" customFormat="false" ht="15" hidden="false" customHeight="false" outlineLevel="0" collapsed="false">
      <c r="B2142" s="108" t="str">
        <f aca="false">'Loan Tape'!$A17</f>
        <v>L-014</v>
      </c>
      <c r="C2142" s="71" t="n">
        <f aca="false">IF(AND(1&lt;=Hold_Yrs,1-ROUND(Rec_Lag,0)&gt;=1),INDEX($C627:$L627,1,1-ROUND(Rec_Lag,0))*(1-Sev),0)</f>
        <v>0</v>
      </c>
      <c r="D2142" s="71" t="n">
        <f aca="false">IF(AND(2&lt;=Hold_Yrs,2-ROUND(Rec_Lag,0)&gt;=1),INDEX($C627:$L627,1,2-ROUND(Rec_Lag,0))*(1-Sev),0)</f>
        <v>1796074</v>
      </c>
      <c r="E2142" s="71" t="n">
        <f aca="false">IF(AND(3&lt;=Hold_Yrs,3-ROUND(Rec_Lag,0)&gt;=1),INDEX($C627:$L627,1,3-ROUND(Rec_Lag,0))*(1-Sev),0)</f>
        <v>1550777.39409827</v>
      </c>
      <c r="F2142" s="71" t="n">
        <f aca="false">IF(AND(4&lt;=Hold_Yrs,4-ROUND(Rec_Lag,0)&gt;=1),INDEX($C627:$L627,1,4-ROUND(Rec_Lag,0))*(1-Sev),0)</f>
        <v>1334689.83831861</v>
      </c>
      <c r="G2142" s="71" t="n">
        <f aca="false">IF(AND(5&lt;=Hold_Yrs,5-ROUND(Rec_Lag,0)&gt;=1),INDEX($C627:$L627,1,5-ROUND(Rec_Lag,0))*(1-Sev),0)</f>
        <v>1146876.36240656</v>
      </c>
      <c r="H2142" s="71" t="n">
        <f aca="false">IF(AND(6&lt;=Hold_Yrs,6-ROUND(Rec_Lag,0)&gt;=1),INDEX($C627:$L627,1,6-ROUND(Rec_Lag,0))*(1-Sev),0)</f>
        <v>0</v>
      </c>
      <c r="I2142" s="71" t="n">
        <f aca="false">IF(AND(7&lt;=Hold_Yrs,7-ROUND(Rec_Lag,0)&gt;=1),INDEX($C627:$L627,1,7-ROUND(Rec_Lag,0))*(1-Sev),0)</f>
        <v>0</v>
      </c>
      <c r="J2142" s="71" t="n">
        <f aca="false">IF(AND(8&lt;=Hold_Yrs,8-ROUND(Rec_Lag,0)&gt;=1),INDEX($C627:$L627,1,8-ROUND(Rec_Lag,0))*(1-Sev),0)</f>
        <v>0</v>
      </c>
      <c r="K2142" s="71" t="n">
        <f aca="false">IF(AND(9&lt;=Hold_Yrs,9-ROUND(Rec_Lag,0)&gt;=1),INDEX($C627:$L627,1,9-ROUND(Rec_Lag,0))*(1-Sev),0)</f>
        <v>0</v>
      </c>
      <c r="L2142" s="71" t="n">
        <f aca="false">IF(AND(10&lt;=Hold_Yrs,10-ROUND(Rec_Lag,0)&gt;=1),INDEX($C627:$L627,1,10-ROUND(Rec_Lag,0))*(1-Sev),0)</f>
        <v>0</v>
      </c>
    </row>
    <row r="2143" customFormat="false" ht="15" hidden="false" customHeight="false" outlineLevel="0" collapsed="false">
      <c r="B2143" s="102" t="str">
        <f aca="false">'Loan Tape'!$A18</f>
        <v>L-015</v>
      </c>
      <c r="C2143" s="99" t="n">
        <f aca="false">IF(AND(1&lt;=Hold_Yrs,1-ROUND(Rec_Lag,0)&gt;=1),INDEX($C628:$L628,1,1-ROUND(Rec_Lag,0))*(1-Sev),0)</f>
        <v>0</v>
      </c>
      <c r="D2143" s="99" t="n">
        <f aca="false">IF(AND(2&lt;=Hold_Yrs,2-ROUND(Rec_Lag,0)&gt;=1),INDEX($C628:$L628,1,2-ROUND(Rec_Lag,0))*(1-Sev),0)</f>
        <v>1845004</v>
      </c>
      <c r="E2143" s="99" t="n">
        <f aca="false">IF(AND(3&lt;=Hold_Yrs,3-ROUND(Rec_Lag,0)&gt;=1),INDEX($C628:$L628,1,3-ROUND(Rec_Lag,0))*(1-Sev),0)</f>
        <v>1623603.52</v>
      </c>
      <c r="F2143" s="99" t="n">
        <f aca="false">IF(AND(4&lt;=Hold_Yrs,4-ROUND(Rec_Lag,0)&gt;=1),INDEX($C628:$L628,1,4-ROUND(Rec_Lag,0))*(1-Sev),0)</f>
        <v>1428771.0976</v>
      </c>
      <c r="G2143" s="99" t="n">
        <f aca="false">IF(AND(5&lt;=Hold_Yrs,5-ROUND(Rec_Lag,0)&gt;=1),INDEX($C628:$L628,1,5-ROUND(Rec_Lag,0))*(1-Sev),0)</f>
        <v>1257318.565888</v>
      </c>
      <c r="H2143" s="99" t="n">
        <f aca="false">IF(AND(6&lt;=Hold_Yrs,6-ROUND(Rec_Lag,0)&gt;=1),INDEX($C628:$L628,1,6-ROUND(Rec_Lag,0))*(1-Sev),0)</f>
        <v>0</v>
      </c>
      <c r="I2143" s="99" t="n">
        <f aca="false">IF(AND(7&lt;=Hold_Yrs,7-ROUND(Rec_Lag,0)&gt;=1),INDEX($C628:$L628,1,7-ROUND(Rec_Lag,0))*(1-Sev),0)</f>
        <v>0</v>
      </c>
      <c r="J2143" s="99" t="n">
        <f aca="false">IF(AND(8&lt;=Hold_Yrs,8-ROUND(Rec_Lag,0)&gt;=1),INDEX($C628:$L628,1,8-ROUND(Rec_Lag,0))*(1-Sev),0)</f>
        <v>0</v>
      </c>
      <c r="K2143" s="99" t="n">
        <f aca="false">IF(AND(9&lt;=Hold_Yrs,9-ROUND(Rec_Lag,0)&gt;=1),INDEX($C628:$L628,1,9-ROUND(Rec_Lag,0))*(1-Sev),0)</f>
        <v>0</v>
      </c>
      <c r="L2143" s="99" t="n">
        <f aca="false">IF(AND(10&lt;=Hold_Yrs,10-ROUND(Rec_Lag,0)&gt;=1),INDEX($C628:$L628,1,10-ROUND(Rec_Lag,0))*(1-Sev),0)</f>
        <v>0</v>
      </c>
    </row>
    <row r="2144" customFormat="false" ht="15" hidden="false" customHeight="false" outlineLevel="0" collapsed="false">
      <c r="B2144" s="108" t="str">
        <f aca="false">'Loan Tape'!$A19</f>
        <v>L-016</v>
      </c>
      <c r="C2144" s="71" t="n">
        <f aca="false">IF(AND(1&lt;=Hold_Yrs,1-ROUND(Rec_Lag,0)&gt;=1),INDEX($C629:$L629,1,1-ROUND(Rec_Lag,0))*(1-Sev),0)</f>
        <v>0</v>
      </c>
      <c r="D2144" s="71" t="n">
        <f aca="false">IF(AND(2&lt;=Hold_Yrs,2-ROUND(Rec_Lag,0)&gt;=1),INDEX($C629:$L629,1,2-ROUND(Rec_Lag,0))*(1-Sev),0)</f>
        <v>0</v>
      </c>
      <c r="E2144" s="71" t="n">
        <f aca="false">IF(AND(3&lt;=Hold_Yrs,3-ROUND(Rec_Lag,0)&gt;=1),INDEX($C629:$L629,1,3-ROUND(Rec_Lag,0))*(1-Sev),0)</f>
        <v>0</v>
      </c>
      <c r="F2144" s="71" t="n">
        <f aca="false">IF(AND(4&lt;=Hold_Yrs,4-ROUND(Rec_Lag,0)&gt;=1),INDEX($C629:$L629,1,4-ROUND(Rec_Lag,0))*(1-Sev),0)</f>
        <v>0</v>
      </c>
      <c r="G2144" s="71" t="n">
        <f aca="false">IF(AND(5&lt;=Hold_Yrs,5-ROUND(Rec_Lag,0)&gt;=1),INDEX($C629:$L629,1,5-ROUND(Rec_Lag,0))*(1-Sev),0)</f>
        <v>0</v>
      </c>
      <c r="H2144" s="71" t="n">
        <f aca="false">IF(AND(6&lt;=Hold_Yrs,6-ROUND(Rec_Lag,0)&gt;=1),INDEX($C629:$L629,1,6-ROUND(Rec_Lag,0))*(1-Sev),0)</f>
        <v>0</v>
      </c>
      <c r="I2144" s="71" t="n">
        <f aca="false">IF(AND(7&lt;=Hold_Yrs,7-ROUND(Rec_Lag,0)&gt;=1),INDEX($C629:$L629,1,7-ROUND(Rec_Lag,0))*(1-Sev),0)</f>
        <v>0</v>
      </c>
      <c r="J2144" s="71" t="n">
        <f aca="false">IF(AND(8&lt;=Hold_Yrs,8-ROUND(Rec_Lag,0)&gt;=1),INDEX($C629:$L629,1,8-ROUND(Rec_Lag,0))*(1-Sev),0)</f>
        <v>0</v>
      </c>
      <c r="K2144" s="71" t="n">
        <f aca="false">IF(AND(9&lt;=Hold_Yrs,9-ROUND(Rec_Lag,0)&gt;=1),INDEX($C629:$L629,1,9-ROUND(Rec_Lag,0))*(1-Sev),0)</f>
        <v>0</v>
      </c>
      <c r="L2144" s="71" t="n">
        <f aca="false">IF(AND(10&lt;=Hold_Yrs,10-ROUND(Rec_Lag,0)&gt;=1),INDEX($C629:$L629,1,10-ROUND(Rec_Lag,0))*(1-Sev),0)</f>
        <v>0</v>
      </c>
    </row>
    <row r="2145" customFormat="false" ht="15" hidden="false" customHeight="false" outlineLevel="0" collapsed="false">
      <c r="B2145" s="102" t="str">
        <f aca="false">'Loan Tape'!$A20</f>
        <v>L-017</v>
      </c>
      <c r="C2145" s="99" t="n">
        <f aca="false">IF(AND(1&lt;=Hold_Yrs,1-ROUND(Rec_Lag,0)&gt;=1),INDEX($C630:$L630,1,1-ROUND(Rec_Lag,0))*(1-Sev),0)</f>
        <v>0</v>
      </c>
      <c r="D2145" s="99" t="n">
        <f aca="false">IF(AND(2&lt;=Hold_Yrs,2-ROUND(Rec_Lag,0)&gt;=1),INDEX($C630:$L630,1,2-ROUND(Rec_Lag,0))*(1-Sev),0)</f>
        <v>71554</v>
      </c>
      <c r="E2145" s="99" t="n">
        <f aca="false">IF(AND(3&lt;=Hold_Yrs,3-ROUND(Rec_Lag,0)&gt;=1),INDEX($C630:$L630,1,3-ROUND(Rec_Lag,0))*(1-Sev),0)</f>
        <v>62967.52</v>
      </c>
      <c r="F2145" s="99" t="n">
        <f aca="false">IF(AND(4&lt;=Hold_Yrs,4-ROUND(Rec_Lag,0)&gt;=1),INDEX($C630:$L630,1,4-ROUND(Rec_Lag,0))*(1-Sev),0)</f>
        <v>55411.4176</v>
      </c>
      <c r="G2145" s="99" t="n">
        <f aca="false">IF(AND(5&lt;=Hold_Yrs,5-ROUND(Rec_Lag,0)&gt;=1),INDEX($C630:$L630,1,5-ROUND(Rec_Lag,0))*(1-Sev),0)</f>
        <v>48762.047488</v>
      </c>
      <c r="H2145" s="99" t="n">
        <f aca="false">IF(AND(6&lt;=Hold_Yrs,6-ROUND(Rec_Lag,0)&gt;=1),INDEX($C630:$L630,1,6-ROUND(Rec_Lag,0))*(1-Sev),0)</f>
        <v>0</v>
      </c>
      <c r="I2145" s="99" t="n">
        <f aca="false">IF(AND(7&lt;=Hold_Yrs,7-ROUND(Rec_Lag,0)&gt;=1),INDEX($C630:$L630,1,7-ROUND(Rec_Lag,0))*(1-Sev),0)</f>
        <v>0</v>
      </c>
      <c r="J2145" s="99" t="n">
        <f aca="false">IF(AND(8&lt;=Hold_Yrs,8-ROUND(Rec_Lag,0)&gt;=1),INDEX($C630:$L630,1,8-ROUND(Rec_Lag,0))*(1-Sev),0)</f>
        <v>0</v>
      </c>
      <c r="K2145" s="99" t="n">
        <f aca="false">IF(AND(9&lt;=Hold_Yrs,9-ROUND(Rec_Lag,0)&gt;=1),INDEX($C630:$L630,1,9-ROUND(Rec_Lag,0))*(1-Sev),0)</f>
        <v>0</v>
      </c>
      <c r="L2145" s="99" t="n">
        <f aca="false">IF(AND(10&lt;=Hold_Yrs,10-ROUND(Rec_Lag,0)&gt;=1),INDEX($C630:$L630,1,10-ROUND(Rec_Lag,0))*(1-Sev),0)</f>
        <v>0</v>
      </c>
    </row>
    <row r="2146" customFormat="false" ht="15" hidden="false" customHeight="false" outlineLevel="0" collapsed="false">
      <c r="B2146" s="108" t="str">
        <f aca="false">'Loan Tape'!$A21</f>
        <v>L-018</v>
      </c>
      <c r="C2146" s="71" t="n">
        <f aca="false">IF(AND(1&lt;=Hold_Yrs,1-ROUND(Rec_Lag,0)&gt;=1),INDEX($C631:$L631,1,1-ROUND(Rec_Lag,0))*(1-Sev),0)</f>
        <v>0</v>
      </c>
      <c r="D2146" s="71" t="n">
        <f aca="false">IF(AND(2&lt;=Hold_Yrs,2-ROUND(Rec_Lag,0)&gt;=1),INDEX($C631:$L631,1,2-ROUND(Rec_Lag,0))*(1-Sev),0)</f>
        <v>1074192</v>
      </c>
      <c r="E2146" s="71" t="n">
        <f aca="false">IF(AND(3&lt;=Hold_Yrs,3-ROUND(Rec_Lag,0)&gt;=1),INDEX($C631:$L631,1,3-ROUND(Rec_Lag,0))*(1-Sev),0)</f>
        <v>927999.307016327</v>
      </c>
      <c r="F2146" s="71" t="n">
        <f aca="false">IF(AND(4&lt;=Hold_Yrs,4-ROUND(Rec_Lag,0)&gt;=1),INDEX($C631:$L631,1,4-ROUND(Rec_Lag,0))*(1-Sev),0)</f>
        <v>799248.535090555</v>
      </c>
      <c r="G2146" s="71" t="n">
        <f aca="false">IF(AND(5&lt;=Hold_Yrs,5-ROUND(Rec_Lag,0)&gt;=1),INDEX($C631:$L631,1,5-ROUND(Rec_Lag,0))*(1-Sev),0)</f>
        <v>686216.976184047</v>
      </c>
      <c r="H2146" s="71" t="n">
        <f aca="false">IF(AND(6&lt;=Hold_Yrs,6-ROUND(Rec_Lag,0)&gt;=1),INDEX($C631:$L631,1,6-ROUND(Rec_Lag,0))*(1-Sev),0)</f>
        <v>0</v>
      </c>
      <c r="I2146" s="71" t="n">
        <f aca="false">IF(AND(7&lt;=Hold_Yrs,7-ROUND(Rec_Lag,0)&gt;=1),INDEX($C631:$L631,1,7-ROUND(Rec_Lag,0))*(1-Sev),0)</f>
        <v>0</v>
      </c>
      <c r="J2146" s="71" t="n">
        <f aca="false">IF(AND(8&lt;=Hold_Yrs,8-ROUND(Rec_Lag,0)&gt;=1),INDEX($C631:$L631,1,8-ROUND(Rec_Lag,0))*(1-Sev),0)</f>
        <v>0</v>
      </c>
      <c r="K2146" s="71" t="n">
        <f aca="false">IF(AND(9&lt;=Hold_Yrs,9-ROUND(Rec_Lag,0)&gt;=1),INDEX($C631:$L631,1,9-ROUND(Rec_Lag,0))*(1-Sev),0)</f>
        <v>0</v>
      </c>
      <c r="L2146" s="71" t="n">
        <f aca="false">IF(AND(10&lt;=Hold_Yrs,10-ROUND(Rec_Lag,0)&gt;=1),INDEX($C631:$L631,1,10-ROUND(Rec_Lag,0))*(1-Sev),0)</f>
        <v>0</v>
      </c>
    </row>
    <row r="2147" customFormat="false" ht="15" hidden="false" customHeight="false" outlineLevel="0" collapsed="false">
      <c r="B2147" s="102" t="str">
        <f aca="false">'Loan Tape'!$A22</f>
        <v>L-019</v>
      </c>
      <c r="C2147" s="99" t="n">
        <f aca="false">IF(AND(1&lt;=Hold_Yrs,1-ROUND(Rec_Lag,0)&gt;=1),INDEX($C632:$L632,1,1-ROUND(Rec_Lag,0))*(1-Sev),0)</f>
        <v>0</v>
      </c>
      <c r="D2147" s="99" t="n">
        <f aca="false">IF(AND(2&lt;=Hold_Yrs,2-ROUND(Rec_Lag,0)&gt;=1),INDEX($C632:$L632,1,2-ROUND(Rec_Lag,0))*(1-Sev),0)</f>
        <v>115108</v>
      </c>
      <c r="E2147" s="99" t="n">
        <f aca="false">IF(AND(3&lt;=Hold_Yrs,3-ROUND(Rec_Lag,0)&gt;=1),INDEX($C632:$L632,1,3-ROUND(Rec_Lag,0))*(1-Sev),0)</f>
        <v>0</v>
      </c>
      <c r="F2147" s="99" t="n">
        <f aca="false">IF(AND(4&lt;=Hold_Yrs,4-ROUND(Rec_Lag,0)&gt;=1),INDEX($C632:$L632,1,4-ROUND(Rec_Lag,0))*(1-Sev),0)</f>
        <v>0</v>
      </c>
      <c r="G2147" s="99" t="n">
        <f aca="false">IF(AND(5&lt;=Hold_Yrs,5-ROUND(Rec_Lag,0)&gt;=1),INDEX($C632:$L632,1,5-ROUND(Rec_Lag,0))*(1-Sev),0)</f>
        <v>0</v>
      </c>
      <c r="H2147" s="99" t="n">
        <f aca="false">IF(AND(6&lt;=Hold_Yrs,6-ROUND(Rec_Lag,0)&gt;=1),INDEX($C632:$L632,1,6-ROUND(Rec_Lag,0))*(1-Sev),0)</f>
        <v>0</v>
      </c>
      <c r="I2147" s="99" t="n">
        <f aca="false">IF(AND(7&lt;=Hold_Yrs,7-ROUND(Rec_Lag,0)&gt;=1),INDEX($C632:$L632,1,7-ROUND(Rec_Lag,0))*(1-Sev),0)</f>
        <v>0</v>
      </c>
      <c r="J2147" s="99" t="n">
        <f aca="false">IF(AND(8&lt;=Hold_Yrs,8-ROUND(Rec_Lag,0)&gt;=1),INDEX($C632:$L632,1,8-ROUND(Rec_Lag,0))*(1-Sev),0)</f>
        <v>0</v>
      </c>
      <c r="K2147" s="99" t="n">
        <f aca="false">IF(AND(9&lt;=Hold_Yrs,9-ROUND(Rec_Lag,0)&gt;=1),INDEX($C632:$L632,1,9-ROUND(Rec_Lag,0))*(1-Sev),0)</f>
        <v>0</v>
      </c>
      <c r="L2147" s="99" t="n">
        <f aca="false">IF(AND(10&lt;=Hold_Yrs,10-ROUND(Rec_Lag,0)&gt;=1),INDEX($C632:$L632,1,10-ROUND(Rec_Lag,0))*(1-Sev),0)</f>
        <v>0</v>
      </c>
    </row>
    <row r="2148" customFormat="false" ht="15" hidden="false" customHeight="false" outlineLevel="0" collapsed="false">
      <c r="B2148" s="108" t="str">
        <f aca="false">'Loan Tape'!$A23</f>
        <v>L-020</v>
      </c>
      <c r="C2148" s="71" t="n">
        <f aca="false">IF(AND(1&lt;=Hold_Yrs,1-ROUND(Rec_Lag,0)&gt;=1),INDEX($C633:$L633,1,1-ROUND(Rec_Lag,0))*(1-Sev),0)</f>
        <v>0</v>
      </c>
      <c r="D2148" s="71" t="n">
        <f aca="false">IF(AND(2&lt;=Hold_Yrs,2-ROUND(Rec_Lag,0)&gt;=1),INDEX($C633:$L633,1,2-ROUND(Rec_Lag,0))*(1-Sev),0)</f>
        <v>967526</v>
      </c>
      <c r="E2148" s="71" t="n">
        <f aca="false">IF(AND(3&lt;=Hold_Yrs,3-ROUND(Rec_Lag,0)&gt;=1),INDEX($C633:$L633,1,3-ROUND(Rec_Lag,0))*(1-Sev),0)</f>
        <v>851422.88</v>
      </c>
      <c r="F2148" s="71" t="n">
        <f aca="false">IF(AND(4&lt;=Hold_Yrs,4-ROUND(Rec_Lag,0)&gt;=1),INDEX($C633:$L633,1,4-ROUND(Rec_Lag,0))*(1-Sev),0)</f>
        <v>749252.1344</v>
      </c>
      <c r="G2148" s="71" t="n">
        <f aca="false">IF(AND(5&lt;=Hold_Yrs,5-ROUND(Rec_Lag,0)&gt;=1),INDEX($C633:$L633,1,5-ROUND(Rec_Lag,0))*(1-Sev),0)</f>
        <v>659341.878272</v>
      </c>
      <c r="H2148" s="71" t="n">
        <f aca="false">IF(AND(6&lt;=Hold_Yrs,6-ROUND(Rec_Lag,0)&gt;=1),INDEX($C633:$L633,1,6-ROUND(Rec_Lag,0))*(1-Sev),0)</f>
        <v>0</v>
      </c>
      <c r="I2148" s="71" t="n">
        <f aca="false">IF(AND(7&lt;=Hold_Yrs,7-ROUND(Rec_Lag,0)&gt;=1),INDEX($C633:$L633,1,7-ROUND(Rec_Lag,0))*(1-Sev),0)</f>
        <v>0</v>
      </c>
      <c r="J2148" s="71" t="n">
        <f aca="false">IF(AND(8&lt;=Hold_Yrs,8-ROUND(Rec_Lag,0)&gt;=1),INDEX($C633:$L633,1,8-ROUND(Rec_Lag,0))*(1-Sev),0)</f>
        <v>0</v>
      </c>
      <c r="K2148" s="71" t="n">
        <f aca="false">IF(AND(9&lt;=Hold_Yrs,9-ROUND(Rec_Lag,0)&gt;=1),INDEX($C633:$L633,1,9-ROUND(Rec_Lag,0))*(1-Sev),0)</f>
        <v>0</v>
      </c>
      <c r="L2148" s="71" t="n">
        <f aca="false">IF(AND(10&lt;=Hold_Yrs,10-ROUND(Rec_Lag,0)&gt;=1),INDEX($C633:$L633,1,10-ROUND(Rec_Lag,0))*(1-Sev),0)</f>
        <v>0</v>
      </c>
    </row>
    <row r="2149" customFormat="false" ht="15" hidden="false" customHeight="false" outlineLevel="0" collapsed="false">
      <c r="B2149" s="102" t="str">
        <f aca="false">'Loan Tape'!$A24</f>
        <v>L-021</v>
      </c>
      <c r="C2149" s="99" t="n">
        <f aca="false">IF(AND(1&lt;=Hold_Yrs,1-ROUND(Rec_Lag,0)&gt;=1),INDEX($C634:$L634,1,1-ROUND(Rec_Lag,0))*(1-Sev),0)</f>
        <v>0</v>
      </c>
      <c r="D2149" s="99" t="n">
        <f aca="false">IF(AND(2&lt;=Hold_Yrs,2-ROUND(Rec_Lag,0)&gt;=1),INDEX($C634:$L634,1,2-ROUND(Rec_Lag,0))*(1-Sev),0)</f>
        <v>514472</v>
      </c>
      <c r="E2149" s="99" t="n">
        <f aca="false">IF(AND(3&lt;=Hold_Yrs,3-ROUND(Rec_Lag,0)&gt;=1),INDEX($C634:$L634,1,3-ROUND(Rec_Lag,0))*(1-Sev),0)</f>
        <v>445937.025533148</v>
      </c>
      <c r="F2149" s="99" t="n">
        <f aca="false">IF(AND(4&lt;=Hold_Yrs,4-ROUND(Rec_Lag,0)&gt;=1),INDEX($C634:$L634,1,4-ROUND(Rec_Lag,0))*(1-Sev),0)</f>
        <v>385520.389905776</v>
      </c>
      <c r="G2149" s="99" t="n">
        <f aca="false">IF(AND(5&lt;=Hold_Yrs,5-ROUND(Rec_Lag,0)&gt;=1),INDEX($C634:$L634,1,5-ROUND(Rec_Lag,0))*(1-Sev),0)</f>
        <v>113076.908280493</v>
      </c>
      <c r="H2149" s="99" t="n">
        <f aca="false">IF(AND(6&lt;=Hold_Yrs,6-ROUND(Rec_Lag,0)&gt;=1),INDEX($C634:$L634,1,6-ROUND(Rec_Lag,0))*(1-Sev),0)</f>
        <v>0</v>
      </c>
      <c r="I2149" s="99" t="n">
        <f aca="false">IF(AND(7&lt;=Hold_Yrs,7-ROUND(Rec_Lag,0)&gt;=1),INDEX($C634:$L634,1,7-ROUND(Rec_Lag,0))*(1-Sev),0)</f>
        <v>0</v>
      </c>
      <c r="J2149" s="99" t="n">
        <f aca="false">IF(AND(8&lt;=Hold_Yrs,8-ROUND(Rec_Lag,0)&gt;=1),INDEX($C634:$L634,1,8-ROUND(Rec_Lag,0))*(1-Sev),0)</f>
        <v>0</v>
      </c>
      <c r="K2149" s="99" t="n">
        <f aca="false">IF(AND(9&lt;=Hold_Yrs,9-ROUND(Rec_Lag,0)&gt;=1),INDEX($C634:$L634,1,9-ROUND(Rec_Lag,0))*(1-Sev),0)</f>
        <v>0</v>
      </c>
      <c r="L2149" s="99" t="n">
        <f aca="false">IF(AND(10&lt;=Hold_Yrs,10-ROUND(Rec_Lag,0)&gt;=1),INDEX($C634:$L634,1,10-ROUND(Rec_Lag,0))*(1-Sev),0)</f>
        <v>0</v>
      </c>
    </row>
    <row r="2150" customFormat="false" ht="15" hidden="false" customHeight="false" outlineLevel="0" collapsed="false">
      <c r="B2150" s="108" t="str">
        <f aca="false">'Loan Tape'!$A25</f>
        <v>L-022</v>
      </c>
      <c r="C2150" s="71" t="n">
        <f aca="false">IF(AND(1&lt;=Hold_Yrs,1-ROUND(Rec_Lag,0)&gt;=1),INDEX($C635:$L635,1,1-ROUND(Rec_Lag,0))*(1-Sev),0)</f>
        <v>0</v>
      </c>
      <c r="D2150" s="71" t="n">
        <f aca="false">IF(AND(2&lt;=Hold_Yrs,2-ROUND(Rec_Lag,0)&gt;=1),INDEX($C635:$L635,1,2-ROUND(Rec_Lag,0))*(1-Sev),0)</f>
        <v>98364</v>
      </c>
      <c r="E2150" s="71" t="n">
        <f aca="false">IF(AND(3&lt;=Hold_Yrs,3-ROUND(Rec_Lag,0)&gt;=1),INDEX($C635:$L635,1,3-ROUND(Rec_Lag,0))*(1-Sev),0)</f>
        <v>70274.0049788602</v>
      </c>
      <c r="F2150" s="71" t="n">
        <f aca="false">IF(AND(4&lt;=Hold_Yrs,4-ROUND(Rec_Lag,0)&gt;=1),INDEX($C635:$L635,1,4-ROUND(Rec_Lag,0))*(1-Sev),0)</f>
        <v>0</v>
      </c>
      <c r="G2150" s="71" t="n">
        <f aca="false">IF(AND(5&lt;=Hold_Yrs,5-ROUND(Rec_Lag,0)&gt;=1),INDEX($C635:$L635,1,5-ROUND(Rec_Lag,0))*(1-Sev),0)</f>
        <v>0</v>
      </c>
      <c r="H2150" s="71" t="n">
        <f aca="false">IF(AND(6&lt;=Hold_Yrs,6-ROUND(Rec_Lag,0)&gt;=1),INDEX($C635:$L635,1,6-ROUND(Rec_Lag,0))*(1-Sev),0)</f>
        <v>0</v>
      </c>
      <c r="I2150" s="71" t="n">
        <f aca="false">IF(AND(7&lt;=Hold_Yrs,7-ROUND(Rec_Lag,0)&gt;=1),INDEX($C635:$L635,1,7-ROUND(Rec_Lag,0))*(1-Sev),0)</f>
        <v>0</v>
      </c>
      <c r="J2150" s="71" t="n">
        <f aca="false">IF(AND(8&lt;=Hold_Yrs,8-ROUND(Rec_Lag,0)&gt;=1),INDEX($C635:$L635,1,8-ROUND(Rec_Lag,0))*(1-Sev),0)</f>
        <v>0</v>
      </c>
      <c r="K2150" s="71" t="n">
        <f aca="false">IF(AND(9&lt;=Hold_Yrs,9-ROUND(Rec_Lag,0)&gt;=1),INDEX($C635:$L635,1,9-ROUND(Rec_Lag,0))*(1-Sev),0)</f>
        <v>0</v>
      </c>
      <c r="L2150" s="71" t="n">
        <f aca="false">IF(AND(10&lt;=Hold_Yrs,10-ROUND(Rec_Lag,0)&gt;=1),INDEX($C635:$L635,1,10-ROUND(Rec_Lag,0))*(1-Sev),0)</f>
        <v>0</v>
      </c>
    </row>
    <row r="2151" customFormat="false" ht="15" hidden="false" customHeight="false" outlineLevel="0" collapsed="false">
      <c r="B2151" s="102" t="str">
        <f aca="false">'Loan Tape'!$A26</f>
        <v>L-023</v>
      </c>
      <c r="C2151" s="99" t="n">
        <f aca="false">IF(AND(1&lt;=Hold_Yrs,1-ROUND(Rec_Lag,0)&gt;=1),INDEX($C636:$L636,1,1-ROUND(Rec_Lag,0))*(1-Sev),0)</f>
        <v>0</v>
      </c>
      <c r="D2151" s="99" t="n">
        <f aca="false">IF(AND(2&lt;=Hold_Yrs,2-ROUND(Rec_Lag,0)&gt;=1),INDEX($C636:$L636,1,2-ROUND(Rec_Lag,0))*(1-Sev),0)</f>
        <v>0</v>
      </c>
      <c r="E2151" s="99" t="n">
        <f aca="false">IF(AND(3&lt;=Hold_Yrs,3-ROUND(Rec_Lag,0)&gt;=1),INDEX($C636:$L636,1,3-ROUND(Rec_Lag,0))*(1-Sev),0)</f>
        <v>0</v>
      </c>
      <c r="F2151" s="99" t="n">
        <f aca="false">IF(AND(4&lt;=Hold_Yrs,4-ROUND(Rec_Lag,0)&gt;=1),INDEX($C636:$L636,1,4-ROUND(Rec_Lag,0))*(1-Sev),0)</f>
        <v>0</v>
      </c>
      <c r="G2151" s="99" t="n">
        <f aca="false">IF(AND(5&lt;=Hold_Yrs,5-ROUND(Rec_Lag,0)&gt;=1),INDEX($C636:$L636,1,5-ROUND(Rec_Lag,0))*(1-Sev),0)</f>
        <v>0</v>
      </c>
      <c r="H2151" s="99" t="n">
        <f aca="false">IF(AND(6&lt;=Hold_Yrs,6-ROUND(Rec_Lag,0)&gt;=1),INDEX($C636:$L636,1,6-ROUND(Rec_Lag,0))*(1-Sev),0)</f>
        <v>0</v>
      </c>
      <c r="I2151" s="99" t="n">
        <f aca="false">IF(AND(7&lt;=Hold_Yrs,7-ROUND(Rec_Lag,0)&gt;=1),INDEX($C636:$L636,1,7-ROUND(Rec_Lag,0))*(1-Sev),0)</f>
        <v>0</v>
      </c>
      <c r="J2151" s="99" t="n">
        <f aca="false">IF(AND(8&lt;=Hold_Yrs,8-ROUND(Rec_Lag,0)&gt;=1),INDEX($C636:$L636,1,8-ROUND(Rec_Lag,0))*(1-Sev),0)</f>
        <v>0</v>
      </c>
      <c r="K2151" s="99" t="n">
        <f aca="false">IF(AND(9&lt;=Hold_Yrs,9-ROUND(Rec_Lag,0)&gt;=1),INDEX($C636:$L636,1,9-ROUND(Rec_Lag,0))*(1-Sev),0)</f>
        <v>0</v>
      </c>
      <c r="L2151" s="99" t="n">
        <f aca="false">IF(AND(10&lt;=Hold_Yrs,10-ROUND(Rec_Lag,0)&gt;=1),INDEX($C636:$L636,1,10-ROUND(Rec_Lag,0))*(1-Sev),0)</f>
        <v>0</v>
      </c>
    </row>
    <row r="2152" customFormat="false" ht="15" hidden="false" customHeight="false" outlineLevel="0" collapsed="false">
      <c r="B2152" s="108" t="str">
        <f aca="false">'Loan Tape'!$A27</f>
        <v>L-024</v>
      </c>
      <c r="C2152" s="71" t="n">
        <f aca="false">IF(AND(1&lt;=Hold_Yrs,1-ROUND(Rec_Lag,0)&gt;=1),INDEX($C637:$L637,1,1-ROUND(Rec_Lag,0))*(1-Sev),0)</f>
        <v>0</v>
      </c>
      <c r="D2152" s="71" t="n">
        <f aca="false">IF(AND(2&lt;=Hold_Yrs,2-ROUND(Rec_Lag,0)&gt;=1),INDEX($C637:$L637,1,2-ROUND(Rec_Lag,0))*(1-Sev),0)</f>
        <v>246862</v>
      </c>
      <c r="E2152" s="71" t="n">
        <f aca="false">IF(AND(3&lt;=Hold_Yrs,3-ROUND(Rec_Lag,0)&gt;=1),INDEX($C637:$L637,1,3-ROUND(Rec_Lag,0))*(1-Sev),0)</f>
        <v>217238.56</v>
      </c>
      <c r="F2152" s="71" t="n">
        <f aca="false">IF(AND(4&lt;=Hold_Yrs,4-ROUND(Rec_Lag,0)&gt;=1),INDEX($C637:$L637,1,4-ROUND(Rec_Lag,0))*(1-Sev),0)</f>
        <v>191169.9328</v>
      </c>
      <c r="G2152" s="71" t="n">
        <f aca="false">IF(AND(5&lt;=Hold_Yrs,5-ROUND(Rec_Lag,0)&gt;=1),INDEX($C637:$L637,1,5-ROUND(Rec_Lag,0))*(1-Sev),0)</f>
        <v>154872.506818672</v>
      </c>
      <c r="H2152" s="71" t="n">
        <f aca="false">IF(AND(6&lt;=Hold_Yrs,6-ROUND(Rec_Lag,0)&gt;=1),INDEX($C637:$L637,1,6-ROUND(Rec_Lag,0))*(1-Sev),0)</f>
        <v>0</v>
      </c>
      <c r="I2152" s="71" t="n">
        <f aca="false">IF(AND(7&lt;=Hold_Yrs,7-ROUND(Rec_Lag,0)&gt;=1),INDEX($C637:$L637,1,7-ROUND(Rec_Lag,0))*(1-Sev),0)</f>
        <v>0</v>
      </c>
      <c r="J2152" s="71" t="n">
        <f aca="false">IF(AND(8&lt;=Hold_Yrs,8-ROUND(Rec_Lag,0)&gt;=1),INDEX($C637:$L637,1,8-ROUND(Rec_Lag,0))*(1-Sev),0)</f>
        <v>0</v>
      </c>
      <c r="K2152" s="71" t="n">
        <f aca="false">IF(AND(9&lt;=Hold_Yrs,9-ROUND(Rec_Lag,0)&gt;=1),INDEX($C637:$L637,1,9-ROUND(Rec_Lag,0))*(1-Sev),0)</f>
        <v>0</v>
      </c>
      <c r="L2152" s="71" t="n">
        <f aca="false">IF(AND(10&lt;=Hold_Yrs,10-ROUND(Rec_Lag,0)&gt;=1),INDEX($C637:$L637,1,10-ROUND(Rec_Lag,0))*(1-Sev),0)</f>
        <v>0</v>
      </c>
    </row>
    <row r="2153" customFormat="false" ht="15" hidden="false" customHeight="false" outlineLevel="0" collapsed="false">
      <c r="B2153" s="102" t="str">
        <f aca="false">'Loan Tape'!$A28</f>
        <v>L-025</v>
      </c>
      <c r="C2153" s="99" t="n">
        <f aca="false">IF(AND(1&lt;=Hold_Yrs,1-ROUND(Rec_Lag,0)&gt;=1),INDEX($C638:$L638,1,1-ROUND(Rec_Lag,0))*(1-Sev),0)</f>
        <v>0</v>
      </c>
      <c r="D2153" s="99" t="n">
        <f aca="false">IF(AND(2&lt;=Hold_Yrs,2-ROUND(Rec_Lag,0)&gt;=1),INDEX($C638:$L638,1,2-ROUND(Rec_Lag,0))*(1-Sev),0)</f>
        <v>206822</v>
      </c>
      <c r="E2153" s="99" t="n">
        <f aca="false">IF(AND(3&lt;=Hold_Yrs,3-ROUND(Rec_Lag,0)&gt;=1),INDEX($C638:$L638,1,3-ROUND(Rec_Lag,0))*(1-Sev),0)</f>
        <v>178175.973857669</v>
      </c>
      <c r="F2153" s="99" t="n">
        <f aca="false">IF(AND(4&lt;=Hold_Yrs,4-ROUND(Rec_Lag,0)&gt;=1),INDEX($C638:$L638,1,4-ROUND(Rec_Lag,0))*(1-Sev),0)</f>
        <v>153258.710307315</v>
      </c>
      <c r="G2153" s="99" t="n">
        <f aca="false">IF(AND(5&lt;=Hold_Yrs,5-ROUND(Rec_Lag,0)&gt;=1),INDEX($C638:$L638,1,5-ROUND(Rec_Lag,0))*(1-Sev),0)</f>
        <v>33598.3946836947</v>
      </c>
      <c r="H2153" s="99" t="n">
        <f aca="false">IF(AND(6&lt;=Hold_Yrs,6-ROUND(Rec_Lag,0)&gt;=1),INDEX($C638:$L638,1,6-ROUND(Rec_Lag,0))*(1-Sev),0)</f>
        <v>0</v>
      </c>
      <c r="I2153" s="99" t="n">
        <f aca="false">IF(AND(7&lt;=Hold_Yrs,7-ROUND(Rec_Lag,0)&gt;=1),INDEX($C638:$L638,1,7-ROUND(Rec_Lag,0))*(1-Sev),0)</f>
        <v>0</v>
      </c>
      <c r="J2153" s="99" t="n">
        <f aca="false">IF(AND(8&lt;=Hold_Yrs,8-ROUND(Rec_Lag,0)&gt;=1),INDEX($C638:$L638,1,8-ROUND(Rec_Lag,0))*(1-Sev),0)</f>
        <v>0</v>
      </c>
      <c r="K2153" s="99" t="n">
        <f aca="false">IF(AND(9&lt;=Hold_Yrs,9-ROUND(Rec_Lag,0)&gt;=1),INDEX($C638:$L638,1,9-ROUND(Rec_Lag,0))*(1-Sev),0)</f>
        <v>0</v>
      </c>
      <c r="L2153" s="99" t="n">
        <f aca="false">IF(AND(10&lt;=Hold_Yrs,10-ROUND(Rec_Lag,0)&gt;=1),INDEX($C638:$L638,1,10-ROUND(Rec_Lag,0))*(1-Sev),0)</f>
        <v>0</v>
      </c>
    </row>
    <row r="2154" customFormat="false" ht="15" hidden="false" customHeight="false" outlineLevel="0" collapsed="false">
      <c r="B2154" s="108" t="str">
        <f aca="false">'Loan Tape'!$A29</f>
        <v>L-026</v>
      </c>
      <c r="C2154" s="71" t="n">
        <f aca="false">IF(AND(1&lt;=Hold_Yrs,1-ROUND(Rec_Lag,0)&gt;=1),INDEX($C639:$L639,1,1-ROUND(Rec_Lag,0))*(1-Sev),0)</f>
        <v>0</v>
      </c>
      <c r="D2154" s="71" t="n">
        <f aca="false">IF(AND(2&lt;=Hold_Yrs,2-ROUND(Rec_Lag,0)&gt;=1),INDEX($C639:$L639,1,2-ROUND(Rec_Lag,0))*(1-Sev),0)</f>
        <v>1258558</v>
      </c>
      <c r="E2154" s="71" t="n">
        <f aca="false">IF(AND(3&lt;=Hold_Yrs,3-ROUND(Rec_Lag,0)&gt;=1),INDEX($C639:$L639,1,3-ROUND(Rec_Lag,0))*(1-Sev),0)</f>
        <v>0</v>
      </c>
      <c r="F2154" s="71" t="n">
        <f aca="false">IF(AND(4&lt;=Hold_Yrs,4-ROUND(Rec_Lag,0)&gt;=1),INDEX($C639:$L639,1,4-ROUND(Rec_Lag,0))*(1-Sev),0)</f>
        <v>0</v>
      </c>
      <c r="G2154" s="71" t="n">
        <f aca="false">IF(AND(5&lt;=Hold_Yrs,5-ROUND(Rec_Lag,0)&gt;=1),INDEX($C639:$L639,1,5-ROUND(Rec_Lag,0))*(1-Sev),0)</f>
        <v>0</v>
      </c>
      <c r="H2154" s="71" t="n">
        <f aca="false">IF(AND(6&lt;=Hold_Yrs,6-ROUND(Rec_Lag,0)&gt;=1),INDEX($C639:$L639,1,6-ROUND(Rec_Lag,0))*(1-Sev),0)</f>
        <v>0</v>
      </c>
      <c r="I2154" s="71" t="n">
        <f aca="false">IF(AND(7&lt;=Hold_Yrs,7-ROUND(Rec_Lag,0)&gt;=1),INDEX($C639:$L639,1,7-ROUND(Rec_Lag,0))*(1-Sev),0)</f>
        <v>0</v>
      </c>
      <c r="J2154" s="71" t="n">
        <f aca="false">IF(AND(8&lt;=Hold_Yrs,8-ROUND(Rec_Lag,0)&gt;=1),INDEX($C639:$L639,1,8-ROUND(Rec_Lag,0))*(1-Sev),0)</f>
        <v>0</v>
      </c>
      <c r="K2154" s="71" t="n">
        <f aca="false">IF(AND(9&lt;=Hold_Yrs,9-ROUND(Rec_Lag,0)&gt;=1),INDEX($C639:$L639,1,9-ROUND(Rec_Lag,0))*(1-Sev),0)</f>
        <v>0</v>
      </c>
      <c r="L2154" s="71" t="n">
        <f aca="false">IF(AND(10&lt;=Hold_Yrs,10-ROUND(Rec_Lag,0)&gt;=1),INDEX($C639:$L639,1,10-ROUND(Rec_Lag,0))*(1-Sev),0)</f>
        <v>0</v>
      </c>
    </row>
    <row r="2155" customFormat="false" ht="15" hidden="false" customHeight="false" outlineLevel="0" collapsed="false">
      <c r="B2155" s="102" t="str">
        <f aca="false">'Loan Tape'!$A30</f>
        <v>L-027</v>
      </c>
      <c r="C2155" s="99" t="n">
        <f aca="false">IF(AND(1&lt;=Hold_Yrs,1-ROUND(Rec_Lag,0)&gt;=1),INDEX($C640:$L640,1,1-ROUND(Rec_Lag,0))*(1-Sev),0)</f>
        <v>0</v>
      </c>
      <c r="D2155" s="99" t="n">
        <f aca="false">IF(AND(2&lt;=Hold_Yrs,2-ROUND(Rec_Lag,0)&gt;=1),INDEX($C640:$L640,1,2-ROUND(Rec_Lag,0))*(1-Sev),0)</f>
        <v>1238734</v>
      </c>
      <c r="E2155" s="99" t="n">
        <f aca="false">IF(AND(3&lt;=Hold_Yrs,3-ROUND(Rec_Lag,0)&gt;=1),INDEX($C640:$L640,1,3-ROUND(Rec_Lag,0))*(1-Sev),0)</f>
        <v>1090085.92</v>
      </c>
      <c r="F2155" s="99" t="n">
        <f aca="false">IF(AND(4&lt;=Hold_Yrs,4-ROUND(Rec_Lag,0)&gt;=1),INDEX($C640:$L640,1,4-ROUND(Rec_Lag,0))*(1-Sev),0)</f>
        <v>959275.6096</v>
      </c>
      <c r="G2155" s="99" t="n">
        <f aca="false">IF(AND(5&lt;=Hold_Yrs,5-ROUND(Rec_Lag,0)&gt;=1),INDEX($C640:$L640,1,5-ROUND(Rec_Lag,0))*(1-Sev),0)</f>
        <v>423525.762639551</v>
      </c>
      <c r="H2155" s="99" t="n">
        <f aca="false">IF(AND(6&lt;=Hold_Yrs,6-ROUND(Rec_Lag,0)&gt;=1),INDEX($C640:$L640,1,6-ROUND(Rec_Lag,0))*(1-Sev),0)</f>
        <v>0</v>
      </c>
      <c r="I2155" s="99" t="n">
        <f aca="false">IF(AND(7&lt;=Hold_Yrs,7-ROUND(Rec_Lag,0)&gt;=1),INDEX($C640:$L640,1,7-ROUND(Rec_Lag,0))*(1-Sev),0)</f>
        <v>0</v>
      </c>
      <c r="J2155" s="99" t="n">
        <f aca="false">IF(AND(8&lt;=Hold_Yrs,8-ROUND(Rec_Lag,0)&gt;=1),INDEX($C640:$L640,1,8-ROUND(Rec_Lag,0))*(1-Sev),0)</f>
        <v>0</v>
      </c>
      <c r="K2155" s="99" t="n">
        <f aca="false">IF(AND(9&lt;=Hold_Yrs,9-ROUND(Rec_Lag,0)&gt;=1),INDEX($C640:$L640,1,9-ROUND(Rec_Lag,0))*(1-Sev),0)</f>
        <v>0</v>
      </c>
      <c r="L2155" s="99" t="n">
        <f aca="false">IF(AND(10&lt;=Hold_Yrs,10-ROUND(Rec_Lag,0)&gt;=1),INDEX($C640:$L640,1,10-ROUND(Rec_Lag,0))*(1-Sev),0)</f>
        <v>0</v>
      </c>
    </row>
    <row r="2156" customFormat="false" ht="15" hidden="false" customHeight="false" outlineLevel="0" collapsed="false">
      <c r="B2156" s="108" t="str">
        <f aca="false">'Loan Tape'!$A31</f>
        <v>L-028</v>
      </c>
      <c r="C2156" s="71" t="n">
        <f aca="false">IF(AND(1&lt;=Hold_Yrs,1-ROUND(Rec_Lag,0)&gt;=1),INDEX($C641:$L641,1,1-ROUND(Rec_Lag,0))*(1-Sev),0)</f>
        <v>0</v>
      </c>
      <c r="D2156" s="71" t="n">
        <f aca="false">IF(AND(2&lt;=Hold_Yrs,2-ROUND(Rec_Lag,0)&gt;=1),INDEX($C641:$L641,1,2-ROUND(Rec_Lag,0))*(1-Sev),0)</f>
        <v>0</v>
      </c>
      <c r="E2156" s="71" t="n">
        <f aca="false">IF(AND(3&lt;=Hold_Yrs,3-ROUND(Rec_Lag,0)&gt;=1),INDEX($C641:$L641,1,3-ROUND(Rec_Lag,0))*(1-Sev),0)</f>
        <v>0</v>
      </c>
      <c r="F2156" s="71" t="n">
        <f aca="false">IF(AND(4&lt;=Hold_Yrs,4-ROUND(Rec_Lag,0)&gt;=1),INDEX($C641:$L641,1,4-ROUND(Rec_Lag,0))*(1-Sev),0)</f>
        <v>0</v>
      </c>
      <c r="G2156" s="71" t="n">
        <f aca="false">IF(AND(5&lt;=Hold_Yrs,5-ROUND(Rec_Lag,0)&gt;=1),INDEX($C641:$L641,1,5-ROUND(Rec_Lag,0))*(1-Sev),0)</f>
        <v>0</v>
      </c>
      <c r="H2156" s="71" t="n">
        <f aca="false">IF(AND(6&lt;=Hold_Yrs,6-ROUND(Rec_Lag,0)&gt;=1),INDEX($C641:$L641,1,6-ROUND(Rec_Lag,0))*(1-Sev),0)</f>
        <v>0</v>
      </c>
      <c r="I2156" s="71" t="n">
        <f aca="false">IF(AND(7&lt;=Hold_Yrs,7-ROUND(Rec_Lag,0)&gt;=1),INDEX($C641:$L641,1,7-ROUND(Rec_Lag,0))*(1-Sev),0)</f>
        <v>0</v>
      </c>
      <c r="J2156" s="71" t="n">
        <f aca="false">IF(AND(8&lt;=Hold_Yrs,8-ROUND(Rec_Lag,0)&gt;=1),INDEX($C641:$L641,1,8-ROUND(Rec_Lag,0))*(1-Sev),0)</f>
        <v>0</v>
      </c>
      <c r="K2156" s="71" t="n">
        <f aca="false">IF(AND(9&lt;=Hold_Yrs,9-ROUND(Rec_Lag,0)&gt;=1),INDEX($C641:$L641,1,9-ROUND(Rec_Lag,0))*(1-Sev),0)</f>
        <v>0</v>
      </c>
      <c r="L2156" s="71" t="n">
        <f aca="false">IF(AND(10&lt;=Hold_Yrs,10-ROUND(Rec_Lag,0)&gt;=1),INDEX($C641:$L641,1,10-ROUND(Rec_Lag,0))*(1-Sev),0)</f>
        <v>0</v>
      </c>
    </row>
    <row r="2157" customFormat="false" ht="15" hidden="false" customHeight="false" outlineLevel="0" collapsed="false">
      <c r="B2157" s="102" t="str">
        <f aca="false">'Loan Tape'!$A32</f>
        <v>L-029</v>
      </c>
      <c r="C2157" s="99" t="n">
        <f aca="false">IF(AND(1&lt;=Hold_Yrs,1-ROUND(Rec_Lag,0)&gt;=1),INDEX($C642:$L642,1,1-ROUND(Rec_Lag,0))*(1-Sev),0)</f>
        <v>0</v>
      </c>
      <c r="D2157" s="99" t="n">
        <f aca="false">IF(AND(2&lt;=Hold_Yrs,2-ROUND(Rec_Lag,0)&gt;=1),INDEX($C642:$L642,1,2-ROUND(Rec_Lag,0))*(1-Sev),0)</f>
        <v>0</v>
      </c>
      <c r="E2157" s="99" t="n">
        <f aca="false">IF(AND(3&lt;=Hold_Yrs,3-ROUND(Rec_Lag,0)&gt;=1),INDEX($C642:$L642,1,3-ROUND(Rec_Lag,0))*(1-Sev),0)</f>
        <v>0</v>
      </c>
      <c r="F2157" s="99" t="n">
        <f aca="false">IF(AND(4&lt;=Hold_Yrs,4-ROUND(Rec_Lag,0)&gt;=1),INDEX($C642:$L642,1,4-ROUND(Rec_Lag,0))*(1-Sev),0)</f>
        <v>0</v>
      </c>
      <c r="G2157" s="99" t="n">
        <f aca="false">IF(AND(5&lt;=Hold_Yrs,5-ROUND(Rec_Lag,0)&gt;=1),INDEX($C642:$L642,1,5-ROUND(Rec_Lag,0))*(1-Sev),0)</f>
        <v>0</v>
      </c>
      <c r="H2157" s="99" t="n">
        <f aca="false">IF(AND(6&lt;=Hold_Yrs,6-ROUND(Rec_Lag,0)&gt;=1),INDEX($C642:$L642,1,6-ROUND(Rec_Lag,0))*(1-Sev),0)</f>
        <v>0</v>
      </c>
      <c r="I2157" s="99" t="n">
        <f aca="false">IF(AND(7&lt;=Hold_Yrs,7-ROUND(Rec_Lag,0)&gt;=1),INDEX($C642:$L642,1,7-ROUND(Rec_Lag,0))*(1-Sev),0)</f>
        <v>0</v>
      </c>
      <c r="J2157" s="99" t="n">
        <f aca="false">IF(AND(8&lt;=Hold_Yrs,8-ROUND(Rec_Lag,0)&gt;=1),INDEX($C642:$L642,1,8-ROUND(Rec_Lag,0))*(1-Sev),0)</f>
        <v>0</v>
      </c>
      <c r="K2157" s="99" t="n">
        <f aca="false">IF(AND(9&lt;=Hold_Yrs,9-ROUND(Rec_Lag,0)&gt;=1),INDEX($C642:$L642,1,9-ROUND(Rec_Lag,0))*(1-Sev),0)</f>
        <v>0</v>
      </c>
      <c r="L2157" s="99" t="n">
        <f aca="false">IF(AND(10&lt;=Hold_Yrs,10-ROUND(Rec_Lag,0)&gt;=1),INDEX($C642:$L642,1,10-ROUND(Rec_Lag,0))*(1-Sev),0)</f>
        <v>0</v>
      </c>
    </row>
    <row r="2158" customFormat="false" ht="15" hidden="false" customHeight="false" outlineLevel="0" collapsed="false">
      <c r="B2158" s="108" t="str">
        <f aca="false">'Loan Tape'!$A33</f>
        <v>L-030</v>
      </c>
      <c r="C2158" s="71" t="n">
        <f aca="false">IF(AND(1&lt;=Hold_Yrs,1-ROUND(Rec_Lag,0)&gt;=1),INDEX($C643:$L643,1,1-ROUND(Rec_Lag,0))*(1-Sev),0)</f>
        <v>0</v>
      </c>
      <c r="D2158" s="71" t="n">
        <f aca="false">IF(AND(2&lt;=Hold_Yrs,2-ROUND(Rec_Lag,0)&gt;=1),INDEX($C643:$L643,1,2-ROUND(Rec_Lag,0))*(1-Sev),0)</f>
        <v>198744</v>
      </c>
      <c r="E2158" s="71" t="n">
        <f aca="false">IF(AND(3&lt;=Hold_Yrs,3-ROUND(Rec_Lag,0)&gt;=1),INDEX($C643:$L643,1,3-ROUND(Rec_Lag,0))*(1-Sev),0)</f>
        <v>171980.550935759</v>
      </c>
      <c r="F2158" s="71" t="n">
        <f aca="false">IF(AND(4&lt;=Hold_Yrs,4-ROUND(Rec_Lag,0)&gt;=1),INDEX($C643:$L643,1,4-ROUND(Rec_Lag,0))*(1-Sev),0)</f>
        <v>148432.988092559</v>
      </c>
      <c r="G2158" s="71" t="n">
        <f aca="false">IF(AND(5&lt;=Hold_Yrs,5-ROUND(Rec_Lag,0)&gt;=1),INDEX($C643:$L643,1,5-ROUND(Rec_Lag,0))*(1-Sev),0)</f>
        <v>127732.01320399</v>
      </c>
      <c r="H2158" s="71" t="n">
        <f aca="false">IF(AND(6&lt;=Hold_Yrs,6-ROUND(Rec_Lag,0)&gt;=1),INDEX($C643:$L643,1,6-ROUND(Rec_Lag,0))*(1-Sev),0)</f>
        <v>0</v>
      </c>
      <c r="I2158" s="71" t="n">
        <f aca="false">IF(AND(7&lt;=Hold_Yrs,7-ROUND(Rec_Lag,0)&gt;=1),INDEX($C643:$L643,1,7-ROUND(Rec_Lag,0))*(1-Sev),0)</f>
        <v>0</v>
      </c>
      <c r="J2158" s="71" t="n">
        <f aca="false">IF(AND(8&lt;=Hold_Yrs,8-ROUND(Rec_Lag,0)&gt;=1),INDEX($C643:$L643,1,8-ROUND(Rec_Lag,0))*(1-Sev),0)</f>
        <v>0</v>
      </c>
      <c r="K2158" s="71" t="n">
        <f aca="false">IF(AND(9&lt;=Hold_Yrs,9-ROUND(Rec_Lag,0)&gt;=1),INDEX($C643:$L643,1,9-ROUND(Rec_Lag,0))*(1-Sev),0)</f>
        <v>0</v>
      </c>
      <c r="L2158" s="71" t="n">
        <f aca="false">IF(AND(10&lt;=Hold_Yrs,10-ROUND(Rec_Lag,0)&gt;=1),INDEX($C643:$L643,1,10-ROUND(Rec_Lag,0))*(1-Sev),0)</f>
        <v>0</v>
      </c>
    </row>
    <row r="2159" customFormat="false" ht="15" hidden="false" customHeight="false" outlineLevel="0" collapsed="false">
      <c r="B2159" s="102" t="str">
        <f aca="false">'Loan Tape'!$A34</f>
        <v>L-031</v>
      </c>
      <c r="C2159" s="99" t="n">
        <f aca="false">IF(AND(1&lt;=Hold_Yrs,1-ROUND(Rec_Lag,0)&gt;=1),INDEX($C644:$L644,1,1-ROUND(Rec_Lag,0))*(1-Sev),0)</f>
        <v>0</v>
      </c>
      <c r="D2159" s="99" t="n">
        <f aca="false">IF(AND(2&lt;=Hold_Yrs,2-ROUND(Rec_Lag,0)&gt;=1),INDEX($C644:$L644,1,2-ROUND(Rec_Lag,0))*(1-Sev),0)</f>
        <v>163086</v>
      </c>
      <c r="E2159" s="99" t="n">
        <f aca="false">IF(AND(3&lt;=Hold_Yrs,3-ROUND(Rec_Lag,0)&gt;=1),INDEX($C644:$L644,1,3-ROUND(Rec_Lag,0))*(1-Sev),0)</f>
        <v>36443.7489938398</v>
      </c>
      <c r="F2159" s="99" t="n">
        <f aca="false">IF(AND(4&lt;=Hold_Yrs,4-ROUND(Rec_Lag,0)&gt;=1),INDEX($C644:$L644,1,4-ROUND(Rec_Lag,0))*(1-Sev),0)</f>
        <v>0</v>
      </c>
      <c r="G2159" s="99" t="n">
        <f aca="false">IF(AND(5&lt;=Hold_Yrs,5-ROUND(Rec_Lag,0)&gt;=1),INDEX($C644:$L644,1,5-ROUND(Rec_Lag,0))*(1-Sev),0)</f>
        <v>0</v>
      </c>
      <c r="H2159" s="99" t="n">
        <f aca="false">IF(AND(6&lt;=Hold_Yrs,6-ROUND(Rec_Lag,0)&gt;=1),INDEX($C644:$L644,1,6-ROUND(Rec_Lag,0))*(1-Sev),0)</f>
        <v>0</v>
      </c>
      <c r="I2159" s="99" t="n">
        <f aca="false">IF(AND(7&lt;=Hold_Yrs,7-ROUND(Rec_Lag,0)&gt;=1),INDEX($C644:$L644,1,7-ROUND(Rec_Lag,0))*(1-Sev),0)</f>
        <v>0</v>
      </c>
      <c r="J2159" s="99" t="n">
        <f aca="false">IF(AND(8&lt;=Hold_Yrs,8-ROUND(Rec_Lag,0)&gt;=1),INDEX($C644:$L644,1,8-ROUND(Rec_Lag,0))*(1-Sev),0)</f>
        <v>0</v>
      </c>
      <c r="K2159" s="99" t="n">
        <f aca="false">IF(AND(9&lt;=Hold_Yrs,9-ROUND(Rec_Lag,0)&gt;=1),INDEX($C644:$L644,1,9-ROUND(Rec_Lag,0))*(1-Sev),0)</f>
        <v>0</v>
      </c>
      <c r="L2159" s="99" t="n">
        <f aca="false">IF(AND(10&lt;=Hold_Yrs,10-ROUND(Rec_Lag,0)&gt;=1),INDEX($C644:$L644,1,10-ROUND(Rec_Lag,0))*(1-Sev),0)</f>
        <v>0</v>
      </c>
    </row>
    <row r="2160" customFormat="false" ht="15" hidden="false" customHeight="false" outlineLevel="0" collapsed="false">
      <c r="B2160" s="108" t="str">
        <f aca="false">'Loan Tape'!$A35</f>
        <v>L-032</v>
      </c>
      <c r="C2160" s="71" t="n">
        <f aca="false">IF(AND(1&lt;=Hold_Yrs,1-ROUND(Rec_Lag,0)&gt;=1),INDEX($C645:$L645,1,1-ROUND(Rec_Lag,0))*(1-Sev),0)</f>
        <v>0</v>
      </c>
      <c r="D2160" s="71" t="n">
        <f aca="false">IF(AND(2&lt;=Hold_Yrs,2-ROUND(Rec_Lag,0)&gt;=1),INDEX($C645:$L645,1,2-ROUND(Rec_Lag,0))*(1-Sev),0)</f>
        <v>1956234</v>
      </c>
      <c r="E2160" s="71" t="n">
        <f aca="false">IF(AND(3&lt;=Hold_Yrs,3-ROUND(Rec_Lag,0)&gt;=1),INDEX($C645:$L645,1,3-ROUND(Rec_Lag,0))*(1-Sev),0)</f>
        <v>1694103.93796061</v>
      </c>
      <c r="F2160" s="71" t="n">
        <f aca="false">IF(AND(4&lt;=Hold_Yrs,4-ROUND(Rec_Lag,0)&gt;=1),INDEX($C645:$L645,1,4-ROUND(Rec_Lag,0))*(1-Sev),0)</f>
        <v>1462923.1745466</v>
      </c>
      <c r="G2160" s="71" t="n">
        <f aca="false">IF(AND(5&lt;=Hold_Yrs,5-ROUND(Rec_Lag,0)&gt;=1),INDEX($C645:$L645,1,5-ROUND(Rec_Lag,0))*(1-Sev),0)</f>
        <v>1052655.40989596</v>
      </c>
      <c r="H2160" s="71" t="n">
        <f aca="false">IF(AND(6&lt;=Hold_Yrs,6-ROUND(Rec_Lag,0)&gt;=1),INDEX($C645:$L645,1,6-ROUND(Rec_Lag,0))*(1-Sev),0)</f>
        <v>0</v>
      </c>
      <c r="I2160" s="71" t="n">
        <f aca="false">IF(AND(7&lt;=Hold_Yrs,7-ROUND(Rec_Lag,0)&gt;=1),INDEX($C645:$L645,1,7-ROUND(Rec_Lag,0))*(1-Sev),0)</f>
        <v>0</v>
      </c>
      <c r="J2160" s="71" t="n">
        <f aca="false">IF(AND(8&lt;=Hold_Yrs,8-ROUND(Rec_Lag,0)&gt;=1),INDEX($C645:$L645,1,8-ROUND(Rec_Lag,0))*(1-Sev),0)</f>
        <v>0</v>
      </c>
      <c r="K2160" s="71" t="n">
        <f aca="false">IF(AND(9&lt;=Hold_Yrs,9-ROUND(Rec_Lag,0)&gt;=1),INDEX($C645:$L645,1,9-ROUND(Rec_Lag,0))*(1-Sev),0)</f>
        <v>0</v>
      </c>
      <c r="L2160" s="71" t="n">
        <f aca="false">IF(AND(10&lt;=Hold_Yrs,10-ROUND(Rec_Lag,0)&gt;=1),INDEX($C645:$L645,1,10-ROUND(Rec_Lag,0))*(1-Sev),0)</f>
        <v>0</v>
      </c>
    </row>
    <row r="2161" customFormat="false" ht="15" hidden="false" customHeight="false" outlineLevel="0" collapsed="false">
      <c r="B2161" s="102" t="str">
        <f aca="false">'Loan Tape'!$A36</f>
        <v>L-033</v>
      </c>
      <c r="C2161" s="99" t="n">
        <f aca="false">IF(AND(1&lt;=Hold_Yrs,1-ROUND(Rec_Lag,0)&gt;=1),INDEX($C646:$L646,1,1-ROUND(Rec_Lag,0))*(1-Sev),0)</f>
        <v>0</v>
      </c>
      <c r="D2161" s="99" t="n">
        <f aca="false">IF(AND(2&lt;=Hold_Yrs,2-ROUND(Rec_Lag,0)&gt;=1),INDEX($C646:$L646,1,2-ROUND(Rec_Lag,0))*(1-Sev),0)</f>
        <v>0</v>
      </c>
      <c r="E2161" s="99" t="n">
        <f aca="false">IF(AND(3&lt;=Hold_Yrs,3-ROUND(Rec_Lag,0)&gt;=1),INDEX($C646:$L646,1,3-ROUND(Rec_Lag,0))*(1-Sev),0)</f>
        <v>0</v>
      </c>
      <c r="F2161" s="99" t="n">
        <f aca="false">IF(AND(4&lt;=Hold_Yrs,4-ROUND(Rec_Lag,0)&gt;=1),INDEX($C646:$L646,1,4-ROUND(Rec_Lag,0))*(1-Sev),0)</f>
        <v>0</v>
      </c>
      <c r="G2161" s="99" t="n">
        <f aca="false">IF(AND(5&lt;=Hold_Yrs,5-ROUND(Rec_Lag,0)&gt;=1),INDEX($C646:$L646,1,5-ROUND(Rec_Lag,0))*(1-Sev),0)</f>
        <v>0</v>
      </c>
      <c r="H2161" s="99" t="n">
        <f aca="false">IF(AND(6&lt;=Hold_Yrs,6-ROUND(Rec_Lag,0)&gt;=1),INDEX($C646:$L646,1,6-ROUND(Rec_Lag,0))*(1-Sev),0)</f>
        <v>0</v>
      </c>
      <c r="I2161" s="99" t="n">
        <f aca="false">IF(AND(7&lt;=Hold_Yrs,7-ROUND(Rec_Lag,0)&gt;=1),INDEX($C646:$L646,1,7-ROUND(Rec_Lag,0))*(1-Sev),0)</f>
        <v>0</v>
      </c>
      <c r="J2161" s="99" t="n">
        <f aca="false">IF(AND(8&lt;=Hold_Yrs,8-ROUND(Rec_Lag,0)&gt;=1),INDEX($C646:$L646,1,8-ROUND(Rec_Lag,0))*(1-Sev),0)</f>
        <v>0</v>
      </c>
      <c r="K2161" s="99" t="n">
        <f aca="false">IF(AND(9&lt;=Hold_Yrs,9-ROUND(Rec_Lag,0)&gt;=1),INDEX($C646:$L646,1,9-ROUND(Rec_Lag,0))*(1-Sev),0)</f>
        <v>0</v>
      </c>
      <c r="L2161" s="99" t="n">
        <f aca="false">IF(AND(10&lt;=Hold_Yrs,10-ROUND(Rec_Lag,0)&gt;=1),INDEX($C646:$L646,1,10-ROUND(Rec_Lag,0))*(1-Sev),0)</f>
        <v>0</v>
      </c>
    </row>
    <row r="2162" customFormat="false" ht="15" hidden="false" customHeight="false" outlineLevel="0" collapsed="false">
      <c r="B2162" s="108" t="str">
        <f aca="false">'Loan Tape'!$A37</f>
        <v>L-034</v>
      </c>
      <c r="C2162" s="71" t="n">
        <f aca="false">IF(AND(1&lt;=Hold_Yrs,1-ROUND(Rec_Lag,0)&gt;=1),INDEX($C647:$L647,1,1-ROUND(Rec_Lag,0))*(1-Sev),0)</f>
        <v>0</v>
      </c>
      <c r="D2162" s="71" t="n">
        <f aca="false">IF(AND(2&lt;=Hold_Yrs,2-ROUND(Rec_Lag,0)&gt;=1),INDEX($C647:$L647,1,2-ROUND(Rec_Lag,0))*(1-Sev),0)</f>
        <v>159264</v>
      </c>
      <c r="E2162" s="71" t="n">
        <f aca="false">IF(AND(3&lt;=Hold_Yrs,3-ROUND(Rec_Lag,0)&gt;=1),INDEX($C647:$L647,1,3-ROUND(Rec_Lag,0))*(1-Sev),0)</f>
        <v>136651.754984975</v>
      </c>
      <c r="F2162" s="71" t="n">
        <f aca="false">IF(AND(4&lt;=Hold_Yrs,4-ROUND(Rec_Lag,0)&gt;=1),INDEX($C647:$L647,1,4-ROUND(Rec_Lag,0))*(1-Sev),0)</f>
        <v>117033.234249589</v>
      </c>
      <c r="G2162" s="71" t="n">
        <f aca="false">IF(AND(5&lt;=Hold_Yrs,5-ROUND(Rec_Lag,0)&gt;=1),INDEX($C647:$L647,1,5-ROUND(Rec_Lag,0))*(1-Sev),0)</f>
        <v>100027.426757484</v>
      </c>
      <c r="H2162" s="71" t="n">
        <f aca="false">IF(AND(6&lt;=Hold_Yrs,6-ROUND(Rec_Lag,0)&gt;=1),INDEX($C647:$L647,1,6-ROUND(Rec_Lag,0))*(1-Sev),0)</f>
        <v>0</v>
      </c>
      <c r="I2162" s="71" t="n">
        <f aca="false">IF(AND(7&lt;=Hold_Yrs,7-ROUND(Rec_Lag,0)&gt;=1),INDEX($C647:$L647,1,7-ROUND(Rec_Lag,0))*(1-Sev),0)</f>
        <v>0</v>
      </c>
      <c r="J2162" s="71" t="n">
        <f aca="false">IF(AND(8&lt;=Hold_Yrs,8-ROUND(Rec_Lag,0)&gt;=1),INDEX($C647:$L647,1,8-ROUND(Rec_Lag,0))*(1-Sev),0)</f>
        <v>0</v>
      </c>
      <c r="K2162" s="71" t="n">
        <f aca="false">IF(AND(9&lt;=Hold_Yrs,9-ROUND(Rec_Lag,0)&gt;=1),INDEX($C647:$L647,1,9-ROUND(Rec_Lag,0))*(1-Sev),0)</f>
        <v>0</v>
      </c>
      <c r="L2162" s="71" t="n">
        <f aca="false">IF(AND(10&lt;=Hold_Yrs,10-ROUND(Rec_Lag,0)&gt;=1),INDEX($C647:$L647,1,10-ROUND(Rec_Lag,0))*(1-Sev),0)</f>
        <v>0</v>
      </c>
    </row>
    <row r="2163" customFormat="false" ht="15" hidden="false" customHeight="false" outlineLevel="0" collapsed="false">
      <c r="B2163" s="102" t="str">
        <f aca="false">'Loan Tape'!$A38</f>
        <v>L-035</v>
      </c>
      <c r="C2163" s="99" t="n">
        <f aca="false">IF(AND(1&lt;=Hold_Yrs,1-ROUND(Rec_Lag,0)&gt;=1),INDEX($C648:$L648,1,1-ROUND(Rec_Lag,0))*(1-Sev),0)</f>
        <v>0</v>
      </c>
      <c r="D2163" s="99" t="n">
        <f aca="false">IF(AND(2&lt;=Hold_Yrs,2-ROUND(Rec_Lag,0)&gt;=1),INDEX($C648:$L648,1,2-ROUND(Rec_Lag,0))*(1-Sev),0)</f>
        <v>883750</v>
      </c>
      <c r="E2163" s="99" t="n">
        <f aca="false">IF(AND(3&lt;=Hold_Yrs,3-ROUND(Rec_Lag,0)&gt;=1),INDEX($C648:$L648,1,3-ROUND(Rec_Lag,0))*(1-Sev),0)</f>
        <v>757537.912061748</v>
      </c>
      <c r="F2163" s="99" t="n">
        <f aca="false">IF(AND(4&lt;=Hold_Yrs,4-ROUND(Rec_Lag,0)&gt;=1),INDEX($C648:$L648,1,4-ROUND(Rec_Lag,0))*(1-Sev),0)</f>
        <v>270466.051065739</v>
      </c>
      <c r="G2163" s="99" t="n">
        <f aca="false">IF(AND(5&lt;=Hold_Yrs,5-ROUND(Rec_Lag,0)&gt;=1),INDEX($C648:$L648,1,5-ROUND(Rec_Lag,0))*(1-Sev),0)</f>
        <v>0</v>
      </c>
      <c r="H2163" s="99" t="n">
        <f aca="false">IF(AND(6&lt;=Hold_Yrs,6-ROUND(Rec_Lag,0)&gt;=1),INDEX($C648:$L648,1,6-ROUND(Rec_Lag,0))*(1-Sev),0)</f>
        <v>0</v>
      </c>
      <c r="I2163" s="99" t="n">
        <f aca="false">IF(AND(7&lt;=Hold_Yrs,7-ROUND(Rec_Lag,0)&gt;=1),INDEX($C648:$L648,1,7-ROUND(Rec_Lag,0))*(1-Sev),0)</f>
        <v>0</v>
      </c>
      <c r="J2163" s="99" t="n">
        <f aca="false">IF(AND(8&lt;=Hold_Yrs,8-ROUND(Rec_Lag,0)&gt;=1),INDEX($C648:$L648,1,8-ROUND(Rec_Lag,0))*(1-Sev),0)</f>
        <v>0</v>
      </c>
      <c r="K2163" s="99" t="n">
        <f aca="false">IF(AND(9&lt;=Hold_Yrs,9-ROUND(Rec_Lag,0)&gt;=1),INDEX($C648:$L648,1,9-ROUND(Rec_Lag,0))*(1-Sev),0)</f>
        <v>0</v>
      </c>
      <c r="L2163" s="99" t="n">
        <f aca="false">IF(AND(10&lt;=Hold_Yrs,10-ROUND(Rec_Lag,0)&gt;=1),INDEX($C648:$L648,1,10-ROUND(Rec_Lag,0))*(1-Sev),0)</f>
        <v>0</v>
      </c>
    </row>
    <row r="2164" customFormat="false" ht="15" hidden="false" customHeight="false" outlineLevel="0" collapsed="false">
      <c r="B2164" s="108" t="str">
        <f aca="false">'Loan Tape'!$A39</f>
        <v>L-036</v>
      </c>
      <c r="C2164" s="71" t="n">
        <f aca="false">IF(AND(1&lt;=Hold_Yrs,1-ROUND(Rec_Lag,0)&gt;=1),INDEX($C649:$L649,1,1-ROUND(Rec_Lag,0))*(1-Sev),0)</f>
        <v>0</v>
      </c>
      <c r="D2164" s="71" t="n">
        <f aca="false">IF(AND(2&lt;=Hold_Yrs,2-ROUND(Rec_Lag,0)&gt;=1),INDEX($C649:$L649,1,2-ROUND(Rec_Lag,0))*(1-Sev),0)</f>
        <v>535710</v>
      </c>
      <c r="E2164" s="71" t="n">
        <f aca="false">IF(AND(3&lt;=Hold_Yrs,3-ROUND(Rec_Lag,0)&gt;=1),INDEX($C649:$L649,1,3-ROUND(Rec_Lag,0))*(1-Sev),0)</f>
        <v>0</v>
      </c>
      <c r="F2164" s="71" t="n">
        <f aca="false">IF(AND(4&lt;=Hold_Yrs,4-ROUND(Rec_Lag,0)&gt;=1),INDEX($C649:$L649,1,4-ROUND(Rec_Lag,0))*(1-Sev),0)</f>
        <v>0</v>
      </c>
      <c r="G2164" s="71" t="n">
        <f aca="false">IF(AND(5&lt;=Hold_Yrs,5-ROUND(Rec_Lag,0)&gt;=1),INDEX($C649:$L649,1,5-ROUND(Rec_Lag,0))*(1-Sev),0)</f>
        <v>0</v>
      </c>
      <c r="H2164" s="71" t="n">
        <f aca="false">IF(AND(6&lt;=Hold_Yrs,6-ROUND(Rec_Lag,0)&gt;=1),INDEX($C649:$L649,1,6-ROUND(Rec_Lag,0))*(1-Sev),0)</f>
        <v>0</v>
      </c>
      <c r="I2164" s="71" t="n">
        <f aca="false">IF(AND(7&lt;=Hold_Yrs,7-ROUND(Rec_Lag,0)&gt;=1),INDEX($C649:$L649,1,7-ROUND(Rec_Lag,0))*(1-Sev),0)</f>
        <v>0</v>
      </c>
      <c r="J2164" s="71" t="n">
        <f aca="false">IF(AND(8&lt;=Hold_Yrs,8-ROUND(Rec_Lag,0)&gt;=1),INDEX($C649:$L649,1,8-ROUND(Rec_Lag,0))*(1-Sev),0)</f>
        <v>0</v>
      </c>
      <c r="K2164" s="71" t="n">
        <f aca="false">IF(AND(9&lt;=Hold_Yrs,9-ROUND(Rec_Lag,0)&gt;=1),INDEX($C649:$L649,1,9-ROUND(Rec_Lag,0))*(1-Sev),0)</f>
        <v>0</v>
      </c>
      <c r="L2164" s="71" t="n">
        <f aca="false">IF(AND(10&lt;=Hold_Yrs,10-ROUND(Rec_Lag,0)&gt;=1),INDEX($C649:$L649,1,10-ROUND(Rec_Lag,0))*(1-Sev),0)</f>
        <v>0</v>
      </c>
    </row>
    <row r="2165" customFormat="false" ht="15" hidden="false" customHeight="false" outlineLevel="0" collapsed="false">
      <c r="B2165" s="102" t="str">
        <f aca="false">'Loan Tape'!$A40</f>
        <v>L-037</v>
      </c>
      <c r="C2165" s="99" t="n">
        <f aca="false">IF(AND(1&lt;=Hold_Yrs,1-ROUND(Rec_Lag,0)&gt;=1),INDEX($C650:$L650,1,1-ROUND(Rec_Lag,0))*(1-Sev),0)</f>
        <v>0</v>
      </c>
      <c r="D2165" s="99" t="n">
        <f aca="false">IF(AND(2&lt;=Hold_Yrs,2-ROUND(Rec_Lag,0)&gt;=1),INDEX($C650:$L650,1,2-ROUND(Rec_Lag,0))*(1-Sev),0)</f>
        <v>0</v>
      </c>
      <c r="E2165" s="99" t="n">
        <f aca="false">IF(AND(3&lt;=Hold_Yrs,3-ROUND(Rec_Lag,0)&gt;=1),INDEX($C650:$L650,1,3-ROUND(Rec_Lag,0))*(1-Sev),0)</f>
        <v>0</v>
      </c>
      <c r="F2165" s="99" t="n">
        <f aca="false">IF(AND(4&lt;=Hold_Yrs,4-ROUND(Rec_Lag,0)&gt;=1),INDEX($C650:$L650,1,4-ROUND(Rec_Lag,0))*(1-Sev),0)</f>
        <v>0</v>
      </c>
      <c r="G2165" s="99" t="n">
        <f aca="false">IF(AND(5&lt;=Hold_Yrs,5-ROUND(Rec_Lag,0)&gt;=1),INDEX($C650:$L650,1,5-ROUND(Rec_Lag,0))*(1-Sev),0)</f>
        <v>0</v>
      </c>
      <c r="H2165" s="99" t="n">
        <f aca="false">IF(AND(6&lt;=Hold_Yrs,6-ROUND(Rec_Lag,0)&gt;=1),INDEX($C650:$L650,1,6-ROUND(Rec_Lag,0))*(1-Sev),0)</f>
        <v>0</v>
      </c>
      <c r="I2165" s="99" t="n">
        <f aca="false">IF(AND(7&lt;=Hold_Yrs,7-ROUND(Rec_Lag,0)&gt;=1),INDEX($C650:$L650,1,7-ROUND(Rec_Lag,0))*(1-Sev),0)</f>
        <v>0</v>
      </c>
      <c r="J2165" s="99" t="n">
        <f aca="false">IF(AND(8&lt;=Hold_Yrs,8-ROUND(Rec_Lag,0)&gt;=1),INDEX($C650:$L650,1,8-ROUND(Rec_Lag,0))*(1-Sev),0)</f>
        <v>0</v>
      </c>
      <c r="K2165" s="99" t="n">
        <f aca="false">IF(AND(9&lt;=Hold_Yrs,9-ROUND(Rec_Lag,0)&gt;=1),INDEX($C650:$L650,1,9-ROUND(Rec_Lag,0))*(1-Sev),0)</f>
        <v>0</v>
      </c>
      <c r="L2165" s="99" t="n">
        <f aca="false">IF(AND(10&lt;=Hold_Yrs,10-ROUND(Rec_Lag,0)&gt;=1),INDEX($C650:$L650,1,10-ROUND(Rec_Lag,0))*(1-Sev),0)</f>
        <v>0</v>
      </c>
    </row>
    <row r="2166" customFormat="false" ht="15" hidden="false" customHeight="false" outlineLevel="0" collapsed="false">
      <c r="B2166" s="108" t="str">
        <f aca="false">'Loan Tape'!$A41</f>
        <v>L-038</v>
      </c>
      <c r="C2166" s="71" t="n">
        <f aca="false">IF(AND(1&lt;=Hold_Yrs,1-ROUND(Rec_Lag,0)&gt;=1),INDEX($C651:$L651,1,1-ROUND(Rec_Lag,0))*(1-Sev),0)</f>
        <v>0</v>
      </c>
      <c r="D2166" s="71" t="n">
        <f aca="false">IF(AND(2&lt;=Hold_Yrs,2-ROUND(Rec_Lag,0)&gt;=1),INDEX($C651:$L651,1,2-ROUND(Rec_Lag,0))*(1-Sev),0)</f>
        <v>75166</v>
      </c>
      <c r="E2166" s="71" t="n">
        <f aca="false">IF(AND(3&lt;=Hold_Yrs,3-ROUND(Rec_Lag,0)&gt;=1),INDEX($C651:$L651,1,3-ROUND(Rec_Lag,0))*(1-Sev),0)</f>
        <v>65333.6131022687</v>
      </c>
      <c r="F2166" s="71" t="n">
        <f aca="false">IF(AND(4&lt;=Hold_Yrs,4-ROUND(Rec_Lag,0)&gt;=1),INDEX($C651:$L651,1,4-ROUND(Rec_Lag,0))*(1-Sev),0)</f>
        <v>56580.5979875739</v>
      </c>
      <c r="G2166" s="71" t="n">
        <f aca="false">IF(AND(5&lt;=Hold_Yrs,5-ROUND(Rec_Lag,0)&gt;=1),INDEX($C651:$L651,1,5-ROUND(Rec_Lag,0))*(1-Sev),0)</f>
        <v>48882.4671410022</v>
      </c>
      <c r="H2166" s="71" t="n">
        <f aca="false">IF(AND(6&lt;=Hold_Yrs,6-ROUND(Rec_Lag,0)&gt;=1),INDEX($C651:$L651,1,6-ROUND(Rec_Lag,0))*(1-Sev),0)</f>
        <v>0</v>
      </c>
      <c r="I2166" s="71" t="n">
        <f aca="false">IF(AND(7&lt;=Hold_Yrs,7-ROUND(Rec_Lag,0)&gt;=1),INDEX($C651:$L651,1,7-ROUND(Rec_Lag,0))*(1-Sev),0)</f>
        <v>0</v>
      </c>
      <c r="J2166" s="71" t="n">
        <f aca="false">IF(AND(8&lt;=Hold_Yrs,8-ROUND(Rec_Lag,0)&gt;=1),INDEX($C651:$L651,1,8-ROUND(Rec_Lag,0))*(1-Sev),0)</f>
        <v>0</v>
      </c>
      <c r="K2166" s="71" t="n">
        <f aca="false">IF(AND(9&lt;=Hold_Yrs,9-ROUND(Rec_Lag,0)&gt;=1),INDEX($C651:$L651,1,9-ROUND(Rec_Lag,0))*(1-Sev),0)</f>
        <v>0</v>
      </c>
      <c r="L2166" s="71" t="n">
        <f aca="false">IF(AND(10&lt;=Hold_Yrs,10-ROUND(Rec_Lag,0)&gt;=1),INDEX($C651:$L651,1,10-ROUND(Rec_Lag,0))*(1-Sev),0)</f>
        <v>0</v>
      </c>
    </row>
    <row r="2167" customFormat="false" ht="15" hidden="false" customHeight="false" outlineLevel="0" collapsed="false">
      <c r="B2167" s="102" t="str">
        <f aca="false">'Loan Tape'!$A42</f>
        <v>L-039</v>
      </c>
      <c r="C2167" s="99" t="n">
        <f aca="false">IF(AND(1&lt;=Hold_Yrs,1-ROUND(Rec_Lag,0)&gt;=1),INDEX($C652:$L652,1,1-ROUND(Rec_Lag,0))*(1-Sev),0)</f>
        <v>0</v>
      </c>
      <c r="D2167" s="99" t="n">
        <f aca="false">IF(AND(2&lt;=Hold_Yrs,2-ROUND(Rec_Lag,0)&gt;=1),INDEX($C652:$L652,1,2-ROUND(Rec_Lag,0))*(1-Sev),0)</f>
        <v>62986</v>
      </c>
      <c r="E2167" s="99" t="n">
        <f aca="false">IF(AND(3&lt;=Hold_Yrs,3-ROUND(Rec_Lag,0)&gt;=1),INDEX($C652:$L652,1,3-ROUND(Rec_Lag,0))*(1-Sev),0)</f>
        <v>54514.5188445623</v>
      </c>
      <c r="F2167" s="99" t="n">
        <f aca="false">IF(AND(4&lt;=Hold_Yrs,4-ROUND(Rec_Lag,0)&gt;=1),INDEX($C652:$L652,1,4-ROUND(Rec_Lag,0))*(1-Sev),0)</f>
        <v>47043.5776687413</v>
      </c>
      <c r="G2167" s="99" t="n">
        <f aca="false">IF(AND(5&lt;=Hold_Yrs,5-ROUND(Rec_Lag,0)&gt;=1),INDEX($C652:$L652,1,5-ROUND(Rec_Lag,0))*(1-Sev),0)</f>
        <v>40472.378966689</v>
      </c>
      <c r="H2167" s="99" t="n">
        <f aca="false">IF(AND(6&lt;=Hold_Yrs,6-ROUND(Rec_Lag,0)&gt;=1),INDEX($C652:$L652,1,6-ROUND(Rec_Lag,0))*(1-Sev),0)</f>
        <v>0</v>
      </c>
      <c r="I2167" s="99" t="n">
        <f aca="false">IF(AND(7&lt;=Hold_Yrs,7-ROUND(Rec_Lag,0)&gt;=1),INDEX($C652:$L652,1,7-ROUND(Rec_Lag,0))*(1-Sev),0)</f>
        <v>0</v>
      </c>
      <c r="J2167" s="99" t="n">
        <f aca="false">IF(AND(8&lt;=Hold_Yrs,8-ROUND(Rec_Lag,0)&gt;=1),INDEX($C652:$L652,1,8-ROUND(Rec_Lag,0))*(1-Sev),0)</f>
        <v>0</v>
      </c>
      <c r="K2167" s="99" t="n">
        <f aca="false">IF(AND(9&lt;=Hold_Yrs,9-ROUND(Rec_Lag,0)&gt;=1),INDEX($C652:$L652,1,9-ROUND(Rec_Lag,0))*(1-Sev),0)</f>
        <v>0</v>
      </c>
      <c r="L2167" s="99" t="n">
        <f aca="false">IF(AND(10&lt;=Hold_Yrs,10-ROUND(Rec_Lag,0)&gt;=1),INDEX($C652:$L652,1,10-ROUND(Rec_Lag,0))*(1-Sev),0)</f>
        <v>0</v>
      </c>
    </row>
    <row r="2168" customFormat="false" ht="15" hidden="false" customHeight="false" outlineLevel="0" collapsed="false">
      <c r="B2168" s="108" t="str">
        <f aca="false">'Loan Tape'!$A43</f>
        <v>L-040</v>
      </c>
      <c r="C2168" s="71" t="n">
        <f aca="false">IF(AND(1&lt;=Hold_Yrs,1-ROUND(Rec_Lag,0)&gt;=1),INDEX($C653:$L653,1,1-ROUND(Rec_Lag,0))*(1-Sev),0)</f>
        <v>0</v>
      </c>
      <c r="D2168" s="71" t="n">
        <f aca="false">IF(AND(2&lt;=Hold_Yrs,2-ROUND(Rec_Lag,0)&gt;=1),INDEX($C653:$L653,1,2-ROUND(Rec_Lag,0))*(1-Sev),0)</f>
        <v>1135750</v>
      </c>
      <c r="E2168" s="71" t="n">
        <f aca="false">IF(AND(3&lt;=Hold_Yrs,3-ROUND(Rec_Lag,0)&gt;=1),INDEX($C653:$L653,1,3-ROUND(Rec_Lag,0))*(1-Sev),0)</f>
        <v>967478.424585185</v>
      </c>
      <c r="F2168" s="71" t="n">
        <f aca="false">IF(AND(4&lt;=Hold_Yrs,4-ROUND(Rec_Lag,0)&gt;=1),INDEX($C653:$L653,1,4-ROUND(Rec_Lag,0))*(1-Sev),0)</f>
        <v>413558.652398132</v>
      </c>
      <c r="G2168" s="71" t="n">
        <f aca="false">IF(AND(5&lt;=Hold_Yrs,5-ROUND(Rec_Lag,0)&gt;=1),INDEX($C653:$L653,1,5-ROUND(Rec_Lag,0))*(1-Sev),0)</f>
        <v>0</v>
      </c>
      <c r="H2168" s="71" t="n">
        <f aca="false">IF(AND(6&lt;=Hold_Yrs,6-ROUND(Rec_Lag,0)&gt;=1),INDEX($C653:$L653,1,6-ROUND(Rec_Lag,0))*(1-Sev),0)</f>
        <v>0</v>
      </c>
      <c r="I2168" s="71" t="n">
        <f aca="false">IF(AND(7&lt;=Hold_Yrs,7-ROUND(Rec_Lag,0)&gt;=1),INDEX($C653:$L653,1,7-ROUND(Rec_Lag,0))*(1-Sev),0)</f>
        <v>0</v>
      </c>
      <c r="J2168" s="71" t="n">
        <f aca="false">IF(AND(8&lt;=Hold_Yrs,8-ROUND(Rec_Lag,0)&gt;=1),INDEX($C653:$L653,1,8-ROUND(Rec_Lag,0))*(1-Sev),0)</f>
        <v>0</v>
      </c>
      <c r="K2168" s="71" t="n">
        <f aca="false">IF(AND(9&lt;=Hold_Yrs,9-ROUND(Rec_Lag,0)&gt;=1),INDEX($C653:$L653,1,9-ROUND(Rec_Lag,0))*(1-Sev),0)</f>
        <v>0</v>
      </c>
      <c r="L2168" s="71" t="n">
        <f aca="false">IF(AND(10&lt;=Hold_Yrs,10-ROUND(Rec_Lag,0)&gt;=1),INDEX($C653:$L653,1,10-ROUND(Rec_Lag,0))*(1-Sev),0)</f>
        <v>0</v>
      </c>
    </row>
    <row r="2169" customFormat="false" ht="15" hidden="false" customHeight="false" outlineLevel="0" collapsed="false">
      <c r="B2169" s="102" t="str">
        <f aca="false">'Loan Tape'!$A44</f>
        <v>L-041</v>
      </c>
      <c r="C2169" s="99" t="n">
        <f aca="false">IF(AND(1&lt;=Hold_Yrs,1-ROUND(Rec_Lag,0)&gt;=1),INDEX($C654:$L654,1,1-ROUND(Rec_Lag,0))*(1-Sev),0)</f>
        <v>0</v>
      </c>
      <c r="D2169" s="99" t="n">
        <f aca="false">IF(AND(2&lt;=Hold_Yrs,2-ROUND(Rec_Lag,0)&gt;=1),INDEX($C654:$L654,1,2-ROUND(Rec_Lag,0))*(1-Sev),0)</f>
        <v>428582</v>
      </c>
      <c r="E2169" s="99" t="n">
        <f aca="false">IF(AND(3&lt;=Hold_Yrs,3-ROUND(Rec_Lag,0)&gt;=1),INDEX($C654:$L654,1,3-ROUND(Rec_Lag,0))*(1-Sev),0)</f>
        <v>0</v>
      </c>
      <c r="F2169" s="99" t="n">
        <f aca="false">IF(AND(4&lt;=Hold_Yrs,4-ROUND(Rec_Lag,0)&gt;=1),INDEX($C654:$L654,1,4-ROUND(Rec_Lag,0))*(1-Sev),0)</f>
        <v>0</v>
      </c>
      <c r="G2169" s="99" t="n">
        <f aca="false">IF(AND(5&lt;=Hold_Yrs,5-ROUND(Rec_Lag,0)&gt;=1),INDEX($C654:$L654,1,5-ROUND(Rec_Lag,0))*(1-Sev),0)</f>
        <v>0</v>
      </c>
      <c r="H2169" s="99" t="n">
        <f aca="false">IF(AND(6&lt;=Hold_Yrs,6-ROUND(Rec_Lag,0)&gt;=1),INDEX($C654:$L654,1,6-ROUND(Rec_Lag,0))*(1-Sev),0)</f>
        <v>0</v>
      </c>
      <c r="I2169" s="99" t="n">
        <f aca="false">IF(AND(7&lt;=Hold_Yrs,7-ROUND(Rec_Lag,0)&gt;=1),INDEX($C654:$L654,1,7-ROUND(Rec_Lag,0))*(1-Sev),0)</f>
        <v>0</v>
      </c>
      <c r="J2169" s="99" t="n">
        <f aca="false">IF(AND(8&lt;=Hold_Yrs,8-ROUND(Rec_Lag,0)&gt;=1),INDEX($C654:$L654,1,8-ROUND(Rec_Lag,0))*(1-Sev),0)</f>
        <v>0</v>
      </c>
      <c r="K2169" s="99" t="n">
        <f aca="false">IF(AND(9&lt;=Hold_Yrs,9-ROUND(Rec_Lag,0)&gt;=1),INDEX($C654:$L654,1,9-ROUND(Rec_Lag,0))*(1-Sev),0)</f>
        <v>0</v>
      </c>
      <c r="L2169" s="99" t="n">
        <f aca="false">IF(AND(10&lt;=Hold_Yrs,10-ROUND(Rec_Lag,0)&gt;=1),INDEX($C654:$L654,1,10-ROUND(Rec_Lag,0))*(1-Sev),0)</f>
        <v>0</v>
      </c>
    </row>
    <row r="2170" customFormat="false" ht="15" hidden="false" customHeight="false" outlineLevel="0" collapsed="false">
      <c r="B2170" s="108" t="str">
        <f aca="false">'Loan Tape'!$A45</f>
        <v>L-042</v>
      </c>
      <c r="C2170" s="71" t="n">
        <f aca="false">IF(AND(1&lt;=Hold_Yrs,1-ROUND(Rec_Lag,0)&gt;=1),INDEX($C655:$L655,1,1-ROUND(Rec_Lag,0))*(1-Sev),0)</f>
        <v>0</v>
      </c>
      <c r="D2170" s="71" t="n">
        <f aca="false">IF(AND(2&lt;=Hold_Yrs,2-ROUND(Rec_Lag,0)&gt;=1),INDEX($C655:$L655,1,2-ROUND(Rec_Lag,0))*(1-Sev),0)</f>
        <v>70546</v>
      </c>
      <c r="E2170" s="71" t="n">
        <f aca="false">IF(AND(3&lt;=Hold_Yrs,3-ROUND(Rec_Lag,0)&gt;=1),INDEX($C655:$L655,1,3-ROUND(Rec_Lag,0))*(1-Sev),0)</f>
        <v>60920.724777421</v>
      </c>
      <c r="F2170" s="71" t="n">
        <f aca="false">IF(AND(4&lt;=Hold_Yrs,4-ROUND(Rec_Lag,0)&gt;=1),INDEX($C655:$L655,1,4-ROUND(Rec_Lag,0))*(1-Sev),0)</f>
        <v>35168.5007275176</v>
      </c>
      <c r="G2170" s="71" t="n">
        <f aca="false">IF(AND(5&lt;=Hold_Yrs,5-ROUND(Rec_Lag,0)&gt;=1),INDEX($C655:$L655,1,5-ROUND(Rec_Lag,0))*(1-Sev),0)</f>
        <v>0</v>
      </c>
      <c r="H2170" s="71" t="n">
        <f aca="false">IF(AND(6&lt;=Hold_Yrs,6-ROUND(Rec_Lag,0)&gt;=1),INDEX($C655:$L655,1,6-ROUND(Rec_Lag,0))*(1-Sev),0)</f>
        <v>0</v>
      </c>
      <c r="I2170" s="71" t="n">
        <f aca="false">IF(AND(7&lt;=Hold_Yrs,7-ROUND(Rec_Lag,0)&gt;=1),INDEX($C655:$L655,1,7-ROUND(Rec_Lag,0))*(1-Sev),0)</f>
        <v>0</v>
      </c>
      <c r="J2170" s="71" t="n">
        <f aca="false">IF(AND(8&lt;=Hold_Yrs,8-ROUND(Rec_Lag,0)&gt;=1),INDEX($C655:$L655,1,8-ROUND(Rec_Lag,0))*(1-Sev),0)</f>
        <v>0</v>
      </c>
      <c r="K2170" s="71" t="n">
        <f aca="false">IF(AND(9&lt;=Hold_Yrs,9-ROUND(Rec_Lag,0)&gt;=1),INDEX($C655:$L655,1,9-ROUND(Rec_Lag,0))*(1-Sev),0)</f>
        <v>0</v>
      </c>
      <c r="L2170" s="71" t="n">
        <f aca="false">IF(AND(10&lt;=Hold_Yrs,10-ROUND(Rec_Lag,0)&gt;=1),INDEX($C655:$L655,1,10-ROUND(Rec_Lag,0))*(1-Sev),0)</f>
        <v>0</v>
      </c>
    </row>
    <row r="2171" customFormat="false" ht="15" hidden="false" customHeight="false" outlineLevel="0" collapsed="false">
      <c r="B2171" s="102" t="str">
        <f aca="false">'Loan Tape'!$A46</f>
        <v>L-043</v>
      </c>
      <c r="C2171" s="99" t="n">
        <f aca="false">IF(AND(1&lt;=Hold_Yrs,1-ROUND(Rec_Lag,0)&gt;=1),INDEX($C656:$L656,1,1-ROUND(Rec_Lag,0))*(1-Sev),0)</f>
        <v>0</v>
      </c>
      <c r="D2171" s="99" t="n">
        <f aca="false">IF(AND(2&lt;=Hold_Yrs,2-ROUND(Rec_Lag,0)&gt;=1),INDEX($C656:$L656,1,2-ROUND(Rec_Lag,0))*(1-Sev),0)</f>
        <v>121520</v>
      </c>
      <c r="E2171" s="99" t="n">
        <f aca="false">IF(AND(3&lt;=Hold_Yrs,3-ROUND(Rec_Lag,0)&gt;=1),INDEX($C656:$L656,1,3-ROUND(Rec_Lag,0))*(1-Sev),0)</f>
        <v>104507.059989457</v>
      </c>
      <c r="F2171" s="99" t="n">
        <f aca="false">IF(AND(4&lt;=Hold_Yrs,4-ROUND(Rec_Lag,0)&gt;=1),INDEX($C656:$L656,1,4-ROUND(Rec_Lag,0))*(1-Sev),0)</f>
        <v>89546.7857941828</v>
      </c>
      <c r="G2171" s="99" t="n">
        <f aca="false">IF(AND(5&lt;=Hold_Yrs,5-ROUND(Rec_Lag,0)&gt;=1),INDEX($C656:$L656,1,5-ROUND(Rec_Lag,0))*(1-Sev),0)</f>
        <v>19567.827930636</v>
      </c>
      <c r="H2171" s="99" t="n">
        <f aca="false">IF(AND(6&lt;=Hold_Yrs,6-ROUND(Rec_Lag,0)&gt;=1),INDEX($C656:$L656,1,6-ROUND(Rec_Lag,0))*(1-Sev),0)</f>
        <v>0</v>
      </c>
      <c r="I2171" s="99" t="n">
        <f aca="false">IF(AND(7&lt;=Hold_Yrs,7-ROUND(Rec_Lag,0)&gt;=1),INDEX($C656:$L656,1,7-ROUND(Rec_Lag,0))*(1-Sev),0)</f>
        <v>0</v>
      </c>
      <c r="J2171" s="99" t="n">
        <f aca="false">IF(AND(8&lt;=Hold_Yrs,8-ROUND(Rec_Lag,0)&gt;=1),INDEX($C656:$L656,1,8-ROUND(Rec_Lag,0))*(1-Sev),0)</f>
        <v>0</v>
      </c>
      <c r="K2171" s="99" t="n">
        <f aca="false">IF(AND(9&lt;=Hold_Yrs,9-ROUND(Rec_Lag,0)&gt;=1),INDEX($C656:$L656,1,9-ROUND(Rec_Lag,0))*(1-Sev),0)</f>
        <v>0</v>
      </c>
      <c r="L2171" s="99" t="n">
        <f aca="false">IF(AND(10&lt;=Hold_Yrs,10-ROUND(Rec_Lag,0)&gt;=1),INDEX($C656:$L656,1,10-ROUND(Rec_Lag,0))*(1-Sev),0)</f>
        <v>0</v>
      </c>
    </row>
    <row r="2172" customFormat="false" ht="15" hidden="false" customHeight="false" outlineLevel="0" collapsed="false">
      <c r="B2172" s="108" t="str">
        <f aca="false">'Loan Tape'!$A47</f>
        <v>L-044</v>
      </c>
      <c r="C2172" s="71" t="n">
        <f aca="false">IF(AND(1&lt;=Hold_Yrs,1-ROUND(Rec_Lag,0)&gt;=1),INDEX($C657:$L657,1,1-ROUND(Rec_Lag,0))*(1-Sev),0)</f>
        <v>0</v>
      </c>
      <c r="D2172" s="71" t="n">
        <f aca="false">IF(AND(2&lt;=Hold_Yrs,2-ROUND(Rec_Lag,0)&gt;=1),INDEX($C657:$L657,1,2-ROUND(Rec_Lag,0))*(1-Sev),0)</f>
        <v>1101898</v>
      </c>
      <c r="E2172" s="71" t="n">
        <f aca="false">IF(AND(3&lt;=Hold_Yrs,3-ROUND(Rec_Lag,0)&gt;=1),INDEX($C657:$L657,1,3-ROUND(Rec_Lag,0))*(1-Sev),0)</f>
        <v>0</v>
      </c>
      <c r="F2172" s="71" t="n">
        <f aca="false">IF(AND(4&lt;=Hold_Yrs,4-ROUND(Rec_Lag,0)&gt;=1),INDEX($C657:$L657,1,4-ROUND(Rec_Lag,0))*(1-Sev),0)</f>
        <v>0</v>
      </c>
      <c r="G2172" s="71" t="n">
        <f aca="false">IF(AND(5&lt;=Hold_Yrs,5-ROUND(Rec_Lag,0)&gt;=1),INDEX($C657:$L657,1,5-ROUND(Rec_Lag,0))*(1-Sev),0)</f>
        <v>0</v>
      </c>
      <c r="H2172" s="71" t="n">
        <f aca="false">IF(AND(6&lt;=Hold_Yrs,6-ROUND(Rec_Lag,0)&gt;=1),INDEX($C657:$L657,1,6-ROUND(Rec_Lag,0))*(1-Sev),0)</f>
        <v>0</v>
      </c>
      <c r="I2172" s="71" t="n">
        <f aca="false">IF(AND(7&lt;=Hold_Yrs,7-ROUND(Rec_Lag,0)&gt;=1),INDEX($C657:$L657,1,7-ROUND(Rec_Lag,0))*(1-Sev),0)</f>
        <v>0</v>
      </c>
      <c r="J2172" s="71" t="n">
        <f aca="false">IF(AND(8&lt;=Hold_Yrs,8-ROUND(Rec_Lag,0)&gt;=1),INDEX($C657:$L657,1,8-ROUND(Rec_Lag,0))*(1-Sev),0)</f>
        <v>0</v>
      </c>
      <c r="K2172" s="71" t="n">
        <f aca="false">IF(AND(9&lt;=Hold_Yrs,9-ROUND(Rec_Lag,0)&gt;=1),INDEX($C657:$L657,1,9-ROUND(Rec_Lag,0))*(1-Sev),0)</f>
        <v>0</v>
      </c>
      <c r="L2172" s="71" t="n">
        <f aca="false">IF(AND(10&lt;=Hold_Yrs,10-ROUND(Rec_Lag,0)&gt;=1),INDEX($C657:$L657,1,10-ROUND(Rec_Lag,0))*(1-Sev),0)</f>
        <v>0</v>
      </c>
    </row>
    <row r="2173" customFormat="false" ht="15" hidden="false" customHeight="false" outlineLevel="0" collapsed="false">
      <c r="B2173" s="102" t="str">
        <f aca="false">'Loan Tape'!$A48</f>
        <v>L-045</v>
      </c>
      <c r="C2173" s="99" t="n">
        <f aca="false">IF(AND(1&lt;=Hold_Yrs,1-ROUND(Rec_Lag,0)&gt;=1),INDEX($C658:$L658,1,1-ROUND(Rec_Lag,0))*(1-Sev),0)</f>
        <v>0</v>
      </c>
      <c r="D2173" s="99" t="n">
        <f aca="false">IF(AND(2&lt;=Hold_Yrs,2-ROUND(Rec_Lag,0)&gt;=1),INDEX($C658:$L658,1,2-ROUND(Rec_Lag,0))*(1-Sev),0)</f>
        <v>763532</v>
      </c>
      <c r="E2173" s="99" t="n">
        <f aca="false">IF(AND(3&lt;=Hold_Yrs,3-ROUND(Rec_Lag,0)&gt;=1),INDEX($C658:$L658,1,3-ROUND(Rec_Lag,0))*(1-Sev),0)</f>
        <v>669928.982054711</v>
      </c>
      <c r="F2173" s="99" t="n">
        <f aca="false">IF(AND(4&lt;=Hold_Yrs,4-ROUND(Rec_Lag,0)&gt;=1),INDEX($C658:$L658,1,4-ROUND(Rec_Lag,0))*(1-Sev),0)</f>
        <v>581315.480474672</v>
      </c>
      <c r="G2173" s="99" t="n">
        <f aca="false">IF(AND(5&lt;=Hold_Yrs,5-ROUND(Rec_Lag,0)&gt;=1),INDEX($C658:$L658,1,5-ROUND(Rec_Lag,0))*(1-Sev),0)</f>
        <v>503296.462482034</v>
      </c>
      <c r="H2173" s="99" t="n">
        <f aca="false">IF(AND(6&lt;=Hold_Yrs,6-ROUND(Rec_Lag,0)&gt;=1),INDEX($C658:$L658,1,6-ROUND(Rec_Lag,0))*(1-Sev),0)</f>
        <v>0</v>
      </c>
      <c r="I2173" s="99" t="n">
        <f aca="false">IF(AND(7&lt;=Hold_Yrs,7-ROUND(Rec_Lag,0)&gt;=1),INDEX($C658:$L658,1,7-ROUND(Rec_Lag,0))*(1-Sev),0)</f>
        <v>0</v>
      </c>
      <c r="J2173" s="99" t="n">
        <f aca="false">IF(AND(8&lt;=Hold_Yrs,8-ROUND(Rec_Lag,0)&gt;=1),INDEX($C658:$L658,1,8-ROUND(Rec_Lag,0))*(1-Sev),0)</f>
        <v>0</v>
      </c>
      <c r="K2173" s="99" t="n">
        <f aca="false">IF(AND(9&lt;=Hold_Yrs,9-ROUND(Rec_Lag,0)&gt;=1),INDEX($C658:$L658,1,9-ROUND(Rec_Lag,0))*(1-Sev),0)</f>
        <v>0</v>
      </c>
      <c r="L2173" s="99" t="n">
        <f aca="false">IF(AND(10&lt;=Hold_Yrs,10-ROUND(Rec_Lag,0)&gt;=1),INDEX($C658:$L658,1,10-ROUND(Rec_Lag,0))*(1-Sev),0)</f>
        <v>0</v>
      </c>
    </row>
    <row r="2174" customFormat="false" ht="15" hidden="false" customHeight="false" outlineLevel="0" collapsed="false">
      <c r="B2174" s="108" t="str">
        <f aca="false">'Loan Tape'!$A49</f>
        <v>L-046</v>
      </c>
      <c r="C2174" s="71" t="n">
        <f aca="false">IF(AND(1&lt;=Hold_Yrs,1-ROUND(Rec_Lag,0)&gt;=1),INDEX($C659:$L659,1,1-ROUND(Rec_Lag,0))*(1-Sev),0)</f>
        <v>0</v>
      </c>
      <c r="D2174" s="71" t="n">
        <f aca="false">IF(AND(2&lt;=Hold_Yrs,2-ROUND(Rec_Lag,0)&gt;=1),INDEX($C659:$L659,1,2-ROUND(Rec_Lag,0))*(1-Sev),0)</f>
        <v>1587180</v>
      </c>
      <c r="E2174" s="71" t="n">
        <f aca="false">IF(AND(3&lt;=Hold_Yrs,3-ROUND(Rec_Lag,0)&gt;=1),INDEX($C659:$L659,1,3-ROUND(Rec_Lag,0))*(1-Sev),0)</f>
        <v>0</v>
      </c>
      <c r="F2174" s="71" t="n">
        <f aca="false">IF(AND(4&lt;=Hold_Yrs,4-ROUND(Rec_Lag,0)&gt;=1),INDEX($C659:$L659,1,4-ROUND(Rec_Lag,0))*(1-Sev),0)</f>
        <v>0</v>
      </c>
      <c r="G2174" s="71" t="n">
        <f aca="false">IF(AND(5&lt;=Hold_Yrs,5-ROUND(Rec_Lag,0)&gt;=1),INDEX($C659:$L659,1,5-ROUND(Rec_Lag,0))*(1-Sev),0)</f>
        <v>0</v>
      </c>
      <c r="H2174" s="71" t="n">
        <f aca="false">IF(AND(6&lt;=Hold_Yrs,6-ROUND(Rec_Lag,0)&gt;=1),INDEX($C659:$L659,1,6-ROUND(Rec_Lag,0))*(1-Sev),0)</f>
        <v>0</v>
      </c>
      <c r="I2174" s="71" t="n">
        <f aca="false">IF(AND(7&lt;=Hold_Yrs,7-ROUND(Rec_Lag,0)&gt;=1),INDEX($C659:$L659,1,7-ROUND(Rec_Lag,0))*(1-Sev),0)</f>
        <v>0</v>
      </c>
      <c r="J2174" s="71" t="n">
        <f aca="false">IF(AND(8&lt;=Hold_Yrs,8-ROUND(Rec_Lag,0)&gt;=1),INDEX($C659:$L659,1,8-ROUND(Rec_Lag,0))*(1-Sev),0)</f>
        <v>0</v>
      </c>
      <c r="K2174" s="71" t="n">
        <f aca="false">IF(AND(9&lt;=Hold_Yrs,9-ROUND(Rec_Lag,0)&gt;=1),INDEX($C659:$L659,1,9-ROUND(Rec_Lag,0))*(1-Sev),0)</f>
        <v>0</v>
      </c>
      <c r="L2174" s="71" t="n">
        <f aca="false">IF(AND(10&lt;=Hold_Yrs,10-ROUND(Rec_Lag,0)&gt;=1),INDEX($C659:$L659,1,10-ROUND(Rec_Lag,0))*(1-Sev),0)</f>
        <v>0</v>
      </c>
    </row>
    <row r="2175" customFormat="false" ht="15" hidden="false" customHeight="false" outlineLevel="0" collapsed="false">
      <c r="B2175" s="102" t="str">
        <f aca="false">'Loan Tape'!$A50</f>
        <v>L-047</v>
      </c>
      <c r="C2175" s="99" t="n">
        <f aca="false">IF(AND(1&lt;=Hold_Yrs,1-ROUND(Rec_Lag,0)&gt;=1),INDEX($C660:$L660,1,1-ROUND(Rec_Lag,0))*(1-Sev),0)</f>
        <v>0</v>
      </c>
      <c r="D2175" s="99" t="n">
        <f aca="false">IF(AND(2&lt;=Hold_Yrs,2-ROUND(Rec_Lag,0)&gt;=1),INDEX($C660:$L660,1,2-ROUND(Rec_Lag,0))*(1-Sev),0)</f>
        <v>73626</v>
      </c>
      <c r="E2175" s="99" t="n">
        <f aca="false">IF(AND(3&lt;=Hold_Yrs,3-ROUND(Rec_Lag,0)&gt;=1),INDEX($C660:$L660,1,3-ROUND(Rec_Lag,0))*(1-Sev),0)</f>
        <v>64790.88</v>
      </c>
      <c r="F2175" s="99" t="n">
        <f aca="false">IF(AND(4&lt;=Hold_Yrs,4-ROUND(Rec_Lag,0)&gt;=1),INDEX($C660:$L660,1,4-ROUND(Rec_Lag,0))*(1-Sev),0)</f>
        <v>57015.9744</v>
      </c>
      <c r="G2175" s="99" t="n">
        <f aca="false">IF(AND(5&lt;=Hold_Yrs,5-ROUND(Rec_Lag,0)&gt;=1),INDEX($C660:$L660,1,5-ROUND(Rec_Lag,0))*(1-Sev),0)</f>
        <v>25172.8844127146</v>
      </c>
      <c r="H2175" s="99" t="n">
        <f aca="false">IF(AND(6&lt;=Hold_Yrs,6-ROUND(Rec_Lag,0)&gt;=1),INDEX($C660:$L660,1,6-ROUND(Rec_Lag,0))*(1-Sev),0)</f>
        <v>0</v>
      </c>
      <c r="I2175" s="99" t="n">
        <f aca="false">IF(AND(7&lt;=Hold_Yrs,7-ROUND(Rec_Lag,0)&gt;=1),INDEX($C660:$L660,1,7-ROUND(Rec_Lag,0))*(1-Sev),0)</f>
        <v>0</v>
      </c>
      <c r="J2175" s="99" t="n">
        <f aca="false">IF(AND(8&lt;=Hold_Yrs,8-ROUND(Rec_Lag,0)&gt;=1),INDEX($C660:$L660,1,8-ROUND(Rec_Lag,0))*(1-Sev),0)</f>
        <v>0</v>
      </c>
      <c r="K2175" s="99" t="n">
        <f aca="false">IF(AND(9&lt;=Hold_Yrs,9-ROUND(Rec_Lag,0)&gt;=1),INDEX($C660:$L660,1,9-ROUND(Rec_Lag,0))*(1-Sev),0)</f>
        <v>0</v>
      </c>
      <c r="L2175" s="99" t="n">
        <f aca="false">IF(AND(10&lt;=Hold_Yrs,10-ROUND(Rec_Lag,0)&gt;=1),INDEX($C660:$L660,1,10-ROUND(Rec_Lag,0))*(1-Sev),0)</f>
        <v>0</v>
      </c>
    </row>
    <row r="2176" customFormat="false" ht="15" hidden="false" customHeight="false" outlineLevel="0" collapsed="false">
      <c r="B2176" s="108" t="str">
        <f aca="false">'Loan Tape'!$A51</f>
        <v>L-048</v>
      </c>
      <c r="C2176" s="71" t="n">
        <f aca="false">IF(AND(1&lt;=Hold_Yrs,1-ROUND(Rec_Lag,0)&gt;=1),INDEX($C661:$L661,1,1-ROUND(Rec_Lag,0))*(1-Sev),0)</f>
        <v>0</v>
      </c>
      <c r="D2176" s="71" t="n">
        <f aca="false">IF(AND(2&lt;=Hold_Yrs,2-ROUND(Rec_Lag,0)&gt;=1),INDEX($C661:$L661,1,2-ROUND(Rec_Lag,0))*(1-Sev),0)</f>
        <v>1402814</v>
      </c>
      <c r="E2176" s="71" t="n">
        <f aca="false">IF(AND(3&lt;=Hold_Yrs,3-ROUND(Rec_Lag,0)&gt;=1),INDEX($C661:$L661,1,3-ROUND(Rec_Lag,0))*(1-Sev),0)</f>
        <v>806610.808408069</v>
      </c>
      <c r="F2176" s="71" t="n">
        <f aca="false">IF(AND(4&lt;=Hold_Yrs,4-ROUND(Rec_Lag,0)&gt;=1),INDEX($C661:$L661,1,4-ROUND(Rec_Lag,0))*(1-Sev),0)</f>
        <v>0</v>
      </c>
      <c r="G2176" s="71" t="n">
        <f aca="false">IF(AND(5&lt;=Hold_Yrs,5-ROUND(Rec_Lag,0)&gt;=1),INDEX($C661:$L661,1,5-ROUND(Rec_Lag,0))*(1-Sev),0)</f>
        <v>0</v>
      </c>
      <c r="H2176" s="71" t="n">
        <f aca="false">IF(AND(6&lt;=Hold_Yrs,6-ROUND(Rec_Lag,0)&gt;=1),INDEX($C661:$L661,1,6-ROUND(Rec_Lag,0))*(1-Sev),0)</f>
        <v>0</v>
      </c>
      <c r="I2176" s="71" t="n">
        <f aca="false">IF(AND(7&lt;=Hold_Yrs,7-ROUND(Rec_Lag,0)&gt;=1),INDEX($C661:$L661,1,7-ROUND(Rec_Lag,0))*(1-Sev),0)</f>
        <v>0</v>
      </c>
      <c r="J2176" s="71" t="n">
        <f aca="false">IF(AND(8&lt;=Hold_Yrs,8-ROUND(Rec_Lag,0)&gt;=1),INDEX($C661:$L661,1,8-ROUND(Rec_Lag,0))*(1-Sev),0)</f>
        <v>0</v>
      </c>
      <c r="K2176" s="71" t="n">
        <f aca="false">IF(AND(9&lt;=Hold_Yrs,9-ROUND(Rec_Lag,0)&gt;=1),INDEX($C661:$L661,1,9-ROUND(Rec_Lag,0))*(1-Sev),0)</f>
        <v>0</v>
      </c>
      <c r="L2176" s="71" t="n">
        <f aca="false">IF(AND(10&lt;=Hold_Yrs,10-ROUND(Rec_Lag,0)&gt;=1),INDEX($C661:$L661,1,10-ROUND(Rec_Lag,0))*(1-Sev),0)</f>
        <v>0</v>
      </c>
    </row>
    <row r="2177" customFormat="false" ht="15" hidden="false" customHeight="false" outlineLevel="0" collapsed="false">
      <c r="B2177" s="102" t="str">
        <f aca="false">'Loan Tape'!$A52</f>
        <v>L-049</v>
      </c>
      <c r="C2177" s="99" t="n">
        <f aca="false">IF(AND(1&lt;=Hold_Yrs,1-ROUND(Rec_Lag,0)&gt;=1),INDEX($C662:$L662,1,1-ROUND(Rec_Lag,0))*(1-Sev),0)</f>
        <v>0</v>
      </c>
      <c r="D2177" s="99" t="n">
        <f aca="false">IF(AND(2&lt;=Hold_Yrs,2-ROUND(Rec_Lag,0)&gt;=1),INDEX($C662:$L662,1,2-ROUND(Rec_Lag,0))*(1-Sev),0)</f>
        <v>0</v>
      </c>
      <c r="E2177" s="99" t="n">
        <f aca="false">IF(AND(3&lt;=Hold_Yrs,3-ROUND(Rec_Lag,0)&gt;=1),INDEX($C662:$L662,1,3-ROUND(Rec_Lag,0))*(1-Sev),0)</f>
        <v>0</v>
      </c>
      <c r="F2177" s="99" t="n">
        <f aca="false">IF(AND(4&lt;=Hold_Yrs,4-ROUND(Rec_Lag,0)&gt;=1),INDEX($C662:$L662,1,4-ROUND(Rec_Lag,0))*(1-Sev),0)</f>
        <v>0</v>
      </c>
      <c r="G2177" s="99" t="n">
        <f aca="false">IF(AND(5&lt;=Hold_Yrs,5-ROUND(Rec_Lag,0)&gt;=1),INDEX($C662:$L662,1,5-ROUND(Rec_Lag,0))*(1-Sev),0)</f>
        <v>0</v>
      </c>
      <c r="H2177" s="99" t="n">
        <f aca="false">IF(AND(6&lt;=Hold_Yrs,6-ROUND(Rec_Lag,0)&gt;=1),INDEX($C662:$L662,1,6-ROUND(Rec_Lag,0))*(1-Sev),0)</f>
        <v>0</v>
      </c>
      <c r="I2177" s="99" t="n">
        <f aca="false">IF(AND(7&lt;=Hold_Yrs,7-ROUND(Rec_Lag,0)&gt;=1),INDEX($C662:$L662,1,7-ROUND(Rec_Lag,0))*(1-Sev),0)</f>
        <v>0</v>
      </c>
      <c r="J2177" s="99" t="n">
        <f aca="false">IF(AND(8&lt;=Hold_Yrs,8-ROUND(Rec_Lag,0)&gt;=1),INDEX($C662:$L662,1,8-ROUND(Rec_Lag,0))*(1-Sev),0)</f>
        <v>0</v>
      </c>
      <c r="K2177" s="99" t="n">
        <f aca="false">IF(AND(9&lt;=Hold_Yrs,9-ROUND(Rec_Lag,0)&gt;=1),INDEX($C662:$L662,1,9-ROUND(Rec_Lag,0))*(1-Sev),0)</f>
        <v>0</v>
      </c>
      <c r="L2177" s="99" t="n">
        <f aca="false">IF(AND(10&lt;=Hold_Yrs,10-ROUND(Rec_Lag,0)&gt;=1),INDEX($C662:$L662,1,10-ROUND(Rec_Lag,0))*(1-Sev),0)</f>
        <v>0</v>
      </c>
    </row>
    <row r="2178" customFormat="false" ht="15" hidden="false" customHeight="false" outlineLevel="0" collapsed="false">
      <c r="B2178" s="108" t="str">
        <f aca="false">'Loan Tape'!$A53</f>
        <v>L-050</v>
      </c>
      <c r="C2178" s="71" t="n">
        <f aca="false">IF(AND(1&lt;=Hold_Yrs,1-ROUND(Rec_Lag,0)&gt;=1),INDEX($C663:$L663,1,1-ROUND(Rec_Lag,0))*(1-Sev),0)</f>
        <v>0</v>
      </c>
      <c r="D2178" s="71" t="n">
        <f aca="false">IF(AND(2&lt;=Hold_Yrs,2-ROUND(Rec_Lag,0)&gt;=1),INDEX($C663:$L663,1,2-ROUND(Rec_Lag,0))*(1-Sev),0)</f>
        <v>1684382</v>
      </c>
      <c r="E2178" s="71" t="n">
        <f aca="false">IF(AND(3&lt;=Hold_Yrs,3-ROUND(Rec_Lag,0)&gt;=1),INDEX($C663:$L663,1,3-ROUND(Rec_Lag,0))*(1-Sev),0)</f>
        <v>1482256.16</v>
      </c>
      <c r="F2178" s="71" t="n">
        <f aca="false">IF(AND(4&lt;=Hold_Yrs,4-ROUND(Rec_Lag,0)&gt;=1),INDEX($C663:$L663,1,4-ROUND(Rec_Lag,0))*(1-Sev),0)</f>
        <v>874054.29634716</v>
      </c>
      <c r="G2178" s="71" t="n">
        <f aca="false">IF(AND(5&lt;=Hold_Yrs,5-ROUND(Rec_Lag,0)&gt;=1),INDEX($C663:$L663,1,5-ROUND(Rec_Lag,0))*(1-Sev),0)</f>
        <v>0</v>
      </c>
      <c r="H2178" s="71" t="n">
        <f aca="false">IF(AND(6&lt;=Hold_Yrs,6-ROUND(Rec_Lag,0)&gt;=1),INDEX($C663:$L663,1,6-ROUND(Rec_Lag,0))*(1-Sev),0)</f>
        <v>0</v>
      </c>
      <c r="I2178" s="71" t="n">
        <f aca="false">IF(AND(7&lt;=Hold_Yrs,7-ROUND(Rec_Lag,0)&gt;=1),INDEX($C663:$L663,1,7-ROUND(Rec_Lag,0))*(1-Sev),0)</f>
        <v>0</v>
      </c>
      <c r="J2178" s="71" t="n">
        <f aca="false">IF(AND(8&lt;=Hold_Yrs,8-ROUND(Rec_Lag,0)&gt;=1),INDEX($C663:$L663,1,8-ROUND(Rec_Lag,0))*(1-Sev),0)</f>
        <v>0</v>
      </c>
      <c r="K2178" s="71" t="n">
        <f aca="false">IF(AND(9&lt;=Hold_Yrs,9-ROUND(Rec_Lag,0)&gt;=1),INDEX($C663:$L663,1,9-ROUND(Rec_Lag,0))*(1-Sev),0)</f>
        <v>0</v>
      </c>
      <c r="L2178" s="71" t="n">
        <f aca="false">IF(AND(10&lt;=Hold_Yrs,10-ROUND(Rec_Lag,0)&gt;=1),INDEX($C663:$L663,1,10-ROUND(Rec_Lag,0))*(1-Sev),0)</f>
        <v>0</v>
      </c>
    </row>
    <row r="2179" customFormat="false" ht="15" hidden="false" customHeight="false" outlineLevel="0" collapsed="false">
      <c r="B2179" s="102" t="n">
        <f aca="false">'Loan Tape'!$A54</f>
        <v>0</v>
      </c>
      <c r="C2179" s="99" t="n">
        <f aca="false">IF(AND(1&lt;=Hold_Yrs,1-ROUND(Rec_Lag,0)&gt;=1),INDEX($C664:$L664,1,1-ROUND(Rec_Lag,0))*(1-Sev),0)</f>
        <v>0</v>
      </c>
      <c r="D2179" s="99" t="n">
        <f aca="false">IF(AND(2&lt;=Hold_Yrs,2-ROUND(Rec_Lag,0)&gt;=1),INDEX($C664:$L664,1,2-ROUND(Rec_Lag,0))*(1-Sev),0)</f>
        <v>0</v>
      </c>
      <c r="E2179" s="99" t="n">
        <f aca="false">IF(AND(3&lt;=Hold_Yrs,3-ROUND(Rec_Lag,0)&gt;=1),INDEX($C664:$L664,1,3-ROUND(Rec_Lag,0))*(1-Sev),0)</f>
        <v>0</v>
      </c>
      <c r="F2179" s="99" t="n">
        <f aca="false">IF(AND(4&lt;=Hold_Yrs,4-ROUND(Rec_Lag,0)&gt;=1),INDEX($C664:$L664,1,4-ROUND(Rec_Lag,0))*(1-Sev),0)</f>
        <v>0</v>
      </c>
      <c r="G2179" s="99" t="n">
        <f aca="false">IF(AND(5&lt;=Hold_Yrs,5-ROUND(Rec_Lag,0)&gt;=1),INDEX($C664:$L664,1,5-ROUND(Rec_Lag,0))*(1-Sev),0)</f>
        <v>0</v>
      </c>
      <c r="H2179" s="99" t="n">
        <f aca="false">IF(AND(6&lt;=Hold_Yrs,6-ROUND(Rec_Lag,0)&gt;=1),INDEX($C664:$L664,1,6-ROUND(Rec_Lag,0))*(1-Sev),0)</f>
        <v>0</v>
      </c>
      <c r="I2179" s="99" t="n">
        <f aca="false">IF(AND(7&lt;=Hold_Yrs,7-ROUND(Rec_Lag,0)&gt;=1),INDEX($C664:$L664,1,7-ROUND(Rec_Lag,0))*(1-Sev),0)</f>
        <v>0</v>
      </c>
      <c r="J2179" s="99" t="n">
        <f aca="false">IF(AND(8&lt;=Hold_Yrs,8-ROUND(Rec_Lag,0)&gt;=1),INDEX($C664:$L664,1,8-ROUND(Rec_Lag,0))*(1-Sev),0)</f>
        <v>0</v>
      </c>
      <c r="K2179" s="99" t="n">
        <f aca="false">IF(AND(9&lt;=Hold_Yrs,9-ROUND(Rec_Lag,0)&gt;=1),INDEX($C664:$L664,1,9-ROUND(Rec_Lag,0))*(1-Sev),0)</f>
        <v>0</v>
      </c>
      <c r="L2179" s="99" t="n">
        <f aca="false">IF(AND(10&lt;=Hold_Yrs,10-ROUND(Rec_Lag,0)&gt;=1),INDEX($C664:$L664,1,10-ROUND(Rec_Lag,0))*(1-Sev),0)</f>
        <v>0</v>
      </c>
    </row>
    <row r="2180" customFormat="false" ht="15" hidden="false" customHeight="false" outlineLevel="0" collapsed="false">
      <c r="B2180" s="108" t="n">
        <f aca="false">'Loan Tape'!$A55</f>
        <v>0</v>
      </c>
      <c r="C2180" s="71" t="n">
        <f aca="false">IF(AND(1&lt;=Hold_Yrs,1-ROUND(Rec_Lag,0)&gt;=1),INDEX($C665:$L665,1,1-ROUND(Rec_Lag,0))*(1-Sev),0)</f>
        <v>0</v>
      </c>
      <c r="D2180" s="71" t="n">
        <f aca="false">IF(AND(2&lt;=Hold_Yrs,2-ROUND(Rec_Lag,0)&gt;=1),INDEX($C665:$L665,1,2-ROUND(Rec_Lag,0))*(1-Sev),0)</f>
        <v>0</v>
      </c>
      <c r="E2180" s="71" t="n">
        <f aca="false">IF(AND(3&lt;=Hold_Yrs,3-ROUND(Rec_Lag,0)&gt;=1),INDEX($C665:$L665,1,3-ROUND(Rec_Lag,0))*(1-Sev),0)</f>
        <v>0</v>
      </c>
      <c r="F2180" s="71" t="n">
        <f aca="false">IF(AND(4&lt;=Hold_Yrs,4-ROUND(Rec_Lag,0)&gt;=1),INDEX($C665:$L665,1,4-ROUND(Rec_Lag,0))*(1-Sev),0)</f>
        <v>0</v>
      </c>
      <c r="G2180" s="71" t="n">
        <f aca="false">IF(AND(5&lt;=Hold_Yrs,5-ROUND(Rec_Lag,0)&gt;=1),INDEX($C665:$L665,1,5-ROUND(Rec_Lag,0))*(1-Sev),0)</f>
        <v>0</v>
      </c>
      <c r="H2180" s="71" t="n">
        <f aca="false">IF(AND(6&lt;=Hold_Yrs,6-ROUND(Rec_Lag,0)&gt;=1),INDEX($C665:$L665,1,6-ROUND(Rec_Lag,0))*(1-Sev),0)</f>
        <v>0</v>
      </c>
      <c r="I2180" s="71" t="n">
        <f aca="false">IF(AND(7&lt;=Hold_Yrs,7-ROUND(Rec_Lag,0)&gt;=1),INDEX($C665:$L665,1,7-ROUND(Rec_Lag,0))*(1-Sev),0)</f>
        <v>0</v>
      </c>
      <c r="J2180" s="71" t="n">
        <f aca="false">IF(AND(8&lt;=Hold_Yrs,8-ROUND(Rec_Lag,0)&gt;=1),INDEX($C665:$L665,1,8-ROUND(Rec_Lag,0))*(1-Sev),0)</f>
        <v>0</v>
      </c>
      <c r="K2180" s="71" t="n">
        <f aca="false">IF(AND(9&lt;=Hold_Yrs,9-ROUND(Rec_Lag,0)&gt;=1),INDEX($C665:$L665,1,9-ROUND(Rec_Lag,0))*(1-Sev),0)</f>
        <v>0</v>
      </c>
      <c r="L2180" s="71" t="n">
        <f aca="false">IF(AND(10&lt;=Hold_Yrs,10-ROUND(Rec_Lag,0)&gt;=1),INDEX($C665:$L665,1,10-ROUND(Rec_Lag,0))*(1-Sev),0)</f>
        <v>0</v>
      </c>
    </row>
    <row r="2181" customFormat="false" ht="15" hidden="false" customHeight="false" outlineLevel="0" collapsed="false">
      <c r="B2181" s="102" t="n">
        <f aca="false">'Loan Tape'!$A56</f>
        <v>0</v>
      </c>
      <c r="C2181" s="99" t="n">
        <f aca="false">IF(AND(1&lt;=Hold_Yrs,1-ROUND(Rec_Lag,0)&gt;=1),INDEX($C666:$L666,1,1-ROUND(Rec_Lag,0))*(1-Sev),0)</f>
        <v>0</v>
      </c>
      <c r="D2181" s="99" t="n">
        <f aca="false">IF(AND(2&lt;=Hold_Yrs,2-ROUND(Rec_Lag,0)&gt;=1),INDEX($C666:$L666,1,2-ROUND(Rec_Lag,0))*(1-Sev),0)</f>
        <v>0</v>
      </c>
      <c r="E2181" s="99" t="n">
        <f aca="false">IF(AND(3&lt;=Hold_Yrs,3-ROUND(Rec_Lag,0)&gt;=1),INDEX($C666:$L666,1,3-ROUND(Rec_Lag,0))*(1-Sev),0)</f>
        <v>0</v>
      </c>
      <c r="F2181" s="99" t="n">
        <f aca="false">IF(AND(4&lt;=Hold_Yrs,4-ROUND(Rec_Lag,0)&gt;=1),INDEX($C666:$L666,1,4-ROUND(Rec_Lag,0))*(1-Sev),0)</f>
        <v>0</v>
      </c>
      <c r="G2181" s="99" t="n">
        <f aca="false">IF(AND(5&lt;=Hold_Yrs,5-ROUND(Rec_Lag,0)&gt;=1),INDEX($C666:$L666,1,5-ROUND(Rec_Lag,0))*(1-Sev),0)</f>
        <v>0</v>
      </c>
      <c r="H2181" s="99" t="n">
        <f aca="false">IF(AND(6&lt;=Hold_Yrs,6-ROUND(Rec_Lag,0)&gt;=1),INDEX($C666:$L666,1,6-ROUND(Rec_Lag,0))*(1-Sev),0)</f>
        <v>0</v>
      </c>
      <c r="I2181" s="99" t="n">
        <f aca="false">IF(AND(7&lt;=Hold_Yrs,7-ROUND(Rec_Lag,0)&gt;=1),INDEX($C666:$L666,1,7-ROUND(Rec_Lag,0))*(1-Sev),0)</f>
        <v>0</v>
      </c>
      <c r="J2181" s="99" t="n">
        <f aca="false">IF(AND(8&lt;=Hold_Yrs,8-ROUND(Rec_Lag,0)&gt;=1),INDEX($C666:$L666,1,8-ROUND(Rec_Lag,0))*(1-Sev),0)</f>
        <v>0</v>
      </c>
      <c r="K2181" s="99" t="n">
        <f aca="false">IF(AND(9&lt;=Hold_Yrs,9-ROUND(Rec_Lag,0)&gt;=1),INDEX($C666:$L666,1,9-ROUND(Rec_Lag,0))*(1-Sev),0)</f>
        <v>0</v>
      </c>
      <c r="L2181" s="99" t="n">
        <f aca="false">IF(AND(10&lt;=Hold_Yrs,10-ROUND(Rec_Lag,0)&gt;=1),INDEX($C666:$L666,1,10-ROUND(Rec_Lag,0))*(1-Sev),0)</f>
        <v>0</v>
      </c>
    </row>
    <row r="2182" customFormat="false" ht="15" hidden="false" customHeight="false" outlineLevel="0" collapsed="false">
      <c r="B2182" s="108" t="n">
        <f aca="false">'Loan Tape'!$A57</f>
        <v>0</v>
      </c>
      <c r="C2182" s="71" t="n">
        <f aca="false">IF(AND(1&lt;=Hold_Yrs,1-ROUND(Rec_Lag,0)&gt;=1),INDEX($C667:$L667,1,1-ROUND(Rec_Lag,0))*(1-Sev),0)</f>
        <v>0</v>
      </c>
      <c r="D2182" s="71" t="n">
        <f aca="false">IF(AND(2&lt;=Hold_Yrs,2-ROUND(Rec_Lag,0)&gt;=1),INDEX($C667:$L667,1,2-ROUND(Rec_Lag,0))*(1-Sev),0)</f>
        <v>0</v>
      </c>
      <c r="E2182" s="71" t="n">
        <f aca="false">IF(AND(3&lt;=Hold_Yrs,3-ROUND(Rec_Lag,0)&gt;=1),INDEX($C667:$L667,1,3-ROUND(Rec_Lag,0))*(1-Sev),0)</f>
        <v>0</v>
      </c>
      <c r="F2182" s="71" t="n">
        <f aca="false">IF(AND(4&lt;=Hold_Yrs,4-ROUND(Rec_Lag,0)&gt;=1),INDEX($C667:$L667,1,4-ROUND(Rec_Lag,0))*(1-Sev),0)</f>
        <v>0</v>
      </c>
      <c r="G2182" s="71" t="n">
        <f aca="false">IF(AND(5&lt;=Hold_Yrs,5-ROUND(Rec_Lag,0)&gt;=1),INDEX($C667:$L667,1,5-ROUND(Rec_Lag,0))*(1-Sev),0)</f>
        <v>0</v>
      </c>
      <c r="H2182" s="71" t="n">
        <f aca="false">IF(AND(6&lt;=Hold_Yrs,6-ROUND(Rec_Lag,0)&gt;=1),INDEX($C667:$L667,1,6-ROUND(Rec_Lag,0))*(1-Sev),0)</f>
        <v>0</v>
      </c>
      <c r="I2182" s="71" t="n">
        <f aca="false">IF(AND(7&lt;=Hold_Yrs,7-ROUND(Rec_Lag,0)&gt;=1),INDEX($C667:$L667,1,7-ROUND(Rec_Lag,0))*(1-Sev),0)</f>
        <v>0</v>
      </c>
      <c r="J2182" s="71" t="n">
        <f aca="false">IF(AND(8&lt;=Hold_Yrs,8-ROUND(Rec_Lag,0)&gt;=1),INDEX($C667:$L667,1,8-ROUND(Rec_Lag,0))*(1-Sev),0)</f>
        <v>0</v>
      </c>
      <c r="K2182" s="71" t="n">
        <f aca="false">IF(AND(9&lt;=Hold_Yrs,9-ROUND(Rec_Lag,0)&gt;=1),INDEX($C667:$L667,1,9-ROUND(Rec_Lag,0))*(1-Sev),0)</f>
        <v>0</v>
      </c>
      <c r="L2182" s="71" t="n">
        <f aca="false">IF(AND(10&lt;=Hold_Yrs,10-ROUND(Rec_Lag,0)&gt;=1),INDEX($C667:$L667,1,10-ROUND(Rec_Lag,0))*(1-Sev),0)</f>
        <v>0</v>
      </c>
    </row>
    <row r="2183" customFormat="false" ht="15" hidden="false" customHeight="false" outlineLevel="0" collapsed="false">
      <c r="B2183" s="102" t="n">
        <f aca="false">'Loan Tape'!$A58</f>
        <v>0</v>
      </c>
      <c r="C2183" s="99" t="n">
        <f aca="false">IF(AND(1&lt;=Hold_Yrs,1-ROUND(Rec_Lag,0)&gt;=1),INDEX($C668:$L668,1,1-ROUND(Rec_Lag,0))*(1-Sev),0)</f>
        <v>0</v>
      </c>
      <c r="D2183" s="99" t="n">
        <f aca="false">IF(AND(2&lt;=Hold_Yrs,2-ROUND(Rec_Lag,0)&gt;=1),INDEX($C668:$L668,1,2-ROUND(Rec_Lag,0))*(1-Sev),0)</f>
        <v>0</v>
      </c>
      <c r="E2183" s="99" t="n">
        <f aca="false">IF(AND(3&lt;=Hold_Yrs,3-ROUND(Rec_Lag,0)&gt;=1),INDEX($C668:$L668,1,3-ROUND(Rec_Lag,0))*(1-Sev),0)</f>
        <v>0</v>
      </c>
      <c r="F2183" s="99" t="n">
        <f aca="false">IF(AND(4&lt;=Hold_Yrs,4-ROUND(Rec_Lag,0)&gt;=1),INDEX($C668:$L668,1,4-ROUND(Rec_Lag,0))*(1-Sev),0)</f>
        <v>0</v>
      </c>
      <c r="G2183" s="99" t="n">
        <f aca="false">IF(AND(5&lt;=Hold_Yrs,5-ROUND(Rec_Lag,0)&gt;=1),INDEX($C668:$L668,1,5-ROUND(Rec_Lag,0))*(1-Sev),0)</f>
        <v>0</v>
      </c>
      <c r="H2183" s="99" t="n">
        <f aca="false">IF(AND(6&lt;=Hold_Yrs,6-ROUND(Rec_Lag,0)&gt;=1),INDEX($C668:$L668,1,6-ROUND(Rec_Lag,0))*(1-Sev),0)</f>
        <v>0</v>
      </c>
      <c r="I2183" s="99" t="n">
        <f aca="false">IF(AND(7&lt;=Hold_Yrs,7-ROUND(Rec_Lag,0)&gt;=1),INDEX($C668:$L668,1,7-ROUND(Rec_Lag,0))*(1-Sev),0)</f>
        <v>0</v>
      </c>
      <c r="J2183" s="99" t="n">
        <f aca="false">IF(AND(8&lt;=Hold_Yrs,8-ROUND(Rec_Lag,0)&gt;=1),INDEX($C668:$L668,1,8-ROUND(Rec_Lag,0))*(1-Sev),0)</f>
        <v>0</v>
      </c>
      <c r="K2183" s="99" t="n">
        <f aca="false">IF(AND(9&lt;=Hold_Yrs,9-ROUND(Rec_Lag,0)&gt;=1),INDEX($C668:$L668,1,9-ROUND(Rec_Lag,0))*(1-Sev),0)</f>
        <v>0</v>
      </c>
      <c r="L2183" s="99" t="n">
        <f aca="false">IF(AND(10&lt;=Hold_Yrs,10-ROUND(Rec_Lag,0)&gt;=1),INDEX($C668:$L668,1,10-ROUND(Rec_Lag,0))*(1-Sev),0)</f>
        <v>0</v>
      </c>
    </row>
    <row r="2184" customFormat="false" ht="15" hidden="false" customHeight="false" outlineLevel="0" collapsed="false">
      <c r="B2184" s="108" t="n">
        <f aca="false">'Loan Tape'!$A59</f>
        <v>0</v>
      </c>
      <c r="C2184" s="71" t="n">
        <f aca="false">IF(AND(1&lt;=Hold_Yrs,1-ROUND(Rec_Lag,0)&gt;=1),INDEX($C669:$L669,1,1-ROUND(Rec_Lag,0))*(1-Sev),0)</f>
        <v>0</v>
      </c>
      <c r="D2184" s="71" t="n">
        <f aca="false">IF(AND(2&lt;=Hold_Yrs,2-ROUND(Rec_Lag,0)&gt;=1),INDEX($C669:$L669,1,2-ROUND(Rec_Lag,0))*(1-Sev),0)</f>
        <v>0</v>
      </c>
      <c r="E2184" s="71" t="n">
        <f aca="false">IF(AND(3&lt;=Hold_Yrs,3-ROUND(Rec_Lag,0)&gt;=1),INDEX($C669:$L669,1,3-ROUND(Rec_Lag,0))*(1-Sev),0)</f>
        <v>0</v>
      </c>
      <c r="F2184" s="71" t="n">
        <f aca="false">IF(AND(4&lt;=Hold_Yrs,4-ROUND(Rec_Lag,0)&gt;=1),INDEX($C669:$L669,1,4-ROUND(Rec_Lag,0))*(1-Sev),0)</f>
        <v>0</v>
      </c>
      <c r="G2184" s="71" t="n">
        <f aca="false">IF(AND(5&lt;=Hold_Yrs,5-ROUND(Rec_Lag,0)&gt;=1),INDEX($C669:$L669,1,5-ROUND(Rec_Lag,0))*(1-Sev),0)</f>
        <v>0</v>
      </c>
      <c r="H2184" s="71" t="n">
        <f aca="false">IF(AND(6&lt;=Hold_Yrs,6-ROUND(Rec_Lag,0)&gt;=1),INDEX($C669:$L669,1,6-ROUND(Rec_Lag,0))*(1-Sev),0)</f>
        <v>0</v>
      </c>
      <c r="I2184" s="71" t="n">
        <f aca="false">IF(AND(7&lt;=Hold_Yrs,7-ROUND(Rec_Lag,0)&gt;=1),INDEX($C669:$L669,1,7-ROUND(Rec_Lag,0))*(1-Sev),0)</f>
        <v>0</v>
      </c>
      <c r="J2184" s="71" t="n">
        <f aca="false">IF(AND(8&lt;=Hold_Yrs,8-ROUND(Rec_Lag,0)&gt;=1),INDEX($C669:$L669,1,8-ROUND(Rec_Lag,0))*(1-Sev),0)</f>
        <v>0</v>
      </c>
      <c r="K2184" s="71" t="n">
        <f aca="false">IF(AND(9&lt;=Hold_Yrs,9-ROUND(Rec_Lag,0)&gt;=1),INDEX($C669:$L669,1,9-ROUND(Rec_Lag,0))*(1-Sev),0)</f>
        <v>0</v>
      </c>
      <c r="L2184" s="71" t="n">
        <f aca="false">IF(AND(10&lt;=Hold_Yrs,10-ROUND(Rec_Lag,0)&gt;=1),INDEX($C669:$L669,1,10-ROUND(Rec_Lag,0))*(1-Sev),0)</f>
        <v>0</v>
      </c>
    </row>
    <row r="2185" customFormat="false" ht="15" hidden="false" customHeight="false" outlineLevel="0" collapsed="false">
      <c r="B2185" s="102" t="n">
        <f aca="false">'Loan Tape'!$A60</f>
        <v>0</v>
      </c>
      <c r="C2185" s="99" t="n">
        <f aca="false">IF(AND(1&lt;=Hold_Yrs,1-ROUND(Rec_Lag,0)&gt;=1),INDEX($C670:$L670,1,1-ROUND(Rec_Lag,0))*(1-Sev),0)</f>
        <v>0</v>
      </c>
      <c r="D2185" s="99" t="n">
        <f aca="false">IF(AND(2&lt;=Hold_Yrs,2-ROUND(Rec_Lag,0)&gt;=1),INDEX($C670:$L670,1,2-ROUND(Rec_Lag,0))*(1-Sev),0)</f>
        <v>0</v>
      </c>
      <c r="E2185" s="99" t="n">
        <f aca="false">IF(AND(3&lt;=Hold_Yrs,3-ROUND(Rec_Lag,0)&gt;=1),INDEX($C670:$L670,1,3-ROUND(Rec_Lag,0))*(1-Sev),0)</f>
        <v>0</v>
      </c>
      <c r="F2185" s="99" t="n">
        <f aca="false">IF(AND(4&lt;=Hold_Yrs,4-ROUND(Rec_Lag,0)&gt;=1),INDEX($C670:$L670,1,4-ROUND(Rec_Lag,0))*(1-Sev),0)</f>
        <v>0</v>
      </c>
      <c r="G2185" s="99" t="n">
        <f aca="false">IF(AND(5&lt;=Hold_Yrs,5-ROUND(Rec_Lag,0)&gt;=1),INDEX($C670:$L670,1,5-ROUND(Rec_Lag,0))*(1-Sev),0)</f>
        <v>0</v>
      </c>
      <c r="H2185" s="99" t="n">
        <f aca="false">IF(AND(6&lt;=Hold_Yrs,6-ROUND(Rec_Lag,0)&gt;=1),INDEX($C670:$L670,1,6-ROUND(Rec_Lag,0))*(1-Sev),0)</f>
        <v>0</v>
      </c>
      <c r="I2185" s="99" t="n">
        <f aca="false">IF(AND(7&lt;=Hold_Yrs,7-ROUND(Rec_Lag,0)&gt;=1),INDEX($C670:$L670,1,7-ROUND(Rec_Lag,0))*(1-Sev),0)</f>
        <v>0</v>
      </c>
      <c r="J2185" s="99" t="n">
        <f aca="false">IF(AND(8&lt;=Hold_Yrs,8-ROUND(Rec_Lag,0)&gt;=1),INDEX($C670:$L670,1,8-ROUND(Rec_Lag,0))*(1-Sev),0)</f>
        <v>0</v>
      </c>
      <c r="K2185" s="99" t="n">
        <f aca="false">IF(AND(9&lt;=Hold_Yrs,9-ROUND(Rec_Lag,0)&gt;=1),INDEX($C670:$L670,1,9-ROUND(Rec_Lag,0))*(1-Sev),0)</f>
        <v>0</v>
      </c>
      <c r="L2185" s="99" t="n">
        <f aca="false">IF(AND(10&lt;=Hold_Yrs,10-ROUND(Rec_Lag,0)&gt;=1),INDEX($C670:$L670,1,10-ROUND(Rec_Lag,0))*(1-Sev),0)</f>
        <v>0</v>
      </c>
    </row>
    <row r="2186" customFormat="false" ht="15" hidden="false" customHeight="false" outlineLevel="0" collapsed="false">
      <c r="B2186" s="108" t="n">
        <f aca="false">'Loan Tape'!$A61</f>
        <v>0</v>
      </c>
      <c r="C2186" s="71" t="n">
        <f aca="false">IF(AND(1&lt;=Hold_Yrs,1-ROUND(Rec_Lag,0)&gt;=1),INDEX($C671:$L671,1,1-ROUND(Rec_Lag,0))*(1-Sev),0)</f>
        <v>0</v>
      </c>
      <c r="D2186" s="71" t="n">
        <f aca="false">IF(AND(2&lt;=Hold_Yrs,2-ROUND(Rec_Lag,0)&gt;=1),INDEX($C671:$L671,1,2-ROUND(Rec_Lag,0))*(1-Sev),0)</f>
        <v>0</v>
      </c>
      <c r="E2186" s="71" t="n">
        <f aca="false">IF(AND(3&lt;=Hold_Yrs,3-ROUND(Rec_Lag,0)&gt;=1),INDEX($C671:$L671,1,3-ROUND(Rec_Lag,0))*(1-Sev),0)</f>
        <v>0</v>
      </c>
      <c r="F2186" s="71" t="n">
        <f aca="false">IF(AND(4&lt;=Hold_Yrs,4-ROUND(Rec_Lag,0)&gt;=1),INDEX($C671:$L671,1,4-ROUND(Rec_Lag,0))*(1-Sev),0)</f>
        <v>0</v>
      </c>
      <c r="G2186" s="71" t="n">
        <f aca="false">IF(AND(5&lt;=Hold_Yrs,5-ROUND(Rec_Lag,0)&gt;=1),INDEX($C671:$L671,1,5-ROUND(Rec_Lag,0))*(1-Sev),0)</f>
        <v>0</v>
      </c>
      <c r="H2186" s="71" t="n">
        <f aca="false">IF(AND(6&lt;=Hold_Yrs,6-ROUND(Rec_Lag,0)&gt;=1),INDEX($C671:$L671,1,6-ROUND(Rec_Lag,0))*(1-Sev),0)</f>
        <v>0</v>
      </c>
      <c r="I2186" s="71" t="n">
        <f aca="false">IF(AND(7&lt;=Hold_Yrs,7-ROUND(Rec_Lag,0)&gt;=1),INDEX($C671:$L671,1,7-ROUND(Rec_Lag,0))*(1-Sev),0)</f>
        <v>0</v>
      </c>
      <c r="J2186" s="71" t="n">
        <f aca="false">IF(AND(8&lt;=Hold_Yrs,8-ROUND(Rec_Lag,0)&gt;=1),INDEX($C671:$L671,1,8-ROUND(Rec_Lag,0))*(1-Sev),0)</f>
        <v>0</v>
      </c>
      <c r="K2186" s="71" t="n">
        <f aca="false">IF(AND(9&lt;=Hold_Yrs,9-ROUND(Rec_Lag,0)&gt;=1),INDEX($C671:$L671,1,9-ROUND(Rec_Lag,0))*(1-Sev),0)</f>
        <v>0</v>
      </c>
      <c r="L2186" s="71" t="n">
        <f aca="false">IF(AND(10&lt;=Hold_Yrs,10-ROUND(Rec_Lag,0)&gt;=1),INDEX($C671:$L671,1,10-ROUND(Rec_Lag,0))*(1-Sev),0)</f>
        <v>0</v>
      </c>
    </row>
    <row r="2187" customFormat="false" ht="15" hidden="false" customHeight="false" outlineLevel="0" collapsed="false">
      <c r="B2187" s="102" t="n">
        <f aca="false">'Loan Tape'!$A62</f>
        <v>0</v>
      </c>
      <c r="C2187" s="99" t="n">
        <f aca="false">IF(AND(1&lt;=Hold_Yrs,1-ROUND(Rec_Lag,0)&gt;=1),INDEX($C672:$L672,1,1-ROUND(Rec_Lag,0))*(1-Sev),0)</f>
        <v>0</v>
      </c>
      <c r="D2187" s="99" t="n">
        <f aca="false">IF(AND(2&lt;=Hold_Yrs,2-ROUND(Rec_Lag,0)&gt;=1),INDEX($C672:$L672,1,2-ROUND(Rec_Lag,0))*(1-Sev),0)</f>
        <v>0</v>
      </c>
      <c r="E2187" s="99" t="n">
        <f aca="false">IF(AND(3&lt;=Hold_Yrs,3-ROUND(Rec_Lag,0)&gt;=1),INDEX($C672:$L672,1,3-ROUND(Rec_Lag,0))*(1-Sev),0)</f>
        <v>0</v>
      </c>
      <c r="F2187" s="99" t="n">
        <f aca="false">IF(AND(4&lt;=Hold_Yrs,4-ROUND(Rec_Lag,0)&gt;=1),INDEX($C672:$L672,1,4-ROUND(Rec_Lag,0))*(1-Sev),0)</f>
        <v>0</v>
      </c>
      <c r="G2187" s="99" t="n">
        <f aca="false">IF(AND(5&lt;=Hold_Yrs,5-ROUND(Rec_Lag,0)&gt;=1),INDEX($C672:$L672,1,5-ROUND(Rec_Lag,0))*(1-Sev),0)</f>
        <v>0</v>
      </c>
      <c r="H2187" s="99" t="n">
        <f aca="false">IF(AND(6&lt;=Hold_Yrs,6-ROUND(Rec_Lag,0)&gt;=1),INDEX($C672:$L672,1,6-ROUND(Rec_Lag,0))*(1-Sev),0)</f>
        <v>0</v>
      </c>
      <c r="I2187" s="99" t="n">
        <f aca="false">IF(AND(7&lt;=Hold_Yrs,7-ROUND(Rec_Lag,0)&gt;=1),INDEX($C672:$L672,1,7-ROUND(Rec_Lag,0))*(1-Sev),0)</f>
        <v>0</v>
      </c>
      <c r="J2187" s="99" t="n">
        <f aca="false">IF(AND(8&lt;=Hold_Yrs,8-ROUND(Rec_Lag,0)&gt;=1),INDEX($C672:$L672,1,8-ROUND(Rec_Lag,0))*(1-Sev),0)</f>
        <v>0</v>
      </c>
      <c r="K2187" s="99" t="n">
        <f aca="false">IF(AND(9&lt;=Hold_Yrs,9-ROUND(Rec_Lag,0)&gt;=1),INDEX($C672:$L672,1,9-ROUND(Rec_Lag,0))*(1-Sev),0)</f>
        <v>0</v>
      </c>
      <c r="L2187" s="99" t="n">
        <f aca="false">IF(AND(10&lt;=Hold_Yrs,10-ROUND(Rec_Lag,0)&gt;=1),INDEX($C672:$L672,1,10-ROUND(Rec_Lag,0))*(1-Sev),0)</f>
        <v>0</v>
      </c>
    </row>
    <row r="2188" customFormat="false" ht="15" hidden="false" customHeight="false" outlineLevel="0" collapsed="false">
      <c r="B2188" s="108" t="n">
        <f aca="false">'Loan Tape'!$A63</f>
        <v>0</v>
      </c>
      <c r="C2188" s="71" t="n">
        <f aca="false">IF(AND(1&lt;=Hold_Yrs,1-ROUND(Rec_Lag,0)&gt;=1),INDEX($C673:$L673,1,1-ROUND(Rec_Lag,0))*(1-Sev),0)</f>
        <v>0</v>
      </c>
      <c r="D2188" s="71" t="n">
        <f aca="false">IF(AND(2&lt;=Hold_Yrs,2-ROUND(Rec_Lag,0)&gt;=1),INDEX($C673:$L673,1,2-ROUND(Rec_Lag,0))*(1-Sev),0)</f>
        <v>0</v>
      </c>
      <c r="E2188" s="71" t="n">
        <f aca="false">IF(AND(3&lt;=Hold_Yrs,3-ROUND(Rec_Lag,0)&gt;=1),INDEX($C673:$L673,1,3-ROUND(Rec_Lag,0))*(1-Sev),0)</f>
        <v>0</v>
      </c>
      <c r="F2188" s="71" t="n">
        <f aca="false">IF(AND(4&lt;=Hold_Yrs,4-ROUND(Rec_Lag,0)&gt;=1),INDEX($C673:$L673,1,4-ROUND(Rec_Lag,0))*(1-Sev),0)</f>
        <v>0</v>
      </c>
      <c r="G2188" s="71" t="n">
        <f aca="false">IF(AND(5&lt;=Hold_Yrs,5-ROUND(Rec_Lag,0)&gt;=1),INDEX($C673:$L673,1,5-ROUND(Rec_Lag,0))*(1-Sev),0)</f>
        <v>0</v>
      </c>
      <c r="H2188" s="71" t="n">
        <f aca="false">IF(AND(6&lt;=Hold_Yrs,6-ROUND(Rec_Lag,0)&gt;=1),INDEX($C673:$L673,1,6-ROUND(Rec_Lag,0))*(1-Sev),0)</f>
        <v>0</v>
      </c>
      <c r="I2188" s="71" t="n">
        <f aca="false">IF(AND(7&lt;=Hold_Yrs,7-ROUND(Rec_Lag,0)&gt;=1),INDEX($C673:$L673,1,7-ROUND(Rec_Lag,0))*(1-Sev),0)</f>
        <v>0</v>
      </c>
      <c r="J2188" s="71" t="n">
        <f aca="false">IF(AND(8&lt;=Hold_Yrs,8-ROUND(Rec_Lag,0)&gt;=1),INDEX($C673:$L673,1,8-ROUND(Rec_Lag,0))*(1-Sev),0)</f>
        <v>0</v>
      </c>
      <c r="K2188" s="71" t="n">
        <f aca="false">IF(AND(9&lt;=Hold_Yrs,9-ROUND(Rec_Lag,0)&gt;=1),INDEX($C673:$L673,1,9-ROUND(Rec_Lag,0))*(1-Sev),0)</f>
        <v>0</v>
      </c>
      <c r="L2188" s="71" t="n">
        <f aca="false">IF(AND(10&lt;=Hold_Yrs,10-ROUND(Rec_Lag,0)&gt;=1),INDEX($C673:$L673,1,10-ROUND(Rec_Lag,0))*(1-Sev),0)</f>
        <v>0</v>
      </c>
    </row>
    <row r="2189" customFormat="false" ht="15" hidden="false" customHeight="false" outlineLevel="0" collapsed="false">
      <c r="B2189" s="102" t="n">
        <f aca="false">'Loan Tape'!$A64</f>
        <v>0</v>
      </c>
      <c r="C2189" s="99" t="n">
        <f aca="false">IF(AND(1&lt;=Hold_Yrs,1-ROUND(Rec_Lag,0)&gt;=1),INDEX($C674:$L674,1,1-ROUND(Rec_Lag,0))*(1-Sev),0)</f>
        <v>0</v>
      </c>
      <c r="D2189" s="99" t="n">
        <f aca="false">IF(AND(2&lt;=Hold_Yrs,2-ROUND(Rec_Lag,0)&gt;=1),INDEX($C674:$L674,1,2-ROUND(Rec_Lag,0))*(1-Sev),0)</f>
        <v>0</v>
      </c>
      <c r="E2189" s="99" t="n">
        <f aca="false">IF(AND(3&lt;=Hold_Yrs,3-ROUND(Rec_Lag,0)&gt;=1),INDEX($C674:$L674,1,3-ROUND(Rec_Lag,0))*(1-Sev),0)</f>
        <v>0</v>
      </c>
      <c r="F2189" s="99" t="n">
        <f aca="false">IF(AND(4&lt;=Hold_Yrs,4-ROUND(Rec_Lag,0)&gt;=1),INDEX($C674:$L674,1,4-ROUND(Rec_Lag,0))*(1-Sev),0)</f>
        <v>0</v>
      </c>
      <c r="G2189" s="99" t="n">
        <f aca="false">IF(AND(5&lt;=Hold_Yrs,5-ROUND(Rec_Lag,0)&gt;=1),INDEX($C674:$L674,1,5-ROUND(Rec_Lag,0))*(1-Sev),0)</f>
        <v>0</v>
      </c>
      <c r="H2189" s="99" t="n">
        <f aca="false">IF(AND(6&lt;=Hold_Yrs,6-ROUND(Rec_Lag,0)&gt;=1),INDEX($C674:$L674,1,6-ROUND(Rec_Lag,0))*(1-Sev),0)</f>
        <v>0</v>
      </c>
      <c r="I2189" s="99" t="n">
        <f aca="false">IF(AND(7&lt;=Hold_Yrs,7-ROUND(Rec_Lag,0)&gt;=1),INDEX($C674:$L674,1,7-ROUND(Rec_Lag,0))*(1-Sev),0)</f>
        <v>0</v>
      </c>
      <c r="J2189" s="99" t="n">
        <f aca="false">IF(AND(8&lt;=Hold_Yrs,8-ROUND(Rec_Lag,0)&gt;=1),INDEX($C674:$L674,1,8-ROUND(Rec_Lag,0))*(1-Sev),0)</f>
        <v>0</v>
      </c>
      <c r="K2189" s="99" t="n">
        <f aca="false">IF(AND(9&lt;=Hold_Yrs,9-ROUND(Rec_Lag,0)&gt;=1),INDEX($C674:$L674,1,9-ROUND(Rec_Lag,0))*(1-Sev),0)</f>
        <v>0</v>
      </c>
      <c r="L2189" s="99" t="n">
        <f aca="false">IF(AND(10&lt;=Hold_Yrs,10-ROUND(Rec_Lag,0)&gt;=1),INDEX($C674:$L674,1,10-ROUND(Rec_Lag,0))*(1-Sev),0)</f>
        <v>0</v>
      </c>
    </row>
    <row r="2190" customFormat="false" ht="15" hidden="false" customHeight="false" outlineLevel="0" collapsed="false">
      <c r="B2190" s="108" t="n">
        <f aca="false">'Loan Tape'!$A65</f>
        <v>0</v>
      </c>
      <c r="C2190" s="71" t="n">
        <f aca="false">IF(AND(1&lt;=Hold_Yrs,1-ROUND(Rec_Lag,0)&gt;=1),INDEX($C675:$L675,1,1-ROUND(Rec_Lag,0))*(1-Sev),0)</f>
        <v>0</v>
      </c>
      <c r="D2190" s="71" t="n">
        <f aca="false">IF(AND(2&lt;=Hold_Yrs,2-ROUND(Rec_Lag,0)&gt;=1),INDEX($C675:$L675,1,2-ROUND(Rec_Lag,0))*(1-Sev),0)</f>
        <v>0</v>
      </c>
      <c r="E2190" s="71" t="n">
        <f aca="false">IF(AND(3&lt;=Hold_Yrs,3-ROUND(Rec_Lag,0)&gt;=1),INDEX($C675:$L675,1,3-ROUND(Rec_Lag,0))*(1-Sev),0)</f>
        <v>0</v>
      </c>
      <c r="F2190" s="71" t="n">
        <f aca="false">IF(AND(4&lt;=Hold_Yrs,4-ROUND(Rec_Lag,0)&gt;=1),INDEX($C675:$L675,1,4-ROUND(Rec_Lag,0))*(1-Sev),0)</f>
        <v>0</v>
      </c>
      <c r="G2190" s="71" t="n">
        <f aca="false">IF(AND(5&lt;=Hold_Yrs,5-ROUND(Rec_Lag,0)&gt;=1),INDEX($C675:$L675,1,5-ROUND(Rec_Lag,0))*(1-Sev),0)</f>
        <v>0</v>
      </c>
      <c r="H2190" s="71" t="n">
        <f aca="false">IF(AND(6&lt;=Hold_Yrs,6-ROUND(Rec_Lag,0)&gt;=1),INDEX($C675:$L675,1,6-ROUND(Rec_Lag,0))*(1-Sev),0)</f>
        <v>0</v>
      </c>
      <c r="I2190" s="71" t="n">
        <f aca="false">IF(AND(7&lt;=Hold_Yrs,7-ROUND(Rec_Lag,0)&gt;=1),INDEX($C675:$L675,1,7-ROUND(Rec_Lag,0))*(1-Sev),0)</f>
        <v>0</v>
      </c>
      <c r="J2190" s="71" t="n">
        <f aca="false">IF(AND(8&lt;=Hold_Yrs,8-ROUND(Rec_Lag,0)&gt;=1),INDEX($C675:$L675,1,8-ROUND(Rec_Lag,0))*(1-Sev),0)</f>
        <v>0</v>
      </c>
      <c r="K2190" s="71" t="n">
        <f aca="false">IF(AND(9&lt;=Hold_Yrs,9-ROUND(Rec_Lag,0)&gt;=1),INDEX($C675:$L675,1,9-ROUND(Rec_Lag,0))*(1-Sev),0)</f>
        <v>0</v>
      </c>
      <c r="L2190" s="71" t="n">
        <f aca="false">IF(AND(10&lt;=Hold_Yrs,10-ROUND(Rec_Lag,0)&gt;=1),INDEX($C675:$L675,1,10-ROUND(Rec_Lag,0))*(1-Sev),0)</f>
        <v>0</v>
      </c>
    </row>
    <row r="2191" customFormat="false" ht="15" hidden="false" customHeight="false" outlineLevel="0" collapsed="false">
      <c r="B2191" s="102" t="n">
        <f aca="false">'Loan Tape'!$A66</f>
        <v>0</v>
      </c>
      <c r="C2191" s="99" t="n">
        <f aca="false">IF(AND(1&lt;=Hold_Yrs,1-ROUND(Rec_Lag,0)&gt;=1),INDEX($C676:$L676,1,1-ROUND(Rec_Lag,0))*(1-Sev),0)</f>
        <v>0</v>
      </c>
      <c r="D2191" s="99" t="n">
        <f aca="false">IF(AND(2&lt;=Hold_Yrs,2-ROUND(Rec_Lag,0)&gt;=1),INDEX($C676:$L676,1,2-ROUND(Rec_Lag,0))*(1-Sev),0)</f>
        <v>0</v>
      </c>
      <c r="E2191" s="99" t="n">
        <f aca="false">IF(AND(3&lt;=Hold_Yrs,3-ROUND(Rec_Lag,0)&gt;=1),INDEX($C676:$L676,1,3-ROUND(Rec_Lag,0))*(1-Sev),0)</f>
        <v>0</v>
      </c>
      <c r="F2191" s="99" t="n">
        <f aca="false">IF(AND(4&lt;=Hold_Yrs,4-ROUND(Rec_Lag,0)&gt;=1),INDEX($C676:$L676,1,4-ROUND(Rec_Lag,0))*(1-Sev),0)</f>
        <v>0</v>
      </c>
      <c r="G2191" s="99" t="n">
        <f aca="false">IF(AND(5&lt;=Hold_Yrs,5-ROUND(Rec_Lag,0)&gt;=1),INDEX($C676:$L676,1,5-ROUND(Rec_Lag,0))*(1-Sev),0)</f>
        <v>0</v>
      </c>
      <c r="H2191" s="99" t="n">
        <f aca="false">IF(AND(6&lt;=Hold_Yrs,6-ROUND(Rec_Lag,0)&gt;=1),INDEX($C676:$L676,1,6-ROUND(Rec_Lag,0))*(1-Sev),0)</f>
        <v>0</v>
      </c>
      <c r="I2191" s="99" t="n">
        <f aca="false">IF(AND(7&lt;=Hold_Yrs,7-ROUND(Rec_Lag,0)&gt;=1),INDEX($C676:$L676,1,7-ROUND(Rec_Lag,0))*(1-Sev),0)</f>
        <v>0</v>
      </c>
      <c r="J2191" s="99" t="n">
        <f aca="false">IF(AND(8&lt;=Hold_Yrs,8-ROUND(Rec_Lag,0)&gt;=1),INDEX($C676:$L676,1,8-ROUND(Rec_Lag,0))*(1-Sev),0)</f>
        <v>0</v>
      </c>
      <c r="K2191" s="99" t="n">
        <f aca="false">IF(AND(9&lt;=Hold_Yrs,9-ROUND(Rec_Lag,0)&gt;=1),INDEX($C676:$L676,1,9-ROUND(Rec_Lag,0))*(1-Sev),0)</f>
        <v>0</v>
      </c>
      <c r="L2191" s="99" t="n">
        <f aca="false">IF(AND(10&lt;=Hold_Yrs,10-ROUND(Rec_Lag,0)&gt;=1),INDEX($C676:$L676,1,10-ROUND(Rec_Lag,0))*(1-Sev),0)</f>
        <v>0</v>
      </c>
    </row>
    <row r="2192" customFormat="false" ht="15" hidden="false" customHeight="false" outlineLevel="0" collapsed="false">
      <c r="B2192" s="108" t="n">
        <f aca="false">'Loan Tape'!$A67</f>
        <v>0</v>
      </c>
      <c r="C2192" s="71" t="n">
        <f aca="false">IF(AND(1&lt;=Hold_Yrs,1-ROUND(Rec_Lag,0)&gt;=1),INDEX($C677:$L677,1,1-ROUND(Rec_Lag,0))*(1-Sev),0)</f>
        <v>0</v>
      </c>
      <c r="D2192" s="71" t="n">
        <f aca="false">IF(AND(2&lt;=Hold_Yrs,2-ROUND(Rec_Lag,0)&gt;=1),INDEX($C677:$L677,1,2-ROUND(Rec_Lag,0))*(1-Sev),0)</f>
        <v>0</v>
      </c>
      <c r="E2192" s="71" t="n">
        <f aca="false">IF(AND(3&lt;=Hold_Yrs,3-ROUND(Rec_Lag,0)&gt;=1),INDEX($C677:$L677,1,3-ROUND(Rec_Lag,0))*(1-Sev),0)</f>
        <v>0</v>
      </c>
      <c r="F2192" s="71" t="n">
        <f aca="false">IF(AND(4&lt;=Hold_Yrs,4-ROUND(Rec_Lag,0)&gt;=1),INDEX($C677:$L677,1,4-ROUND(Rec_Lag,0))*(1-Sev),0)</f>
        <v>0</v>
      </c>
      <c r="G2192" s="71" t="n">
        <f aca="false">IF(AND(5&lt;=Hold_Yrs,5-ROUND(Rec_Lag,0)&gt;=1),INDEX($C677:$L677,1,5-ROUND(Rec_Lag,0))*(1-Sev),0)</f>
        <v>0</v>
      </c>
      <c r="H2192" s="71" t="n">
        <f aca="false">IF(AND(6&lt;=Hold_Yrs,6-ROUND(Rec_Lag,0)&gt;=1),INDEX($C677:$L677,1,6-ROUND(Rec_Lag,0))*(1-Sev),0)</f>
        <v>0</v>
      </c>
      <c r="I2192" s="71" t="n">
        <f aca="false">IF(AND(7&lt;=Hold_Yrs,7-ROUND(Rec_Lag,0)&gt;=1),INDEX($C677:$L677,1,7-ROUND(Rec_Lag,0))*(1-Sev),0)</f>
        <v>0</v>
      </c>
      <c r="J2192" s="71" t="n">
        <f aca="false">IF(AND(8&lt;=Hold_Yrs,8-ROUND(Rec_Lag,0)&gt;=1),INDEX($C677:$L677,1,8-ROUND(Rec_Lag,0))*(1-Sev),0)</f>
        <v>0</v>
      </c>
      <c r="K2192" s="71" t="n">
        <f aca="false">IF(AND(9&lt;=Hold_Yrs,9-ROUND(Rec_Lag,0)&gt;=1),INDEX($C677:$L677,1,9-ROUND(Rec_Lag,0))*(1-Sev),0)</f>
        <v>0</v>
      </c>
      <c r="L2192" s="71" t="n">
        <f aca="false">IF(AND(10&lt;=Hold_Yrs,10-ROUND(Rec_Lag,0)&gt;=1),INDEX($C677:$L677,1,10-ROUND(Rec_Lag,0))*(1-Sev),0)</f>
        <v>0</v>
      </c>
    </row>
    <row r="2193" customFormat="false" ht="15" hidden="false" customHeight="false" outlineLevel="0" collapsed="false">
      <c r="B2193" s="102" t="n">
        <f aca="false">'Loan Tape'!$A68</f>
        <v>0</v>
      </c>
      <c r="C2193" s="99" t="n">
        <f aca="false">IF(AND(1&lt;=Hold_Yrs,1-ROUND(Rec_Lag,0)&gt;=1),INDEX($C678:$L678,1,1-ROUND(Rec_Lag,0))*(1-Sev),0)</f>
        <v>0</v>
      </c>
      <c r="D2193" s="99" t="n">
        <f aca="false">IF(AND(2&lt;=Hold_Yrs,2-ROUND(Rec_Lag,0)&gt;=1),INDEX($C678:$L678,1,2-ROUND(Rec_Lag,0))*(1-Sev),0)</f>
        <v>0</v>
      </c>
      <c r="E2193" s="99" t="n">
        <f aca="false">IF(AND(3&lt;=Hold_Yrs,3-ROUND(Rec_Lag,0)&gt;=1),INDEX($C678:$L678,1,3-ROUND(Rec_Lag,0))*(1-Sev),0)</f>
        <v>0</v>
      </c>
      <c r="F2193" s="99" t="n">
        <f aca="false">IF(AND(4&lt;=Hold_Yrs,4-ROUND(Rec_Lag,0)&gt;=1),INDEX($C678:$L678,1,4-ROUND(Rec_Lag,0))*(1-Sev),0)</f>
        <v>0</v>
      </c>
      <c r="G2193" s="99" t="n">
        <f aca="false">IF(AND(5&lt;=Hold_Yrs,5-ROUND(Rec_Lag,0)&gt;=1),INDEX($C678:$L678,1,5-ROUND(Rec_Lag,0))*(1-Sev),0)</f>
        <v>0</v>
      </c>
      <c r="H2193" s="99" t="n">
        <f aca="false">IF(AND(6&lt;=Hold_Yrs,6-ROUND(Rec_Lag,0)&gt;=1),INDEX($C678:$L678,1,6-ROUND(Rec_Lag,0))*(1-Sev),0)</f>
        <v>0</v>
      </c>
      <c r="I2193" s="99" t="n">
        <f aca="false">IF(AND(7&lt;=Hold_Yrs,7-ROUND(Rec_Lag,0)&gt;=1),INDEX($C678:$L678,1,7-ROUND(Rec_Lag,0))*(1-Sev),0)</f>
        <v>0</v>
      </c>
      <c r="J2193" s="99" t="n">
        <f aca="false">IF(AND(8&lt;=Hold_Yrs,8-ROUND(Rec_Lag,0)&gt;=1),INDEX($C678:$L678,1,8-ROUND(Rec_Lag,0))*(1-Sev),0)</f>
        <v>0</v>
      </c>
      <c r="K2193" s="99" t="n">
        <f aca="false">IF(AND(9&lt;=Hold_Yrs,9-ROUND(Rec_Lag,0)&gt;=1),INDEX($C678:$L678,1,9-ROUND(Rec_Lag,0))*(1-Sev),0)</f>
        <v>0</v>
      </c>
      <c r="L2193" s="99" t="n">
        <f aca="false">IF(AND(10&lt;=Hold_Yrs,10-ROUND(Rec_Lag,0)&gt;=1),INDEX($C678:$L678,1,10-ROUND(Rec_Lag,0))*(1-Sev),0)</f>
        <v>0</v>
      </c>
    </row>
    <row r="2194" customFormat="false" ht="15" hidden="false" customHeight="false" outlineLevel="0" collapsed="false">
      <c r="B2194" s="108" t="n">
        <f aca="false">'Loan Tape'!$A69</f>
        <v>0</v>
      </c>
      <c r="C2194" s="71" t="n">
        <f aca="false">IF(AND(1&lt;=Hold_Yrs,1-ROUND(Rec_Lag,0)&gt;=1),INDEX($C679:$L679,1,1-ROUND(Rec_Lag,0))*(1-Sev),0)</f>
        <v>0</v>
      </c>
      <c r="D2194" s="71" t="n">
        <f aca="false">IF(AND(2&lt;=Hold_Yrs,2-ROUND(Rec_Lag,0)&gt;=1),INDEX($C679:$L679,1,2-ROUND(Rec_Lag,0))*(1-Sev),0)</f>
        <v>0</v>
      </c>
      <c r="E2194" s="71" t="n">
        <f aca="false">IF(AND(3&lt;=Hold_Yrs,3-ROUND(Rec_Lag,0)&gt;=1),INDEX($C679:$L679,1,3-ROUND(Rec_Lag,0))*(1-Sev),0)</f>
        <v>0</v>
      </c>
      <c r="F2194" s="71" t="n">
        <f aca="false">IF(AND(4&lt;=Hold_Yrs,4-ROUND(Rec_Lag,0)&gt;=1),INDEX($C679:$L679,1,4-ROUND(Rec_Lag,0))*(1-Sev),0)</f>
        <v>0</v>
      </c>
      <c r="G2194" s="71" t="n">
        <f aca="false">IF(AND(5&lt;=Hold_Yrs,5-ROUND(Rec_Lag,0)&gt;=1),INDEX($C679:$L679,1,5-ROUND(Rec_Lag,0))*(1-Sev),0)</f>
        <v>0</v>
      </c>
      <c r="H2194" s="71" t="n">
        <f aca="false">IF(AND(6&lt;=Hold_Yrs,6-ROUND(Rec_Lag,0)&gt;=1),INDEX($C679:$L679,1,6-ROUND(Rec_Lag,0))*(1-Sev),0)</f>
        <v>0</v>
      </c>
      <c r="I2194" s="71" t="n">
        <f aca="false">IF(AND(7&lt;=Hold_Yrs,7-ROUND(Rec_Lag,0)&gt;=1),INDEX($C679:$L679,1,7-ROUND(Rec_Lag,0))*(1-Sev),0)</f>
        <v>0</v>
      </c>
      <c r="J2194" s="71" t="n">
        <f aca="false">IF(AND(8&lt;=Hold_Yrs,8-ROUND(Rec_Lag,0)&gt;=1),INDEX($C679:$L679,1,8-ROUND(Rec_Lag,0))*(1-Sev),0)</f>
        <v>0</v>
      </c>
      <c r="K2194" s="71" t="n">
        <f aca="false">IF(AND(9&lt;=Hold_Yrs,9-ROUND(Rec_Lag,0)&gt;=1),INDEX($C679:$L679,1,9-ROUND(Rec_Lag,0))*(1-Sev),0)</f>
        <v>0</v>
      </c>
      <c r="L2194" s="71" t="n">
        <f aca="false">IF(AND(10&lt;=Hold_Yrs,10-ROUND(Rec_Lag,0)&gt;=1),INDEX($C679:$L679,1,10-ROUND(Rec_Lag,0))*(1-Sev),0)</f>
        <v>0</v>
      </c>
    </row>
    <row r="2195" customFormat="false" ht="15" hidden="false" customHeight="false" outlineLevel="0" collapsed="false">
      <c r="B2195" s="102" t="n">
        <f aca="false">'Loan Tape'!$A70</f>
        <v>0</v>
      </c>
      <c r="C2195" s="99" t="n">
        <f aca="false">IF(AND(1&lt;=Hold_Yrs,1-ROUND(Rec_Lag,0)&gt;=1),INDEX($C680:$L680,1,1-ROUND(Rec_Lag,0))*(1-Sev),0)</f>
        <v>0</v>
      </c>
      <c r="D2195" s="99" t="n">
        <f aca="false">IF(AND(2&lt;=Hold_Yrs,2-ROUND(Rec_Lag,0)&gt;=1),INDEX($C680:$L680,1,2-ROUND(Rec_Lag,0))*(1-Sev),0)</f>
        <v>0</v>
      </c>
      <c r="E2195" s="99" t="n">
        <f aca="false">IF(AND(3&lt;=Hold_Yrs,3-ROUND(Rec_Lag,0)&gt;=1),INDEX($C680:$L680,1,3-ROUND(Rec_Lag,0))*(1-Sev),0)</f>
        <v>0</v>
      </c>
      <c r="F2195" s="99" t="n">
        <f aca="false">IF(AND(4&lt;=Hold_Yrs,4-ROUND(Rec_Lag,0)&gt;=1),INDEX($C680:$L680,1,4-ROUND(Rec_Lag,0))*(1-Sev),0)</f>
        <v>0</v>
      </c>
      <c r="G2195" s="99" t="n">
        <f aca="false">IF(AND(5&lt;=Hold_Yrs,5-ROUND(Rec_Lag,0)&gt;=1),INDEX($C680:$L680,1,5-ROUND(Rec_Lag,0))*(1-Sev),0)</f>
        <v>0</v>
      </c>
      <c r="H2195" s="99" t="n">
        <f aca="false">IF(AND(6&lt;=Hold_Yrs,6-ROUND(Rec_Lag,0)&gt;=1),INDEX($C680:$L680,1,6-ROUND(Rec_Lag,0))*(1-Sev),0)</f>
        <v>0</v>
      </c>
      <c r="I2195" s="99" t="n">
        <f aca="false">IF(AND(7&lt;=Hold_Yrs,7-ROUND(Rec_Lag,0)&gt;=1),INDEX($C680:$L680,1,7-ROUND(Rec_Lag,0))*(1-Sev),0)</f>
        <v>0</v>
      </c>
      <c r="J2195" s="99" t="n">
        <f aca="false">IF(AND(8&lt;=Hold_Yrs,8-ROUND(Rec_Lag,0)&gt;=1),INDEX($C680:$L680,1,8-ROUND(Rec_Lag,0))*(1-Sev),0)</f>
        <v>0</v>
      </c>
      <c r="K2195" s="99" t="n">
        <f aca="false">IF(AND(9&lt;=Hold_Yrs,9-ROUND(Rec_Lag,0)&gt;=1),INDEX($C680:$L680,1,9-ROUND(Rec_Lag,0))*(1-Sev),0)</f>
        <v>0</v>
      </c>
      <c r="L2195" s="99" t="n">
        <f aca="false">IF(AND(10&lt;=Hold_Yrs,10-ROUND(Rec_Lag,0)&gt;=1),INDEX($C680:$L680,1,10-ROUND(Rec_Lag,0))*(1-Sev),0)</f>
        <v>0</v>
      </c>
    </row>
    <row r="2196" customFormat="false" ht="15" hidden="false" customHeight="false" outlineLevel="0" collapsed="false">
      <c r="B2196" s="108" t="n">
        <f aca="false">'Loan Tape'!$A71</f>
        <v>0</v>
      </c>
      <c r="C2196" s="71" t="n">
        <f aca="false">IF(AND(1&lt;=Hold_Yrs,1-ROUND(Rec_Lag,0)&gt;=1),INDEX($C681:$L681,1,1-ROUND(Rec_Lag,0))*(1-Sev),0)</f>
        <v>0</v>
      </c>
      <c r="D2196" s="71" t="n">
        <f aca="false">IF(AND(2&lt;=Hold_Yrs,2-ROUND(Rec_Lag,0)&gt;=1),INDEX($C681:$L681,1,2-ROUND(Rec_Lag,0))*(1-Sev),0)</f>
        <v>0</v>
      </c>
      <c r="E2196" s="71" t="n">
        <f aca="false">IF(AND(3&lt;=Hold_Yrs,3-ROUND(Rec_Lag,0)&gt;=1),INDEX($C681:$L681,1,3-ROUND(Rec_Lag,0))*(1-Sev),0)</f>
        <v>0</v>
      </c>
      <c r="F2196" s="71" t="n">
        <f aca="false">IF(AND(4&lt;=Hold_Yrs,4-ROUND(Rec_Lag,0)&gt;=1),INDEX($C681:$L681,1,4-ROUND(Rec_Lag,0))*(1-Sev),0)</f>
        <v>0</v>
      </c>
      <c r="G2196" s="71" t="n">
        <f aca="false">IF(AND(5&lt;=Hold_Yrs,5-ROUND(Rec_Lag,0)&gt;=1),INDEX($C681:$L681,1,5-ROUND(Rec_Lag,0))*(1-Sev),0)</f>
        <v>0</v>
      </c>
      <c r="H2196" s="71" t="n">
        <f aca="false">IF(AND(6&lt;=Hold_Yrs,6-ROUND(Rec_Lag,0)&gt;=1),INDEX($C681:$L681,1,6-ROUND(Rec_Lag,0))*(1-Sev),0)</f>
        <v>0</v>
      </c>
      <c r="I2196" s="71" t="n">
        <f aca="false">IF(AND(7&lt;=Hold_Yrs,7-ROUND(Rec_Lag,0)&gt;=1),INDEX($C681:$L681,1,7-ROUND(Rec_Lag,0))*(1-Sev),0)</f>
        <v>0</v>
      </c>
      <c r="J2196" s="71" t="n">
        <f aca="false">IF(AND(8&lt;=Hold_Yrs,8-ROUND(Rec_Lag,0)&gt;=1),INDEX($C681:$L681,1,8-ROUND(Rec_Lag,0))*(1-Sev),0)</f>
        <v>0</v>
      </c>
      <c r="K2196" s="71" t="n">
        <f aca="false">IF(AND(9&lt;=Hold_Yrs,9-ROUND(Rec_Lag,0)&gt;=1),INDEX($C681:$L681,1,9-ROUND(Rec_Lag,0))*(1-Sev),0)</f>
        <v>0</v>
      </c>
      <c r="L2196" s="71" t="n">
        <f aca="false">IF(AND(10&lt;=Hold_Yrs,10-ROUND(Rec_Lag,0)&gt;=1),INDEX($C681:$L681,1,10-ROUND(Rec_Lag,0))*(1-Sev),0)</f>
        <v>0</v>
      </c>
    </row>
    <row r="2197" customFormat="false" ht="15" hidden="false" customHeight="false" outlineLevel="0" collapsed="false">
      <c r="B2197" s="102" t="n">
        <f aca="false">'Loan Tape'!$A72</f>
        <v>0</v>
      </c>
      <c r="C2197" s="99" t="n">
        <f aca="false">IF(AND(1&lt;=Hold_Yrs,1-ROUND(Rec_Lag,0)&gt;=1),INDEX($C682:$L682,1,1-ROUND(Rec_Lag,0))*(1-Sev),0)</f>
        <v>0</v>
      </c>
      <c r="D2197" s="99" t="n">
        <f aca="false">IF(AND(2&lt;=Hold_Yrs,2-ROUND(Rec_Lag,0)&gt;=1),INDEX($C682:$L682,1,2-ROUND(Rec_Lag,0))*(1-Sev),0)</f>
        <v>0</v>
      </c>
      <c r="E2197" s="99" t="n">
        <f aca="false">IF(AND(3&lt;=Hold_Yrs,3-ROUND(Rec_Lag,0)&gt;=1),INDEX($C682:$L682,1,3-ROUND(Rec_Lag,0))*(1-Sev),0)</f>
        <v>0</v>
      </c>
      <c r="F2197" s="99" t="n">
        <f aca="false">IF(AND(4&lt;=Hold_Yrs,4-ROUND(Rec_Lag,0)&gt;=1),INDEX($C682:$L682,1,4-ROUND(Rec_Lag,0))*(1-Sev),0)</f>
        <v>0</v>
      </c>
      <c r="G2197" s="99" t="n">
        <f aca="false">IF(AND(5&lt;=Hold_Yrs,5-ROUND(Rec_Lag,0)&gt;=1),INDEX($C682:$L682,1,5-ROUND(Rec_Lag,0))*(1-Sev),0)</f>
        <v>0</v>
      </c>
      <c r="H2197" s="99" t="n">
        <f aca="false">IF(AND(6&lt;=Hold_Yrs,6-ROUND(Rec_Lag,0)&gt;=1),INDEX($C682:$L682,1,6-ROUND(Rec_Lag,0))*(1-Sev),0)</f>
        <v>0</v>
      </c>
      <c r="I2197" s="99" t="n">
        <f aca="false">IF(AND(7&lt;=Hold_Yrs,7-ROUND(Rec_Lag,0)&gt;=1),INDEX($C682:$L682,1,7-ROUND(Rec_Lag,0))*(1-Sev),0)</f>
        <v>0</v>
      </c>
      <c r="J2197" s="99" t="n">
        <f aca="false">IF(AND(8&lt;=Hold_Yrs,8-ROUND(Rec_Lag,0)&gt;=1),INDEX($C682:$L682,1,8-ROUND(Rec_Lag,0))*(1-Sev),0)</f>
        <v>0</v>
      </c>
      <c r="K2197" s="99" t="n">
        <f aca="false">IF(AND(9&lt;=Hold_Yrs,9-ROUND(Rec_Lag,0)&gt;=1),INDEX($C682:$L682,1,9-ROUND(Rec_Lag,0))*(1-Sev),0)</f>
        <v>0</v>
      </c>
      <c r="L2197" s="99" t="n">
        <f aca="false">IF(AND(10&lt;=Hold_Yrs,10-ROUND(Rec_Lag,0)&gt;=1),INDEX($C682:$L682,1,10-ROUND(Rec_Lag,0))*(1-Sev),0)</f>
        <v>0</v>
      </c>
    </row>
    <row r="2198" customFormat="false" ht="15" hidden="false" customHeight="false" outlineLevel="0" collapsed="false">
      <c r="B2198" s="108" t="n">
        <f aca="false">'Loan Tape'!$A73</f>
        <v>0</v>
      </c>
      <c r="C2198" s="71" t="n">
        <f aca="false">IF(AND(1&lt;=Hold_Yrs,1-ROUND(Rec_Lag,0)&gt;=1),INDEX($C683:$L683,1,1-ROUND(Rec_Lag,0))*(1-Sev),0)</f>
        <v>0</v>
      </c>
      <c r="D2198" s="71" t="n">
        <f aca="false">IF(AND(2&lt;=Hold_Yrs,2-ROUND(Rec_Lag,0)&gt;=1),INDEX($C683:$L683,1,2-ROUND(Rec_Lag,0))*(1-Sev),0)</f>
        <v>0</v>
      </c>
      <c r="E2198" s="71" t="n">
        <f aca="false">IF(AND(3&lt;=Hold_Yrs,3-ROUND(Rec_Lag,0)&gt;=1),INDEX($C683:$L683,1,3-ROUND(Rec_Lag,0))*(1-Sev),0)</f>
        <v>0</v>
      </c>
      <c r="F2198" s="71" t="n">
        <f aca="false">IF(AND(4&lt;=Hold_Yrs,4-ROUND(Rec_Lag,0)&gt;=1),INDEX($C683:$L683,1,4-ROUND(Rec_Lag,0))*(1-Sev),0)</f>
        <v>0</v>
      </c>
      <c r="G2198" s="71" t="n">
        <f aca="false">IF(AND(5&lt;=Hold_Yrs,5-ROUND(Rec_Lag,0)&gt;=1),INDEX($C683:$L683,1,5-ROUND(Rec_Lag,0))*(1-Sev),0)</f>
        <v>0</v>
      </c>
      <c r="H2198" s="71" t="n">
        <f aca="false">IF(AND(6&lt;=Hold_Yrs,6-ROUND(Rec_Lag,0)&gt;=1),INDEX($C683:$L683,1,6-ROUND(Rec_Lag,0))*(1-Sev),0)</f>
        <v>0</v>
      </c>
      <c r="I2198" s="71" t="n">
        <f aca="false">IF(AND(7&lt;=Hold_Yrs,7-ROUND(Rec_Lag,0)&gt;=1),INDEX($C683:$L683,1,7-ROUND(Rec_Lag,0))*(1-Sev),0)</f>
        <v>0</v>
      </c>
      <c r="J2198" s="71" t="n">
        <f aca="false">IF(AND(8&lt;=Hold_Yrs,8-ROUND(Rec_Lag,0)&gt;=1),INDEX($C683:$L683,1,8-ROUND(Rec_Lag,0))*(1-Sev),0)</f>
        <v>0</v>
      </c>
      <c r="K2198" s="71" t="n">
        <f aca="false">IF(AND(9&lt;=Hold_Yrs,9-ROUND(Rec_Lag,0)&gt;=1),INDEX($C683:$L683,1,9-ROUND(Rec_Lag,0))*(1-Sev),0)</f>
        <v>0</v>
      </c>
      <c r="L2198" s="71" t="n">
        <f aca="false">IF(AND(10&lt;=Hold_Yrs,10-ROUND(Rec_Lag,0)&gt;=1),INDEX($C683:$L683,1,10-ROUND(Rec_Lag,0))*(1-Sev),0)</f>
        <v>0</v>
      </c>
    </row>
    <row r="2199" customFormat="false" ht="15" hidden="false" customHeight="false" outlineLevel="0" collapsed="false">
      <c r="B2199" s="102" t="n">
        <f aca="false">'Loan Tape'!$A74</f>
        <v>0</v>
      </c>
      <c r="C2199" s="99" t="n">
        <f aca="false">IF(AND(1&lt;=Hold_Yrs,1-ROUND(Rec_Lag,0)&gt;=1),INDEX($C684:$L684,1,1-ROUND(Rec_Lag,0))*(1-Sev),0)</f>
        <v>0</v>
      </c>
      <c r="D2199" s="99" t="n">
        <f aca="false">IF(AND(2&lt;=Hold_Yrs,2-ROUND(Rec_Lag,0)&gt;=1),INDEX($C684:$L684,1,2-ROUND(Rec_Lag,0))*(1-Sev),0)</f>
        <v>0</v>
      </c>
      <c r="E2199" s="99" t="n">
        <f aca="false">IF(AND(3&lt;=Hold_Yrs,3-ROUND(Rec_Lag,0)&gt;=1),INDEX($C684:$L684,1,3-ROUND(Rec_Lag,0))*(1-Sev),0)</f>
        <v>0</v>
      </c>
      <c r="F2199" s="99" t="n">
        <f aca="false">IF(AND(4&lt;=Hold_Yrs,4-ROUND(Rec_Lag,0)&gt;=1),INDEX($C684:$L684,1,4-ROUND(Rec_Lag,0))*(1-Sev),0)</f>
        <v>0</v>
      </c>
      <c r="G2199" s="99" t="n">
        <f aca="false">IF(AND(5&lt;=Hold_Yrs,5-ROUND(Rec_Lag,0)&gt;=1),INDEX($C684:$L684,1,5-ROUND(Rec_Lag,0))*(1-Sev),0)</f>
        <v>0</v>
      </c>
      <c r="H2199" s="99" t="n">
        <f aca="false">IF(AND(6&lt;=Hold_Yrs,6-ROUND(Rec_Lag,0)&gt;=1),INDEX($C684:$L684,1,6-ROUND(Rec_Lag,0))*(1-Sev),0)</f>
        <v>0</v>
      </c>
      <c r="I2199" s="99" t="n">
        <f aca="false">IF(AND(7&lt;=Hold_Yrs,7-ROUND(Rec_Lag,0)&gt;=1),INDEX($C684:$L684,1,7-ROUND(Rec_Lag,0))*(1-Sev),0)</f>
        <v>0</v>
      </c>
      <c r="J2199" s="99" t="n">
        <f aca="false">IF(AND(8&lt;=Hold_Yrs,8-ROUND(Rec_Lag,0)&gt;=1),INDEX($C684:$L684,1,8-ROUND(Rec_Lag,0))*(1-Sev),0)</f>
        <v>0</v>
      </c>
      <c r="K2199" s="99" t="n">
        <f aca="false">IF(AND(9&lt;=Hold_Yrs,9-ROUND(Rec_Lag,0)&gt;=1),INDEX($C684:$L684,1,9-ROUND(Rec_Lag,0))*(1-Sev),0)</f>
        <v>0</v>
      </c>
      <c r="L2199" s="99" t="n">
        <f aca="false">IF(AND(10&lt;=Hold_Yrs,10-ROUND(Rec_Lag,0)&gt;=1),INDEX($C684:$L684,1,10-ROUND(Rec_Lag,0))*(1-Sev),0)</f>
        <v>0</v>
      </c>
    </row>
    <row r="2200" customFormat="false" ht="15" hidden="false" customHeight="false" outlineLevel="0" collapsed="false">
      <c r="B2200" s="108" t="n">
        <f aca="false">'Loan Tape'!$A75</f>
        <v>0</v>
      </c>
      <c r="C2200" s="71" t="n">
        <f aca="false">IF(AND(1&lt;=Hold_Yrs,1-ROUND(Rec_Lag,0)&gt;=1),INDEX($C685:$L685,1,1-ROUND(Rec_Lag,0))*(1-Sev),0)</f>
        <v>0</v>
      </c>
      <c r="D2200" s="71" t="n">
        <f aca="false">IF(AND(2&lt;=Hold_Yrs,2-ROUND(Rec_Lag,0)&gt;=1),INDEX($C685:$L685,1,2-ROUND(Rec_Lag,0))*(1-Sev),0)</f>
        <v>0</v>
      </c>
      <c r="E2200" s="71" t="n">
        <f aca="false">IF(AND(3&lt;=Hold_Yrs,3-ROUND(Rec_Lag,0)&gt;=1),INDEX($C685:$L685,1,3-ROUND(Rec_Lag,0))*(1-Sev),0)</f>
        <v>0</v>
      </c>
      <c r="F2200" s="71" t="n">
        <f aca="false">IF(AND(4&lt;=Hold_Yrs,4-ROUND(Rec_Lag,0)&gt;=1),INDEX($C685:$L685,1,4-ROUND(Rec_Lag,0))*(1-Sev),0)</f>
        <v>0</v>
      </c>
      <c r="G2200" s="71" t="n">
        <f aca="false">IF(AND(5&lt;=Hold_Yrs,5-ROUND(Rec_Lag,0)&gt;=1),INDEX($C685:$L685,1,5-ROUND(Rec_Lag,0))*(1-Sev),0)</f>
        <v>0</v>
      </c>
      <c r="H2200" s="71" t="n">
        <f aca="false">IF(AND(6&lt;=Hold_Yrs,6-ROUND(Rec_Lag,0)&gt;=1),INDEX($C685:$L685,1,6-ROUND(Rec_Lag,0))*(1-Sev),0)</f>
        <v>0</v>
      </c>
      <c r="I2200" s="71" t="n">
        <f aca="false">IF(AND(7&lt;=Hold_Yrs,7-ROUND(Rec_Lag,0)&gt;=1),INDEX($C685:$L685,1,7-ROUND(Rec_Lag,0))*(1-Sev),0)</f>
        <v>0</v>
      </c>
      <c r="J2200" s="71" t="n">
        <f aca="false">IF(AND(8&lt;=Hold_Yrs,8-ROUND(Rec_Lag,0)&gt;=1),INDEX($C685:$L685,1,8-ROUND(Rec_Lag,0))*(1-Sev),0)</f>
        <v>0</v>
      </c>
      <c r="K2200" s="71" t="n">
        <f aca="false">IF(AND(9&lt;=Hold_Yrs,9-ROUND(Rec_Lag,0)&gt;=1),INDEX($C685:$L685,1,9-ROUND(Rec_Lag,0))*(1-Sev),0)</f>
        <v>0</v>
      </c>
      <c r="L2200" s="71" t="n">
        <f aca="false">IF(AND(10&lt;=Hold_Yrs,10-ROUND(Rec_Lag,0)&gt;=1),INDEX($C685:$L685,1,10-ROUND(Rec_Lag,0))*(1-Sev),0)</f>
        <v>0</v>
      </c>
    </row>
    <row r="2201" customFormat="false" ht="15" hidden="false" customHeight="false" outlineLevel="0" collapsed="false">
      <c r="B2201" s="102" t="n">
        <f aca="false">'Loan Tape'!$A76</f>
        <v>0</v>
      </c>
      <c r="C2201" s="99" t="n">
        <f aca="false">IF(AND(1&lt;=Hold_Yrs,1-ROUND(Rec_Lag,0)&gt;=1),INDEX($C686:$L686,1,1-ROUND(Rec_Lag,0))*(1-Sev),0)</f>
        <v>0</v>
      </c>
      <c r="D2201" s="99" t="n">
        <f aca="false">IF(AND(2&lt;=Hold_Yrs,2-ROUND(Rec_Lag,0)&gt;=1),INDEX($C686:$L686,1,2-ROUND(Rec_Lag,0))*(1-Sev),0)</f>
        <v>0</v>
      </c>
      <c r="E2201" s="99" t="n">
        <f aca="false">IF(AND(3&lt;=Hold_Yrs,3-ROUND(Rec_Lag,0)&gt;=1),INDEX($C686:$L686,1,3-ROUND(Rec_Lag,0))*(1-Sev),0)</f>
        <v>0</v>
      </c>
      <c r="F2201" s="99" t="n">
        <f aca="false">IF(AND(4&lt;=Hold_Yrs,4-ROUND(Rec_Lag,0)&gt;=1),INDEX($C686:$L686,1,4-ROUND(Rec_Lag,0))*(1-Sev),0)</f>
        <v>0</v>
      </c>
      <c r="G2201" s="99" t="n">
        <f aca="false">IF(AND(5&lt;=Hold_Yrs,5-ROUND(Rec_Lag,0)&gt;=1),INDEX($C686:$L686,1,5-ROUND(Rec_Lag,0))*(1-Sev),0)</f>
        <v>0</v>
      </c>
      <c r="H2201" s="99" t="n">
        <f aca="false">IF(AND(6&lt;=Hold_Yrs,6-ROUND(Rec_Lag,0)&gt;=1),INDEX($C686:$L686,1,6-ROUND(Rec_Lag,0))*(1-Sev),0)</f>
        <v>0</v>
      </c>
      <c r="I2201" s="99" t="n">
        <f aca="false">IF(AND(7&lt;=Hold_Yrs,7-ROUND(Rec_Lag,0)&gt;=1),INDEX($C686:$L686,1,7-ROUND(Rec_Lag,0))*(1-Sev),0)</f>
        <v>0</v>
      </c>
      <c r="J2201" s="99" t="n">
        <f aca="false">IF(AND(8&lt;=Hold_Yrs,8-ROUND(Rec_Lag,0)&gt;=1),INDEX($C686:$L686,1,8-ROUND(Rec_Lag,0))*(1-Sev),0)</f>
        <v>0</v>
      </c>
      <c r="K2201" s="99" t="n">
        <f aca="false">IF(AND(9&lt;=Hold_Yrs,9-ROUND(Rec_Lag,0)&gt;=1),INDEX($C686:$L686,1,9-ROUND(Rec_Lag,0))*(1-Sev),0)</f>
        <v>0</v>
      </c>
      <c r="L2201" s="99" t="n">
        <f aca="false">IF(AND(10&lt;=Hold_Yrs,10-ROUND(Rec_Lag,0)&gt;=1),INDEX($C686:$L686,1,10-ROUND(Rec_Lag,0))*(1-Sev),0)</f>
        <v>0</v>
      </c>
    </row>
    <row r="2202" customFormat="false" ht="15" hidden="false" customHeight="false" outlineLevel="0" collapsed="false">
      <c r="B2202" s="108" t="n">
        <f aca="false">'Loan Tape'!$A77</f>
        <v>0</v>
      </c>
      <c r="C2202" s="71" t="n">
        <f aca="false">IF(AND(1&lt;=Hold_Yrs,1-ROUND(Rec_Lag,0)&gt;=1),INDEX($C687:$L687,1,1-ROUND(Rec_Lag,0))*(1-Sev),0)</f>
        <v>0</v>
      </c>
      <c r="D2202" s="71" t="n">
        <f aca="false">IF(AND(2&lt;=Hold_Yrs,2-ROUND(Rec_Lag,0)&gt;=1),INDEX($C687:$L687,1,2-ROUND(Rec_Lag,0))*(1-Sev),0)</f>
        <v>0</v>
      </c>
      <c r="E2202" s="71" t="n">
        <f aca="false">IF(AND(3&lt;=Hold_Yrs,3-ROUND(Rec_Lag,0)&gt;=1),INDEX($C687:$L687,1,3-ROUND(Rec_Lag,0))*(1-Sev),0)</f>
        <v>0</v>
      </c>
      <c r="F2202" s="71" t="n">
        <f aca="false">IF(AND(4&lt;=Hold_Yrs,4-ROUND(Rec_Lag,0)&gt;=1),INDEX($C687:$L687,1,4-ROUND(Rec_Lag,0))*(1-Sev),0)</f>
        <v>0</v>
      </c>
      <c r="G2202" s="71" t="n">
        <f aca="false">IF(AND(5&lt;=Hold_Yrs,5-ROUND(Rec_Lag,0)&gt;=1),INDEX($C687:$L687,1,5-ROUND(Rec_Lag,0))*(1-Sev),0)</f>
        <v>0</v>
      </c>
      <c r="H2202" s="71" t="n">
        <f aca="false">IF(AND(6&lt;=Hold_Yrs,6-ROUND(Rec_Lag,0)&gt;=1),INDEX($C687:$L687,1,6-ROUND(Rec_Lag,0))*(1-Sev),0)</f>
        <v>0</v>
      </c>
      <c r="I2202" s="71" t="n">
        <f aca="false">IF(AND(7&lt;=Hold_Yrs,7-ROUND(Rec_Lag,0)&gt;=1),INDEX($C687:$L687,1,7-ROUND(Rec_Lag,0))*(1-Sev),0)</f>
        <v>0</v>
      </c>
      <c r="J2202" s="71" t="n">
        <f aca="false">IF(AND(8&lt;=Hold_Yrs,8-ROUND(Rec_Lag,0)&gt;=1),INDEX($C687:$L687,1,8-ROUND(Rec_Lag,0))*(1-Sev),0)</f>
        <v>0</v>
      </c>
      <c r="K2202" s="71" t="n">
        <f aca="false">IF(AND(9&lt;=Hold_Yrs,9-ROUND(Rec_Lag,0)&gt;=1),INDEX($C687:$L687,1,9-ROUND(Rec_Lag,0))*(1-Sev),0)</f>
        <v>0</v>
      </c>
      <c r="L2202" s="71" t="n">
        <f aca="false">IF(AND(10&lt;=Hold_Yrs,10-ROUND(Rec_Lag,0)&gt;=1),INDEX($C687:$L687,1,10-ROUND(Rec_Lag,0))*(1-Sev),0)</f>
        <v>0</v>
      </c>
    </row>
    <row r="2203" customFormat="false" ht="15" hidden="false" customHeight="false" outlineLevel="0" collapsed="false">
      <c r="B2203" s="102" t="n">
        <f aca="false">'Loan Tape'!$A78</f>
        <v>0</v>
      </c>
      <c r="C2203" s="99" t="n">
        <f aca="false">IF(AND(1&lt;=Hold_Yrs,1-ROUND(Rec_Lag,0)&gt;=1),INDEX($C688:$L688,1,1-ROUND(Rec_Lag,0))*(1-Sev),0)</f>
        <v>0</v>
      </c>
      <c r="D2203" s="99" t="n">
        <f aca="false">IF(AND(2&lt;=Hold_Yrs,2-ROUND(Rec_Lag,0)&gt;=1),INDEX($C688:$L688,1,2-ROUND(Rec_Lag,0))*(1-Sev),0)</f>
        <v>0</v>
      </c>
      <c r="E2203" s="99" t="n">
        <f aca="false">IF(AND(3&lt;=Hold_Yrs,3-ROUND(Rec_Lag,0)&gt;=1),INDEX($C688:$L688,1,3-ROUND(Rec_Lag,0))*(1-Sev),0)</f>
        <v>0</v>
      </c>
      <c r="F2203" s="99" t="n">
        <f aca="false">IF(AND(4&lt;=Hold_Yrs,4-ROUND(Rec_Lag,0)&gt;=1),INDEX($C688:$L688,1,4-ROUND(Rec_Lag,0))*(1-Sev),0)</f>
        <v>0</v>
      </c>
      <c r="G2203" s="99" t="n">
        <f aca="false">IF(AND(5&lt;=Hold_Yrs,5-ROUND(Rec_Lag,0)&gt;=1),INDEX($C688:$L688,1,5-ROUND(Rec_Lag,0))*(1-Sev),0)</f>
        <v>0</v>
      </c>
      <c r="H2203" s="99" t="n">
        <f aca="false">IF(AND(6&lt;=Hold_Yrs,6-ROUND(Rec_Lag,0)&gt;=1),INDEX($C688:$L688,1,6-ROUND(Rec_Lag,0))*(1-Sev),0)</f>
        <v>0</v>
      </c>
      <c r="I2203" s="99" t="n">
        <f aca="false">IF(AND(7&lt;=Hold_Yrs,7-ROUND(Rec_Lag,0)&gt;=1),INDEX($C688:$L688,1,7-ROUND(Rec_Lag,0))*(1-Sev),0)</f>
        <v>0</v>
      </c>
      <c r="J2203" s="99" t="n">
        <f aca="false">IF(AND(8&lt;=Hold_Yrs,8-ROUND(Rec_Lag,0)&gt;=1),INDEX($C688:$L688,1,8-ROUND(Rec_Lag,0))*(1-Sev),0)</f>
        <v>0</v>
      </c>
      <c r="K2203" s="99" t="n">
        <f aca="false">IF(AND(9&lt;=Hold_Yrs,9-ROUND(Rec_Lag,0)&gt;=1),INDEX($C688:$L688,1,9-ROUND(Rec_Lag,0))*(1-Sev),0)</f>
        <v>0</v>
      </c>
      <c r="L2203" s="99" t="n">
        <f aca="false">IF(AND(10&lt;=Hold_Yrs,10-ROUND(Rec_Lag,0)&gt;=1),INDEX($C688:$L688,1,10-ROUND(Rec_Lag,0))*(1-Sev),0)</f>
        <v>0</v>
      </c>
    </row>
    <row r="2204" customFormat="false" ht="15" hidden="false" customHeight="false" outlineLevel="0" collapsed="false">
      <c r="B2204" s="108" t="n">
        <f aca="false">'Loan Tape'!$A79</f>
        <v>0</v>
      </c>
      <c r="C2204" s="71" t="n">
        <f aca="false">IF(AND(1&lt;=Hold_Yrs,1-ROUND(Rec_Lag,0)&gt;=1),INDEX($C689:$L689,1,1-ROUND(Rec_Lag,0))*(1-Sev),0)</f>
        <v>0</v>
      </c>
      <c r="D2204" s="71" t="n">
        <f aca="false">IF(AND(2&lt;=Hold_Yrs,2-ROUND(Rec_Lag,0)&gt;=1),INDEX($C689:$L689,1,2-ROUND(Rec_Lag,0))*(1-Sev),0)</f>
        <v>0</v>
      </c>
      <c r="E2204" s="71" t="n">
        <f aca="false">IF(AND(3&lt;=Hold_Yrs,3-ROUND(Rec_Lag,0)&gt;=1),INDEX($C689:$L689,1,3-ROUND(Rec_Lag,0))*(1-Sev),0)</f>
        <v>0</v>
      </c>
      <c r="F2204" s="71" t="n">
        <f aca="false">IF(AND(4&lt;=Hold_Yrs,4-ROUND(Rec_Lag,0)&gt;=1),INDEX($C689:$L689,1,4-ROUND(Rec_Lag,0))*(1-Sev),0)</f>
        <v>0</v>
      </c>
      <c r="G2204" s="71" t="n">
        <f aca="false">IF(AND(5&lt;=Hold_Yrs,5-ROUND(Rec_Lag,0)&gt;=1),INDEX($C689:$L689,1,5-ROUND(Rec_Lag,0))*(1-Sev),0)</f>
        <v>0</v>
      </c>
      <c r="H2204" s="71" t="n">
        <f aca="false">IF(AND(6&lt;=Hold_Yrs,6-ROUND(Rec_Lag,0)&gt;=1),INDEX($C689:$L689,1,6-ROUND(Rec_Lag,0))*(1-Sev),0)</f>
        <v>0</v>
      </c>
      <c r="I2204" s="71" t="n">
        <f aca="false">IF(AND(7&lt;=Hold_Yrs,7-ROUND(Rec_Lag,0)&gt;=1),INDEX($C689:$L689,1,7-ROUND(Rec_Lag,0))*(1-Sev),0)</f>
        <v>0</v>
      </c>
      <c r="J2204" s="71" t="n">
        <f aca="false">IF(AND(8&lt;=Hold_Yrs,8-ROUND(Rec_Lag,0)&gt;=1),INDEX($C689:$L689,1,8-ROUND(Rec_Lag,0))*(1-Sev),0)</f>
        <v>0</v>
      </c>
      <c r="K2204" s="71" t="n">
        <f aca="false">IF(AND(9&lt;=Hold_Yrs,9-ROUND(Rec_Lag,0)&gt;=1),INDEX($C689:$L689,1,9-ROUND(Rec_Lag,0))*(1-Sev),0)</f>
        <v>0</v>
      </c>
      <c r="L2204" s="71" t="n">
        <f aca="false">IF(AND(10&lt;=Hold_Yrs,10-ROUND(Rec_Lag,0)&gt;=1),INDEX($C689:$L689,1,10-ROUND(Rec_Lag,0))*(1-Sev),0)</f>
        <v>0</v>
      </c>
    </row>
    <row r="2205" customFormat="false" ht="15" hidden="false" customHeight="false" outlineLevel="0" collapsed="false">
      <c r="B2205" s="102" t="n">
        <f aca="false">'Loan Tape'!$A80</f>
        <v>0</v>
      </c>
      <c r="C2205" s="99" t="n">
        <f aca="false">IF(AND(1&lt;=Hold_Yrs,1-ROUND(Rec_Lag,0)&gt;=1),INDEX($C690:$L690,1,1-ROUND(Rec_Lag,0))*(1-Sev),0)</f>
        <v>0</v>
      </c>
      <c r="D2205" s="99" t="n">
        <f aca="false">IF(AND(2&lt;=Hold_Yrs,2-ROUND(Rec_Lag,0)&gt;=1),INDEX($C690:$L690,1,2-ROUND(Rec_Lag,0))*(1-Sev),0)</f>
        <v>0</v>
      </c>
      <c r="E2205" s="99" t="n">
        <f aca="false">IF(AND(3&lt;=Hold_Yrs,3-ROUND(Rec_Lag,0)&gt;=1),INDEX($C690:$L690,1,3-ROUND(Rec_Lag,0))*(1-Sev),0)</f>
        <v>0</v>
      </c>
      <c r="F2205" s="99" t="n">
        <f aca="false">IF(AND(4&lt;=Hold_Yrs,4-ROUND(Rec_Lag,0)&gt;=1),INDEX($C690:$L690,1,4-ROUND(Rec_Lag,0))*(1-Sev),0)</f>
        <v>0</v>
      </c>
      <c r="G2205" s="99" t="n">
        <f aca="false">IF(AND(5&lt;=Hold_Yrs,5-ROUND(Rec_Lag,0)&gt;=1),INDEX($C690:$L690,1,5-ROUND(Rec_Lag,0))*(1-Sev),0)</f>
        <v>0</v>
      </c>
      <c r="H2205" s="99" t="n">
        <f aca="false">IF(AND(6&lt;=Hold_Yrs,6-ROUND(Rec_Lag,0)&gt;=1),INDEX($C690:$L690,1,6-ROUND(Rec_Lag,0))*(1-Sev),0)</f>
        <v>0</v>
      </c>
      <c r="I2205" s="99" t="n">
        <f aca="false">IF(AND(7&lt;=Hold_Yrs,7-ROUND(Rec_Lag,0)&gt;=1),INDEX($C690:$L690,1,7-ROUND(Rec_Lag,0))*(1-Sev),0)</f>
        <v>0</v>
      </c>
      <c r="J2205" s="99" t="n">
        <f aca="false">IF(AND(8&lt;=Hold_Yrs,8-ROUND(Rec_Lag,0)&gt;=1),INDEX($C690:$L690,1,8-ROUND(Rec_Lag,0))*(1-Sev),0)</f>
        <v>0</v>
      </c>
      <c r="K2205" s="99" t="n">
        <f aca="false">IF(AND(9&lt;=Hold_Yrs,9-ROUND(Rec_Lag,0)&gt;=1),INDEX($C690:$L690,1,9-ROUND(Rec_Lag,0))*(1-Sev),0)</f>
        <v>0</v>
      </c>
      <c r="L2205" s="99" t="n">
        <f aca="false">IF(AND(10&lt;=Hold_Yrs,10-ROUND(Rec_Lag,0)&gt;=1),INDEX($C690:$L690,1,10-ROUND(Rec_Lag,0))*(1-Sev),0)</f>
        <v>0</v>
      </c>
    </row>
    <row r="2206" customFormat="false" ht="15" hidden="false" customHeight="false" outlineLevel="0" collapsed="false">
      <c r="B2206" s="108" t="n">
        <f aca="false">'Loan Tape'!$A81</f>
        <v>0</v>
      </c>
      <c r="C2206" s="71" t="n">
        <f aca="false">IF(AND(1&lt;=Hold_Yrs,1-ROUND(Rec_Lag,0)&gt;=1),INDEX($C691:$L691,1,1-ROUND(Rec_Lag,0))*(1-Sev),0)</f>
        <v>0</v>
      </c>
      <c r="D2206" s="71" t="n">
        <f aca="false">IF(AND(2&lt;=Hold_Yrs,2-ROUND(Rec_Lag,0)&gt;=1),INDEX($C691:$L691,1,2-ROUND(Rec_Lag,0))*(1-Sev),0)</f>
        <v>0</v>
      </c>
      <c r="E2206" s="71" t="n">
        <f aca="false">IF(AND(3&lt;=Hold_Yrs,3-ROUND(Rec_Lag,0)&gt;=1),INDEX($C691:$L691,1,3-ROUND(Rec_Lag,0))*(1-Sev),0)</f>
        <v>0</v>
      </c>
      <c r="F2206" s="71" t="n">
        <f aca="false">IF(AND(4&lt;=Hold_Yrs,4-ROUND(Rec_Lag,0)&gt;=1),INDEX($C691:$L691,1,4-ROUND(Rec_Lag,0))*(1-Sev),0)</f>
        <v>0</v>
      </c>
      <c r="G2206" s="71" t="n">
        <f aca="false">IF(AND(5&lt;=Hold_Yrs,5-ROUND(Rec_Lag,0)&gt;=1),INDEX($C691:$L691,1,5-ROUND(Rec_Lag,0))*(1-Sev),0)</f>
        <v>0</v>
      </c>
      <c r="H2206" s="71" t="n">
        <f aca="false">IF(AND(6&lt;=Hold_Yrs,6-ROUND(Rec_Lag,0)&gt;=1),INDEX($C691:$L691,1,6-ROUND(Rec_Lag,0))*(1-Sev),0)</f>
        <v>0</v>
      </c>
      <c r="I2206" s="71" t="n">
        <f aca="false">IF(AND(7&lt;=Hold_Yrs,7-ROUND(Rec_Lag,0)&gt;=1),INDEX($C691:$L691,1,7-ROUND(Rec_Lag,0))*(1-Sev),0)</f>
        <v>0</v>
      </c>
      <c r="J2206" s="71" t="n">
        <f aca="false">IF(AND(8&lt;=Hold_Yrs,8-ROUND(Rec_Lag,0)&gt;=1),INDEX($C691:$L691,1,8-ROUND(Rec_Lag,0))*(1-Sev),0)</f>
        <v>0</v>
      </c>
      <c r="K2206" s="71" t="n">
        <f aca="false">IF(AND(9&lt;=Hold_Yrs,9-ROUND(Rec_Lag,0)&gt;=1),INDEX($C691:$L691,1,9-ROUND(Rec_Lag,0))*(1-Sev),0)</f>
        <v>0</v>
      </c>
      <c r="L2206" s="71" t="n">
        <f aca="false">IF(AND(10&lt;=Hold_Yrs,10-ROUND(Rec_Lag,0)&gt;=1),INDEX($C691:$L691,1,10-ROUND(Rec_Lag,0))*(1-Sev),0)</f>
        <v>0</v>
      </c>
    </row>
    <row r="2207" customFormat="false" ht="15" hidden="false" customHeight="false" outlineLevel="0" collapsed="false">
      <c r="B2207" s="102" t="n">
        <f aca="false">'Loan Tape'!$A82</f>
        <v>0</v>
      </c>
      <c r="C2207" s="99" t="n">
        <f aca="false">IF(AND(1&lt;=Hold_Yrs,1-ROUND(Rec_Lag,0)&gt;=1),INDEX($C692:$L692,1,1-ROUND(Rec_Lag,0))*(1-Sev),0)</f>
        <v>0</v>
      </c>
      <c r="D2207" s="99" t="n">
        <f aca="false">IF(AND(2&lt;=Hold_Yrs,2-ROUND(Rec_Lag,0)&gt;=1),INDEX($C692:$L692,1,2-ROUND(Rec_Lag,0))*(1-Sev),0)</f>
        <v>0</v>
      </c>
      <c r="E2207" s="99" t="n">
        <f aca="false">IF(AND(3&lt;=Hold_Yrs,3-ROUND(Rec_Lag,0)&gt;=1),INDEX($C692:$L692,1,3-ROUND(Rec_Lag,0))*(1-Sev),0)</f>
        <v>0</v>
      </c>
      <c r="F2207" s="99" t="n">
        <f aca="false">IF(AND(4&lt;=Hold_Yrs,4-ROUND(Rec_Lag,0)&gt;=1),INDEX($C692:$L692,1,4-ROUND(Rec_Lag,0))*(1-Sev),0)</f>
        <v>0</v>
      </c>
      <c r="G2207" s="99" t="n">
        <f aca="false">IF(AND(5&lt;=Hold_Yrs,5-ROUND(Rec_Lag,0)&gt;=1),INDEX($C692:$L692,1,5-ROUND(Rec_Lag,0))*(1-Sev),0)</f>
        <v>0</v>
      </c>
      <c r="H2207" s="99" t="n">
        <f aca="false">IF(AND(6&lt;=Hold_Yrs,6-ROUND(Rec_Lag,0)&gt;=1),INDEX($C692:$L692,1,6-ROUND(Rec_Lag,0))*(1-Sev),0)</f>
        <v>0</v>
      </c>
      <c r="I2207" s="99" t="n">
        <f aca="false">IF(AND(7&lt;=Hold_Yrs,7-ROUND(Rec_Lag,0)&gt;=1),INDEX($C692:$L692,1,7-ROUND(Rec_Lag,0))*(1-Sev),0)</f>
        <v>0</v>
      </c>
      <c r="J2207" s="99" t="n">
        <f aca="false">IF(AND(8&lt;=Hold_Yrs,8-ROUND(Rec_Lag,0)&gt;=1),INDEX($C692:$L692,1,8-ROUND(Rec_Lag,0))*(1-Sev),0)</f>
        <v>0</v>
      </c>
      <c r="K2207" s="99" t="n">
        <f aca="false">IF(AND(9&lt;=Hold_Yrs,9-ROUND(Rec_Lag,0)&gt;=1),INDEX($C692:$L692,1,9-ROUND(Rec_Lag,0))*(1-Sev),0)</f>
        <v>0</v>
      </c>
      <c r="L2207" s="99" t="n">
        <f aca="false">IF(AND(10&lt;=Hold_Yrs,10-ROUND(Rec_Lag,0)&gt;=1),INDEX($C692:$L692,1,10-ROUND(Rec_Lag,0))*(1-Sev),0)</f>
        <v>0</v>
      </c>
    </row>
    <row r="2208" customFormat="false" ht="15" hidden="false" customHeight="false" outlineLevel="0" collapsed="false">
      <c r="B2208" s="108" t="n">
        <f aca="false">'Loan Tape'!$A83</f>
        <v>0</v>
      </c>
      <c r="C2208" s="71" t="n">
        <f aca="false">IF(AND(1&lt;=Hold_Yrs,1-ROUND(Rec_Lag,0)&gt;=1),INDEX($C693:$L693,1,1-ROUND(Rec_Lag,0))*(1-Sev),0)</f>
        <v>0</v>
      </c>
      <c r="D2208" s="71" t="n">
        <f aca="false">IF(AND(2&lt;=Hold_Yrs,2-ROUND(Rec_Lag,0)&gt;=1),INDEX($C693:$L693,1,2-ROUND(Rec_Lag,0))*(1-Sev),0)</f>
        <v>0</v>
      </c>
      <c r="E2208" s="71" t="n">
        <f aca="false">IF(AND(3&lt;=Hold_Yrs,3-ROUND(Rec_Lag,0)&gt;=1),INDEX($C693:$L693,1,3-ROUND(Rec_Lag,0))*(1-Sev),0)</f>
        <v>0</v>
      </c>
      <c r="F2208" s="71" t="n">
        <f aca="false">IF(AND(4&lt;=Hold_Yrs,4-ROUND(Rec_Lag,0)&gt;=1),INDEX($C693:$L693,1,4-ROUND(Rec_Lag,0))*(1-Sev),0)</f>
        <v>0</v>
      </c>
      <c r="G2208" s="71" t="n">
        <f aca="false">IF(AND(5&lt;=Hold_Yrs,5-ROUND(Rec_Lag,0)&gt;=1),INDEX($C693:$L693,1,5-ROUND(Rec_Lag,0))*(1-Sev),0)</f>
        <v>0</v>
      </c>
      <c r="H2208" s="71" t="n">
        <f aca="false">IF(AND(6&lt;=Hold_Yrs,6-ROUND(Rec_Lag,0)&gt;=1),INDEX($C693:$L693,1,6-ROUND(Rec_Lag,0))*(1-Sev),0)</f>
        <v>0</v>
      </c>
      <c r="I2208" s="71" t="n">
        <f aca="false">IF(AND(7&lt;=Hold_Yrs,7-ROUND(Rec_Lag,0)&gt;=1),INDEX($C693:$L693,1,7-ROUND(Rec_Lag,0))*(1-Sev),0)</f>
        <v>0</v>
      </c>
      <c r="J2208" s="71" t="n">
        <f aca="false">IF(AND(8&lt;=Hold_Yrs,8-ROUND(Rec_Lag,0)&gt;=1),INDEX($C693:$L693,1,8-ROUND(Rec_Lag,0))*(1-Sev),0)</f>
        <v>0</v>
      </c>
      <c r="K2208" s="71" t="n">
        <f aca="false">IF(AND(9&lt;=Hold_Yrs,9-ROUND(Rec_Lag,0)&gt;=1),INDEX($C693:$L693,1,9-ROUND(Rec_Lag,0))*(1-Sev),0)</f>
        <v>0</v>
      </c>
      <c r="L2208" s="71" t="n">
        <f aca="false">IF(AND(10&lt;=Hold_Yrs,10-ROUND(Rec_Lag,0)&gt;=1),INDEX($C693:$L693,1,10-ROUND(Rec_Lag,0))*(1-Sev),0)</f>
        <v>0</v>
      </c>
    </row>
    <row r="2209" customFormat="false" ht="15" hidden="false" customHeight="false" outlineLevel="0" collapsed="false">
      <c r="B2209" s="102" t="n">
        <f aca="false">'Loan Tape'!$A84</f>
        <v>0</v>
      </c>
      <c r="C2209" s="99" t="n">
        <f aca="false">IF(AND(1&lt;=Hold_Yrs,1-ROUND(Rec_Lag,0)&gt;=1),INDEX($C694:$L694,1,1-ROUND(Rec_Lag,0))*(1-Sev),0)</f>
        <v>0</v>
      </c>
      <c r="D2209" s="99" t="n">
        <f aca="false">IF(AND(2&lt;=Hold_Yrs,2-ROUND(Rec_Lag,0)&gt;=1),INDEX($C694:$L694,1,2-ROUND(Rec_Lag,0))*(1-Sev),0)</f>
        <v>0</v>
      </c>
      <c r="E2209" s="99" t="n">
        <f aca="false">IF(AND(3&lt;=Hold_Yrs,3-ROUND(Rec_Lag,0)&gt;=1),INDEX($C694:$L694,1,3-ROUND(Rec_Lag,0))*(1-Sev),0)</f>
        <v>0</v>
      </c>
      <c r="F2209" s="99" t="n">
        <f aca="false">IF(AND(4&lt;=Hold_Yrs,4-ROUND(Rec_Lag,0)&gt;=1),INDEX($C694:$L694,1,4-ROUND(Rec_Lag,0))*(1-Sev),0)</f>
        <v>0</v>
      </c>
      <c r="G2209" s="99" t="n">
        <f aca="false">IF(AND(5&lt;=Hold_Yrs,5-ROUND(Rec_Lag,0)&gt;=1),INDEX($C694:$L694,1,5-ROUND(Rec_Lag,0))*(1-Sev),0)</f>
        <v>0</v>
      </c>
      <c r="H2209" s="99" t="n">
        <f aca="false">IF(AND(6&lt;=Hold_Yrs,6-ROUND(Rec_Lag,0)&gt;=1),INDEX($C694:$L694,1,6-ROUND(Rec_Lag,0))*(1-Sev),0)</f>
        <v>0</v>
      </c>
      <c r="I2209" s="99" t="n">
        <f aca="false">IF(AND(7&lt;=Hold_Yrs,7-ROUND(Rec_Lag,0)&gt;=1),INDEX($C694:$L694,1,7-ROUND(Rec_Lag,0))*(1-Sev),0)</f>
        <v>0</v>
      </c>
      <c r="J2209" s="99" t="n">
        <f aca="false">IF(AND(8&lt;=Hold_Yrs,8-ROUND(Rec_Lag,0)&gt;=1),INDEX($C694:$L694,1,8-ROUND(Rec_Lag,0))*(1-Sev),0)</f>
        <v>0</v>
      </c>
      <c r="K2209" s="99" t="n">
        <f aca="false">IF(AND(9&lt;=Hold_Yrs,9-ROUND(Rec_Lag,0)&gt;=1),INDEX($C694:$L694,1,9-ROUND(Rec_Lag,0))*(1-Sev),0)</f>
        <v>0</v>
      </c>
      <c r="L2209" s="99" t="n">
        <f aca="false">IF(AND(10&lt;=Hold_Yrs,10-ROUND(Rec_Lag,0)&gt;=1),INDEX($C694:$L694,1,10-ROUND(Rec_Lag,0))*(1-Sev),0)</f>
        <v>0</v>
      </c>
    </row>
    <row r="2210" customFormat="false" ht="15" hidden="false" customHeight="false" outlineLevel="0" collapsed="false">
      <c r="B2210" s="108" t="n">
        <f aca="false">'Loan Tape'!$A85</f>
        <v>0</v>
      </c>
      <c r="C2210" s="71" t="n">
        <f aca="false">IF(AND(1&lt;=Hold_Yrs,1-ROUND(Rec_Lag,0)&gt;=1),INDEX($C695:$L695,1,1-ROUND(Rec_Lag,0))*(1-Sev),0)</f>
        <v>0</v>
      </c>
      <c r="D2210" s="71" t="n">
        <f aca="false">IF(AND(2&lt;=Hold_Yrs,2-ROUND(Rec_Lag,0)&gt;=1),INDEX($C695:$L695,1,2-ROUND(Rec_Lag,0))*(1-Sev),0)</f>
        <v>0</v>
      </c>
      <c r="E2210" s="71" t="n">
        <f aca="false">IF(AND(3&lt;=Hold_Yrs,3-ROUND(Rec_Lag,0)&gt;=1),INDEX($C695:$L695,1,3-ROUND(Rec_Lag,0))*(1-Sev),0)</f>
        <v>0</v>
      </c>
      <c r="F2210" s="71" t="n">
        <f aca="false">IF(AND(4&lt;=Hold_Yrs,4-ROUND(Rec_Lag,0)&gt;=1),INDEX($C695:$L695,1,4-ROUND(Rec_Lag,0))*(1-Sev),0)</f>
        <v>0</v>
      </c>
      <c r="G2210" s="71" t="n">
        <f aca="false">IF(AND(5&lt;=Hold_Yrs,5-ROUND(Rec_Lag,0)&gt;=1),INDEX($C695:$L695,1,5-ROUND(Rec_Lag,0))*(1-Sev),0)</f>
        <v>0</v>
      </c>
      <c r="H2210" s="71" t="n">
        <f aca="false">IF(AND(6&lt;=Hold_Yrs,6-ROUND(Rec_Lag,0)&gt;=1),INDEX($C695:$L695,1,6-ROUND(Rec_Lag,0))*(1-Sev),0)</f>
        <v>0</v>
      </c>
      <c r="I2210" s="71" t="n">
        <f aca="false">IF(AND(7&lt;=Hold_Yrs,7-ROUND(Rec_Lag,0)&gt;=1),INDEX($C695:$L695,1,7-ROUND(Rec_Lag,0))*(1-Sev),0)</f>
        <v>0</v>
      </c>
      <c r="J2210" s="71" t="n">
        <f aca="false">IF(AND(8&lt;=Hold_Yrs,8-ROUND(Rec_Lag,0)&gt;=1),INDEX($C695:$L695,1,8-ROUND(Rec_Lag,0))*(1-Sev),0)</f>
        <v>0</v>
      </c>
      <c r="K2210" s="71" t="n">
        <f aca="false">IF(AND(9&lt;=Hold_Yrs,9-ROUND(Rec_Lag,0)&gt;=1),INDEX($C695:$L695,1,9-ROUND(Rec_Lag,0))*(1-Sev),0)</f>
        <v>0</v>
      </c>
      <c r="L2210" s="71" t="n">
        <f aca="false">IF(AND(10&lt;=Hold_Yrs,10-ROUND(Rec_Lag,0)&gt;=1),INDEX($C695:$L695,1,10-ROUND(Rec_Lag,0))*(1-Sev),0)</f>
        <v>0</v>
      </c>
    </row>
    <row r="2211" customFormat="false" ht="15" hidden="false" customHeight="false" outlineLevel="0" collapsed="false">
      <c r="B2211" s="102" t="n">
        <f aca="false">'Loan Tape'!$A86</f>
        <v>0</v>
      </c>
      <c r="C2211" s="99" t="n">
        <f aca="false">IF(AND(1&lt;=Hold_Yrs,1-ROUND(Rec_Lag,0)&gt;=1),INDEX($C696:$L696,1,1-ROUND(Rec_Lag,0))*(1-Sev),0)</f>
        <v>0</v>
      </c>
      <c r="D2211" s="99" t="n">
        <f aca="false">IF(AND(2&lt;=Hold_Yrs,2-ROUND(Rec_Lag,0)&gt;=1),INDEX($C696:$L696,1,2-ROUND(Rec_Lag,0))*(1-Sev),0)</f>
        <v>0</v>
      </c>
      <c r="E2211" s="99" t="n">
        <f aca="false">IF(AND(3&lt;=Hold_Yrs,3-ROUND(Rec_Lag,0)&gt;=1),INDEX($C696:$L696,1,3-ROUND(Rec_Lag,0))*(1-Sev),0)</f>
        <v>0</v>
      </c>
      <c r="F2211" s="99" t="n">
        <f aca="false">IF(AND(4&lt;=Hold_Yrs,4-ROUND(Rec_Lag,0)&gt;=1),INDEX($C696:$L696,1,4-ROUND(Rec_Lag,0))*(1-Sev),0)</f>
        <v>0</v>
      </c>
      <c r="G2211" s="99" t="n">
        <f aca="false">IF(AND(5&lt;=Hold_Yrs,5-ROUND(Rec_Lag,0)&gt;=1),INDEX($C696:$L696,1,5-ROUND(Rec_Lag,0))*(1-Sev),0)</f>
        <v>0</v>
      </c>
      <c r="H2211" s="99" t="n">
        <f aca="false">IF(AND(6&lt;=Hold_Yrs,6-ROUND(Rec_Lag,0)&gt;=1),INDEX($C696:$L696,1,6-ROUND(Rec_Lag,0))*(1-Sev),0)</f>
        <v>0</v>
      </c>
      <c r="I2211" s="99" t="n">
        <f aca="false">IF(AND(7&lt;=Hold_Yrs,7-ROUND(Rec_Lag,0)&gt;=1),INDEX($C696:$L696,1,7-ROUND(Rec_Lag,0))*(1-Sev),0)</f>
        <v>0</v>
      </c>
      <c r="J2211" s="99" t="n">
        <f aca="false">IF(AND(8&lt;=Hold_Yrs,8-ROUND(Rec_Lag,0)&gt;=1),INDEX($C696:$L696,1,8-ROUND(Rec_Lag,0))*(1-Sev),0)</f>
        <v>0</v>
      </c>
      <c r="K2211" s="99" t="n">
        <f aca="false">IF(AND(9&lt;=Hold_Yrs,9-ROUND(Rec_Lag,0)&gt;=1),INDEX($C696:$L696,1,9-ROUND(Rec_Lag,0))*(1-Sev),0)</f>
        <v>0</v>
      </c>
      <c r="L2211" s="99" t="n">
        <f aca="false">IF(AND(10&lt;=Hold_Yrs,10-ROUND(Rec_Lag,0)&gt;=1),INDEX($C696:$L696,1,10-ROUND(Rec_Lag,0))*(1-Sev),0)</f>
        <v>0</v>
      </c>
    </row>
    <row r="2212" customFormat="false" ht="15" hidden="false" customHeight="false" outlineLevel="0" collapsed="false">
      <c r="B2212" s="108" t="n">
        <f aca="false">'Loan Tape'!$A87</f>
        <v>0</v>
      </c>
      <c r="C2212" s="71" t="n">
        <f aca="false">IF(AND(1&lt;=Hold_Yrs,1-ROUND(Rec_Lag,0)&gt;=1),INDEX($C697:$L697,1,1-ROUND(Rec_Lag,0))*(1-Sev),0)</f>
        <v>0</v>
      </c>
      <c r="D2212" s="71" t="n">
        <f aca="false">IF(AND(2&lt;=Hold_Yrs,2-ROUND(Rec_Lag,0)&gt;=1),INDEX($C697:$L697,1,2-ROUND(Rec_Lag,0))*(1-Sev),0)</f>
        <v>0</v>
      </c>
      <c r="E2212" s="71" t="n">
        <f aca="false">IF(AND(3&lt;=Hold_Yrs,3-ROUND(Rec_Lag,0)&gt;=1),INDEX($C697:$L697,1,3-ROUND(Rec_Lag,0))*(1-Sev),0)</f>
        <v>0</v>
      </c>
      <c r="F2212" s="71" t="n">
        <f aca="false">IF(AND(4&lt;=Hold_Yrs,4-ROUND(Rec_Lag,0)&gt;=1),INDEX($C697:$L697,1,4-ROUND(Rec_Lag,0))*(1-Sev),0)</f>
        <v>0</v>
      </c>
      <c r="G2212" s="71" t="n">
        <f aca="false">IF(AND(5&lt;=Hold_Yrs,5-ROUND(Rec_Lag,0)&gt;=1),INDEX($C697:$L697,1,5-ROUND(Rec_Lag,0))*(1-Sev),0)</f>
        <v>0</v>
      </c>
      <c r="H2212" s="71" t="n">
        <f aca="false">IF(AND(6&lt;=Hold_Yrs,6-ROUND(Rec_Lag,0)&gt;=1),INDEX($C697:$L697,1,6-ROUND(Rec_Lag,0))*(1-Sev),0)</f>
        <v>0</v>
      </c>
      <c r="I2212" s="71" t="n">
        <f aca="false">IF(AND(7&lt;=Hold_Yrs,7-ROUND(Rec_Lag,0)&gt;=1),INDEX($C697:$L697,1,7-ROUND(Rec_Lag,0))*(1-Sev),0)</f>
        <v>0</v>
      </c>
      <c r="J2212" s="71" t="n">
        <f aca="false">IF(AND(8&lt;=Hold_Yrs,8-ROUND(Rec_Lag,0)&gt;=1),INDEX($C697:$L697,1,8-ROUND(Rec_Lag,0))*(1-Sev),0)</f>
        <v>0</v>
      </c>
      <c r="K2212" s="71" t="n">
        <f aca="false">IF(AND(9&lt;=Hold_Yrs,9-ROUND(Rec_Lag,0)&gt;=1),INDEX($C697:$L697,1,9-ROUND(Rec_Lag,0))*(1-Sev),0)</f>
        <v>0</v>
      </c>
      <c r="L2212" s="71" t="n">
        <f aca="false">IF(AND(10&lt;=Hold_Yrs,10-ROUND(Rec_Lag,0)&gt;=1),INDEX($C697:$L697,1,10-ROUND(Rec_Lag,0))*(1-Sev),0)</f>
        <v>0</v>
      </c>
    </row>
    <row r="2213" customFormat="false" ht="15" hidden="false" customHeight="false" outlineLevel="0" collapsed="false">
      <c r="B2213" s="102" t="n">
        <f aca="false">'Loan Tape'!$A88</f>
        <v>0</v>
      </c>
      <c r="C2213" s="99" t="n">
        <f aca="false">IF(AND(1&lt;=Hold_Yrs,1-ROUND(Rec_Lag,0)&gt;=1),INDEX($C698:$L698,1,1-ROUND(Rec_Lag,0))*(1-Sev),0)</f>
        <v>0</v>
      </c>
      <c r="D2213" s="99" t="n">
        <f aca="false">IF(AND(2&lt;=Hold_Yrs,2-ROUND(Rec_Lag,0)&gt;=1),INDEX($C698:$L698,1,2-ROUND(Rec_Lag,0))*(1-Sev),0)</f>
        <v>0</v>
      </c>
      <c r="E2213" s="99" t="n">
        <f aca="false">IF(AND(3&lt;=Hold_Yrs,3-ROUND(Rec_Lag,0)&gt;=1),INDEX($C698:$L698,1,3-ROUND(Rec_Lag,0))*(1-Sev),0)</f>
        <v>0</v>
      </c>
      <c r="F2213" s="99" t="n">
        <f aca="false">IF(AND(4&lt;=Hold_Yrs,4-ROUND(Rec_Lag,0)&gt;=1),INDEX($C698:$L698,1,4-ROUND(Rec_Lag,0))*(1-Sev),0)</f>
        <v>0</v>
      </c>
      <c r="G2213" s="99" t="n">
        <f aca="false">IF(AND(5&lt;=Hold_Yrs,5-ROUND(Rec_Lag,0)&gt;=1),INDEX($C698:$L698,1,5-ROUND(Rec_Lag,0))*(1-Sev),0)</f>
        <v>0</v>
      </c>
      <c r="H2213" s="99" t="n">
        <f aca="false">IF(AND(6&lt;=Hold_Yrs,6-ROUND(Rec_Lag,0)&gt;=1),INDEX($C698:$L698,1,6-ROUND(Rec_Lag,0))*(1-Sev),0)</f>
        <v>0</v>
      </c>
      <c r="I2213" s="99" t="n">
        <f aca="false">IF(AND(7&lt;=Hold_Yrs,7-ROUND(Rec_Lag,0)&gt;=1),INDEX($C698:$L698,1,7-ROUND(Rec_Lag,0))*(1-Sev),0)</f>
        <v>0</v>
      </c>
      <c r="J2213" s="99" t="n">
        <f aca="false">IF(AND(8&lt;=Hold_Yrs,8-ROUND(Rec_Lag,0)&gt;=1),INDEX($C698:$L698,1,8-ROUND(Rec_Lag,0))*(1-Sev),0)</f>
        <v>0</v>
      </c>
      <c r="K2213" s="99" t="n">
        <f aca="false">IF(AND(9&lt;=Hold_Yrs,9-ROUND(Rec_Lag,0)&gt;=1),INDEX($C698:$L698,1,9-ROUND(Rec_Lag,0))*(1-Sev),0)</f>
        <v>0</v>
      </c>
      <c r="L2213" s="99" t="n">
        <f aca="false">IF(AND(10&lt;=Hold_Yrs,10-ROUND(Rec_Lag,0)&gt;=1),INDEX($C698:$L698,1,10-ROUND(Rec_Lag,0))*(1-Sev),0)</f>
        <v>0</v>
      </c>
    </row>
    <row r="2214" customFormat="false" ht="15" hidden="false" customHeight="false" outlineLevel="0" collapsed="false">
      <c r="B2214" s="108" t="n">
        <f aca="false">'Loan Tape'!$A89</f>
        <v>0</v>
      </c>
      <c r="C2214" s="71" t="n">
        <f aca="false">IF(AND(1&lt;=Hold_Yrs,1-ROUND(Rec_Lag,0)&gt;=1),INDEX($C699:$L699,1,1-ROUND(Rec_Lag,0))*(1-Sev),0)</f>
        <v>0</v>
      </c>
      <c r="D2214" s="71" t="n">
        <f aca="false">IF(AND(2&lt;=Hold_Yrs,2-ROUND(Rec_Lag,0)&gt;=1),INDEX($C699:$L699,1,2-ROUND(Rec_Lag,0))*(1-Sev),0)</f>
        <v>0</v>
      </c>
      <c r="E2214" s="71" t="n">
        <f aca="false">IF(AND(3&lt;=Hold_Yrs,3-ROUND(Rec_Lag,0)&gt;=1),INDEX($C699:$L699,1,3-ROUND(Rec_Lag,0))*(1-Sev),0)</f>
        <v>0</v>
      </c>
      <c r="F2214" s="71" t="n">
        <f aca="false">IF(AND(4&lt;=Hold_Yrs,4-ROUND(Rec_Lag,0)&gt;=1),INDEX($C699:$L699,1,4-ROUND(Rec_Lag,0))*(1-Sev),0)</f>
        <v>0</v>
      </c>
      <c r="G2214" s="71" t="n">
        <f aca="false">IF(AND(5&lt;=Hold_Yrs,5-ROUND(Rec_Lag,0)&gt;=1),INDEX($C699:$L699,1,5-ROUND(Rec_Lag,0))*(1-Sev),0)</f>
        <v>0</v>
      </c>
      <c r="H2214" s="71" t="n">
        <f aca="false">IF(AND(6&lt;=Hold_Yrs,6-ROUND(Rec_Lag,0)&gt;=1),INDEX($C699:$L699,1,6-ROUND(Rec_Lag,0))*(1-Sev),0)</f>
        <v>0</v>
      </c>
      <c r="I2214" s="71" t="n">
        <f aca="false">IF(AND(7&lt;=Hold_Yrs,7-ROUND(Rec_Lag,0)&gt;=1),INDEX($C699:$L699,1,7-ROUND(Rec_Lag,0))*(1-Sev),0)</f>
        <v>0</v>
      </c>
      <c r="J2214" s="71" t="n">
        <f aca="false">IF(AND(8&lt;=Hold_Yrs,8-ROUND(Rec_Lag,0)&gt;=1),INDEX($C699:$L699,1,8-ROUND(Rec_Lag,0))*(1-Sev),0)</f>
        <v>0</v>
      </c>
      <c r="K2214" s="71" t="n">
        <f aca="false">IF(AND(9&lt;=Hold_Yrs,9-ROUND(Rec_Lag,0)&gt;=1),INDEX($C699:$L699,1,9-ROUND(Rec_Lag,0))*(1-Sev),0)</f>
        <v>0</v>
      </c>
      <c r="L2214" s="71" t="n">
        <f aca="false">IF(AND(10&lt;=Hold_Yrs,10-ROUND(Rec_Lag,0)&gt;=1),INDEX($C699:$L699,1,10-ROUND(Rec_Lag,0))*(1-Sev),0)</f>
        <v>0</v>
      </c>
    </row>
    <row r="2215" customFormat="false" ht="15" hidden="false" customHeight="false" outlineLevel="0" collapsed="false">
      <c r="B2215" s="102" t="n">
        <f aca="false">'Loan Tape'!$A90</f>
        <v>0</v>
      </c>
      <c r="C2215" s="99" t="n">
        <f aca="false">IF(AND(1&lt;=Hold_Yrs,1-ROUND(Rec_Lag,0)&gt;=1),INDEX($C700:$L700,1,1-ROUND(Rec_Lag,0))*(1-Sev),0)</f>
        <v>0</v>
      </c>
      <c r="D2215" s="99" t="n">
        <f aca="false">IF(AND(2&lt;=Hold_Yrs,2-ROUND(Rec_Lag,0)&gt;=1),INDEX($C700:$L700,1,2-ROUND(Rec_Lag,0))*(1-Sev),0)</f>
        <v>0</v>
      </c>
      <c r="E2215" s="99" t="n">
        <f aca="false">IF(AND(3&lt;=Hold_Yrs,3-ROUND(Rec_Lag,0)&gt;=1),INDEX($C700:$L700,1,3-ROUND(Rec_Lag,0))*(1-Sev),0)</f>
        <v>0</v>
      </c>
      <c r="F2215" s="99" t="n">
        <f aca="false">IF(AND(4&lt;=Hold_Yrs,4-ROUND(Rec_Lag,0)&gt;=1),INDEX($C700:$L700,1,4-ROUND(Rec_Lag,0))*(1-Sev),0)</f>
        <v>0</v>
      </c>
      <c r="G2215" s="99" t="n">
        <f aca="false">IF(AND(5&lt;=Hold_Yrs,5-ROUND(Rec_Lag,0)&gt;=1),INDEX($C700:$L700,1,5-ROUND(Rec_Lag,0))*(1-Sev),0)</f>
        <v>0</v>
      </c>
      <c r="H2215" s="99" t="n">
        <f aca="false">IF(AND(6&lt;=Hold_Yrs,6-ROUND(Rec_Lag,0)&gt;=1),INDEX($C700:$L700,1,6-ROUND(Rec_Lag,0))*(1-Sev),0)</f>
        <v>0</v>
      </c>
      <c r="I2215" s="99" t="n">
        <f aca="false">IF(AND(7&lt;=Hold_Yrs,7-ROUND(Rec_Lag,0)&gt;=1),INDEX($C700:$L700,1,7-ROUND(Rec_Lag,0))*(1-Sev),0)</f>
        <v>0</v>
      </c>
      <c r="J2215" s="99" t="n">
        <f aca="false">IF(AND(8&lt;=Hold_Yrs,8-ROUND(Rec_Lag,0)&gt;=1),INDEX($C700:$L700,1,8-ROUND(Rec_Lag,0))*(1-Sev),0)</f>
        <v>0</v>
      </c>
      <c r="K2215" s="99" t="n">
        <f aca="false">IF(AND(9&lt;=Hold_Yrs,9-ROUND(Rec_Lag,0)&gt;=1),INDEX($C700:$L700,1,9-ROUND(Rec_Lag,0))*(1-Sev),0)</f>
        <v>0</v>
      </c>
      <c r="L2215" s="99" t="n">
        <f aca="false">IF(AND(10&lt;=Hold_Yrs,10-ROUND(Rec_Lag,0)&gt;=1),INDEX($C700:$L700,1,10-ROUND(Rec_Lag,0))*(1-Sev),0)</f>
        <v>0</v>
      </c>
    </row>
    <row r="2216" customFormat="false" ht="15" hidden="false" customHeight="false" outlineLevel="0" collapsed="false">
      <c r="B2216" s="108" t="n">
        <f aca="false">'Loan Tape'!$A91</f>
        <v>0</v>
      </c>
      <c r="C2216" s="71" t="n">
        <f aca="false">IF(AND(1&lt;=Hold_Yrs,1-ROUND(Rec_Lag,0)&gt;=1),INDEX($C701:$L701,1,1-ROUND(Rec_Lag,0))*(1-Sev),0)</f>
        <v>0</v>
      </c>
      <c r="D2216" s="71" t="n">
        <f aca="false">IF(AND(2&lt;=Hold_Yrs,2-ROUND(Rec_Lag,0)&gt;=1),INDEX($C701:$L701,1,2-ROUND(Rec_Lag,0))*(1-Sev),0)</f>
        <v>0</v>
      </c>
      <c r="E2216" s="71" t="n">
        <f aca="false">IF(AND(3&lt;=Hold_Yrs,3-ROUND(Rec_Lag,0)&gt;=1),INDEX($C701:$L701,1,3-ROUND(Rec_Lag,0))*(1-Sev),0)</f>
        <v>0</v>
      </c>
      <c r="F2216" s="71" t="n">
        <f aca="false">IF(AND(4&lt;=Hold_Yrs,4-ROUND(Rec_Lag,0)&gt;=1),INDEX($C701:$L701,1,4-ROUND(Rec_Lag,0))*(1-Sev),0)</f>
        <v>0</v>
      </c>
      <c r="G2216" s="71" t="n">
        <f aca="false">IF(AND(5&lt;=Hold_Yrs,5-ROUND(Rec_Lag,0)&gt;=1),INDEX($C701:$L701,1,5-ROUND(Rec_Lag,0))*(1-Sev),0)</f>
        <v>0</v>
      </c>
      <c r="H2216" s="71" t="n">
        <f aca="false">IF(AND(6&lt;=Hold_Yrs,6-ROUND(Rec_Lag,0)&gt;=1),INDEX($C701:$L701,1,6-ROUND(Rec_Lag,0))*(1-Sev),0)</f>
        <v>0</v>
      </c>
      <c r="I2216" s="71" t="n">
        <f aca="false">IF(AND(7&lt;=Hold_Yrs,7-ROUND(Rec_Lag,0)&gt;=1),INDEX($C701:$L701,1,7-ROUND(Rec_Lag,0))*(1-Sev),0)</f>
        <v>0</v>
      </c>
      <c r="J2216" s="71" t="n">
        <f aca="false">IF(AND(8&lt;=Hold_Yrs,8-ROUND(Rec_Lag,0)&gt;=1),INDEX($C701:$L701,1,8-ROUND(Rec_Lag,0))*(1-Sev),0)</f>
        <v>0</v>
      </c>
      <c r="K2216" s="71" t="n">
        <f aca="false">IF(AND(9&lt;=Hold_Yrs,9-ROUND(Rec_Lag,0)&gt;=1),INDEX($C701:$L701,1,9-ROUND(Rec_Lag,0))*(1-Sev),0)</f>
        <v>0</v>
      </c>
      <c r="L2216" s="71" t="n">
        <f aca="false">IF(AND(10&lt;=Hold_Yrs,10-ROUND(Rec_Lag,0)&gt;=1),INDEX($C701:$L701,1,10-ROUND(Rec_Lag,0))*(1-Sev),0)</f>
        <v>0</v>
      </c>
    </row>
    <row r="2217" customFormat="false" ht="15" hidden="false" customHeight="false" outlineLevel="0" collapsed="false">
      <c r="B2217" s="102" t="n">
        <f aca="false">'Loan Tape'!$A92</f>
        <v>0</v>
      </c>
      <c r="C2217" s="99" t="n">
        <f aca="false">IF(AND(1&lt;=Hold_Yrs,1-ROUND(Rec_Lag,0)&gt;=1),INDEX($C702:$L702,1,1-ROUND(Rec_Lag,0))*(1-Sev),0)</f>
        <v>0</v>
      </c>
      <c r="D2217" s="99" t="n">
        <f aca="false">IF(AND(2&lt;=Hold_Yrs,2-ROUND(Rec_Lag,0)&gt;=1),INDEX($C702:$L702,1,2-ROUND(Rec_Lag,0))*(1-Sev),0)</f>
        <v>0</v>
      </c>
      <c r="E2217" s="99" t="n">
        <f aca="false">IF(AND(3&lt;=Hold_Yrs,3-ROUND(Rec_Lag,0)&gt;=1),INDEX($C702:$L702,1,3-ROUND(Rec_Lag,0))*(1-Sev),0)</f>
        <v>0</v>
      </c>
      <c r="F2217" s="99" t="n">
        <f aca="false">IF(AND(4&lt;=Hold_Yrs,4-ROUND(Rec_Lag,0)&gt;=1),INDEX($C702:$L702,1,4-ROUND(Rec_Lag,0))*(1-Sev),0)</f>
        <v>0</v>
      </c>
      <c r="G2217" s="99" t="n">
        <f aca="false">IF(AND(5&lt;=Hold_Yrs,5-ROUND(Rec_Lag,0)&gt;=1),INDEX($C702:$L702,1,5-ROUND(Rec_Lag,0))*(1-Sev),0)</f>
        <v>0</v>
      </c>
      <c r="H2217" s="99" t="n">
        <f aca="false">IF(AND(6&lt;=Hold_Yrs,6-ROUND(Rec_Lag,0)&gt;=1),INDEX($C702:$L702,1,6-ROUND(Rec_Lag,0))*(1-Sev),0)</f>
        <v>0</v>
      </c>
      <c r="I2217" s="99" t="n">
        <f aca="false">IF(AND(7&lt;=Hold_Yrs,7-ROUND(Rec_Lag,0)&gt;=1),INDEX($C702:$L702,1,7-ROUND(Rec_Lag,0))*(1-Sev),0)</f>
        <v>0</v>
      </c>
      <c r="J2217" s="99" t="n">
        <f aca="false">IF(AND(8&lt;=Hold_Yrs,8-ROUND(Rec_Lag,0)&gt;=1),INDEX($C702:$L702,1,8-ROUND(Rec_Lag,0))*(1-Sev),0)</f>
        <v>0</v>
      </c>
      <c r="K2217" s="99" t="n">
        <f aca="false">IF(AND(9&lt;=Hold_Yrs,9-ROUND(Rec_Lag,0)&gt;=1),INDEX($C702:$L702,1,9-ROUND(Rec_Lag,0))*(1-Sev),0)</f>
        <v>0</v>
      </c>
      <c r="L2217" s="99" t="n">
        <f aca="false">IF(AND(10&lt;=Hold_Yrs,10-ROUND(Rec_Lag,0)&gt;=1),INDEX($C702:$L702,1,10-ROUND(Rec_Lag,0))*(1-Sev),0)</f>
        <v>0</v>
      </c>
    </row>
    <row r="2218" customFormat="false" ht="15" hidden="false" customHeight="false" outlineLevel="0" collapsed="false">
      <c r="B2218" s="108" t="n">
        <f aca="false">'Loan Tape'!$A93</f>
        <v>0</v>
      </c>
      <c r="C2218" s="71" t="n">
        <f aca="false">IF(AND(1&lt;=Hold_Yrs,1-ROUND(Rec_Lag,0)&gt;=1),INDEX($C703:$L703,1,1-ROUND(Rec_Lag,0))*(1-Sev),0)</f>
        <v>0</v>
      </c>
      <c r="D2218" s="71" t="n">
        <f aca="false">IF(AND(2&lt;=Hold_Yrs,2-ROUND(Rec_Lag,0)&gt;=1),INDEX($C703:$L703,1,2-ROUND(Rec_Lag,0))*(1-Sev),0)</f>
        <v>0</v>
      </c>
      <c r="E2218" s="71" t="n">
        <f aca="false">IF(AND(3&lt;=Hold_Yrs,3-ROUND(Rec_Lag,0)&gt;=1),INDEX($C703:$L703,1,3-ROUND(Rec_Lag,0))*(1-Sev),0)</f>
        <v>0</v>
      </c>
      <c r="F2218" s="71" t="n">
        <f aca="false">IF(AND(4&lt;=Hold_Yrs,4-ROUND(Rec_Lag,0)&gt;=1),INDEX($C703:$L703,1,4-ROUND(Rec_Lag,0))*(1-Sev),0)</f>
        <v>0</v>
      </c>
      <c r="G2218" s="71" t="n">
        <f aca="false">IF(AND(5&lt;=Hold_Yrs,5-ROUND(Rec_Lag,0)&gt;=1),INDEX($C703:$L703,1,5-ROUND(Rec_Lag,0))*(1-Sev),0)</f>
        <v>0</v>
      </c>
      <c r="H2218" s="71" t="n">
        <f aca="false">IF(AND(6&lt;=Hold_Yrs,6-ROUND(Rec_Lag,0)&gt;=1),INDEX($C703:$L703,1,6-ROUND(Rec_Lag,0))*(1-Sev),0)</f>
        <v>0</v>
      </c>
      <c r="I2218" s="71" t="n">
        <f aca="false">IF(AND(7&lt;=Hold_Yrs,7-ROUND(Rec_Lag,0)&gt;=1),INDEX($C703:$L703,1,7-ROUND(Rec_Lag,0))*(1-Sev),0)</f>
        <v>0</v>
      </c>
      <c r="J2218" s="71" t="n">
        <f aca="false">IF(AND(8&lt;=Hold_Yrs,8-ROUND(Rec_Lag,0)&gt;=1),INDEX($C703:$L703,1,8-ROUND(Rec_Lag,0))*(1-Sev),0)</f>
        <v>0</v>
      </c>
      <c r="K2218" s="71" t="n">
        <f aca="false">IF(AND(9&lt;=Hold_Yrs,9-ROUND(Rec_Lag,0)&gt;=1),INDEX($C703:$L703,1,9-ROUND(Rec_Lag,0))*(1-Sev),0)</f>
        <v>0</v>
      </c>
      <c r="L2218" s="71" t="n">
        <f aca="false">IF(AND(10&lt;=Hold_Yrs,10-ROUND(Rec_Lag,0)&gt;=1),INDEX($C703:$L703,1,10-ROUND(Rec_Lag,0))*(1-Sev),0)</f>
        <v>0</v>
      </c>
    </row>
    <row r="2219" customFormat="false" ht="15" hidden="false" customHeight="false" outlineLevel="0" collapsed="false">
      <c r="B2219" s="102" t="n">
        <f aca="false">'Loan Tape'!$A94</f>
        <v>0</v>
      </c>
      <c r="C2219" s="99" t="n">
        <f aca="false">IF(AND(1&lt;=Hold_Yrs,1-ROUND(Rec_Lag,0)&gt;=1),INDEX($C704:$L704,1,1-ROUND(Rec_Lag,0))*(1-Sev),0)</f>
        <v>0</v>
      </c>
      <c r="D2219" s="99" t="n">
        <f aca="false">IF(AND(2&lt;=Hold_Yrs,2-ROUND(Rec_Lag,0)&gt;=1),INDEX($C704:$L704,1,2-ROUND(Rec_Lag,0))*(1-Sev),0)</f>
        <v>0</v>
      </c>
      <c r="E2219" s="99" t="n">
        <f aca="false">IF(AND(3&lt;=Hold_Yrs,3-ROUND(Rec_Lag,0)&gt;=1),INDEX($C704:$L704,1,3-ROUND(Rec_Lag,0))*(1-Sev),0)</f>
        <v>0</v>
      </c>
      <c r="F2219" s="99" t="n">
        <f aca="false">IF(AND(4&lt;=Hold_Yrs,4-ROUND(Rec_Lag,0)&gt;=1),INDEX($C704:$L704,1,4-ROUND(Rec_Lag,0))*(1-Sev),0)</f>
        <v>0</v>
      </c>
      <c r="G2219" s="99" t="n">
        <f aca="false">IF(AND(5&lt;=Hold_Yrs,5-ROUND(Rec_Lag,0)&gt;=1),INDEX($C704:$L704,1,5-ROUND(Rec_Lag,0))*(1-Sev),0)</f>
        <v>0</v>
      </c>
      <c r="H2219" s="99" t="n">
        <f aca="false">IF(AND(6&lt;=Hold_Yrs,6-ROUND(Rec_Lag,0)&gt;=1),INDEX($C704:$L704,1,6-ROUND(Rec_Lag,0))*(1-Sev),0)</f>
        <v>0</v>
      </c>
      <c r="I2219" s="99" t="n">
        <f aca="false">IF(AND(7&lt;=Hold_Yrs,7-ROUND(Rec_Lag,0)&gt;=1),INDEX($C704:$L704,1,7-ROUND(Rec_Lag,0))*(1-Sev),0)</f>
        <v>0</v>
      </c>
      <c r="J2219" s="99" t="n">
        <f aca="false">IF(AND(8&lt;=Hold_Yrs,8-ROUND(Rec_Lag,0)&gt;=1),INDEX($C704:$L704,1,8-ROUND(Rec_Lag,0))*(1-Sev),0)</f>
        <v>0</v>
      </c>
      <c r="K2219" s="99" t="n">
        <f aca="false">IF(AND(9&lt;=Hold_Yrs,9-ROUND(Rec_Lag,0)&gt;=1),INDEX($C704:$L704,1,9-ROUND(Rec_Lag,0))*(1-Sev),0)</f>
        <v>0</v>
      </c>
      <c r="L2219" s="99" t="n">
        <f aca="false">IF(AND(10&lt;=Hold_Yrs,10-ROUND(Rec_Lag,0)&gt;=1),INDEX($C704:$L704,1,10-ROUND(Rec_Lag,0))*(1-Sev),0)</f>
        <v>0</v>
      </c>
    </row>
    <row r="2220" customFormat="false" ht="15" hidden="false" customHeight="false" outlineLevel="0" collapsed="false">
      <c r="B2220" s="108" t="n">
        <f aca="false">'Loan Tape'!$A95</f>
        <v>0</v>
      </c>
      <c r="C2220" s="71" t="n">
        <f aca="false">IF(AND(1&lt;=Hold_Yrs,1-ROUND(Rec_Lag,0)&gt;=1),INDEX($C705:$L705,1,1-ROUND(Rec_Lag,0))*(1-Sev),0)</f>
        <v>0</v>
      </c>
      <c r="D2220" s="71" t="n">
        <f aca="false">IF(AND(2&lt;=Hold_Yrs,2-ROUND(Rec_Lag,0)&gt;=1),INDEX($C705:$L705,1,2-ROUND(Rec_Lag,0))*(1-Sev),0)</f>
        <v>0</v>
      </c>
      <c r="E2220" s="71" t="n">
        <f aca="false">IF(AND(3&lt;=Hold_Yrs,3-ROUND(Rec_Lag,0)&gt;=1),INDEX($C705:$L705,1,3-ROUND(Rec_Lag,0))*(1-Sev),0)</f>
        <v>0</v>
      </c>
      <c r="F2220" s="71" t="n">
        <f aca="false">IF(AND(4&lt;=Hold_Yrs,4-ROUND(Rec_Lag,0)&gt;=1),INDEX($C705:$L705,1,4-ROUND(Rec_Lag,0))*(1-Sev),0)</f>
        <v>0</v>
      </c>
      <c r="G2220" s="71" t="n">
        <f aca="false">IF(AND(5&lt;=Hold_Yrs,5-ROUND(Rec_Lag,0)&gt;=1),INDEX($C705:$L705,1,5-ROUND(Rec_Lag,0))*(1-Sev),0)</f>
        <v>0</v>
      </c>
      <c r="H2220" s="71" t="n">
        <f aca="false">IF(AND(6&lt;=Hold_Yrs,6-ROUND(Rec_Lag,0)&gt;=1),INDEX($C705:$L705,1,6-ROUND(Rec_Lag,0))*(1-Sev),0)</f>
        <v>0</v>
      </c>
      <c r="I2220" s="71" t="n">
        <f aca="false">IF(AND(7&lt;=Hold_Yrs,7-ROUND(Rec_Lag,0)&gt;=1),INDEX($C705:$L705,1,7-ROUND(Rec_Lag,0))*(1-Sev),0)</f>
        <v>0</v>
      </c>
      <c r="J2220" s="71" t="n">
        <f aca="false">IF(AND(8&lt;=Hold_Yrs,8-ROUND(Rec_Lag,0)&gt;=1),INDEX($C705:$L705,1,8-ROUND(Rec_Lag,0))*(1-Sev),0)</f>
        <v>0</v>
      </c>
      <c r="K2220" s="71" t="n">
        <f aca="false">IF(AND(9&lt;=Hold_Yrs,9-ROUND(Rec_Lag,0)&gt;=1),INDEX($C705:$L705,1,9-ROUND(Rec_Lag,0))*(1-Sev),0)</f>
        <v>0</v>
      </c>
      <c r="L2220" s="71" t="n">
        <f aca="false">IF(AND(10&lt;=Hold_Yrs,10-ROUND(Rec_Lag,0)&gt;=1),INDEX($C705:$L705,1,10-ROUND(Rec_Lag,0))*(1-Sev),0)</f>
        <v>0</v>
      </c>
    </row>
    <row r="2221" customFormat="false" ht="15" hidden="false" customHeight="false" outlineLevel="0" collapsed="false">
      <c r="B2221" s="102" t="n">
        <f aca="false">'Loan Tape'!$A96</f>
        <v>0</v>
      </c>
      <c r="C2221" s="99" t="n">
        <f aca="false">IF(AND(1&lt;=Hold_Yrs,1-ROUND(Rec_Lag,0)&gt;=1),INDEX($C706:$L706,1,1-ROUND(Rec_Lag,0))*(1-Sev),0)</f>
        <v>0</v>
      </c>
      <c r="D2221" s="99" t="n">
        <f aca="false">IF(AND(2&lt;=Hold_Yrs,2-ROUND(Rec_Lag,0)&gt;=1),INDEX($C706:$L706,1,2-ROUND(Rec_Lag,0))*(1-Sev),0)</f>
        <v>0</v>
      </c>
      <c r="E2221" s="99" t="n">
        <f aca="false">IF(AND(3&lt;=Hold_Yrs,3-ROUND(Rec_Lag,0)&gt;=1),INDEX($C706:$L706,1,3-ROUND(Rec_Lag,0))*(1-Sev),0)</f>
        <v>0</v>
      </c>
      <c r="F2221" s="99" t="n">
        <f aca="false">IF(AND(4&lt;=Hold_Yrs,4-ROUND(Rec_Lag,0)&gt;=1),INDEX($C706:$L706,1,4-ROUND(Rec_Lag,0))*(1-Sev),0)</f>
        <v>0</v>
      </c>
      <c r="G2221" s="99" t="n">
        <f aca="false">IF(AND(5&lt;=Hold_Yrs,5-ROUND(Rec_Lag,0)&gt;=1),INDEX($C706:$L706,1,5-ROUND(Rec_Lag,0))*(1-Sev),0)</f>
        <v>0</v>
      </c>
      <c r="H2221" s="99" t="n">
        <f aca="false">IF(AND(6&lt;=Hold_Yrs,6-ROUND(Rec_Lag,0)&gt;=1),INDEX($C706:$L706,1,6-ROUND(Rec_Lag,0))*(1-Sev),0)</f>
        <v>0</v>
      </c>
      <c r="I2221" s="99" t="n">
        <f aca="false">IF(AND(7&lt;=Hold_Yrs,7-ROUND(Rec_Lag,0)&gt;=1),INDEX($C706:$L706,1,7-ROUND(Rec_Lag,0))*(1-Sev),0)</f>
        <v>0</v>
      </c>
      <c r="J2221" s="99" t="n">
        <f aca="false">IF(AND(8&lt;=Hold_Yrs,8-ROUND(Rec_Lag,0)&gt;=1),INDEX($C706:$L706,1,8-ROUND(Rec_Lag,0))*(1-Sev),0)</f>
        <v>0</v>
      </c>
      <c r="K2221" s="99" t="n">
        <f aca="false">IF(AND(9&lt;=Hold_Yrs,9-ROUND(Rec_Lag,0)&gt;=1),INDEX($C706:$L706,1,9-ROUND(Rec_Lag,0))*(1-Sev),0)</f>
        <v>0</v>
      </c>
      <c r="L2221" s="99" t="n">
        <f aca="false">IF(AND(10&lt;=Hold_Yrs,10-ROUND(Rec_Lag,0)&gt;=1),INDEX($C706:$L706,1,10-ROUND(Rec_Lag,0))*(1-Sev),0)</f>
        <v>0</v>
      </c>
    </row>
    <row r="2222" customFormat="false" ht="15" hidden="false" customHeight="false" outlineLevel="0" collapsed="false">
      <c r="B2222" s="108" t="n">
        <f aca="false">'Loan Tape'!$A97</f>
        <v>0</v>
      </c>
      <c r="C2222" s="71" t="n">
        <f aca="false">IF(AND(1&lt;=Hold_Yrs,1-ROUND(Rec_Lag,0)&gt;=1),INDEX($C707:$L707,1,1-ROUND(Rec_Lag,0))*(1-Sev),0)</f>
        <v>0</v>
      </c>
      <c r="D2222" s="71" t="n">
        <f aca="false">IF(AND(2&lt;=Hold_Yrs,2-ROUND(Rec_Lag,0)&gt;=1),INDEX($C707:$L707,1,2-ROUND(Rec_Lag,0))*(1-Sev),0)</f>
        <v>0</v>
      </c>
      <c r="E2222" s="71" t="n">
        <f aca="false">IF(AND(3&lt;=Hold_Yrs,3-ROUND(Rec_Lag,0)&gt;=1),INDEX($C707:$L707,1,3-ROUND(Rec_Lag,0))*(1-Sev),0)</f>
        <v>0</v>
      </c>
      <c r="F2222" s="71" t="n">
        <f aca="false">IF(AND(4&lt;=Hold_Yrs,4-ROUND(Rec_Lag,0)&gt;=1),INDEX($C707:$L707,1,4-ROUND(Rec_Lag,0))*(1-Sev),0)</f>
        <v>0</v>
      </c>
      <c r="G2222" s="71" t="n">
        <f aca="false">IF(AND(5&lt;=Hold_Yrs,5-ROUND(Rec_Lag,0)&gt;=1),INDEX($C707:$L707,1,5-ROUND(Rec_Lag,0))*(1-Sev),0)</f>
        <v>0</v>
      </c>
      <c r="H2222" s="71" t="n">
        <f aca="false">IF(AND(6&lt;=Hold_Yrs,6-ROUND(Rec_Lag,0)&gt;=1),INDEX($C707:$L707,1,6-ROUND(Rec_Lag,0))*(1-Sev),0)</f>
        <v>0</v>
      </c>
      <c r="I2222" s="71" t="n">
        <f aca="false">IF(AND(7&lt;=Hold_Yrs,7-ROUND(Rec_Lag,0)&gt;=1),INDEX($C707:$L707,1,7-ROUND(Rec_Lag,0))*(1-Sev),0)</f>
        <v>0</v>
      </c>
      <c r="J2222" s="71" t="n">
        <f aca="false">IF(AND(8&lt;=Hold_Yrs,8-ROUND(Rec_Lag,0)&gt;=1),INDEX($C707:$L707,1,8-ROUND(Rec_Lag,0))*(1-Sev),0)</f>
        <v>0</v>
      </c>
      <c r="K2222" s="71" t="n">
        <f aca="false">IF(AND(9&lt;=Hold_Yrs,9-ROUND(Rec_Lag,0)&gt;=1),INDEX($C707:$L707,1,9-ROUND(Rec_Lag,0))*(1-Sev),0)</f>
        <v>0</v>
      </c>
      <c r="L2222" s="71" t="n">
        <f aca="false">IF(AND(10&lt;=Hold_Yrs,10-ROUND(Rec_Lag,0)&gt;=1),INDEX($C707:$L707,1,10-ROUND(Rec_Lag,0))*(1-Sev),0)</f>
        <v>0</v>
      </c>
    </row>
    <row r="2223" customFormat="false" ht="15" hidden="false" customHeight="false" outlineLevel="0" collapsed="false">
      <c r="B2223" s="102" t="n">
        <f aca="false">'Loan Tape'!$A98</f>
        <v>0</v>
      </c>
      <c r="C2223" s="99" t="n">
        <f aca="false">IF(AND(1&lt;=Hold_Yrs,1-ROUND(Rec_Lag,0)&gt;=1),INDEX($C708:$L708,1,1-ROUND(Rec_Lag,0))*(1-Sev),0)</f>
        <v>0</v>
      </c>
      <c r="D2223" s="99" t="n">
        <f aca="false">IF(AND(2&lt;=Hold_Yrs,2-ROUND(Rec_Lag,0)&gt;=1),INDEX($C708:$L708,1,2-ROUND(Rec_Lag,0))*(1-Sev),0)</f>
        <v>0</v>
      </c>
      <c r="E2223" s="99" t="n">
        <f aca="false">IF(AND(3&lt;=Hold_Yrs,3-ROUND(Rec_Lag,0)&gt;=1),INDEX($C708:$L708,1,3-ROUND(Rec_Lag,0))*(1-Sev),0)</f>
        <v>0</v>
      </c>
      <c r="F2223" s="99" t="n">
        <f aca="false">IF(AND(4&lt;=Hold_Yrs,4-ROUND(Rec_Lag,0)&gt;=1),INDEX($C708:$L708,1,4-ROUND(Rec_Lag,0))*(1-Sev),0)</f>
        <v>0</v>
      </c>
      <c r="G2223" s="99" t="n">
        <f aca="false">IF(AND(5&lt;=Hold_Yrs,5-ROUND(Rec_Lag,0)&gt;=1),INDEX($C708:$L708,1,5-ROUND(Rec_Lag,0))*(1-Sev),0)</f>
        <v>0</v>
      </c>
      <c r="H2223" s="99" t="n">
        <f aca="false">IF(AND(6&lt;=Hold_Yrs,6-ROUND(Rec_Lag,0)&gt;=1),INDEX($C708:$L708,1,6-ROUND(Rec_Lag,0))*(1-Sev),0)</f>
        <v>0</v>
      </c>
      <c r="I2223" s="99" t="n">
        <f aca="false">IF(AND(7&lt;=Hold_Yrs,7-ROUND(Rec_Lag,0)&gt;=1),INDEX($C708:$L708,1,7-ROUND(Rec_Lag,0))*(1-Sev),0)</f>
        <v>0</v>
      </c>
      <c r="J2223" s="99" t="n">
        <f aca="false">IF(AND(8&lt;=Hold_Yrs,8-ROUND(Rec_Lag,0)&gt;=1),INDEX($C708:$L708,1,8-ROUND(Rec_Lag,0))*(1-Sev),0)</f>
        <v>0</v>
      </c>
      <c r="K2223" s="99" t="n">
        <f aca="false">IF(AND(9&lt;=Hold_Yrs,9-ROUND(Rec_Lag,0)&gt;=1),INDEX($C708:$L708,1,9-ROUND(Rec_Lag,0))*(1-Sev),0)</f>
        <v>0</v>
      </c>
      <c r="L2223" s="99" t="n">
        <f aca="false">IF(AND(10&lt;=Hold_Yrs,10-ROUND(Rec_Lag,0)&gt;=1),INDEX($C708:$L708,1,10-ROUND(Rec_Lag,0))*(1-Sev),0)</f>
        <v>0</v>
      </c>
    </row>
    <row r="2224" customFormat="false" ht="15" hidden="false" customHeight="false" outlineLevel="0" collapsed="false">
      <c r="B2224" s="108" t="n">
        <f aca="false">'Loan Tape'!$A99</f>
        <v>0</v>
      </c>
      <c r="C2224" s="71" t="n">
        <f aca="false">IF(AND(1&lt;=Hold_Yrs,1-ROUND(Rec_Lag,0)&gt;=1),INDEX($C709:$L709,1,1-ROUND(Rec_Lag,0))*(1-Sev),0)</f>
        <v>0</v>
      </c>
      <c r="D2224" s="71" t="n">
        <f aca="false">IF(AND(2&lt;=Hold_Yrs,2-ROUND(Rec_Lag,0)&gt;=1),INDEX($C709:$L709,1,2-ROUND(Rec_Lag,0))*(1-Sev),0)</f>
        <v>0</v>
      </c>
      <c r="E2224" s="71" t="n">
        <f aca="false">IF(AND(3&lt;=Hold_Yrs,3-ROUND(Rec_Lag,0)&gt;=1),INDEX($C709:$L709,1,3-ROUND(Rec_Lag,0))*(1-Sev),0)</f>
        <v>0</v>
      </c>
      <c r="F2224" s="71" t="n">
        <f aca="false">IF(AND(4&lt;=Hold_Yrs,4-ROUND(Rec_Lag,0)&gt;=1),INDEX($C709:$L709,1,4-ROUND(Rec_Lag,0))*(1-Sev),0)</f>
        <v>0</v>
      </c>
      <c r="G2224" s="71" t="n">
        <f aca="false">IF(AND(5&lt;=Hold_Yrs,5-ROUND(Rec_Lag,0)&gt;=1),INDEX($C709:$L709,1,5-ROUND(Rec_Lag,0))*(1-Sev),0)</f>
        <v>0</v>
      </c>
      <c r="H2224" s="71" t="n">
        <f aca="false">IF(AND(6&lt;=Hold_Yrs,6-ROUND(Rec_Lag,0)&gt;=1),INDEX($C709:$L709,1,6-ROUND(Rec_Lag,0))*(1-Sev),0)</f>
        <v>0</v>
      </c>
      <c r="I2224" s="71" t="n">
        <f aca="false">IF(AND(7&lt;=Hold_Yrs,7-ROUND(Rec_Lag,0)&gt;=1),INDEX($C709:$L709,1,7-ROUND(Rec_Lag,0))*(1-Sev),0)</f>
        <v>0</v>
      </c>
      <c r="J2224" s="71" t="n">
        <f aca="false">IF(AND(8&lt;=Hold_Yrs,8-ROUND(Rec_Lag,0)&gt;=1),INDEX($C709:$L709,1,8-ROUND(Rec_Lag,0))*(1-Sev),0)</f>
        <v>0</v>
      </c>
      <c r="K2224" s="71" t="n">
        <f aca="false">IF(AND(9&lt;=Hold_Yrs,9-ROUND(Rec_Lag,0)&gt;=1),INDEX($C709:$L709,1,9-ROUND(Rec_Lag,0))*(1-Sev),0)</f>
        <v>0</v>
      </c>
      <c r="L2224" s="71" t="n">
        <f aca="false">IF(AND(10&lt;=Hold_Yrs,10-ROUND(Rec_Lag,0)&gt;=1),INDEX($C709:$L709,1,10-ROUND(Rec_Lag,0))*(1-Sev),0)</f>
        <v>0</v>
      </c>
    </row>
    <row r="2225" customFormat="false" ht="15" hidden="false" customHeight="false" outlineLevel="0" collapsed="false">
      <c r="B2225" s="102" t="n">
        <f aca="false">'Loan Tape'!$A100</f>
        <v>0</v>
      </c>
      <c r="C2225" s="99" t="n">
        <f aca="false">IF(AND(1&lt;=Hold_Yrs,1-ROUND(Rec_Lag,0)&gt;=1),INDEX($C710:$L710,1,1-ROUND(Rec_Lag,0))*(1-Sev),0)</f>
        <v>0</v>
      </c>
      <c r="D2225" s="99" t="n">
        <f aca="false">IF(AND(2&lt;=Hold_Yrs,2-ROUND(Rec_Lag,0)&gt;=1),INDEX($C710:$L710,1,2-ROUND(Rec_Lag,0))*(1-Sev),0)</f>
        <v>0</v>
      </c>
      <c r="E2225" s="99" t="n">
        <f aca="false">IF(AND(3&lt;=Hold_Yrs,3-ROUND(Rec_Lag,0)&gt;=1),INDEX($C710:$L710,1,3-ROUND(Rec_Lag,0))*(1-Sev),0)</f>
        <v>0</v>
      </c>
      <c r="F2225" s="99" t="n">
        <f aca="false">IF(AND(4&lt;=Hold_Yrs,4-ROUND(Rec_Lag,0)&gt;=1),INDEX($C710:$L710,1,4-ROUND(Rec_Lag,0))*(1-Sev),0)</f>
        <v>0</v>
      </c>
      <c r="G2225" s="99" t="n">
        <f aca="false">IF(AND(5&lt;=Hold_Yrs,5-ROUND(Rec_Lag,0)&gt;=1),INDEX($C710:$L710,1,5-ROUND(Rec_Lag,0))*(1-Sev),0)</f>
        <v>0</v>
      </c>
      <c r="H2225" s="99" t="n">
        <f aca="false">IF(AND(6&lt;=Hold_Yrs,6-ROUND(Rec_Lag,0)&gt;=1),INDEX($C710:$L710,1,6-ROUND(Rec_Lag,0))*(1-Sev),0)</f>
        <v>0</v>
      </c>
      <c r="I2225" s="99" t="n">
        <f aca="false">IF(AND(7&lt;=Hold_Yrs,7-ROUND(Rec_Lag,0)&gt;=1),INDEX($C710:$L710,1,7-ROUND(Rec_Lag,0))*(1-Sev),0)</f>
        <v>0</v>
      </c>
      <c r="J2225" s="99" t="n">
        <f aca="false">IF(AND(8&lt;=Hold_Yrs,8-ROUND(Rec_Lag,0)&gt;=1),INDEX($C710:$L710,1,8-ROUND(Rec_Lag,0))*(1-Sev),0)</f>
        <v>0</v>
      </c>
      <c r="K2225" s="99" t="n">
        <f aca="false">IF(AND(9&lt;=Hold_Yrs,9-ROUND(Rec_Lag,0)&gt;=1),INDEX($C710:$L710,1,9-ROUND(Rec_Lag,0))*(1-Sev),0)</f>
        <v>0</v>
      </c>
      <c r="L2225" s="99" t="n">
        <f aca="false">IF(AND(10&lt;=Hold_Yrs,10-ROUND(Rec_Lag,0)&gt;=1),INDEX($C710:$L710,1,10-ROUND(Rec_Lag,0))*(1-Sev),0)</f>
        <v>0</v>
      </c>
    </row>
    <row r="2226" customFormat="false" ht="15" hidden="false" customHeight="false" outlineLevel="0" collapsed="false">
      <c r="B2226" s="108" t="n">
        <f aca="false">'Loan Tape'!$A101</f>
        <v>0</v>
      </c>
      <c r="C2226" s="71" t="n">
        <f aca="false">IF(AND(1&lt;=Hold_Yrs,1-ROUND(Rec_Lag,0)&gt;=1),INDEX($C711:$L711,1,1-ROUND(Rec_Lag,0))*(1-Sev),0)</f>
        <v>0</v>
      </c>
      <c r="D2226" s="71" t="n">
        <f aca="false">IF(AND(2&lt;=Hold_Yrs,2-ROUND(Rec_Lag,0)&gt;=1),INDEX($C711:$L711,1,2-ROUND(Rec_Lag,0))*(1-Sev),0)</f>
        <v>0</v>
      </c>
      <c r="E2226" s="71" t="n">
        <f aca="false">IF(AND(3&lt;=Hold_Yrs,3-ROUND(Rec_Lag,0)&gt;=1),INDEX($C711:$L711,1,3-ROUND(Rec_Lag,0))*(1-Sev),0)</f>
        <v>0</v>
      </c>
      <c r="F2226" s="71" t="n">
        <f aca="false">IF(AND(4&lt;=Hold_Yrs,4-ROUND(Rec_Lag,0)&gt;=1),INDEX($C711:$L711,1,4-ROUND(Rec_Lag,0))*(1-Sev),0)</f>
        <v>0</v>
      </c>
      <c r="G2226" s="71" t="n">
        <f aca="false">IF(AND(5&lt;=Hold_Yrs,5-ROUND(Rec_Lag,0)&gt;=1),INDEX($C711:$L711,1,5-ROUND(Rec_Lag,0))*(1-Sev),0)</f>
        <v>0</v>
      </c>
      <c r="H2226" s="71" t="n">
        <f aca="false">IF(AND(6&lt;=Hold_Yrs,6-ROUND(Rec_Lag,0)&gt;=1),INDEX($C711:$L711,1,6-ROUND(Rec_Lag,0))*(1-Sev),0)</f>
        <v>0</v>
      </c>
      <c r="I2226" s="71" t="n">
        <f aca="false">IF(AND(7&lt;=Hold_Yrs,7-ROUND(Rec_Lag,0)&gt;=1),INDEX($C711:$L711,1,7-ROUND(Rec_Lag,0))*(1-Sev),0)</f>
        <v>0</v>
      </c>
      <c r="J2226" s="71" t="n">
        <f aca="false">IF(AND(8&lt;=Hold_Yrs,8-ROUND(Rec_Lag,0)&gt;=1),INDEX($C711:$L711,1,8-ROUND(Rec_Lag,0))*(1-Sev),0)</f>
        <v>0</v>
      </c>
      <c r="K2226" s="71" t="n">
        <f aca="false">IF(AND(9&lt;=Hold_Yrs,9-ROUND(Rec_Lag,0)&gt;=1),INDEX($C711:$L711,1,9-ROUND(Rec_Lag,0))*(1-Sev),0)</f>
        <v>0</v>
      </c>
      <c r="L2226" s="71" t="n">
        <f aca="false">IF(AND(10&lt;=Hold_Yrs,10-ROUND(Rec_Lag,0)&gt;=1),INDEX($C711:$L711,1,10-ROUND(Rec_Lag,0))*(1-Sev),0)</f>
        <v>0</v>
      </c>
    </row>
    <row r="2227" customFormat="false" ht="15" hidden="false" customHeight="false" outlineLevel="0" collapsed="false">
      <c r="B2227" s="102" t="n">
        <f aca="false">'Loan Tape'!$A102</f>
        <v>0</v>
      </c>
      <c r="C2227" s="99" t="n">
        <f aca="false">IF(AND(1&lt;=Hold_Yrs,1-ROUND(Rec_Lag,0)&gt;=1),INDEX($C712:$L712,1,1-ROUND(Rec_Lag,0))*(1-Sev),0)</f>
        <v>0</v>
      </c>
      <c r="D2227" s="99" t="n">
        <f aca="false">IF(AND(2&lt;=Hold_Yrs,2-ROUND(Rec_Lag,0)&gt;=1),INDEX($C712:$L712,1,2-ROUND(Rec_Lag,0))*(1-Sev),0)</f>
        <v>0</v>
      </c>
      <c r="E2227" s="99" t="n">
        <f aca="false">IF(AND(3&lt;=Hold_Yrs,3-ROUND(Rec_Lag,0)&gt;=1),INDEX($C712:$L712,1,3-ROUND(Rec_Lag,0))*(1-Sev),0)</f>
        <v>0</v>
      </c>
      <c r="F2227" s="99" t="n">
        <f aca="false">IF(AND(4&lt;=Hold_Yrs,4-ROUND(Rec_Lag,0)&gt;=1),INDEX($C712:$L712,1,4-ROUND(Rec_Lag,0))*(1-Sev),0)</f>
        <v>0</v>
      </c>
      <c r="G2227" s="99" t="n">
        <f aca="false">IF(AND(5&lt;=Hold_Yrs,5-ROUND(Rec_Lag,0)&gt;=1),INDEX($C712:$L712,1,5-ROUND(Rec_Lag,0))*(1-Sev),0)</f>
        <v>0</v>
      </c>
      <c r="H2227" s="99" t="n">
        <f aca="false">IF(AND(6&lt;=Hold_Yrs,6-ROUND(Rec_Lag,0)&gt;=1),INDEX($C712:$L712,1,6-ROUND(Rec_Lag,0))*(1-Sev),0)</f>
        <v>0</v>
      </c>
      <c r="I2227" s="99" t="n">
        <f aca="false">IF(AND(7&lt;=Hold_Yrs,7-ROUND(Rec_Lag,0)&gt;=1),INDEX($C712:$L712,1,7-ROUND(Rec_Lag,0))*(1-Sev),0)</f>
        <v>0</v>
      </c>
      <c r="J2227" s="99" t="n">
        <f aca="false">IF(AND(8&lt;=Hold_Yrs,8-ROUND(Rec_Lag,0)&gt;=1),INDEX($C712:$L712,1,8-ROUND(Rec_Lag,0))*(1-Sev),0)</f>
        <v>0</v>
      </c>
      <c r="K2227" s="99" t="n">
        <f aca="false">IF(AND(9&lt;=Hold_Yrs,9-ROUND(Rec_Lag,0)&gt;=1),INDEX($C712:$L712,1,9-ROUND(Rec_Lag,0))*(1-Sev),0)</f>
        <v>0</v>
      </c>
      <c r="L2227" s="99" t="n">
        <f aca="false">IF(AND(10&lt;=Hold_Yrs,10-ROUND(Rec_Lag,0)&gt;=1),INDEX($C712:$L712,1,10-ROUND(Rec_Lag,0))*(1-Sev),0)</f>
        <v>0</v>
      </c>
    </row>
    <row r="2228" customFormat="false" ht="15" hidden="false" customHeight="false" outlineLevel="0" collapsed="false">
      <c r="B2228" s="108" t="n">
        <f aca="false">'Loan Tape'!$A103</f>
        <v>0</v>
      </c>
      <c r="C2228" s="71" t="n">
        <f aca="false">IF(AND(1&lt;=Hold_Yrs,1-ROUND(Rec_Lag,0)&gt;=1),INDEX($C713:$L713,1,1-ROUND(Rec_Lag,0))*(1-Sev),0)</f>
        <v>0</v>
      </c>
      <c r="D2228" s="71" t="n">
        <f aca="false">IF(AND(2&lt;=Hold_Yrs,2-ROUND(Rec_Lag,0)&gt;=1),INDEX($C713:$L713,1,2-ROUND(Rec_Lag,0))*(1-Sev),0)</f>
        <v>0</v>
      </c>
      <c r="E2228" s="71" t="n">
        <f aca="false">IF(AND(3&lt;=Hold_Yrs,3-ROUND(Rec_Lag,0)&gt;=1),INDEX($C713:$L713,1,3-ROUND(Rec_Lag,0))*(1-Sev),0)</f>
        <v>0</v>
      </c>
      <c r="F2228" s="71" t="n">
        <f aca="false">IF(AND(4&lt;=Hold_Yrs,4-ROUND(Rec_Lag,0)&gt;=1),INDEX($C713:$L713,1,4-ROUND(Rec_Lag,0))*(1-Sev),0)</f>
        <v>0</v>
      </c>
      <c r="G2228" s="71" t="n">
        <f aca="false">IF(AND(5&lt;=Hold_Yrs,5-ROUND(Rec_Lag,0)&gt;=1),INDEX($C713:$L713,1,5-ROUND(Rec_Lag,0))*(1-Sev),0)</f>
        <v>0</v>
      </c>
      <c r="H2228" s="71" t="n">
        <f aca="false">IF(AND(6&lt;=Hold_Yrs,6-ROUND(Rec_Lag,0)&gt;=1),INDEX($C713:$L713,1,6-ROUND(Rec_Lag,0))*(1-Sev),0)</f>
        <v>0</v>
      </c>
      <c r="I2228" s="71" t="n">
        <f aca="false">IF(AND(7&lt;=Hold_Yrs,7-ROUND(Rec_Lag,0)&gt;=1),INDEX($C713:$L713,1,7-ROUND(Rec_Lag,0))*(1-Sev),0)</f>
        <v>0</v>
      </c>
      <c r="J2228" s="71" t="n">
        <f aca="false">IF(AND(8&lt;=Hold_Yrs,8-ROUND(Rec_Lag,0)&gt;=1),INDEX($C713:$L713,1,8-ROUND(Rec_Lag,0))*(1-Sev),0)</f>
        <v>0</v>
      </c>
      <c r="K2228" s="71" t="n">
        <f aca="false">IF(AND(9&lt;=Hold_Yrs,9-ROUND(Rec_Lag,0)&gt;=1),INDEX($C713:$L713,1,9-ROUND(Rec_Lag,0))*(1-Sev),0)</f>
        <v>0</v>
      </c>
      <c r="L2228" s="71" t="n">
        <f aca="false">IF(AND(10&lt;=Hold_Yrs,10-ROUND(Rec_Lag,0)&gt;=1),INDEX($C713:$L713,1,10-ROUND(Rec_Lag,0))*(1-Sev),0)</f>
        <v>0</v>
      </c>
    </row>
    <row r="2229" customFormat="false" ht="15" hidden="false" customHeight="false" outlineLevel="0" collapsed="false">
      <c r="B2229" s="102" t="n">
        <f aca="false">'Loan Tape'!$A104</f>
        <v>0</v>
      </c>
      <c r="C2229" s="99" t="n">
        <f aca="false">IF(AND(1&lt;=Hold_Yrs,1-ROUND(Rec_Lag,0)&gt;=1),INDEX($C714:$L714,1,1-ROUND(Rec_Lag,0))*(1-Sev),0)</f>
        <v>0</v>
      </c>
      <c r="D2229" s="99" t="n">
        <f aca="false">IF(AND(2&lt;=Hold_Yrs,2-ROUND(Rec_Lag,0)&gt;=1),INDEX($C714:$L714,1,2-ROUND(Rec_Lag,0))*(1-Sev),0)</f>
        <v>0</v>
      </c>
      <c r="E2229" s="99" t="n">
        <f aca="false">IF(AND(3&lt;=Hold_Yrs,3-ROUND(Rec_Lag,0)&gt;=1),INDEX($C714:$L714,1,3-ROUND(Rec_Lag,0))*(1-Sev),0)</f>
        <v>0</v>
      </c>
      <c r="F2229" s="99" t="n">
        <f aca="false">IF(AND(4&lt;=Hold_Yrs,4-ROUND(Rec_Lag,0)&gt;=1),INDEX($C714:$L714,1,4-ROUND(Rec_Lag,0))*(1-Sev),0)</f>
        <v>0</v>
      </c>
      <c r="G2229" s="99" t="n">
        <f aca="false">IF(AND(5&lt;=Hold_Yrs,5-ROUND(Rec_Lag,0)&gt;=1),INDEX($C714:$L714,1,5-ROUND(Rec_Lag,0))*(1-Sev),0)</f>
        <v>0</v>
      </c>
      <c r="H2229" s="99" t="n">
        <f aca="false">IF(AND(6&lt;=Hold_Yrs,6-ROUND(Rec_Lag,0)&gt;=1),INDEX($C714:$L714,1,6-ROUND(Rec_Lag,0))*(1-Sev),0)</f>
        <v>0</v>
      </c>
      <c r="I2229" s="99" t="n">
        <f aca="false">IF(AND(7&lt;=Hold_Yrs,7-ROUND(Rec_Lag,0)&gt;=1),INDEX($C714:$L714,1,7-ROUND(Rec_Lag,0))*(1-Sev),0)</f>
        <v>0</v>
      </c>
      <c r="J2229" s="99" t="n">
        <f aca="false">IF(AND(8&lt;=Hold_Yrs,8-ROUND(Rec_Lag,0)&gt;=1),INDEX($C714:$L714,1,8-ROUND(Rec_Lag,0))*(1-Sev),0)</f>
        <v>0</v>
      </c>
      <c r="K2229" s="99" t="n">
        <f aca="false">IF(AND(9&lt;=Hold_Yrs,9-ROUND(Rec_Lag,0)&gt;=1),INDEX($C714:$L714,1,9-ROUND(Rec_Lag,0))*(1-Sev),0)</f>
        <v>0</v>
      </c>
      <c r="L2229" s="99" t="n">
        <f aca="false">IF(AND(10&lt;=Hold_Yrs,10-ROUND(Rec_Lag,0)&gt;=1),INDEX($C714:$L714,1,10-ROUND(Rec_Lag,0))*(1-Sev),0)</f>
        <v>0</v>
      </c>
    </row>
    <row r="2230" customFormat="false" ht="15" hidden="false" customHeight="false" outlineLevel="0" collapsed="false">
      <c r="B2230" s="108" t="n">
        <f aca="false">'Loan Tape'!$A105</f>
        <v>0</v>
      </c>
      <c r="C2230" s="71" t="n">
        <f aca="false">IF(AND(1&lt;=Hold_Yrs,1-ROUND(Rec_Lag,0)&gt;=1),INDEX($C715:$L715,1,1-ROUND(Rec_Lag,0))*(1-Sev),0)</f>
        <v>0</v>
      </c>
      <c r="D2230" s="71" t="n">
        <f aca="false">IF(AND(2&lt;=Hold_Yrs,2-ROUND(Rec_Lag,0)&gt;=1),INDEX($C715:$L715,1,2-ROUND(Rec_Lag,0))*(1-Sev),0)</f>
        <v>0</v>
      </c>
      <c r="E2230" s="71" t="n">
        <f aca="false">IF(AND(3&lt;=Hold_Yrs,3-ROUND(Rec_Lag,0)&gt;=1),INDEX($C715:$L715,1,3-ROUND(Rec_Lag,0))*(1-Sev),0)</f>
        <v>0</v>
      </c>
      <c r="F2230" s="71" t="n">
        <f aca="false">IF(AND(4&lt;=Hold_Yrs,4-ROUND(Rec_Lag,0)&gt;=1),INDEX($C715:$L715,1,4-ROUND(Rec_Lag,0))*(1-Sev),0)</f>
        <v>0</v>
      </c>
      <c r="G2230" s="71" t="n">
        <f aca="false">IF(AND(5&lt;=Hold_Yrs,5-ROUND(Rec_Lag,0)&gt;=1),INDEX($C715:$L715,1,5-ROUND(Rec_Lag,0))*(1-Sev),0)</f>
        <v>0</v>
      </c>
      <c r="H2230" s="71" t="n">
        <f aca="false">IF(AND(6&lt;=Hold_Yrs,6-ROUND(Rec_Lag,0)&gt;=1),INDEX($C715:$L715,1,6-ROUND(Rec_Lag,0))*(1-Sev),0)</f>
        <v>0</v>
      </c>
      <c r="I2230" s="71" t="n">
        <f aca="false">IF(AND(7&lt;=Hold_Yrs,7-ROUND(Rec_Lag,0)&gt;=1),INDEX($C715:$L715,1,7-ROUND(Rec_Lag,0))*(1-Sev),0)</f>
        <v>0</v>
      </c>
      <c r="J2230" s="71" t="n">
        <f aca="false">IF(AND(8&lt;=Hold_Yrs,8-ROUND(Rec_Lag,0)&gt;=1),INDEX($C715:$L715,1,8-ROUND(Rec_Lag,0))*(1-Sev),0)</f>
        <v>0</v>
      </c>
      <c r="K2230" s="71" t="n">
        <f aca="false">IF(AND(9&lt;=Hold_Yrs,9-ROUND(Rec_Lag,0)&gt;=1),INDEX($C715:$L715,1,9-ROUND(Rec_Lag,0))*(1-Sev),0)</f>
        <v>0</v>
      </c>
      <c r="L2230" s="71" t="n">
        <f aca="false">IF(AND(10&lt;=Hold_Yrs,10-ROUND(Rec_Lag,0)&gt;=1),INDEX($C715:$L715,1,10-ROUND(Rec_Lag,0))*(1-Sev),0)</f>
        <v>0</v>
      </c>
    </row>
    <row r="2231" customFormat="false" ht="15" hidden="false" customHeight="false" outlineLevel="0" collapsed="false">
      <c r="B2231" s="102" t="n">
        <f aca="false">'Loan Tape'!$A106</f>
        <v>0</v>
      </c>
      <c r="C2231" s="99" t="n">
        <f aca="false">IF(AND(1&lt;=Hold_Yrs,1-ROUND(Rec_Lag,0)&gt;=1),INDEX($C716:$L716,1,1-ROUND(Rec_Lag,0))*(1-Sev),0)</f>
        <v>0</v>
      </c>
      <c r="D2231" s="99" t="n">
        <f aca="false">IF(AND(2&lt;=Hold_Yrs,2-ROUND(Rec_Lag,0)&gt;=1),INDEX($C716:$L716,1,2-ROUND(Rec_Lag,0))*(1-Sev),0)</f>
        <v>0</v>
      </c>
      <c r="E2231" s="99" t="n">
        <f aca="false">IF(AND(3&lt;=Hold_Yrs,3-ROUND(Rec_Lag,0)&gt;=1),INDEX($C716:$L716,1,3-ROUND(Rec_Lag,0))*(1-Sev),0)</f>
        <v>0</v>
      </c>
      <c r="F2231" s="99" t="n">
        <f aca="false">IF(AND(4&lt;=Hold_Yrs,4-ROUND(Rec_Lag,0)&gt;=1),INDEX($C716:$L716,1,4-ROUND(Rec_Lag,0))*(1-Sev),0)</f>
        <v>0</v>
      </c>
      <c r="G2231" s="99" t="n">
        <f aca="false">IF(AND(5&lt;=Hold_Yrs,5-ROUND(Rec_Lag,0)&gt;=1),INDEX($C716:$L716,1,5-ROUND(Rec_Lag,0))*(1-Sev),0)</f>
        <v>0</v>
      </c>
      <c r="H2231" s="99" t="n">
        <f aca="false">IF(AND(6&lt;=Hold_Yrs,6-ROUND(Rec_Lag,0)&gt;=1),INDEX($C716:$L716,1,6-ROUND(Rec_Lag,0))*(1-Sev),0)</f>
        <v>0</v>
      </c>
      <c r="I2231" s="99" t="n">
        <f aca="false">IF(AND(7&lt;=Hold_Yrs,7-ROUND(Rec_Lag,0)&gt;=1),INDEX($C716:$L716,1,7-ROUND(Rec_Lag,0))*(1-Sev),0)</f>
        <v>0</v>
      </c>
      <c r="J2231" s="99" t="n">
        <f aca="false">IF(AND(8&lt;=Hold_Yrs,8-ROUND(Rec_Lag,0)&gt;=1),INDEX($C716:$L716,1,8-ROUND(Rec_Lag,0))*(1-Sev),0)</f>
        <v>0</v>
      </c>
      <c r="K2231" s="99" t="n">
        <f aca="false">IF(AND(9&lt;=Hold_Yrs,9-ROUND(Rec_Lag,0)&gt;=1),INDEX($C716:$L716,1,9-ROUND(Rec_Lag,0))*(1-Sev),0)</f>
        <v>0</v>
      </c>
      <c r="L2231" s="99" t="n">
        <f aca="false">IF(AND(10&lt;=Hold_Yrs,10-ROUND(Rec_Lag,0)&gt;=1),INDEX($C716:$L716,1,10-ROUND(Rec_Lag,0))*(1-Sev),0)</f>
        <v>0</v>
      </c>
    </row>
    <row r="2232" customFormat="false" ht="15" hidden="false" customHeight="false" outlineLevel="0" collapsed="false">
      <c r="B2232" s="108" t="n">
        <f aca="false">'Loan Tape'!$A107</f>
        <v>0</v>
      </c>
      <c r="C2232" s="71" t="n">
        <f aca="false">IF(AND(1&lt;=Hold_Yrs,1-ROUND(Rec_Lag,0)&gt;=1),INDEX($C717:$L717,1,1-ROUND(Rec_Lag,0))*(1-Sev),0)</f>
        <v>0</v>
      </c>
      <c r="D2232" s="71" t="n">
        <f aca="false">IF(AND(2&lt;=Hold_Yrs,2-ROUND(Rec_Lag,0)&gt;=1),INDEX($C717:$L717,1,2-ROUND(Rec_Lag,0))*(1-Sev),0)</f>
        <v>0</v>
      </c>
      <c r="E2232" s="71" t="n">
        <f aca="false">IF(AND(3&lt;=Hold_Yrs,3-ROUND(Rec_Lag,0)&gt;=1),INDEX($C717:$L717,1,3-ROUND(Rec_Lag,0))*(1-Sev),0)</f>
        <v>0</v>
      </c>
      <c r="F2232" s="71" t="n">
        <f aca="false">IF(AND(4&lt;=Hold_Yrs,4-ROUND(Rec_Lag,0)&gt;=1),INDEX($C717:$L717,1,4-ROUND(Rec_Lag,0))*(1-Sev),0)</f>
        <v>0</v>
      </c>
      <c r="G2232" s="71" t="n">
        <f aca="false">IF(AND(5&lt;=Hold_Yrs,5-ROUND(Rec_Lag,0)&gt;=1),INDEX($C717:$L717,1,5-ROUND(Rec_Lag,0))*(1-Sev),0)</f>
        <v>0</v>
      </c>
      <c r="H2232" s="71" t="n">
        <f aca="false">IF(AND(6&lt;=Hold_Yrs,6-ROUND(Rec_Lag,0)&gt;=1),INDEX($C717:$L717,1,6-ROUND(Rec_Lag,0))*(1-Sev),0)</f>
        <v>0</v>
      </c>
      <c r="I2232" s="71" t="n">
        <f aca="false">IF(AND(7&lt;=Hold_Yrs,7-ROUND(Rec_Lag,0)&gt;=1),INDEX($C717:$L717,1,7-ROUND(Rec_Lag,0))*(1-Sev),0)</f>
        <v>0</v>
      </c>
      <c r="J2232" s="71" t="n">
        <f aca="false">IF(AND(8&lt;=Hold_Yrs,8-ROUND(Rec_Lag,0)&gt;=1),INDEX($C717:$L717,1,8-ROUND(Rec_Lag,0))*(1-Sev),0)</f>
        <v>0</v>
      </c>
      <c r="K2232" s="71" t="n">
        <f aca="false">IF(AND(9&lt;=Hold_Yrs,9-ROUND(Rec_Lag,0)&gt;=1),INDEX($C717:$L717,1,9-ROUND(Rec_Lag,0))*(1-Sev),0)</f>
        <v>0</v>
      </c>
      <c r="L2232" s="71" t="n">
        <f aca="false">IF(AND(10&lt;=Hold_Yrs,10-ROUND(Rec_Lag,0)&gt;=1),INDEX($C717:$L717,1,10-ROUND(Rec_Lag,0))*(1-Sev),0)</f>
        <v>0</v>
      </c>
    </row>
    <row r="2233" customFormat="false" ht="15" hidden="false" customHeight="false" outlineLevel="0" collapsed="false">
      <c r="B2233" s="102" t="n">
        <f aca="false">'Loan Tape'!$A108</f>
        <v>0</v>
      </c>
      <c r="C2233" s="99" t="n">
        <f aca="false">IF(AND(1&lt;=Hold_Yrs,1-ROUND(Rec_Lag,0)&gt;=1),INDEX($C718:$L718,1,1-ROUND(Rec_Lag,0))*(1-Sev),0)</f>
        <v>0</v>
      </c>
      <c r="D2233" s="99" t="n">
        <f aca="false">IF(AND(2&lt;=Hold_Yrs,2-ROUND(Rec_Lag,0)&gt;=1),INDEX($C718:$L718,1,2-ROUND(Rec_Lag,0))*(1-Sev),0)</f>
        <v>0</v>
      </c>
      <c r="E2233" s="99" t="n">
        <f aca="false">IF(AND(3&lt;=Hold_Yrs,3-ROUND(Rec_Lag,0)&gt;=1),INDEX($C718:$L718,1,3-ROUND(Rec_Lag,0))*(1-Sev),0)</f>
        <v>0</v>
      </c>
      <c r="F2233" s="99" t="n">
        <f aca="false">IF(AND(4&lt;=Hold_Yrs,4-ROUND(Rec_Lag,0)&gt;=1),INDEX($C718:$L718,1,4-ROUND(Rec_Lag,0))*(1-Sev),0)</f>
        <v>0</v>
      </c>
      <c r="G2233" s="99" t="n">
        <f aca="false">IF(AND(5&lt;=Hold_Yrs,5-ROUND(Rec_Lag,0)&gt;=1),INDEX($C718:$L718,1,5-ROUND(Rec_Lag,0))*(1-Sev),0)</f>
        <v>0</v>
      </c>
      <c r="H2233" s="99" t="n">
        <f aca="false">IF(AND(6&lt;=Hold_Yrs,6-ROUND(Rec_Lag,0)&gt;=1),INDEX($C718:$L718,1,6-ROUND(Rec_Lag,0))*(1-Sev),0)</f>
        <v>0</v>
      </c>
      <c r="I2233" s="99" t="n">
        <f aca="false">IF(AND(7&lt;=Hold_Yrs,7-ROUND(Rec_Lag,0)&gt;=1),INDEX($C718:$L718,1,7-ROUND(Rec_Lag,0))*(1-Sev),0)</f>
        <v>0</v>
      </c>
      <c r="J2233" s="99" t="n">
        <f aca="false">IF(AND(8&lt;=Hold_Yrs,8-ROUND(Rec_Lag,0)&gt;=1),INDEX($C718:$L718,1,8-ROUND(Rec_Lag,0))*(1-Sev),0)</f>
        <v>0</v>
      </c>
      <c r="K2233" s="99" t="n">
        <f aca="false">IF(AND(9&lt;=Hold_Yrs,9-ROUND(Rec_Lag,0)&gt;=1),INDEX($C718:$L718,1,9-ROUND(Rec_Lag,0))*(1-Sev),0)</f>
        <v>0</v>
      </c>
      <c r="L2233" s="99" t="n">
        <f aca="false">IF(AND(10&lt;=Hold_Yrs,10-ROUND(Rec_Lag,0)&gt;=1),INDEX($C718:$L718,1,10-ROUND(Rec_Lag,0))*(1-Sev),0)</f>
        <v>0</v>
      </c>
    </row>
    <row r="2234" customFormat="false" ht="15" hidden="false" customHeight="false" outlineLevel="0" collapsed="false">
      <c r="B2234" s="108" t="n">
        <f aca="false">'Loan Tape'!$A109</f>
        <v>0</v>
      </c>
      <c r="C2234" s="71" t="n">
        <f aca="false">IF(AND(1&lt;=Hold_Yrs,1-ROUND(Rec_Lag,0)&gt;=1),INDEX($C719:$L719,1,1-ROUND(Rec_Lag,0))*(1-Sev),0)</f>
        <v>0</v>
      </c>
      <c r="D2234" s="71" t="n">
        <f aca="false">IF(AND(2&lt;=Hold_Yrs,2-ROUND(Rec_Lag,0)&gt;=1),INDEX($C719:$L719,1,2-ROUND(Rec_Lag,0))*(1-Sev),0)</f>
        <v>0</v>
      </c>
      <c r="E2234" s="71" t="n">
        <f aca="false">IF(AND(3&lt;=Hold_Yrs,3-ROUND(Rec_Lag,0)&gt;=1),INDEX($C719:$L719,1,3-ROUND(Rec_Lag,0))*(1-Sev),0)</f>
        <v>0</v>
      </c>
      <c r="F2234" s="71" t="n">
        <f aca="false">IF(AND(4&lt;=Hold_Yrs,4-ROUND(Rec_Lag,0)&gt;=1),INDEX($C719:$L719,1,4-ROUND(Rec_Lag,0))*(1-Sev),0)</f>
        <v>0</v>
      </c>
      <c r="G2234" s="71" t="n">
        <f aca="false">IF(AND(5&lt;=Hold_Yrs,5-ROUND(Rec_Lag,0)&gt;=1),INDEX($C719:$L719,1,5-ROUND(Rec_Lag,0))*(1-Sev),0)</f>
        <v>0</v>
      </c>
      <c r="H2234" s="71" t="n">
        <f aca="false">IF(AND(6&lt;=Hold_Yrs,6-ROUND(Rec_Lag,0)&gt;=1),INDEX($C719:$L719,1,6-ROUND(Rec_Lag,0))*(1-Sev),0)</f>
        <v>0</v>
      </c>
      <c r="I2234" s="71" t="n">
        <f aca="false">IF(AND(7&lt;=Hold_Yrs,7-ROUND(Rec_Lag,0)&gt;=1),INDEX($C719:$L719,1,7-ROUND(Rec_Lag,0))*(1-Sev),0)</f>
        <v>0</v>
      </c>
      <c r="J2234" s="71" t="n">
        <f aca="false">IF(AND(8&lt;=Hold_Yrs,8-ROUND(Rec_Lag,0)&gt;=1),INDEX($C719:$L719,1,8-ROUND(Rec_Lag,0))*(1-Sev),0)</f>
        <v>0</v>
      </c>
      <c r="K2234" s="71" t="n">
        <f aca="false">IF(AND(9&lt;=Hold_Yrs,9-ROUND(Rec_Lag,0)&gt;=1),INDEX($C719:$L719,1,9-ROUND(Rec_Lag,0))*(1-Sev),0)</f>
        <v>0</v>
      </c>
      <c r="L2234" s="71" t="n">
        <f aca="false">IF(AND(10&lt;=Hold_Yrs,10-ROUND(Rec_Lag,0)&gt;=1),INDEX($C719:$L719,1,10-ROUND(Rec_Lag,0))*(1-Sev),0)</f>
        <v>0</v>
      </c>
    </row>
    <row r="2235" customFormat="false" ht="15" hidden="false" customHeight="false" outlineLevel="0" collapsed="false">
      <c r="B2235" s="102" t="n">
        <f aca="false">'Loan Tape'!$A110</f>
        <v>0</v>
      </c>
      <c r="C2235" s="99" t="n">
        <f aca="false">IF(AND(1&lt;=Hold_Yrs,1-ROUND(Rec_Lag,0)&gt;=1),INDEX($C720:$L720,1,1-ROUND(Rec_Lag,0))*(1-Sev),0)</f>
        <v>0</v>
      </c>
      <c r="D2235" s="99" t="n">
        <f aca="false">IF(AND(2&lt;=Hold_Yrs,2-ROUND(Rec_Lag,0)&gt;=1),INDEX($C720:$L720,1,2-ROUND(Rec_Lag,0))*(1-Sev),0)</f>
        <v>0</v>
      </c>
      <c r="E2235" s="99" t="n">
        <f aca="false">IF(AND(3&lt;=Hold_Yrs,3-ROUND(Rec_Lag,0)&gt;=1),INDEX($C720:$L720,1,3-ROUND(Rec_Lag,0))*(1-Sev),0)</f>
        <v>0</v>
      </c>
      <c r="F2235" s="99" t="n">
        <f aca="false">IF(AND(4&lt;=Hold_Yrs,4-ROUND(Rec_Lag,0)&gt;=1),INDEX($C720:$L720,1,4-ROUND(Rec_Lag,0))*(1-Sev),0)</f>
        <v>0</v>
      </c>
      <c r="G2235" s="99" t="n">
        <f aca="false">IF(AND(5&lt;=Hold_Yrs,5-ROUND(Rec_Lag,0)&gt;=1),INDEX($C720:$L720,1,5-ROUND(Rec_Lag,0))*(1-Sev),0)</f>
        <v>0</v>
      </c>
      <c r="H2235" s="99" t="n">
        <f aca="false">IF(AND(6&lt;=Hold_Yrs,6-ROUND(Rec_Lag,0)&gt;=1),INDEX($C720:$L720,1,6-ROUND(Rec_Lag,0))*(1-Sev),0)</f>
        <v>0</v>
      </c>
      <c r="I2235" s="99" t="n">
        <f aca="false">IF(AND(7&lt;=Hold_Yrs,7-ROUND(Rec_Lag,0)&gt;=1),INDEX($C720:$L720,1,7-ROUND(Rec_Lag,0))*(1-Sev),0)</f>
        <v>0</v>
      </c>
      <c r="J2235" s="99" t="n">
        <f aca="false">IF(AND(8&lt;=Hold_Yrs,8-ROUND(Rec_Lag,0)&gt;=1),INDEX($C720:$L720,1,8-ROUND(Rec_Lag,0))*(1-Sev),0)</f>
        <v>0</v>
      </c>
      <c r="K2235" s="99" t="n">
        <f aca="false">IF(AND(9&lt;=Hold_Yrs,9-ROUND(Rec_Lag,0)&gt;=1),INDEX($C720:$L720,1,9-ROUND(Rec_Lag,0))*(1-Sev),0)</f>
        <v>0</v>
      </c>
      <c r="L2235" s="99" t="n">
        <f aca="false">IF(AND(10&lt;=Hold_Yrs,10-ROUND(Rec_Lag,0)&gt;=1),INDEX($C720:$L720,1,10-ROUND(Rec_Lag,0))*(1-Sev),0)</f>
        <v>0</v>
      </c>
    </row>
    <row r="2236" customFormat="false" ht="15" hidden="false" customHeight="false" outlineLevel="0" collapsed="false">
      <c r="B2236" s="108" t="n">
        <f aca="false">'Loan Tape'!$A111</f>
        <v>0</v>
      </c>
      <c r="C2236" s="71" t="n">
        <f aca="false">IF(AND(1&lt;=Hold_Yrs,1-ROUND(Rec_Lag,0)&gt;=1),INDEX($C721:$L721,1,1-ROUND(Rec_Lag,0))*(1-Sev),0)</f>
        <v>0</v>
      </c>
      <c r="D2236" s="71" t="n">
        <f aca="false">IF(AND(2&lt;=Hold_Yrs,2-ROUND(Rec_Lag,0)&gt;=1),INDEX($C721:$L721,1,2-ROUND(Rec_Lag,0))*(1-Sev),0)</f>
        <v>0</v>
      </c>
      <c r="E2236" s="71" t="n">
        <f aca="false">IF(AND(3&lt;=Hold_Yrs,3-ROUND(Rec_Lag,0)&gt;=1),INDEX($C721:$L721,1,3-ROUND(Rec_Lag,0))*(1-Sev),0)</f>
        <v>0</v>
      </c>
      <c r="F2236" s="71" t="n">
        <f aca="false">IF(AND(4&lt;=Hold_Yrs,4-ROUND(Rec_Lag,0)&gt;=1),INDEX($C721:$L721,1,4-ROUND(Rec_Lag,0))*(1-Sev),0)</f>
        <v>0</v>
      </c>
      <c r="G2236" s="71" t="n">
        <f aca="false">IF(AND(5&lt;=Hold_Yrs,5-ROUND(Rec_Lag,0)&gt;=1),INDEX($C721:$L721,1,5-ROUND(Rec_Lag,0))*(1-Sev),0)</f>
        <v>0</v>
      </c>
      <c r="H2236" s="71" t="n">
        <f aca="false">IF(AND(6&lt;=Hold_Yrs,6-ROUND(Rec_Lag,0)&gt;=1),INDEX($C721:$L721,1,6-ROUND(Rec_Lag,0))*(1-Sev),0)</f>
        <v>0</v>
      </c>
      <c r="I2236" s="71" t="n">
        <f aca="false">IF(AND(7&lt;=Hold_Yrs,7-ROUND(Rec_Lag,0)&gt;=1),INDEX($C721:$L721,1,7-ROUND(Rec_Lag,0))*(1-Sev),0)</f>
        <v>0</v>
      </c>
      <c r="J2236" s="71" t="n">
        <f aca="false">IF(AND(8&lt;=Hold_Yrs,8-ROUND(Rec_Lag,0)&gt;=1),INDEX($C721:$L721,1,8-ROUND(Rec_Lag,0))*(1-Sev),0)</f>
        <v>0</v>
      </c>
      <c r="K2236" s="71" t="n">
        <f aca="false">IF(AND(9&lt;=Hold_Yrs,9-ROUND(Rec_Lag,0)&gt;=1),INDEX($C721:$L721,1,9-ROUND(Rec_Lag,0))*(1-Sev),0)</f>
        <v>0</v>
      </c>
      <c r="L2236" s="71" t="n">
        <f aca="false">IF(AND(10&lt;=Hold_Yrs,10-ROUND(Rec_Lag,0)&gt;=1),INDEX($C721:$L721,1,10-ROUND(Rec_Lag,0))*(1-Sev),0)</f>
        <v>0</v>
      </c>
    </row>
    <row r="2237" customFormat="false" ht="15" hidden="false" customHeight="false" outlineLevel="0" collapsed="false">
      <c r="B2237" s="102" t="n">
        <f aca="false">'Loan Tape'!$A112</f>
        <v>0</v>
      </c>
      <c r="C2237" s="99" t="n">
        <f aca="false">IF(AND(1&lt;=Hold_Yrs,1-ROUND(Rec_Lag,0)&gt;=1),INDEX($C722:$L722,1,1-ROUND(Rec_Lag,0))*(1-Sev),0)</f>
        <v>0</v>
      </c>
      <c r="D2237" s="99" t="n">
        <f aca="false">IF(AND(2&lt;=Hold_Yrs,2-ROUND(Rec_Lag,0)&gt;=1),INDEX($C722:$L722,1,2-ROUND(Rec_Lag,0))*(1-Sev),0)</f>
        <v>0</v>
      </c>
      <c r="E2237" s="99" t="n">
        <f aca="false">IF(AND(3&lt;=Hold_Yrs,3-ROUND(Rec_Lag,0)&gt;=1),INDEX($C722:$L722,1,3-ROUND(Rec_Lag,0))*(1-Sev),0)</f>
        <v>0</v>
      </c>
      <c r="F2237" s="99" t="n">
        <f aca="false">IF(AND(4&lt;=Hold_Yrs,4-ROUND(Rec_Lag,0)&gt;=1),INDEX($C722:$L722,1,4-ROUND(Rec_Lag,0))*(1-Sev),0)</f>
        <v>0</v>
      </c>
      <c r="G2237" s="99" t="n">
        <f aca="false">IF(AND(5&lt;=Hold_Yrs,5-ROUND(Rec_Lag,0)&gt;=1),INDEX($C722:$L722,1,5-ROUND(Rec_Lag,0))*(1-Sev),0)</f>
        <v>0</v>
      </c>
      <c r="H2237" s="99" t="n">
        <f aca="false">IF(AND(6&lt;=Hold_Yrs,6-ROUND(Rec_Lag,0)&gt;=1),INDEX($C722:$L722,1,6-ROUND(Rec_Lag,0))*(1-Sev),0)</f>
        <v>0</v>
      </c>
      <c r="I2237" s="99" t="n">
        <f aca="false">IF(AND(7&lt;=Hold_Yrs,7-ROUND(Rec_Lag,0)&gt;=1),INDEX($C722:$L722,1,7-ROUND(Rec_Lag,0))*(1-Sev),0)</f>
        <v>0</v>
      </c>
      <c r="J2237" s="99" t="n">
        <f aca="false">IF(AND(8&lt;=Hold_Yrs,8-ROUND(Rec_Lag,0)&gt;=1),INDEX($C722:$L722,1,8-ROUND(Rec_Lag,0))*(1-Sev),0)</f>
        <v>0</v>
      </c>
      <c r="K2237" s="99" t="n">
        <f aca="false">IF(AND(9&lt;=Hold_Yrs,9-ROUND(Rec_Lag,0)&gt;=1),INDEX($C722:$L722,1,9-ROUND(Rec_Lag,0))*(1-Sev),0)</f>
        <v>0</v>
      </c>
      <c r="L2237" s="99" t="n">
        <f aca="false">IF(AND(10&lt;=Hold_Yrs,10-ROUND(Rec_Lag,0)&gt;=1),INDEX($C722:$L722,1,10-ROUND(Rec_Lag,0))*(1-Sev),0)</f>
        <v>0</v>
      </c>
    </row>
    <row r="2238" customFormat="false" ht="15" hidden="false" customHeight="false" outlineLevel="0" collapsed="false">
      <c r="B2238" s="108" t="n">
        <f aca="false">'Loan Tape'!$A113</f>
        <v>0</v>
      </c>
      <c r="C2238" s="71" t="n">
        <f aca="false">IF(AND(1&lt;=Hold_Yrs,1-ROUND(Rec_Lag,0)&gt;=1),INDEX($C723:$L723,1,1-ROUND(Rec_Lag,0))*(1-Sev),0)</f>
        <v>0</v>
      </c>
      <c r="D2238" s="71" t="n">
        <f aca="false">IF(AND(2&lt;=Hold_Yrs,2-ROUND(Rec_Lag,0)&gt;=1),INDEX($C723:$L723,1,2-ROUND(Rec_Lag,0))*(1-Sev),0)</f>
        <v>0</v>
      </c>
      <c r="E2238" s="71" t="n">
        <f aca="false">IF(AND(3&lt;=Hold_Yrs,3-ROUND(Rec_Lag,0)&gt;=1),INDEX($C723:$L723,1,3-ROUND(Rec_Lag,0))*(1-Sev),0)</f>
        <v>0</v>
      </c>
      <c r="F2238" s="71" t="n">
        <f aca="false">IF(AND(4&lt;=Hold_Yrs,4-ROUND(Rec_Lag,0)&gt;=1),INDEX($C723:$L723,1,4-ROUND(Rec_Lag,0))*(1-Sev),0)</f>
        <v>0</v>
      </c>
      <c r="G2238" s="71" t="n">
        <f aca="false">IF(AND(5&lt;=Hold_Yrs,5-ROUND(Rec_Lag,0)&gt;=1),INDEX($C723:$L723,1,5-ROUND(Rec_Lag,0))*(1-Sev),0)</f>
        <v>0</v>
      </c>
      <c r="H2238" s="71" t="n">
        <f aca="false">IF(AND(6&lt;=Hold_Yrs,6-ROUND(Rec_Lag,0)&gt;=1),INDEX($C723:$L723,1,6-ROUND(Rec_Lag,0))*(1-Sev),0)</f>
        <v>0</v>
      </c>
      <c r="I2238" s="71" t="n">
        <f aca="false">IF(AND(7&lt;=Hold_Yrs,7-ROUND(Rec_Lag,0)&gt;=1),INDEX($C723:$L723,1,7-ROUND(Rec_Lag,0))*(1-Sev),0)</f>
        <v>0</v>
      </c>
      <c r="J2238" s="71" t="n">
        <f aca="false">IF(AND(8&lt;=Hold_Yrs,8-ROUND(Rec_Lag,0)&gt;=1),INDEX($C723:$L723,1,8-ROUND(Rec_Lag,0))*(1-Sev),0)</f>
        <v>0</v>
      </c>
      <c r="K2238" s="71" t="n">
        <f aca="false">IF(AND(9&lt;=Hold_Yrs,9-ROUND(Rec_Lag,0)&gt;=1),INDEX($C723:$L723,1,9-ROUND(Rec_Lag,0))*(1-Sev),0)</f>
        <v>0</v>
      </c>
      <c r="L2238" s="71" t="n">
        <f aca="false">IF(AND(10&lt;=Hold_Yrs,10-ROUND(Rec_Lag,0)&gt;=1),INDEX($C723:$L723,1,10-ROUND(Rec_Lag,0))*(1-Sev),0)</f>
        <v>0</v>
      </c>
    </row>
    <row r="2239" customFormat="false" ht="15" hidden="false" customHeight="false" outlineLevel="0" collapsed="false">
      <c r="B2239" s="102" t="n">
        <f aca="false">'Loan Tape'!$A114</f>
        <v>0</v>
      </c>
      <c r="C2239" s="99" t="n">
        <f aca="false">IF(AND(1&lt;=Hold_Yrs,1-ROUND(Rec_Lag,0)&gt;=1),INDEX($C724:$L724,1,1-ROUND(Rec_Lag,0))*(1-Sev),0)</f>
        <v>0</v>
      </c>
      <c r="D2239" s="99" t="n">
        <f aca="false">IF(AND(2&lt;=Hold_Yrs,2-ROUND(Rec_Lag,0)&gt;=1),INDEX($C724:$L724,1,2-ROUND(Rec_Lag,0))*(1-Sev),0)</f>
        <v>0</v>
      </c>
      <c r="E2239" s="99" t="n">
        <f aca="false">IF(AND(3&lt;=Hold_Yrs,3-ROUND(Rec_Lag,0)&gt;=1),INDEX($C724:$L724,1,3-ROUND(Rec_Lag,0))*(1-Sev),0)</f>
        <v>0</v>
      </c>
      <c r="F2239" s="99" t="n">
        <f aca="false">IF(AND(4&lt;=Hold_Yrs,4-ROUND(Rec_Lag,0)&gt;=1),INDEX($C724:$L724,1,4-ROUND(Rec_Lag,0))*(1-Sev),0)</f>
        <v>0</v>
      </c>
      <c r="G2239" s="99" t="n">
        <f aca="false">IF(AND(5&lt;=Hold_Yrs,5-ROUND(Rec_Lag,0)&gt;=1),INDEX($C724:$L724,1,5-ROUND(Rec_Lag,0))*(1-Sev),0)</f>
        <v>0</v>
      </c>
      <c r="H2239" s="99" t="n">
        <f aca="false">IF(AND(6&lt;=Hold_Yrs,6-ROUND(Rec_Lag,0)&gt;=1),INDEX($C724:$L724,1,6-ROUND(Rec_Lag,0))*(1-Sev),0)</f>
        <v>0</v>
      </c>
      <c r="I2239" s="99" t="n">
        <f aca="false">IF(AND(7&lt;=Hold_Yrs,7-ROUND(Rec_Lag,0)&gt;=1),INDEX($C724:$L724,1,7-ROUND(Rec_Lag,0))*(1-Sev),0)</f>
        <v>0</v>
      </c>
      <c r="J2239" s="99" t="n">
        <f aca="false">IF(AND(8&lt;=Hold_Yrs,8-ROUND(Rec_Lag,0)&gt;=1),INDEX($C724:$L724,1,8-ROUND(Rec_Lag,0))*(1-Sev),0)</f>
        <v>0</v>
      </c>
      <c r="K2239" s="99" t="n">
        <f aca="false">IF(AND(9&lt;=Hold_Yrs,9-ROUND(Rec_Lag,0)&gt;=1),INDEX($C724:$L724,1,9-ROUND(Rec_Lag,0))*(1-Sev),0)</f>
        <v>0</v>
      </c>
      <c r="L2239" s="99" t="n">
        <f aca="false">IF(AND(10&lt;=Hold_Yrs,10-ROUND(Rec_Lag,0)&gt;=1),INDEX($C724:$L724,1,10-ROUND(Rec_Lag,0))*(1-Sev),0)</f>
        <v>0</v>
      </c>
    </row>
    <row r="2240" customFormat="false" ht="15" hidden="false" customHeight="false" outlineLevel="0" collapsed="false">
      <c r="B2240" s="108" t="n">
        <f aca="false">'Loan Tape'!$A115</f>
        <v>0</v>
      </c>
      <c r="C2240" s="71" t="n">
        <f aca="false">IF(AND(1&lt;=Hold_Yrs,1-ROUND(Rec_Lag,0)&gt;=1),INDEX($C725:$L725,1,1-ROUND(Rec_Lag,0))*(1-Sev),0)</f>
        <v>0</v>
      </c>
      <c r="D2240" s="71" t="n">
        <f aca="false">IF(AND(2&lt;=Hold_Yrs,2-ROUND(Rec_Lag,0)&gt;=1),INDEX($C725:$L725,1,2-ROUND(Rec_Lag,0))*(1-Sev),0)</f>
        <v>0</v>
      </c>
      <c r="E2240" s="71" t="n">
        <f aca="false">IF(AND(3&lt;=Hold_Yrs,3-ROUND(Rec_Lag,0)&gt;=1),INDEX($C725:$L725,1,3-ROUND(Rec_Lag,0))*(1-Sev),0)</f>
        <v>0</v>
      </c>
      <c r="F2240" s="71" t="n">
        <f aca="false">IF(AND(4&lt;=Hold_Yrs,4-ROUND(Rec_Lag,0)&gt;=1),INDEX($C725:$L725,1,4-ROUND(Rec_Lag,0))*(1-Sev),0)</f>
        <v>0</v>
      </c>
      <c r="G2240" s="71" t="n">
        <f aca="false">IF(AND(5&lt;=Hold_Yrs,5-ROUND(Rec_Lag,0)&gt;=1),INDEX($C725:$L725,1,5-ROUND(Rec_Lag,0))*(1-Sev),0)</f>
        <v>0</v>
      </c>
      <c r="H2240" s="71" t="n">
        <f aca="false">IF(AND(6&lt;=Hold_Yrs,6-ROUND(Rec_Lag,0)&gt;=1),INDEX($C725:$L725,1,6-ROUND(Rec_Lag,0))*(1-Sev),0)</f>
        <v>0</v>
      </c>
      <c r="I2240" s="71" t="n">
        <f aca="false">IF(AND(7&lt;=Hold_Yrs,7-ROUND(Rec_Lag,0)&gt;=1),INDEX($C725:$L725,1,7-ROUND(Rec_Lag,0))*(1-Sev),0)</f>
        <v>0</v>
      </c>
      <c r="J2240" s="71" t="n">
        <f aca="false">IF(AND(8&lt;=Hold_Yrs,8-ROUND(Rec_Lag,0)&gt;=1),INDEX($C725:$L725,1,8-ROUND(Rec_Lag,0))*(1-Sev),0)</f>
        <v>0</v>
      </c>
      <c r="K2240" s="71" t="n">
        <f aca="false">IF(AND(9&lt;=Hold_Yrs,9-ROUND(Rec_Lag,0)&gt;=1),INDEX($C725:$L725,1,9-ROUND(Rec_Lag,0))*(1-Sev),0)</f>
        <v>0</v>
      </c>
      <c r="L2240" s="71" t="n">
        <f aca="false">IF(AND(10&lt;=Hold_Yrs,10-ROUND(Rec_Lag,0)&gt;=1),INDEX($C725:$L725,1,10-ROUND(Rec_Lag,0))*(1-Sev),0)</f>
        <v>0</v>
      </c>
    </row>
    <row r="2241" customFormat="false" ht="15" hidden="false" customHeight="false" outlineLevel="0" collapsed="false">
      <c r="B2241" s="102" t="n">
        <f aca="false">'Loan Tape'!$A116</f>
        <v>0</v>
      </c>
      <c r="C2241" s="99" t="n">
        <f aca="false">IF(AND(1&lt;=Hold_Yrs,1-ROUND(Rec_Lag,0)&gt;=1),INDEX($C726:$L726,1,1-ROUND(Rec_Lag,0))*(1-Sev),0)</f>
        <v>0</v>
      </c>
      <c r="D2241" s="99" t="n">
        <f aca="false">IF(AND(2&lt;=Hold_Yrs,2-ROUND(Rec_Lag,0)&gt;=1),INDEX($C726:$L726,1,2-ROUND(Rec_Lag,0))*(1-Sev),0)</f>
        <v>0</v>
      </c>
      <c r="E2241" s="99" t="n">
        <f aca="false">IF(AND(3&lt;=Hold_Yrs,3-ROUND(Rec_Lag,0)&gt;=1),INDEX($C726:$L726,1,3-ROUND(Rec_Lag,0))*(1-Sev),0)</f>
        <v>0</v>
      </c>
      <c r="F2241" s="99" t="n">
        <f aca="false">IF(AND(4&lt;=Hold_Yrs,4-ROUND(Rec_Lag,0)&gt;=1),INDEX($C726:$L726,1,4-ROUND(Rec_Lag,0))*(1-Sev),0)</f>
        <v>0</v>
      </c>
      <c r="G2241" s="99" t="n">
        <f aca="false">IF(AND(5&lt;=Hold_Yrs,5-ROUND(Rec_Lag,0)&gt;=1),INDEX($C726:$L726,1,5-ROUND(Rec_Lag,0))*(1-Sev),0)</f>
        <v>0</v>
      </c>
      <c r="H2241" s="99" t="n">
        <f aca="false">IF(AND(6&lt;=Hold_Yrs,6-ROUND(Rec_Lag,0)&gt;=1),INDEX($C726:$L726,1,6-ROUND(Rec_Lag,0))*(1-Sev),0)</f>
        <v>0</v>
      </c>
      <c r="I2241" s="99" t="n">
        <f aca="false">IF(AND(7&lt;=Hold_Yrs,7-ROUND(Rec_Lag,0)&gt;=1),INDEX($C726:$L726,1,7-ROUND(Rec_Lag,0))*(1-Sev),0)</f>
        <v>0</v>
      </c>
      <c r="J2241" s="99" t="n">
        <f aca="false">IF(AND(8&lt;=Hold_Yrs,8-ROUND(Rec_Lag,0)&gt;=1),INDEX($C726:$L726,1,8-ROUND(Rec_Lag,0))*(1-Sev),0)</f>
        <v>0</v>
      </c>
      <c r="K2241" s="99" t="n">
        <f aca="false">IF(AND(9&lt;=Hold_Yrs,9-ROUND(Rec_Lag,0)&gt;=1),INDEX($C726:$L726,1,9-ROUND(Rec_Lag,0))*(1-Sev),0)</f>
        <v>0</v>
      </c>
      <c r="L2241" s="99" t="n">
        <f aca="false">IF(AND(10&lt;=Hold_Yrs,10-ROUND(Rec_Lag,0)&gt;=1),INDEX($C726:$L726,1,10-ROUND(Rec_Lag,0))*(1-Sev),0)</f>
        <v>0</v>
      </c>
    </row>
    <row r="2242" customFormat="false" ht="15" hidden="false" customHeight="false" outlineLevel="0" collapsed="false">
      <c r="B2242" s="108" t="n">
        <f aca="false">'Loan Tape'!$A117</f>
        <v>0</v>
      </c>
      <c r="C2242" s="71" t="n">
        <f aca="false">IF(AND(1&lt;=Hold_Yrs,1-ROUND(Rec_Lag,0)&gt;=1),INDEX($C727:$L727,1,1-ROUND(Rec_Lag,0))*(1-Sev),0)</f>
        <v>0</v>
      </c>
      <c r="D2242" s="71" t="n">
        <f aca="false">IF(AND(2&lt;=Hold_Yrs,2-ROUND(Rec_Lag,0)&gt;=1),INDEX($C727:$L727,1,2-ROUND(Rec_Lag,0))*(1-Sev),0)</f>
        <v>0</v>
      </c>
      <c r="E2242" s="71" t="n">
        <f aca="false">IF(AND(3&lt;=Hold_Yrs,3-ROUND(Rec_Lag,0)&gt;=1),INDEX($C727:$L727,1,3-ROUND(Rec_Lag,0))*(1-Sev),0)</f>
        <v>0</v>
      </c>
      <c r="F2242" s="71" t="n">
        <f aca="false">IF(AND(4&lt;=Hold_Yrs,4-ROUND(Rec_Lag,0)&gt;=1),INDEX($C727:$L727,1,4-ROUND(Rec_Lag,0))*(1-Sev),0)</f>
        <v>0</v>
      </c>
      <c r="G2242" s="71" t="n">
        <f aca="false">IF(AND(5&lt;=Hold_Yrs,5-ROUND(Rec_Lag,0)&gt;=1),INDEX($C727:$L727,1,5-ROUND(Rec_Lag,0))*(1-Sev),0)</f>
        <v>0</v>
      </c>
      <c r="H2242" s="71" t="n">
        <f aca="false">IF(AND(6&lt;=Hold_Yrs,6-ROUND(Rec_Lag,0)&gt;=1),INDEX($C727:$L727,1,6-ROUND(Rec_Lag,0))*(1-Sev),0)</f>
        <v>0</v>
      </c>
      <c r="I2242" s="71" t="n">
        <f aca="false">IF(AND(7&lt;=Hold_Yrs,7-ROUND(Rec_Lag,0)&gt;=1),INDEX($C727:$L727,1,7-ROUND(Rec_Lag,0))*(1-Sev),0)</f>
        <v>0</v>
      </c>
      <c r="J2242" s="71" t="n">
        <f aca="false">IF(AND(8&lt;=Hold_Yrs,8-ROUND(Rec_Lag,0)&gt;=1),INDEX($C727:$L727,1,8-ROUND(Rec_Lag,0))*(1-Sev),0)</f>
        <v>0</v>
      </c>
      <c r="K2242" s="71" t="n">
        <f aca="false">IF(AND(9&lt;=Hold_Yrs,9-ROUND(Rec_Lag,0)&gt;=1),INDEX($C727:$L727,1,9-ROUND(Rec_Lag,0))*(1-Sev),0)</f>
        <v>0</v>
      </c>
      <c r="L2242" s="71" t="n">
        <f aca="false">IF(AND(10&lt;=Hold_Yrs,10-ROUND(Rec_Lag,0)&gt;=1),INDEX($C727:$L727,1,10-ROUND(Rec_Lag,0))*(1-Sev),0)</f>
        <v>0</v>
      </c>
    </row>
    <row r="2243" customFormat="false" ht="15" hidden="false" customHeight="false" outlineLevel="0" collapsed="false">
      <c r="B2243" s="102" t="n">
        <f aca="false">'Loan Tape'!$A118</f>
        <v>0</v>
      </c>
      <c r="C2243" s="99" t="n">
        <f aca="false">IF(AND(1&lt;=Hold_Yrs,1-ROUND(Rec_Lag,0)&gt;=1),INDEX($C728:$L728,1,1-ROUND(Rec_Lag,0))*(1-Sev),0)</f>
        <v>0</v>
      </c>
      <c r="D2243" s="99" t="n">
        <f aca="false">IF(AND(2&lt;=Hold_Yrs,2-ROUND(Rec_Lag,0)&gt;=1),INDEX($C728:$L728,1,2-ROUND(Rec_Lag,0))*(1-Sev),0)</f>
        <v>0</v>
      </c>
      <c r="E2243" s="99" t="n">
        <f aca="false">IF(AND(3&lt;=Hold_Yrs,3-ROUND(Rec_Lag,0)&gt;=1),INDEX($C728:$L728,1,3-ROUND(Rec_Lag,0))*(1-Sev),0)</f>
        <v>0</v>
      </c>
      <c r="F2243" s="99" t="n">
        <f aca="false">IF(AND(4&lt;=Hold_Yrs,4-ROUND(Rec_Lag,0)&gt;=1),INDEX($C728:$L728,1,4-ROUND(Rec_Lag,0))*(1-Sev),0)</f>
        <v>0</v>
      </c>
      <c r="G2243" s="99" t="n">
        <f aca="false">IF(AND(5&lt;=Hold_Yrs,5-ROUND(Rec_Lag,0)&gt;=1),INDEX($C728:$L728,1,5-ROUND(Rec_Lag,0))*(1-Sev),0)</f>
        <v>0</v>
      </c>
      <c r="H2243" s="99" t="n">
        <f aca="false">IF(AND(6&lt;=Hold_Yrs,6-ROUND(Rec_Lag,0)&gt;=1),INDEX($C728:$L728,1,6-ROUND(Rec_Lag,0))*(1-Sev),0)</f>
        <v>0</v>
      </c>
      <c r="I2243" s="99" t="n">
        <f aca="false">IF(AND(7&lt;=Hold_Yrs,7-ROUND(Rec_Lag,0)&gt;=1),INDEX($C728:$L728,1,7-ROUND(Rec_Lag,0))*(1-Sev),0)</f>
        <v>0</v>
      </c>
      <c r="J2243" s="99" t="n">
        <f aca="false">IF(AND(8&lt;=Hold_Yrs,8-ROUND(Rec_Lag,0)&gt;=1),INDEX($C728:$L728,1,8-ROUND(Rec_Lag,0))*(1-Sev),0)</f>
        <v>0</v>
      </c>
      <c r="K2243" s="99" t="n">
        <f aca="false">IF(AND(9&lt;=Hold_Yrs,9-ROUND(Rec_Lag,0)&gt;=1),INDEX($C728:$L728,1,9-ROUND(Rec_Lag,0))*(1-Sev),0)</f>
        <v>0</v>
      </c>
      <c r="L2243" s="99" t="n">
        <f aca="false">IF(AND(10&lt;=Hold_Yrs,10-ROUND(Rec_Lag,0)&gt;=1),INDEX($C728:$L728,1,10-ROUND(Rec_Lag,0))*(1-Sev),0)</f>
        <v>0</v>
      </c>
    </row>
    <row r="2244" customFormat="false" ht="15" hidden="false" customHeight="false" outlineLevel="0" collapsed="false">
      <c r="B2244" s="108" t="n">
        <f aca="false">'Loan Tape'!$A119</f>
        <v>0</v>
      </c>
      <c r="C2244" s="71" t="n">
        <f aca="false">IF(AND(1&lt;=Hold_Yrs,1-ROUND(Rec_Lag,0)&gt;=1),INDEX($C729:$L729,1,1-ROUND(Rec_Lag,0))*(1-Sev),0)</f>
        <v>0</v>
      </c>
      <c r="D2244" s="71" t="n">
        <f aca="false">IF(AND(2&lt;=Hold_Yrs,2-ROUND(Rec_Lag,0)&gt;=1),INDEX($C729:$L729,1,2-ROUND(Rec_Lag,0))*(1-Sev),0)</f>
        <v>0</v>
      </c>
      <c r="E2244" s="71" t="n">
        <f aca="false">IF(AND(3&lt;=Hold_Yrs,3-ROUND(Rec_Lag,0)&gt;=1),INDEX($C729:$L729,1,3-ROUND(Rec_Lag,0))*(1-Sev),0)</f>
        <v>0</v>
      </c>
      <c r="F2244" s="71" t="n">
        <f aca="false">IF(AND(4&lt;=Hold_Yrs,4-ROUND(Rec_Lag,0)&gt;=1),INDEX($C729:$L729,1,4-ROUND(Rec_Lag,0))*(1-Sev),0)</f>
        <v>0</v>
      </c>
      <c r="G2244" s="71" t="n">
        <f aca="false">IF(AND(5&lt;=Hold_Yrs,5-ROUND(Rec_Lag,0)&gt;=1),INDEX($C729:$L729,1,5-ROUND(Rec_Lag,0))*(1-Sev),0)</f>
        <v>0</v>
      </c>
      <c r="H2244" s="71" t="n">
        <f aca="false">IF(AND(6&lt;=Hold_Yrs,6-ROUND(Rec_Lag,0)&gt;=1),INDEX($C729:$L729,1,6-ROUND(Rec_Lag,0))*(1-Sev),0)</f>
        <v>0</v>
      </c>
      <c r="I2244" s="71" t="n">
        <f aca="false">IF(AND(7&lt;=Hold_Yrs,7-ROUND(Rec_Lag,0)&gt;=1),INDEX($C729:$L729,1,7-ROUND(Rec_Lag,0))*(1-Sev),0)</f>
        <v>0</v>
      </c>
      <c r="J2244" s="71" t="n">
        <f aca="false">IF(AND(8&lt;=Hold_Yrs,8-ROUND(Rec_Lag,0)&gt;=1),INDEX($C729:$L729,1,8-ROUND(Rec_Lag,0))*(1-Sev),0)</f>
        <v>0</v>
      </c>
      <c r="K2244" s="71" t="n">
        <f aca="false">IF(AND(9&lt;=Hold_Yrs,9-ROUND(Rec_Lag,0)&gt;=1),INDEX($C729:$L729,1,9-ROUND(Rec_Lag,0))*(1-Sev),0)</f>
        <v>0</v>
      </c>
      <c r="L2244" s="71" t="n">
        <f aca="false">IF(AND(10&lt;=Hold_Yrs,10-ROUND(Rec_Lag,0)&gt;=1),INDEX($C729:$L729,1,10-ROUND(Rec_Lag,0))*(1-Sev),0)</f>
        <v>0</v>
      </c>
    </row>
    <row r="2245" customFormat="false" ht="15" hidden="false" customHeight="false" outlineLevel="0" collapsed="false">
      <c r="B2245" s="102" t="n">
        <f aca="false">'Loan Tape'!$A120</f>
        <v>0</v>
      </c>
      <c r="C2245" s="99" t="n">
        <f aca="false">IF(AND(1&lt;=Hold_Yrs,1-ROUND(Rec_Lag,0)&gt;=1),INDEX($C730:$L730,1,1-ROUND(Rec_Lag,0))*(1-Sev),0)</f>
        <v>0</v>
      </c>
      <c r="D2245" s="99" t="n">
        <f aca="false">IF(AND(2&lt;=Hold_Yrs,2-ROUND(Rec_Lag,0)&gt;=1),INDEX($C730:$L730,1,2-ROUND(Rec_Lag,0))*(1-Sev),0)</f>
        <v>0</v>
      </c>
      <c r="E2245" s="99" t="n">
        <f aca="false">IF(AND(3&lt;=Hold_Yrs,3-ROUND(Rec_Lag,0)&gt;=1),INDEX($C730:$L730,1,3-ROUND(Rec_Lag,0))*(1-Sev),0)</f>
        <v>0</v>
      </c>
      <c r="F2245" s="99" t="n">
        <f aca="false">IF(AND(4&lt;=Hold_Yrs,4-ROUND(Rec_Lag,0)&gt;=1),INDEX($C730:$L730,1,4-ROUND(Rec_Lag,0))*(1-Sev),0)</f>
        <v>0</v>
      </c>
      <c r="G2245" s="99" t="n">
        <f aca="false">IF(AND(5&lt;=Hold_Yrs,5-ROUND(Rec_Lag,0)&gt;=1),INDEX($C730:$L730,1,5-ROUND(Rec_Lag,0))*(1-Sev),0)</f>
        <v>0</v>
      </c>
      <c r="H2245" s="99" t="n">
        <f aca="false">IF(AND(6&lt;=Hold_Yrs,6-ROUND(Rec_Lag,0)&gt;=1),INDEX($C730:$L730,1,6-ROUND(Rec_Lag,0))*(1-Sev),0)</f>
        <v>0</v>
      </c>
      <c r="I2245" s="99" t="n">
        <f aca="false">IF(AND(7&lt;=Hold_Yrs,7-ROUND(Rec_Lag,0)&gt;=1),INDEX($C730:$L730,1,7-ROUND(Rec_Lag,0))*(1-Sev),0)</f>
        <v>0</v>
      </c>
      <c r="J2245" s="99" t="n">
        <f aca="false">IF(AND(8&lt;=Hold_Yrs,8-ROUND(Rec_Lag,0)&gt;=1),INDEX($C730:$L730,1,8-ROUND(Rec_Lag,0))*(1-Sev),0)</f>
        <v>0</v>
      </c>
      <c r="K2245" s="99" t="n">
        <f aca="false">IF(AND(9&lt;=Hold_Yrs,9-ROUND(Rec_Lag,0)&gt;=1),INDEX($C730:$L730,1,9-ROUND(Rec_Lag,0))*(1-Sev),0)</f>
        <v>0</v>
      </c>
      <c r="L2245" s="99" t="n">
        <f aca="false">IF(AND(10&lt;=Hold_Yrs,10-ROUND(Rec_Lag,0)&gt;=1),INDEX($C730:$L730,1,10-ROUND(Rec_Lag,0))*(1-Sev),0)</f>
        <v>0</v>
      </c>
    </row>
    <row r="2246" customFormat="false" ht="15" hidden="false" customHeight="false" outlineLevel="0" collapsed="false">
      <c r="B2246" s="108" t="n">
        <f aca="false">'Loan Tape'!$A121</f>
        <v>0</v>
      </c>
      <c r="C2246" s="71" t="n">
        <f aca="false">IF(AND(1&lt;=Hold_Yrs,1-ROUND(Rec_Lag,0)&gt;=1),INDEX($C731:$L731,1,1-ROUND(Rec_Lag,0))*(1-Sev),0)</f>
        <v>0</v>
      </c>
      <c r="D2246" s="71" t="n">
        <f aca="false">IF(AND(2&lt;=Hold_Yrs,2-ROUND(Rec_Lag,0)&gt;=1),INDEX($C731:$L731,1,2-ROUND(Rec_Lag,0))*(1-Sev),0)</f>
        <v>0</v>
      </c>
      <c r="E2246" s="71" t="n">
        <f aca="false">IF(AND(3&lt;=Hold_Yrs,3-ROUND(Rec_Lag,0)&gt;=1),INDEX($C731:$L731,1,3-ROUND(Rec_Lag,0))*(1-Sev),0)</f>
        <v>0</v>
      </c>
      <c r="F2246" s="71" t="n">
        <f aca="false">IF(AND(4&lt;=Hold_Yrs,4-ROUND(Rec_Lag,0)&gt;=1),INDEX($C731:$L731,1,4-ROUND(Rec_Lag,0))*(1-Sev),0)</f>
        <v>0</v>
      </c>
      <c r="G2246" s="71" t="n">
        <f aca="false">IF(AND(5&lt;=Hold_Yrs,5-ROUND(Rec_Lag,0)&gt;=1),INDEX($C731:$L731,1,5-ROUND(Rec_Lag,0))*(1-Sev),0)</f>
        <v>0</v>
      </c>
      <c r="H2246" s="71" t="n">
        <f aca="false">IF(AND(6&lt;=Hold_Yrs,6-ROUND(Rec_Lag,0)&gt;=1),INDEX($C731:$L731,1,6-ROUND(Rec_Lag,0))*(1-Sev),0)</f>
        <v>0</v>
      </c>
      <c r="I2246" s="71" t="n">
        <f aca="false">IF(AND(7&lt;=Hold_Yrs,7-ROUND(Rec_Lag,0)&gt;=1),INDEX($C731:$L731,1,7-ROUND(Rec_Lag,0))*(1-Sev),0)</f>
        <v>0</v>
      </c>
      <c r="J2246" s="71" t="n">
        <f aca="false">IF(AND(8&lt;=Hold_Yrs,8-ROUND(Rec_Lag,0)&gt;=1),INDEX($C731:$L731,1,8-ROUND(Rec_Lag,0))*(1-Sev),0)</f>
        <v>0</v>
      </c>
      <c r="K2246" s="71" t="n">
        <f aca="false">IF(AND(9&lt;=Hold_Yrs,9-ROUND(Rec_Lag,0)&gt;=1),INDEX($C731:$L731,1,9-ROUND(Rec_Lag,0))*(1-Sev),0)</f>
        <v>0</v>
      </c>
      <c r="L2246" s="71" t="n">
        <f aca="false">IF(AND(10&lt;=Hold_Yrs,10-ROUND(Rec_Lag,0)&gt;=1),INDEX($C731:$L731,1,10-ROUND(Rec_Lag,0))*(1-Sev),0)</f>
        <v>0</v>
      </c>
    </row>
    <row r="2247" customFormat="false" ht="15" hidden="false" customHeight="false" outlineLevel="0" collapsed="false">
      <c r="B2247" s="102" t="n">
        <f aca="false">'Loan Tape'!$A122</f>
        <v>0</v>
      </c>
      <c r="C2247" s="99" t="n">
        <f aca="false">IF(AND(1&lt;=Hold_Yrs,1-ROUND(Rec_Lag,0)&gt;=1),INDEX($C732:$L732,1,1-ROUND(Rec_Lag,0))*(1-Sev),0)</f>
        <v>0</v>
      </c>
      <c r="D2247" s="99" t="n">
        <f aca="false">IF(AND(2&lt;=Hold_Yrs,2-ROUND(Rec_Lag,0)&gt;=1),INDEX($C732:$L732,1,2-ROUND(Rec_Lag,0))*(1-Sev),0)</f>
        <v>0</v>
      </c>
      <c r="E2247" s="99" t="n">
        <f aca="false">IF(AND(3&lt;=Hold_Yrs,3-ROUND(Rec_Lag,0)&gt;=1),INDEX($C732:$L732,1,3-ROUND(Rec_Lag,0))*(1-Sev),0)</f>
        <v>0</v>
      </c>
      <c r="F2247" s="99" t="n">
        <f aca="false">IF(AND(4&lt;=Hold_Yrs,4-ROUND(Rec_Lag,0)&gt;=1),INDEX($C732:$L732,1,4-ROUND(Rec_Lag,0))*(1-Sev),0)</f>
        <v>0</v>
      </c>
      <c r="G2247" s="99" t="n">
        <f aca="false">IF(AND(5&lt;=Hold_Yrs,5-ROUND(Rec_Lag,0)&gt;=1),INDEX($C732:$L732,1,5-ROUND(Rec_Lag,0))*(1-Sev),0)</f>
        <v>0</v>
      </c>
      <c r="H2247" s="99" t="n">
        <f aca="false">IF(AND(6&lt;=Hold_Yrs,6-ROUND(Rec_Lag,0)&gt;=1),INDEX($C732:$L732,1,6-ROUND(Rec_Lag,0))*(1-Sev),0)</f>
        <v>0</v>
      </c>
      <c r="I2247" s="99" t="n">
        <f aca="false">IF(AND(7&lt;=Hold_Yrs,7-ROUND(Rec_Lag,0)&gt;=1),INDEX($C732:$L732,1,7-ROUND(Rec_Lag,0))*(1-Sev),0)</f>
        <v>0</v>
      </c>
      <c r="J2247" s="99" t="n">
        <f aca="false">IF(AND(8&lt;=Hold_Yrs,8-ROUND(Rec_Lag,0)&gt;=1),INDEX($C732:$L732,1,8-ROUND(Rec_Lag,0))*(1-Sev),0)</f>
        <v>0</v>
      </c>
      <c r="K2247" s="99" t="n">
        <f aca="false">IF(AND(9&lt;=Hold_Yrs,9-ROUND(Rec_Lag,0)&gt;=1),INDEX($C732:$L732,1,9-ROUND(Rec_Lag,0))*(1-Sev),0)</f>
        <v>0</v>
      </c>
      <c r="L2247" s="99" t="n">
        <f aca="false">IF(AND(10&lt;=Hold_Yrs,10-ROUND(Rec_Lag,0)&gt;=1),INDEX($C732:$L732,1,10-ROUND(Rec_Lag,0))*(1-Sev),0)</f>
        <v>0</v>
      </c>
    </row>
    <row r="2248" customFormat="false" ht="15" hidden="false" customHeight="false" outlineLevel="0" collapsed="false">
      <c r="B2248" s="108" t="n">
        <f aca="false">'Loan Tape'!$A123</f>
        <v>0</v>
      </c>
      <c r="C2248" s="71" t="n">
        <f aca="false">IF(AND(1&lt;=Hold_Yrs,1-ROUND(Rec_Lag,0)&gt;=1),INDEX($C733:$L733,1,1-ROUND(Rec_Lag,0))*(1-Sev),0)</f>
        <v>0</v>
      </c>
      <c r="D2248" s="71" t="n">
        <f aca="false">IF(AND(2&lt;=Hold_Yrs,2-ROUND(Rec_Lag,0)&gt;=1),INDEX($C733:$L733,1,2-ROUND(Rec_Lag,0))*(1-Sev),0)</f>
        <v>0</v>
      </c>
      <c r="E2248" s="71" t="n">
        <f aca="false">IF(AND(3&lt;=Hold_Yrs,3-ROUND(Rec_Lag,0)&gt;=1),INDEX($C733:$L733,1,3-ROUND(Rec_Lag,0))*(1-Sev),0)</f>
        <v>0</v>
      </c>
      <c r="F2248" s="71" t="n">
        <f aca="false">IF(AND(4&lt;=Hold_Yrs,4-ROUND(Rec_Lag,0)&gt;=1),INDEX($C733:$L733,1,4-ROUND(Rec_Lag,0))*(1-Sev),0)</f>
        <v>0</v>
      </c>
      <c r="G2248" s="71" t="n">
        <f aca="false">IF(AND(5&lt;=Hold_Yrs,5-ROUND(Rec_Lag,0)&gt;=1),INDEX($C733:$L733,1,5-ROUND(Rec_Lag,0))*(1-Sev),0)</f>
        <v>0</v>
      </c>
      <c r="H2248" s="71" t="n">
        <f aca="false">IF(AND(6&lt;=Hold_Yrs,6-ROUND(Rec_Lag,0)&gt;=1),INDEX($C733:$L733,1,6-ROUND(Rec_Lag,0))*(1-Sev),0)</f>
        <v>0</v>
      </c>
      <c r="I2248" s="71" t="n">
        <f aca="false">IF(AND(7&lt;=Hold_Yrs,7-ROUND(Rec_Lag,0)&gt;=1),INDEX($C733:$L733,1,7-ROUND(Rec_Lag,0))*(1-Sev),0)</f>
        <v>0</v>
      </c>
      <c r="J2248" s="71" t="n">
        <f aca="false">IF(AND(8&lt;=Hold_Yrs,8-ROUND(Rec_Lag,0)&gt;=1),INDEX($C733:$L733,1,8-ROUND(Rec_Lag,0))*(1-Sev),0)</f>
        <v>0</v>
      </c>
      <c r="K2248" s="71" t="n">
        <f aca="false">IF(AND(9&lt;=Hold_Yrs,9-ROUND(Rec_Lag,0)&gt;=1),INDEX($C733:$L733,1,9-ROUND(Rec_Lag,0))*(1-Sev),0)</f>
        <v>0</v>
      </c>
      <c r="L2248" s="71" t="n">
        <f aca="false">IF(AND(10&lt;=Hold_Yrs,10-ROUND(Rec_Lag,0)&gt;=1),INDEX($C733:$L733,1,10-ROUND(Rec_Lag,0))*(1-Sev),0)</f>
        <v>0</v>
      </c>
    </row>
    <row r="2249" customFormat="false" ht="15" hidden="false" customHeight="false" outlineLevel="0" collapsed="false">
      <c r="B2249" s="102" t="n">
        <f aca="false">'Loan Tape'!$A124</f>
        <v>0</v>
      </c>
      <c r="C2249" s="99" t="n">
        <f aca="false">IF(AND(1&lt;=Hold_Yrs,1-ROUND(Rec_Lag,0)&gt;=1),INDEX($C734:$L734,1,1-ROUND(Rec_Lag,0))*(1-Sev),0)</f>
        <v>0</v>
      </c>
      <c r="D2249" s="99" t="n">
        <f aca="false">IF(AND(2&lt;=Hold_Yrs,2-ROUND(Rec_Lag,0)&gt;=1),INDEX($C734:$L734,1,2-ROUND(Rec_Lag,0))*(1-Sev),0)</f>
        <v>0</v>
      </c>
      <c r="E2249" s="99" t="n">
        <f aca="false">IF(AND(3&lt;=Hold_Yrs,3-ROUND(Rec_Lag,0)&gt;=1),INDEX($C734:$L734,1,3-ROUND(Rec_Lag,0))*(1-Sev),0)</f>
        <v>0</v>
      </c>
      <c r="F2249" s="99" t="n">
        <f aca="false">IF(AND(4&lt;=Hold_Yrs,4-ROUND(Rec_Lag,0)&gt;=1),INDEX($C734:$L734,1,4-ROUND(Rec_Lag,0))*(1-Sev),0)</f>
        <v>0</v>
      </c>
      <c r="G2249" s="99" t="n">
        <f aca="false">IF(AND(5&lt;=Hold_Yrs,5-ROUND(Rec_Lag,0)&gt;=1),INDEX($C734:$L734,1,5-ROUND(Rec_Lag,0))*(1-Sev),0)</f>
        <v>0</v>
      </c>
      <c r="H2249" s="99" t="n">
        <f aca="false">IF(AND(6&lt;=Hold_Yrs,6-ROUND(Rec_Lag,0)&gt;=1),INDEX($C734:$L734,1,6-ROUND(Rec_Lag,0))*(1-Sev),0)</f>
        <v>0</v>
      </c>
      <c r="I2249" s="99" t="n">
        <f aca="false">IF(AND(7&lt;=Hold_Yrs,7-ROUND(Rec_Lag,0)&gt;=1),INDEX($C734:$L734,1,7-ROUND(Rec_Lag,0))*(1-Sev),0)</f>
        <v>0</v>
      </c>
      <c r="J2249" s="99" t="n">
        <f aca="false">IF(AND(8&lt;=Hold_Yrs,8-ROUND(Rec_Lag,0)&gt;=1),INDEX($C734:$L734,1,8-ROUND(Rec_Lag,0))*(1-Sev),0)</f>
        <v>0</v>
      </c>
      <c r="K2249" s="99" t="n">
        <f aca="false">IF(AND(9&lt;=Hold_Yrs,9-ROUND(Rec_Lag,0)&gt;=1),INDEX($C734:$L734,1,9-ROUND(Rec_Lag,0))*(1-Sev),0)</f>
        <v>0</v>
      </c>
      <c r="L2249" s="99" t="n">
        <f aca="false">IF(AND(10&lt;=Hold_Yrs,10-ROUND(Rec_Lag,0)&gt;=1),INDEX($C734:$L734,1,10-ROUND(Rec_Lag,0))*(1-Sev),0)</f>
        <v>0</v>
      </c>
    </row>
    <row r="2250" customFormat="false" ht="15" hidden="false" customHeight="false" outlineLevel="0" collapsed="false">
      <c r="B2250" s="108" t="n">
        <f aca="false">'Loan Tape'!$A125</f>
        <v>0</v>
      </c>
      <c r="C2250" s="71" t="n">
        <f aca="false">IF(AND(1&lt;=Hold_Yrs,1-ROUND(Rec_Lag,0)&gt;=1),INDEX($C735:$L735,1,1-ROUND(Rec_Lag,0))*(1-Sev),0)</f>
        <v>0</v>
      </c>
      <c r="D2250" s="71" t="n">
        <f aca="false">IF(AND(2&lt;=Hold_Yrs,2-ROUND(Rec_Lag,0)&gt;=1),INDEX($C735:$L735,1,2-ROUND(Rec_Lag,0))*(1-Sev),0)</f>
        <v>0</v>
      </c>
      <c r="E2250" s="71" t="n">
        <f aca="false">IF(AND(3&lt;=Hold_Yrs,3-ROUND(Rec_Lag,0)&gt;=1),INDEX($C735:$L735,1,3-ROUND(Rec_Lag,0))*(1-Sev),0)</f>
        <v>0</v>
      </c>
      <c r="F2250" s="71" t="n">
        <f aca="false">IF(AND(4&lt;=Hold_Yrs,4-ROUND(Rec_Lag,0)&gt;=1),INDEX($C735:$L735,1,4-ROUND(Rec_Lag,0))*(1-Sev),0)</f>
        <v>0</v>
      </c>
      <c r="G2250" s="71" t="n">
        <f aca="false">IF(AND(5&lt;=Hold_Yrs,5-ROUND(Rec_Lag,0)&gt;=1),INDEX($C735:$L735,1,5-ROUND(Rec_Lag,0))*(1-Sev),0)</f>
        <v>0</v>
      </c>
      <c r="H2250" s="71" t="n">
        <f aca="false">IF(AND(6&lt;=Hold_Yrs,6-ROUND(Rec_Lag,0)&gt;=1),INDEX($C735:$L735,1,6-ROUND(Rec_Lag,0))*(1-Sev),0)</f>
        <v>0</v>
      </c>
      <c r="I2250" s="71" t="n">
        <f aca="false">IF(AND(7&lt;=Hold_Yrs,7-ROUND(Rec_Lag,0)&gt;=1),INDEX($C735:$L735,1,7-ROUND(Rec_Lag,0))*(1-Sev),0)</f>
        <v>0</v>
      </c>
      <c r="J2250" s="71" t="n">
        <f aca="false">IF(AND(8&lt;=Hold_Yrs,8-ROUND(Rec_Lag,0)&gt;=1),INDEX($C735:$L735,1,8-ROUND(Rec_Lag,0))*(1-Sev),0)</f>
        <v>0</v>
      </c>
      <c r="K2250" s="71" t="n">
        <f aca="false">IF(AND(9&lt;=Hold_Yrs,9-ROUND(Rec_Lag,0)&gt;=1),INDEX($C735:$L735,1,9-ROUND(Rec_Lag,0))*(1-Sev),0)</f>
        <v>0</v>
      </c>
      <c r="L2250" s="71" t="n">
        <f aca="false">IF(AND(10&lt;=Hold_Yrs,10-ROUND(Rec_Lag,0)&gt;=1),INDEX($C735:$L735,1,10-ROUND(Rec_Lag,0))*(1-Sev),0)</f>
        <v>0</v>
      </c>
    </row>
    <row r="2251" customFormat="false" ht="15" hidden="false" customHeight="false" outlineLevel="0" collapsed="false">
      <c r="B2251" s="102" t="n">
        <f aca="false">'Loan Tape'!$A126</f>
        <v>0</v>
      </c>
      <c r="C2251" s="99" t="n">
        <f aca="false">IF(AND(1&lt;=Hold_Yrs,1-ROUND(Rec_Lag,0)&gt;=1),INDEX($C736:$L736,1,1-ROUND(Rec_Lag,0))*(1-Sev),0)</f>
        <v>0</v>
      </c>
      <c r="D2251" s="99" t="n">
        <f aca="false">IF(AND(2&lt;=Hold_Yrs,2-ROUND(Rec_Lag,0)&gt;=1),INDEX($C736:$L736,1,2-ROUND(Rec_Lag,0))*(1-Sev),0)</f>
        <v>0</v>
      </c>
      <c r="E2251" s="99" t="n">
        <f aca="false">IF(AND(3&lt;=Hold_Yrs,3-ROUND(Rec_Lag,0)&gt;=1),INDEX($C736:$L736,1,3-ROUND(Rec_Lag,0))*(1-Sev),0)</f>
        <v>0</v>
      </c>
      <c r="F2251" s="99" t="n">
        <f aca="false">IF(AND(4&lt;=Hold_Yrs,4-ROUND(Rec_Lag,0)&gt;=1),INDEX($C736:$L736,1,4-ROUND(Rec_Lag,0))*(1-Sev),0)</f>
        <v>0</v>
      </c>
      <c r="G2251" s="99" t="n">
        <f aca="false">IF(AND(5&lt;=Hold_Yrs,5-ROUND(Rec_Lag,0)&gt;=1),INDEX($C736:$L736,1,5-ROUND(Rec_Lag,0))*(1-Sev),0)</f>
        <v>0</v>
      </c>
      <c r="H2251" s="99" t="n">
        <f aca="false">IF(AND(6&lt;=Hold_Yrs,6-ROUND(Rec_Lag,0)&gt;=1),INDEX($C736:$L736,1,6-ROUND(Rec_Lag,0))*(1-Sev),0)</f>
        <v>0</v>
      </c>
      <c r="I2251" s="99" t="n">
        <f aca="false">IF(AND(7&lt;=Hold_Yrs,7-ROUND(Rec_Lag,0)&gt;=1),INDEX($C736:$L736,1,7-ROUND(Rec_Lag,0))*(1-Sev),0)</f>
        <v>0</v>
      </c>
      <c r="J2251" s="99" t="n">
        <f aca="false">IF(AND(8&lt;=Hold_Yrs,8-ROUND(Rec_Lag,0)&gt;=1),INDEX($C736:$L736,1,8-ROUND(Rec_Lag,0))*(1-Sev),0)</f>
        <v>0</v>
      </c>
      <c r="K2251" s="99" t="n">
        <f aca="false">IF(AND(9&lt;=Hold_Yrs,9-ROUND(Rec_Lag,0)&gt;=1),INDEX($C736:$L736,1,9-ROUND(Rec_Lag,0))*(1-Sev),0)</f>
        <v>0</v>
      </c>
      <c r="L2251" s="99" t="n">
        <f aca="false">IF(AND(10&lt;=Hold_Yrs,10-ROUND(Rec_Lag,0)&gt;=1),INDEX($C736:$L736,1,10-ROUND(Rec_Lag,0))*(1-Sev),0)</f>
        <v>0</v>
      </c>
    </row>
    <row r="2252" customFormat="false" ht="15" hidden="false" customHeight="false" outlineLevel="0" collapsed="false">
      <c r="B2252" s="108" t="n">
        <f aca="false">'Loan Tape'!$A127</f>
        <v>0</v>
      </c>
      <c r="C2252" s="71" t="n">
        <f aca="false">IF(AND(1&lt;=Hold_Yrs,1-ROUND(Rec_Lag,0)&gt;=1),INDEX($C737:$L737,1,1-ROUND(Rec_Lag,0))*(1-Sev),0)</f>
        <v>0</v>
      </c>
      <c r="D2252" s="71" t="n">
        <f aca="false">IF(AND(2&lt;=Hold_Yrs,2-ROUND(Rec_Lag,0)&gt;=1),INDEX($C737:$L737,1,2-ROUND(Rec_Lag,0))*(1-Sev),0)</f>
        <v>0</v>
      </c>
      <c r="E2252" s="71" t="n">
        <f aca="false">IF(AND(3&lt;=Hold_Yrs,3-ROUND(Rec_Lag,0)&gt;=1),INDEX($C737:$L737,1,3-ROUND(Rec_Lag,0))*(1-Sev),0)</f>
        <v>0</v>
      </c>
      <c r="F2252" s="71" t="n">
        <f aca="false">IF(AND(4&lt;=Hold_Yrs,4-ROUND(Rec_Lag,0)&gt;=1),INDEX($C737:$L737,1,4-ROUND(Rec_Lag,0))*(1-Sev),0)</f>
        <v>0</v>
      </c>
      <c r="G2252" s="71" t="n">
        <f aca="false">IF(AND(5&lt;=Hold_Yrs,5-ROUND(Rec_Lag,0)&gt;=1),INDEX($C737:$L737,1,5-ROUND(Rec_Lag,0))*(1-Sev),0)</f>
        <v>0</v>
      </c>
      <c r="H2252" s="71" t="n">
        <f aca="false">IF(AND(6&lt;=Hold_Yrs,6-ROUND(Rec_Lag,0)&gt;=1),INDEX($C737:$L737,1,6-ROUND(Rec_Lag,0))*(1-Sev),0)</f>
        <v>0</v>
      </c>
      <c r="I2252" s="71" t="n">
        <f aca="false">IF(AND(7&lt;=Hold_Yrs,7-ROUND(Rec_Lag,0)&gt;=1),INDEX($C737:$L737,1,7-ROUND(Rec_Lag,0))*(1-Sev),0)</f>
        <v>0</v>
      </c>
      <c r="J2252" s="71" t="n">
        <f aca="false">IF(AND(8&lt;=Hold_Yrs,8-ROUND(Rec_Lag,0)&gt;=1),INDEX($C737:$L737,1,8-ROUND(Rec_Lag,0))*(1-Sev),0)</f>
        <v>0</v>
      </c>
      <c r="K2252" s="71" t="n">
        <f aca="false">IF(AND(9&lt;=Hold_Yrs,9-ROUND(Rec_Lag,0)&gt;=1),INDEX($C737:$L737,1,9-ROUND(Rec_Lag,0))*(1-Sev),0)</f>
        <v>0</v>
      </c>
      <c r="L2252" s="71" t="n">
        <f aca="false">IF(AND(10&lt;=Hold_Yrs,10-ROUND(Rec_Lag,0)&gt;=1),INDEX($C737:$L737,1,10-ROUND(Rec_Lag,0))*(1-Sev),0)</f>
        <v>0</v>
      </c>
    </row>
    <row r="2253" customFormat="false" ht="15" hidden="false" customHeight="false" outlineLevel="0" collapsed="false">
      <c r="B2253" s="102" t="n">
        <f aca="false">'Loan Tape'!$A128</f>
        <v>0</v>
      </c>
      <c r="C2253" s="99" t="n">
        <f aca="false">IF(AND(1&lt;=Hold_Yrs,1-ROUND(Rec_Lag,0)&gt;=1),INDEX($C738:$L738,1,1-ROUND(Rec_Lag,0))*(1-Sev),0)</f>
        <v>0</v>
      </c>
      <c r="D2253" s="99" t="n">
        <f aca="false">IF(AND(2&lt;=Hold_Yrs,2-ROUND(Rec_Lag,0)&gt;=1),INDEX($C738:$L738,1,2-ROUND(Rec_Lag,0))*(1-Sev),0)</f>
        <v>0</v>
      </c>
      <c r="E2253" s="99" t="n">
        <f aca="false">IF(AND(3&lt;=Hold_Yrs,3-ROUND(Rec_Lag,0)&gt;=1),INDEX($C738:$L738,1,3-ROUND(Rec_Lag,0))*(1-Sev),0)</f>
        <v>0</v>
      </c>
      <c r="F2253" s="99" t="n">
        <f aca="false">IF(AND(4&lt;=Hold_Yrs,4-ROUND(Rec_Lag,0)&gt;=1),INDEX($C738:$L738,1,4-ROUND(Rec_Lag,0))*(1-Sev),0)</f>
        <v>0</v>
      </c>
      <c r="G2253" s="99" t="n">
        <f aca="false">IF(AND(5&lt;=Hold_Yrs,5-ROUND(Rec_Lag,0)&gt;=1),INDEX($C738:$L738,1,5-ROUND(Rec_Lag,0))*(1-Sev),0)</f>
        <v>0</v>
      </c>
      <c r="H2253" s="99" t="n">
        <f aca="false">IF(AND(6&lt;=Hold_Yrs,6-ROUND(Rec_Lag,0)&gt;=1),INDEX($C738:$L738,1,6-ROUND(Rec_Lag,0))*(1-Sev),0)</f>
        <v>0</v>
      </c>
      <c r="I2253" s="99" t="n">
        <f aca="false">IF(AND(7&lt;=Hold_Yrs,7-ROUND(Rec_Lag,0)&gt;=1),INDEX($C738:$L738,1,7-ROUND(Rec_Lag,0))*(1-Sev),0)</f>
        <v>0</v>
      </c>
      <c r="J2253" s="99" t="n">
        <f aca="false">IF(AND(8&lt;=Hold_Yrs,8-ROUND(Rec_Lag,0)&gt;=1),INDEX($C738:$L738,1,8-ROUND(Rec_Lag,0))*(1-Sev),0)</f>
        <v>0</v>
      </c>
      <c r="K2253" s="99" t="n">
        <f aca="false">IF(AND(9&lt;=Hold_Yrs,9-ROUND(Rec_Lag,0)&gt;=1),INDEX($C738:$L738,1,9-ROUND(Rec_Lag,0))*(1-Sev),0)</f>
        <v>0</v>
      </c>
      <c r="L2253" s="99" t="n">
        <f aca="false">IF(AND(10&lt;=Hold_Yrs,10-ROUND(Rec_Lag,0)&gt;=1),INDEX($C738:$L738,1,10-ROUND(Rec_Lag,0))*(1-Sev),0)</f>
        <v>0</v>
      </c>
    </row>
    <row r="2254" customFormat="false" ht="15" hidden="false" customHeight="false" outlineLevel="0" collapsed="false">
      <c r="B2254" s="108" t="n">
        <f aca="false">'Loan Tape'!$A129</f>
        <v>0</v>
      </c>
      <c r="C2254" s="71" t="n">
        <f aca="false">IF(AND(1&lt;=Hold_Yrs,1-ROUND(Rec_Lag,0)&gt;=1),INDEX($C739:$L739,1,1-ROUND(Rec_Lag,0))*(1-Sev),0)</f>
        <v>0</v>
      </c>
      <c r="D2254" s="71" t="n">
        <f aca="false">IF(AND(2&lt;=Hold_Yrs,2-ROUND(Rec_Lag,0)&gt;=1),INDEX($C739:$L739,1,2-ROUND(Rec_Lag,0))*(1-Sev),0)</f>
        <v>0</v>
      </c>
      <c r="E2254" s="71" t="n">
        <f aca="false">IF(AND(3&lt;=Hold_Yrs,3-ROUND(Rec_Lag,0)&gt;=1),INDEX($C739:$L739,1,3-ROUND(Rec_Lag,0))*(1-Sev),0)</f>
        <v>0</v>
      </c>
      <c r="F2254" s="71" t="n">
        <f aca="false">IF(AND(4&lt;=Hold_Yrs,4-ROUND(Rec_Lag,0)&gt;=1),INDEX($C739:$L739,1,4-ROUND(Rec_Lag,0))*(1-Sev),0)</f>
        <v>0</v>
      </c>
      <c r="G2254" s="71" t="n">
        <f aca="false">IF(AND(5&lt;=Hold_Yrs,5-ROUND(Rec_Lag,0)&gt;=1),INDEX($C739:$L739,1,5-ROUND(Rec_Lag,0))*(1-Sev),0)</f>
        <v>0</v>
      </c>
      <c r="H2254" s="71" t="n">
        <f aca="false">IF(AND(6&lt;=Hold_Yrs,6-ROUND(Rec_Lag,0)&gt;=1),INDEX($C739:$L739,1,6-ROUND(Rec_Lag,0))*(1-Sev),0)</f>
        <v>0</v>
      </c>
      <c r="I2254" s="71" t="n">
        <f aca="false">IF(AND(7&lt;=Hold_Yrs,7-ROUND(Rec_Lag,0)&gt;=1),INDEX($C739:$L739,1,7-ROUND(Rec_Lag,0))*(1-Sev),0)</f>
        <v>0</v>
      </c>
      <c r="J2254" s="71" t="n">
        <f aca="false">IF(AND(8&lt;=Hold_Yrs,8-ROUND(Rec_Lag,0)&gt;=1),INDEX($C739:$L739,1,8-ROUND(Rec_Lag,0))*(1-Sev),0)</f>
        <v>0</v>
      </c>
      <c r="K2254" s="71" t="n">
        <f aca="false">IF(AND(9&lt;=Hold_Yrs,9-ROUND(Rec_Lag,0)&gt;=1),INDEX($C739:$L739,1,9-ROUND(Rec_Lag,0))*(1-Sev),0)</f>
        <v>0</v>
      </c>
      <c r="L2254" s="71" t="n">
        <f aca="false">IF(AND(10&lt;=Hold_Yrs,10-ROUND(Rec_Lag,0)&gt;=1),INDEX($C739:$L739,1,10-ROUND(Rec_Lag,0))*(1-Sev),0)</f>
        <v>0</v>
      </c>
    </row>
    <row r="2255" customFormat="false" ht="15" hidden="false" customHeight="false" outlineLevel="0" collapsed="false">
      <c r="B2255" s="102" t="n">
        <f aca="false">'Loan Tape'!$A130</f>
        <v>0</v>
      </c>
      <c r="C2255" s="99" t="n">
        <f aca="false">IF(AND(1&lt;=Hold_Yrs,1-ROUND(Rec_Lag,0)&gt;=1),INDEX($C740:$L740,1,1-ROUND(Rec_Lag,0))*(1-Sev),0)</f>
        <v>0</v>
      </c>
      <c r="D2255" s="99" t="n">
        <f aca="false">IF(AND(2&lt;=Hold_Yrs,2-ROUND(Rec_Lag,0)&gt;=1),INDEX($C740:$L740,1,2-ROUND(Rec_Lag,0))*(1-Sev),0)</f>
        <v>0</v>
      </c>
      <c r="E2255" s="99" t="n">
        <f aca="false">IF(AND(3&lt;=Hold_Yrs,3-ROUND(Rec_Lag,0)&gt;=1),INDEX($C740:$L740,1,3-ROUND(Rec_Lag,0))*(1-Sev),0)</f>
        <v>0</v>
      </c>
      <c r="F2255" s="99" t="n">
        <f aca="false">IF(AND(4&lt;=Hold_Yrs,4-ROUND(Rec_Lag,0)&gt;=1),INDEX($C740:$L740,1,4-ROUND(Rec_Lag,0))*(1-Sev),0)</f>
        <v>0</v>
      </c>
      <c r="G2255" s="99" t="n">
        <f aca="false">IF(AND(5&lt;=Hold_Yrs,5-ROUND(Rec_Lag,0)&gt;=1),INDEX($C740:$L740,1,5-ROUND(Rec_Lag,0))*(1-Sev),0)</f>
        <v>0</v>
      </c>
      <c r="H2255" s="99" t="n">
        <f aca="false">IF(AND(6&lt;=Hold_Yrs,6-ROUND(Rec_Lag,0)&gt;=1),INDEX($C740:$L740,1,6-ROUND(Rec_Lag,0))*(1-Sev),0)</f>
        <v>0</v>
      </c>
      <c r="I2255" s="99" t="n">
        <f aca="false">IF(AND(7&lt;=Hold_Yrs,7-ROUND(Rec_Lag,0)&gt;=1),INDEX($C740:$L740,1,7-ROUND(Rec_Lag,0))*(1-Sev),0)</f>
        <v>0</v>
      </c>
      <c r="J2255" s="99" t="n">
        <f aca="false">IF(AND(8&lt;=Hold_Yrs,8-ROUND(Rec_Lag,0)&gt;=1),INDEX($C740:$L740,1,8-ROUND(Rec_Lag,0))*(1-Sev),0)</f>
        <v>0</v>
      </c>
      <c r="K2255" s="99" t="n">
        <f aca="false">IF(AND(9&lt;=Hold_Yrs,9-ROUND(Rec_Lag,0)&gt;=1),INDEX($C740:$L740,1,9-ROUND(Rec_Lag,0))*(1-Sev),0)</f>
        <v>0</v>
      </c>
      <c r="L2255" s="99" t="n">
        <f aca="false">IF(AND(10&lt;=Hold_Yrs,10-ROUND(Rec_Lag,0)&gt;=1),INDEX($C740:$L740,1,10-ROUND(Rec_Lag,0))*(1-Sev),0)</f>
        <v>0</v>
      </c>
    </row>
    <row r="2256" customFormat="false" ht="15" hidden="false" customHeight="false" outlineLevel="0" collapsed="false">
      <c r="B2256" s="108" t="n">
        <f aca="false">'Loan Tape'!$A131</f>
        <v>0</v>
      </c>
      <c r="C2256" s="71" t="n">
        <f aca="false">IF(AND(1&lt;=Hold_Yrs,1-ROUND(Rec_Lag,0)&gt;=1),INDEX($C741:$L741,1,1-ROUND(Rec_Lag,0))*(1-Sev),0)</f>
        <v>0</v>
      </c>
      <c r="D2256" s="71" t="n">
        <f aca="false">IF(AND(2&lt;=Hold_Yrs,2-ROUND(Rec_Lag,0)&gt;=1),INDEX($C741:$L741,1,2-ROUND(Rec_Lag,0))*(1-Sev),0)</f>
        <v>0</v>
      </c>
      <c r="E2256" s="71" t="n">
        <f aca="false">IF(AND(3&lt;=Hold_Yrs,3-ROUND(Rec_Lag,0)&gt;=1),INDEX($C741:$L741,1,3-ROUND(Rec_Lag,0))*(1-Sev),0)</f>
        <v>0</v>
      </c>
      <c r="F2256" s="71" t="n">
        <f aca="false">IF(AND(4&lt;=Hold_Yrs,4-ROUND(Rec_Lag,0)&gt;=1),INDEX($C741:$L741,1,4-ROUND(Rec_Lag,0))*(1-Sev),0)</f>
        <v>0</v>
      </c>
      <c r="G2256" s="71" t="n">
        <f aca="false">IF(AND(5&lt;=Hold_Yrs,5-ROUND(Rec_Lag,0)&gt;=1),INDEX($C741:$L741,1,5-ROUND(Rec_Lag,0))*(1-Sev),0)</f>
        <v>0</v>
      </c>
      <c r="H2256" s="71" t="n">
        <f aca="false">IF(AND(6&lt;=Hold_Yrs,6-ROUND(Rec_Lag,0)&gt;=1),INDEX($C741:$L741,1,6-ROUND(Rec_Lag,0))*(1-Sev),0)</f>
        <v>0</v>
      </c>
      <c r="I2256" s="71" t="n">
        <f aca="false">IF(AND(7&lt;=Hold_Yrs,7-ROUND(Rec_Lag,0)&gt;=1),INDEX($C741:$L741,1,7-ROUND(Rec_Lag,0))*(1-Sev),0)</f>
        <v>0</v>
      </c>
      <c r="J2256" s="71" t="n">
        <f aca="false">IF(AND(8&lt;=Hold_Yrs,8-ROUND(Rec_Lag,0)&gt;=1),INDEX($C741:$L741,1,8-ROUND(Rec_Lag,0))*(1-Sev),0)</f>
        <v>0</v>
      </c>
      <c r="K2256" s="71" t="n">
        <f aca="false">IF(AND(9&lt;=Hold_Yrs,9-ROUND(Rec_Lag,0)&gt;=1),INDEX($C741:$L741,1,9-ROUND(Rec_Lag,0))*(1-Sev),0)</f>
        <v>0</v>
      </c>
      <c r="L2256" s="71" t="n">
        <f aca="false">IF(AND(10&lt;=Hold_Yrs,10-ROUND(Rec_Lag,0)&gt;=1),INDEX($C741:$L741,1,10-ROUND(Rec_Lag,0))*(1-Sev),0)</f>
        <v>0</v>
      </c>
    </row>
    <row r="2257" customFormat="false" ht="15" hidden="false" customHeight="false" outlineLevel="0" collapsed="false">
      <c r="B2257" s="102" t="n">
        <f aca="false">'Loan Tape'!$A132</f>
        <v>0</v>
      </c>
      <c r="C2257" s="99" t="n">
        <f aca="false">IF(AND(1&lt;=Hold_Yrs,1-ROUND(Rec_Lag,0)&gt;=1),INDEX($C742:$L742,1,1-ROUND(Rec_Lag,0))*(1-Sev),0)</f>
        <v>0</v>
      </c>
      <c r="D2257" s="99" t="n">
        <f aca="false">IF(AND(2&lt;=Hold_Yrs,2-ROUND(Rec_Lag,0)&gt;=1),INDEX($C742:$L742,1,2-ROUND(Rec_Lag,0))*(1-Sev),0)</f>
        <v>0</v>
      </c>
      <c r="E2257" s="99" t="n">
        <f aca="false">IF(AND(3&lt;=Hold_Yrs,3-ROUND(Rec_Lag,0)&gt;=1),INDEX($C742:$L742,1,3-ROUND(Rec_Lag,0))*(1-Sev),0)</f>
        <v>0</v>
      </c>
      <c r="F2257" s="99" t="n">
        <f aca="false">IF(AND(4&lt;=Hold_Yrs,4-ROUND(Rec_Lag,0)&gt;=1),INDEX($C742:$L742,1,4-ROUND(Rec_Lag,0))*(1-Sev),0)</f>
        <v>0</v>
      </c>
      <c r="G2257" s="99" t="n">
        <f aca="false">IF(AND(5&lt;=Hold_Yrs,5-ROUND(Rec_Lag,0)&gt;=1),INDEX($C742:$L742,1,5-ROUND(Rec_Lag,0))*(1-Sev),0)</f>
        <v>0</v>
      </c>
      <c r="H2257" s="99" t="n">
        <f aca="false">IF(AND(6&lt;=Hold_Yrs,6-ROUND(Rec_Lag,0)&gt;=1),INDEX($C742:$L742,1,6-ROUND(Rec_Lag,0))*(1-Sev),0)</f>
        <v>0</v>
      </c>
      <c r="I2257" s="99" t="n">
        <f aca="false">IF(AND(7&lt;=Hold_Yrs,7-ROUND(Rec_Lag,0)&gt;=1),INDEX($C742:$L742,1,7-ROUND(Rec_Lag,0))*(1-Sev),0)</f>
        <v>0</v>
      </c>
      <c r="J2257" s="99" t="n">
        <f aca="false">IF(AND(8&lt;=Hold_Yrs,8-ROUND(Rec_Lag,0)&gt;=1),INDEX($C742:$L742,1,8-ROUND(Rec_Lag,0))*(1-Sev),0)</f>
        <v>0</v>
      </c>
      <c r="K2257" s="99" t="n">
        <f aca="false">IF(AND(9&lt;=Hold_Yrs,9-ROUND(Rec_Lag,0)&gt;=1),INDEX($C742:$L742,1,9-ROUND(Rec_Lag,0))*(1-Sev),0)</f>
        <v>0</v>
      </c>
      <c r="L2257" s="99" t="n">
        <f aca="false">IF(AND(10&lt;=Hold_Yrs,10-ROUND(Rec_Lag,0)&gt;=1),INDEX($C742:$L742,1,10-ROUND(Rec_Lag,0))*(1-Sev),0)</f>
        <v>0</v>
      </c>
    </row>
    <row r="2258" customFormat="false" ht="15" hidden="false" customHeight="false" outlineLevel="0" collapsed="false">
      <c r="B2258" s="108" t="n">
        <f aca="false">'Loan Tape'!$A133</f>
        <v>0</v>
      </c>
      <c r="C2258" s="71" t="n">
        <f aca="false">IF(AND(1&lt;=Hold_Yrs,1-ROUND(Rec_Lag,0)&gt;=1),INDEX($C743:$L743,1,1-ROUND(Rec_Lag,0))*(1-Sev),0)</f>
        <v>0</v>
      </c>
      <c r="D2258" s="71" t="n">
        <f aca="false">IF(AND(2&lt;=Hold_Yrs,2-ROUND(Rec_Lag,0)&gt;=1),INDEX($C743:$L743,1,2-ROUND(Rec_Lag,0))*(1-Sev),0)</f>
        <v>0</v>
      </c>
      <c r="E2258" s="71" t="n">
        <f aca="false">IF(AND(3&lt;=Hold_Yrs,3-ROUND(Rec_Lag,0)&gt;=1),INDEX($C743:$L743,1,3-ROUND(Rec_Lag,0))*(1-Sev),0)</f>
        <v>0</v>
      </c>
      <c r="F2258" s="71" t="n">
        <f aca="false">IF(AND(4&lt;=Hold_Yrs,4-ROUND(Rec_Lag,0)&gt;=1),INDEX($C743:$L743,1,4-ROUND(Rec_Lag,0))*(1-Sev),0)</f>
        <v>0</v>
      </c>
      <c r="G2258" s="71" t="n">
        <f aca="false">IF(AND(5&lt;=Hold_Yrs,5-ROUND(Rec_Lag,0)&gt;=1),INDEX($C743:$L743,1,5-ROUND(Rec_Lag,0))*(1-Sev),0)</f>
        <v>0</v>
      </c>
      <c r="H2258" s="71" t="n">
        <f aca="false">IF(AND(6&lt;=Hold_Yrs,6-ROUND(Rec_Lag,0)&gt;=1),INDEX($C743:$L743,1,6-ROUND(Rec_Lag,0))*(1-Sev),0)</f>
        <v>0</v>
      </c>
      <c r="I2258" s="71" t="n">
        <f aca="false">IF(AND(7&lt;=Hold_Yrs,7-ROUND(Rec_Lag,0)&gt;=1),INDEX($C743:$L743,1,7-ROUND(Rec_Lag,0))*(1-Sev),0)</f>
        <v>0</v>
      </c>
      <c r="J2258" s="71" t="n">
        <f aca="false">IF(AND(8&lt;=Hold_Yrs,8-ROUND(Rec_Lag,0)&gt;=1),INDEX($C743:$L743,1,8-ROUND(Rec_Lag,0))*(1-Sev),0)</f>
        <v>0</v>
      </c>
      <c r="K2258" s="71" t="n">
        <f aca="false">IF(AND(9&lt;=Hold_Yrs,9-ROUND(Rec_Lag,0)&gt;=1),INDEX($C743:$L743,1,9-ROUND(Rec_Lag,0))*(1-Sev),0)</f>
        <v>0</v>
      </c>
      <c r="L2258" s="71" t="n">
        <f aca="false">IF(AND(10&lt;=Hold_Yrs,10-ROUND(Rec_Lag,0)&gt;=1),INDEX($C743:$L743,1,10-ROUND(Rec_Lag,0))*(1-Sev),0)</f>
        <v>0</v>
      </c>
    </row>
    <row r="2259" customFormat="false" ht="15" hidden="false" customHeight="false" outlineLevel="0" collapsed="false">
      <c r="B2259" s="102" t="n">
        <f aca="false">'Loan Tape'!$A134</f>
        <v>0</v>
      </c>
      <c r="C2259" s="99" t="n">
        <f aca="false">IF(AND(1&lt;=Hold_Yrs,1-ROUND(Rec_Lag,0)&gt;=1),INDEX($C744:$L744,1,1-ROUND(Rec_Lag,0))*(1-Sev),0)</f>
        <v>0</v>
      </c>
      <c r="D2259" s="99" t="n">
        <f aca="false">IF(AND(2&lt;=Hold_Yrs,2-ROUND(Rec_Lag,0)&gt;=1),INDEX($C744:$L744,1,2-ROUND(Rec_Lag,0))*(1-Sev),0)</f>
        <v>0</v>
      </c>
      <c r="E2259" s="99" t="n">
        <f aca="false">IF(AND(3&lt;=Hold_Yrs,3-ROUND(Rec_Lag,0)&gt;=1),INDEX($C744:$L744,1,3-ROUND(Rec_Lag,0))*(1-Sev),0)</f>
        <v>0</v>
      </c>
      <c r="F2259" s="99" t="n">
        <f aca="false">IF(AND(4&lt;=Hold_Yrs,4-ROUND(Rec_Lag,0)&gt;=1),INDEX($C744:$L744,1,4-ROUND(Rec_Lag,0))*(1-Sev),0)</f>
        <v>0</v>
      </c>
      <c r="G2259" s="99" t="n">
        <f aca="false">IF(AND(5&lt;=Hold_Yrs,5-ROUND(Rec_Lag,0)&gt;=1),INDEX($C744:$L744,1,5-ROUND(Rec_Lag,0))*(1-Sev),0)</f>
        <v>0</v>
      </c>
      <c r="H2259" s="99" t="n">
        <f aca="false">IF(AND(6&lt;=Hold_Yrs,6-ROUND(Rec_Lag,0)&gt;=1),INDEX($C744:$L744,1,6-ROUND(Rec_Lag,0))*(1-Sev),0)</f>
        <v>0</v>
      </c>
      <c r="I2259" s="99" t="n">
        <f aca="false">IF(AND(7&lt;=Hold_Yrs,7-ROUND(Rec_Lag,0)&gt;=1),INDEX($C744:$L744,1,7-ROUND(Rec_Lag,0))*(1-Sev),0)</f>
        <v>0</v>
      </c>
      <c r="J2259" s="99" t="n">
        <f aca="false">IF(AND(8&lt;=Hold_Yrs,8-ROUND(Rec_Lag,0)&gt;=1),INDEX($C744:$L744,1,8-ROUND(Rec_Lag,0))*(1-Sev),0)</f>
        <v>0</v>
      </c>
      <c r="K2259" s="99" t="n">
        <f aca="false">IF(AND(9&lt;=Hold_Yrs,9-ROUND(Rec_Lag,0)&gt;=1),INDEX($C744:$L744,1,9-ROUND(Rec_Lag,0))*(1-Sev),0)</f>
        <v>0</v>
      </c>
      <c r="L2259" s="99" t="n">
        <f aca="false">IF(AND(10&lt;=Hold_Yrs,10-ROUND(Rec_Lag,0)&gt;=1),INDEX($C744:$L744,1,10-ROUND(Rec_Lag,0))*(1-Sev),0)</f>
        <v>0</v>
      </c>
    </row>
    <row r="2260" customFormat="false" ht="15" hidden="false" customHeight="false" outlineLevel="0" collapsed="false">
      <c r="B2260" s="108" t="n">
        <f aca="false">'Loan Tape'!$A135</f>
        <v>0</v>
      </c>
      <c r="C2260" s="71" t="n">
        <f aca="false">IF(AND(1&lt;=Hold_Yrs,1-ROUND(Rec_Lag,0)&gt;=1),INDEX($C745:$L745,1,1-ROUND(Rec_Lag,0))*(1-Sev),0)</f>
        <v>0</v>
      </c>
      <c r="D2260" s="71" t="n">
        <f aca="false">IF(AND(2&lt;=Hold_Yrs,2-ROUND(Rec_Lag,0)&gt;=1),INDEX($C745:$L745,1,2-ROUND(Rec_Lag,0))*(1-Sev),0)</f>
        <v>0</v>
      </c>
      <c r="E2260" s="71" t="n">
        <f aca="false">IF(AND(3&lt;=Hold_Yrs,3-ROUND(Rec_Lag,0)&gt;=1),INDEX($C745:$L745,1,3-ROUND(Rec_Lag,0))*(1-Sev),0)</f>
        <v>0</v>
      </c>
      <c r="F2260" s="71" t="n">
        <f aca="false">IF(AND(4&lt;=Hold_Yrs,4-ROUND(Rec_Lag,0)&gt;=1),INDEX($C745:$L745,1,4-ROUND(Rec_Lag,0))*(1-Sev),0)</f>
        <v>0</v>
      </c>
      <c r="G2260" s="71" t="n">
        <f aca="false">IF(AND(5&lt;=Hold_Yrs,5-ROUND(Rec_Lag,0)&gt;=1),INDEX($C745:$L745,1,5-ROUND(Rec_Lag,0))*(1-Sev),0)</f>
        <v>0</v>
      </c>
      <c r="H2260" s="71" t="n">
        <f aca="false">IF(AND(6&lt;=Hold_Yrs,6-ROUND(Rec_Lag,0)&gt;=1),INDEX($C745:$L745,1,6-ROUND(Rec_Lag,0))*(1-Sev),0)</f>
        <v>0</v>
      </c>
      <c r="I2260" s="71" t="n">
        <f aca="false">IF(AND(7&lt;=Hold_Yrs,7-ROUND(Rec_Lag,0)&gt;=1),INDEX($C745:$L745,1,7-ROUND(Rec_Lag,0))*(1-Sev),0)</f>
        <v>0</v>
      </c>
      <c r="J2260" s="71" t="n">
        <f aca="false">IF(AND(8&lt;=Hold_Yrs,8-ROUND(Rec_Lag,0)&gt;=1),INDEX($C745:$L745,1,8-ROUND(Rec_Lag,0))*(1-Sev),0)</f>
        <v>0</v>
      </c>
      <c r="K2260" s="71" t="n">
        <f aca="false">IF(AND(9&lt;=Hold_Yrs,9-ROUND(Rec_Lag,0)&gt;=1),INDEX($C745:$L745,1,9-ROUND(Rec_Lag,0))*(1-Sev),0)</f>
        <v>0</v>
      </c>
      <c r="L2260" s="71" t="n">
        <f aca="false">IF(AND(10&lt;=Hold_Yrs,10-ROUND(Rec_Lag,0)&gt;=1),INDEX($C745:$L745,1,10-ROUND(Rec_Lag,0))*(1-Sev),0)</f>
        <v>0</v>
      </c>
    </row>
    <row r="2261" customFormat="false" ht="15" hidden="false" customHeight="false" outlineLevel="0" collapsed="false">
      <c r="B2261" s="102" t="n">
        <f aca="false">'Loan Tape'!$A136</f>
        <v>0</v>
      </c>
      <c r="C2261" s="99" t="n">
        <f aca="false">IF(AND(1&lt;=Hold_Yrs,1-ROUND(Rec_Lag,0)&gt;=1),INDEX($C746:$L746,1,1-ROUND(Rec_Lag,0))*(1-Sev),0)</f>
        <v>0</v>
      </c>
      <c r="D2261" s="99" t="n">
        <f aca="false">IF(AND(2&lt;=Hold_Yrs,2-ROUND(Rec_Lag,0)&gt;=1),INDEX($C746:$L746,1,2-ROUND(Rec_Lag,0))*(1-Sev),0)</f>
        <v>0</v>
      </c>
      <c r="E2261" s="99" t="n">
        <f aca="false">IF(AND(3&lt;=Hold_Yrs,3-ROUND(Rec_Lag,0)&gt;=1),INDEX($C746:$L746,1,3-ROUND(Rec_Lag,0))*(1-Sev),0)</f>
        <v>0</v>
      </c>
      <c r="F2261" s="99" t="n">
        <f aca="false">IF(AND(4&lt;=Hold_Yrs,4-ROUND(Rec_Lag,0)&gt;=1),INDEX($C746:$L746,1,4-ROUND(Rec_Lag,0))*(1-Sev),0)</f>
        <v>0</v>
      </c>
      <c r="G2261" s="99" t="n">
        <f aca="false">IF(AND(5&lt;=Hold_Yrs,5-ROUND(Rec_Lag,0)&gt;=1),INDEX($C746:$L746,1,5-ROUND(Rec_Lag,0))*(1-Sev),0)</f>
        <v>0</v>
      </c>
      <c r="H2261" s="99" t="n">
        <f aca="false">IF(AND(6&lt;=Hold_Yrs,6-ROUND(Rec_Lag,0)&gt;=1),INDEX($C746:$L746,1,6-ROUND(Rec_Lag,0))*(1-Sev),0)</f>
        <v>0</v>
      </c>
      <c r="I2261" s="99" t="n">
        <f aca="false">IF(AND(7&lt;=Hold_Yrs,7-ROUND(Rec_Lag,0)&gt;=1),INDEX($C746:$L746,1,7-ROUND(Rec_Lag,0))*(1-Sev),0)</f>
        <v>0</v>
      </c>
      <c r="J2261" s="99" t="n">
        <f aca="false">IF(AND(8&lt;=Hold_Yrs,8-ROUND(Rec_Lag,0)&gt;=1),INDEX($C746:$L746,1,8-ROUND(Rec_Lag,0))*(1-Sev),0)</f>
        <v>0</v>
      </c>
      <c r="K2261" s="99" t="n">
        <f aca="false">IF(AND(9&lt;=Hold_Yrs,9-ROUND(Rec_Lag,0)&gt;=1),INDEX($C746:$L746,1,9-ROUND(Rec_Lag,0))*(1-Sev),0)</f>
        <v>0</v>
      </c>
      <c r="L2261" s="99" t="n">
        <f aca="false">IF(AND(10&lt;=Hold_Yrs,10-ROUND(Rec_Lag,0)&gt;=1),INDEX($C746:$L746,1,10-ROUND(Rec_Lag,0))*(1-Sev),0)</f>
        <v>0</v>
      </c>
    </row>
    <row r="2262" customFormat="false" ht="15" hidden="false" customHeight="false" outlineLevel="0" collapsed="false">
      <c r="B2262" s="108" t="n">
        <f aca="false">'Loan Tape'!$A137</f>
        <v>0</v>
      </c>
      <c r="C2262" s="71" t="n">
        <f aca="false">IF(AND(1&lt;=Hold_Yrs,1-ROUND(Rec_Lag,0)&gt;=1),INDEX($C747:$L747,1,1-ROUND(Rec_Lag,0))*(1-Sev),0)</f>
        <v>0</v>
      </c>
      <c r="D2262" s="71" t="n">
        <f aca="false">IF(AND(2&lt;=Hold_Yrs,2-ROUND(Rec_Lag,0)&gt;=1),INDEX($C747:$L747,1,2-ROUND(Rec_Lag,0))*(1-Sev),0)</f>
        <v>0</v>
      </c>
      <c r="E2262" s="71" t="n">
        <f aca="false">IF(AND(3&lt;=Hold_Yrs,3-ROUND(Rec_Lag,0)&gt;=1),INDEX($C747:$L747,1,3-ROUND(Rec_Lag,0))*(1-Sev),0)</f>
        <v>0</v>
      </c>
      <c r="F2262" s="71" t="n">
        <f aca="false">IF(AND(4&lt;=Hold_Yrs,4-ROUND(Rec_Lag,0)&gt;=1),INDEX($C747:$L747,1,4-ROUND(Rec_Lag,0))*(1-Sev),0)</f>
        <v>0</v>
      </c>
      <c r="G2262" s="71" t="n">
        <f aca="false">IF(AND(5&lt;=Hold_Yrs,5-ROUND(Rec_Lag,0)&gt;=1),INDEX($C747:$L747,1,5-ROUND(Rec_Lag,0))*(1-Sev),0)</f>
        <v>0</v>
      </c>
      <c r="H2262" s="71" t="n">
        <f aca="false">IF(AND(6&lt;=Hold_Yrs,6-ROUND(Rec_Lag,0)&gt;=1),INDEX($C747:$L747,1,6-ROUND(Rec_Lag,0))*(1-Sev),0)</f>
        <v>0</v>
      </c>
      <c r="I2262" s="71" t="n">
        <f aca="false">IF(AND(7&lt;=Hold_Yrs,7-ROUND(Rec_Lag,0)&gt;=1),INDEX($C747:$L747,1,7-ROUND(Rec_Lag,0))*(1-Sev),0)</f>
        <v>0</v>
      </c>
      <c r="J2262" s="71" t="n">
        <f aca="false">IF(AND(8&lt;=Hold_Yrs,8-ROUND(Rec_Lag,0)&gt;=1),INDEX($C747:$L747,1,8-ROUND(Rec_Lag,0))*(1-Sev),0)</f>
        <v>0</v>
      </c>
      <c r="K2262" s="71" t="n">
        <f aca="false">IF(AND(9&lt;=Hold_Yrs,9-ROUND(Rec_Lag,0)&gt;=1),INDEX($C747:$L747,1,9-ROUND(Rec_Lag,0))*(1-Sev),0)</f>
        <v>0</v>
      </c>
      <c r="L2262" s="71" t="n">
        <f aca="false">IF(AND(10&lt;=Hold_Yrs,10-ROUND(Rec_Lag,0)&gt;=1),INDEX($C747:$L747,1,10-ROUND(Rec_Lag,0))*(1-Sev),0)</f>
        <v>0</v>
      </c>
    </row>
    <row r="2263" customFormat="false" ht="15" hidden="false" customHeight="false" outlineLevel="0" collapsed="false">
      <c r="B2263" s="102" t="n">
        <f aca="false">'Loan Tape'!$A138</f>
        <v>0</v>
      </c>
      <c r="C2263" s="99" t="n">
        <f aca="false">IF(AND(1&lt;=Hold_Yrs,1-ROUND(Rec_Lag,0)&gt;=1),INDEX($C748:$L748,1,1-ROUND(Rec_Lag,0))*(1-Sev),0)</f>
        <v>0</v>
      </c>
      <c r="D2263" s="99" t="n">
        <f aca="false">IF(AND(2&lt;=Hold_Yrs,2-ROUND(Rec_Lag,0)&gt;=1),INDEX($C748:$L748,1,2-ROUND(Rec_Lag,0))*(1-Sev),0)</f>
        <v>0</v>
      </c>
      <c r="E2263" s="99" t="n">
        <f aca="false">IF(AND(3&lt;=Hold_Yrs,3-ROUND(Rec_Lag,0)&gt;=1),INDEX($C748:$L748,1,3-ROUND(Rec_Lag,0))*(1-Sev),0)</f>
        <v>0</v>
      </c>
      <c r="F2263" s="99" t="n">
        <f aca="false">IF(AND(4&lt;=Hold_Yrs,4-ROUND(Rec_Lag,0)&gt;=1),INDEX($C748:$L748,1,4-ROUND(Rec_Lag,0))*(1-Sev),0)</f>
        <v>0</v>
      </c>
      <c r="G2263" s="99" t="n">
        <f aca="false">IF(AND(5&lt;=Hold_Yrs,5-ROUND(Rec_Lag,0)&gt;=1),INDEX($C748:$L748,1,5-ROUND(Rec_Lag,0))*(1-Sev),0)</f>
        <v>0</v>
      </c>
      <c r="H2263" s="99" t="n">
        <f aca="false">IF(AND(6&lt;=Hold_Yrs,6-ROUND(Rec_Lag,0)&gt;=1),INDEX($C748:$L748,1,6-ROUND(Rec_Lag,0))*(1-Sev),0)</f>
        <v>0</v>
      </c>
      <c r="I2263" s="99" t="n">
        <f aca="false">IF(AND(7&lt;=Hold_Yrs,7-ROUND(Rec_Lag,0)&gt;=1),INDEX($C748:$L748,1,7-ROUND(Rec_Lag,0))*(1-Sev),0)</f>
        <v>0</v>
      </c>
      <c r="J2263" s="99" t="n">
        <f aca="false">IF(AND(8&lt;=Hold_Yrs,8-ROUND(Rec_Lag,0)&gt;=1),INDEX($C748:$L748,1,8-ROUND(Rec_Lag,0))*(1-Sev),0)</f>
        <v>0</v>
      </c>
      <c r="K2263" s="99" t="n">
        <f aca="false">IF(AND(9&lt;=Hold_Yrs,9-ROUND(Rec_Lag,0)&gt;=1),INDEX($C748:$L748,1,9-ROUND(Rec_Lag,0))*(1-Sev),0)</f>
        <v>0</v>
      </c>
      <c r="L2263" s="99" t="n">
        <f aca="false">IF(AND(10&lt;=Hold_Yrs,10-ROUND(Rec_Lag,0)&gt;=1),INDEX($C748:$L748,1,10-ROUND(Rec_Lag,0))*(1-Sev),0)</f>
        <v>0</v>
      </c>
    </row>
    <row r="2264" customFormat="false" ht="15" hidden="false" customHeight="false" outlineLevel="0" collapsed="false">
      <c r="B2264" s="108" t="n">
        <f aca="false">'Loan Tape'!$A139</f>
        <v>0</v>
      </c>
      <c r="C2264" s="71" t="n">
        <f aca="false">IF(AND(1&lt;=Hold_Yrs,1-ROUND(Rec_Lag,0)&gt;=1),INDEX($C749:$L749,1,1-ROUND(Rec_Lag,0))*(1-Sev),0)</f>
        <v>0</v>
      </c>
      <c r="D2264" s="71" t="n">
        <f aca="false">IF(AND(2&lt;=Hold_Yrs,2-ROUND(Rec_Lag,0)&gt;=1),INDEX($C749:$L749,1,2-ROUND(Rec_Lag,0))*(1-Sev),0)</f>
        <v>0</v>
      </c>
      <c r="E2264" s="71" t="n">
        <f aca="false">IF(AND(3&lt;=Hold_Yrs,3-ROUND(Rec_Lag,0)&gt;=1),INDEX($C749:$L749,1,3-ROUND(Rec_Lag,0))*(1-Sev),0)</f>
        <v>0</v>
      </c>
      <c r="F2264" s="71" t="n">
        <f aca="false">IF(AND(4&lt;=Hold_Yrs,4-ROUND(Rec_Lag,0)&gt;=1),INDEX($C749:$L749,1,4-ROUND(Rec_Lag,0))*(1-Sev),0)</f>
        <v>0</v>
      </c>
      <c r="G2264" s="71" t="n">
        <f aca="false">IF(AND(5&lt;=Hold_Yrs,5-ROUND(Rec_Lag,0)&gt;=1),INDEX($C749:$L749,1,5-ROUND(Rec_Lag,0))*(1-Sev),0)</f>
        <v>0</v>
      </c>
      <c r="H2264" s="71" t="n">
        <f aca="false">IF(AND(6&lt;=Hold_Yrs,6-ROUND(Rec_Lag,0)&gt;=1),INDEX($C749:$L749,1,6-ROUND(Rec_Lag,0))*(1-Sev),0)</f>
        <v>0</v>
      </c>
      <c r="I2264" s="71" t="n">
        <f aca="false">IF(AND(7&lt;=Hold_Yrs,7-ROUND(Rec_Lag,0)&gt;=1),INDEX($C749:$L749,1,7-ROUND(Rec_Lag,0))*(1-Sev),0)</f>
        <v>0</v>
      </c>
      <c r="J2264" s="71" t="n">
        <f aca="false">IF(AND(8&lt;=Hold_Yrs,8-ROUND(Rec_Lag,0)&gt;=1),INDEX($C749:$L749,1,8-ROUND(Rec_Lag,0))*(1-Sev),0)</f>
        <v>0</v>
      </c>
      <c r="K2264" s="71" t="n">
        <f aca="false">IF(AND(9&lt;=Hold_Yrs,9-ROUND(Rec_Lag,0)&gt;=1),INDEX($C749:$L749,1,9-ROUND(Rec_Lag,0))*(1-Sev),0)</f>
        <v>0</v>
      </c>
      <c r="L2264" s="71" t="n">
        <f aca="false">IF(AND(10&lt;=Hold_Yrs,10-ROUND(Rec_Lag,0)&gt;=1),INDEX($C749:$L749,1,10-ROUND(Rec_Lag,0))*(1-Sev),0)</f>
        <v>0</v>
      </c>
    </row>
    <row r="2265" customFormat="false" ht="15" hidden="false" customHeight="false" outlineLevel="0" collapsed="false">
      <c r="B2265" s="102" t="n">
        <f aca="false">'Loan Tape'!$A140</f>
        <v>0</v>
      </c>
      <c r="C2265" s="99" t="n">
        <f aca="false">IF(AND(1&lt;=Hold_Yrs,1-ROUND(Rec_Lag,0)&gt;=1),INDEX($C750:$L750,1,1-ROUND(Rec_Lag,0))*(1-Sev),0)</f>
        <v>0</v>
      </c>
      <c r="D2265" s="99" t="n">
        <f aca="false">IF(AND(2&lt;=Hold_Yrs,2-ROUND(Rec_Lag,0)&gt;=1),INDEX($C750:$L750,1,2-ROUND(Rec_Lag,0))*(1-Sev),0)</f>
        <v>0</v>
      </c>
      <c r="E2265" s="99" t="n">
        <f aca="false">IF(AND(3&lt;=Hold_Yrs,3-ROUND(Rec_Lag,0)&gt;=1),INDEX($C750:$L750,1,3-ROUND(Rec_Lag,0))*(1-Sev),0)</f>
        <v>0</v>
      </c>
      <c r="F2265" s="99" t="n">
        <f aca="false">IF(AND(4&lt;=Hold_Yrs,4-ROUND(Rec_Lag,0)&gt;=1),INDEX($C750:$L750,1,4-ROUND(Rec_Lag,0))*(1-Sev),0)</f>
        <v>0</v>
      </c>
      <c r="G2265" s="99" t="n">
        <f aca="false">IF(AND(5&lt;=Hold_Yrs,5-ROUND(Rec_Lag,0)&gt;=1),INDEX($C750:$L750,1,5-ROUND(Rec_Lag,0))*(1-Sev),0)</f>
        <v>0</v>
      </c>
      <c r="H2265" s="99" t="n">
        <f aca="false">IF(AND(6&lt;=Hold_Yrs,6-ROUND(Rec_Lag,0)&gt;=1),INDEX($C750:$L750,1,6-ROUND(Rec_Lag,0))*(1-Sev),0)</f>
        <v>0</v>
      </c>
      <c r="I2265" s="99" t="n">
        <f aca="false">IF(AND(7&lt;=Hold_Yrs,7-ROUND(Rec_Lag,0)&gt;=1),INDEX($C750:$L750,1,7-ROUND(Rec_Lag,0))*(1-Sev),0)</f>
        <v>0</v>
      </c>
      <c r="J2265" s="99" t="n">
        <f aca="false">IF(AND(8&lt;=Hold_Yrs,8-ROUND(Rec_Lag,0)&gt;=1),INDEX($C750:$L750,1,8-ROUND(Rec_Lag,0))*(1-Sev),0)</f>
        <v>0</v>
      </c>
      <c r="K2265" s="99" t="n">
        <f aca="false">IF(AND(9&lt;=Hold_Yrs,9-ROUND(Rec_Lag,0)&gt;=1),INDEX($C750:$L750,1,9-ROUND(Rec_Lag,0))*(1-Sev),0)</f>
        <v>0</v>
      </c>
      <c r="L2265" s="99" t="n">
        <f aca="false">IF(AND(10&lt;=Hold_Yrs,10-ROUND(Rec_Lag,0)&gt;=1),INDEX($C750:$L750,1,10-ROUND(Rec_Lag,0))*(1-Sev),0)</f>
        <v>0</v>
      </c>
    </row>
    <row r="2266" customFormat="false" ht="15" hidden="false" customHeight="false" outlineLevel="0" collapsed="false">
      <c r="B2266" s="108" t="n">
        <f aca="false">'Loan Tape'!$A141</f>
        <v>0</v>
      </c>
      <c r="C2266" s="71" t="n">
        <f aca="false">IF(AND(1&lt;=Hold_Yrs,1-ROUND(Rec_Lag,0)&gt;=1),INDEX($C751:$L751,1,1-ROUND(Rec_Lag,0))*(1-Sev),0)</f>
        <v>0</v>
      </c>
      <c r="D2266" s="71" t="n">
        <f aca="false">IF(AND(2&lt;=Hold_Yrs,2-ROUND(Rec_Lag,0)&gt;=1),INDEX($C751:$L751,1,2-ROUND(Rec_Lag,0))*(1-Sev),0)</f>
        <v>0</v>
      </c>
      <c r="E2266" s="71" t="n">
        <f aca="false">IF(AND(3&lt;=Hold_Yrs,3-ROUND(Rec_Lag,0)&gt;=1),INDEX($C751:$L751,1,3-ROUND(Rec_Lag,0))*(1-Sev),0)</f>
        <v>0</v>
      </c>
      <c r="F2266" s="71" t="n">
        <f aca="false">IF(AND(4&lt;=Hold_Yrs,4-ROUND(Rec_Lag,0)&gt;=1),INDEX($C751:$L751,1,4-ROUND(Rec_Lag,0))*(1-Sev),0)</f>
        <v>0</v>
      </c>
      <c r="G2266" s="71" t="n">
        <f aca="false">IF(AND(5&lt;=Hold_Yrs,5-ROUND(Rec_Lag,0)&gt;=1),INDEX($C751:$L751,1,5-ROUND(Rec_Lag,0))*(1-Sev),0)</f>
        <v>0</v>
      </c>
      <c r="H2266" s="71" t="n">
        <f aca="false">IF(AND(6&lt;=Hold_Yrs,6-ROUND(Rec_Lag,0)&gt;=1),INDEX($C751:$L751,1,6-ROUND(Rec_Lag,0))*(1-Sev),0)</f>
        <v>0</v>
      </c>
      <c r="I2266" s="71" t="n">
        <f aca="false">IF(AND(7&lt;=Hold_Yrs,7-ROUND(Rec_Lag,0)&gt;=1),INDEX($C751:$L751,1,7-ROUND(Rec_Lag,0))*(1-Sev),0)</f>
        <v>0</v>
      </c>
      <c r="J2266" s="71" t="n">
        <f aca="false">IF(AND(8&lt;=Hold_Yrs,8-ROUND(Rec_Lag,0)&gt;=1),INDEX($C751:$L751,1,8-ROUND(Rec_Lag,0))*(1-Sev),0)</f>
        <v>0</v>
      </c>
      <c r="K2266" s="71" t="n">
        <f aca="false">IF(AND(9&lt;=Hold_Yrs,9-ROUND(Rec_Lag,0)&gt;=1),INDEX($C751:$L751,1,9-ROUND(Rec_Lag,0))*(1-Sev),0)</f>
        <v>0</v>
      </c>
      <c r="L2266" s="71" t="n">
        <f aca="false">IF(AND(10&lt;=Hold_Yrs,10-ROUND(Rec_Lag,0)&gt;=1),INDEX($C751:$L751,1,10-ROUND(Rec_Lag,0))*(1-Sev),0)</f>
        <v>0</v>
      </c>
    </row>
    <row r="2267" customFormat="false" ht="15" hidden="false" customHeight="false" outlineLevel="0" collapsed="false">
      <c r="B2267" s="102" t="n">
        <f aca="false">'Loan Tape'!$A142</f>
        <v>0</v>
      </c>
      <c r="C2267" s="99" t="n">
        <f aca="false">IF(AND(1&lt;=Hold_Yrs,1-ROUND(Rec_Lag,0)&gt;=1),INDEX($C752:$L752,1,1-ROUND(Rec_Lag,0))*(1-Sev),0)</f>
        <v>0</v>
      </c>
      <c r="D2267" s="99" t="n">
        <f aca="false">IF(AND(2&lt;=Hold_Yrs,2-ROUND(Rec_Lag,0)&gt;=1),INDEX($C752:$L752,1,2-ROUND(Rec_Lag,0))*(1-Sev),0)</f>
        <v>0</v>
      </c>
      <c r="E2267" s="99" t="n">
        <f aca="false">IF(AND(3&lt;=Hold_Yrs,3-ROUND(Rec_Lag,0)&gt;=1),INDEX($C752:$L752,1,3-ROUND(Rec_Lag,0))*(1-Sev),0)</f>
        <v>0</v>
      </c>
      <c r="F2267" s="99" t="n">
        <f aca="false">IF(AND(4&lt;=Hold_Yrs,4-ROUND(Rec_Lag,0)&gt;=1),INDEX($C752:$L752,1,4-ROUND(Rec_Lag,0))*(1-Sev),0)</f>
        <v>0</v>
      </c>
      <c r="G2267" s="99" t="n">
        <f aca="false">IF(AND(5&lt;=Hold_Yrs,5-ROUND(Rec_Lag,0)&gt;=1),INDEX($C752:$L752,1,5-ROUND(Rec_Lag,0))*(1-Sev),0)</f>
        <v>0</v>
      </c>
      <c r="H2267" s="99" t="n">
        <f aca="false">IF(AND(6&lt;=Hold_Yrs,6-ROUND(Rec_Lag,0)&gt;=1),INDEX($C752:$L752,1,6-ROUND(Rec_Lag,0))*(1-Sev),0)</f>
        <v>0</v>
      </c>
      <c r="I2267" s="99" t="n">
        <f aca="false">IF(AND(7&lt;=Hold_Yrs,7-ROUND(Rec_Lag,0)&gt;=1),INDEX($C752:$L752,1,7-ROUND(Rec_Lag,0))*(1-Sev),0)</f>
        <v>0</v>
      </c>
      <c r="J2267" s="99" t="n">
        <f aca="false">IF(AND(8&lt;=Hold_Yrs,8-ROUND(Rec_Lag,0)&gt;=1),INDEX($C752:$L752,1,8-ROUND(Rec_Lag,0))*(1-Sev),0)</f>
        <v>0</v>
      </c>
      <c r="K2267" s="99" t="n">
        <f aca="false">IF(AND(9&lt;=Hold_Yrs,9-ROUND(Rec_Lag,0)&gt;=1),INDEX($C752:$L752,1,9-ROUND(Rec_Lag,0))*(1-Sev),0)</f>
        <v>0</v>
      </c>
      <c r="L2267" s="99" t="n">
        <f aca="false">IF(AND(10&lt;=Hold_Yrs,10-ROUND(Rec_Lag,0)&gt;=1),INDEX($C752:$L752,1,10-ROUND(Rec_Lag,0))*(1-Sev),0)</f>
        <v>0</v>
      </c>
    </row>
    <row r="2268" customFormat="false" ht="15" hidden="false" customHeight="false" outlineLevel="0" collapsed="false">
      <c r="B2268" s="108" t="n">
        <f aca="false">'Loan Tape'!$A143</f>
        <v>0</v>
      </c>
      <c r="C2268" s="71" t="n">
        <f aca="false">IF(AND(1&lt;=Hold_Yrs,1-ROUND(Rec_Lag,0)&gt;=1),INDEX($C753:$L753,1,1-ROUND(Rec_Lag,0))*(1-Sev),0)</f>
        <v>0</v>
      </c>
      <c r="D2268" s="71" t="n">
        <f aca="false">IF(AND(2&lt;=Hold_Yrs,2-ROUND(Rec_Lag,0)&gt;=1),INDEX($C753:$L753,1,2-ROUND(Rec_Lag,0))*(1-Sev),0)</f>
        <v>0</v>
      </c>
      <c r="E2268" s="71" t="n">
        <f aca="false">IF(AND(3&lt;=Hold_Yrs,3-ROUND(Rec_Lag,0)&gt;=1),INDEX($C753:$L753,1,3-ROUND(Rec_Lag,0))*(1-Sev),0)</f>
        <v>0</v>
      </c>
      <c r="F2268" s="71" t="n">
        <f aca="false">IF(AND(4&lt;=Hold_Yrs,4-ROUND(Rec_Lag,0)&gt;=1),INDEX($C753:$L753,1,4-ROUND(Rec_Lag,0))*(1-Sev),0)</f>
        <v>0</v>
      </c>
      <c r="G2268" s="71" t="n">
        <f aca="false">IF(AND(5&lt;=Hold_Yrs,5-ROUND(Rec_Lag,0)&gt;=1),INDEX($C753:$L753,1,5-ROUND(Rec_Lag,0))*(1-Sev),0)</f>
        <v>0</v>
      </c>
      <c r="H2268" s="71" t="n">
        <f aca="false">IF(AND(6&lt;=Hold_Yrs,6-ROUND(Rec_Lag,0)&gt;=1),INDEX($C753:$L753,1,6-ROUND(Rec_Lag,0))*(1-Sev),0)</f>
        <v>0</v>
      </c>
      <c r="I2268" s="71" t="n">
        <f aca="false">IF(AND(7&lt;=Hold_Yrs,7-ROUND(Rec_Lag,0)&gt;=1),INDEX($C753:$L753,1,7-ROUND(Rec_Lag,0))*(1-Sev),0)</f>
        <v>0</v>
      </c>
      <c r="J2268" s="71" t="n">
        <f aca="false">IF(AND(8&lt;=Hold_Yrs,8-ROUND(Rec_Lag,0)&gt;=1),INDEX($C753:$L753,1,8-ROUND(Rec_Lag,0))*(1-Sev),0)</f>
        <v>0</v>
      </c>
      <c r="K2268" s="71" t="n">
        <f aca="false">IF(AND(9&lt;=Hold_Yrs,9-ROUND(Rec_Lag,0)&gt;=1),INDEX($C753:$L753,1,9-ROUND(Rec_Lag,0))*(1-Sev),0)</f>
        <v>0</v>
      </c>
      <c r="L2268" s="71" t="n">
        <f aca="false">IF(AND(10&lt;=Hold_Yrs,10-ROUND(Rec_Lag,0)&gt;=1),INDEX($C753:$L753,1,10-ROUND(Rec_Lag,0))*(1-Sev),0)</f>
        <v>0</v>
      </c>
    </row>
    <row r="2269" customFormat="false" ht="15" hidden="false" customHeight="false" outlineLevel="0" collapsed="false">
      <c r="B2269" s="102" t="n">
        <f aca="false">'Loan Tape'!$A144</f>
        <v>0</v>
      </c>
      <c r="C2269" s="99" t="n">
        <f aca="false">IF(AND(1&lt;=Hold_Yrs,1-ROUND(Rec_Lag,0)&gt;=1),INDEX($C754:$L754,1,1-ROUND(Rec_Lag,0))*(1-Sev),0)</f>
        <v>0</v>
      </c>
      <c r="D2269" s="99" t="n">
        <f aca="false">IF(AND(2&lt;=Hold_Yrs,2-ROUND(Rec_Lag,0)&gt;=1),INDEX($C754:$L754,1,2-ROUND(Rec_Lag,0))*(1-Sev),0)</f>
        <v>0</v>
      </c>
      <c r="E2269" s="99" t="n">
        <f aca="false">IF(AND(3&lt;=Hold_Yrs,3-ROUND(Rec_Lag,0)&gt;=1),INDEX($C754:$L754,1,3-ROUND(Rec_Lag,0))*(1-Sev),0)</f>
        <v>0</v>
      </c>
      <c r="F2269" s="99" t="n">
        <f aca="false">IF(AND(4&lt;=Hold_Yrs,4-ROUND(Rec_Lag,0)&gt;=1),INDEX($C754:$L754,1,4-ROUND(Rec_Lag,0))*(1-Sev),0)</f>
        <v>0</v>
      </c>
      <c r="G2269" s="99" t="n">
        <f aca="false">IF(AND(5&lt;=Hold_Yrs,5-ROUND(Rec_Lag,0)&gt;=1),INDEX($C754:$L754,1,5-ROUND(Rec_Lag,0))*(1-Sev),0)</f>
        <v>0</v>
      </c>
      <c r="H2269" s="99" t="n">
        <f aca="false">IF(AND(6&lt;=Hold_Yrs,6-ROUND(Rec_Lag,0)&gt;=1),INDEX($C754:$L754,1,6-ROUND(Rec_Lag,0))*(1-Sev),0)</f>
        <v>0</v>
      </c>
      <c r="I2269" s="99" t="n">
        <f aca="false">IF(AND(7&lt;=Hold_Yrs,7-ROUND(Rec_Lag,0)&gt;=1),INDEX($C754:$L754,1,7-ROUND(Rec_Lag,0))*(1-Sev),0)</f>
        <v>0</v>
      </c>
      <c r="J2269" s="99" t="n">
        <f aca="false">IF(AND(8&lt;=Hold_Yrs,8-ROUND(Rec_Lag,0)&gt;=1),INDEX($C754:$L754,1,8-ROUND(Rec_Lag,0))*(1-Sev),0)</f>
        <v>0</v>
      </c>
      <c r="K2269" s="99" t="n">
        <f aca="false">IF(AND(9&lt;=Hold_Yrs,9-ROUND(Rec_Lag,0)&gt;=1),INDEX($C754:$L754,1,9-ROUND(Rec_Lag,0))*(1-Sev),0)</f>
        <v>0</v>
      </c>
      <c r="L2269" s="99" t="n">
        <f aca="false">IF(AND(10&lt;=Hold_Yrs,10-ROUND(Rec_Lag,0)&gt;=1),INDEX($C754:$L754,1,10-ROUND(Rec_Lag,0))*(1-Sev),0)</f>
        <v>0</v>
      </c>
    </row>
    <row r="2270" customFormat="false" ht="15" hidden="false" customHeight="false" outlineLevel="0" collapsed="false">
      <c r="B2270" s="108" t="n">
        <f aca="false">'Loan Tape'!$A145</f>
        <v>0</v>
      </c>
      <c r="C2270" s="71" t="n">
        <f aca="false">IF(AND(1&lt;=Hold_Yrs,1-ROUND(Rec_Lag,0)&gt;=1),INDEX($C755:$L755,1,1-ROUND(Rec_Lag,0))*(1-Sev),0)</f>
        <v>0</v>
      </c>
      <c r="D2270" s="71" t="n">
        <f aca="false">IF(AND(2&lt;=Hold_Yrs,2-ROUND(Rec_Lag,0)&gt;=1),INDEX($C755:$L755,1,2-ROUND(Rec_Lag,0))*(1-Sev),0)</f>
        <v>0</v>
      </c>
      <c r="E2270" s="71" t="n">
        <f aca="false">IF(AND(3&lt;=Hold_Yrs,3-ROUND(Rec_Lag,0)&gt;=1),INDEX($C755:$L755,1,3-ROUND(Rec_Lag,0))*(1-Sev),0)</f>
        <v>0</v>
      </c>
      <c r="F2270" s="71" t="n">
        <f aca="false">IF(AND(4&lt;=Hold_Yrs,4-ROUND(Rec_Lag,0)&gt;=1),INDEX($C755:$L755,1,4-ROUND(Rec_Lag,0))*(1-Sev),0)</f>
        <v>0</v>
      </c>
      <c r="G2270" s="71" t="n">
        <f aca="false">IF(AND(5&lt;=Hold_Yrs,5-ROUND(Rec_Lag,0)&gt;=1),INDEX($C755:$L755,1,5-ROUND(Rec_Lag,0))*(1-Sev),0)</f>
        <v>0</v>
      </c>
      <c r="H2270" s="71" t="n">
        <f aca="false">IF(AND(6&lt;=Hold_Yrs,6-ROUND(Rec_Lag,0)&gt;=1),INDEX($C755:$L755,1,6-ROUND(Rec_Lag,0))*(1-Sev),0)</f>
        <v>0</v>
      </c>
      <c r="I2270" s="71" t="n">
        <f aca="false">IF(AND(7&lt;=Hold_Yrs,7-ROUND(Rec_Lag,0)&gt;=1),INDEX($C755:$L755,1,7-ROUND(Rec_Lag,0))*(1-Sev),0)</f>
        <v>0</v>
      </c>
      <c r="J2270" s="71" t="n">
        <f aca="false">IF(AND(8&lt;=Hold_Yrs,8-ROUND(Rec_Lag,0)&gt;=1),INDEX($C755:$L755,1,8-ROUND(Rec_Lag,0))*(1-Sev),0)</f>
        <v>0</v>
      </c>
      <c r="K2270" s="71" t="n">
        <f aca="false">IF(AND(9&lt;=Hold_Yrs,9-ROUND(Rec_Lag,0)&gt;=1),INDEX($C755:$L755,1,9-ROUND(Rec_Lag,0))*(1-Sev),0)</f>
        <v>0</v>
      </c>
      <c r="L2270" s="71" t="n">
        <f aca="false">IF(AND(10&lt;=Hold_Yrs,10-ROUND(Rec_Lag,0)&gt;=1),INDEX($C755:$L755,1,10-ROUND(Rec_Lag,0))*(1-Sev),0)</f>
        <v>0</v>
      </c>
    </row>
    <row r="2271" customFormat="false" ht="15" hidden="false" customHeight="false" outlineLevel="0" collapsed="false">
      <c r="B2271" s="102" t="n">
        <f aca="false">'Loan Tape'!$A146</f>
        <v>0</v>
      </c>
      <c r="C2271" s="99" t="n">
        <f aca="false">IF(AND(1&lt;=Hold_Yrs,1-ROUND(Rec_Lag,0)&gt;=1),INDEX($C756:$L756,1,1-ROUND(Rec_Lag,0))*(1-Sev),0)</f>
        <v>0</v>
      </c>
      <c r="D2271" s="99" t="n">
        <f aca="false">IF(AND(2&lt;=Hold_Yrs,2-ROUND(Rec_Lag,0)&gt;=1),INDEX($C756:$L756,1,2-ROUND(Rec_Lag,0))*(1-Sev),0)</f>
        <v>0</v>
      </c>
      <c r="E2271" s="99" t="n">
        <f aca="false">IF(AND(3&lt;=Hold_Yrs,3-ROUND(Rec_Lag,0)&gt;=1),INDEX($C756:$L756,1,3-ROUND(Rec_Lag,0))*(1-Sev),0)</f>
        <v>0</v>
      </c>
      <c r="F2271" s="99" t="n">
        <f aca="false">IF(AND(4&lt;=Hold_Yrs,4-ROUND(Rec_Lag,0)&gt;=1),INDEX($C756:$L756,1,4-ROUND(Rec_Lag,0))*(1-Sev),0)</f>
        <v>0</v>
      </c>
      <c r="G2271" s="99" t="n">
        <f aca="false">IF(AND(5&lt;=Hold_Yrs,5-ROUND(Rec_Lag,0)&gt;=1),INDEX($C756:$L756,1,5-ROUND(Rec_Lag,0))*(1-Sev),0)</f>
        <v>0</v>
      </c>
      <c r="H2271" s="99" t="n">
        <f aca="false">IF(AND(6&lt;=Hold_Yrs,6-ROUND(Rec_Lag,0)&gt;=1),INDEX($C756:$L756,1,6-ROUND(Rec_Lag,0))*(1-Sev),0)</f>
        <v>0</v>
      </c>
      <c r="I2271" s="99" t="n">
        <f aca="false">IF(AND(7&lt;=Hold_Yrs,7-ROUND(Rec_Lag,0)&gt;=1),INDEX($C756:$L756,1,7-ROUND(Rec_Lag,0))*(1-Sev),0)</f>
        <v>0</v>
      </c>
      <c r="J2271" s="99" t="n">
        <f aca="false">IF(AND(8&lt;=Hold_Yrs,8-ROUND(Rec_Lag,0)&gt;=1),INDEX($C756:$L756,1,8-ROUND(Rec_Lag,0))*(1-Sev),0)</f>
        <v>0</v>
      </c>
      <c r="K2271" s="99" t="n">
        <f aca="false">IF(AND(9&lt;=Hold_Yrs,9-ROUND(Rec_Lag,0)&gt;=1),INDEX($C756:$L756,1,9-ROUND(Rec_Lag,0))*(1-Sev),0)</f>
        <v>0</v>
      </c>
      <c r="L2271" s="99" t="n">
        <f aca="false">IF(AND(10&lt;=Hold_Yrs,10-ROUND(Rec_Lag,0)&gt;=1),INDEX($C756:$L756,1,10-ROUND(Rec_Lag,0))*(1-Sev),0)</f>
        <v>0</v>
      </c>
    </row>
    <row r="2272" customFormat="false" ht="15" hidden="false" customHeight="false" outlineLevel="0" collapsed="false">
      <c r="B2272" s="108" t="n">
        <f aca="false">'Loan Tape'!$A147</f>
        <v>0</v>
      </c>
      <c r="C2272" s="71" t="n">
        <f aca="false">IF(AND(1&lt;=Hold_Yrs,1-ROUND(Rec_Lag,0)&gt;=1),INDEX($C757:$L757,1,1-ROUND(Rec_Lag,0))*(1-Sev),0)</f>
        <v>0</v>
      </c>
      <c r="D2272" s="71" t="n">
        <f aca="false">IF(AND(2&lt;=Hold_Yrs,2-ROUND(Rec_Lag,0)&gt;=1),INDEX($C757:$L757,1,2-ROUND(Rec_Lag,0))*(1-Sev),0)</f>
        <v>0</v>
      </c>
      <c r="E2272" s="71" t="n">
        <f aca="false">IF(AND(3&lt;=Hold_Yrs,3-ROUND(Rec_Lag,0)&gt;=1),INDEX($C757:$L757,1,3-ROUND(Rec_Lag,0))*(1-Sev),0)</f>
        <v>0</v>
      </c>
      <c r="F2272" s="71" t="n">
        <f aca="false">IF(AND(4&lt;=Hold_Yrs,4-ROUND(Rec_Lag,0)&gt;=1),INDEX($C757:$L757,1,4-ROUND(Rec_Lag,0))*(1-Sev),0)</f>
        <v>0</v>
      </c>
      <c r="G2272" s="71" t="n">
        <f aca="false">IF(AND(5&lt;=Hold_Yrs,5-ROUND(Rec_Lag,0)&gt;=1),INDEX($C757:$L757,1,5-ROUND(Rec_Lag,0))*(1-Sev),0)</f>
        <v>0</v>
      </c>
      <c r="H2272" s="71" t="n">
        <f aca="false">IF(AND(6&lt;=Hold_Yrs,6-ROUND(Rec_Lag,0)&gt;=1),INDEX($C757:$L757,1,6-ROUND(Rec_Lag,0))*(1-Sev),0)</f>
        <v>0</v>
      </c>
      <c r="I2272" s="71" t="n">
        <f aca="false">IF(AND(7&lt;=Hold_Yrs,7-ROUND(Rec_Lag,0)&gt;=1),INDEX($C757:$L757,1,7-ROUND(Rec_Lag,0))*(1-Sev),0)</f>
        <v>0</v>
      </c>
      <c r="J2272" s="71" t="n">
        <f aca="false">IF(AND(8&lt;=Hold_Yrs,8-ROUND(Rec_Lag,0)&gt;=1),INDEX($C757:$L757,1,8-ROUND(Rec_Lag,0))*(1-Sev),0)</f>
        <v>0</v>
      </c>
      <c r="K2272" s="71" t="n">
        <f aca="false">IF(AND(9&lt;=Hold_Yrs,9-ROUND(Rec_Lag,0)&gt;=1),INDEX($C757:$L757,1,9-ROUND(Rec_Lag,0))*(1-Sev),0)</f>
        <v>0</v>
      </c>
      <c r="L2272" s="71" t="n">
        <f aca="false">IF(AND(10&lt;=Hold_Yrs,10-ROUND(Rec_Lag,0)&gt;=1),INDEX($C757:$L757,1,10-ROUND(Rec_Lag,0))*(1-Sev),0)</f>
        <v>0</v>
      </c>
    </row>
    <row r="2273" customFormat="false" ht="15" hidden="false" customHeight="false" outlineLevel="0" collapsed="false">
      <c r="B2273" s="102" t="n">
        <f aca="false">'Loan Tape'!$A148</f>
        <v>0</v>
      </c>
      <c r="C2273" s="99" t="n">
        <f aca="false">IF(AND(1&lt;=Hold_Yrs,1-ROUND(Rec_Lag,0)&gt;=1),INDEX($C758:$L758,1,1-ROUND(Rec_Lag,0))*(1-Sev),0)</f>
        <v>0</v>
      </c>
      <c r="D2273" s="99" t="n">
        <f aca="false">IF(AND(2&lt;=Hold_Yrs,2-ROUND(Rec_Lag,0)&gt;=1),INDEX($C758:$L758,1,2-ROUND(Rec_Lag,0))*(1-Sev),0)</f>
        <v>0</v>
      </c>
      <c r="E2273" s="99" t="n">
        <f aca="false">IF(AND(3&lt;=Hold_Yrs,3-ROUND(Rec_Lag,0)&gt;=1),INDEX($C758:$L758,1,3-ROUND(Rec_Lag,0))*(1-Sev),0)</f>
        <v>0</v>
      </c>
      <c r="F2273" s="99" t="n">
        <f aca="false">IF(AND(4&lt;=Hold_Yrs,4-ROUND(Rec_Lag,0)&gt;=1),INDEX($C758:$L758,1,4-ROUND(Rec_Lag,0))*(1-Sev),0)</f>
        <v>0</v>
      </c>
      <c r="G2273" s="99" t="n">
        <f aca="false">IF(AND(5&lt;=Hold_Yrs,5-ROUND(Rec_Lag,0)&gt;=1),INDEX($C758:$L758,1,5-ROUND(Rec_Lag,0))*(1-Sev),0)</f>
        <v>0</v>
      </c>
      <c r="H2273" s="99" t="n">
        <f aca="false">IF(AND(6&lt;=Hold_Yrs,6-ROUND(Rec_Lag,0)&gt;=1),INDEX($C758:$L758,1,6-ROUND(Rec_Lag,0))*(1-Sev),0)</f>
        <v>0</v>
      </c>
      <c r="I2273" s="99" t="n">
        <f aca="false">IF(AND(7&lt;=Hold_Yrs,7-ROUND(Rec_Lag,0)&gt;=1),INDEX($C758:$L758,1,7-ROUND(Rec_Lag,0))*(1-Sev),0)</f>
        <v>0</v>
      </c>
      <c r="J2273" s="99" t="n">
        <f aca="false">IF(AND(8&lt;=Hold_Yrs,8-ROUND(Rec_Lag,0)&gt;=1),INDEX($C758:$L758,1,8-ROUND(Rec_Lag,0))*(1-Sev),0)</f>
        <v>0</v>
      </c>
      <c r="K2273" s="99" t="n">
        <f aca="false">IF(AND(9&lt;=Hold_Yrs,9-ROUND(Rec_Lag,0)&gt;=1),INDEX($C758:$L758,1,9-ROUND(Rec_Lag,0))*(1-Sev),0)</f>
        <v>0</v>
      </c>
      <c r="L2273" s="99" t="n">
        <f aca="false">IF(AND(10&lt;=Hold_Yrs,10-ROUND(Rec_Lag,0)&gt;=1),INDEX($C758:$L758,1,10-ROUND(Rec_Lag,0))*(1-Sev),0)</f>
        <v>0</v>
      </c>
    </row>
    <row r="2274" customFormat="false" ht="15" hidden="false" customHeight="false" outlineLevel="0" collapsed="false">
      <c r="B2274" s="108" t="n">
        <f aca="false">'Loan Tape'!$A149</f>
        <v>0</v>
      </c>
      <c r="C2274" s="71" t="n">
        <f aca="false">IF(AND(1&lt;=Hold_Yrs,1-ROUND(Rec_Lag,0)&gt;=1),INDEX($C759:$L759,1,1-ROUND(Rec_Lag,0))*(1-Sev),0)</f>
        <v>0</v>
      </c>
      <c r="D2274" s="71" t="n">
        <f aca="false">IF(AND(2&lt;=Hold_Yrs,2-ROUND(Rec_Lag,0)&gt;=1),INDEX($C759:$L759,1,2-ROUND(Rec_Lag,0))*(1-Sev),0)</f>
        <v>0</v>
      </c>
      <c r="E2274" s="71" t="n">
        <f aca="false">IF(AND(3&lt;=Hold_Yrs,3-ROUND(Rec_Lag,0)&gt;=1),INDEX($C759:$L759,1,3-ROUND(Rec_Lag,0))*(1-Sev),0)</f>
        <v>0</v>
      </c>
      <c r="F2274" s="71" t="n">
        <f aca="false">IF(AND(4&lt;=Hold_Yrs,4-ROUND(Rec_Lag,0)&gt;=1),INDEX($C759:$L759,1,4-ROUND(Rec_Lag,0))*(1-Sev),0)</f>
        <v>0</v>
      </c>
      <c r="G2274" s="71" t="n">
        <f aca="false">IF(AND(5&lt;=Hold_Yrs,5-ROUND(Rec_Lag,0)&gt;=1),INDEX($C759:$L759,1,5-ROUND(Rec_Lag,0))*(1-Sev),0)</f>
        <v>0</v>
      </c>
      <c r="H2274" s="71" t="n">
        <f aca="false">IF(AND(6&lt;=Hold_Yrs,6-ROUND(Rec_Lag,0)&gt;=1),INDEX($C759:$L759,1,6-ROUND(Rec_Lag,0))*(1-Sev),0)</f>
        <v>0</v>
      </c>
      <c r="I2274" s="71" t="n">
        <f aca="false">IF(AND(7&lt;=Hold_Yrs,7-ROUND(Rec_Lag,0)&gt;=1),INDEX($C759:$L759,1,7-ROUND(Rec_Lag,0))*(1-Sev),0)</f>
        <v>0</v>
      </c>
      <c r="J2274" s="71" t="n">
        <f aca="false">IF(AND(8&lt;=Hold_Yrs,8-ROUND(Rec_Lag,0)&gt;=1),INDEX($C759:$L759,1,8-ROUND(Rec_Lag,0))*(1-Sev),0)</f>
        <v>0</v>
      </c>
      <c r="K2274" s="71" t="n">
        <f aca="false">IF(AND(9&lt;=Hold_Yrs,9-ROUND(Rec_Lag,0)&gt;=1),INDEX($C759:$L759,1,9-ROUND(Rec_Lag,0))*(1-Sev),0)</f>
        <v>0</v>
      </c>
      <c r="L2274" s="71" t="n">
        <f aca="false">IF(AND(10&lt;=Hold_Yrs,10-ROUND(Rec_Lag,0)&gt;=1),INDEX($C759:$L759,1,10-ROUND(Rec_Lag,0))*(1-Sev),0)</f>
        <v>0</v>
      </c>
    </row>
    <row r="2275" customFormat="false" ht="15" hidden="false" customHeight="false" outlineLevel="0" collapsed="false">
      <c r="B2275" s="102" t="n">
        <f aca="false">'Loan Tape'!$A150</f>
        <v>0</v>
      </c>
      <c r="C2275" s="99" t="n">
        <f aca="false">IF(AND(1&lt;=Hold_Yrs,1-ROUND(Rec_Lag,0)&gt;=1),INDEX($C760:$L760,1,1-ROUND(Rec_Lag,0))*(1-Sev),0)</f>
        <v>0</v>
      </c>
      <c r="D2275" s="99" t="n">
        <f aca="false">IF(AND(2&lt;=Hold_Yrs,2-ROUND(Rec_Lag,0)&gt;=1),INDEX($C760:$L760,1,2-ROUND(Rec_Lag,0))*(1-Sev),0)</f>
        <v>0</v>
      </c>
      <c r="E2275" s="99" t="n">
        <f aca="false">IF(AND(3&lt;=Hold_Yrs,3-ROUND(Rec_Lag,0)&gt;=1),INDEX($C760:$L760,1,3-ROUND(Rec_Lag,0))*(1-Sev),0)</f>
        <v>0</v>
      </c>
      <c r="F2275" s="99" t="n">
        <f aca="false">IF(AND(4&lt;=Hold_Yrs,4-ROUND(Rec_Lag,0)&gt;=1),INDEX($C760:$L760,1,4-ROUND(Rec_Lag,0))*(1-Sev),0)</f>
        <v>0</v>
      </c>
      <c r="G2275" s="99" t="n">
        <f aca="false">IF(AND(5&lt;=Hold_Yrs,5-ROUND(Rec_Lag,0)&gt;=1),INDEX($C760:$L760,1,5-ROUND(Rec_Lag,0))*(1-Sev),0)</f>
        <v>0</v>
      </c>
      <c r="H2275" s="99" t="n">
        <f aca="false">IF(AND(6&lt;=Hold_Yrs,6-ROUND(Rec_Lag,0)&gt;=1),INDEX($C760:$L760,1,6-ROUND(Rec_Lag,0))*(1-Sev),0)</f>
        <v>0</v>
      </c>
      <c r="I2275" s="99" t="n">
        <f aca="false">IF(AND(7&lt;=Hold_Yrs,7-ROUND(Rec_Lag,0)&gt;=1),INDEX($C760:$L760,1,7-ROUND(Rec_Lag,0))*(1-Sev),0)</f>
        <v>0</v>
      </c>
      <c r="J2275" s="99" t="n">
        <f aca="false">IF(AND(8&lt;=Hold_Yrs,8-ROUND(Rec_Lag,0)&gt;=1),INDEX($C760:$L760,1,8-ROUND(Rec_Lag,0))*(1-Sev),0)</f>
        <v>0</v>
      </c>
      <c r="K2275" s="99" t="n">
        <f aca="false">IF(AND(9&lt;=Hold_Yrs,9-ROUND(Rec_Lag,0)&gt;=1),INDEX($C760:$L760,1,9-ROUND(Rec_Lag,0))*(1-Sev),0)</f>
        <v>0</v>
      </c>
      <c r="L2275" s="99" t="n">
        <f aca="false">IF(AND(10&lt;=Hold_Yrs,10-ROUND(Rec_Lag,0)&gt;=1),INDEX($C760:$L760,1,10-ROUND(Rec_Lag,0))*(1-Sev),0)</f>
        <v>0</v>
      </c>
    </row>
    <row r="2276" customFormat="false" ht="15" hidden="false" customHeight="false" outlineLevel="0" collapsed="false">
      <c r="B2276" s="108" t="n">
        <f aca="false">'Loan Tape'!$A151</f>
        <v>0</v>
      </c>
      <c r="C2276" s="71" t="n">
        <f aca="false">IF(AND(1&lt;=Hold_Yrs,1-ROUND(Rec_Lag,0)&gt;=1),INDEX($C761:$L761,1,1-ROUND(Rec_Lag,0))*(1-Sev),0)</f>
        <v>0</v>
      </c>
      <c r="D2276" s="71" t="n">
        <f aca="false">IF(AND(2&lt;=Hold_Yrs,2-ROUND(Rec_Lag,0)&gt;=1),INDEX($C761:$L761,1,2-ROUND(Rec_Lag,0))*(1-Sev),0)</f>
        <v>0</v>
      </c>
      <c r="E2276" s="71" t="n">
        <f aca="false">IF(AND(3&lt;=Hold_Yrs,3-ROUND(Rec_Lag,0)&gt;=1),INDEX($C761:$L761,1,3-ROUND(Rec_Lag,0))*(1-Sev),0)</f>
        <v>0</v>
      </c>
      <c r="F2276" s="71" t="n">
        <f aca="false">IF(AND(4&lt;=Hold_Yrs,4-ROUND(Rec_Lag,0)&gt;=1),INDEX($C761:$L761,1,4-ROUND(Rec_Lag,0))*(1-Sev),0)</f>
        <v>0</v>
      </c>
      <c r="G2276" s="71" t="n">
        <f aca="false">IF(AND(5&lt;=Hold_Yrs,5-ROUND(Rec_Lag,0)&gt;=1),INDEX($C761:$L761,1,5-ROUND(Rec_Lag,0))*(1-Sev),0)</f>
        <v>0</v>
      </c>
      <c r="H2276" s="71" t="n">
        <f aca="false">IF(AND(6&lt;=Hold_Yrs,6-ROUND(Rec_Lag,0)&gt;=1),INDEX($C761:$L761,1,6-ROUND(Rec_Lag,0))*(1-Sev),0)</f>
        <v>0</v>
      </c>
      <c r="I2276" s="71" t="n">
        <f aca="false">IF(AND(7&lt;=Hold_Yrs,7-ROUND(Rec_Lag,0)&gt;=1),INDEX($C761:$L761,1,7-ROUND(Rec_Lag,0))*(1-Sev),0)</f>
        <v>0</v>
      </c>
      <c r="J2276" s="71" t="n">
        <f aca="false">IF(AND(8&lt;=Hold_Yrs,8-ROUND(Rec_Lag,0)&gt;=1),INDEX($C761:$L761,1,8-ROUND(Rec_Lag,0))*(1-Sev),0)</f>
        <v>0</v>
      </c>
      <c r="K2276" s="71" t="n">
        <f aca="false">IF(AND(9&lt;=Hold_Yrs,9-ROUND(Rec_Lag,0)&gt;=1),INDEX($C761:$L761,1,9-ROUND(Rec_Lag,0))*(1-Sev),0)</f>
        <v>0</v>
      </c>
      <c r="L2276" s="71" t="n">
        <f aca="false">IF(AND(10&lt;=Hold_Yrs,10-ROUND(Rec_Lag,0)&gt;=1),INDEX($C761:$L761,1,10-ROUND(Rec_Lag,0))*(1-Sev),0)</f>
        <v>0</v>
      </c>
    </row>
    <row r="2277" customFormat="false" ht="15" hidden="false" customHeight="false" outlineLevel="0" collapsed="false">
      <c r="B2277" s="102" t="n">
        <f aca="false">'Loan Tape'!$A152</f>
        <v>0</v>
      </c>
      <c r="C2277" s="99" t="n">
        <f aca="false">IF(AND(1&lt;=Hold_Yrs,1-ROUND(Rec_Lag,0)&gt;=1),INDEX($C762:$L762,1,1-ROUND(Rec_Lag,0))*(1-Sev),0)</f>
        <v>0</v>
      </c>
      <c r="D2277" s="99" t="n">
        <f aca="false">IF(AND(2&lt;=Hold_Yrs,2-ROUND(Rec_Lag,0)&gt;=1),INDEX($C762:$L762,1,2-ROUND(Rec_Lag,0))*(1-Sev),0)</f>
        <v>0</v>
      </c>
      <c r="E2277" s="99" t="n">
        <f aca="false">IF(AND(3&lt;=Hold_Yrs,3-ROUND(Rec_Lag,0)&gt;=1),INDEX($C762:$L762,1,3-ROUND(Rec_Lag,0))*(1-Sev),0)</f>
        <v>0</v>
      </c>
      <c r="F2277" s="99" t="n">
        <f aca="false">IF(AND(4&lt;=Hold_Yrs,4-ROUND(Rec_Lag,0)&gt;=1),INDEX($C762:$L762,1,4-ROUND(Rec_Lag,0))*(1-Sev),0)</f>
        <v>0</v>
      </c>
      <c r="G2277" s="99" t="n">
        <f aca="false">IF(AND(5&lt;=Hold_Yrs,5-ROUND(Rec_Lag,0)&gt;=1),INDEX($C762:$L762,1,5-ROUND(Rec_Lag,0))*(1-Sev),0)</f>
        <v>0</v>
      </c>
      <c r="H2277" s="99" t="n">
        <f aca="false">IF(AND(6&lt;=Hold_Yrs,6-ROUND(Rec_Lag,0)&gt;=1),INDEX($C762:$L762,1,6-ROUND(Rec_Lag,0))*(1-Sev),0)</f>
        <v>0</v>
      </c>
      <c r="I2277" s="99" t="n">
        <f aca="false">IF(AND(7&lt;=Hold_Yrs,7-ROUND(Rec_Lag,0)&gt;=1),INDEX($C762:$L762,1,7-ROUND(Rec_Lag,0))*(1-Sev),0)</f>
        <v>0</v>
      </c>
      <c r="J2277" s="99" t="n">
        <f aca="false">IF(AND(8&lt;=Hold_Yrs,8-ROUND(Rec_Lag,0)&gt;=1),INDEX($C762:$L762,1,8-ROUND(Rec_Lag,0))*(1-Sev),0)</f>
        <v>0</v>
      </c>
      <c r="K2277" s="99" t="n">
        <f aca="false">IF(AND(9&lt;=Hold_Yrs,9-ROUND(Rec_Lag,0)&gt;=1),INDEX($C762:$L762,1,9-ROUND(Rec_Lag,0))*(1-Sev),0)</f>
        <v>0</v>
      </c>
      <c r="L2277" s="99" t="n">
        <f aca="false">IF(AND(10&lt;=Hold_Yrs,10-ROUND(Rec_Lag,0)&gt;=1),INDEX($C762:$L762,1,10-ROUND(Rec_Lag,0))*(1-Sev),0)</f>
        <v>0</v>
      </c>
    </row>
    <row r="2278" customFormat="false" ht="15" hidden="false" customHeight="false" outlineLevel="0" collapsed="false">
      <c r="B2278" s="108" t="n">
        <f aca="false">'Loan Tape'!$A153</f>
        <v>0</v>
      </c>
      <c r="C2278" s="71" t="n">
        <f aca="false">IF(AND(1&lt;=Hold_Yrs,1-ROUND(Rec_Lag,0)&gt;=1),INDEX($C763:$L763,1,1-ROUND(Rec_Lag,0))*(1-Sev),0)</f>
        <v>0</v>
      </c>
      <c r="D2278" s="71" t="n">
        <f aca="false">IF(AND(2&lt;=Hold_Yrs,2-ROUND(Rec_Lag,0)&gt;=1),INDEX($C763:$L763,1,2-ROUND(Rec_Lag,0))*(1-Sev),0)</f>
        <v>0</v>
      </c>
      <c r="E2278" s="71" t="n">
        <f aca="false">IF(AND(3&lt;=Hold_Yrs,3-ROUND(Rec_Lag,0)&gt;=1),INDEX($C763:$L763,1,3-ROUND(Rec_Lag,0))*(1-Sev),0)</f>
        <v>0</v>
      </c>
      <c r="F2278" s="71" t="n">
        <f aca="false">IF(AND(4&lt;=Hold_Yrs,4-ROUND(Rec_Lag,0)&gt;=1),INDEX($C763:$L763,1,4-ROUND(Rec_Lag,0))*(1-Sev),0)</f>
        <v>0</v>
      </c>
      <c r="G2278" s="71" t="n">
        <f aca="false">IF(AND(5&lt;=Hold_Yrs,5-ROUND(Rec_Lag,0)&gt;=1),INDEX($C763:$L763,1,5-ROUND(Rec_Lag,0))*(1-Sev),0)</f>
        <v>0</v>
      </c>
      <c r="H2278" s="71" t="n">
        <f aca="false">IF(AND(6&lt;=Hold_Yrs,6-ROUND(Rec_Lag,0)&gt;=1),INDEX($C763:$L763,1,6-ROUND(Rec_Lag,0))*(1-Sev),0)</f>
        <v>0</v>
      </c>
      <c r="I2278" s="71" t="n">
        <f aca="false">IF(AND(7&lt;=Hold_Yrs,7-ROUND(Rec_Lag,0)&gt;=1),INDEX($C763:$L763,1,7-ROUND(Rec_Lag,0))*(1-Sev),0)</f>
        <v>0</v>
      </c>
      <c r="J2278" s="71" t="n">
        <f aca="false">IF(AND(8&lt;=Hold_Yrs,8-ROUND(Rec_Lag,0)&gt;=1),INDEX($C763:$L763,1,8-ROUND(Rec_Lag,0))*(1-Sev),0)</f>
        <v>0</v>
      </c>
      <c r="K2278" s="71" t="n">
        <f aca="false">IF(AND(9&lt;=Hold_Yrs,9-ROUND(Rec_Lag,0)&gt;=1),INDEX($C763:$L763,1,9-ROUND(Rec_Lag,0))*(1-Sev),0)</f>
        <v>0</v>
      </c>
      <c r="L2278" s="71" t="n">
        <f aca="false">IF(AND(10&lt;=Hold_Yrs,10-ROUND(Rec_Lag,0)&gt;=1),INDEX($C763:$L763,1,10-ROUND(Rec_Lag,0))*(1-Sev),0)</f>
        <v>0</v>
      </c>
    </row>
    <row r="2279" customFormat="false" ht="15" hidden="false" customHeight="false" outlineLevel="0" collapsed="false">
      <c r="B2279" s="102" t="n">
        <f aca="false">'Loan Tape'!$A154</f>
        <v>0</v>
      </c>
      <c r="C2279" s="99" t="n">
        <f aca="false">IF(AND(1&lt;=Hold_Yrs,1-ROUND(Rec_Lag,0)&gt;=1),INDEX($C764:$L764,1,1-ROUND(Rec_Lag,0))*(1-Sev),0)</f>
        <v>0</v>
      </c>
      <c r="D2279" s="99" t="n">
        <f aca="false">IF(AND(2&lt;=Hold_Yrs,2-ROUND(Rec_Lag,0)&gt;=1),INDEX($C764:$L764,1,2-ROUND(Rec_Lag,0))*(1-Sev),0)</f>
        <v>0</v>
      </c>
      <c r="E2279" s="99" t="n">
        <f aca="false">IF(AND(3&lt;=Hold_Yrs,3-ROUND(Rec_Lag,0)&gt;=1),INDEX($C764:$L764,1,3-ROUND(Rec_Lag,0))*(1-Sev),0)</f>
        <v>0</v>
      </c>
      <c r="F2279" s="99" t="n">
        <f aca="false">IF(AND(4&lt;=Hold_Yrs,4-ROUND(Rec_Lag,0)&gt;=1),INDEX($C764:$L764,1,4-ROUND(Rec_Lag,0))*(1-Sev),0)</f>
        <v>0</v>
      </c>
      <c r="G2279" s="99" t="n">
        <f aca="false">IF(AND(5&lt;=Hold_Yrs,5-ROUND(Rec_Lag,0)&gt;=1),INDEX($C764:$L764,1,5-ROUND(Rec_Lag,0))*(1-Sev),0)</f>
        <v>0</v>
      </c>
      <c r="H2279" s="99" t="n">
        <f aca="false">IF(AND(6&lt;=Hold_Yrs,6-ROUND(Rec_Lag,0)&gt;=1),INDEX($C764:$L764,1,6-ROUND(Rec_Lag,0))*(1-Sev),0)</f>
        <v>0</v>
      </c>
      <c r="I2279" s="99" t="n">
        <f aca="false">IF(AND(7&lt;=Hold_Yrs,7-ROUND(Rec_Lag,0)&gt;=1),INDEX($C764:$L764,1,7-ROUND(Rec_Lag,0))*(1-Sev),0)</f>
        <v>0</v>
      </c>
      <c r="J2279" s="99" t="n">
        <f aca="false">IF(AND(8&lt;=Hold_Yrs,8-ROUND(Rec_Lag,0)&gt;=1),INDEX($C764:$L764,1,8-ROUND(Rec_Lag,0))*(1-Sev),0)</f>
        <v>0</v>
      </c>
      <c r="K2279" s="99" t="n">
        <f aca="false">IF(AND(9&lt;=Hold_Yrs,9-ROUND(Rec_Lag,0)&gt;=1),INDEX($C764:$L764,1,9-ROUND(Rec_Lag,0))*(1-Sev),0)</f>
        <v>0</v>
      </c>
      <c r="L2279" s="99" t="n">
        <f aca="false">IF(AND(10&lt;=Hold_Yrs,10-ROUND(Rec_Lag,0)&gt;=1),INDEX($C764:$L764,1,10-ROUND(Rec_Lag,0))*(1-Sev),0)</f>
        <v>0</v>
      </c>
    </row>
    <row r="2280" customFormat="false" ht="15" hidden="false" customHeight="false" outlineLevel="0" collapsed="false">
      <c r="B2280" s="108" t="n">
        <f aca="false">'Loan Tape'!$A155</f>
        <v>0</v>
      </c>
      <c r="C2280" s="71" t="n">
        <f aca="false">IF(AND(1&lt;=Hold_Yrs,1-ROUND(Rec_Lag,0)&gt;=1),INDEX($C765:$L765,1,1-ROUND(Rec_Lag,0))*(1-Sev),0)</f>
        <v>0</v>
      </c>
      <c r="D2280" s="71" t="n">
        <f aca="false">IF(AND(2&lt;=Hold_Yrs,2-ROUND(Rec_Lag,0)&gt;=1),INDEX($C765:$L765,1,2-ROUND(Rec_Lag,0))*(1-Sev),0)</f>
        <v>0</v>
      </c>
      <c r="E2280" s="71" t="n">
        <f aca="false">IF(AND(3&lt;=Hold_Yrs,3-ROUND(Rec_Lag,0)&gt;=1),INDEX($C765:$L765,1,3-ROUND(Rec_Lag,0))*(1-Sev),0)</f>
        <v>0</v>
      </c>
      <c r="F2280" s="71" t="n">
        <f aca="false">IF(AND(4&lt;=Hold_Yrs,4-ROUND(Rec_Lag,0)&gt;=1),INDEX($C765:$L765,1,4-ROUND(Rec_Lag,0))*(1-Sev),0)</f>
        <v>0</v>
      </c>
      <c r="G2280" s="71" t="n">
        <f aca="false">IF(AND(5&lt;=Hold_Yrs,5-ROUND(Rec_Lag,0)&gt;=1),INDEX($C765:$L765,1,5-ROUND(Rec_Lag,0))*(1-Sev),0)</f>
        <v>0</v>
      </c>
      <c r="H2280" s="71" t="n">
        <f aca="false">IF(AND(6&lt;=Hold_Yrs,6-ROUND(Rec_Lag,0)&gt;=1),INDEX($C765:$L765,1,6-ROUND(Rec_Lag,0))*(1-Sev),0)</f>
        <v>0</v>
      </c>
      <c r="I2280" s="71" t="n">
        <f aca="false">IF(AND(7&lt;=Hold_Yrs,7-ROUND(Rec_Lag,0)&gt;=1),INDEX($C765:$L765,1,7-ROUND(Rec_Lag,0))*(1-Sev),0)</f>
        <v>0</v>
      </c>
      <c r="J2280" s="71" t="n">
        <f aca="false">IF(AND(8&lt;=Hold_Yrs,8-ROUND(Rec_Lag,0)&gt;=1),INDEX($C765:$L765,1,8-ROUND(Rec_Lag,0))*(1-Sev),0)</f>
        <v>0</v>
      </c>
      <c r="K2280" s="71" t="n">
        <f aca="false">IF(AND(9&lt;=Hold_Yrs,9-ROUND(Rec_Lag,0)&gt;=1),INDEX($C765:$L765,1,9-ROUND(Rec_Lag,0))*(1-Sev),0)</f>
        <v>0</v>
      </c>
      <c r="L2280" s="71" t="n">
        <f aca="false">IF(AND(10&lt;=Hold_Yrs,10-ROUND(Rec_Lag,0)&gt;=1),INDEX($C765:$L765,1,10-ROUND(Rec_Lag,0))*(1-Sev),0)</f>
        <v>0</v>
      </c>
    </row>
    <row r="2281" customFormat="false" ht="15" hidden="false" customHeight="false" outlineLevel="0" collapsed="false">
      <c r="B2281" s="102" t="n">
        <f aca="false">'Loan Tape'!$A156</f>
        <v>0</v>
      </c>
      <c r="C2281" s="99" t="n">
        <f aca="false">IF(AND(1&lt;=Hold_Yrs,1-ROUND(Rec_Lag,0)&gt;=1),INDEX($C766:$L766,1,1-ROUND(Rec_Lag,0))*(1-Sev),0)</f>
        <v>0</v>
      </c>
      <c r="D2281" s="99" t="n">
        <f aca="false">IF(AND(2&lt;=Hold_Yrs,2-ROUND(Rec_Lag,0)&gt;=1),INDEX($C766:$L766,1,2-ROUND(Rec_Lag,0))*(1-Sev),0)</f>
        <v>0</v>
      </c>
      <c r="E2281" s="99" t="n">
        <f aca="false">IF(AND(3&lt;=Hold_Yrs,3-ROUND(Rec_Lag,0)&gt;=1),INDEX($C766:$L766,1,3-ROUND(Rec_Lag,0))*(1-Sev),0)</f>
        <v>0</v>
      </c>
      <c r="F2281" s="99" t="n">
        <f aca="false">IF(AND(4&lt;=Hold_Yrs,4-ROUND(Rec_Lag,0)&gt;=1),INDEX($C766:$L766,1,4-ROUND(Rec_Lag,0))*(1-Sev),0)</f>
        <v>0</v>
      </c>
      <c r="G2281" s="99" t="n">
        <f aca="false">IF(AND(5&lt;=Hold_Yrs,5-ROUND(Rec_Lag,0)&gt;=1),INDEX($C766:$L766,1,5-ROUND(Rec_Lag,0))*(1-Sev),0)</f>
        <v>0</v>
      </c>
      <c r="H2281" s="99" t="n">
        <f aca="false">IF(AND(6&lt;=Hold_Yrs,6-ROUND(Rec_Lag,0)&gt;=1),INDEX($C766:$L766,1,6-ROUND(Rec_Lag,0))*(1-Sev),0)</f>
        <v>0</v>
      </c>
      <c r="I2281" s="99" t="n">
        <f aca="false">IF(AND(7&lt;=Hold_Yrs,7-ROUND(Rec_Lag,0)&gt;=1),INDEX($C766:$L766,1,7-ROUND(Rec_Lag,0))*(1-Sev),0)</f>
        <v>0</v>
      </c>
      <c r="J2281" s="99" t="n">
        <f aca="false">IF(AND(8&lt;=Hold_Yrs,8-ROUND(Rec_Lag,0)&gt;=1),INDEX($C766:$L766,1,8-ROUND(Rec_Lag,0))*(1-Sev),0)</f>
        <v>0</v>
      </c>
      <c r="K2281" s="99" t="n">
        <f aca="false">IF(AND(9&lt;=Hold_Yrs,9-ROUND(Rec_Lag,0)&gt;=1),INDEX($C766:$L766,1,9-ROUND(Rec_Lag,0))*(1-Sev),0)</f>
        <v>0</v>
      </c>
      <c r="L2281" s="99" t="n">
        <f aca="false">IF(AND(10&lt;=Hold_Yrs,10-ROUND(Rec_Lag,0)&gt;=1),INDEX($C766:$L766,1,10-ROUND(Rec_Lag,0))*(1-Sev),0)</f>
        <v>0</v>
      </c>
    </row>
    <row r="2282" customFormat="false" ht="15" hidden="false" customHeight="false" outlineLevel="0" collapsed="false">
      <c r="B2282" s="108" t="n">
        <f aca="false">'Loan Tape'!$A157</f>
        <v>0</v>
      </c>
      <c r="C2282" s="71" t="n">
        <f aca="false">IF(AND(1&lt;=Hold_Yrs,1-ROUND(Rec_Lag,0)&gt;=1),INDEX($C767:$L767,1,1-ROUND(Rec_Lag,0))*(1-Sev),0)</f>
        <v>0</v>
      </c>
      <c r="D2282" s="71" t="n">
        <f aca="false">IF(AND(2&lt;=Hold_Yrs,2-ROUND(Rec_Lag,0)&gt;=1),INDEX($C767:$L767,1,2-ROUND(Rec_Lag,0))*(1-Sev),0)</f>
        <v>0</v>
      </c>
      <c r="E2282" s="71" t="n">
        <f aca="false">IF(AND(3&lt;=Hold_Yrs,3-ROUND(Rec_Lag,0)&gt;=1),INDEX($C767:$L767,1,3-ROUND(Rec_Lag,0))*(1-Sev),0)</f>
        <v>0</v>
      </c>
      <c r="F2282" s="71" t="n">
        <f aca="false">IF(AND(4&lt;=Hold_Yrs,4-ROUND(Rec_Lag,0)&gt;=1),INDEX($C767:$L767,1,4-ROUND(Rec_Lag,0))*(1-Sev),0)</f>
        <v>0</v>
      </c>
      <c r="G2282" s="71" t="n">
        <f aca="false">IF(AND(5&lt;=Hold_Yrs,5-ROUND(Rec_Lag,0)&gt;=1),INDEX($C767:$L767,1,5-ROUND(Rec_Lag,0))*(1-Sev),0)</f>
        <v>0</v>
      </c>
      <c r="H2282" s="71" t="n">
        <f aca="false">IF(AND(6&lt;=Hold_Yrs,6-ROUND(Rec_Lag,0)&gt;=1),INDEX($C767:$L767,1,6-ROUND(Rec_Lag,0))*(1-Sev),0)</f>
        <v>0</v>
      </c>
      <c r="I2282" s="71" t="n">
        <f aca="false">IF(AND(7&lt;=Hold_Yrs,7-ROUND(Rec_Lag,0)&gt;=1),INDEX($C767:$L767,1,7-ROUND(Rec_Lag,0))*(1-Sev),0)</f>
        <v>0</v>
      </c>
      <c r="J2282" s="71" t="n">
        <f aca="false">IF(AND(8&lt;=Hold_Yrs,8-ROUND(Rec_Lag,0)&gt;=1),INDEX($C767:$L767,1,8-ROUND(Rec_Lag,0))*(1-Sev),0)</f>
        <v>0</v>
      </c>
      <c r="K2282" s="71" t="n">
        <f aca="false">IF(AND(9&lt;=Hold_Yrs,9-ROUND(Rec_Lag,0)&gt;=1),INDEX($C767:$L767,1,9-ROUND(Rec_Lag,0))*(1-Sev),0)</f>
        <v>0</v>
      </c>
      <c r="L2282" s="71" t="n">
        <f aca="false">IF(AND(10&lt;=Hold_Yrs,10-ROUND(Rec_Lag,0)&gt;=1),INDEX($C767:$L767,1,10-ROUND(Rec_Lag,0))*(1-Sev),0)</f>
        <v>0</v>
      </c>
    </row>
    <row r="2283" customFormat="false" ht="15" hidden="false" customHeight="false" outlineLevel="0" collapsed="false">
      <c r="B2283" s="102" t="n">
        <f aca="false">'Loan Tape'!$A158</f>
        <v>0</v>
      </c>
      <c r="C2283" s="99" t="n">
        <f aca="false">IF(AND(1&lt;=Hold_Yrs,1-ROUND(Rec_Lag,0)&gt;=1),INDEX($C768:$L768,1,1-ROUND(Rec_Lag,0))*(1-Sev),0)</f>
        <v>0</v>
      </c>
      <c r="D2283" s="99" t="n">
        <f aca="false">IF(AND(2&lt;=Hold_Yrs,2-ROUND(Rec_Lag,0)&gt;=1),INDEX($C768:$L768,1,2-ROUND(Rec_Lag,0))*(1-Sev),0)</f>
        <v>0</v>
      </c>
      <c r="E2283" s="99" t="n">
        <f aca="false">IF(AND(3&lt;=Hold_Yrs,3-ROUND(Rec_Lag,0)&gt;=1),INDEX($C768:$L768,1,3-ROUND(Rec_Lag,0))*(1-Sev),0)</f>
        <v>0</v>
      </c>
      <c r="F2283" s="99" t="n">
        <f aca="false">IF(AND(4&lt;=Hold_Yrs,4-ROUND(Rec_Lag,0)&gt;=1),INDEX($C768:$L768,1,4-ROUND(Rec_Lag,0))*(1-Sev),0)</f>
        <v>0</v>
      </c>
      <c r="G2283" s="99" t="n">
        <f aca="false">IF(AND(5&lt;=Hold_Yrs,5-ROUND(Rec_Lag,0)&gt;=1),INDEX($C768:$L768,1,5-ROUND(Rec_Lag,0))*(1-Sev),0)</f>
        <v>0</v>
      </c>
      <c r="H2283" s="99" t="n">
        <f aca="false">IF(AND(6&lt;=Hold_Yrs,6-ROUND(Rec_Lag,0)&gt;=1),INDEX($C768:$L768,1,6-ROUND(Rec_Lag,0))*(1-Sev),0)</f>
        <v>0</v>
      </c>
      <c r="I2283" s="99" t="n">
        <f aca="false">IF(AND(7&lt;=Hold_Yrs,7-ROUND(Rec_Lag,0)&gt;=1),INDEX($C768:$L768,1,7-ROUND(Rec_Lag,0))*(1-Sev),0)</f>
        <v>0</v>
      </c>
      <c r="J2283" s="99" t="n">
        <f aca="false">IF(AND(8&lt;=Hold_Yrs,8-ROUND(Rec_Lag,0)&gt;=1),INDEX($C768:$L768,1,8-ROUND(Rec_Lag,0))*(1-Sev),0)</f>
        <v>0</v>
      </c>
      <c r="K2283" s="99" t="n">
        <f aca="false">IF(AND(9&lt;=Hold_Yrs,9-ROUND(Rec_Lag,0)&gt;=1),INDEX($C768:$L768,1,9-ROUND(Rec_Lag,0))*(1-Sev),0)</f>
        <v>0</v>
      </c>
      <c r="L2283" s="99" t="n">
        <f aca="false">IF(AND(10&lt;=Hold_Yrs,10-ROUND(Rec_Lag,0)&gt;=1),INDEX($C768:$L768,1,10-ROUND(Rec_Lag,0))*(1-Sev),0)</f>
        <v>0</v>
      </c>
    </row>
    <row r="2284" customFormat="false" ht="15" hidden="false" customHeight="false" outlineLevel="0" collapsed="false">
      <c r="B2284" s="108" t="n">
        <f aca="false">'Loan Tape'!$A159</f>
        <v>0</v>
      </c>
      <c r="C2284" s="71" t="n">
        <f aca="false">IF(AND(1&lt;=Hold_Yrs,1-ROUND(Rec_Lag,0)&gt;=1),INDEX($C769:$L769,1,1-ROUND(Rec_Lag,0))*(1-Sev),0)</f>
        <v>0</v>
      </c>
      <c r="D2284" s="71" t="n">
        <f aca="false">IF(AND(2&lt;=Hold_Yrs,2-ROUND(Rec_Lag,0)&gt;=1),INDEX($C769:$L769,1,2-ROUND(Rec_Lag,0))*(1-Sev),0)</f>
        <v>0</v>
      </c>
      <c r="E2284" s="71" t="n">
        <f aca="false">IF(AND(3&lt;=Hold_Yrs,3-ROUND(Rec_Lag,0)&gt;=1),INDEX($C769:$L769,1,3-ROUND(Rec_Lag,0))*(1-Sev),0)</f>
        <v>0</v>
      </c>
      <c r="F2284" s="71" t="n">
        <f aca="false">IF(AND(4&lt;=Hold_Yrs,4-ROUND(Rec_Lag,0)&gt;=1),INDEX($C769:$L769,1,4-ROUND(Rec_Lag,0))*(1-Sev),0)</f>
        <v>0</v>
      </c>
      <c r="G2284" s="71" t="n">
        <f aca="false">IF(AND(5&lt;=Hold_Yrs,5-ROUND(Rec_Lag,0)&gt;=1),INDEX($C769:$L769,1,5-ROUND(Rec_Lag,0))*(1-Sev),0)</f>
        <v>0</v>
      </c>
      <c r="H2284" s="71" t="n">
        <f aca="false">IF(AND(6&lt;=Hold_Yrs,6-ROUND(Rec_Lag,0)&gt;=1),INDEX($C769:$L769,1,6-ROUND(Rec_Lag,0))*(1-Sev),0)</f>
        <v>0</v>
      </c>
      <c r="I2284" s="71" t="n">
        <f aca="false">IF(AND(7&lt;=Hold_Yrs,7-ROUND(Rec_Lag,0)&gt;=1),INDEX($C769:$L769,1,7-ROUND(Rec_Lag,0))*(1-Sev),0)</f>
        <v>0</v>
      </c>
      <c r="J2284" s="71" t="n">
        <f aca="false">IF(AND(8&lt;=Hold_Yrs,8-ROUND(Rec_Lag,0)&gt;=1),INDEX($C769:$L769,1,8-ROUND(Rec_Lag,0))*(1-Sev),0)</f>
        <v>0</v>
      </c>
      <c r="K2284" s="71" t="n">
        <f aca="false">IF(AND(9&lt;=Hold_Yrs,9-ROUND(Rec_Lag,0)&gt;=1),INDEX($C769:$L769,1,9-ROUND(Rec_Lag,0))*(1-Sev),0)</f>
        <v>0</v>
      </c>
      <c r="L2284" s="71" t="n">
        <f aca="false">IF(AND(10&lt;=Hold_Yrs,10-ROUND(Rec_Lag,0)&gt;=1),INDEX($C769:$L769,1,10-ROUND(Rec_Lag,0))*(1-Sev),0)</f>
        <v>0</v>
      </c>
    </row>
    <row r="2285" customFormat="false" ht="15" hidden="false" customHeight="false" outlineLevel="0" collapsed="false">
      <c r="B2285" s="102" t="n">
        <f aca="false">'Loan Tape'!$A160</f>
        <v>0</v>
      </c>
      <c r="C2285" s="99" t="n">
        <f aca="false">IF(AND(1&lt;=Hold_Yrs,1-ROUND(Rec_Lag,0)&gt;=1),INDEX($C770:$L770,1,1-ROUND(Rec_Lag,0))*(1-Sev),0)</f>
        <v>0</v>
      </c>
      <c r="D2285" s="99" t="n">
        <f aca="false">IF(AND(2&lt;=Hold_Yrs,2-ROUND(Rec_Lag,0)&gt;=1),INDEX($C770:$L770,1,2-ROUND(Rec_Lag,0))*(1-Sev),0)</f>
        <v>0</v>
      </c>
      <c r="E2285" s="99" t="n">
        <f aca="false">IF(AND(3&lt;=Hold_Yrs,3-ROUND(Rec_Lag,0)&gt;=1),INDEX($C770:$L770,1,3-ROUND(Rec_Lag,0))*(1-Sev),0)</f>
        <v>0</v>
      </c>
      <c r="F2285" s="99" t="n">
        <f aca="false">IF(AND(4&lt;=Hold_Yrs,4-ROUND(Rec_Lag,0)&gt;=1),INDEX($C770:$L770,1,4-ROUND(Rec_Lag,0))*(1-Sev),0)</f>
        <v>0</v>
      </c>
      <c r="G2285" s="99" t="n">
        <f aca="false">IF(AND(5&lt;=Hold_Yrs,5-ROUND(Rec_Lag,0)&gt;=1),INDEX($C770:$L770,1,5-ROUND(Rec_Lag,0))*(1-Sev),0)</f>
        <v>0</v>
      </c>
      <c r="H2285" s="99" t="n">
        <f aca="false">IF(AND(6&lt;=Hold_Yrs,6-ROUND(Rec_Lag,0)&gt;=1),INDEX($C770:$L770,1,6-ROUND(Rec_Lag,0))*(1-Sev),0)</f>
        <v>0</v>
      </c>
      <c r="I2285" s="99" t="n">
        <f aca="false">IF(AND(7&lt;=Hold_Yrs,7-ROUND(Rec_Lag,0)&gt;=1),INDEX($C770:$L770,1,7-ROUND(Rec_Lag,0))*(1-Sev),0)</f>
        <v>0</v>
      </c>
      <c r="J2285" s="99" t="n">
        <f aca="false">IF(AND(8&lt;=Hold_Yrs,8-ROUND(Rec_Lag,0)&gt;=1),INDEX($C770:$L770,1,8-ROUND(Rec_Lag,0))*(1-Sev),0)</f>
        <v>0</v>
      </c>
      <c r="K2285" s="99" t="n">
        <f aca="false">IF(AND(9&lt;=Hold_Yrs,9-ROUND(Rec_Lag,0)&gt;=1),INDEX($C770:$L770,1,9-ROUND(Rec_Lag,0))*(1-Sev),0)</f>
        <v>0</v>
      </c>
      <c r="L2285" s="99" t="n">
        <f aca="false">IF(AND(10&lt;=Hold_Yrs,10-ROUND(Rec_Lag,0)&gt;=1),INDEX($C770:$L770,1,10-ROUND(Rec_Lag,0))*(1-Sev),0)</f>
        <v>0</v>
      </c>
    </row>
    <row r="2286" customFormat="false" ht="15" hidden="false" customHeight="false" outlineLevel="0" collapsed="false">
      <c r="B2286" s="108" t="n">
        <f aca="false">'Loan Tape'!$A161</f>
        <v>0</v>
      </c>
      <c r="C2286" s="71" t="n">
        <f aca="false">IF(AND(1&lt;=Hold_Yrs,1-ROUND(Rec_Lag,0)&gt;=1),INDEX($C771:$L771,1,1-ROUND(Rec_Lag,0))*(1-Sev),0)</f>
        <v>0</v>
      </c>
      <c r="D2286" s="71" t="n">
        <f aca="false">IF(AND(2&lt;=Hold_Yrs,2-ROUND(Rec_Lag,0)&gt;=1),INDEX($C771:$L771,1,2-ROUND(Rec_Lag,0))*(1-Sev),0)</f>
        <v>0</v>
      </c>
      <c r="E2286" s="71" t="n">
        <f aca="false">IF(AND(3&lt;=Hold_Yrs,3-ROUND(Rec_Lag,0)&gt;=1),INDEX($C771:$L771,1,3-ROUND(Rec_Lag,0))*(1-Sev),0)</f>
        <v>0</v>
      </c>
      <c r="F2286" s="71" t="n">
        <f aca="false">IF(AND(4&lt;=Hold_Yrs,4-ROUND(Rec_Lag,0)&gt;=1),INDEX($C771:$L771,1,4-ROUND(Rec_Lag,0))*(1-Sev),0)</f>
        <v>0</v>
      </c>
      <c r="G2286" s="71" t="n">
        <f aca="false">IF(AND(5&lt;=Hold_Yrs,5-ROUND(Rec_Lag,0)&gt;=1),INDEX($C771:$L771,1,5-ROUND(Rec_Lag,0))*(1-Sev),0)</f>
        <v>0</v>
      </c>
      <c r="H2286" s="71" t="n">
        <f aca="false">IF(AND(6&lt;=Hold_Yrs,6-ROUND(Rec_Lag,0)&gt;=1),INDEX($C771:$L771,1,6-ROUND(Rec_Lag,0))*(1-Sev),0)</f>
        <v>0</v>
      </c>
      <c r="I2286" s="71" t="n">
        <f aca="false">IF(AND(7&lt;=Hold_Yrs,7-ROUND(Rec_Lag,0)&gt;=1),INDEX($C771:$L771,1,7-ROUND(Rec_Lag,0))*(1-Sev),0)</f>
        <v>0</v>
      </c>
      <c r="J2286" s="71" t="n">
        <f aca="false">IF(AND(8&lt;=Hold_Yrs,8-ROUND(Rec_Lag,0)&gt;=1),INDEX($C771:$L771,1,8-ROUND(Rec_Lag,0))*(1-Sev),0)</f>
        <v>0</v>
      </c>
      <c r="K2286" s="71" t="n">
        <f aca="false">IF(AND(9&lt;=Hold_Yrs,9-ROUND(Rec_Lag,0)&gt;=1),INDEX($C771:$L771,1,9-ROUND(Rec_Lag,0))*(1-Sev),0)</f>
        <v>0</v>
      </c>
      <c r="L2286" s="71" t="n">
        <f aca="false">IF(AND(10&lt;=Hold_Yrs,10-ROUND(Rec_Lag,0)&gt;=1),INDEX($C771:$L771,1,10-ROUND(Rec_Lag,0))*(1-Sev),0)</f>
        <v>0</v>
      </c>
    </row>
    <row r="2287" customFormat="false" ht="15" hidden="false" customHeight="false" outlineLevel="0" collapsed="false">
      <c r="B2287" s="102" t="n">
        <f aca="false">'Loan Tape'!$A162</f>
        <v>0</v>
      </c>
      <c r="C2287" s="99" t="n">
        <f aca="false">IF(AND(1&lt;=Hold_Yrs,1-ROUND(Rec_Lag,0)&gt;=1),INDEX($C772:$L772,1,1-ROUND(Rec_Lag,0))*(1-Sev),0)</f>
        <v>0</v>
      </c>
      <c r="D2287" s="99" t="n">
        <f aca="false">IF(AND(2&lt;=Hold_Yrs,2-ROUND(Rec_Lag,0)&gt;=1),INDEX($C772:$L772,1,2-ROUND(Rec_Lag,0))*(1-Sev),0)</f>
        <v>0</v>
      </c>
      <c r="E2287" s="99" t="n">
        <f aca="false">IF(AND(3&lt;=Hold_Yrs,3-ROUND(Rec_Lag,0)&gt;=1),INDEX($C772:$L772,1,3-ROUND(Rec_Lag,0))*(1-Sev),0)</f>
        <v>0</v>
      </c>
      <c r="F2287" s="99" t="n">
        <f aca="false">IF(AND(4&lt;=Hold_Yrs,4-ROUND(Rec_Lag,0)&gt;=1),INDEX($C772:$L772,1,4-ROUND(Rec_Lag,0))*(1-Sev),0)</f>
        <v>0</v>
      </c>
      <c r="G2287" s="99" t="n">
        <f aca="false">IF(AND(5&lt;=Hold_Yrs,5-ROUND(Rec_Lag,0)&gt;=1),INDEX($C772:$L772,1,5-ROUND(Rec_Lag,0))*(1-Sev),0)</f>
        <v>0</v>
      </c>
      <c r="H2287" s="99" t="n">
        <f aca="false">IF(AND(6&lt;=Hold_Yrs,6-ROUND(Rec_Lag,0)&gt;=1),INDEX($C772:$L772,1,6-ROUND(Rec_Lag,0))*(1-Sev),0)</f>
        <v>0</v>
      </c>
      <c r="I2287" s="99" t="n">
        <f aca="false">IF(AND(7&lt;=Hold_Yrs,7-ROUND(Rec_Lag,0)&gt;=1),INDEX($C772:$L772,1,7-ROUND(Rec_Lag,0))*(1-Sev),0)</f>
        <v>0</v>
      </c>
      <c r="J2287" s="99" t="n">
        <f aca="false">IF(AND(8&lt;=Hold_Yrs,8-ROUND(Rec_Lag,0)&gt;=1),INDEX($C772:$L772,1,8-ROUND(Rec_Lag,0))*(1-Sev),0)</f>
        <v>0</v>
      </c>
      <c r="K2287" s="99" t="n">
        <f aca="false">IF(AND(9&lt;=Hold_Yrs,9-ROUND(Rec_Lag,0)&gt;=1),INDEX($C772:$L772,1,9-ROUND(Rec_Lag,0))*(1-Sev),0)</f>
        <v>0</v>
      </c>
      <c r="L2287" s="99" t="n">
        <f aca="false">IF(AND(10&lt;=Hold_Yrs,10-ROUND(Rec_Lag,0)&gt;=1),INDEX($C772:$L772,1,10-ROUND(Rec_Lag,0))*(1-Sev),0)</f>
        <v>0</v>
      </c>
    </row>
    <row r="2288" customFormat="false" ht="15" hidden="false" customHeight="false" outlineLevel="0" collapsed="false">
      <c r="B2288" s="108" t="n">
        <f aca="false">'Loan Tape'!$A163</f>
        <v>0</v>
      </c>
      <c r="C2288" s="71" t="n">
        <f aca="false">IF(AND(1&lt;=Hold_Yrs,1-ROUND(Rec_Lag,0)&gt;=1),INDEX($C773:$L773,1,1-ROUND(Rec_Lag,0))*(1-Sev),0)</f>
        <v>0</v>
      </c>
      <c r="D2288" s="71" t="n">
        <f aca="false">IF(AND(2&lt;=Hold_Yrs,2-ROUND(Rec_Lag,0)&gt;=1),INDEX($C773:$L773,1,2-ROUND(Rec_Lag,0))*(1-Sev),0)</f>
        <v>0</v>
      </c>
      <c r="E2288" s="71" t="n">
        <f aca="false">IF(AND(3&lt;=Hold_Yrs,3-ROUND(Rec_Lag,0)&gt;=1),INDEX($C773:$L773,1,3-ROUND(Rec_Lag,0))*(1-Sev),0)</f>
        <v>0</v>
      </c>
      <c r="F2288" s="71" t="n">
        <f aca="false">IF(AND(4&lt;=Hold_Yrs,4-ROUND(Rec_Lag,0)&gt;=1),INDEX($C773:$L773,1,4-ROUND(Rec_Lag,0))*(1-Sev),0)</f>
        <v>0</v>
      </c>
      <c r="G2288" s="71" t="n">
        <f aca="false">IF(AND(5&lt;=Hold_Yrs,5-ROUND(Rec_Lag,0)&gt;=1),INDEX($C773:$L773,1,5-ROUND(Rec_Lag,0))*(1-Sev),0)</f>
        <v>0</v>
      </c>
      <c r="H2288" s="71" t="n">
        <f aca="false">IF(AND(6&lt;=Hold_Yrs,6-ROUND(Rec_Lag,0)&gt;=1),INDEX($C773:$L773,1,6-ROUND(Rec_Lag,0))*(1-Sev),0)</f>
        <v>0</v>
      </c>
      <c r="I2288" s="71" t="n">
        <f aca="false">IF(AND(7&lt;=Hold_Yrs,7-ROUND(Rec_Lag,0)&gt;=1),INDEX($C773:$L773,1,7-ROUND(Rec_Lag,0))*(1-Sev),0)</f>
        <v>0</v>
      </c>
      <c r="J2288" s="71" t="n">
        <f aca="false">IF(AND(8&lt;=Hold_Yrs,8-ROUND(Rec_Lag,0)&gt;=1),INDEX($C773:$L773,1,8-ROUND(Rec_Lag,0))*(1-Sev),0)</f>
        <v>0</v>
      </c>
      <c r="K2288" s="71" t="n">
        <f aca="false">IF(AND(9&lt;=Hold_Yrs,9-ROUND(Rec_Lag,0)&gt;=1),INDEX($C773:$L773,1,9-ROUND(Rec_Lag,0))*(1-Sev),0)</f>
        <v>0</v>
      </c>
      <c r="L2288" s="71" t="n">
        <f aca="false">IF(AND(10&lt;=Hold_Yrs,10-ROUND(Rec_Lag,0)&gt;=1),INDEX($C773:$L773,1,10-ROUND(Rec_Lag,0))*(1-Sev),0)</f>
        <v>0</v>
      </c>
    </row>
    <row r="2289" customFormat="false" ht="15" hidden="false" customHeight="false" outlineLevel="0" collapsed="false">
      <c r="B2289" s="102" t="n">
        <f aca="false">'Loan Tape'!$A164</f>
        <v>0</v>
      </c>
      <c r="C2289" s="99" t="n">
        <f aca="false">IF(AND(1&lt;=Hold_Yrs,1-ROUND(Rec_Lag,0)&gt;=1),INDEX($C774:$L774,1,1-ROUND(Rec_Lag,0))*(1-Sev),0)</f>
        <v>0</v>
      </c>
      <c r="D2289" s="99" t="n">
        <f aca="false">IF(AND(2&lt;=Hold_Yrs,2-ROUND(Rec_Lag,0)&gt;=1),INDEX($C774:$L774,1,2-ROUND(Rec_Lag,0))*(1-Sev),0)</f>
        <v>0</v>
      </c>
      <c r="E2289" s="99" t="n">
        <f aca="false">IF(AND(3&lt;=Hold_Yrs,3-ROUND(Rec_Lag,0)&gt;=1),INDEX($C774:$L774,1,3-ROUND(Rec_Lag,0))*(1-Sev),0)</f>
        <v>0</v>
      </c>
      <c r="F2289" s="99" t="n">
        <f aca="false">IF(AND(4&lt;=Hold_Yrs,4-ROUND(Rec_Lag,0)&gt;=1),INDEX($C774:$L774,1,4-ROUND(Rec_Lag,0))*(1-Sev),0)</f>
        <v>0</v>
      </c>
      <c r="G2289" s="99" t="n">
        <f aca="false">IF(AND(5&lt;=Hold_Yrs,5-ROUND(Rec_Lag,0)&gt;=1),INDEX($C774:$L774,1,5-ROUND(Rec_Lag,0))*(1-Sev),0)</f>
        <v>0</v>
      </c>
      <c r="H2289" s="99" t="n">
        <f aca="false">IF(AND(6&lt;=Hold_Yrs,6-ROUND(Rec_Lag,0)&gt;=1),INDEX($C774:$L774,1,6-ROUND(Rec_Lag,0))*(1-Sev),0)</f>
        <v>0</v>
      </c>
      <c r="I2289" s="99" t="n">
        <f aca="false">IF(AND(7&lt;=Hold_Yrs,7-ROUND(Rec_Lag,0)&gt;=1),INDEX($C774:$L774,1,7-ROUND(Rec_Lag,0))*(1-Sev),0)</f>
        <v>0</v>
      </c>
      <c r="J2289" s="99" t="n">
        <f aca="false">IF(AND(8&lt;=Hold_Yrs,8-ROUND(Rec_Lag,0)&gt;=1),INDEX($C774:$L774,1,8-ROUND(Rec_Lag,0))*(1-Sev),0)</f>
        <v>0</v>
      </c>
      <c r="K2289" s="99" t="n">
        <f aca="false">IF(AND(9&lt;=Hold_Yrs,9-ROUND(Rec_Lag,0)&gt;=1),INDEX($C774:$L774,1,9-ROUND(Rec_Lag,0))*(1-Sev),0)</f>
        <v>0</v>
      </c>
      <c r="L2289" s="99" t="n">
        <f aca="false">IF(AND(10&lt;=Hold_Yrs,10-ROUND(Rec_Lag,0)&gt;=1),INDEX($C774:$L774,1,10-ROUND(Rec_Lag,0))*(1-Sev),0)</f>
        <v>0</v>
      </c>
    </row>
    <row r="2290" customFormat="false" ht="15" hidden="false" customHeight="false" outlineLevel="0" collapsed="false">
      <c r="B2290" s="108" t="n">
        <f aca="false">'Loan Tape'!$A165</f>
        <v>0</v>
      </c>
      <c r="C2290" s="71" t="n">
        <f aca="false">IF(AND(1&lt;=Hold_Yrs,1-ROUND(Rec_Lag,0)&gt;=1),INDEX($C775:$L775,1,1-ROUND(Rec_Lag,0))*(1-Sev),0)</f>
        <v>0</v>
      </c>
      <c r="D2290" s="71" t="n">
        <f aca="false">IF(AND(2&lt;=Hold_Yrs,2-ROUND(Rec_Lag,0)&gt;=1),INDEX($C775:$L775,1,2-ROUND(Rec_Lag,0))*(1-Sev),0)</f>
        <v>0</v>
      </c>
      <c r="E2290" s="71" t="n">
        <f aca="false">IF(AND(3&lt;=Hold_Yrs,3-ROUND(Rec_Lag,0)&gt;=1),INDEX($C775:$L775,1,3-ROUND(Rec_Lag,0))*(1-Sev),0)</f>
        <v>0</v>
      </c>
      <c r="F2290" s="71" t="n">
        <f aca="false">IF(AND(4&lt;=Hold_Yrs,4-ROUND(Rec_Lag,0)&gt;=1),INDEX($C775:$L775,1,4-ROUND(Rec_Lag,0))*(1-Sev),0)</f>
        <v>0</v>
      </c>
      <c r="G2290" s="71" t="n">
        <f aca="false">IF(AND(5&lt;=Hold_Yrs,5-ROUND(Rec_Lag,0)&gt;=1),INDEX($C775:$L775,1,5-ROUND(Rec_Lag,0))*(1-Sev),0)</f>
        <v>0</v>
      </c>
      <c r="H2290" s="71" t="n">
        <f aca="false">IF(AND(6&lt;=Hold_Yrs,6-ROUND(Rec_Lag,0)&gt;=1),INDEX($C775:$L775,1,6-ROUND(Rec_Lag,0))*(1-Sev),0)</f>
        <v>0</v>
      </c>
      <c r="I2290" s="71" t="n">
        <f aca="false">IF(AND(7&lt;=Hold_Yrs,7-ROUND(Rec_Lag,0)&gt;=1),INDEX($C775:$L775,1,7-ROUND(Rec_Lag,0))*(1-Sev),0)</f>
        <v>0</v>
      </c>
      <c r="J2290" s="71" t="n">
        <f aca="false">IF(AND(8&lt;=Hold_Yrs,8-ROUND(Rec_Lag,0)&gt;=1),INDEX($C775:$L775,1,8-ROUND(Rec_Lag,0))*(1-Sev),0)</f>
        <v>0</v>
      </c>
      <c r="K2290" s="71" t="n">
        <f aca="false">IF(AND(9&lt;=Hold_Yrs,9-ROUND(Rec_Lag,0)&gt;=1),INDEX($C775:$L775,1,9-ROUND(Rec_Lag,0))*(1-Sev),0)</f>
        <v>0</v>
      </c>
      <c r="L2290" s="71" t="n">
        <f aca="false">IF(AND(10&lt;=Hold_Yrs,10-ROUND(Rec_Lag,0)&gt;=1),INDEX($C775:$L775,1,10-ROUND(Rec_Lag,0))*(1-Sev),0)</f>
        <v>0</v>
      </c>
    </row>
    <row r="2291" customFormat="false" ht="15" hidden="false" customHeight="false" outlineLevel="0" collapsed="false">
      <c r="B2291" s="102" t="n">
        <f aca="false">'Loan Tape'!$A166</f>
        <v>0</v>
      </c>
      <c r="C2291" s="99" t="n">
        <f aca="false">IF(AND(1&lt;=Hold_Yrs,1-ROUND(Rec_Lag,0)&gt;=1),INDEX($C776:$L776,1,1-ROUND(Rec_Lag,0))*(1-Sev),0)</f>
        <v>0</v>
      </c>
      <c r="D2291" s="99" t="n">
        <f aca="false">IF(AND(2&lt;=Hold_Yrs,2-ROUND(Rec_Lag,0)&gt;=1),INDEX($C776:$L776,1,2-ROUND(Rec_Lag,0))*(1-Sev),0)</f>
        <v>0</v>
      </c>
      <c r="E2291" s="99" t="n">
        <f aca="false">IF(AND(3&lt;=Hold_Yrs,3-ROUND(Rec_Lag,0)&gt;=1),INDEX($C776:$L776,1,3-ROUND(Rec_Lag,0))*(1-Sev),0)</f>
        <v>0</v>
      </c>
      <c r="F2291" s="99" t="n">
        <f aca="false">IF(AND(4&lt;=Hold_Yrs,4-ROUND(Rec_Lag,0)&gt;=1),INDEX($C776:$L776,1,4-ROUND(Rec_Lag,0))*(1-Sev),0)</f>
        <v>0</v>
      </c>
      <c r="G2291" s="99" t="n">
        <f aca="false">IF(AND(5&lt;=Hold_Yrs,5-ROUND(Rec_Lag,0)&gt;=1),INDEX($C776:$L776,1,5-ROUND(Rec_Lag,0))*(1-Sev),0)</f>
        <v>0</v>
      </c>
      <c r="H2291" s="99" t="n">
        <f aca="false">IF(AND(6&lt;=Hold_Yrs,6-ROUND(Rec_Lag,0)&gt;=1),INDEX($C776:$L776,1,6-ROUND(Rec_Lag,0))*(1-Sev),0)</f>
        <v>0</v>
      </c>
      <c r="I2291" s="99" t="n">
        <f aca="false">IF(AND(7&lt;=Hold_Yrs,7-ROUND(Rec_Lag,0)&gt;=1),INDEX($C776:$L776,1,7-ROUND(Rec_Lag,0))*(1-Sev),0)</f>
        <v>0</v>
      </c>
      <c r="J2291" s="99" t="n">
        <f aca="false">IF(AND(8&lt;=Hold_Yrs,8-ROUND(Rec_Lag,0)&gt;=1),INDEX($C776:$L776,1,8-ROUND(Rec_Lag,0))*(1-Sev),0)</f>
        <v>0</v>
      </c>
      <c r="K2291" s="99" t="n">
        <f aca="false">IF(AND(9&lt;=Hold_Yrs,9-ROUND(Rec_Lag,0)&gt;=1),INDEX($C776:$L776,1,9-ROUND(Rec_Lag,0))*(1-Sev),0)</f>
        <v>0</v>
      </c>
      <c r="L2291" s="99" t="n">
        <f aca="false">IF(AND(10&lt;=Hold_Yrs,10-ROUND(Rec_Lag,0)&gt;=1),INDEX($C776:$L776,1,10-ROUND(Rec_Lag,0))*(1-Sev),0)</f>
        <v>0</v>
      </c>
    </row>
    <row r="2292" customFormat="false" ht="15" hidden="false" customHeight="false" outlineLevel="0" collapsed="false">
      <c r="B2292" s="108" t="n">
        <f aca="false">'Loan Tape'!$A167</f>
        <v>0</v>
      </c>
      <c r="C2292" s="71" t="n">
        <f aca="false">IF(AND(1&lt;=Hold_Yrs,1-ROUND(Rec_Lag,0)&gt;=1),INDEX($C777:$L777,1,1-ROUND(Rec_Lag,0))*(1-Sev),0)</f>
        <v>0</v>
      </c>
      <c r="D2292" s="71" t="n">
        <f aca="false">IF(AND(2&lt;=Hold_Yrs,2-ROUND(Rec_Lag,0)&gt;=1),INDEX($C777:$L777,1,2-ROUND(Rec_Lag,0))*(1-Sev),0)</f>
        <v>0</v>
      </c>
      <c r="E2292" s="71" t="n">
        <f aca="false">IF(AND(3&lt;=Hold_Yrs,3-ROUND(Rec_Lag,0)&gt;=1),INDEX($C777:$L777,1,3-ROUND(Rec_Lag,0))*(1-Sev),0)</f>
        <v>0</v>
      </c>
      <c r="F2292" s="71" t="n">
        <f aca="false">IF(AND(4&lt;=Hold_Yrs,4-ROUND(Rec_Lag,0)&gt;=1),INDEX($C777:$L777,1,4-ROUND(Rec_Lag,0))*(1-Sev),0)</f>
        <v>0</v>
      </c>
      <c r="G2292" s="71" t="n">
        <f aca="false">IF(AND(5&lt;=Hold_Yrs,5-ROUND(Rec_Lag,0)&gt;=1),INDEX($C777:$L777,1,5-ROUND(Rec_Lag,0))*(1-Sev),0)</f>
        <v>0</v>
      </c>
      <c r="H2292" s="71" t="n">
        <f aca="false">IF(AND(6&lt;=Hold_Yrs,6-ROUND(Rec_Lag,0)&gt;=1),INDEX($C777:$L777,1,6-ROUND(Rec_Lag,0))*(1-Sev),0)</f>
        <v>0</v>
      </c>
      <c r="I2292" s="71" t="n">
        <f aca="false">IF(AND(7&lt;=Hold_Yrs,7-ROUND(Rec_Lag,0)&gt;=1),INDEX($C777:$L777,1,7-ROUND(Rec_Lag,0))*(1-Sev),0)</f>
        <v>0</v>
      </c>
      <c r="J2292" s="71" t="n">
        <f aca="false">IF(AND(8&lt;=Hold_Yrs,8-ROUND(Rec_Lag,0)&gt;=1),INDEX($C777:$L777,1,8-ROUND(Rec_Lag,0))*(1-Sev),0)</f>
        <v>0</v>
      </c>
      <c r="K2292" s="71" t="n">
        <f aca="false">IF(AND(9&lt;=Hold_Yrs,9-ROUND(Rec_Lag,0)&gt;=1),INDEX($C777:$L777,1,9-ROUND(Rec_Lag,0))*(1-Sev),0)</f>
        <v>0</v>
      </c>
      <c r="L2292" s="71" t="n">
        <f aca="false">IF(AND(10&lt;=Hold_Yrs,10-ROUND(Rec_Lag,0)&gt;=1),INDEX($C777:$L777,1,10-ROUND(Rec_Lag,0))*(1-Sev),0)</f>
        <v>0</v>
      </c>
    </row>
    <row r="2293" customFormat="false" ht="15" hidden="false" customHeight="false" outlineLevel="0" collapsed="false">
      <c r="B2293" s="102" t="n">
        <f aca="false">'Loan Tape'!$A168</f>
        <v>0</v>
      </c>
      <c r="C2293" s="99" t="n">
        <f aca="false">IF(AND(1&lt;=Hold_Yrs,1-ROUND(Rec_Lag,0)&gt;=1),INDEX($C778:$L778,1,1-ROUND(Rec_Lag,0))*(1-Sev),0)</f>
        <v>0</v>
      </c>
      <c r="D2293" s="99" t="n">
        <f aca="false">IF(AND(2&lt;=Hold_Yrs,2-ROUND(Rec_Lag,0)&gt;=1),INDEX($C778:$L778,1,2-ROUND(Rec_Lag,0))*(1-Sev),0)</f>
        <v>0</v>
      </c>
      <c r="E2293" s="99" t="n">
        <f aca="false">IF(AND(3&lt;=Hold_Yrs,3-ROUND(Rec_Lag,0)&gt;=1),INDEX($C778:$L778,1,3-ROUND(Rec_Lag,0))*(1-Sev),0)</f>
        <v>0</v>
      </c>
      <c r="F2293" s="99" t="n">
        <f aca="false">IF(AND(4&lt;=Hold_Yrs,4-ROUND(Rec_Lag,0)&gt;=1),INDEX($C778:$L778,1,4-ROUND(Rec_Lag,0))*(1-Sev),0)</f>
        <v>0</v>
      </c>
      <c r="G2293" s="99" t="n">
        <f aca="false">IF(AND(5&lt;=Hold_Yrs,5-ROUND(Rec_Lag,0)&gt;=1),INDEX($C778:$L778,1,5-ROUND(Rec_Lag,0))*(1-Sev),0)</f>
        <v>0</v>
      </c>
      <c r="H2293" s="99" t="n">
        <f aca="false">IF(AND(6&lt;=Hold_Yrs,6-ROUND(Rec_Lag,0)&gt;=1),INDEX($C778:$L778,1,6-ROUND(Rec_Lag,0))*(1-Sev),0)</f>
        <v>0</v>
      </c>
      <c r="I2293" s="99" t="n">
        <f aca="false">IF(AND(7&lt;=Hold_Yrs,7-ROUND(Rec_Lag,0)&gt;=1),INDEX($C778:$L778,1,7-ROUND(Rec_Lag,0))*(1-Sev),0)</f>
        <v>0</v>
      </c>
      <c r="J2293" s="99" t="n">
        <f aca="false">IF(AND(8&lt;=Hold_Yrs,8-ROUND(Rec_Lag,0)&gt;=1),INDEX($C778:$L778,1,8-ROUND(Rec_Lag,0))*(1-Sev),0)</f>
        <v>0</v>
      </c>
      <c r="K2293" s="99" t="n">
        <f aca="false">IF(AND(9&lt;=Hold_Yrs,9-ROUND(Rec_Lag,0)&gt;=1),INDEX($C778:$L778,1,9-ROUND(Rec_Lag,0))*(1-Sev),0)</f>
        <v>0</v>
      </c>
      <c r="L2293" s="99" t="n">
        <f aca="false">IF(AND(10&lt;=Hold_Yrs,10-ROUND(Rec_Lag,0)&gt;=1),INDEX($C778:$L778,1,10-ROUND(Rec_Lag,0))*(1-Sev),0)</f>
        <v>0</v>
      </c>
    </row>
    <row r="2294" customFormat="false" ht="15" hidden="false" customHeight="false" outlineLevel="0" collapsed="false">
      <c r="B2294" s="108" t="n">
        <f aca="false">'Loan Tape'!$A169</f>
        <v>0</v>
      </c>
      <c r="C2294" s="71" t="n">
        <f aca="false">IF(AND(1&lt;=Hold_Yrs,1-ROUND(Rec_Lag,0)&gt;=1),INDEX($C779:$L779,1,1-ROUND(Rec_Lag,0))*(1-Sev),0)</f>
        <v>0</v>
      </c>
      <c r="D2294" s="71" t="n">
        <f aca="false">IF(AND(2&lt;=Hold_Yrs,2-ROUND(Rec_Lag,0)&gt;=1),INDEX($C779:$L779,1,2-ROUND(Rec_Lag,0))*(1-Sev),0)</f>
        <v>0</v>
      </c>
      <c r="E2294" s="71" t="n">
        <f aca="false">IF(AND(3&lt;=Hold_Yrs,3-ROUND(Rec_Lag,0)&gt;=1),INDEX($C779:$L779,1,3-ROUND(Rec_Lag,0))*(1-Sev),0)</f>
        <v>0</v>
      </c>
      <c r="F2294" s="71" t="n">
        <f aca="false">IF(AND(4&lt;=Hold_Yrs,4-ROUND(Rec_Lag,0)&gt;=1),INDEX($C779:$L779,1,4-ROUND(Rec_Lag,0))*(1-Sev),0)</f>
        <v>0</v>
      </c>
      <c r="G2294" s="71" t="n">
        <f aca="false">IF(AND(5&lt;=Hold_Yrs,5-ROUND(Rec_Lag,0)&gt;=1),INDEX($C779:$L779,1,5-ROUND(Rec_Lag,0))*(1-Sev),0)</f>
        <v>0</v>
      </c>
      <c r="H2294" s="71" t="n">
        <f aca="false">IF(AND(6&lt;=Hold_Yrs,6-ROUND(Rec_Lag,0)&gt;=1),INDEX($C779:$L779,1,6-ROUND(Rec_Lag,0))*(1-Sev),0)</f>
        <v>0</v>
      </c>
      <c r="I2294" s="71" t="n">
        <f aca="false">IF(AND(7&lt;=Hold_Yrs,7-ROUND(Rec_Lag,0)&gt;=1),INDEX($C779:$L779,1,7-ROUND(Rec_Lag,0))*(1-Sev),0)</f>
        <v>0</v>
      </c>
      <c r="J2294" s="71" t="n">
        <f aca="false">IF(AND(8&lt;=Hold_Yrs,8-ROUND(Rec_Lag,0)&gt;=1),INDEX($C779:$L779,1,8-ROUND(Rec_Lag,0))*(1-Sev),0)</f>
        <v>0</v>
      </c>
      <c r="K2294" s="71" t="n">
        <f aca="false">IF(AND(9&lt;=Hold_Yrs,9-ROUND(Rec_Lag,0)&gt;=1),INDEX($C779:$L779,1,9-ROUND(Rec_Lag,0))*(1-Sev),0)</f>
        <v>0</v>
      </c>
      <c r="L2294" s="71" t="n">
        <f aca="false">IF(AND(10&lt;=Hold_Yrs,10-ROUND(Rec_Lag,0)&gt;=1),INDEX($C779:$L779,1,10-ROUND(Rec_Lag,0))*(1-Sev),0)</f>
        <v>0</v>
      </c>
    </row>
    <row r="2295" customFormat="false" ht="15" hidden="false" customHeight="false" outlineLevel="0" collapsed="false">
      <c r="B2295" s="102" t="n">
        <f aca="false">'Loan Tape'!$A170</f>
        <v>0</v>
      </c>
      <c r="C2295" s="99" t="n">
        <f aca="false">IF(AND(1&lt;=Hold_Yrs,1-ROUND(Rec_Lag,0)&gt;=1),INDEX($C780:$L780,1,1-ROUND(Rec_Lag,0))*(1-Sev),0)</f>
        <v>0</v>
      </c>
      <c r="D2295" s="99" t="n">
        <f aca="false">IF(AND(2&lt;=Hold_Yrs,2-ROUND(Rec_Lag,0)&gt;=1),INDEX($C780:$L780,1,2-ROUND(Rec_Lag,0))*(1-Sev),0)</f>
        <v>0</v>
      </c>
      <c r="E2295" s="99" t="n">
        <f aca="false">IF(AND(3&lt;=Hold_Yrs,3-ROUND(Rec_Lag,0)&gt;=1),INDEX($C780:$L780,1,3-ROUND(Rec_Lag,0))*(1-Sev),0)</f>
        <v>0</v>
      </c>
      <c r="F2295" s="99" t="n">
        <f aca="false">IF(AND(4&lt;=Hold_Yrs,4-ROUND(Rec_Lag,0)&gt;=1),INDEX($C780:$L780,1,4-ROUND(Rec_Lag,0))*(1-Sev),0)</f>
        <v>0</v>
      </c>
      <c r="G2295" s="99" t="n">
        <f aca="false">IF(AND(5&lt;=Hold_Yrs,5-ROUND(Rec_Lag,0)&gt;=1),INDEX($C780:$L780,1,5-ROUND(Rec_Lag,0))*(1-Sev),0)</f>
        <v>0</v>
      </c>
      <c r="H2295" s="99" t="n">
        <f aca="false">IF(AND(6&lt;=Hold_Yrs,6-ROUND(Rec_Lag,0)&gt;=1),INDEX($C780:$L780,1,6-ROUND(Rec_Lag,0))*(1-Sev),0)</f>
        <v>0</v>
      </c>
      <c r="I2295" s="99" t="n">
        <f aca="false">IF(AND(7&lt;=Hold_Yrs,7-ROUND(Rec_Lag,0)&gt;=1),INDEX($C780:$L780,1,7-ROUND(Rec_Lag,0))*(1-Sev),0)</f>
        <v>0</v>
      </c>
      <c r="J2295" s="99" t="n">
        <f aca="false">IF(AND(8&lt;=Hold_Yrs,8-ROUND(Rec_Lag,0)&gt;=1),INDEX($C780:$L780,1,8-ROUND(Rec_Lag,0))*(1-Sev),0)</f>
        <v>0</v>
      </c>
      <c r="K2295" s="99" t="n">
        <f aca="false">IF(AND(9&lt;=Hold_Yrs,9-ROUND(Rec_Lag,0)&gt;=1),INDEX($C780:$L780,1,9-ROUND(Rec_Lag,0))*(1-Sev),0)</f>
        <v>0</v>
      </c>
      <c r="L2295" s="99" t="n">
        <f aca="false">IF(AND(10&lt;=Hold_Yrs,10-ROUND(Rec_Lag,0)&gt;=1),INDEX($C780:$L780,1,10-ROUND(Rec_Lag,0))*(1-Sev),0)</f>
        <v>0</v>
      </c>
    </row>
    <row r="2296" customFormat="false" ht="15" hidden="false" customHeight="false" outlineLevel="0" collapsed="false">
      <c r="B2296" s="108" t="n">
        <f aca="false">'Loan Tape'!$A171</f>
        <v>0</v>
      </c>
      <c r="C2296" s="71" t="n">
        <f aca="false">IF(AND(1&lt;=Hold_Yrs,1-ROUND(Rec_Lag,0)&gt;=1),INDEX($C781:$L781,1,1-ROUND(Rec_Lag,0))*(1-Sev),0)</f>
        <v>0</v>
      </c>
      <c r="D2296" s="71" t="n">
        <f aca="false">IF(AND(2&lt;=Hold_Yrs,2-ROUND(Rec_Lag,0)&gt;=1),INDEX($C781:$L781,1,2-ROUND(Rec_Lag,0))*(1-Sev),0)</f>
        <v>0</v>
      </c>
      <c r="E2296" s="71" t="n">
        <f aca="false">IF(AND(3&lt;=Hold_Yrs,3-ROUND(Rec_Lag,0)&gt;=1),INDEX($C781:$L781,1,3-ROUND(Rec_Lag,0))*(1-Sev),0)</f>
        <v>0</v>
      </c>
      <c r="F2296" s="71" t="n">
        <f aca="false">IF(AND(4&lt;=Hold_Yrs,4-ROUND(Rec_Lag,0)&gt;=1),INDEX($C781:$L781,1,4-ROUND(Rec_Lag,0))*(1-Sev),0)</f>
        <v>0</v>
      </c>
      <c r="G2296" s="71" t="n">
        <f aca="false">IF(AND(5&lt;=Hold_Yrs,5-ROUND(Rec_Lag,0)&gt;=1),INDEX($C781:$L781,1,5-ROUND(Rec_Lag,0))*(1-Sev),0)</f>
        <v>0</v>
      </c>
      <c r="H2296" s="71" t="n">
        <f aca="false">IF(AND(6&lt;=Hold_Yrs,6-ROUND(Rec_Lag,0)&gt;=1),INDEX($C781:$L781,1,6-ROUND(Rec_Lag,0))*(1-Sev),0)</f>
        <v>0</v>
      </c>
      <c r="I2296" s="71" t="n">
        <f aca="false">IF(AND(7&lt;=Hold_Yrs,7-ROUND(Rec_Lag,0)&gt;=1),INDEX($C781:$L781,1,7-ROUND(Rec_Lag,0))*(1-Sev),0)</f>
        <v>0</v>
      </c>
      <c r="J2296" s="71" t="n">
        <f aca="false">IF(AND(8&lt;=Hold_Yrs,8-ROUND(Rec_Lag,0)&gt;=1),INDEX($C781:$L781,1,8-ROUND(Rec_Lag,0))*(1-Sev),0)</f>
        <v>0</v>
      </c>
      <c r="K2296" s="71" t="n">
        <f aca="false">IF(AND(9&lt;=Hold_Yrs,9-ROUND(Rec_Lag,0)&gt;=1),INDEX($C781:$L781,1,9-ROUND(Rec_Lag,0))*(1-Sev),0)</f>
        <v>0</v>
      </c>
      <c r="L2296" s="71" t="n">
        <f aca="false">IF(AND(10&lt;=Hold_Yrs,10-ROUND(Rec_Lag,0)&gt;=1),INDEX($C781:$L781,1,10-ROUND(Rec_Lag,0))*(1-Sev),0)</f>
        <v>0</v>
      </c>
    </row>
    <row r="2297" customFormat="false" ht="15" hidden="false" customHeight="false" outlineLevel="0" collapsed="false">
      <c r="B2297" s="102" t="n">
        <f aca="false">'Loan Tape'!$A172</f>
        <v>0</v>
      </c>
      <c r="C2297" s="99" t="n">
        <f aca="false">IF(AND(1&lt;=Hold_Yrs,1-ROUND(Rec_Lag,0)&gt;=1),INDEX($C782:$L782,1,1-ROUND(Rec_Lag,0))*(1-Sev),0)</f>
        <v>0</v>
      </c>
      <c r="D2297" s="99" t="n">
        <f aca="false">IF(AND(2&lt;=Hold_Yrs,2-ROUND(Rec_Lag,0)&gt;=1),INDEX($C782:$L782,1,2-ROUND(Rec_Lag,0))*(1-Sev),0)</f>
        <v>0</v>
      </c>
      <c r="E2297" s="99" t="n">
        <f aca="false">IF(AND(3&lt;=Hold_Yrs,3-ROUND(Rec_Lag,0)&gt;=1),INDEX($C782:$L782,1,3-ROUND(Rec_Lag,0))*(1-Sev),0)</f>
        <v>0</v>
      </c>
      <c r="F2297" s="99" t="n">
        <f aca="false">IF(AND(4&lt;=Hold_Yrs,4-ROUND(Rec_Lag,0)&gt;=1),INDEX($C782:$L782,1,4-ROUND(Rec_Lag,0))*(1-Sev),0)</f>
        <v>0</v>
      </c>
      <c r="G2297" s="99" t="n">
        <f aca="false">IF(AND(5&lt;=Hold_Yrs,5-ROUND(Rec_Lag,0)&gt;=1),INDEX($C782:$L782,1,5-ROUND(Rec_Lag,0))*(1-Sev),0)</f>
        <v>0</v>
      </c>
      <c r="H2297" s="99" t="n">
        <f aca="false">IF(AND(6&lt;=Hold_Yrs,6-ROUND(Rec_Lag,0)&gt;=1),INDEX($C782:$L782,1,6-ROUND(Rec_Lag,0))*(1-Sev),0)</f>
        <v>0</v>
      </c>
      <c r="I2297" s="99" t="n">
        <f aca="false">IF(AND(7&lt;=Hold_Yrs,7-ROUND(Rec_Lag,0)&gt;=1),INDEX($C782:$L782,1,7-ROUND(Rec_Lag,0))*(1-Sev),0)</f>
        <v>0</v>
      </c>
      <c r="J2297" s="99" t="n">
        <f aca="false">IF(AND(8&lt;=Hold_Yrs,8-ROUND(Rec_Lag,0)&gt;=1),INDEX($C782:$L782,1,8-ROUND(Rec_Lag,0))*(1-Sev),0)</f>
        <v>0</v>
      </c>
      <c r="K2297" s="99" t="n">
        <f aca="false">IF(AND(9&lt;=Hold_Yrs,9-ROUND(Rec_Lag,0)&gt;=1),INDEX($C782:$L782,1,9-ROUND(Rec_Lag,0))*(1-Sev),0)</f>
        <v>0</v>
      </c>
      <c r="L2297" s="99" t="n">
        <f aca="false">IF(AND(10&lt;=Hold_Yrs,10-ROUND(Rec_Lag,0)&gt;=1),INDEX($C782:$L782,1,10-ROUND(Rec_Lag,0))*(1-Sev),0)</f>
        <v>0</v>
      </c>
    </row>
    <row r="2298" customFormat="false" ht="15" hidden="false" customHeight="false" outlineLevel="0" collapsed="false">
      <c r="B2298" s="108" t="n">
        <f aca="false">'Loan Tape'!$A173</f>
        <v>0</v>
      </c>
      <c r="C2298" s="71" t="n">
        <f aca="false">IF(AND(1&lt;=Hold_Yrs,1-ROUND(Rec_Lag,0)&gt;=1),INDEX($C783:$L783,1,1-ROUND(Rec_Lag,0))*(1-Sev),0)</f>
        <v>0</v>
      </c>
      <c r="D2298" s="71" t="n">
        <f aca="false">IF(AND(2&lt;=Hold_Yrs,2-ROUND(Rec_Lag,0)&gt;=1),INDEX($C783:$L783,1,2-ROUND(Rec_Lag,0))*(1-Sev),0)</f>
        <v>0</v>
      </c>
      <c r="E2298" s="71" t="n">
        <f aca="false">IF(AND(3&lt;=Hold_Yrs,3-ROUND(Rec_Lag,0)&gt;=1),INDEX($C783:$L783,1,3-ROUND(Rec_Lag,0))*(1-Sev),0)</f>
        <v>0</v>
      </c>
      <c r="F2298" s="71" t="n">
        <f aca="false">IF(AND(4&lt;=Hold_Yrs,4-ROUND(Rec_Lag,0)&gt;=1),INDEX($C783:$L783,1,4-ROUND(Rec_Lag,0))*(1-Sev),0)</f>
        <v>0</v>
      </c>
      <c r="G2298" s="71" t="n">
        <f aca="false">IF(AND(5&lt;=Hold_Yrs,5-ROUND(Rec_Lag,0)&gt;=1),INDEX($C783:$L783,1,5-ROUND(Rec_Lag,0))*(1-Sev),0)</f>
        <v>0</v>
      </c>
      <c r="H2298" s="71" t="n">
        <f aca="false">IF(AND(6&lt;=Hold_Yrs,6-ROUND(Rec_Lag,0)&gt;=1),INDEX($C783:$L783,1,6-ROUND(Rec_Lag,0))*(1-Sev),0)</f>
        <v>0</v>
      </c>
      <c r="I2298" s="71" t="n">
        <f aca="false">IF(AND(7&lt;=Hold_Yrs,7-ROUND(Rec_Lag,0)&gt;=1),INDEX($C783:$L783,1,7-ROUND(Rec_Lag,0))*(1-Sev),0)</f>
        <v>0</v>
      </c>
      <c r="J2298" s="71" t="n">
        <f aca="false">IF(AND(8&lt;=Hold_Yrs,8-ROUND(Rec_Lag,0)&gt;=1),INDEX($C783:$L783,1,8-ROUND(Rec_Lag,0))*(1-Sev),0)</f>
        <v>0</v>
      </c>
      <c r="K2298" s="71" t="n">
        <f aca="false">IF(AND(9&lt;=Hold_Yrs,9-ROUND(Rec_Lag,0)&gt;=1),INDEX($C783:$L783,1,9-ROUND(Rec_Lag,0))*(1-Sev),0)</f>
        <v>0</v>
      </c>
      <c r="L2298" s="71" t="n">
        <f aca="false">IF(AND(10&lt;=Hold_Yrs,10-ROUND(Rec_Lag,0)&gt;=1),INDEX($C783:$L783,1,10-ROUND(Rec_Lag,0))*(1-Sev),0)</f>
        <v>0</v>
      </c>
    </row>
    <row r="2299" customFormat="false" ht="15" hidden="false" customHeight="false" outlineLevel="0" collapsed="false">
      <c r="B2299" s="102" t="n">
        <f aca="false">'Loan Tape'!$A174</f>
        <v>0</v>
      </c>
      <c r="C2299" s="99" t="n">
        <f aca="false">IF(AND(1&lt;=Hold_Yrs,1-ROUND(Rec_Lag,0)&gt;=1),INDEX($C784:$L784,1,1-ROUND(Rec_Lag,0))*(1-Sev),0)</f>
        <v>0</v>
      </c>
      <c r="D2299" s="99" t="n">
        <f aca="false">IF(AND(2&lt;=Hold_Yrs,2-ROUND(Rec_Lag,0)&gt;=1),INDEX($C784:$L784,1,2-ROUND(Rec_Lag,0))*(1-Sev),0)</f>
        <v>0</v>
      </c>
      <c r="E2299" s="99" t="n">
        <f aca="false">IF(AND(3&lt;=Hold_Yrs,3-ROUND(Rec_Lag,0)&gt;=1),INDEX($C784:$L784,1,3-ROUND(Rec_Lag,0))*(1-Sev),0)</f>
        <v>0</v>
      </c>
      <c r="F2299" s="99" t="n">
        <f aca="false">IF(AND(4&lt;=Hold_Yrs,4-ROUND(Rec_Lag,0)&gt;=1),INDEX($C784:$L784,1,4-ROUND(Rec_Lag,0))*(1-Sev),0)</f>
        <v>0</v>
      </c>
      <c r="G2299" s="99" t="n">
        <f aca="false">IF(AND(5&lt;=Hold_Yrs,5-ROUND(Rec_Lag,0)&gt;=1),INDEX($C784:$L784,1,5-ROUND(Rec_Lag,0))*(1-Sev),0)</f>
        <v>0</v>
      </c>
      <c r="H2299" s="99" t="n">
        <f aca="false">IF(AND(6&lt;=Hold_Yrs,6-ROUND(Rec_Lag,0)&gt;=1),INDEX($C784:$L784,1,6-ROUND(Rec_Lag,0))*(1-Sev),0)</f>
        <v>0</v>
      </c>
      <c r="I2299" s="99" t="n">
        <f aca="false">IF(AND(7&lt;=Hold_Yrs,7-ROUND(Rec_Lag,0)&gt;=1),INDEX($C784:$L784,1,7-ROUND(Rec_Lag,0))*(1-Sev),0)</f>
        <v>0</v>
      </c>
      <c r="J2299" s="99" t="n">
        <f aca="false">IF(AND(8&lt;=Hold_Yrs,8-ROUND(Rec_Lag,0)&gt;=1),INDEX($C784:$L784,1,8-ROUND(Rec_Lag,0))*(1-Sev),0)</f>
        <v>0</v>
      </c>
      <c r="K2299" s="99" t="n">
        <f aca="false">IF(AND(9&lt;=Hold_Yrs,9-ROUND(Rec_Lag,0)&gt;=1),INDEX($C784:$L784,1,9-ROUND(Rec_Lag,0))*(1-Sev),0)</f>
        <v>0</v>
      </c>
      <c r="L2299" s="99" t="n">
        <f aca="false">IF(AND(10&lt;=Hold_Yrs,10-ROUND(Rec_Lag,0)&gt;=1),INDEX($C784:$L784,1,10-ROUND(Rec_Lag,0))*(1-Sev),0)</f>
        <v>0</v>
      </c>
    </row>
    <row r="2300" customFormat="false" ht="15" hidden="false" customHeight="false" outlineLevel="0" collapsed="false">
      <c r="B2300" s="108" t="n">
        <f aca="false">'Loan Tape'!$A175</f>
        <v>0</v>
      </c>
      <c r="C2300" s="71" t="n">
        <f aca="false">IF(AND(1&lt;=Hold_Yrs,1-ROUND(Rec_Lag,0)&gt;=1),INDEX($C785:$L785,1,1-ROUND(Rec_Lag,0))*(1-Sev),0)</f>
        <v>0</v>
      </c>
      <c r="D2300" s="71" t="n">
        <f aca="false">IF(AND(2&lt;=Hold_Yrs,2-ROUND(Rec_Lag,0)&gt;=1),INDEX($C785:$L785,1,2-ROUND(Rec_Lag,0))*(1-Sev),0)</f>
        <v>0</v>
      </c>
      <c r="E2300" s="71" t="n">
        <f aca="false">IF(AND(3&lt;=Hold_Yrs,3-ROUND(Rec_Lag,0)&gt;=1),INDEX($C785:$L785,1,3-ROUND(Rec_Lag,0))*(1-Sev),0)</f>
        <v>0</v>
      </c>
      <c r="F2300" s="71" t="n">
        <f aca="false">IF(AND(4&lt;=Hold_Yrs,4-ROUND(Rec_Lag,0)&gt;=1),INDEX($C785:$L785,1,4-ROUND(Rec_Lag,0))*(1-Sev),0)</f>
        <v>0</v>
      </c>
      <c r="G2300" s="71" t="n">
        <f aca="false">IF(AND(5&lt;=Hold_Yrs,5-ROUND(Rec_Lag,0)&gt;=1),INDEX($C785:$L785,1,5-ROUND(Rec_Lag,0))*(1-Sev),0)</f>
        <v>0</v>
      </c>
      <c r="H2300" s="71" t="n">
        <f aca="false">IF(AND(6&lt;=Hold_Yrs,6-ROUND(Rec_Lag,0)&gt;=1),INDEX($C785:$L785,1,6-ROUND(Rec_Lag,0))*(1-Sev),0)</f>
        <v>0</v>
      </c>
      <c r="I2300" s="71" t="n">
        <f aca="false">IF(AND(7&lt;=Hold_Yrs,7-ROUND(Rec_Lag,0)&gt;=1),INDEX($C785:$L785,1,7-ROUND(Rec_Lag,0))*(1-Sev),0)</f>
        <v>0</v>
      </c>
      <c r="J2300" s="71" t="n">
        <f aca="false">IF(AND(8&lt;=Hold_Yrs,8-ROUND(Rec_Lag,0)&gt;=1),INDEX($C785:$L785,1,8-ROUND(Rec_Lag,0))*(1-Sev),0)</f>
        <v>0</v>
      </c>
      <c r="K2300" s="71" t="n">
        <f aca="false">IF(AND(9&lt;=Hold_Yrs,9-ROUND(Rec_Lag,0)&gt;=1),INDEX($C785:$L785,1,9-ROUND(Rec_Lag,0))*(1-Sev),0)</f>
        <v>0</v>
      </c>
      <c r="L2300" s="71" t="n">
        <f aca="false">IF(AND(10&lt;=Hold_Yrs,10-ROUND(Rec_Lag,0)&gt;=1),INDEX($C785:$L785,1,10-ROUND(Rec_Lag,0))*(1-Sev),0)</f>
        <v>0</v>
      </c>
    </row>
    <row r="2301" customFormat="false" ht="15" hidden="false" customHeight="false" outlineLevel="0" collapsed="false">
      <c r="B2301" s="102" t="n">
        <f aca="false">'Loan Tape'!$A176</f>
        <v>0</v>
      </c>
      <c r="C2301" s="99" t="n">
        <f aca="false">IF(AND(1&lt;=Hold_Yrs,1-ROUND(Rec_Lag,0)&gt;=1),INDEX($C786:$L786,1,1-ROUND(Rec_Lag,0))*(1-Sev),0)</f>
        <v>0</v>
      </c>
      <c r="D2301" s="99" t="n">
        <f aca="false">IF(AND(2&lt;=Hold_Yrs,2-ROUND(Rec_Lag,0)&gt;=1),INDEX($C786:$L786,1,2-ROUND(Rec_Lag,0))*(1-Sev),0)</f>
        <v>0</v>
      </c>
      <c r="E2301" s="99" t="n">
        <f aca="false">IF(AND(3&lt;=Hold_Yrs,3-ROUND(Rec_Lag,0)&gt;=1),INDEX($C786:$L786,1,3-ROUND(Rec_Lag,0))*(1-Sev),0)</f>
        <v>0</v>
      </c>
      <c r="F2301" s="99" t="n">
        <f aca="false">IF(AND(4&lt;=Hold_Yrs,4-ROUND(Rec_Lag,0)&gt;=1),INDEX($C786:$L786,1,4-ROUND(Rec_Lag,0))*(1-Sev),0)</f>
        <v>0</v>
      </c>
      <c r="G2301" s="99" t="n">
        <f aca="false">IF(AND(5&lt;=Hold_Yrs,5-ROUND(Rec_Lag,0)&gt;=1),INDEX($C786:$L786,1,5-ROUND(Rec_Lag,0))*(1-Sev),0)</f>
        <v>0</v>
      </c>
      <c r="H2301" s="99" t="n">
        <f aca="false">IF(AND(6&lt;=Hold_Yrs,6-ROUND(Rec_Lag,0)&gt;=1),INDEX($C786:$L786,1,6-ROUND(Rec_Lag,0))*(1-Sev),0)</f>
        <v>0</v>
      </c>
      <c r="I2301" s="99" t="n">
        <f aca="false">IF(AND(7&lt;=Hold_Yrs,7-ROUND(Rec_Lag,0)&gt;=1),INDEX($C786:$L786,1,7-ROUND(Rec_Lag,0))*(1-Sev),0)</f>
        <v>0</v>
      </c>
      <c r="J2301" s="99" t="n">
        <f aca="false">IF(AND(8&lt;=Hold_Yrs,8-ROUND(Rec_Lag,0)&gt;=1),INDEX($C786:$L786,1,8-ROUND(Rec_Lag,0))*(1-Sev),0)</f>
        <v>0</v>
      </c>
      <c r="K2301" s="99" t="n">
        <f aca="false">IF(AND(9&lt;=Hold_Yrs,9-ROUND(Rec_Lag,0)&gt;=1),INDEX($C786:$L786,1,9-ROUND(Rec_Lag,0))*(1-Sev),0)</f>
        <v>0</v>
      </c>
      <c r="L2301" s="99" t="n">
        <f aca="false">IF(AND(10&lt;=Hold_Yrs,10-ROUND(Rec_Lag,0)&gt;=1),INDEX($C786:$L786,1,10-ROUND(Rec_Lag,0))*(1-Sev),0)</f>
        <v>0</v>
      </c>
    </row>
    <row r="2302" customFormat="false" ht="15" hidden="false" customHeight="false" outlineLevel="0" collapsed="false">
      <c r="B2302" s="108" t="n">
        <f aca="false">'Loan Tape'!$A177</f>
        <v>0</v>
      </c>
      <c r="C2302" s="71" t="n">
        <f aca="false">IF(AND(1&lt;=Hold_Yrs,1-ROUND(Rec_Lag,0)&gt;=1),INDEX($C787:$L787,1,1-ROUND(Rec_Lag,0))*(1-Sev),0)</f>
        <v>0</v>
      </c>
      <c r="D2302" s="71" t="n">
        <f aca="false">IF(AND(2&lt;=Hold_Yrs,2-ROUND(Rec_Lag,0)&gt;=1),INDEX($C787:$L787,1,2-ROUND(Rec_Lag,0))*(1-Sev),0)</f>
        <v>0</v>
      </c>
      <c r="E2302" s="71" t="n">
        <f aca="false">IF(AND(3&lt;=Hold_Yrs,3-ROUND(Rec_Lag,0)&gt;=1),INDEX($C787:$L787,1,3-ROUND(Rec_Lag,0))*(1-Sev),0)</f>
        <v>0</v>
      </c>
      <c r="F2302" s="71" t="n">
        <f aca="false">IF(AND(4&lt;=Hold_Yrs,4-ROUND(Rec_Lag,0)&gt;=1),INDEX($C787:$L787,1,4-ROUND(Rec_Lag,0))*(1-Sev),0)</f>
        <v>0</v>
      </c>
      <c r="G2302" s="71" t="n">
        <f aca="false">IF(AND(5&lt;=Hold_Yrs,5-ROUND(Rec_Lag,0)&gt;=1),INDEX($C787:$L787,1,5-ROUND(Rec_Lag,0))*(1-Sev),0)</f>
        <v>0</v>
      </c>
      <c r="H2302" s="71" t="n">
        <f aca="false">IF(AND(6&lt;=Hold_Yrs,6-ROUND(Rec_Lag,0)&gt;=1),INDEX($C787:$L787,1,6-ROUND(Rec_Lag,0))*(1-Sev),0)</f>
        <v>0</v>
      </c>
      <c r="I2302" s="71" t="n">
        <f aca="false">IF(AND(7&lt;=Hold_Yrs,7-ROUND(Rec_Lag,0)&gt;=1),INDEX($C787:$L787,1,7-ROUND(Rec_Lag,0))*(1-Sev),0)</f>
        <v>0</v>
      </c>
      <c r="J2302" s="71" t="n">
        <f aca="false">IF(AND(8&lt;=Hold_Yrs,8-ROUND(Rec_Lag,0)&gt;=1),INDEX($C787:$L787,1,8-ROUND(Rec_Lag,0))*(1-Sev),0)</f>
        <v>0</v>
      </c>
      <c r="K2302" s="71" t="n">
        <f aca="false">IF(AND(9&lt;=Hold_Yrs,9-ROUND(Rec_Lag,0)&gt;=1),INDEX($C787:$L787,1,9-ROUND(Rec_Lag,0))*(1-Sev),0)</f>
        <v>0</v>
      </c>
      <c r="L2302" s="71" t="n">
        <f aca="false">IF(AND(10&lt;=Hold_Yrs,10-ROUND(Rec_Lag,0)&gt;=1),INDEX($C787:$L787,1,10-ROUND(Rec_Lag,0))*(1-Sev),0)</f>
        <v>0</v>
      </c>
    </row>
    <row r="2303" customFormat="false" ht="15" hidden="false" customHeight="false" outlineLevel="0" collapsed="false">
      <c r="B2303" s="102" t="n">
        <f aca="false">'Loan Tape'!$A178</f>
        <v>0</v>
      </c>
      <c r="C2303" s="99" t="n">
        <f aca="false">IF(AND(1&lt;=Hold_Yrs,1-ROUND(Rec_Lag,0)&gt;=1),INDEX($C788:$L788,1,1-ROUND(Rec_Lag,0))*(1-Sev),0)</f>
        <v>0</v>
      </c>
      <c r="D2303" s="99" t="n">
        <f aca="false">IF(AND(2&lt;=Hold_Yrs,2-ROUND(Rec_Lag,0)&gt;=1),INDEX($C788:$L788,1,2-ROUND(Rec_Lag,0))*(1-Sev),0)</f>
        <v>0</v>
      </c>
      <c r="E2303" s="99" t="n">
        <f aca="false">IF(AND(3&lt;=Hold_Yrs,3-ROUND(Rec_Lag,0)&gt;=1),INDEX($C788:$L788,1,3-ROUND(Rec_Lag,0))*(1-Sev),0)</f>
        <v>0</v>
      </c>
      <c r="F2303" s="99" t="n">
        <f aca="false">IF(AND(4&lt;=Hold_Yrs,4-ROUND(Rec_Lag,0)&gt;=1),INDEX($C788:$L788,1,4-ROUND(Rec_Lag,0))*(1-Sev),0)</f>
        <v>0</v>
      </c>
      <c r="G2303" s="99" t="n">
        <f aca="false">IF(AND(5&lt;=Hold_Yrs,5-ROUND(Rec_Lag,0)&gt;=1),INDEX($C788:$L788,1,5-ROUND(Rec_Lag,0))*(1-Sev),0)</f>
        <v>0</v>
      </c>
      <c r="H2303" s="99" t="n">
        <f aca="false">IF(AND(6&lt;=Hold_Yrs,6-ROUND(Rec_Lag,0)&gt;=1),INDEX($C788:$L788,1,6-ROUND(Rec_Lag,0))*(1-Sev),0)</f>
        <v>0</v>
      </c>
      <c r="I2303" s="99" t="n">
        <f aca="false">IF(AND(7&lt;=Hold_Yrs,7-ROUND(Rec_Lag,0)&gt;=1),INDEX($C788:$L788,1,7-ROUND(Rec_Lag,0))*(1-Sev),0)</f>
        <v>0</v>
      </c>
      <c r="J2303" s="99" t="n">
        <f aca="false">IF(AND(8&lt;=Hold_Yrs,8-ROUND(Rec_Lag,0)&gt;=1),INDEX($C788:$L788,1,8-ROUND(Rec_Lag,0))*(1-Sev),0)</f>
        <v>0</v>
      </c>
      <c r="K2303" s="99" t="n">
        <f aca="false">IF(AND(9&lt;=Hold_Yrs,9-ROUND(Rec_Lag,0)&gt;=1),INDEX($C788:$L788,1,9-ROUND(Rec_Lag,0))*(1-Sev),0)</f>
        <v>0</v>
      </c>
      <c r="L2303" s="99" t="n">
        <f aca="false">IF(AND(10&lt;=Hold_Yrs,10-ROUND(Rec_Lag,0)&gt;=1),INDEX($C788:$L788,1,10-ROUND(Rec_Lag,0))*(1-Sev),0)</f>
        <v>0</v>
      </c>
    </row>
    <row r="2304" customFormat="false" ht="15" hidden="false" customHeight="false" outlineLevel="0" collapsed="false">
      <c r="B2304" s="108" t="n">
        <f aca="false">'Loan Tape'!$A179</f>
        <v>0</v>
      </c>
      <c r="C2304" s="71" t="n">
        <f aca="false">IF(AND(1&lt;=Hold_Yrs,1-ROUND(Rec_Lag,0)&gt;=1),INDEX($C789:$L789,1,1-ROUND(Rec_Lag,0))*(1-Sev),0)</f>
        <v>0</v>
      </c>
      <c r="D2304" s="71" t="n">
        <f aca="false">IF(AND(2&lt;=Hold_Yrs,2-ROUND(Rec_Lag,0)&gt;=1),INDEX($C789:$L789,1,2-ROUND(Rec_Lag,0))*(1-Sev),0)</f>
        <v>0</v>
      </c>
      <c r="E2304" s="71" t="n">
        <f aca="false">IF(AND(3&lt;=Hold_Yrs,3-ROUND(Rec_Lag,0)&gt;=1),INDEX($C789:$L789,1,3-ROUND(Rec_Lag,0))*(1-Sev),0)</f>
        <v>0</v>
      </c>
      <c r="F2304" s="71" t="n">
        <f aca="false">IF(AND(4&lt;=Hold_Yrs,4-ROUND(Rec_Lag,0)&gt;=1),INDEX($C789:$L789,1,4-ROUND(Rec_Lag,0))*(1-Sev),0)</f>
        <v>0</v>
      </c>
      <c r="G2304" s="71" t="n">
        <f aca="false">IF(AND(5&lt;=Hold_Yrs,5-ROUND(Rec_Lag,0)&gt;=1),INDEX($C789:$L789,1,5-ROUND(Rec_Lag,0))*(1-Sev),0)</f>
        <v>0</v>
      </c>
      <c r="H2304" s="71" t="n">
        <f aca="false">IF(AND(6&lt;=Hold_Yrs,6-ROUND(Rec_Lag,0)&gt;=1),INDEX($C789:$L789,1,6-ROUND(Rec_Lag,0))*(1-Sev),0)</f>
        <v>0</v>
      </c>
      <c r="I2304" s="71" t="n">
        <f aca="false">IF(AND(7&lt;=Hold_Yrs,7-ROUND(Rec_Lag,0)&gt;=1),INDEX($C789:$L789,1,7-ROUND(Rec_Lag,0))*(1-Sev),0)</f>
        <v>0</v>
      </c>
      <c r="J2304" s="71" t="n">
        <f aca="false">IF(AND(8&lt;=Hold_Yrs,8-ROUND(Rec_Lag,0)&gt;=1),INDEX($C789:$L789,1,8-ROUND(Rec_Lag,0))*(1-Sev),0)</f>
        <v>0</v>
      </c>
      <c r="K2304" s="71" t="n">
        <f aca="false">IF(AND(9&lt;=Hold_Yrs,9-ROUND(Rec_Lag,0)&gt;=1),INDEX($C789:$L789,1,9-ROUND(Rec_Lag,0))*(1-Sev),0)</f>
        <v>0</v>
      </c>
      <c r="L2304" s="71" t="n">
        <f aca="false">IF(AND(10&lt;=Hold_Yrs,10-ROUND(Rec_Lag,0)&gt;=1),INDEX($C789:$L789,1,10-ROUND(Rec_Lag,0))*(1-Sev),0)</f>
        <v>0</v>
      </c>
    </row>
    <row r="2305" customFormat="false" ht="15" hidden="false" customHeight="false" outlineLevel="0" collapsed="false">
      <c r="B2305" s="102" t="n">
        <f aca="false">'Loan Tape'!$A180</f>
        <v>0</v>
      </c>
      <c r="C2305" s="99" t="n">
        <f aca="false">IF(AND(1&lt;=Hold_Yrs,1-ROUND(Rec_Lag,0)&gt;=1),INDEX($C790:$L790,1,1-ROUND(Rec_Lag,0))*(1-Sev),0)</f>
        <v>0</v>
      </c>
      <c r="D2305" s="99" t="n">
        <f aca="false">IF(AND(2&lt;=Hold_Yrs,2-ROUND(Rec_Lag,0)&gt;=1),INDEX($C790:$L790,1,2-ROUND(Rec_Lag,0))*(1-Sev),0)</f>
        <v>0</v>
      </c>
      <c r="E2305" s="99" t="n">
        <f aca="false">IF(AND(3&lt;=Hold_Yrs,3-ROUND(Rec_Lag,0)&gt;=1),INDEX($C790:$L790,1,3-ROUND(Rec_Lag,0))*(1-Sev),0)</f>
        <v>0</v>
      </c>
      <c r="F2305" s="99" t="n">
        <f aca="false">IF(AND(4&lt;=Hold_Yrs,4-ROUND(Rec_Lag,0)&gt;=1),INDEX($C790:$L790,1,4-ROUND(Rec_Lag,0))*(1-Sev),0)</f>
        <v>0</v>
      </c>
      <c r="G2305" s="99" t="n">
        <f aca="false">IF(AND(5&lt;=Hold_Yrs,5-ROUND(Rec_Lag,0)&gt;=1),INDEX($C790:$L790,1,5-ROUND(Rec_Lag,0))*(1-Sev),0)</f>
        <v>0</v>
      </c>
      <c r="H2305" s="99" t="n">
        <f aca="false">IF(AND(6&lt;=Hold_Yrs,6-ROUND(Rec_Lag,0)&gt;=1),INDEX($C790:$L790,1,6-ROUND(Rec_Lag,0))*(1-Sev),0)</f>
        <v>0</v>
      </c>
      <c r="I2305" s="99" t="n">
        <f aca="false">IF(AND(7&lt;=Hold_Yrs,7-ROUND(Rec_Lag,0)&gt;=1),INDEX($C790:$L790,1,7-ROUND(Rec_Lag,0))*(1-Sev),0)</f>
        <v>0</v>
      </c>
      <c r="J2305" s="99" t="n">
        <f aca="false">IF(AND(8&lt;=Hold_Yrs,8-ROUND(Rec_Lag,0)&gt;=1),INDEX($C790:$L790,1,8-ROUND(Rec_Lag,0))*(1-Sev),0)</f>
        <v>0</v>
      </c>
      <c r="K2305" s="99" t="n">
        <f aca="false">IF(AND(9&lt;=Hold_Yrs,9-ROUND(Rec_Lag,0)&gt;=1),INDEX($C790:$L790,1,9-ROUND(Rec_Lag,0))*(1-Sev),0)</f>
        <v>0</v>
      </c>
      <c r="L2305" s="99" t="n">
        <f aca="false">IF(AND(10&lt;=Hold_Yrs,10-ROUND(Rec_Lag,0)&gt;=1),INDEX($C790:$L790,1,10-ROUND(Rec_Lag,0))*(1-Sev),0)</f>
        <v>0</v>
      </c>
    </row>
    <row r="2306" customFormat="false" ht="15" hidden="false" customHeight="false" outlineLevel="0" collapsed="false">
      <c r="B2306" s="108" t="n">
        <f aca="false">'Loan Tape'!$A181</f>
        <v>0</v>
      </c>
      <c r="C2306" s="71" t="n">
        <f aca="false">IF(AND(1&lt;=Hold_Yrs,1-ROUND(Rec_Lag,0)&gt;=1),INDEX($C791:$L791,1,1-ROUND(Rec_Lag,0))*(1-Sev),0)</f>
        <v>0</v>
      </c>
      <c r="D2306" s="71" t="n">
        <f aca="false">IF(AND(2&lt;=Hold_Yrs,2-ROUND(Rec_Lag,0)&gt;=1),INDEX($C791:$L791,1,2-ROUND(Rec_Lag,0))*(1-Sev),0)</f>
        <v>0</v>
      </c>
      <c r="E2306" s="71" t="n">
        <f aca="false">IF(AND(3&lt;=Hold_Yrs,3-ROUND(Rec_Lag,0)&gt;=1),INDEX($C791:$L791,1,3-ROUND(Rec_Lag,0))*(1-Sev),0)</f>
        <v>0</v>
      </c>
      <c r="F2306" s="71" t="n">
        <f aca="false">IF(AND(4&lt;=Hold_Yrs,4-ROUND(Rec_Lag,0)&gt;=1),INDEX($C791:$L791,1,4-ROUND(Rec_Lag,0))*(1-Sev),0)</f>
        <v>0</v>
      </c>
      <c r="G2306" s="71" t="n">
        <f aca="false">IF(AND(5&lt;=Hold_Yrs,5-ROUND(Rec_Lag,0)&gt;=1),INDEX($C791:$L791,1,5-ROUND(Rec_Lag,0))*(1-Sev),0)</f>
        <v>0</v>
      </c>
      <c r="H2306" s="71" t="n">
        <f aca="false">IF(AND(6&lt;=Hold_Yrs,6-ROUND(Rec_Lag,0)&gt;=1),INDEX($C791:$L791,1,6-ROUND(Rec_Lag,0))*(1-Sev),0)</f>
        <v>0</v>
      </c>
      <c r="I2306" s="71" t="n">
        <f aca="false">IF(AND(7&lt;=Hold_Yrs,7-ROUND(Rec_Lag,0)&gt;=1),INDEX($C791:$L791,1,7-ROUND(Rec_Lag,0))*(1-Sev),0)</f>
        <v>0</v>
      </c>
      <c r="J2306" s="71" t="n">
        <f aca="false">IF(AND(8&lt;=Hold_Yrs,8-ROUND(Rec_Lag,0)&gt;=1),INDEX($C791:$L791,1,8-ROUND(Rec_Lag,0))*(1-Sev),0)</f>
        <v>0</v>
      </c>
      <c r="K2306" s="71" t="n">
        <f aca="false">IF(AND(9&lt;=Hold_Yrs,9-ROUND(Rec_Lag,0)&gt;=1),INDEX($C791:$L791,1,9-ROUND(Rec_Lag,0))*(1-Sev),0)</f>
        <v>0</v>
      </c>
      <c r="L2306" s="71" t="n">
        <f aca="false">IF(AND(10&lt;=Hold_Yrs,10-ROUND(Rec_Lag,0)&gt;=1),INDEX($C791:$L791,1,10-ROUND(Rec_Lag,0))*(1-Sev),0)</f>
        <v>0</v>
      </c>
    </row>
    <row r="2307" customFormat="false" ht="15" hidden="false" customHeight="false" outlineLevel="0" collapsed="false">
      <c r="B2307" s="102" t="n">
        <f aca="false">'Loan Tape'!$A182</f>
        <v>0</v>
      </c>
      <c r="C2307" s="99" t="n">
        <f aca="false">IF(AND(1&lt;=Hold_Yrs,1-ROUND(Rec_Lag,0)&gt;=1),INDEX($C792:$L792,1,1-ROUND(Rec_Lag,0))*(1-Sev),0)</f>
        <v>0</v>
      </c>
      <c r="D2307" s="99" t="n">
        <f aca="false">IF(AND(2&lt;=Hold_Yrs,2-ROUND(Rec_Lag,0)&gt;=1),INDEX($C792:$L792,1,2-ROUND(Rec_Lag,0))*(1-Sev),0)</f>
        <v>0</v>
      </c>
      <c r="E2307" s="99" t="n">
        <f aca="false">IF(AND(3&lt;=Hold_Yrs,3-ROUND(Rec_Lag,0)&gt;=1),INDEX($C792:$L792,1,3-ROUND(Rec_Lag,0))*(1-Sev),0)</f>
        <v>0</v>
      </c>
      <c r="F2307" s="99" t="n">
        <f aca="false">IF(AND(4&lt;=Hold_Yrs,4-ROUND(Rec_Lag,0)&gt;=1),INDEX($C792:$L792,1,4-ROUND(Rec_Lag,0))*(1-Sev),0)</f>
        <v>0</v>
      </c>
      <c r="G2307" s="99" t="n">
        <f aca="false">IF(AND(5&lt;=Hold_Yrs,5-ROUND(Rec_Lag,0)&gt;=1),INDEX($C792:$L792,1,5-ROUND(Rec_Lag,0))*(1-Sev),0)</f>
        <v>0</v>
      </c>
      <c r="H2307" s="99" t="n">
        <f aca="false">IF(AND(6&lt;=Hold_Yrs,6-ROUND(Rec_Lag,0)&gt;=1),INDEX($C792:$L792,1,6-ROUND(Rec_Lag,0))*(1-Sev),0)</f>
        <v>0</v>
      </c>
      <c r="I2307" s="99" t="n">
        <f aca="false">IF(AND(7&lt;=Hold_Yrs,7-ROUND(Rec_Lag,0)&gt;=1),INDEX($C792:$L792,1,7-ROUND(Rec_Lag,0))*(1-Sev),0)</f>
        <v>0</v>
      </c>
      <c r="J2307" s="99" t="n">
        <f aca="false">IF(AND(8&lt;=Hold_Yrs,8-ROUND(Rec_Lag,0)&gt;=1),INDEX($C792:$L792,1,8-ROUND(Rec_Lag,0))*(1-Sev),0)</f>
        <v>0</v>
      </c>
      <c r="K2307" s="99" t="n">
        <f aca="false">IF(AND(9&lt;=Hold_Yrs,9-ROUND(Rec_Lag,0)&gt;=1),INDEX($C792:$L792,1,9-ROUND(Rec_Lag,0))*(1-Sev),0)</f>
        <v>0</v>
      </c>
      <c r="L2307" s="99" t="n">
        <f aca="false">IF(AND(10&lt;=Hold_Yrs,10-ROUND(Rec_Lag,0)&gt;=1),INDEX($C792:$L792,1,10-ROUND(Rec_Lag,0))*(1-Sev),0)</f>
        <v>0</v>
      </c>
    </row>
    <row r="2308" customFormat="false" ht="15" hidden="false" customHeight="false" outlineLevel="0" collapsed="false">
      <c r="B2308" s="108" t="n">
        <f aca="false">'Loan Tape'!$A183</f>
        <v>0</v>
      </c>
      <c r="C2308" s="71" t="n">
        <f aca="false">IF(AND(1&lt;=Hold_Yrs,1-ROUND(Rec_Lag,0)&gt;=1),INDEX($C793:$L793,1,1-ROUND(Rec_Lag,0))*(1-Sev),0)</f>
        <v>0</v>
      </c>
      <c r="D2308" s="71" t="n">
        <f aca="false">IF(AND(2&lt;=Hold_Yrs,2-ROUND(Rec_Lag,0)&gt;=1),INDEX($C793:$L793,1,2-ROUND(Rec_Lag,0))*(1-Sev),0)</f>
        <v>0</v>
      </c>
      <c r="E2308" s="71" t="n">
        <f aca="false">IF(AND(3&lt;=Hold_Yrs,3-ROUND(Rec_Lag,0)&gt;=1),INDEX($C793:$L793,1,3-ROUND(Rec_Lag,0))*(1-Sev),0)</f>
        <v>0</v>
      </c>
      <c r="F2308" s="71" t="n">
        <f aca="false">IF(AND(4&lt;=Hold_Yrs,4-ROUND(Rec_Lag,0)&gt;=1),INDEX($C793:$L793,1,4-ROUND(Rec_Lag,0))*(1-Sev),0)</f>
        <v>0</v>
      </c>
      <c r="G2308" s="71" t="n">
        <f aca="false">IF(AND(5&lt;=Hold_Yrs,5-ROUND(Rec_Lag,0)&gt;=1),INDEX($C793:$L793,1,5-ROUND(Rec_Lag,0))*(1-Sev),0)</f>
        <v>0</v>
      </c>
      <c r="H2308" s="71" t="n">
        <f aca="false">IF(AND(6&lt;=Hold_Yrs,6-ROUND(Rec_Lag,0)&gt;=1),INDEX($C793:$L793,1,6-ROUND(Rec_Lag,0))*(1-Sev),0)</f>
        <v>0</v>
      </c>
      <c r="I2308" s="71" t="n">
        <f aca="false">IF(AND(7&lt;=Hold_Yrs,7-ROUND(Rec_Lag,0)&gt;=1),INDEX($C793:$L793,1,7-ROUND(Rec_Lag,0))*(1-Sev),0)</f>
        <v>0</v>
      </c>
      <c r="J2308" s="71" t="n">
        <f aca="false">IF(AND(8&lt;=Hold_Yrs,8-ROUND(Rec_Lag,0)&gt;=1),INDEX($C793:$L793,1,8-ROUND(Rec_Lag,0))*(1-Sev),0)</f>
        <v>0</v>
      </c>
      <c r="K2308" s="71" t="n">
        <f aca="false">IF(AND(9&lt;=Hold_Yrs,9-ROUND(Rec_Lag,0)&gt;=1),INDEX($C793:$L793,1,9-ROUND(Rec_Lag,0))*(1-Sev),0)</f>
        <v>0</v>
      </c>
      <c r="L2308" s="71" t="n">
        <f aca="false">IF(AND(10&lt;=Hold_Yrs,10-ROUND(Rec_Lag,0)&gt;=1),INDEX($C793:$L793,1,10-ROUND(Rec_Lag,0))*(1-Sev),0)</f>
        <v>0</v>
      </c>
    </row>
    <row r="2309" customFormat="false" ht="15" hidden="false" customHeight="false" outlineLevel="0" collapsed="false">
      <c r="B2309" s="102" t="n">
        <f aca="false">'Loan Tape'!$A184</f>
        <v>0</v>
      </c>
      <c r="C2309" s="99" t="n">
        <f aca="false">IF(AND(1&lt;=Hold_Yrs,1-ROUND(Rec_Lag,0)&gt;=1),INDEX($C794:$L794,1,1-ROUND(Rec_Lag,0))*(1-Sev),0)</f>
        <v>0</v>
      </c>
      <c r="D2309" s="99" t="n">
        <f aca="false">IF(AND(2&lt;=Hold_Yrs,2-ROUND(Rec_Lag,0)&gt;=1),INDEX($C794:$L794,1,2-ROUND(Rec_Lag,0))*(1-Sev),0)</f>
        <v>0</v>
      </c>
      <c r="E2309" s="99" t="n">
        <f aca="false">IF(AND(3&lt;=Hold_Yrs,3-ROUND(Rec_Lag,0)&gt;=1),INDEX($C794:$L794,1,3-ROUND(Rec_Lag,0))*(1-Sev),0)</f>
        <v>0</v>
      </c>
      <c r="F2309" s="99" t="n">
        <f aca="false">IF(AND(4&lt;=Hold_Yrs,4-ROUND(Rec_Lag,0)&gt;=1),INDEX($C794:$L794,1,4-ROUND(Rec_Lag,0))*(1-Sev),0)</f>
        <v>0</v>
      </c>
      <c r="G2309" s="99" t="n">
        <f aca="false">IF(AND(5&lt;=Hold_Yrs,5-ROUND(Rec_Lag,0)&gt;=1),INDEX($C794:$L794,1,5-ROUND(Rec_Lag,0))*(1-Sev),0)</f>
        <v>0</v>
      </c>
      <c r="H2309" s="99" t="n">
        <f aca="false">IF(AND(6&lt;=Hold_Yrs,6-ROUND(Rec_Lag,0)&gt;=1),INDEX($C794:$L794,1,6-ROUND(Rec_Lag,0))*(1-Sev),0)</f>
        <v>0</v>
      </c>
      <c r="I2309" s="99" t="n">
        <f aca="false">IF(AND(7&lt;=Hold_Yrs,7-ROUND(Rec_Lag,0)&gt;=1),INDEX($C794:$L794,1,7-ROUND(Rec_Lag,0))*(1-Sev),0)</f>
        <v>0</v>
      </c>
      <c r="J2309" s="99" t="n">
        <f aca="false">IF(AND(8&lt;=Hold_Yrs,8-ROUND(Rec_Lag,0)&gt;=1),INDEX($C794:$L794,1,8-ROUND(Rec_Lag,0))*(1-Sev),0)</f>
        <v>0</v>
      </c>
      <c r="K2309" s="99" t="n">
        <f aca="false">IF(AND(9&lt;=Hold_Yrs,9-ROUND(Rec_Lag,0)&gt;=1),INDEX($C794:$L794,1,9-ROUND(Rec_Lag,0))*(1-Sev),0)</f>
        <v>0</v>
      </c>
      <c r="L2309" s="99" t="n">
        <f aca="false">IF(AND(10&lt;=Hold_Yrs,10-ROUND(Rec_Lag,0)&gt;=1),INDEX($C794:$L794,1,10-ROUND(Rec_Lag,0))*(1-Sev),0)</f>
        <v>0</v>
      </c>
    </row>
    <row r="2310" customFormat="false" ht="15" hidden="false" customHeight="false" outlineLevel="0" collapsed="false">
      <c r="B2310" s="108" t="n">
        <f aca="false">'Loan Tape'!$A185</f>
        <v>0</v>
      </c>
      <c r="C2310" s="71" t="n">
        <f aca="false">IF(AND(1&lt;=Hold_Yrs,1-ROUND(Rec_Lag,0)&gt;=1),INDEX($C795:$L795,1,1-ROUND(Rec_Lag,0))*(1-Sev),0)</f>
        <v>0</v>
      </c>
      <c r="D2310" s="71" t="n">
        <f aca="false">IF(AND(2&lt;=Hold_Yrs,2-ROUND(Rec_Lag,0)&gt;=1),INDEX($C795:$L795,1,2-ROUND(Rec_Lag,0))*(1-Sev),0)</f>
        <v>0</v>
      </c>
      <c r="E2310" s="71" t="n">
        <f aca="false">IF(AND(3&lt;=Hold_Yrs,3-ROUND(Rec_Lag,0)&gt;=1),INDEX($C795:$L795,1,3-ROUND(Rec_Lag,0))*(1-Sev),0)</f>
        <v>0</v>
      </c>
      <c r="F2310" s="71" t="n">
        <f aca="false">IF(AND(4&lt;=Hold_Yrs,4-ROUND(Rec_Lag,0)&gt;=1),INDEX($C795:$L795,1,4-ROUND(Rec_Lag,0))*(1-Sev),0)</f>
        <v>0</v>
      </c>
      <c r="G2310" s="71" t="n">
        <f aca="false">IF(AND(5&lt;=Hold_Yrs,5-ROUND(Rec_Lag,0)&gt;=1),INDEX($C795:$L795,1,5-ROUND(Rec_Lag,0))*(1-Sev),0)</f>
        <v>0</v>
      </c>
      <c r="H2310" s="71" t="n">
        <f aca="false">IF(AND(6&lt;=Hold_Yrs,6-ROUND(Rec_Lag,0)&gt;=1),INDEX($C795:$L795,1,6-ROUND(Rec_Lag,0))*(1-Sev),0)</f>
        <v>0</v>
      </c>
      <c r="I2310" s="71" t="n">
        <f aca="false">IF(AND(7&lt;=Hold_Yrs,7-ROUND(Rec_Lag,0)&gt;=1),INDEX($C795:$L795,1,7-ROUND(Rec_Lag,0))*(1-Sev),0)</f>
        <v>0</v>
      </c>
      <c r="J2310" s="71" t="n">
        <f aca="false">IF(AND(8&lt;=Hold_Yrs,8-ROUND(Rec_Lag,0)&gt;=1),INDEX($C795:$L795,1,8-ROUND(Rec_Lag,0))*(1-Sev),0)</f>
        <v>0</v>
      </c>
      <c r="K2310" s="71" t="n">
        <f aca="false">IF(AND(9&lt;=Hold_Yrs,9-ROUND(Rec_Lag,0)&gt;=1),INDEX($C795:$L795,1,9-ROUND(Rec_Lag,0))*(1-Sev),0)</f>
        <v>0</v>
      </c>
      <c r="L2310" s="71" t="n">
        <f aca="false">IF(AND(10&lt;=Hold_Yrs,10-ROUND(Rec_Lag,0)&gt;=1),INDEX($C795:$L795,1,10-ROUND(Rec_Lag,0))*(1-Sev),0)</f>
        <v>0</v>
      </c>
    </row>
    <row r="2311" customFormat="false" ht="15" hidden="false" customHeight="false" outlineLevel="0" collapsed="false">
      <c r="B2311" s="102" t="n">
        <f aca="false">'Loan Tape'!$A186</f>
        <v>0</v>
      </c>
      <c r="C2311" s="99" t="n">
        <f aca="false">IF(AND(1&lt;=Hold_Yrs,1-ROUND(Rec_Lag,0)&gt;=1),INDEX($C796:$L796,1,1-ROUND(Rec_Lag,0))*(1-Sev),0)</f>
        <v>0</v>
      </c>
      <c r="D2311" s="99" t="n">
        <f aca="false">IF(AND(2&lt;=Hold_Yrs,2-ROUND(Rec_Lag,0)&gt;=1),INDEX($C796:$L796,1,2-ROUND(Rec_Lag,0))*(1-Sev),0)</f>
        <v>0</v>
      </c>
      <c r="E2311" s="99" t="n">
        <f aca="false">IF(AND(3&lt;=Hold_Yrs,3-ROUND(Rec_Lag,0)&gt;=1),INDEX($C796:$L796,1,3-ROUND(Rec_Lag,0))*(1-Sev),0)</f>
        <v>0</v>
      </c>
      <c r="F2311" s="99" t="n">
        <f aca="false">IF(AND(4&lt;=Hold_Yrs,4-ROUND(Rec_Lag,0)&gt;=1),INDEX($C796:$L796,1,4-ROUND(Rec_Lag,0))*(1-Sev),0)</f>
        <v>0</v>
      </c>
      <c r="G2311" s="99" t="n">
        <f aca="false">IF(AND(5&lt;=Hold_Yrs,5-ROUND(Rec_Lag,0)&gt;=1),INDEX($C796:$L796,1,5-ROUND(Rec_Lag,0))*(1-Sev),0)</f>
        <v>0</v>
      </c>
      <c r="H2311" s="99" t="n">
        <f aca="false">IF(AND(6&lt;=Hold_Yrs,6-ROUND(Rec_Lag,0)&gt;=1),INDEX($C796:$L796,1,6-ROUND(Rec_Lag,0))*(1-Sev),0)</f>
        <v>0</v>
      </c>
      <c r="I2311" s="99" t="n">
        <f aca="false">IF(AND(7&lt;=Hold_Yrs,7-ROUND(Rec_Lag,0)&gt;=1),INDEX($C796:$L796,1,7-ROUND(Rec_Lag,0))*(1-Sev),0)</f>
        <v>0</v>
      </c>
      <c r="J2311" s="99" t="n">
        <f aca="false">IF(AND(8&lt;=Hold_Yrs,8-ROUND(Rec_Lag,0)&gt;=1),INDEX($C796:$L796,1,8-ROUND(Rec_Lag,0))*(1-Sev),0)</f>
        <v>0</v>
      </c>
      <c r="K2311" s="99" t="n">
        <f aca="false">IF(AND(9&lt;=Hold_Yrs,9-ROUND(Rec_Lag,0)&gt;=1),INDEX($C796:$L796,1,9-ROUND(Rec_Lag,0))*(1-Sev),0)</f>
        <v>0</v>
      </c>
      <c r="L2311" s="99" t="n">
        <f aca="false">IF(AND(10&lt;=Hold_Yrs,10-ROUND(Rec_Lag,0)&gt;=1),INDEX($C796:$L796,1,10-ROUND(Rec_Lag,0))*(1-Sev),0)</f>
        <v>0</v>
      </c>
    </row>
    <row r="2312" customFormat="false" ht="15" hidden="false" customHeight="false" outlineLevel="0" collapsed="false">
      <c r="B2312" s="108" t="n">
        <f aca="false">'Loan Tape'!$A187</f>
        <v>0</v>
      </c>
      <c r="C2312" s="71" t="n">
        <f aca="false">IF(AND(1&lt;=Hold_Yrs,1-ROUND(Rec_Lag,0)&gt;=1),INDEX($C797:$L797,1,1-ROUND(Rec_Lag,0))*(1-Sev),0)</f>
        <v>0</v>
      </c>
      <c r="D2312" s="71" t="n">
        <f aca="false">IF(AND(2&lt;=Hold_Yrs,2-ROUND(Rec_Lag,0)&gt;=1),INDEX($C797:$L797,1,2-ROUND(Rec_Lag,0))*(1-Sev),0)</f>
        <v>0</v>
      </c>
      <c r="E2312" s="71" t="n">
        <f aca="false">IF(AND(3&lt;=Hold_Yrs,3-ROUND(Rec_Lag,0)&gt;=1),INDEX($C797:$L797,1,3-ROUND(Rec_Lag,0))*(1-Sev),0)</f>
        <v>0</v>
      </c>
      <c r="F2312" s="71" t="n">
        <f aca="false">IF(AND(4&lt;=Hold_Yrs,4-ROUND(Rec_Lag,0)&gt;=1),INDEX($C797:$L797,1,4-ROUND(Rec_Lag,0))*(1-Sev),0)</f>
        <v>0</v>
      </c>
      <c r="G2312" s="71" t="n">
        <f aca="false">IF(AND(5&lt;=Hold_Yrs,5-ROUND(Rec_Lag,0)&gt;=1),INDEX($C797:$L797,1,5-ROUND(Rec_Lag,0))*(1-Sev),0)</f>
        <v>0</v>
      </c>
      <c r="H2312" s="71" t="n">
        <f aca="false">IF(AND(6&lt;=Hold_Yrs,6-ROUND(Rec_Lag,0)&gt;=1),INDEX($C797:$L797,1,6-ROUND(Rec_Lag,0))*(1-Sev),0)</f>
        <v>0</v>
      </c>
      <c r="I2312" s="71" t="n">
        <f aca="false">IF(AND(7&lt;=Hold_Yrs,7-ROUND(Rec_Lag,0)&gt;=1),INDEX($C797:$L797,1,7-ROUND(Rec_Lag,0))*(1-Sev),0)</f>
        <v>0</v>
      </c>
      <c r="J2312" s="71" t="n">
        <f aca="false">IF(AND(8&lt;=Hold_Yrs,8-ROUND(Rec_Lag,0)&gt;=1),INDEX($C797:$L797,1,8-ROUND(Rec_Lag,0))*(1-Sev),0)</f>
        <v>0</v>
      </c>
      <c r="K2312" s="71" t="n">
        <f aca="false">IF(AND(9&lt;=Hold_Yrs,9-ROUND(Rec_Lag,0)&gt;=1),INDEX($C797:$L797,1,9-ROUND(Rec_Lag,0))*(1-Sev),0)</f>
        <v>0</v>
      </c>
      <c r="L2312" s="71" t="n">
        <f aca="false">IF(AND(10&lt;=Hold_Yrs,10-ROUND(Rec_Lag,0)&gt;=1),INDEX($C797:$L797,1,10-ROUND(Rec_Lag,0))*(1-Sev),0)</f>
        <v>0</v>
      </c>
    </row>
    <row r="2313" customFormat="false" ht="15" hidden="false" customHeight="false" outlineLevel="0" collapsed="false">
      <c r="B2313" s="102" t="n">
        <f aca="false">'Loan Tape'!$A188</f>
        <v>0</v>
      </c>
      <c r="C2313" s="99" t="n">
        <f aca="false">IF(AND(1&lt;=Hold_Yrs,1-ROUND(Rec_Lag,0)&gt;=1),INDEX($C798:$L798,1,1-ROUND(Rec_Lag,0))*(1-Sev),0)</f>
        <v>0</v>
      </c>
      <c r="D2313" s="99" t="n">
        <f aca="false">IF(AND(2&lt;=Hold_Yrs,2-ROUND(Rec_Lag,0)&gt;=1),INDEX($C798:$L798,1,2-ROUND(Rec_Lag,0))*(1-Sev),0)</f>
        <v>0</v>
      </c>
      <c r="E2313" s="99" t="n">
        <f aca="false">IF(AND(3&lt;=Hold_Yrs,3-ROUND(Rec_Lag,0)&gt;=1),INDEX($C798:$L798,1,3-ROUND(Rec_Lag,0))*(1-Sev),0)</f>
        <v>0</v>
      </c>
      <c r="F2313" s="99" t="n">
        <f aca="false">IF(AND(4&lt;=Hold_Yrs,4-ROUND(Rec_Lag,0)&gt;=1),INDEX($C798:$L798,1,4-ROUND(Rec_Lag,0))*(1-Sev),0)</f>
        <v>0</v>
      </c>
      <c r="G2313" s="99" t="n">
        <f aca="false">IF(AND(5&lt;=Hold_Yrs,5-ROUND(Rec_Lag,0)&gt;=1),INDEX($C798:$L798,1,5-ROUND(Rec_Lag,0))*(1-Sev),0)</f>
        <v>0</v>
      </c>
      <c r="H2313" s="99" t="n">
        <f aca="false">IF(AND(6&lt;=Hold_Yrs,6-ROUND(Rec_Lag,0)&gt;=1),INDEX($C798:$L798,1,6-ROUND(Rec_Lag,0))*(1-Sev),0)</f>
        <v>0</v>
      </c>
      <c r="I2313" s="99" t="n">
        <f aca="false">IF(AND(7&lt;=Hold_Yrs,7-ROUND(Rec_Lag,0)&gt;=1),INDEX($C798:$L798,1,7-ROUND(Rec_Lag,0))*(1-Sev),0)</f>
        <v>0</v>
      </c>
      <c r="J2313" s="99" t="n">
        <f aca="false">IF(AND(8&lt;=Hold_Yrs,8-ROUND(Rec_Lag,0)&gt;=1),INDEX($C798:$L798,1,8-ROUND(Rec_Lag,0))*(1-Sev),0)</f>
        <v>0</v>
      </c>
      <c r="K2313" s="99" t="n">
        <f aca="false">IF(AND(9&lt;=Hold_Yrs,9-ROUND(Rec_Lag,0)&gt;=1),INDEX($C798:$L798,1,9-ROUND(Rec_Lag,0))*(1-Sev),0)</f>
        <v>0</v>
      </c>
      <c r="L2313" s="99" t="n">
        <f aca="false">IF(AND(10&lt;=Hold_Yrs,10-ROUND(Rec_Lag,0)&gt;=1),INDEX($C798:$L798,1,10-ROUND(Rec_Lag,0))*(1-Sev),0)</f>
        <v>0</v>
      </c>
    </row>
    <row r="2314" customFormat="false" ht="15" hidden="false" customHeight="false" outlineLevel="0" collapsed="false">
      <c r="B2314" s="108" t="n">
        <f aca="false">'Loan Tape'!$A189</f>
        <v>0</v>
      </c>
      <c r="C2314" s="71" t="n">
        <f aca="false">IF(AND(1&lt;=Hold_Yrs,1-ROUND(Rec_Lag,0)&gt;=1),INDEX($C799:$L799,1,1-ROUND(Rec_Lag,0))*(1-Sev),0)</f>
        <v>0</v>
      </c>
      <c r="D2314" s="71" t="n">
        <f aca="false">IF(AND(2&lt;=Hold_Yrs,2-ROUND(Rec_Lag,0)&gt;=1),INDEX($C799:$L799,1,2-ROUND(Rec_Lag,0))*(1-Sev),0)</f>
        <v>0</v>
      </c>
      <c r="E2314" s="71" t="n">
        <f aca="false">IF(AND(3&lt;=Hold_Yrs,3-ROUND(Rec_Lag,0)&gt;=1),INDEX($C799:$L799,1,3-ROUND(Rec_Lag,0))*(1-Sev),0)</f>
        <v>0</v>
      </c>
      <c r="F2314" s="71" t="n">
        <f aca="false">IF(AND(4&lt;=Hold_Yrs,4-ROUND(Rec_Lag,0)&gt;=1),INDEX($C799:$L799,1,4-ROUND(Rec_Lag,0))*(1-Sev),0)</f>
        <v>0</v>
      </c>
      <c r="G2314" s="71" t="n">
        <f aca="false">IF(AND(5&lt;=Hold_Yrs,5-ROUND(Rec_Lag,0)&gt;=1),INDEX($C799:$L799,1,5-ROUND(Rec_Lag,0))*(1-Sev),0)</f>
        <v>0</v>
      </c>
      <c r="H2314" s="71" t="n">
        <f aca="false">IF(AND(6&lt;=Hold_Yrs,6-ROUND(Rec_Lag,0)&gt;=1),INDEX($C799:$L799,1,6-ROUND(Rec_Lag,0))*(1-Sev),0)</f>
        <v>0</v>
      </c>
      <c r="I2314" s="71" t="n">
        <f aca="false">IF(AND(7&lt;=Hold_Yrs,7-ROUND(Rec_Lag,0)&gt;=1),INDEX($C799:$L799,1,7-ROUND(Rec_Lag,0))*(1-Sev),0)</f>
        <v>0</v>
      </c>
      <c r="J2314" s="71" t="n">
        <f aca="false">IF(AND(8&lt;=Hold_Yrs,8-ROUND(Rec_Lag,0)&gt;=1),INDEX($C799:$L799,1,8-ROUND(Rec_Lag,0))*(1-Sev),0)</f>
        <v>0</v>
      </c>
      <c r="K2314" s="71" t="n">
        <f aca="false">IF(AND(9&lt;=Hold_Yrs,9-ROUND(Rec_Lag,0)&gt;=1),INDEX($C799:$L799,1,9-ROUND(Rec_Lag,0))*(1-Sev),0)</f>
        <v>0</v>
      </c>
      <c r="L2314" s="71" t="n">
        <f aca="false">IF(AND(10&lt;=Hold_Yrs,10-ROUND(Rec_Lag,0)&gt;=1),INDEX($C799:$L799,1,10-ROUND(Rec_Lag,0))*(1-Sev),0)</f>
        <v>0</v>
      </c>
    </row>
    <row r="2315" customFormat="false" ht="15" hidden="false" customHeight="false" outlineLevel="0" collapsed="false">
      <c r="B2315" s="102" t="n">
        <f aca="false">'Loan Tape'!$A190</f>
        <v>0</v>
      </c>
      <c r="C2315" s="99" t="n">
        <f aca="false">IF(AND(1&lt;=Hold_Yrs,1-ROUND(Rec_Lag,0)&gt;=1),INDEX($C800:$L800,1,1-ROUND(Rec_Lag,0))*(1-Sev),0)</f>
        <v>0</v>
      </c>
      <c r="D2315" s="99" t="n">
        <f aca="false">IF(AND(2&lt;=Hold_Yrs,2-ROUND(Rec_Lag,0)&gt;=1),INDEX($C800:$L800,1,2-ROUND(Rec_Lag,0))*(1-Sev),0)</f>
        <v>0</v>
      </c>
      <c r="E2315" s="99" t="n">
        <f aca="false">IF(AND(3&lt;=Hold_Yrs,3-ROUND(Rec_Lag,0)&gt;=1),INDEX($C800:$L800,1,3-ROUND(Rec_Lag,0))*(1-Sev),0)</f>
        <v>0</v>
      </c>
      <c r="F2315" s="99" t="n">
        <f aca="false">IF(AND(4&lt;=Hold_Yrs,4-ROUND(Rec_Lag,0)&gt;=1),INDEX($C800:$L800,1,4-ROUND(Rec_Lag,0))*(1-Sev),0)</f>
        <v>0</v>
      </c>
      <c r="G2315" s="99" t="n">
        <f aca="false">IF(AND(5&lt;=Hold_Yrs,5-ROUND(Rec_Lag,0)&gt;=1),INDEX($C800:$L800,1,5-ROUND(Rec_Lag,0))*(1-Sev),0)</f>
        <v>0</v>
      </c>
      <c r="H2315" s="99" t="n">
        <f aca="false">IF(AND(6&lt;=Hold_Yrs,6-ROUND(Rec_Lag,0)&gt;=1),INDEX($C800:$L800,1,6-ROUND(Rec_Lag,0))*(1-Sev),0)</f>
        <v>0</v>
      </c>
      <c r="I2315" s="99" t="n">
        <f aca="false">IF(AND(7&lt;=Hold_Yrs,7-ROUND(Rec_Lag,0)&gt;=1),INDEX($C800:$L800,1,7-ROUND(Rec_Lag,0))*(1-Sev),0)</f>
        <v>0</v>
      </c>
      <c r="J2315" s="99" t="n">
        <f aca="false">IF(AND(8&lt;=Hold_Yrs,8-ROUND(Rec_Lag,0)&gt;=1),INDEX($C800:$L800,1,8-ROUND(Rec_Lag,0))*(1-Sev),0)</f>
        <v>0</v>
      </c>
      <c r="K2315" s="99" t="n">
        <f aca="false">IF(AND(9&lt;=Hold_Yrs,9-ROUND(Rec_Lag,0)&gt;=1),INDEX($C800:$L800,1,9-ROUND(Rec_Lag,0))*(1-Sev),0)</f>
        <v>0</v>
      </c>
      <c r="L2315" s="99" t="n">
        <f aca="false">IF(AND(10&lt;=Hold_Yrs,10-ROUND(Rec_Lag,0)&gt;=1),INDEX($C800:$L800,1,10-ROUND(Rec_Lag,0))*(1-Sev),0)</f>
        <v>0</v>
      </c>
    </row>
    <row r="2316" customFormat="false" ht="15" hidden="false" customHeight="false" outlineLevel="0" collapsed="false">
      <c r="B2316" s="108" t="n">
        <f aca="false">'Loan Tape'!$A191</f>
        <v>0</v>
      </c>
      <c r="C2316" s="71" t="n">
        <f aca="false">IF(AND(1&lt;=Hold_Yrs,1-ROUND(Rec_Lag,0)&gt;=1),INDEX($C801:$L801,1,1-ROUND(Rec_Lag,0))*(1-Sev),0)</f>
        <v>0</v>
      </c>
      <c r="D2316" s="71" t="n">
        <f aca="false">IF(AND(2&lt;=Hold_Yrs,2-ROUND(Rec_Lag,0)&gt;=1),INDEX($C801:$L801,1,2-ROUND(Rec_Lag,0))*(1-Sev),0)</f>
        <v>0</v>
      </c>
      <c r="E2316" s="71" t="n">
        <f aca="false">IF(AND(3&lt;=Hold_Yrs,3-ROUND(Rec_Lag,0)&gt;=1),INDEX($C801:$L801,1,3-ROUND(Rec_Lag,0))*(1-Sev),0)</f>
        <v>0</v>
      </c>
      <c r="F2316" s="71" t="n">
        <f aca="false">IF(AND(4&lt;=Hold_Yrs,4-ROUND(Rec_Lag,0)&gt;=1),INDEX($C801:$L801,1,4-ROUND(Rec_Lag,0))*(1-Sev),0)</f>
        <v>0</v>
      </c>
      <c r="G2316" s="71" t="n">
        <f aca="false">IF(AND(5&lt;=Hold_Yrs,5-ROUND(Rec_Lag,0)&gt;=1),INDEX($C801:$L801,1,5-ROUND(Rec_Lag,0))*(1-Sev),0)</f>
        <v>0</v>
      </c>
      <c r="H2316" s="71" t="n">
        <f aca="false">IF(AND(6&lt;=Hold_Yrs,6-ROUND(Rec_Lag,0)&gt;=1),INDEX($C801:$L801,1,6-ROUND(Rec_Lag,0))*(1-Sev),0)</f>
        <v>0</v>
      </c>
      <c r="I2316" s="71" t="n">
        <f aca="false">IF(AND(7&lt;=Hold_Yrs,7-ROUND(Rec_Lag,0)&gt;=1),INDEX($C801:$L801,1,7-ROUND(Rec_Lag,0))*(1-Sev),0)</f>
        <v>0</v>
      </c>
      <c r="J2316" s="71" t="n">
        <f aca="false">IF(AND(8&lt;=Hold_Yrs,8-ROUND(Rec_Lag,0)&gt;=1),INDEX($C801:$L801,1,8-ROUND(Rec_Lag,0))*(1-Sev),0)</f>
        <v>0</v>
      </c>
      <c r="K2316" s="71" t="n">
        <f aca="false">IF(AND(9&lt;=Hold_Yrs,9-ROUND(Rec_Lag,0)&gt;=1),INDEX($C801:$L801,1,9-ROUND(Rec_Lag,0))*(1-Sev),0)</f>
        <v>0</v>
      </c>
      <c r="L2316" s="71" t="n">
        <f aca="false">IF(AND(10&lt;=Hold_Yrs,10-ROUND(Rec_Lag,0)&gt;=1),INDEX($C801:$L801,1,10-ROUND(Rec_Lag,0))*(1-Sev),0)</f>
        <v>0</v>
      </c>
    </row>
    <row r="2317" customFormat="false" ht="15" hidden="false" customHeight="false" outlineLevel="0" collapsed="false">
      <c r="B2317" s="102" t="n">
        <f aca="false">'Loan Tape'!$A192</f>
        <v>0</v>
      </c>
      <c r="C2317" s="99" t="n">
        <f aca="false">IF(AND(1&lt;=Hold_Yrs,1-ROUND(Rec_Lag,0)&gt;=1),INDEX($C802:$L802,1,1-ROUND(Rec_Lag,0))*(1-Sev),0)</f>
        <v>0</v>
      </c>
      <c r="D2317" s="99" t="n">
        <f aca="false">IF(AND(2&lt;=Hold_Yrs,2-ROUND(Rec_Lag,0)&gt;=1),INDEX($C802:$L802,1,2-ROUND(Rec_Lag,0))*(1-Sev),0)</f>
        <v>0</v>
      </c>
      <c r="E2317" s="99" t="n">
        <f aca="false">IF(AND(3&lt;=Hold_Yrs,3-ROUND(Rec_Lag,0)&gt;=1),INDEX($C802:$L802,1,3-ROUND(Rec_Lag,0))*(1-Sev),0)</f>
        <v>0</v>
      </c>
      <c r="F2317" s="99" t="n">
        <f aca="false">IF(AND(4&lt;=Hold_Yrs,4-ROUND(Rec_Lag,0)&gt;=1),INDEX($C802:$L802,1,4-ROUND(Rec_Lag,0))*(1-Sev),0)</f>
        <v>0</v>
      </c>
      <c r="G2317" s="99" t="n">
        <f aca="false">IF(AND(5&lt;=Hold_Yrs,5-ROUND(Rec_Lag,0)&gt;=1),INDEX($C802:$L802,1,5-ROUND(Rec_Lag,0))*(1-Sev),0)</f>
        <v>0</v>
      </c>
      <c r="H2317" s="99" t="n">
        <f aca="false">IF(AND(6&lt;=Hold_Yrs,6-ROUND(Rec_Lag,0)&gt;=1),INDEX($C802:$L802,1,6-ROUND(Rec_Lag,0))*(1-Sev),0)</f>
        <v>0</v>
      </c>
      <c r="I2317" s="99" t="n">
        <f aca="false">IF(AND(7&lt;=Hold_Yrs,7-ROUND(Rec_Lag,0)&gt;=1),INDEX($C802:$L802,1,7-ROUND(Rec_Lag,0))*(1-Sev),0)</f>
        <v>0</v>
      </c>
      <c r="J2317" s="99" t="n">
        <f aca="false">IF(AND(8&lt;=Hold_Yrs,8-ROUND(Rec_Lag,0)&gt;=1),INDEX($C802:$L802,1,8-ROUND(Rec_Lag,0))*(1-Sev),0)</f>
        <v>0</v>
      </c>
      <c r="K2317" s="99" t="n">
        <f aca="false">IF(AND(9&lt;=Hold_Yrs,9-ROUND(Rec_Lag,0)&gt;=1),INDEX($C802:$L802,1,9-ROUND(Rec_Lag,0))*(1-Sev),0)</f>
        <v>0</v>
      </c>
      <c r="L2317" s="99" t="n">
        <f aca="false">IF(AND(10&lt;=Hold_Yrs,10-ROUND(Rec_Lag,0)&gt;=1),INDEX($C802:$L802,1,10-ROUND(Rec_Lag,0))*(1-Sev),0)</f>
        <v>0</v>
      </c>
    </row>
    <row r="2318" customFormat="false" ht="15" hidden="false" customHeight="false" outlineLevel="0" collapsed="false">
      <c r="B2318" s="108" t="n">
        <f aca="false">'Loan Tape'!$A193</f>
        <v>0</v>
      </c>
      <c r="C2318" s="71" t="n">
        <f aca="false">IF(AND(1&lt;=Hold_Yrs,1-ROUND(Rec_Lag,0)&gt;=1),INDEX($C803:$L803,1,1-ROUND(Rec_Lag,0))*(1-Sev),0)</f>
        <v>0</v>
      </c>
      <c r="D2318" s="71" t="n">
        <f aca="false">IF(AND(2&lt;=Hold_Yrs,2-ROUND(Rec_Lag,0)&gt;=1),INDEX($C803:$L803,1,2-ROUND(Rec_Lag,0))*(1-Sev),0)</f>
        <v>0</v>
      </c>
      <c r="E2318" s="71" t="n">
        <f aca="false">IF(AND(3&lt;=Hold_Yrs,3-ROUND(Rec_Lag,0)&gt;=1),INDEX($C803:$L803,1,3-ROUND(Rec_Lag,0))*(1-Sev),0)</f>
        <v>0</v>
      </c>
      <c r="F2318" s="71" t="n">
        <f aca="false">IF(AND(4&lt;=Hold_Yrs,4-ROUND(Rec_Lag,0)&gt;=1),INDEX($C803:$L803,1,4-ROUND(Rec_Lag,0))*(1-Sev),0)</f>
        <v>0</v>
      </c>
      <c r="G2318" s="71" t="n">
        <f aca="false">IF(AND(5&lt;=Hold_Yrs,5-ROUND(Rec_Lag,0)&gt;=1),INDEX($C803:$L803,1,5-ROUND(Rec_Lag,0))*(1-Sev),0)</f>
        <v>0</v>
      </c>
      <c r="H2318" s="71" t="n">
        <f aca="false">IF(AND(6&lt;=Hold_Yrs,6-ROUND(Rec_Lag,0)&gt;=1),INDEX($C803:$L803,1,6-ROUND(Rec_Lag,0))*(1-Sev),0)</f>
        <v>0</v>
      </c>
      <c r="I2318" s="71" t="n">
        <f aca="false">IF(AND(7&lt;=Hold_Yrs,7-ROUND(Rec_Lag,0)&gt;=1),INDEX($C803:$L803,1,7-ROUND(Rec_Lag,0))*(1-Sev),0)</f>
        <v>0</v>
      </c>
      <c r="J2318" s="71" t="n">
        <f aca="false">IF(AND(8&lt;=Hold_Yrs,8-ROUND(Rec_Lag,0)&gt;=1),INDEX($C803:$L803,1,8-ROUND(Rec_Lag,0))*(1-Sev),0)</f>
        <v>0</v>
      </c>
      <c r="K2318" s="71" t="n">
        <f aca="false">IF(AND(9&lt;=Hold_Yrs,9-ROUND(Rec_Lag,0)&gt;=1),INDEX($C803:$L803,1,9-ROUND(Rec_Lag,0))*(1-Sev),0)</f>
        <v>0</v>
      </c>
      <c r="L2318" s="71" t="n">
        <f aca="false">IF(AND(10&lt;=Hold_Yrs,10-ROUND(Rec_Lag,0)&gt;=1),INDEX($C803:$L803,1,10-ROUND(Rec_Lag,0))*(1-Sev),0)</f>
        <v>0</v>
      </c>
    </row>
    <row r="2319" customFormat="false" ht="15" hidden="false" customHeight="false" outlineLevel="0" collapsed="false">
      <c r="B2319" s="102" t="n">
        <f aca="false">'Loan Tape'!$A194</f>
        <v>0</v>
      </c>
      <c r="C2319" s="99" t="n">
        <f aca="false">IF(AND(1&lt;=Hold_Yrs,1-ROUND(Rec_Lag,0)&gt;=1),INDEX($C804:$L804,1,1-ROUND(Rec_Lag,0))*(1-Sev),0)</f>
        <v>0</v>
      </c>
      <c r="D2319" s="99" t="n">
        <f aca="false">IF(AND(2&lt;=Hold_Yrs,2-ROUND(Rec_Lag,0)&gt;=1),INDEX($C804:$L804,1,2-ROUND(Rec_Lag,0))*(1-Sev),0)</f>
        <v>0</v>
      </c>
      <c r="E2319" s="99" t="n">
        <f aca="false">IF(AND(3&lt;=Hold_Yrs,3-ROUND(Rec_Lag,0)&gt;=1),INDEX($C804:$L804,1,3-ROUND(Rec_Lag,0))*(1-Sev),0)</f>
        <v>0</v>
      </c>
      <c r="F2319" s="99" t="n">
        <f aca="false">IF(AND(4&lt;=Hold_Yrs,4-ROUND(Rec_Lag,0)&gt;=1),INDEX($C804:$L804,1,4-ROUND(Rec_Lag,0))*(1-Sev),0)</f>
        <v>0</v>
      </c>
      <c r="G2319" s="99" t="n">
        <f aca="false">IF(AND(5&lt;=Hold_Yrs,5-ROUND(Rec_Lag,0)&gt;=1),INDEX($C804:$L804,1,5-ROUND(Rec_Lag,0))*(1-Sev),0)</f>
        <v>0</v>
      </c>
      <c r="H2319" s="99" t="n">
        <f aca="false">IF(AND(6&lt;=Hold_Yrs,6-ROUND(Rec_Lag,0)&gt;=1),INDEX($C804:$L804,1,6-ROUND(Rec_Lag,0))*(1-Sev),0)</f>
        <v>0</v>
      </c>
      <c r="I2319" s="99" t="n">
        <f aca="false">IF(AND(7&lt;=Hold_Yrs,7-ROUND(Rec_Lag,0)&gt;=1),INDEX($C804:$L804,1,7-ROUND(Rec_Lag,0))*(1-Sev),0)</f>
        <v>0</v>
      </c>
      <c r="J2319" s="99" t="n">
        <f aca="false">IF(AND(8&lt;=Hold_Yrs,8-ROUND(Rec_Lag,0)&gt;=1),INDEX($C804:$L804,1,8-ROUND(Rec_Lag,0))*(1-Sev),0)</f>
        <v>0</v>
      </c>
      <c r="K2319" s="99" t="n">
        <f aca="false">IF(AND(9&lt;=Hold_Yrs,9-ROUND(Rec_Lag,0)&gt;=1),INDEX($C804:$L804,1,9-ROUND(Rec_Lag,0))*(1-Sev),0)</f>
        <v>0</v>
      </c>
      <c r="L2319" s="99" t="n">
        <f aca="false">IF(AND(10&lt;=Hold_Yrs,10-ROUND(Rec_Lag,0)&gt;=1),INDEX($C804:$L804,1,10-ROUND(Rec_Lag,0))*(1-Sev),0)</f>
        <v>0</v>
      </c>
    </row>
    <row r="2320" customFormat="false" ht="15" hidden="false" customHeight="false" outlineLevel="0" collapsed="false">
      <c r="B2320" s="108" t="n">
        <f aca="false">'Loan Tape'!$A195</f>
        <v>0</v>
      </c>
      <c r="C2320" s="71" t="n">
        <f aca="false">IF(AND(1&lt;=Hold_Yrs,1-ROUND(Rec_Lag,0)&gt;=1),INDEX($C805:$L805,1,1-ROUND(Rec_Lag,0))*(1-Sev),0)</f>
        <v>0</v>
      </c>
      <c r="D2320" s="71" t="n">
        <f aca="false">IF(AND(2&lt;=Hold_Yrs,2-ROUND(Rec_Lag,0)&gt;=1),INDEX($C805:$L805,1,2-ROUND(Rec_Lag,0))*(1-Sev),0)</f>
        <v>0</v>
      </c>
      <c r="E2320" s="71" t="n">
        <f aca="false">IF(AND(3&lt;=Hold_Yrs,3-ROUND(Rec_Lag,0)&gt;=1),INDEX($C805:$L805,1,3-ROUND(Rec_Lag,0))*(1-Sev),0)</f>
        <v>0</v>
      </c>
      <c r="F2320" s="71" t="n">
        <f aca="false">IF(AND(4&lt;=Hold_Yrs,4-ROUND(Rec_Lag,0)&gt;=1),INDEX($C805:$L805,1,4-ROUND(Rec_Lag,0))*(1-Sev),0)</f>
        <v>0</v>
      </c>
      <c r="G2320" s="71" t="n">
        <f aca="false">IF(AND(5&lt;=Hold_Yrs,5-ROUND(Rec_Lag,0)&gt;=1),INDEX($C805:$L805,1,5-ROUND(Rec_Lag,0))*(1-Sev),0)</f>
        <v>0</v>
      </c>
      <c r="H2320" s="71" t="n">
        <f aca="false">IF(AND(6&lt;=Hold_Yrs,6-ROUND(Rec_Lag,0)&gt;=1),INDEX($C805:$L805,1,6-ROUND(Rec_Lag,0))*(1-Sev),0)</f>
        <v>0</v>
      </c>
      <c r="I2320" s="71" t="n">
        <f aca="false">IF(AND(7&lt;=Hold_Yrs,7-ROUND(Rec_Lag,0)&gt;=1),INDEX($C805:$L805,1,7-ROUND(Rec_Lag,0))*(1-Sev),0)</f>
        <v>0</v>
      </c>
      <c r="J2320" s="71" t="n">
        <f aca="false">IF(AND(8&lt;=Hold_Yrs,8-ROUND(Rec_Lag,0)&gt;=1),INDEX($C805:$L805,1,8-ROUND(Rec_Lag,0))*(1-Sev),0)</f>
        <v>0</v>
      </c>
      <c r="K2320" s="71" t="n">
        <f aca="false">IF(AND(9&lt;=Hold_Yrs,9-ROUND(Rec_Lag,0)&gt;=1),INDEX($C805:$L805,1,9-ROUND(Rec_Lag,0))*(1-Sev),0)</f>
        <v>0</v>
      </c>
      <c r="L2320" s="71" t="n">
        <f aca="false">IF(AND(10&lt;=Hold_Yrs,10-ROUND(Rec_Lag,0)&gt;=1),INDEX($C805:$L805,1,10-ROUND(Rec_Lag,0))*(1-Sev),0)</f>
        <v>0</v>
      </c>
    </row>
    <row r="2321" customFormat="false" ht="15" hidden="false" customHeight="false" outlineLevel="0" collapsed="false">
      <c r="B2321" s="102" t="n">
        <f aca="false">'Loan Tape'!$A196</f>
        <v>0</v>
      </c>
      <c r="C2321" s="99" t="n">
        <f aca="false">IF(AND(1&lt;=Hold_Yrs,1-ROUND(Rec_Lag,0)&gt;=1),INDEX($C806:$L806,1,1-ROUND(Rec_Lag,0))*(1-Sev),0)</f>
        <v>0</v>
      </c>
      <c r="D2321" s="99" t="n">
        <f aca="false">IF(AND(2&lt;=Hold_Yrs,2-ROUND(Rec_Lag,0)&gt;=1),INDEX($C806:$L806,1,2-ROUND(Rec_Lag,0))*(1-Sev),0)</f>
        <v>0</v>
      </c>
      <c r="E2321" s="99" t="n">
        <f aca="false">IF(AND(3&lt;=Hold_Yrs,3-ROUND(Rec_Lag,0)&gt;=1),INDEX($C806:$L806,1,3-ROUND(Rec_Lag,0))*(1-Sev),0)</f>
        <v>0</v>
      </c>
      <c r="F2321" s="99" t="n">
        <f aca="false">IF(AND(4&lt;=Hold_Yrs,4-ROUND(Rec_Lag,0)&gt;=1),INDEX($C806:$L806,1,4-ROUND(Rec_Lag,0))*(1-Sev),0)</f>
        <v>0</v>
      </c>
      <c r="G2321" s="99" t="n">
        <f aca="false">IF(AND(5&lt;=Hold_Yrs,5-ROUND(Rec_Lag,0)&gt;=1),INDEX($C806:$L806,1,5-ROUND(Rec_Lag,0))*(1-Sev),0)</f>
        <v>0</v>
      </c>
      <c r="H2321" s="99" t="n">
        <f aca="false">IF(AND(6&lt;=Hold_Yrs,6-ROUND(Rec_Lag,0)&gt;=1),INDEX($C806:$L806,1,6-ROUND(Rec_Lag,0))*(1-Sev),0)</f>
        <v>0</v>
      </c>
      <c r="I2321" s="99" t="n">
        <f aca="false">IF(AND(7&lt;=Hold_Yrs,7-ROUND(Rec_Lag,0)&gt;=1),INDEX($C806:$L806,1,7-ROUND(Rec_Lag,0))*(1-Sev),0)</f>
        <v>0</v>
      </c>
      <c r="J2321" s="99" t="n">
        <f aca="false">IF(AND(8&lt;=Hold_Yrs,8-ROUND(Rec_Lag,0)&gt;=1),INDEX($C806:$L806,1,8-ROUND(Rec_Lag,0))*(1-Sev),0)</f>
        <v>0</v>
      </c>
      <c r="K2321" s="99" t="n">
        <f aca="false">IF(AND(9&lt;=Hold_Yrs,9-ROUND(Rec_Lag,0)&gt;=1),INDEX($C806:$L806,1,9-ROUND(Rec_Lag,0))*(1-Sev),0)</f>
        <v>0</v>
      </c>
      <c r="L2321" s="99" t="n">
        <f aca="false">IF(AND(10&lt;=Hold_Yrs,10-ROUND(Rec_Lag,0)&gt;=1),INDEX($C806:$L806,1,10-ROUND(Rec_Lag,0))*(1-Sev),0)</f>
        <v>0</v>
      </c>
    </row>
    <row r="2322" customFormat="false" ht="15" hidden="false" customHeight="false" outlineLevel="0" collapsed="false">
      <c r="B2322" s="108" t="n">
        <f aca="false">'Loan Tape'!$A197</f>
        <v>0</v>
      </c>
      <c r="C2322" s="71" t="n">
        <f aca="false">IF(AND(1&lt;=Hold_Yrs,1-ROUND(Rec_Lag,0)&gt;=1),INDEX($C807:$L807,1,1-ROUND(Rec_Lag,0))*(1-Sev),0)</f>
        <v>0</v>
      </c>
      <c r="D2322" s="71" t="n">
        <f aca="false">IF(AND(2&lt;=Hold_Yrs,2-ROUND(Rec_Lag,0)&gt;=1),INDEX($C807:$L807,1,2-ROUND(Rec_Lag,0))*(1-Sev),0)</f>
        <v>0</v>
      </c>
      <c r="E2322" s="71" t="n">
        <f aca="false">IF(AND(3&lt;=Hold_Yrs,3-ROUND(Rec_Lag,0)&gt;=1),INDEX($C807:$L807,1,3-ROUND(Rec_Lag,0))*(1-Sev),0)</f>
        <v>0</v>
      </c>
      <c r="F2322" s="71" t="n">
        <f aca="false">IF(AND(4&lt;=Hold_Yrs,4-ROUND(Rec_Lag,0)&gt;=1),INDEX($C807:$L807,1,4-ROUND(Rec_Lag,0))*(1-Sev),0)</f>
        <v>0</v>
      </c>
      <c r="G2322" s="71" t="n">
        <f aca="false">IF(AND(5&lt;=Hold_Yrs,5-ROUND(Rec_Lag,0)&gt;=1),INDEX($C807:$L807,1,5-ROUND(Rec_Lag,0))*(1-Sev),0)</f>
        <v>0</v>
      </c>
      <c r="H2322" s="71" t="n">
        <f aca="false">IF(AND(6&lt;=Hold_Yrs,6-ROUND(Rec_Lag,0)&gt;=1),INDEX($C807:$L807,1,6-ROUND(Rec_Lag,0))*(1-Sev),0)</f>
        <v>0</v>
      </c>
      <c r="I2322" s="71" t="n">
        <f aca="false">IF(AND(7&lt;=Hold_Yrs,7-ROUND(Rec_Lag,0)&gt;=1),INDEX($C807:$L807,1,7-ROUND(Rec_Lag,0))*(1-Sev),0)</f>
        <v>0</v>
      </c>
      <c r="J2322" s="71" t="n">
        <f aca="false">IF(AND(8&lt;=Hold_Yrs,8-ROUND(Rec_Lag,0)&gt;=1),INDEX($C807:$L807,1,8-ROUND(Rec_Lag,0))*(1-Sev),0)</f>
        <v>0</v>
      </c>
      <c r="K2322" s="71" t="n">
        <f aca="false">IF(AND(9&lt;=Hold_Yrs,9-ROUND(Rec_Lag,0)&gt;=1),INDEX($C807:$L807,1,9-ROUND(Rec_Lag,0))*(1-Sev),0)</f>
        <v>0</v>
      </c>
      <c r="L2322" s="71" t="n">
        <f aca="false">IF(AND(10&lt;=Hold_Yrs,10-ROUND(Rec_Lag,0)&gt;=1),INDEX($C807:$L807,1,10-ROUND(Rec_Lag,0))*(1-Sev),0)</f>
        <v>0</v>
      </c>
    </row>
    <row r="2323" customFormat="false" ht="15" hidden="false" customHeight="false" outlineLevel="0" collapsed="false">
      <c r="B2323" s="102" t="n">
        <f aca="false">'Loan Tape'!$A198</f>
        <v>0</v>
      </c>
      <c r="C2323" s="99" t="n">
        <f aca="false">IF(AND(1&lt;=Hold_Yrs,1-ROUND(Rec_Lag,0)&gt;=1),INDEX($C808:$L808,1,1-ROUND(Rec_Lag,0))*(1-Sev),0)</f>
        <v>0</v>
      </c>
      <c r="D2323" s="99" t="n">
        <f aca="false">IF(AND(2&lt;=Hold_Yrs,2-ROUND(Rec_Lag,0)&gt;=1),INDEX($C808:$L808,1,2-ROUND(Rec_Lag,0))*(1-Sev),0)</f>
        <v>0</v>
      </c>
      <c r="E2323" s="99" t="n">
        <f aca="false">IF(AND(3&lt;=Hold_Yrs,3-ROUND(Rec_Lag,0)&gt;=1),INDEX($C808:$L808,1,3-ROUND(Rec_Lag,0))*(1-Sev),0)</f>
        <v>0</v>
      </c>
      <c r="F2323" s="99" t="n">
        <f aca="false">IF(AND(4&lt;=Hold_Yrs,4-ROUND(Rec_Lag,0)&gt;=1),INDEX($C808:$L808,1,4-ROUND(Rec_Lag,0))*(1-Sev),0)</f>
        <v>0</v>
      </c>
      <c r="G2323" s="99" t="n">
        <f aca="false">IF(AND(5&lt;=Hold_Yrs,5-ROUND(Rec_Lag,0)&gt;=1),INDEX($C808:$L808,1,5-ROUND(Rec_Lag,0))*(1-Sev),0)</f>
        <v>0</v>
      </c>
      <c r="H2323" s="99" t="n">
        <f aca="false">IF(AND(6&lt;=Hold_Yrs,6-ROUND(Rec_Lag,0)&gt;=1),INDEX($C808:$L808,1,6-ROUND(Rec_Lag,0))*(1-Sev),0)</f>
        <v>0</v>
      </c>
      <c r="I2323" s="99" t="n">
        <f aca="false">IF(AND(7&lt;=Hold_Yrs,7-ROUND(Rec_Lag,0)&gt;=1),INDEX($C808:$L808,1,7-ROUND(Rec_Lag,0))*(1-Sev),0)</f>
        <v>0</v>
      </c>
      <c r="J2323" s="99" t="n">
        <f aca="false">IF(AND(8&lt;=Hold_Yrs,8-ROUND(Rec_Lag,0)&gt;=1),INDEX($C808:$L808,1,8-ROUND(Rec_Lag,0))*(1-Sev),0)</f>
        <v>0</v>
      </c>
      <c r="K2323" s="99" t="n">
        <f aca="false">IF(AND(9&lt;=Hold_Yrs,9-ROUND(Rec_Lag,0)&gt;=1),INDEX($C808:$L808,1,9-ROUND(Rec_Lag,0))*(1-Sev),0)</f>
        <v>0</v>
      </c>
      <c r="L2323" s="99" t="n">
        <f aca="false">IF(AND(10&lt;=Hold_Yrs,10-ROUND(Rec_Lag,0)&gt;=1),INDEX($C808:$L808,1,10-ROUND(Rec_Lag,0))*(1-Sev),0)</f>
        <v>0</v>
      </c>
    </row>
    <row r="2324" customFormat="false" ht="15" hidden="false" customHeight="false" outlineLevel="0" collapsed="false">
      <c r="B2324" s="108" t="n">
        <f aca="false">'Loan Tape'!$A199</f>
        <v>0</v>
      </c>
      <c r="C2324" s="71" t="n">
        <f aca="false">IF(AND(1&lt;=Hold_Yrs,1-ROUND(Rec_Lag,0)&gt;=1),INDEX($C809:$L809,1,1-ROUND(Rec_Lag,0))*(1-Sev),0)</f>
        <v>0</v>
      </c>
      <c r="D2324" s="71" t="n">
        <f aca="false">IF(AND(2&lt;=Hold_Yrs,2-ROUND(Rec_Lag,0)&gt;=1),INDEX($C809:$L809,1,2-ROUND(Rec_Lag,0))*(1-Sev),0)</f>
        <v>0</v>
      </c>
      <c r="E2324" s="71" t="n">
        <f aca="false">IF(AND(3&lt;=Hold_Yrs,3-ROUND(Rec_Lag,0)&gt;=1),INDEX($C809:$L809,1,3-ROUND(Rec_Lag,0))*(1-Sev),0)</f>
        <v>0</v>
      </c>
      <c r="F2324" s="71" t="n">
        <f aca="false">IF(AND(4&lt;=Hold_Yrs,4-ROUND(Rec_Lag,0)&gt;=1),INDEX($C809:$L809,1,4-ROUND(Rec_Lag,0))*(1-Sev),0)</f>
        <v>0</v>
      </c>
      <c r="G2324" s="71" t="n">
        <f aca="false">IF(AND(5&lt;=Hold_Yrs,5-ROUND(Rec_Lag,0)&gt;=1),INDEX($C809:$L809,1,5-ROUND(Rec_Lag,0))*(1-Sev),0)</f>
        <v>0</v>
      </c>
      <c r="H2324" s="71" t="n">
        <f aca="false">IF(AND(6&lt;=Hold_Yrs,6-ROUND(Rec_Lag,0)&gt;=1),INDEX($C809:$L809,1,6-ROUND(Rec_Lag,0))*(1-Sev),0)</f>
        <v>0</v>
      </c>
      <c r="I2324" s="71" t="n">
        <f aca="false">IF(AND(7&lt;=Hold_Yrs,7-ROUND(Rec_Lag,0)&gt;=1),INDEX($C809:$L809,1,7-ROUND(Rec_Lag,0))*(1-Sev),0)</f>
        <v>0</v>
      </c>
      <c r="J2324" s="71" t="n">
        <f aca="false">IF(AND(8&lt;=Hold_Yrs,8-ROUND(Rec_Lag,0)&gt;=1),INDEX($C809:$L809,1,8-ROUND(Rec_Lag,0))*(1-Sev),0)</f>
        <v>0</v>
      </c>
      <c r="K2324" s="71" t="n">
        <f aca="false">IF(AND(9&lt;=Hold_Yrs,9-ROUND(Rec_Lag,0)&gt;=1),INDEX($C809:$L809,1,9-ROUND(Rec_Lag,0))*(1-Sev),0)</f>
        <v>0</v>
      </c>
      <c r="L2324" s="71" t="n">
        <f aca="false">IF(AND(10&lt;=Hold_Yrs,10-ROUND(Rec_Lag,0)&gt;=1),INDEX($C809:$L809,1,10-ROUND(Rec_Lag,0))*(1-Sev),0)</f>
        <v>0</v>
      </c>
    </row>
    <row r="2325" customFormat="false" ht="15" hidden="false" customHeight="false" outlineLevel="0" collapsed="false">
      <c r="B2325" s="102" t="n">
        <f aca="false">'Loan Tape'!$A200</f>
        <v>0</v>
      </c>
      <c r="C2325" s="99" t="n">
        <f aca="false">IF(AND(1&lt;=Hold_Yrs,1-ROUND(Rec_Lag,0)&gt;=1),INDEX($C810:$L810,1,1-ROUND(Rec_Lag,0))*(1-Sev),0)</f>
        <v>0</v>
      </c>
      <c r="D2325" s="99" t="n">
        <f aca="false">IF(AND(2&lt;=Hold_Yrs,2-ROUND(Rec_Lag,0)&gt;=1),INDEX($C810:$L810,1,2-ROUND(Rec_Lag,0))*(1-Sev),0)</f>
        <v>0</v>
      </c>
      <c r="E2325" s="99" t="n">
        <f aca="false">IF(AND(3&lt;=Hold_Yrs,3-ROUND(Rec_Lag,0)&gt;=1),INDEX($C810:$L810,1,3-ROUND(Rec_Lag,0))*(1-Sev),0)</f>
        <v>0</v>
      </c>
      <c r="F2325" s="99" t="n">
        <f aca="false">IF(AND(4&lt;=Hold_Yrs,4-ROUND(Rec_Lag,0)&gt;=1),INDEX($C810:$L810,1,4-ROUND(Rec_Lag,0))*(1-Sev),0)</f>
        <v>0</v>
      </c>
      <c r="G2325" s="99" t="n">
        <f aca="false">IF(AND(5&lt;=Hold_Yrs,5-ROUND(Rec_Lag,0)&gt;=1),INDEX($C810:$L810,1,5-ROUND(Rec_Lag,0))*(1-Sev),0)</f>
        <v>0</v>
      </c>
      <c r="H2325" s="99" t="n">
        <f aca="false">IF(AND(6&lt;=Hold_Yrs,6-ROUND(Rec_Lag,0)&gt;=1),INDEX($C810:$L810,1,6-ROUND(Rec_Lag,0))*(1-Sev),0)</f>
        <v>0</v>
      </c>
      <c r="I2325" s="99" t="n">
        <f aca="false">IF(AND(7&lt;=Hold_Yrs,7-ROUND(Rec_Lag,0)&gt;=1),INDEX($C810:$L810,1,7-ROUND(Rec_Lag,0))*(1-Sev),0)</f>
        <v>0</v>
      </c>
      <c r="J2325" s="99" t="n">
        <f aca="false">IF(AND(8&lt;=Hold_Yrs,8-ROUND(Rec_Lag,0)&gt;=1),INDEX($C810:$L810,1,8-ROUND(Rec_Lag,0))*(1-Sev),0)</f>
        <v>0</v>
      </c>
      <c r="K2325" s="99" t="n">
        <f aca="false">IF(AND(9&lt;=Hold_Yrs,9-ROUND(Rec_Lag,0)&gt;=1),INDEX($C810:$L810,1,9-ROUND(Rec_Lag,0))*(1-Sev),0)</f>
        <v>0</v>
      </c>
      <c r="L2325" s="99" t="n">
        <f aca="false">IF(AND(10&lt;=Hold_Yrs,10-ROUND(Rec_Lag,0)&gt;=1),INDEX($C810:$L810,1,10-ROUND(Rec_Lag,0))*(1-Sev),0)</f>
        <v>0</v>
      </c>
    </row>
    <row r="2326" customFormat="false" ht="15" hidden="false" customHeight="false" outlineLevel="0" collapsed="false">
      <c r="B2326" s="108" t="n">
        <f aca="false">'Loan Tape'!$A201</f>
        <v>0</v>
      </c>
      <c r="C2326" s="71" t="n">
        <f aca="false">IF(AND(1&lt;=Hold_Yrs,1-ROUND(Rec_Lag,0)&gt;=1),INDEX($C811:$L811,1,1-ROUND(Rec_Lag,0))*(1-Sev),0)</f>
        <v>0</v>
      </c>
      <c r="D2326" s="71" t="n">
        <f aca="false">IF(AND(2&lt;=Hold_Yrs,2-ROUND(Rec_Lag,0)&gt;=1),INDEX($C811:$L811,1,2-ROUND(Rec_Lag,0))*(1-Sev),0)</f>
        <v>0</v>
      </c>
      <c r="E2326" s="71" t="n">
        <f aca="false">IF(AND(3&lt;=Hold_Yrs,3-ROUND(Rec_Lag,0)&gt;=1),INDEX($C811:$L811,1,3-ROUND(Rec_Lag,0))*(1-Sev),0)</f>
        <v>0</v>
      </c>
      <c r="F2326" s="71" t="n">
        <f aca="false">IF(AND(4&lt;=Hold_Yrs,4-ROUND(Rec_Lag,0)&gt;=1),INDEX($C811:$L811,1,4-ROUND(Rec_Lag,0))*(1-Sev),0)</f>
        <v>0</v>
      </c>
      <c r="G2326" s="71" t="n">
        <f aca="false">IF(AND(5&lt;=Hold_Yrs,5-ROUND(Rec_Lag,0)&gt;=1),INDEX($C811:$L811,1,5-ROUND(Rec_Lag,0))*(1-Sev),0)</f>
        <v>0</v>
      </c>
      <c r="H2326" s="71" t="n">
        <f aca="false">IF(AND(6&lt;=Hold_Yrs,6-ROUND(Rec_Lag,0)&gt;=1),INDEX($C811:$L811,1,6-ROUND(Rec_Lag,0))*(1-Sev),0)</f>
        <v>0</v>
      </c>
      <c r="I2326" s="71" t="n">
        <f aca="false">IF(AND(7&lt;=Hold_Yrs,7-ROUND(Rec_Lag,0)&gt;=1),INDEX($C811:$L811,1,7-ROUND(Rec_Lag,0))*(1-Sev),0)</f>
        <v>0</v>
      </c>
      <c r="J2326" s="71" t="n">
        <f aca="false">IF(AND(8&lt;=Hold_Yrs,8-ROUND(Rec_Lag,0)&gt;=1),INDEX($C811:$L811,1,8-ROUND(Rec_Lag,0))*(1-Sev),0)</f>
        <v>0</v>
      </c>
      <c r="K2326" s="71" t="n">
        <f aca="false">IF(AND(9&lt;=Hold_Yrs,9-ROUND(Rec_Lag,0)&gt;=1),INDEX($C811:$L811,1,9-ROUND(Rec_Lag,0))*(1-Sev),0)</f>
        <v>0</v>
      </c>
      <c r="L2326" s="71" t="n">
        <f aca="false">IF(AND(10&lt;=Hold_Yrs,10-ROUND(Rec_Lag,0)&gt;=1),INDEX($C811:$L811,1,10-ROUND(Rec_Lag,0))*(1-Sev),0)</f>
        <v>0</v>
      </c>
    </row>
    <row r="2327" customFormat="false" ht="15" hidden="false" customHeight="false" outlineLevel="0" collapsed="false">
      <c r="B2327" s="102" t="n">
        <f aca="false">'Loan Tape'!$A202</f>
        <v>0</v>
      </c>
      <c r="C2327" s="99" t="n">
        <f aca="false">IF(AND(1&lt;=Hold_Yrs,1-ROUND(Rec_Lag,0)&gt;=1),INDEX($C812:$L812,1,1-ROUND(Rec_Lag,0))*(1-Sev),0)</f>
        <v>0</v>
      </c>
      <c r="D2327" s="99" t="n">
        <f aca="false">IF(AND(2&lt;=Hold_Yrs,2-ROUND(Rec_Lag,0)&gt;=1),INDEX($C812:$L812,1,2-ROUND(Rec_Lag,0))*(1-Sev),0)</f>
        <v>0</v>
      </c>
      <c r="E2327" s="99" t="n">
        <f aca="false">IF(AND(3&lt;=Hold_Yrs,3-ROUND(Rec_Lag,0)&gt;=1),INDEX($C812:$L812,1,3-ROUND(Rec_Lag,0))*(1-Sev),0)</f>
        <v>0</v>
      </c>
      <c r="F2327" s="99" t="n">
        <f aca="false">IF(AND(4&lt;=Hold_Yrs,4-ROUND(Rec_Lag,0)&gt;=1),INDEX($C812:$L812,1,4-ROUND(Rec_Lag,0))*(1-Sev),0)</f>
        <v>0</v>
      </c>
      <c r="G2327" s="99" t="n">
        <f aca="false">IF(AND(5&lt;=Hold_Yrs,5-ROUND(Rec_Lag,0)&gt;=1),INDEX($C812:$L812,1,5-ROUND(Rec_Lag,0))*(1-Sev),0)</f>
        <v>0</v>
      </c>
      <c r="H2327" s="99" t="n">
        <f aca="false">IF(AND(6&lt;=Hold_Yrs,6-ROUND(Rec_Lag,0)&gt;=1),INDEX($C812:$L812,1,6-ROUND(Rec_Lag,0))*(1-Sev),0)</f>
        <v>0</v>
      </c>
      <c r="I2327" s="99" t="n">
        <f aca="false">IF(AND(7&lt;=Hold_Yrs,7-ROUND(Rec_Lag,0)&gt;=1),INDEX($C812:$L812,1,7-ROUND(Rec_Lag,0))*(1-Sev),0)</f>
        <v>0</v>
      </c>
      <c r="J2327" s="99" t="n">
        <f aca="false">IF(AND(8&lt;=Hold_Yrs,8-ROUND(Rec_Lag,0)&gt;=1),INDEX($C812:$L812,1,8-ROUND(Rec_Lag,0))*(1-Sev),0)</f>
        <v>0</v>
      </c>
      <c r="K2327" s="99" t="n">
        <f aca="false">IF(AND(9&lt;=Hold_Yrs,9-ROUND(Rec_Lag,0)&gt;=1),INDEX($C812:$L812,1,9-ROUND(Rec_Lag,0))*(1-Sev),0)</f>
        <v>0</v>
      </c>
      <c r="L2327" s="99" t="n">
        <f aca="false">IF(AND(10&lt;=Hold_Yrs,10-ROUND(Rec_Lag,0)&gt;=1),INDEX($C812:$L812,1,10-ROUND(Rec_Lag,0))*(1-Sev),0)</f>
        <v>0</v>
      </c>
    </row>
    <row r="2328" customFormat="false" ht="15" hidden="false" customHeight="false" outlineLevel="0" collapsed="false">
      <c r="B2328" s="108" t="n">
        <f aca="false">'Loan Tape'!$A203</f>
        <v>0</v>
      </c>
      <c r="C2328" s="71" t="n">
        <f aca="false">IF(AND(1&lt;=Hold_Yrs,1-ROUND(Rec_Lag,0)&gt;=1),INDEX($C813:$L813,1,1-ROUND(Rec_Lag,0))*(1-Sev),0)</f>
        <v>0</v>
      </c>
      <c r="D2328" s="71" t="n">
        <f aca="false">IF(AND(2&lt;=Hold_Yrs,2-ROUND(Rec_Lag,0)&gt;=1),INDEX($C813:$L813,1,2-ROUND(Rec_Lag,0))*(1-Sev),0)</f>
        <v>0</v>
      </c>
      <c r="E2328" s="71" t="n">
        <f aca="false">IF(AND(3&lt;=Hold_Yrs,3-ROUND(Rec_Lag,0)&gt;=1),INDEX($C813:$L813,1,3-ROUND(Rec_Lag,0))*(1-Sev),0)</f>
        <v>0</v>
      </c>
      <c r="F2328" s="71" t="n">
        <f aca="false">IF(AND(4&lt;=Hold_Yrs,4-ROUND(Rec_Lag,0)&gt;=1),INDEX($C813:$L813,1,4-ROUND(Rec_Lag,0))*(1-Sev),0)</f>
        <v>0</v>
      </c>
      <c r="G2328" s="71" t="n">
        <f aca="false">IF(AND(5&lt;=Hold_Yrs,5-ROUND(Rec_Lag,0)&gt;=1),INDEX($C813:$L813,1,5-ROUND(Rec_Lag,0))*(1-Sev),0)</f>
        <v>0</v>
      </c>
      <c r="H2328" s="71" t="n">
        <f aca="false">IF(AND(6&lt;=Hold_Yrs,6-ROUND(Rec_Lag,0)&gt;=1),INDEX($C813:$L813,1,6-ROUND(Rec_Lag,0))*(1-Sev),0)</f>
        <v>0</v>
      </c>
      <c r="I2328" s="71" t="n">
        <f aca="false">IF(AND(7&lt;=Hold_Yrs,7-ROUND(Rec_Lag,0)&gt;=1),INDEX($C813:$L813,1,7-ROUND(Rec_Lag,0))*(1-Sev),0)</f>
        <v>0</v>
      </c>
      <c r="J2328" s="71" t="n">
        <f aca="false">IF(AND(8&lt;=Hold_Yrs,8-ROUND(Rec_Lag,0)&gt;=1),INDEX($C813:$L813,1,8-ROUND(Rec_Lag,0))*(1-Sev),0)</f>
        <v>0</v>
      </c>
      <c r="K2328" s="71" t="n">
        <f aca="false">IF(AND(9&lt;=Hold_Yrs,9-ROUND(Rec_Lag,0)&gt;=1),INDEX($C813:$L813,1,9-ROUND(Rec_Lag,0))*(1-Sev),0)</f>
        <v>0</v>
      </c>
      <c r="L2328" s="71" t="n">
        <f aca="false">IF(AND(10&lt;=Hold_Yrs,10-ROUND(Rec_Lag,0)&gt;=1),INDEX($C813:$L813,1,10-ROUND(Rec_Lag,0))*(1-Sev),0)</f>
        <v>0</v>
      </c>
    </row>
    <row r="2329" customFormat="false" ht="15" hidden="false" customHeight="false" outlineLevel="0" collapsed="false">
      <c r="B2329" s="102" t="n">
        <f aca="false">'Loan Tape'!$A204</f>
        <v>0</v>
      </c>
      <c r="C2329" s="99" t="n">
        <f aca="false">IF(AND(1&lt;=Hold_Yrs,1-ROUND(Rec_Lag,0)&gt;=1),INDEX($C814:$L814,1,1-ROUND(Rec_Lag,0))*(1-Sev),0)</f>
        <v>0</v>
      </c>
      <c r="D2329" s="99" t="n">
        <f aca="false">IF(AND(2&lt;=Hold_Yrs,2-ROUND(Rec_Lag,0)&gt;=1),INDEX($C814:$L814,1,2-ROUND(Rec_Lag,0))*(1-Sev),0)</f>
        <v>0</v>
      </c>
      <c r="E2329" s="99" t="n">
        <f aca="false">IF(AND(3&lt;=Hold_Yrs,3-ROUND(Rec_Lag,0)&gt;=1),INDEX($C814:$L814,1,3-ROUND(Rec_Lag,0))*(1-Sev),0)</f>
        <v>0</v>
      </c>
      <c r="F2329" s="99" t="n">
        <f aca="false">IF(AND(4&lt;=Hold_Yrs,4-ROUND(Rec_Lag,0)&gt;=1),INDEX($C814:$L814,1,4-ROUND(Rec_Lag,0))*(1-Sev),0)</f>
        <v>0</v>
      </c>
      <c r="G2329" s="99" t="n">
        <f aca="false">IF(AND(5&lt;=Hold_Yrs,5-ROUND(Rec_Lag,0)&gt;=1),INDEX($C814:$L814,1,5-ROUND(Rec_Lag,0))*(1-Sev),0)</f>
        <v>0</v>
      </c>
      <c r="H2329" s="99" t="n">
        <f aca="false">IF(AND(6&lt;=Hold_Yrs,6-ROUND(Rec_Lag,0)&gt;=1),INDEX($C814:$L814,1,6-ROUND(Rec_Lag,0))*(1-Sev),0)</f>
        <v>0</v>
      </c>
      <c r="I2329" s="99" t="n">
        <f aca="false">IF(AND(7&lt;=Hold_Yrs,7-ROUND(Rec_Lag,0)&gt;=1),INDEX($C814:$L814,1,7-ROUND(Rec_Lag,0))*(1-Sev),0)</f>
        <v>0</v>
      </c>
      <c r="J2329" s="99" t="n">
        <f aca="false">IF(AND(8&lt;=Hold_Yrs,8-ROUND(Rec_Lag,0)&gt;=1),INDEX($C814:$L814,1,8-ROUND(Rec_Lag,0))*(1-Sev),0)</f>
        <v>0</v>
      </c>
      <c r="K2329" s="99" t="n">
        <f aca="false">IF(AND(9&lt;=Hold_Yrs,9-ROUND(Rec_Lag,0)&gt;=1),INDEX($C814:$L814,1,9-ROUND(Rec_Lag,0))*(1-Sev),0)</f>
        <v>0</v>
      </c>
      <c r="L2329" s="99" t="n">
        <f aca="false">IF(AND(10&lt;=Hold_Yrs,10-ROUND(Rec_Lag,0)&gt;=1),INDEX($C814:$L814,1,10-ROUND(Rec_Lag,0))*(1-Sev),0)</f>
        <v>0</v>
      </c>
    </row>
    <row r="2330" customFormat="false" ht="15" hidden="false" customHeight="false" outlineLevel="0" collapsed="false">
      <c r="B2330" s="108" t="n">
        <f aca="false">'Loan Tape'!$A205</f>
        <v>0</v>
      </c>
      <c r="C2330" s="71" t="n">
        <f aca="false">IF(AND(1&lt;=Hold_Yrs,1-ROUND(Rec_Lag,0)&gt;=1),INDEX($C815:$L815,1,1-ROUND(Rec_Lag,0))*(1-Sev),0)</f>
        <v>0</v>
      </c>
      <c r="D2330" s="71" t="n">
        <f aca="false">IF(AND(2&lt;=Hold_Yrs,2-ROUND(Rec_Lag,0)&gt;=1),INDEX($C815:$L815,1,2-ROUND(Rec_Lag,0))*(1-Sev),0)</f>
        <v>0</v>
      </c>
      <c r="E2330" s="71" t="n">
        <f aca="false">IF(AND(3&lt;=Hold_Yrs,3-ROUND(Rec_Lag,0)&gt;=1),INDEX($C815:$L815,1,3-ROUND(Rec_Lag,0))*(1-Sev),0)</f>
        <v>0</v>
      </c>
      <c r="F2330" s="71" t="n">
        <f aca="false">IF(AND(4&lt;=Hold_Yrs,4-ROUND(Rec_Lag,0)&gt;=1),INDEX($C815:$L815,1,4-ROUND(Rec_Lag,0))*(1-Sev),0)</f>
        <v>0</v>
      </c>
      <c r="G2330" s="71" t="n">
        <f aca="false">IF(AND(5&lt;=Hold_Yrs,5-ROUND(Rec_Lag,0)&gt;=1),INDEX($C815:$L815,1,5-ROUND(Rec_Lag,0))*(1-Sev),0)</f>
        <v>0</v>
      </c>
      <c r="H2330" s="71" t="n">
        <f aca="false">IF(AND(6&lt;=Hold_Yrs,6-ROUND(Rec_Lag,0)&gt;=1),INDEX($C815:$L815,1,6-ROUND(Rec_Lag,0))*(1-Sev),0)</f>
        <v>0</v>
      </c>
      <c r="I2330" s="71" t="n">
        <f aca="false">IF(AND(7&lt;=Hold_Yrs,7-ROUND(Rec_Lag,0)&gt;=1),INDEX($C815:$L815,1,7-ROUND(Rec_Lag,0))*(1-Sev),0)</f>
        <v>0</v>
      </c>
      <c r="J2330" s="71" t="n">
        <f aca="false">IF(AND(8&lt;=Hold_Yrs,8-ROUND(Rec_Lag,0)&gt;=1),INDEX($C815:$L815,1,8-ROUND(Rec_Lag,0))*(1-Sev),0)</f>
        <v>0</v>
      </c>
      <c r="K2330" s="71" t="n">
        <f aca="false">IF(AND(9&lt;=Hold_Yrs,9-ROUND(Rec_Lag,0)&gt;=1),INDEX($C815:$L815,1,9-ROUND(Rec_Lag,0))*(1-Sev),0)</f>
        <v>0</v>
      </c>
      <c r="L2330" s="71" t="n">
        <f aca="false">IF(AND(10&lt;=Hold_Yrs,10-ROUND(Rec_Lag,0)&gt;=1),INDEX($C815:$L815,1,10-ROUND(Rec_Lag,0))*(1-Sev),0)</f>
        <v>0</v>
      </c>
    </row>
    <row r="2331" customFormat="false" ht="15" hidden="false" customHeight="false" outlineLevel="0" collapsed="false">
      <c r="B2331" s="102" t="n">
        <f aca="false">'Loan Tape'!$A206</f>
        <v>0</v>
      </c>
      <c r="C2331" s="99" t="n">
        <f aca="false">IF(AND(1&lt;=Hold_Yrs,1-ROUND(Rec_Lag,0)&gt;=1),INDEX($C816:$L816,1,1-ROUND(Rec_Lag,0))*(1-Sev),0)</f>
        <v>0</v>
      </c>
      <c r="D2331" s="99" t="n">
        <f aca="false">IF(AND(2&lt;=Hold_Yrs,2-ROUND(Rec_Lag,0)&gt;=1),INDEX($C816:$L816,1,2-ROUND(Rec_Lag,0))*(1-Sev),0)</f>
        <v>0</v>
      </c>
      <c r="E2331" s="99" t="n">
        <f aca="false">IF(AND(3&lt;=Hold_Yrs,3-ROUND(Rec_Lag,0)&gt;=1),INDEX($C816:$L816,1,3-ROUND(Rec_Lag,0))*(1-Sev),0)</f>
        <v>0</v>
      </c>
      <c r="F2331" s="99" t="n">
        <f aca="false">IF(AND(4&lt;=Hold_Yrs,4-ROUND(Rec_Lag,0)&gt;=1),INDEX($C816:$L816,1,4-ROUND(Rec_Lag,0))*(1-Sev),0)</f>
        <v>0</v>
      </c>
      <c r="G2331" s="99" t="n">
        <f aca="false">IF(AND(5&lt;=Hold_Yrs,5-ROUND(Rec_Lag,0)&gt;=1),INDEX($C816:$L816,1,5-ROUND(Rec_Lag,0))*(1-Sev),0)</f>
        <v>0</v>
      </c>
      <c r="H2331" s="99" t="n">
        <f aca="false">IF(AND(6&lt;=Hold_Yrs,6-ROUND(Rec_Lag,0)&gt;=1),INDEX($C816:$L816,1,6-ROUND(Rec_Lag,0))*(1-Sev),0)</f>
        <v>0</v>
      </c>
      <c r="I2331" s="99" t="n">
        <f aca="false">IF(AND(7&lt;=Hold_Yrs,7-ROUND(Rec_Lag,0)&gt;=1),INDEX($C816:$L816,1,7-ROUND(Rec_Lag,0))*(1-Sev),0)</f>
        <v>0</v>
      </c>
      <c r="J2331" s="99" t="n">
        <f aca="false">IF(AND(8&lt;=Hold_Yrs,8-ROUND(Rec_Lag,0)&gt;=1),INDEX($C816:$L816,1,8-ROUND(Rec_Lag,0))*(1-Sev),0)</f>
        <v>0</v>
      </c>
      <c r="K2331" s="99" t="n">
        <f aca="false">IF(AND(9&lt;=Hold_Yrs,9-ROUND(Rec_Lag,0)&gt;=1),INDEX($C816:$L816,1,9-ROUND(Rec_Lag,0))*(1-Sev),0)</f>
        <v>0</v>
      </c>
      <c r="L2331" s="99" t="n">
        <f aca="false">IF(AND(10&lt;=Hold_Yrs,10-ROUND(Rec_Lag,0)&gt;=1),INDEX($C816:$L816,1,10-ROUND(Rec_Lag,0))*(1-Sev),0)</f>
        <v>0</v>
      </c>
    </row>
    <row r="2332" customFormat="false" ht="15" hidden="false" customHeight="false" outlineLevel="0" collapsed="false">
      <c r="B2332" s="108" t="n">
        <f aca="false">'Loan Tape'!$A207</f>
        <v>0</v>
      </c>
      <c r="C2332" s="71" t="n">
        <f aca="false">IF(AND(1&lt;=Hold_Yrs,1-ROUND(Rec_Lag,0)&gt;=1),INDEX($C817:$L817,1,1-ROUND(Rec_Lag,0))*(1-Sev),0)</f>
        <v>0</v>
      </c>
      <c r="D2332" s="71" t="n">
        <f aca="false">IF(AND(2&lt;=Hold_Yrs,2-ROUND(Rec_Lag,0)&gt;=1),INDEX($C817:$L817,1,2-ROUND(Rec_Lag,0))*(1-Sev),0)</f>
        <v>0</v>
      </c>
      <c r="E2332" s="71" t="n">
        <f aca="false">IF(AND(3&lt;=Hold_Yrs,3-ROUND(Rec_Lag,0)&gt;=1),INDEX($C817:$L817,1,3-ROUND(Rec_Lag,0))*(1-Sev),0)</f>
        <v>0</v>
      </c>
      <c r="F2332" s="71" t="n">
        <f aca="false">IF(AND(4&lt;=Hold_Yrs,4-ROUND(Rec_Lag,0)&gt;=1),INDEX($C817:$L817,1,4-ROUND(Rec_Lag,0))*(1-Sev),0)</f>
        <v>0</v>
      </c>
      <c r="G2332" s="71" t="n">
        <f aca="false">IF(AND(5&lt;=Hold_Yrs,5-ROUND(Rec_Lag,0)&gt;=1),INDEX($C817:$L817,1,5-ROUND(Rec_Lag,0))*(1-Sev),0)</f>
        <v>0</v>
      </c>
      <c r="H2332" s="71" t="n">
        <f aca="false">IF(AND(6&lt;=Hold_Yrs,6-ROUND(Rec_Lag,0)&gt;=1),INDEX($C817:$L817,1,6-ROUND(Rec_Lag,0))*(1-Sev),0)</f>
        <v>0</v>
      </c>
      <c r="I2332" s="71" t="n">
        <f aca="false">IF(AND(7&lt;=Hold_Yrs,7-ROUND(Rec_Lag,0)&gt;=1),INDEX($C817:$L817,1,7-ROUND(Rec_Lag,0))*(1-Sev),0)</f>
        <v>0</v>
      </c>
      <c r="J2332" s="71" t="n">
        <f aca="false">IF(AND(8&lt;=Hold_Yrs,8-ROUND(Rec_Lag,0)&gt;=1),INDEX($C817:$L817,1,8-ROUND(Rec_Lag,0))*(1-Sev),0)</f>
        <v>0</v>
      </c>
      <c r="K2332" s="71" t="n">
        <f aca="false">IF(AND(9&lt;=Hold_Yrs,9-ROUND(Rec_Lag,0)&gt;=1),INDEX($C817:$L817,1,9-ROUND(Rec_Lag,0))*(1-Sev),0)</f>
        <v>0</v>
      </c>
      <c r="L2332" s="71" t="n">
        <f aca="false">IF(AND(10&lt;=Hold_Yrs,10-ROUND(Rec_Lag,0)&gt;=1),INDEX($C817:$L817,1,10-ROUND(Rec_Lag,0))*(1-Sev),0)</f>
        <v>0</v>
      </c>
    </row>
    <row r="2333" customFormat="false" ht="15" hidden="false" customHeight="false" outlineLevel="0" collapsed="false">
      <c r="B2333" s="102" t="n">
        <f aca="false">'Loan Tape'!$A208</f>
        <v>0</v>
      </c>
      <c r="C2333" s="99" t="n">
        <f aca="false">IF(AND(1&lt;=Hold_Yrs,1-ROUND(Rec_Lag,0)&gt;=1),INDEX($C818:$L818,1,1-ROUND(Rec_Lag,0))*(1-Sev),0)</f>
        <v>0</v>
      </c>
      <c r="D2333" s="99" t="n">
        <f aca="false">IF(AND(2&lt;=Hold_Yrs,2-ROUND(Rec_Lag,0)&gt;=1),INDEX($C818:$L818,1,2-ROUND(Rec_Lag,0))*(1-Sev),0)</f>
        <v>0</v>
      </c>
      <c r="E2333" s="99" t="n">
        <f aca="false">IF(AND(3&lt;=Hold_Yrs,3-ROUND(Rec_Lag,0)&gt;=1),INDEX($C818:$L818,1,3-ROUND(Rec_Lag,0))*(1-Sev),0)</f>
        <v>0</v>
      </c>
      <c r="F2333" s="99" t="n">
        <f aca="false">IF(AND(4&lt;=Hold_Yrs,4-ROUND(Rec_Lag,0)&gt;=1),INDEX($C818:$L818,1,4-ROUND(Rec_Lag,0))*(1-Sev),0)</f>
        <v>0</v>
      </c>
      <c r="G2333" s="99" t="n">
        <f aca="false">IF(AND(5&lt;=Hold_Yrs,5-ROUND(Rec_Lag,0)&gt;=1),INDEX($C818:$L818,1,5-ROUND(Rec_Lag,0))*(1-Sev),0)</f>
        <v>0</v>
      </c>
      <c r="H2333" s="99" t="n">
        <f aca="false">IF(AND(6&lt;=Hold_Yrs,6-ROUND(Rec_Lag,0)&gt;=1),INDEX($C818:$L818,1,6-ROUND(Rec_Lag,0))*(1-Sev),0)</f>
        <v>0</v>
      </c>
      <c r="I2333" s="99" t="n">
        <f aca="false">IF(AND(7&lt;=Hold_Yrs,7-ROUND(Rec_Lag,0)&gt;=1),INDEX($C818:$L818,1,7-ROUND(Rec_Lag,0))*(1-Sev),0)</f>
        <v>0</v>
      </c>
      <c r="J2333" s="99" t="n">
        <f aca="false">IF(AND(8&lt;=Hold_Yrs,8-ROUND(Rec_Lag,0)&gt;=1),INDEX($C818:$L818,1,8-ROUND(Rec_Lag,0))*(1-Sev),0)</f>
        <v>0</v>
      </c>
      <c r="K2333" s="99" t="n">
        <f aca="false">IF(AND(9&lt;=Hold_Yrs,9-ROUND(Rec_Lag,0)&gt;=1),INDEX($C818:$L818,1,9-ROUND(Rec_Lag,0))*(1-Sev),0)</f>
        <v>0</v>
      </c>
      <c r="L2333" s="99" t="n">
        <f aca="false">IF(AND(10&lt;=Hold_Yrs,10-ROUND(Rec_Lag,0)&gt;=1),INDEX($C818:$L818,1,10-ROUND(Rec_Lag,0))*(1-Sev),0)</f>
        <v>0</v>
      </c>
    </row>
    <row r="2334" customFormat="false" ht="15" hidden="false" customHeight="false" outlineLevel="0" collapsed="false">
      <c r="B2334" s="108" t="n">
        <f aca="false">'Loan Tape'!$A209</f>
        <v>0</v>
      </c>
      <c r="C2334" s="71" t="n">
        <f aca="false">IF(AND(1&lt;=Hold_Yrs,1-ROUND(Rec_Lag,0)&gt;=1),INDEX($C819:$L819,1,1-ROUND(Rec_Lag,0))*(1-Sev),0)</f>
        <v>0</v>
      </c>
      <c r="D2334" s="71" t="n">
        <f aca="false">IF(AND(2&lt;=Hold_Yrs,2-ROUND(Rec_Lag,0)&gt;=1),INDEX($C819:$L819,1,2-ROUND(Rec_Lag,0))*(1-Sev),0)</f>
        <v>0</v>
      </c>
      <c r="E2334" s="71" t="n">
        <f aca="false">IF(AND(3&lt;=Hold_Yrs,3-ROUND(Rec_Lag,0)&gt;=1),INDEX($C819:$L819,1,3-ROUND(Rec_Lag,0))*(1-Sev),0)</f>
        <v>0</v>
      </c>
      <c r="F2334" s="71" t="n">
        <f aca="false">IF(AND(4&lt;=Hold_Yrs,4-ROUND(Rec_Lag,0)&gt;=1),INDEX($C819:$L819,1,4-ROUND(Rec_Lag,0))*(1-Sev),0)</f>
        <v>0</v>
      </c>
      <c r="G2334" s="71" t="n">
        <f aca="false">IF(AND(5&lt;=Hold_Yrs,5-ROUND(Rec_Lag,0)&gt;=1),INDEX($C819:$L819,1,5-ROUND(Rec_Lag,0))*(1-Sev),0)</f>
        <v>0</v>
      </c>
      <c r="H2334" s="71" t="n">
        <f aca="false">IF(AND(6&lt;=Hold_Yrs,6-ROUND(Rec_Lag,0)&gt;=1),INDEX($C819:$L819,1,6-ROUND(Rec_Lag,0))*(1-Sev),0)</f>
        <v>0</v>
      </c>
      <c r="I2334" s="71" t="n">
        <f aca="false">IF(AND(7&lt;=Hold_Yrs,7-ROUND(Rec_Lag,0)&gt;=1),INDEX($C819:$L819,1,7-ROUND(Rec_Lag,0))*(1-Sev),0)</f>
        <v>0</v>
      </c>
      <c r="J2334" s="71" t="n">
        <f aca="false">IF(AND(8&lt;=Hold_Yrs,8-ROUND(Rec_Lag,0)&gt;=1),INDEX($C819:$L819,1,8-ROUND(Rec_Lag,0))*(1-Sev),0)</f>
        <v>0</v>
      </c>
      <c r="K2334" s="71" t="n">
        <f aca="false">IF(AND(9&lt;=Hold_Yrs,9-ROUND(Rec_Lag,0)&gt;=1),INDEX($C819:$L819,1,9-ROUND(Rec_Lag,0))*(1-Sev),0)</f>
        <v>0</v>
      </c>
      <c r="L2334" s="71" t="n">
        <f aca="false">IF(AND(10&lt;=Hold_Yrs,10-ROUND(Rec_Lag,0)&gt;=1),INDEX($C819:$L819,1,10-ROUND(Rec_Lag,0))*(1-Sev),0)</f>
        <v>0</v>
      </c>
    </row>
    <row r="2335" customFormat="false" ht="15" hidden="false" customHeight="false" outlineLevel="0" collapsed="false">
      <c r="B2335" s="102" t="n">
        <f aca="false">'Loan Tape'!$A210</f>
        <v>0</v>
      </c>
      <c r="C2335" s="99" t="n">
        <f aca="false">IF(AND(1&lt;=Hold_Yrs,1-ROUND(Rec_Lag,0)&gt;=1),INDEX($C820:$L820,1,1-ROUND(Rec_Lag,0))*(1-Sev),0)</f>
        <v>0</v>
      </c>
      <c r="D2335" s="99" t="n">
        <f aca="false">IF(AND(2&lt;=Hold_Yrs,2-ROUND(Rec_Lag,0)&gt;=1),INDEX($C820:$L820,1,2-ROUND(Rec_Lag,0))*(1-Sev),0)</f>
        <v>0</v>
      </c>
      <c r="E2335" s="99" t="n">
        <f aca="false">IF(AND(3&lt;=Hold_Yrs,3-ROUND(Rec_Lag,0)&gt;=1),INDEX($C820:$L820,1,3-ROUND(Rec_Lag,0))*(1-Sev),0)</f>
        <v>0</v>
      </c>
      <c r="F2335" s="99" t="n">
        <f aca="false">IF(AND(4&lt;=Hold_Yrs,4-ROUND(Rec_Lag,0)&gt;=1),INDEX($C820:$L820,1,4-ROUND(Rec_Lag,0))*(1-Sev),0)</f>
        <v>0</v>
      </c>
      <c r="G2335" s="99" t="n">
        <f aca="false">IF(AND(5&lt;=Hold_Yrs,5-ROUND(Rec_Lag,0)&gt;=1),INDEX($C820:$L820,1,5-ROUND(Rec_Lag,0))*(1-Sev),0)</f>
        <v>0</v>
      </c>
      <c r="H2335" s="99" t="n">
        <f aca="false">IF(AND(6&lt;=Hold_Yrs,6-ROUND(Rec_Lag,0)&gt;=1),INDEX($C820:$L820,1,6-ROUND(Rec_Lag,0))*(1-Sev),0)</f>
        <v>0</v>
      </c>
      <c r="I2335" s="99" t="n">
        <f aca="false">IF(AND(7&lt;=Hold_Yrs,7-ROUND(Rec_Lag,0)&gt;=1),INDEX($C820:$L820,1,7-ROUND(Rec_Lag,0))*(1-Sev),0)</f>
        <v>0</v>
      </c>
      <c r="J2335" s="99" t="n">
        <f aca="false">IF(AND(8&lt;=Hold_Yrs,8-ROUND(Rec_Lag,0)&gt;=1),INDEX($C820:$L820,1,8-ROUND(Rec_Lag,0))*(1-Sev),0)</f>
        <v>0</v>
      </c>
      <c r="K2335" s="99" t="n">
        <f aca="false">IF(AND(9&lt;=Hold_Yrs,9-ROUND(Rec_Lag,0)&gt;=1),INDEX($C820:$L820,1,9-ROUND(Rec_Lag,0))*(1-Sev),0)</f>
        <v>0</v>
      </c>
      <c r="L2335" s="99" t="n">
        <f aca="false">IF(AND(10&lt;=Hold_Yrs,10-ROUND(Rec_Lag,0)&gt;=1),INDEX($C820:$L820,1,10-ROUND(Rec_Lag,0))*(1-Sev),0)</f>
        <v>0</v>
      </c>
    </row>
    <row r="2336" customFormat="false" ht="15" hidden="false" customHeight="false" outlineLevel="0" collapsed="false">
      <c r="B2336" s="108" t="n">
        <f aca="false">'Loan Tape'!$A211</f>
        <v>0</v>
      </c>
      <c r="C2336" s="71" t="n">
        <f aca="false">IF(AND(1&lt;=Hold_Yrs,1-ROUND(Rec_Lag,0)&gt;=1),INDEX($C821:$L821,1,1-ROUND(Rec_Lag,0))*(1-Sev),0)</f>
        <v>0</v>
      </c>
      <c r="D2336" s="71" t="n">
        <f aca="false">IF(AND(2&lt;=Hold_Yrs,2-ROUND(Rec_Lag,0)&gt;=1),INDEX($C821:$L821,1,2-ROUND(Rec_Lag,0))*(1-Sev),0)</f>
        <v>0</v>
      </c>
      <c r="E2336" s="71" t="n">
        <f aca="false">IF(AND(3&lt;=Hold_Yrs,3-ROUND(Rec_Lag,0)&gt;=1),INDEX($C821:$L821,1,3-ROUND(Rec_Lag,0))*(1-Sev),0)</f>
        <v>0</v>
      </c>
      <c r="F2336" s="71" t="n">
        <f aca="false">IF(AND(4&lt;=Hold_Yrs,4-ROUND(Rec_Lag,0)&gt;=1),INDEX($C821:$L821,1,4-ROUND(Rec_Lag,0))*(1-Sev),0)</f>
        <v>0</v>
      </c>
      <c r="G2336" s="71" t="n">
        <f aca="false">IF(AND(5&lt;=Hold_Yrs,5-ROUND(Rec_Lag,0)&gt;=1),INDEX($C821:$L821,1,5-ROUND(Rec_Lag,0))*(1-Sev),0)</f>
        <v>0</v>
      </c>
      <c r="H2336" s="71" t="n">
        <f aca="false">IF(AND(6&lt;=Hold_Yrs,6-ROUND(Rec_Lag,0)&gt;=1),INDEX($C821:$L821,1,6-ROUND(Rec_Lag,0))*(1-Sev),0)</f>
        <v>0</v>
      </c>
      <c r="I2336" s="71" t="n">
        <f aca="false">IF(AND(7&lt;=Hold_Yrs,7-ROUND(Rec_Lag,0)&gt;=1),INDEX($C821:$L821,1,7-ROUND(Rec_Lag,0))*(1-Sev),0)</f>
        <v>0</v>
      </c>
      <c r="J2336" s="71" t="n">
        <f aca="false">IF(AND(8&lt;=Hold_Yrs,8-ROUND(Rec_Lag,0)&gt;=1),INDEX($C821:$L821,1,8-ROUND(Rec_Lag,0))*(1-Sev),0)</f>
        <v>0</v>
      </c>
      <c r="K2336" s="71" t="n">
        <f aca="false">IF(AND(9&lt;=Hold_Yrs,9-ROUND(Rec_Lag,0)&gt;=1),INDEX($C821:$L821,1,9-ROUND(Rec_Lag,0))*(1-Sev),0)</f>
        <v>0</v>
      </c>
      <c r="L2336" s="71" t="n">
        <f aca="false">IF(AND(10&lt;=Hold_Yrs,10-ROUND(Rec_Lag,0)&gt;=1),INDEX($C821:$L821,1,10-ROUND(Rec_Lag,0))*(1-Sev),0)</f>
        <v>0</v>
      </c>
    </row>
    <row r="2337" customFormat="false" ht="15" hidden="false" customHeight="false" outlineLevel="0" collapsed="false">
      <c r="B2337" s="102" t="n">
        <f aca="false">'Loan Tape'!$A212</f>
        <v>0</v>
      </c>
      <c r="C2337" s="99" t="n">
        <f aca="false">IF(AND(1&lt;=Hold_Yrs,1-ROUND(Rec_Lag,0)&gt;=1),INDEX($C822:$L822,1,1-ROUND(Rec_Lag,0))*(1-Sev),0)</f>
        <v>0</v>
      </c>
      <c r="D2337" s="99" t="n">
        <f aca="false">IF(AND(2&lt;=Hold_Yrs,2-ROUND(Rec_Lag,0)&gt;=1),INDEX($C822:$L822,1,2-ROUND(Rec_Lag,0))*(1-Sev),0)</f>
        <v>0</v>
      </c>
      <c r="E2337" s="99" t="n">
        <f aca="false">IF(AND(3&lt;=Hold_Yrs,3-ROUND(Rec_Lag,0)&gt;=1),INDEX($C822:$L822,1,3-ROUND(Rec_Lag,0))*(1-Sev),0)</f>
        <v>0</v>
      </c>
      <c r="F2337" s="99" t="n">
        <f aca="false">IF(AND(4&lt;=Hold_Yrs,4-ROUND(Rec_Lag,0)&gt;=1),INDEX($C822:$L822,1,4-ROUND(Rec_Lag,0))*(1-Sev),0)</f>
        <v>0</v>
      </c>
      <c r="G2337" s="99" t="n">
        <f aca="false">IF(AND(5&lt;=Hold_Yrs,5-ROUND(Rec_Lag,0)&gt;=1),INDEX($C822:$L822,1,5-ROUND(Rec_Lag,0))*(1-Sev),0)</f>
        <v>0</v>
      </c>
      <c r="H2337" s="99" t="n">
        <f aca="false">IF(AND(6&lt;=Hold_Yrs,6-ROUND(Rec_Lag,0)&gt;=1),INDEX($C822:$L822,1,6-ROUND(Rec_Lag,0))*(1-Sev),0)</f>
        <v>0</v>
      </c>
      <c r="I2337" s="99" t="n">
        <f aca="false">IF(AND(7&lt;=Hold_Yrs,7-ROUND(Rec_Lag,0)&gt;=1),INDEX($C822:$L822,1,7-ROUND(Rec_Lag,0))*(1-Sev),0)</f>
        <v>0</v>
      </c>
      <c r="J2337" s="99" t="n">
        <f aca="false">IF(AND(8&lt;=Hold_Yrs,8-ROUND(Rec_Lag,0)&gt;=1),INDEX($C822:$L822,1,8-ROUND(Rec_Lag,0))*(1-Sev),0)</f>
        <v>0</v>
      </c>
      <c r="K2337" s="99" t="n">
        <f aca="false">IF(AND(9&lt;=Hold_Yrs,9-ROUND(Rec_Lag,0)&gt;=1),INDEX($C822:$L822,1,9-ROUND(Rec_Lag,0))*(1-Sev),0)</f>
        <v>0</v>
      </c>
      <c r="L2337" s="99" t="n">
        <f aca="false">IF(AND(10&lt;=Hold_Yrs,10-ROUND(Rec_Lag,0)&gt;=1),INDEX($C822:$L822,1,10-ROUND(Rec_Lag,0))*(1-Sev),0)</f>
        <v>0</v>
      </c>
    </row>
    <row r="2338" customFormat="false" ht="15" hidden="false" customHeight="false" outlineLevel="0" collapsed="false">
      <c r="B2338" s="108" t="n">
        <f aca="false">'Loan Tape'!$A213</f>
        <v>0</v>
      </c>
      <c r="C2338" s="71" t="n">
        <f aca="false">IF(AND(1&lt;=Hold_Yrs,1-ROUND(Rec_Lag,0)&gt;=1),INDEX($C823:$L823,1,1-ROUND(Rec_Lag,0))*(1-Sev),0)</f>
        <v>0</v>
      </c>
      <c r="D2338" s="71" t="n">
        <f aca="false">IF(AND(2&lt;=Hold_Yrs,2-ROUND(Rec_Lag,0)&gt;=1),INDEX($C823:$L823,1,2-ROUND(Rec_Lag,0))*(1-Sev),0)</f>
        <v>0</v>
      </c>
      <c r="E2338" s="71" t="n">
        <f aca="false">IF(AND(3&lt;=Hold_Yrs,3-ROUND(Rec_Lag,0)&gt;=1),INDEX($C823:$L823,1,3-ROUND(Rec_Lag,0))*(1-Sev),0)</f>
        <v>0</v>
      </c>
      <c r="F2338" s="71" t="n">
        <f aca="false">IF(AND(4&lt;=Hold_Yrs,4-ROUND(Rec_Lag,0)&gt;=1),INDEX($C823:$L823,1,4-ROUND(Rec_Lag,0))*(1-Sev),0)</f>
        <v>0</v>
      </c>
      <c r="G2338" s="71" t="n">
        <f aca="false">IF(AND(5&lt;=Hold_Yrs,5-ROUND(Rec_Lag,0)&gt;=1),INDEX($C823:$L823,1,5-ROUND(Rec_Lag,0))*(1-Sev),0)</f>
        <v>0</v>
      </c>
      <c r="H2338" s="71" t="n">
        <f aca="false">IF(AND(6&lt;=Hold_Yrs,6-ROUND(Rec_Lag,0)&gt;=1),INDEX($C823:$L823,1,6-ROUND(Rec_Lag,0))*(1-Sev),0)</f>
        <v>0</v>
      </c>
      <c r="I2338" s="71" t="n">
        <f aca="false">IF(AND(7&lt;=Hold_Yrs,7-ROUND(Rec_Lag,0)&gt;=1),INDEX($C823:$L823,1,7-ROUND(Rec_Lag,0))*(1-Sev),0)</f>
        <v>0</v>
      </c>
      <c r="J2338" s="71" t="n">
        <f aca="false">IF(AND(8&lt;=Hold_Yrs,8-ROUND(Rec_Lag,0)&gt;=1),INDEX($C823:$L823,1,8-ROUND(Rec_Lag,0))*(1-Sev),0)</f>
        <v>0</v>
      </c>
      <c r="K2338" s="71" t="n">
        <f aca="false">IF(AND(9&lt;=Hold_Yrs,9-ROUND(Rec_Lag,0)&gt;=1),INDEX($C823:$L823,1,9-ROUND(Rec_Lag,0))*(1-Sev),0)</f>
        <v>0</v>
      </c>
      <c r="L2338" s="71" t="n">
        <f aca="false">IF(AND(10&lt;=Hold_Yrs,10-ROUND(Rec_Lag,0)&gt;=1),INDEX($C823:$L823,1,10-ROUND(Rec_Lag,0))*(1-Sev),0)</f>
        <v>0</v>
      </c>
    </row>
    <row r="2339" customFormat="false" ht="15" hidden="false" customHeight="false" outlineLevel="0" collapsed="false">
      <c r="B2339" s="102" t="n">
        <f aca="false">'Loan Tape'!$A214</f>
        <v>0</v>
      </c>
      <c r="C2339" s="99" t="n">
        <f aca="false">IF(AND(1&lt;=Hold_Yrs,1-ROUND(Rec_Lag,0)&gt;=1),INDEX($C824:$L824,1,1-ROUND(Rec_Lag,0))*(1-Sev),0)</f>
        <v>0</v>
      </c>
      <c r="D2339" s="99" t="n">
        <f aca="false">IF(AND(2&lt;=Hold_Yrs,2-ROUND(Rec_Lag,0)&gt;=1),INDEX($C824:$L824,1,2-ROUND(Rec_Lag,0))*(1-Sev),0)</f>
        <v>0</v>
      </c>
      <c r="E2339" s="99" t="n">
        <f aca="false">IF(AND(3&lt;=Hold_Yrs,3-ROUND(Rec_Lag,0)&gt;=1),INDEX($C824:$L824,1,3-ROUND(Rec_Lag,0))*(1-Sev),0)</f>
        <v>0</v>
      </c>
      <c r="F2339" s="99" t="n">
        <f aca="false">IF(AND(4&lt;=Hold_Yrs,4-ROUND(Rec_Lag,0)&gt;=1),INDEX($C824:$L824,1,4-ROUND(Rec_Lag,0))*(1-Sev),0)</f>
        <v>0</v>
      </c>
      <c r="G2339" s="99" t="n">
        <f aca="false">IF(AND(5&lt;=Hold_Yrs,5-ROUND(Rec_Lag,0)&gt;=1),INDEX($C824:$L824,1,5-ROUND(Rec_Lag,0))*(1-Sev),0)</f>
        <v>0</v>
      </c>
      <c r="H2339" s="99" t="n">
        <f aca="false">IF(AND(6&lt;=Hold_Yrs,6-ROUND(Rec_Lag,0)&gt;=1),INDEX($C824:$L824,1,6-ROUND(Rec_Lag,0))*(1-Sev),0)</f>
        <v>0</v>
      </c>
      <c r="I2339" s="99" t="n">
        <f aca="false">IF(AND(7&lt;=Hold_Yrs,7-ROUND(Rec_Lag,0)&gt;=1),INDEX($C824:$L824,1,7-ROUND(Rec_Lag,0))*(1-Sev),0)</f>
        <v>0</v>
      </c>
      <c r="J2339" s="99" t="n">
        <f aca="false">IF(AND(8&lt;=Hold_Yrs,8-ROUND(Rec_Lag,0)&gt;=1),INDEX($C824:$L824,1,8-ROUND(Rec_Lag,0))*(1-Sev),0)</f>
        <v>0</v>
      </c>
      <c r="K2339" s="99" t="n">
        <f aca="false">IF(AND(9&lt;=Hold_Yrs,9-ROUND(Rec_Lag,0)&gt;=1),INDEX($C824:$L824,1,9-ROUND(Rec_Lag,0))*(1-Sev),0)</f>
        <v>0</v>
      </c>
      <c r="L2339" s="99" t="n">
        <f aca="false">IF(AND(10&lt;=Hold_Yrs,10-ROUND(Rec_Lag,0)&gt;=1),INDEX($C824:$L824,1,10-ROUND(Rec_Lag,0))*(1-Sev),0)</f>
        <v>0</v>
      </c>
    </row>
    <row r="2340" customFormat="false" ht="15" hidden="false" customHeight="false" outlineLevel="0" collapsed="false">
      <c r="B2340" s="108" t="n">
        <f aca="false">'Loan Tape'!$A215</f>
        <v>0</v>
      </c>
      <c r="C2340" s="71" t="n">
        <f aca="false">IF(AND(1&lt;=Hold_Yrs,1-ROUND(Rec_Lag,0)&gt;=1),INDEX($C825:$L825,1,1-ROUND(Rec_Lag,0))*(1-Sev),0)</f>
        <v>0</v>
      </c>
      <c r="D2340" s="71" t="n">
        <f aca="false">IF(AND(2&lt;=Hold_Yrs,2-ROUND(Rec_Lag,0)&gt;=1),INDEX($C825:$L825,1,2-ROUND(Rec_Lag,0))*(1-Sev),0)</f>
        <v>0</v>
      </c>
      <c r="E2340" s="71" t="n">
        <f aca="false">IF(AND(3&lt;=Hold_Yrs,3-ROUND(Rec_Lag,0)&gt;=1),INDEX($C825:$L825,1,3-ROUND(Rec_Lag,0))*(1-Sev),0)</f>
        <v>0</v>
      </c>
      <c r="F2340" s="71" t="n">
        <f aca="false">IF(AND(4&lt;=Hold_Yrs,4-ROUND(Rec_Lag,0)&gt;=1),INDEX($C825:$L825,1,4-ROUND(Rec_Lag,0))*(1-Sev),0)</f>
        <v>0</v>
      </c>
      <c r="G2340" s="71" t="n">
        <f aca="false">IF(AND(5&lt;=Hold_Yrs,5-ROUND(Rec_Lag,0)&gt;=1),INDEX($C825:$L825,1,5-ROUND(Rec_Lag,0))*(1-Sev),0)</f>
        <v>0</v>
      </c>
      <c r="H2340" s="71" t="n">
        <f aca="false">IF(AND(6&lt;=Hold_Yrs,6-ROUND(Rec_Lag,0)&gt;=1),INDEX($C825:$L825,1,6-ROUND(Rec_Lag,0))*(1-Sev),0)</f>
        <v>0</v>
      </c>
      <c r="I2340" s="71" t="n">
        <f aca="false">IF(AND(7&lt;=Hold_Yrs,7-ROUND(Rec_Lag,0)&gt;=1),INDEX($C825:$L825,1,7-ROUND(Rec_Lag,0))*(1-Sev),0)</f>
        <v>0</v>
      </c>
      <c r="J2340" s="71" t="n">
        <f aca="false">IF(AND(8&lt;=Hold_Yrs,8-ROUND(Rec_Lag,0)&gt;=1),INDEX($C825:$L825,1,8-ROUND(Rec_Lag,0))*(1-Sev),0)</f>
        <v>0</v>
      </c>
      <c r="K2340" s="71" t="n">
        <f aca="false">IF(AND(9&lt;=Hold_Yrs,9-ROUND(Rec_Lag,0)&gt;=1),INDEX($C825:$L825,1,9-ROUND(Rec_Lag,0))*(1-Sev),0)</f>
        <v>0</v>
      </c>
      <c r="L2340" s="71" t="n">
        <f aca="false">IF(AND(10&lt;=Hold_Yrs,10-ROUND(Rec_Lag,0)&gt;=1),INDEX($C825:$L825,1,10-ROUND(Rec_Lag,0))*(1-Sev),0)</f>
        <v>0</v>
      </c>
    </row>
    <row r="2341" customFormat="false" ht="15" hidden="false" customHeight="false" outlineLevel="0" collapsed="false">
      <c r="B2341" s="102" t="n">
        <f aca="false">'Loan Tape'!$A216</f>
        <v>0</v>
      </c>
      <c r="C2341" s="99" t="n">
        <f aca="false">IF(AND(1&lt;=Hold_Yrs,1-ROUND(Rec_Lag,0)&gt;=1),INDEX($C826:$L826,1,1-ROUND(Rec_Lag,0))*(1-Sev),0)</f>
        <v>0</v>
      </c>
      <c r="D2341" s="99" t="n">
        <f aca="false">IF(AND(2&lt;=Hold_Yrs,2-ROUND(Rec_Lag,0)&gt;=1),INDEX($C826:$L826,1,2-ROUND(Rec_Lag,0))*(1-Sev),0)</f>
        <v>0</v>
      </c>
      <c r="E2341" s="99" t="n">
        <f aca="false">IF(AND(3&lt;=Hold_Yrs,3-ROUND(Rec_Lag,0)&gt;=1),INDEX($C826:$L826,1,3-ROUND(Rec_Lag,0))*(1-Sev),0)</f>
        <v>0</v>
      </c>
      <c r="F2341" s="99" t="n">
        <f aca="false">IF(AND(4&lt;=Hold_Yrs,4-ROUND(Rec_Lag,0)&gt;=1),INDEX($C826:$L826,1,4-ROUND(Rec_Lag,0))*(1-Sev),0)</f>
        <v>0</v>
      </c>
      <c r="G2341" s="99" t="n">
        <f aca="false">IF(AND(5&lt;=Hold_Yrs,5-ROUND(Rec_Lag,0)&gt;=1),INDEX($C826:$L826,1,5-ROUND(Rec_Lag,0))*(1-Sev),0)</f>
        <v>0</v>
      </c>
      <c r="H2341" s="99" t="n">
        <f aca="false">IF(AND(6&lt;=Hold_Yrs,6-ROUND(Rec_Lag,0)&gt;=1),INDEX($C826:$L826,1,6-ROUND(Rec_Lag,0))*(1-Sev),0)</f>
        <v>0</v>
      </c>
      <c r="I2341" s="99" t="n">
        <f aca="false">IF(AND(7&lt;=Hold_Yrs,7-ROUND(Rec_Lag,0)&gt;=1),INDEX($C826:$L826,1,7-ROUND(Rec_Lag,0))*(1-Sev),0)</f>
        <v>0</v>
      </c>
      <c r="J2341" s="99" t="n">
        <f aca="false">IF(AND(8&lt;=Hold_Yrs,8-ROUND(Rec_Lag,0)&gt;=1),INDEX($C826:$L826,1,8-ROUND(Rec_Lag,0))*(1-Sev),0)</f>
        <v>0</v>
      </c>
      <c r="K2341" s="99" t="n">
        <f aca="false">IF(AND(9&lt;=Hold_Yrs,9-ROUND(Rec_Lag,0)&gt;=1),INDEX($C826:$L826,1,9-ROUND(Rec_Lag,0))*(1-Sev),0)</f>
        <v>0</v>
      </c>
      <c r="L2341" s="99" t="n">
        <f aca="false">IF(AND(10&lt;=Hold_Yrs,10-ROUND(Rec_Lag,0)&gt;=1),INDEX($C826:$L826,1,10-ROUND(Rec_Lag,0))*(1-Sev),0)</f>
        <v>0</v>
      </c>
    </row>
    <row r="2342" customFormat="false" ht="15" hidden="false" customHeight="false" outlineLevel="0" collapsed="false">
      <c r="B2342" s="108" t="n">
        <f aca="false">'Loan Tape'!$A217</f>
        <v>0</v>
      </c>
      <c r="C2342" s="71" t="n">
        <f aca="false">IF(AND(1&lt;=Hold_Yrs,1-ROUND(Rec_Lag,0)&gt;=1),INDEX($C827:$L827,1,1-ROUND(Rec_Lag,0))*(1-Sev),0)</f>
        <v>0</v>
      </c>
      <c r="D2342" s="71" t="n">
        <f aca="false">IF(AND(2&lt;=Hold_Yrs,2-ROUND(Rec_Lag,0)&gt;=1),INDEX($C827:$L827,1,2-ROUND(Rec_Lag,0))*(1-Sev),0)</f>
        <v>0</v>
      </c>
      <c r="E2342" s="71" t="n">
        <f aca="false">IF(AND(3&lt;=Hold_Yrs,3-ROUND(Rec_Lag,0)&gt;=1),INDEX($C827:$L827,1,3-ROUND(Rec_Lag,0))*(1-Sev),0)</f>
        <v>0</v>
      </c>
      <c r="F2342" s="71" t="n">
        <f aca="false">IF(AND(4&lt;=Hold_Yrs,4-ROUND(Rec_Lag,0)&gt;=1),INDEX($C827:$L827,1,4-ROUND(Rec_Lag,0))*(1-Sev),0)</f>
        <v>0</v>
      </c>
      <c r="G2342" s="71" t="n">
        <f aca="false">IF(AND(5&lt;=Hold_Yrs,5-ROUND(Rec_Lag,0)&gt;=1),INDEX($C827:$L827,1,5-ROUND(Rec_Lag,0))*(1-Sev),0)</f>
        <v>0</v>
      </c>
      <c r="H2342" s="71" t="n">
        <f aca="false">IF(AND(6&lt;=Hold_Yrs,6-ROUND(Rec_Lag,0)&gt;=1),INDEX($C827:$L827,1,6-ROUND(Rec_Lag,0))*(1-Sev),0)</f>
        <v>0</v>
      </c>
      <c r="I2342" s="71" t="n">
        <f aca="false">IF(AND(7&lt;=Hold_Yrs,7-ROUND(Rec_Lag,0)&gt;=1),INDEX($C827:$L827,1,7-ROUND(Rec_Lag,0))*(1-Sev),0)</f>
        <v>0</v>
      </c>
      <c r="J2342" s="71" t="n">
        <f aca="false">IF(AND(8&lt;=Hold_Yrs,8-ROUND(Rec_Lag,0)&gt;=1),INDEX($C827:$L827,1,8-ROUND(Rec_Lag,0))*(1-Sev),0)</f>
        <v>0</v>
      </c>
      <c r="K2342" s="71" t="n">
        <f aca="false">IF(AND(9&lt;=Hold_Yrs,9-ROUND(Rec_Lag,0)&gt;=1),INDEX($C827:$L827,1,9-ROUND(Rec_Lag,0))*(1-Sev),0)</f>
        <v>0</v>
      </c>
      <c r="L2342" s="71" t="n">
        <f aca="false">IF(AND(10&lt;=Hold_Yrs,10-ROUND(Rec_Lag,0)&gt;=1),INDEX($C827:$L827,1,10-ROUND(Rec_Lag,0))*(1-Sev),0)</f>
        <v>0</v>
      </c>
    </row>
    <row r="2343" customFormat="false" ht="15" hidden="false" customHeight="false" outlineLevel="0" collapsed="false">
      <c r="B2343" s="102" t="n">
        <f aca="false">'Loan Tape'!$A218</f>
        <v>0</v>
      </c>
      <c r="C2343" s="99" t="n">
        <f aca="false">IF(AND(1&lt;=Hold_Yrs,1-ROUND(Rec_Lag,0)&gt;=1),INDEX($C828:$L828,1,1-ROUND(Rec_Lag,0))*(1-Sev),0)</f>
        <v>0</v>
      </c>
      <c r="D2343" s="99" t="n">
        <f aca="false">IF(AND(2&lt;=Hold_Yrs,2-ROUND(Rec_Lag,0)&gt;=1),INDEX($C828:$L828,1,2-ROUND(Rec_Lag,0))*(1-Sev),0)</f>
        <v>0</v>
      </c>
      <c r="E2343" s="99" t="n">
        <f aca="false">IF(AND(3&lt;=Hold_Yrs,3-ROUND(Rec_Lag,0)&gt;=1),INDEX($C828:$L828,1,3-ROUND(Rec_Lag,0))*(1-Sev),0)</f>
        <v>0</v>
      </c>
      <c r="F2343" s="99" t="n">
        <f aca="false">IF(AND(4&lt;=Hold_Yrs,4-ROUND(Rec_Lag,0)&gt;=1),INDEX($C828:$L828,1,4-ROUND(Rec_Lag,0))*(1-Sev),0)</f>
        <v>0</v>
      </c>
      <c r="G2343" s="99" t="n">
        <f aca="false">IF(AND(5&lt;=Hold_Yrs,5-ROUND(Rec_Lag,0)&gt;=1),INDEX($C828:$L828,1,5-ROUND(Rec_Lag,0))*(1-Sev),0)</f>
        <v>0</v>
      </c>
      <c r="H2343" s="99" t="n">
        <f aca="false">IF(AND(6&lt;=Hold_Yrs,6-ROUND(Rec_Lag,0)&gt;=1),INDEX($C828:$L828,1,6-ROUND(Rec_Lag,0))*(1-Sev),0)</f>
        <v>0</v>
      </c>
      <c r="I2343" s="99" t="n">
        <f aca="false">IF(AND(7&lt;=Hold_Yrs,7-ROUND(Rec_Lag,0)&gt;=1),INDEX($C828:$L828,1,7-ROUND(Rec_Lag,0))*(1-Sev),0)</f>
        <v>0</v>
      </c>
      <c r="J2343" s="99" t="n">
        <f aca="false">IF(AND(8&lt;=Hold_Yrs,8-ROUND(Rec_Lag,0)&gt;=1),INDEX($C828:$L828,1,8-ROUND(Rec_Lag,0))*(1-Sev),0)</f>
        <v>0</v>
      </c>
      <c r="K2343" s="99" t="n">
        <f aca="false">IF(AND(9&lt;=Hold_Yrs,9-ROUND(Rec_Lag,0)&gt;=1),INDEX($C828:$L828,1,9-ROUND(Rec_Lag,0))*(1-Sev),0)</f>
        <v>0</v>
      </c>
      <c r="L2343" s="99" t="n">
        <f aca="false">IF(AND(10&lt;=Hold_Yrs,10-ROUND(Rec_Lag,0)&gt;=1),INDEX($C828:$L828,1,10-ROUND(Rec_Lag,0))*(1-Sev),0)</f>
        <v>0</v>
      </c>
    </row>
    <row r="2344" customFormat="false" ht="15" hidden="false" customHeight="false" outlineLevel="0" collapsed="false">
      <c r="B2344" s="108" t="n">
        <f aca="false">'Loan Tape'!$A219</f>
        <v>0</v>
      </c>
      <c r="C2344" s="71" t="n">
        <f aca="false">IF(AND(1&lt;=Hold_Yrs,1-ROUND(Rec_Lag,0)&gt;=1),INDEX($C829:$L829,1,1-ROUND(Rec_Lag,0))*(1-Sev),0)</f>
        <v>0</v>
      </c>
      <c r="D2344" s="71" t="n">
        <f aca="false">IF(AND(2&lt;=Hold_Yrs,2-ROUND(Rec_Lag,0)&gt;=1),INDEX($C829:$L829,1,2-ROUND(Rec_Lag,0))*(1-Sev),0)</f>
        <v>0</v>
      </c>
      <c r="E2344" s="71" t="n">
        <f aca="false">IF(AND(3&lt;=Hold_Yrs,3-ROUND(Rec_Lag,0)&gt;=1),INDEX($C829:$L829,1,3-ROUND(Rec_Lag,0))*(1-Sev),0)</f>
        <v>0</v>
      </c>
      <c r="F2344" s="71" t="n">
        <f aca="false">IF(AND(4&lt;=Hold_Yrs,4-ROUND(Rec_Lag,0)&gt;=1),INDEX($C829:$L829,1,4-ROUND(Rec_Lag,0))*(1-Sev),0)</f>
        <v>0</v>
      </c>
      <c r="G2344" s="71" t="n">
        <f aca="false">IF(AND(5&lt;=Hold_Yrs,5-ROUND(Rec_Lag,0)&gt;=1),INDEX($C829:$L829,1,5-ROUND(Rec_Lag,0))*(1-Sev),0)</f>
        <v>0</v>
      </c>
      <c r="H2344" s="71" t="n">
        <f aca="false">IF(AND(6&lt;=Hold_Yrs,6-ROUND(Rec_Lag,0)&gt;=1),INDEX($C829:$L829,1,6-ROUND(Rec_Lag,0))*(1-Sev),0)</f>
        <v>0</v>
      </c>
      <c r="I2344" s="71" t="n">
        <f aca="false">IF(AND(7&lt;=Hold_Yrs,7-ROUND(Rec_Lag,0)&gt;=1),INDEX($C829:$L829,1,7-ROUND(Rec_Lag,0))*(1-Sev),0)</f>
        <v>0</v>
      </c>
      <c r="J2344" s="71" t="n">
        <f aca="false">IF(AND(8&lt;=Hold_Yrs,8-ROUND(Rec_Lag,0)&gt;=1),INDEX($C829:$L829,1,8-ROUND(Rec_Lag,0))*(1-Sev),0)</f>
        <v>0</v>
      </c>
      <c r="K2344" s="71" t="n">
        <f aca="false">IF(AND(9&lt;=Hold_Yrs,9-ROUND(Rec_Lag,0)&gt;=1),INDEX($C829:$L829,1,9-ROUND(Rec_Lag,0))*(1-Sev),0)</f>
        <v>0</v>
      </c>
      <c r="L2344" s="71" t="n">
        <f aca="false">IF(AND(10&lt;=Hold_Yrs,10-ROUND(Rec_Lag,0)&gt;=1),INDEX($C829:$L829,1,10-ROUND(Rec_Lag,0))*(1-Sev),0)</f>
        <v>0</v>
      </c>
    </row>
    <row r="2345" customFormat="false" ht="15" hidden="false" customHeight="false" outlineLevel="0" collapsed="false">
      <c r="B2345" s="102" t="n">
        <f aca="false">'Loan Tape'!$A220</f>
        <v>0</v>
      </c>
      <c r="C2345" s="99" t="n">
        <f aca="false">IF(AND(1&lt;=Hold_Yrs,1-ROUND(Rec_Lag,0)&gt;=1),INDEX($C830:$L830,1,1-ROUND(Rec_Lag,0))*(1-Sev),0)</f>
        <v>0</v>
      </c>
      <c r="D2345" s="99" t="n">
        <f aca="false">IF(AND(2&lt;=Hold_Yrs,2-ROUND(Rec_Lag,0)&gt;=1),INDEX($C830:$L830,1,2-ROUND(Rec_Lag,0))*(1-Sev),0)</f>
        <v>0</v>
      </c>
      <c r="E2345" s="99" t="n">
        <f aca="false">IF(AND(3&lt;=Hold_Yrs,3-ROUND(Rec_Lag,0)&gt;=1),INDEX($C830:$L830,1,3-ROUND(Rec_Lag,0))*(1-Sev),0)</f>
        <v>0</v>
      </c>
      <c r="F2345" s="99" t="n">
        <f aca="false">IF(AND(4&lt;=Hold_Yrs,4-ROUND(Rec_Lag,0)&gt;=1),INDEX($C830:$L830,1,4-ROUND(Rec_Lag,0))*(1-Sev),0)</f>
        <v>0</v>
      </c>
      <c r="G2345" s="99" t="n">
        <f aca="false">IF(AND(5&lt;=Hold_Yrs,5-ROUND(Rec_Lag,0)&gt;=1),INDEX($C830:$L830,1,5-ROUND(Rec_Lag,0))*(1-Sev),0)</f>
        <v>0</v>
      </c>
      <c r="H2345" s="99" t="n">
        <f aca="false">IF(AND(6&lt;=Hold_Yrs,6-ROUND(Rec_Lag,0)&gt;=1),INDEX($C830:$L830,1,6-ROUND(Rec_Lag,0))*(1-Sev),0)</f>
        <v>0</v>
      </c>
      <c r="I2345" s="99" t="n">
        <f aca="false">IF(AND(7&lt;=Hold_Yrs,7-ROUND(Rec_Lag,0)&gt;=1),INDEX($C830:$L830,1,7-ROUND(Rec_Lag,0))*(1-Sev),0)</f>
        <v>0</v>
      </c>
      <c r="J2345" s="99" t="n">
        <f aca="false">IF(AND(8&lt;=Hold_Yrs,8-ROUND(Rec_Lag,0)&gt;=1),INDEX($C830:$L830,1,8-ROUND(Rec_Lag,0))*(1-Sev),0)</f>
        <v>0</v>
      </c>
      <c r="K2345" s="99" t="n">
        <f aca="false">IF(AND(9&lt;=Hold_Yrs,9-ROUND(Rec_Lag,0)&gt;=1),INDEX($C830:$L830,1,9-ROUND(Rec_Lag,0))*(1-Sev),0)</f>
        <v>0</v>
      </c>
      <c r="L2345" s="99" t="n">
        <f aca="false">IF(AND(10&lt;=Hold_Yrs,10-ROUND(Rec_Lag,0)&gt;=1),INDEX($C830:$L830,1,10-ROUND(Rec_Lag,0))*(1-Sev),0)</f>
        <v>0</v>
      </c>
    </row>
    <row r="2346" customFormat="false" ht="15" hidden="false" customHeight="false" outlineLevel="0" collapsed="false">
      <c r="B2346" s="108" t="n">
        <f aca="false">'Loan Tape'!$A221</f>
        <v>0</v>
      </c>
      <c r="C2346" s="71" t="n">
        <f aca="false">IF(AND(1&lt;=Hold_Yrs,1-ROUND(Rec_Lag,0)&gt;=1),INDEX($C831:$L831,1,1-ROUND(Rec_Lag,0))*(1-Sev),0)</f>
        <v>0</v>
      </c>
      <c r="D2346" s="71" t="n">
        <f aca="false">IF(AND(2&lt;=Hold_Yrs,2-ROUND(Rec_Lag,0)&gt;=1),INDEX($C831:$L831,1,2-ROUND(Rec_Lag,0))*(1-Sev),0)</f>
        <v>0</v>
      </c>
      <c r="E2346" s="71" t="n">
        <f aca="false">IF(AND(3&lt;=Hold_Yrs,3-ROUND(Rec_Lag,0)&gt;=1),INDEX($C831:$L831,1,3-ROUND(Rec_Lag,0))*(1-Sev),0)</f>
        <v>0</v>
      </c>
      <c r="F2346" s="71" t="n">
        <f aca="false">IF(AND(4&lt;=Hold_Yrs,4-ROUND(Rec_Lag,0)&gt;=1),INDEX($C831:$L831,1,4-ROUND(Rec_Lag,0))*(1-Sev),0)</f>
        <v>0</v>
      </c>
      <c r="G2346" s="71" t="n">
        <f aca="false">IF(AND(5&lt;=Hold_Yrs,5-ROUND(Rec_Lag,0)&gt;=1),INDEX($C831:$L831,1,5-ROUND(Rec_Lag,0))*(1-Sev),0)</f>
        <v>0</v>
      </c>
      <c r="H2346" s="71" t="n">
        <f aca="false">IF(AND(6&lt;=Hold_Yrs,6-ROUND(Rec_Lag,0)&gt;=1),INDEX($C831:$L831,1,6-ROUND(Rec_Lag,0))*(1-Sev),0)</f>
        <v>0</v>
      </c>
      <c r="I2346" s="71" t="n">
        <f aca="false">IF(AND(7&lt;=Hold_Yrs,7-ROUND(Rec_Lag,0)&gt;=1),INDEX($C831:$L831,1,7-ROUND(Rec_Lag,0))*(1-Sev),0)</f>
        <v>0</v>
      </c>
      <c r="J2346" s="71" t="n">
        <f aca="false">IF(AND(8&lt;=Hold_Yrs,8-ROUND(Rec_Lag,0)&gt;=1),INDEX($C831:$L831,1,8-ROUND(Rec_Lag,0))*(1-Sev),0)</f>
        <v>0</v>
      </c>
      <c r="K2346" s="71" t="n">
        <f aca="false">IF(AND(9&lt;=Hold_Yrs,9-ROUND(Rec_Lag,0)&gt;=1),INDEX($C831:$L831,1,9-ROUND(Rec_Lag,0))*(1-Sev),0)</f>
        <v>0</v>
      </c>
      <c r="L2346" s="71" t="n">
        <f aca="false">IF(AND(10&lt;=Hold_Yrs,10-ROUND(Rec_Lag,0)&gt;=1),INDEX($C831:$L831,1,10-ROUND(Rec_Lag,0))*(1-Sev),0)</f>
        <v>0</v>
      </c>
    </row>
    <row r="2347" customFormat="false" ht="15" hidden="false" customHeight="false" outlineLevel="0" collapsed="false">
      <c r="B2347" s="102" t="n">
        <f aca="false">'Loan Tape'!$A222</f>
        <v>0</v>
      </c>
      <c r="C2347" s="99" t="n">
        <f aca="false">IF(AND(1&lt;=Hold_Yrs,1-ROUND(Rec_Lag,0)&gt;=1),INDEX($C832:$L832,1,1-ROUND(Rec_Lag,0))*(1-Sev),0)</f>
        <v>0</v>
      </c>
      <c r="D2347" s="99" t="n">
        <f aca="false">IF(AND(2&lt;=Hold_Yrs,2-ROUND(Rec_Lag,0)&gt;=1),INDEX($C832:$L832,1,2-ROUND(Rec_Lag,0))*(1-Sev),0)</f>
        <v>0</v>
      </c>
      <c r="E2347" s="99" t="n">
        <f aca="false">IF(AND(3&lt;=Hold_Yrs,3-ROUND(Rec_Lag,0)&gt;=1),INDEX($C832:$L832,1,3-ROUND(Rec_Lag,0))*(1-Sev),0)</f>
        <v>0</v>
      </c>
      <c r="F2347" s="99" t="n">
        <f aca="false">IF(AND(4&lt;=Hold_Yrs,4-ROUND(Rec_Lag,0)&gt;=1),INDEX($C832:$L832,1,4-ROUND(Rec_Lag,0))*(1-Sev),0)</f>
        <v>0</v>
      </c>
      <c r="G2347" s="99" t="n">
        <f aca="false">IF(AND(5&lt;=Hold_Yrs,5-ROUND(Rec_Lag,0)&gt;=1),INDEX($C832:$L832,1,5-ROUND(Rec_Lag,0))*(1-Sev),0)</f>
        <v>0</v>
      </c>
      <c r="H2347" s="99" t="n">
        <f aca="false">IF(AND(6&lt;=Hold_Yrs,6-ROUND(Rec_Lag,0)&gt;=1),INDEX($C832:$L832,1,6-ROUND(Rec_Lag,0))*(1-Sev),0)</f>
        <v>0</v>
      </c>
      <c r="I2347" s="99" t="n">
        <f aca="false">IF(AND(7&lt;=Hold_Yrs,7-ROUND(Rec_Lag,0)&gt;=1),INDEX($C832:$L832,1,7-ROUND(Rec_Lag,0))*(1-Sev),0)</f>
        <v>0</v>
      </c>
      <c r="J2347" s="99" t="n">
        <f aca="false">IF(AND(8&lt;=Hold_Yrs,8-ROUND(Rec_Lag,0)&gt;=1),INDEX($C832:$L832,1,8-ROUND(Rec_Lag,0))*(1-Sev),0)</f>
        <v>0</v>
      </c>
      <c r="K2347" s="99" t="n">
        <f aca="false">IF(AND(9&lt;=Hold_Yrs,9-ROUND(Rec_Lag,0)&gt;=1),INDEX($C832:$L832,1,9-ROUND(Rec_Lag,0))*(1-Sev),0)</f>
        <v>0</v>
      </c>
      <c r="L2347" s="99" t="n">
        <f aca="false">IF(AND(10&lt;=Hold_Yrs,10-ROUND(Rec_Lag,0)&gt;=1),INDEX($C832:$L832,1,10-ROUND(Rec_Lag,0))*(1-Sev),0)</f>
        <v>0</v>
      </c>
    </row>
    <row r="2348" customFormat="false" ht="15" hidden="false" customHeight="false" outlineLevel="0" collapsed="false">
      <c r="B2348" s="108" t="n">
        <f aca="false">'Loan Tape'!$A223</f>
        <v>0</v>
      </c>
      <c r="C2348" s="71" t="n">
        <f aca="false">IF(AND(1&lt;=Hold_Yrs,1-ROUND(Rec_Lag,0)&gt;=1),INDEX($C833:$L833,1,1-ROUND(Rec_Lag,0))*(1-Sev),0)</f>
        <v>0</v>
      </c>
      <c r="D2348" s="71" t="n">
        <f aca="false">IF(AND(2&lt;=Hold_Yrs,2-ROUND(Rec_Lag,0)&gt;=1),INDEX($C833:$L833,1,2-ROUND(Rec_Lag,0))*(1-Sev),0)</f>
        <v>0</v>
      </c>
      <c r="E2348" s="71" t="n">
        <f aca="false">IF(AND(3&lt;=Hold_Yrs,3-ROUND(Rec_Lag,0)&gt;=1),INDEX($C833:$L833,1,3-ROUND(Rec_Lag,0))*(1-Sev),0)</f>
        <v>0</v>
      </c>
      <c r="F2348" s="71" t="n">
        <f aca="false">IF(AND(4&lt;=Hold_Yrs,4-ROUND(Rec_Lag,0)&gt;=1),INDEX($C833:$L833,1,4-ROUND(Rec_Lag,0))*(1-Sev),0)</f>
        <v>0</v>
      </c>
      <c r="G2348" s="71" t="n">
        <f aca="false">IF(AND(5&lt;=Hold_Yrs,5-ROUND(Rec_Lag,0)&gt;=1),INDEX($C833:$L833,1,5-ROUND(Rec_Lag,0))*(1-Sev),0)</f>
        <v>0</v>
      </c>
      <c r="H2348" s="71" t="n">
        <f aca="false">IF(AND(6&lt;=Hold_Yrs,6-ROUND(Rec_Lag,0)&gt;=1),INDEX($C833:$L833,1,6-ROUND(Rec_Lag,0))*(1-Sev),0)</f>
        <v>0</v>
      </c>
      <c r="I2348" s="71" t="n">
        <f aca="false">IF(AND(7&lt;=Hold_Yrs,7-ROUND(Rec_Lag,0)&gt;=1),INDEX($C833:$L833,1,7-ROUND(Rec_Lag,0))*(1-Sev),0)</f>
        <v>0</v>
      </c>
      <c r="J2348" s="71" t="n">
        <f aca="false">IF(AND(8&lt;=Hold_Yrs,8-ROUND(Rec_Lag,0)&gt;=1),INDEX($C833:$L833,1,8-ROUND(Rec_Lag,0))*(1-Sev),0)</f>
        <v>0</v>
      </c>
      <c r="K2348" s="71" t="n">
        <f aca="false">IF(AND(9&lt;=Hold_Yrs,9-ROUND(Rec_Lag,0)&gt;=1),INDEX($C833:$L833,1,9-ROUND(Rec_Lag,0))*(1-Sev),0)</f>
        <v>0</v>
      </c>
      <c r="L2348" s="71" t="n">
        <f aca="false">IF(AND(10&lt;=Hold_Yrs,10-ROUND(Rec_Lag,0)&gt;=1),INDEX($C833:$L833,1,10-ROUND(Rec_Lag,0))*(1-Sev),0)</f>
        <v>0</v>
      </c>
    </row>
    <row r="2349" customFormat="false" ht="15" hidden="false" customHeight="false" outlineLevel="0" collapsed="false">
      <c r="B2349" s="102" t="n">
        <f aca="false">'Loan Tape'!$A224</f>
        <v>0</v>
      </c>
      <c r="C2349" s="99" t="n">
        <f aca="false">IF(AND(1&lt;=Hold_Yrs,1-ROUND(Rec_Lag,0)&gt;=1),INDEX($C834:$L834,1,1-ROUND(Rec_Lag,0))*(1-Sev),0)</f>
        <v>0</v>
      </c>
      <c r="D2349" s="99" t="n">
        <f aca="false">IF(AND(2&lt;=Hold_Yrs,2-ROUND(Rec_Lag,0)&gt;=1),INDEX($C834:$L834,1,2-ROUND(Rec_Lag,0))*(1-Sev),0)</f>
        <v>0</v>
      </c>
      <c r="E2349" s="99" t="n">
        <f aca="false">IF(AND(3&lt;=Hold_Yrs,3-ROUND(Rec_Lag,0)&gt;=1),INDEX($C834:$L834,1,3-ROUND(Rec_Lag,0))*(1-Sev),0)</f>
        <v>0</v>
      </c>
      <c r="F2349" s="99" t="n">
        <f aca="false">IF(AND(4&lt;=Hold_Yrs,4-ROUND(Rec_Lag,0)&gt;=1),INDEX($C834:$L834,1,4-ROUND(Rec_Lag,0))*(1-Sev),0)</f>
        <v>0</v>
      </c>
      <c r="G2349" s="99" t="n">
        <f aca="false">IF(AND(5&lt;=Hold_Yrs,5-ROUND(Rec_Lag,0)&gt;=1),INDEX($C834:$L834,1,5-ROUND(Rec_Lag,0))*(1-Sev),0)</f>
        <v>0</v>
      </c>
      <c r="H2349" s="99" t="n">
        <f aca="false">IF(AND(6&lt;=Hold_Yrs,6-ROUND(Rec_Lag,0)&gt;=1),INDEX($C834:$L834,1,6-ROUND(Rec_Lag,0))*(1-Sev),0)</f>
        <v>0</v>
      </c>
      <c r="I2349" s="99" t="n">
        <f aca="false">IF(AND(7&lt;=Hold_Yrs,7-ROUND(Rec_Lag,0)&gt;=1),INDEX($C834:$L834,1,7-ROUND(Rec_Lag,0))*(1-Sev),0)</f>
        <v>0</v>
      </c>
      <c r="J2349" s="99" t="n">
        <f aca="false">IF(AND(8&lt;=Hold_Yrs,8-ROUND(Rec_Lag,0)&gt;=1),INDEX($C834:$L834,1,8-ROUND(Rec_Lag,0))*(1-Sev),0)</f>
        <v>0</v>
      </c>
      <c r="K2349" s="99" t="n">
        <f aca="false">IF(AND(9&lt;=Hold_Yrs,9-ROUND(Rec_Lag,0)&gt;=1),INDEX($C834:$L834,1,9-ROUND(Rec_Lag,0))*(1-Sev),0)</f>
        <v>0</v>
      </c>
      <c r="L2349" s="99" t="n">
        <f aca="false">IF(AND(10&lt;=Hold_Yrs,10-ROUND(Rec_Lag,0)&gt;=1),INDEX($C834:$L834,1,10-ROUND(Rec_Lag,0))*(1-Sev),0)</f>
        <v>0</v>
      </c>
    </row>
    <row r="2350" customFormat="false" ht="15" hidden="false" customHeight="false" outlineLevel="0" collapsed="false">
      <c r="B2350" s="108" t="n">
        <f aca="false">'Loan Tape'!$A225</f>
        <v>0</v>
      </c>
      <c r="C2350" s="71" t="n">
        <f aca="false">IF(AND(1&lt;=Hold_Yrs,1-ROUND(Rec_Lag,0)&gt;=1),INDEX($C835:$L835,1,1-ROUND(Rec_Lag,0))*(1-Sev),0)</f>
        <v>0</v>
      </c>
      <c r="D2350" s="71" t="n">
        <f aca="false">IF(AND(2&lt;=Hold_Yrs,2-ROUND(Rec_Lag,0)&gt;=1),INDEX($C835:$L835,1,2-ROUND(Rec_Lag,0))*(1-Sev),0)</f>
        <v>0</v>
      </c>
      <c r="E2350" s="71" t="n">
        <f aca="false">IF(AND(3&lt;=Hold_Yrs,3-ROUND(Rec_Lag,0)&gt;=1),INDEX($C835:$L835,1,3-ROUND(Rec_Lag,0))*(1-Sev),0)</f>
        <v>0</v>
      </c>
      <c r="F2350" s="71" t="n">
        <f aca="false">IF(AND(4&lt;=Hold_Yrs,4-ROUND(Rec_Lag,0)&gt;=1),INDEX($C835:$L835,1,4-ROUND(Rec_Lag,0))*(1-Sev),0)</f>
        <v>0</v>
      </c>
      <c r="G2350" s="71" t="n">
        <f aca="false">IF(AND(5&lt;=Hold_Yrs,5-ROUND(Rec_Lag,0)&gt;=1),INDEX($C835:$L835,1,5-ROUND(Rec_Lag,0))*(1-Sev),0)</f>
        <v>0</v>
      </c>
      <c r="H2350" s="71" t="n">
        <f aca="false">IF(AND(6&lt;=Hold_Yrs,6-ROUND(Rec_Lag,0)&gt;=1),INDEX($C835:$L835,1,6-ROUND(Rec_Lag,0))*(1-Sev),0)</f>
        <v>0</v>
      </c>
      <c r="I2350" s="71" t="n">
        <f aca="false">IF(AND(7&lt;=Hold_Yrs,7-ROUND(Rec_Lag,0)&gt;=1),INDEX($C835:$L835,1,7-ROUND(Rec_Lag,0))*(1-Sev),0)</f>
        <v>0</v>
      </c>
      <c r="J2350" s="71" t="n">
        <f aca="false">IF(AND(8&lt;=Hold_Yrs,8-ROUND(Rec_Lag,0)&gt;=1),INDEX($C835:$L835,1,8-ROUND(Rec_Lag,0))*(1-Sev),0)</f>
        <v>0</v>
      </c>
      <c r="K2350" s="71" t="n">
        <f aca="false">IF(AND(9&lt;=Hold_Yrs,9-ROUND(Rec_Lag,0)&gt;=1),INDEX($C835:$L835,1,9-ROUND(Rec_Lag,0))*(1-Sev),0)</f>
        <v>0</v>
      </c>
      <c r="L2350" s="71" t="n">
        <f aca="false">IF(AND(10&lt;=Hold_Yrs,10-ROUND(Rec_Lag,0)&gt;=1),INDEX($C835:$L835,1,10-ROUND(Rec_Lag,0))*(1-Sev),0)</f>
        <v>0</v>
      </c>
    </row>
    <row r="2351" customFormat="false" ht="15" hidden="false" customHeight="false" outlineLevel="0" collapsed="false">
      <c r="B2351" s="102" t="n">
        <f aca="false">'Loan Tape'!$A226</f>
        <v>0</v>
      </c>
      <c r="C2351" s="99" t="n">
        <f aca="false">IF(AND(1&lt;=Hold_Yrs,1-ROUND(Rec_Lag,0)&gt;=1),INDEX($C836:$L836,1,1-ROUND(Rec_Lag,0))*(1-Sev),0)</f>
        <v>0</v>
      </c>
      <c r="D2351" s="99" t="n">
        <f aca="false">IF(AND(2&lt;=Hold_Yrs,2-ROUND(Rec_Lag,0)&gt;=1),INDEX($C836:$L836,1,2-ROUND(Rec_Lag,0))*(1-Sev),0)</f>
        <v>0</v>
      </c>
      <c r="E2351" s="99" t="n">
        <f aca="false">IF(AND(3&lt;=Hold_Yrs,3-ROUND(Rec_Lag,0)&gt;=1),INDEX($C836:$L836,1,3-ROUND(Rec_Lag,0))*(1-Sev),0)</f>
        <v>0</v>
      </c>
      <c r="F2351" s="99" t="n">
        <f aca="false">IF(AND(4&lt;=Hold_Yrs,4-ROUND(Rec_Lag,0)&gt;=1),INDEX($C836:$L836,1,4-ROUND(Rec_Lag,0))*(1-Sev),0)</f>
        <v>0</v>
      </c>
      <c r="G2351" s="99" t="n">
        <f aca="false">IF(AND(5&lt;=Hold_Yrs,5-ROUND(Rec_Lag,0)&gt;=1),INDEX($C836:$L836,1,5-ROUND(Rec_Lag,0))*(1-Sev),0)</f>
        <v>0</v>
      </c>
      <c r="H2351" s="99" t="n">
        <f aca="false">IF(AND(6&lt;=Hold_Yrs,6-ROUND(Rec_Lag,0)&gt;=1),INDEX($C836:$L836,1,6-ROUND(Rec_Lag,0))*(1-Sev),0)</f>
        <v>0</v>
      </c>
      <c r="I2351" s="99" t="n">
        <f aca="false">IF(AND(7&lt;=Hold_Yrs,7-ROUND(Rec_Lag,0)&gt;=1),INDEX($C836:$L836,1,7-ROUND(Rec_Lag,0))*(1-Sev),0)</f>
        <v>0</v>
      </c>
      <c r="J2351" s="99" t="n">
        <f aca="false">IF(AND(8&lt;=Hold_Yrs,8-ROUND(Rec_Lag,0)&gt;=1),INDEX($C836:$L836,1,8-ROUND(Rec_Lag,0))*(1-Sev),0)</f>
        <v>0</v>
      </c>
      <c r="K2351" s="99" t="n">
        <f aca="false">IF(AND(9&lt;=Hold_Yrs,9-ROUND(Rec_Lag,0)&gt;=1),INDEX($C836:$L836,1,9-ROUND(Rec_Lag,0))*(1-Sev),0)</f>
        <v>0</v>
      </c>
      <c r="L2351" s="99" t="n">
        <f aca="false">IF(AND(10&lt;=Hold_Yrs,10-ROUND(Rec_Lag,0)&gt;=1),INDEX($C836:$L836,1,10-ROUND(Rec_Lag,0))*(1-Sev),0)</f>
        <v>0</v>
      </c>
    </row>
    <row r="2352" customFormat="false" ht="15" hidden="false" customHeight="false" outlineLevel="0" collapsed="false">
      <c r="B2352" s="108" t="n">
        <f aca="false">'Loan Tape'!$A227</f>
        <v>0</v>
      </c>
      <c r="C2352" s="71" t="n">
        <f aca="false">IF(AND(1&lt;=Hold_Yrs,1-ROUND(Rec_Lag,0)&gt;=1),INDEX($C837:$L837,1,1-ROUND(Rec_Lag,0))*(1-Sev),0)</f>
        <v>0</v>
      </c>
      <c r="D2352" s="71" t="n">
        <f aca="false">IF(AND(2&lt;=Hold_Yrs,2-ROUND(Rec_Lag,0)&gt;=1),INDEX($C837:$L837,1,2-ROUND(Rec_Lag,0))*(1-Sev),0)</f>
        <v>0</v>
      </c>
      <c r="E2352" s="71" t="n">
        <f aca="false">IF(AND(3&lt;=Hold_Yrs,3-ROUND(Rec_Lag,0)&gt;=1),INDEX($C837:$L837,1,3-ROUND(Rec_Lag,0))*(1-Sev),0)</f>
        <v>0</v>
      </c>
      <c r="F2352" s="71" t="n">
        <f aca="false">IF(AND(4&lt;=Hold_Yrs,4-ROUND(Rec_Lag,0)&gt;=1),INDEX($C837:$L837,1,4-ROUND(Rec_Lag,0))*(1-Sev),0)</f>
        <v>0</v>
      </c>
      <c r="G2352" s="71" t="n">
        <f aca="false">IF(AND(5&lt;=Hold_Yrs,5-ROUND(Rec_Lag,0)&gt;=1),INDEX($C837:$L837,1,5-ROUND(Rec_Lag,0))*(1-Sev),0)</f>
        <v>0</v>
      </c>
      <c r="H2352" s="71" t="n">
        <f aca="false">IF(AND(6&lt;=Hold_Yrs,6-ROUND(Rec_Lag,0)&gt;=1),INDEX($C837:$L837,1,6-ROUND(Rec_Lag,0))*(1-Sev),0)</f>
        <v>0</v>
      </c>
      <c r="I2352" s="71" t="n">
        <f aca="false">IF(AND(7&lt;=Hold_Yrs,7-ROUND(Rec_Lag,0)&gt;=1),INDEX($C837:$L837,1,7-ROUND(Rec_Lag,0))*(1-Sev),0)</f>
        <v>0</v>
      </c>
      <c r="J2352" s="71" t="n">
        <f aca="false">IF(AND(8&lt;=Hold_Yrs,8-ROUND(Rec_Lag,0)&gt;=1),INDEX($C837:$L837,1,8-ROUND(Rec_Lag,0))*(1-Sev),0)</f>
        <v>0</v>
      </c>
      <c r="K2352" s="71" t="n">
        <f aca="false">IF(AND(9&lt;=Hold_Yrs,9-ROUND(Rec_Lag,0)&gt;=1),INDEX($C837:$L837,1,9-ROUND(Rec_Lag,0))*(1-Sev),0)</f>
        <v>0</v>
      </c>
      <c r="L2352" s="71" t="n">
        <f aca="false">IF(AND(10&lt;=Hold_Yrs,10-ROUND(Rec_Lag,0)&gt;=1),INDEX($C837:$L837,1,10-ROUND(Rec_Lag,0))*(1-Sev),0)</f>
        <v>0</v>
      </c>
    </row>
    <row r="2353" customFormat="false" ht="15" hidden="false" customHeight="false" outlineLevel="0" collapsed="false">
      <c r="B2353" s="102" t="n">
        <f aca="false">'Loan Tape'!$A228</f>
        <v>0</v>
      </c>
      <c r="C2353" s="99" t="n">
        <f aca="false">IF(AND(1&lt;=Hold_Yrs,1-ROUND(Rec_Lag,0)&gt;=1),INDEX($C838:$L838,1,1-ROUND(Rec_Lag,0))*(1-Sev),0)</f>
        <v>0</v>
      </c>
      <c r="D2353" s="99" t="n">
        <f aca="false">IF(AND(2&lt;=Hold_Yrs,2-ROUND(Rec_Lag,0)&gt;=1),INDEX($C838:$L838,1,2-ROUND(Rec_Lag,0))*(1-Sev),0)</f>
        <v>0</v>
      </c>
      <c r="E2353" s="99" t="n">
        <f aca="false">IF(AND(3&lt;=Hold_Yrs,3-ROUND(Rec_Lag,0)&gt;=1),INDEX($C838:$L838,1,3-ROUND(Rec_Lag,0))*(1-Sev),0)</f>
        <v>0</v>
      </c>
      <c r="F2353" s="99" t="n">
        <f aca="false">IF(AND(4&lt;=Hold_Yrs,4-ROUND(Rec_Lag,0)&gt;=1),INDEX($C838:$L838,1,4-ROUND(Rec_Lag,0))*(1-Sev),0)</f>
        <v>0</v>
      </c>
      <c r="G2353" s="99" t="n">
        <f aca="false">IF(AND(5&lt;=Hold_Yrs,5-ROUND(Rec_Lag,0)&gt;=1),INDEX($C838:$L838,1,5-ROUND(Rec_Lag,0))*(1-Sev),0)</f>
        <v>0</v>
      </c>
      <c r="H2353" s="99" t="n">
        <f aca="false">IF(AND(6&lt;=Hold_Yrs,6-ROUND(Rec_Lag,0)&gt;=1),INDEX($C838:$L838,1,6-ROUND(Rec_Lag,0))*(1-Sev),0)</f>
        <v>0</v>
      </c>
      <c r="I2353" s="99" t="n">
        <f aca="false">IF(AND(7&lt;=Hold_Yrs,7-ROUND(Rec_Lag,0)&gt;=1),INDEX($C838:$L838,1,7-ROUND(Rec_Lag,0))*(1-Sev),0)</f>
        <v>0</v>
      </c>
      <c r="J2353" s="99" t="n">
        <f aca="false">IF(AND(8&lt;=Hold_Yrs,8-ROUND(Rec_Lag,0)&gt;=1),INDEX($C838:$L838,1,8-ROUND(Rec_Lag,0))*(1-Sev),0)</f>
        <v>0</v>
      </c>
      <c r="K2353" s="99" t="n">
        <f aca="false">IF(AND(9&lt;=Hold_Yrs,9-ROUND(Rec_Lag,0)&gt;=1),INDEX($C838:$L838,1,9-ROUND(Rec_Lag,0))*(1-Sev),0)</f>
        <v>0</v>
      </c>
      <c r="L2353" s="99" t="n">
        <f aca="false">IF(AND(10&lt;=Hold_Yrs,10-ROUND(Rec_Lag,0)&gt;=1),INDEX($C838:$L838,1,10-ROUND(Rec_Lag,0))*(1-Sev),0)</f>
        <v>0</v>
      </c>
    </row>
    <row r="2354" customFormat="false" ht="15" hidden="false" customHeight="false" outlineLevel="0" collapsed="false">
      <c r="B2354" s="108" t="n">
        <f aca="false">'Loan Tape'!$A229</f>
        <v>0</v>
      </c>
      <c r="C2354" s="71" t="n">
        <f aca="false">IF(AND(1&lt;=Hold_Yrs,1-ROUND(Rec_Lag,0)&gt;=1),INDEX($C839:$L839,1,1-ROUND(Rec_Lag,0))*(1-Sev),0)</f>
        <v>0</v>
      </c>
      <c r="D2354" s="71" t="n">
        <f aca="false">IF(AND(2&lt;=Hold_Yrs,2-ROUND(Rec_Lag,0)&gt;=1),INDEX($C839:$L839,1,2-ROUND(Rec_Lag,0))*(1-Sev),0)</f>
        <v>0</v>
      </c>
      <c r="E2354" s="71" t="n">
        <f aca="false">IF(AND(3&lt;=Hold_Yrs,3-ROUND(Rec_Lag,0)&gt;=1),INDEX($C839:$L839,1,3-ROUND(Rec_Lag,0))*(1-Sev),0)</f>
        <v>0</v>
      </c>
      <c r="F2354" s="71" t="n">
        <f aca="false">IF(AND(4&lt;=Hold_Yrs,4-ROUND(Rec_Lag,0)&gt;=1),INDEX($C839:$L839,1,4-ROUND(Rec_Lag,0))*(1-Sev),0)</f>
        <v>0</v>
      </c>
      <c r="G2354" s="71" t="n">
        <f aca="false">IF(AND(5&lt;=Hold_Yrs,5-ROUND(Rec_Lag,0)&gt;=1),INDEX($C839:$L839,1,5-ROUND(Rec_Lag,0))*(1-Sev),0)</f>
        <v>0</v>
      </c>
      <c r="H2354" s="71" t="n">
        <f aca="false">IF(AND(6&lt;=Hold_Yrs,6-ROUND(Rec_Lag,0)&gt;=1),INDEX($C839:$L839,1,6-ROUND(Rec_Lag,0))*(1-Sev),0)</f>
        <v>0</v>
      </c>
      <c r="I2354" s="71" t="n">
        <f aca="false">IF(AND(7&lt;=Hold_Yrs,7-ROUND(Rec_Lag,0)&gt;=1),INDEX($C839:$L839,1,7-ROUND(Rec_Lag,0))*(1-Sev),0)</f>
        <v>0</v>
      </c>
      <c r="J2354" s="71" t="n">
        <f aca="false">IF(AND(8&lt;=Hold_Yrs,8-ROUND(Rec_Lag,0)&gt;=1),INDEX($C839:$L839,1,8-ROUND(Rec_Lag,0))*(1-Sev),0)</f>
        <v>0</v>
      </c>
      <c r="K2354" s="71" t="n">
        <f aca="false">IF(AND(9&lt;=Hold_Yrs,9-ROUND(Rec_Lag,0)&gt;=1),INDEX($C839:$L839,1,9-ROUND(Rec_Lag,0))*(1-Sev),0)</f>
        <v>0</v>
      </c>
      <c r="L2354" s="71" t="n">
        <f aca="false">IF(AND(10&lt;=Hold_Yrs,10-ROUND(Rec_Lag,0)&gt;=1),INDEX($C839:$L839,1,10-ROUND(Rec_Lag,0))*(1-Sev),0)</f>
        <v>0</v>
      </c>
    </row>
    <row r="2355" customFormat="false" ht="15" hidden="false" customHeight="false" outlineLevel="0" collapsed="false">
      <c r="B2355" s="102" t="n">
        <f aca="false">'Loan Tape'!$A230</f>
        <v>0</v>
      </c>
      <c r="C2355" s="99" t="n">
        <f aca="false">IF(AND(1&lt;=Hold_Yrs,1-ROUND(Rec_Lag,0)&gt;=1),INDEX($C840:$L840,1,1-ROUND(Rec_Lag,0))*(1-Sev),0)</f>
        <v>0</v>
      </c>
      <c r="D2355" s="99" t="n">
        <f aca="false">IF(AND(2&lt;=Hold_Yrs,2-ROUND(Rec_Lag,0)&gt;=1),INDEX($C840:$L840,1,2-ROUND(Rec_Lag,0))*(1-Sev),0)</f>
        <v>0</v>
      </c>
      <c r="E2355" s="99" t="n">
        <f aca="false">IF(AND(3&lt;=Hold_Yrs,3-ROUND(Rec_Lag,0)&gt;=1),INDEX($C840:$L840,1,3-ROUND(Rec_Lag,0))*(1-Sev),0)</f>
        <v>0</v>
      </c>
      <c r="F2355" s="99" t="n">
        <f aca="false">IF(AND(4&lt;=Hold_Yrs,4-ROUND(Rec_Lag,0)&gt;=1),INDEX($C840:$L840,1,4-ROUND(Rec_Lag,0))*(1-Sev),0)</f>
        <v>0</v>
      </c>
      <c r="G2355" s="99" t="n">
        <f aca="false">IF(AND(5&lt;=Hold_Yrs,5-ROUND(Rec_Lag,0)&gt;=1),INDEX($C840:$L840,1,5-ROUND(Rec_Lag,0))*(1-Sev),0)</f>
        <v>0</v>
      </c>
      <c r="H2355" s="99" t="n">
        <f aca="false">IF(AND(6&lt;=Hold_Yrs,6-ROUND(Rec_Lag,0)&gt;=1),INDEX($C840:$L840,1,6-ROUND(Rec_Lag,0))*(1-Sev),0)</f>
        <v>0</v>
      </c>
      <c r="I2355" s="99" t="n">
        <f aca="false">IF(AND(7&lt;=Hold_Yrs,7-ROUND(Rec_Lag,0)&gt;=1),INDEX($C840:$L840,1,7-ROUND(Rec_Lag,0))*(1-Sev),0)</f>
        <v>0</v>
      </c>
      <c r="J2355" s="99" t="n">
        <f aca="false">IF(AND(8&lt;=Hold_Yrs,8-ROUND(Rec_Lag,0)&gt;=1),INDEX($C840:$L840,1,8-ROUND(Rec_Lag,0))*(1-Sev),0)</f>
        <v>0</v>
      </c>
      <c r="K2355" s="99" t="n">
        <f aca="false">IF(AND(9&lt;=Hold_Yrs,9-ROUND(Rec_Lag,0)&gt;=1),INDEX($C840:$L840,1,9-ROUND(Rec_Lag,0))*(1-Sev),0)</f>
        <v>0</v>
      </c>
      <c r="L2355" s="99" t="n">
        <f aca="false">IF(AND(10&lt;=Hold_Yrs,10-ROUND(Rec_Lag,0)&gt;=1),INDEX($C840:$L840,1,10-ROUND(Rec_Lag,0))*(1-Sev),0)</f>
        <v>0</v>
      </c>
    </row>
    <row r="2356" customFormat="false" ht="15" hidden="false" customHeight="false" outlineLevel="0" collapsed="false">
      <c r="B2356" s="108" t="n">
        <f aca="false">'Loan Tape'!$A231</f>
        <v>0</v>
      </c>
      <c r="C2356" s="71" t="n">
        <f aca="false">IF(AND(1&lt;=Hold_Yrs,1-ROUND(Rec_Lag,0)&gt;=1),INDEX($C841:$L841,1,1-ROUND(Rec_Lag,0))*(1-Sev),0)</f>
        <v>0</v>
      </c>
      <c r="D2356" s="71" t="n">
        <f aca="false">IF(AND(2&lt;=Hold_Yrs,2-ROUND(Rec_Lag,0)&gt;=1),INDEX($C841:$L841,1,2-ROUND(Rec_Lag,0))*(1-Sev),0)</f>
        <v>0</v>
      </c>
      <c r="E2356" s="71" t="n">
        <f aca="false">IF(AND(3&lt;=Hold_Yrs,3-ROUND(Rec_Lag,0)&gt;=1),INDEX($C841:$L841,1,3-ROUND(Rec_Lag,0))*(1-Sev),0)</f>
        <v>0</v>
      </c>
      <c r="F2356" s="71" t="n">
        <f aca="false">IF(AND(4&lt;=Hold_Yrs,4-ROUND(Rec_Lag,0)&gt;=1),INDEX($C841:$L841,1,4-ROUND(Rec_Lag,0))*(1-Sev),0)</f>
        <v>0</v>
      </c>
      <c r="G2356" s="71" t="n">
        <f aca="false">IF(AND(5&lt;=Hold_Yrs,5-ROUND(Rec_Lag,0)&gt;=1),INDEX($C841:$L841,1,5-ROUND(Rec_Lag,0))*(1-Sev),0)</f>
        <v>0</v>
      </c>
      <c r="H2356" s="71" t="n">
        <f aca="false">IF(AND(6&lt;=Hold_Yrs,6-ROUND(Rec_Lag,0)&gt;=1),INDEX($C841:$L841,1,6-ROUND(Rec_Lag,0))*(1-Sev),0)</f>
        <v>0</v>
      </c>
      <c r="I2356" s="71" t="n">
        <f aca="false">IF(AND(7&lt;=Hold_Yrs,7-ROUND(Rec_Lag,0)&gt;=1),INDEX($C841:$L841,1,7-ROUND(Rec_Lag,0))*(1-Sev),0)</f>
        <v>0</v>
      </c>
      <c r="J2356" s="71" t="n">
        <f aca="false">IF(AND(8&lt;=Hold_Yrs,8-ROUND(Rec_Lag,0)&gt;=1),INDEX($C841:$L841,1,8-ROUND(Rec_Lag,0))*(1-Sev),0)</f>
        <v>0</v>
      </c>
      <c r="K2356" s="71" t="n">
        <f aca="false">IF(AND(9&lt;=Hold_Yrs,9-ROUND(Rec_Lag,0)&gt;=1),INDEX($C841:$L841,1,9-ROUND(Rec_Lag,0))*(1-Sev),0)</f>
        <v>0</v>
      </c>
      <c r="L2356" s="71" t="n">
        <f aca="false">IF(AND(10&lt;=Hold_Yrs,10-ROUND(Rec_Lag,0)&gt;=1),INDEX($C841:$L841,1,10-ROUND(Rec_Lag,0))*(1-Sev),0)</f>
        <v>0</v>
      </c>
    </row>
    <row r="2357" customFormat="false" ht="15" hidden="false" customHeight="false" outlineLevel="0" collapsed="false">
      <c r="B2357" s="102" t="n">
        <f aca="false">'Loan Tape'!$A232</f>
        <v>0</v>
      </c>
      <c r="C2357" s="99" t="n">
        <f aca="false">IF(AND(1&lt;=Hold_Yrs,1-ROUND(Rec_Lag,0)&gt;=1),INDEX($C842:$L842,1,1-ROUND(Rec_Lag,0))*(1-Sev),0)</f>
        <v>0</v>
      </c>
      <c r="D2357" s="99" t="n">
        <f aca="false">IF(AND(2&lt;=Hold_Yrs,2-ROUND(Rec_Lag,0)&gt;=1),INDEX($C842:$L842,1,2-ROUND(Rec_Lag,0))*(1-Sev),0)</f>
        <v>0</v>
      </c>
      <c r="E2357" s="99" t="n">
        <f aca="false">IF(AND(3&lt;=Hold_Yrs,3-ROUND(Rec_Lag,0)&gt;=1),INDEX($C842:$L842,1,3-ROUND(Rec_Lag,0))*(1-Sev),0)</f>
        <v>0</v>
      </c>
      <c r="F2357" s="99" t="n">
        <f aca="false">IF(AND(4&lt;=Hold_Yrs,4-ROUND(Rec_Lag,0)&gt;=1),INDEX($C842:$L842,1,4-ROUND(Rec_Lag,0))*(1-Sev),0)</f>
        <v>0</v>
      </c>
      <c r="G2357" s="99" t="n">
        <f aca="false">IF(AND(5&lt;=Hold_Yrs,5-ROUND(Rec_Lag,0)&gt;=1),INDEX($C842:$L842,1,5-ROUND(Rec_Lag,0))*(1-Sev),0)</f>
        <v>0</v>
      </c>
      <c r="H2357" s="99" t="n">
        <f aca="false">IF(AND(6&lt;=Hold_Yrs,6-ROUND(Rec_Lag,0)&gt;=1),INDEX($C842:$L842,1,6-ROUND(Rec_Lag,0))*(1-Sev),0)</f>
        <v>0</v>
      </c>
      <c r="I2357" s="99" t="n">
        <f aca="false">IF(AND(7&lt;=Hold_Yrs,7-ROUND(Rec_Lag,0)&gt;=1),INDEX($C842:$L842,1,7-ROUND(Rec_Lag,0))*(1-Sev),0)</f>
        <v>0</v>
      </c>
      <c r="J2357" s="99" t="n">
        <f aca="false">IF(AND(8&lt;=Hold_Yrs,8-ROUND(Rec_Lag,0)&gt;=1),INDEX($C842:$L842,1,8-ROUND(Rec_Lag,0))*(1-Sev),0)</f>
        <v>0</v>
      </c>
      <c r="K2357" s="99" t="n">
        <f aca="false">IF(AND(9&lt;=Hold_Yrs,9-ROUND(Rec_Lag,0)&gt;=1),INDEX($C842:$L842,1,9-ROUND(Rec_Lag,0))*(1-Sev),0)</f>
        <v>0</v>
      </c>
      <c r="L2357" s="99" t="n">
        <f aca="false">IF(AND(10&lt;=Hold_Yrs,10-ROUND(Rec_Lag,0)&gt;=1),INDEX($C842:$L842,1,10-ROUND(Rec_Lag,0))*(1-Sev),0)</f>
        <v>0</v>
      </c>
    </row>
    <row r="2358" customFormat="false" ht="15" hidden="false" customHeight="false" outlineLevel="0" collapsed="false">
      <c r="B2358" s="108" t="n">
        <f aca="false">'Loan Tape'!$A233</f>
        <v>0</v>
      </c>
      <c r="C2358" s="71" t="n">
        <f aca="false">IF(AND(1&lt;=Hold_Yrs,1-ROUND(Rec_Lag,0)&gt;=1),INDEX($C843:$L843,1,1-ROUND(Rec_Lag,0))*(1-Sev),0)</f>
        <v>0</v>
      </c>
      <c r="D2358" s="71" t="n">
        <f aca="false">IF(AND(2&lt;=Hold_Yrs,2-ROUND(Rec_Lag,0)&gt;=1),INDEX($C843:$L843,1,2-ROUND(Rec_Lag,0))*(1-Sev),0)</f>
        <v>0</v>
      </c>
      <c r="E2358" s="71" t="n">
        <f aca="false">IF(AND(3&lt;=Hold_Yrs,3-ROUND(Rec_Lag,0)&gt;=1),INDEX($C843:$L843,1,3-ROUND(Rec_Lag,0))*(1-Sev),0)</f>
        <v>0</v>
      </c>
      <c r="F2358" s="71" t="n">
        <f aca="false">IF(AND(4&lt;=Hold_Yrs,4-ROUND(Rec_Lag,0)&gt;=1),INDEX($C843:$L843,1,4-ROUND(Rec_Lag,0))*(1-Sev),0)</f>
        <v>0</v>
      </c>
      <c r="G2358" s="71" t="n">
        <f aca="false">IF(AND(5&lt;=Hold_Yrs,5-ROUND(Rec_Lag,0)&gt;=1),INDEX($C843:$L843,1,5-ROUND(Rec_Lag,0))*(1-Sev),0)</f>
        <v>0</v>
      </c>
      <c r="H2358" s="71" t="n">
        <f aca="false">IF(AND(6&lt;=Hold_Yrs,6-ROUND(Rec_Lag,0)&gt;=1),INDEX($C843:$L843,1,6-ROUND(Rec_Lag,0))*(1-Sev),0)</f>
        <v>0</v>
      </c>
      <c r="I2358" s="71" t="n">
        <f aca="false">IF(AND(7&lt;=Hold_Yrs,7-ROUND(Rec_Lag,0)&gt;=1),INDEX($C843:$L843,1,7-ROUND(Rec_Lag,0))*(1-Sev),0)</f>
        <v>0</v>
      </c>
      <c r="J2358" s="71" t="n">
        <f aca="false">IF(AND(8&lt;=Hold_Yrs,8-ROUND(Rec_Lag,0)&gt;=1),INDEX($C843:$L843,1,8-ROUND(Rec_Lag,0))*(1-Sev),0)</f>
        <v>0</v>
      </c>
      <c r="K2358" s="71" t="n">
        <f aca="false">IF(AND(9&lt;=Hold_Yrs,9-ROUND(Rec_Lag,0)&gt;=1),INDEX($C843:$L843,1,9-ROUND(Rec_Lag,0))*(1-Sev),0)</f>
        <v>0</v>
      </c>
      <c r="L2358" s="71" t="n">
        <f aca="false">IF(AND(10&lt;=Hold_Yrs,10-ROUND(Rec_Lag,0)&gt;=1),INDEX($C843:$L843,1,10-ROUND(Rec_Lag,0))*(1-Sev),0)</f>
        <v>0</v>
      </c>
    </row>
    <row r="2359" customFormat="false" ht="15" hidden="false" customHeight="false" outlineLevel="0" collapsed="false">
      <c r="B2359" s="102" t="n">
        <f aca="false">'Loan Tape'!$A234</f>
        <v>0</v>
      </c>
      <c r="C2359" s="99" t="n">
        <f aca="false">IF(AND(1&lt;=Hold_Yrs,1-ROUND(Rec_Lag,0)&gt;=1),INDEX($C844:$L844,1,1-ROUND(Rec_Lag,0))*(1-Sev),0)</f>
        <v>0</v>
      </c>
      <c r="D2359" s="99" t="n">
        <f aca="false">IF(AND(2&lt;=Hold_Yrs,2-ROUND(Rec_Lag,0)&gt;=1),INDEX($C844:$L844,1,2-ROUND(Rec_Lag,0))*(1-Sev),0)</f>
        <v>0</v>
      </c>
      <c r="E2359" s="99" t="n">
        <f aca="false">IF(AND(3&lt;=Hold_Yrs,3-ROUND(Rec_Lag,0)&gt;=1),INDEX($C844:$L844,1,3-ROUND(Rec_Lag,0))*(1-Sev),0)</f>
        <v>0</v>
      </c>
      <c r="F2359" s="99" t="n">
        <f aca="false">IF(AND(4&lt;=Hold_Yrs,4-ROUND(Rec_Lag,0)&gt;=1),INDEX($C844:$L844,1,4-ROUND(Rec_Lag,0))*(1-Sev),0)</f>
        <v>0</v>
      </c>
      <c r="G2359" s="99" t="n">
        <f aca="false">IF(AND(5&lt;=Hold_Yrs,5-ROUND(Rec_Lag,0)&gt;=1),INDEX($C844:$L844,1,5-ROUND(Rec_Lag,0))*(1-Sev),0)</f>
        <v>0</v>
      </c>
      <c r="H2359" s="99" t="n">
        <f aca="false">IF(AND(6&lt;=Hold_Yrs,6-ROUND(Rec_Lag,0)&gt;=1),INDEX($C844:$L844,1,6-ROUND(Rec_Lag,0))*(1-Sev),0)</f>
        <v>0</v>
      </c>
      <c r="I2359" s="99" t="n">
        <f aca="false">IF(AND(7&lt;=Hold_Yrs,7-ROUND(Rec_Lag,0)&gt;=1),INDEX($C844:$L844,1,7-ROUND(Rec_Lag,0))*(1-Sev),0)</f>
        <v>0</v>
      </c>
      <c r="J2359" s="99" t="n">
        <f aca="false">IF(AND(8&lt;=Hold_Yrs,8-ROUND(Rec_Lag,0)&gt;=1),INDEX($C844:$L844,1,8-ROUND(Rec_Lag,0))*(1-Sev),0)</f>
        <v>0</v>
      </c>
      <c r="K2359" s="99" t="n">
        <f aca="false">IF(AND(9&lt;=Hold_Yrs,9-ROUND(Rec_Lag,0)&gt;=1),INDEX($C844:$L844,1,9-ROUND(Rec_Lag,0))*(1-Sev),0)</f>
        <v>0</v>
      </c>
      <c r="L2359" s="99" t="n">
        <f aca="false">IF(AND(10&lt;=Hold_Yrs,10-ROUND(Rec_Lag,0)&gt;=1),INDEX($C844:$L844,1,10-ROUND(Rec_Lag,0))*(1-Sev),0)</f>
        <v>0</v>
      </c>
    </row>
    <row r="2360" customFormat="false" ht="15" hidden="false" customHeight="false" outlineLevel="0" collapsed="false">
      <c r="B2360" s="108" t="n">
        <f aca="false">'Loan Tape'!$A235</f>
        <v>0</v>
      </c>
      <c r="C2360" s="71" t="n">
        <f aca="false">IF(AND(1&lt;=Hold_Yrs,1-ROUND(Rec_Lag,0)&gt;=1),INDEX($C845:$L845,1,1-ROUND(Rec_Lag,0))*(1-Sev),0)</f>
        <v>0</v>
      </c>
      <c r="D2360" s="71" t="n">
        <f aca="false">IF(AND(2&lt;=Hold_Yrs,2-ROUND(Rec_Lag,0)&gt;=1),INDEX($C845:$L845,1,2-ROUND(Rec_Lag,0))*(1-Sev),0)</f>
        <v>0</v>
      </c>
      <c r="E2360" s="71" t="n">
        <f aca="false">IF(AND(3&lt;=Hold_Yrs,3-ROUND(Rec_Lag,0)&gt;=1),INDEX($C845:$L845,1,3-ROUND(Rec_Lag,0))*(1-Sev),0)</f>
        <v>0</v>
      </c>
      <c r="F2360" s="71" t="n">
        <f aca="false">IF(AND(4&lt;=Hold_Yrs,4-ROUND(Rec_Lag,0)&gt;=1),INDEX($C845:$L845,1,4-ROUND(Rec_Lag,0))*(1-Sev),0)</f>
        <v>0</v>
      </c>
      <c r="G2360" s="71" t="n">
        <f aca="false">IF(AND(5&lt;=Hold_Yrs,5-ROUND(Rec_Lag,0)&gt;=1),INDEX($C845:$L845,1,5-ROUND(Rec_Lag,0))*(1-Sev),0)</f>
        <v>0</v>
      </c>
      <c r="H2360" s="71" t="n">
        <f aca="false">IF(AND(6&lt;=Hold_Yrs,6-ROUND(Rec_Lag,0)&gt;=1),INDEX($C845:$L845,1,6-ROUND(Rec_Lag,0))*(1-Sev),0)</f>
        <v>0</v>
      </c>
      <c r="I2360" s="71" t="n">
        <f aca="false">IF(AND(7&lt;=Hold_Yrs,7-ROUND(Rec_Lag,0)&gt;=1),INDEX($C845:$L845,1,7-ROUND(Rec_Lag,0))*(1-Sev),0)</f>
        <v>0</v>
      </c>
      <c r="J2360" s="71" t="n">
        <f aca="false">IF(AND(8&lt;=Hold_Yrs,8-ROUND(Rec_Lag,0)&gt;=1),INDEX($C845:$L845,1,8-ROUND(Rec_Lag,0))*(1-Sev),0)</f>
        <v>0</v>
      </c>
      <c r="K2360" s="71" t="n">
        <f aca="false">IF(AND(9&lt;=Hold_Yrs,9-ROUND(Rec_Lag,0)&gt;=1),INDEX($C845:$L845,1,9-ROUND(Rec_Lag,0))*(1-Sev),0)</f>
        <v>0</v>
      </c>
      <c r="L2360" s="71" t="n">
        <f aca="false">IF(AND(10&lt;=Hold_Yrs,10-ROUND(Rec_Lag,0)&gt;=1),INDEX($C845:$L845,1,10-ROUND(Rec_Lag,0))*(1-Sev),0)</f>
        <v>0</v>
      </c>
    </row>
    <row r="2361" customFormat="false" ht="15" hidden="false" customHeight="false" outlineLevel="0" collapsed="false">
      <c r="B2361" s="102" t="n">
        <f aca="false">'Loan Tape'!$A236</f>
        <v>0</v>
      </c>
      <c r="C2361" s="99" t="n">
        <f aca="false">IF(AND(1&lt;=Hold_Yrs,1-ROUND(Rec_Lag,0)&gt;=1),INDEX($C846:$L846,1,1-ROUND(Rec_Lag,0))*(1-Sev),0)</f>
        <v>0</v>
      </c>
      <c r="D2361" s="99" t="n">
        <f aca="false">IF(AND(2&lt;=Hold_Yrs,2-ROUND(Rec_Lag,0)&gt;=1),INDEX($C846:$L846,1,2-ROUND(Rec_Lag,0))*(1-Sev),0)</f>
        <v>0</v>
      </c>
      <c r="E2361" s="99" t="n">
        <f aca="false">IF(AND(3&lt;=Hold_Yrs,3-ROUND(Rec_Lag,0)&gt;=1),INDEX($C846:$L846,1,3-ROUND(Rec_Lag,0))*(1-Sev),0)</f>
        <v>0</v>
      </c>
      <c r="F2361" s="99" t="n">
        <f aca="false">IF(AND(4&lt;=Hold_Yrs,4-ROUND(Rec_Lag,0)&gt;=1),INDEX($C846:$L846,1,4-ROUND(Rec_Lag,0))*(1-Sev),0)</f>
        <v>0</v>
      </c>
      <c r="G2361" s="99" t="n">
        <f aca="false">IF(AND(5&lt;=Hold_Yrs,5-ROUND(Rec_Lag,0)&gt;=1),INDEX($C846:$L846,1,5-ROUND(Rec_Lag,0))*(1-Sev),0)</f>
        <v>0</v>
      </c>
      <c r="H2361" s="99" t="n">
        <f aca="false">IF(AND(6&lt;=Hold_Yrs,6-ROUND(Rec_Lag,0)&gt;=1),INDEX($C846:$L846,1,6-ROUND(Rec_Lag,0))*(1-Sev),0)</f>
        <v>0</v>
      </c>
      <c r="I2361" s="99" t="n">
        <f aca="false">IF(AND(7&lt;=Hold_Yrs,7-ROUND(Rec_Lag,0)&gt;=1),INDEX($C846:$L846,1,7-ROUND(Rec_Lag,0))*(1-Sev),0)</f>
        <v>0</v>
      </c>
      <c r="J2361" s="99" t="n">
        <f aca="false">IF(AND(8&lt;=Hold_Yrs,8-ROUND(Rec_Lag,0)&gt;=1),INDEX($C846:$L846,1,8-ROUND(Rec_Lag,0))*(1-Sev),0)</f>
        <v>0</v>
      </c>
      <c r="K2361" s="99" t="n">
        <f aca="false">IF(AND(9&lt;=Hold_Yrs,9-ROUND(Rec_Lag,0)&gt;=1),INDEX($C846:$L846,1,9-ROUND(Rec_Lag,0))*(1-Sev),0)</f>
        <v>0</v>
      </c>
      <c r="L2361" s="99" t="n">
        <f aca="false">IF(AND(10&lt;=Hold_Yrs,10-ROUND(Rec_Lag,0)&gt;=1),INDEX($C846:$L846,1,10-ROUND(Rec_Lag,0))*(1-Sev),0)</f>
        <v>0</v>
      </c>
    </row>
    <row r="2362" customFormat="false" ht="15" hidden="false" customHeight="false" outlineLevel="0" collapsed="false">
      <c r="B2362" s="108" t="n">
        <f aca="false">'Loan Tape'!$A237</f>
        <v>0</v>
      </c>
      <c r="C2362" s="71" t="n">
        <f aca="false">IF(AND(1&lt;=Hold_Yrs,1-ROUND(Rec_Lag,0)&gt;=1),INDEX($C847:$L847,1,1-ROUND(Rec_Lag,0))*(1-Sev),0)</f>
        <v>0</v>
      </c>
      <c r="D2362" s="71" t="n">
        <f aca="false">IF(AND(2&lt;=Hold_Yrs,2-ROUND(Rec_Lag,0)&gt;=1),INDEX($C847:$L847,1,2-ROUND(Rec_Lag,0))*(1-Sev),0)</f>
        <v>0</v>
      </c>
      <c r="E2362" s="71" t="n">
        <f aca="false">IF(AND(3&lt;=Hold_Yrs,3-ROUND(Rec_Lag,0)&gt;=1),INDEX($C847:$L847,1,3-ROUND(Rec_Lag,0))*(1-Sev),0)</f>
        <v>0</v>
      </c>
      <c r="F2362" s="71" t="n">
        <f aca="false">IF(AND(4&lt;=Hold_Yrs,4-ROUND(Rec_Lag,0)&gt;=1),INDEX($C847:$L847,1,4-ROUND(Rec_Lag,0))*(1-Sev),0)</f>
        <v>0</v>
      </c>
      <c r="G2362" s="71" t="n">
        <f aca="false">IF(AND(5&lt;=Hold_Yrs,5-ROUND(Rec_Lag,0)&gt;=1),INDEX($C847:$L847,1,5-ROUND(Rec_Lag,0))*(1-Sev),0)</f>
        <v>0</v>
      </c>
      <c r="H2362" s="71" t="n">
        <f aca="false">IF(AND(6&lt;=Hold_Yrs,6-ROUND(Rec_Lag,0)&gt;=1),INDEX($C847:$L847,1,6-ROUND(Rec_Lag,0))*(1-Sev),0)</f>
        <v>0</v>
      </c>
      <c r="I2362" s="71" t="n">
        <f aca="false">IF(AND(7&lt;=Hold_Yrs,7-ROUND(Rec_Lag,0)&gt;=1),INDEX($C847:$L847,1,7-ROUND(Rec_Lag,0))*(1-Sev),0)</f>
        <v>0</v>
      </c>
      <c r="J2362" s="71" t="n">
        <f aca="false">IF(AND(8&lt;=Hold_Yrs,8-ROUND(Rec_Lag,0)&gt;=1),INDEX($C847:$L847,1,8-ROUND(Rec_Lag,0))*(1-Sev),0)</f>
        <v>0</v>
      </c>
      <c r="K2362" s="71" t="n">
        <f aca="false">IF(AND(9&lt;=Hold_Yrs,9-ROUND(Rec_Lag,0)&gt;=1),INDEX($C847:$L847,1,9-ROUND(Rec_Lag,0))*(1-Sev),0)</f>
        <v>0</v>
      </c>
      <c r="L2362" s="71" t="n">
        <f aca="false">IF(AND(10&lt;=Hold_Yrs,10-ROUND(Rec_Lag,0)&gt;=1),INDEX($C847:$L847,1,10-ROUND(Rec_Lag,0))*(1-Sev),0)</f>
        <v>0</v>
      </c>
    </row>
    <row r="2363" customFormat="false" ht="15" hidden="false" customHeight="false" outlineLevel="0" collapsed="false">
      <c r="B2363" s="102" t="n">
        <f aca="false">'Loan Tape'!$A238</f>
        <v>0</v>
      </c>
      <c r="C2363" s="99" t="n">
        <f aca="false">IF(AND(1&lt;=Hold_Yrs,1-ROUND(Rec_Lag,0)&gt;=1),INDEX($C848:$L848,1,1-ROUND(Rec_Lag,0))*(1-Sev),0)</f>
        <v>0</v>
      </c>
      <c r="D2363" s="99" t="n">
        <f aca="false">IF(AND(2&lt;=Hold_Yrs,2-ROUND(Rec_Lag,0)&gt;=1),INDEX($C848:$L848,1,2-ROUND(Rec_Lag,0))*(1-Sev),0)</f>
        <v>0</v>
      </c>
      <c r="E2363" s="99" t="n">
        <f aca="false">IF(AND(3&lt;=Hold_Yrs,3-ROUND(Rec_Lag,0)&gt;=1),INDEX($C848:$L848,1,3-ROUND(Rec_Lag,0))*(1-Sev),0)</f>
        <v>0</v>
      </c>
      <c r="F2363" s="99" t="n">
        <f aca="false">IF(AND(4&lt;=Hold_Yrs,4-ROUND(Rec_Lag,0)&gt;=1),INDEX($C848:$L848,1,4-ROUND(Rec_Lag,0))*(1-Sev),0)</f>
        <v>0</v>
      </c>
      <c r="G2363" s="99" t="n">
        <f aca="false">IF(AND(5&lt;=Hold_Yrs,5-ROUND(Rec_Lag,0)&gt;=1),INDEX($C848:$L848,1,5-ROUND(Rec_Lag,0))*(1-Sev),0)</f>
        <v>0</v>
      </c>
      <c r="H2363" s="99" t="n">
        <f aca="false">IF(AND(6&lt;=Hold_Yrs,6-ROUND(Rec_Lag,0)&gt;=1),INDEX($C848:$L848,1,6-ROUND(Rec_Lag,0))*(1-Sev),0)</f>
        <v>0</v>
      </c>
      <c r="I2363" s="99" t="n">
        <f aca="false">IF(AND(7&lt;=Hold_Yrs,7-ROUND(Rec_Lag,0)&gt;=1),INDEX($C848:$L848,1,7-ROUND(Rec_Lag,0))*(1-Sev),0)</f>
        <v>0</v>
      </c>
      <c r="J2363" s="99" t="n">
        <f aca="false">IF(AND(8&lt;=Hold_Yrs,8-ROUND(Rec_Lag,0)&gt;=1),INDEX($C848:$L848,1,8-ROUND(Rec_Lag,0))*(1-Sev),0)</f>
        <v>0</v>
      </c>
      <c r="K2363" s="99" t="n">
        <f aca="false">IF(AND(9&lt;=Hold_Yrs,9-ROUND(Rec_Lag,0)&gt;=1),INDEX($C848:$L848,1,9-ROUND(Rec_Lag,0))*(1-Sev),0)</f>
        <v>0</v>
      </c>
      <c r="L2363" s="99" t="n">
        <f aca="false">IF(AND(10&lt;=Hold_Yrs,10-ROUND(Rec_Lag,0)&gt;=1),INDEX($C848:$L848,1,10-ROUND(Rec_Lag,0))*(1-Sev),0)</f>
        <v>0</v>
      </c>
    </row>
    <row r="2364" customFormat="false" ht="15" hidden="false" customHeight="false" outlineLevel="0" collapsed="false">
      <c r="B2364" s="108" t="n">
        <f aca="false">'Loan Tape'!$A239</f>
        <v>0</v>
      </c>
      <c r="C2364" s="71" t="n">
        <f aca="false">IF(AND(1&lt;=Hold_Yrs,1-ROUND(Rec_Lag,0)&gt;=1),INDEX($C849:$L849,1,1-ROUND(Rec_Lag,0))*(1-Sev),0)</f>
        <v>0</v>
      </c>
      <c r="D2364" s="71" t="n">
        <f aca="false">IF(AND(2&lt;=Hold_Yrs,2-ROUND(Rec_Lag,0)&gt;=1),INDEX($C849:$L849,1,2-ROUND(Rec_Lag,0))*(1-Sev),0)</f>
        <v>0</v>
      </c>
      <c r="E2364" s="71" t="n">
        <f aca="false">IF(AND(3&lt;=Hold_Yrs,3-ROUND(Rec_Lag,0)&gt;=1),INDEX($C849:$L849,1,3-ROUND(Rec_Lag,0))*(1-Sev),0)</f>
        <v>0</v>
      </c>
      <c r="F2364" s="71" t="n">
        <f aca="false">IF(AND(4&lt;=Hold_Yrs,4-ROUND(Rec_Lag,0)&gt;=1),INDEX($C849:$L849,1,4-ROUND(Rec_Lag,0))*(1-Sev),0)</f>
        <v>0</v>
      </c>
      <c r="G2364" s="71" t="n">
        <f aca="false">IF(AND(5&lt;=Hold_Yrs,5-ROUND(Rec_Lag,0)&gt;=1),INDEX($C849:$L849,1,5-ROUND(Rec_Lag,0))*(1-Sev),0)</f>
        <v>0</v>
      </c>
      <c r="H2364" s="71" t="n">
        <f aca="false">IF(AND(6&lt;=Hold_Yrs,6-ROUND(Rec_Lag,0)&gt;=1),INDEX($C849:$L849,1,6-ROUND(Rec_Lag,0))*(1-Sev),0)</f>
        <v>0</v>
      </c>
      <c r="I2364" s="71" t="n">
        <f aca="false">IF(AND(7&lt;=Hold_Yrs,7-ROUND(Rec_Lag,0)&gt;=1),INDEX($C849:$L849,1,7-ROUND(Rec_Lag,0))*(1-Sev),0)</f>
        <v>0</v>
      </c>
      <c r="J2364" s="71" t="n">
        <f aca="false">IF(AND(8&lt;=Hold_Yrs,8-ROUND(Rec_Lag,0)&gt;=1),INDEX($C849:$L849,1,8-ROUND(Rec_Lag,0))*(1-Sev),0)</f>
        <v>0</v>
      </c>
      <c r="K2364" s="71" t="n">
        <f aca="false">IF(AND(9&lt;=Hold_Yrs,9-ROUND(Rec_Lag,0)&gt;=1),INDEX($C849:$L849,1,9-ROUND(Rec_Lag,0))*(1-Sev),0)</f>
        <v>0</v>
      </c>
      <c r="L2364" s="71" t="n">
        <f aca="false">IF(AND(10&lt;=Hold_Yrs,10-ROUND(Rec_Lag,0)&gt;=1),INDEX($C849:$L849,1,10-ROUND(Rec_Lag,0))*(1-Sev),0)</f>
        <v>0</v>
      </c>
    </row>
    <row r="2365" customFormat="false" ht="15" hidden="false" customHeight="false" outlineLevel="0" collapsed="false">
      <c r="B2365" s="102" t="n">
        <f aca="false">'Loan Tape'!$A240</f>
        <v>0</v>
      </c>
      <c r="C2365" s="99" t="n">
        <f aca="false">IF(AND(1&lt;=Hold_Yrs,1-ROUND(Rec_Lag,0)&gt;=1),INDEX($C850:$L850,1,1-ROUND(Rec_Lag,0))*(1-Sev),0)</f>
        <v>0</v>
      </c>
      <c r="D2365" s="99" t="n">
        <f aca="false">IF(AND(2&lt;=Hold_Yrs,2-ROUND(Rec_Lag,0)&gt;=1),INDEX($C850:$L850,1,2-ROUND(Rec_Lag,0))*(1-Sev),0)</f>
        <v>0</v>
      </c>
      <c r="E2365" s="99" t="n">
        <f aca="false">IF(AND(3&lt;=Hold_Yrs,3-ROUND(Rec_Lag,0)&gt;=1),INDEX($C850:$L850,1,3-ROUND(Rec_Lag,0))*(1-Sev),0)</f>
        <v>0</v>
      </c>
      <c r="F2365" s="99" t="n">
        <f aca="false">IF(AND(4&lt;=Hold_Yrs,4-ROUND(Rec_Lag,0)&gt;=1),INDEX($C850:$L850,1,4-ROUND(Rec_Lag,0))*(1-Sev),0)</f>
        <v>0</v>
      </c>
      <c r="G2365" s="99" t="n">
        <f aca="false">IF(AND(5&lt;=Hold_Yrs,5-ROUND(Rec_Lag,0)&gt;=1),INDEX($C850:$L850,1,5-ROUND(Rec_Lag,0))*(1-Sev),0)</f>
        <v>0</v>
      </c>
      <c r="H2365" s="99" t="n">
        <f aca="false">IF(AND(6&lt;=Hold_Yrs,6-ROUND(Rec_Lag,0)&gt;=1),INDEX($C850:$L850,1,6-ROUND(Rec_Lag,0))*(1-Sev),0)</f>
        <v>0</v>
      </c>
      <c r="I2365" s="99" t="n">
        <f aca="false">IF(AND(7&lt;=Hold_Yrs,7-ROUND(Rec_Lag,0)&gt;=1),INDEX($C850:$L850,1,7-ROUND(Rec_Lag,0))*(1-Sev),0)</f>
        <v>0</v>
      </c>
      <c r="J2365" s="99" t="n">
        <f aca="false">IF(AND(8&lt;=Hold_Yrs,8-ROUND(Rec_Lag,0)&gt;=1),INDEX($C850:$L850,1,8-ROUND(Rec_Lag,0))*(1-Sev),0)</f>
        <v>0</v>
      </c>
      <c r="K2365" s="99" t="n">
        <f aca="false">IF(AND(9&lt;=Hold_Yrs,9-ROUND(Rec_Lag,0)&gt;=1),INDEX($C850:$L850,1,9-ROUND(Rec_Lag,0))*(1-Sev),0)</f>
        <v>0</v>
      </c>
      <c r="L2365" s="99" t="n">
        <f aca="false">IF(AND(10&lt;=Hold_Yrs,10-ROUND(Rec_Lag,0)&gt;=1),INDEX($C850:$L850,1,10-ROUND(Rec_Lag,0))*(1-Sev),0)</f>
        <v>0</v>
      </c>
    </row>
    <row r="2366" customFormat="false" ht="15" hidden="false" customHeight="false" outlineLevel="0" collapsed="false">
      <c r="B2366" s="108" t="n">
        <f aca="false">'Loan Tape'!$A241</f>
        <v>0</v>
      </c>
      <c r="C2366" s="71" t="n">
        <f aca="false">IF(AND(1&lt;=Hold_Yrs,1-ROUND(Rec_Lag,0)&gt;=1),INDEX($C851:$L851,1,1-ROUND(Rec_Lag,0))*(1-Sev),0)</f>
        <v>0</v>
      </c>
      <c r="D2366" s="71" t="n">
        <f aca="false">IF(AND(2&lt;=Hold_Yrs,2-ROUND(Rec_Lag,0)&gt;=1),INDEX($C851:$L851,1,2-ROUND(Rec_Lag,0))*(1-Sev),0)</f>
        <v>0</v>
      </c>
      <c r="E2366" s="71" t="n">
        <f aca="false">IF(AND(3&lt;=Hold_Yrs,3-ROUND(Rec_Lag,0)&gt;=1),INDEX($C851:$L851,1,3-ROUND(Rec_Lag,0))*(1-Sev),0)</f>
        <v>0</v>
      </c>
      <c r="F2366" s="71" t="n">
        <f aca="false">IF(AND(4&lt;=Hold_Yrs,4-ROUND(Rec_Lag,0)&gt;=1),INDEX($C851:$L851,1,4-ROUND(Rec_Lag,0))*(1-Sev),0)</f>
        <v>0</v>
      </c>
      <c r="G2366" s="71" t="n">
        <f aca="false">IF(AND(5&lt;=Hold_Yrs,5-ROUND(Rec_Lag,0)&gt;=1),INDEX($C851:$L851,1,5-ROUND(Rec_Lag,0))*(1-Sev),0)</f>
        <v>0</v>
      </c>
      <c r="H2366" s="71" t="n">
        <f aca="false">IF(AND(6&lt;=Hold_Yrs,6-ROUND(Rec_Lag,0)&gt;=1),INDEX($C851:$L851,1,6-ROUND(Rec_Lag,0))*(1-Sev),0)</f>
        <v>0</v>
      </c>
      <c r="I2366" s="71" t="n">
        <f aca="false">IF(AND(7&lt;=Hold_Yrs,7-ROUND(Rec_Lag,0)&gt;=1),INDEX($C851:$L851,1,7-ROUND(Rec_Lag,0))*(1-Sev),0)</f>
        <v>0</v>
      </c>
      <c r="J2366" s="71" t="n">
        <f aca="false">IF(AND(8&lt;=Hold_Yrs,8-ROUND(Rec_Lag,0)&gt;=1),INDEX($C851:$L851,1,8-ROUND(Rec_Lag,0))*(1-Sev),0)</f>
        <v>0</v>
      </c>
      <c r="K2366" s="71" t="n">
        <f aca="false">IF(AND(9&lt;=Hold_Yrs,9-ROUND(Rec_Lag,0)&gt;=1),INDEX($C851:$L851,1,9-ROUND(Rec_Lag,0))*(1-Sev),0)</f>
        <v>0</v>
      </c>
      <c r="L2366" s="71" t="n">
        <f aca="false">IF(AND(10&lt;=Hold_Yrs,10-ROUND(Rec_Lag,0)&gt;=1),INDEX($C851:$L851,1,10-ROUND(Rec_Lag,0))*(1-Sev),0)</f>
        <v>0</v>
      </c>
    </row>
    <row r="2367" customFormat="false" ht="15" hidden="false" customHeight="false" outlineLevel="0" collapsed="false">
      <c r="B2367" s="102" t="n">
        <f aca="false">'Loan Tape'!$A242</f>
        <v>0</v>
      </c>
      <c r="C2367" s="99" t="n">
        <f aca="false">IF(AND(1&lt;=Hold_Yrs,1-ROUND(Rec_Lag,0)&gt;=1),INDEX($C852:$L852,1,1-ROUND(Rec_Lag,0))*(1-Sev),0)</f>
        <v>0</v>
      </c>
      <c r="D2367" s="99" t="n">
        <f aca="false">IF(AND(2&lt;=Hold_Yrs,2-ROUND(Rec_Lag,0)&gt;=1),INDEX($C852:$L852,1,2-ROUND(Rec_Lag,0))*(1-Sev),0)</f>
        <v>0</v>
      </c>
      <c r="E2367" s="99" t="n">
        <f aca="false">IF(AND(3&lt;=Hold_Yrs,3-ROUND(Rec_Lag,0)&gt;=1),INDEX($C852:$L852,1,3-ROUND(Rec_Lag,0))*(1-Sev),0)</f>
        <v>0</v>
      </c>
      <c r="F2367" s="99" t="n">
        <f aca="false">IF(AND(4&lt;=Hold_Yrs,4-ROUND(Rec_Lag,0)&gt;=1),INDEX($C852:$L852,1,4-ROUND(Rec_Lag,0))*(1-Sev),0)</f>
        <v>0</v>
      </c>
      <c r="G2367" s="99" t="n">
        <f aca="false">IF(AND(5&lt;=Hold_Yrs,5-ROUND(Rec_Lag,0)&gt;=1),INDEX($C852:$L852,1,5-ROUND(Rec_Lag,0))*(1-Sev),0)</f>
        <v>0</v>
      </c>
      <c r="H2367" s="99" t="n">
        <f aca="false">IF(AND(6&lt;=Hold_Yrs,6-ROUND(Rec_Lag,0)&gt;=1),INDEX($C852:$L852,1,6-ROUND(Rec_Lag,0))*(1-Sev),0)</f>
        <v>0</v>
      </c>
      <c r="I2367" s="99" t="n">
        <f aca="false">IF(AND(7&lt;=Hold_Yrs,7-ROUND(Rec_Lag,0)&gt;=1),INDEX($C852:$L852,1,7-ROUND(Rec_Lag,0))*(1-Sev),0)</f>
        <v>0</v>
      </c>
      <c r="J2367" s="99" t="n">
        <f aca="false">IF(AND(8&lt;=Hold_Yrs,8-ROUND(Rec_Lag,0)&gt;=1),INDEX($C852:$L852,1,8-ROUND(Rec_Lag,0))*(1-Sev),0)</f>
        <v>0</v>
      </c>
      <c r="K2367" s="99" t="n">
        <f aca="false">IF(AND(9&lt;=Hold_Yrs,9-ROUND(Rec_Lag,0)&gt;=1),INDEX($C852:$L852,1,9-ROUND(Rec_Lag,0))*(1-Sev),0)</f>
        <v>0</v>
      </c>
      <c r="L2367" s="99" t="n">
        <f aca="false">IF(AND(10&lt;=Hold_Yrs,10-ROUND(Rec_Lag,0)&gt;=1),INDEX($C852:$L852,1,10-ROUND(Rec_Lag,0))*(1-Sev),0)</f>
        <v>0</v>
      </c>
    </row>
    <row r="2368" customFormat="false" ht="15" hidden="false" customHeight="false" outlineLevel="0" collapsed="false">
      <c r="B2368" s="108" t="n">
        <f aca="false">'Loan Tape'!$A243</f>
        <v>0</v>
      </c>
      <c r="C2368" s="71" t="n">
        <f aca="false">IF(AND(1&lt;=Hold_Yrs,1-ROUND(Rec_Lag,0)&gt;=1),INDEX($C853:$L853,1,1-ROUND(Rec_Lag,0))*(1-Sev),0)</f>
        <v>0</v>
      </c>
      <c r="D2368" s="71" t="n">
        <f aca="false">IF(AND(2&lt;=Hold_Yrs,2-ROUND(Rec_Lag,0)&gt;=1),INDEX($C853:$L853,1,2-ROUND(Rec_Lag,0))*(1-Sev),0)</f>
        <v>0</v>
      </c>
      <c r="E2368" s="71" t="n">
        <f aca="false">IF(AND(3&lt;=Hold_Yrs,3-ROUND(Rec_Lag,0)&gt;=1),INDEX($C853:$L853,1,3-ROUND(Rec_Lag,0))*(1-Sev),0)</f>
        <v>0</v>
      </c>
      <c r="F2368" s="71" t="n">
        <f aca="false">IF(AND(4&lt;=Hold_Yrs,4-ROUND(Rec_Lag,0)&gt;=1),INDEX($C853:$L853,1,4-ROUND(Rec_Lag,0))*(1-Sev),0)</f>
        <v>0</v>
      </c>
      <c r="G2368" s="71" t="n">
        <f aca="false">IF(AND(5&lt;=Hold_Yrs,5-ROUND(Rec_Lag,0)&gt;=1),INDEX($C853:$L853,1,5-ROUND(Rec_Lag,0))*(1-Sev),0)</f>
        <v>0</v>
      </c>
      <c r="H2368" s="71" t="n">
        <f aca="false">IF(AND(6&lt;=Hold_Yrs,6-ROUND(Rec_Lag,0)&gt;=1),INDEX($C853:$L853,1,6-ROUND(Rec_Lag,0))*(1-Sev),0)</f>
        <v>0</v>
      </c>
      <c r="I2368" s="71" t="n">
        <f aca="false">IF(AND(7&lt;=Hold_Yrs,7-ROUND(Rec_Lag,0)&gt;=1),INDEX($C853:$L853,1,7-ROUND(Rec_Lag,0))*(1-Sev),0)</f>
        <v>0</v>
      </c>
      <c r="J2368" s="71" t="n">
        <f aca="false">IF(AND(8&lt;=Hold_Yrs,8-ROUND(Rec_Lag,0)&gt;=1),INDEX($C853:$L853,1,8-ROUND(Rec_Lag,0))*(1-Sev),0)</f>
        <v>0</v>
      </c>
      <c r="K2368" s="71" t="n">
        <f aca="false">IF(AND(9&lt;=Hold_Yrs,9-ROUND(Rec_Lag,0)&gt;=1),INDEX($C853:$L853,1,9-ROUND(Rec_Lag,0))*(1-Sev),0)</f>
        <v>0</v>
      </c>
      <c r="L2368" s="71" t="n">
        <f aca="false">IF(AND(10&lt;=Hold_Yrs,10-ROUND(Rec_Lag,0)&gt;=1),INDEX($C853:$L853,1,10-ROUND(Rec_Lag,0))*(1-Sev),0)</f>
        <v>0</v>
      </c>
    </row>
    <row r="2369" customFormat="false" ht="15" hidden="false" customHeight="false" outlineLevel="0" collapsed="false">
      <c r="B2369" s="102" t="n">
        <f aca="false">'Loan Tape'!$A244</f>
        <v>0</v>
      </c>
      <c r="C2369" s="99" t="n">
        <f aca="false">IF(AND(1&lt;=Hold_Yrs,1-ROUND(Rec_Lag,0)&gt;=1),INDEX($C854:$L854,1,1-ROUND(Rec_Lag,0))*(1-Sev),0)</f>
        <v>0</v>
      </c>
      <c r="D2369" s="99" t="n">
        <f aca="false">IF(AND(2&lt;=Hold_Yrs,2-ROUND(Rec_Lag,0)&gt;=1),INDEX($C854:$L854,1,2-ROUND(Rec_Lag,0))*(1-Sev),0)</f>
        <v>0</v>
      </c>
      <c r="E2369" s="99" t="n">
        <f aca="false">IF(AND(3&lt;=Hold_Yrs,3-ROUND(Rec_Lag,0)&gt;=1),INDEX($C854:$L854,1,3-ROUND(Rec_Lag,0))*(1-Sev),0)</f>
        <v>0</v>
      </c>
      <c r="F2369" s="99" t="n">
        <f aca="false">IF(AND(4&lt;=Hold_Yrs,4-ROUND(Rec_Lag,0)&gt;=1),INDEX($C854:$L854,1,4-ROUND(Rec_Lag,0))*(1-Sev),0)</f>
        <v>0</v>
      </c>
      <c r="G2369" s="99" t="n">
        <f aca="false">IF(AND(5&lt;=Hold_Yrs,5-ROUND(Rec_Lag,0)&gt;=1),INDEX($C854:$L854,1,5-ROUND(Rec_Lag,0))*(1-Sev),0)</f>
        <v>0</v>
      </c>
      <c r="H2369" s="99" t="n">
        <f aca="false">IF(AND(6&lt;=Hold_Yrs,6-ROUND(Rec_Lag,0)&gt;=1),INDEX($C854:$L854,1,6-ROUND(Rec_Lag,0))*(1-Sev),0)</f>
        <v>0</v>
      </c>
      <c r="I2369" s="99" t="n">
        <f aca="false">IF(AND(7&lt;=Hold_Yrs,7-ROUND(Rec_Lag,0)&gt;=1),INDEX($C854:$L854,1,7-ROUND(Rec_Lag,0))*(1-Sev),0)</f>
        <v>0</v>
      </c>
      <c r="J2369" s="99" t="n">
        <f aca="false">IF(AND(8&lt;=Hold_Yrs,8-ROUND(Rec_Lag,0)&gt;=1),INDEX($C854:$L854,1,8-ROUND(Rec_Lag,0))*(1-Sev),0)</f>
        <v>0</v>
      </c>
      <c r="K2369" s="99" t="n">
        <f aca="false">IF(AND(9&lt;=Hold_Yrs,9-ROUND(Rec_Lag,0)&gt;=1),INDEX($C854:$L854,1,9-ROUND(Rec_Lag,0))*(1-Sev),0)</f>
        <v>0</v>
      </c>
      <c r="L2369" s="99" t="n">
        <f aca="false">IF(AND(10&lt;=Hold_Yrs,10-ROUND(Rec_Lag,0)&gt;=1),INDEX($C854:$L854,1,10-ROUND(Rec_Lag,0))*(1-Sev),0)</f>
        <v>0</v>
      </c>
    </row>
    <row r="2370" customFormat="false" ht="15" hidden="false" customHeight="false" outlineLevel="0" collapsed="false">
      <c r="B2370" s="108" t="n">
        <f aca="false">'Loan Tape'!$A245</f>
        <v>0</v>
      </c>
      <c r="C2370" s="71" t="n">
        <f aca="false">IF(AND(1&lt;=Hold_Yrs,1-ROUND(Rec_Lag,0)&gt;=1),INDEX($C855:$L855,1,1-ROUND(Rec_Lag,0))*(1-Sev),0)</f>
        <v>0</v>
      </c>
      <c r="D2370" s="71" t="n">
        <f aca="false">IF(AND(2&lt;=Hold_Yrs,2-ROUND(Rec_Lag,0)&gt;=1),INDEX($C855:$L855,1,2-ROUND(Rec_Lag,0))*(1-Sev),0)</f>
        <v>0</v>
      </c>
      <c r="E2370" s="71" t="n">
        <f aca="false">IF(AND(3&lt;=Hold_Yrs,3-ROUND(Rec_Lag,0)&gt;=1),INDEX($C855:$L855,1,3-ROUND(Rec_Lag,0))*(1-Sev),0)</f>
        <v>0</v>
      </c>
      <c r="F2370" s="71" t="n">
        <f aca="false">IF(AND(4&lt;=Hold_Yrs,4-ROUND(Rec_Lag,0)&gt;=1),INDEX($C855:$L855,1,4-ROUND(Rec_Lag,0))*(1-Sev),0)</f>
        <v>0</v>
      </c>
      <c r="G2370" s="71" t="n">
        <f aca="false">IF(AND(5&lt;=Hold_Yrs,5-ROUND(Rec_Lag,0)&gt;=1),INDEX($C855:$L855,1,5-ROUND(Rec_Lag,0))*(1-Sev),0)</f>
        <v>0</v>
      </c>
      <c r="H2370" s="71" t="n">
        <f aca="false">IF(AND(6&lt;=Hold_Yrs,6-ROUND(Rec_Lag,0)&gt;=1),INDEX($C855:$L855,1,6-ROUND(Rec_Lag,0))*(1-Sev),0)</f>
        <v>0</v>
      </c>
      <c r="I2370" s="71" t="n">
        <f aca="false">IF(AND(7&lt;=Hold_Yrs,7-ROUND(Rec_Lag,0)&gt;=1),INDEX($C855:$L855,1,7-ROUND(Rec_Lag,0))*(1-Sev),0)</f>
        <v>0</v>
      </c>
      <c r="J2370" s="71" t="n">
        <f aca="false">IF(AND(8&lt;=Hold_Yrs,8-ROUND(Rec_Lag,0)&gt;=1),INDEX($C855:$L855,1,8-ROUND(Rec_Lag,0))*(1-Sev),0)</f>
        <v>0</v>
      </c>
      <c r="K2370" s="71" t="n">
        <f aca="false">IF(AND(9&lt;=Hold_Yrs,9-ROUND(Rec_Lag,0)&gt;=1),INDEX($C855:$L855,1,9-ROUND(Rec_Lag,0))*(1-Sev),0)</f>
        <v>0</v>
      </c>
      <c r="L2370" s="71" t="n">
        <f aca="false">IF(AND(10&lt;=Hold_Yrs,10-ROUND(Rec_Lag,0)&gt;=1),INDEX($C855:$L855,1,10-ROUND(Rec_Lag,0))*(1-Sev),0)</f>
        <v>0</v>
      </c>
    </row>
    <row r="2371" customFormat="false" ht="15" hidden="false" customHeight="false" outlineLevel="0" collapsed="false">
      <c r="B2371" s="102" t="n">
        <f aca="false">'Loan Tape'!$A246</f>
        <v>0</v>
      </c>
      <c r="C2371" s="99" t="n">
        <f aca="false">IF(AND(1&lt;=Hold_Yrs,1-ROUND(Rec_Lag,0)&gt;=1),INDEX($C856:$L856,1,1-ROUND(Rec_Lag,0))*(1-Sev),0)</f>
        <v>0</v>
      </c>
      <c r="D2371" s="99" t="n">
        <f aca="false">IF(AND(2&lt;=Hold_Yrs,2-ROUND(Rec_Lag,0)&gt;=1),INDEX($C856:$L856,1,2-ROUND(Rec_Lag,0))*(1-Sev),0)</f>
        <v>0</v>
      </c>
      <c r="E2371" s="99" t="n">
        <f aca="false">IF(AND(3&lt;=Hold_Yrs,3-ROUND(Rec_Lag,0)&gt;=1),INDEX($C856:$L856,1,3-ROUND(Rec_Lag,0))*(1-Sev),0)</f>
        <v>0</v>
      </c>
      <c r="F2371" s="99" t="n">
        <f aca="false">IF(AND(4&lt;=Hold_Yrs,4-ROUND(Rec_Lag,0)&gt;=1),INDEX($C856:$L856,1,4-ROUND(Rec_Lag,0))*(1-Sev),0)</f>
        <v>0</v>
      </c>
      <c r="G2371" s="99" t="n">
        <f aca="false">IF(AND(5&lt;=Hold_Yrs,5-ROUND(Rec_Lag,0)&gt;=1),INDEX($C856:$L856,1,5-ROUND(Rec_Lag,0))*(1-Sev),0)</f>
        <v>0</v>
      </c>
      <c r="H2371" s="99" t="n">
        <f aca="false">IF(AND(6&lt;=Hold_Yrs,6-ROUND(Rec_Lag,0)&gt;=1),INDEX($C856:$L856,1,6-ROUND(Rec_Lag,0))*(1-Sev),0)</f>
        <v>0</v>
      </c>
      <c r="I2371" s="99" t="n">
        <f aca="false">IF(AND(7&lt;=Hold_Yrs,7-ROUND(Rec_Lag,0)&gt;=1),INDEX($C856:$L856,1,7-ROUND(Rec_Lag,0))*(1-Sev),0)</f>
        <v>0</v>
      </c>
      <c r="J2371" s="99" t="n">
        <f aca="false">IF(AND(8&lt;=Hold_Yrs,8-ROUND(Rec_Lag,0)&gt;=1),INDEX($C856:$L856,1,8-ROUND(Rec_Lag,0))*(1-Sev),0)</f>
        <v>0</v>
      </c>
      <c r="K2371" s="99" t="n">
        <f aca="false">IF(AND(9&lt;=Hold_Yrs,9-ROUND(Rec_Lag,0)&gt;=1),INDEX($C856:$L856,1,9-ROUND(Rec_Lag,0))*(1-Sev),0)</f>
        <v>0</v>
      </c>
      <c r="L2371" s="99" t="n">
        <f aca="false">IF(AND(10&lt;=Hold_Yrs,10-ROUND(Rec_Lag,0)&gt;=1),INDEX($C856:$L856,1,10-ROUND(Rec_Lag,0))*(1-Sev),0)</f>
        <v>0</v>
      </c>
    </row>
    <row r="2372" customFormat="false" ht="15" hidden="false" customHeight="false" outlineLevel="0" collapsed="false">
      <c r="B2372" s="108" t="n">
        <f aca="false">'Loan Tape'!$A247</f>
        <v>0</v>
      </c>
      <c r="C2372" s="71" t="n">
        <f aca="false">IF(AND(1&lt;=Hold_Yrs,1-ROUND(Rec_Lag,0)&gt;=1),INDEX($C857:$L857,1,1-ROUND(Rec_Lag,0))*(1-Sev),0)</f>
        <v>0</v>
      </c>
      <c r="D2372" s="71" t="n">
        <f aca="false">IF(AND(2&lt;=Hold_Yrs,2-ROUND(Rec_Lag,0)&gt;=1),INDEX($C857:$L857,1,2-ROUND(Rec_Lag,0))*(1-Sev),0)</f>
        <v>0</v>
      </c>
      <c r="E2372" s="71" t="n">
        <f aca="false">IF(AND(3&lt;=Hold_Yrs,3-ROUND(Rec_Lag,0)&gt;=1),INDEX($C857:$L857,1,3-ROUND(Rec_Lag,0))*(1-Sev),0)</f>
        <v>0</v>
      </c>
      <c r="F2372" s="71" t="n">
        <f aca="false">IF(AND(4&lt;=Hold_Yrs,4-ROUND(Rec_Lag,0)&gt;=1),INDEX($C857:$L857,1,4-ROUND(Rec_Lag,0))*(1-Sev),0)</f>
        <v>0</v>
      </c>
      <c r="G2372" s="71" t="n">
        <f aca="false">IF(AND(5&lt;=Hold_Yrs,5-ROUND(Rec_Lag,0)&gt;=1),INDEX($C857:$L857,1,5-ROUND(Rec_Lag,0))*(1-Sev),0)</f>
        <v>0</v>
      </c>
      <c r="H2372" s="71" t="n">
        <f aca="false">IF(AND(6&lt;=Hold_Yrs,6-ROUND(Rec_Lag,0)&gt;=1),INDEX($C857:$L857,1,6-ROUND(Rec_Lag,0))*(1-Sev),0)</f>
        <v>0</v>
      </c>
      <c r="I2372" s="71" t="n">
        <f aca="false">IF(AND(7&lt;=Hold_Yrs,7-ROUND(Rec_Lag,0)&gt;=1),INDEX($C857:$L857,1,7-ROUND(Rec_Lag,0))*(1-Sev),0)</f>
        <v>0</v>
      </c>
      <c r="J2372" s="71" t="n">
        <f aca="false">IF(AND(8&lt;=Hold_Yrs,8-ROUND(Rec_Lag,0)&gt;=1),INDEX($C857:$L857,1,8-ROUND(Rec_Lag,0))*(1-Sev),0)</f>
        <v>0</v>
      </c>
      <c r="K2372" s="71" t="n">
        <f aca="false">IF(AND(9&lt;=Hold_Yrs,9-ROUND(Rec_Lag,0)&gt;=1),INDEX($C857:$L857,1,9-ROUND(Rec_Lag,0))*(1-Sev),0)</f>
        <v>0</v>
      </c>
      <c r="L2372" s="71" t="n">
        <f aca="false">IF(AND(10&lt;=Hold_Yrs,10-ROUND(Rec_Lag,0)&gt;=1),INDEX($C857:$L857,1,10-ROUND(Rec_Lag,0))*(1-Sev),0)</f>
        <v>0</v>
      </c>
    </row>
    <row r="2373" customFormat="false" ht="15" hidden="false" customHeight="false" outlineLevel="0" collapsed="false">
      <c r="B2373" s="102" t="n">
        <f aca="false">'Loan Tape'!$A248</f>
        <v>0</v>
      </c>
      <c r="C2373" s="99" t="n">
        <f aca="false">IF(AND(1&lt;=Hold_Yrs,1-ROUND(Rec_Lag,0)&gt;=1),INDEX($C858:$L858,1,1-ROUND(Rec_Lag,0))*(1-Sev),0)</f>
        <v>0</v>
      </c>
      <c r="D2373" s="99" t="n">
        <f aca="false">IF(AND(2&lt;=Hold_Yrs,2-ROUND(Rec_Lag,0)&gt;=1),INDEX($C858:$L858,1,2-ROUND(Rec_Lag,0))*(1-Sev),0)</f>
        <v>0</v>
      </c>
      <c r="E2373" s="99" t="n">
        <f aca="false">IF(AND(3&lt;=Hold_Yrs,3-ROUND(Rec_Lag,0)&gt;=1),INDEX($C858:$L858,1,3-ROUND(Rec_Lag,0))*(1-Sev),0)</f>
        <v>0</v>
      </c>
      <c r="F2373" s="99" t="n">
        <f aca="false">IF(AND(4&lt;=Hold_Yrs,4-ROUND(Rec_Lag,0)&gt;=1),INDEX($C858:$L858,1,4-ROUND(Rec_Lag,0))*(1-Sev),0)</f>
        <v>0</v>
      </c>
      <c r="G2373" s="99" t="n">
        <f aca="false">IF(AND(5&lt;=Hold_Yrs,5-ROUND(Rec_Lag,0)&gt;=1),INDEX($C858:$L858,1,5-ROUND(Rec_Lag,0))*(1-Sev),0)</f>
        <v>0</v>
      </c>
      <c r="H2373" s="99" t="n">
        <f aca="false">IF(AND(6&lt;=Hold_Yrs,6-ROUND(Rec_Lag,0)&gt;=1),INDEX($C858:$L858,1,6-ROUND(Rec_Lag,0))*(1-Sev),0)</f>
        <v>0</v>
      </c>
      <c r="I2373" s="99" t="n">
        <f aca="false">IF(AND(7&lt;=Hold_Yrs,7-ROUND(Rec_Lag,0)&gt;=1),INDEX($C858:$L858,1,7-ROUND(Rec_Lag,0))*(1-Sev),0)</f>
        <v>0</v>
      </c>
      <c r="J2373" s="99" t="n">
        <f aca="false">IF(AND(8&lt;=Hold_Yrs,8-ROUND(Rec_Lag,0)&gt;=1),INDEX($C858:$L858,1,8-ROUND(Rec_Lag,0))*(1-Sev),0)</f>
        <v>0</v>
      </c>
      <c r="K2373" s="99" t="n">
        <f aca="false">IF(AND(9&lt;=Hold_Yrs,9-ROUND(Rec_Lag,0)&gt;=1),INDEX($C858:$L858,1,9-ROUND(Rec_Lag,0))*(1-Sev),0)</f>
        <v>0</v>
      </c>
      <c r="L2373" s="99" t="n">
        <f aca="false">IF(AND(10&lt;=Hold_Yrs,10-ROUND(Rec_Lag,0)&gt;=1),INDEX($C858:$L858,1,10-ROUND(Rec_Lag,0))*(1-Sev),0)</f>
        <v>0</v>
      </c>
    </row>
    <row r="2374" customFormat="false" ht="15" hidden="false" customHeight="false" outlineLevel="0" collapsed="false">
      <c r="B2374" s="108" t="n">
        <f aca="false">'Loan Tape'!$A249</f>
        <v>0</v>
      </c>
      <c r="C2374" s="71" t="n">
        <f aca="false">IF(AND(1&lt;=Hold_Yrs,1-ROUND(Rec_Lag,0)&gt;=1),INDEX($C859:$L859,1,1-ROUND(Rec_Lag,0))*(1-Sev),0)</f>
        <v>0</v>
      </c>
      <c r="D2374" s="71" t="n">
        <f aca="false">IF(AND(2&lt;=Hold_Yrs,2-ROUND(Rec_Lag,0)&gt;=1),INDEX($C859:$L859,1,2-ROUND(Rec_Lag,0))*(1-Sev),0)</f>
        <v>0</v>
      </c>
      <c r="E2374" s="71" t="n">
        <f aca="false">IF(AND(3&lt;=Hold_Yrs,3-ROUND(Rec_Lag,0)&gt;=1),INDEX($C859:$L859,1,3-ROUND(Rec_Lag,0))*(1-Sev),0)</f>
        <v>0</v>
      </c>
      <c r="F2374" s="71" t="n">
        <f aca="false">IF(AND(4&lt;=Hold_Yrs,4-ROUND(Rec_Lag,0)&gt;=1),INDEX($C859:$L859,1,4-ROUND(Rec_Lag,0))*(1-Sev),0)</f>
        <v>0</v>
      </c>
      <c r="G2374" s="71" t="n">
        <f aca="false">IF(AND(5&lt;=Hold_Yrs,5-ROUND(Rec_Lag,0)&gt;=1),INDEX($C859:$L859,1,5-ROUND(Rec_Lag,0))*(1-Sev),0)</f>
        <v>0</v>
      </c>
      <c r="H2374" s="71" t="n">
        <f aca="false">IF(AND(6&lt;=Hold_Yrs,6-ROUND(Rec_Lag,0)&gt;=1),INDEX($C859:$L859,1,6-ROUND(Rec_Lag,0))*(1-Sev),0)</f>
        <v>0</v>
      </c>
      <c r="I2374" s="71" t="n">
        <f aca="false">IF(AND(7&lt;=Hold_Yrs,7-ROUND(Rec_Lag,0)&gt;=1),INDEX($C859:$L859,1,7-ROUND(Rec_Lag,0))*(1-Sev),0)</f>
        <v>0</v>
      </c>
      <c r="J2374" s="71" t="n">
        <f aca="false">IF(AND(8&lt;=Hold_Yrs,8-ROUND(Rec_Lag,0)&gt;=1),INDEX($C859:$L859,1,8-ROUND(Rec_Lag,0))*(1-Sev),0)</f>
        <v>0</v>
      </c>
      <c r="K2374" s="71" t="n">
        <f aca="false">IF(AND(9&lt;=Hold_Yrs,9-ROUND(Rec_Lag,0)&gt;=1),INDEX($C859:$L859,1,9-ROUND(Rec_Lag,0))*(1-Sev),0)</f>
        <v>0</v>
      </c>
      <c r="L2374" s="71" t="n">
        <f aca="false">IF(AND(10&lt;=Hold_Yrs,10-ROUND(Rec_Lag,0)&gt;=1),INDEX($C859:$L859,1,10-ROUND(Rec_Lag,0))*(1-Sev),0)</f>
        <v>0</v>
      </c>
    </row>
    <row r="2375" customFormat="false" ht="15" hidden="false" customHeight="false" outlineLevel="0" collapsed="false">
      <c r="B2375" s="102" t="n">
        <f aca="false">'Loan Tape'!$A250</f>
        <v>0</v>
      </c>
      <c r="C2375" s="99" t="n">
        <f aca="false">IF(AND(1&lt;=Hold_Yrs,1-ROUND(Rec_Lag,0)&gt;=1),INDEX($C860:$L860,1,1-ROUND(Rec_Lag,0))*(1-Sev),0)</f>
        <v>0</v>
      </c>
      <c r="D2375" s="99" t="n">
        <f aca="false">IF(AND(2&lt;=Hold_Yrs,2-ROUND(Rec_Lag,0)&gt;=1),INDEX($C860:$L860,1,2-ROUND(Rec_Lag,0))*(1-Sev),0)</f>
        <v>0</v>
      </c>
      <c r="E2375" s="99" t="n">
        <f aca="false">IF(AND(3&lt;=Hold_Yrs,3-ROUND(Rec_Lag,0)&gt;=1),INDEX($C860:$L860,1,3-ROUND(Rec_Lag,0))*(1-Sev),0)</f>
        <v>0</v>
      </c>
      <c r="F2375" s="99" t="n">
        <f aca="false">IF(AND(4&lt;=Hold_Yrs,4-ROUND(Rec_Lag,0)&gt;=1),INDEX($C860:$L860,1,4-ROUND(Rec_Lag,0))*(1-Sev),0)</f>
        <v>0</v>
      </c>
      <c r="G2375" s="99" t="n">
        <f aca="false">IF(AND(5&lt;=Hold_Yrs,5-ROUND(Rec_Lag,0)&gt;=1),INDEX($C860:$L860,1,5-ROUND(Rec_Lag,0))*(1-Sev),0)</f>
        <v>0</v>
      </c>
      <c r="H2375" s="99" t="n">
        <f aca="false">IF(AND(6&lt;=Hold_Yrs,6-ROUND(Rec_Lag,0)&gt;=1),INDEX($C860:$L860,1,6-ROUND(Rec_Lag,0))*(1-Sev),0)</f>
        <v>0</v>
      </c>
      <c r="I2375" s="99" t="n">
        <f aca="false">IF(AND(7&lt;=Hold_Yrs,7-ROUND(Rec_Lag,0)&gt;=1),INDEX($C860:$L860,1,7-ROUND(Rec_Lag,0))*(1-Sev),0)</f>
        <v>0</v>
      </c>
      <c r="J2375" s="99" t="n">
        <f aca="false">IF(AND(8&lt;=Hold_Yrs,8-ROUND(Rec_Lag,0)&gt;=1),INDEX($C860:$L860,1,8-ROUND(Rec_Lag,0))*(1-Sev),0)</f>
        <v>0</v>
      </c>
      <c r="K2375" s="99" t="n">
        <f aca="false">IF(AND(9&lt;=Hold_Yrs,9-ROUND(Rec_Lag,0)&gt;=1),INDEX($C860:$L860,1,9-ROUND(Rec_Lag,0))*(1-Sev),0)</f>
        <v>0</v>
      </c>
      <c r="L2375" s="99" t="n">
        <f aca="false">IF(AND(10&lt;=Hold_Yrs,10-ROUND(Rec_Lag,0)&gt;=1),INDEX($C860:$L860,1,10-ROUND(Rec_Lag,0))*(1-Sev),0)</f>
        <v>0</v>
      </c>
    </row>
    <row r="2376" customFormat="false" ht="15" hidden="false" customHeight="false" outlineLevel="0" collapsed="false">
      <c r="B2376" s="108" t="n">
        <f aca="false">'Loan Tape'!$A251</f>
        <v>0</v>
      </c>
      <c r="C2376" s="71" t="n">
        <f aca="false">IF(AND(1&lt;=Hold_Yrs,1-ROUND(Rec_Lag,0)&gt;=1),INDEX($C861:$L861,1,1-ROUND(Rec_Lag,0))*(1-Sev),0)</f>
        <v>0</v>
      </c>
      <c r="D2376" s="71" t="n">
        <f aca="false">IF(AND(2&lt;=Hold_Yrs,2-ROUND(Rec_Lag,0)&gt;=1),INDEX($C861:$L861,1,2-ROUND(Rec_Lag,0))*(1-Sev),0)</f>
        <v>0</v>
      </c>
      <c r="E2376" s="71" t="n">
        <f aca="false">IF(AND(3&lt;=Hold_Yrs,3-ROUND(Rec_Lag,0)&gt;=1),INDEX($C861:$L861,1,3-ROUND(Rec_Lag,0))*(1-Sev),0)</f>
        <v>0</v>
      </c>
      <c r="F2376" s="71" t="n">
        <f aca="false">IF(AND(4&lt;=Hold_Yrs,4-ROUND(Rec_Lag,0)&gt;=1),INDEX($C861:$L861,1,4-ROUND(Rec_Lag,0))*(1-Sev),0)</f>
        <v>0</v>
      </c>
      <c r="G2376" s="71" t="n">
        <f aca="false">IF(AND(5&lt;=Hold_Yrs,5-ROUND(Rec_Lag,0)&gt;=1),INDEX($C861:$L861,1,5-ROUND(Rec_Lag,0))*(1-Sev),0)</f>
        <v>0</v>
      </c>
      <c r="H2376" s="71" t="n">
        <f aca="false">IF(AND(6&lt;=Hold_Yrs,6-ROUND(Rec_Lag,0)&gt;=1),INDEX($C861:$L861,1,6-ROUND(Rec_Lag,0))*(1-Sev),0)</f>
        <v>0</v>
      </c>
      <c r="I2376" s="71" t="n">
        <f aca="false">IF(AND(7&lt;=Hold_Yrs,7-ROUND(Rec_Lag,0)&gt;=1),INDEX($C861:$L861,1,7-ROUND(Rec_Lag,0))*(1-Sev),0)</f>
        <v>0</v>
      </c>
      <c r="J2376" s="71" t="n">
        <f aca="false">IF(AND(8&lt;=Hold_Yrs,8-ROUND(Rec_Lag,0)&gt;=1),INDEX($C861:$L861,1,8-ROUND(Rec_Lag,0))*(1-Sev),0)</f>
        <v>0</v>
      </c>
      <c r="K2376" s="71" t="n">
        <f aca="false">IF(AND(9&lt;=Hold_Yrs,9-ROUND(Rec_Lag,0)&gt;=1),INDEX($C861:$L861,1,9-ROUND(Rec_Lag,0))*(1-Sev),0)</f>
        <v>0</v>
      </c>
      <c r="L2376" s="71" t="n">
        <f aca="false">IF(AND(10&lt;=Hold_Yrs,10-ROUND(Rec_Lag,0)&gt;=1),INDEX($C861:$L861,1,10-ROUND(Rec_Lag,0))*(1-Sev),0)</f>
        <v>0</v>
      </c>
    </row>
    <row r="2377" customFormat="false" ht="15" hidden="false" customHeight="false" outlineLevel="0" collapsed="false">
      <c r="B2377" s="102" t="n">
        <f aca="false">'Loan Tape'!$A252</f>
        <v>0</v>
      </c>
      <c r="C2377" s="99" t="n">
        <f aca="false">IF(AND(1&lt;=Hold_Yrs,1-ROUND(Rec_Lag,0)&gt;=1),INDEX($C862:$L862,1,1-ROUND(Rec_Lag,0))*(1-Sev),0)</f>
        <v>0</v>
      </c>
      <c r="D2377" s="99" t="n">
        <f aca="false">IF(AND(2&lt;=Hold_Yrs,2-ROUND(Rec_Lag,0)&gt;=1),INDEX($C862:$L862,1,2-ROUND(Rec_Lag,0))*(1-Sev),0)</f>
        <v>0</v>
      </c>
      <c r="E2377" s="99" t="n">
        <f aca="false">IF(AND(3&lt;=Hold_Yrs,3-ROUND(Rec_Lag,0)&gt;=1),INDEX($C862:$L862,1,3-ROUND(Rec_Lag,0))*(1-Sev),0)</f>
        <v>0</v>
      </c>
      <c r="F2377" s="99" t="n">
        <f aca="false">IF(AND(4&lt;=Hold_Yrs,4-ROUND(Rec_Lag,0)&gt;=1),INDEX($C862:$L862,1,4-ROUND(Rec_Lag,0))*(1-Sev),0)</f>
        <v>0</v>
      </c>
      <c r="G2377" s="99" t="n">
        <f aca="false">IF(AND(5&lt;=Hold_Yrs,5-ROUND(Rec_Lag,0)&gt;=1),INDEX($C862:$L862,1,5-ROUND(Rec_Lag,0))*(1-Sev),0)</f>
        <v>0</v>
      </c>
      <c r="H2377" s="99" t="n">
        <f aca="false">IF(AND(6&lt;=Hold_Yrs,6-ROUND(Rec_Lag,0)&gt;=1),INDEX($C862:$L862,1,6-ROUND(Rec_Lag,0))*(1-Sev),0)</f>
        <v>0</v>
      </c>
      <c r="I2377" s="99" t="n">
        <f aca="false">IF(AND(7&lt;=Hold_Yrs,7-ROUND(Rec_Lag,0)&gt;=1),INDEX($C862:$L862,1,7-ROUND(Rec_Lag,0))*(1-Sev),0)</f>
        <v>0</v>
      </c>
      <c r="J2377" s="99" t="n">
        <f aca="false">IF(AND(8&lt;=Hold_Yrs,8-ROUND(Rec_Lag,0)&gt;=1),INDEX($C862:$L862,1,8-ROUND(Rec_Lag,0))*(1-Sev),0)</f>
        <v>0</v>
      </c>
      <c r="K2377" s="99" t="n">
        <f aca="false">IF(AND(9&lt;=Hold_Yrs,9-ROUND(Rec_Lag,0)&gt;=1),INDEX($C862:$L862,1,9-ROUND(Rec_Lag,0))*(1-Sev),0)</f>
        <v>0</v>
      </c>
      <c r="L2377" s="99" t="n">
        <f aca="false">IF(AND(10&lt;=Hold_Yrs,10-ROUND(Rec_Lag,0)&gt;=1),INDEX($C862:$L862,1,10-ROUND(Rec_Lag,0))*(1-Sev),0)</f>
        <v>0</v>
      </c>
    </row>
    <row r="2378" customFormat="false" ht="15" hidden="false" customHeight="false" outlineLevel="0" collapsed="false">
      <c r="B2378" s="108" t="n">
        <f aca="false">'Loan Tape'!$A253</f>
        <v>0</v>
      </c>
      <c r="C2378" s="71" t="n">
        <f aca="false">IF(AND(1&lt;=Hold_Yrs,1-ROUND(Rec_Lag,0)&gt;=1),INDEX($C863:$L863,1,1-ROUND(Rec_Lag,0))*(1-Sev),0)</f>
        <v>0</v>
      </c>
      <c r="D2378" s="71" t="n">
        <f aca="false">IF(AND(2&lt;=Hold_Yrs,2-ROUND(Rec_Lag,0)&gt;=1),INDEX($C863:$L863,1,2-ROUND(Rec_Lag,0))*(1-Sev),0)</f>
        <v>0</v>
      </c>
      <c r="E2378" s="71" t="n">
        <f aca="false">IF(AND(3&lt;=Hold_Yrs,3-ROUND(Rec_Lag,0)&gt;=1),INDEX($C863:$L863,1,3-ROUND(Rec_Lag,0))*(1-Sev),0)</f>
        <v>0</v>
      </c>
      <c r="F2378" s="71" t="n">
        <f aca="false">IF(AND(4&lt;=Hold_Yrs,4-ROUND(Rec_Lag,0)&gt;=1),INDEX($C863:$L863,1,4-ROUND(Rec_Lag,0))*(1-Sev),0)</f>
        <v>0</v>
      </c>
      <c r="G2378" s="71" t="n">
        <f aca="false">IF(AND(5&lt;=Hold_Yrs,5-ROUND(Rec_Lag,0)&gt;=1),INDEX($C863:$L863,1,5-ROUND(Rec_Lag,0))*(1-Sev),0)</f>
        <v>0</v>
      </c>
      <c r="H2378" s="71" t="n">
        <f aca="false">IF(AND(6&lt;=Hold_Yrs,6-ROUND(Rec_Lag,0)&gt;=1),INDEX($C863:$L863,1,6-ROUND(Rec_Lag,0))*(1-Sev),0)</f>
        <v>0</v>
      </c>
      <c r="I2378" s="71" t="n">
        <f aca="false">IF(AND(7&lt;=Hold_Yrs,7-ROUND(Rec_Lag,0)&gt;=1),INDEX($C863:$L863,1,7-ROUND(Rec_Lag,0))*(1-Sev),0)</f>
        <v>0</v>
      </c>
      <c r="J2378" s="71" t="n">
        <f aca="false">IF(AND(8&lt;=Hold_Yrs,8-ROUND(Rec_Lag,0)&gt;=1),INDEX($C863:$L863,1,8-ROUND(Rec_Lag,0))*(1-Sev),0)</f>
        <v>0</v>
      </c>
      <c r="K2378" s="71" t="n">
        <f aca="false">IF(AND(9&lt;=Hold_Yrs,9-ROUND(Rec_Lag,0)&gt;=1),INDEX($C863:$L863,1,9-ROUND(Rec_Lag,0))*(1-Sev),0)</f>
        <v>0</v>
      </c>
      <c r="L2378" s="71" t="n">
        <f aca="false">IF(AND(10&lt;=Hold_Yrs,10-ROUND(Rec_Lag,0)&gt;=1),INDEX($C863:$L863,1,10-ROUND(Rec_Lag,0))*(1-Sev),0)</f>
        <v>0</v>
      </c>
    </row>
    <row r="2379" customFormat="false" ht="15" hidden="false" customHeight="false" outlineLevel="0" collapsed="false">
      <c r="B2379" s="102" t="n">
        <f aca="false">'Loan Tape'!$A254</f>
        <v>0</v>
      </c>
      <c r="C2379" s="99" t="n">
        <f aca="false">IF(AND(1&lt;=Hold_Yrs,1-ROUND(Rec_Lag,0)&gt;=1),INDEX($C864:$L864,1,1-ROUND(Rec_Lag,0))*(1-Sev),0)</f>
        <v>0</v>
      </c>
      <c r="D2379" s="99" t="n">
        <f aca="false">IF(AND(2&lt;=Hold_Yrs,2-ROUND(Rec_Lag,0)&gt;=1),INDEX($C864:$L864,1,2-ROUND(Rec_Lag,0))*(1-Sev),0)</f>
        <v>0</v>
      </c>
      <c r="E2379" s="99" t="n">
        <f aca="false">IF(AND(3&lt;=Hold_Yrs,3-ROUND(Rec_Lag,0)&gt;=1),INDEX($C864:$L864,1,3-ROUND(Rec_Lag,0))*(1-Sev),0)</f>
        <v>0</v>
      </c>
      <c r="F2379" s="99" t="n">
        <f aca="false">IF(AND(4&lt;=Hold_Yrs,4-ROUND(Rec_Lag,0)&gt;=1),INDEX($C864:$L864,1,4-ROUND(Rec_Lag,0))*(1-Sev),0)</f>
        <v>0</v>
      </c>
      <c r="G2379" s="99" t="n">
        <f aca="false">IF(AND(5&lt;=Hold_Yrs,5-ROUND(Rec_Lag,0)&gt;=1),INDEX($C864:$L864,1,5-ROUND(Rec_Lag,0))*(1-Sev),0)</f>
        <v>0</v>
      </c>
      <c r="H2379" s="99" t="n">
        <f aca="false">IF(AND(6&lt;=Hold_Yrs,6-ROUND(Rec_Lag,0)&gt;=1),INDEX($C864:$L864,1,6-ROUND(Rec_Lag,0))*(1-Sev),0)</f>
        <v>0</v>
      </c>
      <c r="I2379" s="99" t="n">
        <f aca="false">IF(AND(7&lt;=Hold_Yrs,7-ROUND(Rec_Lag,0)&gt;=1),INDEX($C864:$L864,1,7-ROUND(Rec_Lag,0))*(1-Sev),0)</f>
        <v>0</v>
      </c>
      <c r="J2379" s="99" t="n">
        <f aca="false">IF(AND(8&lt;=Hold_Yrs,8-ROUND(Rec_Lag,0)&gt;=1),INDEX($C864:$L864,1,8-ROUND(Rec_Lag,0))*(1-Sev),0)</f>
        <v>0</v>
      </c>
      <c r="K2379" s="99" t="n">
        <f aca="false">IF(AND(9&lt;=Hold_Yrs,9-ROUND(Rec_Lag,0)&gt;=1),INDEX($C864:$L864,1,9-ROUND(Rec_Lag,0))*(1-Sev),0)</f>
        <v>0</v>
      </c>
      <c r="L2379" s="99" t="n">
        <f aca="false">IF(AND(10&lt;=Hold_Yrs,10-ROUND(Rec_Lag,0)&gt;=1),INDEX($C864:$L864,1,10-ROUND(Rec_Lag,0))*(1-Sev),0)</f>
        <v>0</v>
      </c>
    </row>
    <row r="2380" customFormat="false" ht="15" hidden="false" customHeight="false" outlineLevel="0" collapsed="false">
      <c r="B2380" s="108" t="n">
        <f aca="false">'Loan Tape'!$A255</f>
        <v>0</v>
      </c>
      <c r="C2380" s="71" t="n">
        <f aca="false">IF(AND(1&lt;=Hold_Yrs,1-ROUND(Rec_Lag,0)&gt;=1),INDEX($C865:$L865,1,1-ROUND(Rec_Lag,0))*(1-Sev),0)</f>
        <v>0</v>
      </c>
      <c r="D2380" s="71" t="n">
        <f aca="false">IF(AND(2&lt;=Hold_Yrs,2-ROUND(Rec_Lag,0)&gt;=1),INDEX($C865:$L865,1,2-ROUND(Rec_Lag,0))*(1-Sev),0)</f>
        <v>0</v>
      </c>
      <c r="E2380" s="71" t="n">
        <f aca="false">IF(AND(3&lt;=Hold_Yrs,3-ROUND(Rec_Lag,0)&gt;=1),INDEX($C865:$L865,1,3-ROUND(Rec_Lag,0))*(1-Sev),0)</f>
        <v>0</v>
      </c>
      <c r="F2380" s="71" t="n">
        <f aca="false">IF(AND(4&lt;=Hold_Yrs,4-ROUND(Rec_Lag,0)&gt;=1),INDEX($C865:$L865,1,4-ROUND(Rec_Lag,0))*(1-Sev),0)</f>
        <v>0</v>
      </c>
      <c r="G2380" s="71" t="n">
        <f aca="false">IF(AND(5&lt;=Hold_Yrs,5-ROUND(Rec_Lag,0)&gt;=1),INDEX($C865:$L865,1,5-ROUND(Rec_Lag,0))*(1-Sev),0)</f>
        <v>0</v>
      </c>
      <c r="H2380" s="71" t="n">
        <f aca="false">IF(AND(6&lt;=Hold_Yrs,6-ROUND(Rec_Lag,0)&gt;=1),INDEX($C865:$L865,1,6-ROUND(Rec_Lag,0))*(1-Sev),0)</f>
        <v>0</v>
      </c>
      <c r="I2380" s="71" t="n">
        <f aca="false">IF(AND(7&lt;=Hold_Yrs,7-ROUND(Rec_Lag,0)&gt;=1),INDEX($C865:$L865,1,7-ROUND(Rec_Lag,0))*(1-Sev),0)</f>
        <v>0</v>
      </c>
      <c r="J2380" s="71" t="n">
        <f aca="false">IF(AND(8&lt;=Hold_Yrs,8-ROUND(Rec_Lag,0)&gt;=1),INDEX($C865:$L865,1,8-ROUND(Rec_Lag,0))*(1-Sev),0)</f>
        <v>0</v>
      </c>
      <c r="K2380" s="71" t="n">
        <f aca="false">IF(AND(9&lt;=Hold_Yrs,9-ROUND(Rec_Lag,0)&gt;=1),INDEX($C865:$L865,1,9-ROUND(Rec_Lag,0))*(1-Sev),0)</f>
        <v>0</v>
      </c>
      <c r="L2380" s="71" t="n">
        <f aca="false">IF(AND(10&lt;=Hold_Yrs,10-ROUND(Rec_Lag,0)&gt;=1),INDEX($C865:$L865,1,10-ROUND(Rec_Lag,0))*(1-Sev),0)</f>
        <v>0</v>
      </c>
    </row>
    <row r="2381" customFormat="false" ht="15" hidden="false" customHeight="false" outlineLevel="0" collapsed="false">
      <c r="B2381" s="102" t="n">
        <f aca="false">'Loan Tape'!$A256</f>
        <v>0</v>
      </c>
      <c r="C2381" s="99" t="n">
        <f aca="false">IF(AND(1&lt;=Hold_Yrs,1-ROUND(Rec_Lag,0)&gt;=1),INDEX($C866:$L866,1,1-ROUND(Rec_Lag,0))*(1-Sev),0)</f>
        <v>0</v>
      </c>
      <c r="D2381" s="99" t="n">
        <f aca="false">IF(AND(2&lt;=Hold_Yrs,2-ROUND(Rec_Lag,0)&gt;=1),INDEX($C866:$L866,1,2-ROUND(Rec_Lag,0))*(1-Sev),0)</f>
        <v>0</v>
      </c>
      <c r="E2381" s="99" t="n">
        <f aca="false">IF(AND(3&lt;=Hold_Yrs,3-ROUND(Rec_Lag,0)&gt;=1),INDEX($C866:$L866,1,3-ROUND(Rec_Lag,0))*(1-Sev),0)</f>
        <v>0</v>
      </c>
      <c r="F2381" s="99" t="n">
        <f aca="false">IF(AND(4&lt;=Hold_Yrs,4-ROUND(Rec_Lag,0)&gt;=1),INDEX($C866:$L866,1,4-ROUND(Rec_Lag,0))*(1-Sev),0)</f>
        <v>0</v>
      </c>
      <c r="G2381" s="99" t="n">
        <f aca="false">IF(AND(5&lt;=Hold_Yrs,5-ROUND(Rec_Lag,0)&gt;=1),INDEX($C866:$L866,1,5-ROUND(Rec_Lag,0))*(1-Sev),0)</f>
        <v>0</v>
      </c>
      <c r="H2381" s="99" t="n">
        <f aca="false">IF(AND(6&lt;=Hold_Yrs,6-ROUND(Rec_Lag,0)&gt;=1),INDEX($C866:$L866,1,6-ROUND(Rec_Lag,0))*(1-Sev),0)</f>
        <v>0</v>
      </c>
      <c r="I2381" s="99" t="n">
        <f aca="false">IF(AND(7&lt;=Hold_Yrs,7-ROUND(Rec_Lag,0)&gt;=1),INDEX($C866:$L866,1,7-ROUND(Rec_Lag,0))*(1-Sev),0)</f>
        <v>0</v>
      </c>
      <c r="J2381" s="99" t="n">
        <f aca="false">IF(AND(8&lt;=Hold_Yrs,8-ROUND(Rec_Lag,0)&gt;=1),INDEX($C866:$L866,1,8-ROUND(Rec_Lag,0))*(1-Sev),0)</f>
        <v>0</v>
      </c>
      <c r="K2381" s="99" t="n">
        <f aca="false">IF(AND(9&lt;=Hold_Yrs,9-ROUND(Rec_Lag,0)&gt;=1),INDEX($C866:$L866,1,9-ROUND(Rec_Lag,0))*(1-Sev),0)</f>
        <v>0</v>
      </c>
      <c r="L2381" s="99" t="n">
        <f aca="false">IF(AND(10&lt;=Hold_Yrs,10-ROUND(Rec_Lag,0)&gt;=1),INDEX($C866:$L866,1,10-ROUND(Rec_Lag,0))*(1-Sev),0)</f>
        <v>0</v>
      </c>
    </row>
    <row r="2382" customFormat="false" ht="15" hidden="false" customHeight="false" outlineLevel="0" collapsed="false">
      <c r="B2382" s="108" t="n">
        <f aca="false">'Loan Tape'!$A257</f>
        <v>0</v>
      </c>
      <c r="C2382" s="71" t="n">
        <f aca="false">IF(AND(1&lt;=Hold_Yrs,1-ROUND(Rec_Lag,0)&gt;=1),INDEX($C867:$L867,1,1-ROUND(Rec_Lag,0))*(1-Sev),0)</f>
        <v>0</v>
      </c>
      <c r="D2382" s="71" t="n">
        <f aca="false">IF(AND(2&lt;=Hold_Yrs,2-ROUND(Rec_Lag,0)&gt;=1),INDEX($C867:$L867,1,2-ROUND(Rec_Lag,0))*(1-Sev),0)</f>
        <v>0</v>
      </c>
      <c r="E2382" s="71" t="n">
        <f aca="false">IF(AND(3&lt;=Hold_Yrs,3-ROUND(Rec_Lag,0)&gt;=1),INDEX($C867:$L867,1,3-ROUND(Rec_Lag,0))*(1-Sev),0)</f>
        <v>0</v>
      </c>
      <c r="F2382" s="71" t="n">
        <f aca="false">IF(AND(4&lt;=Hold_Yrs,4-ROUND(Rec_Lag,0)&gt;=1),INDEX($C867:$L867,1,4-ROUND(Rec_Lag,0))*(1-Sev),0)</f>
        <v>0</v>
      </c>
      <c r="G2382" s="71" t="n">
        <f aca="false">IF(AND(5&lt;=Hold_Yrs,5-ROUND(Rec_Lag,0)&gt;=1),INDEX($C867:$L867,1,5-ROUND(Rec_Lag,0))*(1-Sev),0)</f>
        <v>0</v>
      </c>
      <c r="H2382" s="71" t="n">
        <f aca="false">IF(AND(6&lt;=Hold_Yrs,6-ROUND(Rec_Lag,0)&gt;=1),INDEX($C867:$L867,1,6-ROUND(Rec_Lag,0))*(1-Sev),0)</f>
        <v>0</v>
      </c>
      <c r="I2382" s="71" t="n">
        <f aca="false">IF(AND(7&lt;=Hold_Yrs,7-ROUND(Rec_Lag,0)&gt;=1),INDEX($C867:$L867,1,7-ROUND(Rec_Lag,0))*(1-Sev),0)</f>
        <v>0</v>
      </c>
      <c r="J2382" s="71" t="n">
        <f aca="false">IF(AND(8&lt;=Hold_Yrs,8-ROUND(Rec_Lag,0)&gt;=1),INDEX($C867:$L867,1,8-ROUND(Rec_Lag,0))*(1-Sev),0)</f>
        <v>0</v>
      </c>
      <c r="K2382" s="71" t="n">
        <f aca="false">IF(AND(9&lt;=Hold_Yrs,9-ROUND(Rec_Lag,0)&gt;=1),INDEX($C867:$L867,1,9-ROUND(Rec_Lag,0))*(1-Sev),0)</f>
        <v>0</v>
      </c>
      <c r="L2382" s="71" t="n">
        <f aca="false">IF(AND(10&lt;=Hold_Yrs,10-ROUND(Rec_Lag,0)&gt;=1),INDEX($C867:$L867,1,10-ROUND(Rec_Lag,0))*(1-Sev),0)</f>
        <v>0</v>
      </c>
    </row>
    <row r="2383" customFormat="false" ht="15" hidden="false" customHeight="false" outlineLevel="0" collapsed="false">
      <c r="B2383" s="102" t="n">
        <f aca="false">'Loan Tape'!$A258</f>
        <v>0</v>
      </c>
      <c r="C2383" s="99" t="n">
        <f aca="false">IF(AND(1&lt;=Hold_Yrs,1-ROUND(Rec_Lag,0)&gt;=1),INDEX($C868:$L868,1,1-ROUND(Rec_Lag,0))*(1-Sev),0)</f>
        <v>0</v>
      </c>
      <c r="D2383" s="99" t="n">
        <f aca="false">IF(AND(2&lt;=Hold_Yrs,2-ROUND(Rec_Lag,0)&gt;=1),INDEX($C868:$L868,1,2-ROUND(Rec_Lag,0))*(1-Sev),0)</f>
        <v>0</v>
      </c>
      <c r="E2383" s="99" t="n">
        <f aca="false">IF(AND(3&lt;=Hold_Yrs,3-ROUND(Rec_Lag,0)&gt;=1),INDEX($C868:$L868,1,3-ROUND(Rec_Lag,0))*(1-Sev),0)</f>
        <v>0</v>
      </c>
      <c r="F2383" s="99" t="n">
        <f aca="false">IF(AND(4&lt;=Hold_Yrs,4-ROUND(Rec_Lag,0)&gt;=1),INDEX($C868:$L868,1,4-ROUND(Rec_Lag,0))*(1-Sev),0)</f>
        <v>0</v>
      </c>
      <c r="G2383" s="99" t="n">
        <f aca="false">IF(AND(5&lt;=Hold_Yrs,5-ROUND(Rec_Lag,0)&gt;=1),INDEX($C868:$L868,1,5-ROUND(Rec_Lag,0))*(1-Sev),0)</f>
        <v>0</v>
      </c>
      <c r="H2383" s="99" t="n">
        <f aca="false">IF(AND(6&lt;=Hold_Yrs,6-ROUND(Rec_Lag,0)&gt;=1),INDEX($C868:$L868,1,6-ROUND(Rec_Lag,0))*(1-Sev),0)</f>
        <v>0</v>
      </c>
      <c r="I2383" s="99" t="n">
        <f aca="false">IF(AND(7&lt;=Hold_Yrs,7-ROUND(Rec_Lag,0)&gt;=1),INDEX($C868:$L868,1,7-ROUND(Rec_Lag,0))*(1-Sev),0)</f>
        <v>0</v>
      </c>
      <c r="J2383" s="99" t="n">
        <f aca="false">IF(AND(8&lt;=Hold_Yrs,8-ROUND(Rec_Lag,0)&gt;=1),INDEX($C868:$L868,1,8-ROUND(Rec_Lag,0))*(1-Sev),0)</f>
        <v>0</v>
      </c>
      <c r="K2383" s="99" t="n">
        <f aca="false">IF(AND(9&lt;=Hold_Yrs,9-ROUND(Rec_Lag,0)&gt;=1),INDEX($C868:$L868,1,9-ROUND(Rec_Lag,0))*(1-Sev),0)</f>
        <v>0</v>
      </c>
      <c r="L2383" s="99" t="n">
        <f aca="false">IF(AND(10&lt;=Hold_Yrs,10-ROUND(Rec_Lag,0)&gt;=1),INDEX($C868:$L868,1,10-ROUND(Rec_Lag,0))*(1-Sev),0)</f>
        <v>0</v>
      </c>
    </row>
    <row r="2384" customFormat="false" ht="15" hidden="false" customHeight="false" outlineLevel="0" collapsed="false">
      <c r="B2384" s="108" t="n">
        <f aca="false">'Loan Tape'!$A259</f>
        <v>0</v>
      </c>
      <c r="C2384" s="71" t="n">
        <f aca="false">IF(AND(1&lt;=Hold_Yrs,1-ROUND(Rec_Lag,0)&gt;=1),INDEX($C869:$L869,1,1-ROUND(Rec_Lag,0))*(1-Sev),0)</f>
        <v>0</v>
      </c>
      <c r="D2384" s="71" t="n">
        <f aca="false">IF(AND(2&lt;=Hold_Yrs,2-ROUND(Rec_Lag,0)&gt;=1),INDEX($C869:$L869,1,2-ROUND(Rec_Lag,0))*(1-Sev),0)</f>
        <v>0</v>
      </c>
      <c r="E2384" s="71" t="n">
        <f aca="false">IF(AND(3&lt;=Hold_Yrs,3-ROUND(Rec_Lag,0)&gt;=1),INDEX($C869:$L869,1,3-ROUND(Rec_Lag,0))*(1-Sev),0)</f>
        <v>0</v>
      </c>
      <c r="F2384" s="71" t="n">
        <f aca="false">IF(AND(4&lt;=Hold_Yrs,4-ROUND(Rec_Lag,0)&gt;=1),INDEX($C869:$L869,1,4-ROUND(Rec_Lag,0))*(1-Sev),0)</f>
        <v>0</v>
      </c>
      <c r="G2384" s="71" t="n">
        <f aca="false">IF(AND(5&lt;=Hold_Yrs,5-ROUND(Rec_Lag,0)&gt;=1),INDEX($C869:$L869,1,5-ROUND(Rec_Lag,0))*(1-Sev),0)</f>
        <v>0</v>
      </c>
      <c r="H2384" s="71" t="n">
        <f aca="false">IF(AND(6&lt;=Hold_Yrs,6-ROUND(Rec_Lag,0)&gt;=1),INDEX($C869:$L869,1,6-ROUND(Rec_Lag,0))*(1-Sev),0)</f>
        <v>0</v>
      </c>
      <c r="I2384" s="71" t="n">
        <f aca="false">IF(AND(7&lt;=Hold_Yrs,7-ROUND(Rec_Lag,0)&gt;=1),INDEX($C869:$L869,1,7-ROUND(Rec_Lag,0))*(1-Sev),0)</f>
        <v>0</v>
      </c>
      <c r="J2384" s="71" t="n">
        <f aca="false">IF(AND(8&lt;=Hold_Yrs,8-ROUND(Rec_Lag,0)&gt;=1),INDEX($C869:$L869,1,8-ROUND(Rec_Lag,0))*(1-Sev),0)</f>
        <v>0</v>
      </c>
      <c r="K2384" s="71" t="n">
        <f aca="false">IF(AND(9&lt;=Hold_Yrs,9-ROUND(Rec_Lag,0)&gt;=1),INDEX($C869:$L869,1,9-ROUND(Rec_Lag,0))*(1-Sev),0)</f>
        <v>0</v>
      </c>
      <c r="L2384" s="71" t="n">
        <f aca="false">IF(AND(10&lt;=Hold_Yrs,10-ROUND(Rec_Lag,0)&gt;=1),INDEX($C869:$L869,1,10-ROUND(Rec_Lag,0))*(1-Sev),0)</f>
        <v>0</v>
      </c>
    </row>
    <row r="2385" customFormat="false" ht="15" hidden="false" customHeight="false" outlineLevel="0" collapsed="false">
      <c r="B2385" s="102" t="n">
        <f aca="false">'Loan Tape'!$A260</f>
        <v>0</v>
      </c>
      <c r="C2385" s="99" t="n">
        <f aca="false">IF(AND(1&lt;=Hold_Yrs,1-ROUND(Rec_Lag,0)&gt;=1),INDEX($C870:$L870,1,1-ROUND(Rec_Lag,0))*(1-Sev),0)</f>
        <v>0</v>
      </c>
      <c r="D2385" s="99" t="n">
        <f aca="false">IF(AND(2&lt;=Hold_Yrs,2-ROUND(Rec_Lag,0)&gt;=1),INDEX($C870:$L870,1,2-ROUND(Rec_Lag,0))*(1-Sev),0)</f>
        <v>0</v>
      </c>
      <c r="E2385" s="99" t="n">
        <f aca="false">IF(AND(3&lt;=Hold_Yrs,3-ROUND(Rec_Lag,0)&gt;=1),INDEX($C870:$L870,1,3-ROUND(Rec_Lag,0))*(1-Sev),0)</f>
        <v>0</v>
      </c>
      <c r="F2385" s="99" t="n">
        <f aca="false">IF(AND(4&lt;=Hold_Yrs,4-ROUND(Rec_Lag,0)&gt;=1),INDEX($C870:$L870,1,4-ROUND(Rec_Lag,0))*(1-Sev),0)</f>
        <v>0</v>
      </c>
      <c r="G2385" s="99" t="n">
        <f aca="false">IF(AND(5&lt;=Hold_Yrs,5-ROUND(Rec_Lag,0)&gt;=1),INDEX($C870:$L870,1,5-ROUND(Rec_Lag,0))*(1-Sev),0)</f>
        <v>0</v>
      </c>
      <c r="H2385" s="99" t="n">
        <f aca="false">IF(AND(6&lt;=Hold_Yrs,6-ROUND(Rec_Lag,0)&gt;=1),INDEX($C870:$L870,1,6-ROUND(Rec_Lag,0))*(1-Sev),0)</f>
        <v>0</v>
      </c>
      <c r="I2385" s="99" t="n">
        <f aca="false">IF(AND(7&lt;=Hold_Yrs,7-ROUND(Rec_Lag,0)&gt;=1),INDEX($C870:$L870,1,7-ROUND(Rec_Lag,0))*(1-Sev),0)</f>
        <v>0</v>
      </c>
      <c r="J2385" s="99" t="n">
        <f aca="false">IF(AND(8&lt;=Hold_Yrs,8-ROUND(Rec_Lag,0)&gt;=1),INDEX($C870:$L870,1,8-ROUND(Rec_Lag,0))*(1-Sev),0)</f>
        <v>0</v>
      </c>
      <c r="K2385" s="99" t="n">
        <f aca="false">IF(AND(9&lt;=Hold_Yrs,9-ROUND(Rec_Lag,0)&gt;=1),INDEX($C870:$L870,1,9-ROUND(Rec_Lag,0))*(1-Sev),0)</f>
        <v>0</v>
      </c>
      <c r="L2385" s="99" t="n">
        <f aca="false">IF(AND(10&lt;=Hold_Yrs,10-ROUND(Rec_Lag,0)&gt;=1),INDEX($C870:$L870,1,10-ROUND(Rec_Lag,0))*(1-Sev),0)</f>
        <v>0</v>
      </c>
    </row>
    <row r="2386" customFormat="false" ht="15" hidden="false" customHeight="false" outlineLevel="0" collapsed="false">
      <c r="B2386" s="108" t="n">
        <f aca="false">'Loan Tape'!$A261</f>
        <v>0</v>
      </c>
      <c r="C2386" s="71" t="n">
        <f aca="false">IF(AND(1&lt;=Hold_Yrs,1-ROUND(Rec_Lag,0)&gt;=1),INDEX($C871:$L871,1,1-ROUND(Rec_Lag,0))*(1-Sev),0)</f>
        <v>0</v>
      </c>
      <c r="D2386" s="71" t="n">
        <f aca="false">IF(AND(2&lt;=Hold_Yrs,2-ROUND(Rec_Lag,0)&gt;=1),INDEX($C871:$L871,1,2-ROUND(Rec_Lag,0))*(1-Sev),0)</f>
        <v>0</v>
      </c>
      <c r="E2386" s="71" t="n">
        <f aca="false">IF(AND(3&lt;=Hold_Yrs,3-ROUND(Rec_Lag,0)&gt;=1),INDEX($C871:$L871,1,3-ROUND(Rec_Lag,0))*(1-Sev),0)</f>
        <v>0</v>
      </c>
      <c r="F2386" s="71" t="n">
        <f aca="false">IF(AND(4&lt;=Hold_Yrs,4-ROUND(Rec_Lag,0)&gt;=1),INDEX($C871:$L871,1,4-ROUND(Rec_Lag,0))*(1-Sev),0)</f>
        <v>0</v>
      </c>
      <c r="G2386" s="71" t="n">
        <f aca="false">IF(AND(5&lt;=Hold_Yrs,5-ROUND(Rec_Lag,0)&gt;=1),INDEX($C871:$L871,1,5-ROUND(Rec_Lag,0))*(1-Sev),0)</f>
        <v>0</v>
      </c>
      <c r="H2386" s="71" t="n">
        <f aca="false">IF(AND(6&lt;=Hold_Yrs,6-ROUND(Rec_Lag,0)&gt;=1),INDEX($C871:$L871,1,6-ROUND(Rec_Lag,0))*(1-Sev),0)</f>
        <v>0</v>
      </c>
      <c r="I2386" s="71" t="n">
        <f aca="false">IF(AND(7&lt;=Hold_Yrs,7-ROUND(Rec_Lag,0)&gt;=1),INDEX($C871:$L871,1,7-ROUND(Rec_Lag,0))*(1-Sev),0)</f>
        <v>0</v>
      </c>
      <c r="J2386" s="71" t="n">
        <f aca="false">IF(AND(8&lt;=Hold_Yrs,8-ROUND(Rec_Lag,0)&gt;=1),INDEX($C871:$L871,1,8-ROUND(Rec_Lag,0))*(1-Sev),0)</f>
        <v>0</v>
      </c>
      <c r="K2386" s="71" t="n">
        <f aca="false">IF(AND(9&lt;=Hold_Yrs,9-ROUND(Rec_Lag,0)&gt;=1),INDEX($C871:$L871,1,9-ROUND(Rec_Lag,0))*(1-Sev),0)</f>
        <v>0</v>
      </c>
      <c r="L2386" s="71" t="n">
        <f aca="false">IF(AND(10&lt;=Hold_Yrs,10-ROUND(Rec_Lag,0)&gt;=1),INDEX($C871:$L871,1,10-ROUND(Rec_Lag,0))*(1-Sev),0)</f>
        <v>0</v>
      </c>
    </row>
    <row r="2387" customFormat="false" ht="15" hidden="false" customHeight="false" outlineLevel="0" collapsed="false">
      <c r="B2387" s="102" t="n">
        <f aca="false">'Loan Tape'!$A262</f>
        <v>0</v>
      </c>
      <c r="C2387" s="99" t="n">
        <f aca="false">IF(AND(1&lt;=Hold_Yrs,1-ROUND(Rec_Lag,0)&gt;=1),INDEX($C872:$L872,1,1-ROUND(Rec_Lag,0))*(1-Sev),0)</f>
        <v>0</v>
      </c>
      <c r="D2387" s="99" t="n">
        <f aca="false">IF(AND(2&lt;=Hold_Yrs,2-ROUND(Rec_Lag,0)&gt;=1),INDEX($C872:$L872,1,2-ROUND(Rec_Lag,0))*(1-Sev),0)</f>
        <v>0</v>
      </c>
      <c r="E2387" s="99" t="n">
        <f aca="false">IF(AND(3&lt;=Hold_Yrs,3-ROUND(Rec_Lag,0)&gt;=1),INDEX($C872:$L872,1,3-ROUND(Rec_Lag,0))*(1-Sev),0)</f>
        <v>0</v>
      </c>
      <c r="F2387" s="99" t="n">
        <f aca="false">IF(AND(4&lt;=Hold_Yrs,4-ROUND(Rec_Lag,0)&gt;=1),INDEX($C872:$L872,1,4-ROUND(Rec_Lag,0))*(1-Sev),0)</f>
        <v>0</v>
      </c>
      <c r="G2387" s="99" t="n">
        <f aca="false">IF(AND(5&lt;=Hold_Yrs,5-ROUND(Rec_Lag,0)&gt;=1),INDEX($C872:$L872,1,5-ROUND(Rec_Lag,0))*(1-Sev),0)</f>
        <v>0</v>
      </c>
      <c r="H2387" s="99" t="n">
        <f aca="false">IF(AND(6&lt;=Hold_Yrs,6-ROUND(Rec_Lag,0)&gt;=1),INDEX($C872:$L872,1,6-ROUND(Rec_Lag,0))*(1-Sev),0)</f>
        <v>0</v>
      </c>
      <c r="I2387" s="99" t="n">
        <f aca="false">IF(AND(7&lt;=Hold_Yrs,7-ROUND(Rec_Lag,0)&gt;=1),INDEX($C872:$L872,1,7-ROUND(Rec_Lag,0))*(1-Sev),0)</f>
        <v>0</v>
      </c>
      <c r="J2387" s="99" t="n">
        <f aca="false">IF(AND(8&lt;=Hold_Yrs,8-ROUND(Rec_Lag,0)&gt;=1),INDEX($C872:$L872,1,8-ROUND(Rec_Lag,0))*(1-Sev),0)</f>
        <v>0</v>
      </c>
      <c r="K2387" s="99" t="n">
        <f aca="false">IF(AND(9&lt;=Hold_Yrs,9-ROUND(Rec_Lag,0)&gt;=1),INDEX($C872:$L872,1,9-ROUND(Rec_Lag,0))*(1-Sev),0)</f>
        <v>0</v>
      </c>
      <c r="L2387" s="99" t="n">
        <f aca="false">IF(AND(10&lt;=Hold_Yrs,10-ROUND(Rec_Lag,0)&gt;=1),INDEX($C872:$L872,1,10-ROUND(Rec_Lag,0))*(1-Sev),0)</f>
        <v>0</v>
      </c>
    </row>
    <row r="2388" customFormat="false" ht="15" hidden="false" customHeight="false" outlineLevel="0" collapsed="false">
      <c r="B2388" s="108" t="n">
        <f aca="false">'Loan Tape'!$A263</f>
        <v>0</v>
      </c>
      <c r="C2388" s="71" t="n">
        <f aca="false">IF(AND(1&lt;=Hold_Yrs,1-ROUND(Rec_Lag,0)&gt;=1),INDEX($C873:$L873,1,1-ROUND(Rec_Lag,0))*(1-Sev),0)</f>
        <v>0</v>
      </c>
      <c r="D2388" s="71" t="n">
        <f aca="false">IF(AND(2&lt;=Hold_Yrs,2-ROUND(Rec_Lag,0)&gt;=1),INDEX($C873:$L873,1,2-ROUND(Rec_Lag,0))*(1-Sev),0)</f>
        <v>0</v>
      </c>
      <c r="E2388" s="71" t="n">
        <f aca="false">IF(AND(3&lt;=Hold_Yrs,3-ROUND(Rec_Lag,0)&gt;=1),INDEX($C873:$L873,1,3-ROUND(Rec_Lag,0))*(1-Sev),0)</f>
        <v>0</v>
      </c>
      <c r="F2388" s="71" t="n">
        <f aca="false">IF(AND(4&lt;=Hold_Yrs,4-ROUND(Rec_Lag,0)&gt;=1),INDEX($C873:$L873,1,4-ROUND(Rec_Lag,0))*(1-Sev),0)</f>
        <v>0</v>
      </c>
      <c r="G2388" s="71" t="n">
        <f aca="false">IF(AND(5&lt;=Hold_Yrs,5-ROUND(Rec_Lag,0)&gt;=1),INDEX($C873:$L873,1,5-ROUND(Rec_Lag,0))*(1-Sev),0)</f>
        <v>0</v>
      </c>
      <c r="H2388" s="71" t="n">
        <f aca="false">IF(AND(6&lt;=Hold_Yrs,6-ROUND(Rec_Lag,0)&gt;=1),INDEX($C873:$L873,1,6-ROUND(Rec_Lag,0))*(1-Sev),0)</f>
        <v>0</v>
      </c>
      <c r="I2388" s="71" t="n">
        <f aca="false">IF(AND(7&lt;=Hold_Yrs,7-ROUND(Rec_Lag,0)&gt;=1),INDEX($C873:$L873,1,7-ROUND(Rec_Lag,0))*(1-Sev),0)</f>
        <v>0</v>
      </c>
      <c r="J2388" s="71" t="n">
        <f aca="false">IF(AND(8&lt;=Hold_Yrs,8-ROUND(Rec_Lag,0)&gt;=1),INDEX($C873:$L873,1,8-ROUND(Rec_Lag,0))*(1-Sev),0)</f>
        <v>0</v>
      </c>
      <c r="K2388" s="71" t="n">
        <f aca="false">IF(AND(9&lt;=Hold_Yrs,9-ROUND(Rec_Lag,0)&gt;=1),INDEX($C873:$L873,1,9-ROUND(Rec_Lag,0))*(1-Sev),0)</f>
        <v>0</v>
      </c>
      <c r="L2388" s="71" t="n">
        <f aca="false">IF(AND(10&lt;=Hold_Yrs,10-ROUND(Rec_Lag,0)&gt;=1),INDEX($C873:$L873,1,10-ROUND(Rec_Lag,0))*(1-Sev),0)</f>
        <v>0</v>
      </c>
    </row>
    <row r="2389" customFormat="false" ht="15" hidden="false" customHeight="false" outlineLevel="0" collapsed="false">
      <c r="B2389" s="102" t="n">
        <f aca="false">'Loan Tape'!$A264</f>
        <v>0</v>
      </c>
      <c r="C2389" s="99" t="n">
        <f aca="false">IF(AND(1&lt;=Hold_Yrs,1-ROUND(Rec_Lag,0)&gt;=1),INDEX($C874:$L874,1,1-ROUND(Rec_Lag,0))*(1-Sev),0)</f>
        <v>0</v>
      </c>
      <c r="D2389" s="99" t="n">
        <f aca="false">IF(AND(2&lt;=Hold_Yrs,2-ROUND(Rec_Lag,0)&gt;=1),INDEX($C874:$L874,1,2-ROUND(Rec_Lag,0))*(1-Sev),0)</f>
        <v>0</v>
      </c>
      <c r="E2389" s="99" t="n">
        <f aca="false">IF(AND(3&lt;=Hold_Yrs,3-ROUND(Rec_Lag,0)&gt;=1),INDEX($C874:$L874,1,3-ROUND(Rec_Lag,0))*(1-Sev),0)</f>
        <v>0</v>
      </c>
      <c r="F2389" s="99" t="n">
        <f aca="false">IF(AND(4&lt;=Hold_Yrs,4-ROUND(Rec_Lag,0)&gt;=1),INDEX($C874:$L874,1,4-ROUND(Rec_Lag,0))*(1-Sev),0)</f>
        <v>0</v>
      </c>
      <c r="G2389" s="99" t="n">
        <f aca="false">IF(AND(5&lt;=Hold_Yrs,5-ROUND(Rec_Lag,0)&gt;=1),INDEX($C874:$L874,1,5-ROUND(Rec_Lag,0))*(1-Sev),0)</f>
        <v>0</v>
      </c>
      <c r="H2389" s="99" t="n">
        <f aca="false">IF(AND(6&lt;=Hold_Yrs,6-ROUND(Rec_Lag,0)&gt;=1),INDEX($C874:$L874,1,6-ROUND(Rec_Lag,0))*(1-Sev),0)</f>
        <v>0</v>
      </c>
      <c r="I2389" s="99" t="n">
        <f aca="false">IF(AND(7&lt;=Hold_Yrs,7-ROUND(Rec_Lag,0)&gt;=1),INDEX($C874:$L874,1,7-ROUND(Rec_Lag,0))*(1-Sev),0)</f>
        <v>0</v>
      </c>
      <c r="J2389" s="99" t="n">
        <f aca="false">IF(AND(8&lt;=Hold_Yrs,8-ROUND(Rec_Lag,0)&gt;=1),INDEX($C874:$L874,1,8-ROUND(Rec_Lag,0))*(1-Sev),0)</f>
        <v>0</v>
      </c>
      <c r="K2389" s="99" t="n">
        <f aca="false">IF(AND(9&lt;=Hold_Yrs,9-ROUND(Rec_Lag,0)&gt;=1),INDEX($C874:$L874,1,9-ROUND(Rec_Lag,0))*(1-Sev),0)</f>
        <v>0</v>
      </c>
      <c r="L2389" s="99" t="n">
        <f aca="false">IF(AND(10&lt;=Hold_Yrs,10-ROUND(Rec_Lag,0)&gt;=1),INDEX($C874:$L874,1,10-ROUND(Rec_Lag,0))*(1-Sev),0)</f>
        <v>0</v>
      </c>
    </row>
    <row r="2390" customFormat="false" ht="15" hidden="false" customHeight="false" outlineLevel="0" collapsed="false">
      <c r="B2390" s="108" t="n">
        <f aca="false">'Loan Tape'!$A265</f>
        <v>0</v>
      </c>
      <c r="C2390" s="71" t="n">
        <f aca="false">IF(AND(1&lt;=Hold_Yrs,1-ROUND(Rec_Lag,0)&gt;=1),INDEX($C875:$L875,1,1-ROUND(Rec_Lag,0))*(1-Sev),0)</f>
        <v>0</v>
      </c>
      <c r="D2390" s="71" t="n">
        <f aca="false">IF(AND(2&lt;=Hold_Yrs,2-ROUND(Rec_Lag,0)&gt;=1),INDEX($C875:$L875,1,2-ROUND(Rec_Lag,0))*(1-Sev),0)</f>
        <v>0</v>
      </c>
      <c r="E2390" s="71" t="n">
        <f aca="false">IF(AND(3&lt;=Hold_Yrs,3-ROUND(Rec_Lag,0)&gt;=1),INDEX($C875:$L875,1,3-ROUND(Rec_Lag,0))*(1-Sev),0)</f>
        <v>0</v>
      </c>
      <c r="F2390" s="71" t="n">
        <f aca="false">IF(AND(4&lt;=Hold_Yrs,4-ROUND(Rec_Lag,0)&gt;=1),INDEX($C875:$L875,1,4-ROUND(Rec_Lag,0))*(1-Sev),0)</f>
        <v>0</v>
      </c>
      <c r="G2390" s="71" t="n">
        <f aca="false">IF(AND(5&lt;=Hold_Yrs,5-ROUND(Rec_Lag,0)&gt;=1),INDEX($C875:$L875,1,5-ROUND(Rec_Lag,0))*(1-Sev),0)</f>
        <v>0</v>
      </c>
      <c r="H2390" s="71" t="n">
        <f aca="false">IF(AND(6&lt;=Hold_Yrs,6-ROUND(Rec_Lag,0)&gt;=1),INDEX($C875:$L875,1,6-ROUND(Rec_Lag,0))*(1-Sev),0)</f>
        <v>0</v>
      </c>
      <c r="I2390" s="71" t="n">
        <f aca="false">IF(AND(7&lt;=Hold_Yrs,7-ROUND(Rec_Lag,0)&gt;=1),INDEX($C875:$L875,1,7-ROUND(Rec_Lag,0))*(1-Sev),0)</f>
        <v>0</v>
      </c>
      <c r="J2390" s="71" t="n">
        <f aca="false">IF(AND(8&lt;=Hold_Yrs,8-ROUND(Rec_Lag,0)&gt;=1),INDEX($C875:$L875,1,8-ROUND(Rec_Lag,0))*(1-Sev),0)</f>
        <v>0</v>
      </c>
      <c r="K2390" s="71" t="n">
        <f aca="false">IF(AND(9&lt;=Hold_Yrs,9-ROUND(Rec_Lag,0)&gt;=1),INDEX($C875:$L875,1,9-ROUND(Rec_Lag,0))*(1-Sev),0)</f>
        <v>0</v>
      </c>
      <c r="L2390" s="71" t="n">
        <f aca="false">IF(AND(10&lt;=Hold_Yrs,10-ROUND(Rec_Lag,0)&gt;=1),INDEX($C875:$L875,1,10-ROUND(Rec_Lag,0))*(1-Sev),0)</f>
        <v>0</v>
      </c>
    </row>
    <row r="2391" customFormat="false" ht="15" hidden="false" customHeight="false" outlineLevel="0" collapsed="false">
      <c r="B2391" s="102" t="n">
        <f aca="false">'Loan Tape'!$A266</f>
        <v>0</v>
      </c>
      <c r="C2391" s="99" t="n">
        <f aca="false">IF(AND(1&lt;=Hold_Yrs,1-ROUND(Rec_Lag,0)&gt;=1),INDEX($C876:$L876,1,1-ROUND(Rec_Lag,0))*(1-Sev),0)</f>
        <v>0</v>
      </c>
      <c r="D2391" s="99" t="n">
        <f aca="false">IF(AND(2&lt;=Hold_Yrs,2-ROUND(Rec_Lag,0)&gt;=1),INDEX($C876:$L876,1,2-ROUND(Rec_Lag,0))*(1-Sev),0)</f>
        <v>0</v>
      </c>
      <c r="E2391" s="99" t="n">
        <f aca="false">IF(AND(3&lt;=Hold_Yrs,3-ROUND(Rec_Lag,0)&gt;=1),INDEX($C876:$L876,1,3-ROUND(Rec_Lag,0))*(1-Sev),0)</f>
        <v>0</v>
      </c>
      <c r="F2391" s="99" t="n">
        <f aca="false">IF(AND(4&lt;=Hold_Yrs,4-ROUND(Rec_Lag,0)&gt;=1),INDEX($C876:$L876,1,4-ROUND(Rec_Lag,0))*(1-Sev),0)</f>
        <v>0</v>
      </c>
      <c r="G2391" s="99" t="n">
        <f aca="false">IF(AND(5&lt;=Hold_Yrs,5-ROUND(Rec_Lag,0)&gt;=1),INDEX($C876:$L876,1,5-ROUND(Rec_Lag,0))*(1-Sev),0)</f>
        <v>0</v>
      </c>
      <c r="H2391" s="99" t="n">
        <f aca="false">IF(AND(6&lt;=Hold_Yrs,6-ROUND(Rec_Lag,0)&gt;=1),INDEX($C876:$L876,1,6-ROUND(Rec_Lag,0))*(1-Sev),0)</f>
        <v>0</v>
      </c>
      <c r="I2391" s="99" t="n">
        <f aca="false">IF(AND(7&lt;=Hold_Yrs,7-ROUND(Rec_Lag,0)&gt;=1),INDEX($C876:$L876,1,7-ROUND(Rec_Lag,0))*(1-Sev),0)</f>
        <v>0</v>
      </c>
      <c r="J2391" s="99" t="n">
        <f aca="false">IF(AND(8&lt;=Hold_Yrs,8-ROUND(Rec_Lag,0)&gt;=1),INDEX($C876:$L876,1,8-ROUND(Rec_Lag,0))*(1-Sev),0)</f>
        <v>0</v>
      </c>
      <c r="K2391" s="99" t="n">
        <f aca="false">IF(AND(9&lt;=Hold_Yrs,9-ROUND(Rec_Lag,0)&gt;=1),INDEX($C876:$L876,1,9-ROUND(Rec_Lag,0))*(1-Sev),0)</f>
        <v>0</v>
      </c>
      <c r="L2391" s="99" t="n">
        <f aca="false">IF(AND(10&lt;=Hold_Yrs,10-ROUND(Rec_Lag,0)&gt;=1),INDEX($C876:$L876,1,10-ROUND(Rec_Lag,0))*(1-Sev),0)</f>
        <v>0</v>
      </c>
    </row>
    <row r="2392" customFormat="false" ht="15" hidden="false" customHeight="false" outlineLevel="0" collapsed="false">
      <c r="B2392" s="108" t="n">
        <f aca="false">'Loan Tape'!$A267</f>
        <v>0</v>
      </c>
      <c r="C2392" s="71" t="n">
        <f aca="false">IF(AND(1&lt;=Hold_Yrs,1-ROUND(Rec_Lag,0)&gt;=1),INDEX($C877:$L877,1,1-ROUND(Rec_Lag,0))*(1-Sev),0)</f>
        <v>0</v>
      </c>
      <c r="D2392" s="71" t="n">
        <f aca="false">IF(AND(2&lt;=Hold_Yrs,2-ROUND(Rec_Lag,0)&gt;=1),INDEX($C877:$L877,1,2-ROUND(Rec_Lag,0))*(1-Sev),0)</f>
        <v>0</v>
      </c>
      <c r="E2392" s="71" t="n">
        <f aca="false">IF(AND(3&lt;=Hold_Yrs,3-ROUND(Rec_Lag,0)&gt;=1),INDEX($C877:$L877,1,3-ROUND(Rec_Lag,0))*(1-Sev),0)</f>
        <v>0</v>
      </c>
      <c r="F2392" s="71" t="n">
        <f aca="false">IF(AND(4&lt;=Hold_Yrs,4-ROUND(Rec_Lag,0)&gt;=1),INDEX($C877:$L877,1,4-ROUND(Rec_Lag,0))*(1-Sev),0)</f>
        <v>0</v>
      </c>
      <c r="G2392" s="71" t="n">
        <f aca="false">IF(AND(5&lt;=Hold_Yrs,5-ROUND(Rec_Lag,0)&gt;=1),INDEX($C877:$L877,1,5-ROUND(Rec_Lag,0))*(1-Sev),0)</f>
        <v>0</v>
      </c>
      <c r="H2392" s="71" t="n">
        <f aca="false">IF(AND(6&lt;=Hold_Yrs,6-ROUND(Rec_Lag,0)&gt;=1),INDEX($C877:$L877,1,6-ROUND(Rec_Lag,0))*(1-Sev),0)</f>
        <v>0</v>
      </c>
      <c r="I2392" s="71" t="n">
        <f aca="false">IF(AND(7&lt;=Hold_Yrs,7-ROUND(Rec_Lag,0)&gt;=1),INDEX($C877:$L877,1,7-ROUND(Rec_Lag,0))*(1-Sev),0)</f>
        <v>0</v>
      </c>
      <c r="J2392" s="71" t="n">
        <f aca="false">IF(AND(8&lt;=Hold_Yrs,8-ROUND(Rec_Lag,0)&gt;=1),INDEX($C877:$L877,1,8-ROUND(Rec_Lag,0))*(1-Sev),0)</f>
        <v>0</v>
      </c>
      <c r="K2392" s="71" t="n">
        <f aca="false">IF(AND(9&lt;=Hold_Yrs,9-ROUND(Rec_Lag,0)&gt;=1),INDEX($C877:$L877,1,9-ROUND(Rec_Lag,0))*(1-Sev),0)</f>
        <v>0</v>
      </c>
      <c r="L2392" s="71" t="n">
        <f aca="false">IF(AND(10&lt;=Hold_Yrs,10-ROUND(Rec_Lag,0)&gt;=1),INDEX($C877:$L877,1,10-ROUND(Rec_Lag,0))*(1-Sev),0)</f>
        <v>0</v>
      </c>
    </row>
    <row r="2393" customFormat="false" ht="15" hidden="false" customHeight="false" outlineLevel="0" collapsed="false">
      <c r="B2393" s="102" t="n">
        <f aca="false">'Loan Tape'!$A268</f>
        <v>0</v>
      </c>
      <c r="C2393" s="99" t="n">
        <f aca="false">IF(AND(1&lt;=Hold_Yrs,1-ROUND(Rec_Lag,0)&gt;=1),INDEX($C878:$L878,1,1-ROUND(Rec_Lag,0))*(1-Sev),0)</f>
        <v>0</v>
      </c>
      <c r="D2393" s="99" t="n">
        <f aca="false">IF(AND(2&lt;=Hold_Yrs,2-ROUND(Rec_Lag,0)&gt;=1),INDEX($C878:$L878,1,2-ROUND(Rec_Lag,0))*(1-Sev),0)</f>
        <v>0</v>
      </c>
      <c r="E2393" s="99" t="n">
        <f aca="false">IF(AND(3&lt;=Hold_Yrs,3-ROUND(Rec_Lag,0)&gt;=1),INDEX($C878:$L878,1,3-ROUND(Rec_Lag,0))*(1-Sev),0)</f>
        <v>0</v>
      </c>
      <c r="F2393" s="99" t="n">
        <f aca="false">IF(AND(4&lt;=Hold_Yrs,4-ROUND(Rec_Lag,0)&gt;=1),INDEX($C878:$L878,1,4-ROUND(Rec_Lag,0))*(1-Sev),0)</f>
        <v>0</v>
      </c>
      <c r="G2393" s="99" t="n">
        <f aca="false">IF(AND(5&lt;=Hold_Yrs,5-ROUND(Rec_Lag,0)&gt;=1),INDEX($C878:$L878,1,5-ROUND(Rec_Lag,0))*(1-Sev),0)</f>
        <v>0</v>
      </c>
      <c r="H2393" s="99" t="n">
        <f aca="false">IF(AND(6&lt;=Hold_Yrs,6-ROUND(Rec_Lag,0)&gt;=1),INDEX($C878:$L878,1,6-ROUND(Rec_Lag,0))*(1-Sev),0)</f>
        <v>0</v>
      </c>
      <c r="I2393" s="99" t="n">
        <f aca="false">IF(AND(7&lt;=Hold_Yrs,7-ROUND(Rec_Lag,0)&gt;=1),INDEX($C878:$L878,1,7-ROUND(Rec_Lag,0))*(1-Sev),0)</f>
        <v>0</v>
      </c>
      <c r="J2393" s="99" t="n">
        <f aca="false">IF(AND(8&lt;=Hold_Yrs,8-ROUND(Rec_Lag,0)&gt;=1),INDEX($C878:$L878,1,8-ROUND(Rec_Lag,0))*(1-Sev),0)</f>
        <v>0</v>
      </c>
      <c r="K2393" s="99" t="n">
        <f aca="false">IF(AND(9&lt;=Hold_Yrs,9-ROUND(Rec_Lag,0)&gt;=1),INDEX($C878:$L878,1,9-ROUND(Rec_Lag,0))*(1-Sev),0)</f>
        <v>0</v>
      </c>
      <c r="L2393" s="99" t="n">
        <f aca="false">IF(AND(10&lt;=Hold_Yrs,10-ROUND(Rec_Lag,0)&gt;=1),INDEX($C878:$L878,1,10-ROUND(Rec_Lag,0))*(1-Sev),0)</f>
        <v>0</v>
      </c>
    </row>
    <row r="2394" customFormat="false" ht="15" hidden="false" customHeight="false" outlineLevel="0" collapsed="false">
      <c r="B2394" s="108" t="n">
        <f aca="false">'Loan Tape'!$A269</f>
        <v>0</v>
      </c>
      <c r="C2394" s="71" t="n">
        <f aca="false">IF(AND(1&lt;=Hold_Yrs,1-ROUND(Rec_Lag,0)&gt;=1),INDEX($C879:$L879,1,1-ROUND(Rec_Lag,0))*(1-Sev),0)</f>
        <v>0</v>
      </c>
      <c r="D2394" s="71" t="n">
        <f aca="false">IF(AND(2&lt;=Hold_Yrs,2-ROUND(Rec_Lag,0)&gt;=1),INDEX($C879:$L879,1,2-ROUND(Rec_Lag,0))*(1-Sev),0)</f>
        <v>0</v>
      </c>
      <c r="E2394" s="71" t="n">
        <f aca="false">IF(AND(3&lt;=Hold_Yrs,3-ROUND(Rec_Lag,0)&gt;=1),INDEX($C879:$L879,1,3-ROUND(Rec_Lag,0))*(1-Sev),0)</f>
        <v>0</v>
      </c>
      <c r="F2394" s="71" t="n">
        <f aca="false">IF(AND(4&lt;=Hold_Yrs,4-ROUND(Rec_Lag,0)&gt;=1),INDEX($C879:$L879,1,4-ROUND(Rec_Lag,0))*(1-Sev),0)</f>
        <v>0</v>
      </c>
      <c r="G2394" s="71" t="n">
        <f aca="false">IF(AND(5&lt;=Hold_Yrs,5-ROUND(Rec_Lag,0)&gt;=1),INDEX($C879:$L879,1,5-ROUND(Rec_Lag,0))*(1-Sev),0)</f>
        <v>0</v>
      </c>
      <c r="H2394" s="71" t="n">
        <f aca="false">IF(AND(6&lt;=Hold_Yrs,6-ROUND(Rec_Lag,0)&gt;=1),INDEX($C879:$L879,1,6-ROUND(Rec_Lag,0))*(1-Sev),0)</f>
        <v>0</v>
      </c>
      <c r="I2394" s="71" t="n">
        <f aca="false">IF(AND(7&lt;=Hold_Yrs,7-ROUND(Rec_Lag,0)&gt;=1),INDEX($C879:$L879,1,7-ROUND(Rec_Lag,0))*(1-Sev),0)</f>
        <v>0</v>
      </c>
      <c r="J2394" s="71" t="n">
        <f aca="false">IF(AND(8&lt;=Hold_Yrs,8-ROUND(Rec_Lag,0)&gt;=1),INDEX($C879:$L879,1,8-ROUND(Rec_Lag,0))*(1-Sev),0)</f>
        <v>0</v>
      </c>
      <c r="K2394" s="71" t="n">
        <f aca="false">IF(AND(9&lt;=Hold_Yrs,9-ROUND(Rec_Lag,0)&gt;=1),INDEX($C879:$L879,1,9-ROUND(Rec_Lag,0))*(1-Sev),0)</f>
        <v>0</v>
      </c>
      <c r="L2394" s="71" t="n">
        <f aca="false">IF(AND(10&lt;=Hold_Yrs,10-ROUND(Rec_Lag,0)&gt;=1),INDEX($C879:$L879,1,10-ROUND(Rec_Lag,0))*(1-Sev),0)</f>
        <v>0</v>
      </c>
    </row>
    <row r="2395" customFormat="false" ht="15" hidden="false" customHeight="false" outlineLevel="0" collapsed="false">
      <c r="B2395" s="102" t="n">
        <f aca="false">'Loan Tape'!$A270</f>
        <v>0</v>
      </c>
      <c r="C2395" s="99" t="n">
        <f aca="false">IF(AND(1&lt;=Hold_Yrs,1-ROUND(Rec_Lag,0)&gt;=1),INDEX($C880:$L880,1,1-ROUND(Rec_Lag,0))*(1-Sev),0)</f>
        <v>0</v>
      </c>
      <c r="D2395" s="99" t="n">
        <f aca="false">IF(AND(2&lt;=Hold_Yrs,2-ROUND(Rec_Lag,0)&gt;=1),INDEX($C880:$L880,1,2-ROUND(Rec_Lag,0))*(1-Sev),0)</f>
        <v>0</v>
      </c>
      <c r="E2395" s="99" t="n">
        <f aca="false">IF(AND(3&lt;=Hold_Yrs,3-ROUND(Rec_Lag,0)&gt;=1),INDEX($C880:$L880,1,3-ROUND(Rec_Lag,0))*(1-Sev),0)</f>
        <v>0</v>
      </c>
      <c r="F2395" s="99" t="n">
        <f aca="false">IF(AND(4&lt;=Hold_Yrs,4-ROUND(Rec_Lag,0)&gt;=1),INDEX($C880:$L880,1,4-ROUND(Rec_Lag,0))*(1-Sev),0)</f>
        <v>0</v>
      </c>
      <c r="G2395" s="99" t="n">
        <f aca="false">IF(AND(5&lt;=Hold_Yrs,5-ROUND(Rec_Lag,0)&gt;=1),INDEX($C880:$L880,1,5-ROUND(Rec_Lag,0))*(1-Sev),0)</f>
        <v>0</v>
      </c>
      <c r="H2395" s="99" t="n">
        <f aca="false">IF(AND(6&lt;=Hold_Yrs,6-ROUND(Rec_Lag,0)&gt;=1),INDEX($C880:$L880,1,6-ROUND(Rec_Lag,0))*(1-Sev),0)</f>
        <v>0</v>
      </c>
      <c r="I2395" s="99" t="n">
        <f aca="false">IF(AND(7&lt;=Hold_Yrs,7-ROUND(Rec_Lag,0)&gt;=1),INDEX($C880:$L880,1,7-ROUND(Rec_Lag,0))*(1-Sev),0)</f>
        <v>0</v>
      </c>
      <c r="J2395" s="99" t="n">
        <f aca="false">IF(AND(8&lt;=Hold_Yrs,8-ROUND(Rec_Lag,0)&gt;=1),INDEX($C880:$L880,1,8-ROUND(Rec_Lag,0))*(1-Sev),0)</f>
        <v>0</v>
      </c>
      <c r="K2395" s="99" t="n">
        <f aca="false">IF(AND(9&lt;=Hold_Yrs,9-ROUND(Rec_Lag,0)&gt;=1),INDEX($C880:$L880,1,9-ROUND(Rec_Lag,0))*(1-Sev),0)</f>
        <v>0</v>
      </c>
      <c r="L2395" s="99" t="n">
        <f aca="false">IF(AND(10&lt;=Hold_Yrs,10-ROUND(Rec_Lag,0)&gt;=1),INDEX($C880:$L880,1,10-ROUND(Rec_Lag,0))*(1-Sev),0)</f>
        <v>0</v>
      </c>
    </row>
    <row r="2396" customFormat="false" ht="15" hidden="false" customHeight="false" outlineLevel="0" collapsed="false">
      <c r="B2396" s="108" t="n">
        <f aca="false">'Loan Tape'!$A271</f>
        <v>0</v>
      </c>
      <c r="C2396" s="71" t="n">
        <f aca="false">IF(AND(1&lt;=Hold_Yrs,1-ROUND(Rec_Lag,0)&gt;=1),INDEX($C881:$L881,1,1-ROUND(Rec_Lag,0))*(1-Sev),0)</f>
        <v>0</v>
      </c>
      <c r="D2396" s="71" t="n">
        <f aca="false">IF(AND(2&lt;=Hold_Yrs,2-ROUND(Rec_Lag,0)&gt;=1),INDEX($C881:$L881,1,2-ROUND(Rec_Lag,0))*(1-Sev),0)</f>
        <v>0</v>
      </c>
      <c r="E2396" s="71" t="n">
        <f aca="false">IF(AND(3&lt;=Hold_Yrs,3-ROUND(Rec_Lag,0)&gt;=1),INDEX($C881:$L881,1,3-ROUND(Rec_Lag,0))*(1-Sev),0)</f>
        <v>0</v>
      </c>
      <c r="F2396" s="71" t="n">
        <f aca="false">IF(AND(4&lt;=Hold_Yrs,4-ROUND(Rec_Lag,0)&gt;=1),INDEX($C881:$L881,1,4-ROUND(Rec_Lag,0))*(1-Sev),0)</f>
        <v>0</v>
      </c>
      <c r="G2396" s="71" t="n">
        <f aca="false">IF(AND(5&lt;=Hold_Yrs,5-ROUND(Rec_Lag,0)&gt;=1),INDEX($C881:$L881,1,5-ROUND(Rec_Lag,0))*(1-Sev),0)</f>
        <v>0</v>
      </c>
      <c r="H2396" s="71" t="n">
        <f aca="false">IF(AND(6&lt;=Hold_Yrs,6-ROUND(Rec_Lag,0)&gt;=1),INDEX($C881:$L881,1,6-ROUND(Rec_Lag,0))*(1-Sev),0)</f>
        <v>0</v>
      </c>
      <c r="I2396" s="71" t="n">
        <f aca="false">IF(AND(7&lt;=Hold_Yrs,7-ROUND(Rec_Lag,0)&gt;=1),INDEX($C881:$L881,1,7-ROUND(Rec_Lag,0))*(1-Sev),0)</f>
        <v>0</v>
      </c>
      <c r="J2396" s="71" t="n">
        <f aca="false">IF(AND(8&lt;=Hold_Yrs,8-ROUND(Rec_Lag,0)&gt;=1),INDEX($C881:$L881,1,8-ROUND(Rec_Lag,0))*(1-Sev),0)</f>
        <v>0</v>
      </c>
      <c r="K2396" s="71" t="n">
        <f aca="false">IF(AND(9&lt;=Hold_Yrs,9-ROUND(Rec_Lag,0)&gt;=1),INDEX($C881:$L881,1,9-ROUND(Rec_Lag,0))*(1-Sev),0)</f>
        <v>0</v>
      </c>
      <c r="L2396" s="71" t="n">
        <f aca="false">IF(AND(10&lt;=Hold_Yrs,10-ROUND(Rec_Lag,0)&gt;=1),INDEX($C881:$L881,1,10-ROUND(Rec_Lag,0))*(1-Sev),0)</f>
        <v>0</v>
      </c>
    </row>
    <row r="2397" customFormat="false" ht="15" hidden="false" customHeight="false" outlineLevel="0" collapsed="false">
      <c r="B2397" s="102" t="n">
        <f aca="false">'Loan Tape'!$A272</f>
        <v>0</v>
      </c>
      <c r="C2397" s="99" t="n">
        <f aca="false">IF(AND(1&lt;=Hold_Yrs,1-ROUND(Rec_Lag,0)&gt;=1),INDEX($C882:$L882,1,1-ROUND(Rec_Lag,0))*(1-Sev),0)</f>
        <v>0</v>
      </c>
      <c r="D2397" s="99" t="n">
        <f aca="false">IF(AND(2&lt;=Hold_Yrs,2-ROUND(Rec_Lag,0)&gt;=1),INDEX($C882:$L882,1,2-ROUND(Rec_Lag,0))*(1-Sev),0)</f>
        <v>0</v>
      </c>
      <c r="E2397" s="99" t="n">
        <f aca="false">IF(AND(3&lt;=Hold_Yrs,3-ROUND(Rec_Lag,0)&gt;=1),INDEX($C882:$L882,1,3-ROUND(Rec_Lag,0))*(1-Sev),0)</f>
        <v>0</v>
      </c>
      <c r="F2397" s="99" t="n">
        <f aca="false">IF(AND(4&lt;=Hold_Yrs,4-ROUND(Rec_Lag,0)&gt;=1),INDEX($C882:$L882,1,4-ROUND(Rec_Lag,0))*(1-Sev),0)</f>
        <v>0</v>
      </c>
      <c r="G2397" s="99" t="n">
        <f aca="false">IF(AND(5&lt;=Hold_Yrs,5-ROUND(Rec_Lag,0)&gt;=1),INDEX($C882:$L882,1,5-ROUND(Rec_Lag,0))*(1-Sev),0)</f>
        <v>0</v>
      </c>
      <c r="H2397" s="99" t="n">
        <f aca="false">IF(AND(6&lt;=Hold_Yrs,6-ROUND(Rec_Lag,0)&gt;=1),INDEX($C882:$L882,1,6-ROUND(Rec_Lag,0))*(1-Sev),0)</f>
        <v>0</v>
      </c>
      <c r="I2397" s="99" t="n">
        <f aca="false">IF(AND(7&lt;=Hold_Yrs,7-ROUND(Rec_Lag,0)&gt;=1),INDEX($C882:$L882,1,7-ROUND(Rec_Lag,0))*(1-Sev),0)</f>
        <v>0</v>
      </c>
      <c r="J2397" s="99" t="n">
        <f aca="false">IF(AND(8&lt;=Hold_Yrs,8-ROUND(Rec_Lag,0)&gt;=1),INDEX($C882:$L882,1,8-ROUND(Rec_Lag,0))*(1-Sev),0)</f>
        <v>0</v>
      </c>
      <c r="K2397" s="99" t="n">
        <f aca="false">IF(AND(9&lt;=Hold_Yrs,9-ROUND(Rec_Lag,0)&gt;=1),INDEX($C882:$L882,1,9-ROUND(Rec_Lag,0))*(1-Sev),0)</f>
        <v>0</v>
      </c>
      <c r="L2397" s="99" t="n">
        <f aca="false">IF(AND(10&lt;=Hold_Yrs,10-ROUND(Rec_Lag,0)&gt;=1),INDEX($C882:$L882,1,10-ROUND(Rec_Lag,0))*(1-Sev),0)</f>
        <v>0</v>
      </c>
    </row>
    <row r="2398" customFormat="false" ht="15" hidden="false" customHeight="false" outlineLevel="0" collapsed="false">
      <c r="B2398" s="108" t="n">
        <f aca="false">'Loan Tape'!$A273</f>
        <v>0</v>
      </c>
      <c r="C2398" s="71" t="n">
        <f aca="false">IF(AND(1&lt;=Hold_Yrs,1-ROUND(Rec_Lag,0)&gt;=1),INDEX($C883:$L883,1,1-ROUND(Rec_Lag,0))*(1-Sev),0)</f>
        <v>0</v>
      </c>
      <c r="D2398" s="71" t="n">
        <f aca="false">IF(AND(2&lt;=Hold_Yrs,2-ROUND(Rec_Lag,0)&gt;=1),INDEX($C883:$L883,1,2-ROUND(Rec_Lag,0))*(1-Sev),0)</f>
        <v>0</v>
      </c>
      <c r="E2398" s="71" t="n">
        <f aca="false">IF(AND(3&lt;=Hold_Yrs,3-ROUND(Rec_Lag,0)&gt;=1),INDEX($C883:$L883,1,3-ROUND(Rec_Lag,0))*(1-Sev),0)</f>
        <v>0</v>
      </c>
      <c r="F2398" s="71" t="n">
        <f aca="false">IF(AND(4&lt;=Hold_Yrs,4-ROUND(Rec_Lag,0)&gt;=1),INDEX($C883:$L883,1,4-ROUND(Rec_Lag,0))*(1-Sev),0)</f>
        <v>0</v>
      </c>
      <c r="G2398" s="71" t="n">
        <f aca="false">IF(AND(5&lt;=Hold_Yrs,5-ROUND(Rec_Lag,0)&gt;=1),INDEX($C883:$L883,1,5-ROUND(Rec_Lag,0))*(1-Sev),0)</f>
        <v>0</v>
      </c>
      <c r="H2398" s="71" t="n">
        <f aca="false">IF(AND(6&lt;=Hold_Yrs,6-ROUND(Rec_Lag,0)&gt;=1),INDEX($C883:$L883,1,6-ROUND(Rec_Lag,0))*(1-Sev),0)</f>
        <v>0</v>
      </c>
      <c r="I2398" s="71" t="n">
        <f aca="false">IF(AND(7&lt;=Hold_Yrs,7-ROUND(Rec_Lag,0)&gt;=1),INDEX($C883:$L883,1,7-ROUND(Rec_Lag,0))*(1-Sev),0)</f>
        <v>0</v>
      </c>
      <c r="J2398" s="71" t="n">
        <f aca="false">IF(AND(8&lt;=Hold_Yrs,8-ROUND(Rec_Lag,0)&gt;=1),INDEX($C883:$L883,1,8-ROUND(Rec_Lag,0))*(1-Sev),0)</f>
        <v>0</v>
      </c>
      <c r="K2398" s="71" t="n">
        <f aca="false">IF(AND(9&lt;=Hold_Yrs,9-ROUND(Rec_Lag,0)&gt;=1),INDEX($C883:$L883,1,9-ROUND(Rec_Lag,0))*(1-Sev),0)</f>
        <v>0</v>
      </c>
      <c r="L2398" s="71" t="n">
        <f aca="false">IF(AND(10&lt;=Hold_Yrs,10-ROUND(Rec_Lag,0)&gt;=1),INDEX($C883:$L883,1,10-ROUND(Rec_Lag,0))*(1-Sev),0)</f>
        <v>0</v>
      </c>
    </row>
    <row r="2399" customFormat="false" ht="15" hidden="false" customHeight="false" outlineLevel="0" collapsed="false">
      <c r="B2399" s="102" t="n">
        <f aca="false">'Loan Tape'!$A274</f>
        <v>0</v>
      </c>
      <c r="C2399" s="99" t="n">
        <f aca="false">IF(AND(1&lt;=Hold_Yrs,1-ROUND(Rec_Lag,0)&gt;=1),INDEX($C884:$L884,1,1-ROUND(Rec_Lag,0))*(1-Sev),0)</f>
        <v>0</v>
      </c>
      <c r="D2399" s="99" t="n">
        <f aca="false">IF(AND(2&lt;=Hold_Yrs,2-ROUND(Rec_Lag,0)&gt;=1),INDEX($C884:$L884,1,2-ROUND(Rec_Lag,0))*(1-Sev),0)</f>
        <v>0</v>
      </c>
      <c r="E2399" s="99" t="n">
        <f aca="false">IF(AND(3&lt;=Hold_Yrs,3-ROUND(Rec_Lag,0)&gt;=1),INDEX($C884:$L884,1,3-ROUND(Rec_Lag,0))*(1-Sev),0)</f>
        <v>0</v>
      </c>
      <c r="F2399" s="99" t="n">
        <f aca="false">IF(AND(4&lt;=Hold_Yrs,4-ROUND(Rec_Lag,0)&gt;=1),INDEX($C884:$L884,1,4-ROUND(Rec_Lag,0))*(1-Sev),0)</f>
        <v>0</v>
      </c>
      <c r="G2399" s="99" t="n">
        <f aca="false">IF(AND(5&lt;=Hold_Yrs,5-ROUND(Rec_Lag,0)&gt;=1),INDEX($C884:$L884,1,5-ROUND(Rec_Lag,0))*(1-Sev),0)</f>
        <v>0</v>
      </c>
      <c r="H2399" s="99" t="n">
        <f aca="false">IF(AND(6&lt;=Hold_Yrs,6-ROUND(Rec_Lag,0)&gt;=1),INDEX($C884:$L884,1,6-ROUND(Rec_Lag,0))*(1-Sev),0)</f>
        <v>0</v>
      </c>
      <c r="I2399" s="99" t="n">
        <f aca="false">IF(AND(7&lt;=Hold_Yrs,7-ROUND(Rec_Lag,0)&gt;=1),INDEX($C884:$L884,1,7-ROUND(Rec_Lag,0))*(1-Sev),0)</f>
        <v>0</v>
      </c>
      <c r="J2399" s="99" t="n">
        <f aca="false">IF(AND(8&lt;=Hold_Yrs,8-ROUND(Rec_Lag,0)&gt;=1),INDEX($C884:$L884,1,8-ROUND(Rec_Lag,0))*(1-Sev),0)</f>
        <v>0</v>
      </c>
      <c r="K2399" s="99" t="n">
        <f aca="false">IF(AND(9&lt;=Hold_Yrs,9-ROUND(Rec_Lag,0)&gt;=1),INDEX($C884:$L884,1,9-ROUND(Rec_Lag,0))*(1-Sev),0)</f>
        <v>0</v>
      </c>
      <c r="L2399" s="99" t="n">
        <f aca="false">IF(AND(10&lt;=Hold_Yrs,10-ROUND(Rec_Lag,0)&gt;=1),INDEX($C884:$L884,1,10-ROUND(Rec_Lag,0))*(1-Sev),0)</f>
        <v>0</v>
      </c>
    </row>
    <row r="2400" customFormat="false" ht="15" hidden="false" customHeight="false" outlineLevel="0" collapsed="false">
      <c r="B2400" s="108" t="n">
        <f aca="false">'Loan Tape'!$A275</f>
        <v>0</v>
      </c>
      <c r="C2400" s="71" t="n">
        <f aca="false">IF(AND(1&lt;=Hold_Yrs,1-ROUND(Rec_Lag,0)&gt;=1),INDEX($C885:$L885,1,1-ROUND(Rec_Lag,0))*(1-Sev),0)</f>
        <v>0</v>
      </c>
      <c r="D2400" s="71" t="n">
        <f aca="false">IF(AND(2&lt;=Hold_Yrs,2-ROUND(Rec_Lag,0)&gt;=1),INDEX($C885:$L885,1,2-ROUND(Rec_Lag,0))*(1-Sev),0)</f>
        <v>0</v>
      </c>
      <c r="E2400" s="71" t="n">
        <f aca="false">IF(AND(3&lt;=Hold_Yrs,3-ROUND(Rec_Lag,0)&gt;=1),INDEX($C885:$L885,1,3-ROUND(Rec_Lag,0))*(1-Sev),0)</f>
        <v>0</v>
      </c>
      <c r="F2400" s="71" t="n">
        <f aca="false">IF(AND(4&lt;=Hold_Yrs,4-ROUND(Rec_Lag,0)&gt;=1),INDEX($C885:$L885,1,4-ROUND(Rec_Lag,0))*(1-Sev),0)</f>
        <v>0</v>
      </c>
      <c r="G2400" s="71" t="n">
        <f aca="false">IF(AND(5&lt;=Hold_Yrs,5-ROUND(Rec_Lag,0)&gt;=1),INDEX($C885:$L885,1,5-ROUND(Rec_Lag,0))*(1-Sev),0)</f>
        <v>0</v>
      </c>
      <c r="H2400" s="71" t="n">
        <f aca="false">IF(AND(6&lt;=Hold_Yrs,6-ROUND(Rec_Lag,0)&gt;=1),INDEX($C885:$L885,1,6-ROUND(Rec_Lag,0))*(1-Sev),0)</f>
        <v>0</v>
      </c>
      <c r="I2400" s="71" t="n">
        <f aca="false">IF(AND(7&lt;=Hold_Yrs,7-ROUND(Rec_Lag,0)&gt;=1),INDEX($C885:$L885,1,7-ROUND(Rec_Lag,0))*(1-Sev),0)</f>
        <v>0</v>
      </c>
      <c r="J2400" s="71" t="n">
        <f aca="false">IF(AND(8&lt;=Hold_Yrs,8-ROUND(Rec_Lag,0)&gt;=1),INDEX($C885:$L885,1,8-ROUND(Rec_Lag,0))*(1-Sev),0)</f>
        <v>0</v>
      </c>
      <c r="K2400" s="71" t="n">
        <f aca="false">IF(AND(9&lt;=Hold_Yrs,9-ROUND(Rec_Lag,0)&gt;=1),INDEX($C885:$L885,1,9-ROUND(Rec_Lag,0))*(1-Sev),0)</f>
        <v>0</v>
      </c>
      <c r="L2400" s="71" t="n">
        <f aca="false">IF(AND(10&lt;=Hold_Yrs,10-ROUND(Rec_Lag,0)&gt;=1),INDEX($C885:$L885,1,10-ROUND(Rec_Lag,0))*(1-Sev),0)</f>
        <v>0</v>
      </c>
    </row>
    <row r="2401" customFormat="false" ht="15" hidden="false" customHeight="false" outlineLevel="0" collapsed="false">
      <c r="B2401" s="102" t="n">
        <f aca="false">'Loan Tape'!$A276</f>
        <v>0</v>
      </c>
      <c r="C2401" s="99" t="n">
        <f aca="false">IF(AND(1&lt;=Hold_Yrs,1-ROUND(Rec_Lag,0)&gt;=1),INDEX($C886:$L886,1,1-ROUND(Rec_Lag,0))*(1-Sev),0)</f>
        <v>0</v>
      </c>
      <c r="D2401" s="99" t="n">
        <f aca="false">IF(AND(2&lt;=Hold_Yrs,2-ROUND(Rec_Lag,0)&gt;=1),INDEX($C886:$L886,1,2-ROUND(Rec_Lag,0))*(1-Sev),0)</f>
        <v>0</v>
      </c>
      <c r="E2401" s="99" t="n">
        <f aca="false">IF(AND(3&lt;=Hold_Yrs,3-ROUND(Rec_Lag,0)&gt;=1),INDEX($C886:$L886,1,3-ROUND(Rec_Lag,0))*(1-Sev),0)</f>
        <v>0</v>
      </c>
      <c r="F2401" s="99" t="n">
        <f aca="false">IF(AND(4&lt;=Hold_Yrs,4-ROUND(Rec_Lag,0)&gt;=1),INDEX($C886:$L886,1,4-ROUND(Rec_Lag,0))*(1-Sev),0)</f>
        <v>0</v>
      </c>
      <c r="G2401" s="99" t="n">
        <f aca="false">IF(AND(5&lt;=Hold_Yrs,5-ROUND(Rec_Lag,0)&gt;=1),INDEX($C886:$L886,1,5-ROUND(Rec_Lag,0))*(1-Sev),0)</f>
        <v>0</v>
      </c>
      <c r="H2401" s="99" t="n">
        <f aca="false">IF(AND(6&lt;=Hold_Yrs,6-ROUND(Rec_Lag,0)&gt;=1),INDEX($C886:$L886,1,6-ROUND(Rec_Lag,0))*(1-Sev),0)</f>
        <v>0</v>
      </c>
      <c r="I2401" s="99" t="n">
        <f aca="false">IF(AND(7&lt;=Hold_Yrs,7-ROUND(Rec_Lag,0)&gt;=1),INDEX($C886:$L886,1,7-ROUND(Rec_Lag,0))*(1-Sev),0)</f>
        <v>0</v>
      </c>
      <c r="J2401" s="99" t="n">
        <f aca="false">IF(AND(8&lt;=Hold_Yrs,8-ROUND(Rec_Lag,0)&gt;=1),INDEX($C886:$L886,1,8-ROUND(Rec_Lag,0))*(1-Sev),0)</f>
        <v>0</v>
      </c>
      <c r="K2401" s="99" t="n">
        <f aca="false">IF(AND(9&lt;=Hold_Yrs,9-ROUND(Rec_Lag,0)&gt;=1),INDEX($C886:$L886,1,9-ROUND(Rec_Lag,0))*(1-Sev),0)</f>
        <v>0</v>
      </c>
      <c r="L2401" s="99" t="n">
        <f aca="false">IF(AND(10&lt;=Hold_Yrs,10-ROUND(Rec_Lag,0)&gt;=1),INDEX($C886:$L886,1,10-ROUND(Rec_Lag,0))*(1-Sev),0)</f>
        <v>0</v>
      </c>
    </row>
    <row r="2402" customFormat="false" ht="15" hidden="false" customHeight="false" outlineLevel="0" collapsed="false">
      <c r="B2402" s="108" t="n">
        <f aca="false">'Loan Tape'!$A277</f>
        <v>0</v>
      </c>
      <c r="C2402" s="71" t="n">
        <f aca="false">IF(AND(1&lt;=Hold_Yrs,1-ROUND(Rec_Lag,0)&gt;=1),INDEX($C887:$L887,1,1-ROUND(Rec_Lag,0))*(1-Sev),0)</f>
        <v>0</v>
      </c>
      <c r="D2402" s="71" t="n">
        <f aca="false">IF(AND(2&lt;=Hold_Yrs,2-ROUND(Rec_Lag,0)&gt;=1),INDEX($C887:$L887,1,2-ROUND(Rec_Lag,0))*(1-Sev),0)</f>
        <v>0</v>
      </c>
      <c r="E2402" s="71" t="n">
        <f aca="false">IF(AND(3&lt;=Hold_Yrs,3-ROUND(Rec_Lag,0)&gt;=1),INDEX($C887:$L887,1,3-ROUND(Rec_Lag,0))*(1-Sev),0)</f>
        <v>0</v>
      </c>
      <c r="F2402" s="71" t="n">
        <f aca="false">IF(AND(4&lt;=Hold_Yrs,4-ROUND(Rec_Lag,0)&gt;=1),INDEX($C887:$L887,1,4-ROUND(Rec_Lag,0))*(1-Sev),0)</f>
        <v>0</v>
      </c>
      <c r="G2402" s="71" t="n">
        <f aca="false">IF(AND(5&lt;=Hold_Yrs,5-ROUND(Rec_Lag,0)&gt;=1),INDEX($C887:$L887,1,5-ROUND(Rec_Lag,0))*(1-Sev),0)</f>
        <v>0</v>
      </c>
      <c r="H2402" s="71" t="n">
        <f aca="false">IF(AND(6&lt;=Hold_Yrs,6-ROUND(Rec_Lag,0)&gt;=1),INDEX($C887:$L887,1,6-ROUND(Rec_Lag,0))*(1-Sev),0)</f>
        <v>0</v>
      </c>
      <c r="I2402" s="71" t="n">
        <f aca="false">IF(AND(7&lt;=Hold_Yrs,7-ROUND(Rec_Lag,0)&gt;=1),INDEX($C887:$L887,1,7-ROUND(Rec_Lag,0))*(1-Sev),0)</f>
        <v>0</v>
      </c>
      <c r="J2402" s="71" t="n">
        <f aca="false">IF(AND(8&lt;=Hold_Yrs,8-ROUND(Rec_Lag,0)&gt;=1),INDEX($C887:$L887,1,8-ROUND(Rec_Lag,0))*(1-Sev),0)</f>
        <v>0</v>
      </c>
      <c r="K2402" s="71" t="n">
        <f aca="false">IF(AND(9&lt;=Hold_Yrs,9-ROUND(Rec_Lag,0)&gt;=1),INDEX($C887:$L887,1,9-ROUND(Rec_Lag,0))*(1-Sev),0)</f>
        <v>0</v>
      </c>
      <c r="L2402" s="71" t="n">
        <f aca="false">IF(AND(10&lt;=Hold_Yrs,10-ROUND(Rec_Lag,0)&gt;=1),INDEX($C887:$L887,1,10-ROUND(Rec_Lag,0))*(1-Sev),0)</f>
        <v>0</v>
      </c>
    </row>
    <row r="2403" customFormat="false" ht="15" hidden="false" customHeight="false" outlineLevel="0" collapsed="false">
      <c r="B2403" s="102" t="n">
        <f aca="false">'Loan Tape'!$A278</f>
        <v>0</v>
      </c>
      <c r="C2403" s="99" t="n">
        <f aca="false">IF(AND(1&lt;=Hold_Yrs,1-ROUND(Rec_Lag,0)&gt;=1),INDEX($C888:$L888,1,1-ROUND(Rec_Lag,0))*(1-Sev),0)</f>
        <v>0</v>
      </c>
      <c r="D2403" s="99" t="n">
        <f aca="false">IF(AND(2&lt;=Hold_Yrs,2-ROUND(Rec_Lag,0)&gt;=1),INDEX($C888:$L888,1,2-ROUND(Rec_Lag,0))*(1-Sev),0)</f>
        <v>0</v>
      </c>
      <c r="E2403" s="99" t="n">
        <f aca="false">IF(AND(3&lt;=Hold_Yrs,3-ROUND(Rec_Lag,0)&gt;=1),INDEX($C888:$L888,1,3-ROUND(Rec_Lag,0))*(1-Sev),0)</f>
        <v>0</v>
      </c>
      <c r="F2403" s="99" t="n">
        <f aca="false">IF(AND(4&lt;=Hold_Yrs,4-ROUND(Rec_Lag,0)&gt;=1),INDEX($C888:$L888,1,4-ROUND(Rec_Lag,0))*(1-Sev),0)</f>
        <v>0</v>
      </c>
      <c r="G2403" s="99" t="n">
        <f aca="false">IF(AND(5&lt;=Hold_Yrs,5-ROUND(Rec_Lag,0)&gt;=1),INDEX($C888:$L888,1,5-ROUND(Rec_Lag,0))*(1-Sev),0)</f>
        <v>0</v>
      </c>
      <c r="H2403" s="99" t="n">
        <f aca="false">IF(AND(6&lt;=Hold_Yrs,6-ROUND(Rec_Lag,0)&gt;=1),INDEX($C888:$L888,1,6-ROUND(Rec_Lag,0))*(1-Sev),0)</f>
        <v>0</v>
      </c>
      <c r="I2403" s="99" t="n">
        <f aca="false">IF(AND(7&lt;=Hold_Yrs,7-ROUND(Rec_Lag,0)&gt;=1),INDEX($C888:$L888,1,7-ROUND(Rec_Lag,0))*(1-Sev),0)</f>
        <v>0</v>
      </c>
      <c r="J2403" s="99" t="n">
        <f aca="false">IF(AND(8&lt;=Hold_Yrs,8-ROUND(Rec_Lag,0)&gt;=1),INDEX($C888:$L888,1,8-ROUND(Rec_Lag,0))*(1-Sev),0)</f>
        <v>0</v>
      </c>
      <c r="K2403" s="99" t="n">
        <f aca="false">IF(AND(9&lt;=Hold_Yrs,9-ROUND(Rec_Lag,0)&gt;=1),INDEX($C888:$L888,1,9-ROUND(Rec_Lag,0))*(1-Sev),0)</f>
        <v>0</v>
      </c>
      <c r="L2403" s="99" t="n">
        <f aca="false">IF(AND(10&lt;=Hold_Yrs,10-ROUND(Rec_Lag,0)&gt;=1),INDEX($C888:$L888,1,10-ROUND(Rec_Lag,0))*(1-Sev),0)</f>
        <v>0</v>
      </c>
    </row>
    <row r="2404" customFormat="false" ht="15" hidden="false" customHeight="false" outlineLevel="0" collapsed="false">
      <c r="B2404" s="108" t="n">
        <f aca="false">'Loan Tape'!$A279</f>
        <v>0</v>
      </c>
      <c r="C2404" s="71" t="n">
        <f aca="false">IF(AND(1&lt;=Hold_Yrs,1-ROUND(Rec_Lag,0)&gt;=1),INDEX($C889:$L889,1,1-ROUND(Rec_Lag,0))*(1-Sev),0)</f>
        <v>0</v>
      </c>
      <c r="D2404" s="71" t="n">
        <f aca="false">IF(AND(2&lt;=Hold_Yrs,2-ROUND(Rec_Lag,0)&gt;=1),INDEX($C889:$L889,1,2-ROUND(Rec_Lag,0))*(1-Sev),0)</f>
        <v>0</v>
      </c>
      <c r="E2404" s="71" t="n">
        <f aca="false">IF(AND(3&lt;=Hold_Yrs,3-ROUND(Rec_Lag,0)&gt;=1),INDEX($C889:$L889,1,3-ROUND(Rec_Lag,0))*(1-Sev),0)</f>
        <v>0</v>
      </c>
      <c r="F2404" s="71" t="n">
        <f aca="false">IF(AND(4&lt;=Hold_Yrs,4-ROUND(Rec_Lag,0)&gt;=1),INDEX($C889:$L889,1,4-ROUND(Rec_Lag,0))*(1-Sev),0)</f>
        <v>0</v>
      </c>
      <c r="G2404" s="71" t="n">
        <f aca="false">IF(AND(5&lt;=Hold_Yrs,5-ROUND(Rec_Lag,0)&gt;=1),INDEX($C889:$L889,1,5-ROUND(Rec_Lag,0))*(1-Sev),0)</f>
        <v>0</v>
      </c>
      <c r="H2404" s="71" t="n">
        <f aca="false">IF(AND(6&lt;=Hold_Yrs,6-ROUND(Rec_Lag,0)&gt;=1),INDEX($C889:$L889,1,6-ROUND(Rec_Lag,0))*(1-Sev),0)</f>
        <v>0</v>
      </c>
      <c r="I2404" s="71" t="n">
        <f aca="false">IF(AND(7&lt;=Hold_Yrs,7-ROUND(Rec_Lag,0)&gt;=1),INDEX($C889:$L889,1,7-ROUND(Rec_Lag,0))*(1-Sev),0)</f>
        <v>0</v>
      </c>
      <c r="J2404" s="71" t="n">
        <f aca="false">IF(AND(8&lt;=Hold_Yrs,8-ROUND(Rec_Lag,0)&gt;=1),INDEX($C889:$L889,1,8-ROUND(Rec_Lag,0))*(1-Sev),0)</f>
        <v>0</v>
      </c>
      <c r="K2404" s="71" t="n">
        <f aca="false">IF(AND(9&lt;=Hold_Yrs,9-ROUND(Rec_Lag,0)&gt;=1),INDEX($C889:$L889,1,9-ROUND(Rec_Lag,0))*(1-Sev),0)</f>
        <v>0</v>
      </c>
      <c r="L2404" s="71" t="n">
        <f aca="false">IF(AND(10&lt;=Hold_Yrs,10-ROUND(Rec_Lag,0)&gt;=1),INDEX($C889:$L889,1,10-ROUND(Rec_Lag,0))*(1-Sev),0)</f>
        <v>0</v>
      </c>
    </row>
    <row r="2405" customFormat="false" ht="15" hidden="false" customHeight="false" outlineLevel="0" collapsed="false">
      <c r="B2405" s="102" t="n">
        <f aca="false">'Loan Tape'!$A280</f>
        <v>0</v>
      </c>
      <c r="C2405" s="99" t="n">
        <f aca="false">IF(AND(1&lt;=Hold_Yrs,1-ROUND(Rec_Lag,0)&gt;=1),INDEX($C890:$L890,1,1-ROUND(Rec_Lag,0))*(1-Sev),0)</f>
        <v>0</v>
      </c>
      <c r="D2405" s="99" t="n">
        <f aca="false">IF(AND(2&lt;=Hold_Yrs,2-ROUND(Rec_Lag,0)&gt;=1),INDEX($C890:$L890,1,2-ROUND(Rec_Lag,0))*(1-Sev),0)</f>
        <v>0</v>
      </c>
      <c r="E2405" s="99" t="n">
        <f aca="false">IF(AND(3&lt;=Hold_Yrs,3-ROUND(Rec_Lag,0)&gt;=1),INDEX($C890:$L890,1,3-ROUND(Rec_Lag,0))*(1-Sev),0)</f>
        <v>0</v>
      </c>
      <c r="F2405" s="99" t="n">
        <f aca="false">IF(AND(4&lt;=Hold_Yrs,4-ROUND(Rec_Lag,0)&gt;=1),INDEX($C890:$L890,1,4-ROUND(Rec_Lag,0))*(1-Sev),0)</f>
        <v>0</v>
      </c>
      <c r="G2405" s="99" t="n">
        <f aca="false">IF(AND(5&lt;=Hold_Yrs,5-ROUND(Rec_Lag,0)&gt;=1),INDEX($C890:$L890,1,5-ROUND(Rec_Lag,0))*(1-Sev),0)</f>
        <v>0</v>
      </c>
      <c r="H2405" s="99" t="n">
        <f aca="false">IF(AND(6&lt;=Hold_Yrs,6-ROUND(Rec_Lag,0)&gt;=1),INDEX($C890:$L890,1,6-ROUND(Rec_Lag,0))*(1-Sev),0)</f>
        <v>0</v>
      </c>
      <c r="I2405" s="99" t="n">
        <f aca="false">IF(AND(7&lt;=Hold_Yrs,7-ROUND(Rec_Lag,0)&gt;=1),INDEX($C890:$L890,1,7-ROUND(Rec_Lag,0))*(1-Sev),0)</f>
        <v>0</v>
      </c>
      <c r="J2405" s="99" t="n">
        <f aca="false">IF(AND(8&lt;=Hold_Yrs,8-ROUND(Rec_Lag,0)&gt;=1),INDEX($C890:$L890,1,8-ROUND(Rec_Lag,0))*(1-Sev),0)</f>
        <v>0</v>
      </c>
      <c r="K2405" s="99" t="n">
        <f aca="false">IF(AND(9&lt;=Hold_Yrs,9-ROUND(Rec_Lag,0)&gt;=1),INDEX($C890:$L890,1,9-ROUND(Rec_Lag,0))*(1-Sev),0)</f>
        <v>0</v>
      </c>
      <c r="L2405" s="99" t="n">
        <f aca="false">IF(AND(10&lt;=Hold_Yrs,10-ROUND(Rec_Lag,0)&gt;=1),INDEX($C890:$L890,1,10-ROUND(Rec_Lag,0))*(1-Sev),0)</f>
        <v>0</v>
      </c>
    </row>
    <row r="2406" customFormat="false" ht="15" hidden="false" customHeight="false" outlineLevel="0" collapsed="false">
      <c r="B2406" s="108" t="n">
        <f aca="false">'Loan Tape'!$A281</f>
        <v>0</v>
      </c>
      <c r="C2406" s="71" t="n">
        <f aca="false">IF(AND(1&lt;=Hold_Yrs,1-ROUND(Rec_Lag,0)&gt;=1),INDEX($C891:$L891,1,1-ROUND(Rec_Lag,0))*(1-Sev),0)</f>
        <v>0</v>
      </c>
      <c r="D2406" s="71" t="n">
        <f aca="false">IF(AND(2&lt;=Hold_Yrs,2-ROUND(Rec_Lag,0)&gt;=1),INDEX($C891:$L891,1,2-ROUND(Rec_Lag,0))*(1-Sev),0)</f>
        <v>0</v>
      </c>
      <c r="E2406" s="71" t="n">
        <f aca="false">IF(AND(3&lt;=Hold_Yrs,3-ROUND(Rec_Lag,0)&gt;=1),INDEX($C891:$L891,1,3-ROUND(Rec_Lag,0))*(1-Sev),0)</f>
        <v>0</v>
      </c>
      <c r="F2406" s="71" t="n">
        <f aca="false">IF(AND(4&lt;=Hold_Yrs,4-ROUND(Rec_Lag,0)&gt;=1),INDEX($C891:$L891,1,4-ROUND(Rec_Lag,0))*(1-Sev),0)</f>
        <v>0</v>
      </c>
      <c r="G2406" s="71" t="n">
        <f aca="false">IF(AND(5&lt;=Hold_Yrs,5-ROUND(Rec_Lag,0)&gt;=1),INDEX($C891:$L891,1,5-ROUND(Rec_Lag,0))*(1-Sev),0)</f>
        <v>0</v>
      </c>
      <c r="H2406" s="71" t="n">
        <f aca="false">IF(AND(6&lt;=Hold_Yrs,6-ROUND(Rec_Lag,0)&gt;=1),INDEX($C891:$L891,1,6-ROUND(Rec_Lag,0))*(1-Sev),0)</f>
        <v>0</v>
      </c>
      <c r="I2406" s="71" t="n">
        <f aca="false">IF(AND(7&lt;=Hold_Yrs,7-ROUND(Rec_Lag,0)&gt;=1),INDEX($C891:$L891,1,7-ROUND(Rec_Lag,0))*(1-Sev),0)</f>
        <v>0</v>
      </c>
      <c r="J2406" s="71" t="n">
        <f aca="false">IF(AND(8&lt;=Hold_Yrs,8-ROUND(Rec_Lag,0)&gt;=1),INDEX($C891:$L891,1,8-ROUND(Rec_Lag,0))*(1-Sev),0)</f>
        <v>0</v>
      </c>
      <c r="K2406" s="71" t="n">
        <f aca="false">IF(AND(9&lt;=Hold_Yrs,9-ROUND(Rec_Lag,0)&gt;=1),INDEX($C891:$L891,1,9-ROUND(Rec_Lag,0))*(1-Sev),0)</f>
        <v>0</v>
      </c>
      <c r="L2406" s="71" t="n">
        <f aca="false">IF(AND(10&lt;=Hold_Yrs,10-ROUND(Rec_Lag,0)&gt;=1),INDEX($C891:$L891,1,10-ROUND(Rec_Lag,0))*(1-Sev),0)</f>
        <v>0</v>
      </c>
    </row>
    <row r="2407" customFormat="false" ht="15" hidden="false" customHeight="false" outlineLevel="0" collapsed="false">
      <c r="B2407" s="102" t="n">
        <f aca="false">'Loan Tape'!$A282</f>
        <v>0</v>
      </c>
      <c r="C2407" s="99" t="n">
        <f aca="false">IF(AND(1&lt;=Hold_Yrs,1-ROUND(Rec_Lag,0)&gt;=1),INDEX($C892:$L892,1,1-ROUND(Rec_Lag,0))*(1-Sev),0)</f>
        <v>0</v>
      </c>
      <c r="D2407" s="99" t="n">
        <f aca="false">IF(AND(2&lt;=Hold_Yrs,2-ROUND(Rec_Lag,0)&gt;=1),INDEX($C892:$L892,1,2-ROUND(Rec_Lag,0))*(1-Sev),0)</f>
        <v>0</v>
      </c>
      <c r="E2407" s="99" t="n">
        <f aca="false">IF(AND(3&lt;=Hold_Yrs,3-ROUND(Rec_Lag,0)&gt;=1),INDEX($C892:$L892,1,3-ROUND(Rec_Lag,0))*(1-Sev),0)</f>
        <v>0</v>
      </c>
      <c r="F2407" s="99" t="n">
        <f aca="false">IF(AND(4&lt;=Hold_Yrs,4-ROUND(Rec_Lag,0)&gt;=1),INDEX($C892:$L892,1,4-ROUND(Rec_Lag,0))*(1-Sev),0)</f>
        <v>0</v>
      </c>
      <c r="G2407" s="99" t="n">
        <f aca="false">IF(AND(5&lt;=Hold_Yrs,5-ROUND(Rec_Lag,0)&gt;=1),INDEX($C892:$L892,1,5-ROUND(Rec_Lag,0))*(1-Sev),0)</f>
        <v>0</v>
      </c>
      <c r="H2407" s="99" t="n">
        <f aca="false">IF(AND(6&lt;=Hold_Yrs,6-ROUND(Rec_Lag,0)&gt;=1),INDEX($C892:$L892,1,6-ROUND(Rec_Lag,0))*(1-Sev),0)</f>
        <v>0</v>
      </c>
      <c r="I2407" s="99" t="n">
        <f aca="false">IF(AND(7&lt;=Hold_Yrs,7-ROUND(Rec_Lag,0)&gt;=1),INDEX($C892:$L892,1,7-ROUND(Rec_Lag,0))*(1-Sev),0)</f>
        <v>0</v>
      </c>
      <c r="J2407" s="99" t="n">
        <f aca="false">IF(AND(8&lt;=Hold_Yrs,8-ROUND(Rec_Lag,0)&gt;=1),INDEX($C892:$L892,1,8-ROUND(Rec_Lag,0))*(1-Sev),0)</f>
        <v>0</v>
      </c>
      <c r="K2407" s="99" t="n">
        <f aca="false">IF(AND(9&lt;=Hold_Yrs,9-ROUND(Rec_Lag,0)&gt;=1),INDEX($C892:$L892,1,9-ROUND(Rec_Lag,0))*(1-Sev),0)</f>
        <v>0</v>
      </c>
      <c r="L2407" s="99" t="n">
        <f aca="false">IF(AND(10&lt;=Hold_Yrs,10-ROUND(Rec_Lag,0)&gt;=1),INDEX($C892:$L892,1,10-ROUND(Rec_Lag,0))*(1-Sev),0)</f>
        <v>0</v>
      </c>
    </row>
    <row r="2408" customFormat="false" ht="15" hidden="false" customHeight="false" outlineLevel="0" collapsed="false">
      <c r="B2408" s="108" t="n">
        <f aca="false">'Loan Tape'!$A283</f>
        <v>0</v>
      </c>
      <c r="C2408" s="71" t="n">
        <f aca="false">IF(AND(1&lt;=Hold_Yrs,1-ROUND(Rec_Lag,0)&gt;=1),INDEX($C893:$L893,1,1-ROUND(Rec_Lag,0))*(1-Sev),0)</f>
        <v>0</v>
      </c>
      <c r="D2408" s="71" t="n">
        <f aca="false">IF(AND(2&lt;=Hold_Yrs,2-ROUND(Rec_Lag,0)&gt;=1),INDEX($C893:$L893,1,2-ROUND(Rec_Lag,0))*(1-Sev),0)</f>
        <v>0</v>
      </c>
      <c r="E2408" s="71" t="n">
        <f aca="false">IF(AND(3&lt;=Hold_Yrs,3-ROUND(Rec_Lag,0)&gt;=1),INDEX($C893:$L893,1,3-ROUND(Rec_Lag,0))*(1-Sev),0)</f>
        <v>0</v>
      </c>
      <c r="F2408" s="71" t="n">
        <f aca="false">IF(AND(4&lt;=Hold_Yrs,4-ROUND(Rec_Lag,0)&gt;=1),INDEX($C893:$L893,1,4-ROUND(Rec_Lag,0))*(1-Sev),0)</f>
        <v>0</v>
      </c>
      <c r="G2408" s="71" t="n">
        <f aca="false">IF(AND(5&lt;=Hold_Yrs,5-ROUND(Rec_Lag,0)&gt;=1),INDEX($C893:$L893,1,5-ROUND(Rec_Lag,0))*(1-Sev),0)</f>
        <v>0</v>
      </c>
      <c r="H2408" s="71" t="n">
        <f aca="false">IF(AND(6&lt;=Hold_Yrs,6-ROUND(Rec_Lag,0)&gt;=1),INDEX($C893:$L893,1,6-ROUND(Rec_Lag,0))*(1-Sev),0)</f>
        <v>0</v>
      </c>
      <c r="I2408" s="71" t="n">
        <f aca="false">IF(AND(7&lt;=Hold_Yrs,7-ROUND(Rec_Lag,0)&gt;=1),INDEX($C893:$L893,1,7-ROUND(Rec_Lag,0))*(1-Sev),0)</f>
        <v>0</v>
      </c>
      <c r="J2408" s="71" t="n">
        <f aca="false">IF(AND(8&lt;=Hold_Yrs,8-ROUND(Rec_Lag,0)&gt;=1),INDEX($C893:$L893,1,8-ROUND(Rec_Lag,0))*(1-Sev),0)</f>
        <v>0</v>
      </c>
      <c r="K2408" s="71" t="n">
        <f aca="false">IF(AND(9&lt;=Hold_Yrs,9-ROUND(Rec_Lag,0)&gt;=1),INDEX($C893:$L893,1,9-ROUND(Rec_Lag,0))*(1-Sev),0)</f>
        <v>0</v>
      </c>
      <c r="L2408" s="71" t="n">
        <f aca="false">IF(AND(10&lt;=Hold_Yrs,10-ROUND(Rec_Lag,0)&gt;=1),INDEX($C893:$L893,1,10-ROUND(Rec_Lag,0))*(1-Sev),0)</f>
        <v>0</v>
      </c>
    </row>
    <row r="2409" customFormat="false" ht="15" hidden="false" customHeight="false" outlineLevel="0" collapsed="false">
      <c r="B2409" s="102" t="n">
        <f aca="false">'Loan Tape'!$A284</f>
        <v>0</v>
      </c>
      <c r="C2409" s="99" t="n">
        <f aca="false">IF(AND(1&lt;=Hold_Yrs,1-ROUND(Rec_Lag,0)&gt;=1),INDEX($C894:$L894,1,1-ROUND(Rec_Lag,0))*(1-Sev),0)</f>
        <v>0</v>
      </c>
      <c r="D2409" s="99" t="n">
        <f aca="false">IF(AND(2&lt;=Hold_Yrs,2-ROUND(Rec_Lag,0)&gt;=1),INDEX($C894:$L894,1,2-ROUND(Rec_Lag,0))*(1-Sev),0)</f>
        <v>0</v>
      </c>
      <c r="E2409" s="99" t="n">
        <f aca="false">IF(AND(3&lt;=Hold_Yrs,3-ROUND(Rec_Lag,0)&gt;=1),INDEX($C894:$L894,1,3-ROUND(Rec_Lag,0))*(1-Sev),0)</f>
        <v>0</v>
      </c>
      <c r="F2409" s="99" t="n">
        <f aca="false">IF(AND(4&lt;=Hold_Yrs,4-ROUND(Rec_Lag,0)&gt;=1),INDEX($C894:$L894,1,4-ROUND(Rec_Lag,0))*(1-Sev),0)</f>
        <v>0</v>
      </c>
      <c r="G2409" s="99" t="n">
        <f aca="false">IF(AND(5&lt;=Hold_Yrs,5-ROUND(Rec_Lag,0)&gt;=1),INDEX($C894:$L894,1,5-ROUND(Rec_Lag,0))*(1-Sev),0)</f>
        <v>0</v>
      </c>
      <c r="H2409" s="99" t="n">
        <f aca="false">IF(AND(6&lt;=Hold_Yrs,6-ROUND(Rec_Lag,0)&gt;=1),INDEX($C894:$L894,1,6-ROUND(Rec_Lag,0))*(1-Sev),0)</f>
        <v>0</v>
      </c>
      <c r="I2409" s="99" t="n">
        <f aca="false">IF(AND(7&lt;=Hold_Yrs,7-ROUND(Rec_Lag,0)&gt;=1),INDEX($C894:$L894,1,7-ROUND(Rec_Lag,0))*(1-Sev),0)</f>
        <v>0</v>
      </c>
      <c r="J2409" s="99" t="n">
        <f aca="false">IF(AND(8&lt;=Hold_Yrs,8-ROUND(Rec_Lag,0)&gt;=1),INDEX($C894:$L894,1,8-ROUND(Rec_Lag,0))*(1-Sev),0)</f>
        <v>0</v>
      </c>
      <c r="K2409" s="99" t="n">
        <f aca="false">IF(AND(9&lt;=Hold_Yrs,9-ROUND(Rec_Lag,0)&gt;=1),INDEX($C894:$L894,1,9-ROUND(Rec_Lag,0))*(1-Sev),0)</f>
        <v>0</v>
      </c>
      <c r="L2409" s="99" t="n">
        <f aca="false">IF(AND(10&lt;=Hold_Yrs,10-ROUND(Rec_Lag,0)&gt;=1),INDEX($C894:$L894,1,10-ROUND(Rec_Lag,0))*(1-Sev),0)</f>
        <v>0</v>
      </c>
    </row>
    <row r="2410" customFormat="false" ht="15" hidden="false" customHeight="false" outlineLevel="0" collapsed="false">
      <c r="B2410" s="108" t="n">
        <f aca="false">'Loan Tape'!$A285</f>
        <v>0</v>
      </c>
      <c r="C2410" s="71" t="n">
        <f aca="false">IF(AND(1&lt;=Hold_Yrs,1-ROUND(Rec_Lag,0)&gt;=1),INDEX($C895:$L895,1,1-ROUND(Rec_Lag,0))*(1-Sev),0)</f>
        <v>0</v>
      </c>
      <c r="D2410" s="71" t="n">
        <f aca="false">IF(AND(2&lt;=Hold_Yrs,2-ROUND(Rec_Lag,0)&gt;=1),INDEX($C895:$L895,1,2-ROUND(Rec_Lag,0))*(1-Sev),0)</f>
        <v>0</v>
      </c>
      <c r="E2410" s="71" t="n">
        <f aca="false">IF(AND(3&lt;=Hold_Yrs,3-ROUND(Rec_Lag,0)&gt;=1),INDEX($C895:$L895,1,3-ROUND(Rec_Lag,0))*(1-Sev),0)</f>
        <v>0</v>
      </c>
      <c r="F2410" s="71" t="n">
        <f aca="false">IF(AND(4&lt;=Hold_Yrs,4-ROUND(Rec_Lag,0)&gt;=1),INDEX($C895:$L895,1,4-ROUND(Rec_Lag,0))*(1-Sev),0)</f>
        <v>0</v>
      </c>
      <c r="G2410" s="71" t="n">
        <f aca="false">IF(AND(5&lt;=Hold_Yrs,5-ROUND(Rec_Lag,0)&gt;=1),INDEX($C895:$L895,1,5-ROUND(Rec_Lag,0))*(1-Sev),0)</f>
        <v>0</v>
      </c>
      <c r="H2410" s="71" t="n">
        <f aca="false">IF(AND(6&lt;=Hold_Yrs,6-ROUND(Rec_Lag,0)&gt;=1),INDEX($C895:$L895,1,6-ROUND(Rec_Lag,0))*(1-Sev),0)</f>
        <v>0</v>
      </c>
      <c r="I2410" s="71" t="n">
        <f aca="false">IF(AND(7&lt;=Hold_Yrs,7-ROUND(Rec_Lag,0)&gt;=1),INDEX($C895:$L895,1,7-ROUND(Rec_Lag,0))*(1-Sev),0)</f>
        <v>0</v>
      </c>
      <c r="J2410" s="71" t="n">
        <f aca="false">IF(AND(8&lt;=Hold_Yrs,8-ROUND(Rec_Lag,0)&gt;=1),INDEX($C895:$L895,1,8-ROUND(Rec_Lag,0))*(1-Sev),0)</f>
        <v>0</v>
      </c>
      <c r="K2410" s="71" t="n">
        <f aca="false">IF(AND(9&lt;=Hold_Yrs,9-ROUND(Rec_Lag,0)&gt;=1),INDEX($C895:$L895,1,9-ROUND(Rec_Lag,0))*(1-Sev),0)</f>
        <v>0</v>
      </c>
      <c r="L2410" s="71" t="n">
        <f aca="false">IF(AND(10&lt;=Hold_Yrs,10-ROUND(Rec_Lag,0)&gt;=1),INDEX($C895:$L895,1,10-ROUND(Rec_Lag,0))*(1-Sev),0)</f>
        <v>0</v>
      </c>
    </row>
    <row r="2411" customFormat="false" ht="15" hidden="false" customHeight="false" outlineLevel="0" collapsed="false">
      <c r="B2411" s="102" t="n">
        <f aca="false">'Loan Tape'!$A286</f>
        <v>0</v>
      </c>
      <c r="C2411" s="99" t="n">
        <f aca="false">IF(AND(1&lt;=Hold_Yrs,1-ROUND(Rec_Lag,0)&gt;=1),INDEX($C896:$L896,1,1-ROUND(Rec_Lag,0))*(1-Sev),0)</f>
        <v>0</v>
      </c>
      <c r="D2411" s="99" t="n">
        <f aca="false">IF(AND(2&lt;=Hold_Yrs,2-ROUND(Rec_Lag,0)&gt;=1),INDEX($C896:$L896,1,2-ROUND(Rec_Lag,0))*(1-Sev),0)</f>
        <v>0</v>
      </c>
      <c r="E2411" s="99" t="n">
        <f aca="false">IF(AND(3&lt;=Hold_Yrs,3-ROUND(Rec_Lag,0)&gt;=1),INDEX($C896:$L896,1,3-ROUND(Rec_Lag,0))*(1-Sev),0)</f>
        <v>0</v>
      </c>
      <c r="F2411" s="99" t="n">
        <f aca="false">IF(AND(4&lt;=Hold_Yrs,4-ROUND(Rec_Lag,0)&gt;=1),INDEX($C896:$L896,1,4-ROUND(Rec_Lag,0))*(1-Sev),0)</f>
        <v>0</v>
      </c>
      <c r="G2411" s="99" t="n">
        <f aca="false">IF(AND(5&lt;=Hold_Yrs,5-ROUND(Rec_Lag,0)&gt;=1),INDEX($C896:$L896,1,5-ROUND(Rec_Lag,0))*(1-Sev),0)</f>
        <v>0</v>
      </c>
      <c r="H2411" s="99" t="n">
        <f aca="false">IF(AND(6&lt;=Hold_Yrs,6-ROUND(Rec_Lag,0)&gt;=1),INDEX($C896:$L896,1,6-ROUND(Rec_Lag,0))*(1-Sev),0)</f>
        <v>0</v>
      </c>
      <c r="I2411" s="99" t="n">
        <f aca="false">IF(AND(7&lt;=Hold_Yrs,7-ROUND(Rec_Lag,0)&gt;=1),INDEX($C896:$L896,1,7-ROUND(Rec_Lag,0))*(1-Sev),0)</f>
        <v>0</v>
      </c>
      <c r="J2411" s="99" t="n">
        <f aca="false">IF(AND(8&lt;=Hold_Yrs,8-ROUND(Rec_Lag,0)&gt;=1),INDEX($C896:$L896,1,8-ROUND(Rec_Lag,0))*(1-Sev),0)</f>
        <v>0</v>
      </c>
      <c r="K2411" s="99" t="n">
        <f aca="false">IF(AND(9&lt;=Hold_Yrs,9-ROUND(Rec_Lag,0)&gt;=1),INDEX($C896:$L896,1,9-ROUND(Rec_Lag,0))*(1-Sev),0)</f>
        <v>0</v>
      </c>
      <c r="L2411" s="99" t="n">
        <f aca="false">IF(AND(10&lt;=Hold_Yrs,10-ROUND(Rec_Lag,0)&gt;=1),INDEX($C896:$L896,1,10-ROUND(Rec_Lag,0))*(1-Sev),0)</f>
        <v>0</v>
      </c>
    </row>
    <row r="2412" customFormat="false" ht="15" hidden="false" customHeight="false" outlineLevel="0" collapsed="false">
      <c r="B2412" s="108" t="n">
        <f aca="false">'Loan Tape'!$A287</f>
        <v>0</v>
      </c>
      <c r="C2412" s="71" t="n">
        <f aca="false">IF(AND(1&lt;=Hold_Yrs,1-ROUND(Rec_Lag,0)&gt;=1),INDEX($C897:$L897,1,1-ROUND(Rec_Lag,0))*(1-Sev),0)</f>
        <v>0</v>
      </c>
      <c r="D2412" s="71" t="n">
        <f aca="false">IF(AND(2&lt;=Hold_Yrs,2-ROUND(Rec_Lag,0)&gt;=1),INDEX($C897:$L897,1,2-ROUND(Rec_Lag,0))*(1-Sev),0)</f>
        <v>0</v>
      </c>
      <c r="E2412" s="71" t="n">
        <f aca="false">IF(AND(3&lt;=Hold_Yrs,3-ROUND(Rec_Lag,0)&gt;=1),INDEX($C897:$L897,1,3-ROUND(Rec_Lag,0))*(1-Sev),0)</f>
        <v>0</v>
      </c>
      <c r="F2412" s="71" t="n">
        <f aca="false">IF(AND(4&lt;=Hold_Yrs,4-ROUND(Rec_Lag,0)&gt;=1),INDEX($C897:$L897,1,4-ROUND(Rec_Lag,0))*(1-Sev),0)</f>
        <v>0</v>
      </c>
      <c r="G2412" s="71" t="n">
        <f aca="false">IF(AND(5&lt;=Hold_Yrs,5-ROUND(Rec_Lag,0)&gt;=1),INDEX($C897:$L897,1,5-ROUND(Rec_Lag,0))*(1-Sev),0)</f>
        <v>0</v>
      </c>
      <c r="H2412" s="71" t="n">
        <f aca="false">IF(AND(6&lt;=Hold_Yrs,6-ROUND(Rec_Lag,0)&gt;=1),INDEX($C897:$L897,1,6-ROUND(Rec_Lag,0))*(1-Sev),0)</f>
        <v>0</v>
      </c>
      <c r="I2412" s="71" t="n">
        <f aca="false">IF(AND(7&lt;=Hold_Yrs,7-ROUND(Rec_Lag,0)&gt;=1),INDEX($C897:$L897,1,7-ROUND(Rec_Lag,0))*(1-Sev),0)</f>
        <v>0</v>
      </c>
      <c r="J2412" s="71" t="n">
        <f aca="false">IF(AND(8&lt;=Hold_Yrs,8-ROUND(Rec_Lag,0)&gt;=1),INDEX($C897:$L897,1,8-ROUND(Rec_Lag,0))*(1-Sev),0)</f>
        <v>0</v>
      </c>
      <c r="K2412" s="71" t="n">
        <f aca="false">IF(AND(9&lt;=Hold_Yrs,9-ROUND(Rec_Lag,0)&gt;=1),INDEX($C897:$L897,1,9-ROUND(Rec_Lag,0))*(1-Sev),0)</f>
        <v>0</v>
      </c>
      <c r="L2412" s="71" t="n">
        <f aca="false">IF(AND(10&lt;=Hold_Yrs,10-ROUND(Rec_Lag,0)&gt;=1),INDEX($C897:$L897,1,10-ROUND(Rec_Lag,0))*(1-Sev),0)</f>
        <v>0</v>
      </c>
    </row>
    <row r="2413" customFormat="false" ht="15" hidden="false" customHeight="false" outlineLevel="0" collapsed="false">
      <c r="B2413" s="102" t="n">
        <f aca="false">'Loan Tape'!$A288</f>
        <v>0</v>
      </c>
      <c r="C2413" s="99" t="n">
        <f aca="false">IF(AND(1&lt;=Hold_Yrs,1-ROUND(Rec_Lag,0)&gt;=1),INDEX($C898:$L898,1,1-ROUND(Rec_Lag,0))*(1-Sev),0)</f>
        <v>0</v>
      </c>
      <c r="D2413" s="99" t="n">
        <f aca="false">IF(AND(2&lt;=Hold_Yrs,2-ROUND(Rec_Lag,0)&gt;=1),INDEX($C898:$L898,1,2-ROUND(Rec_Lag,0))*(1-Sev),0)</f>
        <v>0</v>
      </c>
      <c r="E2413" s="99" t="n">
        <f aca="false">IF(AND(3&lt;=Hold_Yrs,3-ROUND(Rec_Lag,0)&gt;=1),INDEX($C898:$L898,1,3-ROUND(Rec_Lag,0))*(1-Sev),0)</f>
        <v>0</v>
      </c>
      <c r="F2413" s="99" t="n">
        <f aca="false">IF(AND(4&lt;=Hold_Yrs,4-ROUND(Rec_Lag,0)&gt;=1),INDEX($C898:$L898,1,4-ROUND(Rec_Lag,0))*(1-Sev),0)</f>
        <v>0</v>
      </c>
      <c r="G2413" s="99" t="n">
        <f aca="false">IF(AND(5&lt;=Hold_Yrs,5-ROUND(Rec_Lag,0)&gt;=1),INDEX($C898:$L898,1,5-ROUND(Rec_Lag,0))*(1-Sev),0)</f>
        <v>0</v>
      </c>
      <c r="H2413" s="99" t="n">
        <f aca="false">IF(AND(6&lt;=Hold_Yrs,6-ROUND(Rec_Lag,0)&gt;=1),INDEX($C898:$L898,1,6-ROUND(Rec_Lag,0))*(1-Sev),0)</f>
        <v>0</v>
      </c>
      <c r="I2413" s="99" t="n">
        <f aca="false">IF(AND(7&lt;=Hold_Yrs,7-ROUND(Rec_Lag,0)&gt;=1),INDEX($C898:$L898,1,7-ROUND(Rec_Lag,0))*(1-Sev),0)</f>
        <v>0</v>
      </c>
      <c r="J2413" s="99" t="n">
        <f aca="false">IF(AND(8&lt;=Hold_Yrs,8-ROUND(Rec_Lag,0)&gt;=1),INDEX($C898:$L898,1,8-ROUND(Rec_Lag,0))*(1-Sev),0)</f>
        <v>0</v>
      </c>
      <c r="K2413" s="99" t="n">
        <f aca="false">IF(AND(9&lt;=Hold_Yrs,9-ROUND(Rec_Lag,0)&gt;=1),INDEX($C898:$L898,1,9-ROUND(Rec_Lag,0))*(1-Sev),0)</f>
        <v>0</v>
      </c>
      <c r="L2413" s="99" t="n">
        <f aca="false">IF(AND(10&lt;=Hold_Yrs,10-ROUND(Rec_Lag,0)&gt;=1),INDEX($C898:$L898,1,10-ROUND(Rec_Lag,0))*(1-Sev),0)</f>
        <v>0</v>
      </c>
    </row>
    <row r="2414" customFormat="false" ht="15" hidden="false" customHeight="false" outlineLevel="0" collapsed="false">
      <c r="B2414" s="108" t="n">
        <f aca="false">'Loan Tape'!$A289</f>
        <v>0</v>
      </c>
      <c r="C2414" s="71" t="n">
        <f aca="false">IF(AND(1&lt;=Hold_Yrs,1-ROUND(Rec_Lag,0)&gt;=1),INDEX($C899:$L899,1,1-ROUND(Rec_Lag,0))*(1-Sev),0)</f>
        <v>0</v>
      </c>
      <c r="D2414" s="71" t="n">
        <f aca="false">IF(AND(2&lt;=Hold_Yrs,2-ROUND(Rec_Lag,0)&gt;=1),INDEX($C899:$L899,1,2-ROUND(Rec_Lag,0))*(1-Sev),0)</f>
        <v>0</v>
      </c>
      <c r="E2414" s="71" t="n">
        <f aca="false">IF(AND(3&lt;=Hold_Yrs,3-ROUND(Rec_Lag,0)&gt;=1),INDEX($C899:$L899,1,3-ROUND(Rec_Lag,0))*(1-Sev),0)</f>
        <v>0</v>
      </c>
      <c r="F2414" s="71" t="n">
        <f aca="false">IF(AND(4&lt;=Hold_Yrs,4-ROUND(Rec_Lag,0)&gt;=1),INDEX($C899:$L899,1,4-ROUND(Rec_Lag,0))*(1-Sev),0)</f>
        <v>0</v>
      </c>
      <c r="G2414" s="71" t="n">
        <f aca="false">IF(AND(5&lt;=Hold_Yrs,5-ROUND(Rec_Lag,0)&gt;=1),INDEX($C899:$L899,1,5-ROUND(Rec_Lag,0))*(1-Sev),0)</f>
        <v>0</v>
      </c>
      <c r="H2414" s="71" t="n">
        <f aca="false">IF(AND(6&lt;=Hold_Yrs,6-ROUND(Rec_Lag,0)&gt;=1),INDEX($C899:$L899,1,6-ROUND(Rec_Lag,0))*(1-Sev),0)</f>
        <v>0</v>
      </c>
      <c r="I2414" s="71" t="n">
        <f aca="false">IF(AND(7&lt;=Hold_Yrs,7-ROUND(Rec_Lag,0)&gt;=1),INDEX($C899:$L899,1,7-ROUND(Rec_Lag,0))*(1-Sev),0)</f>
        <v>0</v>
      </c>
      <c r="J2414" s="71" t="n">
        <f aca="false">IF(AND(8&lt;=Hold_Yrs,8-ROUND(Rec_Lag,0)&gt;=1),INDEX($C899:$L899,1,8-ROUND(Rec_Lag,0))*(1-Sev),0)</f>
        <v>0</v>
      </c>
      <c r="K2414" s="71" t="n">
        <f aca="false">IF(AND(9&lt;=Hold_Yrs,9-ROUND(Rec_Lag,0)&gt;=1),INDEX($C899:$L899,1,9-ROUND(Rec_Lag,0))*(1-Sev),0)</f>
        <v>0</v>
      </c>
      <c r="L2414" s="71" t="n">
        <f aca="false">IF(AND(10&lt;=Hold_Yrs,10-ROUND(Rec_Lag,0)&gt;=1),INDEX($C899:$L899,1,10-ROUND(Rec_Lag,0))*(1-Sev),0)</f>
        <v>0</v>
      </c>
    </row>
    <row r="2415" customFormat="false" ht="15" hidden="false" customHeight="false" outlineLevel="0" collapsed="false">
      <c r="B2415" s="102" t="n">
        <f aca="false">'Loan Tape'!$A290</f>
        <v>0</v>
      </c>
      <c r="C2415" s="99" t="n">
        <f aca="false">IF(AND(1&lt;=Hold_Yrs,1-ROUND(Rec_Lag,0)&gt;=1),INDEX($C900:$L900,1,1-ROUND(Rec_Lag,0))*(1-Sev),0)</f>
        <v>0</v>
      </c>
      <c r="D2415" s="99" t="n">
        <f aca="false">IF(AND(2&lt;=Hold_Yrs,2-ROUND(Rec_Lag,0)&gt;=1),INDEX($C900:$L900,1,2-ROUND(Rec_Lag,0))*(1-Sev),0)</f>
        <v>0</v>
      </c>
      <c r="E2415" s="99" t="n">
        <f aca="false">IF(AND(3&lt;=Hold_Yrs,3-ROUND(Rec_Lag,0)&gt;=1),INDEX($C900:$L900,1,3-ROUND(Rec_Lag,0))*(1-Sev),0)</f>
        <v>0</v>
      </c>
      <c r="F2415" s="99" t="n">
        <f aca="false">IF(AND(4&lt;=Hold_Yrs,4-ROUND(Rec_Lag,0)&gt;=1),INDEX($C900:$L900,1,4-ROUND(Rec_Lag,0))*(1-Sev),0)</f>
        <v>0</v>
      </c>
      <c r="G2415" s="99" t="n">
        <f aca="false">IF(AND(5&lt;=Hold_Yrs,5-ROUND(Rec_Lag,0)&gt;=1),INDEX($C900:$L900,1,5-ROUND(Rec_Lag,0))*(1-Sev),0)</f>
        <v>0</v>
      </c>
      <c r="H2415" s="99" t="n">
        <f aca="false">IF(AND(6&lt;=Hold_Yrs,6-ROUND(Rec_Lag,0)&gt;=1),INDEX($C900:$L900,1,6-ROUND(Rec_Lag,0))*(1-Sev),0)</f>
        <v>0</v>
      </c>
      <c r="I2415" s="99" t="n">
        <f aca="false">IF(AND(7&lt;=Hold_Yrs,7-ROUND(Rec_Lag,0)&gt;=1),INDEX($C900:$L900,1,7-ROUND(Rec_Lag,0))*(1-Sev),0)</f>
        <v>0</v>
      </c>
      <c r="J2415" s="99" t="n">
        <f aca="false">IF(AND(8&lt;=Hold_Yrs,8-ROUND(Rec_Lag,0)&gt;=1),INDEX($C900:$L900,1,8-ROUND(Rec_Lag,0))*(1-Sev),0)</f>
        <v>0</v>
      </c>
      <c r="K2415" s="99" t="n">
        <f aca="false">IF(AND(9&lt;=Hold_Yrs,9-ROUND(Rec_Lag,0)&gt;=1),INDEX($C900:$L900,1,9-ROUND(Rec_Lag,0))*(1-Sev),0)</f>
        <v>0</v>
      </c>
      <c r="L2415" s="99" t="n">
        <f aca="false">IF(AND(10&lt;=Hold_Yrs,10-ROUND(Rec_Lag,0)&gt;=1),INDEX($C900:$L900,1,10-ROUND(Rec_Lag,0))*(1-Sev),0)</f>
        <v>0</v>
      </c>
    </row>
    <row r="2416" customFormat="false" ht="15" hidden="false" customHeight="false" outlineLevel="0" collapsed="false">
      <c r="B2416" s="108" t="n">
        <f aca="false">'Loan Tape'!$A291</f>
        <v>0</v>
      </c>
      <c r="C2416" s="71" t="n">
        <f aca="false">IF(AND(1&lt;=Hold_Yrs,1-ROUND(Rec_Lag,0)&gt;=1),INDEX($C901:$L901,1,1-ROUND(Rec_Lag,0))*(1-Sev),0)</f>
        <v>0</v>
      </c>
      <c r="D2416" s="71" t="n">
        <f aca="false">IF(AND(2&lt;=Hold_Yrs,2-ROUND(Rec_Lag,0)&gt;=1),INDEX($C901:$L901,1,2-ROUND(Rec_Lag,0))*(1-Sev),0)</f>
        <v>0</v>
      </c>
      <c r="E2416" s="71" t="n">
        <f aca="false">IF(AND(3&lt;=Hold_Yrs,3-ROUND(Rec_Lag,0)&gt;=1),INDEX($C901:$L901,1,3-ROUND(Rec_Lag,0))*(1-Sev),0)</f>
        <v>0</v>
      </c>
      <c r="F2416" s="71" t="n">
        <f aca="false">IF(AND(4&lt;=Hold_Yrs,4-ROUND(Rec_Lag,0)&gt;=1),INDEX($C901:$L901,1,4-ROUND(Rec_Lag,0))*(1-Sev),0)</f>
        <v>0</v>
      </c>
      <c r="G2416" s="71" t="n">
        <f aca="false">IF(AND(5&lt;=Hold_Yrs,5-ROUND(Rec_Lag,0)&gt;=1),INDEX($C901:$L901,1,5-ROUND(Rec_Lag,0))*(1-Sev),0)</f>
        <v>0</v>
      </c>
      <c r="H2416" s="71" t="n">
        <f aca="false">IF(AND(6&lt;=Hold_Yrs,6-ROUND(Rec_Lag,0)&gt;=1),INDEX($C901:$L901,1,6-ROUND(Rec_Lag,0))*(1-Sev),0)</f>
        <v>0</v>
      </c>
      <c r="I2416" s="71" t="n">
        <f aca="false">IF(AND(7&lt;=Hold_Yrs,7-ROUND(Rec_Lag,0)&gt;=1),INDEX($C901:$L901,1,7-ROUND(Rec_Lag,0))*(1-Sev),0)</f>
        <v>0</v>
      </c>
      <c r="J2416" s="71" t="n">
        <f aca="false">IF(AND(8&lt;=Hold_Yrs,8-ROUND(Rec_Lag,0)&gt;=1),INDEX($C901:$L901,1,8-ROUND(Rec_Lag,0))*(1-Sev),0)</f>
        <v>0</v>
      </c>
      <c r="K2416" s="71" t="n">
        <f aca="false">IF(AND(9&lt;=Hold_Yrs,9-ROUND(Rec_Lag,0)&gt;=1),INDEX($C901:$L901,1,9-ROUND(Rec_Lag,0))*(1-Sev),0)</f>
        <v>0</v>
      </c>
      <c r="L2416" s="71" t="n">
        <f aca="false">IF(AND(10&lt;=Hold_Yrs,10-ROUND(Rec_Lag,0)&gt;=1),INDEX($C901:$L901,1,10-ROUND(Rec_Lag,0))*(1-Sev),0)</f>
        <v>0</v>
      </c>
    </row>
    <row r="2417" customFormat="false" ht="15" hidden="false" customHeight="false" outlineLevel="0" collapsed="false">
      <c r="B2417" s="102" t="n">
        <f aca="false">'Loan Tape'!$A292</f>
        <v>0</v>
      </c>
      <c r="C2417" s="99" t="n">
        <f aca="false">IF(AND(1&lt;=Hold_Yrs,1-ROUND(Rec_Lag,0)&gt;=1),INDEX($C902:$L902,1,1-ROUND(Rec_Lag,0))*(1-Sev),0)</f>
        <v>0</v>
      </c>
      <c r="D2417" s="99" t="n">
        <f aca="false">IF(AND(2&lt;=Hold_Yrs,2-ROUND(Rec_Lag,0)&gt;=1),INDEX($C902:$L902,1,2-ROUND(Rec_Lag,0))*(1-Sev),0)</f>
        <v>0</v>
      </c>
      <c r="E2417" s="99" t="n">
        <f aca="false">IF(AND(3&lt;=Hold_Yrs,3-ROUND(Rec_Lag,0)&gt;=1),INDEX($C902:$L902,1,3-ROUND(Rec_Lag,0))*(1-Sev),0)</f>
        <v>0</v>
      </c>
      <c r="F2417" s="99" t="n">
        <f aca="false">IF(AND(4&lt;=Hold_Yrs,4-ROUND(Rec_Lag,0)&gt;=1),INDEX($C902:$L902,1,4-ROUND(Rec_Lag,0))*(1-Sev),0)</f>
        <v>0</v>
      </c>
      <c r="G2417" s="99" t="n">
        <f aca="false">IF(AND(5&lt;=Hold_Yrs,5-ROUND(Rec_Lag,0)&gt;=1),INDEX($C902:$L902,1,5-ROUND(Rec_Lag,0))*(1-Sev),0)</f>
        <v>0</v>
      </c>
      <c r="H2417" s="99" t="n">
        <f aca="false">IF(AND(6&lt;=Hold_Yrs,6-ROUND(Rec_Lag,0)&gt;=1),INDEX($C902:$L902,1,6-ROUND(Rec_Lag,0))*(1-Sev),0)</f>
        <v>0</v>
      </c>
      <c r="I2417" s="99" t="n">
        <f aca="false">IF(AND(7&lt;=Hold_Yrs,7-ROUND(Rec_Lag,0)&gt;=1),INDEX($C902:$L902,1,7-ROUND(Rec_Lag,0))*(1-Sev),0)</f>
        <v>0</v>
      </c>
      <c r="J2417" s="99" t="n">
        <f aca="false">IF(AND(8&lt;=Hold_Yrs,8-ROUND(Rec_Lag,0)&gt;=1),INDEX($C902:$L902,1,8-ROUND(Rec_Lag,0))*(1-Sev),0)</f>
        <v>0</v>
      </c>
      <c r="K2417" s="99" t="n">
        <f aca="false">IF(AND(9&lt;=Hold_Yrs,9-ROUND(Rec_Lag,0)&gt;=1),INDEX($C902:$L902,1,9-ROUND(Rec_Lag,0))*(1-Sev),0)</f>
        <v>0</v>
      </c>
      <c r="L2417" s="99" t="n">
        <f aca="false">IF(AND(10&lt;=Hold_Yrs,10-ROUND(Rec_Lag,0)&gt;=1),INDEX($C902:$L902,1,10-ROUND(Rec_Lag,0))*(1-Sev),0)</f>
        <v>0</v>
      </c>
    </row>
    <row r="2418" customFormat="false" ht="15" hidden="false" customHeight="false" outlineLevel="0" collapsed="false">
      <c r="B2418" s="108" t="n">
        <f aca="false">'Loan Tape'!$A293</f>
        <v>0</v>
      </c>
      <c r="C2418" s="71" t="n">
        <f aca="false">IF(AND(1&lt;=Hold_Yrs,1-ROUND(Rec_Lag,0)&gt;=1),INDEX($C903:$L903,1,1-ROUND(Rec_Lag,0))*(1-Sev),0)</f>
        <v>0</v>
      </c>
      <c r="D2418" s="71" t="n">
        <f aca="false">IF(AND(2&lt;=Hold_Yrs,2-ROUND(Rec_Lag,0)&gt;=1),INDEX($C903:$L903,1,2-ROUND(Rec_Lag,0))*(1-Sev),0)</f>
        <v>0</v>
      </c>
      <c r="E2418" s="71" t="n">
        <f aca="false">IF(AND(3&lt;=Hold_Yrs,3-ROUND(Rec_Lag,0)&gt;=1),INDEX($C903:$L903,1,3-ROUND(Rec_Lag,0))*(1-Sev),0)</f>
        <v>0</v>
      </c>
      <c r="F2418" s="71" t="n">
        <f aca="false">IF(AND(4&lt;=Hold_Yrs,4-ROUND(Rec_Lag,0)&gt;=1),INDEX($C903:$L903,1,4-ROUND(Rec_Lag,0))*(1-Sev),0)</f>
        <v>0</v>
      </c>
      <c r="G2418" s="71" t="n">
        <f aca="false">IF(AND(5&lt;=Hold_Yrs,5-ROUND(Rec_Lag,0)&gt;=1),INDEX($C903:$L903,1,5-ROUND(Rec_Lag,0))*(1-Sev),0)</f>
        <v>0</v>
      </c>
      <c r="H2418" s="71" t="n">
        <f aca="false">IF(AND(6&lt;=Hold_Yrs,6-ROUND(Rec_Lag,0)&gt;=1),INDEX($C903:$L903,1,6-ROUND(Rec_Lag,0))*(1-Sev),0)</f>
        <v>0</v>
      </c>
      <c r="I2418" s="71" t="n">
        <f aca="false">IF(AND(7&lt;=Hold_Yrs,7-ROUND(Rec_Lag,0)&gt;=1),INDEX($C903:$L903,1,7-ROUND(Rec_Lag,0))*(1-Sev),0)</f>
        <v>0</v>
      </c>
      <c r="J2418" s="71" t="n">
        <f aca="false">IF(AND(8&lt;=Hold_Yrs,8-ROUND(Rec_Lag,0)&gt;=1),INDEX($C903:$L903,1,8-ROUND(Rec_Lag,0))*(1-Sev),0)</f>
        <v>0</v>
      </c>
      <c r="K2418" s="71" t="n">
        <f aca="false">IF(AND(9&lt;=Hold_Yrs,9-ROUND(Rec_Lag,0)&gt;=1),INDEX($C903:$L903,1,9-ROUND(Rec_Lag,0))*(1-Sev),0)</f>
        <v>0</v>
      </c>
      <c r="L2418" s="71" t="n">
        <f aca="false">IF(AND(10&lt;=Hold_Yrs,10-ROUND(Rec_Lag,0)&gt;=1),INDEX($C903:$L903,1,10-ROUND(Rec_Lag,0))*(1-Sev),0)</f>
        <v>0</v>
      </c>
    </row>
    <row r="2419" customFormat="false" ht="15" hidden="false" customHeight="false" outlineLevel="0" collapsed="false">
      <c r="B2419" s="102" t="n">
        <f aca="false">'Loan Tape'!$A294</f>
        <v>0</v>
      </c>
      <c r="C2419" s="99" t="n">
        <f aca="false">IF(AND(1&lt;=Hold_Yrs,1-ROUND(Rec_Lag,0)&gt;=1),INDEX($C904:$L904,1,1-ROUND(Rec_Lag,0))*(1-Sev),0)</f>
        <v>0</v>
      </c>
      <c r="D2419" s="99" t="n">
        <f aca="false">IF(AND(2&lt;=Hold_Yrs,2-ROUND(Rec_Lag,0)&gt;=1),INDEX($C904:$L904,1,2-ROUND(Rec_Lag,0))*(1-Sev),0)</f>
        <v>0</v>
      </c>
      <c r="E2419" s="99" t="n">
        <f aca="false">IF(AND(3&lt;=Hold_Yrs,3-ROUND(Rec_Lag,0)&gt;=1),INDEX($C904:$L904,1,3-ROUND(Rec_Lag,0))*(1-Sev),0)</f>
        <v>0</v>
      </c>
      <c r="F2419" s="99" t="n">
        <f aca="false">IF(AND(4&lt;=Hold_Yrs,4-ROUND(Rec_Lag,0)&gt;=1),INDEX($C904:$L904,1,4-ROUND(Rec_Lag,0))*(1-Sev),0)</f>
        <v>0</v>
      </c>
      <c r="G2419" s="99" t="n">
        <f aca="false">IF(AND(5&lt;=Hold_Yrs,5-ROUND(Rec_Lag,0)&gt;=1),INDEX($C904:$L904,1,5-ROUND(Rec_Lag,0))*(1-Sev),0)</f>
        <v>0</v>
      </c>
      <c r="H2419" s="99" t="n">
        <f aca="false">IF(AND(6&lt;=Hold_Yrs,6-ROUND(Rec_Lag,0)&gt;=1),INDEX($C904:$L904,1,6-ROUND(Rec_Lag,0))*(1-Sev),0)</f>
        <v>0</v>
      </c>
      <c r="I2419" s="99" t="n">
        <f aca="false">IF(AND(7&lt;=Hold_Yrs,7-ROUND(Rec_Lag,0)&gt;=1),INDEX($C904:$L904,1,7-ROUND(Rec_Lag,0))*(1-Sev),0)</f>
        <v>0</v>
      </c>
      <c r="J2419" s="99" t="n">
        <f aca="false">IF(AND(8&lt;=Hold_Yrs,8-ROUND(Rec_Lag,0)&gt;=1),INDEX($C904:$L904,1,8-ROUND(Rec_Lag,0))*(1-Sev),0)</f>
        <v>0</v>
      </c>
      <c r="K2419" s="99" t="n">
        <f aca="false">IF(AND(9&lt;=Hold_Yrs,9-ROUND(Rec_Lag,0)&gt;=1),INDEX($C904:$L904,1,9-ROUND(Rec_Lag,0))*(1-Sev),0)</f>
        <v>0</v>
      </c>
      <c r="L2419" s="99" t="n">
        <f aca="false">IF(AND(10&lt;=Hold_Yrs,10-ROUND(Rec_Lag,0)&gt;=1),INDEX($C904:$L904,1,10-ROUND(Rec_Lag,0))*(1-Sev),0)</f>
        <v>0</v>
      </c>
    </row>
    <row r="2420" customFormat="false" ht="15" hidden="false" customHeight="false" outlineLevel="0" collapsed="false">
      <c r="B2420" s="108" t="n">
        <f aca="false">'Loan Tape'!$A295</f>
        <v>0</v>
      </c>
      <c r="C2420" s="71" t="n">
        <f aca="false">IF(AND(1&lt;=Hold_Yrs,1-ROUND(Rec_Lag,0)&gt;=1),INDEX($C905:$L905,1,1-ROUND(Rec_Lag,0))*(1-Sev),0)</f>
        <v>0</v>
      </c>
      <c r="D2420" s="71" t="n">
        <f aca="false">IF(AND(2&lt;=Hold_Yrs,2-ROUND(Rec_Lag,0)&gt;=1),INDEX($C905:$L905,1,2-ROUND(Rec_Lag,0))*(1-Sev),0)</f>
        <v>0</v>
      </c>
      <c r="E2420" s="71" t="n">
        <f aca="false">IF(AND(3&lt;=Hold_Yrs,3-ROUND(Rec_Lag,0)&gt;=1),INDEX($C905:$L905,1,3-ROUND(Rec_Lag,0))*(1-Sev),0)</f>
        <v>0</v>
      </c>
      <c r="F2420" s="71" t="n">
        <f aca="false">IF(AND(4&lt;=Hold_Yrs,4-ROUND(Rec_Lag,0)&gt;=1),INDEX($C905:$L905,1,4-ROUND(Rec_Lag,0))*(1-Sev),0)</f>
        <v>0</v>
      </c>
      <c r="G2420" s="71" t="n">
        <f aca="false">IF(AND(5&lt;=Hold_Yrs,5-ROUND(Rec_Lag,0)&gt;=1),INDEX($C905:$L905,1,5-ROUND(Rec_Lag,0))*(1-Sev),0)</f>
        <v>0</v>
      </c>
      <c r="H2420" s="71" t="n">
        <f aca="false">IF(AND(6&lt;=Hold_Yrs,6-ROUND(Rec_Lag,0)&gt;=1),INDEX($C905:$L905,1,6-ROUND(Rec_Lag,0))*(1-Sev),0)</f>
        <v>0</v>
      </c>
      <c r="I2420" s="71" t="n">
        <f aca="false">IF(AND(7&lt;=Hold_Yrs,7-ROUND(Rec_Lag,0)&gt;=1),INDEX($C905:$L905,1,7-ROUND(Rec_Lag,0))*(1-Sev),0)</f>
        <v>0</v>
      </c>
      <c r="J2420" s="71" t="n">
        <f aca="false">IF(AND(8&lt;=Hold_Yrs,8-ROUND(Rec_Lag,0)&gt;=1),INDEX($C905:$L905,1,8-ROUND(Rec_Lag,0))*(1-Sev),0)</f>
        <v>0</v>
      </c>
      <c r="K2420" s="71" t="n">
        <f aca="false">IF(AND(9&lt;=Hold_Yrs,9-ROUND(Rec_Lag,0)&gt;=1),INDEX($C905:$L905,1,9-ROUND(Rec_Lag,0))*(1-Sev),0)</f>
        <v>0</v>
      </c>
      <c r="L2420" s="71" t="n">
        <f aca="false">IF(AND(10&lt;=Hold_Yrs,10-ROUND(Rec_Lag,0)&gt;=1),INDEX($C905:$L905,1,10-ROUND(Rec_Lag,0))*(1-Sev),0)</f>
        <v>0</v>
      </c>
    </row>
    <row r="2421" customFormat="false" ht="15" hidden="false" customHeight="false" outlineLevel="0" collapsed="false">
      <c r="B2421" s="102" t="n">
        <f aca="false">'Loan Tape'!$A296</f>
        <v>0</v>
      </c>
      <c r="C2421" s="99" t="n">
        <f aca="false">IF(AND(1&lt;=Hold_Yrs,1-ROUND(Rec_Lag,0)&gt;=1),INDEX($C906:$L906,1,1-ROUND(Rec_Lag,0))*(1-Sev),0)</f>
        <v>0</v>
      </c>
      <c r="D2421" s="99" t="n">
        <f aca="false">IF(AND(2&lt;=Hold_Yrs,2-ROUND(Rec_Lag,0)&gt;=1),INDEX($C906:$L906,1,2-ROUND(Rec_Lag,0))*(1-Sev),0)</f>
        <v>0</v>
      </c>
      <c r="E2421" s="99" t="n">
        <f aca="false">IF(AND(3&lt;=Hold_Yrs,3-ROUND(Rec_Lag,0)&gt;=1),INDEX($C906:$L906,1,3-ROUND(Rec_Lag,0))*(1-Sev),0)</f>
        <v>0</v>
      </c>
      <c r="F2421" s="99" t="n">
        <f aca="false">IF(AND(4&lt;=Hold_Yrs,4-ROUND(Rec_Lag,0)&gt;=1),INDEX($C906:$L906,1,4-ROUND(Rec_Lag,0))*(1-Sev),0)</f>
        <v>0</v>
      </c>
      <c r="G2421" s="99" t="n">
        <f aca="false">IF(AND(5&lt;=Hold_Yrs,5-ROUND(Rec_Lag,0)&gt;=1),INDEX($C906:$L906,1,5-ROUND(Rec_Lag,0))*(1-Sev),0)</f>
        <v>0</v>
      </c>
      <c r="H2421" s="99" t="n">
        <f aca="false">IF(AND(6&lt;=Hold_Yrs,6-ROUND(Rec_Lag,0)&gt;=1),INDEX($C906:$L906,1,6-ROUND(Rec_Lag,0))*(1-Sev),0)</f>
        <v>0</v>
      </c>
      <c r="I2421" s="99" t="n">
        <f aca="false">IF(AND(7&lt;=Hold_Yrs,7-ROUND(Rec_Lag,0)&gt;=1),INDEX($C906:$L906,1,7-ROUND(Rec_Lag,0))*(1-Sev),0)</f>
        <v>0</v>
      </c>
      <c r="J2421" s="99" t="n">
        <f aca="false">IF(AND(8&lt;=Hold_Yrs,8-ROUND(Rec_Lag,0)&gt;=1),INDEX($C906:$L906,1,8-ROUND(Rec_Lag,0))*(1-Sev),0)</f>
        <v>0</v>
      </c>
      <c r="K2421" s="99" t="n">
        <f aca="false">IF(AND(9&lt;=Hold_Yrs,9-ROUND(Rec_Lag,0)&gt;=1),INDEX($C906:$L906,1,9-ROUND(Rec_Lag,0))*(1-Sev),0)</f>
        <v>0</v>
      </c>
      <c r="L2421" s="99" t="n">
        <f aca="false">IF(AND(10&lt;=Hold_Yrs,10-ROUND(Rec_Lag,0)&gt;=1),INDEX($C906:$L906,1,10-ROUND(Rec_Lag,0))*(1-Sev),0)</f>
        <v>0</v>
      </c>
    </row>
    <row r="2422" customFormat="false" ht="15" hidden="false" customHeight="false" outlineLevel="0" collapsed="false">
      <c r="B2422" s="108" t="n">
        <f aca="false">'Loan Tape'!$A297</f>
        <v>0</v>
      </c>
      <c r="C2422" s="71" t="n">
        <f aca="false">IF(AND(1&lt;=Hold_Yrs,1-ROUND(Rec_Lag,0)&gt;=1),INDEX($C907:$L907,1,1-ROUND(Rec_Lag,0))*(1-Sev),0)</f>
        <v>0</v>
      </c>
      <c r="D2422" s="71" t="n">
        <f aca="false">IF(AND(2&lt;=Hold_Yrs,2-ROUND(Rec_Lag,0)&gt;=1),INDEX($C907:$L907,1,2-ROUND(Rec_Lag,0))*(1-Sev),0)</f>
        <v>0</v>
      </c>
      <c r="E2422" s="71" t="n">
        <f aca="false">IF(AND(3&lt;=Hold_Yrs,3-ROUND(Rec_Lag,0)&gt;=1),INDEX($C907:$L907,1,3-ROUND(Rec_Lag,0))*(1-Sev),0)</f>
        <v>0</v>
      </c>
      <c r="F2422" s="71" t="n">
        <f aca="false">IF(AND(4&lt;=Hold_Yrs,4-ROUND(Rec_Lag,0)&gt;=1),INDEX($C907:$L907,1,4-ROUND(Rec_Lag,0))*(1-Sev),0)</f>
        <v>0</v>
      </c>
      <c r="G2422" s="71" t="n">
        <f aca="false">IF(AND(5&lt;=Hold_Yrs,5-ROUND(Rec_Lag,0)&gt;=1),INDEX($C907:$L907,1,5-ROUND(Rec_Lag,0))*(1-Sev),0)</f>
        <v>0</v>
      </c>
      <c r="H2422" s="71" t="n">
        <f aca="false">IF(AND(6&lt;=Hold_Yrs,6-ROUND(Rec_Lag,0)&gt;=1),INDEX($C907:$L907,1,6-ROUND(Rec_Lag,0))*(1-Sev),0)</f>
        <v>0</v>
      </c>
      <c r="I2422" s="71" t="n">
        <f aca="false">IF(AND(7&lt;=Hold_Yrs,7-ROUND(Rec_Lag,0)&gt;=1),INDEX($C907:$L907,1,7-ROUND(Rec_Lag,0))*(1-Sev),0)</f>
        <v>0</v>
      </c>
      <c r="J2422" s="71" t="n">
        <f aca="false">IF(AND(8&lt;=Hold_Yrs,8-ROUND(Rec_Lag,0)&gt;=1),INDEX($C907:$L907,1,8-ROUND(Rec_Lag,0))*(1-Sev),0)</f>
        <v>0</v>
      </c>
      <c r="K2422" s="71" t="n">
        <f aca="false">IF(AND(9&lt;=Hold_Yrs,9-ROUND(Rec_Lag,0)&gt;=1),INDEX($C907:$L907,1,9-ROUND(Rec_Lag,0))*(1-Sev),0)</f>
        <v>0</v>
      </c>
      <c r="L2422" s="71" t="n">
        <f aca="false">IF(AND(10&lt;=Hold_Yrs,10-ROUND(Rec_Lag,0)&gt;=1),INDEX($C907:$L907,1,10-ROUND(Rec_Lag,0))*(1-Sev),0)</f>
        <v>0</v>
      </c>
    </row>
    <row r="2423" customFormat="false" ht="15" hidden="false" customHeight="false" outlineLevel="0" collapsed="false">
      <c r="B2423" s="102" t="n">
        <f aca="false">'Loan Tape'!$A298</f>
        <v>0</v>
      </c>
      <c r="C2423" s="99" t="n">
        <f aca="false">IF(AND(1&lt;=Hold_Yrs,1-ROUND(Rec_Lag,0)&gt;=1),INDEX($C908:$L908,1,1-ROUND(Rec_Lag,0))*(1-Sev),0)</f>
        <v>0</v>
      </c>
      <c r="D2423" s="99" t="n">
        <f aca="false">IF(AND(2&lt;=Hold_Yrs,2-ROUND(Rec_Lag,0)&gt;=1),INDEX($C908:$L908,1,2-ROUND(Rec_Lag,0))*(1-Sev),0)</f>
        <v>0</v>
      </c>
      <c r="E2423" s="99" t="n">
        <f aca="false">IF(AND(3&lt;=Hold_Yrs,3-ROUND(Rec_Lag,0)&gt;=1),INDEX($C908:$L908,1,3-ROUND(Rec_Lag,0))*(1-Sev),0)</f>
        <v>0</v>
      </c>
      <c r="F2423" s="99" t="n">
        <f aca="false">IF(AND(4&lt;=Hold_Yrs,4-ROUND(Rec_Lag,0)&gt;=1),INDEX($C908:$L908,1,4-ROUND(Rec_Lag,0))*(1-Sev),0)</f>
        <v>0</v>
      </c>
      <c r="G2423" s="99" t="n">
        <f aca="false">IF(AND(5&lt;=Hold_Yrs,5-ROUND(Rec_Lag,0)&gt;=1),INDEX($C908:$L908,1,5-ROUND(Rec_Lag,0))*(1-Sev),0)</f>
        <v>0</v>
      </c>
      <c r="H2423" s="99" t="n">
        <f aca="false">IF(AND(6&lt;=Hold_Yrs,6-ROUND(Rec_Lag,0)&gt;=1),INDEX($C908:$L908,1,6-ROUND(Rec_Lag,0))*(1-Sev),0)</f>
        <v>0</v>
      </c>
      <c r="I2423" s="99" t="n">
        <f aca="false">IF(AND(7&lt;=Hold_Yrs,7-ROUND(Rec_Lag,0)&gt;=1),INDEX($C908:$L908,1,7-ROUND(Rec_Lag,0))*(1-Sev),0)</f>
        <v>0</v>
      </c>
      <c r="J2423" s="99" t="n">
        <f aca="false">IF(AND(8&lt;=Hold_Yrs,8-ROUND(Rec_Lag,0)&gt;=1),INDEX($C908:$L908,1,8-ROUND(Rec_Lag,0))*(1-Sev),0)</f>
        <v>0</v>
      </c>
      <c r="K2423" s="99" t="n">
        <f aca="false">IF(AND(9&lt;=Hold_Yrs,9-ROUND(Rec_Lag,0)&gt;=1),INDEX($C908:$L908,1,9-ROUND(Rec_Lag,0))*(1-Sev),0)</f>
        <v>0</v>
      </c>
      <c r="L2423" s="99" t="n">
        <f aca="false">IF(AND(10&lt;=Hold_Yrs,10-ROUND(Rec_Lag,0)&gt;=1),INDEX($C908:$L908,1,10-ROUND(Rec_Lag,0))*(1-Sev),0)</f>
        <v>0</v>
      </c>
    </row>
    <row r="2424" customFormat="false" ht="15" hidden="false" customHeight="false" outlineLevel="0" collapsed="false">
      <c r="B2424" s="108" t="n">
        <f aca="false">'Loan Tape'!$A299</f>
        <v>0</v>
      </c>
      <c r="C2424" s="71" t="n">
        <f aca="false">IF(AND(1&lt;=Hold_Yrs,1-ROUND(Rec_Lag,0)&gt;=1),INDEX($C909:$L909,1,1-ROUND(Rec_Lag,0))*(1-Sev),0)</f>
        <v>0</v>
      </c>
      <c r="D2424" s="71" t="n">
        <f aca="false">IF(AND(2&lt;=Hold_Yrs,2-ROUND(Rec_Lag,0)&gt;=1),INDEX($C909:$L909,1,2-ROUND(Rec_Lag,0))*(1-Sev),0)</f>
        <v>0</v>
      </c>
      <c r="E2424" s="71" t="n">
        <f aca="false">IF(AND(3&lt;=Hold_Yrs,3-ROUND(Rec_Lag,0)&gt;=1),INDEX($C909:$L909,1,3-ROUND(Rec_Lag,0))*(1-Sev),0)</f>
        <v>0</v>
      </c>
      <c r="F2424" s="71" t="n">
        <f aca="false">IF(AND(4&lt;=Hold_Yrs,4-ROUND(Rec_Lag,0)&gt;=1),INDEX($C909:$L909,1,4-ROUND(Rec_Lag,0))*(1-Sev),0)</f>
        <v>0</v>
      </c>
      <c r="G2424" s="71" t="n">
        <f aca="false">IF(AND(5&lt;=Hold_Yrs,5-ROUND(Rec_Lag,0)&gt;=1),INDEX($C909:$L909,1,5-ROUND(Rec_Lag,0))*(1-Sev),0)</f>
        <v>0</v>
      </c>
      <c r="H2424" s="71" t="n">
        <f aca="false">IF(AND(6&lt;=Hold_Yrs,6-ROUND(Rec_Lag,0)&gt;=1),INDEX($C909:$L909,1,6-ROUND(Rec_Lag,0))*(1-Sev),0)</f>
        <v>0</v>
      </c>
      <c r="I2424" s="71" t="n">
        <f aca="false">IF(AND(7&lt;=Hold_Yrs,7-ROUND(Rec_Lag,0)&gt;=1),INDEX($C909:$L909,1,7-ROUND(Rec_Lag,0))*(1-Sev),0)</f>
        <v>0</v>
      </c>
      <c r="J2424" s="71" t="n">
        <f aca="false">IF(AND(8&lt;=Hold_Yrs,8-ROUND(Rec_Lag,0)&gt;=1),INDEX($C909:$L909,1,8-ROUND(Rec_Lag,0))*(1-Sev),0)</f>
        <v>0</v>
      </c>
      <c r="K2424" s="71" t="n">
        <f aca="false">IF(AND(9&lt;=Hold_Yrs,9-ROUND(Rec_Lag,0)&gt;=1),INDEX($C909:$L909,1,9-ROUND(Rec_Lag,0))*(1-Sev),0)</f>
        <v>0</v>
      </c>
      <c r="L2424" s="71" t="n">
        <f aca="false">IF(AND(10&lt;=Hold_Yrs,10-ROUND(Rec_Lag,0)&gt;=1),INDEX($C909:$L909,1,10-ROUND(Rec_Lag,0))*(1-Sev),0)</f>
        <v>0</v>
      </c>
    </row>
    <row r="2425" customFormat="false" ht="15" hidden="false" customHeight="false" outlineLevel="0" collapsed="false">
      <c r="B2425" s="102" t="n">
        <f aca="false">'Loan Tape'!$A300</f>
        <v>0</v>
      </c>
      <c r="C2425" s="99" t="n">
        <f aca="false">IF(AND(1&lt;=Hold_Yrs,1-ROUND(Rec_Lag,0)&gt;=1),INDEX($C910:$L910,1,1-ROUND(Rec_Lag,0))*(1-Sev),0)</f>
        <v>0</v>
      </c>
      <c r="D2425" s="99" t="n">
        <f aca="false">IF(AND(2&lt;=Hold_Yrs,2-ROUND(Rec_Lag,0)&gt;=1),INDEX($C910:$L910,1,2-ROUND(Rec_Lag,0))*(1-Sev),0)</f>
        <v>0</v>
      </c>
      <c r="E2425" s="99" t="n">
        <f aca="false">IF(AND(3&lt;=Hold_Yrs,3-ROUND(Rec_Lag,0)&gt;=1),INDEX($C910:$L910,1,3-ROUND(Rec_Lag,0))*(1-Sev),0)</f>
        <v>0</v>
      </c>
      <c r="F2425" s="99" t="n">
        <f aca="false">IF(AND(4&lt;=Hold_Yrs,4-ROUND(Rec_Lag,0)&gt;=1),INDEX($C910:$L910,1,4-ROUND(Rec_Lag,0))*(1-Sev),0)</f>
        <v>0</v>
      </c>
      <c r="G2425" s="99" t="n">
        <f aca="false">IF(AND(5&lt;=Hold_Yrs,5-ROUND(Rec_Lag,0)&gt;=1),INDEX($C910:$L910,1,5-ROUND(Rec_Lag,0))*(1-Sev),0)</f>
        <v>0</v>
      </c>
      <c r="H2425" s="99" t="n">
        <f aca="false">IF(AND(6&lt;=Hold_Yrs,6-ROUND(Rec_Lag,0)&gt;=1),INDEX($C910:$L910,1,6-ROUND(Rec_Lag,0))*(1-Sev),0)</f>
        <v>0</v>
      </c>
      <c r="I2425" s="99" t="n">
        <f aca="false">IF(AND(7&lt;=Hold_Yrs,7-ROUND(Rec_Lag,0)&gt;=1),INDEX($C910:$L910,1,7-ROUND(Rec_Lag,0))*(1-Sev),0)</f>
        <v>0</v>
      </c>
      <c r="J2425" s="99" t="n">
        <f aca="false">IF(AND(8&lt;=Hold_Yrs,8-ROUND(Rec_Lag,0)&gt;=1),INDEX($C910:$L910,1,8-ROUND(Rec_Lag,0))*(1-Sev),0)</f>
        <v>0</v>
      </c>
      <c r="K2425" s="99" t="n">
        <f aca="false">IF(AND(9&lt;=Hold_Yrs,9-ROUND(Rec_Lag,0)&gt;=1),INDEX($C910:$L910,1,9-ROUND(Rec_Lag,0))*(1-Sev),0)</f>
        <v>0</v>
      </c>
      <c r="L2425" s="99" t="n">
        <f aca="false">IF(AND(10&lt;=Hold_Yrs,10-ROUND(Rec_Lag,0)&gt;=1),INDEX($C910:$L910,1,10-ROUND(Rec_Lag,0))*(1-Sev),0)</f>
        <v>0</v>
      </c>
    </row>
    <row r="2426" customFormat="false" ht="15" hidden="false" customHeight="false" outlineLevel="0" collapsed="false">
      <c r="B2426" s="108" t="n">
        <f aca="false">'Loan Tape'!$A301</f>
        <v>0</v>
      </c>
      <c r="C2426" s="71" t="n">
        <f aca="false">IF(AND(1&lt;=Hold_Yrs,1-ROUND(Rec_Lag,0)&gt;=1),INDEX($C911:$L911,1,1-ROUND(Rec_Lag,0))*(1-Sev),0)</f>
        <v>0</v>
      </c>
      <c r="D2426" s="71" t="n">
        <f aca="false">IF(AND(2&lt;=Hold_Yrs,2-ROUND(Rec_Lag,0)&gt;=1),INDEX($C911:$L911,1,2-ROUND(Rec_Lag,0))*(1-Sev),0)</f>
        <v>0</v>
      </c>
      <c r="E2426" s="71" t="n">
        <f aca="false">IF(AND(3&lt;=Hold_Yrs,3-ROUND(Rec_Lag,0)&gt;=1),INDEX($C911:$L911,1,3-ROUND(Rec_Lag,0))*(1-Sev),0)</f>
        <v>0</v>
      </c>
      <c r="F2426" s="71" t="n">
        <f aca="false">IF(AND(4&lt;=Hold_Yrs,4-ROUND(Rec_Lag,0)&gt;=1),INDEX($C911:$L911,1,4-ROUND(Rec_Lag,0))*(1-Sev),0)</f>
        <v>0</v>
      </c>
      <c r="G2426" s="71" t="n">
        <f aca="false">IF(AND(5&lt;=Hold_Yrs,5-ROUND(Rec_Lag,0)&gt;=1),INDEX($C911:$L911,1,5-ROUND(Rec_Lag,0))*(1-Sev),0)</f>
        <v>0</v>
      </c>
      <c r="H2426" s="71" t="n">
        <f aca="false">IF(AND(6&lt;=Hold_Yrs,6-ROUND(Rec_Lag,0)&gt;=1),INDEX($C911:$L911,1,6-ROUND(Rec_Lag,0))*(1-Sev),0)</f>
        <v>0</v>
      </c>
      <c r="I2426" s="71" t="n">
        <f aca="false">IF(AND(7&lt;=Hold_Yrs,7-ROUND(Rec_Lag,0)&gt;=1),INDEX($C911:$L911,1,7-ROUND(Rec_Lag,0))*(1-Sev),0)</f>
        <v>0</v>
      </c>
      <c r="J2426" s="71" t="n">
        <f aca="false">IF(AND(8&lt;=Hold_Yrs,8-ROUND(Rec_Lag,0)&gt;=1),INDEX($C911:$L911,1,8-ROUND(Rec_Lag,0))*(1-Sev),0)</f>
        <v>0</v>
      </c>
      <c r="K2426" s="71" t="n">
        <f aca="false">IF(AND(9&lt;=Hold_Yrs,9-ROUND(Rec_Lag,0)&gt;=1),INDEX($C911:$L911,1,9-ROUND(Rec_Lag,0))*(1-Sev),0)</f>
        <v>0</v>
      </c>
      <c r="L2426" s="71" t="n">
        <f aca="false">IF(AND(10&lt;=Hold_Yrs,10-ROUND(Rec_Lag,0)&gt;=1),INDEX($C911:$L911,1,10-ROUND(Rec_Lag,0))*(1-Sev),0)</f>
        <v>0</v>
      </c>
    </row>
    <row r="2427" customFormat="false" ht="15" hidden="false" customHeight="false" outlineLevel="0" collapsed="false">
      <c r="B2427" s="102" t="n">
        <f aca="false">'Loan Tape'!$A302</f>
        <v>0</v>
      </c>
      <c r="C2427" s="99" t="n">
        <f aca="false">IF(AND(1&lt;=Hold_Yrs,1-ROUND(Rec_Lag,0)&gt;=1),INDEX($C912:$L912,1,1-ROUND(Rec_Lag,0))*(1-Sev),0)</f>
        <v>0</v>
      </c>
      <c r="D2427" s="99" t="n">
        <f aca="false">IF(AND(2&lt;=Hold_Yrs,2-ROUND(Rec_Lag,0)&gt;=1),INDEX($C912:$L912,1,2-ROUND(Rec_Lag,0))*(1-Sev),0)</f>
        <v>0</v>
      </c>
      <c r="E2427" s="99" t="n">
        <f aca="false">IF(AND(3&lt;=Hold_Yrs,3-ROUND(Rec_Lag,0)&gt;=1),INDEX($C912:$L912,1,3-ROUND(Rec_Lag,0))*(1-Sev),0)</f>
        <v>0</v>
      </c>
      <c r="F2427" s="99" t="n">
        <f aca="false">IF(AND(4&lt;=Hold_Yrs,4-ROUND(Rec_Lag,0)&gt;=1),INDEX($C912:$L912,1,4-ROUND(Rec_Lag,0))*(1-Sev),0)</f>
        <v>0</v>
      </c>
      <c r="G2427" s="99" t="n">
        <f aca="false">IF(AND(5&lt;=Hold_Yrs,5-ROUND(Rec_Lag,0)&gt;=1),INDEX($C912:$L912,1,5-ROUND(Rec_Lag,0))*(1-Sev),0)</f>
        <v>0</v>
      </c>
      <c r="H2427" s="99" t="n">
        <f aca="false">IF(AND(6&lt;=Hold_Yrs,6-ROUND(Rec_Lag,0)&gt;=1),INDEX($C912:$L912,1,6-ROUND(Rec_Lag,0))*(1-Sev),0)</f>
        <v>0</v>
      </c>
      <c r="I2427" s="99" t="n">
        <f aca="false">IF(AND(7&lt;=Hold_Yrs,7-ROUND(Rec_Lag,0)&gt;=1),INDEX($C912:$L912,1,7-ROUND(Rec_Lag,0))*(1-Sev),0)</f>
        <v>0</v>
      </c>
      <c r="J2427" s="99" t="n">
        <f aca="false">IF(AND(8&lt;=Hold_Yrs,8-ROUND(Rec_Lag,0)&gt;=1),INDEX($C912:$L912,1,8-ROUND(Rec_Lag,0))*(1-Sev),0)</f>
        <v>0</v>
      </c>
      <c r="K2427" s="99" t="n">
        <f aca="false">IF(AND(9&lt;=Hold_Yrs,9-ROUND(Rec_Lag,0)&gt;=1),INDEX($C912:$L912,1,9-ROUND(Rec_Lag,0))*(1-Sev),0)</f>
        <v>0</v>
      </c>
      <c r="L2427" s="99" t="n">
        <f aca="false">IF(AND(10&lt;=Hold_Yrs,10-ROUND(Rec_Lag,0)&gt;=1),INDEX($C912:$L912,1,10-ROUND(Rec_Lag,0))*(1-Sev),0)</f>
        <v>0</v>
      </c>
    </row>
    <row r="2428" customFormat="false" ht="15" hidden="false" customHeight="false" outlineLevel="0" collapsed="false">
      <c r="B2428" s="108" t="n">
        <f aca="false">'Loan Tape'!$A303</f>
        <v>0</v>
      </c>
      <c r="C2428" s="71" t="n">
        <f aca="false">IF(AND(1&lt;=Hold_Yrs,1-ROUND(Rec_Lag,0)&gt;=1),INDEX($C913:$L913,1,1-ROUND(Rec_Lag,0))*(1-Sev),0)</f>
        <v>0</v>
      </c>
      <c r="D2428" s="71" t="n">
        <f aca="false">IF(AND(2&lt;=Hold_Yrs,2-ROUND(Rec_Lag,0)&gt;=1),INDEX($C913:$L913,1,2-ROUND(Rec_Lag,0))*(1-Sev),0)</f>
        <v>0</v>
      </c>
      <c r="E2428" s="71" t="n">
        <f aca="false">IF(AND(3&lt;=Hold_Yrs,3-ROUND(Rec_Lag,0)&gt;=1),INDEX($C913:$L913,1,3-ROUND(Rec_Lag,0))*(1-Sev),0)</f>
        <v>0</v>
      </c>
      <c r="F2428" s="71" t="n">
        <f aca="false">IF(AND(4&lt;=Hold_Yrs,4-ROUND(Rec_Lag,0)&gt;=1),INDEX($C913:$L913,1,4-ROUND(Rec_Lag,0))*(1-Sev),0)</f>
        <v>0</v>
      </c>
      <c r="G2428" s="71" t="n">
        <f aca="false">IF(AND(5&lt;=Hold_Yrs,5-ROUND(Rec_Lag,0)&gt;=1),INDEX($C913:$L913,1,5-ROUND(Rec_Lag,0))*(1-Sev),0)</f>
        <v>0</v>
      </c>
      <c r="H2428" s="71" t="n">
        <f aca="false">IF(AND(6&lt;=Hold_Yrs,6-ROUND(Rec_Lag,0)&gt;=1),INDEX($C913:$L913,1,6-ROUND(Rec_Lag,0))*(1-Sev),0)</f>
        <v>0</v>
      </c>
      <c r="I2428" s="71" t="n">
        <f aca="false">IF(AND(7&lt;=Hold_Yrs,7-ROUND(Rec_Lag,0)&gt;=1),INDEX($C913:$L913,1,7-ROUND(Rec_Lag,0))*(1-Sev),0)</f>
        <v>0</v>
      </c>
      <c r="J2428" s="71" t="n">
        <f aca="false">IF(AND(8&lt;=Hold_Yrs,8-ROUND(Rec_Lag,0)&gt;=1),INDEX($C913:$L913,1,8-ROUND(Rec_Lag,0))*(1-Sev),0)</f>
        <v>0</v>
      </c>
      <c r="K2428" s="71" t="n">
        <f aca="false">IF(AND(9&lt;=Hold_Yrs,9-ROUND(Rec_Lag,0)&gt;=1),INDEX($C913:$L913,1,9-ROUND(Rec_Lag,0))*(1-Sev),0)</f>
        <v>0</v>
      </c>
      <c r="L2428" s="71" t="n">
        <f aca="false">IF(AND(10&lt;=Hold_Yrs,10-ROUND(Rec_Lag,0)&gt;=1),INDEX($C913:$L913,1,10-ROUND(Rec_Lag,0))*(1-Sev),0)</f>
        <v>0</v>
      </c>
    </row>
    <row r="2430" customFormat="false" ht="18" hidden="false" customHeight="true" outlineLevel="0" collapsed="false">
      <c r="B2430" s="5" t="s">
        <v>593</v>
      </c>
      <c r="C2430" s="5"/>
      <c r="E2430" s="30" t="s">
        <v>594</v>
      </c>
    </row>
    <row r="2431" customFormat="false" ht="15.75" hidden="false" customHeight="true" outlineLevel="0" collapsed="false">
      <c r="B2431" s="54" t="s">
        <v>148</v>
      </c>
      <c r="C2431" s="119" t="s">
        <v>595</v>
      </c>
    </row>
    <row r="2432" customFormat="false" ht="15" hidden="false" customHeight="false" outlineLevel="0" collapsed="false">
      <c r="B2432" s="102" t="str">
        <f aca="false">'Loan Tape'!$A4</f>
        <v>L-001</v>
      </c>
      <c r="C2432" s="99" t="n">
        <f aca="false">IF('Loan Tape'!$AN4=0,0,INDEX($C8:$M8,1,Hold_Yrs+1)*Exit_Px*(1-Exit_Cost)+SUMPRODUCT(($C$613:$L$613&gt;Hold_Yrs-ROUND(Rec_Lag,0))*($C$613:$L$613&lt;=Hold_Yrs)*$C614:$L614)*(1-Sev))</f>
        <v>0</v>
      </c>
    </row>
    <row r="2433" customFormat="false" ht="15" hidden="false" customHeight="false" outlineLevel="0" collapsed="false">
      <c r="B2433" s="108" t="str">
        <f aca="false">'Loan Tape'!$A5</f>
        <v>L-002</v>
      </c>
      <c r="C2433" s="71" t="n">
        <f aca="false">IF('Loan Tape'!$AN5=0,0,INDEX($C9:$M9,1,Hold_Yrs+1)*Exit_Px*(1-Exit_Cost)+SUMPRODUCT(($C$613:$L$613&gt;Hold_Yrs-ROUND(Rec_Lag,0))*($C$613:$L$613&lt;=Hold_Yrs)*$C615:$L615)*(1-Sev))</f>
        <v>0</v>
      </c>
    </row>
    <row r="2434" customFormat="false" ht="15" hidden="false" customHeight="false" outlineLevel="0" collapsed="false">
      <c r="B2434" s="102" t="str">
        <f aca="false">'Loan Tape'!$A6</f>
        <v>L-003</v>
      </c>
      <c r="C2434" s="99" t="n">
        <f aca="false">IF('Loan Tape'!$AN6=0,0,INDEX($C10:$M10,1,Hold_Yrs+1)*Exit_Px*(1-Exit_Cost)+SUMPRODUCT(($C$613:$L$613&gt;Hold_Yrs-ROUND(Rec_Lag,0))*($C$613:$L$613&lt;=Hold_Yrs)*$C616:$L616)*(1-Sev))</f>
        <v>0</v>
      </c>
    </row>
    <row r="2435" customFormat="false" ht="15" hidden="false" customHeight="false" outlineLevel="0" collapsed="false">
      <c r="B2435" s="108" t="str">
        <f aca="false">'Loan Tape'!$A7</f>
        <v>L-004</v>
      </c>
      <c r="C2435" s="71" t="n">
        <f aca="false">IF('Loan Tape'!$AN7=0,0,INDEX($C11:$M11,1,Hold_Yrs+1)*Exit_Px*(1-Exit_Cost)+SUMPRODUCT(($C$613:$L$613&gt;Hold_Yrs-ROUND(Rec_Lag,0))*($C$613:$L$613&lt;=Hold_Yrs)*$C617:$L617)*(1-Sev))</f>
        <v>0</v>
      </c>
    </row>
    <row r="2436" customFormat="false" ht="15" hidden="false" customHeight="false" outlineLevel="0" collapsed="false">
      <c r="B2436" s="102" t="str">
        <f aca="false">'Loan Tape'!$A8</f>
        <v>L-005</v>
      </c>
      <c r="C2436" s="99" t="n">
        <f aca="false">IF('Loan Tape'!$AN8=0,0,INDEX($C12:$M12,1,Hold_Yrs+1)*Exit_Px*(1-Exit_Cost)+SUMPRODUCT(($C$613:$L$613&gt;Hold_Yrs-ROUND(Rec_Lag,0))*($C$613:$L$613&lt;=Hold_Yrs)*$C618:$L618)*(1-Sev))</f>
        <v>0</v>
      </c>
    </row>
    <row r="2437" customFormat="false" ht="15" hidden="false" customHeight="false" outlineLevel="0" collapsed="false">
      <c r="B2437" s="108" t="str">
        <f aca="false">'Loan Tape'!$A9</f>
        <v>L-006</v>
      </c>
      <c r="C2437" s="71" t="n">
        <f aca="false">IF('Loan Tape'!$AN9=0,0,INDEX($C13:$M13,1,Hold_Yrs+1)*Exit_Px*(1-Exit_Cost)+SUMPRODUCT(($C$613:$L$613&gt;Hold_Yrs-ROUND(Rec_Lag,0))*($C$613:$L$613&lt;=Hold_Yrs)*$C619:$L619)*(1-Sev))</f>
        <v>0</v>
      </c>
    </row>
    <row r="2438" customFormat="false" ht="15" hidden="false" customHeight="false" outlineLevel="0" collapsed="false">
      <c r="B2438" s="102" t="str">
        <f aca="false">'Loan Tape'!$A10</f>
        <v>L-007</v>
      </c>
      <c r="C2438" s="99" t="n">
        <f aca="false">IF('Loan Tape'!$AN10=0,0,INDEX($C14:$M14,1,Hold_Yrs+1)*Exit_Px*(1-Exit_Cost)+SUMPRODUCT(($C$613:$L$613&gt;Hold_Yrs-ROUND(Rec_Lag,0))*($C$613:$L$613&lt;=Hold_Yrs)*$C620:$L620)*(1-Sev))</f>
        <v>2342238.54409679</v>
      </c>
    </row>
    <row r="2439" customFormat="false" ht="15" hidden="false" customHeight="false" outlineLevel="0" collapsed="false">
      <c r="B2439" s="108" t="str">
        <f aca="false">'Loan Tape'!$A11</f>
        <v>L-008</v>
      </c>
      <c r="C2439" s="71" t="n">
        <f aca="false">IF('Loan Tape'!$AN11=0,0,INDEX($C15:$M15,1,Hold_Yrs+1)*Exit_Px*(1-Exit_Cost)+SUMPRODUCT(($C$613:$L$613&gt;Hold_Yrs-ROUND(Rec_Lag,0))*($C$613:$L$613&lt;=Hold_Yrs)*$C621:$L621)*(1-Sev))</f>
        <v>0</v>
      </c>
    </row>
    <row r="2440" customFormat="false" ht="15" hidden="false" customHeight="false" outlineLevel="0" collapsed="false">
      <c r="B2440" s="102" t="str">
        <f aca="false">'Loan Tape'!$A12</f>
        <v>L-009</v>
      </c>
      <c r="C2440" s="99" t="n">
        <f aca="false">IF('Loan Tape'!$AN12=0,0,INDEX($C16:$M16,1,Hold_Yrs+1)*Exit_Px*(1-Exit_Cost)+SUMPRODUCT(($C$613:$L$613&gt;Hold_Yrs-ROUND(Rec_Lag,0))*($C$613:$L$613&lt;=Hold_Yrs)*$C622:$L622)*(1-Sev))</f>
        <v>7908538.24606201</v>
      </c>
    </row>
    <row r="2441" customFormat="false" ht="15" hidden="false" customHeight="false" outlineLevel="0" collapsed="false">
      <c r="B2441" s="108" t="str">
        <f aca="false">'Loan Tape'!$A13</f>
        <v>L-010</v>
      </c>
      <c r="C2441" s="71" t="n">
        <f aca="false">IF('Loan Tape'!$AN13=0,0,INDEX($C17:$M17,1,Hold_Yrs+1)*Exit_Px*(1-Exit_Cost)+SUMPRODUCT(($C$613:$L$613&gt;Hold_Yrs-ROUND(Rec_Lag,0))*($C$613:$L$613&lt;=Hold_Yrs)*$C623:$L623)*(1-Sev))</f>
        <v>0</v>
      </c>
    </row>
    <row r="2442" customFormat="false" ht="15" hidden="false" customHeight="false" outlineLevel="0" collapsed="false">
      <c r="B2442" s="102" t="str">
        <f aca="false">'Loan Tape'!$A14</f>
        <v>L-011</v>
      </c>
      <c r="C2442" s="99" t="n">
        <f aca="false">IF('Loan Tape'!$AN14=0,0,INDEX($C18:$M18,1,Hold_Yrs+1)*Exit_Px*(1-Exit_Cost)+SUMPRODUCT(($C$613:$L$613&gt;Hold_Yrs-ROUND(Rec_Lag,0))*($C$613:$L$613&lt;=Hold_Yrs)*$C624:$L624)*(1-Sev))</f>
        <v>12849863.5587495</v>
      </c>
    </row>
    <row r="2443" customFormat="false" ht="15" hidden="false" customHeight="false" outlineLevel="0" collapsed="false">
      <c r="B2443" s="108" t="str">
        <f aca="false">'Loan Tape'!$A15</f>
        <v>L-012</v>
      </c>
      <c r="C2443" s="71" t="n">
        <f aca="false">IF('Loan Tape'!$AN15=0,0,INDEX($C19:$M19,1,Hold_Yrs+1)*Exit_Px*(1-Exit_Cost)+SUMPRODUCT(($C$613:$L$613&gt;Hold_Yrs-ROUND(Rec_Lag,0))*($C$613:$L$613&lt;=Hold_Yrs)*$C625:$L625)*(1-Sev))</f>
        <v>0</v>
      </c>
    </row>
    <row r="2444" customFormat="false" ht="15" hidden="false" customHeight="false" outlineLevel="0" collapsed="false">
      <c r="B2444" s="102" t="str">
        <f aca="false">'Loan Tape'!$A16</f>
        <v>L-013</v>
      </c>
      <c r="C2444" s="99" t="n">
        <f aca="false">IF('Loan Tape'!$AN16=0,0,INDEX($C20:$M20,1,Hold_Yrs+1)*Exit_Px*(1-Exit_Cost)+SUMPRODUCT(($C$613:$L$613&gt;Hold_Yrs-ROUND(Rec_Lag,0))*($C$613:$L$613&lt;=Hold_Yrs)*$C626:$L626)*(1-Sev))</f>
        <v>499116.341270947</v>
      </c>
    </row>
    <row r="2445" customFormat="false" ht="15" hidden="false" customHeight="false" outlineLevel="0" collapsed="false">
      <c r="B2445" s="108" t="str">
        <f aca="false">'Loan Tape'!$A17</f>
        <v>L-014</v>
      </c>
      <c r="C2445" s="71" t="n">
        <f aca="false">IF('Loan Tape'!$AN17=0,0,INDEX($C21:$M21,1,Hold_Yrs+1)*Exit_Px*(1-Exit_Cost)+SUMPRODUCT(($C$613:$L$613&gt;Hold_Yrs-ROUND(Rec_Lag,0))*($C$613:$L$613&lt;=Hold_Yrs)*$C627:$L627)*(1-Sev))</f>
        <v>59046480.6838562</v>
      </c>
    </row>
    <row r="2446" customFormat="false" ht="15" hidden="false" customHeight="false" outlineLevel="0" collapsed="false">
      <c r="B2446" s="102" t="str">
        <f aca="false">'Loan Tape'!$A18</f>
        <v>L-015</v>
      </c>
      <c r="C2446" s="99" t="n">
        <f aca="false">IF('Loan Tape'!$AN18=0,0,INDEX($C22:$M22,1,Hold_Yrs+1)*Exit_Px*(1-Exit_Cost)+SUMPRODUCT(($C$613:$L$613&gt;Hold_Yrs-ROUND(Rec_Lag,0))*($C$613:$L$613&lt;=Hold_Yrs)*$C628:$L628)*(1-Sev))</f>
        <v>68230382.1335852</v>
      </c>
    </row>
    <row r="2447" customFormat="false" ht="15" hidden="false" customHeight="false" outlineLevel="0" collapsed="false">
      <c r="B2447" s="108" t="str">
        <f aca="false">'Loan Tape'!$A19</f>
        <v>L-016</v>
      </c>
      <c r="C2447" s="71" t="n">
        <f aca="false">IF('Loan Tape'!$AN19=0,0,INDEX($C23:$M23,1,Hold_Yrs+1)*Exit_Px*(1-Exit_Cost)+SUMPRODUCT(($C$613:$L$613&gt;Hold_Yrs-ROUND(Rec_Lag,0))*($C$613:$L$613&lt;=Hold_Yrs)*$C629:$L629)*(1-Sev))</f>
        <v>0</v>
      </c>
    </row>
    <row r="2448" customFormat="false" ht="15" hidden="false" customHeight="false" outlineLevel="0" collapsed="false">
      <c r="B2448" s="102" t="str">
        <f aca="false">'Loan Tape'!$A20</f>
        <v>L-017</v>
      </c>
      <c r="C2448" s="99" t="n">
        <f aca="false">IF('Loan Tape'!$AN20=0,0,INDEX($C24:$M24,1,Hold_Yrs+1)*Exit_Px*(1-Exit_Cost)+SUMPRODUCT(($C$613:$L$613&gt;Hold_Yrs-ROUND(Rec_Lag,0))*($C$613:$L$613&lt;=Hold_Yrs)*$C630:$L630)*(1-Sev))</f>
        <v>2646149.69029149</v>
      </c>
    </row>
    <row r="2449" customFormat="false" ht="15" hidden="false" customHeight="false" outlineLevel="0" collapsed="false">
      <c r="B2449" s="108" t="str">
        <f aca="false">'Loan Tape'!$A21</f>
        <v>L-018</v>
      </c>
      <c r="C2449" s="71" t="n">
        <f aca="false">IF('Loan Tape'!$AN21=0,0,INDEX($C25:$M25,1,Hold_Yrs+1)*Exit_Px*(1-Exit_Cost)+SUMPRODUCT(($C$613:$L$613&gt;Hold_Yrs-ROUND(Rec_Lag,0))*($C$613:$L$613&lt;=Hold_Yrs)*$C631:$L631)*(1-Sev))</f>
        <v>244498.65903021</v>
      </c>
    </row>
    <row r="2450" customFormat="false" ht="15" hidden="false" customHeight="false" outlineLevel="0" collapsed="false">
      <c r="B2450" s="102" t="str">
        <f aca="false">'Loan Tape'!$A22</f>
        <v>L-019</v>
      </c>
      <c r="C2450" s="99" t="n">
        <f aca="false">IF('Loan Tape'!$AN22=0,0,INDEX($C26:$M26,1,Hold_Yrs+1)*Exit_Px*(1-Exit_Cost)+SUMPRODUCT(($C$613:$L$613&gt;Hold_Yrs-ROUND(Rec_Lag,0))*($C$613:$L$613&lt;=Hold_Yrs)*$C632:$L632)*(1-Sev))</f>
        <v>0</v>
      </c>
    </row>
    <row r="2451" customFormat="false" ht="15" hidden="false" customHeight="false" outlineLevel="0" collapsed="false">
      <c r="B2451" s="108" t="str">
        <f aca="false">'Loan Tape'!$A23</f>
        <v>L-020</v>
      </c>
      <c r="C2451" s="71" t="n">
        <f aca="false">IF('Loan Tape'!$AN23=0,0,INDEX($C27:$M27,1,Hold_Yrs+1)*Exit_Px*(1-Exit_Cost)+SUMPRODUCT(($C$613:$L$613&gt;Hold_Yrs-ROUND(Rec_Lag,0))*($C$613:$L$613&lt;=Hold_Yrs)*$C633:$L633)*(1-Sev))</f>
        <v>35780230.6684317</v>
      </c>
    </row>
    <row r="2452" customFormat="false" ht="15" hidden="false" customHeight="false" outlineLevel="0" collapsed="false">
      <c r="B2452" s="102" t="str">
        <f aca="false">'Loan Tape'!$A24</f>
        <v>L-021</v>
      </c>
      <c r="C2452" s="99" t="n">
        <f aca="false">IF('Loan Tape'!$AN24=0,0,INDEX($C28:$M28,1,Hold_Yrs+1)*Exit_Px*(1-Exit_Cost)+SUMPRODUCT(($C$613:$L$613&gt;Hold_Yrs-ROUND(Rec_Lag,0))*($C$613:$L$613&lt;=Hold_Yrs)*$C634:$L634)*(1-Sev))</f>
        <v>0</v>
      </c>
    </row>
    <row r="2453" customFormat="false" ht="15" hidden="false" customHeight="false" outlineLevel="0" collapsed="false">
      <c r="B2453" s="108" t="str">
        <f aca="false">'Loan Tape'!$A25</f>
        <v>L-022</v>
      </c>
      <c r="C2453" s="71" t="n">
        <f aca="false">IF('Loan Tape'!$AN25=0,0,INDEX($C29:$M29,1,Hold_Yrs+1)*Exit_Px*(1-Exit_Cost)+SUMPRODUCT(($C$613:$L$613&gt;Hold_Yrs-ROUND(Rec_Lag,0))*($C$613:$L$613&lt;=Hold_Yrs)*$C635:$L635)*(1-Sev))</f>
        <v>0</v>
      </c>
    </row>
    <row r="2454" customFormat="false" ht="15" hidden="false" customHeight="false" outlineLevel="0" collapsed="false">
      <c r="B2454" s="102" t="str">
        <f aca="false">'Loan Tape'!$A26</f>
        <v>L-023</v>
      </c>
      <c r="C2454" s="99" t="n">
        <f aca="false">IF('Loan Tape'!$AN26=0,0,INDEX($C30:$M30,1,Hold_Yrs+1)*Exit_Px*(1-Exit_Cost)+SUMPRODUCT(($C$613:$L$613&gt;Hold_Yrs-ROUND(Rec_Lag,0))*($C$613:$L$613&lt;=Hold_Yrs)*$C636:$L636)*(1-Sev))</f>
        <v>0</v>
      </c>
    </row>
    <row r="2455" customFormat="false" ht="15" hidden="false" customHeight="false" outlineLevel="0" collapsed="false">
      <c r="B2455" s="108" t="str">
        <f aca="false">'Loan Tape'!$A27</f>
        <v>L-024</v>
      </c>
      <c r="C2455" s="71" t="n">
        <f aca="false">IF('Loan Tape'!$AN27=0,0,INDEX($C31:$M31,1,Hold_Yrs+1)*Exit_Px*(1-Exit_Cost)+SUMPRODUCT(($C$613:$L$613&gt;Hold_Yrs-ROUND(Rec_Lag,0))*($C$613:$L$613&lt;=Hold_Yrs)*$C637:$L637)*(1-Sev))</f>
        <v>0</v>
      </c>
    </row>
    <row r="2456" customFormat="false" ht="15" hidden="false" customHeight="false" outlineLevel="0" collapsed="false">
      <c r="B2456" s="102" t="str">
        <f aca="false">'Loan Tape'!$A28</f>
        <v>L-025</v>
      </c>
      <c r="C2456" s="99" t="n">
        <f aca="false">IF('Loan Tape'!$AN28=0,0,INDEX($C32:$M32,1,Hold_Yrs+1)*Exit_Px*(1-Exit_Cost)+SUMPRODUCT(($C$613:$L$613&gt;Hold_Yrs-ROUND(Rec_Lag,0))*($C$613:$L$613&lt;=Hold_Yrs)*$C638:$L638)*(1-Sev))</f>
        <v>0</v>
      </c>
    </row>
    <row r="2457" customFormat="false" ht="15" hidden="false" customHeight="false" outlineLevel="0" collapsed="false">
      <c r="B2457" s="108" t="str">
        <f aca="false">'Loan Tape'!$A29</f>
        <v>L-026</v>
      </c>
      <c r="C2457" s="71" t="n">
        <f aca="false">IF('Loan Tape'!$AN29=0,0,INDEX($C33:$M33,1,Hold_Yrs+1)*Exit_Px*(1-Exit_Cost)+SUMPRODUCT(($C$613:$L$613&gt;Hold_Yrs-ROUND(Rec_Lag,0))*($C$613:$L$613&lt;=Hold_Yrs)*$C639:$L639)*(1-Sev))</f>
        <v>0</v>
      </c>
    </row>
    <row r="2458" customFormat="false" ht="15" hidden="false" customHeight="false" outlineLevel="0" collapsed="false">
      <c r="B2458" s="102" t="str">
        <f aca="false">'Loan Tape'!$A30</f>
        <v>L-027</v>
      </c>
      <c r="C2458" s="99" t="n">
        <f aca="false">IF('Loan Tape'!$AN30=0,0,INDEX($C34:$M34,1,Hold_Yrs+1)*Exit_Px*(1-Exit_Cost)+SUMPRODUCT(($C$613:$L$613&gt;Hold_Yrs-ROUND(Rec_Lag,0))*($C$613:$L$613&lt;=Hold_Yrs)*$C640:$L640)*(1-Sev))</f>
        <v>0</v>
      </c>
    </row>
    <row r="2459" customFormat="false" ht="15" hidden="false" customHeight="false" outlineLevel="0" collapsed="false">
      <c r="B2459" s="108" t="str">
        <f aca="false">'Loan Tape'!$A31</f>
        <v>L-028</v>
      </c>
      <c r="C2459" s="71" t="n">
        <f aca="false">IF('Loan Tape'!$AN31=0,0,INDEX($C35:$M35,1,Hold_Yrs+1)*Exit_Px*(1-Exit_Cost)+SUMPRODUCT(($C$613:$L$613&gt;Hold_Yrs-ROUND(Rec_Lag,0))*($C$613:$L$613&lt;=Hold_Yrs)*$C641:$L641)*(1-Sev))</f>
        <v>0</v>
      </c>
    </row>
    <row r="2460" customFormat="false" ht="15" hidden="false" customHeight="false" outlineLevel="0" collapsed="false">
      <c r="B2460" s="102" t="str">
        <f aca="false">'Loan Tape'!$A32</f>
        <v>L-029</v>
      </c>
      <c r="C2460" s="99" t="n">
        <f aca="false">IF('Loan Tape'!$AN32=0,0,INDEX($C36:$M36,1,Hold_Yrs+1)*Exit_Px*(1-Exit_Cost)+SUMPRODUCT(($C$613:$L$613&gt;Hold_Yrs-ROUND(Rec_Lag,0))*($C$613:$L$613&lt;=Hold_Yrs)*$C642:$L642)*(1-Sev))</f>
        <v>0</v>
      </c>
    </row>
    <row r="2461" customFormat="false" ht="15" hidden="false" customHeight="false" outlineLevel="0" collapsed="false">
      <c r="B2461" s="108" t="str">
        <f aca="false">'Loan Tape'!$A33</f>
        <v>L-030</v>
      </c>
      <c r="C2461" s="71" t="n">
        <f aca="false">IF('Loan Tape'!$AN33=0,0,INDEX($C37:$M37,1,Hold_Yrs+1)*Exit_Px*(1-Exit_Cost)+SUMPRODUCT(($C$613:$L$613&gt;Hold_Yrs-ROUND(Rec_Lag,0))*($C$613:$L$613&lt;=Hold_Yrs)*$C643:$L643)*(1-Sev))</f>
        <v>37216.1798871657</v>
      </c>
    </row>
    <row r="2462" customFormat="false" ht="15" hidden="false" customHeight="false" outlineLevel="0" collapsed="false">
      <c r="B2462" s="102" t="str">
        <f aca="false">'Loan Tape'!$A34</f>
        <v>L-031</v>
      </c>
      <c r="C2462" s="99" t="n">
        <f aca="false">IF('Loan Tape'!$AN34=0,0,INDEX($C38:$M38,1,Hold_Yrs+1)*Exit_Px*(1-Exit_Cost)+SUMPRODUCT(($C$613:$L$613&gt;Hold_Yrs-ROUND(Rec_Lag,0))*($C$613:$L$613&lt;=Hold_Yrs)*$C644:$L644)*(1-Sev))</f>
        <v>0</v>
      </c>
    </row>
    <row r="2463" customFormat="false" ht="15" hidden="false" customHeight="false" outlineLevel="0" collapsed="false">
      <c r="B2463" s="108" t="str">
        <f aca="false">'Loan Tape'!$A35</f>
        <v>L-032</v>
      </c>
      <c r="C2463" s="71" t="n">
        <f aca="false">IF('Loan Tape'!$AN35=0,0,INDEX($C39:$M39,1,Hold_Yrs+1)*Exit_Px*(1-Exit_Cost)+SUMPRODUCT(($C$613:$L$613&gt;Hold_Yrs-ROUND(Rec_Lag,0))*($C$613:$L$613&lt;=Hold_Yrs)*$C645:$L645)*(1-Sev))</f>
        <v>0</v>
      </c>
    </row>
    <row r="2464" customFormat="false" ht="15" hidden="false" customHeight="false" outlineLevel="0" collapsed="false">
      <c r="B2464" s="102" t="str">
        <f aca="false">'Loan Tape'!$A36</f>
        <v>L-033</v>
      </c>
      <c r="C2464" s="99" t="n">
        <f aca="false">IF('Loan Tape'!$AN36=0,0,INDEX($C40:$M40,1,Hold_Yrs+1)*Exit_Px*(1-Exit_Cost)+SUMPRODUCT(($C$613:$L$613&gt;Hold_Yrs-ROUND(Rec_Lag,0))*($C$613:$L$613&lt;=Hold_Yrs)*$C646:$L646)*(1-Sev))</f>
        <v>0</v>
      </c>
    </row>
    <row r="2465" customFormat="false" ht="15" hidden="false" customHeight="false" outlineLevel="0" collapsed="false">
      <c r="B2465" s="108" t="str">
        <f aca="false">'Loan Tape'!$A37</f>
        <v>L-034</v>
      </c>
      <c r="C2465" s="71" t="n">
        <f aca="false">IF('Loan Tape'!$AN37=0,0,INDEX($C41:$M41,1,Hold_Yrs+1)*Exit_Px*(1-Exit_Cost)+SUMPRODUCT(($C$613:$L$613&gt;Hold_Yrs-ROUND(Rec_Lag,0))*($C$613:$L$613&lt;=Hold_Yrs)*$C647:$L647)*(1-Sev))</f>
        <v>5087616.70651022</v>
      </c>
    </row>
    <row r="2466" customFormat="false" ht="15" hidden="false" customHeight="false" outlineLevel="0" collapsed="false">
      <c r="B2466" s="102" t="str">
        <f aca="false">'Loan Tape'!$A38</f>
        <v>L-035</v>
      </c>
      <c r="C2466" s="99" t="n">
        <f aca="false">IF('Loan Tape'!$AN38=0,0,INDEX($C42:$M42,1,Hold_Yrs+1)*Exit_Px*(1-Exit_Cost)+SUMPRODUCT(($C$613:$L$613&gt;Hold_Yrs-ROUND(Rec_Lag,0))*($C$613:$L$613&lt;=Hold_Yrs)*$C648:$L648)*(1-Sev))</f>
        <v>0</v>
      </c>
    </row>
    <row r="2467" customFormat="false" ht="15" hidden="false" customHeight="false" outlineLevel="0" collapsed="false">
      <c r="B2467" s="108" t="str">
        <f aca="false">'Loan Tape'!$A39</f>
        <v>L-036</v>
      </c>
      <c r="C2467" s="71" t="n">
        <f aca="false">IF('Loan Tape'!$AN39=0,0,INDEX($C43:$M43,1,Hold_Yrs+1)*Exit_Px*(1-Exit_Cost)+SUMPRODUCT(($C$613:$L$613&gt;Hold_Yrs-ROUND(Rec_Lag,0))*($C$613:$L$613&lt;=Hold_Yrs)*$C649:$L649)*(1-Sev))</f>
        <v>0</v>
      </c>
    </row>
    <row r="2468" customFormat="false" ht="15" hidden="false" customHeight="false" outlineLevel="0" collapsed="false">
      <c r="B2468" s="102" t="str">
        <f aca="false">'Loan Tape'!$A40</f>
        <v>L-037</v>
      </c>
      <c r="C2468" s="99" t="n">
        <f aca="false">IF('Loan Tape'!$AN40=0,0,INDEX($C44:$M44,1,Hold_Yrs+1)*Exit_Px*(1-Exit_Cost)+SUMPRODUCT(($C$613:$L$613&gt;Hold_Yrs-ROUND(Rec_Lag,0))*($C$613:$L$613&lt;=Hold_Yrs)*$C650:$L650)*(1-Sev))</f>
        <v>0</v>
      </c>
    </row>
    <row r="2469" customFormat="false" ht="15" hidden="false" customHeight="false" outlineLevel="0" collapsed="false">
      <c r="B2469" s="108" t="str">
        <f aca="false">'Loan Tape'!$A41</f>
        <v>L-038</v>
      </c>
      <c r="C2469" s="71" t="n">
        <f aca="false">IF('Loan Tape'!$AN41=0,0,INDEX($C45:$M45,1,Hold_Yrs+1)*Exit_Px*(1-Exit_Cost)+SUMPRODUCT(($C$613:$L$613&gt;Hold_Yrs-ROUND(Rec_Lag,0))*($C$613:$L$613&lt;=Hold_Yrs)*$C651:$L651)*(1-Sev))</f>
        <v>2542118.24116467</v>
      </c>
    </row>
    <row r="2470" customFormat="false" ht="15" hidden="false" customHeight="false" outlineLevel="0" collapsed="false">
      <c r="B2470" s="102" t="str">
        <f aca="false">'Loan Tape'!$A42</f>
        <v>L-039</v>
      </c>
      <c r="C2470" s="99" t="n">
        <f aca="false">IF('Loan Tape'!$AN42=0,0,INDEX($C46:$M46,1,Hold_Yrs+1)*Exit_Px*(1-Exit_Cost)+SUMPRODUCT(($C$613:$L$613&gt;Hold_Yrs-ROUND(Rec_Lag,0))*($C$613:$L$613&lt;=Hold_Yrs)*$C652:$L652)*(1-Sev))</f>
        <v>11810.9161438814</v>
      </c>
    </row>
    <row r="2471" customFormat="false" ht="15" hidden="false" customHeight="false" outlineLevel="0" collapsed="false">
      <c r="B2471" s="108" t="str">
        <f aca="false">'Loan Tape'!$A43</f>
        <v>L-040</v>
      </c>
      <c r="C2471" s="71" t="n">
        <f aca="false">IF('Loan Tape'!$AN43=0,0,INDEX($C47:$M47,1,Hold_Yrs+1)*Exit_Px*(1-Exit_Cost)+SUMPRODUCT(($C$613:$L$613&gt;Hold_Yrs-ROUND(Rec_Lag,0))*($C$613:$L$613&lt;=Hold_Yrs)*$C653:$L653)*(1-Sev))</f>
        <v>0</v>
      </c>
    </row>
    <row r="2472" customFormat="false" ht="15" hidden="false" customHeight="false" outlineLevel="0" collapsed="false">
      <c r="B2472" s="102" t="str">
        <f aca="false">'Loan Tape'!$A44</f>
        <v>L-041</v>
      </c>
      <c r="C2472" s="99" t="n">
        <f aca="false">IF('Loan Tape'!$AN44=0,0,INDEX($C48:$M48,1,Hold_Yrs+1)*Exit_Px*(1-Exit_Cost)+SUMPRODUCT(($C$613:$L$613&gt;Hold_Yrs-ROUND(Rec_Lag,0))*($C$613:$L$613&lt;=Hold_Yrs)*$C654:$L654)*(1-Sev))</f>
        <v>0</v>
      </c>
    </row>
    <row r="2473" customFormat="false" ht="15" hidden="false" customHeight="false" outlineLevel="0" collapsed="false">
      <c r="B2473" s="108" t="str">
        <f aca="false">'Loan Tape'!$A45</f>
        <v>L-042</v>
      </c>
      <c r="C2473" s="71" t="n">
        <f aca="false">IF('Loan Tape'!$AN45=0,0,INDEX($C49:$M49,1,Hold_Yrs+1)*Exit_Px*(1-Exit_Cost)+SUMPRODUCT(($C$613:$L$613&gt;Hold_Yrs-ROUND(Rec_Lag,0))*($C$613:$L$613&lt;=Hold_Yrs)*$C655:$L655)*(1-Sev))</f>
        <v>0</v>
      </c>
    </row>
    <row r="2474" customFormat="false" ht="15" hidden="false" customHeight="false" outlineLevel="0" collapsed="false">
      <c r="B2474" s="102" t="str">
        <f aca="false">'Loan Tape'!$A46</f>
        <v>L-043</v>
      </c>
      <c r="C2474" s="99" t="n">
        <f aca="false">IF('Loan Tape'!$AN46=0,0,INDEX($C50:$M50,1,Hold_Yrs+1)*Exit_Px*(1-Exit_Cost)+SUMPRODUCT(($C$613:$L$613&gt;Hold_Yrs-ROUND(Rec_Lag,0))*($C$613:$L$613&lt;=Hold_Yrs)*$C656:$L656)*(1-Sev))</f>
        <v>0</v>
      </c>
    </row>
    <row r="2475" customFormat="false" ht="15" hidden="false" customHeight="false" outlineLevel="0" collapsed="false">
      <c r="B2475" s="108" t="str">
        <f aca="false">'Loan Tape'!$A47</f>
        <v>L-044</v>
      </c>
      <c r="C2475" s="71" t="n">
        <f aca="false">IF('Loan Tape'!$AN47=0,0,INDEX($C51:$M51,1,Hold_Yrs+1)*Exit_Px*(1-Exit_Cost)+SUMPRODUCT(($C$613:$L$613&gt;Hold_Yrs-ROUND(Rec_Lag,0))*($C$613:$L$613&lt;=Hold_Yrs)*$C657:$L657)*(1-Sev))</f>
        <v>0</v>
      </c>
    </row>
    <row r="2476" customFormat="false" ht="15" hidden="false" customHeight="false" outlineLevel="0" collapsed="false">
      <c r="B2476" s="102" t="str">
        <f aca="false">'Loan Tape'!$A48</f>
        <v>L-045</v>
      </c>
      <c r="C2476" s="99" t="n">
        <f aca="false">IF('Loan Tape'!$AN48=0,0,INDEX($C52:$M52,1,Hold_Yrs+1)*Exit_Px*(1-Exit_Cost)+SUMPRODUCT(($C$613:$L$613&gt;Hold_Yrs-ROUND(Rec_Lag,0))*($C$613:$L$613&lt;=Hold_Yrs)*$C658:$L658)*(1-Sev))</f>
        <v>26291892.9856917</v>
      </c>
    </row>
    <row r="2477" customFormat="false" ht="15" hidden="false" customHeight="false" outlineLevel="0" collapsed="false">
      <c r="B2477" s="108" t="str">
        <f aca="false">'Loan Tape'!$A49</f>
        <v>L-046</v>
      </c>
      <c r="C2477" s="71" t="n">
        <f aca="false">IF('Loan Tape'!$AN49=0,0,INDEX($C53:$M53,1,Hold_Yrs+1)*Exit_Px*(1-Exit_Cost)+SUMPRODUCT(($C$613:$L$613&gt;Hold_Yrs-ROUND(Rec_Lag,0))*($C$613:$L$613&lt;=Hold_Yrs)*$C659:$L659)*(1-Sev))</f>
        <v>0</v>
      </c>
    </row>
    <row r="2478" customFormat="false" ht="15" hidden="false" customHeight="false" outlineLevel="0" collapsed="false">
      <c r="B2478" s="102" t="str">
        <f aca="false">'Loan Tape'!$A50</f>
        <v>L-047</v>
      </c>
      <c r="C2478" s="99" t="n">
        <f aca="false">IF('Loan Tape'!$AN50=0,0,INDEX($C54:$M54,1,Hold_Yrs+1)*Exit_Px*(1-Exit_Cost)+SUMPRODUCT(($C$613:$L$613&gt;Hold_Yrs-ROUND(Rec_Lag,0))*($C$613:$L$613&lt;=Hold_Yrs)*$C660:$L660)*(1-Sev))</f>
        <v>0</v>
      </c>
    </row>
    <row r="2479" customFormat="false" ht="15" hidden="false" customHeight="false" outlineLevel="0" collapsed="false">
      <c r="B2479" s="108" t="str">
        <f aca="false">'Loan Tape'!$A51</f>
        <v>L-048</v>
      </c>
      <c r="C2479" s="71" t="n">
        <f aca="false">IF('Loan Tape'!$AN51=0,0,INDEX($C55:$M55,1,Hold_Yrs+1)*Exit_Px*(1-Exit_Cost)+SUMPRODUCT(($C$613:$L$613&gt;Hold_Yrs-ROUND(Rec_Lag,0))*($C$613:$L$613&lt;=Hold_Yrs)*$C661:$L661)*(1-Sev))</f>
        <v>0</v>
      </c>
    </row>
    <row r="2480" customFormat="false" ht="15" hidden="false" customHeight="false" outlineLevel="0" collapsed="false">
      <c r="B2480" s="102" t="str">
        <f aca="false">'Loan Tape'!$A52</f>
        <v>L-049</v>
      </c>
      <c r="C2480" s="99" t="n">
        <f aca="false">IF('Loan Tape'!$AN52=0,0,INDEX($C56:$M56,1,Hold_Yrs+1)*Exit_Px*(1-Exit_Cost)+SUMPRODUCT(($C$613:$L$613&gt;Hold_Yrs-ROUND(Rec_Lag,0))*($C$613:$L$613&lt;=Hold_Yrs)*$C662:$L662)*(1-Sev))</f>
        <v>0</v>
      </c>
    </row>
    <row r="2481" customFormat="false" ht="15" hidden="false" customHeight="false" outlineLevel="0" collapsed="false">
      <c r="B2481" s="108" t="str">
        <f aca="false">'Loan Tape'!$A53</f>
        <v>L-050</v>
      </c>
      <c r="C2481" s="71" t="n">
        <f aca="false">IF('Loan Tape'!$AN53=0,0,INDEX($C57:$M57,1,Hold_Yrs+1)*Exit_Px*(1-Exit_Cost)+SUMPRODUCT(($C$613:$L$613&gt;Hold_Yrs-ROUND(Rec_Lag,0))*($C$613:$L$613&lt;=Hold_Yrs)*$C663:$L663)*(1-Sev))</f>
        <v>0</v>
      </c>
    </row>
    <row r="2482" customFormat="false" ht="15" hidden="false" customHeight="false" outlineLevel="0" collapsed="false">
      <c r="B2482" s="102" t="n">
        <f aca="false">'Loan Tape'!$A54</f>
        <v>0</v>
      </c>
      <c r="C2482" s="99" t="n">
        <f aca="false">IF('Loan Tape'!$AN54=0,0,INDEX($C58:$M58,1,Hold_Yrs+1)*Exit_Px*(1-Exit_Cost)+SUMPRODUCT(($C$613:$L$613&gt;Hold_Yrs-ROUND(Rec_Lag,0))*($C$613:$L$613&lt;=Hold_Yrs)*$C664:$L664)*(1-Sev))</f>
        <v>0</v>
      </c>
    </row>
    <row r="2483" customFormat="false" ht="15" hidden="false" customHeight="false" outlineLevel="0" collapsed="false">
      <c r="B2483" s="108" t="n">
        <f aca="false">'Loan Tape'!$A55</f>
        <v>0</v>
      </c>
      <c r="C2483" s="71" t="n">
        <f aca="false">IF('Loan Tape'!$AN55=0,0,INDEX($C59:$M59,1,Hold_Yrs+1)*Exit_Px*(1-Exit_Cost)+SUMPRODUCT(($C$613:$L$613&gt;Hold_Yrs-ROUND(Rec_Lag,0))*($C$613:$L$613&lt;=Hold_Yrs)*$C665:$L665)*(1-Sev))</f>
        <v>0</v>
      </c>
    </row>
    <row r="2484" customFormat="false" ht="15" hidden="false" customHeight="false" outlineLevel="0" collapsed="false">
      <c r="B2484" s="102" t="n">
        <f aca="false">'Loan Tape'!$A56</f>
        <v>0</v>
      </c>
      <c r="C2484" s="99" t="n">
        <f aca="false">IF('Loan Tape'!$AN56=0,0,INDEX($C60:$M60,1,Hold_Yrs+1)*Exit_Px*(1-Exit_Cost)+SUMPRODUCT(($C$613:$L$613&gt;Hold_Yrs-ROUND(Rec_Lag,0))*($C$613:$L$613&lt;=Hold_Yrs)*$C666:$L666)*(1-Sev))</f>
        <v>0</v>
      </c>
    </row>
    <row r="2485" customFormat="false" ht="15" hidden="false" customHeight="false" outlineLevel="0" collapsed="false">
      <c r="B2485" s="108" t="n">
        <f aca="false">'Loan Tape'!$A57</f>
        <v>0</v>
      </c>
      <c r="C2485" s="71" t="n">
        <f aca="false">IF('Loan Tape'!$AN57=0,0,INDEX($C61:$M61,1,Hold_Yrs+1)*Exit_Px*(1-Exit_Cost)+SUMPRODUCT(($C$613:$L$613&gt;Hold_Yrs-ROUND(Rec_Lag,0))*($C$613:$L$613&lt;=Hold_Yrs)*$C667:$L667)*(1-Sev))</f>
        <v>0</v>
      </c>
    </row>
    <row r="2486" customFormat="false" ht="15" hidden="false" customHeight="false" outlineLevel="0" collapsed="false">
      <c r="B2486" s="102" t="n">
        <f aca="false">'Loan Tape'!$A58</f>
        <v>0</v>
      </c>
      <c r="C2486" s="99" t="n">
        <f aca="false">IF('Loan Tape'!$AN58=0,0,INDEX($C62:$M62,1,Hold_Yrs+1)*Exit_Px*(1-Exit_Cost)+SUMPRODUCT(($C$613:$L$613&gt;Hold_Yrs-ROUND(Rec_Lag,0))*($C$613:$L$613&lt;=Hold_Yrs)*$C668:$L668)*(1-Sev))</f>
        <v>0</v>
      </c>
    </row>
    <row r="2487" customFormat="false" ht="15" hidden="false" customHeight="false" outlineLevel="0" collapsed="false">
      <c r="B2487" s="108" t="n">
        <f aca="false">'Loan Tape'!$A59</f>
        <v>0</v>
      </c>
      <c r="C2487" s="71" t="n">
        <f aca="false">IF('Loan Tape'!$AN59=0,0,INDEX($C63:$M63,1,Hold_Yrs+1)*Exit_Px*(1-Exit_Cost)+SUMPRODUCT(($C$613:$L$613&gt;Hold_Yrs-ROUND(Rec_Lag,0))*($C$613:$L$613&lt;=Hold_Yrs)*$C669:$L669)*(1-Sev))</f>
        <v>0</v>
      </c>
    </row>
    <row r="2488" customFormat="false" ht="15" hidden="false" customHeight="false" outlineLevel="0" collapsed="false">
      <c r="B2488" s="102" t="n">
        <f aca="false">'Loan Tape'!$A60</f>
        <v>0</v>
      </c>
      <c r="C2488" s="99" t="n">
        <f aca="false">IF('Loan Tape'!$AN60=0,0,INDEX($C64:$M64,1,Hold_Yrs+1)*Exit_Px*(1-Exit_Cost)+SUMPRODUCT(($C$613:$L$613&gt;Hold_Yrs-ROUND(Rec_Lag,0))*($C$613:$L$613&lt;=Hold_Yrs)*$C670:$L670)*(1-Sev))</f>
        <v>0</v>
      </c>
    </row>
    <row r="2489" customFormat="false" ht="15" hidden="false" customHeight="false" outlineLevel="0" collapsed="false">
      <c r="B2489" s="108" t="n">
        <f aca="false">'Loan Tape'!$A61</f>
        <v>0</v>
      </c>
      <c r="C2489" s="71" t="n">
        <f aca="false">IF('Loan Tape'!$AN61=0,0,INDEX($C65:$M65,1,Hold_Yrs+1)*Exit_Px*(1-Exit_Cost)+SUMPRODUCT(($C$613:$L$613&gt;Hold_Yrs-ROUND(Rec_Lag,0))*($C$613:$L$613&lt;=Hold_Yrs)*$C671:$L671)*(1-Sev))</f>
        <v>0</v>
      </c>
    </row>
    <row r="2490" customFormat="false" ht="15" hidden="false" customHeight="false" outlineLevel="0" collapsed="false">
      <c r="B2490" s="102" t="n">
        <f aca="false">'Loan Tape'!$A62</f>
        <v>0</v>
      </c>
      <c r="C2490" s="99" t="n">
        <f aca="false">IF('Loan Tape'!$AN62=0,0,INDEX($C66:$M66,1,Hold_Yrs+1)*Exit_Px*(1-Exit_Cost)+SUMPRODUCT(($C$613:$L$613&gt;Hold_Yrs-ROUND(Rec_Lag,0))*($C$613:$L$613&lt;=Hold_Yrs)*$C672:$L672)*(1-Sev))</f>
        <v>0</v>
      </c>
    </row>
    <row r="2491" customFormat="false" ht="15" hidden="false" customHeight="false" outlineLevel="0" collapsed="false">
      <c r="B2491" s="108" t="n">
        <f aca="false">'Loan Tape'!$A63</f>
        <v>0</v>
      </c>
      <c r="C2491" s="71" t="n">
        <f aca="false">IF('Loan Tape'!$AN63=0,0,INDEX($C67:$M67,1,Hold_Yrs+1)*Exit_Px*(1-Exit_Cost)+SUMPRODUCT(($C$613:$L$613&gt;Hold_Yrs-ROUND(Rec_Lag,0))*($C$613:$L$613&lt;=Hold_Yrs)*$C673:$L673)*(1-Sev))</f>
        <v>0</v>
      </c>
    </row>
    <row r="2492" customFormat="false" ht="15" hidden="false" customHeight="false" outlineLevel="0" collapsed="false">
      <c r="B2492" s="102" t="n">
        <f aca="false">'Loan Tape'!$A64</f>
        <v>0</v>
      </c>
      <c r="C2492" s="99" t="n">
        <f aca="false">IF('Loan Tape'!$AN64=0,0,INDEX($C68:$M68,1,Hold_Yrs+1)*Exit_Px*(1-Exit_Cost)+SUMPRODUCT(($C$613:$L$613&gt;Hold_Yrs-ROUND(Rec_Lag,0))*($C$613:$L$613&lt;=Hold_Yrs)*$C674:$L674)*(1-Sev))</f>
        <v>0</v>
      </c>
    </row>
    <row r="2493" customFormat="false" ht="15" hidden="false" customHeight="false" outlineLevel="0" collapsed="false">
      <c r="B2493" s="108" t="n">
        <f aca="false">'Loan Tape'!$A65</f>
        <v>0</v>
      </c>
      <c r="C2493" s="71" t="n">
        <f aca="false">IF('Loan Tape'!$AN65=0,0,INDEX($C69:$M69,1,Hold_Yrs+1)*Exit_Px*(1-Exit_Cost)+SUMPRODUCT(($C$613:$L$613&gt;Hold_Yrs-ROUND(Rec_Lag,0))*($C$613:$L$613&lt;=Hold_Yrs)*$C675:$L675)*(1-Sev))</f>
        <v>0</v>
      </c>
    </row>
    <row r="2494" customFormat="false" ht="15" hidden="false" customHeight="false" outlineLevel="0" collapsed="false">
      <c r="B2494" s="102" t="n">
        <f aca="false">'Loan Tape'!$A66</f>
        <v>0</v>
      </c>
      <c r="C2494" s="99" t="n">
        <f aca="false">IF('Loan Tape'!$AN66=0,0,INDEX($C70:$M70,1,Hold_Yrs+1)*Exit_Px*(1-Exit_Cost)+SUMPRODUCT(($C$613:$L$613&gt;Hold_Yrs-ROUND(Rec_Lag,0))*($C$613:$L$613&lt;=Hold_Yrs)*$C676:$L676)*(1-Sev))</f>
        <v>0</v>
      </c>
    </row>
    <row r="2495" customFormat="false" ht="15" hidden="false" customHeight="false" outlineLevel="0" collapsed="false">
      <c r="B2495" s="108" t="n">
        <f aca="false">'Loan Tape'!$A67</f>
        <v>0</v>
      </c>
      <c r="C2495" s="71" t="n">
        <f aca="false">IF('Loan Tape'!$AN67=0,0,INDEX($C71:$M71,1,Hold_Yrs+1)*Exit_Px*(1-Exit_Cost)+SUMPRODUCT(($C$613:$L$613&gt;Hold_Yrs-ROUND(Rec_Lag,0))*($C$613:$L$613&lt;=Hold_Yrs)*$C677:$L677)*(1-Sev))</f>
        <v>0</v>
      </c>
    </row>
    <row r="2496" customFormat="false" ht="15" hidden="false" customHeight="false" outlineLevel="0" collapsed="false">
      <c r="B2496" s="102" t="n">
        <f aca="false">'Loan Tape'!$A68</f>
        <v>0</v>
      </c>
      <c r="C2496" s="99" t="n">
        <f aca="false">IF('Loan Tape'!$AN68=0,0,INDEX($C72:$M72,1,Hold_Yrs+1)*Exit_Px*(1-Exit_Cost)+SUMPRODUCT(($C$613:$L$613&gt;Hold_Yrs-ROUND(Rec_Lag,0))*($C$613:$L$613&lt;=Hold_Yrs)*$C678:$L678)*(1-Sev))</f>
        <v>0</v>
      </c>
    </row>
    <row r="2497" customFormat="false" ht="15" hidden="false" customHeight="false" outlineLevel="0" collapsed="false">
      <c r="B2497" s="108" t="n">
        <f aca="false">'Loan Tape'!$A69</f>
        <v>0</v>
      </c>
      <c r="C2497" s="71" t="n">
        <f aca="false">IF('Loan Tape'!$AN69=0,0,INDEX($C73:$M73,1,Hold_Yrs+1)*Exit_Px*(1-Exit_Cost)+SUMPRODUCT(($C$613:$L$613&gt;Hold_Yrs-ROUND(Rec_Lag,0))*($C$613:$L$613&lt;=Hold_Yrs)*$C679:$L679)*(1-Sev))</f>
        <v>0</v>
      </c>
    </row>
    <row r="2498" customFormat="false" ht="15" hidden="false" customHeight="false" outlineLevel="0" collapsed="false">
      <c r="B2498" s="102" t="n">
        <f aca="false">'Loan Tape'!$A70</f>
        <v>0</v>
      </c>
      <c r="C2498" s="99" t="n">
        <f aca="false">IF('Loan Tape'!$AN70=0,0,INDEX($C74:$M74,1,Hold_Yrs+1)*Exit_Px*(1-Exit_Cost)+SUMPRODUCT(($C$613:$L$613&gt;Hold_Yrs-ROUND(Rec_Lag,0))*($C$613:$L$613&lt;=Hold_Yrs)*$C680:$L680)*(1-Sev))</f>
        <v>0</v>
      </c>
    </row>
    <row r="2499" customFormat="false" ht="15" hidden="false" customHeight="false" outlineLevel="0" collapsed="false">
      <c r="B2499" s="108" t="n">
        <f aca="false">'Loan Tape'!$A71</f>
        <v>0</v>
      </c>
      <c r="C2499" s="71" t="n">
        <f aca="false">IF('Loan Tape'!$AN71=0,0,INDEX($C75:$M75,1,Hold_Yrs+1)*Exit_Px*(1-Exit_Cost)+SUMPRODUCT(($C$613:$L$613&gt;Hold_Yrs-ROUND(Rec_Lag,0))*($C$613:$L$613&lt;=Hold_Yrs)*$C681:$L681)*(1-Sev))</f>
        <v>0</v>
      </c>
    </row>
    <row r="2500" customFormat="false" ht="15" hidden="false" customHeight="false" outlineLevel="0" collapsed="false">
      <c r="B2500" s="102" t="n">
        <f aca="false">'Loan Tape'!$A72</f>
        <v>0</v>
      </c>
      <c r="C2500" s="99" t="n">
        <f aca="false">IF('Loan Tape'!$AN72=0,0,INDEX($C76:$M76,1,Hold_Yrs+1)*Exit_Px*(1-Exit_Cost)+SUMPRODUCT(($C$613:$L$613&gt;Hold_Yrs-ROUND(Rec_Lag,0))*($C$613:$L$613&lt;=Hold_Yrs)*$C682:$L682)*(1-Sev))</f>
        <v>0</v>
      </c>
    </row>
    <row r="2501" customFormat="false" ht="15" hidden="false" customHeight="false" outlineLevel="0" collapsed="false">
      <c r="B2501" s="108" t="n">
        <f aca="false">'Loan Tape'!$A73</f>
        <v>0</v>
      </c>
      <c r="C2501" s="71" t="n">
        <f aca="false">IF('Loan Tape'!$AN73=0,0,INDEX($C77:$M77,1,Hold_Yrs+1)*Exit_Px*(1-Exit_Cost)+SUMPRODUCT(($C$613:$L$613&gt;Hold_Yrs-ROUND(Rec_Lag,0))*($C$613:$L$613&lt;=Hold_Yrs)*$C683:$L683)*(1-Sev))</f>
        <v>0</v>
      </c>
    </row>
    <row r="2502" customFormat="false" ht="15" hidden="false" customHeight="false" outlineLevel="0" collapsed="false">
      <c r="B2502" s="102" t="n">
        <f aca="false">'Loan Tape'!$A74</f>
        <v>0</v>
      </c>
      <c r="C2502" s="99" t="n">
        <f aca="false">IF('Loan Tape'!$AN74=0,0,INDEX($C78:$M78,1,Hold_Yrs+1)*Exit_Px*(1-Exit_Cost)+SUMPRODUCT(($C$613:$L$613&gt;Hold_Yrs-ROUND(Rec_Lag,0))*($C$613:$L$613&lt;=Hold_Yrs)*$C684:$L684)*(1-Sev))</f>
        <v>0</v>
      </c>
    </row>
    <row r="2503" customFormat="false" ht="15" hidden="false" customHeight="false" outlineLevel="0" collapsed="false">
      <c r="B2503" s="108" t="n">
        <f aca="false">'Loan Tape'!$A75</f>
        <v>0</v>
      </c>
      <c r="C2503" s="71" t="n">
        <f aca="false">IF('Loan Tape'!$AN75=0,0,INDEX($C79:$M79,1,Hold_Yrs+1)*Exit_Px*(1-Exit_Cost)+SUMPRODUCT(($C$613:$L$613&gt;Hold_Yrs-ROUND(Rec_Lag,0))*($C$613:$L$613&lt;=Hold_Yrs)*$C685:$L685)*(1-Sev))</f>
        <v>0</v>
      </c>
    </row>
    <row r="2504" customFormat="false" ht="15" hidden="false" customHeight="false" outlineLevel="0" collapsed="false">
      <c r="B2504" s="102" t="n">
        <f aca="false">'Loan Tape'!$A76</f>
        <v>0</v>
      </c>
      <c r="C2504" s="99" t="n">
        <f aca="false">IF('Loan Tape'!$AN76=0,0,INDEX($C80:$M80,1,Hold_Yrs+1)*Exit_Px*(1-Exit_Cost)+SUMPRODUCT(($C$613:$L$613&gt;Hold_Yrs-ROUND(Rec_Lag,0))*($C$613:$L$613&lt;=Hold_Yrs)*$C686:$L686)*(1-Sev))</f>
        <v>0</v>
      </c>
    </row>
    <row r="2505" customFormat="false" ht="15" hidden="false" customHeight="false" outlineLevel="0" collapsed="false">
      <c r="B2505" s="108" t="n">
        <f aca="false">'Loan Tape'!$A77</f>
        <v>0</v>
      </c>
      <c r="C2505" s="71" t="n">
        <f aca="false">IF('Loan Tape'!$AN77=0,0,INDEX($C81:$M81,1,Hold_Yrs+1)*Exit_Px*(1-Exit_Cost)+SUMPRODUCT(($C$613:$L$613&gt;Hold_Yrs-ROUND(Rec_Lag,0))*($C$613:$L$613&lt;=Hold_Yrs)*$C687:$L687)*(1-Sev))</f>
        <v>0</v>
      </c>
    </row>
    <row r="2506" customFormat="false" ht="15" hidden="false" customHeight="false" outlineLevel="0" collapsed="false">
      <c r="B2506" s="102" t="n">
        <f aca="false">'Loan Tape'!$A78</f>
        <v>0</v>
      </c>
      <c r="C2506" s="99" t="n">
        <f aca="false">IF('Loan Tape'!$AN78=0,0,INDEX($C82:$M82,1,Hold_Yrs+1)*Exit_Px*(1-Exit_Cost)+SUMPRODUCT(($C$613:$L$613&gt;Hold_Yrs-ROUND(Rec_Lag,0))*($C$613:$L$613&lt;=Hold_Yrs)*$C688:$L688)*(1-Sev))</f>
        <v>0</v>
      </c>
    </row>
    <row r="2507" customFormat="false" ht="15" hidden="false" customHeight="false" outlineLevel="0" collapsed="false">
      <c r="B2507" s="108" t="n">
        <f aca="false">'Loan Tape'!$A79</f>
        <v>0</v>
      </c>
      <c r="C2507" s="71" t="n">
        <f aca="false">IF('Loan Tape'!$AN79=0,0,INDEX($C83:$M83,1,Hold_Yrs+1)*Exit_Px*(1-Exit_Cost)+SUMPRODUCT(($C$613:$L$613&gt;Hold_Yrs-ROUND(Rec_Lag,0))*($C$613:$L$613&lt;=Hold_Yrs)*$C689:$L689)*(1-Sev))</f>
        <v>0</v>
      </c>
    </row>
    <row r="2508" customFormat="false" ht="15" hidden="false" customHeight="false" outlineLevel="0" collapsed="false">
      <c r="B2508" s="102" t="n">
        <f aca="false">'Loan Tape'!$A80</f>
        <v>0</v>
      </c>
      <c r="C2508" s="99" t="n">
        <f aca="false">IF('Loan Tape'!$AN80=0,0,INDEX($C84:$M84,1,Hold_Yrs+1)*Exit_Px*(1-Exit_Cost)+SUMPRODUCT(($C$613:$L$613&gt;Hold_Yrs-ROUND(Rec_Lag,0))*($C$613:$L$613&lt;=Hold_Yrs)*$C690:$L690)*(1-Sev))</f>
        <v>0</v>
      </c>
    </row>
    <row r="2509" customFormat="false" ht="15" hidden="false" customHeight="false" outlineLevel="0" collapsed="false">
      <c r="B2509" s="108" t="n">
        <f aca="false">'Loan Tape'!$A81</f>
        <v>0</v>
      </c>
      <c r="C2509" s="71" t="n">
        <f aca="false">IF('Loan Tape'!$AN81=0,0,INDEX($C85:$M85,1,Hold_Yrs+1)*Exit_Px*(1-Exit_Cost)+SUMPRODUCT(($C$613:$L$613&gt;Hold_Yrs-ROUND(Rec_Lag,0))*($C$613:$L$613&lt;=Hold_Yrs)*$C691:$L691)*(1-Sev))</f>
        <v>0</v>
      </c>
    </row>
    <row r="2510" customFormat="false" ht="15" hidden="false" customHeight="false" outlineLevel="0" collapsed="false">
      <c r="B2510" s="102" t="n">
        <f aca="false">'Loan Tape'!$A82</f>
        <v>0</v>
      </c>
      <c r="C2510" s="99" t="n">
        <f aca="false">IF('Loan Tape'!$AN82=0,0,INDEX($C86:$M86,1,Hold_Yrs+1)*Exit_Px*(1-Exit_Cost)+SUMPRODUCT(($C$613:$L$613&gt;Hold_Yrs-ROUND(Rec_Lag,0))*($C$613:$L$613&lt;=Hold_Yrs)*$C692:$L692)*(1-Sev))</f>
        <v>0</v>
      </c>
    </row>
    <row r="2511" customFormat="false" ht="15" hidden="false" customHeight="false" outlineLevel="0" collapsed="false">
      <c r="B2511" s="108" t="n">
        <f aca="false">'Loan Tape'!$A83</f>
        <v>0</v>
      </c>
      <c r="C2511" s="71" t="n">
        <f aca="false">IF('Loan Tape'!$AN83=0,0,INDEX($C87:$M87,1,Hold_Yrs+1)*Exit_Px*(1-Exit_Cost)+SUMPRODUCT(($C$613:$L$613&gt;Hold_Yrs-ROUND(Rec_Lag,0))*($C$613:$L$613&lt;=Hold_Yrs)*$C693:$L693)*(1-Sev))</f>
        <v>0</v>
      </c>
    </row>
    <row r="2512" customFormat="false" ht="15" hidden="false" customHeight="false" outlineLevel="0" collapsed="false">
      <c r="B2512" s="102" t="n">
        <f aca="false">'Loan Tape'!$A84</f>
        <v>0</v>
      </c>
      <c r="C2512" s="99" t="n">
        <f aca="false">IF('Loan Tape'!$AN84=0,0,INDEX($C88:$M88,1,Hold_Yrs+1)*Exit_Px*(1-Exit_Cost)+SUMPRODUCT(($C$613:$L$613&gt;Hold_Yrs-ROUND(Rec_Lag,0))*($C$613:$L$613&lt;=Hold_Yrs)*$C694:$L694)*(1-Sev))</f>
        <v>0</v>
      </c>
    </row>
    <row r="2513" customFormat="false" ht="15" hidden="false" customHeight="false" outlineLevel="0" collapsed="false">
      <c r="B2513" s="108" t="n">
        <f aca="false">'Loan Tape'!$A85</f>
        <v>0</v>
      </c>
      <c r="C2513" s="71" t="n">
        <f aca="false">IF('Loan Tape'!$AN85=0,0,INDEX($C89:$M89,1,Hold_Yrs+1)*Exit_Px*(1-Exit_Cost)+SUMPRODUCT(($C$613:$L$613&gt;Hold_Yrs-ROUND(Rec_Lag,0))*($C$613:$L$613&lt;=Hold_Yrs)*$C695:$L695)*(1-Sev))</f>
        <v>0</v>
      </c>
    </row>
    <row r="2514" customFormat="false" ht="15" hidden="false" customHeight="false" outlineLevel="0" collapsed="false">
      <c r="B2514" s="102" t="n">
        <f aca="false">'Loan Tape'!$A86</f>
        <v>0</v>
      </c>
      <c r="C2514" s="99" t="n">
        <f aca="false">IF('Loan Tape'!$AN86=0,0,INDEX($C90:$M90,1,Hold_Yrs+1)*Exit_Px*(1-Exit_Cost)+SUMPRODUCT(($C$613:$L$613&gt;Hold_Yrs-ROUND(Rec_Lag,0))*($C$613:$L$613&lt;=Hold_Yrs)*$C696:$L696)*(1-Sev))</f>
        <v>0</v>
      </c>
    </row>
    <row r="2515" customFormat="false" ht="15" hidden="false" customHeight="false" outlineLevel="0" collapsed="false">
      <c r="B2515" s="108" t="n">
        <f aca="false">'Loan Tape'!$A87</f>
        <v>0</v>
      </c>
      <c r="C2515" s="71" t="n">
        <f aca="false">IF('Loan Tape'!$AN87=0,0,INDEX($C91:$M91,1,Hold_Yrs+1)*Exit_Px*(1-Exit_Cost)+SUMPRODUCT(($C$613:$L$613&gt;Hold_Yrs-ROUND(Rec_Lag,0))*($C$613:$L$613&lt;=Hold_Yrs)*$C697:$L697)*(1-Sev))</f>
        <v>0</v>
      </c>
    </row>
    <row r="2516" customFormat="false" ht="15" hidden="false" customHeight="false" outlineLevel="0" collapsed="false">
      <c r="B2516" s="102" t="n">
        <f aca="false">'Loan Tape'!$A88</f>
        <v>0</v>
      </c>
      <c r="C2516" s="99" t="n">
        <f aca="false">IF('Loan Tape'!$AN88=0,0,INDEX($C92:$M92,1,Hold_Yrs+1)*Exit_Px*(1-Exit_Cost)+SUMPRODUCT(($C$613:$L$613&gt;Hold_Yrs-ROUND(Rec_Lag,0))*($C$613:$L$613&lt;=Hold_Yrs)*$C698:$L698)*(1-Sev))</f>
        <v>0</v>
      </c>
    </row>
    <row r="2517" customFormat="false" ht="15" hidden="false" customHeight="false" outlineLevel="0" collapsed="false">
      <c r="B2517" s="108" t="n">
        <f aca="false">'Loan Tape'!$A89</f>
        <v>0</v>
      </c>
      <c r="C2517" s="71" t="n">
        <f aca="false">IF('Loan Tape'!$AN89=0,0,INDEX($C93:$M93,1,Hold_Yrs+1)*Exit_Px*(1-Exit_Cost)+SUMPRODUCT(($C$613:$L$613&gt;Hold_Yrs-ROUND(Rec_Lag,0))*($C$613:$L$613&lt;=Hold_Yrs)*$C699:$L699)*(1-Sev))</f>
        <v>0</v>
      </c>
    </row>
    <row r="2518" customFormat="false" ht="15" hidden="false" customHeight="false" outlineLevel="0" collapsed="false">
      <c r="B2518" s="102" t="n">
        <f aca="false">'Loan Tape'!$A90</f>
        <v>0</v>
      </c>
      <c r="C2518" s="99" t="n">
        <f aca="false">IF('Loan Tape'!$AN90=0,0,INDEX($C94:$M94,1,Hold_Yrs+1)*Exit_Px*(1-Exit_Cost)+SUMPRODUCT(($C$613:$L$613&gt;Hold_Yrs-ROUND(Rec_Lag,0))*($C$613:$L$613&lt;=Hold_Yrs)*$C700:$L700)*(1-Sev))</f>
        <v>0</v>
      </c>
    </row>
    <row r="2519" customFormat="false" ht="15" hidden="false" customHeight="false" outlineLevel="0" collapsed="false">
      <c r="B2519" s="108" t="n">
        <f aca="false">'Loan Tape'!$A91</f>
        <v>0</v>
      </c>
      <c r="C2519" s="71" t="n">
        <f aca="false">IF('Loan Tape'!$AN91=0,0,INDEX($C95:$M95,1,Hold_Yrs+1)*Exit_Px*(1-Exit_Cost)+SUMPRODUCT(($C$613:$L$613&gt;Hold_Yrs-ROUND(Rec_Lag,0))*($C$613:$L$613&lt;=Hold_Yrs)*$C701:$L701)*(1-Sev))</f>
        <v>0</v>
      </c>
    </row>
    <row r="2520" customFormat="false" ht="15" hidden="false" customHeight="false" outlineLevel="0" collapsed="false">
      <c r="B2520" s="102" t="n">
        <f aca="false">'Loan Tape'!$A92</f>
        <v>0</v>
      </c>
      <c r="C2520" s="99" t="n">
        <f aca="false">IF('Loan Tape'!$AN92=0,0,INDEX($C96:$M96,1,Hold_Yrs+1)*Exit_Px*(1-Exit_Cost)+SUMPRODUCT(($C$613:$L$613&gt;Hold_Yrs-ROUND(Rec_Lag,0))*($C$613:$L$613&lt;=Hold_Yrs)*$C702:$L702)*(1-Sev))</f>
        <v>0</v>
      </c>
    </row>
    <row r="2521" customFormat="false" ht="15" hidden="false" customHeight="false" outlineLevel="0" collapsed="false">
      <c r="B2521" s="108" t="n">
        <f aca="false">'Loan Tape'!$A93</f>
        <v>0</v>
      </c>
      <c r="C2521" s="71" t="n">
        <f aca="false">IF('Loan Tape'!$AN93=0,0,INDEX($C97:$M97,1,Hold_Yrs+1)*Exit_Px*(1-Exit_Cost)+SUMPRODUCT(($C$613:$L$613&gt;Hold_Yrs-ROUND(Rec_Lag,0))*($C$613:$L$613&lt;=Hold_Yrs)*$C703:$L703)*(1-Sev))</f>
        <v>0</v>
      </c>
    </row>
    <row r="2522" customFormat="false" ht="15" hidden="false" customHeight="false" outlineLevel="0" collapsed="false">
      <c r="B2522" s="102" t="n">
        <f aca="false">'Loan Tape'!$A94</f>
        <v>0</v>
      </c>
      <c r="C2522" s="99" t="n">
        <f aca="false">IF('Loan Tape'!$AN94=0,0,INDEX($C98:$M98,1,Hold_Yrs+1)*Exit_Px*(1-Exit_Cost)+SUMPRODUCT(($C$613:$L$613&gt;Hold_Yrs-ROUND(Rec_Lag,0))*($C$613:$L$613&lt;=Hold_Yrs)*$C704:$L704)*(1-Sev))</f>
        <v>0</v>
      </c>
    </row>
    <row r="2523" customFormat="false" ht="15" hidden="false" customHeight="false" outlineLevel="0" collapsed="false">
      <c r="B2523" s="108" t="n">
        <f aca="false">'Loan Tape'!$A95</f>
        <v>0</v>
      </c>
      <c r="C2523" s="71" t="n">
        <f aca="false">IF('Loan Tape'!$AN95=0,0,INDEX($C99:$M99,1,Hold_Yrs+1)*Exit_Px*(1-Exit_Cost)+SUMPRODUCT(($C$613:$L$613&gt;Hold_Yrs-ROUND(Rec_Lag,0))*($C$613:$L$613&lt;=Hold_Yrs)*$C705:$L705)*(1-Sev))</f>
        <v>0</v>
      </c>
    </row>
    <row r="2524" customFormat="false" ht="15" hidden="false" customHeight="false" outlineLevel="0" collapsed="false">
      <c r="B2524" s="102" t="n">
        <f aca="false">'Loan Tape'!$A96</f>
        <v>0</v>
      </c>
      <c r="C2524" s="99" t="n">
        <f aca="false">IF('Loan Tape'!$AN96=0,0,INDEX($C100:$M100,1,Hold_Yrs+1)*Exit_Px*(1-Exit_Cost)+SUMPRODUCT(($C$613:$L$613&gt;Hold_Yrs-ROUND(Rec_Lag,0))*($C$613:$L$613&lt;=Hold_Yrs)*$C706:$L706)*(1-Sev))</f>
        <v>0</v>
      </c>
    </row>
    <row r="2525" customFormat="false" ht="15" hidden="false" customHeight="false" outlineLevel="0" collapsed="false">
      <c r="B2525" s="108" t="n">
        <f aca="false">'Loan Tape'!$A97</f>
        <v>0</v>
      </c>
      <c r="C2525" s="71" t="n">
        <f aca="false">IF('Loan Tape'!$AN97=0,0,INDEX($C101:$M101,1,Hold_Yrs+1)*Exit_Px*(1-Exit_Cost)+SUMPRODUCT(($C$613:$L$613&gt;Hold_Yrs-ROUND(Rec_Lag,0))*($C$613:$L$613&lt;=Hold_Yrs)*$C707:$L707)*(1-Sev))</f>
        <v>0</v>
      </c>
    </row>
    <row r="2526" customFormat="false" ht="15" hidden="false" customHeight="false" outlineLevel="0" collapsed="false">
      <c r="B2526" s="102" t="n">
        <f aca="false">'Loan Tape'!$A98</f>
        <v>0</v>
      </c>
      <c r="C2526" s="99" t="n">
        <f aca="false">IF('Loan Tape'!$AN98=0,0,INDEX($C102:$M102,1,Hold_Yrs+1)*Exit_Px*(1-Exit_Cost)+SUMPRODUCT(($C$613:$L$613&gt;Hold_Yrs-ROUND(Rec_Lag,0))*($C$613:$L$613&lt;=Hold_Yrs)*$C708:$L708)*(1-Sev))</f>
        <v>0</v>
      </c>
    </row>
    <row r="2527" customFormat="false" ht="15" hidden="false" customHeight="false" outlineLevel="0" collapsed="false">
      <c r="B2527" s="108" t="n">
        <f aca="false">'Loan Tape'!$A99</f>
        <v>0</v>
      </c>
      <c r="C2527" s="71" t="n">
        <f aca="false">IF('Loan Tape'!$AN99=0,0,INDEX($C103:$M103,1,Hold_Yrs+1)*Exit_Px*(1-Exit_Cost)+SUMPRODUCT(($C$613:$L$613&gt;Hold_Yrs-ROUND(Rec_Lag,0))*($C$613:$L$613&lt;=Hold_Yrs)*$C709:$L709)*(1-Sev))</f>
        <v>0</v>
      </c>
    </row>
    <row r="2528" customFormat="false" ht="15" hidden="false" customHeight="false" outlineLevel="0" collapsed="false">
      <c r="B2528" s="102" t="n">
        <f aca="false">'Loan Tape'!$A100</f>
        <v>0</v>
      </c>
      <c r="C2528" s="99" t="n">
        <f aca="false">IF('Loan Tape'!$AN100=0,0,INDEX($C104:$M104,1,Hold_Yrs+1)*Exit_Px*(1-Exit_Cost)+SUMPRODUCT(($C$613:$L$613&gt;Hold_Yrs-ROUND(Rec_Lag,0))*($C$613:$L$613&lt;=Hold_Yrs)*$C710:$L710)*(1-Sev))</f>
        <v>0</v>
      </c>
    </row>
    <row r="2529" customFormat="false" ht="15" hidden="false" customHeight="false" outlineLevel="0" collapsed="false">
      <c r="B2529" s="108" t="n">
        <f aca="false">'Loan Tape'!$A101</f>
        <v>0</v>
      </c>
      <c r="C2529" s="71" t="n">
        <f aca="false">IF('Loan Tape'!$AN101=0,0,INDEX($C105:$M105,1,Hold_Yrs+1)*Exit_Px*(1-Exit_Cost)+SUMPRODUCT(($C$613:$L$613&gt;Hold_Yrs-ROUND(Rec_Lag,0))*($C$613:$L$613&lt;=Hold_Yrs)*$C711:$L711)*(1-Sev))</f>
        <v>0</v>
      </c>
    </row>
    <row r="2530" customFormat="false" ht="15" hidden="false" customHeight="false" outlineLevel="0" collapsed="false">
      <c r="B2530" s="102" t="n">
        <f aca="false">'Loan Tape'!$A102</f>
        <v>0</v>
      </c>
      <c r="C2530" s="99" t="n">
        <f aca="false">IF('Loan Tape'!$AN102=0,0,INDEX($C106:$M106,1,Hold_Yrs+1)*Exit_Px*(1-Exit_Cost)+SUMPRODUCT(($C$613:$L$613&gt;Hold_Yrs-ROUND(Rec_Lag,0))*($C$613:$L$613&lt;=Hold_Yrs)*$C712:$L712)*(1-Sev))</f>
        <v>0</v>
      </c>
    </row>
    <row r="2531" customFormat="false" ht="15" hidden="false" customHeight="false" outlineLevel="0" collapsed="false">
      <c r="B2531" s="108" t="n">
        <f aca="false">'Loan Tape'!$A103</f>
        <v>0</v>
      </c>
      <c r="C2531" s="71" t="n">
        <f aca="false">IF('Loan Tape'!$AN103=0,0,INDEX($C107:$M107,1,Hold_Yrs+1)*Exit_Px*(1-Exit_Cost)+SUMPRODUCT(($C$613:$L$613&gt;Hold_Yrs-ROUND(Rec_Lag,0))*($C$613:$L$613&lt;=Hold_Yrs)*$C713:$L713)*(1-Sev))</f>
        <v>0</v>
      </c>
    </row>
    <row r="2532" customFormat="false" ht="15" hidden="false" customHeight="false" outlineLevel="0" collapsed="false">
      <c r="B2532" s="102" t="n">
        <f aca="false">'Loan Tape'!$A104</f>
        <v>0</v>
      </c>
      <c r="C2532" s="99" t="n">
        <f aca="false">IF('Loan Tape'!$AN104=0,0,INDEX($C108:$M108,1,Hold_Yrs+1)*Exit_Px*(1-Exit_Cost)+SUMPRODUCT(($C$613:$L$613&gt;Hold_Yrs-ROUND(Rec_Lag,0))*($C$613:$L$613&lt;=Hold_Yrs)*$C714:$L714)*(1-Sev))</f>
        <v>0</v>
      </c>
    </row>
    <row r="2533" customFormat="false" ht="15" hidden="false" customHeight="false" outlineLevel="0" collapsed="false">
      <c r="B2533" s="108" t="n">
        <f aca="false">'Loan Tape'!$A105</f>
        <v>0</v>
      </c>
      <c r="C2533" s="71" t="n">
        <f aca="false">IF('Loan Tape'!$AN105=0,0,INDEX($C109:$M109,1,Hold_Yrs+1)*Exit_Px*(1-Exit_Cost)+SUMPRODUCT(($C$613:$L$613&gt;Hold_Yrs-ROUND(Rec_Lag,0))*($C$613:$L$613&lt;=Hold_Yrs)*$C715:$L715)*(1-Sev))</f>
        <v>0</v>
      </c>
    </row>
    <row r="2534" customFormat="false" ht="15" hidden="false" customHeight="false" outlineLevel="0" collapsed="false">
      <c r="B2534" s="102" t="n">
        <f aca="false">'Loan Tape'!$A106</f>
        <v>0</v>
      </c>
      <c r="C2534" s="99" t="n">
        <f aca="false">IF('Loan Tape'!$AN106=0,0,INDEX($C110:$M110,1,Hold_Yrs+1)*Exit_Px*(1-Exit_Cost)+SUMPRODUCT(($C$613:$L$613&gt;Hold_Yrs-ROUND(Rec_Lag,0))*($C$613:$L$613&lt;=Hold_Yrs)*$C716:$L716)*(1-Sev))</f>
        <v>0</v>
      </c>
    </row>
    <row r="2535" customFormat="false" ht="15" hidden="false" customHeight="false" outlineLevel="0" collapsed="false">
      <c r="B2535" s="108" t="n">
        <f aca="false">'Loan Tape'!$A107</f>
        <v>0</v>
      </c>
      <c r="C2535" s="71" t="n">
        <f aca="false">IF('Loan Tape'!$AN107=0,0,INDEX($C111:$M111,1,Hold_Yrs+1)*Exit_Px*(1-Exit_Cost)+SUMPRODUCT(($C$613:$L$613&gt;Hold_Yrs-ROUND(Rec_Lag,0))*($C$613:$L$613&lt;=Hold_Yrs)*$C717:$L717)*(1-Sev))</f>
        <v>0</v>
      </c>
    </row>
    <row r="2536" customFormat="false" ht="15" hidden="false" customHeight="false" outlineLevel="0" collapsed="false">
      <c r="B2536" s="102" t="n">
        <f aca="false">'Loan Tape'!$A108</f>
        <v>0</v>
      </c>
      <c r="C2536" s="99" t="n">
        <f aca="false">IF('Loan Tape'!$AN108=0,0,INDEX($C112:$M112,1,Hold_Yrs+1)*Exit_Px*(1-Exit_Cost)+SUMPRODUCT(($C$613:$L$613&gt;Hold_Yrs-ROUND(Rec_Lag,0))*($C$613:$L$613&lt;=Hold_Yrs)*$C718:$L718)*(1-Sev))</f>
        <v>0</v>
      </c>
    </row>
    <row r="2537" customFormat="false" ht="15" hidden="false" customHeight="false" outlineLevel="0" collapsed="false">
      <c r="B2537" s="108" t="n">
        <f aca="false">'Loan Tape'!$A109</f>
        <v>0</v>
      </c>
      <c r="C2537" s="71" t="n">
        <f aca="false">IF('Loan Tape'!$AN109=0,0,INDEX($C113:$M113,1,Hold_Yrs+1)*Exit_Px*(1-Exit_Cost)+SUMPRODUCT(($C$613:$L$613&gt;Hold_Yrs-ROUND(Rec_Lag,0))*($C$613:$L$613&lt;=Hold_Yrs)*$C719:$L719)*(1-Sev))</f>
        <v>0</v>
      </c>
    </row>
    <row r="2538" customFormat="false" ht="15" hidden="false" customHeight="false" outlineLevel="0" collapsed="false">
      <c r="B2538" s="102" t="n">
        <f aca="false">'Loan Tape'!$A110</f>
        <v>0</v>
      </c>
      <c r="C2538" s="99" t="n">
        <f aca="false">IF('Loan Tape'!$AN110=0,0,INDEX($C114:$M114,1,Hold_Yrs+1)*Exit_Px*(1-Exit_Cost)+SUMPRODUCT(($C$613:$L$613&gt;Hold_Yrs-ROUND(Rec_Lag,0))*($C$613:$L$613&lt;=Hold_Yrs)*$C720:$L720)*(1-Sev))</f>
        <v>0</v>
      </c>
    </row>
    <row r="2539" customFormat="false" ht="15" hidden="false" customHeight="false" outlineLevel="0" collapsed="false">
      <c r="B2539" s="108" t="n">
        <f aca="false">'Loan Tape'!$A111</f>
        <v>0</v>
      </c>
      <c r="C2539" s="71" t="n">
        <f aca="false">IF('Loan Tape'!$AN111=0,0,INDEX($C115:$M115,1,Hold_Yrs+1)*Exit_Px*(1-Exit_Cost)+SUMPRODUCT(($C$613:$L$613&gt;Hold_Yrs-ROUND(Rec_Lag,0))*($C$613:$L$613&lt;=Hold_Yrs)*$C721:$L721)*(1-Sev))</f>
        <v>0</v>
      </c>
    </row>
    <row r="2540" customFormat="false" ht="15" hidden="false" customHeight="false" outlineLevel="0" collapsed="false">
      <c r="B2540" s="102" t="n">
        <f aca="false">'Loan Tape'!$A112</f>
        <v>0</v>
      </c>
      <c r="C2540" s="99" t="n">
        <f aca="false">IF('Loan Tape'!$AN112=0,0,INDEX($C116:$M116,1,Hold_Yrs+1)*Exit_Px*(1-Exit_Cost)+SUMPRODUCT(($C$613:$L$613&gt;Hold_Yrs-ROUND(Rec_Lag,0))*($C$613:$L$613&lt;=Hold_Yrs)*$C722:$L722)*(1-Sev))</f>
        <v>0</v>
      </c>
    </row>
    <row r="2541" customFormat="false" ht="15" hidden="false" customHeight="false" outlineLevel="0" collapsed="false">
      <c r="B2541" s="108" t="n">
        <f aca="false">'Loan Tape'!$A113</f>
        <v>0</v>
      </c>
      <c r="C2541" s="71" t="n">
        <f aca="false">IF('Loan Tape'!$AN113=0,0,INDEX($C117:$M117,1,Hold_Yrs+1)*Exit_Px*(1-Exit_Cost)+SUMPRODUCT(($C$613:$L$613&gt;Hold_Yrs-ROUND(Rec_Lag,0))*($C$613:$L$613&lt;=Hold_Yrs)*$C723:$L723)*(1-Sev))</f>
        <v>0</v>
      </c>
    </row>
    <row r="2542" customFormat="false" ht="15" hidden="false" customHeight="false" outlineLevel="0" collapsed="false">
      <c r="B2542" s="102" t="n">
        <f aca="false">'Loan Tape'!$A114</f>
        <v>0</v>
      </c>
      <c r="C2542" s="99" t="n">
        <f aca="false">IF('Loan Tape'!$AN114=0,0,INDEX($C118:$M118,1,Hold_Yrs+1)*Exit_Px*(1-Exit_Cost)+SUMPRODUCT(($C$613:$L$613&gt;Hold_Yrs-ROUND(Rec_Lag,0))*($C$613:$L$613&lt;=Hold_Yrs)*$C724:$L724)*(1-Sev))</f>
        <v>0</v>
      </c>
    </row>
    <row r="2543" customFormat="false" ht="15" hidden="false" customHeight="false" outlineLevel="0" collapsed="false">
      <c r="B2543" s="108" t="n">
        <f aca="false">'Loan Tape'!$A115</f>
        <v>0</v>
      </c>
      <c r="C2543" s="71" t="n">
        <f aca="false">IF('Loan Tape'!$AN115=0,0,INDEX($C119:$M119,1,Hold_Yrs+1)*Exit_Px*(1-Exit_Cost)+SUMPRODUCT(($C$613:$L$613&gt;Hold_Yrs-ROUND(Rec_Lag,0))*($C$613:$L$613&lt;=Hold_Yrs)*$C725:$L725)*(1-Sev))</f>
        <v>0</v>
      </c>
    </row>
    <row r="2544" customFormat="false" ht="15" hidden="false" customHeight="false" outlineLevel="0" collapsed="false">
      <c r="B2544" s="102" t="n">
        <f aca="false">'Loan Tape'!$A116</f>
        <v>0</v>
      </c>
      <c r="C2544" s="99" t="n">
        <f aca="false">IF('Loan Tape'!$AN116=0,0,INDEX($C120:$M120,1,Hold_Yrs+1)*Exit_Px*(1-Exit_Cost)+SUMPRODUCT(($C$613:$L$613&gt;Hold_Yrs-ROUND(Rec_Lag,0))*($C$613:$L$613&lt;=Hold_Yrs)*$C726:$L726)*(1-Sev))</f>
        <v>0</v>
      </c>
    </row>
    <row r="2545" customFormat="false" ht="15" hidden="false" customHeight="false" outlineLevel="0" collapsed="false">
      <c r="B2545" s="108" t="n">
        <f aca="false">'Loan Tape'!$A117</f>
        <v>0</v>
      </c>
      <c r="C2545" s="71" t="n">
        <f aca="false">IF('Loan Tape'!$AN117=0,0,INDEX($C121:$M121,1,Hold_Yrs+1)*Exit_Px*(1-Exit_Cost)+SUMPRODUCT(($C$613:$L$613&gt;Hold_Yrs-ROUND(Rec_Lag,0))*($C$613:$L$613&lt;=Hold_Yrs)*$C727:$L727)*(1-Sev))</f>
        <v>0</v>
      </c>
    </row>
    <row r="2546" customFormat="false" ht="15" hidden="false" customHeight="false" outlineLevel="0" collapsed="false">
      <c r="B2546" s="102" t="n">
        <f aca="false">'Loan Tape'!$A118</f>
        <v>0</v>
      </c>
      <c r="C2546" s="99" t="n">
        <f aca="false">IF('Loan Tape'!$AN118=0,0,INDEX($C122:$M122,1,Hold_Yrs+1)*Exit_Px*(1-Exit_Cost)+SUMPRODUCT(($C$613:$L$613&gt;Hold_Yrs-ROUND(Rec_Lag,0))*($C$613:$L$613&lt;=Hold_Yrs)*$C728:$L728)*(1-Sev))</f>
        <v>0</v>
      </c>
    </row>
    <row r="2547" customFormat="false" ht="15" hidden="false" customHeight="false" outlineLevel="0" collapsed="false">
      <c r="B2547" s="108" t="n">
        <f aca="false">'Loan Tape'!$A119</f>
        <v>0</v>
      </c>
      <c r="C2547" s="71" t="n">
        <f aca="false">IF('Loan Tape'!$AN119=0,0,INDEX($C123:$M123,1,Hold_Yrs+1)*Exit_Px*(1-Exit_Cost)+SUMPRODUCT(($C$613:$L$613&gt;Hold_Yrs-ROUND(Rec_Lag,0))*($C$613:$L$613&lt;=Hold_Yrs)*$C729:$L729)*(1-Sev))</f>
        <v>0</v>
      </c>
    </row>
    <row r="2548" customFormat="false" ht="15" hidden="false" customHeight="false" outlineLevel="0" collapsed="false">
      <c r="B2548" s="102" t="n">
        <f aca="false">'Loan Tape'!$A120</f>
        <v>0</v>
      </c>
      <c r="C2548" s="99" t="n">
        <f aca="false">IF('Loan Tape'!$AN120=0,0,INDEX($C124:$M124,1,Hold_Yrs+1)*Exit_Px*(1-Exit_Cost)+SUMPRODUCT(($C$613:$L$613&gt;Hold_Yrs-ROUND(Rec_Lag,0))*($C$613:$L$613&lt;=Hold_Yrs)*$C730:$L730)*(1-Sev))</f>
        <v>0</v>
      </c>
    </row>
    <row r="2549" customFormat="false" ht="15" hidden="false" customHeight="false" outlineLevel="0" collapsed="false">
      <c r="B2549" s="108" t="n">
        <f aca="false">'Loan Tape'!$A121</f>
        <v>0</v>
      </c>
      <c r="C2549" s="71" t="n">
        <f aca="false">IF('Loan Tape'!$AN121=0,0,INDEX($C125:$M125,1,Hold_Yrs+1)*Exit_Px*(1-Exit_Cost)+SUMPRODUCT(($C$613:$L$613&gt;Hold_Yrs-ROUND(Rec_Lag,0))*($C$613:$L$613&lt;=Hold_Yrs)*$C731:$L731)*(1-Sev))</f>
        <v>0</v>
      </c>
    </row>
    <row r="2550" customFormat="false" ht="15" hidden="false" customHeight="false" outlineLevel="0" collapsed="false">
      <c r="B2550" s="102" t="n">
        <f aca="false">'Loan Tape'!$A122</f>
        <v>0</v>
      </c>
      <c r="C2550" s="99" t="n">
        <f aca="false">IF('Loan Tape'!$AN122=0,0,INDEX($C126:$M126,1,Hold_Yrs+1)*Exit_Px*(1-Exit_Cost)+SUMPRODUCT(($C$613:$L$613&gt;Hold_Yrs-ROUND(Rec_Lag,0))*($C$613:$L$613&lt;=Hold_Yrs)*$C732:$L732)*(1-Sev))</f>
        <v>0</v>
      </c>
    </row>
    <row r="2551" customFormat="false" ht="15" hidden="false" customHeight="false" outlineLevel="0" collapsed="false">
      <c r="B2551" s="108" t="n">
        <f aca="false">'Loan Tape'!$A123</f>
        <v>0</v>
      </c>
      <c r="C2551" s="71" t="n">
        <f aca="false">IF('Loan Tape'!$AN123=0,0,INDEX($C127:$M127,1,Hold_Yrs+1)*Exit_Px*(1-Exit_Cost)+SUMPRODUCT(($C$613:$L$613&gt;Hold_Yrs-ROUND(Rec_Lag,0))*($C$613:$L$613&lt;=Hold_Yrs)*$C733:$L733)*(1-Sev))</f>
        <v>0</v>
      </c>
    </row>
    <row r="2552" customFormat="false" ht="15" hidden="false" customHeight="false" outlineLevel="0" collapsed="false">
      <c r="B2552" s="102" t="n">
        <f aca="false">'Loan Tape'!$A124</f>
        <v>0</v>
      </c>
      <c r="C2552" s="99" t="n">
        <f aca="false">IF('Loan Tape'!$AN124=0,0,INDEX($C128:$M128,1,Hold_Yrs+1)*Exit_Px*(1-Exit_Cost)+SUMPRODUCT(($C$613:$L$613&gt;Hold_Yrs-ROUND(Rec_Lag,0))*($C$613:$L$613&lt;=Hold_Yrs)*$C734:$L734)*(1-Sev))</f>
        <v>0</v>
      </c>
    </row>
    <row r="2553" customFormat="false" ht="15" hidden="false" customHeight="false" outlineLevel="0" collapsed="false">
      <c r="B2553" s="108" t="n">
        <f aca="false">'Loan Tape'!$A125</f>
        <v>0</v>
      </c>
      <c r="C2553" s="71" t="n">
        <f aca="false">IF('Loan Tape'!$AN125=0,0,INDEX($C129:$M129,1,Hold_Yrs+1)*Exit_Px*(1-Exit_Cost)+SUMPRODUCT(($C$613:$L$613&gt;Hold_Yrs-ROUND(Rec_Lag,0))*($C$613:$L$613&lt;=Hold_Yrs)*$C735:$L735)*(1-Sev))</f>
        <v>0</v>
      </c>
    </row>
    <row r="2554" customFormat="false" ht="15" hidden="false" customHeight="false" outlineLevel="0" collapsed="false">
      <c r="B2554" s="102" t="n">
        <f aca="false">'Loan Tape'!$A126</f>
        <v>0</v>
      </c>
      <c r="C2554" s="99" t="n">
        <f aca="false">IF('Loan Tape'!$AN126=0,0,INDEX($C130:$M130,1,Hold_Yrs+1)*Exit_Px*(1-Exit_Cost)+SUMPRODUCT(($C$613:$L$613&gt;Hold_Yrs-ROUND(Rec_Lag,0))*($C$613:$L$613&lt;=Hold_Yrs)*$C736:$L736)*(1-Sev))</f>
        <v>0</v>
      </c>
    </row>
    <row r="2555" customFormat="false" ht="15" hidden="false" customHeight="false" outlineLevel="0" collapsed="false">
      <c r="B2555" s="108" t="n">
        <f aca="false">'Loan Tape'!$A127</f>
        <v>0</v>
      </c>
      <c r="C2555" s="71" t="n">
        <f aca="false">IF('Loan Tape'!$AN127=0,0,INDEX($C131:$M131,1,Hold_Yrs+1)*Exit_Px*(1-Exit_Cost)+SUMPRODUCT(($C$613:$L$613&gt;Hold_Yrs-ROUND(Rec_Lag,0))*($C$613:$L$613&lt;=Hold_Yrs)*$C737:$L737)*(1-Sev))</f>
        <v>0</v>
      </c>
    </row>
    <row r="2556" customFormat="false" ht="15" hidden="false" customHeight="false" outlineLevel="0" collapsed="false">
      <c r="B2556" s="102" t="n">
        <f aca="false">'Loan Tape'!$A128</f>
        <v>0</v>
      </c>
      <c r="C2556" s="99" t="n">
        <f aca="false">IF('Loan Tape'!$AN128=0,0,INDEX($C132:$M132,1,Hold_Yrs+1)*Exit_Px*(1-Exit_Cost)+SUMPRODUCT(($C$613:$L$613&gt;Hold_Yrs-ROUND(Rec_Lag,0))*($C$613:$L$613&lt;=Hold_Yrs)*$C738:$L738)*(1-Sev))</f>
        <v>0</v>
      </c>
    </row>
    <row r="2557" customFormat="false" ht="15" hidden="false" customHeight="false" outlineLevel="0" collapsed="false">
      <c r="B2557" s="108" t="n">
        <f aca="false">'Loan Tape'!$A129</f>
        <v>0</v>
      </c>
      <c r="C2557" s="71" t="n">
        <f aca="false">IF('Loan Tape'!$AN129=0,0,INDEX($C133:$M133,1,Hold_Yrs+1)*Exit_Px*(1-Exit_Cost)+SUMPRODUCT(($C$613:$L$613&gt;Hold_Yrs-ROUND(Rec_Lag,0))*($C$613:$L$613&lt;=Hold_Yrs)*$C739:$L739)*(1-Sev))</f>
        <v>0</v>
      </c>
    </row>
    <row r="2558" customFormat="false" ht="15" hidden="false" customHeight="false" outlineLevel="0" collapsed="false">
      <c r="B2558" s="102" t="n">
        <f aca="false">'Loan Tape'!$A130</f>
        <v>0</v>
      </c>
      <c r="C2558" s="99" t="n">
        <f aca="false">IF('Loan Tape'!$AN130=0,0,INDEX($C134:$M134,1,Hold_Yrs+1)*Exit_Px*(1-Exit_Cost)+SUMPRODUCT(($C$613:$L$613&gt;Hold_Yrs-ROUND(Rec_Lag,0))*($C$613:$L$613&lt;=Hold_Yrs)*$C740:$L740)*(1-Sev))</f>
        <v>0</v>
      </c>
    </row>
    <row r="2559" customFormat="false" ht="15" hidden="false" customHeight="false" outlineLevel="0" collapsed="false">
      <c r="B2559" s="108" t="n">
        <f aca="false">'Loan Tape'!$A131</f>
        <v>0</v>
      </c>
      <c r="C2559" s="71" t="n">
        <f aca="false">IF('Loan Tape'!$AN131=0,0,INDEX($C135:$M135,1,Hold_Yrs+1)*Exit_Px*(1-Exit_Cost)+SUMPRODUCT(($C$613:$L$613&gt;Hold_Yrs-ROUND(Rec_Lag,0))*($C$613:$L$613&lt;=Hold_Yrs)*$C741:$L741)*(1-Sev))</f>
        <v>0</v>
      </c>
    </row>
    <row r="2560" customFormat="false" ht="15" hidden="false" customHeight="false" outlineLevel="0" collapsed="false">
      <c r="B2560" s="102" t="n">
        <f aca="false">'Loan Tape'!$A132</f>
        <v>0</v>
      </c>
      <c r="C2560" s="99" t="n">
        <f aca="false">IF('Loan Tape'!$AN132=0,0,INDEX($C136:$M136,1,Hold_Yrs+1)*Exit_Px*(1-Exit_Cost)+SUMPRODUCT(($C$613:$L$613&gt;Hold_Yrs-ROUND(Rec_Lag,0))*($C$613:$L$613&lt;=Hold_Yrs)*$C742:$L742)*(1-Sev))</f>
        <v>0</v>
      </c>
    </row>
    <row r="2561" customFormat="false" ht="15" hidden="false" customHeight="false" outlineLevel="0" collapsed="false">
      <c r="B2561" s="108" t="n">
        <f aca="false">'Loan Tape'!$A133</f>
        <v>0</v>
      </c>
      <c r="C2561" s="71" t="n">
        <f aca="false">IF('Loan Tape'!$AN133=0,0,INDEX($C137:$M137,1,Hold_Yrs+1)*Exit_Px*(1-Exit_Cost)+SUMPRODUCT(($C$613:$L$613&gt;Hold_Yrs-ROUND(Rec_Lag,0))*($C$613:$L$613&lt;=Hold_Yrs)*$C743:$L743)*(1-Sev))</f>
        <v>0</v>
      </c>
    </row>
    <row r="2562" customFormat="false" ht="15" hidden="false" customHeight="false" outlineLevel="0" collapsed="false">
      <c r="B2562" s="102" t="n">
        <f aca="false">'Loan Tape'!$A134</f>
        <v>0</v>
      </c>
      <c r="C2562" s="99" t="n">
        <f aca="false">IF('Loan Tape'!$AN134=0,0,INDEX($C138:$M138,1,Hold_Yrs+1)*Exit_Px*(1-Exit_Cost)+SUMPRODUCT(($C$613:$L$613&gt;Hold_Yrs-ROUND(Rec_Lag,0))*($C$613:$L$613&lt;=Hold_Yrs)*$C744:$L744)*(1-Sev))</f>
        <v>0</v>
      </c>
    </row>
    <row r="2563" customFormat="false" ht="15" hidden="false" customHeight="false" outlineLevel="0" collapsed="false">
      <c r="B2563" s="108" t="n">
        <f aca="false">'Loan Tape'!$A135</f>
        <v>0</v>
      </c>
      <c r="C2563" s="71" t="n">
        <f aca="false">IF('Loan Tape'!$AN135=0,0,INDEX($C139:$M139,1,Hold_Yrs+1)*Exit_Px*(1-Exit_Cost)+SUMPRODUCT(($C$613:$L$613&gt;Hold_Yrs-ROUND(Rec_Lag,0))*($C$613:$L$613&lt;=Hold_Yrs)*$C745:$L745)*(1-Sev))</f>
        <v>0</v>
      </c>
    </row>
    <row r="2564" customFormat="false" ht="15" hidden="false" customHeight="false" outlineLevel="0" collapsed="false">
      <c r="B2564" s="102" t="n">
        <f aca="false">'Loan Tape'!$A136</f>
        <v>0</v>
      </c>
      <c r="C2564" s="99" t="n">
        <f aca="false">IF('Loan Tape'!$AN136=0,0,INDEX($C140:$M140,1,Hold_Yrs+1)*Exit_Px*(1-Exit_Cost)+SUMPRODUCT(($C$613:$L$613&gt;Hold_Yrs-ROUND(Rec_Lag,0))*($C$613:$L$613&lt;=Hold_Yrs)*$C746:$L746)*(1-Sev))</f>
        <v>0</v>
      </c>
    </row>
    <row r="2565" customFormat="false" ht="15" hidden="false" customHeight="false" outlineLevel="0" collapsed="false">
      <c r="B2565" s="108" t="n">
        <f aca="false">'Loan Tape'!$A137</f>
        <v>0</v>
      </c>
      <c r="C2565" s="71" t="n">
        <f aca="false">IF('Loan Tape'!$AN137=0,0,INDEX($C141:$M141,1,Hold_Yrs+1)*Exit_Px*(1-Exit_Cost)+SUMPRODUCT(($C$613:$L$613&gt;Hold_Yrs-ROUND(Rec_Lag,0))*($C$613:$L$613&lt;=Hold_Yrs)*$C747:$L747)*(1-Sev))</f>
        <v>0</v>
      </c>
    </row>
    <row r="2566" customFormat="false" ht="15" hidden="false" customHeight="false" outlineLevel="0" collapsed="false">
      <c r="B2566" s="102" t="n">
        <f aca="false">'Loan Tape'!$A138</f>
        <v>0</v>
      </c>
      <c r="C2566" s="99" t="n">
        <f aca="false">IF('Loan Tape'!$AN138=0,0,INDEX($C142:$M142,1,Hold_Yrs+1)*Exit_Px*(1-Exit_Cost)+SUMPRODUCT(($C$613:$L$613&gt;Hold_Yrs-ROUND(Rec_Lag,0))*($C$613:$L$613&lt;=Hold_Yrs)*$C748:$L748)*(1-Sev))</f>
        <v>0</v>
      </c>
    </row>
    <row r="2567" customFormat="false" ht="15" hidden="false" customHeight="false" outlineLevel="0" collapsed="false">
      <c r="B2567" s="108" t="n">
        <f aca="false">'Loan Tape'!$A139</f>
        <v>0</v>
      </c>
      <c r="C2567" s="71" t="n">
        <f aca="false">IF('Loan Tape'!$AN139=0,0,INDEX($C143:$M143,1,Hold_Yrs+1)*Exit_Px*(1-Exit_Cost)+SUMPRODUCT(($C$613:$L$613&gt;Hold_Yrs-ROUND(Rec_Lag,0))*($C$613:$L$613&lt;=Hold_Yrs)*$C749:$L749)*(1-Sev))</f>
        <v>0</v>
      </c>
    </row>
    <row r="2568" customFormat="false" ht="15" hidden="false" customHeight="false" outlineLevel="0" collapsed="false">
      <c r="B2568" s="102" t="n">
        <f aca="false">'Loan Tape'!$A140</f>
        <v>0</v>
      </c>
      <c r="C2568" s="99" t="n">
        <f aca="false">IF('Loan Tape'!$AN140=0,0,INDEX($C144:$M144,1,Hold_Yrs+1)*Exit_Px*(1-Exit_Cost)+SUMPRODUCT(($C$613:$L$613&gt;Hold_Yrs-ROUND(Rec_Lag,0))*($C$613:$L$613&lt;=Hold_Yrs)*$C750:$L750)*(1-Sev))</f>
        <v>0</v>
      </c>
    </row>
    <row r="2569" customFormat="false" ht="15" hidden="false" customHeight="false" outlineLevel="0" collapsed="false">
      <c r="B2569" s="108" t="n">
        <f aca="false">'Loan Tape'!$A141</f>
        <v>0</v>
      </c>
      <c r="C2569" s="71" t="n">
        <f aca="false">IF('Loan Tape'!$AN141=0,0,INDEX($C145:$M145,1,Hold_Yrs+1)*Exit_Px*(1-Exit_Cost)+SUMPRODUCT(($C$613:$L$613&gt;Hold_Yrs-ROUND(Rec_Lag,0))*($C$613:$L$613&lt;=Hold_Yrs)*$C751:$L751)*(1-Sev))</f>
        <v>0</v>
      </c>
    </row>
    <row r="2570" customFormat="false" ht="15" hidden="false" customHeight="false" outlineLevel="0" collapsed="false">
      <c r="B2570" s="102" t="n">
        <f aca="false">'Loan Tape'!$A142</f>
        <v>0</v>
      </c>
      <c r="C2570" s="99" t="n">
        <f aca="false">IF('Loan Tape'!$AN142=0,0,INDEX($C146:$M146,1,Hold_Yrs+1)*Exit_Px*(1-Exit_Cost)+SUMPRODUCT(($C$613:$L$613&gt;Hold_Yrs-ROUND(Rec_Lag,0))*($C$613:$L$613&lt;=Hold_Yrs)*$C752:$L752)*(1-Sev))</f>
        <v>0</v>
      </c>
    </row>
    <row r="2571" customFormat="false" ht="15" hidden="false" customHeight="false" outlineLevel="0" collapsed="false">
      <c r="B2571" s="108" t="n">
        <f aca="false">'Loan Tape'!$A143</f>
        <v>0</v>
      </c>
      <c r="C2571" s="71" t="n">
        <f aca="false">IF('Loan Tape'!$AN143=0,0,INDEX($C147:$M147,1,Hold_Yrs+1)*Exit_Px*(1-Exit_Cost)+SUMPRODUCT(($C$613:$L$613&gt;Hold_Yrs-ROUND(Rec_Lag,0))*($C$613:$L$613&lt;=Hold_Yrs)*$C753:$L753)*(1-Sev))</f>
        <v>0</v>
      </c>
    </row>
    <row r="2572" customFormat="false" ht="15" hidden="false" customHeight="false" outlineLevel="0" collapsed="false">
      <c r="B2572" s="102" t="n">
        <f aca="false">'Loan Tape'!$A144</f>
        <v>0</v>
      </c>
      <c r="C2572" s="99" t="n">
        <f aca="false">IF('Loan Tape'!$AN144=0,0,INDEX($C148:$M148,1,Hold_Yrs+1)*Exit_Px*(1-Exit_Cost)+SUMPRODUCT(($C$613:$L$613&gt;Hold_Yrs-ROUND(Rec_Lag,0))*($C$613:$L$613&lt;=Hold_Yrs)*$C754:$L754)*(1-Sev))</f>
        <v>0</v>
      </c>
    </row>
    <row r="2573" customFormat="false" ht="15" hidden="false" customHeight="false" outlineLevel="0" collapsed="false">
      <c r="B2573" s="108" t="n">
        <f aca="false">'Loan Tape'!$A145</f>
        <v>0</v>
      </c>
      <c r="C2573" s="71" t="n">
        <f aca="false">IF('Loan Tape'!$AN145=0,0,INDEX($C149:$M149,1,Hold_Yrs+1)*Exit_Px*(1-Exit_Cost)+SUMPRODUCT(($C$613:$L$613&gt;Hold_Yrs-ROUND(Rec_Lag,0))*($C$613:$L$613&lt;=Hold_Yrs)*$C755:$L755)*(1-Sev))</f>
        <v>0</v>
      </c>
    </row>
    <row r="2574" customFormat="false" ht="15" hidden="false" customHeight="false" outlineLevel="0" collapsed="false">
      <c r="B2574" s="102" t="n">
        <f aca="false">'Loan Tape'!$A146</f>
        <v>0</v>
      </c>
      <c r="C2574" s="99" t="n">
        <f aca="false">IF('Loan Tape'!$AN146=0,0,INDEX($C150:$M150,1,Hold_Yrs+1)*Exit_Px*(1-Exit_Cost)+SUMPRODUCT(($C$613:$L$613&gt;Hold_Yrs-ROUND(Rec_Lag,0))*($C$613:$L$613&lt;=Hold_Yrs)*$C756:$L756)*(1-Sev))</f>
        <v>0</v>
      </c>
    </row>
    <row r="2575" customFormat="false" ht="15" hidden="false" customHeight="false" outlineLevel="0" collapsed="false">
      <c r="B2575" s="108" t="n">
        <f aca="false">'Loan Tape'!$A147</f>
        <v>0</v>
      </c>
      <c r="C2575" s="71" t="n">
        <f aca="false">IF('Loan Tape'!$AN147=0,0,INDEX($C151:$M151,1,Hold_Yrs+1)*Exit_Px*(1-Exit_Cost)+SUMPRODUCT(($C$613:$L$613&gt;Hold_Yrs-ROUND(Rec_Lag,0))*($C$613:$L$613&lt;=Hold_Yrs)*$C757:$L757)*(1-Sev))</f>
        <v>0</v>
      </c>
    </row>
    <row r="2576" customFormat="false" ht="15" hidden="false" customHeight="false" outlineLevel="0" collapsed="false">
      <c r="B2576" s="102" t="n">
        <f aca="false">'Loan Tape'!$A148</f>
        <v>0</v>
      </c>
      <c r="C2576" s="99" t="n">
        <f aca="false">IF('Loan Tape'!$AN148=0,0,INDEX($C152:$M152,1,Hold_Yrs+1)*Exit_Px*(1-Exit_Cost)+SUMPRODUCT(($C$613:$L$613&gt;Hold_Yrs-ROUND(Rec_Lag,0))*($C$613:$L$613&lt;=Hold_Yrs)*$C758:$L758)*(1-Sev))</f>
        <v>0</v>
      </c>
    </row>
    <row r="2577" customFormat="false" ht="15" hidden="false" customHeight="false" outlineLevel="0" collapsed="false">
      <c r="B2577" s="108" t="n">
        <f aca="false">'Loan Tape'!$A149</f>
        <v>0</v>
      </c>
      <c r="C2577" s="71" t="n">
        <f aca="false">IF('Loan Tape'!$AN149=0,0,INDEX($C153:$M153,1,Hold_Yrs+1)*Exit_Px*(1-Exit_Cost)+SUMPRODUCT(($C$613:$L$613&gt;Hold_Yrs-ROUND(Rec_Lag,0))*($C$613:$L$613&lt;=Hold_Yrs)*$C759:$L759)*(1-Sev))</f>
        <v>0</v>
      </c>
    </row>
    <row r="2578" customFormat="false" ht="15" hidden="false" customHeight="false" outlineLevel="0" collapsed="false">
      <c r="B2578" s="102" t="n">
        <f aca="false">'Loan Tape'!$A150</f>
        <v>0</v>
      </c>
      <c r="C2578" s="99" t="n">
        <f aca="false">IF('Loan Tape'!$AN150=0,0,INDEX($C154:$M154,1,Hold_Yrs+1)*Exit_Px*(1-Exit_Cost)+SUMPRODUCT(($C$613:$L$613&gt;Hold_Yrs-ROUND(Rec_Lag,0))*($C$613:$L$613&lt;=Hold_Yrs)*$C760:$L760)*(1-Sev))</f>
        <v>0</v>
      </c>
    </row>
    <row r="2579" customFormat="false" ht="15" hidden="false" customHeight="false" outlineLevel="0" collapsed="false">
      <c r="B2579" s="108" t="n">
        <f aca="false">'Loan Tape'!$A151</f>
        <v>0</v>
      </c>
      <c r="C2579" s="71" t="n">
        <f aca="false">IF('Loan Tape'!$AN151=0,0,INDEX($C155:$M155,1,Hold_Yrs+1)*Exit_Px*(1-Exit_Cost)+SUMPRODUCT(($C$613:$L$613&gt;Hold_Yrs-ROUND(Rec_Lag,0))*($C$613:$L$613&lt;=Hold_Yrs)*$C761:$L761)*(1-Sev))</f>
        <v>0</v>
      </c>
    </row>
    <row r="2580" customFormat="false" ht="15" hidden="false" customHeight="false" outlineLevel="0" collapsed="false">
      <c r="B2580" s="102" t="n">
        <f aca="false">'Loan Tape'!$A152</f>
        <v>0</v>
      </c>
      <c r="C2580" s="99" t="n">
        <f aca="false">IF('Loan Tape'!$AN152=0,0,INDEX($C156:$M156,1,Hold_Yrs+1)*Exit_Px*(1-Exit_Cost)+SUMPRODUCT(($C$613:$L$613&gt;Hold_Yrs-ROUND(Rec_Lag,0))*($C$613:$L$613&lt;=Hold_Yrs)*$C762:$L762)*(1-Sev))</f>
        <v>0</v>
      </c>
    </row>
    <row r="2581" customFormat="false" ht="15" hidden="false" customHeight="false" outlineLevel="0" collapsed="false">
      <c r="B2581" s="108" t="n">
        <f aca="false">'Loan Tape'!$A153</f>
        <v>0</v>
      </c>
      <c r="C2581" s="71" t="n">
        <f aca="false">IF('Loan Tape'!$AN153=0,0,INDEX($C157:$M157,1,Hold_Yrs+1)*Exit_Px*(1-Exit_Cost)+SUMPRODUCT(($C$613:$L$613&gt;Hold_Yrs-ROUND(Rec_Lag,0))*($C$613:$L$613&lt;=Hold_Yrs)*$C763:$L763)*(1-Sev))</f>
        <v>0</v>
      </c>
    </row>
    <row r="2582" customFormat="false" ht="15" hidden="false" customHeight="false" outlineLevel="0" collapsed="false">
      <c r="B2582" s="102" t="n">
        <f aca="false">'Loan Tape'!$A154</f>
        <v>0</v>
      </c>
      <c r="C2582" s="99" t="n">
        <f aca="false">IF('Loan Tape'!$AN154=0,0,INDEX($C158:$M158,1,Hold_Yrs+1)*Exit_Px*(1-Exit_Cost)+SUMPRODUCT(($C$613:$L$613&gt;Hold_Yrs-ROUND(Rec_Lag,0))*($C$613:$L$613&lt;=Hold_Yrs)*$C764:$L764)*(1-Sev))</f>
        <v>0</v>
      </c>
    </row>
    <row r="2583" customFormat="false" ht="15" hidden="false" customHeight="false" outlineLevel="0" collapsed="false">
      <c r="B2583" s="108" t="n">
        <f aca="false">'Loan Tape'!$A155</f>
        <v>0</v>
      </c>
      <c r="C2583" s="71" t="n">
        <f aca="false">IF('Loan Tape'!$AN155=0,0,INDEX($C159:$M159,1,Hold_Yrs+1)*Exit_Px*(1-Exit_Cost)+SUMPRODUCT(($C$613:$L$613&gt;Hold_Yrs-ROUND(Rec_Lag,0))*($C$613:$L$613&lt;=Hold_Yrs)*$C765:$L765)*(1-Sev))</f>
        <v>0</v>
      </c>
    </row>
    <row r="2584" customFormat="false" ht="15" hidden="false" customHeight="false" outlineLevel="0" collapsed="false">
      <c r="B2584" s="102" t="n">
        <f aca="false">'Loan Tape'!$A156</f>
        <v>0</v>
      </c>
      <c r="C2584" s="99" t="n">
        <f aca="false">IF('Loan Tape'!$AN156=0,0,INDEX($C160:$M160,1,Hold_Yrs+1)*Exit_Px*(1-Exit_Cost)+SUMPRODUCT(($C$613:$L$613&gt;Hold_Yrs-ROUND(Rec_Lag,0))*($C$613:$L$613&lt;=Hold_Yrs)*$C766:$L766)*(1-Sev))</f>
        <v>0</v>
      </c>
    </row>
    <row r="2585" customFormat="false" ht="15" hidden="false" customHeight="false" outlineLevel="0" collapsed="false">
      <c r="B2585" s="108" t="n">
        <f aca="false">'Loan Tape'!$A157</f>
        <v>0</v>
      </c>
      <c r="C2585" s="71" t="n">
        <f aca="false">IF('Loan Tape'!$AN157=0,0,INDEX($C161:$M161,1,Hold_Yrs+1)*Exit_Px*(1-Exit_Cost)+SUMPRODUCT(($C$613:$L$613&gt;Hold_Yrs-ROUND(Rec_Lag,0))*($C$613:$L$613&lt;=Hold_Yrs)*$C767:$L767)*(1-Sev))</f>
        <v>0</v>
      </c>
    </row>
    <row r="2586" customFormat="false" ht="15" hidden="false" customHeight="false" outlineLevel="0" collapsed="false">
      <c r="B2586" s="102" t="n">
        <f aca="false">'Loan Tape'!$A158</f>
        <v>0</v>
      </c>
      <c r="C2586" s="99" t="n">
        <f aca="false">IF('Loan Tape'!$AN158=0,0,INDEX($C162:$M162,1,Hold_Yrs+1)*Exit_Px*(1-Exit_Cost)+SUMPRODUCT(($C$613:$L$613&gt;Hold_Yrs-ROUND(Rec_Lag,0))*($C$613:$L$613&lt;=Hold_Yrs)*$C768:$L768)*(1-Sev))</f>
        <v>0</v>
      </c>
    </row>
    <row r="2587" customFormat="false" ht="15" hidden="false" customHeight="false" outlineLevel="0" collapsed="false">
      <c r="B2587" s="108" t="n">
        <f aca="false">'Loan Tape'!$A159</f>
        <v>0</v>
      </c>
      <c r="C2587" s="71" t="n">
        <f aca="false">IF('Loan Tape'!$AN159=0,0,INDEX($C163:$M163,1,Hold_Yrs+1)*Exit_Px*(1-Exit_Cost)+SUMPRODUCT(($C$613:$L$613&gt;Hold_Yrs-ROUND(Rec_Lag,0))*($C$613:$L$613&lt;=Hold_Yrs)*$C769:$L769)*(1-Sev))</f>
        <v>0</v>
      </c>
    </row>
    <row r="2588" customFormat="false" ht="15" hidden="false" customHeight="false" outlineLevel="0" collapsed="false">
      <c r="B2588" s="102" t="n">
        <f aca="false">'Loan Tape'!$A160</f>
        <v>0</v>
      </c>
      <c r="C2588" s="99" t="n">
        <f aca="false">IF('Loan Tape'!$AN160=0,0,INDEX($C164:$M164,1,Hold_Yrs+1)*Exit_Px*(1-Exit_Cost)+SUMPRODUCT(($C$613:$L$613&gt;Hold_Yrs-ROUND(Rec_Lag,0))*($C$613:$L$613&lt;=Hold_Yrs)*$C770:$L770)*(1-Sev))</f>
        <v>0</v>
      </c>
    </row>
    <row r="2589" customFormat="false" ht="15" hidden="false" customHeight="false" outlineLevel="0" collapsed="false">
      <c r="B2589" s="108" t="n">
        <f aca="false">'Loan Tape'!$A161</f>
        <v>0</v>
      </c>
      <c r="C2589" s="71" t="n">
        <f aca="false">IF('Loan Tape'!$AN161=0,0,INDEX($C165:$M165,1,Hold_Yrs+1)*Exit_Px*(1-Exit_Cost)+SUMPRODUCT(($C$613:$L$613&gt;Hold_Yrs-ROUND(Rec_Lag,0))*($C$613:$L$613&lt;=Hold_Yrs)*$C771:$L771)*(1-Sev))</f>
        <v>0</v>
      </c>
    </row>
    <row r="2590" customFormat="false" ht="15" hidden="false" customHeight="false" outlineLevel="0" collapsed="false">
      <c r="B2590" s="102" t="n">
        <f aca="false">'Loan Tape'!$A162</f>
        <v>0</v>
      </c>
      <c r="C2590" s="99" t="n">
        <f aca="false">IF('Loan Tape'!$AN162=0,0,INDEX($C166:$M166,1,Hold_Yrs+1)*Exit_Px*(1-Exit_Cost)+SUMPRODUCT(($C$613:$L$613&gt;Hold_Yrs-ROUND(Rec_Lag,0))*($C$613:$L$613&lt;=Hold_Yrs)*$C772:$L772)*(1-Sev))</f>
        <v>0</v>
      </c>
    </row>
    <row r="2591" customFormat="false" ht="15" hidden="false" customHeight="false" outlineLevel="0" collapsed="false">
      <c r="B2591" s="108" t="n">
        <f aca="false">'Loan Tape'!$A163</f>
        <v>0</v>
      </c>
      <c r="C2591" s="71" t="n">
        <f aca="false">IF('Loan Tape'!$AN163=0,0,INDEX($C167:$M167,1,Hold_Yrs+1)*Exit_Px*(1-Exit_Cost)+SUMPRODUCT(($C$613:$L$613&gt;Hold_Yrs-ROUND(Rec_Lag,0))*($C$613:$L$613&lt;=Hold_Yrs)*$C773:$L773)*(1-Sev))</f>
        <v>0</v>
      </c>
    </row>
    <row r="2592" customFormat="false" ht="15" hidden="false" customHeight="false" outlineLevel="0" collapsed="false">
      <c r="B2592" s="102" t="n">
        <f aca="false">'Loan Tape'!$A164</f>
        <v>0</v>
      </c>
      <c r="C2592" s="99" t="n">
        <f aca="false">IF('Loan Tape'!$AN164=0,0,INDEX($C168:$M168,1,Hold_Yrs+1)*Exit_Px*(1-Exit_Cost)+SUMPRODUCT(($C$613:$L$613&gt;Hold_Yrs-ROUND(Rec_Lag,0))*($C$613:$L$613&lt;=Hold_Yrs)*$C774:$L774)*(1-Sev))</f>
        <v>0</v>
      </c>
    </row>
    <row r="2593" customFormat="false" ht="15" hidden="false" customHeight="false" outlineLevel="0" collapsed="false">
      <c r="B2593" s="108" t="n">
        <f aca="false">'Loan Tape'!$A165</f>
        <v>0</v>
      </c>
      <c r="C2593" s="71" t="n">
        <f aca="false">IF('Loan Tape'!$AN165=0,0,INDEX($C169:$M169,1,Hold_Yrs+1)*Exit_Px*(1-Exit_Cost)+SUMPRODUCT(($C$613:$L$613&gt;Hold_Yrs-ROUND(Rec_Lag,0))*($C$613:$L$613&lt;=Hold_Yrs)*$C775:$L775)*(1-Sev))</f>
        <v>0</v>
      </c>
    </row>
    <row r="2594" customFormat="false" ht="15" hidden="false" customHeight="false" outlineLevel="0" collapsed="false">
      <c r="B2594" s="102" t="n">
        <f aca="false">'Loan Tape'!$A166</f>
        <v>0</v>
      </c>
      <c r="C2594" s="99" t="n">
        <f aca="false">IF('Loan Tape'!$AN166=0,0,INDEX($C170:$M170,1,Hold_Yrs+1)*Exit_Px*(1-Exit_Cost)+SUMPRODUCT(($C$613:$L$613&gt;Hold_Yrs-ROUND(Rec_Lag,0))*($C$613:$L$613&lt;=Hold_Yrs)*$C776:$L776)*(1-Sev))</f>
        <v>0</v>
      </c>
    </row>
    <row r="2595" customFormat="false" ht="15" hidden="false" customHeight="false" outlineLevel="0" collapsed="false">
      <c r="B2595" s="108" t="n">
        <f aca="false">'Loan Tape'!$A167</f>
        <v>0</v>
      </c>
      <c r="C2595" s="71" t="n">
        <f aca="false">IF('Loan Tape'!$AN167=0,0,INDEX($C171:$M171,1,Hold_Yrs+1)*Exit_Px*(1-Exit_Cost)+SUMPRODUCT(($C$613:$L$613&gt;Hold_Yrs-ROUND(Rec_Lag,0))*($C$613:$L$613&lt;=Hold_Yrs)*$C777:$L777)*(1-Sev))</f>
        <v>0</v>
      </c>
    </row>
    <row r="2596" customFormat="false" ht="15" hidden="false" customHeight="false" outlineLevel="0" collapsed="false">
      <c r="B2596" s="102" t="n">
        <f aca="false">'Loan Tape'!$A168</f>
        <v>0</v>
      </c>
      <c r="C2596" s="99" t="n">
        <f aca="false">IF('Loan Tape'!$AN168=0,0,INDEX($C172:$M172,1,Hold_Yrs+1)*Exit_Px*(1-Exit_Cost)+SUMPRODUCT(($C$613:$L$613&gt;Hold_Yrs-ROUND(Rec_Lag,0))*($C$613:$L$613&lt;=Hold_Yrs)*$C778:$L778)*(1-Sev))</f>
        <v>0</v>
      </c>
    </row>
    <row r="2597" customFormat="false" ht="15" hidden="false" customHeight="false" outlineLevel="0" collapsed="false">
      <c r="B2597" s="108" t="n">
        <f aca="false">'Loan Tape'!$A169</f>
        <v>0</v>
      </c>
      <c r="C2597" s="71" t="n">
        <f aca="false">IF('Loan Tape'!$AN169=0,0,INDEX($C173:$M173,1,Hold_Yrs+1)*Exit_Px*(1-Exit_Cost)+SUMPRODUCT(($C$613:$L$613&gt;Hold_Yrs-ROUND(Rec_Lag,0))*($C$613:$L$613&lt;=Hold_Yrs)*$C779:$L779)*(1-Sev))</f>
        <v>0</v>
      </c>
    </row>
    <row r="2598" customFormat="false" ht="15" hidden="false" customHeight="false" outlineLevel="0" collapsed="false">
      <c r="B2598" s="102" t="n">
        <f aca="false">'Loan Tape'!$A170</f>
        <v>0</v>
      </c>
      <c r="C2598" s="99" t="n">
        <f aca="false">IF('Loan Tape'!$AN170=0,0,INDEX($C174:$M174,1,Hold_Yrs+1)*Exit_Px*(1-Exit_Cost)+SUMPRODUCT(($C$613:$L$613&gt;Hold_Yrs-ROUND(Rec_Lag,0))*($C$613:$L$613&lt;=Hold_Yrs)*$C780:$L780)*(1-Sev))</f>
        <v>0</v>
      </c>
    </row>
    <row r="2599" customFormat="false" ht="15" hidden="false" customHeight="false" outlineLevel="0" collapsed="false">
      <c r="B2599" s="108" t="n">
        <f aca="false">'Loan Tape'!$A171</f>
        <v>0</v>
      </c>
      <c r="C2599" s="71" t="n">
        <f aca="false">IF('Loan Tape'!$AN171=0,0,INDEX($C175:$M175,1,Hold_Yrs+1)*Exit_Px*(1-Exit_Cost)+SUMPRODUCT(($C$613:$L$613&gt;Hold_Yrs-ROUND(Rec_Lag,0))*($C$613:$L$613&lt;=Hold_Yrs)*$C781:$L781)*(1-Sev))</f>
        <v>0</v>
      </c>
    </row>
    <row r="2600" customFormat="false" ht="15" hidden="false" customHeight="false" outlineLevel="0" collapsed="false">
      <c r="B2600" s="102" t="n">
        <f aca="false">'Loan Tape'!$A172</f>
        <v>0</v>
      </c>
      <c r="C2600" s="99" t="n">
        <f aca="false">IF('Loan Tape'!$AN172=0,0,INDEX($C176:$M176,1,Hold_Yrs+1)*Exit_Px*(1-Exit_Cost)+SUMPRODUCT(($C$613:$L$613&gt;Hold_Yrs-ROUND(Rec_Lag,0))*($C$613:$L$613&lt;=Hold_Yrs)*$C782:$L782)*(1-Sev))</f>
        <v>0</v>
      </c>
    </row>
    <row r="2601" customFormat="false" ht="15" hidden="false" customHeight="false" outlineLevel="0" collapsed="false">
      <c r="B2601" s="108" t="n">
        <f aca="false">'Loan Tape'!$A173</f>
        <v>0</v>
      </c>
      <c r="C2601" s="71" t="n">
        <f aca="false">IF('Loan Tape'!$AN173=0,0,INDEX($C177:$M177,1,Hold_Yrs+1)*Exit_Px*(1-Exit_Cost)+SUMPRODUCT(($C$613:$L$613&gt;Hold_Yrs-ROUND(Rec_Lag,0))*($C$613:$L$613&lt;=Hold_Yrs)*$C783:$L783)*(1-Sev))</f>
        <v>0</v>
      </c>
    </row>
    <row r="2602" customFormat="false" ht="15" hidden="false" customHeight="false" outlineLevel="0" collapsed="false">
      <c r="B2602" s="102" t="n">
        <f aca="false">'Loan Tape'!$A174</f>
        <v>0</v>
      </c>
      <c r="C2602" s="99" t="n">
        <f aca="false">IF('Loan Tape'!$AN174=0,0,INDEX($C178:$M178,1,Hold_Yrs+1)*Exit_Px*(1-Exit_Cost)+SUMPRODUCT(($C$613:$L$613&gt;Hold_Yrs-ROUND(Rec_Lag,0))*($C$613:$L$613&lt;=Hold_Yrs)*$C784:$L784)*(1-Sev))</f>
        <v>0</v>
      </c>
    </row>
    <row r="2603" customFormat="false" ht="15" hidden="false" customHeight="false" outlineLevel="0" collapsed="false">
      <c r="B2603" s="108" t="n">
        <f aca="false">'Loan Tape'!$A175</f>
        <v>0</v>
      </c>
      <c r="C2603" s="71" t="n">
        <f aca="false">IF('Loan Tape'!$AN175=0,0,INDEX($C179:$M179,1,Hold_Yrs+1)*Exit_Px*(1-Exit_Cost)+SUMPRODUCT(($C$613:$L$613&gt;Hold_Yrs-ROUND(Rec_Lag,0))*($C$613:$L$613&lt;=Hold_Yrs)*$C785:$L785)*(1-Sev))</f>
        <v>0</v>
      </c>
    </row>
    <row r="2604" customFormat="false" ht="15" hidden="false" customHeight="false" outlineLevel="0" collapsed="false">
      <c r="B2604" s="102" t="n">
        <f aca="false">'Loan Tape'!$A176</f>
        <v>0</v>
      </c>
      <c r="C2604" s="99" t="n">
        <f aca="false">IF('Loan Tape'!$AN176=0,0,INDEX($C180:$M180,1,Hold_Yrs+1)*Exit_Px*(1-Exit_Cost)+SUMPRODUCT(($C$613:$L$613&gt;Hold_Yrs-ROUND(Rec_Lag,0))*($C$613:$L$613&lt;=Hold_Yrs)*$C786:$L786)*(1-Sev))</f>
        <v>0</v>
      </c>
    </row>
    <row r="2605" customFormat="false" ht="15" hidden="false" customHeight="false" outlineLevel="0" collapsed="false">
      <c r="B2605" s="108" t="n">
        <f aca="false">'Loan Tape'!$A177</f>
        <v>0</v>
      </c>
      <c r="C2605" s="71" t="n">
        <f aca="false">IF('Loan Tape'!$AN177=0,0,INDEX($C181:$M181,1,Hold_Yrs+1)*Exit_Px*(1-Exit_Cost)+SUMPRODUCT(($C$613:$L$613&gt;Hold_Yrs-ROUND(Rec_Lag,0))*($C$613:$L$613&lt;=Hold_Yrs)*$C787:$L787)*(1-Sev))</f>
        <v>0</v>
      </c>
    </row>
    <row r="2606" customFormat="false" ht="15" hidden="false" customHeight="false" outlineLevel="0" collapsed="false">
      <c r="B2606" s="102" t="n">
        <f aca="false">'Loan Tape'!$A178</f>
        <v>0</v>
      </c>
      <c r="C2606" s="99" t="n">
        <f aca="false">IF('Loan Tape'!$AN178=0,0,INDEX($C182:$M182,1,Hold_Yrs+1)*Exit_Px*(1-Exit_Cost)+SUMPRODUCT(($C$613:$L$613&gt;Hold_Yrs-ROUND(Rec_Lag,0))*($C$613:$L$613&lt;=Hold_Yrs)*$C788:$L788)*(1-Sev))</f>
        <v>0</v>
      </c>
    </row>
    <row r="2607" customFormat="false" ht="15" hidden="false" customHeight="false" outlineLevel="0" collapsed="false">
      <c r="B2607" s="108" t="n">
        <f aca="false">'Loan Tape'!$A179</f>
        <v>0</v>
      </c>
      <c r="C2607" s="71" t="n">
        <f aca="false">IF('Loan Tape'!$AN179=0,0,INDEX($C183:$M183,1,Hold_Yrs+1)*Exit_Px*(1-Exit_Cost)+SUMPRODUCT(($C$613:$L$613&gt;Hold_Yrs-ROUND(Rec_Lag,0))*($C$613:$L$613&lt;=Hold_Yrs)*$C789:$L789)*(1-Sev))</f>
        <v>0</v>
      </c>
    </row>
    <row r="2608" customFormat="false" ht="15" hidden="false" customHeight="false" outlineLevel="0" collapsed="false">
      <c r="B2608" s="102" t="n">
        <f aca="false">'Loan Tape'!$A180</f>
        <v>0</v>
      </c>
      <c r="C2608" s="99" t="n">
        <f aca="false">IF('Loan Tape'!$AN180=0,0,INDEX($C184:$M184,1,Hold_Yrs+1)*Exit_Px*(1-Exit_Cost)+SUMPRODUCT(($C$613:$L$613&gt;Hold_Yrs-ROUND(Rec_Lag,0))*($C$613:$L$613&lt;=Hold_Yrs)*$C790:$L790)*(1-Sev))</f>
        <v>0</v>
      </c>
    </row>
    <row r="2609" customFormat="false" ht="15" hidden="false" customHeight="false" outlineLevel="0" collapsed="false">
      <c r="B2609" s="108" t="n">
        <f aca="false">'Loan Tape'!$A181</f>
        <v>0</v>
      </c>
      <c r="C2609" s="71" t="n">
        <f aca="false">IF('Loan Tape'!$AN181=0,0,INDEX($C185:$M185,1,Hold_Yrs+1)*Exit_Px*(1-Exit_Cost)+SUMPRODUCT(($C$613:$L$613&gt;Hold_Yrs-ROUND(Rec_Lag,0))*($C$613:$L$613&lt;=Hold_Yrs)*$C791:$L791)*(1-Sev))</f>
        <v>0</v>
      </c>
    </row>
    <row r="2610" customFormat="false" ht="15" hidden="false" customHeight="false" outlineLevel="0" collapsed="false">
      <c r="B2610" s="102" t="n">
        <f aca="false">'Loan Tape'!$A182</f>
        <v>0</v>
      </c>
      <c r="C2610" s="99" t="n">
        <f aca="false">IF('Loan Tape'!$AN182=0,0,INDEX($C186:$M186,1,Hold_Yrs+1)*Exit_Px*(1-Exit_Cost)+SUMPRODUCT(($C$613:$L$613&gt;Hold_Yrs-ROUND(Rec_Lag,0))*($C$613:$L$613&lt;=Hold_Yrs)*$C792:$L792)*(1-Sev))</f>
        <v>0</v>
      </c>
    </row>
    <row r="2611" customFormat="false" ht="15" hidden="false" customHeight="false" outlineLevel="0" collapsed="false">
      <c r="B2611" s="108" t="n">
        <f aca="false">'Loan Tape'!$A183</f>
        <v>0</v>
      </c>
      <c r="C2611" s="71" t="n">
        <f aca="false">IF('Loan Tape'!$AN183=0,0,INDEX($C187:$M187,1,Hold_Yrs+1)*Exit_Px*(1-Exit_Cost)+SUMPRODUCT(($C$613:$L$613&gt;Hold_Yrs-ROUND(Rec_Lag,0))*($C$613:$L$613&lt;=Hold_Yrs)*$C793:$L793)*(1-Sev))</f>
        <v>0</v>
      </c>
    </row>
    <row r="2612" customFormat="false" ht="15" hidden="false" customHeight="false" outlineLevel="0" collapsed="false">
      <c r="B2612" s="102" t="n">
        <f aca="false">'Loan Tape'!$A184</f>
        <v>0</v>
      </c>
      <c r="C2612" s="99" t="n">
        <f aca="false">IF('Loan Tape'!$AN184=0,0,INDEX($C188:$M188,1,Hold_Yrs+1)*Exit_Px*(1-Exit_Cost)+SUMPRODUCT(($C$613:$L$613&gt;Hold_Yrs-ROUND(Rec_Lag,0))*($C$613:$L$613&lt;=Hold_Yrs)*$C794:$L794)*(1-Sev))</f>
        <v>0</v>
      </c>
    </row>
    <row r="2613" customFormat="false" ht="15" hidden="false" customHeight="false" outlineLevel="0" collapsed="false">
      <c r="B2613" s="108" t="n">
        <f aca="false">'Loan Tape'!$A185</f>
        <v>0</v>
      </c>
      <c r="C2613" s="71" t="n">
        <f aca="false">IF('Loan Tape'!$AN185=0,0,INDEX($C189:$M189,1,Hold_Yrs+1)*Exit_Px*(1-Exit_Cost)+SUMPRODUCT(($C$613:$L$613&gt;Hold_Yrs-ROUND(Rec_Lag,0))*($C$613:$L$613&lt;=Hold_Yrs)*$C795:$L795)*(1-Sev))</f>
        <v>0</v>
      </c>
    </row>
    <row r="2614" customFormat="false" ht="15" hidden="false" customHeight="false" outlineLevel="0" collapsed="false">
      <c r="B2614" s="102" t="n">
        <f aca="false">'Loan Tape'!$A186</f>
        <v>0</v>
      </c>
      <c r="C2614" s="99" t="n">
        <f aca="false">IF('Loan Tape'!$AN186=0,0,INDEX($C190:$M190,1,Hold_Yrs+1)*Exit_Px*(1-Exit_Cost)+SUMPRODUCT(($C$613:$L$613&gt;Hold_Yrs-ROUND(Rec_Lag,0))*($C$613:$L$613&lt;=Hold_Yrs)*$C796:$L796)*(1-Sev))</f>
        <v>0</v>
      </c>
    </row>
    <row r="2615" customFormat="false" ht="15" hidden="false" customHeight="false" outlineLevel="0" collapsed="false">
      <c r="B2615" s="108" t="n">
        <f aca="false">'Loan Tape'!$A187</f>
        <v>0</v>
      </c>
      <c r="C2615" s="71" t="n">
        <f aca="false">IF('Loan Tape'!$AN187=0,0,INDEX($C191:$M191,1,Hold_Yrs+1)*Exit_Px*(1-Exit_Cost)+SUMPRODUCT(($C$613:$L$613&gt;Hold_Yrs-ROUND(Rec_Lag,0))*($C$613:$L$613&lt;=Hold_Yrs)*$C797:$L797)*(1-Sev))</f>
        <v>0</v>
      </c>
    </row>
    <row r="2616" customFormat="false" ht="15" hidden="false" customHeight="false" outlineLevel="0" collapsed="false">
      <c r="B2616" s="102" t="n">
        <f aca="false">'Loan Tape'!$A188</f>
        <v>0</v>
      </c>
      <c r="C2616" s="99" t="n">
        <f aca="false">IF('Loan Tape'!$AN188=0,0,INDEX($C192:$M192,1,Hold_Yrs+1)*Exit_Px*(1-Exit_Cost)+SUMPRODUCT(($C$613:$L$613&gt;Hold_Yrs-ROUND(Rec_Lag,0))*($C$613:$L$613&lt;=Hold_Yrs)*$C798:$L798)*(1-Sev))</f>
        <v>0</v>
      </c>
    </row>
    <row r="2617" customFormat="false" ht="15" hidden="false" customHeight="false" outlineLevel="0" collapsed="false">
      <c r="B2617" s="108" t="n">
        <f aca="false">'Loan Tape'!$A189</f>
        <v>0</v>
      </c>
      <c r="C2617" s="71" t="n">
        <f aca="false">IF('Loan Tape'!$AN189=0,0,INDEX($C193:$M193,1,Hold_Yrs+1)*Exit_Px*(1-Exit_Cost)+SUMPRODUCT(($C$613:$L$613&gt;Hold_Yrs-ROUND(Rec_Lag,0))*($C$613:$L$613&lt;=Hold_Yrs)*$C799:$L799)*(1-Sev))</f>
        <v>0</v>
      </c>
    </row>
    <row r="2618" customFormat="false" ht="15" hidden="false" customHeight="false" outlineLevel="0" collapsed="false">
      <c r="B2618" s="102" t="n">
        <f aca="false">'Loan Tape'!$A190</f>
        <v>0</v>
      </c>
      <c r="C2618" s="99" t="n">
        <f aca="false">IF('Loan Tape'!$AN190=0,0,INDEX($C194:$M194,1,Hold_Yrs+1)*Exit_Px*(1-Exit_Cost)+SUMPRODUCT(($C$613:$L$613&gt;Hold_Yrs-ROUND(Rec_Lag,0))*($C$613:$L$613&lt;=Hold_Yrs)*$C800:$L800)*(1-Sev))</f>
        <v>0</v>
      </c>
    </row>
    <row r="2619" customFormat="false" ht="15" hidden="false" customHeight="false" outlineLevel="0" collapsed="false">
      <c r="B2619" s="108" t="n">
        <f aca="false">'Loan Tape'!$A191</f>
        <v>0</v>
      </c>
      <c r="C2619" s="71" t="n">
        <f aca="false">IF('Loan Tape'!$AN191=0,0,INDEX($C195:$M195,1,Hold_Yrs+1)*Exit_Px*(1-Exit_Cost)+SUMPRODUCT(($C$613:$L$613&gt;Hold_Yrs-ROUND(Rec_Lag,0))*($C$613:$L$613&lt;=Hold_Yrs)*$C801:$L801)*(1-Sev))</f>
        <v>0</v>
      </c>
    </row>
    <row r="2620" customFormat="false" ht="15" hidden="false" customHeight="false" outlineLevel="0" collapsed="false">
      <c r="B2620" s="102" t="n">
        <f aca="false">'Loan Tape'!$A192</f>
        <v>0</v>
      </c>
      <c r="C2620" s="99" t="n">
        <f aca="false">IF('Loan Tape'!$AN192=0,0,INDEX($C196:$M196,1,Hold_Yrs+1)*Exit_Px*(1-Exit_Cost)+SUMPRODUCT(($C$613:$L$613&gt;Hold_Yrs-ROUND(Rec_Lag,0))*($C$613:$L$613&lt;=Hold_Yrs)*$C802:$L802)*(1-Sev))</f>
        <v>0</v>
      </c>
    </row>
    <row r="2621" customFormat="false" ht="15" hidden="false" customHeight="false" outlineLevel="0" collapsed="false">
      <c r="B2621" s="108" t="n">
        <f aca="false">'Loan Tape'!$A193</f>
        <v>0</v>
      </c>
      <c r="C2621" s="71" t="n">
        <f aca="false">IF('Loan Tape'!$AN193=0,0,INDEX($C197:$M197,1,Hold_Yrs+1)*Exit_Px*(1-Exit_Cost)+SUMPRODUCT(($C$613:$L$613&gt;Hold_Yrs-ROUND(Rec_Lag,0))*($C$613:$L$613&lt;=Hold_Yrs)*$C803:$L803)*(1-Sev))</f>
        <v>0</v>
      </c>
    </row>
    <row r="2622" customFormat="false" ht="15" hidden="false" customHeight="false" outlineLevel="0" collapsed="false">
      <c r="B2622" s="102" t="n">
        <f aca="false">'Loan Tape'!$A194</f>
        <v>0</v>
      </c>
      <c r="C2622" s="99" t="n">
        <f aca="false">IF('Loan Tape'!$AN194=0,0,INDEX($C198:$M198,1,Hold_Yrs+1)*Exit_Px*(1-Exit_Cost)+SUMPRODUCT(($C$613:$L$613&gt;Hold_Yrs-ROUND(Rec_Lag,0))*($C$613:$L$613&lt;=Hold_Yrs)*$C804:$L804)*(1-Sev))</f>
        <v>0</v>
      </c>
    </row>
    <row r="2623" customFormat="false" ht="15" hidden="false" customHeight="false" outlineLevel="0" collapsed="false">
      <c r="B2623" s="108" t="n">
        <f aca="false">'Loan Tape'!$A195</f>
        <v>0</v>
      </c>
      <c r="C2623" s="71" t="n">
        <f aca="false">IF('Loan Tape'!$AN195=0,0,INDEX($C199:$M199,1,Hold_Yrs+1)*Exit_Px*(1-Exit_Cost)+SUMPRODUCT(($C$613:$L$613&gt;Hold_Yrs-ROUND(Rec_Lag,0))*($C$613:$L$613&lt;=Hold_Yrs)*$C805:$L805)*(1-Sev))</f>
        <v>0</v>
      </c>
    </row>
    <row r="2624" customFormat="false" ht="15" hidden="false" customHeight="false" outlineLevel="0" collapsed="false">
      <c r="B2624" s="102" t="n">
        <f aca="false">'Loan Tape'!$A196</f>
        <v>0</v>
      </c>
      <c r="C2624" s="99" t="n">
        <f aca="false">IF('Loan Tape'!$AN196=0,0,INDEX($C200:$M200,1,Hold_Yrs+1)*Exit_Px*(1-Exit_Cost)+SUMPRODUCT(($C$613:$L$613&gt;Hold_Yrs-ROUND(Rec_Lag,0))*($C$613:$L$613&lt;=Hold_Yrs)*$C806:$L806)*(1-Sev))</f>
        <v>0</v>
      </c>
    </row>
    <row r="2625" customFormat="false" ht="15" hidden="false" customHeight="false" outlineLevel="0" collapsed="false">
      <c r="B2625" s="108" t="n">
        <f aca="false">'Loan Tape'!$A197</f>
        <v>0</v>
      </c>
      <c r="C2625" s="71" t="n">
        <f aca="false">IF('Loan Tape'!$AN197=0,0,INDEX($C201:$M201,1,Hold_Yrs+1)*Exit_Px*(1-Exit_Cost)+SUMPRODUCT(($C$613:$L$613&gt;Hold_Yrs-ROUND(Rec_Lag,0))*($C$613:$L$613&lt;=Hold_Yrs)*$C807:$L807)*(1-Sev))</f>
        <v>0</v>
      </c>
    </row>
    <row r="2626" customFormat="false" ht="15" hidden="false" customHeight="false" outlineLevel="0" collapsed="false">
      <c r="B2626" s="102" t="n">
        <f aca="false">'Loan Tape'!$A198</f>
        <v>0</v>
      </c>
      <c r="C2626" s="99" t="n">
        <f aca="false">IF('Loan Tape'!$AN198=0,0,INDEX($C202:$M202,1,Hold_Yrs+1)*Exit_Px*(1-Exit_Cost)+SUMPRODUCT(($C$613:$L$613&gt;Hold_Yrs-ROUND(Rec_Lag,0))*($C$613:$L$613&lt;=Hold_Yrs)*$C808:$L808)*(1-Sev))</f>
        <v>0</v>
      </c>
    </row>
    <row r="2627" customFormat="false" ht="15" hidden="false" customHeight="false" outlineLevel="0" collapsed="false">
      <c r="B2627" s="108" t="n">
        <f aca="false">'Loan Tape'!$A199</f>
        <v>0</v>
      </c>
      <c r="C2627" s="71" t="n">
        <f aca="false">IF('Loan Tape'!$AN199=0,0,INDEX($C203:$M203,1,Hold_Yrs+1)*Exit_Px*(1-Exit_Cost)+SUMPRODUCT(($C$613:$L$613&gt;Hold_Yrs-ROUND(Rec_Lag,0))*($C$613:$L$613&lt;=Hold_Yrs)*$C809:$L809)*(1-Sev))</f>
        <v>0</v>
      </c>
    </row>
    <row r="2628" customFormat="false" ht="15" hidden="false" customHeight="false" outlineLevel="0" collapsed="false">
      <c r="B2628" s="102" t="n">
        <f aca="false">'Loan Tape'!$A200</f>
        <v>0</v>
      </c>
      <c r="C2628" s="99" t="n">
        <f aca="false">IF('Loan Tape'!$AN200=0,0,INDEX($C204:$M204,1,Hold_Yrs+1)*Exit_Px*(1-Exit_Cost)+SUMPRODUCT(($C$613:$L$613&gt;Hold_Yrs-ROUND(Rec_Lag,0))*($C$613:$L$613&lt;=Hold_Yrs)*$C810:$L810)*(1-Sev))</f>
        <v>0</v>
      </c>
    </row>
    <row r="2629" customFormat="false" ht="15" hidden="false" customHeight="false" outlineLevel="0" collapsed="false">
      <c r="B2629" s="108" t="n">
        <f aca="false">'Loan Tape'!$A201</f>
        <v>0</v>
      </c>
      <c r="C2629" s="71" t="n">
        <f aca="false">IF('Loan Tape'!$AN201=0,0,INDEX($C205:$M205,1,Hold_Yrs+1)*Exit_Px*(1-Exit_Cost)+SUMPRODUCT(($C$613:$L$613&gt;Hold_Yrs-ROUND(Rec_Lag,0))*($C$613:$L$613&lt;=Hold_Yrs)*$C811:$L811)*(1-Sev))</f>
        <v>0</v>
      </c>
    </row>
    <row r="2630" customFormat="false" ht="15" hidden="false" customHeight="false" outlineLevel="0" collapsed="false">
      <c r="B2630" s="102" t="n">
        <f aca="false">'Loan Tape'!$A202</f>
        <v>0</v>
      </c>
      <c r="C2630" s="99" t="n">
        <f aca="false">IF('Loan Tape'!$AN202=0,0,INDEX($C206:$M206,1,Hold_Yrs+1)*Exit_Px*(1-Exit_Cost)+SUMPRODUCT(($C$613:$L$613&gt;Hold_Yrs-ROUND(Rec_Lag,0))*($C$613:$L$613&lt;=Hold_Yrs)*$C812:$L812)*(1-Sev))</f>
        <v>0</v>
      </c>
    </row>
    <row r="2631" customFormat="false" ht="15" hidden="false" customHeight="false" outlineLevel="0" collapsed="false">
      <c r="B2631" s="108" t="n">
        <f aca="false">'Loan Tape'!$A203</f>
        <v>0</v>
      </c>
      <c r="C2631" s="71" t="n">
        <f aca="false">IF('Loan Tape'!$AN203=0,0,INDEX($C207:$M207,1,Hold_Yrs+1)*Exit_Px*(1-Exit_Cost)+SUMPRODUCT(($C$613:$L$613&gt;Hold_Yrs-ROUND(Rec_Lag,0))*($C$613:$L$613&lt;=Hold_Yrs)*$C813:$L813)*(1-Sev))</f>
        <v>0</v>
      </c>
    </row>
    <row r="2632" customFormat="false" ht="15" hidden="false" customHeight="false" outlineLevel="0" collapsed="false">
      <c r="B2632" s="102" t="n">
        <f aca="false">'Loan Tape'!$A204</f>
        <v>0</v>
      </c>
      <c r="C2632" s="99" t="n">
        <f aca="false">IF('Loan Tape'!$AN204=0,0,INDEX($C208:$M208,1,Hold_Yrs+1)*Exit_Px*(1-Exit_Cost)+SUMPRODUCT(($C$613:$L$613&gt;Hold_Yrs-ROUND(Rec_Lag,0))*($C$613:$L$613&lt;=Hold_Yrs)*$C814:$L814)*(1-Sev))</f>
        <v>0</v>
      </c>
    </row>
    <row r="2633" customFormat="false" ht="15" hidden="false" customHeight="false" outlineLevel="0" collapsed="false">
      <c r="B2633" s="108" t="n">
        <f aca="false">'Loan Tape'!$A205</f>
        <v>0</v>
      </c>
      <c r="C2633" s="71" t="n">
        <f aca="false">IF('Loan Tape'!$AN205=0,0,INDEX($C209:$M209,1,Hold_Yrs+1)*Exit_Px*(1-Exit_Cost)+SUMPRODUCT(($C$613:$L$613&gt;Hold_Yrs-ROUND(Rec_Lag,0))*($C$613:$L$613&lt;=Hold_Yrs)*$C815:$L815)*(1-Sev))</f>
        <v>0</v>
      </c>
    </row>
    <row r="2634" customFormat="false" ht="15" hidden="false" customHeight="false" outlineLevel="0" collapsed="false">
      <c r="B2634" s="102" t="n">
        <f aca="false">'Loan Tape'!$A206</f>
        <v>0</v>
      </c>
      <c r="C2634" s="99" t="n">
        <f aca="false">IF('Loan Tape'!$AN206=0,0,INDEX($C210:$M210,1,Hold_Yrs+1)*Exit_Px*(1-Exit_Cost)+SUMPRODUCT(($C$613:$L$613&gt;Hold_Yrs-ROUND(Rec_Lag,0))*($C$613:$L$613&lt;=Hold_Yrs)*$C816:$L816)*(1-Sev))</f>
        <v>0</v>
      </c>
    </row>
    <row r="2635" customFormat="false" ht="15" hidden="false" customHeight="false" outlineLevel="0" collapsed="false">
      <c r="B2635" s="108" t="n">
        <f aca="false">'Loan Tape'!$A207</f>
        <v>0</v>
      </c>
      <c r="C2635" s="71" t="n">
        <f aca="false">IF('Loan Tape'!$AN207=0,0,INDEX($C211:$M211,1,Hold_Yrs+1)*Exit_Px*(1-Exit_Cost)+SUMPRODUCT(($C$613:$L$613&gt;Hold_Yrs-ROUND(Rec_Lag,0))*($C$613:$L$613&lt;=Hold_Yrs)*$C817:$L817)*(1-Sev))</f>
        <v>0</v>
      </c>
    </row>
    <row r="2636" customFormat="false" ht="15" hidden="false" customHeight="false" outlineLevel="0" collapsed="false">
      <c r="B2636" s="102" t="n">
        <f aca="false">'Loan Tape'!$A208</f>
        <v>0</v>
      </c>
      <c r="C2636" s="99" t="n">
        <f aca="false">IF('Loan Tape'!$AN208=0,0,INDEX($C212:$M212,1,Hold_Yrs+1)*Exit_Px*(1-Exit_Cost)+SUMPRODUCT(($C$613:$L$613&gt;Hold_Yrs-ROUND(Rec_Lag,0))*($C$613:$L$613&lt;=Hold_Yrs)*$C818:$L818)*(1-Sev))</f>
        <v>0</v>
      </c>
    </row>
    <row r="2637" customFormat="false" ht="15" hidden="false" customHeight="false" outlineLevel="0" collapsed="false">
      <c r="B2637" s="108" t="n">
        <f aca="false">'Loan Tape'!$A209</f>
        <v>0</v>
      </c>
      <c r="C2637" s="71" t="n">
        <f aca="false">IF('Loan Tape'!$AN209=0,0,INDEX($C213:$M213,1,Hold_Yrs+1)*Exit_Px*(1-Exit_Cost)+SUMPRODUCT(($C$613:$L$613&gt;Hold_Yrs-ROUND(Rec_Lag,0))*($C$613:$L$613&lt;=Hold_Yrs)*$C819:$L819)*(1-Sev))</f>
        <v>0</v>
      </c>
    </row>
    <row r="2638" customFormat="false" ht="15" hidden="false" customHeight="false" outlineLevel="0" collapsed="false">
      <c r="B2638" s="102" t="n">
        <f aca="false">'Loan Tape'!$A210</f>
        <v>0</v>
      </c>
      <c r="C2638" s="99" t="n">
        <f aca="false">IF('Loan Tape'!$AN210=0,0,INDEX($C214:$M214,1,Hold_Yrs+1)*Exit_Px*(1-Exit_Cost)+SUMPRODUCT(($C$613:$L$613&gt;Hold_Yrs-ROUND(Rec_Lag,0))*($C$613:$L$613&lt;=Hold_Yrs)*$C820:$L820)*(1-Sev))</f>
        <v>0</v>
      </c>
    </row>
    <row r="2639" customFormat="false" ht="15" hidden="false" customHeight="false" outlineLevel="0" collapsed="false">
      <c r="B2639" s="108" t="n">
        <f aca="false">'Loan Tape'!$A211</f>
        <v>0</v>
      </c>
      <c r="C2639" s="71" t="n">
        <f aca="false">IF('Loan Tape'!$AN211=0,0,INDEX($C215:$M215,1,Hold_Yrs+1)*Exit_Px*(1-Exit_Cost)+SUMPRODUCT(($C$613:$L$613&gt;Hold_Yrs-ROUND(Rec_Lag,0))*($C$613:$L$613&lt;=Hold_Yrs)*$C821:$L821)*(1-Sev))</f>
        <v>0</v>
      </c>
    </row>
    <row r="2640" customFormat="false" ht="15" hidden="false" customHeight="false" outlineLevel="0" collapsed="false">
      <c r="B2640" s="102" t="n">
        <f aca="false">'Loan Tape'!$A212</f>
        <v>0</v>
      </c>
      <c r="C2640" s="99" t="n">
        <f aca="false">IF('Loan Tape'!$AN212=0,0,INDEX($C216:$M216,1,Hold_Yrs+1)*Exit_Px*(1-Exit_Cost)+SUMPRODUCT(($C$613:$L$613&gt;Hold_Yrs-ROUND(Rec_Lag,0))*($C$613:$L$613&lt;=Hold_Yrs)*$C822:$L822)*(1-Sev))</f>
        <v>0</v>
      </c>
    </row>
    <row r="2641" customFormat="false" ht="15" hidden="false" customHeight="false" outlineLevel="0" collapsed="false">
      <c r="B2641" s="108" t="n">
        <f aca="false">'Loan Tape'!$A213</f>
        <v>0</v>
      </c>
      <c r="C2641" s="71" t="n">
        <f aca="false">IF('Loan Tape'!$AN213=0,0,INDEX($C217:$M217,1,Hold_Yrs+1)*Exit_Px*(1-Exit_Cost)+SUMPRODUCT(($C$613:$L$613&gt;Hold_Yrs-ROUND(Rec_Lag,0))*($C$613:$L$613&lt;=Hold_Yrs)*$C823:$L823)*(1-Sev))</f>
        <v>0</v>
      </c>
    </row>
    <row r="2642" customFormat="false" ht="15" hidden="false" customHeight="false" outlineLevel="0" collapsed="false">
      <c r="B2642" s="102" t="n">
        <f aca="false">'Loan Tape'!$A214</f>
        <v>0</v>
      </c>
      <c r="C2642" s="99" t="n">
        <f aca="false">IF('Loan Tape'!$AN214=0,0,INDEX($C218:$M218,1,Hold_Yrs+1)*Exit_Px*(1-Exit_Cost)+SUMPRODUCT(($C$613:$L$613&gt;Hold_Yrs-ROUND(Rec_Lag,0))*($C$613:$L$613&lt;=Hold_Yrs)*$C824:$L824)*(1-Sev))</f>
        <v>0</v>
      </c>
    </row>
    <row r="2643" customFormat="false" ht="15" hidden="false" customHeight="false" outlineLevel="0" collapsed="false">
      <c r="B2643" s="108" t="n">
        <f aca="false">'Loan Tape'!$A215</f>
        <v>0</v>
      </c>
      <c r="C2643" s="71" t="n">
        <f aca="false">IF('Loan Tape'!$AN215=0,0,INDEX($C219:$M219,1,Hold_Yrs+1)*Exit_Px*(1-Exit_Cost)+SUMPRODUCT(($C$613:$L$613&gt;Hold_Yrs-ROUND(Rec_Lag,0))*($C$613:$L$613&lt;=Hold_Yrs)*$C825:$L825)*(1-Sev))</f>
        <v>0</v>
      </c>
    </row>
    <row r="2644" customFormat="false" ht="15" hidden="false" customHeight="false" outlineLevel="0" collapsed="false">
      <c r="B2644" s="102" t="n">
        <f aca="false">'Loan Tape'!$A216</f>
        <v>0</v>
      </c>
      <c r="C2644" s="99" t="n">
        <f aca="false">IF('Loan Tape'!$AN216=0,0,INDEX($C220:$M220,1,Hold_Yrs+1)*Exit_Px*(1-Exit_Cost)+SUMPRODUCT(($C$613:$L$613&gt;Hold_Yrs-ROUND(Rec_Lag,0))*($C$613:$L$613&lt;=Hold_Yrs)*$C826:$L826)*(1-Sev))</f>
        <v>0</v>
      </c>
    </row>
    <row r="2645" customFormat="false" ht="15" hidden="false" customHeight="false" outlineLevel="0" collapsed="false">
      <c r="B2645" s="108" t="n">
        <f aca="false">'Loan Tape'!$A217</f>
        <v>0</v>
      </c>
      <c r="C2645" s="71" t="n">
        <f aca="false">IF('Loan Tape'!$AN217=0,0,INDEX($C221:$M221,1,Hold_Yrs+1)*Exit_Px*(1-Exit_Cost)+SUMPRODUCT(($C$613:$L$613&gt;Hold_Yrs-ROUND(Rec_Lag,0))*($C$613:$L$613&lt;=Hold_Yrs)*$C827:$L827)*(1-Sev))</f>
        <v>0</v>
      </c>
    </row>
    <row r="2646" customFormat="false" ht="15" hidden="false" customHeight="false" outlineLevel="0" collapsed="false">
      <c r="B2646" s="102" t="n">
        <f aca="false">'Loan Tape'!$A218</f>
        <v>0</v>
      </c>
      <c r="C2646" s="99" t="n">
        <f aca="false">IF('Loan Tape'!$AN218=0,0,INDEX($C222:$M222,1,Hold_Yrs+1)*Exit_Px*(1-Exit_Cost)+SUMPRODUCT(($C$613:$L$613&gt;Hold_Yrs-ROUND(Rec_Lag,0))*($C$613:$L$613&lt;=Hold_Yrs)*$C828:$L828)*(1-Sev))</f>
        <v>0</v>
      </c>
    </row>
    <row r="2647" customFormat="false" ht="15" hidden="false" customHeight="false" outlineLevel="0" collapsed="false">
      <c r="B2647" s="108" t="n">
        <f aca="false">'Loan Tape'!$A219</f>
        <v>0</v>
      </c>
      <c r="C2647" s="71" t="n">
        <f aca="false">IF('Loan Tape'!$AN219=0,0,INDEX($C223:$M223,1,Hold_Yrs+1)*Exit_Px*(1-Exit_Cost)+SUMPRODUCT(($C$613:$L$613&gt;Hold_Yrs-ROUND(Rec_Lag,0))*($C$613:$L$613&lt;=Hold_Yrs)*$C829:$L829)*(1-Sev))</f>
        <v>0</v>
      </c>
    </row>
    <row r="2648" customFormat="false" ht="15" hidden="false" customHeight="false" outlineLevel="0" collapsed="false">
      <c r="B2648" s="102" t="n">
        <f aca="false">'Loan Tape'!$A220</f>
        <v>0</v>
      </c>
      <c r="C2648" s="99" t="n">
        <f aca="false">IF('Loan Tape'!$AN220=0,0,INDEX($C224:$M224,1,Hold_Yrs+1)*Exit_Px*(1-Exit_Cost)+SUMPRODUCT(($C$613:$L$613&gt;Hold_Yrs-ROUND(Rec_Lag,0))*($C$613:$L$613&lt;=Hold_Yrs)*$C830:$L830)*(1-Sev))</f>
        <v>0</v>
      </c>
    </row>
    <row r="2649" customFormat="false" ht="15" hidden="false" customHeight="false" outlineLevel="0" collapsed="false">
      <c r="B2649" s="108" t="n">
        <f aca="false">'Loan Tape'!$A221</f>
        <v>0</v>
      </c>
      <c r="C2649" s="71" t="n">
        <f aca="false">IF('Loan Tape'!$AN221=0,0,INDEX($C225:$M225,1,Hold_Yrs+1)*Exit_Px*(1-Exit_Cost)+SUMPRODUCT(($C$613:$L$613&gt;Hold_Yrs-ROUND(Rec_Lag,0))*($C$613:$L$613&lt;=Hold_Yrs)*$C831:$L831)*(1-Sev))</f>
        <v>0</v>
      </c>
    </row>
    <row r="2650" customFormat="false" ht="15" hidden="false" customHeight="false" outlineLevel="0" collapsed="false">
      <c r="B2650" s="102" t="n">
        <f aca="false">'Loan Tape'!$A222</f>
        <v>0</v>
      </c>
      <c r="C2650" s="99" t="n">
        <f aca="false">IF('Loan Tape'!$AN222=0,0,INDEX($C226:$M226,1,Hold_Yrs+1)*Exit_Px*(1-Exit_Cost)+SUMPRODUCT(($C$613:$L$613&gt;Hold_Yrs-ROUND(Rec_Lag,0))*($C$613:$L$613&lt;=Hold_Yrs)*$C832:$L832)*(1-Sev))</f>
        <v>0</v>
      </c>
    </row>
    <row r="2651" customFormat="false" ht="15" hidden="false" customHeight="false" outlineLevel="0" collapsed="false">
      <c r="B2651" s="108" t="n">
        <f aca="false">'Loan Tape'!$A223</f>
        <v>0</v>
      </c>
      <c r="C2651" s="71" t="n">
        <f aca="false">IF('Loan Tape'!$AN223=0,0,INDEX($C227:$M227,1,Hold_Yrs+1)*Exit_Px*(1-Exit_Cost)+SUMPRODUCT(($C$613:$L$613&gt;Hold_Yrs-ROUND(Rec_Lag,0))*($C$613:$L$613&lt;=Hold_Yrs)*$C833:$L833)*(1-Sev))</f>
        <v>0</v>
      </c>
    </row>
    <row r="2652" customFormat="false" ht="15" hidden="false" customHeight="false" outlineLevel="0" collapsed="false">
      <c r="B2652" s="102" t="n">
        <f aca="false">'Loan Tape'!$A224</f>
        <v>0</v>
      </c>
      <c r="C2652" s="99" t="n">
        <f aca="false">IF('Loan Tape'!$AN224=0,0,INDEX($C228:$M228,1,Hold_Yrs+1)*Exit_Px*(1-Exit_Cost)+SUMPRODUCT(($C$613:$L$613&gt;Hold_Yrs-ROUND(Rec_Lag,0))*($C$613:$L$613&lt;=Hold_Yrs)*$C834:$L834)*(1-Sev))</f>
        <v>0</v>
      </c>
    </row>
    <row r="2653" customFormat="false" ht="15" hidden="false" customHeight="false" outlineLevel="0" collapsed="false">
      <c r="B2653" s="108" t="n">
        <f aca="false">'Loan Tape'!$A225</f>
        <v>0</v>
      </c>
      <c r="C2653" s="71" t="n">
        <f aca="false">IF('Loan Tape'!$AN225=0,0,INDEX($C229:$M229,1,Hold_Yrs+1)*Exit_Px*(1-Exit_Cost)+SUMPRODUCT(($C$613:$L$613&gt;Hold_Yrs-ROUND(Rec_Lag,0))*($C$613:$L$613&lt;=Hold_Yrs)*$C835:$L835)*(1-Sev))</f>
        <v>0</v>
      </c>
    </row>
    <row r="2654" customFormat="false" ht="15" hidden="false" customHeight="false" outlineLevel="0" collapsed="false">
      <c r="B2654" s="102" t="n">
        <f aca="false">'Loan Tape'!$A226</f>
        <v>0</v>
      </c>
      <c r="C2654" s="99" t="n">
        <f aca="false">IF('Loan Tape'!$AN226=0,0,INDEX($C230:$M230,1,Hold_Yrs+1)*Exit_Px*(1-Exit_Cost)+SUMPRODUCT(($C$613:$L$613&gt;Hold_Yrs-ROUND(Rec_Lag,0))*($C$613:$L$613&lt;=Hold_Yrs)*$C836:$L836)*(1-Sev))</f>
        <v>0</v>
      </c>
    </row>
    <row r="2655" customFormat="false" ht="15" hidden="false" customHeight="false" outlineLevel="0" collapsed="false">
      <c r="B2655" s="108" t="n">
        <f aca="false">'Loan Tape'!$A227</f>
        <v>0</v>
      </c>
      <c r="C2655" s="71" t="n">
        <f aca="false">IF('Loan Tape'!$AN227=0,0,INDEX($C231:$M231,1,Hold_Yrs+1)*Exit_Px*(1-Exit_Cost)+SUMPRODUCT(($C$613:$L$613&gt;Hold_Yrs-ROUND(Rec_Lag,0))*($C$613:$L$613&lt;=Hold_Yrs)*$C837:$L837)*(1-Sev))</f>
        <v>0</v>
      </c>
    </row>
    <row r="2656" customFormat="false" ht="15" hidden="false" customHeight="false" outlineLevel="0" collapsed="false">
      <c r="B2656" s="102" t="n">
        <f aca="false">'Loan Tape'!$A228</f>
        <v>0</v>
      </c>
      <c r="C2656" s="99" t="n">
        <f aca="false">IF('Loan Tape'!$AN228=0,0,INDEX($C232:$M232,1,Hold_Yrs+1)*Exit_Px*(1-Exit_Cost)+SUMPRODUCT(($C$613:$L$613&gt;Hold_Yrs-ROUND(Rec_Lag,0))*($C$613:$L$613&lt;=Hold_Yrs)*$C838:$L838)*(1-Sev))</f>
        <v>0</v>
      </c>
    </row>
    <row r="2657" customFormat="false" ht="15" hidden="false" customHeight="false" outlineLevel="0" collapsed="false">
      <c r="B2657" s="108" t="n">
        <f aca="false">'Loan Tape'!$A229</f>
        <v>0</v>
      </c>
      <c r="C2657" s="71" t="n">
        <f aca="false">IF('Loan Tape'!$AN229=0,0,INDEX($C233:$M233,1,Hold_Yrs+1)*Exit_Px*(1-Exit_Cost)+SUMPRODUCT(($C$613:$L$613&gt;Hold_Yrs-ROUND(Rec_Lag,0))*($C$613:$L$613&lt;=Hold_Yrs)*$C839:$L839)*(1-Sev))</f>
        <v>0</v>
      </c>
    </row>
    <row r="2658" customFormat="false" ht="15" hidden="false" customHeight="false" outlineLevel="0" collapsed="false">
      <c r="B2658" s="102" t="n">
        <f aca="false">'Loan Tape'!$A230</f>
        <v>0</v>
      </c>
      <c r="C2658" s="99" t="n">
        <f aca="false">IF('Loan Tape'!$AN230=0,0,INDEX($C234:$M234,1,Hold_Yrs+1)*Exit_Px*(1-Exit_Cost)+SUMPRODUCT(($C$613:$L$613&gt;Hold_Yrs-ROUND(Rec_Lag,0))*($C$613:$L$613&lt;=Hold_Yrs)*$C840:$L840)*(1-Sev))</f>
        <v>0</v>
      </c>
    </row>
    <row r="2659" customFormat="false" ht="15" hidden="false" customHeight="false" outlineLevel="0" collapsed="false">
      <c r="B2659" s="108" t="n">
        <f aca="false">'Loan Tape'!$A231</f>
        <v>0</v>
      </c>
      <c r="C2659" s="71" t="n">
        <f aca="false">IF('Loan Tape'!$AN231=0,0,INDEX($C235:$M235,1,Hold_Yrs+1)*Exit_Px*(1-Exit_Cost)+SUMPRODUCT(($C$613:$L$613&gt;Hold_Yrs-ROUND(Rec_Lag,0))*($C$613:$L$613&lt;=Hold_Yrs)*$C841:$L841)*(1-Sev))</f>
        <v>0</v>
      </c>
    </row>
    <row r="2660" customFormat="false" ht="15" hidden="false" customHeight="false" outlineLevel="0" collapsed="false">
      <c r="B2660" s="102" t="n">
        <f aca="false">'Loan Tape'!$A232</f>
        <v>0</v>
      </c>
      <c r="C2660" s="99" t="n">
        <f aca="false">IF('Loan Tape'!$AN232=0,0,INDEX($C236:$M236,1,Hold_Yrs+1)*Exit_Px*(1-Exit_Cost)+SUMPRODUCT(($C$613:$L$613&gt;Hold_Yrs-ROUND(Rec_Lag,0))*($C$613:$L$613&lt;=Hold_Yrs)*$C842:$L842)*(1-Sev))</f>
        <v>0</v>
      </c>
    </row>
    <row r="2661" customFormat="false" ht="15" hidden="false" customHeight="false" outlineLevel="0" collapsed="false">
      <c r="B2661" s="108" t="n">
        <f aca="false">'Loan Tape'!$A233</f>
        <v>0</v>
      </c>
      <c r="C2661" s="71" t="n">
        <f aca="false">IF('Loan Tape'!$AN233=0,0,INDEX($C237:$M237,1,Hold_Yrs+1)*Exit_Px*(1-Exit_Cost)+SUMPRODUCT(($C$613:$L$613&gt;Hold_Yrs-ROUND(Rec_Lag,0))*($C$613:$L$613&lt;=Hold_Yrs)*$C843:$L843)*(1-Sev))</f>
        <v>0</v>
      </c>
    </row>
    <row r="2662" customFormat="false" ht="15" hidden="false" customHeight="false" outlineLevel="0" collapsed="false">
      <c r="B2662" s="102" t="n">
        <f aca="false">'Loan Tape'!$A234</f>
        <v>0</v>
      </c>
      <c r="C2662" s="99" t="n">
        <f aca="false">IF('Loan Tape'!$AN234=0,0,INDEX($C238:$M238,1,Hold_Yrs+1)*Exit_Px*(1-Exit_Cost)+SUMPRODUCT(($C$613:$L$613&gt;Hold_Yrs-ROUND(Rec_Lag,0))*($C$613:$L$613&lt;=Hold_Yrs)*$C844:$L844)*(1-Sev))</f>
        <v>0</v>
      </c>
    </row>
    <row r="2663" customFormat="false" ht="15" hidden="false" customHeight="false" outlineLevel="0" collapsed="false">
      <c r="B2663" s="108" t="n">
        <f aca="false">'Loan Tape'!$A235</f>
        <v>0</v>
      </c>
      <c r="C2663" s="71" t="n">
        <f aca="false">IF('Loan Tape'!$AN235=0,0,INDEX($C239:$M239,1,Hold_Yrs+1)*Exit_Px*(1-Exit_Cost)+SUMPRODUCT(($C$613:$L$613&gt;Hold_Yrs-ROUND(Rec_Lag,0))*($C$613:$L$613&lt;=Hold_Yrs)*$C845:$L845)*(1-Sev))</f>
        <v>0</v>
      </c>
    </row>
    <row r="2664" customFormat="false" ht="15" hidden="false" customHeight="false" outlineLevel="0" collapsed="false">
      <c r="B2664" s="102" t="n">
        <f aca="false">'Loan Tape'!$A236</f>
        <v>0</v>
      </c>
      <c r="C2664" s="99" t="n">
        <f aca="false">IF('Loan Tape'!$AN236=0,0,INDEX($C240:$M240,1,Hold_Yrs+1)*Exit_Px*(1-Exit_Cost)+SUMPRODUCT(($C$613:$L$613&gt;Hold_Yrs-ROUND(Rec_Lag,0))*($C$613:$L$613&lt;=Hold_Yrs)*$C846:$L846)*(1-Sev))</f>
        <v>0</v>
      </c>
    </row>
    <row r="2665" customFormat="false" ht="15" hidden="false" customHeight="false" outlineLevel="0" collapsed="false">
      <c r="B2665" s="108" t="n">
        <f aca="false">'Loan Tape'!$A237</f>
        <v>0</v>
      </c>
      <c r="C2665" s="71" t="n">
        <f aca="false">IF('Loan Tape'!$AN237=0,0,INDEX($C241:$M241,1,Hold_Yrs+1)*Exit_Px*(1-Exit_Cost)+SUMPRODUCT(($C$613:$L$613&gt;Hold_Yrs-ROUND(Rec_Lag,0))*($C$613:$L$613&lt;=Hold_Yrs)*$C847:$L847)*(1-Sev))</f>
        <v>0</v>
      </c>
    </row>
    <row r="2666" customFormat="false" ht="15" hidden="false" customHeight="false" outlineLevel="0" collapsed="false">
      <c r="B2666" s="102" t="n">
        <f aca="false">'Loan Tape'!$A238</f>
        <v>0</v>
      </c>
      <c r="C2666" s="99" t="n">
        <f aca="false">IF('Loan Tape'!$AN238=0,0,INDEX($C242:$M242,1,Hold_Yrs+1)*Exit_Px*(1-Exit_Cost)+SUMPRODUCT(($C$613:$L$613&gt;Hold_Yrs-ROUND(Rec_Lag,0))*($C$613:$L$613&lt;=Hold_Yrs)*$C848:$L848)*(1-Sev))</f>
        <v>0</v>
      </c>
    </row>
    <row r="2667" customFormat="false" ht="15" hidden="false" customHeight="false" outlineLevel="0" collapsed="false">
      <c r="B2667" s="108" t="n">
        <f aca="false">'Loan Tape'!$A239</f>
        <v>0</v>
      </c>
      <c r="C2667" s="71" t="n">
        <f aca="false">IF('Loan Tape'!$AN239=0,0,INDEX($C243:$M243,1,Hold_Yrs+1)*Exit_Px*(1-Exit_Cost)+SUMPRODUCT(($C$613:$L$613&gt;Hold_Yrs-ROUND(Rec_Lag,0))*($C$613:$L$613&lt;=Hold_Yrs)*$C849:$L849)*(1-Sev))</f>
        <v>0</v>
      </c>
    </row>
    <row r="2668" customFormat="false" ht="15" hidden="false" customHeight="false" outlineLevel="0" collapsed="false">
      <c r="B2668" s="102" t="n">
        <f aca="false">'Loan Tape'!$A240</f>
        <v>0</v>
      </c>
      <c r="C2668" s="99" t="n">
        <f aca="false">IF('Loan Tape'!$AN240=0,0,INDEX($C244:$M244,1,Hold_Yrs+1)*Exit_Px*(1-Exit_Cost)+SUMPRODUCT(($C$613:$L$613&gt;Hold_Yrs-ROUND(Rec_Lag,0))*($C$613:$L$613&lt;=Hold_Yrs)*$C850:$L850)*(1-Sev))</f>
        <v>0</v>
      </c>
    </row>
    <row r="2669" customFormat="false" ht="15" hidden="false" customHeight="false" outlineLevel="0" collapsed="false">
      <c r="B2669" s="108" t="n">
        <f aca="false">'Loan Tape'!$A241</f>
        <v>0</v>
      </c>
      <c r="C2669" s="71" t="n">
        <f aca="false">IF('Loan Tape'!$AN241=0,0,INDEX($C245:$M245,1,Hold_Yrs+1)*Exit_Px*(1-Exit_Cost)+SUMPRODUCT(($C$613:$L$613&gt;Hold_Yrs-ROUND(Rec_Lag,0))*($C$613:$L$613&lt;=Hold_Yrs)*$C851:$L851)*(1-Sev))</f>
        <v>0</v>
      </c>
    </row>
    <row r="2670" customFormat="false" ht="15" hidden="false" customHeight="false" outlineLevel="0" collapsed="false">
      <c r="B2670" s="102" t="n">
        <f aca="false">'Loan Tape'!$A242</f>
        <v>0</v>
      </c>
      <c r="C2670" s="99" t="n">
        <f aca="false">IF('Loan Tape'!$AN242=0,0,INDEX($C246:$M246,1,Hold_Yrs+1)*Exit_Px*(1-Exit_Cost)+SUMPRODUCT(($C$613:$L$613&gt;Hold_Yrs-ROUND(Rec_Lag,0))*($C$613:$L$613&lt;=Hold_Yrs)*$C852:$L852)*(1-Sev))</f>
        <v>0</v>
      </c>
    </row>
    <row r="2671" customFormat="false" ht="15" hidden="false" customHeight="false" outlineLevel="0" collapsed="false">
      <c r="B2671" s="108" t="n">
        <f aca="false">'Loan Tape'!$A243</f>
        <v>0</v>
      </c>
      <c r="C2671" s="71" t="n">
        <f aca="false">IF('Loan Tape'!$AN243=0,0,INDEX($C247:$M247,1,Hold_Yrs+1)*Exit_Px*(1-Exit_Cost)+SUMPRODUCT(($C$613:$L$613&gt;Hold_Yrs-ROUND(Rec_Lag,0))*($C$613:$L$613&lt;=Hold_Yrs)*$C853:$L853)*(1-Sev))</f>
        <v>0</v>
      </c>
    </row>
    <row r="2672" customFormat="false" ht="15" hidden="false" customHeight="false" outlineLevel="0" collapsed="false">
      <c r="B2672" s="102" t="n">
        <f aca="false">'Loan Tape'!$A244</f>
        <v>0</v>
      </c>
      <c r="C2672" s="99" t="n">
        <f aca="false">IF('Loan Tape'!$AN244=0,0,INDEX($C248:$M248,1,Hold_Yrs+1)*Exit_Px*(1-Exit_Cost)+SUMPRODUCT(($C$613:$L$613&gt;Hold_Yrs-ROUND(Rec_Lag,0))*($C$613:$L$613&lt;=Hold_Yrs)*$C854:$L854)*(1-Sev))</f>
        <v>0</v>
      </c>
    </row>
    <row r="2673" customFormat="false" ht="15" hidden="false" customHeight="false" outlineLevel="0" collapsed="false">
      <c r="B2673" s="108" t="n">
        <f aca="false">'Loan Tape'!$A245</f>
        <v>0</v>
      </c>
      <c r="C2673" s="71" t="n">
        <f aca="false">IF('Loan Tape'!$AN245=0,0,INDEX($C249:$M249,1,Hold_Yrs+1)*Exit_Px*(1-Exit_Cost)+SUMPRODUCT(($C$613:$L$613&gt;Hold_Yrs-ROUND(Rec_Lag,0))*($C$613:$L$613&lt;=Hold_Yrs)*$C855:$L855)*(1-Sev))</f>
        <v>0</v>
      </c>
    </row>
    <row r="2674" customFormat="false" ht="15" hidden="false" customHeight="false" outlineLevel="0" collapsed="false">
      <c r="B2674" s="102" t="n">
        <f aca="false">'Loan Tape'!$A246</f>
        <v>0</v>
      </c>
      <c r="C2674" s="99" t="n">
        <f aca="false">IF('Loan Tape'!$AN246=0,0,INDEX($C250:$M250,1,Hold_Yrs+1)*Exit_Px*(1-Exit_Cost)+SUMPRODUCT(($C$613:$L$613&gt;Hold_Yrs-ROUND(Rec_Lag,0))*($C$613:$L$613&lt;=Hold_Yrs)*$C856:$L856)*(1-Sev))</f>
        <v>0</v>
      </c>
    </row>
    <row r="2675" customFormat="false" ht="15" hidden="false" customHeight="false" outlineLevel="0" collapsed="false">
      <c r="B2675" s="108" t="n">
        <f aca="false">'Loan Tape'!$A247</f>
        <v>0</v>
      </c>
      <c r="C2675" s="71" t="n">
        <f aca="false">IF('Loan Tape'!$AN247=0,0,INDEX($C251:$M251,1,Hold_Yrs+1)*Exit_Px*(1-Exit_Cost)+SUMPRODUCT(($C$613:$L$613&gt;Hold_Yrs-ROUND(Rec_Lag,0))*($C$613:$L$613&lt;=Hold_Yrs)*$C857:$L857)*(1-Sev))</f>
        <v>0</v>
      </c>
    </row>
    <row r="2676" customFormat="false" ht="15" hidden="false" customHeight="false" outlineLevel="0" collapsed="false">
      <c r="B2676" s="102" t="n">
        <f aca="false">'Loan Tape'!$A248</f>
        <v>0</v>
      </c>
      <c r="C2676" s="99" t="n">
        <f aca="false">IF('Loan Tape'!$AN248=0,0,INDEX($C252:$M252,1,Hold_Yrs+1)*Exit_Px*(1-Exit_Cost)+SUMPRODUCT(($C$613:$L$613&gt;Hold_Yrs-ROUND(Rec_Lag,0))*($C$613:$L$613&lt;=Hold_Yrs)*$C858:$L858)*(1-Sev))</f>
        <v>0</v>
      </c>
    </row>
    <row r="2677" customFormat="false" ht="15" hidden="false" customHeight="false" outlineLevel="0" collapsed="false">
      <c r="B2677" s="108" t="n">
        <f aca="false">'Loan Tape'!$A249</f>
        <v>0</v>
      </c>
      <c r="C2677" s="71" t="n">
        <f aca="false">IF('Loan Tape'!$AN249=0,0,INDEX($C253:$M253,1,Hold_Yrs+1)*Exit_Px*(1-Exit_Cost)+SUMPRODUCT(($C$613:$L$613&gt;Hold_Yrs-ROUND(Rec_Lag,0))*($C$613:$L$613&lt;=Hold_Yrs)*$C859:$L859)*(1-Sev))</f>
        <v>0</v>
      </c>
    </row>
    <row r="2678" customFormat="false" ht="15" hidden="false" customHeight="false" outlineLevel="0" collapsed="false">
      <c r="B2678" s="102" t="n">
        <f aca="false">'Loan Tape'!$A250</f>
        <v>0</v>
      </c>
      <c r="C2678" s="99" t="n">
        <f aca="false">IF('Loan Tape'!$AN250=0,0,INDEX($C254:$M254,1,Hold_Yrs+1)*Exit_Px*(1-Exit_Cost)+SUMPRODUCT(($C$613:$L$613&gt;Hold_Yrs-ROUND(Rec_Lag,0))*($C$613:$L$613&lt;=Hold_Yrs)*$C860:$L860)*(1-Sev))</f>
        <v>0</v>
      </c>
    </row>
    <row r="2679" customFormat="false" ht="15" hidden="false" customHeight="false" outlineLevel="0" collapsed="false">
      <c r="B2679" s="108" t="n">
        <f aca="false">'Loan Tape'!$A251</f>
        <v>0</v>
      </c>
      <c r="C2679" s="71" t="n">
        <f aca="false">IF('Loan Tape'!$AN251=0,0,INDEX($C255:$M255,1,Hold_Yrs+1)*Exit_Px*(1-Exit_Cost)+SUMPRODUCT(($C$613:$L$613&gt;Hold_Yrs-ROUND(Rec_Lag,0))*($C$613:$L$613&lt;=Hold_Yrs)*$C861:$L861)*(1-Sev))</f>
        <v>0</v>
      </c>
    </row>
    <row r="2680" customFormat="false" ht="15" hidden="false" customHeight="false" outlineLevel="0" collapsed="false">
      <c r="B2680" s="102" t="n">
        <f aca="false">'Loan Tape'!$A252</f>
        <v>0</v>
      </c>
      <c r="C2680" s="99" t="n">
        <f aca="false">IF('Loan Tape'!$AN252=0,0,INDEX($C256:$M256,1,Hold_Yrs+1)*Exit_Px*(1-Exit_Cost)+SUMPRODUCT(($C$613:$L$613&gt;Hold_Yrs-ROUND(Rec_Lag,0))*($C$613:$L$613&lt;=Hold_Yrs)*$C862:$L862)*(1-Sev))</f>
        <v>0</v>
      </c>
    </row>
    <row r="2681" customFormat="false" ht="15" hidden="false" customHeight="false" outlineLevel="0" collapsed="false">
      <c r="B2681" s="108" t="n">
        <f aca="false">'Loan Tape'!$A253</f>
        <v>0</v>
      </c>
      <c r="C2681" s="71" t="n">
        <f aca="false">IF('Loan Tape'!$AN253=0,0,INDEX($C257:$M257,1,Hold_Yrs+1)*Exit_Px*(1-Exit_Cost)+SUMPRODUCT(($C$613:$L$613&gt;Hold_Yrs-ROUND(Rec_Lag,0))*($C$613:$L$613&lt;=Hold_Yrs)*$C863:$L863)*(1-Sev))</f>
        <v>0</v>
      </c>
    </row>
    <row r="2682" customFormat="false" ht="15" hidden="false" customHeight="false" outlineLevel="0" collapsed="false">
      <c r="B2682" s="102" t="n">
        <f aca="false">'Loan Tape'!$A254</f>
        <v>0</v>
      </c>
      <c r="C2682" s="99" t="n">
        <f aca="false">IF('Loan Tape'!$AN254=0,0,INDEX($C258:$M258,1,Hold_Yrs+1)*Exit_Px*(1-Exit_Cost)+SUMPRODUCT(($C$613:$L$613&gt;Hold_Yrs-ROUND(Rec_Lag,0))*($C$613:$L$613&lt;=Hold_Yrs)*$C864:$L864)*(1-Sev))</f>
        <v>0</v>
      </c>
    </row>
    <row r="2683" customFormat="false" ht="15" hidden="false" customHeight="false" outlineLevel="0" collapsed="false">
      <c r="B2683" s="108" t="n">
        <f aca="false">'Loan Tape'!$A255</f>
        <v>0</v>
      </c>
      <c r="C2683" s="71" t="n">
        <f aca="false">IF('Loan Tape'!$AN255=0,0,INDEX($C259:$M259,1,Hold_Yrs+1)*Exit_Px*(1-Exit_Cost)+SUMPRODUCT(($C$613:$L$613&gt;Hold_Yrs-ROUND(Rec_Lag,0))*($C$613:$L$613&lt;=Hold_Yrs)*$C865:$L865)*(1-Sev))</f>
        <v>0</v>
      </c>
    </row>
    <row r="2684" customFormat="false" ht="15" hidden="false" customHeight="false" outlineLevel="0" collapsed="false">
      <c r="B2684" s="102" t="n">
        <f aca="false">'Loan Tape'!$A256</f>
        <v>0</v>
      </c>
      <c r="C2684" s="99" t="n">
        <f aca="false">IF('Loan Tape'!$AN256=0,0,INDEX($C260:$M260,1,Hold_Yrs+1)*Exit_Px*(1-Exit_Cost)+SUMPRODUCT(($C$613:$L$613&gt;Hold_Yrs-ROUND(Rec_Lag,0))*($C$613:$L$613&lt;=Hold_Yrs)*$C866:$L866)*(1-Sev))</f>
        <v>0</v>
      </c>
    </row>
    <row r="2685" customFormat="false" ht="15" hidden="false" customHeight="false" outlineLevel="0" collapsed="false">
      <c r="B2685" s="108" t="n">
        <f aca="false">'Loan Tape'!$A257</f>
        <v>0</v>
      </c>
      <c r="C2685" s="71" t="n">
        <f aca="false">IF('Loan Tape'!$AN257=0,0,INDEX($C261:$M261,1,Hold_Yrs+1)*Exit_Px*(1-Exit_Cost)+SUMPRODUCT(($C$613:$L$613&gt;Hold_Yrs-ROUND(Rec_Lag,0))*($C$613:$L$613&lt;=Hold_Yrs)*$C867:$L867)*(1-Sev))</f>
        <v>0</v>
      </c>
    </row>
    <row r="2686" customFormat="false" ht="15" hidden="false" customHeight="false" outlineLevel="0" collapsed="false">
      <c r="B2686" s="102" t="n">
        <f aca="false">'Loan Tape'!$A258</f>
        <v>0</v>
      </c>
      <c r="C2686" s="99" t="n">
        <f aca="false">IF('Loan Tape'!$AN258=0,0,INDEX($C262:$M262,1,Hold_Yrs+1)*Exit_Px*(1-Exit_Cost)+SUMPRODUCT(($C$613:$L$613&gt;Hold_Yrs-ROUND(Rec_Lag,0))*($C$613:$L$613&lt;=Hold_Yrs)*$C868:$L868)*(1-Sev))</f>
        <v>0</v>
      </c>
    </row>
    <row r="2687" customFormat="false" ht="15" hidden="false" customHeight="false" outlineLevel="0" collapsed="false">
      <c r="B2687" s="108" t="n">
        <f aca="false">'Loan Tape'!$A259</f>
        <v>0</v>
      </c>
      <c r="C2687" s="71" t="n">
        <f aca="false">IF('Loan Tape'!$AN259=0,0,INDEX($C263:$M263,1,Hold_Yrs+1)*Exit_Px*(1-Exit_Cost)+SUMPRODUCT(($C$613:$L$613&gt;Hold_Yrs-ROUND(Rec_Lag,0))*($C$613:$L$613&lt;=Hold_Yrs)*$C869:$L869)*(1-Sev))</f>
        <v>0</v>
      </c>
    </row>
    <row r="2688" customFormat="false" ht="15" hidden="false" customHeight="false" outlineLevel="0" collapsed="false">
      <c r="B2688" s="102" t="n">
        <f aca="false">'Loan Tape'!$A260</f>
        <v>0</v>
      </c>
      <c r="C2688" s="99" t="n">
        <f aca="false">IF('Loan Tape'!$AN260=0,0,INDEX($C264:$M264,1,Hold_Yrs+1)*Exit_Px*(1-Exit_Cost)+SUMPRODUCT(($C$613:$L$613&gt;Hold_Yrs-ROUND(Rec_Lag,0))*($C$613:$L$613&lt;=Hold_Yrs)*$C870:$L870)*(1-Sev))</f>
        <v>0</v>
      </c>
    </row>
    <row r="2689" customFormat="false" ht="15" hidden="false" customHeight="false" outlineLevel="0" collapsed="false">
      <c r="B2689" s="108" t="n">
        <f aca="false">'Loan Tape'!$A261</f>
        <v>0</v>
      </c>
      <c r="C2689" s="71" t="n">
        <f aca="false">IF('Loan Tape'!$AN261=0,0,INDEX($C265:$M265,1,Hold_Yrs+1)*Exit_Px*(1-Exit_Cost)+SUMPRODUCT(($C$613:$L$613&gt;Hold_Yrs-ROUND(Rec_Lag,0))*($C$613:$L$613&lt;=Hold_Yrs)*$C871:$L871)*(1-Sev))</f>
        <v>0</v>
      </c>
    </row>
    <row r="2690" customFormat="false" ht="15" hidden="false" customHeight="false" outlineLevel="0" collapsed="false">
      <c r="B2690" s="102" t="n">
        <f aca="false">'Loan Tape'!$A262</f>
        <v>0</v>
      </c>
      <c r="C2690" s="99" t="n">
        <f aca="false">IF('Loan Tape'!$AN262=0,0,INDEX($C266:$M266,1,Hold_Yrs+1)*Exit_Px*(1-Exit_Cost)+SUMPRODUCT(($C$613:$L$613&gt;Hold_Yrs-ROUND(Rec_Lag,0))*($C$613:$L$613&lt;=Hold_Yrs)*$C872:$L872)*(1-Sev))</f>
        <v>0</v>
      </c>
    </row>
    <row r="2691" customFormat="false" ht="15" hidden="false" customHeight="false" outlineLevel="0" collapsed="false">
      <c r="B2691" s="108" t="n">
        <f aca="false">'Loan Tape'!$A263</f>
        <v>0</v>
      </c>
      <c r="C2691" s="71" t="n">
        <f aca="false">IF('Loan Tape'!$AN263=0,0,INDEX($C267:$M267,1,Hold_Yrs+1)*Exit_Px*(1-Exit_Cost)+SUMPRODUCT(($C$613:$L$613&gt;Hold_Yrs-ROUND(Rec_Lag,0))*($C$613:$L$613&lt;=Hold_Yrs)*$C873:$L873)*(1-Sev))</f>
        <v>0</v>
      </c>
    </row>
    <row r="2692" customFormat="false" ht="15" hidden="false" customHeight="false" outlineLevel="0" collapsed="false">
      <c r="B2692" s="102" t="n">
        <f aca="false">'Loan Tape'!$A264</f>
        <v>0</v>
      </c>
      <c r="C2692" s="99" t="n">
        <f aca="false">IF('Loan Tape'!$AN264=0,0,INDEX($C268:$M268,1,Hold_Yrs+1)*Exit_Px*(1-Exit_Cost)+SUMPRODUCT(($C$613:$L$613&gt;Hold_Yrs-ROUND(Rec_Lag,0))*($C$613:$L$613&lt;=Hold_Yrs)*$C874:$L874)*(1-Sev))</f>
        <v>0</v>
      </c>
    </row>
    <row r="2693" customFormat="false" ht="15" hidden="false" customHeight="false" outlineLevel="0" collapsed="false">
      <c r="B2693" s="108" t="n">
        <f aca="false">'Loan Tape'!$A265</f>
        <v>0</v>
      </c>
      <c r="C2693" s="71" t="n">
        <f aca="false">IF('Loan Tape'!$AN265=0,0,INDEX($C269:$M269,1,Hold_Yrs+1)*Exit_Px*(1-Exit_Cost)+SUMPRODUCT(($C$613:$L$613&gt;Hold_Yrs-ROUND(Rec_Lag,0))*($C$613:$L$613&lt;=Hold_Yrs)*$C875:$L875)*(1-Sev))</f>
        <v>0</v>
      </c>
    </row>
    <row r="2694" customFormat="false" ht="15" hidden="false" customHeight="false" outlineLevel="0" collapsed="false">
      <c r="B2694" s="102" t="n">
        <f aca="false">'Loan Tape'!$A266</f>
        <v>0</v>
      </c>
      <c r="C2694" s="99" t="n">
        <f aca="false">IF('Loan Tape'!$AN266=0,0,INDEX($C270:$M270,1,Hold_Yrs+1)*Exit_Px*(1-Exit_Cost)+SUMPRODUCT(($C$613:$L$613&gt;Hold_Yrs-ROUND(Rec_Lag,0))*($C$613:$L$613&lt;=Hold_Yrs)*$C876:$L876)*(1-Sev))</f>
        <v>0</v>
      </c>
    </row>
    <row r="2695" customFormat="false" ht="15" hidden="false" customHeight="false" outlineLevel="0" collapsed="false">
      <c r="B2695" s="108" t="n">
        <f aca="false">'Loan Tape'!$A267</f>
        <v>0</v>
      </c>
      <c r="C2695" s="71" t="n">
        <f aca="false">IF('Loan Tape'!$AN267=0,0,INDEX($C271:$M271,1,Hold_Yrs+1)*Exit_Px*(1-Exit_Cost)+SUMPRODUCT(($C$613:$L$613&gt;Hold_Yrs-ROUND(Rec_Lag,0))*($C$613:$L$613&lt;=Hold_Yrs)*$C877:$L877)*(1-Sev))</f>
        <v>0</v>
      </c>
    </row>
    <row r="2696" customFormat="false" ht="15" hidden="false" customHeight="false" outlineLevel="0" collapsed="false">
      <c r="B2696" s="102" t="n">
        <f aca="false">'Loan Tape'!$A268</f>
        <v>0</v>
      </c>
      <c r="C2696" s="99" t="n">
        <f aca="false">IF('Loan Tape'!$AN268=0,0,INDEX($C272:$M272,1,Hold_Yrs+1)*Exit_Px*(1-Exit_Cost)+SUMPRODUCT(($C$613:$L$613&gt;Hold_Yrs-ROUND(Rec_Lag,0))*($C$613:$L$613&lt;=Hold_Yrs)*$C878:$L878)*(1-Sev))</f>
        <v>0</v>
      </c>
    </row>
    <row r="2697" customFormat="false" ht="15" hidden="false" customHeight="false" outlineLevel="0" collapsed="false">
      <c r="B2697" s="108" t="n">
        <f aca="false">'Loan Tape'!$A269</f>
        <v>0</v>
      </c>
      <c r="C2697" s="71" t="n">
        <f aca="false">IF('Loan Tape'!$AN269=0,0,INDEX($C273:$M273,1,Hold_Yrs+1)*Exit_Px*(1-Exit_Cost)+SUMPRODUCT(($C$613:$L$613&gt;Hold_Yrs-ROUND(Rec_Lag,0))*($C$613:$L$613&lt;=Hold_Yrs)*$C879:$L879)*(1-Sev))</f>
        <v>0</v>
      </c>
    </row>
    <row r="2698" customFormat="false" ht="15" hidden="false" customHeight="false" outlineLevel="0" collapsed="false">
      <c r="B2698" s="102" t="n">
        <f aca="false">'Loan Tape'!$A270</f>
        <v>0</v>
      </c>
      <c r="C2698" s="99" t="n">
        <f aca="false">IF('Loan Tape'!$AN270=0,0,INDEX($C274:$M274,1,Hold_Yrs+1)*Exit_Px*(1-Exit_Cost)+SUMPRODUCT(($C$613:$L$613&gt;Hold_Yrs-ROUND(Rec_Lag,0))*($C$613:$L$613&lt;=Hold_Yrs)*$C880:$L880)*(1-Sev))</f>
        <v>0</v>
      </c>
    </row>
    <row r="2699" customFormat="false" ht="15" hidden="false" customHeight="false" outlineLevel="0" collapsed="false">
      <c r="B2699" s="108" t="n">
        <f aca="false">'Loan Tape'!$A271</f>
        <v>0</v>
      </c>
      <c r="C2699" s="71" t="n">
        <f aca="false">IF('Loan Tape'!$AN271=0,0,INDEX($C275:$M275,1,Hold_Yrs+1)*Exit_Px*(1-Exit_Cost)+SUMPRODUCT(($C$613:$L$613&gt;Hold_Yrs-ROUND(Rec_Lag,0))*($C$613:$L$613&lt;=Hold_Yrs)*$C881:$L881)*(1-Sev))</f>
        <v>0</v>
      </c>
    </row>
    <row r="2700" customFormat="false" ht="15" hidden="false" customHeight="false" outlineLevel="0" collapsed="false">
      <c r="B2700" s="102" t="n">
        <f aca="false">'Loan Tape'!$A272</f>
        <v>0</v>
      </c>
      <c r="C2700" s="99" t="n">
        <f aca="false">IF('Loan Tape'!$AN272=0,0,INDEX($C276:$M276,1,Hold_Yrs+1)*Exit_Px*(1-Exit_Cost)+SUMPRODUCT(($C$613:$L$613&gt;Hold_Yrs-ROUND(Rec_Lag,0))*($C$613:$L$613&lt;=Hold_Yrs)*$C882:$L882)*(1-Sev))</f>
        <v>0</v>
      </c>
    </row>
    <row r="2701" customFormat="false" ht="15" hidden="false" customHeight="false" outlineLevel="0" collapsed="false">
      <c r="B2701" s="108" t="n">
        <f aca="false">'Loan Tape'!$A273</f>
        <v>0</v>
      </c>
      <c r="C2701" s="71" t="n">
        <f aca="false">IF('Loan Tape'!$AN273=0,0,INDEX($C277:$M277,1,Hold_Yrs+1)*Exit_Px*(1-Exit_Cost)+SUMPRODUCT(($C$613:$L$613&gt;Hold_Yrs-ROUND(Rec_Lag,0))*($C$613:$L$613&lt;=Hold_Yrs)*$C883:$L883)*(1-Sev))</f>
        <v>0</v>
      </c>
    </row>
    <row r="2702" customFormat="false" ht="15" hidden="false" customHeight="false" outlineLevel="0" collapsed="false">
      <c r="B2702" s="102" t="n">
        <f aca="false">'Loan Tape'!$A274</f>
        <v>0</v>
      </c>
      <c r="C2702" s="99" t="n">
        <f aca="false">IF('Loan Tape'!$AN274=0,0,INDEX($C278:$M278,1,Hold_Yrs+1)*Exit_Px*(1-Exit_Cost)+SUMPRODUCT(($C$613:$L$613&gt;Hold_Yrs-ROUND(Rec_Lag,0))*($C$613:$L$613&lt;=Hold_Yrs)*$C884:$L884)*(1-Sev))</f>
        <v>0</v>
      </c>
    </row>
    <row r="2703" customFormat="false" ht="15" hidden="false" customHeight="false" outlineLevel="0" collapsed="false">
      <c r="B2703" s="108" t="n">
        <f aca="false">'Loan Tape'!$A275</f>
        <v>0</v>
      </c>
      <c r="C2703" s="71" t="n">
        <f aca="false">IF('Loan Tape'!$AN275=0,0,INDEX($C279:$M279,1,Hold_Yrs+1)*Exit_Px*(1-Exit_Cost)+SUMPRODUCT(($C$613:$L$613&gt;Hold_Yrs-ROUND(Rec_Lag,0))*($C$613:$L$613&lt;=Hold_Yrs)*$C885:$L885)*(1-Sev))</f>
        <v>0</v>
      </c>
    </row>
    <row r="2704" customFormat="false" ht="15" hidden="false" customHeight="false" outlineLevel="0" collapsed="false">
      <c r="B2704" s="102" t="n">
        <f aca="false">'Loan Tape'!$A276</f>
        <v>0</v>
      </c>
      <c r="C2704" s="99" t="n">
        <f aca="false">IF('Loan Tape'!$AN276=0,0,INDEX($C280:$M280,1,Hold_Yrs+1)*Exit_Px*(1-Exit_Cost)+SUMPRODUCT(($C$613:$L$613&gt;Hold_Yrs-ROUND(Rec_Lag,0))*($C$613:$L$613&lt;=Hold_Yrs)*$C886:$L886)*(1-Sev))</f>
        <v>0</v>
      </c>
    </row>
    <row r="2705" customFormat="false" ht="15" hidden="false" customHeight="false" outlineLevel="0" collapsed="false">
      <c r="B2705" s="108" t="n">
        <f aca="false">'Loan Tape'!$A277</f>
        <v>0</v>
      </c>
      <c r="C2705" s="71" t="n">
        <f aca="false">IF('Loan Tape'!$AN277=0,0,INDEX($C281:$M281,1,Hold_Yrs+1)*Exit_Px*(1-Exit_Cost)+SUMPRODUCT(($C$613:$L$613&gt;Hold_Yrs-ROUND(Rec_Lag,0))*($C$613:$L$613&lt;=Hold_Yrs)*$C887:$L887)*(1-Sev))</f>
        <v>0</v>
      </c>
    </row>
    <row r="2706" customFormat="false" ht="15" hidden="false" customHeight="false" outlineLevel="0" collapsed="false">
      <c r="B2706" s="102" t="n">
        <f aca="false">'Loan Tape'!$A278</f>
        <v>0</v>
      </c>
      <c r="C2706" s="99" t="n">
        <f aca="false">IF('Loan Tape'!$AN278=0,0,INDEX($C282:$M282,1,Hold_Yrs+1)*Exit_Px*(1-Exit_Cost)+SUMPRODUCT(($C$613:$L$613&gt;Hold_Yrs-ROUND(Rec_Lag,0))*($C$613:$L$613&lt;=Hold_Yrs)*$C888:$L888)*(1-Sev))</f>
        <v>0</v>
      </c>
    </row>
    <row r="2707" customFormat="false" ht="15" hidden="false" customHeight="false" outlineLevel="0" collapsed="false">
      <c r="B2707" s="108" t="n">
        <f aca="false">'Loan Tape'!$A279</f>
        <v>0</v>
      </c>
      <c r="C2707" s="71" t="n">
        <f aca="false">IF('Loan Tape'!$AN279=0,0,INDEX($C283:$M283,1,Hold_Yrs+1)*Exit_Px*(1-Exit_Cost)+SUMPRODUCT(($C$613:$L$613&gt;Hold_Yrs-ROUND(Rec_Lag,0))*($C$613:$L$613&lt;=Hold_Yrs)*$C889:$L889)*(1-Sev))</f>
        <v>0</v>
      </c>
    </row>
    <row r="2708" customFormat="false" ht="15" hidden="false" customHeight="false" outlineLevel="0" collapsed="false">
      <c r="B2708" s="102" t="n">
        <f aca="false">'Loan Tape'!$A280</f>
        <v>0</v>
      </c>
      <c r="C2708" s="99" t="n">
        <f aca="false">IF('Loan Tape'!$AN280=0,0,INDEX($C284:$M284,1,Hold_Yrs+1)*Exit_Px*(1-Exit_Cost)+SUMPRODUCT(($C$613:$L$613&gt;Hold_Yrs-ROUND(Rec_Lag,0))*($C$613:$L$613&lt;=Hold_Yrs)*$C890:$L890)*(1-Sev))</f>
        <v>0</v>
      </c>
    </row>
    <row r="2709" customFormat="false" ht="15" hidden="false" customHeight="false" outlineLevel="0" collapsed="false">
      <c r="B2709" s="108" t="n">
        <f aca="false">'Loan Tape'!$A281</f>
        <v>0</v>
      </c>
      <c r="C2709" s="71" t="n">
        <f aca="false">IF('Loan Tape'!$AN281=0,0,INDEX($C285:$M285,1,Hold_Yrs+1)*Exit_Px*(1-Exit_Cost)+SUMPRODUCT(($C$613:$L$613&gt;Hold_Yrs-ROUND(Rec_Lag,0))*($C$613:$L$613&lt;=Hold_Yrs)*$C891:$L891)*(1-Sev))</f>
        <v>0</v>
      </c>
    </row>
    <row r="2710" customFormat="false" ht="15" hidden="false" customHeight="false" outlineLevel="0" collapsed="false">
      <c r="B2710" s="102" t="n">
        <f aca="false">'Loan Tape'!$A282</f>
        <v>0</v>
      </c>
      <c r="C2710" s="99" t="n">
        <f aca="false">IF('Loan Tape'!$AN282=0,0,INDEX($C286:$M286,1,Hold_Yrs+1)*Exit_Px*(1-Exit_Cost)+SUMPRODUCT(($C$613:$L$613&gt;Hold_Yrs-ROUND(Rec_Lag,0))*($C$613:$L$613&lt;=Hold_Yrs)*$C892:$L892)*(1-Sev))</f>
        <v>0</v>
      </c>
    </row>
    <row r="2711" customFormat="false" ht="15" hidden="false" customHeight="false" outlineLevel="0" collapsed="false">
      <c r="B2711" s="108" t="n">
        <f aca="false">'Loan Tape'!$A283</f>
        <v>0</v>
      </c>
      <c r="C2711" s="71" t="n">
        <f aca="false">IF('Loan Tape'!$AN283=0,0,INDEX($C287:$M287,1,Hold_Yrs+1)*Exit_Px*(1-Exit_Cost)+SUMPRODUCT(($C$613:$L$613&gt;Hold_Yrs-ROUND(Rec_Lag,0))*($C$613:$L$613&lt;=Hold_Yrs)*$C893:$L893)*(1-Sev))</f>
        <v>0</v>
      </c>
    </row>
    <row r="2712" customFormat="false" ht="15" hidden="false" customHeight="false" outlineLevel="0" collapsed="false">
      <c r="B2712" s="102" t="n">
        <f aca="false">'Loan Tape'!$A284</f>
        <v>0</v>
      </c>
      <c r="C2712" s="99" t="n">
        <f aca="false">IF('Loan Tape'!$AN284=0,0,INDEX($C288:$M288,1,Hold_Yrs+1)*Exit_Px*(1-Exit_Cost)+SUMPRODUCT(($C$613:$L$613&gt;Hold_Yrs-ROUND(Rec_Lag,0))*($C$613:$L$613&lt;=Hold_Yrs)*$C894:$L894)*(1-Sev))</f>
        <v>0</v>
      </c>
    </row>
    <row r="2713" customFormat="false" ht="15" hidden="false" customHeight="false" outlineLevel="0" collapsed="false">
      <c r="B2713" s="108" t="n">
        <f aca="false">'Loan Tape'!$A285</f>
        <v>0</v>
      </c>
      <c r="C2713" s="71" t="n">
        <f aca="false">IF('Loan Tape'!$AN285=0,0,INDEX($C289:$M289,1,Hold_Yrs+1)*Exit_Px*(1-Exit_Cost)+SUMPRODUCT(($C$613:$L$613&gt;Hold_Yrs-ROUND(Rec_Lag,0))*($C$613:$L$613&lt;=Hold_Yrs)*$C895:$L895)*(1-Sev))</f>
        <v>0</v>
      </c>
    </row>
    <row r="2714" customFormat="false" ht="15" hidden="false" customHeight="false" outlineLevel="0" collapsed="false">
      <c r="B2714" s="102" t="n">
        <f aca="false">'Loan Tape'!$A286</f>
        <v>0</v>
      </c>
      <c r="C2714" s="99" t="n">
        <f aca="false">IF('Loan Tape'!$AN286=0,0,INDEX($C290:$M290,1,Hold_Yrs+1)*Exit_Px*(1-Exit_Cost)+SUMPRODUCT(($C$613:$L$613&gt;Hold_Yrs-ROUND(Rec_Lag,0))*($C$613:$L$613&lt;=Hold_Yrs)*$C896:$L896)*(1-Sev))</f>
        <v>0</v>
      </c>
    </row>
    <row r="2715" customFormat="false" ht="15" hidden="false" customHeight="false" outlineLevel="0" collapsed="false">
      <c r="B2715" s="108" t="n">
        <f aca="false">'Loan Tape'!$A287</f>
        <v>0</v>
      </c>
      <c r="C2715" s="71" t="n">
        <f aca="false">IF('Loan Tape'!$AN287=0,0,INDEX($C291:$M291,1,Hold_Yrs+1)*Exit_Px*(1-Exit_Cost)+SUMPRODUCT(($C$613:$L$613&gt;Hold_Yrs-ROUND(Rec_Lag,0))*($C$613:$L$613&lt;=Hold_Yrs)*$C897:$L897)*(1-Sev))</f>
        <v>0</v>
      </c>
    </row>
    <row r="2716" customFormat="false" ht="15" hidden="false" customHeight="false" outlineLevel="0" collapsed="false">
      <c r="B2716" s="102" t="n">
        <f aca="false">'Loan Tape'!$A288</f>
        <v>0</v>
      </c>
      <c r="C2716" s="99" t="n">
        <f aca="false">IF('Loan Tape'!$AN288=0,0,INDEX($C292:$M292,1,Hold_Yrs+1)*Exit_Px*(1-Exit_Cost)+SUMPRODUCT(($C$613:$L$613&gt;Hold_Yrs-ROUND(Rec_Lag,0))*($C$613:$L$613&lt;=Hold_Yrs)*$C898:$L898)*(1-Sev))</f>
        <v>0</v>
      </c>
    </row>
    <row r="2717" customFormat="false" ht="15" hidden="false" customHeight="false" outlineLevel="0" collapsed="false">
      <c r="B2717" s="108" t="n">
        <f aca="false">'Loan Tape'!$A289</f>
        <v>0</v>
      </c>
      <c r="C2717" s="71" t="n">
        <f aca="false">IF('Loan Tape'!$AN289=0,0,INDEX($C293:$M293,1,Hold_Yrs+1)*Exit_Px*(1-Exit_Cost)+SUMPRODUCT(($C$613:$L$613&gt;Hold_Yrs-ROUND(Rec_Lag,0))*($C$613:$L$613&lt;=Hold_Yrs)*$C899:$L899)*(1-Sev))</f>
        <v>0</v>
      </c>
    </row>
    <row r="2718" customFormat="false" ht="15" hidden="false" customHeight="false" outlineLevel="0" collapsed="false">
      <c r="B2718" s="102" t="n">
        <f aca="false">'Loan Tape'!$A290</f>
        <v>0</v>
      </c>
      <c r="C2718" s="99" t="n">
        <f aca="false">IF('Loan Tape'!$AN290=0,0,INDEX($C294:$M294,1,Hold_Yrs+1)*Exit_Px*(1-Exit_Cost)+SUMPRODUCT(($C$613:$L$613&gt;Hold_Yrs-ROUND(Rec_Lag,0))*($C$613:$L$613&lt;=Hold_Yrs)*$C900:$L900)*(1-Sev))</f>
        <v>0</v>
      </c>
    </row>
    <row r="2719" customFormat="false" ht="15" hidden="false" customHeight="false" outlineLevel="0" collapsed="false">
      <c r="B2719" s="108" t="n">
        <f aca="false">'Loan Tape'!$A291</f>
        <v>0</v>
      </c>
      <c r="C2719" s="71" t="n">
        <f aca="false">IF('Loan Tape'!$AN291=0,0,INDEX($C295:$M295,1,Hold_Yrs+1)*Exit_Px*(1-Exit_Cost)+SUMPRODUCT(($C$613:$L$613&gt;Hold_Yrs-ROUND(Rec_Lag,0))*($C$613:$L$613&lt;=Hold_Yrs)*$C901:$L901)*(1-Sev))</f>
        <v>0</v>
      </c>
    </row>
    <row r="2720" customFormat="false" ht="15" hidden="false" customHeight="false" outlineLevel="0" collapsed="false">
      <c r="B2720" s="102" t="n">
        <f aca="false">'Loan Tape'!$A292</f>
        <v>0</v>
      </c>
      <c r="C2720" s="99" t="n">
        <f aca="false">IF('Loan Tape'!$AN292=0,0,INDEX($C296:$M296,1,Hold_Yrs+1)*Exit_Px*(1-Exit_Cost)+SUMPRODUCT(($C$613:$L$613&gt;Hold_Yrs-ROUND(Rec_Lag,0))*($C$613:$L$613&lt;=Hold_Yrs)*$C902:$L902)*(1-Sev))</f>
        <v>0</v>
      </c>
    </row>
    <row r="2721" customFormat="false" ht="15" hidden="false" customHeight="false" outlineLevel="0" collapsed="false">
      <c r="B2721" s="108" t="n">
        <f aca="false">'Loan Tape'!$A293</f>
        <v>0</v>
      </c>
      <c r="C2721" s="71" t="n">
        <f aca="false">IF('Loan Tape'!$AN293=0,0,INDEX($C297:$M297,1,Hold_Yrs+1)*Exit_Px*(1-Exit_Cost)+SUMPRODUCT(($C$613:$L$613&gt;Hold_Yrs-ROUND(Rec_Lag,0))*($C$613:$L$613&lt;=Hold_Yrs)*$C903:$L903)*(1-Sev))</f>
        <v>0</v>
      </c>
    </row>
    <row r="2722" customFormat="false" ht="15" hidden="false" customHeight="false" outlineLevel="0" collapsed="false">
      <c r="B2722" s="102" t="n">
        <f aca="false">'Loan Tape'!$A294</f>
        <v>0</v>
      </c>
      <c r="C2722" s="99" t="n">
        <f aca="false">IF('Loan Tape'!$AN294=0,0,INDEX($C298:$M298,1,Hold_Yrs+1)*Exit_Px*(1-Exit_Cost)+SUMPRODUCT(($C$613:$L$613&gt;Hold_Yrs-ROUND(Rec_Lag,0))*($C$613:$L$613&lt;=Hold_Yrs)*$C904:$L904)*(1-Sev))</f>
        <v>0</v>
      </c>
    </row>
    <row r="2723" customFormat="false" ht="15" hidden="false" customHeight="false" outlineLevel="0" collapsed="false">
      <c r="B2723" s="108" t="n">
        <f aca="false">'Loan Tape'!$A295</f>
        <v>0</v>
      </c>
      <c r="C2723" s="71" t="n">
        <f aca="false">IF('Loan Tape'!$AN295=0,0,INDEX($C299:$M299,1,Hold_Yrs+1)*Exit_Px*(1-Exit_Cost)+SUMPRODUCT(($C$613:$L$613&gt;Hold_Yrs-ROUND(Rec_Lag,0))*($C$613:$L$613&lt;=Hold_Yrs)*$C905:$L905)*(1-Sev))</f>
        <v>0</v>
      </c>
    </row>
    <row r="2724" customFormat="false" ht="15" hidden="false" customHeight="false" outlineLevel="0" collapsed="false">
      <c r="B2724" s="102" t="n">
        <f aca="false">'Loan Tape'!$A296</f>
        <v>0</v>
      </c>
      <c r="C2724" s="99" t="n">
        <f aca="false">IF('Loan Tape'!$AN296=0,0,INDEX($C300:$M300,1,Hold_Yrs+1)*Exit_Px*(1-Exit_Cost)+SUMPRODUCT(($C$613:$L$613&gt;Hold_Yrs-ROUND(Rec_Lag,0))*($C$613:$L$613&lt;=Hold_Yrs)*$C906:$L906)*(1-Sev))</f>
        <v>0</v>
      </c>
    </row>
    <row r="2725" customFormat="false" ht="15" hidden="false" customHeight="false" outlineLevel="0" collapsed="false">
      <c r="B2725" s="108" t="n">
        <f aca="false">'Loan Tape'!$A297</f>
        <v>0</v>
      </c>
      <c r="C2725" s="71" t="n">
        <f aca="false">IF('Loan Tape'!$AN297=0,0,INDEX($C301:$M301,1,Hold_Yrs+1)*Exit_Px*(1-Exit_Cost)+SUMPRODUCT(($C$613:$L$613&gt;Hold_Yrs-ROUND(Rec_Lag,0))*($C$613:$L$613&lt;=Hold_Yrs)*$C907:$L907)*(1-Sev))</f>
        <v>0</v>
      </c>
    </row>
    <row r="2726" customFormat="false" ht="15" hidden="false" customHeight="false" outlineLevel="0" collapsed="false">
      <c r="B2726" s="102" t="n">
        <f aca="false">'Loan Tape'!$A298</f>
        <v>0</v>
      </c>
      <c r="C2726" s="99" t="n">
        <f aca="false">IF('Loan Tape'!$AN298=0,0,INDEX($C302:$M302,1,Hold_Yrs+1)*Exit_Px*(1-Exit_Cost)+SUMPRODUCT(($C$613:$L$613&gt;Hold_Yrs-ROUND(Rec_Lag,0))*($C$613:$L$613&lt;=Hold_Yrs)*$C908:$L908)*(1-Sev))</f>
        <v>0</v>
      </c>
    </row>
    <row r="2727" customFormat="false" ht="15" hidden="false" customHeight="false" outlineLevel="0" collapsed="false">
      <c r="B2727" s="108" t="n">
        <f aca="false">'Loan Tape'!$A299</f>
        <v>0</v>
      </c>
      <c r="C2727" s="71" t="n">
        <f aca="false">IF('Loan Tape'!$AN299=0,0,INDEX($C303:$M303,1,Hold_Yrs+1)*Exit_Px*(1-Exit_Cost)+SUMPRODUCT(($C$613:$L$613&gt;Hold_Yrs-ROUND(Rec_Lag,0))*($C$613:$L$613&lt;=Hold_Yrs)*$C909:$L909)*(1-Sev))</f>
        <v>0</v>
      </c>
    </row>
    <row r="2728" customFormat="false" ht="15" hidden="false" customHeight="false" outlineLevel="0" collapsed="false">
      <c r="B2728" s="102" t="n">
        <f aca="false">'Loan Tape'!$A300</f>
        <v>0</v>
      </c>
      <c r="C2728" s="99" t="n">
        <f aca="false">IF('Loan Tape'!$AN300=0,0,INDEX($C304:$M304,1,Hold_Yrs+1)*Exit_Px*(1-Exit_Cost)+SUMPRODUCT(($C$613:$L$613&gt;Hold_Yrs-ROUND(Rec_Lag,0))*($C$613:$L$613&lt;=Hold_Yrs)*$C910:$L910)*(1-Sev))</f>
        <v>0</v>
      </c>
    </row>
    <row r="2729" customFormat="false" ht="15" hidden="false" customHeight="false" outlineLevel="0" collapsed="false">
      <c r="B2729" s="108" t="n">
        <f aca="false">'Loan Tape'!$A301</f>
        <v>0</v>
      </c>
      <c r="C2729" s="71" t="n">
        <f aca="false">IF('Loan Tape'!$AN301=0,0,INDEX($C305:$M305,1,Hold_Yrs+1)*Exit_Px*(1-Exit_Cost)+SUMPRODUCT(($C$613:$L$613&gt;Hold_Yrs-ROUND(Rec_Lag,0))*($C$613:$L$613&lt;=Hold_Yrs)*$C911:$L911)*(1-Sev))</f>
        <v>0</v>
      </c>
    </row>
    <row r="2730" customFormat="false" ht="15" hidden="false" customHeight="false" outlineLevel="0" collapsed="false">
      <c r="B2730" s="102" t="n">
        <f aca="false">'Loan Tape'!$A302</f>
        <v>0</v>
      </c>
      <c r="C2730" s="99" t="n">
        <f aca="false">IF('Loan Tape'!$AN302=0,0,INDEX($C306:$M306,1,Hold_Yrs+1)*Exit_Px*(1-Exit_Cost)+SUMPRODUCT(($C$613:$L$613&gt;Hold_Yrs-ROUND(Rec_Lag,0))*($C$613:$L$613&lt;=Hold_Yrs)*$C912:$L912)*(1-Sev))</f>
        <v>0</v>
      </c>
    </row>
    <row r="2731" customFormat="false" ht="15" hidden="false" customHeight="false" outlineLevel="0" collapsed="false">
      <c r="B2731" s="108" t="n">
        <f aca="false">'Loan Tape'!$A303</f>
        <v>0</v>
      </c>
      <c r="C2731" s="71" t="n">
        <f aca="false">IF('Loan Tape'!$AN303=0,0,INDEX($C307:$M307,1,Hold_Yrs+1)*Exit_Px*(1-Exit_Cost)+SUMPRODUCT(($C$613:$L$613&gt;Hold_Yrs-ROUND(Rec_Lag,0))*($C$613:$L$613&lt;=Hold_Yrs)*$C913:$L913)*(1-Sev))</f>
        <v>0</v>
      </c>
    </row>
    <row r="2733" customFormat="false" ht="18" hidden="false" customHeight="true" outlineLevel="0" collapsed="false">
      <c r="B2733" s="5" t="s">
        <v>596</v>
      </c>
      <c r="C2733" s="5"/>
      <c r="D2733" s="5"/>
      <c r="E2733" s="5"/>
      <c r="F2733" s="5"/>
      <c r="G2733" s="5"/>
      <c r="H2733" s="5"/>
      <c r="I2733" s="5"/>
      <c r="J2733" s="5"/>
      <c r="K2733" s="5"/>
      <c r="L2733" s="5"/>
      <c r="M2733" s="5"/>
      <c r="O2733" s="30" t="s">
        <v>597</v>
      </c>
    </row>
    <row r="2734" customFormat="false" ht="15.75" hidden="false" customHeight="true" outlineLevel="0" collapsed="false">
      <c r="B2734" s="54" t="s">
        <v>148</v>
      </c>
      <c r="C2734" s="55" t="n">
        <v>0</v>
      </c>
      <c r="D2734" s="55" t="n">
        <v>1</v>
      </c>
      <c r="E2734" s="55" t="n">
        <v>2</v>
      </c>
      <c r="F2734" s="55" t="n">
        <v>3</v>
      </c>
      <c r="G2734" s="55" t="n">
        <v>4</v>
      </c>
      <c r="H2734" s="55" t="n">
        <v>5</v>
      </c>
      <c r="I2734" s="55" t="n">
        <v>6</v>
      </c>
      <c r="J2734" s="55" t="n">
        <v>7</v>
      </c>
      <c r="K2734" s="55" t="n">
        <v>8</v>
      </c>
      <c r="L2734" s="55" t="n">
        <v>9</v>
      </c>
      <c r="M2734" s="55" t="n">
        <v>10</v>
      </c>
    </row>
    <row r="2735" customFormat="false" ht="15" hidden="false" customHeight="false" outlineLevel="0" collapsed="false">
      <c r="B2735" s="102" t="str">
        <f aca="false">'Loan Tape'!$A4</f>
        <v>L-001</v>
      </c>
      <c r="C2735" s="99" t="n">
        <f aca="false">-'Loan Tape'!$BB4</f>
        <v>-7735425.25</v>
      </c>
      <c r="D2735" s="99" t="n">
        <f aca="false">IF(1&gt;Hold_Yrs,0,C1826+C917+C1220+C1523+C2129+C1220*Prepay_Pen+IF(1=Hold_Yrs,$C2432,0))</f>
        <v>8624139.16565174</v>
      </c>
      <c r="E2735" s="99" t="n">
        <f aca="false">IF(2&gt;Hold_Yrs,0,D1826+D917+D1220+D1523+D2129+D1220*Prepay_Pen+IF(2=Hold_Yrs,$C2432,0))</f>
        <v>114170</v>
      </c>
      <c r="F2735" s="99" t="n">
        <f aca="false">IF(3&gt;Hold_Yrs,0,E1826+E917+E1220+E1523+E2129+E1220*Prepay_Pen+IF(3=Hold_Yrs,$C2432,0))</f>
        <v>0</v>
      </c>
      <c r="G2735" s="99" t="n">
        <f aca="false">IF(4&gt;Hold_Yrs,0,F1826+F917+F1220+F1523+F2129+F1220*Prepay_Pen+IF(4=Hold_Yrs,$C2432,0))</f>
        <v>0</v>
      </c>
      <c r="H2735" s="99" t="n">
        <f aca="false">IF(5&gt;Hold_Yrs,0,G1826+G917+G1220+G1523+G2129+G1220*Prepay_Pen+IF(5=Hold_Yrs,$C2432,0))</f>
        <v>0</v>
      </c>
      <c r="I2735" s="99" t="n">
        <f aca="false">IF(6&gt;Hold_Yrs,0,H1826+H917+H1220+H1523+H2129+H1220*Prepay_Pen+IF(6=Hold_Yrs,$C2432,0))</f>
        <v>0</v>
      </c>
      <c r="J2735" s="99" t="n">
        <f aca="false">IF(7&gt;Hold_Yrs,0,I1826+I917+I1220+I1523+I2129+I1220*Prepay_Pen+IF(7=Hold_Yrs,$C2432,0))</f>
        <v>0</v>
      </c>
      <c r="K2735" s="99" t="n">
        <f aca="false">IF(8&gt;Hold_Yrs,0,J1826+J917+J1220+J1523+J2129+J1220*Prepay_Pen+IF(8=Hold_Yrs,$C2432,0))</f>
        <v>0</v>
      </c>
      <c r="L2735" s="99" t="n">
        <f aca="false">IF(9&gt;Hold_Yrs,0,K1826+K917+K1220+K1523+K2129+K1220*Prepay_Pen+IF(9=Hold_Yrs,$C2432,0))</f>
        <v>0</v>
      </c>
      <c r="M2735" s="99" t="n">
        <f aca="false">IF(10&gt;Hold_Yrs,0,L1826+L917+L1220+L1523+L2129+L1220*Prepay_Pen+IF(10=Hold_Yrs,$C2432,0))</f>
        <v>0</v>
      </c>
    </row>
    <row r="2736" customFormat="false" ht="15" hidden="false" customHeight="false" outlineLevel="0" collapsed="false">
      <c r="B2736" s="108" t="str">
        <f aca="false">'Loan Tape'!$A5</f>
        <v>L-002</v>
      </c>
      <c r="C2736" s="71" t="n">
        <f aca="false">-'Loan Tape'!$BB5</f>
        <v>-10137153.85</v>
      </c>
      <c r="D2736" s="71" t="n">
        <f aca="false">IF(1&gt;Hold_Yrs,0,C1827+C918+C1221+C1524+C2130+C1221*Prepay_Pen+IF(1=Hold_Yrs,$C2433,0))</f>
        <v>1998932.55517561</v>
      </c>
      <c r="E2736" s="71" t="n">
        <f aca="false">IF(2&gt;Hold_Yrs,0,D1827+D918+D1221+D1524+D2130+D1221*Prepay_Pen+IF(2=Hold_Yrs,$C2433,0))</f>
        <v>9577644.19315928</v>
      </c>
      <c r="F2736" s="71" t="n">
        <f aca="false">IF(3&gt;Hold_Yrs,0,E1827+E918+E1221+E1524+E2130+E1221*Prepay_Pen+IF(3=Hold_Yrs,$C2433,0))</f>
        <v>96135.1922519824</v>
      </c>
      <c r="G2736" s="71" t="n">
        <f aca="false">IF(4&gt;Hold_Yrs,0,F1827+F918+F1221+F1524+F2130+F1221*Prepay_Pen+IF(4=Hold_Yrs,$C2433,0))</f>
        <v>0</v>
      </c>
      <c r="H2736" s="71" t="n">
        <f aca="false">IF(5&gt;Hold_Yrs,0,G1827+G918+G1221+G1524+G2130+G1221*Prepay_Pen+IF(5=Hold_Yrs,$C2433,0))</f>
        <v>0</v>
      </c>
      <c r="I2736" s="71" t="n">
        <f aca="false">IF(6&gt;Hold_Yrs,0,H1827+H918+H1221+H1524+H2130+H1221*Prepay_Pen+IF(6=Hold_Yrs,$C2433,0))</f>
        <v>0</v>
      </c>
      <c r="J2736" s="71" t="n">
        <f aca="false">IF(7&gt;Hold_Yrs,0,I1827+I918+I1221+I1524+I2130+I1221*Prepay_Pen+IF(7=Hold_Yrs,$C2433,0))</f>
        <v>0</v>
      </c>
      <c r="K2736" s="71" t="n">
        <f aca="false">IF(8&gt;Hold_Yrs,0,J1827+J918+J1221+J1524+J2130+J1221*Prepay_Pen+IF(8=Hold_Yrs,$C2433,0))</f>
        <v>0</v>
      </c>
      <c r="L2736" s="71" t="n">
        <f aca="false">IF(9&gt;Hold_Yrs,0,K1827+K918+K1221+K1524+K2130+K1221*Prepay_Pen+IF(9=Hold_Yrs,$C2433,0))</f>
        <v>0</v>
      </c>
      <c r="M2736" s="71" t="n">
        <f aca="false">IF(10&gt;Hold_Yrs,0,L1827+L918+L1221+L1524+L2130+L1221*Prepay_Pen+IF(10=Hold_Yrs,$C2433,0))</f>
        <v>0</v>
      </c>
    </row>
    <row r="2737" customFormat="false" ht="15" hidden="false" customHeight="false" outlineLevel="0" collapsed="false">
      <c r="B2737" s="102" t="str">
        <f aca="false">'Loan Tape'!$A6</f>
        <v>L-003</v>
      </c>
      <c r="C2737" s="99" t="n">
        <f aca="false">-'Loan Tape'!$BB6</f>
        <v>-113094667.95</v>
      </c>
      <c r="D2737" s="99" t="n">
        <f aca="false">IF(1&gt;Hold_Yrs,0,C1828+C919+C1222+C1525+C2131+C1222*Prepay_Pen+IF(1=Hold_Yrs,$C2434,0))</f>
        <v>22787509.435978</v>
      </c>
      <c r="E2737" s="99" t="n">
        <f aca="false">IF(2&gt;Hold_Yrs,0,D1828+D919+D1222+D1525+D2131+D1222*Prepay_Pen+IF(2=Hold_Yrs,$C2434,0))</f>
        <v>21177526.0431632</v>
      </c>
      <c r="F2737" s="99" t="n">
        <f aca="false">IF(3&gt;Hold_Yrs,0,E1828+E919+E1222+E1525+E2131+E1222*Prepay_Pen+IF(3=Hold_Yrs,$C2434,0))</f>
        <v>18193274.7014218</v>
      </c>
      <c r="G2737" s="99" t="n">
        <f aca="false">IF(4&gt;Hold_Yrs,0,F1828+F919+F1222+F1525+F2131+F1222*Prepay_Pen+IF(4=Hold_Yrs,$C2434,0))</f>
        <v>81159348.0210826</v>
      </c>
      <c r="H2737" s="99" t="n">
        <f aca="false">IF(5&gt;Hold_Yrs,0,G1828+G919+G1222+G1525+G2131+G1222*Prepay_Pen+IF(5=Hold_Yrs,$C2434,0))</f>
        <v>724577.306087053</v>
      </c>
      <c r="I2737" s="99" t="n">
        <f aca="false">IF(6&gt;Hold_Yrs,0,H1828+H919+H1222+H1525+H2131+H1222*Prepay_Pen+IF(6=Hold_Yrs,$C2434,0))</f>
        <v>0</v>
      </c>
      <c r="J2737" s="99" t="n">
        <f aca="false">IF(7&gt;Hold_Yrs,0,I1828+I919+I1222+I1525+I2131+I1222*Prepay_Pen+IF(7=Hold_Yrs,$C2434,0))</f>
        <v>0</v>
      </c>
      <c r="K2737" s="99" t="n">
        <f aca="false">IF(8&gt;Hold_Yrs,0,J1828+J919+J1222+J1525+J2131+J1222*Prepay_Pen+IF(8=Hold_Yrs,$C2434,0))</f>
        <v>0</v>
      </c>
      <c r="L2737" s="99" t="n">
        <f aca="false">IF(9&gt;Hold_Yrs,0,K1828+K919+K1222+K1525+K2131+K1222*Prepay_Pen+IF(9=Hold_Yrs,$C2434,0))</f>
        <v>0</v>
      </c>
      <c r="M2737" s="99" t="n">
        <f aca="false">IF(10&gt;Hold_Yrs,0,L1828+L919+L1222+L1525+L2131+L1222*Prepay_Pen+IF(10=Hold_Yrs,$C2434,0))</f>
        <v>0</v>
      </c>
    </row>
    <row r="2738" customFormat="false" ht="15" hidden="false" customHeight="false" outlineLevel="0" collapsed="false">
      <c r="B2738" s="108" t="str">
        <f aca="false">'Loan Tape'!$A7</f>
        <v>L-004</v>
      </c>
      <c r="C2738" s="71" t="n">
        <f aca="false">-'Loan Tape'!$BB7</f>
        <v>-43673139.1</v>
      </c>
      <c r="D2738" s="71" t="n">
        <f aca="false">IF(1&gt;Hold_Yrs,0,C1829+C920+C1223+C1526+C2132+C1223*Prepay_Pen+IF(1=Hold_Yrs,$C2435,0))</f>
        <v>8390112.02708123</v>
      </c>
      <c r="E2738" s="71" t="n">
        <f aca="false">IF(2&gt;Hold_Yrs,0,D1829+D920+D1223+D1526+D2132+D1223*Prepay_Pen+IF(2=Hold_Yrs,$C2435,0))</f>
        <v>41432675.4973775</v>
      </c>
      <c r="F2738" s="71" t="n">
        <f aca="false">IF(3&gt;Hold_Yrs,0,E1829+E920+E1223+E1526+E2132+E1223*Prepay_Pen+IF(3=Hold_Yrs,$C2435,0))</f>
        <v>509757.432890086</v>
      </c>
      <c r="G2738" s="71" t="n">
        <f aca="false">IF(4&gt;Hold_Yrs,0,F1829+F920+F1223+F1526+F2132+F1223*Prepay_Pen+IF(4=Hold_Yrs,$C2435,0))</f>
        <v>0</v>
      </c>
      <c r="H2738" s="71" t="n">
        <f aca="false">IF(5&gt;Hold_Yrs,0,G1829+G920+G1223+G1526+G2132+G1223*Prepay_Pen+IF(5=Hold_Yrs,$C2435,0))</f>
        <v>0</v>
      </c>
      <c r="I2738" s="71" t="n">
        <f aca="false">IF(6&gt;Hold_Yrs,0,H1829+H920+H1223+H1526+H2132+H1223*Prepay_Pen+IF(6=Hold_Yrs,$C2435,0))</f>
        <v>0</v>
      </c>
      <c r="J2738" s="71" t="n">
        <f aca="false">IF(7&gt;Hold_Yrs,0,I1829+I920+I1223+I1526+I2132+I1223*Prepay_Pen+IF(7=Hold_Yrs,$C2435,0))</f>
        <v>0</v>
      </c>
      <c r="K2738" s="71" t="n">
        <f aca="false">IF(8&gt;Hold_Yrs,0,J1829+J920+J1223+J1526+J2132+J1223*Prepay_Pen+IF(8=Hold_Yrs,$C2435,0))</f>
        <v>0</v>
      </c>
      <c r="L2738" s="71" t="n">
        <f aca="false">IF(9&gt;Hold_Yrs,0,K1829+K920+K1223+K1526+K2132+K1223*Prepay_Pen+IF(9=Hold_Yrs,$C2435,0))</f>
        <v>0</v>
      </c>
      <c r="M2738" s="71" t="n">
        <f aca="false">IF(10&gt;Hold_Yrs,0,L1829+L920+L1223+L1526+L2132+L1223*Prepay_Pen+IF(10=Hold_Yrs,$C2435,0))</f>
        <v>0</v>
      </c>
    </row>
    <row r="2739" customFormat="false" ht="15" hidden="false" customHeight="false" outlineLevel="0" collapsed="false">
      <c r="B2739" s="102" t="str">
        <f aca="false">'Loan Tape'!$A8</f>
        <v>L-005</v>
      </c>
      <c r="C2739" s="99" t="n">
        <f aca="false">-'Loan Tape'!$BB8</f>
        <v>-111640540.8</v>
      </c>
      <c r="D2739" s="99" t="n">
        <f aca="false">IF(1&gt;Hold_Yrs,0,C1830+C921+C1224+C1527+C2133+C1224*Prepay_Pen+IF(1=Hold_Yrs,$C2436,0))</f>
        <v>122628874.752</v>
      </c>
      <c r="E2739" s="99" t="n">
        <f aca="false">IF(2&gt;Hold_Yrs,0,D1830+D921+D1224+D1527+D2133+D1224*Prepay_Pen+IF(2=Hold_Yrs,$C2436,0))</f>
        <v>1647744</v>
      </c>
      <c r="F2739" s="99" t="n">
        <f aca="false">IF(3&gt;Hold_Yrs,0,E1830+E921+E1224+E1527+E2133+E1224*Prepay_Pen+IF(3=Hold_Yrs,$C2436,0))</f>
        <v>0</v>
      </c>
      <c r="G2739" s="99" t="n">
        <f aca="false">IF(4&gt;Hold_Yrs,0,F1830+F921+F1224+F1527+F2133+F1224*Prepay_Pen+IF(4=Hold_Yrs,$C2436,0))</f>
        <v>0</v>
      </c>
      <c r="H2739" s="99" t="n">
        <f aca="false">IF(5&gt;Hold_Yrs,0,G1830+G921+G1224+G1527+G2133+G1224*Prepay_Pen+IF(5=Hold_Yrs,$C2436,0))</f>
        <v>0</v>
      </c>
      <c r="I2739" s="99" t="n">
        <f aca="false">IF(6&gt;Hold_Yrs,0,H1830+H921+H1224+H1527+H2133+H1224*Prepay_Pen+IF(6=Hold_Yrs,$C2436,0))</f>
        <v>0</v>
      </c>
      <c r="J2739" s="99" t="n">
        <f aca="false">IF(7&gt;Hold_Yrs,0,I1830+I921+I1224+I1527+I2133+I1224*Prepay_Pen+IF(7=Hold_Yrs,$C2436,0))</f>
        <v>0</v>
      </c>
      <c r="K2739" s="99" t="n">
        <f aca="false">IF(8&gt;Hold_Yrs,0,J1830+J921+J1224+J1527+J2133+J1224*Prepay_Pen+IF(8=Hold_Yrs,$C2436,0))</f>
        <v>0</v>
      </c>
      <c r="L2739" s="99" t="n">
        <f aca="false">IF(9&gt;Hold_Yrs,0,K1830+K921+K1224+K1527+K2133+K1224*Prepay_Pen+IF(9=Hold_Yrs,$C2436,0))</f>
        <v>0</v>
      </c>
      <c r="M2739" s="99" t="n">
        <f aca="false">IF(10&gt;Hold_Yrs,0,L1830+L921+L1224+L1527+L2133+L1224*Prepay_Pen+IF(10=Hold_Yrs,$C2436,0))</f>
        <v>0</v>
      </c>
    </row>
    <row r="2740" customFormat="false" ht="15" hidden="false" customHeight="false" outlineLevel="0" collapsed="false">
      <c r="B2740" s="108" t="str">
        <f aca="false">'Loan Tape'!$A9</f>
        <v>L-006</v>
      </c>
      <c r="C2740" s="71" t="n">
        <f aca="false">-'Loan Tape'!$BB9</f>
        <v>-54644068.4</v>
      </c>
      <c r="D2740" s="71" t="n">
        <f aca="false">IF(1&gt;Hold_Yrs,0,C1831+C922+C1225+C1528+C2134+C1225*Prepay_Pen+IF(1=Hold_Yrs,$C2437,0))</f>
        <v>10590485.0356083</v>
      </c>
      <c r="E2740" s="71" t="n">
        <f aca="false">IF(2&gt;Hold_Yrs,0,D1831+D922+D1225+D1528+D2134+D1225*Prepay_Pen+IF(2=Hold_Yrs,$C2437,0))</f>
        <v>51318528.0452878</v>
      </c>
      <c r="F2740" s="71" t="n">
        <f aca="false">IF(3&gt;Hold_Yrs,0,E1831+E922+E1225+E1528+E2134+E1225*Prepay_Pen+IF(3=Hold_Yrs,$C2437,0))</f>
        <v>404741.235169546</v>
      </c>
      <c r="G2740" s="71" t="n">
        <f aca="false">IF(4&gt;Hold_Yrs,0,F1831+F922+F1225+F1528+F2134+F1225*Prepay_Pen+IF(4=Hold_Yrs,$C2437,0))</f>
        <v>0</v>
      </c>
      <c r="H2740" s="71" t="n">
        <f aca="false">IF(5&gt;Hold_Yrs,0,G1831+G922+G1225+G1528+G2134+G1225*Prepay_Pen+IF(5=Hold_Yrs,$C2437,0))</f>
        <v>0</v>
      </c>
      <c r="I2740" s="71" t="n">
        <f aca="false">IF(6&gt;Hold_Yrs,0,H1831+H922+H1225+H1528+H2134+H1225*Prepay_Pen+IF(6=Hold_Yrs,$C2437,0))</f>
        <v>0</v>
      </c>
      <c r="J2740" s="71" t="n">
        <f aca="false">IF(7&gt;Hold_Yrs,0,I1831+I922+I1225+I1528+I2134+I1225*Prepay_Pen+IF(7=Hold_Yrs,$C2437,0))</f>
        <v>0</v>
      </c>
      <c r="K2740" s="71" t="n">
        <f aca="false">IF(8&gt;Hold_Yrs,0,J1831+J922+J1225+J1528+J2134+J1225*Prepay_Pen+IF(8=Hold_Yrs,$C2437,0))</f>
        <v>0</v>
      </c>
      <c r="L2740" s="71" t="n">
        <f aca="false">IF(9&gt;Hold_Yrs,0,K1831+K922+K1225+K1528+K2134+K1225*Prepay_Pen+IF(9=Hold_Yrs,$C2437,0))</f>
        <v>0</v>
      </c>
      <c r="M2740" s="71" t="n">
        <f aca="false">IF(10&gt;Hold_Yrs,0,L1831+L922+L1225+L1528+L2134+L1225*Prepay_Pen+IF(10=Hold_Yrs,$C2437,0))</f>
        <v>0</v>
      </c>
    </row>
    <row r="2741" customFormat="false" ht="15" hidden="false" customHeight="false" outlineLevel="0" collapsed="false">
      <c r="B2741" s="102" t="str">
        <f aca="false">'Loan Tape'!$A10</f>
        <v>L-007</v>
      </c>
      <c r="C2741" s="99" t="n">
        <f aca="false">-'Loan Tape'!$BB10</f>
        <v>-4291240.2</v>
      </c>
      <c r="D2741" s="99" t="n">
        <f aca="false">IF(1&gt;Hold_Yrs,0,C1832+C923+C1226+C1529+C2135+C1226*Prepay_Pen+IF(1=Hold_Yrs,$C2438,0))</f>
        <v>734190.912</v>
      </c>
      <c r="E2741" s="99" t="n">
        <f aca="false">IF(2&gt;Hold_Yrs,0,D1832+D923+D1226+D1529+D2135+D1226*Prepay_Pen+IF(2=Hold_Yrs,$C2438,0))</f>
        <v>690712.73856</v>
      </c>
      <c r="F2741" s="99" t="n">
        <f aca="false">IF(3&gt;Hold_Yrs,0,E1832+E923+E1226+E1529+E2135+E1226*Prepay_Pen+IF(3=Hold_Yrs,$C2438,0))</f>
        <v>594654.4800768</v>
      </c>
      <c r="G2741" s="99" t="n">
        <f aca="false">IF(4&gt;Hold_Yrs,0,F1832+F923+F1226+F1529+F2135+F1226*Prepay_Pen+IF(4=Hold_Yrs,$C2438,0))</f>
        <v>517499.941330944</v>
      </c>
      <c r="H2741" s="99" t="n">
        <f aca="false">IF(5&gt;Hold_Yrs,0,G1832+G923+G1226+G1529+G2135+G1226*Prepay_Pen+IF(5=Hold_Yrs,$C2438,0))</f>
        <v>2795088.2519679</v>
      </c>
      <c r="I2741" s="99" t="n">
        <f aca="false">IF(6&gt;Hold_Yrs,0,H1832+H923+H1226+H1529+H2135+H1226*Prepay_Pen+IF(6=Hold_Yrs,$C2438,0))</f>
        <v>0</v>
      </c>
      <c r="J2741" s="99" t="n">
        <f aca="false">IF(7&gt;Hold_Yrs,0,I1832+I923+I1226+I1529+I2135+I1226*Prepay_Pen+IF(7=Hold_Yrs,$C2438,0))</f>
        <v>0</v>
      </c>
      <c r="K2741" s="99" t="n">
        <f aca="false">IF(8&gt;Hold_Yrs,0,J1832+J923+J1226+J1529+J2135+J1226*Prepay_Pen+IF(8=Hold_Yrs,$C2438,0))</f>
        <v>0</v>
      </c>
      <c r="L2741" s="99" t="n">
        <f aca="false">IF(9&gt;Hold_Yrs,0,K1832+K923+K1226+K1529+K2135+K1226*Prepay_Pen+IF(9=Hold_Yrs,$C2438,0))</f>
        <v>0</v>
      </c>
      <c r="M2741" s="99" t="n">
        <f aca="false">IF(10&gt;Hold_Yrs,0,L1832+L923+L1226+L1529+L2135+L1226*Prepay_Pen+IF(10=Hold_Yrs,$C2438,0))</f>
        <v>0</v>
      </c>
    </row>
    <row r="2742" customFormat="false" ht="15" hidden="false" customHeight="false" outlineLevel="0" collapsed="false">
      <c r="B2742" s="108" t="str">
        <f aca="false">'Loan Tape'!$A11</f>
        <v>L-008</v>
      </c>
      <c r="C2742" s="71" t="n">
        <f aca="false">-'Loan Tape'!$BB11</f>
        <v>-45844370.05</v>
      </c>
      <c r="D2742" s="71" t="n">
        <f aca="false">IF(1&gt;Hold_Yrs,0,C1833+C924+C1227+C1530+C2136+C1227*Prepay_Pen+IF(1=Hold_Yrs,$C2439,0))</f>
        <v>9284319.76419907</v>
      </c>
      <c r="E2742" s="71" t="n">
        <f aca="false">IF(2&gt;Hold_Yrs,0,D1833+D924+D1227+D1530+D2136+D1227*Prepay_Pen+IF(2=Hold_Yrs,$C2439,0))</f>
        <v>8614046.09956097</v>
      </c>
      <c r="F2742" s="71" t="n">
        <f aca="false">IF(3&gt;Hold_Yrs,0,E1833+E924+E1227+E1530+E2136+E1227*Prepay_Pen+IF(3=Hold_Yrs,$C2439,0))</f>
        <v>7385694.31752239</v>
      </c>
      <c r="G2742" s="71" t="n">
        <f aca="false">IF(4&gt;Hold_Yrs,0,F1833+F924+F1227+F1530+F2136+F1227*Prepay_Pen+IF(4=Hold_Yrs,$C2439,0))</f>
        <v>32061358.7990438</v>
      </c>
      <c r="H2742" s="71" t="n">
        <f aca="false">IF(5&gt;Hold_Yrs,0,G1833+G924+G1227+G1530+G2136+G1227*Prepay_Pen+IF(5=Hold_Yrs,$C2439,0))</f>
        <v>180480.706308586</v>
      </c>
      <c r="I2742" s="71" t="n">
        <f aca="false">IF(6&gt;Hold_Yrs,0,H1833+H924+H1227+H1530+H2136+H1227*Prepay_Pen+IF(6=Hold_Yrs,$C2439,0))</f>
        <v>0</v>
      </c>
      <c r="J2742" s="71" t="n">
        <f aca="false">IF(7&gt;Hold_Yrs,0,I1833+I924+I1227+I1530+I2136+I1227*Prepay_Pen+IF(7=Hold_Yrs,$C2439,0))</f>
        <v>0</v>
      </c>
      <c r="K2742" s="71" t="n">
        <f aca="false">IF(8&gt;Hold_Yrs,0,J1833+J924+J1227+J1530+J2136+J1227*Prepay_Pen+IF(8=Hold_Yrs,$C2439,0))</f>
        <v>0</v>
      </c>
      <c r="L2742" s="71" t="n">
        <f aca="false">IF(9&gt;Hold_Yrs,0,K1833+K924+K1227+K1530+K2136+K1227*Prepay_Pen+IF(9=Hold_Yrs,$C2439,0))</f>
        <v>0</v>
      </c>
      <c r="M2742" s="71" t="n">
        <f aca="false">IF(10&gt;Hold_Yrs,0,L1833+L924+L1227+L1530+L2136+L1227*Prepay_Pen+IF(10=Hold_Yrs,$C2439,0))</f>
        <v>0</v>
      </c>
    </row>
    <row r="2743" customFormat="false" ht="15" hidden="false" customHeight="false" outlineLevel="0" collapsed="false">
      <c r="B2743" s="102" t="str">
        <f aca="false">'Loan Tape'!$A12</f>
        <v>L-009</v>
      </c>
      <c r="C2743" s="99" t="n">
        <f aca="false">-'Loan Tape'!$BB12</f>
        <v>-15570448.25</v>
      </c>
      <c r="D2743" s="99" t="n">
        <f aca="false">IF(1&gt;Hold_Yrs,0,C1834+C925+C1228+C1531+C2137+C1228*Prepay_Pen+IF(1=Hold_Yrs,$C2440,0))</f>
        <v>2397016.79</v>
      </c>
      <c r="E2743" s="99" t="n">
        <f aca="false">IF(2&gt;Hold_Yrs,0,D1834+D925+D1228+D1531+D2137+D1228*Prepay_Pen+IF(2=Hold_Yrs,$C2440,0))</f>
        <v>2339184.7752</v>
      </c>
      <c r="F2743" s="99" t="n">
        <f aca="false">IF(3&gt;Hold_Yrs,0,E1834+E925+E1228+E1531+E2137+E1228*Prepay_Pen+IF(3=Hold_Yrs,$C2440,0))</f>
        <v>2255802.530579</v>
      </c>
      <c r="G2743" s="99" t="n">
        <f aca="false">IF(4&gt;Hold_Yrs,0,F1834+F925+F1228+F1531+F2137+F1228*Prepay_Pen+IF(4=Hold_Yrs,$C2440,0))</f>
        <v>2025332.22883255</v>
      </c>
      <c r="H2743" s="99" t="n">
        <f aca="false">IF(5&gt;Hold_Yrs,0,G1834+G925+G1228+G1531+G2137+G1228*Prepay_Pen+IF(5=Hold_Yrs,$C2440,0))</f>
        <v>9661135.58175932</v>
      </c>
      <c r="I2743" s="99" t="n">
        <f aca="false">IF(6&gt;Hold_Yrs,0,H1834+H925+H1228+H1531+H2137+H1228*Prepay_Pen+IF(6=Hold_Yrs,$C2440,0))</f>
        <v>0</v>
      </c>
      <c r="J2743" s="99" t="n">
        <f aca="false">IF(7&gt;Hold_Yrs,0,I1834+I925+I1228+I1531+I2137+I1228*Prepay_Pen+IF(7=Hold_Yrs,$C2440,0))</f>
        <v>0</v>
      </c>
      <c r="K2743" s="99" t="n">
        <f aca="false">IF(8&gt;Hold_Yrs,0,J1834+J925+J1228+J1531+J2137+J1228*Prepay_Pen+IF(8=Hold_Yrs,$C2440,0))</f>
        <v>0</v>
      </c>
      <c r="L2743" s="99" t="n">
        <f aca="false">IF(9&gt;Hold_Yrs,0,K1834+K925+K1228+K1531+K2137+K1228*Prepay_Pen+IF(9=Hold_Yrs,$C2440,0))</f>
        <v>0</v>
      </c>
      <c r="M2743" s="99" t="n">
        <f aca="false">IF(10&gt;Hold_Yrs,0,L1834+L925+L1228+L1531+L2137+L1228*Prepay_Pen+IF(10=Hold_Yrs,$C2440,0))</f>
        <v>0</v>
      </c>
    </row>
    <row r="2744" customFormat="false" ht="15" hidden="false" customHeight="false" outlineLevel="0" collapsed="false">
      <c r="B2744" s="108" t="str">
        <f aca="false">'Loan Tape'!$A13</f>
        <v>L-010</v>
      </c>
      <c r="C2744" s="71" t="n">
        <f aca="false">-'Loan Tape'!$BB13</f>
        <v>-42737868.8</v>
      </c>
      <c r="D2744" s="71" t="n">
        <f aca="false">IF(1&gt;Hold_Yrs,0,C1835+C926+C1229+C1532+C2138+C1229*Prepay_Pen+IF(1=Hold_Yrs,$C2441,0))</f>
        <v>46908859.2479839</v>
      </c>
      <c r="E2744" s="71" t="n">
        <f aca="false">IF(2&gt;Hold_Yrs,0,D1835+D926+D1229+D1532+D2138+D1229*Prepay_Pen+IF(2=Hold_Yrs,$C2441,0))</f>
        <v>630784</v>
      </c>
      <c r="F2744" s="71" t="n">
        <f aca="false">IF(3&gt;Hold_Yrs,0,E1835+E926+E1229+E1532+E2138+E1229*Prepay_Pen+IF(3=Hold_Yrs,$C2441,0))</f>
        <v>0</v>
      </c>
      <c r="G2744" s="71" t="n">
        <f aca="false">IF(4&gt;Hold_Yrs,0,F1835+F926+F1229+F1532+F2138+F1229*Prepay_Pen+IF(4=Hold_Yrs,$C2441,0))</f>
        <v>0</v>
      </c>
      <c r="H2744" s="71" t="n">
        <f aca="false">IF(5&gt;Hold_Yrs,0,G1835+G926+G1229+G1532+G2138+G1229*Prepay_Pen+IF(5=Hold_Yrs,$C2441,0))</f>
        <v>0</v>
      </c>
      <c r="I2744" s="71" t="n">
        <f aca="false">IF(6&gt;Hold_Yrs,0,H1835+H926+H1229+H1532+H2138+H1229*Prepay_Pen+IF(6=Hold_Yrs,$C2441,0))</f>
        <v>0</v>
      </c>
      <c r="J2744" s="71" t="n">
        <f aca="false">IF(7&gt;Hold_Yrs,0,I1835+I926+I1229+I1532+I2138+I1229*Prepay_Pen+IF(7=Hold_Yrs,$C2441,0))</f>
        <v>0</v>
      </c>
      <c r="K2744" s="71" t="n">
        <f aca="false">IF(8&gt;Hold_Yrs,0,J1835+J926+J1229+J1532+J2138+J1229*Prepay_Pen+IF(8=Hold_Yrs,$C2441,0))</f>
        <v>0</v>
      </c>
      <c r="L2744" s="71" t="n">
        <f aca="false">IF(9&gt;Hold_Yrs,0,K1835+K926+K1229+K1532+K2138+K1229*Prepay_Pen+IF(9=Hold_Yrs,$C2441,0))</f>
        <v>0</v>
      </c>
      <c r="M2744" s="71" t="n">
        <f aca="false">IF(10&gt;Hold_Yrs,0,L1835+L926+L1229+L1532+L2138+L1229*Prepay_Pen+IF(10=Hold_Yrs,$C2441,0))</f>
        <v>0</v>
      </c>
    </row>
    <row r="2745" customFormat="false" ht="15" hidden="false" customHeight="false" outlineLevel="0" collapsed="false">
      <c r="B2745" s="102" t="str">
        <f aca="false">'Loan Tape'!$A14</f>
        <v>L-011</v>
      </c>
      <c r="C2745" s="99" t="n">
        <f aca="false">-'Loan Tape'!$BB14</f>
        <v>-26284320.5</v>
      </c>
      <c r="D2745" s="99" t="n">
        <f aca="false">IF(1&gt;Hold_Yrs,0,C1836+C927+C1230+C1533+C2139+C1230*Prepay_Pen+IF(1=Hold_Yrs,$C2442,0))</f>
        <v>5009394.6120543</v>
      </c>
      <c r="E2745" s="99" t="n">
        <f aca="false">IF(2&gt;Hold_Yrs,0,D1836+D927+D1230+D1533+D2139+D1230*Prepay_Pen+IF(2=Hold_Yrs,$C2442,0))</f>
        <v>4667532.25658435</v>
      </c>
      <c r="F2745" s="99" t="n">
        <f aca="false">IF(3&gt;Hold_Yrs,0,E1836+E927+E1230+E1533+E2139+E1230*Prepay_Pen+IF(3=Hold_Yrs,$C2442,0))</f>
        <v>4000786.88953602</v>
      </c>
      <c r="G2745" s="99" t="n">
        <f aca="false">IF(4&gt;Hold_Yrs,0,F1836+F927+F1230+F1533+F2139+F1230*Prepay_Pen+IF(4=Hold_Yrs,$C2442,0))</f>
        <v>3447496.3910059</v>
      </c>
      <c r="H2745" s="99" t="n">
        <f aca="false">IF(5&gt;Hold_Yrs,0,G1836+G927+G1230+G1533+G2139+G1230*Prepay_Pen+IF(5=Hold_Yrs,$C2442,0))</f>
        <v>15826225.3283158</v>
      </c>
      <c r="I2745" s="99" t="n">
        <f aca="false">IF(6&gt;Hold_Yrs,0,H1836+H927+H1230+H1533+H2139+H1230*Prepay_Pen+IF(6=Hold_Yrs,$C2442,0))</f>
        <v>0</v>
      </c>
      <c r="J2745" s="99" t="n">
        <f aca="false">IF(7&gt;Hold_Yrs,0,I1836+I927+I1230+I1533+I2139+I1230*Prepay_Pen+IF(7=Hold_Yrs,$C2442,0))</f>
        <v>0</v>
      </c>
      <c r="K2745" s="99" t="n">
        <f aca="false">IF(8&gt;Hold_Yrs,0,J1836+J927+J1230+J1533+J2139+J1230*Prepay_Pen+IF(8=Hold_Yrs,$C2442,0))</f>
        <v>0</v>
      </c>
      <c r="L2745" s="99" t="n">
        <f aca="false">IF(9&gt;Hold_Yrs,0,K1836+K927+K1230+K1533+K2139+K1230*Prepay_Pen+IF(9=Hold_Yrs,$C2442,0))</f>
        <v>0</v>
      </c>
      <c r="M2745" s="99" t="n">
        <f aca="false">IF(10&gt;Hold_Yrs,0,L1836+L927+L1230+L1533+L2139+L1230*Prepay_Pen+IF(10=Hold_Yrs,$C2442,0))</f>
        <v>0</v>
      </c>
    </row>
    <row r="2746" customFormat="false" ht="15" hidden="false" customHeight="false" outlineLevel="0" collapsed="false">
      <c r="B2746" s="108" t="str">
        <f aca="false">'Loan Tape'!$A15</f>
        <v>L-012</v>
      </c>
      <c r="C2746" s="71" t="n">
        <f aca="false">-'Loan Tape'!$BB15</f>
        <v>-5363101.7</v>
      </c>
      <c r="D2746" s="71" t="n">
        <f aca="false">IF(1&gt;Hold_Yrs,0,C1837+C928+C1231+C1534+C2140+C1231*Prepay_Pen+IF(1=Hold_Yrs,$C2443,0))</f>
        <v>985267.267842267</v>
      </c>
      <c r="E2746" s="71" t="n">
        <f aca="false">IF(2&gt;Hold_Yrs,0,D1837+D928+D1231+D1534+D2140+D1231*Prepay_Pen+IF(2=Hold_Yrs,$C2443,0))</f>
        <v>5030410.63194785</v>
      </c>
      <c r="F2746" s="71" t="n">
        <f aca="false">IF(3&gt;Hold_Yrs,0,E1837+E928+E1231+E1534+E2140+E1231*Prepay_Pen+IF(3=Hold_Yrs,$C2443,0))</f>
        <v>39628.9898170393</v>
      </c>
      <c r="G2746" s="71" t="n">
        <f aca="false">IF(4&gt;Hold_Yrs,0,F1837+F928+F1231+F1534+F2140+F1231*Prepay_Pen+IF(4=Hold_Yrs,$C2443,0))</f>
        <v>0</v>
      </c>
      <c r="H2746" s="71" t="n">
        <f aca="false">IF(5&gt;Hold_Yrs,0,G1837+G928+G1231+G1534+G2140+G1231*Prepay_Pen+IF(5=Hold_Yrs,$C2443,0))</f>
        <v>0</v>
      </c>
      <c r="I2746" s="71" t="n">
        <f aca="false">IF(6&gt;Hold_Yrs,0,H1837+H928+H1231+H1534+H2140+H1231*Prepay_Pen+IF(6=Hold_Yrs,$C2443,0))</f>
        <v>0</v>
      </c>
      <c r="J2746" s="71" t="n">
        <f aca="false">IF(7&gt;Hold_Yrs,0,I1837+I928+I1231+I1534+I2140+I1231*Prepay_Pen+IF(7=Hold_Yrs,$C2443,0))</f>
        <v>0</v>
      </c>
      <c r="K2746" s="71" t="n">
        <f aca="false">IF(8&gt;Hold_Yrs,0,J1837+J928+J1231+J1534+J2140+J1231*Prepay_Pen+IF(8=Hold_Yrs,$C2443,0))</f>
        <v>0</v>
      </c>
      <c r="L2746" s="71" t="n">
        <f aca="false">IF(9&gt;Hold_Yrs,0,K1837+K928+K1231+K1534+K2140+K1231*Prepay_Pen+IF(9=Hold_Yrs,$C2443,0))</f>
        <v>0</v>
      </c>
      <c r="M2746" s="71" t="n">
        <f aca="false">IF(10&gt;Hold_Yrs,0,L1837+L928+L1231+L1534+L2140+L1231*Prepay_Pen+IF(10=Hold_Yrs,$C2443,0))</f>
        <v>0</v>
      </c>
    </row>
    <row r="2747" customFormat="false" ht="15" hidden="false" customHeight="false" outlineLevel="0" collapsed="false">
      <c r="B2747" s="102" t="str">
        <f aca="false">'Loan Tape'!$A16</f>
        <v>L-013</v>
      </c>
      <c r="C2747" s="99" t="n">
        <f aca="false">-'Loan Tape'!$BB16</f>
        <v>-81048854.75</v>
      </c>
      <c r="D2747" s="99" t="n">
        <f aca="false">IF(1&gt;Hold_Yrs,0,C1838+C929+C1232+C1535+C2141+C1232*Prepay_Pen+IF(1=Hold_Yrs,$C2444,0))</f>
        <v>15105022.287859</v>
      </c>
      <c r="E2747" s="99" t="n">
        <f aca="false">IF(2&gt;Hold_Yrs,0,D1838+D929+D1232+D1535+D2141+D1232*Prepay_Pen+IF(2=Hold_Yrs,$C2444,0))</f>
        <v>14352242.0247314</v>
      </c>
      <c r="F2747" s="99" t="n">
        <f aca="false">IF(3&gt;Hold_Yrs,0,E1838+E929+E1232+E1535+E2141+E1232*Prepay_Pen+IF(3=Hold_Yrs,$C2444,0))</f>
        <v>12484577.9126906</v>
      </c>
      <c r="G2747" s="99" t="n">
        <f aca="false">IF(4&gt;Hold_Yrs,0,F1838+F929+F1232+F1535+F2141+F1232*Prepay_Pen+IF(4=Hold_Yrs,$C2444,0))</f>
        <v>10850213.0399879</v>
      </c>
      <c r="H2747" s="99" t="n">
        <f aca="false">IF(5&gt;Hold_Yrs,0,G1838+G929+G1232+G1535+G2141+G1232*Prepay_Pen+IF(5=Hold_Yrs,$C2444,0))</f>
        <v>50286397.5029351</v>
      </c>
      <c r="I2747" s="99" t="n">
        <f aca="false">IF(6&gt;Hold_Yrs,0,H1838+H929+H1232+H1535+H2141+H1232*Prepay_Pen+IF(6=Hold_Yrs,$C2444,0))</f>
        <v>0</v>
      </c>
      <c r="J2747" s="99" t="n">
        <f aca="false">IF(7&gt;Hold_Yrs,0,I1838+I929+I1232+I1535+I2141+I1232*Prepay_Pen+IF(7=Hold_Yrs,$C2444,0))</f>
        <v>0</v>
      </c>
      <c r="K2747" s="99" t="n">
        <f aca="false">IF(8&gt;Hold_Yrs,0,J1838+J929+J1232+J1535+J2141+J1232*Prepay_Pen+IF(8=Hold_Yrs,$C2444,0))</f>
        <v>0</v>
      </c>
      <c r="L2747" s="99" t="n">
        <f aca="false">IF(9&gt;Hold_Yrs,0,K1838+K929+K1232+K1535+K2141+K1232*Prepay_Pen+IF(9=Hold_Yrs,$C2444,0))</f>
        <v>0</v>
      </c>
      <c r="M2747" s="99" t="n">
        <f aca="false">IF(10&gt;Hold_Yrs,0,L1838+L929+L1232+L1535+L2141+L1232*Prepay_Pen+IF(10=Hold_Yrs,$C2444,0))</f>
        <v>0</v>
      </c>
    </row>
    <row r="2748" customFormat="false" ht="15" hidden="false" customHeight="false" outlineLevel="0" collapsed="false">
      <c r="B2748" s="108" t="str">
        <f aca="false">'Loan Tape'!$A17</f>
        <v>L-014</v>
      </c>
      <c r="C2748" s="71" t="n">
        <f aca="false">-'Loan Tape'!$BB17</f>
        <v>-121690428.05</v>
      </c>
      <c r="D2748" s="71" t="n">
        <f aca="false">IF(1&gt;Hold_Yrs,0,C1839+C930+C1233+C1536+C2142+C1233*Prepay_Pen+IF(1=Hold_Yrs,$C2445,0))</f>
        <v>21107989.6452145</v>
      </c>
      <c r="E2748" s="71" t="n">
        <f aca="false">IF(2&gt;Hold_Yrs,0,D1839+D930+D1233+D1536+D2142+D1233*Prepay_Pen+IF(2=Hold_Yrs,$C2445,0))</f>
        <v>20320113.9677646</v>
      </c>
      <c r="F2748" s="71" t="n">
        <f aca="false">IF(3&gt;Hold_Yrs,0,E1839+E930+E1233+E1536+E2142+E1233*Prepay_Pen+IF(3=Hold_Yrs,$C2445,0))</f>
        <v>17621480.0542599</v>
      </c>
      <c r="G2748" s="71" t="n">
        <f aca="false">IF(4&gt;Hold_Yrs,0,F1839+F930+F1233+F1536+F2142+F1233*Prepay_Pen+IF(4=Hold_Yrs,$C2445,0))</f>
        <v>15264114.2635523</v>
      </c>
      <c r="H2748" s="71" t="n">
        <f aca="false">IF(5&gt;Hold_Yrs,0,G1839+G930+G1233+G1536+G2142+G1233*Prepay_Pen+IF(5=Hold_Yrs,$C2445,0))</f>
        <v>72254770.0470408</v>
      </c>
      <c r="I2748" s="71" t="n">
        <f aca="false">IF(6&gt;Hold_Yrs,0,H1839+H930+H1233+H1536+H2142+H1233*Prepay_Pen+IF(6=Hold_Yrs,$C2445,0))</f>
        <v>0</v>
      </c>
      <c r="J2748" s="71" t="n">
        <f aca="false">IF(7&gt;Hold_Yrs,0,I1839+I930+I1233+I1536+I2142+I1233*Prepay_Pen+IF(7=Hold_Yrs,$C2445,0))</f>
        <v>0</v>
      </c>
      <c r="K2748" s="71" t="n">
        <f aca="false">IF(8&gt;Hold_Yrs,0,J1839+J930+J1233+J1536+J2142+J1233*Prepay_Pen+IF(8=Hold_Yrs,$C2445,0))</f>
        <v>0</v>
      </c>
      <c r="L2748" s="71" t="n">
        <f aca="false">IF(9&gt;Hold_Yrs,0,K1839+K930+K1233+K1536+K2142+K1233*Prepay_Pen+IF(9=Hold_Yrs,$C2445,0))</f>
        <v>0</v>
      </c>
      <c r="M2748" s="71" t="n">
        <f aca="false">IF(10&gt;Hold_Yrs,0,L1839+L930+L1233+L1536+L2142+L1233*Prepay_Pen+IF(10=Hold_Yrs,$C2445,0))</f>
        <v>0</v>
      </c>
    </row>
    <row r="2749" customFormat="false" ht="15" hidden="false" customHeight="false" outlineLevel="0" collapsed="false">
      <c r="B2749" s="102" t="str">
        <f aca="false">'Loan Tape'!$A18</f>
        <v>L-015</v>
      </c>
      <c r="C2749" s="99" t="n">
        <f aca="false">-'Loan Tape'!$BB18</f>
        <v>-125005610.3</v>
      </c>
      <c r="D2749" s="99" t="n">
        <f aca="false">IF(1&gt;Hold_Yrs,0,C1840+C931+C1234+C1537+C2143+C1234*Prepay_Pen+IF(1=Hold_Yrs,$C2446,0))</f>
        <v>22737565.724</v>
      </c>
      <c r="E2749" s="99" t="n">
        <f aca="false">IF(2&gt;Hold_Yrs,0,D1840+D931+D1234+D1537+D2143+D1234*Prepay_Pen+IF(2=Hold_Yrs,$C2446,0))</f>
        <v>21308994.94112</v>
      </c>
      <c r="F2749" s="99" t="n">
        <f aca="false">IF(3&gt;Hold_Yrs,0,E1840+E931+E1234+E1537+E2143+E1234*Prepay_Pen+IF(3=Hold_Yrs,$C2446,0))</f>
        <v>18368188.4534016</v>
      </c>
      <c r="G2749" s="99" t="n">
        <f aca="false">IF(4&gt;Hold_Yrs,0,F1840+F931+F1234+F1537+F2143+F1234*Prepay_Pen+IF(4=Hold_Yrs,$C2446,0))</f>
        <v>15995165.9172884</v>
      </c>
      <c r="H2749" s="99" t="n">
        <f aca="false">IF(5&gt;Hold_Yrs,0,G1840+G931+G1234+G1537+G2143+G1234*Prepay_Pen+IF(5=Hold_Yrs,$C2446,0))</f>
        <v>82231838.5752488</v>
      </c>
      <c r="I2749" s="99" t="n">
        <f aca="false">IF(6&gt;Hold_Yrs,0,H1840+H931+H1234+H1537+H2143+H1234*Prepay_Pen+IF(6=Hold_Yrs,$C2446,0))</f>
        <v>0</v>
      </c>
      <c r="J2749" s="99" t="n">
        <f aca="false">IF(7&gt;Hold_Yrs,0,I1840+I931+I1234+I1537+I2143+I1234*Prepay_Pen+IF(7=Hold_Yrs,$C2446,0))</f>
        <v>0</v>
      </c>
      <c r="K2749" s="99" t="n">
        <f aca="false">IF(8&gt;Hold_Yrs,0,J1840+J931+J1234+J1537+J2143+J1234*Prepay_Pen+IF(8=Hold_Yrs,$C2446,0))</f>
        <v>0</v>
      </c>
      <c r="L2749" s="99" t="n">
        <f aca="false">IF(9&gt;Hold_Yrs,0,K1840+K931+K1234+K1537+K2143+K1234*Prepay_Pen+IF(9=Hold_Yrs,$C2446,0))</f>
        <v>0</v>
      </c>
      <c r="M2749" s="99" t="n">
        <f aca="false">IF(10&gt;Hold_Yrs,0,L1840+L931+L1234+L1537+L2143+L1234*Prepay_Pen+IF(10=Hold_Yrs,$C2446,0))</f>
        <v>0</v>
      </c>
    </row>
    <row r="2750" customFormat="false" ht="15" hidden="false" customHeight="false" outlineLevel="0" collapsed="false">
      <c r="B2750" s="108" t="str">
        <f aca="false">'Loan Tape'!$A19</f>
        <v>L-016</v>
      </c>
      <c r="C2750" s="71" t="n">
        <f aca="false">-'Loan Tape'!$BB19</f>
        <v>-7818897.65</v>
      </c>
      <c r="D2750" s="71" t="n">
        <f aca="false">IF(1&gt;Hold_Yrs,0,C1841+C932+C1235+C1538+C2144+C1235*Prepay_Pen+IF(1=Hold_Yrs,$C2447,0))</f>
        <v>8243000</v>
      </c>
      <c r="E2750" s="71" t="n">
        <f aca="false">IF(2&gt;Hold_Yrs,0,D1841+D932+D1235+D1538+D2144+D1235*Prepay_Pen+IF(2=Hold_Yrs,$C2447,0))</f>
        <v>0</v>
      </c>
      <c r="F2750" s="71" t="n">
        <f aca="false">IF(3&gt;Hold_Yrs,0,E1841+E932+E1235+E1538+E2144+E1235*Prepay_Pen+IF(3=Hold_Yrs,$C2447,0))</f>
        <v>0</v>
      </c>
      <c r="G2750" s="71" t="n">
        <f aca="false">IF(4&gt;Hold_Yrs,0,F1841+F932+F1235+F1538+F2144+F1235*Prepay_Pen+IF(4=Hold_Yrs,$C2447,0))</f>
        <v>0</v>
      </c>
      <c r="H2750" s="71" t="n">
        <f aca="false">IF(5&gt;Hold_Yrs,0,G1841+G932+G1235+G1538+G2144+G1235*Prepay_Pen+IF(5=Hold_Yrs,$C2447,0))</f>
        <v>0</v>
      </c>
      <c r="I2750" s="71" t="n">
        <f aca="false">IF(6&gt;Hold_Yrs,0,H1841+H932+H1235+H1538+H2144+H1235*Prepay_Pen+IF(6=Hold_Yrs,$C2447,0))</f>
        <v>0</v>
      </c>
      <c r="J2750" s="71" t="n">
        <f aca="false">IF(7&gt;Hold_Yrs,0,I1841+I932+I1235+I1538+I2144+I1235*Prepay_Pen+IF(7=Hold_Yrs,$C2447,0))</f>
        <v>0</v>
      </c>
      <c r="K2750" s="71" t="n">
        <f aca="false">IF(8&gt;Hold_Yrs,0,J1841+J932+J1235+J1538+J2144+J1235*Prepay_Pen+IF(8=Hold_Yrs,$C2447,0))</f>
        <v>0</v>
      </c>
      <c r="L2750" s="71" t="n">
        <f aca="false">IF(9&gt;Hold_Yrs,0,K1841+K932+K1235+K1538+K2144+K1235*Prepay_Pen+IF(9=Hold_Yrs,$C2447,0))</f>
        <v>0</v>
      </c>
      <c r="M2750" s="71" t="n">
        <f aca="false">IF(10&gt;Hold_Yrs,0,L1841+L932+L1235+L1538+L2144+L1235*Prepay_Pen+IF(10=Hold_Yrs,$C2447,0))</f>
        <v>0</v>
      </c>
    </row>
    <row r="2751" customFormat="false" ht="15" hidden="false" customHeight="false" outlineLevel="0" collapsed="false">
      <c r="B2751" s="102" t="str">
        <f aca="false">'Loan Tape'!$A20</f>
        <v>L-017</v>
      </c>
      <c r="C2751" s="99" t="n">
        <f aca="false">-'Loan Tape'!$BB20</f>
        <v>-4848039.05</v>
      </c>
      <c r="D2751" s="99" t="n">
        <f aca="false">IF(1&gt;Hold_Yrs,0,C1842+C933+C1236+C1539+C2145+C1236*Prepay_Pen+IF(1=Hold_Yrs,$C2448,0))</f>
        <v>733847.602</v>
      </c>
      <c r="E2751" s="99" t="n">
        <f aca="false">IF(2&gt;Hold_Yrs,0,D1842+D933+D1236+D1539+D2145+D1236*Prepay_Pen+IF(2=Hold_Yrs,$C2448,0))</f>
        <v>717339.88976</v>
      </c>
      <c r="F2751" s="99" t="n">
        <f aca="false">IF(3&gt;Hold_Yrs,0,E1842+E933+E1236+E1539+E2145+E1236*Prepay_Pen+IF(3=Hold_Yrs,$C2448,0))</f>
        <v>631259.1029888</v>
      </c>
      <c r="G2751" s="99" t="n">
        <f aca="false">IF(4&gt;Hold_Yrs,0,F1842+F933+F1236+F1539+F2145+F1236*Prepay_Pen+IF(4=Hold_Yrs,$C2448,0))</f>
        <v>555508.010630144</v>
      </c>
      <c r="H2751" s="99" t="n">
        <f aca="false">IF(5&gt;Hold_Yrs,0,G1842+G933+G1236+G1539+G2145+G1236*Prepay_Pen+IF(5=Hold_Yrs,$C2448,0))</f>
        <v>3134996.73964601</v>
      </c>
      <c r="I2751" s="99" t="n">
        <f aca="false">IF(6&gt;Hold_Yrs,0,H1842+H933+H1236+H1539+H2145+H1236*Prepay_Pen+IF(6=Hold_Yrs,$C2448,0))</f>
        <v>0</v>
      </c>
      <c r="J2751" s="99" t="n">
        <f aca="false">IF(7&gt;Hold_Yrs,0,I1842+I933+I1236+I1539+I2145+I1236*Prepay_Pen+IF(7=Hold_Yrs,$C2448,0))</f>
        <v>0</v>
      </c>
      <c r="K2751" s="99" t="n">
        <f aca="false">IF(8&gt;Hold_Yrs,0,J1842+J933+J1236+J1539+J2145+J1236*Prepay_Pen+IF(8=Hold_Yrs,$C2448,0))</f>
        <v>0</v>
      </c>
      <c r="L2751" s="99" t="n">
        <f aca="false">IF(9&gt;Hold_Yrs,0,K1842+K933+K1236+K1539+K2145+K1236*Prepay_Pen+IF(9=Hold_Yrs,$C2448,0))</f>
        <v>0</v>
      </c>
      <c r="M2751" s="99" t="n">
        <f aca="false">IF(10&gt;Hold_Yrs,0,L1842+L933+L1236+L1539+L2145+L1236*Prepay_Pen+IF(10=Hold_Yrs,$C2448,0))</f>
        <v>0</v>
      </c>
    </row>
    <row r="2752" customFormat="false" ht="15" hidden="false" customHeight="false" outlineLevel="0" collapsed="false">
      <c r="B2752" s="108" t="str">
        <f aca="false">'Loan Tape'!$A21</f>
        <v>L-018</v>
      </c>
      <c r="C2752" s="71" t="n">
        <f aca="false">-'Loan Tape'!$BB21</f>
        <v>-72780344.4</v>
      </c>
      <c r="D2752" s="71" t="n">
        <f aca="false">IF(1&gt;Hold_Yrs,0,C1843+C934+C1237+C1540+C2146+C1237*Prepay_Pen+IF(1=Hold_Yrs,$C2449,0))</f>
        <v>14147296.5119259</v>
      </c>
      <c r="E2752" s="71" t="n">
        <f aca="false">IF(2&gt;Hold_Yrs,0,D1843+D934+D1237+D1540+D2146+D1237*Prepay_Pen+IF(2=Hold_Yrs,$C2449,0))</f>
        <v>13156642.8990895</v>
      </c>
      <c r="F2752" s="71" t="n">
        <f aca="false">IF(3&gt;Hold_Yrs,0,E1843+E934+E1237+E1540+E2146+E1237*Prepay_Pen+IF(3=Hold_Yrs,$C2449,0))</f>
        <v>11269895.5138781</v>
      </c>
      <c r="G2752" s="71" t="n">
        <f aca="false">IF(4&gt;Hold_Yrs,0,F1843+F934+F1237+F1540+F2146+F1237*Prepay_Pen+IF(4=Hold_Yrs,$C2449,0))</f>
        <v>9701719.81283906</v>
      </c>
      <c r="H2752" s="71" t="n">
        <f aca="false">IF(5&gt;Hold_Yrs,0,G1843+G934+G1237+G1540+G2146+G1237*Prepay_Pen+IF(5=Hold_Yrs,$C2449,0))</f>
        <v>43584018.8535989</v>
      </c>
      <c r="I2752" s="71" t="n">
        <f aca="false">IF(6&gt;Hold_Yrs,0,H1843+H934+H1237+H1540+H2146+H1237*Prepay_Pen+IF(6=Hold_Yrs,$C2449,0))</f>
        <v>0</v>
      </c>
      <c r="J2752" s="71" t="n">
        <f aca="false">IF(7&gt;Hold_Yrs,0,I1843+I934+I1237+I1540+I2146+I1237*Prepay_Pen+IF(7=Hold_Yrs,$C2449,0))</f>
        <v>0</v>
      </c>
      <c r="K2752" s="71" t="n">
        <f aca="false">IF(8&gt;Hold_Yrs,0,J1843+J934+J1237+J1540+J2146+J1237*Prepay_Pen+IF(8=Hold_Yrs,$C2449,0))</f>
        <v>0</v>
      </c>
      <c r="L2752" s="71" t="n">
        <f aca="false">IF(9&gt;Hold_Yrs,0,K1843+K934+K1237+K1540+K2146+K1237*Prepay_Pen+IF(9=Hold_Yrs,$C2449,0))</f>
        <v>0</v>
      </c>
      <c r="M2752" s="71" t="n">
        <f aca="false">IF(10&gt;Hold_Yrs,0,L1843+L934+L1237+L1540+L2146+L1237*Prepay_Pen+IF(10=Hold_Yrs,$C2449,0))</f>
        <v>0</v>
      </c>
    </row>
    <row r="2753" customFormat="false" ht="15" hidden="false" customHeight="false" outlineLevel="0" collapsed="false">
      <c r="B2753" s="102" t="str">
        <f aca="false">'Loan Tape'!$A22</f>
        <v>L-019</v>
      </c>
      <c r="C2753" s="99" t="n">
        <f aca="false">-'Loan Tape'!$BB22</f>
        <v>-7798978.1</v>
      </c>
      <c r="D2753" s="99" t="n">
        <f aca="false">IF(1&gt;Hold_Yrs,0,C1844+C935+C1238+C1541+C2147+C1238*Prepay_Pen+IF(1=Hold_Yrs,$C2450,0))</f>
        <v>8690876.38600799</v>
      </c>
      <c r="E2753" s="99" t="n">
        <f aca="false">IF(2&gt;Hold_Yrs,0,D1844+D935+D1238+D1541+D2147+D1238*Prepay_Pen+IF(2=Hold_Yrs,$C2450,0))</f>
        <v>115108</v>
      </c>
      <c r="F2753" s="99" t="n">
        <f aca="false">IF(3&gt;Hold_Yrs,0,E1844+E935+E1238+E1541+E2147+E1238*Prepay_Pen+IF(3=Hold_Yrs,$C2450,0))</f>
        <v>0</v>
      </c>
      <c r="G2753" s="99" t="n">
        <f aca="false">IF(4&gt;Hold_Yrs,0,F1844+F935+F1238+F1541+F2147+F1238*Prepay_Pen+IF(4=Hold_Yrs,$C2450,0))</f>
        <v>0</v>
      </c>
      <c r="H2753" s="99" t="n">
        <f aca="false">IF(5&gt;Hold_Yrs,0,G1844+G935+G1238+G1541+G2147+G1238*Prepay_Pen+IF(5=Hold_Yrs,$C2450,0))</f>
        <v>0</v>
      </c>
      <c r="I2753" s="99" t="n">
        <f aca="false">IF(6&gt;Hold_Yrs,0,H1844+H935+H1238+H1541+H2147+H1238*Prepay_Pen+IF(6=Hold_Yrs,$C2450,0))</f>
        <v>0</v>
      </c>
      <c r="J2753" s="99" t="n">
        <f aca="false">IF(7&gt;Hold_Yrs,0,I1844+I935+I1238+I1541+I2147+I1238*Prepay_Pen+IF(7=Hold_Yrs,$C2450,0))</f>
        <v>0</v>
      </c>
      <c r="K2753" s="99" t="n">
        <f aca="false">IF(8&gt;Hold_Yrs,0,J1844+J935+J1238+J1541+J2147+J1238*Prepay_Pen+IF(8=Hold_Yrs,$C2450,0))</f>
        <v>0</v>
      </c>
      <c r="L2753" s="99" t="n">
        <f aca="false">IF(9&gt;Hold_Yrs,0,K1844+K935+K1238+K1541+K2147+K1238*Prepay_Pen+IF(9=Hold_Yrs,$C2450,0))</f>
        <v>0</v>
      </c>
      <c r="M2753" s="99" t="n">
        <f aca="false">IF(10&gt;Hold_Yrs,0,L1844+L935+L1238+L1541+L2147+L1238*Prepay_Pen+IF(10=Hold_Yrs,$C2450,0))</f>
        <v>0</v>
      </c>
    </row>
    <row r="2754" customFormat="false" ht="15" hidden="false" customHeight="false" outlineLevel="0" collapsed="false">
      <c r="B2754" s="108" t="str">
        <f aca="false">'Loan Tape'!$A23</f>
        <v>L-020</v>
      </c>
      <c r="C2754" s="71" t="n">
        <f aca="false">-'Loan Tape'!$BB23</f>
        <v>-65553341.95</v>
      </c>
      <c r="D2754" s="71" t="n">
        <f aca="false">IF(1&gt;Hold_Yrs,0,C1845+C936+C1239+C1542+C2148+C1239*Prepay_Pen+IF(1=Hold_Yrs,$C2451,0))</f>
        <v>12735682.956</v>
      </c>
      <c r="E2754" s="71" t="n">
        <f aca="false">IF(2&gt;Hold_Yrs,0,D1845+D936+D1239+D1542+D2148+D1239*Prepay_Pen+IF(2=Hold_Yrs,$C2451,0))</f>
        <v>11889092.17728</v>
      </c>
      <c r="F2754" s="71" t="n">
        <f aca="false">IF(3&gt;Hold_Yrs,0,E1845+E936+E1239+E1542+E2148+E1239*Prepay_Pen+IF(3=Hold_Yrs,$C2451,0))</f>
        <v>10261173.3999104</v>
      </c>
      <c r="G2754" s="71" t="n">
        <f aca="false">IF(4&gt;Hold_Yrs,0,F1845+F936+F1239+F1542+F2148+F1239*Prepay_Pen+IF(4=Hold_Yrs,$C2451,0))</f>
        <v>8941292.39683891</v>
      </c>
      <c r="H2754" s="71" t="n">
        <f aca="false">IF(5&gt;Hold_Yrs,0,G1845+G936+G1239+G1542+G2148+G1239*Prepay_Pen+IF(5=Hold_Yrs,$C2451,0))</f>
        <v>43609610.2918137</v>
      </c>
      <c r="I2754" s="71" t="n">
        <f aca="false">IF(6&gt;Hold_Yrs,0,H1845+H936+H1239+H1542+H2148+H1239*Prepay_Pen+IF(6=Hold_Yrs,$C2451,0))</f>
        <v>0</v>
      </c>
      <c r="J2754" s="71" t="n">
        <f aca="false">IF(7&gt;Hold_Yrs,0,I1845+I936+I1239+I1542+I2148+I1239*Prepay_Pen+IF(7=Hold_Yrs,$C2451,0))</f>
        <v>0</v>
      </c>
      <c r="K2754" s="71" t="n">
        <f aca="false">IF(8&gt;Hold_Yrs,0,J1845+J936+J1239+J1542+J2148+J1239*Prepay_Pen+IF(8=Hold_Yrs,$C2451,0))</f>
        <v>0</v>
      </c>
      <c r="L2754" s="71" t="n">
        <f aca="false">IF(9&gt;Hold_Yrs,0,K1845+K936+K1239+K1542+K2148+K1239*Prepay_Pen+IF(9=Hold_Yrs,$C2451,0))</f>
        <v>0</v>
      </c>
      <c r="M2754" s="71" t="n">
        <f aca="false">IF(10&gt;Hold_Yrs,0,L1845+L936+L1239+L1542+L2148+L1239*Prepay_Pen+IF(10=Hold_Yrs,$C2451,0))</f>
        <v>0</v>
      </c>
    </row>
    <row r="2755" customFormat="false" ht="15" hidden="false" customHeight="false" outlineLevel="0" collapsed="false">
      <c r="B2755" s="102" t="str">
        <f aca="false">'Loan Tape'!$A24</f>
        <v>L-021</v>
      </c>
      <c r="C2755" s="99" t="n">
        <f aca="false">-'Loan Tape'!$BB24</f>
        <v>-34857315.4</v>
      </c>
      <c r="D2755" s="99" t="n">
        <f aca="false">IF(1&gt;Hold_Yrs,0,C1846+C937+C1240+C1543+C2149+C1240*Prepay_Pen+IF(1=Hold_Yrs,$C2452,0))</f>
        <v>6752517.33342587</v>
      </c>
      <c r="E2755" s="99" t="n">
        <f aca="false">IF(2&gt;Hold_Yrs,0,D1846+D937+D1240+D1543+D2149+D1240*Prepay_Pen+IF(2=Hold_Yrs,$C2452,0))</f>
        <v>6288541.80919602</v>
      </c>
      <c r="F2755" s="99" t="n">
        <f aca="false">IF(3&gt;Hold_Yrs,0,E1846+E937+E1240+E1543+E2149+E1240*Prepay_Pen+IF(3=Hold_Yrs,$C2452,0))</f>
        <v>5396108.96977967</v>
      </c>
      <c r="G2755" s="99" t="n">
        <f aca="false">IF(4&gt;Hold_Yrs,0,F1846+F937+F1240+F1543+F2149+F1240*Prepay_Pen+IF(4=Hold_Yrs,$C2452,0))</f>
        <v>24475973.9359646</v>
      </c>
      <c r="H2755" s="99" t="n">
        <f aca="false">IF(5&gt;Hold_Yrs,0,G1846+G937+G1240+G1543+G2149+G1240*Prepay_Pen+IF(5=Hold_Yrs,$C2452,0))</f>
        <v>113076.908280493</v>
      </c>
      <c r="I2755" s="99" t="n">
        <f aca="false">IF(6&gt;Hold_Yrs,0,H1846+H937+H1240+H1543+H2149+H1240*Prepay_Pen+IF(6=Hold_Yrs,$C2452,0))</f>
        <v>0</v>
      </c>
      <c r="J2755" s="99" t="n">
        <f aca="false">IF(7&gt;Hold_Yrs,0,I1846+I937+I1240+I1543+I2149+I1240*Prepay_Pen+IF(7=Hold_Yrs,$C2452,0))</f>
        <v>0</v>
      </c>
      <c r="K2755" s="99" t="n">
        <f aca="false">IF(8&gt;Hold_Yrs,0,J1846+J937+J1240+J1543+J2149+J1240*Prepay_Pen+IF(8=Hold_Yrs,$C2452,0))</f>
        <v>0</v>
      </c>
      <c r="L2755" s="99" t="n">
        <f aca="false">IF(9&gt;Hold_Yrs,0,K1846+K937+K1240+K1543+K2149+K1240*Prepay_Pen+IF(9=Hold_Yrs,$C2452,0))</f>
        <v>0</v>
      </c>
      <c r="M2755" s="99" t="n">
        <f aca="false">IF(10&gt;Hold_Yrs,0,L1846+L937+L1240+L1543+L2149+L1240*Prepay_Pen+IF(10=Hold_Yrs,$C2452,0))</f>
        <v>0</v>
      </c>
    </row>
    <row r="2756" customFormat="false" ht="15" hidden="false" customHeight="false" outlineLevel="0" collapsed="false">
      <c r="B2756" s="108" t="str">
        <f aca="false">'Loan Tape'!$A25</f>
        <v>L-022</v>
      </c>
      <c r="C2756" s="71" t="n">
        <f aca="false">-'Loan Tape'!$BB25</f>
        <v>-6664512.3</v>
      </c>
      <c r="D2756" s="71" t="n">
        <f aca="false">IF(1&gt;Hold_Yrs,0,C1847+C938+C1241+C1544+C2150+C1241*Prepay_Pen+IF(1=Hold_Yrs,$C2453,0))</f>
        <v>1216459.29169656</v>
      </c>
      <c r="E2756" s="71" t="n">
        <f aca="false">IF(2&gt;Hold_Yrs,0,D1847+D938+D1241+D1544+D2150+D1241*Prepay_Pen+IF(2=Hold_Yrs,$C2453,0))</f>
        <v>6230991.85013748</v>
      </c>
      <c r="F2756" s="71" t="n">
        <f aca="false">IF(3&gt;Hold_Yrs,0,E1847+E938+E1241+E1544+E2150+E1241*Prepay_Pen+IF(3=Hold_Yrs,$C2453,0))</f>
        <v>70274.0049788602</v>
      </c>
      <c r="G2756" s="71" t="n">
        <f aca="false">IF(4&gt;Hold_Yrs,0,F1847+F938+F1241+F1544+F2150+F1241*Prepay_Pen+IF(4=Hold_Yrs,$C2453,0))</f>
        <v>0</v>
      </c>
      <c r="H2756" s="71" t="n">
        <f aca="false">IF(5&gt;Hold_Yrs,0,G1847+G938+G1241+G1544+G2150+G1241*Prepay_Pen+IF(5=Hold_Yrs,$C2453,0))</f>
        <v>0</v>
      </c>
      <c r="I2756" s="71" t="n">
        <f aca="false">IF(6&gt;Hold_Yrs,0,H1847+H938+H1241+H1544+H2150+H1241*Prepay_Pen+IF(6=Hold_Yrs,$C2453,0))</f>
        <v>0</v>
      </c>
      <c r="J2756" s="71" t="n">
        <f aca="false">IF(7&gt;Hold_Yrs,0,I1847+I938+I1241+I1544+I2150+I1241*Prepay_Pen+IF(7=Hold_Yrs,$C2453,0))</f>
        <v>0</v>
      </c>
      <c r="K2756" s="71" t="n">
        <f aca="false">IF(8&gt;Hold_Yrs,0,J1847+J938+J1241+J1544+J2150+J1241*Prepay_Pen+IF(8=Hold_Yrs,$C2453,0))</f>
        <v>0</v>
      </c>
      <c r="L2756" s="71" t="n">
        <f aca="false">IF(9&gt;Hold_Yrs,0,K1847+K938+K1241+K1544+K2150+K1241*Prepay_Pen+IF(9=Hold_Yrs,$C2453,0))</f>
        <v>0</v>
      </c>
      <c r="M2756" s="71" t="n">
        <f aca="false">IF(10&gt;Hold_Yrs,0,L1847+L938+L1241+L1544+L2150+L1241*Prepay_Pen+IF(10=Hold_Yrs,$C2453,0))</f>
        <v>0</v>
      </c>
    </row>
    <row r="2757" customFormat="false" ht="15" hidden="false" customHeight="false" outlineLevel="0" collapsed="false">
      <c r="B2757" s="102" t="str">
        <f aca="false">'Loan Tape'!$A26</f>
        <v>L-023</v>
      </c>
      <c r="C2757" s="99" t="n">
        <f aca="false">-'Loan Tape'!$BB26</f>
        <v>-72380056.3</v>
      </c>
      <c r="D2757" s="99" t="n">
        <f aca="false">IF(1&gt;Hold_Yrs,0,C1848+C939+C1242+C1545+C2151+C1242*Prepay_Pen+IF(1=Hold_Yrs,$C2454,0))</f>
        <v>76306000</v>
      </c>
      <c r="E2757" s="99" t="n">
        <f aca="false">IF(2&gt;Hold_Yrs,0,D1848+D939+D1242+D1545+D2151+D1242*Prepay_Pen+IF(2=Hold_Yrs,$C2454,0))</f>
        <v>0</v>
      </c>
      <c r="F2757" s="99" t="n">
        <f aca="false">IF(3&gt;Hold_Yrs,0,E1848+E939+E1242+E1545+E2151+E1242*Prepay_Pen+IF(3=Hold_Yrs,$C2454,0))</f>
        <v>0</v>
      </c>
      <c r="G2757" s="99" t="n">
        <f aca="false">IF(4&gt;Hold_Yrs,0,F1848+F939+F1242+F1545+F2151+F1242*Prepay_Pen+IF(4=Hold_Yrs,$C2454,0))</f>
        <v>0</v>
      </c>
      <c r="H2757" s="99" t="n">
        <f aca="false">IF(5&gt;Hold_Yrs,0,G1848+G939+G1242+G1545+G2151+G1242*Prepay_Pen+IF(5=Hold_Yrs,$C2454,0))</f>
        <v>0</v>
      </c>
      <c r="I2757" s="99" t="n">
        <f aca="false">IF(6&gt;Hold_Yrs,0,H1848+H939+H1242+H1545+H2151+H1242*Prepay_Pen+IF(6=Hold_Yrs,$C2454,0))</f>
        <v>0</v>
      </c>
      <c r="J2757" s="99" t="n">
        <f aca="false">IF(7&gt;Hold_Yrs,0,I1848+I939+I1242+I1545+I2151+I1242*Prepay_Pen+IF(7=Hold_Yrs,$C2454,0))</f>
        <v>0</v>
      </c>
      <c r="K2757" s="99" t="n">
        <f aca="false">IF(8&gt;Hold_Yrs,0,J1848+J939+J1242+J1545+J2151+J1242*Prepay_Pen+IF(8=Hold_Yrs,$C2454,0))</f>
        <v>0</v>
      </c>
      <c r="L2757" s="99" t="n">
        <f aca="false">IF(9&gt;Hold_Yrs,0,K1848+K939+K1242+K1545+K2151+K1242*Prepay_Pen+IF(9=Hold_Yrs,$C2454,0))</f>
        <v>0</v>
      </c>
      <c r="M2757" s="99" t="n">
        <f aca="false">IF(10&gt;Hold_Yrs,0,L1848+L939+L1242+L1545+L2151+L1242*Prepay_Pen+IF(10=Hold_Yrs,$C2454,0))</f>
        <v>0</v>
      </c>
    </row>
    <row r="2758" customFormat="false" ht="15" hidden="false" customHeight="false" outlineLevel="0" collapsed="false">
      <c r="B2758" s="108" t="str">
        <f aca="false">'Loan Tape'!$A27</f>
        <v>L-024</v>
      </c>
      <c r="C2758" s="71" t="n">
        <f aca="false">-'Loan Tape'!$BB27</f>
        <v>-16725782.15</v>
      </c>
      <c r="D2758" s="71" t="n">
        <f aca="false">IF(1&gt;Hold_Yrs,0,C1849+C940+C1243+C1546+C2152+C1243*Prepay_Pen+IF(1=Hold_Yrs,$C2455,0))</f>
        <v>3052237.034</v>
      </c>
      <c r="E2758" s="71" t="n">
        <f aca="false">IF(2&gt;Hold_Yrs,0,D1849+D940+D1243+D1546+D2152+D1243*Prepay_Pen+IF(2=Hold_Yrs,$C2455,0))</f>
        <v>2859900.50192</v>
      </c>
      <c r="F2758" s="71" t="n">
        <f aca="false">IF(3&gt;Hold_Yrs,0,E1849+E940+E1243+E1546+E2152+E1243*Prepay_Pen+IF(3=Hold_Yrs,$C2455,0))</f>
        <v>2465369.6597376</v>
      </c>
      <c r="G2758" s="71" t="n">
        <f aca="false">IF(4&gt;Hold_Yrs,0,F1849+F940+F1243+F1546+F2152+F1243*Prepay_Pen+IF(4=Hold_Yrs,$C2455,0))</f>
        <v>12684030.817021</v>
      </c>
      <c r="H2758" s="71" t="n">
        <f aca="false">IF(5&gt;Hold_Yrs,0,G1849+G940+G1243+G1546+G2152+G1243*Prepay_Pen+IF(5=Hold_Yrs,$C2455,0))</f>
        <v>154872.506818672</v>
      </c>
      <c r="I2758" s="71" t="n">
        <f aca="false">IF(6&gt;Hold_Yrs,0,H1849+H940+H1243+H1546+H2152+H1243*Prepay_Pen+IF(6=Hold_Yrs,$C2455,0))</f>
        <v>0</v>
      </c>
      <c r="J2758" s="71" t="n">
        <f aca="false">IF(7&gt;Hold_Yrs,0,I1849+I940+I1243+I1546+I2152+I1243*Prepay_Pen+IF(7=Hold_Yrs,$C2455,0))</f>
        <v>0</v>
      </c>
      <c r="K2758" s="71" t="n">
        <f aca="false">IF(8&gt;Hold_Yrs,0,J1849+J940+J1243+J1546+J2152+J1243*Prepay_Pen+IF(8=Hold_Yrs,$C2455,0))</f>
        <v>0</v>
      </c>
      <c r="L2758" s="71" t="n">
        <f aca="false">IF(9&gt;Hold_Yrs,0,K1849+K940+K1243+K1546+K2152+K1243*Prepay_Pen+IF(9=Hold_Yrs,$C2455,0))</f>
        <v>0</v>
      </c>
      <c r="M2758" s="71" t="n">
        <f aca="false">IF(10&gt;Hold_Yrs,0,L1849+L940+L1243+L1546+L2152+L1243*Prepay_Pen+IF(10=Hold_Yrs,$C2455,0))</f>
        <v>0</v>
      </c>
    </row>
    <row r="2759" customFormat="false" ht="15" hidden="false" customHeight="false" outlineLevel="0" collapsed="false">
      <c r="B2759" s="102" t="str">
        <f aca="false">'Loan Tape'!$A28</f>
        <v>L-025</v>
      </c>
      <c r="C2759" s="99" t="n">
        <f aca="false">-'Loan Tape'!$BB28</f>
        <v>-14012929.15</v>
      </c>
      <c r="D2759" s="99" t="n">
        <f aca="false">IF(1&gt;Hold_Yrs,0,C1850+C941+C1244+C1547+C2153+C1244*Prepay_Pen+IF(1=Hold_Yrs,$C2456,0))</f>
        <v>2488703.91819914</v>
      </c>
      <c r="E2759" s="99" t="n">
        <f aca="false">IF(2&gt;Hold_Yrs,0,D1850+D941+D1244+D1547+D2153+D1244*Prepay_Pen+IF(2=Hold_Yrs,$C2456,0))</f>
        <v>2367440.0171855</v>
      </c>
      <c r="F2759" s="99" t="n">
        <f aca="false">IF(3&gt;Hold_Yrs,0,E1850+E941+E1244+E1547+E2153+E1244*Prepay_Pen+IF(3=Hold_Yrs,$C2456,0))</f>
        <v>2052275.40911066</v>
      </c>
      <c r="G2759" s="99" t="n">
        <f aca="false">IF(4&gt;Hold_Yrs,0,F1850+F941+F1244+F1547+F2153+F1244*Prepay_Pen+IF(4=Hold_Yrs,$C2456,0))</f>
        <v>9631678.85067556</v>
      </c>
      <c r="H2759" s="99" t="n">
        <f aca="false">IF(5&gt;Hold_Yrs,0,G1850+G941+G1244+G1547+G2153+G1244*Prepay_Pen+IF(5=Hold_Yrs,$C2456,0))</f>
        <v>33598.3946836947</v>
      </c>
      <c r="I2759" s="99" t="n">
        <f aca="false">IF(6&gt;Hold_Yrs,0,H1850+H941+H1244+H1547+H2153+H1244*Prepay_Pen+IF(6=Hold_Yrs,$C2456,0))</f>
        <v>0</v>
      </c>
      <c r="J2759" s="99" t="n">
        <f aca="false">IF(7&gt;Hold_Yrs,0,I1850+I941+I1244+I1547+I2153+I1244*Prepay_Pen+IF(7=Hold_Yrs,$C2456,0))</f>
        <v>0</v>
      </c>
      <c r="K2759" s="99" t="n">
        <f aca="false">IF(8&gt;Hold_Yrs,0,J1850+J941+J1244+J1547+J2153+J1244*Prepay_Pen+IF(8=Hold_Yrs,$C2456,0))</f>
        <v>0</v>
      </c>
      <c r="L2759" s="99" t="n">
        <f aca="false">IF(9&gt;Hold_Yrs,0,K1850+K941+K1244+K1547+K2153+K1244*Prepay_Pen+IF(9=Hold_Yrs,$C2456,0))</f>
        <v>0</v>
      </c>
      <c r="M2759" s="99" t="n">
        <f aca="false">IF(10&gt;Hold_Yrs,0,L1850+L941+L1244+L1547+L2153+L1244*Prepay_Pen+IF(10=Hold_Yrs,$C2456,0))</f>
        <v>0</v>
      </c>
    </row>
    <row r="2760" customFormat="false" ht="15" hidden="false" customHeight="false" outlineLevel="0" collapsed="false">
      <c r="B2760" s="108" t="str">
        <f aca="false">'Loan Tape'!$A29</f>
        <v>L-026</v>
      </c>
      <c r="C2760" s="71" t="n">
        <f aca="false">-'Loan Tape'!$BB29</f>
        <v>-85271799.35</v>
      </c>
      <c r="D2760" s="71" t="n">
        <f aca="false">IF(1&gt;Hold_Yrs,0,C1851+C942+C1245+C1548+C2154+C1245*Prepay_Pen+IF(1=Hold_Yrs,$C2457,0))</f>
        <v>95574534.932</v>
      </c>
      <c r="E2760" s="71" t="n">
        <f aca="false">IF(2&gt;Hold_Yrs,0,D1851+D942+D1245+D1548+D2154+D1245*Prepay_Pen+IF(2=Hold_Yrs,$C2457,0))</f>
        <v>1258558</v>
      </c>
      <c r="F2760" s="71" t="n">
        <f aca="false">IF(3&gt;Hold_Yrs,0,E1851+E942+E1245+E1548+E2154+E1245*Prepay_Pen+IF(3=Hold_Yrs,$C2457,0))</f>
        <v>0</v>
      </c>
      <c r="G2760" s="71" t="n">
        <f aca="false">IF(4&gt;Hold_Yrs,0,F1851+F942+F1245+F1548+F2154+F1245*Prepay_Pen+IF(4=Hold_Yrs,$C2457,0))</f>
        <v>0</v>
      </c>
      <c r="H2760" s="71" t="n">
        <f aca="false">IF(5&gt;Hold_Yrs,0,G1851+G942+G1245+G1548+G2154+G1245*Prepay_Pen+IF(5=Hold_Yrs,$C2457,0))</f>
        <v>0</v>
      </c>
      <c r="I2760" s="71" t="n">
        <f aca="false">IF(6&gt;Hold_Yrs,0,H1851+H942+H1245+H1548+H2154+H1245*Prepay_Pen+IF(6=Hold_Yrs,$C2457,0))</f>
        <v>0</v>
      </c>
      <c r="J2760" s="71" t="n">
        <f aca="false">IF(7&gt;Hold_Yrs,0,I1851+I942+I1245+I1548+I2154+I1245*Prepay_Pen+IF(7=Hold_Yrs,$C2457,0))</f>
        <v>0</v>
      </c>
      <c r="K2760" s="71" t="n">
        <f aca="false">IF(8&gt;Hold_Yrs,0,J1851+J942+J1245+J1548+J2154+J1245*Prepay_Pen+IF(8=Hold_Yrs,$C2457,0))</f>
        <v>0</v>
      </c>
      <c r="L2760" s="71" t="n">
        <f aca="false">IF(9&gt;Hold_Yrs,0,K1851+K942+K1245+K1548+K2154+K1245*Prepay_Pen+IF(9=Hold_Yrs,$C2457,0))</f>
        <v>0</v>
      </c>
      <c r="M2760" s="71" t="n">
        <f aca="false">IF(10&gt;Hold_Yrs,0,L1851+L942+L1245+L1548+L2154+L1245*Prepay_Pen+IF(10=Hold_Yrs,$C2457,0))</f>
        <v>0</v>
      </c>
    </row>
    <row r="2761" customFormat="false" ht="15" hidden="false" customHeight="false" outlineLevel="0" collapsed="false">
      <c r="B2761" s="102" t="str">
        <f aca="false">'Loan Tape'!$A30</f>
        <v>L-027</v>
      </c>
      <c r="C2761" s="99" t="n">
        <f aca="false">-'Loan Tape'!$BB30</f>
        <v>-83928652.55</v>
      </c>
      <c r="D2761" s="99" t="n">
        <f aca="false">IF(1&gt;Hold_Yrs,0,C1852+C943+C1246+C1549+C2155+C1246*Prepay_Pen+IF(1=Hold_Yrs,$C2458,0))</f>
        <v>15457276.776</v>
      </c>
      <c r="E2761" s="99" t="n">
        <f aca="false">IF(2&gt;Hold_Yrs,0,D1852+D943+D1246+D1549+D2155+D1246*Prepay_Pen+IF(2=Hold_Yrs,$C2458,0))</f>
        <v>14475180.14688</v>
      </c>
      <c r="F2761" s="99" t="n">
        <f aca="false">IF(3&gt;Hold_Yrs,0,E1852+E943+E1246+E1549+E2155+E1246*Prepay_Pen+IF(3=Hold_Yrs,$C2458,0))</f>
        <v>12480524.5083904</v>
      </c>
      <c r="G2761" s="99" t="n">
        <f aca="false">IF(4&gt;Hold_Yrs,0,F1852+F943+F1246+F1549+F2155+F1246*Prepay_Pen+IF(4=Hold_Yrs,$C2458,0))</f>
        <v>62659410.1456147</v>
      </c>
      <c r="H2761" s="99" t="n">
        <f aca="false">IF(5&gt;Hold_Yrs,0,G1852+G943+G1246+G1549+G2155+G1246*Prepay_Pen+IF(5=Hold_Yrs,$C2458,0))</f>
        <v>423525.762639551</v>
      </c>
      <c r="I2761" s="99" t="n">
        <f aca="false">IF(6&gt;Hold_Yrs,0,H1852+H943+H1246+H1549+H2155+H1246*Prepay_Pen+IF(6=Hold_Yrs,$C2458,0))</f>
        <v>0</v>
      </c>
      <c r="J2761" s="99" t="n">
        <f aca="false">IF(7&gt;Hold_Yrs,0,I1852+I943+I1246+I1549+I2155+I1246*Prepay_Pen+IF(7=Hold_Yrs,$C2458,0))</f>
        <v>0</v>
      </c>
      <c r="K2761" s="99" t="n">
        <f aca="false">IF(8&gt;Hold_Yrs,0,J1852+J943+J1246+J1549+J2155+J1246*Prepay_Pen+IF(8=Hold_Yrs,$C2458,0))</f>
        <v>0</v>
      </c>
      <c r="L2761" s="99" t="n">
        <f aca="false">IF(9&gt;Hold_Yrs,0,K1852+K943+K1246+K1549+K2155+K1246*Prepay_Pen+IF(9=Hold_Yrs,$C2458,0))</f>
        <v>0</v>
      </c>
      <c r="M2761" s="99" t="n">
        <f aca="false">IF(10&gt;Hold_Yrs,0,L1852+L943+L1246+L1549+L2155+L1246*Prepay_Pen+IF(10=Hold_Yrs,$C2458,0))</f>
        <v>0</v>
      </c>
    </row>
    <row r="2762" customFormat="false" ht="15" hidden="false" customHeight="false" outlineLevel="0" collapsed="false">
      <c r="B2762" s="108" t="str">
        <f aca="false">'Loan Tape'!$A31</f>
        <v>L-028</v>
      </c>
      <c r="C2762" s="71" t="n">
        <f aca="false">-'Loan Tape'!$BB31</f>
        <v>-81940491.75</v>
      </c>
      <c r="D2762" s="71" t="n">
        <f aca="false">IF(1&gt;Hold_Yrs,0,C1853+C944+C1247+C1550+C2156+C1247*Prepay_Pen+IF(1=Hold_Yrs,$C2459,0))</f>
        <v>86385000</v>
      </c>
      <c r="E2762" s="71" t="n">
        <f aca="false">IF(2&gt;Hold_Yrs,0,D1853+D944+D1247+D1550+D2156+D1247*Prepay_Pen+IF(2=Hold_Yrs,$C2459,0))</f>
        <v>0</v>
      </c>
      <c r="F2762" s="71" t="n">
        <f aca="false">IF(3&gt;Hold_Yrs,0,E1853+E944+E1247+E1550+E2156+E1247*Prepay_Pen+IF(3=Hold_Yrs,$C2459,0))</f>
        <v>0</v>
      </c>
      <c r="G2762" s="71" t="n">
        <f aca="false">IF(4&gt;Hold_Yrs,0,F1853+F944+F1247+F1550+F2156+F1247*Prepay_Pen+IF(4=Hold_Yrs,$C2459,0))</f>
        <v>0</v>
      </c>
      <c r="H2762" s="71" t="n">
        <f aca="false">IF(5&gt;Hold_Yrs,0,G1853+G944+G1247+G1550+G2156+G1247*Prepay_Pen+IF(5=Hold_Yrs,$C2459,0))</f>
        <v>0</v>
      </c>
      <c r="I2762" s="71" t="n">
        <f aca="false">IF(6&gt;Hold_Yrs,0,H1853+H944+H1247+H1550+H2156+H1247*Prepay_Pen+IF(6=Hold_Yrs,$C2459,0))</f>
        <v>0</v>
      </c>
      <c r="J2762" s="71" t="n">
        <f aca="false">IF(7&gt;Hold_Yrs,0,I1853+I944+I1247+I1550+I2156+I1247*Prepay_Pen+IF(7=Hold_Yrs,$C2459,0))</f>
        <v>0</v>
      </c>
      <c r="K2762" s="71" t="n">
        <f aca="false">IF(8&gt;Hold_Yrs,0,J1853+J944+J1247+J1550+J2156+J1247*Prepay_Pen+IF(8=Hold_Yrs,$C2459,0))</f>
        <v>0</v>
      </c>
      <c r="L2762" s="71" t="n">
        <f aca="false">IF(9&gt;Hold_Yrs,0,K1853+K944+K1247+K1550+K2156+K1247*Prepay_Pen+IF(9=Hold_Yrs,$C2459,0))</f>
        <v>0</v>
      </c>
      <c r="M2762" s="71" t="n">
        <f aca="false">IF(10&gt;Hold_Yrs,0,L1853+L944+L1247+L1550+L2156+L1247*Prepay_Pen+IF(10=Hold_Yrs,$C2459,0))</f>
        <v>0</v>
      </c>
    </row>
    <row r="2763" customFormat="false" ht="15" hidden="false" customHeight="false" outlineLevel="0" collapsed="false">
      <c r="B2763" s="102" t="str">
        <f aca="false">'Loan Tape'!$A32</f>
        <v>L-029</v>
      </c>
      <c r="C2763" s="99" t="n">
        <f aca="false">-'Loan Tape'!$BB32</f>
        <v>-41475348.75</v>
      </c>
      <c r="D2763" s="99" t="n">
        <f aca="false">IF(1&gt;Hold_Yrs,0,C1854+C945+C1248+C1551+C2157+C1248*Prepay_Pen+IF(1=Hold_Yrs,$C2460,0))</f>
        <v>43725000</v>
      </c>
      <c r="E2763" s="99" t="n">
        <f aca="false">IF(2&gt;Hold_Yrs,0,D1854+D945+D1248+D1551+D2157+D1248*Prepay_Pen+IF(2=Hold_Yrs,$C2460,0))</f>
        <v>0</v>
      </c>
      <c r="F2763" s="99" t="n">
        <f aca="false">IF(3&gt;Hold_Yrs,0,E1854+E945+E1248+E1551+E2157+E1248*Prepay_Pen+IF(3=Hold_Yrs,$C2460,0))</f>
        <v>0</v>
      </c>
      <c r="G2763" s="99" t="n">
        <f aca="false">IF(4&gt;Hold_Yrs,0,F1854+F945+F1248+F1551+F2157+F1248*Prepay_Pen+IF(4=Hold_Yrs,$C2460,0))</f>
        <v>0</v>
      </c>
      <c r="H2763" s="99" t="n">
        <f aca="false">IF(5&gt;Hold_Yrs,0,G1854+G945+G1248+G1551+G2157+G1248*Prepay_Pen+IF(5=Hold_Yrs,$C2460,0))</f>
        <v>0</v>
      </c>
      <c r="I2763" s="99" t="n">
        <f aca="false">IF(6&gt;Hold_Yrs,0,H1854+H945+H1248+H1551+H2157+H1248*Prepay_Pen+IF(6=Hold_Yrs,$C2460,0))</f>
        <v>0</v>
      </c>
      <c r="J2763" s="99" t="n">
        <f aca="false">IF(7&gt;Hold_Yrs,0,I1854+I945+I1248+I1551+I2157+I1248*Prepay_Pen+IF(7=Hold_Yrs,$C2460,0))</f>
        <v>0</v>
      </c>
      <c r="K2763" s="99" t="n">
        <f aca="false">IF(8&gt;Hold_Yrs,0,J1854+J945+J1248+J1551+J2157+J1248*Prepay_Pen+IF(8=Hold_Yrs,$C2460,0))</f>
        <v>0</v>
      </c>
      <c r="L2763" s="99" t="n">
        <f aca="false">IF(9&gt;Hold_Yrs,0,K1854+K945+K1248+K1551+K2157+K1248*Prepay_Pen+IF(9=Hold_Yrs,$C2460,0))</f>
        <v>0</v>
      </c>
      <c r="M2763" s="99" t="n">
        <f aca="false">IF(10&gt;Hold_Yrs,0,L1854+L945+L1248+L1551+L2157+L1248*Prepay_Pen+IF(10=Hold_Yrs,$C2460,0))</f>
        <v>0</v>
      </c>
    </row>
    <row r="2764" customFormat="false" ht="15" hidden="false" customHeight="false" outlineLevel="0" collapsed="false">
      <c r="B2764" s="108" t="str">
        <f aca="false">'Loan Tape'!$A33</f>
        <v>L-030</v>
      </c>
      <c r="C2764" s="71" t="n">
        <f aca="false">-'Loan Tape'!$BB33</f>
        <v>-13465615.8</v>
      </c>
      <c r="D2764" s="71" t="n">
        <f aca="false">IF(1&gt;Hold_Yrs,0,C1855+C946+C1249+C1552+C2158+C1249*Prepay_Pen+IF(1=Hold_Yrs,$C2461,0))</f>
        <v>2691895.82206027</v>
      </c>
      <c r="E2764" s="71" t="n">
        <f aca="false">IF(2&gt;Hold_Yrs,0,D1855+D946+D1249+D1552+D2158+D1249*Prepay_Pen+IF(2=Hold_Yrs,$C2461,0))</f>
        <v>2510138.48548488</v>
      </c>
      <c r="F2764" s="71" t="n">
        <f aca="false">IF(3&gt;Hold_Yrs,0,E1855+E946+E1249+E1552+E2158+E1249*Prepay_Pen+IF(3=Hold_Yrs,$C2461,0))</f>
        <v>2153397.598157</v>
      </c>
      <c r="G2764" s="71" t="n">
        <f aca="false">IF(4&gt;Hold_Yrs,0,F1855+F946+F1249+F1552+F2158+F1249*Prepay_Pen+IF(4=Hold_Yrs,$C2461,0))</f>
        <v>1856908.21478289</v>
      </c>
      <c r="H2764" s="71" t="n">
        <f aca="false">IF(5&gt;Hold_Yrs,0,G1855+G946+G1249+G1552+G2158+G1249*Prepay_Pen+IF(5=Hold_Yrs,$C2461,0))</f>
        <v>8122011.32502033</v>
      </c>
      <c r="I2764" s="71" t="n">
        <f aca="false">IF(6&gt;Hold_Yrs,0,H1855+H946+H1249+H1552+H2158+H1249*Prepay_Pen+IF(6=Hold_Yrs,$C2461,0))</f>
        <v>0</v>
      </c>
      <c r="J2764" s="71" t="n">
        <f aca="false">IF(7&gt;Hold_Yrs,0,I1855+I946+I1249+I1552+I2158+I1249*Prepay_Pen+IF(7=Hold_Yrs,$C2461,0))</f>
        <v>0</v>
      </c>
      <c r="K2764" s="71" t="n">
        <f aca="false">IF(8&gt;Hold_Yrs,0,J1855+J946+J1249+J1552+J2158+J1249*Prepay_Pen+IF(8=Hold_Yrs,$C2461,0))</f>
        <v>0</v>
      </c>
      <c r="L2764" s="71" t="n">
        <f aca="false">IF(9&gt;Hold_Yrs,0,K1855+K946+K1249+K1552+K2158+K1249*Prepay_Pen+IF(9=Hold_Yrs,$C2461,0))</f>
        <v>0</v>
      </c>
      <c r="M2764" s="71" t="n">
        <f aca="false">IF(10&gt;Hold_Yrs,0,L1855+L946+L1249+L1552+L2158+L1249*Prepay_Pen+IF(10=Hold_Yrs,$C2461,0))</f>
        <v>0</v>
      </c>
    </row>
    <row r="2765" customFormat="false" ht="15" hidden="false" customHeight="false" outlineLevel="0" collapsed="false">
      <c r="B2765" s="102" t="str">
        <f aca="false">'Loan Tape'!$A34</f>
        <v>L-031</v>
      </c>
      <c r="C2765" s="99" t="n">
        <f aca="false">-'Loan Tape'!$BB34</f>
        <v>-11049658.95</v>
      </c>
      <c r="D2765" s="99" t="n">
        <f aca="false">IF(1&gt;Hold_Yrs,0,C1856+C947+C1250+C1553+C2159+C1250*Prepay_Pen+IF(1=Hold_Yrs,$C2462,0))</f>
        <v>2021893.632</v>
      </c>
      <c r="E2765" s="99" t="n">
        <f aca="false">IF(2&gt;Hold_Yrs,0,D1856+D947+D1250+D1553+D2159+D1250*Prepay_Pen+IF(2=Hold_Yrs,$C2462,0))</f>
        <v>10549828.6804702</v>
      </c>
      <c r="F2765" s="99" t="n">
        <f aca="false">IF(3&gt;Hold_Yrs,0,E1856+E947+E1250+E1553+E2159+E1250*Prepay_Pen+IF(3=Hold_Yrs,$C2462,0))</f>
        <v>36443.7489938398</v>
      </c>
      <c r="G2765" s="99" t="n">
        <f aca="false">IF(4&gt;Hold_Yrs,0,F1856+F947+F1250+F1553+F2159+F1250*Prepay_Pen+IF(4=Hold_Yrs,$C2462,0))</f>
        <v>0</v>
      </c>
      <c r="H2765" s="99" t="n">
        <f aca="false">IF(5&gt;Hold_Yrs,0,G1856+G947+G1250+G1553+G2159+G1250*Prepay_Pen+IF(5=Hold_Yrs,$C2462,0))</f>
        <v>0</v>
      </c>
      <c r="I2765" s="99" t="n">
        <f aca="false">IF(6&gt;Hold_Yrs,0,H1856+H947+H1250+H1553+H2159+H1250*Prepay_Pen+IF(6=Hold_Yrs,$C2462,0))</f>
        <v>0</v>
      </c>
      <c r="J2765" s="99" t="n">
        <f aca="false">IF(7&gt;Hold_Yrs,0,I1856+I947+I1250+I1553+I2159+I1250*Prepay_Pen+IF(7=Hold_Yrs,$C2462,0))</f>
        <v>0</v>
      </c>
      <c r="K2765" s="99" t="n">
        <f aca="false">IF(8&gt;Hold_Yrs,0,J1856+J947+J1250+J1553+J2159+J1250*Prepay_Pen+IF(8=Hold_Yrs,$C2462,0))</f>
        <v>0</v>
      </c>
      <c r="L2765" s="99" t="n">
        <f aca="false">IF(9&gt;Hold_Yrs,0,K1856+K947+K1250+K1553+K2159+K1250*Prepay_Pen+IF(9=Hold_Yrs,$C2462,0))</f>
        <v>0</v>
      </c>
      <c r="M2765" s="99" t="n">
        <f aca="false">IF(10&gt;Hold_Yrs,0,L1856+L947+L1250+L1553+L2159+L1250*Prepay_Pen+IF(10=Hold_Yrs,$C2462,0))</f>
        <v>0</v>
      </c>
    </row>
    <row r="2766" customFormat="false" ht="15" hidden="false" customHeight="false" outlineLevel="0" collapsed="false">
      <c r="B2766" s="108" t="str">
        <f aca="false">'Loan Tape'!$A35</f>
        <v>L-032</v>
      </c>
      <c r="C2766" s="71" t="n">
        <f aca="false">-'Loan Tape'!$BB35</f>
        <v>-132541840.05</v>
      </c>
      <c r="D2766" s="71" t="n">
        <f aca="false">IF(1&gt;Hold_Yrs,0,C1857+C948+C1251+C1554+C2160+C1251*Prepay_Pen+IF(1=Hold_Yrs,$C2463,0))</f>
        <v>27280439.0979782</v>
      </c>
      <c r="E2766" s="71" t="n">
        <f aca="false">IF(2&gt;Hold_Yrs,0,D1857+D948+D1251+D1554+D2160+D1251*Prepay_Pen+IF(2=Hold_Yrs,$C2463,0))</f>
        <v>25302833.0463786</v>
      </c>
      <c r="F2766" s="71" t="n">
        <f aca="false">IF(3&gt;Hold_Yrs,0,E1857+E948+E1251+E1554+E2160+E1251*Prepay_Pen+IF(3=Hold_Yrs,$C2463,0))</f>
        <v>21721095.8305141</v>
      </c>
      <c r="G2766" s="71" t="n">
        <f aca="false">IF(4&gt;Hold_Yrs,0,F1857+F948+F1251+F1554+F2160+F1251*Prepay_Pen+IF(4=Hold_Yrs,$C2463,0))</f>
        <v>95309415.5267874</v>
      </c>
      <c r="H2766" s="71" t="n">
        <f aca="false">IF(5&gt;Hold_Yrs,0,G1857+G948+G1251+G1554+G2160+G1251*Prepay_Pen+IF(5=Hold_Yrs,$C2463,0))</f>
        <v>1052655.40989596</v>
      </c>
      <c r="I2766" s="71" t="n">
        <f aca="false">IF(6&gt;Hold_Yrs,0,H1857+H948+H1251+H1554+H2160+H1251*Prepay_Pen+IF(6=Hold_Yrs,$C2463,0))</f>
        <v>0</v>
      </c>
      <c r="J2766" s="71" t="n">
        <f aca="false">IF(7&gt;Hold_Yrs,0,I1857+I948+I1251+I1554+I2160+I1251*Prepay_Pen+IF(7=Hold_Yrs,$C2463,0))</f>
        <v>0</v>
      </c>
      <c r="K2766" s="71" t="n">
        <f aca="false">IF(8&gt;Hold_Yrs,0,J1857+J948+J1251+J1554+J2160+J1251*Prepay_Pen+IF(8=Hold_Yrs,$C2463,0))</f>
        <v>0</v>
      </c>
      <c r="L2766" s="71" t="n">
        <f aca="false">IF(9&gt;Hold_Yrs,0,K1857+K948+K1251+K1554+K2160+K1251*Prepay_Pen+IF(9=Hold_Yrs,$C2463,0))</f>
        <v>0</v>
      </c>
      <c r="M2766" s="71" t="n">
        <f aca="false">IF(10&gt;Hold_Yrs,0,L1857+L948+L1251+L1554+L2160+L1251*Prepay_Pen+IF(10=Hold_Yrs,$C2463,0))</f>
        <v>0</v>
      </c>
    </row>
    <row r="2767" customFormat="false" ht="15" hidden="false" customHeight="false" outlineLevel="0" collapsed="false">
      <c r="B2767" s="102" t="str">
        <f aca="false">'Loan Tape'!$A36</f>
        <v>L-033</v>
      </c>
      <c r="C2767" s="99" t="n">
        <f aca="false">-'Loan Tape'!$BB36</f>
        <v>-41505702.35</v>
      </c>
      <c r="D2767" s="99" t="n">
        <f aca="false">IF(1&gt;Hold_Yrs,0,C1858+C949+C1252+C1555+C2161+C1252*Prepay_Pen+IF(1=Hold_Yrs,$C2464,0))</f>
        <v>43757000</v>
      </c>
      <c r="E2767" s="99" t="n">
        <f aca="false">IF(2&gt;Hold_Yrs,0,D1858+D949+D1252+D1555+D2161+D1252*Prepay_Pen+IF(2=Hold_Yrs,$C2464,0))</f>
        <v>0</v>
      </c>
      <c r="F2767" s="99" t="n">
        <f aca="false">IF(3&gt;Hold_Yrs,0,E1858+E949+E1252+E1555+E2161+E1252*Prepay_Pen+IF(3=Hold_Yrs,$C2464,0))</f>
        <v>0</v>
      </c>
      <c r="G2767" s="99" t="n">
        <f aca="false">IF(4&gt;Hold_Yrs,0,F1858+F949+F1252+F1555+F2161+F1252*Prepay_Pen+IF(4=Hold_Yrs,$C2464,0))</f>
        <v>0</v>
      </c>
      <c r="H2767" s="99" t="n">
        <f aca="false">IF(5&gt;Hold_Yrs,0,G1858+G949+G1252+G1555+G2161+G1252*Prepay_Pen+IF(5=Hold_Yrs,$C2464,0))</f>
        <v>0</v>
      </c>
      <c r="I2767" s="99" t="n">
        <f aca="false">IF(6&gt;Hold_Yrs,0,H1858+H949+H1252+H1555+H2161+H1252*Prepay_Pen+IF(6=Hold_Yrs,$C2464,0))</f>
        <v>0</v>
      </c>
      <c r="J2767" s="99" t="n">
        <f aca="false">IF(7&gt;Hold_Yrs,0,I1858+I949+I1252+I1555+I2161+I1252*Prepay_Pen+IF(7=Hold_Yrs,$C2464,0))</f>
        <v>0</v>
      </c>
      <c r="K2767" s="99" t="n">
        <f aca="false">IF(8&gt;Hold_Yrs,0,J1858+J949+J1252+J1555+J2161+J1252*Prepay_Pen+IF(8=Hold_Yrs,$C2464,0))</f>
        <v>0</v>
      </c>
      <c r="L2767" s="99" t="n">
        <f aca="false">IF(9&gt;Hold_Yrs,0,K1858+K949+K1252+K1555+K2161+K1252*Prepay_Pen+IF(9=Hold_Yrs,$C2464,0))</f>
        <v>0</v>
      </c>
      <c r="M2767" s="99" t="n">
        <f aca="false">IF(10&gt;Hold_Yrs,0,L1858+L949+L1252+L1555+L2161+L1252*Prepay_Pen+IF(10=Hold_Yrs,$C2464,0))</f>
        <v>0</v>
      </c>
    </row>
    <row r="2768" customFormat="false" ht="15" hidden="false" customHeight="false" outlineLevel="0" collapsed="false">
      <c r="B2768" s="108" t="str">
        <f aca="false">'Loan Tape'!$A37</f>
        <v>L-034</v>
      </c>
      <c r="C2768" s="71" t="n">
        <f aca="false">-'Loan Tape'!$BB37</f>
        <v>-10790704.8</v>
      </c>
      <c r="D2768" s="71" t="n">
        <f aca="false">IF(1&gt;Hold_Yrs,0,C1859+C950+C1253+C1556+C2162+C1253*Prepay_Pen+IF(1=Hold_Yrs,$C2465,0))</f>
        <v>1912641.56151142</v>
      </c>
      <c r="E2768" s="71" t="n">
        <f aca="false">IF(2&gt;Hold_Yrs,0,D1859+D950+D1253+D1556+D2162+D1253*Prepay_Pen+IF(2=Hold_Yrs,$C2465,0))</f>
        <v>1815455.61636221</v>
      </c>
      <c r="F2768" s="71" t="n">
        <f aca="false">IF(3&gt;Hold_Yrs,0,E1859+E950+E1253+E1556+E2162+E1253*Prepay_Pen+IF(3=Hold_Yrs,$C2465,0))</f>
        <v>1569276.76240179</v>
      </c>
      <c r="G2768" s="71" t="n">
        <f aca="false">IF(4&gt;Hold_Yrs,0,F1859+F950+F1253+F1556+F2162+F1253*Prepay_Pen+IF(4=Hold_Yrs,$C2465,0))</f>
        <v>1354864.65673818</v>
      </c>
      <c r="H2768" s="71" t="n">
        <f aca="false">IF(5&gt;Hold_Yrs,0,G1859+G950+G1253+G1556+G2162+G1253*Prepay_Pen+IF(5=Hold_Yrs,$C2465,0))</f>
        <v>6255850.57109099</v>
      </c>
      <c r="I2768" s="71" t="n">
        <f aca="false">IF(6&gt;Hold_Yrs,0,H1859+H950+H1253+H1556+H2162+H1253*Prepay_Pen+IF(6=Hold_Yrs,$C2465,0))</f>
        <v>0</v>
      </c>
      <c r="J2768" s="71" t="n">
        <f aca="false">IF(7&gt;Hold_Yrs,0,I1859+I950+I1253+I1556+I2162+I1253*Prepay_Pen+IF(7=Hold_Yrs,$C2465,0))</f>
        <v>0</v>
      </c>
      <c r="K2768" s="71" t="n">
        <f aca="false">IF(8&gt;Hold_Yrs,0,J1859+J950+J1253+J1556+J2162+J1253*Prepay_Pen+IF(8=Hold_Yrs,$C2465,0))</f>
        <v>0</v>
      </c>
      <c r="L2768" s="71" t="n">
        <f aca="false">IF(9&gt;Hold_Yrs,0,K1859+K950+K1253+K1556+K2162+K1253*Prepay_Pen+IF(9=Hold_Yrs,$C2465,0))</f>
        <v>0</v>
      </c>
      <c r="M2768" s="71" t="n">
        <f aca="false">IF(10&gt;Hold_Yrs,0,L1859+L950+L1253+L1556+L2162+L1253*Prepay_Pen+IF(10=Hold_Yrs,$C2465,0))</f>
        <v>0</v>
      </c>
    </row>
    <row r="2769" customFormat="false" ht="15" hidden="false" customHeight="false" outlineLevel="0" collapsed="false">
      <c r="B2769" s="102" t="str">
        <f aca="false">'Loan Tape'!$A38</f>
        <v>L-035</v>
      </c>
      <c r="C2769" s="99" t="n">
        <f aca="false">-'Loan Tape'!$BB38</f>
        <v>-59877218.75</v>
      </c>
      <c r="D2769" s="99" t="n">
        <f aca="false">IF(1&gt;Hold_Yrs,0,C1860+C951+C1254+C1557+C2163+C1254*Prepay_Pen+IF(1=Hold_Yrs,$C2466,0))</f>
        <v>11620045.048904</v>
      </c>
      <c r="E2769" s="99" t="n">
        <f aca="false">IF(2&gt;Hold_Yrs,0,D1860+D951+D1254+D1557+D2163+D1254*Prepay_Pen+IF(2=Hold_Yrs,$C2466,0))</f>
        <v>10774772.0551342</v>
      </c>
      <c r="F2769" s="99" t="n">
        <f aca="false">IF(3&gt;Hold_Yrs,0,E1860+E951+E1254+E1557+E2163+E1254*Prepay_Pen+IF(3=Hold_Yrs,$C2466,0))</f>
        <v>47631447.5511414</v>
      </c>
      <c r="G2769" s="99" t="n">
        <f aca="false">IF(4&gt;Hold_Yrs,0,F1860+F951+F1254+F1557+F2163+F1254*Prepay_Pen+IF(4=Hold_Yrs,$C2466,0))</f>
        <v>270466.051065739</v>
      </c>
      <c r="H2769" s="99" t="n">
        <f aca="false">IF(5&gt;Hold_Yrs,0,G1860+G951+G1254+G1557+G2163+G1254*Prepay_Pen+IF(5=Hold_Yrs,$C2466,0))</f>
        <v>0</v>
      </c>
      <c r="I2769" s="99" t="n">
        <f aca="false">IF(6&gt;Hold_Yrs,0,H1860+H951+H1254+H1557+H2163+H1254*Prepay_Pen+IF(6=Hold_Yrs,$C2466,0))</f>
        <v>0</v>
      </c>
      <c r="J2769" s="99" t="n">
        <f aca="false">IF(7&gt;Hold_Yrs,0,I1860+I951+I1254+I1557+I2163+I1254*Prepay_Pen+IF(7=Hold_Yrs,$C2466,0))</f>
        <v>0</v>
      </c>
      <c r="K2769" s="99" t="n">
        <f aca="false">IF(8&gt;Hold_Yrs,0,J1860+J951+J1254+J1557+J2163+J1254*Prepay_Pen+IF(8=Hold_Yrs,$C2466,0))</f>
        <v>0</v>
      </c>
      <c r="L2769" s="99" t="n">
        <f aca="false">IF(9&gt;Hold_Yrs,0,K1860+K951+K1254+K1557+K2163+K1254*Prepay_Pen+IF(9=Hold_Yrs,$C2466,0))</f>
        <v>0</v>
      </c>
      <c r="M2769" s="99" t="n">
        <f aca="false">IF(10&gt;Hold_Yrs,0,L1860+L951+L1254+L1557+L2163+L1254*Prepay_Pen+IF(10=Hold_Yrs,$C2466,0))</f>
        <v>0</v>
      </c>
    </row>
    <row r="2770" customFormat="false" ht="15" hidden="false" customHeight="false" outlineLevel="0" collapsed="false">
      <c r="B2770" s="108" t="str">
        <f aca="false">'Loan Tape'!$A39</f>
        <v>L-036</v>
      </c>
      <c r="C2770" s="71" t="n">
        <f aca="false">-'Loan Tape'!$BB39</f>
        <v>-36296265.75</v>
      </c>
      <c r="D2770" s="71" t="n">
        <f aca="false">IF(1&gt;Hold_Yrs,0,C1861+C952+C1255+C1558+C2164+C1255*Prepay_Pen+IF(1=Hold_Yrs,$C2467,0))</f>
        <v>39629149.130077</v>
      </c>
      <c r="E2770" s="71" t="n">
        <f aca="false">IF(2&gt;Hold_Yrs,0,D1861+D952+D1255+D1558+D2164+D1255*Prepay_Pen+IF(2=Hold_Yrs,$C2467,0))</f>
        <v>535710</v>
      </c>
      <c r="F2770" s="71" t="n">
        <f aca="false">IF(3&gt;Hold_Yrs,0,E1861+E952+E1255+E1558+E2164+E1255*Prepay_Pen+IF(3=Hold_Yrs,$C2467,0))</f>
        <v>0</v>
      </c>
      <c r="G2770" s="71" t="n">
        <f aca="false">IF(4&gt;Hold_Yrs,0,F1861+F952+F1255+F1558+F2164+F1255*Prepay_Pen+IF(4=Hold_Yrs,$C2467,0))</f>
        <v>0</v>
      </c>
      <c r="H2770" s="71" t="n">
        <f aca="false">IF(5&gt;Hold_Yrs,0,G1861+G952+G1255+G1558+G2164+G1255*Prepay_Pen+IF(5=Hold_Yrs,$C2467,0))</f>
        <v>0</v>
      </c>
      <c r="I2770" s="71" t="n">
        <f aca="false">IF(6&gt;Hold_Yrs,0,H1861+H952+H1255+H1558+H2164+H1255*Prepay_Pen+IF(6=Hold_Yrs,$C2467,0))</f>
        <v>0</v>
      </c>
      <c r="J2770" s="71" t="n">
        <f aca="false">IF(7&gt;Hold_Yrs,0,I1861+I952+I1255+I1558+I2164+I1255*Prepay_Pen+IF(7=Hold_Yrs,$C2467,0))</f>
        <v>0</v>
      </c>
      <c r="K2770" s="71" t="n">
        <f aca="false">IF(8&gt;Hold_Yrs,0,J1861+J952+J1255+J1558+J2164+J1255*Prepay_Pen+IF(8=Hold_Yrs,$C2467,0))</f>
        <v>0</v>
      </c>
      <c r="L2770" s="71" t="n">
        <f aca="false">IF(9&gt;Hold_Yrs,0,K1861+K952+K1255+K1558+K2164+K1255*Prepay_Pen+IF(9=Hold_Yrs,$C2467,0))</f>
        <v>0</v>
      </c>
      <c r="M2770" s="71" t="n">
        <f aca="false">IF(10&gt;Hold_Yrs,0,L1861+L952+L1255+L1558+L2164+L1255*Prepay_Pen+IF(10=Hold_Yrs,$C2467,0))</f>
        <v>0</v>
      </c>
    </row>
    <row r="2771" customFormat="false" ht="15" hidden="false" customHeight="false" outlineLevel="0" collapsed="false">
      <c r="B2771" s="102" t="str">
        <f aca="false">'Loan Tape'!$A40</f>
        <v>L-037</v>
      </c>
      <c r="C2771" s="99" t="n">
        <f aca="false">-'Loan Tape'!$BB40</f>
        <v>-31074498</v>
      </c>
      <c r="D2771" s="99" t="n">
        <f aca="false">IF(1&gt;Hold_Yrs,0,C1862+C953+C1256+C1559+C2165+C1256*Prepay_Pen+IF(1=Hold_Yrs,$C2468,0))</f>
        <v>32760000</v>
      </c>
      <c r="E2771" s="99" t="n">
        <f aca="false">IF(2&gt;Hold_Yrs,0,D1862+D953+D1256+D1559+D2165+D1256*Prepay_Pen+IF(2=Hold_Yrs,$C2468,0))</f>
        <v>0</v>
      </c>
      <c r="F2771" s="99" t="n">
        <f aca="false">IF(3&gt;Hold_Yrs,0,E1862+E953+E1256+E1559+E2165+E1256*Prepay_Pen+IF(3=Hold_Yrs,$C2468,0))</f>
        <v>0</v>
      </c>
      <c r="G2771" s="99" t="n">
        <f aca="false">IF(4&gt;Hold_Yrs,0,F1862+F953+F1256+F1559+F2165+F1256*Prepay_Pen+IF(4=Hold_Yrs,$C2468,0))</f>
        <v>0</v>
      </c>
      <c r="H2771" s="99" t="n">
        <f aca="false">IF(5&gt;Hold_Yrs,0,G1862+G953+G1256+G1559+G2165+G1256*Prepay_Pen+IF(5=Hold_Yrs,$C2468,0))</f>
        <v>0</v>
      </c>
      <c r="I2771" s="99" t="n">
        <f aca="false">IF(6&gt;Hold_Yrs,0,H1862+H953+H1256+H1559+H2165+H1256*Prepay_Pen+IF(6=Hold_Yrs,$C2468,0))</f>
        <v>0</v>
      </c>
      <c r="J2771" s="99" t="n">
        <f aca="false">IF(7&gt;Hold_Yrs,0,I1862+I953+I1256+I1559+I2165+I1256*Prepay_Pen+IF(7=Hold_Yrs,$C2468,0))</f>
        <v>0</v>
      </c>
      <c r="K2771" s="99" t="n">
        <f aca="false">IF(8&gt;Hold_Yrs,0,J1862+J953+J1256+J1559+J2165+J1256*Prepay_Pen+IF(8=Hold_Yrs,$C2468,0))</f>
        <v>0</v>
      </c>
      <c r="L2771" s="99" t="n">
        <f aca="false">IF(9&gt;Hold_Yrs,0,K1862+K953+K1256+K1559+K2165+K1256*Prepay_Pen+IF(9=Hold_Yrs,$C2468,0))</f>
        <v>0</v>
      </c>
      <c r="M2771" s="99" t="n">
        <f aca="false">IF(10&gt;Hold_Yrs,0,L1862+L953+L1256+L1559+L2165+L1256*Prepay_Pen+IF(10=Hold_Yrs,$C2468,0))</f>
        <v>0</v>
      </c>
    </row>
    <row r="2772" customFormat="false" ht="15" hidden="false" customHeight="false" outlineLevel="0" collapsed="false">
      <c r="B2772" s="108" t="str">
        <f aca="false">'Loan Tape'!$A41</f>
        <v>L-038</v>
      </c>
      <c r="C2772" s="71" t="n">
        <f aca="false">-'Loan Tape'!$BB41</f>
        <v>-5092764.95</v>
      </c>
      <c r="D2772" s="71" t="n">
        <f aca="false">IF(1&gt;Hold_Yrs,0,C1863+C954+C1257+C1560+C2166+C1257*Prepay_Pen+IF(1=Hold_Yrs,$C2469,0))</f>
        <v>961587.069243786</v>
      </c>
      <c r="E2772" s="71" t="n">
        <f aca="false">IF(2&gt;Hold_Yrs,0,D1863+D954+D1257+D1560+D2166+D1257*Prepay_Pen+IF(2=Hold_Yrs,$C2469,0))</f>
        <v>903437.609804386</v>
      </c>
      <c r="F2772" s="71" t="n">
        <f aca="false">IF(3&gt;Hold_Yrs,0,E1863+E954+E1257+E1560+E2166+E1257*Prepay_Pen+IF(3=Hold_Yrs,$C2469,0))</f>
        <v>775704.04427069</v>
      </c>
      <c r="G2772" s="71" t="n">
        <f aca="false">IF(4&gt;Hold_Yrs,0,F1863+F954+F1257+F1560+F2166+F1257*Prepay_Pen+IF(4=Hold_Yrs,$C2469,0))</f>
        <v>669851.438676845</v>
      </c>
      <c r="H2772" s="71" t="n">
        <f aca="false">IF(5&gt;Hold_Yrs,0,G1863+G954+G1257+G1560+G2166+G1257*Prepay_Pen+IF(5=Hold_Yrs,$C2469,0))</f>
        <v>3121878.93319639</v>
      </c>
      <c r="I2772" s="71" t="n">
        <f aca="false">IF(6&gt;Hold_Yrs,0,H1863+H954+H1257+H1560+H2166+H1257*Prepay_Pen+IF(6=Hold_Yrs,$C2469,0))</f>
        <v>0</v>
      </c>
      <c r="J2772" s="71" t="n">
        <f aca="false">IF(7&gt;Hold_Yrs,0,I1863+I954+I1257+I1560+I2166+I1257*Prepay_Pen+IF(7=Hold_Yrs,$C2469,0))</f>
        <v>0</v>
      </c>
      <c r="K2772" s="71" t="n">
        <f aca="false">IF(8&gt;Hold_Yrs,0,J1863+J954+J1257+J1560+J2166+J1257*Prepay_Pen+IF(8=Hold_Yrs,$C2469,0))</f>
        <v>0</v>
      </c>
      <c r="L2772" s="71" t="n">
        <f aca="false">IF(9&gt;Hold_Yrs,0,K1863+K954+K1257+K1560+K2166+K1257*Prepay_Pen+IF(9=Hold_Yrs,$C2469,0))</f>
        <v>0</v>
      </c>
      <c r="M2772" s="71" t="n">
        <f aca="false">IF(10&gt;Hold_Yrs,0,L1863+L954+L1257+L1560+L2166+L1257*Prepay_Pen+IF(10=Hold_Yrs,$C2469,0))</f>
        <v>0</v>
      </c>
    </row>
    <row r="2773" customFormat="false" ht="15" hidden="false" customHeight="false" outlineLevel="0" collapsed="false">
      <c r="B2773" s="102" t="str">
        <f aca="false">'Loan Tape'!$A42</f>
        <v>L-039</v>
      </c>
      <c r="C2773" s="99" t="n">
        <f aca="false">-'Loan Tape'!$BB42</f>
        <v>-4267526.45</v>
      </c>
      <c r="D2773" s="99" t="n">
        <f aca="false">IF(1&gt;Hold_Yrs,0,C1864+C955+C1258+C1561+C2167+C1258*Prepay_Pen+IF(1=Hold_Yrs,$C2470,0))</f>
        <v>884296.049945283</v>
      </c>
      <c r="E2773" s="99" t="n">
        <f aca="false">IF(2&gt;Hold_Yrs,0,D1864+D955+D1258+D1561+D2167+D1258*Prepay_Pen+IF(2=Hold_Yrs,$C2470,0))</f>
        <v>819698.097856718</v>
      </c>
      <c r="F2773" s="99" t="n">
        <f aca="false">IF(3&gt;Hold_Yrs,0,E1864+E955+E1258+E1561+E2167+E1258*Prepay_Pen+IF(3=Hold_Yrs,$C2470,0))</f>
        <v>703522.892937152</v>
      </c>
      <c r="G2773" s="99" t="n">
        <f aca="false">IF(4&gt;Hold_Yrs,0,F1864+F955+F1258+F1561+F2167+F1258*Prepay_Pen+IF(4=Hold_Yrs,$C2470,0))</f>
        <v>606838.698572815</v>
      </c>
      <c r="H2773" s="99" t="n">
        <f aca="false">IF(5&gt;Hold_Yrs,0,G1864+G955+G1258+G1561+G2167+G1258*Prepay_Pen+IF(5=Hold_Yrs,$C2470,0))</f>
        <v>2577875.18990568</v>
      </c>
      <c r="I2773" s="99" t="n">
        <f aca="false">IF(6&gt;Hold_Yrs,0,H1864+H955+H1258+H1561+H2167+H1258*Prepay_Pen+IF(6=Hold_Yrs,$C2470,0))</f>
        <v>0</v>
      </c>
      <c r="J2773" s="99" t="n">
        <f aca="false">IF(7&gt;Hold_Yrs,0,I1864+I955+I1258+I1561+I2167+I1258*Prepay_Pen+IF(7=Hold_Yrs,$C2470,0))</f>
        <v>0</v>
      </c>
      <c r="K2773" s="99" t="n">
        <f aca="false">IF(8&gt;Hold_Yrs,0,J1864+J955+J1258+J1561+J2167+J1258*Prepay_Pen+IF(8=Hold_Yrs,$C2470,0))</f>
        <v>0</v>
      </c>
      <c r="L2773" s="99" t="n">
        <f aca="false">IF(9&gt;Hold_Yrs,0,K1864+K955+K1258+K1561+K2167+K1258*Prepay_Pen+IF(9=Hold_Yrs,$C2470,0))</f>
        <v>0</v>
      </c>
      <c r="M2773" s="99" t="n">
        <f aca="false">IF(10&gt;Hold_Yrs,0,L1864+L955+L1258+L1561+L2167+L1258*Prepay_Pen+IF(10=Hold_Yrs,$C2470,0))</f>
        <v>0</v>
      </c>
    </row>
    <row r="2774" customFormat="false" ht="15" hidden="false" customHeight="false" outlineLevel="0" collapsed="false">
      <c r="B2774" s="108" t="str">
        <f aca="false">'Loan Tape'!$A43</f>
        <v>L-040</v>
      </c>
      <c r="C2774" s="71" t="n">
        <f aca="false">-'Loan Tape'!$BB43</f>
        <v>-76951118.75</v>
      </c>
      <c r="D2774" s="71" t="n">
        <f aca="false">IF(1&gt;Hold_Yrs,0,C1865+C956+C1259+C1562+C2168+C1259*Prepay_Pen+IF(1=Hold_Yrs,$C2471,0))</f>
        <v>13948350.1444809</v>
      </c>
      <c r="E2774" s="71" t="n">
        <f aca="false">IF(2&gt;Hold_Yrs,0,D1865+D956+D1259+D1562+D2168+D1259*Prepay_Pen+IF(2=Hold_Yrs,$C2471,0))</f>
        <v>13162978.3250319</v>
      </c>
      <c r="F2774" s="71" t="n">
        <f aca="false">IF(3&gt;Hold_Yrs,0,E1865+E956+E1259+E1562+E2168+E1259*Prepay_Pen+IF(3=Hold_Yrs,$C2471,0))</f>
        <v>60436636.2935193</v>
      </c>
      <c r="G2774" s="71" t="n">
        <f aca="false">IF(4&gt;Hold_Yrs,0,F1865+F956+F1259+F1562+F2168+F1259*Prepay_Pen+IF(4=Hold_Yrs,$C2471,0))</f>
        <v>413558.652398132</v>
      </c>
      <c r="H2774" s="71" t="n">
        <f aca="false">IF(5&gt;Hold_Yrs,0,G1865+G956+G1259+G1562+G2168+G1259*Prepay_Pen+IF(5=Hold_Yrs,$C2471,0))</f>
        <v>0</v>
      </c>
      <c r="I2774" s="71" t="n">
        <f aca="false">IF(6&gt;Hold_Yrs,0,H1865+H956+H1259+H1562+H2168+H1259*Prepay_Pen+IF(6=Hold_Yrs,$C2471,0))</f>
        <v>0</v>
      </c>
      <c r="J2774" s="71" t="n">
        <f aca="false">IF(7&gt;Hold_Yrs,0,I1865+I956+I1259+I1562+I2168+I1259*Prepay_Pen+IF(7=Hold_Yrs,$C2471,0))</f>
        <v>0</v>
      </c>
      <c r="K2774" s="71" t="n">
        <f aca="false">IF(8&gt;Hold_Yrs,0,J1865+J956+J1259+J1562+J2168+J1259*Prepay_Pen+IF(8=Hold_Yrs,$C2471,0))</f>
        <v>0</v>
      </c>
      <c r="L2774" s="71" t="n">
        <f aca="false">IF(9&gt;Hold_Yrs,0,K1865+K956+K1259+K1562+K2168+K1259*Prepay_Pen+IF(9=Hold_Yrs,$C2471,0))</f>
        <v>0</v>
      </c>
      <c r="M2774" s="71" t="n">
        <f aca="false">IF(10&gt;Hold_Yrs,0,L1865+L956+L1259+L1562+L2168+L1259*Prepay_Pen+IF(10=Hold_Yrs,$C2471,0))</f>
        <v>0</v>
      </c>
    </row>
    <row r="2775" customFormat="false" ht="15" hidden="false" customHeight="false" outlineLevel="0" collapsed="false">
      <c r="B2775" s="102" t="str">
        <f aca="false">'Loan Tape'!$A44</f>
        <v>L-041</v>
      </c>
      <c r="C2775" s="99" t="n">
        <f aca="false">-'Loan Tape'!$BB44</f>
        <v>-29037961.15</v>
      </c>
      <c r="D2775" s="99" t="n">
        <f aca="false">IF(1&gt;Hold_Yrs,0,C1866+C957+C1260+C1563+C2169+C1260*Prepay_Pen+IF(1=Hold_Yrs,$C2472,0))</f>
        <v>32189334.9936686</v>
      </c>
      <c r="E2775" s="99" t="n">
        <f aca="false">IF(2&gt;Hold_Yrs,0,D1866+D957+D1260+D1563+D2169+D1260*Prepay_Pen+IF(2=Hold_Yrs,$C2472,0))</f>
        <v>428582</v>
      </c>
      <c r="F2775" s="99" t="n">
        <f aca="false">IF(3&gt;Hold_Yrs,0,E1866+E957+E1260+E1563+E2169+E1260*Prepay_Pen+IF(3=Hold_Yrs,$C2472,0))</f>
        <v>0</v>
      </c>
      <c r="G2775" s="99" t="n">
        <f aca="false">IF(4&gt;Hold_Yrs,0,F1866+F957+F1260+F1563+F2169+F1260*Prepay_Pen+IF(4=Hold_Yrs,$C2472,0))</f>
        <v>0</v>
      </c>
      <c r="H2775" s="99" t="n">
        <f aca="false">IF(5&gt;Hold_Yrs,0,G1866+G957+G1260+G1563+G2169+G1260*Prepay_Pen+IF(5=Hold_Yrs,$C2472,0))</f>
        <v>0</v>
      </c>
      <c r="I2775" s="99" t="n">
        <f aca="false">IF(6&gt;Hold_Yrs,0,H1866+H957+H1260+H1563+H2169+H1260*Prepay_Pen+IF(6=Hold_Yrs,$C2472,0))</f>
        <v>0</v>
      </c>
      <c r="J2775" s="99" t="n">
        <f aca="false">IF(7&gt;Hold_Yrs,0,I1866+I957+I1260+I1563+I2169+I1260*Prepay_Pen+IF(7=Hold_Yrs,$C2472,0))</f>
        <v>0</v>
      </c>
      <c r="K2775" s="99" t="n">
        <f aca="false">IF(8&gt;Hold_Yrs,0,J1866+J957+J1260+J1563+J2169+J1260*Prepay_Pen+IF(8=Hold_Yrs,$C2472,0))</f>
        <v>0</v>
      </c>
      <c r="L2775" s="99" t="n">
        <f aca="false">IF(9&gt;Hold_Yrs,0,K1866+K957+K1260+K1563+K2169+K1260*Prepay_Pen+IF(9=Hold_Yrs,$C2472,0))</f>
        <v>0</v>
      </c>
      <c r="M2775" s="99" t="n">
        <f aca="false">IF(10&gt;Hold_Yrs,0,L1866+L957+L1260+L1563+L2169+L1260*Prepay_Pen+IF(10=Hold_Yrs,$C2472,0))</f>
        <v>0</v>
      </c>
    </row>
    <row r="2776" customFormat="false" ht="15" hidden="false" customHeight="false" outlineLevel="0" collapsed="false">
      <c r="B2776" s="108" t="str">
        <f aca="false">'Loan Tape'!$A45</f>
        <v>L-042</v>
      </c>
      <c r="C2776" s="71" t="n">
        <f aca="false">-'Loan Tape'!$BB45</f>
        <v>-4779743.45</v>
      </c>
      <c r="D2776" s="71" t="n">
        <f aca="false">IF(1&gt;Hold_Yrs,0,C1867+C958+C1261+C1564+C2170+C1261*Prepay_Pen+IF(1=Hold_Yrs,$C2473,0))</f>
        <v>845321.627969241</v>
      </c>
      <c r="E2776" s="71" t="n">
        <f aca="false">IF(2&gt;Hold_Yrs,0,D1867+D958+D1261+D1564+D2170+D1261*Prepay_Pen+IF(2=Hold_Yrs,$C2473,0))</f>
        <v>805517.141416262</v>
      </c>
      <c r="F2776" s="71" t="n">
        <f aca="false">IF(3&gt;Hold_Yrs,0,E1867+E958+E1261+E1564+E2170+E1261*Prepay_Pen+IF(3=Hold_Yrs,$C2473,0))</f>
        <v>3895177.91643342</v>
      </c>
      <c r="G2776" s="71" t="n">
        <f aca="false">IF(4&gt;Hold_Yrs,0,F1867+F958+F1261+F1564+F2170+F1261*Prepay_Pen+IF(4=Hold_Yrs,$C2473,0))</f>
        <v>35168.5007275176</v>
      </c>
      <c r="H2776" s="71" t="n">
        <f aca="false">IF(5&gt;Hold_Yrs,0,G1867+G958+G1261+G1564+G2170+G1261*Prepay_Pen+IF(5=Hold_Yrs,$C2473,0))</f>
        <v>0</v>
      </c>
      <c r="I2776" s="71" t="n">
        <f aca="false">IF(6&gt;Hold_Yrs,0,H1867+H958+H1261+H1564+H2170+H1261*Prepay_Pen+IF(6=Hold_Yrs,$C2473,0))</f>
        <v>0</v>
      </c>
      <c r="J2776" s="71" t="n">
        <f aca="false">IF(7&gt;Hold_Yrs,0,I1867+I958+I1261+I1564+I2170+I1261*Prepay_Pen+IF(7=Hold_Yrs,$C2473,0))</f>
        <v>0</v>
      </c>
      <c r="K2776" s="71" t="n">
        <f aca="false">IF(8&gt;Hold_Yrs,0,J1867+J958+J1261+J1564+J2170+J1261*Prepay_Pen+IF(8=Hold_Yrs,$C2473,0))</f>
        <v>0</v>
      </c>
      <c r="L2776" s="71" t="n">
        <f aca="false">IF(9&gt;Hold_Yrs,0,K1867+K958+K1261+K1564+K2170+K1261*Prepay_Pen+IF(9=Hold_Yrs,$C2473,0))</f>
        <v>0</v>
      </c>
      <c r="M2776" s="71" t="n">
        <f aca="false">IF(10&gt;Hold_Yrs,0,L1867+L958+L1261+L1564+L2170+L1261*Prepay_Pen+IF(10=Hold_Yrs,$C2473,0))</f>
        <v>0</v>
      </c>
    </row>
    <row r="2777" customFormat="false" ht="15" hidden="false" customHeight="false" outlineLevel="0" collapsed="false">
      <c r="B2777" s="102" t="str">
        <f aca="false">'Loan Tape'!$A46</f>
        <v>L-043</v>
      </c>
      <c r="C2777" s="99" t="n">
        <f aca="false">-'Loan Tape'!$BB46</f>
        <v>-8233414</v>
      </c>
      <c r="D2777" s="99" t="n">
        <f aca="false">IF(1&gt;Hold_Yrs,0,C1868+C959+C1262+C1565+C2171+C1262*Prepay_Pen+IF(1=Hold_Yrs,$C2474,0))</f>
        <v>1613743.17172676</v>
      </c>
      <c r="E2777" s="99" t="n">
        <f aca="false">IF(2&gt;Hold_Yrs,0,D1868+D959+D1262+D1565+D2171+D1262*Prepay_Pen+IF(2=Hold_Yrs,$C2474,0))</f>
        <v>1497376.04706177</v>
      </c>
      <c r="F2777" s="99" t="n">
        <f aca="false">IF(3&gt;Hold_Yrs,0,E1868+E959+E1262+E1565+E2171+E1262*Prepay_Pen+IF(3=Hold_Yrs,$C2474,0))</f>
        <v>1279599.93491683</v>
      </c>
      <c r="G2777" s="99" t="n">
        <f aca="false">IF(4&gt;Hold_Yrs,0,F1868+F959+F1262+F1565+F2171+F1262*Prepay_Pen+IF(4=Hold_Yrs,$C2474,0))</f>
        <v>5603611.54963754</v>
      </c>
      <c r="H2777" s="99" t="n">
        <f aca="false">IF(5&gt;Hold_Yrs,0,G1868+G959+G1262+G1565+G2171+G1262*Prepay_Pen+IF(5=Hold_Yrs,$C2474,0))</f>
        <v>19567.827930636</v>
      </c>
      <c r="I2777" s="99" t="n">
        <f aca="false">IF(6&gt;Hold_Yrs,0,H1868+H959+H1262+H1565+H2171+H1262*Prepay_Pen+IF(6=Hold_Yrs,$C2474,0))</f>
        <v>0</v>
      </c>
      <c r="J2777" s="99" t="n">
        <f aca="false">IF(7&gt;Hold_Yrs,0,I1868+I959+I1262+I1565+I2171+I1262*Prepay_Pen+IF(7=Hold_Yrs,$C2474,0))</f>
        <v>0</v>
      </c>
      <c r="K2777" s="99" t="n">
        <f aca="false">IF(8&gt;Hold_Yrs,0,J1868+J959+J1262+J1565+J2171+J1262*Prepay_Pen+IF(8=Hold_Yrs,$C2474,0))</f>
        <v>0</v>
      </c>
      <c r="L2777" s="99" t="n">
        <f aca="false">IF(9&gt;Hold_Yrs,0,K1868+K959+K1262+K1565+K2171+K1262*Prepay_Pen+IF(9=Hold_Yrs,$C2474,0))</f>
        <v>0</v>
      </c>
      <c r="M2777" s="99" t="n">
        <f aca="false">IF(10&gt;Hold_Yrs,0,L1868+L959+L1262+L1565+L2171+L1262*Prepay_Pen+IF(10=Hold_Yrs,$C2474,0))</f>
        <v>0</v>
      </c>
    </row>
    <row r="2778" customFormat="false" ht="15" hidden="false" customHeight="false" outlineLevel="0" collapsed="false">
      <c r="B2778" s="108" t="str">
        <f aca="false">'Loan Tape'!$A47</f>
        <v>L-044</v>
      </c>
      <c r="C2778" s="71" t="n">
        <f aca="false">-'Loan Tape'!$BB47</f>
        <v>-74657524.85</v>
      </c>
      <c r="D2778" s="71" t="n">
        <f aca="false">IF(1&gt;Hold_Yrs,0,C1869+C960+C1263+C1566+C2172+C1263*Prepay_Pen+IF(1=Hold_Yrs,$C2475,0))</f>
        <v>82375920.4316497</v>
      </c>
      <c r="E2778" s="71" t="n">
        <f aca="false">IF(2&gt;Hold_Yrs,0,D1869+D960+D1263+D1566+D2172+D1263*Prepay_Pen+IF(2=Hold_Yrs,$C2475,0))</f>
        <v>1101898</v>
      </c>
      <c r="F2778" s="71" t="n">
        <f aca="false">IF(3&gt;Hold_Yrs,0,E1869+E960+E1263+E1566+E2172+E1263*Prepay_Pen+IF(3=Hold_Yrs,$C2475,0))</f>
        <v>0</v>
      </c>
      <c r="G2778" s="71" t="n">
        <f aca="false">IF(4&gt;Hold_Yrs,0,F1869+F960+F1263+F1566+F2172+F1263*Prepay_Pen+IF(4=Hold_Yrs,$C2475,0))</f>
        <v>0</v>
      </c>
      <c r="H2778" s="71" t="n">
        <f aca="false">IF(5&gt;Hold_Yrs,0,G1869+G960+G1263+G1566+G2172+G1263*Prepay_Pen+IF(5=Hold_Yrs,$C2475,0))</f>
        <v>0</v>
      </c>
      <c r="I2778" s="71" t="n">
        <f aca="false">IF(6&gt;Hold_Yrs,0,H1869+H960+H1263+H1566+H2172+H1263*Prepay_Pen+IF(6=Hold_Yrs,$C2475,0))</f>
        <v>0</v>
      </c>
      <c r="J2778" s="71" t="n">
        <f aca="false">IF(7&gt;Hold_Yrs,0,I1869+I960+I1263+I1566+I2172+I1263*Prepay_Pen+IF(7=Hold_Yrs,$C2475,0))</f>
        <v>0</v>
      </c>
      <c r="K2778" s="71" t="n">
        <f aca="false">IF(8&gt;Hold_Yrs,0,J1869+J960+J1263+J1566+J2172+J1263*Prepay_Pen+IF(8=Hold_Yrs,$C2475,0))</f>
        <v>0</v>
      </c>
      <c r="L2778" s="71" t="n">
        <f aca="false">IF(9&gt;Hold_Yrs,0,K1869+K960+K1263+K1566+K2172+K1263*Prepay_Pen+IF(9=Hold_Yrs,$C2475,0))</f>
        <v>0</v>
      </c>
      <c r="M2778" s="71" t="n">
        <f aca="false">IF(10&gt;Hold_Yrs,0,L1869+L960+L1263+L1566+L2172+L1263*Prepay_Pen+IF(10=Hold_Yrs,$C2475,0))</f>
        <v>0</v>
      </c>
    </row>
    <row r="2779" customFormat="false" ht="15" hidden="false" customHeight="false" outlineLevel="0" collapsed="false">
      <c r="B2779" s="102" t="str">
        <f aca="false">'Loan Tape'!$A48</f>
        <v>L-045</v>
      </c>
      <c r="C2779" s="99" t="n">
        <f aca="false">-'Loan Tape'!$BB48</f>
        <v>-51732019.9</v>
      </c>
      <c r="D2779" s="99" t="n">
        <f aca="false">IF(1&gt;Hold_Yrs,0,C1870+C961+C1264+C1567+C2173+C1264*Prepay_Pen+IF(1=Hold_Yrs,$C2476,0))</f>
        <v>9847700.72925229</v>
      </c>
      <c r="E2779" s="99" t="n">
        <f aca="false">IF(2&gt;Hold_Yrs,0,D1870+D961+D1264+D1567+D2173+D1264*Prepay_Pen+IF(2=Hold_Yrs,$C2476,0))</f>
        <v>9624800.76631288</v>
      </c>
      <c r="F2779" s="99" t="n">
        <f aca="false">IF(3&gt;Hold_Yrs,0,E1870+E961+E1264+E1567+E2173+E1264*Prepay_Pen+IF(3=Hold_Yrs,$C2476,0))</f>
        <v>8281526.10930754</v>
      </c>
      <c r="G2779" s="99" t="n">
        <f aca="false">IF(4&gt;Hold_Yrs,0,F1870+F961+F1264+F1567+F2173+F1264*Prepay_Pen+IF(4=Hold_Yrs,$C2476,0))</f>
        <v>7163353.30640542</v>
      </c>
      <c r="H2779" s="99" t="n">
        <f aca="false">IF(5&gt;Hold_Yrs,0,G1870+G961+G1264+G1567+G2173+G1264*Prepay_Pen+IF(5=Hold_Yrs,$C2476,0))</f>
        <v>32502863.7750405</v>
      </c>
      <c r="I2779" s="99" t="n">
        <f aca="false">IF(6&gt;Hold_Yrs,0,H1870+H961+H1264+H1567+H2173+H1264*Prepay_Pen+IF(6=Hold_Yrs,$C2476,0))</f>
        <v>0</v>
      </c>
      <c r="J2779" s="99" t="n">
        <f aca="false">IF(7&gt;Hold_Yrs,0,I1870+I961+I1264+I1567+I2173+I1264*Prepay_Pen+IF(7=Hold_Yrs,$C2476,0))</f>
        <v>0</v>
      </c>
      <c r="K2779" s="99" t="n">
        <f aca="false">IF(8&gt;Hold_Yrs,0,J1870+J961+J1264+J1567+J2173+J1264*Prepay_Pen+IF(8=Hold_Yrs,$C2476,0))</f>
        <v>0</v>
      </c>
      <c r="L2779" s="99" t="n">
        <f aca="false">IF(9&gt;Hold_Yrs,0,K1870+K961+K1264+K1567+K2173+K1264*Prepay_Pen+IF(9=Hold_Yrs,$C2476,0))</f>
        <v>0</v>
      </c>
      <c r="M2779" s="99" t="n">
        <f aca="false">IF(10&gt;Hold_Yrs,0,L1870+L961+L1264+L1567+L2173+L1264*Prepay_Pen+IF(10=Hold_Yrs,$C2476,0))</f>
        <v>0</v>
      </c>
    </row>
    <row r="2780" customFormat="false" ht="15" hidden="false" customHeight="false" outlineLevel="0" collapsed="false">
      <c r="B2780" s="108" t="str">
        <f aca="false">'Loan Tape'!$A49</f>
        <v>L-046</v>
      </c>
      <c r="C2780" s="71" t="n">
        <f aca="false">-'Loan Tape'!$BB49</f>
        <v>-107537113.5</v>
      </c>
      <c r="D2780" s="71" t="n">
        <f aca="false">IF(1&gt;Hold_Yrs,0,C1871+C962+C1265+C1568+C2174+C1265*Prepay_Pen+IF(1=Hold_Yrs,$C2477,0))</f>
        <v>117223751.681284</v>
      </c>
      <c r="E2780" s="71" t="n">
        <f aca="false">IF(2&gt;Hold_Yrs,0,D1871+D962+D1265+D1568+D2174+D1265*Prepay_Pen+IF(2=Hold_Yrs,$C2477,0))</f>
        <v>1587180</v>
      </c>
      <c r="F2780" s="71" t="n">
        <f aca="false">IF(3&gt;Hold_Yrs,0,E1871+E962+E1265+E1568+E2174+E1265*Prepay_Pen+IF(3=Hold_Yrs,$C2477,0))</f>
        <v>0</v>
      </c>
      <c r="G2780" s="71" t="n">
        <f aca="false">IF(4&gt;Hold_Yrs,0,F1871+F962+F1265+F1568+F2174+F1265*Prepay_Pen+IF(4=Hold_Yrs,$C2477,0))</f>
        <v>0</v>
      </c>
      <c r="H2780" s="71" t="n">
        <f aca="false">IF(5&gt;Hold_Yrs,0,G1871+G962+G1265+G1568+G2174+G1265*Prepay_Pen+IF(5=Hold_Yrs,$C2477,0))</f>
        <v>0</v>
      </c>
      <c r="I2780" s="71" t="n">
        <f aca="false">IF(6&gt;Hold_Yrs,0,H1871+H962+H1265+H1568+H2174+H1265*Prepay_Pen+IF(6=Hold_Yrs,$C2477,0))</f>
        <v>0</v>
      </c>
      <c r="J2780" s="71" t="n">
        <f aca="false">IF(7&gt;Hold_Yrs,0,I1871+I962+I1265+I1568+I2174+I1265*Prepay_Pen+IF(7=Hold_Yrs,$C2477,0))</f>
        <v>0</v>
      </c>
      <c r="K2780" s="71" t="n">
        <f aca="false">IF(8&gt;Hold_Yrs,0,J1871+J962+J1265+J1568+J2174+J1265*Prepay_Pen+IF(8=Hold_Yrs,$C2477,0))</f>
        <v>0</v>
      </c>
      <c r="L2780" s="71" t="n">
        <f aca="false">IF(9&gt;Hold_Yrs,0,K1871+K962+K1265+K1568+K2174+K1265*Prepay_Pen+IF(9=Hold_Yrs,$C2477,0))</f>
        <v>0</v>
      </c>
      <c r="M2780" s="71" t="n">
        <f aca="false">IF(10&gt;Hold_Yrs,0,L1871+L962+L1265+L1568+L2174+L1265*Prepay_Pen+IF(10=Hold_Yrs,$C2477,0))</f>
        <v>0</v>
      </c>
    </row>
    <row r="2781" customFormat="false" ht="15" hidden="false" customHeight="false" outlineLevel="0" collapsed="false">
      <c r="B2781" s="102" t="str">
        <f aca="false">'Loan Tape'!$A50</f>
        <v>L-047</v>
      </c>
      <c r="C2781" s="99" t="n">
        <f aca="false">-'Loan Tape'!$BB50</f>
        <v>-4988424.45</v>
      </c>
      <c r="D2781" s="99" t="n">
        <f aca="false">IF(1&gt;Hold_Yrs,0,C1872+C963+C1266+C1569+C2175+C1266*Prepay_Pen+IF(1=Hold_Yrs,$C2478,0))</f>
        <v>924658.416</v>
      </c>
      <c r="E2781" s="99" t="n">
        <f aca="false">IF(2&gt;Hold_Yrs,0,D1872+D963+D1266+D1569+D2175+D1266*Prepay_Pen+IF(2=Hold_Yrs,$C2478,0))</f>
        <v>865574.18208</v>
      </c>
      <c r="F2781" s="99" t="n">
        <f aca="false">IF(3&gt;Hold_Yrs,0,E1872+E963+E1266+E1569+E2175+E1266*Prepay_Pen+IF(3=Hold_Yrs,$C2478,0))</f>
        <v>746392.4185344</v>
      </c>
      <c r="G2781" s="99" t="n">
        <f aca="false">IF(4&gt;Hold_Yrs,0,F1872+F963+F1266+F1569+F2175+F1266*Prepay_Pen+IF(4=Hold_Yrs,$C2478,0))</f>
        <v>3726348.07776248</v>
      </c>
      <c r="H2781" s="99" t="n">
        <f aca="false">IF(5&gt;Hold_Yrs,0,G1872+G963+G1266+G1569+G2175+G1266*Prepay_Pen+IF(5=Hold_Yrs,$C2478,0))</f>
        <v>25172.8844127146</v>
      </c>
      <c r="I2781" s="99" t="n">
        <f aca="false">IF(6&gt;Hold_Yrs,0,H1872+H963+H1266+H1569+H2175+H1266*Prepay_Pen+IF(6=Hold_Yrs,$C2478,0))</f>
        <v>0</v>
      </c>
      <c r="J2781" s="99" t="n">
        <f aca="false">IF(7&gt;Hold_Yrs,0,I1872+I963+I1266+I1569+I2175+I1266*Prepay_Pen+IF(7=Hold_Yrs,$C2478,0))</f>
        <v>0</v>
      </c>
      <c r="K2781" s="99" t="n">
        <f aca="false">IF(8&gt;Hold_Yrs,0,J1872+J963+J1266+J1569+J2175+J1266*Prepay_Pen+IF(8=Hold_Yrs,$C2478,0))</f>
        <v>0</v>
      </c>
      <c r="L2781" s="99" t="n">
        <f aca="false">IF(9&gt;Hold_Yrs,0,K1872+K963+K1266+K1569+K2175+K1266*Prepay_Pen+IF(9=Hold_Yrs,$C2478,0))</f>
        <v>0</v>
      </c>
      <c r="M2781" s="99" t="n">
        <f aca="false">IF(10&gt;Hold_Yrs,0,L1872+L963+L1266+L1569+L2175+L1266*Prepay_Pen+IF(10=Hold_Yrs,$C2478,0))</f>
        <v>0</v>
      </c>
    </row>
    <row r="2782" customFormat="false" ht="15" hidden="false" customHeight="false" outlineLevel="0" collapsed="false">
      <c r="B2782" s="108" t="str">
        <f aca="false">'Loan Tape'!$A51</f>
        <v>L-048</v>
      </c>
      <c r="C2782" s="71" t="n">
        <f aca="false">-'Loan Tape'!$BB51</f>
        <v>-95045658.55</v>
      </c>
      <c r="D2782" s="71" t="n">
        <f aca="false">IF(1&gt;Hold_Yrs,0,C1873+C964+C1267+C1570+C2176+C1267*Prepay_Pen+IF(1=Hold_Yrs,$C2479,0))</f>
        <v>18506534.6439413</v>
      </c>
      <c r="E2782" s="71" t="n">
        <f aca="false">IF(2&gt;Hold_Yrs,0,D1873+D964+D1267+D1570+D2176+D1267*Prepay_Pen+IF(2=Hold_Yrs,$C2479,0))</f>
        <v>89660189.9317664</v>
      </c>
      <c r="F2782" s="71" t="n">
        <f aca="false">IF(3&gt;Hold_Yrs,0,E1873+E964+E1267+E1570+E2176+E1267*Prepay_Pen+IF(3=Hold_Yrs,$C2479,0))</f>
        <v>806610.808408069</v>
      </c>
      <c r="G2782" s="71" t="n">
        <f aca="false">IF(4&gt;Hold_Yrs,0,F1873+F964+F1267+F1570+F2176+F1267*Prepay_Pen+IF(4=Hold_Yrs,$C2479,0))</f>
        <v>0</v>
      </c>
      <c r="H2782" s="71" t="n">
        <f aca="false">IF(5&gt;Hold_Yrs,0,G1873+G964+G1267+G1570+G2176+G1267*Prepay_Pen+IF(5=Hold_Yrs,$C2479,0))</f>
        <v>0</v>
      </c>
      <c r="I2782" s="71" t="n">
        <f aca="false">IF(6&gt;Hold_Yrs,0,H1873+H964+H1267+H1570+H2176+H1267*Prepay_Pen+IF(6=Hold_Yrs,$C2479,0))</f>
        <v>0</v>
      </c>
      <c r="J2782" s="71" t="n">
        <f aca="false">IF(7&gt;Hold_Yrs,0,I1873+I964+I1267+I1570+I2176+I1267*Prepay_Pen+IF(7=Hold_Yrs,$C2479,0))</f>
        <v>0</v>
      </c>
      <c r="K2782" s="71" t="n">
        <f aca="false">IF(8&gt;Hold_Yrs,0,J1873+J964+J1267+J1570+J2176+J1267*Prepay_Pen+IF(8=Hold_Yrs,$C2479,0))</f>
        <v>0</v>
      </c>
      <c r="L2782" s="71" t="n">
        <f aca="false">IF(9&gt;Hold_Yrs,0,K1873+K964+K1267+K1570+K2176+K1267*Prepay_Pen+IF(9=Hold_Yrs,$C2479,0))</f>
        <v>0</v>
      </c>
      <c r="M2782" s="71" t="n">
        <f aca="false">IF(10&gt;Hold_Yrs,0,L1873+L964+L1267+L1570+L2176+L1267*Prepay_Pen+IF(10=Hold_Yrs,$C2479,0))</f>
        <v>0</v>
      </c>
    </row>
    <row r="2783" customFormat="false" ht="15" hidden="false" customHeight="false" outlineLevel="0" collapsed="false">
      <c r="B2783" s="102" t="str">
        <f aca="false">'Loan Tape'!$A52</f>
        <v>L-049</v>
      </c>
      <c r="C2783" s="99" t="n">
        <f aca="false">-'Loan Tape'!$BB52</f>
        <v>-49345468.1</v>
      </c>
      <c r="D2783" s="99" t="n">
        <f aca="false">IF(1&gt;Hold_Yrs,0,C1874+C965+C1268+C1571+C2177+C1268*Prepay_Pen+IF(1=Hold_Yrs,$C2480,0))</f>
        <v>52022000</v>
      </c>
      <c r="E2783" s="99" t="n">
        <f aca="false">IF(2&gt;Hold_Yrs,0,D1874+D965+D1268+D1571+D2177+D1268*Prepay_Pen+IF(2=Hold_Yrs,$C2480,0))</f>
        <v>0</v>
      </c>
      <c r="F2783" s="99" t="n">
        <f aca="false">IF(3&gt;Hold_Yrs,0,E1874+E965+E1268+E1571+E2177+E1268*Prepay_Pen+IF(3=Hold_Yrs,$C2480,0))</f>
        <v>0</v>
      </c>
      <c r="G2783" s="99" t="n">
        <f aca="false">IF(4&gt;Hold_Yrs,0,F1874+F965+F1268+F1571+F2177+F1268*Prepay_Pen+IF(4=Hold_Yrs,$C2480,0))</f>
        <v>0</v>
      </c>
      <c r="H2783" s="99" t="n">
        <f aca="false">IF(5&gt;Hold_Yrs,0,G1874+G965+G1268+G1571+G2177+G1268*Prepay_Pen+IF(5=Hold_Yrs,$C2480,0))</f>
        <v>0</v>
      </c>
      <c r="I2783" s="99" t="n">
        <f aca="false">IF(6&gt;Hold_Yrs,0,H1874+H965+H1268+H1571+H2177+H1268*Prepay_Pen+IF(6=Hold_Yrs,$C2480,0))</f>
        <v>0</v>
      </c>
      <c r="J2783" s="99" t="n">
        <f aca="false">IF(7&gt;Hold_Yrs,0,I1874+I965+I1268+I1571+I2177+I1268*Prepay_Pen+IF(7=Hold_Yrs,$C2480,0))</f>
        <v>0</v>
      </c>
      <c r="K2783" s="99" t="n">
        <f aca="false">IF(8&gt;Hold_Yrs,0,J1874+J965+J1268+J1571+J2177+J1268*Prepay_Pen+IF(8=Hold_Yrs,$C2480,0))</f>
        <v>0</v>
      </c>
      <c r="L2783" s="99" t="n">
        <f aca="false">IF(9&gt;Hold_Yrs,0,K1874+K965+K1268+K1571+K2177+K1268*Prepay_Pen+IF(9=Hold_Yrs,$C2480,0))</f>
        <v>0</v>
      </c>
      <c r="M2783" s="99" t="n">
        <f aca="false">IF(10&gt;Hold_Yrs,0,L1874+L965+L1268+L1571+L2177+L1268*Prepay_Pen+IF(10=Hold_Yrs,$C2480,0))</f>
        <v>0</v>
      </c>
    </row>
    <row r="2784" customFormat="false" ht="15" hidden="false" customHeight="false" outlineLevel="0" collapsed="false">
      <c r="B2784" s="108" t="str">
        <f aca="false">'Loan Tape'!$A53</f>
        <v>L-050</v>
      </c>
      <c r="C2784" s="71" t="n">
        <f aca="false">-'Loan Tape'!$BB53</f>
        <v>-114122896.15</v>
      </c>
      <c r="D2784" s="71" t="n">
        <f aca="false">IF(1&gt;Hold_Yrs,0,C1875+C966+C1269+C1572+C2178+C1269*Prepay_Pen+IF(1=Hold_Yrs,$C2481,0))</f>
        <v>21538433.26</v>
      </c>
      <c r="E2784" s="71" t="n">
        <f aca="false">IF(2&gt;Hold_Yrs,0,D1875+D966+D1269+D1572+D2178+D1269*Prepay_Pen+IF(2=Hold_Yrs,$C2481,0))</f>
        <v>20140588.7008</v>
      </c>
      <c r="F2784" s="71" t="n">
        <f aca="false">IF(3&gt;Hold_Yrs,0,E1875+E966+E1269+E1572+E2178+E1269*Prepay_Pen+IF(3=Hold_Yrs,$C2481,0))</f>
        <v>97900679.3788611</v>
      </c>
      <c r="G2784" s="71" t="n">
        <f aca="false">IF(4&gt;Hold_Yrs,0,F1875+F966+F1269+F1572+F2178+F1269*Prepay_Pen+IF(4=Hold_Yrs,$C2481,0))</f>
        <v>874054.29634716</v>
      </c>
      <c r="H2784" s="71" t="n">
        <f aca="false">IF(5&gt;Hold_Yrs,0,G1875+G966+G1269+G1572+G2178+G1269*Prepay_Pen+IF(5=Hold_Yrs,$C2481,0))</f>
        <v>0</v>
      </c>
      <c r="I2784" s="71" t="n">
        <f aca="false">IF(6&gt;Hold_Yrs,0,H1875+H966+H1269+H1572+H2178+H1269*Prepay_Pen+IF(6=Hold_Yrs,$C2481,0))</f>
        <v>0</v>
      </c>
      <c r="J2784" s="71" t="n">
        <f aca="false">IF(7&gt;Hold_Yrs,0,I1875+I966+I1269+I1572+I2178+I1269*Prepay_Pen+IF(7=Hold_Yrs,$C2481,0))</f>
        <v>0</v>
      </c>
      <c r="K2784" s="71" t="n">
        <f aca="false">IF(8&gt;Hold_Yrs,0,J1875+J966+J1269+J1572+J2178+J1269*Prepay_Pen+IF(8=Hold_Yrs,$C2481,0))</f>
        <v>0</v>
      </c>
      <c r="L2784" s="71" t="n">
        <f aca="false">IF(9&gt;Hold_Yrs,0,K1875+K966+K1269+K1572+K2178+K1269*Prepay_Pen+IF(9=Hold_Yrs,$C2481,0))</f>
        <v>0</v>
      </c>
      <c r="M2784" s="71" t="n">
        <f aca="false">IF(10&gt;Hold_Yrs,0,L1875+L966+L1269+L1572+L2178+L1269*Prepay_Pen+IF(10=Hold_Yrs,$C2481,0))</f>
        <v>0</v>
      </c>
    </row>
    <row r="2785" customFormat="false" ht="15" hidden="false" customHeight="false" outlineLevel="0" collapsed="false">
      <c r="B2785" s="102" t="n">
        <f aca="false">'Loan Tape'!$A54</f>
        <v>0</v>
      </c>
      <c r="C2785" s="99" t="n">
        <f aca="false">-'Loan Tape'!$BB54</f>
        <v>-0</v>
      </c>
      <c r="D2785" s="99" t="n">
        <f aca="false">IF(1&gt;Hold_Yrs,0,C1876+C967+C1270+C1573+C2179+C1270*Prepay_Pen+IF(1=Hold_Yrs,$C2482,0))</f>
        <v>0</v>
      </c>
      <c r="E2785" s="99" t="n">
        <f aca="false">IF(2&gt;Hold_Yrs,0,D1876+D967+D1270+D1573+D2179+D1270*Prepay_Pen+IF(2=Hold_Yrs,$C2482,0))</f>
        <v>0</v>
      </c>
      <c r="F2785" s="99" t="n">
        <f aca="false">IF(3&gt;Hold_Yrs,0,E1876+E967+E1270+E1573+E2179+E1270*Prepay_Pen+IF(3=Hold_Yrs,$C2482,0))</f>
        <v>0</v>
      </c>
      <c r="G2785" s="99" t="n">
        <f aca="false">IF(4&gt;Hold_Yrs,0,F1876+F967+F1270+F1573+F2179+F1270*Prepay_Pen+IF(4=Hold_Yrs,$C2482,0))</f>
        <v>0</v>
      </c>
      <c r="H2785" s="99" t="n">
        <f aca="false">IF(5&gt;Hold_Yrs,0,G1876+G967+G1270+G1573+G2179+G1270*Prepay_Pen+IF(5=Hold_Yrs,$C2482,0))</f>
        <v>0</v>
      </c>
      <c r="I2785" s="99" t="n">
        <f aca="false">IF(6&gt;Hold_Yrs,0,H1876+H967+H1270+H1573+H2179+H1270*Prepay_Pen+IF(6=Hold_Yrs,$C2482,0))</f>
        <v>0</v>
      </c>
      <c r="J2785" s="99" t="n">
        <f aca="false">IF(7&gt;Hold_Yrs,0,I1876+I967+I1270+I1573+I2179+I1270*Prepay_Pen+IF(7=Hold_Yrs,$C2482,0))</f>
        <v>0</v>
      </c>
      <c r="K2785" s="99" t="n">
        <f aca="false">IF(8&gt;Hold_Yrs,0,J1876+J967+J1270+J1573+J2179+J1270*Prepay_Pen+IF(8=Hold_Yrs,$C2482,0))</f>
        <v>0</v>
      </c>
      <c r="L2785" s="99" t="n">
        <f aca="false">IF(9&gt;Hold_Yrs,0,K1876+K967+K1270+K1573+K2179+K1270*Prepay_Pen+IF(9=Hold_Yrs,$C2482,0))</f>
        <v>0</v>
      </c>
      <c r="M2785" s="99" t="n">
        <f aca="false">IF(10&gt;Hold_Yrs,0,L1876+L967+L1270+L1573+L2179+L1270*Prepay_Pen+IF(10=Hold_Yrs,$C2482,0))</f>
        <v>0</v>
      </c>
    </row>
    <row r="2786" customFormat="false" ht="15" hidden="false" customHeight="false" outlineLevel="0" collapsed="false">
      <c r="B2786" s="108" t="n">
        <f aca="false">'Loan Tape'!$A55</f>
        <v>0</v>
      </c>
      <c r="C2786" s="71" t="n">
        <f aca="false">-'Loan Tape'!$BB55</f>
        <v>-0</v>
      </c>
      <c r="D2786" s="71" t="n">
        <f aca="false">IF(1&gt;Hold_Yrs,0,C1877+C968+C1271+C1574+C2180+C1271*Prepay_Pen+IF(1=Hold_Yrs,$C2483,0))</f>
        <v>0</v>
      </c>
      <c r="E2786" s="71" t="n">
        <f aca="false">IF(2&gt;Hold_Yrs,0,D1877+D968+D1271+D1574+D2180+D1271*Prepay_Pen+IF(2=Hold_Yrs,$C2483,0))</f>
        <v>0</v>
      </c>
      <c r="F2786" s="71" t="n">
        <f aca="false">IF(3&gt;Hold_Yrs,0,E1877+E968+E1271+E1574+E2180+E1271*Prepay_Pen+IF(3=Hold_Yrs,$C2483,0))</f>
        <v>0</v>
      </c>
      <c r="G2786" s="71" t="n">
        <f aca="false">IF(4&gt;Hold_Yrs,0,F1877+F968+F1271+F1574+F2180+F1271*Prepay_Pen+IF(4=Hold_Yrs,$C2483,0))</f>
        <v>0</v>
      </c>
      <c r="H2786" s="71" t="n">
        <f aca="false">IF(5&gt;Hold_Yrs,0,G1877+G968+G1271+G1574+G2180+G1271*Prepay_Pen+IF(5=Hold_Yrs,$C2483,0))</f>
        <v>0</v>
      </c>
      <c r="I2786" s="71" t="n">
        <f aca="false">IF(6&gt;Hold_Yrs,0,H1877+H968+H1271+H1574+H2180+H1271*Prepay_Pen+IF(6=Hold_Yrs,$C2483,0))</f>
        <v>0</v>
      </c>
      <c r="J2786" s="71" t="n">
        <f aca="false">IF(7&gt;Hold_Yrs,0,I1877+I968+I1271+I1574+I2180+I1271*Prepay_Pen+IF(7=Hold_Yrs,$C2483,0))</f>
        <v>0</v>
      </c>
      <c r="K2786" s="71" t="n">
        <f aca="false">IF(8&gt;Hold_Yrs,0,J1877+J968+J1271+J1574+J2180+J1271*Prepay_Pen+IF(8=Hold_Yrs,$C2483,0))</f>
        <v>0</v>
      </c>
      <c r="L2786" s="71" t="n">
        <f aca="false">IF(9&gt;Hold_Yrs,0,K1877+K968+K1271+K1574+K2180+K1271*Prepay_Pen+IF(9=Hold_Yrs,$C2483,0))</f>
        <v>0</v>
      </c>
      <c r="M2786" s="71" t="n">
        <f aca="false">IF(10&gt;Hold_Yrs,0,L1877+L968+L1271+L1574+L2180+L1271*Prepay_Pen+IF(10=Hold_Yrs,$C2483,0))</f>
        <v>0</v>
      </c>
    </row>
    <row r="2787" customFormat="false" ht="15" hidden="false" customHeight="false" outlineLevel="0" collapsed="false">
      <c r="B2787" s="102" t="n">
        <f aca="false">'Loan Tape'!$A56</f>
        <v>0</v>
      </c>
      <c r="C2787" s="99" t="n">
        <f aca="false">-'Loan Tape'!$BB56</f>
        <v>-0</v>
      </c>
      <c r="D2787" s="99" t="n">
        <f aca="false">IF(1&gt;Hold_Yrs,0,C1878+C969+C1272+C1575+C2181+C1272*Prepay_Pen+IF(1=Hold_Yrs,$C2484,0))</f>
        <v>0</v>
      </c>
      <c r="E2787" s="99" t="n">
        <f aca="false">IF(2&gt;Hold_Yrs,0,D1878+D969+D1272+D1575+D2181+D1272*Prepay_Pen+IF(2=Hold_Yrs,$C2484,0))</f>
        <v>0</v>
      </c>
      <c r="F2787" s="99" t="n">
        <f aca="false">IF(3&gt;Hold_Yrs,0,E1878+E969+E1272+E1575+E2181+E1272*Prepay_Pen+IF(3=Hold_Yrs,$C2484,0))</f>
        <v>0</v>
      </c>
      <c r="G2787" s="99" t="n">
        <f aca="false">IF(4&gt;Hold_Yrs,0,F1878+F969+F1272+F1575+F2181+F1272*Prepay_Pen+IF(4=Hold_Yrs,$C2484,0))</f>
        <v>0</v>
      </c>
      <c r="H2787" s="99" t="n">
        <f aca="false">IF(5&gt;Hold_Yrs,0,G1878+G969+G1272+G1575+G2181+G1272*Prepay_Pen+IF(5=Hold_Yrs,$C2484,0))</f>
        <v>0</v>
      </c>
      <c r="I2787" s="99" t="n">
        <f aca="false">IF(6&gt;Hold_Yrs,0,H1878+H969+H1272+H1575+H2181+H1272*Prepay_Pen+IF(6=Hold_Yrs,$C2484,0))</f>
        <v>0</v>
      </c>
      <c r="J2787" s="99" t="n">
        <f aca="false">IF(7&gt;Hold_Yrs,0,I1878+I969+I1272+I1575+I2181+I1272*Prepay_Pen+IF(7=Hold_Yrs,$C2484,0))</f>
        <v>0</v>
      </c>
      <c r="K2787" s="99" t="n">
        <f aca="false">IF(8&gt;Hold_Yrs,0,J1878+J969+J1272+J1575+J2181+J1272*Prepay_Pen+IF(8=Hold_Yrs,$C2484,0))</f>
        <v>0</v>
      </c>
      <c r="L2787" s="99" t="n">
        <f aca="false">IF(9&gt;Hold_Yrs,0,K1878+K969+K1272+K1575+K2181+K1272*Prepay_Pen+IF(9=Hold_Yrs,$C2484,0))</f>
        <v>0</v>
      </c>
      <c r="M2787" s="99" t="n">
        <f aca="false">IF(10&gt;Hold_Yrs,0,L1878+L969+L1272+L1575+L2181+L1272*Prepay_Pen+IF(10=Hold_Yrs,$C2484,0))</f>
        <v>0</v>
      </c>
    </row>
    <row r="2788" customFormat="false" ht="15" hidden="false" customHeight="false" outlineLevel="0" collapsed="false">
      <c r="B2788" s="108" t="n">
        <f aca="false">'Loan Tape'!$A57</f>
        <v>0</v>
      </c>
      <c r="C2788" s="71" t="n">
        <f aca="false">-'Loan Tape'!$BB57</f>
        <v>-0</v>
      </c>
      <c r="D2788" s="71" t="n">
        <f aca="false">IF(1&gt;Hold_Yrs,0,C1879+C970+C1273+C1576+C2182+C1273*Prepay_Pen+IF(1=Hold_Yrs,$C2485,0))</f>
        <v>0</v>
      </c>
      <c r="E2788" s="71" t="n">
        <f aca="false">IF(2&gt;Hold_Yrs,0,D1879+D970+D1273+D1576+D2182+D1273*Prepay_Pen+IF(2=Hold_Yrs,$C2485,0))</f>
        <v>0</v>
      </c>
      <c r="F2788" s="71" t="n">
        <f aca="false">IF(3&gt;Hold_Yrs,0,E1879+E970+E1273+E1576+E2182+E1273*Prepay_Pen+IF(3=Hold_Yrs,$C2485,0))</f>
        <v>0</v>
      </c>
      <c r="G2788" s="71" t="n">
        <f aca="false">IF(4&gt;Hold_Yrs,0,F1879+F970+F1273+F1576+F2182+F1273*Prepay_Pen+IF(4=Hold_Yrs,$C2485,0))</f>
        <v>0</v>
      </c>
      <c r="H2788" s="71" t="n">
        <f aca="false">IF(5&gt;Hold_Yrs,0,G1879+G970+G1273+G1576+G2182+G1273*Prepay_Pen+IF(5=Hold_Yrs,$C2485,0))</f>
        <v>0</v>
      </c>
      <c r="I2788" s="71" t="n">
        <f aca="false">IF(6&gt;Hold_Yrs,0,H1879+H970+H1273+H1576+H2182+H1273*Prepay_Pen+IF(6=Hold_Yrs,$C2485,0))</f>
        <v>0</v>
      </c>
      <c r="J2788" s="71" t="n">
        <f aca="false">IF(7&gt;Hold_Yrs,0,I1879+I970+I1273+I1576+I2182+I1273*Prepay_Pen+IF(7=Hold_Yrs,$C2485,0))</f>
        <v>0</v>
      </c>
      <c r="K2788" s="71" t="n">
        <f aca="false">IF(8&gt;Hold_Yrs,0,J1879+J970+J1273+J1576+J2182+J1273*Prepay_Pen+IF(8=Hold_Yrs,$C2485,0))</f>
        <v>0</v>
      </c>
      <c r="L2788" s="71" t="n">
        <f aca="false">IF(9&gt;Hold_Yrs,0,K1879+K970+K1273+K1576+K2182+K1273*Prepay_Pen+IF(9=Hold_Yrs,$C2485,0))</f>
        <v>0</v>
      </c>
      <c r="M2788" s="71" t="n">
        <f aca="false">IF(10&gt;Hold_Yrs,0,L1879+L970+L1273+L1576+L2182+L1273*Prepay_Pen+IF(10=Hold_Yrs,$C2485,0))</f>
        <v>0</v>
      </c>
    </row>
    <row r="2789" customFormat="false" ht="15" hidden="false" customHeight="false" outlineLevel="0" collapsed="false">
      <c r="B2789" s="102" t="n">
        <f aca="false">'Loan Tape'!$A58</f>
        <v>0</v>
      </c>
      <c r="C2789" s="99" t="n">
        <f aca="false">-'Loan Tape'!$BB58</f>
        <v>-0</v>
      </c>
      <c r="D2789" s="99" t="n">
        <f aca="false">IF(1&gt;Hold_Yrs,0,C1880+C971+C1274+C1577+C2183+C1274*Prepay_Pen+IF(1=Hold_Yrs,$C2486,0))</f>
        <v>0</v>
      </c>
      <c r="E2789" s="99" t="n">
        <f aca="false">IF(2&gt;Hold_Yrs,0,D1880+D971+D1274+D1577+D2183+D1274*Prepay_Pen+IF(2=Hold_Yrs,$C2486,0))</f>
        <v>0</v>
      </c>
      <c r="F2789" s="99" t="n">
        <f aca="false">IF(3&gt;Hold_Yrs,0,E1880+E971+E1274+E1577+E2183+E1274*Prepay_Pen+IF(3=Hold_Yrs,$C2486,0))</f>
        <v>0</v>
      </c>
      <c r="G2789" s="99" t="n">
        <f aca="false">IF(4&gt;Hold_Yrs,0,F1880+F971+F1274+F1577+F2183+F1274*Prepay_Pen+IF(4=Hold_Yrs,$C2486,0))</f>
        <v>0</v>
      </c>
      <c r="H2789" s="99" t="n">
        <f aca="false">IF(5&gt;Hold_Yrs,0,G1880+G971+G1274+G1577+G2183+G1274*Prepay_Pen+IF(5=Hold_Yrs,$C2486,0))</f>
        <v>0</v>
      </c>
      <c r="I2789" s="99" t="n">
        <f aca="false">IF(6&gt;Hold_Yrs,0,H1880+H971+H1274+H1577+H2183+H1274*Prepay_Pen+IF(6=Hold_Yrs,$C2486,0))</f>
        <v>0</v>
      </c>
      <c r="J2789" s="99" t="n">
        <f aca="false">IF(7&gt;Hold_Yrs,0,I1880+I971+I1274+I1577+I2183+I1274*Prepay_Pen+IF(7=Hold_Yrs,$C2486,0))</f>
        <v>0</v>
      </c>
      <c r="K2789" s="99" t="n">
        <f aca="false">IF(8&gt;Hold_Yrs,0,J1880+J971+J1274+J1577+J2183+J1274*Prepay_Pen+IF(8=Hold_Yrs,$C2486,0))</f>
        <v>0</v>
      </c>
      <c r="L2789" s="99" t="n">
        <f aca="false">IF(9&gt;Hold_Yrs,0,K1880+K971+K1274+K1577+K2183+K1274*Prepay_Pen+IF(9=Hold_Yrs,$C2486,0))</f>
        <v>0</v>
      </c>
      <c r="M2789" s="99" t="n">
        <f aca="false">IF(10&gt;Hold_Yrs,0,L1880+L971+L1274+L1577+L2183+L1274*Prepay_Pen+IF(10=Hold_Yrs,$C2486,0))</f>
        <v>0</v>
      </c>
    </row>
    <row r="2790" customFormat="false" ht="15" hidden="false" customHeight="false" outlineLevel="0" collapsed="false">
      <c r="B2790" s="108" t="n">
        <f aca="false">'Loan Tape'!$A59</f>
        <v>0</v>
      </c>
      <c r="C2790" s="71" t="n">
        <f aca="false">-'Loan Tape'!$BB59</f>
        <v>-0</v>
      </c>
      <c r="D2790" s="71" t="n">
        <f aca="false">IF(1&gt;Hold_Yrs,0,C1881+C972+C1275+C1578+C2184+C1275*Prepay_Pen+IF(1=Hold_Yrs,$C2487,0))</f>
        <v>0</v>
      </c>
      <c r="E2790" s="71" t="n">
        <f aca="false">IF(2&gt;Hold_Yrs,0,D1881+D972+D1275+D1578+D2184+D1275*Prepay_Pen+IF(2=Hold_Yrs,$C2487,0))</f>
        <v>0</v>
      </c>
      <c r="F2790" s="71" t="n">
        <f aca="false">IF(3&gt;Hold_Yrs,0,E1881+E972+E1275+E1578+E2184+E1275*Prepay_Pen+IF(3=Hold_Yrs,$C2487,0))</f>
        <v>0</v>
      </c>
      <c r="G2790" s="71" t="n">
        <f aca="false">IF(4&gt;Hold_Yrs,0,F1881+F972+F1275+F1578+F2184+F1275*Prepay_Pen+IF(4=Hold_Yrs,$C2487,0))</f>
        <v>0</v>
      </c>
      <c r="H2790" s="71" t="n">
        <f aca="false">IF(5&gt;Hold_Yrs,0,G1881+G972+G1275+G1578+G2184+G1275*Prepay_Pen+IF(5=Hold_Yrs,$C2487,0))</f>
        <v>0</v>
      </c>
      <c r="I2790" s="71" t="n">
        <f aca="false">IF(6&gt;Hold_Yrs,0,H1881+H972+H1275+H1578+H2184+H1275*Prepay_Pen+IF(6=Hold_Yrs,$C2487,0))</f>
        <v>0</v>
      </c>
      <c r="J2790" s="71" t="n">
        <f aca="false">IF(7&gt;Hold_Yrs,0,I1881+I972+I1275+I1578+I2184+I1275*Prepay_Pen+IF(7=Hold_Yrs,$C2487,0))</f>
        <v>0</v>
      </c>
      <c r="K2790" s="71" t="n">
        <f aca="false">IF(8&gt;Hold_Yrs,0,J1881+J972+J1275+J1578+J2184+J1275*Prepay_Pen+IF(8=Hold_Yrs,$C2487,0))</f>
        <v>0</v>
      </c>
      <c r="L2790" s="71" t="n">
        <f aca="false">IF(9&gt;Hold_Yrs,0,K1881+K972+K1275+K1578+K2184+K1275*Prepay_Pen+IF(9=Hold_Yrs,$C2487,0))</f>
        <v>0</v>
      </c>
      <c r="M2790" s="71" t="n">
        <f aca="false">IF(10&gt;Hold_Yrs,0,L1881+L972+L1275+L1578+L2184+L1275*Prepay_Pen+IF(10=Hold_Yrs,$C2487,0))</f>
        <v>0</v>
      </c>
    </row>
    <row r="2791" customFormat="false" ht="15" hidden="false" customHeight="false" outlineLevel="0" collapsed="false">
      <c r="B2791" s="102" t="n">
        <f aca="false">'Loan Tape'!$A60</f>
        <v>0</v>
      </c>
      <c r="C2791" s="99" t="n">
        <f aca="false">-'Loan Tape'!$BB60</f>
        <v>-0</v>
      </c>
      <c r="D2791" s="99" t="n">
        <f aca="false">IF(1&gt;Hold_Yrs,0,C1882+C973+C1276+C1579+C2185+C1276*Prepay_Pen+IF(1=Hold_Yrs,$C2488,0))</f>
        <v>0</v>
      </c>
      <c r="E2791" s="99" t="n">
        <f aca="false">IF(2&gt;Hold_Yrs,0,D1882+D973+D1276+D1579+D2185+D1276*Prepay_Pen+IF(2=Hold_Yrs,$C2488,0))</f>
        <v>0</v>
      </c>
      <c r="F2791" s="99" t="n">
        <f aca="false">IF(3&gt;Hold_Yrs,0,E1882+E973+E1276+E1579+E2185+E1276*Prepay_Pen+IF(3=Hold_Yrs,$C2488,0))</f>
        <v>0</v>
      </c>
      <c r="G2791" s="99" t="n">
        <f aca="false">IF(4&gt;Hold_Yrs,0,F1882+F973+F1276+F1579+F2185+F1276*Prepay_Pen+IF(4=Hold_Yrs,$C2488,0))</f>
        <v>0</v>
      </c>
      <c r="H2791" s="99" t="n">
        <f aca="false">IF(5&gt;Hold_Yrs,0,G1882+G973+G1276+G1579+G2185+G1276*Prepay_Pen+IF(5=Hold_Yrs,$C2488,0))</f>
        <v>0</v>
      </c>
      <c r="I2791" s="99" t="n">
        <f aca="false">IF(6&gt;Hold_Yrs,0,H1882+H973+H1276+H1579+H2185+H1276*Prepay_Pen+IF(6=Hold_Yrs,$C2488,0))</f>
        <v>0</v>
      </c>
      <c r="J2791" s="99" t="n">
        <f aca="false">IF(7&gt;Hold_Yrs,0,I1882+I973+I1276+I1579+I2185+I1276*Prepay_Pen+IF(7=Hold_Yrs,$C2488,0))</f>
        <v>0</v>
      </c>
      <c r="K2791" s="99" t="n">
        <f aca="false">IF(8&gt;Hold_Yrs,0,J1882+J973+J1276+J1579+J2185+J1276*Prepay_Pen+IF(8=Hold_Yrs,$C2488,0))</f>
        <v>0</v>
      </c>
      <c r="L2791" s="99" t="n">
        <f aca="false">IF(9&gt;Hold_Yrs,0,K1882+K973+K1276+K1579+K2185+K1276*Prepay_Pen+IF(9=Hold_Yrs,$C2488,0))</f>
        <v>0</v>
      </c>
      <c r="M2791" s="99" t="n">
        <f aca="false">IF(10&gt;Hold_Yrs,0,L1882+L973+L1276+L1579+L2185+L1276*Prepay_Pen+IF(10=Hold_Yrs,$C2488,0))</f>
        <v>0</v>
      </c>
    </row>
    <row r="2792" customFormat="false" ht="15" hidden="false" customHeight="false" outlineLevel="0" collapsed="false">
      <c r="B2792" s="108" t="n">
        <f aca="false">'Loan Tape'!$A61</f>
        <v>0</v>
      </c>
      <c r="C2792" s="71" t="n">
        <f aca="false">-'Loan Tape'!$BB61</f>
        <v>-0</v>
      </c>
      <c r="D2792" s="71" t="n">
        <f aca="false">IF(1&gt;Hold_Yrs,0,C1883+C974+C1277+C1580+C2186+C1277*Prepay_Pen+IF(1=Hold_Yrs,$C2489,0))</f>
        <v>0</v>
      </c>
      <c r="E2792" s="71" t="n">
        <f aca="false">IF(2&gt;Hold_Yrs,0,D1883+D974+D1277+D1580+D2186+D1277*Prepay_Pen+IF(2=Hold_Yrs,$C2489,0))</f>
        <v>0</v>
      </c>
      <c r="F2792" s="71" t="n">
        <f aca="false">IF(3&gt;Hold_Yrs,0,E1883+E974+E1277+E1580+E2186+E1277*Prepay_Pen+IF(3=Hold_Yrs,$C2489,0))</f>
        <v>0</v>
      </c>
      <c r="G2792" s="71" t="n">
        <f aca="false">IF(4&gt;Hold_Yrs,0,F1883+F974+F1277+F1580+F2186+F1277*Prepay_Pen+IF(4=Hold_Yrs,$C2489,0))</f>
        <v>0</v>
      </c>
      <c r="H2792" s="71" t="n">
        <f aca="false">IF(5&gt;Hold_Yrs,0,G1883+G974+G1277+G1580+G2186+G1277*Prepay_Pen+IF(5=Hold_Yrs,$C2489,0))</f>
        <v>0</v>
      </c>
      <c r="I2792" s="71" t="n">
        <f aca="false">IF(6&gt;Hold_Yrs,0,H1883+H974+H1277+H1580+H2186+H1277*Prepay_Pen+IF(6=Hold_Yrs,$C2489,0))</f>
        <v>0</v>
      </c>
      <c r="J2792" s="71" t="n">
        <f aca="false">IF(7&gt;Hold_Yrs,0,I1883+I974+I1277+I1580+I2186+I1277*Prepay_Pen+IF(7=Hold_Yrs,$C2489,0))</f>
        <v>0</v>
      </c>
      <c r="K2792" s="71" t="n">
        <f aca="false">IF(8&gt;Hold_Yrs,0,J1883+J974+J1277+J1580+J2186+J1277*Prepay_Pen+IF(8=Hold_Yrs,$C2489,0))</f>
        <v>0</v>
      </c>
      <c r="L2792" s="71" t="n">
        <f aca="false">IF(9&gt;Hold_Yrs,0,K1883+K974+K1277+K1580+K2186+K1277*Prepay_Pen+IF(9=Hold_Yrs,$C2489,0))</f>
        <v>0</v>
      </c>
      <c r="M2792" s="71" t="n">
        <f aca="false">IF(10&gt;Hold_Yrs,0,L1883+L974+L1277+L1580+L2186+L1277*Prepay_Pen+IF(10=Hold_Yrs,$C2489,0))</f>
        <v>0</v>
      </c>
    </row>
    <row r="2793" customFormat="false" ht="15" hidden="false" customHeight="false" outlineLevel="0" collapsed="false">
      <c r="B2793" s="102" t="n">
        <f aca="false">'Loan Tape'!$A62</f>
        <v>0</v>
      </c>
      <c r="C2793" s="99" t="n">
        <f aca="false">-'Loan Tape'!$BB62</f>
        <v>-0</v>
      </c>
      <c r="D2793" s="99" t="n">
        <f aca="false">IF(1&gt;Hold_Yrs,0,C1884+C975+C1278+C1581+C2187+C1278*Prepay_Pen+IF(1=Hold_Yrs,$C2490,0))</f>
        <v>0</v>
      </c>
      <c r="E2793" s="99" t="n">
        <f aca="false">IF(2&gt;Hold_Yrs,0,D1884+D975+D1278+D1581+D2187+D1278*Prepay_Pen+IF(2=Hold_Yrs,$C2490,0))</f>
        <v>0</v>
      </c>
      <c r="F2793" s="99" t="n">
        <f aca="false">IF(3&gt;Hold_Yrs,0,E1884+E975+E1278+E1581+E2187+E1278*Prepay_Pen+IF(3=Hold_Yrs,$C2490,0))</f>
        <v>0</v>
      </c>
      <c r="G2793" s="99" t="n">
        <f aca="false">IF(4&gt;Hold_Yrs,0,F1884+F975+F1278+F1581+F2187+F1278*Prepay_Pen+IF(4=Hold_Yrs,$C2490,0))</f>
        <v>0</v>
      </c>
      <c r="H2793" s="99" t="n">
        <f aca="false">IF(5&gt;Hold_Yrs,0,G1884+G975+G1278+G1581+G2187+G1278*Prepay_Pen+IF(5=Hold_Yrs,$C2490,0))</f>
        <v>0</v>
      </c>
      <c r="I2793" s="99" t="n">
        <f aca="false">IF(6&gt;Hold_Yrs,0,H1884+H975+H1278+H1581+H2187+H1278*Prepay_Pen+IF(6=Hold_Yrs,$C2490,0))</f>
        <v>0</v>
      </c>
      <c r="J2793" s="99" t="n">
        <f aca="false">IF(7&gt;Hold_Yrs,0,I1884+I975+I1278+I1581+I2187+I1278*Prepay_Pen+IF(7=Hold_Yrs,$C2490,0))</f>
        <v>0</v>
      </c>
      <c r="K2793" s="99" t="n">
        <f aca="false">IF(8&gt;Hold_Yrs,0,J1884+J975+J1278+J1581+J2187+J1278*Prepay_Pen+IF(8=Hold_Yrs,$C2490,0))</f>
        <v>0</v>
      </c>
      <c r="L2793" s="99" t="n">
        <f aca="false">IF(9&gt;Hold_Yrs,0,K1884+K975+K1278+K1581+K2187+K1278*Prepay_Pen+IF(9=Hold_Yrs,$C2490,0))</f>
        <v>0</v>
      </c>
      <c r="M2793" s="99" t="n">
        <f aca="false">IF(10&gt;Hold_Yrs,0,L1884+L975+L1278+L1581+L2187+L1278*Prepay_Pen+IF(10=Hold_Yrs,$C2490,0))</f>
        <v>0</v>
      </c>
    </row>
    <row r="2794" customFormat="false" ht="15" hidden="false" customHeight="false" outlineLevel="0" collapsed="false">
      <c r="B2794" s="108" t="n">
        <f aca="false">'Loan Tape'!$A63</f>
        <v>0</v>
      </c>
      <c r="C2794" s="71" t="n">
        <f aca="false">-'Loan Tape'!$BB63</f>
        <v>-0</v>
      </c>
      <c r="D2794" s="71" t="n">
        <f aca="false">IF(1&gt;Hold_Yrs,0,C1885+C976+C1279+C1582+C2188+C1279*Prepay_Pen+IF(1=Hold_Yrs,$C2491,0))</f>
        <v>0</v>
      </c>
      <c r="E2794" s="71" t="n">
        <f aca="false">IF(2&gt;Hold_Yrs,0,D1885+D976+D1279+D1582+D2188+D1279*Prepay_Pen+IF(2=Hold_Yrs,$C2491,0))</f>
        <v>0</v>
      </c>
      <c r="F2794" s="71" t="n">
        <f aca="false">IF(3&gt;Hold_Yrs,0,E1885+E976+E1279+E1582+E2188+E1279*Prepay_Pen+IF(3=Hold_Yrs,$C2491,0))</f>
        <v>0</v>
      </c>
      <c r="G2794" s="71" t="n">
        <f aca="false">IF(4&gt;Hold_Yrs,0,F1885+F976+F1279+F1582+F2188+F1279*Prepay_Pen+IF(4=Hold_Yrs,$C2491,0))</f>
        <v>0</v>
      </c>
      <c r="H2794" s="71" t="n">
        <f aca="false">IF(5&gt;Hold_Yrs,0,G1885+G976+G1279+G1582+G2188+G1279*Prepay_Pen+IF(5=Hold_Yrs,$C2491,0))</f>
        <v>0</v>
      </c>
      <c r="I2794" s="71" t="n">
        <f aca="false">IF(6&gt;Hold_Yrs,0,H1885+H976+H1279+H1582+H2188+H1279*Prepay_Pen+IF(6=Hold_Yrs,$C2491,0))</f>
        <v>0</v>
      </c>
      <c r="J2794" s="71" t="n">
        <f aca="false">IF(7&gt;Hold_Yrs,0,I1885+I976+I1279+I1582+I2188+I1279*Prepay_Pen+IF(7=Hold_Yrs,$C2491,0))</f>
        <v>0</v>
      </c>
      <c r="K2794" s="71" t="n">
        <f aca="false">IF(8&gt;Hold_Yrs,0,J1885+J976+J1279+J1582+J2188+J1279*Prepay_Pen+IF(8=Hold_Yrs,$C2491,0))</f>
        <v>0</v>
      </c>
      <c r="L2794" s="71" t="n">
        <f aca="false">IF(9&gt;Hold_Yrs,0,K1885+K976+K1279+K1582+K2188+K1279*Prepay_Pen+IF(9=Hold_Yrs,$C2491,0))</f>
        <v>0</v>
      </c>
      <c r="M2794" s="71" t="n">
        <f aca="false">IF(10&gt;Hold_Yrs,0,L1885+L976+L1279+L1582+L2188+L1279*Prepay_Pen+IF(10=Hold_Yrs,$C2491,0))</f>
        <v>0</v>
      </c>
    </row>
    <row r="2795" customFormat="false" ht="15" hidden="false" customHeight="false" outlineLevel="0" collapsed="false">
      <c r="B2795" s="102" t="n">
        <f aca="false">'Loan Tape'!$A64</f>
        <v>0</v>
      </c>
      <c r="C2795" s="99" t="n">
        <f aca="false">-'Loan Tape'!$BB64</f>
        <v>-0</v>
      </c>
      <c r="D2795" s="99" t="n">
        <f aca="false">IF(1&gt;Hold_Yrs,0,C1886+C977+C1280+C1583+C2189+C1280*Prepay_Pen+IF(1=Hold_Yrs,$C2492,0))</f>
        <v>0</v>
      </c>
      <c r="E2795" s="99" t="n">
        <f aca="false">IF(2&gt;Hold_Yrs,0,D1886+D977+D1280+D1583+D2189+D1280*Prepay_Pen+IF(2=Hold_Yrs,$C2492,0))</f>
        <v>0</v>
      </c>
      <c r="F2795" s="99" t="n">
        <f aca="false">IF(3&gt;Hold_Yrs,0,E1886+E977+E1280+E1583+E2189+E1280*Prepay_Pen+IF(3=Hold_Yrs,$C2492,0))</f>
        <v>0</v>
      </c>
      <c r="G2795" s="99" t="n">
        <f aca="false">IF(4&gt;Hold_Yrs,0,F1886+F977+F1280+F1583+F2189+F1280*Prepay_Pen+IF(4=Hold_Yrs,$C2492,0))</f>
        <v>0</v>
      </c>
      <c r="H2795" s="99" t="n">
        <f aca="false">IF(5&gt;Hold_Yrs,0,G1886+G977+G1280+G1583+G2189+G1280*Prepay_Pen+IF(5=Hold_Yrs,$C2492,0))</f>
        <v>0</v>
      </c>
      <c r="I2795" s="99" t="n">
        <f aca="false">IF(6&gt;Hold_Yrs,0,H1886+H977+H1280+H1583+H2189+H1280*Prepay_Pen+IF(6=Hold_Yrs,$C2492,0))</f>
        <v>0</v>
      </c>
      <c r="J2795" s="99" t="n">
        <f aca="false">IF(7&gt;Hold_Yrs,0,I1886+I977+I1280+I1583+I2189+I1280*Prepay_Pen+IF(7=Hold_Yrs,$C2492,0))</f>
        <v>0</v>
      </c>
      <c r="K2795" s="99" t="n">
        <f aca="false">IF(8&gt;Hold_Yrs,0,J1886+J977+J1280+J1583+J2189+J1280*Prepay_Pen+IF(8=Hold_Yrs,$C2492,0))</f>
        <v>0</v>
      </c>
      <c r="L2795" s="99" t="n">
        <f aca="false">IF(9&gt;Hold_Yrs,0,K1886+K977+K1280+K1583+K2189+K1280*Prepay_Pen+IF(9=Hold_Yrs,$C2492,0))</f>
        <v>0</v>
      </c>
      <c r="M2795" s="99" t="n">
        <f aca="false">IF(10&gt;Hold_Yrs,0,L1886+L977+L1280+L1583+L2189+L1280*Prepay_Pen+IF(10=Hold_Yrs,$C2492,0))</f>
        <v>0</v>
      </c>
    </row>
    <row r="2796" customFormat="false" ht="15" hidden="false" customHeight="false" outlineLevel="0" collapsed="false">
      <c r="B2796" s="108" t="n">
        <f aca="false">'Loan Tape'!$A65</f>
        <v>0</v>
      </c>
      <c r="C2796" s="71" t="n">
        <f aca="false">-'Loan Tape'!$BB65</f>
        <v>-0</v>
      </c>
      <c r="D2796" s="71" t="n">
        <f aca="false">IF(1&gt;Hold_Yrs,0,C1887+C978+C1281+C1584+C2190+C1281*Prepay_Pen+IF(1=Hold_Yrs,$C2493,0))</f>
        <v>0</v>
      </c>
      <c r="E2796" s="71" t="n">
        <f aca="false">IF(2&gt;Hold_Yrs,0,D1887+D978+D1281+D1584+D2190+D1281*Prepay_Pen+IF(2=Hold_Yrs,$C2493,0))</f>
        <v>0</v>
      </c>
      <c r="F2796" s="71" t="n">
        <f aca="false">IF(3&gt;Hold_Yrs,0,E1887+E978+E1281+E1584+E2190+E1281*Prepay_Pen+IF(3=Hold_Yrs,$C2493,0))</f>
        <v>0</v>
      </c>
      <c r="G2796" s="71" t="n">
        <f aca="false">IF(4&gt;Hold_Yrs,0,F1887+F978+F1281+F1584+F2190+F1281*Prepay_Pen+IF(4=Hold_Yrs,$C2493,0))</f>
        <v>0</v>
      </c>
      <c r="H2796" s="71" t="n">
        <f aca="false">IF(5&gt;Hold_Yrs,0,G1887+G978+G1281+G1584+G2190+G1281*Prepay_Pen+IF(5=Hold_Yrs,$C2493,0))</f>
        <v>0</v>
      </c>
      <c r="I2796" s="71" t="n">
        <f aca="false">IF(6&gt;Hold_Yrs,0,H1887+H978+H1281+H1584+H2190+H1281*Prepay_Pen+IF(6=Hold_Yrs,$C2493,0))</f>
        <v>0</v>
      </c>
      <c r="J2796" s="71" t="n">
        <f aca="false">IF(7&gt;Hold_Yrs,0,I1887+I978+I1281+I1584+I2190+I1281*Prepay_Pen+IF(7=Hold_Yrs,$C2493,0))</f>
        <v>0</v>
      </c>
      <c r="K2796" s="71" t="n">
        <f aca="false">IF(8&gt;Hold_Yrs,0,J1887+J978+J1281+J1584+J2190+J1281*Prepay_Pen+IF(8=Hold_Yrs,$C2493,0))</f>
        <v>0</v>
      </c>
      <c r="L2796" s="71" t="n">
        <f aca="false">IF(9&gt;Hold_Yrs,0,K1887+K978+K1281+K1584+K2190+K1281*Prepay_Pen+IF(9=Hold_Yrs,$C2493,0))</f>
        <v>0</v>
      </c>
      <c r="M2796" s="71" t="n">
        <f aca="false">IF(10&gt;Hold_Yrs,0,L1887+L978+L1281+L1584+L2190+L1281*Prepay_Pen+IF(10=Hold_Yrs,$C2493,0))</f>
        <v>0</v>
      </c>
    </row>
    <row r="2797" customFormat="false" ht="15" hidden="false" customHeight="false" outlineLevel="0" collapsed="false">
      <c r="B2797" s="102" t="n">
        <f aca="false">'Loan Tape'!$A66</f>
        <v>0</v>
      </c>
      <c r="C2797" s="99" t="n">
        <f aca="false">-'Loan Tape'!$BB66</f>
        <v>-0</v>
      </c>
      <c r="D2797" s="99" t="n">
        <f aca="false">IF(1&gt;Hold_Yrs,0,C1888+C979+C1282+C1585+C2191+C1282*Prepay_Pen+IF(1=Hold_Yrs,$C2494,0))</f>
        <v>0</v>
      </c>
      <c r="E2797" s="99" t="n">
        <f aca="false">IF(2&gt;Hold_Yrs,0,D1888+D979+D1282+D1585+D2191+D1282*Prepay_Pen+IF(2=Hold_Yrs,$C2494,0))</f>
        <v>0</v>
      </c>
      <c r="F2797" s="99" t="n">
        <f aca="false">IF(3&gt;Hold_Yrs,0,E1888+E979+E1282+E1585+E2191+E1282*Prepay_Pen+IF(3=Hold_Yrs,$C2494,0))</f>
        <v>0</v>
      </c>
      <c r="G2797" s="99" t="n">
        <f aca="false">IF(4&gt;Hold_Yrs,0,F1888+F979+F1282+F1585+F2191+F1282*Prepay_Pen+IF(4=Hold_Yrs,$C2494,0))</f>
        <v>0</v>
      </c>
      <c r="H2797" s="99" t="n">
        <f aca="false">IF(5&gt;Hold_Yrs,0,G1888+G979+G1282+G1585+G2191+G1282*Prepay_Pen+IF(5=Hold_Yrs,$C2494,0))</f>
        <v>0</v>
      </c>
      <c r="I2797" s="99" t="n">
        <f aca="false">IF(6&gt;Hold_Yrs,0,H1888+H979+H1282+H1585+H2191+H1282*Prepay_Pen+IF(6=Hold_Yrs,$C2494,0))</f>
        <v>0</v>
      </c>
      <c r="J2797" s="99" t="n">
        <f aca="false">IF(7&gt;Hold_Yrs,0,I1888+I979+I1282+I1585+I2191+I1282*Prepay_Pen+IF(7=Hold_Yrs,$C2494,0))</f>
        <v>0</v>
      </c>
      <c r="K2797" s="99" t="n">
        <f aca="false">IF(8&gt;Hold_Yrs,0,J1888+J979+J1282+J1585+J2191+J1282*Prepay_Pen+IF(8=Hold_Yrs,$C2494,0))</f>
        <v>0</v>
      </c>
      <c r="L2797" s="99" t="n">
        <f aca="false">IF(9&gt;Hold_Yrs,0,K1888+K979+K1282+K1585+K2191+K1282*Prepay_Pen+IF(9=Hold_Yrs,$C2494,0))</f>
        <v>0</v>
      </c>
      <c r="M2797" s="99" t="n">
        <f aca="false">IF(10&gt;Hold_Yrs,0,L1888+L979+L1282+L1585+L2191+L1282*Prepay_Pen+IF(10=Hold_Yrs,$C2494,0))</f>
        <v>0</v>
      </c>
    </row>
    <row r="2798" customFormat="false" ht="15" hidden="false" customHeight="false" outlineLevel="0" collapsed="false">
      <c r="B2798" s="108" t="n">
        <f aca="false">'Loan Tape'!$A67</f>
        <v>0</v>
      </c>
      <c r="C2798" s="71" t="n">
        <f aca="false">-'Loan Tape'!$BB67</f>
        <v>-0</v>
      </c>
      <c r="D2798" s="71" t="n">
        <f aca="false">IF(1&gt;Hold_Yrs,0,C1889+C980+C1283+C1586+C2192+C1283*Prepay_Pen+IF(1=Hold_Yrs,$C2495,0))</f>
        <v>0</v>
      </c>
      <c r="E2798" s="71" t="n">
        <f aca="false">IF(2&gt;Hold_Yrs,0,D1889+D980+D1283+D1586+D2192+D1283*Prepay_Pen+IF(2=Hold_Yrs,$C2495,0))</f>
        <v>0</v>
      </c>
      <c r="F2798" s="71" t="n">
        <f aca="false">IF(3&gt;Hold_Yrs,0,E1889+E980+E1283+E1586+E2192+E1283*Prepay_Pen+IF(3=Hold_Yrs,$C2495,0))</f>
        <v>0</v>
      </c>
      <c r="G2798" s="71" t="n">
        <f aca="false">IF(4&gt;Hold_Yrs,0,F1889+F980+F1283+F1586+F2192+F1283*Prepay_Pen+IF(4=Hold_Yrs,$C2495,0))</f>
        <v>0</v>
      </c>
      <c r="H2798" s="71" t="n">
        <f aca="false">IF(5&gt;Hold_Yrs,0,G1889+G980+G1283+G1586+G2192+G1283*Prepay_Pen+IF(5=Hold_Yrs,$C2495,0))</f>
        <v>0</v>
      </c>
      <c r="I2798" s="71" t="n">
        <f aca="false">IF(6&gt;Hold_Yrs,0,H1889+H980+H1283+H1586+H2192+H1283*Prepay_Pen+IF(6=Hold_Yrs,$C2495,0))</f>
        <v>0</v>
      </c>
      <c r="J2798" s="71" t="n">
        <f aca="false">IF(7&gt;Hold_Yrs,0,I1889+I980+I1283+I1586+I2192+I1283*Prepay_Pen+IF(7=Hold_Yrs,$C2495,0))</f>
        <v>0</v>
      </c>
      <c r="K2798" s="71" t="n">
        <f aca="false">IF(8&gt;Hold_Yrs,0,J1889+J980+J1283+J1586+J2192+J1283*Prepay_Pen+IF(8=Hold_Yrs,$C2495,0))</f>
        <v>0</v>
      </c>
      <c r="L2798" s="71" t="n">
        <f aca="false">IF(9&gt;Hold_Yrs,0,K1889+K980+K1283+K1586+K2192+K1283*Prepay_Pen+IF(9=Hold_Yrs,$C2495,0))</f>
        <v>0</v>
      </c>
      <c r="M2798" s="71" t="n">
        <f aca="false">IF(10&gt;Hold_Yrs,0,L1889+L980+L1283+L1586+L2192+L1283*Prepay_Pen+IF(10=Hold_Yrs,$C2495,0))</f>
        <v>0</v>
      </c>
    </row>
    <row r="2799" customFormat="false" ht="15" hidden="false" customHeight="false" outlineLevel="0" collapsed="false">
      <c r="B2799" s="102" t="n">
        <f aca="false">'Loan Tape'!$A68</f>
        <v>0</v>
      </c>
      <c r="C2799" s="99" t="n">
        <f aca="false">-'Loan Tape'!$BB68</f>
        <v>-0</v>
      </c>
      <c r="D2799" s="99" t="n">
        <f aca="false">IF(1&gt;Hold_Yrs,0,C1890+C981+C1284+C1587+C2193+C1284*Prepay_Pen+IF(1=Hold_Yrs,$C2496,0))</f>
        <v>0</v>
      </c>
      <c r="E2799" s="99" t="n">
        <f aca="false">IF(2&gt;Hold_Yrs,0,D1890+D981+D1284+D1587+D2193+D1284*Prepay_Pen+IF(2=Hold_Yrs,$C2496,0))</f>
        <v>0</v>
      </c>
      <c r="F2799" s="99" t="n">
        <f aca="false">IF(3&gt;Hold_Yrs,0,E1890+E981+E1284+E1587+E2193+E1284*Prepay_Pen+IF(3=Hold_Yrs,$C2496,0))</f>
        <v>0</v>
      </c>
      <c r="G2799" s="99" t="n">
        <f aca="false">IF(4&gt;Hold_Yrs,0,F1890+F981+F1284+F1587+F2193+F1284*Prepay_Pen+IF(4=Hold_Yrs,$C2496,0))</f>
        <v>0</v>
      </c>
      <c r="H2799" s="99" t="n">
        <f aca="false">IF(5&gt;Hold_Yrs,0,G1890+G981+G1284+G1587+G2193+G1284*Prepay_Pen+IF(5=Hold_Yrs,$C2496,0))</f>
        <v>0</v>
      </c>
      <c r="I2799" s="99" t="n">
        <f aca="false">IF(6&gt;Hold_Yrs,0,H1890+H981+H1284+H1587+H2193+H1284*Prepay_Pen+IF(6=Hold_Yrs,$C2496,0))</f>
        <v>0</v>
      </c>
      <c r="J2799" s="99" t="n">
        <f aca="false">IF(7&gt;Hold_Yrs,0,I1890+I981+I1284+I1587+I2193+I1284*Prepay_Pen+IF(7=Hold_Yrs,$C2496,0))</f>
        <v>0</v>
      </c>
      <c r="K2799" s="99" t="n">
        <f aca="false">IF(8&gt;Hold_Yrs,0,J1890+J981+J1284+J1587+J2193+J1284*Prepay_Pen+IF(8=Hold_Yrs,$C2496,0))</f>
        <v>0</v>
      </c>
      <c r="L2799" s="99" t="n">
        <f aca="false">IF(9&gt;Hold_Yrs,0,K1890+K981+K1284+K1587+K2193+K1284*Prepay_Pen+IF(9=Hold_Yrs,$C2496,0))</f>
        <v>0</v>
      </c>
      <c r="M2799" s="99" t="n">
        <f aca="false">IF(10&gt;Hold_Yrs,0,L1890+L981+L1284+L1587+L2193+L1284*Prepay_Pen+IF(10=Hold_Yrs,$C2496,0))</f>
        <v>0</v>
      </c>
    </row>
    <row r="2800" customFormat="false" ht="15" hidden="false" customHeight="false" outlineLevel="0" collapsed="false">
      <c r="B2800" s="108" t="n">
        <f aca="false">'Loan Tape'!$A69</f>
        <v>0</v>
      </c>
      <c r="C2800" s="71" t="n">
        <f aca="false">-'Loan Tape'!$BB69</f>
        <v>-0</v>
      </c>
      <c r="D2800" s="71" t="n">
        <f aca="false">IF(1&gt;Hold_Yrs,0,C1891+C982+C1285+C1588+C2194+C1285*Prepay_Pen+IF(1=Hold_Yrs,$C2497,0))</f>
        <v>0</v>
      </c>
      <c r="E2800" s="71" t="n">
        <f aca="false">IF(2&gt;Hold_Yrs,0,D1891+D982+D1285+D1588+D2194+D1285*Prepay_Pen+IF(2=Hold_Yrs,$C2497,0))</f>
        <v>0</v>
      </c>
      <c r="F2800" s="71" t="n">
        <f aca="false">IF(3&gt;Hold_Yrs,0,E1891+E982+E1285+E1588+E2194+E1285*Prepay_Pen+IF(3=Hold_Yrs,$C2497,0))</f>
        <v>0</v>
      </c>
      <c r="G2800" s="71" t="n">
        <f aca="false">IF(4&gt;Hold_Yrs,0,F1891+F982+F1285+F1588+F2194+F1285*Prepay_Pen+IF(4=Hold_Yrs,$C2497,0))</f>
        <v>0</v>
      </c>
      <c r="H2800" s="71" t="n">
        <f aca="false">IF(5&gt;Hold_Yrs,0,G1891+G982+G1285+G1588+G2194+G1285*Prepay_Pen+IF(5=Hold_Yrs,$C2497,0))</f>
        <v>0</v>
      </c>
      <c r="I2800" s="71" t="n">
        <f aca="false">IF(6&gt;Hold_Yrs,0,H1891+H982+H1285+H1588+H2194+H1285*Prepay_Pen+IF(6=Hold_Yrs,$C2497,0))</f>
        <v>0</v>
      </c>
      <c r="J2800" s="71" t="n">
        <f aca="false">IF(7&gt;Hold_Yrs,0,I1891+I982+I1285+I1588+I2194+I1285*Prepay_Pen+IF(7=Hold_Yrs,$C2497,0))</f>
        <v>0</v>
      </c>
      <c r="K2800" s="71" t="n">
        <f aca="false">IF(8&gt;Hold_Yrs,0,J1891+J982+J1285+J1588+J2194+J1285*Prepay_Pen+IF(8=Hold_Yrs,$C2497,0))</f>
        <v>0</v>
      </c>
      <c r="L2800" s="71" t="n">
        <f aca="false">IF(9&gt;Hold_Yrs,0,K1891+K982+K1285+K1588+K2194+K1285*Prepay_Pen+IF(9=Hold_Yrs,$C2497,0))</f>
        <v>0</v>
      </c>
      <c r="M2800" s="71" t="n">
        <f aca="false">IF(10&gt;Hold_Yrs,0,L1891+L982+L1285+L1588+L2194+L1285*Prepay_Pen+IF(10=Hold_Yrs,$C2497,0))</f>
        <v>0</v>
      </c>
    </row>
    <row r="2801" customFormat="false" ht="15" hidden="false" customHeight="false" outlineLevel="0" collapsed="false">
      <c r="B2801" s="102" t="n">
        <f aca="false">'Loan Tape'!$A70</f>
        <v>0</v>
      </c>
      <c r="C2801" s="99" t="n">
        <f aca="false">-'Loan Tape'!$BB70</f>
        <v>-0</v>
      </c>
      <c r="D2801" s="99" t="n">
        <f aca="false">IF(1&gt;Hold_Yrs,0,C1892+C983+C1286+C1589+C2195+C1286*Prepay_Pen+IF(1=Hold_Yrs,$C2498,0))</f>
        <v>0</v>
      </c>
      <c r="E2801" s="99" t="n">
        <f aca="false">IF(2&gt;Hold_Yrs,0,D1892+D983+D1286+D1589+D2195+D1286*Prepay_Pen+IF(2=Hold_Yrs,$C2498,0))</f>
        <v>0</v>
      </c>
      <c r="F2801" s="99" t="n">
        <f aca="false">IF(3&gt;Hold_Yrs,0,E1892+E983+E1286+E1589+E2195+E1286*Prepay_Pen+IF(3=Hold_Yrs,$C2498,0))</f>
        <v>0</v>
      </c>
      <c r="G2801" s="99" t="n">
        <f aca="false">IF(4&gt;Hold_Yrs,0,F1892+F983+F1286+F1589+F2195+F1286*Prepay_Pen+IF(4=Hold_Yrs,$C2498,0))</f>
        <v>0</v>
      </c>
      <c r="H2801" s="99" t="n">
        <f aca="false">IF(5&gt;Hold_Yrs,0,G1892+G983+G1286+G1589+G2195+G1286*Prepay_Pen+IF(5=Hold_Yrs,$C2498,0))</f>
        <v>0</v>
      </c>
      <c r="I2801" s="99" t="n">
        <f aca="false">IF(6&gt;Hold_Yrs,0,H1892+H983+H1286+H1589+H2195+H1286*Prepay_Pen+IF(6=Hold_Yrs,$C2498,0))</f>
        <v>0</v>
      </c>
      <c r="J2801" s="99" t="n">
        <f aca="false">IF(7&gt;Hold_Yrs,0,I1892+I983+I1286+I1589+I2195+I1286*Prepay_Pen+IF(7=Hold_Yrs,$C2498,0))</f>
        <v>0</v>
      </c>
      <c r="K2801" s="99" t="n">
        <f aca="false">IF(8&gt;Hold_Yrs,0,J1892+J983+J1286+J1589+J2195+J1286*Prepay_Pen+IF(8=Hold_Yrs,$C2498,0))</f>
        <v>0</v>
      </c>
      <c r="L2801" s="99" t="n">
        <f aca="false">IF(9&gt;Hold_Yrs,0,K1892+K983+K1286+K1589+K2195+K1286*Prepay_Pen+IF(9=Hold_Yrs,$C2498,0))</f>
        <v>0</v>
      </c>
      <c r="M2801" s="99" t="n">
        <f aca="false">IF(10&gt;Hold_Yrs,0,L1892+L983+L1286+L1589+L2195+L1286*Prepay_Pen+IF(10=Hold_Yrs,$C2498,0))</f>
        <v>0</v>
      </c>
    </row>
    <row r="2802" customFormat="false" ht="15" hidden="false" customHeight="false" outlineLevel="0" collapsed="false">
      <c r="B2802" s="108" t="n">
        <f aca="false">'Loan Tape'!$A71</f>
        <v>0</v>
      </c>
      <c r="C2802" s="71" t="n">
        <f aca="false">-'Loan Tape'!$BB71</f>
        <v>-0</v>
      </c>
      <c r="D2802" s="71" t="n">
        <f aca="false">IF(1&gt;Hold_Yrs,0,C1893+C984+C1287+C1590+C2196+C1287*Prepay_Pen+IF(1=Hold_Yrs,$C2499,0))</f>
        <v>0</v>
      </c>
      <c r="E2802" s="71" t="n">
        <f aca="false">IF(2&gt;Hold_Yrs,0,D1893+D984+D1287+D1590+D2196+D1287*Prepay_Pen+IF(2=Hold_Yrs,$C2499,0))</f>
        <v>0</v>
      </c>
      <c r="F2802" s="71" t="n">
        <f aca="false">IF(3&gt;Hold_Yrs,0,E1893+E984+E1287+E1590+E2196+E1287*Prepay_Pen+IF(3=Hold_Yrs,$C2499,0))</f>
        <v>0</v>
      </c>
      <c r="G2802" s="71" t="n">
        <f aca="false">IF(4&gt;Hold_Yrs,0,F1893+F984+F1287+F1590+F2196+F1287*Prepay_Pen+IF(4=Hold_Yrs,$C2499,0))</f>
        <v>0</v>
      </c>
      <c r="H2802" s="71" t="n">
        <f aca="false">IF(5&gt;Hold_Yrs,0,G1893+G984+G1287+G1590+G2196+G1287*Prepay_Pen+IF(5=Hold_Yrs,$C2499,0))</f>
        <v>0</v>
      </c>
      <c r="I2802" s="71" t="n">
        <f aca="false">IF(6&gt;Hold_Yrs,0,H1893+H984+H1287+H1590+H2196+H1287*Prepay_Pen+IF(6=Hold_Yrs,$C2499,0))</f>
        <v>0</v>
      </c>
      <c r="J2802" s="71" t="n">
        <f aca="false">IF(7&gt;Hold_Yrs,0,I1893+I984+I1287+I1590+I2196+I1287*Prepay_Pen+IF(7=Hold_Yrs,$C2499,0))</f>
        <v>0</v>
      </c>
      <c r="K2802" s="71" t="n">
        <f aca="false">IF(8&gt;Hold_Yrs,0,J1893+J984+J1287+J1590+J2196+J1287*Prepay_Pen+IF(8=Hold_Yrs,$C2499,0))</f>
        <v>0</v>
      </c>
      <c r="L2802" s="71" t="n">
        <f aca="false">IF(9&gt;Hold_Yrs,0,K1893+K984+K1287+K1590+K2196+K1287*Prepay_Pen+IF(9=Hold_Yrs,$C2499,0))</f>
        <v>0</v>
      </c>
      <c r="M2802" s="71" t="n">
        <f aca="false">IF(10&gt;Hold_Yrs,0,L1893+L984+L1287+L1590+L2196+L1287*Prepay_Pen+IF(10=Hold_Yrs,$C2499,0))</f>
        <v>0</v>
      </c>
    </row>
    <row r="2803" customFormat="false" ht="15" hidden="false" customHeight="false" outlineLevel="0" collapsed="false">
      <c r="B2803" s="102" t="n">
        <f aca="false">'Loan Tape'!$A72</f>
        <v>0</v>
      </c>
      <c r="C2803" s="99" t="n">
        <f aca="false">-'Loan Tape'!$BB72</f>
        <v>-0</v>
      </c>
      <c r="D2803" s="99" t="n">
        <f aca="false">IF(1&gt;Hold_Yrs,0,C1894+C985+C1288+C1591+C2197+C1288*Prepay_Pen+IF(1=Hold_Yrs,$C2500,0))</f>
        <v>0</v>
      </c>
      <c r="E2803" s="99" t="n">
        <f aca="false">IF(2&gt;Hold_Yrs,0,D1894+D985+D1288+D1591+D2197+D1288*Prepay_Pen+IF(2=Hold_Yrs,$C2500,0))</f>
        <v>0</v>
      </c>
      <c r="F2803" s="99" t="n">
        <f aca="false">IF(3&gt;Hold_Yrs,0,E1894+E985+E1288+E1591+E2197+E1288*Prepay_Pen+IF(3=Hold_Yrs,$C2500,0))</f>
        <v>0</v>
      </c>
      <c r="G2803" s="99" t="n">
        <f aca="false">IF(4&gt;Hold_Yrs,0,F1894+F985+F1288+F1591+F2197+F1288*Prepay_Pen+IF(4=Hold_Yrs,$C2500,0))</f>
        <v>0</v>
      </c>
      <c r="H2803" s="99" t="n">
        <f aca="false">IF(5&gt;Hold_Yrs,0,G1894+G985+G1288+G1591+G2197+G1288*Prepay_Pen+IF(5=Hold_Yrs,$C2500,0))</f>
        <v>0</v>
      </c>
      <c r="I2803" s="99" t="n">
        <f aca="false">IF(6&gt;Hold_Yrs,0,H1894+H985+H1288+H1591+H2197+H1288*Prepay_Pen+IF(6=Hold_Yrs,$C2500,0))</f>
        <v>0</v>
      </c>
      <c r="J2803" s="99" t="n">
        <f aca="false">IF(7&gt;Hold_Yrs,0,I1894+I985+I1288+I1591+I2197+I1288*Prepay_Pen+IF(7=Hold_Yrs,$C2500,0))</f>
        <v>0</v>
      </c>
      <c r="K2803" s="99" t="n">
        <f aca="false">IF(8&gt;Hold_Yrs,0,J1894+J985+J1288+J1591+J2197+J1288*Prepay_Pen+IF(8=Hold_Yrs,$C2500,0))</f>
        <v>0</v>
      </c>
      <c r="L2803" s="99" t="n">
        <f aca="false">IF(9&gt;Hold_Yrs,0,K1894+K985+K1288+K1591+K2197+K1288*Prepay_Pen+IF(9=Hold_Yrs,$C2500,0))</f>
        <v>0</v>
      </c>
      <c r="M2803" s="99" t="n">
        <f aca="false">IF(10&gt;Hold_Yrs,0,L1894+L985+L1288+L1591+L2197+L1288*Prepay_Pen+IF(10=Hold_Yrs,$C2500,0))</f>
        <v>0</v>
      </c>
    </row>
    <row r="2804" customFormat="false" ht="15" hidden="false" customHeight="false" outlineLevel="0" collapsed="false">
      <c r="B2804" s="108" t="n">
        <f aca="false">'Loan Tape'!$A73</f>
        <v>0</v>
      </c>
      <c r="C2804" s="71" t="n">
        <f aca="false">-'Loan Tape'!$BB73</f>
        <v>-0</v>
      </c>
      <c r="D2804" s="71" t="n">
        <f aca="false">IF(1&gt;Hold_Yrs,0,C1895+C986+C1289+C1592+C2198+C1289*Prepay_Pen+IF(1=Hold_Yrs,$C2501,0))</f>
        <v>0</v>
      </c>
      <c r="E2804" s="71" t="n">
        <f aca="false">IF(2&gt;Hold_Yrs,0,D1895+D986+D1289+D1592+D2198+D1289*Prepay_Pen+IF(2=Hold_Yrs,$C2501,0))</f>
        <v>0</v>
      </c>
      <c r="F2804" s="71" t="n">
        <f aca="false">IF(3&gt;Hold_Yrs,0,E1895+E986+E1289+E1592+E2198+E1289*Prepay_Pen+IF(3=Hold_Yrs,$C2501,0))</f>
        <v>0</v>
      </c>
      <c r="G2804" s="71" t="n">
        <f aca="false">IF(4&gt;Hold_Yrs,0,F1895+F986+F1289+F1592+F2198+F1289*Prepay_Pen+IF(4=Hold_Yrs,$C2501,0))</f>
        <v>0</v>
      </c>
      <c r="H2804" s="71" t="n">
        <f aca="false">IF(5&gt;Hold_Yrs,0,G1895+G986+G1289+G1592+G2198+G1289*Prepay_Pen+IF(5=Hold_Yrs,$C2501,0))</f>
        <v>0</v>
      </c>
      <c r="I2804" s="71" t="n">
        <f aca="false">IF(6&gt;Hold_Yrs,0,H1895+H986+H1289+H1592+H2198+H1289*Prepay_Pen+IF(6=Hold_Yrs,$C2501,0))</f>
        <v>0</v>
      </c>
      <c r="J2804" s="71" t="n">
        <f aca="false">IF(7&gt;Hold_Yrs,0,I1895+I986+I1289+I1592+I2198+I1289*Prepay_Pen+IF(7=Hold_Yrs,$C2501,0))</f>
        <v>0</v>
      </c>
      <c r="K2804" s="71" t="n">
        <f aca="false">IF(8&gt;Hold_Yrs,0,J1895+J986+J1289+J1592+J2198+J1289*Prepay_Pen+IF(8=Hold_Yrs,$C2501,0))</f>
        <v>0</v>
      </c>
      <c r="L2804" s="71" t="n">
        <f aca="false">IF(9&gt;Hold_Yrs,0,K1895+K986+K1289+K1592+K2198+K1289*Prepay_Pen+IF(9=Hold_Yrs,$C2501,0))</f>
        <v>0</v>
      </c>
      <c r="M2804" s="71" t="n">
        <f aca="false">IF(10&gt;Hold_Yrs,0,L1895+L986+L1289+L1592+L2198+L1289*Prepay_Pen+IF(10=Hold_Yrs,$C2501,0))</f>
        <v>0</v>
      </c>
    </row>
    <row r="2805" customFormat="false" ht="15" hidden="false" customHeight="false" outlineLevel="0" collapsed="false">
      <c r="B2805" s="102" t="n">
        <f aca="false">'Loan Tape'!$A74</f>
        <v>0</v>
      </c>
      <c r="C2805" s="99" t="n">
        <f aca="false">-'Loan Tape'!$BB74</f>
        <v>-0</v>
      </c>
      <c r="D2805" s="99" t="n">
        <f aca="false">IF(1&gt;Hold_Yrs,0,C1896+C987+C1290+C1593+C2199+C1290*Prepay_Pen+IF(1=Hold_Yrs,$C2502,0))</f>
        <v>0</v>
      </c>
      <c r="E2805" s="99" t="n">
        <f aca="false">IF(2&gt;Hold_Yrs,0,D1896+D987+D1290+D1593+D2199+D1290*Prepay_Pen+IF(2=Hold_Yrs,$C2502,0))</f>
        <v>0</v>
      </c>
      <c r="F2805" s="99" t="n">
        <f aca="false">IF(3&gt;Hold_Yrs,0,E1896+E987+E1290+E1593+E2199+E1290*Prepay_Pen+IF(3=Hold_Yrs,$C2502,0))</f>
        <v>0</v>
      </c>
      <c r="G2805" s="99" t="n">
        <f aca="false">IF(4&gt;Hold_Yrs,0,F1896+F987+F1290+F1593+F2199+F1290*Prepay_Pen+IF(4=Hold_Yrs,$C2502,0))</f>
        <v>0</v>
      </c>
      <c r="H2805" s="99" t="n">
        <f aca="false">IF(5&gt;Hold_Yrs,0,G1896+G987+G1290+G1593+G2199+G1290*Prepay_Pen+IF(5=Hold_Yrs,$C2502,0))</f>
        <v>0</v>
      </c>
      <c r="I2805" s="99" t="n">
        <f aca="false">IF(6&gt;Hold_Yrs,0,H1896+H987+H1290+H1593+H2199+H1290*Prepay_Pen+IF(6=Hold_Yrs,$C2502,0))</f>
        <v>0</v>
      </c>
      <c r="J2805" s="99" t="n">
        <f aca="false">IF(7&gt;Hold_Yrs,0,I1896+I987+I1290+I1593+I2199+I1290*Prepay_Pen+IF(7=Hold_Yrs,$C2502,0))</f>
        <v>0</v>
      </c>
      <c r="K2805" s="99" t="n">
        <f aca="false">IF(8&gt;Hold_Yrs,0,J1896+J987+J1290+J1593+J2199+J1290*Prepay_Pen+IF(8=Hold_Yrs,$C2502,0))</f>
        <v>0</v>
      </c>
      <c r="L2805" s="99" t="n">
        <f aca="false">IF(9&gt;Hold_Yrs,0,K1896+K987+K1290+K1593+K2199+K1290*Prepay_Pen+IF(9=Hold_Yrs,$C2502,0))</f>
        <v>0</v>
      </c>
      <c r="M2805" s="99" t="n">
        <f aca="false">IF(10&gt;Hold_Yrs,0,L1896+L987+L1290+L1593+L2199+L1290*Prepay_Pen+IF(10=Hold_Yrs,$C2502,0))</f>
        <v>0</v>
      </c>
    </row>
    <row r="2806" customFormat="false" ht="15" hidden="false" customHeight="false" outlineLevel="0" collapsed="false">
      <c r="B2806" s="108" t="n">
        <f aca="false">'Loan Tape'!$A75</f>
        <v>0</v>
      </c>
      <c r="C2806" s="71" t="n">
        <f aca="false">-'Loan Tape'!$BB75</f>
        <v>-0</v>
      </c>
      <c r="D2806" s="71" t="n">
        <f aca="false">IF(1&gt;Hold_Yrs,0,C1897+C988+C1291+C1594+C2200+C1291*Prepay_Pen+IF(1=Hold_Yrs,$C2503,0))</f>
        <v>0</v>
      </c>
      <c r="E2806" s="71" t="n">
        <f aca="false">IF(2&gt;Hold_Yrs,0,D1897+D988+D1291+D1594+D2200+D1291*Prepay_Pen+IF(2=Hold_Yrs,$C2503,0))</f>
        <v>0</v>
      </c>
      <c r="F2806" s="71" t="n">
        <f aca="false">IF(3&gt;Hold_Yrs,0,E1897+E988+E1291+E1594+E2200+E1291*Prepay_Pen+IF(3=Hold_Yrs,$C2503,0))</f>
        <v>0</v>
      </c>
      <c r="G2806" s="71" t="n">
        <f aca="false">IF(4&gt;Hold_Yrs,0,F1897+F988+F1291+F1594+F2200+F1291*Prepay_Pen+IF(4=Hold_Yrs,$C2503,0))</f>
        <v>0</v>
      </c>
      <c r="H2806" s="71" t="n">
        <f aca="false">IF(5&gt;Hold_Yrs,0,G1897+G988+G1291+G1594+G2200+G1291*Prepay_Pen+IF(5=Hold_Yrs,$C2503,0))</f>
        <v>0</v>
      </c>
      <c r="I2806" s="71" t="n">
        <f aca="false">IF(6&gt;Hold_Yrs,0,H1897+H988+H1291+H1594+H2200+H1291*Prepay_Pen+IF(6=Hold_Yrs,$C2503,0))</f>
        <v>0</v>
      </c>
      <c r="J2806" s="71" t="n">
        <f aca="false">IF(7&gt;Hold_Yrs,0,I1897+I988+I1291+I1594+I2200+I1291*Prepay_Pen+IF(7=Hold_Yrs,$C2503,0))</f>
        <v>0</v>
      </c>
      <c r="K2806" s="71" t="n">
        <f aca="false">IF(8&gt;Hold_Yrs,0,J1897+J988+J1291+J1594+J2200+J1291*Prepay_Pen+IF(8=Hold_Yrs,$C2503,0))</f>
        <v>0</v>
      </c>
      <c r="L2806" s="71" t="n">
        <f aca="false">IF(9&gt;Hold_Yrs,0,K1897+K988+K1291+K1594+K2200+K1291*Prepay_Pen+IF(9=Hold_Yrs,$C2503,0))</f>
        <v>0</v>
      </c>
      <c r="M2806" s="71" t="n">
        <f aca="false">IF(10&gt;Hold_Yrs,0,L1897+L988+L1291+L1594+L2200+L1291*Prepay_Pen+IF(10=Hold_Yrs,$C2503,0))</f>
        <v>0</v>
      </c>
    </row>
    <row r="2807" customFormat="false" ht="15" hidden="false" customHeight="false" outlineLevel="0" collapsed="false">
      <c r="B2807" s="102" t="n">
        <f aca="false">'Loan Tape'!$A76</f>
        <v>0</v>
      </c>
      <c r="C2807" s="99" t="n">
        <f aca="false">-'Loan Tape'!$BB76</f>
        <v>-0</v>
      </c>
      <c r="D2807" s="99" t="n">
        <f aca="false">IF(1&gt;Hold_Yrs,0,C1898+C989+C1292+C1595+C2201+C1292*Prepay_Pen+IF(1=Hold_Yrs,$C2504,0))</f>
        <v>0</v>
      </c>
      <c r="E2807" s="99" t="n">
        <f aca="false">IF(2&gt;Hold_Yrs,0,D1898+D989+D1292+D1595+D2201+D1292*Prepay_Pen+IF(2=Hold_Yrs,$C2504,0))</f>
        <v>0</v>
      </c>
      <c r="F2807" s="99" t="n">
        <f aca="false">IF(3&gt;Hold_Yrs,0,E1898+E989+E1292+E1595+E2201+E1292*Prepay_Pen+IF(3=Hold_Yrs,$C2504,0))</f>
        <v>0</v>
      </c>
      <c r="G2807" s="99" t="n">
        <f aca="false">IF(4&gt;Hold_Yrs,0,F1898+F989+F1292+F1595+F2201+F1292*Prepay_Pen+IF(4=Hold_Yrs,$C2504,0))</f>
        <v>0</v>
      </c>
      <c r="H2807" s="99" t="n">
        <f aca="false">IF(5&gt;Hold_Yrs,0,G1898+G989+G1292+G1595+G2201+G1292*Prepay_Pen+IF(5=Hold_Yrs,$C2504,0))</f>
        <v>0</v>
      </c>
      <c r="I2807" s="99" t="n">
        <f aca="false">IF(6&gt;Hold_Yrs,0,H1898+H989+H1292+H1595+H2201+H1292*Prepay_Pen+IF(6=Hold_Yrs,$C2504,0))</f>
        <v>0</v>
      </c>
      <c r="J2807" s="99" t="n">
        <f aca="false">IF(7&gt;Hold_Yrs,0,I1898+I989+I1292+I1595+I2201+I1292*Prepay_Pen+IF(7=Hold_Yrs,$C2504,0))</f>
        <v>0</v>
      </c>
      <c r="K2807" s="99" t="n">
        <f aca="false">IF(8&gt;Hold_Yrs,0,J1898+J989+J1292+J1595+J2201+J1292*Prepay_Pen+IF(8=Hold_Yrs,$C2504,0))</f>
        <v>0</v>
      </c>
      <c r="L2807" s="99" t="n">
        <f aca="false">IF(9&gt;Hold_Yrs,0,K1898+K989+K1292+K1595+K2201+K1292*Prepay_Pen+IF(9=Hold_Yrs,$C2504,0))</f>
        <v>0</v>
      </c>
      <c r="M2807" s="99" t="n">
        <f aca="false">IF(10&gt;Hold_Yrs,0,L1898+L989+L1292+L1595+L2201+L1292*Prepay_Pen+IF(10=Hold_Yrs,$C2504,0))</f>
        <v>0</v>
      </c>
    </row>
    <row r="2808" customFormat="false" ht="15" hidden="false" customHeight="false" outlineLevel="0" collapsed="false">
      <c r="B2808" s="108" t="n">
        <f aca="false">'Loan Tape'!$A77</f>
        <v>0</v>
      </c>
      <c r="C2808" s="71" t="n">
        <f aca="false">-'Loan Tape'!$BB77</f>
        <v>-0</v>
      </c>
      <c r="D2808" s="71" t="n">
        <f aca="false">IF(1&gt;Hold_Yrs,0,C1899+C990+C1293+C1596+C2202+C1293*Prepay_Pen+IF(1=Hold_Yrs,$C2505,0))</f>
        <v>0</v>
      </c>
      <c r="E2808" s="71" t="n">
        <f aca="false">IF(2&gt;Hold_Yrs,0,D1899+D990+D1293+D1596+D2202+D1293*Prepay_Pen+IF(2=Hold_Yrs,$C2505,0))</f>
        <v>0</v>
      </c>
      <c r="F2808" s="71" t="n">
        <f aca="false">IF(3&gt;Hold_Yrs,0,E1899+E990+E1293+E1596+E2202+E1293*Prepay_Pen+IF(3=Hold_Yrs,$C2505,0))</f>
        <v>0</v>
      </c>
      <c r="G2808" s="71" t="n">
        <f aca="false">IF(4&gt;Hold_Yrs,0,F1899+F990+F1293+F1596+F2202+F1293*Prepay_Pen+IF(4=Hold_Yrs,$C2505,0))</f>
        <v>0</v>
      </c>
      <c r="H2808" s="71" t="n">
        <f aca="false">IF(5&gt;Hold_Yrs,0,G1899+G990+G1293+G1596+G2202+G1293*Prepay_Pen+IF(5=Hold_Yrs,$C2505,0))</f>
        <v>0</v>
      </c>
      <c r="I2808" s="71" t="n">
        <f aca="false">IF(6&gt;Hold_Yrs,0,H1899+H990+H1293+H1596+H2202+H1293*Prepay_Pen+IF(6=Hold_Yrs,$C2505,0))</f>
        <v>0</v>
      </c>
      <c r="J2808" s="71" t="n">
        <f aca="false">IF(7&gt;Hold_Yrs,0,I1899+I990+I1293+I1596+I2202+I1293*Prepay_Pen+IF(7=Hold_Yrs,$C2505,0))</f>
        <v>0</v>
      </c>
      <c r="K2808" s="71" t="n">
        <f aca="false">IF(8&gt;Hold_Yrs,0,J1899+J990+J1293+J1596+J2202+J1293*Prepay_Pen+IF(8=Hold_Yrs,$C2505,0))</f>
        <v>0</v>
      </c>
      <c r="L2808" s="71" t="n">
        <f aca="false">IF(9&gt;Hold_Yrs,0,K1899+K990+K1293+K1596+K2202+K1293*Prepay_Pen+IF(9=Hold_Yrs,$C2505,0))</f>
        <v>0</v>
      </c>
      <c r="M2808" s="71" t="n">
        <f aca="false">IF(10&gt;Hold_Yrs,0,L1899+L990+L1293+L1596+L2202+L1293*Prepay_Pen+IF(10=Hold_Yrs,$C2505,0))</f>
        <v>0</v>
      </c>
    </row>
    <row r="2809" customFormat="false" ht="15" hidden="false" customHeight="false" outlineLevel="0" collapsed="false">
      <c r="B2809" s="102" t="n">
        <f aca="false">'Loan Tape'!$A78</f>
        <v>0</v>
      </c>
      <c r="C2809" s="99" t="n">
        <f aca="false">-'Loan Tape'!$BB78</f>
        <v>-0</v>
      </c>
      <c r="D2809" s="99" t="n">
        <f aca="false">IF(1&gt;Hold_Yrs,0,C1900+C991+C1294+C1597+C2203+C1294*Prepay_Pen+IF(1=Hold_Yrs,$C2506,0))</f>
        <v>0</v>
      </c>
      <c r="E2809" s="99" t="n">
        <f aca="false">IF(2&gt;Hold_Yrs,0,D1900+D991+D1294+D1597+D2203+D1294*Prepay_Pen+IF(2=Hold_Yrs,$C2506,0))</f>
        <v>0</v>
      </c>
      <c r="F2809" s="99" t="n">
        <f aca="false">IF(3&gt;Hold_Yrs,0,E1900+E991+E1294+E1597+E2203+E1294*Prepay_Pen+IF(3=Hold_Yrs,$C2506,0))</f>
        <v>0</v>
      </c>
      <c r="G2809" s="99" t="n">
        <f aca="false">IF(4&gt;Hold_Yrs,0,F1900+F991+F1294+F1597+F2203+F1294*Prepay_Pen+IF(4=Hold_Yrs,$C2506,0))</f>
        <v>0</v>
      </c>
      <c r="H2809" s="99" t="n">
        <f aca="false">IF(5&gt;Hold_Yrs,0,G1900+G991+G1294+G1597+G2203+G1294*Prepay_Pen+IF(5=Hold_Yrs,$C2506,0))</f>
        <v>0</v>
      </c>
      <c r="I2809" s="99" t="n">
        <f aca="false">IF(6&gt;Hold_Yrs,0,H1900+H991+H1294+H1597+H2203+H1294*Prepay_Pen+IF(6=Hold_Yrs,$C2506,0))</f>
        <v>0</v>
      </c>
      <c r="J2809" s="99" t="n">
        <f aca="false">IF(7&gt;Hold_Yrs,0,I1900+I991+I1294+I1597+I2203+I1294*Prepay_Pen+IF(7=Hold_Yrs,$C2506,0))</f>
        <v>0</v>
      </c>
      <c r="K2809" s="99" t="n">
        <f aca="false">IF(8&gt;Hold_Yrs,0,J1900+J991+J1294+J1597+J2203+J1294*Prepay_Pen+IF(8=Hold_Yrs,$C2506,0))</f>
        <v>0</v>
      </c>
      <c r="L2809" s="99" t="n">
        <f aca="false">IF(9&gt;Hold_Yrs,0,K1900+K991+K1294+K1597+K2203+K1294*Prepay_Pen+IF(9=Hold_Yrs,$C2506,0))</f>
        <v>0</v>
      </c>
      <c r="M2809" s="99" t="n">
        <f aca="false">IF(10&gt;Hold_Yrs,0,L1900+L991+L1294+L1597+L2203+L1294*Prepay_Pen+IF(10=Hold_Yrs,$C2506,0))</f>
        <v>0</v>
      </c>
    </row>
    <row r="2810" customFormat="false" ht="15" hidden="false" customHeight="false" outlineLevel="0" collapsed="false">
      <c r="B2810" s="108" t="n">
        <f aca="false">'Loan Tape'!$A79</f>
        <v>0</v>
      </c>
      <c r="C2810" s="71" t="n">
        <f aca="false">-'Loan Tape'!$BB79</f>
        <v>-0</v>
      </c>
      <c r="D2810" s="71" t="n">
        <f aca="false">IF(1&gt;Hold_Yrs,0,C1901+C992+C1295+C1598+C2204+C1295*Prepay_Pen+IF(1=Hold_Yrs,$C2507,0))</f>
        <v>0</v>
      </c>
      <c r="E2810" s="71" t="n">
        <f aca="false">IF(2&gt;Hold_Yrs,0,D1901+D992+D1295+D1598+D2204+D1295*Prepay_Pen+IF(2=Hold_Yrs,$C2507,0))</f>
        <v>0</v>
      </c>
      <c r="F2810" s="71" t="n">
        <f aca="false">IF(3&gt;Hold_Yrs,0,E1901+E992+E1295+E1598+E2204+E1295*Prepay_Pen+IF(3=Hold_Yrs,$C2507,0))</f>
        <v>0</v>
      </c>
      <c r="G2810" s="71" t="n">
        <f aca="false">IF(4&gt;Hold_Yrs,0,F1901+F992+F1295+F1598+F2204+F1295*Prepay_Pen+IF(4=Hold_Yrs,$C2507,0))</f>
        <v>0</v>
      </c>
      <c r="H2810" s="71" t="n">
        <f aca="false">IF(5&gt;Hold_Yrs,0,G1901+G992+G1295+G1598+G2204+G1295*Prepay_Pen+IF(5=Hold_Yrs,$C2507,0))</f>
        <v>0</v>
      </c>
      <c r="I2810" s="71" t="n">
        <f aca="false">IF(6&gt;Hold_Yrs,0,H1901+H992+H1295+H1598+H2204+H1295*Prepay_Pen+IF(6=Hold_Yrs,$C2507,0))</f>
        <v>0</v>
      </c>
      <c r="J2810" s="71" t="n">
        <f aca="false">IF(7&gt;Hold_Yrs,0,I1901+I992+I1295+I1598+I2204+I1295*Prepay_Pen+IF(7=Hold_Yrs,$C2507,0))</f>
        <v>0</v>
      </c>
      <c r="K2810" s="71" t="n">
        <f aca="false">IF(8&gt;Hold_Yrs,0,J1901+J992+J1295+J1598+J2204+J1295*Prepay_Pen+IF(8=Hold_Yrs,$C2507,0))</f>
        <v>0</v>
      </c>
      <c r="L2810" s="71" t="n">
        <f aca="false">IF(9&gt;Hold_Yrs,0,K1901+K992+K1295+K1598+K2204+K1295*Prepay_Pen+IF(9=Hold_Yrs,$C2507,0))</f>
        <v>0</v>
      </c>
      <c r="M2810" s="71" t="n">
        <f aca="false">IF(10&gt;Hold_Yrs,0,L1901+L992+L1295+L1598+L2204+L1295*Prepay_Pen+IF(10=Hold_Yrs,$C2507,0))</f>
        <v>0</v>
      </c>
    </row>
    <row r="2811" customFormat="false" ht="15" hidden="false" customHeight="false" outlineLevel="0" collapsed="false">
      <c r="B2811" s="102" t="n">
        <f aca="false">'Loan Tape'!$A80</f>
        <v>0</v>
      </c>
      <c r="C2811" s="99" t="n">
        <f aca="false">-'Loan Tape'!$BB80</f>
        <v>-0</v>
      </c>
      <c r="D2811" s="99" t="n">
        <f aca="false">IF(1&gt;Hold_Yrs,0,C1902+C993+C1296+C1599+C2205+C1296*Prepay_Pen+IF(1=Hold_Yrs,$C2508,0))</f>
        <v>0</v>
      </c>
      <c r="E2811" s="99" t="n">
        <f aca="false">IF(2&gt;Hold_Yrs,0,D1902+D993+D1296+D1599+D2205+D1296*Prepay_Pen+IF(2=Hold_Yrs,$C2508,0))</f>
        <v>0</v>
      </c>
      <c r="F2811" s="99" t="n">
        <f aca="false">IF(3&gt;Hold_Yrs,0,E1902+E993+E1296+E1599+E2205+E1296*Prepay_Pen+IF(3=Hold_Yrs,$C2508,0))</f>
        <v>0</v>
      </c>
      <c r="G2811" s="99" t="n">
        <f aca="false">IF(4&gt;Hold_Yrs,0,F1902+F993+F1296+F1599+F2205+F1296*Prepay_Pen+IF(4=Hold_Yrs,$C2508,0))</f>
        <v>0</v>
      </c>
      <c r="H2811" s="99" t="n">
        <f aca="false">IF(5&gt;Hold_Yrs,0,G1902+G993+G1296+G1599+G2205+G1296*Prepay_Pen+IF(5=Hold_Yrs,$C2508,0))</f>
        <v>0</v>
      </c>
      <c r="I2811" s="99" t="n">
        <f aca="false">IF(6&gt;Hold_Yrs,0,H1902+H993+H1296+H1599+H2205+H1296*Prepay_Pen+IF(6=Hold_Yrs,$C2508,0))</f>
        <v>0</v>
      </c>
      <c r="J2811" s="99" t="n">
        <f aca="false">IF(7&gt;Hold_Yrs,0,I1902+I993+I1296+I1599+I2205+I1296*Prepay_Pen+IF(7=Hold_Yrs,$C2508,0))</f>
        <v>0</v>
      </c>
      <c r="K2811" s="99" t="n">
        <f aca="false">IF(8&gt;Hold_Yrs,0,J1902+J993+J1296+J1599+J2205+J1296*Prepay_Pen+IF(8=Hold_Yrs,$C2508,0))</f>
        <v>0</v>
      </c>
      <c r="L2811" s="99" t="n">
        <f aca="false">IF(9&gt;Hold_Yrs,0,K1902+K993+K1296+K1599+K2205+K1296*Prepay_Pen+IF(9=Hold_Yrs,$C2508,0))</f>
        <v>0</v>
      </c>
      <c r="M2811" s="99" t="n">
        <f aca="false">IF(10&gt;Hold_Yrs,0,L1902+L993+L1296+L1599+L2205+L1296*Prepay_Pen+IF(10=Hold_Yrs,$C2508,0))</f>
        <v>0</v>
      </c>
    </row>
    <row r="2812" customFormat="false" ht="15" hidden="false" customHeight="false" outlineLevel="0" collapsed="false">
      <c r="B2812" s="108" t="n">
        <f aca="false">'Loan Tape'!$A81</f>
        <v>0</v>
      </c>
      <c r="C2812" s="71" t="n">
        <f aca="false">-'Loan Tape'!$BB81</f>
        <v>-0</v>
      </c>
      <c r="D2812" s="71" t="n">
        <f aca="false">IF(1&gt;Hold_Yrs,0,C1903+C994+C1297+C1600+C2206+C1297*Prepay_Pen+IF(1=Hold_Yrs,$C2509,0))</f>
        <v>0</v>
      </c>
      <c r="E2812" s="71" t="n">
        <f aca="false">IF(2&gt;Hold_Yrs,0,D1903+D994+D1297+D1600+D2206+D1297*Prepay_Pen+IF(2=Hold_Yrs,$C2509,0))</f>
        <v>0</v>
      </c>
      <c r="F2812" s="71" t="n">
        <f aca="false">IF(3&gt;Hold_Yrs,0,E1903+E994+E1297+E1600+E2206+E1297*Prepay_Pen+IF(3=Hold_Yrs,$C2509,0))</f>
        <v>0</v>
      </c>
      <c r="G2812" s="71" t="n">
        <f aca="false">IF(4&gt;Hold_Yrs,0,F1903+F994+F1297+F1600+F2206+F1297*Prepay_Pen+IF(4=Hold_Yrs,$C2509,0))</f>
        <v>0</v>
      </c>
      <c r="H2812" s="71" t="n">
        <f aca="false">IF(5&gt;Hold_Yrs,0,G1903+G994+G1297+G1600+G2206+G1297*Prepay_Pen+IF(5=Hold_Yrs,$C2509,0))</f>
        <v>0</v>
      </c>
      <c r="I2812" s="71" t="n">
        <f aca="false">IF(6&gt;Hold_Yrs,0,H1903+H994+H1297+H1600+H2206+H1297*Prepay_Pen+IF(6=Hold_Yrs,$C2509,0))</f>
        <v>0</v>
      </c>
      <c r="J2812" s="71" t="n">
        <f aca="false">IF(7&gt;Hold_Yrs,0,I1903+I994+I1297+I1600+I2206+I1297*Prepay_Pen+IF(7=Hold_Yrs,$C2509,0))</f>
        <v>0</v>
      </c>
      <c r="K2812" s="71" t="n">
        <f aca="false">IF(8&gt;Hold_Yrs,0,J1903+J994+J1297+J1600+J2206+J1297*Prepay_Pen+IF(8=Hold_Yrs,$C2509,0))</f>
        <v>0</v>
      </c>
      <c r="L2812" s="71" t="n">
        <f aca="false">IF(9&gt;Hold_Yrs,0,K1903+K994+K1297+K1600+K2206+K1297*Prepay_Pen+IF(9=Hold_Yrs,$C2509,0))</f>
        <v>0</v>
      </c>
      <c r="M2812" s="71" t="n">
        <f aca="false">IF(10&gt;Hold_Yrs,0,L1903+L994+L1297+L1600+L2206+L1297*Prepay_Pen+IF(10=Hold_Yrs,$C2509,0))</f>
        <v>0</v>
      </c>
    </row>
    <row r="2813" customFormat="false" ht="15" hidden="false" customHeight="false" outlineLevel="0" collapsed="false">
      <c r="B2813" s="102" t="n">
        <f aca="false">'Loan Tape'!$A82</f>
        <v>0</v>
      </c>
      <c r="C2813" s="99" t="n">
        <f aca="false">-'Loan Tape'!$BB82</f>
        <v>-0</v>
      </c>
      <c r="D2813" s="99" t="n">
        <f aca="false">IF(1&gt;Hold_Yrs,0,C1904+C995+C1298+C1601+C2207+C1298*Prepay_Pen+IF(1=Hold_Yrs,$C2510,0))</f>
        <v>0</v>
      </c>
      <c r="E2813" s="99" t="n">
        <f aca="false">IF(2&gt;Hold_Yrs,0,D1904+D995+D1298+D1601+D2207+D1298*Prepay_Pen+IF(2=Hold_Yrs,$C2510,0))</f>
        <v>0</v>
      </c>
      <c r="F2813" s="99" t="n">
        <f aca="false">IF(3&gt;Hold_Yrs,0,E1904+E995+E1298+E1601+E2207+E1298*Prepay_Pen+IF(3=Hold_Yrs,$C2510,0))</f>
        <v>0</v>
      </c>
      <c r="G2813" s="99" t="n">
        <f aca="false">IF(4&gt;Hold_Yrs,0,F1904+F995+F1298+F1601+F2207+F1298*Prepay_Pen+IF(4=Hold_Yrs,$C2510,0))</f>
        <v>0</v>
      </c>
      <c r="H2813" s="99" t="n">
        <f aca="false">IF(5&gt;Hold_Yrs,0,G1904+G995+G1298+G1601+G2207+G1298*Prepay_Pen+IF(5=Hold_Yrs,$C2510,0))</f>
        <v>0</v>
      </c>
      <c r="I2813" s="99" t="n">
        <f aca="false">IF(6&gt;Hold_Yrs,0,H1904+H995+H1298+H1601+H2207+H1298*Prepay_Pen+IF(6=Hold_Yrs,$C2510,0))</f>
        <v>0</v>
      </c>
      <c r="J2813" s="99" t="n">
        <f aca="false">IF(7&gt;Hold_Yrs,0,I1904+I995+I1298+I1601+I2207+I1298*Prepay_Pen+IF(7=Hold_Yrs,$C2510,0))</f>
        <v>0</v>
      </c>
      <c r="K2813" s="99" t="n">
        <f aca="false">IF(8&gt;Hold_Yrs,0,J1904+J995+J1298+J1601+J2207+J1298*Prepay_Pen+IF(8=Hold_Yrs,$C2510,0))</f>
        <v>0</v>
      </c>
      <c r="L2813" s="99" t="n">
        <f aca="false">IF(9&gt;Hold_Yrs,0,K1904+K995+K1298+K1601+K2207+K1298*Prepay_Pen+IF(9=Hold_Yrs,$C2510,0))</f>
        <v>0</v>
      </c>
      <c r="M2813" s="99" t="n">
        <f aca="false">IF(10&gt;Hold_Yrs,0,L1904+L995+L1298+L1601+L2207+L1298*Prepay_Pen+IF(10=Hold_Yrs,$C2510,0))</f>
        <v>0</v>
      </c>
    </row>
    <row r="2814" customFormat="false" ht="15" hidden="false" customHeight="false" outlineLevel="0" collapsed="false">
      <c r="B2814" s="108" t="n">
        <f aca="false">'Loan Tape'!$A83</f>
        <v>0</v>
      </c>
      <c r="C2814" s="71" t="n">
        <f aca="false">-'Loan Tape'!$BB83</f>
        <v>-0</v>
      </c>
      <c r="D2814" s="71" t="n">
        <f aca="false">IF(1&gt;Hold_Yrs,0,C1905+C996+C1299+C1602+C2208+C1299*Prepay_Pen+IF(1=Hold_Yrs,$C2511,0))</f>
        <v>0</v>
      </c>
      <c r="E2814" s="71" t="n">
        <f aca="false">IF(2&gt;Hold_Yrs,0,D1905+D996+D1299+D1602+D2208+D1299*Prepay_Pen+IF(2=Hold_Yrs,$C2511,0))</f>
        <v>0</v>
      </c>
      <c r="F2814" s="71" t="n">
        <f aca="false">IF(3&gt;Hold_Yrs,0,E1905+E996+E1299+E1602+E2208+E1299*Prepay_Pen+IF(3=Hold_Yrs,$C2511,0))</f>
        <v>0</v>
      </c>
      <c r="G2814" s="71" t="n">
        <f aca="false">IF(4&gt;Hold_Yrs,0,F1905+F996+F1299+F1602+F2208+F1299*Prepay_Pen+IF(4=Hold_Yrs,$C2511,0))</f>
        <v>0</v>
      </c>
      <c r="H2814" s="71" t="n">
        <f aca="false">IF(5&gt;Hold_Yrs,0,G1905+G996+G1299+G1602+G2208+G1299*Prepay_Pen+IF(5=Hold_Yrs,$C2511,0))</f>
        <v>0</v>
      </c>
      <c r="I2814" s="71" t="n">
        <f aca="false">IF(6&gt;Hold_Yrs,0,H1905+H996+H1299+H1602+H2208+H1299*Prepay_Pen+IF(6=Hold_Yrs,$C2511,0))</f>
        <v>0</v>
      </c>
      <c r="J2814" s="71" t="n">
        <f aca="false">IF(7&gt;Hold_Yrs,0,I1905+I996+I1299+I1602+I2208+I1299*Prepay_Pen+IF(7=Hold_Yrs,$C2511,0))</f>
        <v>0</v>
      </c>
      <c r="K2814" s="71" t="n">
        <f aca="false">IF(8&gt;Hold_Yrs,0,J1905+J996+J1299+J1602+J2208+J1299*Prepay_Pen+IF(8=Hold_Yrs,$C2511,0))</f>
        <v>0</v>
      </c>
      <c r="L2814" s="71" t="n">
        <f aca="false">IF(9&gt;Hold_Yrs,0,K1905+K996+K1299+K1602+K2208+K1299*Prepay_Pen+IF(9=Hold_Yrs,$C2511,0))</f>
        <v>0</v>
      </c>
      <c r="M2814" s="71" t="n">
        <f aca="false">IF(10&gt;Hold_Yrs,0,L1905+L996+L1299+L1602+L2208+L1299*Prepay_Pen+IF(10=Hold_Yrs,$C2511,0))</f>
        <v>0</v>
      </c>
    </row>
    <row r="2815" customFormat="false" ht="15" hidden="false" customHeight="false" outlineLevel="0" collapsed="false">
      <c r="B2815" s="102" t="n">
        <f aca="false">'Loan Tape'!$A84</f>
        <v>0</v>
      </c>
      <c r="C2815" s="99" t="n">
        <f aca="false">-'Loan Tape'!$BB84</f>
        <v>-0</v>
      </c>
      <c r="D2815" s="99" t="n">
        <f aca="false">IF(1&gt;Hold_Yrs,0,C1906+C997+C1300+C1603+C2209+C1300*Prepay_Pen+IF(1=Hold_Yrs,$C2512,0))</f>
        <v>0</v>
      </c>
      <c r="E2815" s="99" t="n">
        <f aca="false">IF(2&gt;Hold_Yrs,0,D1906+D997+D1300+D1603+D2209+D1300*Prepay_Pen+IF(2=Hold_Yrs,$C2512,0))</f>
        <v>0</v>
      </c>
      <c r="F2815" s="99" t="n">
        <f aca="false">IF(3&gt;Hold_Yrs,0,E1906+E997+E1300+E1603+E2209+E1300*Prepay_Pen+IF(3=Hold_Yrs,$C2512,0))</f>
        <v>0</v>
      </c>
      <c r="G2815" s="99" t="n">
        <f aca="false">IF(4&gt;Hold_Yrs,0,F1906+F997+F1300+F1603+F2209+F1300*Prepay_Pen+IF(4=Hold_Yrs,$C2512,0))</f>
        <v>0</v>
      </c>
      <c r="H2815" s="99" t="n">
        <f aca="false">IF(5&gt;Hold_Yrs,0,G1906+G997+G1300+G1603+G2209+G1300*Prepay_Pen+IF(5=Hold_Yrs,$C2512,0))</f>
        <v>0</v>
      </c>
      <c r="I2815" s="99" t="n">
        <f aca="false">IF(6&gt;Hold_Yrs,0,H1906+H997+H1300+H1603+H2209+H1300*Prepay_Pen+IF(6=Hold_Yrs,$C2512,0))</f>
        <v>0</v>
      </c>
      <c r="J2815" s="99" t="n">
        <f aca="false">IF(7&gt;Hold_Yrs,0,I1906+I997+I1300+I1603+I2209+I1300*Prepay_Pen+IF(7=Hold_Yrs,$C2512,0))</f>
        <v>0</v>
      </c>
      <c r="K2815" s="99" t="n">
        <f aca="false">IF(8&gt;Hold_Yrs,0,J1906+J997+J1300+J1603+J2209+J1300*Prepay_Pen+IF(8=Hold_Yrs,$C2512,0))</f>
        <v>0</v>
      </c>
      <c r="L2815" s="99" t="n">
        <f aca="false">IF(9&gt;Hold_Yrs,0,K1906+K997+K1300+K1603+K2209+K1300*Prepay_Pen+IF(9=Hold_Yrs,$C2512,0))</f>
        <v>0</v>
      </c>
      <c r="M2815" s="99" t="n">
        <f aca="false">IF(10&gt;Hold_Yrs,0,L1906+L997+L1300+L1603+L2209+L1300*Prepay_Pen+IF(10=Hold_Yrs,$C2512,0))</f>
        <v>0</v>
      </c>
    </row>
    <row r="2816" customFormat="false" ht="15" hidden="false" customHeight="false" outlineLevel="0" collapsed="false">
      <c r="B2816" s="108" t="n">
        <f aca="false">'Loan Tape'!$A85</f>
        <v>0</v>
      </c>
      <c r="C2816" s="71" t="n">
        <f aca="false">-'Loan Tape'!$BB85</f>
        <v>-0</v>
      </c>
      <c r="D2816" s="71" t="n">
        <f aca="false">IF(1&gt;Hold_Yrs,0,C1907+C998+C1301+C1604+C2210+C1301*Prepay_Pen+IF(1=Hold_Yrs,$C2513,0))</f>
        <v>0</v>
      </c>
      <c r="E2816" s="71" t="n">
        <f aca="false">IF(2&gt;Hold_Yrs,0,D1907+D998+D1301+D1604+D2210+D1301*Prepay_Pen+IF(2=Hold_Yrs,$C2513,0))</f>
        <v>0</v>
      </c>
      <c r="F2816" s="71" t="n">
        <f aca="false">IF(3&gt;Hold_Yrs,0,E1907+E998+E1301+E1604+E2210+E1301*Prepay_Pen+IF(3=Hold_Yrs,$C2513,0))</f>
        <v>0</v>
      </c>
      <c r="G2816" s="71" t="n">
        <f aca="false">IF(4&gt;Hold_Yrs,0,F1907+F998+F1301+F1604+F2210+F1301*Prepay_Pen+IF(4=Hold_Yrs,$C2513,0))</f>
        <v>0</v>
      </c>
      <c r="H2816" s="71" t="n">
        <f aca="false">IF(5&gt;Hold_Yrs,0,G1907+G998+G1301+G1604+G2210+G1301*Prepay_Pen+IF(5=Hold_Yrs,$C2513,0))</f>
        <v>0</v>
      </c>
      <c r="I2816" s="71" t="n">
        <f aca="false">IF(6&gt;Hold_Yrs,0,H1907+H998+H1301+H1604+H2210+H1301*Prepay_Pen+IF(6=Hold_Yrs,$C2513,0))</f>
        <v>0</v>
      </c>
      <c r="J2816" s="71" t="n">
        <f aca="false">IF(7&gt;Hold_Yrs,0,I1907+I998+I1301+I1604+I2210+I1301*Prepay_Pen+IF(7=Hold_Yrs,$C2513,0))</f>
        <v>0</v>
      </c>
      <c r="K2816" s="71" t="n">
        <f aca="false">IF(8&gt;Hold_Yrs,0,J1907+J998+J1301+J1604+J2210+J1301*Prepay_Pen+IF(8=Hold_Yrs,$C2513,0))</f>
        <v>0</v>
      </c>
      <c r="L2816" s="71" t="n">
        <f aca="false">IF(9&gt;Hold_Yrs,0,K1907+K998+K1301+K1604+K2210+K1301*Prepay_Pen+IF(9=Hold_Yrs,$C2513,0))</f>
        <v>0</v>
      </c>
      <c r="M2816" s="71" t="n">
        <f aca="false">IF(10&gt;Hold_Yrs,0,L1907+L998+L1301+L1604+L2210+L1301*Prepay_Pen+IF(10=Hold_Yrs,$C2513,0))</f>
        <v>0</v>
      </c>
    </row>
    <row r="2817" customFormat="false" ht="15" hidden="false" customHeight="false" outlineLevel="0" collapsed="false">
      <c r="B2817" s="102" t="n">
        <f aca="false">'Loan Tape'!$A86</f>
        <v>0</v>
      </c>
      <c r="C2817" s="99" t="n">
        <f aca="false">-'Loan Tape'!$BB86</f>
        <v>-0</v>
      </c>
      <c r="D2817" s="99" t="n">
        <f aca="false">IF(1&gt;Hold_Yrs,0,C1908+C999+C1302+C1605+C2211+C1302*Prepay_Pen+IF(1=Hold_Yrs,$C2514,0))</f>
        <v>0</v>
      </c>
      <c r="E2817" s="99" t="n">
        <f aca="false">IF(2&gt;Hold_Yrs,0,D1908+D999+D1302+D1605+D2211+D1302*Prepay_Pen+IF(2=Hold_Yrs,$C2514,0))</f>
        <v>0</v>
      </c>
      <c r="F2817" s="99" t="n">
        <f aca="false">IF(3&gt;Hold_Yrs,0,E1908+E999+E1302+E1605+E2211+E1302*Prepay_Pen+IF(3=Hold_Yrs,$C2514,0))</f>
        <v>0</v>
      </c>
      <c r="G2817" s="99" t="n">
        <f aca="false">IF(4&gt;Hold_Yrs,0,F1908+F999+F1302+F1605+F2211+F1302*Prepay_Pen+IF(4=Hold_Yrs,$C2514,0))</f>
        <v>0</v>
      </c>
      <c r="H2817" s="99" t="n">
        <f aca="false">IF(5&gt;Hold_Yrs,0,G1908+G999+G1302+G1605+G2211+G1302*Prepay_Pen+IF(5=Hold_Yrs,$C2514,0))</f>
        <v>0</v>
      </c>
      <c r="I2817" s="99" t="n">
        <f aca="false">IF(6&gt;Hold_Yrs,0,H1908+H999+H1302+H1605+H2211+H1302*Prepay_Pen+IF(6=Hold_Yrs,$C2514,0))</f>
        <v>0</v>
      </c>
      <c r="J2817" s="99" t="n">
        <f aca="false">IF(7&gt;Hold_Yrs,0,I1908+I999+I1302+I1605+I2211+I1302*Prepay_Pen+IF(7=Hold_Yrs,$C2514,0))</f>
        <v>0</v>
      </c>
      <c r="K2817" s="99" t="n">
        <f aca="false">IF(8&gt;Hold_Yrs,0,J1908+J999+J1302+J1605+J2211+J1302*Prepay_Pen+IF(8=Hold_Yrs,$C2514,0))</f>
        <v>0</v>
      </c>
      <c r="L2817" s="99" t="n">
        <f aca="false">IF(9&gt;Hold_Yrs,0,K1908+K999+K1302+K1605+K2211+K1302*Prepay_Pen+IF(9=Hold_Yrs,$C2514,0))</f>
        <v>0</v>
      </c>
      <c r="M2817" s="99" t="n">
        <f aca="false">IF(10&gt;Hold_Yrs,0,L1908+L999+L1302+L1605+L2211+L1302*Prepay_Pen+IF(10=Hold_Yrs,$C2514,0))</f>
        <v>0</v>
      </c>
    </row>
    <row r="2818" customFormat="false" ht="15" hidden="false" customHeight="false" outlineLevel="0" collapsed="false">
      <c r="B2818" s="108" t="n">
        <f aca="false">'Loan Tape'!$A87</f>
        <v>0</v>
      </c>
      <c r="C2818" s="71" t="n">
        <f aca="false">-'Loan Tape'!$BB87</f>
        <v>-0</v>
      </c>
      <c r="D2818" s="71" t="n">
        <f aca="false">IF(1&gt;Hold_Yrs,0,C1909+C1000+C1303+C1606+C2212+C1303*Prepay_Pen+IF(1=Hold_Yrs,$C2515,0))</f>
        <v>0</v>
      </c>
      <c r="E2818" s="71" t="n">
        <f aca="false">IF(2&gt;Hold_Yrs,0,D1909+D1000+D1303+D1606+D2212+D1303*Prepay_Pen+IF(2=Hold_Yrs,$C2515,0))</f>
        <v>0</v>
      </c>
      <c r="F2818" s="71" t="n">
        <f aca="false">IF(3&gt;Hold_Yrs,0,E1909+E1000+E1303+E1606+E2212+E1303*Prepay_Pen+IF(3=Hold_Yrs,$C2515,0))</f>
        <v>0</v>
      </c>
      <c r="G2818" s="71" t="n">
        <f aca="false">IF(4&gt;Hold_Yrs,0,F1909+F1000+F1303+F1606+F2212+F1303*Prepay_Pen+IF(4=Hold_Yrs,$C2515,0))</f>
        <v>0</v>
      </c>
      <c r="H2818" s="71" t="n">
        <f aca="false">IF(5&gt;Hold_Yrs,0,G1909+G1000+G1303+G1606+G2212+G1303*Prepay_Pen+IF(5=Hold_Yrs,$C2515,0))</f>
        <v>0</v>
      </c>
      <c r="I2818" s="71" t="n">
        <f aca="false">IF(6&gt;Hold_Yrs,0,H1909+H1000+H1303+H1606+H2212+H1303*Prepay_Pen+IF(6=Hold_Yrs,$C2515,0))</f>
        <v>0</v>
      </c>
      <c r="J2818" s="71" t="n">
        <f aca="false">IF(7&gt;Hold_Yrs,0,I1909+I1000+I1303+I1606+I2212+I1303*Prepay_Pen+IF(7=Hold_Yrs,$C2515,0))</f>
        <v>0</v>
      </c>
      <c r="K2818" s="71" t="n">
        <f aca="false">IF(8&gt;Hold_Yrs,0,J1909+J1000+J1303+J1606+J2212+J1303*Prepay_Pen+IF(8=Hold_Yrs,$C2515,0))</f>
        <v>0</v>
      </c>
      <c r="L2818" s="71" t="n">
        <f aca="false">IF(9&gt;Hold_Yrs,0,K1909+K1000+K1303+K1606+K2212+K1303*Prepay_Pen+IF(9=Hold_Yrs,$C2515,0))</f>
        <v>0</v>
      </c>
      <c r="M2818" s="71" t="n">
        <f aca="false">IF(10&gt;Hold_Yrs,0,L1909+L1000+L1303+L1606+L2212+L1303*Prepay_Pen+IF(10=Hold_Yrs,$C2515,0))</f>
        <v>0</v>
      </c>
    </row>
    <row r="2819" customFormat="false" ht="15" hidden="false" customHeight="false" outlineLevel="0" collapsed="false">
      <c r="B2819" s="102" t="n">
        <f aca="false">'Loan Tape'!$A88</f>
        <v>0</v>
      </c>
      <c r="C2819" s="99" t="n">
        <f aca="false">-'Loan Tape'!$BB88</f>
        <v>-0</v>
      </c>
      <c r="D2819" s="99" t="n">
        <f aca="false">IF(1&gt;Hold_Yrs,0,C1910+C1001+C1304+C1607+C2213+C1304*Prepay_Pen+IF(1=Hold_Yrs,$C2516,0))</f>
        <v>0</v>
      </c>
      <c r="E2819" s="99" t="n">
        <f aca="false">IF(2&gt;Hold_Yrs,0,D1910+D1001+D1304+D1607+D2213+D1304*Prepay_Pen+IF(2=Hold_Yrs,$C2516,0))</f>
        <v>0</v>
      </c>
      <c r="F2819" s="99" t="n">
        <f aca="false">IF(3&gt;Hold_Yrs,0,E1910+E1001+E1304+E1607+E2213+E1304*Prepay_Pen+IF(3=Hold_Yrs,$C2516,0))</f>
        <v>0</v>
      </c>
      <c r="G2819" s="99" t="n">
        <f aca="false">IF(4&gt;Hold_Yrs,0,F1910+F1001+F1304+F1607+F2213+F1304*Prepay_Pen+IF(4=Hold_Yrs,$C2516,0))</f>
        <v>0</v>
      </c>
      <c r="H2819" s="99" t="n">
        <f aca="false">IF(5&gt;Hold_Yrs,0,G1910+G1001+G1304+G1607+G2213+G1304*Prepay_Pen+IF(5=Hold_Yrs,$C2516,0))</f>
        <v>0</v>
      </c>
      <c r="I2819" s="99" t="n">
        <f aca="false">IF(6&gt;Hold_Yrs,0,H1910+H1001+H1304+H1607+H2213+H1304*Prepay_Pen+IF(6=Hold_Yrs,$C2516,0))</f>
        <v>0</v>
      </c>
      <c r="J2819" s="99" t="n">
        <f aca="false">IF(7&gt;Hold_Yrs,0,I1910+I1001+I1304+I1607+I2213+I1304*Prepay_Pen+IF(7=Hold_Yrs,$C2516,0))</f>
        <v>0</v>
      </c>
      <c r="K2819" s="99" t="n">
        <f aca="false">IF(8&gt;Hold_Yrs,0,J1910+J1001+J1304+J1607+J2213+J1304*Prepay_Pen+IF(8=Hold_Yrs,$C2516,0))</f>
        <v>0</v>
      </c>
      <c r="L2819" s="99" t="n">
        <f aca="false">IF(9&gt;Hold_Yrs,0,K1910+K1001+K1304+K1607+K2213+K1304*Prepay_Pen+IF(9=Hold_Yrs,$C2516,0))</f>
        <v>0</v>
      </c>
      <c r="M2819" s="99" t="n">
        <f aca="false">IF(10&gt;Hold_Yrs,0,L1910+L1001+L1304+L1607+L2213+L1304*Prepay_Pen+IF(10=Hold_Yrs,$C2516,0))</f>
        <v>0</v>
      </c>
    </row>
    <row r="2820" customFormat="false" ht="15" hidden="false" customHeight="false" outlineLevel="0" collapsed="false">
      <c r="B2820" s="108" t="n">
        <f aca="false">'Loan Tape'!$A89</f>
        <v>0</v>
      </c>
      <c r="C2820" s="71" t="n">
        <f aca="false">-'Loan Tape'!$BB89</f>
        <v>-0</v>
      </c>
      <c r="D2820" s="71" t="n">
        <f aca="false">IF(1&gt;Hold_Yrs,0,C1911+C1002+C1305+C1608+C2214+C1305*Prepay_Pen+IF(1=Hold_Yrs,$C2517,0))</f>
        <v>0</v>
      </c>
      <c r="E2820" s="71" t="n">
        <f aca="false">IF(2&gt;Hold_Yrs,0,D1911+D1002+D1305+D1608+D2214+D1305*Prepay_Pen+IF(2=Hold_Yrs,$C2517,0))</f>
        <v>0</v>
      </c>
      <c r="F2820" s="71" t="n">
        <f aca="false">IF(3&gt;Hold_Yrs,0,E1911+E1002+E1305+E1608+E2214+E1305*Prepay_Pen+IF(3=Hold_Yrs,$C2517,0))</f>
        <v>0</v>
      </c>
      <c r="G2820" s="71" t="n">
        <f aca="false">IF(4&gt;Hold_Yrs,0,F1911+F1002+F1305+F1608+F2214+F1305*Prepay_Pen+IF(4=Hold_Yrs,$C2517,0))</f>
        <v>0</v>
      </c>
      <c r="H2820" s="71" t="n">
        <f aca="false">IF(5&gt;Hold_Yrs,0,G1911+G1002+G1305+G1608+G2214+G1305*Prepay_Pen+IF(5=Hold_Yrs,$C2517,0))</f>
        <v>0</v>
      </c>
      <c r="I2820" s="71" t="n">
        <f aca="false">IF(6&gt;Hold_Yrs,0,H1911+H1002+H1305+H1608+H2214+H1305*Prepay_Pen+IF(6=Hold_Yrs,$C2517,0))</f>
        <v>0</v>
      </c>
      <c r="J2820" s="71" t="n">
        <f aca="false">IF(7&gt;Hold_Yrs,0,I1911+I1002+I1305+I1608+I2214+I1305*Prepay_Pen+IF(7=Hold_Yrs,$C2517,0))</f>
        <v>0</v>
      </c>
      <c r="K2820" s="71" t="n">
        <f aca="false">IF(8&gt;Hold_Yrs,0,J1911+J1002+J1305+J1608+J2214+J1305*Prepay_Pen+IF(8=Hold_Yrs,$C2517,0))</f>
        <v>0</v>
      </c>
      <c r="L2820" s="71" t="n">
        <f aca="false">IF(9&gt;Hold_Yrs,0,K1911+K1002+K1305+K1608+K2214+K1305*Prepay_Pen+IF(9=Hold_Yrs,$C2517,0))</f>
        <v>0</v>
      </c>
      <c r="M2820" s="71" t="n">
        <f aca="false">IF(10&gt;Hold_Yrs,0,L1911+L1002+L1305+L1608+L2214+L1305*Prepay_Pen+IF(10=Hold_Yrs,$C2517,0))</f>
        <v>0</v>
      </c>
    </row>
    <row r="2821" customFormat="false" ht="15" hidden="false" customHeight="false" outlineLevel="0" collapsed="false">
      <c r="B2821" s="102" t="n">
        <f aca="false">'Loan Tape'!$A90</f>
        <v>0</v>
      </c>
      <c r="C2821" s="99" t="n">
        <f aca="false">-'Loan Tape'!$BB90</f>
        <v>-0</v>
      </c>
      <c r="D2821" s="99" t="n">
        <f aca="false">IF(1&gt;Hold_Yrs,0,C1912+C1003+C1306+C1609+C2215+C1306*Prepay_Pen+IF(1=Hold_Yrs,$C2518,0))</f>
        <v>0</v>
      </c>
      <c r="E2821" s="99" t="n">
        <f aca="false">IF(2&gt;Hold_Yrs,0,D1912+D1003+D1306+D1609+D2215+D1306*Prepay_Pen+IF(2=Hold_Yrs,$C2518,0))</f>
        <v>0</v>
      </c>
      <c r="F2821" s="99" t="n">
        <f aca="false">IF(3&gt;Hold_Yrs,0,E1912+E1003+E1306+E1609+E2215+E1306*Prepay_Pen+IF(3=Hold_Yrs,$C2518,0))</f>
        <v>0</v>
      </c>
      <c r="G2821" s="99" t="n">
        <f aca="false">IF(4&gt;Hold_Yrs,0,F1912+F1003+F1306+F1609+F2215+F1306*Prepay_Pen+IF(4=Hold_Yrs,$C2518,0))</f>
        <v>0</v>
      </c>
      <c r="H2821" s="99" t="n">
        <f aca="false">IF(5&gt;Hold_Yrs,0,G1912+G1003+G1306+G1609+G2215+G1306*Prepay_Pen+IF(5=Hold_Yrs,$C2518,0))</f>
        <v>0</v>
      </c>
      <c r="I2821" s="99" t="n">
        <f aca="false">IF(6&gt;Hold_Yrs,0,H1912+H1003+H1306+H1609+H2215+H1306*Prepay_Pen+IF(6=Hold_Yrs,$C2518,0))</f>
        <v>0</v>
      </c>
      <c r="J2821" s="99" t="n">
        <f aca="false">IF(7&gt;Hold_Yrs,0,I1912+I1003+I1306+I1609+I2215+I1306*Prepay_Pen+IF(7=Hold_Yrs,$C2518,0))</f>
        <v>0</v>
      </c>
      <c r="K2821" s="99" t="n">
        <f aca="false">IF(8&gt;Hold_Yrs,0,J1912+J1003+J1306+J1609+J2215+J1306*Prepay_Pen+IF(8=Hold_Yrs,$C2518,0))</f>
        <v>0</v>
      </c>
      <c r="L2821" s="99" t="n">
        <f aca="false">IF(9&gt;Hold_Yrs,0,K1912+K1003+K1306+K1609+K2215+K1306*Prepay_Pen+IF(9=Hold_Yrs,$C2518,0))</f>
        <v>0</v>
      </c>
      <c r="M2821" s="99" t="n">
        <f aca="false">IF(10&gt;Hold_Yrs,0,L1912+L1003+L1306+L1609+L2215+L1306*Prepay_Pen+IF(10=Hold_Yrs,$C2518,0))</f>
        <v>0</v>
      </c>
    </row>
    <row r="2822" customFormat="false" ht="15" hidden="false" customHeight="false" outlineLevel="0" collapsed="false">
      <c r="B2822" s="108" t="n">
        <f aca="false">'Loan Tape'!$A91</f>
        <v>0</v>
      </c>
      <c r="C2822" s="71" t="n">
        <f aca="false">-'Loan Tape'!$BB91</f>
        <v>-0</v>
      </c>
      <c r="D2822" s="71" t="n">
        <f aca="false">IF(1&gt;Hold_Yrs,0,C1913+C1004+C1307+C1610+C2216+C1307*Prepay_Pen+IF(1=Hold_Yrs,$C2519,0))</f>
        <v>0</v>
      </c>
      <c r="E2822" s="71" t="n">
        <f aca="false">IF(2&gt;Hold_Yrs,0,D1913+D1004+D1307+D1610+D2216+D1307*Prepay_Pen+IF(2=Hold_Yrs,$C2519,0))</f>
        <v>0</v>
      </c>
      <c r="F2822" s="71" t="n">
        <f aca="false">IF(3&gt;Hold_Yrs,0,E1913+E1004+E1307+E1610+E2216+E1307*Prepay_Pen+IF(3=Hold_Yrs,$C2519,0))</f>
        <v>0</v>
      </c>
      <c r="G2822" s="71" t="n">
        <f aca="false">IF(4&gt;Hold_Yrs,0,F1913+F1004+F1307+F1610+F2216+F1307*Prepay_Pen+IF(4=Hold_Yrs,$C2519,0))</f>
        <v>0</v>
      </c>
      <c r="H2822" s="71" t="n">
        <f aca="false">IF(5&gt;Hold_Yrs,0,G1913+G1004+G1307+G1610+G2216+G1307*Prepay_Pen+IF(5=Hold_Yrs,$C2519,0))</f>
        <v>0</v>
      </c>
      <c r="I2822" s="71" t="n">
        <f aca="false">IF(6&gt;Hold_Yrs,0,H1913+H1004+H1307+H1610+H2216+H1307*Prepay_Pen+IF(6=Hold_Yrs,$C2519,0))</f>
        <v>0</v>
      </c>
      <c r="J2822" s="71" t="n">
        <f aca="false">IF(7&gt;Hold_Yrs,0,I1913+I1004+I1307+I1610+I2216+I1307*Prepay_Pen+IF(7=Hold_Yrs,$C2519,0))</f>
        <v>0</v>
      </c>
      <c r="K2822" s="71" t="n">
        <f aca="false">IF(8&gt;Hold_Yrs,0,J1913+J1004+J1307+J1610+J2216+J1307*Prepay_Pen+IF(8=Hold_Yrs,$C2519,0))</f>
        <v>0</v>
      </c>
      <c r="L2822" s="71" t="n">
        <f aca="false">IF(9&gt;Hold_Yrs,0,K1913+K1004+K1307+K1610+K2216+K1307*Prepay_Pen+IF(9=Hold_Yrs,$C2519,0))</f>
        <v>0</v>
      </c>
      <c r="M2822" s="71" t="n">
        <f aca="false">IF(10&gt;Hold_Yrs,0,L1913+L1004+L1307+L1610+L2216+L1307*Prepay_Pen+IF(10=Hold_Yrs,$C2519,0))</f>
        <v>0</v>
      </c>
    </row>
    <row r="2823" customFormat="false" ht="15" hidden="false" customHeight="false" outlineLevel="0" collapsed="false">
      <c r="B2823" s="102" t="n">
        <f aca="false">'Loan Tape'!$A92</f>
        <v>0</v>
      </c>
      <c r="C2823" s="99" t="n">
        <f aca="false">-'Loan Tape'!$BB92</f>
        <v>-0</v>
      </c>
      <c r="D2823" s="99" t="n">
        <f aca="false">IF(1&gt;Hold_Yrs,0,C1914+C1005+C1308+C1611+C2217+C1308*Prepay_Pen+IF(1=Hold_Yrs,$C2520,0))</f>
        <v>0</v>
      </c>
      <c r="E2823" s="99" t="n">
        <f aca="false">IF(2&gt;Hold_Yrs,0,D1914+D1005+D1308+D1611+D2217+D1308*Prepay_Pen+IF(2=Hold_Yrs,$C2520,0))</f>
        <v>0</v>
      </c>
      <c r="F2823" s="99" t="n">
        <f aca="false">IF(3&gt;Hold_Yrs,0,E1914+E1005+E1308+E1611+E2217+E1308*Prepay_Pen+IF(3=Hold_Yrs,$C2520,0))</f>
        <v>0</v>
      </c>
      <c r="G2823" s="99" t="n">
        <f aca="false">IF(4&gt;Hold_Yrs,0,F1914+F1005+F1308+F1611+F2217+F1308*Prepay_Pen+IF(4=Hold_Yrs,$C2520,0))</f>
        <v>0</v>
      </c>
      <c r="H2823" s="99" t="n">
        <f aca="false">IF(5&gt;Hold_Yrs,0,G1914+G1005+G1308+G1611+G2217+G1308*Prepay_Pen+IF(5=Hold_Yrs,$C2520,0))</f>
        <v>0</v>
      </c>
      <c r="I2823" s="99" t="n">
        <f aca="false">IF(6&gt;Hold_Yrs,0,H1914+H1005+H1308+H1611+H2217+H1308*Prepay_Pen+IF(6=Hold_Yrs,$C2520,0))</f>
        <v>0</v>
      </c>
      <c r="J2823" s="99" t="n">
        <f aca="false">IF(7&gt;Hold_Yrs,0,I1914+I1005+I1308+I1611+I2217+I1308*Prepay_Pen+IF(7=Hold_Yrs,$C2520,0))</f>
        <v>0</v>
      </c>
      <c r="K2823" s="99" t="n">
        <f aca="false">IF(8&gt;Hold_Yrs,0,J1914+J1005+J1308+J1611+J2217+J1308*Prepay_Pen+IF(8=Hold_Yrs,$C2520,0))</f>
        <v>0</v>
      </c>
      <c r="L2823" s="99" t="n">
        <f aca="false">IF(9&gt;Hold_Yrs,0,K1914+K1005+K1308+K1611+K2217+K1308*Prepay_Pen+IF(9=Hold_Yrs,$C2520,0))</f>
        <v>0</v>
      </c>
      <c r="M2823" s="99" t="n">
        <f aca="false">IF(10&gt;Hold_Yrs,0,L1914+L1005+L1308+L1611+L2217+L1308*Prepay_Pen+IF(10=Hold_Yrs,$C2520,0))</f>
        <v>0</v>
      </c>
    </row>
    <row r="2824" customFormat="false" ht="15" hidden="false" customHeight="false" outlineLevel="0" collapsed="false">
      <c r="B2824" s="108" t="n">
        <f aca="false">'Loan Tape'!$A93</f>
        <v>0</v>
      </c>
      <c r="C2824" s="71" t="n">
        <f aca="false">-'Loan Tape'!$BB93</f>
        <v>-0</v>
      </c>
      <c r="D2824" s="71" t="n">
        <f aca="false">IF(1&gt;Hold_Yrs,0,C1915+C1006+C1309+C1612+C2218+C1309*Prepay_Pen+IF(1=Hold_Yrs,$C2521,0))</f>
        <v>0</v>
      </c>
      <c r="E2824" s="71" t="n">
        <f aca="false">IF(2&gt;Hold_Yrs,0,D1915+D1006+D1309+D1612+D2218+D1309*Prepay_Pen+IF(2=Hold_Yrs,$C2521,0))</f>
        <v>0</v>
      </c>
      <c r="F2824" s="71" t="n">
        <f aca="false">IF(3&gt;Hold_Yrs,0,E1915+E1006+E1309+E1612+E2218+E1309*Prepay_Pen+IF(3=Hold_Yrs,$C2521,0))</f>
        <v>0</v>
      </c>
      <c r="G2824" s="71" t="n">
        <f aca="false">IF(4&gt;Hold_Yrs,0,F1915+F1006+F1309+F1612+F2218+F1309*Prepay_Pen+IF(4=Hold_Yrs,$C2521,0))</f>
        <v>0</v>
      </c>
      <c r="H2824" s="71" t="n">
        <f aca="false">IF(5&gt;Hold_Yrs,0,G1915+G1006+G1309+G1612+G2218+G1309*Prepay_Pen+IF(5=Hold_Yrs,$C2521,0))</f>
        <v>0</v>
      </c>
      <c r="I2824" s="71" t="n">
        <f aca="false">IF(6&gt;Hold_Yrs,0,H1915+H1006+H1309+H1612+H2218+H1309*Prepay_Pen+IF(6=Hold_Yrs,$C2521,0))</f>
        <v>0</v>
      </c>
      <c r="J2824" s="71" t="n">
        <f aca="false">IF(7&gt;Hold_Yrs,0,I1915+I1006+I1309+I1612+I2218+I1309*Prepay_Pen+IF(7=Hold_Yrs,$C2521,0))</f>
        <v>0</v>
      </c>
      <c r="K2824" s="71" t="n">
        <f aca="false">IF(8&gt;Hold_Yrs,0,J1915+J1006+J1309+J1612+J2218+J1309*Prepay_Pen+IF(8=Hold_Yrs,$C2521,0))</f>
        <v>0</v>
      </c>
      <c r="L2824" s="71" t="n">
        <f aca="false">IF(9&gt;Hold_Yrs,0,K1915+K1006+K1309+K1612+K2218+K1309*Prepay_Pen+IF(9=Hold_Yrs,$C2521,0))</f>
        <v>0</v>
      </c>
      <c r="M2824" s="71" t="n">
        <f aca="false">IF(10&gt;Hold_Yrs,0,L1915+L1006+L1309+L1612+L2218+L1309*Prepay_Pen+IF(10=Hold_Yrs,$C2521,0))</f>
        <v>0</v>
      </c>
    </row>
    <row r="2825" customFormat="false" ht="15" hidden="false" customHeight="false" outlineLevel="0" collapsed="false">
      <c r="B2825" s="102" t="n">
        <f aca="false">'Loan Tape'!$A94</f>
        <v>0</v>
      </c>
      <c r="C2825" s="99" t="n">
        <f aca="false">-'Loan Tape'!$BB94</f>
        <v>-0</v>
      </c>
      <c r="D2825" s="99" t="n">
        <f aca="false">IF(1&gt;Hold_Yrs,0,C1916+C1007+C1310+C1613+C2219+C1310*Prepay_Pen+IF(1=Hold_Yrs,$C2522,0))</f>
        <v>0</v>
      </c>
      <c r="E2825" s="99" t="n">
        <f aca="false">IF(2&gt;Hold_Yrs,0,D1916+D1007+D1310+D1613+D2219+D1310*Prepay_Pen+IF(2=Hold_Yrs,$C2522,0))</f>
        <v>0</v>
      </c>
      <c r="F2825" s="99" t="n">
        <f aca="false">IF(3&gt;Hold_Yrs,0,E1916+E1007+E1310+E1613+E2219+E1310*Prepay_Pen+IF(3=Hold_Yrs,$C2522,0))</f>
        <v>0</v>
      </c>
      <c r="G2825" s="99" t="n">
        <f aca="false">IF(4&gt;Hold_Yrs,0,F1916+F1007+F1310+F1613+F2219+F1310*Prepay_Pen+IF(4=Hold_Yrs,$C2522,0))</f>
        <v>0</v>
      </c>
      <c r="H2825" s="99" t="n">
        <f aca="false">IF(5&gt;Hold_Yrs,0,G1916+G1007+G1310+G1613+G2219+G1310*Prepay_Pen+IF(5=Hold_Yrs,$C2522,0))</f>
        <v>0</v>
      </c>
      <c r="I2825" s="99" t="n">
        <f aca="false">IF(6&gt;Hold_Yrs,0,H1916+H1007+H1310+H1613+H2219+H1310*Prepay_Pen+IF(6=Hold_Yrs,$C2522,0))</f>
        <v>0</v>
      </c>
      <c r="J2825" s="99" t="n">
        <f aca="false">IF(7&gt;Hold_Yrs,0,I1916+I1007+I1310+I1613+I2219+I1310*Prepay_Pen+IF(7=Hold_Yrs,$C2522,0))</f>
        <v>0</v>
      </c>
      <c r="K2825" s="99" t="n">
        <f aca="false">IF(8&gt;Hold_Yrs,0,J1916+J1007+J1310+J1613+J2219+J1310*Prepay_Pen+IF(8=Hold_Yrs,$C2522,0))</f>
        <v>0</v>
      </c>
      <c r="L2825" s="99" t="n">
        <f aca="false">IF(9&gt;Hold_Yrs,0,K1916+K1007+K1310+K1613+K2219+K1310*Prepay_Pen+IF(9=Hold_Yrs,$C2522,0))</f>
        <v>0</v>
      </c>
      <c r="M2825" s="99" t="n">
        <f aca="false">IF(10&gt;Hold_Yrs,0,L1916+L1007+L1310+L1613+L2219+L1310*Prepay_Pen+IF(10=Hold_Yrs,$C2522,0))</f>
        <v>0</v>
      </c>
    </row>
    <row r="2826" customFormat="false" ht="15" hidden="false" customHeight="false" outlineLevel="0" collapsed="false">
      <c r="B2826" s="108" t="n">
        <f aca="false">'Loan Tape'!$A95</f>
        <v>0</v>
      </c>
      <c r="C2826" s="71" t="n">
        <f aca="false">-'Loan Tape'!$BB95</f>
        <v>-0</v>
      </c>
      <c r="D2826" s="71" t="n">
        <f aca="false">IF(1&gt;Hold_Yrs,0,C1917+C1008+C1311+C1614+C2220+C1311*Prepay_Pen+IF(1=Hold_Yrs,$C2523,0))</f>
        <v>0</v>
      </c>
      <c r="E2826" s="71" t="n">
        <f aca="false">IF(2&gt;Hold_Yrs,0,D1917+D1008+D1311+D1614+D2220+D1311*Prepay_Pen+IF(2=Hold_Yrs,$C2523,0))</f>
        <v>0</v>
      </c>
      <c r="F2826" s="71" t="n">
        <f aca="false">IF(3&gt;Hold_Yrs,0,E1917+E1008+E1311+E1614+E2220+E1311*Prepay_Pen+IF(3=Hold_Yrs,$C2523,0))</f>
        <v>0</v>
      </c>
      <c r="G2826" s="71" t="n">
        <f aca="false">IF(4&gt;Hold_Yrs,0,F1917+F1008+F1311+F1614+F2220+F1311*Prepay_Pen+IF(4=Hold_Yrs,$C2523,0))</f>
        <v>0</v>
      </c>
      <c r="H2826" s="71" t="n">
        <f aca="false">IF(5&gt;Hold_Yrs,0,G1917+G1008+G1311+G1614+G2220+G1311*Prepay_Pen+IF(5=Hold_Yrs,$C2523,0))</f>
        <v>0</v>
      </c>
      <c r="I2826" s="71" t="n">
        <f aca="false">IF(6&gt;Hold_Yrs,0,H1917+H1008+H1311+H1614+H2220+H1311*Prepay_Pen+IF(6=Hold_Yrs,$C2523,0))</f>
        <v>0</v>
      </c>
      <c r="J2826" s="71" t="n">
        <f aca="false">IF(7&gt;Hold_Yrs,0,I1917+I1008+I1311+I1614+I2220+I1311*Prepay_Pen+IF(7=Hold_Yrs,$C2523,0))</f>
        <v>0</v>
      </c>
      <c r="K2826" s="71" t="n">
        <f aca="false">IF(8&gt;Hold_Yrs,0,J1917+J1008+J1311+J1614+J2220+J1311*Prepay_Pen+IF(8=Hold_Yrs,$C2523,0))</f>
        <v>0</v>
      </c>
      <c r="L2826" s="71" t="n">
        <f aca="false">IF(9&gt;Hold_Yrs,0,K1917+K1008+K1311+K1614+K2220+K1311*Prepay_Pen+IF(9=Hold_Yrs,$C2523,0))</f>
        <v>0</v>
      </c>
      <c r="M2826" s="71" t="n">
        <f aca="false">IF(10&gt;Hold_Yrs,0,L1917+L1008+L1311+L1614+L2220+L1311*Prepay_Pen+IF(10=Hold_Yrs,$C2523,0))</f>
        <v>0</v>
      </c>
    </row>
    <row r="2827" customFormat="false" ht="15" hidden="false" customHeight="false" outlineLevel="0" collapsed="false">
      <c r="B2827" s="102" t="n">
        <f aca="false">'Loan Tape'!$A96</f>
        <v>0</v>
      </c>
      <c r="C2827" s="99" t="n">
        <f aca="false">-'Loan Tape'!$BB96</f>
        <v>-0</v>
      </c>
      <c r="D2827" s="99" t="n">
        <f aca="false">IF(1&gt;Hold_Yrs,0,C1918+C1009+C1312+C1615+C2221+C1312*Prepay_Pen+IF(1=Hold_Yrs,$C2524,0))</f>
        <v>0</v>
      </c>
      <c r="E2827" s="99" t="n">
        <f aca="false">IF(2&gt;Hold_Yrs,0,D1918+D1009+D1312+D1615+D2221+D1312*Prepay_Pen+IF(2=Hold_Yrs,$C2524,0))</f>
        <v>0</v>
      </c>
      <c r="F2827" s="99" t="n">
        <f aca="false">IF(3&gt;Hold_Yrs,0,E1918+E1009+E1312+E1615+E2221+E1312*Prepay_Pen+IF(3=Hold_Yrs,$C2524,0))</f>
        <v>0</v>
      </c>
      <c r="G2827" s="99" t="n">
        <f aca="false">IF(4&gt;Hold_Yrs,0,F1918+F1009+F1312+F1615+F2221+F1312*Prepay_Pen+IF(4=Hold_Yrs,$C2524,0))</f>
        <v>0</v>
      </c>
      <c r="H2827" s="99" t="n">
        <f aca="false">IF(5&gt;Hold_Yrs,0,G1918+G1009+G1312+G1615+G2221+G1312*Prepay_Pen+IF(5=Hold_Yrs,$C2524,0))</f>
        <v>0</v>
      </c>
      <c r="I2827" s="99" t="n">
        <f aca="false">IF(6&gt;Hold_Yrs,0,H1918+H1009+H1312+H1615+H2221+H1312*Prepay_Pen+IF(6=Hold_Yrs,$C2524,0))</f>
        <v>0</v>
      </c>
      <c r="J2827" s="99" t="n">
        <f aca="false">IF(7&gt;Hold_Yrs,0,I1918+I1009+I1312+I1615+I2221+I1312*Prepay_Pen+IF(7=Hold_Yrs,$C2524,0))</f>
        <v>0</v>
      </c>
      <c r="K2827" s="99" t="n">
        <f aca="false">IF(8&gt;Hold_Yrs,0,J1918+J1009+J1312+J1615+J2221+J1312*Prepay_Pen+IF(8=Hold_Yrs,$C2524,0))</f>
        <v>0</v>
      </c>
      <c r="L2827" s="99" t="n">
        <f aca="false">IF(9&gt;Hold_Yrs,0,K1918+K1009+K1312+K1615+K2221+K1312*Prepay_Pen+IF(9=Hold_Yrs,$C2524,0))</f>
        <v>0</v>
      </c>
      <c r="M2827" s="99" t="n">
        <f aca="false">IF(10&gt;Hold_Yrs,0,L1918+L1009+L1312+L1615+L2221+L1312*Prepay_Pen+IF(10=Hold_Yrs,$C2524,0))</f>
        <v>0</v>
      </c>
    </row>
    <row r="2828" customFormat="false" ht="15" hidden="false" customHeight="false" outlineLevel="0" collapsed="false">
      <c r="B2828" s="108" t="n">
        <f aca="false">'Loan Tape'!$A97</f>
        <v>0</v>
      </c>
      <c r="C2828" s="71" t="n">
        <f aca="false">-'Loan Tape'!$BB97</f>
        <v>-0</v>
      </c>
      <c r="D2828" s="71" t="n">
        <f aca="false">IF(1&gt;Hold_Yrs,0,C1919+C1010+C1313+C1616+C2222+C1313*Prepay_Pen+IF(1=Hold_Yrs,$C2525,0))</f>
        <v>0</v>
      </c>
      <c r="E2828" s="71" t="n">
        <f aca="false">IF(2&gt;Hold_Yrs,0,D1919+D1010+D1313+D1616+D2222+D1313*Prepay_Pen+IF(2=Hold_Yrs,$C2525,0))</f>
        <v>0</v>
      </c>
      <c r="F2828" s="71" t="n">
        <f aca="false">IF(3&gt;Hold_Yrs,0,E1919+E1010+E1313+E1616+E2222+E1313*Prepay_Pen+IF(3=Hold_Yrs,$C2525,0))</f>
        <v>0</v>
      </c>
      <c r="G2828" s="71" t="n">
        <f aca="false">IF(4&gt;Hold_Yrs,0,F1919+F1010+F1313+F1616+F2222+F1313*Prepay_Pen+IF(4=Hold_Yrs,$C2525,0))</f>
        <v>0</v>
      </c>
      <c r="H2828" s="71" t="n">
        <f aca="false">IF(5&gt;Hold_Yrs,0,G1919+G1010+G1313+G1616+G2222+G1313*Prepay_Pen+IF(5=Hold_Yrs,$C2525,0))</f>
        <v>0</v>
      </c>
      <c r="I2828" s="71" t="n">
        <f aca="false">IF(6&gt;Hold_Yrs,0,H1919+H1010+H1313+H1616+H2222+H1313*Prepay_Pen+IF(6=Hold_Yrs,$C2525,0))</f>
        <v>0</v>
      </c>
      <c r="J2828" s="71" t="n">
        <f aca="false">IF(7&gt;Hold_Yrs,0,I1919+I1010+I1313+I1616+I2222+I1313*Prepay_Pen+IF(7=Hold_Yrs,$C2525,0))</f>
        <v>0</v>
      </c>
      <c r="K2828" s="71" t="n">
        <f aca="false">IF(8&gt;Hold_Yrs,0,J1919+J1010+J1313+J1616+J2222+J1313*Prepay_Pen+IF(8=Hold_Yrs,$C2525,0))</f>
        <v>0</v>
      </c>
      <c r="L2828" s="71" t="n">
        <f aca="false">IF(9&gt;Hold_Yrs,0,K1919+K1010+K1313+K1616+K2222+K1313*Prepay_Pen+IF(9=Hold_Yrs,$C2525,0))</f>
        <v>0</v>
      </c>
      <c r="M2828" s="71" t="n">
        <f aca="false">IF(10&gt;Hold_Yrs,0,L1919+L1010+L1313+L1616+L2222+L1313*Prepay_Pen+IF(10=Hold_Yrs,$C2525,0))</f>
        <v>0</v>
      </c>
    </row>
    <row r="2829" customFormat="false" ht="15" hidden="false" customHeight="false" outlineLevel="0" collapsed="false">
      <c r="B2829" s="102" t="n">
        <f aca="false">'Loan Tape'!$A98</f>
        <v>0</v>
      </c>
      <c r="C2829" s="99" t="n">
        <f aca="false">-'Loan Tape'!$BB98</f>
        <v>-0</v>
      </c>
      <c r="D2829" s="99" t="n">
        <f aca="false">IF(1&gt;Hold_Yrs,0,C1920+C1011+C1314+C1617+C2223+C1314*Prepay_Pen+IF(1=Hold_Yrs,$C2526,0))</f>
        <v>0</v>
      </c>
      <c r="E2829" s="99" t="n">
        <f aca="false">IF(2&gt;Hold_Yrs,0,D1920+D1011+D1314+D1617+D2223+D1314*Prepay_Pen+IF(2=Hold_Yrs,$C2526,0))</f>
        <v>0</v>
      </c>
      <c r="F2829" s="99" t="n">
        <f aca="false">IF(3&gt;Hold_Yrs,0,E1920+E1011+E1314+E1617+E2223+E1314*Prepay_Pen+IF(3=Hold_Yrs,$C2526,0))</f>
        <v>0</v>
      </c>
      <c r="G2829" s="99" t="n">
        <f aca="false">IF(4&gt;Hold_Yrs,0,F1920+F1011+F1314+F1617+F2223+F1314*Prepay_Pen+IF(4=Hold_Yrs,$C2526,0))</f>
        <v>0</v>
      </c>
      <c r="H2829" s="99" t="n">
        <f aca="false">IF(5&gt;Hold_Yrs,0,G1920+G1011+G1314+G1617+G2223+G1314*Prepay_Pen+IF(5=Hold_Yrs,$C2526,0))</f>
        <v>0</v>
      </c>
      <c r="I2829" s="99" t="n">
        <f aca="false">IF(6&gt;Hold_Yrs,0,H1920+H1011+H1314+H1617+H2223+H1314*Prepay_Pen+IF(6=Hold_Yrs,$C2526,0))</f>
        <v>0</v>
      </c>
      <c r="J2829" s="99" t="n">
        <f aca="false">IF(7&gt;Hold_Yrs,0,I1920+I1011+I1314+I1617+I2223+I1314*Prepay_Pen+IF(7=Hold_Yrs,$C2526,0))</f>
        <v>0</v>
      </c>
      <c r="K2829" s="99" t="n">
        <f aca="false">IF(8&gt;Hold_Yrs,0,J1920+J1011+J1314+J1617+J2223+J1314*Prepay_Pen+IF(8=Hold_Yrs,$C2526,0))</f>
        <v>0</v>
      </c>
      <c r="L2829" s="99" t="n">
        <f aca="false">IF(9&gt;Hold_Yrs,0,K1920+K1011+K1314+K1617+K2223+K1314*Prepay_Pen+IF(9=Hold_Yrs,$C2526,0))</f>
        <v>0</v>
      </c>
      <c r="M2829" s="99" t="n">
        <f aca="false">IF(10&gt;Hold_Yrs,0,L1920+L1011+L1314+L1617+L2223+L1314*Prepay_Pen+IF(10=Hold_Yrs,$C2526,0))</f>
        <v>0</v>
      </c>
    </row>
    <row r="2830" customFormat="false" ht="15" hidden="false" customHeight="false" outlineLevel="0" collapsed="false">
      <c r="B2830" s="108" t="n">
        <f aca="false">'Loan Tape'!$A99</f>
        <v>0</v>
      </c>
      <c r="C2830" s="71" t="n">
        <f aca="false">-'Loan Tape'!$BB99</f>
        <v>-0</v>
      </c>
      <c r="D2830" s="71" t="n">
        <f aca="false">IF(1&gt;Hold_Yrs,0,C1921+C1012+C1315+C1618+C2224+C1315*Prepay_Pen+IF(1=Hold_Yrs,$C2527,0))</f>
        <v>0</v>
      </c>
      <c r="E2830" s="71" t="n">
        <f aca="false">IF(2&gt;Hold_Yrs,0,D1921+D1012+D1315+D1618+D2224+D1315*Prepay_Pen+IF(2=Hold_Yrs,$C2527,0))</f>
        <v>0</v>
      </c>
      <c r="F2830" s="71" t="n">
        <f aca="false">IF(3&gt;Hold_Yrs,0,E1921+E1012+E1315+E1618+E2224+E1315*Prepay_Pen+IF(3=Hold_Yrs,$C2527,0))</f>
        <v>0</v>
      </c>
      <c r="G2830" s="71" t="n">
        <f aca="false">IF(4&gt;Hold_Yrs,0,F1921+F1012+F1315+F1618+F2224+F1315*Prepay_Pen+IF(4=Hold_Yrs,$C2527,0))</f>
        <v>0</v>
      </c>
      <c r="H2830" s="71" t="n">
        <f aca="false">IF(5&gt;Hold_Yrs,0,G1921+G1012+G1315+G1618+G2224+G1315*Prepay_Pen+IF(5=Hold_Yrs,$C2527,0))</f>
        <v>0</v>
      </c>
      <c r="I2830" s="71" t="n">
        <f aca="false">IF(6&gt;Hold_Yrs,0,H1921+H1012+H1315+H1618+H2224+H1315*Prepay_Pen+IF(6=Hold_Yrs,$C2527,0))</f>
        <v>0</v>
      </c>
      <c r="J2830" s="71" t="n">
        <f aca="false">IF(7&gt;Hold_Yrs,0,I1921+I1012+I1315+I1618+I2224+I1315*Prepay_Pen+IF(7=Hold_Yrs,$C2527,0))</f>
        <v>0</v>
      </c>
      <c r="K2830" s="71" t="n">
        <f aca="false">IF(8&gt;Hold_Yrs,0,J1921+J1012+J1315+J1618+J2224+J1315*Prepay_Pen+IF(8=Hold_Yrs,$C2527,0))</f>
        <v>0</v>
      </c>
      <c r="L2830" s="71" t="n">
        <f aca="false">IF(9&gt;Hold_Yrs,0,K1921+K1012+K1315+K1618+K2224+K1315*Prepay_Pen+IF(9=Hold_Yrs,$C2527,0))</f>
        <v>0</v>
      </c>
      <c r="M2830" s="71" t="n">
        <f aca="false">IF(10&gt;Hold_Yrs,0,L1921+L1012+L1315+L1618+L2224+L1315*Prepay_Pen+IF(10=Hold_Yrs,$C2527,0))</f>
        <v>0</v>
      </c>
    </row>
    <row r="2831" customFormat="false" ht="15" hidden="false" customHeight="false" outlineLevel="0" collapsed="false">
      <c r="B2831" s="102" t="n">
        <f aca="false">'Loan Tape'!$A100</f>
        <v>0</v>
      </c>
      <c r="C2831" s="99" t="n">
        <f aca="false">-'Loan Tape'!$BB100</f>
        <v>-0</v>
      </c>
      <c r="D2831" s="99" t="n">
        <f aca="false">IF(1&gt;Hold_Yrs,0,C1922+C1013+C1316+C1619+C2225+C1316*Prepay_Pen+IF(1=Hold_Yrs,$C2528,0))</f>
        <v>0</v>
      </c>
      <c r="E2831" s="99" t="n">
        <f aca="false">IF(2&gt;Hold_Yrs,0,D1922+D1013+D1316+D1619+D2225+D1316*Prepay_Pen+IF(2=Hold_Yrs,$C2528,0))</f>
        <v>0</v>
      </c>
      <c r="F2831" s="99" t="n">
        <f aca="false">IF(3&gt;Hold_Yrs,0,E1922+E1013+E1316+E1619+E2225+E1316*Prepay_Pen+IF(3=Hold_Yrs,$C2528,0))</f>
        <v>0</v>
      </c>
      <c r="G2831" s="99" t="n">
        <f aca="false">IF(4&gt;Hold_Yrs,0,F1922+F1013+F1316+F1619+F2225+F1316*Prepay_Pen+IF(4=Hold_Yrs,$C2528,0))</f>
        <v>0</v>
      </c>
      <c r="H2831" s="99" t="n">
        <f aca="false">IF(5&gt;Hold_Yrs,0,G1922+G1013+G1316+G1619+G2225+G1316*Prepay_Pen+IF(5=Hold_Yrs,$C2528,0))</f>
        <v>0</v>
      </c>
      <c r="I2831" s="99" t="n">
        <f aca="false">IF(6&gt;Hold_Yrs,0,H1922+H1013+H1316+H1619+H2225+H1316*Prepay_Pen+IF(6=Hold_Yrs,$C2528,0))</f>
        <v>0</v>
      </c>
      <c r="J2831" s="99" t="n">
        <f aca="false">IF(7&gt;Hold_Yrs,0,I1922+I1013+I1316+I1619+I2225+I1316*Prepay_Pen+IF(7=Hold_Yrs,$C2528,0))</f>
        <v>0</v>
      </c>
      <c r="K2831" s="99" t="n">
        <f aca="false">IF(8&gt;Hold_Yrs,0,J1922+J1013+J1316+J1619+J2225+J1316*Prepay_Pen+IF(8=Hold_Yrs,$C2528,0))</f>
        <v>0</v>
      </c>
      <c r="L2831" s="99" t="n">
        <f aca="false">IF(9&gt;Hold_Yrs,0,K1922+K1013+K1316+K1619+K2225+K1316*Prepay_Pen+IF(9=Hold_Yrs,$C2528,0))</f>
        <v>0</v>
      </c>
      <c r="M2831" s="99" t="n">
        <f aca="false">IF(10&gt;Hold_Yrs,0,L1922+L1013+L1316+L1619+L2225+L1316*Prepay_Pen+IF(10=Hold_Yrs,$C2528,0))</f>
        <v>0</v>
      </c>
    </row>
    <row r="2832" customFormat="false" ht="15" hidden="false" customHeight="false" outlineLevel="0" collapsed="false">
      <c r="B2832" s="108" t="n">
        <f aca="false">'Loan Tape'!$A101</f>
        <v>0</v>
      </c>
      <c r="C2832" s="71" t="n">
        <f aca="false">-'Loan Tape'!$BB101</f>
        <v>-0</v>
      </c>
      <c r="D2832" s="71" t="n">
        <f aca="false">IF(1&gt;Hold_Yrs,0,C1923+C1014+C1317+C1620+C2226+C1317*Prepay_Pen+IF(1=Hold_Yrs,$C2529,0))</f>
        <v>0</v>
      </c>
      <c r="E2832" s="71" t="n">
        <f aca="false">IF(2&gt;Hold_Yrs,0,D1923+D1014+D1317+D1620+D2226+D1317*Prepay_Pen+IF(2=Hold_Yrs,$C2529,0))</f>
        <v>0</v>
      </c>
      <c r="F2832" s="71" t="n">
        <f aca="false">IF(3&gt;Hold_Yrs,0,E1923+E1014+E1317+E1620+E2226+E1317*Prepay_Pen+IF(3=Hold_Yrs,$C2529,0))</f>
        <v>0</v>
      </c>
      <c r="G2832" s="71" t="n">
        <f aca="false">IF(4&gt;Hold_Yrs,0,F1923+F1014+F1317+F1620+F2226+F1317*Prepay_Pen+IF(4=Hold_Yrs,$C2529,0))</f>
        <v>0</v>
      </c>
      <c r="H2832" s="71" t="n">
        <f aca="false">IF(5&gt;Hold_Yrs,0,G1923+G1014+G1317+G1620+G2226+G1317*Prepay_Pen+IF(5=Hold_Yrs,$C2529,0))</f>
        <v>0</v>
      </c>
      <c r="I2832" s="71" t="n">
        <f aca="false">IF(6&gt;Hold_Yrs,0,H1923+H1014+H1317+H1620+H2226+H1317*Prepay_Pen+IF(6=Hold_Yrs,$C2529,0))</f>
        <v>0</v>
      </c>
      <c r="J2832" s="71" t="n">
        <f aca="false">IF(7&gt;Hold_Yrs,0,I1923+I1014+I1317+I1620+I2226+I1317*Prepay_Pen+IF(7=Hold_Yrs,$C2529,0))</f>
        <v>0</v>
      </c>
      <c r="K2832" s="71" t="n">
        <f aca="false">IF(8&gt;Hold_Yrs,0,J1923+J1014+J1317+J1620+J2226+J1317*Prepay_Pen+IF(8=Hold_Yrs,$C2529,0))</f>
        <v>0</v>
      </c>
      <c r="L2832" s="71" t="n">
        <f aca="false">IF(9&gt;Hold_Yrs,0,K1923+K1014+K1317+K1620+K2226+K1317*Prepay_Pen+IF(9=Hold_Yrs,$C2529,0))</f>
        <v>0</v>
      </c>
      <c r="M2832" s="71" t="n">
        <f aca="false">IF(10&gt;Hold_Yrs,0,L1923+L1014+L1317+L1620+L2226+L1317*Prepay_Pen+IF(10=Hold_Yrs,$C2529,0))</f>
        <v>0</v>
      </c>
    </row>
    <row r="2833" customFormat="false" ht="15" hidden="false" customHeight="false" outlineLevel="0" collapsed="false">
      <c r="B2833" s="102" t="n">
        <f aca="false">'Loan Tape'!$A102</f>
        <v>0</v>
      </c>
      <c r="C2833" s="99" t="n">
        <f aca="false">-'Loan Tape'!$BB102</f>
        <v>-0</v>
      </c>
      <c r="D2833" s="99" t="n">
        <f aca="false">IF(1&gt;Hold_Yrs,0,C1924+C1015+C1318+C1621+C2227+C1318*Prepay_Pen+IF(1=Hold_Yrs,$C2530,0))</f>
        <v>0</v>
      </c>
      <c r="E2833" s="99" t="n">
        <f aca="false">IF(2&gt;Hold_Yrs,0,D1924+D1015+D1318+D1621+D2227+D1318*Prepay_Pen+IF(2=Hold_Yrs,$C2530,0))</f>
        <v>0</v>
      </c>
      <c r="F2833" s="99" t="n">
        <f aca="false">IF(3&gt;Hold_Yrs,0,E1924+E1015+E1318+E1621+E2227+E1318*Prepay_Pen+IF(3=Hold_Yrs,$C2530,0))</f>
        <v>0</v>
      </c>
      <c r="G2833" s="99" t="n">
        <f aca="false">IF(4&gt;Hold_Yrs,0,F1924+F1015+F1318+F1621+F2227+F1318*Prepay_Pen+IF(4=Hold_Yrs,$C2530,0))</f>
        <v>0</v>
      </c>
      <c r="H2833" s="99" t="n">
        <f aca="false">IF(5&gt;Hold_Yrs,0,G1924+G1015+G1318+G1621+G2227+G1318*Prepay_Pen+IF(5=Hold_Yrs,$C2530,0))</f>
        <v>0</v>
      </c>
      <c r="I2833" s="99" t="n">
        <f aca="false">IF(6&gt;Hold_Yrs,0,H1924+H1015+H1318+H1621+H2227+H1318*Prepay_Pen+IF(6=Hold_Yrs,$C2530,0))</f>
        <v>0</v>
      </c>
      <c r="J2833" s="99" t="n">
        <f aca="false">IF(7&gt;Hold_Yrs,0,I1924+I1015+I1318+I1621+I2227+I1318*Prepay_Pen+IF(7=Hold_Yrs,$C2530,0))</f>
        <v>0</v>
      </c>
      <c r="K2833" s="99" t="n">
        <f aca="false">IF(8&gt;Hold_Yrs,0,J1924+J1015+J1318+J1621+J2227+J1318*Prepay_Pen+IF(8=Hold_Yrs,$C2530,0))</f>
        <v>0</v>
      </c>
      <c r="L2833" s="99" t="n">
        <f aca="false">IF(9&gt;Hold_Yrs,0,K1924+K1015+K1318+K1621+K2227+K1318*Prepay_Pen+IF(9=Hold_Yrs,$C2530,0))</f>
        <v>0</v>
      </c>
      <c r="M2833" s="99" t="n">
        <f aca="false">IF(10&gt;Hold_Yrs,0,L1924+L1015+L1318+L1621+L2227+L1318*Prepay_Pen+IF(10=Hold_Yrs,$C2530,0))</f>
        <v>0</v>
      </c>
    </row>
    <row r="2834" customFormat="false" ht="15" hidden="false" customHeight="false" outlineLevel="0" collapsed="false">
      <c r="B2834" s="108" t="n">
        <f aca="false">'Loan Tape'!$A103</f>
        <v>0</v>
      </c>
      <c r="C2834" s="71" t="n">
        <f aca="false">-'Loan Tape'!$BB103</f>
        <v>-0</v>
      </c>
      <c r="D2834" s="71" t="n">
        <f aca="false">IF(1&gt;Hold_Yrs,0,C1925+C1016+C1319+C1622+C2228+C1319*Prepay_Pen+IF(1=Hold_Yrs,$C2531,0))</f>
        <v>0</v>
      </c>
      <c r="E2834" s="71" t="n">
        <f aca="false">IF(2&gt;Hold_Yrs,0,D1925+D1016+D1319+D1622+D2228+D1319*Prepay_Pen+IF(2=Hold_Yrs,$C2531,0))</f>
        <v>0</v>
      </c>
      <c r="F2834" s="71" t="n">
        <f aca="false">IF(3&gt;Hold_Yrs,0,E1925+E1016+E1319+E1622+E2228+E1319*Prepay_Pen+IF(3=Hold_Yrs,$C2531,0))</f>
        <v>0</v>
      </c>
      <c r="G2834" s="71" t="n">
        <f aca="false">IF(4&gt;Hold_Yrs,0,F1925+F1016+F1319+F1622+F2228+F1319*Prepay_Pen+IF(4=Hold_Yrs,$C2531,0))</f>
        <v>0</v>
      </c>
      <c r="H2834" s="71" t="n">
        <f aca="false">IF(5&gt;Hold_Yrs,0,G1925+G1016+G1319+G1622+G2228+G1319*Prepay_Pen+IF(5=Hold_Yrs,$C2531,0))</f>
        <v>0</v>
      </c>
      <c r="I2834" s="71" t="n">
        <f aca="false">IF(6&gt;Hold_Yrs,0,H1925+H1016+H1319+H1622+H2228+H1319*Prepay_Pen+IF(6=Hold_Yrs,$C2531,0))</f>
        <v>0</v>
      </c>
      <c r="J2834" s="71" t="n">
        <f aca="false">IF(7&gt;Hold_Yrs,0,I1925+I1016+I1319+I1622+I2228+I1319*Prepay_Pen+IF(7=Hold_Yrs,$C2531,0))</f>
        <v>0</v>
      </c>
      <c r="K2834" s="71" t="n">
        <f aca="false">IF(8&gt;Hold_Yrs,0,J1925+J1016+J1319+J1622+J2228+J1319*Prepay_Pen+IF(8=Hold_Yrs,$C2531,0))</f>
        <v>0</v>
      </c>
      <c r="L2834" s="71" t="n">
        <f aca="false">IF(9&gt;Hold_Yrs,0,K1925+K1016+K1319+K1622+K2228+K1319*Prepay_Pen+IF(9=Hold_Yrs,$C2531,0))</f>
        <v>0</v>
      </c>
      <c r="M2834" s="71" t="n">
        <f aca="false">IF(10&gt;Hold_Yrs,0,L1925+L1016+L1319+L1622+L2228+L1319*Prepay_Pen+IF(10=Hold_Yrs,$C2531,0))</f>
        <v>0</v>
      </c>
    </row>
    <row r="2835" customFormat="false" ht="15" hidden="false" customHeight="false" outlineLevel="0" collapsed="false">
      <c r="B2835" s="102" t="n">
        <f aca="false">'Loan Tape'!$A104</f>
        <v>0</v>
      </c>
      <c r="C2835" s="99" t="n">
        <f aca="false">-'Loan Tape'!$BB104</f>
        <v>-0</v>
      </c>
      <c r="D2835" s="99" t="n">
        <f aca="false">IF(1&gt;Hold_Yrs,0,C1926+C1017+C1320+C1623+C2229+C1320*Prepay_Pen+IF(1=Hold_Yrs,$C2532,0))</f>
        <v>0</v>
      </c>
      <c r="E2835" s="99" t="n">
        <f aca="false">IF(2&gt;Hold_Yrs,0,D1926+D1017+D1320+D1623+D2229+D1320*Prepay_Pen+IF(2=Hold_Yrs,$C2532,0))</f>
        <v>0</v>
      </c>
      <c r="F2835" s="99" t="n">
        <f aca="false">IF(3&gt;Hold_Yrs,0,E1926+E1017+E1320+E1623+E2229+E1320*Prepay_Pen+IF(3=Hold_Yrs,$C2532,0))</f>
        <v>0</v>
      </c>
      <c r="G2835" s="99" t="n">
        <f aca="false">IF(4&gt;Hold_Yrs,0,F1926+F1017+F1320+F1623+F2229+F1320*Prepay_Pen+IF(4=Hold_Yrs,$C2532,0))</f>
        <v>0</v>
      </c>
      <c r="H2835" s="99" t="n">
        <f aca="false">IF(5&gt;Hold_Yrs,0,G1926+G1017+G1320+G1623+G2229+G1320*Prepay_Pen+IF(5=Hold_Yrs,$C2532,0))</f>
        <v>0</v>
      </c>
      <c r="I2835" s="99" t="n">
        <f aca="false">IF(6&gt;Hold_Yrs,0,H1926+H1017+H1320+H1623+H2229+H1320*Prepay_Pen+IF(6=Hold_Yrs,$C2532,0))</f>
        <v>0</v>
      </c>
      <c r="J2835" s="99" t="n">
        <f aca="false">IF(7&gt;Hold_Yrs,0,I1926+I1017+I1320+I1623+I2229+I1320*Prepay_Pen+IF(7=Hold_Yrs,$C2532,0))</f>
        <v>0</v>
      </c>
      <c r="K2835" s="99" t="n">
        <f aca="false">IF(8&gt;Hold_Yrs,0,J1926+J1017+J1320+J1623+J2229+J1320*Prepay_Pen+IF(8=Hold_Yrs,$C2532,0))</f>
        <v>0</v>
      </c>
      <c r="L2835" s="99" t="n">
        <f aca="false">IF(9&gt;Hold_Yrs,0,K1926+K1017+K1320+K1623+K2229+K1320*Prepay_Pen+IF(9=Hold_Yrs,$C2532,0))</f>
        <v>0</v>
      </c>
      <c r="M2835" s="99" t="n">
        <f aca="false">IF(10&gt;Hold_Yrs,0,L1926+L1017+L1320+L1623+L2229+L1320*Prepay_Pen+IF(10=Hold_Yrs,$C2532,0))</f>
        <v>0</v>
      </c>
    </row>
    <row r="2836" customFormat="false" ht="15" hidden="false" customHeight="false" outlineLevel="0" collapsed="false">
      <c r="B2836" s="108" t="n">
        <f aca="false">'Loan Tape'!$A105</f>
        <v>0</v>
      </c>
      <c r="C2836" s="71" t="n">
        <f aca="false">-'Loan Tape'!$BB105</f>
        <v>-0</v>
      </c>
      <c r="D2836" s="71" t="n">
        <f aca="false">IF(1&gt;Hold_Yrs,0,C1927+C1018+C1321+C1624+C2230+C1321*Prepay_Pen+IF(1=Hold_Yrs,$C2533,0))</f>
        <v>0</v>
      </c>
      <c r="E2836" s="71" t="n">
        <f aca="false">IF(2&gt;Hold_Yrs,0,D1927+D1018+D1321+D1624+D2230+D1321*Prepay_Pen+IF(2=Hold_Yrs,$C2533,0))</f>
        <v>0</v>
      </c>
      <c r="F2836" s="71" t="n">
        <f aca="false">IF(3&gt;Hold_Yrs,0,E1927+E1018+E1321+E1624+E2230+E1321*Prepay_Pen+IF(3=Hold_Yrs,$C2533,0))</f>
        <v>0</v>
      </c>
      <c r="G2836" s="71" t="n">
        <f aca="false">IF(4&gt;Hold_Yrs,0,F1927+F1018+F1321+F1624+F2230+F1321*Prepay_Pen+IF(4=Hold_Yrs,$C2533,0))</f>
        <v>0</v>
      </c>
      <c r="H2836" s="71" t="n">
        <f aca="false">IF(5&gt;Hold_Yrs,0,G1927+G1018+G1321+G1624+G2230+G1321*Prepay_Pen+IF(5=Hold_Yrs,$C2533,0))</f>
        <v>0</v>
      </c>
      <c r="I2836" s="71" t="n">
        <f aca="false">IF(6&gt;Hold_Yrs,0,H1927+H1018+H1321+H1624+H2230+H1321*Prepay_Pen+IF(6=Hold_Yrs,$C2533,0))</f>
        <v>0</v>
      </c>
      <c r="J2836" s="71" t="n">
        <f aca="false">IF(7&gt;Hold_Yrs,0,I1927+I1018+I1321+I1624+I2230+I1321*Prepay_Pen+IF(7=Hold_Yrs,$C2533,0))</f>
        <v>0</v>
      </c>
      <c r="K2836" s="71" t="n">
        <f aca="false">IF(8&gt;Hold_Yrs,0,J1927+J1018+J1321+J1624+J2230+J1321*Prepay_Pen+IF(8=Hold_Yrs,$C2533,0))</f>
        <v>0</v>
      </c>
      <c r="L2836" s="71" t="n">
        <f aca="false">IF(9&gt;Hold_Yrs,0,K1927+K1018+K1321+K1624+K2230+K1321*Prepay_Pen+IF(9=Hold_Yrs,$C2533,0))</f>
        <v>0</v>
      </c>
      <c r="M2836" s="71" t="n">
        <f aca="false">IF(10&gt;Hold_Yrs,0,L1927+L1018+L1321+L1624+L2230+L1321*Prepay_Pen+IF(10=Hold_Yrs,$C2533,0))</f>
        <v>0</v>
      </c>
    </row>
    <row r="2837" customFormat="false" ht="15" hidden="false" customHeight="false" outlineLevel="0" collapsed="false">
      <c r="B2837" s="102" t="n">
        <f aca="false">'Loan Tape'!$A106</f>
        <v>0</v>
      </c>
      <c r="C2837" s="99" t="n">
        <f aca="false">-'Loan Tape'!$BB106</f>
        <v>-0</v>
      </c>
      <c r="D2837" s="99" t="n">
        <f aca="false">IF(1&gt;Hold_Yrs,0,C1928+C1019+C1322+C1625+C2231+C1322*Prepay_Pen+IF(1=Hold_Yrs,$C2534,0))</f>
        <v>0</v>
      </c>
      <c r="E2837" s="99" t="n">
        <f aca="false">IF(2&gt;Hold_Yrs,0,D1928+D1019+D1322+D1625+D2231+D1322*Prepay_Pen+IF(2=Hold_Yrs,$C2534,0))</f>
        <v>0</v>
      </c>
      <c r="F2837" s="99" t="n">
        <f aca="false">IF(3&gt;Hold_Yrs,0,E1928+E1019+E1322+E1625+E2231+E1322*Prepay_Pen+IF(3=Hold_Yrs,$C2534,0))</f>
        <v>0</v>
      </c>
      <c r="G2837" s="99" t="n">
        <f aca="false">IF(4&gt;Hold_Yrs,0,F1928+F1019+F1322+F1625+F2231+F1322*Prepay_Pen+IF(4=Hold_Yrs,$C2534,0))</f>
        <v>0</v>
      </c>
      <c r="H2837" s="99" t="n">
        <f aca="false">IF(5&gt;Hold_Yrs,0,G1928+G1019+G1322+G1625+G2231+G1322*Prepay_Pen+IF(5=Hold_Yrs,$C2534,0))</f>
        <v>0</v>
      </c>
      <c r="I2837" s="99" t="n">
        <f aca="false">IF(6&gt;Hold_Yrs,0,H1928+H1019+H1322+H1625+H2231+H1322*Prepay_Pen+IF(6=Hold_Yrs,$C2534,0))</f>
        <v>0</v>
      </c>
      <c r="J2837" s="99" t="n">
        <f aca="false">IF(7&gt;Hold_Yrs,0,I1928+I1019+I1322+I1625+I2231+I1322*Prepay_Pen+IF(7=Hold_Yrs,$C2534,0))</f>
        <v>0</v>
      </c>
      <c r="K2837" s="99" t="n">
        <f aca="false">IF(8&gt;Hold_Yrs,0,J1928+J1019+J1322+J1625+J2231+J1322*Prepay_Pen+IF(8=Hold_Yrs,$C2534,0))</f>
        <v>0</v>
      </c>
      <c r="L2837" s="99" t="n">
        <f aca="false">IF(9&gt;Hold_Yrs,0,K1928+K1019+K1322+K1625+K2231+K1322*Prepay_Pen+IF(9=Hold_Yrs,$C2534,0))</f>
        <v>0</v>
      </c>
      <c r="M2837" s="99" t="n">
        <f aca="false">IF(10&gt;Hold_Yrs,0,L1928+L1019+L1322+L1625+L2231+L1322*Prepay_Pen+IF(10=Hold_Yrs,$C2534,0))</f>
        <v>0</v>
      </c>
    </row>
    <row r="2838" customFormat="false" ht="15" hidden="false" customHeight="false" outlineLevel="0" collapsed="false">
      <c r="B2838" s="108" t="n">
        <f aca="false">'Loan Tape'!$A107</f>
        <v>0</v>
      </c>
      <c r="C2838" s="71" t="n">
        <f aca="false">-'Loan Tape'!$BB107</f>
        <v>-0</v>
      </c>
      <c r="D2838" s="71" t="n">
        <f aca="false">IF(1&gt;Hold_Yrs,0,C1929+C1020+C1323+C1626+C2232+C1323*Prepay_Pen+IF(1=Hold_Yrs,$C2535,0))</f>
        <v>0</v>
      </c>
      <c r="E2838" s="71" t="n">
        <f aca="false">IF(2&gt;Hold_Yrs,0,D1929+D1020+D1323+D1626+D2232+D1323*Prepay_Pen+IF(2=Hold_Yrs,$C2535,0))</f>
        <v>0</v>
      </c>
      <c r="F2838" s="71" t="n">
        <f aca="false">IF(3&gt;Hold_Yrs,0,E1929+E1020+E1323+E1626+E2232+E1323*Prepay_Pen+IF(3=Hold_Yrs,$C2535,0))</f>
        <v>0</v>
      </c>
      <c r="G2838" s="71" t="n">
        <f aca="false">IF(4&gt;Hold_Yrs,0,F1929+F1020+F1323+F1626+F2232+F1323*Prepay_Pen+IF(4=Hold_Yrs,$C2535,0))</f>
        <v>0</v>
      </c>
      <c r="H2838" s="71" t="n">
        <f aca="false">IF(5&gt;Hold_Yrs,0,G1929+G1020+G1323+G1626+G2232+G1323*Prepay_Pen+IF(5=Hold_Yrs,$C2535,0))</f>
        <v>0</v>
      </c>
      <c r="I2838" s="71" t="n">
        <f aca="false">IF(6&gt;Hold_Yrs,0,H1929+H1020+H1323+H1626+H2232+H1323*Prepay_Pen+IF(6=Hold_Yrs,$C2535,0))</f>
        <v>0</v>
      </c>
      <c r="J2838" s="71" t="n">
        <f aca="false">IF(7&gt;Hold_Yrs,0,I1929+I1020+I1323+I1626+I2232+I1323*Prepay_Pen+IF(7=Hold_Yrs,$C2535,0))</f>
        <v>0</v>
      </c>
      <c r="K2838" s="71" t="n">
        <f aca="false">IF(8&gt;Hold_Yrs,0,J1929+J1020+J1323+J1626+J2232+J1323*Prepay_Pen+IF(8=Hold_Yrs,$C2535,0))</f>
        <v>0</v>
      </c>
      <c r="L2838" s="71" t="n">
        <f aca="false">IF(9&gt;Hold_Yrs,0,K1929+K1020+K1323+K1626+K2232+K1323*Prepay_Pen+IF(9=Hold_Yrs,$C2535,0))</f>
        <v>0</v>
      </c>
      <c r="M2838" s="71" t="n">
        <f aca="false">IF(10&gt;Hold_Yrs,0,L1929+L1020+L1323+L1626+L2232+L1323*Prepay_Pen+IF(10=Hold_Yrs,$C2535,0))</f>
        <v>0</v>
      </c>
    </row>
    <row r="2839" customFormat="false" ht="15" hidden="false" customHeight="false" outlineLevel="0" collapsed="false">
      <c r="B2839" s="102" t="n">
        <f aca="false">'Loan Tape'!$A108</f>
        <v>0</v>
      </c>
      <c r="C2839" s="99" t="n">
        <f aca="false">-'Loan Tape'!$BB108</f>
        <v>-0</v>
      </c>
      <c r="D2839" s="99" t="n">
        <f aca="false">IF(1&gt;Hold_Yrs,0,C1930+C1021+C1324+C1627+C2233+C1324*Prepay_Pen+IF(1=Hold_Yrs,$C2536,0))</f>
        <v>0</v>
      </c>
      <c r="E2839" s="99" t="n">
        <f aca="false">IF(2&gt;Hold_Yrs,0,D1930+D1021+D1324+D1627+D2233+D1324*Prepay_Pen+IF(2=Hold_Yrs,$C2536,0))</f>
        <v>0</v>
      </c>
      <c r="F2839" s="99" t="n">
        <f aca="false">IF(3&gt;Hold_Yrs,0,E1930+E1021+E1324+E1627+E2233+E1324*Prepay_Pen+IF(3=Hold_Yrs,$C2536,0))</f>
        <v>0</v>
      </c>
      <c r="G2839" s="99" t="n">
        <f aca="false">IF(4&gt;Hold_Yrs,0,F1930+F1021+F1324+F1627+F2233+F1324*Prepay_Pen+IF(4=Hold_Yrs,$C2536,0))</f>
        <v>0</v>
      </c>
      <c r="H2839" s="99" t="n">
        <f aca="false">IF(5&gt;Hold_Yrs,0,G1930+G1021+G1324+G1627+G2233+G1324*Prepay_Pen+IF(5=Hold_Yrs,$C2536,0))</f>
        <v>0</v>
      </c>
      <c r="I2839" s="99" t="n">
        <f aca="false">IF(6&gt;Hold_Yrs,0,H1930+H1021+H1324+H1627+H2233+H1324*Prepay_Pen+IF(6=Hold_Yrs,$C2536,0))</f>
        <v>0</v>
      </c>
      <c r="J2839" s="99" t="n">
        <f aca="false">IF(7&gt;Hold_Yrs,0,I1930+I1021+I1324+I1627+I2233+I1324*Prepay_Pen+IF(7=Hold_Yrs,$C2536,0))</f>
        <v>0</v>
      </c>
      <c r="K2839" s="99" t="n">
        <f aca="false">IF(8&gt;Hold_Yrs,0,J1930+J1021+J1324+J1627+J2233+J1324*Prepay_Pen+IF(8=Hold_Yrs,$C2536,0))</f>
        <v>0</v>
      </c>
      <c r="L2839" s="99" t="n">
        <f aca="false">IF(9&gt;Hold_Yrs,0,K1930+K1021+K1324+K1627+K2233+K1324*Prepay_Pen+IF(9=Hold_Yrs,$C2536,0))</f>
        <v>0</v>
      </c>
      <c r="M2839" s="99" t="n">
        <f aca="false">IF(10&gt;Hold_Yrs,0,L1930+L1021+L1324+L1627+L2233+L1324*Prepay_Pen+IF(10=Hold_Yrs,$C2536,0))</f>
        <v>0</v>
      </c>
    </row>
    <row r="2840" customFormat="false" ht="15" hidden="false" customHeight="false" outlineLevel="0" collapsed="false">
      <c r="B2840" s="108" t="n">
        <f aca="false">'Loan Tape'!$A109</f>
        <v>0</v>
      </c>
      <c r="C2840" s="71" t="n">
        <f aca="false">-'Loan Tape'!$BB109</f>
        <v>-0</v>
      </c>
      <c r="D2840" s="71" t="n">
        <f aca="false">IF(1&gt;Hold_Yrs,0,C1931+C1022+C1325+C1628+C2234+C1325*Prepay_Pen+IF(1=Hold_Yrs,$C2537,0))</f>
        <v>0</v>
      </c>
      <c r="E2840" s="71" t="n">
        <f aca="false">IF(2&gt;Hold_Yrs,0,D1931+D1022+D1325+D1628+D2234+D1325*Prepay_Pen+IF(2=Hold_Yrs,$C2537,0))</f>
        <v>0</v>
      </c>
      <c r="F2840" s="71" t="n">
        <f aca="false">IF(3&gt;Hold_Yrs,0,E1931+E1022+E1325+E1628+E2234+E1325*Prepay_Pen+IF(3=Hold_Yrs,$C2537,0))</f>
        <v>0</v>
      </c>
      <c r="G2840" s="71" t="n">
        <f aca="false">IF(4&gt;Hold_Yrs,0,F1931+F1022+F1325+F1628+F2234+F1325*Prepay_Pen+IF(4=Hold_Yrs,$C2537,0))</f>
        <v>0</v>
      </c>
      <c r="H2840" s="71" t="n">
        <f aca="false">IF(5&gt;Hold_Yrs,0,G1931+G1022+G1325+G1628+G2234+G1325*Prepay_Pen+IF(5=Hold_Yrs,$C2537,0))</f>
        <v>0</v>
      </c>
      <c r="I2840" s="71" t="n">
        <f aca="false">IF(6&gt;Hold_Yrs,0,H1931+H1022+H1325+H1628+H2234+H1325*Prepay_Pen+IF(6=Hold_Yrs,$C2537,0))</f>
        <v>0</v>
      </c>
      <c r="J2840" s="71" t="n">
        <f aca="false">IF(7&gt;Hold_Yrs,0,I1931+I1022+I1325+I1628+I2234+I1325*Prepay_Pen+IF(7=Hold_Yrs,$C2537,0))</f>
        <v>0</v>
      </c>
      <c r="K2840" s="71" t="n">
        <f aca="false">IF(8&gt;Hold_Yrs,0,J1931+J1022+J1325+J1628+J2234+J1325*Prepay_Pen+IF(8=Hold_Yrs,$C2537,0))</f>
        <v>0</v>
      </c>
      <c r="L2840" s="71" t="n">
        <f aca="false">IF(9&gt;Hold_Yrs,0,K1931+K1022+K1325+K1628+K2234+K1325*Prepay_Pen+IF(9=Hold_Yrs,$C2537,0))</f>
        <v>0</v>
      </c>
      <c r="M2840" s="71" t="n">
        <f aca="false">IF(10&gt;Hold_Yrs,0,L1931+L1022+L1325+L1628+L2234+L1325*Prepay_Pen+IF(10=Hold_Yrs,$C2537,0))</f>
        <v>0</v>
      </c>
    </row>
    <row r="2841" customFormat="false" ht="15" hidden="false" customHeight="false" outlineLevel="0" collapsed="false">
      <c r="B2841" s="102" t="n">
        <f aca="false">'Loan Tape'!$A110</f>
        <v>0</v>
      </c>
      <c r="C2841" s="99" t="n">
        <f aca="false">-'Loan Tape'!$BB110</f>
        <v>-0</v>
      </c>
      <c r="D2841" s="99" t="n">
        <f aca="false">IF(1&gt;Hold_Yrs,0,C1932+C1023+C1326+C1629+C2235+C1326*Prepay_Pen+IF(1=Hold_Yrs,$C2538,0))</f>
        <v>0</v>
      </c>
      <c r="E2841" s="99" t="n">
        <f aca="false">IF(2&gt;Hold_Yrs,0,D1932+D1023+D1326+D1629+D2235+D1326*Prepay_Pen+IF(2=Hold_Yrs,$C2538,0))</f>
        <v>0</v>
      </c>
      <c r="F2841" s="99" t="n">
        <f aca="false">IF(3&gt;Hold_Yrs,0,E1932+E1023+E1326+E1629+E2235+E1326*Prepay_Pen+IF(3=Hold_Yrs,$C2538,0))</f>
        <v>0</v>
      </c>
      <c r="G2841" s="99" t="n">
        <f aca="false">IF(4&gt;Hold_Yrs,0,F1932+F1023+F1326+F1629+F2235+F1326*Prepay_Pen+IF(4=Hold_Yrs,$C2538,0))</f>
        <v>0</v>
      </c>
      <c r="H2841" s="99" t="n">
        <f aca="false">IF(5&gt;Hold_Yrs,0,G1932+G1023+G1326+G1629+G2235+G1326*Prepay_Pen+IF(5=Hold_Yrs,$C2538,0))</f>
        <v>0</v>
      </c>
      <c r="I2841" s="99" t="n">
        <f aca="false">IF(6&gt;Hold_Yrs,0,H1932+H1023+H1326+H1629+H2235+H1326*Prepay_Pen+IF(6=Hold_Yrs,$C2538,0))</f>
        <v>0</v>
      </c>
      <c r="J2841" s="99" t="n">
        <f aca="false">IF(7&gt;Hold_Yrs,0,I1932+I1023+I1326+I1629+I2235+I1326*Prepay_Pen+IF(7=Hold_Yrs,$C2538,0))</f>
        <v>0</v>
      </c>
      <c r="K2841" s="99" t="n">
        <f aca="false">IF(8&gt;Hold_Yrs,0,J1932+J1023+J1326+J1629+J2235+J1326*Prepay_Pen+IF(8=Hold_Yrs,$C2538,0))</f>
        <v>0</v>
      </c>
      <c r="L2841" s="99" t="n">
        <f aca="false">IF(9&gt;Hold_Yrs,0,K1932+K1023+K1326+K1629+K2235+K1326*Prepay_Pen+IF(9=Hold_Yrs,$C2538,0))</f>
        <v>0</v>
      </c>
      <c r="M2841" s="99" t="n">
        <f aca="false">IF(10&gt;Hold_Yrs,0,L1932+L1023+L1326+L1629+L2235+L1326*Prepay_Pen+IF(10=Hold_Yrs,$C2538,0))</f>
        <v>0</v>
      </c>
    </row>
    <row r="2842" customFormat="false" ht="15" hidden="false" customHeight="false" outlineLevel="0" collapsed="false">
      <c r="B2842" s="108" t="n">
        <f aca="false">'Loan Tape'!$A111</f>
        <v>0</v>
      </c>
      <c r="C2842" s="71" t="n">
        <f aca="false">-'Loan Tape'!$BB111</f>
        <v>-0</v>
      </c>
      <c r="D2842" s="71" t="n">
        <f aca="false">IF(1&gt;Hold_Yrs,0,C1933+C1024+C1327+C1630+C2236+C1327*Prepay_Pen+IF(1=Hold_Yrs,$C2539,0))</f>
        <v>0</v>
      </c>
      <c r="E2842" s="71" t="n">
        <f aca="false">IF(2&gt;Hold_Yrs,0,D1933+D1024+D1327+D1630+D2236+D1327*Prepay_Pen+IF(2=Hold_Yrs,$C2539,0))</f>
        <v>0</v>
      </c>
      <c r="F2842" s="71" t="n">
        <f aca="false">IF(3&gt;Hold_Yrs,0,E1933+E1024+E1327+E1630+E2236+E1327*Prepay_Pen+IF(3=Hold_Yrs,$C2539,0))</f>
        <v>0</v>
      </c>
      <c r="G2842" s="71" t="n">
        <f aca="false">IF(4&gt;Hold_Yrs,0,F1933+F1024+F1327+F1630+F2236+F1327*Prepay_Pen+IF(4=Hold_Yrs,$C2539,0))</f>
        <v>0</v>
      </c>
      <c r="H2842" s="71" t="n">
        <f aca="false">IF(5&gt;Hold_Yrs,0,G1933+G1024+G1327+G1630+G2236+G1327*Prepay_Pen+IF(5=Hold_Yrs,$C2539,0))</f>
        <v>0</v>
      </c>
      <c r="I2842" s="71" t="n">
        <f aca="false">IF(6&gt;Hold_Yrs,0,H1933+H1024+H1327+H1630+H2236+H1327*Prepay_Pen+IF(6=Hold_Yrs,$C2539,0))</f>
        <v>0</v>
      </c>
      <c r="J2842" s="71" t="n">
        <f aca="false">IF(7&gt;Hold_Yrs,0,I1933+I1024+I1327+I1630+I2236+I1327*Prepay_Pen+IF(7=Hold_Yrs,$C2539,0))</f>
        <v>0</v>
      </c>
      <c r="K2842" s="71" t="n">
        <f aca="false">IF(8&gt;Hold_Yrs,0,J1933+J1024+J1327+J1630+J2236+J1327*Prepay_Pen+IF(8=Hold_Yrs,$C2539,0))</f>
        <v>0</v>
      </c>
      <c r="L2842" s="71" t="n">
        <f aca="false">IF(9&gt;Hold_Yrs,0,K1933+K1024+K1327+K1630+K2236+K1327*Prepay_Pen+IF(9=Hold_Yrs,$C2539,0))</f>
        <v>0</v>
      </c>
      <c r="M2842" s="71" t="n">
        <f aca="false">IF(10&gt;Hold_Yrs,0,L1933+L1024+L1327+L1630+L2236+L1327*Prepay_Pen+IF(10=Hold_Yrs,$C2539,0))</f>
        <v>0</v>
      </c>
    </row>
    <row r="2843" customFormat="false" ht="15" hidden="false" customHeight="false" outlineLevel="0" collapsed="false">
      <c r="B2843" s="102" t="n">
        <f aca="false">'Loan Tape'!$A112</f>
        <v>0</v>
      </c>
      <c r="C2843" s="99" t="n">
        <f aca="false">-'Loan Tape'!$BB112</f>
        <v>-0</v>
      </c>
      <c r="D2843" s="99" t="n">
        <f aca="false">IF(1&gt;Hold_Yrs,0,C1934+C1025+C1328+C1631+C2237+C1328*Prepay_Pen+IF(1=Hold_Yrs,$C2540,0))</f>
        <v>0</v>
      </c>
      <c r="E2843" s="99" t="n">
        <f aca="false">IF(2&gt;Hold_Yrs,0,D1934+D1025+D1328+D1631+D2237+D1328*Prepay_Pen+IF(2=Hold_Yrs,$C2540,0))</f>
        <v>0</v>
      </c>
      <c r="F2843" s="99" t="n">
        <f aca="false">IF(3&gt;Hold_Yrs,0,E1934+E1025+E1328+E1631+E2237+E1328*Prepay_Pen+IF(3=Hold_Yrs,$C2540,0))</f>
        <v>0</v>
      </c>
      <c r="G2843" s="99" t="n">
        <f aca="false">IF(4&gt;Hold_Yrs,0,F1934+F1025+F1328+F1631+F2237+F1328*Prepay_Pen+IF(4=Hold_Yrs,$C2540,0))</f>
        <v>0</v>
      </c>
      <c r="H2843" s="99" t="n">
        <f aca="false">IF(5&gt;Hold_Yrs,0,G1934+G1025+G1328+G1631+G2237+G1328*Prepay_Pen+IF(5=Hold_Yrs,$C2540,0))</f>
        <v>0</v>
      </c>
      <c r="I2843" s="99" t="n">
        <f aca="false">IF(6&gt;Hold_Yrs,0,H1934+H1025+H1328+H1631+H2237+H1328*Prepay_Pen+IF(6=Hold_Yrs,$C2540,0))</f>
        <v>0</v>
      </c>
      <c r="J2843" s="99" t="n">
        <f aca="false">IF(7&gt;Hold_Yrs,0,I1934+I1025+I1328+I1631+I2237+I1328*Prepay_Pen+IF(7=Hold_Yrs,$C2540,0))</f>
        <v>0</v>
      </c>
      <c r="K2843" s="99" t="n">
        <f aca="false">IF(8&gt;Hold_Yrs,0,J1934+J1025+J1328+J1631+J2237+J1328*Prepay_Pen+IF(8=Hold_Yrs,$C2540,0))</f>
        <v>0</v>
      </c>
      <c r="L2843" s="99" t="n">
        <f aca="false">IF(9&gt;Hold_Yrs,0,K1934+K1025+K1328+K1631+K2237+K1328*Prepay_Pen+IF(9=Hold_Yrs,$C2540,0))</f>
        <v>0</v>
      </c>
      <c r="M2843" s="99" t="n">
        <f aca="false">IF(10&gt;Hold_Yrs,0,L1934+L1025+L1328+L1631+L2237+L1328*Prepay_Pen+IF(10=Hold_Yrs,$C2540,0))</f>
        <v>0</v>
      </c>
    </row>
    <row r="2844" customFormat="false" ht="15" hidden="false" customHeight="false" outlineLevel="0" collapsed="false">
      <c r="B2844" s="108" t="n">
        <f aca="false">'Loan Tape'!$A113</f>
        <v>0</v>
      </c>
      <c r="C2844" s="71" t="n">
        <f aca="false">-'Loan Tape'!$BB113</f>
        <v>-0</v>
      </c>
      <c r="D2844" s="71" t="n">
        <f aca="false">IF(1&gt;Hold_Yrs,0,C1935+C1026+C1329+C1632+C2238+C1329*Prepay_Pen+IF(1=Hold_Yrs,$C2541,0))</f>
        <v>0</v>
      </c>
      <c r="E2844" s="71" t="n">
        <f aca="false">IF(2&gt;Hold_Yrs,0,D1935+D1026+D1329+D1632+D2238+D1329*Prepay_Pen+IF(2=Hold_Yrs,$C2541,0))</f>
        <v>0</v>
      </c>
      <c r="F2844" s="71" t="n">
        <f aca="false">IF(3&gt;Hold_Yrs,0,E1935+E1026+E1329+E1632+E2238+E1329*Prepay_Pen+IF(3=Hold_Yrs,$C2541,0))</f>
        <v>0</v>
      </c>
      <c r="G2844" s="71" t="n">
        <f aca="false">IF(4&gt;Hold_Yrs,0,F1935+F1026+F1329+F1632+F2238+F1329*Prepay_Pen+IF(4=Hold_Yrs,$C2541,0))</f>
        <v>0</v>
      </c>
      <c r="H2844" s="71" t="n">
        <f aca="false">IF(5&gt;Hold_Yrs,0,G1935+G1026+G1329+G1632+G2238+G1329*Prepay_Pen+IF(5=Hold_Yrs,$C2541,0))</f>
        <v>0</v>
      </c>
      <c r="I2844" s="71" t="n">
        <f aca="false">IF(6&gt;Hold_Yrs,0,H1935+H1026+H1329+H1632+H2238+H1329*Prepay_Pen+IF(6=Hold_Yrs,$C2541,0))</f>
        <v>0</v>
      </c>
      <c r="J2844" s="71" t="n">
        <f aca="false">IF(7&gt;Hold_Yrs,0,I1935+I1026+I1329+I1632+I2238+I1329*Prepay_Pen+IF(7=Hold_Yrs,$C2541,0))</f>
        <v>0</v>
      </c>
      <c r="K2844" s="71" t="n">
        <f aca="false">IF(8&gt;Hold_Yrs,0,J1935+J1026+J1329+J1632+J2238+J1329*Prepay_Pen+IF(8=Hold_Yrs,$C2541,0))</f>
        <v>0</v>
      </c>
      <c r="L2844" s="71" t="n">
        <f aca="false">IF(9&gt;Hold_Yrs,0,K1935+K1026+K1329+K1632+K2238+K1329*Prepay_Pen+IF(9=Hold_Yrs,$C2541,0))</f>
        <v>0</v>
      </c>
      <c r="M2844" s="71" t="n">
        <f aca="false">IF(10&gt;Hold_Yrs,0,L1935+L1026+L1329+L1632+L2238+L1329*Prepay_Pen+IF(10=Hold_Yrs,$C2541,0))</f>
        <v>0</v>
      </c>
    </row>
    <row r="2845" customFormat="false" ht="15" hidden="false" customHeight="false" outlineLevel="0" collapsed="false">
      <c r="B2845" s="102" t="n">
        <f aca="false">'Loan Tape'!$A114</f>
        <v>0</v>
      </c>
      <c r="C2845" s="99" t="n">
        <f aca="false">-'Loan Tape'!$BB114</f>
        <v>-0</v>
      </c>
      <c r="D2845" s="99" t="n">
        <f aca="false">IF(1&gt;Hold_Yrs,0,C1936+C1027+C1330+C1633+C2239+C1330*Prepay_Pen+IF(1=Hold_Yrs,$C2542,0))</f>
        <v>0</v>
      </c>
      <c r="E2845" s="99" t="n">
        <f aca="false">IF(2&gt;Hold_Yrs,0,D1936+D1027+D1330+D1633+D2239+D1330*Prepay_Pen+IF(2=Hold_Yrs,$C2542,0))</f>
        <v>0</v>
      </c>
      <c r="F2845" s="99" t="n">
        <f aca="false">IF(3&gt;Hold_Yrs,0,E1936+E1027+E1330+E1633+E2239+E1330*Prepay_Pen+IF(3=Hold_Yrs,$C2542,0))</f>
        <v>0</v>
      </c>
      <c r="G2845" s="99" t="n">
        <f aca="false">IF(4&gt;Hold_Yrs,0,F1936+F1027+F1330+F1633+F2239+F1330*Prepay_Pen+IF(4=Hold_Yrs,$C2542,0))</f>
        <v>0</v>
      </c>
      <c r="H2845" s="99" t="n">
        <f aca="false">IF(5&gt;Hold_Yrs,0,G1936+G1027+G1330+G1633+G2239+G1330*Prepay_Pen+IF(5=Hold_Yrs,$C2542,0))</f>
        <v>0</v>
      </c>
      <c r="I2845" s="99" t="n">
        <f aca="false">IF(6&gt;Hold_Yrs,0,H1936+H1027+H1330+H1633+H2239+H1330*Prepay_Pen+IF(6=Hold_Yrs,$C2542,0))</f>
        <v>0</v>
      </c>
      <c r="J2845" s="99" t="n">
        <f aca="false">IF(7&gt;Hold_Yrs,0,I1936+I1027+I1330+I1633+I2239+I1330*Prepay_Pen+IF(7=Hold_Yrs,$C2542,0))</f>
        <v>0</v>
      </c>
      <c r="K2845" s="99" t="n">
        <f aca="false">IF(8&gt;Hold_Yrs,0,J1936+J1027+J1330+J1633+J2239+J1330*Prepay_Pen+IF(8=Hold_Yrs,$C2542,0))</f>
        <v>0</v>
      </c>
      <c r="L2845" s="99" t="n">
        <f aca="false">IF(9&gt;Hold_Yrs,0,K1936+K1027+K1330+K1633+K2239+K1330*Prepay_Pen+IF(9=Hold_Yrs,$C2542,0))</f>
        <v>0</v>
      </c>
      <c r="M2845" s="99" t="n">
        <f aca="false">IF(10&gt;Hold_Yrs,0,L1936+L1027+L1330+L1633+L2239+L1330*Prepay_Pen+IF(10=Hold_Yrs,$C2542,0))</f>
        <v>0</v>
      </c>
    </row>
    <row r="2846" customFormat="false" ht="15" hidden="false" customHeight="false" outlineLevel="0" collapsed="false">
      <c r="B2846" s="108" t="n">
        <f aca="false">'Loan Tape'!$A115</f>
        <v>0</v>
      </c>
      <c r="C2846" s="71" t="n">
        <f aca="false">-'Loan Tape'!$BB115</f>
        <v>-0</v>
      </c>
      <c r="D2846" s="71" t="n">
        <f aca="false">IF(1&gt;Hold_Yrs,0,C1937+C1028+C1331+C1634+C2240+C1331*Prepay_Pen+IF(1=Hold_Yrs,$C2543,0))</f>
        <v>0</v>
      </c>
      <c r="E2846" s="71" t="n">
        <f aca="false">IF(2&gt;Hold_Yrs,0,D1937+D1028+D1331+D1634+D2240+D1331*Prepay_Pen+IF(2=Hold_Yrs,$C2543,0))</f>
        <v>0</v>
      </c>
      <c r="F2846" s="71" t="n">
        <f aca="false">IF(3&gt;Hold_Yrs,0,E1937+E1028+E1331+E1634+E2240+E1331*Prepay_Pen+IF(3=Hold_Yrs,$C2543,0))</f>
        <v>0</v>
      </c>
      <c r="G2846" s="71" t="n">
        <f aca="false">IF(4&gt;Hold_Yrs,0,F1937+F1028+F1331+F1634+F2240+F1331*Prepay_Pen+IF(4=Hold_Yrs,$C2543,0))</f>
        <v>0</v>
      </c>
      <c r="H2846" s="71" t="n">
        <f aca="false">IF(5&gt;Hold_Yrs,0,G1937+G1028+G1331+G1634+G2240+G1331*Prepay_Pen+IF(5=Hold_Yrs,$C2543,0))</f>
        <v>0</v>
      </c>
      <c r="I2846" s="71" t="n">
        <f aca="false">IF(6&gt;Hold_Yrs,0,H1937+H1028+H1331+H1634+H2240+H1331*Prepay_Pen+IF(6=Hold_Yrs,$C2543,0))</f>
        <v>0</v>
      </c>
      <c r="J2846" s="71" t="n">
        <f aca="false">IF(7&gt;Hold_Yrs,0,I1937+I1028+I1331+I1634+I2240+I1331*Prepay_Pen+IF(7=Hold_Yrs,$C2543,0))</f>
        <v>0</v>
      </c>
      <c r="K2846" s="71" t="n">
        <f aca="false">IF(8&gt;Hold_Yrs,0,J1937+J1028+J1331+J1634+J2240+J1331*Prepay_Pen+IF(8=Hold_Yrs,$C2543,0))</f>
        <v>0</v>
      </c>
      <c r="L2846" s="71" t="n">
        <f aca="false">IF(9&gt;Hold_Yrs,0,K1937+K1028+K1331+K1634+K2240+K1331*Prepay_Pen+IF(9=Hold_Yrs,$C2543,0))</f>
        <v>0</v>
      </c>
      <c r="M2846" s="71" t="n">
        <f aca="false">IF(10&gt;Hold_Yrs,0,L1937+L1028+L1331+L1634+L2240+L1331*Prepay_Pen+IF(10=Hold_Yrs,$C2543,0))</f>
        <v>0</v>
      </c>
    </row>
    <row r="2847" customFormat="false" ht="15" hidden="false" customHeight="false" outlineLevel="0" collapsed="false">
      <c r="B2847" s="102" t="n">
        <f aca="false">'Loan Tape'!$A116</f>
        <v>0</v>
      </c>
      <c r="C2847" s="99" t="n">
        <f aca="false">-'Loan Tape'!$BB116</f>
        <v>-0</v>
      </c>
      <c r="D2847" s="99" t="n">
        <f aca="false">IF(1&gt;Hold_Yrs,0,C1938+C1029+C1332+C1635+C2241+C1332*Prepay_Pen+IF(1=Hold_Yrs,$C2544,0))</f>
        <v>0</v>
      </c>
      <c r="E2847" s="99" t="n">
        <f aca="false">IF(2&gt;Hold_Yrs,0,D1938+D1029+D1332+D1635+D2241+D1332*Prepay_Pen+IF(2=Hold_Yrs,$C2544,0))</f>
        <v>0</v>
      </c>
      <c r="F2847" s="99" t="n">
        <f aca="false">IF(3&gt;Hold_Yrs,0,E1938+E1029+E1332+E1635+E2241+E1332*Prepay_Pen+IF(3=Hold_Yrs,$C2544,0))</f>
        <v>0</v>
      </c>
      <c r="G2847" s="99" t="n">
        <f aca="false">IF(4&gt;Hold_Yrs,0,F1938+F1029+F1332+F1635+F2241+F1332*Prepay_Pen+IF(4=Hold_Yrs,$C2544,0))</f>
        <v>0</v>
      </c>
      <c r="H2847" s="99" t="n">
        <f aca="false">IF(5&gt;Hold_Yrs,0,G1938+G1029+G1332+G1635+G2241+G1332*Prepay_Pen+IF(5=Hold_Yrs,$C2544,0))</f>
        <v>0</v>
      </c>
      <c r="I2847" s="99" t="n">
        <f aca="false">IF(6&gt;Hold_Yrs,0,H1938+H1029+H1332+H1635+H2241+H1332*Prepay_Pen+IF(6=Hold_Yrs,$C2544,0))</f>
        <v>0</v>
      </c>
      <c r="J2847" s="99" t="n">
        <f aca="false">IF(7&gt;Hold_Yrs,0,I1938+I1029+I1332+I1635+I2241+I1332*Prepay_Pen+IF(7=Hold_Yrs,$C2544,0))</f>
        <v>0</v>
      </c>
      <c r="K2847" s="99" t="n">
        <f aca="false">IF(8&gt;Hold_Yrs,0,J1938+J1029+J1332+J1635+J2241+J1332*Prepay_Pen+IF(8=Hold_Yrs,$C2544,0))</f>
        <v>0</v>
      </c>
      <c r="L2847" s="99" t="n">
        <f aca="false">IF(9&gt;Hold_Yrs,0,K1938+K1029+K1332+K1635+K2241+K1332*Prepay_Pen+IF(9=Hold_Yrs,$C2544,0))</f>
        <v>0</v>
      </c>
      <c r="M2847" s="99" t="n">
        <f aca="false">IF(10&gt;Hold_Yrs,0,L1938+L1029+L1332+L1635+L2241+L1332*Prepay_Pen+IF(10=Hold_Yrs,$C2544,0))</f>
        <v>0</v>
      </c>
    </row>
    <row r="2848" customFormat="false" ht="15" hidden="false" customHeight="false" outlineLevel="0" collapsed="false">
      <c r="B2848" s="108" t="n">
        <f aca="false">'Loan Tape'!$A117</f>
        <v>0</v>
      </c>
      <c r="C2848" s="71" t="n">
        <f aca="false">-'Loan Tape'!$BB117</f>
        <v>-0</v>
      </c>
      <c r="D2848" s="71" t="n">
        <f aca="false">IF(1&gt;Hold_Yrs,0,C1939+C1030+C1333+C1636+C2242+C1333*Prepay_Pen+IF(1=Hold_Yrs,$C2545,0))</f>
        <v>0</v>
      </c>
      <c r="E2848" s="71" t="n">
        <f aca="false">IF(2&gt;Hold_Yrs,0,D1939+D1030+D1333+D1636+D2242+D1333*Prepay_Pen+IF(2=Hold_Yrs,$C2545,0))</f>
        <v>0</v>
      </c>
      <c r="F2848" s="71" t="n">
        <f aca="false">IF(3&gt;Hold_Yrs,0,E1939+E1030+E1333+E1636+E2242+E1333*Prepay_Pen+IF(3=Hold_Yrs,$C2545,0))</f>
        <v>0</v>
      </c>
      <c r="G2848" s="71" t="n">
        <f aca="false">IF(4&gt;Hold_Yrs,0,F1939+F1030+F1333+F1636+F2242+F1333*Prepay_Pen+IF(4=Hold_Yrs,$C2545,0))</f>
        <v>0</v>
      </c>
      <c r="H2848" s="71" t="n">
        <f aca="false">IF(5&gt;Hold_Yrs,0,G1939+G1030+G1333+G1636+G2242+G1333*Prepay_Pen+IF(5=Hold_Yrs,$C2545,0))</f>
        <v>0</v>
      </c>
      <c r="I2848" s="71" t="n">
        <f aca="false">IF(6&gt;Hold_Yrs,0,H1939+H1030+H1333+H1636+H2242+H1333*Prepay_Pen+IF(6=Hold_Yrs,$C2545,0))</f>
        <v>0</v>
      </c>
      <c r="J2848" s="71" t="n">
        <f aca="false">IF(7&gt;Hold_Yrs,0,I1939+I1030+I1333+I1636+I2242+I1333*Prepay_Pen+IF(7=Hold_Yrs,$C2545,0))</f>
        <v>0</v>
      </c>
      <c r="K2848" s="71" t="n">
        <f aca="false">IF(8&gt;Hold_Yrs,0,J1939+J1030+J1333+J1636+J2242+J1333*Prepay_Pen+IF(8=Hold_Yrs,$C2545,0))</f>
        <v>0</v>
      </c>
      <c r="L2848" s="71" t="n">
        <f aca="false">IF(9&gt;Hold_Yrs,0,K1939+K1030+K1333+K1636+K2242+K1333*Prepay_Pen+IF(9=Hold_Yrs,$C2545,0))</f>
        <v>0</v>
      </c>
      <c r="M2848" s="71" t="n">
        <f aca="false">IF(10&gt;Hold_Yrs,0,L1939+L1030+L1333+L1636+L2242+L1333*Prepay_Pen+IF(10=Hold_Yrs,$C2545,0))</f>
        <v>0</v>
      </c>
    </row>
    <row r="2849" customFormat="false" ht="15" hidden="false" customHeight="false" outlineLevel="0" collapsed="false">
      <c r="B2849" s="102" t="n">
        <f aca="false">'Loan Tape'!$A118</f>
        <v>0</v>
      </c>
      <c r="C2849" s="99" t="n">
        <f aca="false">-'Loan Tape'!$BB118</f>
        <v>-0</v>
      </c>
      <c r="D2849" s="99" t="n">
        <f aca="false">IF(1&gt;Hold_Yrs,0,C1940+C1031+C1334+C1637+C2243+C1334*Prepay_Pen+IF(1=Hold_Yrs,$C2546,0))</f>
        <v>0</v>
      </c>
      <c r="E2849" s="99" t="n">
        <f aca="false">IF(2&gt;Hold_Yrs,0,D1940+D1031+D1334+D1637+D2243+D1334*Prepay_Pen+IF(2=Hold_Yrs,$C2546,0))</f>
        <v>0</v>
      </c>
      <c r="F2849" s="99" t="n">
        <f aca="false">IF(3&gt;Hold_Yrs,0,E1940+E1031+E1334+E1637+E2243+E1334*Prepay_Pen+IF(3=Hold_Yrs,$C2546,0))</f>
        <v>0</v>
      </c>
      <c r="G2849" s="99" t="n">
        <f aca="false">IF(4&gt;Hold_Yrs,0,F1940+F1031+F1334+F1637+F2243+F1334*Prepay_Pen+IF(4=Hold_Yrs,$C2546,0))</f>
        <v>0</v>
      </c>
      <c r="H2849" s="99" t="n">
        <f aca="false">IF(5&gt;Hold_Yrs,0,G1940+G1031+G1334+G1637+G2243+G1334*Prepay_Pen+IF(5=Hold_Yrs,$C2546,0))</f>
        <v>0</v>
      </c>
      <c r="I2849" s="99" t="n">
        <f aca="false">IF(6&gt;Hold_Yrs,0,H1940+H1031+H1334+H1637+H2243+H1334*Prepay_Pen+IF(6=Hold_Yrs,$C2546,0))</f>
        <v>0</v>
      </c>
      <c r="J2849" s="99" t="n">
        <f aca="false">IF(7&gt;Hold_Yrs,0,I1940+I1031+I1334+I1637+I2243+I1334*Prepay_Pen+IF(7=Hold_Yrs,$C2546,0))</f>
        <v>0</v>
      </c>
      <c r="K2849" s="99" t="n">
        <f aca="false">IF(8&gt;Hold_Yrs,0,J1940+J1031+J1334+J1637+J2243+J1334*Prepay_Pen+IF(8=Hold_Yrs,$C2546,0))</f>
        <v>0</v>
      </c>
      <c r="L2849" s="99" t="n">
        <f aca="false">IF(9&gt;Hold_Yrs,0,K1940+K1031+K1334+K1637+K2243+K1334*Prepay_Pen+IF(9=Hold_Yrs,$C2546,0))</f>
        <v>0</v>
      </c>
      <c r="M2849" s="99" t="n">
        <f aca="false">IF(10&gt;Hold_Yrs,0,L1940+L1031+L1334+L1637+L2243+L1334*Prepay_Pen+IF(10=Hold_Yrs,$C2546,0))</f>
        <v>0</v>
      </c>
    </row>
    <row r="2850" customFormat="false" ht="15" hidden="false" customHeight="false" outlineLevel="0" collapsed="false">
      <c r="B2850" s="108" t="n">
        <f aca="false">'Loan Tape'!$A119</f>
        <v>0</v>
      </c>
      <c r="C2850" s="71" t="n">
        <f aca="false">-'Loan Tape'!$BB119</f>
        <v>-0</v>
      </c>
      <c r="D2850" s="71" t="n">
        <f aca="false">IF(1&gt;Hold_Yrs,0,C1941+C1032+C1335+C1638+C2244+C1335*Prepay_Pen+IF(1=Hold_Yrs,$C2547,0))</f>
        <v>0</v>
      </c>
      <c r="E2850" s="71" t="n">
        <f aca="false">IF(2&gt;Hold_Yrs,0,D1941+D1032+D1335+D1638+D2244+D1335*Prepay_Pen+IF(2=Hold_Yrs,$C2547,0))</f>
        <v>0</v>
      </c>
      <c r="F2850" s="71" t="n">
        <f aca="false">IF(3&gt;Hold_Yrs,0,E1941+E1032+E1335+E1638+E2244+E1335*Prepay_Pen+IF(3=Hold_Yrs,$C2547,0))</f>
        <v>0</v>
      </c>
      <c r="G2850" s="71" t="n">
        <f aca="false">IF(4&gt;Hold_Yrs,0,F1941+F1032+F1335+F1638+F2244+F1335*Prepay_Pen+IF(4=Hold_Yrs,$C2547,0))</f>
        <v>0</v>
      </c>
      <c r="H2850" s="71" t="n">
        <f aca="false">IF(5&gt;Hold_Yrs,0,G1941+G1032+G1335+G1638+G2244+G1335*Prepay_Pen+IF(5=Hold_Yrs,$C2547,0))</f>
        <v>0</v>
      </c>
      <c r="I2850" s="71" t="n">
        <f aca="false">IF(6&gt;Hold_Yrs,0,H1941+H1032+H1335+H1638+H2244+H1335*Prepay_Pen+IF(6=Hold_Yrs,$C2547,0))</f>
        <v>0</v>
      </c>
      <c r="J2850" s="71" t="n">
        <f aca="false">IF(7&gt;Hold_Yrs,0,I1941+I1032+I1335+I1638+I2244+I1335*Prepay_Pen+IF(7=Hold_Yrs,$C2547,0))</f>
        <v>0</v>
      </c>
      <c r="K2850" s="71" t="n">
        <f aca="false">IF(8&gt;Hold_Yrs,0,J1941+J1032+J1335+J1638+J2244+J1335*Prepay_Pen+IF(8=Hold_Yrs,$C2547,0))</f>
        <v>0</v>
      </c>
      <c r="L2850" s="71" t="n">
        <f aca="false">IF(9&gt;Hold_Yrs,0,K1941+K1032+K1335+K1638+K2244+K1335*Prepay_Pen+IF(9=Hold_Yrs,$C2547,0))</f>
        <v>0</v>
      </c>
      <c r="M2850" s="71" t="n">
        <f aca="false">IF(10&gt;Hold_Yrs,0,L1941+L1032+L1335+L1638+L2244+L1335*Prepay_Pen+IF(10=Hold_Yrs,$C2547,0))</f>
        <v>0</v>
      </c>
    </row>
    <row r="2851" customFormat="false" ht="15" hidden="false" customHeight="false" outlineLevel="0" collapsed="false">
      <c r="B2851" s="102" t="n">
        <f aca="false">'Loan Tape'!$A120</f>
        <v>0</v>
      </c>
      <c r="C2851" s="99" t="n">
        <f aca="false">-'Loan Tape'!$BB120</f>
        <v>-0</v>
      </c>
      <c r="D2851" s="99" t="n">
        <f aca="false">IF(1&gt;Hold_Yrs,0,C1942+C1033+C1336+C1639+C2245+C1336*Prepay_Pen+IF(1=Hold_Yrs,$C2548,0))</f>
        <v>0</v>
      </c>
      <c r="E2851" s="99" t="n">
        <f aca="false">IF(2&gt;Hold_Yrs,0,D1942+D1033+D1336+D1639+D2245+D1336*Prepay_Pen+IF(2=Hold_Yrs,$C2548,0))</f>
        <v>0</v>
      </c>
      <c r="F2851" s="99" t="n">
        <f aca="false">IF(3&gt;Hold_Yrs,0,E1942+E1033+E1336+E1639+E2245+E1336*Prepay_Pen+IF(3=Hold_Yrs,$C2548,0))</f>
        <v>0</v>
      </c>
      <c r="G2851" s="99" t="n">
        <f aca="false">IF(4&gt;Hold_Yrs,0,F1942+F1033+F1336+F1639+F2245+F1336*Prepay_Pen+IF(4=Hold_Yrs,$C2548,0))</f>
        <v>0</v>
      </c>
      <c r="H2851" s="99" t="n">
        <f aca="false">IF(5&gt;Hold_Yrs,0,G1942+G1033+G1336+G1639+G2245+G1336*Prepay_Pen+IF(5=Hold_Yrs,$C2548,0))</f>
        <v>0</v>
      </c>
      <c r="I2851" s="99" t="n">
        <f aca="false">IF(6&gt;Hold_Yrs,0,H1942+H1033+H1336+H1639+H2245+H1336*Prepay_Pen+IF(6=Hold_Yrs,$C2548,0))</f>
        <v>0</v>
      </c>
      <c r="J2851" s="99" t="n">
        <f aca="false">IF(7&gt;Hold_Yrs,0,I1942+I1033+I1336+I1639+I2245+I1336*Prepay_Pen+IF(7=Hold_Yrs,$C2548,0))</f>
        <v>0</v>
      </c>
      <c r="K2851" s="99" t="n">
        <f aca="false">IF(8&gt;Hold_Yrs,0,J1942+J1033+J1336+J1639+J2245+J1336*Prepay_Pen+IF(8=Hold_Yrs,$C2548,0))</f>
        <v>0</v>
      </c>
      <c r="L2851" s="99" t="n">
        <f aca="false">IF(9&gt;Hold_Yrs,0,K1942+K1033+K1336+K1639+K2245+K1336*Prepay_Pen+IF(9=Hold_Yrs,$C2548,0))</f>
        <v>0</v>
      </c>
      <c r="M2851" s="99" t="n">
        <f aca="false">IF(10&gt;Hold_Yrs,0,L1942+L1033+L1336+L1639+L2245+L1336*Prepay_Pen+IF(10=Hold_Yrs,$C2548,0))</f>
        <v>0</v>
      </c>
    </row>
    <row r="2852" customFormat="false" ht="15" hidden="false" customHeight="false" outlineLevel="0" collapsed="false">
      <c r="B2852" s="108" t="n">
        <f aca="false">'Loan Tape'!$A121</f>
        <v>0</v>
      </c>
      <c r="C2852" s="71" t="n">
        <f aca="false">-'Loan Tape'!$BB121</f>
        <v>-0</v>
      </c>
      <c r="D2852" s="71" t="n">
        <f aca="false">IF(1&gt;Hold_Yrs,0,C1943+C1034+C1337+C1640+C2246+C1337*Prepay_Pen+IF(1=Hold_Yrs,$C2549,0))</f>
        <v>0</v>
      </c>
      <c r="E2852" s="71" t="n">
        <f aca="false">IF(2&gt;Hold_Yrs,0,D1943+D1034+D1337+D1640+D2246+D1337*Prepay_Pen+IF(2=Hold_Yrs,$C2549,0))</f>
        <v>0</v>
      </c>
      <c r="F2852" s="71" t="n">
        <f aca="false">IF(3&gt;Hold_Yrs,0,E1943+E1034+E1337+E1640+E2246+E1337*Prepay_Pen+IF(3=Hold_Yrs,$C2549,0))</f>
        <v>0</v>
      </c>
      <c r="G2852" s="71" t="n">
        <f aca="false">IF(4&gt;Hold_Yrs,0,F1943+F1034+F1337+F1640+F2246+F1337*Prepay_Pen+IF(4=Hold_Yrs,$C2549,0))</f>
        <v>0</v>
      </c>
      <c r="H2852" s="71" t="n">
        <f aca="false">IF(5&gt;Hold_Yrs,0,G1943+G1034+G1337+G1640+G2246+G1337*Prepay_Pen+IF(5=Hold_Yrs,$C2549,0))</f>
        <v>0</v>
      </c>
      <c r="I2852" s="71" t="n">
        <f aca="false">IF(6&gt;Hold_Yrs,0,H1943+H1034+H1337+H1640+H2246+H1337*Prepay_Pen+IF(6=Hold_Yrs,$C2549,0))</f>
        <v>0</v>
      </c>
      <c r="J2852" s="71" t="n">
        <f aca="false">IF(7&gt;Hold_Yrs,0,I1943+I1034+I1337+I1640+I2246+I1337*Prepay_Pen+IF(7=Hold_Yrs,$C2549,0))</f>
        <v>0</v>
      </c>
      <c r="K2852" s="71" t="n">
        <f aca="false">IF(8&gt;Hold_Yrs,0,J1943+J1034+J1337+J1640+J2246+J1337*Prepay_Pen+IF(8=Hold_Yrs,$C2549,0))</f>
        <v>0</v>
      </c>
      <c r="L2852" s="71" t="n">
        <f aca="false">IF(9&gt;Hold_Yrs,0,K1943+K1034+K1337+K1640+K2246+K1337*Prepay_Pen+IF(9=Hold_Yrs,$C2549,0))</f>
        <v>0</v>
      </c>
      <c r="M2852" s="71" t="n">
        <f aca="false">IF(10&gt;Hold_Yrs,0,L1943+L1034+L1337+L1640+L2246+L1337*Prepay_Pen+IF(10=Hold_Yrs,$C2549,0))</f>
        <v>0</v>
      </c>
    </row>
    <row r="2853" customFormat="false" ht="15" hidden="false" customHeight="false" outlineLevel="0" collapsed="false">
      <c r="B2853" s="102" t="n">
        <f aca="false">'Loan Tape'!$A122</f>
        <v>0</v>
      </c>
      <c r="C2853" s="99" t="n">
        <f aca="false">-'Loan Tape'!$BB122</f>
        <v>-0</v>
      </c>
      <c r="D2853" s="99" t="n">
        <f aca="false">IF(1&gt;Hold_Yrs,0,C1944+C1035+C1338+C1641+C2247+C1338*Prepay_Pen+IF(1=Hold_Yrs,$C2550,0))</f>
        <v>0</v>
      </c>
      <c r="E2853" s="99" t="n">
        <f aca="false">IF(2&gt;Hold_Yrs,0,D1944+D1035+D1338+D1641+D2247+D1338*Prepay_Pen+IF(2=Hold_Yrs,$C2550,0))</f>
        <v>0</v>
      </c>
      <c r="F2853" s="99" t="n">
        <f aca="false">IF(3&gt;Hold_Yrs,0,E1944+E1035+E1338+E1641+E2247+E1338*Prepay_Pen+IF(3=Hold_Yrs,$C2550,0))</f>
        <v>0</v>
      </c>
      <c r="G2853" s="99" t="n">
        <f aca="false">IF(4&gt;Hold_Yrs,0,F1944+F1035+F1338+F1641+F2247+F1338*Prepay_Pen+IF(4=Hold_Yrs,$C2550,0))</f>
        <v>0</v>
      </c>
      <c r="H2853" s="99" t="n">
        <f aca="false">IF(5&gt;Hold_Yrs,0,G1944+G1035+G1338+G1641+G2247+G1338*Prepay_Pen+IF(5=Hold_Yrs,$C2550,0))</f>
        <v>0</v>
      </c>
      <c r="I2853" s="99" t="n">
        <f aca="false">IF(6&gt;Hold_Yrs,0,H1944+H1035+H1338+H1641+H2247+H1338*Prepay_Pen+IF(6=Hold_Yrs,$C2550,0))</f>
        <v>0</v>
      </c>
      <c r="J2853" s="99" t="n">
        <f aca="false">IF(7&gt;Hold_Yrs,0,I1944+I1035+I1338+I1641+I2247+I1338*Prepay_Pen+IF(7=Hold_Yrs,$C2550,0))</f>
        <v>0</v>
      </c>
      <c r="K2853" s="99" t="n">
        <f aca="false">IF(8&gt;Hold_Yrs,0,J1944+J1035+J1338+J1641+J2247+J1338*Prepay_Pen+IF(8=Hold_Yrs,$C2550,0))</f>
        <v>0</v>
      </c>
      <c r="L2853" s="99" t="n">
        <f aca="false">IF(9&gt;Hold_Yrs,0,K1944+K1035+K1338+K1641+K2247+K1338*Prepay_Pen+IF(9=Hold_Yrs,$C2550,0))</f>
        <v>0</v>
      </c>
      <c r="M2853" s="99" t="n">
        <f aca="false">IF(10&gt;Hold_Yrs,0,L1944+L1035+L1338+L1641+L2247+L1338*Prepay_Pen+IF(10=Hold_Yrs,$C2550,0))</f>
        <v>0</v>
      </c>
    </row>
    <row r="2854" customFormat="false" ht="15" hidden="false" customHeight="false" outlineLevel="0" collapsed="false">
      <c r="B2854" s="108" t="n">
        <f aca="false">'Loan Tape'!$A123</f>
        <v>0</v>
      </c>
      <c r="C2854" s="71" t="n">
        <f aca="false">-'Loan Tape'!$BB123</f>
        <v>-0</v>
      </c>
      <c r="D2854" s="71" t="n">
        <f aca="false">IF(1&gt;Hold_Yrs,0,C1945+C1036+C1339+C1642+C2248+C1339*Prepay_Pen+IF(1=Hold_Yrs,$C2551,0))</f>
        <v>0</v>
      </c>
      <c r="E2854" s="71" t="n">
        <f aca="false">IF(2&gt;Hold_Yrs,0,D1945+D1036+D1339+D1642+D2248+D1339*Prepay_Pen+IF(2=Hold_Yrs,$C2551,0))</f>
        <v>0</v>
      </c>
      <c r="F2854" s="71" t="n">
        <f aca="false">IF(3&gt;Hold_Yrs,0,E1945+E1036+E1339+E1642+E2248+E1339*Prepay_Pen+IF(3=Hold_Yrs,$C2551,0))</f>
        <v>0</v>
      </c>
      <c r="G2854" s="71" t="n">
        <f aca="false">IF(4&gt;Hold_Yrs,0,F1945+F1036+F1339+F1642+F2248+F1339*Prepay_Pen+IF(4=Hold_Yrs,$C2551,0))</f>
        <v>0</v>
      </c>
      <c r="H2854" s="71" t="n">
        <f aca="false">IF(5&gt;Hold_Yrs,0,G1945+G1036+G1339+G1642+G2248+G1339*Prepay_Pen+IF(5=Hold_Yrs,$C2551,0))</f>
        <v>0</v>
      </c>
      <c r="I2854" s="71" t="n">
        <f aca="false">IF(6&gt;Hold_Yrs,0,H1945+H1036+H1339+H1642+H2248+H1339*Prepay_Pen+IF(6=Hold_Yrs,$C2551,0))</f>
        <v>0</v>
      </c>
      <c r="J2854" s="71" t="n">
        <f aca="false">IF(7&gt;Hold_Yrs,0,I1945+I1036+I1339+I1642+I2248+I1339*Prepay_Pen+IF(7=Hold_Yrs,$C2551,0))</f>
        <v>0</v>
      </c>
      <c r="K2854" s="71" t="n">
        <f aca="false">IF(8&gt;Hold_Yrs,0,J1945+J1036+J1339+J1642+J2248+J1339*Prepay_Pen+IF(8=Hold_Yrs,$C2551,0))</f>
        <v>0</v>
      </c>
      <c r="L2854" s="71" t="n">
        <f aca="false">IF(9&gt;Hold_Yrs,0,K1945+K1036+K1339+K1642+K2248+K1339*Prepay_Pen+IF(9=Hold_Yrs,$C2551,0))</f>
        <v>0</v>
      </c>
      <c r="M2854" s="71" t="n">
        <f aca="false">IF(10&gt;Hold_Yrs,0,L1945+L1036+L1339+L1642+L2248+L1339*Prepay_Pen+IF(10=Hold_Yrs,$C2551,0))</f>
        <v>0</v>
      </c>
    </row>
    <row r="2855" customFormat="false" ht="15" hidden="false" customHeight="false" outlineLevel="0" collapsed="false">
      <c r="B2855" s="102" t="n">
        <f aca="false">'Loan Tape'!$A124</f>
        <v>0</v>
      </c>
      <c r="C2855" s="99" t="n">
        <f aca="false">-'Loan Tape'!$BB124</f>
        <v>-0</v>
      </c>
      <c r="D2855" s="99" t="n">
        <f aca="false">IF(1&gt;Hold_Yrs,0,C1946+C1037+C1340+C1643+C2249+C1340*Prepay_Pen+IF(1=Hold_Yrs,$C2552,0))</f>
        <v>0</v>
      </c>
      <c r="E2855" s="99" t="n">
        <f aca="false">IF(2&gt;Hold_Yrs,0,D1946+D1037+D1340+D1643+D2249+D1340*Prepay_Pen+IF(2=Hold_Yrs,$C2552,0))</f>
        <v>0</v>
      </c>
      <c r="F2855" s="99" t="n">
        <f aca="false">IF(3&gt;Hold_Yrs,0,E1946+E1037+E1340+E1643+E2249+E1340*Prepay_Pen+IF(3=Hold_Yrs,$C2552,0))</f>
        <v>0</v>
      </c>
      <c r="G2855" s="99" t="n">
        <f aca="false">IF(4&gt;Hold_Yrs,0,F1946+F1037+F1340+F1643+F2249+F1340*Prepay_Pen+IF(4=Hold_Yrs,$C2552,0))</f>
        <v>0</v>
      </c>
      <c r="H2855" s="99" t="n">
        <f aca="false">IF(5&gt;Hold_Yrs,0,G1946+G1037+G1340+G1643+G2249+G1340*Prepay_Pen+IF(5=Hold_Yrs,$C2552,0))</f>
        <v>0</v>
      </c>
      <c r="I2855" s="99" t="n">
        <f aca="false">IF(6&gt;Hold_Yrs,0,H1946+H1037+H1340+H1643+H2249+H1340*Prepay_Pen+IF(6=Hold_Yrs,$C2552,0))</f>
        <v>0</v>
      </c>
      <c r="J2855" s="99" t="n">
        <f aca="false">IF(7&gt;Hold_Yrs,0,I1946+I1037+I1340+I1643+I2249+I1340*Prepay_Pen+IF(7=Hold_Yrs,$C2552,0))</f>
        <v>0</v>
      </c>
      <c r="K2855" s="99" t="n">
        <f aca="false">IF(8&gt;Hold_Yrs,0,J1946+J1037+J1340+J1643+J2249+J1340*Prepay_Pen+IF(8=Hold_Yrs,$C2552,0))</f>
        <v>0</v>
      </c>
      <c r="L2855" s="99" t="n">
        <f aca="false">IF(9&gt;Hold_Yrs,0,K1946+K1037+K1340+K1643+K2249+K1340*Prepay_Pen+IF(9=Hold_Yrs,$C2552,0))</f>
        <v>0</v>
      </c>
      <c r="M2855" s="99" t="n">
        <f aca="false">IF(10&gt;Hold_Yrs,0,L1946+L1037+L1340+L1643+L2249+L1340*Prepay_Pen+IF(10=Hold_Yrs,$C2552,0))</f>
        <v>0</v>
      </c>
    </row>
    <row r="2856" customFormat="false" ht="15" hidden="false" customHeight="false" outlineLevel="0" collapsed="false">
      <c r="B2856" s="108" t="n">
        <f aca="false">'Loan Tape'!$A125</f>
        <v>0</v>
      </c>
      <c r="C2856" s="71" t="n">
        <f aca="false">-'Loan Tape'!$BB125</f>
        <v>-0</v>
      </c>
      <c r="D2856" s="71" t="n">
        <f aca="false">IF(1&gt;Hold_Yrs,0,C1947+C1038+C1341+C1644+C2250+C1341*Prepay_Pen+IF(1=Hold_Yrs,$C2553,0))</f>
        <v>0</v>
      </c>
      <c r="E2856" s="71" t="n">
        <f aca="false">IF(2&gt;Hold_Yrs,0,D1947+D1038+D1341+D1644+D2250+D1341*Prepay_Pen+IF(2=Hold_Yrs,$C2553,0))</f>
        <v>0</v>
      </c>
      <c r="F2856" s="71" t="n">
        <f aca="false">IF(3&gt;Hold_Yrs,0,E1947+E1038+E1341+E1644+E2250+E1341*Prepay_Pen+IF(3=Hold_Yrs,$C2553,0))</f>
        <v>0</v>
      </c>
      <c r="G2856" s="71" t="n">
        <f aca="false">IF(4&gt;Hold_Yrs,0,F1947+F1038+F1341+F1644+F2250+F1341*Prepay_Pen+IF(4=Hold_Yrs,$C2553,0))</f>
        <v>0</v>
      </c>
      <c r="H2856" s="71" t="n">
        <f aca="false">IF(5&gt;Hold_Yrs,0,G1947+G1038+G1341+G1644+G2250+G1341*Prepay_Pen+IF(5=Hold_Yrs,$C2553,0))</f>
        <v>0</v>
      </c>
      <c r="I2856" s="71" t="n">
        <f aca="false">IF(6&gt;Hold_Yrs,0,H1947+H1038+H1341+H1644+H2250+H1341*Prepay_Pen+IF(6=Hold_Yrs,$C2553,0))</f>
        <v>0</v>
      </c>
      <c r="J2856" s="71" t="n">
        <f aca="false">IF(7&gt;Hold_Yrs,0,I1947+I1038+I1341+I1644+I2250+I1341*Prepay_Pen+IF(7=Hold_Yrs,$C2553,0))</f>
        <v>0</v>
      </c>
      <c r="K2856" s="71" t="n">
        <f aca="false">IF(8&gt;Hold_Yrs,0,J1947+J1038+J1341+J1644+J2250+J1341*Prepay_Pen+IF(8=Hold_Yrs,$C2553,0))</f>
        <v>0</v>
      </c>
      <c r="L2856" s="71" t="n">
        <f aca="false">IF(9&gt;Hold_Yrs,0,K1947+K1038+K1341+K1644+K2250+K1341*Prepay_Pen+IF(9=Hold_Yrs,$C2553,0))</f>
        <v>0</v>
      </c>
      <c r="M2856" s="71" t="n">
        <f aca="false">IF(10&gt;Hold_Yrs,0,L1947+L1038+L1341+L1644+L2250+L1341*Prepay_Pen+IF(10=Hold_Yrs,$C2553,0))</f>
        <v>0</v>
      </c>
    </row>
    <row r="2857" customFormat="false" ht="15" hidden="false" customHeight="false" outlineLevel="0" collapsed="false">
      <c r="B2857" s="102" t="n">
        <f aca="false">'Loan Tape'!$A126</f>
        <v>0</v>
      </c>
      <c r="C2857" s="99" t="n">
        <f aca="false">-'Loan Tape'!$BB126</f>
        <v>-0</v>
      </c>
      <c r="D2857" s="99" t="n">
        <f aca="false">IF(1&gt;Hold_Yrs,0,C1948+C1039+C1342+C1645+C2251+C1342*Prepay_Pen+IF(1=Hold_Yrs,$C2554,0))</f>
        <v>0</v>
      </c>
      <c r="E2857" s="99" t="n">
        <f aca="false">IF(2&gt;Hold_Yrs,0,D1948+D1039+D1342+D1645+D2251+D1342*Prepay_Pen+IF(2=Hold_Yrs,$C2554,0))</f>
        <v>0</v>
      </c>
      <c r="F2857" s="99" t="n">
        <f aca="false">IF(3&gt;Hold_Yrs,0,E1948+E1039+E1342+E1645+E2251+E1342*Prepay_Pen+IF(3=Hold_Yrs,$C2554,0))</f>
        <v>0</v>
      </c>
      <c r="G2857" s="99" t="n">
        <f aca="false">IF(4&gt;Hold_Yrs,0,F1948+F1039+F1342+F1645+F2251+F1342*Prepay_Pen+IF(4=Hold_Yrs,$C2554,0))</f>
        <v>0</v>
      </c>
      <c r="H2857" s="99" t="n">
        <f aca="false">IF(5&gt;Hold_Yrs,0,G1948+G1039+G1342+G1645+G2251+G1342*Prepay_Pen+IF(5=Hold_Yrs,$C2554,0))</f>
        <v>0</v>
      </c>
      <c r="I2857" s="99" t="n">
        <f aca="false">IF(6&gt;Hold_Yrs,0,H1948+H1039+H1342+H1645+H2251+H1342*Prepay_Pen+IF(6=Hold_Yrs,$C2554,0))</f>
        <v>0</v>
      </c>
      <c r="J2857" s="99" t="n">
        <f aca="false">IF(7&gt;Hold_Yrs,0,I1948+I1039+I1342+I1645+I2251+I1342*Prepay_Pen+IF(7=Hold_Yrs,$C2554,0))</f>
        <v>0</v>
      </c>
      <c r="K2857" s="99" t="n">
        <f aca="false">IF(8&gt;Hold_Yrs,0,J1948+J1039+J1342+J1645+J2251+J1342*Prepay_Pen+IF(8=Hold_Yrs,$C2554,0))</f>
        <v>0</v>
      </c>
      <c r="L2857" s="99" t="n">
        <f aca="false">IF(9&gt;Hold_Yrs,0,K1948+K1039+K1342+K1645+K2251+K1342*Prepay_Pen+IF(9=Hold_Yrs,$C2554,0))</f>
        <v>0</v>
      </c>
      <c r="M2857" s="99" t="n">
        <f aca="false">IF(10&gt;Hold_Yrs,0,L1948+L1039+L1342+L1645+L2251+L1342*Prepay_Pen+IF(10=Hold_Yrs,$C2554,0))</f>
        <v>0</v>
      </c>
    </row>
    <row r="2858" customFormat="false" ht="15" hidden="false" customHeight="false" outlineLevel="0" collapsed="false">
      <c r="B2858" s="108" t="n">
        <f aca="false">'Loan Tape'!$A127</f>
        <v>0</v>
      </c>
      <c r="C2858" s="71" t="n">
        <f aca="false">-'Loan Tape'!$BB127</f>
        <v>-0</v>
      </c>
      <c r="D2858" s="71" t="n">
        <f aca="false">IF(1&gt;Hold_Yrs,0,C1949+C1040+C1343+C1646+C2252+C1343*Prepay_Pen+IF(1=Hold_Yrs,$C2555,0))</f>
        <v>0</v>
      </c>
      <c r="E2858" s="71" t="n">
        <f aca="false">IF(2&gt;Hold_Yrs,0,D1949+D1040+D1343+D1646+D2252+D1343*Prepay_Pen+IF(2=Hold_Yrs,$C2555,0))</f>
        <v>0</v>
      </c>
      <c r="F2858" s="71" t="n">
        <f aca="false">IF(3&gt;Hold_Yrs,0,E1949+E1040+E1343+E1646+E2252+E1343*Prepay_Pen+IF(3=Hold_Yrs,$C2555,0))</f>
        <v>0</v>
      </c>
      <c r="G2858" s="71" t="n">
        <f aca="false">IF(4&gt;Hold_Yrs,0,F1949+F1040+F1343+F1646+F2252+F1343*Prepay_Pen+IF(4=Hold_Yrs,$C2555,0))</f>
        <v>0</v>
      </c>
      <c r="H2858" s="71" t="n">
        <f aca="false">IF(5&gt;Hold_Yrs,0,G1949+G1040+G1343+G1646+G2252+G1343*Prepay_Pen+IF(5=Hold_Yrs,$C2555,0))</f>
        <v>0</v>
      </c>
      <c r="I2858" s="71" t="n">
        <f aca="false">IF(6&gt;Hold_Yrs,0,H1949+H1040+H1343+H1646+H2252+H1343*Prepay_Pen+IF(6=Hold_Yrs,$C2555,0))</f>
        <v>0</v>
      </c>
      <c r="J2858" s="71" t="n">
        <f aca="false">IF(7&gt;Hold_Yrs,0,I1949+I1040+I1343+I1646+I2252+I1343*Prepay_Pen+IF(7=Hold_Yrs,$C2555,0))</f>
        <v>0</v>
      </c>
      <c r="K2858" s="71" t="n">
        <f aca="false">IF(8&gt;Hold_Yrs,0,J1949+J1040+J1343+J1646+J2252+J1343*Prepay_Pen+IF(8=Hold_Yrs,$C2555,0))</f>
        <v>0</v>
      </c>
      <c r="L2858" s="71" t="n">
        <f aca="false">IF(9&gt;Hold_Yrs,0,K1949+K1040+K1343+K1646+K2252+K1343*Prepay_Pen+IF(9=Hold_Yrs,$C2555,0))</f>
        <v>0</v>
      </c>
      <c r="M2858" s="71" t="n">
        <f aca="false">IF(10&gt;Hold_Yrs,0,L1949+L1040+L1343+L1646+L2252+L1343*Prepay_Pen+IF(10=Hold_Yrs,$C2555,0))</f>
        <v>0</v>
      </c>
    </row>
    <row r="2859" customFormat="false" ht="15" hidden="false" customHeight="false" outlineLevel="0" collapsed="false">
      <c r="B2859" s="102" t="n">
        <f aca="false">'Loan Tape'!$A128</f>
        <v>0</v>
      </c>
      <c r="C2859" s="99" t="n">
        <f aca="false">-'Loan Tape'!$BB128</f>
        <v>-0</v>
      </c>
      <c r="D2859" s="99" t="n">
        <f aca="false">IF(1&gt;Hold_Yrs,0,C1950+C1041+C1344+C1647+C2253+C1344*Prepay_Pen+IF(1=Hold_Yrs,$C2556,0))</f>
        <v>0</v>
      </c>
      <c r="E2859" s="99" t="n">
        <f aca="false">IF(2&gt;Hold_Yrs,0,D1950+D1041+D1344+D1647+D2253+D1344*Prepay_Pen+IF(2=Hold_Yrs,$C2556,0))</f>
        <v>0</v>
      </c>
      <c r="F2859" s="99" t="n">
        <f aca="false">IF(3&gt;Hold_Yrs,0,E1950+E1041+E1344+E1647+E2253+E1344*Prepay_Pen+IF(3=Hold_Yrs,$C2556,0))</f>
        <v>0</v>
      </c>
      <c r="G2859" s="99" t="n">
        <f aca="false">IF(4&gt;Hold_Yrs,0,F1950+F1041+F1344+F1647+F2253+F1344*Prepay_Pen+IF(4=Hold_Yrs,$C2556,0))</f>
        <v>0</v>
      </c>
      <c r="H2859" s="99" t="n">
        <f aca="false">IF(5&gt;Hold_Yrs,0,G1950+G1041+G1344+G1647+G2253+G1344*Prepay_Pen+IF(5=Hold_Yrs,$C2556,0))</f>
        <v>0</v>
      </c>
      <c r="I2859" s="99" t="n">
        <f aca="false">IF(6&gt;Hold_Yrs,0,H1950+H1041+H1344+H1647+H2253+H1344*Prepay_Pen+IF(6=Hold_Yrs,$C2556,0))</f>
        <v>0</v>
      </c>
      <c r="J2859" s="99" t="n">
        <f aca="false">IF(7&gt;Hold_Yrs,0,I1950+I1041+I1344+I1647+I2253+I1344*Prepay_Pen+IF(7=Hold_Yrs,$C2556,0))</f>
        <v>0</v>
      </c>
      <c r="K2859" s="99" t="n">
        <f aca="false">IF(8&gt;Hold_Yrs,0,J1950+J1041+J1344+J1647+J2253+J1344*Prepay_Pen+IF(8=Hold_Yrs,$C2556,0))</f>
        <v>0</v>
      </c>
      <c r="L2859" s="99" t="n">
        <f aca="false">IF(9&gt;Hold_Yrs,0,K1950+K1041+K1344+K1647+K2253+K1344*Prepay_Pen+IF(9=Hold_Yrs,$C2556,0))</f>
        <v>0</v>
      </c>
      <c r="M2859" s="99" t="n">
        <f aca="false">IF(10&gt;Hold_Yrs,0,L1950+L1041+L1344+L1647+L2253+L1344*Prepay_Pen+IF(10=Hold_Yrs,$C2556,0))</f>
        <v>0</v>
      </c>
    </row>
    <row r="2860" customFormat="false" ht="15" hidden="false" customHeight="false" outlineLevel="0" collapsed="false">
      <c r="B2860" s="108" t="n">
        <f aca="false">'Loan Tape'!$A129</f>
        <v>0</v>
      </c>
      <c r="C2860" s="71" t="n">
        <f aca="false">-'Loan Tape'!$BB129</f>
        <v>-0</v>
      </c>
      <c r="D2860" s="71" t="n">
        <f aca="false">IF(1&gt;Hold_Yrs,0,C1951+C1042+C1345+C1648+C2254+C1345*Prepay_Pen+IF(1=Hold_Yrs,$C2557,0))</f>
        <v>0</v>
      </c>
      <c r="E2860" s="71" t="n">
        <f aca="false">IF(2&gt;Hold_Yrs,0,D1951+D1042+D1345+D1648+D2254+D1345*Prepay_Pen+IF(2=Hold_Yrs,$C2557,0))</f>
        <v>0</v>
      </c>
      <c r="F2860" s="71" t="n">
        <f aca="false">IF(3&gt;Hold_Yrs,0,E1951+E1042+E1345+E1648+E2254+E1345*Prepay_Pen+IF(3=Hold_Yrs,$C2557,0))</f>
        <v>0</v>
      </c>
      <c r="G2860" s="71" t="n">
        <f aca="false">IF(4&gt;Hold_Yrs,0,F1951+F1042+F1345+F1648+F2254+F1345*Prepay_Pen+IF(4=Hold_Yrs,$C2557,0))</f>
        <v>0</v>
      </c>
      <c r="H2860" s="71" t="n">
        <f aca="false">IF(5&gt;Hold_Yrs,0,G1951+G1042+G1345+G1648+G2254+G1345*Prepay_Pen+IF(5=Hold_Yrs,$C2557,0))</f>
        <v>0</v>
      </c>
      <c r="I2860" s="71" t="n">
        <f aca="false">IF(6&gt;Hold_Yrs,0,H1951+H1042+H1345+H1648+H2254+H1345*Prepay_Pen+IF(6=Hold_Yrs,$C2557,0))</f>
        <v>0</v>
      </c>
      <c r="J2860" s="71" t="n">
        <f aca="false">IF(7&gt;Hold_Yrs,0,I1951+I1042+I1345+I1648+I2254+I1345*Prepay_Pen+IF(7=Hold_Yrs,$C2557,0))</f>
        <v>0</v>
      </c>
      <c r="K2860" s="71" t="n">
        <f aca="false">IF(8&gt;Hold_Yrs,0,J1951+J1042+J1345+J1648+J2254+J1345*Prepay_Pen+IF(8=Hold_Yrs,$C2557,0))</f>
        <v>0</v>
      </c>
      <c r="L2860" s="71" t="n">
        <f aca="false">IF(9&gt;Hold_Yrs,0,K1951+K1042+K1345+K1648+K2254+K1345*Prepay_Pen+IF(9=Hold_Yrs,$C2557,0))</f>
        <v>0</v>
      </c>
      <c r="M2860" s="71" t="n">
        <f aca="false">IF(10&gt;Hold_Yrs,0,L1951+L1042+L1345+L1648+L2254+L1345*Prepay_Pen+IF(10=Hold_Yrs,$C2557,0))</f>
        <v>0</v>
      </c>
    </row>
    <row r="2861" customFormat="false" ht="15" hidden="false" customHeight="false" outlineLevel="0" collapsed="false">
      <c r="B2861" s="102" t="n">
        <f aca="false">'Loan Tape'!$A130</f>
        <v>0</v>
      </c>
      <c r="C2861" s="99" t="n">
        <f aca="false">-'Loan Tape'!$BB130</f>
        <v>-0</v>
      </c>
      <c r="D2861" s="99" t="n">
        <f aca="false">IF(1&gt;Hold_Yrs,0,C1952+C1043+C1346+C1649+C2255+C1346*Prepay_Pen+IF(1=Hold_Yrs,$C2558,0))</f>
        <v>0</v>
      </c>
      <c r="E2861" s="99" t="n">
        <f aca="false">IF(2&gt;Hold_Yrs,0,D1952+D1043+D1346+D1649+D2255+D1346*Prepay_Pen+IF(2=Hold_Yrs,$C2558,0))</f>
        <v>0</v>
      </c>
      <c r="F2861" s="99" t="n">
        <f aca="false">IF(3&gt;Hold_Yrs,0,E1952+E1043+E1346+E1649+E2255+E1346*Prepay_Pen+IF(3=Hold_Yrs,$C2558,0))</f>
        <v>0</v>
      </c>
      <c r="G2861" s="99" t="n">
        <f aca="false">IF(4&gt;Hold_Yrs,0,F1952+F1043+F1346+F1649+F2255+F1346*Prepay_Pen+IF(4=Hold_Yrs,$C2558,0))</f>
        <v>0</v>
      </c>
      <c r="H2861" s="99" t="n">
        <f aca="false">IF(5&gt;Hold_Yrs,0,G1952+G1043+G1346+G1649+G2255+G1346*Prepay_Pen+IF(5=Hold_Yrs,$C2558,0))</f>
        <v>0</v>
      </c>
      <c r="I2861" s="99" t="n">
        <f aca="false">IF(6&gt;Hold_Yrs,0,H1952+H1043+H1346+H1649+H2255+H1346*Prepay_Pen+IF(6=Hold_Yrs,$C2558,0))</f>
        <v>0</v>
      </c>
      <c r="J2861" s="99" t="n">
        <f aca="false">IF(7&gt;Hold_Yrs,0,I1952+I1043+I1346+I1649+I2255+I1346*Prepay_Pen+IF(7=Hold_Yrs,$C2558,0))</f>
        <v>0</v>
      </c>
      <c r="K2861" s="99" t="n">
        <f aca="false">IF(8&gt;Hold_Yrs,0,J1952+J1043+J1346+J1649+J2255+J1346*Prepay_Pen+IF(8=Hold_Yrs,$C2558,0))</f>
        <v>0</v>
      </c>
      <c r="L2861" s="99" t="n">
        <f aca="false">IF(9&gt;Hold_Yrs,0,K1952+K1043+K1346+K1649+K2255+K1346*Prepay_Pen+IF(9=Hold_Yrs,$C2558,0))</f>
        <v>0</v>
      </c>
      <c r="M2861" s="99" t="n">
        <f aca="false">IF(10&gt;Hold_Yrs,0,L1952+L1043+L1346+L1649+L2255+L1346*Prepay_Pen+IF(10=Hold_Yrs,$C2558,0))</f>
        <v>0</v>
      </c>
    </row>
    <row r="2862" customFormat="false" ht="15" hidden="false" customHeight="false" outlineLevel="0" collapsed="false">
      <c r="B2862" s="108" t="n">
        <f aca="false">'Loan Tape'!$A131</f>
        <v>0</v>
      </c>
      <c r="C2862" s="71" t="n">
        <f aca="false">-'Loan Tape'!$BB131</f>
        <v>-0</v>
      </c>
      <c r="D2862" s="71" t="n">
        <f aca="false">IF(1&gt;Hold_Yrs,0,C1953+C1044+C1347+C1650+C2256+C1347*Prepay_Pen+IF(1=Hold_Yrs,$C2559,0))</f>
        <v>0</v>
      </c>
      <c r="E2862" s="71" t="n">
        <f aca="false">IF(2&gt;Hold_Yrs,0,D1953+D1044+D1347+D1650+D2256+D1347*Prepay_Pen+IF(2=Hold_Yrs,$C2559,0))</f>
        <v>0</v>
      </c>
      <c r="F2862" s="71" t="n">
        <f aca="false">IF(3&gt;Hold_Yrs,0,E1953+E1044+E1347+E1650+E2256+E1347*Prepay_Pen+IF(3=Hold_Yrs,$C2559,0))</f>
        <v>0</v>
      </c>
      <c r="G2862" s="71" t="n">
        <f aca="false">IF(4&gt;Hold_Yrs,0,F1953+F1044+F1347+F1650+F2256+F1347*Prepay_Pen+IF(4=Hold_Yrs,$C2559,0))</f>
        <v>0</v>
      </c>
      <c r="H2862" s="71" t="n">
        <f aca="false">IF(5&gt;Hold_Yrs,0,G1953+G1044+G1347+G1650+G2256+G1347*Prepay_Pen+IF(5=Hold_Yrs,$C2559,0))</f>
        <v>0</v>
      </c>
      <c r="I2862" s="71" t="n">
        <f aca="false">IF(6&gt;Hold_Yrs,0,H1953+H1044+H1347+H1650+H2256+H1347*Prepay_Pen+IF(6=Hold_Yrs,$C2559,0))</f>
        <v>0</v>
      </c>
      <c r="J2862" s="71" t="n">
        <f aca="false">IF(7&gt;Hold_Yrs,0,I1953+I1044+I1347+I1650+I2256+I1347*Prepay_Pen+IF(7=Hold_Yrs,$C2559,0))</f>
        <v>0</v>
      </c>
      <c r="K2862" s="71" t="n">
        <f aca="false">IF(8&gt;Hold_Yrs,0,J1953+J1044+J1347+J1650+J2256+J1347*Prepay_Pen+IF(8=Hold_Yrs,$C2559,0))</f>
        <v>0</v>
      </c>
      <c r="L2862" s="71" t="n">
        <f aca="false">IF(9&gt;Hold_Yrs,0,K1953+K1044+K1347+K1650+K2256+K1347*Prepay_Pen+IF(9=Hold_Yrs,$C2559,0))</f>
        <v>0</v>
      </c>
      <c r="M2862" s="71" t="n">
        <f aca="false">IF(10&gt;Hold_Yrs,0,L1953+L1044+L1347+L1650+L2256+L1347*Prepay_Pen+IF(10=Hold_Yrs,$C2559,0))</f>
        <v>0</v>
      </c>
    </row>
    <row r="2863" customFormat="false" ht="15" hidden="false" customHeight="false" outlineLevel="0" collapsed="false">
      <c r="B2863" s="102" t="n">
        <f aca="false">'Loan Tape'!$A132</f>
        <v>0</v>
      </c>
      <c r="C2863" s="99" t="n">
        <f aca="false">-'Loan Tape'!$BB132</f>
        <v>-0</v>
      </c>
      <c r="D2863" s="99" t="n">
        <f aca="false">IF(1&gt;Hold_Yrs,0,C1954+C1045+C1348+C1651+C2257+C1348*Prepay_Pen+IF(1=Hold_Yrs,$C2560,0))</f>
        <v>0</v>
      </c>
      <c r="E2863" s="99" t="n">
        <f aca="false">IF(2&gt;Hold_Yrs,0,D1954+D1045+D1348+D1651+D2257+D1348*Prepay_Pen+IF(2=Hold_Yrs,$C2560,0))</f>
        <v>0</v>
      </c>
      <c r="F2863" s="99" t="n">
        <f aca="false">IF(3&gt;Hold_Yrs,0,E1954+E1045+E1348+E1651+E2257+E1348*Prepay_Pen+IF(3=Hold_Yrs,$C2560,0))</f>
        <v>0</v>
      </c>
      <c r="G2863" s="99" t="n">
        <f aca="false">IF(4&gt;Hold_Yrs,0,F1954+F1045+F1348+F1651+F2257+F1348*Prepay_Pen+IF(4=Hold_Yrs,$C2560,0))</f>
        <v>0</v>
      </c>
      <c r="H2863" s="99" t="n">
        <f aca="false">IF(5&gt;Hold_Yrs,0,G1954+G1045+G1348+G1651+G2257+G1348*Prepay_Pen+IF(5=Hold_Yrs,$C2560,0))</f>
        <v>0</v>
      </c>
      <c r="I2863" s="99" t="n">
        <f aca="false">IF(6&gt;Hold_Yrs,0,H1954+H1045+H1348+H1651+H2257+H1348*Prepay_Pen+IF(6=Hold_Yrs,$C2560,0))</f>
        <v>0</v>
      </c>
      <c r="J2863" s="99" t="n">
        <f aca="false">IF(7&gt;Hold_Yrs,0,I1954+I1045+I1348+I1651+I2257+I1348*Prepay_Pen+IF(7=Hold_Yrs,$C2560,0))</f>
        <v>0</v>
      </c>
      <c r="K2863" s="99" t="n">
        <f aca="false">IF(8&gt;Hold_Yrs,0,J1954+J1045+J1348+J1651+J2257+J1348*Prepay_Pen+IF(8=Hold_Yrs,$C2560,0))</f>
        <v>0</v>
      </c>
      <c r="L2863" s="99" t="n">
        <f aca="false">IF(9&gt;Hold_Yrs,0,K1954+K1045+K1348+K1651+K2257+K1348*Prepay_Pen+IF(9=Hold_Yrs,$C2560,0))</f>
        <v>0</v>
      </c>
      <c r="M2863" s="99" t="n">
        <f aca="false">IF(10&gt;Hold_Yrs,0,L1954+L1045+L1348+L1651+L2257+L1348*Prepay_Pen+IF(10=Hold_Yrs,$C2560,0))</f>
        <v>0</v>
      </c>
    </row>
    <row r="2864" customFormat="false" ht="15" hidden="false" customHeight="false" outlineLevel="0" collapsed="false">
      <c r="B2864" s="108" t="n">
        <f aca="false">'Loan Tape'!$A133</f>
        <v>0</v>
      </c>
      <c r="C2864" s="71" t="n">
        <f aca="false">-'Loan Tape'!$BB133</f>
        <v>-0</v>
      </c>
      <c r="D2864" s="71" t="n">
        <f aca="false">IF(1&gt;Hold_Yrs,0,C1955+C1046+C1349+C1652+C2258+C1349*Prepay_Pen+IF(1=Hold_Yrs,$C2561,0))</f>
        <v>0</v>
      </c>
      <c r="E2864" s="71" t="n">
        <f aca="false">IF(2&gt;Hold_Yrs,0,D1955+D1046+D1349+D1652+D2258+D1349*Prepay_Pen+IF(2=Hold_Yrs,$C2561,0))</f>
        <v>0</v>
      </c>
      <c r="F2864" s="71" t="n">
        <f aca="false">IF(3&gt;Hold_Yrs,0,E1955+E1046+E1349+E1652+E2258+E1349*Prepay_Pen+IF(3=Hold_Yrs,$C2561,0))</f>
        <v>0</v>
      </c>
      <c r="G2864" s="71" t="n">
        <f aca="false">IF(4&gt;Hold_Yrs,0,F1955+F1046+F1349+F1652+F2258+F1349*Prepay_Pen+IF(4=Hold_Yrs,$C2561,0))</f>
        <v>0</v>
      </c>
      <c r="H2864" s="71" t="n">
        <f aca="false">IF(5&gt;Hold_Yrs,0,G1955+G1046+G1349+G1652+G2258+G1349*Prepay_Pen+IF(5=Hold_Yrs,$C2561,0))</f>
        <v>0</v>
      </c>
      <c r="I2864" s="71" t="n">
        <f aca="false">IF(6&gt;Hold_Yrs,0,H1955+H1046+H1349+H1652+H2258+H1349*Prepay_Pen+IF(6=Hold_Yrs,$C2561,0))</f>
        <v>0</v>
      </c>
      <c r="J2864" s="71" t="n">
        <f aca="false">IF(7&gt;Hold_Yrs,0,I1955+I1046+I1349+I1652+I2258+I1349*Prepay_Pen+IF(7=Hold_Yrs,$C2561,0))</f>
        <v>0</v>
      </c>
      <c r="K2864" s="71" t="n">
        <f aca="false">IF(8&gt;Hold_Yrs,0,J1955+J1046+J1349+J1652+J2258+J1349*Prepay_Pen+IF(8=Hold_Yrs,$C2561,0))</f>
        <v>0</v>
      </c>
      <c r="L2864" s="71" t="n">
        <f aca="false">IF(9&gt;Hold_Yrs,0,K1955+K1046+K1349+K1652+K2258+K1349*Prepay_Pen+IF(9=Hold_Yrs,$C2561,0))</f>
        <v>0</v>
      </c>
      <c r="M2864" s="71" t="n">
        <f aca="false">IF(10&gt;Hold_Yrs,0,L1955+L1046+L1349+L1652+L2258+L1349*Prepay_Pen+IF(10=Hold_Yrs,$C2561,0))</f>
        <v>0</v>
      </c>
    </row>
    <row r="2865" customFormat="false" ht="15" hidden="false" customHeight="false" outlineLevel="0" collapsed="false">
      <c r="B2865" s="102" t="n">
        <f aca="false">'Loan Tape'!$A134</f>
        <v>0</v>
      </c>
      <c r="C2865" s="99" t="n">
        <f aca="false">-'Loan Tape'!$BB134</f>
        <v>-0</v>
      </c>
      <c r="D2865" s="99" t="n">
        <f aca="false">IF(1&gt;Hold_Yrs,0,C1956+C1047+C1350+C1653+C2259+C1350*Prepay_Pen+IF(1=Hold_Yrs,$C2562,0))</f>
        <v>0</v>
      </c>
      <c r="E2865" s="99" t="n">
        <f aca="false">IF(2&gt;Hold_Yrs,0,D1956+D1047+D1350+D1653+D2259+D1350*Prepay_Pen+IF(2=Hold_Yrs,$C2562,0))</f>
        <v>0</v>
      </c>
      <c r="F2865" s="99" t="n">
        <f aca="false">IF(3&gt;Hold_Yrs,0,E1956+E1047+E1350+E1653+E2259+E1350*Prepay_Pen+IF(3=Hold_Yrs,$C2562,0))</f>
        <v>0</v>
      </c>
      <c r="G2865" s="99" t="n">
        <f aca="false">IF(4&gt;Hold_Yrs,0,F1956+F1047+F1350+F1653+F2259+F1350*Prepay_Pen+IF(4=Hold_Yrs,$C2562,0))</f>
        <v>0</v>
      </c>
      <c r="H2865" s="99" t="n">
        <f aca="false">IF(5&gt;Hold_Yrs,0,G1956+G1047+G1350+G1653+G2259+G1350*Prepay_Pen+IF(5=Hold_Yrs,$C2562,0))</f>
        <v>0</v>
      </c>
      <c r="I2865" s="99" t="n">
        <f aca="false">IF(6&gt;Hold_Yrs,0,H1956+H1047+H1350+H1653+H2259+H1350*Prepay_Pen+IF(6=Hold_Yrs,$C2562,0))</f>
        <v>0</v>
      </c>
      <c r="J2865" s="99" t="n">
        <f aca="false">IF(7&gt;Hold_Yrs,0,I1956+I1047+I1350+I1653+I2259+I1350*Prepay_Pen+IF(7=Hold_Yrs,$C2562,0))</f>
        <v>0</v>
      </c>
      <c r="K2865" s="99" t="n">
        <f aca="false">IF(8&gt;Hold_Yrs,0,J1956+J1047+J1350+J1653+J2259+J1350*Prepay_Pen+IF(8=Hold_Yrs,$C2562,0))</f>
        <v>0</v>
      </c>
      <c r="L2865" s="99" t="n">
        <f aca="false">IF(9&gt;Hold_Yrs,0,K1956+K1047+K1350+K1653+K2259+K1350*Prepay_Pen+IF(9=Hold_Yrs,$C2562,0))</f>
        <v>0</v>
      </c>
      <c r="M2865" s="99" t="n">
        <f aca="false">IF(10&gt;Hold_Yrs,0,L1956+L1047+L1350+L1653+L2259+L1350*Prepay_Pen+IF(10=Hold_Yrs,$C2562,0))</f>
        <v>0</v>
      </c>
    </row>
    <row r="2866" customFormat="false" ht="15" hidden="false" customHeight="false" outlineLevel="0" collapsed="false">
      <c r="B2866" s="108" t="n">
        <f aca="false">'Loan Tape'!$A135</f>
        <v>0</v>
      </c>
      <c r="C2866" s="71" t="n">
        <f aca="false">-'Loan Tape'!$BB135</f>
        <v>-0</v>
      </c>
      <c r="D2866" s="71" t="n">
        <f aca="false">IF(1&gt;Hold_Yrs,0,C1957+C1048+C1351+C1654+C2260+C1351*Prepay_Pen+IF(1=Hold_Yrs,$C2563,0))</f>
        <v>0</v>
      </c>
      <c r="E2866" s="71" t="n">
        <f aca="false">IF(2&gt;Hold_Yrs,0,D1957+D1048+D1351+D1654+D2260+D1351*Prepay_Pen+IF(2=Hold_Yrs,$C2563,0))</f>
        <v>0</v>
      </c>
      <c r="F2866" s="71" t="n">
        <f aca="false">IF(3&gt;Hold_Yrs,0,E1957+E1048+E1351+E1654+E2260+E1351*Prepay_Pen+IF(3=Hold_Yrs,$C2563,0))</f>
        <v>0</v>
      </c>
      <c r="G2866" s="71" t="n">
        <f aca="false">IF(4&gt;Hold_Yrs,0,F1957+F1048+F1351+F1654+F2260+F1351*Prepay_Pen+IF(4=Hold_Yrs,$C2563,0))</f>
        <v>0</v>
      </c>
      <c r="H2866" s="71" t="n">
        <f aca="false">IF(5&gt;Hold_Yrs,0,G1957+G1048+G1351+G1654+G2260+G1351*Prepay_Pen+IF(5=Hold_Yrs,$C2563,0))</f>
        <v>0</v>
      </c>
      <c r="I2866" s="71" t="n">
        <f aca="false">IF(6&gt;Hold_Yrs,0,H1957+H1048+H1351+H1654+H2260+H1351*Prepay_Pen+IF(6=Hold_Yrs,$C2563,0))</f>
        <v>0</v>
      </c>
      <c r="J2866" s="71" t="n">
        <f aca="false">IF(7&gt;Hold_Yrs,0,I1957+I1048+I1351+I1654+I2260+I1351*Prepay_Pen+IF(7=Hold_Yrs,$C2563,0))</f>
        <v>0</v>
      </c>
      <c r="K2866" s="71" t="n">
        <f aca="false">IF(8&gt;Hold_Yrs,0,J1957+J1048+J1351+J1654+J2260+J1351*Prepay_Pen+IF(8=Hold_Yrs,$C2563,0))</f>
        <v>0</v>
      </c>
      <c r="L2866" s="71" t="n">
        <f aca="false">IF(9&gt;Hold_Yrs,0,K1957+K1048+K1351+K1654+K2260+K1351*Prepay_Pen+IF(9=Hold_Yrs,$C2563,0))</f>
        <v>0</v>
      </c>
      <c r="M2866" s="71" t="n">
        <f aca="false">IF(10&gt;Hold_Yrs,0,L1957+L1048+L1351+L1654+L2260+L1351*Prepay_Pen+IF(10=Hold_Yrs,$C2563,0))</f>
        <v>0</v>
      </c>
    </row>
    <row r="2867" customFormat="false" ht="15" hidden="false" customHeight="false" outlineLevel="0" collapsed="false">
      <c r="B2867" s="102" t="n">
        <f aca="false">'Loan Tape'!$A136</f>
        <v>0</v>
      </c>
      <c r="C2867" s="99" t="n">
        <f aca="false">-'Loan Tape'!$BB136</f>
        <v>-0</v>
      </c>
      <c r="D2867" s="99" t="n">
        <f aca="false">IF(1&gt;Hold_Yrs,0,C1958+C1049+C1352+C1655+C2261+C1352*Prepay_Pen+IF(1=Hold_Yrs,$C2564,0))</f>
        <v>0</v>
      </c>
      <c r="E2867" s="99" t="n">
        <f aca="false">IF(2&gt;Hold_Yrs,0,D1958+D1049+D1352+D1655+D2261+D1352*Prepay_Pen+IF(2=Hold_Yrs,$C2564,0))</f>
        <v>0</v>
      </c>
      <c r="F2867" s="99" t="n">
        <f aca="false">IF(3&gt;Hold_Yrs,0,E1958+E1049+E1352+E1655+E2261+E1352*Prepay_Pen+IF(3=Hold_Yrs,$C2564,0))</f>
        <v>0</v>
      </c>
      <c r="G2867" s="99" t="n">
        <f aca="false">IF(4&gt;Hold_Yrs,0,F1958+F1049+F1352+F1655+F2261+F1352*Prepay_Pen+IF(4=Hold_Yrs,$C2564,0))</f>
        <v>0</v>
      </c>
      <c r="H2867" s="99" t="n">
        <f aca="false">IF(5&gt;Hold_Yrs,0,G1958+G1049+G1352+G1655+G2261+G1352*Prepay_Pen+IF(5=Hold_Yrs,$C2564,0))</f>
        <v>0</v>
      </c>
      <c r="I2867" s="99" t="n">
        <f aca="false">IF(6&gt;Hold_Yrs,0,H1958+H1049+H1352+H1655+H2261+H1352*Prepay_Pen+IF(6=Hold_Yrs,$C2564,0))</f>
        <v>0</v>
      </c>
      <c r="J2867" s="99" t="n">
        <f aca="false">IF(7&gt;Hold_Yrs,0,I1958+I1049+I1352+I1655+I2261+I1352*Prepay_Pen+IF(7=Hold_Yrs,$C2564,0))</f>
        <v>0</v>
      </c>
      <c r="K2867" s="99" t="n">
        <f aca="false">IF(8&gt;Hold_Yrs,0,J1958+J1049+J1352+J1655+J2261+J1352*Prepay_Pen+IF(8=Hold_Yrs,$C2564,0))</f>
        <v>0</v>
      </c>
      <c r="L2867" s="99" t="n">
        <f aca="false">IF(9&gt;Hold_Yrs,0,K1958+K1049+K1352+K1655+K2261+K1352*Prepay_Pen+IF(9=Hold_Yrs,$C2564,0))</f>
        <v>0</v>
      </c>
      <c r="M2867" s="99" t="n">
        <f aca="false">IF(10&gt;Hold_Yrs,0,L1958+L1049+L1352+L1655+L2261+L1352*Prepay_Pen+IF(10=Hold_Yrs,$C2564,0))</f>
        <v>0</v>
      </c>
    </row>
    <row r="2868" customFormat="false" ht="15" hidden="false" customHeight="false" outlineLevel="0" collapsed="false">
      <c r="B2868" s="108" t="n">
        <f aca="false">'Loan Tape'!$A137</f>
        <v>0</v>
      </c>
      <c r="C2868" s="71" t="n">
        <f aca="false">-'Loan Tape'!$BB137</f>
        <v>-0</v>
      </c>
      <c r="D2868" s="71" t="n">
        <f aca="false">IF(1&gt;Hold_Yrs,0,C1959+C1050+C1353+C1656+C2262+C1353*Prepay_Pen+IF(1=Hold_Yrs,$C2565,0))</f>
        <v>0</v>
      </c>
      <c r="E2868" s="71" t="n">
        <f aca="false">IF(2&gt;Hold_Yrs,0,D1959+D1050+D1353+D1656+D2262+D1353*Prepay_Pen+IF(2=Hold_Yrs,$C2565,0))</f>
        <v>0</v>
      </c>
      <c r="F2868" s="71" t="n">
        <f aca="false">IF(3&gt;Hold_Yrs,0,E1959+E1050+E1353+E1656+E2262+E1353*Prepay_Pen+IF(3=Hold_Yrs,$C2565,0))</f>
        <v>0</v>
      </c>
      <c r="G2868" s="71" t="n">
        <f aca="false">IF(4&gt;Hold_Yrs,0,F1959+F1050+F1353+F1656+F2262+F1353*Prepay_Pen+IF(4=Hold_Yrs,$C2565,0))</f>
        <v>0</v>
      </c>
      <c r="H2868" s="71" t="n">
        <f aca="false">IF(5&gt;Hold_Yrs,0,G1959+G1050+G1353+G1656+G2262+G1353*Prepay_Pen+IF(5=Hold_Yrs,$C2565,0))</f>
        <v>0</v>
      </c>
      <c r="I2868" s="71" t="n">
        <f aca="false">IF(6&gt;Hold_Yrs,0,H1959+H1050+H1353+H1656+H2262+H1353*Prepay_Pen+IF(6=Hold_Yrs,$C2565,0))</f>
        <v>0</v>
      </c>
      <c r="J2868" s="71" t="n">
        <f aca="false">IF(7&gt;Hold_Yrs,0,I1959+I1050+I1353+I1656+I2262+I1353*Prepay_Pen+IF(7=Hold_Yrs,$C2565,0))</f>
        <v>0</v>
      </c>
      <c r="K2868" s="71" t="n">
        <f aca="false">IF(8&gt;Hold_Yrs,0,J1959+J1050+J1353+J1656+J2262+J1353*Prepay_Pen+IF(8=Hold_Yrs,$C2565,0))</f>
        <v>0</v>
      </c>
      <c r="L2868" s="71" t="n">
        <f aca="false">IF(9&gt;Hold_Yrs,0,K1959+K1050+K1353+K1656+K2262+K1353*Prepay_Pen+IF(9=Hold_Yrs,$C2565,0))</f>
        <v>0</v>
      </c>
      <c r="M2868" s="71" t="n">
        <f aca="false">IF(10&gt;Hold_Yrs,0,L1959+L1050+L1353+L1656+L2262+L1353*Prepay_Pen+IF(10=Hold_Yrs,$C2565,0))</f>
        <v>0</v>
      </c>
    </row>
    <row r="2869" customFormat="false" ht="15" hidden="false" customHeight="false" outlineLevel="0" collapsed="false">
      <c r="B2869" s="102" t="n">
        <f aca="false">'Loan Tape'!$A138</f>
        <v>0</v>
      </c>
      <c r="C2869" s="99" t="n">
        <f aca="false">-'Loan Tape'!$BB138</f>
        <v>-0</v>
      </c>
      <c r="D2869" s="99" t="n">
        <f aca="false">IF(1&gt;Hold_Yrs,0,C1960+C1051+C1354+C1657+C2263+C1354*Prepay_Pen+IF(1=Hold_Yrs,$C2566,0))</f>
        <v>0</v>
      </c>
      <c r="E2869" s="99" t="n">
        <f aca="false">IF(2&gt;Hold_Yrs,0,D1960+D1051+D1354+D1657+D2263+D1354*Prepay_Pen+IF(2=Hold_Yrs,$C2566,0))</f>
        <v>0</v>
      </c>
      <c r="F2869" s="99" t="n">
        <f aca="false">IF(3&gt;Hold_Yrs,0,E1960+E1051+E1354+E1657+E2263+E1354*Prepay_Pen+IF(3=Hold_Yrs,$C2566,0))</f>
        <v>0</v>
      </c>
      <c r="G2869" s="99" t="n">
        <f aca="false">IF(4&gt;Hold_Yrs,0,F1960+F1051+F1354+F1657+F2263+F1354*Prepay_Pen+IF(4=Hold_Yrs,$C2566,0))</f>
        <v>0</v>
      </c>
      <c r="H2869" s="99" t="n">
        <f aca="false">IF(5&gt;Hold_Yrs,0,G1960+G1051+G1354+G1657+G2263+G1354*Prepay_Pen+IF(5=Hold_Yrs,$C2566,0))</f>
        <v>0</v>
      </c>
      <c r="I2869" s="99" t="n">
        <f aca="false">IF(6&gt;Hold_Yrs,0,H1960+H1051+H1354+H1657+H2263+H1354*Prepay_Pen+IF(6=Hold_Yrs,$C2566,0))</f>
        <v>0</v>
      </c>
      <c r="J2869" s="99" t="n">
        <f aca="false">IF(7&gt;Hold_Yrs,0,I1960+I1051+I1354+I1657+I2263+I1354*Prepay_Pen+IF(7=Hold_Yrs,$C2566,0))</f>
        <v>0</v>
      </c>
      <c r="K2869" s="99" t="n">
        <f aca="false">IF(8&gt;Hold_Yrs,0,J1960+J1051+J1354+J1657+J2263+J1354*Prepay_Pen+IF(8=Hold_Yrs,$C2566,0))</f>
        <v>0</v>
      </c>
      <c r="L2869" s="99" t="n">
        <f aca="false">IF(9&gt;Hold_Yrs,0,K1960+K1051+K1354+K1657+K2263+K1354*Prepay_Pen+IF(9=Hold_Yrs,$C2566,0))</f>
        <v>0</v>
      </c>
      <c r="M2869" s="99" t="n">
        <f aca="false">IF(10&gt;Hold_Yrs,0,L1960+L1051+L1354+L1657+L2263+L1354*Prepay_Pen+IF(10=Hold_Yrs,$C2566,0))</f>
        <v>0</v>
      </c>
    </row>
    <row r="2870" customFormat="false" ht="15" hidden="false" customHeight="false" outlineLevel="0" collapsed="false">
      <c r="B2870" s="108" t="n">
        <f aca="false">'Loan Tape'!$A139</f>
        <v>0</v>
      </c>
      <c r="C2870" s="71" t="n">
        <f aca="false">-'Loan Tape'!$BB139</f>
        <v>-0</v>
      </c>
      <c r="D2870" s="71" t="n">
        <f aca="false">IF(1&gt;Hold_Yrs,0,C1961+C1052+C1355+C1658+C2264+C1355*Prepay_Pen+IF(1=Hold_Yrs,$C2567,0))</f>
        <v>0</v>
      </c>
      <c r="E2870" s="71" t="n">
        <f aca="false">IF(2&gt;Hold_Yrs,0,D1961+D1052+D1355+D1658+D2264+D1355*Prepay_Pen+IF(2=Hold_Yrs,$C2567,0))</f>
        <v>0</v>
      </c>
      <c r="F2870" s="71" t="n">
        <f aca="false">IF(3&gt;Hold_Yrs,0,E1961+E1052+E1355+E1658+E2264+E1355*Prepay_Pen+IF(3=Hold_Yrs,$C2567,0))</f>
        <v>0</v>
      </c>
      <c r="G2870" s="71" t="n">
        <f aca="false">IF(4&gt;Hold_Yrs,0,F1961+F1052+F1355+F1658+F2264+F1355*Prepay_Pen+IF(4=Hold_Yrs,$C2567,0))</f>
        <v>0</v>
      </c>
      <c r="H2870" s="71" t="n">
        <f aca="false">IF(5&gt;Hold_Yrs,0,G1961+G1052+G1355+G1658+G2264+G1355*Prepay_Pen+IF(5=Hold_Yrs,$C2567,0))</f>
        <v>0</v>
      </c>
      <c r="I2870" s="71" t="n">
        <f aca="false">IF(6&gt;Hold_Yrs,0,H1961+H1052+H1355+H1658+H2264+H1355*Prepay_Pen+IF(6=Hold_Yrs,$C2567,0))</f>
        <v>0</v>
      </c>
      <c r="J2870" s="71" t="n">
        <f aca="false">IF(7&gt;Hold_Yrs,0,I1961+I1052+I1355+I1658+I2264+I1355*Prepay_Pen+IF(7=Hold_Yrs,$C2567,0))</f>
        <v>0</v>
      </c>
      <c r="K2870" s="71" t="n">
        <f aca="false">IF(8&gt;Hold_Yrs,0,J1961+J1052+J1355+J1658+J2264+J1355*Prepay_Pen+IF(8=Hold_Yrs,$C2567,0))</f>
        <v>0</v>
      </c>
      <c r="L2870" s="71" t="n">
        <f aca="false">IF(9&gt;Hold_Yrs,0,K1961+K1052+K1355+K1658+K2264+K1355*Prepay_Pen+IF(9=Hold_Yrs,$C2567,0))</f>
        <v>0</v>
      </c>
      <c r="M2870" s="71" t="n">
        <f aca="false">IF(10&gt;Hold_Yrs,0,L1961+L1052+L1355+L1658+L2264+L1355*Prepay_Pen+IF(10=Hold_Yrs,$C2567,0))</f>
        <v>0</v>
      </c>
    </row>
    <row r="2871" customFormat="false" ht="15" hidden="false" customHeight="false" outlineLevel="0" collapsed="false">
      <c r="B2871" s="102" t="n">
        <f aca="false">'Loan Tape'!$A140</f>
        <v>0</v>
      </c>
      <c r="C2871" s="99" t="n">
        <f aca="false">-'Loan Tape'!$BB140</f>
        <v>-0</v>
      </c>
      <c r="D2871" s="99" t="n">
        <f aca="false">IF(1&gt;Hold_Yrs,0,C1962+C1053+C1356+C1659+C2265+C1356*Prepay_Pen+IF(1=Hold_Yrs,$C2568,0))</f>
        <v>0</v>
      </c>
      <c r="E2871" s="99" t="n">
        <f aca="false">IF(2&gt;Hold_Yrs,0,D1962+D1053+D1356+D1659+D2265+D1356*Prepay_Pen+IF(2=Hold_Yrs,$C2568,0))</f>
        <v>0</v>
      </c>
      <c r="F2871" s="99" t="n">
        <f aca="false">IF(3&gt;Hold_Yrs,0,E1962+E1053+E1356+E1659+E2265+E1356*Prepay_Pen+IF(3=Hold_Yrs,$C2568,0))</f>
        <v>0</v>
      </c>
      <c r="G2871" s="99" t="n">
        <f aca="false">IF(4&gt;Hold_Yrs,0,F1962+F1053+F1356+F1659+F2265+F1356*Prepay_Pen+IF(4=Hold_Yrs,$C2568,0))</f>
        <v>0</v>
      </c>
      <c r="H2871" s="99" t="n">
        <f aca="false">IF(5&gt;Hold_Yrs,0,G1962+G1053+G1356+G1659+G2265+G1356*Prepay_Pen+IF(5=Hold_Yrs,$C2568,0))</f>
        <v>0</v>
      </c>
      <c r="I2871" s="99" t="n">
        <f aca="false">IF(6&gt;Hold_Yrs,0,H1962+H1053+H1356+H1659+H2265+H1356*Prepay_Pen+IF(6=Hold_Yrs,$C2568,0))</f>
        <v>0</v>
      </c>
      <c r="J2871" s="99" t="n">
        <f aca="false">IF(7&gt;Hold_Yrs,0,I1962+I1053+I1356+I1659+I2265+I1356*Prepay_Pen+IF(7=Hold_Yrs,$C2568,0))</f>
        <v>0</v>
      </c>
      <c r="K2871" s="99" t="n">
        <f aca="false">IF(8&gt;Hold_Yrs,0,J1962+J1053+J1356+J1659+J2265+J1356*Prepay_Pen+IF(8=Hold_Yrs,$C2568,0))</f>
        <v>0</v>
      </c>
      <c r="L2871" s="99" t="n">
        <f aca="false">IF(9&gt;Hold_Yrs,0,K1962+K1053+K1356+K1659+K2265+K1356*Prepay_Pen+IF(9=Hold_Yrs,$C2568,0))</f>
        <v>0</v>
      </c>
      <c r="M2871" s="99" t="n">
        <f aca="false">IF(10&gt;Hold_Yrs,0,L1962+L1053+L1356+L1659+L2265+L1356*Prepay_Pen+IF(10=Hold_Yrs,$C2568,0))</f>
        <v>0</v>
      </c>
    </row>
    <row r="2872" customFormat="false" ht="15" hidden="false" customHeight="false" outlineLevel="0" collapsed="false">
      <c r="B2872" s="108" t="n">
        <f aca="false">'Loan Tape'!$A141</f>
        <v>0</v>
      </c>
      <c r="C2872" s="71" t="n">
        <f aca="false">-'Loan Tape'!$BB141</f>
        <v>-0</v>
      </c>
      <c r="D2872" s="71" t="n">
        <f aca="false">IF(1&gt;Hold_Yrs,0,C1963+C1054+C1357+C1660+C2266+C1357*Prepay_Pen+IF(1=Hold_Yrs,$C2569,0))</f>
        <v>0</v>
      </c>
      <c r="E2872" s="71" t="n">
        <f aca="false">IF(2&gt;Hold_Yrs,0,D1963+D1054+D1357+D1660+D2266+D1357*Prepay_Pen+IF(2=Hold_Yrs,$C2569,0))</f>
        <v>0</v>
      </c>
      <c r="F2872" s="71" t="n">
        <f aca="false">IF(3&gt;Hold_Yrs,0,E1963+E1054+E1357+E1660+E2266+E1357*Prepay_Pen+IF(3=Hold_Yrs,$C2569,0))</f>
        <v>0</v>
      </c>
      <c r="G2872" s="71" t="n">
        <f aca="false">IF(4&gt;Hold_Yrs,0,F1963+F1054+F1357+F1660+F2266+F1357*Prepay_Pen+IF(4=Hold_Yrs,$C2569,0))</f>
        <v>0</v>
      </c>
      <c r="H2872" s="71" t="n">
        <f aca="false">IF(5&gt;Hold_Yrs,0,G1963+G1054+G1357+G1660+G2266+G1357*Prepay_Pen+IF(5=Hold_Yrs,$C2569,0))</f>
        <v>0</v>
      </c>
      <c r="I2872" s="71" t="n">
        <f aca="false">IF(6&gt;Hold_Yrs,0,H1963+H1054+H1357+H1660+H2266+H1357*Prepay_Pen+IF(6=Hold_Yrs,$C2569,0))</f>
        <v>0</v>
      </c>
      <c r="J2872" s="71" t="n">
        <f aca="false">IF(7&gt;Hold_Yrs,0,I1963+I1054+I1357+I1660+I2266+I1357*Prepay_Pen+IF(7=Hold_Yrs,$C2569,0))</f>
        <v>0</v>
      </c>
      <c r="K2872" s="71" t="n">
        <f aca="false">IF(8&gt;Hold_Yrs,0,J1963+J1054+J1357+J1660+J2266+J1357*Prepay_Pen+IF(8=Hold_Yrs,$C2569,0))</f>
        <v>0</v>
      </c>
      <c r="L2872" s="71" t="n">
        <f aca="false">IF(9&gt;Hold_Yrs,0,K1963+K1054+K1357+K1660+K2266+K1357*Prepay_Pen+IF(9=Hold_Yrs,$C2569,0))</f>
        <v>0</v>
      </c>
      <c r="M2872" s="71" t="n">
        <f aca="false">IF(10&gt;Hold_Yrs,0,L1963+L1054+L1357+L1660+L2266+L1357*Prepay_Pen+IF(10=Hold_Yrs,$C2569,0))</f>
        <v>0</v>
      </c>
    </row>
    <row r="2873" customFormat="false" ht="15" hidden="false" customHeight="false" outlineLevel="0" collapsed="false">
      <c r="B2873" s="102" t="n">
        <f aca="false">'Loan Tape'!$A142</f>
        <v>0</v>
      </c>
      <c r="C2873" s="99" t="n">
        <f aca="false">-'Loan Tape'!$BB142</f>
        <v>-0</v>
      </c>
      <c r="D2873" s="99" t="n">
        <f aca="false">IF(1&gt;Hold_Yrs,0,C1964+C1055+C1358+C1661+C2267+C1358*Prepay_Pen+IF(1=Hold_Yrs,$C2570,0))</f>
        <v>0</v>
      </c>
      <c r="E2873" s="99" t="n">
        <f aca="false">IF(2&gt;Hold_Yrs,0,D1964+D1055+D1358+D1661+D2267+D1358*Prepay_Pen+IF(2=Hold_Yrs,$C2570,0))</f>
        <v>0</v>
      </c>
      <c r="F2873" s="99" t="n">
        <f aca="false">IF(3&gt;Hold_Yrs,0,E1964+E1055+E1358+E1661+E2267+E1358*Prepay_Pen+IF(3=Hold_Yrs,$C2570,0))</f>
        <v>0</v>
      </c>
      <c r="G2873" s="99" t="n">
        <f aca="false">IF(4&gt;Hold_Yrs,0,F1964+F1055+F1358+F1661+F2267+F1358*Prepay_Pen+IF(4=Hold_Yrs,$C2570,0))</f>
        <v>0</v>
      </c>
      <c r="H2873" s="99" t="n">
        <f aca="false">IF(5&gt;Hold_Yrs,0,G1964+G1055+G1358+G1661+G2267+G1358*Prepay_Pen+IF(5=Hold_Yrs,$C2570,0))</f>
        <v>0</v>
      </c>
      <c r="I2873" s="99" t="n">
        <f aca="false">IF(6&gt;Hold_Yrs,0,H1964+H1055+H1358+H1661+H2267+H1358*Prepay_Pen+IF(6=Hold_Yrs,$C2570,0))</f>
        <v>0</v>
      </c>
      <c r="J2873" s="99" t="n">
        <f aca="false">IF(7&gt;Hold_Yrs,0,I1964+I1055+I1358+I1661+I2267+I1358*Prepay_Pen+IF(7=Hold_Yrs,$C2570,0))</f>
        <v>0</v>
      </c>
      <c r="K2873" s="99" t="n">
        <f aca="false">IF(8&gt;Hold_Yrs,0,J1964+J1055+J1358+J1661+J2267+J1358*Prepay_Pen+IF(8=Hold_Yrs,$C2570,0))</f>
        <v>0</v>
      </c>
      <c r="L2873" s="99" t="n">
        <f aca="false">IF(9&gt;Hold_Yrs,0,K1964+K1055+K1358+K1661+K2267+K1358*Prepay_Pen+IF(9=Hold_Yrs,$C2570,0))</f>
        <v>0</v>
      </c>
      <c r="M2873" s="99" t="n">
        <f aca="false">IF(10&gt;Hold_Yrs,0,L1964+L1055+L1358+L1661+L2267+L1358*Prepay_Pen+IF(10=Hold_Yrs,$C2570,0))</f>
        <v>0</v>
      </c>
    </row>
    <row r="2874" customFormat="false" ht="15" hidden="false" customHeight="false" outlineLevel="0" collapsed="false">
      <c r="B2874" s="108" t="n">
        <f aca="false">'Loan Tape'!$A143</f>
        <v>0</v>
      </c>
      <c r="C2874" s="71" t="n">
        <f aca="false">-'Loan Tape'!$BB143</f>
        <v>-0</v>
      </c>
      <c r="D2874" s="71" t="n">
        <f aca="false">IF(1&gt;Hold_Yrs,0,C1965+C1056+C1359+C1662+C2268+C1359*Prepay_Pen+IF(1=Hold_Yrs,$C2571,0))</f>
        <v>0</v>
      </c>
      <c r="E2874" s="71" t="n">
        <f aca="false">IF(2&gt;Hold_Yrs,0,D1965+D1056+D1359+D1662+D2268+D1359*Prepay_Pen+IF(2=Hold_Yrs,$C2571,0))</f>
        <v>0</v>
      </c>
      <c r="F2874" s="71" t="n">
        <f aca="false">IF(3&gt;Hold_Yrs,0,E1965+E1056+E1359+E1662+E2268+E1359*Prepay_Pen+IF(3=Hold_Yrs,$C2571,0))</f>
        <v>0</v>
      </c>
      <c r="G2874" s="71" t="n">
        <f aca="false">IF(4&gt;Hold_Yrs,0,F1965+F1056+F1359+F1662+F2268+F1359*Prepay_Pen+IF(4=Hold_Yrs,$C2571,0))</f>
        <v>0</v>
      </c>
      <c r="H2874" s="71" t="n">
        <f aca="false">IF(5&gt;Hold_Yrs,0,G1965+G1056+G1359+G1662+G2268+G1359*Prepay_Pen+IF(5=Hold_Yrs,$C2571,0))</f>
        <v>0</v>
      </c>
      <c r="I2874" s="71" t="n">
        <f aca="false">IF(6&gt;Hold_Yrs,0,H1965+H1056+H1359+H1662+H2268+H1359*Prepay_Pen+IF(6=Hold_Yrs,$C2571,0))</f>
        <v>0</v>
      </c>
      <c r="J2874" s="71" t="n">
        <f aca="false">IF(7&gt;Hold_Yrs,0,I1965+I1056+I1359+I1662+I2268+I1359*Prepay_Pen+IF(7=Hold_Yrs,$C2571,0))</f>
        <v>0</v>
      </c>
      <c r="K2874" s="71" t="n">
        <f aca="false">IF(8&gt;Hold_Yrs,0,J1965+J1056+J1359+J1662+J2268+J1359*Prepay_Pen+IF(8=Hold_Yrs,$C2571,0))</f>
        <v>0</v>
      </c>
      <c r="L2874" s="71" t="n">
        <f aca="false">IF(9&gt;Hold_Yrs,0,K1965+K1056+K1359+K1662+K2268+K1359*Prepay_Pen+IF(9=Hold_Yrs,$C2571,0))</f>
        <v>0</v>
      </c>
      <c r="M2874" s="71" t="n">
        <f aca="false">IF(10&gt;Hold_Yrs,0,L1965+L1056+L1359+L1662+L2268+L1359*Prepay_Pen+IF(10=Hold_Yrs,$C2571,0))</f>
        <v>0</v>
      </c>
    </row>
    <row r="2875" customFormat="false" ht="15" hidden="false" customHeight="false" outlineLevel="0" collapsed="false">
      <c r="B2875" s="102" t="n">
        <f aca="false">'Loan Tape'!$A144</f>
        <v>0</v>
      </c>
      <c r="C2875" s="99" t="n">
        <f aca="false">-'Loan Tape'!$BB144</f>
        <v>-0</v>
      </c>
      <c r="D2875" s="99" t="n">
        <f aca="false">IF(1&gt;Hold_Yrs,0,C1966+C1057+C1360+C1663+C2269+C1360*Prepay_Pen+IF(1=Hold_Yrs,$C2572,0))</f>
        <v>0</v>
      </c>
      <c r="E2875" s="99" t="n">
        <f aca="false">IF(2&gt;Hold_Yrs,0,D1966+D1057+D1360+D1663+D2269+D1360*Prepay_Pen+IF(2=Hold_Yrs,$C2572,0))</f>
        <v>0</v>
      </c>
      <c r="F2875" s="99" t="n">
        <f aca="false">IF(3&gt;Hold_Yrs,0,E1966+E1057+E1360+E1663+E2269+E1360*Prepay_Pen+IF(3=Hold_Yrs,$C2572,0))</f>
        <v>0</v>
      </c>
      <c r="G2875" s="99" t="n">
        <f aca="false">IF(4&gt;Hold_Yrs,0,F1966+F1057+F1360+F1663+F2269+F1360*Prepay_Pen+IF(4=Hold_Yrs,$C2572,0))</f>
        <v>0</v>
      </c>
      <c r="H2875" s="99" t="n">
        <f aca="false">IF(5&gt;Hold_Yrs,0,G1966+G1057+G1360+G1663+G2269+G1360*Prepay_Pen+IF(5=Hold_Yrs,$C2572,0))</f>
        <v>0</v>
      </c>
      <c r="I2875" s="99" t="n">
        <f aca="false">IF(6&gt;Hold_Yrs,0,H1966+H1057+H1360+H1663+H2269+H1360*Prepay_Pen+IF(6=Hold_Yrs,$C2572,0))</f>
        <v>0</v>
      </c>
      <c r="J2875" s="99" t="n">
        <f aca="false">IF(7&gt;Hold_Yrs,0,I1966+I1057+I1360+I1663+I2269+I1360*Prepay_Pen+IF(7=Hold_Yrs,$C2572,0))</f>
        <v>0</v>
      </c>
      <c r="K2875" s="99" t="n">
        <f aca="false">IF(8&gt;Hold_Yrs,0,J1966+J1057+J1360+J1663+J2269+J1360*Prepay_Pen+IF(8=Hold_Yrs,$C2572,0))</f>
        <v>0</v>
      </c>
      <c r="L2875" s="99" t="n">
        <f aca="false">IF(9&gt;Hold_Yrs,0,K1966+K1057+K1360+K1663+K2269+K1360*Prepay_Pen+IF(9=Hold_Yrs,$C2572,0))</f>
        <v>0</v>
      </c>
      <c r="M2875" s="99" t="n">
        <f aca="false">IF(10&gt;Hold_Yrs,0,L1966+L1057+L1360+L1663+L2269+L1360*Prepay_Pen+IF(10=Hold_Yrs,$C2572,0))</f>
        <v>0</v>
      </c>
    </row>
    <row r="2876" customFormat="false" ht="15" hidden="false" customHeight="false" outlineLevel="0" collapsed="false">
      <c r="B2876" s="108" t="n">
        <f aca="false">'Loan Tape'!$A145</f>
        <v>0</v>
      </c>
      <c r="C2876" s="71" t="n">
        <f aca="false">-'Loan Tape'!$BB145</f>
        <v>-0</v>
      </c>
      <c r="D2876" s="71" t="n">
        <f aca="false">IF(1&gt;Hold_Yrs,0,C1967+C1058+C1361+C1664+C2270+C1361*Prepay_Pen+IF(1=Hold_Yrs,$C2573,0))</f>
        <v>0</v>
      </c>
      <c r="E2876" s="71" t="n">
        <f aca="false">IF(2&gt;Hold_Yrs,0,D1967+D1058+D1361+D1664+D2270+D1361*Prepay_Pen+IF(2=Hold_Yrs,$C2573,0))</f>
        <v>0</v>
      </c>
      <c r="F2876" s="71" t="n">
        <f aca="false">IF(3&gt;Hold_Yrs,0,E1967+E1058+E1361+E1664+E2270+E1361*Prepay_Pen+IF(3=Hold_Yrs,$C2573,0))</f>
        <v>0</v>
      </c>
      <c r="G2876" s="71" t="n">
        <f aca="false">IF(4&gt;Hold_Yrs,0,F1967+F1058+F1361+F1664+F2270+F1361*Prepay_Pen+IF(4=Hold_Yrs,$C2573,0))</f>
        <v>0</v>
      </c>
      <c r="H2876" s="71" t="n">
        <f aca="false">IF(5&gt;Hold_Yrs,0,G1967+G1058+G1361+G1664+G2270+G1361*Prepay_Pen+IF(5=Hold_Yrs,$C2573,0))</f>
        <v>0</v>
      </c>
      <c r="I2876" s="71" t="n">
        <f aca="false">IF(6&gt;Hold_Yrs,0,H1967+H1058+H1361+H1664+H2270+H1361*Prepay_Pen+IF(6=Hold_Yrs,$C2573,0))</f>
        <v>0</v>
      </c>
      <c r="J2876" s="71" t="n">
        <f aca="false">IF(7&gt;Hold_Yrs,0,I1967+I1058+I1361+I1664+I2270+I1361*Prepay_Pen+IF(7=Hold_Yrs,$C2573,0))</f>
        <v>0</v>
      </c>
      <c r="K2876" s="71" t="n">
        <f aca="false">IF(8&gt;Hold_Yrs,0,J1967+J1058+J1361+J1664+J2270+J1361*Prepay_Pen+IF(8=Hold_Yrs,$C2573,0))</f>
        <v>0</v>
      </c>
      <c r="L2876" s="71" t="n">
        <f aca="false">IF(9&gt;Hold_Yrs,0,K1967+K1058+K1361+K1664+K2270+K1361*Prepay_Pen+IF(9=Hold_Yrs,$C2573,0))</f>
        <v>0</v>
      </c>
      <c r="M2876" s="71" t="n">
        <f aca="false">IF(10&gt;Hold_Yrs,0,L1967+L1058+L1361+L1664+L2270+L1361*Prepay_Pen+IF(10=Hold_Yrs,$C2573,0))</f>
        <v>0</v>
      </c>
    </row>
    <row r="2877" customFormat="false" ht="15" hidden="false" customHeight="false" outlineLevel="0" collapsed="false">
      <c r="B2877" s="102" t="n">
        <f aca="false">'Loan Tape'!$A146</f>
        <v>0</v>
      </c>
      <c r="C2877" s="99" t="n">
        <f aca="false">-'Loan Tape'!$BB146</f>
        <v>-0</v>
      </c>
      <c r="D2877" s="99" t="n">
        <f aca="false">IF(1&gt;Hold_Yrs,0,C1968+C1059+C1362+C1665+C2271+C1362*Prepay_Pen+IF(1=Hold_Yrs,$C2574,0))</f>
        <v>0</v>
      </c>
      <c r="E2877" s="99" t="n">
        <f aca="false">IF(2&gt;Hold_Yrs,0,D1968+D1059+D1362+D1665+D2271+D1362*Prepay_Pen+IF(2=Hold_Yrs,$C2574,0))</f>
        <v>0</v>
      </c>
      <c r="F2877" s="99" t="n">
        <f aca="false">IF(3&gt;Hold_Yrs,0,E1968+E1059+E1362+E1665+E2271+E1362*Prepay_Pen+IF(3=Hold_Yrs,$C2574,0))</f>
        <v>0</v>
      </c>
      <c r="G2877" s="99" t="n">
        <f aca="false">IF(4&gt;Hold_Yrs,0,F1968+F1059+F1362+F1665+F2271+F1362*Prepay_Pen+IF(4=Hold_Yrs,$C2574,0))</f>
        <v>0</v>
      </c>
      <c r="H2877" s="99" t="n">
        <f aca="false">IF(5&gt;Hold_Yrs,0,G1968+G1059+G1362+G1665+G2271+G1362*Prepay_Pen+IF(5=Hold_Yrs,$C2574,0))</f>
        <v>0</v>
      </c>
      <c r="I2877" s="99" t="n">
        <f aca="false">IF(6&gt;Hold_Yrs,0,H1968+H1059+H1362+H1665+H2271+H1362*Prepay_Pen+IF(6=Hold_Yrs,$C2574,0))</f>
        <v>0</v>
      </c>
      <c r="J2877" s="99" t="n">
        <f aca="false">IF(7&gt;Hold_Yrs,0,I1968+I1059+I1362+I1665+I2271+I1362*Prepay_Pen+IF(7=Hold_Yrs,$C2574,0))</f>
        <v>0</v>
      </c>
      <c r="K2877" s="99" t="n">
        <f aca="false">IF(8&gt;Hold_Yrs,0,J1968+J1059+J1362+J1665+J2271+J1362*Prepay_Pen+IF(8=Hold_Yrs,$C2574,0))</f>
        <v>0</v>
      </c>
      <c r="L2877" s="99" t="n">
        <f aca="false">IF(9&gt;Hold_Yrs,0,K1968+K1059+K1362+K1665+K2271+K1362*Prepay_Pen+IF(9=Hold_Yrs,$C2574,0))</f>
        <v>0</v>
      </c>
      <c r="M2877" s="99" t="n">
        <f aca="false">IF(10&gt;Hold_Yrs,0,L1968+L1059+L1362+L1665+L2271+L1362*Prepay_Pen+IF(10=Hold_Yrs,$C2574,0))</f>
        <v>0</v>
      </c>
    </row>
    <row r="2878" customFormat="false" ht="15" hidden="false" customHeight="false" outlineLevel="0" collapsed="false">
      <c r="B2878" s="108" t="n">
        <f aca="false">'Loan Tape'!$A147</f>
        <v>0</v>
      </c>
      <c r="C2878" s="71" t="n">
        <f aca="false">-'Loan Tape'!$BB147</f>
        <v>-0</v>
      </c>
      <c r="D2878" s="71" t="n">
        <f aca="false">IF(1&gt;Hold_Yrs,0,C1969+C1060+C1363+C1666+C2272+C1363*Prepay_Pen+IF(1=Hold_Yrs,$C2575,0))</f>
        <v>0</v>
      </c>
      <c r="E2878" s="71" t="n">
        <f aca="false">IF(2&gt;Hold_Yrs,0,D1969+D1060+D1363+D1666+D2272+D1363*Prepay_Pen+IF(2=Hold_Yrs,$C2575,0))</f>
        <v>0</v>
      </c>
      <c r="F2878" s="71" t="n">
        <f aca="false">IF(3&gt;Hold_Yrs,0,E1969+E1060+E1363+E1666+E2272+E1363*Prepay_Pen+IF(3=Hold_Yrs,$C2575,0))</f>
        <v>0</v>
      </c>
      <c r="G2878" s="71" t="n">
        <f aca="false">IF(4&gt;Hold_Yrs,0,F1969+F1060+F1363+F1666+F2272+F1363*Prepay_Pen+IF(4=Hold_Yrs,$C2575,0))</f>
        <v>0</v>
      </c>
      <c r="H2878" s="71" t="n">
        <f aca="false">IF(5&gt;Hold_Yrs,0,G1969+G1060+G1363+G1666+G2272+G1363*Prepay_Pen+IF(5=Hold_Yrs,$C2575,0))</f>
        <v>0</v>
      </c>
      <c r="I2878" s="71" t="n">
        <f aca="false">IF(6&gt;Hold_Yrs,0,H1969+H1060+H1363+H1666+H2272+H1363*Prepay_Pen+IF(6=Hold_Yrs,$C2575,0))</f>
        <v>0</v>
      </c>
      <c r="J2878" s="71" t="n">
        <f aca="false">IF(7&gt;Hold_Yrs,0,I1969+I1060+I1363+I1666+I2272+I1363*Prepay_Pen+IF(7=Hold_Yrs,$C2575,0))</f>
        <v>0</v>
      </c>
      <c r="K2878" s="71" t="n">
        <f aca="false">IF(8&gt;Hold_Yrs,0,J1969+J1060+J1363+J1666+J2272+J1363*Prepay_Pen+IF(8=Hold_Yrs,$C2575,0))</f>
        <v>0</v>
      </c>
      <c r="L2878" s="71" t="n">
        <f aca="false">IF(9&gt;Hold_Yrs,0,K1969+K1060+K1363+K1666+K2272+K1363*Prepay_Pen+IF(9=Hold_Yrs,$C2575,0))</f>
        <v>0</v>
      </c>
      <c r="M2878" s="71" t="n">
        <f aca="false">IF(10&gt;Hold_Yrs,0,L1969+L1060+L1363+L1666+L2272+L1363*Prepay_Pen+IF(10=Hold_Yrs,$C2575,0))</f>
        <v>0</v>
      </c>
    </row>
    <row r="2879" customFormat="false" ht="15" hidden="false" customHeight="false" outlineLevel="0" collapsed="false">
      <c r="B2879" s="102" t="n">
        <f aca="false">'Loan Tape'!$A148</f>
        <v>0</v>
      </c>
      <c r="C2879" s="99" t="n">
        <f aca="false">-'Loan Tape'!$BB148</f>
        <v>-0</v>
      </c>
      <c r="D2879" s="99" t="n">
        <f aca="false">IF(1&gt;Hold_Yrs,0,C1970+C1061+C1364+C1667+C2273+C1364*Prepay_Pen+IF(1=Hold_Yrs,$C2576,0))</f>
        <v>0</v>
      </c>
      <c r="E2879" s="99" t="n">
        <f aca="false">IF(2&gt;Hold_Yrs,0,D1970+D1061+D1364+D1667+D2273+D1364*Prepay_Pen+IF(2=Hold_Yrs,$C2576,0))</f>
        <v>0</v>
      </c>
      <c r="F2879" s="99" t="n">
        <f aca="false">IF(3&gt;Hold_Yrs,0,E1970+E1061+E1364+E1667+E2273+E1364*Prepay_Pen+IF(3=Hold_Yrs,$C2576,0))</f>
        <v>0</v>
      </c>
      <c r="G2879" s="99" t="n">
        <f aca="false">IF(4&gt;Hold_Yrs,0,F1970+F1061+F1364+F1667+F2273+F1364*Prepay_Pen+IF(4=Hold_Yrs,$C2576,0))</f>
        <v>0</v>
      </c>
      <c r="H2879" s="99" t="n">
        <f aca="false">IF(5&gt;Hold_Yrs,0,G1970+G1061+G1364+G1667+G2273+G1364*Prepay_Pen+IF(5=Hold_Yrs,$C2576,0))</f>
        <v>0</v>
      </c>
      <c r="I2879" s="99" t="n">
        <f aca="false">IF(6&gt;Hold_Yrs,0,H1970+H1061+H1364+H1667+H2273+H1364*Prepay_Pen+IF(6=Hold_Yrs,$C2576,0))</f>
        <v>0</v>
      </c>
      <c r="J2879" s="99" t="n">
        <f aca="false">IF(7&gt;Hold_Yrs,0,I1970+I1061+I1364+I1667+I2273+I1364*Prepay_Pen+IF(7=Hold_Yrs,$C2576,0))</f>
        <v>0</v>
      </c>
      <c r="K2879" s="99" t="n">
        <f aca="false">IF(8&gt;Hold_Yrs,0,J1970+J1061+J1364+J1667+J2273+J1364*Prepay_Pen+IF(8=Hold_Yrs,$C2576,0))</f>
        <v>0</v>
      </c>
      <c r="L2879" s="99" t="n">
        <f aca="false">IF(9&gt;Hold_Yrs,0,K1970+K1061+K1364+K1667+K2273+K1364*Prepay_Pen+IF(9=Hold_Yrs,$C2576,0))</f>
        <v>0</v>
      </c>
      <c r="M2879" s="99" t="n">
        <f aca="false">IF(10&gt;Hold_Yrs,0,L1970+L1061+L1364+L1667+L2273+L1364*Prepay_Pen+IF(10=Hold_Yrs,$C2576,0))</f>
        <v>0</v>
      </c>
    </row>
    <row r="2880" customFormat="false" ht="15" hidden="false" customHeight="false" outlineLevel="0" collapsed="false">
      <c r="B2880" s="108" t="n">
        <f aca="false">'Loan Tape'!$A149</f>
        <v>0</v>
      </c>
      <c r="C2880" s="71" t="n">
        <f aca="false">-'Loan Tape'!$BB149</f>
        <v>-0</v>
      </c>
      <c r="D2880" s="71" t="n">
        <f aca="false">IF(1&gt;Hold_Yrs,0,C1971+C1062+C1365+C1668+C2274+C1365*Prepay_Pen+IF(1=Hold_Yrs,$C2577,0))</f>
        <v>0</v>
      </c>
      <c r="E2880" s="71" t="n">
        <f aca="false">IF(2&gt;Hold_Yrs,0,D1971+D1062+D1365+D1668+D2274+D1365*Prepay_Pen+IF(2=Hold_Yrs,$C2577,0))</f>
        <v>0</v>
      </c>
      <c r="F2880" s="71" t="n">
        <f aca="false">IF(3&gt;Hold_Yrs,0,E1971+E1062+E1365+E1668+E2274+E1365*Prepay_Pen+IF(3=Hold_Yrs,$C2577,0))</f>
        <v>0</v>
      </c>
      <c r="G2880" s="71" t="n">
        <f aca="false">IF(4&gt;Hold_Yrs,0,F1971+F1062+F1365+F1668+F2274+F1365*Prepay_Pen+IF(4=Hold_Yrs,$C2577,0))</f>
        <v>0</v>
      </c>
      <c r="H2880" s="71" t="n">
        <f aca="false">IF(5&gt;Hold_Yrs,0,G1971+G1062+G1365+G1668+G2274+G1365*Prepay_Pen+IF(5=Hold_Yrs,$C2577,0))</f>
        <v>0</v>
      </c>
      <c r="I2880" s="71" t="n">
        <f aca="false">IF(6&gt;Hold_Yrs,0,H1971+H1062+H1365+H1668+H2274+H1365*Prepay_Pen+IF(6=Hold_Yrs,$C2577,0))</f>
        <v>0</v>
      </c>
      <c r="J2880" s="71" t="n">
        <f aca="false">IF(7&gt;Hold_Yrs,0,I1971+I1062+I1365+I1668+I2274+I1365*Prepay_Pen+IF(7=Hold_Yrs,$C2577,0))</f>
        <v>0</v>
      </c>
      <c r="K2880" s="71" t="n">
        <f aca="false">IF(8&gt;Hold_Yrs,0,J1971+J1062+J1365+J1668+J2274+J1365*Prepay_Pen+IF(8=Hold_Yrs,$C2577,0))</f>
        <v>0</v>
      </c>
      <c r="L2880" s="71" t="n">
        <f aca="false">IF(9&gt;Hold_Yrs,0,K1971+K1062+K1365+K1668+K2274+K1365*Prepay_Pen+IF(9=Hold_Yrs,$C2577,0))</f>
        <v>0</v>
      </c>
      <c r="M2880" s="71" t="n">
        <f aca="false">IF(10&gt;Hold_Yrs,0,L1971+L1062+L1365+L1668+L2274+L1365*Prepay_Pen+IF(10=Hold_Yrs,$C2577,0))</f>
        <v>0</v>
      </c>
    </row>
    <row r="2881" customFormat="false" ht="15" hidden="false" customHeight="false" outlineLevel="0" collapsed="false">
      <c r="B2881" s="102" t="n">
        <f aca="false">'Loan Tape'!$A150</f>
        <v>0</v>
      </c>
      <c r="C2881" s="99" t="n">
        <f aca="false">-'Loan Tape'!$BB150</f>
        <v>-0</v>
      </c>
      <c r="D2881" s="99" t="n">
        <f aca="false">IF(1&gt;Hold_Yrs,0,C1972+C1063+C1366+C1669+C2275+C1366*Prepay_Pen+IF(1=Hold_Yrs,$C2578,0))</f>
        <v>0</v>
      </c>
      <c r="E2881" s="99" t="n">
        <f aca="false">IF(2&gt;Hold_Yrs,0,D1972+D1063+D1366+D1669+D2275+D1366*Prepay_Pen+IF(2=Hold_Yrs,$C2578,0))</f>
        <v>0</v>
      </c>
      <c r="F2881" s="99" t="n">
        <f aca="false">IF(3&gt;Hold_Yrs,0,E1972+E1063+E1366+E1669+E2275+E1366*Prepay_Pen+IF(3=Hold_Yrs,$C2578,0))</f>
        <v>0</v>
      </c>
      <c r="G2881" s="99" t="n">
        <f aca="false">IF(4&gt;Hold_Yrs,0,F1972+F1063+F1366+F1669+F2275+F1366*Prepay_Pen+IF(4=Hold_Yrs,$C2578,0))</f>
        <v>0</v>
      </c>
      <c r="H2881" s="99" t="n">
        <f aca="false">IF(5&gt;Hold_Yrs,0,G1972+G1063+G1366+G1669+G2275+G1366*Prepay_Pen+IF(5=Hold_Yrs,$C2578,0))</f>
        <v>0</v>
      </c>
      <c r="I2881" s="99" t="n">
        <f aca="false">IF(6&gt;Hold_Yrs,0,H1972+H1063+H1366+H1669+H2275+H1366*Prepay_Pen+IF(6=Hold_Yrs,$C2578,0))</f>
        <v>0</v>
      </c>
      <c r="J2881" s="99" t="n">
        <f aca="false">IF(7&gt;Hold_Yrs,0,I1972+I1063+I1366+I1669+I2275+I1366*Prepay_Pen+IF(7=Hold_Yrs,$C2578,0))</f>
        <v>0</v>
      </c>
      <c r="K2881" s="99" t="n">
        <f aca="false">IF(8&gt;Hold_Yrs,0,J1972+J1063+J1366+J1669+J2275+J1366*Prepay_Pen+IF(8=Hold_Yrs,$C2578,0))</f>
        <v>0</v>
      </c>
      <c r="L2881" s="99" t="n">
        <f aca="false">IF(9&gt;Hold_Yrs,0,K1972+K1063+K1366+K1669+K2275+K1366*Prepay_Pen+IF(9=Hold_Yrs,$C2578,0))</f>
        <v>0</v>
      </c>
      <c r="M2881" s="99" t="n">
        <f aca="false">IF(10&gt;Hold_Yrs,0,L1972+L1063+L1366+L1669+L2275+L1366*Prepay_Pen+IF(10=Hold_Yrs,$C2578,0))</f>
        <v>0</v>
      </c>
    </row>
    <row r="2882" customFormat="false" ht="15" hidden="false" customHeight="false" outlineLevel="0" collapsed="false">
      <c r="B2882" s="108" t="n">
        <f aca="false">'Loan Tape'!$A151</f>
        <v>0</v>
      </c>
      <c r="C2882" s="71" t="n">
        <f aca="false">-'Loan Tape'!$BB151</f>
        <v>-0</v>
      </c>
      <c r="D2882" s="71" t="n">
        <f aca="false">IF(1&gt;Hold_Yrs,0,C1973+C1064+C1367+C1670+C2276+C1367*Prepay_Pen+IF(1=Hold_Yrs,$C2579,0))</f>
        <v>0</v>
      </c>
      <c r="E2882" s="71" t="n">
        <f aca="false">IF(2&gt;Hold_Yrs,0,D1973+D1064+D1367+D1670+D2276+D1367*Prepay_Pen+IF(2=Hold_Yrs,$C2579,0))</f>
        <v>0</v>
      </c>
      <c r="F2882" s="71" t="n">
        <f aca="false">IF(3&gt;Hold_Yrs,0,E1973+E1064+E1367+E1670+E2276+E1367*Prepay_Pen+IF(3=Hold_Yrs,$C2579,0))</f>
        <v>0</v>
      </c>
      <c r="G2882" s="71" t="n">
        <f aca="false">IF(4&gt;Hold_Yrs,0,F1973+F1064+F1367+F1670+F2276+F1367*Prepay_Pen+IF(4=Hold_Yrs,$C2579,0))</f>
        <v>0</v>
      </c>
      <c r="H2882" s="71" t="n">
        <f aca="false">IF(5&gt;Hold_Yrs,0,G1973+G1064+G1367+G1670+G2276+G1367*Prepay_Pen+IF(5=Hold_Yrs,$C2579,0))</f>
        <v>0</v>
      </c>
      <c r="I2882" s="71" t="n">
        <f aca="false">IF(6&gt;Hold_Yrs,0,H1973+H1064+H1367+H1670+H2276+H1367*Prepay_Pen+IF(6=Hold_Yrs,$C2579,0))</f>
        <v>0</v>
      </c>
      <c r="J2882" s="71" t="n">
        <f aca="false">IF(7&gt;Hold_Yrs,0,I1973+I1064+I1367+I1670+I2276+I1367*Prepay_Pen+IF(7=Hold_Yrs,$C2579,0))</f>
        <v>0</v>
      </c>
      <c r="K2882" s="71" t="n">
        <f aca="false">IF(8&gt;Hold_Yrs,0,J1973+J1064+J1367+J1670+J2276+J1367*Prepay_Pen+IF(8=Hold_Yrs,$C2579,0))</f>
        <v>0</v>
      </c>
      <c r="L2882" s="71" t="n">
        <f aca="false">IF(9&gt;Hold_Yrs,0,K1973+K1064+K1367+K1670+K2276+K1367*Prepay_Pen+IF(9=Hold_Yrs,$C2579,0))</f>
        <v>0</v>
      </c>
      <c r="M2882" s="71" t="n">
        <f aca="false">IF(10&gt;Hold_Yrs,0,L1973+L1064+L1367+L1670+L2276+L1367*Prepay_Pen+IF(10=Hold_Yrs,$C2579,0))</f>
        <v>0</v>
      </c>
    </row>
    <row r="2883" customFormat="false" ht="15" hidden="false" customHeight="false" outlineLevel="0" collapsed="false">
      <c r="B2883" s="102" t="n">
        <f aca="false">'Loan Tape'!$A152</f>
        <v>0</v>
      </c>
      <c r="C2883" s="99" t="n">
        <f aca="false">-'Loan Tape'!$BB152</f>
        <v>-0</v>
      </c>
      <c r="D2883" s="99" t="n">
        <f aca="false">IF(1&gt;Hold_Yrs,0,C1974+C1065+C1368+C1671+C2277+C1368*Prepay_Pen+IF(1=Hold_Yrs,$C2580,0))</f>
        <v>0</v>
      </c>
      <c r="E2883" s="99" t="n">
        <f aca="false">IF(2&gt;Hold_Yrs,0,D1974+D1065+D1368+D1671+D2277+D1368*Prepay_Pen+IF(2=Hold_Yrs,$C2580,0))</f>
        <v>0</v>
      </c>
      <c r="F2883" s="99" t="n">
        <f aca="false">IF(3&gt;Hold_Yrs,0,E1974+E1065+E1368+E1671+E2277+E1368*Prepay_Pen+IF(3=Hold_Yrs,$C2580,0))</f>
        <v>0</v>
      </c>
      <c r="G2883" s="99" t="n">
        <f aca="false">IF(4&gt;Hold_Yrs,0,F1974+F1065+F1368+F1671+F2277+F1368*Prepay_Pen+IF(4=Hold_Yrs,$C2580,0))</f>
        <v>0</v>
      </c>
      <c r="H2883" s="99" t="n">
        <f aca="false">IF(5&gt;Hold_Yrs,0,G1974+G1065+G1368+G1671+G2277+G1368*Prepay_Pen+IF(5=Hold_Yrs,$C2580,0))</f>
        <v>0</v>
      </c>
      <c r="I2883" s="99" t="n">
        <f aca="false">IF(6&gt;Hold_Yrs,0,H1974+H1065+H1368+H1671+H2277+H1368*Prepay_Pen+IF(6=Hold_Yrs,$C2580,0))</f>
        <v>0</v>
      </c>
      <c r="J2883" s="99" t="n">
        <f aca="false">IF(7&gt;Hold_Yrs,0,I1974+I1065+I1368+I1671+I2277+I1368*Prepay_Pen+IF(7=Hold_Yrs,$C2580,0))</f>
        <v>0</v>
      </c>
      <c r="K2883" s="99" t="n">
        <f aca="false">IF(8&gt;Hold_Yrs,0,J1974+J1065+J1368+J1671+J2277+J1368*Prepay_Pen+IF(8=Hold_Yrs,$C2580,0))</f>
        <v>0</v>
      </c>
      <c r="L2883" s="99" t="n">
        <f aca="false">IF(9&gt;Hold_Yrs,0,K1974+K1065+K1368+K1671+K2277+K1368*Prepay_Pen+IF(9=Hold_Yrs,$C2580,0))</f>
        <v>0</v>
      </c>
      <c r="M2883" s="99" t="n">
        <f aca="false">IF(10&gt;Hold_Yrs,0,L1974+L1065+L1368+L1671+L2277+L1368*Prepay_Pen+IF(10=Hold_Yrs,$C2580,0))</f>
        <v>0</v>
      </c>
    </row>
    <row r="2884" customFormat="false" ht="15" hidden="false" customHeight="false" outlineLevel="0" collapsed="false">
      <c r="B2884" s="108" t="n">
        <f aca="false">'Loan Tape'!$A153</f>
        <v>0</v>
      </c>
      <c r="C2884" s="71" t="n">
        <f aca="false">-'Loan Tape'!$BB153</f>
        <v>-0</v>
      </c>
      <c r="D2884" s="71" t="n">
        <f aca="false">IF(1&gt;Hold_Yrs,0,C1975+C1066+C1369+C1672+C2278+C1369*Prepay_Pen+IF(1=Hold_Yrs,$C2581,0))</f>
        <v>0</v>
      </c>
      <c r="E2884" s="71" t="n">
        <f aca="false">IF(2&gt;Hold_Yrs,0,D1975+D1066+D1369+D1672+D2278+D1369*Prepay_Pen+IF(2=Hold_Yrs,$C2581,0))</f>
        <v>0</v>
      </c>
      <c r="F2884" s="71" t="n">
        <f aca="false">IF(3&gt;Hold_Yrs,0,E1975+E1066+E1369+E1672+E2278+E1369*Prepay_Pen+IF(3=Hold_Yrs,$C2581,0))</f>
        <v>0</v>
      </c>
      <c r="G2884" s="71" t="n">
        <f aca="false">IF(4&gt;Hold_Yrs,0,F1975+F1066+F1369+F1672+F2278+F1369*Prepay_Pen+IF(4=Hold_Yrs,$C2581,0))</f>
        <v>0</v>
      </c>
      <c r="H2884" s="71" t="n">
        <f aca="false">IF(5&gt;Hold_Yrs,0,G1975+G1066+G1369+G1672+G2278+G1369*Prepay_Pen+IF(5=Hold_Yrs,$C2581,0))</f>
        <v>0</v>
      </c>
      <c r="I2884" s="71" t="n">
        <f aca="false">IF(6&gt;Hold_Yrs,0,H1975+H1066+H1369+H1672+H2278+H1369*Prepay_Pen+IF(6=Hold_Yrs,$C2581,0))</f>
        <v>0</v>
      </c>
      <c r="J2884" s="71" t="n">
        <f aca="false">IF(7&gt;Hold_Yrs,0,I1975+I1066+I1369+I1672+I2278+I1369*Prepay_Pen+IF(7=Hold_Yrs,$C2581,0))</f>
        <v>0</v>
      </c>
      <c r="K2884" s="71" t="n">
        <f aca="false">IF(8&gt;Hold_Yrs,0,J1975+J1066+J1369+J1672+J2278+J1369*Prepay_Pen+IF(8=Hold_Yrs,$C2581,0))</f>
        <v>0</v>
      </c>
      <c r="L2884" s="71" t="n">
        <f aca="false">IF(9&gt;Hold_Yrs,0,K1975+K1066+K1369+K1672+K2278+K1369*Prepay_Pen+IF(9=Hold_Yrs,$C2581,0))</f>
        <v>0</v>
      </c>
      <c r="M2884" s="71" t="n">
        <f aca="false">IF(10&gt;Hold_Yrs,0,L1975+L1066+L1369+L1672+L2278+L1369*Prepay_Pen+IF(10=Hold_Yrs,$C2581,0))</f>
        <v>0</v>
      </c>
    </row>
    <row r="2885" customFormat="false" ht="15" hidden="false" customHeight="false" outlineLevel="0" collapsed="false">
      <c r="B2885" s="102" t="n">
        <f aca="false">'Loan Tape'!$A154</f>
        <v>0</v>
      </c>
      <c r="C2885" s="99" t="n">
        <f aca="false">-'Loan Tape'!$BB154</f>
        <v>-0</v>
      </c>
      <c r="D2885" s="99" t="n">
        <f aca="false">IF(1&gt;Hold_Yrs,0,C1976+C1067+C1370+C1673+C2279+C1370*Prepay_Pen+IF(1=Hold_Yrs,$C2582,0))</f>
        <v>0</v>
      </c>
      <c r="E2885" s="99" t="n">
        <f aca="false">IF(2&gt;Hold_Yrs,0,D1976+D1067+D1370+D1673+D2279+D1370*Prepay_Pen+IF(2=Hold_Yrs,$C2582,0))</f>
        <v>0</v>
      </c>
      <c r="F2885" s="99" t="n">
        <f aca="false">IF(3&gt;Hold_Yrs,0,E1976+E1067+E1370+E1673+E2279+E1370*Prepay_Pen+IF(3=Hold_Yrs,$C2582,0))</f>
        <v>0</v>
      </c>
      <c r="G2885" s="99" t="n">
        <f aca="false">IF(4&gt;Hold_Yrs,0,F1976+F1067+F1370+F1673+F2279+F1370*Prepay_Pen+IF(4=Hold_Yrs,$C2582,0))</f>
        <v>0</v>
      </c>
      <c r="H2885" s="99" t="n">
        <f aca="false">IF(5&gt;Hold_Yrs,0,G1976+G1067+G1370+G1673+G2279+G1370*Prepay_Pen+IF(5=Hold_Yrs,$C2582,0))</f>
        <v>0</v>
      </c>
      <c r="I2885" s="99" t="n">
        <f aca="false">IF(6&gt;Hold_Yrs,0,H1976+H1067+H1370+H1673+H2279+H1370*Prepay_Pen+IF(6=Hold_Yrs,$C2582,0))</f>
        <v>0</v>
      </c>
      <c r="J2885" s="99" t="n">
        <f aca="false">IF(7&gt;Hold_Yrs,0,I1976+I1067+I1370+I1673+I2279+I1370*Prepay_Pen+IF(7=Hold_Yrs,$C2582,0))</f>
        <v>0</v>
      </c>
      <c r="K2885" s="99" t="n">
        <f aca="false">IF(8&gt;Hold_Yrs,0,J1976+J1067+J1370+J1673+J2279+J1370*Prepay_Pen+IF(8=Hold_Yrs,$C2582,0))</f>
        <v>0</v>
      </c>
      <c r="L2885" s="99" t="n">
        <f aca="false">IF(9&gt;Hold_Yrs,0,K1976+K1067+K1370+K1673+K2279+K1370*Prepay_Pen+IF(9=Hold_Yrs,$C2582,0))</f>
        <v>0</v>
      </c>
      <c r="M2885" s="99" t="n">
        <f aca="false">IF(10&gt;Hold_Yrs,0,L1976+L1067+L1370+L1673+L2279+L1370*Prepay_Pen+IF(10=Hold_Yrs,$C2582,0))</f>
        <v>0</v>
      </c>
    </row>
    <row r="2886" customFormat="false" ht="15" hidden="false" customHeight="false" outlineLevel="0" collapsed="false">
      <c r="B2886" s="108" t="n">
        <f aca="false">'Loan Tape'!$A155</f>
        <v>0</v>
      </c>
      <c r="C2886" s="71" t="n">
        <f aca="false">-'Loan Tape'!$BB155</f>
        <v>-0</v>
      </c>
      <c r="D2886" s="71" t="n">
        <f aca="false">IF(1&gt;Hold_Yrs,0,C1977+C1068+C1371+C1674+C2280+C1371*Prepay_Pen+IF(1=Hold_Yrs,$C2583,0))</f>
        <v>0</v>
      </c>
      <c r="E2886" s="71" t="n">
        <f aca="false">IF(2&gt;Hold_Yrs,0,D1977+D1068+D1371+D1674+D2280+D1371*Prepay_Pen+IF(2=Hold_Yrs,$C2583,0))</f>
        <v>0</v>
      </c>
      <c r="F2886" s="71" t="n">
        <f aca="false">IF(3&gt;Hold_Yrs,0,E1977+E1068+E1371+E1674+E2280+E1371*Prepay_Pen+IF(3=Hold_Yrs,$C2583,0))</f>
        <v>0</v>
      </c>
      <c r="G2886" s="71" t="n">
        <f aca="false">IF(4&gt;Hold_Yrs,0,F1977+F1068+F1371+F1674+F2280+F1371*Prepay_Pen+IF(4=Hold_Yrs,$C2583,0))</f>
        <v>0</v>
      </c>
      <c r="H2886" s="71" t="n">
        <f aca="false">IF(5&gt;Hold_Yrs,0,G1977+G1068+G1371+G1674+G2280+G1371*Prepay_Pen+IF(5=Hold_Yrs,$C2583,0))</f>
        <v>0</v>
      </c>
      <c r="I2886" s="71" t="n">
        <f aca="false">IF(6&gt;Hold_Yrs,0,H1977+H1068+H1371+H1674+H2280+H1371*Prepay_Pen+IF(6=Hold_Yrs,$C2583,0))</f>
        <v>0</v>
      </c>
      <c r="J2886" s="71" t="n">
        <f aca="false">IF(7&gt;Hold_Yrs,0,I1977+I1068+I1371+I1674+I2280+I1371*Prepay_Pen+IF(7=Hold_Yrs,$C2583,0))</f>
        <v>0</v>
      </c>
      <c r="K2886" s="71" t="n">
        <f aca="false">IF(8&gt;Hold_Yrs,0,J1977+J1068+J1371+J1674+J2280+J1371*Prepay_Pen+IF(8=Hold_Yrs,$C2583,0))</f>
        <v>0</v>
      </c>
      <c r="L2886" s="71" t="n">
        <f aca="false">IF(9&gt;Hold_Yrs,0,K1977+K1068+K1371+K1674+K2280+K1371*Prepay_Pen+IF(9=Hold_Yrs,$C2583,0))</f>
        <v>0</v>
      </c>
      <c r="M2886" s="71" t="n">
        <f aca="false">IF(10&gt;Hold_Yrs,0,L1977+L1068+L1371+L1674+L2280+L1371*Prepay_Pen+IF(10=Hold_Yrs,$C2583,0))</f>
        <v>0</v>
      </c>
    </row>
    <row r="2887" customFormat="false" ht="15" hidden="false" customHeight="false" outlineLevel="0" collapsed="false">
      <c r="B2887" s="102" t="n">
        <f aca="false">'Loan Tape'!$A156</f>
        <v>0</v>
      </c>
      <c r="C2887" s="99" t="n">
        <f aca="false">-'Loan Tape'!$BB156</f>
        <v>-0</v>
      </c>
      <c r="D2887" s="99" t="n">
        <f aca="false">IF(1&gt;Hold_Yrs,0,C1978+C1069+C1372+C1675+C2281+C1372*Prepay_Pen+IF(1=Hold_Yrs,$C2584,0))</f>
        <v>0</v>
      </c>
      <c r="E2887" s="99" t="n">
        <f aca="false">IF(2&gt;Hold_Yrs,0,D1978+D1069+D1372+D1675+D2281+D1372*Prepay_Pen+IF(2=Hold_Yrs,$C2584,0))</f>
        <v>0</v>
      </c>
      <c r="F2887" s="99" t="n">
        <f aca="false">IF(3&gt;Hold_Yrs,0,E1978+E1069+E1372+E1675+E2281+E1372*Prepay_Pen+IF(3=Hold_Yrs,$C2584,0))</f>
        <v>0</v>
      </c>
      <c r="G2887" s="99" t="n">
        <f aca="false">IF(4&gt;Hold_Yrs,0,F1978+F1069+F1372+F1675+F2281+F1372*Prepay_Pen+IF(4=Hold_Yrs,$C2584,0))</f>
        <v>0</v>
      </c>
      <c r="H2887" s="99" t="n">
        <f aca="false">IF(5&gt;Hold_Yrs,0,G1978+G1069+G1372+G1675+G2281+G1372*Prepay_Pen+IF(5=Hold_Yrs,$C2584,0))</f>
        <v>0</v>
      </c>
      <c r="I2887" s="99" t="n">
        <f aca="false">IF(6&gt;Hold_Yrs,0,H1978+H1069+H1372+H1675+H2281+H1372*Prepay_Pen+IF(6=Hold_Yrs,$C2584,0))</f>
        <v>0</v>
      </c>
      <c r="J2887" s="99" t="n">
        <f aca="false">IF(7&gt;Hold_Yrs,0,I1978+I1069+I1372+I1675+I2281+I1372*Prepay_Pen+IF(7=Hold_Yrs,$C2584,0))</f>
        <v>0</v>
      </c>
      <c r="K2887" s="99" t="n">
        <f aca="false">IF(8&gt;Hold_Yrs,0,J1978+J1069+J1372+J1675+J2281+J1372*Prepay_Pen+IF(8=Hold_Yrs,$C2584,0))</f>
        <v>0</v>
      </c>
      <c r="L2887" s="99" t="n">
        <f aca="false">IF(9&gt;Hold_Yrs,0,K1978+K1069+K1372+K1675+K2281+K1372*Prepay_Pen+IF(9=Hold_Yrs,$C2584,0))</f>
        <v>0</v>
      </c>
      <c r="M2887" s="99" t="n">
        <f aca="false">IF(10&gt;Hold_Yrs,0,L1978+L1069+L1372+L1675+L2281+L1372*Prepay_Pen+IF(10=Hold_Yrs,$C2584,0))</f>
        <v>0</v>
      </c>
    </row>
    <row r="2888" customFormat="false" ht="15" hidden="false" customHeight="false" outlineLevel="0" collapsed="false">
      <c r="B2888" s="108" t="n">
        <f aca="false">'Loan Tape'!$A157</f>
        <v>0</v>
      </c>
      <c r="C2888" s="71" t="n">
        <f aca="false">-'Loan Tape'!$BB157</f>
        <v>-0</v>
      </c>
      <c r="D2888" s="71" t="n">
        <f aca="false">IF(1&gt;Hold_Yrs,0,C1979+C1070+C1373+C1676+C2282+C1373*Prepay_Pen+IF(1=Hold_Yrs,$C2585,0))</f>
        <v>0</v>
      </c>
      <c r="E2888" s="71" t="n">
        <f aca="false">IF(2&gt;Hold_Yrs,0,D1979+D1070+D1373+D1676+D2282+D1373*Prepay_Pen+IF(2=Hold_Yrs,$C2585,0))</f>
        <v>0</v>
      </c>
      <c r="F2888" s="71" t="n">
        <f aca="false">IF(3&gt;Hold_Yrs,0,E1979+E1070+E1373+E1676+E2282+E1373*Prepay_Pen+IF(3=Hold_Yrs,$C2585,0))</f>
        <v>0</v>
      </c>
      <c r="G2888" s="71" t="n">
        <f aca="false">IF(4&gt;Hold_Yrs,0,F1979+F1070+F1373+F1676+F2282+F1373*Prepay_Pen+IF(4=Hold_Yrs,$C2585,0))</f>
        <v>0</v>
      </c>
      <c r="H2888" s="71" t="n">
        <f aca="false">IF(5&gt;Hold_Yrs,0,G1979+G1070+G1373+G1676+G2282+G1373*Prepay_Pen+IF(5=Hold_Yrs,$C2585,0))</f>
        <v>0</v>
      </c>
      <c r="I2888" s="71" t="n">
        <f aca="false">IF(6&gt;Hold_Yrs,0,H1979+H1070+H1373+H1676+H2282+H1373*Prepay_Pen+IF(6=Hold_Yrs,$C2585,0))</f>
        <v>0</v>
      </c>
      <c r="J2888" s="71" t="n">
        <f aca="false">IF(7&gt;Hold_Yrs,0,I1979+I1070+I1373+I1676+I2282+I1373*Prepay_Pen+IF(7=Hold_Yrs,$C2585,0))</f>
        <v>0</v>
      </c>
      <c r="K2888" s="71" t="n">
        <f aca="false">IF(8&gt;Hold_Yrs,0,J1979+J1070+J1373+J1676+J2282+J1373*Prepay_Pen+IF(8=Hold_Yrs,$C2585,0))</f>
        <v>0</v>
      </c>
      <c r="L2888" s="71" t="n">
        <f aca="false">IF(9&gt;Hold_Yrs,0,K1979+K1070+K1373+K1676+K2282+K1373*Prepay_Pen+IF(9=Hold_Yrs,$C2585,0))</f>
        <v>0</v>
      </c>
      <c r="M2888" s="71" t="n">
        <f aca="false">IF(10&gt;Hold_Yrs,0,L1979+L1070+L1373+L1676+L2282+L1373*Prepay_Pen+IF(10=Hold_Yrs,$C2585,0))</f>
        <v>0</v>
      </c>
    </row>
    <row r="2889" customFormat="false" ht="15" hidden="false" customHeight="false" outlineLevel="0" collapsed="false">
      <c r="B2889" s="102" t="n">
        <f aca="false">'Loan Tape'!$A158</f>
        <v>0</v>
      </c>
      <c r="C2889" s="99" t="n">
        <f aca="false">-'Loan Tape'!$BB158</f>
        <v>-0</v>
      </c>
      <c r="D2889" s="99" t="n">
        <f aca="false">IF(1&gt;Hold_Yrs,0,C1980+C1071+C1374+C1677+C2283+C1374*Prepay_Pen+IF(1=Hold_Yrs,$C2586,0))</f>
        <v>0</v>
      </c>
      <c r="E2889" s="99" t="n">
        <f aca="false">IF(2&gt;Hold_Yrs,0,D1980+D1071+D1374+D1677+D2283+D1374*Prepay_Pen+IF(2=Hold_Yrs,$C2586,0))</f>
        <v>0</v>
      </c>
      <c r="F2889" s="99" t="n">
        <f aca="false">IF(3&gt;Hold_Yrs,0,E1980+E1071+E1374+E1677+E2283+E1374*Prepay_Pen+IF(3=Hold_Yrs,$C2586,0))</f>
        <v>0</v>
      </c>
      <c r="G2889" s="99" t="n">
        <f aca="false">IF(4&gt;Hold_Yrs,0,F1980+F1071+F1374+F1677+F2283+F1374*Prepay_Pen+IF(4=Hold_Yrs,$C2586,0))</f>
        <v>0</v>
      </c>
      <c r="H2889" s="99" t="n">
        <f aca="false">IF(5&gt;Hold_Yrs,0,G1980+G1071+G1374+G1677+G2283+G1374*Prepay_Pen+IF(5=Hold_Yrs,$C2586,0))</f>
        <v>0</v>
      </c>
      <c r="I2889" s="99" t="n">
        <f aca="false">IF(6&gt;Hold_Yrs,0,H1980+H1071+H1374+H1677+H2283+H1374*Prepay_Pen+IF(6=Hold_Yrs,$C2586,0))</f>
        <v>0</v>
      </c>
      <c r="J2889" s="99" t="n">
        <f aca="false">IF(7&gt;Hold_Yrs,0,I1980+I1071+I1374+I1677+I2283+I1374*Prepay_Pen+IF(7=Hold_Yrs,$C2586,0))</f>
        <v>0</v>
      </c>
      <c r="K2889" s="99" t="n">
        <f aca="false">IF(8&gt;Hold_Yrs,0,J1980+J1071+J1374+J1677+J2283+J1374*Prepay_Pen+IF(8=Hold_Yrs,$C2586,0))</f>
        <v>0</v>
      </c>
      <c r="L2889" s="99" t="n">
        <f aca="false">IF(9&gt;Hold_Yrs,0,K1980+K1071+K1374+K1677+K2283+K1374*Prepay_Pen+IF(9=Hold_Yrs,$C2586,0))</f>
        <v>0</v>
      </c>
      <c r="M2889" s="99" t="n">
        <f aca="false">IF(10&gt;Hold_Yrs,0,L1980+L1071+L1374+L1677+L2283+L1374*Prepay_Pen+IF(10=Hold_Yrs,$C2586,0))</f>
        <v>0</v>
      </c>
    </row>
    <row r="2890" customFormat="false" ht="15" hidden="false" customHeight="false" outlineLevel="0" collapsed="false">
      <c r="B2890" s="108" t="n">
        <f aca="false">'Loan Tape'!$A159</f>
        <v>0</v>
      </c>
      <c r="C2890" s="71" t="n">
        <f aca="false">-'Loan Tape'!$BB159</f>
        <v>-0</v>
      </c>
      <c r="D2890" s="71" t="n">
        <f aca="false">IF(1&gt;Hold_Yrs,0,C1981+C1072+C1375+C1678+C2284+C1375*Prepay_Pen+IF(1=Hold_Yrs,$C2587,0))</f>
        <v>0</v>
      </c>
      <c r="E2890" s="71" t="n">
        <f aca="false">IF(2&gt;Hold_Yrs,0,D1981+D1072+D1375+D1678+D2284+D1375*Prepay_Pen+IF(2=Hold_Yrs,$C2587,0))</f>
        <v>0</v>
      </c>
      <c r="F2890" s="71" t="n">
        <f aca="false">IF(3&gt;Hold_Yrs,0,E1981+E1072+E1375+E1678+E2284+E1375*Prepay_Pen+IF(3=Hold_Yrs,$C2587,0))</f>
        <v>0</v>
      </c>
      <c r="G2890" s="71" t="n">
        <f aca="false">IF(4&gt;Hold_Yrs,0,F1981+F1072+F1375+F1678+F2284+F1375*Prepay_Pen+IF(4=Hold_Yrs,$C2587,0))</f>
        <v>0</v>
      </c>
      <c r="H2890" s="71" t="n">
        <f aca="false">IF(5&gt;Hold_Yrs,0,G1981+G1072+G1375+G1678+G2284+G1375*Prepay_Pen+IF(5=Hold_Yrs,$C2587,0))</f>
        <v>0</v>
      </c>
      <c r="I2890" s="71" t="n">
        <f aca="false">IF(6&gt;Hold_Yrs,0,H1981+H1072+H1375+H1678+H2284+H1375*Prepay_Pen+IF(6=Hold_Yrs,$C2587,0))</f>
        <v>0</v>
      </c>
      <c r="J2890" s="71" t="n">
        <f aca="false">IF(7&gt;Hold_Yrs,0,I1981+I1072+I1375+I1678+I2284+I1375*Prepay_Pen+IF(7=Hold_Yrs,$C2587,0))</f>
        <v>0</v>
      </c>
      <c r="K2890" s="71" t="n">
        <f aca="false">IF(8&gt;Hold_Yrs,0,J1981+J1072+J1375+J1678+J2284+J1375*Prepay_Pen+IF(8=Hold_Yrs,$C2587,0))</f>
        <v>0</v>
      </c>
      <c r="L2890" s="71" t="n">
        <f aca="false">IF(9&gt;Hold_Yrs,0,K1981+K1072+K1375+K1678+K2284+K1375*Prepay_Pen+IF(9=Hold_Yrs,$C2587,0))</f>
        <v>0</v>
      </c>
      <c r="M2890" s="71" t="n">
        <f aca="false">IF(10&gt;Hold_Yrs,0,L1981+L1072+L1375+L1678+L2284+L1375*Prepay_Pen+IF(10=Hold_Yrs,$C2587,0))</f>
        <v>0</v>
      </c>
    </row>
    <row r="2891" customFormat="false" ht="15" hidden="false" customHeight="false" outlineLevel="0" collapsed="false">
      <c r="B2891" s="102" t="n">
        <f aca="false">'Loan Tape'!$A160</f>
        <v>0</v>
      </c>
      <c r="C2891" s="99" t="n">
        <f aca="false">-'Loan Tape'!$BB160</f>
        <v>-0</v>
      </c>
      <c r="D2891" s="99" t="n">
        <f aca="false">IF(1&gt;Hold_Yrs,0,C1982+C1073+C1376+C1679+C2285+C1376*Prepay_Pen+IF(1=Hold_Yrs,$C2588,0))</f>
        <v>0</v>
      </c>
      <c r="E2891" s="99" t="n">
        <f aca="false">IF(2&gt;Hold_Yrs,0,D1982+D1073+D1376+D1679+D2285+D1376*Prepay_Pen+IF(2=Hold_Yrs,$C2588,0))</f>
        <v>0</v>
      </c>
      <c r="F2891" s="99" t="n">
        <f aca="false">IF(3&gt;Hold_Yrs,0,E1982+E1073+E1376+E1679+E2285+E1376*Prepay_Pen+IF(3=Hold_Yrs,$C2588,0))</f>
        <v>0</v>
      </c>
      <c r="G2891" s="99" t="n">
        <f aca="false">IF(4&gt;Hold_Yrs,0,F1982+F1073+F1376+F1679+F2285+F1376*Prepay_Pen+IF(4=Hold_Yrs,$C2588,0))</f>
        <v>0</v>
      </c>
      <c r="H2891" s="99" t="n">
        <f aca="false">IF(5&gt;Hold_Yrs,0,G1982+G1073+G1376+G1679+G2285+G1376*Prepay_Pen+IF(5=Hold_Yrs,$C2588,0))</f>
        <v>0</v>
      </c>
      <c r="I2891" s="99" t="n">
        <f aca="false">IF(6&gt;Hold_Yrs,0,H1982+H1073+H1376+H1679+H2285+H1376*Prepay_Pen+IF(6=Hold_Yrs,$C2588,0))</f>
        <v>0</v>
      </c>
      <c r="J2891" s="99" t="n">
        <f aca="false">IF(7&gt;Hold_Yrs,0,I1982+I1073+I1376+I1679+I2285+I1376*Prepay_Pen+IF(7=Hold_Yrs,$C2588,0))</f>
        <v>0</v>
      </c>
      <c r="K2891" s="99" t="n">
        <f aca="false">IF(8&gt;Hold_Yrs,0,J1982+J1073+J1376+J1679+J2285+J1376*Prepay_Pen+IF(8=Hold_Yrs,$C2588,0))</f>
        <v>0</v>
      </c>
      <c r="L2891" s="99" t="n">
        <f aca="false">IF(9&gt;Hold_Yrs,0,K1982+K1073+K1376+K1679+K2285+K1376*Prepay_Pen+IF(9=Hold_Yrs,$C2588,0))</f>
        <v>0</v>
      </c>
      <c r="M2891" s="99" t="n">
        <f aca="false">IF(10&gt;Hold_Yrs,0,L1982+L1073+L1376+L1679+L2285+L1376*Prepay_Pen+IF(10=Hold_Yrs,$C2588,0))</f>
        <v>0</v>
      </c>
    </row>
    <row r="2892" customFormat="false" ht="15" hidden="false" customHeight="false" outlineLevel="0" collapsed="false">
      <c r="B2892" s="108" t="n">
        <f aca="false">'Loan Tape'!$A161</f>
        <v>0</v>
      </c>
      <c r="C2892" s="71" t="n">
        <f aca="false">-'Loan Tape'!$BB161</f>
        <v>-0</v>
      </c>
      <c r="D2892" s="71" t="n">
        <f aca="false">IF(1&gt;Hold_Yrs,0,C1983+C1074+C1377+C1680+C2286+C1377*Prepay_Pen+IF(1=Hold_Yrs,$C2589,0))</f>
        <v>0</v>
      </c>
      <c r="E2892" s="71" t="n">
        <f aca="false">IF(2&gt;Hold_Yrs,0,D1983+D1074+D1377+D1680+D2286+D1377*Prepay_Pen+IF(2=Hold_Yrs,$C2589,0))</f>
        <v>0</v>
      </c>
      <c r="F2892" s="71" t="n">
        <f aca="false">IF(3&gt;Hold_Yrs,0,E1983+E1074+E1377+E1680+E2286+E1377*Prepay_Pen+IF(3=Hold_Yrs,$C2589,0))</f>
        <v>0</v>
      </c>
      <c r="G2892" s="71" t="n">
        <f aca="false">IF(4&gt;Hold_Yrs,0,F1983+F1074+F1377+F1680+F2286+F1377*Prepay_Pen+IF(4=Hold_Yrs,$C2589,0))</f>
        <v>0</v>
      </c>
      <c r="H2892" s="71" t="n">
        <f aca="false">IF(5&gt;Hold_Yrs,0,G1983+G1074+G1377+G1680+G2286+G1377*Prepay_Pen+IF(5=Hold_Yrs,$C2589,0))</f>
        <v>0</v>
      </c>
      <c r="I2892" s="71" t="n">
        <f aca="false">IF(6&gt;Hold_Yrs,0,H1983+H1074+H1377+H1680+H2286+H1377*Prepay_Pen+IF(6=Hold_Yrs,$C2589,0))</f>
        <v>0</v>
      </c>
      <c r="J2892" s="71" t="n">
        <f aca="false">IF(7&gt;Hold_Yrs,0,I1983+I1074+I1377+I1680+I2286+I1377*Prepay_Pen+IF(7=Hold_Yrs,$C2589,0))</f>
        <v>0</v>
      </c>
      <c r="K2892" s="71" t="n">
        <f aca="false">IF(8&gt;Hold_Yrs,0,J1983+J1074+J1377+J1680+J2286+J1377*Prepay_Pen+IF(8=Hold_Yrs,$C2589,0))</f>
        <v>0</v>
      </c>
      <c r="L2892" s="71" t="n">
        <f aca="false">IF(9&gt;Hold_Yrs,0,K1983+K1074+K1377+K1680+K2286+K1377*Prepay_Pen+IF(9=Hold_Yrs,$C2589,0))</f>
        <v>0</v>
      </c>
      <c r="M2892" s="71" t="n">
        <f aca="false">IF(10&gt;Hold_Yrs,0,L1983+L1074+L1377+L1680+L2286+L1377*Prepay_Pen+IF(10=Hold_Yrs,$C2589,0))</f>
        <v>0</v>
      </c>
    </row>
    <row r="2893" customFormat="false" ht="15" hidden="false" customHeight="false" outlineLevel="0" collapsed="false">
      <c r="B2893" s="102" t="n">
        <f aca="false">'Loan Tape'!$A162</f>
        <v>0</v>
      </c>
      <c r="C2893" s="99" t="n">
        <f aca="false">-'Loan Tape'!$BB162</f>
        <v>-0</v>
      </c>
      <c r="D2893" s="99" t="n">
        <f aca="false">IF(1&gt;Hold_Yrs,0,C1984+C1075+C1378+C1681+C2287+C1378*Prepay_Pen+IF(1=Hold_Yrs,$C2590,0))</f>
        <v>0</v>
      </c>
      <c r="E2893" s="99" t="n">
        <f aca="false">IF(2&gt;Hold_Yrs,0,D1984+D1075+D1378+D1681+D2287+D1378*Prepay_Pen+IF(2=Hold_Yrs,$C2590,0))</f>
        <v>0</v>
      </c>
      <c r="F2893" s="99" t="n">
        <f aca="false">IF(3&gt;Hold_Yrs,0,E1984+E1075+E1378+E1681+E2287+E1378*Prepay_Pen+IF(3=Hold_Yrs,$C2590,0))</f>
        <v>0</v>
      </c>
      <c r="G2893" s="99" t="n">
        <f aca="false">IF(4&gt;Hold_Yrs,0,F1984+F1075+F1378+F1681+F2287+F1378*Prepay_Pen+IF(4=Hold_Yrs,$C2590,0))</f>
        <v>0</v>
      </c>
      <c r="H2893" s="99" t="n">
        <f aca="false">IF(5&gt;Hold_Yrs,0,G1984+G1075+G1378+G1681+G2287+G1378*Prepay_Pen+IF(5=Hold_Yrs,$C2590,0))</f>
        <v>0</v>
      </c>
      <c r="I2893" s="99" t="n">
        <f aca="false">IF(6&gt;Hold_Yrs,0,H1984+H1075+H1378+H1681+H2287+H1378*Prepay_Pen+IF(6=Hold_Yrs,$C2590,0))</f>
        <v>0</v>
      </c>
      <c r="J2893" s="99" t="n">
        <f aca="false">IF(7&gt;Hold_Yrs,0,I1984+I1075+I1378+I1681+I2287+I1378*Prepay_Pen+IF(7=Hold_Yrs,$C2590,0))</f>
        <v>0</v>
      </c>
      <c r="K2893" s="99" t="n">
        <f aca="false">IF(8&gt;Hold_Yrs,0,J1984+J1075+J1378+J1681+J2287+J1378*Prepay_Pen+IF(8=Hold_Yrs,$C2590,0))</f>
        <v>0</v>
      </c>
      <c r="L2893" s="99" t="n">
        <f aca="false">IF(9&gt;Hold_Yrs,0,K1984+K1075+K1378+K1681+K2287+K1378*Prepay_Pen+IF(9=Hold_Yrs,$C2590,0))</f>
        <v>0</v>
      </c>
      <c r="M2893" s="99" t="n">
        <f aca="false">IF(10&gt;Hold_Yrs,0,L1984+L1075+L1378+L1681+L2287+L1378*Prepay_Pen+IF(10=Hold_Yrs,$C2590,0))</f>
        <v>0</v>
      </c>
    </row>
    <row r="2894" customFormat="false" ht="15" hidden="false" customHeight="false" outlineLevel="0" collapsed="false">
      <c r="B2894" s="108" t="n">
        <f aca="false">'Loan Tape'!$A163</f>
        <v>0</v>
      </c>
      <c r="C2894" s="71" t="n">
        <f aca="false">-'Loan Tape'!$BB163</f>
        <v>-0</v>
      </c>
      <c r="D2894" s="71" t="n">
        <f aca="false">IF(1&gt;Hold_Yrs,0,C1985+C1076+C1379+C1682+C2288+C1379*Prepay_Pen+IF(1=Hold_Yrs,$C2591,0))</f>
        <v>0</v>
      </c>
      <c r="E2894" s="71" t="n">
        <f aca="false">IF(2&gt;Hold_Yrs,0,D1985+D1076+D1379+D1682+D2288+D1379*Prepay_Pen+IF(2=Hold_Yrs,$C2591,0))</f>
        <v>0</v>
      </c>
      <c r="F2894" s="71" t="n">
        <f aca="false">IF(3&gt;Hold_Yrs,0,E1985+E1076+E1379+E1682+E2288+E1379*Prepay_Pen+IF(3=Hold_Yrs,$C2591,0))</f>
        <v>0</v>
      </c>
      <c r="G2894" s="71" t="n">
        <f aca="false">IF(4&gt;Hold_Yrs,0,F1985+F1076+F1379+F1682+F2288+F1379*Prepay_Pen+IF(4=Hold_Yrs,$C2591,0))</f>
        <v>0</v>
      </c>
      <c r="H2894" s="71" t="n">
        <f aca="false">IF(5&gt;Hold_Yrs,0,G1985+G1076+G1379+G1682+G2288+G1379*Prepay_Pen+IF(5=Hold_Yrs,$C2591,0))</f>
        <v>0</v>
      </c>
      <c r="I2894" s="71" t="n">
        <f aca="false">IF(6&gt;Hold_Yrs,0,H1985+H1076+H1379+H1682+H2288+H1379*Prepay_Pen+IF(6=Hold_Yrs,$C2591,0))</f>
        <v>0</v>
      </c>
      <c r="J2894" s="71" t="n">
        <f aca="false">IF(7&gt;Hold_Yrs,0,I1985+I1076+I1379+I1682+I2288+I1379*Prepay_Pen+IF(7=Hold_Yrs,$C2591,0))</f>
        <v>0</v>
      </c>
      <c r="K2894" s="71" t="n">
        <f aca="false">IF(8&gt;Hold_Yrs,0,J1985+J1076+J1379+J1682+J2288+J1379*Prepay_Pen+IF(8=Hold_Yrs,$C2591,0))</f>
        <v>0</v>
      </c>
      <c r="L2894" s="71" t="n">
        <f aca="false">IF(9&gt;Hold_Yrs,0,K1985+K1076+K1379+K1682+K2288+K1379*Prepay_Pen+IF(9=Hold_Yrs,$C2591,0))</f>
        <v>0</v>
      </c>
      <c r="M2894" s="71" t="n">
        <f aca="false">IF(10&gt;Hold_Yrs,0,L1985+L1076+L1379+L1682+L2288+L1379*Prepay_Pen+IF(10=Hold_Yrs,$C2591,0))</f>
        <v>0</v>
      </c>
    </row>
    <row r="2895" customFormat="false" ht="15" hidden="false" customHeight="false" outlineLevel="0" collapsed="false">
      <c r="B2895" s="102" t="n">
        <f aca="false">'Loan Tape'!$A164</f>
        <v>0</v>
      </c>
      <c r="C2895" s="99" t="n">
        <f aca="false">-'Loan Tape'!$BB164</f>
        <v>-0</v>
      </c>
      <c r="D2895" s="99" t="n">
        <f aca="false">IF(1&gt;Hold_Yrs,0,C1986+C1077+C1380+C1683+C2289+C1380*Prepay_Pen+IF(1=Hold_Yrs,$C2592,0))</f>
        <v>0</v>
      </c>
      <c r="E2895" s="99" t="n">
        <f aca="false">IF(2&gt;Hold_Yrs,0,D1986+D1077+D1380+D1683+D2289+D1380*Prepay_Pen+IF(2=Hold_Yrs,$C2592,0))</f>
        <v>0</v>
      </c>
      <c r="F2895" s="99" t="n">
        <f aca="false">IF(3&gt;Hold_Yrs,0,E1986+E1077+E1380+E1683+E2289+E1380*Prepay_Pen+IF(3=Hold_Yrs,$C2592,0))</f>
        <v>0</v>
      </c>
      <c r="G2895" s="99" t="n">
        <f aca="false">IF(4&gt;Hold_Yrs,0,F1986+F1077+F1380+F1683+F2289+F1380*Prepay_Pen+IF(4=Hold_Yrs,$C2592,0))</f>
        <v>0</v>
      </c>
      <c r="H2895" s="99" t="n">
        <f aca="false">IF(5&gt;Hold_Yrs,0,G1986+G1077+G1380+G1683+G2289+G1380*Prepay_Pen+IF(5=Hold_Yrs,$C2592,0))</f>
        <v>0</v>
      </c>
      <c r="I2895" s="99" t="n">
        <f aca="false">IF(6&gt;Hold_Yrs,0,H1986+H1077+H1380+H1683+H2289+H1380*Prepay_Pen+IF(6=Hold_Yrs,$C2592,0))</f>
        <v>0</v>
      </c>
      <c r="J2895" s="99" t="n">
        <f aca="false">IF(7&gt;Hold_Yrs,0,I1986+I1077+I1380+I1683+I2289+I1380*Prepay_Pen+IF(7=Hold_Yrs,$C2592,0))</f>
        <v>0</v>
      </c>
      <c r="K2895" s="99" t="n">
        <f aca="false">IF(8&gt;Hold_Yrs,0,J1986+J1077+J1380+J1683+J2289+J1380*Prepay_Pen+IF(8=Hold_Yrs,$C2592,0))</f>
        <v>0</v>
      </c>
      <c r="L2895" s="99" t="n">
        <f aca="false">IF(9&gt;Hold_Yrs,0,K1986+K1077+K1380+K1683+K2289+K1380*Prepay_Pen+IF(9=Hold_Yrs,$C2592,0))</f>
        <v>0</v>
      </c>
      <c r="M2895" s="99" t="n">
        <f aca="false">IF(10&gt;Hold_Yrs,0,L1986+L1077+L1380+L1683+L2289+L1380*Prepay_Pen+IF(10=Hold_Yrs,$C2592,0))</f>
        <v>0</v>
      </c>
    </row>
    <row r="2896" customFormat="false" ht="15" hidden="false" customHeight="false" outlineLevel="0" collapsed="false">
      <c r="B2896" s="108" t="n">
        <f aca="false">'Loan Tape'!$A165</f>
        <v>0</v>
      </c>
      <c r="C2896" s="71" t="n">
        <f aca="false">-'Loan Tape'!$BB165</f>
        <v>-0</v>
      </c>
      <c r="D2896" s="71" t="n">
        <f aca="false">IF(1&gt;Hold_Yrs,0,C1987+C1078+C1381+C1684+C2290+C1381*Prepay_Pen+IF(1=Hold_Yrs,$C2593,0))</f>
        <v>0</v>
      </c>
      <c r="E2896" s="71" t="n">
        <f aca="false">IF(2&gt;Hold_Yrs,0,D1987+D1078+D1381+D1684+D2290+D1381*Prepay_Pen+IF(2=Hold_Yrs,$C2593,0))</f>
        <v>0</v>
      </c>
      <c r="F2896" s="71" t="n">
        <f aca="false">IF(3&gt;Hold_Yrs,0,E1987+E1078+E1381+E1684+E2290+E1381*Prepay_Pen+IF(3=Hold_Yrs,$C2593,0))</f>
        <v>0</v>
      </c>
      <c r="G2896" s="71" t="n">
        <f aca="false">IF(4&gt;Hold_Yrs,0,F1987+F1078+F1381+F1684+F2290+F1381*Prepay_Pen+IF(4=Hold_Yrs,$C2593,0))</f>
        <v>0</v>
      </c>
      <c r="H2896" s="71" t="n">
        <f aca="false">IF(5&gt;Hold_Yrs,0,G1987+G1078+G1381+G1684+G2290+G1381*Prepay_Pen+IF(5=Hold_Yrs,$C2593,0))</f>
        <v>0</v>
      </c>
      <c r="I2896" s="71" t="n">
        <f aca="false">IF(6&gt;Hold_Yrs,0,H1987+H1078+H1381+H1684+H2290+H1381*Prepay_Pen+IF(6=Hold_Yrs,$C2593,0))</f>
        <v>0</v>
      </c>
      <c r="J2896" s="71" t="n">
        <f aca="false">IF(7&gt;Hold_Yrs,0,I1987+I1078+I1381+I1684+I2290+I1381*Prepay_Pen+IF(7=Hold_Yrs,$C2593,0))</f>
        <v>0</v>
      </c>
      <c r="K2896" s="71" t="n">
        <f aca="false">IF(8&gt;Hold_Yrs,0,J1987+J1078+J1381+J1684+J2290+J1381*Prepay_Pen+IF(8=Hold_Yrs,$C2593,0))</f>
        <v>0</v>
      </c>
      <c r="L2896" s="71" t="n">
        <f aca="false">IF(9&gt;Hold_Yrs,0,K1987+K1078+K1381+K1684+K2290+K1381*Prepay_Pen+IF(9=Hold_Yrs,$C2593,0))</f>
        <v>0</v>
      </c>
      <c r="M2896" s="71" t="n">
        <f aca="false">IF(10&gt;Hold_Yrs,0,L1987+L1078+L1381+L1684+L2290+L1381*Prepay_Pen+IF(10=Hold_Yrs,$C2593,0))</f>
        <v>0</v>
      </c>
    </row>
    <row r="2897" customFormat="false" ht="15" hidden="false" customHeight="false" outlineLevel="0" collapsed="false">
      <c r="B2897" s="102" t="n">
        <f aca="false">'Loan Tape'!$A166</f>
        <v>0</v>
      </c>
      <c r="C2897" s="99" t="n">
        <f aca="false">-'Loan Tape'!$BB166</f>
        <v>-0</v>
      </c>
      <c r="D2897" s="99" t="n">
        <f aca="false">IF(1&gt;Hold_Yrs,0,C1988+C1079+C1382+C1685+C2291+C1382*Prepay_Pen+IF(1=Hold_Yrs,$C2594,0))</f>
        <v>0</v>
      </c>
      <c r="E2897" s="99" t="n">
        <f aca="false">IF(2&gt;Hold_Yrs,0,D1988+D1079+D1382+D1685+D2291+D1382*Prepay_Pen+IF(2=Hold_Yrs,$C2594,0))</f>
        <v>0</v>
      </c>
      <c r="F2897" s="99" t="n">
        <f aca="false">IF(3&gt;Hold_Yrs,0,E1988+E1079+E1382+E1685+E2291+E1382*Prepay_Pen+IF(3=Hold_Yrs,$C2594,0))</f>
        <v>0</v>
      </c>
      <c r="G2897" s="99" t="n">
        <f aca="false">IF(4&gt;Hold_Yrs,0,F1988+F1079+F1382+F1685+F2291+F1382*Prepay_Pen+IF(4=Hold_Yrs,$C2594,0))</f>
        <v>0</v>
      </c>
      <c r="H2897" s="99" t="n">
        <f aca="false">IF(5&gt;Hold_Yrs,0,G1988+G1079+G1382+G1685+G2291+G1382*Prepay_Pen+IF(5=Hold_Yrs,$C2594,0))</f>
        <v>0</v>
      </c>
      <c r="I2897" s="99" t="n">
        <f aca="false">IF(6&gt;Hold_Yrs,0,H1988+H1079+H1382+H1685+H2291+H1382*Prepay_Pen+IF(6=Hold_Yrs,$C2594,0))</f>
        <v>0</v>
      </c>
      <c r="J2897" s="99" t="n">
        <f aca="false">IF(7&gt;Hold_Yrs,0,I1988+I1079+I1382+I1685+I2291+I1382*Prepay_Pen+IF(7=Hold_Yrs,$C2594,0))</f>
        <v>0</v>
      </c>
      <c r="K2897" s="99" t="n">
        <f aca="false">IF(8&gt;Hold_Yrs,0,J1988+J1079+J1382+J1685+J2291+J1382*Prepay_Pen+IF(8=Hold_Yrs,$C2594,0))</f>
        <v>0</v>
      </c>
      <c r="L2897" s="99" t="n">
        <f aca="false">IF(9&gt;Hold_Yrs,0,K1988+K1079+K1382+K1685+K2291+K1382*Prepay_Pen+IF(9=Hold_Yrs,$C2594,0))</f>
        <v>0</v>
      </c>
      <c r="M2897" s="99" t="n">
        <f aca="false">IF(10&gt;Hold_Yrs,0,L1988+L1079+L1382+L1685+L2291+L1382*Prepay_Pen+IF(10=Hold_Yrs,$C2594,0))</f>
        <v>0</v>
      </c>
    </row>
    <row r="2898" customFormat="false" ht="15" hidden="false" customHeight="false" outlineLevel="0" collapsed="false">
      <c r="B2898" s="108" t="n">
        <f aca="false">'Loan Tape'!$A167</f>
        <v>0</v>
      </c>
      <c r="C2898" s="71" t="n">
        <f aca="false">-'Loan Tape'!$BB167</f>
        <v>-0</v>
      </c>
      <c r="D2898" s="71" t="n">
        <f aca="false">IF(1&gt;Hold_Yrs,0,C1989+C1080+C1383+C1686+C2292+C1383*Prepay_Pen+IF(1=Hold_Yrs,$C2595,0))</f>
        <v>0</v>
      </c>
      <c r="E2898" s="71" t="n">
        <f aca="false">IF(2&gt;Hold_Yrs,0,D1989+D1080+D1383+D1686+D2292+D1383*Prepay_Pen+IF(2=Hold_Yrs,$C2595,0))</f>
        <v>0</v>
      </c>
      <c r="F2898" s="71" t="n">
        <f aca="false">IF(3&gt;Hold_Yrs,0,E1989+E1080+E1383+E1686+E2292+E1383*Prepay_Pen+IF(3=Hold_Yrs,$C2595,0))</f>
        <v>0</v>
      </c>
      <c r="G2898" s="71" t="n">
        <f aca="false">IF(4&gt;Hold_Yrs,0,F1989+F1080+F1383+F1686+F2292+F1383*Prepay_Pen+IF(4=Hold_Yrs,$C2595,0))</f>
        <v>0</v>
      </c>
      <c r="H2898" s="71" t="n">
        <f aca="false">IF(5&gt;Hold_Yrs,0,G1989+G1080+G1383+G1686+G2292+G1383*Prepay_Pen+IF(5=Hold_Yrs,$C2595,0))</f>
        <v>0</v>
      </c>
      <c r="I2898" s="71" t="n">
        <f aca="false">IF(6&gt;Hold_Yrs,0,H1989+H1080+H1383+H1686+H2292+H1383*Prepay_Pen+IF(6=Hold_Yrs,$C2595,0))</f>
        <v>0</v>
      </c>
      <c r="J2898" s="71" t="n">
        <f aca="false">IF(7&gt;Hold_Yrs,0,I1989+I1080+I1383+I1686+I2292+I1383*Prepay_Pen+IF(7=Hold_Yrs,$C2595,0))</f>
        <v>0</v>
      </c>
      <c r="K2898" s="71" t="n">
        <f aca="false">IF(8&gt;Hold_Yrs,0,J1989+J1080+J1383+J1686+J2292+J1383*Prepay_Pen+IF(8=Hold_Yrs,$C2595,0))</f>
        <v>0</v>
      </c>
      <c r="L2898" s="71" t="n">
        <f aca="false">IF(9&gt;Hold_Yrs,0,K1989+K1080+K1383+K1686+K2292+K1383*Prepay_Pen+IF(9=Hold_Yrs,$C2595,0))</f>
        <v>0</v>
      </c>
      <c r="M2898" s="71" t="n">
        <f aca="false">IF(10&gt;Hold_Yrs,0,L1989+L1080+L1383+L1686+L2292+L1383*Prepay_Pen+IF(10=Hold_Yrs,$C2595,0))</f>
        <v>0</v>
      </c>
    </row>
    <row r="2899" customFormat="false" ht="15" hidden="false" customHeight="false" outlineLevel="0" collapsed="false">
      <c r="B2899" s="102" t="n">
        <f aca="false">'Loan Tape'!$A168</f>
        <v>0</v>
      </c>
      <c r="C2899" s="99" t="n">
        <f aca="false">-'Loan Tape'!$BB168</f>
        <v>-0</v>
      </c>
      <c r="D2899" s="99" t="n">
        <f aca="false">IF(1&gt;Hold_Yrs,0,C1990+C1081+C1384+C1687+C2293+C1384*Prepay_Pen+IF(1=Hold_Yrs,$C2596,0))</f>
        <v>0</v>
      </c>
      <c r="E2899" s="99" t="n">
        <f aca="false">IF(2&gt;Hold_Yrs,0,D1990+D1081+D1384+D1687+D2293+D1384*Prepay_Pen+IF(2=Hold_Yrs,$C2596,0))</f>
        <v>0</v>
      </c>
      <c r="F2899" s="99" t="n">
        <f aca="false">IF(3&gt;Hold_Yrs,0,E1990+E1081+E1384+E1687+E2293+E1384*Prepay_Pen+IF(3=Hold_Yrs,$C2596,0))</f>
        <v>0</v>
      </c>
      <c r="G2899" s="99" t="n">
        <f aca="false">IF(4&gt;Hold_Yrs,0,F1990+F1081+F1384+F1687+F2293+F1384*Prepay_Pen+IF(4=Hold_Yrs,$C2596,0))</f>
        <v>0</v>
      </c>
      <c r="H2899" s="99" t="n">
        <f aca="false">IF(5&gt;Hold_Yrs,0,G1990+G1081+G1384+G1687+G2293+G1384*Prepay_Pen+IF(5=Hold_Yrs,$C2596,0))</f>
        <v>0</v>
      </c>
      <c r="I2899" s="99" t="n">
        <f aca="false">IF(6&gt;Hold_Yrs,0,H1990+H1081+H1384+H1687+H2293+H1384*Prepay_Pen+IF(6=Hold_Yrs,$C2596,0))</f>
        <v>0</v>
      </c>
      <c r="J2899" s="99" t="n">
        <f aca="false">IF(7&gt;Hold_Yrs,0,I1990+I1081+I1384+I1687+I2293+I1384*Prepay_Pen+IF(7=Hold_Yrs,$C2596,0))</f>
        <v>0</v>
      </c>
      <c r="K2899" s="99" t="n">
        <f aca="false">IF(8&gt;Hold_Yrs,0,J1990+J1081+J1384+J1687+J2293+J1384*Prepay_Pen+IF(8=Hold_Yrs,$C2596,0))</f>
        <v>0</v>
      </c>
      <c r="L2899" s="99" t="n">
        <f aca="false">IF(9&gt;Hold_Yrs,0,K1990+K1081+K1384+K1687+K2293+K1384*Prepay_Pen+IF(9=Hold_Yrs,$C2596,0))</f>
        <v>0</v>
      </c>
      <c r="M2899" s="99" t="n">
        <f aca="false">IF(10&gt;Hold_Yrs,0,L1990+L1081+L1384+L1687+L2293+L1384*Prepay_Pen+IF(10=Hold_Yrs,$C2596,0))</f>
        <v>0</v>
      </c>
    </row>
    <row r="2900" customFormat="false" ht="15" hidden="false" customHeight="false" outlineLevel="0" collapsed="false">
      <c r="B2900" s="108" t="n">
        <f aca="false">'Loan Tape'!$A169</f>
        <v>0</v>
      </c>
      <c r="C2900" s="71" t="n">
        <f aca="false">-'Loan Tape'!$BB169</f>
        <v>-0</v>
      </c>
      <c r="D2900" s="71" t="n">
        <f aca="false">IF(1&gt;Hold_Yrs,0,C1991+C1082+C1385+C1688+C2294+C1385*Prepay_Pen+IF(1=Hold_Yrs,$C2597,0))</f>
        <v>0</v>
      </c>
      <c r="E2900" s="71" t="n">
        <f aca="false">IF(2&gt;Hold_Yrs,0,D1991+D1082+D1385+D1688+D2294+D1385*Prepay_Pen+IF(2=Hold_Yrs,$C2597,0))</f>
        <v>0</v>
      </c>
      <c r="F2900" s="71" t="n">
        <f aca="false">IF(3&gt;Hold_Yrs,0,E1991+E1082+E1385+E1688+E2294+E1385*Prepay_Pen+IF(3=Hold_Yrs,$C2597,0))</f>
        <v>0</v>
      </c>
      <c r="G2900" s="71" t="n">
        <f aca="false">IF(4&gt;Hold_Yrs,0,F1991+F1082+F1385+F1688+F2294+F1385*Prepay_Pen+IF(4=Hold_Yrs,$C2597,0))</f>
        <v>0</v>
      </c>
      <c r="H2900" s="71" t="n">
        <f aca="false">IF(5&gt;Hold_Yrs,0,G1991+G1082+G1385+G1688+G2294+G1385*Prepay_Pen+IF(5=Hold_Yrs,$C2597,0))</f>
        <v>0</v>
      </c>
      <c r="I2900" s="71" t="n">
        <f aca="false">IF(6&gt;Hold_Yrs,0,H1991+H1082+H1385+H1688+H2294+H1385*Prepay_Pen+IF(6=Hold_Yrs,$C2597,0))</f>
        <v>0</v>
      </c>
      <c r="J2900" s="71" t="n">
        <f aca="false">IF(7&gt;Hold_Yrs,0,I1991+I1082+I1385+I1688+I2294+I1385*Prepay_Pen+IF(7=Hold_Yrs,$C2597,0))</f>
        <v>0</v>
      </c>
      <c r="K2900" s="71" t="n">
        <f aca="false">IF(8&gt;Hold_Yrs,0,J1991+J1082+J1385+J1688+J2294+J1385*Prepay_Pen+IF(8=Hold_Yrs,$C2597,0))</f>
        <v>0</v>
      </c>
      <c r="L2900" s="71" t="n">
        <f aca="false">IF(9&gt;Hold_Yrs,0,K1991+K1082+K1385+K1688+K2294+K1385*Prepay_Pen+IF(9=Hold_Yrs,$C2597,0))</f>
        <v>0</v>
      </c>
      <c r="M2900" s="71" t="n">
        <f aca="false">IF(10&gt;Hold_Yrs,0,L1991+L1082+L1385+L1688+L2294+L1385*Prepay_Pen+IF(10=Hold_Yrs,$C2597,0))</f>
        <v>0</v>
      </c>
    </row>
    <row r="2901" customFormat="false" ht="15" hidden="false" customHeight="false" outlineLevel="0" collapsed="false">
      <c r="B2901" s="102" t="n">
        <f aca="false">'Loan Tape'!$A170</f>
        <v>0</v>
      </c>
      <c r="C2901" s="99" t="n">
        <f aca="false">-'Loan Tape'!$BB170</f>
        <v>-0</v>
      </c>
      <c r="D2901" s="99" t="n">
        <f aca="false">IF(1&gt;Hold_Yrs,0,C1992+C1083+C1386+C1689+C2295+C1386*Prepay_Pen+IF(1=Hold_Yrs,$C2598,0))</f>
        <v>0</v>
      </c>
      <c r="E2901" s="99" t="n">
        <f aca="false">IF(2&gt;Hold_Yrs,0,D1992+D1083+D1386+D1689+D2295+D1386*Prepay_Pen+IF(2=Hold_Yrs,$C2598,0))</f>
        <v>0</v>
      </c>
      <c r="F2901" s="99" t="n">
        <f aca="false">IF(3&gt;Hold_Yrs,0,E1992+E1083+E1386+E1689+E2295+E1386*Prepay_Pen+IF(3=Hold_Yrs,$C2598,0))</f>
        <v>0</v>
      </c>
      <c r="G2901" s="99" t="n">
        <f aca="false">IF(4&gt;Hold_Yrs,0,F1992+F1083+F1386+F1689+F2295+F1386*Prepay_Pen+IF(4=Hold_Yrs,$C2598,0))</f>
        <v>0</v>
      </c>
      <c r="H2901" s="99" t="n">
        <f aca="false">IF(5&gt;Hold_Yrs,0,G1992+G1083+G1386+G1689+G2295+G1386*Prepay_Pen+IF(5=Hold_Yrs,$C2598,0))</f>
        <v>0</v>
      </c>
      <c r="I2901" s="99" t="n">
        <f aca="false">IF(6&gt;Hold_Yrs,0,H1992+H1083+H1386+H1689+H2295+H1386*Prepay_Pen+IF(6=Hold_Yrs,$C2598,0))</f>
        <v>0</v>
      </c>
      <c r="J2901" s="99" t="n">
        <f aca="false">IF(7&gt;Hold_Yrs,0,I1992+I1083+I1386+I1689+I2295+I1386*Prepay_Pen+IF(7=Hold_Yrs,$C2598,0))</f>
        <v>0</v>
      </c>
      <c r="K2901" s="99" t="n">
        <f aca="false">IF(8&gt;Hold_Yrs,0,J1992+J1083+J1386+J1689+J2295+J1386*Prepay_Pen+IF(8=Hold_Yrs,$C2598,0))</f>
        <v>0</v>
      </c>
      <c r="L2901" s="99" t="n">
        <f aca="false">IF(9&gt;Hold_Yrs,0,K1992+K1083+K1386+K1689+K2295+K1386*Prepay_Pen+IF(9=Hold_Yrs,$C2598,0))</f>
        <v>0</v>
      </c>
      <c r="M2901" s="99" t="n">
        <f aca="false">IF(10&gt;Hold_Yrs,0,L1992+L1083+L1386+L1689+L2295+L1386*Prepay_Pen+IF(10=Hold_Yrs,$C2598,0))</f>
        <v>0</v>
      </c>
    </row>
    <row r="2902" customFormat="false" ht="15" hidden="false" customHeight="false" outlineLevel="0" collapsed="false">
      <c r="B2902" s="108" t="n">
        <f aca="false">'Loan Tape'!$A171</f>
        <v>0</v>
      </c>
      <c r="C2902" s="71" t="n">
        <f aca="false">-'Loan Tape'!$BB171</f>
        <v>-0</v>
      </c>
      <c r="D2902" s="71" t="n">
        <f aca="false">IF(1&gt;Hold_Yrs,0,C1993+C1084+C1387+C1690+C2296+C1387*Prepay_Pen+IF(1=Hold_Yrs,$C2599,0))</f>
        <v>0</v>
      </c>
      <c r="E2902" s="71" t="n">
        <f aca="false">IF(2&gt;Hold_Yrs,0,D1993+D1084+D1387+D1690+D2296+D1387*Prepay_Pen+IF(2=Hold_Yrs,$C2599,0))</f>
        <v>0</v>
      </c>
      <c r="F2902" s="71" t="n">
        <f aca="false">IF(3&gt;Hold_Yrs,0,E1993+E1084+E1387+E1690+E2296+E1387*Prepay_Pen+IF(3=Hold_Yrs,$C2599,0))</f>
        <v>0</v>
      </c>
      <c r="G2902" s="71" t="n">
        <f aca="false">IF(4&gt;Hold_Yrs,0,F1993+F1084+F1387+F1690+F2296+F1387*Prepay_Pen+IF(4=Hold_Yrs,$C2599,0))</f>
        <v>0</v>
      </c>
      <c r="H2902" s="71" t="n">
        <f aca="false">IF(5&gt;Hold_Yrs,0,G1993+G1084+G1387+G1690+G2296+G1387*Prepay_Pen+IF(5=Hold_Yrs,$C2599,0))</f>
        <v>0</v>
      </c>
      <c r="I2902" s="71" t="n">
        <f aca="false">IF(6&gt;Hold_Yrs,0,H1993+H1084+H1387+H1690+H2296+H1387*Prepay_Pen+IF(6=Hold_Yrs,$C2599,0))</f>
        <v>0</v>
      </c>
      <c r="J2902" s="71" t="n">
        <f aca="false">IF(7&gt;Hold_Yrs,0,I1993+I1084+I1387+I1690+I2296+I1387*Prepay_Pen+IF(7=Hold_Yrs,$C2599,0))</f>
        <v>0</v>
      </c>
      <c r="K2902" s="71" t="n">
        <f aca="false">IF(8&gt;Hold_Yrs,0,J1993+J1084+J1387+J1690+J2296+J1387*Prepay_Pen+IF(8=Hold_Yrs,$C2599,0))</f>
        <v>0</v>
      </c>
      <c r="L2902" s="71" t="n">
        <f aca="false">IF(9&gt;Hold_Yrs,0,K1993+K1084+K1387+K1690+K2296+K1387*Prepay_Pen+IF(9=Hold_Yrs,$C2599,0))</f>
        <v>0</v>
      </c>
      <c r="M2902" s="71" t="n">
        <f aca="false">IF(10&gt;Hold_Yrs,0,L1993+L1084+L1387+L1690+L2296+L1387*Prepay_Pen+IF(10=Hold_Yrs,$C2599,0))</f>
        <v>0</v>
      </c>
    </row>
    <row r="2903" customFormat="false" ht="15" hidden="false" customHeight="false" outlineLevel="0" collapsed="false">
      <c r="B2903" s="102" t="n">
        <f aca="false">'Loan Tape'!$A172</f>
        <v>0</v>
      </c>
      <c r="C2903" s="99" t="n">
        <f aca="false">-'Loan Tape'!$BB172</f>
        <v>-0</v>
      </c>
      <c r="D2903" s="99" t="n">
        <f aca="false">IF(1&gt;Hold_Yrs,0,C1994+C1085+C1388+C1691+C2297+C1388*Prepay_Pen+IF(1=Hold_Yrs,$C2600,0))</f>
        <v>0</v>
      </c>
      <c r="E2903" s="99" t="n">
        <f aca="false">IF(2&gt;Hold_Yrs,0,D1994+D1085+D1388+D1691+D2297+D1388*Prepay_Pen+IF(2=Hold_Yrs,$C2600,0))</f>
        <v>0</v>
      </c>
      <c r="F2903" s="99" t="n">
        <f aca="false">IF(3&gt;Hold_Yrs,0,E1994+E1085+E1388+E1691+E2297+E1388*Prepay_Pen+IF(3=Hold_Yrs,$C2600,0))</f>
        <v>0</v>
      </c>
      <c r="G2903" s="99" t="n">
        <f aca="false">IF(4&gt;Hold_Yrs,0,F1994+F1085+F1388+F1691+F2297+F1388*Prepay_Pen+IF(4=Hold_Yrs,$C2600,0))</f>
        <v>0</v>
      </c>
      <c r="H2903" s="99" t="n">
        <f aca="false">IF(5&gt;Hold_Yrs,0,G1994+G1085+G1388+G1691+G2297+G1388*Prepay_Pen+IF(5=Hold_Yrs,$C2600,0))</f>
        <v>0</v>
      </c>
      <c r="I2903" s="99" t="n">
        <f aca="false">IF(6&gt;Hold_Yrs,0,H1994+H1085+H1388+H1691+H2297+H1388*Prepay_Pen+IF(6=Hold_Yrs,$C2600,0))</f>
        <v>0</v>
      </c>
      <c r="J2903" s="99" t="n">
        <f aca="false">IF(7&gt;Hold_Yrs,0,I1994+I1085+I1388+I1691+I2297+I1388*Prepay_Pen+IF(7=Hold_Yrs,$C2600,0))</f>
        <v>0</v>
      </c>
      <c r="K2903" s="99" t="n">
        <f aca="false">IF(8&gt;Hold_Yrs,0,J1994+J1085+J1388+J1691+J2297+J1388*Prepay_Pen+IF(8=Hold_Yrs,$C2600,0))</f>
        <v>0</v>
      </c>
      <c r="L2903" s="99" t="n">
        <f aca="false">IF(9&gt;Hold_Yrs,0,K1994+K1085+K1388+K1691+K2297+K1388*Prepay_Pen+IF(9=Hold_Yrs,$C2600,0))</f>
        <v>0</v>
      </c>
      <c r="M2903" s="99" t="n">
        <f aca="false">IF(10&gt;Hold_Yrs,0,L1994+L1085+L1388+L1691+L2297+L1388*Prepay_Pen+IF(10=Hold_Yrs,$C2600,0))</f>
        <v>0</v>
      </c>
    </row>
    <row r="2904" customFormat="false" ht="15" hidden="false" customHeight="false" outlineLevel="0" collapsed="false">
      <c r="B2904" s="108" t="n">
        <f aca="false">'Loan Tape'!$A173</f>
        <v>0</v>
      </c>
      <c r="C2904" s="71" t="n">
        <f aca="false">-'Loan Tape'!$BB173</f>
        <v>-0</v>
      </c>
      <c r="D2904" s="71" t="n">
        <f aca="false">IF(1&gt;Hold_Yrs,0,C1995+C1086+C1389+C1692+C2298+C1389*Prepay_Pen+IF(1=Hold_Yrs,$C2601,0))</f>
        <v>0</v>
      </c>
      <c r="E2904" s="71" t="n">
        <f aca="false">IF(2&gt;Hold_Yrs,0,D1995+D1086+D1389+D1692+D2298+D1389*Prepay_Pen+IF(2=Hold_Yrs,$C2601,0))</f>
        <v>0</v>
      </c>
      <c r="F2904" s="71" t="n">
        <f aca="false">IF(3&gt;Hold_Yrs,0,E1995+E1086+E1389+E1692+E2298+E1389*Prepay_Pen+IF(3=Hold_Yrs,$C2601,0))</f>
        <v>0</v>
      </c>
      <c r="G2904" s="71" t="n">
        <f aca="false">IF(4&gt;Hold_Yrs,0,F1995+F1086+F1389+F1692+F2298+F1389*Prepay_Pen+IF(4=Hold_Yrs,$C2601,0))</f>
        <v>0</v>
      </c>
      <c r="H2904" s="71" t="n">
        <f aca="false">IF(5&gt;Hold_Yrs,0,G1995+G1086+G1389+G1692+G2298+G1389*Prepay_Pen+IF(5=Hold_Yrs,$C2601,0))</f>
        <v>0</v>
      </c>
      <c r="I2904" s="71" t="n">
        <f aca="false">IF(6&gt;Hold_Yrs,0,H1995+H1086+H1389+H1692+H2298+H1389*Prepay_Pen+IF(6=Hold_Yrs,$C2601,0))</f>
        <v>0</v>
      </c>
      <c r="J2904" s="71" t="n">
        <f aca="false">IF(7&gt;Hold_Yrs,0,I1995+I1086+I1389+I1692+I2298+I1389*Prepay_Pen+IF(7=Hold_Yrs,$C2601,0))</f>
        <v>0</v>
      </c>
      <c r="K2904" s="71" t="n">
        <f aca="false">IF(8&gt;Hold_Yrs,0,J1995+J1086+J1389+J1692+J2298+J1389*Prepay_Pen+IF(8=Hold_Yrs,$C2601,0))</f>
        <v>0</v>
      </c>
      <c r="L2904" s="71" t="n">
        <f aca="false">IF(9&gt;Hold_Yrs,0,K1995+K1086+K1389+K1692+K2298+K1389*Prepay_Pen+IF(9=Hold_Yrs,$C2601,0))</f>
        <v>0</v>
      </c>
      <c r="M2904" s="71" t="n">
        <f aca="false">IF(10&gt;Hold_Yrs,0,L1995+L1086+L1389+L1692+L2298+L1389*Prepay_Pen+IF(10=Hold_Yrs,$C2601,0))</f>
        <v>0</v>
      </c>
    </row>
    <row r="2905" customFormat="false" ht="15" hidden="false" customHeight="false" outlineLevel="0" collapsed="false">
      <c r="B2905" s="102" t="n">
        <f aca="false">'Loan Tape'!$A174</f>
        <v>0</v>
      </c>
      <c r="C2905" s="99" t="n">
        <f aca="false">-'Loan Tape'!$BB174</f>
        <v>-0</v>
      </c>
      <c r="D2905" s="99" t="n">
        <f aca="false">IF(1&gt;Hold_Yrs,0,C1996+C1087+C1390+C1693+C2299+C1390*Prepay_Pen+IF(1=Hold_Yrs,$C2602,0))</f>
        <v>0</v>
      </c>
      <c r="E2905" s="99" t="n">
        <f aca="false">IF(2&gt;Hold_Yrs,0,D1996+D1087+D1390+D1693+D2299+D1390*Prepay_Pen+IF(2=Hold_Yrs,$C2602,0))</f>
        <v>0</v>
      </c>
      <c r="F2905" s="99" t="n">
        <f aca="false">IF(3&gt;Hold_Yrs,0,E1996+E1087+E1390+E1693+E2299+E1390*Prepay_Pen+IF(3=Hold_Yrs,$C2602,0))</f>
        <v>0</v>
      </c>
      <c r="G2905" s="99" t="n">
        <f aca="false">IF(4&gt;Hold_Yrs,0,F1996+F1087+F1390+F1693+F2299+F1390*Prepay_Pen+IF(4=Hold_Yrs,$C2602,0))</f>
        <v>0</v>
      </c>
      <c r="H2905" s="99" t="n">
        <f aca="false">IF(5&gt;Hold_Yrs,0,G1996+G1087+G1390+G1693+G2299+G1390*Prepay_Pen+IF(5=Hold_Yrs,$C2602,0))</f>
        <v>0</v>
      </c>
      <c r="I2905" s="99" t="n">
        <f aca="false">IF(6&gt;Hold_Yrs,0,H1996+H1087+H1390+H1693+H2299+H1390*Prepay_Pen+IF(6=Hold_Yrs,$C2602,0))</f>
        <v>0</v>
      </c>
      <c r="J2905" s="99" t="n">
        <f aca="false">IF(7&gt;Hold_Yrs,0,I1996+I1087+I1390+I1693+I2299+I1390*Prepay_Pen+IF(7=Hold_Yrs,$C2602,0))</f>
        <v>0</v>
      </c>
      <c r="K2905" s="99" t="n">
        <f aca="false">IF(8&gt;Hold_Yrs,0,J1996+J1087+J1390+J1693+J2299+J1390*Prepay_Pen+IF(8=Hold_Yrs,$C2602,0))</f>
        <v>0</v>
      </c>
      <c r="L2905" s="99" t="n">
        <f aca="false">IF(9&gt;Hold_Yrs,0,K1996+K1087+K1390+K1693+K2299+K1390*Prepay_Pen+IF(9=Hold_Yrs,$C2602,0))</f>
        <v>0</v>
      </c>
      <c r="M2905" s="99" t="n">
        <f aca="false">IF(10&gt;Hold_Yrs,0,L1996+L1087+L1390+L1693+L2299+L1390*Prepay_Pen+IF(10=Hold_Yrs,$C2602,0))</f>
        <v>0</v>
      </c>
    </row>
    <row r="2906" customFormat="false" ht="15" hidden="false" customHeight="false" outlineLevel="0" collapsed="false">
      <c r="B2906" s="108" t="n">
        <f aca="false">'Loan Tape'!$A175</f>
        <v>0</v>
      </c>
      <c r="C2906" s="71" t="n">
        <f aca="false">-'Loan Tape'!$BB175</f>
        <v>-0</v>
      </c>
      <c r="D2906" s="71" t="n">
        <f aca="false">IF(1&gt;Hold_Yrs,0,C1997+C1088+C1391+C1694+C2300+C1391*Prepay_Pen+IF(1=Hold_Yrs,$C2603,0))</f>
        <v>0</v>
      </c>
      <c r="E2906" s="71" t="n">
        <f aca="false">IF(2&gt;Hold_Yrs,0,D1997+D1088+D1391+D1694+D2300+D1391*Prepay_Pen+IF(2=Hold_Yrs,$C2603,0))</f>
        <v>0</v>
      </c>
      <c r="F2906" s="71" t="n">
        <f aca="false">IF(3&gt;Hold_Yrs,0,E1997+E1088+E1391+E1694+E2300+E1391*Prepay_Pen+IF(3=Hold_Yrs,$C2603,0))</f>
        <v>0</v>
      </c>
      <c r="G2906" s="71" t="n">
        <f aca="false">IF(4&gt;Hold_Yrs,0,F1997+F1088+F1391+F1694+F2300+F1391*Prepay_Pen+IF(4=Hold_Yrs,$C2603,0))</f>
        <v>0</v>
      </c>
      <c r="H2906" s="71" t="n">
        <f aca="false">IF(5&gt;Hold_Yrs,0,G1997+G1088+G1391+G1694+G2300+G1391*Prepay_Pen+IF(5=Hold_Yrs,$C2603,0))</f>
        <v>0</v>
      </c>
      <c r="I2906" s="71" t="n">
        <f aca="false">IF(6&gt;Hold_Yrs,0,H1997+H1088+H1391+H1694+H2300+H1391*Prepay_Pen+IF(6=Hold_Yrs,$C2603,0))</f>
        <v>0</v>
      </c>
      <c r="J2906" s="71" t="n">
        <f aca="false">IF(7&gt;Hold_Yrs,0,I1997+I1088+I1391+I1694+I2300+I1391*Prepay_Pen+IF(7=Hold_Yrs,$C2603,0))</f>
        <v>0</v>
      </c>
      <c r="K2906" s="71" t="n">
        <f aca="false">IF(8&gt;Hold_Yrs,0,J1997+J1088+J1391+J1694+J2300+J1391*Prepay_Pen+IF(8=Hold_Yrs,$C2603,0))</f>
        <v>0</v>
      </c>
      <c r="L2906" s="71" t="n">
        <f aca="false">IF(9&gt;Hold_Yrs,0,K1997+K1088+K1391+K1694+K2300+K1391*Prepay_Pen+IF(9=Hold_Yrs,$C2603,0))</f>
        <v>0</v>
      </c>
      <c r="M2906" s="71" t="n">
        <f aca="false">IF(10&gt;Hold_Yrs,0,L1997+L1088+L1391+L1694+L2300+L1391*Prepay_Pen+IF(10=Hold_Yrs,$C2603,0))</f>
        <v>0</v>
      </c>
    </row>
    <row r="2907" customFormat="false" ht="15" hidden="false" customHeight="false" outlineLevel="0" collapsed="false">
      <c r="B2907" s="102" t="n">
        <f aca="false">'Loan Tape'!$A176</f>
        <v>0</v>
      </c>
      <c r="C2907" s="99" t="n">
        <f aca="false">-'Loan Tape'!$BB176</f>
        <v>-0</v>
      </c>
      <c r="D2907" s="99" t="n">
        <f aca="false">IF(1&gt;Hold_Yrs,0,C1998+C1089+C1392+C1695+C2301+C1392*Prepay_Pen+IF(1=Hold_Yrs,$C2604,0))</f>
        <v>0</v>
      </c>
      <c r="E2907" s="99" t="n">
        <f aca="false">IF(2&gt;Hold_Yrs,0,D1998+D1089+D1392+D1695+D2301+D1392*Prepay_Pen+IF(2=Hold_Yrs,$C2604,0))</f>
        <v>0</v>
      </c>
      <c r="F2907" s="99" t="n">
        <f aca="false">IF(3&gt;Hold_Yrs,0,E1998+E1089+E1392+E1695+E2301+E1392*Prepay_Pen+IF(3=Hold_Yrs,$C2604,0))</f>
        <v>0</v>
      </c>
      <c r="G2907" s="99" t="n">
        <f aca="false">IF(4&gt;Hold_Yrs,0,F1998+F1089+F1392+F1695+F2301+F1392*Prepay_Pen+IF(4=Hold_Yrs,$C2604,0))</f>
        <v>0</v>
      </c>
      <c r="H2907" s="99" t="n">
        <f aca="false">IF(5&gt;Hold_Yrs,0,G1998+G1089+G1392+G1695+G2301+G1392*Prepay_Pen+IF(5=Hold_Yrs,$C2604,0))</f>
        <v>0</v>
      </c>
      <c r="I2907" s="99" t="n">
        <f aca="false">IF(6&gt;Hold_Yrs,0,H1998+H1089+H1392+H1695+H2301+H1392*Prepay_Pen+IF(6=Hold_Yrs,$C2604,0))</f>
        <v>0</v>
      </c>
      <c r="J2907" s="99" t="n">
        <f aca="false">IF(7&gt;Hold_Yrs,0,I1998+I1089+I1392+I1695+I2301+I1392*Prepay_Pen+IF(7=Hold_Yrs,$C2604,0))</f>
        <v>0</v>
      </c>
      <c r="K2907" s="99" t="n">
        <f aca="false">IF(8&gt;Hold_Yrs,0,J1998+J1089+J1392+J1695+J2301+J1392*Prepay_Pen+IF(8=Hold_Yrs,$C2604,0))</f>
        <v>0</v>
      </c>
      <c r="L2907" s="99" t="n">
        <f aca="false">IF(9&gt;Hold_Yrs,0,K1998+K1089+K1392+K1695+K2301+K1392*Prepay_Pen+IF(9=Hold_Yrs,$C2604,0))</f>
        <v>0</v>
      </c>
      <c r="M2907" s="99" t="n">
        <f aca="false">IF(10&gt;Hold_Yrs,0,L1998+L1089+L1392+L1695+L2301+L1392*Prepay_Pen+IF(10=Hold_Yrs,$C2604,0))</f>
        <v>0</v>
      </c>
    </row>
    <row r="2908" customFormat="false" ht="15" hidden="false" customHeight="false" outlineLevel="0" collapsed="false">
      <c r="B2908" s="108" t="n">
        <f aca="false">'Loan Tape'!$A177</f>
        <v>0</v>
      </c>
      <c r="C2908" s="71" t="n">
        <f aca="false">-'Loan Tape'!$BB177</f>
        <v>-0</v>
      </c>
      <c r="D2908" s="71" t="n">
        <f aca="false">IF(1&gt;Hold_Yrs,0,C1999+C1090+C1393+C1696+C2302+C1393*Prepay_Pen+IF(1=Hold_Yrs,$C2605,0))</f>
        <v>0</v>
      </c>
      <c r="E2908" s="71" t="n">
        <f aca="false">IF(2&gt;Hold_Yrs,0,D1999+D1090+D1393+D1696+D2302+D1393*Prepay_Pen+IF(2=Hold_Yrs,$C2605,0))</f>
        <v>0</v>
      </c>
      <c r="F2908" s="71" t="n">
        <f aca="false">IF(3&gt;Hold_Yrs,0,E1999+E1090+E1393+E1696+E2302+E1393*Prepay_Pen+IF(3=Hold_Yrs,$C2605,0))</f>
        <v>0</v>
      </c>
      <c r="G2908" s="71" t="n">
        <f aca="false">IF(4&gt;Hold_Yrs,0,F1999+F1090+F1393+F1696+F2302+F1393*Prepay_Pen+IF(4=Hold_Yrs,$C2605,0))</f>
        <v>0</v>
      </c>
      <c r="H2908" s="71" t="n">
        <f aca="false">IF(5&gt;Hold_Yrs,0,G1999+G1090+G1393+G1696+G2302+G1393*Prepay_Pen+IF(5=Hold_Yrs,$C2605,0))</f>
        <v>0</v>
      </c>
      <c r="I2908" s="71" t="n">
        <f aca="false">IF(6&gt;Hold_Yrs,0,H1999+H1090+H1393+H1696+H2302+H1393*Prepay_Pen+IF(6=Hold_Yrs,$C2605,0))</f>
        <v>0</v>
      </c>
      <c r="J2908" s="71" t="n">
        <f aca="false">IF(7&gt;Hold_Yrs,0,I1999+I1090+I1393+I1696+I2302+I1393*Prepay_Pen+IF(7=Hold_Yrs,$C2605,0))</f>
        <v>0</v>
      </c>
      <c r="K2908" s="71" t="n">
        <f aca="false">IF(8&gt;Hold_Yrs,0,J1999+J1090+J1393+J1696+J2302+J1393*Prepay_Pen+IF(8=Hold_Yrs,$C2605,0))</f>
        <v>0</v>
      </c>
      <c r="L2908" s="71" t="n">
        <f aca="false">IF(9&gt;Hold_Yrs,0,K1999+K1090+K1393+K1696+K2302+K1393*Prepay_Pen+IF(9=Hold_Yrs,$C2605,0))</f>
        <v>0</v>
      </c>
      <c r="M2908" s="71" t="n">
        <f aca="false">IF(10&gt;Hold_Yrs,0,L1999+L1090+L1393+L1696+L2302+L1393*Prepay_Pen+IF(10=Hold_Yrs,$C2605,0))</f>
        <v>0</v>
      </c>
    </row>
    <row r="2909" customFormat="false" ht="15" hidden="false" customHeight="false" outlineLevel="0" collapsed="false">
      <c r="B2909" s="102" t="n">
        <f aca="false">'Loan Tape'!$A178</f>
        <v>0</v>
      </c>
      <c r="C2909" s="99" t="n">
        <f aca="false">-'Loan Tape'!$BB178</f>
        <v>-0</v>
      </c>
      <c r="D2909" s="99" t="n">
        <f aca="false">IF(1&gt;Hold_Yrs,0,C2000+C1091+C1394+C1697+C2303+C1394*Prepay_Pen+IF(1=Hold_Yrs,$C2606,0))</f>
        <v>0</v>
      </c>
      <c r="E2909" s="99" t="n">
        <f aca="false">IF(2&gt;Hold_Yrs,0,D2000+D1091+D1394+D1697+D2303+D1394*Prepay_Pen+IF(2=Hold_Yrs,$C2606,0))</f>
        <v>0</v>
      </c>
      <c r="F2909" s="99" t="n">
        <f aca="false">IF(3&gt;Hold_Yrs,0,E2000+E1091+E1394+E1697+E2303+E1394*Prepay_Pen+IF(3=Hold_Yrs,$C2606,0))</f>
        <v>0</v>
      </c>
      <c r="G2909" s="99" t="n">
        <f aca="false">IF(4&gt;Hold_Yrs,0,F2000+F1091+F1394+F1697+F2303+F1394*Prepay_Pen+IF(4=Hold_Yrs,$C2606,0))</f>
        <v>0</v>
      </c>
      <c r="H2909" s="99" t="n">
        <f aca="false">IF(5&gt;Hold_Yrs,0,G2000+G1091+G1394+G1697+G2303+G1394*Prepay_Pen+IF(5=Hold_Yrs,$C2606,0))</f>
        <v>0</v>
      </c>
      <c r="I2909" s="99" t="n">
        <f aca="false">IF(6&gt;Hold_Yrs,0,H2000+H1091+H1394+H1697+H2303+H1394*Prepay_Pen+IF(6=Hold_Yrs,$C2606,0))</f>
        <v>0</v>
      </c>
      <c r="J2909" s="99" t="n">
        <f aca="false">IF(7&gt;Hold_Yrs,0,I2000+I1091+I1394+I1697+I2303+I1394*Prepay_Pen+IF(7=Hold_Yrs,$C2606,0))</f>
        <v>0</v>
      </c>
      <c r="K2909" s="99" t="n">
        <f aca="false">IF(8&gt;Hold_Yrs,0,J2000+J1091+J1394+J1697+J2303+J1394*Prepay_Pen+IF(8=Hold_Yrs,$C2606,0))</f>
        <v>0</v>
      </c>
      <c r="L2909" s="99" t="n">
        <f aca="false">IF(9&gt;Hold_Yrs,0,K2000+K1091+K1394+K1697+K2303+K1394*Prepay_Pen+IF(9=Hold_Yrs,$C2606,0))</f>
        <v>0</v>
      </c>
      <c r="M2909" s="99" t="n">
        <f aca="false">IF(10&gt;Hold_Yrs,0,L2000+L1091+L1394+L1697+L2303+L1394*Prepay_Pen+IF(10=Hold_Yrs,$C2606,0))</f>
        <v>0</v>
      </c>
    </row>
    <row r="2910" customFormat="false" ht="15" hidden="false" customHeight="false" outlineLevel="0" collapsed="false">
      <c r="B2910" s="108" t="n">
        <f aca="false">'Loan Tape'!$A179</f>
        <v>0</v>
      </c>
      <c r="C2910" s="71" t="n">
        <f aca="false">-'Loan Tape'!$BB179</f>
        <v>-0</v>
      </c>
      <c r="D2910" s="71" t="n">
        <f aca="false">IF(1&gt;Hold_Yrs,0,C2001+C1092+C1395+C1698+C2304+C1395*Prepay_Pen+IF(1=Hold_Yrs,$C2607,0))</f>
        <v>0</v>
      </c>
      <c r="E2910" s="71" t="n">
        <f aca="false">IF(2&gt;Hold_Yrs,0,D2001+D1092+D1395+D1698+D2304+D1395*Prepay_Pen+IF(2=Hold_Yrs,$C2607,0))</f>
        <v>0</v>
      </c>
      <c r="F2910" s="71" t="n">
        <f aca="false">IF(3&gt;Hold_Yrs,0,E2001+E1092+E1395+E1698+E2304+E1395*Prepay_Pen+IF(3=Hold_Yrs,$C2607,0))</f>
        <v>0</v>
      </c>
      <c r="G2910" s="71" t="n">
        <f aca="false">IF(4&gt;Hold_Yrs,0,F2001+F1092+F1395+F1698+F2304+F1395*Prepay_Pen+IF(4=Hold_Yrs,$C2607,0))</f>
        <v>0</v>
      </c>
      <c r="H2910" s="71" t="n">
        <f aca="false">IF(5&gt;Hold_Yrs,0,G2001+G1092+G1395+G1698+G2304+G1395*Prepay_Pen+IF(5=Hold_Yrs,$C2607,0))</f>
        <v>0</v>
      </c>
      <c r="I2910" s="71" t="n">
        <f aca="false">IF(6&gt;Hold_Yrs,0,H2001+H1092+H1395+H1698+H2304+H1395*Prepay_Pen+IF(6=Hold_Yrs,$C2607,0))</f>
        <v>0</v>
      </c>
      <c r="J2910" s="71" t="n">
        <f aca="false">IF(7&gt;Hold_Yrs,0,I2001+I1092+I1395+I1698+I2304+I1395*Prepay_Pen+IF(7=Hold_Yrs,$C2607,0))</f>
        <v>0</v>
      </c>
      <c r="K2910" s="71" t="n">
        <f aca="false">IF(8&gt;Hold_Yrs,0,J2001+J1092+J1395+J1698+J2304+J1395*Prepay_Pen+IF(8=Hold_Yrs,$C2607,0))</f>
        <v>0</v>
      </c>
      <c r="L2910" s="71" t="n">
        <f aca="false">IF(9&gt;Hold_Yrs,0,K2001+K1092+K1395+K1698+K2304+K1395*Prepay_Pen+IF(9=Hold_Yrs,$C2607,0))</f>
        <v>0</v>
      </c>
      <c r="M2910" s="71" t="n">
        <f aca="false">IF(10&gt;Hold_Yrs,0,L2001+L1092+L1395+L1698+L2304+L1395*Prepay_Pen+IF(10=Hold_Yrs,$C2607,0))</f>
        <v>0</v>
      </c>
    </row>
    <row r="2911" customFormat="false" ht="15" hidden="false" customHeight="false" outlineLevel="0" collapsed="false">
      <c r="B2911" s="102" t="n">
        <f aca="false">'Loan Tape'!$A180</f>
        <v>0</v>
      </c>
      <c r="C2911" s="99" t="n">
        <f aca="false">-'Loan Tape'!$BB180</f>
        <v>-0</v>
      </c>
      <c r="D2911" s="99" t="n">
        <f aca="false">IF(1&gt;Hold_Yrs,0,C2002+C1093+C1396+C1699+C2305+C1396*Prepay_Pen+IF(1=Hold_Yrs,$C2608,0))</f>
        <v>0</v>
      </c>
      <c r="E2911" s="99" t="n">
        <f aca="false">IF(2&gt;Hold_Yrs,0,D2002+D1093+D1396+D1699+D2305+D1396*Prepay_Pen+IF(2=Hold_Yrs,$C2608,0))</f>
        <v>0</v>
      </c>
      <c r="F2911" s="99" t="n">
        <f aca="false">IF(3&gt;Hold_Yrs,0,E2002+E1093+E1396+E1699+E2305+E1396*Prepay_Pen+IF(3=Hold_Yrs,$C2608,0))</f>
        <v>0</v>
      </c>
      <c r="G2911" s="99" t="n">
        <f aca="false">IF(4&gt;Hold_Yrs,0,F2002+F1093+F1396+F1699+F2305+F1396*Prepay_Pen+IF(4=Hold_Yrs,$C2608,0))</f>
        <v>0</v>
      </c>
      <c r="H2911" s="99" t="n">
        <f aca="false">IF(5&gt;Hold_Yrs,0,G2002+G1093+G1396+G1699+G2305+G1396*Prepay_Pen+IF(5=Hold_Yrs,$C2608,0))</f>
        <v>0</v>
      </c>
      <c r="I2911" s="99" t="n">
        <f aca="false">IF(6&gt;Hold_Yrs,0,H2002+H1093+H1396+H1699+H2305+H1396*Prepay_Pen+IF(6=Hold_Yrs,$C2608,0))</f>
        <v>0</v>
      </c>
      <c r="J2911" s="99" t="n">
        <f aca="false">IF(7&gt;Hold_Yrs,0,I2002+I1093+I1396+I1699+I2305+I1396*Prepay_Pen+IF(7=Hold_Yrs,$C2608,0))</f>
        <v>0</v>
      </c>
      <c r="K2911" s="99" t="n">
        <f aca="false">IF(8&gt;Hold_Yrs,0,J2002+J1093+J1396+J1699+J2305+J1396*Prepay_Pen+IF(8=Hold_Yrs,$C2608,0))</f>
        <v>0</v>
      </c>
      <c r="L2911" s="99" t="n">
        <f aca="false">IF(9&gt;Hold_Yrs,0,K2002+K1093+K1396+K1699+K2305+K1396*Prepay_Pen+IF(9=Hold_Yrs,$C2608,0))</f>
        <v>0</v>
      </c>
      <c r="M2911" s="99" t="n">
        <f aca="false">IF(10&gt;Hold_Yrs,0,L2002+L1093+L1396+L1699+L2305+L1396*Prepay_Pen+IF(10=Hold_Yrs,$C2608,0))</f>
        <v>0</v>
      </c>
    </row>
    <row r="2912" customFormat="false" ht="15" hidden="false" customHeight="false" outlineLevel="0" collapsed="false">
      <c r="B2912" s="108" t="n">
        <f aca="false">'Loan Tape'!$A181</f>
        <v>0</v>
      </c>
      <c r="C2912" s="71" t="n">
        <f aca="false">-'Loan Tape'!$BB181</f>
        <v>-0</v>
      </c>
      <c r="D2912" s="71" t="n">
        <f aca="false">IF(1&gt;Hold_Yrs,0,C2003+C1094+C1397+C1700+C2306+C1397*Prepay_Pen+IF(1=Hold_Yrs,$C2609,0))</f>
        <v>0</v>
      </c>
      <c r="E2912" s="71" t="n">
        <f aca="false">IF(2&gt;Hold_Yrs,0,D2003+D1094+D1397+D1700+D2306+D1397*Prepay_Pen+IF(2=Hold_Yrs,$C2609,0))</f>
        <v>0</v>
      </c>
      <c r="F2912" s="71" t="n">
        <f aca="false">IF(3&gt;Hold_Yrs,0,E2003+E1094+E1397+E1700+E2306+E1397*Prepay_Pen+IF(3=Hold_Yrs,$C2609,0))</f>
        <v>0</v>
      </c>
      <c r="G2912" s="71" t="n">
        <f aca="false">IF(4&gt;Hold_Yrs,0,F2003+F1094+F1397+F1700+F2306+F1397*Prepay_Pen+IF(4=Hold_Yrs,$C2609,0))</f>
        <v>0</v>
      </c>
      <c r="H2912" s="71" t="n">
        <f aca="false">IF(5&gt;Hold_Yrs,0,G2003+G1094+G1397+G1700+G2306+G1397*Prepay_Pen+IF(5=Hold_Yrs,$C2609,0))</f>
        <v>0</v>
      </c>
      <c r="I2912" s="71" t="n">
        <f aca="false">IF(6&gt;Hold_Yrs,0,H2003+H1094+H1397+H1700+H2306+H1397*Prepay_Pen+IF(6=Hold_Yrs,$C2609,0))</f>
        <v>0</v>
      </c>
      <c r="J2912" s="71" t="n">
        <f aca="false">IF(7&gt;Hold_Yrs,0,I2003+I1094+I1397+I1700+I2306+I1397*Prepay_Pen+IF(7=Hold_Yrs,$C2609,0))</f>
        <v>0</v>
      </c>
      <c r="K2912" s="71" t="n">
        <f aca="false">IF(8&gt;Hold_Yrs,0,J2003+J1094+J1397+J1700+J2306+J1397*Prepay_Pen+IF(8=Hold_Yrs,$C2609,0))</f>
        <v>0</v>
      </c>
      <c r="L2912" s="71" t="n">
        <f aca="false">IF(9&gt;Hold_Yrs,0,K2003+K1094+K1397+K1700+K2306+K1397*Prepay_Pen+IF(9=Hold_Yrs,$C2609,0))</f>
        <v>0</v>
      </c>
      <c r="M2912" s="71" t="n">
        <f aca="false">IF(10&gt;Hold_Yrs,0,L2003+L1094+L1397+L1700+L2306+L1397*Prepay_Pen+IF(10=Hold_Yrs,$C2609,0))</f>
        <v>0</v>
      </c>
    </row>
    <row r="2913" customFormat="false" ht="15" hidden="false" customHeight="false" outlineLevel="0" collapsed="false">
      <c r="B2913" s="102" t="n">
        <f aca="false">'Loan Tape'!$A182</f>
        <v>0</v>
      </c>
      <c r="C2913" s="99" t="n">
        <f aca="false">-'Loan Tape'!$BB182</f>
        <v>-0</v>
      </c>
      <c r="D2913" s="99" t="n">
        <f aca="false">IF(1&gt;Hold_Yrs,0,C2004+C1095+C1398+C1701+C2307+C1398*Prepay_Pen+IF(1=Hold_Yrs,$C2610,0))</f>
        <v>0</v>
      </c>
      <c r="E2913" s="99" t="n">
        <f aca="false">IF(2&gt;Hold_Yrs,0,D2004+D1095+D1398+D1701+D2307+D1398*Prepay_Pen+IF(2=Hold_Yrs,$C2610,0))</f>
        <v>0</v>
      </c>
      <c r="F2913" s="99" t="n">
        <f aca="false">IF(3&gt;Hold_Yrs,0,E2004+E1095+E1398+E1701+E2307+E1398*Prepay_Pen+IF(3=Hold_Yrs,$C2610,0))</f>
        <v>0</v>
      </c>
      <c r="G2913" s="99" t="n">
        <f aca="false">IF(4&gt;Hold_Yrs,0,F2004+F1095+F1398+F1701+F2307+F1398*Prepay_Pen+IF(4=Hold_Yrs,$C2610,0))</f>
        <v>0</v>
      </c>
      <c r="H2913" s="99" t="n">
        <f aca="false">IF(5&gt;Hold_Yrs,0,G2004+G1095+G1398+G1701+G2307+G1398*Prepay_Pen+IF(5=Hold_Yrs,$C2610,0))</f>
        <v>0</v>
      </c>
      <c r="I2913" s="99" t="n">
        <f aca="false">IF(6&gt;Hold_Yrs,0,H2004+H1095+H1398+H1701+H2307+H1398*Prepay_Pen+IF(6=Hold_Yrs,$C2610,0))</f>
        <v>0</v>
      </c>
      <c r="J2913" s="99" t="n">
        <f aca="false">IF(7&gt;Hold_Yrs,0,I2004+I1095+I1398+I1701+I2307+I1398*Prepay_Pen+IF(7=Hold_Yrs,$C2610,0))</f>
        <v>0</v>
      </c>
      <c r="K2913" s="99" t="n">
        <f aca="false">IF(8&gt;Hold_Yrs,0,J2004+J1095+J1398+J1701+J2307+J1398*Prepay_Pen+IF(8=Hold_Yrs,$C2610,0))</f>
        <v>0</v>
      </c>
      <c r="L2913" s="99" t="n">
        <f aca="false">IF(9&gt;Hold_Yrs,0,K2004+K1095+K1398+K1701+K2307+K1398*Prepay_Pen+IF(9=Hold_Yrs,$C2610,0))</f>
        <v>0</v>
      </c>
      <c r="M2913" s="99" t="n">
        <f aca="false">IF(10&gt;Hold_Yrs,0,L2004+L1095+L1398+L1701+L2307+L1398*Prepay_Pen+IF(10=Hold_Yrs,$C2610,0))</f>
        <v>0</v>
      </c>
    </row>
    <row r="2914" customFormat="false" ht="15" hidden="false" customHeight="false" outlineLevel="0" collapsed="false">
      <c r="B2914" s="108" t="n">
        <f aca="false">'Loan Tape'!$A183</f>
        <v>0</v>
      </c>
      <c r="C2914" s="71" t="n">
        <f aca="false">-'Loan Tape'!$BB183</f>
        <v>-0</v>
      </c>
      <c r="D2914" s="71" t="n">
        <f aca="false">IF(1&gt;Hold_Yrs,0,C2005+C1096+C1399+C1702+C2308+C1399*Prepay_Pen+IF(1=Hold_Yrs,$C2611,0))</f>
        <v>0</v>
      </c>
      <c r="E2914" s="71" t="n">
        <f aca="false">IF(2&gt;Hold_Yrs,0,D2005+D1096+D1399+D1702+D2308+D1399*Prepay_Pen+IF(2=Hold_Yrs,$C2611,0))</f>
        <v>0</v>
      </c>
      <c r="F2914" s="71" t="n">
        <f aca="false">IF(3&gt;Hold_Yrs,0,E2005+E1096+E1399+E1702+E2308+E1399*Prepay_Pen+IF(3=Hold_Yrs,$C2611,0))</f>
        <v>0</v>
      </c>
      <c r="G2914" s="71" t="n">
        <f aca="false">IF(4&gt;Hold_Yrs,0,F2005+F1096+F1399+F1702+F2308+F1399*Prepay_Pen+IF(4=Hold_Yrs,$C2611,0))</f>
        <v>0</v>
      </c>
      <c r="H2914" s="71" t="n">
        <f aca="false">IF(5&gt;Hold_Yrs,0,G2005+G1096+G1399+G1702+G2308+G1399*Prepay_Pen+IF(5=Hold_Yrs,$C2611,0))</f>
        <v>0</v>
      </c>
      <c r="I2914" s="71" t="n">
        <f aca="false">IF(6&gt;Hold_Yrs,0,H2005+H1096+H1399+H1702+H2308+H1399*Prepay_Pen+IF(6=Hold_Yrs,$C2611,0))</f>
        <v>0</v>
      </c>
      <c r="J2914" s="71" t="n">
        <f aca="false">IF(7&gt;Hold_Yrs,0,I2005+I1096+I1399+I1702+I2308+I1399*Prepay_Pen+IF(7=Hold_Yrs,$C2611,0))</f>
        <v>0</v>
      </c>
      <c r="K2914" s="71" t="n">
        <f aca="false">IF(8&gt;Hold_Yrs,0,J2005+J1096+J1399+J1702+J2308+J1399*Prepay_Pen+IF(8=Hold_Yrs,$C2611,0))</f>
        <v>0</v>
      </c>
      <c r="L2914" s="71" t="n">
        <f aca="false">IF(9&gt;Hold_Yrs,0,K2005+K1096+K1399+K1702+K2308+K1399*Prepay_Pen+IF(9=Hold_Yrs,$C2611,0))</f>
        <v>0</v>
      </c>
      <c r="M2914" s="71" t="n">
        <f aca="false">IF(10&gt;Hold_Yrs,0,L2005+L1096+L1399+L1702+L2308+L1399*Prepay_Pen+IF(10=Hold_Yrs,$C2611,0))</f>
        <v>0</v>
      </c>
    </row>
    <row r="2915" customFormat="false" ht="15" hidden="false" customHeight="false" outlineLevel="0" collapsed="false">
      <c r="B2915" s="102" t="n">
        <f aca="false">'Loan Tape'!$A184</f>
        <v>0</v>
      </c>
      <c r="C2915" s="99" t="n">
        <f aca="false">-'Loan Tape'!$BB184</f>
        <v>-0</v>
      </c>
      <c r="D2915" s="99" t="n">
        <f aca="false">IF(1&gt;Hold_Yrs,0,C2006+C1097+C1400+C1703+C2309+C1400*Prepay_Pen+IF(1=Hold_Yrs,$C2612,0))</f>
        <v>0</v>
      </c>
      <c r="E2915" s="99" t="n">
        <f aca="false">IF(2&gt;Hold_Yrs,0,D2006+D1097+D1400+D1703+D2309+D1400*Prepay_Pen+IF(2=Hold_Yrs,$C2612,0))</f>
        <v>0</v>
      </c>
      <c r="F2915" s="99" t="n">
        <f aca="false">IF(3&gt;Hold_Yrs,0,E2006+E1097+E1400+E1703+E2309+E1400*Prepay_Pen+IF(3=Hold_Yrs,$C2612,0))</f>
        <v>0</v>
      </c>
      <c r="G2915" s="99" t="n">
        <f aca="false">IF(4&gt;Hold_Yrs,0,F2006+F1097+F1400+F1703+F2309+F1400*Prepay_Pen+IF(4=Hold_Yrs,$C2612,0))</f>
        <v>0</v>
      </c>
      <c r="H2915" s="99" t="n">
        <f aca="false">IF(5&gt;Hold_Yrs,0,G2006+G1097+G1400+G1703+G2309+G1400*Prepay_Pen+IF(5=Hold_Yrs,$C2612,0))</f>
        <v>0</v>
      </c>
      <c r="I2915" s="99" t="n">
        <f aca="false">IF(6&gt;Hold_Yrs,0,H2006+H1097+H1400+H1703+H2309+H1400*Prepay_Pen+IF(6=Hold_Yrs,$C2612,0))</f>
        <v>0</v>
      </c>
      <c r="J2915" s="99" t="n">
        <f aca="false">IF(7&gt;Hold_Yrs,0,I2006+I1097+I1400+I1703+I2309+I1400*Prepay_Pen+IF(7=Hold_Yrs,$C2612,0))</f>
        <v>0</v>
      </c>
      <c r="K2915" s="99" t="n">
        <f aca="false">IF(8&gt;Hold_Yrs,0,J2006+J1097+J1400+J1703+J2309+J1400*Prepay_Pen+IF(8=Hold_Yrs,$C2612,0))</f>
        <v>0</v>
      </c>
      <c r="L2915" s="99" t="n">
        <f aca="false">IF(9&gt;Hold_Yrs,0,K2006+K1097+K1400+K1703+K2309+K1400*Prepay_Pen+IF(9=Hold_Yrs,$C2612,0))</f>
        <v>0</v>
      </c>
      <c r="M2915" s="99" t="n">
        <f aca="false">IF(10&gt;Hold_Yrs,0,L2006+L1097+L1400+L1703+L2309+L1400*Prepay_Pen+IF(10=Hold_Yrs,$C2612,0))</f>
        <v>0</v>
      </c>
    </row>
    <row r="2916" customFormat="false" ht="15" hidden="false" customHeight="false" outlineLevel="0" collapsed="false">
      <c r="B2916" s="108" t="n">
        <f aca="false">'Loan Tape'!$A185</f>
        <v>0</v>
      </c>
      <c r="C2916" s="71" t="n">
        <f aca="false">-'Loan Tape'!$BB185</f>
        <v>-0</v>
      </c>
      <c r="D2916" s="71" t="n">
        <f aca="false">IF(1&gt;Hold_Yrs,0,C2007+C1098+C1401+C1704+C2310+C1401*Prepay_Pen+IF(1=Hold_Yrs,$C2613,0))</f>
        <v>0</v>
      </c>
      <c r="E2916" s="71" t="n">
        <f aca="false">IF(2&gt;Hold_Yrs,0,D2007+D1098+D1401+D1704+D2310+D1401*Prepay_Pen+IF(2=Hold_Yrs,$C2613,0))</f>
        <v>0</v>
      </c>
      <c r="F2916" s="71" t="n">
        <f aca="false">IF(3&gt;Hold_Yrs,0,E2007+E1098+E1401+E1704+E2310+E1401*Prepay_Pen+IF(3=Hold_Yrs,$C2613,0))</f>
        <v>0</v>
      </c>
      <c r="G2916" s="71" t="n">
        <f aca="false">IF(4&gt;Hold_Yrs,0,F2007+F1098+F1401+F1704+F2310+F1401*Prepay_Pen+IF(4=Hold_Yrs,$C2613,0))</f>
        <v>0</v>
      </c>
      <c r="H2916" s="71" t="n">
        <f aca="false">IF(5&gt;Hold_Yrs,0,G2007+G1098+G1401+G1704+G2310+G1401*Prepay_Pen+IF(5=Hold_Yrs,$C2613,0))</f>
        <v>0</v>
      </c>
      <c r="I2916" s="71" t="n">
        <f aca="false">IF(6&gt;Hold_Yrs,0,H2007+H1098+H1401+H1704+H2310+H1401*Prepay_Pen+IF(6=Hold_Yrs,$C2613,0))</f>
        <v>0</v>
      </c>
      <c r="J2916" s="71" t="n">
        <f aca="false">IF(7&gt;Hold_Yrs,0,I2007+I1098+I1401+I1704+I2310+I1401*Prepay_Pen+IF(7=Hold_Yrs,$C2613,0))</f>
        <v>0</v>
      </c>
      <c r="K2916" s="71" t="n">
        <f aca="false">IF(8&gt;Hold_Yrs,0,J2007+J1098+J1401+J1704+J2310+J1401*Prepay_Pen+IF(8=Hold_Yrs,$C2613,0))</f>
        <v>0</v>
      </c>
      <c r="L2916" s="71" t="n">
        <f aca="false">IF(9&gt;Hold_Yrs,0,K2007+K1098+K1401+K1704+K2310+K1401*Prepay_Pen+IF(9=Hold_Yrs,$C2613,0))</f>
        <v>0</v>
      </c>
      <c r="M2916" s="71" t="n">
        <f aca="false">IF(10&gt;Hold_Yrs,0,L2007+L1098+L1401+L1704+L2310+L1401*Prepay_Pen+IF(10=Hold_Yrs,$C2613,0))</f>
        <v>0</v>
      </c>
    </row>
    <row r="2917" customFormat="false" ht="15" hidden="false" customHeight="false" outlineLevel="0" collapsed="false">
      <c r="B2917" s="102" t="n">
        <f aca="false">'Loan Tape'!$A186</f>
        <v>0</v>
      </c>
      <c r="C2917" s="99" t="n">
        <f aca="false">-'Loan Tape'!$BB186</f>
        <v>-0</v>
      </c>
      <c r="D2917" s="99" t="n">
        <f aca="false">IF(1&gt;Hold_Yrs,0,C2008+C1099+C1402+C1705+C2311+C1402*Prepay_Pen+IF(1=Hold_Yrs,$C2614,0))</f>
        <v>0</v>
      </c>
      <c r="E2917" s="99" t="n">
        <f aca="false">IF(2&gt;Hold_Yrs,0,D2008+D1099+D1402+D1705+D2311+D1402*Prepay_Pen+IF(2=Hold_Yrs,$C2614,0))</f>
        <v>0</v>
      </c>
      <c r="F2917" s="99" t="n">
        <f aca="false">IF(3&gt;Hold_Yrs,0,E2008+E1099+E1402+E1705+E2311+E1402*Prepay_Pen+IF(3=Hold_Yrs,$C2614,0))</f>
        <v>0</v>
      </c>
      <c r="G2917" s="99" t="n">
        <f aca="false">IF(4&gt;Hold_Yrs,0,F2008+F1099+F1402+F1705+F2311+F1402*Prepay_Pen+IF(4=Hold_Yrs,$C2614,0))</f>
        <v>0</v>
      </c>
      <c r="H2917" s="99" t="n">
        <f aca="false">IF(5&gt;Hold_Yrs,0,G2008+G1099+G1402+G1705+G2311+G1402*Prepay_Pen+IF(5=Hold_Yrs,$C2614,0))</f>
        <v>0</v>
      </c>
      <c r="I2917" s="99" t="n">
        <f aca="false">IF(6&gt;Hold_Yrs,0,H2008+H1099+H1402+H1705+H2311+H1402*Prepay_Pen+IF(6=Hold_Yrs,$C2614,0))</f>
        <v>0</v>
      </c>
      <c r="J2917" s="99" t="n">
        <f aca="false">IF(7&gt;Hold_Yrs,0,I2008+I1099+I1402+I1705+I2311+I1402*Prepay_Pen+IF(7=Hold_Yrs,$C2614,0))</f>
        <v>0</v>
      </c>
      <c r="K2917" s="99" t="n">
        <f aca="false">IF(8&gt;Hold_Yrs,0,J2008+J1099+J1402+J1705+J2311+J1402*Prepay_Pen+IF(8=Hold_Yrs,$C2614,0))</f>
        <v>0</v>
      </c>
      <c r="L2917" s="99" t="n">
        <f aca="false">IF(9&gt;Hold_Yrs,0,K2008+K1099+K1402+K1705+K2311+K1402*Prepay_Pen+IF(9=Hold_Yrs,$C2614,0))</f>
        <v>0</v>
      </c>
      <c r="M2917" s="99" t="n">
        <f aca="false">IF(10&gt;Hold_Yrs,0,L2008+L1099+L1402+L1705+L2311+L1402*Prepay_Pen+IF(10=Hold_Yrs,$C2614,0))</f>
        <v>0</v>
      </c>
    </row>
    <row r="2918" customFormat="false" ht="15" hidden="false" customHeight="false" outlineLevel="0" collapsed="false">
      <c r="B2918" s="108" t="n">
        <f aca="false">'Loan Tape'!$A187</f>
        <v>0</v>
      </c>
      <c r="C2918" s="71" t="n">
        <f aca="false">-'Loan Tape'!$BB187</f>
        <v>-0</v>
      </c>
      <c r="D2918" s="71" t="n">
        <f aca="false">IF(1&gt;Hold_Yrs,0,C2009+C1100+C1403+C1706+C2312+C1403*Prepay_Pen+IF(1=Hold_Yrs,$C2615,0))</f>
        <v>0</v>
      </c>
      <c r="E2918" s="71" t="n">
        <f aca="false">IF(2&gt;Hold_Yrs,0,D2009+D1100+D1403+D1706+D2312+D1403*Prepay_Pen+IF(2=Hold_Yrs,$C2615,0))</f>
        <v>0</v>
      </c>
      <c r="F2918" s="71" t="n">
        <f aca="false">IF(3&gt;Hold_Yrs,0,E2009+E1100+E1403+E1706+E2312+E1403*Prepay_Pen+IF(3=Hold_Yrs,$C2615,0))</f>
        <v>0</v>
      </c>
      <c r="G2918" s="71" t="n">
        <f aca="false">IF(4&gt;Hold_Yrs,0,F2009+F1100+F1403+F1706+F2312+F1403*Prepay_Pen+IF(4=Hold_Yrs,$C2615,0))</f>
        <v>0</v>
      </c>
      <c r="H2918" s="71" t="n">
        <f aca="false">IF(5&gt;Hold_Yrs,0,G2009+G1100+G1403+G1706+G2312+G1403*Prepay_Pen+IF(5=Hold_Yrs,$C2615,0))</f>
        <v>0</v>
      </c>
      <c r="I2918" s="71" t="n">
        <f aca="false">IF(6&gt;Hold_Yrs,0,H2009+H1100+H1403+H1706+H2312+H1403*Prepay_Pen+IF(6=Hold_Yrs,$C2615,0))</f>
        <v>0</v>
      </c>
      <c r="J2918" s="71" t="n">
        <f aca="false">IF(7&gt;Hold_Yrs,0,I2009+I1100+I1403+I1706+I2312+I1403*Prepay_Pen+IF(7=Hold_Yrs,$C2615,0))</f>
        <v>0</v>
      </c>
      <c r="K2918" s="71" t="n">
        <f aca="false">IF(8&gt;Hold_Yrs,0,J2009+J1100+J1403+J1706+J2312+J1403*Prepay_Pen+IF(8=Hold_Yrs,$C2615,0))</f>
        <v>0</v>
      </c>
      <c r="L2918" s="71" t="n">
        <f aca="false">IF(9&gt;Hold_Yrs,0,K2009+K1100+K1403+K1706+K2312+K1403*Prepay_Pen+IF(9=Hold_Yrs,$C2615,0))</f>
        <v>0</v>
      </c>
      <c r="M2918" s="71" t="n">
        <f aca="false">IF(10&gt;Hold_Yrs,0,L2009+L1100+L1403+L1706+L2312+L1403*Prepay_Pen+IF(10=Hold_Yrs,$C2615,0))</f>
        <v>0</v>
      </c>
    </row>
    <row r="2919" customFormat="false" ht="15" hidden="false" customHeight="false" outlineLevel="0" collapsed="false">
      <c r="B2919" s="102" t="n">
        <f aca="false">'Loan Tape'!$A188</f>
        <v>0</v>
      </c>
      <c r="C2919" s="99" t="n">
        <f aca="false">-'Loan Tape'!$BB188</f>
        <v>-0</v>
      </c>
      <c r="D2919" s="99" t="n">
        <f aca="false">IF(1&gt;Hold_Yrs,0,C2010+C1101+C1404+C1707+C2313+C1404*Prepay_Pen+IF(1=Hold_Yrs,$C2616,0))</f>
        <v>0</v>
      </c>
      <c r="E2919" s="99" t="n">
        <f aca="false">IF(2&gt;Hold_Yrs,0,D2010+D1101+D1404+D1707+D2313+D1404*Prepay_Pen+IF(2=Hold_Yrs,$C2616,0))</f>
        <v>0</v>
      </c>
      <c r="F2919" s="99" t="n">
        <f aca="false">IF(3&gt;Hold_Yrs,0,E2010+E1101+E1404+E1707+E2313+E1404*Prepay_Pen+IF(3=Hold_Yrs,$C2616,0))</f>
        <v>0</v>
      </c>
      <c r="G2919" s="99" t="n">
        <f aca="false">IF(4&gt;Hold_Yrs,0,F2010+F1101+F1404+F1707+F2313+F1404*Prepay_Pen+IF(4=Hold_Yrs,$C2616,0))</f>
        <v>0</v>
      </c>
      <c r="H2919" s="99" t="n">
        <f aca="false">IF(5&gt;Hold_Yrs,0,G2010+G1101+G1404+G1707+G2313+G1404*Prepay_Pen+IF(5=Hold_Yrs,$C2616,0))</f>
        <v>0</v>
      </c>
      <c r="I2919" s="99" t="n">
        <f aca="false">IF(6&gt;Hold_Yrs,0,H2010+H1101+H1404+H1707+H2313+H1404*Prepay_Pen+IF(6=Hold_Yrs,$C2616,0))</f>
        <v>0</v>
      </c>
      <c r="J2919" s="99" t="n">
        <f aca="false">IF(7&gt;Hold_Yrs,0,I2010+I1101+I1404+I1707+I2313+I1404*Prepay_Pen+IF(7=Hold_Yrs,$C2616,0))</f>
        <v>0</v>
      </c>
      <c r="K2919" s="99" t="n">
        <f aca="false">IF(8&gt;Hold_Yrs,0,J2010+J1101+J1404+J1707+J2313+J1404*Prepay_Pen+IF(8=Hold_Yrs,$C2616,0))</f>
        <v>0</v>
      </c>
      <c r="L2919" s="99" t="n">
        <f aca="false">IF(9&gt;Hold_Yrs,0,K2010+K1101+K1404+K1707+K2313+K1404*Prepay_Pen+IF(9=Hold_Yrs,$C2616,0))</f>
        <v>0</v>
      </c>
      <c r="M2919" s="99" t="n">
        <f aca="false">IF(10&gt;Hold_Yrs,0,L2010+L1101+L1404+L1707+L2313+L1404*Prepay_Pen+IF(10=Hold_Yrs,$C2616,0))</f>
        <v>0</v>
      </c>
    </row>
    <row r="2920" customFormat="false" ht="15" hidden="false" customHeight="false" outlineLevel="0" collapsed="false">
      <c r="B2920" s="108" t="n">
        <f aca="false">'Loan Tape'!$A189</f>
        <v>0</v>
      </c>
      <c r="C2920" s="71" t="n">
        <f aca="false">-'Loan Tape'!$BB189</f>
        <v>-0</v>
      </c>
      <c r="D2920" s="71" t="n">
        <f aca="false">IF(1&gt;Hold_Yrs,0,C2011+C1102+C1405+C1708+C2314+C1405*Prepay_Pen+IF(1=Hold_Yrs,$C2617,0))</f>
        <v>0</v>
      </c>
      <c r="E2920" s="71" t="n">
        <f aca="false">IF(2&gt;Hold_Yrs,0,D2011+D1102+D1405+D1708+D2314+D1405*Prepay_Pen+IF(2=Hold_Yrs,$C2617,0))</f>
        <v>0</v>
      </c>
      <c r="F2920" s="71" t="n">
        <f aca="false">IF(3&gt;Hold_Yrs,0,E2011+E1102+E1405+E1708+E2314+E1405*Prepay_Pen+IF(3=Hold_Yrs,$C2617,0))</f>
        <v>0</v>
      </c>
      <c r="G2920" s="71" t="n">
        <f aca="false">IF(4&gt;Hold_Yrs,0,F2011+F1102+F1405+F1708+F2314+F1405*Prepay_Pen+IF(4=Hold_Yrs,$C2617,0))</f>
        <v>0</v>
      </c>
      <c r="H2920" s="71" t="n">
        <f aca="false">IF(5&gt;Hold_Yrs,0,G2011+G1102+G1405+G1708+G2314+G1405*Prepay_Pen+IF(5=Hold_Yrs,$C2617,0))</f>
        <v>0</v>
      </c>
      <c r="I2920" s="71" t="n">
        <f aca="false">IF(6&gt;Hold_Yrs,0,H2011+H1102+H1405+H1708+H2314+H1405*Prepay_Pen+IF(6=Hold_Yrs,$C2617,0))</f>
        <v>0</v>
      </c>
      <c r="J2920" s="71" t="n">
        <f aca="false">IF(7&gt;Hold_Yrs,0,I2011+I1102+I1405+I1708+I2314+I1405*Prepay_Pen+IF(7=Hold_Yrs,$C2617,0))</f>
        <v>0</v>
      </c>
      <c r="K2920" s="71" t="n">
        <f aca="false">IF(8&gt;Hold_Yrs,0,J2011+J1102+J1405+J1708+J2314+J1405*Prepay_Pen+IF(8=Hold_Yrs,$C2617,0))</f>
        <v>0</v>
      </c>
      <c r="L2920" s="71" t="n">
        <f aca="false">IF(9&gt;Hold_Yrs,0,K2011+K1102+K1405+K1708+K2314+K1405*Prepay_Pen+IF(9=Hold_Yrs,$C2617,0))</f>
        <v>0</v>
      </c>
      <c r="M2920" s="71" t="n">
        <f aca="false">IF(10&gt;Hold_Yrs,0,L2011+L1102+L1405+L1708+L2314+L1405*Prepay_Pen+IF(10=Hold_Yrs,$C2617,0))</f>
        <v>0</v>
      </c>
    </row>
    <row r="2921" customFormat="false" ht="15" hidden="false" customHeight="false" outlineLevel="0" collapsed="false">
      <c r="B2921" s="102" t="n">
        <f aca="false">'Loan Tape'!$A190</f>
        <v>0</v>
      </c>
      <c r="C2921" s="99" t="n">
        <f aca="false">-'Loan Tape'!$BB190</f>
        <v>-0</v>
      </c>
      <c r="D2921" s="99" t="n">
        <f aca="false">IF(1&gt;Hold_Yrs,0,C2012+C1103+C1406+C1709+C2315+C1406*Prepay_Pen+IF(1=Hold_Yrs,$C2618,0))</f>
        <v>0</v>
      </c>
      <c r="E2921" s="99" t="n">
        <f aca="false">IF(2&gt;Hold_Yrs,0,D2012+D1103+D1406+D1709+D2315+D1406*Prepay_Pen+IF(2=Hold_Yrs,$C2618,0))</f>
        <v>0</v>
      </c>
      <c r="F2921" s="99" t="n">
        <f aca="false">IF(3&gt;Hold_Yrs,0,E2012+E1103+E1406+E1709+E2315+E1406*Prepay_Pen+IF(3=Hold_Yrs,$C2618,0))</f>
        <v>0</v>
      </c>
      <c r="G2921" s="99" t="n">
        <f aca="false">IF(4&gt;Hold_Yrs,0,F2012+F1103+F1406+F1709+F2315+F1406*Prepay_Pen+IF(4=Hold_Yrs,$C2618,0))</f>
        <v>0</v>
      </c>
      <c r="H2921" s="99" t="n">
        <f aca="false">IF(5&gt;Hold_Yrs,0,G2012+G1103+G1406+G1709+G2315+G1406*Prepay_Pen+IF(5=Hold_Yrs,$C2618,0))</f>
        <v>0</v>
      </c>
      <c r="I2921" s="99" t="n">
        <f aca="false">IF(6&gt;Hold_Yrs,0,H2012+H1103+H1406+H1709+H2315+H1406*Prepay_Pen+IF(6=Hold_Yrs,$C2618,0))</f>
        <v>0</v>
      </c>
      <c r="J2921" s="99" t="n">
        <f aca="false">IF(7&gt;Hold_Yrs,0,I2012+I1103+I1406+I1709+I2315+I1406*Prepay_Pen+IF(7=Hold_Yrs,$C2618,0))</f>
        <v>0</v>
      </c>
      <c r="K2921" s="99" t="n">
        <f aca="false">IF(8&gt;Hold_Yrs,0,J2012+J1103+J1406+J1709+J2315+J1406*Prepay_Pen+IF(8=Hold_Yrs,$C2618,0))</f>
        <v>0</v>
      </c>
      <c r="L2921" s="99" t="n">
        <f aca="false">IF(9&gt;Hold_Yrs,0,K2012+K1103+K1406+K1709+K2315+K1406*Prepay_Pen+IF(9=Hold_Yrs,$C2618,0))</f>
        <v>0</v>
      </c>
      <c r="M2921" s="99" t="n">
        <f aca="false">IF(10&gt;Hold_Yrs,0,L2012+L1103+L1406+L1709+L2315+L1406*Prepay_Pen+IF(10=Hold_Yrs,$C2618,0))</f>
        <v>0</v>
      </c>
    </row>
    <row r="2922" customFormat="false" ht="15" hidden="false" customHeight="false" outlineLevel="0" collapsed="false">
      <c r="B2922" s="108" t="n">
        <f aca="false">'Loan Tape'!$A191</f>
        <v>0</v>
      </c>
      <c r="C2922" s="71" t="n">
        <f aca="false">-'Loan Tape'!$BB191</f>
        <v>-0</v>
      </c>
      <c r="D2922" s="71" t="n">
        <f aca="false">IF(1&gt;Hold_Yrs,0,C2013+C1104+C1407+C1710+C2316+C1407*Prepay_Pen+IF(1=Hold_Yrs,$C2619,0))</f>
        <v>0</v>
      </c>
      <c r="E2922" s="71" t="n">
        <f aca="false">IF(2&gt;Hold_Yrs,0,D2013+D1104+D1407+D1710+D2316+D1407*Prepay_Pen+IF(2=Hold_Yrs,$C2619,0))</f>
        <v>0</v>
      </c>
      <c r="F2922" s="71" t="n">
        <f aca="false">IF(3&gt;Hold_Yrs,0,E2013+E1104+E1407+E1710+E2316+E1407*Prepay_Pen+IF(3=Hold_Yrs,$C2619,0))</f>
        <v>0</v>
      </c>
      <c r="G2922" s="71" t="n">
        <f aca="false">IF(4&gt;Hold_Yrs,0,F2013+F1104+F1407+F1710+F2316+F1407*Prepay_Pen+IF(4=Hold_Yrs,$C2619,0))</f>
        <v>0</v>
      </c>
      <c r="H2922" s="71" t="n">
        <f aca="false">IF(5&gt;Hold_Yrs,0,G2013+G1104+G1407+G1710+G2316+G1407*Prepay_Pen+IF(5=Hold_Yrs,$C2619,0))</f>
        <v>0</v>
      </c>
      <c r="I2922" s="71" t="n">
        <f aca="false">IF(6&gt;Hold_Yrs,0,H2013+H1104+H1407+H1710+H2316+H1407*Prepay_Pen+IF(6=Hold_Yrs,$C2619,0))</f>
        <v>0</v>
      </c>
      <c r="J2922" s="71" t="n">
        <f aca="false">IF(7&gt;Hold_Yrs,0,I2013+I1104+I1407+I1710+I2316+I1407*Prepay_Pen+IF(7=Hold_Yrs,$C2619,0))</f>
        <v>0</v>
      </c>
      <c r="K2922" s="71" t="n">
        <f aca="false">IF(8&gt;Hold_Yrs,0,J2013+J1104+J1407+J1710+J2316+J1407*Prepay_Pen+IF(8=Hold_Yrs,$C2619,0))</f>
        <v>0</v>
      </c>
      <c r="L2922" s="71" t="n">
        <f aca="false">IF(9&gt;Hold_Yrs,0,K2013+K1104+K1407+K1710+K2316+K1407*Prepay_Pen+IF(9=Hold_Yrs,$C2619,0))</f>
        <v>0</v>
      </c>
      <c r="M2922" s="71" t="n">
        <f aca="false">IF(10&gt;Hold_Yrs,0,L2013+L1104+L1407+L1710+L2316+L1407*Prepay_Pen+IF(10=Hold_Yrs,$C2619,0))</f>
        <v>0</v>
      </c>
    </row>
    <row r="2923" customFormat="false" ht="15" hidden="false" customHeight="false" outlineLevel="0" collapsed="false">
      <c r="B2923" s="102" t="n">
        <f aca="false">'Loan Tape'!$A192</f>
        <v>0</v>
      </c>
      <c r="C2923" s="99" t="n">
        <f aca="false">-'Loan Tape'!$BB192</f>
        <v>-0</v>
      </c>
      <c r="D2923" s="99" t="n">
        <f aca="false">IF(1&gt;Hold_Yrs,0,C2014+C1105+C1408+C1711+C2317+C1408*Prepay_Pen+IF(1=Hold_Yrs,$C2620,0))</f>
        <v>0</v>
      </c>
      <c r="E2923" s="99" t="n">
        <f aca="false">IF(2&gt;Hold_Yrs,0,D2014+D1105+D1408+D1711+D2317+D1408*Prepay_Pen+IF(2=Hold_Yrs,$C2620,0))</f>
        <v>0</v>
      </c>
      <c r="F2923" s="99" t="n">
        <f aca="false">IF(3&gt;Hold_Yrs,0,E2014+E1105+E1408+E1711+E2317+E1408*Prepay_Pen+IF(3=Hold_Yrs,$C2620,0))</f>
        <v>0</v>
      </c>
      <c r="G2923" s="99" t="n">
        <f aca="false">IF(4&gt;Hold_Yrs,0,F2014+F1105+F1408+F1711+F2317+F1408*Prepay_Pen+IF(4=Hold_Yrs,$C2620,0))</f>
        <v>0</v>
      </c>
      <c r="H2923" s="99" t="n">
        <f aca="false">IF(5&gt;Hold_Yrs,0,G2014+G1105+G1408+G1711+G2317+G1408*Prepay_Pen+IF(5=Hold_Yrs,$C2620,0))</f>
        <v>0</v>
      </c>
      <c r="I2923" s="99" t="n">
        <f aca="false">IF(6&gt;Hold_Yrs,0,H2014+H1105+H1408+H1711+H2317+H1408*Prepay_Pen+IF(6=Hold_Yrs,$C2620,0))</f>
        <v>0</v>
      </c>
      <c r="J2923" s="99" t="n">
        <f aca="false">IF(7&gt;Hold_Yrs,0,I2014+I1105+I1408+I1711+I2317+I1408*Prepay_Pen+IF(7=Hold_Yrs,$C2620,0))</f>
        <v>0</v>
      </c>
      <c r="K2923" s="99" t="n">
        <f aca="false">IF(8&gt;Hold_Yrs,0,J2014+J1105+J1408+J1711+J2317+J1408*Prepay_Pen+IF(8=Hold_Yrs,$C2620,0))</f>
        <v>0</v>
      </c>
      <c r="L2923" s="99" t="n">
        <f aca="false">IF(9&gt;Hold_Yrs,0,K2014+K1105+K1408+K1711+K2317+K1408*Prepay_Pen+IF(9=Hold_Yrs,$C2620,0))</f>
        <v>0</v>
      </c>
      <c r="M2923" s="99" t="n">
        <f aca="false">IF(10&gt;Hold_Yrs,0,L2014+L1105+L1408+L1711+L2317+L1408*Prepay_Pen+IF(10=Hold_Yrs,$C2620,0))</f>
        <v>0</v>
      </c>
    </row>
    <row r="2924" customFormat="false" ht="15" hidden="false" customHeight="false" outlineLevel="0" collapsed="false">
      <c r="B2924" s="108" t="n">
        <f aca="false">'Loan Tape'!$A193</f>
        <v>0</v>
      </c>
      <c r="C2924" s="71" t="n">
        <f aca="false">-'Loan Tape'!$BB193</f>
        <v>-0</v>
      </c>
      <c r="D2924" s="71" t="n">
        <f aca="false">IF(1&gt;Hold_Yrs,0,C2015+C1106+C1409+C1712+C2318+C1409*Prepay_Pen+IF(1=Hold_Yrs,$C2621,0))</f>
        <v>0</v>
      </c>
      <c r="E2924" s="71" t="n">
        <f aca="false">IF(2&gt;Hold_Yrs,0,D2015+D1106+D1409+D1712+D2318+D1409*Prepay_Pen+IF(2=Hold_Yrs,$C2621,0))</f>
        <v>0</v>
      </c>
      <c r="F2924" s="71" t="n">
        <f aca="false">IF(3&gt;Hold_Yrs,0,E2015+E1106+E1409+E1712+E2318+E1409*Prepay_Pen+IF(3=Hold_Yrs,$C2621,0))</f>
        <v>0</v>
      </c>
      <c r="G2924" s="71" t="n">
        <f aca="false">IF(4&gt;Hold_Yrs,0,F2015+F1106+F1409+F1712+F2318+F1409*Prepay_Pen+IF(4=Hold_Yrs,$C2621,0))</f>
        <v>0</v>
      </c>
      <c r="H2924" s="71" t="n">
        <f aca="false">IF(5&gt;Hold_Yrs,0,G2015+G1106+G1409+G1712+G2318+G1409*Prepay_Pen+IF(5=Hold_Yrs,$C2621,0))</f>
        <v>0</v>
      </c>
      <c r="I2924" s="71" t="n">
        <f aca="false">IF(6&gt;Hold_Yrs,0,H2015+H1106+H1409+H1712+H2318+H1409*Prepay_Pen+IF(6=Hold_Yrs,$C2621,0))</f>
        <v>0</v>
      </c>
      <c r="J2924" s="71" t="n">
        <f aca="false">IF(7&gt;Hold_Yrs,0,I2015+I1106+I1409+I1712+I2318+I1409*Prepay_Pen+IF(7=Hold_Yrs,$C2621,0))</f>
        <v>0</v>
      </c>
      <c r="K2924" s="71" t="n">
        <f aca="false">IF(8&gt;Hold_Yrs,0,J2015+J1106+J1409+J1712+J2318+J1409*Prepay_Pen+IF(8=Hold_Yrs,$C2621,0))</f>
        <v>0</v>
      </c>
      <c r="L2924" s="71" t="n">
        <f aca="false">IF(9&gt;Hold_Yrs,0,K2015+K1106+K1409+K1712+K2318+K1409*Prepay_Pen+IF(9=Hold_Yrs,$C2621,0))</f>
        <v>0</v>
      </c>
      <c r="M2924" s="71" t="n">
        <f aca="false">IF(10&gt;Hold_Yrs,0,L2015+L1106+L1409+L1712+L2318+L1409*Prepay_Pen+IF(10=Hold_Yrs,$C2621,0))</f>
        <v>0</v>
      </c>
    </row>
    <row r="2925" customFormat="false" ht="15" hidden="false" customHeight="false" outlineLevel="0" collapsed="false">
      <c r="B2925" s="102" t="n">
        <f aca="false">'Loan Tape'!$A194</f>
        <v>0</v>
      </c>
      <c r="C2925" s="99" t="n">
        <f aca="false">-'Loan Tape'!$BB194</f>
        <v>-0</v>
      </c>
      <c r="D2925" s="99" t="n">
        <f aca="false">IF(1&gt;Hold_Yrs,0,C2016+C1107+C1410+C1713+C2319+C1410*Prepay_Pen+IF(1=Hold_Yrs,$C2622,0))</f>
        <v>0</v>
      </c>
      <c r="E2925" s="99" t="n">
        <f aca="false">IF(2&gt;Hold_Yrs,0,D2016+D1107+D1410+D1713+D2319+D1410*Prepay_Pen+IF(2=Hold_Yrs,$C2622,0))</f>
        <v>0</v>
      </c>
      <c r="F2925" s="99" t="n">
        <f aca="false">IF(3&gt;Hold_Yrs,0,E2016+E1107+E1410+E1713+E2319+E1410*Prepay_Pen+IF(3=Hold_Yrs,$C2622,0))</f>
        <v>0</v>
      </c>
      <c r="G2925" s="99" t="n">
        <f aca="false">IF(4&gt;Hold_Yrs,0,F2016+F1107+F1410+F1713+F2319+F1410*Prepay_Pen+IF(4=Hold_Yrs,$C2622,0))</f>
        <v>0</v>
      </c>
      <c r="H2925" s="99" t="n">
        <f aca="false">IF(5&gt;Hold_Yrs,0,G2016+G1107+G1410+G1713+G2319+G1410*Prepay_Pen+IF(5=Hold_Yrs,$C2622,0))</f>
        <v>0</v>
      </c>
      <c r="I2925" s="99" t="n">
        <f aca="false">IF(6&gt;Hold_Yrs,0,H2016+H1107+H1410+H1713+H2319+H1410*Prepay_Pen+IF(6=Hold_Yrs,$C2622,0))</f>
        <v>0</v>
      </c>
      <c r="J2925" s="99" t="n">
        <f aca="false">IF(7&gt;Hold_Yrs,0,I2016+I1107+I1410+I1713+I2319+I1410*Prepay_Pen+IF(7=Hold_Yrs,$C2622,0))</f>
        <v>0</v>
      </c>
      <c r="K2925" s="99" t="n">
        <f aca="false">IF(8&gt;Hold_Yrs,0,J2016+J1107+J1410+J1713+J2319+J1410*Prepay_Pen+IF(8=Hold_Yrs,$C2622,0))</f>
        <v>0</v>
      </c>
      <c r="L2925" s="99" t="n">
        <f aca="false">IF(9&gt;Hold_Yrs,0,K2016+K1107+K1410+K1713+K2319+K1410*Prepay_Pen+IF(9=Hold_Yrs,$C2622,0))</f>
        <v>0</v>
      </c>
      <c r="M2925" s="99" t="n">
        <f aca="false">IF(10&gt;Hold_Yrs,0,L2016+L1107+L1410+L1713+L2319+L1410*Prepay_Pen+IF(10=Hold_Yrs,$C2622,0))</f>
        <v>0</v>
      </c>
    </row>
    <row r="2926" customFormat="false" ht="15" hidden="false" customHeight="false" outlineLevel="0" collapsed="false">
      <c r="B2926" s="108" t="n">
        <f aca="false">'Loan Tape'!$A195</f>
        <v>0</v>
      </c>
      <c r="C2926" s="71" t="n">
        <f aca="false">-'Loan Tape'!$BB195</f>
        <v>-0</v>
      </c>
      <c r="D2926" s="71" t="n">
        <f aca="false">IF(1&gt;Hold_Yrs,0,C2017+C1108+C1411+C1714+C2320+C1411*Prepay_Pen+IF(1=Hold_Yrs,$C2623,0))</f>
        <v>0</v>
      </c>
      <c r="E2926" s="71" t="n">
        <f aca="false">IF(2&gt;Hold_Yrs,0,D2017+D1108+D1411+D1714+D2320+D1411*Prepay_Pen+IF(2=Hold_Yrs,$C2623,0))</f>
        <v>0</v>
      </c>
      <c r="F2926" s="71" t="n">
        <f aca="false">IF(3&gt;Hold_Yrs,0,E2017+E1108+E1411+E1714+E2320+E1411*Prepay_Pen+IF(3=Hold_Yrs,$C2623,0))</f>
        <v>0</v>
      </c>
      <c r="G2926" s="71" t="n">
        <f aca="false">IF(4&gt;Hold_Yrs,0,F2017+F1108+F1411+F1714+F2320+F1411*Prepay_Pen+IF(4=Hold_Yrs,$C2623,0))</f>
        <v>0</v>
      </c>
      <c r="H2926" s="71" t="n">
        <f aca="false">IF(5&gt;Hold_Yrs,0,G2017+G1108+G1411+G1714+G2320+G1411*Prepay_Pen+IF(5=Hold_Yrs,$C2623,0))</f>
        <v>0</v>
      </c>
      <c r="I2926" s="71" t="n">
        <f aca="false">IF(6&gt;Hold_Yrs,0,H2017+H1108+H1411+H1714+H2320+H1411*Prepay_Pen+IF(6=Hold_Yrs,$C2623,0))</f>
        <v>0</v>
      </c>
      <c r="J2926" s="71" t="n">
        <f aca="false">IF(7&gt;Hold_Yrs,0,I2017+I1108+I1411+I1714+I2320+I1411*Prepay_Pen+IF(7=Hold_Yrs,$C2623,0))</f>
        <v>0</v>
      </c>
      <c r="K2926" s="71" t="n">
        <f aca="false">IF(8&gt;Hold_Yrs,0,J2017+J1108+J1411+J1714+J2320+J1411*Prepay_Pen+IF(8=Hold_Yrs,$C2623,0))</f>
        <v>0</v>
      </c>
      <c r="L2926" s="71" t="n">
        <f aca="false">IF(9&gt;Hold_Yrs,0,K2017+K1108+K1411+K1714+K2320+K1411*Prepay_Pen+IF(9=Hold_Yrs,$C2623,0))</f>
        <v>0</v>
      </c>
      <c r="M2926" s="71" t="n">
        <f aca="false">IF(10&gt;Hold_Yrs,0,L2017+L1108+L1411+L1714+L2320+L1411*Prepay_Pen+IF(10=Hold_Yrs,$C2623,0))</f>
        <v>0</v>
      </c>
    </row>
    <row r="2927" customFormat="false" ht="15" hidden="false" customHeight="false" outlineLevel="0" collapsed="false">
      <c r="B2927" s="102" t="n">
        <f aca="false">'Loan Tape'!$A196</f>
        <v>0</v>
      </c>
      <c r="C2927" s="99" t="n">
        <f aca="false">-'Loan Tape'!$BB196</f>
        <v>-0</v>
      </c>
      <c r="D2927" s="99" t="n">
        <f aca="false">IF(1&gt;Hold_Yrs,0,C2018+C1109+C1412+C1715+C2321+C1412*Prepay_Pen+IF(1=Hold_Yrs,$C2624,0))</f>
        <v>0</v>
      </c>
      <c r="E2927" s="99" t="n">
        <f aca="false">IF(2&gt;Hold_Yrs,0,D2018+D1109+D1412+D1715+D2321+D1412*Prepay_Pen+IF(2=Hold_Yrs,$C2624,0))</f>
        <v>0</v>
      </c>
      <c r="F2927" s="99" t="n">
        <f aca="false">IF(3&gt;Hold_Yrs,0,E2018+E1109+E1412+E1715+E2321+E1412*Prepay_Pen+IF(3=Hold_Yrs,$C2624,0))</f>
        <v>0</v>
      </c>
      <c r="G2927" s="99" t="n">
        <f aca="false">IF(4&gt;Hold_Yrs,0,F2018+F1109+F1412+F1715+F2321+F1412*Prepay_Pen+IF(4=Hold_Yrs,$C2624,0))</f>
        <v>0</v>
      </c>
      <c r="H2927" s="99" t="n">
        <f aca="false">IF(5&gt;Hold_Yrs,0,G2018+G1109+G1412+G1715+G2321+G1412*Prepay_Pen+IF(5=Hold_Yrs,$C2624,0))</f>
        <v>0</v>
      </c>
      <c r="I2927" s="99" t="n">
        <f aca="false">IF(6&gt;Hold_Yrs,0,H2018+H1109+H1412+H1715+H2321+H1412*Prepay_Pen+IF(6=Hold_Yrs,$C2624,0))</f>
        <v>0</v>
      </c>
      <c r="J2927" s="99" t="n">
        <f aca="false">IF(7&gt;Hold_Yrs,0,I2018+I1109+I1412+I1715+I2321+I1412*Prepay_Pen+IF(7=Hold_Yrs,$C2624,0))</f>
        <v>0</v>
      </c>
      <c r="K2927" s="99" t="n">
        <f aca="false">IF(8&gt;Hold_Yrs,0,J2018+J1109+J1412+J1715+J2321+J1412*Prepay_Pen+IF(8=Hold_Yrs,$C2624,0))</f>
        <v>0</v>
      </c>
      <c r="L2927" s="99" t="n">
        <f aca="false">IF(9&gt;Hold_Yrs,0,K2018+K1109+K1412+K1715+K2321+K1412*Prepay_Pen+IF(9=Hold_Yrs,$C2624,0))</f>
        <v>0</v>
      </c>
      <c r="M2927" s="99" t="n">
        <f aca="false">IF(10&gt;Hold_Yrs,0,L2018+L1109+L1412+L1715+L2321+L1412*Prepay_Pen+IF(10=Hold_Yrs,$C2624,0))</f>
        <v>0</v>
      </c>
    </row>
    <row r="2928" customFormat="false" ht="15" hidden="false" customHeight="false" outlineLevel="0" collapsed="false">
      <c r="B2928" s="108" t="n">
        <f aca="false">'Loan Tape'!$A197</f>
        <v>0</v>
      </c>
      <c r="C2928" s="71" t="n">
        <f aca="false">-'Loan Tape'!$BB197</f>
        <v>-0</v>
      </c>
      <c r="D2928" s="71" t="n">
        <f aca="false">IF(1&gt;Hold_Yrs,0,C2019+C1110+C1413+C1716+C2322+C1413*Prepay_Pen+IF(1=Hold_Yrs,$C2625,0))</f>
        <v>0</v>
      </c>
      <c r="E2928" s="71" t="n">
        <f aca="false">IF(2&gt;Hold_Yrs,0,D2019+D1110+D1413+D1716+D2322+D1413*Prepay_Pen+IF(2=Hold_Yrs,$C2625,0))</f>
        <v>0</v>
      </c>
      <c r="F2928" s="71" t="n">
        <f aca="false">IF(3&gt;Hold_Yrs,0,E2019+E1110+E1413+E1716+E2322+E1413*Prepay_Pen+IF(3=Hold_Yrs,$C2625,0))</f>
        <v>0</v>
      </c>
      <c r="G2928" s="71" t="n">
        <f aca="false">IF(4&gt;Hold_Yrs,0,F2019+F1110+F1413+F1716+F2322+F1413*Prepay_Pen+IF(4=Hold_Yrs,$C2625,0))</f>
        <v>0</v>
      </c>
      <c r="H2928" s="71" t="n">
        <f aca="false">IF(5&gt;Hold_Yrs,0,G2019+G1110+G1413+G1716+G2322+G1413*Prepay_Pen+IF(5=Hold_Yrs,$C2625,0))</f>
        <v>0</v>
      </c>
      <c r="I2928" s="71" t="n">
        <f aca="false">IF(6&gt;Hold_Yrs,0,H2019+H1110+H1413+H1716+H2322+H1413*Prepay_Pen+IF(6=Hold_Yrs,$C2625,0))</f>
        <v>0</v>
      </c>
      <c r="J2928" s="71" t="n">
        <f aca="false">IF(7&gt;Hold_Yrs,0,I2019+I1110+I1413+I1716+I2322+I1413*Prepay_Pen+IF(7=Hold_Yrs,$C2625,0))</f>
        <v>0</v>
      </c>
      <c r="K2928" s="71" t="n">
        <f aca="false">IF(8&gt;Hold_Yrs,0,J2019+J1110+J1413+J1716+J2322+J1413*Prepay_Pen+IF(8=Hold_Yrs,$C2625,0))</f>
        <v>0</v>
      </c>
      <c r="L2928" s="71" t="n">
        <f aca="false">IF(9&gt;Hold_Yrs,0,K2019+K1110+K1413+K1716+K2322+K1413*Prepay_Pen+IF(9=Hold_Yrs,$C2625,0))</f>
        <v>0</v>
      </c>
      <c r="M2928" s="71" t="n">
        <f aca="false">IF(10&gt;Hold_Yrs,0,L2019+L1110+L1413+L1716+L2322+L1413*Prepay_Pen+IF(10=Hold_Yrs,$C2625,0))</f>
        <v>0</v>
      </c>
    </row>
    <row r="2929" customFormat="false" ht="15" hidden="false" customHeight="false" outlineLevel="0" collapsed="false">
      <c r="B2929" s="102" t="n">
        <f aca="false">'Loan Tape'!$A198</f>
        <v>0</v>
      </c>
      <c r="C2929" s="99" t="n">
        <f aca="false">-'Loan Tape'!$BB198</f>
        <v>-0</v>
      </c>
      <c r="D2929" s="99" t="n">
        <f aca="false">IF(1&gt;Hold_Yrs,0,C2020+C1111+C1414+C1717+C2323+C1414*Prepay_Pen+IF(1=Hold_Yrs,$C2626,0))</f>
        <v>0</v>
      </c>
      <c r="E2929" s="99" t="n">
        <f aca="false">IF(2&gt;Hold_Yrs,0,D2020+D1111+D1414+D1717+D2323+D1414*Prepay_Pen+IF(2=Hold_Yrs,$C2626,0))</f>
        <v>0</v>
      </c>
      <c r="F2929" s="99" t="n">
        <f aca="false">IF(3&gt;Hold_Yrs,0,E2020+E1111+E1414+E1717+E2323+E1414*Prepay_Pen+IF(3=Hold_Yrs,$C2626,0))</f>
        <v>0</v>
      </c>
      <c r="G2929" s="99" t="n">
        <f aca="false">IF(4&gt;Hold_Yrs,0,F2020+F1111+F1414+F1717+F2323+F1414*Prepay_Pen+IF(4=Hold_Yrs,$C2626,0))</f>
        <v>0</v>
      </c>
      <c r="H2929" s="99" t="n">
        <f aca="false">IF(5&gt;Hold_Yrs,0,G2020+G1111+G1414+G1717+G2323+G1414*Prepay_Pen+IF(5=Hold_Yrs,$C2626,0))</f>
        <v>0</v>
      </c>
      <c r="I2929" s="99" t="n">
        <f aca="false">IF(6&gt;Hold_Yrs,0,H2020+H1111+H1414+H1717+H2323+H1414*Prepay_Pen+IF(6=Hold_Yrs,$C2626,0))</f>
        <v>0</v>
      </c>
      <c r="J2929" s="99" t="n">
        <f aca="false">IF(7&gt;Hold_Yrs,0,I2020+I1111+I1414+I1717+I2323+I1414*Prepay_Pen+IF(7=Hold_Yrs,$C2626,0))</f>
        <v>0</v>
      </c>
      <c r="K2929" s="99" t="n">
        <f aca="false">IF(8&gt;Hold_Yrs,0,J2020+J1111+J1414+J1717+J2323+J1414*Prepay_Pen+IF(8=Hold_Yrs,$C2626,0))</f>
        <v>0</v>
      </c>
      <c r="L2929" s="99" t="n">
        <f aca="false">IF(9&gt;Hold_Yrs,0,K2020+K1111+K1414+K1717+K2323+K1414*Prepay_Pen+IF(9=Hold_Yrs,$C2626,0))</f>
        <v>0</v>
      </c>
      <c r="M2929" s="99" t="n">
        <f aca="false">IF(10&gt;Hold_Yrs,0,L2020+L1111+L1414+L1717+L2323+L1414*Prepay_Pen+IF(10=Hold_Yrs,$C2626,0))</f>
        <v>0</v>
      </c>
    </row>
    <row r="2930" customFormat="false" ht="15" hidden="false" customHeight="false" outlineLevel="0" collapsed="false">
      <c r="B2930" s="108" t="n">
        <f aca="false">'Loan Tape'!$A199</f>
        <v>0</v>
      </c>
      <c r="C2930" s="71" t="n">
        <f aca="false">-'Loan Tape'!$BB199</f>
        <v>-0</v>
      </c>
      <c r="D2930" s="71" t="n">
        <f aca="false">IF(1&gt;Hold_Yrs,0,C2021+C1112+C1415+C1718+C2324+C1415*Prepay_Pen+IF(1=Hold_Yrs,$C2627,0))</f>
        <v>0</v>
      </c>
      <c r="E2930" s="71" t="n">
        <f aca="false">IF(2&gt;Hold_Yrs,0,D2021+D1112+D1415+D1718+D2324+D1415*Prepay_Pen+IF(2=Hold_Yrs,$C2627,0))</f>
        <v>0</v>
      </c>
      <c r="F2930" s="71" t="n">
        <f aca="false">IF(3&gt;Hold_Yrs,0,E2021+E1112+E1415+E1718+E2324+E1415*Prepay_Pen+IF(3=Hold_Yrs,$C2627,0))</f>
        <v>0</v>
      </c>
      <c r="G2930" s="71" t="n">
        <f aca="false">IF(4&gt;Hold_Yrs,0,F2021+F1112+F1415+F1718+F2324+F1415*Prepay_Pen+IF(4=Hold_Yrs,$C2627,0))</f>
        <v>0</v>
      </c>
      <c r="H2930" s="71" t="n">
        <f aca="false">IF(5&gt;Hold_Yrs,0,G2021+G1112+G1415+G1718+G2324+G1415*Prepay_Pen+IF(5=Hold_Yrs,$C2627,0))</f>
        <v>0</v>
      </c>
      <c r="I2930" s="71" t="n">
        <f aca="false">IF(6&gt;Hold_Yrs,0,H2021+H1112+H1415+H1718+H2324+H1415*Prepay_Pen+IF(6=Hold_Yrs,$C2627,0))</f>
        <v>0</v>
      </c>
      <c r="J2930" s="71" t="n">
        <f aca="false">IF(7&gt;Hold_Yrs,0,I2021+I1112+I1415+I1718+I2324+I1415*Prepay_Pen+IF(7=Hold_Yrs,$C2627,0))</f>
        <v>0</v>
      </c>
      <c r="K2930" s="71" t="n">
        <f aca="false">IF(8&gt;Hold_Yrs,0,J2021+J1112+J1415+J1718+J2324+J1415*Prepay_Pen+IF(8=Hold_Yrs,$C2627,0))</f>
        <v>0</v>
      </c>
      <c r="L2930" s="71" t="n">
        <f aca="false">IF(9&gt;Hold_Yrs,0,K2021+K1112+K1415+K1718+K2324+K1415*Prepay_Pen+IF(9=Hold_Yrs,$C2627,0))</f>
        <v>0</v>
      </c>
      <c r="M2930" s="71" t="n">
        <f aca="false">IF(10&gt;Hold_Yrs,0,L2021+L1112+L1415+L1718+L2324+L1415*Prepay_Pen+IF(10=Hold_Yrs,$C2627,0))</f>
        <v>0</v>
      </c>
    </row>
    <row r="2931" customFormat="false" ht="15" hidden="false" customHeight="false" outlineLevel="0" collapsed="false">
      <c r="B2931" s="102" t="n">
        <f aca="false">'Loan Tape'!$A200</f>
        <v>0</v>
      </c>
      <c r="C2931" s="99" t="n">
        <f aca="false">-'Loan Tape'!$BB200</f>
        <v>-0</v>
      </c>
      <c r="D2931" s="99" t="n">
        <f aca="false">IF(1&gt;Hold_Yrs,0,C2022+C1113+C1416+C1719+C2325+C1416*Prepay_Pen+IF(1=Hold_Yrs,$C2628,0))</f>
        <v>0</v>
      </c>
      <c r="E2931" s="99" t="n">
        <f aca="false">IF(2&gt;Hold_Yrs,0,D2022+D1113+D1416+D1719+D2325+D1416*Prepay_Pen+IF(2=Hold_Yrs,$C2628,0))</f>
        <v>0</v>
      </c>
      <c r="F2931" s="99" t="n">
        <f aca="false">IF(3&gt;Hold_Yrs,0,E2022+E1113+E1416+E1719+E2325+E1416*Prepay_Pen+IF(3=Hold_Yrs,$C2628,0))</f>
        <v>0</v>
      </c>
      <c r="G2931" s="99" t="n">
        <f aca="false">IF(4&gt;Hold_Yrs,0,F2022+F1113+F1416+F1719+F2325+F1416*Prepay_Pen+IF(4=Hold_Yrs,$C2628,0))</f>
        <v>0</v>
      </c>
      <c r="H2931" s="99" t="n">
        <f aca="false">IF(5&gt;Hold_Yrs,0,G2022+G1113+G1416+G1719+G2325+G1416*Prepay_Pen+IF(5=Hold_Yrs,$C2628,0))</f>
        <v>0</v>
      </c>
      <c r="I2931" s="99" t="n">
        <f aca="false">IF(6&gt;Hold_Yrs,0,H2022+H1113+H1416+H1719+H2325+H1416*Prepay_Pen+IF(6=Hold_Yrs,$C2628,0))</f>
        <v>0</v>
      </c>
      <c r="J2931" s="99" t="n">
        <f aca="false">IF(7&gt;Hold_Yrs,0,I2022+I1113+I1416+I1719+I2325+I1416*Prepay_Pen+IF(7=Hold_Yrs,$C2628,0))</f>
        <v>0</v>
      </c>
      <c r="K2931" s="99" t="n">
        <f aca="false">IF(8&gt;Hold_Yrs,0,J2022+J1113+J1416+J1719+J2325+J1416*Prepay_Pen+IF(8=Hold_Yrs,$C2628,0))</f>
        <v>0</v>
      </c>
      <c r="L2931" s="99" t="n">
        <f aca="false">IF(9&gt;Hold_Yrs,0,K2022+K1113+K1416+K1719+K2325+K1416*Prepay_Pen+IF(9=Hold_Yrs,$C2628,0))</f>
        <v>0</v>
      </c>
      <c r="M2931" s="99" t="n">
        <f aca="false">IF(10&gt;Hold_Yrs,0,L2022+L1113+L1416+L1719+L2325+L1416*Prepay_Pen+IF(10=Hold_Yrs,$C2628,0))</f>
        <v>0</v>
      </c>
    </row>
    <row r="2932" customFormat="false" ht="15" hidden="false" customHeight="false" outlineLevel="0" collapsed="false">
      <c r="B2932" s="108" t="n">
        <f aca="false">'Loan Tape'!$A201</f>
        <v>0</v>
      </c>
      <c r="C2932" s="71" t="n">
        <f aca="false">-'Loan Tape'!$BB201</f>
        <v>-0</v>
      </c>
      <c r="D2932" s="71" t="n">
        <f aca="false">IF(1&gt;Hold_Yrs,0,C2023+C1114+C1417+C1720+C2326+C1417*Prepay_Pen+IF(1=Hold_Yrs,$C2629,0))</f>
        <v>0</v>
      </c>
      <c r="E2932" s="71" t="n">
        <f aca="false">IF(2&gt;Hold_Yrs,0,D2023+D1114+D1417+D1720+D2326+D1417*Prepay_Pen+IF(2=Hold_Yrs,$C2629,0))</f>
        <v>0</v>
      </c>
      <c r="F2932" s="71" t="n">
        <f aca="false">IF(3&gt;Hold_Yrs,0,E2023+E1114+E1417+E1720+E2326+E1417*Prepay_Pen+IF(3=Hold_Yrs,$C2629,0))</f>
        <v>0</v>
      </c>
      <c r="G2932" s="71" t="n">
        <f aca="false">IF(4&gt;Hold_Yrs,0,F2023+F1114+F1417+F1720+F2326+F1417*Prepay_Pen+IF(4=Hold_Yrs,$C2629,0))</f>
        <v>0</v>
      </c>
      <c r="H2932" s="71" t="n">
        <f aca="false">IF(5&gt;Hold_Yrs,0,G2023+G1114+G1417+G1720+G2326+G1417*Prepay_Pen+IF(5=Hold_Yrs,$C2629,0))</f>
        <v>0</v>
      </c>
      <c r="I2932" s="71" t="n">
        <f aca="false">IF(6&gt;Hold_Yrs,0,H2023+H1114+H1417+H1720+H2326+H1417*Prepay_Pen+IF(6=Hold_Yrs,$C2629,0))</f>
        <v>0</v>
      </c>
      <c r="J2932" s="71" t="n">
        <f aca="false">IF(7&gt;Hold_Yrs,0,I2023+I1114+I1417+I1720+I2326+I1417*Prepay_Pen+IF(7=Hold_Yrs,$C2629,0))</f>
        <v>0</v>
      </c>
      <c r="K2932" s="71" t="n">
        <f aca="false">IF(8&gt;Hold_Yrs,0,J2023+J1114+J1417+J1720+J2326+J1417*Prepay_Pen+IF(8=Hold_Yrs,$C2629,0))</f>
        <v>0</v>
      </c>
      <c r="L2932" s="71" t="n">
        <f aca="false">IF(9&gt;Hold_Yrs,0,K2023+K1114+K1417+K1720+K2326+K1417*Prepay_Pen+IF(9=Hold_Yrs,$C2629,0))</f>
        <v>0</v>
      </c>
      <c r="M2932" s="71" t="n">
        <f aca="false">IF(10&gt;Hold_Yrs,0,L2023+L1114+L1417+L1720+L2326+L1417*Prepay_Pen+IF(10=Hold_Yrs,$C2629,0))</f>
        <v>0</v>
      </c>
    </row>
    <row r="2933" customFormat="false" ht="15" hidden="false" customHeight="false" outlineLevel="0" collapsed="false">
      <c r="B2933" s="102" t="n">
        <f aca="false">'Loan Tape'!$A202</f>
        <v>0</v>
      </c>
      <c r="C2933" s="99" t="n">
        <f aca="false">-'Loan Tape'!$BB202</f>
        <v>-0</v>
      </c>
      <c r="D2933" s="99" t="n">
        <f aca="false">IF(1&gt;Hold_Yrs,0,C2024+C1115+C1418+C1721+C2327+C1418*Prepay_Pen+IF(1=Hold_Yrs,$C2630,0))</f>
        <v>0</v>
      </c>
      <c r="E2933" s="99" t="n">
        <f aca="false">IF(2&gt;Hold_Yrs,0,D2024+D1115+D1418+D1721+D2327+D1418*Prepay_Pen+IF(2=Hold_Yrs,$C2630,0))</f>
        <v>0</v>
      </c>
      <c r="F2933" s="99" t="n">
        <f aca="false">IF(3&gt;Hold_Yrs,0,E2024+E1115+E1418+E1721+E2327+E1418*Prepay_Pen+IF(3=Hold_Yrs,$C2630,0))</f>
        <v>0</v>
      </c>
      <c r="G2933" s="99" t="n">
        <f aca="false">IF(4&gt;Hold_Yrs,0,F2024+F1115+F1418+F1721+F2327+F1418*Prepay_Pen+IF(4=Hold_Yrs,$C2630,0))</f>
        <v>0</v>
      </c>
      <c r="H2933" s="99" t="n">
        <f aca="false">IF(5&gt;Hold_Yrs,0,G2024+G1115+G1418+G1721+G2327+G1418*Prepay_Pen+IF(5=Hold_Yrs,$C2630,0))</f>
        <v>0</v>
      </c>
      <c r="I2933" s="99" t="n">
        <f aca="false">IF(6&gt;Hold_Yrs,0,H2024+H1115+H1418+H1721+H2327+H1418*Prepay_Pen+IF(6=Hold_Yrs,$C2630,0))</f>
        <v>0</v>
      </c>
      <c r="J2933" s="99" t="n">
        <f aca="false">IF(7&gt;Hold_Yrs,0,I2024+I1115+I1418+I1721+I2327+I1418*Prepay_Pen+IF(7=Hold_Yrs,$C2630,0))</f>
        <v>0</v>
      </c>
      <c r="K2933" s="99" t="n">
        <f aca="false">IF(8&gt;Hold_Yrs,0,J2024+J1115+J1418+J1721+J2327+J1418*Prepay_Pen+IF(8=Hold_Yrs,$C2630,0))</f>
        <v>0</v>
      </c>
      <c r="L2933" s="99" t="n">
        <f aca="false">IF(9&gt;Hold_Yrs,0,K2024+K1115+K1418+K1721+K2327+K1418*Prepay_Pen+IF(9=Hold_Yrs,$C2630,0))</f>
        <v>0</v>
      </c>
      <c r="M2933" s="99" t="n">
        <f aca="false">IF(10&gt;Hold_Yrs,0,L2024+L1115+L1418+L1721+L2327+L1418*Prepay_Pen+IF(10=Hold_Yrs,$C2630,0))</f>
        <v>0</v>
      </c>
    </row>
    <row r="2934" customFormat="false" ht="15" hidden="false" customHeight="false" outlineLevel="0" collapsed="false">
      <c r="B2934" s="108" t="n">
        <f aca="false">'Loan Tape'!$A203</f>
        <v>0</v>
      </c>
      <c r="C2934" s="71" t="n">
        <f aca="false">-'Loan Tape'!$BB203</f>
        <v>-0</v>
      </c>
      <c r="D2934" s="71" t="n">
        <f aca="false">IF(1&gt;Hold_Yrs,0,C2025+C1116+C1419+C1722+C2328+C1419*Prepay_Pen+IF(1=Hold_Yrs,$C2631,0))</f>
        <v>0</v>
      </c>
      <c r="E2934" s="71" t="n">
        <f aca="false">IF(2&gt;Hold_Yrs,0,D2025+D1116+D1419+D1722+D2328+D1419*Prepay_Pen+IF(2=Hold_Yrs,$C2631,0))</f>
        <v>0</v>
      </c>
      <c r="F2934" s="71" t="n">
        <f aca="false">IF(3&gt;Hold_Yrs,0,E2025+E1116+E1419+E1722+E2328+E1419*Prepay_Pen+IF(3=Hold_Yrs,$C2631,0))</f>
        <v>0</v>
      </c>
      <c r="G2934" s="71" t="n">
        <f aca="false">IF(4&gt;Hold_Yrs,0,F2025+F1116+F1419+F1722+F2328+F1419*Prepay_Pen+IF(4=Hold_Yrs,$C2631,0))</f>
        <v>0</v>
      </c>
      <c r="H2934" s="71" t="n">
        <f aca="false">IF(5&gt;Hold_Yrs,0,G2025+G1116+G1419+G1722+G2328+G1419*Prepay_Pen+IF(5=Hold_Yrs,$C2631,0))</f>
        <v>0</v>
      </c>
      <c r="I2934" s="71" t="n">
        <f aca="false">IF(6&gt;Hold_Yrs,0,H2025+H1116+H1419+H1722+H2328+H1419*Prepay_Pen+IF(6=Hold_Yrs,$C2631,0))</f>
        <v>0</v>
      </c>
      <c r="J2934" s="71" t="n">
        <f aca="false">IF(7&gt;Hold_Yrs,0,I2025+I1116+I1419+I1722+I2328+I1419*Prepay_Pen+IF(7=Hold_Yrs,$C2631,0))</f>
        <v>0</v>
      </c>
      <c r="K2934" s="71" t="n">
        <f aca="false">IF(8&gt;Hold_Yrs,0,J2025+J1116+J1419+J1722+J2328+J1419*Prepay_Pen+IF(8=Hold_Yrs,$C2631,0))</f>
        <v>0</v>
      </c>
      <c r="L2934" s="71" t="n">
        <f aca="false">IF(9&gt;Hold_Yrs,0,K2025+K1116+K1419+K1722+K2328+K1419*Prepay_Pen+IF(9=Hold_Yrs,$C2631,0))</f>
        <v>0</v>
      </c>
      <c r="M2934" s="71" t="n">
        <f aca="false">IF(10&gt;Hold_Yrs,0,L2025+L1116+L1419+L1722+L2328+L1419*Prepay_Pen+IF(10=Hold_Yrs,$C2631,0))</f>
        <v>0</v>
      </c>
    </row>
    <row r="2935" customFormat="false" ht="15" hidden="false" customHeight="false" outlineLevel="0" collapsed="false">
      <c r="B2935" s="102" t="n">
        <f aca="false">'Loan Tape'!$A204</f>
        <v>0</v>
      </c>
      <c r="C2935" s="99" t="n">
        <f aca="false">-'Loan Tape'!$BB204</f>
        <v>-0</v>
      </c>
      <c r="D2935" s="99" t="n">
        <f aca="false">IF(1&gt;Hold_Yrs,0,C2026+C1117+C1420+C1723+C2329+C1420*Prepay_Pen+IF(1=Hold_Yrs,$C2632,0))</f>
        <v>0</v>
      </c>
      <c r="E2935" s="99" t="n">
        <f aca="false">IF(2&gt;Hold_Yrs,0,D2026+D1117+D1420+D1723+D2329+D1420*Prepay_Pen+IF(2=Hold_Yrs,$C2632,0))</f>
        <v>0</v>
      </c>
      <c r="F2935" s="99" t="n">
        <f aca="false">IF(3&gt;Hold_Yrs,0,E2026+E1117+E1420+E1723+E2329+E1420*Prepay_Pen+IF(3=Hold_Yrs,$C2632,0))</f>
        <v>0</v>
      </c>
      <c r="G2935" s="99" t="n">
        <f aca="false">IF(4&gt;Hold_Yrs,0,F2026+F1117+F1420+F1723+F2329+F1420*Prepay_Pen+IF(4=Hold_Yrs,$C2632,0))</f>
        <v>0</v>
      </c>
      <c r="H2935" s="99" t="n">
        <f aca="false">IF(5&gt;Hold_Yrs,0,G2026+G1117+G1420+G1723+G2329+G1420*Prepay_Pen+IF(5=Hold_Yrs,$C2632,0))</f>
        <v>0</v>
      </c>
      <c r="I2935" s="99" t="n">
        <f aca="false">IF(6&gt;Hold_Yrs,0,H2026+H1117+H1420+H1723+H2329+H1420*Prepay_Pen+IF(6=Hold_Yrs,$C2632,0))</f>
        <v>0</v>
      </c>
      <c r="J2935" s="99" t="n">
        <f aca="false">IF(7&gt;Hold_Yrs,0,I2026+I1117+I1420+I1723+I2329+I1420*Prepay_Pen+IF(7=Hold_Yrs,$C2632,0))</f>
        <v>0</v>
      </c>
      <c r="K2935" s="99" t="n">
        <f aca="false">IF(8&gt;Hold_Yrs,0,J2026+J1117+J1420+J1723+J2329+J1420*Prepay_Pen+IF(8=Hold_Yrs,$C2632,0))</f>
        <v>0</v>
      </c>
      <c r="L2935" s="99" t="n">
        <f aca="false">IF(9&gt;Hold_Yrs,0,K2026+K1117+K1420+K1723+K2329+K1420*Prepay_Pen+IF(9=Hold_Yrs,$C2632,0))</f>
        <v>0</v>
      </c>
      <c r="M2935" s="99" t="n">
        <f aca="false">IF(10&gt;Hold_Yrs,0,L2026+L1117+L1420+L1723+L2329+L1420*Prepay_Pen+IF(10=Hold_Yrs,$C2632,0))</f>
        <v>0</v>
      </c>
    </row>
    <row r="2936" customFormat="false" ht="15" hidden="false" customHeight="false" outlineLevel="0" collapsed="false">
      <c r="B2936" s="108" t="n">
        <f aca="false">'Loan Tape'!$A205</f>
        <v>0</v>
      </c>
      <c r="C2936" s="71" t="n">
        <f aca="false">-'Loan Tape'!$BB205</f>
        <v>-0</v>
      </c>
      <c r="D2936" s="71" t="n">
        <f aca="false">IF(1&gt;Hold_Yrs,0,C2027+C1118+C1421+C1724+C2330+C1421*Prepay_Pen+IF(1=Hold_Yrs,$C2633,0))</f>
        <v>0</v>
      </c>
      <c r="E2936" s="71" t="n">
        <f aca="false">IF(2&gt;Hold_Yrs,0,D2027+D1118+D1421+D1724+D2330+D1421*Prepay_Pen+IF(2=Hold_Yrs,$C2633,0))</f>
        <v>0</v>
      </c>
      <c r="F2936" s="71" t="n">
        <f aca="false">IF(3&gt;Hold_Yrs,0,E2027+E1118+E1421+E1724+E2330+E1421*Prepay_Pen+IF(3=Hold_Yrs,$C2633,0))</f>
        <v>0</v>
      </c>
      <c r="G2936" s="71" t="n">
        <f aca="false">IF(4&gt;Hold_Yrs,0,F2027+F1118+F1421+F1724+F2330+F1421*Prepay_Pen+IF(4=Hold_Yrs,$C2633,0))</f>
        <v>0</v>
      </c>
      <c r="H2936" s="71" t="n">
        <f aca="false">IF(5&gt;Hold_Yrs,0,G2027+G1118+G1421+G1724+G2330+G1421*Prepay_Pen+IF(5=Hold_Yrs,$C2633,0))</f>
        <v>0</v>
      </c>
      <c r="I2936" s="71" t="n">
        <f aca="false">IF(6&gt;Hold_Yrs,0,H2027+H1118+H1421+H1724+H2330+H1421*Prepay_Pen+IF(6=Hold_Yrs,$C2633,0))</f>
        <v>0</v>
      </c>
      <c r="J2936" s="71" t="n">
        <f aca="false">IF(7&gt;Hold_Yrs,0,I2027+I1118+I1421+I1724+I2330+I1421*Prepay_Pen+IF(7=Hold_Yrs,$C2633,0))</f>
        <v>0</v>
      </c>
      <c r="K2936" s="71" t="n">
        <f aca="false">IF(8&gt;Hold_Yrs,0,J2027+J1118+J1421+J1724+J2330+J1421*Prepay_Pen+IF(8=Hold_Yrs,$C2633,0))</f>
        <v>0</v>
      </c>
      <c r="L2936" s="71" t="n">
        <f aca="false">IF(9&gt;Hold_Yrs,0,K2027+K1118+K1421+K1724+K2330+K1421*Prepay_Pen+IF(9=Hold_Yrs,$C2633,0))</f>
        <v>0</v>
      </c>
      <c r="M2936" s="71" t="n">
        <f aca="false">IF(10&gt;Hold_Yrs,0,L2027+L1118+L1421+L1724+L2330+L1421*Prepay_Pen+IF(10=Hold_Yrs,$C2633,0))</f>
        <v>0</v>
      </c>
    </row>
    <row r="2937" customFormat="false" ht="15" hidden="false" customHeight="false" outlineLevel="0" collapsed="false">
      <c r="B2937" s="102" t="n">
        <f aca="false">'Loan Tape'!$A206</f>
        <v>0</v>
      </c>
      <c r="C2937" s="99" t="n">
        <f aca="false">-'Loan Tape'!$BB206</f>
        <v>-0</v>
      </c>
      <c r="D2937" s="99" t="n">
        <f aca="false">IF(1&gt;Hold_Yrs,0,C2028+C1119+C1422+C1725+C2331+C1422*Prepay_Pen+IF(1=Hold_Yrs,$C2634,0))</f>
        <v>0</v>
      </c>
      <c r="E2937" s="99" t="n">
        <f aca="false">IF(2&gt;Hold_Yrs,0,D2028+D1119+D1422+D1725+D2331+D1422*Prepay_Pen+IF(2=Hold_Yrs,$C2634,0))</f>
        <v>0</v>
      </c>
      <c r="F2937" s="99" t="n">
        <f aca="false">IF(3&gt;Hold_Yrs,0,E2028+E1119+E1422+E1725+E2331+E1422*Prepay_Pen+IF(3=Hold_Yrs,$C2634,0))</f>
        <v>0</v>
      </c>
      <c r="G2937" s="99" t="n">
        <f aca="false">IF(4&gt;Hold_Yrs,0,F2028+F1119+F1422+F1725+F2331+F1422*Prepay_Pen+IF(4=Hold_Yrs,$C2634,0))</f>
        <v>0</v>
      </c>
      <c r="H2937" s="99" t="n">
        <f aca="false">IF(5&gt;Hold_Yrs,0,G2028+G1119+G1422+G1725+G2331+G1422*Prepay_Pen+IF(5=Hold_Yrs,$C2634,0))</f>
        <v>0</v>
      </c>
      <c r="I2937" s="99" t="n">
        <f aca="false">IF(6&gt;Hold_Yrs,0,H2028+H1119+H1422+H1725+H2331+H1422*Prepay_Pen+IF(6=Hold_Yrs,$C2634,0))</f>
        <v>0</v>
      </c>
      <c r="J2937" s="99" t="n">
        <f aca="false">IF(7&gt;Hold_Yrs,0,I2028+I1119+I1422+I1725+I2331+I1422*Prepay_Pen+IF(7=Hold_Yrs,$C2634,0))</f>
        <v>0</v>
      </c>
      <c r="K2937" s="99" t="n">
        <f aca="false">IF(8&gt;Hold_Yrs,0,J2028+J1119+J1422+J1725+J2331+J1422*Prepay_Pen+IF(8=Hold_Yrs,$C2634,0))</f>
        <v>0</v>
      </c>
      <c r="L2937" s="99" t="n">
        <f aca="false">IF(9&gt;Hold_Yrs,0,K2028+K1119+K1422+K1725+K2331+K1422*Prepay_Pen+IF(9=Hold_Yrs,$C2634,0))</f>
        <v>0</v>
      </c>
      <c r="M2937" s="99" t="n">
        <f aca="false">IF(10&gt;Hold_Yrs,0,L2028+L1119+L1422+L1725+L2331+L1422*Prepay_Pen+IF(10=Hold_Yrs,$C2634,0))</f>
        <v>0</v>
      </c>
    </row>
    <row r="2938" customFormat="false" ht="15" hidden="false" customHeight="false" outlineLevel="0" collapsed="false">
      <c r="B2938" s="108" t="n">
        <f aca="false">'Loan Tape'!$A207</f>
        <v>0</v>
      </c>
      <c r="C2938" s="71" t="n">
        <f aca="false">-'Loan Tape'!$BB207</f>
        <v>-0</v>
      </c>
      <c r="D2938" s="71" t="n">
        <f aca="false">IF(1&gt;Hold_Yrs,0,C2029+C1120+C1423+C1726+C2332+C1423*Prepay_Pen+IF(1=Hold_Yrs,$C2635,0))</f>
        <v>0</v>
      </c>
      <c r="E2938" s="71" t="n">
        <f aca="false">IF(2&gt;Hold_Yrs,0,D2029+D1120+D1423+D1726+D2332+D1423*Prepay_Pen+IF(2=Hold_Yrs,$C2635,0))</f>
        <v>0</v>
      </c>
      <c r="F2938" s="71" t="n">
        <f aca="false">IF(3&gt;Hold_Yrs,0,E2029+E1120+E1423+E1726+E2332+E1423*Prepay_Pen+IF(3=Hold_Yrs,$C2635,0))</f>
        <v>0</v>
      </c>
      <c r="G2938" s="71" t="n">
        <f aca="false">IF(4&gt;Hold_Yrs,0,F2029+F1120+F1423+F1726+F2332+F1423*Prepay_Pen+IF(4=Hold_Yrs,$C2635,0))</f>
        <v>0</v>
      </c>
      <c r="H2938" s="71" t="n">
        <f aca="false">IF(5&gt;Hold_Yrs,0,G2029+G1120+G1423+G1726+G2332+G1423*Prepay_Pen+IF(5=Hold_Yrs,$C2635,0))</f>
        <v>0</v>
      </c>
      <c r="I2938" s="71" t="n">
        <f aca="false">IF(6&gt;Hold_Yrs,0,H2029+H1120+H1423+H1726+H2332+H1423*Prepay_Pen+IF(6=Hold_Yrs,$C2635,0))</f>
        <v>0</v>
      </c>
      <c r="J2938" s="71" t="n">
        <f aca="false">IF(7&gt;Hold_Yrs,0,I2029+I1120+I1423+I1726+I2332+I1423*Prepay_Pen+IF(7=Hold_Yrs,$C2635,0))</f>
        <v>0</v>
      </c>
      <c r="K2938" s="71" t="n">
        <f aca="false">IF(8&gt;Hold_Yrs,0,J2029+J1120+J1423+J1726+J2332+J1423*Prepay_Pen+IF(8=Hold_Yrs,$C2635,0))</f>
        <v>0</v>
      </c>
      <c r="L2938" s="71" t="n">
        <f aca="false">IF(9&gt;Hold_Yrs,0,K2029+K1120+K1423+K1726+K2332+K1423*Prepay_Pen+IF(9=Hold_Yrs,$C2635,0))</f>
        <v>0</v>
      </c>
      <c r="M2938" s="71" t="n">
        <f aca="false">IF(10&gt;Hold_Yrs,0,L2029+L1120+L1423+L1726+L2332+L1423*Prepay_Pen+IF(10=Hold_Yrs,$C2635,0))</f>
        <v>0</v>
      </c>
    </row>
    <row r="2939" customFormat="false" ht="15" hidden="false" customHeight="false" outlineLevel="0" collapsed="false">
      <c r="B2939" s="102" t="n">
        <f aca="false">'Loan Tape'!$A208</f>
        <v>0</v>
      </c>
      <c r="C2939" s="99" t="n">
        <f aca="false">-'Loan Tape'!$BB208</f>
        <v>-0</v>
      </c>
      <c r="D2939" s="99" t="n">
        <f aca="false">IF(1&gt;Hold_Yrs,0,C2030+C1121+C1424+C1727+C2333+C1424*Prepay_Pen+IF(1=Hold_Yrs,$C2636,0))</f>
        <v>0</v>
      </c>
      <c r="E2939" s="99" t="n">
        <f aca="false">IF(2&gt;Hold_Yrs,0,D2030+D1121+D1424+D1727+D2333+D1424*Prepay_Pen+IF(2=Hold_Yrs,$C2636,0))</f>
        <v>0</v>
      </c>
      <c r="F2939" s="99" t="n">
        <f aca="false">IF(3&gt;Hold_Yrs,0,E2030+E1121+E1424+E1727+E2333+E1424*Prepay_Pen+IF(3=Hold_Yrs,$C2636,0))</f>
        <v>0</v>
      </c>
      <c r="G2939" s="99" t="n">
        <f aca="false">IF(4&gt;Hold_Yrs,0,F2030+F1121+F1424+F1727+F2333+F1424*Prepay_Pen+IF(4=Hold_Yrs,$C2636,0))</f>
        <v>0</v>
      </c>
      <c r="H2939" s="99" t="n">
        <f aca="false">IF(5&gt;Hold_Yrs,0,G2030+G1121+G1424+G1727+G2333+G1424*Prepay_Pen+IF(5=Hold_Yrs,$C2636,0))</f>
        <v>0</v>
      </c>
      <c r="I2939" s="99" t="n">
        <f aca="false">IF(6&gt;Hold_Yrs,0,H2030+H1121+H1424+H1727+H2333+H1424*Prepay_Pen+IF(6=Hold_Yrs,$C2636,0))</f>
        <v>0</v>
      </c>
      <c r="J2939" s="99" t="n">
        <f aca="false">IF(7&gt;Hold_Yrs,0,I2030+I1121+I1424+I1727+I2333+I1424*Prepay_Pen+IF(7=Hold_Yrs,$C2636,0))</f>
        <v>0</v>
      </c>
      <c r="K2939" s="99" t="n">
        <f aca="false">IF(8&gt;Hold_Yrs,0,J2030+J1121+J1424+J1727+J2333+J1424*Prepay_Pen+IF(8=Hold_Yrs,$C2636,0))</f>
        <v>0</v>
      </c>
      <c r="L2939" s="99" t="n">
        <f aca="false">IF(9&gt;Hold_Yrs,0,K2030+K1121+K1424+K1727+K2333+K1424*Prepay_Pen+IF(9=Hold_Yrs,$C2636,0))</f>
        <v>0</v>
      </c>
      <c r="M2939" s="99" t="n">
        <f aca="false">IF(10&gt;Hold_Yrs,0,L2030+L1121+L1424+L1727+L2333+L1424*Prepay_Pen+IF(10=Hold_Yrs,$C2636,0))</f>
        <v>0</v>
      </c>
    </row>
    <row r="2940" customFormat="false" ht="15" hidden="false" customHeight="false" outlineLevel="0" collapsed="false">
      <c r="B2940" s="108" t="n">
        <f aca="false">'Loan Tape'!$A209</f>
        <v>0</v>
      </c>
      <c r="C2940" s="71" t="n">
        <f aca="false">-'Loan Tape'!$BB209</f>
        <v>-0</v>
      </c>
      <c r="D2940" s="71" t="n">
        <f aca="false">IF(1&gt;Hold_Yrs,0,C2031+C1122+C1425+C1728+C2334+C1425*Prepay_Pen+IF(1=Hold_Yrs,$C2637,0))</f>
        <v>0</v>
      </c>
      <c r="E2940" s="71" t="n">
        <f aca="false">IF(2&gt;Hold_Yrs,0,D2031+D1122+D1425+D1728+D2334+D1425*Prepay_Pen+IF(2=Hold_Yrs,$C2637,0))</f>
        <v>0</v>
      </c>
      <c r="F2940" s="71" t="n">
        <f aca="false">IF(3&gt;Hold_Yrs,0,E2031+E1122+E1425+E1728+E2334+E1425*Prepay_Pen+IF(3=Hold_Yrs,$C2637,0))</f>
        <v>0</v>
      </c>
      <c r="G2940" s="71" t="n">
        <f aca="false">IF(4&gt;Hold_Yrs,0,F2031+F1122+F1425+F1728+F2334+F1425*Prepay_Pen+IF(4=Hold_Yrs,$C2637,0))</f>
        <v>0</v>
      </c>
      <c r="H2940" s="71" t="n">
        <f aca="false">IF(5&gt;Hold_Yrs,0,G2031+G1122+G1425+G1728+G2334+G1425*Prepay_Pen+IF(5=Hold_Yrs,$C2637,0))</f>
        <v>0</v>
      </c>
      <c r="I2940" s="71" t="n">
        <f aca="false">IF(6&gt;Hold_Yrs,0,H2031+H1122+H1425+H1728+H2334+H1425*Prepay_Pen+IF(6=Hold_Yrs,$C2637,0))</f>
        <v>0</v>
      </c>
      <c r="J2940" s="71" t="n">
        <f aca="false">IF(7&gt;Hold_Yrs,0,I2031+I1122+I1425+I1728+I2334+I1425*Prepay_Pen+IF(7=Hold_Yrs,$C2637,0))</f>
        <v>0</v>
      </c>
      <c r="K2940" s="71" t="n">
        <f aca="false">IF(8&gt;Hold_Yrs,0,J2031+J1122+J1425+J1728+J2334+J1425*Prepay_Pen+IF(8=Hold_Yrs,$C2637,0))</f>
        <v>0</v>
      </c>
      <c r="L2940" s="71" t="n">
        <f aca="false">IF(9&gt;Hold_Yrs,0,K2031+K1122+K1425+K1728+K2334+K1425*Prepay_Pen+IF(9=Hold_Yrs,$C2637,0))</f>
        <v>0</v>
      </c>
      <c r="M2940" s="71" t="n">
        <f aca="false">IF(10&gt;Hold_Yrs,0,L2031+L1122+L1425+L1728+L2334+L1425*Prepay_Pen+IF(10=Hold_Yrs,$C2637,0))</f>
        <v>0</v>
      </c>
    </row>
    <row r="2941" customFormat="false" ht="15" hidden="false" customHeight="false" outlineLevel="0" collapsed="false">
      <c r="B2941" s="102" t="n">
        <f aca="false">'Loan Tape'!$A210</f>
        <v>0</v>
      </c>
      <c r="C2941" s="99" t="n">
        <f aca="false">-'Loan Tape'!$BB210</f>
        <v>-0</v>
      </c>
      <c r="D2941" s="99" t="n">
        <f aca="false">IF(1&gt;Hold_Yrs,0,C2032+C1123+C1426+C1729+C2335+C1426*Prepay_Pen+IF(1=Hold_Yrs,$C2638,0))</f>
        <v>0</v>
      </c>
      <c r="E2941" s="99" t="n">
        <f aca="false">IF(2&gt;Hold_Yrs,0,D2032+D1123+D1426+D1729+D2335+D1426*Prepay_Pen+IF(2=Hold_Yrs,$C2638,0))</f>
        <v>0</v>
      </c>
      <c r="F2941" s="99" t="n">
        <f aca="false">IF(3&gt;Hold_Yrs,0,E2032+E1123+E1426+E1729+E2335+E1426*Prepay_Pen+IF(3=Hold_Yrs,$C2638,0))</f>
        <v>0</v>
      </c>
      <c r="G2941" s="99" t="n">
        <f aca="false">IF(4&gt;Hold_Yrs,0,F2032+F1123+F1426+F1729+F2335+F1426*Prepay_Pen+IF(4=Hold_Yrs,$C2638,0))</f>
        <v>0</v>
      </c>
      <c r="H2941" s="99" t="n">
        <f aca="false">IF(5&gt;Hold_Yrs,0,G2032+G1123+G1426+G1729+G2335+G1426*Prepay_Pen+IF(5=Hold_Yrs,$C2638,0))</f>
        <v>0</v>
      </c>
      <c r="I2941" s="99" t="n">
        <f aca="false">IF(6&gt;Hold_Yrs,0,H2032+H1123+H1426+H1729+H2335+H1426*Prepay_Pen+IF(6=Hold_Yrs,$C2638,0))</f>
        <v>0</v>
      </c>
      <c r="J2941" s="99" t="n">
        <f aca="false">IF(7&gt;Hold_Yrs,0,I2032+I1123+I1426+I1729+I2335+I1426*Prepay_Pen+IF(7=Hold_Yrs,$C2638,0))</f>
        <v>0</v>
      </c>
      <c r="K2941" s="99" t="n">
        <f aca="false">IF(8&gt;Hold_Yrs,0,J2032+J1123+J1426+J1729+J2335+J1426*Prepay_Pen+IF(8=Hold_Yrs,$C2638,0))</f>
        <v>0</v>
      </c>
      <c r="L2941" s="99" t="n">
        <f aca="false">IF(9&gt;Hold_Yrs,0,K2032+K1123+K1426+K1729+K2335+K1426*Prepay_Pen+IF(9=Hold_Yrs,$C2638,0))</f>
        <v>0</v>
      </c>
      <c r="M2941" s="99" t="n">
        <f aca="false">IF(10&gt;Hold_Yrs,0,L2032+L1123+L1426+L1729+L2335+L1426*Prepay_Pen+IF(10=Hold_Yrs,$C2638,0))</f>
        <v>0</v>
      </c>
    </row>
    <row r="2942" customFormat="false" ht="15" hidden="false" customHeight="false" outlineLevel="0" collapsed="false">
      <c r="B2942" s="108" t="n">
        <f aca="false">'Loan Tape'!$A211</f>
        <v>0</v>
      </c>
      <c r="C2942" s="71" t="n">
        <f aca="false">-'Loan Tape'!$BB211</f>
        <v>-0</v>
      </c>
      <c r="D2942" s="71" t="n">
        <f aca="false">IF(1&gt;Hold_Yrs,0,C2033+C1124+C1427+C1730+C2336+C1427*Prepay_Pen+IF(1=Hold_Yrs,$C2639,0))</f>
        <v>0</v>
      </c>
      <c r="E2942" s="71" t="n">
        <f aca="false">IF(2&gt;Hold_Yrs,0,D2033+D1124+D1427+D1730+D2336+D1427*Prepay_Pen+IF(2=Hold_Yrs,$C2639,0))</f>
        <v>0</v>
      </c>
      <c r="F2942" s="71" t="n">
        <f aca="false">IF(3&gt;Hold_Yrs,0,E2033+E1124+E1427+E1730+E2336+E1427*Prepay_Pen+IF(3=Hold_Yrs,$C2639,0))</f>
        <v>0</v>
      </c>
      <c r="G2942" s="71" t="n">
        <f aca="false">IF(4&gt;Hold_Yrs,0,F2033+F1124+F1427+F1730+F2336+F1427*Prepay_Pen+IF(4=Hold_Yrs,$C2639,0))</f>
        <v>0</v>
      </c>
      <c r="H2942" s="71" t="n">
        <f aca="false">IF(5&gt;Hold_Yrs,0,G2033+G1124+G1427+G1730+G2336+G1427*Prepay_Pen+IF(5=Hold_Yrs,$C2639,0))</f>
        <v>0</v>
      </c>
      <c r="I2942" s="71" t="n">
        <f aca="false">IF(6&gt;Hold_Yrs,0,H2033+H1124+H1427+H1730+H2336+H1427*Prepay_Pen+IF(6=Hold_Yrs,$C2639,0))</f>
        <v>0</v>
      </c>
      <c r="J2942" s="71" t="n">
        <f aca="false">IF(7&gt;Hold_Yrs,0,I2033+I1124+I1427+I1730+I2336+I1427*Prepay_Pen+IF(7=Hold_Yrs,$C2639,0))</f>
        <v>0</v>
      </c>
      <c r="K2942" s="71" t="n">
        <f aca="false">IF(8&gt;Hold_Yrs,0,J2033+J1124+J1427+J1730+J2336+J1427*Prepay_Pen+IF(8=Hold_Yrs,$C2639,0))</f>
        <v>0</v>
      </c>
      <c r="L2942" s="71" t="n">
        <f aca="false">IF(9&gt;Hold_Yrs,0,K2033+K1124+K1427+K1730+K2336+K1427*Prepay_Pen+IF(9=Hold_Yrs,$C2639,0))</f>
        <v>0</v>
      </c>
      <c r="M2942" s="71" t="n">
        <f aca="false">IF(10&gt;Hold_Yrs,0,L2033+L1124+L1427+L1730+L2336+L1427*Prepay_Pen+IF(10=Hold_Yrs,$C2639,0))</f>
        <v>0</v>
      </c>
    </row>
    <row r="2943" customFormat="false" ht="15" hidden="false" customHeight="false" outlineLevel="0" collapsed="false">
      <c r="B2943" s="102" t="n">
        <f aca="false">'Loan Tape'!$A212</f>
        <v>0</v>
      </c>
      <c r="C2943" s="99" t="n">
        <f aca="false">-'Loan Tape'!$BB212</f>
        <v>-0</v>
      </c>
      <c r="D2943" s="99" t="n">
        <f aca="false">IF(1&gt;Hold_Yrs,0,C2034+C1125+C1428+C1731+C2337+C1428*Prepay_Pen+IF(1=Hold_Yrs,$C2640,0))</f>
        <v>0</v>
      </c>
      <c r="E2943" s="99" t="n">
        <f aca="false">IF(2&gt;Hold_Yrs,0,D2034+D1125+D1428+D1731+D2337+D1428*Prepay_Pen+IF(2=Hold_Yrs,$C2640,0))</f>
        <v>0</v>
      </c>
      <c r="F2943" s="99" t="n">
        <f aca="false">IF(3&gt;Hold_Yrs,0,E2034+E1125+E1428+E1731+E2337+E1428*Prepay_Pen+IF(3=Hold_Yrs,$C2640,0))</f>
        <v>0</v>
      </c>
      <c r="G2943" s="99" t="n">
        <f aca="false">IF(4&gt;Hold_Yrs,0,F2034+F1125+F1428+F1731+F2337+F1428*Prepay_Pen+IF(4=Hold_Yrs,$C2640,0))</f>
        <v>0</v>
      </c>
      <c r="H2943" s="99" t="n">
        <f aca="false">IF(5&gt;Hold_Yrs,0,G2034+G1125+G1428+G1731+G2337+G1428*Prepay_Pen+IF(5=Hold_Yrs,$C2640,0))</f>
        <v>0</v>
      </c>
      <c r="I2943" s="99" t="n">
        <f aca="false">IF(6&gt;Hold_Yrs,0,H2034+H1125+H1428+H1731+H2337+H1428*Prepay_Pen+IF(6=Hold_Yrs,$C2640,0))</f>
        <v>0</v>
      </c>
      <c r="J2943" s="99" t="n">
        <f aca="false">IF(7&gt;Hold_Yrs,0,I2034+I1125+I1428+I1731+I2337+I1428*Prepay_Pen+IF(7=Hold_Yrs,$C2640,0))</f>
        <v>0</v>
      </c>
      <c r="K2943" s="99" t="n">
        <f aca="false">IF(8&gt;Hold_Yrs,0,J2034+J1125+J1428+J1731+J2337+J1428*Prepay_Pen+IF(8=Hold_Yrs,$C2640,0))</f>
        <v>0</v>
      </c>
      <c r="L2943" s="99" t="n">
        <f aca="false">IF(9&gt;Hold_Yrs,0,K2034+K1125+K1428+K1731+K2337+K1428*Prepay_Pen+IF(9=Hold_Yrs,$C2640,0))</f>
        <v>0</v>
      </c>
      <c r="M2943" s="99" t="n">
        <f aca="false">IF(10&gt;Hold_Yrs,0,L2034+L1125+L1428+L1731+L2337+L1428*Prepay_Pen+IF(10=Hold_Yrs,$C2640,0))</f>
        <v>0</v>
      </c>
    </row>
    <row r="2944" customFormat="false" ht="15" hidden="false" customHeight="false" outlineLevel="0" collapsed="false">
      <c r="B2944" s="108" t="n">
        <f aca="false">'Loan Tape'!$A213</f>
        <v>0</v>
      </c>
      <c r="C2944" s="71" t="n">
        <f aca="false">-'Loan Tape'!$BB213</f>
        <v>-0</v>
      </c>
      <c r="D2944" s="71" t="n">
        <f aca="false">IF(1&gt;Hold_Yrs,0,C2035+C1126+C1429+C1732+C2338+C1429*Prepay_Pen+IF(1=Hold_Yrs,$C2641,0))</f>
        <v>0</v>
      </c>
      <c r="E2944" s="71" t="n">
        <f aca="false">IF(2&gt;Hold_Yrs,0,D2035+D1126+D1429+D1732+D2338+D1429*Prepay_Pen+IF(2=Hold_Yrs,$C2641,0))</f>
        <v>0</v>
      </c>
      <c r="F2944" s="71" t="n">
        <f aca="false">IF(3&gt;Hold_Yrs,0,E2035+E1126+E1429+E1732+E2338+E1429*Prepay_Pen+IF(3=Hold_Yrs,$C2641,0))</f>
        <v>0</v>
      </c>
      <c r="G2944" s="71" t="n">
        <f aca="false">IF(4&gt;Hold_Yrs,0,F2035+F1126+F1429+F1732+F2338+F1429*Prepay_Pen+IF(4=Hold_Yrs,$C2641,0))</f>
        <v>0</v>
      </c>
      <c r="H2944" s="71" t="n">
        <f aca="false">IF(5&gt;Hold_Yrs,0,G2035+G1126+G1429+G1732+G2338+G1429*Prepay_Pen+IF(5=Hold_Yrs,$C2641,0))</f>
        <v>0</v>
      </c>
      <c r="I2944" s="71" t="n">
        <f aca="false">IF(6&gt;Hold_Yrs,0,H2035+H1126+H1429+H1732+H2338+H1429*Prepay_Pen+IF(6=Hold_Yrs,$C2641,0))</f>
        <v>0</v>
      </c>
      <c r="J2944" s="71" t="n">
        <f aca="false">IF(7&gt;Hold_Yrs,0,I2035+I1126+I1429+I1732+I2338+I1429*Prepay_Pen+IF(7=Hold_Yrs,$C2641,0))</f>
        <v>0</v>
      </c>
      <c r="K2944" s="71" t="n">
        <f aca="false">IF(8&gt;Hold_Yrs,0,J2035+J1126+J1429+J1732+J2338+J1429*Prepay_Pen+IF(8=Hold_Yrs,$C2641,0))</f>
        <v>0</v>
      </c>
      <c r="L2944" s="71" t="n">
        <f aca="false">IF(9&gt;Hold_Yrs,0,K2035+K1126+K1429+K1732+K2338+K1429*Prepay_Pen+IF(9=Hold_Yrs,$C2641,0))</f>
        <v>0</v>
      </c>
      <c r="M2944" s="71" t="n">
        <f aca="false">IF(10&gt;Hold_Yrs,0,L2035+L1126+L1429+L1732+L2338+L1429*Prepay_Pen+IF(10=Hold_Yrs,$C2641,0))</f>
        <v>0</v>
      </c>
    </row>
    <row r="2945" customFormat="false" ht="15" hidden="false" customHeight="false" outlineLevel="0" collapsed="false">
      <c r="B2945" s="102" t="n">
        <f aca="false">'Loan Tape'!$A214</f>
        <v>0</v>
      </c>
      <c r="C2945" s="99" t="n">
        <f aca="false">-'Loan Tape'!$BB214</f>
        <v>-0</v>
      </c>
      <c r="D2945" s="99" t="n">
        <f aca="false">IF(1&gt;Hold_Yrs,0,C2036+C1127+C1430+C1733+C2339+C1430*Prepay_Pen+IF(1=Hold_Yrs,$C2642,0))</f>
        <v>0</v>
      </c>
      <c r="E2945" s="99" t="n">
        <f aca="false">IF(2&gt;Hold_Yrs,0,D2036+D1127+D1430+D1733+D2339+D1430*Prepay_Pen+IF(2=Hold_Yrs,$C2642,0))</f>
        <v>0</v>
      </c>
      <c r="F2945" s="99" t="n">
        <f aca="false">IF(3&gt;Hold_Yrs,0,E2036+E1127+E1430+E1733+E2339+E1430*Prepay_Pen+IF(3=Hold_Yrs,$C2642,0))</f>
        <v>0</v>
      </c>
      <c r="G2945" s="99" t="n">
        <f aca="false">IF(4&gt;Hold_Yrs,0,F2036+F1127+F1430+F1733+F2339+F1430*Prepay_Pen+IF(4=Hold_Yrs,$C2642,0))</f>
        <v>0</v>
      </c>
      <c r="H2945" s="99" t="n">
        <f aca="false">IF(5&gt;Hold_Yrs,0,G2036+G1127+G1430+G1733+G2339+G1430*Prepay_Pen+IF(5=Hold_Yrs,$C2642,0))</f>
        <v>0</v>
      </c>
      <c r="I2945" s="99" t="n">
        <f aca="false">IF(6&gt;Hold_Yrs,0,H2036+H1127+H1430+H1733+H2339+H1430*Prepay_Pen+IF(6=Hold_Yrs,$C2642,0))</f>
        <v>0</v>
      </c>
      <c r="J2945" s="99" t="n">
        <f aca="false">IF(7&gt;Hold_Yrs,0,I2036+I1127+I1430+I1733+I2339+I1430*Prepay_Pen+IF(7=Hold_Yrs,$C2642,0))</f>
        <v>0</v>
      </c>
      <c r="K2945" s="99" t="n">
        <f aca="false">IF(8&gt;Hold_Yrs,0,J2036+J1127+J1430+J1733+J2339+J1430*Prepay_Pen+IF(8=Hold_Yrs,$C2642,0))</f>
        <v>0</v>
      </c>
      <c r="L2945" s="99" t="n">
        <f aca="false">IF(9&gt;Hold_Yrs,0,K2036+K1127+K1430+K1733+K2339+K1430*Prepay_Pen+IF(9=Hold_Yrs,$C2642,0))</f>
        <v>0</v>
      </c>
      <c r="M2945" s="99" t="n">
        <f aca="false">IF(10&gt;Hold_Yrs,0,L2036+L1127+L1430+L1733+L2339+L1430*Prepay_Pen+IF(10=Hold_Yrs,$C2642,0))</f>
        <v>0</v>
      </c>
    </row>
    <row r="2946" customFormat="false" ht="15" hidden="false" customHeight="false" outlineLevel="0" collapsed="false">
      <c r="B2946" s="108" t="n">
        <f aca="false">'Loan Tape'!$A215</f>
        <v>0</v>
      </c>
      <c r="C2946" s="71" t="n">
        <f aca="false">-'Loan Tape'!$BB215</f>
        <v>-0</v>
      </c>
      <c r="D2946" s="71" t="n">
        <f aca="false">IF(1&gt;Hold_Yrs,0,C2037+C1128+C1431+C1734+C2340+C1431*Prepay_Pen+IF(1=Hold_Yrs,$C2643,0))</f>
        <v>0</v>
      </c>
      <c r="E2946" s="71" t="n">
        <f aca="false">IF(2&gt;Hold_Yrs,0,D2037+D1128+D1431+D1734+D2340+D1431*Prepay_Pen+IF(2=Hold_Yrs,$C2643,0))</f>
        <v>0</v>
      </c>
      <c r="F2946" s="71" t="n">
        <f aca="false">IF(3&gt;Hold_Yrs,0,E2037+E1128+E1431+E1734+E2340+E1431*Prepay_Pen+IF(3=Hold_Yrs,$C2643,0))</f>
        <v>0</v>
      </c>
      <c r="G2946" s="71" t="n">
        <f aca="false">IF(4&gt;Hold_Yrs,0,F2037+F1128+F1431+F1734+F2340+F1431*Prepay_Pen+IF(4=Hold_Yrs,$C2643,0))</f>
        <v>0</v>
      </c>
      <c r="H2946" s="71" t="n">
        <f aca="false">IF(5&gt;Hold_Yrs,0,G2037+G1128+G1431+G1734+G2340+G1431*Prepay_Pen+IF(5=Hold_Yrs,$C2643,0))</f>
        <v>0</v>
      </c>
      <c r="I2946" s="71" t="n">
        <f aca="false">IF(6&gt;Hold_Yrs,0,H2037+H1128+H1431+H1734+H2340+H1431*Prepay_Pen+IF(6=Hold_Yrs,$C2643,0))</f>
        <v>0</v>
      </c>
      <c r="J2946" s="71" t="n">
        <f aca="false">IF(7&gt;Hold_Yrs,0,I2037+I1128+I1431+I1734+I2340+I1431*Prepay_Pen+IF(7=Hold_Yrs,$C2643,0))</f>
        <v>0</v>
      </c>
      <c r="K2946" s="71" t="n">
        <f aca="false">IF(8&gt;Hold_Yrs,0,J2037+J1128+J1431+J1734+J2340+J1431*Prepay_Pen+IF(8=Hold_Yrs,$C2643,0))</f>
        <v>0</v>
      </c>
      <c r="L2946" s="71" t="n">
        <f aca="false">IF(9&gt;Hold_Yrs,0,K2037+K1128+K1431+K1734+K2340+K1431*Prepay_Pen+IF(9=Hold_Yrs,$C2643,0))</f>
        <v>0</v>
      </c>
      <c r="M2946" s="71" t="n">
        <f aca="false">IF(10&gt;Hold_Yrs,0,L2037+L1128+L1431+L1734+L2340+L1431*Prepay_Pen+IF(10=Hold_Yrs,$C2643,0))</f>
        <v>0</v>
      </c>
    </row>
    <row r="2947" customFormat="false" ht="15" hidden="false" customHeight="false" outlineLevel="0" collapsed="false">
      <c r="B2947" s="102" t="n">
        <f aca="false">'Loan Tape'!$A216</f>
        <v>0</v>
      </c>
      <c r="C2947" s="99" t="n">
        <f aca="false">-'Loan Tape'!$BB216</f>
        <v>-0</v>
      </c>
      <c r="D2947" s="99" t="n">
        <f aca="false">IF(1&gt;Hold_Yrs,0,C2038+C1129+C1432+C1735+C2341+C1432*Prepay_Pen+IF(1=Hold_Yrs,$C2644,0))</f>
        <v>0</v>
      </c>
      <c r="E2947" s="99" t="n">
        <f aca="false">IF(2&gt;Hold_Yrs,0,D2038+D1129+D1432+D1735+D2341+D1432*Prepay_Pen+IF(2=Hold_Yrs,$C2644,0))</f>
        <v>0</v>
      </c>
      <c r="F2947" s="99" t="n">
        <f aca="false">IF(3&gt;Hold_Yrs,0,E2038+E1129+E1432+E1735+E2341+E1432*Prepay_Pen+IF(3=Hold_Yrs,$C2644,0))</f>
        <v>0</v>
      </c>
      <c r="G2947" s="99" t="n">
        <f aca="false">IF(4&gt;Hold_Yrs,0,F2038+F1129+F1432+F1735+F2341+F1432*Prepay_Pen+IF(4=Hold_Yrs,$C2644,0))</f>
        <v>0</v>
      </c>
      <c r="H2947" s="99" t="n">
        <f aca="false">IF(5&gt;Hold_Yrs,0,G2038+G1129+G1432+G1735+G2341+G1432*Prepay_Pen+IF(5=Hold_Yrs,$C2644,0))</f>
        <v>0</v>
      </c>
      <c r="I2947" s="99" t="n">
        <f aca="false">IF(6&gt;Hold_Yrs,0,H2038+H1129+H1432+H1735+H2341+H1432*Prepay_Pen+IF(6=Hold_Yrs,$C2644,0))</f>
        <v>0</v>
      </c>
      <c r="J2947" s="99" t="n">
        <f aca="false">IF(7&gt;Hold_Yrs,0,I2038+I1129+I1432+I1735+I2341+I1432*Prepay_Pen+IF(7=Hold_Yrs,$C2644,0))</f>
        <v>0</v>
      </c>
      <c r="K2947" s="99" t="n">
        <f aca="false">IF(8&gt;Hold_Yrs,0,J2038+J1129+J1432+J1735+J2341+J1432*Prepay_Pen+IF(8=Hold_Yrs,$C2644,0))</f>
        <v>0</v>
      </c>
      <c r="L2947" s="99" t="n">
        <f aca="false">IF(9&gt;Hold_Yrs,0,K2038+K1129+K1432+K1735+K2341+K1432*Prepay_Pen+IF(9=Hold_Yrs,$C2644,0))</f>
        <v>0</v>
      </c>
      <c r="M2947" s="99" t="n">
        <f aca="false">IF(10&gt;Hold_Yrs,0,L2038+L1129+L1432+L1735+L2341+L1432*Prepay_Pen+IF(10=Hold_Yrs,$C2644,0))</f>
        <v>0</v>
      </c>
    </row>
    <row r="2948" customFormat="false" ht="15" hidden="false" customHeight="false" outlineLevel="0" collapsed="false">
      <c r="B2948" s="108" t="n">
        <f aca="false">'Loan Tape'!$A217</f>
        <v>0</v>
      </c>
      <c r="C2948" s="71" t="n">
        <f aca="false">-'Loan Tape'!$BB217</f>
        <v>-0</v>
      </c>
      <c r="D2948" s="71" t="n">
        <f aca="false">IF(1&gt;Hold_Yrs,0,C2039+C1130+C1433+C1736+C2342+C1433*Prepay_Pen+IF(1=Hold_Yrs,$C2645,0))</f>
        <v>0</v>
      </c>
      <c r="E2948" s="71" t="n">
        <f aca="false">IF(2&gt;Hold_Yrs,0,D2039+D1130+D1433+D1736+D2342+D1433*Prepay_Pen+IF(2=Hold_Yrs,$C2645,0))</f>
        <v>0</v>
      </c>
      <c r="F2948" s="71" t="n">
        <f aca="false">IF(3&gt;Hold_Yrs,0,E2039+E1130+E1433+E1736+E2342+E1433*Prepay_Pen+IF(3=Hold_Yrs,$C2645,0))</f>
        <v>0</v>
      </c>
      <c r="G2948" s="71" t="n">
        <f aca="false">IF(4&gt;Hold_Yrs,0,F2039+F1130+F1433+F1736+F2342+F1433*Prepay_Pen+IF(4=Hold_Yrs,$C2645,0))</f>
        <v>0</v>
      </c>
      <c r="H2948" s="71" t="n">
        <f aca="false">IF(5&gt;Hold_Yrs,0,G2039+G1130+G1433+G1736+G2342+G1433*Prepay_Pen+IF(5=Hold_Yrs,$C2645,0))</f>
        <v>0</v>
      </c>
      <c r="I2948" s="71" t="n">
        <f aca="false">IF(6&gt;Hold_Yrs,0,H2039+H1130+H1433+H1736+H2342+H1433*Prepay_Pen+IF(6=Hold_Yrs,$C2645,0))</f>
        <v>0</v>
      </c>
      <c r="J2948" s="71" t="n">
        <f aca="false">IF(7&gt;Hold_Yrs,0,I2039+I1130+I1433+I1736+I2342+I1433*Prepay_Pen+IF(7=Hold_Yrs,$C2645,0))</f>
        <v>0</v>
      </c>
      <c r="K2948" s="71" t="n">
        <f aca="false">IF(8&gt;Hold_Yrs,0,J2039+J1130+J1433+J1736+J2342+J1433*Prepay_Pen+IF(8=Hold_Yrs,$C2645,0))</f>
        <v>0</v>
      </c>
      <c r="L2948" s="71" t="n">
        <f aca="false">IF(9&gt;Hold_Yrs,0,K2039+K1130+K1433+K1736+K2342+K1433*Prepay_Pen+IF(9=Hold_Yrs,$C2645,0))</f>
        <v>0</v>
      </c>
      <c r="M2948" s="71" t="n">
        <f aca="false">IF(10&gt;Hold_Yrs,0,L2039+L1130+L1433+L1736+L2342+L1433*Prepay_Pen+IF(10=Hold_Yrs,$C2645,0))</f>
        <v>0</v>
      </c>
    </row>
    <row r="2949" customFormat="false" ht="15" hidden="false" customHeight="false" outlineLevel="0" collapsed="false">
      <c r="B2949" s="102" t="n">
        <f aca="false">'Loan Tape'!$A218</f>
        <v>0</v>
      </c>
      <c r="C2949" s="99" t="n">
        <f aca="false">-'Loan Tape'!$BB218</f>
        <v>-0</v>
      </c>
      <c r="D2949" s="99" t="n">
        <f aca="false">IF(1&gt;Hold_Yrs,0,C2040+C1131+C1434+C1737+C2343+C1434*Prepay_Pen+IF(1=Hold_Yrs,$C2646,0))</f>
        <v>0</v>
      </c>
      <c r="E2949" s="99" t="n">
        <f aca="false">IF(2&gt;Hold_Yrs,0,D2040+D1131+D1434+D1737+D2343+D1434*Prepay_Pen+IF(2=Hold_Yrs,$C2646,0))</f>
        <v>0</v>
      </c>
      <c r="F2949" s="99" t="n">
        <f aca="false">IF(3&gt;Hold_Yrs,0,E2040+E1131+E1434+E1737+E2343+E1434*Prepay_Pen+IF(3=Hold_Yrs,$C2646,0))</f>
        <v>0</v>
      </c>
      <c r="G2949" s="99" t="n">
        <f aca="false">IF(4&gt;Hold_Yrs,0,F2040+F1131+F1434+F1737+F2343+F1434*Prepay_Pen+IF(4=Hold_Yrs,$C2646,0))</f>
        <v>0</v>
      </c>
      <c r="H2949" s="99" t="n">
        <f aca="false">IF(5&gt;Hold_Yrs,0,G2040+G1131+G1434+G1737+G2343+G1434*Prepay_Pen+IF(5=Hold_Yrs,$C2646,0))</f>
        <v>0</v>
      </c>
      <c r="I2949" s="99" t="n">
        <f aca="false">IF(6&gt;Hold_Yrs,0,H2040+H1131+H1434+H1737+H2343+H1434*Prepay_Pen+IF(6=Hold_Yrs,$C2646,0))</f>
        <v>0</v>
      </c>
      <c r="J2949" s="99" t="n">
        <f aca="false">IF(7&gt;Hold_Yrs,0,I2040+I1131+I1434+I1737+I2343+I1434*Prepay_Pen+IF(7=Hold_Yrs,$C2646,0))</f>
        <v>0</v>
      </c>
      <c r="K2949" s="99" t="n">
        <f aca="false">IF(8&gt;Hold_Yrs,0,J2040+J1131+J1434+J1737+J2343+J1434*Prepay_Pen+IF(8=Hold_Yrs,$C2646,0))</f>
        <v>0</v>
      </c>
      <c r="L2949" s="99" t="n">
        <f aca="false">IF(9&gt;Hold_Yrs,0,K2040+K1131+K1434+K1737+K2343+K1434*Prepay_Pen+IF(9=Hold_Yrs,$C2646,0))</f>
        <v>0</v>
      </c>
      <c r="M2949" s="99" t="n">
        <f aca="false">IF(10&gt;Hold_Yrs,0,L2040+L1131+L1434+L1737+L2343+L1434*Prepay_Pen+IF(10=Hold_Yrs,$C2646,0))</f>
        <v>0</v>
      </c>
    </row>
    <row r="2950" customFormat="false" ht="15" hidden="false" customHeight="false" outlineLevel="0" collapsed="false">
      <c r="B2950" s="108" t="n">
        <f aca="false">'Loan Tape'!$A219</f>
        <v>0</v>
      </c>
      <c r="C2950" s="71" t="n">
        <f aca="false">-'Loan Tape'!$BB219</f>
        <v>-0</v>
      </c>
      <c r="D2950" s="71" t="n">
        <f aca="false">IF(1&gt;Hold_Yrs,0,C2041+C1132+C1435+C1738+C2344+C1435*Prepay_Pen+IF(1=Hold_Yrs,$C2647,0))</f>
        <v>0</v>
      </c>
      <c r="E2950" s="71" t="n">
        <f aca="false">IF(2&gt;Hold_Yrs,0,D2041+D1132+D1435+D1738+D2344+D1435*Prepay_Pen+IF(2=Hold_Yrs,$C2647,0))</f>
        <v>0</v>
      </c>
      <c r="F2950" s="71" t="n">
        <f aca="false">IF(3&gt;Hold_Yrs,0,E2041+E1132+E1435+E1738+E2344+E1435*Prepay_Pen+IF(3=Hold_Yrs,$C2647,0))</f>
        <v>0</v>
      </c>
      <c r="G2950" s="71" t="n">
        <f aca="false">IF(4&gt;Hold_Yrs,0,F2041+F1132+F1435+F1738+F2344+F1435*Prepay_Pen+IF(4=Hold_Yrs,$C2647,0))</f>
        <v>0</v>
      </c>
      <c r="H2950" s="71" t="n">
        <f aca="false">IF(5&gt;Hold_Yrs,0,G2041+G1132+G1435+G1738+G2344+G1435*Prepay_Pen+IF(5=Hold_Yrs,$C2647,0))</f>
        <v>0</v>
      </c>
      <c r="I2950" s="71" t="n">
        <f aca="false">IF(6&gt;Hold_Yrs,0,H2041+H1132+H1435+H1738+H2344+H1435*Prepay_Pen+IF(6=Hold_Yrs,$C2647,0))</f>
        <v>0</v>
      </c>
      <c r="J2950" s="71" t="n">
        <f aca="false">IF(7&gt;Hold_Yrs,0,I2041+I1132+I1435+I1738+I2344+I1435*Prepay_Pen+IF(7=Hold_Yrs,$C2647,0))</f>
        <v>0</v>
      </c>
      <c r="K2950" s="71" t="n">
        <f aca="false">IF(8&gt;Hold_Yrs,0,J2041+J1132+J1435+J1738+J2344+J1435*Prepay_Pen+IF(8=Hold_Yrs,$C2647,0))</f>
        <v>0</v>
      </c>
      <c r="L2950" s="71" t="n">
        <f aca="false">IF(9&gt;Hold_Yrs,0,K2041+K1132+K1435+K1738+K2344+K1435*Prepay_Pen+IF(9=Hold_Yrs,$C2647,0))</f>
        <v>0</v>
      </c>
      <c r="M2950" s="71" t="n">
        <f aca="false">IF(10&gt;Hold_Yrs,0,L2041+L1132+L1435+L1738+L2344+L1435*Prepay_Pen+IF(10=Hold_Yrs,$C2647,0))</f>
        <v>0</v>
      </c>
    </row>
    <row r="2951" customFormat="false" ht="15" hidden="false" customHeight="false" outlineLevel="0" collapsed="false">
      <c r="B2951" s="102" t="n">
        <f aca="false">'Loan Tape'!$A220</f>
        <v>0</v>
      </c>
      <c r="C2951" s="99" t="n">
        <f aca="false">-'Loan Tape'!$BB220</f>
        <v>-0</v>
      </c>
      <c r="D2951" s="99" t="n">
        <f aca="false">IF(1&gt;Hold_Yrs,0,C2042+C1133+C1436+C1739+C2345+C1436*Prepay_Pen+IF(1=Hold_Yrs,$C2648,0))</f>
        <v>0</v>
      </c>
      <c r="E2951" s="99" t="n">
        <f aca="false">IF(2&gt;Hold_Yrs,0,D2042+D1133+D1436+D1739+D2345+D1436*Prepay_Pen+IF(2=Hold_Yrs,$C2648,0))</f>
        <v>0</v>
      </c>
      <c r="F2951" s="99" t="n">
        <f aca="false">IF(3&gt;Hold_Yrs,0,E2042+E1133+E1436+E1739+E2345+E1436*Prepay_Pen+IF(3=Hold_Yrs,$C2648,0))</f>
        <v>0</v>
      </c>
      <c r="G2951" s="99" t="n">
        <f aca="false">IF(4&gt;Hold_Yrs,0,F2042+F1133+F1436+F1739+F2345+F1436*Prepay_Pen+IF(4=Hold_Yrs,$C2648,0))</f>
        <v>0</v>
      </c>
      <c r="H2951" s="99" t="n">
        <f aca="false">IF(5&gt;Hold_Yrs,0,G2042+G1133+G1436+G1739+G2345+G1436*Prepay_Pen+IF(5=Hold_Yrs,$C2648,0))</f>
        <v>0</v>
      </c>
      <c r="I2951" s="99" t="n">
        <f aca="false">IF(6&gt;Hold_Yrs,0,H2042+H1133+H1436+H1739+H2345+H1436*Prepay_Pen+IF(6=Hold_Yrs,$C2648,0))</f>
        <v>0</v>
      </c>
      <c r="J2951" s="99" t="n">
        <f aca="false">IF(7&gt;Hold_Yrs,0,I2042+I1133+I1436+I1739+I2345+I1436*Prepay_Pen+IF(7=Hold_Yrs,$C2648,0))</f>
        <v>0</v>
      </c>
      <c r="K2951" s="99" t="n">
        <f aca="false">IF(8&gt;Hold_Yrs,0,J2042+J1133+J1436+J1739+J2345+J1436*Prepay_Pen+IF(8=Hold_Yrs,$C2648,0))</f>
        <v>0</v>
      </c>
      <c r="L2951" s="99" t="n">
        <f aca="false">IF(9&gt;Hold_Yrs,0,K2042+K1133+K1436+K1739+K2345+K1436*Prepay_Pen+IF(9=Hold_Yrs,$C2648,0))</f>
        <v>0</v>
      </c>
      <c r="M2951" s="99" t="n">
        <f aca="false">IF(10&gt;Hold_Yrs,0,L2042+L1133+L1436+L1739+L2345+L1436*Prepay_Pen+IF(10=Hold_Yrs,$C2648,0))</f>
        <v>0</v>
      </c>
    </row>
    <row r="2952" customFormat="false" ht="15" hidden="false" customHeight="false" outlineLevel="0" collapsed="false">
      <c r="B2952" s="108" t="n">
        <f aca="false">'Loan Tape'!$A221</f>
        <v>0</v>
      </c>
      <c r="C2952" s="71" t="n">
        <f aca="false">-'Loan Tape'!$BB221</f>
        <v>-0</v>
      </c>
      <c r="D2952" s="71" t="n">
        <f aca="false">IF(1&gt;Hold_Yrs,0,C2043+C1134+C1437+C1740+C2346+C1437*Prepay_Pen+IF(1=Hold_Yrs,$C2649,0))</f>
        <v>0</v>
      </c>
      <c r="E2952" s="71" t="n">
        <f aca="false">IF(2&gt;Hold_Yrs,0,D2043+D1134+D1437+D1740+D2346+D1437*Prepay_Pen+IF(2=Hold_Yrs,$C2649,0))</f>
        <v>0</v>
      </c>
      <c r="F2952" s="71" t="n">
        <f aca="false">IF(3&gt;Hold_Yrs,0,E2043+E1134+E1437+E1740+E2346+E1437*Prepay_Pen+IF(3=Hold_Yrs,$C2649,0))</f>
        <v>0</v>
      </c>
      <c r="G2952" s="71" t="n">
        <f aca="false">IF(4&gt;Hold_Yrs,0,F2043+F1134+F1437+F1740+F2346+F1437*Prepay_Pen+IF(4=Hold_Yrs,$C2649,0))</f>
        <v>0</v>
      </c>
      <c r="H2952" s="71" t="n">
        <f aca="false">IF(5&gt;Hold_Yrs,0,G2043+G1134+G1437+G1740+G2346+G1437*Prepay_Pen+IF(5=Hold_Yrs,$C2649,0))</f>
        <v>0</v>
      </c>
      <c r="I2952" s="71" t="n">
        <f aca="false">IF(6&gt;Hold_Yrs,0,H2043+H1134+H1437+H1740+H2346+H1437*Prepay_Pen+IF(6=Hold_Yrs,$C2649,0))</f>
        <v>0</v>
      </c>
      <c r="J2952" s="71" t="n">
        <f aca="false">IF(7&gt;Hold_Yrs,0,I2043+I1134+I1437+I1740+I2346+I1437*Prepay_Pen+IF(7=Hold_Yrs,$C2649,0))</f>
        <v>0</v>
      </c>
      <c r="K2952" s="71" t="n">
        <f aca="false">IF(8&gt;Hold_Yrs,0,J2043+J1134+J1437+J1740+J2346+J1437*Prepay_Pen+IF(8=Hold_Yrs,$C2649,0))</f>
        <v>0</v>
      </c>
      <c r="L2952" s="71" t="n">
        <f aca="false">IF(9&gt;Hold_Yrs,0,K2043+K1134+K1437+K1740+K2346+K1437*Prepay_Pen+IF(9=Hold_Yrs,$C2649,0))</f>
        <v>0</v>
      </c>
      <c r="M2952" s="71" t="n">
        <f aca="false">IF(10&gt;Hold_Yrs,0,L2043+L1134+L1437+L1740+L2346+L1437*Prepay_Pen+IF(10=Hold_Yrs,$C2649,0))</f>
        <v>0</v>
      </c>
    </row>
    <row r="2953" customFormat="false" ht="15" hidden="false" customHeight="false" outlineLevel="0" collapsed="false">
      <c r="B2953" s="102" t="n">
        <f aca="false">'Loan Tape'!$A222</f>
        <v>0</v>
      </c>
      <c r="C2953" s="99" t="n">
        <f aca="false">-'Loan Tape'!$BB222</f>
        <v>-0</v>
      </c>
      <c r="D2953" s="99" t="n">
        <f aca="false">IF(1&gt;Hold_Yrs,0,C2044+C1135+C1438+C1741+C2347+C1438*Prepay_Pen+IF(1=Hold_Yrs,$C2650,0))</f>
        <v>0</v>
      </c>
      <c r="E2953" s="99" t="n">
        <f aca="false">IF(2&gt;Hold_Yrs,0,D2044+D1135+D1438+D1741+D2347+D1438*Prepay_Pen+IF(2=Hold_Yrs,$C2650,0))</f>
        <v>0</v>
      </c>
      <c r="F2953" s="99" t="n">
        <f aca="false">IF(3&gt;Hold_Yrs,0,E2044+E1135+E1438+E1741+E2347+E1438*Prepay_Pen+IF(3=Hold_Yrs,$C2650,0))</f>
        <v>0</v>
      </c>
      <c r="G2953" s="99" t="n">
        <f aca="false">IF(4&gt;Hold_Yrs,0,F2044+F1135+F1438+F1741+F2347+F1438*Prepay_Pen+IF(4=Hold_Yrs,$C2650,0))</f>
        <v>0</v>
      </c>
      <c r="H2953" s="99" t="n">
        <f aca="false">IF(5&gt;Hold_Yrs,0,G2044+G1135+G1438+G1741+G2347+G1438*Prepay_Pen+IF(5=Hold_Yrs,$C2650,0))</f>
        <v>0</v>
      </c>
      <c r="I2953" s="99" t="n">
        <f aca="false">IF(6&gt;Hold_Yrs,0,H2044+H1135+H1438+H1741+H2347+H1438*Prepay_Pen+IF(6=Hold_Yrs,$C2650,0))</f>
        <v>0</v>
      </c>
      <c r="J2953" s="99" t="n">
        <f aca="false">IF(7&gt;Hold_Yrs,0,I2044+I1135+I1438+I1741+I2347+I1438*Prepay_Pen+IF(7=Hold_Yrs,$C2650,0))</f>
        <v>0</v>
      </c>
      <c r="K2953" s="99" t="n">
        <f aca="false">IF(8&gt;Hold_Yrs,0,J2044+J1135+J1438+J1741+J2347+J1438*Prepay_Pen+IF(8=Hold_Yrs,$C2650,0))</f>
        <v>0</v>
      </c>
      <c r="L2953" s="99" t="n">
        <f aca="false">IF(9&gt;Hold_Yrs,0,K2044+K1135+K1438+K1741+K2347+K1438*Prepay_Pen+IF(9=Hold_Yrs,$C2650,0))</f>
        <v>0</v>
      </c>
      <c r="M2953" s="99" t="n">
        <f aca="false">IF(10&gt;Hold_Yrs,0,L2044+L1135+L1438+L1741+L2347+L1438*Prepay_Pen+IF(10=Hold_Yrs,$C2650,0))</f>
        <v>0</v>
      </c>
    </row>
    <row r="2954" customFormat="false" ht="15" hidden="false" customHeight="false" outlineLevel="0" collapsed="false">
      <c r="B2954" s="108" t="n">
        <f aca="false">'Loan Tape'!$A223</f>
        <v>0</v>
      </c>
      <c r="C2954" s="71" t="n">
        <f aca="false">-'Loan Tape'!$BB223</f>
        <v>-0</v>
      </c>
      <c r="D2954" s="71" t="n">
        <f aca="false">IF(1&gt;Hold_Yrs,0,C2045+C1136+C1439+C1742+C2348+C1439*Prepay_Pen+IF(1=Hold_Yrs,$C2651,0))</f>
        <v>0</v>
      </c>
      <c r="E2954" s="71" t="n">
        <f aca="false">IF(2&gt;Hold_Yrs,0,D2045+D1136+D1439+D1742+D2348+D1439*Prepay_Pen+IF(2=Hold_Yrs,$C2651,0))</f>
        <v>0</v>
      </c>
      <c r="F2954" s="71" t="n">
        <f aca="false">IF(3&gt;Hold_Yrs,0,E2045+E1136+E1439+E1742+E2348+E1439*Prepay_Pen+IF(3=Hold_Yrs,$C2651,0))</f>
        <v>0</v>
      </c>
      <c r="G2954" s="71" t="n">
        <f aca="false">IF(4&gt;Hold_Yrs,0,F2045+F1136+F1439+F1742+F2348+F1439*Prepay_Pen+IF(4=Hold_Yrs,$C2651,0))</f>
        <v>0</v>
      </c>
      <c r="H2954" s="71" t="n">
        <f aca="false">IF(5&gt;Hold_Yrs,0,G2045+G1136+G1439+G1742+G2348+G1439*Prepay_Pen+IF(5=Hold_Yrs,$C2651,0))</f>
        <v>0</v>
      </c>
      <c r="I2954" s="71" t="n">
        <f aca="false">IF(6&gt;Hold_Yrs,0,H2045+H1136+H1439+H1742+H2348+H1439*Prepay_Pen+IF(6=Hold_Yrs,$C2651,0))</f>
        <v>0</v>
      </c>
      <c r="J2954" s="71" t="n">
        <f aca="false">IF(7&gt;Hold_Yrs,0,I2045+I1136+I1439+I1742+I2348+I1439*Prepay_Pen+IF(7=Hold_Yrs,$C2651,0))</f>
        <v>0</v>
      </c>
      <c r="K2954" s="71" t="n">
        <f aca="false">IF(8&gt;Hold_Yrs,0,J2045+J1136+J1439+J1742+J2348+J1439*Prepay_Pen+IF(8=Hold_Yrs,$C2651,0))</f>
        <v>0</v>
      </c>
      <c r="L2954" s="71" t="n">
        <f aca="false">IF(9&gt;Hold_Yrs,0,K2045+K1136+K1439+K1742+K2348+K1439*Prepay_Pen+IF(9=Hold_Yrs,$C2651,0))</f>
        <v>0</v>
      </c>
      <c r="M2954" s="71" t="n">
        <f aca="false">IF(10&gt;Hold_Yrs,0,L2045+L1136+L1439+L1742+L2348+L1439*Prepay_Pen+IF(10=Hold_Yrs,$C2651,0))</f>
        <v>0</v>
      </c>
    </row>
    <row r="2955" customFormat="false" ht="15" hidden="false" customHeight="false" outlineLevel="0" collapsed="false">
      <c r="B2955" s="102" t="n">
        <f aca="false">'Loan Tape'!$A224</f>
        <v>0</v>
      </c>
      <c r="C2955" s="99" t="n">
        <f aca="false">-'Loan Tape'!$BB224</f>
        <v>-0</v>
      </c>
      <c r="D2955" s="99" t="n">
        <f aca="false">IF(1&gt;Hold_Yrs,0,C2046+C1137+C1440+C1743+C2349+C1440*Prepay_Pen+IF(1=Hold_Yrs,$C2652,0))</f>
        <v>0</v>
      </c>
      <c r="E2955" s="99" t="n">
        <f aca="false">IF(2&gt;Hold_Yrs,0,D2046+D1137+D1440+D1743+D2349+D1440*Prepay_Pen+IF(2=Hold_Yrs,$C2652,0))</f>
        <v>0</v>
      </c>
      <c r="F2955" s="99" t="n">
        <f aca="false">IF(3&gt;Hold_Yrs,0,E2046+E1137+E1440+E1743+E2349+E1440*Prepay_Pen+IF(3=Hold_Yrs,$C2652,0))</f>
        <v>0</v>
      </c>
      <c r="G2955" s="99" t="n">
        <f aca="false">IF(4&gt;Hold_Yrs,0,F2046+F1137+F1440+F1743+F2349+F1440*Prepay_Pen+IF(4=Hold_Yrs,$C2652,0))</f>
        <v>0</v>
      </c>
      <c r="H2955" s="99" t="n">
        <f aca="false">IF(5&gt;Hold_Yrs,0,G2046+G1137+G1440+G1743+G2349+G1440*Prepay_Pen+IF(5=Hold_Yrs,$C2652,0))</f>
        <v>0</v>
      </c>
      <c r="I2955" s="99" t="n">
        <f aca="false">IF(6&gt;Hold_Yrs,0,H2046+H1137+H1440+H1743+H2349+H1440*Prepay_Pen+IF(6=Hold_Yrs,$C2652,0))</f>
        <v>0</v>
      </c>
      <c r="J2955" s="99" t="n">
        <f aca="false">IF(7&gt;Hold_Yrs,0,I2046+I1137+I1440+I1743+I2349+I1440*Prepay_Pen+IF(7=Hold_Yrs,$C2652,0))</f>
        <v>0</v>
      </c>
      <c r="K2955" s="99" t="n">
        <f aca="false">IF(8&gt;Hold_Yrs,0,J2046+J1137+J1440+J1743+J2349+J1440*Prepay_Pen+IF(8=Hold_Yrs,$C2652,0))</f>
        <v>0</v>
      </c>
      <c r="L2955" s="99" t="n">
        <f aca="false">IF(9&gt;Hold_Yrs,0,K2046+K1137+K1440+K1743+K2349+K1440*Prepay_Pen+IF(9=Hold_Yrs,$C2652,0))</f>
        <v>0</v>
      </c>
      <c r="M2955" s="99" t="n">
        <f aca="false">IF(10&gt;Hold_Yrs,0,L2046+L1137+L1440+L1743+L2349+L1440*Prepay_Pen+IF(10=Hold_Yrs,$C2652,0))</f>
        <v>0</v>
      </c>
    </row>
    <row r="2956" customFormat="false" ht="15" hidden="false" customHeight="false" outlineLevel="0" collapsed="false">
      <c r="B2956" s="108" t="n">
        <f aca="false">'Loan Tape'!$A225</f>
        <v>0</v>
      </c>
      <c r="C2956" s="71" t="n">
        <f aca="false">-'Loan Tape'!$BB225</f>
        <v>-0</v>
      </c>
      <c r="D2956" s="71" t="n">
        <f aca="false">IF(1&gt;Hold_Yrs,0,C2047+C1138+C1441+C1744+C2350+C1441*Prepay_Pen+IF(1=Hold_Yrs,$C2653,0))</f>
        <v>0</v>
      </c>
      <c r="E2956" s="71" t="n">
        <f aca="false">IF(2&gt;Hold_Yrs,0,D2047+D1138+D1441+D1744+D2350+D1441*Prepay_Pen+IF(2=Hold_Yrs,$C2653,0))</f>
        <v>0</v>
      </c>
      <c r="F2956" s="71" t="n">
        <f aca="false">IF(3&gt;Hold_Yrs,0,E2047+E1138+E1441+E1744+E2350+E1441*Prepay_Pen+IF(3=Hold_Yrs,$C2653,0))</f>
        <v>0</v>
      </c>
      <c r="G2956" s="71" t="n">
        <f aca="false">IF(4&gt;Hold_Yrs,0,F2047+F1138+F1441+F1744+F2350+F1441*Prepay_Pen+IF(4=Hold_Yrs,$C2653,0))</f>
        <v>0</v>
      </c>
      <c r="H2956" s="71" t="n">
        <f aca="false">IF(5&gt;Hold_Yrs,0,G2047+G1138+G1441+G1744+G2350+G1441*Prepay_Pen+IF(5=Hold_Yrs,$C2653,0))</f>
        <v>0</v>
      </c>
      <c r="I2956" s="71" t="n">
        <f aca="false">IF(6&gt;Hold_Yrs,0,H2047+H1138+H1441+H1744+H2350+H1441*Prepay_Pen+IF(6=Hold_Yrs,$C2653,0))</f>
        <v>0</v>
      </c>
      <c r="J2956" s="71" t="n">
        <f aca="false">IF(7&gt;Hold_Yrs,0,I2047+I1138+I1441+I1744+I2350+I1441*Prepay_Pen+IF(7=Hold_Yrs,$C2653,0))</f>
        <v>0</v>
      </c>
      <c r="K2956" s="71" t="n">
        <f aca="false">IF(8&gt;Hold_Yrs,0,J2047+J1138+J1441+J1744+J2350+J1441*Prepay_Pen+IF(8=Hold_Yrs,$C2653,0))</f>
        <v>0</v>
      </c>
      <c r="L2956" s="71" t="n">
        <f aca="false">IF(9&gt;Hold_Yrs,0,K2047+K1138+K1441+K1744+K2350+K1441*Prepay_Pen+IF(9=Hold_Yrs,$C2653,0))</f>
        <v>0</v>
      </c>
      <c r="M2956" s="71" t="n">
        <f aca="false">IF(10&gt;Hold_Yrs,0,L2047+L1138+L1441+L1744+L2350+L1441*Prepay_Pen+IF(10=Hold_Yrs,$C2653,0))</f>
        <v>0</v>
      </c>
    </row>
    <row r="2957" customFormat="false" ht="15" hidden="false" customHeight="false" outlineLevel="0" collapsed="false">
      <c r="B2957" s="102" t="n">
        <f aca="false">'Loan Tape'!$A226</f>
        <v>0</v>
      </c>
      <c r="C2957" s="99" t="n">
        <f aca="false">-'Loan Tape'!$BB226</f>
        <v>-0</v>
      </c>
      <c r="D2957" s="99" t="n">
        <f aca="false">IF(1&gt;Hold_Yrs,0,C2048+C1139+C1442+C1745+C2351+C1442*Prepay_Pen+IF(1=Hold_Yrs,$C2654,0))</f>
        <v>0</v>
      </c>
      <c r="E2957" s="99" t="n">
        <f aca="false">IF(2&gt;Hold_Yrs,0,D2048+D1139+D1442+D1745+D2351+D1442*Prepay_Pen+IF(2=Hold_Yrs,$C2654,0))</f>
        <v>0</v>
      </c>
      <c r="F2957" s="99" t="n">
        <f aca="false">IF(3&gt;Hold_Yrs,0,E2048+E1139+E1442+E1745+E2351+E1442*Prepay_Pen+IF(3=Hold_Yrs,$C2654,0))</f>
        <v>0</v>
      </c>
      <c r="G2957" s="99" t="n">
        <f aca="false">IF(4&gt;Hold_Yrs,0,F2048+F1139+F1442+F1745+F2351+F1442*Prepay_Pen+IF(4=Hold_Yrs,$C2654,0))</f>
        <v>0</v>
      </c>
      <c r="H2957" s="99" t="n">
        <f aca="false">IF(5&gt;Hold_Yrs,0,G2048+G1139+G1442+G1745+G2351+G1442*Prepay_Pen+IF(5=Hold_Yrs,$C2654,0))</f>
        <v>0</v>
      </c>
      <c r="I2957" s="99" t="n">
        <f aca="false">IF(6&gt;Hold_Yrs,0,H2048+H1139+H1442+H1745+H2351+H1442*Prepay_Pen+IF(6=Hold_Yrs,$C2654,0))</f>
        <v>0</v>
      </c>
      <c r="J2957" s="99" t="n">
        <f aca="false">IF(7&gt;Hold_Yrs,0,I2048+I1139+I1442+I1745+I2351+I1442*Prepay_Pen+IF(7=Hold_Yrs,$C2654,0))</f>
        <v>0</v>
      </c>
      <c r="K2957" s="99" t="n">
        <f aca="false">IF(8&gt;Hold_Yrs,0,J2048+J1139+J1442+J1745+J2351+J1442*Prepay_Pen+IF(8=Hold_Yrs,$C2654,0))</f>
        <v>0</v>
      </c>
      <c r="L2957" s="99" t="n">
        <f aca="false">IF(9&gt;Hold_Yrs,0,K2048+K1139+K1442+K1745+K2351+K1442*Prepay_Pen+IF(9=Hold_Yrs,$C2654,0))</f>
        <v>0</v>
      </c>
      <c r="M2957" s="99" t="n">
        <f aca="false">IF(10&gt;Hold_Yrs,0,L2048+L1139+L1442+L1745+L2351+L1442*Prepay_Pen+IF(10=Hold_Yrs,$C2654,0))</f>
        <v>0</v>
      </c>
    </row>
    <row r="2958" customFormat="false" ht="15" hidden="false" customHeight="false" outlineLevel="0" collapsed="false">
      <c r="B2958" s="108" t="n">
        <f aca="false">'Loan Tape'!$A227</f>
        <v>0</v>
      </c>
      <c r="C2958" s="71" t="n">
        <f aca="false">-'Loan Tape'!$BB227</f>
        <v>-0</v>
      </c>
      <c r="D2958" s="71" t="n">
        <f aca="false">IF(1&gt;Hold_Yrs,0,C2049+C1140+C1443+C1746+C2352+C1443*Prepay_Pen+IF(1=Hold_Yrs,$C2655,0))</f>
        <v>0</v>
      </c>
      <c r="E2958" s="71" t="n">
        <f aca="false">IF(2&gt;Hold_Yrs,0,D2049+D1140+D1443+D1746+D2352+D1443*Prepay_Pen+IF(2=Hold_Yrs,$C2655,0))</f>
        <v>0</v>
      </c>
      <c r="F2958" s="71" t="n">
        <f aca="false">IF(3&gt;Hold_Yrs,0,E2049+E1140+E1443+E1746+E2352+E1443*Prepay_Pen+IF(3=Hold_Yrs,$C2655,0))</f>
        <v>0</v>
      </c>
      <c r="G2958" s="71" t="n">
        <f aca="false">IF(4&gt;Hold_Yrs,0,F2049+F1140+F1443+F1746+F2352+F1443*Prepay_Pen+IF(4=Hold_Yrs,$C2655,0))</f>
        <v>0</v>
      </c>
      <c r="H2958" s="71" t="n">
        <f aca="false">IF(5&gt;Hold_Yrs,0,G2049+G1140+G1443+G1746+G2352+G1443*Prepay_Pen+IF(5=Hold_Yrs,$C2655,0))</f>
        <v>0</v>
      </c>
      <c r="I2958" s="71" t="n">
        <f aca="false">IF(6&gt;Hold_Yrs,0,H2049+H1140+H1443+H1746+H2352+H1443*Prepay_Pen+IF(6=Hold_Yrs,$C2655,0))</f>
        <v>0</v>
      </c>
      <c r="J2958" s="71" t="n">
        <f aca="false">IF(7&gt;Hold_Yrs,0,I2049+I1140+I1443+I1746+I2352+I1443*Prepay_Pen+IF(7=Hold_Yrs,$C2655,0))</f>
        <v>0</v>
      </c>
      <c r="K2958" s="71" t="n">
        <f aca="false">IF(8&gt;Hold_Yrs,0,J2049+J1140+J1443+J1746+J2352+J1443*Prepay_Pen+IF(8=Hold_Yrs,$C2655,0))</f>
        <v>0</v>
      </c>
      <c r="L2958" s="71" t="n">
        <f aca="false">IF(9&gt;Hold_Yrs,0,K2049+K1140+K1443+K1746+K2352+K1443*Prepay_Pen+IF(9=Hold_Yrs,$C2655,0))</f>
        <v>0</v>
      </c>
      <c r="M2958" s="71" t="n">
        <f aca="false">IF(10&gt;Hold_Yrs,0,L2049+L1140+L1443+L1746+L2352+L1443*Prepay_Pen+IF(10=Hold_Yrs,$C2655,0))</f>
        <v>0</v>
      </c>
    </row>
    <row r="2959" customFormat="false" ht="15" hidden="false" customHeight="false" outlineLevel="0" collapsed="false">
      <c r="B2959" s="102" t="n">
        <f aca="false">'Loan Tape'!$A228</f>
        <v>0</v>
      </c>
      <c r="C2959" s="99" t="n">
        <f aca="false">-'Loan Tape'!$BB228</f>
        <v>-0</v>
      </c>
      <c r="D2959" s="99" t="n">
        <f aca="false">IF(1&gt;Hold_Yrs,0,C2050+C1141+C1444+C1747+C2353+C1444*Prepay_Pen+IF(1=Hold_Yrs,$C2656,0))</f>
        <v>0</v>
      </c>
      <c r="E2959" s="99" t="n">
        <f aca="false">IF(2&gt;Hold_Yrs,0,D2050+D1141+D1444+D1747+D2353+D1444*Prepay_Pen+IF(2=Hold_Yrs,$C2656,0))</f>
        <v>0</v>
      </c>
      <c r="F2959" s="99" t="n">
        <f aca="false">IF(3&gt;Hold_Yrs,0,E2050+E1141+E1444+E1747+E2353+E1444*Prepay_Pen+IF(3=Hold_Yrs,$C2656,0))</f>
        <v>0</v>
      </c>
      <c r="G2959" s="99" t="n">
        <f aca="false">IF(4&gt;Hold_Yrs,0,F2050+F1141+F1444+F1747+F2353+F1444*Prepay_Pen+IF(4=Hold_Yrs,$C2656,0))</f>
        <v>0</v>
      </c>
      <c r="H2959" s="99" t="n">
        <f aca="false">IF(5&gt;Hold_Yrs,0,G2050+G1141+G1444+G1747+G2353+G1444*Prepay_Pen+IF(5=Hold_Yrs,$C2656,0))</f>
        <v>0</v>
      </c>
      <c r="I2959" s="99" t="n">
        <f aca="false">IF(6&gt;Hold_Yrs,0,H2050+H1141+H1444+H1747+H2353+H1444*Prepay_Pen+IF(6=Hold_Yrs,$C2656,0))</f>
        <v>0</v>
      </c>
      <c r="J2959" s="99" t="n">
        <f aca="false">IF(7&gt;Hold_Yrs,0,I2050+I1141+I1444+I1747+I2353+I1444*Prepay_Pen+IF(7=Hold_Yrs,$C2656,0))</f>
        <v>0</v>
      </c>
      <c r="K2959" s="99" t="n">
        <f aca="false">IF(8&gt;Hold_Yrs,0,J2050+J1141+J1444+J1747+J2353+J1444*Prepay_Pen+IF(8=Hold_Yrs,$C2656,0))</f>
        <v>0</v>
      </c>
      <c r="L2959" s="99" t="n">
        <f aca="false">IF(9&gt;Hold_Yrs,0,K2050+K1141+K1444+K1747+K2353+K1444*Prepay_Pen+IF(9=Hold_Yrs,$C2656,0))</f>
        <v>0</v>
      </c>
      <c r="M2959" s="99" t="n">
        <f aca="false">IF(10&gt;Hold_Yrs,0,L2050+L1141+L1444+L1747+L2353+L1444*Prepay_Pen+IF(10=Hold_Yrs,$C2656,0))</f>
        <v>0</v>
      </c>
    </row>
    <row r="2960" customFormat="false" ht="15" hidden="false" customHeight="false" outlineLevel="0" collapsed="false">
      <c r="B2960" s="108" t="n">
        <f aca="false">'Loan Tape'!$A229</f>
        <v>0</v>
      </c>
      <c r="C2960" s="71" t="n">
        <f aca="false">-'Loan Tape'!$BB229</f>
        <v>-0</v>
      </c>
      <c r="D2960" s="71" t="n">
        <f aca="false">IF(1&gt;Hold_Yrs,0,C2051+C1142+C1445+C1748+C2354+C1445*Prepay_Pen+IF(1=Hold_Yrs,$C2657,0))</f>
        <v>0</v>
      </c>
      <c r="E2960" s="71" t="n">
        <f aca="false">IF(2&gt;Hold_Yrs,0,D2051+D1142+D1445+D1748+D2354+D1445*Prepay_Pen+IF(2=Hold_Yrs,$C2657,0))</f>
        <v>0</v>
      </c>
      <c r="F2960" s="71" t="n">
        <f aca="false">IF(3&gt;Hold_Yrs,0,E2051+E1142+E1445+E1748+E2354+E1445*Prepay_Pen+IF(3=Hold_Yrs,$C2657,0))</f>
        <v>0</v>
      </c>
      <c r="G2960" s="71" t="n">
        <f aca="false">IF(4&gt;Hold_Yrs,0,F2051+F1142+F1445+F1748+F2354+F1445*Prepay_Pen+IF(4=Hold_Yrs,$C2657,0))</f>
        <v>0</v>
      </c>
      <c r="H2960" s="71" t="n">
        <f aca="false">IF(5&gt;Hold_Yrs,0,G2051+G1142+G1445+G1748+G2354+G1445*Prepay_Pen+IF(5=Hold_Yrs,$C2657,0))</f>
        <v>0</v>
      </c>
      <c r="I2960" s="71" t="n">
        <f aca="false">IF(6&gt;Hold_Yrs,0,H2051+H1142+H1445+H1748+H2354+H1445*Prepay_Pen+IF(6=Hold_Yrs,$C2657,0))</f>
        <v>0</v>
      </c>
      <c r="J2960" s="71" t="n">
        <f aca="false">IF(7&gt;Hold_Yrs,0,I2051+I1142+I1445+I1748+I2354+I1445*Prepay_Pen+IF(7=Hold_Yrs,$C2657,0))</f>
        <v>0</v>
      </c>
      <c r="K2960" s="71" t="n">
        <f aca="false">IF(8&gt;Hold_Yrs,0,J2051+J1142+J1445+J1748+J2354+J1445*Prepay_Pen+IF(8=Hold_Yrs,$C2657,0))</f>
        <v>0</v>
      </c>
      <c r="L2960" s="71" t="n">
        <f aca="false">IF(9&gt;Hold_Yrs,0,K2051+K1142+K1445+K1748+K2354+K1445*Prepay_Pen+IF(9=Hold_Yrs,$C2657,0))</f>
        <v>0</v>
      </c>
      <c r="M2960" s="71" t="n">
        <f aca="false">IF(10&gt;Hold_Yrs,0,L2051+L1142+L1445+L1748+L2354+L1445*Prepay_Pen+IF(10=Hold_Yrs,$C2657,0))</f>
        <v>0</v>
      </c>
    </row>
    <row r="2961" customFormat="false" ht="15" hidden="false" customHeight="false" outlineLevel="0" collapsed="false">
      <c r="B2961" s="102" t="n">
        <f aca="false">'Loan Tape'!$A230</f>
        <v>0</v>
      </c>
      <c r="C2961" s="99" t="n">
        <f aca="false">-'Loan Tape'!$BB230</f>
        <v>-0</v>
      </c>
      <c r="D2961" s="99" t="n">
        <f aca="false">IF(1&gt;Hold_Yrs,0,C2052+C1143+C1446+C1749+C2355+C1446*Prepay_Pen+IF(1=Hold_Yrs,$C2658,0))</f>
        <v>0</v>
      </c>
      <c r="E2961" s="99" t="n">
        <f aca="false">IF(2&gt;Hold_Yrs,0,D2052+D1143+D1446+D1749+D2355+D1446*Prepay_Pen+IF(2=Hold_Yrs,$C2658,0))</f>
        <v>0</v>
      </c>
      <c r="F2961" s="99" t="n">
        <f aca="false">IF(3&gt;Hold_Yrs,0,E2052+E1143+E1446+E1749+E2355+E1446*Prepay_Pen+IF(3=Hold_Yrs,$C2658,0))</f>
        <v>0</v>
      </c>
      <c r="G2961" s="99" t="n">
        <f aca="false">IF(4&gt;Hold_Yrs,0,F2052+F1143+F1446+F1749+F2355+F1446*Prepay_Pen+IF(4=Hold_Yrs,$C2658,0))</f>
        <v>0</v>
      </c>
      <c r="H2961" s="99" t="n">
        <f aca="false">IF(5&gt;Hold_Yrs,0,G2052+G1143+G1446+G1749+G2355+G1446*Prepay_Pen+IF(5=Hold_Yrs,$C2658,0))</f>
        <v>0</v>
      </c>
      <c r="I2961" s="99" t="n">
        <f aca="false">IF(6&gt;Hold_Yrs,0,H2052+H1143+H1446+H1749+H2355+H1446*Prepay_Pen+IF(6=Hold_Yrs,$C2658,0))</f>
        <v>0</v>
      </c>
      <c r="J2961" s="99" t="n">
        <f aca="false">IF(7&gt;Hold_Yrs,0,I2052+I1143+I1446+I1749+I2355+I1446*Prepay_Pen+IF(7=Hold_Yrs,$C2658,0))</f>
        <v>0</v>
      </c>
      <c r="K2961" s="99" t="n">
        <f aca="false">IF(8&gt;Hold_Yrs,0,J2052+J1143+J1446+J1749+J2355+J1446*Prepay_Pen+IF(8=Hold_Yrs,$C2658,0))</f>
        <v>0</v>
      </c>
      <c r="L2961" s="99" t="n">
        <f aca="false">IF(9&gt;Hold_Yrs,0,K2052+K1143+K1446+K1749+K2355+K1446*Prepay_Pen+IF(9=Hold_Yrs,$C2658,0))</f>
        <v>0</v>
      </c>
      <c r="M2961" s="99" t="n">
        <f aca="false">IF(10&gt;Hold_Yrs,0,L2052+L1143+L1446+L1749+L2355+L1446*Prepay_Pen+IF(10=Hold_Yrs,$C2658,0))</f>
        <v>0</v>
      </c>
    </row>
    <row r="2962" customFormat="false" ht="15" hidden="false" customHeight="false" outlineLevel="0" collapsed="false">
      <c r="B2962" s="108" t="n">
        <f aca="false">'Loan Tape'!$A231</f>
        <v>0</v>
      </c>
      <c r="C2962" s="71" t="n">
        <f aca="false">-'Loan Tape'!$BB231</f>
        <v>-0</v>
      </c>
      <c r="D2962" s="71" t="n">
        <f aca="false">IF(1&gt;Hold_Yrs,0,C2053+C1144+C1447+C1750+C2356+C1447*Prepay_Pen+IF(1=Hold_Yrs,$C2659,0))</f>
        <v>0</v>
      </c>
      <c r="E2962" s="71" t="n">
        <f aca="false">IF(2&gt;Hold_Yrs,0,D2053+D1144+D1447+D1750+D2356+D1447*Prepay_Pen+IF(2=Hold_Yrs,$C2659,0))</f>
        <v>0</v>
      </c>
      <c r="F2962" s="71" t="n">
        <f aca="false">IF(3&gt;Hold_Yrs,0,E2053+E1144+E1447+E1750+E2356+E1447*Prepay_Pen+IF(3=Hold_Yrs,$C2659,0))</f>
        <v>0</v>
      </c>
      <c r="G2962" s="71" t="n">
        <f aca="false">IF(4&gt;Hold_Yrs,0,F2053+F1144+F1447+F1750+F2356+F1447*Prepay_Pen+IF(4=Hold_Yrs,$C2659,0))</f>
        <v>0</v>
      </c>
      <c r="H2962" s="71" t="n">
        <f aca="false">IF(5&gt;Hold_Yrs,0,G2053+G1144+G1447+G1750+G2356+G1447*Prepay_Pen+IF(5=Hold_Yrs,$C2659,0))</f>
        <v>0</v>
      </c>
      <c r="I2962" s="71" t="n">
        <f aca="false">IF(6&gt;Hold_Yrs,0,H2053+H1144+H1447+H1750+H2356+H1447*Prepay_Pen+IF(6=Hold_Yrs,$C2659,0))</f>
        <v>0</v>
      </c>
      <c r="J2962" s="71" t="n">
        <f aca="false">IF(7&gt;Hold_Yrs,0,I2053+I1144+I1447+I1750+I2356+I1447*Prepay_Pen+IF(7=Hold_Yrs,$C2659,0))</f>
        <v>0</v>
      </c>
      <c r="K2962" s="71" t="n">
        <f aca="false">IF(8&gt;Hold_Yrs,0,J2053+J1144+J1447+J1750+J2356+J1447*Prepay_Pen+IF(8=Hold_Yrs,$C2659,0))</f>
        <v>0</v>
      </c>
      <c r="L2962" s="71" t="n">
        <f aca="false">IF(9&gt;Hold_Yrs,0,K2053+K1144+K1447+K1750+K2356+K1447*Prepay_Pen+IF(9=Hold_Yrs,$C2659,0))</f>
        <v>0</v>
      </c>
      <c r="M2962" s="71" t="n">
        <f aca="false">IF(10&gt;Hold_Yrs,0,L2053+L1144+L1447+L1750+L2356+L1447*Prepay_Pen+IF(10=Hold_Yrs,$C2659,0))</f>
        <v>0</v>
      </c>
    </row>
    <row r="2963" customFormat="false" ht="15" hidden="false" customHeight="false" outlineLevel="0" collapsed="false">
      <c r="B2963" s="102" t="n">
        <f aca="false">'Loan Tape'!$A232</f>
        <v>0</v>
      </c>
      <c r="C2963" s="99" t="n">
        <f aca="false">-'Loan Tape'!$BB232</f>
        <v>-0</v>
      </c>
      <c r="D2963" s="99" t="n">
        <f aca="false">IF(1&gt;Hold_Yrs,0,C2054+C1145+C1448+C1751+C2357+C1448*Prepay_Pen+IF(1=Hold_Yrs,$C2660,0))</f>
        <v>0</v>
      </c>
      <c r="E2963" s="99" t="n">
        <f aca="false">IF(2&gt;Hold_Yrs,0,D2054+D1145+D1448+D1751+D2357+D1448*Prepay_Pen+IF(2=Hold_Yrs,$C2660,0))</f>
        <v>0</v>
      </c>
      <c r="F2963" s="99" t="n">
        <f aca="false">IF(3&gt;Hold_Yrs,0,E2054+E1145+E1448+E1751+E2357+E1448*Prepay_Pen+IF(3=Hold_Yrs,$C2660,0))</f>
        <v>0</v>
      </c>
      <c r="G2963" s="99" t="n">
        <f aca="false">IF(4&gt;Hold_Yrs,0,F2054+F1145+F1448+F1751+F2357+F1448*Prepay_Pen+IF(4=Hold_Yrs,$C2660,0))</f>
        <v>0</v>
      </c>
      <c r="H2963" s="99" t="n">
        <f aca="false">IF(5&gt;Hold_Yrs,0,G2054+G1145+G1448+G1751+G2357+G1448*Prepay_Pen+IF(5=Hold_Yrs,$C2660,0))</f>
        <v>0</v>
      </c>
      <c r="I2963" s="99" t="n">
        <f aca="false">IF(6&gt;Hold_Yrs,0,H2054+H1145+H1448+H1751+H2357+H1448*Prepay_Pen+IF(6=Hold_Yrs,$C2660,0))</f>
        <v>0</v>
      </c>
      <c r="J2963" s="99" t="n">
        <f aca="false">IF(7&gt;Hold_Yrs,0,I2054+I1145+I1448+I1751+I2357+I1448*Prepay_Pen+IF(7=Hold_Yrs,$C2660,0))</f>
        <v>0</v>
      </c>
      <c r="K2963" s="99" t="n">
        <f aca="false">IF(8&gt;Hold_Yrs,0,J2054+J1145+J1448+J1751+J2357+J1448*Prepay_Pen+IF(8=Hold_Yrs,$C2660,0))</f>
        <v>0</v>
      </c>
      <c r="L2963" s="99" t="n">
        <f aca="false">IF(9&gt;Hold_Yrs,0,K2054+K1145+K1448+K1751+K2357+K1448*Prepay_Pen+IF(9=Hold_Yrs,$C2660,0))</f>
        <v>0</v>
      </c>
      <c r="M2963" s="99" t="n">
        <f aca="false">IF(10&gt;Hold_Yrs,0,L2054+L1145+L1448+L1751+L2357+L1448*Prepay_Pen+IF(10=Hold_Yrs,$C2660,0))</f>
        <v>0</v>
      </c>
    </row>
    <row r="2964" customFormat="false" ht="15" hidden="false" customHeight="false" outlineLevel="0" collapsed="false">
      <c r="B2964" s="108" t="n">
        <f aca="false">'Loan Tape'!$A233</f>
        <v>0</v>
      </c>
      <c r="C2964" s="71" t="n">
        <f aca="false">-'Loan Tape'!$BB233</f>
        <v>-0</v>
      </c>
      <c r="D2964" s="71" t="n">
        <f aca="false">IF(1&gt;Hold_Yrs,0,C2055+C1146+C1449+C1752+C2358+C1449*Prepay_Pen+IF(1=Hold_Yrs,$C2661,0))</f>
        <v>0</v>
      </c>
      <c r="E2964" s="71" t="n">
        <f aca="false">IF(2&gt;Hold_Yrs,0,D2055+D1146+D1449+D1752+D2358+D1449*Prepay_Pen+IF(2=Hold_Yrs,$C2661,0))</f>
        <v>0</v>
      </c>
      <c r="F2964" s="71" t="n">
        <f aca="false">IF(3&gt;Hold_Yrs,0,E2055+E1146+E1449+E1752+E2358+E1449*Prepay_Pen+IF(3=Hold_Yrs,$C2661,0))</f>
        <v>0</v>
      </c>
      <c r="G2964" s="71" t="n">
        <f aca="false">IF(4&gt;Hold_Yrs,0,F2055+F1146+F1449+F1752+F2358+F1449*Prepay_Pen+IF(4=Hold_Yrs,$C2661,0))</f>
        <v>0</v>
      </c>
      <c r="H2964" s="71" t="n">
        <f aca="false">IF(5&gt;Hold_Yrs,0,G2055+G1146+G1449+G1752+G2358+G1449*Prepay_Pen+IF(5=Hold_Yrs,$C2661,0))</f>
        <v>0</v>
      </c>
      <c r="I2964" s="71" t="n">
        <f aca="false">IF(6&gt;Hold_Yrs,0,H2055+H1146+H1449+H1752+H2358+H1449*Prepay_Pen+IF(6=Hold_Yrs,$C2661,0))</f>
        <v>0</v>
      </c>
      <c r="J2964" s="71" t="n">
        <f aca="false">IF(7&gt;Hold_Yrs,0,I2055+I1146+I1449+I1752+I2358+I1449*Prepay_Pen+IF(7=Hold_Yrs,$C2661,0))</f>
        <v>0</v>
      </c>
      <c r="K2964" s="71" t="n">
        <f aca="false">IF(8&gt;Hold_Yrs,0,J2055+J1146+J1449+J1752+J2358+J1449*Prepay_Pen+IF(8=Hold_Yrs,$C2661,0))</f>
        <v>0</v>
      </c>
      <c r="L2964" s="71" t="n">
        <f aca="false">IF(9&gt;Hold_Yrs,0,K2055+K1146+K1449+K1752+K2358+K1449*Prepay_Pen+IF(9=Hold_Yrs,$C2661,0))</f>
        <v>0</v>
      </c>
      <c r="M2964" s="71" t="n">
        <f aca="false">IF(10&gt;Hold_Yrs,0,L2055+L1146+L1449+L1752+L2358+L1449*Prepay_Pen+IF(10=Hold_Yrs,$C2661,0))</f>
        <v>0</v>
      </c>
    </row>
    <row r="2965" customFormat="false" ht="15" hidden="false" customHeight="false" outlineLevel="0" collapsed="false">
      <c r="B2965" s="102" t="n">
        <f aca="false">'Loan Tape'!$A234</f>
        <v>0</v>
      </c>
      <c r="C2965" s="99" t="n">
        <f aca="false">-'Loan Tape'!$BB234</f>
        <v>-0</v>
      </c>
      <c r="D2965" s="99" t="n">
        <f aca="false">IF(1&gt;Hold_Yrs,0,C2056+C1147+C1450+C1753+C2359+C1450*Prepay_Pen+IF(1=Hold_Yrs,$C2662,0))</f>
        <v>0</v>
      </c>
      <c r="E2965" s="99" t="n">
        <f aca="false">IF(2&gt;Hold_Yrs,0,D2056+D1147+D1450+D1753+D2359+D1450*Prepay_Pen+IF(2=Hold_Yrs,$C2662,0))</f>
        <v>0</v>
      </c>
      <c r="F2965" s="99" t="n">
        <f aca="false">IF(3&gt;Hold_Yrs,0,E2056+E1147+E1450+E1753+E2359+E1450*Prepay_Pen+IF(3=Hold_Yrs,$C2662,0))</f>
        <v>0</v>
      </c>
      <c r="G2965" s="99" t="n">
        <f aca="false">IF(4&gt;Hold_Yrs,0,F2056+F1147+F1450+F1753+F2359+F1450*Prepay_Pen+IF(4=Hold_Yrs,$C2662,0))</f>
        <v>0</v>
      </c>
      <c r="H2965" s="99" t="n">
        <f aca="false">IF(5&gt;Hold_Yrs,0,G2056+G1147+G1450+G1753+G2359+G1450*Prepay_Pen+IF(5=Hold_Yrs,$C2662,0))</f>
        <v>0</v>
      </c>
      <c r="I2965" s="99" t="n">
        <f aca="false">IF(6&gt;Hold_Yrs,0,H2056+H1147+H1450+H1753+H2359+H1450*Prepay_Pen+IF(6=Hold_Yrs,$C2662,0))</f>
        <v>0</v>
      </c>
      <c r="J2965" s="99" t="n">
        <f aca="false">IF(7&gt;Hold_Yrs,0,I2056+I1147+I1450+I1753+I2359+I1450*Prepay_Pen+IF(7=Hold_Yrs,$C2662,0))</f>
        <v>0</v>
      </c>
      <c r="K2965" s="99" t="n">
        <f aca="false">IF(8&gt;Hold_Yrs,0,J2056+J1147+J1450+J1753+J2359+J1450*Prepay_Pen+IF(8=Hold_Yrs,$C2662,0))</f>
        <v>0</v>
      </c>
      <c r="L2965" s="99" t="n">
        <f aca="false">IF(9&gt;Hold_Yrs,0,K2056+K1147+K1450+K1753+K2359+K1450*Prepay_Pen+IF(9=Hold_Yrs,$C2662,0))</f>
        <v>0</v>
      </c>
      <c r="M2965" s="99" t="n">
        <f aca="false">IF(10&gt;Hold_Yrs,0,L2056+L1147+L1450+L1753+L2359+L1450*Prepay_Pen+IF(10=Hold_Yrs,$C2662,0))</f>
        <v>0</v>
      </c>
    </row>
    <row r="2966" customFormat="false" ht="15" hidden="false" customHeight="false" outlineLevel="0" collapsed="false">
      <c r="B2966" s="108" t="n">
        <f aca="false">'Loan Tape'!$A235</f>
        <v>0</v>
      </c>
      <c r="C2966" s="71" t="n">
        <f aca="false">-'Loan Tape'!$BB235</f>
        <v>-0</v>
      </c>
      <c r="D2966" s="71" t="n">
        <f aca="false">IF(1&gt;Hold_Yrs,0,C2057+C1148+C1451+C1754+C2360+C1451*Prepay_Pen+IF(1=Hold_Yrs,$C2663,0))</f>
        <v>0</v>
      </c>
      <c r="E2966" s="71" t="n">
        <f aca="false">IF(2&gt;Hold_Yrs,0,D2057+D1148+D1451+D1754+D2360+D1451*Prepay_Pen+IF(2=Hold_Yrs,$C2663,0))</f>
        <v>0</v>
      </c>
      <c r="F2966" s="71" t="n">
        <f aca="false">IF(3&gt;Hold_Yrs,0,E2057+E1148+E1451+E1754+E2360+E1451*Prepay_Pen+IF(3=Hold_Yrs,$C2663,0))</f>
        <v>0</v>
      </c>
      <c r="G2966" s="71" t="n">
        <f aca="false">IF(4&gt;Hold_Yrs,0,F2057+F1148+F1451+F1754+F2360+F1451*Prepay_Pen+IF(4=Hold_Yrs,$C2663,0))</f>
        <v>0</v>
      </c>
      <c r="H2966" s="71" t="n">
        <f aca="false">IF(5&gt;Hold_Yrs,0,G2057+G1148+G1451+G1754+G2360+G1451*Prepay_Pen+IF(5=Hold_Yrs,$C2663,0))</f>
        <v>0</v>
      </c>
      <c r="I2966" s="71" t="n">
        <f aca="false">IF(6&gt;Hold_Yrs,0,H2057+H1148+H1451+H1754+H2360+H1451*Prepay_Pen+IF(6=Hold_Yrs,$C2663,0))</f>
        <v>0</v>
      </c>
      <c r="J2966" s="71" t="n">
        <f aca="false">IF(7&gt;Hold_Yrs,0,I2057+I1148+I1451+I1754+I2360+I1451*Prepay_Pen+IF(7=Hold_Yrs,$C2663,0))</f>
        <v>0</v>
      </c>
      <c r="K2966" s="71" t="n">
        <f aca="false">IF(8&gt;Hold_Yrs,0,J2057+J1148+J1451+J1754+J2360+J1451*Prepay_Pen+IF(8=Hold_Yrs,$C2663,0))</f>
        <v>0</v>
      </c>
      <c r="L2966" s="71" t="n">
        <f aca="false">IF(9&gt;Hold_Yrs,0,K2057+K1148+K1451+K1754+K2360+K1451*Prepay_Pen+IF(9=Hold_Yrs,$C2663,0))</f>
        <v>0</v>
      </c>
      <c r="M2966" s="71" t="n">
        <f aca="false">IF(10&gt;Hold_Yrs,0,L2057+L1148+L1451+L1754+L2360+L1451*Prepay_Pen+IF(10=Hold_Yrs,$C2663,0))</f>
        <v>0</v>
      </c>
    </row>
    <row r="2967" customFormat="false" ht="15" hidden="false" customHeight="false" outlineLevel="0" collapsed="false">
      <c r="B2967" s="102" t="n">
        <f aca="false">'Loan Tape'!$A236</f>
        <v>0</v>
      </c>
      <c r="C2967" s="99" t="n">
        <f aca="false">-'Loan Tape'!$BB236</f>
        <v>-0</v>
      </c>
      <c r="D2967" s="99" t="n">
        <f aca="false">IF(1&gt;Hold_Yrs,0,C2058+C1149+C1452+C1755+C2361+C1452*Prepay_Pen+IF(1=Hold_Yrs,$C2664,0))</f>
        <v>0</v>
      </c>
      <c r="E2967" s="99" t="n">
        <f aca="false">IF(2&gt;Hold_Yrs,0,D2058+D1149+D1452+D1755+D2361+D1452*Prepay_Pen+IF(2=Hold_Yrs,$C2664,0))</f>
        <v>0</v>
      </c>
      <c r="F2967" s="99" t="n">
        <f aca="false">IF(3&gt;Hold_Yrs,0,E2058+E1149+E1452+E1755+E2361+E1452*Prepay_Pen+IF(3=Hold_Yrs,$C2664,0))</f>
        <v>0</v>
      </c>
      <c r="G2967" s="99" t="n">
        <f aca="false">IF(4&gt;Hold_Yrs,0,F2058+F1149+F1452+F1755+F2361+F1452*Prepay_Pen+IF(4=Hold_Yrs,$C2664,0))</f>
        <v>0</v>
      </c>
      <c r="H2967" s="99" t="n">
        <f aca="false">IF(5&gt;Hold_Yrs,0,G2058+G1149+G1452+G1755+G2361+G1452*Prepay_Pen+IF(5=Hold_Yrs,$C2664,0))</f>
        <v>0</v>
      </c>
      <c r="I2967" s="99" t="n">
        <f aca="false">IF(6&gt;Hold_Yrs,0,H2058+H1149+H1452+H1755+H2361+H1452*Prepay_Pen+IF(6=Hold_Yrs,$C2664,0))</f>
        <v>0</v>
      </c>
      <c r="J2967" s="99" t="n">
        <f aca="false">IF(7&gt;Hold_Yrs,0,I2058+I1149+I1452+I1755+I2361+I1452*Prepay_Pen+IF(7=Hold_Yrs,$C2664,0))</f>
        <v>0</v>
      </c>
      <c r="K2967" s="99" t="n">
        <f aca="false">IF(8&gt;Hold_Yrs,0,J2058+J1149+J1452+J1755+J2361+J1452*Prepay_Pen+IF(8=Hold_Yrs,$C2664,0))</f>
        <v>0</v>
      </c>
      <c r="L2967" s="99" t="n">
        <f aca="false">IF(9&gt;Hold_Yrs,0,K2058+K1149+K1452+K1755+K2361+K1452*Prepay_Pen+IF(9=Hold_Yrs,$C2664,0))</f>
        <v>0</v>
      </c>
      <c r="M2967" s="99" t="n">
        <f aca="false">IF(10&gt;Hold_Yrs,0,L2058+L1149+L1452+L1755+L2361+L1452*Prepay_Pen+IF(10=Hold_Yrs,$C2664,0))</f>
        <v>0</v>
      </c>
    </row>
    <row r="2968" customFormat="false" ht="15" hidden="false" customHeight="false" outlineLevel="0" collapsed="false">
      <c r="B2968" s="108" t="n">
        <f aca="false">'Loan Tape'!$A237</f>
        <v>0</v>
      </c>
      <c r="C2968" s="71" t="n">
        <f aca="false">-'Loan Tape'!$BB237</f>
        <v>-0</v>
      </c>
      <c r="D2968" s="71" t="n">
        <f aca="false">IF(1&gt;Hold_Yrs,0,C2059+C1150+C1453+C1756+C2362+C1453*Prepay_Pen+IF(1=Hold_Yrs,$C2665,0))</f>
        <v>0</v>
      </c>
      <c r="E2968" s="71" t="n">
        <f aca="false">IF(2&gt;Hold_Yrs,0,D2059+D1150+D1453+D1756+D2362+D1453*Prepay_Pen+IF(2=Hold_Yrs,$C2665,0))</f>
        <v>0</v>
      </c>
      <c r="F2968" s="71" t="n">
        <f aca="false">IF(3&gt;Hold_Yrs,0,E2059+E1150+E1453+E1756+E2362+E1453*Prepay_Pen+IF(3=Hold_Yrs,$C2665,0))</f>
        <v>0</v>
      </c>
      <c r="G2968" s="71" t="n">
        <f aca="false">IF(4&gt;Hold_Yrs,0,F2059+F1150+F1453+F1756+F2362+F1453*Prepay_Pen+IF(4=Hold_Yrs,$C2665,0))</f>
        <v>0</v>
      </c>
      <c r="H2968" s="71" t="n">
        <f aca="false">IF(5&gt;Hold_Yrs,0,G2059+G1150+G1453+G1756+G2362+G1453*Prepay_Pen+IF(5=Hold_Yrs,$C2665,0))</f>
        <v>0</v>
      </c>
      <c r="I2968" s="71" t="n">
        <f aca="false">IF(6&gt;Hold_Yrs,0,H2059+H1150+H1453+H1756+H2362+H1453*Prepay_Pen+IF(6=Hold_Yrs,$C2665,0))</f>
        <v>0</v>
      </c>
      <c r="J2968" s="71" t="n">
        <f aca="false">IF(7&gt;Hold_Yrs,0,I2059+I1150+I1453+I1756+I2362+I1453*Prepay_Pen+IF(7=Hold_Yrs,$C2665,0))</f>
        <v>0</v>
      </c>
      <c r="K2968" s="71" t="n">
        <f aca="false">IF(8&gt;Hold_Yrs,0,J2059+J1150+J1453+J1756+J2362+J1453*Prepay_Pen+IF(8=Hold_Yrs,$C2665,0))</f>
        <v>0</v>
      </c>
      <c r="L2968" s="71" t="n">
        <f aca="false">IF(9&gt;Hold_Yrs,0,K2059+K1150+K1453+K1756+K2362+K1453*Prepay_Pen+IF(9=Hold_Yrs,$C2665,0))</f>
        <v>0</v>
      </c>
      <c r="M2968" s="71" t="n">
        <f aca="false">IF(10&gt;Hold_Yrs,0,L2059+L1150+L1453+L1756+L2362+L1453*Prepay_Pen+IF(10=Hold_Yrs,$C2665,0))</f>
        <v>0</v>
      </c>
    </row>
    <row r="2969" customFormat="false" ht="15" hidden="false" customHeight="false" outlineLevel="0" collapsed="false">
      <c r="B2969" s="102" t="n">
        <f aca="false">'Loan Tape'!$A238</f>
        <v>0</v>
      </c>
      <c r="C2969" s="99" t="n">
        <f aca="false">-'Loan Tape'!$BB238</f>
        <v>-0</v>
      </c>
      <c r="D2969" s="99" t="n">
        <f aca="false">IF(1&gt;Hold_Yrs,0,C2060+C1151+C1454+C1757+C2363+C1454*Prepay_Pen+IF(1=Hold_Yrs,$C2666,0))</f>
        <v>0</v>
      </c>
      <c r="E2969" s="99" t="n">
        <f aca="false">IF(2&gt;Hold_Yrs,0,D2060+D1151+D1454+D1757+D2363+D1454*Prepay_Pen+IF(2=Hold_Yrs,$C2666,0))</f>
        <v>0</v>
      </c>
      <c r="F2969" s="99" t="n">
        <f aca="false">IF(3&gt;Hold_Yrs,0,E2060+E1151+E1454+E1757+E2363+E1454*Prepay_Pen+IF(3=Hold_Yrs,$C2666,0))</f>
        <v>0</v>
      </c>
      <c r="G2969" s="99" t="n">
        <f aca="false">IF(4&gt;Hold_Yrs,0,F2060+F1151+F1454+F1757+F2363+F1454*Prepay_Pen+IF(4=Hold_Yrs,$C2666,0))</f>
        <v>0</v>
      </c>
      <c r="H2969" s="99" t="n">
        <f aca="false">IF(5&gt;Hold_Yrs,0,G2060+G1151+G1454+G1757+G2363+G1454*Prepay_Pen+IF(5=Hold_Yrs,$C2666,0))</f>
        <v>0</v>
      </c>
      <c r="I2969" s="99" t="n">
        <f aca="false">IF(6&gt;Hold_Yrs,0,H2060+H1151+H1454+H1757+H2363+H1454*Prepay_Pen+IF(6=Hold_Yrs,$C2666,0))</f>
        <v>0</v>
      </c>
      <c r="J2969" s="99" t="n">
        <f aca="false">IF(7&gt;Hold_Yrs,0,I2060+I1151+I1454+I1757+I2363+I1454*Prepay_Pen+IF(7=Hold_Yrs,$C2666,0))</f>
        <v>0</v>
      </c>
      <c r="K2969" s="99" t="n">
        <f aca="false">IF(8&gt;Hold_Yrs,0,J2060+J1151+J1454+J1757+J2363+J1454*Prepay_Pen+IF(8=Hold_Yrs,$C2666,0))</f>
        <v>0</v>
      </c>
      <c r="L2969" s="99" t="n">
        <f aca="false">IF(9&gt;Hold_Yrs,0,K2060+K1151+K1454+K1757+K2363+K1454*Prepay_Pen+IF(9=Hold_Yrs,$C2666,0))</f>
        <v>0</v>
      </c>
      <c r="M2969" s="99" t="n">
        <f aca="false">IF(10&gt;Hold_Yrs,0,L2060+L1151+L1454+L1757+L2363+L1454*Prepay_Pen+IF(10=Hold_Yrs,$C2666,0))</f>
        <v>0</v>
      </c>
    </row>
    <row r="2970" customFormat="false" ht="15" hidden="false" customHeight="false" outlineLevel="0" collapsed="false">
      <c r="B2970" s="108" t="n">
        <f aca="false">'Loan Tape'!$A239</f>
        <v>0</v>
      </c>
      <c r="C2970" s="71" t="n">
        <f aca="false">-'Loan Tape'!$BB239</f>
        <v>-0</v>
      </c>
      <c r="D2970" s="71" t="n">
        <f aca="false">IF(1&gt;Hold_Yrs,0,C2061+C1152+C1455+C1758+C2364+C1455*Prepay_Pen+IF(1=Hold_Yrs,$C2667,0))</f>
        <v>0</v>
      </c>
      <c r="E2970" s="71" t="n">
        <f aca="false">IF(2&gt;Hold_Yrs,0,D2061+D1152+D1455+D1758+D2364+D1455*Prepay_Pen+IF(2=Hold_Yrs,$C2667,0))</f>
        <v>0</v>
      </c>
      <c r="F2970" s="71" t="n">
        <f aca="false">IF(3&gt;Hold_Yrs,0,E2061+E1152+E1455+E1758+E2364+E1455*Prepay_Pen+IF(3=Hold_Yrs,$C2667,0))</f>
        <v>0</v>
      </c>
      <c r="G2970" s="71" t="n">
        <f aca="false">IF(4&gt;Hold_Yrs,0,F2061+F1152+F1455+F1758+F2364+F1455*Prepay_Pen+IF(4=Hold_Yrs,$C2667,0))</f>
        <v>0</v>
      </c>
      <c r="H2970" s="71" t="n">
        <f aca="false">IF(5&gt;Hold_Yrs,0,G2061+G1152+G1455+G1758+G2364+G1455*Prepay_Pen+IF(5=Hold_Yrs,$C2667,0))</f>
        <v>0</v>
      </c>
      <c r="I2970" s="71" t="n">
        <f aca="false">IF(6&gt;Hold_Yrs,0,H2061+H1152+H1455+H1758+H2364+H1455*Prepay_Pen+IF(6=Hold_Yrs,$C2667,0))</f>
        <v>0</v>
      </c>
      <c r="J2970" s="71" t="n">
        <f aca="false">IF(7&gt;Hold_Yrs,0,I2061+I1152+I1455+I1758+I2364+I1455*Prepay_Pen+IF(7=Hold_Yrs,$C2667,0))</f>
        <v>0</v>
      </c>
      <c r="K2970" s="71" t="n">
        <f aca="false">IF(8&gt;Hold_Yrs,0,J2061+J1152+J1455+J1758+J2364+J1455*Prepay_Pen+IF(8=Hold_Yrs,$C2667,0))</f>
        <v>0</v>
      </c>
      <c r="L2970" s="71" t="n">
        <f aca="false">IF(9&gt;Hold_Yrs,0,K2061+K1152+K1455+K1758+K2364+K1455*Prepay_Pen+IF(9=Hold_Yrs,$C2667,0))</f>
        <v>0</v>
      </c>
      <c r="M2970" s="71" t="n">
        <f aca="false">IF(10&gt;Hold_Yrs,0,L2061+L1152+L1455+L1758+L2364+L1455*Prepay_Pen+IF(10=Hold_Yrs,$C2667,0))</f>
        <v>0</v>
      </c>
    </row>
    <row r="2971" customFormat="false" ht="15" hidden="false" customHeight="false" outlineLevel="0" collapsed="false">
      <c r="B2971" s="102" t="n">
        <f aca="false">'Loan Tape'!$A240</f>
        <v>0</v>
      </c>
      <c r="C2971" s="99" t="n">
        <f aca="false">-'Loan Tape'!$BB240</f>
        <v>-0</v>
      </c>
      <c r="D2971" s="99" t="n">
        <f aca="false">IF(1&gt;Hold_Yrs,0,C2062+C1153+C1456+C1759+C2365+C1456*Prepay_Pen+IF(1=Hold_Yrs,$C2668,0))</f>
        <v>0</v>
      </c>
      <c r="E2971" s="99" t="n">
        <f aca="false">IF(2&gt;Hold_Yrs,0,D2062+D1153+D1456+D1759+D2365+D1456*Prepay_Pen+IF(2=Hold_Yrs,$C2668,0))</f>
        <v>0</v>
      </c>
      <c r="F2971" s="99" t="n">
        <f aca="false">IF(3&gt;Hold_Yrs,0,E2062+E1153+E1456+E1759+E2365+E1456*Prepay_Pen+IF(3=Hold_Yrs,$C2668,0))</f>
        <v>0</v>
      </c>
      <c r="G2971" s="99" t="n">
        <f aca="false">IF(4&gt;Hold_Yrs,0,F2062+F1153+F1456+F1759+F2365+F1456*Prepay_Pen+IF(4=Hold_Yrs,$C2668,0))</f>
        <v>0</v>
      </c>
      <c r="H2971" s="99" t="n">
        <f aca="false">IF(5&gt;Hold_Yrs,0,G2062+G1153+G1456+G1759+G2365+G1456*Prepay_Pen+IF(5=Hold_Yrs,$C2668,0))</f>
        <v>0</v>
      </c>
      <c r="I2971" s="99" t="n">
        <f aca="false">IF(6&gt;Hold_Yrs,0,H2062+H1153+H1456+H1759+H2365+H1456*Prepay_Pen+IF(6=Hold_Yrs,$C2668,0))</f>
        <v>0</v>
      </c>
      <c r="J2971" s="99" t="n">
        <f aca="false">IF(7&gt;Hold_Yrs,0,I2062+I1153+I1456+I1759+I2365+I1456*Prepay_Pen+IF(7=Hold_Yrs,$C2668,0))</f>
        <v>0</v>
      </c>
      <c r="K2971" s="99" t="n">
        <f aca="false">IF(8&gt;Hold_Yrs,0,J2062+J1153+J1456+J1759+J2365+J1456*Prepay_Pen+IF(8=Hold_Yrs,$C2668,0))</f>
        <v>0</v>
      </c>
      <c r="L2971" s="99" t="n">
        <f aca="false">IF(9&gt;Hold_Yrs,0,K2062+K1153+K1456+K1759+K2365+K1456*Prepay_Pen+IF(9=Hold_Yrs,$C2668,0))</f>
        <v>0</v>
      </c>
      <c r="M2971" s="99" t="n">
        <f aca="false">IF(10&gt;Hold_Yrs,0,L2062+L1153+L1456+L1759+L2365+L1456*Prepay_Pen+IF(10=Hold_Yrs,$C2668,0))</f>
        <v>0</v>
      </c>
    </row>
    <row r="2972" customFormat="false" ht="15" hidden="false" customHeight="false" outlineLevel="0" collapsed="false">
      <c r="B2972" s="108" t="n">
        <f aca="false">'Loan Tape'!$A241</f>
        <v>0</v>
      </c>
      <c r="C2972" s="71" t="n">
        <f aca="false">-'Loan Tape'!$BB241</f>
        <v>-0</v>
      </c>
      <c r="D2972" s="71" t="n">
        <f aca="false">IF(1&gt;Hold_Yrs,0,C2063+C1154+C1457+C1760+C2366+C1457*Prepay_Pen+IF(1=Hold_Yrs,$C2669,0))</f>
        <v>0</v>
      </c>
      <c r="E2972" s="71" t="n">
        <f aca="false">IF(2&gt;Hold_Yrs,0,D2063+D1154+D1457+D1760+D2366+D1457*Prepay_Pen+IF(2=Hold_Yrs,$C2669,0))</f>
        <v>0</v>
      </c>
      <c r="F2972" s="71" t="n">
        <f aca="false">IF(3&gt;Hold_Yrs,0,E2063+E1154+E1457+E1760+E2366+E1457*Prepay_Pen+IF(3=Hold_Yrs,$C2669,0))</f>
        <v>0</v>
      </c>
      <c r="G2972" s="71" t="n">
        <f aca="false">IF(4&gt;Hold_Yrs,0,F2063+F1154+F1457+F1760+F2366+F1457*Prepay_Pen+IF(4=Hold_Yrs,$C2669,0))</f>
        <v>0</v>
      </c>
      <c r="H2972" s="71" t="n">
        <f aca="false">IF(5&gt;Hold_Yrs,0,G2063+G1154+G1457+G1760+G2366+G1457*Prepay_Pen+IF(5=Hold_Yrs,$C2669,0))</f>
        <v>0</v>
      </c>
      <c r="I2972" s="71" t="n">
        <f aca="false">IF(6&gt;Hold_Yrs,0,H2063+H1154+H1457+H1760+H2366+H1457*Prepay_Pen+IF(6=Hold_Yrs,$C2669,0))</f>
        <v>0</v>
      </c>
      <c r="J2972" s="71" t="n">
        <f aca="false">IF(7&gt;Hold_Yrs,0,I2063+I1154+I1457+I1760+I2366+I1457*Prepay_Pen+IF(7=Hold_Yrs,$C2669,0))</f>
        <v>0</v>
      </c>
      <c r="K2972" s="71" t="n">
        <f aca="false">IF(8&gt;Hold_Yrs,0,J2063+J1154+J1457+J1760+J2366+J1457*Prepay_Pen+IF(8=Hold_Yrs,$C2669,0))</f>
        <v>0</v>
      </c>
      <c r="L2972" s="71" t="n">
        <f aca="false">IF(9&gt;Hold_Yrs,0,K2063+K1154+K1457+K1760+K2366+K1457*Prepay_Pen+IF(9=Hold_Yrs,$C2669,0))</f>
        <v>0</v>
      </c>
      <c r="M2972" s="71" t="n">
        <f aca="false">IF(10&gt;Hold_Yrs,0,L2063+L1154+L1457+L1760+L2366+L1457*Prepay_Pen+IF(10=Hold_Yrs,$C2669,0))</f>
        <v>0</v>
      </c>
    </row>
    <row r="2973" customFormat="false" ht="15" hidden="false" customHeight="false" outlineLevel="0" collapsed="false">
      <c r="B2973" s="102" t="n">
        <f aca="false">'Loan Tape'!$A242</f>
        <v>0</v>
      </c>
      <c r="C2973" s="99" t="n">
        <f aca="false">-'Loan Tape'!$BB242</f>
        <v>-0</v>
      </c>
      <c r="D2973" s="99" t="n">
        <f aca="false">IF(1&gt;Hold_Yrs,0,C2064+C1155+C1458+C1761+C2367+C1458*Prepay_Pen+IF(1=Hold_Yrs,$C2670,0))</f>
        <v>0</v>
      </c>
      <c r="E2973" s="99" t="n">
        <f aca="false">IF(2&gt;Hold_Yrs,0,D2064+D1155+D1458+D1761+D2367+D1458*Prepay_Pen+IF(2=Hold_Yrs,$C2670,0))</f>
        <v>0</v>
      </c>
      <c r="F2973" s="99" t="n">
        <f aca="false">IF(3&gt;Hold_Yrs,0,E2064+E1155+E1458+E1761+E2367+E1458*Prepay_Pen+IF(3=Hold_Yrs,$C2670,0))</f>
        <v>0</v>
      </c>
      <c r="G2973" s="99" t="n">
        <f aca="false">IF(4&gt;Hold_Yrs,0,F2064+F1155+F1458+F1761+F2367+F1458*Prepay_Pen+IF(4=Hold_Yrs,$C2670,0))</f>
        <v>0</v>
      </c>
      <c r="H2973" s="99" t="n">
        <f aca="false">IF(5&gt;Hold_Yrs,0,G2064+G1155+G1458+G1761+G2367+G1458*Prepay_Pen+IF(5=Hold_Yrs,$C2670,0))</f>
        <v>0</v>
      </c>
      <c r="I2973" s="99" t="n">
        <f aca="false">IF(6&gt;Hold_Yrs,0,H2064+H1155+H1458+H1761+H2367+H1458*Prepay_Pen+IF(6=Hold_Yrs,$C2670,0))</f>
        <v>0</v>
      </c>
      <c r="J2973" s="99" t="n">
        <f aca="false">IF(7&gt;Hold_Yrs,0,I2064+I1155+I1458+I1761+I2367+I1458*Prepay_Pen+IF(7=Hold_Yrs,$C2670,0))</f>
        <v>0</v>
      </c>
      <c r="K2973" s="99" t="n">
        <f aca="false">IF(8&gt;Hold_Yrs,0,J2064+J1155+J1458+J1761+J2367+J1458*Prepay_Pen+IF(8=Hold_Yrs,$C2670,0))</f>
        <v>0</v>
      </c>
      <c r="L2973" s="99" t="n">
        <f aca="false">IF(9&gt;Hold_Yrs,0,K2064+K1155+K1458+K1761+K2367+K1458*Prepay_Pen+IF(9=Hold_Yrs,$C2670,0))</f>
        <v>0</v>
      </c>
      <c r="M2973" s="99" t="n">
        <f aca="false">IF(10&gt;Hold_Yrs,0,L2064+L1155+L1458+L1761+L2367+L1458*Prepay_Pen+IF(10=Hold_Yrs,$C2670,0))</f>
        <v>0</v>
      </c>
    </row>
    <row r="2974" customFormat="false" ht="15" hidden="false" customHeight="false" outlineLevel="0" collapsed="false">
      <c r="B2974" s="108" t="n">
        <f aca="false">'Loan Tape'!$A243</f>
        <v>0</v>
      </c>
      <c r="C2974" s="71" t="n">
        <f aca="false">-'Loan Tape'!$BB243</f>
        <v>-0</v>
      </c>
      <c r="D2974" s="71" t="n">
        <f aca="false">IF(1&gt;Hold_Yrs,0,C2065+C1156+C1459+C1762+C2368+C1459*Prepay_Pen+IF(1=Hold_Yrs,$C2671,0))</f>
        <v>0</v>
      </c>
      <c r="E2974" s="71" t="n">
        <f aca="false">IF(2&gt;Hold_Yrs,0,D2065+D1156+D1459+D1762+D2368+D1459*Prepay_Pen+IF(2=Hold_Yrs,$C2671,0))</f>
        <v>0</v>
      </c>
      <c r="F2974" s="71" t="n">
        <f aca="false">IF(3&gt;Hold_Yrs,0,E2065+E1156+E1459+E1762+E2368+E1459*Prepay_Pen+IF(3=Hold_Yrs,$C2671,0))</f>
        <v>0</v>
      </c>
      <c r="G2974" s="71" t="n">
        <f aca="false">IF(4&gt;Hold_Yrs,0,F2065+F1156+F1459+F1762+F2368+F1459*Prepay_Pen+IF(4=Hold_Yrs,$C2671,0))</f>
        <v>0</v>
      </c>
      <c r="H2974" s="71" t="n">
        <f aca="false">IF(5&gt;Hold_Yrs,0,G2065+G1156+G1459+G1762+G2368+G1459*Prepay_Pen+IF(5=Hold_Yrs,$C2671,0))</f>
        <v>0</v>
      </c>
      <c r="I2974" s="71" t="n">
        <f aca="false">IF(6&gt;Hold_Yrs,0,H2065+H1156+H1459+H1762+H2368+H1459*Prepay_Pen+IF(6=Hold_Yrs,$C2671,0))</f>
        <v>0</v>
      </c>
      <c r="J2974" s="71" t="n">
        <f aca="false">IF(7&gt;Hold_Yrs,0,I2065+I1156+I1459+I1762+I2368+I1459*Prepay_Pen+IF(7=Hold_Yrs,$C2671,0))</f>
        <v>0</v>
      </c>
      <c r="K2974" s="71" t="n">
        <f aca="false">IF(8&gt;Hold_Yrs,0,J2065+J1156+J1459+J1762+J2368+J1459*Prepay_Pen+IF(8=Hold_Yrs,$C2671,0))</f>
        <v>0</v>
      </c>
      <c r="L2974" s="71" t="n">
        <f aca="false">IF(9&gt;Hold_Yrs,0,K2065+K1156+K1459+K1762+K2368+K1459*Prepay_Pen+IF(9=Hold_Yrs,$C2671,0))</f>
        <v>0</v>
      </c>
      <c r="M2974" s="71" t="n">
        <f aca="false">IF(10&gt;Hold_Yrs,0,L2065+L1156+L1459+L1762+L2368+L1459*Prepay_Pen+IF(10=Hold_Yrs,$C2671,0))</f>
        <v>0</v>
      </c>
    </row>
    <row r="2975" customFormat="false" ht="15" hidden="false" customHeight="false" outlineLevel="0" collapsed="false">
      <c r="B2975" s="102" t="n">
        <f aca="false">'Loan Tape'!$A244</f>
        <v>0</v>
      </c>
      <c r="C2975" s="99" t="n">
        <f aca="false">-'Loan Tape'!$BB244</f>
        <v>-0</v>
      </c>
      <c r="D2975" s="99" t="n">
        <f aca="false">IF(1&gt;Hold_Yrs,0,C2066+C1157+C1460+C1763+C2369+C1460*Prepay_Pen+IF(1=Hold_Yrs,$C2672,0))</f>
        <v>0</v>
      </c>
      <c r="E2975" s="99" t="n">
        <f aca="false">IF(2&gt;Hold_Yrs,0,D2066+D1157+D1460+D1763+D2369+D1460*Prepay_Pen+IF(2=Hold_Yrs,$C2672,0))</f>
        <v>0</v>
      </c>
      <c r="F2975" s="99" t="n">
        <f aca="false">IF(3&gt;Hold_Yrs,0,E2066+E1157+E1460+E1763+E2369+E1460*Prepay_Pen+IF(3=Hold_Yrs,$C2672,0))</f>
        <v>0</v>
      </c>
      <c r="G2975" s="99" t="n">
        <f aca="false">IF(4&gt;Hold_Yrs,0,F2066+F1157+F1460+F1763+F2369+F1460*Prepay_Pen+IF(4=Hold_Yrs,$C2672,0))</f>
        <v>0</v>
      </c>
      <c r="H2975" s="99" t="n">
        <f aca="false">IF(5&gt;Hold_Yrs,0,G2066+G1157+G1460+G1763+G2369+G1460*Prepay_Pen+IF(5=Hold_Yrs,$C2672,0))</f>
        <v>0</v>
      </c>
      <c r="I2975" s="99" t="n">
        <f aca="false">IF(6&gt;Hold_Yrs,0,H2066+H1157+H1460+H1763+H2369+H1460*Prepay_Pen+IF(6=Hold_Yrs,$C2672,0))</f>
        <v>0</v>
      </c>
      <c r="J2975" s="99" t="n">
        <f aca="false">IF(7&gt;Hold_Yrs,0,I2066+I1157+I1460+I1763+I2369+I1460*Prepay_Pen+IF(7=Hold_Yrs,$C2672,0))</f>
        <v>0</v>
      </c>
      <c r="K2975" s="99" t="n">
        <f aca="false">IF(8&gt;Hold_Yrs,0,J2066+J1157+J1460+J1763+J2369+J1460*Prepay_Pen+IF(8=Hold_Yrs,$C2672,0))</f>
        <v>0</v>
      </c>
      <c r="L2975" s="99" t="n">
        <f aca="false">IF(9&gt;Hold_Yrs,0,K2066+K1157+K1460+K1763+K2369+K1460*Prepay_Pen+IF(9=Hold_Yrs,$C2672,0))</f>
        <v>0</v>
      </c>
      <c r="M2975" s="99" t="n">
        <f aca="false">IF(10&gt;Hold_Yrs,0,L2066+L1157+L1460+L1763+L2369+L1460*Prepay_Pen+IF(10=Hold_Yrs,$C2672,0))</f>
        <v>0</v>
      </c>
    </row>
    <row r="2976" customFormat="false" ht="15" hidden="false" customHeight="false" outlineLevel="0" collapsed="false">
      <c r="B2976" s="108" t="n">
        <f aca="false">'Loan Tape'!$A245</f>
        <v>0</v>
      </c>
      <c r="C2976" s="71" t="n">
        <f aca="false">-'Loan Tape'!$BB245</f>
        <v>-0</v>
      </c>
      <c r="D2976" s="71" t="n">
        <f aca="false">IF(1&gt;Hold_Yrs,0,C2067+C1158+C1461+C1764+C2370+C1461*Prepay_Pen+IF(1=Hold_Yrs,$C2673,0))</f>
        <v>0</v>
      </c>
      <c r="E2976" s="71" t="n">
        <f aca="false">IF(2&gt;Hold_Yrs,0,D2067+D1158+D1461+D1764+D2370+D1461*Prepay_Pen+IF(2=Hold_Yrs,$C2673,0))</f>
        <v>0</v>
      </c>
      <c r="F2976" s="71" t="n">
        <f aca="false">IF(3&gt;Hold_Yrs,0,E2067+E1158+E1461+E1764+E2370+E1461*Prepay_Pen+IF(3=Hold_Yrs,$C2673,0))</f>
        <v>0</v>
      </c>
      <c r="G2976" s="71" t="n">
        <f aca="false">IF(4&gt;Hold_Yrs,0,F2067+F1158+F1461+F1764+F2370+F1461*Prepay_Pen+IF(4=Hold_Yrs,$C2673,0))</f>
        <v>0</v>
      </c>
      <c r="H2976" s="71" t="n">
        <f aca="false">IF(5&gt;Hold_Yrs,0,G2067+G1158+G1461+G1764+G2370+G1461*Prepay_Pen+IF(5=Hold_Yrs,$C2673,0))</f>
        <v>0</v>
      </c>
      <c r="I2976" s="71" t="n">
        <f aca="false">IF(6&gt;Hold_Yrs,0,H2067+H1158+H1461+H1764+H2370+H1461*Prepay_Pen+IF(6=Hold_Yrs,$C2673,0))</f>
        <v>0</v>
      </c>
      <c r="J2976" s="71" t="n">
        <f aca="false">IF(7&gt;Hold_Yrs,0,I2067+I1158+I1461+I1764+I2370+I1461*Prepay_Pen+IF(7=Hold_Yrs,$C2673,0))</f>
        <v>0</v>
      </c>
      <c r="K2976" s="71" t="n">
        <f aca="false">IF(8&gt;Hold_Yrs,0,J2067+J1158+J1461+J1764+J2370+J1461*Prepay_Pen+IF(8=Hold_Yrs,$C2673,0))</f>
        <v>0</v>
      </c>
      <c r="L2976" s="71" t="n">
        <f aca="false">IF(9&gt;Hold_Yrs,0,K2067+K1158+K1461+K1764+K2370+K1461*Prepay_Pen+IF(9=Hold_Yrs,$C2673,0))</f>
        <v>0</v>
      </c>
      <c r="M2976" s="71" t="n">
        <f aca="false">IF(10&gt;Hold_Yrs,0,L2067+L1158+L1461+L1764+L2370+L1461*Prepay_Pen+IF(10=Hold_Yrs,$C2673,0))</f>
        <v>0</v>
      </c>
    </row>
    <row r="2977" customFormat="false" ht="15" hidden="false" customHeight="false" outlineLevel="0" collapsed="false">
      <c r="B2977" s="102" t="n">
        <f aca="false">'Loan Tape'!$A246</f>
        <v>0</v>
      </c>
      <c r="C2977" s="99" t="n">
        <f aca="false">-'Loan Tape'!$BB246</f>
        <v>-0</v>
      </c>
      <c r="D2977" s="99" t="n">
        <f aca="false">IF(1&gt;Hold_Yrs,0,C2068+C1159+C1462+C1765+C2371+C1462*Prepay_Pen+IF(1=Hold_Yrs,$C2674,0))</f>
        <v>0</v>
      </c>
      <c r="E2977" s="99" t="n">
        <f aca="false">IF(2&gt;Hold_Yrs,0,D2068+D1159+D1462+D1765+D2371+D1462*Prepay_Pen+IF(2=Hold_Yrs,$C2674,0))</f>
        <v>0</v>
      </c>
      <c r="F2977" s="99" t="n">
        <f aca="false">IF(3&gt;Hold_Yrs,0,E2068+E1159+E1462+E1765+E2371+E1462*Prepay_Pen+IF(3=Hold_Yrs,$C2674,0))</f>
        <v>0</v>
      </c>
      <c r="G2977" s="99" t="n">
        <f aca="false">IF(4&gt;Hold_Yrs,0,F2068+F1159+F1462+F1765+F2371+F1462*Prepay_Pen+IF(4=Hold_Yrs,$C2674,0))</f>
        <v>0</v>
      </c>
      <c r="H2977" s="99" t="n">
        <f aca="false">IF(5&gt;Hold_Yrs,0,G2068+G1159+G1462+G1765+G2371+G1462*Prepay_Pen+IF(5=Hold_Yrs,$C2674,0))</f>
        <v>0</v>
      </c>
      <c r="I2977" s="99" t="n">
        <f aca="false">IF(6&gt;Hold_Yrs,0,H2068+H1159+H1462+H1765+H2371+H1462*Prepay_Pen+IF(6=Hold_Yrs,$C2674,0))</f>
        <v>0</v>
      </c>
      <c r="J2977" s="99" t="n">
        <f aca="false">IF(7&gt;Hold_Yrs,0,I2068+I1159+I1462+I1765+I2371+I1462*Prepay_Pen+IF(7=Hold_Yrs,$C2674,0))</f>
        <v>0</v>
      </c>
      <c r="K2977" s="99" t="n">
        <f aca="false">IF(8&gt;Hold_Yrs,0,J2068+J1159+J1462+J1765+J2371+J1462*Prepay_Pen+IF(8=Hold_Yrs,$C2674,0))</f>
        <v>0</v>
      </c>
      <c r="L2977" s="99" t="n">
        <f aca="false">IF(9&gt;Hold_Yrs,0,K2068+K1159+K1462+K1765+K2371+K1462*Prepay_Pen+IF(9=Hold_Yrs,$C2674,0))</f>
        <v>0</v>
      </c>
      <c r="M2977" s="99" t="n">
        <f aca="false">IF(10&gt;Hold_Yrs,0,L2068+L1159+L1462+L1765+L2371+L1462*Prepay_Pen+IF(10=Hold_Yrs,$C2674,0))</f>
        <v>0</v>
      </c>
    </row>
    <row r="2978" customFormat="false" ht="15" hidden="false" customHeight="false" outlineLevel="0" collapsed="false">
      <c r="B2978" s="108" t="n">
        <f aca="false">'Loan Tape'!$A247</f>
        <v>0</v>
      </c>
      <c r="C2978" s="71" t="n">
        <f aca="false">-'Loan Tape'!$BB247</f>
        <v>-0</v>
      </c>
      <c r="D2978" s="71" t="n">
        <f aca="false">IF(1&gt;Hold_Yrs,0,C2069+C1160+C1463+C1766+C2372+C1463*Prepay_Pen+IF(1=Hold_Yrs,$C2675,0))</f>
        <v>0</v>
      </c>
      <c r="E2978" s="71" t="n">
        <f aca="false">IF(2&gt;Hold_Yrs,0,D2069+D1160+D1463+D1766+D2372+D1463*Prepay_Pen+IF(2=Hold_Yrs,$C2675,0))</f>
        <v>0</v>
      </c>
      <c r="F2978" s="71" t="n">
        <f aca="false">IF(3&gt;Hold_Yrs,0,E2069+E1160+E1463+E1766+E2372+E1463*Prepay_Pen+IF(3=Hold_Yrs,$C2675,0))</f>
        <v>0</v>
      </c>
      <c r="G2978" s="71" t="n">
        <f aca="false">IF(4&gt;Hold_Yrs,0,F2069+F1160+F1463+F1766+F2372+F1463*Prepay_Pen+IF(4=Hold_Yrs,$C2675,0))</f>
        <v>0</v>
      </c>
      <c r="H2978" s="71" t="n">
        <f aca="false">IF(5&gt;Hold_Yrs,0,G2069+G1160+G1463+G1766+G2372+G1463*Prepay_Pen+IF(5=Hold_Yrs,$C2675,0))</f>
        <v>0</v>
      </c>
      <c r="I2978" s="71" t="n">
        <f aca="false">IF(6&gt;Hold_Yrs,0,H2069+H1160+H1463+H1766+H2372+H1463*Prepay_Pen+IF(6=Hold_Yrs,$C2675,0))</f>
        <v>0</v>
      </c>
      <c r="J2978" s="71" t="n">
        <f aca="false">IF(7&gt;Hold_Yrs,0,I2069+I1160+I1463+I1766+I2372+I1463*Prepay_Pen+IF(7=Hold_Yrs,$C2675,0))</f>
        <v>0</v>
      </c>
      <c r="K2978" s="71" t="n">
        <f aca="false">IF(8&gt;Hold_Yrs,0,J2069+J1160+J1463+J1766+J2372+J1463*Prepay_Pen+IF(8=Hold_Yrs,$C2675,0))</f>
        <v>0</v>
      </c>
      <c r="L2978" s="71" t="n">
        <f aca="false">IF(9&gt;Hold_Yrs,0,K2069+K1160+K1463+K1766+K2372+K1463*Prepay_Pen+IF(9=Hold_Yrs,$C2675,0))</f>
        <v>0</v>
      </c>
      <c r="M2978" s="71" t="n">
        <f aca="false">IF(10&gt;Hold_Yrs,0,L2069+L1160+L1463+L1766+L2372+L1463*Prepay_Pen+IF(10=Hold_Yrs,$C2675,0))</f>
        <v>0</v>
      </c>
    </row>
    <row r="2979" customFormat="false" ht="15" hidden="false" customHeight="false" outlineLevel="0" collapsed="false">
      <c r="B2979" s="102" t="n">
        <f aca="false">'Loan Tape'!$A248</f>
        <v>0</v>
      </c>
      <c r="C2979" s="99" t="n">
        <f aca="false">-'Loan Tape'!$BB248</f>
        <v>-0</v>
      </c>
      <c r="D2979" s="99" t="n">
        <f aca="false">IF(1&gt;Hold_Yrs,0,C2070+C1161+C1464+C1767+C2373+C1464*Prepay_Pen+IF(1=Hold_Yrs,$C2676,0))</f>
        <v>0</v>
      </c>
      <c r="E2979" s="99" t="n">
        <f aca="false">IF(2&gt;Hold_Yrs,0,D2070+D1161+D1464+D1767+D2373+D1464*Prepay_Pen+IF(2=Hold_Yrs,$C2676,0))</f>
        <v>0</v>
      </c>
      <c r="F2979" s="99" t="n">
        <f aca="false">IF(3&gt;Hold_Yrs,0,E2070+E1161+E1464+E1767+E2373+E1464*Prepay_Pen+IF(3=Hold_Yrs,$C2676,0))</f>
        <v>0</v>
      </c>
      <c r="G2979" s="99" t="n">
        <f aca="false">IF(4&gt;Hold_Yrs,0,F2070+F1161+F1464+F1767+F2373+F1464*Prepay_Pen+IF(4=Hold_Yrs,$C2676,0))</f>
        <v>0</v>
      </c>
      <c r="H2979" s="99" t="n">
        <f aca="false">IF(5&gt;Hold_Yrs,0,G2070+G1161+G1464+G1767+G2373+G1464*Prepay_Pen+IF(5=Hold_Yrs,$C2676,0))</f>
        <v>0</v>
      </c>
      <c r="I2979" s="99" t="n">
        <f aca="false">IF(6&gt;Hold_Yrs,0,H2070+H1161+H1464+H1767+H2373+H1464*Prepay_Pen+IF(6=Hold_Yrs,$C2676,0))</f>
        <v>0</v>
      </c>
      <c r="J2979" s="99" t="n">
        <f aca="false">IF(7&gt;Hold_Yrs,0,I2070+I1161+I1464+I1767+I2373+I1464*Prepay_Pen+IF(7=Hold_Yrs,$C2676,0))</f>
        <v>0</v>
      </c>
      <c r="K2979" s="99" t="n">
        <f aca="false">IF(8&gt;Hold_Yrs,0,J2070+J1161+J1464+J1767+J2373+J1464*Prepay_Pen+IF(8=Hold_Yrs,$C2676,0))</f>
        <v>0</v>
      </c>
      <c r="L2979" s="99" t="n">
        <f aca="false">IF(9&gt;Hold_Yrs,0,K2070+K1161+K1464+K1767+K2373+K1464*Prepay_Pen+IF(9=Hold_Yrs,$C2676,0))</f>
        <v>0</v>
      </c>
      <c r="M2979" s="99" t="n">
        <f aca="false">IF(10&gt;Hold_Yrs,0,L2070+L1161+L1464+L1767+L2373+L1464*Prepay_Pen+IF(10=Hold_Yrs,$C2676,0))</f>
        <v>0</v>
      </c>
    </row>
    <row r="2980" customFormat="false" ht="15" hidden="false" customHeight="false" outlineLevel="0" collapsed="false">
      <c r="B2980" s="108" t="n">
        <f aca="false">'Loan Tape'!$A249</f>
        <v>0</v>
      </c>
      <c r="C2980" s="71" t="n">
        <f aca="false">-'Loan Tape'!$BB249</f>
        <v>-0</v>
      </c>
      <c r="D2980" s="71" t="n">
        <f aca="false">IF(1&gt;Hold_Yrs,0,C2071+C1162+C1465+C1768+C2374+C1465*Prepay_Pen+IF(1=Hold_Yrs,$C2677,0))</f>
        <v>0</v>
      </c>
      <c r="E2980" s="71" t="n">
        <f aca="false">IF(2&gt;Hold_Yrs,0,D2071+D1162+D1465+D1768+D2374+D1465*Prepay_Pen+IF(2=Hold_Yrs,$C2677,0))</f>
        <v>0</v>
      </c>
      <c r="F2980" s="71" t="n">
        <f aca="false">IF(3&gt;Hold_Yrs,0,E2071+E1162+E1465+E1768+E2374+E1465*Prepay_Pen+IF(3=Hold_Yrs,$C2677,0))</f>
        <v>0</v>
      </c>
      <c r="G2980" s="71" t="n">
        <f aca="false">IF(4&gt;Hold_Yrs,0,F2071+F1162+F1465+F1768+F2374+F1465*Prepay_Pen+IF(4=Hold_Yrs,$C2677,0))</f>
        <v>0</v>
      </c>
      <c r="H2980" s="71" t="n">
        <f aca="false">IF(5&gt;Hold_Yrs,0,G2071+G1162+G1465+G1768+G2374+G1465*Prepay_Pen+IF(5=Hold_Yrs,$C2677,0))</f>
        <v>0</v>
      </c>
      <c r="I2980" s="71" t="n">
        <f aca="false">IF(6&gt;Hold_Yrs,0,H2071+H1162+H1465+H1768+H2374+H1465*Prepay_Pen+IF(6=Hold_Yrs,$C2677,0))</f>
        <v>0</v>
      </c>
      <c r="J2980" s="71" t="n">
        <f aca="false">IF(7&gt;Hold_Yrs,0,I2071+I1162+I1465+I1768+I2374+I1465*Prepay_Pen+IF(7=Hold_Yrs,$C2677,0))</f>
        <v>0</v>
      </c>
      <c r="K2980" s="71" t="n">
        <f aca="false">IF(8&gt;Hold_Yrs,0,J2071+J1162+J1465+J1768+J2374+J1465*Prepay_Pen+IF(8=Hold_Yrs,$C2677,0))</f>
        <v>0</v>
      </c>
      <c r="L2980" s="71" t="n">
        <f aca="false">IF(9&gt;Hold_Yrs,0,K2071+K1162+K1465+K1768+K2374+K1465*Prepay_Pen+IF(9=Hold_Yrs,$C2677,0))</f>
        <v>0</v>
      </c>
      <c r="M2980" s="71" t="n">
        <f aca="false">IF(10&gt;Hold_Yrs,0,L2071+L1162+L1465+L1768+L2374+L1465*Prepay_Pen+IF(10=Hold_Yrs,$C2677,0))</f>
        <v>0</v>
      </c>
    </row>
    <row r="2981" customFormat="false" ht="15" hidden="false" customHeight="false" outlineLevel="0" collapsed="false">
      <c r="B2981" s="102" t="n">
        <f aca="false">'Loan Tape'!$A250</f>
        <v>0</v>
      </c>
      <c r="C2981" s="99" t="n">
        <f aca="false">-'Loan Tape'!$BB250</f>
        <v>-0</v>
      </c>
      <c r="D2981" s="99" t="n">
        <f aca="false">IF(1&gt;Hold_Yrs,0,C2072+C1163+C1466+C1769+C2375+C1466*Prepay_Pen+IF(1=Hold_Yrs,$C2678,0))</f>
        <v>0</v>
      </c>
      <c r="E2981" s="99" t="n">
        <f aca="false">IF(2&gt;Hold_Yrs,0,D2072+D1163+D1466+D1769+D2375+D1466*Prepay_Pen+IF(2=Hold_Yrs,$C2678,0))</f>
        <v>0</v>
      </c>
      <c r="F2981" s="99" t="n">
        <f aca="false">IF(3&gt;Hold_Yrs,0,E2072+E1163+E1466+E1769+E2375+E1466*Prepay_Pen+IF(3=Hold_Yrs,$C2678,0))</f>
        <v>0</v>
      </c>
      <c r="G2981" s="99" t="n">
        <f aca="false">IF(4&gt;Hold_Yrs,0,F2072+F1163+F1466+F1769+F2375+F1466*Prepay_Pen+IF(4=Hold_Yrs,$C2678,0))</f>
        <v>0</v>
      </c>
      <c r="H2981" s="99" t="n">
        <f aca="false">IF(5&gt;Hold_Yrs,0,G2072+G1163+G1466+G1769+G2375+G1466*Prepay_Pen+IF(5=Hold_Yrs,$C2678,0))</f>
        <v>0</v>
      </c>
      <c r="I2981" s="99" t="n">
        <f aca="false">IF(6&gt;Hold_Yrs,0,H2072+H1163+H1466+H1769+H2375+H1466*Prepay_Pen+IF(6=Hold_Yrs,$C2678,0))</f>
        <v>0</v>
      </c>
      <c r="J2981" s="99" t="n">
        <f aca="false">IF(7&gt;Hold_Yrs,0,I2072+I1163+I1466+I1769+I2375+I1466*Prepay_Pen+IF(7=Hold_Yrs,$C2678,0))</f>
        <v>0</v>
      </c>
      <c r="K2981" s="99" t="n">
        <f aca="false">IF(8&gt;Hold_Yrs,0,J2072+J1163+J1466+J1769+J2375+J1466*Prepay_Pen+IF(8=Hold_Yrs,$C2678,0))</f>
        <v>0</v>
      </c>
      <c r="L2981" s="99" t="n">
        <f aca="false">IF(9&gt;Hold_Yrs,0,K2072+K1163+K1466+K1769+K2375+K1466*Prepay_Pen+IF(9=Hold_Yrs,$C2678,0))</f>
        <v>0</v>
      </c>
      <c r="M2981" s="99" t="n">
        <f aca="false">IF(10&gt;Hold_Yrs,0,L2072+L1163+L1466+L1769+L2375+L1466*Prepay_Pen+IF(10=Hold_Yrs,$C2678,0))</f>
        <v>0</v>
      </c>
    </row>
    <row r="2982" customFormat="false" ht="15" hidden="false" customHeight="false" outlineLevel="0" collapsed="false">
      <c r="B2982" s="108" t="n">
        <f aca="false">'Loan Tape'!$A251</f>
        <v>0</v>
      </c>
      <c r="C2982" s="71" t="n">
        <f aca="false">-'Loan Tape'!$BB251</f>
        <v>-0</v>
      </c>
      <c r="D2982" s="71" t="n">
        <f aca="false">IF(1&gt;Hold_Yrs,0,C2073+C1164+C1467+C1770+C2376+C1467*Prepay_Pen+IF(1=Hold_Yrs,$C2679,0))</f>
        <v>0</v>
      </c>
      <c r="E2982" s="71" t="n">
        <f aca="false">IF(2&gt;Hold_Yrs,0,D2073+D1164+D1467+D1770+D2376+D1467*Prepay_Pen+IF(2=Hold_Yrs,$C2679,0))</f>
        <v>0</v>
      </c>
      <c r="F2982" s="71" t="n">
        <f aca="false">IF(3&gt;Hold_Yrs,0,E2073+E1164+E1467+E1770+E2376+E1467*Prepay_Pen+IF(3=Hold_Yrs,$C2679,0))</f>
        <v>0</v>
      </c>
      <c r="G2982" s="71" t="n">
        <f aca="false">IF(4&gt;Hold_Yrs,0,F2073+F1164+F1467+F1770+F2376+F1467*Prepay_Pen+IF(4=Hold_Yrs,$C2679,0))</f>
        <v>0</v>
      </c>
      <c r="H2982" s="71" t="n">
        <f aca="false">IF(5&gt;Hold_Yrs,0,G2073+G1164+G1467+G1770+G2376+G1467*Prepay_Pen+IF(5=Hold_Yrs,$C2679,0))</f>
        <v>0</v>
      </c>
      <c r="I2982" s="71" t="n">
        <f aca="false">IF(6&gt;Hold_Yrs,0,H2073+H1164+H1467+H1770+H2376+H1467*Prepay_Pen+IF(6=Hold_Yrs,$C2679,0))</f>
        <v>0</v>
      </c>
      <c r="J2982" s="71" t="n">
        <f aca="false">IF(7&gt;Hold_Yrs,0,I2073+I1164+I1467+I1770+I2376+I1467*Prepay_Pen+IF(7=Hold_Yrs,$C2679,0))</f>
        <v>0</v>
      </c>
      <c r="K2982" s="71" t="n">
        <f aca="false">IF(8&gt;Hold_Yrs,0,J2073+J1164+J1467+J1770+J2376+J1467*Prepay_Pen+IF(8=Hold_Yrs,$C2679,0))</f>
        <v>0</v>
      </c>
      <c r="L2982" s="71" t="n">
        <f aca="false">IF(9&gt;Hold_Yrs,0,K2073+K1164+K1467+K1770+K2376+K1467*Prepay_Pen+IF(9=Hold_Yrs,$C2679,0))</f>
        <v>0</v>
      </c>
      <c r="M2982" s="71" t="n">
        <f aca="false">IF(10&gt;Hold_Yrs,0,L2073+L1164+L1467+L1770+L2376+L1467*Prepay_Pen+IF(10=Hold_Yrs,$C2679,0))</f>
        <v>0</v>
      </c>
    </row>
    <row r="2983" customFormat="false" ht="15" hidden="false" customHeight="false" outlineLevel="0" collapsed="false">
      <c r="B2983" s="102" t="n">
        <f aca="false">'Loan Tape'!$A252</f>
        <v>0</v>
      </c>
      <c r="C2983" s="99" t="n">
        <f aca="false">-'Loan Tape'!$BB252</f>
        <v>-0</v>
      </c>
      <c r="D2983" s="99" t="n">
        <f aca="false">IF(1&gt;Hold_Yrs,0,C2074+C1165+C1468+C1771+C2377+C1468*Prepay_Pen+IF(1=Hold_Yrs,$C2680,0))</f>
        <v>0</v>
      </c>
      <c r="E2983" s="99" t="n">
        <f aca="false">IF(2&gt;Hold_Yrs,0,D2074+D1165+D1468+D1771+D2377+D1468*Prepay_Pen+IF(2=Hold_Yrs,$C2680,0))</f>
        <v>0</v>
      </c>
      <c r="F2983" s="99" t="n">
        <f aca="false">IF(3&gt;Hold_Yrs,0,E2074+E1165+E1468+E1771+E2377+E1468*Prepay_Pen+IF(3=Hold_Yrs,$C2680,0))</f>
        <v>0</v>
      </c>
      <c r="G2983" s="99" t="n">
        <f aca="false">IF(4&gt;Hold_Yrs,0,F2074+F1165+F1468+F1771+F2377+F1468*Prepay_Pen+IF(4=Hold_Yrs,$C2680,0))</f>
        <v>0</v>
      </c>
      <c r="H2983" s="99" t="n">
        <f aca="false">IF(5&gt;Hold_Yrs,0,G2074+G1165+G1468+G1771+G2377+G1468*Prepay_Pen+IF(5=Hold_Yrs,$C2680,0))</f>
        <v>0</v>
      </c>
      <c r="I2983" s="99" t="n">
        <f aca="false">IF(6&gt;Hold_Yrs,0,H2074+H1165+H1468+H1771+H2377+H1468*Prepay_Pen+IF(6=Hold_Yrs,$C2680,0))</f>
        <v>0</v>
      </c>
      <c r="J2983" s="99" t="n">
        <f aca="false">IF(7&gt;Hold_Yrs,0,I2074+I1165+I1468+I1771+I2377+I1468*Prepay_Pen+IF(7=Hold_Yrs,$C2680,0))</f>
        <v>0</v>
      </c>
      <c r="K2983" s="99" t="n">
        <f aca="false">IF(8&gt;Hold_Yrs,0,J2074+J1165+J1468+J1771+J2377+J1468*Prepay_Pen+IF(8=Hold_Yrs,$C2680,0))</f>
        <v>0</v>
      </c>
      <c r="L2983" s="99" t="n">
        <f aca="false">IF(9&gt;Hold_Yrs,0,K2074+K1165+K1468+K1771+K2377+K1468*Prepay_Pen+IF(9=Hold_Yrs,$C2680,0))</f>
        <v>0</v>
      </c>
      <c r="M2983" s="99" t="n">
        <f aca="false">IF(10&gt;Hold_Yrs,0,L2074+L1165+L1468+L1771+L2377+L1468*Prepay_Pen+IF(10=Hold_Yrs,$C2680,0))</f>
        <v>0</v>
      </c>
    </row>
    <row r="2984" customFormat="false" ht="15" hidden="false" customHeight="false" outlineLevel="0" collapsed="false">
      <c r="B2984" s="108" t="n">
        <f aca="false">'Loan Tape'!$A253</f>
        <v>0</v>
      </c>
      <c r="C2984" s="71" t="n">
        <f aca="false">-'Loan Tape'!$BB253</f>
        <v>-0</v>
      </c>
      <c r="D2984" s="71" t="n">
        <f aca="false">IF(1&gt;Hold_Yrs,0,C2075+C1166+C1469+C1772+C2378+C1469*Prepay_Pen+IF(1=Hold_Yrs,$C2681,0))</f>
        <v>0</v>
      </c>
      <c r="E2984" s="71" t="n">
        <f aca="false">IF(2&gt;Hold_Yrs,0,D2075+D1166+D1469+D1772+D2378+D1469*Prepay_Pen+IF(2=Hold_Yrs,$C2681,0))</f>
        <v>0</v>
      </c>
      <c r="F2984" s="71" t="n">
        <f aca="false">IF(3&gt;Hold_Yrs,0,E2075+E1166+E1469+E1772+E2378+E1469*Prepay_Pen+IF(3=Hold_Yrs,$C2681,0))</f>
        <v>0</v>
      </c>
      <c r="G2984" s="71" t="n">
        <f aca="false">IF(4&gt;Hold_Yrs,0,F2075+F1166+F1469+F1772+F2378+F1469*Prepay_Pen+IF(4=Hold_Yrs,$C2681,0))</f>
        <v>0</v>
      </c>
      <c r="H2984" s="71" t="n">
        <f aca="false">IF(5&gt;Hold_Yrs,0,G2075+G1166+G1469+G1772+G2378+G1469*Prepay_Pen+IF(5=Hold_Yrs,$C2681,0))</f>
        <v>0</v>
      </c>
      <c r="I2984" s="71" t="n">
        <f aca="false">IF(6&gt;Hold_Yrs,0,H2075+H1166+H1469+H1772+H2378+H1469*Prepay_Pen+IF(6=Hold_Yrs,$C2681,0))</f>
        <v>0</v>
      </c>
      <c r="J2984" s="71" t="n">
        <f aca="false">IF(7&gt;Hold_Yrs,0,I2075+I1166+I1469+I1772+I2378+I1469*Prepay_Pen+IF(7=Hold_Yrs,$C2681,0))</f>
        <v>0</v>
      </c>
      <c r="K2984" s="71" t="n">
        <f aca="false">IF(8&gt;Hold_Yrs,0,J2075+J1166+J1469+J1772+J2378+J1469*Prepay_Pen+IF(8=Hold_Yrs,$C2681,0))</f>
        <v>0</v>
      </c>
      <c r="L2984" s="71" t="n">
        <f aca="false">IF(9&gt;Hold_Yrs,0,K2075+K1166+K1469+K1772+K2378+K1469*Prepay_Pen+IF(9=Hold_Yrs,$C2681,0))</f>
        <v>0</v>
      </c>
      <c r="M2984" s="71" t="n">
        <f aca="false">IF(10&gt;Hold_Yrs,0,L2075+L1166+L1469+L1772+L2378+L1469*Prepay_Pen+IF(10=Hold_Yrs,$C2681,0))</f>
        <v>0</v>
      </c>
    </row>
    <row r="2985" customFormat="false" ht="15" hidden="false" customHeight="false" outlineLevel="0" collapsed="false">
      <c r="B2985" s="102" t="n">
        <f aca="false">'Loan Tape'!$A254</f>
        <v>0</v>
      </c>
      <c r="C2985" s="99" t="n">
        <f aca="false">-'Loan Tape'!$BB254</f>
        <v>-0</v>
      </c>
      <c r="D2985" s="99" t="n">
        <f aca="false">IF(1&gt;Hold_Yrs,0,C2076+C1167+C1470+C1773+C2379+C1470*Prepay_Pen+IF(1=Hold_Yrs,$C2682,0))</f>
        <v>0</v>
      </c>
      <c r="E2985" s="99" t="n">
        <f aca="false">IF(2&gt;Hold_Yrs,0,D2076+D1167+D1470+D1773+D2379+D1470*Prepay_Pen+IF(2=Hold_Yrs,$C2682,0))</f>
        <v>0</v>
      </c>
      <c r="F2985" s="99" t="n">
        <f aca="false">IF(3&gt;Hold_Yrs,0,E2076+E1167+E1470+E1773+E2379+E1470*Prepay_Pen+IF(3=Hold_Yrs,$C2682,0))</f>
        <v>0</v>
      </c>
      <c r="G2985" s="99" t="n">
        <f aca="false">IF(4&gt;Hold_Yrs,0,F2076+F1167+F1470+F1773+F2379+F1470*Prepay_Pen+IF(4=Hold_Yrs,$C2682,0))</f>
        <v>0</v>
      </c>
      <c r="H2985" s="99" t="n">
        <f aca="false">IF(5&gt;Hold_Yrs,0,G2076+G1167+G1470+G1773+G2379+G1470*Prepay_Pen+IF(5=Hold_Yrs,$C2682,0))</f>
        <v>0</v>
      </c>
      <c r="I2985" s="99" t="n">
        <f aca="false">IF(6&gt;Hold_Yrs,0,H2076+H1167+H1470+H1773+H2379+H1470*Prepay_Pen+IF(6=Hold_Yrs,$C2682,0))</f>
        <v>0</v>
      </c>
      <c r="J2985" s="99" t="n">
        <f aca="false">IF(7&gt;Hold_Yrs,0,I2076+I1167+I1470+I1773+I2379+I1470*Prepay_Pen+IF(7=Hold_Yrs,$C2682,0))</f>
        <v>0</v>
      </c>
      <c r="K2985" s="99" t="n">
        <f aca="false">IF(8&gt;Hold_Yrs,0,J2076+J1167+J1470+J1773+J2379+J1470*Prepay_Pen+IF(8=Hold_Yrs,$C2682,0))</f>
        <v>0</v>
      </c>
      <c r="L2985" s="99" t="n">
        <f aca="false">IF(9&gt;Hold_Yrs,0,K2076+K1167+K1470+K1773+K2379+K1470*Prepay_Pen+IF(9=Hold_Yrs,$C2682,0))</f>
        <v>0</v>
      </c>
      <c r="M2985" s="99" t="n">
        <f aca="false">IF(10&gt;Hold_Yrs,0,L2076+L1167+L1470+L1773+L2379+L1470*Prepay_Pen+IF(10=Hold_Yrs,$C2682,0))</f>
        <v>0</v>
      </c>
    </row>
    <row r="2986" customFormat="false" ht="15" hidden="false" customHeight="false" outlineLevel="0" collapsed="false">
      <c r="B2986" s="108" t="n">
        <f aca="false">'Loan Tape'!$A255</f>
        <v>0</v>
      </c>
      <c r="C2986" s="71" t="n">
        <f aca="false">-'Loan Tape'!$BB255</f>
        <v>-0</v>
      </c>
      <c r="D2986" s="71" t="n">
        <f aca="false">IF(1&gt;Hold_Yrs,0,C2077+C1168+C1471+C1774+C2380+C1471*Prepay_Pen+IF(1=Hold_Yrs,$C2683,0))</f>
        <v>0</v>
      </c>
      <c r="E2986" s="71" t="n">
        <f aca="false">IF(2&gt;Hold_Yrs,0,D2077+D1168+D1471+D1774+D2380+D1471*Prepay_Pen+IF(2=Hold_Yrs,$C2683,0))</f>
        <v>0</v>
      </c>
      <c r="F2986" s="71" t="n">
        <f aca="false">IF(3&gt;Hold_Yrs,0,E2077+E1168+E1471+E1774+E2380+E1471*Prepay_Pen+IF(3=Hold_Yrs,$C2683,0))</f>
        <v>0</v>
      </c>
      <c r="G2986" s="71" t="n">
        <f aca="false">IF(4&gt;Hold_Yrs,0,F2077+F1168+F1471+F1774+F2380+F1471*Prepay_Pen+IF(4=Hold_Yrs,$C2683,0))</f>
        <v>0</v>
      </c>
      <c r="H2986" s="71" t="n">
        <f aca="false">IF(5&gt;Hold_Yrs,0,G2077+G1168+G1471+G1774+G2380+G1471*Prepay_Pen+IF(5=Hold_Yrs,$C2683,0))</f>
        <v>0</v>
      </c>
      <c r="I2986" s="71" t="n">
        <f aca="false">IF(6&gt;Hold_Yrs,0,H2077+H1168+H1471+H1774+H2380+H1471*Prepay_Pen+IF(6=Hold_Yrs,$C2683,0))</f>
        <v>0</v>
      </c>
      <c r="J2986" s="71" t="n">
        <f aca="false">IF(7&gt;Hold_Yrs,0,I2077+I1168+I1471+I1774+I2380+I1471*Prepay_Pen+IF(7=Hold_Yrs,$C2683,0))</f>
        <v>0</v>
      </c>
      <c r="K2986" s="71" t="n">
        <f aca="false">IF(8&gt;Hold_Yrs,0,J2077+J1168+J1471+J1774+J2380+J1471*Prepay_Pen+IF(8=Hold_Yrs,$C2683,0))</f>
        <v>0</v>
      </c>
      <c r="L2986" s="71" t="n">
        <f aca="false">IF(9&gt;Hold_Yrs,0,K2077+K1168+K1471+K1774+K2380+K1471*Prepay_Pen+IF(9=Hold_Yrs,$C2683,0))</f>
        <v>0</v>
      </c>
      <c r="M2986" s="71" t="n">
        <f aca="false">IF(10&gt;Hold_Yrs,0,L2077+L1168+L1471+L1774+L2380+L1471*Prepay_Pen+IF(10=Hold_Yrs,$C2683,0))</f>
        <v>0</v>
      </c>
    </row>
    <row r="2987" customFormat="false" ht="15" hidden="false" customHeight="false" outlineLevel="0" collapsed="false">
      <c r="B2987" s="102" t="n">
        <f aca="false">'Loan Tape'!$A256</f>
        <v>0</v>
      </c>
      <c r="C2987" s="99" t="n">
        <f aca="false">-'Loan Tape'!$BB256</f>
        <v>-0</v>
      </c>
      <c r="D2987" s="99" t="n">
        <f aca="false">IF(1&gt;Hold_Yrs,0,C2078+C1169+C1472+C1775+C2381+C1472*Prepay_Pen+IF(1=Hold_Yrs,$C2684,0))</f>
        <v>0</v>
      </c>
      <c r="E2987" s="99" t="n">
        <f aca="false">IF(2&gt;Hold_Yrs,0,D2078+D1169+D1472+D1775+D2381+D1472*Prepay_Pen+IF(2=Hold_Yrs,$C2684,0))</f>
        <v>0</v>
      </c>
      <c r="F2987" s="99" t="n">
        <f aca="false">IF(3&gt;Hold_Yrs,0,E2078+E1169+E1472+E1775+E2381+E1472*Prepay_Pen+IF(3=Hold_Yrs,$C2684,0))</f>
        <v>0</v>
      </c>
      <c r="G2987" s="99" t="n">
        <f aca="false">IF(4&gt;Hold_Yrs,0,F2078+F1169+F1472+F1775+F2381+F1472*Prepay_Pen+IF(4=Hold_Yrs,$C2684,0))</f>
        <v>0</v>
      </c>
      <c r="H2987" s="99" t="n">
        <f aca="false">IF(5&gt;Hold_Yrs,0,G2078+G1169+G1472+G1775+G2381+G1472*Prepay_Pen+IF(5=Hold_Yrs,$C2684,0))</f>
        <v>0</v>
      </c>
      <c r="I2987" s="99" t="n">
        <f aca="false">IF(6&gt;Hold_Yrs,0,H2078+H1169+H1472+H1775+H2381+H1472*Prepay_Pen+IF(6=Hold_Yrs,$C2684,0))</f>
        <v>0</v>
      </c>
      <c r="J2987" s="99" t="n">
        <f aca="false">IF(7&gt;Hold_Yrs,0,I2078+I1169+I1472+I1775+I2381+I1472*Prepay_Pen+IF(7=Hold_Yrs,$C2684,0))</f>
        <v>0</v>
      </c>
      <c r="K2987" s="99" t="n">
        <f aca="false">IF(8&gt;Hold_Yrs,0,J2078+J1169+J1472+J1775+J2381+J1472*Prepay_Pen+IF(8=Hold_Yrs,$C2684,0))</f>
        <v>0</v>
      </c>
      <c r="L2987" s="99" t="n">
        <f aca="false">IF(9&gt;Hold_Yrs,0,K2078+K1169+K1472+K1775+K2381+K1472*Prepay_Pen+IF(9=Hold_Yrs,$C2684,0))</f>
        <v>0</v>
      </c>
      <c r="M2987" s="99" t="n">
        <f aca="false">IF(10&gt;Hold_Yrs,0,L2078+L1169+L1472+L1775+L2381+L1472*Prepay_Pen+IF(10=Hold_Yrs,$C2684,0))</f>
        <v>0</v>
      </c>
    </row>
    <row r="2988" customFormat="false" ht="15" hidden="false" customHeight="false" outlineLevel="0" collapsed="false">
      <c r="B2988" s="108" t="n">
        <f aca="false">'Loan Tape'!$A257</f>
        <v>0</v>
      </c>
      <c r="C2988" s="71" t="n">
        <f aca="false">-'Loan Tape'!$BB257</f>
        <v>-0</v>
      </c>
      <c r="D2988" s="71" t="n">
        <f aca="false">IF(1&gt;Hold_Yrs,0,C2079+C1170+C1473+C1776+C2382+C1473*Prepay_Pen+IF(1=Hold_Yrs,$C2685,0))</f>
        <v>0</v>
      </c>
      <c r="E2988" s="71" t="n">
        <f aca="false">IF(2&gt;Hold_Yrs,0,D2079+D1170+D1473+D1776+D2382+D1473*Prepay_Pen+IF(2=Hold_Yrs,$C2685,0))</f>
        <v>0</v>
      </c>
      <c r="F2988" s="71" t="n">
        <f aca="false">IF(3&gt;Hold_Yrs,0,E2079+E1170+E1473+E1776+E2382+E1473*Prepay_Pen+IF(3=Hold_Yrs,$C2685,0))</f>
        <v>0</v>
      </c>
      <c r="G2988" s="71" t="n">
        <f aca="false">IF(4&gt;Hold_Yrs,0,F2079+F1170+F1473+F1776+F2382+F1473*Prepay_Pen+IF(4=Hold_Yrs,$C2685,0))</f>
        <v>0</v>
      </c>
      <c r="H2988" s="71" t="n">
        <f aca="false">IF(5&gt;Hold_Yrs,0,G2079+G1170+G1473+G1776+G2382+G1473*Prepay_Pen+IF(5=Hold_Yrs,$C2685,0))</f>
        <v>0</v>
      </c>
      <c r="I2988" s="71" t="n">
        <f aca="false">IF(6&gt;Hold_Yrs,0,H2079+H1170+H1473+H1776+H2382+H1473*Prepay_Pen+IF(6=Hold_Yrs,$C2685,0))</f>
        <v>0</v>
      </c>
      <c r="J2988" s="71" t="n">
        <f aca="false">IF(7&gt;Hold_Yrs,0,I2079+I1170+I1473+I1776+I2382+I1473*Prepay_Pen+IF(7=Hold_Yrs,$C2685,0))</f>
        <v>0</v>
      </c>
      <c r="K2988" s="71" t="n">
        <f aca="false">IF(8&gt;Hold_Yrs,0,J2079+J1170+J1473+J1776+J2382+J1473*Prepay_Pen+IF(8=Hold_Yrs,$C2685,0))</f>
        <v>0</v>
      </c>
      <c r="L2988" s="71" t="n">
        <f aca="false">IF(9&gt;Hold_Yrs,0,K2079+K1170+K1473+K1776+K2382+K1473*Prepay_Pen+IF(9=Hold_Yrs,$C2685,0))</f>
        <v>0</v>
      </c>
      <c r="M2988" s="71" t="n">
        <f aca="false">IF(10&gt;Hold_Yrs,0,L2079+L1170+L1473+L1776+L2382+L1473*Prepay_Pen+IF(10=Hold_Yrs,$C2685,0))</f>
        <v>0</v>
      </c>
    </row>
    <row r="2989" customFormat="false" ht="15" hidden="false" customHeight="false" outlineLevel="0" collapsed="false">
      <c r="B2989" s="102" t="n">
        <f aca="false">'Loan Tape'!$A258</f>
        <v>0</v>
      </c>
      <c r="C2989" s="99" t="n">
        <f aca="false">-'Loan Tape'!$BB258</f>
        <v>-0</v>
      </c>
      <c r="D2989" s="99" t="n">
        <f aca="false">IF(1&gt;Hold_Yrs,0,C2080+C1171+C1474+C1777+C2383+C1474*Prepay_Pen+IF(1=Hold_Yrs,$C2686,0))</f>
        <v>0</v>
      </c>
      <c r="E2989" s="99" t="n">
        <f aca="false">IF(2&gt;Hold_Yrs,0,D2080+D1171+D1474+D1777+D2383+D1474*Prepay_Pen+IF(2=Hold_Yrs,$C2686,0))</f>
        <v>0</v>
      </c>
      <c r="F2989" s="99" t="n">
        <f aca="false">IF(3&gt;Hold_Yrs,0,E2080+E1171+E1474+E1777+E2383+E1474*Prepay_Pen+IF(3=Hold_Yrs,$C2686,0))</f>
        <v>0</v>
      </c>
      <c r="G2989" s="99" t="n">
        <f aca="false">IF(4&gt;Hold_Yrs,0,F2080+F1171+F1474+F1777+F2383+F1474*Prepay_Pen+IF(4=Hold_Yrs,$C2686,0))</f>
        <v>0</v>
      </c>
      <c r="H2989" s="99" t="n">
        <f aca="false">IF(5&gt;Hold_Yrs,0,G2080+G1171+G1474+G1777+G2383+G1474*Prepay_Pen+IF(5=Hold_Yrs,$C2686,0))</f>
        <v>0</v>
      </c>
      <c r="I2989" s="99" t="n">
        <f aca="false">IF(6&gt;Hold_Yrs,0,H2080+H1171+H1474+H1777+H2383+H1474*Prepay_Pen+IF(6=Hold_Yrs,$C2686,0))</f>
        <v>0</v>
      </c>
      <c r="J2989" s="99" t="n">
        <f aca="false">IF(7&gt;Hold_Yrs,0,I2080+I1171+I1474+I1777+I2383+I1474*Prepay_Pen+IF(7=Hold_Yrs,$C2686,0))</f>
        <v>0</v>
      </c>
      <c r="K2989" s="99" t="n">
        <f aca="false">IF(8&gt;Hold_Yrs,0,J2080+J1171+J1474+J1777+J2383+J1474*Prepay_Pen+IF(8=Hold_Yrs,$C2686,0))</f>
        <v>0</v>
      </c>
      <c r="L2989" s="99" t="n">
        <f aca="false">IF(9&gt;Hold_Yrs,0,K2080+K1171+K1474+K1777+K2383+K1474*Prepay_Pen+IF(9=Hold_Yrs,$C2686,0))</f>
        <v>0</v>
      </c>
      <c r="M2989" s="99" t="n">
        <f aca="false">IF(10&gt;Hold_Yrs,0,L2080+L1171+L1474+L1777+L2383+L1474*Prepay_Pen+IF(10=Hold_Yrs,$C2686,0))</f>
        <v>0</v>
      </c>
    </row>
    <row r="2990" customFormat="false" ht="15" hidden="false" customHeight="false" outlineLevel="0" collapsed="false">
      <c r="B2990" s="108" t="n">
        <f aca="false">'Loan Tape'!$A259</f>
        <v>0</v>
      </c>
      <c r="C2990" s="71" t="n">
        <f aca="false">-'Loan Tape'!$BB259</f>
        <v>-0</v>
      </c>
      <c r="D2990" s="71" t="n">
        <f aca="false">IF(1&gt;Hold_Yrs,0,C2081+C1172+C1475+C1778+C2384+C1475*Prepay_Pen+IF(1=Hold_Yrs,$C2687,0))</f>
        <v>0</v>
      </c>
      <c r="E2990" s="71" t="n">
        <f aca="false">IF(2&gt;Hold_Yrs,0,D2081+D1172+D1475+D1778+D2384+D1475*Prepay_Pen+IF(2=Hold_Yrs,$C2687,0))</f>
        <v>0</v>
      </c>
      <c r="F2990" s="71" t="n">
        <f aca="false">IF(3&gt;Hold_Yrs,0,E2081+E1172+E1475+E1778+E2384+E1475*Prepay_Pen+IF(3=Hold_Yrs,$C2687,0))</f>
        <v>0</v>
      </c>
      <c r="G2990" s="71" t="n">
        <f aca="false">IF(4&gt;Hold_Yrs,0,F2081+F1172+F1475+F1778+F2384+F1475*Prepay_Pen+IF(4=Hold_Yrs,$C2687,0))</f>
        <v>0</v>
      </c>
      <c r="H2990" s="71" t="n">
        <f aca="false">IF(5&gt;Hold_Yrs,0,G2081+G1172+G1475+G1778+G2384+G1475*Prepay_Pen+IF(5=Hold_Yrs,$C2687,0))</f>
        <v>0</v>
      </c>
      <c r="I2990" s="71" t="n">
        <f aca="false">IF(6&gt;Hold_Yrs,0,H2081+H1172+H1475+H1778+H2384+H1475*Prepay_Pen+IF(6=Hold_Yrs,$C2687,0))</f>
        <v>0</v>
      </c>
      <c r="J2990" s="71" t="n">
        <f aca="false">IF(7&gt;Hold_Yrs,0,I2081+I1172+I1475+I1778+I2384+I1475*Prepay_Pen+IF(7=Hold_Yrs,$C2687,0))</f>
        <v>0</v>
      </c>
      <c r="K2990" s="71" t="n">
        <f aca="false">IF(8&gt;Hold_Yrs,0,J2081+J1172+J1475+J1778+J2384+J1475*Prepay_Pen+IF(8=Hold_Yrs,$C2687,0))</f>
        <v>0</v>
      </c>
      <c r="L2990" s="71" t="n">
        <f aca="false">IF(9&gt;Hold_Yrs,0,K2081+K1172+K1475+K1778+K2384+K1475*Prepay_Pen+IF(9=Hold_Yrs,$C2687,0))</f>
        <v>0</v>
      </c>
      <c r="M2990" s="71" t="n">
        <f aca="false">IF(10&gt;Hold_Yrs,0,L2081+L1172+L1475+L1778+L2384+L1475*Prepay_Pen+IF(10=Hold_Yrs,$C2687,0))</f>
        <v>0</v>
      </c>
    </row>
    <row r="2991" customFormat="false" ht="15" hidden="false" customHeight="false" outlineLevel="0" collapsed="false">
      <c r="B2991" s="102" t="n">
        <f aca="false">'Loan Tape'!$A260</f>
        <v>0</v>
      </c>
      <c r="C2991" s="99" t="n">
        <f aca="false">-'Loan Tape'!$BB260</f>
        <v>-0</v>
      </c>
      <c r="D2991" s="99" t="n">
        <f aca="false">IF(1&gt;Hold_Yrs,0,C2082+C1173+C1476+C1779+C2385+C1476*Prepay_Pen+IF(1=Hold_Yrs,$C2688,0))</f>
        <v>0</v>
      </c>
      <c r="E2991" s="99" t="n">
        <f aca="false">IF(2&gt;Hold_Yrs,0,D2082+D1173+D1476+D1779+D2385+D1476*Prepay_Pen+IF(2=Hold_Yrs,$C2688,0))</f>
        <v>0</v>
      </c>
      <c r="F2991" s="99" t="n">
        <f aca="false">IF(3&gt;Hold_Yrs,0,E2082+E1173+E1476+E1779+E2385+E1476*Prepay_Pen+IF(3=Hold_Yrs,$C2688,0))</f>
        <v>0</v>
      </c>
      <c r="G2991" s="99" t="n">
        <f aca="false">IF(4&gt;Hold_Yrs,0,F2082+F1173+F1476+F1779+F2385+F1476*Prepay_Pen+IF(4=Hold_Yrs,$C2688,0))</f>
        <v>0</v>
      </c>
      <c r="H2991" s="99" t="n">
        <f aca="false">IF(5&gt;Hold_Yrs,0,G2082+G1173+G1476+G1779+G2385+G1476*Prepay_Pen+IF(5=Hold_Yrs,$C2688,0))</f>
        <v>0</v>
      </c>
      <c r="I2991" s="99" t="n">
        <f aca="false">IF(6&gt;Hold_Yrs,0,H2082+H1173+H1476+H1779+H2385+H1476*Prepay_Pen+IF(6=Hold_Yrs,$C2688,0))</f>
        <v>0</v>
      </c>
      <c r="J2991" s="99" t="n">
        <f aca="false">IF(7&gt;Hold_Yrs,0,I2082+I1173+I1476+I1779+I2385+I1476*Prepay_Pen+IF(7=Hold_Yrs,$C2688,0))</f>
        <v>0</v>
      </c>
      <c r="K2991" s="99" t="n">
        <f aca="false">IF(8&gt;Hold_Yrs,0,J2082+J1173+J1476+J1779+J2385+J1476*Prepay_Pen+IF(8=Hold_Yrs,$C2688,0))</f>
        <v>0</v>
      </c>
      <c r="L2991" s="99" t="n">
        <f aca="false">IF(9&gt;Hold_Yrs,0,K2082+K1173+K1476+K1779+K2385+K1476*Prepay_Pen+IF(9=Hold_Yrs,$C2688,0))</f>
        <v>0</v>
      </c>
      <c r="M2991" s="99" t="n">
        <f aca="false">IF(10&gt;Hold_Yrs,0,L2082+L1173+L1476+L1779+L2385+L1476*Prepay_Pen+IF(10=Hold_Yrs,$C2688,0))</f>
        <v>0</v>
      </c>
    </row>
    <row r="2992" customFormat="false" ht="15" hidden="false" customHeight="false" outlineLevel="0" collapsed="false">
      <c r="B2992" s="108" t="n">
        <f aca="false">'Loan Tape'!$A261</f>
        <v>0</v>
      </c>
      <c r="C2992" s="71" t="n">
        <f aca="false">-'Loan Tape'!$BB261</f>
        <v>-0</v>
      </c>
      <c r="D2992" s="71" t="n">
        <f aca="false">IF(1&gt;Hold_Yrs,0,C2083+C1174+C1477+C1780+C2386+C1477*Prepay_Pen+IF(1=Hold_Yrs,$C2689,0))</f>
        <v>0</v>
      </c>
      <c r="E2992" s="71" t="n">
        <f aca="false">IF(2&gt;Hold_Yrs,0,D2083+D1174+D1477+D1780+D2386+D1477*Prepay_Pen+IF(2=Hold_Yrs,$C2689,0))</f>
        <v>0</v>
      </c>
      <c r="F2992" s="71" t="n">
        <f aca="false">IF(3&gt;Hold_Yrs,0,E2083+E1174+E1477+E1780+E2386+E1477*Prepay_Pen+IF(3=Hold_Yrs,$C2689,0))</f>
        <v>0</v>
      </c>
      <c r="G2992" s="71" t="n">
        <f aca="false">IF(4&gt;Hold_Yrs,0,F2083+F1174+F1477+F1780+F2386+F1477*Prepay_Pen+IF(4=Hold_Yrs,$C2689,0))</f>
        <v>0</v>
      </c>
      <c r="H2992" s="71" t="n">
        <f aca="false">IF(5&gt;Hold_Yrs,0,G2083+G1174+G1477+G1780+G2386+G1477*Prepay_Pen+IF(5=Hold_Yrs,$C2689,0))</f>
        <v>0</v>
      </c>
      <c r="I2992" s="71" t="n">
        <f aca="false">IF(6&gt;Hold_Yrs,0,H2083+H1174+H1477+H1780+H2386+H1477*Prepay_Pen+IF(6=Hold_Yrs,$C2689,0))</f>
        <v>0</v>
      </c>
      <c r="J2992" s="71" t="n">
        <f aca="false">IF(7&gt;Hold_Yrs,0,I2083+I1174+I1477+I1780+I2386+I1477*Prepay_Pen+IF(7=Hold_Yrs,$C2689,0))</f>
        <v>0</v>
      </c>
      <c r="K2992" s="71" t="n">
        <f aca="false">IF(8&gt;Hold_Yrs,0,J2083+J1174+J1477+J1780+J2386+J1477*Prepay_Pen+IF(8=Hold_Yrs,$C2689,0))</f>
        <v>0</v>
      </c>
      <c r="L2992" s="71" t="n">
        <f aca="false">IF(9&gt;Hold_Yrs,0,K2083+K1174+K1477+K1780+K2386+K1477*Prepay_Pen+IF(9=Hold_Yrs,$C2689,0))</f>
        <v>0</v>
      </c>
      <c r="M2992" s="71" t="n">
        <f aca="false">IF(10&gt;Hold_Yrs,0,L2083+L1174+L1477+L1780+L2386+L1477*Prepay_Pen+IF(10=Hold_Yrs,$C2689,0))</f>
        <v>0</v>
      </c>
    </row>
    <row r="2993" customFormat="false" ht="15" hidden="false" customHeight="false" outlineLevel="0" collapsed="false">
      <c r="B2993" s="102" t="n">
        <f aca="false">'Loan Tape'!$A262</f>
        <v>0</v>
      </c>
      <c r="C2993" s="99" t="n">
        <f aca="false">-'Loan Tape'!$BB262</f>
        <v>-0</v>
      </c>
      <c r="D2993" s="99" t="n">
        <f aca="false">IF(1&gt;Hold_Yrs,0,C2084+C1175+C1478+C1781+C2387+C1478*Prepay_Pen+IF(1=Hold_Yrs,$C2690,0))</f>
        <v>0</v>
      </c>
      <c r="E2993" s="99" t="n">
        <f aca="false">IF(2&gt;Hold_Yrs,0,D2084+D1175+D1478+D1781+D2387+D1478*Prepay_Pen+IF(2=Hold_Yrs,$C2690,0))</f>
        <v>0</v>
      </c>
      <c r="F2993" s="99" t="n">
        <f aca="false">IF(3&gt;Hold_Yrs,0,E2084+E1175+E1478+E1781+E2387+E1478*Prepay_Pen+IF(3=Hold_Yrs,$C2690,0))</f>
        <v>0</v>
      </c>
      <c r="G2993" s="99" t="n">
        <f aca="false">IF(4&gt;Hold_Yrs,0,F2084+F1175+F1478+F1781+F2387+F1478*Prepay_Pen+IF(4=Hold_Yrs,$C2690,0))</f>
        <v>0</v>
      </c>
      <c r="H2993" s="99" t="n">
        <f aca="false">IF(5&gt;Hold_Yrs,0,G2084+G1175+G1478+G1781+G2387+G1478*Prepay_Pen+IF(5=Hold_Yrs,$C2690,0))</f>
        <v>0</v>
      </c>
      <c r="I2993" s="99" t="n">
        <f aca="false">IF(6&gt;Hold_Yrs,0,H2084+H1175+H1478+H1781+H2387+H1478*Prepay_Pen+IF(6=Hold_Yrs,$C2690,0))</f>
        <v>0</v>
      </c>
      <c r="J2993" s="99" t="n">
        <f aca="false">IF(7&gt;Hold_Yrs,0,I2084+I1175+I1478+I1781+I2387+I1478*Prepay_Pen+IF(7=Hold_Yrs,$C2690,0))</f>
        <v>0</v>
      </c>
      <c r="K2993" s="99" t="n">
        <f aca="false">IF(8&gt;Hold_Yrs,0,J2084+J1175+J1478+J1781+J2387+J1478*Prepay_Pen+IF(8=Hold_Yrs,$C2690,0))</f>
        <v>0</v>
      </c>
      <c r="L2993" s="99" t="n">
        <f aca="false">IF(9&gt;Hold_Yrs,0,K2084+K1175+K1478+K1781+K2387+K1478*Prepay_Pen+IF(9=Hold_Yrs,$C2690,0))</f>
        <v>0</v>
      </c>
      <c r="M2993" s="99" t="n">
        <f aca="false">IF(10&gt;Hold_Yrs,0,L2084+L1175+L1478+L1781+L2387+L1478*Prepay_Pen+IF(10=Hold_Yrs,$C2690,0))</f>
        <v>0</v>
      </c>
    </row>
    <row r="2994" customFormat="false" ht="15" hidden="false" customHeight="false" outlineLevel="0" collapsed="false">
      <c r="B2994" s="108" t="n">
        <f aca="false">'Loan Tape'!$A263</f>
        <v>0</v>
      </c>
      <c r="C2994" s="71" t="n">
        <f aca="false">-'Loan Tape'!$BB263</f>
        <v>-0</v>
      </c>
      <c r="D2994" s="71" t="n">
        <f aca="false">IF(1&gt;Hold_Yrs,0,C2085+C1176+C1479+C1782+C2388+C1479*Prepay_Pen+IF(1=Hold_Yrs,$C2691,0))</f>
        <v>0</v>
      </c>
      <c r="E2994" s="71" t="n">
        <f aca="false">IF(2&gt;Hold_Yrs,0,D2085+D1176+D1479+D1782+D2388+D1479*Prepay_Pen+IF(2=Hold_Yrs,$C2691,0))</f>
        <v>0</v>
      </c>
      <c r="F2994" s="71" t="n">
        <f aca="false">IF(3&gt;Hold_Yrs,0,E2085+E1176+E1479+E1782+E2388+E1479*Prepay_Pen+IF(3=Hold_Yrs,$C2691,0))</f>
        <v>0</v>
      </c>
      <c r="G2994" s="71" t="n">
        <f aca="false">IF(4&gt;Hold_Yrs,0,F2085+F1176+F1479+F1782+F2388+F1479*Prepay_Pen+IF(4=Hold_Yrs,$C2691,0))</f>
        <v>0</v>
      </c>
      <c r="H2994" s="71" t="n">
        <f aca="false">IF(5&gt;Hold_Yrs,0,G2085+G1176+G1479+G1782+G2388+G1479*Prepay_Pen+IF(5=Hold_Yrs,$C2691,0))</f>
        <v>0</v>
      </c>
      <c r="I2994" s="71" t="n">
        <f aca="false">IF(6&gt;Hold_Yrs,0,H2085+H1176+H1479+H1782+H2388+H1479*Prepay_Pen+IF(6=Hold_Yrs,$C2691,0))</f>
        <v>0</v>
      </c>
      <c r="J2994" s="71" t="n">
        <f aca="false">IF(7&gt;Hold_Yrs,0,I2085+I1176+I1479+I1782+I2388+I1479*Prepay_Pen+IF(7=Hold_Yrs,$C2691,0))</f>
        <v>0</v>
      </c>
      <c r="K2994" s="71" t="n">
        <f aca="false">IF(8&gt;Hold_Yrs,0,J2085+J1176+J1479+J1782+J2388+J1479*Prepay_Pen+IF(8=Hold_Yrs,$C2691,0))</f>
        <v>0</v>
      </c>
      <c r="L2994" s="71" t="n">
        <f aca="false">IF(9&gt;Hold_Yrs,0,K2085+K1176+K1479+K1782+K2388+K1479*Prepay_Pen+IF(9=Hold_Yrs,$C2691,0))</f>
        <v>0</v>
      </c>
      <c r="M2994" s="71" t="n">
        <f aca="false">IF(10&gt;Hold_Yrs,0,L2085+L1176+L1479+L1782+L2388+L1479*Prepay_Pen+IF(10=Hold_Yrs,$C2691,0))</f>
        <v>0</v>
      </c>
    </row>
    <row r="2995" customFormat="false" ht="15" hidden="false" customHeight="false" outlineLevel="0" collapsed="false">
      <c r="B2995" s="102" t="n">
        <f aca="false">'Loan Tape'!$A264</f>
        <v>0</v>
      </c>
      <c r="C2995" s="99" t="n">
        <f aca="false">-'Loan Tape'!$BB264</f>
        <v>-0</v>
      </c>
      <c r="D2995" s="99" t="n">
        <f aca="false">IF(1&gt;Hold_Yrs,0,C2086+C1177+C1480+C1783+C2389+C1480*Prepay_Pen+IF(1=Hold_Yrs,$C2692,0))</f>
        <v>0</v>
      </c>
      <c r="E2995" s="99" t="n">
        <f aca="false">IF(2&gt;Hold_Yrs,0,D2086+D1177+D1480+D1783+D2389+D1480*Prepay_Pen+IF(2=Hold_Yrs,$C2692,0))</f>
        <v>0</v>
      </c>
      <c r="F2995" s="99" t="n">
        <f aca="false">IF(3&gt;Hold_Yrs,0,E2086+E1177+E1480+E1783+E2389+E1480*Prepay_Pen+IF(3=Hold_Yrs,$C2692,0))</f>
        <v>0</v>
      </c>
      <c r="G2995" s="99" t="n">
        <f aca="false">IF(4&gt;Hold_Yrs,0,F2086+F1177+F1480+F1783+F2389+F1480*Prepay_Pen+IF(4=Hold_Yrs,$C2692,0))</f>
        <v>0</v>
      </c>
      <c r="H2995" s="99" t="n">
        <f aca="false">IF(5&gt;Hold_Yrs,0,G2086+G1177+G1480+G1783+G2389+G1480*Prepay_Pen+IF(5=Hold_Yrs,$C2692,0))</f>
        <v>0</v>
      </c>
      <c r="I2995" s="99" t="n">
        <f aca="false">IF(6&gt;Hold_Yrs,0,H2086+H1177+H1480+H1783+H2389+H1480*Prepay_Pen+IF(6=Hold_Yrs,$C2692,0))</f>
        <v>0</v>
      </c>
      <c r="J2995" s="99" t="n">
        <f aca="false">IF(7&gt;Hold_Yrs,0,I2086+I1177+I1480+I1783+I2389+I1480*Prepay_Pen+IF(7=Hold_Yrs,$C2692,0))</f>
        <v>0</v>
      </c>
      <c r="K2995" s="99" t="n">
        <f aca="false">IF(8&gt;Hold_Yrs,0,J2086+J1177+J1480+J1783+J2389+J1480*Prepay_Pen+IF(8=Hold_Yrs,$C2692,0))</f>
        <v>0</v>
      </c>
      <c r="L2995" s="99" t="n">
        <f aca="false">IF(9&gt;Hold_Yrs,0,K2086+K1177+K1480+K1783+K2389+K1480*Prepay_Pen+IF(9=Hold_Yrs,$C2692,0))</f>
        <v>0</v>
      </c>
      <c r="M2995" s="99" t="n">
        <f aca="false">IF(10&gt;Hold_Yrs,0,L2086+L1177+L1480+L1783+L2389+L1480*Prepay_Pen+IF(10=Hold_Yrs,$C2692,0))</f>
        <v>0</v>
      </c>
    </row>
    <row r="2996" customFormat="false" ht="15" hidden="false" customHeight="false" outlineLevel="0" collapsed="false">
      <c r="B2996" s="108" t="n">
        <f aca="false">'Loan Tape'!$A265</f>
        <v>0</v>
      </c>
      <c r="C2996" s="71" t="n">
        <f aca="false">-'Loan Tape'!$BB265</f>
        <v>-0</v>
      </c>
      <c r="D2996" s="71" t="n">
        <f aca="false">IF(1&gt;Hold_Yrs,0,C2087+C1178+C1481+C1784+C2390+C1481*Prepay_Pen+IF(1=Hold_Yrs,$C2693,0))</f>
        <v>0</v>
      </c>
      <c r="E2996" s="71" t="n">
        <f aca="false">IF(2&gt;Hold_Yrs,0,D2087+D1178+D1481+D1784+D2390+D1481*Prepay_Pen+IF(2=Hold_Yrs,$C2693,0))</f>
        <v>0</v>
      </c>
      <c r="F2996" s="71" t="n">
        <f aca="false">IF(3&gt;Hold_Yrs,0,E2087+E1178+E1481+E1784+E2390+E1481*Prepay_Pen+IF(3=Hold_Yrs,$C2693,0))</f>
        <v>0</v>
      </c>
      <c r="G2996" s="71" t="n">
        <f aca="false">IF(4&gt;Hold_Yrs,0,F2087+F1178+F1481+F1784+F2390+F1481*Prepay_Pen+IF(4=Hold_Yrs,$C2693,0))</f>
        <v>0</v>
      </c>
      <c r="H2996" s="71" t="n">
        <f aca="false">IF(5&gt;Hold_Yrs,0,G2087+G1178+G1481+G1784+G2390+G1481*Prepay_Pen+IF(5=Hold_Yrs,$C2693,0))</f>
        <v>0</v>
      </c>
      <c r="I2996" s="71" t="n">
        <f aca="false">IF(6&gt;Hold_Yrs,0,H2087+H1178+H1481+H1784+H2390+H1481*Prepay_Pen+IF(6=Hold_Yrs,$C2693,0))</f>
        <v>0</v>
      </c>
      <c r="J2996" s="71" t="n">
        <f aca="false">IF(7&gt;Hold_Yrs,0,I2087+I1178+I1481+I1784+I2390+I1481*Prepay_Pen+IF(7=Hold_Yrs,$C2693,0))</f>
        <v>0</v>
      </c>
      <c r="K2996" s="71" t="n">
        <f aca="false">IF(8&gt;Hold_Yrs,0,J2087+J1178+J1481+J1784+J2390+J1481*Prepay_Pen+IF(8=Hold_Yrs,$C2693,0))</f>
        <v>0</v>
      </c>
      <c r="L2996" s="71" t="n">
        <f aca="false">IF(9&gt;Hold_Yrs,0,K2087+K1178+K1481+K1784+K2390+K1481*Prepay_Pen+IF(9=Hold_Yrs,$C2693,0))</f>
        <v>0</v>
      </c>
      <c r="M2996" s="71" t="n">
        <f aca="false">IF(10&gt;Hold_Yrs,0,L2087+L1178+L1481+L1784+L2390+L1481*Prepay_Pen+IF(10=Hold_Yrs,$C2693,0))</f>
        <v>0</v>
      </c>
    </row>
    <row r="2997" customFormat="false" ht="15" hidden="false" customHeight="false" outlineLevel="0" collapsed="false">
      <c r="B2997" s="102" t="n">
        <f aca="false">'Loan Tape'!$A266</f>
        <v>0</v>
      </c>
      <c r="C2997" s="99" t="n">
        <f aca="false">-'Loan Tape'!$BB266</f>
        <v>-0</v>
      </c>
      <c r="D2997" s="99" t="n">
        <f aca="false">IF(1&gt;Hold_Yrs,0,C2088+C1179+C1482+C1785+C2391+C1482*Prepay_Pen+IF(1=Hold_Yrs,$C2694,0))</f>
        <v>0</v>
      </c>
      <c r="E2997" s="99" t="n">
        <f aca="false">IF(2&gt;Hold_Yrs,0,D2088+D1179+D1482+D1785+D2391+D1482*Prepay_Pen+IF(2=Hold_Yrs,$C2694,0))</f>
        <v>0</v>
      </c>
      <c r="F2997" s="99" t="n">
        <f aca="false">IF(3&gt;Hold_Yrs,0,E2088+E1179+E1482+E1785+E2391+E1482*Prepay_Pen+IF(3=Hold_Yrs,$C2694,0))</f>
        <v>0</v>
      </c>
      <c r="G2997" s="99" t="n">
        <f aca="false">IF(4&gt;Hold_Yrs,0,F2088+F1179+F1482+F1785+F2391+F1482*Prepay_Pen+IF(4=Hold_Yrs,$C2694,0))</f>
        <v>0</v>
      </c>
      <c r="H2997" s="99" t="n">
        <f aca="false">IF(5&gt;Hold_Yrs,0,G2088+G1179+G1482+G1785+G2391+G1482*Prepay_Pen+IF(5=Hold_Yrs,$C2694,0))</f>
        <v>0</v>
      </c>
      <c r="I2997" s="99" t="n">
        <f aca="false">IF(6&gt;Hold_Yrs,0,H2088+H1179+H1482+H1785+H2391+H1482*Prepay_Pen+IF(6=Hold_Yrs,$C2694,0))</f>
        <v>0</v>
      </c>
      <c r="J2997" s="99" t="n">
        <f aca="false">IF(7&gt;Hold_Yrs,0,I2088+I1179+I1482+I1785+I2391+I1482*Prepay_Pen+IF(7=Hold_Yrs,$C2694,0))</f>
        <v>0</v>
      </c>
      <c r="K2997" s="99" t="n">
        <f aca="false">IF(8&gt;Hold_Yrs,0,J2088+J1179+J1482+J1785+J2391+J1482*Prepay_Pen+IF(8=Hold_Yrs,$C2694,0))</f>
        <v>0</v>
      </c>
      <c r="L2997" s="99" t="n">
        <f aca="false">IF(9&gt;Hold_Yrs,0,K2088+K1179+K1482+K1785+K2391+K1482*Prepay_Pen+IF(9=Hold_Yrs,$C2694,0))</f>
        <v>0</v>
      </c>
      <c r="M2997" s="99" t="n">
        <f aca="false">IF(10&gt;Hold_Yrs,0,L2088+L1179+L1482+L1785+L2391+L1482*Prepay_Pen+IF(10=Hold_Yrs,$C2694,0))</f>
        <v>0</v>
      </c>
    </row>
    <row r="2998" customFormat="false" ht="15" hidden="false" customHeight="false" outlineLevel="0" collapsed="false">
      <c r="B2998" s="108" t="n">
        <f aca="false">'Loan Tape'!$A267</f>
        <v>0</v>
      </c>
      <c r="C2998" s="71" t="n">
        <f aca="false">-'Loan Tape'!$BB267</f>
        <v>-0</v>
      </c>
      <c r="D2998" s="71" t="n">
        <f aca="false">IF(1&gt;Hold_Yrs,0,C2089+C1180+C1483+C1786+C2392+C1483*Prepay_Pen+IF(1=Hold_Yrs,$C2695,0))</f>
        <v>0</v>
      </c>
      <c r="E2998" s="71" t="n">
        <f aca="false">IF(2&gt;Hold_Yrs,0,D2089+D1180+D1483+D1786+D2392+D1483*Prepay_Pen+IF(2=Hold_Yrs,$C2695,0))</f>
        <v>0</v>
      </c>
      <c r="F2998" s="71" t="n">
        <f aca="false">IF(3&gt;Hold_Yrs,0,E2089+E1180+E1483+E1786+E2392+E1483*Prepay_Pen+IF(3=Hold_Yrs,$C2695,0))</f>
        <v>0</v>
      </c>
      <c r="G2998" s="71" t="n">
        <f aca="false">IF(4&gt;Hold_Yrs,0,F2089+F1180+F1483+F1786+F2392+F1483*Prepay_Pen+IF(4=Hold_Yrs,$C2695,0))</f>
        <v>0</v>
      </c>
      <c r="H2998" s="71" t="n">
        <f aca="false">IF(5&gt;Hold_Yrs,0,G2089+G1180+G1483+G1786+G2392+G1483*Prepay_Pen+IF(5=Hold_Yrs,$C2695,0))</f>
        <v>0</v>
      </c>
      <c r="I2998" s="71" t="n">
        <f aca="false">IF(6&gt;Hold_Yrs,0,H2089+H1180+H1483+H1786+H2392+H1483*Prepay_Pen+IF(6=Hold_Yrs,$C2695,0))</f>
        <v>0</v>
      </c>
      <c r="J2998" s="71" t="n">
        <f aca="false">IF(7&gt;Hold_Yrs,0,I2089+I1180+I1483+I1786+I2392+I1483*Prepay_Pen+IF(7=Hold_Yrs,$C2695,0))</f>
        <v>0</v>
      </c>
      <c r="K2998" s="71" t="n">
        <f aca="false">IF(8&gt;Hold_Yrs,0,J2089+J1180+J1483+J1786+J2392+J1483*Prepay_Pen+IF(8=Hold_Yrs,$C2695,0))</f>
        <v>0</v>
      </c>
      <c r="L2998" s="71" t="n">
        <f aca="false">IF(9&gt;Hold_Yrs,0,K2089+K1180+K1483+K1786+K2392+K1483*Prepay_Pen+IF(9=Hold_Yrs,$C2695,0))</f>
        <v>0</v>
      </c>
      <c r="M2998" s="71" t="n">
        <f aca="false">IF(10&gt;Hold_Yrs,0,L2089+L1180+L1483+L1786+L2392+L1483*Prepay_Pen+IF(10=Hold_Yrs,$C2695,0))</f>
        <v>0</v>
      </c>
    </row>
    <row r="2999" customFormat="false" ht="15" hidden="false" customHeight="false" outlineLevel="0" collapsed="false">
      <c r="B2999" s="102" t="n">
        <f aca="false">'Loan Tape'!$A268</f>
        <v>0</v>
      </c>
      <c r="C2999" s="99" t="n">
        <f aca="false">-'Loan Tape'!$BB268</f>
        <v>-0</v>
      </c>
      <c r="D2999" s="99" t="n">
        <f aca="false">IF(1&gt;Hold_Yrs,0,C2090+C1181+C1484+C1787+C2393+C1484*Prepay_Pen+IF(1=Hold_Yrs,$C2696,0))</f>
        <v>0</v>
      </c>
      <c r="E2999" s="99" t="n">
        <f aca="false">IF(2&gt;Hold_Yrs,0,D2090+D1181+D1484+D1787+D2393+D1484*Prepay_Pen+IF(2=Hold_Yrs,$C2696,0))</f>
        <v>0</v>
      </c>
      <c r="F2999" s="99" t="n">
        <f aca="false">IF(3&gt;Hold_Yrs,0,E2090+E1181+E1484+E1787+E2393+E1484*Prepay_Pen+IF(3=Hold_Yrs,$C2696,0))</f>
        <v>0</v>
      </c>
      <c r="G2999" s="99" t="n">
        <f aca="false">IF(4&gt;Hold_Yrs,0,F2090+F1181+F1484+F1787+F2393+F1484*Prepay_Pen+IF(4=Hold_Yrs,$C2696,0))</f>
        <v>0</v>
      </c>
      <c r="H2999" s="99" t="n">
        <f aca="false">IF(5&gt;Hold_Yrs,0,G2090+G1181+G1484+G1787+G2393+G1484*Prepay_Pen+IF(5=Hold_Yrs,$C2696,0))</f>
        <v>0</v>
      </c>
      <c r="I2999" s="99" t="n">
        <f aca="false">IF(6&gt;Hold_Yrs,0,H2090+H1181+H1484+H1787+H2393+H1484*Prepay_Pen+IF(6=Hold_Yrs,$C2696,0))</f>
        <v>0</v>
      </c>
      <c r="J2999" s="99" t="n">
        <f aca="false">IF(7&gt;Hold_Yrs,0,I2090+I1181+I1484+I1787+I2393+I1484*Prepay_Pen+IF(7=Hold_Yrs,$C2696,0))</f>
        <v>0</v>
      </c>
      <c r="K2999" s="99" t="n">
        <f aca="false">IF(8&gt;Hold_Yrs,0,J2090+J1181+J1484+J1787+J2393+J1484*Prepay_Pen+IF(8=Hold_Yrs,$C2696,0))</f>
        <v>0</v>
      </c>
      <c r="L2999" s="99" t="n">
        <f aca="false">IF(9&gt;Hold_Yrs,0,K2090+K1181+K1484+K1787+K2393+K1484*Prepay_Pen+IF(9=Hold_Yrs,$C2696,0))</f>
        <v>0</v>
      </c>
      <c r="M2999" s="99" t="n">
        <f aca="false">IF(10&gt;Hold_Yrs,0,L2090+L1181+L1484+L1787+L2393+L1484*Prepay_Pen+IF(10=Hold_Yrs,$C2696,0))</f>
        <v>0</v>
      </c>
    </row>
    <row r="3000" customFormat="false" ht="15" hidden="false" customHeight="false" outlineLevel="0" collapsed="false">
      <c r="B3000" s="108" t="n">
        <f aca="false">'Loan Tape'!$A269</f>
        <v>0</v>
      </c>
      <c r="C3000" s="71" t="n">
        <f aca="false">-'Loan Tape'!$BB269</f>
        <v>-0</v>
      </c>
      <c r="D3000" s="71" t="n">
        <f aca="false">IF(1&gt;Hold_Yrs,0,C2091+C1182+C1485+C1788+C2394+C1485*Prepay_Pen+IF(1=Hold_Yrs,$C2697,0))</f>
        <v>0</v>
      </c>
      <c r="E3000" s="71" t="n">
        <f aca="false">IF(2&gt;Hold_Yrs,0,D2091+D1182+D1485+D1788+D2394+D1485*Prepay_Pen+IF(2=Hold_Yrs,$C2697,0))</f>
        <v>0</v>
      </c>
      <c r="F3000" s="71" t="n">
        <f aca="false">IF(3&gt;Hold_Yrs,0,E2091+E1182+E1485+E1788+E2394+E1485*Prepay_Pen+IF(3=Hold_Yrs,$C2697,0))</f>
        <v>0</v>
      </c>
      <c r="G3000" s="71" t="n">
        <f aca="false">IF(4&gt;Hold_Yrs,0,F2091+F1182+F1485+F1788+F2394+F1485*Prepay_Pen+IF(4=Hold_Yrs,$C2697,0))</f>
        <v>0</v>
      </c>
      <c r="H3000" s="71" t="n">
        <f aca="false">IF(5&gt;Hold_Yrs,0,G2091+G1182+G1485+G1788+G2394+G1485*Prepay_Pen+IF(5=Hold_Yrs,$C2697,0))</f>
        <v>0</v>
      </c>
      <c r="I3000" s="71" t="n">
        <f aca="false">IF(6&gt;Hold_Yrs,0,H2091+H1182+H1485+H1788+H2394+H1485*Prepay_Pen+IF(6=Hold_Yrs,$C2697,0))</f>
        <v>0</v>
      </c>
      <c r="J3000" s="71" t="n">
        <f aca="false">IF(7&gt;Hold_Yrs,0,I2091+I1182+I1485+I1788+I2394+I1485*Prepay_Pen+IF(7=Hold_Yrs,$C2697,0))</f>
        <v>0</v>
      </c>
      <c r="K3000" s="71" t="n">
        <f aca="false">IF(8&gt;Hold_Yrs,0,J2091+J1182+J1485+J1788+J2394+J1485*Prepay_Pen+IF(8=Hold_Yrs,$C2697,0))</f>
        <v>0</v>
      </c>
      <c r="L3000" s="71" t="n">
        <f aca="false">IF(9&gt;Hold_Yrs,0,K2091+K1182+K1485+K1788+K2394+K1485*Prepay_Pen+IF(9=Hold_Yrs,$C2697,0))</f>
        <v>0</v>
      </c>
      <c r="M3000" s="71" t="n">
        <f aca="false">IF(10&gt;Hold_Yrs,0,L2091+L1182+L1485+L1788+L2394+L1485*Prepay_Pen+IF(10=Hold_Yrs,$C2697,0))</f>
        <v>0</v>
      </c>
    </row>
    <row r="3001" customFormat="false" ht="15" hidden="false" customHeight="false" outlineLevel="0" collapsed="false">
      <c r="B3001" s="102" t="n">
        <f aca="false">'Loan Tape'!$A270</f>
        <v>0</v>
      </c>
      <c r="C3001" s="99" t="n">
        <f aca="false">-'Loan Tape'!$BB270</f>
        <v>-0</v>
      </c>
      <c r="D3001" s="99" t="n">
        <f aca="false">IF(1&gt;Hold_Yrs,0,C2092+C1183+C1486+C1789+C2395+C1486*Prepay_Pen+IF(1=Hold_Yrs,$C2698,0))</f>
        <v>0</v>
      </c>
      <c r="E3001" s="99" t="n">
        <f aca="false">IF(2&gt;Hold_Yrs,0,D2092+D1183+D1486+D1789+D2395+D1486*Prepay_Pen+IF(2=Hold_Yrs,$C2698,0))</f>
        <v>0</v>
      </c>
      <c r="F3001" s="99" t="n">
        <f aca="false">IF(3&gt;Hold_Yrs,0,E2092+E1183+E1486+E1789+E2395+E1486*Prepay_Pen+IF(3=Hold_Yrs,$C2698,0))</f>
        <v>0</v>
      </c>
      <c r="G3001" s="99" t="n">
        <f aca="false">IF(4&gt;Hold_Yrs,0,F2092+F1183+F1486+F1789+F2395+F1486*Prepay_Pen+IF(4=Hold_Yrs,$C2698,0))</f>
        <v>0</v>
      </c>
      <c r="H3001" s="99" t="n">
        <f aca="false">IF(5&gt;Hold_Yrs,0,G2092+G1183+G1486+G1789+G2395+G1486*Prepay_Pen+IF(5=Hold_Yrs,$C2698,0))</f>
        <v>0</v>
      </c>
      <c r="I3001" s="99" t="n">
        <f aca="false">IF(6&gt;Hold_Yrs,0,H2092+H1183+H1486+H1789+H2395+H1486*Prepay_Pen+IF(6=Hold_Yrs,$C2698,0))</f>
        <v>0</v>
      </c>
      <c r="J3001" s="99" t="n">
        <f aca="false">IF(7&gt;Hold_Yrs,0,I2092+I1183+I1486+I1789+I2395+I1486*Prepay_Pen+IF(7=Hold_Yrs,$C2698,0))</f>
        <v>0</v>
      </c>
      <c r="K3001" s="99" t="n">
        <f aca="false">IF(8&gt;Hold_Yrs,0,J2092+J1183+J1486+J1789+J2395+J1486*Prepay_Pen+IF(8=Hold_Yrs,$C2698,0))</f>
        <v>0</v>
      </c>
      <c r="L3001" s="99" t="n">
        <f aca="false">IF(9&gt;Hold_Yrs,0,K2092+K1183+K1486+K1789+K2395+K1486*Prepay_Pen+IF(9=Hold_Yrs,$C2698,0))</f>
        <v>0</v>
      </c>
      <c r="M3001" s="99" t="n">
        <f aca="false">IF(10&gt;Hold_Yrs,0,L2092+L1183+L1486+L1789+L2395+L1486*Prepay_Pen+IF(10=Hold_Yrs,$C2698,0))</f>
        <v>0</v>
      </c>
    </row>
    <row r="3002" customFormat="false" ht="15" hidden="false" customHeight="false" outlineLevel="0" collapsed="false">
      <c r="B3002" s="108" t="n">
        <f aca="false">'Loan Tape'!$A271</f>
        <v>0</v>
      </c>
      <c r="C3002" s="71" t="n">
        <f aca="false">-'Loan Tape'!$BB271</f>
        <v>-0</v>
      </c>
      <c r="D3002" s="71" t="n">
        <f aca="false">IF(1&gt;Hold_Yrs,0,C2093+C1184+C1487+C1790+C2396+C1487*Prepay_Pen+IF(1=Hold_Yrs,$C2699,0))</f>
        <v>0</v>
      </c>
      <c r="E3002" s="71" t="n">
        <f aca="false">IF(2&gt;Hold_Yrs,0,D2093+D1184+D1487+D1790+D2396+D1487*Prepay_Pen+IF(2=Hold_Yrs,$C2699,0))</f>
        <v>0</v>
      </c>
      <c r="F3002" s="71" t="n">
        <f aca="false">IF(3&gt;Hold_Yrs,0,E2093+E1184+E1487+E1790+E2396+E1487*Prepay_Pen+IF(3=Hold_Yrs,$C2699,0))</f>
        <v>0</v>
      </c>
      <c r="G3002" s="71" t="n">
        <f aca="false">IF(4&gt;Hold_Yrs,0,F2093+F1184+F1487+F1790+F2396+F1487*Prepay_Pen+IF(4=Hold_Yrs,$C2699,0))</f>
        <v>0</v>
      </c>
      <c r="H3002" s="71" t="n">
        <f aca="false">IF(5&gt;Hold_Yrs,0,G2093+G1184+G1487+G1790+G2396+G1487*Prepay_Pen+IF(5=Hold_Yrs,$C2699,0))</f>
        <v>0</v>
      </c>
      <c r="I3002" s="71" t="n">
        <f aca="false">IF(6&gt;Hold_Yrs,0,H2093+H1184+H1487+H1790+H2396+H1487*Prepay_Pen+IF(6=Hold_Yrs,$C2699,0))</f>
        <v>0</v>
      </c>
      <c r="J3002" s="71" t="n">
        <f aca="false">IF(7&gt;Hold_Yrs,0,I2093+I1184+I1487+I1790+I2396+I1487*Prepay_Pen+IF(7=Hold_Yrs,$C2699,0))</f>
        <v>0</v>
      </c>
      <c r="K3002" s="71" t="n">
        <f aca="false">IF(8&gt;Hold_Yrs,0,J2093+J1184+J1487+J1790+J2396+J1487*Prepay_Pen+IF(8=Hold_Yrs,$C2699,0))</f>
        <v>0</v>
      </c>
      <c r="L3002" s="71" t="n">
        <f aca="false">IF(9&gt;Hold_Yrs,0,K2093+K1184+K1487+K1790+K2396+K1487*Prepay_Pen+IF(9=Hold_Yrs,$C2699,0))</f>
        <v>0</v>
      </c>
      <c r="M3002" s="71" t="n">
        <f aca="false">IF(10&gt;Hold_Yrs,0,L2093+L1184+L1487+L1790+L2396+L1487*Prepay_Pen+IF(10=Hold_Yrs,$C2699,0))</f>
        <v>0</v>
      </c>
    </row>
    <row r="3003" customFormat="false" ht="15" hidden="false" customHeight="false" outlineLevel="0" collapsed="false">
      <c r="B3003" s="102" t="n">
        <f aca="false">'Loan Tape'!$A272</f>
        <v>0</v>
      </c>
      <c r="C3003" s="99" t="n">
        <f aca="false">-'Loan Tape'!$BB272</f>
        <v>-0</v>
      </c>
      <c r="D3003" s="99" t="n">
        <f aca="false">IF(1&gt;Hold_Yrs,0,C2094+C1185+C1488+C1791+C2397+C1488*Prepay_Pen+IF(1=Hold_Yrs,$C2700,0))</f>
        <v>0</v>
      </c>
      <c r="E3003" s="99" t="n">
        <f aca="false">IF(2&gt;Hold_Yrs,0,D2094+D1185+D1488+D1791+D2397+D1488*Prepay_Pen+IF(2=Hold_Yrs,$C2700,0))</f>
        <v>0</v>
      </c>
      <c r="F3003" s="99" t="n">
        <f aca="false">IF(3&gt;Hold_Yrs,0,E2094+E1185+E1488+E1791+E2397+E1488*Prepay_Pen+IF(3=Hold_Yrs,$C2700,0))</f>
        <v>0</v>
      </c>
      <c r="G3003" s="99" t="n">
        <f aca="false">IF(4&gt;Hold_Yrs,0,F2094+F1185+F1488+F1791+F2397+F1488*Prepay_Pen+IF(4=Hold_Yrs,$C2700,0))</f>
        <v>0</v>
      </c>
      <c r="H3003" s="99" t="n">
        <f aca="false">IF(5&gt;Hold_Yrs,0,G2094+G1185+G1488+G1791+G2397+G1488*Prepay_Pen+IF(5=Hold_Yrs,$C2700,0))</f>
        <v>0</v>
      </c>
      <c r="I3003" s="99" t="n">
        <f aca="false">IF(6&gt;Hold_Yrs,0,H2094+H1185+H1488+H1791+H2397+H1488*Prepay_Pen+IF(6=Hold_Yrs,$C2700,0))</f>
        <v>0</v>
      </c>
      <c r="J3003" s="99" t="n">
        <f aca="false">IF(7&gt;Hold_Yrs,0,I2094+I1185+I1488+I1791+I2397+I1488*Prepay_Pen+IF(7=Hold_Yrs,$C2700,0))</f>
        <v>0</v>
      </c>
      <c r="K3003" s="99" t="n">
        <f aca="false">IF(8&gt;Hold_Yrs,0,J2094+J1185+J1488+J1791+J2397+J1488*Prepay_Pen+IF(8=Hold_Yrs,$C2700,0))</f>
        <v>0</v>
      </c>
      <c r="L3003" s="99" t="n">
        <f aca="false">IF(9&gt;Hold_Yrs,0,K2094+K1185+K1488+K1791+K2397+K1488*Prepay_Pen+IF(9=Hold_Yrs,$C2700,0))</f>
        <v>0</v>
      </c>
      <c r="M3003" s="99" t="n">
        <f aca="false">IF(10&gt;Hold_Yrs,0,L2094+L1185+L1488+L1791+L2397+L1488*Prepay_Pen+IF(10=Hold_Yrs,$C2700,0))</f>
        <v>0</v>
      </c>
    </row>
    <row r="3004" customFormat="false" ht="15" hidden="false" customHeight="false" outlineLevel="0" collapsed="false">
      <c r="B3004" s="108" t="n">
        <f aca="false">'Loan Tape'!$A273</f>
        <v>0</v>
      </c>
      <c r="C3004" s="71" t="n">
        <f aca="false">-'Loan Tape'!$BB273</f>
        <v>-0</v>
      </c>
      <c r="D3004" s="71" t="n">
        <f aca="false">IF(1&gt;Hold_Yrs,0,C2095+C1186+C1489+C1792+C2398+C1489*Prepay_Pen+IF(1=Hold_Yrs,$C2701,0))</f>
        <v>0</v>
      </c>
      <c r="E3004" s="71" t="n">
        <f aca="false">IF(2&gt;Hold_Yrs,0,D2095+D1186+D1489+D1792+D2398+D1489*Prepay_Pen+IF(2=Hold_Yrs,$C2701,0))</f>
        <v>0</v>
      </c>
      <c r="F3004" s="71" t="n">
        <f aca="false">IF(3&gt;Hold_Yrs,0,E2095+E1186+E1489+E1792+E2398+E1489*Prepay_Pen+IF(3=Hold_Yrs,$C2701,0))</f>
        <v>0</v>
      </c>
      <c r="G3004" s="71" t="n">
        <f aca="false">IF(4&gt;Hold_Yrs,0,F2095+F1186+F1489+F1792+F2398+F1489*Prepay_Pen+IF(4=Hold_Yrs,$C2701,0))</f>
        <v>0</v>
      </c>
      <c r="H3004" s="71" t="n">
        <f aca="false">IF(5&gt;Hold_Yrs,0,G2095+G1186+G1489+G1792+G2398+G1489*Prepay_Pen+IF(5=Hold_Yrs,$C2701,0))</f>
        <v>0</v>
      </c>
      <c r="I3004" s="71" t="n">
        <f aca="false">IF(6&gt;Hold_Yrs,0,H2095+H1186+H1489+H1792+H2398+H1489*Prepay_Pen+IF(6=Hold_Yrs,$C2701,0))</f>
        <v>0</v>
      </c>
      <c r="J3004" s="71" t="n">
        <f aca="false">IF(7&gt;Hold_Yrs,0,I2095+I1186+I1489+I1792+I2398+I1489*Prepay_Pen+IF(7=Hold_Yrs,$C2701,0))</f>
        <v>0</v>
      </c>
      <c r="K3004" s="71" t="n">
        <f aca="false">IF(8&gt;Hold_Yrs,0,J2095+J1186+J1489+J1792+J2398+J1489*Prepay_Pen+IF(8=Hold_Yrs,$C2701,0))</f>
        <v>0</v>
      </c>
      <c r="L3004" s="71" t="n">
        <f aca="false">IF(9&gt;Hold_Yrs,0,K2095+K1186+K1489+K1792+K2398+K1489*Prepay_Pen+IF(9=Hold_Yrs,$C2701,0))</f>
        <v>0</v>
      </c>
      <c r="M3004" s="71" t="n">
        <f aca="false">IF(10&gt;Hold_Yrs,0,L2095+L1186+L1489+L1792+L2398+L1489*Prepay_Pen+IF(10=Hold_Yrs,$C2701,0))</f>
        <v>0</v>
      </c>
    </row>
    <row r="3005" customFormat="false" ht="15" hidden="false" customHeight="false" outlineLevel="0" collapsed="false">
      <c r="B3005" s="102" t="n">
        <f aca="false">'Loan Tape'!$A274</f>
        <v>0</v>
      </c>
      <c r="C3005" s="99" t="n">
        <f aca="false">-'Loan Tape'!$BB274</f>
        <v>-0</v>
      </c>
      <c r="D3005" s="99" t="n">
        <f aca="false">IF(1&gt;Hold_Yrs,0,C2096+C1187+C1490+C1793+C2399+C1490*Prepay_Pen+IF(1=Hold_Yrs,$C2702,0))</f>
        <v>0</v>
      </c>
      <c r="E3005" s="99" t="n">
        <f aca="false">IF(2&gt;Hold_Yrs,0,D2096+D1187+D1490+D1793+D2399+D1490*Prepay_Pen+IF(2=Hold_Yrs,$C2702,0))</f>
        <v>0</v>
      </c>
      <c r="F3005" s="99" t="n">
        <f aca="false">IF(3&gt;Hold_Yrs,0,E2096+E1187+E1490+E1793+E2399+E1490*Prepay_Pen+IF(3=Hold_Yrs,$C2702,0))</f>
        <v>0</v>
      </c>
      <c r="G3005" s="99" t="n">
        <f aca="false">IF(4&gt;Hold_Yrs,0,F2096+F1187+F1490+F1793+F2399+F1490*Prepay_Pen+IF(4=Hold_Yrs,$C2702,0))</f>
        <v>0</v>
      </c>
      <c r="H3005" s="99" t="n">
        <f aca="false">IF(5&gt;Hold_Yrs,0,G2096+G1187+G1490+G1793+G2399+G1490*Prepay_Pen+IF(5=Hold_Yrs,$C2702,0))</f>
        <v>0</v>
      </c>
      <c r="I3005" s="99" t="n">
        <f aca="false">IF(6&gt;Hold_Yrs,0,H2096+H1187+H1490+H1793+H2399+H1490*Prepay_Pen+IF(6=Hold_Yrs,$C2702,0))</f>
        <v>0</v>
      </c>
      <c r="J3005" s="99" t="n">
        <f aca="false">IF(7&gt;Hold_Yrs,0,I2096+I1187+I1490+I1793+I2399+I1490*Prepay_Pen+IF(7=Hold_Yrs,$C2702,0))</f>
        <v>0</v>
      </c>
      <c r="K3005" s="99" t="n">
        <f aca="false">IF(8&gt;Hold_Yrs,0,J2096+J1187+J1490+J1793+J2399+J1490*Prepay_Pen+IF(8=Hold_Yrs,$C2702,0))</f>
        <v>0</v>
      </c>
      <c r="L3005" s="99" t="n">
        <f aca="false">IF(9&gt;Hold_Yrs,0,K2096+K1187+K1490+K1793+K2399+K1490*Prepay_Pen+IF(9=Hold_Yrs,$C2702,0))</f>
        <v>0</v>
      </c>
      <c r="M3005" s="99" t="n">
        <f aca="false">IF(10&gt;Hold_Yrs,0,L2096+L1187+L1490+L1793+L2399+L1490*Prepay_Pen+IF(10=Hold_Yrs,$C2702,0))</f>
        <v>0</v>
      </c>
    </row>
    <row r="3006" customFormat="false" ht="15" hidden="false" customHeight="false" outlineLevel="0" collapsed="false">
      <c r="B3006" s="108" t="n">
        <f aca="false">'Loan Tape'!$A275</f>
        <v>0</v>
      </c>
      <c r="C3006" s="71" t="n">
        <f aca="false">-'Loan Tape'!$BB275</f>
        <v>-0</v>
      </c>
      <c r="D3006" s="71" t="n">
        <f aca="false">IF(1&gt;Hold_Yrs,0,C2097+C1188+C1491+C1794+C2400+C1491*Prepay_Pen+IF(1=Hold_Yrs,$C2703,0))</f>
        <v>0</v>
      </c>
      <c r="E3006" s="71" t="n">
        <f aca="false">IF(2&gt;Hold_Yrs,0,D2097+D1188+D1491+D1794+D2400+D1491*Prepay_Pen+IF(2=Hold_Yrs,$C2703,0))</f>
        <v>0</v>
      </c>
      <c r="F3006" s="71" t="n">
        <f aca="false">IF(3&gt;Hold_Yrs,0,E2097+E1188+E1491+E1794+E2400+E1491*Prepay_Pen+IF(3=Hold_Yrs,$C2703,0))</f>
        <v>0</v>
      </c>
      <c r="G3006" s="71" t="n">
        <f aca="false">IF(4&gt;Hold_Yrs,0,F2097+F1188+F1491+F1794+F2400+F1491*Prepay_Pen+IF(4=Hold_Yrs,$C2703,0))</f>
        <v>0</v>
      </c>
      <c r="H3006" s="71" t="n">
        <f aca="false">IF(5&gt;Hold_Yrs,0,G2097+G1188+G1491+G1794+G2400+G1491*Prepay_Pen+IF(5=Hold_Yrs,$C2703,0))</f>
        <v>0</v>
      </c>
      <c r="I3006" s="71" t="n">
        <f aca="false">IF(6&gt;Hold_Yrs,0,H2097+H1188+H1491+H1794+H2400+H1491*Prepay_Pen+IF(6=Hold_Yrs,$C2703,0))</f>
        <v>0</v>
      </c>
      <c r="J3006" s="71" t="n">
        <f aca="false">IF(7&gt;Hold_Yrs,0,I2097+I1188+I1491+I1794+I2400+I1491*Prepay_Pen+IF(7=Hold_Yrs,$C2703,0))</f>
        <v>0</v>
      </c>
      <c r="K3006" s="71" t="n">
        <f aca="false">IF(8&gt;Hold_Yrs,0,J2097+J1188+J1491+J1794+J2400+J1491*Prepay_Pen+IF(8=Hold_Yrs,$C2703,0))</f>
        <v>0</v>
      </c>
      <c r="L3006" s="71" t="n">
        <f aca="false">IF(9&gt;Hold_Yrs,0,K2097+K1188+K1491+K1794+K2400+K1491*Prepay_Pen+IF(9=Hold_Yrs,$C2703,0))</f>
        <v>0</v>
      </c>
      <c r="M3006" s="71" t="n">
        <f aca="false">IF(10&gt;Hold_Yrs,0,L2097+L1188+L1491+L1794+L2400+L1491*Prepay_Pen+IF(10=Hold_Yrs,$C2703,0))</f>
        <v>0</v>
      </c>
    </row>
    <row r="3007" customFormat="false" ht="15" hidden="false" customHeight="false" outlineLevel="0" collapsed="false">
      <c r="B3007" s="102" t="n">
        <f aca="false">'Loan Tape'!$A276</f>
        <v>0</v>
      </c>
      <c r="C3007" s="99" t="n">
        <f aca="false">-'Loan Tape'!$BB276</f>
        <v>-0</v>
      </c>
      <c r="D3007" s="99" t="n">
        <f aca="false">IF(1&gt;Hold_Yrs,0,C2098+C1189+C1492+C1795+C2401+C1492*Prepay_Pen+IF(1=Hold_Yrs,$C2704,0))</f>
        <v>0</v>
      </c>
      <c r="E3007" s="99" t="n">
        <f aca="false">IF(2&gt;Hold_Yrs,0,D2098+D1189+D1492+D1795+D2401+D1492*Prepay_Pen+IF(2=Hold_Yrs,$C2704,0))</f>
        <v>0</v>
      </c>
      <c r="F3007" s="99" t="n">
        <f aca="false">IF(3&gt;Hold_Yrs,0,E2098+E1189+E1492+E1795+E2401+E1492*Prepay_Pen+IF(3=Hold_Yrs,$C2704,0))</f>
        <v>0</v>
      </c>
      <c r="G3007" s="99" t="n">
        <f aca="false">IF(4&gt;Hold_Yrs,0,F2098+F1189+F1492+F1795+F2401+F1492*Prepay_Pen+IF(4=Hold_Yrs,$C2704,0))</f>
        <v>0</v>
      </c>
      <c r="H3007" s="99" t="n">
        <f aca="false">IF(5&gt;Hold_Yrs,0,G2098+G1189+G1492+G1795+G2401+G1492*Prepay_Pen+IF(5=Hold_Yrs,$C2704,0))</f>
        <v>0</v>
      </c>
      <c r="I3007" s="99" t="n">
        <f aca="false">IF(6&gt;Hold_Yrs,0,H2098+H1189+H1492+H1795+H2401+H1492*Prepay_Pen+IF(6=Hold_Yrs,$C2704,0))</f>
        <v>0</v>
      </c>
      <c r="J3007" s="99" t="n">
        <f aca="false">IF(7&gt;Hold_Yrs,0,I2098+I1189+I1492+I1795+I2401+I1492*Prepay_Pen+IF(7=Hold_Yrs,$C2704,0))</f>
        <v>0</v>
      </c>
      <c r="K3007" s="99" t="n">
        <f aca="false">IF(8&gt;Hold_Yrs,0,J2098+J1189+J1492+J1795+J2401+J1492*Prepay_Pen+IF(8=Hold_Yrs,$C2704,0))</f>
        <v>0</v>
      </c>
      <c r="L3007" s="99" t="n">
        <f aca="false">IF(9&gt;Hold_Yrs,0,K2098+K1189+K1492+K1795+K2401+K1492*Prepay_Pen+IF(9=Hold_Yrs,$C2704,0))</f>
        <v>0</v>
      </c>
      <c r="M3007" s="99" t="n">
        <f aca="false">IF(10&gt;Hold_Yrs,0,L2098+L1189+L1492+L1795+L2401+L1492*Prepay_Pen+IF(10=Hold_Yrs,$C2704,0))</f>
        <v>0</v>
      </c>
    </row>
    <row r="3008" customFormat="false" ht="15" hidden="false" customHeight="false" outlineLevel="0" collapsed="false">
      <c r="B3008" s="108" t="n">
        <f aca="false">'Loan Tape'!$A277</f>
        <v>0</v>
      </c>
      <c r="C3008" s="71" t="n">
        <f aca="false">-'Loan Tape'!$BB277</f>
        <v>-0</v>
      </c>
      <c r="D3008" s="71" t="n">
        <f aca="false">IF(1&gt;Hold_Yrs,0,C2099+C1190+C1493+C1796+C2402+C1493*Prepay_Pen+IF(1=Hold_Yrs,$C2705,0))</f>
        <v>0</v>
      </c>
      <c r="E3008" s="71" t="n">
        <f aca="false">IF(2&gt;Hold_Yrs,0,D2099+D1190+D1493+D1796+D2402+D1493*Prepay_Pen+IF(2=Hold_Yrs,$C2705,0))</f>
        <v>0</v>
      </c>
      <c r="F3008" s="71" t="n">
        <f aca="false">IF(3&gt;Hold_Yrs,0,E2099+E1190+E1493+E1796+E2402+E1493*Prepay_Pen+IF(3=Hold_Yrs,$C2705,0))</f>
        <v>0</v>
      </c>
      <c r="G3008" s="71" t="n">
        <f aca="false">IF(4&gt;Hold_Yrs,0,F2099+F1190+F1493+F1796+F2402+F1493*Prepay_Pen+IF(4=Hold_Yrs,$C2705,0))</f>
        <v>0</v>
      </c>
      <c r="H3008" s="71" t="n">
        <f aca="false">IF(5&gt;Hold_Yrs,0,G2099+G1190+G1493+G1796+G2402+G1493*Prepay_Pen+IF(5=Hold_Yrs,$C2705,0))</f>
        <v>0</v>
      </c>
      <c r="I3008" s="71" t="n">
        <f aca="false">IF(6&gt;Hold_Yrs,0,H2099+H1190+H1493+H1796+H2402+H1493*Prepay_Pen+IF(6=Hold_Yrs,$C2705,0))</f>
        <v>0</v>
      </c>
      <c r="J3008" s="71" t="n">
        <f aca="false">IF(7&gt;Hold_Yrs,0,I2099+I1190+I1493+I1796+I2402+I1493*Prepay_Pen+IF(7=Hold_Yrs,$C2705,0))</f>
        <v>0</v>
      </c>
      <c r="K3008" s="71" t="n">
        <f aca="false">IF(8&gt;Hold_Yrs,0,J2099+J1190+J1493+J1796+J2402+J1493*Prepay_Pen+IF(8=Hold_Yrs,$C2705,0))</f>
        <v>0</v>
      </c>
      <c r="L3008" s="71" t="n">
        <f aca="false">IF(9&gt;Hold_Yrs,0,K2099+K1190+K1493+K1796+K2402+K1493*Prepay_Pen+IF(9=Hold_Yrs,$C2705,0))</f>
        <v>0</v>
      </c>
      <c r="M3008" s="71" t="n">
        <f aca="false">IF(10&gt;Hold_Yrs,0,L2099+L1190+L1493+L1796+L2402+L1493*Prepay_Pen+IF(10=Hold_Yrs,$C2705,0))</f>
        <v>0</v>
      </c>
    </row>
    <row r="3009" customFormat="false" ht="15" hidden="false" customHeight="false" outlineLevel="0" collapsed="false">
      <c r="B3009" s="102" t="n">
        <f aca="false">'Loan Tape'!$A278</f>
        <v>0</v>
      </c>
      <c r="C3009" s="99" t="n">
        <f aca="false">-'Loan Tape'!$BB278</f>
        <v>-0</v>
      </c>
      <c r="D3009" s="99" t="n">
        <f aca="false">IF(1&gt;Hold_Yrs,0,C2100+C1191+C1494+C1797+C2403+C1494*Prepay_Pen+IF(1=Hold_Yrs,$C2706,0))</f>
        <v>0</v>
      </c>
      <c r="E3009" s="99" t="n">
        <f aca="false">IF(2&gt;Hold_Yrs,0,D2100+D1191+D1494+D1797+D2403+D1494*Prepay_Pen+IF(2=Hold_Yrs,$C2706,0))</f>
        <v>0</v>
      </c>
      <c r="F3009" s="99" t="n">
        <f aca="false">IF(3&gt;Hold_Yrs,0,E2100+E1191+E1494+E1797+E2403+E1494*Prepay_Pen+IF(3=Hold_Yrs,$C2706,0))</f>
        <v>0</v>
      </c>
      <c r="G3009" s="99" t="n">
        <f aca="false">IF(4&gt;Hold_Yrs,0,F2100+F1191+F1494+F1797+F2403+F1494*Prepay_Pen+IF(4=Hold_Yrs,$C2706,0))</f>
        <v>0</v>
      </c>
      <c r="H3009" s="99" t="n">
        <f aca="false">IF(5&gt;Hold_Yrs,0,G2100+G1191+G1494+G1797+G2403+G1494*Prepay_Pen+IF(5=Hold_Yrs,$C2706,0))</f>
        <v>0</v>
      </c>
      <c r="I3009" s="99" t="n">
        <f aca="false">IF(6&gt;Hold_Yrs,0,H2100+H1191+H1494+H1797+H2403+H1494*Prepay_Pen+IF(6=Hold_Yrs,$C2706,0))</f>
        <v>0</v>
      </c>
      <c r="J3009" s="99" t="n">
        <f aca="false">IF(7&gt;Hold_Yrs,0,I2100+I1191+I1494+I1797+I2403+I1494*Prepay_Pen+IF(7=Hold_Yrs,$C2706,0))</f>
        <v>0</v>
      </c>
      <c r="K3009" s="99" t="n">
        <f aca="false">IF(8&gt;Hold_Yrs,0,J2100+J1191+J1494+J1797+J2403+J1494*Prepay_Pen+IF(8=Hold_Yrs,$C2706,0))</f>
        <v>0</v>
      </c>
      <c r="L3009" s="99" t="n">
        <f aca="false">IF(9&gt;Hold_Yrs,0,K2100+K1191+K1494+K1797+K2403+K1494*Prepay_Pen+IF(9=Hold_Yrs,$C2706,0))</f>
        <v>0</v>
      </c>
      <c r="M3009" s="99" t="n">
        <f aca="false">IF(10&gt;Hold_Yrs,0,L2100+L1191+L1494+L1797+L2403+L1494*Prepay_Pen+IF(10=Hold_Yrs,$C2706,0))</f>
        <v>0</v>
      </c>
    </row>
    <row r="3010" customFormat="false" ht="15" hidden="false" customHeight="false" outlineLevel="0" collapsed="false">
      <c r="B3010" s="108" t="n">
        <f aca="false">'Loan Tape'!$A279</f>
        <v>0</v>
      </c>
      <c r="C3010" s="71" t="n">
        <f aca="false">-'Loan Tape'!$BB279</f>
        <v>-0</v>
      </c>
      <c r="D3010" s="71" t="n">
        <f aca="false">IF(1&gt;Hold_Yrs,0,C2101+C1192+C1495+C1798+C2404+C1495*Prepay_Pen+IF(1=Hold_Yrs,$C2707,0))</f>
        <v>0</v>
      </c>
      <c r="E3010" s="71" t="n">
        <f aca="false">IF(2&gt;Hold_Yrs,0,D2101+D1192+D1495+D1798+D2404+D1495*Prepay_Pen+IF(2=Hold_Yrs,$C2707,0))</f>
        <v>0</v>
      </c>
      <c r="F3010" s="71" t="n">
        <f aca="false">IF(3&gt;Hold_Yrs,0,E2101+E1192+E1495+E1798+E2404+E1495*Prepay_Pen+IF(3=Hold_Yrs,$C2707,0))</f>
        <v>0</v>
      </c>
      <c r="G3010" s="71" t="n">
        <f aca="false">IF(4&gt;Hold_Yrs,0,F2101+F1192+F1495+F1798+F2404+F1495*Prepay_Pen+IF(4=Hold_Yrs,$C2707,0))</f>
        <v>0</v>
      </c>
      <c r="H3010" s="71" t="n">
        <f aca="false">IF(5&gt;Hold_Yrs,0,G2101+G1192+G1495+G1798+G2404+G1495*Prepay_Pen+IF(5=Hold_Yrs,$C2707,0))</f>
        <v>0</v>
      </c>
      <c r="I3010" s="71" t="n">
        <f aca="false">IF(6&gt;Hold_Yrs,0,H2101+H1192+H1495+H1798+H2404+H1495*Prepay_Pen+IF(6=Hold_Yrs,$C2707,0))</f>
        <v>0</v>
      </c>
      <c r="J3010" s="71" t="n">
        <f aca="false">IF(7&gt;Hold_Yrs,0,I2101+I1192+I1495+I1798+I2404+I1495*Prepay_Pen+IF(7=Hold_Yrs,$C2707,0))</f>
        <v>0</v>
      </c>
      <c r="K3010" s="71" t="n">
        <f aca="false">IF(8&gt;Hold_Yrs,0,J2101+J1192+J1495+J1798+J2404+J1495*Prepay_Pen+IF(8=Hold_Yrs,$C2707,0))</f>
        <v>0</v>
      </c>
      <c r="L3010" s="71" t="n">
        <f aca="false">IF(9&gt;Hold_Yrs,0,K2101+K1192+K1495+K1798+K2404+K1495*Prepay_Pen+IF(9=Hold_Yrs,$C2707,0))</f>
        <v>0</v>
      </c>
      <c r="M3010" s="71" t="n">
        <f aca="false">IF(10&gt;Hold_Yrs,0,L2101+L1192+L1495+L1798+L2404+L1495*Prepay_Pen+IF(10=Hold_Yrs,$C2707,0))</f>
        <v>0</v>
      </c>
    </row>
    <row r="3011" customFormat="false" ht="15" hidden="false" customHeight="false" outlineLevel="0" collapsed="false">
      <c r="B3011" s="102" t="n">
        <f aca="false">'Loan Tape'!$A280</f>
        <v>0</v>
      </c>
      <c r="C3011" s="99" t="n">
        <f aca="false">-'Loan Tape'!$BB280</f>
        <v>-0</v>
      </c>
      <c r="D3011" s="99" t="n">
        <f aca="false">IF(1&gt;Hold_Yrs,0,C2102+C1193+C1496+C1799+C2405+C1496*Prepay_Pen+IF(1=Hold_Yrs,$C2708,0))</f>
        <v>0</v>
      </c>
      <c r="E3011" s="99" t="n">
        <f aca="false">IF(2&gt;Hold_Yrs,0,D2102+D1193+D1496+D1799+D2405+D1496*Prepay_Pen+IF(2=Hold_Yrs,$C2708,0))</f>
        <v>0</v>
      </c>
      <c r="F3011" s="99" t="n">
        <f aca="false">IF(3&gt;Hold_Yrs,0,E2102+E1193+E1496+E1799+E2405+E1496*Prepay_Pen+IF(3=Hold_Yrs,$C2708,0))</f>
        <v>0</v>
      </c>
      <c r="G3011" s="99" t="n">
        <f aca="false">IF(4&gt;Hold_Yrs,0,F2102+F1193+F1496+F1799+F2405+F1496*Prepay_Pen+IF(4=Hold_Yrs,$C2708,0))</f>
        <v>0</v>
      </c>
      <c r="H3011" s="99" t="n">
        <f aca="false">IF(5&gt;Hold_Yrs,0,G2102+G1193+G1496+G1799+G2405+G1496*Prepay_Pen+IF(5=Hold_Yrs,$C2708,0))</f>
        <v>0</v>
      </c>
      <c r="I3011" s="99" t="n">
        <f aca="false">IF(6&gt;Hold_Yrs,0,H2102+H1193+H1496+H1799+H2405+H1496*Prepay_Pen+IF(6=Hold_Yrs,$C2708,0))</f>
        <v>0</v>
      </c>
      <c r="J3011" s="99" t="n">
        <f aca="false">IF(7&gt;Hold_Yrs,0,I2102+I1193+I1496+I1799+I2405+I1496*Prepay_Pen+IF(7=Hold_Yrs,$C2708,0))</f>
        <v>0</v>
      </c>
      <c r="K3011" s="99" t="n">
        <f aca="false">IF(8&gt;Hold_Yrs,0,J2102+J1193+J1496+J1799+J2405+J1496*Prepay_Pen+IF(8=Hold_Yrs,$C2708,0))</f>
        <v>0</v>
      </c>
      <c r="L3011" s="99" t="n">
        <f aca="false">IF(9&gt;Hold_Yrs,0,K2102+K1193+K1496+K1799+K2405+K1496*Prepay_Pen+IF(9=Hold_Yrs,$C2708,0))</f>
        <v>0</v>
      </c>
      <c r="M3011" s="99" t="n">
        <f aca="false">IF(10&gt;Hold_Yrs,0,L2102+L1193+L1496+L1799+L2405+L1496*Prepay_Pen+IF(10=Hold_Yrs,$C2708,0))</f>
        <v>0</v>
      </c>
    </row>
    <row r="3012" customFormat="false" ht="15" hidden="false" customHeight="false" outlineLevel="0" collapsed="false">
      <c r="B3012" s="108" t="n">
        <f aca="false">'Loan Tape'!$A281</f>
        <v>0</v>
      </c>
      <c r="C3012" s="71" t="n">
        <f aca="false">-'Loan Tape'!$BB281</f>
        <v>-0</v>
      </c>
      <c r="D3012" s="71" t="n">
        <f aca="false">IF(1&gt;Hold_Yrs,0,C2103+C1194+C1497+C1800+C2406+C1497*Prepay_Pen+IF(1=Hold_Yrs,$C2709,0))</f>
        <v>0</v>
      </c>
      <c r="E3012" s="71" t="n">
        <f aca="false">IF(2&gt;Hold_Yrs,0,D2103+D1194+D1497+D1800+D2406+D1497*Prepay_Pen+IF(2=Hold_Yrs,$C2709,0))</f>
        <v>0</v>
      </c>
      <c r="F3012" s="71" t="n">
        <f aca="false">IF(3&gt;Hold_Yrs,0,E2103+E1194+E1497+E1800+E2406+E1497*Prepay_Pen+IF(3=Hold_Yrs,$C2709,0))</f>
        <v>0</v>
      </c>
      <c r="G3012" s="71" t="n">
        <f aca="false">IF(4&gt;Hold_Yrs,0,F2103+F1194+F1497+F1800+F2406+F1497*Prepay_Pen+IF(4=Hold_Yrs,$C2709,0))</f>
        <v>0</v>
      </c>
      <c r="H3012" s="71" t="n">
        <f aca="false">IF(5&gt;Hold_Yrs,0,G2103+G1194+G1497+G1800+G2406+G1497*Prepay_Pen+IF(5=Hold_Yrs,$C2709,0))</f>
        <v>0</v>
      </c>
      <c r="I3012" s="71" t="n">
        <f aca="false">IF(6&gt;Hold_Yrs,0,H2103+H1194+H1497+H1800+H2406+H1497*Prepay_Pen+IF(6=Hold_Yrs,$C2709,0))</f>
        <v>0</v>
      </c>
      <c r="J3012" s="71" t="n">
        <f aca="false">IF(7&gt;Hold_Yrs,0,I2103+I1194+I1497+I1800+I2406+I1497*Prepay_Pen+IF(7=Hold_Yrs,$C2709,0))</f>
        <v>0</v>
      </c>
      <c r="K3012" s="71" t="n">
        <f aca="false">IF(8&gt;Hold_Yrs,0,J2103+J1194+J1497+J1800+J2406+J1497*Prepay_Pen+IF(8=Hold_Yrs,$C2709,0))</f>
        <v>0</v>
      </c>
      <c r="L3012" s="71" t="n">
        <f aca="false">IF(9&gt;Hold_Yrs,0,K2103+K1194+K1497+K1800+K2406+K1497*Prepay_Pen+IF(9=Hold_Yrs,$C2709,0))</f>
        <v>0</v>
      </c>
      <c r="M3012" s="71" t="n">
        <f aca="false">IF(10&gt;Hold_Yrs,0,L2103+L1194+L1497+L1800+L2406+L1497*Prepay_Pen+IF(10=Hold_Yrs,$C2709,0))</f>
        <v>0</v>
      </c>
    </row>
    <row r="3013" customFormat="false" ht="15" hidden="false" customHeight="false" outlineLevel="0" collapsed="false">
      <c r="B3013" s="102" t="n">
        <f aca="false">'Loan Tape'!$A282</f>
        <v>0</v>
      </c>
      <c r="C3013" s="99" t="n">
        <f aca="false">-'Loan Tape'!$BB282</f>
        <v>-0</v>
      </c>
      <c r="D3013" s="99" t="n">
        <f aca="false">IF(1&gt;Hold_Yrs,0,C2104+C1195+C1498+C1801+C2407+C1498*Prepay_Pen+IF(1=Hold_Yrs,$C2710,0))</f>
        <v>0</v>
      </c>
      <c r="E3013" s="99" t="n">
        <f aca="false">IF(2&gt;Hold_Yrs,0,D2104+D1195+D1498+D1801+D2407+D1498*Prepay_Pen+IF(2=Hold_Yrs,$C2710,0))</f>
        <v>0</v>
      </c>
      <c r="F3013" s="99" t="n">
        <f aca="false">IF(3&gt;Hold_Yrs,0,E2104+E1195+E1498+E1801+E2407+E1498*Prepay_Pen+IF(3=Hold_Yrs,$C2710,0))</f>
        <v>0</v>
      </c>
      <c r="G3013" s="99" t="n">
        <f aca="false">IF(4&gt;Hold_Yrs,0,F2104+F1195+F1498+F1801+F2407+F1498*Prepay_Pen+IF(4=Hold_Yrs,$C2710,0))</f>
        <v>0</v>
      </c>
      <c r="H3013" s="99" t="n">
        <f aca="false">IF(5&gt;Hold_Yrs,0,G2104+G1195+G1498+G1801+G2407+G1498*Prepay_Pen+IF(5=Hold_Yrs,$C2710,0))</f>
        <v>0</v>
      </c>
      <c r="I3013" s="99" t="n">
        <f aca="false">IF(6&gt;Hold_Yrs,0,H2104+H1195+H1498+H1801+H2407+H1498*Prepay_Pen+IF(6=Hold_Yrs,$C2710,0))</f>
        <v>0</v>
      </c>
      <c r="J3013" s="99" t="n">
        <f aca="false">IF(7&gt;Hold_Yrs,0,I2104+I1195+I1498+I1801+I2407+I1498*Prepay_Pen+IF(7=Hold_Yrs,$C2710,0))</f>
        <v>0</v>
      </c>
      <c r="K3013" s="99" t="n">
        <f aca="false">IF(8&gt;Hold_Yrs,0,J2104+J1195+J1498+J1801+J2407+J1498*Prepay_Pen+IF(8=Hold_Yrs,$C2710,0))</f>
        <v>0</v>
      </c>
      <c r="L3013" s="99" t="n">
        <f aca="false">IF(9&gt;Hold_Yrs,0,K2104+K1195+K1498+K1801+K2407+K1498*Prepay_Pen+IF(9=Hold_Yrs,$C2710,0))</f>
        <v>0</v>
      </c>
      <c r="M3013" s="99" t="n">
        <f aca="false">IF(10&gt;Hold_Yrs,0,L2104+L1195+L1498+L1801+L2407+L1498*Prepay_Pen+IF(10=Hold_Yrs,$C2710,0))</f>
        <v>0</v>
      </c>
    </row>
    <row r="3014" customFormat="false" ht="15" hidden="false" customHeight="false" outlineLevel="0" collapsed="false">
      <c r="B3014" s="108" t="n">
        <f aca="false">'Loan Tape'!$A283</f>
        <v>0</v>
      </c>
      <c r="C3014" s="71" t="n">
        <f aca="false">-'Loan Tape'!$BB283</f>
        <v>-0</v>
      </c>
      <c r="D3014" s="71" t="n">
        <f aca="false">IF(1&gt;Hold_Yrs,0,C2105+C1196+C1499+C1802+C2408+C1499*Prepay_Pen+IF(1=Hold_Yrs,$C2711,0))</f>
        <v>0</v>
      </c>
      <c r="E3014" s="71" t="n">
        <f aca="false">IF(2&gt;Hold_Yrs,0,D2105+D1196+D1499+D1802+D2408+D1499*Prepay_Pen+IF(2=Hold_Yrs,$C2711,0))</f>
        <v>0</v>
      </c>
      <c r="F3014" s="71" t="n">
        <f aca="false">IF(3&gt;Hold_Yrs,0,E2105+E1196+E1499+E1802+E2408+E1499*Prepay_Pen+IF(3=Hold_Yrs,$C2711,0))</f>
        <v>0</v>
      </c>
      <c r="G3014" s="71" t="n">
        <f aca="false">IF(4&gt;Hold_Yrs,0,F2105+F1196+F1499+F1802+F2408+F1499*Prepay_Pen+IF(4=Hold_Yrs,$C2711,0))</f>
        <v>0</v>
      </c>
      <c r="H3014" s="71" t="n">
        <f aca="false">IF(5&gt;Hold_Yrs,0,G2105+G1196+G1499+G1802+G2408+G1499*Prepay_Pen+IF(5=Hold_Yrs,$C2711,0))</f>
        <v>0</v>
      </c>
      <c r="I3014" s="71" t="n">
        <f aca="false">IF(6&gt;Hold_Yrs,0,H2105+H1196+H1499+H1802+H2408+H1499*Prepay_Pen+IF(6=Hold_Yrs,$C2711,0))</f>
        <v>0</v>
      </c>
      <c r="J3014" s="71" t="n">
        <f aca="false">IF(7&gt;Hold_Yrs,0,I2105+I1196+I1499+I1802+I2408+I1499*Prepay_Pen+IF(7=Hold_Yrs,$C2711,0))</f>
        <v>0</v>
      </c>
      <c r="K3014" s="71" t="n">
        <f aca="false">IF(8&gt;Hold_Yrs,0,J2105+J1196+J1499+J1802+J2408+J1499*Prepay_Pen+IF(8=Hold_Yrs,$C2711,0))</f>
        <v>0</v>
      </c>
      <c r="L3014" s="71" t="n">
        <f aca="false">IF(9&gt;Hold_Yrs,0,K2105+K1196+K1499+K1802+K2408+K1499*Prepay_Pen+IF(9=Hold_Yrs,$C2711,0))</f>
        <v>0</v>
      </c>
      <c r="M3014" s="71" t="n">
        <f aca="false">IF(10&gt;Hold_Yrs,0,L2105+L1196+L1499+L1802+L2408+L1499*Prepay_Pen+IF(10=Hold_Yrs,$C2711,0))</f>
        <v>0</v>
      </c>
    </row>
    <row r="3015" customFormat="false" ht="15" hidden="false" customHeight="false" outlineLevel="0" collapsed="false">
      <c r="B3015" s="102" t="n">
        <f aca="false">'Loan Tape'!$A284</f>
        <v>0</v>
      </c>
      <c r="C3015" s="99" t="n">
        <f aca="false">-'Loan Tape'!$BB284</f>
        <v>-0</v>
      </c>
      <c r="D3015" s="99" t="n">
        <f aca="false">IF(1&gt;Hold_Yrs,0,C2106+C1197+C1500+C1803+C2409+C1500*Prepay_Pen+IF(1=Hold_Yrs,$C2712,0))</f>
        <v>0</v>
      </c>
      <c r="E3015" s="99" t="n">
        <f aca="false">IF(2&gt;Hold_Yrs,0,D2106+D1197+D1500+D1803+D2409+D1500*Prepay_Pen+IF(2=Hold_Yrs,$C2712,0))</f>
        <v>0</v>
      </c>
      <c r="F3015" s="99" t="n">
        <f aca="false">IF(3&gt;Hold_Yrs,0,E2106+E1197+E1500+E1803+E2409+E1500*Prepay_Pen+IF(3=Hold_Yrs,$C2712,0))</f>
        <v>0</v>
      </c>
      <c r="G3015" s="99" t="n">
        <f aca="false">IF(4&gt;Hold_Yrs,0,F2106+F1197+F1500+F1803+F2409+F1500*Prepay_Pen+IF(4=Hold_Yrs,$C2712,0))</f>
        <v>0</v>
      </c>
      <c r="H3015" s="99" t="n">
        <f aca="false">IF(5&gt;Hold_Yrs,0,G2106+G1197+G1500+G1803+G2409+G1500*Prepay_Pen+IF(5=Hold_Yrs,$C2712,0))</f>
        <v>0</v>
      </c>
      <c r="I3015" s="99" t="n">
        <f aca="false">IF(6&gt;Hold_Yrs,0,H2106+H1197+H1500+H1803+H2409+H1500*Prepay_Pen+IF(6=Hold_Yrs,$C2712,0))</f>
        <v>0</v>
      </c>
      <c r="J3015" s="99" t="n">
        <f aca="false">IF(7&gt;Hold_Yrs,0,I2106+I1197+I1500+I1803+I2409+I1500*Prepay_Pen+IF(7=Hold_Yrs,$C2712,0))</f>
        <v>0</v>
      </c>
      <c r="K3015" s="99" t="n">
        <f aca="false">IF(8&gt;Hold_Yrs,0,J2106+J1197+J1500+J1803+J2409+J1500*Prepay_Pen+IF(8=Hold_Yrs,$C2712,0))</f>
        <v>0</v>
      </c>
      <c r="L3015" s="99" t="n">
        <f aca="false">IF(9&gt;Hold_Yrs,0,K2106+K1197+K1500+K1803+K2409+K1500*Prepay_Pen+IF(9=Hold_Yrs,$C2712,0))</f>
        <v>0</v>
      </c>
      <c r="M3015" s="99" t="n">
        <f aca="false">IF(10&gt;Hold_Yrs,0,L2106+L1197+L1500+L1803+L2409+L1500*Prepay_Pen+IF(10=Hold_Yrs,$C2712,0))</f>
        <v>0</v>
      </c>
    </row>
    <row r="3016" customFormat="false" ht="15" hidden="false" customHeight="false" outlineLevel="0" collapsed="false">
      <c r="B3016" s="108" t="n">
        <f aca="false">'Loan Tape'!$A285</f>
        <v>0</v>
      </c>
      <c r="C3016" s="71" t="n">
        <f aca="false">-'Loan Tape'!$BB285</f>
        <v>-0</v>
      </c>
      <c r="D3016" s="71" t="n">
        <f aca="false">IF(1&gt;Hold_Yrs,0,C2107+C1198+C1501+C1804+C2410+C1501*Prepay_Pen+IF(1=Hold_Yrs,$C2713,0))</f>
        <v>0</v>
      </c>
      <c r="E3016" s="71" t="n">
        <f aca="false">IF(2&gt;Hold_Yrs,0,D2107+D1198+D1501+D1804+D2410+D1501*Prepay_Pen+IF(2=Hold_Yrs,$C2713,0))</f>
        <v>0</v>
      </c>
      <c r="F3016" s="71" t="n">
        <f aca="false">IF(3&gt;Hold_Yrs,0,E2107+E1198+E1501+E1804+E2410+E1501*Prepay_Pen+IF(3=Hold_Yrs,$C2713,0))</f>
        <v>0</v>
      </c>
      <c r="G3016" s="71" t="n">
        <f aca="false">IF(4&gt;Hold_Yrs,0,F2107+F1198+F1501+F1804+F2410+F1501*Prepay_Pen+IF(4=Hold_Yrs,$C2713,0))</f>
        <v>0</v>
      </c>
      <c r="H3016" s="71" t="n">
        <f aca="false">IF(5&gt;Hold_Yrs,0,G2107+G1198+G1501+G1804+G2410+G1501*Prepay_Pen+IF(5=Hold_Yrs,$C2713,0))</f>
        <v>0</v>
      </c>
      <c r="I3016" s="71" t="n">
        <f aca="false">IF(6&gt;Hold_Yrs,0,H2107+H1198+H1501+H1804+H2410+H1501*Prepay_Pen+IF(6=Hold_Yrs,$C2713,0))</f>
        <v>0</v>
      </c>
      <c r="J3016" s="71" t="n">
        <f aca="false">IF(7&gt;Hold_Yrs,0,I2107+I1198+I1501+I1804+I2410+I1501*Prepay_Pen+IF(7=Hold_Yrs,$C2713,0))</f>
        <v>0</v>
      </c>
      <c r="K3016" s="71" t="n">
        <f aca="false">IF(8&gt;Hold_Yrs,0,J2107+J1198+J1501+J1804+J2410+J1501*Prepay_Pen+IF(8=Hold_Yrs,$C2713,0))</f>
        <v>0</v>
      </c>
      <c r="L3016" s="71" t="n">
        <f aca="false">IF(9&gt;Hold_Yrs,0,K2107+K1198+K1501+K1804+K2410+K1501*Prepay_Pen+IF(9=Hold_Yrs,$C2713,0))</f>
        <v>0</v>
      </c>
      <c r="M3016" s="71" t="n">
        <f aca="false">IF(10&gt;Hold_Yrs,0,L2107+L1198+L1501+L1804+L2410+L1501*Prepay_Pen+IF(10=Hold_Yrs,$C2713,0))</f>
        <v>0</v>
      </c>
    </row>
    <row r="3017" customFormat="false" ht="15" hidden="false" customHeight="false" outlineLevel="0" collapsed="false">
      <c r="B3017" s="102" t="n">
        <f aca="false">'Loan Tape'!$A286</f>
        <v>0</v>
      </c>
      <c r="C3017" s="99" t="n">
        <f aca="false">-'Loan Tape'!$BB286</f>
        <v>-0</v>
      </c>
      <c r="D3017" s="99" t="n">
        <f aca="false">IF(1&gt;Hold_Yrs,0,C2108+C1199+C1502+C1805+C2411+C1502*Prepay_Pen+IF(1=Hold_Yrs,$C2714,0))</f>
        <v>0</v>
      </c>
      <c r="E3017" s="99" t="n">
        <f aca="false">IF(2&gt;Hold_Yrs,0,D2108+D1199+D1502+D1805+D2411+D1502*Prepay_Pen+IF(2=Hold_Yrs,$C2714,0))</f>
        <v>0</v>
      </c>
      <c r="F3017" s="99" t="n">
        <f aca="false">IF(3&gt;Hold_Yrs,0,E2108+E1199+E1502+E1805+E2411+E1502*Prepay_Pen+IF(3=Hold_Yrs,$C2714,0))</f>
        <v>0</v>
      </c>
      <c r="G3017" s="99" t="n">
        <f aca="false">IF(4&gt;Hold_Yrs,0,F2108+F1199+F1502+F1805+F2411+F1502*Prepay_Pen+IF(4=Hold_Yrs,$C2714,0))</f>
        <v>0</v>
      </c>
      <c r="H3017" s="99" t="n">
        <f aca="false">IF(5&gt;Hold_Yrs,0,G2108+G1199+G1502+G1805+G2411+G1502*Prepay_Pen+IF(5=Hold_Yrs,$C2714,0))</f>
        <v>0</v>
      </c>
      <c r="I3017" s="99" t="n">
        <f aca="false">IF(6&gt;Hold_Yrs,0,H2108+H1199+H1502+H1805+H2411+H1502*Prepay_Pen+IF(6=Hold_Yrs,$C2714,0))</f>
        <v>0</v>
      </c>
      <c r="J3017" s="99" t="n">
        <f aca="false">IF(7&gt;Hold_Yrs,0,I2108+I1199+I1502+I1805+I2411+I1502*Prepay_Pen+IF(7=Hold_Yrs,$C2714,0))</f>
        <v>0</v>
      </c>
      <c r="K3017" s="99" t="n">
        <f aca="false">IF(8&gt;Hold_Yrs,0,J2108+J1199+J1502+J1805+J2411+J1502*Prepay_Pen+IF(8=Hold_Yrs,$C2714,0))</f>
        <v>0</v>
      </c>
      <c r="L3017" s="99" t="n">
        <f aca="false">IF(9&gt;Hold_Yrs,0,K2108+K1199+K1502+K1805+K2411+K1502*Prepay_Pen+IF(9=Hold_Yrs,$C2714,0))</f>
        <v>0</v>
      </c>
      <c r="M3017" s="99" t="n">
        <f aca="false">IF(10&gt;Hold_Yrs,0,L2108+L1199+L1502+L1805+L2411+L1502*Prepay_Pen+IF(10=Hold_Yrs,$C2714,0))</f>
        <v>0</v>
      </c>
    </row>
    <row r="3018" customFormat="false" ht="15" hidden="false" customHeight="false" outlineLevel="0" collapsed="false">
      <c r="B3018" s="108" t="n">
        <f aca="false">'Loan Tape'!$A287</f>
        <v>0</v>
      </c>
      <c r="C3018" s="71" t="n">
        <f aca="false">-'Loan Tape'!$BB287</f>
        <v>-0</v>
      </c>
      <c r="D3018" s="71" t="n">
        <f aca="false">IF(1&gt;Hold_Yrs,0,C2109+C1200+C1503+C1806+C2412+C1503*Prepay_Pen+IF(1=Hold_Yrs,$C2715,0))</f>
        <v>0</v>
      </c>
      <c r="E3018" s="71" t="n">
        <f aca="false">IF(2&gt;Hold_Yrs,0,D2109+D1200+D1503+D1806+D2412+D1503*Prepay_Pen+IF(2=Hold_Yrs,$C2715,0))</f>
        <v>0</v>
      </c>
      <c r="F3018" s="71" t="n">
        <f aca="false">IF(3&gt;Hold_Yrs,0,E2109+E1200+E1503+E1806+E2412+E1503*Prepay_Pen+IF(3=Hold_Yrs,$C2715,0))</f>
        <v>0</v>
      </c>
      <c r="G3018" s="71" t="n">
        <f aca="false">IF(4&gt;Hold_Yrs,0,F2109+F1200+F1503+F1806+F2412+F1503*Prepay_Pen+IF(4=Hold_Yrs,$C2715,0))</f>
        <v>0</v>
      </c>
      <c r="H3018" s="71" t="n">
        <f aca="false">IF(5&gt;Hold_Yrs,0,G2109+G1200+G1503+G1806+G2412+G1503*Prepay_Pen+IF(5=Hold_Yrs,$C2715,0))</f>
        <v>0</v>
      </c>
      <c r="I3018" s="71" t="n">
        <f aca="false">IF(6&gt;Hold_Yrs,0,H2109+H1200+H1503+H1806+H2412+H1503*Prepay_Pen+IF(6=Hold_Yrs,$C2715,0))</f>
        <v>0</v>
      </c>
      <c r="J3018" s="71" t="n">
        <f aca="false">IF(7&gt;Hold_Yrs,0,I2109+I1200+I1503+I1806+I2412+I1503*Prepay_Pen+IF(7=Hold_Yrs,$C2715,0))</f>
        <v>0</v>
      </c>
      <c r="K3018" s="71" t="n">
        <f aca="false">IF(8&gt;Hold_Yrs,0,J2109+J1200+J1503+J1806+J2412+J1503*Prepay_Pen+IF(8=Hold_Yrs,$C2715,0))</f>
        <v>0</v>
      </c>
      <c r="L3018" s="71" t="n">
        <f aca="false">IF(9&gt;Hold_Yrs,0,K2109+K1200+K1503+K1806+K2412+K1503*Prepay_Pen+IF(9=Hold_Yrs,$C2715,0))</f>
        <v>0</v>
      </c>
      <c r="M3018" s="71" t="n">
        <f aca="false">IF(10&gt;Hold_Yrs,0,L2109+L1200+L1503+L1806+L2412+L1503*Prepay_Pen+IF(10=Hold_Yrs,$C2715,0))</f>
        <v>0</v>
      </c>
    </row>
    <row r="3019" customFormat="false" ht="15" hidden="false" customHeight="false" outlineLevel="0" collapsed="false">
      <c r="B3019" s="102" t="n">
        <f aca="false">'Loan Tape'!$A288</f>
        <v>0</v>
      </c>
      <c r="C3019" s="99" t="n">
        <f aca="false">-'Loan Tape'!$BB288</f>
        <v>-0</v>
      </c>
      <c r="D3019" s="99" t="n">
        <f aca="false">IF(1&gt;Hold_Yrs,0,C2110+C1201+C1504+C1807+C2413+C1504*Prepay_Pen+IF(1=Hold_Yrs,$C2716,0))</f>
        <v>0</v>
      </c>
      <c r="E3019" s="99" t="n">
        <f aca="false">IF(2&gt;Hold_Yrs,0,D2110+D1201+D1504+D1807+D2413+D1504*Prepay_Pen+IF(2=Hold_Yrs,$C2716,0))</f>
        <v>0</v>
      </c>
      <c r="F3019" s="99" t="n">
        <f aca="false">IF(3&gt;Hold_Yrs,0,E2110+E1201+E1504+E1807+E2413+E1504*Prepay_Pen+IF(3=Hold_Yrs,$C2716,0))</f>
        <v>0</v>
      </c>
      <c r="G3019" s="99" t="n">
        <f aca="false">IF(4&gt;Hold_Yrs,0,F2110+F1201+F1504+F1807+F2413+F1504*Prepay_Pen+IF(4=Hold_Yrs,$C2716,0))</f>
        <v>0</v>
      </c>
      <c r="H3019" s="99" t="n">
        <f aca="false">IF(5&gt;Hold_Yrs,0,G2110+G1201+G1504+G1807+G2413+G1504*Prepay_Pen+IF(5=Hold_Yrs,$C2716,0))</f>
        <v>0</v>
      </c>
      <c r="I3019" s="99" t="n">
        <f aca="false">IF(6&gt;Hold_Yrs,0,H2110+H1201+H1504+H1807+H2413+H1504*Prepay_Pen+IF(6=Hold_Yrs,$C2716,0))</f>
        <v>0</v>
      </c>
      <c r="J3019" s="99" t="n">
        <f aca="false">IF(7&gt;Hold_Yrs,0,I2110+I1201+I1504+I1807+I2413+I1504*Prepay_Pen+IF(7=Hold_Yrs,$C2716,0))</f>
        <v>0</v>
      </c>
      <c r="K3019" s="99" t="n">
        <f aca="false">IF(8&gt;Hold_Yrs,0,J2110+J1201+J1504+J1807+J2413+J1504*Prepay_Pen+IF(8=Hold_Yrs,$C2716,0))</f>
        <v>0</v>
      </c>
      <c r="L3019" s="99" t="n">
        <f aca="false">IF(9&gt;Hold_Yrs,0,K2110+K1201+K1504+K1807+K2413+K1504*Prepay_Pen+IF(9=Hold_Yrs,$C2716,0))</f>
        <v>0</v>
      </c>
      <c r="M3019" s="99" t="n">
        <f aca="false">IF(10&gt;Hold_Yrs,0,L2110+L1201+L1504+L1807+L2413+L1504*Prepay_Pen+IF(10=Hold_Yrs,$C2716,0))</f>
        <v>0</v>
      </c>
    </row>
    <row r="3020" customFormat="false" ht="15" hidden="false" customHeight="false" outlineLevel="0" collapsed="false">
      <c r="B3020" s="108" t="n">
        <f aca="false">'Loan Tape'!$A289</f>
        <v>0</v>
      </c>
      <c r="C3020" s="71" t="n">
        <f aca="false">-'Loan Tape'!$BB289</f>
        <v>-0</v>
      </c>
      <c r="D3020" s="71" t="n">
        <f aca="false">IF(1&gt;Hold_Yrs,0,C2111+C1202+C1505+C1808+C2414+C1505*Prepay_Pen+IF(1=Hold_Yrs,$C2717,0))</f>
        <v>0</v>
      </c>
      <c r="E3020" s="71" t="n">
        <f aca="false">IF(2&gt;Hold_Yrs,0,D2111+D1202+D1505+D1808+D2414+D1505*Prepay_Pen+IF(2=Hold_Yrs,$C2717,0))</f>
        <v>0</v>
      </c>
      <c r="F3020" s="71" t="n">
        <f aca="false">IF(3&gt;Hold_Yrs,0,E2111+E1202+E1505+E1808+E2414+E1505*Prepay_Pen+IF(3=Hold_Yrs,$C2717,0))</f>
        <v>0</v>
      </c>
      <c r="G3020" s="71" t="n">
        <f aca="false">IF(4&gt;Hold_Yrs,0,F2111+F1202+F1505+F1808+F2414+F1505*Prepay_Pen+IF(4=Hold_Yrs,$C2717,0))</f>
        <v>0</v>
      </c>
      <c r="H3020" s="71" t="n">
        <f aca="false">IF(5&gt;Hold_Yrs,0,G2111+G1202+G1505+G1808+G2414+G1505*Prepay_Pen+IF(5=Hold_Yrs,$C2717,0))</f>
        <v>0</v>
      </c>
      <c r="I3020" s="71" t="n">
        <f aca="false">IF(6&gt;Hold_Yrs,0,H2111+H1202+H1505+H1808+H2414+H1505*Prepay_Pen+IF(6=Hold_Yrs,$C2717,0))</f>
        <v>0</v>
      </c>
      <c r="J3020" s="71" t="n">
        <f aca="false">IF(7&gt;Hold_Yrs,0,I2111+I1202+I1505+I1808+I2414+I1505*Prepay_Pen+IF(7=Hold_Yrs,$C2717,0))</f>
        <v>0</v>
      </c>
      <c r="K3020" s="71" t="n">
        <f aca="false">IF(8&gt;Hold_Yrs,0,J2111+J1202+J1505+J1808+J2414+J1505*Prepay_Pen+IF(8=Hold_Yrs,$C2717,0))</f>
        <v>0</v>
      </c>
      <c r="L3020" s="71" t="n">
        <f aca="false">IF(9&gt;Hold_Yrs,0,K2111+K1202+K1505+K1808+K2414+K1505*Prepay_Pen+IF(9=Hold_Yrs,$C2717,0))</f>
        <v>0</v>
      </c>
      <c r="M3020" s="71" t="n">
        <f aca="false">IF(10&gt;Hold_Yrs,0,L2111+L1202+L1505+L1808+L2414+L1505*Prepay_Pen+IF(10=Hold_Yrs,$C2717,0))</f>
        <v>0</v>
      </c>
    </row>
    <row r="3021" customFormat="false" ht="15" hidden="false" customHeight="false" outlineLevel="0" collapsed="false">
      <c r="B3021" s="102" t="n">
        <f aca="false">'Loan Tape'!$A290</f>
        <v>0</v>
      </c>
      <c r="C3021" s="99" t="n">
        <f aca="false">-'Loan Tape'!$BB290</f>
        <v>-0</v>
      </c>
      <c r="D3021" s="99" t="n">
        <f aca="false">IF(1&gt;Hold_Yrs,0,C2112+C1203+C1506+C1809+C2415+C1506*Prepay_Pen+IF(1=Hold_Yrs,$C2718,0))</f>
        <v>0</v>
      </c>
      <c r="E3021" s="99" t="n">
        <f aca="false">IF(2&gt;Hold_Yrs,0,D2112+D1203+D1506+D1809+D2415+D1506*Prepay_Pen+IF(2=Hold_Yrs,$C2718,0))</f>
        <v>0</v>
      </c>
      <c r="F3021" s="99" t="n">
        <f aca="false">IF(3&gt;Hold_Yrs,0,E2112+E1203+E1506+E1809+E2415+E1506*Prepay_Pen+IF(3=Hold_Yrs,$C2718,0))</f>
        <v>0</v>
      </c>
      <c r="G3021" s="99" t="n">
        <f aca="false">IF(4&gt;Hold_Yrs,0,F2112+F1203+F1506+F1809+F2415+F1506*Prepay_Pen+IF(4=Hold_Yrs,$C2718,0))</f>
        <v>0</v>
      </c>
      <c r="H3021" s="99" t="n">
        <f aca="false">IF(5&gt;Hold_Yrs,0,G2112+G1203+G1506+G1809+G2415+G1506*Prepay_Pen+IF(5=Hold_Yrs,$C2718,0))</f>
        <v>0</v>
      </c>
      <c r="I3021" s="99" t="n">
        <f aca="false">IF(6&gt;Hold_Yrs,0,H2112+H1203+H1506+H1809+H2415+H1506*Prepay_Pen+IF(6=Hold_Yrs,$C2718,0))</f>
        <v>0</v>
      </c>
      <c r="J3021" s="99" t="n">
        <f aca="false">IF(7&gt;Hold_Yrs,0,I2112+I1203+I1506+I1809+I2415+I1506*Prepay_Pen+IF(7=Hold_Yrs,$C2718,0))</f>
        <v>0</v>
      </c>
      <c r="K3021" s="99" t="n">
        <f aca="false">IF(8&gt;Hold_Yrs,0,J2112+J1203+J1506+J1809+J2415+J1506*Prepay_Pen+IF(8=Hold_Yrs,$C2718,0))</f>
        <v>0</v>
      </c>
      <c r="L3021" s="99" t="n">
        <f aca="false">IF(9&gt;Hold_Yrs,0,K2112+K1203+K1506+K1809+K2415+K1506*Prepay_Pen+IF(9=Hold_Yrs,$C2718,0))</f>
        <v>0</v>
      </c>
      <c r="M3021" s="99" t="n">
        <f aca="false">IF(10&gt;Hold_Yrs,0,L2112+L1203+L1506+L1809+L2415+L1506*Prepay_Pen+IF(10=Hold_Yrs,$C2718,0))</f>
        <v>0</v>
      </c>
    </row>
    <row r="3022" customFormat="false" ht="15" hidden="false" customHeight="false" outlineLevel="0" collapsed="false">
      <c r="B3022" s="108" t="n">
        <f aca="false">'Loan Tape'!$A291</f>
        <v>0</v>
      </c>
      <c r="C3022" s="71" t="n">
        <f aca="false">-'Loan Tape'!$BB291</f>
        <v>-0</v>
      </c>
      <c r="D3022" s="71" t="n">
        <f aca="false">IF(1&gt;Hold_Yrs,0,C2113+C1204+C1507+C1810+C2416+C1507*Prepay_Pen+IF(1=Hold_Yrs,$C2719,0))</f>
        <v>0</v>
      </c>
      <c r="E3022" s="71" t="n">
        <f aca="false">IF(2&gt;Hold_Yrs,0,D2113+D1204+D1507+D1810+D2416+D1507*Prepay_Pen+IF(2=Hold_Yrs,$C2719,0))</f>
        <v>0</v>
      </c>
      <c r="F3022" s="71" t="n">
        <f aca="false">IF(3&gt;Hold_Yrs,0,E2113+E1204+E1507+E1810+E2416+E1507*Prepay_Pen+IF(3=Hold_Yrs,$C2719,0))</f>
        <v>0</v>
      </c>
      <c r="G3022" s="71" t="n">
        <f aca="false">IF(4&gt;Hold_Yrs,0,F2113+F1204+F1507+F1810+F2416+F1507*Prepay_Pen+IF(4=Hold_Yrs,$C2719,0))</f>
        <v>0</v>
      </c>
      <c r="H3022" s="71" t="n">
        <f aca="false">IF(5&gt;Hold_Yrs,0,G2113+G1204+G1507+G1810+G2416+G1507*Prepay_Pen+IF(5=Hold_Yrs,$C2719,0))</f>
        <v>0</v>
      </c>
      <c r="I3022" s="71" t="n">
        <f aca="false">IF(6&gt;Hold_Yrs,0,H2113+H1204+H1507+H1810+H2416+H1507*Prepay_Pen+IF(6=Hold_Yrs,$C2719,0))</f>
        <v>0</v>
      </c>
      <c r="J3022" s="71" t="n">
        <f aca="false">IF(7&gt;Hold_Yrs,0,I2113+I1204+I1507+I1810+I2416+I1507*Prepay_Pen+IF(7=Hold_Yrs,$C2719,0))</f>
        <v>0</v>
      </c>
      <c r="K3022" s="71" t="n">
        <f aca="false">IF(8&gt;Hold_Yrs,0,J2113+J1204+J1507+J1810+J2416+J1507*Prepay_Pen+IF(8=Hold_Yrs,$C2719,0))</f>
        <v>0</v>
      </c>
      <c r="L3022" s="71" t="n">
        <f aca="false">IF(9&gt;Hold_Yrs,0,K2113+K1204+K1507+K1810+K2416+K1507*Prepay_Pen+IF(9=Hold_Yrs,$C2719,0))</f>
        <v>0</v>
      </c>
      <c r="M3022" s="71" t="n">
        <f aca="false">IF(10&gt;Hold_Yrs,0,L2113+L1204+L1507+L1810+L2416+L1507*Prepay_Pen+IF(10=Hold_Yrs,$C2719,0))</f>
        <v>0</v>
      </c>
    </row>
    <row r="3023" customFormat="false" ht="15" hidden="false" customHeight="false" outlineLevel="0" collapsed="false">
      <c r="B3023" s="102" t="n">
        <f aca="false">'Loan Tape'!$A292</f>
        <v>0</v>
      </c>
      <c r="C3023" s="99" t="n">
        <f aca="false">-'Loan Tape'!$BB292</f>
        <v>-0</v>
      </c>
      <c r="D3023" s="99" t="n">
        <f aca="false">IF(1&gt;Hold_Yrs,0,C2114+C1205+C1508+C1811+C2417+C1508*Prepay_Pen+IF(1=Hold_Yrs,$C2720,0))</f>
        <v>0</v>
      </c>
      <c r="E3023" s="99" t="n">
        <f aca="false">IF(2&gt;Hold_Yrs,0,D2114+D1205+D1508+D1811+D2417+D1508*Prepay_Pen+IF(2=Hold_Yrs,$C2720,0))</f>
        <v>0</v>
      </c>
      <c r="F3023" s="99" t="n">
        <f aca="false">IF(3&gt;Hold_Yrs,0,E2114+E1205+E1508+E1811+E2417+E1508*Prepay_Pen+IF(3=Hold_Yrs,$C2720,0))</f>
        <v>0</v>
      </c>
      <c r="G3023" s="99" t="n">
        <f aca="false">IF(4&gt;Hold_Yrs,0,F2114+F1205+F1508+F1811+F2417+F1508*Prepay_Pen+IF(4=Hold_Yrs,$C2720,0))</f>
        <v>0</v>
      </c>
      <c r="H3023" s="99" t="n">
        <f aca="false">IF(5&gt;Hold_Yrs,0,G2114+G1205+G1508+G1811+G2417+G1508*Prepay_Pen+IF(5=Hold_Yrs,$C2720,0))</f>
        <v>0</v>
      </c>
      <c r="I3023" s="99" t="n">
        <f aca="false">IF(6&gt;Hold_Yrs,0,H2114+H1205+H1508+H1811+H2417+H1508*Prepay_Pen+IF(6=Hold_Yrs,$C2720,0))</f>
        <v>0</v>
      </c>
      <c r="J3023" s="99" t="n">
        <f aca="false">IF(7&gt;Hold_Yrs,0,I2114+I1205+I1508+I1811+I2417+I1508*Prepay_Pen+IF(7=Hold_Yrs,$C2720,0))</f>
        <v>0</v>
      </c>
      <c r="K3023" s="99" t="n">
        <f aca="false">IF(8&gt;Hold_Yrs,0,J2114+J1205+J1508+J1811+J2417+J1508*Prepay_Pen+IF(8=Hold_Yrs,$C2720,0))</f>
        <v>0</v>
      </c>
      <c r="L3023" s="99" t="n">
        <f aca="false">IF(9&gt;Hold_Yrs,0,K2114+K1205+K1508+K1811+K2417+K1508*Prepay_Pen+IF(9=Hold_Yrs,$C2720,0))</f>
        <v>0</v>
      </c>
      <c r="M3023" s="99" t="n">
        <f aca="false">IF(10&gt;Hold_Yrs,0,L2114+L1205+L1508+L1811+L2417+L1508*Prepay_Pen+IF(10=Hold_Yrs,$C2720,0))</f>
        <v>0</v>
      </c>
    </row>
    <row r="3024" customFormat="false" ht="15" hidden="false" customHeight="false" outlineLevel="0" collapsed="false">
      <c r="B3024" s="108" t="n">
        <f aca="false">'Loan Tape'!$A293</f>
        <v>0</v>
      </c>
      <c r="C3024" s="71" t="n">
        <f aca="false">-'Loan Tape'!$BB293</f>
        <v>-0</v>
      </c>
      <c r="D3024" s="71" t="n">
        <f aca="false">IF(1&gt;Hold_Yrs,0,C2115+C1206+C1509+C1812+C2418+C1509*Prepay_Pen+IF(1=Hold_Yrs,$C2721,0))</f>
        <v>0</v>
      </c>
      <c r="E3024" s="71" t="n">
        <f aca="false">IF(2&gt;Hold_Yrs,0,D2115+D1206+D1509+D1812+D2418+D1509*Prepay_Pen+IF(2=Hold_Yrs,$C2721,0))</f>
        <v>0</v>
      </c>
      <c r="F3024" s="71" t="n">
        <f aca="false">IF(3&gt;Hold_Yrs,0,E2115+E1206+E1509+E1812+E2418+E1509*Prepay_Pen+IF(3=Hold_Yrs,$C2721,0))</f>
        <v>0</v>
      </c>
      <c r="G3024" s="71" t="n">
        <f aca="false">IF(4&gt;Hold_Yrs,0,F2115+F1206+F1509+F1812+F2418+F1509*Prepay_Pen+IF(4=Hold_Yrs,$C2721,0))</f>
        <v>0</v>
      </c>
      <c r="H3024" s="71" t="n">
        <f aca="false">IF(5&gt;Hold_Yrs,0,G2115+G1206+G1509+G1812+G2418+G1509*Prepay_Pen+IF(5=Hold_Yrs,$C2721,0))</f>
        <v>0</v>
      </c>
      <c r="I3024" s="71" t="n">
        <f aca="false">IF(6&gt;Hold_Yrs,0,H2115+H1206+H1509+H1812+H2418+H1509*Prepay_Pen+IF(6=Hold_Yrs,$C2721,0))</f>
        <v>0</v>
      </c>
      <c r="J3024" s="71" t="n">
        <f aca="false">IF(7&gt;Hold_Yrs,0,I2115+I1206+I1509+I1812+I2418+I1509*Prepay_Pen+IF(7=Hold_Yrs,$C2721,0))</f>
        <v>0</v>
      </c>
      <c r="K3024" s="71" t="n">
        <f aca="false">IF(8&gt;Hold_Yrs,0,J2115+J1206+J1509+J1812+J2418+J1509*Prepay_Pen+IF(8=Hold_Yrs,$C2721,0))</f>
        <v>0</v>
      </c>
      <c r="L3024" s="71" t="n">
        <f aca="false">IF(9&gt;Hold_Yrs,0,K2115+K1206+K1509+K1812+K2418+K1509*Prepay_Pen+IF(9=Hold_Yrs,$C2721,0))</f>
        <v>0</v>
      </c>
      <c r="M3024" s="71" t="n">
        <f aca="false">IF(10&gt;Hold_Yrs,0,L2115+L1206+L1509+L1812+L2418+L1509*Prepay_Pen+IF(10=Hold_Yrs,$C2721,0))</f>
        <v>0</v>
      </c>
    </row>
    <row r="3025" customFormat="false" ht="15" hidden="false" customHeight="false" outlineLevel="0" collapsed="false">
      <c r="B3025" s="102" t="n">
        <f aca="false">'Loan Tape'!$A294</f>
        <v>0</v>
      </c>
      <c r="C3025" s="99" t="n">
        <f aca="false">-'Loan Tape'!$BB294</f>
        <v>-0</v>
      </c>
      <c r="D3025" s="99" t="n">
        <f aca="false">IF(1&gt;Hold_Yrs,0,C2116+C1207+C1510+C1813+C2419+C1510*Prepay_Pen+IF(1=Hold_Yrs,$C2722,0))</f>
        <v>0</v>
      </c>
      <c r="E3025" s="99" t="n">
        <f aca="false">IF(2&gt;Hold_Yrs,0,D2116+D1207+D1510+D1813+D2419+D1510*Prepay_Pen+IF(2=Hold_Yrs,$C2722,0))</f>
        <v>0</v>
      </c>
      <c r="F3025" s="99" t="n">
        <f aca="false">IF(3&gt;Hold_Yrs,0,E2116+E1207+E1510+E1813+E2419+E1510*Prepay_Pen+IF(3=Hold_Yrs,$C2722,0))</f>
        <v>0</v>
      </c>
      <c r="G3025" s="99" t="n">
        <f aca="false">IF(4&gt;Hold_Yrs,0,F2116+F1207+F1510+F1813+F2419+F1510*Prepay_Pen+IF(4=Hold_Yrs,$C2722,0))</f>
        <v>0</v>
      </c>
      <c r="H3025" s="99" t="n">
        <f aca="false">IF(5&gt;Hold_Yrs,0,G2116+G1207+G1510+G1813+G2419+G1510*Prepay_Pen+IF(5=Hold_Yrs,$C2722,0))</f>
        <v>0</v>
      </c>
      <c r="I3025" s="99" t="n">
        <f aca="false">IF(6&gt;Hold_Yrs,0,H2116+H1207+H1510+H1813+H2419+H1510*Prepay_Pen+IF(6=Hold_Yrs,$C2722,0))</f>
        <v>0</v>
      </c>
      <c r="J3025" s="99" t="n">
        <f aca="false">IF(7&gt;Hold_Yrs,0,I2116+I1207+I1510+I1813+I2419+I1510*Prepay_Pen+IF(7=Hold_Yrs,$C2722,0))</f>
        <v>0</v>
      </c>
      <c r="K3025" s="99" t="n">
        <f aca="false">IF(8&gt;Hold_Yrs,0,J2116+J1207+J1510+J1813+J2419+J1510*Prepay_Pen+IF(8=Hold_Yrs,$C2722,0))</f>
        <v>0</v>
      </c>
      <c r="L3025" s="99" t="n">
        <f aca="false">IF(9&gt;Hold_Yrs,0,K2116+K1207+K1510+K1813+K2419+K1510*Prepay_Pen+IF(9=Hold_Yrs,$C2722,0))</f>
        <v>0</v>
      </c>
      <c r="M3025" s="99" t="n">
        <f aca="false">IF(10&gt;Hold_Yrs,0,L2116+L1207+L1510+L1813+L2419+L1510*Prepay_Pen+IF(10=Hold_Yrs,$C2722,0))</f>
        <v>0</v>
      </c>
    </row>
    <row r="3026" customFormat="false" ht="15" hidden="false" customHeight="false" outlineLevel="0" collapsed="false">
      <c r="B3026" s="108" t="n">
        <f aca="false">'Loan Tape'!$A295</f>
        <v>0</v>
      </c>
      <c r="C3026" s="71" t="n">
        <f aca="false">-'Loan Tape'!$BB295</f>
        <v>-0</v>
      </c>
      <c r="D3026" s="71" t="n">
        <f aca="false">IF(1&gt;Hold_Yrs,0,C2117+C1208+C1511+C1814+C2420+C1511*Prepay_Pen+IF(1=Hold_Yrs,$C2723,0))</f>
        <v>0</v>
      </c>
      <c r="E3026" s="71" t="n">
        <f aca="false">IF(2&gt;Hold_Yrs,0,D2117+D1208+D1511+D1814+D2420+D1511*Prepay_Pen+IF(2=Hold_Yrs,$C2723,0))</f>
        <v>0</v>
      </c>
      <c r="F3026" s="71" t="n">
        <f aca="false">IF(3&gt;Hold_Yrs,0,E2117+E1208+E1511+E1814+E2420+E1511*Prepay_Pen+IF(3=Hold_Yrs,$C2723,0))</f>
        <v>0</v>
      </c>
      <c r="G3026" s="71" t="n">
        <f aca="false">IF(4&gt;Hold_Yrs,0,F2117+F1208+F1511+F1814+F2420+F1511*Prepay_Pen+IF(4=Hold_Yrs,$C2723,0))</f>
        <v>0</v>
      </c>
      <c r="H3026" s="71" t="n">
        <f aca="false">IF(5&gt;Hold_Yrs,0,G2117+G1208+G1511+G1814+G2420+G1511*Prepay_Pen+IF(5=Hold_Yrs,$C2723,0))</f>
        <v>0</v>
      </c>
      <c r="I3026" s="71" t="n">
        <f aca="false">IF(6&gt;Hold_Yrs,0,H2117+H1208+H1511+H1814+H2420+H1511*Prepay_Pen+IF(6=Hold_Yrs,$C2723,0))</f>
        <v>0</v>
      </c>
      <c r="J3026" s="71" t="n">
        <f aca="false">IF(7&gt;Hold_Yrs,0,I2117+I1208+I1511+I1814+I2420+I1511*Prepay_Pen+IF(7=Hold_Yrs,$C2723,0))</f>
        <v>0</v>
      </c>
      <c r="K3026" s="71" t="n">
        <f aca="false">IF(8&gt;Hold_Yrs,0,J2117+J1208+J1511+J1814+J2420+J1511*Prepay_Pen+IF(8=Hold_Yrs,$C2723,0))</f>
        <v>0</v>
      </c>
      <c r="L3026" s="71" t="n">
        <f aca="false">IF(9&gt;Hold_Yrs,0,K2117+K1208+K1511+K1814+K2420+K1511*Prepay_Pen+IF(9=Hold_Yrs,$C2723,0))</f>
        <v>0</v>
      </c>
      <c r="M3026" s="71" t="n">
        <f aca="false">IF(10&gt;Hold_Yrs,0,L2117+L1208+L1511+L1814+L2420+L1511*Prepay_Pen+IF(10=Hold_Yrs,$C2723,0))</f>
        <v>0</v>
      </c>
    </row>
    <row r="3027" customFormat="false" ht="15" hidden="false" customHeight="false" outlineLevel="0" collapsed="false">
      <c r="B3027" s="102" t="n">
        <f aca="false">'Loan Tape'!$A296</f>
        <v>0</v>
      </c>
      <c r="C3027" s="99" t="n">
        <f aca="false">-'Loan Tape'!$BB296</f>
        <v>-0</v>
      </c>
      <c r="D3027" s="99" t="n">
        <f aca="false">IF(1&gt;Hold_Yrs,0,C2118+C1209+C1512+C1815+C2421+C1512*Prepay_Pen+IF(1=Hold_Yrs,$C2724,0))</f>
        <v>0</v>
      </c>
      <c r="E3027" s="99" t="n">
        <f aca="false">IF(2&gt;Hold_Yrs,0,D2118+D1209+D1512+D1815+D2421+D1512*Prepay_Pen+IF(2=Hold_Yrs,$C2724,0))</f>
        <v>0</v>
      </c>
      <c r="F3027" s="99" t="n">
        <f aca="false">IF(3&gt;Hold_Yrs,0,E2118+E1209+E1512+E1815+E2421+E1512*Prepay_Pen+IF(3=Hold_Yrs,$C2724,0))</f>
        <v>0</v>
      </c>
      <c r="G3027" s="99" t="n">
        <f aca="false">IF(4&gt;Hold_Yrs,0,F2118+F1209+F1512+F1815+F2421+F1512*Prepay_Pen+IF(4=Hold_Yrs,$C2724,0))</f>
        <v>0</v>
      </c>
      <c r="H3027" s="99" t="n">
        <f aca="false">IF(5&gt;Hold_Yrs,0,G2118+G1209+G1512+G1815+G2421+G1512*Prepay_Pen+IF(5=Hold_Yrs,$C2724,0))</f>
        <v>0</v>
      </c>
      <c r="I3027" s="99" t="n">
        <f aca="false">IF(6&gt;Hold_Yrs,0,H2118+H1209+H1512+H1815+H2421+H1512*Prepay_Pen+IF(6=Hold_Yrs,$C2724,0))</f>
        <v>0</v>
      </c>
      <c r="J3027" s="99" t="n">
        <f aca="false">IF(7&gt;Hold_Yrs,0,I2118+I1209+I1512+I1815+I2421+I1512*Prepay_Pen+IF(7=Hold_Yrs,$C2724,0))</f>
        <v>0</v>
      </c>
      <c r="K3027" s="99" t="n">
        <f aca="false">IF(8&gt;Hold_Yrs,0,J2118+J1209+J1512+J1815+J2421+J1512*Prepay_Pen+IF(8=Hold_Yrs,$C2724,0))</f>
        <v>0</v>
      </c>
      <c r="L3027" s="99" t="n">
        <f aca="false">IF(9&gt;Hold_Yrs,0,K2118+K1209+K1512+K1815+K2421+K1512*Prepay_Pen+IF(9=Hold_Yrs,$C2724,0))</f>
        <v>0</v>
      </c>
      <c r="M3027" s="99" t="n">
        <f aca="false">IF(10&gt;Hold_Yrs,0,L2118+L1209+L1512+L1815+L2421+L1512*Prepay_Pen+IF(10=Hold_Yrs,$C2724,0))</f>
        <v>0</v>
      </c>
    </row>
    <row r="3028" customFormat="false" ht="15" hidden="false" customHeight="false" outlineLevel="0" collapsed="false">
      <c r="B3028" s="108" t="n">
        <f aca="false">'Loan Tape'!$A297</f>
        <v>0</v>
      </c>
      <c r="C3028" s="71" t="n">
        <f aca="false">-'Loan Tape'!$BB297</f>
        <v>-0</v>
      </c>
      <c r="D3028" s="71" t="n">
        <f aca="false">IF(1&gt;Hold_Yrs,0,C2119+C1210+C1513+C1816+C2422+C1513*Prepay_Pen+IF(1=Hold_Yrs,$C2725,0))</f>
        <v>0</v>
      </c>
      <c r="E3028" s="71" t="n">
        <f aca="false">IF(2&gt;Hold_Yrs,0,D2119+D1210+D1513+D1816+D2422+D1513*Prepay_Pen+IF(2=Hold_Yrs,$C2725,0))</f>
        <v>0</v>
      </c>
      <c r="F3028" s="71" t="n">
        <f aca="false">IF(3&gt;Hold_Yrs,0,E2119+E1210+E1513+E1816+E2422+E1513*Prepay_Pen+IF(3=Hold_Yrs,$C2725,0))</f>
        <v>0</v>
      </c>
      <c r="G3028" s="71" t="n">
        <f aca="false">IF(4&gt;Hold_Yrs,0,F2119+F1210+F1513+F1816+F2422+F1513*Prepay_Pen+IF(4=Hold_Yrs,$C2725,0))</f>
        <v>0</v>
      </c>
      <c r="H3028" s="71" t="n">
        <f aca="false">IF(5&gt;Hold_Yrs,0,G2119+G1210+G1513+G1816+G2422+G1513*Prepay_Pen+IF(5=Hold_Yrs,$C2725,0))</f>
        <v>0</v>
      </c>
      <c r="I3028" s="71" t="n">
        <f aca="false">IF(6&gt;Hold_Yrs,0,H2119+H1210+H1513+H1816+H2422+H1513*Prepay_Pen+IF(6=Hold_Yrs,$C2725,0))</f>
        <v>0</v>
      </c>
      <c r="J3028" s="71" t="n">
        <f aca="false">IF(7&gt;Hold_Yrs,0,I2119+I1210+I1513+I1816+I2422+I1513*Prepay_Pen+IF(7=Hold_Yrs,$C2725,0))</f>
        <v>0</v>
      </c>
      <c r="K3028" s="71" t="n">
        <f aca="false">IF(8&gt;Hold_Yrs,0,J2119+J1210+J1513+J1816+J2422+J1513*Prepay_Pen+IF(8=Hold_Yrs,$C2725,0))</f>
        <v>0</v>
      </c>
      <c r="L3028" s="71" t="n">
        <f aca="false">IF(9&gt;Hold_Yrs,0,K2119+K1210+K1513+K1816+K2422+K1513*Prepay_Pen+IF(9=Hold_Yrs,$C2725,0))</f>
        <v>0</v>
      </c>
      <c r="M3028" s="71" t="n">
        <f aca="false">IF(10&gt;Hold_Yrs,0,L2119+L1210+L1513+L1816+L2422+L1513*Prepay_Pen+IF(10=Hold_Yrs,$C2725,0))</f>
        <v>0</v>
      </c>
    </row>
    <row r="3029" customFormat="false" ht="15" hidden="false" customHeight="false" outlineLevel="0" collapsed="false">
      <c r="B3029" s="102" t="n">
        <f aca="false">'Loan Tape'!$A298</f>
        <v>0</v>
      </c>
      <c r="C3029" s="99" t="n">
        <f aca="false">-'Loan Tape'!$BB298</f>
        <v>-0</v>
      </c>
      <c r="D3029" s="99" t="n">
        <f aca="false">IF(1&gt;Hold_Yrs,0,C2120+C1211+C1514+C1817+C2423+C1514*Prepay_Pen+IF(1=Hold_Yrs,$C2726,0))</f>
        <v>0</v>
      </c>
      <c r="E3029" s="99" t="n">
        <f aca="false">IF(2&gt;Hold_Yrs,0,D2120+D1211+D1514+D1817+D2423+D1514*Prepay_Pen+IF(2=Hold_Yrs,$C2726,0))</f>
        <v>0</v>
      </c>
      <c r="F3029" s="99" t="n">
        <f aca="false">IF(3&gt;Hold_Yrs,0,E2120+E1211+E1514+E1817+E2423+E1514*Prepay_Pen+IF(3=Hold_Yrs,$C2726,0))</f>
        <v>0</v>
      </c>
      <c r="G3029" s="99" t="n">
        <f aca="false">IF(4&gt;Hold_Yrs,0,F2120+F1211+F1514+F1817+F2423+F1514*Prepay_Pen+IF(4=Hold_Yrs,$C2726,0))</f>
        <v>0</v>
      </c>
      <c r="H3029" s="99" t="n">
        <f aca="false">IF(5&gt;Hold_Yrs,0,G2120+G1211+G1514+G1817+G2423+G1514*Prepay_Pen+IF(5=Hold_Yrs,$C2726,0))</f>
        <v>0</v>
      </c>
      <c r="I3029" s="99" t="n">
        <f aca="false">IF(6&gt;Hold_Yrs,0,H2120+H1211+H1514+H1817+H2423+H1514*Prepay_Pen+IF(6=Hold_Yrs,$C2726,0))</f>
        <v>0</v>
      </c>
      <c r="J3029" s="99" t="n">
        <f aca="false">IF(7&gt;Hold_Yrs,0,I2120+I1211+I1514+I1817+I2423+I1514*Prepay_Pen+IF(7=Hold_Yrs,$C2726,0))</f>
        <v>0</v>
      </c>
      <c r="K3029" s="99" t="n">
        <f aca="false">IF(8&gt;Hold_Yrs,0,J2120+J1211+J1514+J1817+J2423+J1514*Prepay_Pen+IF(8=Hold_Yrs,$C2726,0))</f>
        <v>0</v>
      </c>
      <c r="L3029" s="99" t="n">
        <f aca="false">IF(9&gt;Hold_Yrs,0,K2120+K1211+K1514+K1817+K2423+K1514*Prepay_Pen+IF(9=Hold_Yrs,$C2726,0))</f>
        <v>0</v>
      </c>
      <c r="M3029" s="99" t="n">
        <f aca="false">IF(10&gt;Hold_Yrs,0,L2120+L1211+L1514+L1817+L2423+L1514*Prepay_Pen+IF(10=Hold_Yrs,$C2726,0))</f>
        <v>0</v>
      </c>
    </row>
    <row r="3030" customFormat="false" ht="15" hidden="false" customHeight="false" outlineLevel="0" collapsed="false">
      <c r="B3030" s="108" t="n">
        <f aca="false">'Loan Tape'!$A299</f>
        <v>0</v>
      </c>
      <c r="C3030" s="71" t="n">
        <f aca="false">-'Loan Tape'!$BB299</f>
        <v>-0</v>
      </c>
      <c r="D3030" s="71" t="n">
        <f aca="false">IF(1&gt;Hold_Yrs,0,C2121+C1212+C1515+C1818+C2424+C1515*Prepay_Pen+IF(1=Hold_Yrs,$C2727,0))</f>
        <v>0</v>
      </c>
      <c r="E3030" s="71" t="n">
        <f aca="false">IF(2&gt;Hold_Yrs,0,D2121+D1212+D1515+D1818+D2424+D1515*Prepay_Pen+IF(2=Hold_Yrs,$C2727,0))</f>
        <v>0</v>
      </c>
      <c r="F3030" s="71" t="n">
        <f aca="false">IF(3&gt;Hold_Yrs,0,E2121+E1212+E1515+E1818+E2424+E1515*Prepay_Pen+IF(3=Hold_Yrs,$C2727,0))</f>
        <v>0</v>
      </c>
      <c r="G3030" s="71" t="n">
        <f aca="false">IF(4&gt;Hold_Yrs,0,F2121+F1212+F1515+F1818+F2424+F1515*Prepay_Pen+IF(4=Hold_Yrs,$C2727,0))</f>
        <v>0</v>
      </c>
      <c r="H3030" s="71" t="n">
        <f aca="false">IF(5&gt;Hold_Yrs,0,G2121+G1212+G1515+G1818+G2424+G1515*Prepay_Pen+IF(5=Hold_Yrs,$C2727,0))</f>
        <v>0</v>
      </c>
      <c r="I3030" s="71" t="n">
        <f aca="false">IF(6&gt;Hold_Yrs,0,H2121+H1212+H1515+H1818+H2424+H1515*Prepay_Pen+IF(6=Hold_Yrs,$C2727,0))</f>
        <v>0</v>
      </c>
      <c r="J3030" s="71" t="n">
        <f aca="false">IF(7&gt;Hold_Yrs,0,I2121+I1212+I1515+I1818+I2424+I1515*Prepay_Pen+IF(7=Hold_Yrs,$C2727,0))</f>
        <v>0</v>
      </c>
      <c r="K3030" s="71" t="n">
        <f aca="false">IF(8&gt;Hold_Yrs,0,J2121+J1212+J1515+J1818+J2424+J1515*Prepay_Pen+IF(8=Hold_Yrs,$C2727,0))</f>
        <v>0</v>
      </c>
      <c r="L3030" s="71" t="n">
        <f aca="false">IF(9&gt;Hold_Yrs,0,K2121+K1212+K1515+K1818+K2424+K1515*Prepay_Pen+IF(9=Hold_Yrs,$C2727,0))</f>
        <v>0</v>
      </c>
      <c r="M3030" s="71" t="n">
        <f aca="false">IF(10&gt;Hold_Yrs,0,L2121+L1212+L1515+L1818+L2424+L1515*Prepay_Pen+IF(10=Hold_Yrs,$C2727,0))</f>
        <v>0</v>
      </c>
    </row>
    <row r="3031" customFormat="false" ht="15" hidden="false" customHeight="false" outlineLevel="0" collapsed="false">
      <c r="B3031" s="102" t="n">
        <f aca="false">'Loan Tape'!$A300</f>
        <v>0</v>
      </c>
      <c r="C3031" s="99" t="n">
        <f aca="false">-'Loan Tape'!$BB300</f>
        <v>-0</v>
      </c>
      <c r="D3031" s="99" t="n">
        <f aca="false">IF(1&gt;Hold_Yrs,0,C2122+C1213+C1516+C1819+C2425+C1516*Prepay_Pen+IF(1=Hold_Yrs,$C2728,0))</f>
        <v>0</v>
      </c>
      <c r="E3031" s="99" t="n">
        <f aca="false">IF(2&gt;Hold_Yrs,0,D2122+D1213+D1516+D1819+D2425+D1516*Prepay_Pen+IF(2=Hold_Yrs,$C2728,0))</f>
        <v>0</v>
      </c>
      <c r="F3031" s="99" t="n">
        <f aca="false">IF(3&gt;Hold_Yrs,0,E2122+E1213+E1516+E1819+E2425+E1516*Prepay_Pen+IF(3=Hold_Yrs,$C2728,0))</f>
        <v>0</v>
      </c>
      <c r="G3031" s="99" t="n">
        <f aca="false">IF(4&gt;Hold_Yrs,0,F2122+F1213+F1516+F1819+F2425+F1516*Prepay_Pen+IF(4=Hold_Yrs,$C2728,0))</f>
        <v>0</v>
      </c>
      <c r="H3031" s="99" t="n">
        <f aca="false">IF(5&gt;Hold_Yrs,0,G2122+G1213+G1516+G1819+G2425+G1516*Prepay_Pen+IF(5=Hold_Yrs,$C2728,0))</f>
        <v>0</v>
      </c>
      <c r="I3031" s="99" t="n">
        <f aca="false">IF(6&gt;Hold_Yrs,0,H2122+H1213+H1516+H1819+H2425+H1516*Prepay_Pen+IF(6=Hold_Yrs,$C2728,0))</f>
        <v>0</v>
      </c>
      <c r="J3031" s="99" t="n">
        <f aca="false">IF(7&gt;Hold_Yrs,0,I2122+I1213+I1516+I1819+I2425+I1516*Prepay_Pen+IF(7=Hold_Yrs,$C2728,0))</f>
        <v>0</v>
      </c>
      <c r="K3031" s="99" t="n">
        <f aca="false">IF(8&gt;Hold_Yrs,0,J2122+J1213+J1516+J1819+J2425+J1516*Prepay_Pen+IF(8=Hold_Yrs,$C2728,0))</f>
        <v>0</v>
      </c>
      <c r="L3031" s="99" t="n">
        <f aca="false">IF(9&gt;Hold_Yrs,0,K2122+K1213+K1516+K1819+K2425+K1516*Prepay_Pen+IF(9=Hold_Yrs,$C2728,0))</f>
        <v>0</v>
      </c>
      <c r="M3031" s="99" t="n">
        <f aca="false">IF(10&gt;Hold_Yrs,0,L2122+L1213+L1516+L1819+L2425+L1516*Prepay_Pen+IF(10=Hold_Yrs,$C2728,0))</f>
        <v>0</v>
      </c>
    </row>
    <row r="3032" customFormat="false" ht="15" hidden="false" customHeight="false" outlineLevel="0" collapsed="false">
      <c r="B3032" s="108" t="n">
        <f aca="false">'Loan Tape'!$A301</f>
        <v>0</v>
      </c>
      <c r="C3032" s="71" t="n">
        <f aca="false">-'Loan Tape'!$BB301</f>
        <v>-0</v>
      </c>
      <c r="D3032" s="71" t="n">
        <f aca="false">IF(1&gt;Hold_Yrs,0,C2123+C1214+C1517+C1820+C2426+C1517*Prepay_Pen+IF(1=Hold_Yrs,$C2729,0))</f>
        <v>0</v>
      </c>
      <c r="E3032" s="71" t="n">
        <f aca="false">IF(2&gt;Hold_Yrs,0,D2123+D1214+D1517+D1820+D2426+D1517*Prepay_Pen+IF(2=Hold_Yrs,$C2729,0))</f>
        <v>0</v>
      </c>
      <c r="F3032" s="71" t="n">
        <f aca="false">IF(3&gt;Hold_Yrs,0,E2123+E1214+E1517+E1820+E2426+E1517*Prepay_Pen+IF(3=Hold_Yrs,$C2729,0))</f>
        <v>0</v>
      </c>
      <c r="G3032" s="71" t="n">
        <f aca="false">IF(4&gt;Hold_Yrs,0,F2123+F1214+F1517+F1820+F2426+F1517*Prepay_Pen+IF(4=Hold_Yrs,$C2729,0))</f>
        <v>0</v>
      </c>
      <c r="H3032" s="71" t="n">
        <f aca="false">IF(5&gt;Hold_Yrs,0,G2123+G1214+G1517+G1820+G2426+G1517*Prepay_Pen+IF(5=Hold_Yrs,$C2729,0))</f>
        <v>0</v>
      </c>
      <c r="I3032" s="71" t="n">
        <f aca="false">IF(6&gt;Hold_Yrs,0,H2123+H1214+H1517+H1820+H2426+H1517*Prepay_Pen+IF(6=Hold_Yrs,$C2729,0))</f>
        <v>0</v>
      </c>
      <c r="J3032" s="71" t="n">
        <f aca="false">IF(7&gt;Hold_Yrs,0,I2123+I1214+I1517+I1820+I2426+I1517*Prepay_Pen+IF(7=Hold_Yrs,$C2729,0))</f>
        <v>0</v>
      </c>
      <c r="K3032" s="71" t="n">
        <f aca="false">IF(8&gt;Hold_Yrs,0,J2123+J1214+J1517+J1820+J2426+J1517*Prepay_Pen+IF(8=Hold_Yrs,$C2729,0))</f>
        <v>0</v>
      </c>
      <c r="L3032" s="71" t="n">
        <f aca="false">IF(9&gt;Hold_Yrs,0,K2123+K1214+K1517+K1820+K2426+K1517*Prepay_Pen+IF(9=Hold_Yrs,$C2729,0))</f>
        <v>0</v>
      </c>
      <c r="M3032" s="71" t="n">
        <f aca="false">IF(10&gt;Hold_Yrs,0,L2123+L1214+L1517+L1820+L2426+L1517*Prepay_Pen+IF(10=Hold_Yrs,$C2729,0))</f>
        <v>0</v>
      </c>
    </row>
    <row r="3033" customFormat="false" ht="15" hidden="false" customHeight="false" outlineLevel="0" collapsed="false">
      <c r="B3033" s="102" t="n">
        <f aca="false">'Loan Tape'!$A302</f>
        <v>0</v>
      </c>
      <c r="C3033" s="99" t="n">
        <f aca="false">-'Loan Tape'!$BB302</f>
        <v>-0</v>
      </c>
      <c r="D3033" s="99" t="n">
        <f aca="false">IF(1&gt;Hold_Yrs,0,C2124+C1215+C1518+C1821+C2427+C1518*Prepay_Pen+IF(1=Hold_Yrs,$C2730,0))</f>
        <v>0</v>
      </c>
      <c r="E3033" s="99" t="n">
        <f aca="false">IF(2&gt;Hold_Yrs,0,D2124+D1215+D1518+D1821+D2427+D1518*Prepay_Pen+IF(2=Hold_Yrs,$C2730,0))</f>
        <v>0</v>
      </c>
      <c r="F3033" s="99" t="n">
        <f aca="false">IF(3&gt;Hold_Yrs,0,E2124+E1215+E1518+E1821+E2427+E1518*Prepay_Pen+IF(3=Hold_Yrs,$C2730,0))</f>
        <v>0</v>
      </c>
      <c r="G3033" s="99" t="n">
        <f aca="false">IF(4&gt;Hold_Yrs,0,F2124+F1215+F1518+F1821+F2427+F1518*Prepay_Pen+IF(4=Hold_Yrs,$C2730,0))</f>
        <v>0</v>
      </c>
      <c r="H3033" s="99" t="n">
        <f aca="false">IF(5&gt;Hold_Yrs,0,G2124+G1215+G1518+G1821+G2427+G1518*Prepay_Pen+IF(5=Hold_Yrs,$C2730,0))</f>
        <v>0</v>
      </c>
      <c r="I3033" s="99" t="n">
        <f aca="false">IF(6&gt;Hold_Yrs,0,H2124+H1215+H1518+H1821+H2427+H1518*Prepay_Pen+IF(6=Hold_Yrs,$C2730,0))</f>
        <v>0</v>
      </c>
      <c r="J3033" s="99" t="n">
        <f aca="false">IF(7&gt;Hold_Yrs,0,I2124+I1215+I1518+I1821+I2427+I1518*Prepay_Pen+IF(7=Hold_Yrs,$C2730,0))</f>
        <v>0</v>
      </c>
      <c r="K3033" s="99" t="n">
        <f aca="false">IF(8&gt;Hold_Yrs,0,J2124+J1215+J1518+J1821+J2427+J1518*Prepay_Pen+IF(8=Hold_Yrs,$C2730,0))</f>
        <v>0</v>
      </c>
      <c r="L3033" s="99" t="n">
        <f aca="false">IF(9&gt;Hold_Yrs,0,K2124+K1215+K1518+K1821+K2427+K1518*Prepay_Pen+IF(9=Hold_Yrs,$C2730,0))</f>
        <v>0</v>
      </c>
      <c r="M3033" s="99" t="n">
        <f aca="false">IF(10&gt;Hold_Yrs,0,L2124+L1215+L1518+L1821+L2427+L1518*Prepay_Pen+IF(10=Hold_Yrs,$C2730,0))</f>
        <v>0</v>
      </c>
    </row>
    <row r="3034" customFormat="false" ht="15" hidden="false" customHeight="false" outlineLevel="0" collapsed="false">
      <c r="B3034" s="108" t="n">
        <f aca="false">'Loan Tape'!$A303</f>
        <v>0</v>
      </c>
      <c r="C3034" s="71" t="n">
        <f aca="false">-'Loan Tape'!$BB303</f>
        <v>-0</v>
      </c>
      <c r="D3034" s="71" t="n">
        <f aca="false">IF(1&gt;Hold_Yrs,0,C2125+C1216+C1519+C1822+C2428+C1519*Prepay_Pen+IF(1=Hold_Yrs,$C2731,0))</f>
        <v>0</v>
      </c>
      <c r="E3034" s="71" t="n">
        <f aca="false">IF(2&gt;Hold_Yrs,0,D2125+D1216+D1519+D1822+D2428+D1519*Prepay_Pen+IF(2=Hold_Yrs,$C2731,0))</f>
        <v>0</v>
      </c>
      <c r="F3034" s="71" t="n">
        <f aca="false">IF(3&gt;Hold_Yrs,0,E2125+E1216+E1519+E1822+E2428+E1519*Prepay_Pen+IF(3=Hold_Yrs,$C2731,0))</f>
        <v>0</v>
      </c>
      <c r="G3034" s="71" t="n">
        <f aca="false">IF(4&gt;Hold_Yrs,0,F2125+F1216+F1519+F1822+F2428+F1519*Prepay_Pen+IF(4=Hold_Yrs,$C2731,0))</f>
        <v>0</v>
      </c>
      <c r="H3034" s="71" t="n">
        <f aca="false">IF(5&gt;Hold_Yrs,0,G2125+G1216+G1519+G1822+G2428+G1519*Prepay_Pen+IF(5=Hold_Yrs,$C2731,0))</f>
        <v>0</v>
      </c>
      <c r="I3034" s="71" t="n">
        <f aca="false">IF(6&gt;Hold_Yrs,0,H2125+H1216+H1519+H1822+H2428+H1519*Prepay_Pen+IF(6=Hold_Yrs,$C2731,0))</f>
        <v>0</v>
      </c>
      <c r="J3034" s="71" t="n">
        <f aca="false">IF(7&gt;Hold_Yrs,0,I2125+I1216+I1519+I1822+I2428+I1519*Prepay_Pen+IF(7=Hold_Yrs,$C2731,0))</f>
        <v>0</v>
      </c>
      <c r="K3034" s="71" t="n">
        <f aca="false">IF(8&gt;Hold_Yrs,0,J2125+J1216+J1519+J1822+J2428+J1519*Prepay_Pen+IF(8=Hold_Yrs,$C2731,0))</f>
        <v>0</v>
      </c>
      <c r="L3034" s="71" t="n">
        <f aca="false">IF(9&gt;Hold_Yrs,0,K2125+K1216+K1519+K1822+K2428+K1519*Prepay_Pen+IF(9=Hold_Yrs,$C2731,0))</f>
        <v>0</v>
      </c>
      <c r="M3034" s="71" t="n">
        <f aca="false">IF(10&gt;Hold_Yrs,0,L2125+L1216+L1519+L1822+L2428+L1519*Prepay_Pen+IF(10=Hold_Yrs,$C2731,0))</f>
        <v>0</v>
      </c>
    </row>
    <row r="3036" customFormat="false" ht="18" hidden="false" customHeight="true" outlineLevel="0" collapsed="false">
      <c r="B3036" s="5" t="s">
        <v>598</v>
      </c>
      <c r="C3036" s="5"/>
      <c r="D3036" s="5"/>
      <c r="E3036" s="5"/>
      <c r="F3036" s="5"/>
      <c r="G3036" s="5"/>
      <c r="H3036" s="5"/>
      <c r="I3036" s="5"/>
      <c r="J3036" s="5"/>
      <c r="K3036" s="5"/>
      <c r="L3036" s="5"/>
      <c r="M3036" s="5"/>
      <c r="O3036" s="30" t="s">
        <v>599</v>
      </c>
    </row>
    <row r="3037" customFormat="false" ht="15.75" hidden="false" customHeight="true" outlineLevel="0" collapsed="false">
      <c r="B3037" s="54" t="s">
        <v>148</v>
      </c>
      <c r="C3037" s="55" t="n">
        <v>1</v>
      </c>
      <c r="D3037" s="55" t="n">
        <v>2</v>
      </c>
      <c r="E3037" s="55" t="n">
        <v>3</v>
      </c>
      <c r="F3037" s="55" t="n">
        <v>4</v>
      </c>
      <c r="G3037" s="55" t="n">
        <v>5</v>
      </c>
      <c r="H3037" s="55" t="n">
        <v>6</v>
      </c>
      <c r="I3037" s="55" t="n">
        <v>7</v>
      </c>
      <c r="J3037" s="55" t="n">
        <v>8</v>
      </c>
      <c r="K3037" s="55" t="n">
        <v>9</v>
      </c>
      <c r="L3037" s="55" t="n">
        <v>10</v>
      </c>
      <c r="M3037" s="55" t="n">
        <v>11</v>
      </c>
    </row>
    <row r="3038" customFormat="false" ht="15" hidden="false" customHeight="false" outlineLevel="0" collapsed="false">
      <c r="B3038" s="102" t="str">
        <f aca="false">'Loan Tape'!$A4</f>
        <v>L-001</v>
      </c>
      <c r="C3038" s="99" t="n">
        <f aca="false">IF(Fin_Flag="Yes",'Loan Tape'!$BC4,0)</f>
        <v>4599420</v>
      </c>
      <c r="D3038" s="99" t="n">
        <f aca="false">MAX(0,C3038-C3341)</f>
        <v>0</v>
      </c>
      <c r="E3038" s="99" t="n">
        <f aca="false">MAX(0,D3038-D3341)</f>
        <v>0</v>
      </c>
      <c r="F3038" s="99" t="n">
        <f aca="false">MAX(0,E3038-E3341)</f>
        <v>0</v>
      </c>
      <c r="G3038" s="99" t="n">
        <f aca="false">MAX(0,F3038-F3341)</f>
        <v>0</v>
      </c>
      <c r="H3038" s="99" t="n">
        <f aca="false">MAX(0,G3038-G3341)</f>
        <v>0</v>
      </c>
      <c r="I3038" s="99" t="n">
        <f aca="false">MAX(0,H3038-H3341)</f>
        <v>0</v>
      </c>
      <c r="J3038" s="99" t="n">
        <f aca="false">MAX(0,I3038-I3341)</f>
        <v>0</v>
      </c>
      <c r="K3038" s="99" t="n">
        <f aca="false">MAX(0,J3038-J3341)</f>
        <v>0</v>
      </c>
      <c r="L3038" s="99" t="n">
        <f aca="false">MAX(0,K3038-K3341)</f>
        <v>0</v>
      </c>
      <c r="M3038" s="99" t="n">
        <f aca="false">MAX(0,L3038-L3341)</f>
        <v>0</v>
      </c>
    </row>
    <row r="3039" customFormat="false" ht="15" hidden="false" customHeight="false" outlineLevel="0" collapsed="false">
      <c r="B3039" s="108" t="str">
        <f aca="false">'Loan Tape'!$A5</f>
        <v>L-002</v>
      </c>
      <c r="C3039" s="71" t="n">
        <f aca="false">IF(Fin_Flag="Yes",'Loan Tape'!$BC5,0)</f>
        <v>6027468</v>
      </c>
      <c r="D3039" s="71" t="n">
        <f aca="false">MAX(0,C3039-C3342)</f>
        <v>4707852.15277283</v>
      </c>
      <c r="E3039" s="71" t="n">
        <f aca="false">MAX(0,D3039-D3342)</f>
        <v>0</v>
      </c>
      <c r="F3039" s="71" t="n">
        <f aca="false">MAX(0,E3039-E3342)</f>
        <v>0</v>
      </c>
      <c r="G3039" s="71" t="n">
        <f aca="false">MAX(0,F3039-F3342)</f>
        <v>0</v>
      </c>
      <c r="H3039" s="71" t="n">
        <f aca="false">MAX(0,G3039-G3342)</f>
        <v>0</v>
      </c>
      <c r="I3039" s="71" t="n">
        <f aca="false">MAX(0,H3039-H3342)</f>
        <v>0</v>
      </c>
      <c r="J3039" s="71" t="n">
        <f aca="false">MAX(0,I3039-I3342)</f>
        <v>0</v>
      </c>
      <c r="K3039" s="71" t="n">
        <f aca="false">MAX(0,J3039-J3342)</f>
        <v>0</v>
      </c>
      <c r="L3039" s="71" t="n">
        <f aca="false">MAX(0,K3039-K3342)</f>
        <v>0</v>
      </c>
      <c r="M3039" s="71" t="n">
        <f aca="false">MAX(0,L3039-L3342)</f>
        <v>0</v>
      </c>
    </row>
    <row r="3040" customFormat="false" ht="15" hidden="false" customHeight="false" outlineLevel="0" collapsed="false">
      <c r="B3040" s="102" t="str">
        <f aca="false">'Loan Tape'!$A6</f>
        <v>L-003</v>
      </c>
      <c r="C3040" s="99" t="n">
        <f aca="false">IF(Fin_Flag="Yes",'Loan Tape'!$BC6,0)</f>
        <v>67245156</v>
      </c>
      <c r="D3040" s="99" t="n">
        <f aca="false">MAX(0,C3040-C3343)</f>
        <v>53863105.679664</v>
      </c>
      <c r="E3040" s="99" t="n">
        <f aca="false">MAX(0,D3040-D3343)</f>
        <v>40355304.3544905</v>
      </c>
      <c r="F3040" s="99" t="n">
        <f aca="false">MAX(0,E3040-E3343)</f>
        <v>28459159.0132983</v>
      </c>
      <c r="G3040" s="99" t="n">
        <f aca="false">MAX(0,F3040-F3343)</f>
        <v>0</v>
      </c>
      <c r="H3040" s="99" t="n">
        <f aca="false">MAX(0,G3040-G3343)</f>
        <v>0</v>
      </c>
      <c r="I3040" s="99" t="n">
        <f aca="false">MAX(0,H3040-H3343)</f>
        <v>0</v>
      </c>
      <c r="J3040" s="99" t="n">
        <f aca="false">MAX(0,I3040-I3343)</f>
        <v>0</v>
      </c>
      <c r="K3040" s="99" t="n">
        <f aca="false">MAX(0,J3040-J3343)</f>
        <v>0</v>
      </c>
      <c r="L3040" s="99" t="n">
        <f aca="false">MAX(0,K3040-K3343)</f>
        <v>0</v>
      </c>
      <c r="M3040" s="99" t="n">
        <f aca="false">MAX(0,L3040-L3343)</f>
        <v>0</v>
      </c>
    </row>
    <row r="3041" customFormat="false" ht="15" hidden="false" customHeight="false" outlineLevel="0" collapsed="false">
      <c r="B3041" s="108" t="str">
        <f aca="false">'Loan Tape'!$A7</f>
        <v>L-004</v>
      </c>
      <c r="C3041" s="71" t="n">
        <f aca="false">IF(Fin_Flag="Yes",'Loan Tape'!$BC7,0)</f>
        <v>25967688</v>
      </c>
      <c r="D3041" s="71" t="n">
        <f aca="false">MAX(0,C3041-C3344)</f>
        <v>20339348.524574</v>
      </c>
      <c r="E3041" s="71" t="n">
        <f aca="false">MAX(0,D3041-D3344)</f>
        <v>0</v>
      </c>
      <c r="F3041" s="71" t="n">
        <f aca="false">MAX(0,E3041-E3344)</f>
        <v>0</v>
      </c>
      <c r="G3041" s="71" t="n">
        <f aca="false">MAX(0,F3041-F3344)</f>
        <v>0</v>
      </c>
      <c r="H3041" s="71" t="n">
        <f aca="false">MAX(0,G3041-G3344)</f>
        <v>0</v>
      </c>
      <c r="I3041" s="71" t="n">
        <f aca="false">MAX(0,H3041-H3344)</f>
        <v>0</v>
      </c>
      <c r="J3041" s="71" t="n">
        <f aca="false">MAX(0,I3041-I3344)</f>
        <v>0</v>
      </c>
      <c r="K3041" s="71" t="n">
        <f aca="false">MAX(0,J3041-J3344)</f>
        <v>0</v>
      </c>
      <c r="L3041" s="71" t="n">
        <f aca="false">MAX(0,K3041-K3344)</f>
        <v>0</v>
      </c>
      <c r="M3041" s="71" t="n">
        <f aca="false">MAX(0,L3041-L3344)</f>
        <v>0</v>
      </c>
    </row>
    <row r="3042" customFormat="false" ht="15" hidden="false" customHeight="false" outlineLevel="0" collapsed="false">
      <c r="B3042" s="102" t="str">
        <f aca="false">'Loan Tape'!$A8</f>
        <v>L-005</v>
      </c>
      <c r="C3042" s="99" t="n">
        <f aca="false">IF(Fin_Flag="Yes",'Loan Tape'!$BC8,0)</f>
        <v>66380544</v>
      </c>
      <c r="D3042" s="99" t="n">
        <f aca="false">MAX(0,C3042-C3345)</f>
        <v>0</v>
      </c>
      <c r="E3042" s="99" t="n">
        <f aca="false">MAX(0,D3042-D3345)</f>
        <v>0</v>
      </c>
      <c r="F3042" s="99" t="n">
        <f aca="false">MAX(0,E3042-E3345)</f>
        <v>0</v>
      </c>
      <c r="G3042" s="99" t="n">
        <f aca="false">MAX(0,F3042-F3345)</f>
        <v>0</v>
      </c>
      <c r="H3042" s="99" t="n">
        <f aca="false">MAX(0,G3042-G3345)</f>
        <v>0</v>
      </c>
      <c r="I3042" s="99" t="n">
        <f aca="false">MAX(0,H3042-H3345)</f>
        <v>0</v>
      </c>
      <c r="J3042" s="99" t="n">
        <f aca="false">MAX(0,I3042-I3345)</f>
        <v>0</v>
      </c>
      <c r="K3042" s="99" t="n">
        <f aca="false">MAX(0,J3042-J3345)</f>
        <v>0</v>
      </c>
      <c r="L3042" s="99" t="n">
        <f aca="false">MAX(0,K3042-K3345)</f>
        <v>0</v>
      </c>
      <c r="M3042" s="99" t="n">
        <f aca="false">MAX(0,L3042-L3345)</f>
        <v>0</v>
      </c>
    </row>
    <row r="3043" customFormat="false" ht="15" hidden="false" customHeight="false" outlineLevel="0" collapsed="false">
      <c r="B3043" s="108" t="str">
        <f aca="false">'Loan Tape'!$A9</f>
        <v>L-006</v>
      </c>
      <c r="C3043" s="71" t="n">
        <f aca="false">IF(Fin_Flag="Yes",'Loan Tape'!$BC9,0)</f>
        <v>32490912</v>
      </c>
      <c r="D3043" s="71" t="n">
        <f aca="false">MAX(0,C3043-C3346)</f>
        <v>25435819.2500173</v>
      </c>
      <c r="E3043" s="71" t="n">
        <f aca="false">MAX(0,D3043-D3346)</f>
        <v>0</v>
      </c>
      <c r="F3043" s="71" t="n">
        <f aca="false">MAX(0,E3043-E3346)</f>
        <v>0</v>
      </c>
      <c r="G3043" s="71" t="n">
        <f aca="false">MAX(0,F3043-F3346)</f>
        <v>0</v>
      </c>
      <c r="H3043" s="71" t="n">
        <f aca="false">MAX(0,G3043-G3346)</f>
        <v>0</v>
      </c>
      <c r="I3043" s="71" t="n">
        <f aca="false">MAX(0,H3043-H3346)</f>
        <v>0</v>
      </c>
      <c r="J3043" s="71" t="n">
        <f aca="false">MAX(0,I3043-I3346)</f>
        <v>0</v>
      </c>
      <c r="K3043" s="71" t="n">
        <f aca="false">MAX(0,J3043-J3346)</f>
        <v>0</v>
      </c>
      <c r="L3043" s="71" t="n">
        <f aca="false">MAX(0,K3043-K3346)</f>
        <v>0</v>
      </c>
      <c r="M3043" s="71" t="n">
        <f aca="false">MAX(0,L3043-L3346)</f>
        <v>0</v>
      </c>
    </row>
    <row r="3044" customFormat="false" ht="15" hidden="false" customHeight="false" outlineLevel="0" collapsed="false">
      <c r="B3044" s="102" t="str">
        <f aca="false">'Loan Tape'!$A10</f>
        <v>L-007</v>
      </c>
      <c r="C3044" s="99" t="n">
        <f aca="false">IF(Fin_Flag="Yes",'Loan Tape'!$BC10,0)</f>
        <v>2551536</v>
      </c>
      <c r="D3044" s="99" t="n">
        <f aca="false">MAX(0,C3044-C3347)</f>
        <v>2099136</v>
      </c>
      <c r="E3044" s="99" t="n">
        <f aca="false">MAX(0,D3044-D3347)</f>
        <v>1637688</v>
      </c>
      <c r="F3044" s="99" t="n">
        <f aca="false">MAX(0,E3044-E3347)</f>
        <v>1231613.76</v>
      </c>
      <c r="G3044" s="99" t="n">
        <f aca="false">MAX(0,F3044-F3347)</f>
        <v>874268.4288</v>
      </c>
      <c r="H3044" s="99" t="n">
        <f aca="false">MAX(0,G3044-G3347)</f>
        <v>0</v>
      </c>
      <c r="I3044" s="99" t="n">
        <f aca="false">MAX(0,H3044-H3347)</f>
        <v>0</v>
      </c>
      <c r="J3044" s="99" t="n">
        <f aca="false">MAX(0,I3044-I3347)</f>
        <v>0</v>
      </c>
      <c r="K3044" s="99" t="n">
        <f aca="false">MAX(0,J3044-J3347)</f>
        <v>0</v>
      </c>
      <c r="L3044" s="99" t="n">
        <f aca="false">MAX(0,K3044-K3347)</f>
        <v>0</v>
      </c>
      <c r="M3044" s="99" t="n">
        <f aca="false">MAX(0,L3044-L3347)</f>
        <v>0</v>
      </c>
    </row>
    <row r="3045" customFormat="false" ht="15" hidden="false" customHeight="false" outlineLevel="0" collapsed="false">
      <c r="B3045" s="108" t="str">
        <f aca="false">'Loan Tape'!$A11</f>
        <v>L-008</v>
      </c>
      <c r="C3045" s="71" t="n">
        <f aca="false">IF(Fin_Flag="Yes",'Loan Tape'!$BC11,0)</f>
        <v>27258684</v>
      </c>
      <c r="D3045" s="71" t="n">
        <f aca="false">MAX(0,C3045-C3348)</f>
        <v>21672101.5360093</v>
      </c>
      <c r="E3045" s="71" t="n">
        <f aca="false">MAX(0,D3045-D3348)</f>
        <v>16055475.0043922</v>
      </c>
      <c r="F3045" s="71" t="n">
        <f aca="false">MAX(0,E3045-E3348)</f>
        <v>11115230.4546362</v>
      </c>
      <c r="G3045" s="71" t="n">
        <f aca="false">MAX(0,F3045-F3348)</f>
        <v>0</v>
      </c>
      <c r="H3045" s="71" t="n">
        <f aca="false">MAX(0,G3045-G3348)</f>
        <v>0</v>
      </c>
      <c r="I3045" s="71" t="n">
        <f aca="false">MAX(0,H3045-H3348)</f>
        <v>0</v>
      </c>
      <c r="J3045" s="71" t="n">
        <f aca="false">MAX(0,I3045-I3348)</f>
        <v>0</v>
      </c>
      <c r="K3045" s="71" t="n">
        <f aca="false">MAX(0,J3045-J3348)</f>
        <v>0</v>
      </c>
      <c r="L3045" s="71" t="n">
        <f aca="false">MAX(0,K3045-K3348)</f>
        <v>0</v>
      </c>
      <c r="M3045" s="71" t="n">
        <f aca="false">MAX(0,L3045-L3348)</f>
        <v>0</v>
      </c>
    </row>
    <row r="3046" customFormat="false" ht="15" hidden="false" customHeight="false" outlineLevel="0" collapsed="false">
      <c r="B3046" s="102" t="str">
        <f aca="false">'Loan Tape'!$A12</f>
        <v>L-009</v>
      </c>
      <c r="C3046" s="99" t="n">
        <f aca="false">IF(Fin_Flag="Yes",'Loan Tape'!$BC12,0)</f>
        <v>9258060</v>
      </c>
      <c r="D3046" s="99" t="n">
        <f aca="false">MAX(0,C3046-C3349)</f>
        <v>7616560</v>
      </c>
      <c r="E3046" s="99" t="n">
        <f aca="false">MAX(0,D3046-D3349)</f>
        <v>5942230</v>
      </c>
      <c r="F3046" s="99" t="n">
        <f aca="false">MAX(0,E3046-E3349)</f>
        <v>4266657.89885456</v>
      </c>
      <c r="G3046" s="99" t="n">
        <f aca="false">MAX(0,F3046-F3349)</f>
        <v>2740912.3273588</v>
      </c>
      <c r="H3046" s="99" t="n">
        <f aca="false">MAX(0,G3046-G3349)</f>
        <v>0</v>
      </c>
      <c r="I3046" s="99" t="n">
        <f aca="false">MAX(0,H3046-H3349)</f>
        <v>0</v>
      </c>
      <c r="J3046" s="99" t="n">
        <f aca="false">MAX(0,I3046-I3349)</f>
        <v>0</v>
      </c>
      <c r="K3046" s="99" t="n">
        <f aca="false">MAX(0,J3046-J3349)</f>
        <v>0</v>
      </c>
      <c r="L3046" s="99" t="n">
        <f aca="false">MAX(0,K3046-K3349)</f>
        <v>0</v>
      </c>
      <c r="M3046" s="99" t="n">
        <f aca="false">MAX(0,L3046-L3349)</f>
        <v>0</v>
      </c>
    </row>
    <row r="3047" customFormat="false" ht="15" hidden="false" customHeight="false" outlineLevel="0" collapsed="false">
      <c r="B3047" s="108" t="str">
        <f aca="false">'Loan Tape'!$A13</f>
        <v>L-010</v>
      </c>
      <c r="C3047" s="71" t="n">
        <f aca="false">IF(Fin_Flag="Yes",'Loan Tape'!$BC13,0)</f>
        <v>25411584</v>
      </c>
      <c r="D3047" s="71" t="n">
        <f aca="false">MAX(0,C3047-C3350)</f>
        <v>0</v>
      </c>
      <c r="E3047" s="71" t="n">
        <f aca="false">MAX(0,D3047-D3350)</f>
        <v>0</v>
      </c>
      <c r="F3047" s="71" t="n">
        <f aca="false">MAX(0,E3047-E3350)</f>
        <v>0</v>
      </c>
      <c r="G3047" s="71" t="n">
        <f aca="false">MAX(0,F3047-F3350)</f>
        <v>0</v>
      </c>
      <c r="H3047" s="71" t="n">
        <f aca="false">MAX(0,G3047-G3350)</f>
        <v>0</v>
      </c>
      <c r="I3047" s="71" t="n">
        <f aca="false">MAX(0,H3047-H3350)</f>
        <v>0</v>
      </c>
      <c r="J3047" s="71" t="n">
        <f aca="false">MAX(0,I3047-I3350)</f>
        <v>0</v>
      </c>
      <c r="K3047" s="71" t="n">
        <f aca="false">MAX(0,J3047-J3350)</f>
        <v>0</v>
      </c>
      <c r="L3047" s="71" t="n">
        <f aca="false">MAX(0,K3047-K3350)</f>
        <v>0</v>
      </c>
      <c r="M3047" s="71" t="n">
        <f aca="false">MAX(0,L3047-L3350)</f>
        <v>0</v>
      </c>
    </row>
    <row r="3048" customFormat="false" ht="15" hidden="false" customHeight="false" outlineLevel="0" collapsed="false">
      <c r="B3048" s="102" t="str">
        <f aca="false">'Loan Tape'!$A14</f>
        <v>L-011</v>
      </c>
      <c r="C3048" s="99" t="n">
        <f aca="false">IF(Fin_Flag="Yes",'Loan Tape'!$BC14,0)</f>
        <v>15628440</v>
      </c>
      <c r="D3048" s="99" t="n">
        <f aca="false">MAX(0,C3048-C3351)</f>
        <v>12453345.5468066</v>
      </c>
      <c r="E3048" s="99" t="n">
        <f aca="false">MAX(0,D3048-D3351)</f>
        <v>9259527.56742601</v>
      </c>
      <c r="F3048" s="99" t="n">
        <f aca="false">MAX(0,E3048-E3351)</f>
        <v>6451901.7752547</v>
      </c>
      <c r="G3048" s="99" t="n">
        <f aca="false">MAX(0,F3048-F3351)</f>
        <v>3996933.31008327</v>
      </c>
      <c r="H3048" s="99" t="n">
        <f aca="false">MAX(0,G3048-G3351)</f>
        <v>0</v>
      </c>
      <c r="I3048" s="99" t="n">
        <f aca="false">MAX(0,H3048-H3351)</f>
        <v>0</v>
      </c>
      <c r="J3048" s="99" t="n">
        <f aca="false">MAX(0,I3048-I3351)</f>
        <v>0</v>
      </c>
      <c r="K3048" s="99" t="n">
        <f aca="false">MAX(0,J3048-J3351)</f>
        <v>0</v>
      </c>
      <c r="L3048" s="99" t="n">
        <f aca="false">MAX(0,K3048-K3351)</f>
        <v>0</v>
      </c>
      <c r="M3048" s="99" t="n">
        <f aca="false">MAX(0,L3048-L3351)</f>
        <v>0</v>
      </c>
    </row>
    <row r="3049" customFormat="false" ht="15" hidden="false" customHeight="false" outlineLevel="0" collapsed="false">
      <c r="B3049" s="108" t="str">
        <f aca="false">'Loan Tape'!$A15</f>
        <v>L-012</v>
      </c>
      <c r="C3049" s="71" t="n">
        <f aca="false">IF(Fin_Flag="Yes",'Loan Tape'!$BC15,0)</f>
        <v>3188856</v>
      </c>
      <c r="D3049" s="71" t="n">
        <f aca="false">MAX(0,C3049-C3352)</f>
        <v>2501889.22960215</v>
      </c>
      <c r="E3049" s="71" t="n">
        <f aca="false">MAX(0,D3049-D3352)</f>
        <v>0</v>
      </c>
      <c r="F3049" s="71" t="n">
        <f aca="false">MAX(0,E3049-E3352)</f>
        <v>0</v>
      </c>
      <c r="G3049" s="71" t="n">
        <f aca="false">MAX(0,F3049-F3352)</f>
        <v>0</v>
      </c>
      <c r="H3049" s="71" t="n">
        <f aca="false">MAX(0,G3049-G3352)</f>
        <v>0</v>
      </c>
      <c r="I3049" s="71" t="n">
        <f aca="false">MAX(0,H3049-H3352)</f>
        <v>0</v>
      </c>
      <c r="J3049" s="71" t="n">
        <f aca="false">MAX(0,I3049-I3352)</f>
        <v>0</v>
      </c>
      <c r="K3049" s="71" t="n">
        <f aca="false">MAX(0,J3049-J3352)</f>
        <v>0</v>
      </c>
      <c r="L3049" s="71" t="n">
        <f aca="false">MAX(0,K3049-K3352)</f>
        <v>0</v>
      </c>
      <c r="M3049" s="71" t="n">
        <f aca="false">MAX(0,L3049-L3352)</f>
        <v>0</v>
      </c>
    </row>
    <row r="3050" customFormat="false" ht="15" hidden="false" customHeight="false" outlineLevel="0" collapsed="false">
      <c r="B3050" s="102" t="str">
        <f aca="false">'Loan Tape'!$A16</f>
        <v>L-013</v>
      </c>
      <c r="C3050" s="99" t="n">
        <f aca="false">IF(Fin_Flag="Yes",'Loan Tape'!$BC16,0)</f>
        <v>48190980</v>
      </c>
      <c r="D3050" s="99" t="n">
        <f aca="false">MAX(0,C3050-C3353)</f>
        <v>38391138.9425082</v>
      </c>
      <c r="E3050" s="99" t="n">
        <f aca="false">MAX(0,D3050-D3353)</f>
        <v>28626618.3716506</v>
      </c>
      <c r="F3050" s="99" t="n">
        <f aca="false">MAX(0,E3050-E3353)</f>
        <v>20103598.5526425</v>
      </c>
      <c r="G3050" s="99" t="n">
        <f aca="false">MAX(0,F3050-F3353)</f>
        <v>12668798.9385653</v>
      </c>
      <c r="H3050" s="99" t="n">
        <f aca="false">MAX(0,G3050-G3353)</f>
        <v>0</v>
      </c>
      <c r="I3050" s="99" t="n">
        <f aca="false">MAX(0,H3050-H3353)</f>
        <v>0</v>
      </c>
      <c r="J3050" s="99" t="n">
        <f aca="false">MAX(0,I3050-I3353)</f>
        <v>0</v>
      </c>
      <c r="K3050" s="99" t="n">
        <f aca="false">MAX(0,J3050-J3353)</f>
        <v>0</v>
      </c>
      <c r="L3050" s="99" t="n">
        <f aca="false">MAX(0,K3050-K3353)</f>
        <v>0</v>
      </c>
      <c r="M3050" s="99" t="n">
        <f aca="false">MAX(0,L3050-L3353)</f>
        <v>0</v>
      </c>
    </row>
    <row r="3051" customFormat="false" ht="15" hidden="false" customHeight="false" outlineLevel="0" collapsed="false">
      <c r="B3051" s="108" t="str">
        <f aca="false">'Loan Tape'!$A17</f>
        <v>L-014</v>
      </c>
      <c r="C3051" s="71" t="n">
        <f aca="false">IF(Fin_Flag="Yes",'Loan Tape'!$BC17,0)</f>
        <v>72356124</v>
      </c>
      <c r="D3051" s="71" t="n">
        <f aca="false">MAX(0,C3051-C3354)</f>
        <v>57400757.8641624</v>
      </c>
      <c r="E3051" s="71" t="n">
        <f aca="false">MAX(0,D3051-D3354)</f>
        <v>42385254.7286123</v>
      </c>
      <c r="F3051" s="71" t="n">
        <f aca="false">MAX(0,E3051-E3354)</f>
        <v>29325928.824109</v>
      </c>
      <c r="G3051" s="71" t="n">
        <f aca="false">MAX(0,F3051-F3354)</f>
        <v>17978890.4738445</v>
      </c>
      <c r="H3051" s="71" t="n">
        <f aca="false">MAX(0,G3051-G3354)</f>
        <v>0</v>
      </c>
      <c r="I3051" s="71" t="n">
        <f aca="false">MAX(0,H3051-H3354)</f>
        <v>0</v>
      </c>
      <c r="J3051" s="71" t="n">
        <f aca="false">MAX(0,I3051-I3354)</f>
        <v>0</v>
      </c>
      <c r="K3051" s="71" t="n">
        <f aca="false">MAX(0,J3051-J3354)</f>
        <v>0</v>
      </c>
      <c r="L3051" s="71" t="n">
        <f aca="false">MAX(0,K3051-K3354)</f>
        <v>0</v>
      </c>
      <c r="M3051" s="71" t="n">
        <f aca="false">MAX(0,L3051-L3354)</f>
        <v>0</v>
      </c>
    </row>
    <row r="3052" customFormat="false" ht="15" hidden="false" customHeight="false" outlineLevel="0" collapsed="false">
      <c r="B3052" s="102" t="str">
        <f aca="false">'Loan Tape'!$A18</f>
        <v>L-015</v>
      </c>
      <c r="C3052" s="99" t="n">
        <f aca="false">IF(Fin_Flag="Yes",'Loan Tape'!$BC18,0)</f>
        <v>74327304</v>
      </c>
      <c r="D3052" s="99" t="n">
        <f aca="false">MAX(0,C3052-C3355)</f>
        <v>61148704</v>
      </c>
      <c r="E3052" s="99" t="n">
        <f aca="false">MAX(0,D3052-D3355)</f>
        <v>47706532</v>
      </c>
      <c r="F3052" s="99" t="n">
        <f aca="false">MAX(0,E3052-E3355)</f>
        <v>35877420.64</v>
      </c>
      <c r="G3052" s="99" t="n">
        <f aca="false">MAX(0,F3052-F3355)</f>
        <v>25467802.6432</v>
      </c>
      <c r="H3052" s="99" t="n">
        <f aca="false">MAX(0,G3052-G3355)</f>
        <v>0</v>
      </c>
      <c r="I3052" s="99" t="n">
        <f aca="false">MAX(0,H3052-H3355)</f>
        <v>0</v>
      </c>
      <c r="J3052" s="99" t="n">
        <f aca="false">MAX(0,I3052-I3355)</f>
        <v>0</v>
      </c>
      <c r="K3052" s="99" t="n">
        <f aca="false">MAX(0,J3052-J3355)</f>
        <v>0</v>
      </c>
      <c r="L3052" s="99" t="n">
        <f aca="false">MAX(0,K3052-K3355)</f>
        <v>0</v>
      </c>
      <c r="M3052" s="99" t="n">
        <f aca="false">MAX(0,L3052-L3355)</f>
        <v>0</v>
      </c>
    </row>
    <row r="3053" customFormat="false" ht="15" hidden="false" customHeight="false" outlineLevel="0" collapsed="false">
      <c r="B3053" s="108" t="str">
        <f aca="false">'Loan Tape'!$A19</f>
        <v>L-016</v>
      </c>
      <c r="C3053" s="71" t="n">
        <f aca="false">IF(Fin_Flag="Yes",'Loan Tape'!$BC19,0)</f>
        <v>4649052</v>
      </c>
      <c r="D3053" s="71" t="n">
        <f aca="false">MAX(0,C3053-C3356)</f>
        <v>0</v>
      </c>
      <c r="E3053" s="71" t="n">
        <f aca="false">MAX(0,D3053-D3356)</f>
        <v>0</v>
      </c>
      <c r="F3053" s="71" t="n">
        <f aca="false">MAX(0,E3053-E3356)</f>
        <v>0</v>
      </c>
      <c r="G3053" s="71" t="n">
        <f aca="false">MAX(0,F3053-F3356)</f>
        <v>0</v>
      </c>
      <c r="H3053" s="71" t="n">
        <f aca="false">MAX(0,G3053-G3356)</f>
        <v>0</v>
      </c>
      <c r="I3053" s="71" t="n">
        <f aca="false">MAX(0,H3053-H3356)</f>
        <v>0</v>
      </c>
      <c r="J3053" s="71" t="n">
        <f aca="false">MAX(0,I3053-I3356)</f>
        <v>0</v>
      </c>
      <c r="K3053" s="71" t="n">
        <f aca="false">MAX(0,J3053-J3356)</f>
        <v>0</v>
      </c>
      <c r="L3053" s="71" t="n">
        <f aca="false">MAX(0,K3053-K3356)</f>
        <v>0</v>
      </c>
      <c r="M3053" s="71" t="n">
        <f aca="false">MAX(0,L3053-L3356)</f>
        <v>0</v>
      </c>
    </row>
    <row r="3054" customFormat="false" ht="15" hidden="false" customHeight="false" outlineLevel="0" collapsed="false">
      <c r="B3054" s="102" t="str">
        <f aca="false">'Loan Tape'!$A20</f>
        <v>L-017</v>
      </c>
      <c r="C3054" s="99" t="n">
        <f aca="false">IF(Fin_Flag="Yes",'Loan Tape'!$BC20,0)</f>
        <v>2882604</v>
      </c>
      <c r="D3054" s="99" t="n">
        <f aca="false">MAX(0,C3054-C3357)</f>
        <v>2371504</v>
      </c>
      <c r="E3054" s="99" t="n">
        <f aca="false">MAX(0,D3054-D3357)</f>
        <v>1850182</v>
      </c>
      <c r="F3054" s="99" t="n">
        <f aca="false">MAX(0,E3054-E3357)</f>
        <v>1391418.64</v>
      </c>
      <c r="G3054" s="99" t="n">
        <f aca="false">MAX(0,F3054-F3357)</f>
        <v>987706.8832</v>
      </c>
      <c r="H3054" s="99" t="n">
        <f aca="false">MAX(0,G3054-G3357)</f>
        <v>0</v>
      </c>
      <c r="I3054" s="99" t="n">
        <f aca="false">MAX(0,H3054-H3357)</f>
        <v>0</v>
      </c>
      <c r="J3054" s="99" t="n">
        <f aca="false">MAX(0,I3054-I3357)</f>
        <v>0</v>
      </c>
      <c r="K3054" s="99" t="n">
        <f aca="false">MAX(0,J3054-J3357)</f>
        <v>0</v>
      </c>
      <c r="L3054" s="99" t="n">
        <f aca="false">MAX(0,K3054-K3357)</f>
        <v>0</v>
      </c>
      <c r="M3054" s="99" t="n">
        <f aca="false">MAX(0,L3054-L3357)</f>
        <v>0</v>
      </c>
    </row>
    <row r="3055" customFormat="false" ht="15" hidden="false" customHeight="false" outlineLevel="0" collapsed="false">
      <c r="B3055" s="108" t="str">
        <f aca="false">'Loan Tape'!$A21</f>
        <v>L-018</v>
      </c>
      <c r="C3055" s="71" t="n">
        <f aca="false">IF(Fin_Flag="Yes",'Loan Tape'!$BC21,0)</f>
        <v>43274592</v>
      </c>
      <c r="D3055" s="71" t="n">
        <f aca="false">MAX(0,C3055-C3358)</f>
        <v>34366816.7868805</v>
      </c>
      <c r="E3055" s="71" t="n">
        <f aca="false">MAX(0,D3055-D3358)</f>
        <v>25421854.3736344</v>
      </c>
      <c r="F3055" s="71" t="n">
        <f aca="false">MAX(0,E3055-E3358)</f>
        <v>17561955.9091397</v>
      </c>
      <c r="G3055" s="71" t="n">
        <f aca="false">MAX(0,F3055-F3358)</f>
        <v>10693278.0687899</v>
      </c>
      <c r="H3055" s="71" t="n">
        <f aca="false">MAX(0,G3055-G3358)</f>
        <v>0</v>
      </c>
      <c r="I3055" s="71" t="n">
        <f aca="false">MAX(0,H3055-H3358)</f>
        <v>0</v>
      </c>
      <c r="J3055" s="71" t="n">
        <f aca="false">MAX(0,I3055-I3358)</f>
        <v>0</v>
      </c>
      <c r="K3055" s="71" t="n">
        <f aca="false">MAX(0,J3055-J3358)</f>
        <v>0</v>
      </c>
      <c r="L3055" s="71" t="n">
        <f aca="false">MAX(0,K3055-K3358)</f>
        <v>0</v>
      </c>
      <c r="M3055" s="71" t="n">
        <f aca="false">MAX(0,L3055-L3358)</f>
        <v>0</v>
      </c>
    </row>
    <row r="3056" customFormat="false" ht="15" hidden="false" customHeight="false" outlineLevel="0" collapsed="false">
      <c r="B3056" s="102" t="str">
        <f aca="false">'Loan Tape'!$A22</f>
        <v>L-019</v>
      </c>
      <c r="C3056" s="99" t="n">
        <f aca="false">IF(Fin_Flag="Yes",'Loan Tape'!$BC22,0)</f>
        <v>4637208</v>
      </c>
      <c r="D3056" s="99" t="n">
        <f aca="false">MAX(0,C3056-C3359)</f>
        <v>0</v>
      </c>
      <c r="E3056" s="99" t="n">
        <f aca="false">MAX(0,D3056-D3359)</f>
        <v>0</v>
      </c>
      <c r="F3056" s="99" t="n">
        <f aca="false">MAX(0,E3056-E3359)</f>
        <v>0</v>
      </c>
      <c r="G3056" s="99" t="n">
        <f aca="false">MAX(0,F3056-F3359)</f>
        <v>0</v>
      </c>
      <c r="H3056" s="99" t="n">
        <f aca="false">MAX(0,G3056-G3359)</f>
        <v>0</v>
      </c>
      <c r="I3056" s="99" t="n">
        <f aca="false">MAX(0,H3056-H3359)</f>
        <v>0</v>
      </c>
      <c r="J3056" s="99" t="n">
        <f aca="false">MAX(0,I3056-I3359)</f>
        <v>0</v>
      </c>
      <c r="K3056" s="99" t="n">
        <f aca="false">MAX(0,J3056-J3359)</f>
        <v>0</v>
      </c>
      <c r="L3056" s="99" t="n">
        <f aca="false">MAX(0,K3056-K3359)</f>
        <v>0</v>
      </c>
      <c r="M3056" s="99" t="n">
        <f aca="false">MAX(0,L3056-L3359)</f>
        <v>0</v>
      </c>
    </row>
    <row r="3057" customFormat="false" ht="15" hidden="false" customHeight="false" outlineLevel="0" collapsed="false">
      <c r="B3057" s="108" t="str">
        <f aca="false">'Loan Tape'!$A23</f>
        <v>L-020</v>
      </c>
      <c r="C3057" s="71" t="n">
        <f aca="false">IF(Fin_Flag="Yes",'Loan Tape'!$BC23,0)</f>
        <v>38977476</v>
      </c>
      <c r="D3057" s="71" t="n">
        <f aca="false">MAX(0,C3057-C3360)</f>
        <v>32066576</v>
      </c>
      <c r="E3057" s="71" t="n">
        <f aca="false">MAX(0,D3057-D3360)</f>
        <v>25017458</v>
      </c>
      <c r="F3057" s="71" t="n">
        <f aca="false">MAX(0,E3057-E3360)</f>
        <v>18814234.16</v>
      </c>
      <c r="G3057" s="71" t="n">
        <f aca="false">MAX(0,F3057-F3360)</f>
        <v>13355397.1808</v>
      </c>
      <c r="H3057" s="71" t="n">
        <f aca="false">MAX(0,G3057-G3360)</f>
        <v>0</v>
      </c>
      <c r="I3057" s="71" t="n">
        <f aca="false">MAX(0,H3057-H3360)</f>
        <v>0</v>
      </c>
      <c r="J3057" s="71" t="n">
        <f aca="false">MAX(0,I3057-I3360)</f>
        <v>0</v>
      </c>
      <c r="K3057" s="71" t="n">
        <f aca="false">MAX(0,J3057-J3360)</f>
        <v>0</v>
      </c>
      <c r="L3057" s="71" t="n">
        <f aca="false">MAX(0,K3057-K3360)</f>
        <v>0</v>
      </c>
      <c r="M3057" s="71" t="n">
        <f aca="false">MAX(0,L3057-L3360)</f>
        <v>0</v>
      </c>
    </row>
    <row r="3058" customFormat="false" ht="15" hidden="false" customHeight="false" outlineLevel="0" collapsed="false">
      <c r="B3058" s="102" t="str">
        <f aca="false">'Loan Tape'!$A24</f>
        <v>L-021</v>
      </c>
      <c r="C3058" s="99" t="n">
        <f aca="false">IF(Fin_Flag="Yes",'Loan Tape'!$BC24,0)</f>
        <v>20725872</v>
      </c>
      <c r="D3058" s="99" t="n">
        <f aca="false">MAX(0,C3058-C3361)</f>
        <v>16565476.6809391</v>
      </c>
      <c r="E3058" s="99" t="n">
        <f aca="false">MAX(0,D3058-D3361)</f>
        <v>12372583.6011742</v>
      </c>
      <c r="F3058" s="99" t="n">
        <f aca="false">MAX(0,E3058-E3361)</f>
        <v>8683444.77775269</v>
      </c>
      <c r="G3058" s="99" t="n">
        <f aca="false">MAX(0,F3058-F3361)</f>
        <v>0</v>
      </c>
      <c r="H3058" s="99" t="n">
        <f aca="false">MAX(0,G3058-G3361)</f>
        <v>0</v>
      </c>
      <c r="I3058" s="99" t="n">
        <f aca="false">MAX(0,H3058-H3361)</f>
        <v>0</v>
      </c>
      <c r="J3058" s="99" t="n">
        <f aca="false">MAX(0,I3058-I3361)</f>
        <v>0</v>
      </c>
      <c r="K3058" s="99" t="n">
        <f aca="false">MAX(0,J3058-J3361)</f>
        <v>0</v>
      </c>
      <c r="L3058" s="99" t="n">
        <f aca="false">MAX(0,K3058-K3361)</f>
        <v>0</v>
      </c>
      <c r="M3058" s="99" t="n">
        <f aca="false">MAX(0,L3058-L3361)</f>
        <v>0</v>
      </c>
    </row>
    <row r="3059" customFormat="false" ht="15" hidden="false" customHeight="false" outlineLevel="0" collapsed="false">
      <c r="B3059" s="108" t="str">
        <f aca="false">'Loan Tape'!$A25</f>
        <v>L-022</v>
      </c>
      <c r="C3059" s="71" t="n">
        <f aca="false">IF(Fin_Flag="Yes",'Loan Tape'!$BC25,0)</f>
        <v>3962664</v>
      </c>
      <c r="D3059" s="71" t="n">
        <f aca="false">MAX(0,C3059-C3362)</f>
        <v>3073581.6915147</v>
      </c>
      <c r="E3059" s="71" t="n">
        <f aca="false">MAX(0,D3059-D3362)</f>
        <v>0</v>
      </c>
      <c r="F3059" s="71" t="n">
        <f aca="false">MAX(0,E3059-E3362)</f>
        <v>0</v>
      </c>
      <c r="G3059" s="71" t="n">
        <f aca="false">MAX(0,F3059-F3362)</f>
        <v>0</v>
      </c>
      <c r="H3059" s="71" t="n">
        <f aca="false">MAX(0,G3059-G3362)</f>
        <v>0</v>
      </c>
      <c r="I3059" s="71" t="n">
        <f aca="false">MAX(0,H3059-H3362)</f>
        <v>0</v>
      </c>
      <c r="J3059" s="71" t="n">
        <f aca="false">MAX(0,I3059-I3362)</f>
        <v>0</v>
      </c>
      <c r="K3059" s="71" t="n">
        <f aca="false">MAX(0,J3059-J3362)</f>
        <v>0</v>
      </c>
      <c r="L3059" s="71" t="n">
        <f aca="false">MAX(0,K3059-K3362)</f>
        <v>0</v>
      </c>
      <c r="M3059" s="71" t="n">
        <f aca="false">MAX(0,L3059-L3362)</f>
        <v>0</v>
      </c>
    </row>
    <row r="3060" customFormat="false" ht="15" hidden="false" customHeight="false" outlineLevel="0" collapsed="false">
      <c r="B3060" s="102" t="str">
        <f aca="false">'Loan Tape'!$A26</f>
        <v>L-023</v>
      </c>
      <c r="C3060" s="99" t="n">
        <f aca="false">IF(Fin_Flag="Yes",'Loan Tape'!$BC26,0)</f>
        <v>43036584</v>
      </c>
      <c r="D3060" s="99" t="n">
        <f aca="false">MAX(0,C3060-C3363)</f>
        <v>0</v>
      </c>
      <c r="E3060" s="99" t="n">
        <f aca="false">MAX(0,D3060-D3363)</f>
        <v>0</v>
      </c>
      <c r="F3060" s="99" t="n">
        <f aca="false">MAX(0,E3060-E3363)</f>
        <v>0</v>
      </c>
      <c r="G3060" s="99" t="n">
        <f aca="false">MAX(0,F3060-F3363)</f>
        <v>0</v>
      </c>
      <c r="H3060" s="99" t="n">
        <f aca="false">MAX(0,G3060-G3363)</f>
        <v>0</v>
      </c>
      <c r="I3060" s="99" t="n">
        <f aca="false">MAX(0,H3060-H3363)</f>
        <v>0</v>
      </c>
      <c r="J3060" s="99" t="n">
        <f aca="false">MAX(0,I3060-I3363)</f>
        <v>0</v>
      </c>
      <c r="K3060" s="99" t="n">
        <f aca="false">MAX(0,J3060-J3363)</f>
        <v>0</v>
      </c>
      <c r="L3060" s="99" t="n">
        <f aca="false">MAX(0,K3060-K3363)</f>
        <v>0</v>
      </c>
      <c r="M3060" s="99" t="n">
        <f aca="false">MAX(0,L3060-L3363)</f>
        <v>0</v>
      </c>
    </row>
    <row r="3061" customFormat="false" ht="15" hidden="false" customHeight="false" outlineLevel="0" collapsed="false">
      <c r="B3061" s="108" t="str">
        <f aca="false">'Loan Tape'!$A27</f>
        <v>L-024</v>
      </c>
      <c r="C3061" s="71" t="n">
        <f aca="false">IF(Fin_Flag="Yes",'Loan Tape'!$BC27,0)</f>
        <v>9945012</v>
      </c>
      <c r="D3061" s="71" t="n">
        <f aca="false">MAX(0,C3061-C3364)</f>
        <v>8181712</v>
      </c>
      <c r="E3061" s="71" t="n">
        <f aca="false">MAX(0,D3061-D3364)</f>
        <v>6383146</v>
      </c>
      <c r="F3061" s="71" t="n">
        <f aca="false">MAX(0,E3061-E3364)</f>
        <v>4800407.92</v>
      </c>
      <c r="G3061" s="71" t="n">
        <f aca="false">MAX(0,F3061-F3364)</f>
        <v>0</v>
      </c>
      <c r="H3061" s="71" t="n">
        <f aca="false">MAX(0,G3061-G3364)</f>
        <v>0</v>
      </c>
      <c r="I3061" s="71" t="n">
        <f aca="false">MAX(0,H3061-H3364)</f>
        <v>0</v>
      </c>
      <c r="J3061" s="71" t="n">
        <f aca="false">MAX(0,I3061-I3364)</f>
        <v>0</v>
      </c>
      <c r="K3061" s="71" t="n">
        <f aca="false">MAX(0,J3061-J3364)</f>
        <v>0</v>
      </c>
      <c r="L3061" s="71" t="n">
        <f aca="false">MAX(0,K3061-K3364)</f>
        <v>0</v>
      </c>
      <c r="M3061" s="71" t="n">
        <f aca="false">MAX(0,L3061-L3364)</f>
        <v>0</v>
      </c>
    </row>
    <row r="3062" customFormat="false" ht="15" hidden="false" customHeight="false" outlineLevel="0" collapsed="false">
      <c r="B3062" s="102" t="str">
        <f aca="false">'Loan Tape'!$A28</f>
        <v>L-025</v>
      </c>
      <c r="C3062" s="99" t="n">
        <f aca="false">IF(Fin_Flag="Yes",'Loan Tape'!$BC28,0)</f>
        <v>8331972</v>
      </c>
      <c r="D3062" s="99" t="n">
        <f aca="false">MAX(0,C3062-C3365)</f>
        <v>6581287.27554777</v>
      </c>
      <c r="E3062" s="99" t="n">
        <f aca="false">MAX(0,D3062-D3365)</f>
        <v>4849197.84174775</v>
      </c>
      <c r="F3062" s="99" t="n">
        <f aca="false">MAX(0,E3062-E3365)</f>
        <v>3342999.20744235</v>
      </c>
      <c r="G3062" s="99" t="n">
        <f aca="false">MAX(0,F3062-F3365)</f>
        <v>0</v>
      </c>
      <c r="H3062" s="99" t="n">
        <f aca="false">MAX(0,G3062-G3365)</f>
        <v>0</v>
      </c>
      <c r="I3062" s="99" t="n">
        <f aca="false">MAX(0,H3062-H3365)</f>
        <v>0</v>
      </c>
      <c r="J3062" s="99" t="n">
        <f aca="false">MAX(0,I3062-I3365)</f>
        <v>0</v>
      </c>
      <c r="K3062" s="99" t="n">
        <f aca="false">MAX(0,J3062-J3365)</f>
        <v>0</v>
      </c>
      <c r="L3062" s="99" t="n">
        <f aca="false">MAX(0,K3062-K3365)</f>
        <v>0</v>
      </c>
      <c r="M3062" s="99" t="n">
        <f aca="false">MAX(0,L3062-L3365)</f>
        <v>0</v>
      </c>
    </row>
    <row r="3063" customFormat="false" ht="15" hidden="false" customHeight="false" outlineLevel="0" collapsed="false">
      <c r="B3063" s="108" t="str">
        <f aca="false">'Loan Tape'!$A29</f>
        <v>L-026</v>
      </c>
      <c r="C3063" s="71" t="n">
        <f aca="false">IF(Fin_Flag="Yes",'Loan Tape'!$BC29,0)</f>
        <v>50701908</v>
      </c>
      <c r="D3063" s="71" t="n">
        <f aca="false">MAX(0,C3063-C3366)</f>
        <v>0</v>
      </c>
      <c r="E3063" s="71" t="n">
        <f aca="false">MAX(0,D3063-D3366)</f>
        <v>0</v>
      </c>
      <c r="F3063" s="71" t="n">
        <f aca="false">MAX(0,E3063-E3366)</f>
        <v>0</v>
      </c>
      <c r="G3063" s="71" t="n">
        <f aca="false">MAX(0,F3063-F3366)</f>
        <v>0</v>
      </c>
      <c r="H3063" s="71" t="n">
        <f aca="false">MAX(0,G3063-G3366)</f>
        <v>0</v>
      </c>
      <c r="I3063" s="71" t="n">
        <f aca="false">MAX(0,H3063-H3366)</f>
        <v>0</v>
      </c>
      <c r="J3063" s="71" t="n">
        <f aca="false">MAX(0,I3063-I3366)</f>
        <v>0</v>
      </c>
      <c r="K3063" s="71" t="n">
        <f aca="false">MAX(0,J3063-J3366)</f>
        <v>0</v>
      </c>
      <c r="L3063" s="71" t="n">
        <f aca="false">MAX(0,K3063-K3366)</f>
        <v>0</v>
      </c>
      <c r="M3063" s="71" t="n">
        <f aca="false">MAX(0,L3063-L3366)</f>
        <v>0</v>
      </c>
    </row>
    <row r="3064" customFormat="false" ht="15" hidden="false" customHeight="false" outlineLevel="0" collapsed="false">
      <c r="B3064" s="102" t="str">
        <f aca="false">'Loan Tape'!$A30</f>
        <v>L-027</v>
      </c>
      <c r="C3064" s="99" t="n">
        <f aca="false">IF(Fin_Flag="Yes",'Loan Tape'!$BC30,0)</f>
        <v>49903284</v>
      </c>
      <c r="D3064" s="99" t="n">
        <f aca="false">MAX(0,C3064-C3367)</f>
        <v>41055184</v>
      </c>
      <c r="E3064" s="99" t="n">
        <f aca="false">MAX(0,D3064-D3367)</f>
        <v>32030122</v>
      </c>
      <c r="F3064" s="99" t="n">
        <f aca="false">MAX(0,E3064-E3367)</f>
        <v>24088067.44</v>
      </c>
      <c r="G3064" s="99" t="n">
        <f aca="false">MAX(0,F3064-F3367)</f>
        <v>0</v>
      </c>
      <c r="H3064" s="99" t="n">
        <f aca="false">MAX(0,G3064-G3367)</f>
        <v>0</v>
      </c>
      <c r="I3064" s="99" t="n">
        <f aca="false">MAX(0,H3064-H3367)</f>
        <v>0</v>
      </c>
      <c r="J3064" s="99" t="n">
        <f aca="false">MAX(0,I3064-I3367)</f>
        <v>0</v>
      </c>
      <c r="K3064" s="99" t="n">
        <f aca="false">MAX(0,J3064-J3367)</f>
        <v>0</v>
      </c>
      <c r="L3064" s="99" t="n">
        <f aca="false">MAX(0,K3064-K3367)</f>
        <v>0</v>
      </c>
      <c r="M3064" s="99" t="n">
        <f aca="false">MAX(0,L3064-L3367)</f>
        <v>0</v>
      </c>
    </row>
    <row r="3065" customFormat="false" ht="15" hidden="false" customHeight="false" outlineLevel="0" collapsed="false">
      <c r="B3065" s="108" t="str">
        <f aca="false">'Loan Tape'!$A31</f>
        <v>L-028</v>
      </c>
      <c r="C3065" s="71" t="n">
        <f aca="false">IF(Fin_Flag="Yes",'Loan Tape'!$BC31,0)</f>
        <v>48721140</v>
      </c>
      <c r="D3065" s="71" t="n">
        <f aca="false">MAX(0,C3065-C3368)</f>
        <v>0</v>
      </c>
      <c r="E3065" s="71" t="n">
        <f aca="false">MAX(0,D3065-D3368)</f>
        <v>0</v>
      </c>
      <c r="F3065" s="71" t="n">
        <f aca="false">MAX(0,E3065-E3368)</f>
        <v>0</v>
      </c>
      <c r="G3065" s="71" t="n">
        <f aca="false">MAX(0,F3065-F3368)</f>
        <v>0</v>
      </c>
      <c r="H3065" s="71" t="n">
        <f aca="false">MAX(0,G3065-G3368)</f>
        <v>0</v>
      </c>
      <c r="I3065" s="71" t="n">
        <f aca="false">MAX(0,H3065-H3368)</f>
        <v>0</v>
      </c>
      <c r="J3065" s="71" t="n">
        <f aca="false">MAX(0,I3065-I3368)</f>
        <v>0</v>
      </c>
      <c r="K3065" s="71" t="n">
        <f aca="false">MAX(0,J3065-J3368)</f>
        <v>0</v>
      </c>
      <c r="L3065" s="71" t="n">
        <f aca="false">MAX(0,K3065-K3368)</f>
        <v>0</v>
      </c>
      <c r="M3065" s="71" t="n">
        <f aca="false">MAX(0,L3065-L3368)</f>
        <v>0</v>
      </c>
    </row>
    <row r="3066" customFormat="false" ht="15" hidden="false" customHeight="false" outlineLevel="0" collapsed="false">
      <c r="B3066" s="102" t="str">
        <f aca="false">'Loan Tape'!$A32</f>
        <v>L-029</v>
      </c>
      <c r="C3066" s="99" t="n">
        <f aca="false">IF(Fin_Flag="Yes",'Loan Tape'!$BC32,0)</f>
        <v>24660900</v>
      </c>
      <c r="D3066" s="99" t="n">
        <f aca="false">MAX(0,C3066-C3369)</f>
        <v>0</v>
      </c>
      <c r="E3066" s="99" t="n">
        <f aca="false">MAX(0,D3066-D3369)</f>
        <v>0</v>
      </c>
      <c r="F3066" s="99" t="n">
        <f aca="false">MAX(0,E3066-E3369)</f>
        <v>0</v>
      </c>
      <c r="G3066" s="99" t="n">
        <f aca="false">MAX(0,F3066-F3369)</f>
        <v>0</v>
      </c>
      <c r="H3066" s="99" t="n">
        <f aca="false">MAX(0,G3066-G3369)</f>
        <v>0</v>
      </c>
      <c r="I3066" s="99" t="n">
        <f aca="false">MAX(0,H3066-H3369)</f>
        <v>0</v>
      </c>
      <c r="J3066" s="99" t="n">
        <f aca="false">MAX(0,I3066-I3369)</f>
        <v>0</v>
      </c>
      <c r="K3066" s="99" t="n">
        <f aca="false">MAX(0,J3066-J3369)</f>
        <v>0</v>
      </c>
      <c r="L3066" s="99" t="n">
        <f aca="false">MAX(0,K3066-K3369)</f>
        <v>0</v>
      </c>
      <c r="M3066" s="99" t="n">
        <f aca="false">MAX(0,L3066-L3369)</f>
        <v>0</v>
      </c>
    </row>
    <row r="3067" customFormat="false" ht="15" hidden="false" customHeight="false" outlineLevel="0" collapsed="false">
      <c r="B3067" s="108" t="str">
        <f aca="false">'Loan Tape'!$A33</f>
        <v>L-030</v>
      </c>
      <c r="C3067" s="71" t="n">
        <f aca="false">IF(Fin_Flag="Yes",'Loan Tape'!$BC33,0)</f>
        <v>8006544</v>
      </c>
      <c r="D3067" s="71" t="n">
        <f aca="false">MAX(0,C3067-C3370)</f>
        <v>6378789.06683994</v>
      </c>
      <c r="E3067" s="71" t="n">
        <f aca="false">MAX(0,D3067-D3370)</f>
        <v>4743762.79366244</v>
      </c>
      <c r="F3067" s="71" t="n">
        <f aca="false">MAX(0,E3067-E3370)</f>
        <v>3305188.30510396</v>
      </c>
      <c r="G3067" s="71" t="n">
        <f aca="false">MAX(0,F3067-F3370)</f>
        <v>2045704.31426857</v>
      </c>
      <c r="H3067" s="71" t="n">
        <f aca="false">MAX(0,G3067-G3370)</f>
        <v>0</v>
      </c>
      <c r="I3067" s="71" t="n">
        <f aca="false">MAX(0,H3067-H3370)</f>
        <v>0</v>
      </c>
      <c r="J3067" s="71" t="n">
        <f aca="false">MAX(0,I3067-I3370)</f>
        <v>0</v>
      </c>
      <c r="K3067" s="71" t="n">
        <f aca="false">MAX(0,J3067-J3370)</f>
        <v>0</v>
      </c>
      <c r="L3067" s="71" t="n">
        <f aca="false">MAX(0,K3067-K3370)</f>
        <v>0</v>
      </c>
      <c r="M3067" s="71" t="n">
        <f aca="false">MAX(0,L3067-L3370)</f>
        <v>0</v>
      </c>
    </row>
    <row r="3068" customFormat="false" ht="15" hidden="false" customHeight="false" outlineLevel="0" collapsed="false">
      <c r="B3068" s="102" t="str">
        <f aca="false">'Loan Tape'!$A34</f>
        <v>L-031</v>
      </c>
      <c r="C3068" s="99" t="n">
        <f aca="false">IF(Fin_Flag="Yes",'Loan Tape'!$BC34,0)</f>
        <v>6570036</v>
      </c>
      <c r="D3068" s="99" t="n">
        <f aca="false">MAX(0,C3068-C3371)</f>
        <v>5405136</v>
      </c>
      <c r="E3068" s="99" t="n">
        <f aca="false">MAX(0,D3068-D3371)</f>
        <v>0</v>
      </c>
      <c r="F3068" s="99" t="n">
        <f aca="false">MAX(0,E3068-E3371)</f>
        <v>0</v>
      </c>
      <c r="G3068" s="99" t="n">
        <f aca="false">MAX(0,F3068-F3371)</f>
        <v>0</v>
      </c>
      <c r="H3068" s="99" t="n">
        <f aca="false">MAX(0,G3068-G3371)</f>
        <v>0</v>
      </c>
      <c r="I3068" s="99" t="n">
        <f aca="false">MAX(0,H3068-H3371)</f>
        <v>0</v>
      </c>
      <c r="J3068" s="99" t="n">
        <f aca="false">MAX(0,I3068-I3371)</f>
        <v>0</v>
      </c>
      <c r="K3068" s="99" t="n">
        <f aca="false">MAX(0,J3068-J3371)</f>
        <v>0</v>
      </c>
      <c r="L3068" s="99" t="n">
        <f aca="false">MAX(0,K3068-K3371)</f>
        <v>0</v>
      </c>
      <c r="M3068" s="99" t="n">
        <f aca="false">MAX(0,L3068-L3371)</f>
        <v>0</v>
      </c>
    </row>
    <row r="3069" customFormat="false" ht="15" hidden="false" customHeight="false" outlineLevel="0" collapsed="false">
      <c r="B3069" s="108" t="str">
        <f aca="false">'Loan Tape'!$A35</f>
        <v>L-032</v>
      </c>
      <c r="C3069" s="71" t="n">
        <f aca="false">IF(Fin_Flag="Yes",'Loan Tape'!$BC35,0)</f>
        <v>78808284</v>
      </c>
      <c r="D3069" s="71" t="n">
        <f aca="false">MAX(0,C3069-C3372)</f>
        <v>62879328.1400437</v>
      </c>
      <c r="E3069" s="71" t="n">
        <f aca="false">MAX(0,D3069-D3372)</f>
        <v>46830330.9504153</v>
      </c>
      <c r="F3069" s="71" t="n">
        <f aca="false">MAX(0,E3069-E3372)</f>
        <v>32700573.6638539</v>
      </c>
      <c r="G3069" s="71" t="n">
        <f aca="false">MAX(0,F3069-F3372)</f>
        <v>0</v>
      </c>
      <c r="H3069" s="71" t="n">
        <f aca="false">MAX(0,G3069-G3372)</f>
        <v>0</v>
      </c>
      <c r="I3069" s="71" t="n">
        <f aca="false">MAX(0,H3069-H3372)</f>
        <v>0</v>
      </c>
      <c r="J3069" s="71" t="n">
        <f aca="false">MAX(0,I3069-I3372)</f>
        <v>0</v>
      </c>
      <c r="K3069" s="71" t="n">
        <f aca="false">MAX(0,J3069-J3372)</f>
        <v>0</v>
      </c>
      <c r="L3069" s="71" t="n">
        <f aca="false">MAX(0,K3069-K3372)</f>
        <v>0</v>
      </c>
      <c r="M3069" s="71" t="n">
        <f aca="false">MAX(0,L3069-L3372)</f>
        <v>0</v>
      </c>
    </row>
    <row r="3070" customFormat="false" ht="15" hidden="false" customHeight="false" outlineLevel="0" collapsed="false">
      <c r="B3070" s="102" t="str">
        <f aca="false">'Loan Tape'!$A36</f>
        <v>L-033</v>
      </c>
      <c r="C3070" s="99" t="n">
        <f aca="false">IF(Fin_Flag="Yes",'Loan Tape'!$BC36,0)</f>
        <v>24678948</v>
      </c>
      <c r="D3070" s="99" t="n">
        <f aca="false">MAX(0,C3070-C3373)</f>
        <v>0</v>
      </c>
      <c r="E3070" s="99" t="n">
        <f aca="false">MAX(0,D3070-D3373)</f>
        <v>0</v>
      </c>
      <c r="F3070" s="99" t="n">
        <f aca="false">MAX(0,E3070-E3373)</f>
        <v>0</v>
      </c>
      <c r="G3070" s="99" t="n">
        <f aca="false">MAX(0,F3070-F3373)</f>
        <v>0</v>
      </c>
      <c r="H3070" s="99" t="n">
        <f aca="false">MAX(0,G3070-G3373)</f>
        <v>0</v>
      </c>
      <c r="I3070" s="99" t="n">
        <f aca="false">MAX(0,H3070-H3373)</f>
        <v>0</v>
      </c>
      <c r="J3070" s="99" t="n">
        <f aca="false">MAX(0,I3070-I3373)</f>
        <v>0</v>
      </c>
      <c r="K3070" s="99" t="n">
        <f aca="false">MAX(0,J3070-J3373)</f>
        <v>0</v>
      </c>
      <c r="L3070" s="99" t="n">
        <f aca="false">MAX(0,K3070-K3373)</f>
        <v>0</v>
      </c>
      <c r="M3070" s="99" t="n">
        <f aca="false">MAX(0,L3070-L3373)</f>
        <v>0</v>
      </c>
    </row>
    <row r="3071" customFormat="false" ht="15" hidden="false" customHeight="false" outlineLevel="0" collapsed="false">
      <c r="B3071" s="108" t="str">
        <f aca="false">'Loan Tape'!$A37</f>
        <v>L-034</v>
      </c>
      <c r="C3071" s="71" t="n">
        <f aca="false">IF(Fin_Flag="Yes",'Loan Tape'!$BC37,0)</f>
        <v>6416064</v>
      </c>
      <c r="D3071" s="71" t="n">
        <f aca="false">MAX(0,C3071-C3374)</f>
        <v>5028423.64178393</v>
      </c>
      <c r="E3071" s="71" t="n">
        <f aca="false">MAX(0,D3071-D3374)</f>
        <v>3663053.52494921</v>
      </c>
      <c r="F3071" s="71" t="n">
        <f aca="false">MAX(0,E3071-E3374)</f>
        <v>2478891.5694561</v>
      </c>
      <c r="G3071" s="71" t="n">
        <f aca="false">MAX(0,F3071-F3374)</f>
        <v>1452848.47583279</v>
      </c>
      <c r="H3071" s="71" t="n">
        <f aca="false">MAX(0,G3071-G3374)</f>
        <v>0</v>
      </c>
      <c r="I3071" s="71" t="n">
        <f aca="false">MAX(0,H3071-H3374)</f>
        <v>0</v>
      </c>
      <c r="J3071" s="71" t="n">
        <f aca="false">MAX(0,I3071-I3374)</f>
        <v>0</v>
      </c>
      <c r="K3071" s="71" t="n">
        <f aca="false">MAX(0,J3071-J3374)</f>
        <v>0</v>
      </c>
      <c r="L3071" s="71" t="n">
        <f aca="false">MAX(0,K3071-K3374)</f>
        <v>0</v>
      </c>
      <c r="M3071" s="71" t="n">
        <f aca="false">MAX(0,L3071-L3374)</f>
        <v>0</v>
      </c>
    </row>
    <row r="3072" customFormat="false" ht="15" hidden="false" customHeight="false" outlineLevel="0" collapsed="false">
      <c r="B3072" s="102" t="str">
        <f aca="false">'Loan Tape'!$A38</f>
        <v>L-035</v>
      </c>
      <c r="C3072" s="99" t="n">
        <f aca="false">IF(Fin_Flag="Yes",'Loan Tape'!$BC38,0)</f>
        <v>35602500</v>
      </c>
      <c r="D3072" s="99" t="n">
        <f aca="false">MAX(0,C3072-C3375)</f>
        <v>27849850.8615535</v>
      </c>
      <c r="E3072" s="99" t="n">
        <f aca="false">MAX(0,D3072-D3375)</f>
        <v>20133314.9862566</v>
      </c>
      <c r="F3072" s="99" t="n">
        <f aca="false">MAX(0,E3072-E3375)</f>
        <v>0</v>
      </c>
      <c r="G3072" s="99" t="n">
        <f aca="false">MAX(0,F3072-F3375)</f>
        <v>0</v>
      </c>
      <c r="H3072" s="99" t="n">
        <f aca="false">MAX(0,G3072-G3375)</f>
        <v>0</v>
      </c>
      <c r="I3072" s="99" t="n">
        <f aca="false">MAX(0,H3072-H3375)</f>
        <v>0</v>
      </c>
      <c r="J3072" s="99" t="n">
        <f aca="false">MAX(0,I3072-I3375)</f>
        <v>0</v>
      </c>
      <c r="K3072" s="99" t="n">
        <f aca="false">MAX(0,J3072-J3375)</f>
        <v>0</v>
      </c>
      <c r="L3072" s="99" t="n">
        <f aca="false">MAX(0,K3072-K3375)</f>
        <v>0</v>
      </c>
      <c r="M3072" s="99" t="n">
        <f aca="false">MAX(0,L3072-L3375)</f>
        <v>0</v>
      </c>
    </row>
    <row r="3073" customFormat="false" ht="15" hidden="false" customHeight="false" outlineLevel="0" collapsed="false">
      <c r="B3073" s="108" t="str">
        <f aca="false">'Loan Tape'!$A39</f>
        <v>L-036</v>
      </c>
      <c r="C3073" s="71" t="n">
        <f aca="false">IF(Fin_Flag="Yes",'Loan Tape'!$BC39,0)</f>
        <v>21581460</v>
      </c>
      <c r="D3073" s="71" t="n">
        <f aca="false">MAX(0,C3073-C3376)</f>
        <v>0</v>
      </c>
      <c r="E3073" s="71" t="n">
        <f aca="false">MAX(0,D3073-D3376)</f>
        <v>0</v>
      </c>
      <c r="F3073" s="71" t="n">
        <f aca="false">MAX(0,E3073-E3376)</f>
        <v>0</v>
      </c>
      <c r="G3073" s="71" t="n">
        <f aca="false">MAX(0,F3073-F3376)</f>
        <v>0</v>
      </c>
      <c r="H3073" s="71" t="n">
        <f aca="false">MAX(0,G3073-G3376)</f>
        <v>0</v>
      </c>
      <c r="I3073" s="71" t="n">
        <f aca="false">MAX(0,H3073-H3376)</f>
        <v>0</v>
      </c>
      <c r="J3073" s="71" t="n">
        <f aca="false">MAX(0,I3073-I3376)</f>
        <v>0</v>
      </c>
      <c r="K3073" s="71" t="n">
        <f aca="false">MAX(0,J3073-J3376)</f>
        <v>0</v>
      </c>
      <c r="L3073" s="71" t="n">
        <f aca="false">MAX(0,K3073-K3376)</f>
        <v>0</v>
      </c>
      <c r="M3073" s="71" t="n">
        <f aca="false">MAX(0,L3073-L3376)</f>
        <v>0</v>
      </c>
    </row>
    <row r="3074" customFormat="false" ht="15" hidden="false" customHeight="false" outlineLevel="0" collapsed="false">
      <c r="B3074" s="102" t="str">
        <f aca="false">'Loan Tape'!$A40</f>
        <v>L-037</v>
      </c>
      <c r="C3074" s="99" t="n">
        <f aca="false">IF(Fin_Flag="Yes",'Loan Tape'!$BC40,0)</f>
        <v>18476640</v>
      </c>
      <c r="D3074" s="99" t="n">
        <f aca="false">MAX(0,C3074-C3377)</f>
        <v>0</v>
      </c>
      <c r="E3074" s="99" t="n">
        <f aca="false">MAX(0,D3074-D3377)</f>
        <v>0</v>
      </c>
      <c r="F3074" s="99" t="n">
        <f aca="false">MAX(0,E3074-E3377)</f>
        <v>0</v>
      </c>
      <c r="G3074" s="99" t="n">
        <f aca="false">MAX(0,F3074-F3377)</f>
        <v>0</v>
      </c>
      <c r="H3074" s="99" t="n">
        <f aca="false">MAX(0,G3074-G3377)</f>
        <v>0</v>
      </c>
      <c r="I3074" s="99" t="n">
        <f aca="false">MAX(0,H3074-H3377)</f>
        <v>0</v>
      </c>
      <c r="J3074" s="99" t="n">
        <f aca="false">MAX(0,I3074-I3377)</f>
        <v>0</v>
      </c>
      <c r="K3074" s="99" t="n">
        <f aca="false">MAX(0,J3074-J3377)</f>
        <v>0</v>
      </c>
      <c r="L3074" s="99" t="n">
        <f aca="false">MAX(0,K3074-K3377)</f>
        <v>0</v>
      </c>
      <c r="M3074" s="99" t="n">
        <f aca="false">MAX(0,L3074-L3377)</f>
        <v>0</v>
      </c>
    </row>
    <row r="3075" customFormat="false" ht="15" hidden="false" customHeight="false" outlineLevel="0" collapsed="false">
      <c r="B3075" s="108" t="str">
        <f aca="false">'Loan Tape'!$A41</f>
        <v>L-038</v>
      </c>
      <c r="C3075" s="71" t="n">
        <f aca="false">IF(Fin_Flag="Yes",'Loan Tape'!$BC41,0)</f>
        <v>3028116</v>
      </c>
      <c r="D3075" s="71" t="n">
        <f aca="false">MAX(0,C3075-C3378)</f>
        <v>2433182.65016205</v>
      </c>
      <c r="E3075" s="71" t="n">
        <f aca="false">MAX(0,D3075-D3378)</f>
        <v>1826135.01782995</v>
      </c>
      <c r="F3075" s="71" t="n">
        <f aca="false">MAX(0,E3075-E3378)</f>
        <v>1291764.34138338</v>
      </c>
      <c r="G3075" s="71" t="n">
        <f aca="false">MAX(0,F3075-F3378)</f>
        <v>823712.65285844</v>
      </c>
      <c r="H3075" s="71" t="n">
        <f aca="false">MAX(0,G3075-G3378)</f>
        <v>0</v>
      </c>
      <c r="I3075" s="71" t="n">
        <f aca="false">MAX(0,H3075-H3378)</f>
        <v>0</v>
      </c>
      <c r="J3075" s="71" t="n">
        <f aca="false">MAX(0,I3075-I3378)</f>
        <v>0</v>
      </c>
      <c r="K3075" s="71" t="n">
        <f aca="false">MAX(0,J3075-J3378)</f>
        <v>0</v>
      </c>
      <c r="L3075" s="71" t="n">
        <f aca="false">MAX(0,K3075-K3378)</f>
        <v>0</v>
      </c>
      <c r="M3075" s="71" t="n">
        <f aca="false">MAX(0,L3075-L3378)</f>
        <v>0</v>
      </c>
    </row>
    <row r="3076" customFormat="false" ht="15" hidden="false" customHeight="false" outlineLevel="0" collapsed="false">
      <c r="B3076" s="102" t="str">
        <f aca="false">'Loan Tape'!$A42</f>
        <v>L-039</v>
      </c>
      <c r="C3076" s="99" t="n">
        <f aca="false">IF(Fin_Flag="Yes",'Loan Tape'!$BC42,0)</f>
        <v>2537436</v>
      </c>
      <c r="D3076" s="99" t="n">
        <f aca="false">MAX(0,C3076-C3379)</f>
        <v>2022310.20318302</v>
      </c>
      <c r="E3076" s="99" t="n">
        <f aca="false">MAX(0,D3076-D3379)</f>
        <v>1503563.4318309</v>
      </c>
      <c r="F3076" s="99" t="n">
        <f aca="false">MAX(0,E3076-E3379)</f>
        <v>1046882.6880808</v>
      </c>
      <c r="G3076" s="99" t="n">
        <f aca="false">MAX(0,F3076-F3379)</f>
        <v>646759.430431484</v>
      </c>
      <c r="H3076" s="99" t="n">
        <f aca="false">MAX(0,G3076-G3379)</f>
        <v>0</v>
      </c>
      <c r="I3076" s="99" t="n">
        <f aca="false">MAX(0,H3076-H3379)</f>
        <v>0</v>
      </c>
      <c r="J3076" s="99" t="n">
        <f aca="false">MAX(0,I3076-I3379)</f>
        <v>0</v>
      </c>
      <c r="K3076" s="99" t="n">
        <f aca="false">MAX(0,J3076-J3379)</f>
        <v>0</v>
      </c>
      <c r="L3076" s="99" t="n">
        <f aca="false">MAX(0,K3076-K3379)</f>
        <v>0</v>
      </c>
      <c r="M3076" s="99" t="n">
        <f aca="false">MAX(0,L3076-L3379)</f>
        <v>0</v>
      </c>
    </row>
    <row r="3077" customFormat="false" ht="15" hidden="false" customHeight="false" outlineLevel="0" collapsed="false">
      <c r="B3077" s="108" t="str">
        <f aca="false">'Loan Tape'!$A43</f>
        <v>L-040</v>
      </c>
      <c r="C3077" s="71" t="n">
        <f aca="false">IF(Fin_Flag="Yes",'Loan Tape'!$BC43,0)</f>
        <v>45754500</v>
      </c>
      <c r="D3077" s="71" t="n">
        <f aca="false">MAX(0,C3077-C3380)</f>
        <v>35357601.7560847</v>
      </c>
      <c r="E3077" s="71" t="n">
        <f aca="false">MAX(0,D3077-D3380)</f>
        <v>25216456.4135153</v>
      </c>
      <c r="F3077" s="71" t="n">
        <f aca="false">MAX(0,E3077-E3380)</f>
        <v>0</v>
      </c>
      <c r="G3077" s="71" t="n">
        <f aca="false">MAX(0,F3077-F3380)</f>
        <v>0</v>
      </c>
      <c r="H3077" s="71" t="n">
        <f aca="false">MAX(0,G3077-G3380)</f>
        <v>0</v>
      </c>
      <c r="I3077" s="71" t="n">
        <f aca="false">MAX(0,H3077-H3380)</f>
        <v>0</v>
      </c>
      <c r="J3077" s="71" t="n">
        <f aca="false">MAX(0,I3077-I3380)</f>
        <v>0</v>
      </c>
      <c r="K3077" s="71" t="n">
        <f aca="false">MAX(0,J3077-J3380)</f>
        <v>0</v>
      </c>
      <c r="L3077" s="71" t="n">
        <f aca="false">MAX(0,K3077-K3380)</f>
        <v>0</v>
      </c>
      <c r="M3077" s="71" t="n">
        <f aca="false">MAX(0,L3077-L3380)</f>
        <v>0</v>
      </c>
    </row>
    <row r="3078" customFormat="false" ht="15" hidden="false" customHeight="false" outlineLevel="0" collapsed="false">
      <c r="B3078" s="102" t="str">
        <f aca="false">'Loan Tape'!$A44</f>
        <v>L-041</v>
      </c>
      <c r="C3078" s="99" t="n">
        <f aca="false">IF(Fin_Flag="Yes",'Loan Tape'!$BC44,0)</f>
        <v>17265732</v>
      </c>
      <c r="D3078" s="99" t="n">
        <f aca="false">MAX(0,C3078-C3381)</f>
        <v>0</v>
      </c>
      <c r="E3078" s="99" t="n">
        <f aca="false">MAX(0,D3078-D3381)</f>
        <v>0</v>
      </c>
      <c r="F3078" s="99" t="n">
        <f aca="false">MAX(0,E3078-E3381)</f>
        <v>0</v>
      </c>
      <c r="G3078" s="99" t="n">
        <f aca="false">MAX(0,F3078-F3381)</f>
        <v>0</v>
      </c>
      <c r="H3078" s="99" t="n">
        <f aca="false">MAX(0,G3078-G3381)</f>
        <v>0</v>
      </c>
      <c r="I3078" s="99" t="n">
        <f aca="false">MAX(0,H3078-H3381)</f>
        <v>0</v>
      </c>
      <c r="J3078" s="99" t="n">
        <f aca="false">MAX(0,I3078-I3381)</f>
        <v>0</v>
      </c>
      <c r="K3078" s="99" t="n">
        <f aca="false">MAX(0,J3078-J3381)</f>
        <v>0</v>
      </c>
      <c r="L3078" s="99" t="n">
        <f aca="false">MAX(0,K3078-K3381)</f>
        <v>0</v>
      </c>
      <c r="M3078" s="99" t="n">
        <f aca="false">MAX(0,L3078-L3381)</f>
        <v>0</v>
      </c>
    </row>
    <row r="3079" customFormat="false" ht="15" hidden="false" customHeight="false" outlineLevel="0" collapsed="false">
      <c r="B3079" s="108" t="str">
        <f aca="false">'Loan Tape'!$A45</f>
        <v>L-042</v>
      </c>
      <c r="C3079" s="71" t="n">
        <f aca="false">IF(Fin_Flag="Yes",'Loan Tape'!$BC45,0)</f>
        <v>2841996</v>
      </c>
      <c r="D3079" s="71" t="n">
        <f aca="false">MAX(0,C3079-C3382)</f>
        <v>2255256.34124436</v>
      </c>
      <c r="E3079" s="71" t="n">
        <f aca="false">MAX(0,D3079-D3382)</f>
        <v>1672901.99383213</v>
      </c>
      <c r="F3079" s="71" t="n">
        <f aca="false">MAX(0,E3079-E3382)</f>
        <v>0</v>
      </c>
      <c r="G3079" s="71" t="n">
        <f aca="false">MAX(0,F3079-F3382)</f>
        <v>0</v>
      </c>
      <c r="H3079" s="71" t="n">
        <f aca="false">MAX(0,G3079-G3382)</f>
        <v>0</v>
      </c>
      <c r="I3079" s="71" t="n">
        <f aca="false">MAX(0,H3079-H3382)</f>
        <v>0</v>
      </c>
      <c r="J3079" s="71" t="n">
        <f aca="false">MAX(0,I3079-I3382)</f>
        <v>0</v>
      </c>
      <c r="K3079" s="71" t="n">
        <f aca="false">MAX(0,J3079-J3382)</f>
        <v>0</v>
      </c>
      <c r="L3079" s="71" t="n">
        <f aca="false">MAX(0,K3079-K3382)</f>
        <v>0</v>
      </c>
      <c r="M3079" s="71" t="n">
        <f aca="false">MAX(0,L3079-L3382)</f>
        <v>0</v>
      </c>
    </row>
    <row r="3080" customFormat="false" ht="15" hidden="false" customHeight="false" outlineLevel="0" collapsed="false">
      <c r="B3080" s="102" t="str">
        <f aca="false">'Loan Tape'!$A46</f>
        <v>L-043</v>
      </c>
      <c r="C3080" s="99" t="n">
        <f aca="false">IF(Fin_Flag="Yes",'Loan Tape'!$BC46,0)</f>
        <v>4895520</v>
      </c>
      <c r="D3080" s="99" t="n">
        <f aca="false">MAX(0,C3080-C3383)</f>
        <v>3853909.99924696</v>
      </c>
      <c r="E3080" s="99" t="n">
        <f aca="false">MAX(0,D3080-D3383)</f>
        <v>2813094.78528371</v>
      </c>
      <c r="F3080" s="99" t="n">
        <f aca="false">MAX(0,E3080-E3383)</f>
        <v>1900319.71104202</v>
      </c>
      <c r="G3080" s="99" t="n">
        <f aca="false">MAX(0,F3080-F3383)</f>
        <v>0</v>
      </c>
      <c r="H3080" s="99" t="n">
        <f aca="false">MAX(0,G3080-G3383)</f>
        <v>0</v>
      </c>
      <c r="I3080" s="99" t="n">
        <f aca="false">MAX(0,H3080-H3383)</f>
        <v>0</v>
      </c>
      <c r="J3080" s="99" t="n">
        <f aca="false">MAX(0,I3080-I3383)</f>
        <v>0</v>
      </c>
      <c r="K3080" s="99" t="n">
        <f aca="false">MAX(0,J3080-J3383)</f>
        <v>0</v>
      </c>
      <c r="L3080" s="99" t="n">
        <f aca="false">MAX(0,K3080-K3383)</f>
        <v>0</v>
      </c>
      <c r="M3080" s="99" t="n">
        <f aca="false">MAX(0,L3080-L3383)</f>
        <v>0</v>
      </c>
    </row>
    <row r="3081" customFormat="false" ht="15" hidden="false" customHeight="false" outlineLevel="0" collapsed="false">
      <c r="B3081" s="108" t="str">
        <f aca="false">'Loan Tape'!$A47</f>
        <v>L-044</v>
      </c>
      <c r="C3081" s="71" t="n">
        <f aca="false">IF(Fin_Flag="Yes",'Loan Tape'!$BC47,0)</f>
        <v>44390748</v>
      </c>
      <c r="D3081" s="71" t="n">
        <f aca="false">MAX(0,C3081-C3384)</f>
        <v>0</v>
      </c>
      <c r="E3081" s="71" t="n">
        <f aca="false">MAX(0,D3081-D3384)</f>
        <v>0</v>
      </c>
      <c r="F3081" s="71" t="n">
        <f aca="false">MAX(0,E3081-E3384)</f>
        <v>0</v>
      </c>
      <c r="G3081" s="71" t="n">
        <f aca="false">MAX(0,F3081-F3384)</f>
        <v>0</v>
      </c>
      <c r="H3081" s="71" t="n">
        <f aca="false">MAX(0,G3081-G3384)</f>
        <v>0</v>
      </c>
      <c r="I3081" s="71" t="n">
        <f aca="false">MAX(0,H3081-H3384)</f>
        <v>0</v>
      </c>
      <c r="J3081" s="71" t="n">
        <f aca="false">MAX(0,I3081-I3384)</f>
        <v>0</v>
      </c>
      <c r="K3081" s="71" t="n">
        <f aca="false">MAX(0,J3081-J3384)</f>
        <v>0</v>
      </c>
      <c r="L3081" s="71" t="n">
        <f aca="false">MAX(0,K3081-K3384)</f>
        <v>0</v>
      </c>
      <c r="M3081" s="71" t="n">
        <f aca="false">MAX(0,L3081-L3384)</f>
        <v>0</v>
      </c>
    </row>
    <row r="3082" customFormat="false" ht="15" hidden="false" customHeight="false" outlineLevel="0" collapsed="false">
      <c r="B3082" s="102" t="str">
        <f aca="false">'Loan Tape'!$A48</f>
        <v>L-045</v>
      </c>
      <c r="C3082" s="99" t="n">
        <f aca="false">IF(Fin_Flag="Yes",'Loan Tape'!$BC48,0)</f>
        <v>30759432</v>
      </c>
      <c r="D3082" s="99" t="n">
        <f aca="false">MAX(0,C3082-C3385)</f>
        <v>25164262.1467651</v>
      </c>
      <c r="E3082" s="99" t="n">
        <f aca="false">MAX(0,D3082-D3385)</f>
        <v>19028235.7225548</v>
      </c>
      <c r="F3082" s="99" t="n">
        <f aca="false">MAX(0,E3082-E3385)</f>
        <v>13615970.4274183</v>
      </c>
      <c r="G3082" s="99" t="n">
        <f aca="false">MAX(0,F3082-F3385)</f>
        <v>8867542.10145101</v>
      </c>
      <c r="H3082" s="99" t="n">
        <f aca="false">MAX(0,G3082-G3385)</f>
        <v>0</v>
      </c>
      <c r="I3082" s="99" t="n">
        <f aca="false">MAX(0,H3082-H3385)</f>
        <v>0</v>
      </c>
      <c r="J3082" s="99" t="n">
        <f aca="false">MAX(0,I3082-I3385)</f>
        <v>0</v>
      </c>
      <c r="K3082" s="99" t="n">
        <f aca="false">MAX(0,J3082-J3385)</f>
        <v>0</v>
      </c>
      <c r="L3082" s="99" t="n">
        <f aca="false">MAX(0,K3082-K3385)</f>
        <v>0</v>
      </c>
      <c r="M3082" s="99" t="n">
        <f aca="false">MAX(0,L3082-L3385)</f>
        <v>0</v>
      </c>
    </row>
    <row r="3083" customFormat="false" ht="15" hidden="false" customHeight="false" outlineLevel="0" collapsed="false">
      <c r="B3083" s="108" t="str">
        <f aca="false">'Loan Tape'!$A49</f>
        <v>L-046</v>
      </c>
      <c r="C3083" s="71" t="n">
        <f aca="false">IF(Fin_Flag="Yes",'Loan Tape'!$BC49,0)</f>
        <v>63940680</v>
      </c>
      <c r="D3083" s="71" t="n">
        <f aca="false">MAX(0,C3083-C3386)</f>
        <v>0</v>
      </c>
      <c r="E3083" s="71" t="n">
        <f aca="false">MAX(0,D3083-D3386)</f>
        <v>0</v>
      </c>
      <c r="F3083" s="71" t="n">
        <f aca="false">MAX(0,E3083-E3386)</f>
        <v>0</v>
      </c>
      <c r="G3083" s="71" t="n">
        <f aca="false">MAX(0,F3083-F3386)</f>
        <v>0</v>
      </c>
      <c r="H3083" s="71" t="n">
        <f aca="false">MAX(0,G3083-G3386)</f>
        <v>0</v>
      </c>
      <c r="I3083" s="71" t="n">
        <f aca="false">MAX(0,H3083-H3386)</f>
        <v>0</v>
      </c>
      <c r="J3083" s="71" t="n">
        <f aca="false">MAX(0,I3083-I3386)</f>
        <v>0</v>
      </c>
      <c r="K3083" s="71" t="n">
        <f aca="false">MAX(0,J3083-J3386)</f>
        <v>0</v>
      </c>
      <c r="L3083" s="71" t="n">
        <f aca="false">MAX(0,K3083-K3386)</f>
        <v>0</v>
      </c>
      <c r="M3083" s="71" t="n">
        <f aca="false">MAX(0,L3083-L3386)</f>
        <v>0</v>
      </c>
    </row>
    <row r="3084" customFormat="false" ht="15" hidden="false" customHeight="false" outlineLevel="0" collapsed="false">
      <c r="B3084" s="102" t="str">
        <f aca="false">'Loan Tape'!$A50</f>
        <v>L-047</v>
      </c>
      <c r="C3084" s="99" t="n">
        <f aca="false">IF(Fin_Flag="Yes",'Loan Tape'!$BC50,0)</f>
        <v>2966076</v>
      </c>
      <c r="D3084" s="99" t="n">
        <f aca="false">MAX(0,C3084-C3387)</f>
        <v>2440176</v>
      </c>
      <c r="E3084" s="99" t="n">
        <f aca="false">MAX(0,D3084-D3387)</f>
        <v>1903758</v>
      </c>
      <c r="F3084" s="99" t="n">
        <f aca="false">MAX(0,E3084-E3387)</f>
        <v>1431710.16</v>
      </c>
      <c r="G3084" s="99" t="n">
        <f aca="false">MAX(0,F3084-F3387)</f>
        <v>0</v>
      </c>
      <c r="H3084" s="99" t="n">
        <f aca="false">MAX(0,G3084-G3387)</f>
        <v>0</v>
      </c>
      <c r="I3084" s="99" t="n">
        <f aca="false">MAX(0,H3084-H3387)</f>
        <v>0</v>
      </c>
      <c r="J3084" s="99" t="n">
        <f aca="false">MAX(0,I3084-I3387)</f>
        <v>0</v>
      </c>
      <c r="K3084" s="99" t="n">
        <f aca="false">MAX(0,J3084-J3387)</f>
        <v>0</v>
      </c>
      <c r="L3084" s="99" t="n">
        <f aca="false">MAX(0,K3084-K3387)</f>
        <v>0</v>
      </c>
      <c r="M3084" s="99" t="n">
        <f aca="false">MAX(0,L3084-L3387)</f>
        <v>0</v>
      </c>
    </row>
    <row r="3085" customFormat="false" ht="15" hidden="false" customHeight="false" outlineLevel="0" collapsed="false">
      <c r="B3085" s="108" t="str">
        <f aca="false">'Loan Tape'!$A51</f>
        <v>L-048</v>
      </c>
      <c r="C3085" s="71" t="n">
        <f aca="false">IF(Fin_Flag="Yes",'Loan Tape'!$BC51,0)</f>
        <v>56513364</v>
      </c>
      <c r="D3085" s="71" t="n">
        <f aca="false">MAX(0,C3085-C3388)</f>
        <v>44297588.6610382</v>
      </c>
      <c r="E3085" s="71" t="n">
        <f aca="false">MAX(0,D3085-D3388)</f>
        <v>0</v>
      </c>
      <c r="F3085" s="71" t="n">
        <f aca="false">MAX(0,E3085-E3388)</f>
        <v>0</v>
      </c>
      <c r="G3085" s="71" t="n">
        <f aca="false">MAX(0,F3085-F3388)</f>
        <v>0</v>
      </c>
      <c r="H3085" s="71" t="n">
        <f aca="false">MAX(0,G3085-G3388)</f>
        <v>0</v>
      </c>
      <c r="I3085" s="71" t="n">
        <f aca="false">MAX(0,H3085-H3388)</f>
        <v>0</v>
      </c>
      <c r="J3085" s="71" t="n">
        <f aca="false">MAX(0,I3085-I3388)</f>
        <v>0</v>
      </c>
      <c r="K3085" s="71" t="n">
        <f aca="false">MAX(0,J3085-J3388)</f>
        <v>0</v>
      </c>
      <c r="L3085" s="71" t="n">
        <f aca="false">MAX(0,K3085-K3388)</f>
        <v>0</v>
      </c>
      <c r="M3085" s="71" t="n">
        <f aca="false">MAX(0,L3085-L3388)</f>
        <v>0</v>
      </c>
    </row>
    <row r="3086" customFormat="false" ht="15" hidden="false" customHeight="false" outlineLevel="0" collapsed="false">
      <c r="B3086" s="102" t="str">
        <f aca="false">'Loan Tape'!$A52</f>
        <v>L-049</v>
      </c>
      <c r="C3086" s="99" t="n">
        <f aca="false">IF(Fin_Flag="Yes",'Loan Tape'!$BC52,0)</f>
        <v>29340408</v>
      </c>
      <c r="D3086" s="99" t="n">
        <f aca="false">MAX(0,C3086-C3389)</f>
        <v>0</v>
      </c>
      <c r="E3086" s="99" t="n">
        <f aca="false">MAX(0,D3086-D3389)</f>
        <v>0</v>
      </c>
      <c r="F3086" s="99" t="n">
        <f aca="false">MAX(0,E3086-E3389)</f>
        <v>0</v>
      </c>
      <c r="G3086" s="99" t="n">
        <f aca="false">MAX(0,F3086-F3389)</f>
        <v>0</v>
      </c>
      <c r="H3086" s="99" t="n">
        <f aca="false">MAX(0,G3086-G3389)</f>
        <v>0</v>
      </c>
      <c r="I3086" s="99" t="n">
        <f aca="false">MAX(0,H3086-H3389)</f>
        <v>0</v>
      </c>
      <c r="J3086" s="99" t="n">
        <f aca="false">MAX(0,I3086-I3389)</f>
        <v>0</v>
      </c>
      <c r="K3086" s="99" t="n">
        <f aca="false">MAX(0,J3086-J3389)</f>
        <v>0</v>
      </c>
      <c r="L3086" s="99" t="n">
        <f aca="false">MAX(0,K3086-K3389)</f>
        <v>0</v>
      </c>
      <c r="M3086" s="99" t="n">
        <f aca="false">MAX(0,L3086-L3389)</f>
        <v>0</v>
      </c>
    </row>
    <row r="3087" customFormat="false" ht="15" hidden="false" customHeight="false" outlineLevel="0" collapsed="false">
      <c r="B3087" s="108" t="str">
        <f aca="false">'Loan Tape'!$A53</f>
        <v>L-050</v>
      </c>
      <c r="C3087" s="71" t="n">
        <f aca="false">IF(Fin_Flag="Yes",'Loan Tape'!$BC53,0)</f>
        <v>67856532</v>
      </c>
      <c r="D3087" s="71" t="n">
        <f aca="false">MAX(0,C3087-C3390)</f>
        <v>55825232</v>
      </c>
      <c r="E3087" s="71" t="n">
        <f aca="false">MAX(0,D3087-D3390)</f>
        <v>43553306</v>
      </c>
      <c r="F3087" s="71" t="n">
        <f aca="false">MAX(0,E3087-E3390)</f>
        <v>0</v>
      </c>
      <c r="G3087" s="71" t="n">
        <f aca="false">MAX(0,F3087-F3390)</f>
        <v>0</v>
      </c>
      <c r="H3087" s="71" t="n">
        <f aca="false">MAX(0,G3087-G3390)</f>
        <v>0</v>
      </c>
      <c r="I3087" s="71" t="n">
        <f aca="false">MAX(0,H3087-H3390)</f>
        <v>0</v>
      </c>
      <c r="J3087" s="71" t="n">
        <f aca="false">MAX(0,I3087-I3390)</f>
        <v>0</v>
      </c>
      <c r="K3087" s="71" t="n">
        <f aca="false">MAX(0,J3087-J3390)</f>
        <v>0</v>
      </c>
      <c r="L3087" s="71" t="n">
        <f aca="false">MAX(0,K3087-K3390)</f>
        <v>0</v>
      </c>
      <c r="M3087" s="71" t="n">
        <f aca="false">MAX(0,L3087-L3390)</f>
        <v>0</v>
      </c>
    </row>
    <row r="3088" customFormat="false" ht="15" hidden="false" customHeight="false" outlineLevel="0" collapsed="false">
      <c r="B3088" s="102" t="n">
        <f aca="false">'Loan Tape'!$A54</f>
        <v>0</v>
      </c>
      <c r="C3088" s="99" t="n">
        <f aca="false">IF(Fin_Flag="Yes",'Loan Tape'!$BC54,0)</f>
        <v>0</v>
      </c>
      <c r="D3088" s="99" t="n">
        <f aca="false">MAX(0,C3088-C3391)</f>
        <v>0</v>
      </c>
      <c r="E3088" s="99" t="n">
        <f aca="false">MAX(0,D3088-D3391)</f>
        <v>0</v>
      </c>
      <c r="F3088" s="99" t="n">
        <f aca="false">MAX(0,E3088-E3391)</f>
        <v>0</v>
      </c>
      <c r="G3088" s="99" t="n">
        <f aca="false">MAX(0,F3088-F3391)</f>
        <v>0</v>
      </c>
      <c r="H3088" s="99" t="n">
        <f aca="false">MAX(0,G3088-G3391)</f>
        <v>0</v>
      </c>
      <c r="I3088" s="99" t="n">
        <f aca="false">MAX(0,H3088-H3391)</f>
        <v>0</v>
      </c>
      <c r="J3088" s="99" t="n">
        <f aca="false">MAX(0,I3088-I3391)</f>
        <v>0</v>
      </c>
      <c r="K3088" s="99" t="n">
        <f aca="false">MAX(0,J3088-J3391)</f>
        <v>0</v>
      </c>
      <c r="L3088" s="99" t="n">
        <f aca="false">MAX(0,K3088-K3391)</f>
        <v>0</v>
      </c>
      <c r="M3088" s="99" t="n">
        <f aca="false">MAX(0,L3088-L3391)</f>
        <v>0</v>
      </c>
    </row>
    <row r="3089" customFormat="false" ht="15" hidden="false" customHeight="false" outlineLevel="0" collapsed="false">
      <c r="B3089" s="108" t="n">
        <f aca="false">'Loan Tape'!$A55</f>
        <v>0</v>
      </c>
      <c r="C3089" s="71" t="n">
        <f aca="false">IF(Fin_Flag="Yes",'Loan Tape'!$BC55,0)</f>
        <v>0</v>
      </c>
      <c r="D3089" s="71" t="n">
        <f aca="false">MAX(0,C3089-C3392)</f>
        <v>0</v>
      </c>
      <c r="E3089" s="71" t="n">
        <f aca="false">MAX(0,D3089-D3392)</f>
        <v>0</v>
      </c>
      <c r="F3089" s="71" t="n">
        <f aca="false">MAX(0,E3089-E3392)</f>
        <v>0</v>
      </c>
      <c r="G3089" s="71" t="n">
        <f aca="false">MAX(0,F3089-F3392)</f>
        <v>0</v>
      </c>
      <c r="H3089" s="71" t="n">
        <f aca="false">MAX(0,G3089-G3392)</f>
        <v>0</v>
      </c>
      <c r="I3089" s="71" t="n">
        <f aca="false">MAX(0,H3089-H3392)</f>
        <v>0</v>
      </c>
      <c r="J3089" s="71" t="n">
        <f aca="false">MAX(0,I3089-I3392)</f>
        <v>0</v>
      </c>
      <c r="K3089" s="71" t="n">
        <f aca="false">MAX(0,J3089-J3392)</f>
        <v>0</v>
      </c>
      <c r="L3089" s="71" t="n">
        <f aca="false">MAX(0,K3089-K3392)</f>
        <v>0</v>
      </c>
      <c r="M3089" s="71" t="n">
        <f aca="false">MAX(0,L3089-L3392)</f>
        <v>0</v>
      </c>
    </row>
    <row r="3090" customFormat="false" ht="15" hidden="false" customHeight="false" outlineLevel="0" collapsed="false">
      <c r="B3090" s="102" t="n">
        <f aca="false">'Loan Tape'!$A56</f>
        <v>0</v>
      </c>
      <c r="C3090" s="99" t="n">
        <f aca="false">IF(Fin_Flag="Yes",'Loan Tape'!$BC56,0)</f>
        <v>0</v>
      </c>
      <c r="D3090" s="99" t="n">
        <f aca="false">MAX(0,C3090-C3393)</f>
        <v>0</v>
      </c>
      <c r="E3090" s="99" t="n">
        <f aca="false">MAX(0,D3090-D3393)</f>
        <v>0</v>
      </c>
      <c r="F3090" s="99" t="n">
        <f aca="false">MAX(0,E3090-E3393)</f>
        <v>0</v>
      </c>
      <c r="G3090" s="99" t="n">
        <f aca="false">MAX(0,F3090-F3393)</f>
        <v>0</v>
      </c>
      <c r="H3090" s="99" t="n">
        <f aca="false">MAX(0,G3090-G3393)</f>
        <v>0</v>
      </c>
      <c r="I3090" s="99" t="n">
        <f aca="false">MAX(0,H3090-H3393)</f>
        <v>0</v>
      </c>
      <c r="J3090" s="99" t="n">
        <f aca="false">MAX(0,I3090-I3393)</f>
        <v>0</v>
      </c>
      <c r="K3090" s="99" t="n">
        <f aca="false">MAX(0,J3090-J3393)</f>
        <v>0</v>
      </c>
      <c r="L3090" s="99" t="n">
        <f aca="false">MAX(0,K3090-K3393)</f>
        <v>0</v>
      </c>
      <c r="M3090" s="99" t="n">
        <f aca="false">MAX(0,L3090-L3393)</f>
        <v>0</v>
      </c>
    </row>
    <row r="3091" customFormat="false" ht="15" hidden="false" customHeight="false" outlineLevel="0" collapsed="false">
      <c r="B3091" s="108" t="n">
        <f aca="false">'Loan Tape'!$A57</f>
        <v>0</v>
      </c>
      <c r="C3091" s="71" t="n">
        <f aca="false">IF(Fin_Flag="Yes",'Loan Tape'!$BC57,0)</f>
        <v>0</v>
      </c>
      <c r="D3091" s="71" t="n">
        <f aca="false">MAX(0,C3091-C3394)</f>
        <v>0</v>
      </c>
      <c r="E3091" s="71" t="n">
        <f aca="false">MAX(0,D3091-D3394)</f>
        <v>0</v>
      </c>
      <c r="F3091" s="71" t="n">
        <f aca="false">MAX(0,E3091-E3394)</f>
        <v>0</v>
      </c>
      <c r="G3091" s="71" t="n">
        <f aca="false">MAX(0,F3091-F3394)</f>
        <v>0</v>
      </c>
      <c r="H3091" s="71" t="n">
        <f aca="false">MAX(0,G3091-G3394)</f>
        <v>0</v>
      </c>
      <c r="I3091" s="71" t="n">
        <f aca="false">MAX(0,H3091-H3394)</f>
        <v>0</v>
      </c>
      <c r="J3091" s="71" t="n">
        <f aca="false">MAX(0,I3091-I3394)</f>
        <v>0</v>
      </c>
      <c r="K3091" s="71" t="n">
        <f aca="false">MAX(0,J3091-J3394)</f>
        <v>0</v>
      </c>
      <c r="L3091" s="71" t="n">
        <f aca="false">MAX(0,K3091-K3394)</f>
        <v>0</v>
      </c>
      <c r="M3091" s="71" t="n">
        <f aca="false">MAX(0,L3091-L3394)</f>
        <v>0</v>
      </c>
    </row>
    <row r="3092" customFormat="false" ht="15" hidden="false" customHeight="false" outlineLevel="0" collapsed="false">
      <c r="B3092" s="102" t="n">
        <f aca="false">'Loan Tape'!$A58</f>
        <v>0</v>
      </c>
      <c r="C3092" s="99" t="n">
        <f aca="false">IF(Fin_Flag="Yes",'Loan Tape'!$BC58,0)</f>
        <v>0</v>
      </c>
      <c r="D3092" s="99" t="n">
        <f aca="false">MAX(0,C3092-C3395)</f>
        <v>0</v>
      </c>
      <c r="E3092" s="99" t="n">
        <f aca="false">MAX(0,D3092-D3395)</f>
        <v>0</v>
      </c>
      <c r="F3092" s="99" t="n">
        <f aca="false">MAX(0,E3092-E3395)</f>
        <v>0</v>
      </c>
      <c r="G3092" s="99" t="n">
        <f aca="false">MAX(0,F3092-F3395)</f>
        <v>0</v>
      </c>
      <c r="H3092" s="99" t="n">
        <f aca="false">MAX(0,G3092-G3395)</f>
        <v>0</v>
      </c>
      <c r="I3092" s="99" t="n">
        <f aca="false">MAX(0,H3092-H3395)</f>
        <v>0</v>
      </c>
      <c r="J3092" s="99" t="n">
        <f aca="false">MAX(0,I3092-I3395)</f>
        <v>0</v>
      </c>
      <c r="K3092" s="99" t="n">
        <f aca="false">MAX(0,J3092-J3395)</f>
        <v>0</v>
      </c>
      <c r="L3092" s="99" t="n">
        <f aca="false">MAX(0,K3092-K3395)</f>
        <v>0</v>
      </c>
      <c r="M3092" s="99" t="n">
        <f aca="false">MAX(0,L3092-L3395)</f>
        <v>0</v>
      </c>
    </row>
    <row r="3093" customFormat="false" ht="15" hidden="false" customHeight="false" outlineLevel="0" collapsed="false">
      <c r="B3093" s="108" t="n">
        <f aca="false">'Loan Tape'!$A59</f>
        <v>0</v>
      </c>
      <c r="C3093" s="71" t="n">
        <f aca="false">IF(Fin_Flag="Yes",'Loan Tape'!$BC59,0)</f>
        <v>0</v>
      </c>
      <c r="D3093" s="71" t="n">
        <f aca="false">MAX(0,C3093-C3396)</f>
        <v>0</v>
      </c>
      <c r="E3093" s="71" t="n">
        <f aca="false">MAX(0,D3093-D3396)</f>
        <v>0</v>
      </c>
      <c r="F3093" s="71" t="n">
        <f aca="false">MAX(0,E3093-E3396)</f>
        <v>0</v>
      </c>
      <c r="G3093" s="71" t="n">
        <f aca="false">MAX(0,F3093-F3396)</f>
        <v>0</v>
      </c>
      <c r="H3093" s="71" t="n">
        <f aca="false">MAX(0,G3093-G3396)</f>
        <v>0</v>
      </c>
      <c r="I3093" s="71" t="n">
        <f aca="false">MAX(0,H3093-H3396)</f>
        <v>0</v>
      </c>
      <c r="J3093" s="71" t="n">
        <f aca="false">MAX(0,I3093-I3396)</f>
        <v>0</v>
      </c>
      <c r="K3093" s="71" t="n">
        <f aca="false">MAX(0,J3093-J3396)</f>
        <v>0</v>
      </c>
      <c r="L3093" s="71" t="n">
        <f aca="false">MAX(0,K3093-K3396)</f>
        <v>0</v>
      </c>
      <c r="M3093" s="71" t="n">
        <f aca="false">MAX(0,L3093-L3396)</f>
        <v>0</v>
      </c>
    </row>
    <row r="3094" customFormat="false" ht="15" hidden="false" customHeight="false" outlineLevel="0" collapsed="false">
      <c r="B3094" s="102" t="n">
        <f aca="false">'Loan Tape'!$A60</f>
        <v>0</v>
      </c>
      <c r="C3094" s="99" t="n">
        <f aca="false">IF(Fin_Flag="Yes",'Loan Tape'!$BC60,0)</f>
        <v>0</v>
      </c>
      <c r="D3094" s="99" t="n">
        <f aca="false">MAX(0,C3094-C3397)</f>
        <v>0</v>
      </c>
      <c r="E3094" s="99" t="n">
        <f aca="false">MAX(0,D3094-D3397)</f>
        <v>0</v>
      </c>
      <c r="F3094" s="99" t="n">
        <f aca="false">MAX(0,E3094-E3397)</f>
        <v>0</v>
      </c>
      <c r="G3094" s="99" t="n">
        <f aca="false">MAX(0,F3094-F3397)</f>
        <v>0</v>
      </c>
      <c r="H3094" s="99" t="n">
        <f aca="false">MAX(0,G3094-G3397)</f>
        <v>0</v>
      </c>
      <c r="I3094" s="99" t="n">
        <f aca="false">MAX(0,H3094-H3397)</f>
        <v>0</v>
      </c>
      <c r="J3094" s="99" t="n">
        <f aca="false">MAX(0,I3094-I3397)</f>
        <v>0</v>
      </c>
      <c r="K3094" s="99" t="n">
        <f aca="false">MAX(0,J3094-J3397)</f>
        <v>0</v>
      </c>
      <c r="L3094" s="99" t="n">
        <f aca="false">MAX(0,K3094-K3397)</f>
        <v>0</v>
      </c>
      <c r="M3094" s="99" t="n">
        <f aca="false">MAX(0,L3094-L3397)</f>
        <v>0</v>
      </c>
    </row>
    <row r="3095" customFormat="false" ht="15" hidden="false" customHeight="false" outlineLevel="0" collapsed="false">
      <c r="B3095" s="108" t="n">
        <f aca="false">'Loan Tape'!$A61</f>
        <v>0</v>
      </c>
      <c r="C3095" s="71" t="n">
        <f aca="false">IF(Fin_Flag="Yes",'Loan Tape'!$BC61,0)</f>
        <v>0</v>
      </c>
      <c r="D3095" s="71" t="n">
        <f aca="false">MAX(0,C3095-C3398)</f>
        <v>0</v>
      </c>
      <c r="E3095" s="71" t="n">
        <f aca="false">MAX(0,D3095-D3398)</f>
        <v>0</v>
      </c>
      <c r="F3095" s="71" t="n">
        <f aca="false">MAX(0,E3095-E3398)</f>
        <v>0</v>
      </c>
      <c r="G3095" s="71" t="n">
        <f aca="false">MAX(0,F3095-F3398)</f>
        <v>0</v>
      </c>
      <c r="H3095" s="71" t="n">
        <f aca="false">MAX(0,G3095-G3398)</f>
        <v>0</v>
      </c>
      <c r="I3095" s="71" t="n">
        <f aca="false">MAX(0,H3095-H3398)</f>
        <v>0</v>
      </c>
      <c r="J3095" s="71" t="n">
        <f aca="false">MAX(0,I3095-I3398)</f>
        <v>0</v>
      </c>
      <c r="K3095" s="71" t="n">
        <f aca="false">MAX(0,J3095-J3398)</f>
        <v>0</v>
      </c>
      <c r="L3095" s="71" t="n">
        <f aca="false">MAX(0,K3095-K3398)</f>
        <v>0</v>
      </c>
      <c r="M3095" s="71" t="n">
        <f aca="false">MAX(0,L3095-L3398)</f>
        <v>0</v>
      </c>
    </row>
    <row r="3096" customFormat="false" ht="15" hidden="false" customHeight="false" outlineLevel="0" collapsed="false">
      <c r="B3096" s="102" t="n">
        <f aca="false">'Loan Tape'!$A62</f>
        <v>0</v>
      </c>
      <c r="C3096" s="99" t="n">
        <f aca="false">IF(Fin_Flag="Yes",'Loan Tape'!$BC62,0)</f>
        <v>0</v>
      </c>
      <c r="D3096" s="99" t="n">
        <f aca="false">MAX(0,C3096-C3399)</f>
        <v>0</v>
      </c>
      <c r="E3096" s="99" t="n">
        <f aca="false">MAX(0,D3096-D3399)</f>
        <v>0</v>
      </c>
      <c r="F3096" s="99" t="n">
        <f aca="false">MAX(0,E3096-E3399)</f>
        <v>0</v>
      </c>
      <c r="G3096" s="99" t="n">
        <f aca="false">MAX(0,F3096-F3399)</f>
        <v>0</v>
      </c>
      <c r="H3096" s="99" t="n">
        <f aca="false">MAX(0,G3096-G3399)</f>
        <v>0</v>
      </c>
      <c r="I3096" s="99" t="n">
        <f aca="false">MAX(0,H3096-H3399)</f>
        <v>0</v>
      </c>
      <c r="J3096" s="99" t="n">
        <f aca="false">MAX(0,I3096-I3399)</f>
        <v>0</v>
      </c>
      <c r="K3096" s="99" t="n">
        <f aca="false">MAX(0,J3096-J3399)</f>
        <v>0</v>
      </c>
      <c r="L3096" s="99" t="n">
        <f aca="false">MAX(0,K3096-K3399)</f>
        <v>0</v>
      </c>
      <c r="M3096" s="99" t="n">
        <f aca="false">MAX(0,L3096-L3399)</f>
        <v>0</v>
      </c>
    </row>
    <row r="3097" customFormat="false" ht="15" hidden="false" customHeight="false" outlineLevel="0" collapsed="false">
      <c r="B3097" s="108" t="n">
        <f aca="false">'Loan Tape'!$A63</f>
        <v>0</v>
      </c>
      <c r="C3097" s="71" t="n">
        <f aca="false">IF(Fin_Flag="Yes",'Loan Tape'!$BC63,0)</f>
        <v>0</v>
      </c>
      <c r="D3097" s="71" t="n">
        <f aca="false">MAX(0,C3097-C3400)</f>
        <v>0</v>
      </c>
      <c r="E3097" s="71" t="n">
        <f aca="false">MAX(0,D3097-D3400)</f>
        <v>0</v>
      </c>
      <c r="F3097" s="71" t="n">
        <f aca="false">MAX(0,E3097-E3400)</f>
        <v>0</v>
      </c>
      <c r="G3097" s="71" t="n">
        <f aca="false">MAX(0,F3097-F3400)</f>
        <v>0</v>
      </c>
      <c r="H3097" s="71" t="n">
        <f aca="false">MAX(0,G3097-G3400)</f>
        <v>0</v>
      </c>
      <c r="I3097" s="71" t="n">
        <f aca="false">MAX(0,H3097-H3400)</f>
        <v>0</v>
      </c>
      <c r="J3097" s="71" t="n">
        <f aca="false">MAX(0,I3097-I3400)</f>
        <v>0</v>
      </c>
      <c r="K3097" s="71" t="n">
        <f aca="false">MAX(0,J3097-J3400)</f>
        <v>0</v>
      </c>
      <c r="L3097" s="71" t="n">
        <f aca="false">MAX(0,K3097-K3400)</f>
        <v>0</v>
      </c>
      <c r="M3097" s="71" t="n">
        <f aca="false">MAX(0,L3097-L3400)</f>
        <v>0</v>
      </c>
    </row>
    <row r="3098" customFormat="false" ht="15" hidden="false" customHeight="false" outlineLevel="0" collapsed="false">
      <c r="B3098" s="102" t="n">
        <f aca="false">'Loan Tape'!$A64</f>
        <v>0</v>
      </c>
      <c r="C3098" s="99" t="n">
        <f aca="false">IF(Fin_Flag="Yes",'Loan Tape'!$BC64,0)</f>
        <v>0</v>
      </c>
      <c r="D3098" s="99" t="n">
        <f aca="false">MAX(0,C3098-C3401)</f>
        <v>0</v>
      </c>
      <c r="E3098" s="99" t="n">
        <f aca="false">MAX(0,D3098-D3401)</f>
        <v>0</v>
      </c>
      <c r="F3098" s="99" t="n">
        <f aca="false">MAX(0,E3098-E3401)</f>
        <v>0</v>
      </c>
      <c r="G3098" s="99" t="n">
        <f aca="false">MAX(0,F3098-F3401)</f>
        <v>0</v>
      </c>
      <c r="H3098" s="99" t="n">
        <f aca="false">MAX(0,G3098-G3401)</f>
        <v>0</v>
      </c>
      <c r="I3098" s="99" t="n">
        <f aca="false">MAX(0,H3098-H3401)</f>
        <v>0</v>
      </c>
      <c r="J3098" s="99" t="n">
        <f aca="false">MAX(0,I3098-I3401)</f>
        <v>0</v>
      </c>
      <c r="K3098" s="99" t="n">
        <f aca="false">MAX(0,J3098-J3401)</f>
        <v>0</v>
      </c>
      <c r="L3098" s="99" t="n">
        <f aca="false">MAX(0,K3098-K3401)</f>
        <v>0</v>
      </c>
      <c r="M3098" s="99" t="n">
        <f aca="false">MAX(0,L3098-L3401)</f>
        <v>0</v>
      </c>
    </row>
    <row r="3099" customFormat="false" ht="15" hidden="false" customHeight="false" outlineLevel="0" collapsed="false">
      <c r="B3099" s="108" t="n">
        <f aca="false">'Loan Tape'!$A65</f>
        <v>0</v>
      </c>
      <c r="C3099" s="71" t="n">
        <f aca="false">IF(Fin_Flag="Yes",'Loan Tape'!$BC65,0)</f>
        <v>0</v>
      </c>
      <c r="D3099" s="71" t="n">
        <f aca="false">MAX(0,C3099-C3402)</f>
        <v>0</v>
      </c>
      <c r="E3099" s="71" t="n">
        <f aca="false">MAX(0,D3099-D3402)</f>
        <v>0</v>
      </c>
      <c r="F3099" s="71" t="n">
        <f aca="false">MAX(0,E3099-E3402)</f>
        <v>0</v>
      </c>
      <c r="G3099" s="71" t="n">
        <f aca="false">MAX(0,F3099-F3402)</f>
        <v>0</v>
      </c>
      <c r="H3099" s="71" t="n">
        <f aca="false">MAX(0,G3099-G3402)</f>
        <v>0</v>
      </c>
      <c r="I3099" s="71" t="n">
        <f aca="false">MAX(0,H3099-H3402)</f>
        <v>0</v>
      </c>
      <c r="J3099" s="71" t="n">
        <f aca="false">MAX(0,I3099-I3402)</f>
        <v>0</v>
      </c>
      <c r="K3099" s="71" t="n">
        <f aca="false">MAX(0,J3099-J3402)</f>
        <v>0</v>
      </c>
      <c r="L3099" s="71" t="n">
        <f aca="false">MAX(0,K3099-K3402)</f>
        <v>0</v>
      </c>
      <c r="M3099" s="71" t="n">
        <f aca="false">MAX(0,L3099-L3402)</f>
        <v>0</v>
      </c>
    </row>
    <row r="3100" customFormat="false" ht="15" hidden="false" customHeight="false" outlineLevel="0" collapsed="false">
      <c r="B3100" s="102" t="n">
        <f aca="false">'Loan Tape'!$A66</f>
        <v>0</v>
      </c>
      <c r="C3100" s="99" t="n">
        <f aca="false">IF(Fin_Flag="Yes",'Loan Tape'!$BC66,0)</f>
        <v>0</v>
      </c>
      <c r="D3100" s="99" t="n">
        <f aca="false">MAX(0,C3100-C3403)</f>
        <v>0</v>
      </c>
      <c r="E3100" s="99" t="n">
        <f aca="false">MAX(0,D3100-D3403)</f>
        <v>0</v>
      </c>
      <c r="F3100" s="99" t="n">
        <f aca="false">MAX(0,E3100-E3403)</f>
        <v>0</v>
      </c>
      <c r="G3100" s="99" t="n">
        <f aca="false">MAX(0,F3100-F3403)</f>
        <v>0</v>
      </c>
      <c r="H3100" s="99" t="n">
        <f aca="false">MAX(0,G3100-G3403)</f>
        <v>0</v>
      </c>
      <c r="I3100" s="99" t="n">
        <f aca="false">MAX(0,H3100-H3403)</f>
        <v>0</v>
      </c>
      <c r="J3100" s="99" t="n">
        <f aca="false">MAX(0,I3100-I3403)</f>
        <v>0</v>
      </c>
      <c r="K3100" s="99" t="n">
        <f aca="false">MAX(0,J3100-J3403)</f>
        <v>0</v>
      </c>
      <c r="L3100" s="99" t="n">
        <f aca="false">MAX(0,K3100-K3403)</f>
        <v>0</v>
      </c>
      <c r="M3100" s="99" t="n">
        <f aca="false">MAX(0,L3100-L3403)</f>
        <v>0</v>
      </c>
    </row>
    <row r="3101" customFormat="false" ht="15" hidden="false" customHeight="false" outlineLevel="0" collapsed="false">
      <c r="B3101" s="108" t="n">
        <f aca="false">'Loan Tape'!$A67</f>
        <v>0</v>
      </c>
      <c r="C3101" s="71" t="n">
        <f aca="false">IF(Fin_Flag="Yes",'Loan Tape'!$BC67,0)</f>
        <v>0</v>
      </c>
      <c r="D3101" s="71" t="n">
        <f aca="false">MAX(0,C3101-C3404)</f>
        <v>0</v>
      </c>
      <c r="E3101" s="71" t="n">
        <f aca="false">MAX(0,D3101-D3404)</f>
        <v>0</v>
      </c>
      <c r="F3101" s="71" t="n">
        <f aca="false">MAX(0,E3101-E3404)</f>
        <v>0</v>
      </c>
      <c r="G3101" s="71" t="n">
        <f aca="false">MAX(0,F3101-F3404)</f>
        <v>0</v>
      </c>
      <c r="H3101" s="71" t="n">
        <f aca="false">MAX(0,G3101-G3404)</f>
        <v>0</v>
      </c>
      <c r="I3101" s="71" t="n">
        <f aca="false">MAX(0,H3101-H3404)</f>
        <v>0</v>
      </c>
      <c r="J3101" s="71" t="n">
        <f aca="false">MAX(0,I3101-I3404)</f>
        <v>0</v>
      </c>
      <c r="K3101" s="71" t="n">
        <f aca="false">MAX(0,J3101-J3404)</f>
        <v>0</v>
      </c>
      <c r="L3101" s="71" t="n">
        <f aca="false">MAX(0,K3101-K3404)</f>
        <v>0</v>
      </c>
      <c r="M3101" s="71" t="n">
        <f aca="false">MAX(0,L3101-L3404)</f>
        <v>0</v>
      </c>
    </row>
    <row r="3102" customFormat="false" ht="15" hidden="false" customHeight="false" outlineLevel="0" collapsed="false">
      <c r="B3102" s="102" t="n">
        <f aca="false">'Loan Tape'!$A68</f>
        <v>0</v>
      </c>
      <c r="C3102" s="99" t="n">
        <f aca="false">IF(Fin_Flag="Yes",'Loan Tape'!$BC68,0)</f>
        <v>0</v>
      </c>
      <c r="D3102" s="99" t="n">
        <f aca="false">MAX(0,C3102-C3405)</f>
        <v>0</v>
      </c>
      <c r="E3102" s="99" t="n">
        <f aca="false">MAX(0,D3102-D3405)</f>
        <v>0</v>
      </c>
      <c r="F3102" s="99" t="n">
        <f aca="false">MAX(0,E3102-E3405)</f>
        <v>0</v>
      </c>
      <c r="G3102" s="99" t="n">
        <f aca="false">MAX(0,F3102-F3405)</f>
        <v>0</v>
      </c>
      <c r="H3102" s="99" t="n">
        <f aca="false">MAX(0,G3102-G3405)</f>
        <v>0</v>
      </c>
      <c r="I3102" s="99" t="n">
        <f aca="false">MAX(0,H3102-H3405)</f>
        <v>0</v>
      </c>
      <c r="J3102" s="99" t="n">
        <f aca="false">MAX(0,I3102-I3405)</f>
        <v>0</v>
      </c>
      <c r="K3102" s="99" t="n">
        <f aca="false">MAX(0,J3102-J3405)</f>
        <v>0</v>
      </c>
      <c r="L3102" s="99" t="n">
        <f aca="false">MAX(0,K3102-K3405)</f>
        <v>0</v>
      </c>
      <c r="M3102" s="99" t="n">
        <f aca="false">MAX(0,L3102-L3405)</f>
        <v>0</v>
      </c>
    </row>
    <row r="3103" customFormat="false" ht="15" hidden="false" customHeight="false" outlineLevel="0" collapsed="false">
      <c r="B3103" s="108" t="n">
        <f aca="false">'Loan Tape'!$A69</f>
        <v>0</v>
      </c>
      <c r="C3103" s="71" t="n">
        <f aca="false">IF(Fin_Flag="Yes",'Loan Tape'!$BC69,0)</f>
        <v>0</v>
      </c>
      <c r="D3103" s="71" t="n">
        <f aca="false">MAX(0,C3103-C3406)</f>
        <v>0</v>
      </c>
      <c r="E3103" s="71" t="n">
        <f aca="false">MAX(0,D3103-D3406)</f>
        <v>0</v>
      </c>
      <c r="F3103" s="71" t="n">
        <f aca="false">MAX(0,E3103-E3406)</f>
        <v>0</v>
      </c>
      <c r="G3103" s="71" t="n">
        <f aca="false">MAX(0,F3103-F3406)</f>
        <v>0</v>
      </c>
      <c r="H3103" s="71" t="n">
        <f aca="false">MAX(0,G3103-G3406)</f>
        <v>0</v>
      </c>
      <c r="I3103" s="71" t="n">
        <f aca="false">MAX(0,H3103-H3406)</f>
        <v>0</v>
      </c>
      <c r="J3103" s="71" t="n">
        <f aca="false">MAX(0,I3103-I3406)</f>
        <v>0</v>
      </c>
      <c r="K3103" s="71" t="n">
        <f aca="false">MAX(0,J3103-J3406)</f>
        <v>0</v>
      </c>
      <c r="L3103" s="71" t="n">
        <f aca="false">MAX(0,K3103-K3406)</f>
        <v>0</v>
      </c>
      <c r="M3103" s="71" t="n">
        <f aca="false">MAX(0,L3103-L3406)</f>
        <v>0</v>
      </c>
    </row>
    <row r="3104" customFormat="false" ht="15" hidden="false" customHeight="false" outlineLevel="0" collapsed="false">
      <c r="B3104" s="102" t="n">
        <f aca="false">'Loan Tape'!$A70</f>
        <v>0</v>
      </c>
      <c r="C3104" s="99" t="n">
        <f aca="false">IF(Fin_Flag="Yes",'Loan Tape'!$BC70,0)</f>
        <v>0</v>
      </c>
      <c r="D3104" s="99" t="n">
        <f aca="false">MAX(0,C3104-C3407)</f>
        <v>0</v>
      </c>
      <c r="E3104" s="99" t="n">
        <f aca="false">MAX(0,D3104-D3407)</f>
        <v>0</v>
      </c>
      <c r="F3104" s="99" t="n">
        <f aca="false">MAX(0,E3104-E3407)</f>
        <v>0</v>
      </c>
      <c r="G3104" s="99" t="n">
        <f aca="false">MAX(0,F3104-F3407)</f>
        <v>0</v>
      </c>
      <c r="H3104" s="99" t="n">
        <f aca="false">MAX(0,G3104-G3407)</f>
        <v>0</v>
      </c>
      <c r="I3104" s="99" t="n">
        <f aca="false">MAX(0,H3104-H3407)</f>
        <v>0</v>
      </c>
      <c r="J3104" s="99" t="n">
        <f aca="false">MAX(0,I3104-I3407)</f>
        <v>0</v>
      </c>
      <c r="K3104" s="99" t="n">
        <f aca="false">MAX(0,J3104-J3407)</f>
        <v>0</v>
      </c>
      <c r="L3104" s="99" t="n">
        <f aca="false">MAX(0,K3104-K3407)</f>
        <v>0</v>
      </c>
      <c r="M3104" s="99" t="n">
        <f aca="false">MAX(0,L3104-L3407)</f>
        <v>0</v>
      </c>
    </row>
    <row r="3105" customFormat="false" ht="15" hidden="false" customHeight="false" outlineLevel="0" collapsed="false">
      <c r="B3105" s="108" t="n">
        <f aca="false">'Loan Tape'!$A71</f>
        <v>0</v>
      </c>
      <c r="C3105" s="71" t="n">
        <f aca="false">IF(Fin_Flag="Yes",'Loan Tape'!$BC71,0)</f>
        <v>0</v>
      </c>
      <c r="D3105" s="71" t="n">
        <f aca="false">MAX(0,C3105-C3408)</f>
        <v>0</v>
      </c>
      <c r="E3105" s="71" t="n">
        <f aca="false">MAX(0,D3105-D3408)</f>
        <v>0</v>
      </c>
      <c r="F3105" s="71" t="n">
        <f aca="false">MAX(0,E3105-E3408)</f>
        <v>0</v>
      </c>
      <c r="G3105" s="71" t="n">
        <f aca="false">MAX(0,F3105-F3408)</f>
        <v>0</v>
      </c>
      <c r="H3105" s="71" t="n">
        <f aca="false">MAX(0,G3105-G3408)</f>
        <v>0</v>
      </c>
      <c r="I3105" s="71" t="n">
        <f aca="false">MAX(0,H3105-H3408)</f>
        <v>0</v>
      </c>
      <c r="J3105" s="71" t="n">
        <f aca="false">MAX(0,I3105-I3408)</f>
        <v>0</v>
      </c>
      <c r="K3105" s="71" t="n">
        <f aca="false">MAX(0,J3105-J3408)</f>
        <v>0</v>
      </c>
      <c r="L3105" s="71" t="n">
        <f aca="false">MAX(0,K3105-K3408)</f>
        <v>0</v>
      </c>
      <c r="M3105" s="71" t="n">
        <f aca="false">MAX(0,L3105-L3408)</f>
        <v>0</v>
      </c>
    </row>
    <row r="3106" customFormat="false" ht="15" hidden="false" customHeight="false" outlineLevel="0" collapsed="false">
      <c r="B3106" s="102" t="n">
        <f aca="false">'Loan Tape'!$A72</f>
        <v>0</v>
      </c>
      <c r="C3106" s="99" t="n">
        <f aca="false">IF(Fin_Flag="Yes",'Loan Tape'!$BC72,0)</f>
        <v>0</v>
      </c>
      <c r="D3106" s="99" t="n">
        <f aca="false">MAX(0,C3106-C3409)</f>
        <v>0</v>
      </c>
      <c r="E3106" s="99" t="n">
        <f aca="false">MAX(0,D3106-D3409)</f>
        <v>0</v>
      </c>
      <c r="F3106" s="99" t="n">
        <f aca="false">MAX(0,E3106-E3409)</f>
        <v>0</v>
      </c>
      <c r="G3106" s="99" t="n">
        <f aca="false">MAX(0,F3106-F3409)</f>
        <v>0</v>
      </c>
      <c r="H3106" s="99" t="n">
        <f aca="false">MAX(0,G3106-G3409)</f>
        <v>0</v>
      </c>
      <c r="I3106" s="99" t="n">
        <f aca="false">MAX(0,H3106-H3409)</f>
        <v>0</v>
      </c>
      <c r="J3106" s="99" t="n">
        <f aca="false">MAX(0,I3106-I3409)</f>
        <v>0</v>
      </c>
      <c r="K3106" s="99" t="n">
        <f aca="false">MAX(0,J3106-J3409)</f>
        <v>0</v>
      </c>
      <c r="L3106" s="99" t="n">
        <f aca="false">MAX(0,K3106-K3409)</f>
        <v>0</v>
      </c>
      <c r="M3106" s="99" t="n">
        <f aca="false">MAX(0,L3106-L3409)</f>
        <v>0</v>
      </c>
    </row>
    <row r="3107" customFormat="false" ht="15" hidden="false" customHeight="false" outlineLevel="0" collapsed="false">
      <c r="B3107" s="108" t="n">
        <f aca="false">'Loan Tape'!$A73</f>
        <v>0</v>
      </c>
      <c r="C3107" s="71" t="n">
        <f aca="false">IF(Fin_Flag="Yes",'Loan Tape'!$BC73,0)</f>
        <v>0</v>
      </c>
      <c r="D3107" s="71" t="n">
        <f aca="false">MAX(0,C3107-C3410)</f>
        <v>0</v>
      </c>
      <c r="E3107" s="71" t="n">
        <f aca="false">MAX(0,D3107-D3410)</f>
        <v>0</v>
      </c>
      <c r="F3107" s="71" t="n">
        <f aca="false">MAX(0,E3107-E3410)</f>
        <v>0</v>
      </c>
      <c r="G3107" s="71" t="n">
        <f aca="false">MAX(0,F3107-F3410)</f>
        <v>0</v>
      </c>
      <c r="H3107" s="71" t="n">
        <f aca="false">MAX(0,G3107-G3410)</f>
        <v>0</v>
      </c>
      <c r="I3107" s="71" t="n">
        <f aca="false">MAX(0,H3107-H3410)</f>
        <v>0</v>
      </c>
      <c r="J3107" s="71" t="n">
        <f aca="false">MAX(0,I3107-I3410)</f>
        <v>0</v>
      </c>
      <c r="K3107" s="71" t="n">
        <f aca="false">MAX(0,J3107-J3410)</f>
        <v>0</v>
      </c>
      <c r="L3107" s="71" t="n">
        <f aca="false">MAX(0,K3107-K3410)</f>
        <v>0</v>
      </c>
      <c r="M3107" s="71" t="n">
        <f aca="false">MAX(0,L3107-L3410)</f>
        <v>0</v>
      </c>
    </row>
    <row r="3108" customFormat="false" ht="15" hidden="false" customHeight="false" outlineLevel="0" collapsed="false">
      <c r="B3108" s="102" t="n">
        <f aca="false">'Loan Tape'!$A74</f>
        <v>0</v>
      </c>
      <c r="C3108" s="99" t="n">
        <f aca="false">IF(Fin_Flag="Yes",'Loan Tape'!$BC74,0)</f>
        <v>0</v>
      </c>
      <c r="D3108" s="99" t="n">
        <f aca="false">MAX(0,C3108-C3411)</f>
        <v>0</v>
      </c>
      <c r="E3108" s="99" t="n">
        <f aca="false">MAX(0,D3108-D3411)</f>
        <v>0</v>
      </c>
      <c r="F3108" s="99" t="n">
        <f aca="false">MAX(0,E3108-E3411)</f>
        <v>0</v>
      </c>
      <c r="G3108" s="99" t="n">
        <f aca="false">MAX(0,F3108-F3411)</f>
        <v>0</v>
      </c>
      <c r="H3108" s="99" t="n">
        <f aca="false">MAX(0,G3108-G3411)</f>
        <v>0</v>
      </c>
      <c r="I3108" s="99" t="n">
        <f aca="false">MAX(0,H3108-H3411)</f>
        <v>0</v>
      </c>
      <c r="J3108" s="99" t="n">
        <f aca="false">MAX(0,I3108-I3411)</f>
        <v>0</v>
      </c>
      <c r="K3108" s="99" t="n">
        <f aca="false">MAX(0,J3108-J3411)</f>
        <v>0</v>
      </c>
      <c r="L3108" s="99" t="n">
        <f aca="false">MAX(0,K3108-K3411)</f>
        <v>0</v>
      </c>
      <c r="M3108" s="99" t="n">
        <f aca="false">MAX(0,L3108-L3411)</f>
        <v>0</v>
      </c>
    </row>
    <row r="3109" customFormat="false" ht="15" hidden="false" customHeight="false" outlineLevel="0" collapsed="false">
      <c r="B3109" s="108" t="n">
        <f aca="false">'Loan Tape'!$A75</f>
        <v>0</v>
      </c>
      <c r="C3109" s="71" t="n">
        <f aca="false">IF(Fin_Flag="Yes",'Loan Tape'!$BC75,0)</f>
        <v>0</v>
      </c>
      <c r="D3109" s="71" t="n">
        <f aca="false">MAX(0,C3109-C3412)</f>
        <v>0</v>
      </c>
      <c r="E3109" s="71" t="n">
        <f aca="false">MAX(0,D3109-D3412)</f>
        <v>0</v>
      </c>
      <c r="F3109" s="71" t="n">
        <f aca="false">MAX(0,E3109-E3412)</f>
        <v>0</v>
      </c>
      <c r="G3109" s="71" t="n">
        <f aca="false">MAX(0,F3109-F3412)</f>
        <v>0</v>
      </c>
      <c r="H3109" s="71" t="n">
        <f aca="false">MAX(0,G3109-G3412)</f>
        <v>0</v>
      </c>
      <c r="I3109" s="71" t="n">
        <f aca="false">MAX(0,H3109-H3412)</f>
        <v>0</v>
      </c>
      <c r="J3109" s="71" t="n">
        <f aca="false">MAX(0,I3109-I3412)</f>
        <v>0</v>
      </c>
      <c r="K3109" s="71" t="n">
        <f aca="false">MAX(0,J3109-J3412)</f>
        <v>0</v>
      </c>
      <c r="L3109" s="71" t="n">
        <f aca="false">MAX(0,K3109-K3412)</f>
        <v>0</v>
      </c>
      <c r="M3109" s="71" t="n">
        <f aca="false">MAX(0,L3109-L3412)</f>
        <v>0</v>
      </c>
    </row>
    <row r="3110" customFormat="false" ht="15" hidden="false" customHeight="false" outlineLevel="0" collapsed="false">
      <c r="B3110" s="102" t="n">
        <f aca="false">'Loan Tape'!$A76</f>
        <v>0</v>
      </c>
      <c r="C3110" s="99" t="n">
        <f aca="false">IF(Fin_Flag="Yes",'Loan Tape'!$BC76,0)</f>
        <v>0</v>
      </c>
      <c r="D3110" s="99" t="n">
        <f aca="false">MAX(0,C3110-C3413)</f>
        <v>0</v>
      </c>
      <c r="E3110" s="99" t="n">
        <f aca="false">MAX(0,D3110-D3413)</f>
        <v>0</v>
      </c>
      <c r="F3110" s="99" t="n">
        <f aca="false">MAX(0,E3110-E3413)</f>
        <v>0</v>
      </c>
      <c r="G3110" s="99" t="n">
        <f aca="false">MAX(0,F3110-F3413)</f>
        <v>0</v>
      </c>
      <c r="H3110" s="99" t="n">
        <f aca="false">MAX(0,G3110-G3413)</f>
        <v>0</v>
      </c>
      <c r="I3110" s="99" t="n">
        <f aca="false">MAX(0,H3110-H3413)</f>
        <v>0</v>
      </c>
      <c r="J3110" s="99" t="n">
        <f aca="false">MAX(0,I3110-I3413)</f>
        <v>0</v>
      </c>
      <c r="K3110" s="99" t="n">
        <f aca="false">MAX(0,J3110-J3413)</f>
        <v>0</v>
      </c>
      <c r="L3110" s="99" t="n">
        <f aca="false">MAX(0,K3110-K3413)</f>
        <v>0</v>
      </c>
      <c r="M3110" s="99" t="n">
        <f aca="false">MAX(0,L3110-L3413)</f>
        <v>0</v>
      </c>
    </row>
    <row r="3111" customFormat="false" ht="15" hidden="false" customHeight="false" outlineLevel="0" collapsed="false">
      <c r="B3111" s="108" t="n">
        <f aca="false">'Loan Tape'!$A77</f>
        <v>0</v>
      </c>
      <c r="C3111" s="71" t="n">
        <f aca="false">IF(Fin_Flag="Yes",'Loan Tape'!$BC77,0)</f>
        <v>0</v>
      </c>
      <c r="D3111" s="71" t="n">
        <f aca="false">MAX(0,C3111-C3414)</f>
        <v>0</v>
      </c>
      <c r="E3111" s="71" t="n">
        <f aca="false">MAX(0,D3111-D3414)</f>
        <v>0</v>
      </c>
      <c r="F3111" s="71" t="n">
        <f aca="false">MAX(0,E3111-E3414)</f>
        <v>0</v>
      </c>
      <c r="G3111" s="71" t="n">
        <f aca="false">MAX(0,F3111-F3414)</f>
        <v>0</v>
      </c>
      <c r="H3111" s="71" t="n">
        <f aca="false">MAX(0,G3111-G3414)</f>
        <v>0</v>
      </c>
      <c r="I3111" s="71" t="n">
        <f aca="false">MAX(0,H3111-H3414)</f>
        <v>0</v>
      </c>
      <c r="J3111" s="71" t="n">
        <f aca="false">MAX(0,I3111-I3414)</f>
        <v>0</v>
      </c>
      <c r="K3111" s="71" t="n">
        <f aca="false">MAX(0,J3111-J3414)</f>
        <v>0</v>
      </c>
      <c r="L3111" s="71" t="n">
        <f aca="false">MAX(0,K3111-K3414)</f>
        <v>0</v>
      </c>
      <c r="M3111" s="71" t="n">
        <f aca="false">MAX(0,L3111-L3414)</f>
        <v>0</v>
      </c>
    </row>
    <row r="3112" customFormat="false" ht="15" hidden="false" customHeight="false" outlineLevel="0" collapsed="false">
      <c r="B3112" s="102" t="n">
        <f aca="false">'Loan Tape'!$A78</f>
        <v>0</v>
      </c>
      <c r="C3112" s="99" t="n">
        <f aca="false">IF(Fin_Flag="Yes",'Loan Tape'!$BC78,0)</f>
        <v>0</v>
      </c>
      <c r="D3112" s="99" t="n">
        <f aca="false">MAX(0,C3112-C3415)</f>
        <v>0</v>
      </c>
      <c r="E3112" s="99" t="n">
        <f aca="false">MAX(0,D3112-D3415)</f>
        <v>0</v>
      </c>
      <c r="F3112" s="99" t="n">
        <f aca="false">MAX(0,E3112-E3415)</f>
        <v>0</v>
      </c>
      <c r="G3112" s="99" t="n">
        <f aca="false">MAX(0,F3112-F3415)</f>
        <v>0</v>
      </c>
      <c r="H3112" s="99" t="n">
        <f aca="false">MAX(0,G3112-G3415)</f>
        <v>0</v>
      </c>
      <c r="I3112" s="99" t="n">
        <f aca="false">MAX(0,H3112-H3415)</f>
        <v>0</v>
      </c>
      <c r="J3112" s="99" t="n">
        <f aca="false">MAX(0,I3112-I3415)</f>
        <v>0</v>
      </c>
      <c r="K3112" s="99" t="n">
        <f aca="false">MAX(0,J3112-J3415)</f>
        <v>0</v>
      </c>
      <c r="L3112" s="99" t="n">
        <f aca="false">MAX(0,K3112-K3415)</f>
        <v>0</v>
      </c>
      <c r="M3112" s="99" t="n">
        <f aca="false">MAX(0,L3112-L3415)</f>
        <v>0</v>
      </c>
    </row>
    <row r="3113" customFormat="false" ht="15" hidden="false" customHeight="false" outlineLevel="0" collapsed="false">
      <c r="B3113" s="108" t="n">
        <f aca="false">'Loan Tape'!$A79</f>
        <v>0</v>
      </c>
      <c r="C3113" s="71" t="n">
        <f aca="false">IF(Fin_Flag="Yes",'Loan Tape'!$BC79,0)</f>
        <v>0</v>
      </c>
      <c r="D3113" s="71" t="n">
        <f aca="false">MAX(0,C3113-C3416)</f>
        <v>0</v>
      </c>
      <c r="E3113" s="71" t="n">
        <f aca="false">MAX(0,D3113-D3416)</f>
        <v>0</v>
      </c>
      <c r="F3113" s="71" t="n">
        <f aca="false">MAX(0,E3113-E3416)</f>
        <v>0</v>
      </c>
      <c r="G3113" s="71" t="n">
        <f aca="false">MAX(0,F3113-F3416)</f>
        <v>0</v>
      </c>
      <c r="H3113" s="71" t="n">
        <f aca="false">MAX(0,G3113-G3416)</f>
        <v>0</v>
      </c>
      <c r="I3113" s="71" t="n">
        <f aca="false">MAX(0,H3113-H3416)</f>
        <v>0</v>
      </c>
      <c r="J3113" s="71" t="n">
        <f aca="false">MAX(0,I3113-I3416)</f>
        <v>0</v>
      </c>
      <c r="K3113" s="71" t="n">
        <f aca="false">MAX(0,J3113-J3416)</f>
        <v>0</v>
      </c>
      <c r="L3113" s="71" t="n">
        <f aca="false">MAX(0,K3113-K3416)</f>
        <v>0</v>
      </c>
      <c r="M3113" s="71" t="n">
        <f aca="false">MAX(0,L3113-L3416)</f>
        <v>0</v>
      </c>
    </row>
    <row r="3114" customFormat="false" ht="15" hidden="false" customHeight="false" outlineLevel="0" collapsed="false">
      <c r="B3114" s="102" t="n">
        <f aca="false">'Loan Tape'!$A80</f>
        <v>0</v>
      </c>
      <c r="C3114" s="99" t="n">
        <f aca="false">IF(Fin_Flag="Yes",'Loan Tape'!$BC80,0)</f>
        <v>0</v>
      </c>
      <c r="D3114" s="99" t="n">
        <f aca="false">MAX(0,C3114-C3417)</f>
        <v>0</v>
      </c>
      <c r="E3114" s="99" t="n">
        <f aca="false">MAX(0,D3114-D3417)</f>
        <v>0</v>
      </c>
      <c r="F3114" s="99" t="n">
        <f aca="false">MAX(0,E3114-E3417)</f>
        <v>0</v>
      </c>
      <c r="G3114" s="99" t="n">
        <f aca="false">MAX(0,F3114-F3417)</f>
        <v>0</v>
      </c>
      <c r="H3114" s="99" t="n">
        <f aca="false">MAX(0,G3114-G3417)</f>
        <v>0</v>
      </c>
      <c r="I3114" s="99" t="n">
        <f aca="false">MAX(0,H3114-H3417)</f>
        <v>0</v>
      </c>
      <c r="J3114" s="99" t="n">
        <f aca="false">MAX(0,I3114-I3417)</f>
        <v>0</v>
      </c>
      <c r="K3114" s="99" t="n">
        <f aca="false">MAX(0,J3114-J3417)</f>
        <v>0</v>
      </c>
      <c r="L3114" s="99" t="n">
        <f aca="false">MAX(0,K3114-K3417)</f>
        <v>0</v>
      </c>
      <c r="M3114" s="99" t="n">
        <f aca="false">MAX(0,L3114-L3417)</f>
        <v>0</v>
      </c>
    </row>
    <row r="3115" customFormat="false" ht="15" hidden="false" customHeight="false" outlineLevel="0" collapsed="false">
      <c r="B3115" s="108" t="n">
        <f aca="false">'Loan Tape'!$A81</f>
        <v>0</v>
      </c>
      <c r="C3115" s="71" t="n">
        <f aca="false">IF(Fin_Flag="Yes",'Loan Tape'!$BC81,0)</f>
        <v>0</v>
      </c>
      <c r="D3115" s="71" t="n">
        <f aca="false">MAX(0,C3115-C3418)</f>
        <v>0</v>
      </c>
      <c r="E3115" s="71" t="n">
        <f aca="false">MAX(0,D3115-D3418)</f>
        <v>0</v>
      </c>
      <c r="F3115" s="71" t="n">
        <f aca="false">MAX(0,E3115-E3418)</f>
        <v>0</v>
      </c>
      <c r="G3115" s="71" t="n">
        <f aca="false">MAX(0,F3115-F3418)</f>
        <v>0</v>
      </c>
      <c r="H3115" s="71" t="n">
        <f aca="false">MAX(0,G3115-G3418)</f>
        <v>0</v>
      </c>
      <c r="I3115" s="71" t="n">
        <f aca="false">MAX(0,H3115-H3418)</f>
        <v>0</v>
      </c>
      <c r="J3115" s="71" t="n">
        <f aca="false">MAX(0,I3115-I3418)</f>
        <v>0</v>
      </c>
      <c r="K3115" s="71" t="n">
        <f aca="false">MAX(0,J3115-J3418)</f>
        <v>0</v>
      </c>
      <c r="L3115" s="71" t="n">
        <f aca="false">MAX(0,K3115-K3418)</f>
        <v>0</v>
      </c>
      <c r="M3115" s="71" t="n">
        <f aca="false">MAX(0,L3115-L3418)</f>
        <v>0</v>
      </c>
    </row>
    <row r="3116" customFormat="false" ht="15" hidden="false" customHeight="false" outlineLevel="0" collapsed="false">
      <c r="B3116" s="102" t="n">
        <f aca="false">'Loan Tape'!$A82</f>
        <v>0</v>
      </c>
      <c r="C3116" s="99" t="n">
        <f aca="false">IF(Fin_Flag="Yes",'Loan Tape'!$BC82,0)</f>
        <v>0</v>
      </c>
      <c r="D3116" s="99" t="n">
        <f aca="false">MAX(0,C3116-C3419)</f>
        <v>0</v>
      </c>
      <c r="E3116" s="99" t="n">
        <f aca="false">MAX(0,D3116-D3419)</f>
        <v>0</v>
      </c>
      <c r="F3116" s="99" t="n">
        <f aca="false">MAX(0,E3116-E3419)</f>
        <v>0</v>
      </c>
      <c r="G3116" s="99" t="n">
        <f aca="false">MAX(0,F3116-F3419)</f>
        <v>0</v>
      </c>
      <c r="H3116" s="99" t="n">
        <f aca="false">MAX(0,G3116-G3419)</f>
        <v>0</v>
      </c>
      <c r="I3116" s="99" t="n">
        <f aca="false">MAX(0,H3116-H3419)</f>
        <v>0</v>
      </c>
      <c r="J3116" s="99" t="n">
        <f aca="false">MAX(0,I3116-I3419)</f>
        <v>0</v>
      </c>
      <c r="K3116" s="99" t="n">
        <f aca="false">MAX(0,J3116-J3419)</f>
        <v>0</v>
      </c>
      <c r="L3116" s="99" t="n">
        <f aca="false">MAX(0,K3116-K3419)</f>
        <v>0</v>
      </c>
      <c r="M3116" s="99" t="n">
        <f aca="false">MAX(0,L3116-L3419)</f>
        <v>0</v>
      </c>
    </row>
    <row r="3117" customFormat="false" ht="15" hidden="false" customHeight="false" outlineLevel="0" collapsed="false">
      <c r="B3117" s="108" t="n">
        <f aca="false">'Loan Tape'!$A83</f>
        <v>0</v>
      </c>
      <c r="C3117" s="71" t="n">
        <f aca="false">IF(Fin_Flag="Yes",'Loan Tape'!$BC83,0)</f>
        <v>0</v>
      </c>
      <c r="D3117" s="71" t="n">
        <f aca="false">MAX(0,C3117-C3420)</f>
        <v>0</v>
      </c>
      <c r="E3117" s="71" t="n">
        <f aca="false">MAX(0,D3117-D3420)</f>
        <v>0</v>
      </c>
      <c r="F3117" s="71" t="n">
        <f aca="false">MAX(0,E3117-E3420)</f>
        <v>0</v>
      </c>
      <c r="G3117" s="71" t="n">
        <f aca="false">MAX(0,F3117-F3420)</f>
        <v>0</v>
      </c>
      <c r="H3117" s="71" t="n">
        <f aca="false">MAX(0,G3117-G3420)</f>
        <v>0</v>
      </c>
      <c r="I3117" s="71" t="n">
        <f aca="false">MAX(0,H3117-H3420)</f>
        <v>0</v>
      </c>
      <c r="J3117" s="71" t="n">
        <f aca="false">MAX(0,I3117-I3420)</f>
        <v>0</v>
      </c>
      <c r="K3117" s="71" t="n">
        <f aca="false">MAX(0,J3117-J3420)</f>
        <v>0</v>
      </c>
      <c r="L3117" s="71" t="n">
        <f aca="false">MAX(0,K3117-K3420)</f>
        <v>0</v>
      </c>
      <c r="M3117" s="71" t="n">
        <f aca="false">MAX(0,L3117-L3420)</f>
        <v>0</v>
      </c>
    </row>
    <row r="3118" customFormat="false" ht="15" hidden="false" customHeight="false" outlineLevel="0" collapsed="false">
      <c r="B3118" s="102" t="n">
        <f aca="false">'Loan Tape'!$A84</f>
        <v>0</v>
      </c>
      <c r="C3118" s="99" t="n">
        <f aca="false">IF(Fin_Flag="Yes",'Loan Tape'!$BC84,0)</f>
        <v>0</v>
      </c>
      <c r="D3118" s="99" t="n">
        <f aca="false">MAX(0,C3118-C3421)</f>
        <v>0</v>
      </c>
      <c r="E3118" s="99" t="n">
        <f aca="false">MAX(0,D3118-D3421)</f>
        <v>0</v>
      </c>
      <c r="F3118" s="99" t="n">
        <f aca="false">MAX(0,E3118-E3421)</f>
        <v>0</v>
      </c>
      <c r="G3118" s="99" t="n">
        <f aca="false">MAX(0,F3118-F3421)</f>
        <v>0</v>
      </c>
      <c r="H3118" s="99" t="n">
        <f aca="false">MAX(0,G3118-G3421)</f>
        <v>0</v>
      </c>
      <c r="I3118" s="99" t="n">
        <f aca="false">MAX(0,H3118-H3421)</f>
        <v>0</v>
      </c>
      <c r="J3118" s="99" t="n">
        <f aca="false">MAX(0,I3118-I3421)</f>
        <v>0</v>
      </c>
      <c r="K3118" s="99" t="n">
        <f aca="false">MAX(0,J3118-J3421)</f>
        <v>0</v>
      </c>
      <c r="L3118" s="99" t="n">
        <f aca="false">MAX(0,K3118-K3421)</f>
        <v>0</v>
      </c>
      <c r="M3118" s="99" t="n">
        <f aca="false">MAX(0,L3118-L3421)</f>
        <v>0</v>
      </c>
    </row>
    <row r="3119" customFormat="false" ht="15" hidden="false" customHeight="false" outlineLevel="0" collapsed="false">
      <c r="B3119" s="108" t="n">
        <f aca="false">'Loan Tape'!$A85</f>
        <v>0</v>
      </c>
      <c r="C3119" s="71" t="n">
        <f aca="false">IF(Fin_Flag="Yes",'Loan Tape'!$BC85,0)</f>
        <v>0</v>
      </c>
      <c r="D3119" s="71" t="n">
        <f aca="false">MAX(0,C3119-C3422)</f>
        <v>0</v>
      </c>
      <c r="E3119" s="71" t="n">
        <f aca="false">MAX(0,D3119-D3422)</f>
        <v>0</v>
      </c>
      <c r="F3119" s="71" t="n">
        <f aca="false">MAX(0,E3119-E3422)</f>
        <v>0</v>
      </c>
      <c r="G3119" s="71" t="n">
        <f aca="false">MAX(0,F3119-F3422)</f>
        <v>0</v>
      </c>
      <c r="H3119" s="71" t="n">
        <f aca="false">MAX(0,G3119-G3422)</f>
        <v>0</v>
      </c>
      <c r="I3119" s="71" t="n">
        <f aca="false">MAX(0,H3119-H3422)</f>
        <v>0</v>
      </c>
      <c r="J3119" s="71" t="n">
        <f aca="false">MAX(0,I3119-I3422)</f>
        <v>0</v>
      </c>
      <c r="K3119" s="71" t="n">
        <f aca="false">MAX(0,J3119-J3422)</f>
        <v>0</v>
      </c>
      <c r="L3119" s="71" t="n">
        <f aca="false">MAX(0,K3119-K3422)</f>
        <v>0</v>
      </c>
      <c r="M3119" s="71" t="n">
        <f aca="false">MAX(0,L3119-L3422)</f>
        <v>0</v>
      </c>
    </row>
    <row r="3120" customFormat="false" ht="15" hidden="false" customHeight="false" outlineLevel="0" collapsed="false">
      <c r="B3120" s="102" t="n">
        <f aca="false">'Loan Tape'!$A86</f>
        <v>0</v>
      </c>
      <c r="C3120" s="99" t="n">
        <f aca="false">IF(Fin_Flag="Yes",'Loan Tape'!$BC86,0)</f>
        <v>0</v>
      </c>
      <c r="D3120" s="99" t="n">
        <f aca="false">MAX(0,C3120-C3423)</f>
        <v>0</v>
      </c>
      <c r="E3120" s="99" t="n">
        <f aca="false">MAX(0,D3120-D3423)</f>
        <v>0</v>
      </c>
      <c r="F3120" s="99" t="n">
        <f aca="false">MAX(0,E3120-E3423)</f>
        <v>0</v>
      </c>
      <c r="G3120" s="99" t="n">
        <f aca="false">MAX(0,F3120-F3423)</f>
        <v>0</v>
      </c>
      <c r="H3120" s="99" t="n">
        <f aca="false">MAX(0,G3120-G3423)</f>
        <v>0</v>
      </c>
      <c r="I3120" s="99" t="n">
        <f aca="false">MAX(0,H3120-H3423)</f>
        <v>0</v>
      </c>
      <c r="J3120" s="99" t="n">
        <f aca="false">MAX(0,I3120-I3423)</f>
        <v>0</v>
      </c>
      <c r="K3120" s="99" t="n">
        <f aca="false">MAX(0,J3120-J3423)</f>
        <v>0</v>
      </c>
      <c r="L3120" s="99" t="n">
        <f aca="false">MAX(0,K3120-K3423)</f>
        <v>0</v>
      </c>
      <c r="M3120" s="99" t="n">
        <f aca="false">MAX(0,L3120-L3423)</f>
        <v>0</v>
      </c>
    </row>
    <row r="3121" customFormat="false" ht="15" hidden="false" customHeight="false" outlineLevel="0" collapsed="false">
      <c r="B3121" s="108" t="n">
        <f aca="false">'Loan Tape'!$A87</f>
        <v>0</v>
      </c>
      <c r="C3121" s="71" t="n">
        <f aca="false">IF(Fin_Flag="Yes",'Loan Tape'!$BC87,0)</f>
        <v>0</v>
      </c>
      <c r="D3121" s="71" t="n">
        <f aca="false">MAX(0,C3121-C3424)</f>
        <v>0</v>
      </c>
      <c r="E3121" s="71" t="n">
        <f aca="false">MAX(0,D3121-D3424)</f>
        <v>0</v>
      </c>
      <c r="F3121" s="71" t="n">
        <f aca="false">MAX(0,E3121-E3424)</f>
        <v>0</v>
      </c>
      <c r="G3121" s="71" t="n">
        <f aca="false">MAX(0,F3121-F3424)</f>
        <v>0</v>
      </c>
      <c r="H3121" s="71" t="n">
        <f aca="false">MAX(0,G3121-G3424)</f>
        <v>0</v>
      </c>
      <c r="I3121" s="71" t="n">
        <f aca="false">MAX(0,H3121-H3424)</f>
        <v>0</v>
      </c>
      <c r="J3121" s="71" t="n">
        <f aca="false">MAX(0,I3121-I3424)</f>
        <v>0</v>
      </c>
      <c r="K3121" s="71" t="n">
        <f aca="false">MAX(0,J3121-J3424)</f>
        <v>0</v>
      </c>
      <c r="L3121" s="71" t="n">
        <f aca="false">MAX(0,K3121-K3424)</f>
        <v>0</v>
      </c>
      <c r="M3121" s="71" t="n">
        <f aca="false">MAX(0,L3121-L3424)</f>
        <v>0</v>
      </c>
    </row>
    <row r="3122" customFormat="false" ht="15" hidden="false" customHeight="false" outlineLevel="0" collapsed="false">
      <c r="B3122" s="102" t="n">
        <f aca="false">'Loan Tape'!$A88</f>
        <v>0</v>
      </c>
      <c r="C3122" s="99" t="n">
        <f aca="false">IF(Fin_Flag="Yes",'Loan Tape'!$BC88,0)</f>
        <v>0</v>
      </c>
      <c r="D3122" s="99" t="n">
        <f aca="false">MAX(0,C3122-C3425)</f>
        <v>0</v>
      </c>
      <c r="E3122" s="99" t="n">
        <f aca="false">MAX(0,D3122-D3425)</f>
        <v>0</v>
      </c>
      <c r="F3122" s="99" t="n">
        <f aca="false">MAX(0,E3122-E3425)</f>
        <v>0</v>
      </c>
      <c r="G3122" s="99" t="n">
        <f aca="false">MAX(0,F3122-F3425)</f>
        <v>0</v>
      </c>
      <c r="H3122" s="99" t="n">
        <f aca="false">MAX(0,G3122-G3425)</f>
        <v>0</v>
      </c>
      <c r="I3122" s="99" t="n">
        <f aca="false">MAX(0,H3122-H3425)</f>
        <v>0</v>
      </c>
      <c r="J3122" s="99" t="n">
        <f aca="false">MAX(0,I3122-I3425)</f>
        <v>0</v>
      </c>
      <c r="K3122" s="99" t="n">
        <f aca="false">MAX(0,J3122-J3425)</f>
        <v>0</v>
      </c>
      <c r="L3122" s="99" t="n">
        <f aca="false">MAX(0,K3122-K3425)</f>
        <v>0</v>
      </c>
      <c r="M3122" s="99" t="n">
        <f aca="false">MAX(0,L3122-L3425)</f>
        <v>0</v>
      </c>
    </row>
    <row r="3123" customFormat="false" ht="15" hidden="false" customHeight="false" outlineLevel="0" collapsed="false">
      <c r="B3123" s="108" t="n">
        <f aca="false">'Loan Tape'!$A89</f>
        <v>0</v>
      </c>
      <c r="C3123" s="71" t="n">
        <f aca="false">IF(Fin_Flag="Yes",'Loan Tape'!$BC89,0)</f>
        <v>0</v>
      </c>
      <c r="D3123" s="71" t="n">
        <f aca="false">MAX(0,C3123-C3426)</f>
        <v>0</v>
      </c>
      <c r="E3123" s="71" t="n">
        <f aca="false">MAX(0,D3123-D3426)</f>
        <v>0</v>
      </c>
      <c r="F3123" s="71" t="n">
        <f aca="false">MAX(0,E3123-E3426)</f>
        <v>0</v>
      </c>
      <c r="G3123" s="71" t="n">
        <f aca="false">MAX(0,F3123-F3426)</f>
        <v>0</v>
      </c>
      <c r="H3123" s="71" t="n">
        <f aca="false">MAX(0,G3123-G3426)</f>
        <v>0</v>
      </c>
      <c r="I3123" s="71" t="n">
        <f aca="false">MAX(0,H3123-H3426)</f>
        <v>0</v>
      </c>
      <c r="J3123" s="71" t="n">
        <f aca="false">MAX(0,I3123-I3426)</f>
        <v>0</v>
      </c>
      <c r="K3123" s="71" t="n">
        <f aca="false">MAX(0,J3123-J3426)</f>
        <v>0</v>
      </c>
      <c r="L3123" s="71" t="n">
        <f aca="false">MAX(0,K3123-K3426)</f>
        <v>0</v>
      </c>
      <c r="M3123" s="71" t="n">
        <f aca="false">MAX(0,L3123-L3426)</f>
        <v>0</v>
      </c>
    </row>
    <row r="3124" customFormat="false" ht="15" hidden="false" customHeight="false" outlineLevel="0" collapsed="false">
      <c r="B3124" s="102" t="n">
        <f aca="false">'Loan Tape'!$A90</f>
        <v>0</v>
      </c>
      <c r="C3124" s="99" t="n">
        <f aca="false">IF(Fin_Flag="Yes",'Loan Tape'!$BC90,0)</f>
        <v>0</v>
      </c>
      <c r="D3124" s="99" t="n">
        <f aca="false">MAX(0,C3124-C3427)</f>
        <v>0</v>
      </c>
      <c r="E3124" s="99" t="n">
        <f aca="false">MAX(0,D3124-D3427)</f>
        <v>0</v>
      </c>
      <c r="F3124" s="99" t="n">
        <f aca="false">MAX(0,E3124-E3427)</f>
        <v>0</v>
      </c>
      <c r="G3124" s="99" t="n">
        <f aca="false">MAX(0,F3124-F3427)</f>
        <v>0</v>
      </c>
      <c r="H3124" s="99" t="n">
        <f aca="false">MAX(0,G3124-G3427)</f>
        <v>0</v>
      </c>
      <c r="I3124" s="99" t="n">
        <f aca="false">MAX(0,H3124-H3427)</f>
        <v>0</v>
      </c>
      <c r="J3124" s="99" t="n">
        <f aca="false">MAX(0,I3124-I3427)</f>
        <v>0</v>
      </c>
      <c r="K3124" s="99" t="n">
        <f aca="false">MAX(0,J3124-J3427)</f>
        <v>0</v>
      </c>
      <c r="L3124" s="99" t="n">
        <f aca="false">MAX(0,K3124-K3427)</f>
        <v>0</v>
      </c>
      <c r="M3124" s="99" t="n">
        <f aca="false">MAX(0,L3124-L3427)</f>
        <v>0</v>
      </c>
    </row>
    <row r="3125" customFormat="false" ht="15" hidden="false" customHeight="false" outlineLevel="0" collapsed="false">
      <c r="B3125" s="108" t="n">
        <f aca="false">'Loan Tape'!$A91</f>
        <v>0</v>
      </c>
      <c r="C3125" s="71" t="n">
        <f aca="false">IF(Fin_Flag="Yes",'Loan Tape'!$BC91,0)</f>
        <v>0</v>
      </c>
      <c r="D3125" s="71" t="n">
        <f aca="false">MAX(0,C3125-C3428)</f>
        <v>0</v>
      </c>
      <c r="E3125" s="71" t="n">
        <f aca="false">MAX(0,D3125-D3428)</f>
        <v>0</v>
      </c>
      <c r="F3125" s="71" t="n">
        <f aca="false">MAX(0,E3125-E3428)</f>
        <v>0</v>
      </c>
      <c r="G3125" s="71" t="n">
        <f aca="false">MAX(0,F3125-F3428)</f>
        <v>0</v>
      </c>
      <c r="H3125" s="71" t="n">
        <f aca="false">MAX(0,G3125-G3428)</f>
        <v>0</v>
      </c>
      <c r="I3125" s="71" t="n">
        <f aca="false">MAX(0,H3125-H3428)</f>
        <v>0</v>
      </c>
      <c r="J3125" s="71" t="n">
        <f aca="false">MAX(0,I3125-I3428)</f>
        <v>0</v>
      </c>
      <c r="K3125" s="71" t="n">
        <f aca="false">MAX(0,J3125-J3428)</f>
        <v>0</v>
      </c>
      <c r="L3125" s="71" t="n">
        <f aca="false">MAX(0,K3125-K3428)</f>
        <v>0</v>
      </c>
      <c r="M3125" s="71" t="n">
        <f aca="false">MAX(0,L3125-L3428)</f>
        <v>0</v>
      </c>
    </row>
    <row r="3126" customFormat="false" ht="15" hidden="false" customHeight="false" outlineLevel="0" collapsed="false">
      <c r="B3126" s="102" t="n">
        <f aca="false">'Loan Tape'!$A92</f>
        <v>0</v>
      </c>
      <c r="C3126" s="99" t="n">
        <f aca="false">IF(Fin_Flag="Yes",'Loan Tape'!$BC92,0)</f>
        <v>0</v>
      </c>
      <c r="D3126" s="99" t="n">
        <f aca="false">MAX(0,C3126-C3429)</f>
        <v>0</v>
      </c>
      <c r="E3126" s="99" t="n">
        <f aca="false">MAX(0,D3126-D3429)</f>
        <v>0</v>
      </c>
      <c r="F3126" s="99" t="n">
        <f aca="false">MAX(0,E3126-E3429)</f>
        <v>0</v>
      </c>
      <c r="G3126" s="99" t="n">
        <f aca="false">MAX(0,F3126-F3429)</f>
        <v>0</v>
      </c>
      <c r="H3126" s="99" t="n">
        <f aca="false">MAX(0,G3126-G3429)</f>
        <v>0</v>
      </c>
      <c r="I3126" s="99" t="n">
        <f aca="false">MAX(0,H3126-H3429)</f>
        <v>0</v>
      </c>
      <c r="J3126" s="99" t="n">
        <f aca="false">MAX(0,I3126-I3429)</f>
        <v>0</v>
      </c>
      <c r="K3126" s="99" t="n">
        <f aca="false">MAX(0,J3126-J3429)</f>
        <v>0</v>
      </c>
      <c r="L3126" s="99" t="n">
        <f aca="false">MAX(0,K3126-K3429)</f>
        <v>0</v>
      </c>
      <c r="M3126" s="99" t="n">
        <f aca="false">MAX(0,L3126-L3429)</f>
        <v>0</v>
      </c>
    </row>
    <row r="3127" customFormat="false" ht="15" hidden="false" customHeight="false" outlineLevel="0" collapsed="false">
      <c r="B3127" s="108" t="n">
        <f aca="false">'Loan Tape'!$A93</f>
        <v>0</v>
      </c>
      <c r="C3127" s="71" t="n">
        <f aca="false">IF(Fin_Flag="Yes",'Loan Tape'!$BC93,0)</f>
        <v>0</v>
      </c>
      <c r="D3127" s="71" t="n">
        <f aca="false">MAX(0,C3127-C3430)</f>
        <v>0</v>
      </c>
      <c r="E3127" s="71" t="n">
        <f aca="false">MAX(0,D3127-D3430)</f>
        <v>0</v>
      </c>
      <c r="F3127" s="71" t="n">
        <f aca="false">MAX(0,E3127-E3430)</f>
        <v>0</v>
      </c>
      <c r="G3127" s="71" t="n">
        <f aca="false">MAX(0,F3127-F3430)</f>
        <v>0</v>
      </c>
      <c r="H3127" s="71" t="n">
        <f aca="false">MAX(0,G3127-G3430)</f>
        <v>0</v>
      </c>
      <c r="I3127" s="71" t="n">
        <f aca="false">MAX(0,H3127-H3430)</f>
        <v>0</v>
      </c>
      <c r="J3127" s="71" t="n">
        <f aca="false">MAX(0,I3127-I3430)</f>
        <v>0</v>
      </c>
      <c r="K3127" s="71" t="n">
        <f aca="false">MAX(0,J3127-J3430)</f>
        <v>0</v>
      </c>
      <c r="L3127" s="71" t="n">
        <f aca="false">MAX(0,K3127-K3430)</f>
        <v>0</v>
      </c>
      <c r="M3127" s="71" t="n">
        <f aca="false">MAX(0,L3127-L3430)</f>
        <v>0</v>
      </c>
    </row>
    <row r="3128" customFormat="false" ht="15" hidden="false" customHeight="false" outlineLevel="0" collapsed="false">
      <c r="B3128" s="102" t="n">
        <f aca="false">'Loan Tape'!$A94</f>
        <v>0</v>
      </c>
      <c r="C3128" s="99" t="n">
        <f aca="false">IF(Fin_Flag="Yes",'Loan Tape'!$BC94,0)</f>
        <v>0</v>
      </c>
      <c r="D3128" s="99" t="n">
        <f aca="false">MAX(0,C3128-C3431)</f>
        <v>0</v>
      </c>
      <c r="E3128" s="99" t="n">
        <f aca="false">MAX(0,D3128-D3431)</f>
        <v>0</v>
      </c>
      <c r="F3128" s="99" t="n">
        <f aca="false">MAX(0,E3128-E3431)</f>
        <v>0</v>
      </c>
      <c r="G3128" s="99" t="n">
        <f aca="false">MAX(0,F3128-F3431)</f>
        <v>0</v>
      </c>
      <c r="H3128" s="99" t="n">
        <f aca="false">MAX(0,G3128-G3431)</f>
        <v>0</v>
      </c>
      <c r="I3128" s="99" t="n">
        <f aca="false">MAX(0,H3128-H3431)</f>
        <v>0</v>
      </c>
      <c r="J3128" s="99" t="n">
        <f aca="false">MAX(0,I3128-I3431)</f>
        <v>0</v>
      </c>
      <c r="K3128" s="99" t="n">
        <f aca="false">MAX(0,J3128-J3431)</f>
        <v>0</v>
      </c>
      <c r="L3128" s="99" t="n">
        <f aca="false">MAX(0,K3128-K3431)</f>
        <v>0</v>
      </c>
      <c r="M3128" s="99" t="n">
        <f aca="false">MAX(0,L3128-L3431)</f>
        <v>0</v>
      </c>
    </row>
    <row r="3129" customFormat="false" ht="15" hidden="false" customHeight="false" outlineLevel="0" collapsed="false">
      <c r="B3129" s="108" t="n">
        <f aca="false">'Loan Tape'!$A95</f>
        <v>0</v>
      </c>
      <c r="C3129" s="71" t="n">
        <f aca="false">IF(Fin_Flag="Yes",'Loan Tape'!$BC95,0)</f>
        <v>0</v>
      </c>
      <c r="D3129" s="71" t="n">
        <f aca="false">MAX(0,C3129-C3432)</f>
        <v>0</v>
      </c>
      <c r="E3129" s="71" t="n">
        <f aca="false">MAX(0,D3129-D3432)</f>
        <v>0</v>
      </c>
      <c r="F3129" s="71" t="n">
        <f aca="false">MAX(0,E3129-E3432)</f>
        <v>0</v>
      </c>
      <c r="G3129" s="71" t="n">
        <f aca="false">MAX(0,F3129-F3432)</f>
        <v>0</v>
      </c>
      <c r="H3129" s="71" t="n">
        <f aca="false">MAX(0,G3129-G3432)</f>
        <v>0</v>
      </c>
      <c r="I3129" s="71" t="n">
        <f aca="false">MAX(0,H3129-H3432)</f>
        <v>0</v>
      </c>
      <c r="J3129" s="71" t="n">
        <f aca="false">MAX(0,I3129-I3432)</f>
        <v>0</v>
      </c>
      <c r="K3129" s="71" t="n">
        <f aca="false">MAX(0,J3129-J3432)</f>
        <v>0</v>
      </c>
      <c r="L3129" s="71" t="n">
        <f aca="false">MAX(0,K3129-K3432)</f>
        <v>0</v>
      </c>
      <c r="M3129" s="71" t="n">
        <f aca="false">MAX(0,L3129-L3432)</f>
        <v>0</v>
      </c>
    </row>
    <row r="3130" customFormat="false" ht="15" hidden="false" customHeight="false" outlineLevel="0" collapsed="false">
      <c r="B3130" s="102" t="n">
        <f aca="false">'Loan Tape'!$A96</f>
        <v>0</v>
      </c>
      <c r="C3130" s="99" t="n">
        <f aca="false">IF(Fin_Flag="Yes",'Loan Tape'!$BC96,0)</f>
        <v>0</v>
      </c>
      <c r="D3130" s="99" t="n">
        <f aca="false">MAX(0,C3130-C3433)</f>
        <v>0</v>
      </c>
      <c r="E3130" s="99" t="n">
        <f aca="false">MAX(0,D3130-D3433)</f>
        <v>0</v>
      </c>
      <c r="F3130" s="99" t="n">
        <f aca="false">MAX(0,E3130-E3433)</f>
        <v>0</v>
      </c>
      <c r="G3130" s="99" t="n">
        <f aca="false">MAX(0,F3130-F3433)</f>
        <v>0</v>
      </c>
      <c r="H3130" s="99" t="n">
        <f aca="false">MAX(0,G3130-G3433)</f>
        <v>0</v>
      </c>
      <c r="I3130" s="99" t="n">
        <f aca="false">MAX(0,H3130-H3433)</f>
        <v>0</v>
      </c>
      <c r="J3130" s="99" t="n">
        <f aca="false">MAX(0,I3130-I3433)</f>
        <v>0</v>
      </c>
      <c r="K3130" s="99" t="n">
        <f aca="false">MAX(0,J3130-J3433)</f>
        <v>0</v>
      </c>
      <c r="L3130" s="99" t="n">
        <f aca="false">MAX(0,K3130-K3433)</f>
        <v>0</v>
      </c>
      <c r="M3130" s="99" t="n">
        <f aca="false">MAX(0,L3130-L3433)</f>
        <v>0</v>
      </c>
    </row>
    <row r="3131" customFormat="false" ht="15" hidden="false" customHeight="false" outlineLevel="0" collapsed="false">
      <c r="B3131" s="108" t="n">
        <f aca="false">'Loan Tape'!$A97</f>
        <v>0</v>
      </c>
      <c r="C3131" s="71" t="n">
        <f aca="false">IF(Fin_Flag="Yes",'Loan Tape'!$BC97,0)</f>
        <v>0</v>
      </c>
      <c r="D3131" s="71" t="n">
        <f aca="false">MAX(0,C3131-C3434)</f>
        <v>0</v>
      </c>
      <c r="E3131" s="71" t="n">
        <f aca="false">MAX(0,D3131-D3434)</f>
        <v>0</v>
      </c>
      <c r="F3131" s="71" t="n">
        <f aca="false">MAX(0,E3131-E3434)</f>
        <v>0</v>
      </c>
      <c r="G3131" s="71" t="n">
        <f aca="false">MAX(0,F3131-F3434)</f>
        <v>0</v>
      </c>
      <c r="H3131" s="71" t="n">
        <f aca="false">MAX(0,G3131-G3434)</f>
        <v>0</v>
      </c>
      <c r="I3131" s="71" t="n">
        <f aca="false">MAX(0,H3131-H3434)</f>
        <v>0</v>
      </c>
      <c r="J3131" s="71" t="n">
        <f aca="false">MAX(0,I3131-I3434)</f>
        <v>0</v>
      </c>
      <c r="K3131" s="71" t="n">
        <f aca="false">MAX(0,J3131-J3434)</f>
        <v>0</v>
      </c>
      <c r="L3131" s="71" t="n">
        <f aca="false">MAX(0,K3131-K3434)</f>
        <v>0</v>
      </c>
      <c r="M3131" s="71" t="n">
        <f aca="false">MAX(0,L3131-L3434)</f>
        <v>0</v>
      </c>
    </row>
    <row r="3132" customFormat="false" ht="15" hidden="false" customHeight="false" outlineLevel="0" collapsed="false">
      <c r="B3132" s="102" t="n">
        <f aca="false">'Loan Tape'!$A98</f>
        <v>0</v>
      </c>
      <c r="C3132" s="99" t="n">
        <f aca="false">IF(Fin_Flag="Yes",'Loan Tape'!$BC98,0)</f>
        <v>0</v>
      </c>
      <c r="D3132" s="99" t="n">
        <f aca="false">MAX(0,C3132-C3435)</f>
        <v>0</v>
      </c>
      <c r="E3132" s="99" t="n">
        <f aca="false">MAX(0,D3132-D3435)</f>
        <v>0</v>
      </c>
      <c r="F3132" s="99" t="n">
        <f aca="false">MAX(0,E3132-E3435)</f>
        <v>0</v>
      </c>
      <c r="G3132" s="99" t="n">
        <f aca="false">MAX(0,F3132-F3435)</f>
        <v>0</v>
      </c>
      <c r="H3132" s="99" t="n">
        <f aca="false">MAX(0,G3132-G3435)</f>
        <v>0</v>
      </c>
      <c r="I3132" s="99" t="n">
        <f aca="false">MAX(0,H3132-H3435)</f>
        <v>0</v>
      </c>
      <c r="J3132" s="99" t="n">
        <f aca="false">MAX(0,I3132-I3435)</f>
        <v>0</v>
      </c>
      <c r="K3132" s="99" t="n">
        <f aca="false">MAX(0,J3132-J3435)</f>
        <v>0</v>
      </c>
      <c r="L3132" s="99" t="n">
        <f aca="false">MAX(0,K3132-K3435)</f>
        <v>0</v>
      </c>
      <c r="M3132" s="99" t="n">
        <f aca="false">MAX(0,L3132-L3435)</f>
        <v>0</v>
      </c>
    </row>
    <row r="3133" customFormat="false" ht="15" hidden="false" customHeight="false" outlineLevel="0" collapsed="false">
      <c r="B3133" s="108" t="n">
        <f aca="false">'Loan Tape'!$A99</f>
        <v>0</v>
      </c>
      <c r="C3133" s="71" t="n">
        <f aca="false">IF(Fin_Flag="Yes",'Loan Tape'!$BC99,0)</f>
        <v>0</v>
      </c>
      <c r="D3133" s="71" t="n">
        <f aca="false">MAX(0,C3133-C3436)</f>
        <v>0</v>
      </c>
      <c r="E3133" s="71" t="n">
        <f aca="false">MAX(0,D3133-D3436)</f>
        <v>0</v>
      </c>
      <c r="F3133" s="71" t="n">
        <f aca="false">MAX(0,E3133-E3436)</f>
        <v>0</v>
      </c>
      <c r="G3133" s="71" t="n">
        <f aca="false">MAX(0,F3133-F3436)</f>
        <v>0</v>
      </c>
      <c r="H3133" s="71" t="n">
        <f aca="false">MAX(0,G3133-G3436)</f>
        <v>0</v>
      </c>
      <c r="I3133" s="71" t="n">
        <f aca="false">MAX(0,H3133-H3436)</f>
        <v>0</v>
      </c>
      <c r="J3133" s="71" t="n">
        <f aca="false">MAX(0,I3133-I3436)</f>
        <v>0</v>
      </c>
      <c r="K3133" s="71" t="n">
        <f aca="false">MAX(0,J3133-J3436)</f>
        <v>0</v>
      </c>
      <c r="L3133" s="71" t="n">
        <f aca="false">MAX(0,K3133-K3436)</f>
        <v>0</v>
      </c>
      <c r="M3133" s="71" t="n">
        <f aca="false">MAX(0,L3133-L3436)</f>
        <v>0</v>
      </c>
    </row>
    <row r="3134" customFormat="false" ht="15" hidden="false" customHeight="false" outlineLevel="0" collapsed="false">
      <c r="B3134" s="102" t="n">
        <f aca="false">'Loan Tape'!$A100</f>
        <v>0</v>
      </c>
      <c r="C3134" s="99" t="n">
        <f aca="false">IF(Fin_Flag="Yes",'Loan Tape'!$BC100,0)</f>
        <v>0</v>
      </c>
      <c r="D3134" s="99" t="n">
        <f aca="false">MAX(0,C3134-C3437)</f>
        <v>0</v>
      </c>
      <c r="E3134" s="99" t="n">
        <f aca="false">MAX(0,D3134-D3437)</f>
        <v>0</v>
      </c>
      <c r="F3134" s="99" t="n">
        <f aca="false">MAX(0,E3134-E3437)</f>
        <v>0</v>
      </c>
      <c r="G3134" s="99" t="n">
        <f aca="false">MAX(0,F3134-F3437)</f>
        <v>0</v>
      </c>
      <c r="H3134" s="99" t="n">
        <f aca="false">MAX(0,G3134-G3437)</f>
        <v>0</v>
      </c>
      <c r="I3134" s="99" t="n">
        <f aca="false">MAX(0,H3134-H3437)</f>
        <v>0</v>
      </c>
      <c r="J3134" s="99" t="n">
        <f aca="false">MAX(0,I3134-I3437)</f>
        <v>0</v>
      </c>
      <c r="K3134" s="99" t="n">
        <f aca="false">MAX(0,J3134-J3437)</f>
        <v>0</v>
      </c>
      <c r="L3134" s="99" t="n">
        <f aca="false">MAX(0,K3134-K3437)</f>
        <v>0</v>
      </c>
      <c r="M3134" s="99" t="n">
        <f aca="false">MAX(0,L3134-L3437)</f>
        <v>0</v>
      </c>
    </row>
    <row r="3135" customFormat="false" ht="15" hidden="false" customHeight="false" outlineLevel="0" collapsed="false">
      <c r="B3135" s="108" t="n">
        <f aca="false">'Loan Tape'!$A101</f>
        <v>0</v>
      </c>
      <c r="C3135" s="71" t="n">
        <f aca="false">IF(Fin_Flag="Yes",'Loan Tape'!$BC101,0)</f>
        <v>0</v>
      </c>
      <c r="D3135" s="71" t="n">
        <f aca="false">MAX(0,C3135-C3438)</f>
        <v>0</v>
      </c>
      <c r="E3135" s="71" t="n">
        <f aca="false">MAX(0,D3135-D3438)</f>
        <v>0</v>
      </c>
      <c r="F3135" s="71" t="n">
        <f aca="false">MAX(0,E3135-E3438)</f>
        <v>0</v>
      </c>
      <c r="G3135" s="71" t="n">
        <f aca="false">MAX(0,F3135-F3438)</f>
        <v>0</v>
      </c>
      <c r="H3135" s="71" t="n">
        <f aca="false">MAX(0,G3135-G3438)</f>
        <v>0</v>
      </c>
      <c r="I3135" s="71" t="n">
        <f aca="false">MAX(0,H3135-H3438)</f>
        <v>0</v>
      </c>
      <c r="J3135" s="71" t="n">
        <f aca="false">MAX(0,I3135-I3438)</f>
        <v>0</v>
      </c>
      <c r="K3135" s="71" t="n">
        <f aca="false">MAX(0,J3135-J3438)</f>
        <v>0</v>
      </c>
      <c r="L3135" s="71" t="n">
        <f aca="false">MAX(0,K3135-K3438)</f>
        <v>0</v>
      </c>
      <c r="M3135" s="71" t="n">
        <f aca="false">MAX(0,L3135-L3438)</f>
        <v>0</v>
      </c>
    </row>
    <row r="3136" customFormat="false" ht="15" hidden="false" customHeight="false" outlineLevel="0" collapsed="false">
      <c r="B3136" s="102" t="n">
        <f aca="false">'Loan Tape'!$A102</f>
        <v>0</v>
      </c>
      <c r="C3136" s="99" t="n">
        <f aca="false">IF(Fin_Flag="Yes",'Loan Tape'!$BC102,0)</f>
        <v>0</v>
      </c>
      <c r="D3136" s="99" t="n">
        <f aca="false">MAX(0,C3136-C3439)</f>
        <v>0</v>
      </c>
      <c r="E3136" s="99" t="n">
        <f aca="false">MAX(0,D3136-D3439)</f>
        <v>0</v>
      </c>
      <c r="F3136" s="99" t="n">
        <f aca="false">MAX(0,E3136-E3439)</f>
        <v>0</v>
      </c>
      <c r="G3136" s="99" t="n">
        <f aca="false">MAX(0,F3136-F3439)</f>
        <v>0</v>
      </c>
      <c r="H3136" s="99" t="n">
        <f aca="false">MAX(0,G3136-G3439)</f>
        <v>0</v>
      </c>
      <c r="I3136" s="99" t="n">
        <f aca="false">MAX(0,H3136-H3439)</f>
        <v>0</v>
      </c>
      <c r="J3136" s="99" t="n">
        <f aca="false">MAX(0,I3136-I3439)</f>
        <v>0</v>
      </c>
      <c r="K3136" s="99" t="n">
        <f aca="false">MAX(0,J3136-J3439)</f>
        <v>0</v>
      </c>
      <c r="L3136" s="99" t="n">
        <f aca="false">MAX(0,K3136-K3439)</f>
        <v>0</v>
      </c>
      <c r="M3136" s="99" t="n">
        <f aca="false">MAX(0,L3136-L3439)</f>
        <v>0</v>
      </c>
    </row>
    <row r="3137" customFormat="false" ht="15" hidden="false" customHeight="false" outlineLevel="0" collapsed="false">
      <c r="B3137" s="108" t="n">
        <f aca="false">'Loan Tape'!$A103</f>
        <v>0</v>
      </c>
      <c r="C3137" s="71" t="n">
        <f aca="false">IF(Fin_Flag="Yes",'Loan Tape'!$BC103,0)</f>
        <v>0</v>
      </c>
      <c r="D3137" s="71" t="n">
        <f aca="false">MAX(0,C3137-C3440)</f>
        <v>0</v>
      </c>
      <c r="E3137" s="71" t="n">
        <f aca="false">MAX(0,D3137-D3440)</f>
        <v>0</v>
      </c>
      <c r="F3137" s="71" t="n">
        <f aca="false">MAX(0,E3137-E3440)</f>
        <v>0</v>
      </c>
      <c r="G3137" s="71" t="n">
        <f aca="false">MAX(0,F3137-F3440)</f>
        <v>0</v>
      </c>
      <c r="H3137" s="71" t="n">
        <f aca="false">MAX(0,G3137-G3440)</f>
        <v>0</v>
      </c>
      <c r="I3137" s="71" t="n">
        <f aca="false">MAX(0,H3137-H3440)</f>
        <v>0</v>
      </c>
      <c r="J3137" s="71" t="n">
        <f aca="false">MAX(0,I3137-I3440)</f>
        <v>0</v>
      </c>
      <c r="K3137" s="71" t="n">
        <f aca="false">MAX(0,J3137-J3440)</f>
        <v>0</v>
      </c>
      <c r="L3137" s="71" t="n">
        <f aca="false">MAX(0,K3137-K3440)</f>
        <v>0</v>
      </c>
      <c r="M3137" s="71" t="n">
        <f aca="false">MAX(0,L3137-L3440)</f>
        <v>0</v>
      </c>
    </row>
    <row r="3138" customFormat="false" ht="15" hidden="false" customHeight="false" outlineLevel="0" collapsed="false">
      <c r="B3138" s="102" t="n">
        <f aca="false">'Loan Tape'!$A104</f>
        <v>0</v>
      </c>
      <c r="C3138" s="99" t="n">
        <f aca="false">IF(Fin_Flag="Yes",'Loan Tape'!$BC104,0)</f>
        <v>0</v>
      </c>
      <c r="D3138" s="99" t="n">
        <f aca="false">MAX(0,C3138-C3441)</f>
        <v>0</v>
      </c>
      <c r="E3138" s="99" t="n">
        <f aca="false">MAX(0,D3138-D3441)</f>
        <v>0</v>
      </c>
      <c r="F3138" s="99" t="n">
        <f aca="false">MAX(0,E3138-E3441)</f>
        <v>0</v>
      </c>
      <c r="G3138" s="99" t="n">
        <f aca="false">MAX(0,F3138-F3441)</f>
        <v>0</v>
      </c>
      <c r="H3138" s="99" t="n">
        <f aca="false">MAX(0,G3138-G3441)</f>
        <v>0</v>
      </c>
      <c r="I3138" s="99" t="n">
        <f aca="false">MAX(0,H3138-H3441)</f>
        <v>0</v>
      </c>
      <c r="J3138" s="99" t="n">
        <f aca="false">MAX(0,I3138-I3441)</f>
        <v>0</v>
      </c>
      <c r="K3138" s="99" t="n">
        <f aca="false">MAX(0,J3138-J3441)</f>
        <v>0</v>
      </c>
      <c r="L3138" s="99" t="n">
        <f aca="false">MAX(0,K3138-K3441)</f>
        <v>0</v>
      </c>
      <c r="M3138" s="99" t="n">
        <f aca="false">MAX(0,L3138-L3441)</f>
        <v>0</v>
      </c>
    </row>
    <row r="3139" customFormat="false" ht="15" hidden="false" customHeight="false" outlineLevel="0" collapsed="false">
      <c r="B3139" s="108" t="n">
        <f aca="false">'Loan Tape'!$A105</f>
        <v>0</v>
      </c>
      <c r="C3139" s="71" t="n">
        <f aca="false">IF(Fin_Flag="Yes",'Loan Tape'!$BC105,0)</f>
        <v>0</v>
      </c>
      <c r="D3139" s="71" t="n">
        <f aca="false">MAX(0,C3139-C3442)</f>
        <v>0</v>
      </c>
      <c r="E3139" s="71" t="n">
        <f aca="false">MAX(0,D3139-D3442)</f>
        <v>0</v>
      </c>
      <c r="F3139" s="71" t="n">
        <f aca="false">MAX(0,E3139-E3442)</f>
        <v>0</v>
      </c>
      <c r="G3139" s="71" t="n">
        <f aca="false">MAX(0,F3139-F3442)</f>
        <v>0</v>
      </c>
      <c r="H3139" s="71" t="n">
        <f aca="false">MAX(0,G3139-G3442)</f>
        <v>0</v>
      </c>
      <c r="I3139" s="71" t="n">
        <f aca="false">MAX(0,H3139-H3442)</f>
        <v>0</v>
      </c>
      <c r="J3139" s="71" t="n">
        <f aca="false">MAX(0,I3139-I3442)</f>
        <v>0</v>
      </c>
      <c r="K3139" s="71" t="n">
        <f aca="false">MAX(0,J3139-J3442)</f>
        <v>0</v>
      </c>
      <c r="L3139" s="71" t="n">
        <f aca="false">MAX(0,K3139-K3442)</f>
        <v>0</v>
      </c>
      <c r="M3139" s="71" t="n">
        <f aca="false">MAX(0,L3139-L3442)</f>
        <v>0</v>
      </c>
    </row>
    <row r="3140" customFormat="false" ht="15" hidden="false" customHeight="false" outlineLevel="0" collapsed="false">
      <c r="B3140" s="102" t="n">
        <f aca="false">'Loan Tape'!$A106</f>
        <v>0</v>
      </c>
      <c r="C3140" s="99" t="n">
        <f aca="false">IF(Fin_Flag="Yes",'Loan Tape'!$BC106,0)</f>
        <v>0</v>
      </c>
      <c r="D3140" s="99" t="n">
        <f aca="false">MAX(0,C3140-C3443)</f>
        <v>0</v>
      </c>
      <c r="E3140" s="99" t="n">
        <f aca="false">MAX(0,D3140-D3443)</f>
        <v>0</v>
      </c>
      <c r="F3140" s="99" t="n">
        <f aca="false">MAX(0,E3140-E3443)</f>
        <v>0</v>
      </c>
      <c r="G3140" s="99" t="n">
        <f aca="false">MAX(0,F3140-F3443)</f>
        <v>0</v>
      </c>
      <c r="H3140" s="99" t="n">
        <f aca="false">MAX(0,G3140-G3443)</f>
        <v>0</v>
      </c>
      <c r="I3140" s="99" t="n">
        <f aca="false">MAX(0,H3140-H3443)</f>
        <v>0</v>
      </c>
      <c r="J3140" s="99" t="n">
        <f aca="false">MAX(0,I3140-I3443)</f>
        <v>0</v>
      </c>
      <c r="K3140" s="99" t="n">
        <f aca="false">MAX(0,J3140-J3443)</f>
        <v>0</v>
      </c>
      <c r="L3140" s="99" t="n">
        <f aca="false">MAX(0,K3140-K3443)</f>
        <v>0</v>
      </c>
      <c r="M3140" s="99" t="n">
        <f aca="false">MAX(0,L3140-L3443)</f>
        <v>0</v>
      </c>
    </row>
    <row r="3141" customFormat="false" ht="15" hidden="false" customHeight="false" outlineLevel="0" collapsed="false">
      <c r="B3141" s="108" t="n">
        <f aca="false">'Loan Tape'!$A107</f>
        <v>0</v>
      </c>
      <c r="C3141" s="71" t="n">
        <f aca="false">IF(Fin_Flag="Yes",'Loan Tape'!$BC107,0)</f>
        <v>0</v>
      </c>
      <c r="D3141" s="71" t="n">
        <f aca="false">MAX(0,C3141-C3444)</f>
        <v>0</v>
      </c>
      <c r="E3141" s="71" t="n">
        <f aca="false">MAX(0,D3141-D3444)</f>
        <v>0</v>
      </c>
      <c r="F3141" s="71" t="n">
        <f aca="false">MAX(0,E3141-E3444)</f>
        <v>0</v>
      </c>
      <c r="G3141" s="71" t="n">
        <f aca="false">MAX(0,F3141-F3444)</f>
        <v>0</v>
      </c>
      <c r="H3141" s="71" t="n">
        <f aca="false">MAX(0,G3141-G3444)</f>
        <v>0</v>
      </c>
      <c r="I3141" s="71" t="n">
        <f aca="false">MAX(0,H3141-H3444)</f>
        <v>0</v>
      </c>
      <c r="J3141" s="71" t="n">
        <f aca="false">MAX(0,I3141-I3444)</f>
        <v>0</v>
      </c>
      <c r="K3141" s="71" t="n">
        <f aca="false">MAX(0,J3141-J3444)</f>
        <v>0</v>
      </c>
      <c r="L3141" s="71" t="n">
        <f aca="false">MAX(0,K3141-K3444)</f>
        <v>0</v>
      </c>
      <c r="M3141" s="71" t="n">
        <f aca="false">MAX(0,L3141-L3444)</f>
        <v>0</v>
      </c>
    </row>
    <row r="3142" customFormat="false" ht="15" hidden="false" customHeight="false" outlineLevel="0" collapsed="false">
      <c r="B3142" s="102" t="n">
        <f aca="false">'Loan Tape'!$A108</f>
        <v>0</v>
      </c>
      <c r="C3142" s="99" t="n">
        <f aca="false">IF(Fin_Flag="Yes",'Loan Tape'!$BC108,0)</f>
        <v>0</v>
      </c>
      <c r="D3142" s="99" t="n">
        <f aca="false">MAX(0,C3142-C3445)</f>
        <v>0</v>
      </c>
      <c r="E3142" s="99" t="n">
        <f aca="false">MAX(0,D3142-D3445)</f>
        <v>0</v>
      </c>
      <c r="F3142" s="99" t="n">
        <f aca="false">MAX(0,E3142-E3445)</f>
        <v>0</v>
      </c>
      <c r="G3142" s="99" t="n">
        <f aca="false">MAX(0,F3142-F3445)</f>
        <v>0</v>
      </c>
      <c r="H3142" s="99" t="n">
        <f aca="false">MAX(0,G3142-G3445)</f>
        <v>0</v>
      </c>
      <c r="I3142" s="99" t="n">
        <f aca="false">MAX(0,H3142-H3445)</f>
        <v>0</v>
      </c>
      <c r="J3142" s="99" t="n">
        <f aca="false">MAX(0,I3142-I3445)</f>
        <v>0</v>
      </c>
      <c r="K3142" s="99" t="n">
        <f aca="false">MAX(0,J3142-J3445)</f>
        <v>0</v>
      </c>
      <c r="L3142" s="99" t="n">
        <f aca="false">MAX(0,K3142-K3445)</f>
        <v>0</v>
      </c>
      <c r="M3142" s="99" t="n">
        <f aca="false">MAX(0,L3142-L3445)</f>
        <v>0</v>
      </c>
    </row>
    <row r="3143" customFormat="false" ht="15" hidden="false" customHeight="false" outlineLevel="0" collapsed="false">
      <c r="B3143" s="108" t="n">
        <f aca="false">'Loan Tape'!$A109</f>
        <v>0</v>
      </c>
      <c r="C3143" s="71" t="n">
        <f aca="false">IF(Fin_Flag="Yes",'Loan Tape'!$BC109,0)</f>
        <v>0</v>
      </c>
      <c r="D3143" s="71" t="n">
        <f aca="false">MAX(0,C3143-C3446)</f>
        <v>0</v>
      </c>
      <c r="E3143" s="71" t="n">
        <f aca="false">MAX(0,D3143-D3446)</f>
        <v>0</v>
      </c>
      <c r="F3143" s="71" t="n">
        <f aca="false">MAX(0,E3143-E3446)</f>
        <v>0</v>
      </c>
      <c r="G3143" s="71" t="n">
        <f aca="false">MAX(0,F3143-F3446)</f>
        <v>0</v>
      </c>
      <c r="H3143" s="71" t="n">
        <f aca="false">MAX(0,G3143-G3446)</f>
        <v>0</v>
      </c>
      <c r="I3143" s="71" t="n">
        <f aca="false">MAX(0,H3143-H3446)</f>
        <v>0</v>
      </c>
      <c r="J3143" s="71" t="n">
        <f aca="false">MAX(0,I3143-I3446)</f>
        <v>0</v>
      </c>
      <c r="K3143" s="71" t="n">
        <f aca="false">MAX(0,J3143-J3446)</f>
        <v>0</v>
      </c>
      <c r="L3143" s="71" t="n">
        <f aca="false">MAX(0,K3143-K3446)</f>
        <v>0</v>
      </c>
      <c r="M3143" s="71" t="n">
        <f aca="false">MAX(0,L3143-L3446)</f>
        <v>0</v>
      </c>
    </row>
    <row r="3144" customFormat="false" ht="15" hidden="false" customHeight="false" outlineLevel="0" collapsed="false">
      <c r="B3144" s="102" t="n">
        <f aca="false">'Loan Tape'!$A110</f>
        <v>0</v>
      </c>
      <c r="C3144" s="99" t="n">
        <f aca="false">IF(Fin_Flag="Yes",'Loan Tape'!$BC110,0)</f>
        <v>0</v>
      </c>
      <c r="D3144" s="99" t="n">
        <f aca="false">MAX(0,C3144-C3447)</f>
        <v>0</v>
      </c>
      <c r="E3144" s="99" t="n">
        <f aca="false">MAX(0,D3144-D3447)</f>
        <v>0</v>
      </c>
      <c r="F3144" s="99" t="n">
        <f aca="false">MAX(0,E3144-E3447)</f>
        <v>0</v>
      </c>
      <c r="G3144" s="99" t="n">
        <f aca="false">MAX(0,F3144-F3447)</f>
        <v>0</v>
      </c>
      <c r="H3144" s="99" t="n">
        <f aca="false">MAX(0,G3144-G3447)</f>
        <v>0</v>
      </c>
      <c r="I3144" s="99" t="n">
        <f aca="false">MAX(0,H3144-H3447)</f>
        <v>0</v>
      </c>
      <c r="J3144" s="99" t="n">
        <f aca="false">MAX(0,I3144-I3447)</f>
        <v>0</v>
      </c>
      <c r="K3144" s="99" t="n">
        <f aca="false">MAX(0,J3144-J3447)</f>
        <v>0</v>
      </c>
      <c r="L3144" s="99" t="n">
        <f aca="false">MAX(0,K3144-K3447)</f>
        <v>0</v>
      </c>
      <c r="M3144" s="99" t="n">
        <f aca="false">MAX(0,L3144-L3447)</f>
        <v>0</v>
      </c>
    </row>
    <row r="3145" customFormat="false" ht="15" hidden="false" customHeight="false" outlineLevel="0" collapsed="false">
      <c r="B3145" s="108" t="n">
        <f aca="false">'Loan Tape'!$A111</f>
        <v>0</v>
      </c>
      <c r="C3145" s="71" t="n">
        <f aca="false">IF(Fin_Flag="Yes",'Loan Tape'!$BC111,0)</f>
        <v>0</v>
      </c>
      <c r="D3145" s="71" t="n">
        <f aca="false">MAX(0,C3145-C3448)</f>
        <v>0</v>
      </c>
      <c r="E3145" s="71" t="n">
        <f aca="false">MAX(0,D3145-D3448)</f>
        <v>0</v>
      </c>
      <c r="F3145" s="71" t="n">
        <f aca="false">MAX(0,E3145-E3448)</f>
        <v>0</v>
      </c>
      <c r="G3145" s="71" t="n">
        <f aca="false">MAX(0,F3145-F3448)</f>
        <v>0</v>
      </c>
      <c r="H3145" s="71" t="n">
        <f aca="false">MAX(0,G3145-G3448)</f>
        <v>0</v>
      </c>
      <c r="I3145" s="71" t="n">
        <f aca="false">MAX(0,H3145-H3448)</f>
        <v>0</v>
      </c>
      <c r="J3145" s="71" t="n">
        <f aca="false">MAX(0,I3145-I3448)</f>
        <v>0</v>
      </c>
      <c r="K3145" s="71" t="n">
        <f aca="false">MAX(0,J3145-J3448)</f>
        <v>0</v>
      </c>
      <c r="L3145" s="71" t="n">
        <f aca="false">MAX(0,K3145-K3448)</f>
        <v>0</v>
      </c>
      <c r="M3145" s="71" t="n">
        <f aca="false">MAX(0,L3145-L3448)</f>
        <v>0</v>
      </c>
    </row>
    <row r="3146" customFormat="false" ht="15" hidden="false" customHeight="false" outlineLevel="0" collapsed="false">
      <c r="B3146" s="102" t="n">
        <f aca="false">'Loan Tape'!$A112</f>
        <v>0</v>
      </c>
      <c r="C3146" s="99" t="n">
        <f aca="false">IF(Fin_Flag="Yes",'Loan Tape'!$BC112,0)</f>
        <v>0</v>
      </c>
      <c r="D3146" s="99" t="n">
        <f aca="false">MAX(0,C3146-C3449)</f>
        <v>0</v>
      </c>
      <c r="E3146" s="99" t="n">
        <f aca="false">MAX(0,D3146-D3449)</f>
        <v>0</v>
      </c>
      <c r="F3146" s="99" t="n">
        <f aca="false">MAX(0,E3146-E3449)</f>
        <v>0</v>
      </c>
      <c r="G3146" s="99" t="n">
        <f aca="false">MAX(0,F3146-F3449)</f>
        <v>0</v>
      </c>
      <c r="H3146" s="99" t="n">
        <f aca="false">MAX(0,G3146-G3449)</f>
        <v>0</v>
      </c>
      <c r="I3146" s="99" t="n">
        <f aca="false">MAX(0,H3146-H3449)</f>
        <v>0</v>
      </c>
      <c r="J3146" s="99" t="n">
        <f aca="false">MAX(0,I3146-I3449)</f>
        <v>0</v>
      </c>
      <c r="K3146" s="99" t="n">
        <f aca="false">MAX(0,J3146-J3449)</f>
        <v>0</v>
      </c>
      <c r="L3146" s="99" t="n">
        <f aca="false">MAX(0,K3146-K3449)</f>
        <v>0</v>
      </c>
      <c r="M3146" s="99" t="n">
        <f aca="false">MAX(0,L3146-L3449)</f>
        <v>0</v>
      </c>
    </row>
    <row r="3147" customFormat="false" ht="15" hidden="false" customHeight="false" outlineLevel="0" collapsed="false">
      <c r="B3147" s="108" t="n">
        <f aca="false">'Loan Tape'!$A113</f>
        <v>0</v>
      </c>
      <c r="C3147" s="71" t="n">
        <f aca="false">IF(Fin_Flag="Yes",'Loan Tape'!$BC113,0)</f>
        <v>0</v>
      </c>
      <c r="D3147" s="71" t="n">
        <f aca="false">MAX(0,C3147-C3450)</f>
        <v>0</v>
      </c>
      <c r="E3147" s="71" t="n">
        <f aca="false">MAX(0,D3147-D3450)</f>
        <v>0</v>
      </c>
      <c r="F3147" s="71" t="n">
        <f aca="false">MAX(0,E3147-E3450)</f>
        <v>0</v>
      </c>
      <c r="G3147" s="71" t="n">
        <f aca="false">MAX(0,F3147-F3450)</f>
        <v>0</v>
      </c>
      <c r="H3147" s="71" t="n">
        <f aca="false">MAX(0,G3147-G3450)</f>
        <v>0</v>
      </c>
      <c r="I3147" s="71" t="n">
        <f aca="false">MAX(0,H3147-H3450)</f>
        <v>0</v>
      </c>
      <c r="J3147" s="71" t="n">
        <f aca="false">MAX(0,I3147-I3450)</f>
        <v>0</v>
      </c>
      <c r="K3147" s="71" t="n">
        <f aca="false">MAX(0,J3147-J3450)</f>
        <v>0</v>
      </c>
      <c r="L3147" s="71" t="n">
        <f aca="false">MAX(0,K3147-K3450)</f>
        <v>0</v>
      </c>
      <c r="M3147" s="71" t="n">
        <f aca="false">MAX(0,L3147-L3450)</f>
        <v>0</v>
      </c>
    </row>
    <row r="3148" customFormat="false" ht="15" hidden="false" customHeight="false" outlineLevel="0" collapsed="false">
      <c r="B3148" s="102" t="n">
        <f aca="false">'Loan Tape'!$A114</f>
        <v>0</v>
      </c>
      <c r="C3148" s="99" t="n">
        <f aca="false">IF(Fin_Flag="Yes",'Loan Tape'!$BC114,0)</f>
        <v>0</v>
      </c>
      <c r="D3148" s="99" t="n">
        <f aca="false">MAX(0,C3148-C3451)</f>
        <v>0</v>
      </c>
      <c r="E3148" s="99" t="n">
        <f aca="false">MAX(0,D3148-D3451)</f>
        <v>0</v>
      </c>
      <c r="F3148" s="99" t="n">
        <f aca="false">MAX(0,E3148-E3451)</f>
        <v>0</v>
      </c>
      <c r="G3148" s="99" t="n">
        <f aca="false">MAX(0,F3148-F3451)</f>
        <v>0</v>
      </c>
      <c r="H3148" s="99" t="n">
        <f aca="false">MAX(0,G3148-G3451)</f>
        <v>0</v>
      </c>
      <c r="I3148" s="99" t="n">
        <f aca="false">MAX(0,H3148-H3451)</f>
        <v>0</v>
      </c>
      <c r="J3148" s="99" t="n">
        <f aca="false">MAX(0,I3148-I3451)</f>
        <v>0</v>
      </c>
      <c r="K3148" s="99" t="n">
        <f aca="false">MAX(0,J3148-J3451)</f>
        <v>0</v>
      </c>
      <c r="L3148" s="99" t="n">
        <f aca="false">MAX(0,K3148-K3451)</f>
        <v>0</v>
      </c>
      <c r="M3148" s="99" t="n">
        <f aca="false">MAX(0,L3148-L3451)</f>
        <v>0</v>
      </c>
    </row>
    <row r="3149" customFormat="false" ht="15" hidden="false" customHeight="false" outlineLevel="0" collapsed="false">
      <c r="B3149" s="108" t="n">
        <f aca="false">'Loan Tape'!$A115</f>
        <v>0</v>
      </c>
      <c r="C3149" s="71" t="n">
        <f aca="false">IF(Fin_Flag="Yes",'Loan Tape'!$BC115,0)</f>
        <v>0</v>
      </c>
      <c r="D3149" s="71" t="n">
        <f aca="false">MAX(0,C3149-C3452)</f>
        <v>0</v>
      </c>
      <c r="E3149" s="71" t="n">
        <f aca="false">MAX(0,D3149-D3452)</f>
        <v>0</v>
      </c>
      <c r="F3149" s="71" t="n">
        <f aca="false">MAX(0,E3149-E3452)</f>
        <v>0</v>
      </c>
      <c r="G3149" s="71" t="n">
        <f aca="false">MAX(0,F3149-F3452)</f>
        <v>0</v>
      </c>
      <c r="H3149" s="71" t="n">
        <f aca="false">MAX(0,G3149-G3452)</f>
        <v>0</v>
      </c>
      <c r="I3149" s="71" t="n">
        <f aca="false">MAX(0,H3149-H3452)</f>
        <v>0</v>
      </c>
      <c r="J3149" s="71" t="n">
        <f aca="false">MAX(0,I3149-I3452)</f>
        <v>0</v>
      </c>
      <c r="K3149" s="71" t="n">
        <f aca="false">MAX(0,J3149-J3452)</f>
        <v>0</v>
      </c>
      <c r="L3149" s="71" t="n">
        <f aca="false">MAX(0,K3149-K3452)</f>
        <v>0</v>
      </c>
      <c r="M3149" s="71" t="n">
        <f aca="false">MAX(0,L3149-L3452)</f>
        <v>0</v>
      </c>
    </row>
    <row r="3150" customFormat="false" ht="15" hidden="false" customHeight="false" outlineLevel="0" collapsed="false">
      <c r="B3150" s="102" t="n">
        <f aca="false">'Loan Tape'!$A116</f>
        <v>0</v>
      </c>
      <c r="C3150" s="99" t="n">
        <f aca="false">IF(Fin_Flag="Yes",'Loan Tape'!$BC116,0)</f>
        <v>0</v>
      </c>
      <c r="D3150" s="99" t="n">
        <f aca="false">MAX(0,C3150-C3453)</f>
        <v>0</v>
      </c>
      <c r="E3150" s="99" t="n">
        <f aca="false">MAX(0,D3150-D3453)</f>
        <v>0</v>
      </c>
      <c r="F3150" s="99" t="n">
        <f aca="false">MAX(0,E3150-E3453)</f>
        <v>0</v>
      </c>
      <c r="G3150" s="99" t="n">
        <f aca="false">MAX(0,F3150-F3453)</f>
        <v>0</v>
      </c>
      <c r="H3150" s="99" t="n">
        <f aca="false">MAX(0,G3150-G3453)</f>
        <v>0</v>
      </c>
      <c r="I3150" s="99" t="n">
        <f aca="false">MAX(0,H3150-H3453)</f>
        <v>0</v>
      </c>
      <c r="J3150" s="99" t="n">
        <f aca="false">MAX(0,I3150-I3453)</f>
        <v>0</v>
      </c>
      <c r="K3150" s="99" t="n">
        <f aca="false">MAX(0,J3150-J3453)</f>
        <v>0</v>
      </c>
      <c r="L3150" s="99" t="n">
        <f aca="false">MAX(0,K3150-K3453)</f>
        <v>0</v>
      </c>
      <c r="M3150" s="99" t="n">
        <f aca="false">MAX(0,L3150-L3453)</f>
        <v>0</v>
      </c>
    </row>
    <row r="3151" customFormat="false" ht="15" hidden="false" customHeight="false" outlineLevel="0" collapsed="false">
      <c r="B3151" s="108" t="n">
        <f aca="false">'Loan Tape'!$A117</f>
        <v>0</v>
      </c>
      <c r="C3151" s="71" t="n">
        <f aca="false">IF(Fin_Flag="Yes",'Loan Tape'!$BC117,0)</f>
        <v>0</v>
      </c>
      <c r="D3151" s="71" t="n">
        <f aca="false">MAX(0,C3151-C3454)</f>
        <v>0</v>
      </c>
      <c r="E3151" s="71" t="n">
        <f aca="false">MAX(0,D3151-D3454)</f>
        <v>0</v>
      </c>
      <c r="F3151" s="71" t="n">
        <f aca="false">MAX(0,E3151-E3454)</f>
        <v>0</v>
      </c>
      <c r="G3151" s="71" t="n">
        <f aca="false">MAX(0,F3151-F3454)</f>
        <v>0</v>
      </c>
      <c r="H3151" s="71" t="n">
        <f aca="false">MAX(0,G3151-G3454)</f>
        <v>0</v>
      </c>
      <c r="I3151" s="71" t="n">
        <f aca="false">MAX(0,H3151-H3454)</f>
        <v>0</v>
      </c>
      <c r="J3151" s="71" t="n">
        <f aca="false">MAX(0,I3151-I3454)</f>
        <v>0</v>
      </c>
      <c r="K3151" s="71" t="n">
        <f aca="false">MAX(0,J3151-J3454)</f>
        <v>0</v>
      </c>
      <c r="L3151" s="71" t="n">
        <f aca="false">MAX(0,K3151-K3454)</f>
        <v>0</v>
      </c>
      <c r="M3151" s="71" t="n">
        <f aca="false">MAX(0,L3151-L3454)</f>
        <v>0</v>
      </c>
    </row>
    <row r="3152" customFormat="false" ht="15" hidden="false" customHeight="false" outlineLevel="0" collapsed="false">
      <c r="B3152" s="102" t="n">
        <f aca="false">'Loan Tape'!$A118</f>
        <v>0</v>
      </c>
      <c r="C3152" s="99" t="n">
        <f aca="false">IF(Fin_Flag="Yes",'Loan Tape'!$BC118,0)</f>
        <v>0</v>
      </c>
      <c r="D3152" s="99" t="n">
        <f aca="false">MAX(0,C3152-C3455)</f>
        <v>0</v>
      </c>
      <c r="E3152" s="99" t="n">
        <f aca="false">MAX(0,D3152-D3455)</f>
        <v>0</v>
      </c>
      <c r="F3152" s="99" t="n">
        <f aca="false">MAX(0,E3152-E3455)</f>
        <v>0</v>
      </c>
      <c r="G3152" s="99" t="n">
        <f aca="false">MAX(0,F3152-F3455)</f>
        <v>0</v>
      </c>
      <c r="H3152" s="99" t="n">
        <f aca="false">MAX(0,G3152-G3455)</f>
        <v>0</v>
      </c>
      <c r="I3152" s="99" t="n">
        <f aca="false">MAX(0,H3152-H3455)</f>
        <v>0</v>
      </c>
      <c r="J3152" s="99" t="n">
        <f aca="false">MAX(0,I3152-I3455)</f>
        <v>0</v>
      </c>
      <c r="K3152" s="99" t="n">
        <f aca="false">MAX(0,J3152-J3455)</f>
        <v>0</v>
      </c>
      <c r="L3152" s="99" t="n">
        <f aca="false">MAX(0,K3152-K3455)</f>
        <v>0</v>
      </c>
      <c r="M3152" s="99" t="n">
        <f aca="false">MAX(0,L3152-L3455)</f>
        <v>0</v>
      </c>
    </row>
    <row r="3153" customFormat="false" ht="15" hidden="false" customHeight="false" outlineLevel="0" collapsed="false">
      <c r="B3153" s="108" t="n">
        <f aca="false">'Loan Tape'!$A119</f>
        <v>0</v>
      </c>
      <c r="C3153" s="71" t="n">
        <f aca="false">IF(Fin_Flag="Yes",'Loan Tape'!$BC119,0)</f>
        <v>0</v>
      </c>
      <c r="D3153" s="71" t="n">
        <f aca="false">MAX(0,C3153-C3456)</f>
        <v>0</v>
      </c>
      <c r="E3153" s="71" t="n">
        <f aca="false">MAX(0,D3153-D3456)</f>
        <v>0</v>
      </c>
      <c r="F3153" s="71" t="n">
        <f aca="false">MAX(0,E3153-E3456)</f>
        <v>0</v>
      </c>
      <c r="G3153" s="71" t="n">
        <f aca="false">MAX(0,F3153-F3456)</f>
        <v>0</v>
      </c>
      <c r="H3153" s="71" t="n">
        <f aca="false">MAX(0,G3153-G3456)</f>
        <v>0</v>
      </c>
      <c r="I3153" s="71" t="n">
        <f aca="false">MAX(0,H3153-H3456)</f>
        <v>0</v>
      </c>
      <c r="J3153" s="71" t="n">
        <f aca="false">MAX(0,I3153-I3456)</f>
        <v>0</v>
      </c>
      <c r="K3153" s="71" t="n">
        <f aca="false">MAX(0,J3153-J3456)</f>
        <v>0</v>
      </c>
      <c r="L3153" s="71" t="n">
        <f aca="false">MAX(0,K3153-K3456)</f>
        <v>0</v>
      </c>
      <c r="M3153" s="71" t="n">
        <f aca="false">MAX(0,L3153-L3456)</f>
        <v>0</v>
      </c>
    </row>
    <row r="3154" customFormat="false" ht="15" hidden="false" customHeight="false" outlineLevel="0" collapsed="false">
      <c r="B3154" s="102" t="n">
        <f aca="false">'Loan Tape'!$A120</f>
        <v>0</v>
      </c>
      <c r="C3154" s="99" t="n">
        <f aca="false">IF(Fin_Flag="Yes",'Loan Tape'!$BC120,0)</f>
        <v>0</v>
      </c>
      <c r="D3154" s="99" t="n">
        <f aca="false">MAX(0,C3154-C3457)</f>
        <v>0</v>
      </c>
      <c r="E3154" s="99" t="n">
        <f aca="false">MAX(0,D3154-D3457)</f>
        <v>0</v>
      </c>
      <c r="F3154" s="99" t="n">
        <f aca="false">MAX(0,E3154-E3457)</f>
        <v>0</v>
      </c>
      <c r="G3154" s="99" t="n">
        <f aca="false">MAX(0,F3154-F3457)</f>
        <v>0</v>
      </c>
      <c r="H3154" s="99" t="n">
        <f aca="false">MAX(0,G3154-G3457)</f>
        <v>0</v>
      </c>
      <c r="I3154" s="99" t="n">
        <f aca="false">MAX(0,H3154-H3457)</f>
        <v>0</v>
      </c>
      <c r="J3154" s="99" t="n">
        <f aca="false">MAX(0,I3154-I3457)</f>
        <v>0</v>
      </c>
      <c r="K3154" s="99" t="n">
        <f aca="false">MAX(0,J3154-J3457)</f>
        <v>0</v>
      </c>
      <c r="L3154" s="99" t="n">
        <f aca="false">MAX(0,K3154-K3457)</f>
        <v>0</v>
      </c>
      <c r="M3154" s="99" t="n">
        <f aca="false">MAX(0,L3154-L3457)</f>
        <v>0</v>
      </c>
    </row>
    <row r="3155" customFormat="false" ht="15" hidden="false" customHeight="false" outlineLevel="0" collapsed="false">
      <c r="B3155" s="108" t="n">
        <f aca="false">'Loan Tape'!$A121</f>
        <v>0</v>
      </c>
      <c r="C3155" s="71" t="n">
        <f aca="false">IF(Fin_Flag="Yes",'Loan Tape'!$BC121,0)</f>
        <v>0</v>
      </c>
      <c r="D3155" s="71" t="n">
        <f aca="false">MAX(0,C3155-C3458)</f>
        <v>0</v>
      </c>
      <c r="E3155" s="71" t="n">
        <f aca="false">MAX(0,D3155-D3458)</f>
        <v>0</v>
      </c>
      <c r="F3155" s="71" t="n">
        <f aca="false">MAX(0,E3155-E3458)</f>
        <v>0</v>
      </c>
      <c r="G3155" s="71" t="n">
        <f aca="false">MAX(0,F3155-F3458)</f>
        <v>0</v>
      </c>
      <c r="H3155" s="71" t="n">
        <f aca="false">MAX(0,G3155-G3458)</f>
        <v>0</v>
      </c>
      <c r="I3155" s="71" t="n">
        <f aca="false">MAX(0,H3155-H3458)</f>
        <v>0</v>
      </c>
      <c r="J3155" s="71" t="n">
        <f aca="false">MAX(0,I3155-I3458)</f>
        <v>0</v>
      </c>
      <c r="K3155" s="71" t="n">
        <f aca="false">MAX(0,J3155-J3458)</f>
        <v>0</v>
      </c>
      <c r="L3155" s="71" t="n">
        <f aca="false">MAX(0,K3155-K3458)</f>
        <v>0</v>
      </c>
      <c r="M3155" s="71" t="n">
        <f aca="false">MAX(0,L3155-L3458)</f>
        <v>0</v>
      </c>
    </row>
    <row r="3156" customFormat="false" ht="15" hidden="false" customHeight="false" outlineLevel="0" collapsed="false">
      <c r="B3156" s="102" t="n">
        <f aca="false">'Loan Tape'!$A122</f>
        <v>0</v>
      </c>
      <c r="C3156" s="99" t="n">
        <f aca="false">IF(Fin_Flag="Yes",'Loan Tape'!$BC122,0)</f>
        <v>0</v>
      </c>
      <c r="D3156" s="99" t="n">
        <f aca="false">MAX(0,C3156-C3459)</f>
        <v>0</v>
      </c>
      <c r="E3156" s="99" t="n">
        <f aca="false">MAX(0,D3156-D3459)</f>
        <v>0</v>
      </c>
      <c r="F3156" s="99" t="n">
        <f aca="false">MAX(0,E3156-E3459)</f>
        <v>0</v>
      </c>
      <c r="G3156" s="99" t="n">
        <f aca="false">MAX(0,F3156-F3459)</f>
        <v>0</v>
      </c>
      <c r="H3156" s="99" t="n">
        <f aca="false">MAX(0,G3156-G3459)</f>
        <v>0</v>
      </c>
      <c r="I3156" s="99" t="n">
        <f aca="false">MAX(0,H3156-H3459)</f>
        <v>0</v>
      </c>
      <c r="J3156" s="99" t="n">
        <f aca="false">MAX(0,I3156-I3459)</f>
        <v>0</v>
      </c>
      <c r="K3156" s="99" t="n">
        <f aca="false">MAX(0,J3156-J3459)</f>
        <v>0</v>
      </c>
      <c r="L3156" s="99" t="n">
        <f aca="false">MAX(0,K3156-K3459)</f>
        <v>0</v>
      </c>
      <c r="M3156" s="99" t="n">
        <f aca="false">MAX(0,L3156-L3459)</f>
        <v>0</v>
      </c>
    </row>
    <row r="3157" customFormat="false" ht="15" hidden="false" customHeight="false" outlineLevel="0" collapsed="false">
      <c r="B3157" s="108" t="n">
        <f aca="false">'Loan Tape'!$A123</f>
        <v>0</v>
      </c>
      <c r="C3157" s="71" t="n">
        <f aca="false">IF(Fin_Flag="Yes",'Loan Tape'!$BC123,0)</f>
        <v>0</v>
      </c>
      <c r="D3157" s="71" t="n">
        <f aca="false">MAX(0,C3157-C3460)</f>
        <v>0</v>
      </c>
      <c r="E3157" s="71" t="n">
        <f aca="false">MAX(0,D3157-D3460)</f>
        <v>0</v>
      </c>
      <c r="F3157" s="71" t="n">
        <f aca="false">MAX(0,E3157-E3460)</f>
        <v>0</v>
      </c>
      <c r="G3157" s="71" t="n">
        <f aca="false">MAX(0,F3157-F3460)</f>
        <v>0</v>
      </c>
      <c r="H3157" s="71" t="n">
        <f aca="false">MAX(0,G3157-G3460)</f>
        <v>0</v>
      </c>
      <c r="I3157" s="71" t="n">
        <f aca="false">MAX(0,H3157-H3460)</f>
        <v>0</v>
      </c>
      <c r="J3157" s="71" t="n">
        <f aca="false">MAX(0,I3157-I3460)</f>
        <v>0</v>
      </c>
      <c r="K3157" s="71" t="n">
        <f aca="false">MAX(0,J3157-J3460)</f>
        <v>0</v>
      </c>
      <c r="L3157" s="71" t="n">
        <f aca="false">MAX(0,K3157-K3460)</f>
        <v>0</v>
      </c>
      <c r="M3157" s="71" t="n">
        <f aca="false">MAX(0,L3157-L3460)</f>
        <v>0</v>
      </c>
    </row>
    <row r="3158" customFormat="false" ht="15" hidden="false" customHeight="false" outlineLevel="0" collapsed="false">
      <c r="B3158" s="102" t="n">
        <f aca="false">'Loan Tape'!$A124</f>
        <v>0</v>
      </c>
      <c r="C3158" s="99" t="n">
        <f aca="false">IF(Fin_Flag="Yes",'Loan Tape'!$BC124,0)</f>
        <v>0</v>
      </c>
      <c r="D3158" s="99" t="n">
        <f aca="false">MAX(0,C3158-C3461)</f>
        <v>0</v>
      </c>
      <c r="E3158" s="99" t="n">
        <f aca="false">MAX(0,D3158-D3461)</f>
        <v>0</v>
      </c>
      <c r="F3158" s="99" t="n">
        <f aca="false">MAX(0,E3158-E3461)</f>
        <v>0</v>
      </c>
      <c r="G3158" s="99" t="n">
        <f aca="false">MAX(0,F3158-F3461)</f>
        <v>0</v>
      </c>
      <c r="H3158" s="99" t="n">
        <f aca="false">MAX(0,G3158-G3461)</f>
        <v>0</v>
      </c>
      <c r="I3158" s="99" t="n">
        <f aca="false">MAX(0,H3158-H3461)</f>
        <v>0</v>
      </c>
      <c r="J3158" s="99" t="n">
        <f aca="false">MAX(0,I3158-I3461)</f>
        <v>0</v>
      </c>
      <c r="K3158" s="99" t="n">
        <f aca="false">MAX(0,J3158-J3461)</f>
        <v>0</v>
      </c>
      <c r="L3158" s="99" t="n">
        <f aca="false">MAX(0,K3158-K3461)</f>
        <v>0</v>
      </c>
      <c r="M3158" s="99" t="n">
        <f aca="false">MAX(0,L3158-L3461)</f>
        <v>0</v>
      </c>
    </row>
    <row r="3159" customFormat="false" ht="15" hidden="false" customHeight="false" outlineLevel="0" collapsed="false">
      <c r="B3159" s="108" t="n">
        <f aca="false">'Loan Tape'!$A125</f>
        <v>0</v>
      </c>
      <c r="C3159" s="71" t="n">
        <f aca="false">IF(Fin_Flag="Yes",'Loan Tape'!$BC125,0)</f>
        <v>0</v>
      </c>
      <c r="D3159" s="71" t="n">
        <f aca="false">MAX(0,C3159-C3462)</f>
        <v>0</v>
      </c>
      <c r="E3159" s="71" t="n">
        <f aca="false">MAX(0,D3159-D3462)</f>
        <v>0</v>
      </c>
      <c r="F3159" s="71" t="n">
        <f aca="false">MAX(0,E3159-E3462)</f>
        <v>0</v>
      </c>
      <c r="G3159" s="71" t="n">
        <f aca="false">MAX(0,F3159-F3462)</f>
        <v>0</v>
      </c>
      <c r="H3159" s="71" t="n">
        <f aca="false">MAX(0,G3159-G3462)</f>
        <v>0</v>
      </c>
      <c r="I3159" s="71" t="n">
        <f aca="false">MAX(0,H3159-H3462)</f>
        <v>0</v>
      </c>
      <c r="J3159" s="71" t="n">
        <f aca="false">MAX(0,I3159-I3462)</f>
        <v>0</v>
      </c>
      <c r="K3159" s="71" t="n">
        <f aca="false">MAX(0,J3159-J3462)</f>
        <v>0</v>
      </c>
      <c r="L3159" s="71" t="n">
        <f aca="false">MAX(0,K3159-K3462)</f>
        <v>0</v>
      </c>
      <c r="M3159" s="71" t="n">
        <f aca="false">MAX(0,L3159-L3462)</f>
        <v>0</v>
      </c>
    </row>
    <row r="3160" customFormat="false" ht="15" hidden="false" customHeight="false" outlineLevel="0" collapsed="false">
      <c r="B3160" s="102" t="n">
        <f aca="false">'Loan Tape'!$A126</f>
        <v>0</v>
      </c>
      <c r="C3160" s="99" t="n">
        <f aca="false">IF(Fin_Flag="Yes",'Loan Tape'!$BC126,0)</f>
        <v>0</v>
      </c>
      <c r="D3160" s="99" t="n">
        <f aca="false">MAX(0,C3160-C3463)</f>
        <v>0</v>
      </c>
      <c r="E3160" s="99" t="n">
        <f aca="false">MAX(0,D3160-D3463)</f>
        <v>0</v>
      </c>
      <c r="F3160" s="99" t="n">
        <f aca="false">MAX(0,E3160-E3463)</f>
        <v>0</v>
      </c>
      <c r="G3160" s="99" t="n">
        <f aca="false">MAX(0,F3160-F3463)</f>
        <v>0</v>
      </c>
      <c r="H3160" s="99" t="n">
        <f aca="false">MAX(0,G3160-G3463)</f>
        <v>0</v>
      </c>
      <c r="I3160" s="99" t="n">
        <f aca="false">MAX(0,H3160-H3463)</f>
        <v>0</v>
      </c>
      <c r="J3160" s="99" t="n">
        <f aca="false">MAX(0,I3160-I3463)</f>
        <v>0</v>
      </c>
      <c r="K3160" s="99" t="n">
        <f aca="false">MAX(0,J3160-J3463)</f>
        <v>0</v>
      </c>
      <c r="L3160" s="99" t="n">
        <f aca="false">MAX(0,K3160-K3463)</f>
        <v>0</v>
      </c>
      <c r="M3160" s="99" t="n">
        <f aca="false">MAX(0,L3160-L3463)</f>
        <v>0</v>
      </c>
    </row>
    <row r="3161" customFormat="false" ht="15" hidden="false" customHeight="false" outlineLevel="0" collapsed="false">
      <c r="B3161" s="108" t="n">
        <f aca="false">'Loan Tape'!$A127</f>
        <v>0</v>
      </c>
      <c r="C3161" s="71" t="n">
        <f aca="false">IF(Fin_Flag="Yes",'Loan Tape'!$BC127,0)</f>
        <v>0</v>
      </c>
      <c r="D3161" s="71" t="n">
        <f aca="false">MAX(0,C3161-C3464)</f>
        <v>0</v>
      </c>
      <c r="E3161" s="71" t="n">
        <f aca="false">MAX(0,D3161-D3464)</f>
        <v>0</v>
      </c>
      <c r="F3161" s="71" t="n">
        <f aca="false">MAX(0,E3161-E3464)</f>
        <v>0</v>
      </c>
      <c r="G3161" s="71" t="n">
        <f aca="false">MAX(0,F3161-F3464)</f>
        <v>0</v>
      </c>
      <c r="H3161" s="71" t="n">
        <f aca="false">MAX(0,G3161-G3464)</f>
        <v>0</v>
      </c>
      <c r="I3161" s="71" t="n">
        <f aca="false">MAX(0,H3161-H3464)</f>
        <v>0</v>
      </c>
      <c r="J3161" s="71" t="n">
        <f aca="false">MAX(0,I3161-I3464)</f>
        <v>0</v>
      </c>
      <c r="K3161" s="71" t="n">
        <f aca="false">MAX(0,J3161-J3464)</f>
        <v>0</v>
      </c>
      <c r="L3161" s="71" t="n">
        <f aca="false">MAX(0,K3161-K3464)</f>
        <v>0</v>
      </c>
      <c r="M3161" s="71" t="n">
        <f aca="false">MAX(0,L3161-L3464)</f>
        <v>0</v>
      </c>
    </row>
    <row r="3162" customFormat="false" ht="15" hidden="false" customHeight="false" outlineLevel="0" collapsed="false">
      <c r="B3162" s="102" t="n">
        <f aca="false">'Loan Tape'!$A128</f>
        <v>0</v>
      </c>
      <c r="C3162" s="99" t="n">
        <f aca="false">IF(Fin_Flag="Yes",'Loan Tape'!$BC128,0)</f>
        <v>0</v>
      </c>
      <c r="D3162" s="99" t="n">
        <f aca="false">MAX(0,C3162-C3465)</f>
        <v>0</v>
      </c>
      <c r="E3162" s="99" t="n">
        <f aca="false">MAX(0,D3162-D3465)</f>
        <v>0</v>
      </c>
      <c r="F3162" s="99" t="n">
        <f aca="false">MAX(0,E3162-E3465)</f>
        <v>0</v>
      </c>
      <c r="G3162" s="99" t="n">
        <f aca="false">MAX(0,F3162-F3465)</f>
        <v>0</v>
      </c>
      <c r="H3162" s="99" t="n">
        <f aca="false">MAX(0,G3162-G3465)</f>
        <v>0</v>
      </c>
      <c r="I3162" s="99" t="n">
        <f aca="false">MAX(0,H3162-H3465)</f>
        <v>0</v>
      </c>
      <c r="J3162" s="99" t="n">
        <f aca="false">MAX(0,I3162-I3465)</f>
        <v>0</v>
      </c>
      <c r="K3162" s="99" t="n">
        <f aca="false">MAX(0,J3162-J3465)</f>
        <v>0</v>
      </c>
      <c r="L3162" s="99" t="n">
        <f aca="false">MAX(0,K3162-K3465)</f>
        <v>0</v>
      </c>
      <c r="M3162" s="99" t="n">
        <f aca="false">MAX(0,L3162-L3465)</f>
        <v>0</v>
      </c>
    </row>
    <row r="3163" customFormat="false" ht="15" hidden="false" customHeight="false" outlineLevel="0" collapsed="false">
      <c r="B3163" s="108" t="n">
        <f aca="false">'Loan Tape'!$A129</f>
        <v>0</v>
      </c>
      <c r="C3163" s="71" t="n">
        <f aca="false">IF(Fin_Flag="Yes",'Loan Tape'!$BC129,0)</f>
        <v>0</v>
      </c>
      <c r="D3163" s="71" t="n">
        <f aca="false">MAX(0,C3163-C3466)</f>
        <v>0</v>
      </c>
      <c r="E3163" s="71" t="n">
        <f aca="false">MAX(0,D3163-D3466)</f>
        <v>0</v>
      </c>
      <c r="F3163" s="71" t="n">
        <f aca="false">MAX(0,E3163-E3466)</f>
        <v>0</v>
      </c>
      <c r="G3163" s="71" t="n">
        <f aca="false">MAX(0,F3163-F3466)</f>
        <v>0</v>
      </c>
      <c r="H3163" s="71" t="n">
        <f aca="false">MAX(0,G3163-G3466)</f>
        <v>0</v>
      </c>
      <c r="I3163" s="71" t="n">
        <f aca="false">MAX(0,H3163-H3466)</f>
        <v>0</v>
      </c>
      <c r="J3163" s="71" t="n">
        <f aca="false">MAX(0,I3163-I3466)</f>
        <v>0</v>
      </c>
      <c r="K3163" s="71" t="n">
        <f aca="false">MAX(0,J3163-J3466)</f>
        <v>0</v>
      </c>
      <c r="L3163" s="71" t="n">
        <f aca="false">MAX(0,K3163-K3466)</f>
        <v>0</v>
      </c>
      <c r="M3163" s="71" t="n">
        <f aca="false">MAX(0,L3163-L3466)</f>
        <v>0</v>
      </c>
    </row>
    <row r="3164" customFormat="false" ht="15" hidden="false" customHeight="false" outlineLevel="0" collapsed="false">
      <c r="B3164" s="102" t="n">
        <f aca="false">'Loan Tape'!$A130</f>
        <v>0</v>
      </c>
      <c r="C3164" s="99" t="n">
        <f aca="false">IF(Fin_Flag="Yes",'Loan Tape'!$BC130,0)</f>
        <v>0</v>
      </c>
      <c r="D3164" s="99" t="n">
        <f aca="false">MAX(0,C3164-C3467)</f>
        <v>0</v>
      </c>
      <c r="E3164" s="99" t="n">
        <f aca="false">MAX(0,D3164-D3467)</f>
        <v>0</v>
      </c>
      <c r="F3164" s="99" t="n">
        <f aca="false">MAX(0,E3164-E3467)</f>
        <v>0</v>
      </c>
      <c r="G3164" s="99" t="n">
        <f aca="false">MAX(0,F3164-F3467)</f>
        <v>0</v>
      </c>
      <c r="H3164" s="99" t="n">
        <f aca="false">MAX(0,G3164-G3467)</f>
        <v>0</v>
      </c>
      <c r="I3164" s="99" t="n">
        <f aca="false">MAX(0,H3164-H3467)</f>
        <v>0</v>
      </c>
      <c r="J3164" s="99" t="n">
        <f aca="false">MAX(0,I3164-I3467)</f>
        <v>0</v>
      </c>
      <c r="K3164" s="99" t="n">
        <f aca="false">MAX(0,J3164-J3467)</f>
        <v>0</v>
      </c>
      <c r="L3164" s="99" t="n">
        <f aca="false">MAX(0,K3164-K3467)</f>
        <v>0</v>
      </c>
      <c r="M3164" s="99" t="n">
        <f aca="false">MAX(0,L3164-L3467)</f>
        <v>0</v>
      </c>
    </row>
    <row r="3165" customFormat="false" ht="15" hidden="false" customHeight="false" outlineLevel="0" collapsed="false">
      <c r="B3165" s="108" t="n">
        <f aca="false">'Loan Tape'!$A131</f>
        <v>0</v>
      </c>
      <c r="C3165" s="71" t="n">
        <f aca="false">IF(Fin_Flag="Yes",'Loan Tape'!$BC131,0)</f>
        <v>0</v>
      </c>
      <c r="D3165" s="71" t="n">
        <f aca="false">MAX(0,C3165-C3468)</f>
        <v>0</v>
      </c>
      <c r="E3165" s="71" t="n">
        <f aca="false">MAX(0,D3165-D3468)</f>
        <v>0</v>
      </c>
      <c r="F3165" s="71" t="n">
        <f aca="false">MAX(0,E3165-E3468)</f>
        <v>0</v>
      </c>
      <c r="G3165" s="71" t="n">
        <f aca="false">MAX(0,F3165-F3468)</f>
        <v>0</v>
      </c>
      <c r="H3165" s="71" t="n">
        <f aca="false">MAX(0,G3165-G3468)</f>
        <v>0</v>
      </c>
      <c r="I3165" s="71" t="n">
        <f aca="false">MAX(0,H3165-H3468)</f>
        <v>0</v>
      </c>
      <c r="J3165" s="71" t="n">
        <f aca="false">MAX(0,I3165-I3468)</f>
        <v>0</v>
      </c>
      <c r="K3165" s="71" t="n">
        <f aca="false">MAX(0,J3165-J3468)</f>
        <v>0</v>
      </c>
      <c r="L3165" s="71" t="n">
        <f aca="false">MAX(0,K3165-K3468)</f>
        <v>0</v>
      </c>
      <c r="M3165" s="71" t="n">
        <f aca="false">MAX(0,L3165-L3468)</f>
        <v>0</v>
      </c>
    </row>
    <row r="3166" customFormat="false" ht="15" hidden="false" customHeight="false" outlineLevel="0" collapsed="false">
      <c r="B3166" s="102" t="n">
        <f aca="false">'Loan Tape'!$A132</f>
        <v>0</v>
      </c>
      <c r="C3166" s="99" t="n">
        <f aca="false">IF(Fin_Flag="Yes",'Loan Tape'!$BC132,0)</f>
        <v>0</v>
      </c>
      <c r="D3166" s="99" t="n">
        <f aca="false">MAX(0,C3166-C3469)</f>
        <v>0</v>
      </c>
      <c r="E3166" s="99" t="n">
        <f aca="false">MAX(0,D3166-D3469)</f>
        <v>0</v>
      </c>
      <c r="F3166" s="99" t="n">
        <f aca="false">MAX(0,E3166-E3469)</f>
        <v>0</v>
      </c>
      <c r="G3166" s="99" t="n">
        <f aca="false">MAX(0,F3166-F3469)</f>
        <v>0</v>
      </c>
      <c r="H3166" s="99" t="n">
        <f aca="false">MAX(0,G3166-G3469)</f>
        <v>0</v>
      </c>
      <c r="I3166" s="99" t="n">
        <f aca="false">MAX(0,H3166-H3469)</f>
        <v>0</v>
      </c>
      <c r="J3166" s="99" t="n">
        <f aca="false">MAX(0,I3166-I3469)</f>
        <v>0</v>
      </c>
      <c r="K3166" s="99" t="n">
        <f aca="false">MAX(0,J3166-J3469)</f>
        <v>0</v>
      </c>
      <c r="L3166" s="99" t="n">
        <f aca="false">MAX(0,K3166-K3469)</f>
        <v>0</v>
      </c>
      <c r="M3166" s="99" t="n">
        <f aca="false">MAX(0,L3166-L3469)</f>
        <v>0</v>
      </c>
    </row>
    <row r="3167" customFormat="false" ht="15" hidden="false" customHeight="false" outlineLevel="0" collapsed="false">
      <c r="B3167" s="108" t="n">
        <f aca="false">'Loan Tape'!$A133</f>
        <v>0</v>
      </c>
      <c r="C3167" s="71" t="n">
        <f aca="false">IF(Fin_Flag="Yes",'Loan Tape'!$BC133,0)</f>
        <v>0</v>
      </c>
      <c r="D3167" s="71" t="n">
        <f aca="false">MAX(0,C3167-C3470)</f>
        <v>0</v>
      </c>
      <c r="E3167" s="71" t="n">
        <f aca="false">MAX(0,D3167-D3470)</f>
        <v>0</v>
      </c>
      <c r="F3167" s="71" t="n">
        <f aca="false">MAX(0,E3167-E3470)</f>
        <v>0</v>
      </c>
      <c r="G3167" s="71" t="n">
        <f aca="false">MAX(0,F3167-F3470)</f>
        <v>0</v>
      </c>
      <c r="H3167" s="71" t="n">
        <f aca="false">MAX(0,G3167-G3470)</f>
        <v>0</v>
      </c>
      <c r="I3167" s="71" t="n">
        <f aca="false">MAX(0,H3167-H3470)</f>
        <v>0</v>
      </c>
      <c r="J3167" s="71" t="n">
        <f aca="false">MAX(0,I3167-I3470)</f>
        <v>0</v>
      </c>
      <c r="K3167" s="71" t="n">
        <f aca="false">MAX(0,J3167-J3470)</f>
        <v>0</v>
      </c>
      <c r="L3167" s="71" t="n">
        <f aca="false">MAX(0,K3167-K3470)</f>
        <v>0</v>
      </c>
      <c r="M3167" s="71" t="n">
        <f aca="false">MAX(0,L3167-L3470)</f>
        <v>0</v>
      </c>
    </row>
    <row r="3168" customFormat="false" ht="15" hidden="false" customHeight="false" outlineLevel="0" collapsed="false">
      <c r="B3168" s="102" t="n">
        <f aca="false">'Loan Tape'!$A134</f>
        <v>0</v>
      </c>
      <c r="C3168" s="99" t="n">
        <f aca="false">IF(Fin_Flag="Yes",'Loan Tape'!$BC134,0)</f>
        <v>0</v>
      </c>
      <c r="D3168" s="99" t="n">
        <f aca="false">MAX(0,C3168-C3471)</f>
        <v>0</v>
      </c>
      <c r="E3168" s="99" t="n">
        <f aca="false">MAX(0,D3168-D3471)</f>
        <v>0</v>
      </c>
      <c r="F3168" s="99" t="n">
        <f aca="false">MAX(0,E3168-E3471)</f>
        <v>0</v>
      </c>
      <c r="G3168" s="99" t="n">
        <f aca="false">MAX(0,F3168-F3471)</f>
        <v>0</v>
      </c>
      <c r="H3168" s="99" t="n">
        <f aca="false">MAX(0,G3168-G3471)</f>
        <v>0</v>
      </c>
      <c r="I3168" s="99" t="n">
        <f aca="false">MAX(0,H3168-H3471)</f>
        <v>0</v>
      </c>
      <c r="J3168" s="99" t="n">
        <f aca="false">MAX(0,I3168-I3471)</f>
        <v>0</v>
      </c>
      <c r="K3168" s="99" t="n">
        <f aca="false">MAX(0,J3168-J3471)</f>
        <v>0</v>
      </c>
      <c r="L3168" s="99" t="n">
        <f aca="false">MAX(0,K3168-K3471)</f>
        <v>0</v>
      </c>
      <c r="M3168" s="99" t="n">
        <f aca="false">MAX(0,L3168-L3471)</f>
        <v>0</v>
      </c>
    </row>
    <row r="3169" customFormat="false" ht="15" hidden="false" customHeight="false" outlineLevel="0" collapsed="false">
      <c r="B3169" s="108" t="n">
        <f aca="false">'Loan Tape'!$A135</f>
        <v>0</v>
      </c>
      <c r="C3169" s="71" t="n">
        <f aca="false">IF(Fin_Flag="Yes",'Loan Tape'!$BC135,0)</f>
        <v>0</v>
      </c>
      <c r="D3169" s="71" t="n">
        <f aca="false">MAX(0,C3169-C3472)</f>
        <v>0</v>
      </c>
      <c r="E3169" s="71" t="n">
        <f aca="false">MAX(0,D3169-D3472)</f>
        <v>0</v>
      </c>
      <c r="F3169" s="71" t="n">
        <f aca="false">MAX(0,E3169-E3472)</f>
        <v>0</v>
      </c>
      <c r="G3169" s="71" t="n">
        <f aca="false">MAX(0,F3169-F3472)</f>
        <v>0</v>
      </c>
      <c r="H3169" s="71" t="n">
        <f aca="false">MAX(0,G3169-G3472)</f>
        <v>0</v>
      </c>
      <c r="I3169" s="71" t="n">
        <f aca="false">MAX(0,H3169-H3472)</f>
        <v>0</v>
      </c>
      <c r="J3169" s="71" t="n">
        <f aca="false">MAX(0,I3169-I3472)</f>
        <v>0</v>
      </c>
      <c r="K3169" s="71" t="n">
        <f aca="false">MAX(0,J3169-J3472)</f>
        <v>0</v>
      </c>
      <c r="L3169" s="71" t="n">
        <f aca="false">MAX(0,K3169-K3472)</f>
        <v>0</v>
      </c>
      <c r="M3169" s="71" t="n">
        <f aca="false">MAX(0,L3169-L3472)</f>
        <v>0</v>
      </c>
    </row>
    <row r="3170" customFormat="false" ht="15" hidden="false" customHeight="false" outlineLevel="0" collapsed="false">
      <c r="B3170" s="102" t="n">
        <f aca="false">'Loan Tape'!$A136</f>
        <v>0</v>
      </c>
      <c r="C3170" s="99" t="n">
        <f aca="false">IF(Fin_Flag="Yes",'Loan Tape'!$BC136,0)</f>
        <v>0</v>
      </c>
      <c r="D3170" s="99" t="n">
        <f aca="false">MAX(0,C3170-C3473)</f>
        <v>0</v>
      </c>
      <c r="E3170" s="99" t="n">
        <f aca="false">MAX(0,D3170-D3473)</f>
        <v>0</v>
      </c>
      <c r="F3170" s="99" t="n">
        <f aca="false">MAX(0,E3170-E3473)</f>
        <v>0</v>
      </c>
      <c r="G3170" s="99" t="n">
        <f aca="false">MAX(0,F3170-F3473)</f>
        <v>0</v>
      </c>
      <c r="H3170" s="99" t="n">
        <f aca="false">MAX(0,G3170-G3473)</f>
        <v>0</v>
      </c>
      <c r="I3170" s="99" t="n">
        <f aca="false">MAX(0,H3170-H3473)</f>
        <v>0</v>
      </c>
      <c r="J3170" s="99" t="n">
        <f aca="false">MAX(0,I3170-I3473)</f>
        <v>0</v>
      </c>
      <c r="K3170" s="99" t="n">
        <f aca="false">MAX(0,J3170-J3473)</f>
        <v>0</v>
      </c>
      <c r="L3170" s="99" t="n">
        <f aca="false">MAX(0,K3170-K3473)</f>
        <v>0</v>
      </c>
      <c r="M3170" s="99" t="n">
        <f aca="false">MAX(0,L3170-L3473)</f>
        <v>0</v>
      </c>
    </row>
    <row r="3171" customFormat="false" ht="15" hidden="false" customHeight="false" outlineLevel="0" collapsed="false">
      <c r="B3171" s="108" t="n">
        <f aca="false">'Loan Tape'!$A137</f>
        <v>0</v>
      </c>
      <c r="C3171" s="71" t="n">
        <f aca="false">IF(Fin_Flag="Yes",'Loan Tape'!$BC137,0)</f>
        <v>0</v>
      </c>
      <c r="D3171" s="71" t="n">
        <f aca="false">MAX(0,C3171-C3474)</f>
        <v>0</v>
      </c>
      <c r="E3171" s="71" t="n">
        <f aca="false">MAX(0,D3171-D3474)</f>
        <v>0</v>
      </c>
      <c r="F3171" s="71" t="n">
        <f aca="false">MAX(0,E3171-E3474)</f>
        <v>0</v>
      </c>
      <c r="G3171" s="71" t="n">
        <f aca="false">MAX(0,F3171-F3474)</f>
        <v>0</v>
      </c>
      <c r="H3171" s="71" t="n">
        <f aca="false">MAX(0,G3171-G3474)</f>
        <v>0</v>
      </c>
      <c r="I3171" s="71" t="n">
        <f aca="false">MAX(0,H3171-H3474)</f>
        <v>0</v>
      </c>
      <c r="J3171" s="71" t="n">
        <f aca="false">MAX(0,I3171-I3474)</f>
        <v>0</v>
      </c>
      <c r="K3171" s="71" t="n">
        <f aca="false">MAX(0,J3171-J3474)</f>
        <v>0</v>
      </c>
      <c r="L3171" s="71" t="n">
        <f aca="false">MAX(0,K3171-K3474)</f>
        <v>0</v>
      </c>
      <c r="M3171" s="71" t="n">
        <f aca="false">MAX(0,L3171-L3474)</f>
        <v>0</v>
      </c>
    </row>
    <row r="3172" customFormat="false" ht="15" hidden="false" customHeight="false" outlineLevel="0" collapsed="false">
      <c r="B3172" s="102" t="n">
        <f aca="false">'Loan Tape'!$A138</f>
        <v>0</v>
      </c>
      <c r="C3172" s="99" t="n">
        <f aca="false">IF(Fin_Flag="Yes",'Loan Tape'!$BC138,0)</f>
        <v>0</v>
      </c>
      <c r="D3172" s="99" t="n">
        <f aca="false">MAX(0,C3172-C3475)</f>
        <v>0</v>
      </c>
      <c r="E3172" s="99" t="n">
        <f aca="false">MAX(0,D3172-D3475)</f>
        <v>0</v>
      </c>
      <c r="F3172" s="99" t="n">
        <f aca="false">MAX(0,E3172-E3475)</f>
        <v>0</v>
      </c>
      <c r="G3172" s="99" t="n">
        <f aca="false">MAX(0,F3172-F3475)</f>
        <v>0</v>
      </c>
      <c r="H3172" s="99" t="n">
        <f aca="false">MAX(0,G3172-G3475)</f>
        <v>0</v>
      </c>
      <c r="I3172" s="99" t="n">
        <f aca="false">MAX(0,H3172-H3475)</f>
        <v>0</v>
      </c>
      <c r="J3172" s="99" t="n">
        <f aca="false">MAX(0,I3172-I3475)</f>
        <v>0</v>
      </c>
      <c r="K3172" s="99" t="n">
        <f aca="false">MAX(0,J3172-J3475)</f>
        <v>0</v>
      </c>
      <c r="L3172" s="99" t="n">
        <f aca="false">MAX(0,K3172-K3475)</f>
        <v>0</v>
      </c>
      <c r="M3172" s="99" t="n">
        <f aca="false">MAX(0,L3172-L3475)</f>
        <v>0</v>
      </c>
    </row>
    <row r="3173" customFormat="false" ht="15" hidden="false" customHeight="false" outlineLevel="0" collapsed="false">
      <c r="B3173" s="108" t="n">
        <f aca="false">'Loan Tape'!$A139</f>
        <v>0</v>
      </c>
      <c r="C3173" s="71" t="n">
        <f aca="false">IF(Fin_Flag="Yes",'Loan Tape'!$BC139,0)</f>
        <v>0</v>
      </c>
      <c r="D3173" s="71" t="n">
        <f aca="false">MAX(0,C3173-C3476)</f>
        <v>0</v>
      </c>
      <c r="E3173" s="71" t="n">
        <f aca="false">MAX(0,D3173-D3476)</f>
        <v>0</v>
      </c>
      <c r="F3173" s="71" t="n">
        <f aca="false">MAX(0,E3173-E3476)</f>
        <v>0</v>
      </c>
      <c r="G3173" s="71" t="n">
        <f aca="false">MAX(0,F3173-F3476)</f>
        <v>0</v>
      </c>
      <c r="H3173" s="71" t="n">
        <f aca="false">MAX(0,G3173-G3476)</f>
        <v>0</v>
      </c>
      <c r="I3173" s="71" t="n">
        <f aca="false">MAX(0,H3173-H3476)</f>
        <v>0</v>
      </c>
      <c r="J3173" s="71" t="n">
        <f aca="false">MAX(0,I3173-I3476)</f>
        <v>0</v>
      </c>
      <c r="K3173" s="71" t="n">
        <f aca="false">MAX(0,J3173-J3476)</f>
        <v>0</v>
      </c>
      <c r="L3173" s="71" t="n">
        <f aca="false">MAX(0,K3173-K3476)</f>
        <v>0</v>
      </c>
      <c r="M3173" s="71" t="n">
        <f aca="false">MAX(0,L3173-L3476)</f>
        <v>0</v>
      </c>
    </row>
    <row r="3174" customFormat="false" ht="15" hidden="false" customHeight="false" outlineLevel="0" collapsed="false">
      <c r="B3174" s="102" t="n">
        <f aca="false">'Loan Tape'!$A140</f>
        <v>0</v>
      </c>
      <c r="C3174" s="99" t="n">
        <f aca="false">IF(Fin_Flag="Yes",'Loan Tape'!$BC140,0)</f>
        <v>0</v>
      </c>
      <c r="D3174" s="99" t="n">
        <f aca="false">MAX(0,C3174-C3477)</f>
        <v>0</v>
      </c>
      <c r="E3174" s="99" t="n">
        <f aca="false">MAX(0,D3174-D3477)</f>
        <v>0</v>
      </c>
      <c r="F3174" s="99" t="n">
        <f aca="false">MAX(0,E3174-E3477)</f>
        <v>0</v>
      </c>
      <c r="G3174" s="99" t="n">
        <f aca="false">MAX(0,F3174-F3477)</f>
        <v>0</v>
      </c>
      <c r="H3174" s="99" t="n">
        <f aca="false">MAX(0,G3174-G3477)</f>
        <v>0</v>
      </c>
      <c r="I3174" s="99" t="n">
        <f aca="false">MAX(0,H3174-H3477)</f>
        <v>0</v>
      </c>
      <c r="J3174" s="99" t="n">
        <f aca="false">MAX(0,I3174-I3477)</f>
        <v>0</v>
      </c>
      <c r="K3174" s="99" t="n">
        <f aca="false">MAX(0,J3174-J3477)</f>
        <v>0</v>
      </c>
      <c r="L3174" s="99" t="n">
        <f aca="false">MAX(0,K3174-K3477)</f>
        <v>0</v>
      </c>
      <c r="M3174" s="99" t="n">
        <f aca="false">MAX(0,L3174-L3477)</f>
        <v>0</v>
      </c>
    </row>
    <row r="3175" customFormat="false" ht="15" hidden="false" customHeight="false" outlineLevel="0" collapsed="false">
      <c r="B3175" s="108" t="n">
        <f aca="false">'Loan Tape'!$A141</f>
        <v>0</v>
      </c>
      <c r="C3175" s="71" t="n">
        <f aca="false">IF(Fin_Flag="Yes",'Loan Tape'!$BC141,0)</f>
        <v>0</v>
      </c>
      <c r="D3175" s="71" t="n">
        <f aca="false">MAX(0,C3175-C3478)</f>
        <v>0</v>
      </c>
      <c r="E3175" s="71" t="n">
        <f aca="false">MAX(0,D3175-D3478)</f>
        <v>0</v>
      </c>
      <c r="F3175" s="71" t="n">
        <f aca="false">MAX(0,E3175-E3478)</f>
        <v>0</v>
      </c>
      <c r="G3175" s="71" t="n">
        <f aca="false">MAX(0,F3175-F3478)</f>
        <v>0</v>
      </c>
      <c r="H3175" s="71" t="n">
        <f aca="false">MAX(0,G3175-G3478)</f>
        <v>0</v>
      </c>
      <c r="I3175" s="71" t="n">
        <f aca="false">MAX(0,H3175-H3478)</f>
        <v>0</v>
      </c>
      <c r="J3175" s="71" t="n">
        <f aca="false">MAX(0,I3175-I3478)</f>
        <v>0</v>
      </c>
      <c r="K3175" s="71" t="n">
        <f aca="false">MAX(0,J3175-J3478)</f>
        <v>0</v>
      </c>
      <c r="L3175" s="71" t="n">
        <f aca="false">MAX(0,K3175-K3478)</f>
        <v>0</v>
      </c>
      <c r="M3175" s="71" t="n">
        <f aca="false">MAX(0,L3175-L3478)</f>
        <v>0</v>
      </c>
    </row>
    <row r="3176" customFormat="false" ht="15" hidden="false" customHeight="false" outlineLevel="0" collapsed="false">
      <c r="B3176" s="102" t="n">
        <f aca="false">'Loan Tape'!$A142</f>
        <v>0</v>
      </c>
      <c r="C3176" s="99" t="n">
        <f aca="false">IF(Fin_Flag="Yes",'Loan Tape'!$BC142,0)</f>
        <v>0</v>
      </c>
      <c r="D3176" s="99" t="n">
        <f aca="false">MAX(0,C3176-C3479)</f>
        <v>0</v>
      </c>
      <c r="E3176" s="99" t="n">
        <f aca="false">MAX(0,D3176-D3479)</f>
        <v>0</v>
      </c>
      <c r="F3176" s="99" t="n">
        <f aca="false">MAX(0,E3176-E3479)</f>
        <v>0</v>
      </c>
      <c r="G3176" s="99" t="n">
        <f aca="false">MAX(0,F3176-F3479)</f>
        <v>0</v>
      </c>
      <c r="H3176" s="99" t="n">
        <f aca="false">MAX(0,G3176-G3479)</f>
        <v>0</v>
      </c>
      <c r="I3176" s="99" t="n">
        <f aca="false">MAX(0,H3176-H3479)</f>
        <v>0</v>
      </c>
      <c r="J3176" s="99" t="n">
        <f aca="false">MAX(0,I3176-I3479)</f>
        <v>0</v>
      </c>
      <c r="K3176" s="99" t="n">
        <f aca="false">MAX(0,J3176-J3479)</f>
        <v>0</v>
      </c>
      <c r="L3176" s="99" t="n">
        <f aca="false">MAX(0,K3176-K3479)</f>
        <v>0</v>
      </c>
      <c r="M3176" s="99" t="n">
        <f aca="false">MAX(0,L3176-L3479)</f>
        <v>0</v>
      </c>
    </row>
    <row r="3177" customFormat="false" ht="15" hidden="false" customHeight="false" outlineLevel="0" collapsed="false">
      <c r="B3177" s="108" t="n">
        <f aca="false">'Loan Tape'!$A143</f>
        <v>0</v>
      </c>
      <c r="C3177" s="71" t="n">
        <f aca="false">IF(Fin_Flag="Yes",'Loan Tape'!$BC143,0)</f>
        <v>0</v>
      </c>
      <c r="D3177" s="71" t="n">
        <f aca="false">MAX(0,C3177-C3480)</f>
        <v>0</v>
      </c>
      <c r="E3177" s="71" t="n">
        <f aca="false">MAX(0,D3177-D3480)</f>
        <v>0</v>
      </c>
      <c r="F3177" s="71" t="n">
        <f aca="false">MAX(0,E3177-E3480)</f>
        <v>0</v>
      </c>
      <c r="G3177" s="71" t="n">
        <f aca="false">MAX(0,F3177-F3480)</f>
        <v>0</v>
      </c>
      <c r="H3177" s="71" t="n">
        <f aca="false">MAX(0,G3177-G3480)</f>
        <v>0</v>
      </c>
      <c r="I3177" s="71" t="n">
        <f aca="false">MAX(0,H3177-H3480)</f>
        <v>0</v>
      </c>
      <c r="J3177" s="71" t="n">
        <f aca="false">MAX(0,I3177-I3480)</f>
        <v>0</v>
      </c>
      <c r="K3177" s="71" t="n">
        <f aca="false">MAX(0,J3177-J3480)</f>
        <v>0</v>
      </c>
      <c r="L3177" s="71" t="n">
        <f aca="false">MAX(0,K3177-K3480)</f>
        <v>0</v>
      </c>
      <c r="M3177" s="71" t="n">
        <f aca="false">MAX(0,L3177-L3480)</f>
        <v>0</v>
      </c>
    </row>
    <row r="3178" customFormat="false" ht="15" hidden="false" customHeight="false" outlineLevel="0" collapsed="false">
      <c r="B3178" s="102" t="n">
        <f aca="false">'Loan Tape'!$A144</f>
        <v>0</v>
      </c>
      <c r="C3178" s="99" t="n">
        <f aca="false">IF(Fin_Flag="Yes",'Loan Tape'!$BC144,0)</f>
        <v>0</v>
      </c>
      <c r="D3178" s="99" t="n">
        <f aca="false">MAX(0,C3178-C3481)</f>
        <v>0</v>
      </c>
      <c r="E3178" s="99" t="n">
        <f aca="false">MAX(0,D3178-D3481)</f>
        <v>0</v>
      </c>
      <c r="F3178" s="99" t="n">
        <f aca="false">MAX(0,E3178-E3481)</f>
        <v>0</v>
      </c>
      <c r="G3178" s="99" t="n">
        <f aca="false">MAX(0,F3178-F3481)</f>
        <v>0</v>
      </c>
      <c r="H3178" s="99" t="n">
        <f aca="false">MAX(0,G3178-G3481)</f>
        <v>0</v>
      </c>
      <c r="I3178" s="99" t="n">
        <f aca="false">MAX(0,H3178-H3481)</f>
        <v>0</v>
      </c>
      <c r="J3178" s="99" t="n">
        <f aca="false">MAX(0,I3178-I3481)</f>
        <v>0</v>
      </c>
      <c r="K3178" s="99" t="n">
        <f aca="false">MAX(0,J3178-J3481)</f>
        <v>0</v>
      </c>
      <c r="L3178" s="99" t="n">
        <f aca="false">MAX(0,K3178-K3481)</f>
        <v>0</v>
      </c>
      <c r="M3178" s="99" t="n">
        <f aca="false">MAX(0,L3178-L3481)</f>
        <v>0</v>
      </c>
    </row>
    <row r="3179" customFormat="false" ht="15" hidden="false" customHeight="false" outlineLevel="0" collapsed="false">
      <c r="B3179" s="108" t="n">
        <f aca="false">'Loan Tape'!$A145</f>
        <v>0</v>
      </c>
      <c r="C3179" s="71" t="n">
        <f aca="false">IF(Fin_Flag="Yes",'Loan Tape'!$BC145,0)</f>
        <v>0</v>
      </c>
      <c r="D3179" s="71" t="n">
        <f aca="false">MAX(0,C3179-C3482)</f>
        <v>0</v>
      </c>
      <c r="E3179" s="71" t="n">
        <f aca="false">MAX(0,D3179-D3482)</f>
        <v>0</v>
      </c>
      <c r="F3179" s="71" t="n">
        <f aca="false">MAX(0,E3179-E3482)</f>
        <v>0</v>
      </c>
      <c r="G3179" s="71" t="n">
        <f aca="false">MAX(0,F3179-F3482)</f>
        <v>0</v>
      </c>
      <c r="H3179" s="71" t="n">
        <f aca="false">MAX(0,G3179-G3482)</f>
        <v>0</v>
      </c>
      <c r="I3179" s="71" t="n">
        <f aca="false">MAX(0,H3179-H3482)</f>
        <v>0</v>
      </c>
      <c r="J3179" s="71" t="n">
        <f aca="false">MAX(0,I3179-I3482)</f>
        <v>0</v>
      </c>
      <c r="K3179" s="71" t="n">
        <f aca="false">MAX(0,J3179-J3482)</f>
        <v>0</v>
      </c>
      <c r="L3179" s="71" t="n">
        <f aca="false">MAX(0,K3179-K3482)</f>
        <v>0</v>
      </c>
      <c r="M3179" s="71" t="n">
        <f aca="false">MAX(0,L3179-L3482)</f>
        <v>0</v>
      </c>
    </row>
    <row r="3180" customFormat="false" ht="15" hidden="false" customHeight="false" outlineLevel="0" collapsed="false">
      <c r="B3180" s="102" t="n">
        <f aca="false">'Loan Tape'!$A146</f>
        <v>0</v>
      </c>
      <c r="C3180" s="99" t="n">
        <f aca="false">IF(Fin_Flag="Yes",'Loan Tape'!$BC146,0)</f>
        <v>0</v>
      </c>
      <c r="D3180" s="99" t="n">
        <f aca="false">MAX(0,C3180-C3483)</f>
        <v>0</v>
      </c>
      <c r="E3180" s="99" t="n">
        <f aca="false">MAX(0,D3180-D3483)</f>
        <v>0</v>
      </c>
      <c r="F3180" s="99" t="n">
        <f aca="false">MAX(0,E3180-E3483)</f>
        <v>0</v>
      </c>
      <c r="G3180" s="99" t="n">
        <f aca="false">MAX(0,F3180-F3483)</f>
        <v>0</v>
      </c>
      <c r="H3180" s="99" t="n">
        <f aca="false">MAX(0,G3180-G3483)</f>
        <v>0</v>
      </c>
      <c r="I3180" s="99" t="n">
        <f aca="false">MAX(0,H3180-H3483)</f>
        <v>0</v>
      </c>
      <c r="J3180" s="99" t="n">
        <f aca="false">MAX(0,I3180-I3483)</f>
        <v>0</v>
      </c>
      <c r="K3180" s="99" t="n">
        <f aca="false">MAX(0,J3180-J3483)</f>
        <v>0</v>
      </c>
      <c r="L3180" s="99" t="n">
        <f aca="false">MAX(0,K3180-K3483)</f>
        <v>0</v>
      </c>
      <c r="M3180" s="99" t="n">
        <f aca="false">MAX(0,L3180-L3483)</f>
        <v>0</v>
      </c>
    </row>
    <row r="3181" customFormat="false" ht="15" hidden="false" customHeight="false" outlineLevel="0" collapsed="false">
      <c r="B3181" s="108" t="n">
        <f aca="false">'Loan Tape'!$A147</f>
        <v>0</v>
      </c>
      <c r="C3181" s="71" t="n">
        <f aca="false">IF(Fin_Flag="Yes",'Loan Tape'!$BC147,0)</f>
        <v>0</v>
      </c>
      <c r="D3181" s="71" t="n">
        <f aca="false">MAX(0,C3181-C3484)</f>
        <v>0</v>
      </c>
      <c r="E3181" s="71" t="n">
        <f aca="false">MAX(0,D3181-D3484)</f>
        <v>0</v>
      </c>
      <c r="F3181" s="71" t="n">
        <f aca="false">MAX(0,E3181-E3484)</f>
        <v>0</v>
      </c>
      <c r="G3181" s="71" t="n">
        <f aca="false">MAX(0,F3181-F3484)</f>
        <v>0</v>
      </c>
      <c r="H3181" s="71" t="n">
        <f aca="false">MAX(0,G3181-G3484)</f>
        <v>0</v>
      </c>
      <c r="I3181" s="71" t="n">
        <f aca="false">MAX(0,H3181-H3484)</f>
        <v>0</v>
      </c>
      <c r="J3181" s="71" t="n">
        <f aca="false">MAX(0,I3181-I3484)</f>
        <v>0</v>
      </c>
      <c r="K3181" s="71" t="n">
        <f aca="false">MAX(0,J3181-J3484)</f>
        <v>0</v>
      </c>
      <c r="L3181" s="71" t="n">
        <f aca="false">MAX(0,K3181-K3484)</f>
        <v>0</v>
      </c>
      <c r="M3181" s="71" t="n">
        <f aca="false">MAX(0,L3181-L3484)</f>
        <v>0</v>
      </c>
    </row>
    <row r="3182" customFormat="false" ht="15" hidden="false" customHeight="false" outlineLevel="0" collapsed="false">
      <c r="B3182" s="102" t="n">
        <f aca="false">'Loan Tape'!$A148</f>
        <v>0</v>
      </c>
      <c r="C3182" s="99" t="n">
        <f aca="false">IF(Fin_Flag="Yes",'Loan Tape'!$BC148,0)</f>
        <v>0</v>
      </c>
      <c r="D3182" s="99" t="n">
        <f aca="false">MAX(0,C3182-C3485)</f>
        <v>0</v>
      </c>
      <c r="E3182" s="99" t="n">
        <f aca="false">MAX(0,D3182-D3485)</f>
        <v>0</v>
      </c>
      <c r="F3182" s="99" t="n">
        <f aca="false">MAX(0,E3182-E3485)</f>
        <v>0</v>
      </c>
      <c r="G3182" s="99" t="n">
        <f aca="false">MAX(0,F3182-F3485)</f>
        <v>0</v>
      </c>
      <c r="H3182" s="99" t="n">
        <f aca="false">MAX(0,G3182-G3485)</f>
        <v>0</v>
      </c>
      <c r="I3182" s="99" t="n">
        <f aca="false">MAX(0,H3182-H3485)</f>
        <v>0</v>
      </c>
      <c r="J3182" s="99" t="n">
        <f aca="false">MAX(0,I3182-I3485)</f>
        <v>0</v>
      </c>
      <c r="K3182" s="99" t="n">
        <f aca="false">MAX(0,J3182-J3485)</f>
        <v>0</v>
      </c>
      <c r="L3182" s="99" t="n">
        <f aca="false">MAX(0,K3182-K3485)</f>
        <v>0</v>
      </c>
      <c r="M3182" s="99" t="n">
        <f aca="false">MAX(0,L3182-L3485)</f>
        <v>0</v>
      </c>
    </row>
    <row r="3183" customFormat="false" ht="15" hidden="false" customHeight="false" outlineLevel="0" collapsed="false">
      <c r="B3183" s="108" t="n">
        <f aca="false">'Loan Tape'!$A149</f>
        <v>0</v>
      </c>
      <c r="C3183" s="71" t="n">
        <f aca="false">IF(Fin_Flag="Yes",'Loan Tape'!$BC149,0)</f>
        <v>0</v>
      </c>
      <c r="D3183" s="71" t="n">
        <f aca="false">MAX(0,C3183-C3486)</f>
        <v>0</v>
      </c>
      <c r="E3183" s="71" t="n">
        <f aca="false">MAX(0,D3183-D3486)</f>
        <v>0</v>
      </c>
      <c r="F3183" s="71" t="n">
        <f aca="false">MAX(0,E3183-E3486)</f>
        <v>0</v>
      </c>
      <c r="G3183" s="71" t="n">
        <f aca="false">MAX(0,F3183-F3486)</f>
        <v>0</v>
      </c>
      <c r="H3183" s="71" t="n">
        <f aca="false">MAX(0,G3183-G3486)</f>
        <v>0</v>
      </c>
      <c r="I3183" s="71" t="n">
        <f aca="false">MAX(0,H3183-H3486)</f>
        <v>0</v>
      </c>
      <c r="J3183" s="71" t="n">
        <f aca="false">MAX(0,I3183-I3486)</f>
        <v>0</v>
      </c>
      <c r="K3183" s="71" t="n">
        <f aca="false">MAX(0,J3183-J3486)</f>
        <v>0</v>
      </c>
      <c r="L3183" s="71" t="n">
        <f aca="false">MAX(0,K3183-K3486)</f>
        <v>0</v>
      </c>
      <c r="M3183" s="71" t="n">
        <f aca="false">MAX(0,L3183-L3486)</f>
        <v>0</v>
      </c>
    </row>
    <row r="3184" customFormat="false" ht="15" hidden="false" customHeight="false" outlineLevel="0" collapsed="false">
      <c r="B3184" s="102" t="n">
        <f aca="false">'Loan Tape'!$A150</f>
        <v>0</v>
      </c>
      <c r="C3184" s="99" t="n">
        <f aca="false">IF(Fin_Flag="Yes",'Loan Tape'!$BC150,0)</f>
        <v>0</v>
      </c>
      <c r="D3184" s="99" t="n">
        <f aca="false">MAX(0,C3184-C3487)</f>
        <v>0</v>
      </c>
      <c r="E3184" s="99" t="n">
        <f aca="false">MAX(0,D3184-D3487)</f>
        <v>0</v>
      </c>
      <c r="F3184" s="99" t="n">
        <f aca="false">MAX(0,E3184-E3487)</f>
        <v>0</v>
      </c>
      <c r="G3184" s="99" t="n">
        <f aca="false">MAX(0,F3184-F3487)</f>
        <v>0</v>
      </c>
      <c r="H3184" s="99" t="n">
        <f aca="false">MAX(0,G3184-G3487)</f>
        <v>0</v>
      </c>
      <c r="I3184" s="99" t="n">
        <f aca="false">MAX(0,H3184-H3487)</f>
        <v>0</v>
      </c>
      <c r="J3184" s="99" t="n">
        <f aca="false">MAX(0,I3184-I3487)</f>
        <v>0</v>
      </c>
      <c r="K3184" s="99" t="n">
        <f aca="false">MAX(0,J3184-J3487)</f>
        <v>0</v>
      </c>
      <c r="L3184" s="99" t="n">
        <f aca="false">MAX(0,K3184-K3487)</f>
        <v>0</v>
      </c>
      <c r="M3184" s="99" t="n">
        <f aca="false">MAX(0,L3184-L3487)</f>
        <v>0</v>
      </c>
    </row>
    <row r="3185" customFormat="false" ht="15" hidden="false" customHeight="false" outlineLevel="0" collapsed="false">
      <c r="B3185" s="108" t="n">
        <f aca="false">'Loan Tape'!$A151</f>
        <v>0</v>
      </c>
      <c r="C3185" s="71" t="n">
        <f aca="false">IF(Fin_Flag="Yes",'Loan Tape'!$BC151,0)</f>
        <v>0</v>
      </c>
      <c r="D3185" s="71" t="n">
        <f aca="false">MAX(0,C3185-C3488)</f>
        <v>0</v>
      </c>
      <c r="E3185" s="71" t="n">
        <f aca="false">MAX(0,D3185-D3488)</f>
        <v>0</v>
      </c>
      <c r="F3185" s="71" t="n">
        <f aca="false">MAX(0,E3185-E3488)</f>
        <v>0</v>
      </c>
      <c r="G3185" s="71" t="n">
        <f aca="false">MAX(0,F3185-F3488)</f>
        <v>0</v>
      </c>
      <c r="H3185" s="71" t="n">
        <f aca="false">MAX(0,G3185-G3488)</f>
        <v>0</v>
      </c>
      <c r="I3185" s="71" t="n">
        <f aca="false">MAX(0,H3185-H3488)</f>
        <v>0</v>
      </c>
      <c r="J3185" s="71" t="n">
        <f aca="false">MAX(0,I3185-I3488)</f>
        <v>0</v>
      </c>
      <c r="K3185" s="71" t="n">
        <f aca="false">MAX(0,J3185-J3488)</f>
        <v>0</v>
      </c>
      <c r="L3185" s="71" t="n">
        <f aca="false">MAX(0,K3185-K3488)</f>
        <v>0</v>
      </c>
      <c r="M3185" s="71" t="n">
        <f aca="false">MAX(0,L3185-L3488)</f>
        <v>0</v>
      </c>
    </row>
    <row r="3186" customFormat="false" ht="15" hidden="false" customHeight="false" outlineLevel="0" collapsed="false">
      <c r="B3186" s="102" t="n">
        <f aca="false">'Loan Tape'!$A152</f>
        <v>0</v>
      </c>
      <c r="C3186" s="99" t="n">
        <f aca="false">IF(Fin_Flag="Yes",'Loan Tape'!$BC152,0)</f>
        <v>0</v>
      </c>
      <c r="D3186" s="99" t="n">
        <f aca="false">MAX(0,C3186-C3489)</f>
        <v>0</v>
      </c>
      <c r="E3186" s="99" t="n">
        <f aca="false">MAX(0,D3186-D3489)</f>
        <v>0</v>
      </c>
      <c r="F3186" s="99" t="n">
        <f aca="false">MAX(0,E3186-E3489)</f>
        <v>0</v>
      </c>
      <c r="G3186" s="99" t="n">
        <f aca="false">MAX(0,F3186-F3489)</f>
        <v>0</v>
      </c>
      <c r="H3186" s="99" t="n">
        <f aca="false">MAX(0,G3186-G3489)</f>
        <v>0</v>
      </c>
      <c r="I3186" s="99" t="n">
        <f aca="false">MAX(0,H3186-H3489)</f>
        <v>0</v>
      </c>
      <c r="J3186" s="99" t="n">
        <f aca="false">MAX(0,I3186-I3489)</f>
        <v>0</v>
      </c>
      <c r="K3186" s="99" t="n">
        <f aca="false">MAX(0,J3186-J3489)</f>
        <v>0</v>
      </c>
      <c r="L3186" s="99" t="n">
        <f aca="false">MAX(0,K3186-K3489)</f>
        <v>0</v>
      </c>
      <c r="M3186" s="99" t="n">
        <f aca="false">MAX(0,L3186-L3489)</f>
        <v>0</v>
      </c>
    </row>
    <row r="3187" customFormat="false" ht="15" hidden="false" customHeight="false" outlineLevel="0" collapsed="false">
      <c r="B3187" s="108" t="n">
        <f aca="false">'Loan Tape'!$A153</f>
        <v>0</v>
      </c>
      <c r="C3187" s="71" t="n">
        <f aca="false">IF(Fin_Flag="Yes",'Loan Tape'!$BC153,0)</f>
        <v>0</v>
      </c>
      <c r="D3187" s="71" t="n">
        <f aca="false">MAX(0,C3187-C3490)</f>
        <v>0</v>
      </c>
      <c r="E3187" s="71" t="n">
        <f aca="false">MAX(0,D3187-D3490)</f>
        <v>0</v>
      </c>
      <c r="F3187" s="71" t="n">
        <f aca="false">MAX(0,E3187-E3490)</f>
        <v>0</v>
      </c>
      <c r="G3187" s="71" t="n">
        <f aca="false">MAX(0,F3187-F3490)</f>
        <v>0</v>
      </c>
      <c r="H3187" s="71" t="n">
        <f aca="false">MAX(0,G3187-G3490)</f>
        <v>0</v>
      </c>
      <c r="I3187" s="71" t="n">
        <f aca="false">MAX(0,H3187-H3490)</f>
        <v>0</v>
      </c>
      <c r="J3187" s="71" t="n">
        <f aca="false">MAX(0,I3187-I3490)</f>
        <v>0</v>
      </c>
      <c r="K3187" s="71" t="n">
        <f aca="false">MAX(0,J3187-J3490)</f>
        <v>0</v>
      </c>
      <c r="L3187" s="71" t="n">
        <f aca="false">MAX(0,K3187-K3490)</f>
        <v>0</v>
      </c>
      <c r="M3187" s="71" t="n">
        <f aca="false">MAX(0,L3187-L3490)</f>
        <v>0</v>
      </c>
    </row>
    <row r="3188" customFormat="false" ht="15" hidden="false" customHeight="false" outlineLevel="0" collapsed="false">
      <c r="B3188" s="102" t="n">
        <f aca="false">'Loan Tape'!$A154</f>
        <v>0</v>
      </c>
      <c r="C3188" s="99" t="n">
        <f aca="false">IF(Fin_Flag="Yes",'Loan Tape'!$BC154,0)</f>
        <v>0</v>
      </c>
      <c r="D3188" s="99" t="n">
        <f aca="false">MAX(0,C3188-C3491)</f>
        <v>0</v>
      </c>
      <c r="E3188" s="99" t="n">
        <f aca="false">MAX(0,D3188-D3491)</f>
        <v>0</v>
      </c>
      <c r="F3188" s="99" t="n">
        <f aca="false">MAX(0,E3188-E3491)</f>
        <v>0</v>
      </c>
      <c r="G3188" s="99" t="n">
        <f aca="false">MAX(0,F3188-F3491)</f>
        <v>0</v>
      </c>
      <c r="H3188" s="99" t="n">
        <f aca="false">MAX(0,G3188-G3491)</f>
        <v>0</v>
      </c>
      <c r="I3188" s="99" t="n">
        <f aca="false">MAX(0,H3188-H3491)</f>
        <v>0</v>
      </c>
      <c r="J3188" s="99" t="n">
        <f aca="false">MAX(0,I3188-I3491)</f>
        <v>0</v>
      </c>
      <c r="K3188" s="99" t="n">
        <f aca="false">MAX(0,J3188-J3491)</f>
        <v>0</v>
      </c>
      <c r="L3188" s="99" t="n">
        <f aca="false">MAX(0,K3188-K3491)</f>
        <v>0</v>
      </c>
      <c r="M3188" s="99" t="n">
        <f aca="false">MAX(0,L3188-L3491)</f>
        <v>0</v>
      </c>
    </row>
    <row r="3189" customFormat="false" ht="15" hidden="false" customHeight="false" outlineLevel="0" collapsed="false">
      <c r="B3189" s="108" t="n">
        <f aca="false">'Loan Tape'!$A155</f>
        <v>0</v>
      </c>
      <c r="C3189" s="71" t="n">
        <f aca="false">IF(Fin_Flag="Yes",'Loan Tape'!$BC155,0)</f>
        <v>0</v>
      </c>
      <c r="D3189" s="71" t="n">
        <f aca="false">MAX(0,C3189-C3492)</f>
        <v>0</v>
      </c>
      <c r="E3189" s="71" t="n">
        <f aca="false">MAX(0,D3189-D3492)</f>
        <v>0</v>
      </c>
      <c r="F3189" s="71" t="n">
        <f aca="false">MAX(0,E3189-E3492)</f>
        <v>0</v>
      </c>
      <c r="G3189" s="71" t="n">
        <f aca="false">MAX(0,F3189-F3492)</f>
        <v>0</v>
      </c>
      <c r="H3189" s="71" t="n">
        <f aca="false">MAX(0,G3189-G3492)</f>
        <v>0</v>
      </c>
      <c r="I3189" s="71" t="n">
        <f aca="false">MAX(0,H3189-H3492)</f>
        <v>0</v>
      </c>
      <c r="J3189" s="71" t="n">
        <f aca="false">MAX(0,I3189-I3492)</f>
        <v>0</v>
      </c>
      <c r="K3189" s="71" t="n">
        <f aca="false">MAX(0,J3189-J3492)</f>
        <v>0</v>
      </c>
      <c r="L3189" s="71" t="n">
        <f aca="false">MAX(0,K3189-K3492)</f>
        <v>0</v>
      </c>
      <c r="M3189" s="71" t="n">
        <f aca="false">MAX(0,L3189-L3492)</f>
        <v>0</v>
      </c>
    </row>
    <row r="3190" customFormat="false" ht="15" hidden="false" customHeight="false" outlineLevel="0" collapsed="false">
      <c r="B3190" s="102" t="n">
        <f aca="false">'Loan Tape'!$A156</f>
        <v>0</v>
      </c>
      <c r="C3190" s="99" t="n">
        <f aca="false">IF(Fin_Flag="Yes",'Loan Tape'!$BC156,0)</f>
        <v>0</v>
      </c>
      <c r="D3190" s="99" t="n">
        <f aca="false">MAX(0,C3190-C3493)</f>
        <v>0</v>
      </c>
      <c r="E3190" s="99" t="n">
        <f aca="false">MAX(0,D3190-D3493)</f>
        <v>0</v>
      </c>
      <c r="F3190" s="99" t="n">
        <f aca="false">MAX(0,E3190-E3493)</f>
        <v>0</v>
      </c>
      <c r="G3190" s="99" t="n">
        <f aca="false">MAX(0,F3190-F3493)</f>
        <v>0</v>
      </c>
      <c r="H3190" s="99" t="n">
        <f aca="false">MAX(0,G3190-G3493)</f>
        <v>0</v>
      </c>
      <c r="I3190" s="99" t="n">
        <f aca="false">MAX(0,H3190-H3493)</f>
        <v>0</v>
      </c>
      <c r="J3190" s="99" t="n">
        <f aca="false">MAX(0,I3190-I3493)</f>
        <v>0</v>
      </c>
      <c r="K3190" s="99" t="n">
        <f aca="false">MAX(0,J3190-J3493)</f>
        <v>0</v>
      </c>
      <c r="L3190" s="99" t="n">
        <f aca="false">MAX(0,K3190-K3493)</f>
        <v>0</v>
      </c>
      <c r="M3190" s="99" t="n">
        <f aca="false">MAX(0,L3190-L3493)</f>
        <v>0</v>
      </c>
    </row>
    <row r="3191" customFormat="false" ht="15" hidden="false" customHeight="false" outlineLevel="0" collapsed="false">
      <c r="B3191" s="108" t="n">
        <f aca="false">'Loan Tape'!$A157</f>
        <v>0</v>
      </c>
      <c r="C3191" s="71" t="n">
        <f aca="false">IF(Fin_Flag="Yes",'Loan Tape'!$BC157,0)</f>
        <v>0</v>
      </c>
      <c r="D3191" s="71" t="n">
        <f aca="false">MAX(0,C3191-C3494)</f>
        <v>0</v>
      </c>
      <c r="E3191" s="71" t="n">
        <f aca="false">MAX(0,D3191-D3494)</f>
        <v>0</v>
      </c>
      <c r="F3191" s="71" t="n">
        <f aca="false">MAX(0,E3191-E3494)</f>
        <v>0</v>
      </c>
      <c r="G3191" s="71" t="n">
        <f aca="false">MAX(0,F3191-F3494)</f>
        <v>0</v>
      </c>
      <c r="H3191" s="71" t="n">
        <f aca="false">MAX(0,G3191-G3494)</f>
        <v>0</v>
      </c>
      <c r="I3191" s="71" t="n">
        <f aca="false">MAX(0,H3191-H3494)</f>
        <v>0</v>
      </c>
      <c r="J3191" s="71" t="n">
        <f aca="false">MAX(0,I3191-I3494)</f>
        <v>0</v>
      </c>
      <c r="K3191" s="71" t="n">
        <f aca="false">MAX(0,J3191-J3494)</f>
        <v>0</v>
      </c>
      <c r="L3191" s="71" t="n">
        <f aca="false">MAX(0,K3191-K3494)</f>
        <v>0</v>
      </c>
      <c r="M3191" s="71" t="n">
        <f aca="false">MAX(0,L3191-L3494)</f>
        <v>0</v>
      </c>
    </row>
    <row r="3192" customFormat="false" ht="15" hidden="false" customHeight="false" outlineLevel="0" collapsed="false">
      <c r="B3192" s="102" t="n">
        <f aca="false">'Loan Tape'!$A158</f>
        <v>0</v>
      </c>
      <c r="C3192" s="99" t="n">
        <f aca="false">IF(Fin_Flag="Yes",'Loan Tape'!$BC158,0)</f>
        <v>0</v>
      </c>
      <c r="D3192" s="99" t="n">
        <f aca="false">MAX(0,C3192-C3495)</f>
        <v>0</v>
      </c>
      <c r="E3192" s="99" t="n">
        <f aca="false">MAX(0,D3192-D3495)</f>
        <v>0</v>
      </c>
      <c r="F3192" s="99" t="n">
        <f aca="false">MAX(0,E3192-E3495)</f>
        <v>0</v>
      </c>
      <c r="G3192" s="99" t="n">
        <f aca="false">MAX(0,F3192-F3495)</f>
        <v>0</v>
      </c>
      <c r="H3192" s="99" t="n">
        <f aca="false">MAX(0,G3192-G3495)</f>
        <v>0</v>
      </c>
      <c r="I3192" s="99" t="n">
        <f aca="false">MAX(0,H3192-H3495)</f>
        <v>0</v>
      </c>
      <c r="J3192" s="99" t="n">
        <f aca="false">MAX(0,I3192-I3495)</f>
        <v>0</v>
      </c>
      <c r="K3192" s="99" t="n">
        <f aca="false">MAX(0,J3192-J3495)</f>
        <v>0</v>
      </c>
      <c r="L3192" s="99" t="n">
        <f aca="false">MAX(0,K3192-K3495)</f>
        <v>0</v>
      </c>
      <c r="M3192" s="99" t="n">
        <f aca="false">MAX(0,L3192-L3495)</f>
        <v>0</v>
      </c>
    </row>
    <row r="3193" customFormat="false" ht="15" hidden="false" customHeight="false" outlineLevel="0" collapsed="false">
      <c r="B3193" s="108" t="n">
        <f aca="false">'Loan Tape'!$A159</f>
        <v>0</v>
      </c>
      <c r="C3193" s="71" t="n">
        <f aca="false">IF(Fin_Flag="Yes",'Loan Tape'!$BC159,0)</f>
        <v>0</v>
      </c>
      <c r="D3193" s="71" t="n">
        <f aca="false">MAX(0,C3193-C3496)</f>
        <v>0</v>
      </c>
      <c r="E3193" s="71" t="n">
        <f aca="false">MAX(0,D3193-D3496)</f>
        <v>0</v>
      </c>
      <c r="F3193" s="71" t="n">
        <f aca="false">MAX(0,E3193-E3496)</f>
        <v>0</v>
      </c>
      <c r="G3193" s="71" t="n">
        <f aca="false">MAX(0,F3193-F3496)</f>
        <v>0</v>
      </c>
      <c r="H3193" s="71" t="n">
        <f aca="false">MAX(0,G3193-G3496)</f>
        <v>0</v>
      </c>
      <c r="I3193" s="71" t="n">
        <f aca="false">MAX(0,H3193-H3496)</f>
        <v>0</v>
      </c>
      <c r="J3193" s="71" t="n">
        <f aca="false">MAX(0,I3193-I3496)</f>
        <v>0</v>
      </c>
      <c r="K3193" s="71" t="n">
        <f aca="false">MAX(0,J3193-J3496)</f>
        <v>0</v>
      </c>
      <c r="L3193" s="71" t="n">
        <f aca="false">MAX(0,K3193-K3496)</f>
        <v>0</v>
      </c>
      <c r="M3193" s="71" t="n">
        <f aca="false">MAX(0,L3193-L3496)</f>
        <v>0</v>
      </c>
    </row>
    <row r="3194" customFormat="false" ht="15" hidden="false" customHeight="false" outlineLevel="0" collapsed="false">
      <c r="B3194" s="102" t="n">
        <f aca="false">'Loan Tape'!$A160</f>
        <v>0</v>
      </c>
      <c r="C3194" s="99" t="n">
        <f aca="false">IF(Fin_Flag="Yes",'Loan Tape'!$BC160,0)</f>
        <v>0</v>
      </c>
      <c r="D3194" s="99" t="n">
        <f aca="false">MAX(0,C3194-C3497)</f>
        <v>0</v>
      </c>
      <c r="E3194" s="99" t="n">
        <f aca="false">MAX(0,D3194-D3497)</f>
        <v>0</v>
      </c>
      <c r="F3194" s="99" t="n">
        <f aca="false">MAX(0,E3194-E3497)</f>
        <v>0</v>
      </c>
      <c r="G3194" s="99" t="n">
        <f aca="false">MAX(0,F3194-F3497)</f>
        <v>0</v>
      </c>
      <c r="H3194" s="99" t="n">
        <f aca="false">MAX(0,G3194-G3497)</f>
        <v>0</v>
      </c>
      <c r="I3194" s="99" t="n">
        <f aca="false">MAX(0,H3194-H3497)</f>
        <v>0</v>
      </c>
      <c r="J3194" s="99" t="n">
        <f aca="false">MAX(0,I3194-I3497)</f>
        <v>0</v>
      </c>
      <c r="K3194" s="99" t="n">
        <f aca="false">MAX(0,J3194-J3497)</f>
        <v>0</v>
      </c>
      <c r="L3194" s="99" t="n">
        <f aca="false">MAX(0,K3194-K3497)</f>
        <v>0</v>
      </c>
      <c r="M3194" s="99" t="n">
        <f aca="false">MAX(0,L3194-L3497)</f>
        <v>0</v>
      </c>
    </row>
    <row r="3195" customFormat="false" ht="15" hidden="false" customHeight="false" outlineLevel="0" collapsed="false">
      <c r="B3195" s="108" t="n">
        <f aca="false">'Loan Tape'!$A161</f>
        <v>0</v>
      </c>
      <c r="C3195" s="71" t="n">
        <f aca="false">IF(Fin_Flag="Yes",'Loan Tape'!$BC161,0)</f>
        <v>0</v>
      </c>
      <c r="D3195" s="71" t="n">
        <f aca="false">MAX(0,C3195-C3498)</f>
        <v>0</v>
      </c>
      <c r="E3195" s="71" t="n">
        <f aca="false">MAX(0,D3195-D3498)</f>
        <v>0</v>
      </c>
      <c r="F3195" s="71" t="n">
        <f aca="false">MAX(0,E3195-E3498)</f>
        <v>0</v>
      </c>
      <c r="G3195" s="71" t="n">
        <f aca="false">MAX(0,F3195-F3498)</f>
        <v>0</v>
      </c>
      <c r="H3195" s="71" t="n">
        <f aca="false">MAX(0,G3195-G3498)</f>
        <v>0</v>
      </c>
      <c r="I3195" s="71" t="n">
        <f aca="false">MAX(0,H3195-H3498)</f>
        <v>0</v>
      </c>
      <c r="J3195" s="71" t="n">
        <f aca="false">MAX(0,I3195-I3498)</f>
        <v>0</v>
      </c>
      <c r="K3195" s="71" t="n">
        <f aca="false">MAX(0,J3195-J3498)</f>
        <v>0</v>
      </c>
      <c r="L3195" s="71" t="n">
        <f aca="false">MAX(0,K3195-K3498)</f>
        <v>0</v>
      </c>
      <c r="M3195" s="71" t="n">
        <f aca="false">MAX(0,L3195-L3498)</f>
        <v>0</v>
      </c>
    </row>
    <row r="3196" customFormat="false" ht="15" hidden="false" customHeight="false" outlineLevel="0" collapsed="false">
      <c r="B3196" s="102" t="n">
        <f aca="false">'Loan Tape'!$A162</f>
        <v>0</v>
      </c>
      <c r="C3196" s="99" t="n">
        <f aca="false">IF(Fin_Flag="Yes",'Loan Tape'!$BC162,0)</f>
        <v>0</v>
      </c>
      <c r="D3196" s="99" t="n">
        <f aca="false">MAX(0,C3196-C3499)</f>
        <v>0</v>
      </c>
      <c r="E3196" s="99" t="n">
        <f aca="false">MAX(0,D3196-D3499)</f>
        <v>0</v>
      </c>
      <c r="F3196" s="99" t="n">
        <f aca="false">MAX(0,E3196-E3499)</f>
        <v>0</v>
      </c>
      <c r="G3196" s="99" t="n">
        <f aca="false">MAX(0,F3196-F3499)</f>
        <v>0</v>
      </c>
      <c r="H3196" s="99" t="n">
        <f aca="false">MAX(0,G3196-G3499)</f>
        <v>0</v>
      </c>
      <c r="I3196" s="99" t="n">
        <f aca="false">MAX(0,H3196-H3499)</f>
        <v>0</v>
      </c>
      <c r="J3196" s="99" t="n">
        <f aca="false">MAX(0,I3196-I3499)</f>
        <v>0</v>
      </c>
      <c r="K3196" s="99" t="n">
        <f aca="false">MAX(0,J3196-J3499)</f>
        <v>0</v>
      </c>
      <c r="L3196" s="99" t="n">
        <f aca="false">MAX(0,K3196-K3499)</f>
        <v>0</v>
      </c>
      <c r="M3196" s="99" t="n">
        <f aca="false">MAX(0,L3196-L3499)</f>
        <v>0</v>
      </c>
    </row>
    <row r="3197" customFormat="false" ht="15" hidden="false" customHeight="false" outlineLevel="0" collapsed="false">
      <c r="B3197" s="108" t="n">
        <f aca="false">'Loan Tape'!$A163</f>
        <v>0</v>
      </c>
      <c r="C3197" s="71" t="n">
        <f aca="false">IF(Fin_Flag="Yes",'Loan Tape'!$BC163,0)</f>
        <v>0</v>
      </c>
      <c r="D3197" s="71" t="n">
        <f aca="false">MAX(0,C3197-C3500)</f>
        <v>0</v>
      </c>
      <c r="E3197" s="71" t="n">
        <f aca="false">MAX(0,D3197-D3500)</f>
        <v>0</v>
      </c>
      <c r="F3197" s="71" t="n">
        <f aca="false">MAX(0,E3197-E3500)</f>
        <v>0</v>
      </c>
      <c r="G3197" s="71" t="n">
        <f aca="false">MAX(0,F3197-F3500)</f>
        <v>0</v>
      </c>
      <c r="H3197" s="71" t="n">
        <f aca="false">MAX(0,G3197-G3500)</f>
        <v>0</v>
      </c>
      <c r="I3197" s="71" t="n">
        <f aca="false">MAX(0,H3197-H3500)</f>
        <v>0</v>
      </c>
      <c r="J3197" s="71" t="n">
        <f aca="false">MAX(0,I3197-I3500)</f>
        <v>0</v>
      </c>
      <c r="K3197" s="71" t="n">
        <f aca="false">MAX(0,J3197-J3500)</f>
        <v>0</v>
      </c>
      <c r="L3197" s="71" t="n">
        <f aca="false">MAX(0,K3197-K3500)</f>
        <v>0</v>
      </c>
      <c r="M3197" s="71" t="n">
        <f aca="false">MAX(0,L3197-L3500)</f>
        <v>0</v>
      </c>
    </row>
    <row r="3198" customFormat="false" ht="15" hidden="false" customHeight="false" outlineLevel="0" collapsed="false">
      <c r="B3198" s="102" t="n">
        <f aca="false">'Loan Tape'!$A164</f>
        <v>0</v>
      </c>
      <c r="C3198" s="99" t="n">
        <f aca="false">IF(Fin_Flag="Yes",'Loan Tape'!$BC164,0)</f>
        <v>0</v>
      </c>
      <c r="D3198" s="99" t="n">
        <f aca="false">MAX(0,C3198-C3501)</f>
        <v>0</v>
      </c>
      <c r="E3198" s="99" t="n">
        <f aca="false">MAX(0,D3198-D3501)</f>
        <v>0</v>
      </c>
      <c r="F3198" s="99" t="n">
        <f aca="false">MAX(0,E3198-E3501)</f>
        <v>0</v>
      </c>
      <c r="G3198" s="99" t="n">
        <f aca="false">MAX(0,F3198-F3501)</f>
        <v>0</v>
      </c>
      <c r="H3198" s="99" t="n">
        <f aca="false">MAX(0,G3198-G3501)</f>
        <v>0</v>
      </c>
      <c r="I3198" s="99" t="n">
        <f aca="false">MAX(0,H3198-H3501)</f>
        <v>0</v>
      </c>
      <c r="J3198" s="99" t="n">
        <f aca="false">MAX(0,I3198-I3501)</f>
        <v>0</v>
      </c>
      <c r="K3198" s="99" t="n">
        <f aca="false">MAX(0,J3198-J3501)</f>
        <v>0</v>
      </c>
      <c r="L3198" s="99" t="n">
        <f aca="false">MAX(0,K3198-K3501)</f>
        <v>0</v>
      </c>
      <c r="M3198" s="99" t="n">
        <f aca="false">MAX(0,L3198-L3501)</f>
        <v>0</v>
      </c>
    </row>
    <row r="3199" customFormat="false" ht="15" hidden="false" customHeight="false" outlineLevel="0" collapsed="false">
      <c r="B3199" s="108" t="n">
        <f aca="false">'Loan Tape'!$A165</f>
        <v>0</v>
      </c>
      <c r="C3199" s="71" t="n">
        <f aca="false">IF(Fin_Flag="Yes",'Loan Tape'!$BC165,0)</f>
        <v>0</v>
      </c>
      <c r="D3199" s="71" t="n">
        <f aca="false">MAX(0,C3199-C3502)</f>
        <v>0</v>
      </c>
      <c r="E3199" s="71" t="n">
        <f aca="false">MAX(0,D3199-D3502)</f>
        <v>0</v>
      </c>
      <c r="F3199" s="71" t="n">
        <f aca="false">MAX(0,E3199-E3502)</f>
        <v>0</v>
      </c>
      <c r="G3199" s="71" t="n">
        <f aca="false">MAX(0,F3199-F3502)</f>
        <v>0</v>
      </c>
      <c r="H3199" s="71" t="n">
        <f aca="false">MAX(0,G3199-G3502)</f>
        <v>0</v>
      </c>
      <c r="I3199" s="71" t="n">
        <f aca="false">MAX(0,H3199-H3502)</f>
        <v>0</v>
      </c>
      <c r="J3199" s="71" t="n">
        <f aca="false">MAX(0,I3199-I3502)</f>
        <v>0</v>
      </c>
      <c r="K3199" s="71" t="n">
        <f aca="false">MAX(0,J3199-J3502)</f>
        <v>0</v>
      </c>
      <c r="L3199" s="71" t="n">
        <f aca="false">MAX(0,K3199-K3502)</f>
        <v>0</v>
      </c>
      <c r="M3199" s="71" t="n">
        <f aca="false">MAX(0,L3199-L3502)</f>
        <v>0</v>
      </c>
    </row>
    <row r="3200" customFormat="false" ht="15" hidden="false" customHeight="false" outlineLevel="0" collapsed="false">
      <c r="B3200" s="102" t="n">
        <f aca="false">'Loan Tape'!$A166</f>
        <v>0</v>
      </c>
      <c r="C3200" s="99" t="n">
        <f aca="false">IF(Fin_Flag="Yes",'Loan Tape'!$BC166,0)</f>
        <v>0</v>
      </c>
      <c r="D3200" s="99" t="n">
        <f aca="false">MAX(0,C3200-C3503)</f>
        <v>0</v>
      </c>
      <c r="E3200" s="99" t="n">
        <f aca="false">MAX(0,D3200-D3503)</f>
        <v>0</v>
      </c>
      <c r="F3200" s="99" t="n">
        <f aca="false">MAX(0,E3200-E3503)</f>
        <v>0</v>
      </c>
      <c r="G3200" s="99" t="n">
        <f aca="false">MAX(0,F3200-F3503)</f>
        <v>0</v>
      </c>
      <c r="H3200" s="99" t="n">
        <f aca="false">MAX(0,G3200-G3503)</f>
        <v>0</v>
      </c>
      <c r="I3200" s="99" t="n">
        <f aca="false">MAX(0,H3200-H3503)</f>
        <v>0</v>
      </c>
      <c r="J3200" s="99" t="n">
        <f aca="false">MAX(0,I3200-I3503)</f>
        <v>0</v>
      </c>
      <c r="K3200" s="99" t="n">
        <f aca="false">MAX(0,J3200-J3503)</f>
        <v>0</v>
      </c>
      <c r="L3200" s="99" t="n">
        <f aca="false">MAX(0,K3200-K3503)</f>
        <v>0</v>
      </c>
      <c r="M3200" s="99" t="n">
        <f aca="false">MAX(0,L3200-L3503)</f>
        <v>0</v>
      </c>
    </row>
    <row r="3201" customFormat="false" ht="15" hidden="false" customHeight="false" outlineLevel="0" collapsed="false">
      <c r="B3201" s="108" t="n">
        <f aca="false">'Loan Tape'!$A167</f>
        <v>0</v>
      </c>
      <c r="C3201" s="71" t="n">
        <f aca="false">IF(Fin_Flag="Yes",'Loan Tape'!$BC167,0)</f>
        <v>0</v>
      </c>
      <c r="D3201" s="71" t="n">
        <f aca="false">MAX(0,C3201-C3504)</f>
        <v>0</v>
      </c>
      <c r="E3201" s="71" t="n">
        <f aca="false">MAX(0,D3201-D3504)</f>
        <v>0</v>
      </c>
      <c r="F3201" s="71" t="n">
        <f aca="false">MAX(0,E3201-E3504)</f>
        <v>0</v>
      </c>
      <c r="G3201" s="71" t="n">
        <f aca="false">MAX(0,F3201-F3504)</f>
        <v>0</v>
      </c>
      <c r="H3201" s="71" t="n">
        <f aca="false">MAX(0,G3201-G3504)</f>
        <v>0</v>
      </c>
      <c r="I3201" s="71" t="n">
        <f aca="false">MAX(0,H3201-H3504)</f>
        <v>0</v>
      </c>
      <c r="J3201" s="71" t="n">
        <f aca="false">MAX(0,I3201-I3504)</f>
        <v>0</v>
      </c>
      <c r="K3201" s="71" t="n">
        <f aca="false">MAX(0,J3201-J3504)</f>
        <v>0</v>
      </c>
      <c r="L3201" s="71" t="n">
        <f aca="false">MAX(0,K3201-K3504)</f>
        <v>0</v>
      </c>
      <c r="M3201" s="71" t="n">
        <f aca="false">MAX(0,L3201-L3504)</f>
        <v>0</v>
      </c>
    </row>
    <row r="3202" customFormat="false" ht="15" hidden="false" customHeight="false" outlineLevel="0" collapsed="false">
      <c r="B3202" s="102" t="n">
        <f aca="false">'Loan Tape'!$A168</f>
        <v>0</v>
      </c>
      <c r="C3202" s="99" t="n">
        <f aca="false">IF(Fin_Flag="Yes",'Loan Tape'!$BC168,0)</f>
        <v>0</v>
      </c>
      <c r="D3202" s="99" t="n">
        <f aca="false">MAX(0,C3202-C3505)</f>
        <v>0</v>
      </c>
      <c r="E3202" s="99" t="n">
        <f aca="false">MAX(0,D3202-D3505)</f>
        <v>0</v>
      </c>
      <c r="F3202" s="99" t="n">
        <f aca="false">MAX(0,E3202-E3505)</f>
        <v>0</v>
      </c>
      <c r="G3202" s="99" t="n">
        <f aca="false">MAX(0,F3202-F3505)</f>
        <v>0</v>
      </c>
      <c r="H3202" s="99" t="n">
        <f aca="false">MAX(0,G3202-G3505)</f>
        <v>0</v>
      </c>
      <c r="I3202" s="99" t="n">
        <f aca="false">MAX(0,H3202-H3505)</f>
        <v>0</v>
      </c>
      <c r="J3202" s="99" t="n">
        <f aca="false">MAX(0,I3202-I3505)</f>
        <v>0</v>
      </c>
      <c r="K3202" s="99" t="n">
        <f aca="false">MAX(0,J3202-J3505)</f>
        <v>0</v>
      </c>
      <c r="L3202" s="99" t="n">
        <f aca="false">MAX(0,K3202-K3505)</f>
        <v>0</v>
      </c>
      <c r="M3202" s="99" t="n">
        <f aca="false">MAX(0,L3202-L3505)</f>
        <v>0</v>
      </c>
    </row>
    <row r="3203" customFormat="false" ht="15" hidden="false" customHeight="false" outlineLevel="0" collapsed="false">
      <c r="B3203" s="108" t="n">
        <f aca="false">'Loan Tape'!$A169</f>
        <v>0</v>
      </c>
      <c r="C3203" s="71" t="n">
        <f aca="false">IF(Fin_Flag="Yes",'Loan Tape'!$BC169,0)</f>
        <v>0</v>
      </c>
      <c r="D3203" s="71" t="n">
        <f aca="false">MAX(0,C3203-C3506)</f>
        <v>0</v>
      </c>
      <c r="E3203" s="71" t="n">
        <f aca="false">MAX(0,D3203-D3506)</f>
        <v>0</v>
      </c>
      <c r="F3203" s="71" t="n">
        <f aca="false">MAX(0,E3203-E3506)</f>
        <v>0</v>
      </c>
      <c r="G3203" s="71" t="n">
        <f aca="false">MAX(0,F3203-F3506)</f>
        <v>0</v>
      </c>
      <c r="H3203" s="71" t="n">
        <f aca="false">MAX(0,G3203-G3506)</f>
        <v>0</v>
      </c>
      <c r="I3203" s="71" t="n">
        <f aca="false">MAX(0,H3203-H3506)</f>
        <v>0</v>
      </c>
      <c r="J3203" s="71" t="n">
        <f aca="false">MAX(0,I3203-I3506)</f>
        <v>0</v>
      </c>
      <c r="K3203" s="71" t="n">
        <f aca="false">MAX(0,J3203-J3506)</f>
        <v>0</v>
      </c>
      <c r="L3203" s="71" t="n">
        <f aca="false">MAX(0,K3203-K3506)</f>
        <v>0</v>
      </c>
      <c r="M3203" s="71" t="n">
        <f aca="false">MAX(0,L3203-L3506)</f>
        <v>0</v>
      </c>
    </row>
    <row r="3204" customFormat="false" ht="15" hidden="false" customHeight="false" outlineLevel="0" collapsed="false">
      <c r="B3204" s="102" t="n">
        <f aca="false">'Loan Tape'!$A170</f>
        <v>0</v>
      </c>
      <c r="C3204" s="99" t="n">
        <f aca="false">IF(Fin_Flag="Yes",'Loan Tape'!$BC170,0)</f>
        <v>0</v>
      </c>
      <c r="D3204" s="99" t="n">
        <f aca="false">MAX(0,C3204-C3507)</f>
        <v>0</v>
      </c>
      <c r="E3204" s="99" t="n">
        <f aca="false">MAX(0,D3204-D3507)</f>
        <v>0</v>
      </c>
      <c r="F3204" s="99" t="n">
        <f aca="false">MAX(0,E3204-E3507)</f>
        <v>0</v>
      </c>
      <c r="G3204" s="99" t="n">
        <f aca="false">MAX(0,F3204-F3507)</f>
        <v>0</v>
      </c>
      <c r="H3204" s="99" t="n">
        <f aca="false">MAX(0,G3204-G3507)</f>
        <v>0</v>
      </c>
      <c r="I3204" s="99" t="n">
        <f aca="false">MAX(0,H3204-H3507)</f>
        <v>0</v>
      </c>
      <c r="J3204" s="99" t="n">
        <f aca="false">MAX(0,I3204-I3507)</f>
        <v>0</v>
      </c>
      <c r="K3204" s="99" t="n">
        <f aca="false">MAX(0,J3204-J3507)</f>
        <v>0</v>
      </c>
      <c r="L3204" s="99" t="n">
        <f aca="false">MAX(0,K3204-K3507)</f>
        <v>0</v>
      </c>
      <c r="M3204" s="99" t="n">
        <f aca="false">MAX(0,L3204-L3507)</f>
        <v>0</v>
      </c>
    </row>
    <row r="3205" customFormat="false" ht="15" hidden="false" customHeight="false" outlineLevel="0" collapsed="false">
      <c r="B3205" s="108" t="n">
        <f aca="false">'Loan Tape'!$A171</f>
        <v>0</v>
      </c>
      <c r="C3205" s="71" t="n">
        <f aca="false">IF(Fin_Flag="Yes",'Loan Tape'!$BC171,0)</f>
        <v>0</v>
      </c>
      <c r="D3205" s="71" t="n">
        <f aca="false">MAX(0,C3205-C3508)</f>
        <v>0</v>
      </c>
      <c r="E3205" s="71" t="n">
        <f aca="false">MAX(0,D3205-D3508)</f>
        <v>0</v>
      </c>
      <c r="F3205" s="71" t="n">
        <f aca="false">MAX(0,E3205-E3508)</f>
        <v>0</v>
      </c>
      <c r="G3205" s="71" t="n">
        <f aca="false">MAX(0,F3205-F3508)</f>
        <v>0</v>
      </c>
      <c r="H3205" s="71" t="n">
        <f aca="false">MAX(0,G3205-G3508)</f>
        <v>0</v>
      </c>
      <c r="I3205" s="71" t="n">
        <f aca="false">MAX(0,H3205-H3508)</f>
        <v>0</v>
      </c>
      <c r="J3205" s="71" t="n">
        <f aca="false">MAX(0,I3205-I3508)</f>
        <v>0</v>
      </c>
      <c r="K3205" s="71" t="n">
        <f aca="false">MAX(0,J3205-J3508)</f>
        <v>0</v>
      </c>
      <c r="L3205" s="71" t="n">
        <f aca="false">MAX(0,K3205-K3508)</f>
        <v>0</v>
      </c>
      <c r="M3205" s="71" t="n">
        <f aca="false">MAX(0,L3205-L3508)</f>
        <v>0</v>
      </c>
    </row>
    <row r="3206" customFormat="false" ht="15" hidden="false" customHeight="false" outlineLevel="0" collapsed="false">
      <c r="B3206" s="102" t="n">
        <f aca="false">'Loan Tape'!$A172</f>
        <v>0</v>
      </c>
      <c r="C3206" s="99" t="n">
        <f aca="false">IF(Fin_Flag="Yes",'Loan Tape'!$BC172,0)</f>
        <v>0</v>
      </c>
      <c r="D3206" s="99" t="n">
        <f aca="false">MAX(0,C3206-C3509)</f>
        <v>0</v>
      </c>
      <c r="E3206" s="99" t="n">
        <f aca="false">MAX(0,D3206-D3509)</f>
        <v>0</v>
      </c>
      <c r="F3206" s="99" t="n">
        <f aca="false">MAX(0,E3206-E3509)</f>
        <v>0</v>
      </c>
      <c r="G3206" s="99" t="n">
        <f aca="false">MAX(0,F3206-F3509)</f>
        <v>0</v>
      </c>
      <c r="H3206" s="99" t="n">
        <f aca="false">MAX(0,G3206-G3509)</f>
        <v>0</v>
      </c>
      <c r="I3206" s="99" t="n">
        <f aca="false">MAX(0,H3206-H3509)</f>
        <v>0</v>
      </c>
      <c r="J3206" s="99" t="n">
        <f aca="false">MAX(0,I3206-I3509)</f>
        <v>0</v>
      </c>
      <c r="K3206" s="99" t="n">
        <f aca="false">MAX(0,J3206-J3509)</f>
        <v>0</v>
      </c>
      <c r="L3206" s="99" t="n">
        <f aca="false">MAX(0,K3206-K3509)</f>
        <v>0</v>
      </c>
      <c r="M3206" s="99" t="n">
        <f aca="false">MAX(0,L3206-L3509)</f>
        <v>0</v>
      </c>
    </row>
    <row r="3207" customFormat="false" ht="15" hidden="false" customHeight="false" outlineLevel="0" collapsed="false">
      <c r="B3207" s="108" t="n">
        <f aca="false">'Loan Tape'!$A173</f>
        <v>0</v>
      </c>
      <c r="C3207" s="71" t="n">
        <f aca="false">IF(Fin_Flag="Yes",'Loan Tape'!$BC173,0)</f>
        <v>0</v>
      </c>
      <c r="D3207" s="71" t="n">
        <f aca="false">MAX(0,C3207-C3510)</f>
        <v>0</v>
      </c>
      <c r="E3207" s="71" t="n">
        <f aca="false">MAX(0,D3207-D3510)</f>
        <v>0</v>
      </c>
      <c r="F3207" s="71" t="n">
        <f aca="false">MAX(0,E3207-E3510)</f>
        <v>0</v>
      </c>
      <c r="G3207" s="71" t="n">
        <f aca="false">MAX(0,F3207-F3510)</f>
        <v>0</v>
      </c>
      <c r="H3207" s="71" t="n">
        <f aca="false">MAX(0,G3207-G3510)</f>
        <v>0</v>
      </c>
      <c r="I3207" s="71" t="n">
        <f aca="false">MAX(0,H3207-H3510)</f>
        <v>0</v>
      </c>
      <c r="J3207" s="71" t="n">
        <f aca="false">MAX(0,I3207-I3510)</f>
        <v>0</v>
      </c>
      <c r="K3207" s="71" t="n">
        <f aca="false">MAX(0,J3207-J3510)</f>
        <v>0</v>
      </c>
      <c r="L3207" s="71" t="n">
        <f aca="false">MAX(0,K3207-K3510)</f>
        <v>0</v>
      </c>
      <c r="M3207" s="71" t="n">
        <f aca="false">MAX(0,L3207-L3510)</f>
        <v>0</v>
      </c>
    </row>
    <row r="3208" customFormat="false" ht="15" hidden="false" customHeight="false" outlineLevel="0" collapsed="false">
      <c r="B3208" s="102" t="n">
        <f aca="false">'Loan Tape'!$A174</f>
        <v>0</v>
      </c>
      <c r="C3208" s="99" t="n">
        <f aca="false">IF(Fin_Flag="Yes",'Loan Tape'!$BC174,0)</f>
        <v>0</v>
      </c>
      <c r="D3208" s="99" t="n">
        <f aca="false">MAX(0,C3208-C3511)</f>
        <v>0</v>
      </c>
      <c r="E3208" s="99" t="n">
        <f aca="false">MAX(0,D3208-D3511)</f>
        <v>0</v>
      </c>
      <c r="F3208" s="99" t="n">
        <f aca="false">MAX(0,E3208-E3511)</f>
        <v>0</v>
      </c>
      <c r="G3208" s="99" t="n">
        <f aca="false">MAX(0,F3208-F3511)</f>
        <v>0</v>
      </c>
      <c r="H3208" s="99" t="n">
        <f aca="false">MAX(0,G3208-G3511)</f>
        <v>0</v>
      </c>
      <c r="I3208" s="99" t="n">
        <f aca="false">MAX(0,H3208-H3511)</f>
        <v>0</v>
      </c>
      <c r="J3208" s="99" t="n">
        <f aca="false">MAX(0,I3208-I3511)</f>
        <v>0</v>
      </c>
      <c r="K3208" s="99" t="n">
        <f aca="false">MAX(0,J3208-J3511)</f>
        <v>0</v>
      </c>
      <c r="L3208" s="99" t="n">
        <f aca="false">MAX(0,K3208-K3511)</f>
        <v>0</v>
      </c>
      <c r="M3208" s="99" t="n">
        <f aca="false">MAX(0,L3208-L3511)</f>
        <v>0</v>
      </c>
    </row>
    <row r="3209" customFormat="false" ht="15" hidden="false" customHeight="false" outlineLevel="0" collapsed="false">
      <c r="B3209" s="108" t="n">
        <f aca="false">'Loan Tape'!$A175</f>
        <v>0</v>
      </c>
      <c r="C3209" s="71" t="n">
        <f aca="false">IF(Fin_Flag="Yes",'Loan Tape'!$BC175,0)</f>
        <v>0</v>
      </c>
      <c r="D3209" s="71" t="n">
        <f aca="false">MAX(0,C3209-C3512)</f>
        <v>0</v>
      </c>
      <c r="E3209" s="71" t="n">
        <f aca="false">MAX(0,D3209-D3512)</f>
        <v>0</v>
      </c>
      <c r="F3209" s="71" t="n">
        <f aca="false">MAX(0,E3209-E3512)</f>
        <v>0</v>
      </c>
      <c r="G3209" s="71" t="n">
        <f aca="false">MAX(0,F3209-F3512)</f>
        <v>0</v>
      </c>
      <c r="H3209" s="71" t="n">
        <f aca="false">MAX(0,G3209-G3512)</f>
        <v>0</v>
      </c>
      <c r="I3209" s="71" t="n">
        <f aca="false">MAX(0,H3209-H3512)</f>
        <v>0</v>
      </c>
      <c r="J3209" s="71" t="n">
        <f aca="false">MAX(0,I3209-I3512)</f>
        <v>0</v>
      </c>
      <c r="K3209" s="71" t="n">
        <f aca="false">MAX(0,J3209-J3512)</f>
        <v>0</v>
      </c>
      <c r="L3209" s="71" t="n">
        <f aca="false">MAX(0,K3209-K3512)</f>
        <v>0</v>
      </c>
      <c r="M3209" s="71" t="n">
        <f aca="false">MAX(0,L3209-L3512)</f>
        <v>0</v>
      </c>
    </row>
    <row r="3210" customFormat="false" ht="15" hidden="false" customHeight="false" outlineLevel="0" collapsed="false">
      <c r="B3210" s="102" t="n">
        <f aca="false">'Loan Tape'!$A176</f>
        <v>0</v>
      </c>
      <c r="C3210" s="99" t="n">
        <f aca="false">IF(Fin_Flag="Yes",'Loan Tape'!$BC176,0)</f>
        <v>0</v>
      </c>
      <c r="D3210" s="99" t="n">
        <f aca="false">MAX(0,C3210-C3513)</f>
        <v>0</v>
      </c>
      <c r="E3210" s="99" t="n">
        <f aca="false">MAX(0,D3210-D3513)</f>
        <v>0</v>
      </c>
      <c r="F3210" s="99" t="n">
        <f aca="false">MAX(0,E3210-E3513)</f>
        <v>0</v>
      </c>
      <c r="G3210" s="99" t="n">
        <f aca="false">MAX(0,F3210-F3513)</f>
        <v>0</v>
      </c>
      <c r="H3210" s="99" t="n">
        <f aca="false">MAX(0,G3210-G3513)</f>
        <v>0</v>
      </c>
      <c r="I3210" s="99" t="n">
        <f aca="false">MAX(0,H3210-H3513)</f>
        <v>0</v>
      </c>
      <c r="J3210" s="99" t="n">
        <f aca="false">MAX(0,I3210-I3513)</f>
        <v>0</v>
      </c>
      <c r="K3210" s="99" t="n">
        <f aca="false">MAX(0,J3210-J3513)</f>
        <v>0</v>
      </c>
      <c r="L3210" s="99" t="n">
        <f aca="false">MAX(0,K3210-K3513)</f>
        <v>0</v>
      </c>
      <c r="M3210" s="99" t="n">
        <f aca="false">MAX(0,L3210-L3513)</f>
        <v>0</v>
      </c>
    </row>
    <row r="3211" customFormat="false" ht="15" hidden="false" customHeight="false" outlineLevel="0" collapsed="false">
      <c r="B3211" s="108" t="n">
        <f aca="false">'Loan Tape'!$A177</f>
        <v>0</v>
      </c>
      <c r="C3211" s="71" t="n">
        <f aca="false">IF(Fin_Flag="Yes",'Loan Tape'!$BC177,0)</f>
        <v>0</v>
      </c>
      <c r="D3211" s="71" t="n">
        <f aca="false">MAX(0,C3211-C3514)</f>
        <v>0</v>
      </c>
      <c r="E3211" s="71" t="n">
        <f aca="false">MAX(0,D3211-D3514)</f>
        <v>0</v>
      </c>
      <c r="F3211" s="71" t="n">
        <f aca="false">MAX(0,E3211-E3514)</f>
        <v>0</v>
      </c>
      <c r="G3211" s="71" t="n">
        <f aca="false">MAX(0,F3211-F3514)</f>
        <v>0</v>
      </c>
      <c r="H3211" s="71" t="n">
        <f aca="false">MAX(0,G3211-G3514)</f>
        <v>0</v>
      </c>
      <c r="I3211" s="71" t="n">
        <f aca="false">MAX(0,H3211-H3514)</f>
        <v>0</v>
      </c>
      <c r="J3211" s="71" t="n">
        <f aca="false">MAX(0,I3211-I3514)</f>
        <v>0</v>
      </c>
      <c r="K3211" s="71" t="n">
        <f aca="false">MAX(0,J3211-J3514)</f>
        <v>0</v>
      </c>
      <c r="L3211" s="71" t="n">
        <f aca="false">MAX(0,K3211-K3514)</f>
        <v>0</v>
      </c>
      <c r="M3211" s="71" t="n">
        <f aca="false">MAX(0,L3211-L3514)</f>
        <v>0</v>
      </c>
    </row>
    <row r="3212" customFormat="false" ht="15" hidden="false" customHeight="false" outlineLevel="0" collapsed="false">
      <c r="B3212" s="102" t="n">
        <f aca="false">'Loan Tape'!$A178</f>
        <v>0</v>
      </c>
      <c r="C3212" s="99" t="n">
        <f aca="false">IF(Fin_Flag="Yes",'Loan Tape'!$BC178,0)</f>
        <v>0</v>
      </c>
      <c r="D3212" s="99" t="n">
        <f aca="false">MAX(0,C3212-C3515)</f>
        <v>0</v>
      </c>
      <c r="E3212" s="99" t="n">
        <f aca="false">MAX(0,D3212-D3515)</f>
        <v>0</v>
      </c>
      <c r="F3212" s="99" t="n">
        <f aca="false">MAX(0,E3212-E3515)</f>
        <v>0</v>
      </c>
      <c r="G3212" s="99" t="n">
        <f aca="false">MAX(0,F3212-F3515)</f>
        <v>0</v>
      </c>
      <c r="H3212" s="99" t="n">
        <f aca="false">MAX(0,G3212-G3515)</f>
        <v>0</v>
      </c>
      <c r="I3212" s="99" t="n">
        <f aca="false">MAX(0,H3212-H3515)</f>
        <v>0</v>
      </c>
      <c r="J3212" s="99" t="n">
        <f aca="false">MAX(0,I3212-I3515)</f>
        <v>0</v>
      </c>
      <c r="K3212" s="99" t="n">
        <f aca="false">MAX(0,J3212-J3515)</f>
        <v>0</v>
      </c>
      <c r="L3212" s="99" t="n">
        <f aca="false">MAX(0,K3212-K3515)</f>
        <v>0</v>
      </c>
      <c r="M3212" s="99" t="n">
        <f aca="false">MAX(0,L3212-L3515)</f>
        <v>0</v>
      </c>
    </row>
    <row r="3213" customFormat="false" ht="15" hidden="false" customHeight="false" outlineLevel="0" collapsed="false">
      <c r="B3213" s="108" t="n">
        <f aca="false">'Loan Tape'!$A179</f>
        <v>0</v>
      </c>
      <c r="C3213" s="71" t="n">
        <f aca="false">IF(Fin_Flag="Yes",'Loan Tape'!$BC179,0)</f>
        <v>0</v>
      </c>
      <c r="D3213" s="71" t="n">
        <f aca="false">MAX(0,C3213-C3516)</f>
        <v>0</v>
      </c>
      <c r="E3213" s="71" t="n">
        <f aca="false">MAX(0,D3213-D3516)</f>
        <v>0</v>
      </c>
      <c r="F3213" s="71" t="n">
        <f aca="false">MAX(0,E3213-E3516)</f>
        <v>0</v>
      </c>
      <c r="G3213" s="71" t="n">
        <f aca="false">MAX(0,F3213-F3516)</f>
        <v>0</v>
      </c>
      <c r="H3213" s="71" t="n">
        <f aca="false">MAX(0,G3213-G3516)</f>
        <v>0</v>
      </c>
      <c r="I3213" s="71" t="n">
        <f aca="false">MAX(0,H3213-H3516)</f>
        <v>0</v>
      </c>
      <c r="J3213" s="71" t="n">
        <f aca="false">MAX(0,I3213-I3516)</f>
        <v>0</v>
      </c>
      <c r="K3213" s="71" t="n">
        <f aca="false">MAX(0,J3213-J3516)</f>
        <v>0</v>
      </c>
      <c r="L3213" s="71" t="n">
        <f aca="false">MAX(0,K3213-K3516)</f>
        <v>0</v>
      </c>
      <c r="M3213" s="71" t="n">
        <f aca="false">MAX(0,L3213-L3516)</f>
        <v>0</v>
      </c>
    </row>
    <row r="3214" customFormat="false" ht="15" hidden="false" customHeight="false" outlineLevel="0" collapsed="false">
      <c r="B3214" s="102" t="n">
        <f aca="false">'Loan Tape'!$A180</f>
        <v>0</v>
      </c>
      <c r="C3214" s="99" t="n">
        <f aca="false">IF(Fin_Flag="Yes",'Loan Tape'!$BC180,0)</f>
        <v>0</v>
      </c>
      <c r="D3214" s="99" t="n">
        <f aca="false">MAX(0,C3214-C3517)</f>
        <v>0</v>
      </c>
      <c r="E3214" s="99" t="n">
        <f aca="false">MAX(0,D3214-D3517)</f>
        <v>0</v>
      </c>
      <c r="F3214" s="99" t="n">
        <f aca="false">MAX(0,E3214-E3517)</f>
        <v>0</v>
      </c>
      <c r="G3214" s="99" t="n">
        <f aca="false">MAX(0,F3214-F3517)</f>
        <v>0</v>
      </c>
      <c r="H3214" s="99" t="n">
        <f aca="false">MAX(0,G3214-G3517)</f>
        <v>0</v>
      </c>
      <c r="I3214" s="99" t="n">
        <f aca="false">MAX(0,H3214-H3517)</f>
        <v>0</v>
      </c>
      <c r="J3214" s="99" t="n">
        <f aca="false">MAX(0,I3214-I3517)</f>
        <v>0</v>
      </c>
      <c r="K3214" s="99" t="n">
        <f aca="false">MAX(0,J3214-J3517)</f>
        <v>0</v>
      </c>
      <c r="L3214" s="99" t="n">
        <f aca="false">MAX(0,K3214-K3517)</f>
        <v>0</v>
      </c>
      <c r="M3214" s="99" t="n">
        <f aca="false">MAX(0,L3214-L3517)</f>
        <v>0</v>
      </c>
    </row>
    <row r="3215" customFormat="false" ht="15" hidden="false" customHeight="false" outlineLevel="0" collapsed="false">
      <c r="B3215" s="108" t="n">
        <f aca="false">'Loan Tape'!$A181</f>
        <v>0</v>
      </c>
      <c r="C3215" s="71" t="n">
        <f aca="false">IF(Fin_Flag="Yes",'Loan Tape'!$BC181,0)</f>
        <v>0</v>
      </c>
      <c r="D3215" s="71" t="n">
        <f aca="false">MAX(0,C3215-C3518)</f>
        <v>0</v>
      </c>
      <c r="E3215" s="71" t="n">
        <f aca="false">MAX(0,D3215-D3518)</f>
        <v>0</v>
      </c>
      <c r="F3215" s="71" t="n">
        <f aca="false">MAX(0,E3215-E3518)</f>
        <v>0</v>
      </c>
      <c r="G3215" s="71" t="n">
        <f aca="false">MAX(0,F3215-F3518)</f>
        <v>0</v>
      </c>
      <c r="H3215" s="71" t="n">
        <f aca="false">MAX(0,G3215-G3518)</f>
        <v>0</v>
      </c>
      <c r="I3215" s="71" t="n">
        <f aca="false">MAX(0,H3215-H3518)</f>
        <v>0</v>
      </c>
      <c r="J3215" s="71" t="n">
        <f aca="false">MAX(0,I3215-I3518)</f>
        <v>0</v>
      </c>
      <c r="K3215" s="71" t="n">
        <f aca="false">MAX(0,J3215-J3518)</f>
        <v>0</v>
      </c>
      <c r="L3215" s="71" t="n">
        <f aca="false">MAX(0,K3215-K3518)</f>
        <v>0</v>
      </c>
      <c r="M3215" s="71" t="n">
        <f aca="false">MAX(0,L3215-L3518)</f>
        <v>0</v>
      </c>
    </row>
    <row r="3216" customFormat="false" ht="15" hidden="false" customHeight="false" outlineLevel="0" collapsed="false">
      <c r="B3216" s="102" t="n">
        <f aca="false">'Loan Tape'!$A182</f>
        <v>0</v>
      </c>
      <c r="C3216" s="99" t="n">
        <f aca="false">IF(Fin_Flag="Yes",'Loan Tape'!$BC182,0)</f>
        <v>0</v>
      </c>
      <c r="D3216" s="99" t="n">
        <f aca="false">MAX(0,C3216-C3519)</f>
        <v>0</v>
      </c>
      <c r="E3216" s="99" t="n">
        <f aca="false">MAX(0,D3216-D3519)</f>
        <v>0</v>
      </c>
      <c r="F3216" s="99" t="n">
        <f aca="false">MAX(0,E3216-E3519)</f>
        <v>0</v>
      </c>
      <c r="G3216" s="99" t="n">
        <f aca="false">MAX(0,F3216-F3519)</f>
        <v>0</v>
      </c>
      <c r="H3216" s="99" t="n">
        <f aca="false">MAX(0,G3216-G3519)</f>
        <v>0</v>
      </c>
      <c r="I3216" s="99" t="n">
        <f aca="false">MAX(0,H3216-H3519)</f>
        <v>0</v>
      </c>
      <c r="J3216" s="99" t="n">
        <f aca="false">MAX(0,I3216-I3519)</f>
        <v>0</v>
      </c>
      <c r="K3216" s="99" t="n">
        <f aca="false">MAX(0,J3216-J3519)</f>
        <v>0</v>
      </c>
      <c r="L3216" s="99" t="n">
        <f aca="false">MAX(0,K3216-K3519)</f>
        <v>0</v>
      </c>
      <c r="M3216" s="99" t="n">
        <f aca="false">MAX(0,L3216-L3519)</f>
        <v>0</v>
      </c>
    </row>
    <row r="3217" customFormat="false" ht="15" hidden="false" customHeight="false" outlineLevel="0" collapsed="false">
      <c r="B3217" s="108" t="n">
        <f aca="false">'Loan Tape'!$A183</f>
        <v>0</v>
      </c>
      <c r="C3217" s="71" t="n">
        <f aca="false">IF(Fin_Flag="Yes",'Loan Tape'!$BC183,0)</f>
        <v>0</v>
      </c>
      <c r="D3217" s="71" t="n">
        <f aca="false">MAX(0,C3217-C3520)</f>
        <v>0</v>
      </c>
      <c r="E3217" s="71" t="n">
        <f aca="false">MAX(0,D3217-D3520)</f>
        <v>0</v>
      </c>
      <c r="F3217" s="71" t="n">
        <f aca="false">MAX(0,E3217-E3520)</f>
        <v>0</v>
      </c>
      <c r="G3217" s="71" t="n">
        <f aca="false">MAX(0,F3217-F3520)</f>
        <v>0</v>
      </c>
      <c r="H3217" s="71" t="n">
        <f aca="false">MAX(0,G3217-G3520)</f>
        <v>0</v>
      </c>
      <c r="I3217" s="71" t="n">
        <f aca="false">MAX(0,H3217-H3520)</f>
        <v>0</v>
      </c>
      <c r="J3217" s="71" t="n">
        <f aca="false">MAX(0,I3217-I3520)</f>
        <v>0</v>
      </c>
      <c r="K3217" s="71" t="n">
        <f aca="false">MAX(0,J3217-J3520)</f>
        <v>0</v>
      </c>
      <c r="L3217" s="71" t="n">
        <f aca="false">MAX(0,K3217-K3520)</f>
        <v>0</v>
      </c>
      <c r="M3217" s="71" t="n">
        <f aca="false">MAX(0,L3217-L3520)</f>
        <v>0</v>
      </c>
    </row>
    <row r="3218" customFormat="false" ht="15" hidden="false" customHeight="false" outlineLevel="0" collapsed="false">
      <c r="B3218" s="102" t="n">
        <f aca="false">'Loan Tape'!$A184</f>
        <v>0</v>
      </c>
      <c r="C3218" s="99" t="n">
        <f aca="false">IF(Fin_Flag="Yes",'Loan Tape'!$BC184,0)</f>
        <v>0</v>
      </c>
      <c r="D3218" s="99" t="n">
        <f aca="false">MAX(0,C3218-C3521)</f>
        <v>0</v>
      </c>
      <c r="E3218" s="99" t="n">
        <f aca="false">MAX(0,D3218-D3521)</f>
        <v>0</v>
      </c>
      <c r="F3218" s="99" t="n">
        <f aca="false">MAX(0,E3218-E3521)</f>
        <v>0</v>
      </c>
      <c r="G3218" s="99" t="n">
        <f aca="false">MAX(0,F3218-F3521)</f>
        <v>0</v>
      </c>
      <c r="H3218" s="99" t="n">
        <f aca="false">MAX(0,G3218-G3521)</f>
        <v>0</v>
      </c>
      <c r="I3218" s="99" t="n">
        <f aca="false">MAX(0,H3218-H3521)</f>
        <v>0</v>
      </c>
      <c r="J3218" s="99" t="n">
        <f aca="false">MAX(0,I3218-I3521)</f>
        <v>0</v>
      </c>
      <c r="K3218" s="99" t="n">
        <f aca="false">MAX(0,J3218-J3521)</f>
        <v>0</v>
      </c>
      <c r="L3218" s="99" t="n">
        <f aca="false">MAX(0,K3218-K3521)</f>
        <v>0</v>
      </c>
      <c r="M3218" s="99" t="n">
        <f aca="false">MAX(0,L3218-L3521)</f>
        <v>0</v>
      </c>
    </row>
    <row r="3219" customFormat="false" ht="15" hidden="false" customHeight="false" outlineLevel="0" collapsed="false">
      <c r="B3219" s="108" t="n">
        <f aca="false">'Loan Tape'!$A185</f>
        <v>0</v>
      </c>
      <c r="C3219" s="71" t="n">
        <f aca="false">IF(Fin_Flag="Yes",'Loan Tape'!$BC185,0)</f>
        <v>0</v>
      </c>
      <c r="D3219" s="71" t="n">
        <f aca="false">MAX(0,C3219-C3522)</f>
        <v>0</v>
      </c>
      <c r="E3219" s="71" t="n">
        <f aca="false">MAX(0,D3219-D3522)</f>
        <v>0</v>
      </c>
      <c r="F3219" s="71" t="n">
        <f aca="false">MAX(0,E3219-E3522)</f>
        <v>0</v>
      </c>
      <c r="G3219" s="71" t="n">
        <f aca="false">MAX(0,F3219-F3522)</f>
        <v>0</v>
      </c>
      <c r="H3219" s="71" t="n">
        <f aca="false">MAX(0,G3219-G3522)</f>
        <v>0</v>
      </c>
      <c r="I3219" s="71" t="n">
        <f aca="false">MAX(0,H3219-H3522)</f>
        <v>0</v>
      </c>
      <c r="J3219" s="71" t="n">
        <f aca="false">MAX(0,I3219-I3522)</f>
        <v>0</v>
      </c>
      <c r="K3219" s="71" t="n">
        <f aca="false">MAX(0,J3219-J3522)</f>
        <v>0</v>
      </c>
      <c r="L3219" s="71" t="n">
        <f aca="false">MAX(0,K3219-K3522)</f>
        <v>0</v>
      </c>
      <c r="M3219" s="71" t="n">
        <f aca="false">MAX(0,L3219-L3522)</f>
        <v>0</v>
      </c>
    </row>
    <row r="3220" customFormat="false" ht="15" hidden="false" customHeight="false" outlineLevel="0" collapsed="false">
      <c r="B3220" s="102" t="n">
        <f aca="false">'Loan Tape'!$A186</f>
        <v>0</v>
      </c>
      <c r="C3220" s="99" t="n">
        <f aca="false">IF(Fin_Flag="Yes",'Loan Tape'!$BC186,0)</f>
        <v>0</v>
      </c>
      <c r="D3220" s="99" t="n">
        <f aca="false">MAX(0,C3220-C3523)</f>
        <v>0</v>
      </c>
      <c r="E3220" s="99" t="n">
        <f aca="false">MAX(0,D3220-D3523)</f>
        <v>0</v>
      </c>
      <c r="F3220" s="99" t="n">
        <f aca="false">MAX(0,E3220-E3523)</f>
        <v>0</v>
      </c>
      <c r="G3220" s="99" t="n">
        <f aca="false">MAX(0,F3220-F3523)</f>
        <v>0</v>
      </c>
      <c r="H3220" s="99" t="n">
        <f aca="false">MAX(0,G3220-G3523)</f>
        <v>0</v>
      </c>
      <c r="I3220" s="99" t="n">
        <f aca="false">MAX(0,H3220-H3523)</f>
        <v>0</v>
      </c>
      <c r="J3220" s="99" t="n">
        <f aca="false">MAX(0,I3220-I3523)</f>
        <v>0</v>
      </c>
      <c r="K3220" s="99" t="n">
        <f aca="false">MAX(0,J3220-J3523)</f>
        <v>0</v>
      </c>
      <c r="L3220" s="99" t="n">
        <f aca="false">MAX(0,K3220-K3523)</f>
        <v>0</v>
      </c>
      <c r="M3220" s="99" t="n">
        <f aca="false">MAX(0,L3220-L3523)</f>
        <v>0</v>
      </c>
    </row>
    <row r="3221" customFormat="false" ht="15" hidden="false" customHeight="false" outlineLevel="0" collapsed="false">
      <c r="B3221" s="108" t="n">
        <f aca="false">'Loan Tape'!$A187</f>
        <v>0</v>
      </c>
      <c r="C3221" s="71" t="n">
        <f aca="false">IF(Fin_Flag="Yes",'Loan Tape'!$BC187,0)</f>
        <v>0</v>
      </c>
      <c r="D3221" s="71" t="n">
        <f aca="false">MAX(0,C3221-C3524)</f>
        <v>0</v>
      </c>
      <c r="E3221" s="71" t="n">
        <f aca="false">MAX(0,D3221-D3524)</f>
        <v>0</v>
      </c>
      <c r="F3221" s="71" t="n">
        <f aca="false">MAX(0,E3221-E3524)</f>
        <v>0</v>
      </c>
      <c r="G3221" s="71" t="n">
        <f aca="false">MAX(0,F3221-F3524)</f>
        <v>0</v>
      </c>
      <c r="H3221" s="71" t="n">
        <f aca="false">MAX(0,G3221-G3524)</f>
        <v>0</v>
      </c>
      <c r="I3221" s="71" t="n">
        <f aca="false">MAX(0,H3221-H3524)</f>
        <v>0</v>
      </c>
      <c r="J3221" s="71" t="n">
        <f aca="false">MAX(0,I3221-I3524)</f>
        <v>0</v>
      </c>
      <c r="K3221" s="71" t="n">
        <f aca="false">MAX(0,J3221-J3524)</f>
        <v>0</v>
      </c>
      <c r="L3221" s="71" t="n">
        <f aca="false">MAX(0,K3221-K3524)</f>
        <v>0</v>
      </c>
      <c r="M3221" s="71" t="n">
        <f aca="false">MAX(0,L3221-L3524)</f>
        <v>0</v>
      </c>
    </row>
    <row r="3222" customFormat="false" ht="15" hidden="false" customHeight="false" outlineLevel="0" collapsed="false">
      <c r="B3222" s="102" t="n">
        <f aca="false">'Loan Tape'!$A188</f>
        <v>0</v>
      </c>
      <c r="C3222" s="99" t="n">
        <f aca="false">IF(Fin_Flag="Yes",'Loan Tape'!$BC188,0)</f>
        <v>0</v>
      </c>
      <c r="D3222" s="99" t="n">
        <f aca="false">MAX(0,C3222-C3525)</f>
        <v>0</v>
      </c>
      <c r="E3222" s="99" t="n">
        <f aca="false">MAX(0,D3222-D3525)</f>
        <v>0</v>
      </c>
      <c r="F3222" s="99" t="n">
        <f aca="false">MAX(0,E3222-E3525)</f>
        <v>0</v>
      </c>
      <c r="G3222" s="99" t="n">
        <f aca="false">MAX(0,F3222-F3525)</f>
        <v>0</v>
      </c>
      <c r="H3222" s="99" t="n">
        <f aca="false">MAX(0,G3222-G3525)</f>
        <v>0</v>
      </c>
      <c r="I3222" s="99" t="n">
        <f aca="false">MAX(0,H3222-H3525)</f>
        <v>0</v>
      </c>
      <c r="J3222" s="99" t="n">
        <f aca="false">MAX(0,I3222-I3525)</f>
        <v>0</v>
      </c>
      <c r="K3222" s="99" t="n">
        <f aca="false">MAX(0,J3222-J3525)</f>
        <v>0</v>
      </c>
      <c r="L3222" s="99" t="n">
        <f aca="false">MAX(0,K3222-K3525)</f>
        <v>0</v>
      </c>
      <c r="M3222" s="99" t="n">
        <f aca="false">MAX(0,L3222-L3525)</f>
        <v>0</v>
      </c>
    </row>
    <row r="3223" customFormat="false" ht="15" hidden="false" customHeight="false" outlineLevel="0" collapsed="false">
      <c r="B3223" s="108" t="n">
        <f aca="false">'Loan Tape'!$A189</f>
        <v>0</v>
      </c>
      <c r="C3223" s="71" t="n">
        <f aca="false">IF(Fin_Flag="Yes",'Loan Tape'!$BC189,0)</f>
        <v>0</v>
      </c>
      <c r="D3223" s="71" t="n">
        <f aca="false">MAX(0,C3223-C3526)</f>
        <v>0</v>
      </c>
      <c r="E3223" s="71" t="n">
        <f aca="false">MAX(0,D3223-D3526)</f>
        <v>0</v>
      </c>
      <c r="F3223" s="71" t="n">
        <f aca="false">MAX(0,E3223-E3526)</f>
        <v>0</v>
      </c>
      <c r="G3223" s="71" t="n">
        <f aca="false">MAX(0,F3223-F3526)</f>
        <v>0</v>
      </c>
      <c r="H3223" s="71" t="n">
        <f aca="false">MAX(0,G3223-G3526)</f>
        <v>0</v>
      </c>
      <c r="I3223" s="71" t="n">
        <f aca="false">MAX(0,H3223-H3526)</f>
        <v>0</v>
      </c>
      <c r="J3223" s="71" t="n">
        <f aca="false">MAX(0,I3223-I3526)</f>
        <v>0</v>
      </c>
      <c r="K3223" s="71" t="n">
        <f aca="false">MAX(0,J3223-J3526)</f>
        <v>0</v>
      </c>
      <c r="L3223" s="71" t="n">
        <f aca="false">MAX(0,K3223-K3526)</f>
        <v>0</v>
      </c>
      <c r="M3223" s="71" t="n">
        <f aca="false">MAX(0,L3223-L3526)</f>
        <v>0</v>
      </c>
    </row>
    <row r="3224" customFormat="false" ht="15" hidden="false" customHeight="false" outlineLevel="0" collapsed="false">
      <c r="B3224" s="102" t="n">
        <f aca="false">'Loan Tape'!$A190</f>
        <v>0</v>
      </c>
      <c r="C3224" s="99" t="n">
        <f aca="false">IF(Fin_Flag="Yes",'Loan Tape'!$BC190,0)</f>
        <v>0</v>
      </c>
      <c r="D3224" s="99" t="n">
        <f aca="false">MAX(0,C3224-C3527)</f>
        <v>0</v>
      </c>
      <c r="E3224" s="99" t="n">
        <f aca="false">MAX(0,D3224-D3527)</f>
        <v>0</v>
      </c>
      <c r="F3224" s="99" t="n">
        <f aca="false">MAX(0,E3224-E3527)</f>
        <v>0</v>
      </c>
      <c r="G3224" s="99" t="n">
        <f aca="false">MAX(0,F3224-F3527)</f>
        <v>0</v>
      </c>
      <c r="H3224" s="99" t="n">
        <f aca="false">MAX(0,G3224-G3527)</f>
        <v>0</v>
      </c>
      <c r="I3224" s="99" t="n">
        <f aca="false">MAX(0,H3224-H3527)</f>
        <v>0</v>
      </c>
      <c r="J3224" s="99" t="n">
        <f aca="false">MAX(0,I3224-I3527)</f>
        <v>0</v>
      </c>
      <c r="K3224" s="99" t="n">
        <f aca="false">MAX(0,J3224-J3527)</f>
        <v>0</v>
      </c>
      <c r="L3224" s="99" t="n">
        <f aca="false">MAX(0,K3224-K3527)</f>
        <v>0</v>
      </c>
      <c r="M3224" s="99" t="n">
        <f aca="false">MAX(0,L3224-L3527)</f>
        <v>0</v>
      </c>
    </row>
    <row r="3225" customFormat="false" ht="15" hidden="false" customHeight="false" outlineLevel="0" collapsed="false">
      <c r="B3225" s="108" t="n">
        <f aca="false">'Loan Tape'!$A191</f>
        <v>0</v>
      </c>
      <c r="C3225" s="71" t="n">
        <f aca="false">IF(Fin_Flag="Yes",'Loan Tape'!$BC191,0)</f>
        <v>0</v>
      </c>
      <c r="D3225" s="71" t="n">
        <f aca="false">MAX(0,C3225-C3528)</f>
        <v>0</v>
      </c>
      <c r="E3225" s="71" t="n">
        <f aca="false">MAX(0,D3225-D3528)</f>
        <v>0</v>
      </c>
      <c r="F3225" s="71" t="n">
        <f aca="false">MAX(0,E3225-E3528)</f>
        <v>0</v>
      </c>
      <c r="G3225" s="71" t="n">
        <f aca="false">MAX(0,F3225-F3528)</f>
        <v>0</v>
      </c>
      <c r="H3225" s="71" t="n">
        <f aca="false">MAX(0,G3225-G3528)</f>
        <v>0</v>
      </c>
      <c r="I3225" s="71" t="n">
        <f aca="false">MAX(0,H3225-H3528)</f>
        <v>0</v>
      </c>
      <c r="J3225" s="71" t="n">
        <f aca="false">MAX(0,I3225-I3528)</f>
        <v>0</v>
      </c>
      <c r="K3225" s="71" t="n">
        <f aca="false">MAX(0,J3225-J3528)</f>
        <v>0</v>
      </c>
      <c r="L3225" s="71" t="n">
        <f aca="false">MAX(0,K3225-K3528)</f>
        <v>0</v>
      </c>
      <c r="M3225" s="71" t="n">
        <f aca="false">MAX(0,L3225-L3528)</f>
        <v>0</v>
      </c>
    </row>
    <row r="3226" customFormat="false" ht="15" hidden="false" customHeight="false" outlineLevel="0" collapsed="false">
      <c r="B3226" s="102" t="n">
        <f aca="false">'Loan Tape'!$A192</f>
        <v>0</v>
      </c>
      <c r="C3226" s="99" t="n">
        <f aca="false">IF(Fin_Flag="Yes",'Loan Tape'!$BC192,0)</f>
        <v>0</v>
      </c>
      <c r="D3226" s="99" t="n">
        <f aca="false">MAX(0,C3226-C3529)</f>
        <v>0</v>
      </c>
      <c r="E3226" s="99" t="n">
        <f aca="false">MAX(0,D3226-D3529)</f>
        <v>0</v>
      </c>
      <c r="F3226" s="99" t="n">
        <f aca="false">MAX(0,E3226-E3529)</f>
        <v>0</v>
      </c>
      <c r="G3226" s="99" t="n">
        <f aca="false">MAX(0,F3226-F3529)</f>
        <v>0</v>
      </c>
      <c r="H3226" s="99" t="n">
        <f aca="false">MAX(0,G3226-G3529)</f>
        <v>0</v>
      </c>
      <c r="I3226" s="99" t="n">
        <f aca="false">MAX(0,H3226-H3529)</f>
        <v>0</v>
      </c>
      <c r="J3226" s="99" t="n">
        <f aca="false">MAX(0,I3226-I3529)</f>
        <v>0</v>
      </c>
      <c r="K3226" s="99" t="n">
        <f aca="false">MAX(0,J3226-J3529)</f>
        <v>0</v>
      </c>
      <c r="L3226" s="99" t="n">
        <f aca="false">MAX(0,K3226-K3529)</f>
        <v>0</v>
      </c>
      <c r="M3226" s="99" t="n">
        <f aca="false">MAX(0,L3226-L3529)</f>
        <v>0</v>
      </c>
    </row>
    <row r="3227" customFormat="false" ht="15" hidden="false" customHeight="false" outlineLevel="0" collapsed="false">
      <c r="B3227" s="108" t="n">
        <f aca="false">'Loan Tape'!$A193</f>
        <v>0</v>
      </c>
      <c r="C3227" s="71" t="n">
        <f aca="false">IF(Fin_Flag="Yes",'Loan Tape'!$BC193,0)</f>
        <v>0</v>
      </c>
      <c r="D3227" s="71" t="n">
        <f aca="false">MAX(0,C3227-C3530)</f>
        <v>0</v>
      </c>
      <c r="E3227" s="71" t="n">
        <f aca="false">MAX(0,D3227-D3530)</f>
        <v>0</v>
      </c>
      <c r="F3227" s="71" t="n">
        <f aca="false">MAX(0,E3227-E3530)</f>
        <v>0</v>
      </c>
      <c r="G3227" s="71" t="n">
        <f aca="false">MAX(0,F3227-F3530)</f>
        <v>0</v>
      </c>
      <c r="H3227" s="71" t="n">
        <f aca="false">MAX(0,G3227-G3530)</f>
        <v>0</v>
      </c>
      <c r="I3227" s="71" t="n">
        <f aca="false">MAX(0,H3227-H3530)</f>
        <v>0</v>
      </c>
      <c r="J3227" s="71" t="n">
        <f aca="false">MAX(0,I3227-I3530)</f>
        <v>0</v>
      </c>
      <c r="K3227" s="71" t="n">
        <f aca="false">MAX(0,J3227-J3530)</f>
        <v>0</v>
      </c>
      <c r="L3227" s="71" t="n">
        <f aca="false">MAX(0,K3227-K3530)</f>
        <v>0</v>
      </c>
      <c r="M3227" s="71" t="n">
        <f aca="false">MAX(0,L3227-L3530)</f>
        <v>0</v>
      </c>
    </row>
    <row r="3228" customFormat="false" ht="15" hidden="false" customHeight="false" outlineLevel="0" collapsed="false">
      <c r="B3228" s="102" t="n">
        <f aca="false">'Loan Tape'!$A194</f>
        <v>0</v>
      </c>
      <c r="C3228" s="99" t="n">
        <f aca="false">IF(Fin_Flag="Yes",'Loan Tape'!$BC194,0)</f>
        <v>0</v>
      </c>
      <c r="D3228" s="99" t="n">
        <f aca="false">MAX(0,C3228-C3531)</f>
        <v>0</v>
      </c>
      <c r="E3228" s="99" t="n">
        <f aca="false">MAX(0,D3228-D3531)</f>
        <v>0</v>
      </c>
      <c r="F3228" s="99" t="n">
        <f aca="false">MAX(0,E3228-E3531)</f>
        <v>0</v>
      </c>
      <c r="G3228" s="99" t="n">
        <f aca="false">MAX(0,F3228-F3531)</f>
        <v>0</v>
      </c>
      <c r="H3228" s="99" t="n">
        <f aca="false">MAX(0,G3228-G3531)</f>
        <v>0</v>
      </c>
      <c r="I3228" s="99" t="n">
        <f aca="false">MAX(0,H3228-H3531)</f>
        <v>0</v>
      </c>
      <c r="J3228" s="99" t="n">
        <f aca="false">MAX(0,I3228-I3531)</f>
        <v>0</v>
      </c>
      <c r="K3228" s="99" t="n">
        <f aca="false">MAX(0,J3228-J3531)</f>
        <v>0</v>
      </c>
      <c r="L3228" s="99" t="n">
        <f aca="false">MAX(0,K3228-K3531)</f>
        <v>0</v>
      </c>
      <c r="M3228" s="99" t="n">
        <f aca="false">MAX(0,L3228-L3531)</f>
        <v>0</v>
      </c>
    </row>
    <row r="3229" customFormat="false" ht="15" hidden="false" customHeight="false" outlineLevel="0" collapsed="false">
      <c r="B3229" s="108" t="n">
        <f aca="false">'Loan Tape'!$A195</f>
        <v>0</v>
      </c>
      <c r="C3229" s="71" t="n">
        <f aca="false">IF(Fin_Flag="Yes",'Loan Tape'!$BC195,0)</f>
        <v>0</v>
      </c>
      <c r="D3229" s="71" t="n">
        <f aca="false">MAX(0,C3229-C3532)</f>
        <v>0</v>
      </c>
      <c r="E3229" s="71" t="n">
        <f aca="false">MAX(0,D3229-D3532)</f>
        <v>0</v>
      </c>
      <c r="F3229" s="71" t="n">
        <f aca="false">MAX(0,E3229-E3532)</f>
        <v>0</v>
      </c>
      <c r="G3229" s="71" t="n">
        <f aca="false">MAX(0,F3229-F3532)</f>
        <v>0</v>
      </c>
      <c r="H3229" s="71" t="n">
        <f aca="false">MAX(0,G3229-G3532)</f>
        <v>0</v>
      </c>
      <c r="I3229" s="71" t="n">
        <f aca="false">MAX(0,H3229-H3532)</f>
        <v>0</v>
      </c>
      <c r="J3229" s="71" t="n">
        <f aca="false">MAX(0,I3229-I3532)</f>
        <v>0</v>
      </c>
      <c r="K3229" s="71" t="n">
        <f aca="false">MAX(0,J3229-J3532)</f>
        <v>0</v>
      </c>
      <c r="L3229" s="71" t="n">
        <f aca="false">MAX(0,K3229-K3532)</f>
        <v>0</v>
      </c>
      <c r="M3229" s="71" t="n">
        <f aca="false">MAX(0,L3229-L3532)</f>
        <v>0</v>
      </c>
    </row>
    <row r="3230" customFormat="false" ht="15" hidden="false" customHeight="false" outlineLevel="0" collapsed="false">
      <c r="B3230" s="102" t="n">
        <f aca="false">'Loan Tape'!$A196</f>
        <v>0</v>
      </c>
      <c r="C3230" s="99" t="n">
        <f aca="false">IF(Fin_Flag="Yes",'Loan Tape'!$BC196,0)</f>
        <v>0</v>
      </c>
      <c r="D3230" s="99" t="n">
        <f aca="false">MAX(0,C3230-C3533)</f>
        <v>0</v>
      </c>
      <c r="E3230" s="99" t="n">
        <f aca="false">MAX(0,D3230-D3533)</f>
        <v>0</v>
      </c>
      <c r="F3230" s="99" t="n">
        <f aca="false">MAX(0,E3230-E3533)</f>
        <v>0</v>
      </c>
      <c r="G3230" s="99" t="n">
        <f aca="false">MAX(0,F3230-F3533)</f>
        <v>0</v>
      </c>
      <c r="H3230" s="99" t="n">
        <f aca="false">MAX(0,G3230-G3533)</f>
        <v>0</v>
      </c>
      <c r="I3230" s="99" t="n">
        <f aca="false">MAX(0,H3230-H3533)</f>
        <v>0</v>
      </c>
      <c r="J3230" s="99" t="n">
        <f aca="false">MAX(0,I3230-I3533)</f>
        <v>0</v>
      </c>
      <c r="K3230" s="99" t="n">
        <f aca="false">MAX(0,J3230-J3533)</f>
        <v>0</v>
      </c>
      <c r="L3230" s="99" t="n">
        <f aca="false">MAX(0,K3230-K3533)</f>
        <v>0</v>
      </c>
      <c r="M3230" s="99" t="n">
        <f aca="false">MAX(0,L3230-L3533)</f>
        <v>0</v>
      </c>
    </row>
    <row r="3231" customFormat="false" ht="15" hidden="false" customHeight="false" outlineLevel="0" collapsed="false">
      <c r="B3231" s="108" t="n">
        <f aca="false">'Loan Tape'!$A197</f>
        <v>0</v>
      </c>
      <c r="C3231" s="71" t="n">
        <f aca="false">IF(Fin_Flag="Yes",'Loan Tape'!$BC197,0)</f>
        <v>0</v>
      </c>
      <c r="D3231" s="71" t="n">
        <f aca="false">MAX(0,C3231-C3534)</f>
        <v>0</v>
      </c>
      <c r="E3231" s="71" t="n">
        <f aca="false">MAX(0,D3231-D3534)</f>
        <v>0</v>
      </c>
      <c r="F3231" s="71" t="n">
        <f aca="false">MAX(0,E3231-E3534)</f>
        <v>0</v>
      </c>
      <c r="G3231" s="71" t="n">
        <f aca="false">MAX(0,F3231-F3534)</f>
        <v>0</v>
      </c>
      <c r="H3231" s="71" t="n">
        <f aca="false">MAX(0,G3231-G3534)</f>
        <v>0</v>
      </c>
      <c r="I3231" s="71" t="n">
        <f aca="false">MAX(0,H3231-H3534)</f>
        <v>0</v>
      </c>
      <c r="J3231" s="71" t="n">
        <f aca="false">MAX(0,I3231-I3534)</f>
        <v>0</v>
      </c>
      <c r="K3231" s="71" t="n">
        <f aca="false">MAX(0,J3231-J3534)</f>
        <v>0</v>
      </c>
      <c r="L3231" s="71" t="n">
        <f aca="false">MAX(0,K3231-K3534)</f>
        <v>0</v>
      </c>
      <c r="M3231" s="71" t="n">
        <f aca="false">MAX(0,L3231-L3534)</f>
        <v>0</v>
      </c>
    </row>
    <row r="3232" customFormat="false" ht="15" hidden="false" customHeight="false" outlineLevel="0" collapsed="false">
      <c r="B3232" s="102" t="n">
        <f aca="false">'Loan Tape'!$A198</f>
        <v>0</v>
      </c>
      <c r="C3232" s="99" t="n">
        <f aca="false">IF(Fin_Flag="Yes",'Loan Tape'!$BC198,0)</f>
        <v>0</v>
      </c>
      <c r="D3232" s="99" t="n">
        <f aca="false">MAX(0,C3232-C3535)</f>
        <v>0</v>
      </c>
      <c r="E3232" s="99" t="n">
        <f aca="false">MAX(0,D3232-D3535)</f>
        <v>0</v>
      </c>
      <c r="F3232" s="99" t="n">
        <f aca="false">MAX(0,E3232-E3535)</f>
        <v>0</v>
      </c>
      <c r="G3232" s="99" t="n">
        <f aca="false">MAX(0,F3232-F3535)</f>
        <v>0</v>
      </c>
      <c r="H3232" s="99" t="n">
        <f aca="false">MAX(0,G3232-G3535)</f>
        <v>0</v>
      </c>
      <c r="I3232" s="99" t="n">
        <f aca="false">MAX(0,H3232-H3535)</f>
        <v>0</v>
      </c>
      <c r="J3232" s="99" t="n">
        <f aca="false">MAX(0,I3232-I3535)</f>
        <v>0</v>
      </c>
      <c r="K3232" s="99" t="n">
        <f aca="false">MAX(0,J3232-J3535)</f>
        <v>0</v>
      </c>
      <c r="L3232" s="99" t="n">
        <f aca="false">MAX(0,K3232-K3535)</f>
        <v>0</v>
      </c>
      <c r="M3232" s="99" t="n">
        <f aca="false">MAX(0,L3232-L3535)</f>
        <v>0</v>
      </c>
    </row>
    <row r="3233" customFormat="false" ht="15" hidden="false" customHeight="false" outlineLevel="0" collapsed="false">
      <c r="B3233" s="108" t="n">
        <f aca="false">'Loan Tape'!$A199</f>
        <v>0</v>
      </c>
      <c r="C3233" s="71" t="n">
        <f aca="false">IF(Fin_Flag="Yes",'Loan Tape'!$BC199,0)</f>
        <v>0</v>
      </c>
      <c r="D3233" s="71" t="n">
        <f aca="false">MAX(0,C3233-C3536)</f>
        <v>0</v>
      </c>
      <c r="E3233" s="71" t="n">
        <f aca="false">MAX(0,D3233-D3536)</f>
        <v>0</v>
      </c>
      <c r="F3233" s="71" t="n">
        <f aca="false">MAX(0,E3233-E3536)</f>
        <v>0</v>
      </c>
      <c r="G3233" s="71" t="n">
        <f aca="false">MAX(0,F3233-F3536)</f>
        <v>0</v>
      </c>
      <c r="H3233" s="71" t="n">
        <f aca="false">MAX(0,G3233-G3536)</f>
        <v>0</v>
      </c>
      <c r="I3233" s="71" t="n">
        <f aca="false">MAX(0,H3233-H3536)</f>
        <v>0</v>
      </c>
      <c r="J3233" s="71" t="n">
        <f aca="false">MAX(0,I3233-I3536)</f>
        <v>0</v>
      </c>
      <c r="K3233" s="71" t="n">
        <f aca="false">MAX(0,J3233-J3536)</f>
        <v>0</v>
      </c>
      <c r="L3233" s="71" t="n">
        <f aca="false">MAX(0,K3233-K3536)</f>
        <v>0</v>
      </c>
      <c r="M3233" s="71" t="n">
        <f aca="false">MAX(0,L3233-L3536)</f>
        <v>0</v>
      </c>
    </row>
    <row r="3234" customFormat="false" ht="15" hidden="false" customHeight="false" outlineLevel="0" collapsed="false">
      <c r="B3234" s="102" t="n">
        <f aca="false">'Loan Tape'!$A200</f>
        <v>0</v>
      </c>
      <c r="C3234" s="99" t="n">
        <f aca="false">IF(Fin_Flag="Yes",'Loan Tape'!$BC200,0)</f>
        <v>0</v>
      </c>
      <c r="D3234" s="99" t="n">
        <f aca="false">MAX(0,C3234-C3537)</f>
        <v>0</v>
      </c>
      <c r="E3234" s="99" t="n">
        <f aca="false">MAX(0,D3234-D3537)</f>
        <v>0</v>
      </c>
      <c r="F3234" s="99" t="n">
        <f aca="false">MAX(0,E3234-E3537)</f>
        <v>0</v>
      </c>
      <c r="G3234" s="99" t="n">
        <f aca="false">MAX(0,F3234-F3537)</f>
        <v>0</v>
      </c>
      <c r="H3234" s="99" t="n">
        <f aca="false">MAX(0,G3234-G3537)</f>
        <v>0</v>
      </c>
      <c r="I3234" s="99" t="n">
        <f aca="false">MAX(0,H3234-H3537)</f>
        <v>0</v>
      </c>
      <c r="J3234" s="99" t="n">
        <f aca="false">MAX(0,I3234-I3537)</f>
        <v>0</v>
      </c>
      <c r="K3234" s="99" t="n">
        <f aca="false">MAX(0,J3234-J3537)</f>
        <v>0</v>
      </c>
      <c r="L3234" s="99" t="n">
        <f aca="false">MAX(0,K3234-K3537)</f>
        <v>0</v>
      </c>
      <c r="M3234" s="99" t="n">
        <f aca="false">MAX(0,L3234-L3537)</f>
        <v>0</v>
      </c>
    </row>
    <row r="3235" customFormat="false" ht="15" hidden="false" customHeight="false" outlineLevel="0" collapsed="false">
      <c r="B3235" s="108" t="n">
        <f aca="false">'Loan Tape'!$A201</f>
        <v>0</v>
      </c>
      <c r="C3235" s="71" t="n">
        <f aca="false">IF(Fin_Flag="Yes",'Loan Tape'!$BC201,0)</f>
        <v>0</v>
      </c>
      <c r="D3235" s="71" t="n">
        <f aca="false">MAX(0,C3235-C3538)</f>
        <v>0</v>
      </c>
      <c r="E3235" s="71" t="n">
        <f aca="false">MAX(0,D3235-D3538)</f>
        <v>0</v>
      </c>
      <c r="F3235" s="71" t="n">
        <f aca="false">MAX(0,E3235-E3538)</f>
        <v>0</v>
      </c>
      <c r="G3235" s="71" t="n">
        <f aca="false">MAX(0,F3235-F3538)</f>
        <v>0</v>
      </c>
      <c r="H3235" s="71" t="n">
        <f aca="false">MAX(0,G3235-G3538)</f>
        <v>0</v>
      </c>
      <c r="I3235" s="71" t="n">
        <f aca="false">MAX(0,H3235-H3538)</f>
        <v>0</v>
      </c>
      <c r="J3235" s="71" t="n">
        <f aca="false">MAX(0,I3235-I3538)</f>
        <v>0</v>
      </c>
      <c r="K3235" s="71" t="n">
        <f aca="false">MAX(0,J3235-J3538)</f>
        <v>0</v>
      </c>
      <c r="L3235" s="71" t="n">
        <f aca="false">MAX(0,K3235-K3538)</f>
        <v>0</v>
      </c>
      <c r="M3235" s="71" t="n">
        <f aca="false">MAX(0,L3235-L3538)</f>
        <v>0</v>
      </c>
    </row>
    <row r="3236" customFormat="false" ht="15" hidden="false" customHeight="false" outlineLevel="0" collapsed="false">
      <c r="B3236" s="102" t="n">
        <f aca="false">'Loan Tape'!$A202</f>
        <v>0</v>
      </c>
      <c r="C3236" s="99" t="n">
        <f aca="false">IF(Fin_Flag="Yes",'Loan Tape'!$BC202,0)</f>
        <v>0</v>
      </c>
      <c r="D3236" s="99" t="n">
        <f aca="false">MAX(0,C3236-C3539)</f>
        <v>0</v>
      </c>
      <c r="E3236" s="99" t="n">
        <f aca="false">MAX(0,D3236-D3539)</f>
        <v>0</v>
      </c>
      <c r="F3236" s="99" t="n">
        <f aca="false">MAX(0,E3236-E3539)</f>
        <v>0</v>
      </c>
      <c r="G3236" s="99" t="n">
        <f aca="false">MAX(0,F3236-F3539)</f>
        <v>0</v>
      </c>
      <c r="H3236" s="99" t="n">
        <f aca="false">MAX(0,G3236-G3539)</f>
        <v>0</v>
      </c>
      <c r="I3236" s="99" t="n">
        <f aca="false">MAX(0,H3236-H3539)</f>
        <v>0</v>
      </c>
      <c r="J3236" s="99" t="n">
        <f aca="false">MAX(0,I3236-I3539)</f>
        <v>0</v>
      </c>
      <c r="K3236" s="99" t="n">
        <f aca="false">MAX(0,J3236-J3539)</f>
        <v>0</v>
      </c>
      <c r="L3236" s="99" t="n">
        <f aca="false">MAX(0,K3236-K3539)</f>
        <v>0</v>
      </c>
      <c r="M3236" s="99" t="n">
        <f aca="false">MAX(0,L3236-L3539)</f>
        <v>0</v>
      </c>
    </row>
    <row r="3237" customFormat="false" ht="15" hidden="false" customHeight="false" outlineLevel="0" collapsed="false">
      <c r="B3237" s="108" t="n">
        <f aca="false">'Loan Tape'!$A203</f>
        <v>0</v>
      </c>
      <c r="C3237" s="71" t="n">
        <f aca="false">IF(Fin_Flag="Yes",'Loan Tape'!$BC203,0)</f>
        <v>0</v>
      </c>
      <c r="D3237" s="71" t="n">
        <f aca="false">MAX(0,C3237-C3540)</f>
        <v>0</v>
      </c>
      <c r="E3237" s="71" t="n">
        <f aca="false">MAX(0,D3237-D3540)</f>
        <v>0</v>
      </c>
      <c r="F3237" s="71" t="n">
        <f aca="false">MAX(0,E3237-E3540)</f>
        <v>0</v>
      </c>
      <c r="G3237" s="71" t="n">
        <f aca="false">MAX(0,F3237-F3540)</f>
        <v>0</v>
      </c>
      <c r="H3237" s="71" t="n">
        <f aca="false">MAX(0,G3237-G3540)</f>
        <v>0</v>
      </c>
      <c r="I3237" s="71" t="n">
        <f aca="false">MAX(0,H3237-H3540)</f>
        <v>0</v>
      </c>
      <c r="J3237" s="71" t="n">
        <f aca="false">MAX(0,I3237-I3540)</f>
        <v>0</v>
      </c>
      <c r="K3237" s="71" t="n">
        <f aca="false">MAX(0,J3237-J3540)</f>
        <v>0</v>
      </c>
      <c r="L3237" s="71" t="n">
        <f aca="false">MAX(0,K3237-K3540)</f>
        <v>0</v>
      </c>
      <c r="M3237" s="71" t="n">
        <f aca="false">MAX(0,L3237-L3540)</f>
        <v>0</v>
      </c>
    </row>
    <row r="3238" customFormat="false" ht="15" hidden="false" customHeight="false" outlineLevel="0" collapsed="false">
      <c r="B3238" s="102" t="n">
        <f aca="false">'Loan Tape'!$A204</f>
        <v>0</v>
      </c>
      <c r="C3238" s="99" t="n">
        <f aca="false">IF(Fin_Flag="Yes",'Loan Tape'!$BC204,0)</f>
        <v>0</v>
      </c>
      <c r="D3238" s="99" t="n">
        <f aca="false">MAX(0,C3238-C3541)</f>
        <v>0</v>
      </c>
      <c r="E3238" s="99" t="n">
        <f aca="false">MAX(0,D3238-D3541)</f>
        <v>0</v>
      </c>
      <c r="F3238" s="99" t="n">
        <f aca="false">MAX(0,E3238-E3541)</f>
        <v>0</v>
      </c>
      <c r="G3238" s="99" t="n">
        <f aca="false">MAX(0,F3238-F3541)</f>
        <v>0</v>
      </c>
      <c r="H3238" s="99" t="n">
        <f aca="false">MAX(0,G3238-G3541)</f>
        <v>0</v>
      </c>
      <c r="I3238" s="99" t="n">
        <f aca="false">MAX(0,H3238-H3541)</f>
        <v>0</v>
      </c>
      <c r="J3238" s="99" t="n">
        <f aca="false">MAX(0,I3238-I3541)</f>
        <v>0</v>
      </c>
      <c r="K3238" s="99" t="n">
        <f aca="false">MAX(0,J3238-J3541)</f>
        <v>0</v>
      </c>
      <c r="L3238" s="99" t="n">
        <f aca="false">MAX(0,K3238-K3541)</f>
        <v>0</v>
      </c>
      <c r="M3238" s="99" t="n">
        <f aca="false">MAX(0,L3238-L3541)</f>
        <v>0</v>
      </c>
    </row>
    <row r="3239" customFormat="false" ht="15" hidden="false" customHeight="false" outlineLevel="0" collapsed="false">
      <c r="B3239" s="108" t="n">
        <f aca="false">'Loan Tape'!$A205</f>
        <v>0</v>
      </c>
      <c r="C3239" s="71" t="n">
        <f aca="false">IF(Fin_Flag="Yes",'Loan Tape'!$BC205,0)</f>
        <v>0</v>
      </c>
      <c r="D3239" s="71" t="n">
        <f aca="false">MAX(0,C3239-C3542)</f>
        <v>0</v>
      </c>
      <c r="E3239" s="71" t="n">
        <f aca="false">MAX(0,D3239-D3542)</f>
        <v>0</v>
      </c>
      <c r="F3239" s="71" t="n">
        <f aca="false">MAX(0,E3239-E3542)</f>
        <v>0</v>
      </c>
      <c r="G3239" s="71" t="n">
        <f aca="false">MAX(0,F3239-F3542)</f>
        <v>0</v>
      </c>
      <c r="H3239" s="71" t="n">
        <f aca="false">MAX(0,G3239-G3542)</f>
        <v>0</v>
      </c>
      <c r="I3239" s="71" t="n">
        <f aca="false">MAX(0,H3239-H3542)</f>
        <v>0</v>
      </c>
      <c r="J3239" s="71" t="n">
        <f aca="false">MAX(0,I3239-I3542)</f>
        <v>0</v>
      </c>
      <c r="K3239" s="71" t="n">
        <f aca="false">MAX(0,J3239-J3542)</f>
        <v>0</v>
      </c>
      <c r="L3239" s="71" t="n">
        <f aca="false">MAX(0,K3239-K3542)</f>
        <v>0</v>
      </c>
      <c r="M3239" s="71" t="n">
        <f aca="false">MAX(0,L3239-L3542)</f>
        <v>0</v>
      </c>
    </row>
    <row r="3240" customFormat="false" ht="15" hidden="false" customHeight="false" outlineLevel="0" collapsed="false">
      <c r="B3240" s="102" t="n">
        <f aca="false">'Loan Tape'!$A206</f>
        <v>0</v>
      </c>
      <c r="C3240" s="99" t="n">
        <f aca="false">IF(Fin_Flag="Yes",'Loan Tape'!$BC206,0)</f>
        <v>0</v>
      </c>
      <c r="D3240" s="99" t="n">
        <f aca="false">MAX(0,C3240-C3543)</f>
        <v>0</v>
      </c>
      <c r="E3240" s="99" t="n">
        <f aca="false">MAX(0,D3240-D3543)</f>
        <v>0</v>
      </c>
      <c r="F3240" s="99" t="n">
        <f aca="false">MAX(0,E3240-E3543)</f>
        <v>0</v>
      </c>
      <c r="G3240" s="99" t="n">
        <f aca="false">MAX(0,F3240-F3543)</f>
        <v>0</v>
      </c>
      <c r="H3240" s="99" t="n">
        <f aca="false">MAX(0,G3240-G3543)</f>
        <v>0</v>
      </c>
      <c r="I3240" s="99" t="n">
        <f aca="false">MAX(0,H3240-H3543)</f>
        <v>0</v>
      </c>
      <c r="J3240" s="99" t="n">
        <f aca="false">MAX(0,I3240-I3543)</f>
        <v>0</v>
      </c>
      <c r="K3240" s="99" t="n">
        <f aca="false">MAX(0,J3240-J3543)</f>
        <v>0</v>
      </c>
      <c r="L3240" s="99" t="n">
        <f aca="false">MAX(0,K3240-K3543)</f>
        <v>0</v>
      </c>
      <c r="M3240" s="99" t="n">
        <f aca="false">MAX(0,L3240-L3543)</f>
        <v>0</v>
      </c>
    </row>
    <row r="3241" customFormat="false" ht="15" hidden="false" customHeight="false" outlineLevel="0" collapsed="false">
      <c r="B3241" s="108" t="n">
        <f aca="false">'Loan Tape'!$A207</f>
        <v>0</v>
      </c>
      <c r="C3241" s="71" t="n">
        <f aca="false">IF(Fin_Flag="Yes",'Loan Tape'!$BC207,0)</f>
        <v>0</v>
      </c>
      <c r="D3241" s="71" t="n">
        <f aca="false">MAX(0,C3241-C3544)</f>
        <v>0</v>
      </c>
      <c r="E3241" s="71" t="n">
        <f aca="false">MAX(0,D3241-D3544)</f>
        <v>0</v>
      </c>
      <c r="F3241" s="71" t="n">
        <f aca="false">MAX(0,E3241-E3544)</f>
        <v>0</v>
      </c>
      <c r="G3241" s="71" t="n">
        <f aca="false">MAX(0,F3241-F3544)</f>
        <v>0</v>
      </c>
      <c r="H3241" s="71" t="n">
        <f aca="false">MAX(0,G3241-G3544)</f>
        <v>0</v>
      </c>
      <c r="I3241" s="71" t="n">
        <f aca="false">MAX(0,H3241-H3544)</f>
        <v>0</v>
      </c>
      <c r="J3241" s="71" t="n">
        <f aca="false">MAX(0,I3241-I3544)</f>
        <v>0</v>
      </c>
      <c r="K3241" s="71" t="n">
        <f aca="false">MAX(0,J3241-J3544)</f>
        <v>0</v>
      </c>
      <c r="L3241" s="71" t="n">
        <f aca="false">MAX(0,K3241-K3544)</f>
        <v>0</v>
      </c>
      <c r="M3241" s="71" t="n">
        <f aca="false">MAX(0,L3241-L3544)</f>
        <v>0</v>
      </c>
    </row>
    <row r="3242" customFormat="false" ht="15" hidden="false" customHeight="false" outlineLevel="0" collapsed="false">
      <c r="B3242" s="102" t="n">
        <f aca="false">'Loan Tape'!$A208</f>
        <v>0</v>
      </c>
      <c r="C3242" s="99" t="n">
        <f aca="false">IF(Fin_Flag="Yes",'Loan Tape'!$BC208,0)</f>
        <v>0</v>
      </c>
      <c r="D3242" s="99" t="n">
        <f aca="false">MAX(0,C3242-C3545)</f>
        <v>0</v>
      </c>
      <c r="E3242" s="99" t="n">
        <f aca="false">MAX(0,D3242-D3545)</f>
        <v>0</v>
      </c>
      <c r="F3242" s="99" t="n">
        <f aca="false">MAX(0,E3242-E3545)</f>
        <v>0</v>
      </c>
      <c r="G3242" s="99" t="n">
        <f aca="false">MAX(0,F3242-F3545)</f>
        <v>0</v>
      </c>
      <c r="H3242" s="99" t="n">
        <f aca="false">MAX(0,G3242-G3545)</f>
        <v>0</v>
      </c>
      <c r="I3242" s="99" t="n">
        <f aca="false">MAX(0,H3242-H3545)</f>
        <v>0</v>
      </c>
      <c r="J3242" s="99" t="n">
        <f aca="false">MAX(0,I3242-I3545)</f>
        <v>0</v>
      </c>
      <c r="K3242" s="99" t="n">
        <f aca="false">MAX(0,J3242-J3545)</f>
        <v>0</v>
      </c>
      <c r="L3242" s="99" t="n">
        <f aca="false">MAX(0,K3242-K3545)</f>
        <v>0</v>
      </c>
      <c r="M3242" s="99" t="n">
        <f aca="false">MAX(0,L3242-L3545)</f>
        <v>0</v>
      </c>
    </row>
    <row r="3243" customFormat="false" ht="15" hidden="false" customHeight="false" outlineLevel="0" collapsed="false">
      <c r="B3243" s="108" t="n">
        <f aca="false">'Loan Tape'!$A209</f>
        <v>0</v>
      </c>
      <c r="C3243" s="71" t="n">
        <f aca="false">IF(Fin_Flag="Yes",'Loan Tape'!$BC209,0)</f>
        <v>0</v>
      </c>
      <c r="D3243" s="71" t="n">
        <f aca="false">MAX(0,C3243-C3546)</f>
        <v>0</v>
      </c>
      <c r="E3243" s="71" t="n">
        <f aca="false">MAX(0,D3243-D3546)</f>
        <v>0</v>
      </c>
      <c r="F3243" s="71" t="n">
        <f aca="false">MAX(0,E3243-E3546)</f>
        <v>0</v>
      </c>
      <c r="G3243" s="71" t="n">
        <f aca="false">MAX(0,F3243-F3546)</f>
        <v>0</v>
      </c>
      <c r="H3243" s="71" t="n">
        <f aca="false">MAX(0,G3243-G3546)</f>
        <v>0</v>
      </c>
      <c r="I3243" s="71" t="n">
        <f aca="false">MAX(0,H3243-H3546)</f>
        <v>0</v>
      </c>
      <c r="J3243" s="71" t="n">
        <f aca="false">MAX(0,I3243-I3546)</f>
        <v>0</v>
      </c>
      <c r="K3243" s="71" t="n">
        <f aca="false">MAX(0,J3243-J3546)</f>
        <v>0</v>
      </c>
      <c r="L3243" s="71" t="n">
        <f aca="false">MAX(0,K3243-K3546)</f>
        <v>0</v>
      </c>
      <c r="M3243" s="71" t="n">
        <f aca="false">MAX(0,L3243-L3546)</f>
        <v>0</v>
      </c>
    </row>
    <row r="3244" customFormat="false" ht="15" hidden="false" customHeight="false" outlineLevel="0" collapsed="false">
      <c r="B3244" s="102" t="n">
        <f aca="false">'Loan Tape'!$A210</f>
        <v>0</v>
      </c>
      <c r="C3244" s="99" t="n">
        <f aca="false">IF(Fin_Flag="Yes",'Loan Tape'!$BC210,0)</f>
        <v>0</v>
      </c>
      <c r="D3244" s="99" t="n">
        <f aca="false">MAX(0,C3244-C3547)</f>
        <v>0</v>
      </c>
      <c r="E3244" s="99" t="n">
        <f aca="false">MAX(0,D3244-D3547)</f>
        <v>0</v>
      </c>
      <c r="F3244" s="99" t="n">
        <f aca="false">MAX(0,E3244-E3547)</f>
        <v>0</v>
      </c>
      <c r="G3244" s="99" t="n">
        <f aca="false">MAX(0,F3244-F3547)</f>
        <v>0</v>
      </c>
      <c r="H3244" s="99" t="n">
        <f aca="false">MAX(0,G3244-G3547)</f>
        <v>0</v>
      </c>
      <c r="I3244" s="99" t="n">
        <f aca="false">MAX(0,H3244-H3547)</f>
        <v>0</v>
      </c>
      <c r="J3244" s="99" t="n">
        <f aca="false">MAX(0,I3244-I3547)</f>
        <v>0</v>
      </c>
      <c r="K3244" s="99" t="n">
        <f aca="false">MAX(0,J3244-J3547)</f>
        <v>0</v>
      </c>
      <c r="L3244" s="99" t="n">
        <f aca="false">MAX(0,K3244-K3547)</f>
        <v>0</v>
      </c>
      <c r="M3244" s="99" t="n">
        <f aca="false">MAX(0,L3244-L3547)</f>
        <v>0</v>
      </c>
    </row>
    <row r="3245" customFormat="false" ht="15" hidden="false" customHeight="false" outlineLevel="0" collapsed="false">
      <c r="B3245" s="108" t="n">
        <f aca="false">'Loan Tape'!$A211</f>
        <v>0</v>
      </c>
      <c r="C3245" s="71" t="n">
        <f aca="false">IF(Fin_Flag="Yes",'Loan Tape'!$BC211,0)</f>
        <v>0</v>
      </c>
      <c r="D3245" s="71" t="n">
        <f aca="false">MAX(0,C3245-C3548)</f>
        <v>0</v>
      </c>
      <c r="E3245" s="71" t="n">
        <f aca="false">MAX(0,D3245-D3548)</f>
        <v>0</v>
      </c>
      <c r="F3245" s="71" t="n">
        <f aca="false">MAX(0,E3245-E3548)</f>
        <v>0</v>
      </c>
      <c r="G3245" s="71" t="n">
        <f aca="false">MAX(0,F3245-F3548)</f>
        <v>0</v>
      </c>
      <c r="H3245" s="71" t="n">
        <f aca="false">MAX(0,G3245-G3548)</f>
        <v>0</v>
      </c>
      <c r="I3245" s="71" t="n">
        <f aca="false">MAX(0,H3245-H3548)</f>
        <v>0</v>
      </c>
      <c r="J3245" s="71" t="n">
        <f aca="false">MAX(0,I3245-I3548)</f>
        <v>0</v>
      </c>
      <c r="K3245" s="71" t="n">
        <f aca="false">MAX(0,J3245-J3548)</f>
        <v>0</v>
      </c>
      <c r="L3245" s="71" t="n">
        <f aca="false">MAX(0,K3245-K3548)</f>
        <v>0</v>
      </c>
      <c r="M3245" s="71" t="n">
        <f aca="false">MAX(0,L3245-L3548)</f>
        <v>0</v>
      </c>
    </row>
    <row r="3246" customFormat="false" ht="15" hidden="false" customHeight="false" outlineLevel="0" collapsed="false">
      <c r="B3246" s="102" t="n">
        <f aca="false">'Loan Tape'!$A212</f>
        <v>0</v>
      </c>
      <c r="C3246" s="99" t="n">
        <f aca="false">IF(Fin_Flag="Yes",'Loan Tape'!$BC212,0)</f>
        <v>0</v>
      </c>
      <c r="D3246" s="99" t="n">
        <f aca="false">MAX(0,C3246-C3549)</f>
        <v>0</v>
      </c>
      <c r="E3246" s="99" t="n">
        <f aca="false">MAX(0,D3246-D3549)</f>
        <v>0</v>
      </c>
      <c r="F3246" s="99" t="n">
        <f aca="false">MAX(0,E3246-E3549)</f>
        <v>0</v>
      </c>
      <c r="G3246" s="99" t="n">
        <f aca="false">MAX(0,F3246-F3549)</f>
        <v>0</v>
      </c>
      <c r="H3246" s="99" t="n">
        <f aca="false">MAX(0,G3246-G3549)</f>
        <v>0</v>
      </c>
      <c r="I3246" s="99" t="n">
        <f aca="false">MAX(0,H3246-H3549)</f>
        <v>0</v>
      </c>
      <c r="J3246" s="99" t="n">
        <f aca="false">MAX(0,I3246-I3549)</f>
        <v>0</v>
      </c>
      <c r="K3246" s="99" t="n">
        <f aca="false">MAX(0,J3246-J3549)</f>
        <v>0</v>
      </c>
      <c r="L3246" s="99" t="n">
        <f aca="false">MAX(0,K3246-K3549)</f>
        <v>0</v>
      </c>
      <c r="M3246" s="99" t="n">
        <f aca="false">MAX(0,L3246-L3549)</f>
        <v>0</v>
      </c>
    </row>
    <row r="3247" customFormat="false" ht="15" hidden="false" customHeight="false" outlineLevel="0" collapsed="false">
      <c r="B3247" s="108" t="n">
        <f aca="false">'Loan Tape'!$A213</f>
        <v>0</v>
      </c>
      <c r="C3247" s="71" t="n">
        <f aca="false">IF(Fin_Flag="Yes",'Loan Tape'!$BC213,0)</f>
        <v>0</v>
      </c>
      <c r="D3247" s="71" t="n">
        <f aca="false">MAX(0,C3247-C3550)</f>
        <v>0</v>
      </c>
      <c r="E3247" s="71" t="n">
        <f aca="false">MAX(0,D3247-D3550)</f>
        <v>0</v>
      </c>
      <c r="F3247" s="71" t="n">
        <f aca="false">MAX(0,E3247-E3550)</f>
        <v>0</v>
      </c>
      <c r="G3247" s="71" t="n">
        <f aca="false">MAX(0,F3247-F3550)</f>
        <v>0</v>
      </c>
      <c r="H3247" s="71" t="n">
        <f aca="false">MAX(0,G3247-G3550)</f>
        <v>0</v>
      </c>
      <c r="I3247" s="71" t="n">
        <f aca="false">MAX(0,H3247-H3550)</f>
        <v>0</v>
      </c>
      <c r="J3247" s="71" t="n">
        <f aca="false">MAX(0,I3247-I3550)</f>
        <v>0</v>
      </c>
      <c r="K3247" s="71" t="n">
        <f aca="false">MAX(0,J3247-J3550)</f>
        <v>0</v>
      </c>
      <c r="L3247" s="71" t="n">
        <f aca="false">MAX(0,K3247-K3550)</f>
        <v>0</v>
      </c>
      <c r="M3247" s="71" t="n">
        <f aca="false">MAX(0,L3247-L3550)</f>
        <v>0</v>
      </c>
    </row>
    <row r="3248" customFormat="false" ht="15" hidden="false" customHeight="false" outlineLevel="0" collapsed="false">
      <c r="B3248" s="102" t="n">
        <f aca="false">'Loan Tape'!$A214</f>
        <v>0</v>
      </c>
      <c r="C3248" s="99" t="n">
        <f aca="false">IF(Fin_Flag="Yes",'Loan Tape'!$BC214,0)</f>
        <v>0</v>
      </c>
      <c r="D3248" s="99" t="n">
        <f aca="false">MAX(0,C3248-C3551)</f>
        <v>0</v>
      </c>
      <c r="E3248" s="99" t="n">
        <f aca="false">MAX(0,D3248-D3551)</f>
        <v>0</v>
      </c>
      <c r="F3248" s="99" t="n">
        <f aca="false">MAX(0,E3248-E3551)</f>
        <v>0</v>
      </c>
      <c r="G3248" s="99" t="n">
        <f aca="false">MAX(0,F3248-F3551)</f>
        <v>0</v>
      </c>
      <c r="H3248" s="99" t="n">
        <f aca="false">MAX(0,G3248-G3551)</f>
        <v>0</v>
      </c>
      <c r="I3248" s="99" t="n">
        <f aca="false">MAX(0,H3248-H3551)</f>
        <v>0</v>
      </c>
      <c r="J3248" s="99" t="n">
        <f aca="false">MAX(0,I3248-I3551)</f>
        <v>0</v>
      </c>
      <c r="K3248" s="99" t="n">
        <f aca="false">MAX(0,J3248-J3551)</f>
        <v>0</v>
      </c>
      <c r="L3248" s="99" t="n">
        <f aca="false">MAX(0,K3248-K3551)</f>
        <v>0</v>
      </c>
      <c r="M3248" s="99" t="n">
        <f aca="false">MAX(0,L3248-L3551)</f>
        <v>0</v>
      </c>
    </row>
    <row r="3249" customFormat="false" ht="15" hidden="false" customHeight="false" outlineLevel="0" collapsed="false">
      <c r="B3249" s="108" t="n">
        <f aca="false">'Loan Tape'!$A215</f>
        <v>0</v>
      </c>
      <c r="C3249" s="71" t="n">
        <f aca="false">IF(Fin_Flag="Yes",'Loan Tape'!$BC215,0)</f>
        <v>0</v>
      </c>
      <c r="D3249" s="71" t="n">
        <f aca="false">MAX(0,C3249-C3552)</f>
        <v>0</v>
      </c>
      <c r="E3249" s="71" t="n">
        <f aca="false">MAX(0,D3249-D3552)</f>
        <v>0</v>
      </c>
      <c r="F3249" s="71" t="n">
        <f aca="false">MAX(0,E3249-E3552)</f>
        <v>0</v>
      </c>
      <c r="G3249" s="71" t="n">
        <f aca="false">MAX(0,F3249-F3552)</f>
        <v>0</v>
      </c>
      <c r="H3249" s="71" t="n">
        <f aca="false">MAX(0,G3249-G3552)</f>
        <v>0</v>
      </c>
      <c r="I3249" s="71" t="n">
        <f aca="false">MAX(0,H3249-H3552)</f>
        <v>0</v>
      </c>
      <c r="J3249" s="71" t="n">
        <f aca="false">MAX(0,I3249-I3552)</f>
        <v>0</v>
      </c>
      <c r="K3249" s="71" t="n">
        <f aca="false">MAX(0,J3249-J3552)</f>
        <v>0</v>
      </c>
      <c r="L3249" s="71" t="n">
        <f aca="false">MAX(0,K3249-K3552)</f>
        <v>0</v>
      </c>
      <c r="M3249" s="71" t="n">
        <f aca="false">MAX(0,L3249-L3552)</f>
        <v>0</v>
      </c>
    </row>
    <row r="3250" customFormat="false" ht="15" hidden="false" customHeight="false" outlineLevel="0" collapsed="false">
      <c r="B3250" s="102" t="n">
        <f aca="false">'Loan Tape'!$A216</f>
        <v>0</v>
      </c>
      <c r="C3250" s="99" t="n">
        <f aca="false">IF(Fin_Flag="Yes",'Loan Tape'!$BC216,0)</f>
        <v>0</v>
      </c>
      <c r="D3250" s="99" t="n">
        <f aca="false">MAX(0,C3250-C3553)</f>
        <v>0</v>
      </c>
      <c r="E3250" s="99" t="n">
        <f aca="false">MAX(0,D3250-D3553)</f>
        <v>0</v>
      </c>
      <c r="F3250" s="99" t="n">
        <f aca="false">MAX(0,E3250-E3553)</f>
        <v>0</v>
      </c>
      <c r="G3250" s="99" t="n">
        <f aca="false">MAX(0,F3250-F3553)</f>
        <v>0</v>
      </c>
      <c r="H3250" s="99" t="n">
        <f aca="false">MAX(0,G3250-G3553)</f>
        <v>0</v>
      </c>
      <c r="I3250" s="99" t="n">
        <f aca="false">MAX(0,H3250-H3553)</f>
        <v>0</v>
      </c>
      <c r="J3250" s="99" t="n">
        <f aca="false">MAX(0,I3250-I3553)</f>
        <v>0</v>
      </c>
      <c r="K3250" s="99" t="n">
        <f aca="false">MAX(0,J3250-J3553)</f>
        <v>0</v>
      </c>
      <c r="L3250" s="99" t="n">
        <f aca="false">MAX(0,K3250-K3553)</f>
        <v>0</v>
      </c>
      <c r="M3250" s="99" t="n">
        <f aca="false">MAX(0,L3250-L3553)</f>
        <v>0</v>
      </c>
    </row>
    <row r="3251" customFormat="false" ht="15" hidden="false" customHeight="false" outlineLevel="0" collapsed="false">
      <c r="B3251" s="108" t="n">
        <f aca="false">'Loan Tape'!$A217</f>
        <v>0</v>
      </c>
      <c r="C3251" s="71" t="n">
        <f aca="false">IF(Fin_Flag="Yes",'Loan Tape'!$BC217,0)</f>
        <v>0</v>
      </c>
      <c r="D3251" s="71" t="n">
        <f aca="false">MAX(0,C3251-C3554)</f>
        <v>0</v>
      </c>
      <c r="E3251" s="71" t="n">
        <f aca="false">MAX(0,D3251-D3554)</f>
        <v>0</v>
      </c>
      <c r="F3251" s="71" t="n">
        <f aca="false">MAX(0,E3251-E3554)</f>
        <v>0</v>
      </c>
      <c r="G3251" s="71" t="n">
        <f aca="false">MAX(0,F3251-F3554)</f>
        <v>0</v>
      </c>
      <c r="H3251" s="71" t="n">
        <f aca="false">MAX(0,G3251-G3554)</f>
        <v>0</v>
      </c>
      <c r="I3251" s="71" t="n">
        <f aca="false">MAX(0,H3251-H3554)</f>
        <v>0</v>
      </c>
      <c r="J3251" s="71" t="n">
        <f aca="false">MAX(0,I3251-I3554)</f>
        <v>0</v>
      </c>
      <c r="K3251" s="71" t="n">
        <f aca="false">MAX(0,J3251-J3554)</f>
        <v>0</v>
      </c>
      <c r="L3251" s="71" t="n">
        <f aca="false">MAX(0,K3251-K3554)</f>
        <v>0</v>
      </c>
      <c r="M3251" s="71" t="n">
        <f aca="false">MAX(0,L3251-L3554)</f>
        <v>0</v>
      </c>
    </row>
    <row r="3252" customFormat="false" ht="15" hidden="false" customHeight="false" outlineLevel="0" collapsed="false">
      <c r="B3252" s="102" t="n">
        <f aca="false">'Loan Tape'!$A218</f>
        <v>0</v>
      </c>
      <c r="C3252" s="99" t="n">
        <f aca="false">IF(Fin_Flag="Yes",'Loan Tape'!$BC218,0)</f>
        <v>0</v>
      </c>
      <c r="D3252" s="99" t="n">
        <f aca="false">MAX(0,C3252-C3555)</f>
        <v>0</v>
      </c>
      <c r="E3252" s="99" t="n">
        <f aca="false">MAX(0,D3252-D3555)</f>
        <v>0</v>
      </c>
      <c r="F3252" s="99" t="n">
        <f aca="false">MAX(0,E3252-E3555)</f>
        <v>0</v>
      </c>
      <c r="G3252" s="99" t="n">
        <f aca="false">MAX(0,F3252-F3555)</f>
        <v>0</v>
      </c>
      <c r="H3252" s="99" t="n">
        <f aca="false">MAX(0,G3252-G3555)</f>
        <v>0</v>
      </c>
      <c r="I3252" s="99" t="n">
        <f aca="false">MAX(0,H3252-H3555)</f>
        <v>0</v>
      </c>
      <c r="J3252" s="99" t="n">
        <f aca="false">MAX(0,I3252-I3555)</f>
        <v>0</v>
      </c>
      <c r="K3252" s="99" t="n">
        <f aca="false">MAX(0,J3252-J3555)</f>
        <v>0</v>
      </c>
      <c r="L3252" s="99" t="n">
        <f aca="false">MAX(0,K3252-K3555)</f>
        <v>0</v>
      </c>
      <c r="M3252" s="99" t="n">
        <f aca="false">MAX(0,L3252-L3555)</f>
        <v>0</v>
      </c>
    </row>
    <row r="3253" customFormat="false" ht="15" hidden="false" customHeight="false" outlineLevel="0" collapsed="false">
      <c r="B3253" s="108" t="n">
        <f aca="false">'Loan Tape'!$A219</f>
        <v>0</v>
      </c>
      <c r="C3253" s="71" t="n">
        <f aca="false">IF(Fin_Flag="Yes",'Loan Tape'!$BC219,0)</f>
        <v>0</v>
      </c>
      <c r="D3253" s="71" t="n">
        <f aca="false">MAX(0,C3253-C3556)</f>
        <v>0</v>
      </c>
      <c r="E3253" s="71" t="n">
        <f aca="false">MAX(0,D3253-D3556)</f>
        <v>0</v>
      </c>
      <c r="F3253" s="71" t="n">
        <f aca="false">MAX(0,E3253-E3556)</f>
        <v>0</v>
      </c>
      <c r="G3253" s="71" t="n">
        <f aca="false">MAX(0,F3253-F3556)</f>
        <v>0</v>
      </c>
      <c r="H3253" s="71" t="n">
        <f aca="false">MAX(0,G3253-G3556)</f>
        <v>0</v>
      </c>
      <c r="I3253" s="71" t="n">
        <f aca="false">MAX(0,H3253-H3556)</f>
        <v>0</v>
      </c>
      <c r="J3253" s="71" t="n">
        <f aca="false">MAX(0,I3253-I3556)</f>
        <v>0</v>
      </c>
      <c r="K3253" s="71" t="n">
        <f aca="false">MAX(0,J3253-J3556)</f>
        <v>0</v>
      </c>
      <c r="L3253" s="71" t="n">
        <f aca="false">MAX(0,K3253-K3556)</f>
        <v>0</v>
      </c>
      <c r="M3253" s="71" t="n">
        <f aca="false">MAX(0,L3253-L3556)</f>
        <v>0</v>
      </c>
    </row>
    <row r="3254" customFormat="false" ht="15" hidden="false" customHeight="false" outlineLevel="0" collapsed="false">
      <c r="B3254" s="102" t="n">
        <f aca="false">'Loan Tape'!$A220</f>
        <v>0</v>
      </c>
      <c r="C3254" s="99" t="n">
        <f aca="false">IF(Fin_Flag="Yes",'Loan Tape'!$BC220,0)</f>
        <v>0</v>
      </c>
      <c r="D3254" s="99" t="n">
        <f aca="false">MAX(0,C3254-C3557)</f>
        <v>0</v>
      </c>
      <c r="E3254" s="99" t="n">
        <f aca="false">MAX(0,D3254-D3557)</f>
        <v>0</v>
      </c>
      <c r="F3254" s="99" t="n">
        <f aca="false">MAX(0,E3254-E3557)</f>
        <v>0</v>
      </c>
      <c r="G3254" s="99" t="n">
        <f aca="false">MAX(0,F3254-F3557)</f>
        <v>0</v>
      </c>
      <c r="H3254" s="99" t="n">
        <f aca="false">MAX(0,G3254-G3557)</f>
        <v>0</v>
      </c>
      <c r="I3254" s="99" t="n">
        <f aca="false">MAX(0,H3254-H3557)</f>
        <v>0</v>
      </c>
      <c r="J3254" s="99" t="n">
        <f aca="false">MAX(0,I3254-I3557)</f>
        <v>0</v>
      </c>
      <c r="K3254" s="99" t="n">
        <f aca="false">MAX(0,J3254-J3557)</f>
        <v>0</v>
      </c>
      <c r="L3254" s="99" t="n">
        <f aca="false">MAX(0,K3254-K3557)</f>
        <v>0</v>
      </c>
      <c r="M3254" s="99" t="n">
        <f aca="false">MAX(0,L3254-L3557)</f>
        <v>0</v>
      </c>
    </row>
    <row r="3255" customFormat="false" ht="15" hidden="false" customHeight="false" outlineLevel="0" collapsed="false">
      <c r="B3255" s="108" t="n">
        <f aca="false">'Loan Tape'!$A221</f>
        <v>0</v>
      </c>
      <c r="C3255" s="71" t="n">
        <f aca="false">IF(Fin_Flag="Yes",'Loan Tape'!$BC221,0)</f>
        <v>0</v>
      </c>
      <c r="D3255" s="71" t="n">
        <f aca="false">MAX(0,C3255-C3558)</f>
        <v>0</v>
      </c>
      <c r="E3255" s="71" t="n">
        <f aca="false">MAX(0,D3255-D3558)</f>
        <v>0</v>
      </c>
      <c r="F3255" s="71" t="n">
        <f aca="false">MAX(0,E3255-E3558)</f>
        <v>0</v>
      </c>
      <c r="G3255" s="71" t="n">
        <f aca="false">MAX(0,F3255-F3558)</f>
        <v>0</v>
      </c>
      <c r="H3255" s="71" t="n">
        <f aca="false">MAX(0,G3255-G3558)</f>
        <v>0</v>
      </c>
      <c r="I3255" s="71" t="n">
        <f aca="false">MAX(0,H3255-H3558)</f>
        <v>0</v>
      </c>
      <c r="J3255" s="71" t="n">
        <f aca="false">MAX(0,I3255-I3558)</f>
        <v>0</v>
      </c>
      <c r="K3255" s="71" t="n">
        <f aca="false">MAX(0,J3255-J3558)</f>
        <v>0</v>
      </c>
      <c r="L3255" s="71" t="n">
        <f aca="false">MAX(0,K3255-K3558)</f>
        <v>0</v>
      </c>
      <c r="M3255" s="71" t="n">
        <f aca="false">MAX(0,L3255-L3558)</f>
        <v>0</v>
      </c>
    </row>
    <row r="3256" customFormat="false" ht="15" hidden="false" customHeight="false" outlineLevel="0" collapsed="false">
      <c r="B3256" s="102" t="n">
        <f aca="false">'Loan Tape'!$A222</f>
        <v>0</v>
      </c>
      <c r="C3256" s="99" t="n">
        <f aca="false">IF(Fin_Flag="Yes",'Loan Tape'!$BC222,0)</f>
        <v>0</v>
      </c>
      <c r="D3256" s="99" t="n">
        <f aca="false">MAX(0,C3256-C3559)</f>
        <v>0</v>
      </c>
      <c r="E3256" s="99" t="n">
        <f aca="false">MAX(0,D3256-D3559)</f>
        <v>0</v>
      </c>
      <c r="F3256" s="99" t="n">
        <f aca="false">MAX(0,E3256-E3559)</f>
        <v>0</v>
      </c>
      <c r="G3256" s="99" t="n">
        <f aca="false">MAX(0,F3256-F3559)</f>
        <v>0</v>
      </c>
      <c r="H3256" s="99" t="n">
        <f aca="false">MAX(0,G3256-G3559)</f>
        <v>0</v>
      </c>
      <c r="I3256" s="99" t="n">
        <f aca="false">MAX(0,H3256-H3559)</f>
        <v>0</v>
      </c>
      <c r="J3256" s="99" t="n">
        <f aca="false">MAX(0,I3256-I3559)</f>
        <v>0</v>
      </c>
      <c r="K3256" s="99" t="n">
        <f aca="false">MAX(0,J3256-J3559)</f>
        <v>0</v>
      </c>
      <c r="L3256" s="99" t="n">
        <f aca="false">MAX(0,K3256-K3559)</f>
        <v>0</v>
      </c>
      <c r="M3256" s="99" t="n">
        <f aca="false">MAX(0,L3256-L3559)</f>
        <v>0</v>
      </c>
    </row>
    <row r="3257" customFormat="false" ht="15" hidden="false" customHeight="false" outlineLevel="0" collapsed="false">
      <c r="B3257" s="108" t="n">
        <f aca="false">'Loan Tape'!$A223</f>
        <v>0</v>
      </c>
      <c r="C3257" s="71" t="n">
        <f aca="false">IF(Fin_Flag="Yes",'Loan Tape'!$BC223,0)</f>
        <v>0</v>
      </c>
      <c r="D3257" s="71" t="n">
        <f aca="false">MAX(0,C3257-C3560)</f>
        <v>0</v>
      </c>
      <c r="E3257" s="71" t="n">
        <f aca="false">MAX(0,D3257-D3560)</f>
        <v>0</v>
      </c>
      <c r="F3257" s="71" t="n">
        <f aca="false">MAX(0,E3257-E3560)</f>
        <v>0</v>
      </c>
      <c r="G3257" s="71" t="n">
        <f aca="false">MAX(0,F3257-F3560)</f>
        <v>0</v>
      </c>
      <c r="H3257" s="71" t="n">
        <f aca="false">MAX(0,G3257-G3560)</f>
        <v>0</v>
      </c>
      <c r="I3257" s="71" t="n">
        <f aca="false">MAX(0,H3257-H3560)</f>
        <v>0</v>
      </c>
      <c r="J3257" s="71" t="n">
        <f aca="false">MAX(0,I3257-I3560)</f>
        <v>0</v>
      </c>
      <c r="K3257" s="71" t="n">
        <f aca="false">MAX(0,J3257-J3560)</f>
        <v>0</v>
      </c>
      <c r="L3257" s="71" t="n">
        <f aca="false">MAX(0,K3257-K3560)</f>
        <v>0</v>
      </c>
      <c r="M3257" s="71" t="n">
        <f aca="false">MAX(0,L3257-L3560)</f>
        <v>0</v>
      </c>
    </row>
    <row r="3258" customFormat="false" ht="15" hidden="false" customHeight="false" outlineLevel="0" collapsed="false">
      <c r="B3258" s="102" t="n">
        <f aca="false">'Loan Tape'!$A224</f>
        <v>0</v>
      </c>
      <c r="C3258" s="99" t="n">
        <f aca="false">IF(Fin_Flag="Yes",'Loan Tape'!$BC224,0)</f>
        <v>0</v>
      </c>
      <c r="D3258" s="99" t="n">
        <f aca="false">MAX(0,C3258-C3561)</f>
        <v>0</v>
      </c>
      <c r="E3258" s="99" t="n">
        <f aca="false">MAX(0,D3258-D3561)</f>
        <v>0</v>
      </c>
      <c r="F3258" s="99" t="n">
        <f aca="false">MAX(0,E3258-E3561)</f>
        <v>0</v>
      </c>
      <c r="G3258" s="99" t="n">
        <f aca="false">MAX(0,F3258-F3561)</f>
        <v>0</v>
      </c>
      <c r="H3258" s="99" t="n">
        <f aca="false">MAX(0,G3258-G3561)</f>
        <v>0</v>
      </c>
      <c r="I3258" s="99" t="n">
        <f aca="false">MAX(0,H3258-H3561)</f>
        <v>0</v>
      </c>
      <c r="J3258" s="99" t="n">
        <f aca="false">MAX(0,I3258-I3561)</f>
        <v>0</v>
      </c>
      <c r="K3258" s="99" t="n">
        <f aca="false">MAX(0,J3258-J3561)</f>
        <v>0</v>
      </c>
      <c r="L3258" s="99" t="n">
        <f aca="false">MAX(0,K3258-K3561)</f>
        <v>0</v>
      </c>
      <c r="M3258" s="99" t="n">
        <f aca="false">MAX(0,L3258-L3561)</f>
        <v>0</v>
      </c>
    </row>
    <row r="3259" customFormat="false" ht="15" hidden="false" customHeight="false" outlineLevel="0" collapsed="false">
      <c r="B3259" s="108" t="n">
        <f aca="false">'Loan Tape'!$A225</f>
        <v>0</v>
      </c>
      <c r="C3259" s="71" t="n">
        <f aca="false">IF(Fin_Flag="Yes",'Loan Tape'!$BC225,0)</f>
        <v>0</v>
      </c>
      <c r="D3259" s="71" t="n">
        <f aca="false">MAX(0,C3259-C3562)</f>
        <v>0</v>
      </c>
      <c r="E3259" s="71" t="n">
        <f aca="false">MAX(0,D3259-D3562)</f>
        <v>0</v>
      </c>
      <c r="F3259" s="71" t="n">
        <f aca="false">MAX(0,E3259-E3562)</f>
        <v>0</v>
      </c>
      <c r="G3259" s="71" t="n">
        <f aca="false">MAX(0,F3259-F3562)</f>
        <v>0</v>
      </c>
      <c r="H3259" s="71" t="n">
        <f aca="false">MAX(0,G3259-G3562)</f>
        <v>0</v>
      </c>
      <c r="I3259" s="71" t="n">
        <f aca="false">MAX(0,H3259-H3562)</f>
        <v>0</v>
      </c>
      <c r="J3259" s="71" t="n">
        <f aca="false">MAX(0,I3259-I3562)</f>
        <v>0</v>
      </c>
      <c r="K3259" s="71" t="n">
        <f aca="false">MAX(0,J3259-J3562)</f>
        <v>0</v>
      </c>
      <c r="L3259" s="71" t="n">
        <f aca="false">MAX(0,K3259-K3562)</f>
        <v>0</v>
      </c>
      <c r="M3259" s="71" t="n">
        <f aca="false">MAX(0,L3259-L3562)</f>
        <v>0</v>
      </c>
    </row>
    <row r="3260" customFormat="false" ht="15" hidden="false" customHeight="false" outlineLevel="0" collapsed="false">
      <c r="B3260" s="102" t="n">
        <f aca="false">'Loan Tape'!$A226</f>
        <v>0</v>
      </c>
      <c r="C3260" s="99" t="n">
        <f aca="false">IF(Fin_Flag="Yes",'Loan Tape'!$BC226,0)</f>
        <v>0</v>
      </c>
      <c r="D3260" s="99" t="n">
        <f aca="false">MAX(0,C3260-C3563)</f>
        <v>0</v>
      </c>
      <c r="E3260" s="99" t="n">
        <f aca="false">MAX(0,D3260-D3563)</f>
        <v>0</v>
      </c>
      <c r="F3260" s="99" t="n">
        <f aca="false">MAX(0,E3260-E3563)</f>
        <v>0</v>
      </c>
      <c r="G3260" s="99" t="n">
        <f aca="false">MAX(0,F3260-F3563)</f>
        <v>0</v>
      </c>
      <c r="H3260" s="99" t="n">
        <f aca="false">MAX(0,G3260-G3563)</f>
        <v>0</v>
      </c>
      <c r="I3260" s="99" t="n">
        <f aca="false">MAX(0,H3260-H3563)</f>
        <v>0</v>
      </c>
      <c r="J3260" s="99" t="n">
        <f aca="false">MAX(0,I3260-I3563)</f>
        <v>0</v>
      </c>
      <c r="K3260" s="99" t="n">
        <f aca="false">MAX(0,J3260-J3563)</f>
        <v>0</v>
      </c>
      <c r="L3260" s="99" t="n">
        <f aca="false">MAX(0,K3260-K3563)</f>
        <v>0</v>
      </c>
      <c r="M3260" s="99" t="n">
        <f aca="false">MAX(0,L3260-L3563)</f>
        <v>0</v>
      </c>
    </row>
    <row r="3261" customFormat="false" ht="15" hidden="false" customHeight="false" outlineLevel="0" collapsed="false">
      <c r="B3261" s="108" t="n">
        <f aca="false">'Loan Tape'!$A227</f>
        <v>0</v>
      </c>
      <c r="C3261" s="71" t="n">
        <f aca="false">IF(Fin_Flag="Yes",'Loan Tape'!$BC227,0)</f>
        <v>0</v>
      </c>
      <c r="D3261" s="71" t="n">
        <f aca="false">MAX(0,C3261-C3564)</f>
        <v>0</v>
      </c>
      <c r="E3261" s="71" t="n">
        <f aca="false">MAX(0,D3261-D3564)</f>
        <v>0</v>
      </c>
      <c r="F3261" s="71" t="n">
        <f aca="false">MAX(0,E3261-E3564)</f>
        <v>0</v>
      </c>
      <c r="G3261" s="71" t="n">
        <f aca="false">MAX(0,F3261-F3564)</f>
        <v>0</v>
      </c>
      <c r="H3261" s="71" t="n">
        <f aca="false">MAX(0,G3261-G3564)</f>
        <v>0</v>
      </c>
      <c r="I3261" s="71" t="n">
        <f aca="false">MAX(0,H3261-H3564)</f>
        <v>0</v>
      </c>
      <c r="J3261" s="71" t="n">
        <f aca="false">MAX(0,I3261-I3564)</f>
        <v>0</v>
      </c>
      <c r="K3261" s="71" t="n">
        <f aca="false">MAX(0,J3261-J3564)</f>
        <v>0</v>
      </c>
      <c r="L3261" s="71" t="n">
        <f aca="false">MAX(0,K3261-K3564)</f>
        <v>0</v>
      </c>
      <c r="M3261" s="71" t="n">
        <f aca="false">MAX(0,L3261-L3564)</f>
        <v>0</v>
      </c>
    </row>
    <row r="3262" customFormat="false" ht="15" hidden="false" customHeight="false" outlineLevel="0" collapsed="false">
      <c r="B3262" s="102" t="n">
        <f aca="false">'Loan Tape'!$A228</f>
        <v>0</v>
      </c>
      <c r="C3262" s="99" t="n">
        <f aca="false">IF(Fin_Flag="Yes",'Loan Tape'!$BC228,0)</f>
        <v>0</v>
      </c>
      <c r="D3262" s="99" t="n">
        <f aca="false">MAX(0,C3262-C3565)</f>
        <v>0</v>
      </c>
      <c r="E3262" s="99" t="n">
        <f aca="false">MAX(0,D3262-D3565)</f>
        <v>0</v>
      </c>
      <c r="F3262" s="99" t="n">
        <f aca="false">MAX(0,E3262-E3565)</f>
        <v>0</v>
      </c>
      <c r="G3262" s="99" t="n">
        <f aca="false">MAX(0,F3262-F3565)</f>
        <v>0</v>
      </c>
      <c r="H3262" s="99" t="n">
        <f aca="false">MAX(0,G3262-G3565)</f>
        <v>0</v>
      </c>
      <c r="I3262" s="99" t="n">
        <f aca="false">MAX(0,H3262-H3565)</f>
        <v>0</v>
      </c>
      <c r="J3262" s="99" t="n">
        <f aca="false">MAX(0,I3262-I3565)</f>
        <v>0</v>
      </c>
      <c r="K3262" s="99" t="n">
        <f aca="false">MAX(0,J3262-J3565)</f>
        <v>0</v>
      </c>
      <c r="L3262" s="99" t="n">
        <f aca="false">MAX(0,K3262-K3565)</f>
        <v>0</v>
      </c>
      <c r="M3262" s="99" t="n">
        <f aca="false">MAX(0,L3262-L3565)</f>
        <v>0</v>
      </c>
    </row>
    <row r="3263" customFormat="false" ht="15" hidden="false" customHeight="false" outlineLevel="0" collapsed="false">
      <c r="B3263" s="108" t="n">
        <f aca="false">'Loan Tape'!$A229</f>
        <v>0</v>
      </c>
      <c r="C3263" s="71" t="n">
        <f aca="false">IF(Fin_Flag="Yes",'Loan Tape'!$BC229,0)</f>
        <v>0</v>
      </c>
      <c r="D3263" s="71" t="n">
        <f aca="false">MAX(0,C3263-C3566)</f>
        <v>0</v>
      </c>
      <c r="E3263" s="71" t="n">
        <f aca="false">MAX(0,D3263-D3566)</f>
        <v>0</v>
      </c>
      <c r="F3263" s="71" t="n">
        <f aca="false">MAX(0,E3263-E3566)</f>
        <v>0</v>
      </c>
      <c r="G3263" s="71" t="n">
        <f aca="false">MAX(0,F3263-F3566)</f>
        <v>0</v>
      </c>
      <c r="H3263" s="71" t="n">
        <f aca="false">MAX(0,G3263-G3566)</f>
        <v>0</v>
      </c>
      <c r="I3263" s="71" t="n">
        <f aca="false">MAX(0,H3263-H3566)</f>
        <v>0</v>
      </c>
      <c r="J3263" s="71" t="n">
        <f aca="false">MAX(0,I3263-I3566)</f>
        <v>0</v>
      </c>
      <c r="K3263" s="71" t="n">
        <f aca="false">MAX(0,J3263-J3566)</f>
        <v>0</v>
      </c>
      <c r="L3263" s="71" t="n">
        <f aca="false">MAX(0,K3263-K3566)</f>
        <v>0</v>
      </c>
      <c r="M3263" s="71" t="n">
        <f aca="false">MAX(0,L3263-L3566)</f>
        <v>0</v>
      </c>
    </row>
    <row r="3264" customFormat="false" ht="15" hidden="false" customHeight="false" outlineLevel="0" collapsed="false">
      <c r="B3264" s="102" t="n">
        <f aca="false">'Loan Tape'!$A230</f>
        <v>0</v>
      </c>
      <c r="C3264" s="99" t="n">
        <f aca="false">IF(Fin_Flag="Yes",'Loan Tape'!$BC230,0)</f>
        <v>0</v>
      </c>
      <c r="D3264" s="99" t="n">
        <f aca="false">MAX(0,C3264-C3567)</f>
        <v>0</v>
      </c>
      <c r="E3264" s="99" t="n">
        <f aca="false">MAX(0,D3264-D3567)</f>
        <v>0</v>
      </c>
      <c r="F3264" s="99" t="n">
        <f aca="false">MAX(0,E3264-E3567)</f>
        <v>0</v>
      </c>
      <c r="G3264" s="99" t="n">
        <f aca="false">MAX(0,F3264-F3567)</f>
        <v>0</v>
      </c>
      <c r="H3264" s="99" t="n">
        <f aca="false">MAX(0,G3264-G3567)</f>
        <v>0</v>
      </c>
      <c r="I3264" s="99" t="n">
        <f aca="false">MAX(0,H3264-H3567)</f>
        <v>0</v>
      </c>
      <c r="J3264" s="99" t="n">
        <f aca="false">MAX(0,I3264-I3567)</f>
        <v>0</v>
      </c>
      <c r="K3264" s="99" t="n">
        <f aca="false">MAX(0,J3264-J3567)</f>
        <v>0</v>
      </c>
      <c r="L3264" s="99" t="n">
        <f aca="false">MAX(0,K3264-K3567)</f>
        <v>0</v>
      </c>
      <c r="M3264" s="99" t="n">
        <f aca="false">MAX(0,L3264-L3567)</f>
        <v>0</v>
      </c>
    </row>
    <row r="3265" customFormat="false" ht="15" hidden="false" customHeight="false" outlineLevel="0" collapsed="false">
      <c r="B3265" s="108" t="n">
        <f aca="false">'Loan Tape'!$A231</f>
        <v>0</v>
      </c>
      <c r="C3265" s="71" t="n">
        <f aca="false">IF(Fin_Flag="Yes",'Loan Tape'!$BC231,0)</f>
        <v>0</v>
      </c>
      <c r="D3265" s="71" t="n">
        <f aca="false">MAX(0,C3265-C3568)</f>
        <v>0</v>
      </c>
      <c r="E3265" s="71" t="n">
        <f aca="false">MAX(0,D3265-D3568)</f>
        <v>0</v>
      </c>
      <c r="F3265" s="71" t="n">
        <f aca="false">MAX(0,E3265-E3568)</f>
        <v>0</v>
      </c>
      <c r="G3265" s="71" t="n">
        <f aca="false">MAX(0,F3265-F3568)</f>
        <v>0</v>
      </c>
      <c r="H3265" s="71" t="n">
        <f aca="false">MAX(0,G3265-G3568)</f>
        <v>0</v>
      </c>
      <c r="I3265" s="71" t="n">
        <f aca="false">MAX(0,H3265-H3568)</f>
        <v>0</v>
      </c>
      <c r="J3265" s="71" t="n">
        <f aca="false">MAX(0,I3265-I3568)</f>
        <v>0</v>
      </c>
      <c r="K3265" s="71" t="n">
        <f aca="false">MAX(0,J3265-J3568)</f>
        <v>0</v>
      </c>
      <c r="L3265" s="71" t="n">
        <f aca="false">MAX(0,K3265-K3568)</f>
        <v>0</v>
      </c>
      <c r="M3265" s="71" t="n">
        <f aca="false">MAX(0,L3265-L3568)</f>
        <v>0</v>
      </c>
    </row>
    <row r="3266" customFormat="false" ht="15" hidden="false" customHeight="false" outlineLevel="0" collapsed="false">
      <c r="B3266" s="102" t="n">
        <f aca="false">'Loan Tape'!$A232</f>
        <v>0</v>
      </c>
      <c r="C3266" s="99" t="n">
        <f aca="false">IF(Fin_Flag="Yes",'Loan Tape'!$BC232,0)</f>
        <v>0</v>
      </c>
      <c r="D3266" s="99" t="n">
        <f aca="false">MAX(0,C3266-C3569)</f>
        <v>0</v>
      </c>
      <c r="E3266" s="99" t="n">
        <f aca="false">MAX(0,D3266-D3569)</f>
        <v>0</v>
      </c>
      <c r="F3266" s="99" t="n">
        <f aca="false">MAX(0,E3266-E3569)</f>
        <v>0</v>
      </c>
      <c r="G3266" s="99" t="n">
        <f aca="false">MAX(0,F3266-F3569)</f>
        <v>0</v>
      </c>
      <c r="H3266" s="99" t="n">
        <f aca="false">MAX(0,G3266-G3569)</f>
        <v>0</v>
      </c>
      <c r="I3266" s="99" t="n">
        <f aca="false">MAX(0,H3266-H3569)</f>
        <v>0</v>
      </c>
      <c r="J3266" s="99" t="n">
        <f aca="false">MAX(0,I3266-I3569)</f>
        <v>0</v>
      </c>
      <c r="K3266" s="99" t="n">
        <f aca="false">MAX(0,J3266-J3569)</f>
        <v>0</v>
      </c>
      <c r="L3266" s="99" t="n">
        <f aca="false">MAX(0,K3266-K3569)</f>
        <v>0</v>
      </c>
      <c r="M3266" s="99" t="n">
        <f aca="false">MAX(0,L3266-L3569)</f>
        <v>0</v>
      </c>
    </row>
    <row r="3267" customFormat="false" ht="15" hidden="false" customHeight="false" outlineLevel="0" collapsed="false">
      <c r="B3267" s="108" t="n">
        <f aca="false">'Loan Tape'!$A233</f>
        <v>0</v>
      </c>
      <c r="C3267" s="71" t="n">
        <f aca="false">IF(Fin_Flag="Yes",'Loan Tape'!$BC233,0)</f>
        <v>0</v>
      </c>
      <c r="D3267" s="71" t="n">
        <f aca="false">MAX(0,C3267-C3570)</f>
        <v>0</v>
      </c>
      <c r="E3267" s="71" t="n">
        <f aca="false">MAX(0,D3267-D3570)</f>
        <v>0</v>
      </c>
      <c r="F3267" s="71" t="n">
        <f aca="false">MAX(0,E3267-E3570)</f>
        <v>0</v>
      </c>
      <c r="G3267" s="71" t="n">
        <f aca="false">MAX(0,F3267-F3570)</f>
        <v>0</v>
      </c>
      <c r="H3267" s="71" t="n">
        <f aca="false">MAX(0,G3267-G3570)</f>
        <v>0</v>
      </c>
      <c r="I3267" s="71" t="n">
        <f aca="false">MAX(0,H3267-H3570)</f>
        <v>0</v>
      </c>
      <c r="J3267" s="71" t="n">
        <f aca="false">MAX(0,I3267-I3570)</f>
        <v>0</v>
      </c>
      <c r="K3267" s="71" t="n">
        <f aca="false">MAX(0,J3267-J3570)</f>
        <v>0</v>
      </c>
      <c r="L3267" s="71" t="n">
        <f aca="false">MAX(0,K3267-K3570)</f>
        <v>0</v>
      </c>
      <c r="M3267" s="71" t="n">
        <f aca="false">MAX(0,L3267-L3570)</f>
        <v>0</v>
      </c>
    </row>
    <row r="3268" customFormat="false" ht="15" hidden="false" customHeight="false" outlineLevel="0" collapsed="false">
      <c r="B3268" s="102" t="n">
        <f aca="false">'Loan Tape'!$A234</f>
        <v>0</v>
      </c>
      <c r="C3268" s="99" t="n">
        <f aca="false">IF(Fin_Flag="Yes",'Loan Tape'!$BC234,0)</f>
        <v>0</v>
      </c>
      <c r="D3268" s="99" t="n">
        <f aca="false">MAX(0,C3268-C3571)</f>
        <v>0</v>
      </c>
      <c r="E3268" s="99" t="n">
        <f aca="false">MAX(0,D3268-D3571)</f>
        <v>0</v>
      </c>
      <c r="F3268" s="99" t="n">
        <f aca="false">MAX(0,E3268-E3571)</f>
        <v>0</v>
      </c>
      <c r="G3268" s="99" t="n">
        <f aca="false">MAX(0,F3268-F3571)</f>
        <v>0</v>
      </c>
      <c r="H3268" s="99" t="n">
        <f aca="false">MAX(0,G3268-G3571)</f>
        <v>0</v>
      </c>
      <c r="I3268" s="99" t="n">
        <f aca="false">MAX(0,H3268-H3571)</f>
        <v>0</v>
      </c>
      <c r="J3268" s="99" t="n">
        <f aca="false">MAX(0,I3268-I3571)</f>
        <v>0</v>
      </c>
      <c r="K3268" s="99" t="n">
        <f aca="false">MAX(0,J3268-J3571)</f>
        <v>0</v>
      </c>
      <c r="L3268" s="99" t="n">
        <f aca="false">MAX(0,K3268-K3571)</f>
        <v>0</v>
      </c>
      <c r="M3268" s="99" t="n">
        <f aca="false">MAX(0,L3268-L3571)</f>
        <v>0</v>
      </c>
    </row>
    <row r="3269" customFormat="false" ht="15" hidden="false" customHeight="false" outlineLevel="0" collapsed="false">
      <c r="B3269" s="108" t="n">
        <f aca="false">'Loan Tape'!$A235</f>
        <v>0</v>
      </c>
      <c r="C3269" s="71" t="n">
        <f aca="false">IF(Fin_Flag="Yes",'Loan Tape'!$BC235,0)</f>
        <v>0</v>
      </c>
      <c r="D3269" s="71" t="n">
        <f aca="false">MAX(0,C3269-C3572)</f>
        <v>0</v>
      </c>
      <c r="E3269" s="71" t="n">
        <f aca="false">MAX(0,D3269-D3572)</f>
        <v>0</v>
      </c>
      <c r="F3269" s="71" t="n">
        <f aca="false">MAX(0,E3269-E3572)</f>
        <v>0</v>
      </c>
      <c r="G3269" s="71" t="n">
        <f aca="false">MAX(0,F3269-F3572)</f>
        <v>0</v>
      </c>
      <c r="H3269" s="71" t="n">
        <f aca="false">MAX(0,G3269-G3572)</f>
        <v>0</v>
      </c>
      <c r="I3269" s="71" t="n">
        <f aca="false">MAX(0,H3269-H3572)</f>
        <v>0</v>
      </c>
      <c r="J3269" s="71" t="n">
        <f aca="false">MAX(0,I3269-I3572)</f>
        <v>0</v>
      </c>
      <c r="K3269" s="71" t="n">
        <f aca="false">MAX(0,J3269-J3572)</f>
        <v>0</v>
      </c>
      <c r="L3269" s="71" t="n">
        <f aca="false">MAX(0,K3269-K3572)</f>
        <v>0</v>
      </c>
      <c r="M3269" s="71" t="n">
        <f aca="false">MAX(0,L3269-L3572)</f>
        <v>0</v>
      </c>
    </row>
    <row r="3270" customFormat="false" ht="15" hidden="false" customHeight="false" outlineLevel="0" collapsed="false">
      <c r="B3270" s="102" t="n">
        <f aca="false">'Loan Tape'!$A236</f>
        <v>0</v>
      </c>
      <c r="C3270" s="99" t="n">
        <f aca="false">IF(Fin_Flag="Yes",'Loan Tape'!$BC236,0)</f>
        <v>0</v>
      </c>
      <c r="D3270" s="99" t="n">
        <f aca="false">MAX(0,C3270-C3573)</f>
        <v>0</v>
      </c>
      <c r="E3270" s="99" t="n">
        <f aca="false">MAX(0,D3270-D3573)</f>
        <v>0</v>
      </c>
      <c r="F3270" s="99" t="n">
        <f aca="false">MAX(0,E3270-E3573)</f>
        <v>0</v>
      </c>
      <c r="G3270" s="99" t="n">
        <f aca="false">MAX(0,F3270-F3573)</f>
        <v>0</v>
      </c>
      <c r="H3270" s="99" t="n">
        <f aca="false">MAX(0,G3270-G3573)</f>
        <v>0</v>
      </c>
      <c r="I3270" s="99" t="n">
        <f aca="false">MAX(0,H3270-H3573)</f>
        <v>0</v>
      </c>
      <c r="J3270" s="99" t="n">
        <f aca="false">MAX(0,I3270-I3573)</f>
        <v>0</v>
      </c>
      <c r="K3270" s="99" t="n">
        <f aca="false">MAX(0,J3270-J3573)</f>
        <v>0</v>
      </c>
      <c r="L3270" s="99" t="n">
        <f aca="false">MAX(0,K3270-K3573)</f>
        <v>0</v>
      </c>
      <c r="M3270" s="99" t="n">
        <f aca="false">MAX(0,L3270-L3573)</f>
        <v>0</v>
      </c>
    </row>
    <row r="3271" customFormat="false" ht="15" hidden="false" customHeight="false" outlineLevel="0" collapsed="false">
      <c r="B3271" s="108" t="n">
        <f aca="false">'Loan Tape'!$A237</f>
        <v>0</v>
      </c>
      <c r="C3271" s="71" t="n">
        <f aca="false">IF(Fin_Flag="Yes",'Loan Tape'!$BC237,0)</f>
        <v>0</v>
      </c>
      <c r="D3271" s="71" t="n">
        <f aca="false">MAX(0,C3271-C3574)</f>
        <v>0</v>
      </c>
      <c r="E3271" s="71" t="n">
        <f aca="false">MAX(0,D3271-D3574)</f>
        <v>0</v>
      </c>
      <c r="F3271" s="71" t="n">
        <f aca="false">MAX(0,E3271-E3574)</f>
        <v>0</v>
      </c>
      <c r="G3271" s="71" t="n">
        <f aca="false">MAX(0,F3271-F3574)</f>
        <v>0</v>
      </c>
      <c r="H3271" s="71" t="n">
        <f aca="false">MAX(0,G3271-G3574)</f>
        <v>0</v>
      </c>
      <c r="I3271" s="71" t="n">
        <f aca="false">MAX(0,H3271-H3574)</f>
        <v>0</v>
      </c>
      <c r="J3271" s="71" t="n">
        <f aca="false">MAX(0,I3271-I3574)</f>
        <v>0</v>
      </c>
      <c r="K3271" s="71" t="n">
        <f aca="false">MAX(0,J3271-J3574)</f>
        <v>0</v>
      </c>
      <c r="L3271" s="71" t="n">
        <f aca="false">MAX(0,K3271-K3574)</f>
        <v>0</v>
      </c>
      <c r="M3271" s="71" t="n">
        <f aca="false">MAX(0,L3271-L3574)</f>
        <v>0</v>
      </c>
    </row>
    <row r="3272" customFormat="false" ht="15" hidden="false" customHeight="false" outlineLevel="0" collapsed="false">
      <c r="B3272" s="102" t="n">
        <f aca="false">'Loan Tape'!$A238</f>
        <v>0</v>
      </c>
      <c r="C3272" s="99" t="n">
        <f aca="false">IF(Fin_Flag="Yes",'Loan Tape'!$BC238,0)</f>
        <v>0</v>
      </c>
      <c r="D3272" s="99" t="n">
        <f aca="false">MAX(0,C3272-C3575)</f>
        <v>0</v>
      </c>
      <c r="E3272" s="99" t="n">
        <f aca="false">MAX(0,D3272-D3575)</f>
        <v>0</v>
      </c>
      <c r="F3272" s="99" t="n">
        <f aca="false">MAX(0,E3272-E3575)</f>
        <v>0</v>
      </c>
      <c r="G3272" s="99" t="n">
        <f aca="false">MAX(0,F3272-F3575)</f>
        <v>0</v>
      </c>
      <c r="H3272" s="99" t="n">
        <f aca="false">MAX(0,G3272-G3575)</f>
        <v>0</v>
      </c>
      <c r="I3272" s="99" t="n">
        <f aca="false">MAX(0,H3272-H3575)</f>
        <v>0</v>
      </c>
      <c r="J3272" s="99" t="n">
        <f aca="false">MAX(0,I3272-I3575)</f>
        <v>0</v>
      </c>
      <c r="K3272" s="99" t="n">
        <f aca="false">MAX(0,J3272-J3575)</f>
        <v>0</v>
      </c>
      <c r="L3272" s="99" t="n">
        <f aca="false">MAX(0,K3272-K3575)</f>
        <v>0</v>
      </c>
      <c r="M3272" s="99" t="n">
        <f aca="false">MAX(0,L3272-L3575)</f>
        <v>0</v>
      </c>
    </row>
    <row r="3273" customFormat="false" ht="15" hidden="false" customHeight="false" outlineLevel="0" collapsed="false">
      <c r="B3273" s="108" t="n">
        <f aca="false">'Loan Tape'!$A239</f>
        <v>0</v>
      </c>
      <c r="C3273" s="71" t="n">
        <f aca="false">IF(Fin_Flag="Yes",'Loan Tape'!$BC239,0)</f>
        <v>0</v>
      </c>
      <c r="D3273" s="71" t="n">
        <f aca="false">MAX(0,C3273-C3576)</f>
        <v>0</v>
      </c>
      <c r="E3273" s="71" t="n">
        <f aca="false">MAX(0,D3273-D3576)</f>
        <v>0</v>
      </c>
      <c r="F3273" s="71" t="n">
        <f aca="false">MAX(0,E3273-E3576)</f>
        <v>0</v>
      </c>
      <c r="G3273" s="71" t="n">
        <f aca="false">MAX(0,F3273-F3576)</f>
        <v>0</v>
      </c>
      <c r="H3273" s="71" t="n">
        <f aca="false">MAX(0,G3273-G3576)</f>
        <v>0</v>
      </c>
      <c r="I3273" s="71" t="n">
        <f aca="false">MAX(0,H3273-H3576)</f>
        <v>0</v>
      </c>
      <c r="J3273" s="71" t="n">
        <f aca="false">MAX(0,I3273-I3576)</f>
        <v>0</v>
      </c>
      <c r="K3273" s="71" t="n">
        <f aca="false">MAX(0,J3273-J3576)</f>
        <v>0</v>
      </c>
      <c r="L3273" s="71" t="n">
        <f aca="false">MAX(0,K3273-K3576)</f>
        <v>0</v>
      </c>
      <c r="M3273" s="71" t="n">
        <f aca="false">MAX(0,L3273-L3576)</f>
        <v>0</v>
      </c>
    </row>
    <row r="3274" customFormat="false" ht="15" hidden="false" customHeight="false" outlineLevel="0" collapsed="false">
      <c r="B3274" s="102" t="n">
        <f aca="false">'Loan Tape'!$A240</f>
        <v>0</v>
      </c>
      <c r="C3274" s="99" t="n">
        <f aca="false">IF(Fin_Flag="Yes",'Loan Tape'!$BC240,0)</f>
        <v>0</v>
      </c>
      <c r="D3274" s="99" t="n">
        <f aca="false">MAX(0,C3274-C3577)</f>
        <v>0</v>
      </c>
      <c r="E3274" s="99" t="n">
        <f aca="false">MAX(0,D3274-D3577)</f>
        <v>0</v>
      </c>
      <c r="F3274" s="99" t="n">
        <f aca="false">MAX(0,E3274-E3577)</f>
        <v>0</v>
      </c>
      <c r="G3274" s="99" t="n">
        <f aca="false">MAX(0,F3274-F3577)</f>
        <v>0</v>
      </c>
      <c r="H3274" s="99" t="n">
        <f aca="false">MAX(0,G3274-G3577)</f>
        <v>0</v>
      </c>
      <c r="I3274" s="99" t="n">
        <f aca="false">MAX(0,H3274-H3577)</f>
        <v>0</v>
      </c>
      <c r="J3274" s="99" t="n">
        <f aca="false">MAX(0,I3274-I3577)</f>
        <v>0</v>
      </c>
      <c r="K3274" s="99" t="n">
        <f aca="false">MAX(0,J3274-J3577)</f>
        <v>0</v>
      </c>
      <c r="L3274" s="99" t="n">
        <f aca="false">MAX(0,K3274-K3577)</f>
        <v>0</v>
      </c>
      <c r="M3274" s="99" t="n">
        <f aca="false">MAX(0,L3274-L3577)</f>
        <v>0</v>
      </c>
    </row>
    <row r="3275" customFormat="false" ht="15" hidden="false" customHeight="false" outlineLevel="0" collapsed="false">
      <c r="B3275" s="108" t="n">
        <f aca="false">'Loan Tape'!$A241</f>
        <v>0</v>
      </c>
      <c r="C3275" s="71" t="n">
        <f aca="false">IF(Fin_Flag="Yes",'Loan Tape'!$BC241,0)</f>
        <v>0</v>
      </c>
      <c r="D3275" s="71" t="n">
        <f aca="false">MAX(0,C3275-C3578)</f>
        <v>0</v>
      </c>
      <c r="E3275" s="71" t="n">
        <f aca="false">MAX(0,D3275-D3578)</f>
        <v>0</v>
      </c>
      <c r="F3275" s="71" t="n">
        <f aca="false">MAX(0,E3275-E3578)</f>
        <v>0</v>
      </c>
      <c r="G3275" s="71" t="n">
        <f aca="false">MAX(0,F3275-F3578)</f>
        <v>0</v>
      </c>
      <c r="H3275" s="71" t="n">
        <f aca="false">MAX(0,G3275-G3578)</f>
        <v>0</v>
      </c>
      <c r="I3275" s="71" t="n">
        <f aca="false">MAX(0,H3275-H3578)</f>
        <v>0</v>
      </c>
      <c r="J3275" s="71" t="n">
        <f aca="false">MAX(0,I3275-I3578)</f>
        <v>0</v>
      </c>
      <c r="K3275" s="71" t="n">
        <f aca="false">MAX(0,J3275-J3578)</f>
        <v>0</v>
      </c>
      <c r="L3275" s="71" t="n">
        <f aca="false">MAX(0,K3275-K3578)</f>
        <v>0</v>
      </c>
      <c r="M3275" s="71" t="n">
        <f aca="false">MAX(0,L3275-L3578)</f>
        <v>0</v>
      </c>
    </row>
    <row r="3276" customFormat="false" ht="15" hidden="false" customHeight="false" outlineLevel="0" collapsed="false">
      <c r="B3276" s="102" t="n">
        <f aca="false">'Loan Tape'!$A242</f>
        <v>0</v>
      </c>
      <c r="C3276" s="99" t="n">
        <f aca="false">IF(Fin_Flag="Yes",'Loan Tape'!$BC242,0)</f>
        <v>0</v>
      </c>
      <c r="D3276" s="99" t="n">
        <f aca="false">MAX(0,C3276-C3579)</f>
        <v>0</v>
      </c>
      <c r="E3276" s="99" t="n">
        <f aca="false">MAX(0,D3276-D3579)</f>
        <v>0</v>
      </c>
      <c r="F3276" s="99" t="n">
        <f aca="false">MAX(0,E3276-E3579)</f>
        <v>0</v>
      </c>
      <c r="G3276" s="99" t="n">
        <f aca="false">MAX(0,F3276-F3579)</f>
        <v>0</v>
      </c>
      <c r="H3276" s="99" t="n">
        <f aca="false">MAX(0,G3276-G3579)</f>
        <v>0</v>
      </c>
      <c r="I3276" s="99" t="n">
        <f aca="false">MAX(0,H3276-H3579)</f>
        <v>0</v>
      </c>
      <c r="J3276" s="99" t="n">
        <f aca="false">MAX(0,I3276-I3579)</f>
        <v>0</v>
      </c>
      <c r="K3276" s="99" t="n">
        <f aca="false">MAX(0,J3276-J3579)</f>
        <v>0</v>
      </c>
      <c r="L3276" s="99" t="n">
        <f aca="false">MAX(0,K3276-K3579)</f>
        <v>0</v>
      </c>
      <c r="M3276" s="99" t="n">
        <f aca="false">MAX(0,L3276-L3579)</f>
        <v>0</v>
      </c>
    </row>
    <row r="3277" customFormat="false" ht="15" hidden="false" customHeight="false" outlineLevel="0" collapsed="false">
      <c r="B3277" s="108" t="n">
        <f aca="false">'Loan Tape'!$A243</f>
        <v>0</v>
      </c>
      <c r="C3277" s="71" t="n">
        <f aca="false">IF(Fin_Flag="Yes",'Loan Tape'!$BC243,0)</f>
        <v>0</v>
      </c>
      <c r="D3277" s="71" t="n">
        <f aca="false">MAX(0,C3277-C3580)</f>
        <v>0</v>
      </c>
      <c r="E3277" s="71" t="n">
        <f aca="false">MAX(0,D3277-D3580)</f>
        <v>0</v>
      </c>
      <c r="F3277" s="71" t="n">
        <f aca="false">MAX(0,E3277-E3580)</f>
        <v>0</v>
      </c>
      <c r="G3277" s="71" t="n">
        <f aca="false">MAX(0,F3277-F3580)</f>
        <v>0</v>
      </c>
      <c r="H3277" s="71" t="n">
        <f aca="false">MAX(0,G3277-G3580)</f>
        <v>0</v>
      </c>
      <c r="I3277" s="71" t="n">
        <f aca="false">MAX(0,H3277-H3580)</f>
        <v>0</v>
      </c>
      <c r="J3277" s="71" t="n">
        <f aca="false">MAX(0,I3277-I3580)</f>
        <v>0</v>
      </c>
      <c r="K3277" s="71" t="n">
        <f aca="false">MAX(0,J3277-J3580)</f>
        <v>0</v>
      </c>
      <c r="L3277" s="71" t="n">
        <f aca="false">MAX(0,K3277-K3580)</f>
        <v>0</v>
      </c>
      <c r="M3277" s="71" t="n">
        <f aca="false">MAX(0,L3277-L3580)</f>
        <v>0</v>
      </c>
    </row>
    <row r="3278" customFormat="false" ht="15" hidden="false" customHeight="false" outlineLevel="0" collapsed="false">
      <c r="B3278" s="102" t="n">
        <f aca="false">'Loan Tape'!$A244</f>
        <v>0</v>
      </c>
      <c r="C3278" s="99" t="n">
        <f aca="false">IF(Fin_Flag="Yes",'Loan Tape'!$BC244,0)</f>
        <v>0</v>
      </c>
      <c r="D3278" s="99" t="n">
        <f aca="false">MAX(0,C3278-C3581)</f>
        <v>0</v>
      </c>
      <c r="E3278" s="99" t="n">
        <f aca="false">MAX(0,D3278-D3581)</f>
        <v>0</v>
      </c>
      <c r="F3278" s="99" t="n">
        <f aca="false">MAX(0,E3278-E3581)</f>
        <v>0</v>
      </c>
      <c r="G3278" s="99" t="n">
        <f aca="false">MAX(0,F3278-F3581)</f>
        <v>0</v>
      </c>
      <c r="H3278" s="99" t="n">
        <f aca="false">MAX(0,G3278-G3581)</f>
        <v>0</v>
      </c>
      <c r="I3278" s="99" t="n">
        <f aca="false">MAX(0,H3278-H3581)</f>
        <v>0</v>
      </c>
      <c r="J3278" s="99" t="n">
        <f aca="false">MAX(0,I3278-I3581)</f>
        <v>0</v>
      </c>
      <c r="K3278" s="99" t="n">
        <f aca="false">MAX(0,J3278-J3581)</f>
        <v>0</v>
      </c>
      <c r="L3278" s="99" t="n">
        <f aca="false">MAX(0,K3278-K3581)</f>
        <v>0</v>
      </c>
      <c r="M3278" s="99" t="n">
        <f aca="false">MAX(0,L3278-L3581)</f>
        <v>0</v>
      </c>
    </row>
    <row r="3279" customFormat="false" ht="15" hidden="false" customHeight="false" outlineLevel="0" collapsed="false">
      <c r="B3279" s="108" t="n">
        <f aca="false">'Loan Tape'!$A245</f>
        <v>0</v>
      </c>
      <c r="C3279" s="71" t="n">
        <f aca="false">IF(Fin_Flag="Yes",'Loan Tape'!$BC245,0)</f>
        <v>0</v>
      </c>
      <c r="D3279" s="71" t="n">
        <f aca="false">MAX(0,C3279-C3582)</f>
        <v>0</v>
      </c>
      <c r="E3279" s="71" t="n">
        <f aca="false">MAX(0,D3279-D3582)</f>
        <v>0</v>
      </c>
      <c r="F3279" s="71" t="n">
        <f aca="false">MAX(0,E3279-E3582)</f>
        <v>0</v>
      </c>
      <c r="G3279" s="71" t="n">
        <f aca="false">MAX(0,F3279-F3582)</f>
        <v>0</v>
      </c>
      <c r="H3279" s="71" t="n">
        <f aca="false">MAX(0,G3279-G3582)</f>
        <v>0</v>
      </c>
      <c r="I3279" s="71" t="n">
        <f aca="false">MAX(0,H3279-H3582)</f>
        <v>0</v>
      </c>
      <c r="J3279" s="71" t="n">
        <f aca="false">MAX(0,I3279-I3582)</f>
        <v>0</v>
      </c>
      <c r="K3279" s="71" t="n">
        <f aca="false">MAX(0,J3279-J3582)</f>
        <v>0</v>
      </c>
      <c r="L3279" s="71" t="n">
        <f aca="false">MAX(0,K3279-K3582)</f>
        <v>0</v>
      </c>
      <c r="M3279" s="71" t="n">
        <f aca="false">MAX(0,L3279-L3582)</f>
        <v>0</v>
      </c>
    </row>
    <row r="3280" customFormat="false" ht="15" hidden="false" customHeight="false" outlineLevel="0" collapsed="false">
      <c r="B3280" s="102" t="n">
        <f aca="false">'Loan Tape'!$A246</f>
        <v>0</v>
      </c>
      <c r="C3280" s="99" t="n">
        <f aca="false">IF(Fin_Flag="Yes",'Loan Tape'!$BC246,0)</f>
        <v>0</v>
      </c>
      <c r="D3280" s="99" t="n">
        <f aca="false">MAX(0,C3280-C3583)</f>
        <v>0</v>
      </c>
      <c r="E3280" s="99" t="n">
        <f aca="false">MAX(0,D3280-D3583)</f>
        <v>0</v>
      </c>
      <c r="F3280" s="99" t="n">
        <f aca="false">MAX(0,E3280-E3583)</f>
        <v>0</v>
      </c>
      <c r="G3280" s="99" t="n">
        <f aca="false">MAX(0,F3280-F3583)</f>
        <v>0</v>
      </c>
      <c r="H3280" s="99" t="n">
        <f aca="false">MAX(0,G3280-G3583)</f>
        <v>0</v>
      </c>
      <c r="I3280" s="99" t="n">
        <f aca="false">MAX(0,H3280-H3583)</f>
        <v>0</v>
      </c>
      <c r="J3280" s="99" t="n">
        <f aca="false">MAX(0,I3280-I3583)</f>
        <v>0</v>
      </c>
      <c r="K3280" s="99" t="n">
        <f aca="false">MAX(0,J3280-J3583)</f>
        <v>0</v>
      </c>
      <c r="L3280" s="99" t="n">
        <f aca="false">MAX(0,K3280-K3583)</f>
        <v>0</v>
      </c>
      <c r="M3280" s="99" t="n">
        <f aca="false">MAX(0,L3280-L3583)</f>
        <v>0</v>
      </c>
    </row>
    <row r="3281" customFormat="false" ht="15" hidden="false" customHeight="false" outlineLevel="0" collapsed="false">
      <c r="B3281" s="108" t="n">
        <f aca="false">'Loan Tape'!$A247</f>
        <v>0</v>
      </c>
      <c r="C3281" s="71" t="n">
        <f aca="false">IF(Fin_Flag="Yes",'Loan Tape'!$BC247,0)</f>
        <v>0</v>
      </c>
      <c r="D3281" s="71" t="n">
        <f aca="false">MAX(0,C3281-C3584)</f>
        <v>0</v>
      </c>
      <c r="E3281" s="71" t="n">
        <f aca="false">MAX(0,D3281-D3584)</f>
        <v>0</v>
      </c>
      <c r="F3281" s="71" t="n">
        <f aca="false">MAX(0,E3281-E3584)</f>
        <v>0</v>
      </c>
      <c r="G3281" s="71" t="n">
        <f aca="false">MAX(0,F3281-F3584)</f>
        <v>0</v>
      </c>
      <c r="H3281" s="71" t="n">
        <f aca="false">MAX(0,G3281-G3584)</f>
        <v>0</v>
      </c>
      <c r="I3281" s="71" t="n">
        <f aca="false">MAX(0,H3281-H3584)</f>
        <v>0</v>
      </c>
      <c r="J3281" s="71" t="n">
        <f aca="false">MAX(0,I3281-I3584)</f>
        <v>0</v>
      </c>
      <c r="K3281" s="71" t="n">
        <f aca="false">MAX(0,J3281-J3584)</f>
        <v>0</v>
      </c>
      <c r="L3281" s="71" t="n">
        <f aca="false">MAX(0,K3281-K3584)</f>
        <v>0</v>
      </c>
      <c r="M3281" s="71" t="n">
        <f aca="false">MAX(0,L3281-L3584)</f>
        <v>0</v>
      </c>
    </row>
    <row r="3282" customFormat="false" ht="15" hidden="false" customHeight="false" outlineLevel="0" collapsed="false">
      <c r="B3282" s="102" t="n">
        <f aca="false">'Loan Tape'!$A248</f>
        <v>0</v>
      </c>
      <c r="C3282" s="99" t="n">
        <f aca="false">IF(Fin_Flag="Yes",'Loan Tape'!$BC248,0)</f>
        <v>0</v>
      </c>
      <c r="D3282" s="99" t="n">
        <f aca="false">MAX(0,C3282-C3585)</f>
        <v>0</v>
      </c>
      <c r="E3282" s="99" t="n">
        <f aca="false">MAX(0,D3282-D3585)</f>
        <v>0</v>
      </c>
      <c r="F3282" s="99" t="n">
        <f aca="false">MAX(0,E3282-E3585)</f>
        <v>0</v>
      </c>
      <c r="G3282" s="99" t="n">
        <f aca="false">MAX(0,F3282-F3585)</f>
        <v>0</v>
      </c>
      <c r="H3282" s="99" t="n">
        <f aca="false">MAX(0,G3282-G3585)</f>
        <v>0</v>
      </c>
      <c r="I3282" s="99" t="n">
        <f aca="false">MAX(0,H3282-H3585)</f>
        <v>0</v>
      </c>
      <c r="J3282" s="99" t="n">
        <f aca="false">MAX(0,I3282-I3585)</f>
        <v>0</v>
      </c>
      <c r="K3282" s="99" t="n">
        <f aca="false">MAX(0,J3282-J3585)</f>
        <v>0</v>
      </c>
      <c r="L3282" s="99" t="n">
        <f aca="false">MAX(0,K3282-K3585)</f>
        <v>0</v>
      </c>
      <c r="M3282" s="99" t="n">
        <f aca="false">MAX(0,L3282-L3585)</f>
        <v>0</v>
      </c>
    </row>
    <row r="3283" customFormat="false" ht="15" hidden="false" customHeight="false" outlineLevel="0" collapsed="false">
      <c r="B3283" s="108" t="n">
        <f aca="false">'Loan Tape'!$A249</f>
        <v>0</v>
      </c>
      <c r="C3283" s="71" t="n">
        <f aca="false">IF(Fin_Flag="Yes",'Loan Tape'!$BC249,0)</f>
        <v>0</v>
      </c>
      <c r="D3283" s="71" t="n">
        <f aca="false">MAX(0,C3283-C3586)</f>
        <v>0</v>
      </c>
      <c r="E3283" s="71" t="n">
        <f aca="false">MAX(0,D3283-D3586)</f>
        <v>0</v>
      </c>
      <c r="F3283" s="71" t="n">
        <f aca="false">MAX(0,E3283-E3586)</f>
        <v>0</v>
      </c>
      <c r="G3283" s="71" t="n">
        <f aca="false">MAX(0,F3283-F3586)</f>
        <v>0</v>
      </c>
      <c r="H3283" s="71" t="n">
        <f aca="false">MAX(0,G3283-G3586)</f>
        <v>0</v>
      </c>
      <c r="I3283" s="71" t="n">
        <f aca="false">MAX(0,H3283-H3586)</f>
        <v>0</v>
      </c>
      <c r="J3283" s="71" t="n">
        <f aca="false">MAX(0,I3283-I3586)</f>
        <v>0</v>
      </c>
      <c r="K3283" s="71" t="n">
        <f aca="false">MAX(0,J3283-J3586)</f>
        <v>0</v>
      </c>
      <c r="L3283" s="71" t="n">
        <f aca="false">MAX(0,K3283-K3586)</f>
        <v>0</v>
      </c>
      <c r="M3283" s="71" t="n">
        <f aca="false">MAX(0,L3283-L3586)</f>
        <v>0</v>
      </c>
    </row>
    <row r="3284" customFormat="false" ht="15" hidden="false" customHeight="false" outlineLevel="0" collapsed="false">
      <c r="B3284" s="102" t="n">
        <f aca="false">'Loan Tape'!$A250</f>
        <v>0</v>
      </c>
      <c r="C3284" s="99" t="n">
        <f aca="false">IF(Fin_Flag="Yes",'Loan Tape'!$BC250,0)</f>
        <v>0</v>
      </c>
      <c r="D3284" s="99" t="n">
        <f aca="false">MAX(0,C3284-C3587)</f>
        <v>0</v>
      </c>
      <c r="E3284" s="99" t="n">
        <f aca="false">MAX(0,D3284-D3587)</f>
        <v>0</v>
      </c>
      <c r="F3284" s="99" t="n">
        <f aca="false">MAX(0,E3284-E3587)</f>
        <v>0</v>
      </c>
      <c r="G3284" s="99" t="n">
        <f aca="false">MAX(0,F3284-F3587)</f>
        <v>0</v>
      </c>
      <c r="H3284" s="99" t="n">
        <f aca="false">MAX(0,G3284-G3587)</f>
        <v>0</v>
      </c>
      <c r="I3284" s="99" t="n">
        <f aca="false">MAX(0,H3284-H3587)</f>
        <v>0</v>
      </c>
      <c r="J3284" s="99" t="n">
        <f aca="false">MAX(0,I3284-I3587)</f>
        <v>0</v>
      </c>
      <c r="K3284" s="99" t="n">
        <f aca="false">MAX(0,J3284-J3587)</f>
        <v>0</v>
      </c>
      <c r="L3284" s="99" t="n">
        <f aca="false">MAX(0,K3284-K3587)</f>
        <v>0</v>
      </c>
      <c r="M3284" s="99" t="n">
        <f aca="false">MAX(0,L3284-L3587)</f>
        <v>0</v>
      </c>
    </row>
    <row r="3285" customFormat="false" ht="15" hidden="false" customHeight="false" outlineLevel="0" collapsed="false">
      <c r="B3285" s="108" t="n">
        <f aca="false">'Loan Tape'!$A251</f>
        <v>0</v>
      </c>
      <c r="C3285" s="71" t="n">
        <f aca="false">IF(Fin_Flag="Yes",'Loan Tape'!$BC251,0)</f>
        <v>0</v>
      </c>
      <c r="D3285" s="71" t="n">
        <f aca="false">MAX(0,C3285-C3588)</f>
        <v>0</v>
      </c>
      <c r="E3285" s="71" t="n">
        <f aca="false">MAX(0,D3285-D3588)</f>
        <v>0</v>
      </c>
      <c r="F3285" s="71" t="n">
        <f aca="false">MAX(0,E3285-E3588)</f>
        <v>0</v>
      </c>
      <c r="G3285" s="71" t="n">
        <f aca="false">MAX(0,F3285-F3588)</f>
        <v>0</v>
      </c>
      <c r="H3285" s="71" t="n">
        <f aca="false">MAX(0,G3285-G3588)</f>
        <v>0</v>
      </c>
      <c r="I3285" s="71" t="n">
        <f aca="false">MAX(0,H3285-H3588)</f>
        <v>0</v>
      </c>
      <c r="J3285" s="71" t="n">
        <f aca="false">MAX(0,I3285-I3588)</f>
        <v>0</v>
      </c>
      <c r="K3285" s="71" t="n">
        <f aca="false">MAX(0,J3285-J3588)</f>
        <v>0</v>
      </c>
      <c r="L3285" s="71" t="n">
        <f aca="false">MAX(0,K3285-K3588)</f>
        <v>0</v>
      </c>
      <c r="M3285" s="71" t="n">
        <f aca="false">MAX(0,L3285-L3588)</f>
        <v>0</v>
      </c>
    </row>
    <row r="3286" customFormat="false" ht="15" hidden="false" customHeight="false" outlineLevel="0" collapsed="false">
      <c r="B3286" s="102" t="n">
        <f aca="false">'Loan Tape'!$A252</f>
        <v>0</v>
      </c>
      <c r="C3286" s="99" t="n">
        <f aca="false">IF(Fin_Flag="Yes",'Loan Tape'!$BC252,0)</f>
        <v>0</v>
      </c>
      <c r="D3286" s="99" t="n">
        <f aca="false">MAX(0,C3286-C3589)</f>
        <v>0</v>
      </c>
      <c r="E3286" s="99" t="n">
        <f aca="false">MAX(0,D3286-D3589)</f>
        <v>0</v>
      </c>
      <c r="F3286" s="99" t="n">
        <f aca="false">MAX(0,E3286-E3589)</f>
        <v>0</v>
      </c>
      <c r="G3286" s="99" t="n">
        <f aca="false">MAX(0,F3286-F3589)</f>
        <v>0</v>
      </c>
      <c r="H3286" s="99" t="n">
        <f aca="false">MAX(0,G3286-G3589)</f>
        <v>0</v>
      </c>
      <c r="I3286" s="99" t="n">
        <f aca="false">MAX(0,H3286-H3589)</f>
        <v>0</v>
      </c>
      <c r="J3286" s="99" t="n">
        <f aca="false">MAX(0,I3286-I3589)</f>
        <v>0</v>
      </c>
      <c r="K3286" s="99" t="n">
        <f aca="false">MAX(0,J3286-J3589)</f>
        <v>0</v>
      </c>
      <c r="L3286" s="99" t="n">
        <f aca="false">MAX(0,K3286-K3589)</f>
        <v>0</v>
      </c>
      <c r="M3286" s="99" t="n">
        <f aca="false">MAX(0,L3286-L3589)</f>
        <v>0</v>
      </c>
    </row>
    <row r="3287" customFormat="false" ht="15" hidden="false" customHeight="false" outlineLevel="0" collapsed="false">
      <c r="B3287" s="108" t="n">
        <f aca="false">'Loan Tape'!$A253</f>
        <v>0</v>
      </c>
      <c r="C3287" s="71" t="n">
        <f aca="false">IF(Fin_Flag="Yes",'Loan Tape'!$BC253,0)</f>
        <v>0</v>
      </c>
      <c r="D3287" s="71" t="n">
        <f aca="false">MAX(0,C3287-C3590)</f>
        <v>0</v>
      </c>
      <c r="E3287" s="71" t="n">
        <f aca="false">MAX(0,D3287-D3590)</f>
        <v>0</v>
      </c>
      <c r="F3287" s="71" t="n">
        <f aca="false">MAX(0,E3287-E3590)</f>
        <v>0</v>
      </c>
      <c r="G3287" s="71" t="n">
        <f aca="false">MAX(0,F3287-F3590)</f>
        <v>0</v>
      </c>
      <c r="H3287" s="71" t="n">
        <f aca="false">MAX(0,G3287-G3590)</f>
        <v>0</v>
      </c>
      <c r="I3287" s="71" t="n">
        <f aca="false">MAX(0,H3287-H3590)</f>
        <v>0</v>
      </c>
      <c r="J3287" s="71" t="n">
        <f aca="false">MAX(0,I3287-I3590)</f>
        <v>0</v>
      </c>
      <c r="K3287" s="71" t="n">
        <f aca="false">MAX(0,J3287-J3590)</f>
        <v>0</v>
      </c>
      <c r="L3287" s="71" t="n">
        <f aca="false">MAX(0,K3287-K3590)</f>
        <v>0</v>
      </c>
      <c r="M3287" s="71" t="n">
        <f aca="false">MAX(0,L3287-L3590)</f>
        <v>0</v>
      </c>
    </row>
    <row r="3288" customFormat="false" ht="15" hidden="false" customHeight="false" outlineLevel="0" collapsed="false">
      <c r="B3288" s="102" t="n">
        <f aca="false">'Loan Tape'!$A254</f>
        <v>0</v>
      </c>
      <c r="C3288" s="99" t="n">
        <f aca="false">IF(Fin_Flag="Yes",'Loan Tape'!$BC254,0)</f>
        <v>0</v>
      </c>
      <c r="D3288" s="99" t="n">
        <f aca="false">MAX(0,C3288-C3591)</f>
        <v>0</v>
      </c>
      <c r="E3288" s="99" t="n">
        <f aca="false">MAX(0,D3288-D3591)</f>
        <v>0</v>
      </c>
      <c r="F3288" s="99" t="n">
        <f aca="false">MAX(0,E3288-E3591)</f>
        <v>0</v>
      </c>
      <c r="G3288" s="99" t="n">
        <f aca="false">MAX(0,F3288-F3591)</f>
        <v>0</v>
      </c>
      <c r="H3288" s="99" t="n">
        <f aca="false">MAX(0,G3288-G3591)</f>
        <v>0</v>
      </c>
      <c r="I3288" s="99" t="n">
        <f aca="false">MAX(0,H3288-H3591)</f>
        <v>0</v>
      </c>
      <c r="J3288" s="99" t="n">
        <f aca="false">MAX(0,I3288-I3591)</f>
        <v>0</v>
      </c>
      <c r="K3288" s="99" t="n">
        <f aca="false">MAX(0,J3288-J3591)</f>
        <v>0</v>
      </c>
      <c r="L3288" s="99" t="n">
        <f aca="false">MAX(0,K3288-K3591)</f>
        <v>0</v>
      </c>
      <c r="M3288" s="99" t="n">
        <f aca="false">MAX(0,L3288-L3591)</f>
        <v>0</v>
      </c>
    </row>
    <row r="3289" customFormat="false" ht="15" hidden="false" customHeight="false" outlineLevel="0" collapsed="false">
      <c r="B3289" s="108" t="n">
        <f aca="false">'Loan Tape'!$A255</f>
        <v>0</v>
      </c>
      <c r="C3289" s="71" t="n">
        <f aca="false">IF(Fin_Flag="Yes",'Loan Tape'!$BC255,0)</f>
        <v>0</v>
      </c>
      <c r="D3289" s="71" t="n">
        <f aca="false">MAX(0,C3289-C3592)</f>
        <v>0</v>
      </c>
      <c r="E3289" s="71" t="n">
        <f aca="false">MAX(0,D3289-D3592)</f>
        <v>0</v>
      </c>
      <c r="F3289" s="71" t="n">
        <f aca="false">MAX(0,E3289-E3592)</f>
        <v>0</v>
      </c>
      <c r="G3289" s="71" t="n">
        <f aca="false">MAX(0,F3289-F3592)</f>
        <v>0</v>
      </c>
      <c r="H3289" s="71" t="n">
        <f aca="false">MAX(0,G3289-G3592)</f>
        <v>0</v>
      </c>
      <c r="I3289" s="71" t="n">
        <f aca="false">MAX(0,H3289-H3592)</f>
        <v>0</v>
      </c>
      <c r="J3289" s="71" t="n">
        <f aca="false">MAX(0,I3289-I3592)</f>
        <v>0</v>
      </c>
      <c r="K3289" s="71" t="n">
        <f aca="false">MAX(0,J3289-J3592)</f>
        <v>0</v>
      </c>
      <c r="L3289" s="71" t="n">
        <f aca="false">MAX(0,K3289-K3592)</f>
        <v>0</v>
      </c>
      <c r="M3289" s="71" t="n">
        <f aca="false">MAX(0,L3289-L3592)</f>
        <v>0</v>
      </c>
    </row>
    <row r="3290" customFormat="false" ht="15" hidden="false" customHeight="false" outlineLevel="0" collapsed="false">
      <c r="B3290" s="102" t="n">
        <f aca="false">'Loan Tape'!$A256</f>
        <v>0</v>
      </c>
      <c r="C3290" s="99" t="n">
        <f aca="false">IF(Fin_Flag="Yes",'Loan Tape'!$BC256,0)</f>
        <v>0</v>
      </c>
      <c r="D3290" s="99" t="n">
        <f aca="false">MAX(0,C3290-C3593)</f>
        <v>0</v>
      </c>
      <c r="E3290" s="99" t="n">
        <f aca="false">MAX(0,D3290-D3593)</f>
        <v>0</v>
      </c>
      <c r="F3290" s="99" t="n">
        <f aca="false">MAX(0,E3290-E3593)</f>
        <v>0</v>
      </c>
      <c r="G3290" s="99" t="n">
        <f aca="false">MAX(0,F3290-F3593)</f>
        <v>0</v>
      </c>
      <c r="H3290" s="99" t="n">
        <f aca="false">MAX(0,G3290-G3593)</f>
        <v>0</v>
      </c>
      <c r="I3290" s="99" t="n">
        <f aca="false">MAX(0,H3290-H3593)</f>
        <v>0</v>
      </c>
      <c r="J3290" s="99" t="n">
        <f aca="false">MAX(0,I3290-I3593)</f>
        <v>0</v>
      </c>
      <c r="K3290" s="99" t="n">
        <f aca="false">MAX(0,J3290-J3593)</f>
        <v>0</v>
      </c>
      <c r="L3290" s="99" t="n">
        <f aca="false">MAX(0,K3290-K3593)</f>
        <v>0</v>
      </c>
      <c r="M3290" s="99" t="n">
        <f aca="false">MAX(0,L3290-L3593)</f>
        <v>0</v>
      </c>
    </row>
    <row r="3291" customFormat="false" ht="15" hidden="false" customHeight="false" outlineLevel="0" collapsed="false">
      <c r="B3291" s="108" t="n">
        <f aca="false">'Loan Tape'!$A257</f>
        <v>0</v>
      </c>
      <c r="C3291" s="71" t="n">
        <f aca="false">IF(Fin_Flag="Yes",'Loan Tape'!$BC257,0)</f>
        <v>0</v>
      </c>
      <c r="D3291" s="71" t="n">
        <f aca="false">MAX(0,C3291-C3594)</f>
        <v>0</v>
      </c>
      <c r="E3291" s="71" t="n">
        <f aca="false">MAX(0,D3291-D3594)</f>
        <v>0</v>
      </c>
      <c r="F3291" s="71" t="n">
        <f aca="false">MAX(0,E3291-E3594)</f>
        <v>0</v>
      </c>
      <c r="G3291" s="71" t="n">
        <f aca="false">MAX(0,F3291-F3594)</f>
        <v>0</v>
      </c>
      <c r="H3291" s="71" t="n">
        <f aca="false">MAX(0,G3291-G3594)</f>
        <v>0</v>
      </c>
      <c r="I3291" s="71" t="n">
        <f aca="false">MAX(0,H3291-H3594)</f>
        <v>0</v>
      </c>
      <c r="J3291" s="71" t="n">
        <f aca="false">MAX(0,I3291-I3594)</f>
        <v>0</v>
      </c>
      <c r="K3291" s="71" t="n">
        <f aca="false">MAX(0,J3291-J3594)</f>
        <v>0</v>
      </c>
      <c r="L3291" s="71" t="n">
        <f aca="false">MAX(0,K3291-K3594)</f>
        <v>0</v>
      </c>
      <c r="M3291" s="71" t="n">
        <f aca="false">MAX(0,L3291-L3594)</f>
        <v>0</v>
      </c>
    </row>
    <row r="3292" customFormat="false" ht="15" hidden="false" customHeight="false" outlineLevel="0" collapsed="false">
      <c r="B3292" s="102" t="n">
        <f aca="false">'Loan Tape'!$A258</f>
        <v>0</v>
      </c>
      <c r="C3292" s="99" t="n">
        <f aca="false">IF(Fin_Flag="Yes",'Loan Tape'!$BC258,0)</f>
        <v>0</v>
      </c>
      <c r="D3292" s="99" t="n">
        <f aca="false">MAX(0,C3292-C3595)</f>
        <v>0</v>
      </c>
      <c r="E3292" s="99" t="n">
        <f aca="false">MAX(0,D3292-D3595)</f>
        <v>0</v>
      </c>
      <c r="F3292" s="99" t="n">
        <f aca="false">MAX(0,E3292-E3595)</f>
        <v>0</v>
      </c>
      <c r="G3292" s="99" t="n">
        <f aca="false">MAX(0,F3292-F3595)</f>
        <v>0</v>
      </c>
      <c r="H3292" s="99" t="n">
        <f aca="false">MAX(0,G3292-G3595)</f>
        <v>0</v>
      </c>
      <c r="I3292" s="99" t="n">
        <f aca="false">MAX(0,H3292-H3595)</f>
        <v>0</v>
      </c>
      <c r="J3292" s="99" t="n">
        <f aca="false">MAX(0,I3292-I3595)</f>
        <v>0</v>
      </c>
      <c r="K3292" s="99" t="n">
        <f aca="false">MAX(0,J3292-J3595)</f>
        <v>0</v>
      </c>
      <c r="L3292" s="99" t="n">
        <f aca="false">MAX(0,K3292-K3595)</f>
        <v>0</v>
      </c>
      <c r="M3292" s="99" t="n">
        <f aca="false">MAX(0,L3292-L3595)</f>
        <v>0</v>
      </c>
    </row>
    <row r="3293" customFormat="false" ht="15" hidden="false" customHeight="false" outlineLevel="0" collapsed="false">
      <c r="B3293" s="108" t="n">
        <f aca="false">'Loan Tape'!$A259</f>
        <v>0</v>
      </c>
      <c r="C3293" s="71" t="n">
        <f aca="false">IF(Fin_Flag="Yes",'Loan Tape'!$BC259,0)</f>
        <v>0</v>
      </c>
      <c r="D3293" s="71" t="n">
        <f aca="false">MAX(0,C3293-C3596)</f>
        <v>0</v>
      </c>
      <c r="E3293" s="71" t="n">
        <f aca="false">MAX(0,D3293-D3596)</f>
        <v>0</v>
      </c>
      <c r="F3293" s="71" t="n">
        <f aca="false">MAX(0,E3293-E3596)</f>
        <v>0</v>
      </c>
      <c r="G3293" s="71" t="n">
        <f aca="false">MAX(0,F3293-F3596)</f>
        <v>0</v>
      </c>
      <c r="H3293" s="71" t="n">
        <f aca="false">MAX(0,G3293-G3596)</f>
        <v>0</v>
      </c>
      <c r="I3293" s="71" t="n">
        <f aca="false">MAX(0,H3293-H3596)</f>
        <v>0</v>
      </c>
      <c r="J3293" s="71" t="n">
        <f aca="false">MAX(0,I3293-I3596)</f>
        <v>0</v>
      </c>
      <c r="K3293" s="71" t="n">
        <f aca="false">MAX(0,J3293-J3596)</f>
        <v>0</v>
      </c>
      <c r="L3293" s="71" t="n">
        <f aca="false">MAX(0,K3293-K3596)</f>
        <v>0</v>
      </c>
      <c r="M3293" s="71" t="n">
        <f aca="false">MAX(0,L3293-L3596)</f>
        <v>0</v>
      </c>
    </row>
    <row r="3294" customFormat="false" ht="15" hidden="false" customHeight="false" outlineLevel="0" collapsed="false">
      <c r="B3294" s="102" t="n">
        <f aca="false">'Loan Tape'!$A260</f>
        <v>0</v>
      </c>
      <c r="C3294" s="99" t="n">
        <f aca="false">IF(Fin_Flag="Yes",'Loan Tape'!$BC260,0)</f>
        <v>0</v>
      </c>
      <c r="D3294" s="99" t="n">
        <f aca="false">MAX(0,C3294-C3597)</f>
        <v>0</v>
      </c>
      <c r="E3294" s="99" t="n">
        <f aca="false">MAX(0,D3294-D3597)</f>
        <v>0</v>
      </c>
      <c r="F3294" s="99" t="n">
        <f aca="false">MAX(0,E3294-E3597)</f>
        <v>0</v>
      </c>
      <c r="G3294" s="99" t="n">
        <f aca="false">MAX(0,F3294-F3597)</f>
        <v>0</v>
      </c>
      <c r="H3294" s="99" t="n">
        <f aca="false">MAX(0,G3294-G3597)</f>
        <v>0</v>
      </c>
      <c r="I3294" s="99" t="n">
        <f aca="false">MAX(0,H3294-H3597)</f>
        <v>0</v>
      </c>
      <c r="J3294" s="99" t="n">
        <f aca="false">MAX(0,I3294-I3597)</f>
        <v>0</v>
      </c>
      <c r="K3294" s="99" t="n">
        <f aca="false">MAX(0,J3294-J3597)</f>
        <v>0</v>
      </c>
      <c r="L3294" s="99" t="n">
        <f aca="false">MAX(0,K3294-K3597)</f>
        <v>0</v>
      </c>
      <c r="M3294" s="99" t="n">
        <f aca="false">MAX(0,L3294-L3597)</f>
        <v>0</v>
      </c>
    </row>
    <row r="3295" customFormat="false" ht="15" hidden="false" customHeight="false" outlineLevel="0" collapsed="false">
      <c r="B3295" s="108" t="n">
        <f aca="false">'Loan Tape'!$A261</f>
        <v>0</v>
      </c>
      <c r="C3295" s="71" t="n">
        <f aca="false">IF(Fin_Flag="Yes",'Loan Tape'!$BC261,0)</f>
        <v>0</v>
      </c>
      <c r="D3295" s="71" t="n">
        <f aca="false">MAX(0,C3295-C3598)</f>
        <v>0</v>
      </c>
      <c r="E3295" s="71" t="n">
        <f aca="false">MAX(0,D3295-D3598)</f>
        <v>0</v>
      </c>
      <c r="F3295" s="71" t="n">
        <f aca="false">MAX(0,E3295-E3598)</f>
        <v>0</v>
      </c>
      <c r="G3295" s="71" t="n">
        <f aca="false">MAX(0,F3295-F3598)</f>
        <v>0</v>
      </c>
      <c r="H3295" s="71" t="n">
        <f aca="false">MAX(0,G3295-G3598)</f>
        <v>0</v>
      </c>
      <c r="I3295" s="71" t="n">
        <f aca="false">MAX(0,H3295-H3598)</f>
        <v>0</v>
      </c>
      <c r="J3295" s="71" t="n">
        <f aca="false">MAX(0,I3295-I3598)</f>
        <v>0</v>
      </c>
      <c r="K3295" s="71" t="n">
        <f aca="false">MAX(0,J3295-J3598)</f>
        <v>0</v>
      </c>
      <c r="L3295" s="71" t="n">
        <f aca="false">MAX(0,K3295-K3598)</f>
        <v>0</v>
      </c>
      <c r="M3295" s="71" t="n">
        <f aca="false">MAX(0,L3295-L3598)</f>
        <v>0</v>
      </c>
    </row>
    <row r="3296" customFormat="false" ht="15" hidden="false" customHeight="false" outlineLevel="0" collapsed="false">
      <c r="B3296" s="102" t="n">
        <f aca="false">'Loan Tape'!$A262</f>
        <v>0</v>
      </c>
      <c r="C3296" s="99" t="n">
        <f aca="false">IF(Fin_Flag="Yes",'Loan Tape'!$BC262,0)</f>
        <v>0</v>
      </c>
      <c r="D3296" s="99" t="n">
        <f aca="false">MAX(0,C3296-C3599)</f>
        <v>0</v>
      </c>
      <c r="E3296" s="99" t="n">
        <f aca="false">MAX(0,D3296-D3599)</f>
        <v>0</v>
      </c>
      <c r="F3296" s="99" t="n">
        <f aca="false">MAX(0,E3296-E3599)</f>
        <v>0</v>
      </c>
      <c r="G3296" s="99" t="n">
        <f aca="false">MAX(0,F3296-F3599)</f>
        <v>0</v>
      </c>
      <c r="H3296" s="99" t="n">
        <f aca="false">MAX(0,G3296-G3599)</f>
        <v>0</v>
      </c>
      <c r="I3296" s="99" t="n">
        <f aca="false">MAX(0,H3296-H3599)</f>
        <v>0</v>
      </c>
      <c r="J3296" s="99" t="n">
        <f aca="false">MAX(0,I3296-I3599)</f>
        <v>0</v>
      </c>
      <c r="K3296" s="99" t="n">
        <f aca="false">MAX(0,J3296-J3599)</f>
        <v>0</v>
      </c>
      <c r="L3296" s="99" t="n">
        <f aca="false">MAX(0,K3296-K3599)</f>
        <v>0</v>
      </c>
      <c r="M3296" s="99" t="n">
        <f aca="false">MAX(0,L3296-L3599)</f>
        <v>0</v>
      </c>
    </row>
    <row r="3297" customFormat="false" ht="15" hidden="false" customHeight="false" outlineLevel="0" collapsed="false">
      <c r="B3297" s="108" t="n">
        <f aca="false">'Loan Tape'!$A263</f>
        <v>0</v>
      </c>
      <c r="C3297" s="71" t="n">
        <f aca="false">IF(Fin_Flag="Yes",'Loan Tape'!$BC263,0)</f>
        <v>0</v>
      </c>
      <c r="D3297" s="71" t="n">
        <f aca="false">MAX(0,C3297-C3600)</f>
        <v>0</v>
      </c>
      <c r="E3297" s="71" t="n">
        <f aca="false">MAX(0,D3297-D3600)</f>
        <v>0</v>
      </c>
      <c r="F3297" s="71" t="n">
        <f aca="false">MAX(0,E3297-E3600)</f>
        <v>0</v>
      </c>
      <c r="G3297" s="71" t="n">
        <f aca="false">MAX(0,F3297-F3600)</f>
        <v>0</v>
      </c>
      <c r="H3297" s="71" t="n">
        <f aca="false">MAX(0,G3297-G3600)</f>
        <v>0</v>
      </c>
      <c r="I3297" s="71" t="n">
        <f aca="false">MAX(0,H3297-H3600)</f>
        <v>0</v>
      </c>
      <c r="J3297" s="71" t="n">
        <f aca="false">MAX(0,I3297-I3600)</f>
        <v>0</v>
      </c>
      <c r="K3297" s="71" t="n">
        <f aca="false">MAX(0,J3297-J3600)</f>
        <v>0</v>
      </c>
      <c r="L3297" s="71" t="n">
        <f aca="false">MAX(0,K3297-K3600)</f>
        <v>0</v>
      </c>
      <c r="M3297" s="71" t="n">
        <f aca="false">MAX(0,L3297-L3600)</f>
        <v>0</v>
      </c>
    </row>
    <row r="3298" customFormat="false" ht="15" hidden="false" customHeight="false" outlineLevel="0" collapsed="false">
      <c r="B3298" s="102" t="n">
        <f aca="false">'Loan Tape'!$A264</f>
        <v>0</v>
      </c>
      <c r="C3298" s="99" t="n">
        <f aca="false">IF(Fin_Flag="Yes",'Loan Tape'!$BC264,0)</f>
        <v>0</v>
      </c>
      <c r="D3298" s="99" t="n">
        <f aca="false">MAX(0,C3298-C3601)</f>
        <v>0</v>
      </c>
      <c r="E3298" s="99" t="n">
        <f aca="false">MAX(0,D3298-D3601)</f>
        <v>0</v>
      </c>
      <c r="F3298" s="99" t="n">
        <f aca="false">MAX(0,E3298-E3601)</f>
        <v>0</v>
      </c>
      <c r="G3298" s="99" t="n">
        <f aca="false">MAX(0,F3298-F3601)</f>
        <v>0</v>
      </c>
      <c r="H3298" s="99" t="n">
        <f aca="false">MAX(0,G3298-G3601)</f>
        <v>0</v>
      </c>
      <c r="I3298" s="99" t="n">
        <f aca="false">MAX(0,H3298-H3601)</f>
        <v>0</v>
      </c>
      <c r="J3298" s="99" t="n">
        <f aca="false">MAX(0,I3298-I3601)</f>
        <v>0</v>
      </c>
      <c r="K3298" s="99" t="n">
        <f aca="false">MAX(0,J3298-J3601)</f>
        <v>0</v>
      </c>
      <c r="L3298" s="99" t="n">
        <f aca="false">MAX(0,K3298-K3601)</f>
        <v>0</v>
      </c>
      <c r="M3298" s="99" t="n">
        <f aca="false">MAX(0,L3298-L3601)</f>
        <v>0</v>
      </c>
    </row>
    <row r="3299" customFormat="false" ht="15" hidden="false" customHeight="false" outlineLevel="0" collapsed="false">
      <c r="B3299" s="108" t="n">
        <f aca="false">'Loan Tape'!$A265</f>
        <v>0</v>
      </c>
      <c r="C3299" s="71" t="n">
        <f aca="false">IF(Fin_Flag="Yes",'Loan Tape'!$BC265,0)</f>
        <v>0</v>
      </c>
      <c r="D3299" s="71" t="n">
        <f aca="false">MAX(0,C3299-C3602)</f>
        <v>0</v>
      </c>
      <c r="E3299" s="71" t="n">
        <f aca="false">MAX(0,D3299-D3602)</f>
        <v>0</v>
      </c>
      <c r="F3299" s="71" t="n">
        <f aca="false">MAX(0,E3299-E3602)</f>
        <v>0</v>
      </c>
      <c r="G3299" s="71" t="n">
        <f aca="false">MAX(0,F3299-F3602)</f>
        <v>0</v>
      </c>
      <c r="H3299" s="71" t="n">
        <f aca="false">MAX(0,G3299-G3602)</f>
        <v>0</v>
      </c>
      <c r="I3299" s="71" t="n">
        <f aca="false">MAX(0,H3299-H3602)</f>
        <v>0</v>
      </c>
      <c r="J3299" s="71" t="n">
        <f aca="false">MAX(0,I3299-I3602)</f>
        <v>0</v>
      </c>
      <c r="K3299" s="71" t="n">
        <f aca="false">MAX(0,J3299-J3602)</f>
        <v>0</v>
      </c>
      <c r="L3299" s="71" t="n">
        <f aca="false">MAX(0,K3299-K3602)</f>
        <v>0</v>
      </c>
      <c r="M3299" s="71" t="n">
        <f aca="false">MAX(0,L3299-L3602)</f>
        <v>0</v>
      </c>
    </row>
    <row r="3300" customFormat="false" ht="15" hidden="false" customHeight="false" outlineLevel="0" collapsed="false">
      <c r="B3300" s="102" t="n">
        <f aca="false">'Loan Tape'!$A266</f>
        <v>0</v>
      </c>
      <c r="C3300" s="99" t="n">
        <f aca="false">IF(Fin_Flag="Yes",'Loan Tape'!$BC266,0)</f>
        <v>0</v>
      </c>
      <c r="D3300" s="99" t="n">
        <f aca="false">MAX(0,C3300-C3603)</f>
        <v>0</v>
      </c>
      <c r="E3300" s="99" t="n">
        <f aca="false">MAX(0,D3300-D3603)</f>
        <v>0</v>
      </c>
      <c r="F3300" s="99" t="n">
        <f aca="false">MAX(0,E3300-E3603)</f>
        <v>0</v>
      </c>
      <c r="G3300" s="99" t="n">
        <f aca="false">MAX(0,F3300-F3603)</f>
        <v>0</v>
      </c>
      <c r="H3300" s="99" t="n">
        <f aca="false">MAX(0,G3300-G3603)</f>
        <v>0</v>
      </c>
      <c r="I3300" s="99" t="n">
        <f aca="false">MAX(0,H3300-H3603)</f>
        <v>0</v>
      </c>
      <c r="J3300" s="99" t="n">
        <f aca="false">MAX(0,I3300-I3603)</f>
        <v>0</v>
      </c>
      <c r="K3300" s="99" t="n">
        <f aca="false">MAX(0,J3300-J3603)</f>
        <v>0</v>
      </c>
      <c r="L3300" s="99" t="n">
        <f aca="false">MAX(0,K3300-K3603)</f>
        <v>0</v>
      </c>
      <c r="M3300" s="99" t="n">
        <f aca="false">MAX(0,L3300-L3603)</f>
        <v>0</v>
      </c>
    </row>
    <row r="3301" customFormat="false" ht="15" hidden="false" customHeight="false" outlineLevel="0" collapsed="false">
      <c r="B3301" s="108" t="n">
        <f aca="false">'Loan Tape'!$A267</f>
        <v>0</v>
      </c>
      <c r="C3301" s="71" t="n">
        <f aca="false">IF(Fin_Flag="Yes",'Loan Tape'!$BC267,0)</f>
        <v>0</v>
      </c>
      <c r="D3301" s="71" t="n">
        <f aca="false">MAX(0,C3301-C3604)</f>
        <v>0</v>
      </c>
      <c r="E3301" s="71" t="n">
        <f aca="false">MAX(0,D3301-D3604)</f>
        <v>0</v>
      </c>
      <c r="F3301" s="71" t="n">
        <f aca="false">MAX(0,E3301-E3604)</f>
        <v>0</v>
      </c>
      <c r="G3301" s="71" t="n">
        <f aca="false">MAX(0,F3301-F3604)</f>
        <v>0</v>
      </c>
      <c r="H3301" s="71" t="n">
        <f aca="false">MAX(0,G3301-G3604)</f>
        <v>0</v>
      </c>
      <c r="I3301" s="71" t="n">
        <f aca="false">MAX(0,H3301-H3604)</f>
        <v>0</v>
      </c>
      <c r="J3301" s="71" t="n">
        <f aca="false">MAX(0,I3301-I3604)</f>
        <v>0</v>
      </c>
      <c r="K3301" s="71" t="n">
        <f aca="false">MAX(0,J3301-J3604)</f>
        <v>0</v>
      </c>
      <c r="L3301" s="71" t="n">
        <f aca="false">MAX(0,K3301-K3604)</f>
        <v>0</v>
      </c>
      <c r="M3301" s="71" t="n">
        <f aca="false">MAX(0,L3301-L3604)</f>
        <v>0</v>
      </c>
    </row>
    <row r="3302" customFormat="false" ht="15" hidden="false" customHeight="false" outlineLevel="0" collapsed="false">
      <c r="B3302" s="102" t="n">
        <f aca="false">'Loan Tape'!$A268</f>
        <v>0</v>
      </c>
      <c r="C3302" s="99" t="n">
        <f aca="false">IF(Fin_Flag="Yes",'Loan Tape'!$BC268,0)</f>
        <v>0</v>
      </c>
      <c r="D3302" s="99" t="n">
        <f aca="false">MAX(0,C3302-C3605)</f>
        <v>0</v>
      </c>
      <c r="E3302" s="99" t="n">
        <f aca="false">MAX(0,D3302-D3605)</f>
        <v>0</v>
      </c>
      <c r="F3302" s="99" t="n">
        <f aca="false">MAX(0,E3302-E3605)</f>
        <v>0</v>
      </c>
      <c r="G3302" s="99" t="n">
        <f aca="false">MAX(0,F3302-F3605)</f>
        <v>0</v>
      </c>
      <c r="H3302" s="99" t="n">
        <f aca="false">MAX(0,G3302-G3605)</f>
        <v>0</v>
      </c>
      <c r="I3302" s="99" t="n">
        <f aca="false">MAX(0,H3302-H3605)</f>
        <v>0</v>
      </c>
      <c r="J3302" s="99" t="n">
        <f aca="false">MAX(0,I3302-I3605)</f>
        <v>0</v>
      </c>
      <c r="K3302" s="99" t="n">
        <f aca="false">MAX(0,J3302-J3605)</f>
        <v>0</v>
      </c>
      <c r="L3302" s="99" t="n">
        <f aca="false">MAX(0,K3302-K3605)</f>
        <v>0</v>
      </c>
      <c r="M3302" s="99" t="n">
        <f aca="false">MAX(0,L3302-L3605)</f>
        <v>0</v>
      </c>
    </row>
    <row r="3303" customFormat="false" ht="15" hidden="false" customHeight="false" outlineLevel="0" collapsed="false">
      <c r="B3303" s="108" t="n">
        <f aca="false">'Loan Tape'!$A269</f>
        <v>0</v>
      </c>
      <c r="C3303" s="71" t="n">
        <f aca="false">IF(Fin_Flag="Yes",'Loan Tape'!$BC269,0)</f>
        <v>0</v>
      </c>
      <c r="D3303" s="71" t="n">
        <f aca="false">MAX(0,C3303-C3606)</f>
        <v>0</v>
      </c>
      <c r="E3303" s="71" t="n">
        <f aca="false">MAX(0,D3303-D3606)</f>
        <v>0</v>
      </c>
      <c r="F3303" s="71" t="n">
        <f aca="false">MAX(0,E3303-E3606)</f>
        <v>0</v>
      </c>
      <c r="G3303" s="71" t="n">
        <f aca="false">MAX(0,F3303-F3606)</f>
        <v>0</v>
      </c>
      <c r="H3303" s="71" t="n">
        <f aca="false">MAX(0,G3303-G3606)</f>
        <v>0</v>
      </c>
      <c r="I3303" s="71" t="n">
        <f aca="false">MAX(0,H3303-H3606)</f>
        <v>0</v>
      </c>
      <c r="J3303" s="71" t="n">
        <f aca="false">MAX(0,I3303-I3606)</f>
        <v>0</v>
      </c>
      <c r="K3303" s="71" t="n">
        <f aca="false">MAX(0,J3303-J3606)</f>
        <v>0</v>
      </c>
      <c r="L3303" s="71" t="n">
        <f aca="false">MAX(0,K3303-K3606)</f>
        <v>0</v>
      </c>
      <c r="M3303" s="71" t="n">
        <f aca="false">MAX(0,L3303-L3606)</f>
        <v>0</v>
      </c>
    </row>
    <row r="3304" customFormat="false" ht="15" hidden="false" customHeight="false" outlineLevel="0" collapsed="false">
      <c r="B3304" s="102" t="n">
        <f aca="false">'Loan Tape'!$A270</f>
        <v>0</v>
      </c>
      <c r="C3304" s="99" t="n">
        <f aca="false">IF(Fin_Flag="Yes",'Loan Tape'!$BC270,0)</f>
        <v>0</v>
      </c>
      <c r="D3304" s="99" t="n">
        <f aca="false">MAX(0,C3304-C3607)</f>
        <v>0</v>
      </c>
      <c r="E3304" s="99" t="n">
        <f aca="false">MAX(0,D3304-D3607)</f>
        <v>0</v>
      </c>
      <c r="F3304" s="99" t="n">
        <f aca="false">MAX(0,E3304-E3607)</f>
        <v>0</v>
      </c>
      <c r="G3304" s="99" t="n">
        <f aca="false">MAX(0,F3304-F3607)</f>
        <v>0</v>
      </c>
      <c r="H3304" s="99" t="n">
        <f aca="false">MAX(0,G3304-G3607)</f>
        <v>0</v>
      </c>
      <c r="I3304" s="99" t="n">
        <f aca="false">MAX(0,H3304-H3607)</f>
        <v>0</v>
      </c>
      <c r="J3304" s="99" t="n">
        <f aca="false">MAX(0,I3304-I3607)</f>
        <v>0</v>
      </c>
      <c r="K3304" s="99" t="n">
        <f aca="false">MAX(0,J3304-J3607)</f>
        <v>0</v>
      </c>
      <c r="L3304" s="99" t="n">
        <f aca="false">MAX(0,K3304-K3607)</f>
        <v>0</v>
      </c>
      <c r="M3304" s="99" t="n">
        <f aca="false">MAX(0,L3304-L3607)</f>
        <v>0</v>
      </c>
    </row>
    <row r="3305" customFormat="false" ht="15" hidden="false" customHeight="false" outlineLevel="0" collapsed="false">
      <c r="B3305" s="108" t="n">
        <f aca="false">'Loan Tape'!$A271</f>
        <v>0</v>
      </c>
      <c r="C3305" s="71" t="n">
        <f aca="false">IF(Fin_Flag="Yes",'Loan Tape'!$BC271,0)</f>
        <v>0</v>
      </c>
      <c r="D3305" s="71" t="n">
        <f aca="false">MAX(0,C3305-C3608)</f>
        <v>0</v>
      </c>
      <c r="E3305" s="71" t="n">
        <f aca="false">MAX(0,D3305-D3608)</f>
        <v>0</v>
      </c>
      <c r="F3305" s="71" t="n">
        <f aca="false">MAX(0,E3305-E3608)</f>
        <v>0</v>
      </c>
      <c r="G3305" s="71" t="n">
        <f aca="false">MAX(0,F3305-F3608)</f>
        <v>0</v>
      </c>
      <c r="H3305" s="71" t="n">
        <f aca="false">MAX(0,G3305-G3608)</f>
        <v>0</v>
      </c>
      <c r="I3305" s="71" t="n">
        <f aca="false">MAX(0,H3305-H3608)</f>
        <v>0</v>
      </c>
      <c r="J3305" s="71" t="n">
        <f aca="false">MAX(0,I3305-I3608)</f>
        <v>0</v>
      </c>
      <c r="K3305" s="71" t="n">
        <f aca="false">MAX(0,J3305-J3608)</f>
        <v>0</v>
      </c>
      <c r="L3305" s="71" t="n">
        <f aca="false">MAX(0,K3305-K3608)</f>
        <v>0</v>
      </c>
      <c r="M3305" s="71" t="n">
        <f aca="false">MAX(0,L3305-L3608)</f>
        <v>0</v>
      </c>
    </row>
    <row r="3306" customFormat="false" ht="15" hidden="false" customHeight="false" outlineLevel="0" collapsed="false">
      <c r="B3306" s="102" t="n">
        <f aca="false">'Loan Tape'!$A272</f>
        <v>0</v>
      </c>
      <c r="C3306" s="99" t="n">
        <f aca="false">IF(Fin_Flag="Yes",'Loan Tape'!$BC272,0)</f>
        <v>0</v>
      </c>
      <c r="D3306" s="99" t="n">
        <f aca="false">MAX(0,C3306-C3609)</f>
        <v>0</v>
      </c>
      <c r="E3306" s="99" t="n">
        <f aca="false">MAX(0,D3306-D3609)</f>
        <v>0</v>
      </c>
      <c r="F3306" s="99" t="n">
        <f aca="false">MAX(0,E3306-E3609)</f>
        <v>0</v>
      </c>
      <c r="G3306" s="99" t="n">
        <f aca="false">MAX(0,F3306-F3609)</f>
        <v>0</v>
      </c>
      <c r="H3306" s="99" t="n">
        <f aca="false">MAX(0,G3306-G3609)</f>
        <v>0</v>
      </c>
      <c r="I3306" s="99" t="n">
        <f aca="false">MAX(0,H3306-H3609)</f>
        <v>0</v>
      </c>
      <c r="J3306" s="99" t="n">
        <f aca="false">MAX(0,I3306-I3609)</f>
        <v>0</v>
      </c>
      <c r="K3306" s="99" t="n">
        <f aca="false">MAX(0,J3306-J3609)</f>
        <v>0</v>
      </c>
      <c r="L3306" s="99" t="n">
        <f aca="false">MAX(0,K3306-K3609)</f>
        <v>0</v>
      </c>
      <c r="M3306" s="99" t="n">
        <f aca="false">MAX(0,L3306-L3609)</f>
        <v>0</v>
      </c>
    </row>
    <row r="3307" customFormat="false" ht="15" hidden="false" customHeight="false" outlineLevel="0" collapsed="false">
      <c r="B3307" s="108" t="n">
        <f aca="false">'Loan Tape'!$A273</f>
        <v>0</v>
      </c>
      <c r="C3307" s="71" t="n">
        <f aca="false">IF(Fin_Flag="Yes",'Loan Tape'!$BC273,0)</f>
        <v>0</v>
      </c>
      <c r="D3307" s="71" t="n">
        <f aca="false">MAX(0,C3307-C3610)</f>
        <v>0</v>
      </c>
      <c r="E3307" s="71" t="n">
        <f aca="false">MAX(0,D3307-D3610)</f>
        <v>0</v>
      </c>
      <c r="F3307" s="71" t="n">
        <f aca="false">MAX(0,E3307-E3610)</f>
        <v>0</v>
      </c>
      <c r="G3307" s="71" t="n">
        <f aca="false">MAX(0,F3307-F3610)</f>
        <v>0</v>
      </c>
      <c r="H3307" s="71" t="n">
        <f aca="false">MAX(0,G3307-G3610)</f>
        <v>0</v>
      </c>
      <c r="I3307" s="71" t="n">
        <f aca="false">MAX(0,H3307-H3610)</f>
        <v>0</v>
      </c>
      <c r="J3307" s="71" t="n">
        <f aca="false">MAX(0,I3307-I3610)</f>
        <v>0</v>
      </c>
      <c r="K3307" s="71" t="n">
        <f aca="false">MAX(0,J3307-J3610)</f>
        <v>0</v>
      </c>
      <c r="L3307" s="71" t="n">
        <f aca="false">MAX(0,K3307-K3610)</f>
        <v>0</v>
      </c>
      <c r="M3307" s="71" t="n">
        <f aca="false">MAX(0,L3307-L3610)</f>
        <v>0</v>
      </c>
    </row>
    <row r="3308" customFormat="false" ht="15" hidden="false" customHeight="false" outlineLevel="0" collapsed="false">
      <c r="B3308" s="102" t="n">
        <f aca="false">'Loan Tape'!$A274</f>
        <v>0</v>
      </c>
      <c r="C3308" s="99" t="n">
        <f aca="false">IF(Fin_Flag="Yes",'Loan Tape'!$BC274,0)</f>
        <v>0</v>
      </c>
      <c r="D3308" s="99" t="n">
        <f aca="false">MAX(0,C3308-C3611)</f>
        <v>0</v>
      </c>
      <c r="E3308" s="99" t="n">
        <f aca="false">MAX(0,D3308-D3611)</f>
        <v>0</v>
      </c>
      <c r="F3308" s="99" t="n">
        <f aca="false">MAX(0,E3308-E3611)</f>
        <v>0</v>
      </c>
      <c r="G3308" s="99" t="n">
        <f aca="false">MAX(0,F3308-F3611)</f>
        <v>0</v>
      </c>
      <c r="H3308" s="99" t="n">
        <f aca="false">MAX(0,G3308-G3611)</f>
        <v>0</v>
      </c>
      <c r="I3308" s="99" t="n">
        <f aca="false">MAX(0,H3308-H3611)</f>
        <v>0</v>
      </c>
      <c r="J3308" s="99" t="n">
        <f aca="false">MAX(0,I3308-I3611)</f>
        <v>0</v>
      </c>
      <c r="K3308" s="99" t="n">
        <f aca="false">MAX(0,J3308-J3611)</f>
        <v>0</v>
      </c>
      <c r="L3308" s="99" t="n">
        <f aca="false">MAX(0,K3308-K3611)</f>
        <v>0</v>
      </c>
      <c r="M3308" s="99" t="n">
        <f aca="false">MAX(0,L3308-L3611)</f>
        <v>0</v>
      </c>
    </row>
    <row r="3309" customFormat="false" ht="15" hidden="false" customHeight="false" outlineLevel="0" collapsed="false">
      <c r="B3309" s="108" t="n">
        <f aca="false">'Loan Tape'!$A275</f>
        <v>0</v>
      </c>
      <c r="C3309" s="71" t="n">
        <f aca="false">IF(Fin_Flag="Yes",'Loan Tape'!$BC275,0)</f>
        <v>0</v>
      </c>
      <c r="D3309" s="71" t="n">
        <f aca="false">MAX(0,C3309-C3612)</f>
        <v>0</v>
      </c>
      <c r="E3309" s="71" t="n">
        <f aca="false">MAX(0,D3309-D3612)</f>
        <v>0</v>
      </c>
      <c r="F3309" s="71" t="n">
        <f aca="false">MAX(0,E3309-E3612)</f>
        <v>0</v>
      </c>
      <c r="G3309" s="71" t="n">
        <f aca="false">MAX(0,F3309-F3612)</f>
        <v>0</v>
      </c>
      <c r="H3309" s="71" t="n">
        <f aca="false">MAX(0,G3309-G3612)</f>
        <v>0</v>
      </c>
      <c r="I3309" s="71" t="n">
        <f aca="false">MAX(0,H3309-H3612)</f>
        <v>0</v>
      </c>
      <c r="J3309" s="71" t="n">
        <f aca="false">MAX(0,I3309-I3612)</f>
        <v>0</v>
      </c>
      <c r="K3309" s="71" t="n">
        <f aca="false">MAX(0,J3309-J3612)</f>
        <v>0</v>
      </c>
      <c r="L3309" s="71" t="n">
        <f aca="false">MAX(0,K3309-K3612)</f>
        <v>0</v>
      </c>
      <c r="M3309" s="71" t="n">
        <f aca="false">MAX(0,L3309-L3612)</f>
        <v>0</v>
      </c>
    </row>
    <row r="3310" customFormat="false" ht="15" hidden="false" customHeight="false" outlineLevel="0" collapsed="false">
      <c r="B3310" s="102" t="n">
        <f aca="false">'Loan Tape'!$A276</f>
        <v>0</v>
      </c>
      <c r="C3310" s="99" t="n">
        <f aca="false">IF(Fin_Flag="Yes",'Loan Tape'!$BC276,0)</f>
        <v>0</v>
      </c>
      <c r="D3310" s="99" t="n">
        <f aca="false">MAX(0,C3310-C3613)</f>
        <v>0</v>
      </c>
      <c r="E3310" s="99" t="n">
        <f aca="false">MAX(0,D3310-D3613)</f>
        <v>0</v>
      </c>
      <c r="F3310" s="99" t="n">
        <f aca="false">MAX(0,E3310-E3613)</f>
        <v>0</v>
      </c>
      <c r="G3310" s="99" t="n">
        <f aca="false">MAX(0,F3310-F3613)</f>
        <v>0</v>
      </c>
      <c r="H3310" s="99" t="n">
        <f aca="false">MAX(0,G3310-G3613)</f>
        <v>0</v>
      </c>
      <c r="I3310" s="99" t="n">
        <f aca="false">MAX(0,H3310-H3613)</f>
        <v>0</v>
      </c>
      <c r="J3310" s="99" t="n">
        <f aca="false">MAX(0,I3310-I3613)</f>
        <v>0</v>
      </c>
      <c r="K3310" s="99" t="n">
        <f aca="false">MAX(0,J3310-J3613)</f>
        <v>0</v>
      </c>
      <c r="L3310" s="99" t="n">
        <f aca="false">MAX(0,K3310-K3613)</f>
        <v>0</v>
      </c>
      <c r="M3310" s="99" t="n">
        <f aca="false">MAX(0,L3310-L3613)</f>
        <v>0</v>
      </c>
    </row>
    <row r="3311" customFormat="false" ht="15" hidden="false" customHeight="false" outlineLevel="0" collapsed="false">
      <c r="B3311" s="108" t="n">
        <f aca="false">'Loan Tape'!$A277</f>
        <v>0</v>
      </c>
      <c r="C3311" s="71" t="n">
        <f aca="false">IF(Fin_Flag="Yes",'Loan Tape'!$BC277,0)</f>
        <v>0</v>
      </c>
      <c r="D3311" s="71" t="n">
        <f aca="false">MAX(0,C3311-C3614)</f>
        <v>0</v>
      </c>
      <c r="E3311" s="71" t="n">
        <f aca="false">MAX(0,D3311-D3614)</f>
        <v>0</v>
      </c>
      <c r="F3311" s="71" t="n">
        <f aca="false">MAX(0,E3311-E3614)</f>
        <v>0</v>
      </c>
      <c r="G3311" s="71" t="n">
        <f aca="false">MAX(0,F3311-F3614)</f>
        <v>0</v>
      </c>
      <c r="H3311" s="71" t="n">
        <f aca="false">MAX(0,G3311-G3614)</f>
        <v>0</v>
      </c>
      <c r="I3311" s="71" t="n">
        <f aca="false">MAX(0,H3311-H3614)</f>
        <v>0</v>
      </c>
      <c r="J3311" s="71" t="n">
        <f aca="false">MAX(0,I3311-I3614)</f>
        <v>0</v>
      </c>
      <c r="K3311" s="71" t="n">
        <f aca="false">MAX(0,J3311-J3614)</f>
        <v>0</v>
      </c>
      <c r="L3311" s="71" t="n">
        <f aca="false">MAX(0,K3311-K3614)</f>
        <v>0</v>
      </c>
      <c r="M3311" s="71" t="n">
        <f aca="false">MAX(0,L3311-L3614)</f>
        <v>0</v>
      </c>
    </row>
    <row r="3312" customFormat="false" ht="15" hidden="false" customHeight="false" outlineLevel="0" collapsed="false">
      <c r="B3312" s="102" t="n">
        <f aca="false">'Loan Tape'!$A278</f>
        <v>0</v>
      </c>
      <c r="C3312" s="99" t="n">
        <f aca="false">IF(Fin_Flag="Yes",'Loan Tape'!$BC278,0)</f>
        <v>0</v>
      </c>
      <c r="D3312" s="99" t="n">
        <f aca="false">MAX(0,C3312-C3615)</f>
        <v>0</v>
      </c>
      <c r="E3312" s="99" t="n">
        <f aca="false">MAX(0,D3312-D3615)</f>
        <v>0</v>
      </c>
      <c r="F3312" s="99" t="n">
        <f aca="false">MAX(0,E3312-E3615)</f>
        <v>0</v>
      </c>
      <c r="G3312" s="99" t="n">
        <f aca="false">MAX(0,F3312-F3615)</f>
        <v>0</v>
      </c>
      <c r="H3312" s="99" t="n">
        <f aca="false">MAX(0,G3312-G3615)</f>
        <v>0</v>
      </c>
      <c r="I3312" s="99" t="n">
        <f aca="false">MAX(0,H3312-H3615)</f>
        <v>0</v>
      </c>
      <c r="J3312" s="99" t="n">
        <f aca="false">MAX(0,I3312-I3615)</f>
        <v>0</v>
      </c>
      <c r="K3312" s="99" t="n">
        <f aca="false">MAX(0,J3312-J3615)</f>
        <v>0</v>
      </c>
      <c r="L3312" s="99" t="n">
        <f aca="false">MAX(0,K3312-K3615)</f>
        <v>0</v>
      </c>
      <c r="M3312" s="99" t="n">
        <f aca="false">MAX(0,L3312-L3615)</f>
        <v>0</v>
      </c>
    </row>
    <row r="3313" customFormat="false" ht="15" hidden="false" customHeight="false" outlineLevel="0" collapsed="false">
      <c r="B3313" s="108" t="n">
        <f aca="false">'Loan Tape'!$A279</f>
        <v>0</v>
      </c>
      <c r="C3313" s="71" t="n">
        <f aca="false">IF(Fin_Flag="Yes",'Loan Tape'!$BC279,0)</f>
        <v>0</v>
      </c>
      <c r="D3313" s="71" t="n">
        <f aca="false">MAX(0,C3313-C3616)</f>
        <v>0</v>
      </c>
      <c r="E3313" s="71" t="n">
        <f aca="false">MAX(0,D3313-D3616)</f>
        <v>0</v>
      </c>
      <c r="F3313" s="71" t="n">
        <f aca="false">MAX(0,E3313-E3616)</f>
        <v>0</v>
      </c>
      <c r="G3313" s="71" t="n">
        <f aca="false">MAX(0,F3313-F3616)</f>
        <v>0</v>
      </c>
      <c r="H3313" s="71" t="n">
        <f aca="false">MAX(0,G3313-G3616)</f>
        <v>0</v>
      </c>
      <c r="I3313" s="71" t="n">
        <f aca="false">MAX(0,H3313-H3616)</f>
        <v>0</v>
      </c>
      <c r="J3313" s="71" t="n">
        <f aca="false">MAX(0,I3313-I3616)</f>
        <v>0</v>
      </c>
      <c r="K3313" s="71" t="n">
        <f aca="false">MAX(0,J3313-J3616)</f>
        <v>0</v>
      </c>
      <c r="L3313" s="71" t="n">
        <f aca="false">MAX(0,K3313-K3616)</f>
        <v>0</v>
      </c>
      <c r="M3313" s="71" t="n">
        <f aca="false">MAX(0,L3313-L3616)</f>
        <v>0</v>
      </c>
    </row>
    <row r="3314" customFormat="false" ht="15" hidden="false" customHeight="false" outlineLevel="0" collapsed="false">
      <c r="B3314" s="102" t="n">
        <f aca="false">'Loan Tape'!$A280</f>
        <v>0</v>
      </c>
      <c r="C3314" s="99" t="n">
        <f aca="false">IF(Fin_Flag="Yes",'Loan Tape'!$BC280,0)</f>
        <v>0</v>
      </c>
      <c r="D3314" s="99" t="n">
        <f aca="false">MAX(0,C3314-C3617)</f>
        <v>0</v>
      </c>
      <c r="E3314" s="99" t="n">
        <f aca="false">MAX(0,D3314-D3617)</f>
        <v>0</v>
      </c>
      <c r="F3314" s="99" t="n">
        <f aca="false">MAX(0,E3314-E3617)</f>
        <v>0</v>
      </c>
      <c r="G3314" s="99" t="n">
        <f aca="false">MAX(0,F3314-F3617)</f>
        <v>0</v>
      </c>
      <c r="H3314" s="99" t="n">
        <f aca="false">MAX(0,G3314-G3617)</f>
        <v>0</v>
      </c>
      <c r="I3314" s="99" t="n">
        <f aca="false">MAX(0,H3314-H3617)</f>
        <v>0</v>
      </c>
      <c r="J3314" s="99" t="n">
        <f aca="false">MAX(0,I3314-I3617)</f>
        <v>0</v>
      </c>
      <c r="K3314" s="99" t="n">
        <f aca="false">MAX(0,J3314-J3617)</f>
        <v>0</v>
      </c>
      <c r="L3314" s="99" t="n">
        <f aca="false">MAX(0,K3314-K3617)</f>
        <v>0</v>
      </c>
      <c r="M3314" s="99" t="n">
        <f aca="false">MAX(0,L3314-L3617)</f>
        <v>0</v>
      </c>
    </row>
    <row r="3315" customFormat="false" ht="15" hidden="false" customHeight="false" outlineLevel="0" collapsed="false">
      <c r="B3315" s="108" t="n">
        <f aca="false">'Loan Tape'!$A281</f>
        <v>0</v>
      </c>
      <c r="C3315" s="71" t="n">
        <f aca="false">IF(Fin_Flag="Yes",'Loan Tape'!$BC281,0)</f>
        <v>0</v>
      </c>
      <c r="D3315" s="71" t="n">
        <f aca="false">MAX(0,C3315-C3618)</f>
        <v>0</v>
      </c>
      <c r="E3315" s="71" t="n">
        <f aca="false">MAX(0,D3315-D3618)</f>
        <v>0</v>
      </c>
      <c r="F3315" s="71" t="n">
        <f aca="false">MAX(0,E3315-E3618)</f>
        <v>0</v>
      </c>
      <c r="G3315" s="71" t="n">
        <f aca="false">MAX(0,F3315-F3618)</f>
        <v>0</v>
      </c>
      <c r="H3315" s="71" t="n">
        <f aca="false">MAX(0,G3315-G3618)</f>
        <v>0</v>
      </c>
      <c r="I3315" s="71" t="n">
        <f aca="false">MAX(0,H3315-H3618)</f>
        <v>0</v>
      </c>
      <c r="J3315" s="71" t="n">
        <f aca="false">MAX(0,I3315-I3618)</f>
        <v>0</v>
      </c>
      <c r="K3315" s="71" t="n">
        <f aca="false">MAX(0,J3315-J3618)</f>
        <v>0</v>
      </c>
      <c r="L3315" s="71" t="n">
        <f aca="false">MAX(0,K3315-K3618)</f>
        <v>0</v>
      </c>
      <c r="M3315" s="71" t="n">
        <f aca="false">MAX(0,L3315-L3618)</f>
        <v>0</v>
      </c>
    </row>
    <row r="3316" customFormat="false" ht="15" hidden="false" customHeight="false" outlineLevel="0" collapsed="false">
      <c r="B3316" s="102" t="n">
        <f aca="false">'Loan Tape'!$A282</f>
        <v>0</v>
      </c>
      <c r="C3316" s="99" t="n">
        <f aca="false">IF(Fin_Flag="Yes",'Loan Tape'!$BC282,0)</f>
        <v>0</v>
      </c>
      <c r="D3316" s="99" t="n">
        <f aca="false">MAX(0,C3316-C3619)</f>
        <v>0</v>
      </c>
      <c r="E3316" s="99" t="n">
        <f aca="false">MAX(0,D3316-D3619)</f>
        <v>0</v>
      </c>
      <c r="F3316" s="99" t="n">
        <f aca="false">MAX(0,E3316-E3619)</f>
        <v>0</v>
      </c>
      <c r="G3316" s="99" t="n">
        <f aca="false">MAX(0,F3316-F3619)</f>
        <v>0</v>
      </c>
      <c r="H3316" s="99" t="n">
        <f aca="false">MAX(0,G3316-G3619)</f>
        <v>0</v>
      </c>
      <c r="I3316" s="99" t="n">
        <f aca="false">MAX(0,H3316-H3619)</f>
        <v>0</v>
      </c>
      <c r="J3316" s="99" t="n">
        <f aca="false">MAX(0,I3316-I3619)</f>
        <v>0</v>
      </c>
      <c r="K3316" s="99" t="n">
        <f aca="false">MAX(0,J3316-J3619)</f>
        <v>0</v>
      </c>
      <c r="L3316" s="99" t="n">
        <f aca="false">MAX(0,K3316-K3619)</f>
        <v>0</v>
      </c>
      <c r="M3316" s="99" t="n">
        <f aca="false">MAX(0,L3316-L3619)</f>
        <v>0</v>
      </c>
    </row>
    <row r="3317" customFormat="false" ht="15" hidden="false" customHeight="false" outlineLevel="0" collapsed="false">
      <c r="B3317" s="108" t="n">
        <f aca="false">'Loan Tape'!$A283</f>
        <v>0</v>
      </c>
      <c r="C3317" s="71" t="n">
        <f aca="false">IF(Fin_Flag="Yes",'Loan Tape'!$BC283,0)</f>
        <v>0</v>
      </c>
      <c r="D3317" s="71" t="n">
        <f aca="false">MAX(0,C3317-C3620)</f>
        <v>0</v>
      </c>
      <c r="E3317" s="71" t="n">
        <f aca="false">MAX(0,D3317-D3620)</f>
        <v>0</v>
      </c>
      <c r="F3317" s="71" t="n">
        <f aca="false">MAX(0,E3317-E3620)</f>
        <v>0</v>
      </c>
      <c r="G3317" s="71" t="n">
        <f aca="false">MAX(0,F3317-F3620)</f>
        <v>0</v>
      </c>
      <c r="H3317" s="71" t="n">
        <f aca="false">MAX(0,G3317-G3620)</f>
        <v>0</v>
      </c>
      <c r="I3317" s="71" t="n">
        <f aca="false">MAX(0,H3317-H3620)</f>
        <v>0</v>
      </c>
      <c r="J3317" s="71" t="n">
        <f aca="false">MAX(0,I3317-I3620)</f>
        <v>0</v>
      </c>
      <c r="K3317" s="71" t="n">
        <f aca="false">MAX(0,J3317-J3620)</f>
        <v>0</v>
      </c>
      <c r="L3317" s="71" t="n">
        <f aca="false">MAX(0,K3317-K3620)</f>
        <v>0</v>
      </c>
      <c r="M3317" s="71" t="n">
        <f aca="false">MAX(0,L3317-L3620)</f>
        <v>0</v>
      </c>
    </row>
    <row r="3318" customFormat="false" ht="15" hidden="false" customHeight="false" outlineLevel="0" collapsed="false">
      <c r="B3318" s="102" t="n">
        <f aca="false">'Loan Tape'!$A284</f>
        <v>0</v>
      </c>
      <c r="C3318" s="99" t="n">
        <f aca="false">IF(Fin_Flag="Yes",'Loan Tape'!$BC284,0)</f>
        <v>0</v>
      </c>
      <c r="D3318" s="99" t="n">
        <f aca="false">MAX(0,C3318-C3621)</f>
        <v>0</v>
      </c>
      <c r="E3318" s="99" t="n">
        <f aca="false">MAX(0,D3318-D3621)</f>
        <v>0</v>
      </c>
      <c r="F3318" s="99" t="n">
        <f aca="false">MAX(0,E3318-E3621)</f>
        <v>0</v>
      </c>
      <c r="G3318" s="99" t="n">
        <f aca="false">MAX(0,F3318-F3621)</f>
        <v>0</v>
      </c>
      <c r="H3318" s="99" t="n">
        <f aca="false">MAX(0,G3318-G3621)</f>
        <v>0</v>
      </c>
      <c r="I3318" s="99" t="n">
        <f aca="false">MAX(0,H3318-H3621)</f>
        <v>0</v>
      </c>
      <c r="J3318" s="99" t="n">
        <f aca="false">MAX(0,I3318-I3621)</f>
        <v>0</v>
      </c>
      <c r="K3318" s="99" t="n">
        <f aca="false">MAX(0,J3318-J3621)</f>
        <v>0</v>
      </c>
      <c r="L3318" s="99" t="n">
        <f aca="false">MAX(0,K3318-K3621)</f>
        <v>0</v>
      </c>
      <c r="M3318" s="99" t="n">
        <f aca="false">MAX(0,L3318-L3621)</f>
        <v>0</v>
      </c>
    </row>
    <row r="3319" customFormat="false" ht="15" hidden="false" customHeight="false" outlineLevel="0" collapsed="false">
      <c r="B3319" s="108" t="n">
        <f aca="false">'Loan Tape'!$A285</f>
        <v>0</v>
      </c>
      <c r="C3319" s="71" t="n">
        <f aca="false">IF(Fin_Flag="Yes",'Loan Tape'!$BC285,0)</f>
        <v>0</v>
      </c>
      <c r="D3319" s="71" t="n">
        <f aca="false">MAX(0,C3319-C3622)</f>
        <v>0</v>
      </c>
      <c r="E3319" s="71" t="n">
        <f aca="false">MAX(0,D3319-D3622)</f>
        <v>0</v>
      </c>
      <c r="F3319" s="71" t="n">
        <f aca="false">MAX(0,E3319-E3622)</f>
        <v>0</v>
      </c>
      <c r="G3319" s="71" t="n">
        <f aca="false">MAX(0,F3319-F3622)</f>
        <v>0</v>
      </c>
      <c r="H3319" s="71" t="n">
        <f aca="false">MAX(0,G3319-G3622)</f>
        <v>0</v>
      </c>
      <c r="I3319" s="71" t="n">
        <f aca="false">MAX(0,H3319-H3622)</f>
        <v>0</v>
      </c>
      <c r="J3319" s="71" t="n">
        <f aca="false">MAX(0,I3319-I3622)</f>
        <v>0</v>
      </c>
      <c r="K3319" s="71" t="n">
        <f aca="false">MAX(0,J3319-J3622)</f>
        <v>0</v>
      </c>
      <c r="L3319" s="71" t="n">
        <f aca="false">MAX(0,K3319-K3622)</f>
        <v>0</v>
      </c>
      <c r="M3319" s="71" t="n">
        <f aca="false">MAX(0,L3319-L3622)</f>
        <v>0</v>
      </c>
    </row>
    <row r="3320" customFormat="false" ht="15" hidden="false" customHeight="false" outlineLevel="0" collapsed="false">
      <c r="B3320" s="102" t="n">
        <f aca="false">'Loan Tape'!$A286</f>
        <v>0</v>
      </c>
      <c r="C3320" s="99" t="n">
        <f aca="false">IF(Fin_Flag="Yes",'Loan Tape'!$BC286,0)</f>
        <v>0</v>
      </c>
      <c r="D3320" s="99" t="n">
        <f aca="false">MAX(0,C3320-C3623)</f>
        <v>0</v>
      </c>
      <c r="E3320" s="99" t="n">
        <f aca="false">MAX(0,D3320-D3623)</f>
        <v>0</v>
      </c>
      <c r="F3320" s="99" t="n">
        <f aca="false">MAX(0,E3320-E3623)</f>
        <v>0</v>
      </c>
      <c r="G3320" s="99" t="n">
        <f aca="false">MAX(0,F3320-F3623)</f>
        <v>0</v>
      </c>
      <c r="H3320" s="99" t="n">
        <f aca="false">MAX(0,G3320-G3623)</f>
        <v>0</v>
      </c>
      <c r="I3320" s="99" t="n">
        <f aca="false">MAX(0,H3320-H3623)</f>
        <v>0</v>
      </c>
      <c r="J3320" s="99" t="n">
        <f aca="false">MAX(0,I3320-I3623)</f>
        <v>0</v>
      </c>
      <c r="K3320" s="99" t="n">
        <f aca="false">MAX(0,J3320-J3623)</f>
        <v>0</v>
      </c>
      <c r="L3320" s="99" t="n">
        <f aca="false">MAX(0,K3320-K3623)</f>
        <v>0</v>
      </c>
      <c r="M3320" s="99" t="n">
        <f aca="false">MAX(0,L3320-L3623)</f>
        <v>0</v>
      </c>
    </row>
    <row r="3321" customFormat="false" ht="15" hidden="false" customHeight="false" outlineLevel="0" collapsed="false">
      <c r="B3321" s="108" t="n">
        <f aca="false">'Loan Tape'!$A287</f>
        <v>0</v>
      </c>
      <c r="C3321" s="71" t="n">
        <f aca="false">IF(Fin_Flag="Yes",'Loan Tape'!$BC287,0)</f>
        <v>0</v>
      </c>
      <c r="D3321" s="71" t="n">
        <f aca="false">MAX(0,C3321-C3624)</f>
        <v>0</v>
      </c>
      <c r="E3321" s="71" t="n">
        <f aca="false">MAX(0,D3321-D3624)</f>
        <v>0</v>
      </c>
      <c r="F3321" s="71" t="n">
        <f aca="false">MAX(0,E3321-E3624)</f>
        <v>0</v>
      </c>
      <c r="G3321" s="71" t="n">
        <f aca="false">MAX(0,F3321-F3624)</f>
        <v>0</v>
      </c>
      <c r="H3321" s="71" t="n">
        <f aca="false">MAX(0,G3321-G3624)</f>
        <v>0</v>
      </c>
      <c r="I3321" s="71" t="n">
        <f aca="false">MAX(0,H3321-H3624)</f>
        <v>0</v>
      </c>
      <c r="J3321" s="71" t="n">
        <f aca="false">MAX(0,I3321-I3624)</f>
        <v>0</v>
      </c>
      <c r="K3321" s="71" t="n">
        <f aca="false">MAX(0,J3321-J3624)</f>
        <v>0</v>
      </c>
      <c r="L3321" s="71" t="n">
        <f aca="false">MAX(0,K3321-K3624)</f>
        <v>0</v>
      </c>
      <c r="M3321" s="71" t="n">
        <f aca="false">MAX(0,L3321-L3624)</f>
        <v>0</v>
      </c>
    </row>
    <row r="3322" customFormat="false" ht="15" hidden="false" customHeight="false" outlineLevel="0" collapsed="false">
      <c r="B3322" s="102" t="n">
        <f aca="false">'Loan Tape'!$A288</f>
        <v>0</v>
      </c>
      <c r="C3322" s="99" t="n">
        <f aca="false">IF(Fin_Flag="Yes",'Loan Tape'!$BC288,0)</f>
        <v>0</v>
      </c>
      <c r="D3322" s="99" t="n">
        <f aca="false">MAX(0,C3322-C3625)</f>
        <v>0</v>
      </c>
      <c r="E3322" s="99" t="n">
        <f aca="false">MAX(0,D3322-D3625)</f>
        <v>0</v>
      </c>
      <c r="F3322" s="99" t="n">
        <f aca="false">MAX(0,E3322-E3625)</f>
        <v>0</v>
      </c>
      <c r="G3322" s="99" t="n">
        <f aca="false">MAX(0,F3322-F3625)</f>
        <v>0</v>
      </c>
      <c r="H3322" s="99" t="n">
        <f aca="false">MAX(0,G3322-G3625)</f>
        <v>0</v>
      </c>
      <c r="I3322" s="99" t="n">
        <f aca="false">MAX(0,H3322-H3625)</f>
        <v>0</v>
      </c>
      <c r="J3322" s="99" t="n">
        <f aca="false">MAX(0,I3322-I3625)</f>
        <v>0</v>
      </c>
      <c r="K3322" s="99" t="n">
        <f aca="false">MAX(0,J3322-J3625)</f>
        <v>0</v>
      </c>
      <c r="L3322" s="99" t="n">
        <f aca="false">MAX(0,K3322-K3625)</f>
        <v>0</v>
      </c>
      <c r="M3322" s="99" t="n">
        <f aca="false">MAX(0,L3322-L3625)</f>
        <v>0</v>
      </c>
    </row>
    <row r="3323" customFormat="false" ht="15" hidden="false" customHeight="false" outlineLevel="0" collapsed="false">
      <c r="B3323" s="108" t="n">
        <f aca="false">'Loan Tape'!$A289</f>
        <v>0</v>
      </c>
      <c r="C3323" s="71" t="n">
        <f aca="false">IF(Fin_Flag="Yes",'Loan Tape'!$BC289,0)</f>
        <v>0</v>
      </c>
      <c r="D3323" s="71" t="n">
        <f aca="false">MAX(0,C3323-C3626)</f>
        <v>0</v>
      </c>
      <c r="E3323" s="71" t="n">
        <f aca="false">MAX(0,D3323-D3626)</f>
        <v>0</v>
      </c>
      <c r="F3323" s="71" t="n">
        <f aca="false">MAX(0,E3323-E3626)</f>
        <v>0</v>
      </c>
      <c r="G3323" s="71" t="n">
        <f aca="false">MAX(0,F3323-F3626)</f>
        <v>0</v>
      </c>
      <c r="H3323" s="71" t="n">
        <f aca="false">MAX(0,G3323-G3626)</f>
        <v>0</v>
      </c>
      <c r="I3323" s="71" t="n">
        <f aca="false">MAX(0,H3323-H3626)</f>
        <v>0</v>
      </c>
      <c r="J3323" s="71" t="n">
        <f aca="false">MAX(0,I3323-I3626)</f>
        <v>0</v>
      </c>
      <c r="K3323" s="71" t="n">
        <f aca="false">MAX(0,J3323-J3626)</f>
        <v>0</v>
      </c>
      <c r="L3323" s="71" t="n">
        <f aca="false">MAX(0,K3323-K3626)</f>
        <v>0</v>
      </c>
      <c r="M3323" s="71" t="n">
        <f aca="false">MAX(0,L3323-L3626)</f>
        <v>0</v>
      </c>
    </row>
    <row r="3324" customFormat="false" ht="15" hidden="false" customHeight="false" outlineLevel="0" collapsed="false">
      <c r="B3324" s="102" t="n">
        <f aca="false">'Loan Tape'!$A290</f>
        <v>0</v>
      </c>
      <c r="C3324" s="99" t="n">
        <f aca="false">IF(Fin_Flag="Yes",'Loan Tape'!$BC290,0)</f>
        <v>0</v>
      </c>
      <c r="D3324" s="99" t="n">
        <f aca="false">MAX(0,C3324-C3627)</f>
        <v>0</v>
      </c>
      <c r="E3324" s="99" t="n">
        <f aca="false">MAX(0,D3324-D3627)</f>
        <v>0</v>
      </c>
      <c r="F3324" s="99" t="n">
        <f aca="false">MAX(0,E3324-E3627)</f>
        <v>0</v>
      </c>
      <c r="G3324" s="99" t="n">
        <f aca="false">MAX(0,F3324-F3627)</f>
        <v>0</v>
      </c>
      <c r="H3324" s="99" t="n">
        <f aca="false">MAX(0,G3324-G3627)</f>
        <v>0</v>
      </c>
      <c r="I3324" s="99" t="n">
        <f aca="false">MAX(0,H3324-H3627)</f>
        <v>0</v>
      </c>
      <c r="J3324" s="99" t="n">
        <f aca="false">MAX(0,I3324-I3627)</f>
        <v>0</v>
      </c>
      <c r="K3324" s="99" t="n">
        <f aca="false">MAX(0,J3324-J3627)</f>
        <v>0</v>
      </c>
      <c r="L3324" s="99" t="n">
        <f aca="false">MAX(0,K3324-K3627)</f>
        <v>0</v>
      </c>
      <c r="M3324" s="99" t="n">
        <f aca="false">MAX(0,L3324-L3627)</f>
        <v>0</v>
      </c>
    </row>
    <row r="3325" customFormat="false" ht="15" hidden="false" customHeight="false" outlineLevel="0" collapsed="false">
      <c r="B3325" s="108" t="n">
        <f aca="false">'Loan Tape'!$A291</f>
        <v>0</v>
      </c>
      <c r="C3325" s="71" t="n">
        <f aca="false">IF(Fin_Flag="Yes",'Loan Tape'!$BC291,0)</f>
        <v>0</v>
      </c>
      <c r="D3325" s="71" t="n">
        <f aca="false">MAX(0,C3325-C3628)</f>
        <v>0</v>
      </c>
      <c r="E3325" s="71" t="n">
        <f aca="false">MAX(0,D3325-D3628)</f>
        <v>0</v>
      </c>
      <c r="F3325" s="71" t="n">
        <f aca="false">MAX(0,E3325-E3628)</f>
        <v>0</v>
      </c>
      <c r="G3325" s="71" t="n">
        <f aca="false">MAX(0,F3325-F3628)</f>
        <v>0</v>
      </c>
      <c r="H3325" s="71" t="n">
        <f aca="false">MAX(0,G3325-G3628)</f>
        <v>0</v>
      </c>
      <c r="I3325" s="71" t="n">
        <f aca="false">MAX(0,H3325-H3628)</f>
        <v>0</v>
      </c>
      <c r="J3325" s="71" t="n">
        <f aca="false">MAX(0,I3325-I3628)</f>
        <v>0</v>
      </c>
      <c r="K3325" s="71" t="n">
        <f aca="false">MAX(0,J3325-J3628)</f>
        <v>0</v>
      </c>
      <c r="L3325" s="71" t="n">
        <f aca="false">MAX(0,K3325-K3628)</f>
        <v>0</v>
      </c>
      <c r="M3325" s="71" t="n">
        <f aca="false">MAX(0,L3325-L3628)</f>
        <v>0</v>
      </c>
    </row>
    <row r="3326" customFormat="false" ht="15" hidden="false" customHeight="false" outlineLevel="0" collapsed="false">
      <c r="B3326" s="102" t="n">
        <f aca="false">'Loan Tape'!$A292</f>
        <v>0</v>
      </c>
      <c r="C3326" s="99" t="n">
        <f aca="false">IF(Fin_Flag="Yes",'Loan Tape'!$BC292,0)</f>
        <v>0</v>
      </c>
      <c r="D3326" s="99" t="n">
        <f aca="false">MAX(0,C3326-C3629)</f>
        <v>0</v>
      </c>
      <c r="E3326" s="99" t="n">
        <f aca="false">MAX(0,D3326-D3629)</f>
        <v>0</v>
      </c>
      <c r="F3326" s="99" t="n">
        <f aca="false">MAX(0,E3326-E3629)</f>
        <v>0</v>
      </c>
      <c r="G3326" s="99" t="n">
        <f aca="false">MAX(0,F3326-F3629)</f>
        <v>0</v>
      </c>
      <c r="H3326" s="99" t="n">
        <f aca="false">MAX(0,G3326-G3629)</f>
        <v>0</v>
      </c>
      <c r="I3326" s="99" t="n">
        <f aca="false">MAX(0,H3326-H3629)</f>
        <v>0</v>
      </c>
      <c r="J3326" s="99" t="n">
        <f aca="false">MAX(0,I3326-I3629)</f>
        <v>0</v>
      </c>
      <c r="K3326" s="99" t="n">
        <f aca="false">MAX(0,J3326-J3629)</f>
        <v>0</v>
      </c>
      <c r="L3326" s="99" t="n">
        <f aca="false">MAX(0,K3326-K3629)</f>
        <v>0</v>
      </c>
      <c r="M3326" s="99" t="n">
        <f aca="false">MAX(0,L3326-L3629)</f>
        <v>0</v>
      </c>
    </row>
    <row r="3327" customFormat="false" ht="15" hidden="false" customHeight="false" outlineLevel="0" collapsed="false">
      <c r="B3327" s="108" t="n">
        <f aca="false">'Loan Tape'!$A293</f>
        <v>0</v>
      </c>
      <c r="C3327" s="71" t="n">
        <f aca="false">IF(Fin_Flag="Yes",'Loan Tape'!$BC293,0)</f>
        <v>0</v>
      </c>
      <c r="D3327" s="71" t="n">
        <f aca="false">MAX(0,C3327-C3630)</f>
        <v>0</v>
      </c>
      <c r="E3327" s="71" t="n">
        <f aca="false">MAX(0,D3327-D3630)</f>
        <v>0</v>
      </c>
      <c r="F3327" s="71" t="n">
        <f aca="false">MAX(0,E3327-E3630)</f>
        <v>0</v>
      </c>
      <c r="G3327" s="71" t="n">
        <f aca="false">MAX(0,F3327-F3630)</f>
        <v>0</v>
      </c>
      <c r="H3327" s="71" t="n">
        <f aca="false">MAX(0,G3327-G3630)</f>
        <v>0</v>
      </c>
      <c r="I3327" s="71" t="n">
        <f aca="false">MAX(0,H3327-H3630)</f>
        <v>0</v>
      </c>
      <c r="J3327" s="71" t="n">
        <f aca="false">MAX(0,I3327-I3630)</f>
        <v>0</v>
      </c>
      <c r="K3327" s="71" t="n">
        <f aca="false">MAX(0,J3327-J3630)</f>
        <v>0</v>
      </c>
      <c r="L3327" s="71" t="n">
        <f aca="false">MAX(0,K3327-K3630)</f>
        <v>0</v>
      </c>
      <c r="M3327" s="71" t="n">
        <f aca="false">MAX(0,L3327-L3630)</f>
        <v>0</v>
      </c>
    </row>
    <row r="3328" customFormat="false" ht="15" hidden="false" customHeight="false" outlineLevel="0" collapsed="false">
      <c r="B3328" s="102" t="n">
        <f aca="false">'Loan Tape'!$A294</f>
        <v>0</v>
      </c>
      <c r="C3328" s="99" t="n">
        <f aca="false">IF(Fin_Flag="Yes",'Loan Tape'!$BC294,0)</f>
        <v>0</v>
      </c>
      <c r="D3328" s="99" t="n">
        <f aca="false">MAX(0,C3328-C3631)</f>
        <v>0</v>
      </c>
      <c r="E3328" s="99" t="n">
        <f aca="false">MAX(0,D3328-D3631)</f>
        <v>0</v>
      </c>
      <c r="F3328" s="99" t="n">
        <f aca="false">MAX(0,E3328-E3631)</f>
        <v>0</v>
      </c>
      <c r="G3328" s="99" t="n">
        <f aca="false">MAX(0,F3328-F3631)</f>
        <v>0</v>
      </c>
      <c r="H3328" s="99" t="n">
        <f aca="false">MAX(0,G3328-G3631)</f>
        <v>0</v>
      </c>
      <c r="I3328" s="99" t="n">
        <f aca="false">MAX(0,H3328-H3631)</f>
        <v>0</v>
      </c>
      <c r="J3328" s="99" t="n">
        <f aca="false">MAX(0,I3328-I3631)</f>
        <v>0</v>
      </c>
      <c r="K3328" s="99" t="n">
        <f aca="false">MAX(0,J3328-J3631)</f>
        <v>0</v>
      </c>
      <c r="L3328" s="99" t="n">
        <f aca="false">MAX(0,K3328-K3631)</f>
        <v>0</v>
      </c>
      <c r="M3328" s="99" t="n">
        <f aca="false">MAX(0,L3328-L3631)</f>
        <v>0</v>
      </c>
    </row>
    <row r="3329" customFormat="false" ht="15" hidden="false" customHeight="false" outlineLevel="0" collapsed="false">
      <c r="B3329" s="108" t="n">
        <f aca="false">'Loan Tape'!$A295</f>
        <v>0</v>
      </c>
      <c r="C3329" s="71" t="n">
        <f aca="false">IF(Fin_Flag="Yes",'Loan Tape'!$BC295,0)</f>
        <v>0</v>
      </c>
      <c r="D3329" s="71" t="n">
        <f aca="false">MAX(0,C3329-C3632)</f>
        <v>0</v>
      </c>
      <c r="E3329" s="71" t="n">
        <f aca="false">MAX(0,D3329-D3632)</f>
        <v>0</v>
      </c>
      <c r="F3329" s="71" t="n">
        <f aca="false">MAX(0,E3329-E3632)</f>
        <v>0</v>
      </c>
      <c r="G3329" s="71" t="n">
        <f aca="false">MAX(0,F3329-F3632)</f>
        <v>0</v>
      </c>
      <c r="H3329" s="71" t="n">
        <f aca="false">MAX(0,G3329-G3632)</f>
        <v>0</v>
      </c>
      <c r="I3329" s="71" t="n">
        <f aca="false">MAX(0,H3329-H3632)</f>
        <v>0</v>
      </c>
      <c r="J3329" s="71" t="n">
        <f aca="false">MAX(0,I3329-I3632)</f>
        <v>0</v>
      </c>
      <c r="K3329" s="71" t="n">
        <f aca="false">MAX(0,J3329-J3632)</f>
        <v>0</v>
      </c>
      <c r="L3329" s="71" t="n">
        <f aca="false">MAX(0,K3329-K3632)</f>
        <v>0</v>
      </c>
      <c r="M3329" s="71" t="n">
        <f aca="false">MAX(0,L3329-L3632)</f>
        <v>0</v>
      </c>
    </row>
    <row r="3330" customFormat="false" ht="15" hidden="false" customHeight="false" outlineLevel="0" collapsed="false">
      <c r="B3330" s="102" t="n">
        <f aca="false">'Loan Tape'!$A296</f>
        <v>0</v>
      </c>
      <c r="C3330" s="99" t="n">
        <f aca="false">IF(Fin_Flag="Yes",'Loan Tape'!$BC296,0)</f>
        <v>0</v>
      </c>
      <c r="D3330" s="99" t="n">
        <f aca="false">MAX(0,C3330-C3633)</f>
        <v>0</v>
      </c>
      <c r="E3330" s="99" t="n">
        <f aca="false">MAX(0,D3330-D3633)</f>
        <v>0</v>
      </c>
      <c r="F3330" s="99" t="n">
        <f aca="false">MAX(0,E3330-E3633)</f>
        <v>0</v>
      </c>
      <c r="G3330" s="99" t="n">
        <f aca="false">MAX(0,F3330-F3633)</f>
        <v>0</v>
      </c>
      <c r="H3330" s="99" t="n">
        <f aca="false">MAX(0,G3330-G3633)</f>
        <v>0</v>
      </c>
      <c r="I3330" s="99" t="n">
        <f aca="false">MAX(0,H3330-H3633)</f>
        <v>0</v>
      </c>
      <c r="J3330" s="99" t="n">
        <f aca="false">MAX(0,I3330-I3633)</f>
        <v>0</v>
      </c>
      <c r="K3330" s="99" t="n">
        <f aca="false">MAX(0,J3330-J3633)</f>
        <v>0</v>
      </c>
      <c r="L3330" s="99" t="n">
        <f aca="false">MAX(0,K3330-K3633)</f>
        <v>0</v>
      </c>
      <c r="M3330" s="99" t="n">
        <f aca="false">MAX(0,L3330-L3633)</f>
        <v>0</v>
      </c>
    </row>
    <row r="3331" customFormat="false" ht="15" hidden="false" customHeight="false" outlineLevel="0" collapsed="false">
      <c r="B3331" s="108" t="n">
        <f aca="false">'Loan Tape'!$A297</f>
        <v>0</v>
      </c>
      <c r="C3331" s="71" t="n">
        <f aca="false">IF(Fin_Flag="Yes",'Loan Tape'!$BC297,0)</f>
        <v>0</v>
      </c>
      <c r="D3331" s="71" t="n">
        <f aca="false">MAX(0,C3331-C3634)</f>
        <v>0</v>
      </c>
      <c r="E3331" s="71" t="n">
        <f aca="false">MAX(0,D3331-D3634)</f>
        <v>0</v>
      </c>
      <c r="F3331" s="71" t="n">
        <f aca="false">MAX(0,E3331-E3634)</f>
        <v>0</v>
      </c>
      <c r="G3331" s="71" t="n">
        <f aca="false">MAX(0,F3331-F3634)</f>
        <v>0</v>
      </c>
      <c r="H3331" s="71" t="n">
        <f aca="false">MAX(0,G3331-G3634)</f>
        <v>0</v>
      </c>
      <c r="I3331" s="71" t="n">
        <f aca="false">MAX(0,H3331-H3634)</f>
        <v>0</v>
      </c>
      <c r="J3331" s="71" t="n">
        <f aca="false">MAX(0,I3331-I3634)</f>
        <v>0</v>
      </c>
      <c r="K3331" s="71" t="n">
        <f aca="false">MAX(0,J3331-J3634)</f>
        <v>0</v>
      </c>
      <c r="L3331" s="71" t="n">
        <f aca="false">MAX(0,K3331-K3634)</f>
        <v>0</v>
      </c>
      <c r="M3331" s="71" t="n">
        <f aca="false">MAX(0,L3331-L3634)</f>
        <v>0</v>
      </c>
    </row>
    <row r="3332" customFormat="false" ht="15" hidden="false" customHeight="false" outlineLevel="0" collapsed="false">
      <c r="B3332" s="102" t="n">
        <f aca="false">'Loan Tape'!$A298</f>
        <v>0</v>
      </c>
      <c r="C3332" s="99" t="n">
        <f aca="false">IF(Fin_Flag="Yes",'Loan Tape'!$BC298,0)</f>
        <v>0</v>
      </c>
      <c r="D3332" s="99" t="n">
        <f aca="false">MAX(0,C3332-C3635)</f>
        <v>0</v>
      </c>
      <c r="E3332" s="99" t="n">
        <f aca="false">MAX(0,D3332-D3635)</f>
        <v>0</v>
      </c>
      <c r="F3332" s="99" t="n">
        <f aca="false">MAX(0,E3332-E3635)</f>
        <v>0</v>
      </c>
      <c r="G3332" s="99" t="n">
        <f aca="false">MAX(0,F3332-F3635)</f>
        <v>0</v>
      </c>
      <c r="H3332" s="99" t="n">
        <f aca="false">MAX(0,G3332-G3635)</f>
        <v>0</v>
      </c>
      <c r="I3332" s="99" t="n">
        <f aca="false">MAX(0,H3332-H3635)</f>
        <v>0</v>
      </c>
      <c r="J3332" s="99" t="n">
        <f aca="false">MAX(0,I3332-I3635)</f>
        <v>0</v>
      </c>
      <c r="K3332" s="99" t="n">
        <f aca="false">MAX(0,J3332-J3635)</f>
        <v>0</v>
      </c>
      <c r="L3332" s="99" t="n">
        <f aca="false">MAX(0,K3332-K3635)</f>
        <v>0</v>
      </c>
      <c r="M3332" s="99" t="n">
        <f aca="false">MAX(0,L3332-L3635)</f>
        <v>0</v>
      </c>
    </row>
    <row r="3333" customFormat="false" ht="15" hidden="false" customHeight="false" outlineLevel="0" collapsed="false">
      <c r="B3333" s="108" t="n">
        <f aca="false">'Loan Tape'!$A299</f>
        <v>0</v>
      </c>
      <c r="C3333" s="71" t="n">
        <f aca="false">IF(Fin_Flag="Yes",'Loan Tape'!$BC299,0)</f>
        <v>0</v>
      </c>
      <c r="D3333" s="71" t="n">
        <f aca="false">MAX(0,C3333-C3636)</f>
        <v>0</v>
      </c>
      <c r="E3333" s="71" t="n">
        <f aca="false">MAX(0,D3333-D3636)</f>
        <v>0</v>
      </c>
      <c r="F3333" s="71" t="n">
        <f aca="false">MAX(0,E3333-E3636)</f>
        <v>0</v>
      </c>
      <c r="G3333" s="71" t="n">
        <f aca="false">MAX(0,F3333-F3636)</f>
        <v>0</v>
      </c>
      <c r="H3333" s="71" t="n">
        <f aca="false">MAX(0,G3333-G3636)</f>
        <v>0</v>
      </c>
      <c r="I3333" s="71" t="n">
        <f aca="false">MAX(0,H3333-H3636)</f>
        <v>0</v>
      </c>
      <c r="J3333" s="71" t="n">
        <f aca="false">MAX(0,I3333-I3636)</f>
        <v>0</v>
      </c>
      <c r="K3333" s="71" t="n">
        <f aca="false">MAX(0,J3333-J3636)</f>
        <v>0</v>
      </c>
      <c r="L3333" s="71" t="n">
        <f aca="false">MAX(0,K3333-K3636)</f>
        <v>0</v>
      </c>
      <c r="M3333" s="71" t="n">
        <f aca="false">MAX(0,L3333-L3636)</f>
        <v>0</v>
      </c>
    </row>
    <row r="3334" customFormat="false" ht="15" hidden="false" customHeight="false" outlineLevel="0" collapsed="false">
      <c r="B3334" s="102" t="n">
        <f aca="false">'Loan Tape'!$A300</f>
        <v>0</v>
      </c>
      <c r="C3334" s="99" t="n">
        <f aca="false">IF(Fin_Flag="Yes",'Loan Tape'!$BC300,0)</f>
        <v>0</v>
      </c>
      <c r="D3334" s="99" t="n">
        <f aca="false">MAX(0,C3334-C3637)</f>
        <v>0</v>
      </c>
      <c r="E3334" s="99" t="n">
        <f aca="false">MAX(0,D3334-D3637)</f>
        <v>0</v>
      </c>
      <c r="F3334" s="99" t="n">
        <f aca="false">MAX(0,E3334-E3637)</f>
        <v>0</v>
      </c>
      <c r="G3334" s="99" t="n">
        <f aca="false">MAX(0,F3334-F3637)</f>
        <v>0</v>
      </c>
      <c r="H3334" s="99" t="n">
        <f aca="false">MAX(0,G3334-G3637)</f>
        <v>0</v>
      </c>
      <c r="I3334" s="99" t="n">
        <f aca="false">MAX(0,H3334-H3637)</f>
        <v>0</v>
      </c>
      <c r="J3334" s="99" t="n">
        <f aca="false">MAX(0,I3334-I3637)</f>
        <v>0</v>
      </c>
      <c r="K3334" s="99" t="n">
        <f aca="false">MAX(0,J3334-J3637)</f>
        <v>0</v>
      </c>
      <c r="L3334" s="99" t="n">
        <f aca="false">MAX(0,K3334-K3637)</f>
        <v>0</v>
      </c>
      <c r="M3334" s="99" t="n">
        <f aca="false">MAX(0,L3334-L3637)</f>
        <v>0</v>
      </c>
    </row>
    <row r="3335" customFormat="false" ht="15" hidden="false" customHeight="false" outlineLevel="0" collapsed="false">
      <c r="B3335" s="108" t="n">
        <f aca="false">'Loan Tape'!$A301</f>
        <v>0</v>
      </c>
      <c r="C3335" s="71" t="n">
        <f aca="false">IF(Fin_Flag="Yes",'Loan Tape'!$BC301,0)</f>
        <v>0</v>
      </c>
      <c r="D3335" s="71" t="n">
        <f aca="false">MAX(0,C3335-C3638)</f>
        <v>0</v>
      </c>
      <c r="E3335" s="71" t="n">
        <f aca="false">MAX(0,D3335-D3638)</f>
        <v>0</v>
      </c>
      <c r="F3335" s="71" t="n">
        <f aca="false">MAX(0,E3335-E3638)</f>
        <v>0</v>
      </c>
      <c r="G3335" s="71" t="n">
        <f aca="false">MAX(0,F3335-F3638)</f>
        <v>0</v>
      </c>
      <c r="H3335" s="71" t="n">
        <f aca="false">MAX(0,G3335-G3638)</f>
        <v>0</v>
      </c>
      <c r="I3335" s="71" t="n">
        <f aca="false">MAX(0,H3335-H3638)</f>
        <v>0</v>
      </c>
      <c r="J3335" s="71" t="n">
        <f aca="false">MAX(0,I3335-I3638)</f>
        <v>0</v>
      </c>
      <c r="K3335" s="71" t="n">
        <f aca="false">MAX(0,J3335-J3638)</f>
        <v>0</v>
      </c>
      <c r="L3335" s="71" t="n">
        <f aca="false">MAX(0,K3335-K3638)</f>
        <v>0</v>
      </c>
      <c r="M3335" s="71" t="n">
        <f aca="false">MAX(0,L3335-L3638)</f>
        <v>0</v>
      </c>
    </row>
    <row r="3336" customFormat="false" ht="15" hidden="false" customHeight="false" outlineLevel="0" collapsed="false">
      <c r="B3336" s="102" t="n">
        <f aca="false">'Loan Tape'!$A302</f>
        <v>0</v>
      </c>
      <c r="C3336" s="99" t="n">
        <f aca="false">IF(Fin_Flag="Yes",'Loan Tape'!$BC302,0)</f>
        <v>0</v>
      </c>
      <c r="D3336" s="99" t="n">
        <f aca="false">MAX(0,C3336-C3639)</f>
        <v>0</v>
      </c>
      <c r="E3336" s="99" t="n">
        <f aca="false">MAX(0,D3336-D3639)</f>
        <v>0</v>
      </c>
      <c r="F3336" s="99" t="n">
        <f aca="false">MAX(0,E3336-E3639)</f>
        <v>0</v>
      </c>
      <c r="G3336" s="99" t="n">
        <f aca="false">MAX(0,F3336-F3639)</f>
        <v>0</v>
      </c>
      <c r="H3336" s="99" t="n">
        <f aca="false">MAX(0,G3336-G3639)</f>
        <v>0</v>
      </c>
      <c r="I3336" s="99" t="n">
        <f aca="false">MAX(0,H3336-H3639)</f>
        <v>0</v>
      </c>
      <c r="J3336" s="99" t="n">
        <f aca="false">MAX(0,I3336-I3639)</f>
        <v>0</v>
      </c>
      <c r="K3336" s="99" t="n">
        <f aca="false">MAX(0,J3336-J3639)</f>
        <v>0</v>
      </c>
      <c r="L3336" s="99" t="n">
        <f aca="false">MAX(0,K3336-K3639)</f>
        <v>0</v>
      </c>
      <c r="M3336" s="99" t="n">
        <f aca="false">MAX(0,L3336-L3639)</f>
        <v>0</v>
      </c>
    </row>
    <row r="3337" customFormat="false" ht="15" hidden="false" customHeight="false" outlineLevel="0" collapsed="false">
      <c r="B3337" s="108" t="n">
        <f aca="false">'Loan Tape'!$A303</f>
        <v>0</v>
      </c>
      <c r="C3337" s="71" t="n">
        <f aca="false">IF(Fin_Flag="Yes",'Loan Tape'!$BC303,0)</f>
        <v>0</v>
      </c>
      <c r="D3337" s="71" t="n">
        <f aca="false">MAX(0,C3337-C3640)</f>
        <v>0</v>
      </c>
      <c r="E3337" s="71" t="n">
        <f aca="false">MAX(0,D3337-D3640)</f>
        <v>0</v>
      </c>
      <c r="F3337" s="71" t="n">
        <f aca="false">MAX(0,E3337-E3640)</f>
        <v>0</v>
      </c>
      <c r="G3337" s="71" t="n">
        <f aca="false">MAX(0,F3337-F3640)</f>
        <v>0</v>
      </c>
      <c r="H3337" s="71" t="n">
        <f aca="false">MAX(0,G3337-G3640)</f>
        <v>0</v>
      </c>
      <c r="I3337" s="71" t="n">
        <f aca="false">MAX(0,H3337-H3640)</f>
        <v>0</v>
      </c>
      <c r="J3337" s="71" t="n">
        <f aca="false">MAX(0,I3337-I3640)</f>
        <v>0</v>
      </c>
      <c r="K3337" s="71" t="n">
        <f aca="false">MAX(0,J3337-J3640)</f>
        <v>0</v>
      </c>
      <c r="L3337" s="71" t="n">
        <f aca="false">MAX(0,K3337-K3640)</f>
        <v>0</v>
      </c>
      <c r="M3337" s="71" t="n">
        <f aca="false">MAX(0,L3337-L3640)</f>
        <v>0</v>
      </c>
    </row>
    <row r="3339" customFormat="false" ht="18" hidden="false" customHeight="true" outlineLevel="0" collapsed="false">
      <c r="B3339" s="5" t="s">
        <v>600</v>
      </c>
      <c r="C3339" s="5"/>
      <c r="D3339" s="5"/>
      <c r="E3339" s="5"/>
      <c r="F3339" s="5"/>
      <c r="G3339" s="5"/>
      <c r="H3339" s="5"/>
      <c r="I3339" s="5"/>
      <c r="J3339" s="5"/>
      <c r="K3339" s="5"/>
      <c r="L3339" s="5"/>
      <c r="N3339" s="30" t="s">
        <v>601</v>
      </c>
    </row>
    <row r="3340" customFormat="false" ht="15.75" hidden="false" customHeight="true" outlineLevel="0" collapsed="false">
      <c r="B3340" s="54" t="s">
        <v>148</v>
      </c>
      <c r="C3340" s="55" t="n">
        <v>1</v>
      </c>
      <c r="D3340" s="55" t="n">
        <v>2</v>
      </c>
      <c r="E3340" s="55" t="n">
        <v>3</v>
      </c>
      <c r="F3340" s="55" t="n">
        <v>4</v>
      </c>
      <c r="G3340" s="55" t="n">
        <v>5</v>
      </c>
      <c r="H3340" s="55" t="n">
        <v>6</v>
      </c>
      <c r="I3340" s="55" t="n">
        <v>7</v>
      </c>
      <c r="J3340" s="55" t="n">
        <v>8</v>
      </c>
      <c r="K3340" s="55" t="n">
        <v>9</v>
      </c>
      <c r="L3340" s="55" t="n">
        <v>10</v>
      </c>
    </row>
    <row r="3341" customFormat="false" ht="15" hidden="false" customHeight="false" outlineLevel="0" collapsed="false">
      <c r="B3341" s="102" t="str">
        <f aca="false">'Loan Tape'!$A4</f>
        <v>L-001</v>
      </c>
      <c r="C3341" s="99" t="n">
        <f aca="false">IF(1&gt;Debt_Yr,0,IF(1=Debt_Yr,C3038,MIN(C3038,(C917+C1220+C1523+C2129)*Cash_Sweep)))</f>
        <v>4599420</v>
      </c>
      <c r="D3341" s="99" t="n">
        <f aca="false">IF(2&gt;Debt_Yr,0,IF(2=Debt_Yr,D3038,MIN(D3038,(D917+D1220+D1523+D2129)*Cash_Sweep)))</f>
        <v>0</v>
      </c>
      <c r="E3341" s="99" t="n">
        <f aca="false">IF(3&gt;Debt_Yr,0,IF(3=Debt_Yr,E3038,MIN(E3038,(E917+E1220+E1523+E2129)*Cash_Sweep)))</f>
        <v>0</v>
      </c>
      <c r="F3341" s="99" t="n">
        <f aca="false">IF(4&gt;Debt_Yr,0,IF(4=Debt_Yr,F3038,MIN(F3038,(F917+F1220+F1523+F2129)*Cash_Sweep)))</f>
        <v>0</v>
      </c>
      <c r="G3341" s="99" t="n">
        <f aca="false">IF(5&gt;Debt_Yr,0,IF(5=Debt_Yr,G3038,MIN(G3038,(G917+G1220+G1523+G2129)*Cash_Sweep)))</f>
        <v>0</v>
      </c>
      <c r="H3341" s="99" t="n">
        <f aca="false">IF(6&gt;Debt_Yr,0,IF(6=Debt_Yr,H3038,MIN(H3038,(H917+H1220+H1523+H2129)*Cash_Sweep)))</f>
        <v>0</v>
      </c>
      <c r="I3341" s="99" t="n">
        <f aca="false">IF(7&gt;Debt_Yr,0,IF(7=Debt_Yr,I3038,MIN(I3038,(I917+I1220+I1523+I2129)*Cash_Sweep)))</f>
        <v>0</v>
      </c>
      <c r="J3341" s="99" t="n">
        <f aca="false">IF(8&gt;Debt_Yr,0,IF(8=Debt_Yr,J3038,MIN(J3038,(J917+J1220+J1523+J2129)*Cash_Sweep)))</f>
        <v>0</v>
      </c>
      <c r="K3341" s="99" t="n">
        <f aca="false">IF(9&gt;Debt_Yr,0,IF(9=Debt_Yr,K3038,MIN(K3038,(K917+K1220+K1523+K2129)*Cash_Sweep)))</f>
        <v>0</v>
      </c>
      <c r="L3341" s="99" t="n">
        <f aca="false">IF(10&gt;Debt_Yr,0,IF(10=Debt_Yr,L3038,MIN(L3038,(L917+L1220+L1523+L2129)*Cash_Sweep)))</f>
        <v>0</v>
      </c>
    </row>
    <row r="3342" customFormat="false" ht="15" hidden="false" customHeight="false" outlineLevel="0" collapsed="false">
      <c r="B3342" s="108" t="str">
        <f aca="false">'Loan Tape'!$A5</f>
        <v>L-002</v>
      </c>
      <c r="C3342" s="71" t="n">
        <f aca="false">IF(1&gt;Debt_Yr,0,IF(1=Debt_Yr,C3039,MIN(C3039,(C918+C1221+C1524+C2130)*Cash_Sweep)))</f>
        <v>1319615.84722717</v>
      </c>
      <c r="D3342" s="71" t="n">
        <f aca="false">IF(2&gt;Debt_Yr,0,IF(2=Debt_Yr,D3039,MIN(D3039,(D918+D1221+D1524+D2130)*Cash_Sweep)))</f>
        <v>4707852.15277283</v>
      </c>
      <c r="E3342" s="71" t="n">
        <f aca="false">IF(3&gt;Debt_Yr,0,IF(3=Debt_Yr,E3039,MIN(E3039,(E918+E1221+E1524+E2130)*Cash_Sweep)))</f>
        <v>0</v>
      </c>
      <c r="F3342" s="71" t="n">
        <f aca="false">IF(4&gt;Debt_Yr,0,IF(4=Debt_Yr,F3039,MIN(F3039,(F918+F1221+F1524+F2130)*Cash_Sweep)))</f>
        <v>0</v>
      </c>
      <c r="G3342" s="71" t="n">
        <f aca="false">IF(5&gt;Debt_Yr,0,IF(5=Debt_Yr,G3039,MIN(G3039,(G918+G1221+G1524+G2130)*Cash_Sweep)))</f>
        <v>0</v>
      </c>
      <c r="H3342" s="71" t="n">
        <f aca="false">IF(6&gt;Debt_Yr,0,IF(6=Debt_Yr,H3039,MIN(H3039,(H918+H1221+H1524+H2130)*Cash_Sweep)))</f>
        <v>0</v>
      </c>
      <c r="I3342" s="71" t="n">
        <f aca="false">IF(7&gt;Debt_Yr,0,IF(7=Debt_Yr,I3039,MIN(I3039,(I918+I1221+I1524+I2130)*Cash_Sweep)))</f>
        <v>0</v>
      </c>
      <c r="J3342" s="71" t="n">
        <f aca="false">IF(8&gt;Debt_Yr,0,IF(8=Debt_Yr,J3039,MIN(J3039,(J918+J1221+J1524+J2130)*Cash_Sweep)))</f>
        <v>0</v>
      </c>
      <c r="K3342" s="71" t="n">
        <f aca="false">IF(9&gt;Debt_Yr,0,IF(9=Debt_Yr,K3039,MIN(K3039,(K918+K1221+K1524+K2130)*Cash_Sweep)))</f>
        <v>0</v>
      </c>
      <c r="L3342" s="71" t="n">
        <f aca="false">IF(10&gt;Debt_Yr,0,IF(10=Debt_Yr,L3039,MIN(L3039,(L918+L1221+L1524+L2130)*Cash_Sweep)))</f>
        <v>0</v>
      </c>
    </row>
    <row r="3343" customFormat="false" ht="15" hidden="false" customHeight="false" outlineLevel="0" collapsed="false">
      <c r="B3343" s="102" t="str">
        <f aca="false">'Loan Tape'!$A6</f>
        <v>L-003</v>
      </c>
      <c r="C3343" s="99" t="n">
        <f aca="false">IF(1&gt;Debt_Yr,0,IF(1=Debt_Yr,C3040,MIN(C3040,(C919+C1222+C1525+C2131)*Cash_Sweep)))</f>
        <v>13382050.320336</v>
      </c>
      <c r="D3343" s="99" t="n">
        <f aca="false">IF(2&gt;Debt_Yr,0,IF(2=Debt_Yr,D3040,MIN(D3040,(D919+D1222+D1525+D2131)*Cash_Sweep)))</f>
        <v>13507801.3251735</v>
      </c>
      <c r="E3343" s="99" t="n">
        <f aca="false">IF(3&gt;Debt_Yr,0,IF(3=Debt_Yr,E3040,MIN(E3040,(E919+E1222+E1525+E2131)*Cash_Sweep)))</f>
        <v>11896145.3411922</v>
      </c>
      <c r="F3343" s="99" t="n">
        <f aca="false">IF(4&gt;Debt_Yr,0,IF(4=Debt_Yr,F3040,MIN(F3040,(F919+F1222+F1525+F2131)*Cash_Sweep)))</f>
        <v>28459159.0132983</v>
      </c>
      <c r="G3343" s="99" t="n">
        <f aca="false">IF(5&gt;Debt_Yr,0,IF(5=Debt_Yr,G3040,MIN(G3040,(G919+G1222+G1525+G2131)*Cash_Sweep)))</f>
        <v>0</v>
      </c>
      <c r="H3343" s="99" t="n">
        <f aca="false">IF(6&gt;Debt_Yr,0,IF(6=Debt_Yr,H3040,MIN(H3040,(H919+H1222+H1525+H2131)*Cash_Sweep)))</f>
        <v>0</v>
      </c>
      <c r="I3343" s="99" t="n">
        <f aca="false">IF(7&gt;Debt_Yr,0,IF(7=Debt_Yr,I3040,MIN(I3040,(I919+I1222+I1525+I2131)*Cash_Sweep)))</f>
        <v>0</v>
      </c>
      <c r="J3343" s="99" t="n">
        <f aca="false">IF(8&gt;Debt_Yr,0,IF(8=Debt_Yr,J3040,MIN(J3040,(J919+J1222+J1525+J2131)*Cash_Sweep)))</f>
        <v>0</v>
      </c>
      <c r="K3343" s="99" t="n">
        <f aca="false">IF(9&gt;Debt_Yr,0,IF(9=Debt_Yr,K3040,MIN(K3040,(K919+K1222+K1525+K2131)*Cash_Sweep)))</f>
        <v>0</v>
      </c>
      <c r="L3343" s="99" t="n">
        <f aca="false">IF(10&gt;Debt_Yr,0,IF(10=Debt_Yr,L3040,MIN(L3040,(L919+L1222+L1525+L2131)*Cash_Sweep)))</f>
        <v>0</v>
      </c>
    </row>
    <row r="3344" customFormat="false" ht="15" hidden="false" customHeight="false" outlineLevel="0" collapsed="false">
      <c r="B3344" s="108" t="str">
        <f aca="false">'Loan Tape'!$A7</f>
        <v>L-004</v>
      </c>
      <c r="C3344" s="71" t="n">
        <f aca="false">IF(1&gt;Debt_Yr,0,IF(1=Debt_Yr,C3041,MIN(C3041,(C920+C1223+C1526+C2132)*Cash_Sweep)))</f>
        <v>5628339.47542601</v>
      </c>
      <c r="D3344" s="71" t="n">
        <f aca="false">IF(2&gt;Debt_Yr,0,IF(2=Debt_Yr,D3041,MIN(D3041,(D920+D1223+D1526+D2132)*Cash_Sweep)))</f>
        <v>20339348.524574</v>
      </c>
      <c r="E3344" s="71" t="n">
        <f aca="false">IF(3&gt;Debt_Yr,0,IF(3=Debt_Yr,E3041,MIN(E3041,(E920+E1223+E1526+E2132)*Cash_Sweep)))</f>
        <v>0</v>
      </c>
      <c r="F3344" s="71" t="n">
        <f aca="false">IF(4&gt;Debt_Yr,0,IF(4=Debt_Yr,F3041,MIN(F3041,(F920+F1223+F1526+F2132)*Cash_Sweep)))</f>
        <v>0</v>
      </c>
      <c r="G3344" s="71" t="n">
        <f aca="false">IF(5&gt;Debt_Yr,0,IF(5=Debt_Yr,G3041,MIN(G3041,(G920+G1223+G1526+G2132)*Cash_Sweep)))</f>
        <v>0</v>
      </c>
      <c r="H3344" s="71" t="n">
        <f aca="false">IF(6&gt;Debt_Yr,0,IF(6=Debt_Yr,H3041,MIN(H3041,(H920+H1223+H1526+H2132)*Cash_Sweep)))</f>
        <v>0</v>
      </c>
      <c r="I3344" s="71" t="n">
        <f aca="false">IF(7&gt;Debt_Yr,0,IF(7=Debt_Yr,I3041,MIN(I3041,(I920+I1223+I1526+I2132)*Cash_Sweep)))</f>
        <v>0</v>
      </c>
      <c r="J3344" s="71" t="n">
        <f aca="false">IF(8&gt;Debt_Yr,0,IF(8=Debt_Yr,J3041,MIN(J3041,(J920+J1223+J1526+J2132)*Cash_Sweep)))</f>
        <v>0</v>
      </c>
      <c r="K3344" s="71" t="n">
        <f aca="false">IF(9&gt;Debt_Yr,0,IF(9=Debt_Yr,K3041,MIN(K3041,(K920+K1223+K1526+K2132)*Cash_Sweep)))</f>
        <v>0</v>
      </c>
      <c r="L3344" s="71" t="n">
        <f aca="false">IF(10&gt;Debt_Yr,0,IF(10=Debt_Yr,L3041,MIN(L3041,(L920+L1223+L1526+L2132)*Cash_Sweep)))</f>
        <v>0</v>
      </c>
    </row>
    <row r="3345" customFormat="false" ht="15" hidden="false" customHeight="false" outlineLevel="0" collapsed="false">
      <c r="B3345" s="102" t="str">
        <f aca="false">'Loan Tape'!$A8</f>
        <v>L-005</v>
      </c>
      <c r="C3345" s="99" t="n">
        <f aca="false">IF(1&gt;Debt_Yr,0,IF(1=Debt_Yr,C3042,MIN(C3042,(C921+C1224+C1527+C2133)*Cash_Sweep)))</f>
        <v>66380544</v>
      </c>
      <c r="D3345" s="99" t="n">
        <f aca="false">IF(2&gt;Debt_Yr,0,IF(2=Debt_Yr,D3042,MIN(D3042,(D921+D1224+D1527+D2133)*Cash_Sweep)))</f>
        <v>0</v>
      </c>
      <c r="E3345" s="99" t="n">
        <f aca="false">IF(3&gt;Debt_Yr,0,IF(3=Debt_Yr,E3042,MIN(E3042,(E921+E1224+E1527+E2133)*Cash_Sweep)))</f>
        <v>0</v>
      </c>
      <c r="F3345" s="99" t="n">
        <f aca="false">IF(4&gt;Debt_Yr,0,IF(4=Debt_Yr,F3042,MIN(F3042,(F921+F1224+F1527+F2133)*Cash_Sweep)))</f>
        <v>0</v>
      </c>
      <c r="G3345" s="99" t="n">
        <f aca="false">IF(5&gt;Debt_Yr,0,IF(5=Debt_Yr,G3042,MIN(G3042,(G921+G1224+G1527+G2133)*Cash_Sweep)))</f>
        <v>0</v>
      </c>
      <c r="H3345" s="99" t="n">
        <f aca="false">IF(6&gt;Debt_Yr,0,IF(6=Debt_Yr,H3042,MIN(H3042,(H921+H1224+H1527+H2133)*Cash_Sweep)))</f>
        <v>0</v>
      </c>
      <c r="I3345" s="99" t="n">
        <f aca="false">IF(7&gt;Debt_Yr,0,IF(7=Debt_Yr,I3042,MIN(I3042,(I921+I1224+I1527+I2133)*Cash_Sweep)))</f>
        <v>0</v>
      </c>
      <c r="J3345" s="99" t="n">
        <f aca="false">IF(8&gt;Debt_Yr,0,IF(8=Debt_Yr,J3042,MIN(J3042,(J921+J1224+J1527+J2133)*Cash_Sweep)))</f>
        <v>0</v>
      </c>
      <c r="K3345" s="99" t="n">
        <f aca="false">IF(9&gt;Debt_Yr,0,IF(9=Debt_Yr,K3042,MIN(K3042,(K921+K1224+K1527+K2133)*Cash_Sweep)))</f>
        <v>0</v>
      </c>
      <c r="L3345" s="99" t="n">
        <f aca="false">IF(10&gt;Debt_Yr,0,IF(10=Debt_Yr,L3042,MIN(L3042,(L921+L1224+L1527+L2133)*Cash_Sweep)))</f>
        <v>0</v>
      </c>
    </row>
    <row r="3346" customFormat="false" ht="15" hidden="false" customHeight="false" outlineLevel="0" collapsed="false">
      <c r="B3346" s="108" t="str">
        <f aca="false">'Loan Tape'!$A9</f>
        <v>L-006</v>
      </c>
      <c r="C3346" s="71" t="n">
        <f aca="false">IF(1&gt;Debt_Yr,0,IF(1=Debt_Yr,C3043,MIN(C3043,(C922+C1225+C1528+C2134)*Cash_Sweep)))</f>
        <v>7055092.74998272</v>
      </c>
      <c r="D3346" s="71" t="n">
        <f aca="false">IF(2&gt;Debt_Yr,0,IF(2=Debt_Yr,D3043,MIN(D3043,(D922+D1225+D1528+D2134)*Cash_Sweep)))</f>
        <v>25435819.2500173</v>
      </c>
      <c r="E3346" s="71" t="n">
        <f aca="false">IF(3&gt;Debt_Yr,0,IF(3=Debt_Yr,E3043,MIN(E3043,(E922+E1225+E1528+E2134)*Cash_Sweep)))</f>
        <v>0</v>
      </c>
      <c r="F3346" s="71" t="n">
        <f aca="false">IF(4&gt;Debt_Yr,0,IF(4=Debt_Yr,F3043,MIN(F3043,(F922+F1225+F1528+F2134)*Cash_Sweep)))</f>
        <v>0</v>
      </c>
      <c r="G3346" s="71" t="n">
        <f aca="false">IF(5&gt;Debt_Yr,0,IF(5=Debt_Yr,G3043,MIN(G3043,(G922+G1225+G1528+G2134)*Cash_Sweep)))</f>
        <v>0</v>
      </c>
      <c r="H3346" s="71" t="n">
        <f aca="false">IF(6&gt;Debt_Yr,0,IF(6=Debt_Yr,H3043,MIN(H3043,(H922+H1225+H1528+H2134)*Cash_Sweep)))</f>
        <v>0</v>
      </c>
      <c r="I3346" s="71" t="n">
        <f aca="false">IF(7&gt;Debt_Yr,0,IF(7=Debt_Yr,I3043,MIN(I3043,(I922+I1225+I1528+I2134)*Cash_Sweep)))</f>
        <v>0</v>
      </c>
      <c r="J3346" s="71" t="n">
        <f aca="false">IF(8&gt;Debt_Yr,0,IF(8=Debt_Yr,J3043,MIN(J3043,(J922+J1225+J1528+J2134)*Cash_Sweep)))</f>
        <v>0</v>
      </c>
      <c r="K3346" s="71" t="n">
        <f aca="false">IF(9&gt;Debt_Yr,0,IF(9=Debt_Yr,K3043,MIN(K3043,(K922+K1225+K1528+K2134)*Cash_Sweep)))</f>
        <v>0</v>
      </c>
      <c r="L3346" s="71" t="n">
        <f aca="false">IF(10&gt;Debt_Yr,0,IF(10=Debt_Yr,L3043,MIN(L3043,(L922+L1225+L1528+L2134)*Cash_Sweep)))</f>
        <v>0</v>
      </c>
    </row>
    <row r="3347" customFormat="false" ht="15" hidden="false" customHeight="false" outlineLevel="0" collapsed="false">
      <c r="B3347" s="102" t="str">
        <f aca="false">'Loan Tape'!$A10</f>
        <v>L-007</v>
      </c>
      <c r="C3347" s="99" t="n">
        <f aca="false">IF(1&gt;Debt_Yr,0,IF(1=Debt_Yr,C3044,MIN(C3044,(C923+C1226+C1529+C2135)*Cash_Sweep)))</f>
        <v>452400</v>
      </c>
      <c r="D3347" s="99" t="n">
        <f aca="false">IF(2&gt;Debt_Yr,0,IF(2=Debt_Yr,D3044,MIN(D3044,(D923+D1226+D1529+D2135)*Cash_Sweep)))</f>
        <v>461448</v>
      </c>
      <c r="E3347" s="99" t="n">
        <f aca="false">IF(3&gt;Debt_Yr,0,IF(3=Debt_Yr,E3044,MIN(E3044,(E923+E1226+E1529+E2135)*Cash_Sweep)))</f>
        <v>406074.24</v>
      </c>
      <c r="F3347" s="99" t="n">
        <f aca="false">IF(4&gt;Debt_Yr,0,IF(4=Debt_Yr,F3044,MIN(F3044,(F923+F1226+F1529+F2135)*Cash_Sweep)))</f>
        <v>357345.3312</v>
      </c>
      <c r="G3347" s="99" t="n">
        <f aca="false">IF(5&gt;Debt_Yr,0,IF(5=Debt_Yr,G3044,MIN(G3044,(G923+G1226+G1529+G2135)*Cash_Sweep)))</f>
        <v>874268.4288</v>
      </c>
      <c r="H3347" s="99" t="n">
        <f aca="false">IF(6&gt;Debt_Yr,0,IF(6=Debt_Yr,H3044,MIN(H3044,(H923+H1226+H1529+H2135)*Cash_Sweep)))</f>
        <v>0</v>
      </c>
      <c r="I3347" s="99" t="n">
        <f aca="false">IF(7&gt;Debt_Yr,0,IF(7=Debt_Yr,I3044,MIN(I3044,(I923+I1226+I1529+I2135)*Cash_Sweep)))</f>
        <v>0</v>
      </c>
      <c r="J3347" s="99" t="n">
        <f aca="false">IF(8&gt;Debt_Yr,0,IF(8=Debt_Yr,J3044,MIN(J3044,(J923+J1226+J1529+J2135)*Cash_Sweep)))</f>
        <v>0</v>
      </c>
      <c r="K3347" s="99" t="n">
        <f aca="false">IF(9&gt;Debt_Yr,0,IF(9=Debt_Yr,K3044,MIN(K3044,(K923+K1226+K1529+K2135)*Cash_Sweep)))</f>
        <v>0</v>
      </c>
      <c r="L3347" s="99" t="n">
        <f aca="false">IF(10&gt;Debt_Yr,0,IF(10=Debt_Yr,L3044,MIN(L3044,(L923+L1226+L1529+L2135)*Cash_Sweep)))</f>
        <v>0</v>
      </c>
    </row>
    <row r="3348" customFormat="false" ht="15" hidden="false" customHeight="false" outlineLevel="0" collapsed="false">
      <c r="B3348" s="108" t="str">
        <f aca="false">'Loan Tape'!$A11</f>
        <v>L-008</v>
      </c>
      <c r="C3348" s="71" t="n">
        <f aca="false">IF(1&gt;Debt_Yr,0,IF(1=Debt_Yr,C3045,MIN(C3045,(C924+C1227+C1530+C2136)*Cash_Sweep)))</f>
        <v>5586582.4639907</v>
      </c>
      <c r="D3348" s="71" t="n">
        <f aca="false">IF(2&gt;Debt_Yr,0,IF(2=Debt_Yr,D3045,MIN(D3045,(D924+D1227+D1530+D2136)*Cash_Sweep)))</f>
        <v>5616626.53161707</v>
      </c>
      <c r="E3348" s="71" t="n">
        <f aca="false">IF(3&gt;Debt_Yr,0,IF(3=Debt_Yr,E3045,MIN(E3045,(E924+E1227+E1530+E2136)*Cash_Sweep)))</f>
        <v>4940244.54975605</v>
      </c>
      <c r="F3348" s="71" t="n">
        <f aca="false">IF(4&gt;Debt_Yr,0,IF(4=Debt_Yr,F3045,MIN(F3045,(F924+F1227+F1530+F2136)*Cash_Sweep)))</f>
        <v>11115230.4546362</v>
      </c>
      <c r="G3348" s="71" t="n">
        <f aca="false">IF(5&gt;Debt_Yr,0,IF(5=Debt_Yr,G3045,MIN(G3045,(G924+G1227+G1530+G2136)*Cash_Sweep)))</f>
        <v>0</v>
      </c>
      <c r="H3348" s="71" t="n">
        <f aca="false">IF(6&gt;Debt_Yr,0,IF(6=Debt_Yr,H3045,MIN(H3045,(H924+H1227+H1530+H2136)*Cash_Sweep)))</f>
        <v>0</v>
      </c>
      <c r="I3348" s="71" t="n">
        <f aca="false">IF(7&gt;Debt_Yr,0,IF(7=Debt_Yr,I3045,MIN(I3045,(I924+I1227+I1530+I2136)*Cash_Sweep)))</f>
        <v>0</v>
      </c>
      <c r="J3348" s="71" t="n">
        <f aca="false">IF(8&gt;Debt_Yr,0,IF(8=Debt_Yr,J3045,MIN(J3045,(J924+J1227+J1530+J2136)*Cash_Sweep)))</f>
        <v>0</v>
      </c>
      <c r="K3348" s="71" t="n">
        <f aca="false">IF(9&gt;Debt_Yr,0,IF(9=Debt_Yr,K3045,MIN(K3045,(K924+K1227+K1530+K2136)*Cash_Sweep)))</f>
        <v>0</v>
      </c>
      <c r="L3348" s="71" t="n">
        <f aca="false">IF(10&gt;Debt_Yr,0,IF(10=Debt_Yr,L3045,MIN(L3045,(L924+L1227+L1530+L2136)*Cash_Sweep)))</f>
        <v>0</v>
      </c>
    </row>
    <row r="3349" customFormat="false" ht="15" hidden="false" customHeight="false" outlineLevel="0" collapsed="false">
      <c r="B3349" s="102" t="str">
        <f aca="false">'Loan Tape'!$A12</f>
        <v>L-009</v>
      </c>
      <c r="C3349" s="99" t="n">
        <f aca="false">IF(1&gt;Debt_Yr,0,IF(1=Debt_Yr,C3046,MIN(C3046,(C925+C1228+C1531+C2137)*Cash_Sweep)))</f>
        <v>1641500</v>
      </c>
      <c r="D3349" s="99" t="n">
        <f aca="false">IF(2&gt;Debt_Yr,0,IF(2=Debt_Yr,D3046,MIN(D3046,(D925+D1228+D1531+D2137)*Cash_Sweep)))</f>
        <v>1674330</v>
      </c>
      <c r="E3349" s="99" t="n">
        <f aca="false">IF(3&gt;Debt_Yr,0,IF(3=Debt_Yr,E3046,MIN(E3046,(E925+E1228+E1531+E2137)*Cash_Sweep)))</f>
        <v>1675572.10114544</v>
      </c>
      <c r="F3349" s="99" t="n">
        <f aca="false">IF(4&gt;Debt_Yr,0,IF(4=Debt_Yr,F3046,MIN(F3046,(F925+F1228+F1531+F2137)*Cash_Sweep)))</f>
        <v>1525745.57149576</v>
      </c>
      <c r="G3349" s="99" t="n">
        <f aca="false">IF(5&gt;Debt_Yr,0,IF(5=Debt_Yr,G3046,MIN(G3046,(G925+G1228+G1531+G2137)*Cash_Sweep)))</f>
        <v>2740912.3273588</v>
      </c>
      <c r="H3349" s="99" t="n">
        <f aca="false">IF(6&gt;Debt_Yr,0,IF(6=Debt_Yr,H3046,MIN(H3046,(H925+H1228+H1531+H2137)*Cash_Sweep)))</f>
        <v>0</v>
      </c>
      <c r="I3349" s="99" t="n">
        <f aca="false">IF(7&gt;Debt_Yr,0,IF(7=Debt_Yr,I3046,MIN(I3046,(I925+I1228+I1531+I2137)*Cash_Sweep)))</f>
        <v>0</v>
      </c>
      <c r="J3349" s="99" t="n">
        <f aca="false">IF(8&gt;Debt_Yr,0,IF(8=Debt_Yr,J3046,MIN(J3046,(J925+J1228+J1531+J2137)*Cash_Sweep)))</f>
        <v>0</v>
      </c>
      <c r="K3349" s="99" t="n">
        <f aca="false">IF(9&gt;Debt_Yr,0,IF(9=Debt_Yr,K3046,MIN(K3046,(K925+K1228+K1531+K2137)*Cash_Sweep)))</f>
        <v>0</v>
      </c>
      <c r="L3349" s="99" t="n">
        <f aca="false">IF(10&gt;Debt_Yr,0,IF(10=Debt_Yr,L3046,MIN(L3046,(L925+L1228+L1531+L2137)*Cash_Sweep)))</f>
        <v>0</v>
      </c>
    </row>
    <row r="3350" customFormat="false" ht="15" hidden="false" customHeight="false" outlineLevel="0" collapsed="false">
      <c r="B3350" s="108" t="str">
        <f aca="false">'Loan Tape'!$A13</f>
        <v>L-010</v>
      </c>
      <c r="C3350" s="71" t="n">
        <f aca="false">IF(1&gt;Debt_Yr,0,IF(1=Debt_Yr,C3047,MIN(C3047,(C926+C1229+C1532+C2138)*Cash_Sweep)))</f>
        <v>25411584</v>
      </c>
      <c r="D3350" s="71" t="n">
        <f aca="false">IF(2&gt;Debt_Yr,0,IF(2=Debt_Yr,D3047,MIN(D3047,(D926+D1229+D1532+D2138)*Cash_Sweep)))</f>
        <v>0</v>
      </c>
      <c r="E3350" s="71" t="n">
        <f aca="false">IF(3&gt;Debt_Yr,0,IF(3=Debt_Yr,E3047,MIN(E3047,(E926+E1229+E1532+E2138)*Cash_Sweep)))</f>
        <v>0</v>
      </c>
      <c r="F3350" s="71" t="n">
        <f aca="false">IF(4&gt;Debt_Yr,0,IF(4=Debt_Yr,F3047,MIN(F3047,(F926+F1229+F1532+F2138)*Cash_Sweep)))</f>
        <v>0</v>
      </c>
      <c r="G3350" s="71" t="n">
        <f aca="false">IF(5&gt;Debt_Yr,0,IF(5=Debt_Yr,G3047,MIN(G3047,(G926+G1229+G1532+G2138)*Cash_Sweep)))</f>
        <v>0</v>
      </c>
      <c r="H3350" s="71" t="n">
        <f aca="false">IF(6&gt;Debt_Yr,0,IF(6=Debt_Yr,H3047,MIN(H3047,(H926+H1229+H1532+H2138)*Cash_Sweep)))</f>
        <v>0</v>
      </c>
      <c r="I3350" s="71" t="n">
        <f aca="false">IF(7&gt;Debt_Yr,0,IF(7=Debt_Yr,I3047,MIN(I3047,(I926+I1229+I1532+I2138)*Cash_Sweep)))</f>
        <v>0</v>
      </c>
      <c r="J3350" s="71" t="n">
        <f aca="false">IF(8&gt;Debt_Yr,0,IF(8=Debt_Yr,J3047,MIN(J3047,(J926+J1229+J1532+J2138)*Cash_Sweep)))</f>
        <v>0</v>
      </c>
      <c r="K3350" s="71" t="n">
        <f aca="false">IF(9&gt;Debt_Yr,0,IF(9=Debt_Yr,K3047,MIN(K3047,(K926+K1229+K1532+K2138)*Cash_Sweep)))</f>
        <v>0</v>
      </c>
      <c r="L3350" s="71" t="n">
        <f aca="false">IF(10&gt;Debt_Yr,0,IF(10=Debt_Yr,L3047,MIN(L3047,(L926+L1229+L1532+L2138)*Cash_Sweep)))</f>
        <v>0</v>
      </c>
    </row>
    <row r="3351" customFormat="false" ht="15" hidden="false" customHeight="false" outlineLevel="0" collapsed="false">
      <c r="B3351" s="102" t="str">
        <f aca="false">'Loan Tape'!$A14</f>
        <v>L-011</v>
      </c>
      <c r="C3351" s="99" t="n">
        <f aca="false">IF(1&gt;Debt_Yr,0,IF(1=Debt_Yr,C3048,MIN(C3048,(C927+C1230+C1533+C2139)*Cash_Sweep)))</f>
        <v>3175094.45319341</v>
      </c>
      <c r="D3351" s="99" t="n">
        <f aca="false">IF(2&gt;Debt_Yr,0,IF(2=Debt_Yr,D3048,MIN(D3048,(D927+D1230+D1533+D2139)*Cash_Sweep)))</f>
        <v>3193817.97938058</v>
      </c>
      <c r="E3351" s="99" t="n">
        <f aca="false">IF(3&gt;Debt_Yr,0,IF(3=Debt_Yr,E3048,MIN(E3048,(E927+E1230+E1533+E2139)*Cash_Sweep)))</f>
        <v>2807625.79217131</v>
      </c>
      <c r="F3351" s="99" t="n">
        <f aca="false">IF(4&gt;Debt_Yr,0,IF(4=Debt_Yr,F3048,MIN(F3048,(F927+F1230+F1533+F2139)*Cash_Sweep)))</f>
        <v>2454968.46517143</v>
      </c>
      <c r="G3351" s="99" t="n">
        <f aca="false">IF(5&gt;Debt_Yr,0,IF(5=Debt_Yr,G3048,MIN(G3048,(G927+G1230+G1533+G2139)*Cash_Sweep)))</f>
        <v>3996933.31008327</v>
      </c>
      <c r="H3351" s="99" t="n">
        <f aca="false">IF(6&gt;Debt_Yr,0,IF(6=Debt_Yr,H3048,MIN(H3048,(H927+H1230+H1533+H2139)*Cash_Sweep)))</f>
        <v>0</v>
      </c>
      <c r="I3351" s="99" t="n">
        <f aca="false">IF(7&gt;Debt_Yr,0,IF(7=Debt_Yr,I3048,MIN(I3048,(I927+I1230+I1533+I2139)*Cash_Sweep)))</f>
        <v>0</v>
      </c>
      <c r="J3351" s="99" t="n">
        <f aca="false">IF(8&gt;Debt_Yr,0,IF(8=Debt_Yr,J3048,MIN(J3048,(J927+J1230+J1533+J2139)*Cash_Sweep)))</f>
        <v>0</v>
      </c>
      <c r="K3351" s="99" t="n">
        <f aca="false">IF(9&gt;Debt_Yr,0,IF(9=Debt_Yr,K3048,MIN(K3048,(K927+K1230+K1533+K2139)*Cash_Sweep)))</f>
        <v>0</v>
      </c>
      <c r="L3351" s="99" t="n">
        <f aca="false">IF(10&gt;Debt_Yr,0,IF(10=Debt_Yr,L3048,MIN(L3048,(L927+L1230+L1533+L2139)*Cash_Sweep)))</f>
        <v>0</v>
      </c>
    </row>
    <row r="3352" customFormat="false" ht="15" hidden="false" customHeight="false" outlineLevel="0" collapsed="false">
      <c r="B3352" s="108" t="str">
        <f aca="false">'Loan Tape'!$A15</f>
        <v>L-012</v>
      </c>
      <c r="C3352" s="71" t="n">
        <f aca="false">IF(1&gt;Debt_Yr,0,IF(1=Debt_Yr,C3049,MIN(C3049,(C928+C1231+C1534+C2140)*Cash_Sweep)))</f>
        <v>686966.770397847</v>
      </c>
      <c r="D3352" s="71" t="n">
        <f aca="false">IF(2&gt;Debt_Yr,0,IF(2=Debt_Yr,D3049,MIN(D3049,(D928+D1231+D1534+D2140)*Cash_Sweep)))</f>
        <v>2501889.22960215</v>
      </c>
      <c r="E3352" s="71" t="n">
        <f aca="false">IF(3&gt;Debt_Yr,0,IF(3=Debt_Yr,E3049,MIN(E3049,(E928+E1231+E1534+E2140)*Cash_Sweep)))</f>
        <v>0</v>
      </c>
      <c r="F3352" s="71" t="n">
        <f aca="false">IF(4&gt;Debt_Yr,0,IF(4=Debt_Yr,F3049,MIN(F3049,(F928+F1231+F1534+F2140)*Cash_Sweep)))</f>
        <v>0</v>
      </c>
      <c r="G3352" s="71" t="n">
        <f aca="false">IF(5&gt;Debt_Yr,0,IF(5=Debt_Yr,G3049,MIN(G3049,(G928+G1231+G1534+G2140)*Cash_Sweep)))</f>
        <v>0</v>
      </c>
      <c r="H3352" s="71" t="n">
        <f aca="false">IF(6&gt;Debt_Yr,0,IF(6=Debt_Yr,H3049,MIN(H3049,(H928+H1231+H1534+H2140)*Cash_Sweep)))</f>
        <v>0</v>
      </c>
      <c r="I3352" s="71" t="n">
        <f aca="false">IF(7&gt;Debt_Yr,0,IF(7=Debt_Yr,I3049,MIN(I3049,(I928+I1231+I1534+I2140)*Cash_Sweep)))</f>
        <v>0</v>
      </c>
      <c r="J3352" s="71" t="n">
        <f aca="false">IF(8&gt;Debt_Yr,0,IF(8=Debt_Yr,J3049,MIN(J3049,(J928+J1231+J1534+J2140)*Cash_Sweep)))</f>
        <v>0</v>
      </c>
      <c r="K3352" s="71" t="n">
        <f aca="false">IF(9&gt;Debt_Yr,0,IF(9=Debt_Yr,K3049,MIN(K3049,(K928+K1231+K1534+K2140)*Cash_Sweep)))</f>
        <v>0</v>
      </c>
      <c r="L3352" s="71" t="n">
        <f aca="false">IF(10&gt;Debt_Yr,0,IF(10=Debt_Yr,L3049,MIN(L3049,(L928+L1231+L1534+L2140)*Cash_Sweep)))</f>
        <v>0</v>
      </c>
    </row>
    <row r="3353" customFormat="false" ht="15" hidden="false" customHeight="false" outlineLevel="0" collapsed="false">
      <c r="B3353" s="102" t="str">
        <f aca="false">'Loan Tape'!$A16</f>
        <v>L-013</v>
      </c>
      <c r="C3353" s="99" t="n">
        <f aca="false">IF(1&gt;Debt_Yr,0,IF(1=Debt_Yr,C3050,MIN(C3050,(C929+C1232+C1535+C2141)*Cash_Sweep)))</f>
        <v>9799841.05749182</v>
      </c>
      <c r="D3353" s="99" t="n">
        <f aca="false">IF(2&gt;Debt_Yr,0,IF(2=Debt_Yr,D3050,MIN(D3050,(D929+D1232+D1535+D2141)*Cash_Sweep)))</f>
        <v>9764520.57085756</v>
      </c>
      <c r="E3353" s="99" t="n">
        <f aca="false">IF(3&gt;Debt_Yr,0,IF(3=Debt_Yr,E3050,MIN(E3050,(E929+E1232+E1535+E2141)*Cash_Sweep)))</f>
        <v>8523019.81900808</v>
      </c>
      <c r="F3353" s="99" t="n">
        <f aca="false">IF(4&gt;Debt_Yr,0,IF(4=Debt_Yr,F3050,MIN(F3050,(F929+F1232+F1535+F2141)*Cash_Sweep)))</f>
        <v>7434799.61407726</v>
      </c>
      <c r="G3353" s="99" t="n">
        <f aca="false">IF(5&gt;Debt_Yr,0,IF(5=Debt_Yr,G3050,MIN(G3050,(G929+G1232+G1535+G2141)*Cash_Sweep)))</f>
        <v>12668798.9385653</v>
      </c>
      <c r="H3353" s="99" t="n">
        <f aca="false">IF(6&gt;Debt_Yr,0,IF(6=Debt_Yr,H3050,MIN(H3050,(H929+H1232+H1535+H2141)*Cash_Sweep)))</f>
        <v>0</v>
      </c>
      <c r="I3353" s="99" t="n">
        <f aca="false">IF(7&gt;Debt_Yr,0,IF(7=Debt_Yr,I3050,MIN(I3050,(I929+I1232+I1535+I2141)*Cash_Sweep)))</f>
        <v>0</v>
      </c>
      <c r="J3353" s="99" t="n">
        <f aca="false">IF(8&gt;Debt_Yr,0,IF(8=Debt_Yr,J3050,MIN(J3050,(J929+J1232+J1535+J2141)*Cash_Sweep)))</f>
        <v>0</v>
      </c>
      <c r="K3353" s="99" t="n">
        <f aca="false">IF(9&gt;Debt_Yr,0,IF(9=Debt_Yr,K3050,MIN(K3050,(K929+K1232+K1535+K2141)*Cash_Sweep)))</f>
        <v>0</v>
      </c>
      <c r="L3353" s="99" t="n">
        <f aca="false">IF(10&gt;Debt_Yr,0,IF(10=Debt_Yr,L3050,MIN(L3050,(L929+L1232+L1535+L2141)*Cash_Sweep)))</f>
        <v>0</v>
      </c>
    </row>
    <row r="3354" customFormat="false" ht="15" hidden="false" customHeight="false" outlineLevel="0" collapsed="false">
      <c r="B3354" s="108" t="str">
        <f aca="false">'Loan Tape'!$A17</f>
        <v>L-014</v>
      </c>
      <c r="C3354" s="71" t="n">
        <f aca="false">IF(1&gt;Debt_Yr,0,IF(1=Debt_Yr,C3051,MIN(C3051,(C930+C1233+C1536+C2142)*Cash_Sweep)))</f>
        <v>14955366.1358376</v>
      </c>
      <c r="D3354" s="71" t="n">
        <f aca="false">IF(2&gt;Debt_Yr,0,IF(2=Debt_Yr,D3051,MIN(D3051,(D930+D1233+D1536+D2142)*Cash_Sweep)))</f>
        <v>15015503.1355501</v>
      </c>
      <c r="E3354" s="71" t="n">
        <f aca="false">IF(3&gt;Debt_Yr,0,IF(3=Debt_Yr,E3051,MIN(E3051,(E930+E1233+E1536+E2142)*Cash_Sweep)))</f>
        <v>13059325.9045033</v>
      </c>
      <c r="F3354" s="71" t="n">
        <f aca="false">IF(4&gt;Debt_Yr,0,IF(4=Debt_Yr,F3051,MIN(F3051,(F930+F1233+F1536+F2142)*Cash_Sweep)))</f>
        <v>11347038.3502645</v>
      </c>
      <c r="G3354" s="71" t="n">
        <f aca="false">IF(5&gt;Debt_Yr,0,IF(5=Debt_Yr,G3051,MIN(G3051,(G930+G1233+G1536+G2142)*Cash_Sweep)))</f>
        <v>17978890.4738445</v>
      </c>
      <c r="H3354" s="71" t="n">
        <f aca="false">IF(6&gt;Debt_Yr,0,IF(6=Debt_Yr,H3051,MIN(H3051,(H930+H1233+H1536+H2142)*Cash_Sweep)))</f>
        <v>0</v>
      </c>
      <c r="I3354" s="71" t="n">
        <f aca="false">IF(7&gt;Debt_Yr,0,IF(7=Debt_Yr,I3051,MIN(I3051,(I930+I1233+I1536+I2142)*Cash_Sweep)))</f>
        <v>0</v>
      </c>
      <c r="J3354" s="71" t="n">
        <f aca="false">IF(8&gt;Debt_Yr,0,IF(8=Debt_Yr,J3051,MIN(J3051,(J930+J1233+J1536+J2142)*Cash_Sweep)))</f>
        <v>0</v>
      </c>
      <c r="K3354" s="71" t="n">
        <f aca="false">IF(9&gt;Debt_Yr,0,IF(9=Debt_Yr,K3051,MIN(K3051,(K930+K1233+K1536+K2142)*Cash_Sweep)))</f>
        <v>0</v>
      </c>
      <c r="L3354" s="71" t="n">
        <f aca="false">IF(10&gt;Debt_Yr,0,IF(10=Debt_Yr,L3051,MIN(L3051,(L930+L1233+L1536+L2142)*Cash_Sweep)))</f>
        <v>0</v>
      </c>
    </row>
    <row r="3355" customFormat="false" ht="15" hidden="false" customHeight="false" outlineLevel="0" collapsed="false">
      <c r="B3355" s="102" t="str">
        <f aca="false">'Loan Tape'!$A18</f>
        <v>L-015</v>
      </c>
      <c r="C3355" s="99" t="n">
        <f aca="false">IF(1&gt;Debt_Yr,0,IF(1=Debt_Yr,C3052,MIN(C3052,(C931+C1234+C1537+C2143)*Cash_Sweep)))</f>
        <v>13178600</v>
      </c>
      <c r="D3355" s="99" t="n">
        <f aca="false">IF(2&gt;Debt_Yr,0,IF(2=Debt_Yr,D3052,MIN(D3052,(D931+D1234+D1537+D2143)*Cash_Sweep)))</f>
        <v>13442172</v>
      </c>
      <c r="E3355" s="99" t="n">
        <f aca="false">IF(3&gt;Debt_Yr,0,IF(3=Debt_Yr,E3052,MIN(E3052,(E931+E1234+E1537+E2143)*Cash_Sweep)))</f>
        <v>11829111.36</v>
      </c>
      <c r="F3355" s="99" t="n">
        <f aca="false">IF(4&gt;Debt_Yr,0,IF(4=Debt_Yr,F3052,MIN(F3052,(F931+F1234+F1537+F2143)*Cash_Sweep)))</f>
        <v>10409617.9968</v>
      </c>
      <c r="G3355" s="99" t="n">
        <f aca="false">IF(5&gt;Debt_Yr,0,IF(5=Debt_Yr,G3052,MIN(G3052,(G931+G1234+G1537+G2143)*Cash_Sweep)))</f>
        <v>25467802.6432</v>
      </c>
      <c r="H3355" s="99" t="n">
        <f aca="false">IF(6&gt;Debt_Yr,0,IF(6=Debt_Yr,H3052,MIN(H3052,(H931+H1234+H1537+H2143)*Cash_Sweep)))</f>
        <v>0</v>
      </c>
      <c r="I3355" s="99" t="n">
        <f aca="false">IF(7&gt;Debt_Yr,0,IF(7=Debt_Yr,I3052,MIN(I3052,(I931+I1234+I1537+I2143)*Cash_Sweep)))</f>
        <v>0</v>
      </c>
      <c r="J3355" s="99" t="n">
        <f aca="false">IF(8&gt;Debt_Yr,0,IF(8=Debt_Yr,J3052,MIN(J3052,(J931+J1234+J1537+J2143)*Cash_Sweep)))</f>
        <v>0</v>
      </c>
      <c r="K3355" s="99" t="n">
        <f aca="false">IF(9&gt;Debt_Yr,0,IF(9=Debt_Yr,K3052,MIN(K3052,(K931+K1234+K1537+K2143)*Cash_Sweep)))</f>
        <v>0</v>
      </c>
      <c r="L3355" s="99" t="n">
        <f aca="false">IF(10&gt;Debt_Yr,0,IF(10=Debt_Yr,L3052,MIN(L3052,(L931+L1234+L1537+L2143)*Cash_Sweep)))</f>
        <v>0</v>
      </c>
    </row>
    <row r="3356" customFormat="false" ht="15" hidden="false" customHeight="false" outlineLevel="0" collapsed="false">
      <c r="B3356" s="108" t="str">
        <f aca="false">'Loan Tape'!$A19</f>
        <v>L-016</v>
      </c>
      <c r="C3356" s="71" t="n">
        <f aca="false">IF(1&gt;Debt_Yr,0,IF(1=Debt_Yr,C3053,MIN(C3053,(C932+C1235+C1538+C2144)*Cash_Sweep)))</f>
        <v>4649052</v>
      </c>
      <c r="D3356" s="71" t="n">
        <f aca="false">IF(2&gt;Debt_Yr,0,IF(2=Debt_Yr,D3053,MIN(D3053,(D932+D1235+D1538+D2144)*Cash_Sweep)))</f>
        <v>0</v>
      </c>
      <c r="E3356" s="71" t="n">
        <f aca="false">IF(3&gt;Debt_Yr,0,IF(3=Debt_Yr,E3053,MIN(E3053,(E932+E1235+E1538+E2144)*Cash_Sweep)))</f>
        <v>0</v>
      </c>
      <c r="F3356" s="71" t="n">
        <f aca="false">IF(4&gt;Debt_Yr,0,IF(4=Debt_Yr,F3053,MIN(F3053,(F932+F1235+F1538+F2144)*Cash_Sweep)))</f>
        <v>0</v>
      </c>
      <c r="G3356" s="71" t="n">
        <f aca="false">IF(5&gt;Debt_Yr,0,IF(5=Debt_Yr,G3053,MIN(G3053,(G932+G1235+G1538+G2144)*Cash_Sweep)))</f>
        <v>0</v>
      </c>
      <c r="H3356" s="71" t="n">
        <f aca="false">IF(6&gt;Debt_Yr,0,IF(6=Debt_Yr,H3053,MIN(H3053,(H932+H1235+H1538+H2144)*Cash_Sweep)))</f>
        <v>0</v>
      </c>
      <c r="I3356" s="71" t="n">
        <f aca="false">IF(7&gt;Debt_Yr,0,IF(7=Debt_Yr,I3053,MIN(I3053,(I932+I1235+I1538+I2144)*Cash_Sweep)))</f>
        <v>0</v>
      </c>
      <c r="J3356" s="71" t="n">
        <f aca="false">IF(8&gt;Debt_Yr,0,IF(8=Debt_Yr,J3053,MIN(J3053,(J932+J1235+J1538+J2144)*Cash_Sweep)))</f>
        <v>0</v>
      </c>
      <c r="K3356" s="71" t="n">
        <f aca="false">IF(9&gt;Debt_Yr,0,IF(9=Debt_Yr,K3053,MIN(K3053,(K932+K1235+K1538+K2144)*Cash_Sweep)))</f>
        <v>0</v>
      </c>
      <c r="L3356" s="71" t="n">
        <f aca="false">IF(10&gt;Debt_Yr,0,IF(10=Debt_Yr,L3053,MIN(L3053,(L932+L1235+L1538+L2144)*Cash_Sweep)))</f>
        <v>0</v>
      </c>
    </row>
    <row r="3357" customFormat="false" ht="15" hidden="false" customHeight="false" outlineLevel="0" collapsed="false">
      <c r="B3357" s="102" t="str">
        <f aca="false">'Loan Tape'!$A20</f>
        <v>L-017</v>
      </c>
      <c r="C3357" s="99" t="n">
        <f aca="false">IF(1&gt;Debt_Yr,0,IF(1=Debt_Yr,C3054,MIN(C3054,(C933+C1236+C1539+C2145)*Cash_Sweep)))</f>
        <v>511100</v>
      </c>
      <c r="D3357" s="99" t="n">
        <f aca="false">IF(2&gt;Debt_Yr,0,IF(2=Debt_Yr,D3054,MIN(D3054,(D933+D1236+D1539+D2145)*Cash_Sweep)))</f>
        <v>521322</v>
      </c>
      <c r="E3357" s="99" t="n">
        <f aca="false">IF(3&gt;Debt_Yr,0,IF(3=Debt_Yr,E3054,MIN(E3054,(E933+E1236+E1539+E2145)*Cash_Sweep)))</f>
        <v>458763.36</v>
      </c>
      <c r="F3357" s="99" t="n">
        <f aca="false">IF(4&gt;Debt_Yr,0,IF(4=Debt_Yr,F3054,MIN(F3054,(F933+F1236+F1539+F2145)*Cash_Sweep)))</f>
        <v>403711.7568</v>
      </c>
      <c r="G3357" s="99" t="n">
        <f aca="false">IF(5&gt;Debt_Yr,0,IF(5=Debt_Yr,G3054,MIN(G3054,(G933+G1236+G1539+G2145)*Cash_Sweep)))</f>
        <v>987706.8832</v>
      </c>
      <c r="H3357" s="99" t="n">
        <f aca="false">IF(6&gt;Debt_Yr,0,IF(6=Debt_Yr,H3054,MIN(H3054,(H933+H1236+H1539+H2145)*Cash_Sweep)))</f>
        <v>0</v>
      </c>
      <c r="I3357" s="99" t="n">
        <f aca="false">IF(7&gt;Debt_Yr,0,IF(7=Debt_Yr,I3054,MIN(I3054,(I933+I1236+I1539+I2145)*Cash_Sweep)))</f>
        <v>0</v>
      </c>
      <c r="J3357" s="99" t="n">
        <f aca="false">IF(8&gt;Debt_Yr,0,IF(8=Debt_Yr,J3054,MIN(J3054,(J933+J1236+J1539+J2145)*Cash_Sweep)))</f>
        <v>0</v>
      </c>
      <c r="K3357" s="99" t="n">
        <f aca="false">IF(9&gt;Debt_Yr,0,IF(9=Debt_Yr,K3054,MIN(K3054,(K933+K1236+K1539+K2145)*Cash_Sweep)))</f>
        <v>0</v>
      </c>
      <c r="L3357" s="99" t="n">
        <f aca="false">IF(10&gt;Debt_Yr,0,IF(10=Debt_Yr,L3054,MIN(L3054,(L933+L1236+L1539+L2145)*Cash_Sweep)))</f>
        <v>0</v>
      </c>
    </row>
    <row r="3358" customFormat="false" ht="15" hidden="false" customHeight="false" outlineLevel="0" collapsed="false">
      <c r="B3358" s="108" t="str">
        <f aca="false">'Loan Tape'!$A21</f>
        <v>L-018</v>
      </c>
      <c r="C3358" s="71" t="n">
        <f aca="false">IF(1&gt;Debt_Yr,0,IF(1=Debt_Yr,C3055,MIN(C3055,(C934+C1237+C1540+C2146)*Cash_Sweep)))</f>
        <v>8907775.21311948</v>
      </c>
      <c r="D3358" s="71" t="n">
        <f aca="false">IF(2&gt;Debt_Yr,0,IF(2=Debt_Yr,D3055,MIN(D3055,(D934+D1237+D1540+D2146)*Cash_Sweep)))</f>
        <v>8944962.41324611</v>
      </c>
      <c r="E3358" s="71" t="n">
        <f aca="false">IF(3&gt;Debt_Yr,0,IF(3=Debt_Yr,E3055,MIN(E3055,(E934+E1237+E1540+E2146)*Cash_Sweep)))</f>
        <v>7859898.46449469</v>
      </c>
      <c r="F3358" s="71" t="n">
        <f aca="false">IF(4&gt;Debt_Yr,0,IF(4=Debt_Yr,F3055,MIN(F3055,(F934+F1237+F1540+F2146)*Cash_Sweep)))</f>
        <v>6868677.84034978</v>
      </c>
      <c r="G3358" s="71" t="n">
        <f aca="false">IF(5&gt;Debt_Yr,0,IF(5=Debt_Yr,G3055,MIN(G3055,(G934+G1237+G1540+G2146)*Cash_Sweep)))</f>
        <v>10693278.0687899</v>
      </c>
      <c r="H3358" s="71" t="n">
        <f aca="false">IF(6&gt;Debt_Yr,0,IF(6=Debt_Yr,H3055,MIN(H3055,(H934+H1237+H1540+H2146)*Cash_Sweep)))</f>
        <v>0</v>
      </c>
      <c r="I3358" s="71" t="n">
        <f aca="false">IF(7&gt;Debt_Yr,0,IF(7=Debt_Yr,I3055,MIN(I3055,(I934+I1237+I1540+I2146)*Cash_Sweep)))</f>
        <v>0</v>
      </c>
      <c r="J3358" s="71" t="n">
        <f aca="false">IF(8&gt;Debt_Yr,0,IF(8=Debt_Yr,J3055,MIN(J3055,(J934+J1237+J1540+J2146)*Cash_Sweep)))</f>
        <v>0</v>
      </c>
      <c r="K3358" s="71" t="n">
        <f aca="false">IF(9&gt;Debt_Yr,0,IF(9=Debt_Yr,K3055,MIN(K3055,(K934+K1237+K1540+K2146)*Cash_Sweep)))</f>
        <v>0</v>
      </c>
      <c r="L3358" s="71" t="n">
        <f aca="false">IF(10&gt;Debt_Yr,0,IF(10=Debt_Yr,L3055,MIN(L3055,(L934+L1237+L1540+L2146)*Cash_Sweep)))</f>
        <v>0</v>
      </c>
    </row>
    <row r="3359" customFormat="false" ht="15" hidden="false" customHeight="false" outlineLevel="0" collapsed="false">
      <c r="B3359" s="102" t="str">
        <f aca="false">'Loan Tape'!$A22</f>
        <v>L-019</v>
      </c>
      <c r="C3359" s="99" t="n">
        <f aca="false">IF(1&gt;Debt_Yr,0,IF(1=Debt_Yr,C3056,MIN(C3056,(C935+C1238+C1541+C2147)*Cash_Sweep)))</f>
        <v>4637208</v>
      </c>
      <c r="D3359" s="99" t="n">
        <f aca="false">IF(2&gt;Debt_Yr,0,IF(2=Debt_Yr,D3056,MIN(D3056,(D935+D1238+D1541+D2147)*Cash_Sweep)))</f>
        <v>0</v>
      </c>
      <c r="E3359" s="99" t="n">
        <f aca="false">IF(3&gt;Debt_Yr,0,IF(3=Debt_Yr,E3056,MIN(E3056,(E935+E1238+E1541+E2147)*Cash_Sweep)))</f>
        <v>0</v>
      </c>
      <c r="F3359" s="99" t="n">
        <f aca="false">IF(4&gt;Debt_Yr,0,IF(4=Debt_Yr,F3056,MIN(F3056,(F935+F1238+F1541+F2147)*Cash_Sweep)))</f>
        <v>0</v>
      </c>
      <c r="G3359" s="99" t="n">
        <f aca="false">IF(5&gt;Debt_Yr,0,IF(5=Debt_Yr,G3056,MIN(G3056,(G935+G1238+G1541+G2147)*Cash_Sweep)))</f>
        <v>0</v>
      </c>
      <c r="H3359" s="99" t="n">
        <f aca="false">IF(6&gt;Debt_Yr,0,IF(6=Debt_Yr,H3056,MIN(H3056,(H935+H1238+H1541+H2147)*Cash_Sweep)))</f>
        <v>0</v>
      </c>
      <c r="I3359" s="99" t="n">
        <f aca="false">IF(7&gt;Debt_Yr,0,IF(7=Debt_Yr,I3056,MIN(I3056,(I935+I1238+I1541+I2147)*Cash_Sweep)))</f>
        <v>0</v>
      </c>
      <c r="J3359" s="99" t="n">
        <f aca="false">IF(8&gt;Debt_Yr,0,IF(8=Debt_Yr,J3056,MIN(J3056,(J935+J1238+J1541+J2147)*Cash_Sweep)))</f>
        <v>0</v>
      </c>
      <c r="K3359" s="99" t="n">
        <f aca="false">IF(9&gt;Debt_Yr,0,IF(9=Debt_Yr,K3056,MIN(K3056,(K935+K1238+K1541+K2147)*Cash_Sweep)))</f>
        <v>0</v>
      </c>
      <c r="L3359" s="99" t="n">
        <f aca="false">IF(10&gt;Debt_Yr,0,IF(10=Debt_Yr,L3056,MIN(L3056,(L935+L1238+L1541+L2147)*Cash_Sweep)))</f>
        <v>0</v>
      </c>
    </row>
    <row r="3360" customFormat="false" ht="15" hidden="false" customHeight="false" outlineLevel="0" collapsed="false">
      <c r="B3360" s="108" t="str">
        <f aca="false">'Loan Tape'!$A23</f>
        <v>L-020</v>
      </c>
      <c r="C3360" s="71" t="n">
        <f aca="false">IF(1&gt;Debt_Yr,0,IF(1=Debt_Yr,C3057,MIN(C3057,(C936+C1239+C1542+C2148)*Cash_Sweep)))</f>
        <v>6910900</v>
      </c>
      <c r="D3360" s="71" t="n">
        <f aca="false">IF(2&gt;Debt_Yr,0,IF(2=Debt_Yr,D3057,MIN(D3057,(D936+D1239+D1542+D2148)*Cash_Sweep)))</f>
        <v>7049118</v>
      </c>
      <c r="E3360" s="71" t="n">
        <f aca="false">IF(3&gt;Debt_Yr,0,IF(3=Debt_Yr,E3057,MIN(E3057,(E936+E1239+E1542+E2148)*Cash_Sweep)))</f>
        <v>6203223.84</v>
      </c>
      <c r="F3360" s="71" t="n">
        <f aca="false">IF(4&gt;Debt_Yr,0,IF(4=Debt_Yr,F3057,MIN(F3057,(F936+F1239+F1542+F2148)*Cash_Sweep)))</f>
        <v>5458836.9792</v>
      </c>
      <c r="G3360" s="71" t="n">
        <f aca="false">IF(5&gt;Debt_Yr,0,IF(5=Debt_Yr,G3057,MIN(G3057,(G936+G1239+G1542+G2148)*Cash_Sweep)))</f>
        <v>13355397.1808</v>
      </c>
      <c r="H3360" s="71" t="n">
        <f aca="false">IF(6&gt;Debt_Yr,0,IF(6=Debt_Yr,H3057,MIN(H3057,(H936+H1239+H1542+H2148)*Cash_Sweep)))</f>
        <v>0</v>
      </c>
      <c r="I3360" s="71" t="n">
        <f aca="false">IF(7&gt;Debt_Yr,0,IF(7=Debt_Yr,I3057,MIN(I3057,(I936+I1239+I1542+I2148)*Cash_Sweep)))</f>
        <v>0</v>
      </c>
      <c r="J3360" s="71" t="n">
        <f aca="false">IF(8&gt;Debt_Yr,0,IF(8=Debt_Yr,J3057,MIN(J3057,(J936+J1239+J1542+J2148)*Cash_Sweep)))</f>
        <v>0</v>
      </c>
      <c r="K3360" s="71" t="n">
        <f aca="false">IF(9&gt;Debt_Yr,0,IF(9=Debt_Yr,K3057,MIN(K3057,(K936+K1239+K1542+K2148)*Cash_Sweep)))</f>
        <v>0</v>
      </c>
      <c r="L3360" s="71" t="n">
        <f aca="false">IF(10&gt;Debt_Yr,0,IF(10=Debt_Yr,L3057,MIN(L3057,(L936+L1239+L1542+L2148)*Cash_Sweep)))</f>
        <v>0</v>
      </c>
    </row>
    <row r="3361" customFormat="false" ht="15" hidden="false" customHeight="false" outlineLevel="0" collapsed="false">
      <c r="B3361" s="102" t="str">
        <f aca="false">'Loan Tape'!$A24</f>
        <v>L-021</v>
      </c>
      <c r="C3361" s="99" t="n">
        <f aca="false">IF(1&gt;Debt_Yr,0,IF(1=Debt_Yr,C3058,MIN(C3058,(C937+C1240+C1543+C2149)*Cash_Sweep)))</f>
        <v>4160395.31906089</v>
      </c>
      <c r="D3361" s="99" t="n">
        <f aca="false">IF(2&gt;Debt_Yr,0,IF(2=Debt_Yr,D3058,MIN(D3058,(D937+D1240+D1543+D2149)*Cash_Sweep)))</f>
        <v>4192893.07976489</v>
      </c>
      <c r="E3361" s="99" t="n">
        <f aca="false">IF(3&gt;Debt_Yr,0,IF(3=Debt_Yr,E3058,MIN(E3058,(E937+E1240+E1543+E2149)*Cash_Sweep)))</f>
        <v>3689138.82342152</v>
      </c>
      <c r="F3361" s="99" t="n">
        <f aca="false">IF(4&gt;Debt_Yr,0,IF(4=Debt_Yr,F3058,MIN(F3058,(F937+F1240+F1543+F2149)*Cash_Sweep)))</f>
        <v>8683444.77775269</v>
      </c>
      <c r="G3361" s="99" t="n">
        <f aca="false">IF(5&gt;Debt_Yr,0,IF(5=Debt_Yr,G3058,MIN(G3058,(G937+G1240+G1543+G2149)*Cash_Sweep)))</f>
        <v>0</v>
      </c>
      <c r="H3361" s="99" t="n">
        <f aca="false">IF(6&gt;Debt_Yr,0,IF(6=Debt_Yr,H3058,MIN(H3058,(H937+H1240+H1543+H2149)*Cash_Sweep)))</f>
        <v>0</v>
      </c>
      <c r="I3361" s="99" t="n">
        <f aca="false">IF(7&gt;Debt_Yr,0,IF(7=Debt_Yr,I3058,MIN(I3058,(I937+I1240+I1543+I2149)*Cash_Sweep)))</f>
        <v>0</v>
      </c>
      <c r="J3361" s="99" t="n">
        <f aca="false">IF(8&gt;Debt_Yr,0,IF(8=Debt_Yr,J3058,MIN(J3058,(J937+J1240+J1543+J2149)*Cash_Sweep)))</f>
        <v>0</v>
      </c>
      <c r="K3361" s="99" t="n">
        <f aca="false">IF(9&gt;Debt_Yr,0,IF(9=Debt_Yr,K3058,MIN(K3058,(K937+K1240+K1543+K2149)*Cash_Sweep)))</f>
        <v>0</v>
      </c>
      <c r="L3361" s="99" t="n">
        <f aca="false">IF(10&gt;Debt_Yr,0,IF(10=Debt_Yr,L3058,MIN(L3058,(L937+L1240+L1543+L2149)*Cash_Sweep)))</f>
        <v>0</v>
      </c>
    </row>
    <row r="3362" customFormat="false" ht="15" hidden="false" customHeight="false" outlineLevel="0" collapsed="false">
      <c r="B3362" s="108" t="str">
        <f aca="false">'Loan Tape'!$A25</f>
        <v>L-022</v>
      </c>
      <c r="C3362" s="71" t="n">
        <f aca="false">IF(1&gt;Debt_Yr,0,IF(1=Debt_Yr,C3059,MIN(C3059,(C938+C1241+C1544+C2150)*Cash_Sweep)))</f>
        <v>889082.308485299</v>
      </c>
      <c r="D3362" s="71" t="n">
        <f aca="false">IF(2&gt;Debt_Yr,0,IF(2=Debt_Yr,D3059,MIN(D3059,(D938+D1241+D1544+D2150)*Cash_Sweep)))</f>
        <v>3073581.6915147</v>
      </c>
      <c r="E3362" s="71" t="n">
        <f aca="false">IF(3&gt;Debt_Yr,0,IF(3=Debt_Yr,E3059,MIN(E3059,(E938+E1241+E1544+E2150)*Cash_Sweep)))</f>
        <v>0</v>
      </c>
      <c r="F3362" s="71" t="n">
        <f aca="false">IF(4&gt;Debt_Yr,0,IF(4=Debt_Yr,F3059,MIN(F3059,(F938+F1241+F1544+F2150)*Cash_Sweep)))</f>
        <v>0</v>
      </c>
      <c r="G3362" s="71" t="n">
        <f aca="false">IF(5&gt;Debt_Yr,0,IF(5=Debt_Yr,G3059,MIN(G3059,(G938+G1241+G1544+G2150)*Cash_Sweep)))</f>
        <v>0</v>
      </c>
      <c r="H3362" s="71" t="n">
        <f aca="false">IF(6&gt;Debt_Yr,0,IF(6=Debt_Yr,H3059,MIN(H3059,(H938+H1241+H1544+H2150)*Cash_Sweep)))</f>
        <v>0</v>
      </c>
      <c r="I3362" s="71" t="n">
        <f aca="false">IF(7&gt;Debt_Yr,0,IF(7=Debt_Yr,I3059,MIN(I3059,(I938+I1241+I1544+I2150)*Cash_Sweep)))</f>
        <v>0</v>
      </c>
      <c r="J3362" s="71" t="n">
        <f aca="false">IF(8&gt;Debt_Yr,0,IF(8=Debt_Yr,J3059,MIN(J3059,(J938+J1241+J1544+J2150)*Cash_Sweep)))</f>
        <v>0</v>
      </c>
      <c r="K3362" s="71" t="n">
        <f aca="false">IF(9&gt;Debt_Yr,0,IF(9=Debt_Yr,K3059,MIN(K3059,(K938+K1241+K1544+K2150)*Cash_Sweep)))</f>
        <v>0</v>
      </c>
      <c r="L3362" s="71" t="n">
        <f aca="false">IF(10&gt;Debt_Yr,0,IF(10=Debt_Yr,L3059,MIN(L3059,(L938+L1241+L1544+L2150)*Cash_Sweep)))</f>
        <v>0</v>
      </c>
    </row>
    <row r="3363" customFormat="false" ht="15" hidden="false" customHeight="false" outlineLevel="0" collapsed="false">
      <c r="B3363" s="102" t="str">
        <f aca="false">'Loan Tape'!$A26</f>
        <v>L-023</v>
      </c>
      <c r="C3363" s="99" t="n">
        <f aca="false">IF(1&gt;Debt_Yr,0,IF(1=Debt_Yr,C3060,MIN(C3060,(C939+C1242+C1545+C2151)*Cash_Sweep)))</f>
        <v>43036584</v>
      </c>
      <c r="D3363" s="99" t="n">
        <f aca="false">IF(2&gt;Debt_Yr,0,IF(2=Debt_Yr,D3060,MIN(D3060,(D939+D1242+D1545+D2151)*Cash_Sweep)))</f>
        <v>0</v>
      </c>
      <c r="E3363" s="99" t="n">
        <f aca="false">IF(3&gt;Debt_Yr,0,IF(3=Debt_Yr,E3060,MIN(E3060,(E939+E1242+E1545+E2151)*Cash_Sweep)))</f>
        <v>0</v>
      </c>
      <c r="F3363" s="99" t="n">
        <f aca="false">IF(4&gt;Debt_Yr,0,IF(4=Debt_Yr,F3060,MIN(F3060,(F939+F1242+F1545+F2151)*Cash_Sweep)))</f>
        <v>0</v>
      </c>
      <c r="G3363" s="99" t="n">
        <f aca="false">IF(5&gt;Debt_Yr,0,IF(5=Debt_Yr,G3060,MIN(G3060,(G939+G1242+G1545+G2151)*Cash_Sweep)))</f>
        <v>0</v>
      </c>
      <c r="H3363" s="99" t="n">
        <f aca="false">IF(6&gt;Debt_Yr,0,IF(6=Debt_Yr,H3060,MIN(H3060,(H939+H1242+H1545+H2151)*Cash_Sweep)))</f>
        <v>0</v>
      </c>
      <c r="I3363" s="99" t="n">
        <f aca="false">IF(7&gt;Debt_Yr,0,IF(7=Debt_Yr,I3060,MIN(I3060,(I939+I1242+I1545+I2151)*Cash_Sweep)))</f>
        <v>0</v>
      </c>
      <c r="J3363" s="99" t="n">
        <f aca="false">IF(8&gt;Debt_Yr,0,IF(8=Debt_Yr,J3060,MIN(J3060,(J939+J1242+J1545+J2151)*Cash_Sweep)))</f>
        <v>0</v>
      </c>
      <c r="K3363" s="99" t="n">
        <f aca="false">IF(9&gt;Debt_Yr,0,IF(9=Debt_Yr,K3060,MIN(K3060,(K939+K1242+K1545+K2151)*Cash_Sweep)))</f>
        <v>0</v>
      </c>
      <c r="L3363" s="99" t="n">
        <f aca="false">IF(10&gt;Debt_Yr,0,IF(10=Debt_Yr,L3060,MIN(L3060,(L939+L1242+L1545+L2151)*Cash_Sweep)))</f>
        <v>0</v>
      </c>
    </row>
    <row r="3364" customFormat="false" ht="15" hidden="false" customHeight="false" outlineLevel="0" collapsed="false">
      <c r="B3364" s="108" t="str">
        <f aca="false">'Loan Tape'!$A27</f>
        <v>L-024</v>
      </c>
      <c r="C3364" s="71" t="n">
        <f aca="false">IF(1&gt;Debt_Yr,0,IF(1=Debt_Yr,C3061,MIN(C3061,(C940+C1243+C1546+C2152)*Cash_Sweep)))</f>
        <v>1763300</v>
      </c>
      <c r="D3364" s="71" t="n">
        <f aca="false">IF(2&gt;Debt_Yr,0,IF(2=Debt_Yr,D3061,MIN(D3061,(D940+D1243+D1546+D2152)*Cash_Sweep)))</f>
        <v>1798566</v>
      </c>
      <c r="E3364" s="71" t="n">
        <f aca="false">IF(3&gt;Debt_Yr,0,IF(3=Debt_Yr,E3061,MIN(E3061,(E940+E1243+E1546+E2152)*Cash_Sweep)))</f>
        <v>1582738.08</v>
      </c>
      <c r="F3364" s="71" t="n">
        <f aca="false">IF(4&gt;Debt_Yr,0,IF(4=Debt_Yr,F3061,MIN(F3061,(F940+F1243+F1546+F2152)*Cash_Sweep)))</f>
        <v>4800407.92</v>
      </c>
      <c r="G3364" s="71" t="n">
        <f aca="false">IF(5&gt;Debt_Yr,0,IF(5=Debt_Yr,G3061,MIN(G3061,(G940+G1243+G1546+G2152)*Cash_Sweep)))</f>
        <v>0</v>
      </c>
      <c r="H3364" s="71" t="n">
        <f aca="false">IF(6&gt;Debt_Yr,0,IF(6=Debt_Yr,H3061,MIN(H3061,(H940+H1243+H1546+H2152)*Cash_Sweep)))</f>
        <v>0</v>
      </c>
      <c r="I3364" s="71" t="n">
        <f aca="false">IF(7&gt;Debt_Yr,0,IF(7=Debt_Yr,I3061,MIN(I3061,(I940+I1243+I1546+I2152)*Cash_Sweep)))</f>
        <v>0</v>
      </c>
      <c r="J3364" s="71" t="n">
        <f aca="false">IF(8&gt;Debt_Yr,0,IF(8=Debt_Yr,J3061,MIN(J3061,(J940+J1243+J1546+J2152)*Cash_Sweep)))</f>
        <v>0</v>
      </c>
      <c r="K3364" s="71" t="n">
        <f aca="false">IF(9&gt;Debt_Yr,0,IF(9=Debt_Yr,K3061,MIN(K3061,(K940+K1243+K1546+K2152)*Cash_Sweep)))</f>
        <v>0</v>
      </c>
      <c r="L3364" s="71" t="n">
        <f aca="false">IF(10&gt;Debt_Yr,0,IF(10=Debt_Yr,L3061,MIN(L3061,(L940+L1243+L1546+L2152)*Cash_Sweep)))</f>
        <v>0</v>
      </c>
    </row>
    <row r="3365" customFormat="false" ht="15" hidden="false" customHeight="false" outlineLevel="0" collapsed="false">
      <c r="B3365" s="102" t="str">
        <f aca="false">'Loan Tape'!$A28</f>
        <v>L-025</v>
      </c>
      <c r="C3365" s="99" t="n">
        <f aca="false">IF(1&gt;Debt_Yr,0,IF(1=Debt_Yr,C3062,MIN(C3062,(C941+C1244+C1547+C2153)*Cash_Sweep)))</f>
        <v>1750684.72445223</v>
      </c>
      <c r="D3365" s="99" t="n">
        <f aca="false">IF(2&gt;Debt_Yr,0,IF(2=Debt_Yr,D3062,MIN(D3062,(D941+D1244+D1547+D2153)*Cash_Sweep)))</f>
        <v>1732089.43380002</v>
      </c>
      <c r="E3365" s="99" t="n">
        <f aca="false">IF(3&gt;Debt_Yr,0,IF(3=Debt_Yr,E3062,MIN(E3062,(E941+E1244+E1547+E2153)*Cash_Sweep)))</f>
        <v>1506198.6343054</v>
      </c>
      <c r="F3365" s="99" t="n">
        <f aca="false">IF(4&gt;Debt_Yr,0,IF(4=Debt_Yr,F3062,MIN(F3062,(F941+F1244+F1547+F2153)*Cash_Sweep)))</f>
        <v>3342999.20744235</v>
      </c>
      <c r="G3365" s="99" t="n">
        <f aca="false">IF(5&gt;Debt_Yr,0,IF(5=Debt_Yr,G3062,MIN(G3062,(G941+G1244+G1547+G2153)*Cash_Sweep)))</f>
        <v>0</v>
      </c>
      <c r="H3365" s="99" t="n">
        <f aca="false">IF(6&gt;Debt_Yr,0,IF(6=Debt_Yr,H3062,MIN(H3062,(H941+H1244+H1547+H2153)*Cash_Sweep)))</f>
        <v>0</v>
      </c>
      <c r="I3365" s="99" t="n">
        <f aca="false">IF(7&gt;Debt_Yr,0,IF(7=Debt_Yr,I3062,MIN(I3062,(I941+I1244+I1547+I2153)*Cash_Sweep)))</f>
        <v>0</v>
      </c>
      <c r="J3365" s="99" t="n">
        <f aca="false">IF(8&gt;Debt_Yr,0,IF(8=Debt_Yr,J3062,MIN(J3062,(J941+J1244+J1547+J2153)*Cash_Sweep)))</f>
        <v>0</v>
      </c>
      <c r="K3365" s="99" t="n">
        <f aca="false">IF(9&gt;Debt_Yr,0,IF(9=Debt_Yr,K3062,MIN(K3062,(K941+K1244+K1547+K2153)*Cash_Sweep)))</f>
        <v>0</v>
      </c>
      <c r="L3365" s="99" t="n">
        <f aca="false">IF(10&gt;Debt_Yr,0,IF(10=Debt_Yr,L3062,MIN(L3062,(L941+L1244+L1547+L2153)*Cash_Sweep)))</f>
        <v>0</v>
      </c>
    </row>
    <row r="3366" customFormat="false" ht="15" hidden="false" customHeight="false" outlineLevel="0" collapsed="false">
      <c r="B3366" s="108" t="str">
        <f aca="false">'Loan Tape'!$A29</f>
        <v>L-026</v>
      </c>
      <c r="C3366" s="71" t="n">
        <f aca="false">IF(1&gt;Debt_Yr,0,IF(1=Debt_Yr,C3063,MIN(C3063,(C942+C1245+C1548+C2154)*Cash_Sweep)))</f>
        <v>50701908</v>
      </c>
      <c r="D3366" s="71" t="n">
        <f aca="false">IF(2&gt;Debt_Yr,0,IF(2=Debt_Yr,D3063,MIN(D3063,(D942+D1245+D1548+D2154)*Cash_Sweep)))</f>
        <v>0</v>
      </c>
      <c r="E3366" s="71" t="n">
        <f aca="false">IF(3&gt;Debt_Yr,0,IF(3=Debt_Yr,E3063,MIN(E3063,(E942+E1245+E1548+E2154)*Cash_Sweep)))</f>
        <v>0</v>
      </c>
      <c r="F3366" s="71" t="n">
        <f aca="false">IF(4&gt;Debt_Yr,0,IF(4=Debt_Yr,F3063,MIN(F3063,(F942+F1245+F1548+F2154)*Cash_Sweep)))</f>
        <v>0</v>
      </c>
      <c r="G3366" s="71" t="n">
        <f aca="false">IF(5&gt;Debt_Yr,0,IF(5=Debt_Yr,G3063,MIN(G3063,(G942+G1245+G1548+G2154)*Cash_Sweep)))</f>
        <v>0</v>
      </c>
      <c r="H3366" s="71" t="n">
        <f aca="false">IF(6&gt;Debt_Yr,0,IF(6=Debt_Yr,H3063,MIN(H3063,(H942+H1245+H1548+H2154)*Cash_Sweep)))</f>
        <v>0</v>
      </c>
      <c r="I3366" s="71" t="n">
        <f aca="false">IF(7&gt;Debt_Yr,0,IF(7=Debt_Yr,I3063,MIN(I3063,(I942+I1245+I1548+I2154)*Cash_Sweep)))</f>
        <v>0</v>
      </c>
      <c r="J3366" s="71" t="n">
        <f aca="false">IF(8&gt;Debt_Yr,0,IF(8=Debt_Yr,J3063,MIN(J3063,(J942+J1245+J1548+J2154)*Cash_Sweep)))</f>
        <v>0</v>
      </c>
      <c r="K3366" s="71" t="n">
        <f aca="false">IF(9&gt;Debt_Yr,0,IF(9=Debt_Yr,K3063,MIN(K3063,(K942+K1245+K1548+K2154)*Cash_Sweep)))</f>
        <v>0</v>
      </c>
      <c r="L3366" s="71" t="n">
        <f aca="false">IF(10&gt;Debt_Yr,0,IF(10=Debt_Yr,L3063,MIN(L3063,(L942+L1245+L1548+L2154)*Cash_Sweep)))</f>
        <v>0</v>
      </c>
    </row>
    <row r="3367" customFormat="false" ht="15" hidden="false" customHeight="false" outlineLevel="0" collapsed="false">
      <c r="B3367" s="102" t="str">
        <f aca="false">'Loan Tape'!$A30</f>
        <v>L-027</v>
      </c>
      <c r="C3367" s="99" t="n">
        <f aca="false">IF(1&gt;Debt_Yr,0,IF(1=Debt_Yr,C3064,MIN(C3064,(C943+C1246+C1549+C2155)*Cash_Sweep)))</f>
        <v>8848100</v>
      </c>
      <c r="D3367" s="99" t="n">
        <f aca="false">IF(2&gt;Debt_Yr,0,IF(2=Debt_Yr,D3064,MIN(D3064,(D943+D1246+D1549+D2155)*Cash_Sweep)))</f>
        <v>9025062</v>
      </c>
      <c r="E3367" s="99" t="n">
        <f aca="false">IF(3&gt;Debt_Yr,0,IF(3=Debt_Yr,E3064,MIN(E3064,(E943+E1246+E1549+E2155)*Cash_Sweep)))</f>
        <v>7942054.56</v>
      </c>
      <c r="F3367" s="99" t="n">
        <f aca="false">IF(4&gt;Debt_Yr,0,IF(4=Debt_Yr,F3064,MIN(F3064,(F943+F1246+F1549+F2155)*Cash_Sweep)))</f>
        <v>24088067.44</v>
      </c>
      <c r="G3367" s="99" t="n">
        <f aca="false">IF(5&gt;Debt_Yr,0,IF(5=Debt_Yr,G3064,MIN(G3064,(G943+G1246+G1549+G2155)*Cash_Sweep)))</f>
        <v>0</v>
      </c>
      <c r="H3367" s="99" t="n">
        <f aca="false">IF(6&gt;Debt_Yr,0,IF(6=Debt_Yr,H3064,MIN(H3064,(H943+H1246+H1549+H2155)*Cash_Sweep)))</f>
        <v>0</v>
      </c>
      <c r="I3367" s="99" t="n">
        <f aca="false">IF(7&gt;Debt_Yr,0,IF(7=Debt_Yr,I3064,MIN(I3064,(I943+I1246+I1549+I2155)*Cash_Sweep)))</f>
        <v>0</v>
      </c>
      <c r="J3367" s="99" t="n">
        <f aca="false">IF(8&gt;Debt_Yr,0,IF(8=Debt_Yr,J3064,MIN(J3064,(J943+J1246+J1549+J2155)*Cash_Sweep)))</f>
        <v>0</v>
      </c>
      <c r="K3367" s="99" t="n">
        <f aca="false">IF(9&gt;Debt_Yr,0,IF(9=Debt_Yr,K3064,MIN(K3064,(K943+K1246+K1549+K2155)*Cash_Sweep)))</f>
        <v>0</v>
      </c>
      <c r="L3367" s="99" t="n">
        <f aca="false">IF(10&gt;Debt_Yr,0,IF(10=Debt_Yr,L3064,MIN(L3064,(L943+L1246+L1549+L2155)*Cash_Sweep)))</f>
        <v>0</v>
      </c>
    </row>
    <row r="3368" customFormat="false" ht="15" hidden="false" customHeight="false" outlineLevel="0" collapsed="false">
      <c r="B3368" s="108" t="str">
        <f aca="false">'Loan Tape'!$A31</f>
        <v>L-028</v>
      </c>
      <c r="C3368" s="71" t="n">
        <f aca="false">IF(1&gt;Debt_Yr,0,IF(1=Debt_Yr,C3065,MIN(C3065,(C944+C1247+C1550+C2156)*Cash_Sweep)))</f>
        <v>48721140</v>
      </c>
      <c r="D3368" s="71" t="n">
        <f aca="false">IF(2&gt;Debt_Yr,0,IF(2=Debt_Yr,D3065,MIN(D3065,(D944+D1247+D1550+D2156)*Cash_Sweep)))</f>
        <v>0</v>
      </c>
      <c r="E3368" s="71" t="n">
        <f aca="false">IF(3&gt;Debt_Yr,0,IF(3=Debt_Yr,E3065,MIN(E3065,(E944+E1247+E1550+E2156)*Cash_Sweep)))</f>
        <v>0</v>
      </c>
      <c r="F3368" s="71" t="n">
        <f aca="false">IF(4&gt;Debt_Yr,0,IF(4=Debt_Yr,F3065,MIN(F3065,(F944+F1247+F1550+F2156)*Cash_Sweep)))</f>
        <v>0</v>
      </c>
      <c r="G3368" s="71" t="n">
        <f aca="false">IF(5&gt;Debt_Yr,0,IF(5=Debt_Yr,G3065,MIN(G3065,(G944+G1247+G1550+G2156)*Cash_Sweep)))</f>
        <v>0</v>
      </c>
      <c r="H3368" s="71" t="n">
        <f aca="false">IF(6&gt;Debt_Yr,0,IF(6=Debt_Yr,H3065,MIN(H3065,(H944+H1247+H1550+H2156)*Cash_Sweep)))</f>
        <v>0</v>
      </c>
      <c r="I3368" s="71" t="n">
        <f aca="false">IF(7&gt;Debt_Yr,0,IF(7=Debt_Yr,I3065,MIN(I3065,(I944+I1247+I1550+I2156)*Cash_Sweep)))</f>
        <v>0</v>
      </c>
      <c r="J3368" s="71" t="n">
        <f aca="false">IF(8&gt;Debt_Yr,0,IF(8=Debt_Yr,J3065,MIN(J3065,(J944+J1247+J1550+J2156)*Cash_Sweep)))</f>
        <v>0</v>
      </c>
      <c r="K3368" s="71" t="n">
        <f aca="false">IF(9&gt;Debt_Yr,0,IF(9=Debt_Yr,K3065,MIN(K3065,(K944+K1247+K1550+K2156)*Cash_Sweep)))</f>
        <v>0</v>
      </c>
      <c r="L3368" s="71" t="n">
        <f aca="false">IF(10&gt;Debt_Yr,0,IF(10=Debt_Yr,L3065,MIN(L3065,(L944+L1247+L1550+L2156)*Cash_Sweep)))</f>
        <v>0</v>
      </c>
    </row>
    <row r="3369" customFormat="false" ht="15" hidden="false" customHeight="false" outlineLevel="0" collapsed="false">
      <c r="B3369" s="102" t="str">
        <f aca="false">'Loan Tape'!$A32</f>
        <v>L-029</v>
      </c>
      <c r="C3369" s="99" t="n">
        <f aca="false">IF(1&gt;Debt_Yr,0,IF(1=Debt_Yr,C3066,MIN(C3066,(C945+C1248+C1551+C2157)*Cash_Sweep)))</f>
        <v>24660900</v>
      </c>
      <c r="D3369" s="99" t="n">
        <f aca="false">IF(2&gt;Debt_Yr,0,IF(2=Debt_Yr,D3066,MIN(D3066,(D945+D1248+D1551+D2157)*Cash_Sweep)))</f>
        <v>0</v>
      </c>
      <c r="E3369" s="99" t="n">
        <f aca="false">IF(3&gt;Debt_Yr,0,IF(3=Debt_Yr,E3066,MIN(E3066,(E945+E1248+E1551+E2157)*Cash_Sweep)))</f>
        <v>0</v>
      </c>
      <c r="F3369" s="99" t="n">
        <f aca="false">IF(4&gt;Debt_Yr,0,IF(4=Debt_Yr,F3066,MIN(F3066,(F945+F1248+F1551+F2157)*Cash_Sweep)))</f>
        <v>0</v>
      </c>
      <c r="G3369" s="99" t="n">
        <f aca="false">IF(5&gt;Debt_Yr,0,IF(5=Debt_Yr,G3066,MIN(G3066,(G945+G1248+G1551+G2157)*Cash_Sweep)))</f>
        <v>0</v>
      </c>
      <c r="H3369" s="99" t="n">
        <f aca="false">IF(6&gt;Debt_Yr,0,IF(6=Debt_Yr,H3066,MIN(H3066,(H945+H1248+H1551+H2157)*Cash_Sweep)))</f>
        <v>0</v>
      </c>
      <c r="I3369" s="99" t="n">
        <f aca="false">IF(7&gt;Debt_Yr,0,IF(7=Debt_Yr,I3066,MIN(I3066,(I945+I1248+I1551+I2157)*Cash_Sweep)))</f>
        <v>0</v>
      </c>
      <c r="J3369" s="99" t="n">
        <f aca="false">IF(8&gt;Debt_Yr,0,IF(8=Debt_Yr,J3066,MIN(J3066,(J945+J1248+J1551+J2157)*Cash_Sweep)))</f>
        <v>0</v>
      </c>
      <c r="K3369" s="99" t="n">
        <f aca="false">IF(9&gt;Debt_Yr,0,IF(9=Debt_Yr,K3066,MIN(K3066,(K945+K1248+K1551+K2157)*Cash_Sweep)))</f>
        <v>0</v>
      </c>
      <c r="L3369" s="99" t="n">
        <f aca="false">IF(10&gt;Debt_Yr,0,IF(10=Debt_Yr,L3066,MIN(L3066,(L945+L1248+L1551+L2157)*Cash_Sweep)))</f>
        <v>0</v>
      </c>
    </row>
    <row r="3370" customFormat="false" ht="15" hidden="false" customHeight="false" outlineLevel="0" collapsed="false">
      <c r="B3370" s="108" t="str">
        <f aca="false">'Loan Tape'!$A33</f>
        <v>L-030</v>
      </c>
      <c r="C3370" s="71" t="n">
        <f aca="false">IF(1&gt;Debt_Yr,0,IF(1=Debt_Yr,C3067,MIN(C3067,(C946+C1249+C1552+C2158)*Cash_Sweep)))</f>
        <v>1627754.93316006</v>
      </c>
      <c r="D3370" s="71" t="n">
        <f aca="false">IF(2&gt;Debt_Yr,0,IF(2=Debt_Yr,D3067,MIN(D3067,(D946+D1249+D1552+D2158)*Cash_Sweep)))</f>
        <v>1635026.2731775</v>
      </c>
      <c r="E3370" s="71" t="n">
        <f aca="false">IF(3&gt;Debt_Yr,0,IF(3=Debt_Yr,E3067,MIN(E3067,(E946+E1249+E1552+E2158)*Cash_Sweep)))</f>
        <v>1438574.48855847</v>
      </c>
      <c r="F3370" s="71" t="n">
        <f aca="false">IF(4&gt;Debt_Yr,0,IF(4=Debt_Yr,F3067,MIN(F3067,(F946+F1249+F1552+F2158)*Cash_Sweep)))</f>
        <v>1259483.9908354</v>
      </c>
      <c r="G3370" s="71" t="n">
        <f aca="false">IF(5&gt;Debt_Yr,0,IF(5=Debt_Yr,G3067,MIN(G3067,(G946+G1249+G1552+G2158)*Cash_Sweep)))</f>
        <v>2045704.31426857</v>
      </c>
      <c r="H3370" s="71" t="n">
        <f aca="false">IF(6&gt;Debt_Yr,0,IF(6=Debt_Yr,H3067,MIN(H3067,(H946+H1249+H1552+H2158)*Cash_Sweep)))</f>
        <v>0</v>
      </c>
      <c r="I3370" s="71" t="n">
        <f aca="false">IF(7&gt;Debt_Yr,0,IF(7=Debt_Yr,I3067,MIN(I3067,(I946+I1249+I1552+I2158)*Cash_Sweep)))</f>
        <v>0</v>
      </c>
      <c r="J3370" s="71" t="n">
        <f aca="false">IF(8&gt;Debt_Yr,0,IF(8=Debt_Yr,J3067,MIN(J3067,(J946+J1249+J1552+J2158)*Cash_Sweep)))</f>
        <v>0</v>
      </c>
      <c r="K3370" s="71" t="n">
        <f aca="false">IF(9&gt;Debt_Yr,0,IF(9=Debt_Yr,K3067,MIN(K3067,(K946+K1249+K1552+K2158)*Cash_Sweep)))</f>
        <v>0</v>
      </c>
      <c r="L3370" s="71" t="n">
        <f aca="false">IF(10&gt;Debt_Yr,0,IF(10=Debt_Yr,L3067,MIN(L3067,(L946+L1249+L1552+L2158)*Cash_Sweep)))</f>
        <v>0</v>
      </c>
    </row>
    <row r="3371" customFormat="false" ht="15" hidden="false" customHeight="false" outlineLevel="0" collapsed="false">
      <c r="B3371" s="102" t="str">
        <f aca="false">'Loan Tape'!$A34</f>
        <v>L-031</v>
      </c>
      <c r="C3371" s="99" t="n">
        <f aca="false">IF(1&gt;Debt_Yr,0,IF(1=Debt_Yr,C3068,MIN(C3068,(C947+C1250+C1553+C2159)*Cash_Sweep)))</f>
        <v>1164900</v>
      </c>
      <c r="D3371" s="99" t="n">
        <f aca="false">IF(2&gt;Debt_Yr,0,IF(2=Debt_Yr,D3068,MIN(D3068,(D947+D1250+D1553+D2159)*Cash_Sweep)))</f>
        <v>5405136</v>
      </c>
      <c r="E3371" s="99" t="n">
        <f aca="false">IF(3&gt;Debt_Yr,0,IF(3=Debt_Yr,E3068,MIN(E3068,(E947+E1250+E1553+E2159)*Cash_Sweep)))</f>
        <v>0</v>
      </c>
      <c r="F3371" s="99" t="n">
        <f aca="false">IF(4&gt;Debt_Yr,0,IF(4=Debt_Yr,F3068,MIN(F3068,(F947+F1250+F1553+F2159)*Cash_Sweep)))</f>
        <v>0</v>
      </c>
      <c r="G3371" s="99" t="n">
        <f aca="false">IF(5&gt;Debt_Yr,0,IF(5=Debt_Yr,G3068,MIN(G3068,(G947+G1250+G1553+G2159)*Cash_Sweep)))</f>
        <v>0</v>
      </c>
      <c r="H3371" s="99" t="n">
        <f aca="false">IF(6&gt;Debt_Yr,0,IF(6=Debt_Yr,H3068,MIN(H3068,(H947+H1250+H1553+H2159)*Cash_Sweep)))</f>
        <v>0</v>
      </c>
      <c r="I3371" s="99" t="n">
        <f aca="false">IF(7&gt;Debt_Yr,0,IF(7=Debt_Yr,I3068,MIN(I3068,(I947+I1250+I1553+I2159)*Cash_Sweep)))</f>
        <v>0</v>
      </c>
      <c r="J3371" s="99" t="n">
        <f aca="false">IF(8&gt;Debt_Yr,0,IF(8=Debt_Yr,J3068,MIN(J3068,(J947+J1250+J1553+J2159)*Cash_Sweep)))</f>
        <v>0</v>
      </c>
      <c r="K3371" s="99" t="n">
        <f aca="false">IF(9&gt;Debt_Yr,0,IF(9=Debt_Yr,K3068,MIN(K3068,(K947+K1250+K1553+K2159)*Cash_Sweep)))</f>
        <v>0</v>
      </c>
      <c r="L3371" s="99" t="n">
        <f aca="false">IF(10&gt;Debt_Yr,0,IF(10=Debt_Yr,L3068,MIN(L3068,(L947+L1250+L1553+L2159)*Cash_Sweep)))</f>
        <v>0</v>
      </c>
    </row>
    <row r="3372" customFormat="false" ht="15" hidden="false" customHeight="false" outlineLevel="0" collapsed="false">
      <c r="B3372" s="108" t="str">
        <f aca="false">'Loan Tape'!$A35</f>
        <v>L-032</v>
      </c>
      <c r="C3372" s="71" t="n">
        <f aca="false">IF(1&gt;Debt_Yr,0,IF(1=Debt_Yr,C3069,MIN(C3069,(C948+C1251+C1554+C2160)*Cash_Sweep)))</f>
        <v>15928955.8599563</v>
      </c>
      <c r="D3372" s="71" t="n">
        <f aca="false">IF(2&gt;Debt_Yr,0,IF(2=Debt_Yr,D3069,MIN(D3069,(D948+D1251+D1554+D2160)*Cash_Sweep)))</f>
        <v>16048997.1896284</v>
      </c>
      <c r="E3372" s="71" t="n">
        <f aca="false">IF(3&gt;Debt_Yr,0,IF(3=Debt_Yr,E3069,MIN(E3069,(E948+E1251+E1554+E2160)*Cash_Sweep)))</f>
        <v>14129757.2865613</v>
      </c>
      <c r="F3372" s="71" t="n">
        <f aca="false">IF(4&gt;Debt_Yr,0,IF(4=Debt_Yr,F3069,MIN(F3069,(F948+F1251+F1554+F2160)*Cash_Sweep)))</f>
        <v>32700573.6638539</v>
      </c>
      <c r="G3372" s="71" t="n">
        <f aca="false">IF(5&gt;Debt_Yr,0,IF(5=Debt_Yr,G3069,MIN(G3069,(G948+G1251+G1554+G2160)*Cash_Sweep)))</f>
        <v>0</v>
      </c>
      <c r="H3372" s="71" t="n">
        <f aca="false">IF(6&gt;Debt_Yr,0,IF(6=Debt_Yr,H3069,MIN(H3069,(H948+H1251+H1554+H2160)*Cash_Sweep)))</f>
        <v>0</v>
      </c>
      <c r="I3372" s="71" t="n">
        <f aca="false">IF(7&gt;Debt_Yr,0,IF(7=Debt_Yr,I3069,MIN(I3069,(I948+I1251+I1554+I2160)*Cash_Sweep)))</f>
        <v>0</v>
      </c>
      <c r="J3372" s="71" t="n">
        <f aca="false">IF(8&gt;Debt_Yr,0,IF(8=Debt_Yr,J3069,MIN(J3069,(J948+J1251+J1554+J2160)*Cash_Sweep)))</f>
        <v>0</v>
      </c>
      <c r="K3372" s="71" t="n">
        <f aca="false">IF(9&gt;Debt_Yr,0,IF(9=Debt_Yr,K3069,MIN(K3069,(K948+K1251+K1554+K2160)*Cash_Sweep)))</f>
        <v>0</v>
      </c>
      <c r="L3372" s="71" t="n">
        <f aca="false">IF(10&gt;Debt_Yr,0,IF(10=Debt_Yr,L3069,MIN(L3069,(L948+L1251+L1554+L2160)*Cash_Sweep)))</f>
        <v>0</v>
      </c>
    </row>
    <row r="3373" customFormat="false" ht="15" hidden="false" customHeight="false" outlineLevel="0" collapsed="false">
      <c r="B3373" s="102" t="str">
        <f aca="false">'Loan Tape'!$A36</f>
        <v>L-033</v>
      </c>
      <c r="C3373" s="99" t="n">
        <f aca="false">IF(1&gt;Debt_Yr,0,IF(1=Debt_Yr,C3070,MIN(C3070,(C949+C1252+C1555+C2161)*Cash_Sweep)))</f>
        <v>24678948</v>
      </c>
      <c r="D3373" s="99" t="n">
        <f aca="false">IF(2&gt;Debt_Yr,0,IF(2=Debt_Yr,D3070,MIN(D3070,(D949+D1252+D1555+D2161)*Cash_Sweep)))</f>
        <v>0</v>
      </c>
      <c r="E3373" s="99" t="n">
        <f aca="false">IF(3&gt;Debt_Yr,0,IF(3=Debt_Yr,E3070,MIN(E3070,(E949+E1252+E1555+E2161)*Cash_Sweep)))</f>
        <v>0</v>
      </c>
      <c r="F3373" s="99" t="n">
        <f aca="false">IF(4&gt;Debt_Yr,0,IF(4=Debt_Yr,F3070,MIN(F3070,(F949+F1252+F1555+F2161)*Cash_Sweep)))</f>
        <v>0</v>
      </c>
      <c r="G3373" s="99" t="n">
        <f aca="false">IF(5&gt;Debt_Yr,0,IF(5=Debt_Yr,G3070,MIN(G3070,(G949+G1252+G1555+G2161)*Cash_Sweep)))</f>
        <v>0</v>
      </c>
      <c r="H3373" s="99" t="n">
        <f aca="false">IF(6&gt;Debt_Yr,0,IF(6=Debt_Yr,H3070,MIN(H3070,(H949+H1252+H1555+H2161)*Cash_Sweep)))</f>
        <v>0</v>
      </c>
      <c r="I3373" s="99" t="n">
        <f aca="false">IF(7&gt;Debt_Yr,0,IF(7=Debt_Yr,I3070,MIN(I3070,(I949+I1252+I1555+I2161)*Cash_Sweep)))</f>
        <v>0</v>
      </c>
      <c r="J3373" s="99" t="n">
        <f aca="false">IF(8&gt;Debt_Yr,0,IF(8=Debt_Yr,J3070,MIN(J3070,(J949+J1252+J1555+J2161)*Cash_Sweep)))</f>
        <v>0</v>
      </c>
      <c r="K3373" s="99" t="n">
        <f aca="false">IF(9&gt;Debt_Yr,0,IF(9=Debt_Yr,K3070,MIN(K3070,(K949+K1252+K1555+K2161)*Cash_Sweep)))</f>
        <v>0</v>
      </c>
      <c r="L3373" s="99" t="n">
        <f aca="false">IF(10&gt;Debt_Yr,0,IF(10=Debt_Yr,L3070,MIN(L3070,(L949+L1252+L1555+L2161)*Cash_Sweep)))</f>
        <v>0</v>
      </c>
    </row>
    <row r="3374" customFormat="false" ht="15" hidden="false" customHeight="false" outlineLevel="0" collapsed="false">
      <c r="B3374" s="108" t="str">
        <f aca="false">'Loan Tape'!$A37</f>
        <v>L-034</v>
      </c>
      <c r="C3374" s="71" t="n">
        <f aca="false">IF(1&gt;Debt_Yr,0,IF(1=Debt_Yr,C3071,MIN(C3071,(C950+C1253+C1556+C2162)*Cash_Sweep)))</f>
        <v>1387640.35821607</v>
      </c>
      <c r="D3374" s="71" t="n">
        <f aca="false">IF(2&gt;Debt_Yr,0,IF(2=Debt_Yr,D3071,MIN(D3071,(D950+D1253+D1556+D2162)*Cash_Sweep)))</f>
        <v>1365370.11683472</v>
      </c>
      <c r="E3374" s="71" t="n">
        <f aca="false">IF(3&gt;Debt_Yr,0,IF(3=Debt_Yr,E3071,MIN(E3071,(E950+E1253+E1556+E2162)*Cash_Sweep)))</f>
        <v>1184161.95549311</v>
      </c>
      <c r="F3374" s="71" t="n">
        <f aca="false">IF(4&gt;Debt_Yr,0,IF(4=Debt_Yr,F3071,MIN(F3071,(F950+F1253+F1556+F2162)*Cash_Sweep)))</f>
        <v>1026043.09362331</v>
      </c>
      <c r="G3374" s="71" t="n">
        <f aca="false">IF(5&gt;Debt_Yr,0,IF(5=Debt_Yr,G3071,MIN(G3071,(G950+G1253+G1556+G2162)*Cash_Sweep)))</f>
        <v>1452848.47583279</v>
      </c>
      <c r="H3374" s="71" t="n">
        <f aca="false">IF(6&gt;Debt_Yr,0,IF(6=Debt_Yr,H3071,MIN(H3071,(H950+H1253+H1556+H2162)*Cash_Sweep)))</f>
        <v>0</v>
      </c>
      <c r="I3374" s="71" t="n">
        <f aca="false">IF(7&gt;Debt_Yr,0,IF(7=Debt_Yr,I3071,MIN(I3071,(I950+I1253+I1556+I2162)*Cash_Sweep)))</f>
        <v>0</v>
      </c>
      <c r="J3374" s="71" t="n">
        <f aca="false">IF(8&gt;Debt_Yr,0,IF(8=Debt_Yr,J3071,MIN(J3071,(J950+J1253+J1556+J2162)*Cash_Sweep)))</f>
        <v>0</v>
      </c>
      <c r="K3374" s="71" t="n">
        <f aca="false">IF(9&gt;Debt_Yr,0,IF(9=Debt_Yr,K3071,MIN(K3071,(K950+K1253+K1556+K2162)*Cash_Sweep)))</f>
        <v>0</v>
      </c>
      <c r="L3374" s="71" t="n">
        <f aca="false">IF(10&gt;Debt_Yr,0,IF(10=Debt_Yr,L3071,MIN(L3071,(L950+L1253+L1556+L2162)*Cash_Sweep)))</f>
        <v>0</v>
      </c>
    </row>
    <row r="3375" customFormat="false" ht="15" hidden="false" customHeight="false" outlineLevel="0" collapsed="false">
      <c r="B3375" s="102" t="str">
        <f aca="false">'Loan Tape'!$A38</f>
        <v>L-035</v>
      </c>
      <c r="C3375" s="99" t="n">
        <f aca="false">IF(1&gt;Debt_Yr,0,IF(1=Debt_Yr,C3072,MIN(C3072,(C951+C1254+C1557+C2163)*Cash_Sweep)))</f>
        <v>7752649.13844655</v>
      </c>
      <c r="D3375" s="99" t="n">
        <f aca="false">IF(2&gt;Debt_Yr,0,IF(2=Debt_Yr,D3072,MIN(D3072,(D951+D1254+D1557+D2163)*Cash_Sweep)))</f>
        <v>7716535.87529681</v>
      </c>
      <c r="E3375" s="99" t="n">
        <f aca="false">IF(3&gt;Debt_Yr,0,IF(3=Debt_Yr,E3072,MIN(E3072,(E951+E1254+E1557+E2163)*Cash_Sweep)))</f>
        <v>20133314.9862566</v>
      </c>
      <c r="F3375" s="99" t="n">
        <f aca="false">IF(4&gt;Debt_Yr,0,IF(4=Debt_Yr,F3072,MIN(F3072,(F951+F1254+F1557+F2163)*Cash_Sweep)))</f>
        <v>0</v>
      </c>
      <c r="G3375" s="99" t="n">
        <f aca="false">IF(5&gt;Debt_Yr,0,IF(5=Debt_Yr,G3072,MIN(G3072,(G951+G1254+G1557+G2163)*Cash_Sweep)))</f>
        <v>0</v>
      </c>
      <c r="H3375" s="99" t="n">
        <f aca="false">IF(6&gt;Debt_Yr,0,IF(6=Debt_Yr,H3072,MIN(H3072,(H951+H1254+H1557+H2163)*Cash_Sweep)))</f>
        <v>0</v>
      </c>
      <c r="I3375" s="99" t="n">
        <f aca="false">IF(7&gt;Debt_Yr,0,IF(7=Debt_Yr,I3072,MIN(I3072,(I951+I1254+I1557+I2163)*Cash_Sweep)))</f>
        <v>0</v>
      </c>
      <c r="J3375" s="99" t="n">
        <f aca="false">IF(8&gt;Debt_Yr,0,IF(8=Debt_Yr,J3072,MIN(J3072,(J951+J1254+J1557+J2163)*Cash_Sweep)))</f>
        <v>0</v>
      </c>
      <c r="K3375" s="99" t="n">
        <f aca="false">IF(9&gt;Debt_Yr,0,IF(9=Debt_Yr,K3072,MIN(K3072,(K951+K1254+K1557+K2163)*Cash_Sweep)))</f>
        <v>0</v>
      </c>
      <c r="L3375" s="99" t="n">
        <f aca="false">IF(10&gt;Debt_Yr,0,IF(10=Debt_Yr,L3072,MIN(L3072,(L951+L1254+L1557+L2163)*Cash_Sweep)))</f>
        <v>0</v>
      </c>
    </row>
    <row r="3376" customFormat="false" ht="15" hidden="false" customHeight="false" outlineLevel="0" collapsed="false">
      <c r="B3376" s="108" t="str">
        <f aca="false">'Loan Tape'!$A39</f>
        <v>L-036</v>
      </c>
      <c r="C3376" s="71" t="n">
        <f aca="false">IF(1&gt;Debt_Yr,0,IF(1=Debt_Yr,C3073,MIN(C3073,(C952+C1255+C1558+C2164)*Cash_Sweep)))</f>
        <v>21581460</v>
      </c>
      <c r="D3376" s="71" t="n">
        <f aca="false">IF(2&gt;Debt_Yr,0,IF(2=Debt_Yr,D3073,MIN(D3073,(D952+D1255+D1558+D2164)*Cash_Sweep)))</f>
        <v>0</v>
      </c>
      <c r="E3376" s="71" t="n">
        <f aca="false">IF(3&gt;Debt_Yr,0,IF(3=Debt_Yr,E3073,MIN(E3073,(E952+E1255+E1558+E2164)*Cash_Sweep)))</f>
        <v>0</v>
      </c>
      <c r="F3376" s="71" t="n">
        <f aca="false">IF(4&gt;Debt_Yr,0,IF(4=Debt_Yr,F3073,MIN(F3073,(F952+F1255+F1558+F2164)*Cash_Sweep)))</f>
        <v>0</v>
      </c>
      <c r="G3376" s="71" t="n">
        <f aca="false">IF(5&gt;Debt_Yr,0,IF(5=Debt_Yr,G3073,MIN(G3073,(G952+G1255+G1558+G2164)*Cash_Sweep)))</f>
        <v>0</v>
      </c>
      <c r="H3376" s="71" t="n">
        <f aca="false">IF(6&gt;Debt_Yr,0,IF(6=Debt_Yr,H3073,MIN(H3073,(H952+H1255+H1558+H2164)*Cash_Sweep)))</f>
        <v>0</v>
      </c>
      <c r="I3376" s="71" t="n">
        <f aca="false">IF(7&gt;Debt_Yr,0,IF(7=Debt_Yr,I3073,MIN(I3073,(I952+I1255+I1558+I2164)*Cash_Sweep)))</f>
        <v>0</v>
      </c>
      <c r="J3376" s="71" t="n">
        <f aca="false">IF(8&gt;Debt_Yr,0,IF(8=Debt_Yr,J3073,MIN(J3073,(J952+J1255+J1558+J2164)*Cash_Sweep)))</f>
        <v>0</v>
      </c>
      <c r="K3376" s="71" t="n">
        <f aca="false">IF(9&gt;Debt_Yr,0,IF(9=Debt_Yr,K3073,MIN(K3073,(K952+K1255+K1558+K2164)*Cash_Sweep)))</f>
        <v>0</v>
      </c>
      <c r="L3376" s="71" t="n">
        <f aca="false">IF(10&gt;Debt_Yr,0,IF(10=Debt_Yr,L3073,MIN(L3073,(L952+L1255+L1558+L2164)*Cash_Sweep)))</f>
        <v>0</v>
      </c>
    </row>
    <row r="3377" customFormat="false" ht="15" hidden="false" customHeight="false" outlineLevel="0" collapsed="false">
      <c r="B3377" s="102" t="str">
        <f aca="false">'Loan Tape'!$A40</f>
        <v>L-037</v>
      </c>
      <c r="C3377" s="99" t="n">
        <f aca="false">IF(1&gt;Debt_Yr,0,IF(1=Debt_Yr,C3074,MIN(C3074,(C953+C1256+C1559+C2165)*Cash_Sweep)))</f>
        <v>18476640</v>
      </c>
      <c r="D3377" s="99" t="n">
        <f aca="false">IF(2&gt;Debt_Yr,0,IF(2=Debt_Yr,D3074,MIN(D3074,(D953+D1256+D1559+D2165)*Cash_Sweep)))</f>
        <v>0</v>
      </c>
      <c r="E3377" s="99" t="n">
        <f aca="false">IF(3&gt;Debt_Yr,0,IF(3=Debt_Yr,E3074,MIN(E3074,(E953+E1256+E1559+E2165)*Cash_Sweep)))</f>
        <v>0</v>
      </c>
      <c r="F3377" s="99" t="n">
        <f aca="false">IF(4&gt;Debt_Yr,0,IF(4=Debt_Yr,F3074,MIN(F3074,(F953+F1256+F1559+F2165)*Cash_Sweep)))</f>
        <v>0</v>
      </c>
      <c r="G3377" s="99" t="n">
        <f aca="false">IF(5&gt;Debt_Yr,0,IF(5=Debt_Yr,G3074,MIN(G3074,(G953+G1256+G1559+G2165)*Cash_Sweep)))</f>
        <v>0</v>
      </c>
      <c r="H3377" s="99" t="n">
        <f aca="false">IF(6&gt;Debt_Yr,0,IF(6=Debt_Yr,H3074,MIN(H3074,(H953+H1256+H1559+H2165)*Cash_Sweep)))</f>
        <v>0</v>
      </c>
      <c r="I3377" s="99" t="n">
        <f aca="false">IF(7&gt;Debt_Yr,0,IF(7=Debt_Yr,I3074,MIN(I3074,(I953+I1256+I1559+I2165)*Cash_Sweep)))</f>
        <v>0</v>
      </c>
      <c r="J3377" s="99" t="n">
        <f aca="false">IF(8&gt;Debt_Yr,0,IF(8=Debt_Yr,J3074,MIN(J3074,(J953+J1256+J1559+J2165)*Cash_Sweep)))</f>
        <v>0</v>
      </c>
      <c r="K3377" s="99" t="n">
        <f aca="false">IF(9&gt;Debt_Yr,0,IF(9=Debt_Yr,K3074,MIN(K3074,(K953+K1256+K1559+K2165)*Cash_Sweep)))</f>
        <v>0</v>
      </c>
      <c r="L3377" s="99" t="n">
        <f aca="false">IF(10&gt;Debt_Yr,0,IF(10=Debt_Yr,L3074,MIN(L3074,(L953+L1256+L1559+L2165)*Cash_Sweep)))</f>
        <v>0</v>
      </c>
    </row>
    <row r="3378" customFormat="false" ht="15" hidden="false" customHeight="false" outlineLevel="0" collapsed="false">
      <c r="B3378" s="108" t="str">
        <f aca="false">'Loan Tape'!$A41</f>
        <v>L-038</v>
      </c>
      <c r="C3378" s="71" t="n">
        <f aca="false">IF(1&gt;Debt_Yr,0,IF(1=Debt_Yr,C3075,MIN(C3075,(C954+C1257+C1560+C2166)*Cash_Sweep)))</f>
        <v>594933.349837953</v>
      </c>
      <c r="D3378" s="71" t="n">
        <f aca="false">IF(2&gt;Debt_Yr,0,IF(2=Debt_Yr,D3075,MIN(D3075,(D954+D1257+D1560+D2166)*Cash_Sweep)))</f>
        <v>607047.632332101</v>
      </c>
      <c r="E3378" s="71" t="n">
        <f aca="false">IF(3&gt;Debt_Yr,0,IF(3=Debt_Yr,E3075,MIN(E3075,(E954+E1257+E1560+E2166)*Cash_Sweep)))</f>
        <v>534370.676446567</v>
      </c>
      <c r="F3378" s="71" t="n">
        <f aca="false">IF(4&gt;Debt_Yr,0,IF(4=Debt_Yr,F3075,MIN(F3075,(F954+F1257+F1560+F2166)*Cash_Sweep)))</f>
        <v>468051.688524939</v>
      </c>
      <c r="G3378" s="71" t="n">
        <f aca="false">IF(5&gt;Debt_Yr,0,IF(5=Debt_Yr,G3075,MIN(G3075,(G954+G1257+G1560+G2166)*Cash_Sweep)))</f>
        <v>823712.65285844</v>
      </c>
      <c r="H3378" s="71" t="n">
        <f aca="false">IF(6&gt;Debt_Yr,0,IF(6=Debt_Yr,H3075,MIN(H3075,(H954+H1257+H1560+H2166)*Cash_Sweep)))</f>
        <v>0</v>
      </c>
      <c r="I3378" s="71" t="n">
        <f aca="false">IF(7&gt;Debt_Yr,0,IF(7=Debt_Yr,I3075,MIN(I3075,(I954+I1257+I1560+I2166)*Cash_Sweep)))</f>
        <v>0</v>
      </c>
      <c r="J3378" s="71" t="n">
        <f aca="false">IF(8&gt;Debt_Yr,0,IF(8=Debt_Yr,J3075,MIN(J3075,(J954+J1257+J1560+J2166)*Cash_Sweep)))</f>
        <v>0</v>
      </c>
      <c r="K3378" s="71" t="n">
        <f aca="false">IF(9&gt;Debt_Yr,0,IF(9=Debt_Yr,K3075,MIN(K3075,(K954+K1257+K1560+K2166)*Cash_Sweep)))</f>
        <v>0</v>
      </c>
      <c r="L3378" s="71" t="n">
        <f aca="false">IF(10&gt;Debt_Yr,0,IF(10=Debt_Yr,L3075,MIN(L3075,(L954+L1257+L1560+L2166)*Cash_Sweep)))</f>
        <v>0</v>
      </c>
    </row>
    <row r="3379" customFormat="false" ht="15" hidden="false" customHeight="false" outlineLevel="0" collapsed="false">
      <c r="B3379" s="102" t="str">
        <f aca="false">'Loan Tape'!$A42</f>
        <v>L-039</v>
      </c>
      <c r="C3379" s="99" t="n">
        <f aca="false">IF(1&gt;Debt_Yr,0,IF(1=Debt_Yr,C3076,MIN(C3076,(C955+C1258+C1561+C2167)*Cash_Sweep)))</f>
        <v>515125.79681698</v>
      </c>
      <c r="D3379" s="99" t="n">
        <f aca="false">IF(2&gt;Debt_Yr,0,IF(2=Debt_Yr,D3076,MIN(D3076,(D955+D1258+D1561+D2167)*Cash_Sweep)))</f>
        <v>518746.771352122</v>
      </c>
      <c r="E3379" s="99" t="n">
        <f aca="false">IF(3&gt;Debt_Yr,0,IF(3=Debt_Yr,E3076,MIN(E3076,(E955+E1258+E1561+E2167)*Cash_Sweep)))</f>
        <v>456680.743750098</v>
      </c>
      <c r="F3379" s="99" t="n">
        <f aca="false">IF(4&gt;Debt_Yr,0,IF(4=Debt_Yr,F3076,MIN(F3076,(F955+F1258+F1561+F2167)*Cash_Sweep)))</f>
        <v>400123.257649316</v>
      </c>
      <c r="G3379" s="99" t="n">
        <f aca="false">IF(5&gt;Debt_Yr,0,IF(5=Debt_Yr,G3076,MIN(G3076,(G955+G1258+G1561+G2167)*Cash_Sweep)))</f>
        <v>646759.430431484</v>
      </c>
      <c r="H3379" s="99" t="n">
        <f aca="false">IF(6&gt;Debt_Yr,0,IF(6=Debt_Yr,H3076,MIN(H3076,(H955+H1258+H1561+H2167)*Cash_Sweep)))</f>
        <v>0</v>
      </c>
      <c r="I3379" s="99" t="n">
        <f aca="false">IF(7&gt;Debt_Yr,0,IF(7=Debt_Yr,I3076,MIN(I3076,(I955+I1258+I1561+I2167)*Cash_Sweep)))</f>
        <v>0</v>
      </c>
      <c r="J3379" s="99" t="n">
        <f aca="false">IF(8&gt;Debt_Yr,0,IF(8=Debt_Yr,J3076,MIN(J3076,(J955+J1258+J1561+J2167)*Cash_Sweep)))</f>
        <v>0</v>
      </c>
      <c r="K3379" s="99" t="n">
        <f aca="false">IF(9&gt;Debt_Yr,0,IF(9=Debt_Yr,K3076,MIN(K3076,(K955+K1258+K1561+K2167)*Cash_Sweep)))</f>
        <v>0</v>
      </c>
      <c r="L3379" s="99" t="n">
        <f aca="false">IF(10&gt;Debt_Yr,0,IF(10=Debt_Yr,L3076,MIN(L3076,(L955+L1258+L1561+L2167)*Cash_Sweep)))</f>
        <v>0</v>
      </c>
    </row>
    <row r="3380" customFormat="false" ht="15" hidden="false" customHeight="false" outlineLevel="0" collapsed="false">
      <c r="B3380" s="108" t="str">
        <f aca="false">'Loan Tape'!$A43</f>
        <v>L-040</v>
      </c>
      <c r="C3380" s="71" t="n">
        <f aca="false">IF(1&gt;Debt_Yr,0,IF(1=Debt_Yr,C3077,MIN(C3077,(C956+C1259+C1562+C2168)*Cash_Sweep)))</f>
        <v>10396898.2439154</v>
      </c>
      <c r="D3380" s="71" t="n">
        <f aca="false">IF(2&gt;Debt_Yr,0,IF(2=Debt_Yr,D3077,MIN(D3077,(D956+D1259+D1562+D2168)*Cash_Sweep)))</f>
        <v>10141145.3425693</v>
      </c>
      <c r="E3380" s="71" t="n">
        <f aca="false">IF(3&gt;Debt_Yr,0,IF(3=Debt_Yr,E3077,MIN(E3077,(E956+E1259+E1562+E2168)*Cash_Sweep)))</f>
        <v>25216456.4135153</v>
      </c>
      <c r="F3380" s="71" t="n">
        <f aca="false">IF(4&gt;Debt_Yr,0,IF(4=Debt_Yr,F3077,MIN(F3077,(F956+F1259+F1562+F2168)*Cash_Sweep)))</f>
        <v>0</v>
      </c>
      <c r="G3380" s="71" t="n">
        <f aca="false">IF(5&gt;Debt_Yr,0,IF(5=Debt_Yr,G3077,MIN(G3077,(G956+G1259+G1562+G2168)*Cash_Sweep)))</f>
        <v>0</v>
      </c>
      <c r="H3380" s="71" t="n">
        <f aca="false">IF(6&gt;Debt_Yr,0,IF(6=Debt_Yr,H3077,MIN(H3077,(H956+H1259+H1562+H2168)*Cash_Sweep)))</f>
        <v>0</v>
      </c>
      <c r="I3380" s="71" t="n">
        <f aca="false">IF(7&gt;Debt_Yr,0,IF(7=Debt_Yr,I3077,MIN(I3077,(I956+I1259+I1562+I2168)*Cash_Sweep)))</f>
        <v>0</v>
      </c>
      <c r="J3380" s="71" t="n">
        <f aca="false">IF(8&gt;Debt_Yr,0,IF(8=Debt_Yr,J3077,MIN(J3077,(J956+J1259+J1562+J2168)*Cash_Sweep)))</f>
        <v>0</v>
      </c>
      <c r="K3380" s="71" t="n">
        <f aca="false">IF(9&gt;Debt_Yr,0,IF(9=Debt_Yr,K3077,MIN(K3077,(K956+K1259+K1562+K2168)*Cash_Sweep)))</f>
        <v>0</v>
      </c>
      <c r="L3380" s="71" t="n">
        <f aca="false">IF(10&gt;Debt_Yr,0,IF(10=Debt_Yr,L3077,MIN(L3077,(L956+L1259+L1562+L2168)*Cash_Sweep)))</f>
        <v>0</v>
      </c>
    </row>
    <row r="3381" customFormat="false" ht="15" hidden="false" customHeight="false" outlineLevel="0" collapsed="false">
      <c r="B3381" s="102" t="str">
        <f aca="false">'Loan Tape'!$A44</f>
        <v>L-041</v>
      </c>
      <c r="C3381" s="99" t="n">
        <f aca="false">IF(1&gt;Debt_Yr,0,IF(1=Debt_Yr,C3078,MIN(C3078,(C957+C1260+C1563+C2169)*Cash_Sweep)))</f>
        <v>17265732</v>
      </c>
      <c r="D3381" s="99" t="n">
        <f aca="false">IF(2&gt;Debt_Yr,0,IF(2=Debt_Yr,D3078,MIN(D3078,(D957+D1260+D1563+D2169)*Cash_Sweep)))</f>
        <v>0</v>
      </c>
      <c r="E3381" s="99" t="n">
        <f aca="false">IF(3&gt;Debt_Yr,0,IF(3=Debt_Yr,E3078,MIN(E3078,(E957+E1260+E1563+E2169)*Cash_Sweep)))</f>
        <v>0</v>
      </c>
      <c r="F3381" s="99" t="n">
        <f aca="false">IF(4&gt;Debt_Yr,0,IF(4=Debt_Yr,F3078,MIN(F3078,(F957+F1260+F1563+F2169)*Cash_Sweep)))</f>
        <v>0</v>
      </c>
      <c r="G3381" s="99" t="n">
        <f aca="false">IF(5&gt;Debt_Yr,0,IF(5=Debt_Yr,G3078,MIN(G3078,(G957+G1260+G1563+G2169)*Cash_Sweep)))</f>
        <v>0</v>
      </c>
      <c r="H3381" s="99" t="n">
        <f aca="false">IF(6&gt;Debt_Yr,0,IF(6=Debt_Yr,H3078,MIN(H3078,(H957+H1260+H1563+H2169)*Cash_Sweep)))</f>
        <v>0</v>
      </c>
      <c r="I3381" s="99" t="n">
        <f aca="false">IF(7&gt;Debt_Yr,0,IF(7=Debt_Yr,I3078,MIN(I3078,(I957+I1260+I1563+I2169)*Cash_Sweep)))</f>
        <v>0</v>
      </c>
      <c r="J3381" s="99" t="n">
        <f aca="false">IF(8&gt;Debt_Yr,0,IF(8=Debt_Yr,J3078,MIN(J3078,(J957+J1260+J1563+J2169)*Cash_Sweep)))</f>
        <v>0</v>
      </c>
      <c r="K3381" s="99" t="n">
        <f aca="false">IF(9&gt;Debt_Yr,0,IF(9=Debt_Yr,K3078,MIN(K3078,(K957+K1260+K1563+K2169)*Cash_Sweep)))</f>
        <v>0</v>
      </c>
      <c r="L3381" s="99" t="n">
        <f aca="false">IF(10&gt;Debt_Yr,0,IF(10=Debt_Yr,L3078,MIN(L3078,(L957+L1260+L1563+L2169)*Cash_Sweep)))</f>
        <v>0</v>
      </c>
    </row>
    <row r="3382" customFormat="false" ht="15" hidden="false" customHeight="false" outlineLevel="0" collapsed="false">
      <c r="B3382" s="108" t="str">
        <f aca="false">'Loan Tape'!$A45</f>
        <v>L-042</v>
      </c>
      <c r="C3382" s="71" t="n">
        <f aca="false">IF(1&gt;Debt_Yr,0,IF(1=Debt_Yr,C3079,MIN(C3079,(C958+C1261+C1564+C2170)*Cash_Sweep)))</f>
        <v>586739.658755643</v>
      </c>
      <c r="D3382" s="71" t="n">
        <f aca="false">IF(2&gt;Debt_Yr,0,IF(2=Debt_Yr,D3079,MIN(D3079,(D958+D1261+D1564+D2170)*Cash_Sweep)))</f>
        <v>582354.347412224</v>
      </c>
      <c r="E3382" s="71" t="n">
        <f aca="false">IF(3&gt;Debt_Yr,0,IF(3=Debt_Yr,E3079,MIN(E3079,(E958+E1261+E1564+E2170)*Cash_Sweep)))</f>
        <v>1672901.99383213</v>
      </c>
      <c r="F3382" s="71" t="n">
        <f aca="false">IF(4&gt;Debt_Yr,0,IF(4=Debt_Yr,F3079,MIN(F3079,(F958+F1261+F1564+F2170)*Cash_Sweep)))</f>
        <v>0</v>
      </c>
      <c r="G3382" s="71" t="n">
        <f aca="false">IF(5&gt;Debt_Yr,0,IF(5=Debt_Yr,G3079,MIN(G3079,(G958+G1261+G1564+G2170)*Cash_Sweep)))</f>
        <v>0</v>
      </c>
      <c r="H3382" s="71" t="n">
        <f aca="false">IF(6&gt;Debt_Yr,0,IF(6=Debt_Yr,H3079,MIN(H3079,(H958+H1261+H1564+H2170)*Cash_Sweep)))</f>
        <v>0</v>
      </c>
      <c r="I3382" s="71" t="n">
        <f aca="false">IF(7&gt;Debt_Yr,0,IF(7=Debt_Yr,I3079,MIN(I3079,(I958+I1261+I1564+I2170)*Cash_Sweep)))</f>
        <v>0</v>
      </c>
      <c r="J3382" s="71" t="n">
        <f aca="false">IF(8&gt;Debt_Yr,0,IF(8=Debt_Yr,J3079,MIN(J3079,(J958+J1261+J1564+J2170)*Cash_Sweep)))</f>
        <v>0</v>
      </c>
      <c r="K3382" s="71" t="n">
        <f aca="false">IF(9&gt;Debt_Yr,0,IF(9=Debt_Yr,K3079,MIN(K3079,(K958+K1261+K1564+K2170)*Cash_Sweep)))</f>
        <v>0</v>
      </c>
      <c r="L3382" s="71" t="n">
        <f aca="false">IF(10&gt;Debt_Yr,0,IF(10=Debt_Yr,L3079,MIN(L3079,(L958+L1261+L1564+L2170)*Cash_Sweep)))</f>
        <v>0</v>
      </c>
    </row>
    <row r="3383" customFormat="false" ht="15" hidden="false" customHeight="false" outlineLevel="0" collapsed="false">
      <c r="B3383" s="102" t="str">
        <f aca="false">'Loan Tape'!$A46</f>
        <v>L-043</v>
      </c>
      <c r="C3383" s="99" t="n">
        <f aca="false">IF(1&gt;Debt_Yr,0,IF(1=Debt_Yr,C3080,MIN(C3080,(C959+C1262+C1565+C2171)*Cash_Sweep)))</f>
        <v>1041610.00075305</v>
      </c>
      <c r="D3383" s="99" t="n">
        <f aca="false">IF(2&gt;Debt_Yr,0,IF(2=Debt_Yr,D3080,MIN(D3080,(D959+D1262+D1565+D2171)*Cash_Sweep)))</f>
        <v>1040815.21396324</v>
      </c>
      <c r="E3383" s="99" t="n">
        <f aca="false">IF(3&gt;Debt_Yr,0,IF(3=Debt_Yr,E3080,MIN(E3080,(E959+E1262+E1565+E2171)*Cash_Sweep)))</f>
        <v>912775.074241691</v>
      </c>
      <c r="F3383" s="99" t="n">
        <f aca="false">IF(4&gt;Debt_Yr,0,IF(4=Debt_Yr,F3080,MIN(F3080,(F959+F1262+F1565+F2171)*Cash_Sweep)))</f>
        <v>1900319.71104202</v>
      </c>
      <c r="G3383" s="99" t="n">
        <f aca="false">IF(5&gt;Debt_Yr,0,IF(5=Debt_Yr,G3080,MIN(G3080,(G959+G1262+G1565+G2171)*Cash_Sweep)))</f>
        <v>0</v>
      </c>
      <c r="H3383" s="99" t="n">
        <f aca="false">IF(6&gt;Debt_Yr,0,IF(6=Debt_Yr,H3080,MIN(H3080,(H959+H1262+H1565+H2171)*Cash_Sweep)))</f>
        <v>0</v>
      </c>
      <c r="I3383" s="99" t="n">
        <f aca="false">IF(7&gt;Debt_Yr,0,IF(7=Debt_Yr,I3080,MIN(I3080,(I959+I1262+I1565+I2171)*Cash_Sweep)))</f>
        <v>0</v>
      </c>
      <c r="J3383" s="99" t="n">
        <f aca="false">IF(8&gt;Debt_Yr,0,IF(8=Debt_Yr,J3080,MIN(J3080,(J959+J1262+J1565+J2171)*Cash_Sweep)))</f>
        <v>0</v>
      </c>
      <c r="K3383" s="99" t="n">
        <f aca="false">IF(9&gt;Debt_Yr,0,IF(9=Debt_Yr,K3080,MIN(K3080,(K959+K1262+K1565+K2171)*Cash_Sweep)))</f>
        <v>0</v>
      </c>
      <c r="L3383" s="99" t="n">
        <f aca="false">IF(10&gt;Debt_Yr,0,IF(10=Debt_Yr,L3080,MIN(L3080,(L959+L1262+L1565+L2171)*Cash_Sweep)))</f>
        <v>0</v>
      </c>
    </row>
    <row r="3384" customFormat="false" ht="15" hidden="false" customHeight="false" outlineLevel="0" collapsed="false">
      <c r="B3384" s="108" t="str">
        <f aca="false">'Loan Tape'!$A47</f>
        <v>L-044</v>
      </c>
      <c r="C3384" s="71" t="n">
        <f aca="false">IF(1&gt;Debt_Yr,0,IF(1=Debt_Yr,C3081,MIN(C3081,(C960+C1263+C1566+C2172)*Cash_Sweep)))</f>
        <v>44390748</v>
      </c>
      <c r="D3384" s="71" t="n">
        <f aca="false">IF(2&gt;Debt_Yr,0,IF(2=Debt_Yr,D3081,MIN(D3081,(D960+D1263+D1566+D2172)*Cash_Sweep)))</f>
        <v>0</v>
      </c>
      <c r="E3384" s="71" t="n">
        <f aca="false">IF(3&gt;Debt_Yr,0,IF(3=Debt_Yr,E3081,MIN(E3081,(E960+E1263+E1566+E2172)*Cash_Sweep)))</f>
        <v>0</v>
      </c>
      <c r="F3384" s="71" t="n">
        <f aca="false">IF(4&gt;Debt_Yr,0,IF(4=Debt_Yr,F3081,MIN(F3081,(F960+F1263+F1566+F2172)*Cash_Sweep)))</f>
        <v>0</v>
      </c>
      <c r="G3384" s="71" t="n">
        <f aca="false">IF(5&gt;Debt_Yr,0,IF(5=Debt_Yr,G3081,MIN(G3081,(G960+G1263+G1566+G2172)*Cash_Sweep)))</f>
        <v>0</v>
      </c>
      <c r="H3384" s="71" t="n">
        <f aca="false">IF(6&gt;Debt_Yr,0,IF(6=Debt_Yr,H3081,MIN(H3081,(H960+H1263+H1566+H2172)*Cash_Sweep)))</f>
        <v>0</v>
      </c>
      <c r="I3384" s="71" t="n">
        <f aca="false">IF(7&gt;Debt_Yr,0,IF(7=Debt_Yr,I3081,MIN(I3081,(I960+I1263+I1566+I2172)*Cash_Sweep)))</f>
        <v>0</v>
      </c>
      <c r="J3384" s="71" t="n">
        <f aca="false">IF(8&gt;Debt_Yr,0,IF(8=Debt_Yr,J3081,MIN(J3081,(J960+J1263+J1566+J2172)*Cash_Sweep)))</f>
        <v>0</v>
      </c>
      <c r="K3384" s="71" t="n">
        <f aca="false">IF(9&gt;Debt_Yr,0,IF(9=Debt_Yr,K3081,MIN(K3081,(K960+K1263+K1566+K2172)*Cash_Sweep)))</f>
        <v>0</v>
      </c>
      <c r="L3384" s="71" t="n">
        <f aca="false">IF(10&gt;Debt_Yr,0,IF(10=Debt_Yr,L3081,MIN(L3081,(L960+L1263+L1566+L2172)*Cash_Sweep)))</f>
        <v>0</v>
      </c>
    </row>
    <row r="3385" customFormat="false" ht="15" hidden="false" customHeight="false" outlineLevel="0" collapsed="false">
      <c r="B3385" s="102" t="str">
        <f aca="false">'Loan Tape'!$A48</f>
        <v>L-045</v>
      </c>
      <c r="C3385" s="99" t="n">
        <f aca="false">IF(1&gt;Debt_Yr,0,IF(1=Debt_Yr,C3082,MIN(C3082,(C961+C1264+C1567+C2173)*Cash_Sweep)))</f>
        <v>5595169.85323492</v>
      </c>
      <c r="D3385" s="99" t="n">
        <f aca="false">IF(2&gt;Debt_Yr,0,IF(2=Debt_Yr,D3082,MIN(D3082,(D961+D1264+D1567+D2173)*Cash_Sweep)))</f>
        <v>6136026.42421031</v>
      </c>
      <c r="E3385" s="99" t="n">
        <f aca="false">IF(3&gt;Debt_Yr,0,IF(3=Debt_Yr,E3082,MIN(E3082,(E961+E1264+E1567+E2173)*Cash_Sweep)))</f>
        <v>5412265.29513651</v>
      </c>
      <c r="F3385" s="99" t="n">
        <f aca="false">IF(4&gt;Debt_Yr,0,IF(4=Debt_Yr,F3082,MIN(F3082,(F961+F1264+F1567+F2173)*Cash_Sweep)))</f>
        <v>4748428.32596725</v>
      </c>
      <c r="G3385" s="99" t="n">
        <f aca="false">IF(5&gt;Debt_Yr,0,IF(5=Debt_Yr,G3082,MIN(G3082,(G961+G1264+G1567+G2173)*Cash_Sweep)))</f>
        <v>8867542.10145101</v>
      </c>
      <c r="H3385" s="99" t="n">
        <f aca="false">IF(6&gt;Debt_Yr,0,IF(6=Debt_Yr,H3082,MIN(H3082,(H961+H1264+H1567+H2173)*Cash_Sweep)))</f>
        <v>0</v>
      </c>
      <c r="I3385" s="99" t="n">
        <f aca="false">IF(7&gt;Debt_Yr,0,IF(7=Debt_Yr,I3082,MIN(I3082,(I961+I1264+I1567+I2173)*Cash_Sweep)))</f>
        <v>0</v>
      </c>
      <c r="J3385" s="99" t="n">
        <f aca="false">IF(8&gt;Debt_Yr,0,IF(8=Debt_Yr,J3082,MIN(J3082,(J961+J1264+J1567+J2173)*Cash_Sweep)))</f>
        <v>0</v>
      </c>
      <c r="K3385" s="99" t="n">
        <f aca="false">IF(9&gt;Debt_Yr,0,IF(9=Debt_Yr,K3082,MIN(K3082,(K961+K1264+K1567+K2173)*Cash_Sweep)))</f>
        <v>0</v>
      </c>
      <c r="L3385" s="99" t="n">
        <f aca="false">IF(10&gt;Debt_Yr,0,IF(10=Debt_Yr,L3082,MIN(L3082,(L961+L1264+L1567+L2173)*Cash_Sweep)))</f>
        <v>0</v>
      </c>
    </row>
    <row r="3386" customFormat="false" ht="15" hidden="false" customHeight="false" outlineLevel="0" collapsed="false">
      <c r="B3386" s="108" t="str">
        <f aca="false">'Loan Tape'!$A49</f>
        <v>L-046</v>
      </c>
      <c r="C3386" s="71" t="n">
        <f aca="false">IF(1&gt;Debt_Yr,0,IF(1=Debt_Yr,C3083,MIN(C3083,(C962+C1265+C1568+C2174)*Cash_Sweep)))</f>
        <v>63940680</v>
      </c>
      <c r="D3386" s="71" t="n">
        <f aca="false">IF(2&gt;Debt_Yr,0,IF(2=Debt_Yr,D3083,MIN(D3083,(D962+D1265+D1568+D2174)*Cash_Sweep)))</f>
        <v>0</v>
      </c>
      <c r="E3386" s="71" t="n">
        <f aca="false">IF(3&gt;Debt_Yr,0,IF(3=Debt_Yr,E3083,MIN(E3083,(E962+E1265+E1568+E2174)*Cash_Sweep)))</f>
        <v>0</v>
      </c>
      <c r="F3386" s="71" t="n">
        <f aca="false">IF(4&gt;Debt_Yr,0,IF(4=Debt_Yr,F3083,MIN(F3083,(F962+F1265+F1568+F2174)*Cash_Sweep)))</f>
        <v>0</v>
      </c>
      <c r="G3386" s="71" t="n">
        <f aca="false">IF(5&gt;Debt_Yr,0,IF(5=Debt_Yr,G3083,MIN(G3083,(G962+G1265+G1568+G2174)*Cash_Sweep)))</f>
        <v>0</v>
      </c>
      <c r="H3386" s="71" t="n">
        <f aca="false">IF(6&gt;Debt_Yr,0,IF(6=Debt_Yr,H3083,MIN(H3083,(H962+H1265+H1568+H2174)*Cash_Sweep)))</f>
        <v>0</v>
      </c>
      <c r="I3386" s="71" t="n">
        <f aca="false">IF(7&gt;Debt_Yr,0,IF(7=Debt_Yr,I3083,MIN(I3083,(I962+I1265+I1568+I2174)*Cash_Sweep)))</f>
        <v>0</v>
      </c>
      <c r="J3386" s="71" t="n">
        <f aca="false">IF(8&gt;Debt_Yr,0,IF(8=Debt_Yr,J3083,MIN(J3083,(J962+J1265+J1568+J2174)*Cash_Sweep)))</f>
        <v>0</v>
      </c>
      <c r="K3386" s="71" t="n">
        <f aca="false">IF(9&gt;Debt_Yr,0,IF(9=Debt_Yr,K3083,MIN(K3083,(K962+K1265+K1568+K2174)*Cash_Sweep)))</f>
        <v>0</v>
      </c>
      <c r="L3386" s="71" t="n">
        <f aca="false">IF(10&gt;Debt_Yr,0,IF(10=Debt_Yr,L3083,MIN(L3083,(L962+L1265+L1568+L2174)*Cash_Sweep)))</f>
        <v>0</v>
      </c>
    </row>
    <row r="3387" customFormat="false" ht="15" hidden="false" customHeight="false" outlineLevel="0" collapsed="false">
      <c r="B3387" s="102" t="str">
        <f aca="false">'Loan Tape'!$A50</f>
        <v>L-047</v>
      </c>
      <c r="C3387" s="99" t="n">
        <f aca="false">IF(1&gt;Debt_Yr,0,IF(1=Debt_Yr,C3084,MIN(C3084,(C963+C1266+C1569+C2175)*Cash_Sweep)))</f>
        <v>525900</v>
      </c>
      <c r="D3387" s="99" t="n">
        <f aca="false">IF(2&gt;Debt_Yr,0,IF(2=Debt_Yr,D3084,MIN(D3084,(D963+D1266+D1569+D2175)*Cash_Sweep)))</f>
        <v>536418</v>
      </c>
      <c r="E3387" s="99" t="n">
        <f aca="false">IF(3&gt;Debt_Yr,0,IF(3=Debt_Yr,E3084,MIN(E3084,(E963+E1266+E1569+E2175)*Cash_Sweep)))</f>
        <v>472047.84</v>
      </c>
      <c r="F3387" s="99" t="n">
        <f aca="false">IF(4&gt;Debt_Yr,0,IF(4=Debt_Yr,F3084,MIN(F3084,(F963+F1266+F1569+F2175)*Cash_Sweep)))</f>
        <v>1431710.16</v>
      </c>
      <c r="G3387" s="99" t="n">
        <f aca="false">IF(5&gt;Debt_Yr,0,IF(5=Debt_Yr,G3084,MIN(G3084,(G963+G1266+G1569+G2175)*Cash_Sweep)))</f>
        <v>0</v>
      </c>
      <c r="H3387" s="99" t="n">
        <f aca="false">IF(6&gt;Debt_Yr,0,IF(6=Debt_Yr,H3084,MIN(H3084,(H963+H1266+H1569+H2175)*Cash_Sweep)))</f>
        <v>0</v>
      </c>
      <c r="I3387" s="99" t="n">
        <f aca="false">IF(7&gt;Debt_Yr,0,IF(7=Debt_Yr,I3084,MIN(I3084,(I963+I1266+I1569+I2175)*Cash_Sweep)))</f>
        <v>0</v>
      </c>
      <c r="J3387" s="99" t="n">
        <f aca="false">IF(8&gt;Debt_Yr,0,IF(8=Debt_Yr,J3084,MIN(J3084,(J963+J1266+J1569+J2175)*Cash_Sweep)))</f>
        <v>0</v>
      </c>
      <c r="K3387" s="99" t="n">
        <f aca="false">IF(9&gt;Debt_Yr,0,IF(9=Debt_Yr,K3084,MIN(K3084,(K963+K1266+K1569+K2175)*Cash_Sweep)))</f>
        <v>0</v>
      </c>
      <c r="L3387" s="99" t="n">
        <f aca="false">IF(10&gt;Debt_Yr,0,IF(10=Debt_Yr,L3084,MIN(L3084,(L963+L1266+L1569+L2175)*Cash_Sweep)))</f>
        <v>0</v>
      </c>
    </row>
    <row r="3388" customFormat="false" ht="15" hidden="false" customHeight="false" outlineLevel="0" collapsed="false">
      <c r="B3388" s="108" t="str">
        <f aca="false">'Loan Tape'!$A51</f>
        <v>L-048</v>
      </c>
      <c r="C3388" s="71" t="n">
        <f aca="false">IF(1&gt;Debt_Yr,0,IF(1=Debt_Yr,C3085,MIN(C3085,(C964+C1267+C1570+C2176)*Cash_Sweep)))</f>
        <v>12215775.3389618</v>
      </c>
      <c r="D3388" s="71" t="n">
        <f aca="false">IF(2&gt;Debt_Yr,0,IF(2=Debt_Yr,D3085,MIN(D3085,(D964+D1267+D1570+D2176)*Cash_Sweep)))</f>
        <v>44297588.6610382</v>
      </c>
      <c r="E3388" s="71" t="n">
        <f aca="false">IF(3&gt;Debt_Yr,0,IF(3=Debt_Yr,E3085,MIN(E3085,(E964+E1267+E1570+E2176)*Cash_Sweep)))</f>
        <v>0</v>
      </c>
      <c r="F3388" s="71" t="n">
        <f aca="false">IF(4&gt;Debt_Yr,0,IF(4=Debt_Yr,F3085,MIN(F3085,(F964+F1267+F1570+F2176)*Cash_Sweep)))</f>
        <v>0</v>
      </c>
      <c r="G3388" s="71" t="n">
        <f aca="false">IF(5&gt;Debt_Yr,0,IF(5=Debt_Yr,G3085,MIN(G3085,(G964+G1267+G1570+G2176)*Cash_Sweep)))</f>
        <v>0</v>
      </c>
      <c r="H3388" s="71" t="n">
        <f aca="false">IF(6&gt;Debt_Yr,0,IF(6=Debt_Yr,H3085,MIN(H3085,(H964+H1267+H1570+H2176)*Cash_Sweep)))</f>
        <v>0</v>
      </c>
      <c r="I3388" s="71" t="n">
        <f aca="false">IF(7&gt;Debt_Yr,0,IF(7=Debt_Yr,I3085,MIN(I3085,(I964+I1267+I1570+I2176)*Cash_Sweep)))</f>
        <v>0</v>
      </c>
      <c r="J3388" s="71" t="n">
        <f aca="false">IF(8&gt;Debt_Yr,0,IF(8=Debt_Yr,J3085,MIN(J3085,(J964+J1267+J1570+J2176)*Cash_Sweep)))</f>
        <v>0</v>
      </c>
      <c r="K3388" s="71" t="n">
        <f aca="false">IF(9&gt;Debt_Yr,0,IF(9=Debt_Yr,K3085,MIN(K3085,(K964+K1267+K1570+K2176)*Cash_Sweep)))</f>
        <v>0</v>
      </c>
      <c r="L3388" s="71" t="n">
        <f aca="false">IF(10&gt;Debt_Yr,0,IF(10=Debt_Yr,L3085,MIN(L3085,(L964+L1267+L1570+L2176)*Cash_Sweep)))</f>
        <v>0</v>
      </c>
    </row>
    <row r="3389" customFormat="false" ht="15" hidden="false" customHeight="false" outlineLevel="0" collapsed="false">
      <c r="B3389" s="102" t="str">
        <f aca="false">'Loan Tape'!$A52</f>
        <v>L-049</v>
      </c>
      <c r="C3389" s="99" t="n">
        <f aca="false">IF(1&gt;Debt_Yr,0,IF(1=Debt_Yr,C3086,MIN(C3086,(C965+C1268+C1571+C2177)*Cash_Sweep)))</f>
        <v>29340408</v>
      </c>
      <c r="D3389" s="99" t="n">
        <f aca="false">IF(2&gt;Debt_Yr,0,IF(2=Debt_Yr,D3086,MIN(D3086,(D965+D1268+D1571+D2177)*Cash_Sweep)))</f>
        <v>0</v>
      </c>
      <c r="E3389" s="99" t="n">
        <f aca="false">IF(3&gt;Debt_Yr,0,IF(3=Debt_Yr,E3086,MIN(E3086,(E965+E1268+E1571+E2177)*Cash_Sweep)))</f>
        <v>0</v>
      </c>
      <c r="F3389" s="99" t="n">
        <f aca="false">IF(4&gt;Debt_Yr,0,IF(4=Debt_Yr,F3086,MIN(F3086,(F965+F1268+F1571+F2177)*Cash_Sweep)))</f>
        <v>0</v>
      </c>
      <c r="G3389" s="99" t="n">
        <f aca="false">IF(5&gt;Debt_Yr,0,IF(5=Debt_Yr,G3086,MIN(G3086,(G965+G1268+G1571+G2177)*Cash_Sweep)))</f>
        <v>0</v>
      </c>
      <c r="H3389" s="99" t="n">
        <f aca="false">IF(6&gt;Debt_Yr,0,IF(6=Debt_Yr,H3086,MIN(H3086,(H965+H1268+H1571+H2177)*Cash_Sweep)))</f>
        <v>0</v>
      </c>
      <c r="I3389" s="99" t="n">
        <f aca="false">IF(7&gt;Debt_Yr,0,IF(7=Debt_Yr,I3086,MIN(I3086,(I965+I1268+I1571+I2177)*Cash_Sweep)))</f>
        <v>0</v>
      </c>
      <c r="J3389" s="99" t="n">
        <f aca="false">IF(8&gt;Debt_Yr,0,IF(8=Debt_Yr,J3086,MIN(J3086,(J965+J1268+J1571+J2177)*Cash_Sweep)))</f>
        <v>0</v>
      </c>
      <c r="K3389" s="99" t="n">
        <f aca="false">IF(9&gt;Debt_Yr,0,IF(9=Debt_Yr,K3086,MIN(K3086,(K965+K1268+K1571+K2177)*Cash_Sweep)))</f>
        <v>0</v>
      </c>
      <c r="L3389" s="99" t="n">
        <f aca="false">IF(10&gt;Debt_Yr,0,IF(10=Debt_Yr,L3086,MIN(L3086,(L965+L1268+L1571+L2177)*Cash_Sweep)))</f>
        <v>0</v>
      </c>
    </row>
    <row r="3390" customFormat="false" ht="15" hidden="false" customHeight="false" outlineLevel="0" collapsed="false">
      <c r="B3390" s="108" t="str">
        <f aca="false">'Loan Tape'!$A53</f>
        <v>L-050</v>
      </c>
      <c r="C3390" s="71" t="n">
        <f aca="false">IF(1&gt;Debt_Yr,0,IF(1=Debt_Yr,C3087,MIN(C3087,(C966+C1269+C1572+C2178)*Cash_Sweep)))</f>
        <v>12031300</v>
      </c>
      <c r="D3390" s="71" t="n">
        <f aca="false">IF(2&gt;Debt_Yr,0,IF(2=Debt_Yr,D3087,MIN(D3087,(D966+D1269+D1572+D2178)*Cash_Sweep)))</f>
        <v>12271926</v>
      </c>
      <c r="E3390" s="71" t="n">
        <f aca="false">IF(3&gt;Debt_Yr,0,IF(3=Debt_Yr,E3087,MIN(E3087,(E966+E1269+E1572+E2178)*Cash_Sweep)))</f>
        <v>43553306</v>
      </c>
      <c r="F3390" s="71" t="n">
        <f aca="false">IF(4&gt;Debt_Yr,0,IF(4=Debt_Yr,F3087,MIN(F3087,(F966+F1269+F1572+F2178)*Cash_Sweep)))</f>
        <v>0</v>
      </c>
      <c r="G3390" s="71" t="n">
        <f aca="false">IF(5&gt;Debt_Yr,0,IF(5=Debt_Yr,G3087,MIN(G3087,(G966+G1269+G1572+G2178)*Cash_Sweep)))</f>
        <v>0</v>
      </c>
      <c r="H3390" s="71" t="n">
        <f aca="false">IF(6&gt;Debt_Yr,0,IF(6=Debt_Yr,H3087,MIN(H3087,(H966+H1269+H1572+H2178)*Cash_Sweep)))</f>
        <v>0</v>
      </c>
      <c r="I3390" s="71" t="n">
        <f aca="false">IF(7&gt;Debt_Yr,0,IF(7=Debt_Yr,I3087,MIN(I3087,(I966+I1269+I1572+I2178)*Cash_Sweep)))</f>
        <v>0</v>
      </c>
      <c r="J3390" s="71" t="n">
        <f aca="false">IF(8&gt;Debt_Yr,0,IF(8=Debt_Yr,J3087,MIN(J3087,(J966+J1269+J1572+J2178)*Cash_Sweep)))</f>
        <v>0</v>
      </c>
      <c r="K3390" s="71" t="n">
        <f aca="false">IF(9&gt;Debt_Yr,0,IF(9=Debt_Yr,K3087,MIN(K3087,(K966+K1269+K1572+K2178)*Cash_Sweep)))</f>
        <v>0</v>
      </c>
      <c r="L3390" s="71" t="n">
        <f aca="false">IF(10&gt;Debt_Yr,0,IF(10=Debt_Yr,L3087,MIN(L3087,(L966+L1269+L1572+L2178)*Cash_Sweep)))</f>
        <v>0</v>
      </c>
    </row>
    <row r="3391" customFormat="false" ht="15" hidden="false" customHeight="false" outlineLevel="0" collapsed="false">
      <c r="B3391" s="102" t="n">
        <f aca="false">'Loan Tape'!$A54</f>
        <v>0</v>
      </c>
      <c r="C3391" s="99" t="n">
        <f aca="false">IF(1&gt;Debt_Yr,0,IF(1=Debt_Yr,C3088,MIN(C3088,(C967+C1270+C1573+C2179)*Cash_Sweep)))</f>
        <v>0</v>
      </c>
      <c r="D3391" s="99" t="n">
        <f aca="false">IF(2&gt;Debt_Yr,0,IF(2=Debt_Yr,D3088,MIN(D3088,(D967+D1270+D1573+D2179)*Cash_Sweep)))</f>
        <v>0</v>
      </c>
      <c r="E3391" s="99" t="n">
        <f aca="false">IF(3&gt;Debt_Yr,0,IF(3=Debt_Yr,E3088,MIN(E3088,(E967+E1270+E1573+E2179)*Cash_Sweep)))</f>
        <v>0</v>
      </c>
      <c r="F3391" s="99" t="n">
        <f aca="false">IF(4&gt;Debt_Yr,0,IF(4=Debt_Yr,F3088,MIN(F3088,(F967+F1270+F1573+F2179)*Cash_Sweep)))</f>
        <v>0</v>
      </c>
      <c r="G3391" s="99" t="n">
        <f aca="false">IF(5&gt;Debt_Yr,0,IF(5=Debt_Yr,G3088,MIN(G3088,(G967+G1270+G1573+G2179)*Cash_Sweep)))</f>
        <v>0</v>
      </c>
      <c r="H3391" s="99" t="n">
        <f aca="false">IF(6&gt;Debt_Yr,0,IF(6=Debt_Yr,H3088,MIN(H3088,(H967+H1270+H1573+H2179)*Cash_Sweep)))</f>
        <v>0</v>
      </c>
      <c r="I3391" s="99" t="n">
        <f aca="false">IF(7&gt;Debt_Yr,0,IF(7=Debt_Yr,I3088,MIN(I3088,(I967+I1270+I1573+I2179)*Cash_Sweep)))</f>
        <v>0</v>
      </c>
      <c r="J3391" s="99" t="n">
        <f aca="false">IF(8&gt;Debt_Yr,0,IF(8=Debt_Yr,J3088,MIN(J3088,(J967+J1270+J1573+J2179)*Cash_Sweep)))</f>
        <v>0</v>
      </c>
      <c r="K3391" s="99" t="n">
        <f aca="false">IF(9&gt;Debt_Yr,0,IF(9=Debt_Yr,K3088,MIN(K3088,(K967+K1270+K1573+K2179)*Cash_Sweep)))</f>
        <v>0</v>
      </c>
      <c r="L3391" s="99" t="n">
        <f aca="false">IF(10&gt;Debt_Yr,0,IF(10=Debt_Yr,L3088,MIN(L3088,(L967+L1270+L1573+L2179)*Cash_Sweep)))</f>
        <v>0</v>
      </c>
    </row>
    <row r="3392" customFormat="false" ht="15" hidden="false" customHeight="false" outlineLevel="0" collapsed="false">
      <c r="B3392" s="108" t="n">
        <f aca="false">'Loan Tape'!$A55</f>
        <v>0</v>
      </c>
      <c r="C3392" s="71" t="n">
        <f aca="false">IF(1&gt;Debt_Yr,0,IF(1=Debt_Yr,C3089,MIN(C3089,(C968+C1271+C1574+C2180)*Cash_Sweep)))</f>
        <v>0</v>
      </c>
      <c r="D3392" s="71" t="n">
        <f aca="false">IF(2&gt;Debt_Yr,0,IF(2=Debt_Yr,D3089,MIN(D3089,(D968+D1271+D1574+D2180)*Cash_Sweep)))</f>
        <v>0</v>
      </c>
      <c r="E3392" s="71" t="n">
        <f aca="false">IF(3&gt;Debt_Yr,0,IF(3=Debt_Yr,E3089,MIN(E3089,(E968+E1271+E1574+E2180)*Cash_Sweep)))</f>
        <v>0</v>
      </c>
      <c r="F3392" s="71" t="n">
        <f aca="false">IF(4&gt;Debt_Yr,0,IF(4=Debt_Yr,F3089,MIN(F3089,(F968+F1271+F1574+F2180)*Cash_Sweep)))</f>
        <v>0</v>
      </c>
      <c r="G3392" s="71" t="n">
        <f aca="false">IF(5&gt;Debt_Yr,0,IF(5=Debt_Yr,G3089,MIN(G3089,(G968+G1271+G1574+G2180)*Cash_Sweep)))</f>
        <v>0</v>
      </c>
      <c r="H3392" s="71" t="n">
        <f aca="false">IF(6&gt;Debt_Yr,0,IF(6=Debt_Yr,H3089,MIN(H3089,(H968+H1271+H1574+H2180)*Cash_Sweep)))</f>
        <v>0</v>
      </c>
      <c r="I3392" s="71" t="n">
        <f aca="false">IF(7&gt;Debt_Yr,0,IF(7=Debt_Yr,I3089,MIN(I3089,(I968+I1271+I1574+I2180)*Cash_Sweep)))</f>
        <v>0</v>
      </c>
      <c r="J3392" s="71" t="n">
        <f aca="false">IF(8&gt;Debt_Yr,0,IF(8=Debt_Yr,J3089,MIN(J3089,(J968+J1271+J1574+J2180)*Cash_Sweep)))</f>
        <v>0</v>
      </c>
      <c r="K3392" s="71" t="n">
        <f aca="false">IF(9&gt;Debt_Yr,0,IF(9=Debt_Yr,K3089,MIN(K3089,(K968+K1271+K1574+K2180)*Cash_Sweep)))</f>
        <v>0</v>
      </c>
      <c r="L3392" s="71" t="n">
        <f aca="false">IF(10&gt;Debt_Yr,0,IF(10=Debt_Yr,L3089,MIN(L3089,(L968+L1271+L1574+L2180)*Cash_Sweep)))</f>
        <v>0</v>
      </c>
    </row>
    <row r="3393" customFormat="false" ht="15" hidden="false" customHeight="false" outlineLevel="0" collapsed="false">
      <c r="B3393" s="102" t="n">
        <f aca="false">'Loan Tape'!$A56</f>
        <v>0</v>
      </c>
      <c r="C3393" s="99" t="n">
        <f aca="false">IF(1&gt;Debt_Yr,0,IF(1=Debt_Yr,C3090,MIN(C3090,(C969+C1272+C1575+C2181)*Cash_Sweep)))</f>
        <v>0</v>
      </c>
      <c r="D3393" s="99" t="n">
        <f aca="false">IF(2&gt;Debt_Yr,0,IF(2=Debt_Yr,D3090,MIN(D3090,(D969+D1272+D1575+D2181)*Cash_Sweep)))</f>
        <v>0</v>
      </c>
      <c r="E3393" s="99" t="n">
        <f aca="false">IF(3&gt;Debt_Yr,0,IF(3=Debt_Yr,E3090,MIN(E3090,(E969+E1272+E1575+E2181)*Cash_Sweep)))</f>
        <v>0</v>
      </c>
      <c r="F3393" s="99" t="n">
        <f aca="false">IF(4&gt;Debt_Yr,0,IF(4=Debt_Yr,F3090,MIN(F3090,(F969+F1272+F1575+F2181)*Cash_Sweep)))</f>
        <v>0</v>
      </c>
      <c r="G3393" s="99" t="n">
        <f aca="false">IF(5&gt;Debt_Yr,0,IF(5=Debt_Yr,G3090,MIN(G3090,(G969+G1272+G1575+G2181)*Cash_Sweep)))</f>
        <v>0</v>
      </c>
      <c r="H3393" s="99" t="n">
        <f aca="false">IF(6&gt;Debt_Yr,0,IF(6=Debt_Yr,H3090,MIN(H3090,(H969+H1272+H1575+H2181)*Cash_Sweep)))</f>
        <v>0</v>
      </c>
      <c r="I3393" s="99" t="n">
        <f aca="false">IF(7&gt;Debt_Yr,0,IF(7=Debt_Yr,I3090,MIN(I3090,(I969+I1272+I1575+I2181)*Cash_Sweep)))</f>
        <v>0</v>
      </c>
      <c r="J3393" s="99" t="n">
        <f aca="false">IF(8&gt;Debt_Yr,0,IF(8=Debt_Yr,J3090,MIN(J3090,(J969+J1272+J1575+J2181)*Cash_Sweep)))</f>
        <v>0</v>
      </c>
      <c r="K3393" s="99" t="n">
        <f aca="false">IF(9&gt;Debt_Yr,0,IF(9=Debt_Yr,K3090,MIN(K3090,(K969+K1272+K1575+K2181)*Cash_Sweep)))</f>
        <v>0</v>
      </c>
      <c r="L3393" s="99" t="n">
        <f aca="false">IF(10&gt;Debt_Yr,0,IF(10=Debt_Yr,L3090,MIN(L3090,(L969+L1272+L1575+L2181)*Cash_Sweep)))</f>
        <v>0</v>
      </c>
    </row>
    <row r="3394" customFormat="false" ht="15" hidden="false" customHeight="false" outlineLevel="0" collapsed="false">
      <c r="B3394" s="108" t="n">
        <f aca="false">'Loan Tape'!$A57</f>
        <v>0</v>
      </c>
      <c r="C3394" s="71" t="n">
        <f aca="false">IF(1&gt;Debt_Yr,0,IF(1=Debt_Yr,C3091,MIN(C3091,(C970+C1273+C1576+C2182)*Cash_Sweep)))</f>
        <v>0</v>
      </c>
      <c r="D3394" s="71" t="n">
        <f aca="false">IF(2&gt;Debt_Yr,0,IF(2=Debt_Yr,D3091,MIN(D3091,(D970+D1273+D1576+D2182)*Cash_Sweep)))</f>
        <v>0</v>
      </c>
      <c r="E3394" s="71" t="n">
        <f aca="false">IF(3&gt;Debt_Yr,0,IF(3=Debt_Yr,E3091,MIN(E3091,(E970+E1273+E1576+E2182)*Cash_Sweep)))</f>
        <v>0</v>
      </c>
      <c r="F3394" s="71" t="n">
        <f aca="false">IF(4&gt;Debt_Yr,0,IF(4=Debt_Yr,F3091,MIN(F3091,(F970+F1273+F1576+F2182)*Cash_Sweep)))</f>
        <v>0</v>
      </c>
      <c r="G3394" s="71" t="n">
        <f aca="false">IF(5&gt;Debt_Yr,0,IF(5=Debt_Yr,G3091,MIN(G3091,(G970+G1273+G1576+G2182)*Cash_Sweep)))</f>
        <v>0</v>
      </c>
      <c r="H3394" s="71" t="n">
        <f aca="false">IF(6&gt;Debt_Yr,0,IF(6=Debt_Yr,H3091,MIN(H3091,(H970+H1273+H1576+H2182)*Cash_Sweep)))</f>
        <v>0</v>
      </c>
      <c r="I3394" s="71" t="n">
        <f aca="false">IF(7&gt;Debt_Yr,0,IF(7=Debt_Yr,I3091,MIN(I3091,(I970+I1273+I1576+I2182)*Cash_Sweep)))</f>
        <v>0</v>
      </c>
      <c r="J3394" s="71" t="n">
        <f aca="false">IF(8&gt;Debt_Yr,0,IF(8=Debt_Yr,J3091,MIN(J3091,(J970+J1273+J1576+J2182)*Cash_Sweep)))</f>
        <v>0</v>
      </c>
      <c r="K3394" s="71" t="n">
        <f aca="false">IF(9&gt;Debt_Yr,0,IF(9=Debt_Yr,K3091,MIN(K3091,(K970+K1273+K1576+K2182)*Cash_Sweep)))</f>
        <v>0</v>
      </c>
      <c r="L3394" s="71" t="n">
        <f aca="false">IF(10&gt;Debt_Yr,0,IF(10=Debt_Yr,L3091,MIN(L3091,(L970+L1273+L1576+L2182)*Cash_Sweep)))</f>
        <v>0</v>
      </c>
    </row>
    <row r="3395" customFormat="false" ht="15" hidden="false" customHeight="false" outlineLevel="0" collapsed="false">
      <c r="B3395" s="102" t="n">
        <f aca="false">'Loan Tape'!$A58</f>
        <v>0</v>
      </c>
      <c r="C3395" s="99" t="n">
        <f aca="false">IF(1&gt;Debt_Yr,0,IF(1=Debt_Yr,C3092,MIN(C3092,(C971+C1274+C1577+C2183)*Cash_Sweep)))</f>
        <v>0</v>
      </c>
      <c r="D3395" s="99" t="n">
        <f aca="false">IF(2&gt;Debt_Yr,0,IF(2=Debt_Yr,D3092,MIN(D3092,(D971+D1274+D1577+D2183)*Cash_Sweep)))</f>
        <v>0</v>
      </c>
      <c r="E3395" s="99" t="n">
        <f aca="false">IF(3&gt;Debt_Yr,0,IF(3=Debt_Yr,E3092,MIN(E3092,(E971+E1274+E1577+E2183)*Cash_Sweep)))</f>
        <v>0</v>
      </c>
      <c r="F3395" s="99" t="n">
        <f aca="false">IF(4&gt;Debt_Yr,0,IF(4=Debt_Yr,F3092,MIN(F3092,(F971+F1274+F1577+F2183)*Cash_Sweep)))</f>
        <v>0</v>
      </c>
      <c r="G3395" s="99" t="n">
        <f aca="false">IF(5&gt;Debt_Yr,0,IF(5=Debt_Yr,G3092,MIN(G3092,(G971+G1274+G1577+G2183)*Cash_Sweep)))</f>
        <v>0</v>
      </c>
      <c r="H3395" s="99" t="n">
        <f aca="false">IF(6&gt;Debt_Yr,0,IF(6=Debt_Yr,H3092,MIN(H3092,(H971+H1274+H1577+H2183)*Cash_Sweep)))</f>
        <v>0</v>
      </c>
      <c r="I3395" s="99" t="n">
        <f aca="false">IF(7&gt;Debt_Yr,0,IF(7=Debt_Yr,I3092,MIN(I3092,(I971+I1274+I1577+I2183)*Cash_Sweep)))</f>
        <v>0</v>
      </c>
      <c r="J3395" s="99" t="n">
        <f aca="false">IF(8&gt;Debt_Yr,0,IF(8=Debt_Yr,J3092,MIN(J3092,(J971+J1274+J1577+J2183)*Cash_Sweep)))</f>
        <v>0</v>
      </c>
      <c r="K3395" s="99" t="n">
        <f aca="false">IF(9&gt;Debt_Yr,0,IF(9=Debt_Yr,K3092,MIN(K3092,(K971+K1274+K1577+K2183)*Cash_Sweep)))</f>
        <v>0</v>
      </c>
      <c r="L3395" s="99" t="n">
        <f aca="false">IF(10&gt;Debt_Yr,0,IF(10=Debt_Yr,L3092,MIN(L3092,(L971+L1274+L1577+L2183)*Cash_Sweep)))</f>
        <v>0</v>
      </c>
    </row>
    <row r="3396" customFormat="false" ht="15" hidden="false" customHeight="false" outlineLevel="0" collapsed="false">
      <c r="B3396" s="108" t="n">
        <f aca="false">'Loan Tape'!$A59</f>
        <v>0</v>
      </c>
      <c r="C3396" s="71" t="n">
        <f aca="false">IF(1&gt;Debt_Yr,0,IF(1=Debt_Yr,C3093,MIN(C3093,(C972+C1275+C1578+C2184)*Cash_Sweep)))</f>
        <v>0</v>
      </c>
      <c r="D3396" s="71" t="n">
        <f aca="false">IF(2&gt;Debt_Yr,0,IF(2=Debt_Yr,D3093,MIN(D3093,(D972+D1275+D1578+D2184)*Cash_Sweep)))</f>
        <v>0</v>
      </c>
      <c r="E3396" s="71" t="n">
        <f aca="false">IF(3&gt;Debt_Yr,0,IF(3=Debt_Yr,E3093,MIN(E3093,(E972+E1275+E1578+E2184)*Cash_Sweep)))</f>
        <v>0</v>
      </c>
      <c r="F3396" s="71" t="n">
        <f aca="false">IF(4&gt;Debt_Yr,0,IF(4=Debt_Yr,F3093,MIN(F3093,(F972+F1275+F1578+F2184)*Cash_Sweep)))</f>
        <v>0</v>
      </c>
      <c r="G3396" s="71" t="n">
        <f aca="false">IF(5&gt;Debt_Yr,0,IF(5=Debt_Yr,G3093,MIN(G3093,(G972+G1275+G1578+G2184)*Cash_Sweep)))</f>
        <v>0</v>
      </c>
      <c r="H3396" s="71" t="n">
        <f aca="false">IF(6&gt;Debt_Yr,0,IF(6=Debt_Yr,H3093,MIN(H3093,(H972+H1275+H1578+H2184)*Cash_Sweep)))</f>
        <v>0</v>
      </c>
      <c r="I3396" s="71" t="n">
        <f aca="false">IF(7&gt;Debt_Yr,0,IF(7=Debt_Yr,I3093,MIN(I3093,(I972+I1275+I1578+I2184)*Cash_Sweep)))</f>
        <v>0</v>
      </c>
      <c r="J3396" s="71" t="n">
        <f aca="false">IF(8&gt;Debt_Yr,0,IF(8=Debt_Yr,J3093,MIN(J3093,(J972+J1275+J1578+J2184)*Cash_Sweep)))</f>
        <v>0</v>
      </c>
      <c r="K3396" s="71" t="n">
        <f aca="false">IF(9&gt;Debt_Yr,0,IF(9=Debt_Yr,K3093,MIN(K3093,(K972+K1275+K1578+K2184)*Cash_Sweep)))</f>
        <v>0</v>
      </c>
      <c r="L3396" s="71" t="n">
        <f aca="false">IF(10&gt;Debt_Yr,0,IF(10=Debt_Yr,L3093,MIN(L3093,(L972+L1275+L1578+L2184)*Cash_Sweep)))</f>
        <v>0</v>
      </c>
    </row>
    <row r="3397" customFormat="false" ht="15" hidden="false" customHeight="false" outlineLevel="0" collapsed="false">
      <c r="B3397" s="102" t="n">
        <f aca="false">'Loan Tape'!$A60</f>
        <v>0</v>
      </c>
      <c r="C3397" s="99" t="n">
        <f aca="false">IF(1&gt;Debt_Yr,0,IF(1=Debt_Yr,C3094,MIN(C3094,(C973+C1276+C1579+C2185)*Cash_Sweep)))</f>
        <v>0</v>
      </c>
      <c r="D3397" s="99" t="n">
        <f aca="false">IF(2&gt;Debt_Yr,0,IF(2=Debt_Yr,D3094,MIN(D3094,(D973+D1276+D1579+D2185)*Cash_Sweep)))</f>
        <v>0</v>
      </c>
      <c r="E3397" s="99" t="n">
        <f aca="false">IF(3&gt;Debt_Yr,0,IF(3=Debt_Yr,E3094,MIN(E3094,(E973+E1276+E1579+E2185)*Cash_Sweep)))</f>
        <v>0</v>
      </c>
      <c r="F3397" s="99" t="n">
        <f aca="false">IF(4&gt;Debt_Yr,0,IF(4=Debt_Yr,F3094,MIN(F3094,(F973+F1276+F1579+F2185)*Cash_Sweep)))</f>
        <v>0</v>
      </c>
      <c r="G3397" s="99" t="n">
        <f aca="false">IF(5&gt;Debt_Yr,0,IF(5=Debt_Yr,G3094,MIN(G3094,(G973+G1276+G1579+G2185)*Cash_Sweep)))</f>
        <v>0</v>
      </c>
      <c r="H3397" s="99" t="n">
        <f aca="false">IF(6&gt;Debt_Yr,0,IF(6=Debt_Yr,H3094,MIN(H3094,(H973+H1276+H1579+H2185)*Cash_Sweep)))</f>
        <v>0</v>
      </c>
      <c r="I3397" s="99" t="n">
        <f aca="false">IF(7&gt;Debt_Yr,0,IF(7=Debt_Yr,I3094,MIN(I3094,(I973+I1276+I1579+I2185)*Cash_Sweep)))</f>
        <v>0</v>
      </c>
      <c r="J3397" s="99" t="n">
        <f aca="false">IF(8&gt;Debt_Yr,0,IF(8=Debt_Yr,J3094,MIN(J3094,(J973+J1276+J1579+J2185)*Cash_Sweep)))</f>
        <v>0</v>
      </c>
      <c r="K3397" s="99" t="n">
        <f aca="false">IF(9&gt;Debt_Yr,0,IF(9=Debt_Yr,K3094,MIN(K3094,(K973+K1276+K1579+K2185)*Cash_Sweep)))</f>
        <v>0</v>
      </c>
      <c r="L3397" s="99" t="n">
        <f aca="false">IF(10&gt;Debt_Yr,0,IF(10=Debt_Yr,L3094,MIN(L3094,(L973+L1276+L1579+L2185)*Cash_Sweep)))</f>
        <v>0</v>
      </c>
    </row>
    <row r="3398" customFormat="false" ht="15" hidden="false" customHeight="false" outlineLevel="0" collapsed="false">
      <c r="B3398" s="108" t="n">
        <f aca="false">'Loan Tape'!$A61</f>
        <v>0</v>
      </c>
      <c r="C3398" s="71" t="n">
        <f aca="false">IF(1&gt;Debt_Yr,0,IF(1=Debt_Yr,C3095,MIN(C3095,(C974+C1277+C1580+C2186)*Cash_Sweep)))</f>
        <v>0</v>
      </c>
      <c r="D3398" s="71" t="n">
        <f aca="false">IF(2&gt;Debt_Yr,0,IF(2=Debt_Yr,D3095,MIN(D3095,(D974+D1277+D1580+D2186)*Cash_Sweep)))</f>
        <v>0</v>
      </c>
      <c r="E3398" s="71" t="n">
        <f aca="false">IF(3&gt;Debt_Yr,0,IF(3=Debt_Yr,E3095,MIN(E3095,(E974+E1277+E1580+E2186)*Cash_Sweep)))</f>
        <v>0</v>
      </c>
      <c r="F3398" s="71" t="n">
        <f aca="false">IF(4&gt;Debt_Yr,0,IF(4=Debt_Yr,F3095,MIN(F3095,(F974+F1277+F1580+F2186)*Cash_Sweep)))</f>
        <v>0</v>
      </c>
      <c r="G3398" s="71" t="n">
        <f aca="false">IF(5&gt;Debt_Yr,0,IF(5=Debt_Yr,G3095,MIN(G3095,(G974+G1277+G1580+G2186)*Cash_Sweep)))</f>
        <v>0</v>
      </c>
      <c r="H3398" s="71" t="n">
        <f aca="false">IF(6&gt;Debt_Yr,0,IF(6=Debt_Yr,H3095,MIN(H3095,(H974+H1277+H1580+H2186)*Cash_Sweep)))</f>
        <v>0</v>
      </c>
      <c r="I3398" s="71" t="n">
        <f aca="false">IF(7&gt;Debt_Yr,0,IF(7=Debt_Yr,I3095,MIN(I3095,(I974+I1277+I1580+I2186)*Cash_Sweep)))</f>
        <v>0</v>
      </c>
      <c r="J3398" s="71" t="n">
        <f aca="false">IF(8&gt;Debt_Yr,0,IF(8=Debt_Yr,J3095,MIN(J3095,(J974+J1277+J1580+J2186)*Cash_Sweep)))</f>
        <v>0</v>
      </c>
      <c r="K3398" s="71" t="n">
        <f aca="false">IF(9&gt;Debt_Yr,0,IF(9=Debt_Yr,K3095,MIN(K3095,(K974+K1277+K1580+K2186)*Cash_Sweep)))</f>
        <v>0</v>
      </c>
      <c r="L3398" s="71" t="n">
        <f aca="false">IF(10&gt;Debt_Yr,0,IF(10=Debt_Yr,L3095,MIN(L3095,(L974+L1277+L1580+L2186)*Cash_Sweep)))</f>
        <v>0</v>
      </c>
    </row>
    <row r="3399" customFormat="false" ht="15" hidden="false" customHeight="false" outlineLevel="0" collapsed="false">
      <c r="B3399" s="102" t="n">
        <f aca="false">'Loan Tape'!$A62</f>
        <v>0</v>
      </c>
      <c r="C3399" s="99" t="n">
        <f aca="false">IF(1&gt;Debt_Yr,0,IF(1=Debt_Yr,C3096,MIN(C3096,(C975+C1278+C1581+C2187)*Cash_Sweep)))</f>
        <v>0</v>
      </c>
      <c r="D3399" s="99" t="n">
        <f aca="false">IF(2&gt;Debt_Yr,0,IF(2=Debt_Yr,D3096,MIN(D3096,(D975+D1278+D1581+D2187)*Cash_Sweep)))</f>
        <v>0</v>
      </c>
      <c r="E3399" s="99" t="n">
        <f aca="false">IF(3&gt;Debt_Yr,0,IF(3=Debt_Yr,E3096,MIN(E3096,(E975+E1278+E1581+E2187)*Cash_Sweep)))</f>
        <v>0</v>
      </c>
      <c r="F3399" s="99" t="n">
        <f aca="false">IF(4&gt;Debt_Yr,0,IF(4=Debt_Yr,F3096,MIN(F3096,(F975+F1278+F1581+F2187)*Cash_Sweep)))</f>
        <v>0</v>
      </c>
      <c r="G3399" s="99" t="n">
        <f aca="false">IF(5&gt;Debt_Yr,0,IF(5=Debt_Yr,G3096,MIN(G3096,(G975+G1278+G1581+G2187)*Cash_Sweep)))</f>
        <v>0</v>
      </c>
      <c r="H3399" s="99" t="n">
        <f aca="false">IF(6&gt;Debt_Yr,0,IF(6=Debt_Yr,H3096,MIN(H3096,(H975+H1278+H1581+H2187)*Cash_Sweep)))</f>
        <v>0</v>
      </c>
      <c r="I3399" s="99" t="n">
        <f aca="false">IF(7&gt;Debt_Yr,0,IF(7=Debt_Yr,I3096,MIN(I3096,(I975+I1278+I1581+I2187)*Cash_Sweep)))</f>
        <v>0</v>
      </c>
      <c r="J3399" s="99" t="n">
        <f aca="false">IF(8&gt;Debt_Yr,0,IF(8=Debt_Yr,J3096,MIN(J3096,(J975+J1278+J1581+J2187)*Cash_Sweep)))</f>
        <v>0</v>
      </c>
      <c r="K3399" s="99" t="n">
        <f aca="false">IF(9&gt;Debt_Yr,0,IF(9=Debt_Yr,K3096,MIN(K3096,(K975+K1278+K1581+K2187)*Cash_Sweep)))</f>
        <v>0</v>
      </c>
      <c r="L3399" s="99" t="n">
        <f aca="false">IF(10&gt;Debt_Yr,0,IF(10=Debt_Yr,L3096,MIN(L3096,(L975+L1278+L1581+L2187)*Cash_Sweep)))</f>
        <v>0</v>
      </c>
    </row>
    <row r="3400" customFormat="false" ht="15" hidden="false" customHeight="false" outlineLevel="0" collapsed="false">
      <c r="B3400" s="108" t="n">
        <f aca="false">'Loan Tape'!$A63</f>
        <v>0</v>
      </c>
      <c r="C3400" s="71" t="n">
        <f aca="false">IF(1&gt;Debt_Yr,0,IF(1=Debt_Yr,C3097,MIN(C3097,(C976+C1279+C1582+C2188)*Cash_Sweep)))</f>
        <v>0</v>
      </c>
      <c r="D3400" s="71" t="n">
        <f aca="false">IF(2&gt;Debt_Yr,0,IF(2=Debt_Yr,D3097,MIN(D3097,(D976+D1279+D1582+D2188)*Cash_Sweep)))</f>
        <v>0</v>
      </c>
      <c r="E3400" s="71" t="n">
        <f aca="false">IF(3&gt;Debt_Yr,0,IF(3=Debt_Yr,E3097,MIN(E3097,(E976+E1279+E1582+E2188)*Cash_Sweep)))</f>
        <v>0</v>
      </c>
      <c r="F3400" s="71" t="n">
        <f aca="false">IF(4&gt;Debt_Yr,0,IF(4=Debt_Yr,F3097,MIN(F3097,(F976+F1279+F1582+F2188)*Cash_Sweep)))</f>
        <v>0</v>
      </c>
      <c r="G3400" s="71" t="n">
        <f aca="false">IF(5&gt;Debt_Yr,0,IF(5=Debt_Yr,G3097,MIN(G3097,(G976+G1279+G1582+G2188)*Cash_Sweep)))</f>
        <v>0</v>
      </c>
      <c r="H3400" s="71" t="n">
        <f aca="false">IF(6&gt;Debt_Yr,0,IF(6=Debt_Yr,H3097,MIN(H3097,(H976+H1279+H1582+H2188)*Cash_Sweep)))</f>
        <v>0</v>
      </c>
      <c r="I3400" s="71" t="n">
        <f aca="false">IF(7&gt;Debt_Yr,0,IF(7=Debt_Yr,I3097,MIN(I3097,(I976+I1279+I1582+I2188)*Cash_Sweep)))</f>
        <v>0</v>
      </c>
      <c r="J3400" s="71" t="n">
        <f aca="false">IF(8&gt;Debt_Yr,0,IF(8=Debt_Yr,J3097,MIN(J3097,(J976+J1279+J1582+J2188)*Cash_Sweep)))</f>
        <v>0</v>
      </c>
      <c r="K3400" s="71" t="n">
        <f aca="false">IF(9&gt;Debt_Yr,0,IF(9=Debt_Yr,K3097,MIN(K3097,(K976+K1279+K1582+K2188)*Cash_Sweep)))</f>
        <v>0</v>
      </c>
      <c r="L3400" s="71" t="n">
        <f aca="false">IF(10&gt;Debt_Yr,0,IF(10=Debt_Yr,L3097,MIN(L3097,(L976+L1279+L1582+L2188)*Cash_Sweep)))</f>
        <v>0</v>
      </c>
    </row>
    <row r="3401" customFormat="false" ht="15" hidden="false" customHeight="false" outlineLevel="0" collapsed="false">
      <c r="B3401" s="102" t="n">
        <f aca="false">'Loan Tape'!$A64</f>
        <v>0</v>
      </c>
      <c r="C3401" s="99" t="n">
        <f aca="false">IF(1&gt;Debt_Yr,0,IF(1=Debt_Yr,C3098,MIN(C3098,(C977+C1280+C1583+C2189)*Cash_Sweep)))</f>
        <v>0</v>
      </c>
      <c r="D3401" s="99" t="n">
        <f aca="false">IF(2&gt;Debt_Yr,0,IF(2=Debt_Yr,D3098,MIN(D3098,(D977+D1280+D1583+D2189)*Cash_Sweep)))</f>
        <v>0</v>
      </c>
      <c r="E3401" s="99" t="n">
        <f aca="false">IF(3&gt;Debt_Yr,0,IF(3=Debt_Yr,E3098,MIN(E3098,(E977+E1280+E1583+E2189)*Cash_Sweep)))</f>
        <v>0</v>
      </c>
      <c r="F3401" s="99" t="n">
        <f aca="false">IF(4&gt;Debt_Yr,0,IF(4=Debt_Yr,F3098,MIN(F3098,(F977+F1280+F1583+F2189)*Cash_Sweep)))</f>
        <v>0</v>
      </c>
      <c r="G3401" s="99" t="n">
        <f aca="false">IF(5&gt;Debt_Yr,0,IF(5=Debt_Yr,G3098,MIN(G3098,(G977+G1280+G1583+G2189)*Cash_Sweep)))</f>
        <v>0</v>
      </c>
      <c r="H3401" s="99" t="n">
        <f aca="false">IF(6&gt;Debt_Yr,0,IF(6=Debt_Yr,H3098,MIN(H3098,(H977+H1280+H1583+H2189)*Cash_Sweep)))</f>
        <v>0</v>
      </c>
      <c r="I3401" s="99" t="n">
        <f aca="false">IF(7&gt;Debt_Yr,0,IF(7=Debt_Yr,I3098,MIN(I3098,(I977+I1280+I1583+I2189)*Cash_Sweep)))</f>
        <v>0</v>
      </c>
      <c r="J3401" s="99" t="n">
        <f aca="false">IF(8&gt;Debt_Yr,0,IF(8=Debt_Yr,J3098,MIN(J3098,(J977+J1280+J1583+J2189)*Cash_Sweep)))</f>
        <v>0</v>
      </c>
      <c r="K3401" s="99" t="n">
        <f aca="false">IF(9&gt;Debt_Yr,0,IF(9=Debt_Yr,K3098,MIN(K3098,(K977+K1280+K1583+K2189)*Cash_Sweep)))</f>
        <v>0</v>
      </c>
      <c r="L3401" s="99" t="n">
        <f aca="false">IF(10&gt;Debt_Yr,0,IF(10=Debt_Yr,L3098,MIN(L3098,(L977+L1280+L1583+L2189)*Cash_Sweep)))</f>
        <v>0</v>
      </c>
    </row>
    <row r="3402" customFormat="false" ht="15" hidden="false" customHeight="false" outlineLevel="0" collapsed="false">
      <c r="B3402" s="108" t="n">
        <f aca="false">'Loan Tape'!$A65</f>
        <v>0</v>
      </c>
      <c r="C3402" s="71" t="n">
        <f aca="false">IF(1&gt;Debt_Yr,0,IF(1=Debt_Yr,C3099,MIN(C3099,(C978+C1281+C1584+C2190)*Cash_Sweep)))</f>
        <v>0</v>
      </c>
      <c r="D3402" s="71" t="n">
        <f aca="false">IF(2&gt;Debt_Yr,0,IF(2=Debt_Yr,D3099,MIN(D3099,(D978+D1281+D1584+D2190)*Cash_Sweep)))</f>
        <v>0</v>
      </c>
      <c r="E3402" s="71" t="n">
        <f aca="false">IF(3&gt;Debt_Yr,0,IF(3=Debt_Yr,E3099,MIN(E3099,(E978+E1281+E1584+E2190)*Cash_Sweep)))</f>
        <v>0</v>
      </c>
      <c r="F3402" s="71" t="n">
        <f aca="false">IF(4&gt;Debt_Yr,0,IF(4=Debt_Yr,F3099,MIN(F3099,(F978+F1281+F1584+F2190)*Cash_Sweep)))</f>
        <v>0</v>
      </c>
      <c r="G3402" s="71" t="n">
        <f aca="false">IF(5&gt;Debt_Yr,0,IF(5=Debt_Yr,G3099,MIN(G3099,(G978+G1281+G1584+G2190)*Cash_Sweep)))</f>
        <v>0</v>
      </c>
      <c r="H3402" s="71" t="n">
        <f aca="false">IF(6&gt;Debt_Yr,0,IF(6=Debt_Yr,H3099,MIN(H3099,(H978+H1281+H1584+H2190)*Cash_Sweep)))</f>
        <v>0</v>
      </c>
      <c r="I3402" s="71" t="n">
        <f aca="false">IF(7&gt;Debt_Yr,0,IF(7=Debt_Yr,I3099,MIN(I3099,(I978+I1281+I1584+I2190)*Cash_Sweep)))</f>
        <v>0</v>
      </c>
      <c r="J3402" s="71" t="n">
        <f aca="false">IF(8&gt;Debt_Yr,0,IF(8=Debt_Yr,J3099,MIN(J3099,(J978+J1281+J1584+J2190)*Cash_Sweep)))</f>
        <v>0</v>
      </c>
      <c r="K3402" s="71" t="n">
        <f aca="false">IF(9&gt;Debt_Yr,0,IF(9=Debt_Yr,K3099,MIN(K3099,(K978+K1281+K1584+K2190)*Cash_Sweep)))</f>
        <v>0</v>
      </c>
      <c r="L3402" s="71" t="n">
        <f aca="false">IF(10&gt;Debt_Yr,0,IF(10=Debt_Yr,L3099,MIN(L3099,(L978+L1281+L1584+L2190)*Cash_Sweep)))</f>
        <v>0</v>
      </c>
    </row>
    <row r="3403" customFormat="false" ht="15" hidden="false" customHeight="false" outlineLevel="0" collapsed="false">
      <c r="B3403" s="102" t="n">
        <f aca="false">'Loan Tape'!$A66</f>
        <v>0</v>
      </c>
      <c r="C3403" s="99" t="n">
        <f aca="false">IF(1&gt;Debt_Yr,0,IF(1=Debt_Yr,C3100,MIN(C3100,(C979+C1282+C1585+C2191)*Cash_Sweep)))</f>
        <v>0</v>
      </c>
      <c r="D3403" s="99" t="n">
        <f aca="false">IF(2&gt;Debt_Yr,0,IF(2=Debt_Yr,D3100,MIN(D3100,(D979+D1282+D1585+D2191)*Cash_Sweep)))</f>
        <v>0</v>
      </c>
      <c r="E3403" s="99" t="n">
        <f aca="false">IF(3&gt;Debt_Yr,0,IF(3=Debt_Yr,E3100,MIN(E3100,(E979+E1282+E1585+E2191)*Cash_Sweep)))</f>
        <v>0</v>
      </c>
      <c r="F3403" s="99" t="n">
        <f aca="false">IF(4&gt;Debt_Yr,0,IF(4=Debt_Yr,F3100,MIN(F3100,(F979+F1282+F1585+F2191)*Cash_Sweep)))</f>
        <v>0</v>
      </c>
      <c r="G3403" s="99" t="n">
        <f aca="false">IF(5&gt;Debt_Yr,0,IF(5=Debt_Yr,G3100,MIN(G3100,(G979+G1282+G1585+G2191)*Cash_Sweep)))</f>
        <v>0</v>
      </c>
      <c r="H3403" s="99" t="n">
        <f aca="false">IF(6&gt;Debt_Yr,0,IF(6=Debt_Yr,H3100,MIN(H3100,(H979+H1282+H1585+H2191)*Cash_Sweep)))</f>
        <v>0</v>
      </c>
      <c r="I3403" s="99" t="n">
        <f aca="false">IF(7&gt;Debt_Yr,0,IF(7=Debt_Yr,I3100,MIN(I3100,(I979+I1282+I1585+I2191)*Cash_Sweep)))</f>
        <v>0</v>
      </c>
      <c r="J3403" s="99" t="n">
        <f aca="false">IF(8&gt;Debt_Yr,0,IF(8=Debt_Yr,J3100,MIN(J3100,(J979+J1282+J1585+J2191)*Cash_Sweep)))</f>
        <v>0</v>
      </c>
      <c r="K3403" s="99" t="n">
        <f aca="false">IF(9&gt;Debt_Yr,0,IF(9=Debt_Yr,K3100,MIN(K3100,(K979+K1282+K1585+K2191)*Cash_Sweep)))</f>
        <v>0</v>
      </c>
      <c r="L3403" s="99" t="n">
        <f aca="false">IF(10&gt;Debt_Yr,0,IF(10=Debt_Yr,L3100,MIN(L3100,(L979+L1282+L1585+L2191)*Cash_Sweep)))</f>
        <v>0</v>
      </c>
    </row>
    <row r="3404" customFormat="false" ht="15" hidden="false" customHeight="false" outlineLevel="0" collapsed="false">
      <c r="B3404" s="108" t="n">
        <f aca="false">'Loan Tape'!$A67</f>
        <v>0</v>
      </c>
      <c r="C3404" s="71" t="n">
        <f aca="false">IF(1&gt;Debt_Yr,0,IF(1=Debt_Yr,C3101,MIN(C3101,(C980+C1283+C1586+C2192)*Cash_Sweep)))</f>
        <v>0</v>
      </c>
      <c r="D3404" s="71" t="n">
        <f aca="false">IF(2&gt;Debt_Yr,0,IF(2=Debt_Yr,D3101,MIN(D3101,(D980+D1283+D1586+D2192)*Cash_Sweep)))</f>
        <v>0</v>
      </c>
      <c r="E3404" s="71" t="n">
        <f aca="false">IF(3&gt;Debt_Yr,0,IF(3=Debt_Yr,E3101,MIN(E3101,(E980+E1283+E1586+E2192)*Cash_Sweep)))</f>
        <v>0</v>
      </c>
      <c r="F3404" s="71" t="n">
        <f aca="false">IF(4&gt;Debt_Yr,0,IF(4=Debt_Yr,F3101,MIN(F3101,(F980+F1283+F1586+F2192)*Cash_Sweep)))</f>
        <v>0</v>
      </c>
      <c r="G3404" s="71" t="n">
        <f aca="false">IF(5&gt;Debt_Yr,0,IF(5=Debt_Yr,G3101,MIN(G3101,(G980+G1283+G1586+G2192)*Cash_Sweep)))</f>
        <v>0</v>
      </c>
      <c r="H3404" s="71" t="n">
        <f aca="false">IF(6&gt;Debt_Yr,0,IF(6=Debt_Yr,H3101,MIN(H3101,(H980+H1283+H1586+H2192)*Cash_Sweep)))</f>
        <v>0</v>
      </c>
      <c r="I3404" s="71" t="n">
        <f aca="false">IF(7&gt;Debt_Yr,0,IF(7=Debt_Yr,I3101,MIN(I3101,(I980+I1283+I1586+I2192)*Cash_Sweep)))</f>
        <v>0</v>
      </c>
      <c r="J3404" s="71" t="n">
        <f aca="false">IF(8&gt;Debt_Yr,0,IF(8=Debt_Yr,J3101,MIN(J3101,(J980+J1283+J1586+J2192)*Cash_Sweep)))</f>
        <v>0</v>
      </c>
      <c r="K3404" s="71" t="n">
        <f aca="false">IF(9&gt;Debt_Yr,0,IF(9=Debt_Yr,K3101,MIN(K3101,(K980+K1283+K1586+K2192)*Cash_Sweep)))</f>
        <v>0</v>
      </c>
      <c r="L3404" s="71" t="n">
        <f aca="false">IF(10&gt;Debt_Yr,0,IF(10=Debt_Yr,L3101,MIN(L3101,(L980+L1283+L1586+L2192)*Cash_Sweep)))</f>
        <v>0</v>
      </c>
    </row>
    <row r="3405" customFormat="false" ht="15" hidden="false" customHeight="false" outlineLevel="0" collapsed="false">
      <c r="B3405" s="102" t="n">
        <f aca="false">'Loan Tape'!$A68</f>
        <v>0</v>
      </c>
      <c r="C3405" s="99" t="n">
        <f aca="false">IF(1&gt;Debt_Yr,0,IF(1=Debt_Yr,C3102,MIN(C3102,(C981+C1284+C1587+C2193)*Cash_Sweep)))</f>
        <v>0</v>
      </c>
      <c r="D3405" s="99" t="n">
        <f aca="false">IF(2&gt;Debt_Yr,0,IF(2=Debt_Yr,D3102,MIN(D3102,(D981+D1284+D1587+D2193)*Cash_Sweep)))</f>
        <v>0</v>
      </c>
      <c r="E3405" s="99" t="n">
        <f aca="false">IF(3&gt;Debt_Yr,0,IF(3=Debt_Yr,E3102,MIN(E3102,(E981+E1284+E1587+E2193)*Cash_Sweep)))</f>
        <v>0</v>
      </c>
      <c r="F3405" s="99" t="n">
        <f aca="false">IF(4&gt;Debt_Yr,0,IF(4=Debt_Yr,F3102,MIN(F3102,(F981+F1284+F1587+F2193)*Cash_Sweep)))</f>
        <v>0</v>
      </c>
      <c r="G3405" s="99" t="n">
        <f aca="false">IF(5&gt;Debt_Yr,0,IF(5=Debt_Yr,G3102,MIN(G3102,(G981+G1284+G1587+G2193)*Cash_Sweep)))</f>
        <v>0</v>
      </c>
      <c r="H3405" s="99" t="n">
        <f aca="false">IF(6&gt;Debt_Yr,0,IF(6=Debt_Yr,H3102,MIN(H3102,(H981+H1284+H1587+H2193)*Cash_Sweep)))</f>
        <v>0</v>
      </c>
      <c r="I3405" s="99" t="n">
        <f aca="false">IF(7&gt;Debt_Yr,0,IF(7=Debt_Yr,I3102,MIN(I3102,(I981+I1284+I1587+I2193)*Cash_Sweep)))</f>
        <v>0</v>
      </c>
      <c r="J3405" s="99" t="n">
        <f aca="false">IF(8&gt;Debt_Yr,0,IF(8=Debt_Yr,J3102,MIN(J3102,(J981+J1284+J1587+J2193)*Cash_Sweep)))</f>
        <v>0</v>
      </c>
      <c r="K3405" s="99" t="n">
        <f aca="false">IF(9&gt;Debt_Yr,0,IF(9=Debt_Yr,K3102,MIN(K3102,(K981+K1284+K1587+K2193)*Cash_Sweep)))</f>
        <v>0</v>
      </c>
      <c r="L3405" s="99" t="n">
        <f aca="false">IF(10&gt;Debt_Yr,0,IF(10=Debt_Yr,L3102,MIN(L3102,(L981+L1284+L1587+L2193)*Cash_Sweep)))</f>
        <v>0</v>
      </c>
    </row>
    <row r="3406" customFormat="false" ht="15" hidden="false" customHeight="false" outlineLevel="0" collapsed="false">
      <c r="B3406" s="108" t="n">
        <f aca="false">'Loan Tape'!$A69</f>
        <v>0</v>
      </c>
      <c r="C3406" s="71" t="n">
        <f aca="false">IF(1&gt;Debt_Yr,0,IF(1=Debt_Yr,C3103,MIN(C3103,(C982+C1285+C1588+C2194)*Cash_Sweep)))</f>
        <v>0</v>
      </c>
      <c r="D3406" s="71" t="n">
        <f aca="false">IF(2&gt;Debt_Yr,0,IF(2=Debt_Yr,D3103,MIN(D3103,(D982+D1285+D1588+D2194)*Cash_Sweep)))</f>
        <v>0</v>
      </c>
      <c r="E3406" s="71" t="n">
        <f aca="false">IF(3&gt;Debt_Yr,0,IF(3=Debt_Yr,E3103,MIN(E3103,(E982+E1285+E1588+E2194)*Cash_Sweep)))</f>
        <v>0</v>
      </c>
      <c r="F3406" s="71" t="n">
        <f aca="false">IF(4&gt;Debt_Yr,0,IF(4=Debt_Yr,F3103,MIN(F3103,(F982+F1285+F1588+F2194)*Cash_Sweep)))</f>
        <v>0</v>
      </c>
      <c r="G3406" s="71" t="n">
        <f aca="false">IF(5&gt;Debt_Yr,0,IF(5=Debt_Yr,G3103,MIN(G3103,(G982+G1285+G1588+G2194)*Cash_Sweep)))</f>
        <v>0</v>
      </c>
      <c r="H3406" s="71" t="n">
        <f aca="false">IF(6&gt;Debt_Yr,0,IF(6=Debt_Yr,H3103,MIN(H3103,(H982+H1285+H1588+H2194)*Cash_Sweep)))</f>
        <v>0</v>
      </c>
      <c r="I3406" s="71" t="n">
        <f aca="false">IF(7&gt;Debt_Yr,0,IF(7=Debt_Yr,I3103,MIN(I3103,(I982+I1285+I1588+I2194)*Cash_Sweep)))</f>
        <v>0</v>
      </c>
      <c r="J3406" s="71" t="n">
        <f aca="false">IF(8&gt;Debt_Yr,0,IF(8=Debt_Yr,J3103,MIN(J3103,(J982+J1285+J1588+J2194)*Cash_Sweep)))</f>
        <v>0</v>
      </c>
      <c r="K3406" s="71" t="n">
        <f aca="false">IF(9&gt;Debt_Yr,0,IF(9=Debt_Yr,K3103,MIN(K3103,(K982+K1285+K1588+K2194)*Cash_Sweep)))</f>
        <v>0</v>
      </c>
      <c r="L3406" s="71" t="n">
        <f aca="false">IF(10&gt;Debt_Yr,0,IF(10=Debt_Yr,L3103,MIN(L3103,(L982+L1285+L1588+L2194)*Cash_Sweep)))</f>
        <v>0</v>
      </c>
    </row>
    <row r="3407" customFormat="false" ht="15" hidden="false" customHeight="false" outlineLevel="0" collapsed="false">
      <c r="B3407" s="102" t="n">
        <f aca="false">'Loan Tape'!$A70</f>
        <v>0</v>
      </c>
      <c r="C3407" s="99" t="n">
        <f aca="false">IF(1&gt;Debt_Yr,0,IF(1=Debt_Yr,C3104,MIN(C3104,(C983+C1286+C1589+C2195)*Cash_Sweep)))</f>
        <v>0</v>
      </c>
      <c r="D3407" s="99" t="n">
        <f aca="false">IF(2&gt;Debt_Yr,0,IF(2=Debt_Yr,D3104,MIN(D3104,(D983+D1286+D1589+D2195)*Cash_Sweep)))</f>
        <v>0</v>
      </c>
      <c r="E3407" s="99" t="n">
        <f aca="false">IF(3&gt;Debt_Yr,0,IF(3=Debt_Yr,E3104,MIN(E3104,(E983+E1286+E1589+E2195)*Cash_Sweep)))</f>
        <v>0</v>
      </c>
      <c r="F3407" s="99" t="n">
        <f aca="false">IF(4&gt;Debt_Yr,0,IF(4=Debt_Yr,F3104,MIN(F3104,(F983+F1286+F1589+F2195)*Cash_Sweep)))</f>
        <v>0</v>
      </c>
      <c r="G3407" s="99" t="n">
        <f aca="false">IF(5&gt;Debt_Yr,0,IF(5=Debt_Yr,G3104,MIN(G3104,(G983+G1286+G1589+G2195)*Cash_Sweep)))</f>
        <v>0</v>
      </c>
      <c r="H3407" s="99" t="n">
        <f aca="false">IF(6&gt;Debt_Yr,0,IF(6=Debt_Yr,H3104,MIN(H3104,(H983+H1286+H1589+H2195)*Cash_Sweep)))</f>
        <v>0</v>
      </c>
      <c r="I3407" s="99" t="n">
        <f aca="false">IF(7&gt;Debt_Yr,0,IF(7=Debt_Yr,I3104,MIN(I3104,(I983+I1286+I1589+I2195)*Cash_Sweep)))</f>
        <v>0</v>
      </c>
      <c r="J3407" s="99" t="n">
        <f aca="false">IF(8&gt;Debt_Yr,0,IF(8=Debt_Yr,J3104,MIN(J3104,(J983+J1286+J1589+J2195)*Cash_Sweep)))</f>
        <v>0</v>
      </c>
      <c r="K3407" s="99" t="n">
        <f aca="false">IF(9&gt;Debt_Yr,0,IF(9=Debt_Yr,K3104,MIN(K3104,(K983+K1286+K1589+K2195)*Cash_Sweep)))</f>
        <v>0</v>
      </c>
      <c r="L3407" s="99" t="n">
        <f aca="false">IF(10&gt;Debt_Yr,0,IF(10=Debt_Yr,L3104,MIN(L3104,(L983+L1286+L1589+L2195)*Cash_Sweep)))</f>
        <v>0</v>
      </c>
    </row>
    <row r="3408" customFormat="false" ht="15" hidden="false" customHeight="false" outlineLevel="0" collapsed="false">
      <c r="B3408" s="108" t="n">
        <f aca="false">'Loan Tape'!$A71</f>
        <v>0</v>
      </c>
      <c r="C3408" s="71" t="n">
        <f aca="false">IF(1&gt;Debt_Yr,0,IF(1=Debt_Yr,C3105,MIN(C3105,(C984+C1287+C1590+C2196)*Cash_Sweep)))</f>
        <v>0</v>
      </c>
      <c r="D3408" s="71" t="n">
        <f aca="false">IF(2&gt;Debt_Yr,0,IF(2=Debt_Yr,D3105,MIN(D3105,(D984+D1287+D1590+D2196)*Cash_Sweep)))</f>
        <v>0</v>
      </c>
      <c r="E3408" s="71" t="n">
        <f aca="false">IF(3&gt;Debt_Yr,0,IF(3=Debt_Yr,E3105,MIN(E3105,(E984+E1287+E1590+E2196)*Cash_Sweep)))</f>
        <v>0</v>
      </c>
      <c r="F3408" s="71" t="n">
        <f aca="false">IF(4&gt;Debt_Yr,0,IF(4=Debt_Yr,F3105,MIN(F3105,(F984+F1287+F1590+F2196)*Cash_Sweep)))</f>
        <v>0</v>
      </c>
      <c r="G3408" s="71" t="n">
        <f aca="false">IF(5&gt;Debt_Yr,0,IF(5=Debt_Yr,G3105,MIN(G3105,(G984+G1287+G1590+G2196)*Cash_Sweep)))</f>
        <v>0</v>
      </c>
      <c r="H3408" s="71" t="n">
        <f aca="false">IF(6&gt;Debt_Yr,0,IF(6=Debt_Yr,H3105,MIN(H3105,(H984+H1287+H1590+H2196)*Cash_Sweep)))</f>
        <v>0</v>
      </c>
      <c r="I3408" s="71" t="n">
        <f aca="false">IF(7&gt;Debt_Yr,0,IF(7=Debt_Yr,I3105,MIN(I3105,(I984+I1287+I1590+I2196)*Cash_Sweep)))</f>
        <v>0</v>
      </c>
      <c r="J3408" s="71" t="n">
        <f aca="false">IF(8&gt;Debt_Yr,0,IF(8=Debt_Yr,J3105,MIN(J3105,(J984+J1287+J1590+J2196)*Cash_Sweep)))</f>
        <v>0</v>
      </c>
      <c r="K3408" s="71" t="n">
        <f aca="false">IF(9&gt;Debt_Yr,0,IF(9=Debt_Yr,K3105,MIN(K3105,(K984+K1287+K1590+K2196)*Cash_Sweep)))</f>
        <v>0</v>
      </c>
      <c r="L3408" s="71" t="n">
        <f aca="false">IF(10&gt;Debt_Yr,0,IF(10=Debt_Yr,L3105,MIN(L3105,(L984+L1287+L1590+L2196)*Cash_Sweep)))</f>
        <v>0</v>
      </c>
    </row>
    <row r="3409" customFormat="false" ht="15" hidden="false" customHeight="false" outlineLevel="0" collapsed="false">
      <c r="B3409" s="102" t="n">
        <f aca="false">'Loan Tape'!$A72</f>
        <v>0</v>
      </c>
      <c r="C3409" s="99" t="n">
        <f aca="false">IF(1&gt;Debt_Yr,0,IF(1=Debt_Yr,C3106,MIN(C3106,(C985+C1288+C1591+C2197)*Cash_Sweep)))</f>
        <v>0</v>
      </c>
      <c r="D3409" s="99" t="n">
        <f aca="false">IF(2&gt;Debt_Yr,0,IF(2=Debt_Yr,D3106,MIN(D3106,(D985+D1288+D1591+D2197)*Cash_Sweep)))</f>
        <v>0</v>
      </c>
      <c r="E3409" s="99" t="n">
        <f aca="false">IF(3&gt;Debt_Yr,0,IF(3=Debt_Yr,E3106,MIN(E3106,(E985+E1288+E1591+E2197)*Cash_Sweep)))</f>
        <v>0</v>
      </c>
      <c r="F3409" s="99" t="n">
        <f aca="false">IF(4&gt;Debt_Yr,0,IF(4=Debt_Yr,F3106,MIN(F3106,(F985+F1288+F1591+F2197)*Cash_Sweep)))</f>
        <v>0</v>
      </c>
      <c r="G3409" s="99" t="n">
        <f aca="false">IF(5&gt;Debt_Yr,0,IF(5=Debt_Yr,G3106,MIN(G3106,(G985+G1288+G1591+G2197)*Cash_Sweep)))</f>
        <v>0</v>
      </c>
      <c r="H3409" s="99" t="n">
        <f aca="false">IF(6&gt;Debt_Yr,0,IF(6=Debt_Yr,H3106,MIN(H3106,(H985+H1288+H1591+H2197)*Cash_Sweep)))</f>
        <v>0</v>
      </c>
      <c r="I3409" s="99" t="n">
        <f aca="false">IF(7&gt;Debt_Yr,0,IF(7=Debt_Yr,I3106,MIN(I3106,(I985+I1288+I1591+I2197)*Cash_Sweep)))</f>
        <v>0</v>
      </c>
      <c r="J3409" s="99" t="n">
        <f aca="false">IF(8&gt;Debt_Yr,0,IF(8=Debt_Yr,J3106,MIN(J3106,(J985+J1288+J1591+J2197)*Cash_Sweep)))</f>
        <v>0</v>
      </c>
      <c r="K3409" s="99" t="n">
        <f aca="false">IF(9&gt;Debt_Yr,0,IF(9=Debt_Yr,K3106,MIN(K3106,(K985+K1288+K1591+K2197)*Cash_Sweep)))</f>
        <v>0</v>
      </c>
      <c r="L3409" s="99" t="n">
        <f aca="false">IF(10&gt;Debt_Yr,0,IF(10=Debt_Yr,L3106,MIN(L3106,(L985+L1288+L1591+L2197)*Cash_Sweep)))</f>
        <v>0</v>
      </c>
    </row>
    <row r="3410" customFormat="false" ht="15" hidden="false" customHeight="false" outlineLevel="0" collapsed="false">
      <c r="B3410" s="108" t="n">
        <f aca="false">'Loan Tape'!$A73</f>
        <v>0</v>
      </c>
      <c r="C3410" s="71" t="n">
        <f aca="false">IF(1&gt;Debt_Yr,0,IF(1=Debt_Yr,C3107,MIN(C3107,(C986+C1289+C1592+C2198)*Cash_Sweep)))</f>
        <v>0</v>
      </c>
      <c r="D3410" s="71" t="n">
        <f aca="false">IF(2&gt;Debt_Yr,0,IF(2=Debt_Yr,D3107,MIN(D3107,(D986+D1289+D1592+D2198)*Cash_Sweep)))</f>
        <v>0</v>
      </c>
      <c r="E3410" s="71" t="n">
        <f aca="false">IF(3&gt;Debt_Yr,0,IF(3=Debt_Yr,E3107,MIN(E3107,(E986+E1289+E1592+E2198)*Cash_Sweep)))</f>
        <v>0</v>
      </c>
      <c r="F3410" s="71" t="n">
        <f aca="false">IF(4&gt;Debt_Yr,0,IF(4=Debt_Yr,F3107,MIN(F3107,(F986+F1289+F1592+F2198)*Cash_Sweep)))</f>
        <v>0</v>
      </c>
      <c r="G3410" s="71" t="n">
        <f aca="false">IF(5&gt;Debt_Yr,0,IF(5=Debt_Yr,G3107,MIN(G3107,(G986+G1289+G1592+G2198)*Cash_Sweep)))</f>
        <v>0</v>
      </c>
      <c r="H3410" s="71" t="n">
        <f aca="false">IF(6&gt;Debt_Yr,0,IF(6=Debt_Yr,H3107,MIN(H3107,(H986+H1289+H1592+H2198)*Cash_Sweep)))</f>
        <v>0</v>
      </c>
      <c r="I3410" s="71" t="n">
        <f aca="false">IF(7&gt;Debt_Yr,0,IF(7=Debt_Yr,I3107,MIN(I3107,(I986+I1289+I1592+I2198)*Cash_Sweep)))</f>
        <v>0</v>
      </c>
      <c r="J3410" s="71" t="n">
        <f aca="false">IF(8&gt;Debt_Yr,0,IF(8=Debt_Yr,J3107,MIN(J3107,(J986+J1289+J1592+J2198)*Cash_Sweep)))</f>
        <v>0</v>
      </c>
      <c r="K3410" s="71" t="n">
        <f aca="false">IF(9&gt;Debt_Yr,0,IF(9=Debt_Yr,K3107,MIN(K3107,(K986+K1289+K1592+K2198)*Cash_Sweep)))</f>
        <v>0</v>
      </c>
      <c r="L3410" s="71" t="n">
        <f aca="false">IF(10&gt;Debt_Yr,0,IF(10=Debt_Yr,L3107,MIN(L3107,(L986+L1289+L1592+L2198)*Cash_Sweep)))</f>
        <v>0</v>
      </c>
    </row>
    <row r="3411" customFormat="false" ht="15" hidden="false" customHeight="false" outlineLevel="0" collapsed="false">
      <c r="B3411" s="102" t="n">
        <f aca="false">'Loan Tape'!$A74</f>
        <v>0</v>
      </c>
      <c r="C3411" s="99" t="n">
        <f aca="false">IF(1&gt;Debt_Yr,0,IF(1=Debt_Yr,C3108,MIN(C3108,(C987+C1290+C1593+C2199)*Cash_Sweep)))</f>
        <v>0</v>
      </c>
      <c r="D3411" s="99" t="n">
        <f aca="false">IF(2&gt;Debt_Yr,0,IF(2=Debt_Yr,D3108,MIN(D3108,(D987+D1290+D1593+D2199)*Cash_Sweep)))</f>
        <v>0</v>
      </c>
      <c r="E3411" s="99" t="n">
        <f aca="false">IF(3&gt;Debt_Yr,0,IF(3=Debt_Yr,E3108,MIN(E3108,(E987+E1290+E1593+E2199)*Cash_Sweep)))</f>
        <v>0</v>
      </c>
      <c r="F3411" s="99" t="n">
        <f aca="false">IF(4&gt;Debt_Yr,0,IF(4=Debt_Yr,F3108,MIN(F3108,(F987+F1290+F1593+F2199)*Cash_Sweep)))</f>
        <v>0</v>
      </c>
      <c r="G3411" s="99" t="n">
        <f aca="false">IF(5&gt;Debt_Yr,0,IF(5=Debt_Yr,G3108,MIN(G3108,(G987+G1290+G1593+G2199)*Cash_Sweep)))</f>
        <v>0</v>
      </c>
      <c r="H3411" s="99" t="n">
        <f aca="false">IF(6&gt;Debt_Yr,0,IF(6=Debt_Yr,H3108,MIN(H3108,(H987+H1290+H1593+H2199)*Cash_Sweep)))</f>
        <v>0</v>
      </c>
      <c r="I3411" s="99" t="n">
        <f aca="false">IF(7&gt;Debt_Yr,0,IF(7=Debt_Yr,I3108,MIN(I3108,(I987+I1290+I1593+I2199)*Cash_Sweep)))</f>
        <v>0</v>
      </c>
      <c r="J3411" s="99" t="n">
        <f aca="false">IF(8&gt;Debt_Yr,0,IF(8=Debt_Yr,J3108,MIN(J3108,(J987+J1290+J1593+J2199)*Cash_Sweep)))</f>
        <v>0</v>
      </c>
      <c r="K3411" s="99" t="n">
        <f aca="false">IF(9&gt;Debt_Yr,0,IF(9=Debt_Yr,K3108,MIN(K3108,(K987+K1290+K1593+K2199)*Cash_Sweep)))</f>
        <v>0</v>
      </c>
      <c r="L3411" s="99" t="n">
        <f aca="false">IF(10&gt;Debt_Yr,0,IF(10=Debt_Yr,L3108,MIN(L3108,(L987+L1290+L1593+L2199)*Cash_Sweep)))</f>
        <v>0</v>
      </c>
    </row>
    <row r="3412" customFormat="false" ht="15" hidden="false" customHeight="false" outlineLevel="0" collapsed="false">
      <c r="B3412" s="108" t="n">
        <f aca="false">'Loan Tape'!$A75</f>
        <v>0</v>
      </c>
      <c r="C3412" s="71" t="n">
        <f aca="false">IF(1&gt;Debt_Yr,0,IF(1=Debt_Yr,C3109,MIN(C3109,(C988+C1291+C1594+C2200)*Cash_Sweep)))</f>
        <v>0</v>
      </c>
      <c r="D3412" s="71" t="n">
        <f aca="false">IF(2&gt;Debt_Yr,0,IF(2=Debt_Yr,D3109,MIN(D3109,(D988+D1291+D1594+D2200)*Cash_Sweep)))</f>
        <v>0</v>
      </c>
      <c r="E3412" s="71" t="n">
        <f aca="false">IF(3&gt;Debt_Yr,0,IF(3=Debt_Yr,E3109,MIN(E3109,(E988+E1291+E1594+E2200)*Cash_Sweep)))</f>
        <v>0</v>
      </c>
      <c r="F3412" s="71" t="n">
        <f aca="false">IF(4&gt;Debt_Yr,0,IF(4=Debt_Yr,F3109,MIN(F3109,(F988+F1291+F1594+F2200)*Cash_Sweep)))</f>
        <v>0</v>
      </c>
      <c r="G3412" s="71" t="n">
        <f aca="false">IF(5&gt;Debt_Yr,0,IF(5=Debt_Yr,G3109,MIN(G3109,(G988+G1291+G1594+G2200)*Cash_Sweep)))</f>
        <v>0</v>
      </c>
      <c r="H3412" s="71" t="n">
        <f aca="false">IF(6&gt;Debt_Yr,0,IF(6=Debt_Yr,H3109,MIN(H3109,(H988+H1291+H1594+H2200)*Cash_Sweep)))</f>
        <v>0</v>
      </c>
      <c r="I3412" s="71" t="n">
        <f aca="false">IF(7&gt;Debt_Yr,0,IF(7=Debt_Yr,I3109,MIN(I3109,(I988+I1291+I1594+I2200)*Cash_Sweep)))</f>
        <v>0</v>
      </c>
      <c r="J3412" s="71" t="n">
        <f aca="false">IF(8&gt;Debt_Yr,0,IF(8=Debt_Yr,J3109,MIN(J3109,(J988+J1291+J1594+J2200)*Cash_Sweep)))</f>
        <v>0</v>
      </c>
      <c r="K3412" s="71" t="n">
        <f aca="false">IF(9&gt;Debt_Yr,0,IF(9=Debt_Yr,K3109,MIN(K3109,(K988+K1291+K1594+K2200)*Cash_Sweep)))</f>
        <v>0</v>
      </c>
      <c r="L3412" s="71" t="n">
        <f aca="false">IF(10&gt;Debt_Yr,0,IF(10=Debt_Yr,L3109,MIN(L3109,(L988+L1291+L1594+L2200)*Cash_Sweep)))</f>
        <v>0</v>
      </c>
    </row>
    <row r="3413" customFormat="false" ht="15" hidden="false" customHeight="false" outlineLevel="0" collapsed="false">
      <c r="B3413" s="102" t="n">
        <f aca="false">'Loan Tape'!$A76</f>
        <v>0</v>
      </c>
      <c r="C3413" s="99" t="n">
        <f aca="false">IF(1&gt;Debt_Yr,0,IF(1=Debt_Yr,C3110,MIN(C3110,(C989+C1292+C1595+C2201)*Cash_Sweep)))</f>
        <v>0</v>
      </c>
      <c r="D3413" s="99" t="n">
        <f aca="false">IF(2&gt;Debt_Yr,0,IF(2=Debt_Yr,D3110,MIN(D3110,(D989+D1292+D1595+D2201)*Cash_Sweep)))</f>
        <v>0</v>
      </c>
      <c r="E3413" s="99" t="n">
        <f aca="false">IF(3&gt;Debt_Yr,0,IF(3=Debt_Yr,E3110,MIN(E3110,(E989+E1292+E1595+E2201)*Cash_Sweep)))</f>
        <v>0</v>
      </c>
      <c r="F3413" s="99" t="n">
        <f aca="false">IF(4&gt;Debt_Yr,0,IF(4=Debt_Yr,F3110,MIN(F3110,(F989+F1292+F1595+F2201)*Cash_Sweep)))</f>
        <v>0</v>
      </c>
      <c r="G3413" s="99" t="n">
        <f aca="false">IF(5&gt;Debt_Yr,0,IF(5=Debt_Yr,G3110,MIN(G3110,(G989+G1292+G1595+G2201)*Cash_Sweep)))</f>
        <v>0</v>
      </c>
      <c r="H3413" s="99" t="n">
        <f aca="false">IF(6&gt;Debt_Yr,0,IF(6=Debt_Yr,H3110,MIN(H3110,(H989+H1292+H1595+H2201)*Cash_Sweep)))</f>
        <v>0</v>
      </c>
      <c r="I3413" s="99" t="n">
        <f aca="false">IF(7&gt;Debt_Yr,0,IF(7=Debt_Yr,I3110,MIN(I3110,(I989+I1292+I1595+I2201)*Cash_Sweep)))</f>
        <v>0</v>
      </c>
      <c r="J3413" s="99" t="n">
        <f aca="false">IF(8&gt;Debt_Yr,0,IF(8=Debt_Yr,J3110,MIN(J3110,(J989+J1292+J1595+J2201)*Cash_Sweep)))</f>
        <v>0</v>
      </c>
      <c r="K3413" s="99" t="n">
        <f aca="false">IF(9&gt;Debt_Yr,0,IF(9=Debt_Yr,K3110,MIN(K3110,(K989+K1292+K1595+K2201)*Cash_Sweep)))</f>
        <v>0</v>
      </c>
      <c r="L3413" s="99" t="n">
        <f aca="false">IF(10&gt;Debt_Yr,0,IF(10=Debt_Yr,L3110,MIN(L3110,(L989+L1292+L1595+L2201)*Cash_Sweep)))</f>
        <v>0</v>
      </c>
    </row>
    <row r="3414" customFormat="false" ht="15" hidden="false" customHeight="false" outlineLevel="0" collapsed="false">
      <c r="B3414" s="108" t="n">
        <f aca="false">'Loan Tape'!$A77</f>
        <v>0</v>
      </c>
      <c r="C3414" s="71" t="n">
        <f aca="false">IF(1&gt;Debt_Yr,0,IF(1=Debt_Yr,C3111,MIN(C3111,(C990+C1293+C1596+C2202)*Cash_Sweep)))</f>
        <v>0</v>
      </c>
      <c r="D3414" s="71" t="n">
        <f aca="false">IF(2&gt;Debt_Yr,0,IF(2=Debt_Yr,D3111,MIN(D3111,(D990+D1293+D1596+D2202)*Cash_Sweep)))</f>
        <v>0</v>
      </c>
      <c r="E3414" s="71" t="n">
        <f aca="false">IF(3&gt;Debt_Yr,0,IF(3=Debt_Yr,E3111,MIN(E3111,(E990+E1293+E1596+E2202)*Cash_Sweep)))</f>
        <v>0</v>
      </c>
      <c r="F3414" s="71" t="n">
        <f aca="false">IF(4&gt;Debt_Yr,0,IF(4=Debt_Yr,F3111,MIN(F3111,(F990+F1293+F1596+F2202)*Cash_Sweep)))</f>
        <v>0</v>
      </c>
      <c r="G3414" s="71" t="n">
        <f aca="false">IF(5&gt;Debt_Yr,0,IF(5=Debt_Yr,G3111,MIN(G3111,(G990+G1293+G1596+G2202)*Cash_Sweep)))</f>
        <v>0</v>
      </c>
      <c r="H3414" s="71" t="n">
        <f aca="false">IF(6&gt;Debt_Yr,0,IF(6=Debt_Yr,H3111,MIN(H3111,(H990+H1293+H1596+H2202)*Cash_Sweep)))</f>
        <v>0</v>
      </c>
      <c r="I3414" s="71" t="n">
        <f aca="false">IF(7&gt;Debt_Yr,0,IF(7=Debt_Yr,I3111,MIN(I3111,(I990+I1293+I1596+I2202)*Cash_Sweep)))</f>
        <v>0</v>
      </c>
      <c r="J3414" s="71" t="n">
        <f aca="false">IF(8&gt;Debt_Yr,0,IF(8=Debt_Yr,J3111,MIN(J3111,(J990+J1293+J1596+J2202)*Cash_Sweep)))</f>
        <v>0</v>
      </c>
      <c r="K3414" s="71" t="n">
        <f aca="false">IF(9&gt;Debt_Yr,0,IF(9=Debt_Yr,K3111,MIN(K3111,(K990+K1293+K1596+K2202)*Cash_Sweep)))</f>
        <v>0</v>
      </c>
      <c r="L3414" s="71" t="n">
        <f aca="false">IF(10&gt;Debt_Yr,0,IF(10=Debt_Yr,L3111,MIN(L3111,(L990+L1293+L1596+L2202)*Cash_Sweep)))</f>
        <v>0</v>
      </c>
    </row>
    <row r="3415" customFormat="false" ht="15" hidden="false" customHeight="false" outlineLevel="0" collapsed="false">
      <c r="B3415" s="102" t="n">
        <f aca="false">'Loan Tape'!$A78</f>
        <v>0</v>
      </c>
      <c r="C3415" s="99" t="n">
        <f aca="false">IF(1&gt;Debt_Yr,0,IF(1=Debt_Yr,C3112,MIN(C3112,(C991+C1294+C1597+C2203)*Cash_Sweep)))</f>
        <v>0</v>
      </c>
      <c r="D3415" s="99" t="n">
        <f aca="false">IF(2&gt;Debt_Yr,0,IF(2=Debt_Yr,D3112,MIN(D3112,(D991+D1294+D1597+D2203)*Cash_Sweep)))</f>
        <v>0</v>
      </c>
      <c r="E3415" s="99" t="n">
        <f aca="false">IF(3&gt;Debt_Yr,0,IF(3=Debt_Yr,E3112,MIN(E3112,(E991+E1294+E1597+E2203)*Cash_Sweep)))</f>
        <v>0</v>
      </c>
      <c r="F3415" s="99" t="n">
        <f aca="false">IF(4&gt;Debt_Yr,0,IF(4=Debt_Yr,F3112,MIN(F3112,(F991+F1294+F1597+F2203)*Cash_Sweep)))</f>
        <v>0</v>
      </c>
      <c r="G3415" s="99" t="n">
        <f aca="false">IF(5&gt;Debt_Yr,0,IF(5=Debt_Yr,G3112,MIN(G3112,(G991+G1294+G1597+G2203)*Cash_Sweep)))</f>
        <v>0</v>
      </c>
      <c r="H3415" s="99" t="n">
        <f aca="false">IF(6&gt;Debt_Yr,0,IF(6=Debt_Yr,H3112,MIN(H3112,(H991+H1294+H1597+H2203)*Cash_Sweep)))</f>
        <v>0</v>
      </c>
      <c r="I3415" s="99" t="n">
        <f aca="false">IF(7&gt;Debt_Yr,0,IF(7=Debt_Yr,I3112,MIN(I3112,(I991+I1294+I1597+I2203)*Cash_Sweep)))</f>
        <v>0</v>
      </c>
      <c r="J3415" s="99" t="n">
        <f aca="false">IF(8&gt;Debt_Yr,0,IF(8=Debt_Yr,J3112,MIN(J3112,(J991+J1294+J1597+J2203)*Cash_Sweep)))</f>
        <v>0</v>
      </c>
      <c r="K3415" s="99" t="n">
        <f aca="false">IF(9&gt;Debt_Yr,0,IF(9=Debt_Yr,K3112,MIN(K3112,(K991+K1294+K1597+K2203)*Cash_Sweep)))</f>
        <v>0</v>
      </c>
      <c r="L3415" s="99" t="n">
        <f aca="false">IF(10&gt;Debt_Yr,0,IF(10=Debt_Yr,L3112,MIN(L3112,(L991+L1294+L1597+L2203)*Cash_Sweep)))</f>
        <v>0</v>
      </c>
    </row>
    <row r="3416" customFormat="false" ht="15" hidden="false" customHeight="false" outlineLevel="0" collapsed="false">
      <c r="B3416" s="108" t="n">
        <f aca="false">'Loan Tape'!$A79</f>
        <v>0</v>
      </c>
      <c r="C3416" s="71" t="n">
        <f aca="false">IF(1&gt;Debt_Yr,0,IF(1=Debt_Yr,C3113,MIN(C3113,(C992+C1295+C1598+C2204)*Cash_Sweep)))</f>
        <v>0</v>
      </c>
      <c r="D3416" s="71" t="n">
        <f aca="false">IF(2&gt;Debt_Yr,0,IF(2=Debt_Yr,D3113,MIN(D3113,(D992+D1295+D1598+D2204)*Cash_Sweep)))</f>
        <v>0</v>
      </c>
      <c r="E3416" s="71" t="n">
        <f aca="false">IF(3&gt;Debt_Yr,0,IF(3=Debt_Yr,E3113,MIN(E3113,(E992+E1295+E1598+E2204)*Cash_Sweep)))</f>
        <v>0</v>
      </c>
      <c r="F3416" s="71" t="n">
        <f aca="false">IF(4&gt;Debt_Yr,0,IF(4=Debt_Yr,F3113,MIN(F3113,(F992+F1295+F1598+F2204)*Cash_Sweep)))</f>
        <v>0</v>
      </c>
      <c r="G3416" s="71" t="n">
        <f aca="false">IF(5&gt;Debt_Yr,0,IF(5=Debt_Yr,G3113,MIN(G3113,(G992+G1295+G1598+G2204)*Cash_Sweep)))</f>
        <v>0</v>
      </c>
      <c r="H3416" s="71" t="n">
        <f aca="false">IF(6&gt;Debt_Yr,0,IF(6=Debt_Yr,H3113,MIN(H3113,(H992+H1295+H1598+H2204)*Cash_Sweep)))</f>
        <v>0</v>
      </c>
      <c r="I3416" s="71" t="n">
        <f aca="false">IF(7&gt;Debt_Yr,0,IF(7=Debt_Yr,I3113,MIN(I3113,(I992+I1295+I1598+I2204)*Cash_Sweep)))</f>
        <v>0</v>
      </c>
      <c r="J3416" s="71" t="n">
        <f aca="false">IF(8&gt;Debt_Yr,0,IF(8=Debt_Yr,J3113,MIN(J3113,(J992+J1295+J1598+J2204)*Cash_Sweep)))</f>
        <v>0</v>
      </c>
      <c r="K3416" s="71" t="n">
        <f aca="false">IF(9&gt;Debt_Yr,0,IF(9=Debt_Yr,K3113,MIN(K3113,(K992+K1295+K1598+K2204)*Cash_Sweep)))</f>
        <v>0</v>
      </c>
      <c r="L3416" s="71" t="n">
        <f aca="false">IF(10&gt;Debt_Yr,0,IF(10=Debt_Yr,L3113,MIN(L3113,(L992+L1295+L1598+L2204)*Cash_Sweep)))</f>
        <v>0</v>
      </c>
    </row>
    <row r="3417" customFormat="false" ht="15" hidden="false" customHeight="false" outlineLevel="0" collapsed="false">
      <c r="B3417" s="102" t="n">
        <f aca="false">'Loan Tape'!$A80</f>
        <v>0</v>
      </c>
      <c r="C3417" s="99" t="n">
        <f aca="false">IF(1&gt;Debt_Yr,0,IF(1=Debt_Yr,C3114,MIN(C3114,(C993+C1296+C1599+C2205)*Cash_Sweep)))</f>
        <v>0</v>
      </c>
      <c r="D3417" s="99" t="n">
        <f aca="false">IF(2&gt;Debt_Yr,0,IF(2=Debt_Yr,D3114,MIN(D3114,(D993+D1296+D1599+D2205)*Cash_Sweep)))</f>
        <v>0</v>
      </c>
      <c r="E3417" s="99" t="n">
        <f aca="false">IF(3&gt;Debt_Yr,0,IF(3=Debt_Yr,E3114,MIN(E3114,(E993+E1296+E1599+E2205)*Cash_Sweep)))</f>
        <v>0</v>
      </c>
      <c r="F3417" s="99" t="n">
        <f aca="false">IF(4&gt;Debt_Yr,0,IF(4=Debt_Yr,F3114,MIN(F3114,(F993+F1296+F1599+F2205)*Cash_Sweep)))</f>
        <v>0</v>
      </c>
      <c r="G3417" s="99" t="n">
        <f aca="false">IF(5&gt;Debt_Yr,0,IF(5=Debt_Yr,G3114,MIN(G3114,(G993+G1296+G1599+G2205)*Cash_Sweep)))</f>
        <v>0</v>
      </c>
      <c r="H3417" s="99" t="n">
        <f aca="false">IF(6&gt;Debt_Yr,0,IF(6=Debt_Yr,H3114,MIN(H3114,(H993+H1296+H1599+H2205)*Cash_Sweep)))</f>
        <v>0</v>
      </c>
      <c r="I3417" s="99" t="n">
        <f aca="false">IF(7&gt;Debt_Yr,0,IF(7=Debt_Yr,I3114,MIN(I3114,(I993+I1296+I1599+I2205)*Cash_Sweep)))</f>
        <v>0</v>
      </c>
      <c r="J3417" s="99" t="n">
        <f aca="false">IF(8&gt;Debt_Yr,0,IF(8=Debt_Yr,J3114,MIN(J3114,(J993+J1296+J1599+J2205)*Cash_Sweep)))</f>
        <v>0</v>
      </c>
      <c r="K3417" s="99" t="n">
        <f aca="false">IF(9&gt;Debt_Yr,0,IF(9=Debt_Yr,K3114,MIN(K3114,(K993+K1296+K1599+K2205)*Cash_Sweep)))</f>
        <v>0</v>
      </c>
      <c r="L3417" s="99" t="n">
        <f aca="false">IF(10&gt;Debt_Yr,0,IF(10=Debt_Yr,L3114,MIN(L3114,(L993+L1296+L1599+L2205)*Cash_Sweep)))</f>
        <v>0</v>
      </c>
    </row>
    <row r="3418" customFormat="false" ht="15" hidden="false" customHeight="false" outlineLevel="0" collapsed="false">
      <c r="B3418" s="108" t="n">
        <f aca="false">'Loan Tape'!$A81</f>
        <v>0</v>
      </c>
      <c r="C3418" s="71" t="n">
        <f aca="false">IF(1&gt;Debt_Yr,0,IF(1=Debt_Yr,C3115,MIN(C3115,(C994+C1297+C1600+C2206)*Cash_Sweep)))</f>
        <v>0</v>
      </c>
      <c r="D3418" s="71" t="n">
        <f aca="false">IF(2&gt;Debt_Yr,0,IF(2=Debt_Yr,D3115,MIN(D3115,(D994+D1297+D1600+D2206)*Cash_Sweep)))</f>
        <v>0</v>
      </c>
      <c r="E3418" s="71" t="n">
        <f aca="false">IF(3&gt;Debt_Yr,0,IF(3=Debt_Yr,E3115,MIN(E3115,(E994+E1297+E1600+E2206)*Cash_Sweep)))</f>
        <v>0</v>
      </c>
      <c r="F3418" s="71" t="n">
        <f aca="false">IF(4&gt;Debt_Yr,0,IF(4=Debt_Yr,F3115,MIN(F3115,(F994+F1297+F1600+F2206)*Cash_Sweep)))</f>
        <v>0</v>
      </c>
      <c r="G3418" s="71" t="n">
        <f aca="false">IF(5&gt;Debt_Yr,0,IF(5=Debt_Yr,G3115,MIN(G3115,(G994+G1297+G1600+G2206)*Cash_Sweep)))</f>
        <v>0</v>
      </c>
      <c r="H3418" s="71" t="n">
        <f aca="false">IF(6&gt;Debt_Yr,0,IF(6=Debt_Yr,H3115,MIN(H3115,(H994+H1297+H1600+H2206)*Cash_Sweep)))</f>
        <v>0</v>
      </c>
      <c r="I3418" s="71" t="n">
        <f aca="false">IF(7&gt;Debt_Yr,0,IF(7=Debt_Yr,I3115,MIN(I3115,(I994+I1297+I1600+I2206)*Cash_Sweep)))</f>
        <v>0</v>
      </c>
      <c r="J3418" s="71" t="n">
        <f aca="false">IF(8&gt;Debt_Yr,0,IF(8=Debt_Yr,J3115,MIN(J3115,(J994+J1297+J1600+J2206)*Cash_Sweep)))</f>
        <v>0</v>
      </c>
      <c r="K3418" s="71" t="n">
        <f aca="false">IF(9&gt;Debt_Yr,0,IF(9=Debt_Yr,K3115,MIN(K3115,(K994+K1297+K1600+K2206)*Cash_Sweep)))</f>
        <v>0</v>
      </c>
      <c r="L3418" s="71" t="n">
        <f aca="false">IF(10&gt;Debt_Yr,0,IF(10=Debt_Yr,L3115,MIN(L3115,(L994+L1297+L1600+L2206)*Cash_Sweep)))</f>
        <v>0</v>
      </c>
    </row>
    <row r="3419" customFormat="false" ht="15" hidden="false" customHeight="false" outlineLevel="0" collapsed="false">
      <c r="B3419" s="102" t="n">
        <f aca="false">'Loan Tape'!$A82</f>
        <v>0</v>
      </c>
      <c r="C3419" s="99" t="n">
        <f aca="false">IF(1&gt;Debt_Yr,0,IF(1=Debt_Yr,C3116,MIN(C3116,(C995+C1298+C1601+C2207)*Cash_Sweep)))</f>
        <v>0</v>
      </c>
      <c r="D3419" s="99" t="n">
        <f aca="false">IF(2&gt;Debt_Yr,0,IF(2=Debt_Yr,D3116,MIN(D3116,(D995+D1298+D1601+D2207)*Cash_Sweep)))</f>
        <v>0</v>
      </c>
      <c r="E3419" s="99" t="n">
        <f aca="false">IF(3&gt;Debt_Yr,0,IF(3=Debt_Yr,E3116,MIN(E3116,(E995+E1298+E1601+E2207)*Cash_Sweep)))</f>
        <v>0</v>
      </c>
      <c r="F3419" s="99" t="n">
        <f aca="false">IF(4&gt;Debt_Yr,0,IF(4=Debt_Yr,F3116,MIN(F3116,(F995+F1298+F1601+F2207)*Cash_Sweep)))</f>
        <v>0</v>
      </c>
      <c r="G3419" s="99" t="n">
        <f aca="false">IF(5&gt;Debt_Yr,0,IF(5=Debt_Yr,G3116,MIN(G3116,(G995+G1298+G1601+G2207)*Cash_Sweep)))</f>
        <v>0</v>
      </c>
      <c r="H3419" s="99" t="n">
        <f aca="false">IF(6&gt;Debt_Yr,0,IF(6=Debt_Yr,H3116,MIN(H3116,(H995+H1298+H1601+H2207)*Cash_Sweep)))</f>
        <v>0</v>
      </c>
      <c r="I3419" s="99" t="n">
        <f aca="false">IF(7&gt;Debt_Yr,0,IF(7=Debt_Yr,I3116,MIN(I3116,(I995+I1298+I1601+I2207)*Cash_Sweep)))</f>
        <v>0</v>
      </c>
      <c r="J3419" s="99" t="n">
        <f aca="false">IF(8&gt;Debt_Yr,0,IF(8=Debt_Yr,J3116,MIN(J3116,(J995+J1298+J1601+J2207)*Cash_Sweep)))</f>
        <v>0</v>
      </c>
      <c r="K3419" s="99" t="n">
        <f aca="false">IF(9&gt;Debt_Yr,0,IF(9=Debt_Yr,K3116,MIN(K3116,(K995+K1298+K1601+K2207)*Cash_Sweep)))</f>
        <v>0</v>
      </c>
      <c r="L3419" s="99" t="n">
        <f aca="false">IF(10&gt;Debt_Yr,0,IF(10=Debt_Yr,L3116,MIN(L3116,(L995+L1298+L1601+L2207)*Cash_Sweep)))</f>
        <v>0</v>
      </c>
    </row>
    <row r="3420" customFormat="false" ht="15" hidden="false" customHeight="false" outlineLevel="0" collapsed="false">
      <c r="B3420" s="108" t="n">
        <f aca="false">'Loan Tape'!$A83</f>
        <v>0</v>
      </c>
      <c r="C3420" s="71" t="n">
        <f aca="false">IF(1&gt;Debt_Yr,0,IF(1=Debt_Yr,C3117,MIN(C3117,(C996+C1299+C1602+C2208)*Cash_Sweep)))</f>
        <v>0</v>
      </c>
      <c r="D3420" s="71" t="n">
        <f aca="false">IF(2&gt;Debt_Yr,0,IF(2=Debt_Yr,D3117,MIN(D3117,(D996+D1299+D1602+D2208)*Cash_Sweep)))</f>
        <v>0</v>
      </c>
      <c r="E3420" s="71" t="n">
        <f aca="false">IF(3&gt;Debt_Yr,0,IF(3=Debt_Yr,E3117,MIN(E3117,(E996+E1299+E1602+E2208)*Cash_Sweep)))</f>
        <v>0</v>
      </c>
      <c r="F3420" s="71" t="n">
        <f aca="false">IF(4&gt;Debt_Yr,0,IF(4=Debt_Yr,F3117,MIN(F3117,(F996+F1299+F1602+F2208)*Cash_Sweep)))</f>
        <v>0</v>
      </c>
      <c r="G3420" s="71" t="n">
        <f aca="false">IF(5&gt;Debt_Yr,0,IF(5=Debt_Yr,G3117,MIN(G3117,(G996+G1299+G1602+G2208)*Cash_Sweep)))</f>
        <v>0</v>
      </c>
      <c r="H3420" s="71" t="n">
        <f aca="false">IF(6&gt;Debt_Yr,0,IF(6=Debt_Yr,H3117,MIN(H3117,(H996+H1299+H1602+H2208)*Cash_Sweep)))</f>
        <v>0</v>
      </c>
      <c r="I3420" s="71" t="n">
        <f aca="false">IF(7&gt;Debt_Yr,0,IF(7=Debt_Yr,I3117,MIN(I3117,(I996+I1299+I1602+I2208)*Cash_Sweep)))</f>
        <v>0</v>
      </c>
      <c r="J3420" s="71" t="n">
        <f aca="false">IF(8&gt;Debt_Yr,0,IF(8=Debt_Yr,J3117,MIN(J3117,(J996+J1299+J1602+J2208)*Cash_Sweep)))</f>
        <v>0</v>
      </c>
      <c r="K3420" s="71" t="n">
        <f aca="false">IF(9&gt;Debt_Yr,0,IF(9=Debt_Yr,K3117,MIN(K3117,(K996+K1299+K1602+K2208)*Cash_Sweep)))</f>
        <v>0</v>
      </c>
      <c r="L3420" s="71" t="n">
        <f aca="false">IF(10&gt;Debt_Yr,0,IF(10=Debt_Yr,L3117,MIN(L3117,(L996+L1299+L1602+L2208)*Cash_Sweep)))</f>
        <v>0</v>
      </c>
    </row>
    <row r="3421" customFormat="false" ht="15" hidden="false" customHeight="false" outlineLevel="0" collapsed="false">
      <c r="B3421" s="102" t="n">
        <f aca="false">'Loan Tape'!$A84</f>
        <v>0</v>
      </c>
      <c r="C3421" s="99" t="n">
        <f aca="false">IF(1&gt;Debt_Yr,0,IF(1=Debt_Yr,C3118,MIN(C3118,(C997+C1300+C1603+C2209)*Cash_Sweep)))</f>
        <v>0</v>
      </c>
      <c r="D3421" s="99" t="n">
        <f aca="false">IF(2&gt;Debt_Yr,0,IF(2=Debt_Yr,D3118,MIN(D3118,(D997+D1300+D1603+D2209)*Cash_Sweep)))</f>
        <v>0</v>
      </c>
      <c r="E3421" s="99" t="n">
        <f aca="false">IF(3&gt;Debt_Yr,0,IF(3=Debt_Yr,E3118,MIN(E3118,(E997+E1300+E1603+E2209)*Cash_Sweep)))</f>
        <v>0</v>
      </c>
      <c r="F3421" s="99" t="n">
        <f aca="false">IF(4&gt;Debt_Yr,0,IF(4=Debt_Yr,F3118,MIN(F3118,(F997+F1300+F1603+F2209)*Cash_Sweep)))</f>
        <v>0</v>
      </c>
      <c r="G3421" s="99" t="n">
        <f aca="false">IF(5&gt;Debt_Yr,0,IF(5=Debt_Yr,G3118,MIN(G3118,(G997+G1300+G1603+G2209)*Cash_Sweep)))</f>
        <v>0</v>
      </c>
      <c r="H3421" s="99" t="n">
        <f aca="false">IF(6&gt;Debt_Yr,0,IF(6=Debt_Yr,H3118,MIN(H3118,(H997+H1300+H1603+H2209)*Cash_Sweep)))</f>
        <v>0</v>
      </c>
      <c r="I3421" s="99" t="n">
        <f aca="false">IF(7&gt;Debt_Yr,0,IF(7=Debt_Yr,I3118,MIN(I3118,(I997+I1300+I1603+I2209)*Cash_Sweep)))</f>
        <v>0</v>
      </c>
      <c r="J3421" s="99" t="n">
        <f aca="false">IF(8&gt;Debt_Yr,0,IF(8=Debt_Yr,J3118,MIN(J3118,(J997+J1300+J1603+J2209)*Cash_Sweep)))</f>
        <v>0</v>
      </c>
      <c r="K3421" s="99" t="n">
        <f aca="false">IF(9&gt;Debt_Yr,0,IF(9=Debt_Yr,K3118,MIN(K3118,(K997+K1300+K1603+K2209)*Cash_Sweep)))</f>
        <v>0</v>
      </c>
      <c r="L3421" s="99" t="n">
        <f aca="false">IF(10&gt;Debt_Yr,0,IF(10=Debt_Yr,L3118,MIN(L3118,(L997+L1300+L1603+L2209)*Cash_Sweep)))</f>
        <v>0</v>
      </c>
    </row>
    <row r="3422" customFormat="false" ht="15" hidden="false" customHeight="false" outlineLevel="0" collapsed="false">
      <c r="B3422" s="108" t="n">
        <f aca="false">'Loan Tape'!$A85</f>
        <v>0</v>
      </c>
      <c r="C3422" s="71" t="n">
        <f aca="false">IF(1&gt;Debt_Yr,0,IF(1=Debt_Yr,C3119,MIN(C3119,(C998+C1301+C1604+C2210)*Cash_Sweep)))</f>
        <v>0</v>
      </c>
      <c r="D3422" s="71" t="n">
        <f aca="false">IF(2&gt;Debt_Yr,0,IF(2=Debt_Yr,D3119,MIN(D3119,(D998+D1301+D1604+D2210)*Cash_Sweep)))</f>
        <v>0</v>
      </c>
      <c r="E3422" s="71" t="n">
        <f aca="false">IF(3&gt;Debt_Yr,0,IF(3=Debt_Yr,E3119,MIN(E3119,(E998+E1301+E1604+E2210)*Cash_Sweep)))</f>
        <v>0</v>
      </c>
      <c r="F3422" s="71" t="n">
        <f aca="false">IF(4&gt;Debt_Yr,0,IF(4=Debt_Yr,F3119,MIN(F3119,(F998+F1301+F1604+F2210)*Cash_Sweep)))</f>
        <v>0</v>
      </c>
      <c r="G3422" s="71" t="n">
        <f aca="false">IF(5&gt;Debt_Yr,0,IF(5=Debt_Yr,G3119,MIN(G3119,(G998+G1301+G1604+G2210)*Cash_Sweep)))</f>
        <v>0</v>
      </c>
      <c r="H3422" s="71" t="n">
        <f aca="false">IF(6&gt;Debt_Yr,0,IF(6=Debt_Yr,H3119,MIN(H3119,(H998+H1301+H1604+H2210)*Cash_Sweep)))</f>
        <v>0</v>
      </c>
      <c r="I3422" s="71" t="n">
        <f aca="false">IF(7&gt;Debt_Yr,0,IF(7=Debt_Yr,I3119,MIN(I3119,(I998+I1301+I1604+I2210)*Cash_Sweep)))</f>
        <v>0</v>
      </c>
      <c r="J3422" s="71" t="n">
        <f aca="false">IF(8&gt;Debt_Yr,0,IF(8=Debt_Yr,J3119,MIN(J3119,(J998+J1301+J1604+J2210)*Cash_Sweep)))</f>
        <v>0</v>
      </c>
      <c r="K3422" s="71" t="n">
        <f aca="false">IF(9&gt;Debt_Yr,0,IF(9=Debt_Yr,K3119,MIN(K3119,(K998+K1301+K1604+K2210)*Cash_Sweep)))</f>
        <v>0</v>
      </c>
      <c r="L3422" s="71" t="n">
        <f aca="false">IF(10&gt;Debt_Yr,0,IF(10=Debt_Yr,L3119,MIN(L3119,(L998+L1301+L1604+L2210)*Cash_Sweep)))</f>
        <v>0</v>
      </c>
    </row>
    <row r="3423" customFormat="false" ht="15" hidden="false" customHeight="false" outlineLevel="0" collapsed="false">
      <c r="B3423" s="102" t="n">
        <f aca="false">'Loan Tape'!$A86</f>
        <v>0</v>
      </c>
      <c r="C3423" s="99" t="n">
        <f aca="false">IF(1&gt;Debt_Yr,0,IF(1=Debt_Yr,C3120,MIN(C3120,(C999+C1302+C1605+C2211)*Cash_Sweep)))</f>
        <v>0</v>
      </c>
      <c r="D3423" s="99" t="n">
        <f aca="false">IF(2&gt;Debt_Yr,0,IF(2=Debt_Yr,D3120,MIN(D3120,(D999+D1302+D1605+D2211)*Cash_Sweep)))</f>
        <v>0</v>
      </c>
      <c r="E3423" s="99" t="n">
        <f aca="false">IF(3&gt;Debt_Yr,0,IF(3=Debt_Yr,E3120,MIN(E3120,(E999+E1302+E1605+E2211)*Cash_Sweep)))</f>
        <v>0</v>
      </c>
      <c r="F3423" s="99" t="n">
        <f aca="false">IF(4&gt;Debt_Yr,0,IF(4=Debt_Yr,F3120,MIN(F3120,(F999+F1302+F1605+F2211)*Cash_Sweep)))</f>
        <v>0</v>
      </c>
      <c r="G3423" s="99" t="n">
        <f aca="false">IF(5&gt;Debt_Yr,0,IF(5=Debt_Yr,G3120,MIN(G3120,(G999+G1302+G1605+G2211)*Cash_Sweep)))</f>
        <v>0</v>
      </c>
      <c r="H3423" s="99" t="n">
        <f aca="false">IF(6&gt;Debt_Yr,0,IF(6=Debt_Yr,H3120,MIN(H3120,(H999+H1302+H1605+H2211)*Cash_Sweep)))</f>
        <v>0</v>
      </c>
      <c r="I3423" s="99" t="n">
        <f aca="false">IF(7&gt;Debt_Yr,0,IF(7=Debt_Yr,I3120,MIN(I3120,(I999+I1302+I1605+I2211)*Cash_Sweep)))</f>
        <v>0</v>
      </c>
      <c r="J3423" s="99" t="n">
        <f aca="false">IF(8&gt;Debt_Yr,0,IF(8=Debt_Yr,J3120,MIN(J3120,(J999+J1302+J1605+J2211)*Cash_Sweep)))</f>
        <v>0</v>
      </c>
      <c r="K3423" s="99" t="n">
        <f aca="false">IF(9&gt;Debt_Yr,0,IF(9=Debt_Yr,K3120,MIN(K3120,(K999+K1302+K1605+K2211)*Cash_Sweep)))</f>
        <v>0</v>
      </c>
      <c r="L3423" s="99" t="n">
        <f aca="false">IF(10&gt;Debt_Yr,0,IF(10=Debt_Yr,L3120,MIN(L3120,(L999+L1302+L1605+L2211)*Cash_Sweep)))</f>
        <v>0</v>
      </c>
    </row>
    <row r="3424" customFormat="false" ht="15" hidden="false" customHeight="false" outlineLevel="0" collapsed="false">
      <c r="B3424" s="108" t="n">
        <f aca="false">'Loan Tape'!$A87</f>
        <v>0</v>
      </c>
      <c r="C3424" s="71" t="n">
        <f aca="false">IF(1&gt;Debt_Yr,0,IF(1=Debt_Yr,C3121,MIN(C3121,(C1000+C1303+C1606+C2212)*Cash_Sweep)))</f>
        <v>0</v>
      </c>
      <c r="D3424" s="71" t="n">
        <f aca="false">IF(2&gt;Debt_Yr,0,IF(2=Debt_Yr,D3121,MIN(D3121,(D1000+D1303+D1606+D2212)*Cash_Sweep)))</f>
        <v>0</v>
      </c>
      <c r="E3424" s="71" t="n">
        <f aca="false">IF(3&gt;Debt_Yr,0,IF(3=Debt_Yr,E3121,MIN(E3121,(E1000+E1303+E1606+E2212)*Cash_Sweep)))</f>
        <v>0</v>
      </c>
      <c r="F3424" s="71" t="n">
        <f aca="false">IF(4&gt;Debt_Yr,0,IF(4=Debt_Yr,F3121,MIN(F3121,(F1000+F1303+F1606+F2212)*Cash_Sweep)))</f>
        <v>0</v>
      </c>
      <c r="G3424" s="71" t="n">
        <f aca="false">IF(5&gt;Debt_Yr,0,IF(5=Debt_Yr,G3121,MIN(G3121,(G1000+G1303+G1606+G2212)*Cash_Sweep)))</f>
        <v>0</v>
      </c>
      <c r="H3424" s="71" t="n">
        <f aca="false">IF(6&gt;Debt_Yr,0,IF(6=Debt_Yr,H3121,MIN(H3121,(H1000+H1303+H1606+H2212)*Cash_Sweep)))</f>
        <v>0</v>
      </c>
      <c r="I3424" s="71" t="n">
        <f aca="false">IF(7&gt;Debt_Yr,0,IF(7=Debt_Yr,I3121,MIN(I3121,(I1000+I1303+I1606+I2212)*Cash_Sweep)))</f>
        <v>0</v>
      </c>
      <c r="J3424" s="71" t="n">
        <f aca="false">IF(8&gt;Debt_Yr,0,IF(8=Debt_Yr,J3121,MIN(J3121,(J1000+J1303+J1606+J2212)*Cash_Sweep)))</f>
        <v>0</v>
      </c>
      <c r="K3424" s="71" t="n">
        <f aca="false">IF(9&gt;Debt_Yr,0,IF(9=Debt_Yr,K3121,MIN(K3121,(K1000+K1303+K1606+K2212)*Cash_Sweep)))</f>
        <v>0</v>
      </c>
      <c r="L3424" s="71" t="n">
        <f aca="false">IF(10&gt;Debt_Yr,0,IF(10=Debt_Yr,L3121,MIN(L3121,(L1000+L1303+L1606+L2212)*Cash_Sweep)))</f>
        <v>0</v>
      </c>
    </row>
    <row r="3425" customFormat="false" ht="15" hidden="false" customHeight="false" outlineLevel="0" collapsed="false">
      <c r="B3425" s="102" t="n">
        <f aca="false">'Loan Tape'!$A88</f>
        <v>0</v>
      </c>
      <c r="C3425" s="99" t="n">
        <f aca="false">IF(1&gt;Debt_Yr,0,IF(1=Debt_Yr,C3122,MIN(C3122,(C1001+C1304+C1607+C2213)*Cash_Sweep)))</f>
        <v>0</v>
      </c>
      <c r="D3425" s="99" t="n">
        <f aca="false">IF(2&gt;Debt_Yr,0,IF(2=Debt_Yr,D3122,MIN(D3122,(D1001+D1304+D1607+D2213)*Cash_Sweep)))</f>
        <v>0</v>
      </c>
      <c r="E3425" s="99" t="n">
        <f aca="false">IF(3&gt;Debt_Yr,0,IF(3=Debt_Yr,E3122,MIN(E3122,(E1001+E1304+E1607+E2213)*Cash_Sweep)))</f>
        <v>0</v>
      </c>
      <c r="F3425" s="99" t="n">
        <f aca="false">IF(4&gt;Debt_Yr,0,IF(4=Debt_Yr,F3122,MIN(F3122,(F1001+F1304+F1607+F2213)*Cash_Sweep)))</f>
        <v>0</v>
      </c>
      <c r="G3425" s="99" t="n">
        <f aca="false">IF(5&gt;Debt_Yr,0,IF(5=Debt_Yr,G3122,MIN(G3122,(G1001+G1304+G1607+G2213)*Cash_Sweep)))</f>
        <v>0</v>
      </c>
      <c r="H3425" s="99" t="n">
        <f aca="false">IF(6&gt;Debt_Yr,0,IF(6=Debt_Yr,H3122,MIN(H3122,(H1001+H1304+H1607+H2213)*Cash_Sweep)))</f>
        <v>0</v>
      </c>
      <c r="I3425" s="99" t="n">
        <f aca="false">IF(7&gt;Debt_Yr,0,IF(7=Debt_Yr,I3122,MIN(I3122,(I1001+I1304+I1607+I2213)*Cash_Sweep)))</f>
        <v>0</v>
      </c>
      <c r="J3425" s="99" t="n">
        <f aca="false">IF(8&gt;Debt_Yr,0,IF(8=Debt_Yr,J3122,MIN(J3122,(J1001+J1304+J1607+J2213)*Cash_Sweep)))</f>
        <v>0</v>
      </c>
      <c r="K3425" s="99" t="n">
        <f aca="false">IF(9&gt;Debt_Yr,0,IF(9=Debt_Yr,K3122,MIN(K3122,(K1001+K1304+K1607+K2213)*Cash_Sweep)))</f>
        <v>0</v>
      </c>
      <c r="L3425" s="99" t="n">
        <f aca="false">IF(10&gt;Debt_Yr,0,IF(10=Debt_Yr,L3122,MIN(L3122,(L1001+L1304+L1607+L2213)*Cash_Sweep)))</f>
        <v>0</v>
      </c>
    </row>
    <row r="3426" customFormat="false" ht="15" hidden="false" customHeight="false" outlineLevel="0" collapsed="false">
      <c r="B3426" s="108" t="n">
        <f aca="false">'Loan Tape'!$A89</f>
        <v>0</v>
      </c>
      <c r="C3426" s="71" t="n">
        <f aca="false">IF(1&gt;Debt_Yr,0,IF(1=Debt_Yr,C3123,MIN(C3123,(C1002+C1305+C1608+C2214)*Cash_Sweep)))</f>
        <v>0</v>
      </c>
      <c r="D3426" s="71" t="n">
        <f aca="false">IF(2&gt;Debt_Yr,0,IF(2=Debt_Yr,D3123,MIN(D3123,(D1002+D1305+D1608+D2214)*Cash_Sweep)))</f>
        <v>0</v>
      </c>
      <c r="E3426" s="71" t="n">
        <f aca="false">IF(3&gt;Debt_Yr,0,IF(3=Debt_Yr,E3123,MIN(E3123,(E1002+E1305+E1608+E2214)*Cash_Sweep)))</f>
        <v>0</v>
      </c>
      <c r="F3426" s="71" t="n">
        <f aca="false">IF(4&gt;Debt_Yr,0,IF(4=Debt_Yr,F3123,MIN(F3123,(F1002+F1305+F1608+F2214)*Cash_Sweep)))</f>
        <v>0</v>
      </c>
      <c r="G3426" s="71" t="n">
        <f aca="false">IF(5&gt;Debt_Yr,0,IF(5=Debt_Yr,G3123,MIN(G3123,(G1002+G1305+G1608+G2214)*Cash_Sweep)))</f>
        <v>0</v>
      </c>
      <c r="H3426" s="71" t="n">
        <f aca="false">IF(6&gt;Debt_Yr,0,IF(6=Debt_Yr,H3123,MIN(H3123,(H1002+H1305+H1608+H2214)*Cash_Sweep)))</f>
        <v>0</v>
      </c>
      <c r="I3426" s="71" t="n">
        <f aca="false">IF(7&gt;Debt_Yr,0,IF(7=Debt_Yr,I3123,MIN(I3123,(I1002+I1305+I1608+I2214)*Cash_Sweep)))</f>
        <v>0</v>
      </c>
      <c r="J3426" s="71" t="n">
        <f aca="false">IF(8&gt;Debt_Yr,0,IF(8=Debt_Yr,J3123,MIN(J3123,(J1002+J1305+J1608+J2214)*Cash_Sweep)))</f>
        <v>0</v>
      </c>
      <c r="K3426" s="71" t="n">
        <f aca="false">IF(9&gt;Debt_Yr,0,IF(9=Debt_Yr,K3123,MIN(K3123,(K1002+K1305+K1608+K2214)*Cash_Sweep)))</f>
        <v>0</v>
      </c>
      <c r="L3426" s="71" t="n">
        <f aca="false">IF(10&gt;Debt_Yr,0,IF(10=Debt_Yr,L3123,MIN(L3123,(L1002+L1305+L1608+L2214)*Cash_Sweep)))</f>
        <v>0</v>
      </c>
    </row>
    <row r="3427" customFormat="false" ht="15" hidden="false" customHeight="false" outlineLevel="0" collapsed="false">
      <c r="B3427" s="102" t="n">
        <f aca="false">'Loan Tape'!$A90</f>
        <v>0</v>
      </c>
      <c r="C3427" s="99" t="n">
        <f aca="false">IF(1&gt;Debt_Yr,0,IF(1=Debt_Yr,C3124,MIN(C3124,(C1003+C1306+C1609+C2215)*Cash_Sweep)))</f>
        <v>0</v>
      </c>
      <c r="D3427" s="99" t="n">
        <f aca="false">IF(2&gt;Debt_Yr,0,IF(2=Debt_Yr,D3124,MIN(D3124,(D1003+D1306+D1609+D2215)*Cash_Sweep)))</f>
        <v>0</v>
      </c>
      <c r="E3427" s="99" t="n">
        <f aca="false">IF(3&gt;Debt_Yr,0,IF(3=Debt_Yr,E3124,MIN(E3124,(E1003+E1306+E1609+E2215)*Cash_Sweep)))</f>
        <v>0</v>
      </c>
      <c r="F3427" s="99" t="n">
        <f aca="false">IF(4&gt;Debt_Yr,0,IF(4=Debt_Yr,F3124,MIN(F3124,(F1003+F1306+F1609+F2215)*Cash_Sweep)))</f>
        <v>0</v>
      </c>
      <c r="G3427" s="99" t="n">
        <f aca="false">IF(5&gt;Debt_Yr,0,IF(5=Debt_Yr,G3124,MIN(G3124,(G1003+G1306+G1609+G2215)*Cash_Sweep)))</f>
        <v>0</v>
      </c>
      <c r="H3427" s="99" t="n">
        <f aca="false">IF(6&gt;Debt_Yr,0,IF(6=Debt_Yr,H3124,MIN(H3124,(H1003+H1306+H1609+H2215)*Cash_Sweep)))</f>
        <v>0</v>
      </c>
      <c r="I3427" s="99" t="n">
        <f aca="false">IF(7&gt;Debt_Yr,0,IF(7=Debt_Yr,I3124,MIN(I3124,(I1003+I1306+I1609+I2215)*Cash_Sweep)))</f>
        <v>0</v>
      </c>
      <c r="J3427" s="99" t="n">
        <f aca="false">IF(8&gt;Debt_Yr,0,IF(8=Debt_Yr,J3124,MIN(J3124,(J1003+J1306+J1609+J2215)*Cash_Sweep)))</f>
        <v>0</v>
      </c>
      <c r="K3427" s="99" t="n">
        <f aca="false">IF(9&gt;Debt_Yr,0,IF(9=Debt_Yr,K3124,MIN(K3124,(K1003+K1306+K1609+K2215)*Cash_Sweep)))</f>
        <v>0</v>
      </c>
      <c r="L3427" s="99" t="n">
        <f aca="false">IF(10&gt;Debt_Yr,0,IF(10=Debt_Yr,L3124,MIN(L3124,(L1003+L1306+L1609+L2215)*Cash_Sweep)))</f>
        <v>0</v>
      </c>
    </row>
    <row r="3428" customFormat="false" ht="15" hidden="false" customHeight="false" outlineLevel="0" collapsed="false">
      <c r="B3428" s="108" t="n">
        <f aca="false">'Loan Tape'!$A91</f>
        <v>0</v>
      </c>
      <c r="C3428" s="71" t="n">
        <f aca="false">IF(1&gt;Debt_Yr,0,IF(1=Debt_Yr,C3125,MIN(C3125,(C1004+C1307+C1610+C2216)*Cash_Sweep)))</f>
        <v>0</v>
      </c>
      <c r="D3428" s="71" t="n">
        <f aca="false">IF(2&gt;Debt_Yr,0,IF(2=Debt_Yr,D3125,MIN(D3125,(D1004+D1307+D1610+D2216)*Cash_Sweep)))</f>
        <v>0</v>
      </c>
      <c r="E3428" s="71" t="n">
        <f aca="false">IF(3&gt;Debt_Yr,0,IF(3=Debt_Yr,E3125,MIN(E3125,(E1004+E1307+E1610+E2216)*Cash_Sweep)))</f>
        <v>0</v>
      </c>
      <c r="F3428" s="71" t="n">
        <f aca="false">IF(4&gt;Debt_Yr,0,IF(4=Debt_Yr,F3125,MIN(F3125,(F1004+F1307+F1610+F2216)*Cash_Sweep)))</f>
        <v>0</v>
      </c>
      <c r="G3428" s="71" t="n">
        <f aca="false">IF(5&gt;Debt_Yr,0,IF(5=Debt_Yr,G3125,MIN(G3125,(G1004+G1307+G1610+G2216)*Cash_Sweep)))</f>
        <v>0</v>
      </c>
      <c r="H3428" s="71" t="n">
        <f aca="false">IF(6&gt;Debt_Yr,0,IF(6=Debt_Yr,H3125,MIN(H3125,(H1004+H1307+H1610+H2216)*Cash_Sweep)))</f>
        <v>0</v>
      </c>
      <c r="I3428" s="71" t="n">
        <f aca="false">IF(7&gt;Debt_Yr,0,IF(7=Debt_Yr,I3125,MIN(I3125,(I1004+I1307+I1610+I2216)*Cash_Sweep)))</f>
        <v>0</v>
      </c>
      <c r="J3428" s="71" t="n">
        <f aca="false">IF(8&gt;Debt_Yr,0,IF(8=Debt_Yr,J3125,MIN(J3125,(J1004+J1307+J1610+J2216)*Cash_Sweep)))</f>
        <v>0</v>
      </c>
      <c r="K3428" s="71" t="n">
        <f aca="false">IF(9&gt;Debt_Yr,0,IF(9=Debt_Yr,K3125,MIN(K3125,(K1004+K1307+K1610+K2216)*Cash_Sweep)))</f>
        <v>0</v>
      </c>
      <c r="L3428" s="71" t="n">
        <f aca="false">IF(10&gt;Debt_Yr,0,IF(10=Debt_Yr,L3125,MIN(L3125,(L1004+L1307+L1610+L2216)*Cash_Sweep)))</f>
        <v>0</v>
      </c>
    </row>
    <row r="3429" customFormat="false" ht="15" hidden="false" customHeight="false" outlineLevel="0" collapsed="false">
      <c r="B3429" s="102" t="n">
        <f aca="false">'Loan Tape'!$A92</f>
        <v>0</v>
      </c>
      <c r="C3429" s="99" t="n">
        <f aca="false">IF(1&gt;Debt_Yr,0,IF(1=Debt_Yr,C3126,MIN(C3126,(C1005+C1308+C1611+C2217)*Cash_Sweep)))</f>
        <v>0</v>
      </c>
      <c r="D3429" s="99" t="n">
        <f aca="false">IF(2&gt;Debt_Yr,0,IF(2=Debt_Yr,D3126,MIN(D3126,(D1005+D1308+D1611+D2217)*Cash_Sweep)))</f>
        <v>0</v>
      </c>
      <c r="E3429" s="99" t="n">
        <f aca="false">IF(3&gt;Debt_Yr,0,IF(3=Debt_Yr,E3126,MIN(E3126,(E1005+E1308+E1611+E2217)*Cash_Sweep)))</f>
        <v>0</v>
      </c>
      <c r="F3429" s="99" t="n">
        <f aca="false">IF(4&gt;Debt_Yr,0,IF(4=Debt_Yr,F3126,MIN(F3126,(F1005+F1308+F1611+F2217)*Cash_Sweep)))</f>
        <v>0</v>
      </c>
      <c r="G3429" s="99" t="n">
        <f aca="false">IF(5&gt;Debt_Yr,0,IF(5=Debt_Yr,G3126,MIN(G3126,(G1005+G1308+G1611+G2217)*Cash_Sweep)))</f>
        <v>0</v>
      </c>
      <c r="H3429" s="99" t="n">
        <f aca="false">IF(6&gt;Debt_Yr,0,IF(6=Debt_Yr,H3126,MIN(H3126,(H1005+H1308+H1611+H2217)*Cash_Sweep)))</f>
        <v>0</v>
      </c>
      <c r="I3429" s="99" t="n">
        <f aca="false">IF(7&gt;Debt_Yr,0,IF(7=Debt_Yr,I3126,MIN(I3126,(I1005+I1308+I1611+I2217)*Cash_Sweep)))</f>
        <v>0</v>
      </c>
      <c r="J3429" s="99" t="n">
        <f aca="false">IF(8&gt;Debt_Yr,0,IF(8=Debt_Yr,J3126,MIN(J3126,(J1005+J1308+J1611+J2217)*Cash_Sweep)))</f>
        <v>0</v>
      </c>
      <c r="K3429" s="99" t="n">
        <f aca="false">IF(9&gt;Debt_Yr,0,IF(9=Debt_Yr,K3126,MIN(K3126,(K1005+K1308+K1611+K2217)*Cash_Sweep)))</f>
        <v>0</v>
      </c>
      <c r="L3429" s="99" t="n">
        <f aca="false">IF(10&gt;Debt_Yr,0,IF(10=Debt_Yr,L3126,MIN(L3126,(L1005+L1308+L1611+L2217)*Cash_Sweep)))</f>
        <v>0</v>
      </c>
    </row>
    <row r="3430" customFormat="false" ht="15" hidden="false" customHeight="false" outlineLevel="0" collapsed="false">
      <c r="B3430" s="108" t="n">
        <f aca="false">'Loan Tape'!$A93</f>
        <v>0</v>
      </c>
      <c r="C3430" s="71" t="n">
        <f aca="false">IF(1&gt;Debt_Yr,0,IF(1=Debt_Yr,C3127,MIN(C3127,(C1006+C1309+C1612+C2218)*Cash_Sweep)))</f>
        <v>0</v>
      </c>
      <c r="D3430" s="71" t="n">
        <f aca="false">IF(2&gt;Debt_Yr,0,IF(2=Debt_Yr,D3127,MIN(D3127,(D1006+D1309+D1612+D2218)*Cash_Sweep)))</f>
        <v>0</v>
      </c>
      <c r="E3430" s="71" t="n">
        <f aca="false">IF(3&gt;Debt_Yr,0,IF(3=Debt_Yr,E3127,MIN(E3127,(E1006+E1309+E1612+E2218)*Cash_Sweep)))</f>
        <v>0</v>
      </c>
      <c r="F3430" s="71" t="n">
        <f aca="false">IF(4&gt;Debt_Yr,0,IF(4=Debt_Yr,F3127,MIN(F3127,(F1006+F1309+F1612+F2218)*Cash_Sweep)))</f>
        <v>0</v>
      </c>
      <c r="G3430" s="71" t="n">
        <f aca="false">IF(5&gt;Debt_Yr,0,IF(5=Debt_Yr,G3127,MIN(G3127,(G1006+G1309+G1612+G2218)*Cash_Sweep)))</f>
        <v>0</v>
      </c>
      <c r="H3430" s="71" t="n">
        <f aca="false">IF(6&gt;Debt_Yr,0,IF(6=Debt_Yr,H3127,MIN(H3127,(H1006+H1309+H1612+H2218)*Cash_Sweep)))</f>
        <v>0</v>
      </c>
      <c r="I3430" s="71" t="n">
        <f aca="false">IF(7&gt;Debt_Yr,0,IF(7=Debt_Yr,I3127,MIN(I3127,(I1006+I1309+I1612+I2218)*Cash_Sweep)))</f>
        <v>0</v>
      </c>
      <c r="J3430" s="71" t="n">
        <f aca="false">IF(8&gt;Debt_Yr,0,IF(8=Debt_Yr,J3127,MIN(J3127,(J1006+J1309+J1612+J2218)*Cash_Sweep)))</f>
        <v>0</v>
      </c>
      <c r="K3430" s="71" t="n">
        <f aca="false">IF(9&gt;Debt_Yr,0,IF(9=Debt_Yr,K3127,MIN(K3127,(K1006+K1309+K1612+K2218)*Cash_Sweep)))</f>
        <v>0</v>
      </c>
      <c r="L3430" s="71" t="n">
        <f aca="false">IF(10&gt;Debt_Yr,0,IF(10=Debt_Yr,L3127,MIN(L3127,(L1006+L1309+L1612+L2218)*Cash_Sweep)))</f>
        <v>0</v>
      </c>
    </row>
    <row r="3431" customFormat="false" ht="15" hidden="false" customHeight="false" outlineLevel="0" collapsed="false">
      <c r="B3431" s="102" t="n">
        <f aca="false">'Loan Tape'!$A94</f>
        <v>0</v>
      </c>
      <c r="C3431" s="99" t="n">
        <f aca="false">IF(1&gt;Debt_Yr,0,IF(1=Debt_Yr,C3128,MIN(C3128,(C1007+C1310+C1613+C2219)*Cash_Sweep)))</f>
        <v>0</v>
      </c>
      <c r="D3431" s="99" t="n">
        <f aca="false">IF(2&gt;Debt_Yr,0,IF(2=Debt_Yr,D3128,MIN(D3128,(D1007+D1310+D1613+D2219)*Cash_Sweep)))</f>
        <v>0</v>
      </c>
      <c r="E3431" s="99" t="n">
        <f aca="false">IF(3&gt;Debt_Yr,0,IF(3=Debt_Yr,E3128,MIN(E3128,(E1007+E1310+E1613+E2219)*Cash_Sweep)))</f>
        <v>0</v>
      </c>
      <c r="F3431" s="99" t="n">
        <f aca="false">IF(4&gt;Debt_Yr,0,IF(4=Debt_Yr,F3128,MIN(F3128,(F1007+F1310+F1613+F2219)*Cash_Sweep)))</f>
        <v>0</v>
      </c>
      <c r="G3431" s="99" t="n">
        <f aca="false">IF(5&gt;Debt_Yr,0,IF(5=Debt_Yr,G3128,MIN(G3128,(G1007+G1310+G1613+G2219)*Cash_Sweep)))</f>
        <v>0</v>
      </c>
      <c r="H3431" s="99" t="n">
        <f aca="false">IF(6&gt;Debt_Yr,0,IF(6=Debt_Yr,H3128,MIN(H3128,(H1007+H1310+H1613+H2219)*Cash_Sweep)))</f>
        <v>0</v>
      </c>
      <c r="I3431" s="99" t="n">
        <f aca="false">IF(7&gt;Debt_Yr,0,IF(7=Debt_Yr,I3128,MIN(I3128,(I1007+I1310+I1613+I2219)*Cash_Sweep)))</f>
        <v>0</v>
      </c>
      <c r="J3431" s="99" t="n">
        <f aca="false">IF(8&gt;Debt_Yr,0,IF(8=Debt_Yr,J3128,MIN(J3128,(J1007+J1310+J1613+J2219)*Cash_Sweep)))</f>
        <v>0</v>
      </c>
      <c r="K3431" s="99" t="n">
        <f aca="false">IF(9&gt;Debt_Yr,0,IF(9=Debt_Yr,K3128,MIN(K3128,(K1007+K1310+K1613+K2219)*Cash_Sweep)))</f>
        <v>0</v>
      </c>
      <c r="L3431" s="99" t="n">
        <f aca="false">IF(10&gt;Debt_Yr,0,IF(10=Debt_Yr,L3128,MIN(L3128,(L1007+L1310+L1613+L2219)*Cash_Sweep)))</f>
        <v>0</v>
      </c>
    </row>
    <row r="3432" customFormat="false" ht="15" hidden="false" customHeight="false" outlineLevel="0" collapsed="false">
      <c r="B3432" s="108" t="n">
        <f aca="false">'Loan Tape'!$A95</f>
        <v>0</v>
      </c>
      <c r="C3432" s="71" t="n">
        <f aca="false">IF(1&gt;Debt_Yr,0,IF(1=Debt_Yr,C3129,MIN(C3129,(C1008+C1311+C1614+C2220)*Cash_Sweep)))</f>
        <v>0</v>
      </c>
      <c r="D3432" s="71" t="n">
        <f aca="false">IF(2&gt;Debt_Yr,0,IF(2=Debt_Yr,D3129,MIN(D3129,(D1008+D1311+D1614+D2220)*Cash_Sweep)))</f>
        <v>0</v>
      </c>
      <c r="E3432" s="71" t="n">
        <f aca="false">IF(3&gt;Debt_Yr,0,IF(3=Debt_Yr,E3129,MIN(E3129,(E1008+E1311+E1614+E2220)*Cash_Sweep)))</f>
        <v>0</v>
      </c>
      <c r="F3432" s="71" t="n">
        <f aca="false">IF(4&gt;Debt_Yr,0,IF(4=Debt_Yr,F3129,MIN(F3129,(F1008+F1311+F1614+F2220)*Cash_Sweep)))</f>
        <v>0</v>
      </c>
      <c r="G3432" s="71" t="n">
        <f aca="false">IF(5&gt;Debt_Yr,0,IF(5=Debt_Yr,G3129,MIN(G3129,(G1008+G1311+G1614+G2220)*Cash_Sweep)))</f>
        <v>0</v>
      </c>
      <c r="H3432" s="71" t="n">
        <f aca="false">IF(6&gt;Debt_Yr,0,IF(6=Debt_Yr,H3129,MIN(H3129,(H1008+H1311+H1614+H2220)*Cash_Sweep)))</f>
        <v>0</v>
      </c>
      <c r="I3432" s="71" t="n">
        <f aca="false">IF(7&gt;Debt_Yr,0,IF(7=Debt_Yr,I3129,MIN(I3129,(I1008+I1311+I1614+I2220)*Cash_Sweep)))</f>
        <v>0</v>
      </c>
      <c r="J3432" s="71" t="n">
        <f aca="false">IF(8&gt;Debt_Yr,0,IF(8=Debt_Yr,J3129,MIN(J3129,(J1008+J1311+J1614+J2220)*Cash_Sweep)))</f>
        <v>0</v>
      </c>
      <c r="K3432" s="71" t="n">
        <f aca="false">IF(9&gt;Debt_Yr,0,IF(9=Debt_Yr,K3129,MIN(K3129,(K1008+K1311+K1614+K2220)*Cash_Sweep)))</f>
        <v>0</v>
      </c>
      <c r="L3432" s="71" t="n">
        <f aca="false">IF(10&gt;Debt_Yr,0,IF(10=Debt_Yr,L3129,MIN(L3129,(L1008+L1311+L1614+L2220)*Cash_Sweep)))</f>
        <v>0</v>
      </c>
    </row>
    <row r="3433" customFormat="false" ht="15" hidden="false" customHeight="false" outlineLevel="0" collapsed="false">
      <c r="B3433" s="102" t="n">
        <f aca="false">'Loan Tape'!$A96</f>
        <v>0</v>
      </c>
      <c r="C3433" s="99" t="n">
        <f aca="false">IF(1&gt;Debt_Yr,0,IF(1=Debt_Yr,C3130,MIN(C3130,(C1009+C1312+C1615+C2221)*Cash_Sweep)))</f>
        <v>0</v>
      </c>
      <c r="D3433" s="99" t="n">
        <f aca="false">IF(2&gt;Debt_Yr,0,IF(2=Debt_Yr,D3130,MIN(D3130,(D1009+D1312+D1615+D2221)*Cash_Sweep)))</f>
        <v>0</v>
      </c>
      <c r="E3433" s="99" t="n">
        <f aca="false">IF(3&gt;Debt_Yr,0,IF(3=Debt_Yr,E3130,MIN(E3130,(E1009+E1312+E1615+E2221)*Cash_Sweep)))</f>
        <v>0</v>
      </c>
      <c r="F3433" s="99" t="n">
        <f aca="false">IF(4&gt;Debt_Yr,0,IF(4=Debt_Yr,F3130,MIN(F3130,(F1009+F1312+F1615+F2221)*Cash_Sweep)))</f>
        <v>0</v>
      </c>
      <c r="G3433" s="99" t="n">
        <f aca="false">IF(5&gt;Debt_Yr,0,IF(5=Debt_Yr,G3130,MIN(G3130,(G1009+G1312+G1615+G2221)*Cash_Sweep)))</f>
        <v>0</v>
      </c>
      <c r="H3433" s="99" t="n">
        <f aca="false">IF(6&gt;Debt_Yr,0,IF(6=Debt_Yr,H3130,MIN(H3130,(H1009+H1312+H1615+H2221)*Cash_Sweep)))</f>
        <v>0</v>
      </c>
      <c r="I3433" s="99" t="n">
        <f aca="false">IF(7&gt;Debt_Yr,0,IF(7=Debt_Yr,I3130,MIN(I3130,(I1009+I1312+I1615+I2221)*Cash_Sweep)))</f>
        <v>0</v>
      </c>
      <c r="J3433" s="99" t="n">
        <f aca="false">IF(8&gt;Debt_Yr,0,IF(8=Debt_Yr,J3130,MIN(J3130,(J1009+J1312+J1615+J2221)*Cash_Sweep)))</f>
        <v>0</v>
      </c>
      <c r="K3433" s="99" t="n">
        <f aca="false">IF(9&gt;Debt_Yr,0,IF(9=Debt_Yr,K3130,MIN(K3130,(K1009+K1312+K1615+K2221)*Cash_Sweep)))</f>
        <v>0</v>
      </c>
      <c r="L3433" s="99" t="n">
        <f aca="false">IF(10&gt;Debt_Yr,0,IF(10=Debt_Yr,L3130,MIN(L3130,(L1009+L1312+L1615+L2221)*Cash_Sweep)))</f>
        <v>0</v>
      </c>
    </row>
    <row r="3434" customFormat="false" ht="15" hidden="false" customHeight="false" outlineLevel="0" collapsed="false">
      <c r="B3434" s="108" t="n">
        <f aca="false">'Loan Tape'!$A97</f>
        <v>0</v>
      </c>
      <c r="C3434" s="71" t="n">
        <f aca="false">IF(1&gt;Debt_Yr,0,IF(1=Debt_Yr,C3131,MIN(C3131,(C1010+C1313+C1616+C2222)*Cash_Sweep)))</f>
        <v>0</v>
      </c>
      <c r="D3434" s="71" t="n">
        <f aca="false">IF(2&gt;Debt_Yr,0,IF(2=Debt_Yr,D3131,MIN(D3131,(D1010+D1313+D1616+D2222)*Cash_Sweep)))</f>
        <v>0</v>
      </c>
      <c r="E3434" s="71" t="n">
        <f aca="false">IF(3&gt;Debt_Yr,0,IF(3=Debt_Yr,E3131,MIN(E3131,(E1010+E1313+E1616+E2222)*Cash_Sweep)))</f>
        <v>0</v>
      </c>
      <c r="F3434" s="71" t="n">
        <f aca="false">IF(4&gt;Debt_Yr,0,IF(4=Debt_Yr,F3131,MIN(F3131,(F1010+F1313+F1616+F2222)*Cash_Sweep)))</f>
        <v>0</v>
      </c>
      <c r="G3434" s="71" t="n">
        <f aca="false">IF(5&gt;Debt_Yr,0,IF(5=Debt_Yr,G3131,MIN(G3131,(G1010+G1313+G1616+G2222)*Cash_Sweep)))</f>
        <v>0</v>
      </c>
      <c r="H3434" s="71" t="n">
        <f aca="false">IF(6&gt;Debt_Yr,0,IF(6=Debt_Yr,H3131,MIN(H3131,(H1010+H1313+H1616+H2222)*Cash_Sweep)))</f>
        <v>0</v>
      </c>
      <c r="I3434" s="71" t="n">
        <f aca="false">IF(7&gt;Debt_Yr,0,IF(7=Debt_Yr,I3131,MIN(I3131,(I1010+I1313+I1616+I2222)*Cash_Sweep)))</f>
        <v>0</v>
      </c>
      <c r="J3434" s="71" t="n">
        <f aca="false">IF(8&gt;Debt_Yr,0,IF(8=Debt_Yr,J3131,MIN(J3131,(J1010+J1313+J1616+J2222)*Cash_Sweep)))</f>
        <v>0</v>
      </c>
      <c r="K3434" s="71" t="n">
        <f aca="false">IF(9&gt;Debt_Yr,0,IF(9=Debt_Yr,K3131,MIN(K3131,(K1010+K1313+K1616+K2222)*Cash_Sweep)))</f>
        <v>0</v>
      </c>
      <c r="L3434" s="71" t="n">
        <f aca="false">IF(10&gt;Debt_Yr,0,IF(10=Debt_Yr,L3131,MIN(L3131,(L1010+L1313+L1616+L2222)*Cash_Sweep)))</f>
        <v>0</v>
      </c>
    </row>
    <row r="3435" customFormat="false" ht="15" hidden="false" customHeight="false" outlineLevel="0" collapsed="false">
      <c r="B3435" s="102" t="n">
        <f aca="false">'Loan Tape'!$A98</f>
        <v>0</v>
      </c>
      <c r="C3435" s="99" t="n">
        <f aca="false">IF(1&gt;Debt_Yr,0,IF(1=Debt_Yr,C3132,MIN(C3132,(C1011+C1314+C1617+C2223)*Cash_Sweep)))</f>
        <v>0</v>
      </c>
      <c r="D3435" s="99" t="n">
        <f aca="false">IF(2&gt;Debt_Yr,0,IF(2=Debt_Yr,D3132,MIN(D3132,(D1011+D1314+D1617+D2223)*Cash_Sweep)))</f>
        <v>0</v>
      </c>
      <c r="E3435" s="99" t="n">
        <f aca="false">IF(3&gt;Debt_Yr,0,IF(3=Debt_Yr,E3132,MIN(E3132,(E1011+E1314+E1617+E2223)*Cash_Sweep)))</f>
        <v>0</v>
      </c>
      <c r="F3435" s="99" t="n">
        <f aca="false">IF(4&gt;Debt_Yr,0,IF(4=Debt_Yr,F3132,MIN(F3132,(F1011+F1314+F1617+F2223)*Cash_Sweep)))</f>
        <v>0</v>
      </c>
      <c r="G3435" s="99" t="n">
        <f aca="false">IF(5&gt;Debt_Yr,0,IF(5=Debt_Yr,G3132,MIN(G3132,(G1011+G1314+G1617+G2223)*Cash_Sweep)))</f>
        <v>0</v>
      </c>
      <c r="H3435" s="99" t="n">
        <f aca="false">IF(6&gt;Debt_Yr,0,IF(6=Debt_Yr,H3132,MIN(H3132,(H1011+H1314+H1617+H2223)*Cash_Sweep)))</f>
        <v>0</v>
      </c>
      <c r="I3435" s="99" t="n">
        <f aca="false">IF(7&gt;Debt_Yr,0,IF(7=Debt_Yr,I3132,MIN(I3132,(I1011+I1314+I1617+I2223)*Cash_Sweep)))</f>
        <v>0</v>
      </c>
      <c r="J3435" s="99" t="n">
        <f aca="false">IF(8&gt;Debt_Yr,0,IF(8=Debt_Yr,J3132,MIN(J3132,(J1011+J1314+J1617+J2223)*Cash_Sweep)))</f>
        <v>0</v>
      </c>
      <c r="K3435" s="99" t="n">
        <f aca="false">IF(9&gt;Debt_Yr,0,IF(9=Debt_Yr,K3132,MIN(K3132,(K1011+K1314+K1617+K2223)*Cash_Sweep)))</f>
        <v>0</v>
      </c>
      <c r="L3435" s="99" t="n">
        <f aca="false">IF(10&gt;Debt_Yr,0,IF(10=Debt_Yr,L3132,MIN(L3132,(L1011+L1314+L1617+L2223)*Cash_Sweep)))</f>
        <v>0</v>
      </c>
    </row>
    <row r="3436" customFormat="false" ht="15" hidden="false" customHeight="false" outlineLevel="0" collapsed="false">
      <c r="B3436" s="108" t="n">
        <f aca="false">'Loan Tape'!$A99</f>
        <v>0</v>
      </c>
      <c r="C3436" s="71" t="n">
        <f aca="false">IF(1&gt;Debt_Yr,0,IF(1=Debt_Yr,C3133,MIN(C3133,(C1012+C1315+C1618+C2224)*Cash_Sweep)))</f>
        <v>0</v>
      </c>
      <c r="D3436" s="71" t="n">
        <f aca="false">IF(2&gt;Debt_Yr,0,IF(2=Debt_Yr,D3133,MIN(D3133,(D1012+D1315+D1618+D2224)*Cash_Sweep)))</f>
        <v>0</v>
      </c>
      <c r="E3436" s="71" t="n">
        <f aca="false">IF(3&gt;Debt_Yr,0,IF(3=Debt_Yr,E3133,MIN(E3133,(E1012+E1315+E1618+E2224)*Cash_Sweep)))</f>
        <v>0</v>
      </c>
      <c r="F3436" s="71" t="n">
        <f aca="false">IF(4&gt;Debt_Yr,0,IF(4=Debt_Yr,F3133,MIN(F3133,(F1012+F1315+F1618+F2224)*Cash_Sweep)))</f>
        <v>0</v>
      </c>
      <c r="G3436" s="71" t="n">
        <f aca="false">IF(5&gt;Debt_Yr,0,IF(5=Debt_Yr,G3133,MIN(G3133,(G1012+G1315+G1618+G2224)*Cash_Sweep)))</f>
        <v>0</v>
      </c>
      <c r="H3436" s="71" t="n">
        <f aca="false">IF(6&gt;Debt_Yr,0,IF(6=Debt_Yr,H3133,MIN(H3133,(H1012+H1315+H1618+H2224)*Cash_Sweep)))</f>
        <v>0</v>
      </c>
      <c r="I3436" s="71" t="n">
        <f aca="false">IF(7&gt;Debt_Yr,0,IF(7=Debt_Yr,I3133,MIN(I3133,(I1012+I1315+I1618+I2224)*Cash_Sweep)))</f>
        <v>0</v>
      </c>
      <c r="J3436" s="71" t="n">
        <f aca="false">IF(8&gt;Debt_Yr,0,IF(8=Debt_Yr,J3133,MIN(J3133,(J1012+J1315+J1618+J2224)*Cash_Sweep)))</f>
        <v>0</v>
      </c>
      <c r="K3436" s="71" t="n">
        <f aca="false">IF(9&gt;Debt_Yr,0,IF(9=Debt_Yr,K3133,MIN(K3133,(K1012+K1315+K1618+K2224)*Cash_Sweep)))</f>
        <v>0</v>
      </c>
      <c r="L3436" s="71" t="n">
        <f aca="false">IF(10&gt;Debt_Yr,0,IF(10=Debt_Yr,L3133,MIN(L3133,(L1012+L1315+L1618+L2224)*Cash_Sweep)))</f>
        <v>0</v>
      </c>
    </row>
    <row r="3437" customFormat="false" ht="15" hidden="false" customHeight="false" outlineLevel="0" collapsed="false">
      <c r="B3437" s="102" t="n">
        <f aca="false">'Loan Tape'!$A100</f>
        <v>0</v>
      </c>
      <c r="C3437" s="99" t="n">
        <f aca="false">IF(1&gt;Debt_Yr,0,IF(1=Debt_Yr,C3134,MIN(C3134,(C1013+C1316+C1619+C2225)*Cash_Sweep)))</f>
        <v>0</v>
      </c>
      <c r="D3437" s="99" t="n">
        <f aca="false">IF(2&gt;Debt_Yr,0,IF(2=Debt_Yr,D3134,MIN(D3134,(D1013+D1316+D1619+D2225)*Cash_Sweep)))</f>
        <v>0</v>
      </c>
      <c r="E3437" s="99" t="n">
        <f aca="false">IF(3&gt;Debt_Yr,0,IF(3=Debt_Yr,E3134,MIN(E3134,(E1013+E1316+E1619+E2225)*Cash_Sweep)))</f>
        <v>0</v>
      </c>
      <c r="F3437" s="99" t="n">
        <f aca="false">IF(4&gt;Debt_Yr,0,IF(4=Debt_Yr,F3134,MIN(F3134,(F1013+F1316+F1619+F2225)*Cash_Sweep)))</f>
        <v>0</v>
      </c>
      <c r="G3437" s="99" t="n">
        <f aca="false">IF(5&gt;Debt_Yr,0,IF(5=Debt_Yr,G3134,MIN(G3134,(G1013+G1316+G1619+G2225)*Cash_Sweep)))</f>
        <v>0</v>
      </c>
      <c r="H3437" s="99" t="n">
        <f aca="false">IF(6&gt;Debt_Yr,0,IF(6=Debt_Yr,H3134,MIN(H3134,(H1013+H1316+H1619+H2225)*Cash_Sweep)))</f>
        <v>0</v>
      </c>
      <c r="I3437" s="99" t="n">
        <f aca="false">IF(7&gt;Debt_Yr,0,IF(7=Debt_Yr,I3134,MIN(I3134,(I1013+I1316+I1619+I2225)*Cash_Sweep)))</f>
        <v>0</v>
      </c>
      <c r="J3437" s="99" t="n">
        <f aca="false">IF(8&gt;Debt_Yr,0,IF(8=Debt_Yr,J3134,MIN(J3134,(J1013+J1316+J1619+J2225)*Cash_Sweep)))</f>
        <v>0</v>
      </c>
      <c r="K3437" s="99" t="n">
        <f aca="false">IF(9&gt;Debt_Yr,0,IF(9=Debt_Yr,K3134,MIN(K3134,(K1013+K1316+K1619+K2225)*Cash_Sweep)))</f>
        <v>0</v>
      </c>
      <c r="L3437" s="99" t="n">
        <f aca="false">IF(10&gt;Debt_Yr,0,IF(10=Debt_Yr,L3134,MIN(L3134,(L1013+L1316+L1619+L2225)*Cash_Sweep)))</f>
        <v>0</v>
      </c>
    </row>
    <row r="3438" customFormat="false" ht="15" hidden="false" customHeight="false" outlineLevel="0" collapsed="false">
      <c r="B3438" s="108" t="n">
        <f aca="false">'Loan Tape'!$A101</f>
        <v>0</v>
      </c>
      <c r="C3438" s="71" t="n">
        <f aca="false">IF(1&gt;Debt_Yr,0,IF(1=Debt_Yr,C3135,MIN(C3135,(C1014+C1317+C1620+C2226)*Cash_Sweep)))</f>
        <v>0</v>
      </c>
      <c r="D3438" s="71" t="n">
        <f aca="false">IF(2&gt;Debt_Yr,0,IF(2=Debt_Yr,D3135,MIN(D3135,(D1014+D1317+D1620+D2226)*Cash_Sweep)))</f>
        <v>0</v>
      </c>
      <c r="E3438" s="71" t="n">
        <f aca="false">IF(3&gt;Debt_Yr,0,IF(3=Debt_Yr,E3135,MIN(E3135,(E1014+E1317+E1620+E2226)*Cash_Sweep)))</f>
        <v>0</v>
      </c>
      <c r="F3438" s="71" t="n">
        <f aca="false">IF(4&gt;Debt_Yr,0,IF(4=Debt_Yr,F3135,MIN(F3135,(F1014+F1317+F1620+F2226)*Cash_Sweep)))</f>
        <v>0</v>
      </c>
      <c r="G3438" s="71" t="n">
        <f aca="false">IF(5&gt;Debt_Yr,0,IF(5=Debt_Yr,G3135,MIN(G3135,(G1014+G1317+G1620+G2226)*Cash_Sweep)))</f>
        <v>0</v>
      </c>
      <c r="H3438" s="71" t="n">
        <f aca="false">IF(6&gt;Debt_Yr,0,IF(6=Debt_Yr,H3135,MIN(H3135,(H1014+H1317+H1620+H2226)*Cash_Sweep)))</f>
        <v>0</v>
      </c>
      <c r="I3438" s="71" t="n">
        <f aca="false">IF(7&gt;Debt_Yr,0,IF(7=Debt_Yr,I3135,MIN(I3135,(I1014+I1317+I1620+I2226)*Cash_Sweep)))</f>
        <v>0</v>
      </c>
      <c r="J3438" s="71" t="n">
        <f aca="false">IF(8&gt;Debt_Yr,0,IF(8=Debt_Yr,J3135,MIN(J3135,(J1014+J1317+J1620+J2226)*Cash_Sweep)))</f>
        <v>0</v>
      </c>
      <c r="K3438" s="71" t="n">
        <f aca="false">IF(9&gt;Debt_Yr,0,IF(9=Debt_Yr,K3135,MIN(K3135,(K1014+K1317+K1620+K2226)*Cash_Sweep)))</f>
        <v>0</v>
      </c>
      <c r="L3438" s="71" t="n">
        <f aca="false">IF(10&gt;Debt_Yr,0,IF(10=Debt_Yr,L3135,MIN(L3135,(L1014+L1317+L1620+L2226)*Cash_Sweep)))</f>
        <v>0</v>
      </c>
    </row>
    <row r="3439" customFormat="false" ht="15" hidden="false" customHeight="false" outlineLevel="0" collapsed="false">
      <c r="B3439" s="102" t="n">
        <f aca="false">'Loan Tape'!$A102</f>
        <v>0</v>
      </c>
      <c r="C3439" s="99" t="n">
        <f aca="false">IF(1&gt;Debt_Yr,0,IF(1=Debt_Yr,C3136,MIN(C3136,(C1015+C1318+C1621+C2227)*Cash_Sweep)))</f>
        <v>0</v>
      </c>
      <c r="D3439" s="99" t="n">
        <f aca="false">IF(2&gt;Debt_Yr,0,IF(2=Debt_Yr,D3136,MIN(D3136,(D1015+D1318+D1621+D2227)*Cash_Sweep)))</f>
        <v>0</v>
      </c>
      <c r="E3439" s="99" t="n">
        <f aca="false">IF(3&gt;Debt_Yr,0,IF(3=Debt_Yr,E3136,MIN(E3136,(E1015+E1318+E1621+E2227)*Cash_Sweep)))</f>
        <v>0</v>
      </c>
      <c r="F3439" s="99" t="n">
        <f aca="false">IF(4&gt;Debt_Yr,0,IF(4=Debt_Yr,F3136,MIN(F3136,(F1015+F1318+F1621+F2227)*Cash_Sweep)))</f>
        <v>0</v>
      </c>
      <c r="G3439" s="99" t="n">
        <f aca="false">IF(5&gt;Debt_Yr,0,IF(5=Debt_Yr,G3136,MIN(G3136,(G1015+G1318+G1621+G2227)*Cash_Sweep)))</f>
        <v>0</v>
      </c>
      <c r="H3439" s="99" t="n">
        <f aca="false">IF(6&gt;Debt_Yr,0,IF(6=Debt_Yr,H3136,MIN(H3136,(H1015+H1318+H1621+H2227)*Cash_Sweep)))</f>
        <v>0</v>
      </c>
      <c r="I3439" s="99" t="n">
        <f aca="false">IF(7&gt;Debt_Yr,0,IF(7=Debt_Yr,I3136,MIN(I3136,(I1015+I1318+I1621+I2227)*Cash_Sweep)))</f>
        <v>0</v>
      </c>
      <c r="J3439" s="99" t="n">
        <f aca="false">IF(8&gt;Debt_Yr,0,IF(8=Debt_Yr,J3136,MIN(J3136,(J1015+J1318+J1621+J2227)*Cash_Sweep)))</f>
        <v>0</v>
      </c>
      <c r="K3439" s="99" t="n">
        <f aca="false">IF(9&gt;Debt_Yr,0,IF(9=Debt_Yr,K3136,MIN(K3136,(K1015+K1318+K1621+K2227)*Cash_Sweep)))</f>
        <v>0</v>
      </c>
      <c r="L3439" s="99" t="n">
        <f aca="false">IF(10&gt;Debt_Yr,0,IF(10=Debt_Yr,L3136,MIN(L3136,(L1015+L1318+L1621+L2227)*Cash_Sweep)))</f>
        <v>0</v>
      </c>
    </row>
    <row r="3440" customFormat="false" ht="15" hidden="false" customHeight="false" outlineLevel="0" collapsed="false">
      <c r="B3440" s="108" t="n">
        <f aca="false">'Loan Tape'!$A103</f>
        <v>0</v>
      </c>
      <c r="C3440" s="71" t="n">
        <f aca="false">IF(1&gt;Debt_Yr,0,IF(1=Debt_Yr,C3137,MIN(C3137,(C1016+C1319+C1622+C2228)*Cash_Sweep)))</f>
        <v>0</v>
      </c>
      <c r="D3440" s="71" t="n">
        <f aca="false">IF(2&gt;Debt_Yr,0,IF(2=Debt_Yr,D3137,MIN(D3137,(D1016+D1319+D1622+D2228)*Cash_Sweep)))</f>
        <v>0</v>
      </c>
      <c r="E3440" s="71" t="n">
        <f aca="false">IF(3&gt;Debt_Yr,0,IF(3=Debt_Yr,E3137,MIN(E3137,(E1016+E1319+E1622+E2228)*Cash_Sweep)))</f>
        <v>0</v>
      </c>
      <c r="F3440" s="71" t="n">
        <f aca="false">IF(4&gt;Debt_Yr,0,IF(4=Debt_Yr,F3137,MIN(F3137,(F1016+F1319+F1622+F2228)*Cash_Sweep)))</f>
        <v>0</v>
      </c>
      <c r="G3440" s="71" t="n">
        <f aca="false">IF(5&gt;Debt_Yr,0,IF(5=Debt_Yr,G3137,MIN(G3137,(G1016+G1319+G1622+G2228)*Cash_Sweep)))</f>
        <v>0</v>
      </c>
      <c r="H3440" s="71" t="n">
        <f aca="false">IF(6&gt;Debt_Yr,0,IF(6=Debt_Yr,H3137,MIN(H3137,(H1016+H1319+H1622+H2228)*Cash_Sweep)))</f>
        <v>0</v>
      </c>
      <c r="I3440" s="71" t="n">
        <f aca="false">IF(7&gt;Debt_Yr,0,IF(7=Debt_Yr,I3137,MIN(I3137,(I1016+I1319+I1622+I2228)*Cash_Sweep)))</f>
        <v>0</v>
      </c>
      <c r="J3440" s="71" t="n">
        <f aca="false">IF(8&gt;Debt_Yr,0,IF(8=Debt_Yr,J3137,MIN(J3137,(J1016+J1319+J1622+J2228)*Cash_Sweep)))</f>
        <v>0</v>
      </c>
      <c r="K3440" s="71" t="n">
        <f aca="false">IF(9&gt;Debt_Yr,0,IF(9=Debt_Yr,K3137,MIN(K3137,(K1016+K1319+K1622+K2228)*Cash_Sweep)))</f>
        <v>0</v>
      </c>
      <c r="L3440" s="71" t="n">
        <f aca="false">IF(10&gt;Debt_Yr,0,IF(10=Debt_Yr,L3137,MIN(L3137,(L1016+L1319+L1622+L2228)*Cash_Sweep)))</f>
        <v>0</v>
      </c>
    </row>
    <row r="3441" customFormat="false" ht="15" hidden="false" customHeight="false" outlineLevel="0" collapsed="false">
      <c r="B3441" s="102" t="n">
        <f aca="false">'Loan Tape'!$A104</f>
        <v>0</v>
      </c>
      <c r="C3441" s="99" t="n">
        <f aca="false">IF(1&gt;Debt_Yr,0,IF(1=Debt_Yr,C3138,MIN(C3138,(C1017+C1320+C1623+C2229)*Cash_Sweep)))</f>
        <v>0</v>
      </c>
      <c r="D3441" s="99" t="n">
        <f aca="false">IF(2&gt;Debt_Yr,0,IF(2=Debt_Yr,D3138,MIN(D3138,(D1017+D1320+D1623+D2229)*Cash_Sweep)))</f>
        <v>0</v>
      </c>
      <c r="E3441" s="99" t="n">
        <f aca="false">IF(3&gt;Debt_Yr,0,IF(3=Debt_Yr,E3138,MIN(E3138,(E1017+E1320+E1623+E2229)*Cash_Sweep)))</f>
        <v>0</v>
      </c>
      <c r="F3441" s="99" t="n">
        <f aca="false">IF(4&gt;Debt_Yr,0,IF(4=Debt_Yr,F3138,MIN(F3138,(F1017+F1320+F1623+F2229)*Cash_Sweep)))</f>
        <v>0</v>
      </c>
      <c r="G3441" s="99" t="n">
        <f aca="false">IF(5&gt;Debt_Yr,0,IF(5=Debt_Yr,G3138,MIN(G3138,(G1017+G1320+G1623+G2229)*Cash_Sweep)))</f>
        <v>0</v>
      </c>
      <c r="H3441" s="99" t="n">
        <f aca="false">IF(6&gt;Debt_Yr,0,IF(6=Debt_Yr,H3138,MIN(H3138,(H1017+H1320+H1623+H2229)*Cash_Sweep)))</f>
        <v>0</v>
      </c>
      <c r="I3441" s="99" t="n">
        <f aca="false">IF(7&gt;Debt_Yr,0,IF(7=Debt_Yr,I3138,MIN(I3138,(I1017+I1320+I1623+I2229)*Cash_Sweep)))</f>
        <v>0</v>
      </c>
      <c r="J3441" s="99" t="n">
        <f aca="false">IF(8&gt;Debt_Yr,0,IF(8=Debt_Yr,J3138,MIN(J3138,(J1017+J1320+J1623+J2229)*Cash_Sweep)))</f>
        <v>0</v>
      </c>
      <c r="K3441" s="99" t="n">
        <f aca="false">IF(9&gt;Debt_Yr,0,IF(9=Debt_Yr,K3138,MIN(K3138,(K1017+K1320+K1623+K2229)*Cash_Sweep)))</f>
        <v>0</v>
      </c>
      <c r="L3441" s="99" t="n">
        <f aca="false">IF(10&gt;Debt_Yr,0,IF(10=Debt_Yr,L3138,MIN(L3138,(L1017+L1320+L1623+L2229)*Cash_Sweep)))</f>
        <v>0</v>
      </c>
    </row>
    <row r="3442" customFormat="false" ht="15" hidden="false" customHeight="false" outlineLevel="0" collapsed="false">
      <c r="B3442" s="108" t="n">
        <f aca="false">'Loan Tape'!$A105</f>
        <v>0</v>
      </c>
      <c r="C3442" s="71" t="n">
        <f aca="false">IF(1&gt;Debt_Yr,0,IF(1=Debt_Yr,C3139,MIN(C3139,(C1018+C1321+C1624+C2230)*Cash_Sweep)))</f>
        <v>0</v>
      </c>
      <c r="D3442" s="71" t="n">
        <f aca="false">IF(2&gt;Debt_Yr,0,IF(2=Debt_Yr,D3139,MIN(D3139,(D1018+D1321+D1624+D2230)*Cash_Sweep)))</f>
        <v>0</v>
      </c>
      <c r="E3442" s="71" t="n">
        <f aca="false">IF(3&gt;Debt_Yr,0,IF(3=Debt_Yr,E3139,MIN(E3139,(E1018+E1321+E1624+E2230)*Cash_Sweep)))</f>
        <v>0</v>
      </c>
      <c r="F3442" s="71" t="n">
        <f aca="false">IF(4&gt;Debt_Yr,0,IF(4=Debt_Yr,F3139,MIN(F3139,(F1018+F1321+F1624+F2230)*Cash_Sweep)))</f>
        <v>0</v>
      </c>
      <c r="G3442" s="71" t="n">
        <f aca="false">IF(5&gt;Debt_Yr,0,IF(5=Debt_Yr,G3139,MIN(G3139,(G1018+G1321+G1624+G2230)*Cash_Sweep)))</f>
        <v>0</v>
      </c>
      <c r="H3442" s="71" t="n">
        <f aca="false">IF(6&gt;Debt_Yr,0,IF(6=Debt_Yr,H3139,MIN(H3139,(H1018+H1321+H1624+H2230)*Cash_Sweep)))</f>
        <v>0</v>
      </c>
      <c r="I3442" s="71" t="n">
        <f aca="false">IF(7&gt;Debt_Yr,0,IF(7=Debt_Yr,I3139,MIN(I3139,(I1018+I1321+I1624+I2230)*Cash_Sweep)))</f>
        <v>0</v>
      </c>
      <c r="J3442" s="71" t="n">
        <f aca="false">IF(8&gt;Debt_Yr,0,IF(8=Debt_Yr,J3139,MIN(J3139,(J1018+J1321+J1624+J2230)*Cash_Sweep)))</f>
        <v>0</v>
      </c>
      <c r="K3442" s="71" t="n">
        <f aca="false">IF(9&gt;Debt_Yr,0,IF(9=Debt_Yr,K3139,MIN(K3139,(K1018+K1321+K1624+K2230)*Cash_Sweep)))</f>
        <v>0</v>
      </c>
      <c r="L3442" s="71" t="n">
        <f aca="false">IF(10&gt;Debt_Yr,0,IF(10=Debt_Yr,L3139,MIN(L3139,(L1018+L1321+L1624+L2230)*Cash_Sweep)))</f>
        <v>0</v>
      </c>
    </row>
    <row r="3443" customFormat="false" ht="15" hidden="false" customHeight="false" outlineLevel="0" collapsed="false">
      <c r="B3443" s="102" t="n">
        <f aca="false">'Loan Tape'!$A106</f>
        <v>0</v>
      </c>
      <c r="C3443" s="99" t="n">
        <f aca="false">IF(1&gt;Debt_Yr,0,IF(1=Debt_Yr,C3140,MIN(C3140,(C1019+C1322+C1625+C2231)*Cash_Sweep)))</f>
        <v>0</v>
      </c>
      <c r="D3443" s="99" t="n">
        <f aca="false">IF(2&gt;Debt_Yr,0,IF(2=Debt_Yr,D3140,MIN(D3140,(D1019+D1322+D1625+D2231)*Cash_Sweep)))</f>
        <v>0</v>
      </c>
      <c r="E3443" s="99" t="n">
        <f aca="false">IF(3&gt;Debt_Yr,0,IF(3=Debt_Yr,E3140,MIN(E3140,(E1019+E1322+E1625+E2231)*Cash_Sweep)))</f>
        <v>0</v>
      </c>
      <c r="F3443" s="99" t="n">
        <f aca="false">IF(4&gt;Debt_Yr,0,IF(4=Debt_Yr,F3140,MIN(F3140,(F1019+F1322+F1625+F2231)*Cash_Sweep)))</f>
        <v>0</v>
      </c>
      <c r="G3443" s="99" t="n">
        <f aca="false">IF(5&gt;Debt_Yr,0,IF(5=Debt_Yr,G3140,MIN(G3140,(G1019+G1322+G1625+G2231)*Cash_Sweep)))</f>
        <v>0</v>
      </c>
      <c r="H3443" s="99" t="n">
        <f aca="false">IF(6&gt;Debt_Yr,0,IF(6=Debt_Yr,H3140,MIN(H3140,(H1019+H1322+H1625+H2231)*Cash_Sweep)))</f>
        <v>0</v>
      </c>
      <c r="I3443" s="99" t="n">
        <f aca="false">IF(7&gt;Debt_Yr,0,IF(7=Debt_Yr,I3140,MIN(I3140,(I1019+I1322+I1625+I2231)*Cash_Sweep)))</f>
        <v>0</v>
      </c>
      <c r="J3443" s="99" t="n">
        <f aca="false">IF(8&gt;Debt_Yr,0,IF(8=Debt_Yr,J3140,MIN(J3140,(J1019+J1322+J1625+J2231)*Cash_Sweep)))</f>
        <v>0</v>
      </c>
      <c r="K3443" s="99" t="n">
        <f aca="false">IF(9&gt;Debt_Yr,0,IF(9=Debt_Yr,K3140,MIN(K3140,(K1019+K1322+K1625+K2231)*Cash_Sweep)))</f>
        <v>0</v>
      </c>
      <c r="L3443" s="99" t="n">
        <f aca="false">IF(10&gt;Debt_Yr,0,IF(10=Debt_Yr,L3140,MIN(L3140,(L1019+L1322+L1625+L2231)*Cash_Sweep)))</f>
        <v>0</v>
      </c>
    </row>
    <row r="3444" customFormat="false" ht="15" hidden="false" customHeight="false" outlineLevel="0" collapsed="false">
      <c r="B3444" s="108" t="n">
        <f aca="false">'Loan Tape'!$A107</f>
        <v>0</v>
      </c>
      <c r="C3444" s="71" t="n">
        <f aca="false">IF(1&gt;Debt_Yr,0,IF(1=Debt_Yr,C3141,MIN(C3141,(C1020+C1323+C1626+C2232)*Cash_Sweep)))</f>
        <v>0</v>
      </c>
      <c r="D3444" s="71" t="n">
        <f aca="false">IF(2&gt;Debt_Yr,0,IF(2=Debt_Yr,D3141,MIN(D3141,(D1020+D1323+D1626+D2232)*Cash_Sweep)))</f>
        <v>0</v>
      </c>
      <c r="E3444" s="71" t="n">
        <f aca="false">IF(3&gt;Debt_Yr,0,IF(3=Debt_Yr,E3141,MIN(E3141,(E1020+E1323+E1626+E2232)*Cash_Sweep)))</f>
        <v>0</v>
      </c>
      <c r="F3444" s="71" t="n">
        <f aca="false">IF(4&gt;Debt_Yr,0,IF(4=Debt_Yr,F3141,MIN(F3141,(F1020+F1323+F1626+F2232)*Cash_Sweep)))</f>
        <v>0</v>
      </c>
      <c r="G3444" s="71" t="n">
        <f aca="false">IF(5&gt;Debt_Yr,0,IF(5=Debt_Yr,G3141,MIN(G3141,(G1020+G1323+G1626+G2232)*Cash_Sweep)))</f>
        <v>0</v>
      </c>
      <c r="H3444" s="71" t="n">
        <f aca="false">IF(6&gt;Debt_Yr,0,IF(6=Debt_Yr,H3141,MIN(H3141,(H1020+H1323+H1626+H2232)*Cash_Sweep)))</f>
        <v>0</v>
      </c>
      <c r="I3444" s="71" t="n">
        <f aca="false">IF(7&gt;Debt_Yr,0,IF(7=Debt_Yr,I3141,MIN(I3141,(I1020+I1323+I1626+I2232)*Cash_Sweep)))</f>
        <v>0</v>
      </c>
      <c r="J3444" s="71" t="n">
        <f aca="false">IF(8&gt;Debt_Yr,0,IF(8=Debt_Yr,J3141,MIN(J3141,(J1020+J1323+J1626+J2232)*Cash_Sweep)))</f>
        <v>0</v>
      </c>
      <c r="K3444" s="71" t="n">
        <f aca="false">IF(9&gt;Debt_Yr,0,IF(9=Debt_Yr,K3141,MIN(K3141,(K1020+K1323+K1626+K2232)*Cash_Sweep)))</f>
        <v>0</v>
      </c>
      <c r="L3444" s="71" t="n">
        <f aca="false">IF(10&gt;Debt_Yr,0,IF(10=Debt_Yr,L3141,MIN(L3141,(L1020+L1323+L1626+L2232)*Cash_Sweep)))</f>
        <v>0</v>
      </c>
    </row>
    <row r="3445" customFormat="false" ht="15" hidden="false" customHeight="false" outlineLevel="0" collapsed="false">
      <c r="B3445" s="102" t="n">
        <f aca="false">'Loan Tape'!$A108</f>
        <v>0</v>
      </c>
      <c r="C3445" s="99" t="n">
        <f aca="false">IF(1&gt;Debt_Yr,0,IF(1=Debt_Yr,C3142,MIN(C3142,(C1021+C1324+C1627+C2233)*Cash_Sweep)))</f>
        <v>0</v>
      </c>
      <c r="D3445" s="99" t="n">
        <f aca="false">IF(2&gt;Debt_Yr,0,IF(2=Debt_Yr,D3142,MIN(D3142,(D1021+D1324+D1627+D2233)*Cash_Sweep)))</f>
        <v>0</v>
      </c>
      <c r="E3445" s="99" t="n">
        <f aca="false">IF(3&gt;Debt_Yr,0,IF(3=Debt_Yr,E3142,MIN(E3142,(E1021+E1324+E1627+E2233)*Cash_Sweep)))</f>
        <v>0</v>
      </c>
      <c r="F3445" s="99" t="n">
        <f aca="false">IF(4&gt;Debt_Yr,0,IF(4=Debt_Yr,F3142,MIN(F3142,(F1021+F1324+F1627+F2233)*Cash_Sweep)))</f>
        <v>0</v>
      </c>
      <c r="G3445" s="99" t="n">
        <f aca="false">IF(5&gt;Debt_Yr,0,IF(5=Debt_Yr,G3142,MIN(G3142,(G1021+G1324+G1627+G2233)*Cash_Sweep)))</f>
        <v>0</v>
      </c>
      <c r="H3445" s="99" t="n">
        <f aca="false">IF(6&gt;Debt_Yr,0,IF(6=Debt_Yr,H3142,MIN(H3142,(H1021+H1324+H1627+H2233)*Cash_Sweep)))</f>
        <v>0</v>
      </c>
      <c r="I3445" s="99" t="n">
        <f aca="false">IF(7&gt;Debt_Yr,0,IF(7=Debt_Yr,I3142,MIN(I3142,(I1021+I1324+I1627+I2233)*Cash_Sweep)))</f>
        <v>0</v>
      </c>
      <c r="J3445" s="99" t="n">
        <f aca="false">IF(8&gt;Debt_Yr,0,IF(8=Debt_Yr,J3142,MIN(J3142,(J1021+J1324+J1627+J2233)*Cash_Sweep)))</f>
        <v>0</v>
      </c>
      <c r="K3445" s="99" t="n">
        <f aca="false">IF(9&gt;Debt_Yr,0,IF(9=Debt_Yr,K3142,MIN(K3142,(K1021+K1324+K1627+K2233)*Cash_Sweep)))</f>
        <v>0</v>
      </c>
      <c r="L3445" s="99" t="n">
        <f aca="false">IF(10&gt;Debt_Yr,0,IF(10=Debt_Yr,L3142,MIN(L3142,(L1021+L1324+L1627+L2233)*Cash_Sweep)))</f>
        <v>0</v>
      </c>
    </row>
    <row r="3446" customFormat="false" ht="15" hidden="false" customHeight="false" outlineLevel="0" collapsed="false">
      <c r="B3446" s="108" t="n">
        <f aca="false">'Loan Tape'!$A109</f>
        <v>0</v>
      </c>
      <c r="C3446" s="71" t="n">
        <f aca="false">IF(1&gt;Debt_Yr,0,IF(1=Debt_Yr,C3143,MIN(C3143,(C1022+C1325+C1628+C2234)*Cash_Sweep)))</f>
        <v>0</v>
      </c>
      <c r="D3446" s="71" t="n">
        <f aca="false">IF(2&gt;Debt_Yr,0,IF(2=Debt_Yr,D3143,MIN(D3143,(D1022+D1325+D1628+D2234)*Cash_Sweep)))</f>
        <v>0</v>
      </c>
      <c r="E3446" s="71" t="n">
        <f aca="false">IF(3&gt;Debt_Yr,0,IF(3=Debt_Yr,E3143,MIN(E3143,(E1022+E1325+E1628+E2234)*Cash_Sweep)))</f>
        <v>0</v>
      </c>
      <c r="F3446" s="71" t="n">
        <f aca="false">IF(4&gt;Debt_Yr,0,IF(4=Debt_Yr,F3143,MIN(F3143,(F1022+F1325+F1628+F2234)*Cash_Sweep)))</f>
        <v>0</v>
      </c>
      <c r="G3446" s="71" t="n">
        <f aca="false">IF(5&gt;Debt_Yr,0,IF(5=Debt_Yr,G3143,MIN(G3143,(G1022+G1325+G1628+G2234)*Cash_Sweep)))</f>
        <v>0</v>
      </c>
      <c r="H3446" s="71" t="n">
        <f aca="false">IF(6&gt;Debt_Yr,0,IF(6=Debt_Yr,H3143,MIN(H3143,(H1022+H1325+H1628+H2234)*Cash_Sweep)))</f>
        <v>0</v>
      </c>
      <c r="I3446" s="71" t="n">
        <f aca="false">IF(7&gt;Debt_Yr,0,IF(7=Debt_Yr,I3143,MIN(I3143,(I1022+I1325+I1628+I2234)*Cash_Sweep)))</f>
        <v>0</v>
      </c>
      <c r="J3446" s="71" t="n">
        <f aca="false">IF(8&gt;Debt_Yr,0,IF(8=Debt_Yr,J3143,MIN(J3143,(J1022+J1325+J1628+J2234)*Cash_Sweep)))</f>
        <v>0</v>
      </c>
      <c r="K3446" s="71" t="n">
        <f aca="false">IF(9&gt;Debt_Yr,0,IF(9=Debt_Yr,K3143,MIN(K3143,(K1022+K1325+K1628+K2234)*Cash_Sweep)))</f>
        <v>0</v>
      </c>
      <c r="L3446" s="71" t="n">
        <f aca="false">IF(10&gt;Debt_Yr,0,IF(10=Debt_Yr,L3143,MIN(L3143,(L1022+L1325+L1628+L2234)*Cash_Sweep)))</f>
        <v>0</v>
      </c>
    </row>
    <row r="3447" customFormat="false" ht="15" hidden="false" customHeight="false" outlineLevel="0" collapsed="false">
      <c r="B3447" s="102" t="n">
        <f aca="false">'Loan Tape'!$A110</f>
        <v>0</v>
      </c>
      <c r="C3447" s="99" t="n">
        <f aca="false">IF(1&gt;Debt_Yr,0,IF(1=Debt_Yr,C3144,MIN(C3144,(C1023+C1326+C1629+C2235)*Cash_Sweep)))</f>
        <v>0</v>
      </c>
      <c r="D3447" s="99" t="n">
        <f aca="false">IF(2&gt;Debt_Yr,0,IF(2=Debt_Yr,D3144,MIN(D3144,(D1023+D1326+D1629+D2235)*Cash_Sweep)))</f>
        <v>0</v>
      </c>
      <c r="E3447" s="99" t="n">
        <f aca="false">IF(3&gt;Debt_Yr,0,IF(3=Debt_Yr,E3144,MIN(E3144,(E1023+E1326+E1629+E2235)*Cash_Sweep)))</f>
        <v>0</v>
      </c>
      <c r="F3447" s="99" t="n">
        <f aca="false">IF(4&gt;Debt_Yr,0,IF(4=Debt_Yr,F3144,MIN(F3144,(F1023+F1326+F1629+F2235)*Cash_Sweep)))</f>
        <v>0</v>
      </c>
      <c r="G3447" s="99" t="n">
        <f aca="false">IF(5&gt;Debt_Yr,0,IF(5=Debt_Yr,G3144,MIN(G3144,(G1023+G1326+G1629+G2235)*Cash_Sweep)))</f>
        <v>0</v>
      </c>
      <c r="H3447" s="99" t="n">
        <f aca="false">IF(6&gt;Debt_Yr,0,IF(6=Debt_Yr,H3144,MIN(H3144,(H1023+H1326+H1629+H2235)*Cash_Sweep)))</f>
        <v>0</v>
      </c>
      <c r="I3447" s="99" t="n">
        <f aca="false">IF(7&gt;Debt_Yr,0,IF(7=Debt_Yr,I3144,MIN(I3144,(I1023+I1326+I1629+I2235)*Cash_Sweep)))</f>
        <v>0</v>
      </c>
      <c r="J3447" s="99" t="n">
        <f aca="false">IF(8&gt;Debt_Yr,0,IF(8=Debt_Yr,J3144,MIN(J3144,(J1023+J1326+J1629+J2235)*Cash_Sweep)))</f>
        <v>0</v>
      </c>
      <c r="K3447" s="99" t="n">
        <f aca="false">IF(9&gt;Debt_Yr,0,IF(9=Debt_Yr,K3144,MIN(K3144,(K1023+K1326+K1629+K2235)*Cash_Sweep)))</f>
        <v>0</v>
      </c>
      <c r="L3447" s="99" t="n">
        <f aca="false">IF(10&gt;Debt_Yr,0,IF(10=Debt_Yr,L3144,MIN(L3144,(L1023+L1326+L1629+L2235)*Cash_Sweep)))</f>
        <v>0</v>
      </c>
    </row>
    <row r="3448" customFormat="false" ht="15" hidden="false" customHeight="false" outlineLevel="0" collapsed="false">
      <c r="B3448" s="108" t="n">
        <f aca="false">'Loan Tape'!$A111</f>
        <v>0</v>
      </c>
      <c r="C3448" s="71" t="n">
        <f aca="false">IF(1&gt;Debt_Yr,0,IF(1=Debt_Yr,C3145,MIN(C3145,(C1024+C1327+C1630+C2236)*Cash_Sweep)))</f>
        <v>0</v>
      </c>
      <c r="D3448" s="71" t="n">
        <f aca="false">IF(2&gt;Debt_Yr,0,IF(2=Debt_Yr,D3145,MIN(D3145,(D1024+D1327+D1630+D2236)*Cash_Sweep)))</f>
        <v>0</v>
      </c>
      <c r="E3448" s="71" t="n">
        <f aca="false">IF(3&gt;Debt_Yr,0,IF(3=Debt_Yr,E3145,MIN(E3145,(E1024+E1327+E1630+E2236)*Cash_Sweep)))</f>
        <v>0</v>
      </c>
      <c r="F3448" s="71" t="n">
        <f aca="false">IF(4&gt;Debt_Yr,0,IF(4=Debt_Yr,F3145,MIN(F3145,(F1024+F1327+F1630+F2236)*Cash_Sweep)))</f>
        <v>0</v>
      </c>
      <c r="G3448" s="71" t="n">
        <f aca="false">IF(5&gt;Debt_Yr,0,IF(5=Debt_Yr,G3145,MIN(G3145,(G1024+G1327+G1630+G2236)*Cash_Sweep)))</f>
        <v>0</v>
      </c>
      <c r="H3448" s="71" t="n">
        <f aca="false">IF(6&gt;Debt_Yr,0,IF(6=Debt_Yr,H3145,MIN(H3145,(H1024+H1327+H1630+H2236)*Cash_Sweep)))</f>
        <v>0</v>
      </c>
      <c r="I3448" s="71" t="n">
        <f aca="false">IF(7&gt;Debt_Yr,0,IF(7=Debt_Yr,I3145,MIN(I3145,(I1024+I1327+I1630+I2236)*Cash_Sweep)))</f>
        <v>0</v>
      </c>
      <c r="J3448" s="71" t="n">
        <f aca="false">IF(8&gt;Debt_Yr,0,IF(8=Debt_Yr,J3145,MIN(J3145,(J1024+J1327+J1630+J2236)*Cash_Sweep)))</f>
        <v>0</v>
      </c>
      <c r="K3448" s="71" t="n">
        <f aca="false">IF(9&gt;Debt_Yr,0,IF(9=Debt_Yr,K3145,MIN(K3145,(K1024+K1327+K1630+K2236)*Cash_Sweep)))</f>
        <v>0</v>
      </c>
      <c r="L3448" s="71" t="n">
        <f aca="false">IF(10&gt;Debt_Yr,0,IF(10=Debt_Yr,L3145,MIN(L3145,(L1024+L1327+L1630+L2236)*Cash_Sweep)))</f>
        <v>0</v>
      </c>
    </row>
    <row r="3449" customFormat="false" ht="15" hidden="false" customHeight="false" outlineLevel="0" collapsed="false">
      <c r="B3449" s="102" t="n">
        <f aca="false">'Loan Tape'!$A112</f>
        <v>0</v>
      </c>
      <c r="C3449" s="99" t="n">
        <f aca="false">IF(1&gt;Debt_Yr,0,IF(1=Debt_Yr,C3146,MIN(C3146,(C1025+C1328+C1631+C2237)*Cash_Sweep)))</f>
        <v>0</v>
      </c>
      <c r="D3449" s="99" t="n">
        <f aca="false">IF(2&gt;Debt_Yr,0,IF(2=Debt_Yr,D3146,MIN(D3146,(D1025+D1328+D1631+D2237)*Cash_Sweep)))</f>
        <v>0</v>
      </c>
      <c r="E3449" s="99" t="n">
        <f aca="false">IF(3&gt;Debt_Yr,0,IF(3=Debt_Yr,E3146,MIN(E3146,(E1025+E1328+E1631+E2237)*Cash_Sweep)))</f>
        <v>0</v>
      </c>
      <c r="F3449" s="99" t="n">
        <f aca="false">IF(4&gt;Debt_Yr,0,IF(4=Debt_Yr,F3146,MIN(F3146,(F1025+F1328+F1631+F2237)*Cash_Sweep)))</f>
        <v>0</v>
      </c>
      <c r="G3449" s="99" t="n">
        <f aca="false">IF(5&gt;Debt_Yr,0,IF(5=Debt_Yr,G3146,MIN(G3146,(G1025+G1328+G1631+G2237)*Cash_Sweep)))</f>
        <v>0</v>
      </c>
      <c r="H3449" s="99" t="n">
        <f aca="false">IF(6&gt;Debt_Yr,0,IF(6=Debt_Yr,H3146,MIN(H3146,(H1025+H1328+H1631+H2237)*Cash_Sweep)))</f>
        <v>0</v>
      </c>
      <c r="I3449" s="99" t="n">
        <f aca="false">IF(7&gt;Debt_Yr,0,IF(7=Debt_Yr,I3146,MIN(I3146,(I1025+I1328+I1631+I2237)*Cash_Sweep)))</f>
        <v>0</v>
      </c>
      <c r="J3449" s="99" t="n">
        <f aca="false">IF(8&gt;Debt_Yr,0,IF(8=Debt_Yr,J3146,MIN(J3146,(J1025+J1328+J1631+J2237)*Cash_Sweep)))</f>
        <v>0</v>
      </c>
      <c r="K3449" s="99" t="n">
        <f aca="false">IF(9&gt;Debt_Yr,0,IF(9=Debt_Yr,K3146,MIN(K3146,(K1025+K1328+K1631+K2237)*Cash_Sweep)))</f>
        <v>0</v>
      </c>
      <c r="L3449" s="99" t="n">
        <f aca="false">IF(10&gt;Debt_Yr,0,IF(10=Debt_Yr,L3146,MIN(L3146,(L1025+L1328+L1631+L2237)*Cash_Sweep)))</f>
        <v>0</v>
      </c>
    </row>
    <row r="3450" customFormat="false" ht="15" hidden="false" customHeight="false" outlineLevel="0" collapsed="false">
      <c r="B3450" s="108" t="n">
        <f aca="false">'Loan Tape'!$A113</f>
        <v>0</v>
      </c>
      <c r="C3450" s="71" t="n">
        <f aca="false">IF(1&gt;Debt_Yr,0,IF(1=Debt_Yr,C3147,MIN(C3147,(C1026+C1329+C1632+C2238)*Cash_Sweep)))</f>
        <v>0</v>
      </c>
      <c r="D3450" s="71" t="n">
        <f aca="false">IF(2&gt;Debt_Yr,0,IF(2=Debt_Yr,D3147,MIN(D3147,(D1026+D1329+D1632+D2238)*Cash_Sweep)))</f>
        <v>0</v>
      </c>
      <c r="E3450" s="71" t="n">
        <f aca="false">IF(3&gt;Debt_Yr,0,IF(3=Debt_Yr,E3147,MIN(E3147,(E1026+E1329+E1632+E2238)*Cash_Sweep)))</f>
        <v>0</v>
      </c>
      <c r="F3450" s="71" t="n">
        <f aca="false">IF(4&gt;Debt_Yr,0,IF(4=Debt_Yr,F3147,MIN(F3147,(F1026+F1329+F1632+F2238)*Cash_Sweep)))</f>
        <v>0</v>
      </c>
      <c r="G3450" s="71" t="n">
        <f aca="false">IF(5&gt;Debt_Yr,0,IF(5=Debt_Yr,G3147,MIN(G3147,(G1026+G1329+G1632+G2238)*Cash_Sweep)))</f>
        <v>0</v>
      </c>
      <c r="H3450" s="71" t="n">
        <f aca="false">IF(6&gt;Debt_Yr,0,IF(6=Debt_Yr,H3147,MIN(H3147,(H1026+H1329+H1632+H2238)*Cash_Sweep)))</f>
        <v>0</v>
      </c>
      <c r="I3450" s="71" t="n">
        <f aca="false">IF(7&gt;Debt_Yr,0,IF(7=Debt_Yr,I3147,MIN(I3147,(I1026+I1329+I1632+I2238)*Cash_Sweep)))</f>
        <v>0</v>
      </c>
      <c r="J3450" s="71" t="n">
        <f aca="false">IF(8&gt;Debt_Yr,0,IF(8=Debt_Yr,J3147,MIN(J3147,(J1026+J1329+J1632+J2238)*Cash_Sweep)))</f>
        <v>0</v>
      </c>
      <c r="K3450" s="71" t="n">
        <f aca="false">IF(9&gt;Debt_Yr,0,IF(9=Debt_Yr,K3147,MIN(K3147,(K1026+K1329+K1632+K2238)*Cash_Sweep)))</f>
        <v>0</v>
      </c>
      <c r="L3450" s="71" t="n">
        <f aca="false">IF(10&gt;Debt_Yr,0,IF(10=Debt_Yr,L3147,MIN(L3147,(L1026+L1329+L1632+L2238)*Cash_Sweep)))</f>
        <v>0</v>
      </c>
    </row>
    <row r="3451" customFormat="false" ht="15" hidden="false" customHeight="false" outlineLevel="0" collapsed="false">
      <c r="B3451" s="102" t="n">
        <f aca="false">'Loan Tape'!$A114</f>
        <v>0</v>
      </c>
      <c r="C3451" s="99" t="n">
        <f aca="false">IF(1&gt;Debt_Yr,0,IF(1=Debt_Yr,C3148,MIN(C3148,(C1027+C1330+C1633+C2239)*Cash_Sweep)))</f>
        <v>0</v>
      </c>
      <c r="D3451" s="99" t="n">
        <f aca="false">IF(2&gt;Debt_Yr,0,IF(2=Debt_Yr,D3148,MIN(D3148,(D1027+D1330+D1633+D2239)*Cash_Sweep)))</f>
        <v>0</v>
      </c>
      <c r="E3451" s="99" t="n">
        <f aca="false">IF(3&gt;Debt_Yr,0,IF(3=Debt_Yr,E3148,MIN(E3148,(E1027+E1330+E1633+E2239)*Cash_Sweep)))</f>
        <v>0</v>
      </c>
      <c r="F3451" s="99" t="n">
        <f aca="false">IF(4&gt;Debt_Yr,0,IF(4=Debt_Yr,F3148,MIN(F3148,(F1027+F1330+F1633+F2239)*Cash_Sweep)))</f>
        <v>0</v>
      </c>
      <c r="G3451" s="99" t="n">
        <f aca="false">IF(5&gt;Debt_Yr,0,IF(5=Debt_Yr,G3148,MIN(G3148,(G1027+G1330+G1633+G2239)*Cash_Sweep)))</f>
        <v>0</v>
      </c>
      <c r="H3451" s="99" t="n">
        <f aca="false">IF(6&gt;Debt_Yr,0,IF(6=Debt_Yr,H3148,MIN(H3148,(H1027+H1330+H1633+H2239)*Cash_Sweep)))</f>
        <v>0</v>
      </c>
      <c r="I3451" s="99" t="n">
        <f aca="false">IF(7&gt;Debt_Yr,0,IF(7=Debt_Yr,I3148,MIN(I3148,(I1027+I1330+I1633+I2239)*Cash_Sweep)))</f>
        <v>0</v>
      </c>
      <c r="J3451" s="99" t="n">
        <f aca="false">IF(8&gt;Debt_Yr,0,IF(8=Debt_Yr,J3148,MIN(J3148,(J1027+J1330+J1633+J2239)*Cash_Sweep)))</f>
        <v>0</v>
      </c>
      <c r="K3451" s="99" t="n">
        <f aca="false">IF(9&gt;Debt_Yr,0,IF(9=Debt_Yr,K3148,MIN(K3148,(K1027+K1330+K1633+K2239)*Cash_Sweep)))</f>
        <v>0</v>
      </c>
      <c r="L3451" s="99" t="n">
        <f aca="false">IF(10&gt;Debt_Yr,0,IF(10=Debt_Yr,L3148,MIN(L3148,(L1027+L1330+L1633+L2239)*Cash_Sweep)))</f>
        <v>0</v>
      </c>
    </row>
    <row r="3452" customFormat="false" ht="15" hidden="false" customHeight="false" outlineLevel="0" collapsed="false">
      <c r="B3452" s="108" t="n">
        <f aca="false">'Loan Tape'!$A115</f>
        <v>0</v>
      </c>
      <c r="C3452" s="71" t="n">
        <f aca="false">IF(1&gt;Debt_Yr,0,IF(1=Debt_Yr,C3149,MIN(C3149,(C1028+C1331+C1634+C2240)*Cash_Sweep)))</f>
        <v>0</v>
      </c>
      <c r="D3452" s="71" t="n">
        <f aca="false">IF(2&gt;Debt_Yr,0,IF(2=Debt_Yr,D3149,MIN(D3149,(D1028+D1331+D1634+D2240)*Cash_Sweep)))</f>
        <v>0</v>
      </c>
      <c r="E3452" s="71" t="n">
        <f aca="false">IF(3&gt;Debt_Yr,0,IF(3=Debt_Yr,E3149,MIN(E3149,(E1028+E1331+E1634+E2240)*Cash_Sweep)))</f>
        <v>0</v>
      </c>
      <c r="F3452" s="71" t="n">
        <f aca="false">IF(4&gt;Debt_Yr,0,IF(4=Debt_Yr,F3149,MIN(F3149,(F1028+F1331+F1634+F2240)*Cash_Sweep)))</f>
        <v>0</v>
      </c>
      <c r="G3452" s="71" t="n">
        <f aca="false">IF(5&gt;Debt_Yr,0,IF(5=Debt_Yr,G3149,MIN(G3149,(G1028+G1331+G1634+G2240)*Cash_Sweep)))</f>
        <v>0</v>
      </c>
      <c r="H3452" s="71" t="n">
        <f aca="false">IF(6&gt;Debt_Yr,0,IF(6=Debt_Yr,H3149,MIN(H3149,(H1028+H1331+H1634+H2240)*Cash_Sweep)))</f>
        <v>0</v>
      </c>
      <c r="I3452" s="71" t="n">
        <f aca="false">IF(7&gt;Debt_Yr,0,IF(7=Debt_Yr,I3149,MIN(I3149,(I1028+I1331+I1634+I2240)*Cash_Sweep)))</f>
        <v>0</v>
      </c>
      <c r="J3452" s="71" t="n">
        <f aca="false">IF(8&gt;Debt_Yr,0,IF(8=Debt_Yr,J3149,MIN(J3149,(J1028+J1331+J1634+J2240)*Cash_Sweep)))</f>
        <v>0</v>
      </c>
      <c r="K3452" s="71" t="n">
        <f aca="false">IF(9&gt;Debt_Yr,0,IF(9=Debt_Yr,K3149,MIN(K3149,(K1028+K1331+K1634+K2240)*Cash_Sweep)))</f>
        <v>0</v>
      </c>
      <c r="L3452" s="71" t="n">
        <f aca="false">IF(10&gt;Debt_Yr,0,IF(10=Debt_Yr,L3149,MIN(L3149,(L1028+L1331+L1634+L2240)*Cash_Sweep)))</f>
        <v>0</v>
      </c>
    </row>
    <row r="3453" customFormat="false" ht="15" hidden="false" customHeight="false" outlineLevel="0" collapsed="false">
      <c r="B3453" s="102" t="n">
        <f aca="false">'Loan Tape'!$A116</f>
        <v>0</v>
      </c>
      <c r="C3453" s="99" t="n">
        <f aca="false">IF(1&gt;Debt_Yr,0,IF(1=Debt_Yr,C3150,MIN(C3150,(C1029+C1332+C1635+C2241)*Cash_Sweep)))</f>
        <v>0</v>
      </c>
      <c r="D3453" s="99" t="n">
        <f aca="false">IF(2&gt;Debt_Yr,0,IF(2=Debt_Yr,D3150,MIN(D3150,(D1029+D1332+D1635+D2241)*Cash_Sweep)))</f>
        <v>0</v>
      </c>
      <c r="E3453" s="99" t="n">
        <f aca="false">IF(3&gt;Debt_Yr,0,IF(3=Debt_Yr,E3150,MIN(E3150,(E1029+E1332+E1635+E2241)*Cash_Sweep)))</f>
        <v>0</v>
      </c>
      <c r="F3453" s="99" t="n">
        <f aca="false">IF(4&gt;Debt_Yr,0,IF(4=Debt_Yr,F3150,MIN(F3150,(F1029+F1332+F1635+F2241)*Cash_Sweep)))</f>
        <v>0</v>
      </c>
      <c r="G3453" s="99" t="n">
        <f aca="false">IF(5&gt;Debt_Yr,0,IF(5=Debt_Yr,G3150,MIN(G3150,(G1029+G1332+G1635+G2241)*Cash_Sweep)))</f>
        <v>0</v>
      </c>
      <c r="H3453" s="99" t="n">
        <f aca="false">IF(6&gt;Debt_Yr,0,IF(6=Debt_Yr,H3150,MIN(H3150,(H1029+H1332+H1635+H2241)*Cash_Sweep)))</f>
        <v>0</v>
      </c>
      <c r="I3453" s="99" t="n">
        <f aca="false">IF(7&gt;Debt_Yr,0,IF(7=Debt_Yr,I3150,MIN(I3150,(I1029+I1332+I1635+I2241)*Cash_Sweep)))</f>
        <v>0</v>
      </c>
      <c r="J3453" s="99" t="n">
        <f aca="false">IF(8&gt;Debt_Yr,0,IF(8=Debt_Yr,J3150,MIN(J3150,(J1029+J1332+J1635+J2241)*Cash_Sweep)))</f>
        <v>0</v>
      </c>
      <c r="K3453" s="99" t="n">
        <f aca="false">IF(9&gt;Debt_Yr,0,IF(9=Debt_Yr,K3150,MIN(K3150,(K1029+K1332+K1635+K2241)*Cash_Sweep)))</f>
        <v>0</v>
      </c>
      <c r="L3453" s="99" t="n">
        <f aca="false">IF(10&gt;Debt_Yr,0,IF(10=Debt_Yr,L3150,MIN(L3150,(L1029+L1332+L1635+L2241)*Cash_Sweep)))</f>
        <v>0</v>
      </c>
    </row>
    <row r="3454" customFormat="false" ht="15" hidden="false" customHeight="false" outlineLevel="0" collapsed="false">
      <c r="B3454" s="108" t="n">
        <f aca="false">'Loan Tape'!$A117</f>
        <v>0</v>
      </c>
      <c r="C3454" s="71" t="n">
        <f aca="false">IF(1&gt;Debt_Yr,0,IF(1=Debt_Yr,C3151,MIN(C3151,(C1030+C1333+C1636+C2242)*Cash_Sweep)))</f>
        <v>0</v>
      </c>
      <c r="D3454" s="71" t="n">
        <f aca="false">IF(2&gt;Debt_Yr,0,IF(2=Debt_Yr,D3151,MIN(D3151,(D1030+D1333+D1636+D2242)*Cash_Sweep)))</f>
        <v>0</v>
      </c>
      <c r="E3454" s="71" t="n">
        <f aca="false">IF(3&gt;Debt_Yr,0,IF(3=Debt_Yr,E3151,MIN(E3151,(E1030+E1333+E1636+E2242)*Cash_Sweep)))</f>
        <v>0</v>
      </c>
      <c r="F3454" s="71" t="n">
        <f aca="false">IF(4&gt;Debt_Yr,0,IF(4=Debt_Yr,F3151,MIN(F3151,(F1030+F1333+F1636+F2242)*Cash_Sweep)))</f>
        <v>0</v>
      </c>
      <c r="G3454" s="71" t="n">
        <f aca="false">IF(5&gt;Debt_Yr,0,IF(5=Debt_Yr,G3151,MIN(G3151,(G1030+G1333+G1636+G2242)*Cash_Sweep)))</f>
        <v>0</v>
      </c>
      <c r="H3454" s="71" t="n">
        <f aca="false">IF(6&gt;Debt_Yr,0,IF(6=Debt_Yr,H3151,MIN(H3151,(H1030+H1333+H1636+H2242)*Cash_Sweep)))</f>
        <v>0</v>
      </c>
      <c r="I3454" s="71" t="n">
        <f aca="false">IF(7&gt;Debt_Yr,0,IF(7=Debt_Yr,I3151,MIN(I3151,(I1030+I1333+I1636+I2242)*Cash_Sweep)))</f>
        <v>0</v>
      </c>
      <c r="J3454" s="71" t="n">
        <f aca="false">IF(8&gt;Debt_Yr,0,IF(8=Debt_Yr,J3151,MIN(J3151,(J1030+J1333+J1636+J2242)*Cash_Sweep)))</f>
        <v>0</v>
      </c>
      <c r="K3454" s="71" t="n">
        <f aca="false">IF(9&gt;Debt_Yr,0,IF(9=Debt_Yr,K3151,MIN(K3151,(K1030+K1333+K1636+K2242)*Cash_Sweep)))</f>
        <v>0</v>
      </c>
      <c r="L3454" s="71" t="n">
        <f aca="false">IF(10&gt;Debt_Yr,0,IF(10=Debt_Yr,L3151,MIN(L3151,(L1030+L1333+L1636+L2242)*Cash_Sweep)))</f>
        <v>0</v>
      </c>
    </row>
    <row r="3455" customFormat="false" ht="15" hidden="false" customHeight="false" outlineLevel="0" collapsed="false">
      <c r="B3455" s="102" t="n">
        <f aca="false">'Loan Tape'!$A118</f>
        <v>0</v>
      </c>
      <c r="C3455" s="99" t="n">
        <f aca="false">IF(1&gt;Debt_Yr,0,IF(1=Debt_Yr,C3152,MIN(C3152,(C1031+C1334+C1637+C2243)*Cash_Sweep)))</f>
        <v>0</v>
      </c>
      <c r="D3455" s="99" t="n">
        <f aca="false">IF(2&gt;Debt_Yr,0,IF(2=Debt_Yr,D3152,MIN(D3152,(D1031+D1334+D1637+D2243)*Cash_Sweep)))</f>
        <v>0</v>
      </c>
      <c r="E3455" s="99" t="n">
        <f aca="false">IF(3&gt;Debt_Yr,0,IF(3=Debt_Yr,E3152,MIN(E3152,(E1031+E1334+E1637+E2243)*Cash_Sweep)))</f>
        <v>0</v>
      </c>
      <c r="F3455" s="99" t="n">
        <f aca="false">IF(4&gt;Debt_Yr,0,IF(4=Debt_Yr,F3152,MIN(F3152,(F1031+F1334+F1637+F2243)*Cash_Sweep)))</f>
        <v>0</v>
      </c>
      <c r="G3455" s="99" t="n">
        <f aca="false">IF(5&gt;Debt_Yr,0,IF(5=Debt_Yr,G3152,MIN(G3152,(G1031+G1334+G1637+G2243)*Cash_Sweep)))</f>
        <v>0</v>
      </c>
      <c r="H3455" s="99" t="n">
        <f aca="false">IF(6&gt;Debt_Yr,0,IF(6=Debt_Yr,H3152,MIN(H3152,(H1031+H1334+H1637+H2243)*Cash_Sweep)))</f>
        <v>0</v>
      </c>
      <c r="I3455" s="99" t="n">
        <f aca="false">IF(7&gt;Debt_Yr,0,IF(7=Debt_Yr,I3152,MIN(I3152,(I1031+I1334+I1637+I2243)*Cash_Sweep)))</f>
        <v>0</v>
      </c>
      <c r="J3455" s="99" t="n">
        <f aca="false">IF(8&gt;Debt_Yr,0,IF(8=Debt_Yr,J3152,MIN(J3152,(J1031+J1334+J1637+J2243)*Cash_Sweep)))</f>
        <v>0</v>
      </c>
      <c r="K3455" s="99" t="n">
        <f aca="false">IF(9&gt;Debt_Yr,0,IF(9=Debt_Yr,K3152,MIN(K3152,(K1031+K1334+K1637+K2243)*Cash_Sweep)))</f>
        <v>0</v>
      </c>
      <c r="L3455" s="99" t="n">
        <f aca="false">IF(10&gt;Debt_Yr,0,IF(10=Debt_Yr,L3152,MIN(L3152,(L1031+L1334+L1637+L2243)*Cash_Sweep)))</f>
        <v>0</v>
      </c>
    </row>
    <row r="3456" customFormat="false" ht="15" hidden="false" customHeight="false" outlineLevel="0" collapsed="false">
      <c r="B3456" s="108" t="n">
        <f aca="false">'Loan Tape'!$A119</f>
        <v>0</v>
      </c>
      <c r="C3456" s="71" t="n">
        <f aca="false">IF(1&gt;Debt_Yr,0,IF(1=Debt_Yr,C3153,MIN(C3153,(C1032+C1335+C1638+C2244)*Cash_Sweep)))</f>
        <v>0</v>
      </c>
      <c r="D3456" s="71" t="n">
        <f aca="false">IF(2&gt;Debt_Yr,0,IF(2=Debt_Yr,D3153,MIN(D3153,(D1032+D1335+D1638+D2244)*Cash_Sweep)))</f>
        <v>0</v>
      </c>
      <c r="E3456" s="71" t="n">
        <f aca="false">IF(3&gt;Debt_Yr,0,IF(3=Debt_Yr,E3153,MIN(E3153,(E1032+E1335+E1638+E2244)*Cash_Sweep)))</f>
        <v>0</v>
      </c>
      <c r="F3456" s="71" t="n">
        <f aca="false">IF(4&gt;Debt_Yr,0,IF(4=Debt_Yr,F3153,MIN(F3153,(F1032+F1335+F1638+F2244)*Cash_Sweep)))</f>
        <v>0</v>
      </c>
      <c r="G3456" s="71" t="n">
        <f aca="false">IF(5&gt;Debt_Yr,0,IF(5=Debt_Yr,G3153,MIN(G3153,(G1032+G1335+G1638+G2244)*Cash_Sweep)))</f>
        <v>0</v>
      </c>
      <c r="H3456" s="71" t="n">
        <f aca="false">IF(6&gt;Debt_Yr,0,IF(6=Debt_Yr,H3153,MIN(H3153,(H1032+H1335+H1638+H2244)*Cash_Sweep)))</f>
        <v>0</v>
      </c>
      <c r="I3456" s="71" t="n">
        <f aca="false">IF(7&gt;Debt_Yr,0,IF(7=Debt_Yr,I3153,MIN(I3153,(I1032+I1335+I1638+I2244)*Cash_Sweep)))</f>
        <v>0</v>
      </c>
      <c r="J3456" s="71" t="n">
        <f aca="false">IF(8&gt;Debt_Yr,0,IF(8=Debt_Yr,J3153,MIN(J3153,(J1032+J1335+J1638+J2244)*Cash_Sweep)))</f>
        <v>0</v>
      </c>
      <c r="K3456" s="71" t="n">
        <f aca="false">IF(9&gt;Debt_Yr,0,IF(9=Debt_Yr,K3153,MIN(K3153,(K1032+K1335+K1638+K2244)*Cash_Sweep)))</f>
        <v>0</v>
      </c>
      <c r="L3456" s="71" t="n">
        <f aca="false">IF(10&gt;Debt_Yr,0,IF(10=Debt_Yr,L3153,MIN(L3153,(L1032+L1335+L1638+L2244)*Cash_Sweep)))</f>
        <v>0</v>
      </c>
    </row>
    <row r="3457" customFormat="false" ht="15" hidden="false" customHeight="false" outlineLevel="0" collapsed="false">
      <c r="B3457" s="102" t="n">
        <f aca="false">'Loan Tape'!$A120</f>
        <v>0</v>
      </c>
      <c r="C3457" s="99" t="n">
        <f aca="false">IF(1&gt;Debt_Yr,0,IF(1=Debt_Yr,C3154,MIN(C3154,(C1033+C1336+C1639+C2245)*Cash_Sweep)))</f>
        <v>0</v>
      </c>
      <c r="D3457" s="99" t="n">
        <f aca="false">IF(2&gt;Debt_Yr,0,IF(2=Debt_Yr,D3154,MIN(D3154,(D1033+D1336+D1639+D2245)*Cash_Sweep)))</f>
        <v>0</v>
      </c>
      <c r="E3457" s="99" t="n">
        <f aca="false">IF(3&gt;Debt_Yr,0,IF(3=Debt_Yr,E3154,MIN(E3154,(E1033+E1336+E1639+E2245)*Cash_Sweep)))</f>
        <v>0</v>
      </c>
      <c r="F3457" s="99" t="n">
        <f aca="false">IF(4&gt;Debt_Yr,0,IF(4=Debt_Yr,F3154,MIN(F3154,(F1033+F1336+F1639+F2245)*Cash_Sweep)))</f>
        <v>0</v>
      </c>
      <c r="G3457" s="99" t="n">
        <f aca="false">IF(5&gt;Debt_Yr,0,IF(5=Debt_Yr,G3154,MIN(G3154,(G1033+G1336+G1639+G2245)*Cash_Sweep)))</f>
        <v>0</v>
      </c>
      <c r="H3457" s="99" t="n">
        <f aca="false">IF(6&gt;Debt_Yr,0,IF(6=Debt_Yr,H3154,MIN(H3154,(H1033+H1336+H1639+H2245)*Cash_Sweep)))</f>
        <v>0</v>
      </c>
      <c r="I3457" s="99" t="n">
        <f aca="false">IF(7&gt;Debt_Yr,0,IF(7=Debt_Yr,I3154,MIN(I3154,(I1033+I1336+I1639+I2245)*Cash_Sweep)))</f>
        <v>0</v>
      </c>
      <c r="J3457" s="99" t="n">
        <f aca="false">IF(8&gt;Debt_Yr,0,IF(8=Debt_Yr,J3154,MIN(J3154,(J1033+J1336+J1639+J2245)*Cash_Sweep)))</f>
        <v>0</v>
      </c>
      <c r="K3457" s="99" t="n">
        <f aca="false">IF(9&gt;Debt_Yr,0,IF(9=Debt_Yr,K3154,MIN(K3154,(K1033+K1336+K1639+K2245)*Cash_Sweep)))</f>
        <v>0</v>
      </c>
      <c r="L3457" s="99" t="n">
        <f aca="false">IF(10&gt;Debt_Yr,0,IF(10=Debt_Yr,L3154,MIN(L3154,(L1033+L1336+L1639+L2245)*Cash_Sweep)))</f>
        <v>0</v>
      </c>
    </row>
    <row r="3458" customFormat="false" ht="15" hidden="false" customHeight="false" outlineLevel="0" collapsed="false">
      <c r="B3458" s="108" t="n">
        <f aca="false">'Loan Tape'!$A121</f>
        <v>0</v>
      </c>
      <c r="C3458" s="71" t="n">
        <f aca="false">IF(1&gt;Debt_Yr,0,IF(1=Debt_Yr,C3155,MIN(C3155,(C1034+C1337+C1640+C2246)*Cash_Sweep)))</f>
        <v>0</v>
      </c>
      <c r="D3458" s="71" t="n">
        <f aca="false">IF(2&gt;Debt_Yr,0,IF(2=Debt_Yr,D3155,MIN(D3155,(D1034+D1337+D1640+D2246)*Cash_Sweep)))</f>
        <v>0</v>
      </c>
      <c r="E3458" s="71" t="n">
        <f aca="false">IF(3&gt;Debt_Yr,0,IF(3=Debt_Yr,E3155,MIN(E3155,(E1034+E1337+E1640+E2246)*Cash_Sweep)))</f>
        <v>0</v>
      </c>
      <c r="F3458" s="71" t="n">
        <f aca="false">IF(4&gt;Debt_Yr,0,IF(4=Debt_Yr,F3155,MIN(F3155,(F1034+F1337+F1640+F2246)*Cash_Sweep)))</f>
        <v>0</v>
      </c>
      <c r="G3458" s="71" t="n">
        <f aca="false">IF(5&gt;Debt_Yr,0,IF(5=Debt_Yr,G3155,MIN(G3155,(G1034+G1337+G1640+G2246)*Cash_Sweep)))</f>
        <v>0</v>
      </c>
      <c r="H3458" s="71" t="n">
        <f aca="false">IF(6&gt;Debt_Yr,0,IF(6=Debt_Yr,H3155,MIN(H3155,(H1034+H1337+H1640+H2246)*Cash_Sweep)))</f>
        <v>0</v>
      </c>
      <c r="I3458" s="71" t="n">
        <f aca="false">IF(7&gt;Debt_Yr,0,IF(7=Debt_Yr,I3155,MIN(I3155,(I1034+I1337+I1640+I2246)*Cash_Sweep)))</f>
        <v>0</v>
      </c>
      <c r="J3458" s="71" t="n">
        <f aca="false">IF(8&gt;Debt_Yr,0,IF(8=Debt_Yr,J3155,MIN(J3155,(J1034+J1337+J1640+J2246)*Cash_Sweep)))</f>
        <v>0</v>
      </c>
      <c r="K3458" s="71" t="n">
        <f aca="false">IF(9&gt;Debt_Yr,0,IF(9=Debt_Yr,K3155,MIN(K3155,(K1034+K1337+K1640+K2246)*Cash_Sweep)))</f>
        <v>0</v>
      </c>
      <c r="L3458" s="71" t="n">
        <f aca="false">IF(10&gt;Debt_Yr,0,IF(10=Debt_Yr,L3155,MIN(L3155,(L1034+L1337+L1640+L2246)*Cash_Sweep)))</f>
        <v>0</v>
      </c>
    </row>
    <row r="3459" customFormat="false" ht="15" hidden="false" customHeight="false" outlineLevel="0" collapsed="false">
      <c r="B3459" s="102" t="n">
        <f aca="false">'Loan Tape'!$A122</f>
        <v>0</v>
      </c>
      <c r="C3459" s="99" t="n">
        <f aca="false">IF(1&gt;Debt_Yr,0,IF(1=Debt_Yr,C3156,MIN(C3156,(C1035+C1338+C1641+C2247)*Cash_Sweep)))</f>
        <v>0</v>
      </c>
      <c r="D3459" s="99" t="n">
        <f aca="false">IF(2&gt;Debt_Yr,0,IF(2=Debt_Yr,D3156,MIN(D3156,(D1035+D1338+D1641+D2247)*Cash_Sweep)))</f>
        <v>0</v>
      </c>
      <c r="E3459" s="99" t="n">
        <f aca="false">IF(3&gt;Debt_Yr,0,IF(3=Debt_Yr,E3156,MIN(E3156,(E1035+E1338+E1641+E2247)*Cash_Sweep)))</f>
        <v>0</v>
      </c>
      <c r="F3459" s="99" t="n">
        <f aca="false">IF(4&gt;Debt_Yr,0,IF(4=Debt_Yr,F3156,MIN(F3156,(F1035+F1338+F1641+F2247)*Cash_Sweep)))</f>
        <v>0</v>
      </c>
      <c r="G3459" s="99" t="n">
        <f aca="false">IF(5&gt;Debt_Yr,0,IF(5=Debt_Yr,G3156,MIN(G3156,(G1035+G1338+G1641+G2247)*Cash_Sweep)))</f>
        <v>0</v>
      </c>
      <c r="H3459" s="99" t="n">
        <f aca="false">IF(6&gt;Debt_Yr,0,IF(6=Debt_Yr,H3156,MIN(H3156,(H1035+H1338+H1641+H2247)*Cash_Sweep)))</f>
        <v>0</v>
      </c>
      <c r="I3459" s="99" t="n">
        <f aca="false">IF(7&gt;Debt_Yr,0,IF(7=Debt_Yr,I3156,MIN(I3156,(I1035+I1338+I1641+I2247)*Cash_Sweep)))</f>
        <v>0</v>
      </c>
      <c r="J3459" s="99" t="n">
        <f aca="false">IF(8&gt;Debt_Yr,0,IF(8=Debt_Yr,J3156,MIN(J3156,(J1035+J1338+J1641+J2247)*Cash_Sweep)))</f>
        <v>0</v>
      </c>
      <c r="K3459" s="99" t="n">
        <f aca="false">IF(9&gt;Debt_Yr,0,IF(9=Debt_Yr,K3156,MIN(K3156,(K1035+K1338+K1641+K2247)*Cash_Sweep)))</f>
        <v>0</v>
      </c>
      <c r="L3459" s="99" t="n">
        <f aca="false">IF(10&gt;Debt_Yr,0,IF(10=Debt_Yr,L3156,MIN(L3156,(L1035+L1338+L1641+L2247)*Cash_Sweep)))</f>
        <v>0</v>
      </c>
    </row>
    <row r="3460" customFormat="false" ht="15" hidden="false" customHeight="false" outlineLevel="0" collapsed="false">
      <c r="B3460" s="108" t="n">
        <f aca="false">'Loan Tape'!$A123</f>
        <v>0</v>
      </c>
      <c r="C3460" s="71" t="n">
        <f aca="false">IF(1&gt;Debt_Yr,0,IF(1=Debt_Yr,C3157,MIN(C3157,(C1036+C1339+C1642+C2248)*Cash_Sweep)))</f>
        <v>0</v>
      </c>
      <c r="D3460" s="71" t="n">
        <f aca="false">IF(2&gt;Debt_Yr,0,IF(2=Debt_Yr,D3157,MIN(D3157,(D1036+D1339+D1642+D2248)*Cash_Sweep)))</f>
        <v>0</v>
      </c>
      <c r="E3460" s="71" t="n">
        <f aca="false">IF(3&gt;Debt_Yr,0,IF(3=Debt_Yr,E3157,MIN(E3157,(E1036+E1339+E1642+E2248)*Cash_Sweep)))</f>
        <v>0</v>
      </c>
      <c r="F3460" s="71" t="n">
        <f aca="false">IF(4&gt;Debt_Yr,0,IF(4=Debt_Yr,F3157,MIN(F3157,(F1036+F1339+F1642+F2248)*Cash_Sweep)))</f>
        <v>0</v>
      </c>
      <c r="G3460" s="71" t="n">
        <f aca="false">IF(5&gt;Debt_Yr,0,IF(5=Debt_Yr,G3157,MIN(G3157,(G1036+G1339+G1642+G2248)*Cash_Sweep)))</f>
        <v>0</v>
      </c>
      <c r="H3460" s="71" t="n">
        <f aca="false">IF(6&gt;Debt_Yr,0,IF(6=Debt_Yr,H3157,MIN(H3157,(H1036+H1339+H1642+H2248)*Cash_Sweep)))</f>
        <v>0</v>
      </c>
      <c r="I3460" s="71" t="n">
        <f aca="false">IF(7&gt;Debt_Yr,0,IF(7=Debt_Yr,I3157,MIN(I3157,(I1036+I1339+I1642+I2248)*Cash_Sweep)))</f>
        <v>0</v>
      </c>
      <c r="J3460" s="71" t="n">
        <f aca="false">IF(8&gt;Debt_Yr,0,IF(8=Debt_Yr,J3157,MIN(J3157,(J1036+J1339+J1642+J2248)*Cash_Sweep)))</f>
        <v>0</v>
      </c>
      <c r="K3460" s="71" t="n">
        <f aca="false">IF(9&gt;Debt_Yr,0,IF(9=Debt_Yr,K3157,MIN(K3157,(K1036+K1339+K1642+K2248)*Cash_Sweep)))</f>
        <v>0</v>
      </c>
      <c r="L3460" s="71" t="n">
        <f aca="false">IF(10&gt;Debt_Yr,0,IF(10=Debt_Yr,L3157,MIN(L3157,(L1036+L1339+L1642+L2248)*Cash_Sweep)))</f>
        <v>0</v>
      </c>
    </row>
    <row r="3461" customFormat="false" ht="15" hidden="false" customHeight="false" outlineLevel="0" collapsed="false">
      <c r="B3461" s="102" t="n">
        <f aca="false">'Loan Tape'!$A124</f>
        <v>0</v>
      </c>
      <c r="C3461" s="99" t="n">
        <f aca="false">IF(1&gt;Debt_Yr,0,IF(1=Debt_Yr,C3158,MIN(C3158,(C1037+C1340+C1643+C2249)*Cash_Sweep)))</f>
        <v>0</v>
      </c>
      <c r="D3461" s="99" t="n">
        <f aca="false">IF(2&gt;Debt_Yr,0,IF(2=Debt_Yr,D3158,MIN(D3158,(D1037+D1340+D1643+D2249)*Cash_Sweep)))</f>
        <v>0</v>
      </c>
      <c r="E3461" s="99" t="n">
        <f aca="false">IF(3&gt;Debt_Yr,0,IF(3=Debt_Yr,E3158,MIN(E3158,(E1037+E1340+E1643+E2249)*Cash_Sweep)))</f>
        <v>0</v>
      </c>
      <c r="F3461" s="99" t="n">
        <f aca="false">IF(4&gt;Debt_Yr,0,IF(4=Debt_Yr,F3158,MIN(F3158,(F1037+F1340+F1643+F2249)*Cash_Sweep)))</f>
        <v>0</v>
      </c>
      <c r="G3461" s="99" t="n">
        <f aca="false">IF(5&gt;Debt_Yr,0,IF(5=Debt_Yr,G3158,MIN(G3158,(G1037+G1340+G1643+G2249)*Cash_Sweep)))</f>
        <v>0</v>
      </c>
      <c r="H3461" s="99" t="n">
        <f aca="false">IF(6&gt;Debt_Yr,0,IF(6=Debt_Yr,H3158,MIN(H3158,(H1037+H1340+H1643+H2249)*Cash_Sweep)))</f>
        <v>0</v>
      </c>
      <c r="I3461" s="99" t="n">
        <f aca="false">IF(7&gt;Debt_Yr,0,IF(7=Debt_Yr,I3158,MIN(I3158,(I1037+I1340+I1643+I2249)*Cash_Sweep)))</f>
        <v>0</v>
      </c>
      <c r="J3461" s="99" t="n">
        <f aca="false">IF(8&gt;Debt_Yr,0,IF(8=Debt_Yr,J3158,MIN(J3158,(J1037+J1340+J1643+J2249)*Cash_Sweep)))</f>
        <v>0</v>
      </c>
      <c r="K3461" s="99" t="n">
        <f aca="false">IF(9&gt;Debt_Yr,0,IF(9=Debt_Yr,K3158,MIN(K3158,(K1037+K1340+K1643+K2249)*Cash_Sweep)))</f>
        <v>0</v>
      </c>
      <c r="L3461" s="99" t="n">
        <f aca="false">IF(10&gt;Debt_Yr,0,IF(10=Debt_Yr,L3158,MIN(L3158,(L1037+L1340+L1643+L2249)*Cash_Sweep)))</f>
        <v>0</v>
      </c>
    </row>
    <row r="3462" customFormat="false" ht="15" hidden="false" customHeight="false" outlineLevel="0" collapsed="false">
      <c r="B3462" s="108" t="n">
        <f aca="false">'Loan Tape'!$A125</f>
        <v>0</v>
      </c>
      <c r="C3462" s="71" t="n">
        <f aca="false">IF(1&gt;Debt_Yr,0,IF(1=Debt_Yr,C3159,MIN(C3159,(C1038+C1341+C1644+C2250)*Cash_Sweep)))</f>
        <v>0</v>
      </c>
      <c r="D3462" s="71" t="n">
        <f aca="false">IF(2&gt;Debt_Yr,0,IF(2=Debt_Yr,D3159,MIN(D3159,(D1038+D1341+D1644+D2250)*Cash_Sweep)))</f>
        <v>0</v>
      </c>
      <c r="E3462" s="71" t="n">
        <f aca="false">IF(3&gt;Debt_Yr,0,IF(3=Debt_Yr,E3159,MIN(E3159,(E1038+E1341+E1644+E2250)*Cash_Sweep)))</f>
        <v>0</v>
      </c>
      <c r="F3462" s="71" t="n">
        <f aca="false">IF(4&gt;Debt_Yr,0,IF(4=Debt_Yr,F3159,MIN(F3159,(F1038+F1341+F1644+F2250)*Cash_Sweep)))</f>
        <v>0</v>
      </c>
      <c r="G3462" s="71" t="n">
        <f aca="false">IF(5&gt;Debt_Yr,0,IF(5=Debt_Yr,G3159,MIN(G3159,(G1038+G1341+G1644+G2250)*Cash_Sweep)))</f>
        <v>0</v>
      </c>
      <c r="H3462" s="71" t="n">
        <f aca="false">IF(6&gt;Debt_Yr,0,IF(6=Debt_Yr,H3159,MIN(H3159,(H1038+H1341+H1644+H2250)*Cash_Sweep)))</f>
        <v>0</v>
      </c>
      <c r="I3462" s="71" t="n">
        <f aca="false">IF(7&gt;Debt_Yr,0,IF(7=Debt_Yr,I3159,MIN(I3159,(I1038+I1341+I1644+I2250)*Cash_Sweep)))</f>
        <v>0</v>
      </c>
      <c r="J3462" s="71" t="n">
        <f aca="false">IF(8&gt;Debt_Yr,0,IF(8=Debt_Yr,J3159,MIN(J3159,(J1038+J1341+J1644+J2250)*Cash_Sweep)))</f>
        <v>0</v>
      </c>
      <c r="K3462" s="71" t="n">
        <f aca="false">IF(9&gt;Debt_Yr,0,IF(9=Debt_Yr,K3159,MIN(K3159,(K1038+K1341+K1644+K2250)*Cash_Sweep)))</f>
        <v>0</v>
      </c>
      <c r="L3462" s="71" t="n">
        <f aca="false">IF(10&gt;Debt_Yr,0,IF(10=Debt_Yr,L3159,MIN(L3159,(L1038+L1341+L1644+L2250)*Cash_Sweep)))</f>
        <v>0</v>
      </c>
    </row>
    <row r="3463" customFormat="false" ht="15" hidden="false" customHeight="false" outlineLevel="0" collapsed="false">
      <c r="B3463" s="102" t="n">
        <f aca="false">'Loan Tape'!$A126</f>
        <v>0</v>
      </c>
      <c r="C3463" s="99" t="n">
        <f aca="false">IF(1&gt;Debt_Yr,0,IF(1=Debt_Yr,C3160,MIN(C3160,(C1039+C1342+C1645+C2251)*Cash_Sweep)))</f>
        <v>0</v>
      </c>
      <c r="D3463" s="99" t="n">
        <f aca="false">IF(2&gt;Debt_Yr,0,IF(2=Debt_Yr,D3160,MIN(D3160,(D1039+D1342+D1645+D2251)*Cash_Sweep)))</f>
        <v>0</v>
      </c>
      <c r="E3463" s="99" t="n">
        <f aca="false">IF(3&gt;Debt_Yr,0,IF(3=Debt_Yr,E3160,MIN(E3160,(E1039+E1342+E1645+E2251)*Cash_Sweep)))</f>
        <v>0</v>
      </c>
      <c r="F3463" s="99" t="n">
        <f aca="false">IF(4&gt;Debt_Yr,0,IF(4=Debt_Yr,F3160,MIN(F3160,(F1039+F1342+F1645+F2251)*Cash_Sweep)))</f>
        <v>0</v>
      </c>
      <c r="G3463" s="99" t="n">
        <f aca="false">IF(5&gt;Debt_Yr,0,IF(5=Debt_Yr,G3160,MIN(G3160,(G1039+G1342+G1645+G2251)*Cash_Sweep)))</f>
        <v>0</v>
      </c>
      <c r="H3463" s="99" t="n">
        <f aca="false">IF(6&gt;Debt_Yr,0,IF(6=Debt_Yr,H3160,MIN(H3160,(H1039+H1342+H1645+H2251)*Cash_Sweep)))</f>
        <v>0</v>
      </c>
      <c r="I3463" s="99" t="n">
        <f aca="false">IF(7&gt;Debt_Yr,0,IF(7=Debt_Yr,I3160,MIN(I3160,(I1039+I1342+I1645+I2251)*Cash_Sweep)))</f>
        <v>0</v>
      </c>
      <c r="J3463" s="99" t="n">
        <f aca="false">IF(8&gt;Debt_Yr,0,IF(8=Debt_Yr,J3160,MIN(J3160,(J1039+J1342+J1645+J2251)*Cash_Sweep)))</f>
        <v>0</v>
      </c>
      <c r="K3463" s="99" t="n">
        <f aca="false">IF(9&gt;Debt_Yr,0,IF(9=Debt_Yr,K3160,MIN(K3160,(K1039+K1342+K1645+K2251)*Cash_Sweep)))</f>
        <v>0</v>
      </c>
      <c r="L3463" s="99" t="n">
        <f aca="false">IF(10&gt;Debt_Yr,0,IF(10=Debt_Yr,L3160,MIN(L3160,(L1039+L1342+L1645+L2251)*Cash_Sweep)))</f>
        <v>0</v>
      </c>
    </row>
    <row r="3464" customFormat="false" ht="15" hidden="false" customHeight="false" outlineLevel="0" collapsed="false">
      <c r="B3464" s="108" t="n">
        <f aca="false">'Loan Tape'!$A127</f>
        <v>0</v>
      </c>
      <c r="C3464" s="71" t="n">
        <f aca="false">IF(1&gt;Debt_Yr,0,IF(1=Debt_Yr,C3161,MIN(C3161,(C1040+C1343+C1646+C2252)*Cash_Sweep)))</f>
        <v>0</v>
      </c>
      <c r="D3464" s="71" t="n">
        <f aca="false">IF(2&gt;Debt_Yr,0,IF(2=Debt_Yr,D3161,MIN(D3161,(D1040+D1343+D1646+D2252)*Cash_Sweep)))</f>
        <v>0</v>
      </c>
      <c r="E3464" s="71" t="n">
        <f aca="false">IF(3&gt;Debt_Yr,0,IF(3=Debt_Yr,E3161,MIN(E3161,(E1040+E1343+E1646+E2252)*Cash_Sweep)))</f>
        <v>0</v>
      </c>
      <c r="F3464" s="71" t="n">
        <f aca="false">IF(4&gt;Debt_Yr,0,IF(4=Debt_Yr,F3161,MIN(F3161,(F1040+F1343+F1646+F2252)*Cash_Sweep)))</f>
        <v>0</v>
      </c>
      <c r="G3464" s="71" t="n">
        <f aca="false">IF(5&gt;Debt_Yr,0,IF(5=Debt_Yr,G3161,MIN(G3161,(G1040+G1343+G1646+G2252)*Cash_Sweep)))</f>
        <v>0</v>
      </c>
      <c r="H3464" s="71" t="n">
        <f aca="false">IF(6&gt;Debt_Yr,0,IF(6=Debt_Yr,H3161,MIN(H3161,(H1040+H1343+H1646+H2252)*Cash_Sweep)))</f>
        <v>0</v>
      </c>
      <c r="I3464" s="71" t="n">
        <f aca="false">IF(7&gt;Debt_Yr,0,IF(7=Debt_Yr,I3161,MIN(I3161,(I1040+I1343+I1646+I2252)*Cash_Sweep)))</f>
        <v>0</v>
      </c>
      <c r="J3464" s="71" t="n">
        <f aca="false">IF(8&gt;Debt_Yr,0,IF(8=Debt_Yr,J3161,MIN(J3161,(J1040+J1343+J1646+J2252)*Cash_Sweep)))</f>
        <v>0</v>
      </c>
      <c r="K3464" s="71" t="n">
        <f aca="false">IF(9&gt;Debt_Yr,0,IF(9=Debt_Yr,K3161,MIN(K3161,(K1040+K1343+K1646+K2252)*Cash_Sweep)))</f>
        <v>0</v>
      </c>
      <c r="L3464" s="71" t="n">
        <f aca="false">IF(10&gt;Debt_Yr,0,IF(10=Debt_Yr,L3161,MIN(L3161,(L1040+L1343+L1646+L2252)*Cash_Sweep)))</f>
        <v>0</v>
      </c>
    </row>
    <row r="3465" customFormat="false" ht="15" hidden="false" customHeight="false" outlineLevel="0" collapsed="false">
      <c r="B3465" s="102" t="n">
        <f aca="false">'Loan Tape'!$A128</f>
        <v>0</v>
      </c>
      <c r="C3465" s="99" t="n">
        <f aca="false">IF(1&gt;Debt_Yr,0,IF(1=Debt_Yr,C3162,MIN(C3162,(C1041+C1344+C1647+C2253)*Cash_Sweep)))</f>
        <v>0</v>
      </c>
      <c r="D3465" s="99" t="n">
        <f aca="false">IF(2&gt;Debt_Yr,0,IF(2=Debt_Yr,D3162,MIN(D3162,(D1041+D1344+D1647+D2253)*Cash_Sweep)))</f>
        <v>0</v>
      </c>
      <c r="E3465" s="99" t="n">
        <f aca="false">IF(3&gt;Debt_Yr,0,IF(3=Debt_Yr,E3162,MIN(E3162,(E1041+E1344+E1647+E2253)*Cash_Sweep)))</f>
        <v>0</v>
      </c>
      <c r="F3465" s="99" t="n">
        <f aca="false">IF(4&gt;Debt_Yr,0,IF(4=Debt_Yr,F3162,MIN(F3162,(F1041+F1344+F1647+F2253)*Cash_Sweep)))</f>
        <v>0</v>
      </c>
      <c r="G3465" s="99" t="n">
        <f aca="false">IF(5&gt;Debt_Yr,0,IF(5=Debt_Yr,G3162,MIN(G3162,(G1041+G1344+G1647+G2253)*Cash_Sweep)))</f>
        <v>0</v>
      </c>
      <c r="H3465" s="99" t="n">
        <f aca="false">IF(6&gt;Debt_Yr,0,IF(6=Debt_Yr,H3162,MIN(H3162,(H1041+H1344+H1647+H2253)*Cash_Sweep)))</f>
        <v>0</v>
      </c>
      <c r="I3465" s="99" t="n">
        <f aca="false">IF(7&gt;Debt_Yr,0,IF(7=Debt_Yr,I3162,MIN(I3162,(I1041+I1344+I1647+I2253)*Cash_Sweep)))</f>
        <v>0</v>
      </c>
      <c r="J3465" s="99" t="n">
        <f aca="false">IF(8&gt;Debt_Yr,0,IF(8=Debt_Yr,J3162,MIN(J3162,(J1041+J1344+J1647+J2253)*Cash_Sweep)))</f>
        <v>0</v>
      </c>
      <c r="K3465" s="99" t="n">
        <f aca="false">IF(9&gt;Debt_Yr,0,IF(9=Debt_Yr,K3162,MIN(K3162,(K1041+K1344+K1647+K2253)*Cash_Sweep)))</f>
        <v>0</v>
      </c>
      <c r="L3465" s="99" t="n">
        <f aca="false">IF(10&gt;Debt_Yr,0,IF(10=Debt_Yr,L3162,MIN(L3162,(L1041+L1344+L1647+L2253)*Cash_Sweep)))</f>
        <v>0</v>
      </c>
    </row>
    <row r="3466" customFormat="false" ht="15" hidden="false" customHeight="false" outlineLevel="0" collapsed="false">
      <c r="B3466" s="108" t="n">
        <f aca="false">'Loan Tape'!$A129</f>
        <v>0</v>
      </c>
      <c r="C3466" s="71" t="n">
        <f aca="false">IF(1&gt;Debt_Yr,0,IF(1=Debt_Yr,C3163,MIN(C3163,(C1042+C1345+C1648+C2254)*Cash_Sweep)))</f>
        <v>0</v>
      </c>
      <c r="D3466" s="71" t="n">
        <f aca="false">IF(2&gt;Debt_Yr,0,IF(2=Debt_Yr,D3163,MIN(D3163,(D1042+D1345+D1648+D2254)*Cash_Sweep)))</f>
        <v>0</v>
      </c>
      <c r="E3466" s="71" t="n">
        <f aca="false">IF(3&gt;Debt_Yr,0,IF(3=Debt_Yr,E3163,MIN(E3163,(E1042+E1345+E1648+E2254)*Cash_Sweep)))</f>
        <v>0</v>
      </c>
      <c r="F3466" s="71" t="n">
        <f aca="false">IF(4&gt;Debt_Yr,0,IF(4=Debt_Yr,F3163,MIN(F3163,(F1042+F1345+F1648+F2254)*Cash_Sweep)))</f>
        <v>0</v>
      </c>
      <c r="G3466" s="71" t="n">
        <f aca="false">IF(5&gt;Debt_Yr,0,IF(5=Debt_Yr,G3163,MIN(G3163,(G1042+G1345+G1648+G2254)*Cash_Sweep)))</f>
        <v>0</v>
      </c>
      <c r="H3466" s="71" t="n">
        <f aca="false">IF(6&gt;Debt_Yr,0,IF(6=Debt_Yr,H3163,MIN(H3163,(H1042+H1345+H1648+H2254)*Cash_Sweep)))</f>
        <v>0</v>
      </c>
      <c r="I3466" s="71" t="n">
        <f aca="false">IF(7&gt;Debt_Yr,0,IF(7=Debt_Yr,I3163,MIN(I3163,(I1042+I1345+I1648+I2254)*Cash_Sweep)))</f>
        <v>0</v>
      </c>
      <c r="J3466" s="71" t="n">
        <f aca="false">IF(8&gt;Debt_Yr,0,IF(8=Debt_Yr,J3163,MIN(J3163,(J1042+J1345+J1648+J2254)*Cash_Sweep)))</f>
        <v>0</v>
      </c>
      <c r="K3466" s="71" t="n">
        <f aca="false">IF(9&gt;Debt_Yr,0,IF(9=Debt_Yr,K3163,MIN(K3163,(K1042+K1345+K1648+K2254)*Cash_Sweep)))</f>
        <v>0</v>
      </c>
      <c r="L3466" s="71" t="n">
        <f aca="false">IF(10&gt;Debt_Yr,0,IF(10=Debt_Yr,L3163,MIN(L3163,(L1042+L1345+L1648+L2254)*Cash_Sweep)))</f>
        <v>0</v>
      </c>
    </row>
    <row r="3467" customFormat="false" ht="15" hidden="false" customHeight="false" outlineLevel="0" collapsed="false">
      <c r="B3467" s="102" t="n">
        <f aca="false">'Loan Tape'!$A130</f>
        <v>0</v>
      </c>
      <c r="C3467" s="99" t="n">
        <f aca="false">IF(1&gt;Debt_Yr,0,IF(1=Debt_Yr,C3164,MIN(C3164,(C1043+C1346+C1649+C2255)*Cash_Sweep)))</f>
        <v>0</v>
      </c>
      <c r="D3467" s="99" t="n">
        <f aca="false">IF(2&gt;Debt_Yr,0,IF(2=Debt_Yr,D3164,MIN(D3164,(D1043+D1346+D1649+D2255)*Cash_Sweep)))</f>
        <v>0</v>
      </c>
      <c r="E3467" s="99" t="n">
        <f aca="false">IF(3&gt;Debt_Yr,0,IF(3=Debt_Yr,E3164,MIN(E3164,(E1043+E1346+E1649+E2255)*Cash_Sweep)))</f>
        <v>0</v>
      </c>
      <c r="F3467" s="99" t="n">
        <f aca="false">IF(4&gt;Debt_Yr,0,IF(4=Debt_Yr,F3164,MIN(F3164,(F1043+F1346+F1649+F2255)*Cash_Sweep)))</f>
        <v>0</v>
      </c>
      <c r="G3467" s="99" t="n">
        <f aca="false">IF(5&gt;Debt_Yr,0,IF(5=Debt_Yr,G3164,MIN(G3164,(G1043+G1346+G1649+G2255)*Cash_Sweep)))</f>
        <v>0</v>
      </c>
      <c r="H3467" s="99" t="n">
        <f aca="false">IF(6&gt;Debt_Yr,0,IF(6=Debt_Yr,H3164,MIN(H3164,(H1043+H1346+H1649+H2255)*Cash_Sweep)))</f>
        <v>0</v>
      </c>
      <c r="I3467" s="99" t="n">
        <f aca="false">IF(7&gt;Debt_Yr,0,IF(7=Debt_Yr,I3164,MIN(I3164,(I1043+I1346+I1649+I2255)*Cash_Sweep)))</f>
        <v>0</v>
      </c>
      <c r="J3467" s="99" t="n">
        <f aca="false">IF(8&gt;Debt_Yr,0,IF(8=Debt_Yr,J3164,MIN(J3164,(J1043+J1346+J1649+J2255)*Cash_Sweep)))</f>
        <v>0</v>
      </c>
      <c r="K3467" s="99" t="n">
        <f aca="false">IF(9&gt;Debt_Yr,0,IF(9=Debt_Yr,K3164,MIN(K3164,(K1043+K1346+K1649+K2255)*Cash_Sweep)))</f>
        <v>0</v>
      </c>
      <c r="L3467" s="99" t="n">
        <f aca="false">IF(10&gt;Debt_Yr,0,IF(10=Debt_Yr,L3164,MIN(L3164,(L1043+L1346+L1649+L2255)*Cash_Sweep)))</f>
        <v>0</v>
      </c>
    </row>
    <row r="3468" customFormat="false" ht="15" hidden="false" customHeight="false" outlineLevel="0" collapsed="false">
      <c r="B3468" s="108" t="n">
        <f aca="false">'Loan Tape'!$A131</f>
        <v>0</v>
      </c>
      <c r="C3468" s="71" t="n">
        <f aca="false">IF(1&gt;Debt_Yr,0,IF(1=Debt_Yr,C3165,MIN(C3165,(C1044+C1347+C1650+C2256)*Cash_Sweep)))</f>
        <v>0</v>
      </c>
      <c r="D3468" s="71" t="n">
        <f aca="false">IF(2&gt;Debt_Yr,0,IF(2=Debt_Yr,D3165,MIN(D3165,(D1044+D1347+D1650+D2256)*Cash_Sweep)))</f>
        <v>0</v>
      </c>
      <c r="E3468" s="71" t="n">
        <f aca="false">IF(3&gt;Debt_Yr,0,IF(3=Debt_Yr,E3165,MIN(E3165,(E1044+E1347+E1650+E2256)*Cash_Sweep)))</f>
        <v>0</v>
      </c>
      <c r="F3468" s="71" t="n">
        <f aca="false">IF(4&gt;Debt_Yr,0,IF(4=Debt_Yr,F3165,MIN(F3165,(F1044+F1347+F1650+F2256)*Cash_Sweep)))</f>
        <v>0</v>
      </c>
      <c r="G3468" s="71" t="n">
        <f aca="false">IF(5&gt;Debt_Yr,0,IF(5=Debt_Yr,G3165,MIN(G3165,(G1044+G1347+G1650+G2256)*Cash_Sweep)))</f>
        <v>0</v>
      </c>
      <c r="H3468" s="71" t="n">
        <f aca="false">IF(6&gt;Debt_Yr,0,IF(6=Debt_Yr,H3165,MIN(H3165,(H1044+H1347+H1650+H2256)*Cash_Sweep)))</f>
        <v>0</v>
      </c>
      <c r="I3468" s="71" t="n">
        <f aca="false">IF(7&gt;Debt_Yr,0,IF(7=Debt_Yr,I3165,MIN(I3165,(I1044+I1347+I1650+I2256)*Cash_Sweep)))</f>
        <v>0</v>
      </c>
      <c r="J3468" s="71" t="n">
        <f aca="false">IF(8&gt;Debt_Yr,0,IF(8=Debt_Yr,J3165,MIN(J3165,(J1044+J1347+J1650+J2256)*Cash_Sweep)))</f>
        <v>0</v>
      </c>
      <c r="K3468" s="71" t="n">
        <f aca="false">IF(9&gt;Debt_Yr,0,IF(9=Debt_Yr,K3165,MIN(K3165,(K1044+K1347+K1650+K2256)*Cash_Sweep)))</f>
        <v>0</v>
      </c>
      <c r="L3468" s="71" t="n">
        <f aca="false">IF(10&gt;Debt_Yr,0,IF(10=Debt_Yr,L3165,MIN(L3165,(L1044+L1347+L1650+L2256)*Cash_Sweep)))</f>
        <v>0</v>
      </c>
    </row>
    <row r="3469" customFormat="false" ht="15" hidden="false" customHeight="false" outlineLevel="0" collapsed="false">
      <c r="B3469" s="102" t="n">
        <f aca="false">'Loan Tape'!$A132</f>
        <v>0</v>
      </c>
      <c r="C3469" s="99" t="n">
        <f aca="false">IF(1&gt;Debt_Yr,0,IF(1=Debt_Yr,C3166,MIN(C3166,(C1045+C1348+C1651+C2257)*Cash_Sweep)))</f>
        <v>0</v>
      </c>
      <c r="D3469" s="99" t="n">
        <f aca="false">IF(2&gt;Debt_Yr,0,IF(2=Debt_Yr,D3166,MIN(D3166,(D1045+D1348+D1651+D2257)*Cash_Sweep)))</f>
        <v>0</v>
      </c>
      <c r="E3469" s="99" t="n">
        <f aca="false">IF(3&gt;Debt_Yr,0,IF(3=Debt_Yr,E3166,MIN(E3166,(E1045+E1348+E1651+E2257)*Cash_Sweep)))</f>
        <v>0</v>
      </c>
      <c r="F3469" s="99" t="n">
        <f aca="false">IF(4&gt;Debt_Yr,0,IF(4=Debt_Yr,F3166,MIN(F3166,(F1045+F1348+F1651+F2257)*Cash_Sweep)))</f>
        <v>0</v>
      </c>
      <c r="G3469" s="99" t="n">
        <f aca="false">IF(5&gt;Debt_Yr,0,IF(5=Debt_Yr,G3166,MIN(G3166,(G1045+G1348+G1651+G2257)*Cash_Sweep)))</f>
        <v>0</v>
      </c>
      <c r="H3469" s="99" t="n">
        <f aca="false">IF(6&gt;Debt_Yr,0,IF(6=Debt_Yr,H3166,MIN(H3166,(H1045+H1348+H1651+H2257)*Cash_Sweep)))</f>
        <v>0</v>
      </c>
      <c r="I3469" s="99" t="n">
        <f aca="false">IF(7&gt;Debt_Yr,0,IF(7=Debt_Yr,I3166,MIN(I3166,(I1045+I1348+I1651+I2257)*Cash_Sweep)))</f>
        <v>0</v>
      </c>
      <c r="J3469" s="99" t="n">
        <f aca="false">IF(8&gt;Debt_Yr,0,IF(8=Debt_Yr,J3166,MIN(J3166,(J1045+J1348+J1651+J2257)*Cash_Sweep)))</f>
        <v>0</v>
      </c>
      <c r="K3469" s="99" t="n">
        <f aca="false">IF(9&gt;Debt_Yr,0,IF(9=Debt_Yr,K3166,MIN(K3166,(K1045+K1348+K1651+K2257)*Cash_Sweep)))</f>
        <v>0</v>
      </c>
      <c r="L3469" s="99" t="n">
        <f aca="false">IF(10&gt;Debt_Yr,0,IF(10=Debt_Yr,L3166,MIN(L3166,(L1045+L1348+L1651+L2257)*Cash_Sweep)))</f>
        <v>0</v>
      </c>
    </row>
    <row r="3470" customFormat="false" ht="15" hidden="false" customHeight="false" outlineLevel="0" collapsed="false">
      <c r="B3470" s="108" t="n">
        <f aca="false">'Loan Tape'!$A133</f>
        <v>0</v>
      </c>
      <c r="C3470" s="71" t="n">
        <f aca="false">IF(1&gt;Debt_Yr,0,IF(1=Debt_Yr,C3167,MIN(C3167,(C1046+C1349+C1652+C2258)*Cash_Sweep)))</f>
        <v>0</v>
      </c>
      <c r="D3470" s="71" t="n">
        <f aca="false">IF(2&gt;Debt_Yr,0,IF(2=Debt_Yr,D3167,MIN(D3167,(D1046+D1349+D1652+D2258)*Cash_Sweep)))</f>
        <v>0</v>
      </c>
      <c r="E3470" s="71" t="n">
        <f aca="false">IF(3&gt;Debt_Yr,0,IF(3=Debt_Yr,E3167,MIN(E3167,(E1046+E1349+E1652+E2258)*Cash_Sweep)))</f>
        <v>0</v>
      </c>
      <c r="F3470" s="71" t="n">
        <f aca="false">IF(4&gt;Debt_Yr,0,IF(4=Debt_Yr,F3167,MIN(F3167,(F1046+F1349+F1652+F2258)*Cash_Sweep)))</f>
        <v>0</v>
      </c>
      <c r="G3470" s="71" t="n">
        <f aca="false">IF(5&gt;Debt_Yr,0,IF(5=Debt_Yr,G3167,MIN(G3167,(G1046+G1349+G1652+G2258)*Cash_Sweep)))</f>
        <v>0</v>
      </c>
      <c r="H3470" s="71" t="n">
        <f aca="false">IF(6&gt;Debt_Yr,0,IF(6=Debt_Yr,H3167,MIN(H3167,(H1046+H1349+H1652+H2258)*Cash_Sweep)))</f>
        <v>0</v>
      </c>
      <c r="I3470" s="71" t="n">
        <f aca="false">IF(7&gt;Debt_Yr,0,IF(7=Debt_Yr,I3167,MIN(I3167,(I1046+I1349+I1652+I2258)*Cash_Sweep)))</f>
        <v>0</v>
      </c>
      <c r="J3470" s="71" t="n">
        <f aca="false">IF(8&gt;Debt_Yr,0,IF(8=Debt_Yr,J3167,MIN(J3167,(J1046+J1349+J1652+J2258)*Cash_Sweep)))</f>
        <v>0</v>
      </c>
      <c r="K3470" s="71" t="n">
        <f aca="false">IF(9&gt;Debt_Yr,0,IF(9=Debt_Yr,K3167,MIN(K3167,(K1046+K1349+K1652+K2258)*Cash_Sweep)))</f>
        <v>0</v>
      </c>
      <c r="L3470" s="71" t="n">
        <f aca="false">IF(10&gt;Debt_Yr,0,IF(10=Debt_Yr,L3167,MIN(L3167,(L1046+L1349+L1652+L2258)*Cash_Sweep)))</f>
        <v>0</v>
      </c>
    </row>
    <row r="3471" customFormat="false" ht="15" hidden="false" customHeight="false" outlineLevel="0" collapsed="false">
      <c r="B3471" s="102" t="n">
        <f aca="false">'Loan Tape'!$A134</f>
        <v>0</v>
      </c>
      <c r="C3471" s="99" t="n">
        <f aca="false">IF(1&gt;Debt_Yr,0,IF(1=Debt_Yr,C3168,MIN(C3168,(C1047+C1350+C1653+C2259)*Cash_Sweep)))</f>
        <v>0</v>
      </c>
      <c r="D3471" s="99" t="n">
        <f aca="false">IF(2&gt;Debt_Yr,0,IF(2=Debt_Yr,D3168,MIN(D3168,(D1047+D1350+D1653+D2259)*Cash_Sweep)))</f>
        <v>0</v>
      </c>
      <c r="E3471" s="99" t="n">
        <f aca="false">IF(3&gt;Debt_Yr,0,IF(3=Debt_Yr,E3168,MIN(E3168,(E1047+E1350+E1653+E2259)*Cash_Sweep)))</f>
        <v>0</v>
      </c>
      <c r="F3471" s="99" t="n">
        <f aca="false">IF(4&gt;Debt_Yr,0,IF(4=Debt_Yr,F3168,MIN(F3168,(F1047+F1350+F1653+F2259)*Cash_Sweep)))</f>
        <v>0</v>
      </c>
      <c r="G3471" s="99" t="n">
        <f aca="false">IF(5&gt;Debt_Yr,0,IF(5=Debt_Yr,G3168,MIN(G3168,(G1047+G1350+G1653+G2259)*Cash_Sweep)))</f>
        <v>0</v>
      </c>
      <c r="H3471" s="99" t="n">
        <f aca="false">IF(6&gt;Debt_Yr,0,IF(6=Debt_Yr,H3168,MIN(H3168,(H1047+H1350+H1653+H2259)*Cash_Sweep)))</f>
        <v>0</v>
      </c>
      <c r="I3471" s="99" t="n">
        <f aca="false">IF(7&gt;Debt_Yr,0,IF(7=Debt_Yr,I3168,MIN(I3168,(I1047+I1350+I1653+I2259)*Cash_Sweep)))</f>
        <v>0</v>
      </c>
      <c r="J3471" s="99" t="n">
        <f aca="false">IF(8&gt;Debt_Yr,0,IF(8=Debt_Yr,J3168,MIN(J3168,(J1047+J1350+J1653+J2259)*Cash_Sweep)))</f>
        <v>0</v>
      </c>
      <c r="K3471" s="99" t="n">
        <f aca="false">IF(9&gt;Debt_Yr,0,IF(9=Debt_Yr,K3168,MIN(K3168,(K1047+K1350+K1653+K2259)*Cash_Sweep)))</f>
        <v>0</v>
      </c>
      <c r="L3471" s="99" t="n">
        <f aca="false">IF(10&gt;Debt_Yr,0,IF(10=Debt_Yr,L3168,MIN(L3168,(L1047+L1350+L1653+L2259)*Cash_Sweep)))</f>
        <v>0</v>
      </c>
    </row>
    <row r="3472" customFormat="false" ht="15" hidden="false" customHeight="false" outlineLevel="0" collapsed="false">
      <c r="B3472" s="108" t="n">
        <f aca="false">'Loan Tape'!$A135</f>
        <v>0</v>
      </c>
      <c r="C3472" s="71" t="n">
        <f aca="false">IF(1&gt;Debt_Yr,0,IF(1=Debt_Yr,C3169,MIN(C3169,(C1048+C1351+C1654+C2260)*Cash_Sweep)))</f>
        <v>0</v>
      </c>
      <c r="D3472" s="71" t="n">
        <f aca="false">IF(2&gt;Debt_Yr,0,IF(2=Debt_Yr,D3169,MIN(D3169,(D1048+D1351+D1654+D2260)*Cash_Sweep)))</f>
        <v>0</v>
      </c>
      <c r="E3472" s="71" t="n">
        <f aca="false">IF(3&gt;Debt_Yr,0,IF(3=Debt_Yr,E3169,MIN(E3169,(E1048+E1351+E1654+E2260)*Cash_Sweep)))</f>
        <v>0</v>
      </c>
      <c r="F3472" s="71" t="n">
        <f aca="false">IF(4&gt;Debt_Yr,0,IF(4=Debt_Yr,F3169,MIN(F3169,(F1048+F1351+F1654+F2260)*Cash_Sweep)))</f>
        <v>0</v>
      </c>
      <c r="G3472" s="71" t="n">
        <f aca="false">IF(5&gt;Debt_Yr,0,IF(5=Debt_Yr,G3169,MIN(G3169,(G1048+G1351+G1654+G2260)*Cash_Sweep)))</f>
        <v>0</v>
      </c>
      <c r="H3472" s="71" t="n">
        <f aca="false">IF(6&gt;Debt_Yr,0,IF(6=Debt_Yr,H3169,MIN(H3169,(H1048+H1351+H1654+H2260)*Cash_Sweep)))</f>
        <v>0</v>
      </c>
      <c r="I3472" s="71" t="n">
        <f aca="false">IF(7&gt;Debt_Yr,0,IF(7=Debt_Yr,I3169,MIN(I3169,(I1048+I1351+I1654+I2260)*Cash_Sweep)))</f>
        <v>0</v>
      </c>
      <c r="J3472" s="71" t="n">
        <f aca="false">IF(8&gt;Debt_Yr,0,IF(8=Debt_Yr,J3169,MIN(J3169,(J1048+J1351+J1654+J2260)*Cash_Sweep)))</f>
        <v>0</v>
      </c>
      <c r="K3472" s="71" t="n">
        <f aca="false">IF(9&gt;Debt_Yr,0,IF(9=Debt_Yr,K3169,MIN(K3169,(K1048+K1351+K1654+K2260)*Cash_Sweep)))</f>
        <v>0</v>
      </c>
      <c r="L3472" s="71" t="n">
        <f aca="false">IF(10&gt;Debt_Yr,0,IF(10=Debt_Yr,L3169,MIN(L3169,(L1048+L1351+L1654+L2260)*Cash_Sweep)))</f>
        <v>0</v>
      </c>
    </row>
    <row r="3473" customFormat="false" ht="15" hidden="false" customHeight="false" outlineLevel="0" collapsed="false">
      <c r="B3473" s="102" t="n">
        <f aca="false">'Loan Tape'!$A136</f>
        <v>0</v>
      </c>
      <c r="C3473" s="99" t="n">
        <f aca="false">IF(1&gt;Debt_Yr,0,IF(1=Debt_Yr,C3170,MIN(C3170,(C1049+C1352+C1655+C2261)*Cash_Sweep)))</f>
        <v>0</v>
      </c>
      <c r="D3473" s="99" t="n">
        <f aca="false">IF(2&gt;Debt_Yr,0,IF(2=Debt_Yr,D3170,MIN(D3170,(D1049+D1352+D1655+D2261)*Cash_Sweep)))</f>
        <v>0</v>
      </c>
      <c r="E3473" s="99" t="n">
        <f aca="false">IF(3&gt;Debt_Yr,0,IF(3=Debt_Yr,E3170,MIN(E3170,(E1049+E1352+E1655+E2261)*Cash_Sweep)))</f>
        <v>0</v>
      </c>
      <c r="F3473" s="99" t="n">
        <f aca="false">IF(4&gt;Debt_Yr,0,IF(4=Debt_Yr,F3170,MIN(F3170,(F1049+F1352+F1655+F2261)*Cash_Sweep)))</f>
        <v>0</v>
      </c>
      <c r="G3473" s="99" t="n">
        <f aca="false">IF(5&gt;Debt_Yr,0,IF(5=Debt_Yr,G3170,MIN(G3170,(G1049+G1352+G1655+G2261)*Cash_Sweep)))</f>
        <v>0</v>
      </c>
      <c r="H3473" s="99" t="n">
        <f aca="false">IF(6&gt;Debt_Yr,0,IF(6=Debt_Yr,H3170,MIN(H3170,(H1049+H1352+H1655+H2261)*Cash_Sweep)))</f>
        <v>0</v>
      </c>
      <c r="I3473" s="99" t="n">
        <f aca="false">IF(7&gt;Debt_Yr,0,IF(7=Debt_Yr,I3170,MIN(I3170,(I1049+I1352+I1655+I2261)*Cash_Sweep)))</f>
        <v>0</v>
      </c>
      <c r="J3473" s="99" t="n">
        <f aca="false">IF(8&gt;Debt_Yr,0,IF(8=Debt_Yr,J3170,MIN(J3170,(J1049+J1352+J1655+J2261)*Cash_Sweep)))</f>
        <v>0</v>
      </c>
      <c r="K3473" s="99" t="n">
        <f aca="false">IF(9&gt;Debt_Yr,0,IF(9=Debt_Yr,K3170,MIN(K3170,(K1049+K1352+K1655+K2261)*Cash_Sweep)))</f>
        <v>0</v>
      </c>
      <c r="L3473" s="99" t="n">
        <f aca="false">IF(10&gt;Debt_Yr,0,IF(10=Debt_Yr,L3170,MIN(L3170,(L1049+L1352+L1655+L2261)*Cash_Sweep)))</f>
        <v>0</v>
      </c>
    </row>
    <row r="3474" customFormat="false" ht="15" hidden="false" customHeight="false" outlineLevel="0" collapsed="false">
      <c r="B3474" s="108" t="n">
        <f aca="false">'Loan Tape'!$A137</f>
        <v>0</v>
      </c>
      <c r="C3474" s="71" t="n">
        <f aca="false">IF(1&gt;Debt_Yr,0,IF(1=Debt_Yr,C3171,MIN(C3171,(C1050+C1353+C1656+C2262)*Cash_Sweep)))</f>
        <v>0</v>
      </c>
      <c r="D3474" s="71" t="n">
        <f aca="false">IF(2&gt;Debt_Yr,0,IF(2=Debt_Yr,D3171,MIN(D3171,(D1050+D1353+D1656+D2262)*Cash_Sweep)))</f>
        <v>0</v>
      </c>
      <c r="E3474" s="71" t="n">
        <f aca="false">IF(3&gt;Debt_Yr,0,IF(3=Debt_Yr,E3171,MIN(E3171,(E1050+E1353+E1656+E2262)*Cash_Sweep)))</f>
        <v>0</v>
      </c>
      <c r="F3474" s="71" t="n">
        <f aca="false">IF(4&gt;Debt_Yr,0,IF(4=Debt_Yr,F3171,MIN(F3171,(F1050+F1353+F1656+F2262)*Cash_Sweep)))</f>
        <v>0</v>
      </c>
      <c r="G3474" s="71" t="n">
        <f aca="false">IF(5&gt;Debt_Yr,0,IF(5=Debt_Yr,G3171,MIN(G3171,(G1050+G1353+G1656+G2262)*Cash_Sweep)))</f>
        <v>0</v>
      </c>
      <c r="H3474" s="71" t="n">
        <f aca="false">IF(6&gt;Debt_Yr,0,IF(6=Debt_Yr,H3171,MIN(H3171,(H1050+H1353+H1656+H2262)*Cash_Sweep)))</f>
        <v>0</v>
      </c>
      <c r="I3474" s="71" t="n">
        <f aca="false">IF(7&gt;Debt_Yr,0,IF(7=Debt_Yr,I3171,MIN(I3171,(I1050+I1353+I1656+I2262)*Cash_Sweep)))</f>
        <v>0</v>
      </c>
      <c r="J3474" s="71" t="n">
        <f aca="false">IF(8&gt;Debt_Yr,0,IF(8=Debt_Yr,J3171,MIN(J3171,(J1050+J1353+J1656+J2262)*Cash_Sweep)))</f>
        <v>0</v>
      </c>
      <c r="K3474" s="71" t="n">
        <f aca="false">IF(9&gt;Debt_Yr,0,IF(9=Debt_Yr,K3171,MIN(K3171,(K1050+K1353+K1656+K2262)*Cash_Sweep)))</f>
        <v>0</v>
      </c>
      <c r="L3474" s="71" t="n">
        <f aca="false">IF(10&gt;Debt_Yr,0,IF(10=Debt_Yr,L3171,MIN(L3171,(L1050+L1353+L1656+L2262)*Cash_Sweep)))</f>
        <v>0</v>
      </c>
    </row>
    <row r="3475" customFormat="false" ht="15" hidden="false" customHeight="false" outlineLevel="0" collapsed="false">
      <c r="B3475" s="102" t="n">
        <f aca="false">'Loan Tape'!$A138</f>
        <v>0</v>
      </c>
      <c r="C3475" s="99" t="n">
        <f aca="false">IF(1&gt;Debt_Yr,0,IF(1=Debt_Yr,C3172,MIN(C3172,(C1051+C1354+C1657+C2263)*Cash_Sweep)))</f>
        <v>0</v>
      </c>
      <c r="D3475" s="99" t="n">
        <f aca="false">IF(2&gt;Debt_Yr,0,IF(2=Debt_Yr,D3172,MIN(D3172,(D1051+D1354+D1657+D2263)*Cash_Sweep)))</f>
        <v>0</v>
      </c>
      <c r="E3475" s="99" t="n">
        <f aca="false">IF(3&gt;Debt_Yr,0,IF(3=Debt_Yr,E3172,MIN(E3172,(E1051+E1354+E1657+E2263)*Cash_Sweep)))</f>
        <v>0</v>
      </c>
      <c r="F3475" s="99" t="n">
        <f aca="false">IF(4&gt;Debt_Yr,0,IF(4=Debt_Yr,F3172,MIN(F3172,(F1051+F1354+F1657+F2263)*Cash_Sweep)))</f>
        <v>0</v>
      </c>
      <c r="G3475" s="99" t="n">
        <f aca="false">IF(5&gt;Debt_Yr,0,IF(5=Debt_Yr,G3172,MIN(G3172,(G1051+G1354+G1657+G2263)*Cash_Sweep)))</f>
        <v>0</v>
      </c>
      <c r="H3475" s="99" t="n">
        <f aca="false">IF(6&gt;Debt_Yr,0,IF(6=Debt_Yr,H3172,MIN(H3172,(H1051+H1354+H1657+H2263)*Cash_Sweep)))</f>
        <v>0</v>
      </c>
      <c r="I3475" s="99" t="n">
        <f aca="false">IF(7&gt;Debt_Yr,0,IF(7=Debt_Yr,I3172,MIN(I3172,(I1051+I1354+I1657+I2263)*Cash_Sweep)))</f>
        <v>0</v>
      </c>
      <c r="J3475" s="99" t="n">
        <f aca="false">IF(8&gt;Debt_Yr,0,IF(8=Debt_Yr,J3172,MIN(J3172,(J1051+J1354+J1657+J2263)*Cash_Sweep)))</f>
        <v>0</v>
      </c>
      <c r="K3475" s="99" t="n">
        <f aca="false">IF(9&gt;Debt_Yr,0,IF(9=Debt_Yr,K3172,MIN(K3172,(K1051+K1354+K1657+K2263)*Cash_Sweep)))</f>
        <v>0</v>
      </c>
      <c r="L3475" s="99" t="n">
        <f aca="false">IF(10&gt;Debt_Yr,0,IF(10=Debt_Yr,L3172,MIN(L3172,(L1051+L1354+L1657+L2263)*Cash_Sweep)))</f>
        <v>0</v>
      </c>
    </row>
    <row r="3476" customFormat="false" ht="15" hidden="false" customHeight="false" outlineLevel="0" collapsed="false">
      <c r="B3476" s="108" t="n">
        <f aca="false">'Loan Tape'!$A139</f>
        <v>0</v>
      </c>
      <c r="C3476" s="71" t="n">
        <f aca="false">IF(1&gt;Debt_Yr,0,IF(1=Debt_Yr,C3173,MIN(C3173,(C1052+C1355+C1658+C2264)*Cash_Sweep)))</f>
        <v>0</v>
      </c>
      <c r="D3476" s="71" t="n">
        <f aca="false">IF(2&gt;Debt_Yr,0,IF(2=Debt_Yr,D3173,MIN(D3173,(D1052+D1355+D1658+D2264)*Cash_Sweep)))</f>
        <v>0</v>
      </c>
      <c r="E3476" s="71" t="n">
        <f aca="false">IF(3&gt;Debt_Yr,0,IF(3=Debt_Yr,E3173,MIN(E3173,(E1052+E1355+E1658+E2264)*Cash_Sweep)))</f>
        <v>0</v>
      </c>
      <c r="F3476" s="71" t="n">
        <f aca="false">IF(4&gt;Debt_Yr,0,IF(4=Debt_Yr,F3173,MIN(F3173,(F1052+F1355+F1658+F2264)*Cash_Sweep)))</f>
        <v>0</v>
      </c>
      <c r="G3476" s="71" t="n">
        <f aca="false">IF(5&gt;Debt_Yr,0,IF(5=Debt_Yr,G3173,MIN(G3173,(G1052+G1355+G1658+G2264)*Cash_Sweep)))</f>
        <v>0</v>
      </c>
      <c r="H3476" s="71" t="n">
        <f aca="false">IF(6&gt;Debt_Yr,0,IF(6=Debt_Yr,H3173,MIN(H3173,(H1052+H1355+H1658+H2264)*Cash_Sweep)))</f>
        <v>0</v>
      </c>
      <c r="I3476" s="71" t="n">
        <f aca="false">IF(7&gt;Debt_Yr,0,IF(7=Debt_Yr,I3173,MIN(I3173,(I1052+I1355+I1658+I2264)*Cash_Sweep)))</f>
        <v>0</v>
      </c>
      <c r="J3476" s="71" t="n">
        <f aca="false">IF(8&gt;Debt_Yr,0,IF(8=Debt_Yr,J3173,MIN(J3173,(J1052+J1355+J1658+J2264)*Cash_Sweep)))</f>
        <v>0</v>
      </c>
      <c r="K3476" s="71" t="n">
        <f aca="false">IF(9&gt;Debt_Yr,0,IF(9=Debt_Yr,K3173,MIN(K3173,(K1052+K1355+K1658+K2264)*Cash_Sweep)))</f>
        <v>0</v>
      </c>
      <c r="L3476" s="71" t="n">
        <f aca="false">IF(10&gt;Debt_Yr,0,IF(10=Debt_Yr,L3173,MIN(L3173,(L1052+L1355+L1658+L2264)*Cash_Sweep)))</f>
        <v>0</v>
      </c>
    </row>
    <row r="3477" customFormat="false" ht="15" hidden="false" customHeight="false" outlineLevel="0" collapsed="false">
      <c r="B3477" s="102" t="n">
        <f aca="false">'Loan Tape'!$A140</f>
        <v>0</v>
      </c>
      <c r="C3477" s="99" t="n">
        <f aca="false">IF(1&gt;Debt_Yr,0,IF(1=Debt_Yr,C3174,MIN(C3174,(C1053+C1356+C1659+C2265)*Cash_Sweep)))</f>
        <v>0</v>
      </c>
      <c r="D3477" s="99" t="n">
        <f aca="false">IF(2&gt;Debt_Yr,0,IF(2=Debt_Yr,D3174,MIN(D3174,(D1053+D1356+D1659+D2265)*Cash_Sweep)))</f>
        <v>0</v>
      </c>
      <c r="E3477" s="99" t="n">
        <f aca="false">IF(3&gt;Debt_Yr,0,IF(3=Debt_Yr,E3174,MIN(E3174,(E1053+E1356+E1659+E2265)*Cash_Sweep)))</f>
        <v>0</v>
      </c>
      <c r="F3477" s="99" t="n">
        <f aca="false">IF(4&gt;Debt_Yr,0,IF(4=Debt_Yr,F3174,MIN(F3174,(F1053+F1356+F1659+F2265)*Cash_Sweep)))</f>
        <v>0</v>
      </c>
      <c r="G3477" s="99" t="n">
        <f aca="false">IF(5&gt;Debt_Yr,0,IF(5=Debt_Yr,G3174,MIN(G3174,(G1053+G1356+G1659+G2265)*Cash_Sweep)))</f>
        <v>0</v>
      </c>
      <c r="H3477" s="99" t="n">
        <f aca="false">IF(6&gt;Debt_Yr,0,IF(6=Debt_Yr,H3174,MIN(H3174,(H1053+H1356+H1659+H2265)*Cash_Sweep)))</f>
        <v>0</v>
      </c>
      <c r="I3477" s="99" t="n">
        <f aca="false">IF(7&gt;Debt_Yr,0,IF(7=Debt_Yr,I3174,MIN(I3174,(I1053+I1356+I1659+I2265)*Cash_Sweep)))</f>
        <v>0</v>
      </c>
      <c r="J3477" s="99" t="n">
        <f aca="false">IF(8&gt;Debt_Yr,0,IF(8=Debt_Yr,J3174,MIN(J3174,(J1053+J1356+J1659+J2265)*Cash_Sweep)))</f>
        <v>0</v>
      </c>
      <c r="K3477" s="99" t="n">
        <f aca="false">IF(9&gt;Debt_Yr,0,IF(9=Debt_Yr,K3174,MIN(K3174,(K1053+K1356+K1659+K2265)*Cash_Sweep)))</f>
        <v>0</v>
      </c>
      <c r="L3477" s="99" t="n">
        <f aca="false">IF(10&gt;Debt_Yr,0,IF(10=Debt_Yr,L3174,MIN(L3174,(L1053+L1356+L1659+L2265)*Cash_Sweep)))</f>
        <v>0</v>
      </c>
    </row>
    <row r="3478" customFormat="false" ht="15" hidden="false" customHeight="false" outlineLevel="0" collapsed="false">
      <c r="B3478" s="108" t="n">
        <f aca="false">'Loan Tape'!$A141</f>
        <v>0</v>
      </c>
      <c r="C3478" s="71" t="n">
        <f aca="false">IF(1&gt;Debt_Yr,0,IF(1=Debt_Yr,C3175,MIN(C3175,(C1054+C1357+C1660+C2266)*Cash_Sweep)))</f>
        <v>0</v>
      </c>
      <c r="D3478" s="71" t="n">
        <f aca="false">IF(2&gt;Debt_Yr,0,IF(2=Debt_Yr,D3175,MIN(D3175,(D1054+D1357+D1660+D2266)*Cash_Sweep)))</f>
        <v>0</v>
      </c>
      <c r="E3478" s="71" t="n">
        <f aca="false">IF(3&gt;Debt_Yr,0,IF(3=Debt_Yr,E3175,MIN(E3175,(E1054+E1357+E1660+E2266)*Cash_Sweep)))</f>
        <v>0</v>
      </c>
      <c r="F3478" s="71" t="n">
        <f aca="false">IF(4&gt;Debt_Yr,0,IF(4=Debt_Yr,F3175,MIN(F3175,(F1054+F1357+F1660+F2266)*Cash_Sweep)))</f>
        <v>0</v>
      </c>
      <c r="G3478" s="71" t="n">
        <f aca="false">IF(5&gt;Debt_Yr,0,IF(5=Debt_Yr,G3175,MIN(G3175,(G1054+G1357+G1660+G2266)*Cash_Sweep)))</f>
        <v>0</v>
      </c>
      <c r="H3478" s="71" t="n">
        <f aca="false">IF(6&gt;Debt_Yr,0,IF(6=Debt_Yr,H3175,MIN(H3175,(H1054+H1357+H1660+H2266)*Cash_Sweep)))</f>
        <v>0</v>
      </c>
      <c r="I3478" s="71" t="n">
        <f aca="false">IF(7&gt;Debt_Yr,0,IF(7=Debt_Yr,I3175,MIN(I3175,(I1054+I1357+I1660+I2266)*Cash_Sweep)))</f>
        <v>0</v>
      </c>
      <c r="J3478" s="71" t="n">
        <f aca="false">IF(8&gt;Debt_Yr,0,IF(8=Debt_Yr,J3175,MIN(J3175,(J1054+J1357+J1660+J2266)*Cash_Sweep)))</f>
        <v>0</v>
      </c>
      <c r="K3478" s="71" t="n">
        <f aca="false">IF(9&gt;Debt_Yr,0,IF(9=Debt_Yr,K3175,MIN(K3175,(K1054+K1357+K1660+K2266)*Cash_Sweep)))</f>
        <v>0</v>
      </c>
      <c r="L3478" s="71" t="n">
        <f aca="false">IF(10&gt;Debt_Yr,0,IF(10=Debt_Yr,L3175,MIN(L3175,(L1054+L1357+L1660+L2266)*Cash_Sweep)))</f>
        <v>0</v>
      </c>
    </row>
    <row r="3479" customFormat="false" ht="15" hidden="false" customHeight="false" outlineLevel="0" collapsed="false">
      <c r="B3479" s="102" t="n">
        <f aca="false">'Loan Tape'!$A142</f>
        <v>0</v>
      </c>
      <c r="C3479" s="99" t="n">
        <f aca="false">IF(1&gt;Debt_Yr,0,IF(1=Debt_Yr,C3176,MIN(C3176,(C1055+C1358+C1661+C2267)*Cash_Sweep)))</f>
        <v>0</v>
      </c>
      <c r="D3479" s="99" t="n">
        <f aca="false">IF(2&gt;Debt_Yr,0,IF(2=Debt_Yr,D3176,MIN(D3176,(D1055+D1358+D1661+D2267)*Cash_Sweep)))</f>
        <v>0</v>
      </c>
      <c r="E3479" s="99" t="n">
        <f aca="false">IF(3&gt;Debt_Yr,0,IF(3=Debt_Yr,E3176,MIN(E3176,(E1055+E1358+E1661+E2267)*Cash_Sweep)))</f>
        <v>0</v>
      </c>
      <c r="F3479" s="99" t="n">
        <f aca="false">IF(4&gt;Debt_Yr,0,IF(4=Debt_Yr,F3176,MIN(F3176,(F1055+F1358+F1661+F2267)*Cash_Sweep)))</f>
        <v>0</v>
      </c>
      <c r="G3479" s="99" t="n">
        <f aca="false">IF(5&gt;Debt_Yr,0,IF(5=Debt_Yr,G3176,MIN(G3176,(G1055+G1358+G1661+G2267)*Cash_Sweep)))</f>
        <v>0</v>
      </c>
      <c r="H3479" s="99" t="n">
        <f aca="false">IF(6&gt;Debt_Yr,0,IF(6=Debt_Yr,H3176,MIN(H3176,(H1055+H1358+H1661+H2267)*Cash_Sweep)))</f>
        <v>0</v>
      </c>
      <c r="I3479" s="99" t="n">
        <f aca="false">IF(7&gt;Debt_Yr,0,IF(7=Debt_Yr,I3176,MIN(I3176,(I1055+I1358+I1661+I2267)*Cash_Sweep)))</f>
        <v>0</v>
      </c>
      <c r="J3479" s="99" t="n">
        <f aca="false">IF(8&gt;Debt_Yr,0,IF(8=Debt_Yr,J3176,MIN(J3176,(J1055+J1358+J1661+J2267)*Cash_Sweep)))</f>
        <v>0</v>
      </c>
      <c r="K3479" s="99" t="n">
        <f aca="false">IF(9&gt;Debt_Yr,0,IF(9=Debt_Yr,K3176,MIN(K3176,(K1055+K1358+K1661+K2267)*Cash_Sweep)))</f>
        <v>0</v>
      </c>
      <c r="L3479" s="99" t="n">
        <f aca="false">IF(10&gt;Debt_Yr,0,IF(10=Debt_Yr,L3176,MIN(L3176,(L1055+L1358+L1661+L2267)*Cash_Sweep)))</f>
        <v>0</v>
      </c>
    </row>
    <row r="3480" customFormat="false" ht="15" hidden="false" customHeight="false" outlineLevel="0" collapsed="false">
      <c r="B3480" s="108" t="n">
        <f aca="false">'Loan Tape'!$A143</f>
        <v>0</v>
      </c>
      <c r="C3480" s="71" t="n">
        <f aca="false">IF(1&gt;Debt_Yr,0,IF(1=Debt_Yr,C3177,MIN(C3177,(C1056+C1359+C1662+C2268)*Cash_Sweep)))</f>
        <v>0</v>
      </c>
      <c r="D3480" s="71" t="n">
        <f aca="false">IF(2&gt;Debt_Yr,0,IF(2=Debt_Yr,D3177,MIN(D3177,(D1056+D1359+D1662+D2268)*Cash_Sweep)))</f>
        <v>0</v>
      </c>
      <c r="E3480" s="71" t="n">
        <f aca="false">IF(3&gt;Debt_Yr,0,IF(3=Debt_Yr,E3177,MIN(E3177,(E1056+E1359+E1662+E2268)*Cash_Sweep)))</f>
        <v>0</v>
      </c>
      <c r="F3480" s="71" t="n">
        <f aca="false">IF(4&gt;Debt_Yr,0,IF(4=Debt_Yr,F3177,MIN(F3177,(F1056+F1359+F1662+F2268)*Cash_Sweep)))</f>
        <v>0</v>
      </c>
      <c r="G3480" s="71" t="n">
        <f aca="false">IF(5&gt;Debt_Yr,0,IF(5=Debt_Yr,G3177,MIN(G3177,(G1056+G1359+G1662+G2268)*Cash_Sweep)))</f>
        <v>0</v>
      </c>
      <c r="H3480" s="71" t="n">
        <f aca="false">IF(6&gt;Debt_Yr,0,IF(6=Debt_Yr,H3177,MIN(H3177,(H1056+H1359+H1662+H2268)*Cash_Sweep)))</f>
        <v>0</v>
      </c>
      <c r="I3480" s="71" t="n">
        <f aca="false">IF(7&gt;Debt_Yr,0,IF(7=Debt_Yr,I3177,MIN(I3177,(I1056+I1359+I1662+I2268)*Cash_Sweep)))</f>
        <v>0</v>
      </c>
      <c r="J3480" s="71" t="n">
        <f aca="false">IF(8&gt;Debt_Yr,0,IF(8=Debt_Yr,J3177,MIN(J3177,(J1056+J1359+J1662+J2268)*Cash_Sweep)))</f>
        <v>0</v>
      </c>
      <c r="K3480" s="71" t="n">
        <f aca="false">IF(9&gt;Debt_Yr,0,IF(9=Debt_Yr,K3177,MIN(K3177,(K1056+K1359+K1662+K2268)*Cash_Sweep)))</f>
        <v>0</v>
      </c>
      <c r="L3480" s="71" t="n">
        <f aca="false">IF(10&gt;Debt_Yr,0,IF(10=Debt_Yr,L3177,MIN(L3177,(L1056+L1359+L1662+L2268)*Cash_Sweep)))</f>
        <v>0</v>
      </c>
    </row>
    <row r="3481" customFormat="false" ht="15" hidden="false" customHeight="false" outlineLevel="0" collapsed="false">
      <c r="B3481" s="102" t="n">
        <f aca="false">'Loan Tape'!$A144</f>
        <v>0</v>
      </c>
      <c r="C3481" s="99" t="n">
        <f aca="false">IF(1&gt;Debt_Yr,0,IF(1=Debt_Yr,C3178,MIN(C3178,(C1057+C1360+C1663+C2269)*Cash_Sweep)))</f>
        <v>0</v>
      </c>
      <c r="D3481" s="99" t="n">
        <f aca="false">IF(2&gt;Debt_Yr,0,IF(2=Debt_Yr,D3178,MIN(D3178,(D1057+D1360+D1663+D2269)*Cash_Sweep)))</f>
        <v>0</v>
      </c>
      <c r="E3481" s="99" t="n">
        <f aca="false">IF(3&gt;Debt_Yr,0,IF(3=Debt_Yr,E3178,MIN(E3178,(E1057+E1360+E1663+E2269)*Cash_Sweep)))</f>
        <v>0</v>
      </c>
      <c r="F3481" s="99" t="n">
        <f aca="false">IF(4&gt;Debt_Yr,0,IF(4=Debt_Yr,F3178,MIN(F3178,(F1057+F1360+F1663+F2269)*Cash_Sweep)))</f>
        <v>0</v>
      </c>
      <c r="G3481" s="99" t="n">
        <f aca="false">IF(5&gt;Debt_Yr,0,IF(5=Debt_Yr,G3178,MIN(G3178,(G1057+G1360+G1663+G2269)*Cash_Sweep)))</f>
        <v>0</v>
      </c>
      <c r="H3481" s="99" t="n">
        <f aca="false">IF(6&gt;Debt_Yr,0,IF(6=Debt_Yr,H3178,MIN(H3178,(H1057+H1360+H1663+H2269)*Cash_Sweep)))</f>
        <v>0</v>
      </c>
      <c r="I3481" s="99" t="n">
        <f aca="false">IF(7&gt;Debt_Yr,0,IF(7=Debt_Yr,I3178,MIN(I3178,(I1057+I1360+I1663+I2269)*Cash_Sweep)))</f>
        <v>0</v>
      </c>
      <c r="J3481" s="99" t="n">
        <f aca="false">IF(8&gt;Debt_Yr,0,IF(8=Debt_Yr,J3178,MIN(J3178,(J1057+J1360+J1663+J2269)*Cash_Sweep)))</f>
        <v>0</v>
      </c>
      <c r="K3481" s="99" t="n">
        <f aca="false">IF(9&gt;Debt_Yr,0,IF(9=Debt_Yr,K3178,MIN(K3178,(K1057+K1360+K1663+K2269)*Cash_Sweep)))</f>
        <v>0</v>
      </c>
      <c r="L3481" s="99" t="n">
        <f aca="false">IF(10&gt;Debt_Yr,0,IF(10=Debt_Yr,L3178,MIN(L3178,(L1057+L1360+L1663+L2269)*Cash_Sweep)))</f>
        <v>0</v>
      </c>
    </row>
    <row r="3482" customFormat="false" ht="15" hidden="false" customHeight="false" outlineLevel="0" collapsed="false">
      <c r="B3482" s="108" t="n">
        <f aca="false">'Loan Tape'!$A145</f>
        <v>0</v>
      </c>
      <c r="C3482" s="71" t="n">
        <f aca="false">IF(1&gt;Debt_Yr,0,IF(1=Debt_Yr,C3179,MIN(C3179,(C1058+C1361+C1664+C2270)*Cash_Sweep)))</f>
        <v>0</v>
      </c>
      <c r="D3482" s="71" t="n">
        <f aca="false">IF(2&gt;Debt_Yr,0,IF(2=Debt_Yr,D3179,MIN(D3179,(D1058+D1361+D1664+D2270)*Cash_Sweep)))</f>
        <v>0</v>
      </c>
      <c r="E3482" s="71" t="n">
        <f aca="false">IF(3&gt;Debt_Yr,0,IF(3=Debt_Yr,E3179,MIN(E3179,(E1058+E1361+E1664+E2270)*Cash_Sweep)))</f>
        <v>0</v>
      </c>
      <c r="F3482" s="71" t="n">
        <f aca="false">IF(4&gt;Debt_Yr,0,IF(4=Debt_Yr,F3179,MIN(F3179,(F1058+F1361+F1664+F2270)*Cash_Sweep)))</f>
        <v>0</v>
      </c>
      <c r="G3482" s="71" t="n">
        <f aca="false">IF(5&gt;Debt_Yr,0,IF(5=Debt_Yr,G3179,MIN(G3179,(G1058+G1361+G1664+G2270)*Cash_Sweep)))</f>
        <v>0</v>
      </c>
      <c r="H3482" s="71" t="n">
        <f aca="false">IF(6&gt;Debt_Yr,0,IF(6=Debt_Yr,H3179,MIN(H3179,(H1058+H1361+H1664+H2270)*Cash_Sweep)))</f>
        <v>0</v>
      </c>
      <c r="I3482" s="71" t="n">
        <f aca="false">IF(7&gt;Debt_Yr,0,IF(7=Debt_Yr,I3179,MIN(I3179,(I1058+I1361+I1664+I2270)*Cash_Sweep)))</f>
        <v>0</v>
      </c>
      <c r="J3482" s="71" t="n">
        <f aca="false">IF(8&gt;Debt_Yr,0,IF(8=Debt_Yr,J3179,MIN(J3179,(J1058+J1361+J1664+J2270)*Cash_Sweep)))</f>
        <v>0</v>
      </c>
      <c r="K3482" s="71" t="n">
        <f aca="false">IF(9&gt;Debt_Yr,0,IF(9=Debt_Yr,K3179,MIN(K3179,(K1058+K1361+K1664+K2270)*Cash_Sweep)))</f>
        <v>0</v>
      </c>
      <c r="L3482" s="71" t="n">
        <f aca="false">IF(10&gt;Debt_Yr,0,IF(10=Debt_Yr,L3179,MIN(L3179,(L1058+L1361+L1664+L2270)*Cash_Sweep)))</f>
        <v>0</v>
      </c>
    </row>
    <row r="3483" customFormat="false" ht="15" hidden="false" customHeight="false" outlineLevel="0" collapsed="false">
      <c r="B3483" s="102" t="n">
        <f aca="false">'Loan Tape'!$A146</f>
        <v>0</v>
      </c>
      <c r="C3483" s="99" t="n">
        <f aca="false">IF(1&gt;Debt_Yr,0,IF(1=Debt_Yr,C3180,MIN(C3180,(C1059+C1362+C1665+C2271)*Cash_Sweep)))</f>
        <v>0</v>
      </c>
      <c r="D3483" s="99" t="n">
        <f aca="false">IF(2&gt;Debt_Yr,0,IF(2=Debt_Yr,D3180,MIN(D3180,(D1059+D1362+D1665+D2271)*Cash_Sweep)))</f>
        <v>0</v>
      </c>
      <c r="E3483" s="99" t="n">
        <f aca="false">IF(3&gt;Debt_Yr,0,IF(3=Debt_Yr,E3180,MIN(E3180,(E1059+E1362+E1665+E2271)*Cash_Sweep)))</f>
        <v>0</v>
      </c>
      <c r="F3483" s="99" t="n">
        <f aca="false">IF(4&gt;Debt_Yr,0,IF(4=Debt_Yr,F3180,MIN(F3180,(F1059+F1362+F1665+F2271)*Cash_Sweep)))</f>
        <v>0</v>
      </c>
      <c r="G3483" s="99" t="n">
        <f aca="false">IF(5&gt;Debt_Yr,0,IF(5=Debt_Yr,G3180,MIN(G3180,(G1059+G1362+G1665+G2271)*Cash_Sweep)))</f>
        <v>0</v>
      </c>
      <c r="H3483" s="99" t="n">
        <f aca="false">IF(6&gt;Debt_Yr,0,IF(6=Debt_Yr,H3180,MIN(H3180,(H1059+H1362+H1665+H2271)*Cash_Sweep)))</f>
        <v>0</v>
      </c>
      <c r="I3483" s="99" t="n">
        <f aca="false">IF(7&gt;Debt_Yr,0,IF(7=Debt_Yr,I3180,MIN(I3180,(I1059+I1362+I1665+I2271)*Cash_Sweep)))</f>
        <v>0</v>
      </c>
      <c r="J3483" s="99" t="n">
        <f aca="false">IF(8&gt;Debt_Yr,0,IF(8=Debt_Yr,J3180,MIN(J3180,(J1059+J1362+J1665+J2271)*Cash_Sweep)))</f>
        <v>0</v>
      </c>
      <c r="K3483" s="99" t="n">
        <f aca="false">IF(9&gt;Debt_Yr,0,IF(9=Debt_Yr,K3180,MIN(K3180,(K1059+K1362+K1665+K2271)*Cash_Sweep)))</f>
        <v>0</v>
      </c>
      <c r="L3483" s="99" t="n">
        <f aca="false">IF(10&gt;Debt_Yr,0,IF(10=Debt_Yr,L3180,MIN(L3180,(L1059+L1362+L1665+L2271)*Cash_Sweep)))</f>
        <v>0</v>
      </c>
    </row>
    <row r="3484" customFormat="false" ht="15" hidden="false" customHeight="false" outlineLevel="0" collapsed="false">
      <c r="B3484" s="108" t="n">
        <f aca="false">'Loan Tape'!$A147</f>
        <v>0</v>
      </c>
      <c r="C3484" s="71" t="n">
        <f aca="false">IF(1&gt;Debt_Yr,0,IF(1=Debt_Yr,C3181,MIN(C3181,(C1060+C1363+C1666+C2272)*Cash_Sweep)))</f>
        <v>0</v>
      </c>
      <c r="D3484" s="71" t="n">
        <f aca="false">IF(2&gt;Debt_Yr,0,IF(2=Debt_Yr,D3181,MIN(D3181,(D1060+D1363+D1666+D2272)*Cash_Sweep)))</f>
        <v>0</v>
      </c>
      <c r="E3484" s="71" t="n">
        <f aca="false">IF(3&gt;Debt_Yr,0,IF(3=Debt_Yr,E3181,MIN(E3181,(E1060+E1363+E1666+E2272)*Cash_Sweep)))</f>
        <v>0</v>
      </c>
      <c r="F3484" s="71" t="n">
        <f aca="false">IF(4&gt;Debt_Yr,0,IF(4=Debt_Yr,F3181,MIN(F3181,(F1060+F1363+F1666+F2272)*Cash_Sweep)))</f>
        <v>0</v>
      </c>
      <c r="G3484" s="71" t="n">
        <f aca="false">IF(5&gt;Debt_Yr,0,IF(5=Debt_Yr,G3181,MIN(G3181,(G1060+G1363+G1666+G2272)*Cash_Sweep)))</f>
        <v>0</v>
      </c>
      <c r="H3484" s="71" t="n">
        <f aca="false">IF(6&gt;Debt_Yr,0,IF(6=Debt_Yr,H3181,MIN(H3181,(H1060+H1363+H1666+H2272)*Cash_Sweep)))</f>
        <v>0</v>
      </c>
      <c r="I3484" s="71" t="n">
        <f aca="false">IF(7&gt;Debt_Yr,0,IF(7=Debt_Yr,I3181,MIN(I3181,(I1060+I1363+I1666+I2272)*Cash_Sweep)))</f>
        <v>0</v>
      </c>
      <c r="J3484" s="71" t="n">
        <f aca="false">IF(8&gt;Debt_Yr,0,IF(8=Debt_Yr,J3181,MIN(J3181,(J1060+J1363+J1666+J2272)*Cash_Sweep)))</f>
        <v>0</v>
      </c>
      <c r="K3484" s="71" t="n">
        <f aca="false">IF(9&gt;Debt_Yr,0,IF(9=Debt_Yr,K3181,MIN(K3181,(K1060+K1363+K1666+K2272)*Cash_Sweep)))</f>
        <v>0</v>
      </c>
      <c r="L3484" s="71" t="n">
        <f aca="false">IF(10&gt;Debt_Yr,0,IF(10=Debt_Yr,L3181,MIN(L3181,(L1060+L1363+L1666+L2272)*Cash_Sweep)))</f>
        <v>0</v>
      </c>
    </row>
    <row r="3485" customFormat="false" ht="15" hidden="false" customHeight="false" outlineLevel="0" collapsed="false">
      <c r="B3485" s="102" t="n">
        <f aca="false">'Loan Tape'!$A148</f>
        <v>0</v>
      </c>
      <c r="C3485" s="99" t="n">
        <f aca="false">IF(1&gt;Debt_Yr,0,IF(1=Debt_Yr,C3182,MIN(C3182,(C1061+C1364+C1667+C2273)*Cash_Sweep)))</f>
        <v>0</v>
      </c>
      <c r="D3485" s="99" t="n">
        <f aca="false">IF(2&gt;Debt_Yr,0,IF(2=Debt_Yr,D3182,MIN(D3182,(D1061+D1364+D1667+D2273)*Cash_Sweep)))</f>
        <v>0</v>
      </c>
      <c r="E3485" s="99" t="n">
        <f aca="false">IF(3&gt;Debt_Yr,0,IF(3=Debt_Yr,E3182,MIN(E3182,(E1061+E1364+E1667+E2273)*Cash_Sweep)))</f>
        <v>0</v>
      </c>
      <c r="F3485" s="99" t="n">
        <f aca="false">IF(4&gt;Debt_Yr,0,IF(4=Debt_Yr,F3182,MIN(F3182,(F1061+F1364+F1667+F2273)*Cash_Sweep)))</f>
        <v>0</v>
      </c>
      <c r="G3485" s="99" t="n">
        <f aca="false">IF(5&gt;Debt_Yr,0,IF(5=Debt_Yr,G3182,MIN(G3182,(G1061+G1364+G1667+G2273)*Cash_Sweep)))</f>
        <v>0</v>
      </c>
      <c r="H3485" s="99" t="n">
        <f aca="false">IF(6&gt;Debt_Yr,0,IF(6=Debt_Yr,H3182,MIN(H3182,(H1061+H1364+H1667+H2273)*Cash_Sweep)))</f>
        <v>0</v>
      </c>
      <c r="I3485" s="99" t="n">
        <f aca="false">IF(7&gt;Debt_Yr,0,IF(7=Debt_Yr,I3182,MIN(I3182,(I1061+I1364+I1667+I2273)*Cash_Sweep)))</f>
        <v>0</v>
      </c>
      <c r="J3485" s="99" t="n">
        <f aca="false">IF(8&gt;Debt_Yr,0,IF(8=Debt_Yr,J3182,MIN(J3182,(J1061+J1364+J1667+J2273)*Cash_Sweep)))</f>
        <v>0</v>
      </c>
      <c r="K3485" s="99" t="n">
        <f aca="false">IF(9&gt;Debt_Yr,0,IF(9=Debt_Yr,K3182,MIN(K3182,(K1061+K1364+K1667+K2273)*Cash_Sweep)))</f>
        <v>0</v>
      </c>
      <c r="L3485" s="99" t="n">
        <f aca="false">IF(10&gt;Debt_Yr,0,IF(10=Debt_Yr,L3182,MIN(L3182,(L1061+L1364+L1667+L2273)*Cash_Sweep)))</f>
        <v>0</v>
      </c>
    </row>
    <row r="3486" customFormat="false" ht="15" hidden="false" customHeight="false" outlineLevel="0" collapsed="false">
      <c r="B3486" s="108" t="n">
        <f aca="false">'Loan Tape'!$A149</f>
        <v>0</v>
      </c>
      <c r="C3486" s="71" t="n">
        <f aca="false">IF(1&gt;Debt_Yr,0,IF(1=Debt_Yr,C3183,MIN(C3183,(C1062+C1365+C1668+C2274)*Cash_Sweep)))</f>
        <v>0</v>
      </c>
      <c r="D3486" s="71" t="n">
        <f aca="false">IF(2&gt;Debt_Yr,0,IF(2=Debt_Yr,D3183,MIN(D3183,(D1062+D1365+D1668+D2274)*Cash_Sweep)))</f>
        <v>0</v>
      </c>
      <c r="E3486" s="71" t="n">
        <f aca="false">IF(3&gt;Debt_Yr,0,IF(3=Debt_Yr,E3183,MIN(E3183,(E1062+E1365+E1668+E2274)*Cash_Sweep)))</f>
        <v>0</v>
      </c>
      <c r="F3486" s="71" t="n">
        <f aca="false">IF(4&gt;Debt_Yr,0,IF(4=Debt_Yr,F3183,MIN(F3183,(F1062+F1365+F1668+F2274)*Cash_Sweep)))</f>
        <v>0</v>
      </c>
      <c r="G3486" s="71" t="n">
        <f aca="false">IF(5&gt;Debt_Yr,0,IF(5=Debt_Yr,G3183,MIN(G3183,(G1062+G1365+G1668+G2274)*Cash_Sweep)))</f>
        <v>0</v>
      </c>
      <c r="H3486" s="71" t="n">
        <f aca="false">IF(6&gt;Debt_Yr,0,IF(6=Debt_Yr,H3183,MIN(H3183,(H1062+H1365+H1668+H2274)*Cash_Sweep)))</f>
        <v>0</v>
      </c>
      <c r="I3486" s="71" t="n">
        <f aca="false">IF(7&gt;Debt_Yr,0,IF(7=Debt_Yr,I3183,MIN(I3183,(I1062+I1365+I1668+I2274)*Cash_Sweep)))</f>
        <v>0</v>
      </c>
      <c r="J3486" s="71" t="n">
        <f aca="false">IF(8&gt;Debt_Yr,0,IF(8=Debt_Yr,J3183,MIN(J3183,(J1062+J1365+J1668+J2274)*Cash_Sweep)))</f>
        <v>0</v>
      </c>
      <c r="K3486" s="71" t="n">
        <f aca="false">IF(9&gt;Debt_Yr,0,IF(9=Debt_Yr,K3183,MIN(K3183,(K1062+K1365+K1668+K2274)*Cash_Sweep)))</f>
        <v>0</v>
      </c>
      <c r="L3486" s="71" t="n">
        <f aca="false">IF(10&gt;Debt_Yr,0,IF(10=Debt_Yr,L3183,MIN(L3183,(L1062+L1365+L1668+L2274)*Cash_Sweep)))</f>
        <v>0</v>
      </c>
    </row>
    <row r="3487" customFormat="false" ht="15" hidden="false" customHeight="false" outlineLevel="0" collapsed="false">
      <c r="B3487" s="102" t="n">
        <f aca="false">'Loan Tape'!$A150</f>
        <v>0</v>
      </c>
      <c r="C3487" s="99" t="n">
        <f aca="false">IF(1&gt;Debt_Yr,0,IF(1=Debt_Yr,C3184,MIN(C3184,(C1063+C1366+C1669+C2275)*Cash_Sweep)))</f>
        <v>0</v>
      </c>
      <c r="D3487" s="99" t="n">
        <f aca="false">IF(2&gt;Debt_Yr,0,IF(2=Debt_Yr,D3184,MIN(D3184,(D1063+D1366+D1669+D2275)*Cash_Sweep)))</f>
        <v>0</v>
      </c>
      <c r="E3487" s="99" t="n">
        <f aca="false">IF(3&gt;Debt_Yr,0,IF(3=Debt_Yr,E3184,MIN(E3184,(E1063+E1366+E1669+E2275)*Cash_Sweep)))</f>
        <v>0</v>
      </c>
      <c r="F3487" s="99" t="n">
        <f aca="false">IF(4&gt;Debt_Yr,0,IF(4=Debt_Yr,F3184,MIN(F3184,(F1063+F1366+F1669+F2275)*Cash_Sweep)))</f>
        <v>0</v>
      </c>
      <c r="G3487" s="99" t="n">
        <f aca="false">IF(5&gt;Debt_Yr,0,IF(5=Debt_Yr,G3184,MIN(G3184,(G1063+G1366+G1669+G2275)*Cash_Sweep)))</f>
        <v>0</v>
      </c>
      <c r="H3487" s="99" t="n">
        <f aca="false">IF(6&gt;Debt_Yr,0,IF(6=Debt_Yr,H3184,MIN(H3184,(H1063+H1366+H1669+H2275)*Cash_Sweep)))</f>
        <v>0</v>
      </c>
      <c r="I3487" s="99" t="n">
        <f aca="false">IF(7&gt;Debt_Yr,0,IF(7=Debt_Yr,I3184,MIN(I3184,(I1063+I1366+I1669+I2275)*Cash_Sweep)))</f>
        <v>0</v>
      </c>
      <c r="J3487" s="99" t="n">
        <f aca="false">IF(8&gt;Debt_Yr,0,IF(8=Debt_Yr,J3184,MIN(J3184,(J1063+J1366+J1669+J2275)*Cash_Sweep)))</f>
        <v>0</v>
      </c>
      <c r="K3487" s="99" t="n">
        <f aca="false">IF(9&gt;Debt_Yr,0,IF(9=Debt_Yr,K3184,MIN(K3184,(K1063+K1366+K1669+K2275)*Cash_Sweep)))</f>
        <v>0</v>
      </c>
      <c r="L3487" s="99" t="n">
        <f aca="false">IF(10&gt;Debt_Yr,0,IF(10=Debt_Yr,L3184,MIN(L3184,(L1063+L1366+L1669+L2275)*Cash_Sweep)))</f>
        <v>0</v>
      </c>
    </row>
    <row r="3488" customFormat="false" ht="15" hidden="false" customHeight="false" outlineLevel="0" collapsed="false">
      <c r="B3488" s="108" t="n">
        <f aca="false">'Loan Tape'!$A151</f>
        <v>0</v>
      </c>
      <c r="C3488" s="71" t="n">
        <f aca="false">IF(1&gt;Debt_Yr,0,IF(1=Debt_Yr,C3185,MIN(C3185,(C1064+C1367+C1670+C2276)*Cash_Sweep)))</f>
        <v>0</v>
      </c>
      <c r="D3488" s="71" t="n">
        <f aca="false">IF(2&gt;Debt_Yr,0,IF(2=Debt_Yr,D3185,MIN(D3185,(D1064+D1367+D1670+D2276)*Cash_Sweep)))</f>
        <v>0</v>
      </c>
      <c r="E3488" s="71" t="n">
        <f aca="false">IF(3&gt;Debt_Yr,0,IF(3=Debt_Yr,E3185,MIN(E3185,(E1064+E1367+E1670+E2276)*Cash_Sweep)))</f>
        <v>0</v>
      </c>
      <c r="F3488" s="71" t="n">
        <f aca="false">IF(4&gt;Debt_Yr,0,IF(4=Debt_Yr,F3185,MIN(F3185,(F1064+F1367+F1670+F2276)*Cash_Sweep)))</f>
        <v>0</v>
      </c>
      <c r="G3488" s="71" t="n">
        <f aca="false">IF(5&gt;Debt_Yr,0,IF(5=Debt_Yr,G3185,MIN(G3185,(G1064+G1367+G1670+G2276)*Cash_Sweep)))</f>
        <v>0</v>
      </c>
      <c r="H3488" s="71" t="n">
        <f aca="false">IF(6&gt;Debt_Yr,0,IF(6=Debt_Yr,H3185,MIN(H3185,(H1064+H1367+H1670+H2276)*Cash_Sweep)))</f>
        <v>0</v>
      </c>
      <c r="I3488" s="71" t="n">
        <f aca="false">IF(7&gt;Debt_Yr,0,IF(7=Debt_Yr,I3185,MIN(I3185,(I1064+I1367+I1670+I2276)*Cash_Sweep)))</f>
        <v>0</v>
      </c>
      <c r="J3488" s="71" t="n">
        <f aca="false">IF(8&gt;Debt_Yr,0,IF(8=Debt_Yr,J3185,MIN(J3185,(J1064+J1367+J1670+J2276)*Cash_Sweep)))</f>
        <v>0</v>
      </c>
      <c r="K3488" s="71" t="n">
        <f aca="false">IF(9&gt;Debt_Yr,0,IF(9=Debt_Yr,K3185,MIN(K3185,(K1064+K1367+K1670+K2276)*Cash_Sweep)))</f>
        <v>0</v>
      </c>
      <c r="L3488" s="71" t="n">
        <f aca="false">IF(10&gt;Debt_Yr,0,IF(10=Debt_Yr,L3185,MIN(L3185,(L1064+L1367+L1670+L2276)*Cash_Sweep)))</f>
        <v>0</v>
      </c>
    </row>
    <row r="3489" customFormat="false" ht="15" hidden="false" customHeight="false" outlineLevel="0" collapsed="false">
      <c r="B3489" s="102" t="n">
        <f aca="false">'Loan Tape'!$A152</f>
        <v>0</v>
      </c>
      <c r="C3489" s="99" t="n">
        <f aca="false">IF(1&gt;Debt_Yr,0,IF(1=Debt_Yr,C3186,MIN(C3186,(C1065+C1368+C1671+C2277)*Cash_Sweep)))</f>
        <v>0</v>
      </c>
      <c r="D3489" s="99" t="n">
        <f aca="false">IF(2&gt;Debt_Yr,0,IF(2=Debt_Yr,D3186,MIN(D3186,(D1065+D1368+D1671+D2277)*Cash_Sweep)))</f>
        <v>0</v>
      </c>
      <c r="E3489" s="99" t="n">
        <f aca="false">IF(3&gt;Debt_Yr,0,IF(3=Debt_Yr,E3186,MIN(E3186,(E1065+E1368+E1671+E2277)*Cash_Sweep)))</f>
        <v>0</v>
      </c>
      <c r="F3489" s="99" t="n">
        <f aca="false">IF(4&gt;Debt_Yr,0,IF(4=Debt_Yr,F3186,MIN(F3186,(F1065+F1368+F1671+F2277)*Cash_Sweep)))</f>
        <v>0</v>
      </c>
      <c r="G3489" s="99" t="n">
        <f aca="false">IF(5&gt;Debt_Yr,0,IF(5=Debt_Yr,G3186,MIN(G3186,(G1065+G1368+G1671+G2277)*Cash_Sweep)))</f>
        <v>0</v>
      </c>
      <c r="H3489" s="99" t="n">
        <f aca="false">IF(6&gt;Debt_Yr,0,IF(6=Debt_Yr,H3186,MIN(H3186,(H1065+H1368+H1671+H2277)*Cash_Sweep)))</f>
        <v>0</v>
      </c>
      <c r="I3489" s="99" t="n">
        <f aca="false">IF(7&gt;Debt_Yr,0,IF(7=Debt_Yr,I3186,MIN(I3186,(I1065+I1368+I1671+I2277)*Cash_Sweep)))</f>
        <v>0</v>
      </c>
      <c r="J3489" s="99" t="n">
        <f aca="false">IF(8&gt;Debt_Yr,0,IF(8=Debt_Yr,J3186,MIN(J3186,(J1065+J1368+J1671+J2277)*Cash_Sweep)))</f>
        <v>0</v>
      </c>
      <c r="K3489" s="99" t="n">
        <f aca="false">IF(9&gt;Debt_Yr,0,IF(9=Debt_Yr,K3186,MIN(K3186,(K1065+K1368+K1671+K2277)*Cash_Sweep)))</f>
        <v>0</v>
      </c>
      <c r="L3489" s="99" t="n">
        <f aca="false">IF(10&gt;Debt_Yr,0,IF(10=Debt_Yr,L3186,MIN(L3186,(L1065+L1368+L1671+L2277)*Cash_Sweep)))</f>
        <v>0</v>
      </c>
    </row>
    <row r="3490" customFormat="false" ht="15" hidden="false" customHeight="false" outlineLevel="0" collapsed="false">
      <c r="B3490" s="108" t="n">
        <f aca="false">'Loan Tape'!$A153</f>
        <v>0</v>
      </c>
      <c r="C3490" s="71" t="n">
        <f aca="false">IF(1&gt;Debt_Yr,0,IF(1=Debt_Yr,C3187,MIN(C3187,(C1066+C1369+C1672+C2278)*Cash_Sweep)))</f>
        <v>0</v>
      </c>
      <c r="D3490" s="71" t="n">
        <f aca="false">IF(2&gt;Debt_Yr,0,IF(2=Debt_Yr,D3187,MIN(D3187,(D1066+D1369+D1672+D2278)*Cash_Sweep)))</f>
        <v>0</v>
      </c>
      <c r="E3490" s="71" t="n">
        <f aca="false">IF(3&gt;Debt_Yr,0,IF(3=Debt_Yr,E3187,MIN(E3187,(E1066+E1369+E1672+E2278)*Cash_Sweep)))</f>
        <v>0</v>
      </c>
      <c r="F3490" s="71" t="n">
        <f aca="false">IF(4&gt;Debt_Yr,0,IF(4=Debt_Yr,F3187,MIN(F3187,(F1066+F1369+F1672+F2278)*Cash_Sweep)))</f>
        <v>0</v>
      </c>
      <c r="G3490" s="71" t="n">
        <f aca="false">IF(5&gt;Debt_Yr,0,IF(5=Debt_Yr,G3187,MIN(G3187,(G1066+G1369+G1672+G2278)*Cash_Sweep)))</f>
        <v>0</v>
      </c>
      <c r="H3490" s="71" t="n">
        <f aca="false">IF(6&gt;Debt_Yr,0,IF(6=Debt_Yr,H3187,MIN(H3187,(H1066+H1369+H1672+H2278)*Cash_Sweep)))</f>
        <v>0</v>
      </c>
      <c r="I3490" s="71" t="n">
        <f aca="false">IF(7&gt;Debt_Yr,0,IF(7=Debt_Yr,I3187,MIN(I3187,(I1066+I1369+I1672+I2278)*Cash_Sweep)))</f>
        <v>0</v>
      </c>
      <c r="J3490" s="71" t="n">
        <f aca="false">IF(8&gt;Debt_Yr,0,IF(8=Debt_Yr,J3187,MIN(J3187,(J1066+J1369+J1672+J2278)*Cash_Sweep)))</f>
        <v>0</v>
      </c>
      <c r="K3490" s="71" t="n">
        <f aca="false">IF(9&gt;Debt_Yr,0,IF(9=Debt_Yr,K3187,MIN(K3187,(K1066+K1369+K1672+K2278)*Cash_Sweep)))</f>
        <v>0</v>
      </c>
      <c r="L3490" s="71" t="n">
        <f aca="false">IF(10&gt;Debt_Yr,0,IF(10=Debt_Yr,L3187,MIN(L3187,(L1066+L1369+L1672+L2278)*Cash_Sweep)))</f>
        <v>0</v>
      </c>
    </row>
    <row r="3491" customFormat="false" ht="15" hidden="false" customHeight="false" outlineLevel="0" collapsed="false">
      <c r="B3491" s="102" t="n">
        <f aca="false">'Loan Tape'!$A154</f>
        <v>0</v>
      </c>
      <c r="C3491" s="99" t="n">
        <f aca="false">IF(1&gt;Debt_Yr,0,IF(1=Debt_Yr,C3188,MIN(C3188,(C1067+C1370+C1673+C2279)*Cash_Sweep)))</f>
        <v>0</v>
      </c>
      <c r="D3491" s="99" t="n">
        <f aca="false">IF(2&gt;Debt_Yr,0,IF(2=Debt_Yr,D3188,MIN(D3188,(D1067+D1370+D1673+D2279)*Cash_Sweep)))</f>
        <v>0</v>
      </c>
      <c r="E3491" s="99" t="n">
        <f aca="false">IF(3&gt;Debt_Yr,0,IF(3=Debt_Yr,E3188,MIN(E3188,(E1067+E1370+E1673+E2279)*Cash_Sweep)))</f>
        <v>0</v>
      </c>
      <c r="F3491" s="99" t="n">
        <f aca="false">IF(4&gt;Debt_Yr,0,IF(4=Debt_Yr,F3188,MIN(F3188,(F1067+F1370+F1673+F2279)*Cash_Sweep)))</f>
        <v>0</v>
      </c>
      <c r="G3491" s="99" t="n">
        <f aca="false">IF(5&gt;Debt_Yr,0,IF(5=Debt_Yr,G3188,MIN(G3188,(G1067+G1370+G1673+G2279)*Cash_Sweep)))</f>
        <v>0</v>
      </c>
      <c r="H3491" s="99" t="n">
        <f aca="false">IF(6&gt;Debt_Yr,0,IF(6=Debt_Yr,H3188,MIN(H3188,(H1067+H1370+H1673+H2279)*Cash_Sweep)))</f>
        <v>0</v>
      </c>
      <c r="I3491" s="99" t="n">
        <f aca="false">IF(7&gt;Debt_Yr,0,IF(7=Debt_Yr,I3188,MIN(I3188,(I1067+I1370+I1673+I2279)*Cash_Sweep)))</f>
        <v>0</v>
      </c>
      <c r="J3491" s="99" t="n">
        <f aca="false">IF(8&gt;Debt_Yr,0,IF(8=Debt_Yr,J3188,MIN(J3188,(J1067+J1370+J1673+J2279)*Cash_Sweep)))</f>
        <v>0</v>
      </c>
      <c r="K3491" s="99" t="n">
        <f aca="false">IF(9&gt;Debt_Yr,0,IF(9=Debt_Yr,K3188,MIN(K3188,(K1067+K1370+K1673+K2279)*Cash_Sweep)))</f>
        <v>0</v>
      </c>
      <c r="L3491" s="99" t="n">
        <f aca="false">IF(10&gt;Debt_Yr,0,IF(10=Debt_Yr,L3188,MIN(L3188,(L1067+L1370+L1673+L2279)*Cash_Sweep)))</f>
        <v>0</v>
      </c>
    </row>
    <row r="3492" customFormat="false" ht="15" hidden="false" customHeight="false" outlineLevel="0" collapsed="false">
      <c r="B3492" s="108" t="n">
        <f aca="false">'Loan Tape'!$A155</f>
        <v>0</v>
      </c>
      <c r="C3492" s="71" t="n">
        <f aca="false">IF(1&gt;Debt_Yr,0,IF(1=Debt_Yr,C3189,MIN(C3189,(C1068+C1371+C1674+C2280)*Cash_Sweep)))</f>
        <v>0</v>
      </c>
      <c r="D3492" s="71" t="n">
        <f aca="false">IF(2&gt;Debt_Yr,0,IF(2=Debt_Yr,D3189,MIN(D3189,(D1068+D1371+D1674+D2280)*Cash_Sweep)))</f>
        <v>0</v>
      </c>
      <c r="E3492" s="71" t="n">
        <f aca="false">IF(3&gt;Debt_Yr,0,IF(3=Debt_Yr,E3189,MIN(E3189,(E1068+E1371+E1674+E2280)*Cash_Sweep)))</f>
        <v>0</v>
      </c>
      <c r="F3492" s="71" t="n">
        <f aca="false">IF(4&gt;Debt_Yr,0,IF(4=Debt_Yr,F3189,MIN(F3189,(F1068+F1371+F1674+F2280)*Cash_Sweep)))</f>
        <v>0</v>
      </c>
      <c r="G3492" s="71" t="n">
        <f aca="false">IF(5&gt;Debt_Yr,0,IF(5=Debt_Yr,G3189,MIN(G3189,(G1068+G1371+G1674+G2280)*Cash_Sweep)))</f>
        <v>0</v>
      </c>
      <c r="H3492" s="71" t="n">
        <f aca="false">IF(6&gt;Debt_Yr,0,IF(6=Debt_Yr,H3189,MIN(H3189,(H1068+H1371+H1674+H2280)*Cash_Sweep)))</f>
        <v>0</v>
      </c>
      <c r="I3492" s="71" t="n">
        <f aca="false">IF(7&gt;Debt_Yr,0,IF(7=Debt_Yr,I3189,MIN(I3189,(I1068+I1371+I1674+I2280)*Cash_Sweep)))</f>
        <v>0</v>
      </c>
      <c r="J3492" s="71" t="n">
        <f aca="false">IF(8&gt;Debt_Yr,0,IF(8=Debt_Yr,J3189,MIN(J3189,(J1068+J1371+J1674+J2280)*Cash_Sweep)))</f>
        <v>0</v>
      </c>
      <c r="K3492" s="71" t="n">
        <f aca="false">IF(9&gt;Debt_Yr,0,IF(9=Debt_Yr,K3189,MIN(K3189,(K1068+K1371+K1674+K2280)*Cash_Sweep)))</f>
        <v>0</v>
      </c>
      <c r="L3492" s="71" t="n">
        <f aca="false">IF(10&gt;Debt_Yr,0,IF(10=Debt_Yr,L3189,MIN(L3189,(L1068+L1371+L1674+L2280)*Cash_Sweep)))</f>
        <v>0</v>
      </c>
    </row>
    <row r="3493" customFormat="false" ht="15" hidden="false" customHeight="false" outlineLevel="0" collapsed="false">
      <c r="B3493" s="102" t="n">
        <f aca="false">'Loan Tape'!$A156</f>
        <v>0</v>
      </c>
      <c r="C3493" s="99" t="n">
        <f aca="false">IF(1&gt;Debt_Yr,0,IF(1=Debt_Yr,C3190,MIN(C3190,(C1069+C1372+C1675+C2281)*Cash_Sweep)))</f>
        <v>0</v>
      </c>
      <c r="D3493" s="99" t="n">
        <f aca="false">IF(2&gt;Debt_Yr,0,IF(2=Debt_Yr,D3190,MIN(D3190,(D1069+D1372+D1675+D2281)*Cash_Sweep)))</f>
        <v>0</v>
      </c>
      <c r="E3493" s="99" t="n">
        <f aca="false">IF(3&gt;Debt_Yr,0,IF(3=Debt_Yr,E3190,MIN(E3190,(E1069+E1372+E1675+E2281)*Cash_Sweep)))</f>
        <v>0</v>
      </c>
      <c r="F3493" s="99" t="n">
        <f aca="false">IF(4&gt;Debt_Yr,0,IF(4=Debt_Yr,F3190,MIN(F3190,(F1069+F1372+F1675+F2281)*Cash_Sweep)))</f>
        <v>0</v>
      </c>
      <c r="G3493" s="99" t="n">
        <f aca="false">IF(5&gt;Debt_Yr,0,IF(5=Debt_Yr,G3190,MIN(G3190,(G1069+G1372+G1675+G2281)*Cash_Sweep)))</f>
        <v>0</v>
      </c>
      <c r="H3493" s="99" t="n">
        <f aca="false">IF(6&gt;Debt_Yr,0,IF(6=Debt_Yr,H3190,MIN(H3190,(H1069+H1372+H1675+H2281)*Cash_Sweep)))</f>
        <v>0</v>
      </c>
      <c r="I3493" s="99" t="n">
        <f aca="false">IF(7&gt;Debt_Yr,0,IF(7=Debt_Yr,I3190,MIN(I3190,(I1069+I1372+I1675+I2281)*Cash_Sweep)))</f>
        <v>0</v>
      </c>
      <c r="J3493" s="99" t="n">
        <f aca="false">IF(8&gt;Debt_Yr,0,IF(8=Debt_Yr,J3190,MIN(J3190,(J1069+J1372+J1675+J2281)*Cash_Sweep)))</f>
        <v>0</v>
      </c>
      <c r="K3493" s="99" t="n">
        <f aca="false">IF(9&gt;Debt_Yr,0,IF(9=Debt_Yr,K3190,MIN(K3190,(K1069+K1372+K1675+K2281)*Cash_Sweep)))</f>
        <v>0</v>
      </c>
      <c r="L3493" s="99" t="n">
        <f aca="false">IF(10&gt;Debt_Yr,0,IF(10=Debt_Yr,L3190,MIN(L3190,(L1069+L1372+L1675+L2281)*Cash_Sweep)))</f>
        <v>0</v>
      </c>
    </row>
    <row r="3494" customFormat="false" ht="15" hidden="false" customHeight="false" outlineLevel="0" collapsed="false">
      <c r="B3494" s="108" t="n">
        <f aca="false">'Loan Tape'!$A157</f>
        <v>0</v>
      </c>
      <c r="C3494" s="71" t="n">
        <f aca="false">IF(1&gt;Debt_Yr,0,IF(1=Debt_Yr,C3191,MIN(C3191,(C1070+C1373+C1676+C2282)*Cash_Sweep)))</f>
        <v>0</v>
      </c>
      <c r="D3494" s="71" t="n">
        <f aca="false">IF(2&gt;Debt_Yr,0,IF(2=Debt_Yr,D3191,MIN(D3191,(D1070+D1373+D1676+D2282)*Cash_Sweep)))</f>
        <v>0</v>
      </c>
      <c r="E3494" s="71" t="n">
        <f aca="false">IF(3&gt;Debt_Yr,0,IF(3=Debt_Yr,E3191,MIN(E3191,(E1070+E1373+E1676+E2282)*Cash_Sweep)))</f>
        <v>0</v>
      </c>
      <c r="F3494" s="71" t="n">
        <f aca="false">IF(4&gt;Debt_Yr,0,IF(4=Debt_Yr,F3191,MIN(F3191,(F1070+F1373+F1676+F2282)*Cash_Sweep)))</f>
        <v>0</v>
      </c>
      <c r="G3494" s="71" t="n">
        <f aca="false">IF(5&gt;Debt_Yr,0,IF(5=Debt_Yr,G3191,MIN(G3191,(G1070+G1373+G1676+G2282)*Cash_Sweep)))</f>
        <v>0</v>
      </c>
      <c r="H3494" s="71" t="n">
        <f aca="false">IF(6&gt;Debt_Yr,0,IF(6=Debt_Yr,H3191,MIN(H3191,(H1070+H1373+H1676+H2282)*Cash_Sweep)))</f>
        <v>0</v>
      </c>
      <c r="I3494" s="71" t="n">
        <f aca="false">IF(7&gt;Debt_Yr,0,IF(7=Debt_Yr,I3191,MIN(I3191,(I1070+I1373+I1676+I2282)*Cash_Sweep)))</f>
        <v>0</v>
      </c>
      <c r="J3494" s="71" t="n">
        <f aca="false">IF(8&gt;Debt_Yr,0,IF(8=Debt_Yr,J3191,MIN(J3191,(J1070+J1373+J1676+J2282)*Cash_Sweep)))</f>
        <v>0</v>
      </c>
      <c r="K3494" s="71" t="n">
        <f aca="false">IF(9&gt;Debt_Yr,0,IF(9=Debt_Yr,K3191,MIN(K3191,(K1070+K1373+K1676+K2282)*Cash_Sweep)))</f>
        <v>0</v>
      </c>
      <c r="L3494" s="71" t="n">
        <f aca="false">IF(10&gt;Debt_Yr,0,IF(10=Debt_Yr,L3191,MIN(L3191,(L1070+L1373+L1676+L2282)*Cash_Sweep)))</f>
        <v>0</v>
      </c>
    </row>
    <row r="3495" customFormat="false" ht="15" hidden="false" customHeight="false" outlineLevel="0" collapsed="false">
      <c r="B3495" s="102" t="n">
        <f aca="false">'Loan Tape'!$A158</f>
        <v>0</v>
      </c>
      <c r="C3495" s="99" t="n">
        <f aca="false">IF(1&gt;Debt_Yr,0,IF(1=Debt_Yr,C3192,MIN(C3192,(C1071+C1374+C1677+C2283)*Cash_Sweep)))</f>
        <v>0</v>
      </c>
      <c r="D3495" s="99" t="n">
        <f aca="false">IF(2&gt;Debt_Yr,0,IF(2=Debt_Yr,D3192,MIN(D3192,(D1071+D1374+D1677+D2283)*Cash_Sweep)))</f>
        <v>0</v>
      </c>
      <c r="E3495" s="99" t="n">
        <f aca="false">IF(3&gt;Debt_Yr,0,IF(3=Debt_Yr,E3192,MIN(E3192,(E1071+E1374+E1677+E2283)*Cash_Sweep)))</f>
        <v>0</v>
      </c>
      <c r="F3495" s="99" t="n">
        <f aca="false">IF(4&gt;Debt_Yr,0,IF(4=Debt_Yr,F3192,MIN(F3192,(F1071+F1374+F1677+F2283)*Cash_Sweep)))</f>
        <v>0</v>
      </c>
      <c r="G3495" s="99" t="n">
        <f aca="false">IF(5&gt;Debt_Yr,0,IF(5=Debt_Yr,G3192,MIN(G3192,(G1071+G1374+G1677+G2283)*Cash_Sweep)))</f>
        <v>0</v>
      </c>
      <c r="H3495" s="99" t="n">
        <f aca="false">IF(6&gt;Debt_Yr,0,IF(6=Debt_Yr,H3192,MIN(H3192,(H1071+H1374+H1677+H2283)*Cash_Sweep)))</f>
        <v>0</v>
      </c>
      <c r="I3495" s="99" t="n">
        <f aca="false">IF(7&gt;Debt_Yr,0,IF(7=Debt_Yr,I3192,MIN(I3192,(I1071+I1374+I1677+I2283)*Cash_Sweep)))</f>
        <v>0</v>
      </c>
      <c r="J3495" s="99" t="n">
        <f aca="false">IF(8&gt;Debt_Yr,0,IF(8=Debt_Yr,J3192,MIN(J3192,(J1071+J1374+J1677+J2283)*Cash_Sweep)))</f>
        <v>0</v>
      </c>
      <c r="K3495" s="99" t="n">
        <f aca="false">IF(9&gt;Debt_Yr,0,IF(9=Debt_Yr,K3192,MIN(K3192,(K1071+K1374+K1677+K2283)*Cash_Sweep)))</f>
        <v>0</v>
      </c>
      <c r="L3495" s="99" t="n">
        <f aca="false">IF(10&gt;Debt_Yr,0,IF(10=Debt_Yr,L3192,MIN(L3192,(L1071+L1374+L1677+L2283)*Cash_Sweep)))</f>
        <v>0</v>
      </c>
    </row>
    <row r="3496" customFormat="false" ht="15" hidden="false" customHeight="false" outlineLevel="0" collapsed="false">
      <c r="B3496" s="108" t="n">
        <f aca="false">'Loan Tape'!$A159</f>
        <v>0</v>
      </c>
      <c r="C3496" s="71" t="n">
        <f aca="false">IF(1&gt;Debt_Yr,0,IF(1=Debt_Yr,C3193,MIN(C3193,(C1072+C1375+C1678+C2284)*Cash_Sweep)))</f>
        <v>0</v>
      </c>
      <c r="D3496" s="71" t="n">
        <f aca="false">IF(2&gt;Debt_Yr,0,IF(2=Debt_Yr,D3193,MIN(D3193,(D1072+D1375+D1678+D2284)*Cash_Sweep)))</f>
        <v>0</v>
      </c>
      <c r="E3496" s="71" t="n">
        <f aca="false">IF(3&gt;Debt_Yr,0,IF(3=Debt_Yr,E3193,MIN(E3193,(E1072+E1375+E1678+E2284)*Cash_Sweep)))</f>
        <v>0</v>
      </c>
      <c r="F3496" s="71" t="n">
        <f aca="false">IF(4&gt;Debt_Yr,0,IF(4=Debt_Yr,F3193,MIN(F3193,(F1072+F1375+F1678+F2284)*Cash_Sweep)))</f>
        <v>0</v>
      </c>
      <c r="G3496" s="71" t="n">
        <f aca="false">IF(5&gt;Debt_Yr,0,IF(5=Debt_Yr,G3193,MIN(G3193,(G1072+G1375+G1678+G2284)*Cash_Sweep)))</f>
        <v>0</v>
      </c>
      <c r="H3496" s="71" t="n">
        <f aca="false">IF(6&gt;Debt_Yr,0,IF(6=Debt_Yr,H3193,MIN(H3193,(H1072+H1375+H1678+H2284)*Cash_Sweep)))</f>
        <v>0</v>
      </c>
      <c r="I3496" s="71" t="n">
        <f aca="false">IF(7&gt;Debt_Yr,0,IF(7=Debt_Yr,I3193,MIN(I3193,(I1072+I1375+I1678+I2284)*Cash_Sweep)))</f>
        <v>0</v>
      </c>
      <c r="J3496" s="71" t="n">
        <f aca="false">IF(8&gt;Debt_Yr,0,IF(8=Debt_Yr,J3193,MIN(J3193,(J1072+J1375+J1678+J2284)*Cash_Sweep)))</f>
        <v>0</v>
      </c>
      <c r="K3496" s="71" t="n">
        <f aca="false">IF(9&gt;Debt_Yr,0,IF(9=Debt_Yr,K3193,MIN(K3193,(K1072+K1375+K1678+K2284)*Cash_Sweep)))</f>
        <v>0</v>
      </c>
      <c r="L3496" s="71" t="n">
        <f aca="false">IF(10&gt;Debt_Yr,0,IF(10=Debt_Yr,L3193,MIN(L3193,(L1072+L1375+L1678+L2284)*Cash_Sweep)))</f>
        <v>0</v>
      </c>
    </row>
    <row r="3497" customFormat="false" ht="15" hidden="false" customHeight="false" outlineLevel="0" collapsed="false">
      <c r="B3497" s="102" t="n">
        <f aca="false">'Loan Tape'!$A160</f>
        <v>0</v>
      </c>
      <c r="C3497" s="99" t="n">
        <f aca="false">IF(1&gt;Debt_Yr,0,IF(1=Debt_Yr,C3194,MIN(C3194,(C1073+C1376+C1679+C2285)*Cash_Sweep)))</f>
        <v>0</v>
      </c>
      <c r="D3497" s="99" t="n">
        <f aca="false">IF(2&gt;Debt_Yr,0,IF(2=Debt_Yr,D3194,MIN(D3194,(D1073+D1376+D1679+D2285)*Cash_Sweep)))</f>
        <v>0</v>
      </c>
      <c r="E3497" s="99" t="n">
        <f aca="false">IF(3&gt;Debt_Yr,0,IF(3=Debt_Yr,E3194,MIN(E3194,(E1073+E1376+E1679+E2285)*Cash_Sweep)))</f>
        <v>0</v>
      </c>
      <c r="F3497" s="99" t="n">
        <f aca="false">IF(4&gt;Debt_Yr,0,IF(4=Debt_Yr,F3194,MIN(F3194,(F1073+F1376+F1679+F2285)*Cash_Sweep)))</f>
        <v>0</v>
      </c>
      <c r="G3497" s="99" t="n">
        <f aca="false">IF(5&gt;Debt_Yr,0,IF(5=Debt_Yr,G3194,MIN(G3194,(G1073+G1376+G1679+G2285)*Cash_Sweep)))</f>
        <v>0</v>
      </c>
      <c r="H3497" s="99" t="n">
        <f aca="false">IF(6&gt;Debt_Yr,0,IF(6=Debt_Yr,H3194,MIN(H3194,(H1073+H1376+H1679+H2285)*Cash_Sweep)))</f>
        <v>0</v>
      </c>
      <c r="I3497" s="99" t="n">
        <f aca="false">IF(7&gt;Debt_Yr,0,IF(7=Debt_Yr,I3194,MIN(I3194,(I1073+I1376+I1679+I2285)*Cash_Sweep)))</f>
        <v>0</v>
      </c>
      <c r="J3497" s="99" t="n">
        <f aca="false">IF(8&gt;Debt_Yr,0,IF(8=Debt_Yr,J3194,MIN(J3194,(J1073+J1376+J1679+J2285)*Cash_Sweep)))</f>
        <v>0</v>
      </c>
      <c r="K3497" s="99" t="n">
        <f aca="false">IF(9&gt;Debt_Yr,0,IF(9=Debt_Yr,K3194,MIN(K3194,(K1073+K1376+K1679+K2285)*Cash_Sweep)))</f>
        <v>0</v>
      </c>
      <c r="L3497" s="99" t="n">
        <f aca="false">IF(10&gt;Debt_Yr,0,IF(10=Debt_Yr,L3194,MIN(L3194,(L1073+L1376+L1679+L2285)*Cash_Sweep)))</f>
        <v>0</v>
      </c>
    </row>
    <row r="3498" customFormat="false" ht="15" hidden="false" customHeight="false" outlineLevel="0" collapsed="false">
      <c r="B3498" s="108" t="n">
        <f aca="false">'Loan Tape'!$A161</f>
        <v>0</v>
      </c>
      <c r="C3498" s="71" t="n">
        <f aca="false">IF(1&gt;Debt_Yr,0,IF(1=Debt_Yr,C3195,MIN(C3195,(C1074+C1377+C1680+C2286)*Cash_Sweep)))</f>
        <v>0</v>
      </c>
      <c r="D3498" s="71" t="n">
        <f aca="false">IF(2&gt;Debt_Yr,0,IF(2=Debt_Yr,D3195,MIN(D3195,(D1074+D1377+D1680+D2286)*Cash_Sweep)))</f>
        <v>0</v>
      </c>
      <c r="E3498" s="71" t="n">
        <f aca="false">IF(3&gt;Debt_Yr,0,IF(3=Debt_Yr,E3195,MIN(E3195,(E1074+E1377+E1680+E2286)*Cash_Sweep)))</f>
        <v>0</v>
      </c>
      <c r="F3498" s="71" t="n">
        <f aca="false">IF(4&gt;Debt_Yr,0,IF(4=Debt_Yr,F3195,MIN(F3195,(F1074+F1377+F1680+F2286)*Cash_Sweep)))</f>
        <v>0</v>
      </c>
      <c r="G3498" s="71" t="n">
        <f aca="false">IF(5&gt;Debt_Yr,0,IF(5=Debt_Yr,G3195,MIN(G3195,(G1074+G1377+G1680+G2286)*Cash_Sweep)))</f>
        <v>0</v>
      </c>
      <c r="H3498" s="71" t="n">
        <f aca="false">IF(6&gt;Debt_Yr,0,IF(6=Debt_Yr,H3195,MIN(H3195,(H1074+H1377+H1680+H2286)*Cash_Sweep)))</f>
        <v>0</v>
      </c>
      <c r="I3498" s="71" t="n">
        <f aca="false">IF(7&gt;Debt_Yr,0,IF(7=Debt_Yr,I3195,MIN(I3195,(I1074+I1377+I1680+I2286)*Cash_Sweep)))</f>
        <v>0</v>
      </c>
      <c r="J3498" s="71" t="n">
        <f aca="false">IF(8&gt;Debt_Yr,0,IF(8=Debt_Yr,J3195,MIN(J3195,(J1074+J1377+J1680+J2286)*Cash_Sweep)))</f>
        <v>0</v>
      </c>
      <c r="K3498" s="71" t="n">
        <f aca="false">IF(9&gt;Debt_Yr,0,IF(9=Debt_Yr,K3195,MIN(K3195,(K1074+K1377+K1680+K2286)*Cash_Sweep)))</f>
        <v>0</v>
      </c>
      <c r="L3498" s="71" t="n">
        <f aca="false">IF(10&gt;Debt_Yr,0,IF(10=Debt_Yr,L3195,MIN(L3195,(L1074+L1377+L1680+L2286)*Cash_Sweep)))</f>
        <v>0</v>
      </c>
    </row>
    <row r="3499" customFormat="false" ht="15" hidden="false" customHeight="false" outlineLevel="0" collapsed="false">
      <c r="B3499" s="102" t="n">
        <f aca="false">'Loan Tape'!$A162</f>
        <v>0</v>
      </c>
      <c r="C3499" s="99" t="n">
        <f aca="false">IF(1&gt;Debt_Yr,0,IF(1=Debt_Yr,C3196,MIN(C3196,(C1075+C1378+C1681+C2287)*Cash_Sweep)))</f>
        <v>0</v>
      </c>
      <c r="D3499" s="99" t="n">
        <f aca="false">IF(2&gt;Debt_Yr,0,IF(2=Debt_Yr,D3196,MIN(D3196,(D1075+D1378+D1681+D2287)*Cash_Sweep)))</f>
        <v>0</v>
      </c>
      <c r="E3499" s="99" t="n">
        <f aca="false">IF(3&gt;Debt_Yr,0,IF(3=Debt_Yr,E3196,MIN(E3196,(E1075+E1378+E1681+E2287)*Cash_Sweep)))</f>
        <v>0</v>
      </c>
      <c r="F3499" s="99" t="n">
        <f aca="false">IF(4&gt;Debt_Yr,0,IF(4=Debt_Yr,F3196,MIN(F3196,(F1075+F1378+F1681+F2287)*Cash_Sweep)))</f>
        <v>0</v>
      </c>
      <c r="G3499" s="99" t="n">
        <f aca="false">IF(5&gt;Debt_Yr,0,IF(5=Debt_Yr,G3196,MIN(G3196,(G1075+G1378+G1681+G2287)*Cash_Sweep)))</f>
        <v>0</v>
      </c>
      <c r="H3499" s="99" t="n">
        <f aca="false">IF(6&gt;Debt_Yr,0,IF(6=Debt_Yr,H3196,MIN(H3196,(H1075+H1378+H1681+H2287)*Cash_Sweep)))</f>
        <v>0</v>
      </c>
      <c r="I3499" s="99" t="n">
        <f aca="false">IF(7&gt;Debt_Yr,0,IF(7=Debt_Yr,I3196,MIN(I3196,(I1075+I1378+I1681+I2287)*Cash_Sweep)))</f>
        <v>0</v>
      </c>
      <c r="J3499" s="99" t="n">
        <f aca="false">IF(8&gt;Debt_Yr,0,IF(8=Debt_Yr,J3196,MIN(J3196,(J1075+J1378+J1681+J2287)*Cash_Sweep)))</f>
        <v>0</v>
      </c>
      <c r="K3499" s="99" t="n">
        <f aca="false">IF(9&gt;Debt_Yr,0,IF(9=Debt_Yr,K3196,MIN(K3196,(K1075+K1378+K1681+K2287)*Cash_Sweep)))</f>
        <v>0</v>
      </c>
      <c r="L3499" s="99" t="n">
        <f aca="false">IF(10&gt;Debt_Yr,0,IF(10=Debt_Yr,L3196,MIN(L3196,(L1075+L1378+L1681+L2287)*Cash_Sweep)))</f>
        <v>0</v>
      </c>
    </row>
    <row r="3500" customFormat="false" ht="15" hidden="false" customHeight="false" outlineLevel="0" collapsed="false">
      <c r="B3500" s="108" t="n">
        <f aca="false">'Loan Tape'!$A163</f>
        <v>0</v>
      </c>
      <c r="C3500" s="71" t="n">
        <f aca="false">IF(1&gt;Debt_Yr,0,IF(1=Debt_Yr,C3197,MIN(C3197,(C1076+C1379+C1682+C2288)*Cash_Sweep)))</f>
        <v>0</v>
      </c>
      <c r="D3500" s="71" t="n">
        <f aca="false">IF(2&gt;Debt_Yr,0,IF(2=Debt_Yr,D3197,MIN(D3197,(D1076+D1379+D1682+D2288)*Cash_Sweep)))</f>
        <v>0</v>
      </c>
      <c r="E3500" s="71" t="n">
        <f aca="false">IF(3&gt;Debt_Yr,0,IF(3=Debt_Yr,E3197,MIN(E3197,(E1076+E1379+E1682+E2288)*Cash_Sweep)))</f>
        <v>0</v>
      </c>
      <c r="F3500" s="71" t="n">
        <f aca="false">IF(4&gt;Debt_Yr,0,IF(4=Debt_Yr,F3197,MIN(F3197,(F1076+F1379+F1682+F2288)*Cash_Sweep)))</f>
        <v>0</v>
      </c>
      <c r="G3500" s="71" t="n">
        <f aca="false">IF(5&gt;Debt_Yr,0,IF(5=Debt_Yr,G3197,MIN(G3197,(G1076+G1379+G1682+G2288)*Cash_Sweep)))</f>
        <v>0</v>
      </c>
      <c r="H3500" s="71" t="n">
        <f aca="false">IF(6&gt;Debt_Yr,0,IF(6=Debt_Yr,H3197,MIN(H3197,(H1076+H1379+H1682+H2288)*Cash_Sweep)))</f>
        <v>0</v>
      </c>
      <c r="I3500" s="71" t="n">
        <f aca="false">IF(7&gt;Debt_Yr,0,IF(7=Debt_Yr,I3197,MIN(I3197,(I1076+I1379+I1682+I2288)*Cash_Sweep)))</f>
        <v>0</v>
      </c>
      <c r="J3500" s="71" t="n">
        <f aca="false">IF(8&gt;Debt_Yr,0,IF(8=Debt_Yr,J3197,MIN(J3197,(J1076+J1379+J1682+J2288)*Cash_Sweep)))</f>
        <v>0</v>
      </c>
      <c r="K3500" s="71" t="n">
        <f aca="false">IF(9&gt;Debt_Yr,0,IF(9=Debt_Yr,K3197,MIN(K3197,(K1076+K1379+K1682+K2288)*Cash_Sweep)))</f>
        <v>0</v>
      </c>
      <c r="L3500" s="71" t="n">
        <f aca="false">IF(10&gt;Debt_Yr,0,IF(10=Debt_Yr,L3197,MIN(L3197,(L1076+L1379+L1682+L2288)*Cash_Sweep)))</f>
        <v>0</v>
      </c>
    </row>
    <row r="3501" customFormat="false" ht="15" hidden="false" customHeight="false" outlineLevel="0" collapsed="false">
      <c r="B3501" s="102" t="n">
        <f aca="false">'Loan Tape'!$A164</f>
        <v>0</v>
      </c>
      <c r="C3501" s="99" t="n">
        <f aca="false">IF(1&gt;Debt_Yr,0,IF(1=Debt_Yr,C3198,MIN(C3198,(C1077+C1380+C1683+C2289)*Cash_Sweep)))</f>
        <v>0</v>
      </c>
      <c r="D3501" s="99" t="n">
        <f aca="false">IF(2&gt;Debt_Yr,0,IF(2=Debt_Yr,D3198,MIN(D3198,(D1077+D1380+D1683+D2289)*Cash_Sweep)))</f>
        <v>0</v>
      </c>
      <c r="E3501" s="99" t="n">
        <f aca="false">IF(3&gt;Debt_Yr,0,IF(3=Debt_Yr,E3198,MIN(E3198,(E1077+E1380+E1683+E2289)*Cash_Sweep)))</f>
        <v>0</v>
      </c>
      <c r="F3501" s="99" t="n">
        <f aca="false">IF(4&gt;Debt_Yr,0,IF(4=Debt_Yr,F3198,MIN(F3198,(F1077+F1380+F1683+F2289)*Cash_Sweep)))</f>
        <v>0</v>
      </c>
      <c r="G3501" s="99" t="n">
        <f aca="false">IF(5&gt;Debt_Yr,0,IF(5=Debt_Yr,G3198,MIN(G3198,(G1077+G1380+G1683+G2289)*Cash_Sweep)))</f>
        <v>0</v>
      </c>
      <c r="H3501" s="99" t="n">
        <f aca="false">IF(6&gt;Debt_Yr,0,IF(6=Debt_Yr,H3198,MIN(H3198,(H1077+H1380+H1683+H2289)*Cash_Sweep)))</f>
        <v>0</v>
      </c>
      <c r="I3501" s="99" t="n">
        <f aca="false">IF(7&gt;Debt_Yr,0,IF(7=Debt_Yr,I3198,MIN(I3198,(I1077+I1380+I1683+I2289)*Cash_Sweep)))</f>
        <v>0</v>
      </c>
      <c r="J3501" s="99" t="n">
        <f aca="false">IF(8&gt;Debt_Yr,0,IF(8=Debt_Yr,J3198,MIN(J3198,(J1077+J1380+J1683+J2289)*Cash_Sweep)))</f>
        <v>0</v>
      </c>
      <c r="K3501" s="99" t="n">
        <f aca="false">IF(9&gt;Debt_Yr,0,IF(9=Debt_Yr,K3198,MIN(K3198,(K1077+K1380+K1683+K2289)*Cash_Sweep)))</f>
        <v>0</v>
      </c>
      <c r="L3501" s="99" t="n">
        <f aca="false">IF(10&gt;Debt_Yr,0,IF(10=Debt_Yr,L3198,MIN(L3198,(L1077+L1380+L1683+L2289)*Cash_Sweep)))</f>
        <v>0</v>
      </c>
    </row>
    <row r="3502" customFormat="false" ht="15" hidden="false" customHeight="false" outlineLevel="0" collapsed="false">
      <c r="B3502" s="108" t="n">
        <f aca="false">'Loan Tape'!$A165</f>
        <v>0</v>
      </c>
      <c r="C3502" s="71" t="n">
        <f aca="false">IF(1&gt;Debt_Yr,0,IF(1=Debt_Yr,C3199,MIN(C3199,(C1078+C1381+C1684+C2290)*Cash_Sweep)))</f>
        <v>0</v>
      </c>
      <c r="D3502" s="71" t="n">
        <f aca="false">IF(2&gt;Debt_Yr,0,IF(2=Debt_Yr,D3199,MIN(D3199,(D1078+D1381+D1684+D2290)*Cash_Sweep)))</f>
        <v>0</v>
      </c>
      <c r="E3502" s="71" t="n">
        <f aca="false">IF(3&gt;Debt_Yr,0,IF(3=Debt_Yr,E3199,MIN(E3199,(E1078+E1381+E1684+E2290)*Cash_Sweep)))</f>
        <v>0</v>
      </c>
      <c r="F3502" s="71" t="n">
        <f aca="false">IF(4&gt;Debt_Yr,0,IF(4=Debt_Yr,F3199,MIN(F3199,(F1078+F1381+F1684+F2290)*Cash_Sweep)))</f>
        <v>0</v>
      </c>
      <c r="G3502" s="71" t="n">
        <f aca="false">IF(5&gt;Debt_Yr,0,IF(5=Debt_Yr,G3199,MIN(G3199,(G1078+G1381+G1684+G2290)*Cash_Sweep)))</f>
        <v>0</v>
      </c>
      <c r="H3502" s="71" t="n">
        <f aca="false">IF(6&gt;Debt_Yr,0,IF(6=Debt_Yr,H3199,MIN(H3199,(H1078+H1381+H1684+H2290)*Cash_Sweep)))</f>
        <v>0</v>
      </c>
      <c r="I3502" s="71" t="n">
        <f aca="false">IF(7&gt;Debt_Yr,0,IF(7=Debt_Yr,I3199,MIN(I3199,(I1078+I1381+I1684+I2290)*Cash_Sweep)))</f>
        <v>0</v>
      </c>
      <c r="J3502" s="71" t="n">
        <f aca="false">IF(8&gt;Debt_Yr,0,IF(8=Debt_Yr,J3199,MIN(J3199,(J1078+J1381+J1684+J2290)*Cash_Sweep)))</f>
        <v>0</v>
      </c>
      <c r="K3502" s="71" t="n">
        <f aca="false">IF(9&gt;Debt_Yr,0,IF(9=Debt_Yr,K3199,MIN(K3199,(K1078+K1381+K1684+K2290)*Cash_Sweep)))</f>
        <v>0</v>
      </c>
      <c r="L3502" s="71" t="n">
        <f aca="false">IF(10&gt;Debt_Yr,0,IF(10=Debt_Yr,L3199,MIN(L3199,(L1078+L1381+L1684+L2290)*Cash_Sweep)))</f>
        <v>0</v>
      </c>
    </row>
    <row r="3503" customFormat="false" ht="15" hidden="false" customHeight="false" outlineLevel="0" collapsed="false">
      <c r="B3503" s="102" t="n">
        <f aca="false">'Loan Tape'!$A166</f>
        <v>0</v>
      </c>
      <c r="C3503" s="99" t="n">
        <f aca="false">IF(1&gt;Debt_Yr,0,IF(1=Debt_Yr,C3200,MIN(C3200,(C1079+C1382+C1685+C2291)*Cash_Sweep)))</f>
        <v>0</v>
      </c>
      <c r="D3503" s="99" t="n">
        <f aca="false">IF(2&gt;Debt_Yr,0,IF(2=Debt_Yr,D3200,MIN(D3200,(D1079+D1382+D1685+D2291)*Cash_Sweep)))</f>
        <v>0</v>
      </c>
      <c r="E3503" s="99" t="n">
        <f aca="false">IF(3&gt;Debt_Yr,0,IF(3=Debt_Yr,E3200,MIN(E3200,(E1079+E1382+E1685+E2291)*Cash_Sweep)))</f>
        <v>0</v>
      </c>
      <c r="F3503" s="99" t="n">
        <f aca="false">IF(4&gt;Debt_Yr,0,IF(4=Debt_Yr,F3200,MIN(F3200,(F1079+F1382+F1685+F2291)*Cash_Sweep)))</f>
        <v>0</v>
      </c>
      <c r="G3503" s="99" t="n">
        <f aca="false">IF(5&gt;Debt_Yr,0,IF(5=Debt_Yr,G3200,MIN(G3200,(G1079+G1382+G1685+G2291)*Cash_Sweep)))</f>
        <v>0</v>
      </c>
      <c r="H3503" s="99" t="n">
        <f aca="false">IF(6&gt;Debt_Yr,0,IF(6=Debt_Yr,H3200,MIN(H3200,(H1079+H1382+H1685+H2291)*Cash_Sweep)))</f>
        <v>0</v>
      </c>
      <c r="I3503" s="99" t="n">
        <f aca="false">IF(7&gt;Debt_Yr,0,IF(7=Debt_Yr,I3200,MIN(I3200,(I1079+I1382+I1685+I2291)*Cash_Sweep)))</f>
        <v>0</v>
      </c>
      <c r="J3503" s="99" t="n">
        <f aca="false">IF(8&gt;Debt_Yr,0,IF(8=Debt_Yr,J3200,MIN(J3200,(J1079+J1382+J1685+J2291)*Cash_Sweep)))</f>
        <v>0</v>
      </c>
      <c r="K3503" s="99" t="n">
        <f aca="false">IF(9&gt;Debt_Yr,0,IF(9=Debt_Yr,K3200,MIN(K3200,(K1079+K1382+K1685+K2291)*Cash_Sweep)))</f>
        <v>0</v>
      </c>
      <c r="L3503" s="99" t="n">
        <f aca="false">IF(10&gt;Debt_Yr,0,IF(10=Debt_Yr,L3200,MIN(L3200,(L1079+L1382+L1685+L2291)*Cash_Sweep)))</f>
        <v>0</v>
      </c>
    </row>
    <row r="3504" customFormat="false" ht="15" hidden="false" customHeight="false" outlineLevel="0" collapsed="false">
      <c r="B3504" s="108" t="n">
        <f aca="false">'Loan Tape'!$A167</f>
        <v>0</v>
      </c>
      <c r="C3504" s="71" t="n">
        <f aca="false">IF(1&gt;Debt_Yr,0,IF(1=Debt_Yr,C3201,MIN(C3201,(C1080+C1383+C1686+C2292)*Cash_Sweep)))</f>
        <v>0</v>
      </c>
      <c r="D3504" s="71" t="n">
        <f aca="false">IF(2&gt;Debt_Yr,0,IF(2=Debt_Yr,D3201,MIN(D3201,(D1080+D1383+D1686+D2292)*Cash_Sweep)))</f>
        <v>0</v>
      </c>
      <c r="E3504" s="71" t="n">
        <f aca="false">IF(3&gt;Debt_Yr,0,IF(3=Debt_Yr,E3201,MIN(E3201,(E1080+E1383+E1686+E2292)*Cash_Sweep)))</f>
        <v>0</v>
      </c>
      <c r="F3504" s="71" t="n">
        <f aca="false">IF(4&gt;Debt_Yr,0,IF(4=Debt_Yr,F3201,MIN(F3201,(F1080+F1383+F1686+F2292)*Cash_Sweep)))</f>
        <v>0</v>
      </c>
      <c r="G3504" s="71" t="n">
        <f aca="false">IF(5&gt;Debt_Yr,0,IF(5=Debt_Yr,G3201,MIN(G3201,(G1080+G1383+G1686+G2292)*Cash_Sweep)))</f>
        <v>0</v>
      </c>
      <c r="H3504" s="71" t="n">
        <f aca="false">IF(6&gt;Debt_Yr,0,IF(6=Debt_Yr,H3201,MIN(H3201,(H1080+H1383+H1686+H2292)*Cash_Sweep)))</f>
        <v>0</v>
      </c>
      <c r="I3504" s="71" t="n">
        <f aca="false">IF(7&gt;Debt_Yr,0,IF(7=Debt_Yr,I3201,MIN(I3201,(I1080+I1383+I1686+I2292)*Cash_Sweep)))</f>
        <v>0</v>
      </c>
      <c r="J3504" s="71" t="n">
        <f aca="false">IF(8&gt;Debt_Yr,0,IF(8=Debt_Yr,J3201,MIN(J3201,(J1080+J1383+J1686+J2292)*Cash_Sweep)))</f>
        <v>0</v>
      </c>
      <c r="K3504" s="71" t="n">
        <f aca="false">IF(9&gt;Debt_Yr,0,IF(9=Debt_Yr,K3201,MIN(K3201,(K1080+K1383+K1686+K2292)*Cash_Sweep)))</f>
        <v>0</v>
      </c>
      <c r="L3504" s="71" t="n">
        <f aca="false">IF(10&gt;Debt_Yr,0,IF(10=Debt_Yr,L3201,MIN(L3201,(L1080+L1383+L1686+L2292)*Cash_Sweep)))</f>
        <v>0</v>
      </c>
    </row>
    <row r="3505" customFormat="false" ht="15" hidden="false" customHeight="false" outlineLevel="0" collapsed="false">
      <c r="B3505" s="102" t="n">
        <f aca="false">'Loan Tape'!$A168</f>
        <v>0</v>
      </c>
      <c r="C3505" s="99" t="n">
        <f aca="false">IF(1&gt;Debt_Yr,0,IF(1=Debt_Yr,C3202,MIN(C3202,(C1081+C1384+C1687+C2293)*Cash_Sweep)))</f>
        <v>0</v>
      </c>
      <c r="D3505" s="99" t="n">
        <f aca="false">IF(2&gt;Debt_Yr,0,IF(2=Debt_Yr,D3202,MIN(D3202,(D1081+D1384+D1687+D2293)*Cash_Sweep)))</f>
        <v>0</v>
      </c>
      <c r="E3505" s="99" t="n">
        <f aca="false">IF(3&gt;Debt_Yr,0,IF(3=Debt_Yr,E3202,MIN(E3202,(E1081+E1384+E1687+E2293)*Cash_Sweep)))</f>
        <v>0</v>
      </c>
      <c r="F3505" s="99" t="n">
        <f aca="false">IF(4&gt;Debt_Yr,0,IF(4=Debt_Yr,F3202,MIN(F3202,(F1081+F1384+F1687+F2293)*Cash_Sweep)))</f>
        <v>0</v>
      </c>
      <c r="G3505" s="99" t="n">
        <f aca="false">IF(5&gt;Debt_Yr,0,IF(5=Debt_Yr,G3202,MIN(G3202,(G1081+G1384+G1687+G2293)*Cash_Sweep)))</f>
        <v>0</v>
      </c>
      <c r="H3505" s="99" t="n">
        <f aca="false">IF(6&gt;Debt_Yr,0,IF(6=Debt_Yr,H3202,MIN(H3202,(H1081+H1384+H1687+H2293)*Cash_Sweep)))</f>
        <v>0</v>
      </c>
      <c r="I3505" s="99" t="n">
        <f aca="false">IF(7&gt;Debt_Yr,0,IF(7=Debt_Yr,I3202,MIN(I3202,(I1081+I1384+I1687+I2293)*Cash_Sweep)))</f>
        <v>0</v>
      </c>
      <c r="J3505" s="99" t="n">
        <f aca="false">IF(8&gt;Debt_Yr,0,IF(8=Debt_Yr,J3202,MIN(J3202,(J1081+J1384+J1687+J2293)*Cash_Sweep)))</f>
        <v>0</v>
      </c>
      <c r="K3505" s="99" t="n">
        <f aca="false">IF(9&gt;Debt_Yr,0,IF(9=Debt_Yr,K3202,MIN(K3202,(K1081+K1384+K1687+K2293)*Cash_Sweep)))</f>
        <v>0</v>
      </c>
      <c r="L3505" s="99" t="n">
        <f aca="false">IF(10&gt;Debt_Yr,0,IF(10=Debt_Yr,L3202,MIN(L3202,(L1081+L1384+L1687+L2293)*Cash_Sweep)))</f>
        <v>0</v>
      </c>
    </row>
    <row r="3506" customFormat="false" ht="15" hidden="false" customHeight="false" outlineLevel="0" collapsed="false">
      <c r="B3506" s="108" t="n">
        <f aca="false">'Loan Tape'!$A169</f>
        <v>0</v>
      </c>
      <c r="C3506" s="71" t="n">
        <f aca="false">IF(1&gt;Debt_Yr,0,IF(1=Debt_Yr,C3203,MIN(C3203,(C1082+C1385+C1688+C2294)*Cash_Sweep)))</f>
        <v>0</v>
      </c>
      <c r="D3506" s="71" t="n">
        <f aca="false">IF(2&gt;Debt_Yr,0,IF(2=Debt_Yr,D3203,MIN(D3203,(D1082+D1385+D1688+D2294)*Cash_Sweep)))</f>
        <v>0</v>
      </c>
      <c r="E3506" s="71" t="n">
        <f aca="false">IF(3&gt;Debt_Yr,0,IF(3=Debt_Yr,E3203,MIN(E3203,(E1082+E1385+E1688+E2294)*Cash_Sweep)))</f>
        <v>0</v>
      </c>
      <c r="F3506" s="71" t="n">
        <f aca="false">IF(4&gt;Debt_Yr,0,IF(4=Debt_Yr,F3203,MIN(F3203,(F1082+F1385+F1688+F2294)*Cash_Sweep)))</f>
        <v>0</v>
      </c>
      <c r="G3506" s="71" t="n">
        <f aca="false">IF(5&gt;Debt_Yr,0,IF(5=Debt_Yr,G3203,MIN(G3203,(G1082+G1385+G1688+G2294)*Cash_Sweep)))</f>
        <v>0</v>
      </c>
      <c r="H3506" s="71" t="n">
        <f aca="false">IF(6&gt;Debt_Yr,0,IF(6=Debt_Yr,H3203,MIN(H3203,(H1082+H1385+H1688+H2294)*Cash_Sweep)))</f>
        <v>0</v>
      </c>
      <c r="I3506" s="71" t="n">
        <f aca="false">IF(7&gt;Debt_Yr,0,IF(7=Debt_Yr,I3203,MIN(I3203,(I1082+I1385+I1688+I2294)*Cash_Sweep)))</f>
        <v>0</v>
      </c>
      <c r="J3506" s="71" t="n">
        <f aca="false">IF(8&gt;Debt_Yr,0,IF(8=Debt_Yr,J3203,MIN(J3203,(J1082+J1385+J1688+J2294)*Cash_Sweep)))</f>
        <v>0</v>
      </c>
      <c r="K3506" s="71" t="n">
        <f aca="false">IF(9&gt;Debt_Yr,0,IF(9=Debt_Yr,K3203,MIN(K3203,(K1082+K1385+K1688+K2294)*Cash_Sweep)))</f>
        <v>0</v>
      </c>
      <c r="L3506" s="71" t="n">
        <f aca="false">IF(10&gt;Debt_Yr,0,IF(10=Debt_Yr,L3203,MIN(L3203,(L1082+L1385+L1688+L2294)*Cash_Sweep)))</f>
        <v>0</v>
      </c>
    </row>
    <row r="3507" customFormat="false" ht="15" hidden="false" customHeight="false" outlineLevel="0" collapsed="false">
      <c r="B3507" s="102" t="n">
        <f aca="false">'Loan Tape'!$A170</f>
        <v>0</v>
      </c>
      <c r="C3507" s="99" t="n">
        <f aca="false">IF(1&gt;Debt_Yr,0,IF(1=Debt_Yr,C3204,MIN(C3204,(C1083+C1386+C1689+C2295)*Cash_Sweep)))</f>
        <v>0</v>
      </c>
      <c r="D3507" s="99" t="n">
        <f aca="false">IF(2&gt;Debt_Yr,0,IF(2=Debt_Yr,D3204,MIN(D3204,(D1083+D1386+D1689+D2295)*Cash_Sweep)))</f>
        <v>0</v>
      </c>
      <c r="E3507" s="99" t="n">
        <f aca="false">IF(3&gt;Debt_Yr,0,IF(3=Debt_Yr,E3204,MIN(E3204,(E1083+E1386+E1689+E2295)*Cash_Sweep)))</f>
        <v>0</v>
      </c>
      <c r="F3507" s="99" t="n">
        <f aca="false">IF(4&gt;Debt_Yr,0,IF(4=Debt_Yr,F3204,MIN(F3204,(F1083+F1386+F1689+F2295)*Cash_Sweep)))</f>
        <v>0</v>
      </c>
      <c r="G3507" s="99" t="n">
        <f aca="false">IF(5&gt;Debt_Yr,0,IF(5=Debt_Yr,G3204,MIN(G3204,(G1083+G1386+G1689+G2295)*Cash_Sweep)))</f>
        <v>0</v>
      </c>
      <c r="H3507" s="99" t="n">
        <f aca="false">IF(6&gt;Debt_Yr,0,IF(6=Debt_Yr,H3204,MIN(H3204,(H1083+H1386+H1689+H2295)*Cash_Sweep)))</f>
        <v>0</v>
      </c>
      <c r="I3507" s="99" t="n">
        <f aca="false">IF(7&gt;Debt_Yr,0,IF(7=Debt_Yr,I3204,MIN(I3204,(I1083+I1386+I1689+I2295)*Cash_Sweep)))</f>
        <v>0</v>
      </c>
      <c r="J3507" s="99" t="n">
        <f aca="false">IF(8&gt;Debt_Yr,0,IF(8=Debt_Yr,J3204,MIN(J3204,(J1083+J1386+J1689+J2295)*Cash_Sweep)))</f>
        <v>0</v>
      </c>
      <c r="K3507" s="99" t="n">
        <f aca="false">IF(9&gt;Debt_Yr,0,IF(9=Debt_Yr,K3204,MIN(K3204,(K1083+K1386+K1689+K2295)*Cash_Sweep)))</f>
        <v>0</v>
      </c>
      <c r="L3507" s="99" t="n">
        <f aca="false">IF(10&gt;Debt_Yr,0,IF(10=Debt_Yr,L3204,MIN(L3204,(L1083+L1386+L1689+L2295)*Cash_Sweep)))</f>
        <v>0</v>
      </c>
    </row>
    <row r="3508" customFormat="false" ht="15" hidden="false" customHeight="false" outlineLevel="0" collapsed="false">
      <c r="B3508" s="108" t="n">
        <f aca="false">'Loan Tape'!$A171</f>
        <v>0</v>
      </c>
      <c r="C3508" s="71" t="n">
        <f aca="false">IF(1&gt;Debt_Yr,0,IF(1=Debt_Yr,C3205,MIN(C3205,(C1084+C1387+C1690+C2296)*Cash_Sweep)))</f>
        <v>0</v>
      </c>
      <c r="D3508" s="71" t="n">
        <f aca="false">IF(2&gt;Debt_Yr,0,IF(2=Debt_Yr,D3205,MIN(D3205,(D1084+D1387+D1690+D2296)*Cash_Sweep)))</f>
        <v>0</v>
      </c>
      <c r="E3508" s="71" t="n">
        <f aca="false">IF(3&gt;Debt_Yr,0,IF(3=Debt_Yr,E3205,MIN(E3205,(E1084+E1387+E1690+E2296)*Cash_Sweep)))</f>
        <v>0</v>
      </c>
      <c r="F3508" s="71" t="n">
        <f aca="false">IF(4&gt;Debt_Yr,0,IF(4=Debt_Yr,F3205,MIN(F3205,(F1084+F1387+F1690+F2296)*Cash_Sweep)))</f>
        <v>0</v>
      </c>
      <c r="G3508" s="71" t="n">
        <f aca="false">IF(5&gt;Debt_Yr,0,IF(5=Debt_Yr,G3205,MIN(G3205,(G1084+G1387+G1690+G2296)*Cash_Sweep)))</f>
        <v>0</v>
      </c>
      <c r="H3508" s="71" t="n">
        <f aca="false">IF(6&gt;Debt_Yr,0,IF(6=Debt_Yr,H3205,MIN(H3205,(H1084+H1387+H1690+H2296)*Cash_Sweep)))</f>
        <v>0</v>
      </c>
      <c r="I3508" s="71" t="n">
        <f aca="false">IF(7&gt;Debt_Yr,0,IF(7=Debt_Yr,I3205,MIN(I3205,(I1084+I1387+I1690+I2296)*Cash_Sweep)))</f>
        <v>0</v>
      </c>
      <c r="J3508" s="71" t="n">
        <f aca="false">IF(8&gt;Debt_Yr,0,IF(8=Debt_Yr,J3205,MIN(J3205,(J1084+J1387+J1690+J2296)*Cash_Sweep)))</f>
        <v>0</v>
      </c>
      <c r="K3508" s="71" t="n">
        <f aca="false">IF(9&gt;Debt_Yr,0,IF(9=Debt_Yr,K3205,MIN(K3205,(K1084+K1387+K1690+K2296)*Cash_Sweep)))</f>
        <v>0</v>
      </c>
      <c r="L3508" s="71" t="n">
        <f aca="false">IF(10&gt;Debt_Yr,0,IF(10=Debt_Yr,L3205,MIN(L3205,(L1084+L1387+L1690+L2296)*Cash_Sweep)))</f>
        <v>0</v>
      </c>
    </row>
    <row r="3509" customFormat="false" ht="15" hidden="false" customHeight="false" outlineLevel="0" collapsed="false">
      <c r="B3509" s="102" t="n">
        <f aca="false">'Loan Tape'!$A172</f>
        <v>0</v>
      </c>
      <c r="C3509" s="99" t="n">
        <f aca="false">IF(1&gt;Debt_Yr,0,IF(1=Debt_Yr,C3206,MIN(C3206,(C1085+C1388+C1691+C2297)*Cash_Sweep)))</f>
        <v>0</v>
      </c>
      <c r="D3509" s="99" t="n">
        <f aca="false">IF(2&gt;Debt_Yr,0,IF(2=Debt_Yr,D3206,MIN(D3206,(D1085+D1388+D1691+D2297)*Cash_Sweep)))</f>
        <v>0</v>
      </c>
      <c r="E3509" s="99" t="n">
        <f aca="false">IF(3&gt;Debt_Yr,0,IF(3=Debt_Yr,E3206,MIN(E3206,(E1085+E1388+E1691+E2297)*Cash_Sweep)))</f>
        <v>0</v>
      </c>
      <c r="F3509" s="99" t="n">
        <f aca="false">IF(4&gt;Debt_Yr,0,IF(4=Debt_Yr,F3206,MIN(F3206,(F1085+F1388+F1691+F2297)*Cash_Sweep)))</f>
        <v>0</v>
      </c>
      <c r="G3509" s="99" t="n">
        <f aca="false">IF(5&gt;Debt_Yr,0,IF(5=Debt_Yr,G3206,MIN(G3206,(G1085+G1388+G1691+G2297)*Cash_Sweep)))</f>
        <v>0</v>
      </c>
      <c r="H3509" s="99" t="n">
        <f aca="false">IF(6&gt;Debt_Yr,0,IF(6=Debt_Yr,H3206,MIN(H3206,(H1085+H1388+H1691+H2297)*Cash_Sweep)))</f>
        <v>0</v>
      </c>
      <c r="I3509" s="99" t="n">
        <f aca="false">IF(7&gt;Debt_Yr,0,IF(7=Debt_Yr,I3206,MIN(I3206,(I1085+I1388+I1691+I2297)*Cash_Sweep)))</f>
        <v>0</v>
      </c>
      <c r="J3509" s="99" t="n">
        <f aca="false">IF(8&gt;Debt_Yr,0,IF(8=Debt_Yr,J3206,MIN(J3206,(J1085+J1388+J1691+J2297)*Cash_Sweep)))</f>
        <v>0</v>
      </c>
      <c r="K3509" s="99" t="n">
        <f aca="false">IF(9&gt;Debt_Yr,0,IF(9=Debt_Yr,K3206,MIN(K3206,(K1085+K1388+K1691+K2297)*Cash_Sweep)))</f>
        <v>0</v>
      </c>
      <c r="L3509" s="99" t="n">
        <f aca="false">IF(10&gt;Debt_Yr,0,IF(10=Debt_Yr,L3206,MIN(L3206,(L1085+L1388+L1691+L2297)*Cash_Sweep)))</f>
        <v>0</v>
      </c>
    </row>
    <row r="3510" customFormat="false" ht="15" hidden="false" customHeight="false" outlineLevel="0" collapsed="false">
      <c r="B3510" s="108" t="n">
        <f aca="false">'Loan Tape'!$A173</f>
        <v>0</v>
      </c>
      <c r="C3510" s="71" t="n">
        <f aca="false">IF(1&gt;Debt_Yr,0,IF(1=Debt_Yr,C3207,MIN(C3207,(C1086+C1389+C1692+C2298)*Cash_Sweep)))</f>
        <v>0</v>
      </c>
      <c r="D3510" s="71" t="n">
        <f aca="false">IF(2&gt;Debt_Yr,0,IF(2=Debt_Yr,D3207,MIN(D3207,(D1086+D1389+D1692+D2298)*Cash_Sweep)))</f>
        <v>0</v>
      </c>
      <c r="E3510" s="71" t="n">
        <f aca="false">IF(3&gt;Debt_Yr,0,IF(3=Debt_Yr,E3207,MIN(E3207,(E1086+E1389+E1692+E2298)*Cash_Sweep)))</f>
        <v>0</v>
      </c>
      <c r="F3510" s="71" t="n">
        <f aca="false">IF(4&gt;Debt_Yr,0,IF(4=Debt_Yr,F3207,MIN(F3207,(F1086+F1389+F1692+F2298)*Cash_Sweep)))</f>
        <v>0</v>
      </c>
      <c r="G3510" s="71" t="n">
        <f aca="false">IF(5&gt;Debt_Yr,0,IF(5=Debt_Yr,G3207,MIN(G3207,(G1086+G1389+G1692+G2298)*Cash_Sweep)))</f>
        <v>0</v>
      </c>
      <c r="H3510" s="71" t="n">
        <f aca="false">IF(6&gt;Debt_Yr,0,IF(6=Debt_Yr,H3207,MIN(H3207,(H1086+H1389+H1692+H2298)*Cash_Sweep)))</f>
        <v>0</v>
      </c>
      <c r="I3510" s="71" t="n">
        <f aca="false">IF(7&gt;Debt_Yr,0,IF(7=Debt_Yr,I3207,MIN(I3207,(I1086+I1389+I1692+I2298)*Cash_Sweep)))</f>
        <v>0</v>
      </c>
      <c r="J3510" s="71" t="n">
        <f aca="false">IF(8&gt;Debt_Yr,0,IF(8=Debt_Yr,J3207,MIN(J3207,(J1086+J1389+J1692+J2298)*Cash_Sweep)))</f>
        <v>0</v>
      </c>
      <c r="K3510" s="71" t="n">
        <f aca="false">IF(9&gt;Debt_Yr,0,IF(9=Debt_Yr,K3207,MIN(K3207,(K1086+K1389+K1692+K2298)*Cash_Sweep)))</f>
        <v>0</v>
      </c>
      <c r="L3510" s="71" t="n">
        <f aca="false">IF(10&gt;Debt_Yr,0,IF(10=Debt_Yr,L3207,MIN(L3207,(L1086+L1389+L1692+L2298)*Cash_Sweep)))</f>
        <v>0</v>
      </c>
    </row>
    <row r="3511" customFormat="false" ht="15" hidden="false" customHeight="false" outlineLevel="0" collapsed="false">
      <c r="B3511" s="102" t="n">
        <f aca="false">'Loan Tape'!$A174</f>
        <v>0</v>
      </c>
      <c r="C3511" s="99" t="n">
        <f aca="false">IF(1&gt;Debt_Yr,0,IF(1=Debt_Yr,C3208,MIN(C3208,(C1087+C1390+C1693+C2299)*Cash_Sweep)))</f>
        <v>0</v>
      </c>
      <c r="D3511" s="99" t="n">
        <f aca="false">IF(2&gt;Debt_Yr,0,IF(2=Debt_Yr,D3208,MIN(D3208,(D1087+D1390+D1693+D2299)*Cash_Sweep)))</f>
        <v>0</v>
      </c>
      <c r="E3511" s="99" t="n">
        <f aca="false">IF(3&gt;Debt_Yr,0,IF(3=Debt_Yr,E3208,MIN(E3208,(E1087+E1390+E1693+E2299)*Cash_Sweep)))</f>
        <v>0</v>
      </c>
      <c r="F3511" s="99" t="n">
        <f aca="false">IF(4&gt;Debt_Yr,0,IF(4=Debt_Yr,F3208,MIN(F3208,(F1087+F1390+F1693+F2299)*Cash_Sweep)))</f>
        <v>0</v>
      </c>
      <c r="G3511" s="99" t="n">
        <f aca="false">IF(5&gt;Debt_Yr,0,IF(5=Debt_Yr,G3208,MIN(G3208,(G1087+G1390+G1693+G2299)*Cash_Sweep)))</f>
        <v>0</v>
      </c>
      <c r="H3511" s="99" t="n">
        <f aca="false">IF(6&gt;Debt_Yr,0,IF(6=Debt_Yr,H3208,MIN(H3208,(H1087+H1390+H1693+H2299)*Cash_Sweep)))</f>
        <v>0</v>
      </c>
      <c r="I3511" s="99" t="n">
        <f aca="false">IF(7&gt;Debt_Yr,0,IF(7=Debt_Yr,I3208,MIN(I3208,(I1087+I1390+I1693+I2299)*Cash_Sweep)))</f>
        <v>0</v>
      </c>
      <c r="J3511" s="99" t="n">
        <f aca="false">IF(8&gt;Debt_Yr,0,IF(8=Debt_Yr,J3208,MIN(J3208,(J1087+J1390+J1693+J2299)*Cash_Sweep)))</f>
        <v>0</v>
      </c>
      <c r="K3511" s="99" t="n">
        <f aca="false">IF(9&gt;Debt_Yr,0,IF(9=Debt_Yr,K3208,MIN(K3208,(K1087+K1390+K1693+K2299)*Cash_Sweep)))</f>
        <v>0</v>
      </c>
      <c r="L3511" s="99" t="n">
        <f aca="false">IF(10&gt;Debt_Yr,0,IF(10=Debt_Yr,L3208,MIN(L3208,(L1087+L1390+L1693+L2299)*Cash_Sweep)))</f>
        <v>0</v>
      </c>
    </row>
    <row r="3512" customFormat="false" ht="15" hidden="false" customHeight="false" outlineLevel="0" collapsed="false">
      <c r="B3512" s="108" t="n">
        <f aca="false">'Loan Tape'!$A175</f>
        <v>0</v>
      </c>
      <c r="C3512" s="71" t="n">
        <f aca="false">IF(1&gt;Debt_Yr,0,IF(1=Debt_Yr,C3209,MIN(C3209,(C1088+C1391+C1694+C2300)*Cash_Sweep)))</f>
        <v>0</v>
      </c>
      <c r="D3512" s="71" t="n">
        <f aca="false">IF(2&gt;Debt_Yr,0,IF(2=Debt_Yr,D3209,MIN(D3209,(D1088+D1391+D1694+D2300)*Cash_Sweep)))</f>
        <v>0</v>
      </c>
      <c r="E3512" s="71" t="n">
        <f aca="false">IF(3&gt;Debt_Yr,0,IF(3=Debt_Yr,E3209,MIN(E3209,(E1088+E1391+E1694+E2300)*Cash_Sweep)))</f>
        <v>0</v>
      </c>
      <c r="F3512" s="71" t="n">
        <f aca="false">IF(4&gt;Debt_Yr,0,IF(4=Debt_Yr,F3209,MIN(F3209,(F1088+F1391+F1694+F2300)*Cash_Sweep)))</f>
        <v>0</v>
      </c>
      <c r="G3512" s="71" t="n">
        <f aca="false">IF(5&gt;Debt_Yr,0,IF(5=Debt_Yr,G3209,MIN(G3209,(G1088+G1391+G1694+G2300)*Cash_Sweep)))</f>
        <v>0</v>
      </c>
      <c r="H3512" s="71" t="n">
        <f aca="false">IF(6&gt;Debt_Yr,0,IF(6=Debt_Yr,H3209,MIN(H3209,(H1088+H1391+H1694+H2300)*Cash_Sweep)))</f>
        <v>0</v>
      </c>
      <c r="I3512" s="71" t="n">
        <f aca="false">IF(7&gt;Debt_Yr,0,IF(7=Debt_Yr,I3209,MIN(I3209,(I1088+I1391+I1694+I2300)*Cash_Sweep)))</f>
        <v>0</v>
      </c>
      <c r="J3512" s="71" t="n">
        <f aca="false">IF(8&gt;Debt_Yr,0,IF(8=Debt_Yr,J3209,MIN(J3209,(J1088+J1391+J1694+J2300)*Cash_Sweep)))</f>
        <v>0</v>
      </c>
      <c r="K3512" s="71" t="n">
        <f aca="false">IF(9&gt;Debt_Yr,0,IF(9=Debt_Yr,K3209,MIN(K3209,(K1088+K1391+K1694+K2300)*Cash_Sweep)))</f>
        <v>0</v>
      </c>
      <c r="L3512" s="71" t="n">
        <f aca="false">IF(10&gt;Debt_Yr,0,IF(10=Debt_Yr,L3209,MIN(L3209,(L1088+L1391+L1694+L2300)*Cash_Sweep)))</f>
        <v>0</v>
      </c>
    </row>
    <row r="3513" customFormat="false" ht="15" hidden="false" customHeight="false" outlineLevel="0" collapsed="false">
      <c r="B3513" s="102" t="n">
        <f aca="false">'Loan Tape'!$A176</f>
        <v>0</v>
      </c>
      <c r="C3513" s="99" t="n">
        <f aca="false">IF(1&gt;Debt_Yr,0,IF(1=Debt_Yr,C3210,MIN(C3210,(C1089+C1392+C1695+C2301)*Cash_Sweep)))</f>
        <v>0</v>
      </c>
      <c r="D3513" s="99" t="n">
        <f aca="false">IF(2&gt;Debt_Yr,0,IF(2=Debt_Yr,D3210,MIN(D3210,(D1089+D1392+D1695+D2301)*Cash_Sweep)))</f>
        <v>0</v>
      </c>
      <c r="E3513" s="99" t="n">
        <f aca="false">IF(3&gt;Debt_Yr,0,IF(3=Debt_Yr,E3210,MIN(E3210,(E1089+E1392+E1695+E2301)*Cash_Sweep)))</f>
        <v>0</v>
      </c>
      <c r="F3513" s="99" t="n">
        <f aca="false">IF(4&gt;Debt_Yr,0,IF(4=Debt_Yr,F3210,MIN(F3210,(F1089+F1392+F1695+F2301)*Cash_Sweep)))</f>
        <v>0</v>
      </c>
      <c r="G3513" s="99" t="n">
        <f aca="false">IF(5&gt;Debt_Yr,0,IF(5=Debt_Yr,G3210,MIN(G3210,(G1089+G1392+G1695+G2301)*Cash_Sweep)))</f>
        <v>0</v>
      </c>
      <c r="H3513" s="99" t="n">
        <f aca="false">IF(6&gt;Debt_Yr,0,IF(6=Debt_Yr,H3210,MIN(H3210,(H1089+H1392+H1695+H2301)*Cash_Sweep)))</f>
        <v>0</v>
      </c>
      <c r="I3513" s="99" t="n">
        <f aca="false">IF(7&gt;Debt_Yr,0,IF(7=Debt_Yr,I3210,MIN(I3210,(I1089+I1392+I1695+I2301)*Cash_Sweep)))</f>
        <v>0</v>
      </c>
      <c r="J3513" s="99" t="n">
        <f aca="false">IF(8&gt;Debt_Yr,0,IF(8=Debt_Yr,J3210,MIN(J3210,(J1089+J1392+J1695+J2301)*Cash_Sweep)))</f>
        <v>0</v>
      </c>
      <c r="K3513" s="99" t="n">
        <f aca="false">IF(9&gt;Debt_Yr,0,IF(9=Debt_Yr,K3210,MIN(K3210,(K1089+K1392+K1695+K2301)*Cash_Sweep)))</f>
        <v>0</v>
      </c>
      <c r="L3513" s="99" t="n">
        <f aca="false">IF(10&gt;Debt_Yr,0,IF(10=Debt_Yr,L3210,MIN(L3210,(L1089+L1392+L1695+L2301)*Cash_Sweep)))</f>
        <v>0</v>
      </c>
    </row>
    <row r="3514" customFormat="false" ht="15" hidden="false" customHeight="false" outlineLevel="0" collapsed="false">
      <c r="B3514" s="108" t="n">
        <f aca="false">'Loan Tape'!$A177</f>
        <v>0</v>
      </c>
      <c r="C3514" s="71" t="n">
        <f aca="false">IF(1&gt;Debt_Yr,0,IF(1=Debt_Yr,C3211,MIN(C3211,(C1090+C1393+C1696+C2302)*Cash_Sweep)))</f>
        <v>0</v>
      </c>
      <c r="D3514" s="71" t="n">
        <f aca="false">IF(2&gt;Debt_Yr,0,IF(2=Debt_Yr,D3211,MIN(D3211,(D1090+D1393+D1696+D2302)*Cash_Sweep)))</f>
        <v>0</v>
      </c>
      <c r="E3514" s="71" t="n">
        <f aca="false">IF(3&gt;Debt_Yr,0,IF(3=Debt_Yr,E3211,MIN(E3211,(E1090+E1393+E1696+E2302)*Cash_Sweep)))</f>
        <v>0</v>
      </c>
      <c r="F3514" s="71" t="n">
        <f aca="false">IF(4&gt;Debt_Yr,0,IF(4=Debt_Yr,F3211,MIN(F3211,(F1090+F1393+F1696+F2302)*Cash_Sweep)))</f>
        <v>0</v>
      </c>
      <c r="G3514" s="71" t="n">
        <f aca="false">IF(5&gt;Debt_Yr,0,IF(5=Debt_Yr,G3211,MIN(G3211,(G1090+G1393+G1696+G2302)*Cash_Sweep)))</f>
        <v>0</v>
      </c>
      <c r="H3514" s="71" t="n">
        <f aca="false">IF(6&gt;Debt_Yr,0,IF(6=Debt_Yr,H3211,MIN(H3211,(H1090+H1393+H1696+H2302)*Cash_Sweep)))</f>
        <v>0</v>
      </c>
      <c r="I3514" s="71" t="n">
        <f aca="false">IF(7&gt;Debt_Yr,0,IF(7=Debt_Yr,I3211,MIN(I3211,(I1090+I1393+I1696+I2302)*Cash_Sweep)))</f>
        <v>0</v>
      </c>
      <c r="J3514" s="71" t="n">
        <f aca="false">IF(8&gt;Debt_Yr,0,IF(8=Debt_Yr,J3211,MIN(J3211,(J1090+J1393+J1696+J2302)*Cash_Sweep)))</f>
        <v>0</v>
      </c>
      <c r="K3514" s="71" t="n">
        <f aca="false">IF(9&gt;Debt_Yr,0,IF(9=Debt_Yr,K3211,MIN(K3211,(K1090+K1393+K1696+K2302)*Cash_Sweep)))</f>
        <v>0</v>
      </c>
      <c r="L3514" s="71" t="n">
        <f aca="false">IF(10&gt;Debt_Yr,0,IF(10=Debt_Yr,L3211,MIN(L3211,(L1090+L1393+L1696+L2302)*Cash_Sweep)))</f>
        <v>0</v>
      </c>
    </row>
    <row r="3515" customFormat="false" ht="15" hidden="false" customHeight="false" outlineLevel="0" collapsed="false">
      <c r="B3515" s="102" t="n">
        <f aca="false">'Loan Tape'!$A178</f>
        <v>0</v>
      </c>
      <c r="C3515" s="99" t="n">
        <f aca="false">IF(1&gt;Debt_Yr,0,IF(1=Debt_Yr,C3212,MIN(C3212,(C1091+C1394+C1697+C2303)*Cash_Sweep)))</f>
        <v>0</v>
      </c>
      <c r="D3515" s="99" t="n">
        <f aca="false">IF(2&gt;Debt_Yr,0,IF(2=Debt_Yr,D3212,MIN(D3212,(D1091+D1394+D1697+D2303)*Cash_Sweep)))</f>
        <v>0</v>
      </c>
      <c r="E3515" s="99" t="n">
        <f aca="false">IF(3&gt;Debt_Yr,0,IF(3=Debt_Yr,E3212,MIN(E3212,(E1091+E1394+E1697+E2303)*Cash_Sweep)))</f>
        <v>0</v>
      </c>
      <c r="F3515" s="99" t="n">
        <f aca="false">IF(4&gt;Debt_Yr,0,IF(4=Debt_Yr,F3212,MIN(F3212,(F1091+F1394+F1697+F2303)*Cash_Sweep)))</f>
        <v>0</v>
      </c>
      <c r="G3515" s="99" t="n">
        <f aca="false">IF(5&gt;Debt_Yr,0,IF(5=Debt_Yr,G3212,MIN(G3212,(G1091+G1394+G1697+G2303)*Cash_Sweep)))</f>
        <v>0</v>
      </c>
      <c r="H3515" s="99" t="n">
        <f aca="false">IF(6&gt;Debt_Yr,0,IF(6=Debt_Yr,H3212,MIN(H3212,(H1091+H1394+H1697+H2303)*Cash_Sweep)))</f>
        <v>0</v>
      </c>
      <c r="I3515" s="99" t="n">
        <f aca="false">IF(7&gt;Debt_Yr,0,IF(7=Debt_Yr,I3212,MIN(I3212,(I1091+I1394+I1697+I2303)*Cash_Sweep)))</f>
        <v>0</v>
      </c>
      <c r="J3515" s="99" t="n">
        <f aca="false">IF(8&gt;Debt_Yr,0,IF(8=Debt_Yr,J3212,MIN(J3212,(J1091+J1394+J1697+J2303)*Cash_Sweep)))</f>
        <v>0</v>
      </c>
      <c r="K3515" s="99" t="n">
        <f aca="false">IF(9&gt;Debt_Yr,0,IF(9=Debt_Yr,K3212,MIN(K3212,(K1091+K1394+K1697+K2303)*Cash_Sweep)))</f>
        <v>0</v>
      </c>
      <c r="L3515" s="99" t="n">
        <f aca="false">IF(10&gt;Debt_Yr,0,IF(10=Debt_Yr,L3212,MIN(L3212,(L1091+L1394+L1697+L2303)*Cash_Sweep)))</f>
        <v>0</v>
      </c>
    </row>
    <row r="3516" customFormat="false" ht="15" hidden="false" customHeight="false" outlineLevel="0" collapsed="false">
      <c r="B3516" s="108" t="n">
        <f aca="false">'Loan Tape'!$A179</f>
        <v>0</v>
      </c>
      <c r="C3516" s="71" t="n">
        <f aca="false">IF(1&gt;Debt_Yr,0,IF(1=Debt_Yr,C3213,MIN(C3213,(C1092+C1395+C1698+C2304)*Cash_Sweep)))</f>
        <v>0</v>
      </c>
      <c r="D3516" s="71" t="n">
        <f aca="false">IF(2&gt;Debt_Yr,0,IF(2=Debt_Yr,D3213,MIN(D3213,(D1092+D1395+D1698+D2304)*Cash_Sweep)))</f>
        <v>0</v>
      </c>
      <c r="E3516" s="71" t="n">
        <f aca="false">IF(3&gt;Debt_Yr,0,IF(3=Debt_Yr,E3213,MIN(E3213,(E1092+E1395+E1698+E2304)*Cash_Sweep)))</f>
        <v>0</v>
      </c>
      <c r="F3516" s="71" t="n">
        <f aca="false">IF(4&gt;Debt_Yr,0,IF(4=Debt_Yr,F3213,MIN(F3213,(F1092+F1395+F1698+F2304)*Cash_Sweep)))</f>
        <v>0</v>
      </c>
      <c r="G3516" s="71" t="n">
        <f aca="false">IF(5&gt;Debt_Yr,0,IF(5=Debt_Yr,G3213,MIN(G3213,(G1092+G1395+G1698+G2304)*Cash_Sweep)))</f>
        <v>0</v>
      </c>
      <c r="H3516" s="71" t="n">
        <f aca="false">IF(6&gt;Debt_Yr,0,IF(6=Debt_Yr,H3213,MIN(H3213,(H1092+H1395+H1698+H2304)*Cash_Sweep)))</f>
        <v>0</v>
      </c>
      <c r="I3516" s="71" t="n">
        <f aca="false">IF(7&gt;Debt_Yr,0,IF(7=Debt_Yr,I3213,MIN(I3213,(I1092+I1395+I1698+I2304)*Cash_Sweep)))</f>
        <v>0</v>
      </c>
      <c r="J3516" s="71" t="n">
        <f aca="false">IF(8&gt;Debt_Yr,0,IF(8=Debt_Yr,J3213,MIN(J3213,(J1092+J1395+J1698+J2304)*Cash_Sweep)))</f>
        <v>0</v>
      </c>
      <c r="K3516" s="71" t="n">
        <f aca="false">IF(9&gt;Debt_Yr,0,IF(9=Debt_Yr,K3213,MIN(K3213,(K1092+K1395+K1698+K2304)*Cash_Sweep)))</f>
        <v>0</v>
      </c>
      <c r="L3516" s="71" t="n">
        <f aca="false">IF(10&gt;Debt_Yr,0,IF(10=Debt_Yr,L3213,MIN(L3213,(L1092+L1395+L1698+L2304)*Cash_Sweep)))</f>
        <v>0</v>
      </c>
    </row>
    <row r="3517" customFormat="false" ht="15" hidden="false" customHeight="false" outlineLevel="0" collapsed="false">
      <c r="B3517" s="102" t="n">
        <f aca="false">'Loan Tape'!$A180</f>
        <v>0</v>
      </c>
      <c r="C3517" s="99" t="n">
        <f aca="false">IF(1&gt;Debt_Yr,0,IF(1=Debt_Yr,C3214,MIN(C3214,(C1093+C1396+C1699+C2305)*Cash_Sweep)))</f>
        <v>0</v>
      </c>
      <c r="D3517" s="99" t="n">
        <f aca="false">IF(2&gt;Debt_Yr,0,IF(2=Debt_Yr,D3214,MIN(D3214,(D1093+D1396+D1699+D2305)*Cash_Sweep)))</f>
        <v>0</v>
      </c>
      <c r="E3517" s="99" t="n">
        <f aca="false">IF(3&gt;Debt_Yr,0,IF(3=Debt_Yr,E3214,MIN(E3214,(E1093+E1396+E1699+E2305)*Cash_Sweep)))</f>
        <v>0</v>
      </c>
      <c r="F3517" s="99" t="n">
        <f aca="false">IF(4&gt;Debt_Yr,0,IF(4=Debt_Yr,F3214,MIN(F3214,(F1093+F1396+F1699+F2305)*Cash_Sweep)))</f>
        <v>0</v>
      </c>
      <c r="G3517" s="99" t="n">
        <f aca="false">IF(5&gt;Debt_Yr,0,IF(5=Debt_Yr,G3214,MIN(G3214,(G1093+G1396+G1699+G2305)*Cash_Sweep)))</f>
        <v>0</v>
      </c>
      <c r="H3517" s="99" t="n">
        <f aca="false">IF(6&gt;Debt_Yr,0,IF(6=Debt_Yr,H3214,MIN(H3214,(H1093+H1396+H1699+H2305)*Cash_Sweep)))</f>
        <v>0</v>
      </c>
      <c r="I3517" s="99" t="n">
        <f aca="false">IF(7&gt;Debt_Yr,0,IF(7=Debt_Yr,I3214,MIN(I3214,(I1093+I1396+I1699+I2305)*Cash_Sweep)))</f>
        <v>0</v>
      </c>
      <c r="J3517" s="99" t="n">
        <f aca="false">IF(8&gt;Debt_Yr,0,IF(8=Debt_Yr,J3214,MIN(J3214,(J1093+J1396+J1699+J2305)*Cash_Sweep)))</f>
        <v>0</v>
      </c>
      <c r="K3517" s="99" t="n">
        <f aca="false">IF(9&gt;Debt_Yr,0,IF(9=Debt_Yr,K3214,MIN(K3214,(K1093+K1396+K1699+K2305)*Cash_Sweep)))</f>
        <v>0</v>
      </c>
      <c r="L3517" s="99" t="n">
        <f aca="false">IF(10&gt;Debt_Yr,0,IF(10=Debt_Yr,L3214,MIN(L3214,(L1093+L1396+L1699+L2305)*Cash_Sweep)))</f>
        <v>0</v>
      </c>
    </row>
    <row r="3518" customFormat="false" ht="15" hidden="false" customHeight="false" outlineLevel="0" collapsed="false">
      <c r="B3518" s="108" t="n">
        <f aca="false">'Loan Tape'!$A181</f>
        <v>0</v>
      </c>
      <c r="C3518" s="71" t="n">
        <f aca="false">IF(1&gt;Debt_Yr,0,IF(1=Debt_Yr,C3215,MIN(C3215,(C1094+C1397+C1700+C2306)*Cash_Sweep)))</f>
        <v>0</v>
      </c>
      <c r="D3518" s="71" t="n">
        <f aca="false">IF(2&gt;Debt_Yr,0,IF(2=Debt_Yr,D3215,MIN(D3215,(D1094+D1397+D1700+D2306)*Cash_Sweep)))</f>
        <v>0</v>
      </c>
      <c r="E3518" s="71" t="n">
        <f aca="false">IF(3&gt;Debt_Yr,0,IF(3=Debt_Yr,E3215,MIN(E3215,(E1094+E1397+E1700+E2306)*Cash_Sweep)))</f>
        <v>0</v>
      </c>
      <c r="F3518" s="71" t="n">
        <f aca="false">IF(4&gt;Debt_Yr,0,IF(4=Debt_Yr,F3215,MIN(F3215,(F1094+F1397+F1700+F2306)*Cash_Sweep)))</f>
        <v>0</v>
      </c>
      <c r="G3518" s="71" t="n">
        <f aca="false">IF(5&gt;Debt_Yr,0,IF(5=Debt_Yr,G3215,MIN(G3215,(G1094+G1397+G1700+G2306)*Cash_Sweep)))</f>
        <v>0</v>
      </c>
      <c r="H3518" s="71" t="n">
        <f aca="false">IF(6&gt;Debt_Yr,0,IF(6=Debt_Yr,H3215,MIN(H3215,(H1094+H1397+H1700+H2306)*Cash_Sweep)))</f>
        <v>0</v>
      </c>
      <c r="I3518" s="71" t="n">
        <f aca="false">IF(7&gt;Debt_Yr,0,IF(7=Debt_Yr,I3215,MIN(I3215,(I1094+I1397+I1700+I2306)*Cash_Sweep)))</f>
        <v>0</v>
      </c>
      <c r="J3518" s="71" t="n">
        <f aca="false">IF(8&gt;Debt_Yr,0,IF(8=Debt_Yr,J3215,MIN(J3215,(J1094+J1397+J1700+J2306)*Cash_Sweep)))</f>
        <v>0</v>
      </c>
      <c r="K3518" s="71" t="n">
        <f aca="false">IF(9&gt;Debt_Yr,0,IF(9=Debt_Yr,K3215,MIN(K3215,(K1094+K1397+K1700+K2306)*Cash_Sweep)))</f>
        <v>0</v>
      </c>
      <c r="L3518" s="71" t="n">
        <f aca="false">IF(10&gt;Debt_Yr,0,IF(10=Debt_Yr,L3215,MIN(L3215,(L1094+L1397+L1700+L2306)*Cash_Sweep)))</f>
        <v>0</v>
      </c>
    </row>
    <row r="3519" customFormat="false" ht="15" hidden="false" customHeight="false" outlineLevel="0" collapsed="false">
      <c r="B3519" s="102" t="n">
        <f aca="false">'Loan Tape'!$A182</f>
        <v>0</v>
      </c>
      <c r="C3519" s="99" t="n">
        <f aca="false">IF(1&gt;Debt_Yr,0,IF(1=Debt_Yr,C3216,MIN(C3216,(C1095+C1398+C1701+C2307)*Cash_Sweep)))</f>
        <v>0</v>
      </c>
      <c r="D3519" s="99" t="n">
        <f aca="false">IF(2&gt;Debt_Yr,0,IF(2=Debt_Yr,D3216,MIN(D3216,(D1095+D1398+D1701+D2307)*Cash_Sweep)))</f>
        <v>0</v>
      </c>
      <c r="E3519" s="99" t="n">
        <f aca="false">IF(3&gt;Debt_Yr,0,IF(3=Debt_Yr,E3216,MIN(E3216,(E1095+E1398+E1701+E2307)*Cash_Sweep)))</f>
        <v>0</v>
      </c>
      <c r="F3519" s="99" t="n">
        <f aca="false">IF(4&gt;Debt_Yr,0,IF(4=Debt_Yr,F3216,MIN(F3216,(F1095+F1398+F1701+F2307)*Cash_Sweep)))</f>
        <v>0</v>
      </c>
      <c r="G3519" s="99" t="n">
        <f aca="false">IF(5&gt;Debt_Yr,0,IF(5=Debt_Yr,G3216,MIN(G3216,(G1095+G1398+G1701+G2307)*Cash_Sweep)))</f>
        <v>0</v>
      </c>
      <c r="H3519" s="99" t="n">
        <f aca="false">IF(6&gt;Debt_Yr,0,IF(6=Debt_Yr,H3216,MIN(H3216,(H1095+H1398+H1701+H2307)*Cash_Sweep)))</f>
        <v>0</v>
      </c>
      <c r="I3519" s="99" t="n">
        <f aca="false">IF(7&gt;Debt_Yr,0,IF(7=Debt_Yr,I3216,MIN(I3216,(I1095+I1398+I1701+I2307)*Cash_Sweep)))</f>
        <v>0</v>
      </c>
      <c r="J3519" s="99" t="n">
        <f aca="false">IF(8&gt;Debt_Yr,0,IF(8=Debt_Yr,J3216,MIN(J3216,(J1095+J1398+J1701+J2307)*Cash_Sweep)))</f>
        <v>0</v>
      </c>
      <c r="K3519" s="99" t="n">
        <f aca="false">IF(9&gt;Debt_Yr,0,IF(9=Debt_Yr,K3216,MIN(K3216,(K1095+K1398+K1701+K2307)*Cash_Sweep)))</f>
        <v>0</v>
      </c>
      <c r="L3519" s="99" t="n">
        <f aca="false">IF(10&gt;Debt_Yr,0,IF(10=Debt_Yr,L3216,MIN(L3216,(L1095+L1398+L1701+L2307)*Cash_Sweep)))</f>
        <v>0</v>
      </c>
    </row>
    <row r="3520" customFormat="false" ht="15" hidden="false" customHeight="false" outlineLevel="0" collapsed="false">
      <c r="B3520" s="108" t="n">
        <f aca="false">'Loan Tape'!$A183</f>
        <v>0</v>
      </c>
      <c r="C3520" s="71" t="n">
        <f aca="false">IF(1&gt;Debt_Yr,0,IF(1=Debt_Yr,C3217,MIN(C3217,(C1096+C1399+C1702+C2308)*Cash_Sweep)))</f>
        <v>0</v>
      </c>
      <c r="D3520" s="71" t="n">
        <f aca="false">IF(2&gt;Debt_Yr,0,IF(2=Debt_Yr,D3217,MIN(D3217,(D1096+D1399+D1702+D2308)*Cash_Sweep)))</f>
        <v>0</v>
      </c>
      <c r="E3520" s="71" t="n">
        <f aca="false">IF(3&gt;Debt_Yr,0,IF(3=Debt_Yr,E3217,MIN(E3217,(E1096+E1399+E1702+E2308)*Cash_Sweep)))</f>
        <v>0</v>
      </c>
      <c r="F3520" s="71" t="n">
        <f aca="false">IF(4&gt;Debt_Yr,0,IF(4=Debt_Yr,F3217,MIN(F3217,(F1096+F1399+F1702+F2308)*Cash_Sweep)))</f>
        <v>0</v>
      </c>
      <c r="G3520" s="71" t="n">
        <f aca="false">IF(5&gt;Debt_Yr,0,IF(5=Debt_Yr,G3217,MIN(G3217,(G1096+G1399+G1702+G2308)*Cash_Sweep)))</f>
        <v>0</v>
      </c>
      <c r="H3520" s="71" t="n">
        <f aca="false">IF(6&gt;Debt_Yr,0,IF(6=Debt_Yr,H3217,MIN(H3217,(H1096+H1399+H1702+H2308)*Cash_Sweep)))</f>
        <v>0</v>
      </c>
      <c r="I3520" s="71" t="n">
        <f aca="false">IF(7&gt;Debt_Yr,0,IF(7=Debt_Yr,I3217,MIN(I3217,(I1096+I1399+I1702+I2308)*Cash_Sweep)))</f>
        <v>0</v>
      </c>
      <c r="J3520" s="71" t="n">
        <f aca="false">IF(8&gt;Debt_Yr,0,IF(8=Debt_Yr,J3217,MIN(J3217,(J1096+J1399+J1702+J2308)*Cash_Sweep)))</f>
        <v>0</v>
      </c>
      <c r="K3520" s="71" t="n">
        <f aca="false">IF(9&gt;Debt_Yr,0,IF(9=Debt_Yr,K3217,MIN(K3217,(K1096+K1399+K1702+K2308)*Cash_Sweep)))</f>
        <v>0</v>
      </c>
      <c r="L3520" s="71" t="n">
        <f aca="false">IF(10&gt;Debt_Yr,0,IF(10=Debt_Yr,L3217,MIN(L3217,(L1096+L1399+L1702+L2308)*Cash_Sweep)))</f>
        <v>0</v>
      </c>
    </row>
    <row r="3521" customFormat="false" ht="15" hidden="false" customHeight="false" outlineLevel="0" collapsed="false">
      <c r="B3521" s="102" t="n">
        <f aca="false">'Loan Tape'!$A184</f>
        <v>0</v>
      </c>
      <c r="C3521" s="99" t="n">
        <f aca="false">IF(1&gt;Debt_Yr,0,IF(1=Debt_Yr,C3218,MIN(C3218,(C1097+C1400+C1703+C2309)*Cash_Sweep)))</f>
        <v>0</v>
      </c>
      <c r="D3521" s="99" t="n">
        <f aca="false">IF(2&gt;Debt_Yr,0,IF(2=Debt_Yr,D3218,MIN(D3218,(D1097+D1400+D1703+D2309)*Cash_Sweep)))</f>
        <v>0</v>
      </c>
      <c r="E3521" s="99" t="n">
        <f aca="false">IF(3&gt;Debt_Yr,0,IF(3=Debt_Yr,E3218,MIN(E3218,(E1097+E1400+E1703+E2309)*Cash_Sweep)))</f>
        <v>0</v>
      </c>
      <c r="F3521" s="99" t="n">
        <f aca="false">IF(4&gt;Debt_Yr,0,IF(4=Debt_Yr,F3218,MIN(F3218,(F1097+F1400+F1703+F2309)*Cash_Sweep)))</f>
        <v>0</v>
      </c>
      <c r="G3521" s="99" t="n">
        <f aca="false">IF(5&gt;Debt_Yr,0,IF(5=Debt_Yr,G3218,MIN(G3218,(G1097+G1400+G1703+G2309)*Cash_Sweep)))</f>
        <v>0</v>
      </c>
      <c r="H3521" s="99" t="n">
        <f aca="false">IF(6&gt;Debt_Yr,0,IF(6=Debt_Yr,H3218,MIN(H3218,(H1097+H1400+H1703+H2309)*Cash_Sweep)))</f>
        <v>0</v>
      </c>
      <c r="I3521" s="99" t="n">
        <f aca="false">IF(7&gt;Debt_Yr,0,IF(7=Debt_Yr,I3218,MIN(I3218,(I1097+I1400+I1703+I2309)*Cash_Sweep)))</f>
        <v>0</v>
      </c>
      <c r="J3521" s="99" t="n">
        <f aca="false">IF(8&gt;Debt_Yr,0,IF(8=Debt_Yr,J3218,MIN(J3218,(J1097+J1400+J1703+J2309)*Cash_Sweep)))</f>
        <v>0</v>
      </c>
      <c r="K3521" s="99" t="n">
        <f aca="false">IF(9&gt;Debt_Yr,0,IF(9=Debt_Yr,K3218,MIN(K3218,(K1097+K1400+K1703+K2309)*Cash_Sweep)))</f>
        <v>0</v>
      </c>
      <c r="L3521" s="99" t="n">
        <f aca="false">IF(10&gt;Debt_Yr,0,IF(10=Debt_Yr,L3218,MIN(L3218,(L1097+L1400+L1703+L2309)*Cash_Sweep)))</f>
        <v>0</v>
      </c>
    </row>
    <row r="3522" customFormat="false" ht="15" hidden="false" customHeight="false" outlineLevel="0" collapsed="false">
      <c r="B3522" s="108" t="n">
        <f aca="false">'Loan Tape'!$A185</f>
        <v>0</v>
      </c>
      <c r="C3522" s="71" t="n">
        <f aca="false">IF(1&gt;Debt_Yr,0,IF(1=Debt_Yr,C3219,MIN(C3219,(C1098+C1401+C1704+C2310)*Cash_Sweep)))</f>
        <v>0</v>
      </c>
      <c r="D3522" s="71" t="n">
        <f aca="false">IF(2&gt;Debt_Yr,0,IF(2=Debt_Yr,D3219,MIN(D3219,(D1098+D1401+D1704+D2310)*Cash_Sweep)))</f>
        <v>0</v>
      </c>
      <c r="E3522" s="71" t="n">
        <f aca="false">IF(3&gt;Debt_Yr,0,IF(3=Debt_Yr,E3219,MIN(E3219,(E1098+E1401+E1704+E2310)*Cash_Sweep)))</f>
        <v>0</v>
      </c>
      <c r="F3522" s="71" t="n">
        <f aca="false">IF(4&gt;Debt_Yr,0,IF(4=Debt_Yr,F3219,MIN(F3219,(F1098+F1401+F1704+F2310)*Cash_Sweep)))</f>
        <v>0</v>
      </c>
      <c r="G3522" s="71" t="n">
        <f aca="false">IF(5&gt;Debt_Yr,0,IF(5=Debt_Yr,G3219,MIN(G3219,(G1098+G1401+G1704+G2310)*Cash_Sweep)))</f>
        <v>0</v>
      </c>
      <c r="H3522" s="71" t="n">
        <f aca="false">IF(6&gt;Debt_Yr,0,IF(6=Debt_Yr,H3219,MIN(H3219,(H1098+H1401+H1704+H2310)*Cash_Sweep)))</f>
        <v>0</v>
      </c>
      <c r="I3522" s="71" t="n">
        <f aca="false">IF(7&gt;Debt_Yr,0,IF(7=Debt_Yr,I3219,MIN(I3219,(I1098+I1401+I1704+I2310)*Cash_Sweep)))</f>
        <v>0</v>
      </c>
      <c r="J3522" s="71" t="n">
        <f aca="false">IF(8&gt;Debt_Yr,0,IF(8=Debt_Yr,J3219,MIN(J3219,(J1098+J1401+J1704+J2310)*Cash_Sweep)))</f>
        <v>0</v>
      </c>
      <c r="K3522" s="71" t="n">
        <f aca="false">IF(9&gt;Debt_Yr,0,IF(9=Debt_Yr,K3219,MIN(K3219,(K1098+K1401+K1704+K2310)*Cash_Sweep)))</f>
        <v>0</v>
      </c>
      <c r="L3522" s="71" t="n">
        <f aca="false">IF(10&gt;Debt_Yr,0,IF(10=Debt_Yr,L3219,MIN(L3219,(L1098+L1401+L1704+L2310)*Cash_Sweep)))</f>
        <v>0</v>
      </c>
    </row>
    <row r="3523" customFormat="false" ht="15" hidden="false" customHeight="false" outlineLevel="0" collapsed="false">
      <c r="B3523" s="102" t="n">
        <f aca="false">'Loan Tape'!$A186</f>
        <v>0</v>
      </c>
      <c r="C3523" s="99" t="n">
        <f aca="false">IF(1&gt;Debt_Yr,0,IF(1=Debt_Yr,C3220,MIN(C3220,(C1099+C1402+C1705+C2311)*Cash_Sweep)))</f>
        <v>0</v>
      </c>
      <c r="D3523" s="99" t="n">
        <f aca="false">IF(2&gt;Debt_Yr,0,IF(2=Debt_Yr,D3220,MIN(D3220,(D1099+D1402+D1705+D2311)*Cash_Sweep)))</f>
        <v>0</v>
      </c>
      <c r="E3523" s="99" t="n">
        <f aca="false">IF(3&gt;Debt_Yr,0,IF(3=Debt_Yr,E3220,MIN(E3220,(E1099+E1402+E1705+E2311)*Cash_Sweep)))</f>
        <v>0</v>
      </c>
      <c r="F3523" s="99" t="n">
        <f aca="false">IF(4&gt;Debt_Yr,0,IF(4=Debt_Yr,F3220,MIN(F3220,(F1099+F1402+F1705+F2311)*Cash_Sweep)))</f>
        <v>0</v>
      </c>
      <c r="G3523" s="99" t="n">
        <f aca="false">IF(5&gt;Debt_Yr,0,IF(5=Debt_Yr,G3220,MIN(G3220,(G1099+G1402+G1705+G2311)*Cash_Sweep)))</f>
        <v>0</v>
      </c>
      <c r="H3523" s="99" t="n">
        <f aca="false">IF(6&gt;Debt_Yr,0,IF(6=Debt_Yr,H3220,MIN(H3220,(H1099+H1402+H1705+H2311)*Cash_Sweep)))</f>
        <v>0</v>
      </c>
      <c r="I3523" s="99" t="n">
        <f aca="false">IF(7&gt;Debt_Yr,0,IF(7=Debt_Yr,I3220,MIN(I3220,(I1099+I1402+I1705+I2311)*Cash_Sweep)))</f>
        <v>0</v>
      </c>
      <c r="J3523" s="99" t="n">
        <f aca="false">IF(8&gt;Debt_Yr,0,IF(8=Debt_Yr,J3220,MIN(J3220,(J1099+J1402+J1705+J2311)*Cash_Sweep)))</f>
        <v>0</v>
      </c>
      <c r="K3523" s="99" t="n">
        <f aca="false">IF(9&gt;Debt_Yr,0,IF(9=Debt_Yr,K3220,MIN(K3220,(K1099+K1402+K1705+K2311)*Cash_Sweep)))</f>
        <v>0</v>
      </c>
      <c r="L3523" s="99" t="n">
        <f aca="false">IF(10&gt;Debt_Yr,0,IF(10=Debt_Yr,L3220,MIN(L3220,(L1099+L1402+L1705+L2311)*Cash_Sweep)))</f>
        <v>0</v>
      </c>
    </row>
    <row r="3524" customFormat="false" ht="15" hidden="false" customHeight="false" outlineLevel="0" collapsed="false">
      <c r="B3524" s="108" t="n">
        <f aca="false">'Loan Tape'!$A187</f>
        <v>0</v>
      </c>
      <c r="C3524" s="71" t="n">
        <f aca="false">IF(1&gt;Debt_Yr,0,IF(1=Debt_Yr,C3221,MIN(C3221,(C1100+C1403+C1706+C2312)*Cash_Sweep)))</f>
        <v>0</v>
      </c>
      <c r="D3524" s="71" t="n">
        <f aca="false">IF(2&gt;Debt_Yr,0,IF(2=Debt_Yr,D3221,MIN(D3221,(D1100+D1403+D1706+D2312)*Cash_Sweep)))</f>
        <v>0</v>
      </c>
      <c r="E3524" s="71" t="n">
        <f aca="false">IF(3&gt;Debt_Yr,0,IF(3=Debt_Yr,E3221,MIN(E3221,(E1100+E1403+E1706+E2312)*Cash_Sweep)))</f>
        <v>0</v>
      </c>
      <c r="F3524" s="71" t="n">
        <f aca="false">IF(4&gt;Debt_Yr,0,IF(4=Debt_Yr,F3221,MIN(F3221,(F1100+F1403+F1706+F2312)*Cash_Sweep)))</f>
        <v>0</v>
      </c>
      <c r="G3524" s="71" t="n">
        <f aca="false">IF(5&gt;Debt_Yr,0,IF(5=Debt_Yr,G3221,MIN(G3221,(G1100+G1403+G1706+G2312)*Cash_Sweep)))</f>
        <v>0</v>
      </c>
      <c r="H3524" s="71" t="n">
        <f aca="false">IF(6&gt;Debt_Yr,0,IF(6=Debt_Yr,H3221,MIN(H3221,(H1100+H1403+H1706+H2312)*Cash_Sweep)))</f>
        <v>0</v>
      </c>
      <c r="I3524" s="71" t="n">
        <f aca="false">IF(7&gt;Debt_Yr,0,IF(7=Debt_Yr,I3221,MIN(I3221,(I1100+I1403+I1706+I2312)*Cash_Sweep)))</f>
        <v>0</v>
      </c>
      <c r="J3524" s="71" t="n">
        <f aca="false">IF(8&gt;Debt_Yr,0,IF(8=Debt_Yr,J3221,MIN(J3221,(J1100+J1403+J1706+J2312)*Cash_Sweep)))</f>
        <v>0</v>
      </c>
      <c r="K3524" s="71" t="n">
        <f aca="false">IF(9&gt;Debt_Yr,0,IF(9=Debt_Yr,K3221,MIN(K3221,(K1100+K1403+K1706+K2312)*Cash_Sweep)))</f>
        <v>0</v>
      </c>
      <c r="L3524" s="71" t="n">
        <f aca="false">IF(10&gt;Debt_Yr,0,IF(10=Debt_Yr,L3221,MIN(L3221,(L1100+L1403+L1706+L2312)*Cash_Sweep)))</f>
        <v>0</v>
      </c>
    </row>
    <row r="3525" customFormat="false" ht="15" hidden="false" customHeight="false" outlineLevel="0" collapsed="false">
      <c r="B3525" s="102" t="n">
        <f aca="false">'Loan Tape'!$A188</f>
        <v>0</v>
      </c>
      <c r="C3525" s="99" t="n">
        <f aca="false">IF(1&gt;Debt_Yr,0,IF(1=Debt_Yr,C3222,MIN(C3222,(C1101+C1404+C1707+C2313)*Cash_Sweep)))</f>
        <v>0</v>
      </c>
      <c r="D3525" s="99" t="n">
        <f aca="false">IF(2&gt;Debt_Yr,0,IF(2=Debt_Yr,D3222,MIN(D3222,(D1101+D1404+D1707+D2313)*Cash_Sweep)))</f>
        <v>0</v>
      </c>
      <c r="E3525" s="99" t="n">
        <f aca="false">IF(3&gt;Debt_Yr,0,IF(3=Debt_Yr,E3222,MIN(E3222,(E1101+E1404+E1707+E2313)*Cash_Sweep)))</f>
        <v>0</v>
      </c>
      <c r="F3525" s="99" t="n">
        <f aca="false">IF(4&gt;Debt_Yr,0,IF(4=Debt_Yr,F3222,MIN(F3222,(F1101+F1404+F1707+F2313)*Cash_Sweep)))</f>
        <v>0</v>
      </c>
      <c r="G3525" s="99" t="n">
        <f aca="false">IF(5&gt;Debt_Yr,0,IF(5=Debt_Yr,G3222,MIN(G3222,(G1101+G1404+G1707+G2313)*Cash_Sweep)))</f>
        <v>0</v>
      </c>
      <c r="H3525" s="99" t="n">
        <f aca="false">IF(6&gt;Debt_Yr,0,IF(6=Debt_Yr,H3222,MIN(H3222,(H1101+H1404+H1707+H2313)*Cash_Sweep)))</f>
        <v>0</v>
      </c>
      <c r="I3525" s="99" t="n">
        <f aca="false">IF(7&gt;Debt_Yr,0,IF(7=Debt_Yr,I3222,MIN(I3222,(I1101+I1404+I1707+I2313)*Cash_Sweep)))</f>
        <v>0</v>
      </c>
      <c r="J3525" s="99" t="n">
        <f aca="false">IF(8&gt;Debt_Yr,0,IF(8=Debt_Yr,J3222,MIN(J3222,(J1101+J1404+J1707+J2313)*Cash_Sweep)))</f>
        <v>0</v>
      </c>
      <c r="K3525" s="99" t="n">
        <f aca="false">IF(9&gt;Debt_Yr,0,IF(9=Debt_Yr,K3222,MIN(K3222,(K1101+K1404+K1707+K2313)*Cash_Sweep)))</f>
        <v>0</v>
      </c>
      <c r="L3525" s="99" t="n">
        <f aca="false">IF(10&gt;Debt_Yr,0,IF(10=Debt_Yr,L3222,MIN(L3222,(L1101+L1404+L1707+L2313)*Cash_Sweep)))</f>
        <v>0</v>
      </c>
    </row>
    <row r="3526" customFormat="false" ht="15" hidden="false" customHeight="false" outlineLevel="0" collapsed="false">
      <c r="B3526" s="108" t="n">
        <f aca="false">'Loan Tape'!$A189</f>
        <v>0</v>
      </c>
      <c r="C3526" s="71" t="n">
        <f aca="false">IF(1&gt;Debt_Yr,0,IF(1=Debt_Yr,C3223,MIN(C3223,(C1102+C1405+C1708+C2314)*Cash_Sweep)))</f>
        <v>0</v>
      </c>
      <c r="D3526" s="71" t="n">
        <f aca="false">IF(2&gt;Debt_Yr,0,IF(2=Debt_Yr,D3223,MIN(D3223,(D1102+D1405+D1708+D2314)*Cash_Sweep)))</f>
        <v>0</v>
      </c>
      <c r="E3526" s="71" t="n">
        <f aca="false">IF(3&gt;Debt_Yr,0,IF(3=Debt_Yr,E3223,MIN(E3223,(E1102+E1405+E1708+E2314)*Cash_Sweep)))</f>
        <v>0</v>
      </c>
      <c r="F3526" s="71" t="n">
        <f aca="false">IF(4&gt;Debt_Yr,0,IF(4=Debt_Yr,F3223,MIN(F3223,(F1102+F1405+F1708+F2314)*Cash_Sweep)))</f>
        <v>0</v>
      </c>
      <c r="G3526" s="71" t="n">
        <f aca="false">IF(5&gt;Debt_Yr,0,IF(5=Debt_Yr,G3223,MIN(G3223,(G1102+G1405+G1708+G2314)*Cash_Sweep)))</f>
        <v>0</v>
      </c>
      <c r="H3526" s="71" t="n">
        <f aca="false">IF(6&gt;Debt_Yr,0,IF(6=Debt_Yr,H3223,MIN(H3223,(H1102+H1405+H1708+H2314)*Cash_Sweep)))</f>
        <v>0</v>
      </c>
      <c r="I3526" s="71" t="n">
        <f aca="false">IF(7&gt;Debt_Yr,0,IF(7=Debt_Yr,I3223,MIN(I3223,(I1102+I1405+I1708+I2314)*Cash_Sweep)))</f>
        <v>0</v>
      </c>
      <c r="J3526" s="71" t="n">
        <f aca="false">IF(8&gt;Debt_Yr,0,IF(8=Debt_Yr,J3223,MIN(J3223,(J1102+J1405+J1708+J2314)*Cash_Sweep)))</f>
        <v>0</v>
      </c>
      <c r="K3526" s="71" t="n">
        <f aca="false">IF(9&gt;Debt_Yr,0,IF(9=Debt_Yr,K3223,MIN(K3223,(K1102+K1405+K1708+K2314)*Cash_Sweep)))</f>
        <v>0</v>
      </c>
      <c r="L3526" s="71" t="n">
        <f aca="false">IF(10&gt;Debt_Yr,0,IF(10=Debt_Yr,L3223,MIN(L3223,(L1102+L1405+L1708+L2314)*Cash_Sweep)))</f>
        <v>0</v>
      </c>
    </row>
    <row r="3527" customFormat="false" ht="15" hidden="false" customHeight="false" outlineLevel="0" collapsed="false">
      <c r="B3527" s="102" t="n">
        <f aca="false">'Loan Tape'!$A190</f>
        <v>0</v>
      </c>
      <c r="C3527" s="99" t="n">
        <f aca="false">IF(1&gt;Debt_Yr,0,IF(1=Debt_Yr,C3224,MIN(C3224,(C1103+C1406+C1709+C2315)*Cash_Sweep)))</f>
        <v>0</v>
      </c>
      <c r="D3527" s="99" t="n">
        <f aca="false">IF(2&gt;Debt_Yr,0,IF(2=Debt_Yr,D3224,MIN(D3224,(D1103+D1406+D1709+D2315)*Cash_Sweep)))</f>
        <v>0</v>
      </c>
      <c r="E3527" s="99" t="n">
        <f aca="false">IF(3&gt;Debt_Yr,0,IF(3=Debt_Yr,E3224,MIN(E3224,(E1103+E1406+E1709+E2315)*Cash_Sweep)))</f>
        <v>0</v>
      </c>
      <c r="F3527" s="99" t="n">
        <f aca="false">IF(4&gt;Debt_Yr,0,IF(4=Debt_Yr,F3224,MIN(F3224,(F1103+F1406+F1709+F2315)*Cash_Sweep)))</f>
        <v>0</v>
      </c>
      <c r="G3527" s="99" t="n">
        <f aca="false">IF(5&gt;Debt_Yr,0,IF(5=Debt_Yr,G3224,MIN(G3224,(G1103+G1406+G1709+G2315)*Cash_Sweep)))</f>
        <v>0</v>
      </c>
      <c r="H3527" s="99" t="n">
        <f aca="false">IF(6&gt;Debt_Yr,0,IF(6=Debt_Yr,H3224,MIN(H3224,(H1103+H1406+H1709+H2315)*Cash_Sweep)))</f>
        <v>0</v>
      </c>
      <c r="I3527" s="99" t="n">
        <f aca="false">IF(7&gt;Debt_Yr,0,IF(7=Debt_Yr,I3224,MIN(I3224,(I1103+I1406+I1709+I2315)*Cash_Sweep)))</f>
        <v>0</v>
      </c>
      <c r="J3527" s="99" t="n">
        <f aca="false">IF(8&gt;Debt_Yr,0,IF(8=Debt_Yr,J3224,MIN(J3224,(J1103+J1406+J1709+J2315)*Cash_Sweep)))</f>
        <v>0</v>
      </c>
      <c r="K3527" s="99" t="n">
        <f aca="false">IF(9&gt;Debt_Yr,0,IF(9=Debt_Yr,K3224,MIN(K3224,(K1103+K1406+K1709+K2315)*Cash_Sweep)))</f>
        <v>0</v>
      </c>
      <c r="L3527" s="99" t="n">
        <f aca="false">IF(10&gt;Debt_Yr,0,IF(10=Debt_Yr,L3224,MIN(L3224,(L1103+L1406+L1709+L2315)*Cash_Sweep)))</f>
        <v>0</v>
      </c>
    </row>
    <row r="3528" customFormat="false" ht="15" hidden="false" customHeight="false" outlineLevel="0" collapsed="false">
      <c r="B3528" s="108" t="n">
        <f aca="false">'Loan Tape'!$A191</f>
        <v>0</v>
      </c>
      <c r="C3528" s="71" t="n">
        <f aca="false">IF(1&gt;Debt_Yr,0,IF(1=Debt_Yr,C3225,MIN(C3225,(C1104+C1407+C1710+C2316)*Cash_Sweep)))</f>
        <v>0</v>
      </c>
      <c r="D3528" s="71" t="n">
        <f aca="false">IF(2&gt;Debt_Yr,0,IF(2=Debt_Yr,D3225,MIN(D3225,(D1104+D1407+D1710+D2316)*Cash_Sweep)))</f>
        <v>0</v>
      </c>
      <c r="E3528" s="71" t="n">
        <f aca="false">IF(3&gt;Debt_Yr,0,IF(3=Debt_Yr,E3225,MIN(E3225,(E1104+E1407+E1710+E2316)*Cash_Sweep)))</f>
        <v>0</v>
      </c>
      <c r="F3528" s="71" t="n">
        <f aca="false">IF(4&gt;Debt_Yr,0,IF(4=Debt_Yr,F3225,MIN(F3225,(F1104+F1407+F1710+F2316)*Cash_Sweep)))</f>
        <v>0</v>
      </c>
      <c r="G3528" s="71" t="n">
        <f aca="false">IF(5&gt;Debt_Yr,0,IF(5=Debt_Yr,G3225,MIN(G3225,(G1104+G1407+G1710+G2316)*Cash_Sweep)))</f>
        <v>0</v>
      </c>
      <c r="H3528" s="71" t="n">
        <f aca="false">IF(6&gt;Debt_Yr,0,IF(6=Debt_Yr,H3225,MIN(H3225,(H1104+H1407+H1710+H2316)*Cash_Sweep)))</f>
        <v>0</v>
      </c>
      <c r="I3528" s="71" t="n">
        <f aca="false">IF(7&gt;Debt_Yr,0,IF(7=Debt_Yr,I3225,MIN(I3225,(I1104+I1407+I1710+I2316)*Cash_Sweep)))</f>
        <v>0</v>
      </c>
      <c r="J3528" s="71" t="n">
        <f aca="false">IF(8&gt;Debt_Yr,0,IF(8=Debt_Yr,J3225,MIN(J3225,(J1104+J1407+J1710+J2316)*Cash_Sweep)))</f>
        <v>0</v>
      </c>
      <c r="K3528" s="71" t="n">
        <f aca="false">IF(9&gt;Debt_Yr,0,IF(9=Debt_Yr,K3225,MIN(K3225,(K1104+K1407+K1710+K2316)*Cash_Sweep)))</f>
        <v>0</v>
      </c>
      <c r="L3528" s="71" t="n">
        <f aca="false">IF(10&gt;Debt_Yr,0,IF(10=Debt_Yr,L3225,MIN(L3225,(L1104+L1407+L1710+L2316)*Cash_Sweep)))</f>
        <v>0</v>
      </c>
    </row>
    <row r="3529" customFormat="false" ht="15" hidden="false" customHeight="false" outlineLevel="0" collapsed="false">
      <c r="B3529" s="102" t="n">
        <f aca="false">'Loan Tape'!$A192</f>
        <v>0</v>
      </c>
      <c r="C3529" s="99" t="n">
        <f aca="false">IF(1&gt;Debt_Yr,0,IF(1=Debt_Yr,C3226,MIN(C3226,(C1105+C1408+C1711+C2317)*Cash_Sweep)))</f>
        <v>0</v>
      </c>
      <c r="D3529" s="99" t="n">
        <f aca="false">IF(2&gt;Debt_Yr,0,IF(2=Debt_Yr,D3226,MIN(D3226,(D1105+D1408+D1711+D2317)*Cash_Sweep)))</f>
        <v>0</v>
      </c>
      <c r="E3529" s="99" t="n">
        <f aca="false">IF(3&gt;Debt_Yr,0,IF(3=Debt_Yr,E3226,MIN(E3226,(E1105+E1408+E1711+E2317)*Cash_Sweep)))</f>
        <v>0</v>
      </c>
      <c r="F3529" s="99" t="n">
        <f aca="false">IF(4&gt;Debt_Yr,0,IF(4=Debt_Yr,F3226,MIN(F3226,(F1105+F1408+F1711+F2317)*Cash_Sweep)))</f>
        <v>0</v>
      </c>
      <c r="G3529" s="99" t="n">
        <f aca="false">IF(5&gt;Debt_Yr,0,IF(5=Debt_Yr,G3226,MIN(G3226,(G1105+G1408+G1711+G2317)*Cash_Sweep)))</f>
        <v>0</v>
      </c>
      <c r="H3529" s="99" t="n">
        <f aca="false">IF(6&gt;Debt_Yr,0,IF(6=Debt_Yr,H3226,MIN(H3226,(H1105+H1408+H1711+H2317)*Cash_Sweep)))</f>
        <v>0</v>
      </c>
      <c r="I3529" s="99" t="n">
        <f aca="false">IF(7&gt;Debt_Yr,0,IF(7=Debt_Yr,I3226,MIN(I3226,(I1105+I1408+I1711+I2317)*Cash_Sweep)))</f>
        <v>0</v>
      </c>
      <c r="J3529" s="99" t="n">
        <f aca="false">IF(8&gt;Debt_Yr,0,IF(8=Debt_Yr,J3226,MIN(J3226,(J1105+J1408+J1711+J2317)*Cash_Sweep)))</f>
        <v>0</v>
      </c>
      <c r="K3529" s="99" t="n">
        <f aca="false">IF(9&gt;Debt_Yr,0,IF(9=Debt_Yr,K3226,MIN(K3226,(K1105+K1408+K1711+K2317)*Cash_Sweep)))</f>
        <v>0</v>
      </c>
      <c r="L3529" s="99" t="n">
        <f aca="false">IF(10&gt;Debt_Yr,0,IF(10=Debt_Yr,L3226,MIN(L3226,(L1105+L1408+L1711+L2317)*Cash_Sweep)))</f>
        <v>0</v>
      </c>
    </row>
    <row r="3530" customFormat="false" ht="15" hidden="false" customHeight="false" outlineLevel="0" collapsed="false">
      <c r="B3530" s="108" t="n">
        <f aca="false">'Loan Tape'!$A193</f>
        <v>0</v>
      </c>
      <c r="C3530" s="71" t="n">
        <f aca="false">IF(1&gt;Debt_Yr,0,IF(1=Debt_Yr,C3227,MIN(C3227,(C1106+C1409+C1712+C2318)*Cash_Sweep)))</f>
        <v>0</v>
      </c>
      <c r="D3530" s="71" t="n">
        <f aca="false">IF(2&gt;Debt_Yr,0,IF(2=Debt_Yr,D3227,MIN(D3227,(D1106+D1409+D1712+D2318)*Cash_Sweep)))</f>
        <v>0</v>
      </c>
      <c r="E3530" s="71" t="n">
        <f aca="false">IF(3&gt;Debt_Yr,0,IF(3=Debt_Yr,E3227,MIN(E3227,(E1106+E1409+E1712+E2318)*Cash_Sweep)))</f>
        <v>0</v>
      </c>
      <c r="F3530" s="71" t="n">
        <f aca="false">IF(4&gt;Debt_Yr,0,IF(4=Debt_Yr,F3227,MIN(F3227,(F1106+F1409+F1712+F2318)*Cash_Sweep)))</f>
        <v>0</v>
      </c>
      <c r="G3530" s="71" t="n">
        <f aca="false">IF(5&gt;Debt_Yr,0,IF(5=Debt_Yr,G3227,MIN(G3227,(G1106+G1409+G1712+G2318)*Cash_Sweep)))</f>
        <v>0</v>
      </c>
      <c r="H3530" s="71" t="n">
        <f aca="false">IF(6&gt;Debt_Yr,0,IF(6=Debt_Yr,H3227,MIN(H3227,(H1106+H1409+H1712+H2318)*Cash_Sweep)))</f>
        <v>0</v>
      </c>
      <c r="I3530" s="71" t="n">
        <f aca="false">IF(7&gt;Debt_Yr,0,IF(7=Debt_Yr,I3227,MIN(I3227,(I1106+I1409+I1712+I2318)*Cash_Sweep)))</f>
        <v>0</v>
      </c>
      <c r="J3530" s="71" t="n">
        <f aca="false">IF(8&gt;Debt_Yr,0,IF(8=Debt_Yr,J3227,MIN(J3227,(J1106+J1409+J1712+J2318)*Cash_Sweep)))</f>
        <v>0</v>
      </c>
      <c r="K3530" s="71" t="n">
        <f aca="false">IF(9&gt;Debt_Yr,0,IF(9=Debt_Yr,K3227,MIN(K3227,(K1106+K1409+K1712+K2318)*Cash_Sweep)))</f>
        <v>0</v>
      </c>
      <c r="L3530" s="71" t="n">
        <f aca="false">IF(10&gt;Debt_Yr,0,IF(10=Debt_Yr,L3227,MIN(L3227,(L1106+L1409+L1712+L2318)*Cash_Sweep)))</f>
        <v>0</v>
      </c>
    </row>
    <row r="3531" customFormat="false" ht="15" hidden="false" customHeight="false" outlineLevel="0" collapsed="false">
      <c r="B3531" s="102" t="n">
        <f aca="false">'Loan Tape'!$A194</f>
        <v>0</v>
      </c>
      <c r="C3531" s="99" t="n">
        <f aca="false">IF(1&gt;Debt_Yr,0,IF(1=Debt_Yr,C3228,MIN(C3228,(C1107+C1410+C1713+C2319)*Cash_Sweep)))</f>
        <v>0</v>
      </c>
      <c r="D3531" s="99" t="n">
        <f aca="false">IF(2&gt;Debt_Yr,0,IF(2=Debt_Yr,D3228,MIN(D3228,(D1107+D1410+D1713+D2319)*Cash_Sweep)))</f>
        <v>0</v>
      </c>
      <c r="E3531" s="99" t="n">
        <f aca="false">IF(3&gt;Debt_Yr,0,IF(3=Debt_Yr,E3228,MIN(E3228,(E1107+E1410+E1713+E2319)*Cash_Sweep)))</f>
        <v>0</v>
      </c>
      <c r="F3531" s="99" t="n">
        <f aca="false">IF(4&gt;Debt_Yr,0,IF(4=Debt_Yr,F3228,MIN(F3228,(F1107+F1410+F1713+F2319)*Cash_Sweep)))</f>
        <v>0</v>
      </c>
      <c r="G3531" s="99" t="n">
        <f aca="false">IF(5&gt;Debt_Yr,0,IF(5=Debt_Yr,G3228,MIN(G3228,(G1107+G1410+G1713+G2319)*Cash_Sweep)))</f>
        <v>0</v>
      </c>
      <c r="H3531" s="99" t="n">
        <f aca="false">IF(6&gt;Debt_Yr,0,IF(6=Debt_Yr,H3228,MIN(H3228,(H1107+H1410+H1713+H2319)*Cash_Sweep)))</f>
        <v>0</v>
      </c>
      <c r="I3531" s="99" t="n">
        <f aca="false">IF(7&gt;Debt_Yr,0,IF(7=Debt_Yr,I3228,MIN(I3228,(I1107+I1410+I1713+I2319)*Cash_Sweep)))</f>
        <v>0</v>
      </c>
      <c r="J3531" s="99" t="n">
        <f aca="false">IF(8&gt;Debt_Yr,0,IF(8=Debt_Yr,J3228,MIN(J3228,(J1107+J1410+J1713+J2319)*Cash_Sweep)))</f>
        <v>0</v>
      </c>
      <c r="K3531" s="99" t="n">
        <f aca="false">IF(9&gt;Debt_Yr,0,IF(9=Debt_Yr,K3228,MIN(K3228,(K1107+K1410+K1713+K2319)*Cash_Sweep)))</f>
        <v>0</v>
      </c>
      <c r="L3531" s="99" t="n">
        <f aca="false">IF(10&gt;Debt_Yr,0,IF(10=Debt_Yr,L3228,MIN(L3228,(L1107+L1410+L1713+L2319)*Cash_Sweep)))</f>
        <v>0</v>
      </c>
    </row>
    <row r="3532" customFormat="false" ht="15" hidden="false" customHeight="false" outlineLevel="0" collapsed="false">
      <c r="B3532" s="108" t="n">
        <f aca="false">'Loan Tape'!$A195</f>
        <v>0</v>
      </c>
      <c r="C3532" s="71" t="n">
        <f aca="false">IF(1&gt;Debt_Yr,0,IF(1=Debt_Yr,C3229,MIN(C3229,(C1108+C1411+C1714+C2320)*Cash_Sweep)))</f>
        <v>0</v>
      </c>
      <c r="D3532" s="71" t="n">
        <f aca="false">IF(2&gt;Debt_Yr,0,IF(2=Debt_Yr,D3229,MIN(D3229,(D1108+D1411+D1714+D2320)*Cash_Sweep)))</f>
        <v>0</v>
      </c>
      <c r="E3532" s="71" t="n">
        <f aca="false">IF(3&gt;Debt_Yr,0,IF(3=Debt_Yr,E3229,MIN(E3229,(E1108+E1411+E1714+E2320)*Cash_Sweep)))</f>
        <v>0</v>
      </c>
      <c r="F3532" s="71" t="n">
        <f aca="false">IF(4&gt;Debt_Yr,0,IF(4=Debt_Yr,F3229,MIN(F3229,(F1108+F1411+F1714+F2320)*Cash_Sweep)))</f>
        <v>0</v>
      </c>
      <c r="G3532" s="71" t="n">
        <f aca="false">IF(5&gt;Debt_Yr,0,IF(5=Debt_Yr,G3229,MIN(G3229,(G1108+G1411+G1714+G2320)*Cash_Sweep)))</f>
        <v>0</v>
      </c>
      <c r="H3532" s="71" t="n">
        <f aca="false">IF(6&gt;Debt_Yr,0,IF(6=Debt_Yr,H3229,MIN(H3229,(H1108+H1411+H1714+H2320)*Cash_Sweep)))</f>
        <v>0</v>
      </c>
      <c r="I3532" s="71" t="n">
        <f aca="false">IF(7&gt;Debt_Yr,0,IF(7=Debt_Yr,I3229,MIN(I3229,(I1108+I1411+I1714+I2320)*Cash_Sweep)))</f>
        <v>0</v>
      </c>
      <c r="J3532" s="71" t="n">
        <f aca="false">IF(8&gt;Debt_Yr,0,IF(8=Debt_Yr,J3229,MIN(J3229,(J1108+J1411+J1714+J2320)*Cash_Sweep)))</f>
        <v>0</v>
      </c>
      <c r="K3532" s="71" t="n">
        <f aca="false">IF(9&gt;Debt_Yr,0,IF(9=Debt_Yr,K3229,MIN(K3229,(K1108+K1411+K1714+K2320)*Cash_Sweep)))</f>
        <v>0</v>
      </c>
      <c r="L3532" s="71" t="n">
        <f aca="false">IF(10&gt;Debt_Yr,0,IF(10=Debt_Yr,L3229,MIN(L3229,(L1108+L1411+L1714+L2320)*Cash_Sweep)))</f>
        <v>0</v>
      </c>
    </row>
    <row r="3533" customFormat="false" ht="15" hidden="false" customHeight="false" outlineLevel="0" collapsed="false">
      <c r="B3533" s="102" t="n">
        <f aca="false">'Loan Tape'!$A196</f>
        <v>0</v>
      </c>
      <c r="C3533" s="99" t="n">
        <f aca="false">IF(1&gt;Debt_Yr,0,IF(1=Debt_Yr,C3230,MIN(C3230,(C1109+C1412+C1715+C2321)*Cash_Sweep)))</f>
        <v>0</v>
      </c>
      <c r="D3533" s="99" t="n">
        <f aca="false">IF(2&gt;Debt_Yr,0,IF(2=Debt_Yr,D3230,MIN(D3230,(D1109+D1412+D1715+D2321)*Cash_Sweep)))</f>
        <v>0</v>
      </c>
      <c r="E3533" s="99" t="n">
        <f aca="false">IF(3&gt;Debt_Yr,0,IF(3=Debt_Yr,E3230,MIN(E3230,(E1109+E1412+E1715+E2321)*Cash_Sweep)))</f>
        <v>0</v>
      </c>
      <c r="F3533" s="99" t="n">
        <f aca="false">IF(4&gt;Debt_Yr,0,IF(4=Debt_Yr,F3230,MIN(F3230,(F1109+F1412+F1715+F2321)*Cash_Sweep)))</f>
        <v>0</v>
      </c>
      <c r="G3533" s="99" t="n">
        <f aca="false">IF(5&gt;Debt_Yr,0,IF(5=Debt_Yr,G3230,MIN(G3230,(G1109+G1412+G1715+G2321)*Cash_Sweep)))</f>
        <v>0</v>
      </c>
      <c r="H3533" s="99" t="n">
        <f aca="false">IF(6&gt;Debt_Yr,0,IF(6=Debt_Yr,H3230,MIN(H3230,(H1109+H1412+H1715+H2321)*Cash_Sweep)))</f>
        <v>0</v>
      </c>
      <c r="I3533" s="99" t="n">
        <f aca="false">IF(7&gt;Debt_Yr,0,IF(7=Debt_Yr,I3230,MIN(I3230,(I1109+I1412+I1715+I2321)*Cash_Sweep)))</f>
        <v>0</v>
      </c>
      <c r="J3533" s="99" t="n">
        <f aca="false">IF(8&gt;Debt_Yr,0,IF(8=Debt_Yr,J3230,MIN(J3230,(J1109+J1412+J1715+J2321)*Cash_Sweep)))</f>
        <v>0</v>
      </c>
      <c r="K3533" s="99" t="n">
        <f aca="false">IF(9&gt;Debt_Yr,0,IF(9=Debt_Yr,K3230,MIN(K3230,(K1109+K1412+K1715+K2321)*Cash_Sweep)))</f>
        <v>0</v>
      </c>
      <c r="L3533" s="99" t="n">
        <f aca="false">IF(10&gt;Debt_Yr,0,IF(10=Debt_Yr,L3230,MIN(L3230,(L1109+L1412+L1715+L2321)*Cash_Sweep)))</f>
        <v>0</v>
      </c>
    </row>
    <row r="3534" customFormat="false" ht="15" hidden="false" customHeight="false" outlineLevel="0" collapsed="false">
      <c r="B3534" s="108" t="n">
        <f aca="false">'Loan Tape'!$A197</f>
        <v>0</v>
      </c>
      <c r="C3534" s="71" t="n">
        <f aca="false">IF(1&gt;Debt_Yr,0,IF(1=Debt_Yr,C3231,MIN(C3231,(C1110+C1413+C1716+C2322)*Cash_Sweep)))</f>
        <v>0</v>
      </c>
      <c r="D3534" s="71" t="n">
        <f aca="false">IF(2&gt;Debt_Yr,0,IF(2=Debt_Yr,D3231,MIN(D3231,(D1110+D1413+D1716+D2322)*Cash_Sweep)))</f>
        <v>0</v>
      </c>
      <c r="E3534" s="71" t="n">
        <f aca="false">IF(3&gt;Debt_Yr,0,IF(3=Debt_Yr,E3231,MIN(E3231,(E1110+E1413+E1716+E2322)*Cash_Sweep)))</f>
        <v>0</v>
      </c>
      <c r="F3534" s="71" t="n">
        <f aca="false">IF(4&gt;Debt_Yr,0,IF(4=Debt_Yr,F3231,MIN(F3231,(F1110+F1413+F1716+F2322)*Cash_Sweep)))</f>
        <v>0</v>
      </c>
      <c r="G3534" s="71" t="n">
        <f aca="false">IF(5&gt;Debt_Yr,0,IF(5=Debt_Yr,G3231,MIN(G3231,(G1110+G1413+G1716+G2322)*Cash_Sweep)))</f>
        <v>0</v>
      </c>
      <c r="H3534" s="71" t="n">
        <f aca="false">IF(6&gt;Debt_Yr,0,IF(6=Debt_Yr,H3231,MIN(H3231,(H1110+H1413+H1716+H2322)*Cash_Sweep)))</f>
        <v>0</v>
      </c>
      <c r="I3534" s="71" t="n">
        <f aca="false">IF(7&gt;Debt_Yr,0,IF(7=Debt_Yr,I3231,MIN(I3231,(I1110+I1413+I1716+I2322)*Cash_Sweep)))</f>
        <v>0</v>
      </c>
      <c r="J3534" s="71" t="n">
        <f aca="false">IF(8&gt;Debt_Yr,0,IF(8=Debt_Yr,J3231,MIN(J3231,(J1110+J1413+J1716+J2322)*Cash_Sweep)))</f>
        <v>0</v>
      </c>
      <c r="K3534" s="71" t="n">
        <f aca="false">IF(9&gt;Debt_Yr,0,IF(9=Debt_Yr,K3231,MIN(K3231,(K1110+K1413+K1716+K2322)*Cash_Sweep)))</f>
        <v>0</v>
      </c>
      <c r="L3534" s="71" t="n">
        <f aca="false">IF(10&gt;Debt_Yr,0,IF(10=Debt_Yr,L3231,MIN(L3231,(L1110+L1413+L1716+L2322)*Cash_Sweep)))</f>
        <v>0</v>
      </c>
    </row>
    <row r="3535" customFormat="false" ht="15" hidden="false" customHeight="false" outlineLevel="0" collapsed="false">
      <c r="B3535" s="102" t="n">
        <f aca="false">'Loan Tape'!$A198</f>
        <v>0</v>
      </c>
      <c r="C3535" s="99" t="n">
        <f aca="false">IF(1&gt;Debt_Yr,0,IF(1=Debt_Yr,C3232,MIN(C3232,(C1111+C1414+C1717+C2323)*Cash_Sweep)))</f>
        <v>0</v>
      </c>
      <c r="D3535" s="99" t="n">
        <f aca="false">IF(2&gt;Debt_Yr,0,IF(2=Debt_Yr,D3232,MIN(D3232,(D1111+D1414+D1717+D2323)*Cash_Sweep)))</f>
        <v>0</v>
      </c>
      <c r="E3535" s="99" t="n">
        <f aca="false">IF(3&gt;Debt_Yr,0,IF(3=Debt_Yr,E3232,MIN(E3232,(E1111+E1414+E1717+E2323)*Cash_Sweep)))</f>
        <v>0</v>
      </c>
      <c r="F3535" s="99" t="n">
        <f aca="false">IF(4&gt;Debt_Yr,0,IF(4=Debt_Yr,F3232,MIN(F3232,(F1111+F1414+F1717+F2323)*Cash_Sweep)))</f>
        <v>0</v>
      </c>
      <c r="G3535" s="99" t="n">
        <f aca="false">IF(5&gt;Debt_Yr,0,IF(5=Debt_Yr,G3232,MIN(G3232,(G1111+G1414+G1717+G2323)*Cash_Sweep)))</f>
        <v>0</v>
      </c>
      <c r="H3535" s="99" t="n">
        <f aca="false">IF(6&gt;Debt_Yr,0,IF(6=Debt_Yr,H3232,MIN(H3232,(H1111+H1414+H1717+H2323)*Cash_Sweep)))</f>
        <v>0</v>
      </c>
      <c r="I3535" s="99" t="n">
        <f aca="false">IF(7&gt;Debt_Yr,0,IF(7=Debt_Yr,I3232,MIN(I3232,(I1111+I1414+I1717+I2323)*Cash_Sweep)))</f>
        <v>0</v>
      </c>
      <c r="J3535" s="99" t="n">
        <f aca="false">IF(8&gt;Debt_Yr,0,IF(8=Debt_Yr,J3232,MIN(J3232,(J1111+J1414+J1717+J2323)*Cash_Sweep)))</f>
        <v>0</v>
      </c>
      <c r="K3535" s="99" t="n">
        <f aca="false">IF(9&gt;Debt_Yr,0,IF(9=Debt_Yr,K3232,MIN(K3232,(K1111+K1414+K1717+K2323)*Cash_Sweep)))</f>
        <v>0</v>
      </c>
      <c r="L3535" s="99" t="n">
        <f aca="false">IF(10&gt;Debt_Yr,0,IF(10=Debt_Yr,L3232,MIN(L3232,(L1111+L1414+L1717+L2323)*Cash_Sweep)))</f>
        <v>0</v>
      </c>
    </row>
    <row r="3536" customFormat="false" ht="15" hidden="false" customHeight="false" outlineLevel="0" collapsed="false">
      <c r="B3536" s="108" t="n">
        <f aca="false">'Loan Tape'!$A199</f>
        <v>0</v>
      </c>
      <c r="C3536" s="71" t="n">
        <f aca="false">IF(1&gt;Debt_Yr,0,IF(1=Debt_Yr,C3233,MIN(C3233,(C1112+C1415+C1718+C2324)*Cash_Sweep)))</f>
        <v>0</v>
      </c>
      <c r="D3536" s="71" t="n">
        <f aca="false">IF(2&gt;Debt_Yr,0,IF(2=Debt_Yr,D3233,MIN(D3233,(D1112+D1415+D1718+D2324)*Cash_Sweep)))</f>
        <v>0</v>
      </c>
      <c r="E3536" s="71" t="n">
        <f aca="false">IF(3&gt;Debt_Yr,0,IF(3=Debt_Yr,E3233,MIN(E3233,(E1112+E1415+E1718+E2324)*Cash_Sweep)))</f>
        <v>0</v>
      </c>
      <c r="F3536" s="71" t="n">
        <f aca="false">IF(4&gt;Debt_Yr,0,IF(4=Debt_Yr,F3233,MIN(F3233,(F1112+F1415+F1718+F2324)*Cash_Sweep)))</f>
        <v>0</v>
      </c>
      <c r="G3536" s="71" t="n">
        <f aca="false">IF(5&gt;Debt_Yr,0,IF(5=Debt_Yr,G3233,MIN(G3233,(G1112+G1415+G1718+G2324)*Cash_Sweep)))</f>
        <v>0</v>
      </c>
      <c r="H3536" s="71" t="n">
        <f aca="false">IF(6&gt;Debt_Yr,0,IF(6=Debt_Yr,H3233,MIN(H3233,(H1112+H1415+H1718+H2324)*Cash_Sweep)))</f>
        <v>0</v>
      </c>
      <c r="I3536" s="71" t="n">
        <f aca="false">IF(7&gt;Debt_Yr,0,IF(7=Debt_Yr,I3233,MIN(I3233,(I1112+I1415+I1718+I2324)*Cash_Sweep)))</f>
        <v>0</v>
      </c>
      <c r="J3536" s="71" t="n">
        <f aca="false">IF(8&gt;Debt_Yr,0,IF(8=Debt_Yr,J3233,MIN(J3233,(J1112+J1415+J1718+J2324)*Cash_Sweep)))</f>
        <v>0</v>
      </c>
      <c r="K3536" s="71" t="n">
        <f aca="false">IF(9&gt;Debt_Yr,0,IF(9=Debt_Yr,K3233,MIN(K3233,(K1112+K1415+K1718+K2324)*Cash_Sweep)))</f>
        <v>0</v>
      </c>
      <c r="L3536" s="71" t="n">
        <f aca="false">IF(10&gt;Debt_Yr,0,IF(10=Debt_Yr,L3233,MIN(L3233,(L1112+L1415+L1718+L2324)*Cash_Sweep)))</f>
        <v>0</v>
      </c>
    </row>
    <row r="3537" customFormat="false" ht="15" hidden="false" customHeight="false" outlineLevel="0" collapsed="false">
      <c r="B3537" s="102" t="n">
        <f aca="false">'Loan Tape'!$A200</f>
        <v>0</v>
      </c>
      <c r="C3537" s="99" t="n">
        <f aca="false">IF(1&gt;Debt_Yr,0,IF(1=Debt_Yr,C3234,MIN(C3234,(C1113+C1416+C1719+C2325)*Cash_Sweep)))</f>
        <v>0</v>
      </c>
      <c r="D3537" s="99" t="n">
        <f aca="false">IF(2&gt;Debt_Yr,0,IF(2=Debt_Yr,D3234,MIN(D3234,(D1113+D1416+D1719+D2325)*Cash_Sweep)))</f>
        <v>0</v>
      </c>
      <c r="E3537" s="99" t="n">
        <f aca="false">IF(3&gt;Debt_Yr,0,IF(3=Debt_Yr,E3234,MIN(E3234,(E1113+E1416+E1719+E2325)*Cash_Sweep)))</f>
        <v>0</v>
      </c>
      <c r="F3537" s="99" t="n">
        <f aca="false">IF(4&gt;Debt_Yr,0,IF(4=Debt_Yr,F3234,MIN(F3234,(F1113+F1416+F1719+F2325)*Cash_Sweep)))</f>
        <v>0</v>
      </c>
      <c r="G3537" s="99" t="n">
        <f aca="false">IF(5&gt;Debt_Yr,0,IF(5=Debt_Yr,G3234,MIN(G3234,(G1113+G1416+G1719+G2325)*Cash_Sweep)))</f>
        <v>0</v>
      </c>
      <c r="H3537" s="99" t="n">
        <f aca="false">IF(6&gt;Debt_Yr,0,IF(6=Debt_Yr,H3234,MIN(H3234,(H1113+H1416+H1719+H2325)*Cash_Sweep)))</f>
        <v>0</v>
      </c>
      <c r="I3537" s="99" t="n">
        <f aca="false">IF(7&gt;Debt_Yr,0,IF(7=Debt_Yr,I3234,MIN(I3234,(I1113+I1416+I1719+I2325)*Cash_Sweep)))</f>
        <v>0</v>
      </c>
      <c r="J3537" s="99" t="n">
        <f aca="false">IF(8&gt;Debt_Yr,0,IF(8=Debt_Yr,J3234,MIN(J3234,(J1113+J1416+J1719+J2325)*Cash_Sweep)))</f>
        <v>0</v>
      </c>
      <c r="K3537" s="99" t="n">
        <f aca="false">IF(9&gt;Debt_Yr,0,IF(9=Debt_Yr,K3234,MIN(K3234,(K1113+K1416+K1719+K2325)*Cash_Sweep)))</f>
        <v>0</v>
      </c>
      <c r="L3537" s="99" t="n">
        <f aca="false">IF(10&gt;Debt_Yr,0,IF(10=Debt_Yr,L3234,MIN(L3234,(L1113+L1416+L1719+L2325)*Cash_Sweep)))</f>
        <v>0</v>
      </c>
    </row>
    <row r="3538" customFormat="false" ht="15" hidden="false" customHeight="false" outlineLevel="0" collapsed="false">
      <c r="B3538" s="108" t="n">
        <f aca="false">'Loan Tape'!$A201</f>
        <v>0</v>
      </c>
      <c r="C3538" s="71" t="n">
        <f aca="false">IF(1&gt;Debt_Yr,0,IF(1=Debt_Yr,C3235,MIN(C3235,(C1114+C1417+C1720+C2326)*Cash_Sweep)))</f>
        <v>0</v>
      </c>
      <c r="D3538" s="71" t="n">
        <f aca="false">IF(2&gt;Debt_Yr,0,IF(2=Debt_Yr,D3235,MIN(D3235,(D1114+D1417+D1720+D2326)*Cash_Sweep)))</f>
        <v>0</v>
      </c>
      <c r="E3538" s="71" t="n">
        <f aca="false">IF(3&gt;Debt_Yr,0,IF(3=Debt_Yr,E3235,MIN(E3235,(E1114+E1417+E1720+E2326)*Cash_Sweep)))</f>
        <v>0</v>
      </c>
      <c r="F3538" s="71" t="n">
        <f aca="false">IF(4&gt;Debt_Yr,0,IF(4=Debt_Yr,F3235,MIN(F3235,(F1114+F1417+F1720+F2326)*Cash_Sweep)))</f>
        <v>0</v>
      </c>
      <c r="G3538" s="71" t="n">
        <f aca="false">IF(5&gt;Debt_Yr,0,IF(5=Debt_Yr,G3235,MIN(G3235,(G1114+G1417+G1720+G2326)*Cash_Sweep)))</f>
        <v>0</v>
      </c>
      <c r="H3538" s="71" t="n">
        <f aca="false">IF(6&gt;Debt_Yr,0,IF(6=Debt_Yr,H3235,MIN(H3235,(H1114+H1417+H1720+H2326)*Cash_Sweep)))</f>
        <v>0</v>
      </c>
      <c r="I3538" s="71" t="n">
        <f aca="false">IF(7&gt;Debt_Yr,0,IF(7=Debt_Yr,I3235,MIN(I3235,(I1114+I1417+I1720+I2326)*Cash_Sweep)))</f>
        <v>0</v>
      </c>
      <c r="J3538" s="71" t="n">
        <f aca="false">IF(8&gt;Debt_Yr,0,IF(8=Debt_Yr,J3235,MIN(J3235,(J1114+J1417+J1720+J2326)*Cash_Sweep)))</f>
        <v>0</v>
      </c>
      <c r="K3538" s="71" t="n">
        <f aca="false">IF(9&gt;Debt_Yr,0,IF(9=Debt_Yr,K3235,MIN(K3235,(K1114+K1417+K1720+K2326)*Cash_Sweep)))</f>
        <v>0</v>
      </c>
      <c r="L3538" s="71" t="n">
        <f aca="false">IF(10&gt;Debt_Yr,0,IF(10=Debt_Yr,L3235,MIN(L3235,(L1114+L1417+L1720+L2326)*Cash_Sweep)))</f>
        <v>0</v>
      </c>
    </row>
    <row r="3539" customFormat="false" ht="15" hidden="false" customHeight="false" outlineLevel="0" collapsed="false">
      <c r="B3539" s="102" t="n">
        <f aca="false">'Loan Tape'!$A202</f>
        <v>0</v>
      </c>
      <c r="C3539" s="99" t="n">
        <f aca="false">IF(1&gt;Debt_Yr,0,IF(1=Debt_Yr,C3236,MIN(C3236,(C1115+C1418+C1721+C2327)*Cash_Sweep)))</f>
        <v>0</v>
      </c>
      <c r="D3539" s="99" t="n">
        <f aca="false">IF(2&gt;Debt_Yr,0,IF(2=Debt_Yr,D3236,MIN(D3236,(D1115+D1418+D1721+D2327)*Cash_Sweep)))</f>
        <v>0</v>
      </c>
      <c r="E3539" s="99" t="n">
        <f aca="false">IF(3&gt;Debt_Yr,0,IF(3=Debt_Yr,E3236,MIN(E3236,(E1115+E1418+E1721+E2327)*Cash_Sweep)))</f>
        <v>0</v>
      </c>
      <c r="F3539" s="99" t="n">
        <f aca="false">IF(4&gt;Debt_Yr,0,IF(4=Debt_Yr,F3236,MIN(F3236,(F1115+F1418+F1721+F2327)*Cash_Sweep)))</f>
        <v>0</v>
      </c>
      <c r="G3539" s="99" t="n">
        <f aca="false">IF(5&gt;Debt_Yr,0,IF(5=Debt_Yr,G3236,MIN(G3236,(G1115+G1418+G1721+G2327)*Cash_Sweep)))</f>
        <v>0</v>
      </c>
      <c r="H3539" s="99" t="n">
        <f aca="false">IF(6&gt;Debt_Yr,0,IF(6=Debt_Yr,H3236,MIN(H3236,(H1115+H1418+H1721+H2327)*Cash_Sweep)))</f>
        <v>0</v>
      </c>
      <c r="I3539" s="99" t="n">
        <f aca="false">IF(7&gt;Debt_Yr,0,IF(7=Debt_Yr,I3236,MIN(I3236,(I1115+I1418+I1721+I2327)*Cash_Sweep)))</f>
        <v>0</v>
      </c>
      <c r="J3539" s="99" t="n">
        <f aca="false">IF(8&gt;Debt_Yr,0,IF(8=Debt_Yr,J3236,MIN(J3236,(J1115+J1418+J1721+J2327)*Cash_Sweep)))</f>
        <v>0</v>
      </c>
      <c r="K3539" s="99" t="n">
        <f aca="false">IF(9&gt;Debt_Yr,0,IF(9=Debt_Yr,K3236,MIN(K3236,(K1115+K1418+K1721+K2327)*Cash_Sweep)))</f>
        <v>0</v>
      </c>
      <c r="L3539" s="99" t="n">
        <f aca="false">IF(10&gt;Debt_Yr,0,IF(10=Debt_Yr,L3236,MIN(L3236,(L1115+L1418+L1721+L2327)*Cash_Sweep)))</f>
        <v>0</v>
      </c>
    </row>
    <row r="3540" customFormat="false" ht="15" hidden="false" customHeight="false" outlineLevel="0" collapsed="false">
      <c r="B3540" s="108" t="n">
        <f aca="false">'Loan Tape'!$A203</f>
        <v>0</v>
      </c>
      <c r="C3540" s="71" t="n">
        <f aca="false">IF(1&gt;Debt_Yr,0,IF(1=Debt_Yr,C3237,MIN(C3237,(C1116+C1419+C1722+C2328)*Cash_Sweep)))</f>
        <v>0</v>
      </c>
      <c r="D3540" s="71" t="n">
        <f aca="false">IF(2&gt;Debt_Yr,0,IF(2=Debt_Yr,D3237,MIN(D3237,(D1116+D1419+D1722+D2328)*Cash_Sweep)))</f>
        <v>0</v>
      </c>
      <c r="E3540" s="71" t="n">
        <f aca="false">IF(3&gt;Debt_Yr,0,IF(3=Debt_Yr,E3237,MIN(E3237,(E1116+E1419+E1722+E2328)*Cash_Sweep)))</f>
        <v>0</v>
      </c>
      <c r="F3540" s="71" t="n">
        <f aca="false">IF(4&gt;Debt_Yr,0,IF(4=Debt_Yr,F3237,MIN(F3237,(F1116+F1419+F1722+F2328)*Cash_Sweep)))</f>
        <v>0</v>
      </c>
      <c r="G3540" s="71" t="n">
        <f aca="false">IF(5&gt;Debt_Yr,0,IF(5=Debt_Yr,G3237,MIN(G3237,(G1116+G1419+G1722+G2328)*Cash_Sweep)))</f>
        <v>0</v>
      </c>
      <c r="H3540" s="71" t="n">
        <f aca="false">IF(6&gt;Debt_Yr,0,IF(6=Debt_Yr,H3237,MIN(H3237,(H1116+H1419+H1722+H2328)*Cash_Sweep)))</f>
        <v>0</v>
      </c>
      <c r="I3540" s="71" t="n">
        <f aca="false">IF(7&gt;Debt_Yr,0,IF(7=Debt_Yr,I3237,MIN(I3237,(I1116+I1419+I1722+I2328)*Cash_Sweep)))</f>
        <v>0</v>
      </c>
      <c r="J3540" s="71" t="n">
        <f aca="false">IF(8&gt;Debt_Yr,0,IF(8=Debt_Yr,J3237,MIN(J3237,(J1116+J1419+J1722+J2328)*Cash_Sweep)))</f>
        <v>0</v>
      </c>
      <c r="K3540" s="71" t="n">
        <f aca="false">IF(9&gt;Debt_Yr,0,IF(9=Debt_Yr,K3237,MIN(K3237,(K1116+K1419+K1722+K2328)*Cash_Sweep)))</f>
        <v>0</v>
      </c>
      <c r="L3540" s="71" t="n">
        <f aca="false">IF(10&gt;Debt_Yr,0,IF(10=Debt_Yr,L3237,MIN(L3237,(L1116+L1419+L1722+L2328)*Cash_Sweep)))</f>
        <v>0</v>
      </c>
    </row>
    <row r="3541" customFormat="false" ht="15" hidden="false" customHeight="false" outlineLevel="0" collapsed="false">
      <c r="B3541" s="102" t="n">
        <f aca="false">'Loan Tape'!$A204</f>
        <v>0</v>
      </c>
      <c r="C3541" s="99" t="n">
        <f aca="false">IF(1&gt;Debt_Yr,0,IF(1=Debt_Yr,C3238,MIN(C3238,(C1117+C1420+C1723+C2329)*Cash_Sweep)))</f>
        <v>0</v>
      </c>
      <c r="D3541" s="99" t="n">
        <f aca="false">IF(2&gt;Debt_Yr,0,IF(2=Debt_Yr,D3238,MIN(D3238,(D1117+D1420+D1723+D2329)*Cash_Sweep)))</f>
        <v>0</v>
      </c>
      <c r="E3541" s="99" t="n">
        <f aca="false">IF(3&gt;Debt_Yr,0,IF(3=Debt_Yr,E3238,MIN(E3238,(E1117+E1420+E1723+E2329)*Cash_Sweep)))</f>
        <v>0</v>
      </c>
      <c r="F3541" s="99" t="n">
        <f aca="false">IF(4&gt;Debt_Yr,0,IF(4=Debt_Yr,F3238,MIN(F3238,(F1117+F1420+F1723+F2329)*Cash_Sweep)))</f>
        <v>0</v>
      </c>
      <c r="G3541" s="99" t="n">
        <f aca="false">IF(5&gt;Debt_Yr,0,IF(5=Debt_Yr,G3238,MIN(G3238,(G1117+G1420+G1723+G2329)*Cash_Sweep)))</f>
        <v>0</v>
      </c>
      <c r="H3541" s="99" t="n">
        <f aca="false">IF(6&gt;Debt_Yr,0,IF(6=Debt_Yr,H3238,MIN(H3238,(H1117+H1420+H1723+H2329)*Cash_Sweep)))</f>
        <v>0</v>
      </c>
      <c r="I3541" s="99" t="n">
        <f aca="false">IF(7&gt;Debt_Yr,0,IF(7=Debt_Yr,I3238,MIN(I3238,(I1117+I1420+I1723+I2329)*Cash_Sweep)))</f>
        <v>0</v>
      </c>
      <c r="J3541" s="99" t="n">
        <f aca="false">IF(8&gt;Debt_Yr,0,IF(8=Debt_Yr,J3238,MIN(J3238,(J1117+J1420+J1723+J2329)*Cash_Sweep)))</f>
        <v>0</v>
      </c>
      <c r="K3541" s="99" t="n">
        <f aca="false">IF(9&gt;Debt_Yr,0,IF(9=Debt_Yr,K3238,MIN(K3238,(K1117+K1420+K1723+K2329)*Cash_Sweep)))</f>
        <v>0</v>
      </c>
      <c r="L3541" s="99" t="n">
        <f aca="false">IF(10&gt;Debt_Yr,0,IF(10=Debt_Yr,L3238,MIN(L3238,(L1117+L1420+L1723+L2329)*Cash_Sweep)))</f>
        <v>0</v>
      </c>
    </row>
    <row r="3542" customFormat="false" ht="15" hidden="false" customHeight="false" outlineLevel="0" collapsed="false">
      <c r="B3542" s="108" t="n">
        <f aca="false">'Loan Tape'!$A205</f>
        <v>0</v>
      </c>
      <c r="C3542" s="71" t="n">
        <f aca="false">IF(1&gt;Debt_Yr,0,IF(1=Debt_Yr,C3239,MIN(C3239,(C1118+C1421+C1724+C2330)*Cash_Sweep)))</f>
        <v>0</v>
      </c>
      <c r="D3542" s="71" t="n">
        <f aca="false">IF(2&gt;Debt_Yr,0,IF(2=Debt_Yr,D3239,MIN(D3239,(D1118+D1421+D1724+D2330)*Cash_Sweep)))</f>
        <v>0</v>
      </c>
      <c r="E3542" s="71" t="n">
        <f aca="false">IF(3&gt;Debt_Yr,0,IF(3=Debt_Yr,E3239,MIN(E3239,(E1118+E1421+E1724+E2330)*Cash_Sweep)))</f>
        <v>0</v>
      </c>
      <c r="F3542" s="71" t="n">
        <f aca="false">IF(4&gt;Debt_Yr,0,IF(4=Debt_Yr,F3239,MIN(F3239,(F1118+F1421+F1724+F2330)*Cash_Sweep)))</f>
        <v>0</v>
      </c>
      <c r="G3542" s="71" t="n">
        <f aca="false">IF(5&gt;Debt_Yr,0,IF(5=Debt_Yr,G3239,MIN(G3239,(G1118+G1421+G1724+G2330)*Cash_Sweep)))</f>
        <v>0</v>
      </c>
      <c r="H3542" s="71" t="n">
        <f aca="false">IF(6&gt;Debt_Yr,0,IF(6=Debt_Yr,H3239,MIN(H3239,(H1118+H1421+H1724+H2330)*Cash_Sweep)))</f>
        <v>0</v>
      </c>
      <c r="I3542" s="71" t="n">
        <f aca="false">IF(7&gt;Debt_Yr,0,IF(7=Debt_Yr,I3239,MIN(I3239,(I1118+I1421+I1724+I2330)*Cash_Sweep)))</f>
        <v>0</v>
      </c>
      <c r="J3542" s="71" t="n">
        <f aca="false">IF(8&gt;Debt_Yr,0,IF(8=Debt_Yr,J3239,MIN(J3239,(J1118+J1421+J1724+J2330)*Cash_Sweep)))</f>
        <v>0</v>
      </c>
      <c r="K3542" s="71" t="n">
        <f aca="false">IF(9&gt;Debt_Yr,0,IF(9=Debt_Yr,K3239,MIN(K3239,(K1118+K1421+K1724+K2330)*Cash_Sweep)))</f>
        <v>0</v>
      </c>
      <c r="L3542" s="71" t="n">
        <f aca="false">IF(10&gt;Debt_Yr,0,IF(10=Debt_Yr,L3239,MIN(L3239,(L1118+L1421+L1724+L2330)*Cash_Sweep)))</f>
        <v>0</v>
      </c>
    </row>
    <row r="3543" customFormat="false" ht="15" hidden="false" customHeight="false" outlineLevel="0" collapsed="false">
      <c r="B3543" s="102" t="n">
        <f aca="false">'Loan Tape'!$A206</f>
        <v>0</v>
      </c>
      <c r="C3543" s="99" t="n">
        <f aca="false">IF(1&gt;Debt_Yr,0,IF(1=Debt_Yr,C3240,MIN(C3240,(C1119+C1422+C1725+C2331)*Cash_Sweep)))</f>
        <v>0</v>
      </c>
      <c r="D3543" s="99" t="n">
        <f aca="false">IF(2&gt;Debt_Yr,0,IF(2=Debt_Yr,D3240,MIN(D3240,(D1119+D1422+D1725+D2331)*Cash_Sweep)))</f>
        <v>0</v>
      </c>
      <c r="E3543" s="99" t="n">
        <f aca="false">IF(3&gt;Debt_Yr,0,IF(3=Debt_Yr,E3240,MIN(E3240,(E1119+E1422+E1725+E2331)*Cash_Sweep)))</f>
        <v>0</v>
      </c>
      <c r="F3543" s="99" t="n">
        <f aca="false">IF(4&gt;Debt_Yr,0,IF(4=Debt_Yr,F3240,MIN(F3240,(F1119+F1422+F1725+F2331)*Cash_Sweep)))</f>
        <v>0</v>
      </c>
      <c r="G3543" s="99" t="n">
        <f aca="false">IF(5&gt;Debt_Yr,0,IF(5=Debt_Yr,G3240,MIN(G3240,(G1119+G1422+G1725+G2331)*Cash_Sweep)))</f>
        <v>0</v>
      </c>
      <c r="H3543" s="99" t="n">
        <f aca="false">IF(6&gt;Debt_Yr,0,IF(6=Debt_Yr,H3240,MIN(H3240,(H1119+H1422+H1725+H2331)*Cash_Sweep)))</f>
        <v>0</v>
      </c>
      <c r="I3543" s="99" t="n">
        <f aca="false">IF(7&gt;Debt_Yr,0,IF(7=Debt_Yr,I3240,MIN(I3240,(I1119+I1422+I1725+I2331)*Cash_Sweep)))</f>
        <v>0</v>
      </c>
      <c r="J3543" s="99" t="n">
        <f aca="false">IF(8&gt;Debt_Yr,0,IF(8=Debt_Yr,J3240,MIN(J3240,(J1119+J1422+J1725+J2331)*Cash_Sweep)))</f>
        <v>0</v>
      </c>
      <c r="K3543" s="99" t="n">
        <f aca="false">IF(9&gt;Debt_Yr,0,IF(9=Debt_Yr,K3240,MIN(K3240,(K1119+K1422+K1725+K2331)*Cash_Sweep)))</f>
        <v>0</v>
      </c>
      <c r="L3543" s="99" t="n">
        <f aca="false">IF(10&gt;Debt_Yr,0,IF(10=Debt_Yr,L3240,MIN(L3240,(L1119+L1422+L1725+L2331)*Cash_Sweep)))</f>
        <v>0</v>
      </c>
    </row>
    <row r="3544" customFormat="false" ht="15" hidden="false" customHeight="false" outlineLevel="0" collapsed="false">
      <c r="B3544" s="108" t="n">
        <f aca="false">'Loan Tape'!$A207</f>
        <v>0</v>
      </c>
      <c r="C3544" s="71" t="n">
        <f aca="false">IF(1&gt;Debt_Yr,0,IF(1=Debt_Yr,C3241,MIN(C3241,(C1120+C1423+C1726+C2332)*Cash_Sweep)))</f>
        <v>0</v>
      </c>
      <c r="D3544" s="71" t="n">
        <f aca="false">IF(2&gt;Debt_Yr,0,IF(2=Debt_Yr,D3241,MIN(D3241,(D1120+D1423+D1726+D2332)*Cash_Sweep)))</f>
        <v>0</v>
      </c>
      <c r="E3544" s="71" t="n">
        <f aca="false">IF(3&gt;Debt_Yr,0,IF(3=Debt_Yr,E3241,MIN(E3241,(E1120+E1423+E1726+E2332)*Cash_Sweep)))</f>
        <v>0</v>
      </c>
      <c r="F3544" s="71" t="n">
        <f aca="false">IF(4&gt;Debt_Yr,0,IF(4=Debt_Yr,F3241,MIN(F3241,(F1120+F1423+F1726+F2332)*Cash_Sweep)))</f>
        <v>0</v>
      </c>
      <c r="G3544" s="71" t="n">
        <f aca="false">IF(5&gt;Debt_Yr,0,IF(5=Debt_Yr,G3241,MIN(G3241,(G1120+G1423+G1726+G2332)*Cash_Sweep)))</f>
        <v>0</v>
      </c>
      <c r="H3544" s="71" t="n">
        <f aca="false">IF(6&gt;Debt_Yr,0,IF(6=Debt_Yr,H3241,MIN(H3241,(H1120+H1423+H1726+H2332)*Cash_Sweep)))</f>
        <v>0</v>
      </c>
      <c r="I3544" s="71" t="n">
        <f aca="false">IF(7&gt;Debt_Yr,0,IF(7=Debt_Yr,I3241,MIN(I3241,(I1120+I1423+I1726+I2332)*Cash_Sweep)))</f>
        <v>0</v>
      </c>
      <c r="J3544" s="71" t="n">
        <f aca="false">IF(8&gt;Debt_Yr,0,IF(8=Debt_Yr,J3241,MIN(J3241,(J1120+J1423+J1726+J2332)*Cash_Sweep)))</f>
        <v>0</v>
      </c>
      <c r="K3544" s="71" t="n">
        <f aca="false">IF(9&gt;Debt_Yr,0,IF(9=Debt_Yr,K3241,MIN(K3241,(K1120+K1423+K1726+K2332)*Cash_Sweep)))</f>
        <v>0</v>
      </c>
      <c r="L3544" s="71" t="n">
        <f aca="false">IF(10&gt;Debt_Yr,0,IF(10=Debt_Yr,L3241,MIN(L3241,(L1120+L1423+L1726+L2332)*Cash_Sweep)))</f>
        <v>0</v>
      </c>
    </row>
    <row r="3545" customFormat="false" ht="15" hidden="false" customHeight="false" outlineLevel="0" collapsed="false">
      <c r="B3545" s="102" t="n">
        <f aca="false">'Loan Tape'!$A208</f>
        <v>0</v>
      </c>
      <c r="C3545" s="99" t="n">
        <f aca="false">IF(1&gt;Debt_Yr,0,IF(1=Debt_Yr,C3242,MIN(C3242,(C1121+C1424+C1727+C2333)*Cash_Sweep)))</f>
        <v>0</v>
      </c>
      <c r="D3545" s="99" t="n">
        <f aca="false">IF(2&gt;Debt_Yr,0,IF(2=Debt_Yr,D3242,MIN(D3242,(D1121+D1424+D1727+D2333)*Cash_Sweep)))</f>
        <v>0</v>
      </c>
      <c r="E3545" s="99" t="n">
        <f aca="false">IF(3&gt;Debt_Yr,0,IF(3=Debt_Yr,E3242,MIN(E3242,(E1121+E1424+E1727+E2333)*Cash_Sweep)))</f>
        <v>0</v>
      </c>
      <c r="F3545" s="99" t="n">
        <f aca="false">IF(4&gt;Debt_Yr,0,IF(4=Debt_Yr,F3242,MIN(F3242,(F1121+F1424+F1727+F2333)*Cash_Sweep)))</f>
        <v>0</v>
      </c>
      <c r="G3545" s="99" t="n">
        <f aca="false">IF(5&gt;Debt_Yr,0,IF(5=Debt_Yr,G3242,MIN(G3242,(G1121+G1424+G1727+G2333)*Cash_Sweep)))</f>
        <v>0</v>
      </c>
      <c r="H3545" s="99" t="n">
        <f aca="false">IF(6&gt;Debt_Yr,0,IF(6=Debt_Yr,H3242,MIN(H3242,(H1121+H1424+H1727+H2333)*Cash_Sweep)))</f>
        <v>0</v>
      </c>
      <c r="I3545" s="99" t="n">
        <f aca="false">IF(7&gt;Debt_Yr,0,IF(7=Debt_Yr,I3242,MIN(I3242,(I1121+I1424+I1727+I2333)*Cash_Sweep)))</f>
        <v>0</v>
      </c>
      <c r="J3545" s="99" t="n">
        <f aca="false">IF(8&gt;Debt_Yr,0,IF(8=Debt_Yr,J3242,MIN(J3242,(J1121+J1424+J1727+J2333)*Cash_Sweep)))</f>
        <v>0</v>
      </c>
      <c r="K3545" s="99" t="n">
        <f aca="false">IF(9&gt;Debt_Yr,0,IF(9=Debt_Yr,K3242,MIN(K3242,(K1121+K1424+K1727+K2333)*Cash_Sweep)))</f>
        <v>0</v>
      </c>
      <c r="L3545" s="99" t="n">
        <f aca="false">IF(10&gt;Debt_Yr,0,IF(10=Debt_Yr,L3242,MIN(L3242,(L1121+L1424+L1727+L2333)*Cash_Sweep)))</f>
        <v>0</v>
      </c>
    </row>
    <row r="3546" customFormat="false" ht="15" hidden="false" customHeight="false" outlineLevel="0" collapsed="false">
      <c r="B3546" s="108" t="n">
        <f aca="false">'Loan Tape'!$A209</f>
        <v>0</v>
      </c>
      <c r="C3546" s="71" t="n">
        <f aca="false">IF(1&gt;Debt_Yr,0,IF(1=Debt_Yr,C3243,MIN(C3243,(C1122+C1425+C1728+C2334)*Cash_Sweep)))</f>
        <v>0</v>
      </c>
      <c r="D3546" s="71" t="n">
        <f aca="false">IF(2&gt;Debt_Yr,0,IF(2=Debt_Yr,D3243,MIN(D3243,(D1122+D1425+D1728+D2334)*Cash_Sweep)))</f>
        <v>0</v>
      </c>
      <c r="E3546" s="71" t="n">
        <f aca="false">IF(3&gt;Debt_Yr,0,IF(3=Debt_Yr,E3243,MIN(E3243,(E1122+E1425+E1728+E2334)*Cash_Sweep)))</f>
        <v>0</v>
      </c>
      <c r="F3546" s="71" t="n">
        <f aca="false">IF(4&gt;Debt_Yr,0,IF(4=Debt_Yr,F3243,MIN(F3243,(F1122+F1425+F1728+F2334)*Cash_Sweep)))</f>
        <v>0</v>
      </c>
      <c r="G3546" s="71" t="n">
        <f aca="false">IF(5&gt;Debt_Yr,0,IF(5=Debt_Yr,G3243,MIN(G3243,(G1122+G1425+G1728+G2334)*Cash_Sweep)))</f>
        <v>0</v>
      </c>
      <c r="H3546" s="71" t="n">
        <f aca="false">IF(6&gt;Debt_Yr,0,IF(6=Debt_Yr,H3243,MIN(H3243,(H1122+H1425+H1728+H2334)*Cash_Sweep)))</f>
        <v>0</v>
      </c>
      <c r="I3546" s="71" t="n">
        <f aca="false">IF(7&gt;Debt_Yr,0,IF(7=Debt_Yr,I3243,MIN(I3243,(I1122+I1425+I1728+I2334)*Cash_Sweep)))</f>
        <v>0</v>
      </c>
      <c r="J3546" s="71" t="n">
        <f aca="false">IF(8&gt;Debt_Yr,0,IF(8=Debt_Yr,J3243,MIN(J3243,(J1122+J1425+J1728+J2334)*Cash_Sweep)))</f>
        <v>0</v>
      </c>
      <c r="K3546" s="71" t="n">
        <f aca="false">IF(9&gt;Debt_Yr,0,IF(9=Debt_Yr,K3243,MIN(K3243,(K1122+K1425+K1728+K2334)*Cash_Sweep)))</f>
        <v>0</v>
      </c>
      <c r="L3546" s="71" t="n">
        <f aca="false">IF(10&gt;Debt_Yr,0,IF(10=Debt_Yr,L3243,MIN(L3243,(L1122+L1425+L1728+L2334)*Cash_Sweep)))</f>
        <v>0</v>
      </c>
    </row>
    <row r="3547" customFormat="false" ht="15" hidden="false" customHeight="false" outlineLevel="0" collapsed="false">
      <c r="B3547" s="102" t="n">
        <f aca="false">'Loan Tape'!$A210</f>
        <v>0</v>
      </c>
      <c r="C3547" s="99" t="n">
        <f aca="false">IF(1&gt;Debt_Yr,0,IF(1=Debt_Yr,C3244,MIN(C3244,(C1123+C1426+C1729+C2335)*Cash_Sweep)))</f>
        <v>0</v>
      </c>
      <c r="D3547" s="99" t="n">
        <f aca="false">IF(2&gt;Debt_Yr,0,IF(2=Debt_Yr,D3244,MIN(D3244,(D1123+D1426+D1729+D2335)*Cash_Sweep)))</f>
        <v>0</v>
      </c>
      <c r="E3547" s="99" t="n">
        <f aca="false">IF(3&gt;Debt_Yr,0,IF(3=Debt_Yr,E3244,MIN(E3244,(E1123+E1426+E1729+E2335)*Cash_Sweep)))</f>
        <v>0</v>
      </c>
      <c r="F3547" s="99" t="n">
        <f aca="false">IF(4&gt;Debt_Yr,0,IF(4=Debt_Yr,F3244,MIN(F3244,(F1123+F1426+F1729+F2335)*Cash_Sweep)))</f>
        <v>0</v>
      </c>
      <c r="G3547" s="99" t="n">
        <f aca="false">IF(5&gt;Debt_Yr,0,IF(5=Debt_Yr,G3244,MIN(G3244,(G1123+G1426+G1729+G2335)*Cash_Sweep)))</f>
        <v>0</v>
      </c>
      <c r="H3547" s="99" t="n">
        <f aca="false">IF(6&gt;Debt_Yr,0,IF(6=Debt_Yr,H3244,MIN(H3244,(H1123+H1426+H1729+H2335)*Cash_Sweep)))</f>
        <v>0</v>
      </c>
      <c r="I3547" s="99" t="n">
        <f aca="false">IF(7&gt;Debt_Yr,0,IF(7=Debt_Yr,I3244,MIN(I3244,(I1123+I1426+I1729+I2335)*Cash_Sweep)))</f>
        <v>0</v>
      </c>
      <c r="J3547" s="99" t="n">
        <f aca="false">IF(8&gt;Debt_Yr,0,IF(8=Debt_Yr,J3244,MIN(J3244,(J1123+J1426+J1729+J2335)*Cash_Sweep)))</f>
        <v>0</v>
      </c>
      <c r="K3547" s="99" t="n">
        <f aca="false">IF(9&gt;Debt_Yr,0,IF(9=Debt_Yr,K3244,MIN(K3244,(K1123+K1426+K1729+K2335)*Cash_Sweep)))</f>
        <v>0</v>
      </c>
      <c r="L3547" s="99" t="n">
        <f aca="false">IF(10&gt;Debt_Yr,0,IF(10=Debt_Yr,L3244,MIN(L3244,(L1123+L1426+L1729+L2335)*Cash_Sweep)))</f>
        <v>0</v>
      </c>
    </row>
    <row r="3548" customFormat="false" ht="15" hidden="false" customHeight="false" outlineLevel="0" collapsed="false">
      <c r="B3548" s="108" t="n">
        <f aca="false">'Loan Tape'!$A211</f>
        <v>0</v>
      </c>
      <c r="C3548" s="71" t="n">
        <f aca="false">IF(1&gt;Debt_Yr,0,IF(1=Debt_Yr,C3245,MIN(C3245,(C1124+C1427+C1730+C2336)*Cash_Sweep)))</f>
        <v>0</v>
      </c>
      <c r="D3548" s="71" t="n">
        <f aca="false">IF(2&gt;Debt_Yr,0,IF(2=Debt_Yr,D3245,MIN(D3245,(D1124+D1427+D1730+D2336)*Cash_Sweep)))</f>
        <v>0</v>
      </c>
      <c r="E3548" s="71" t="n">
        <f aca="false">IF(3&gt;Debt_Yr,0,IF(3=Debt_Yr,E3245,MIN(E3245,(E1124+E1427+E1730+E2336)*Cash_Sweep)))</f>
        <v>0</v>
      </c>
      <c r="F3548" s="71" t="n">
        <f aca="false">IF(4&gt;Debt_Yr,0,IF(4=Debt_Yr,F3245,MIN(F3245,(F1124+F1427+F1730+F2336)*Cash_Sweep)))</f>
        <v>0</v>
      </c>
      <c r="G3548" s="71" t="n">
        <f aca="false">IF(5&gt;Debt_Yr,0,IF(5=Debt_Yr,G3245,MIN(G3245,(G1124+G1427+G1730+G2336)*Cash_Sweep)))</f>
        <v>0</v>
      </c>
      <c r="H3548" s="71" t="n">
        <f aca="false">IF(6&gt;Debt_Yr,0,IF(6=Debt_Yr,H3245,MIN(H3245,(H1124+H1427+H1730+H2336)*Cash_Sweep)))</f>
        <v>0</v>
      </c>
      <c r="I3548" s="71" t="n">
        <f aca="false">IF(7&gt;Debt_Yr,0,IF(7=Debt_Yr,I3245,MIN(I3245,(I1124+I1427+I1730+I2336)*Cash_Sweep)))</f>
        <v>0</v>
      </c>
      <c r="J3548" s="71" t="n">
        <f aca="false">IF(8&gt;Debt_Yr,0,IF(8=Debt_Yr,J3245,MIN(J3245,(J1124+J1427+J1730+J2336)*Cash_Sweep)))</f>
        <v>0</v>
      </c>
      <c r="K3548" s="71" t="n">
        <f aca="false">IF(9&gt;Debt_Yr,0,IF(9=Debt_Yr,K3245,MIN(K3245,(K1124+K1427+K1730+K2336)*Cash_Sweep)))</f>
        <v>0</v>
      </c>
      <c r="L3548" s="71" t="n">
        <f aca="false">IF(10&gt;Debt_Yr,0,IF(10=Debt_Yr,L3245,MIN(L3245,(L1124+L1427+L1730+L2336)*Cash_Sweep)))</f>
        <v>0</v>
      </c>
    </row>
    <row r="3549" customFormat="false" ht="15" hidden="false" customHeight="false" outlineLevel="0" collapsed="false">
      <c r="B3549" s="102" t="n">
        <f aca="false">'Loan Tape'!$A212</f>
        <v>0</v>
      </c>
      <c r="C3549" s="99" t="n">
        <f aca="false">IF(1&gt;Debt_Yr,0,IF(1=Debt_Yr,C3246,MIN(C3246,(C1125+C1428+C1731+C2337)*Cash_Sweep)))</f>
        <v>0</v>
      </c>
      <c r="D3549" s="99" t="n">
        <f aca="false">IF(2&gt;Debt_Yr,0,IF(2=Debt_Yr,D3246,MIN(D3246,(D1125+D1428+D1731+D2337)*Cash_Sweep)))</f>
        <v>0</v>
      </c>
      <c r="E3549" s="99" t="n">
        <f aca="false">IF(3&gt;Debt_Yr,0,IF(3=Debt_Yr,E3246,MIN(E3246,(E1125+E1428+E1731+E2337)*Cash_Sweep)))</f>
        <v>0</v>
      </c>
      <c r="F3549" s="99" t="n">
        <f aca="false">IF(4&gt;Debt_Yr,0,IF(4=Debt_Yr,F3246,MIN(F3246,(F1125+F1428+F1731+F2337)*Cash_Sweep)))</f>
        <v>0</v>
      </c>
      <c r="G3549" s="99" t="n">
        <f aca="false">IF(5&gt;Debt_Yr,0,IF(5=Debt_Yr,G3246,MIN(G3246,(G1125+G1428+G1731+G2337)*Cash_Sweep)))</f>
        <v>0</v>
      </c>
      <c r="H3549" s="99" t="n">
        <f aca="false">IF(6&gt;Debt_Yr,0,IF(6=Debt_Yr,H3246,MIN(H3246,(H1125+H1428+H1731+H2337)*Cash_Sweep)))</f>
        <v>0</v>
      </c>
      <c r="I3549" s="99" t="n">
        <f aca="false">IF(7&gt;Debt_Yr,0,IF(7=Debt_Yr,I3246,MIN(I3246,(I1125+I1428+I1731+I2337)*Cash_Sweep)))</f>
        <v>0</v>
      </c>
      <c r="J3549" s="99" t="n">
        <f aca="false">IF(8&gt;Debt_Yr,0,IF(8=Debt_Yr,J3246,MIN(J3246,(J1125+J1428+J1731+J2337)*Cash_Sweep)))</f>
        <v>0</v>
      </c>
      <c r="K3549" s="99" t="n">
        <f aca="false">IF(9&gt;Debt_Yr,0,IF(9=Debt_Yr,K3246,MIN(K3246,(K1125+K1428+K1731+K2337)*Cash_Sweep)))</f>
        <v>0</v>
      </c>
      <c r="L3549" s="99" t="n">
        <f aca="false">IF(10&gt;Debt_Yr,0,IF(10=Debt_Yr,L3246,MIN(L3246,(L1125+L1428+L1731+L2337)*Cash_Sweep)))</f>
        <v>0</v>
      </c>
    </row>
    <row r="3550" customFormat="false" ht="15" hidden="false" customHeight="false" outlineLevel="0" collapsed="false">
      <c r="B3550" s="108" t="n">
        <f aca="false">'Loan Tape'!$A213</f>
        <v>0</v>
      </c>
      <c r="C3550" s="71" t="n">
        <f aca="false">IF(1&gt;Debt_Yr,0,IF(1=Debt_Yr,C3247,MIN(C3247,(C1126+C1429+C1732+C2338)*Cash_Sweep)))</f>
        <v>0</v>
      </c>
      <c r="D3550" s="71" t="n">
        <f aca="false">IF(2&gt;Debt_Yr,0,IF(2=Debt_Yr,D3247,MIN(D3247,(D1126+D1429+D1732+D2338)*Cash_Sweep)))</f>
        <v>0</v>
      </c>
      <c r="E3550" s="71" t="n">
        <f aca="false">IF(3&gt;Debt_Yr,0,IF(3=Debt_Yr,E3247,MIN(E3247,(E1126+E1429+E1732+E2338)*Cash_Sweep)))</f>
        <v>0</v>
      </c>
      <c r="F3550" s="71" t="n">
        <f aca="false">IF(4&gt;Debt_Yr,0,IF(4=Debt_Yr,F3247,MIN(F3247,(F1126+F1429+F1732+F2338)*Cash_Sweep)))</f>
        <v>0</v>
      </c>
      <c r="G3550" s="71" t="n">
        <f aca="false">IF(5&gt;Debt_Yr,0,IF(5=Debt_Yr,G3247,MIN(G3247,(G1126+G1429+G1732+G2338)*Cash_Sweep)))</f>
        <v>0</v>
      </c>
      <c r="H3550" s="71" t="n">
        <f aca="false">IF(6&gt;Debt_Yr,0,IF(6=Debt_Yr,H3247,MIN(H3247,(H1126+H1429+H1732+H2338)*Cash_Sweep)))</f>
        <v>0</v>
      </c>
      <c r="I3550" s="71" t="n">
        <f aca="false">IF(7&gt;Debt_Yr,0,IF(7=Debt_Yr,I3247,MIN(I3247,(I1126+I1429+I1732+I2338)*Cash_Sweep)))</f>
        <v>0</v>
      </c>
      <c r="J3550" s="71" t="n">
        <f aca="false">IF(8&gt;Debt_Yr,0,IF(8=Debt_Yr,J3247,MIN(J3247,(J1126+J1429+J1732+J2338)*Cash_Sweep)))</f>
        <v>0</v>
      </c>
      <c r="K3550" s="71" t="n">
        <f aca="false">IF(9&gt;Debt_Yr,0,IF(9=Debt_Yr,K3247,MIN(K3247,(K1126+K1429+K1732+K2338)*Cash_Sweep)))</f>
        <v>0</v>
      </c>
      <c r="L3550" s="71" t="n">
        <f aca="false">IF(10&gt;Debt_Yr,0,IF(10=Debt_Yr,L3247,MIN(L3247,(L1126+L1429+L1732+L2338)*Cash_Sweep)))</f>
        <v>0</v>
      </c>
    </row>
    <row r="3551" customFormat="false" ht="15" hidden="false" customHeight="false" outlineLevel="0" collapsed="false">
      <c r="B3551" s="102" t="n">
        <f aca="false">'Loan Tape'!$A214</f>
        <v>0</v>
      </c>
      <c r="C3551" s="99" t="n">
        <f aca="false">IF(1&gt;Debt_Yr,0,IF(1=Debt_Yr,C3248,MIN(C3248,(C1127+C1430+C1733+C2339)*Cash_Sweep)))</f>
        <v>0</v>
      </c>
      <c r="D3551" s="99" t="n">
        <f aca="false">IF(2&gt;Debt_Yr,0,IF(2=Debt_Yr,D3248,MIN(D3248,(D1127+D1430+D1733+D2339)*Cash_Sweep)))</f>
        <v>0</v>
      </c>
      <c r="E3551" s="99" t="n">
        <f aca="false">IF(3&gt;Debt_Yr,0,IF(3=Debt_Yr,E3248,MIN(E3248,(E1127+E1430+E1733+E2339)*Cash_Sweep)))</f>
        <v>0</v>
      </c>
      <c r="F3551" s="99" t="n">
        <f aca="false">IF(4&gt;Debt_Yr,0,IF(4=Debt_Yr,F3248,MIN(F3248,(F1127+F1430+F1733+F2339)*Cash_Sweep)))</f>
        <v>0</v>
      </c>
      <c r="G3551" s="99" t="n">
        <f aca="false">IF(5&gt;Debt_Yr,0,IF(5=Debt_Yr,G3248,MIN(G3248,(G1127+G1430+G1733+G2339)*Cash_Sweep)))</f>
        <v>0</v>
      </c>
      <c r="H3551" s="99" t="n">
        <f aca="false">IF(6&gt;Debt_Yr,0,IF(6=Debt_Yr,H3248,MIN(H3248,(H1127+H1430+H1733+H2339)*Cash_Sweep)))</f>
        <v>0</v>
      </c>
      <c r="I3551" s="99" t="n">
        <f aca="false">IF(7&gt;Debt_Yr,0,IF(7=Debt_Yr,I3248,MIN(I3248,(I1127+I1430+I1733+I2339)*Cash_Sweep)))</f>
        <v>0</v>
      </c>
      <c r="J3551" s="99" t="n">
        <f aca="false">IF(8&gt;Debt_Yr,0,IF(8=Debt_Yr,J3248,MIN(J3248,(J1127+J1430+J1733+J2339)*Cash_Sweep)))</f>
        <v>0</v>
      </c>
      <c r="K3551" s="99" t="n">
        <f aca="false">IF(9&gt;Debt_Yr,0,IF(9=Debt_Yr,K3248,MIN(K3248,(K1127+K1430+K1733+K2339)*Cash_Sweep)))</f>
        <v>0</v>
      </c>
      <c r="L3551" s="99" t="n">
        <f aca="false">IF(10&gt;Debt_Yr,0,IF(10=Debt_Yr,L3248,MIN(L3248,(L1127+L1430+L1733+L2339)*Cash_Sweep)))</f>
        <v>0</v>
      </c>
    </row>
    <row r="3552" customFormat="false" ht="15" hidden="false" customHeight="false" outlineLevel="0" collapsed="false">
      <c r="B3552" s="108" t="n">
        <f aca="false">'Loan Tape'!$A215</f>
        <v>0</v>
      </c>
      <c r="C3552" s="71" t="n">
        <f aca="false">IF(1&gt;Debt_Yr,0,IF(1=Debt_Yr,C3249,MIN(C3249,(C1128+C1431+C1734+C2340)*Cash_Sweep)))</f>
        <v>0</v>
      </c>
      <c r="D3552" s="71" t="n">
        <f aca="false">IF(2&gt;Debt_Yr,0,IF(2=Debt_Yr,D3249,MIN(D3249,(D1128+D1431+D1734+D2340)*Cash_Sweep)))</f>
        <v>0</v>
      </c>
      <c r="E3552" s="71" t="n">
        <f aca="false">IF(3&gt;Debt_Yr,0,IF(3=Debt_Yr,E3249,MIN(E3249,(E1128+E1431+E1734+E2340)*Cash_Sweep)))</f>
        <v>0</v>
      </c>
      <c r="F3552" s="71" t="n">
        <f aca="false">IF(4&gt;Debt_Yr,0,IF(4=Debt_Yr,F3249,MIN(F3249,(F1128+F1431+F1734+F2340)*Cash_Sweep)))</f>
        <v>0</v>
      </c>
      <c r="G3552" s="71" t="n">
        <f aca="false">IF(5&gt;Debt_Yr,0,IF(5=Debt_Yr,G3249,MIN(G3249,(G1128+G1431+G1734+G2340)*Cash_Sweep)))</f>
        <v>0</v>
      </c>
      <c r="H3552" s="71" t="n">
        <f aca="false">IF(6&gt;Debt_Yr,0,IF(6=Debt_Yr,H3249,MIN(H3249,(H1128+H1431+H1734+H2340)*Cash_Sweep)))</f>
        <v>0</v>
      </c>
      <c r="I3552" s="71" t="n">
        <f aca="false">IF(7&gt;Debt_Yr,0,IF(7=Debt_Yr,I3249,MIN(I3249,(I1128+I1431+I1734+I2340)*Cash_Sweep)))</f>
        <v>0</v>
      </c>
      <c r="J3552" s="71" t="n">
        <f aca="false">IF(8&gt;Debt_Yr,0,IF(8=Debt_Yr,J3249,MIN(J3249,(J1128+J1431+J1734+J2340)*Cash_Sweep)))</f>
        <v>0</v>
      </c>
      <c r="K3552" s="71" t="n">
        <f aca="false">IF(9&gt;Debt_Yr,0,IF(9=Debt_Yr,K3249,MIN(K3249,(K1128+K1431+K1734+K2340)*Cash_Sweep)))</f>
        <v>0</v>
      </c>
      <c r="L3552" s="71" t="n">
        <f aca="false">IF(10&gt;Debt_Yr,0,IF(10=Debt_Yr,L3249,MIN(L3249,(L1128+L1431+L1734+L2340)*Cash_Sweep)))</f>
        <v>0</v>
      </c>
    </row>
    <row r="3553" customFormat="false" ht="15" hidden="false" customHeight="false" outlineLevel="0" collapsed="false">
      <c r="B3553" s="102" t="n">
        <f aca="false">'Loan Tape'!$A216</f>
        <v>0</v>
      </c>
      <c r="C3553" s="99" t="n">
        <f aca="false">IF(1&gt;Debt_Yr,0,IF(1=Debt_Yr,C3250,MIN(C3250,(C1129+C1432+C1735+C2341)*Cash_Sweep)))</f>
        <v>0</v>
      </c>
      <c r="D3553" s="99" t="n">
        <f aca="false">IF(2&gt;Debt_Yr,0,IF(2=Debt_Yr,D3250,MIN(D3250,(D1129+D1432+D1735+D2341)*Cash_Sweep)))</f>
        <v>0</v>
      </c>
      <c r="E3553" s="99" t="n">
        <f aca="false">IF(3&gt;Debt_Yr,0,IF(3=Debt_Yr,E3250,MIN(E3250,(E1129+E1432+E1735+E2341)*Cash_Sweep)))</f>
        <v>0</v>
      </c>
      <c r="F3553" s="99" t="n">
        <f aca="false">IF(4&gt;Debt_Yr,0,IF(4=Debt_Yr,F3250,MIN(F3250,(F1129+F1432+F1735+F2341)*Cash_Sweep)))</f>
        <v>0</v>
      </c>
      <c r="G3553" s="99" t="n">
        <f aca="false">IF(5&gt;Debt_Yr,0,IF(5=Debt_Yr,G3250,MIN(G3250,(G1129+G1432+G1735+G2341)*Cash_Sweep)))</f>
        <v>0</v>
      </c>
      <c r="H3553" s="99" t="n">
        <f aca="false">IF(6&gt;Debt_Yr,0,IF(6=Debt_Yr,H3250,MIN(H3250,(H1129+H1432+H1735+H2341)*Cash_Sweep)))</f>
        <v>0</v>
      </c>
      <c r="I3553" s="99" t="n">
        <f aca="false">IF(7&gt;Debt_Yr,0,IF(7=Debt_Yr,I3250,MIN(I3250,(I1129+I1432+I1735+I2341)*Cash_Sweep)))</f>
        <v>0</v>
      </c>
      <c r="J3553" s="99" t="n">
        <f aca="false">IF(8&gt;Debt_Yr,0,IF(8=Debt_Yr,J3250,MIN(J3250,(J1129+J1432+J1735+J2341)*Cash_Sweep)))</f>
        <v>0</v>
      </c>
      <c r="K3553" s="99" t="n">
        <f aca="false">IF(9&gt;Debt_Yr,0,IF(9=Debt_Yr,K3250,MIN(K3250,(K1129+K1432+K1735+K2341)*Cash_Sweep)))</f>
        <v>0</v>
      </c>
      <c r="L3553" s="99" t="n">
        <f aca="false">IF(10&gt;Debt_Yr,0,IF(10=Debt_Yr,L3250,MIN(L3250,(L1129+L1432+L1735+L2341)*Cash_Sweep)))</f>
        <v>0</v>
      </c>
    </row>
    <row r="3554" customFormat="false" ht="15" hidden="false" customHeight="false" outlineLevel="0" collapsed="false">
      <c r="B3554" s="108" t="n">
        <f aca="false">'Loan Tape'!$A217</f>
        <v>0</v>
      </c>
      <c r="C3554" s="71" t="n">
        <f aca="false">IF(1&gt;Debt_Yr,0,IF(1=Debt_Yr,C3251,MIN(C3251,(C1130+C1433+C1736+C2342)*Cash_Sweep)))</f>
        <v>0</v>
      </c>
      <c r="D3554" s="71" t="n">
        <f aca="false">IF(2&gt;Debt_Yr,0,IF(2=Debt_Yr,D3251,MIN(D3251,(D1130+D1433+D1736+D2342)*Cash_Sweep)))</f>
        <v>0</v>
      </c>
      <c r="E3554" s="71" t="n">
        <f aca="false">IF(3&gt;Debt_Yr,0,IF(3=Debt_Yr,E3251,MIN(E3251,(E1130+E1433+E1736+E2342)*Cash_Sweep)))</f>
        <v>0</v>
      </c>
      <c r="F3554" s="71" t="n">
        <f aca="false">IF(4&gt;Debt_Yr,0,IF(4=Debt_Yr,F3251,MIN(F3251,(F1130+F1433+F1736+F2342)*Cash_Sweep)))</f>
        <v>0</v>
      </c>
      <c r="G3554" s="71" t="n">
        <f aca="false">IF(5&gt;Debt_Yr,0,IF(5=Debt_Yr,G3251,MIN(G3251,(G1130+G1433+G1736+G2342)*Cash_Sweep)))</f>
        <v>0</v>
      </c>
      <c r="H3554" s="71" t="n">
        <f aca="false">IF(6&gt;Debt_Yr,0,IF(6=Debt_Yr,H3251,MIN(H3251,(H1130+H1433+H1736+H2342)*Cash_Sweep)))</f>
        <v>0</v>
      </c>
      <c r="I3554" s="71" t="n">
        <f aca="false">IF(7&gt;Debt_Yr,0,IF(7=Debt_Yr,I3251,MIN(I3251,(I1130+I1433+I1736+I2342)*Cash_Sweep)))</f>
        <v>0</v>
      </c>
      <c r="J3554" s="71" t="n">
        <f aca="false">IF(8&gt;Debt_Yr,0,IF(8=Debt_Yr,J3251,MIN(J3251,(J1130+J1433+J1736+J2342)*Cash_Sweep)))</f>
        <v>0</v>
      </c>
      <c r="K3554" s="71" t="n">
        <f aca="false">IF(9&gt;Debt_Yr,0,IF(9=Debt_Yr,K3251,MIN(K3251,(K1130+K1433+K1736+K2342)*Cash_Sweep)))</f>
        <v>0</v>
      </c>
      <c r="L3554" s="71" t="n">
        <f aca="false">IF(10&gt;Debt_Yr,0,IF(10=Debt_Yr,L3251,MIN(L3251,(L1130+L1433+L1736+L2342)*Cash_Sweep)))</f>
        <v>0</v>
      </c>
    </row>
    <row r="3555" customFormat="false" ht="15" hidden="false" customHeight="false" outlineLevel="0" collapsed="false">
      <c r="B3555" s="102" t="n">
        <f aca="false">'Loan Tape'!$A218</f>
        <v>0</v>
      </c>
      <c r="C3555" s="99" t="n">
        <f aca="false">IF(1&gt;Debt_Yr,0,IF(1=Debt_Yr,C3252,MIN(C3252,(C1131+C1434+C1737+C2343)*Cash_Sweep)))</f>
        <v>0</v>
      </c>
      <c r="D3555" s="99" t="n">
        <f aca="false">IF(2&gt;Debt_Yr,0,IF(2=Debt_Yr,D3252,MIN(D3252,(D1131+D1434+D1737+D2343)*Cash_Sweep)))</f>
        <v>0</v>
      </c>
      <c r="E3555" s="99" t="n">
        <f aca="false">IF(3&gt;Debt_Yr,0,IF(3=Debt_Yr,E3252,MIN(E3252,(E1131+E1434+E1737+E2343)*Cash_Sweep)))</f>
        <v>0</v>
      </c>
      <c r="F3555" s="99" t="n">
        <f aca="false">IF(4&gt;Debt_Yr,0,IF(4=Debt_Yr,F3252,MIN(F3252,(F1131+F1434+F1737+F2343)*Cash_Sweep)))</f>
        <v>0</v>
      </c>
      <c r="G3555" s="99" t="n">
        <f aca="false">IF(5&gt;Debt_Yr,0,IF(5=Debt_Yr,G3252,MIN(G3252,(G1131+G1434+G1737+G2343)*Cash_Sweep)))</f>
        <v>0</v>
      </c>
      <c r="H3555" s="99" t="n">
        <f aca="false">IF(6&gt;Debt_Yr,0,IF(6=Debt_Yr,H3252,MIN(H3252,(H1131+H1434+H1737+H2343)*Cash_Sweep)))</f>
        <v>0</v>
      </c>
      <c r="I3555" s="99" t="n">
        <f aca="false">IF(7&gt;Debt_Yr,0,IF(7=Debt_Yr,I3252,MIN(I3252,(I1131+I1434+I1737+I2343)*Cash_Sweep)))</f>
        <v>0</v>
      </c>
      <c r="J3555" s="99" t="n">
        <f aca="false">IF(8&gt;Debt_Yr,0,IF(8=Debt_Yr,J3252,MIN(J3252,(J1131+J1434+J1737+J2343)*Cash_Sweep)))</f>
        <v>0</v>
      </c>
      <c r="K3555" s="99" t="n">
        <f aca="false">IF(9&gt;Debt_Yr,0,IF(9=Debt_Yr,K3252,MIN(K3252,(K1131+K1434+K1737+K2343)*Cash_Sweep)))</f>
        <v>0</v>
      </c>
      <c r="L3555" s="99" t="n">
        <f aca="false">IF(10&gt;Debt_Yr,0,IF(10=Debt_Yr,L3252,MIN(L3252,(L1131+L1434+L1737+L2343)*Cash_Sweep)))</f>
        <v>0</v>
      </c>
    </row>
    <row r="3556" customFormat="false" ht="15" hidden="false" customHeight="false" outlineLevel="0" collapsed="false">
      <c r="B3556" s="108" t="n">
        <f aca="false">'Loan Tape'!$A219</f>
        <v>0</v>
      </c>
      <c r="C3556" s="71" t="n">
        <f aca="false">IF(1&gt;Debt_Yr,0,IF(1=Debt_Yr,C3253,MIN(C3253,(C1132+C1435+C1738+C2344)*Cash_Sweep)))</f>
        <v>0</v>
      </c>
      <c r="D3556" s="71" t="n">
        <f aca="false">IF(2&gt;Debt_Yr,0,IF(2=Debt_Yr,D3253,MIN(D3253,(D1132+D1435+D1738+D2344)*Cash_Sweep)))</f>
        <v>0</v>
      </c>
      <c r="E3556" s="71" t="n">
        <f aca="false">IF(3&gt;Debt_Yr,0,IF(3=Debt_Yr,E3253,MIN(E3253,(E1132+E1435+E1738+E2344)*Cash_Sweep)))</f>
        <v>0</v>
      </c>
      <c r="F3556" s="71" t="n">
        <f aca="false">IF(4&gt;Debt_Yr,0,IF(4=Debt_Yr,F3253,MIN(F3253,(F1132+F1435+F1738+F2344)*Cash_Sweep)))</f>
        <v>0</v>
      </c>
      <c r="G3556" s="71" t="n">
        <f aca="false">IF(5&gt;Debt_Yr,0,IF(5=Debt_Yr,G3253,MIN(G3253,(G1132+G1435+G1738+G2344)*Cash_Sweep)))</f>
        <v>0</v>
      </c>
      <c r="H3556" s="71" t="n">
        <f aca="false">IF(6&gt;Debt_Yr,0,IF(6=Debt_Yr,H3253,MIN(H3253,(H1132+H1435+H1738+H2344)*Cash_Sweep)))</f>
        <v>0</v>
      </c>
      <c r="I3556" s="71" t="n">
        <f aca="false">IF(7&gt;Debt_Yr,0,IF(7=Debt_Yr,I3253,MIN(I3253,(I1132+I1435+I1738+I2344)*Cash_Sweep)))</f>
        <v>0</v>
      </c>
      <c r="J3556" s="71" t="n">
        <f aca="false">IF(8&gt;Debt_Yr,0,IF(8=Debt_Yr,J3253,MIN(J3253,(J1132+J1435+J1738+J2344)*Cash_Sweep)))</f>
        <v>0</v>
      </c>
      <c r="K3556" s="71" t="n">
        <f aca="false">IF(9&gt;Debt_Yr,0,IF(9=Debt_Yr,K3253,MIN(K3253,(K1132+K1435+K1738+K2344)*Cash_Sweep)))</f>
        <v>0</v>
      </c>
      <c r="L3556" s="71" t="n">
        <f aca="false">IF(10&gt;Debt_Yr,0,IF(10=Debt_Yr,L3253,MIN(L3253,(L1132+L1435+L1738+L2344)*Cash_Sweep)))</f>
        <v>0</v>
      </c>
    </row>
    <row r="3557" customFormat="false" ht="15" hidden="false" customHeight="false" outlineLevel="0" collapsed="false">
      <c r="B3557" s="102" t="n">
        <f aca="false">'Loan Tape'!$A220</f>
        <v>0</v>
      </c>
      <c r="C3557" s="99" t="n">
        <f aca="false">IF(1&gt;Debt_Yr,0,IF(1=Debt_Yr,C3254,MIN(C3254,(C1133+C1436+C1739+C2345)*Cash_Sweep)))</f>
        <v>0</v>
      </c>
      <c r="D3557" s="99" t="n">
        <f aca="false">IF(2&gt;Debt_Yr,0,IF(2=Debt_Yr,D3254,MIN(D3254,(D1133+D1436+D1739+D2345)*Cash_Sweep)))</f>
        <v>0</v>
      </c>
      <c r="E3557" s="99" t="n">
        <f aca="false">IF(3&gt;Debt_Yr,0,IF(3=Debt_Yr,E3254,MIN(E3254,(E1133+E1436+E1739+E2345)*Cash_Sweep)))</f>
        <v>0</v>
      </c>
      <c r="F3557" s="99" t="n">
        <f aca="false">IF(4&gt;Debt_Yr,0,IF(4=Debt_Yr,F3254,MIN(F3254,(F1133+F1436+F1739+F2345)*Cash_Sweep)))</f>
        <v>0</v>
      </c>
      <c r="G3557" s="99" t="n">
        <f aca="false">IF(5&gt;Debt_Yr,0,IF(5=Debt_Yr,G3254,MIN(G3254,(G1133+G1436+G1739+G2345)*Cash_Sweep)))</f>
        <v>0</v>
      </c>
      <c r="H3557" s="99" t="n">
        <f aca="false">IF(6&gt;Debt_Yr,0,IF(6=Debt_Yr,H3254,MIN(H3254,(H1133+H1436+H1739+H2345)*Cash_Sweep)))</f>
        <v>0</v>
      </c>
      <c r="I3557" s="99" t="n">
        <f aca="false">IF(7&gt;Debt_Yr,0,IF(7=Debt_Yr,I3254,MIN(I3254,(I1133+I1436+I1739+I2345)*Cash_Sweep)))</f>
        <v>0</v>
      </c>
      <c r="J3557" s="99" t="n">
        <f aca="false">IF(8&gt;Debt_Yr,0,IF(8=Debt_Yr,J3254,MIN(J3254,(J1133+J1436+J1739+J2345)*Cash_Sweep)))</f>
        <v>0</v>
      </c>
      <c r="K3557" s="99" t="n">
        <f aca="false">IF(9&gt;Debt_Yr,0,IF(9=Debt_Yr,K3254,MIN(K3254,(K1133+K1436+K1739+K2345)*Cash_Sweep)))</f>
        <v>0</v>
      </c>
      <c r="L3557" s="99" t="n">
        <f aca="false">IF(10&gt;Debt_Yr,0,IF(10=Debt_Yr,L3254,MIN(L3254,(L1133+L1436+L1739+L2345)*Cash_Sweep)))</f>
        <v>0</v>
      </c>
    </row>
    <row r="3558" customFormat="false" ht="15" hidden="false" customHeight="false" outlineLevel="0" collapsed="false">
      <c r="B3558" s="108" t="n">
        <f aca="false">'Loan Tape'!$A221</f>
        <v>0</v>
      </c>
      <c r="C3558" s="71" t="n">
        <f aca="false">IF(1&gt;Debt_Yr,0,IF(1=Debt_Yr,C3255,MIN(C3255,(C1134+C1437+C1740+C2346)*Cash_Sweep)))</f>
        <v>0</v>
      </c>
      <c r="D3558" s="71" t="n">
        <f aca="false">IF(2&gt;Debt_Yr,0,IF(2=Debt_Yr,D3255,MIN(D3255,(D1134+D1437+D1740+D2346)*Cash_Sweep)))</f>
        <v>0</v>
      </c>
      <c r="E3558" s="71" t="n">
        <f aca="false">IF(3&gt;Debt_Yr,0,IF(3=Debt_Yr,E3255,MIN(E3255,(E1134+E1437+E1740+E2346)*Cash_Sweep)))</f>
        <v>0</v>
      </c>
      <c r="F3558" s="71" t="n">
        <f aca="false">IF(4&gt;Debt_Yr,0,IF(4=Debt_Yr,F3255,MIN(F3255,(F1134+F1437+F1740+F2346)*Cash_Sweep)))</f>
        <v>0</v>
      </c>
      <c r="G3558" s="71" t="n">
        <f aca="false">IF(5&gt;Debt_Yr,0,IF(5=Debt_Yr,G3255,MIN(G3255,(G1134+G1437+G1740+G2346)*Cash_Sweep)))</f>
        <v>0</v>
      </c>
      <c r="H3558" s="71" t="n">
        <f aca="false">IF(6&gt;Debt_Yr,0,IF(6=Debt_Yr,H3255,MIN(H3255,(H1134+H1437+H1740+H2346)*Cash_Sweep)))</f>
        <v>0</v>
      </c>
      <c r="I3558" s="71" t="n">
        <f aca="false">IF(7&gt;Debt_Yr,0,IF(7=Debt_Yr,I3255,MIN(I3255,(I1134+I1437+I1740+I2346)*Cash_Sweep)))</f>
        <v>0</v>
      </c>
      <c r="J3558" s="71" t="n">
        <f aca="false">IF(8&gt;Debt_Yr,0,IF(8=Debt_Yr,J3255,MIN(J3255,(J1134+J1437+J1740+J2346)*Cash_Sweep)))</f>
        <v>0</v>
      </c>
      <c r="K3558" s="71" t="n">
        <f aca="false">IF(9&gt;Debt_Yr,0,IF(9=Debt_Yr,K3255,MIN(K3255,(K1134+K1437+K1740+K2346)*Cash_Sweep)))</f>
        <v>0</v>
      </c>
      <c r="L3558" s="71" t="n">
        <f aca="false">IF(10&gt;Debt_Yr,0,IF(10=Debt_Yr,L3255,MIN(L3255,(L1134+L1437+L1740+L2346)*Cash_Sweep)))</f>
        <v>0</v>
      </c>
    </row>
    <row r="3559" customFormat="false" ht="15" hidden="false" customHeight="false" outlineLevel="0" collapsed="false">
      <c r="B3559" s="102" t="n">
        <f aca="false">'Loan Tape'!$A222</f>
        <v>0</v>
      </c>
      <c r="C3559" s="99" t="n">
        <f aca="false">IF(1&gt;Debt_Yr,0,IF(1=Debt_Yr,C3256,MIN(C3256,(C1135+C1438+C1741+C2347)*Cash_Sweep)))</f>
        <v>0</v>
      </c>
      <c r="D3559" s="99" t="n">
        <f aca="false">IF(2&gt;Debt_Yr,0,IF(2=Debt_Yr,D3256,MIN(D3256,(D1135+D1438+D1741+D2347)*Cash_Sweep)))</f>
        <v>0</v>
      </c>
      <c r="E3559" s="99" t="n">
        <f aca="false">IF(3&gt;Debt_Yr,0,IF(3=Debt_Yr,E3256,MIN(E3256,(E1135+E1438+E1741+E2347)*Cash_Sweep)))</f>
        <v>0</v>
      </c>
      <c r="F3559" s="99" t="n">
        <f aca="false">IF(4&gt;Debt_Yr,0,IF(4=Debt_Yr,F3256,MIN(F3256,(F1135+F1438+F1741+F2347)*Cash_Sweep)))</f>
        <v>0</v>
      </c>
      <c r="G3559" s="99" t="n">
        <f aca="false">IF(5&gt;Debt_Yr,0,IF(5=Debt_Yr,G3256,MIN(G3256,(G1135+G1438+G1741+G2347)*Cash_Sweep)))</f>
        <v>0</v>
      </c>
      <c r="H3559" s="99" t="n">
        <f aca="false">IF(6&gt;Debt_Yr,0,IF(6=Debt_Yr,H3256,MIN(H3256,(H1135+H1438+H1741+H2347)*Cash_Sweep)))</f>
        <v>0</v>
      </c>
      <c r="I3559" s="99" t="n">
        <f aca="false">IF(7&gt;Debt_Yr,0,IF(7=Debt_Yr,I3256,MIN(I3256,(I1135+I1438+I1741+I2347)*Cash_Sweep)))</f>
        <v>0</v>
      </c>
      <c r="J3559" s="99" t="n">
        <f aca="false">IF(8&gt;Debt_Yr,0,IF(8=Debt_Yr,J3256,MIN(J3256,(J1135+J1438+J1741+J2347)*Cash_Sweep)))</f>
        <v>0</v>
      </c>
      <c r="K3559" s="99" t="n">
        <f aca="false">IF(9&gt;Debt_Yr,0,IF(9=Debt_Yr,K3256,MIN(K3256,(K1135+K1438+K1741+K2347)*Cash_Sweep)))</f>
        <v>0</v>
      </c>
      <c r="L3559" s="99" t="n">
        <f aca="false">IF(10&gt;Debt_Yr,0,IF(10=Debt_Yr,L3256,MIN(L3256,(L1135+L1438+L1741+L2347)*Cash_Sweep)))</f>
        <v>0</v>
      </c>
    </row>
    <row r="3560" customFormat="false" ht="15" hidden="false" customHeight="false" outlineLevel="0" collapsed="false">
      <c r="B3560" s="108" t="n">
        <f aca="false">'Loan Tape'!$A223</f>
        <v>0</v>
      </c>
      <c r="C3560" s="71" t="n">
        <f aca="false">IF(1&gt;Debt_Yr,0,IF(1=Debt_Yr,C3257,MIN(C3257,(C1136+C1439+C1742+C2348)*Cash_Sweep)))</f>
        <v>0</v>
      </c>
      <c r="D3560" s="71" t="n">
        <f aca="false">IF(2&gt;Debt_Yr,0,IF(2=Debt_Yr,D3257,MIN(D3257,(D1136+D1439+D1742+D2348)*Cash_Sweep)))</f>
        <v>0</v>
      </c>
      <c r="E3560" s="71" t="n">
        <f aca="false">IF(3&gt;Debt_Yr,0,IF(3=Debt_Yr,E3257,MIN(E3257,(E1136+E1439+E1742+E2348)*Cash_Sweep)))</f>
        <v>0</v>
      </c>
      <c r="F3560" s="71" t="n">
        <f aca="false">IF(4&gt;Debt_Yr,0,IF(4=Debt_Yr,F3257,MIN(F3257,(F1136+F1439+F1742+F2348)*Cash_Sweep)))</f>
        <v>0</v>
      </c>
      <c r="G3560" s="71" t="n">
        <f aca="false">IF(5&gt;Debt_Yr,0,IF(5=Debt_Yr,G3257,MIN(G3257,(G1136+G1439+G1742+G2348)*Cash_Sweep)))</f>
        <v>0</v>
      </c>
      <c r="H3560" s="71" t="n">
        <f aca="false">IF(6&gt;Debt_Yr,0,IF(6=Debt_Yr,H3257,MIN(H3257,(H1136+H1439+H1742+H2348)*Cash_Sweep)))</f>
        <v>0</v>
      </c>
      <c r="I3560" s="71" t="n">
        <f aca="false">IF(7&gt;Debt_Yr,0,IF(7=Debt_Yr,I3257,MIN(I3257,(I1136+I1439+I1742+I2348)*Cash_Sweep)))</f>
        <v>0</v>
      </c>
      <c r="J3560" s="71" t="n">
        <f aca="false">IF(8&gt;Debt_Yr,0,IF(8=Debt_Yr,J3257,MIN(J3257,(J1136+J1439+J1742+J2348)*Cash_Sweep)))</f>
        <v>0</v>
      </c>
      <c r="K3560" s="71" t="n">
        <f aca="false">IF(9&gt;Debt_Yr,0,IF(9=Debt_Yr,K3257,MIN(K3257,(K1136+K1439+K1742+K2348)*Cash_Sweep)))</f>
        <v>0</v>
      </c>
      <c r="L3560" s="71" t="n">
        <f aca="false">IF(10&gt;Debt_Yr,0,IF(10=Debt_Yr,L3257,MIN(L3257,(L1136+L1439+L1742+L2348)*Cash_Sweep)))</f>
        <v>0</v>
      </c>
    </row>
    <row r="3561" customFormat="false" ht="15" hidden="false" customHeight="false" outlineLevel="0" collapsed="false">
      <c r="B3561" s="102" t="n">
        <f aca="false">'Loan Tape'!$A224</f>
        <v>0</v>
      </c>
      <c r="C3561" s="99" t="n">
        <f aca="false">IF(1&gt;Debt_Yr,0,IF(1=Debt_Yr,C3258,MIN(C3258,(C1137+C1440+C1743+C2349)*Cash_Sweep)))</f>
        <v>0</v>
      </c>
      <c r="D3561" s="99" t="n">
        <f aca="false">IF(2&gt;Debt_Yr,0,IF(2=Debt_Yr,D3258,MIN(D3258,(D1137+D1440+D1743+D2349)*Cash_Sweep)))</f>
        <v>0</v>
      </c>
      <c r="E3561" s="99" t="n">
        <f aca="false">IF(3&gt;Debt_Yr,0,IF(3=Debt_Yr,E3258,MIN(E3258,(E1137+E1440+E1743+E2349)*Cash_Sweep)))</f>
        <v>0</v>
      </c>
      <c r="F3561" s="99" t="n">
        <f aca="false">IF(4&gt;Debt_Yr,0,IF(4=Debt_Yr,F3258,MIN(F3258,(F1137+F1440+F1743+F2349)*Cash_Sweep)))</f>
        <v>0</v>
      </c>
      <c r="G3561" s="99" t="n">
        <f aca="false">IF(5&gt;Debt_Yr,0,IF(5=Debt_Yr,G3258,MIN(G3258,(G1137+G1440+G1743+G2349)*Cash_Sweep)))</f>
        <v>0</v>
      </c>
      <c r="H3561" s="99" t="n">
        <f aca="false">IF(6&gt;Debt_Yr,0,IF(6=Debt_Yr,H3258,MIN(H3258,(H1137+H1440+H1743+H2349)*Cash_Sweep)))</f>
        <v>0</v>
      </c>
      <c r="I3561" s="99" t="n">
        <f aca="false">IF(7&gt;Debt_Yr,0,IF(7=Debt_Yr,I3258,MIN(I3258,(I1137+I1440+I1743+I2349)*Cash_Sweep)))</f>
        <v>0</v>
      </c>
      <c r="J3561" s="99" t="n">
        <f aca="false">IF(8&gt;Debt_Yr,0,IF(8=Debt_Yr,J3258,MIN(J3258,(J1137+J1440+J1743+J2349)*Cash_Sweep)))</f>
        <v>0</v>
      </c>
      <c r="K3561" s="99" t="n">
        <f aca="false">IF(9&gt;Debt_Yr,0,IF(9=Debt_Yr,K3258,MIN(K3258,(K1137+K1440+K1743+K2349)*Cash_Sweep)))</f>
        <v>0</v>
      </c>
      <c r="L3561" s="99" t="n">
        <f aca="false">IF(10&gt;Debt_Yr,0,IF(10=Debt_Yr,L3258,MIN(L3258,(L1137+L1440+L1743+L2349)*Cash_Sweep)))</f>
        <v>0</v>
      </c>
    </row>
    <row r="3562" customFormat="false" ht="15" hidden="false" customHeight="false" outlineLevel="0" collapsed="false">
      <c r="B3562" s="108" t="n">
        <f aca="false">'Loan Tape'!$A225</f>
        <v>0</v>
      </c>
      <c r="C3562" s="71" t="n">
        <f aca="false">IF(1&gt;Debt_Yr,0,IF(1=Debt_Yr,C3259,MIN(C3259,(C1138+C1441+C1744+C2350)*Cash_Sweep)))</f>
        <v>0</v>
      </c>
      <c r="D3562" s="71" t="n">
        <f aca="false">IF(2&gt;Debt_Yr,0,IF(2=Debt_Yr,D3259,MIN(D3259,(D1138+D1441+D1744+D2350)*Cash_Sweep)))</f>
        <v>0</v>
      </c>
      <c r="E3562" s="71" t="n">
        <f aca="false">IF(3&gt;Debt_Yr,0,IF(3=Debt_Yr,E3259,MIN(E3259,(E1138+E1441+E1744+E2350)*Cash_Sweep)))</f>
        <v>0</v>
      </c>
      <c r="F3562" s="71" t="n">
        <f aca="false">IF(4&gt;Debt_Yr,0,IF(4=Debt_Yr,F3259,MIN(F3259,(F1138+F1441+F1744+F2350)*Cash_Sweep)))</f>
        <v>0</v>
      </c>
      <c r="G3562" s="71" t="n">
        <f aca="false">IF(5&gt;Debt_Yr,0,IF(5=Debt_Yr,G3259,MIN(G3259,(G1138+G1441+G1744+G2350)*Cash_Sweep)))</f>
        <v>0</v>
      </c>
      <c r="H3562" s="71" t="n">
        <f aca="false">IF(6&gt;Debt_Yr,0,IF(6=Debt_Yr,H3259,MIN(H3259,(H1138+H1441+H1744+H2350)*Cash_Sweep)))</f>
        <v>0</v>
      </c>
      <c r="I3562" s="71" t="n">
        <f aca="false">IF(7&gt;Debt_Yr,0,IF(7=Debt_Yr,I3259,MIN(I3259,(I1138+I1441+I1744+I2350)*Cash_Sweep)))</f>
        <v>0</v>
      </c>
      <c r="J3562" s="71" t="n">
        <f aca="false">IF(8&gt;Debt_Yr,0,IF(8=Debt_Yr,J3259,MIN(J3259,(J1138+J1441+J1744+J2350)*Cash_Sweep)))</f>
        <v>0</v>
      </c>
      <c r="K3562" s="71" t="n">
        <f aca="false">IF(9&gt;Debt_Yr,0,IF(9=Debt_Yr,K3259,MIN(K3259,(K1138+K1441+K1744+K2350)*Cash_Sweep)))</f>
        <v>0</v>
      </c>
      <c r="L3562" s="71" t="n">
        <f aca="false">IF(10&gt;Debt_Yr,0,IF(10=Debt_Yr,L3259,MIN(L3259,(L1138+L1441+L1744+L2350)*Cash_Sweep)))</f>
        <v>0</v>
      </c>
    </row>
    <row r="3563" customFormat="false" ht="15" hidden="false" customHeight="false" outlineLevel="0" collapsed="false">
      <c r="B3563" s="102" t="n">
        <f aca="false">'Loan Tape'!$A226</f>
        <v>0</v>
      </c>
      <c r="C3563" s="99" t="n">
        <f aca="false">IF(1&gt;Debt_Yr,0,IF(1=Debt_Yr,C3260,MIN(C3260,(C1139+C1442+C1745+C2351)*Cash_Sweep)))</f>
        <v>0</v>
      </c>
      <c r="D3563" s="99" t="n">
        <f aca="false">IF(2&gt;Debt_Yr,0,IF(2=Debt_Yr,D3260,MIN(D3260,(D1139+D1442+D1745+D2351)*Cash_Sweep)))</f>
        <v>0</v>
      </c>
      <c r="E3563" s="99" t="n">
        <f aca="false">IF(3&gt;Debt_Yr,0,IF(3=Debt_Yr,E3260,MIN(E3260,(E1139+E1442+E1745+E2351)*Cash_Sweep)))</f>
        <v>0</v>
      </c>
      <c r="F3563" s="99" t="n">
        <f aca="false">IF(4&gt;Debt_Yr,0,IF(4=Debt_Yr,F3260,MIN(F3260,(F1139+F1442+F1745+F2351)*Cash_Sweep)))</f>
        <v>0</v>
      </c>
      <c r="G3563" s="99" t="n">
        <f aca="false">IF(5&gt;Debt_Yr,0,IF(5=Debt_Yr,G3260,MIN(G3260,(G1139+G1442+G1745+G2351)*Cash_Sweep)))</f>
        <v>0</v>
      </c>
      <c r="H3563" s="99" t="n">
        <f aca="false">IF(6&gt;Debt_Yr,0,IF(6=Debt_Yr,H3260,MIN(H3260,(H1139+H1442+H1745+H2351)*Cash_Sweep)))</f>
        <v>0</v>
      </c>
      <c r="I3563" s="99" t="n">
        <f aca="false">IF(7&gt;Debt_Yr,0,IF(7=Debt_Yr,I3260,MIN(I3260,(I1139+I1442+I1745+I2351)*Cash_Sweep)))</f>
        <v>0</v>
      </c>
      <c r="J3563" s="99" t="n">
        <f aca="false">IF(8&gt;Debt_Yr,0,IF(8=Debt_Yr,J3260,MIN(J3260,(J1139+J1442+J1745+J2351)*Cash_Sweep)))</f>
        <v>0</v>
      </c>
      <c r="K3563" s="99" t="n">
        <f aca="false">IF(9&gt;Debt_Yr,0,IF(9=Debt_Yr,K3260,MIN(K3260,(K1139+K1442+K1745+K2351)*Cash_Sweep)))</f>
        <v>0</v>
      </c>
      <c r="L3563" s="99" t="n">
        <f aca="false">IF(10&gt;Debt_Yr,0,IF(10=Debt_Yr,L3260,MIN(L3260,(L1139+L1442+L1745+L2351)*Cash_Sweep)))</f>
        <v>0</v>
      </c>
    </row>
    <row r="3564" customFormat="false" ht="15" hidden="false" customHeight="false" outlineLevel="0" collapsed="false">
      <c r="B3564" s="108" t="n">
        <f aca="false">'Loan Tape'!$A227</f>
        <v>0</v>
      </c>
      <c r="C3564" s="71" t="n">
        <f aca="false">IF(1&gt;Debt_Yr,0,IF(1=Debt_Yr,C3261,MIN(C3261,(C1140+C1443+C1746+C2352)*Cash_Sweep)))</f>
        <v>0</v>
      </c>
      <c r="D3564" s="71" t="n">
        <f aca="false">IF(2&gt;Debt_Yr,0,IF(2=Debt_Yr,D3261,MIN(D3261,(D1140+D1443+D1746+D2352)*Cash_Sweep)))</f>
        <v>0</v>
      </c>
      <c r="E3564" s="71" t="n">
        <f aca="false">IF(3&gt;Debt_Yr,0,IF(3=Debt_Yr,E3261,MIN(E3261,(E1140+E1443+E1746+E2352)*Cash_Sweep)))</f>
        <v>0</v>
      </c>
      <c r="F3564" s="71" t="n">
        <f aca="false">IF(4&gt;Debt_Yr,0,IF(4=Debt_Yr,F3261,MIN(F3261,(F1140+F1443+F1746+F2352)*Cash_Sweep)))</f>
        <v>0</v>
      </c>
      <c r="G3564" s="71" t="n">
        <f aca="false">IF(5&gt;Debt_Yr,0,IF(5=Debt_Yr,G3261,MIN(G3261,(G1140+G1443+G1746+G2352)*Cash_Sweep)))</f>
        <v>0</v>
      </c>
      <c r="H3564" s="71" t="n">
        <f aca="false">IF(6&gt;Debt_Yr,0,IF(6=Debt_Yr,H3261,MIN(H3261,(H1140+H1443+H1746+H2352)*Cash_Sweep)))</f>
        <v>0</v>
      </c>
      <c r="I3564" s="71" t="n">
        <f aca="false">IF(7&gt;Debt_Yr,0,IF(7=Debt_Yr,I3261,MIN(I3261,(I1140+I1443+I1746+I2352)*Cash_Sweep)))</f>
        <v>0</v>
      </c>
      <c r="J3564" s="71" t="n">
        <f aca="false">IF(8&gt;Debt_Yr,0,IF(8=Debt_Yr,J3261,MIN(J3261,(J1140+J1443+J1746+J2352)*Cash_Sweep)))</f>
        <v>0</v>
      </c>
      <c r="K3564" s="71" t="n">
        <f aca="false">IF(9&gt;Debt_Yr,0,IF(9=Debt_Yr,K3261,MIN(K3261,(K1140+K1443+K1746+K2352)*Cash_Sweep)))</f>
        <v>0</v>
      </c>
      <c r="L3564" s="71" t="n">
        <f aca="false">IF(10&gt;Debt_Yr,0,IF(10=Debt_Yr,L3261,MIN(L3261,(L1140+L1443+L1746+L2352)*Cash_Sweep)))</f>
        <v>0</v>
      </c>
    </row>
    <row r="3565" customFormat="false" ht="15" hidden="false" customHeight="false" outlineLevel="0" collapsed="false">
      <c r="B3565" s="102" t="n">
        <f aca="false">'Loan Tape'!$A228</f>
        <v>0</v>
      </c>
      <c r="C3565" s="99" t="n">
        <f aca="false">IF(1&gt;Debt_Yr,0,IF(1=Debt_Yr,C3262,MIN(C3262,(C1141+C1444+C1747+C2353)*Cash_Sweep)))</f>
        <v>0</v>
      </c>
      <c r="D3565" s="99" t="n">
        <f aca="false">IF(2&gt;Debt_Yr,0,IF(2=Debt_Yr,D3262,MIN(D3262,(D1141+D1444+D1747+D2353)*Cash_Sweep)))</f>
        <v>0</v>
      </c>
      <c r="E3565" s="99" t="n">
        <f aca="false">IF(3&gt;Debt_Yr,0,IF(3=Debt_Yr,E3262,MIN(E3262,(E1141+E1444+E1747+E2353)*Cash_Sweep)))</f>
        <v>0</v>
      </c>
      <c r="F3565" s="99" t="n">
        <f aca="false">IF(4&gt;Debt_Yr,0,IF(4=Debt_Yr,F3262,MIN(F3262,(F1141+F1444+F1747+F2353)*Cash_Sweep)))</f>
        <v>0</v>
      </c>
      <c r="G3565" s="99" t="n">
        <f aca="false">IF(5&gt;Debt_Yr,0,IF(5=Debt_Yr,G3262,MIN(G3262,(G1141+G1444+G1747+G2353)*Cash_Sweep)))</f>
        <v>0</v>
      </c>
      <c r="H3565" s="99" t="n">
        <f aca="false">IF(6&gt;Debt_Yr,0,IF(6=Debt_Yr,H3262,MIN(H3262,(H1141+H1444+H1747+H2353)*Cash_Sweep)))</f>
        <v>0</v>
      </c>
      <c r="I3565" s="99" t="n">
        <f aca="false">IF(7&gt;Debt_Yr,0,IF(7=Debt_Yr,I3262,MIN(I3262,(I1141+I1444+I1747+I2353)*Cash_Sweep)))</f>
        <v>0</v>
      </c>
      <c r="J3565" s="99" t="n">
        <f aca="false">IF(8&gt;Debt_Yr,0,IF(8=Debt_Yr,J3262,MIN(J3262,(J1141+J1444+J1747+J2353)*Cash_Sweep)))</f>
        <v>0</v>
      </c>
      <c r="K3565" s="99" t="n">
        <f aca="false">IF(9&gt;Debt_Yr,0,IF(9=Debt_Yr,K3262,MIN(K3262,(K1141+K1444+K1747+K2353)*Cash_Sweep)))</f>
        <v>0</v>
      </c>
      <c r="L3565" s="99" t="n">
        <f aca="false">IF(10&gt;Debt_Yr,0,IF(10=Debt_Yr,L3262,MIN(L3262,(L1141+L1444+L1747+L2353)*Cash_Sweep)))</f>
        <v>0</v>
      </c>
    </row>
    <row r="3566" customFormat="false" ht="15" hidden="false" customHeight="false" outlineLevel="0" collapsed="false">
      <c r="B3566" s="108" t="n">
        <f aca="false">'Loan Tape'!$A229</f>
        <v>0</v>
      </c>
      <c r="C3566" s="71" t="n">
        <f aca="false">IF(1&gt;Debt_Yr,0,IF(1=Debt_Yr,C3263,MIN(C3263,(C1142+C1445+C1748+C2354)*Cash_Sweep)))</f>
        <v>0</v>
      </c>
      <c r="D3566" s="71" t="n">
        <f aca="false">IF(2&gt;Debt_Yr,0,IF(2=Debt_Yr,D3263,MIN(D3263,(D1142+D1445+D1748+D2354)*Cash_Sweep)))</f>
        <v>0</v>
      </c>
      <c r="E3566" s="71" t="n">
        <f aca="false">IF(3&gt;Debt_Yr,0,IF(3=Debt_Yr,E3263,MIN(E3263,(E1142+E1445+E1748+E2354)*Cash_Sweep)))</f>
        <v>0</v>
      </c>
      <c r="F3566" s="71" t="n">
        <f aca="false">IF(4&gt;Debt_Yr,0,IF(4=Debt_Yr,F3263,MIN(F3263,(F1142+F1445+F1748+F2354)*Cash_Sweep)))</f>
        <v>0</v>
      </c>
      <c r="G3566" s="71" t="n">
        <f aca="false">IF(5&gt;Debt_Yr,0,IF(5=Debt_Yr,G3263,MIN(G3263,(G1142+G1445+G1748+G2354)*Cash_Sweep)))</f>
        <v>0</v>
      </c>
      <c r="H3566" s="71" t="n">
        <f aca="false">IF(6&gt;Debt_Yr,0,IF(6=Debt_Yr,H3263,MIN(H3263,(H1142+H1445+H1748+H2354)*Cash_Sweep)))</f>
        <v>0</v>
      </c>
      <c r="I3566" s="71" t="n">
        <f aca="false">IF(7&gt;Debt_Yr,0,IF(7=Debt_Yr,I3263,MIN(I3263,(I1142+I1445+I1748+I2354)*Cash_Sweep)))</f>
        <v>0</v>
      </c>
      <c r="J3566" s="71" t="n">
        <f aca="false">IF(8&gt;Debt_Yr,0,IF(8=Debt_Yr,J3263,MIN(J3263,(J1142+J1445+J1748+J2354)*Cash_Sweep)))</f>
        <v>0</v>
      </c>
      <c r="K3566" s="71" t="n">
        <f aca="false">IF(9&gt;Debt_Yr,0,IF(9=Debt_Yr,K3263,MIN(K3263,(K1142+K1445+K1748+K2354)*Cash_Sweep)))</f>
        <v>0</v>
      </c>
      <c r="L3566" s="71" t="n">
        <f aca="false">IF(10&gt;Debt_Yr,0,IF(10=Debt_Yr,L3263,MIN(L3263,(L1142+L1445+L1748+L2354)*Cash_Sweep)))</f>
        <v>0</v>
      </c>
    </row>
    <row r="3567" customFormat="false" ht="15" hidden="false" customHeight="false" outlineLevel="0" collapsed="false">
      <c r="B3567" s="102" t="n">
        <f aca="false">'Loan Tape'!$A230</f>
        <v>0</v>
      </c>
      <c r="C3567" s="99" t="n">
        <f aca="false">IF(1&gt;Debt_Yr,0,IF(1=Debt_Yr,C3264,MIN(C3264,(C1143+C1446+C1749+C2355)*Cash_Sweep)))</f>
        <v>0</v>
      </c>
      <c r="D3567" s="99" t="n">
        <f aca="false">IF(2&gt;Debt_Yr,0,IF(2=Debt_Yr,D3264,MIN(D3264,(D1143+D1446+D1749+D2355)*Cash_Sweep)))</f>
        <v>0</v>
      </c>
      <c r="E3567" s="99" t="n">
        <f aca="false">IF(3&gt;Debt_Yr,0,IF(3=Debt_Yr,E3264,MIN(E3264,(E1143+E1446+E1749+E2355)*Cash_Sweep)))</f>
        <v>0</v>
      </c>
      <c r="F3567" s="99" t="n">
        <f aca="false">IF(4&gt;Debt_Yr,0,IF(4=Debt_Yr,F3264,MIN(F3264,(F1143+F1446+F1749+F2355)*Cash_Sweep)))</f>
        <v>0</v>
      </c>
      <c r="G3567" s="99" t="n">
        <f aca="false">IF(5&gt;Debt_Yr,0,IF(5=Debt_Yr,G3264,MIN(G3264,(G1143+G1446+G1749+G2355)*Cash_Sweep)))</f>
        <v>0</v>
      </c>
      <c r="H3567" s="99" t="n">
        <f aca="false">IF(6&gt;Debt_Yr,0,IF(6=Debt_Yr,H3264,MIN(H3264,(H1143+H1446+H1749+H2355)*Cash_Sweep)))</f>
        <v>0</v>
      </c>
      <c r="I3567" s="99" t="n">
        <f aca="false">IF(7&gt;Debt_Yr,0,IF(7=Debt_Yr,I3264,MIN(I3264,(I1143+I1446+I1749+I2355)*Cash_Sweep)))</f>
        <v>0</v>
      </c>
      <c r="J3567" s="99" t="n">
        <f aca="false">IF(8&gt;Debt_Yr,0,IF(8=Debt_Yr,J3264,MIN(J3264,(J1143+J1446+J1749+J2355)*Cash_Sweep)))</f>
        <v>0</v>
      </c>
      <c r="K3567" s="99" t="n">
        <f aca="false">IF(9&gt;Debt_Yr,0,IF(9=Debt_Yr,K3264,MIN(K3264,(K1143+K1446+K1749+K2355)*Cash_Sweep)))</f>
        <v>0</v>
      </c>
      <c r="L3567" s="99" t="n">
        <f aca="false">IF(10&gt;Debt_Yr,0,IF(10=Debt_Yr,L3264,MIN(L3264,(L1143+L1446+L1749+L2355)*Cash_Sweep)))</f>
        <v>0</v>
      </c>
    </row>
    <row r="3568" customFormat="false" ht="15" hidden="false" customHeight="false" outlineLevel="0" collapsed="false">
      <c r="B3568" s="108" t="n">
        <f aca="false">'Loan Tape'!$A231</f>
        <v>0</v>
      </c>
      <c r="C3568" s="71" t="n">
        <f aca="false">IF(1&gt;Debt_Yr,0,IF(1=Debt_Yr,C3265,MIN(C3265,(C1144+C1447+C1750+C2356)*Cash_Sweep)))</f>
        <v>0</v>
      </c>
      <c r="D3568" s="71" t="n">
        <f aca="false">IF(2&gt;Debt_Yr,0,IF(2=Debt_Yr,D3265,MIN(D3265,(D1144+D1447+D1750+D2356)*Cash_Sweep)))</f>
        <v>0</v>
      </c>
      <c r="E3568" s="71" t="n">
        <f aca="false">IF(3&gt;Debt_Yr,0,IF(3=Debt_Yr,E3265,MIN(E3265,(E1144+E1447+E1750+E2356)*Cash_Sweep)))</f>
        <v>0</v>
      </c>
      <c r="F3568" s="71" t="n">
        <f aca="false">IF(4&gt;Debt_Yr,0,IF(4=Debt_Yr,F3265,MIN(F3265,(F1144+F1447+F1750+F2356)*Cash_Sweep)))</f>
        <v>0</v>
      </c>
      <c r="G3568" s="71" t="n">
        <f aca="false">IF(5&gt;Debt_Yr,0,IF(5=Debt_Yr,G3265,MIN(G3265,(G1144+G1447+G1750+G2356)*Cash_Sweep)))</f>
        <v>0</v>
      </c>
      <c r="H3568" s="71" t="n">
        <f aca="false">IF(6&gt;Debt_Yr,0,IF(6=Debt_Yr,H3265,MIN(H3265,(H1144+H1447+H1750+H2356)*Cash_Sweep)))</f>
        <v>0</v>
      </c>
      <c r="I3568" s="71" t="n">
        <f aca="false">IF(7&gt;Debt_Yr,0,IF(7=Debt_Yr,I3265,MIN(I3265,(I1144+I1447+I1750+I2356)*Cash_Sweep)))</f>
        <v>0</v>
      </c>
      <c r="J3568" s="71" t="n">
        <f aca="false">IF(8&gt;Debt_Yr,0,IF(8=Debt_Yr,J3265,MIN(J3265,(J1144+J1447+J1750+J2356)*Cash_Sweep)))</f>
        <v>0</v>
      </c>
      <c r="K3568" s="71" t="n">
        <f aca="false">IF(9&gt;Debt_Yr,0,IF(9=Debt_Yr,K3265,MIN(K3265,(K1144+K1447+K1750+K2356)*Cash_Sweep)))</f>
        <v>0</v>
      </c>
      <c r="L3568" s="71" t="n">
        <f aca="false">IF(10&gt;Debt_Yr,0,IF(10=Debt_Yr,L3265,MIN(L3265,(L1144+L1447+L1750+L2356)*Cash_Sweep)))</f>
        <v>0</v>
      </c>
    </row>
    <row r="3569" customFormat="false" ht="15" hidden="false" customHeight="false" outlineLevel="0" collapsed="false">
      <c r="B3569" s="102" t="n">
        <f aca="false">'Loan Tape'!$A232</f>
        <v>0</v>
      </c>
      <c r="C3569" s="99" t="n">
        <f aca="false">IF(1&gt;Debt_Yr,0,IF(1=Debt_Yr,C3266,MIN(C3266,(C1145+C1448+C1751+C2357)*Cash_Sweep)))</f>
        <v>0</v>
      </c>
      <c r="D3569" s="99" t="n">
        <f aca="false">IF(2&gt;Debt_Yr,0,IF(2=Debt_Yr,D3266,MIN(D3266,(D1145+D1448+D1751+D2357)*Cash_Sweep)))</f>
        <v>0</v>
      </c>
      <c r="E3569" s="99" t="n">
        <f aca="false">IF(3&gt;Debt_Yr,0,IF(3=Debt_Yr,E3266,MIN(E3266,(E1145+E1448+E1751+E2357)*Cash_Sweep)))</f>
        <v>0</v>
      </c>
      <c r="F3569" s="99" t="n">
        <f aca="false">IF(4&gt;Debt_Yr,0,IF(4=Debt_Yr,F3266,MIN(F3266,(F1145+F1448+F1751+F2357)*Cash_Sweep)))</f>
        <v>0</v>
      </c>
      <c r="G3569" s="99" t="n">
        <f aca="false">IF(5&gt;Debt_Yr,0,IF(5=Debt_Yr,G3266,MIN(G3266,(G1145+G1448+G1751+G2357)*Cash_Sweep)))</f>
        <v>0</v>
      </c>
      <c r="H3569" s="99" t="n">
        <f aca="false">IF(6&gt;Debt_Yr,0,IF(6=Debt_Yr,H3266,MIN(H3266,(H1145+H1448+H1751+H2357)*Cash_Sweep)))</f>
        <v>0</v>
      </c>
      <c r="I3569" s="99" t="n">
        <f aca="false">IF(7&gt;Debt_Yr,0,IF(7=Debt_Yr,I3266,MIN(I3266,(I1145+I1448+I1751+I2357)*Cash_Sweep)))</f>
        <v>0</v>
      </c>
      <c r="J3569" s="99" t="n">
        <f aca="false">IF(8&gt;Debt_Yr,0,IF(8=Debt_Yr,J3266,MIN(J3266,(J1145+J1448+J1751+J2357)*Cash_Sweep)))</f>
        <v>0</v>
      </c>
      <c r="K3569" s="99" t="n">
        <f aca="false">IF(9&gt;Debt_Yr,0,IF(9=Debt_Yr,K3266,MIN(K3266,(K1145+K1448+K1751+K2357)*Cash_Sweep)))</f>
        <v>0</v>
      </c>
      <c r="L3569" s="99" t="n">
        <f aca="false">IF(10&gt;Debt_Yr,0,IF(10=Debt_Yr,L3266,MIN(L3266,(L1145+L1448+L1751+L2357)*Cash_Sweep)))</f>
        <v>0</v>
      </c>
    </row>
    <row r="3570" customFormat="false" ht="15" hidden="false" customHeight="false" outlineLevel="0" collapsed="false">
      <c r="B3570" s="108" t="n">
        <f aca="false">'Loan Tape'!$A233</f>
        <v>0</v>
      </c>
      <c r="C3570" s="71" t="n">
        <f aca="false">IF(1&gt;Debt_Yr,0,IF(1=Debt_Yr,C3267,MIN(C3267,(C1146+C1449+C1752+C2358)*Cash_Sweep)))</f>
        <v>0</v>
      </c>
      <c r="D3570" s="71" t="n">
        <f aca="false">IF(2&gt;Debt_Yr,0,IF(2=Debt_Yr,D3267,MIN(D3267,(D1146+D1449+D1752+D2358)*Cash_Sweep)))</f>
        <v>0</v>
      </c>
      <c r="E3570" s="71" t="n">
        <f aca="false">IF(3&gt;Debt_Yr,0,IF(3=Debt_Yr,E3267,MIN(E3267,(E1146+E1449+E1752+E2358)*Cash_Sweep)))</f>
        <v>0</v>
      </c>
      <c r="F3570" s="71" t="n">
        <f aca="false">IF(4&gt;Debt_Yr,0,IF(4=Debt_Yr,F3267,MIN(F3267,(F1146+F1449+F1752+F2358)*Cash_Sweep)))</f>
        <v>0</v>
      </c>
      <c r="G3570" s="71" t="n">
        <f aca="false">IF(5&gt;Debt_Yr,0,IF(5=Debt_Yr,G3267,MIN(G3267,(G1146+G1449+G1752+G2358)*Cash_Sweep)))</f>
        <v>0</v>
      </c>
      <c r="H3570" s="71" t="n">
        <f aca="false">IF(6&gt;Debt_Yr,0,IF(6=Debt_Yr,H3267,MIN(H3267,(H1146+H1449+H1752+H2358)*Cash_Sweep)))</f>
        <v>0</v>
      </c>
      <c r="I3570" s="71" t="n">
        <f aca="false">IF(7&gt;Debt_Yr,0,IF(7=Debt_Yr,I3267,MIN(I3267,(I1146+I1449+I1752+I2358)*Cash_Sweep)))</f>
        <v>0</v>
      </c>
      <c r="J3570" s="71" t="n">
        <f aca="false">IF(8&gt;Debt_Yr,0,IF(8=Debt_Yr,J3267,MIN(J3267,(J1146+J1449+J1752+J2358)*Cash_Sweep)))</f>
        <v>0</v>
      </c>
      <c r="K3570" s="71" t="n">
        <f aca="false">IF(9&gt;Debt_Yr,0,IF(9=Debt_Yr,K3267,MIN(K3267,(K1146+K1449+K1752+K2358)*Cash_Sweep)))</f>
        <v>0</v>
      </c>
      <c r="L3570" s="71" t="n">
        <f aca="false">IF(10&gt;Debt_Yr,0,IF(10=Debt_Yr,L3267,MIN(L3267,(L1146+L1449+L1752+L2358)*Cash_Sweep)))</f>
        <v>0</v>
      </c>
    </row>
    <row r="3571" customFormat="false" ht="15" hidden="false" customHeight="false" outlineLevel="0" collapsed="false">
      <c r="B3571" s="102" t="n">
        <f aca="false">'Loan Tape'!$A234</f>
        <v>0</v>
      </c>
      <c r="C3571" s="99" t="n">
        <f aca="false">IF(1&gt;Debt_Yr,0,IF(1=Debt_Yr,C3268,MIN(C3268,(C1147+C1450+C1753+C2359)*Cash_Sweep)))</f>
        <v>0</v>
      </c>
      <c r="D3571" s="99" t="n">
        <f aca="false">IF(2&gt;Debt_Yr,0,IF(2=Debt_Yr,D3268,MIN(D3268,(D1147+D1450+D1753+D2359)*Cash_Sweep)))</f>
        <v>0</v>
      </c>
      <c r="E3571" s="99" t="n">
        <f aca="false">IF(3&gt;Debt_Yr,0,IF(3=Debt_Yr,E3268,MIN(E3268,(E1147+E1450+E1753+E2359)*Cash_Sweep)))</f>
        <v>0</v>
      </c>
      <c r="F3571" s="99" t="n">
        <f aca="false">IF(4&gt;Debt_Yr,0,IF(4=Debt_Yr,F3268,MIN(F3268,(F1147+F1450+F1753+F2359)*Cash_Sweep)))</f>
        <v>0</v>
      </c>
      <c r="G3571" s="99" t="n">
        <f aca="false">IF(5&gt;Debt_Yr,0,IF(5=Debt_Yr,G3268,MIN(G3268,(G1147+G1450+G1753+G2359)*Cash_Sweep)))</f>
        <v>0</v>
      </c>
      <c r="H3571" s="99" t="n">
        <f aca="false">IF(6&gt;Debt_Yr,0,IF(6=Debt_Yr,H3268,MIN(H3268,(H1147+H1450+H1753+H2359)*Cash_Sweep)))</f>
        <v>0</v>
      </c>
      <c r="I3571" s="99" t="n">
        <f aca="false">IF(7&gt;Debt_Yr,0,IF(7=Debt_Yr,I3268,MIN(I3268,(I1147+I1450+I1753+I2359)*Cash_Sweep)))</f>
        <v>0</v>
      </c>
      <c r="J3571" s="99" t="n">
        <f aca="false">IF(8&gt;Debt_Yr,0,IF(8=Debt_Yr,J3268,MIN(J3268,(J1147+J1450+J1753+J2359)*Cash_Sweep)))</f>
        <v>0</v>
      </c>
      <c r="K3571" s="99" t="n">
        <f aca="false">IF(9&gt;Debt_Yr,0,IF(9=Debt_Yr,K3268,MIN(K3268,(K1147+K1450+K1753+K2359)*Cash_Sweep)))</f>
        <v>0</v>
      </c>
      <c r="L3571" s="99" t="n">
        <f aca="false">IF(10&gt;Debt_Yr,0,IF(10=Debt_Yr,L3268,MIN(L3268,(L1147+L1450+L1753+L2359)*Cash_Sweep)))</f>
        <v>0</v>
      </c>
    </row>
    <row r="3572" customFormat="false" ht="15" hidden="false" customHeight="false" outlineLevel="0" collapsed="false">
      <c r="B3572" s="108" t="n">
        <f aca="false">'Loan Tape'!$A235</f>
        <v>0</v>
      </c>
      <c r="C3572" s="71" t="n">
        <f aca="false">IF(1&gt;Debt_Yr,0,IF(1=Debt_Yr,C3269,MIN(C3269,(C1148+C1451+C1754+C2360)*Cash_Sweep)))</f>
        <v>0</v>
      </c>
      <c r="D3572" s="71" t="n">
        <f aca="false">IF(2&gt;Debt_Yr,0,IF(2=Debt_Yr,D3269,MIN(D3269,(D1148+D1451+D1754+D2360)*Cash_Sweep)))</f>
        <v>0</v>
      </c>
      <c r="E3572" s="71" t="n">
        <f aca="false">IF(3&gt;Debt_Yr,0,IF(3=Debt_Yr,E3269,MIN(E3269,(E1148+E1451+E1754+E2360)*Cash_Sweep)))</f>
        <v>0</v>
      </c>
      <c r="F3572" s="71" t="n">
        <f aca="false">IF(4&gt;Debt_Yr,0,IF(4=Debt_Yr,F3269,MIN(F3269,(F1148+F1451+F1754+F2360)*Cash_Sweep)))</f>
        <v>0</v>
      </c>
      <c r="G3572" s="71" t="n">
        <f aca="false">IF(5&gt;Debt_Yr,0,IF(5=Debt_Yr,G3269,MIN(G3269,(G1148+G1451+G1754+G2360)*Cash_Sweep)))</f>
        <v>0</v>
      </c>
      <c r="H3572" s="71" t="n">
        <f aca="false">IF(6&gt;Debt_Yr,0,IF(6=Debt_Yr,H3269,MIN(H3269,(H1148+H1451+H1754+H2360)*Cash_Sweep)))</f>
        <v>0</v>
      </c>
      <c r="I3572" s="71" t="n">
        <f aca="false">IF(7&gt;Debt_Yr,0,IF(7=Debt_Yr,I3269,MIN(I3269,(I1148+I1451+I1754+I2360)*Cash_Sweep)))</f>
        <v>0</v>
      </c>
      <c r="J3572" s="71" t="n">
        <f aca="false">IF(8&gt;Debt_Yr,0,IF(8=Debt_Yr,J3269,MIN(J3269,(J1148+J1451+J1754+J2360)*Cash_Sweep)))</f>
        <v>0</v>
      </c>
      <c r="K3572" s="71" t="n">
        <f aca="false">IF(9&gt;Debt_Yr,0,IF(9=Debt_Yr,K3269,MIN(K3269,(K1148+K1451+K1754+K2360)*Cash_Sweep)))</f>
        <v>0</v>
      </c>
      <c r="L3572" s="71" t="n">
        <f aca="false">IF(10&gt;Debt_Yr,0,IF(10=Debt_Yr,L3269,MIN(L3269,(L1148+L1451+L1754+L2360)*Cash_Sweep)))</f>
        <v>0</v>
      </c>
    </row>
    <row r="3573" customFormat="false" ht="15" hidden="false" customHeight="false" outlineLevel="0" collapsed="false">
      <c r="B3573" s="102" t="n">
        <f aca="false">'Loan Tape'!$A236</f>
        <v>0</v>
      </c>
      <c r="C3573" s="99" t="n">
        <f aca="false">IF(1&gt;Debt_Yr,0,IF(1=Debt_Yr,C3270,MIN(C3270,(C1149+C1452+C1755+C2361)*Cash_Sweep)))</f>
        <v>0</v>
      </c>
      <c r="D3573" s="99" t="n">
        <f aca="false">IF(2&gt;Debt_Yr,0,IF(2=Debt_Yr,D3270,MIN(D3270,(D1149+D1452+D1755+D2361)*Cash_Sweep)))</f>
        <v>0</v>
      </c>
      <c r="E3573" s="99" t="n">
        <f aca="false">IF(3&gt;Debt_Yr,0,IF(3=Debt_Yr,E3270,MIN(E3270,(E1149+E1452+E1755+E2361)*Cash_Sweep)))</f>
        <v>0</v>
      </c>
      <c r="F3573" s="99" t="n">
        <f aca="false">IF(4&gt;Debt_Yr,0,IF(4=Debt_Yr,F3270,MIN(F3270,(F1149+F1452+F1755+F2361)*Cash_Sweep)))</f>
        <v>0</v>
      </c>
      <c r="G3573" s="99" t="n">
        <f aca="false">IF(5&gt;Debt_Yr,0,IF(5=Debt_Yr,G3270,MIN(G3270,(G1149+G1452+G1755+G2361)*Cash_Sweep)))</f>
        <v>0</v>
      </c>
      <c r="H3573" s="99" t="n">
        <f aca="false">IF(6&gt;Debt_Yr,0,IF(6=Debt_Yr,H3270,MIN(H3270,(H1149+H1452+H1755+H2361)*Cash_Sweep)))</f>
        <v>0</v>
      </c>
      <c r="I3573" s="99" t="n">
        <f aca="false">IF(7&gt;Debt_Yr,0,IF(7=Debt_Yr,I3270,MIN(I3270,(I1149+I1452+I1755+I2361)*Cash_Sweep)))</f>
        <v>0</v>
      </c>
      <c r="J3573" s="99" t="n">
        <f aca="false">IF(8&gt;Debt_Yr,0,IF(8=Debt_Yr,J3270,MIN(J3270,(J1149+J1452+J1755+J2361)*Cash_Sweep)))</f>
        <v>0</v>
      </c>
      <c r="K3573" s="99" t="n">
        <f aca="false">IF(9&gt;Debt_Yr,0,IF(9=Debt_Yr,K3270,MIN(K3270,(K1149+K1452+K1755+K2361)*Cash_Sweep)))</f>
        <v>0</v>
      </c>
      <c r="L3573" s="99" t="n">
        <f aca="false">IF(10&gt;Debt_Yr,0,IF(10=Debt_Yr,L3270,MIN(L3270,(L1149+L1452+L1755+L2361)*Cash_Sweep)))</f>
        <v>0</v>
      </c>
    </row>
    <row r="3574" customFormat="false" ht="15" hidden="false" customHeight="false" outlineLevel="0" collapsed="false">
      <c r="B3574" s="108" t="n">
        <f aca="false">'Loan Tape'!$A237</f>
        <v>0</v>
      </c>
      <c r="C3574" s="71" t="n">
        <f aca="false">IF(1&gt;Debt_Yr,0,IF(1=Debt_Yr,C3271,MIN(C3271,(C1150+C1453+C1756+C2362)*Cash_Sweep)))</f>
        <v>0</v>
      </c>
      <c r="D3574" s="71" t="n">
        <f aca="false">IF(2&gt;Debt_Yr,0,IF(2=Debt_Yr,D3271,MIN(D3271,(D1150+D1453+D1756+D2362)*Cash_Sweep)))</f>
        <v>0</v>
      </c>
      <c r="E3574" s="71" t="n">
        <f aca="false">IF(3&gt;Debt_Yr,0,IF(3=Debt_Yr,E3271,MIN(E3271,(E1150+E1453+E1756+E2362)*Cash_Sweep)))</f>
        <v>0</v>
      </c>
      <c r="F3574" s="71" t="n">
        <f aca="false">IF(4&gt;Debt_Yr,0,IF(4=Debt_Yr,F3271,MIN(F3271,(F1150+F1453+F1756+F2362)*Cash_Sweep)))</f>
        <v>0</v>
      </c>
      <c r="G3574" s="71" t="n">
        <f aca="false">IF(5&gt;Debt_Yr,0,IF(5=Debt_Yr,G3271,MIN(G3271,(G1150+G1453+G1756+G2362)*Cash_Sweep)))</f>
        <v>0</v>
      </c>
      <c r="H3574" s="71" t="n">
        <f aca="false">IF(6&gt;Debt_Yr,0,IF(6=Debt_Yr,H3271,MIN(H3271,(H1150+H1453+H1756+H2362)*Cash_Sweep)))</f>
        <v>0</v>
      </c>
      <c r="I3574" s="71" t="n">
        <f aca="false">IF(7&gt;Debt_Yr,0,IF(7=Debt_Yr,I3271,MIN(I3271,(I1150+I1453+I1756+I2362)*Cash_Sweep)))</f>
        <v>0</v>
      </c>
      <c r="J3574" s="71" t="n">
        <f aca="false">IF(8&gt;Debt_Yr,0,IF(8=Debt_Yr,J3271,MIN(J3271,(J1150+J1453+J1756+J2362)*Cash_Sweep)))</f>
        <v>0</v>
      </c>
      <c r="K3574" s="71" t="n">
        <f aca="false">IF(9&gt;Debt_Yr,0,IF(9=Debt_Yr,K3271,MIN(K3271,(K1150+K1453+K1756+K2362)*Cash_Sweep)))</f>
        <v>0</v>
      </c>
      <c r="L3574" s="71" t="n">
        <f aca="false">IF(10&gt;Debt_Yr,0,IF(10=Debt_Yr,L3271,MIN(L3271,(L1150+L1453+L1756+L2362)*Cash_Sweep)))</f>
        <v>0</v>
      </c>
    </row>
    <row r="3575" customFormat="false" ht="15" hidden="false" customHeight="false" outlineLevel="0" collapsed="false">
      <c r="B3575" s="102" t="n">
        <f aca="false">'Loan Tape'!$A238</f>
        <v>0</v>
      </c>
      <c r="C3575" s="99" t="n">
        <f aca="false">IF(1&gt;Debt_Yr,0,IF(1=Debt_Yr,C3272,MIN(C3272,(C1151+C1454+C1757+C2363)*Cash_Sweep)))</f>
        <v>0</v>
      </c>
      <c r="D3575" s="99" t="n">
        <f aca="false">IF(2&gt;Debt_Yr,0,IF(2=Debt_Yr,D3272,MIN(D3272,(D1151+D1454+D1757+D2363)*Cash_Sweep)))</f>
        <v>0</v>
      </c>
      <c r="E3575" s="99" t="n">
        <f aca="false">IF(3&gt;Debt_Yr,0,IF(3=Debt_Yr,E3272,MIN(E3272,(E1151+E1454+E1757+E2363)*Cash_Sweep)))</f>
        <v>0</v>
      </c>
      <c r="F3575" s="99" t="n">
        <f aca="false">IF(4&gt;Debt_Yr,0,IF(4=Debt_Yr,F3272,MIN(F3272,(F1151+F1454+F1757+F2363)*Cash_Sweep)))</f>
        <v>0</v>
      </c>
      <c r="G3575" s="99" t="n">
        <f aca="false">IF(5&gt;Debt_Yr,0,IF(5=Debt_Yr,G3272,MIN(G3272,(G1151+G1454+G1757+G2363)*Cash_Sweep)))</f>
        <v>0</v>
      </c>
      <c r="H3575" s="99" t="n">
        <f aca="false">IF(6&gt;Debt_Yr,0,IF(6=Debt_Yr,H3272,MIN(H3272,(H1151+H1454+H1757+H2363)*Cash_Sweep)))</f>
        <v>0</v>
      </c>
      <c r="I3575" s="99" t="n">
        <f aca="false">IF(7&gt;Debt_Yr,0,IF(7=Debt_Yr,I3272,MIN(I3272,(I1151+I1454+I1757+I2363)*Cash_Sweep)))</f>
        <v>0</v>
      </c>
      <c r="J3575" s="99" t="n">
        <f aca="false">IF(8&gt;Debt_Yr,0,IF(8=Debt_Yr,J3272,MIN(J3272,(J1151+J1454+J1757+J2363)*Cash_Sweep)))</f>
        <v>0</v>
      </c>
      <c r="K3575" s="99" t="n">
        <f aca="false">IF(9&gt;Debt_Yr,0,IF(9=Debt_Yr,K3272,MIN(K3272,(K1151+K1454+K1757+K2363)*Cash_Sweep)))</f>
        <v>0</v>
      </c>
      <c r="L3575" s="99" t="n">
        <f aca="false">IF(10&gt;Debt_Yr,0,IF(10=Debt_Yr,L3272,MIN(L3272,(L1151+L1454+L1757+L2363)*Cash_Sweep)))</f>
        <v>0</v>
      </c>
    </row>
    <row r="3576" customFormat="false" ht="15" hidden="false" customHeight="false" outlineLevel="0" collapsed="false">
      <c r="B3576" s="108" t="n">
        <f aca="false">'Loan Tape'!$A239</f>
        <v>0</v>
      </c>
      <c r="C3576" s="71" t="n">
        <f aca="false">IF(1&gt;Debt_Yr,0,IF(1=Debt_Yr,C3273,MIN(C3273,(C1152+C1455+C1758+C2364)*Cash_Sweep)))</f>
        <v>0</v>
      </c>
      <c r="D3576" s="71" t="n">
        <f aca="false">IF(2&gt;Debt_Yr,0,IF(2=Debt_Yr,D3273,MIN(D3273,(D1152+D1455+D1758+D2364)*Cash_Sweep)))</f>
        <v>0</v>
      </c>
      <c r="E3576" s="71" t="n">
        <f aca="false">IF(3&gt;Debt_Yr,0,IF(3=Debt_Yr,E3273,MIN(E3273,(E1152+E1455+E1758+E2364)*Cash_Sweep)))</f>
        <v>0</v>
      </c>
      <c r="F3576" s="71" t="n">
        <f aca="false">IF(4&gt;Debt_Yr,0,IF(4=Debt_Yr,F3273,MIN(F3273,(F1152+F1455+F1758+F2364)*Cash_Sweep)))</f>
        <v>0</v>
      </c>
      <c r="G3576" s="71" t="n">
        <f aca="false">IF(5&gt;Debt_Yr,0,IF(5=Debt_Yr,G3273,MIN(G3273,(G1152+G1455+G1758+G2364)*Cash_Sweep)))</f>
        <v>0</v>
      </c>
      <c r="H3576" s="71" t="n">
        <f aca="false">IF(6&gt;Debt_Yr,0,IF(6=Debt_Yr,H3273,MIN(H3273,(H1152+H1455+H1758+H2364)*Cash_Sweep)))</f>
        <v>0</v>
      </c>
      <c r="I3576" s="71" t="n">
        <f aca="false">IF(7&gt;Debt_Yr,0,IF(7=Debt_Yr,I3273,MIN(I3273,(I1152+I1455+I1758+I2364)*Cash_Sweep)))</f>
        <v>0</v>
      </c>
      <c r="J3576" s="71" t="n">
        <f aca="false">IF(8&gt;Debt_Yr,0,IF(8=Debt_Yr,J3273,MIN(J3273,(J1152+J1455+J1758+J2364)*Cash_Sweep)))</f>
        <v>0</v>
      </c>
      <c r="K3576" s="71" t="n">
        <f aca="false">IF(9&gt;Debt_Yr,0,IF(9=Debt_Yr,K3273,MIN(K3273,(K1152+K1455+K1758+K2364)*Cash_Sweep)))</f>
        <v>0</v>
      </c>
      <c r="L3576" s="71" t="n">
        <f aca="false">IF(10&gt;Debt_Yr,0,IF(10=Debt_Yr,L3273,MIN(L3273,(L1152+L1455+L1758+L2364)*Cash_Sweep)))</f>
        <v>0</v>
      </c>
    </row>
    <row r="3577" customFormat="false" ht="15" hidden="false" customHeight="false" outlineLevel="0" collapsed="false">
      <c r="B3577" s="102" t="n">
        <f aca="false">'Loan Tape'!$A240</f>
        <v>0</v>
      </c>
      <c r="C3577" s="99" t="n">
        <f aca="false">IF(1&gt;Debt_Yr,0,IF(1=Debt_Yr,C3274,MIN(C3274,(C1153+C1456+C1759+C2365)*Cash_Sweep)))</f>
        <v>0</v>
      </c>
      <c r="D3577" s="99" t="n">
        <f aca="false">IF(2&gt;Debt_Yr,0,IF(2=Debt_Yr,D3274,MIN(D3274,(D1153+D1456+D1759+D2365)*Cash_Sweep)))</f>
        <v>0</v>
      </c>
      <c r="E3577" s="99" t="n">
        <f aca="false">IF(3&gt;Debt_Yr,0,IF(3=Debt_Yr,E3274,MIN(E3274,(E1153+E1456+E1759+E2365)*Cash_Sweep)))</f>
        <v>0</v>
      </c>
      <c r="F3577" s="99" t="n">
        <f aca="false">IF(4&gt;Debt_Yr,0,IF(4=Debt_Yr,F3274,MIN(F3274,(F1153+F1456+F1759+F2365)*Cash_Sweep)))</f>
        <v>0</v>
      </c>
      <c r="G3577" s="99" t="n">
        <f aca="false">IF(5&gt;Debt_Yr,0,IF(5=Debt_Yr,G3274,MIN(G3274,(G1153+G1456+G1759+G2365)*Cash_Sweep)))</f>
        <v>0</v>
      </c>
      <c r="H3577" s="99" t="n">
        <f aca="false">IF(6&gt;Debt_Yr,0,IF(6=Debt_Yr,H3274,MIN(H3274,(H1153+H1456+H1759+H2365)*Cash_Sweep)))</f>
        <v>0</v>
      </c>
      <c r="I3577" s="99" t="n">
        <f aca="false">IF(7&gt;Debt_Yr,0,IF(7=Debt_Yr,I3274,MIN(I3274,(I1153+I1456+I1759+I2365)*Cash_Sweep)))</f>
        <v>0</v>
      </c>
      <c r="J3577" s="99" t="n">
        <f aca="false">IF(8&gt;Debt_Yr,0,IF(8=Debt_Yr,J3274,MIN(J3274,(J1153+J1456+J1759+J2365)*Cash_Sweep)))</f>
        <v>0</v>
      </c>
      <c r="K3577" s="99" t="n">
        <f aca="false">IF(9&gt;Debt_Yr,0,IF(9=Debt_Yr,K3274,MIN(K3274,(K1153+K1456+K1759+K2365)*Cash_Sweep)))</f>
        <v>0</v>
      </c>
      <c r="L3577" s="99" t="n">
        <f aca="false">IF(10&gt;Debt_Yr,0,IF(10=Debt_Yr,L3274,MIN(L3274,(L1153+L1456+L1759+L2365)*Cash_Sweep)))</f>
        <v>0</v>
      </c>
    </row>
    <row r="3578" customFormat="false" ht="15" hidden="false" customHeight="false" outlineLevel="0" collapsed="false">
      <c r="B3578" s="108" t="n">
        <f aca="false">'Loan Tape'!$A241</f>
        <v>0</v>
      </c>
      <c r="C3578" s="71" t="n">
        <f aca="false">IF(1&gt;Debt_Yr,0,IF(1=Debt_Yr,C3275,MIN(C3275,(C1154+C1457+C1760+C2366)*Cash_Sweep)))</f>
        <v>0</v>
      </c>
      <c r="D3578" s="71" t="n">
        <f aca="false">IF(2&gt;Debt_Yr,0,IF(2=Debt_Yr,D3275,MIN(D3275,(D1154+D1457+D1760+D2366)*Cash_Sweep)))</f>
        <v>0</v>
      </c>
      <c r="E3578" s="71" t="n">
        <f aca="false">IF(3&gt;Debt_Yr,0,IF(3=Debt_Yr,E3275,MIN(E3275,(E1154+E1457+E1760+E2366)*Cash_Sweep)))</f>
        <v>0</v>
      </c>
      <c r="F3578" s="71" t="n">
        <f aca="false">IF(4&gt;Debt_Yr,0,IF(4=Debt_Yr,F3275,MIN(F3275,(F1154+F1457+F1760+F2366)*Cash_Sweep)))</f>
        <v>0</v>
      </c>
      <c r="G3578" s="71" t="n">
        <f aca="false">IF(5&gt;Debt_Yr,0,IF(5=Debt_Yr,G3275,MIN(G3275,(G1154+G1457+G1760+G2366)*Cash_Sweep)))</f>
        <v>0</v>
      </c>
      <c r="H3578" s="71" t="n">
        <f aca="false">IF(6&gt;Debt_Yr,0,IF(6=Debt_Yr,H3275,MIN(H3275,(H1154+H1457+H1760+H2366)*Cash_Sweep)))</f>
        <v>0</v>
      </c>
      <c r="I3578" s="71" t="n">
        <f aca="false">IF(7&gt;Debt_Yr,0,IF(7=Debt_Yr,I3275,MIN(I3275,(I1154+I1457+I1760+I2366)*Cash_Sweep)))</f>
        <v>0</v>
      </c>
      <c r="J3578" s="71" t="n">
        <f aca="false">IF(8&gt;Debt_Yr,0,IF(8=Debt_Yr,J3275,MIN(J3275,(J1154+J1457+J1760+J2366)*Cash_Sweep)))</f>
        <v>0</v>
      </c>
      <c r="K3578" s="71" t="n">
        <f aca="false">IF(9&gt;Debt_Yr,0,IF(9=Debt_Yr,K3275,MIN(K3275,(K1154+K1457+K1760+K2366)*Cash_Sweep)))</f>
        <v>0</v>
      </c>
      <c r="L3578" s="71" t="n">
        <f aca="false">IF(10&gt;Debt_Yr,0,IF(10=Debt_Yr,L3275,MIN(L3275,(L1154+L1457+L1760+L2366)*Cash_Sweep)))</f>
        <v>0</v>
      </c>
    </row>
    <row r="3579" customFormat="false" ht="15" hidden="false" customHeight="false" outlineLevel="0" collapsed="false">
      <c r="B3579" s="102" t="n">
        <f aca="false">'Loan Tape'!$A242</f>
        <v>0</v>
      </c>
      <c r="C3579" s="99" t="n">
        <f aca="false">IF(1&gt;Debt_Yr,0,IF(1=Debt_Yr,C3276,MIN(C3276,(C1155+C1458+C1761+C2367)*Cash_Sweep)))</f>
        <v>0</v>
      </c>
      <c r="D3579" s="99" t="n">
        <f aca="false">IF(2&gt;Debt_Yr,0,IF(2=Debt_Yr,D3276,MIN(D3276,(D1155+D1458+D1761+D2367)*Cash_Sweep)))</f>
        <v>0</v>
      </c>
      <c r="E3579" s="99" t="n">
        <f aca="false">IF(3&gt;Debt_Yr,0,IF(3=Debt_Yr,E3276,MIN(E3276,(E1155+E1458+E1761+E2367)*Cash_Sweep)))</f>
        <v>0</v>
      </c>
      <c r="F3579" s="99" t="n">
        <f aca="false">IF(4&gt;Debt_Yr,0,IF(4=Debt_Yr,F3276,MIN(F3276,(F1155+F1458+F1761+F2367)*Cash_Sweep)))</f>
        <v>0</v>
      </c>
      <c r="G3579" s="99" t="n">
        <f aca="false">IF(5&gt;Debt_Yr,0,IF(5=Debt_Yr,G3276,MIN(G3276,(G1155+G1458+G1761+G2367)*Cash_Sweep)))</f>
        <v>0</v>
      </c>
      <c r="H3579" s="99" t="n">
        <f aca="false">IF(6&gt;Debt_Yr,0,IF(6=Debt_Yr,H3276,MIN(H3276,(H1155+H1458+H1761+H2367)*Cash_Sweep)))</f>
        <v>0</v>
      </c>
      <c r="I3579" s="99" t="n">
        <f aca="false">IF(7&gt;Debt_Yr,0,IF(7=Debt_Yr,I3276,MIN(I3276,(I1155+I1458+I1761+I2367)*Cash_Sweep)))</f>
        <v>0</v>
      </c>
      <c r="J3579" s="99" t="n">
        <f aca="false">IF(8&gt;Debt_Yr,0,IF(8=Debt_Yr,J3276,MIN(J3276,(J1155+J1458+J1761+J2367)*Cash_Sweep)))</f>
        <v>0</v>
      </c>
      <c r="K3579" s="99" t="n">
        <f aca="false">IF(9&gt;Debt_Yr,0,IF(9=Debt_Yr,K3276,MIN(K3276,(K1155+K1458+K1761+K2367)*Cash_Sweep)))</f>
        <v>0</v>
      </c>
      <c r="L3579" s="99" t="n">
        <f aca="false">IF(10&gt;Debt_Yr,0,IF(10=Debt_Yr,L3276,MIN(L3276,(L1155+L1458+L1761+L2367)*Cash_Sweep)))</f>
        <v>0</v>
      </c>
    </row>
    <row r="3580" customFormat="false" ht="15" hidden="false" customHeight="false" outlineLevel="0" collapsed="false">
      <c r="B3580" s="108" t="n">
        <f aca="false">'Loan Tape'!$A243</f>
        <v>0</v>
      </c>
      <c r="C3580" s="71" t="n">
        <f aca="false">IF(1&gt;Debt_Yr,0,IF(1=Debt_Yr,C3277,MIN(C3277,(C1156+C1459+C1762+C2368)*Cash_Sweep)))</f>
        <v>0</v>
      </c>
      <c r="D3580" s="71" t="n">
        <f aca="false">IF(2&gt;Debt_Yr,0,IF(2=Debt_Yr,D3277,MIN(D3277,(D1156+D1459+D1762+D2368)*Cash_Sweep)))</f>
        <v>0</v>
      </c>
      <c r="E3580" s="71" t="n">
        <f aca="false">IF(3&gt;Debt_Yr,0,IF(3=Debt_Yr,E3277,MIN(E3277,(E1156+E1459+E1762+E2368)*Cash_Sweep)))</f>
        <v>0</v>
      </c>
      <c r="F3580" s="71" t="n">
        <f aca="false">IF(4&gt;Debt_Yr,0,IF(4=Debt_Yr,F3277,MIN(F3277,(F1156+F1459+F1762+F2368)*Cash_Sweep)))</f>
        <v>0</v>
      </c>
      <c r="G3580" s="71" t="n">
        <f aca="false">IF(5&gt;Debt_Yr,0,IF(5=Debt_Yr,G3277,MIN(G3277,(G1156+G1459+G1762+G2368)*Cash_Sweep)))</f>
        <v>0</v>
      </c>
      <c r="H3580" s="71" t="n">
        <f aca="false">IF(6&gt;Debt_Yr,0,IF(6=Debt_Yr,H3277,MIN(H3277,(H1156+H1459+H1762+H2368)*Cash_Sweep)))</f>
        <v>0</v>
      </c>
      <c r="I3580" s="71" t="n">
        <f aca="false">IF(7&gt;Debt_Yr,0,IF(7=Debt_Yr,I3277,MIN(I3277,(I1156+I1459+I1762+I2368)*Cash_Sweep)))</f>
        <v>0</v>
      </c>
      <c r="J3580" s="71" t="n">
        <f aca="false">IF(8&gt;Debt_Yr,0,IF(8=Debt_Yr,J3277,MIN(J3277,(J1156+J1459+J1762+J2368)*Cash_Sweep)))</f>
        <v>0</v>
      </c>
      <c r="K3580" s="71" t="n">
        <f aca="false">IF(9&gt;Debt_Yr,0,IF(9=Debt_Yr,K3277,MIN(K3277,(K1156+K1459+K1762+K2368)*Cash_Sweep)))</f>
        <v>0</v>
      </c>
      <c r="L3580" s="71" t="n">
        <f aca="false">IF(10&gt;Debt_Yr,0,IF(10=Debt_Yr,L3277,MIN(L3277,(L1156+L1459+L1762+L2368)*Cash_Sweep)))</f>
        <v>0</v>
      </c>
    </row>
    <row r="3581" customFormat="false" ht="15" hidden="false" customHeight="false" outlineLevel="0" collapsed="false">
      <c r="B3581" s="102" t="n">
        <f aca="false">'Loan Tape'!$A244</f>
        <v>0</v>
      </c>
      <c r="C3581" s="99" t="n">
        <f aca="false">IF(1&gt;Debt_Yr,0,IF(1=Debt_Yr,C3278,MIN(C3278,(C1157+C1460+C1763+C2369)*Cash_Sweep)))</f>
        <v>0</v>
      </c>
      <c r="D3581" s="99" t="n">
        <f aca="false">IF(2&gt;Debt_Yr,0,IF(2=Debt_Yr,D3278,MIN(D3278,(D1157+D1460+D1763+D2369)*Cash_Sweep)))</f>
        <v>0</v>
      </c>
      <c r="E3581" s="99" t="n">
        <f aca="false">IF(3&gt;Debt_Yr,0,IF(3=Debt_Yr,E3278,MIN(E3278,(E1157+E1460+E1763+E2369)*Cash_Sweep)))</f>
        <v>0</v>
      </c>
      <c r="F3581" s="99" t="n">
        <f aca="false">IF(4&gt;Debt_Yr,0,IF(4=Debt_Yr,F3278,MIN(F3278,(F1157+F1460+F1763+F2369)*Cash_Sweep)))</f>
        <v>0</v>
      </c>
      <c r="G3581" s="99" t="n">
        <f aca="false">IF(5&gt;Debt_Yr,0,IF(5=Debt_Yr,G3278,MIN(G3278,(G1157+G1460+G1763+G2369)*Cash_Sweep)))</f>
        <v>0</v>
      </c>
      <c r="H3581" s="99" t="n">
        <f aca="false">IF(6&gt;Debt_Yr,0,IF(6=Debt_Yr,H3278,MIN(H3278,(H1157+H1460+H1763+H2369)*Cash_Sweep)))</f>
        <v>0</v>
      </c>
      <c r="I3581" s="99" t="n">
        <f aca="false">IF(7&gt;Debt_Yr,0,IF(7=Debt_Yr,I3278,MIN(I3278,(I1157+I1460+I1763+I2369)*Cash_Sweep)))</f>
        <v>0</v>
      </c>
      <c r="J3581" s="99" t="n">
        <f aca="false">IF(8&gt;Debt_Yr,0,IF(8=Debt_Yr,J3278,MIN(J3278,(J1157+J1460+J1763+J2369)*Cash_Sweep)))</f>
        <v>0</v>
      </c>
      <c r="K3581" s="99" t="n">
        <f aca="false">IF(9&gt;Debt_Yr,0,IF(9=Debt_Yr,K3278,MIN(K3278,(K1157+K1460+K1763+K2369)*Cash_Sweep)))</f>
        <v>0</v>
      </c>
      <c r="L3581" s="99" t="n">
        <f aca="false">IF(10&gt;Debt_Yr,0,IF(10=Debt_Yr,L3278,MIN(L3278,(L1157+L1460+L1763+L2369)*Cash_Sweep)))</f>
        <v>0</v>
      </c>
    </row>
    <row r="3582" customFormat="false" ht="15" hidden="false" customHeight="false" outlineLevel="0" collapsed="false">
      <c r="B3582" s="108" t="n">
        <f aca="false">'Loan Tape'!$A245</f>
        <v>0</v>
      </c>
      <c r="C3582" s="71" t="n">
        <f aca="false">IF(1&gt;Debt_Yr,0,IF(1=Debt_Yr,C3279,MIN(C3279,(C1158+C1461+C1764+C2370)*Cash_Sweep)))</f>
        <v>0</v>
      </c>
      <c r="D3582" s="71" t="n">
        <f aca="false">IF(2&gt;Debt_Yr,0,IF(2=Debt_Yr,D3279,MIN(D3279,(D1158+D1461+D1764+D2370)*Cash_Sweep)))</f>
        <v>0</v>
      </c>
      <c r="E3582" s="71" t="n">
        <f aca="false">IF(3&gt;Debt_Yr,0,IF(3=Debt_Yr,E3279,MIN(E3279,(E1158+E1461+E1764+E2370)*Cash_Sweep)))</f>
        <v>0</v>
      </c>
      <c r="F3582" s="71" t="n">
        <f aca="false">IF(4&gt;Debt_Yr,0,IF(4=Debt_Yr,F3279,MIN(F3279,(F1158+F1461+F1764+F2370)*Cash_Sweep)))</f>
        <v>0</v>
      </c>
      <c r="G3582" s="71" t="n">
        <f aca="false">IF(5&gt;Debt_Yr,0,IF(5=Debt_Yr,G3279,MIN(G3279,(G1158+G1461+G1764+G2370)*Cash_Sweep)))</f>
        <v>0</v>
      </c>
      <c r="H3582" s="71" t="n">
        <f aca="false">IF(6&gt;Debt_Yr,0,IF(6=Debt_Yr,H3279,MIN(H3279,(H1158+H1461+H1764+H2370)*Cash_Sweep)))</f>
        <v>0</v>
      </c>
      <c r="I3582" s="71" t="n">
        <f aca="false">IF(7&gt;Debt_Yr,0,IF(7=Debt_Yr,I3279,MIN(I3279,(I1158+I1461+I1764+I2370)*Cash_Sweep)))</f>
        <v>0</v>
      </c>
      <c r="J3582" s="71" t="n">
        <f aca="false">IF(8&gt;Debt_Yr,0,IF(8=Debt_Yr,J3279,MIN(J3279,(J1158+J1461+J1764+J2370)*Cash_Sweep)))</f>
        <v>0</v>
      </c>
      <c r="K3582" s="71" t="n">
        <f aca="false">IF(9&gt;Debt_Yr,0,IF(9=Debt_Yr,K3279,MIN(K3279,(K1158+K1461+K1764+K2370)*Cash_Sweep)))</f>
        <v>0</v>
      </c>
      <c r="L3582" s="71" t="n">
        <f aca="false">IF(10&gt;Debt_Yr,0,IF(10=Debt_Yr,L3279,MIN(L3279,(L1158+L1461+L1764+L2370)*Cash_Sweep)))</f>
        <v>0</v>
      </c>
    </row>
    <row r="3583" customFormat="false" ht="15" hidden="false" customHeight="false" outlineLevel="0" collapsed="false">
      <c r="B3583" s="102" t="n">
        <f aca="false">'Loan Tape'!$A246</f>
        <v>0</v>
      </c>
      <c r="C3583" s="99" t="n">
        <f aca="false">IF(1&gt;Debt_Yr,0,IF(1=Debt_Yr,C3280,MIN(C3280,(C1159+C1462+C1765+C2371)*Cash_Sweep)))</f>
        <v>0</v>
      </c>
      <c r="D3583" s="99" t="n">
        <f aca="false">IF(2&gt;Debt_Yr,0,IF(2=Debt_Yr,D3280,MIN(D3280,(D1159+D1462+D1765+D2371)*Cash_Sweep)))</f>
        <v>0</v>
      </c>
      <c r="E3583" s="99" t="n">
        <f aca="false">IF(3&gt;Debt_Yr,0,IF(3=Debt_Yr,E3280,MIN(E3280,(E1159+E1462+E1765+E2371)*Cash_Sweep)))</f>
        <v>0</v>
      </c>
      <c r="F3583" s="99" t="n">
        <f aca="false">IF(4&gt;Debt_Yr,0,IF(4=Debt_Yr,F3280,MIN(F3280,(F1159+F1462+F1765+F2371)*Cash_Sweep)))</f>
        <v>0</v>
      </c>
      <c r="G3583" s="99" t="n">
        <f aca="false">IF(5&gt;Debt_Yr,0,IF(5=Debt_Yr,G3280,MIN(G3280,(G1159+G1462+G1765+G2371)*Cash_Sweep)))</f>
        <v>0</v>
      </c>
      <c r="H3583" s="99" t="n">
        <f aca="false">IF(6&gt;Debt_Yr,0,IF(6=Debt_Yr,H3280,MIN(H3280,(H1159+H1462+H1765+H2371)*Cash_Sweep)))</f>
        <v>0</v>
      </c>
      <c r="I3583" s="99" t="n">
        <f aca="false">IF(7&gt;Debt_Yr,0,IF(7=Debt_Yr,I3280,MIN(I3280,(I1159+I1462+I1765+I2371)*Cash_Sweep)))</f>
        <v>0</v>
      </c>
      <c r="J3583" s="99" t="n">
        <f aca="false">IF(8&gt;Debt_Yr,0,IF(8=Debt_Yr,J3280,MIN(J3280,(J1159+J1462+J1765+J2371)*Cash_Sweep)))</f>
        <v>0</v>
      </c>
      <c r="K3583" s="99" t="n">
        <f aca="false">IF(9&gt;Debt_Yr,0,IF(9=Debt_Yr,K3280,MIN(K3280,(K1159+K1462+K1765+K2371)*Cash_Sweep)))</f>
        <v>0</v>
      </c>
      <c r="L3583" s="99" t="n">
        <f aca="false">IF(10&gt;Debt_Yr,0,IF(10=Debt_Yr,L3280,MIN(L3280,(L1159+L1462+L1765+L2371)*Cash_Sweep)))</f>
        <v>0</v>
      </c>
    </row>
    <row r="3584" customFormat="false" ht="15" hidden="false" customHeight="false" outlineLevel="0" collapsed="false">
      <c r="B3584" s="108" t="n">
        <f aca="false">'Loan Tape'!$A247</f>
        <v>0</v>
      </c>
      <c r="C3584" s="71" t="n">
        <f aca="false">IF(1&gt;Debt_Yr,0,IF(1=Debt_Yr,C3281,MIN(C3281,(C1160+C1463+C1766+C2372)*Cash_Sweep)))</f>
        <v>0</v>
      </c>
      <c r="D3584" s="71" t="n">
        <f aca="false">IF(2&gt;Debt_Yr,0,IF(2=Debt_Yr,D3281,MIN(D3281,(D1160+D1463+D1766+D2372)*Cash_Sweep)))</f>
        <v>0</v>
      </c>
      <c r="E3584" s="71" t="n">
        <f aca="false">IF(3&gt;Debt_Yr,0,IF(3=Debt_Yr,E3281,MIN(E3281,(E1160+E1463+E1766+E2372)*Cash_Sweep)))</f>
        <v>0</v>
      </c>
      <c r="F3584" s="71" t="n">
        <f aca="false">IF(4&gt;Debt_Yr,0,IF(4=Debt_Yr,F3281,MIN(F3281,(F1160+F1463+F1766+F2372)*Cash_Sweep)))</f>
        <v>0</v>
      </c>
      <c r="G3584" s="71" t="n">
        <f aca="false">IF(5&gt;Debt_Yr,0,IF(5=Debt_Yr,G3281,MIN(G3281,(G1160+G1463+G1766+G2372)*Cash_Sweep)))</f>
        <v>0</v>
      </c>
      <c r="H3584" s="71" t="n">
        <f aca="false">IF(6&gt;Debt_Yr,0,IF(6=Debt_Yr,H3281,MIN(H3281,(H1160+H1463+H1766+H2372)*Cash_Sweep)))</f>
        <v>0</v>
      </c>
      <c r="I3584" s="71" t="n">
        <f aca="false">IF(7&gt;Debt_Yr,0,IF(7=Debt_Yr,I3281,MIN(I3281,(I1160+I1463+I1766+I2372)*Cash_Sweep)))</f>
        <v>0</v>
      </c>
      <c r="J3584" s="71" t="n">
        <f aca="false">IF(8&gt;Debt_Yr,0,IF(8=Debt_Yr,J3281,MIN(J3281,(J1160+J1463+J1766+J2372)*Cash_Sweep)))</f>
        <v>0</v>
      </c>
      <c r="K3584" s="71" t="n">
        <f aca="false">IF(9&gt;Debt_Yr,0,IF(9=Debt_Yr,K3281,MIN(K3281,(K1160+K1463+K1766+K2372)*Cash_Sweep)))</f>
        <v>0</v>
      </c>
      <c r="L3584" s="71" t="n">
        <f aca="false">IF(10&gt;Debt_Yr,0,IF(10=Debt_Yr,L3281,MIN(L3281,(L1160+L1463+L1766+L2372)*Cash_Sweep)))</f>
        <v>0</v>
      </c>
    </row>
    <row r="3585" customFormat="false" ht="15" hidden="false" customHeight="false" outlineLevel="0" collapsed="false">
      <c r="B3585" s="102" t="n">
        <f aca="false">'Loan Tape'!$A248</f>
        <v>0</v>
      </c>
      <c r="C3585" s="99" t="n">
        <f aca="false">IF(1&gt;Debt_Yr,0,IF(1=Debt_Yr,C3282,MIN(C3282,(C1161+C1464+C1767+C2373)*Cash_Sweep)))</f>
        <v>0</v>
      </c>
      <c r="D3585" s="99" t="n">
        <f aca="false">IF(2&gt;Debt_Yr,0,IF(2=Debt_Yr,D3282,MIN(D3282,(D1161+D1464+D1767+D2373)*Cash_Sweep)))</f>
        <v>0</v>
      </c>
      <c r="E3585" s="99" t="n">
        <f aca="false">IF(3&gt;Debt_Yr,0,IF(3=Debt_Yr,E3282,MIN(E3282,(E1161+E1464+E1767+E2373)*Cash_Sweep)))</f>
        <v>0</v>
      </c>
      <c r="F3585" s="99" t="n">
        <f aca="false">IF(4&gt;Debt_Yr,0,IF(4=Debt_Yr,F3282,MIN(F3282,(F1161+F1464+F1767+F2373)*Cash_Sweep)))</f>
        <v>0</v>
      </c>
      <c r="G3585" s="99" t="n">
        <f aca="false">IF(5&gt;Debt_Yr,0,IF(5=Debt_Yr,G3282,MIN(G3282,(G1161+G1464+G1767+G2373)*Cash_Sweep)))</f>
        <v>0</v>
      </c>
      <c r="H3585" s="99" t="n">
        <f aca="false">IF(6&gt;Debt_Yr,0,IF(6=Debt_Yr,H3282,MIN(H3282,(H1161+H1464+H1767+H2373)*Cash_Sweep)))</f>
        <v>0</v>
      </c>
      <c r="I3585" s="99" t="n">
        <f aca="false">IF(7&gt;Debt_Yr,0,IF(7=Debt_Yr,I3282,MIN(I3282,(I1161+I1464+I1767+I2373)*Cash_Sweep)))</f>
        <v>0</v>
      </c>
      <c r="J3585" s="99" t="n">
        <f aca="false">IF(8&gt;Debt_Yr,0,IF(8=Debt_Yr,J3282,MIN(J3282,(J1161+J1464+J1767+J2373)*Cash_Sweep)))</f>
        <v>0</v>
      </c>
      <c r="K3585" s="99" t="n">
        <f aca="false">IF(9&gt;Debt_Yr,0,IF(9=Debt_Yr,K3282,MIN(K3282,(K1161+K1464+K1767+K2373)*Cash_Sweep)))</f>
        <v>0</v>
      </c>
      <c r="L3585" s="99" t="n">
        <f aca="false">IF(10&gt;Debt_Yr,0,IF(10=Debt_Yr,L3282,MIN(L3282,(L1161+L1464+L1767+L2373)*Cash_Sweep)))</f>
        <v>0</v>
      </c>
    </row>
    <row r="3586" customFormat="false" ht="15" hidden="false" customHeight="false" outlineLevel="0" collapsed="false">
      <c r="B3586" s="108" t="n">
        <f aca="false">'Loan Tape'!$A249</f>
        <v>0</v>
      </c>
      <c r="C3586" s="71" t="n">
        <f aca="false">IF(1&gt;Debt_Yr,0,IF(1=Debt_Yr,C3283,MIN(C3283,(C1162+C1465+C1768+C2374)*Cash_Sweep)))</f>
        <v>0</v>
      </c>
      <c r="D3586" s="71" t="n">
        <f aca="false">IF(2&gt;Debt_Yr,0,IF(2=Debt_Yr,D3283,MIN(D3283,(D1162+D1465+D1768+D2374)*Cash_Sweep)))</f>
        <v>0</v>
      </c>
      <c r="E3586" s="71" t="n">
        <f aca="false">IF(3&gt;Debt_Yr,0,IF(3=Debt_Yr,E3283,MIN(E3283,(E1162+E1465+E1768+E2374)*Cash_Sweep)))</f>
        <v>0</v>
      </c>
      <c r="F3586" s="71" t="n">
        <f aca="false">IF(4&gt;Debt_Yr,0,IF(4=Debt_Yr,F3283,MIN(F3283,(F1162+F1465+F1768+F2374)*Cash_Sweep)))</f>
        <v>0</v>
      </c>
      <c r="G3586" s="71" t="n">
        <f aca="false">IF(5&gt;Debt_Yr,0,IF(5=Debt_Yr,G3283,MIN(G3283,(G1162+G1465+G1768+G2374)*Cash_Sweep)))</f>
        <v>0</v>
      </c>
      <c r="H3586" s="71" t="n">
        <f aca="false">IF(6&gt;Debt_Yr,0,IF(6=Debt_Yr,H3283,MIN(H3283,(H1162+H1465+H1768+H2374)*Cash_Sweep)))</f>
        <v>0</v>
      </c>
      <c r="I3586" s="71" t="n">
        <f aca="false">IF(7&gt;Debt_Yr,0,IF(7=Debt_Yr,I3283,MIN(I3283,(I1162+I1465+I1768+I2374)*Cash_Sweep)))</f>
        <v>0</v>
      </c>
      <c r="J3586" s="71" t="n">
        <f aca="false">IF(8&gt;Debt_Yr,0,IF(8=Debt_Yr,J3283,MIN(J3283,(J1162+J1465+J1768+J2374)*Cash_Sweep)))</f>
        <v>0</v>
      </c>
      <c r="K3586" s="71" t="n">
        <f aca="false">IF(9&gt;Debt_Yr,0,IF(9=Debt_Yr,K3283,MIN(K3283,(K1162+K1465+K1768+K2374)*Cash_Sweep)))</f>
        <v>0</v>
      </c>
      <c r="L3586" s="71" t="n">
        <f aca="false">IF(10&gt;Debt_Yr,0,IF(10=Debt_Yr,L3283,MIN(L3283,(L1162+L1465+L1768+L2374)*Cash_Sweep)))</f>
        <v>0</v>
      </c>
    </row>
    <row r="3587" customFormat="false" ht="15" hidden="false" customHeight="false" outlineLevel="0" collapsed="false">
      <c r="B3587" s="102" t="n">
        <f aca="false">'Loan Tape'!$A250</f>
        <v>0</v>
      </c>
      <c r="C3587" s="99" t="n">
        <f aca="false">IF(1&gt;Debt_Yr,0,IF(1=Debt_Yr,C3284,MIN(C3284,(C1163+C1466+C1769+C2375)*Cash_Sweep)))</f>
        <v>0</v>
      </c>
      <c r="D3587" s="99" t="n">
        <f aca="false">IF(2&gt;Debt_Yr,0,IF(2=Debt_Yr,D3284,MIN(D3284,(D1163+D1466+D1769+D2375)*Cash_Sweep)))</f>
        <v>0</v>
      </c>
      <c r="E3587" s="99" t="n">
        <f aca="false">IF(3&gt;Debt_Yr,0,IF(3=Debt_Yr,E3284,MIN(E3284,(E1163+E1466+E1769+E2375)*Cash_Sweep)))</f>
        <v>0</v>
      </c>
      <c r="F3587" s="99" t="n">
        <f aca="false">IF(4&gt;Debt_Yr,0,IF(4=Debt_Yr,F3284,MIN(F3284,(F1163+F1466+F1769+F2375)*Cash_Sweep)))</f>
        <v>0</v>
      </c>
      <c r="G3587" s="99" t="n">
        <f aca="false">IF(5&gt;Debt_Yr,0,IF(5=Debt_Yr,G3284,MIN(G3284,(G1163+G1466+G1769+G2375)*Cash_Sweep)))</f>
        <v>0</v>
      </c>
      <c r="H3587" s="99" t="n">
        <f aca="false">IF(6&gt;Debt_Yr,0,IF(6=Debt_Yr,H3284,MIN(H3284,(H1163+H1466+H1769+H2375)*Cash_Sweep)))</f>
        <v>0</v>
      </c>
      <c r="I3587" s="99" t="n">
        <f aca="false">IF(7&gt;Debt_Yr,0,IF(7=Debt_Yr,I3284,MIN(I3284,(I1163+I1466+I1769+I2375)*Cash_Sweep)))</f>
        <v>0</v>
      </c>
      <c r="J3587" s="99" t="n">
        <f aca="false">IF(8&gt;Debt_Yr,0,IF(8=Debt_Yr,J3284,MIN(J3284,(J1163+J1466+J1769+J2375)*Cash_Sweep)))</f>
        <v>0</v>
      </c>
      <c r="K3587" s="99" t="n">
        <f aca="false">IF(9&gt;Debt_Yr,0,IF(9=Debt_Yr,K3284,MIN(K3284,(K1163+K1466+K1769+K2375)*Cash_Sweep)))</f>
        <v>0</v>
      </c>
      <c r="L3587" s="99" t="n">
        <f aca="false">IF(10&gt;Debt_Yr,0,IF(10=Debt_Yr,L3284,MIN(L3284,(L1163+L1466+L1769+L2375)*Cash_Sweep)))</f>
        <v>0</v>
      </c>
    </row>
    <row r="3588" customFormat="false" ht="15" hidden="false" customHeight="false" outlineLevel="0" collapsed="false">
      <c r="B3588" s="108" t="n">
        <f aca="false">'Loan Tape'!$A251</f>
        <v>0</v>
      </c>
      <c r="C3588" s="71" t="n">
        <f aca="false">IF(1&gt;Debt_Yr,0,IF(1=Debt_Yr,C3285,MIN(C3285,(C1164+C1467+C1770+C2376)*Cash_Sweep)))</f>
        <v>0</v>
      </c>
      <c r="D3588" s="71" t="n">
        <f aca="false">IF(2&gt;Debt_Yr,0,IF(2=Debt_Yr,D3285,MIN(D3285,(D1164+D1467+D1770+D2376)*Cash_Sweep)))</f>
        <v>0</v>
      </c>
      <c r="E3588" s="71" t="n">
        <f aca="false">IF(3&gt;Debt_Yr,0,IF(3=Debt_Yr,E3285,MIN(E3285,(E1164+E1467+E1770+E2376)*Cash_Sweep)))</f>
        <v>0</v>
      </c>
      <c r="F3588" s="71" t="n">
        <f aca="false">IF(4&gt;Debt_Yr,0,IF(4=Debt_Yr,F3285,MIN(F3285,(F1164+F1467+F1770+F2376)*Cash_Sweep)))</f>
        <v>0</v>
      </c>
      <c r="G3588" s="71" t="n">
        <f aca="false">IF(5&gt;Debt_Yr,0,IF(5=Debt_Yr,G3285,MIN(G3285,(G1164+G1467+G1770+G2376)*Cash_Sweep)))</f>
        <v>0</v>
      </c>
      <c r="H3588" s="71" t="n">
        <f aca="false">IF(6&gt;Debt_Yr,0,IF(6=Debt_Yr,H3285,MIN(H3285,(H1164+H1467+H1770+H2376)*Cash_Sweep)))</f>
        <v>0</v>
      </c>
      <c r="I3588" s="71" t="n">
        <f aca="false">IF(7&gt;Debt_Yr,0,IF(7=Debt_Yr,I3285,MIN(I3285,(I1164+I1467+I1770+I2376)*Cash_Sweep)))</f>
        <v>0</v>
      </c>
      <c r="J3588" s="71" t="n">
        <f aca="false">IF(8&gt;Debt_Yr,0,IF(8=Debt_Yr,J3285,MIN(J3285,(J1164+J1467+J1770+J2376)*Cash_Sweep)))</f>
        <v>0</v>
      </c>
      <c r="K3588" s="71" t="n">
        <f aca="false">IF(9&gt;Debt_Yr,0,IF(9=Debt_Yr,K3285,MIN(K3285,(K1164+K1467+K1770+K2376)*Cash_Sweep)))</f>
        <v>0</v>
      </c>
      <c r="L3588" s="71" t="n">
        <f aca="false">IF(10&gt;Debt_Yr,0,IF(10=Debt_Yr,L3285,MIN(L3285,(L1164+L1467+L1770+L2376)*Cash_Sweep)))</f>
        <v>0</v>
      </c>
    </row>
    <row r="3589" customFormat="false" ht="15" hidden="false" customHeight="false" outlineLevel="0" collapsed="false">
      <c r="B3589" s="102" t="n">
        <f aca="false">'Loan Tape'!$A252</f>
        <v>0</v>
      </c>
      <c r="C3589" s="99" t="n">
        <f aca="false">IF(1&gt;Debt_Yr,0,IF(1=Debt_Yr,C3286,MIN(C3286,(C1165+C1468+C1771+C2377)*Cash_Sweep)))</f>
        <v>0</v>
      </c>
      <c r="D3589" s="99" t="n">
        <f aca="false">IF(2&gt;Debt_Yr,0,IF(2=Debt_Yr,D3286,MIN(D3286,(D1165+D1468+D1771+D2377)*Cash_Sweep)))</f>
        <v>0</v>
      </c>
      <c r="E3589" s="99" t="n">
        <f aca="false">IF(3&gt;Debt_Yr,0,IF(3=Debt_Yr,E3286,MIN(E3286,(E1165+E1468+E1771+E2377)*Cash_Sweep)))</f>
        <v>0</v>
      </c>
      <c r="F3589" s="99" t="n">
        <f aca="false">IF(4&gt;Debt_Yr,0,IF(4=Debt_Yr,F3286,MIN(F3286,(F1165+F1468+F1771+F2377)*Cash_Sweep)))</f>
        <v>0</v>
      </c>
      <c r="G3589" s="99" t="n">
        <f aca="false">IF(5&gt;Debt_Yr,0,IF(5=Debt_Yr,G3286,MIN(G3286,(G1165+G1468+G1771+G2377)*Cash_Sweep)))</f>
        <v>0</v>
      </c>
      <c r="H3589" s="99" t="n">
        <f aca="false">IF(6&gt;Debt_Yr,0,IF(6=Debt_Yr,H3286,MIN(H3286,(H1165+H1468+H1771+H2377)*Cash_Sweep)))</f>
        <v>0</v>
      </c>
      <c r="I3589" s="99" t="n">
        <f aca="false">IF(7&gt;Debt_Yr,0,IF(7=Debt_Yr,I3286,MIN(I3286,(I1165+I1468+I1771+I2377)*Cash_Sweep)))</f>
        <v>0</v>
      </c>
      <c r="J3589" s="99" t="n">
        <f aca="false">IF(8&gt;Debt_Yr,0,IF(8=Debt_Yr,J3286,MIN(J3286,(J1165+J1468+J1771+J2377)*Cash_Sweep)))</f>
        <v>0</v>
      </c>
      <c r="K3589" s="99" t="n">
        <f aca="false">IF(9&gt;Debt_Yr,0,IF(9=Debt_Yr,K3286,MIN(K3286,(K1165+K1468+K1771+K2377)*Cash_Sweep)))</f>
        <v>0</v>
      </c>
      <c r="L3589" s="99" t="n">
        <f aca="false">IF(10&gt;Debt_Yr,0,IF(10=Debt_Yr,L3286,MIN(L3286,(L1165+L1468+L1771+L2377)*Cash_Sweep)))</f>
        <v>0</v>
      </c>
    </row>
    <row r="3590" customFormat="false" ht="15" hidden="false" customHeight="false" outlineLevel="0" collapsed="false">
      <c r="B3590" s="108" t="n">
        <f aca="false">'Loan Tape'!$A253</f>
        <v>0</v>
      </c>
      <c r="C3590" s="71" t="n">
        <f aca="false">IF(1&gt;Debt_Yr,0,IF(1=Debt_Yr,C3287,MIN(C3287,(C1166+C1469+C1772+C2378)*Cash_Sweep)))</f>
        <v>0</v>
      </c>
      <c r="D3590" s="71" t="n">
        <f aca="false">IF(2&gt;Debt_Yr,0,IF(2=Debt_Yr,D3287,MIN(D3287,(D1166+D1469+D1772+D2378)*Cash_Sweep)))</f>
        <v>0</v>
      </c>
      <c r="E3590" s="71" t="n">
        <f aca="false">IF(3&gt;Debt_Yr,0,IF(3=Debt_Yr,E3287,MIN(E3287,(E1166+E1469+E1772+E2378)*Cash_Sweep)))</f>
        <v>0</v>
      </c>
      <c r="F3590" s="71" t="n">
        <f aca="false">IF(4&gt;Debt_Yr,0,IF(4=Debt_Yr,F3287,MIN(F3287,(F1166+F1469+F1772+F2378)*Cash_Sweep)))</f>
        <v>0</v>
      </c>
      <c r="G3590" s="71" t="n">
        <f aca="false">IF(5&gt;Debt_Yr,0,IF(5=Debt_Yr,G3287,MIN(G3287,(G1166+G1469+G1772+G2378)*Cash_Sweep)))</f>
        <v>0</v>
      </c>
      <c r="H3590" s="71" t="n">
        <f aca="false">IF(6&gt;Debt_Yr,0,IF(6=Debt_Yr,H3287,MIN(H3287,(H1166+H1469+H1772+H2378)*Cash_Sweep)))</f>
        <v>0</v>
      </c>
      <c r="I3590" s="71" t="n">
        <f aca="false">IF(7&gt;Debt_Yr,0,IF(7=Debt_Yr,I3287,MIN(I3287,(I1166+I1469+I1772+I2378)*Cash_Sweep)))</f>
        <v>0</v>
      </c>
      <c r="J3590" s="71" t="n">
        <f aca="false">IF(8&gt;Debt_Yr,0,IF(8=Debt_Yr,J3287,MIN(J3287,(J1166+J1469+J1772+J2378)*Cash_Sweep)))</f>
        <v>0</v>
      </c>
      <c r="K3590" s="71" t="n">
        <f aca="false">IF(9&gt;Debt_Yr,0,IF(9=Debt_Yr,K3287,MIN(K3287,(K1166+K1469+K1772+K2378)*Cash_Sweep)))</f>
        <v>0</v>
      </c>
      <c r="L3590" s="71" t="n">
        <f aca="false">IF(10&gt;Debt_Yr,0,IF(10=Debt_Yr,L3287,MIN(L3287,(L1166+L1469+L1772+L2378)*Cash_Sweep)))</f>
        <v>0</v>
      </c>
    </row>
    <row r="3591" customFormat="false" ht="15" hidden="false" customHeight="false" outlineLevel="0" collapsed="false">
      <c r="B3591" s="102" t="n">
        <f aca="false">'Loan Tape'!$A254</f>
        <v>0</v>
      </c>
      <c r="C3591" s="99" t="n">
        <f aca="false">IF(1&gt;Debt_Yr,0,IF(1=Debt_Yr,C3288,MIN(C3288,(C1167+C1470+C1773+C2379)*Cash_Sweep)))</f>
        <v>0</v>
      </c>
      <c r="D3591" s="99" t="n">
        <f aca="false">IF(2&gt;Debt_Yr,0,IF(2=Debt_Yr,D3288,MIN(D3288,(D1167+D1470+D1773+D2379)*Cash_Sweep)))</f>
        <v>0</v>
      </c>
      <c r="E3591" s="99" t="n">
        <f aca="false">IF(3&gt;Debt_Yr,0,IF(3=Debt_Yr,E3288,MIN(E3288,(E1167+E1470+E1773+E2379)*Cash_Sweep)))</f>
        <v>0</v>
      </c>
      <c r="F3591" s="99" t="n">
        <f aca="false">IF(4&gt;Debt_Yr,0,IF(4=Debt_Yr,F3288,MIN(F3288,(F1167+F1470+F1773+F2379)*Cash_Sweep)))</f>
        <v>0</v>
      </c>
      <c r="G3591" s="99" t="n">
        <f aca="false">IF(5&gt;Debt_Yr,0,IF(5=Debt_Yr,G3288,MIN(G3288,(G1167+G1470+G1773+G2379)*Cash_Sweep)))</f>
        <v>0</v>
      </c>
      <c r="H3591" s="99" t="n">
        <f aca="false">IF(6&gt;Debt_Yr,0,IF(6=Debt_Yr,H3288,MIN(H3288,(H1167+H1470+H1773+H2379)*Cash_Sweep)))</f>
        <v>0</v>
      </c>
      <c r="I3591" s="99" t="n">
        <f aca="false">IF(7&gt;Debt_Yr,0,IF(7=Debt_Yr,I3288,MIN(I3288,(I1167+I1470+I1773+I2379)*Cash_Sweep)))</f>
        <v>0</v>
      </c>
      <c r="J3591" s="99" t="n">
        <f aca="false">IF(8&gt;Debt_Yr,0,IF(8=Debt_Yr,J3288,MIN(J3288,(J1167+J1470+J1773+J2379)*Cash_Sweep)))</f>
        <v>0</v>
      </c>
      <c r="K3591" s="99" t="n">
        <f aca="false">IF(9&gt;Debt_Yr,0,IF(9=Debt_Yr,K3288,MIN(K3288,(K1167+K1470+K1773+K2379)*Cash_Sweep)))</f>
        <v>0</v>
      </c>
      <c r="L3591" s="99" t="n">
        <f aca="false">IF(10&gt;Debt_Yr,0,IF(10=Debt_Yr,L3288,MIN(L3288,(L1167+L1470+L1773+L2379)*Cash_Sweep)))</f>
        <v>0</v>
      </c>
    </row>
    <row r="3592" customFormat="false" ht="15" hidden="false" customHeight="false" outlineLevel="0" collapsed="false">
      <c r="B3592" s="108" t="n">
        <f aca="false">'Loan Tape'!$A255</f>
        <v>0</v>
      </c>
      <c r="C3592" s="71" t="n">
        <f aca="false">IF(1&gt;Debt_Yr,0,IF(1=Debt_Yr,C3289,MIN(C3289,(C1168+C1471+C1774+C2380)*Cash_Sweep)))</f>
        <v>0</v>
      </c>
      <c r="D3592" s="71" t="n">
        <f aca="false">IF(2&gt;Debt_Yr,0,IF(2=Debt_Yr,D3289,MIN(D3289,(D1168+D1471+D1774+D2380)*Cash_Sweep)))</f>
        <v>0</v>
      </c>
      <c r="E3592" s="71" t="n">
        <f aca="false">IF(3&gt;Debt_Yr,0,IF(3=Debt_Yr,E3289,MIN(E3289,(E1168+E1471+E1774+E2380)*Cash_Sweep)))</f>
        <v>0</v>
      </c>
      <c r="F3592" s="71" t="n">
        <f aca="false">IF(4&gt;Debt_Yr,0,IF(4=Debt_Yr,F3289,MIN(F3289,(F1168+F1471+F1774+F2380)*Cash_Sweep)))</f>
        <v>0</v>
      </c>
      <c r="G3592" s="71" t="n">
        <f aca="false">IF(5&gt;Debt_Yr,0,IF(5=Debt_Yr,G3289,MIN(G3289,(G1168+G1471+G1774+G2380)*Cash_Sweep)))</f>
        <v>0</v>
      </c>
      <c r="H3592" s="71" t="n">
        <f aca="false">IF(6&gt;Debt_Yr,0,IF(6=Debt_Yr,H3289,MIN(H3289,(H1168+H1471+H1774+H2380)*Cash_Sweep)))</f>
        <v>0</v>
      </c>
      <c r="I3592" s="71" t="n">
        <f aca="false">IF(7&gt;Debt_Yr,0,IF(7=Debt_Yr,I3289,MIN(I3289,(I1168+I1471+I1774+I2380)*Cash_Sweep)))</f>
        <v>0</v>
      </c>
      <c r="J3592" s="71" t="n">
        <f aca="false">IF(8&gt;Debt_Yr,0,IF(8=Debt_Yr,J3289,MIN(J3289,(J1168+J1471+J1774+J2380)*Cash_Sweep)))</f>
        <v>0</v>
      </c>
      <c r="K3592" s="71" t="n">
        <f aca="false">IF(9&gt;Debt_Yr,0,IF(9=Debt_Yr,K3289,MIN(K3289,(K1168+K1471+K1774+K2380)*Cash_Sweep)))</f>
        <v>0</v>
      </c>
      <c r="L3592" s="71" t="n">
        <f aca="false">IF(10&gt;Debt_Yr,0,IF(10=Debt_Yr,L3289,MIN(L3289,(L1168+L1471+L1774+L2380)*Cash_Sweep)))</f>
        <v>0</v>
      </c>
    </row>
    <row r="3593" customFormat="false" ht="15" hidden="false" customHeight="false" outlineLevel="0" collapsed="false">
      <c r="B3593" s="102" t="n">
        <f aca="false">'Loan Tape'!$A256</f>
        <v>0</v>
      </c>
      <c r="C3593" s="99" t="n">
        <f aca="false">IF(1&gt;Debt_Yr,0,IF(1=Debt_Yr,C3290,MIN(C3290,(C1169+C1472+C1775+C2381)*Cash_Sweep)))</f>
        <v>0</v>
      </c>
      <c r="D3593" s="99" t="n">
        <f aca="false">IF(2&gt;Debt_Yr,0,IF(2=Debt_Yr,D3290,MIN(D3290,(D1169+D1472+D1775+D2381)*Cash_Sweep)))</f>
        <v>0</v>
      </c>
      <c r="E3593" s="99" t="n">
        <f aca="false">IF(3&gt;Debt_Yr,0,IF(3=Debt_Yr,E3290,MIN(E3290,(E1169+E1472+E1775+E2381)*Cash_Sweep)))</f>
        <v>0</v>
      </c>
      <c r="F3593" s="99" t="n">
        <f aca="false">IF(4&gt;Debt_Yr,0,IF(4=Debt_Yr,F3290,MIN(F3290,(F1169+F1472+F1775+F2381)*Cash_Sweep)))</f>
        <v>0</v>
      </c>
      <c r="G3593" s="99" t="n">
        <f aca="false">IF(5&gt;Debt_Yr,0,IF(5=Debt_Yr,G3290,MIN(G3290,(G1169+G1472+G1775+G2381)*Cash_Sweep)))</f>
        <v>0</v>
      </c>
      <c r="H3593" s="99" t="n">
        <f aca="false">IF(6&gt;Debt_Yr,0,IF(6=Debt_Yr,H3290,MIN(H3290,(H1169+H1472+H1775+H2381)*Cash_Sweep)))</f>
        <v>0</v>
      </c>
      <c r="I3593" s="99" t="n">
        <f aca="false">IF(7&gt;Debt_Yr,0,IF(7=Debt_Yr,I3290,MIN(I3290,(I1169+I1472+I1775+I2381)*Cash_Sweep)))</f>
        <v>0</v>
      </c>
      <c r="J3593" s="99" t="n">
        <f aca="false">IF(8&gt;Debt_Yr,0,IF(8=Debt_Yr,J3290,MIN(J3290,(J1169+J1472+J1775+J2381)*Cash_Sweep)))</f>
        <v>0</v>
      </c>
      <c r="K3593" s="99" t="n">
        <f aca="false">IF(9&gt;Debt_Yr,0,IF(9=Debt_Yr,K3290,MIN(K3290,(K1169+K1472+K1775+K2381)*Cash_Sweep)))</f>
        <v>0</v>
      </c>
      <c r="L3593" s="99" t="n">
        <f aca="false">IF(10&gt;Debt_Yr,0,IF(10=Debt_Yr,L3290,MIN(L3290,(L1169+L1472+L1775+L2381)*Cash_Sweep)))</f>
        <v>0</v>
      </c>
    </row>
    <row r="3594" customFormat="false" ht="15" hidden="false" customHeight="false" outlineLevel="0" collapsed="false">
      <c r="B3594" s="108" t="n">
        <f aca="false">'Loan Tape'!$A257</f>
        <v>0</v>
      </c>
      <c r="C3594" s="71" t="n">
        <f aca="false">IF(1&gt;Debt_Yr,0,IF(1=Debt_Yr,C3291,MIN(C3291,(C1170+C1473+C1776+C2382)*Cash_Sweep)))</f>
        <v>0</v>
      </c>
      <c r="D3594" s="71" t="n">
        <f aca="false">IF(2&gt;Debt_Yr,0,IF(2=Debt_Yr,D3291,MIN(D3291,(D1170+D1473+D1776+D2382)*Cash_Sweep)))</f>
        <v>0</v>
      </c>
      <c r="E3594" s="71" t="n">
        <f aca="false">IF(3&gt;Debt_Yr,0,IF(3=Debt_Yr,E3291,MIN(E3291,(E1170+E1473+E1776+E2382)*Cash_Sweep)))</f>
        <v>0</v>
      </c>
      <c r="F3594" s="71" t="n">
        <f aca="false">IF(4&gt;Debt_Yr,0,IF(4=Debt_Yr,F3291,MIN(F3291,(F1170+F1473+F1776+F2382)*Cash_Sweep)))</f>
        <v>0</v>
      </c>
      <c r="G3594" s="71" t="n">
        <f aca="false">IF(5&gt;Debt_Yr,0,IF(5=Debt_Yr,G3291,MIN(G3291,(G1170+G1473+G1776+G2382)*Cash_Sweep)))</f>
        <v>0</v>
      </c>
      <c r="H3594" s="71" t="n">
        <f aca="false">IF(6&gt;Debt_Yr,0,IF(6=Debt_Yr,H3291,MIN(H3291,(H1170+H1473+H1776+H2382)*Cash_Sweep)))</f>
        <v>0</v>
      </c>
      <c r="I3594" s="71" t="n">
        <f aca="false">IF(7&gt;Debt_Yr,0,IF(7=Debt_Yr,I3291,MIN(I3291,(I1170+I1473+I1776+I2382)*Cash_Sweep)))</f>
        <v>0</v>
      </c>
      <c r="J3594" s="71" t="n">
        <f aca="false">IF(8&gt;Debt_Yr,0,IF(8=Debt_Yr,J3291,MIN(J3291,(J1170+J1473+J1776+J2382)*Cash_Sweep)))</f>
        <v>0</v>
      </c>
      <c r="K3594" s="71" t="n">
        <f aca="false">IF(9&gt;Debt_Yr,0,IF(9=Debt_Yr,K3291,MIN(K3291,(K1170+K1473+K1776+K2382)*Cash_Sweep)))</f>
        <v>0</v>
      </c>
      <c r="L3594" s="71" t="n">
        <f aca="false">IF(10&gt;Debt_Yr,0,IF(10=Debt_Yr,L3291,MIN(L3291,(L1170+L1473+L1776+L2382)*Cash_Sweep)))</f>
        <v>0</v>
      </c>
    </row>
    <row r="3595" customFormat="false" ht="15" hidden="false" customHeight="false" outlineLevel="0" collapsed="false">
      <c r="B3595" s="102" t="n">
        <f aca="false">'Loan Tape'!$A258</f>
        <v>0</v>
      </c>
      <c r="C3595" s="99" t="n">
        <f aca="false">IF(1&gt;Debt_Yr,0,IF(1=Debt_Yr,C3292,MIN(C3292,(C1171+C1474+C1777+C2383)*Cash_Sweep)))</f>
        <v>0</v>
      </c>
      <c r="D3595" s="99" t="n">
        <f aca="false">IF(2&gt;Debt_Yr,0,IF(2=Debt_Yr,D3292,MIN(D3292,(D1171+D1474+D1777+D2383)*Cash_Sweep)))</f>
        <v>0</v>
      </c>
      <c r="E3595" s="99" t="n">
        <f aca="false">IF(3&gt;Debt_Yr,0,IF(3=Debt_Yr,E3292,MIN(E3292,(E1171+E1474+E1777+E2383)*Cash_Sweep)))</f>
        <v>0</v>
      </c>
      <c r="F3595" s="99" t="n">
        <f aca="false">IF(4&gt;Debt_Yr,0,IF(4=Debt_Yr,F3292,MIN(F3292,(F1171+F1474+F1777+F2383)*Cash_Sweep)))</f>
        <v>0</v>
      </c>
      <c r="G3595" s="99" t="n">
        <f aca="false">IF(5&gt;Debt_Yr,0,IF(5=Debt_Yr,G3292,MIN(G3292,(G1171+G1474+G1777+G2383)*Cash_Sweep)))</f>
        <v>0</v>
      </c>
      <c r="H3595" s="99" t="n">
        <f aca="false">IF(6&gt;Debt_Yr,0,IF(6=Debt_Yr,H3292,MIN(H3292,(H1171+H1474+H1777+H2383)*Cash_Sweep)))</f>
        <v>0</v>
      </c>
      <c r="I3595" s="99" t="n">
        <f aca="false">IF(7&gt;Debt_Yr,0,IF(7=Debt_Yr,I3292,MIN(I3292,(I1171+I1474+I1777+I2383)*Cash_Sweep)))</f>
        <v>0</v>
      </c>
      <c r="J3595" s="99" t="n">
        <f aca="false">IF(8&gt;Debt_Yr,0,IF(8=Debt_Yr,J3292,MIN(J3292,(J1171+J1474+J1777+J2383)*Cash_Sweep)))</f>
        <v>0</v>
      </c>
      <c r="K3595" s="99" t="n">
        <f aca="false">IF(9&gt;Debt_Yr,0,IF(9=Debt_Yr,K3292,MIN(K3292,(K1171+K1474+K1777+K2383)*Cash_Sweep)))</f>
        <v>0</v>
      </c>
      <c r="L3595" s="99" t="n">
        <f aca="false">IF(10&gt;Debt_Yr,0,IF(10=Debt_Yr,L3292,MIN(L3292,(L1171+L1474+L1777+L2383)*Cash_Sweep)))</f>
        <v>0</v>
      </c>
    </row>
    <row r="3596" customFormat="false" ht="15" hidden="false" customHeight="false" outlineLevel="0" collapsed="false">
      <c r="B3596" s="108" t="n">
        <f aca="false">'Loan Tape'!$A259</f>
        <v>0</v>
      </c>
      <c r="C3596" s="71" t="n">
        <f aca="false">IF(1&gt;Debt_Yr,0,IF(1=Debt_Yr,C3293,MIN(C3293,(C1172+C1475+C1778+C2384)*Cash_Sweep)))</f>
        <v>0</v>
      </c>
      <c r="D3596" s="71" t="n">
        <f aca="false">IF(2&gt;Debt_Yr,0,IF(2=Debt_Yr,D3293,MIN(D3293,(D1172+D1475+D1778+D2384)*Cash_Sweep)))</f>
        <v>0</v>
      </c>
      <c r="E3596" s="71" t="n">
        <f aca="false">IF(3&gt;Debt_Yr,0,IF(3=Debt_Yr,E3293,MIN(E3293,(E1172+E1475+E1778+E2384)*Cash_Sweep)))</f>
        <v>0</v>
      </c>
      <c r="F3596" s="71" t="n">
        <f aca="false">IF(4&gt;Debt_Yr,0,IF(4=Debt_Yr,F3293,MIN(F3293,(F1172+F1475+F1778+F2384)*Cash_Sweep)))</f>
        <v>0</v>
      </c>
      <c r="G3596" s="71" t="n">
        <f aca="false">IF(5&gt;Debt_Yr,0,IF(5=Debt_Yr,G3293,MIN(G3293,(G1172+G1475+G1778+G2384)*Cash_Sweep)))</f>
        <v>0</v>
      </c>
      <c r="H3596" s="71" t="n">
        <f aca="false">IF(6&gt;Debt_Yr,0,IF(6=Debt_Yr,H3293,MIN(H3293,(H1172+H1475+H1778+H2384)*Cash_Sweep)))</f>
        <v>0</v>
      </c>
      <c r="I3596" s="71" t="n">
        <f aca="false">IF(7&gt;Debt_Yr,0,IF(7=Debt_Yr,I3293,MIN(I3293,(I1172+I1475+I1778+I2384)*Cash_Sweep)))</f>
        <v>0</v>
      </c>
      <c r="J3596" s="71" t="n">
        <f aca="false">IF(8&gt;Debt_Yr,0,IF(8=Debt_Yr,J3293,MIN(J3293,(J1172+J1475+J1778+J2384)*Cash_Sweep)))</f>
        <v>0</v>
      </c>
      <c r="K3596" s="71" t="n">
        <f aca="false">IF(9&gt;Debt_Yr,0,IF(9=Debt_Yr,K3293,MIN(K3293,(K1172+K1475+K1778+K2384)*Cash_Sweep)))</f>
        <v>0</v>
      </c>
      <c r="L3596" s="71" t="n">
        <f aca="false">IF(10&gt;Debt_Yr,0,IF(10=Debt_Yr,L3293,MIN(L3293,(L1172+L1475+L1778+L2384)*Cash_Sweep)))</f>
        <v>0</v>
      </c>
    </row>
    <row r="3597" customFormat="false" ht="15" hidden="false" customHeight="false" outlineLevel="0" collapsed="false">
      <c r="B3597" s="102" t="n">
        <f aca="false">'Loan Tape'!$A260</f>
        <v>0</v>
      </c>
      <c r="C3597" s="99" t="n">
        <f aca="false">IF(1&gt;Debt_Yr,0,IF(1=Debt_Yr,C3294,MIN(C3294,(C1173+C1476+C1779+C2385)*Cash_Sweep)))</f>
        <v>0</v>
      </c>
      <c r="D3597" s="99" t="n">
        <f aca="false">IF(2&gt;Debt_Yr,0,IF(2=Debt_Yr,D3294,MIN(D3294,(D1173+D1476+D1779+D2385)*Cash_Sweep)))</f>
        <v>0</v>
      </c>
      <c r="E3597" s="99" t="n">
        <f aca="false">IF(3&gt;Debt_Yr,0,IF(3=Debt_Yr,E3294,MIN(E3294,(E1173+E1476+E1779+E2385)*Cash_Sweep)))</f>
        <v>0</v>
      </c>
      <c r="F3597" s="99" t="n">
        <f aca="false">IF(4&gt;Debt_Yr,0,IF(4=Debt_Yr,F3294,MIN(F3294,(F1173+F1476+F1779+F2385)*Cash_Sweep)))</f>
        <v>0</v>
      </c>
      <c r="G3597" s="99" t="n">
        <f aca="false">IF(5&gt;Debt_Yr,0,IF(5=Debt_Yr,G3294,MIN(G3294,(G1173+G1476+G1779+G2385)*Cash_Sweep)))</f>
        <v>0</v>
      </c>
      <c r="H3597" s="99" t="n">
        <f aca="false">IF(6&gt;Debt_Yr,0,IF(6=Debt_Yr,H3294,MIN(H3294,(H1173+H1476+H1779+H2385)*Cash_Sweep)))</f>
        <v>0</v>
      </c>
      <c r="I3597" s="99" t="n">
        <f aca="false">IF(7&gt;Debt_Yr,0,IF(7=Debt_Yr,I3294,MIN(I3294,(I1173+I1476+I1779+I2385)*Cash_Sweep)))</f>
        <v>0</v>
      </c>
      <c r="J3597" s="99" t="n">
        <f aca="false">IF(8&gt;Debt_Yr,0,IF(8=Debt_Yr,J3294,MIN(J3294,(J1173+J1476+J1779+J2385)*Cash_Sweep)))</f>
        <v>0</v>
      </c>
      <c r="K3597" s="99" t="n">
        <f aca="false">IF(9&gt;Debt_Yr,0,IF(9=Debt_Yr,K3294,MIN(K3294,(K1173+K1476+K1779+K2385)*Cash_Sweep)))</f>
        <v>0</v>
      </c>
      <c r="L3597" s="99" t="n">
        <f aca="false">IF(10&gt;Debt_Yr,0,IF(10=Debt_Yr,L3294,MIN(L3294,(L1173+L1476+L1779+L2385)*Cash_Sweep)))</f>
        <v>0</v>
      </c>
    </row>
    <row r="3598" customFormat="false" ht="15" hidden="false" customHeight="false" outlineLevel="0" collapsed="false">
      <c r="B3598" s="108" t="n">
        <f aca="false">'Loan Tape'!$A261</f>
        <v>0</v>
      </c>
      <c r="C3598" s="71" t="n">
        <f aca="false">IF(1&gt;Debt_Yr,0,IF(1=Debt_Yr,C3295,MIN(C3295,(C1174+C1477+C1780+C2386)*Cash_Sweep)))</f>
        <v>0</v>
      </c>
      <c r="D3598" s="71" t="n">
        <f aca="false">IF(2&gt;Debt_Yr,0,IF(2=Debt_Yr,D3295,MIN(D3295,(D1174+D1477+D1780+D2386)*Cash_Sweep)))</f>
        <v>0</v>
      </c>
      <c r="E3598" s="71" t="n">
        <f aca="false">IF(3&gt;Debt_Yr,0,IF(3=Debt_Yr,E3295,MIN(E3295,(E1174+E1477+E1780+E2386)*Cash_Sweep)))</f>
        <v>0</v>
      </c>
      <c r="F3598" s="71" t="n">
        <f aca="false">IF(4&gt;Debt_Yr,0,IF(4=Debt_Yr,F3295,MIN(F3295,(F1174+F1477+F1780+F2386)*Cash_Sweep)))</f>
        <v>0</v>
      </c>
      <c r="G3598" s="71" t="n">
        <f aca="false">IF(5&gt;Debt_Yr,0,IF(5=Debt_Yr,G3295,MIN(G3295,(G1174+G1477+G1780+G2386)*Cash_Sweep)))</f>
        <v>0</v>
      </c>
      <c r="H3598" s="71" t="n">
        <f aca="false">IF(6&gt;Debt_Yr,0,IF(6=Debt_Yr,H3295,MIN(H3295,(H1174+H1477+H1780+H2386)*Cash_Sweep)))</f>
        <v>0</v>
      </c>
      <c r="I3598" s="71" t="n">
        <f aca="false">IF(7&gt;Debt_Yr,0,IF(7=Debt_Yr,I3295,MIN(I3295,(I1174+I1477+I1780+I2386)*Cash_Sweep)))</f>
        <v>0</v>
      </c>
      <c r="J3598" s="71" t="n">
        <f aca="false">IF(8&gt;Debt_Yr,0,IF(8=Debt_Yr,J3295,MIN(J3295,(J1174+J1477+J1780+J2386)*Cash_Sweep)))</f>
        <v>0</v>
      </c>
      <c r="K3598" s="71" t="n">
        <f aca="false">IF(9&gt;Debt_Yr,0,IF(9=Debt_Yr,K3295,MIN(K3295,(K1174+K1477+K1780+K2386)*Cash_Sweep)))</f>
        <v>0</v>
      </c>
      <c r="L3598" s="71" t="n">
        <f aca="false">IF(10&gt;Debt_Yr,0,IF(10=Debt_Yr,L3295,MIN(L3295,(L1174+L1477+L1780+L2386)*Cash_Sweep)))</f>
        <v>0</v>
      </c>
    </row>
    <row r="3599" customFormat="false" ht="15" hidden="false" customHeight="false" outlineLevel="0" collapsed="false">
      <c r="B3599" s="102" t="n">
        <f aca="false">'Loan Tape'!$A262</f>
        <v>0</v>
      </c>
      <c r="C3599" s="99" t="n">
        <f aca="false">IF(1&gt;Debt_Yr,0,IF(1=Debt_Yr,C3296,MIN(C3296,(C1175+C1478+C1781+C2387)*Cash_Sweep)))</f>
        <v>0</v>
      </c>
      <c r="D3599" s="99" t="n">
        <f aca="false">IF(2&gt;Debt_Yr,0,IF(2=Debt_Yr,D3296,MIN(D3296,(D1175+D1478+D1781+D2387)*Cash_Sweep)))</f>
        <v>0</v>
      </c>
      <c r="E3599" s="99" t="n">
        <f aca="false">IF(3&gt;Debt_Yr,0,IF(3=Debt_Yr,E3296,MIN(E3296,(E1175+E1478+E1781+E2387)*Cash_Sweep)))</f>
        <v>0</v>
      </c>
      <c r="F3599" s="99" t="n">
        <f aca="false">IF(4&gt;Debt_Yr,0,IF(4=Debt_Yr,F3296,MIN(F3296,(F1175+F1478+F1781+F2387)*Cash_Sweep)))</f>
        <v>0</v>
      </c>
      <c r="G3599" s="99" t="n">
        <f aca="false">IF(5&gt;Debt_Yr,0,IF(5=Debt_Yr,G3296,MIN(G3296,(G1175+G1478+G1781+G2387)*Cash_Sweep)))</f>
        <v>0</v>
      </c>
      <c r="H3599" s="99" t="n">
        <f aca="false">IF(6&gt;Debt_Yr,0,IF(6=Debt_Yr,H3296,MIN(H3296,(H1175+H1478+H1781+H2387)*Cash_Sweep)))</f>
        <v>0</v>
      </c>
      <c r="I3599" s="99" t="n">
        <f aca="false">IF(7&gt;Debt_Yr,0,IF(7=Debt_Yr,I3296,MIN(I3296,(I1175+I1478+I1781+I2387)*Cash_Sweep)))</f>
        <v>0</v>
      </c>
      <c r="J3599" s="99" t="n">
        <f aca="false">IF(8&gt;Debt_Yr,0,IF(8=Debt_Yr,J3296,MIN(J3296,(J1175+J1478+J1781+J2387)*Cash_Sweep)))</f>
        <v>0</v>
      </c>
      <c r="K3599" s="99" t="n">
        <f aca="false">IF(9&gt;Debt_Yr,0,IF(9=Debt_Yr,K3296,MIN(K3296,(K1175+K1478+K1781+K2387)*Cash_Sweep)))</f>
        <v>0</v>
      </c>
      <c r="L3599" s="99" t="n">
        <f aca="false">IF(10&gt;Debt_Yr,0,IF(10=Debt_Yr,L3296,MIN(L3296,(L1175+L1478+L1781+L2387)*Cash_Sweep)))</f>
        <v>0</v>
      </c>
    </row>
    <row r="3600" customFormat="false" ht="15" hidden="false" customHeight="false" outlineLevel="0" collapsed="false">
      <c r="B3600" s="108" t="n">
        <f aca="false">'Loan Tape'!$A263</f>
        <v>0</v>
      </c>
      <c r="C3600" s="71" t="n">
        <f aca="false">IF(1&gt;Debt_Yr,0,IF(1=Debt_Yr,C3297,MIN(C3297,(C1176+C1479+C1782+C2388)*Cash_Sweep)))</f>
        <v>0</v>
      </c>
      <c r="D3600" s="71" t="n">
        <f aca="false">IF(2&gt;Debt_Yr,0,IF(2=Debt_Yr,D3297,MIN(D3297,(D1176+D1479+D1782+D2388)*Cash_Sweep)))</f>
        <v>0</v>
      </c>
      <c r="E3600" s="71" t="n">
        <f aca="false">IF(3&gt;Debt_Yr,0,IF(3=Debt_Yr,E3297,MIN(E3297,(E1176+E1479+E1782+E2388)*Cash_Sweep)))</f>
        <v>0</v>
      </c>
      <c r="F3600" s="71" t="n">
        <f aca="false">IF(4&gt;Debt_Yr,0,IF(4=Debt_Yr,F3297,MIN(F3297,(F1176+F1479+F1782+F2388)*Cash_Sweep)))</f>
        <v>0</v>
      </c>
      <c r="G3600" s="71" t="n">
        <f aca="false">IF(5&gt;Debt_Yr,0,IF(5=Debt_Yr,G3297,MIN(G3297,(G1176+G1479+G1782+G2388)*Cash_Sweep)))</f>
        <v>0</v>
      </c>
      <c r="H3600" s="71" t="n">
        <f aca="false">IF(6&gt;Debt_Yr,0,IF(6=Debt_Yr,H3297,MIN(H3297,(H1176+H1479+H1782+H2388)*Cash_Sweep)))</f>
        <v>0</v>
      </c>
      <c r="I3600" s="71" t="n">
        <f aca="false">IF(7&gt;Debt_Yr,0,IF(7=Debt_Yr,I3297,MIN(I3297,(I1176+I1479+I1782+I2388)*Cash_Sweep)))</f>
        <v>0</v>
      </c>
      <c r="J3600" s="71" t="n">
        <f aca="false">IF(8&gt;Debt_Yr,0,IF(8=Debt_Yr,J3297,MIN(J3297,(J1176+J1479+J1782+J2388)*Cash_Sweep)))</f>
        <v>0</v>
      </c>
      <c r="K3600" s="71" t="n">
        <f aca="false">IF(9&gt;Debt_Yr,0,IF(9=Debt_Yr,K3297,MIN(K3297,(K1176+K1479+K1782+K2388)*Cash_Sweep)))</f>
        <v>0</v>
      </c>
      <c r="L3600" s="71" t="n">
        <f aca="false">IF(10&gt;Debt_Yr,0,IF(10=Debt_Yr,L3297,MIN(L3297,(L1176+L1479+L1782+L2388)*Cash_Sweep)))</f>
        <v>0</v>
      </c>
    </row>
    <row r="3601" customFormat="false" ht="15" hidden="false" customHeight="false" outlineLevel="0" collapsed="false">
      <c r="B3601" s="102" t="n">
        <f aca="false">'Loan Tape'!$A264</f>
        <v>0</v>
      </c>
      <c r="C3601" s="99" t="n">
        <f aca="false">IF(1&gt;Debt_Yr,0,IF(1=Debt_Yr,C3298,MIN(C3298,(C1177+C1480+C1783+C2389)*Cash_Sweep)))</f>
        <v>0</v>
      </c>
      <c r="D3601" s="99" t="n">
        <f aca="false">IF(2&gt;Debt_Yr,0,IF(2=Debt_Yr,D3298,MIN(D3298,(D1177+D1480+D1783+D2389)*Cash_Sweep)))</f>
        <v>0</v>
      </c>
      <c r="E3601" s="99" t="n">
        <f aca="false">IF(3&gt;Debt_Yr,0,IF(3=Debt_Yr,E3298,MIN(E3298,(E1177+E1480+E1783+E2389)*Cash_Sweep)))</f>
        <v>0</v>
      </c>
      <c r="F3601" s="99" t="n">
        <f aca="false">IF(4&gt;Debt_Yr,0,IF(4=Debt_Yr,F3298,MIN(F3298,(F1177+F1480+F1783+F2389)*Cash_Sweep)))</f>
        <v>0</v>
      </c>
      <c r="G3601" s="99" t="n">
        <f aca="false">IF(5&gt;Debt_Yr,0,IF(5=Debt_Yr,G3298,MIN(G3298,(G1177+G1480+G1783+G2389)*Cash_Sweep)))</f>
        <v>0</v>
      </c>
      <c r="H3601" s="99" t="n">
        <f aca="false">IF(6&gt;Debt_Yr,0,IF(6=Debt_Yr,H3298,MIN(H3298,(H1177+H1480+H1783+H2389)*Cash_Sweep)))</f>
        <v>0</v>
      </c>
      <c r="I3601" s="99" t="n">
        <f aca="false">IF(7&gt;Debt_Yr,0,IF(7=Debt_Yr,I3298,MIN(I3298,(I1177+I1480+I1783+I2389)*Cash_Sweep)))</f>
        <v>0</v>
      </c>
      <c r="J3601" s="99" t="n">
        <f aca="false">IF(8&gt;Debt_Yr,0,IF(8=Debt_Yr,J3298,MIN(J3298,(J1177+J1480+J1783+J2389)*Cash_Sweep)))</f>
        <v>0</v>
      </c>
      <c r="K3601" s="99" t="n">
        <f aca="false">IF(9&gt;Debt_Yr,0,IF(9=Debt_Yr,K3298,MIN(K3298,(K1177+K1480+K1783+K2389)*Cash_Sweep)))</f>
        <v>0</v>
      </c>
      <c r="L3601" s="99" t="n">
        <f aca="false">IF(10&gt;Debt_Yr,0,IF(10=Debt_Yr,L3298,MIN(L3298,(L1177+L1480+L1783+L2389)*Cash_Sweep)))</f>
        <v>0</v>
      </c>
    </row>
    <row r="3602" customFormat="false" ht="15" hidden="false" customHeight="false" outlineLevel="0" collapsed="false">
      <c r="B3602" s="108" t="n">
        <f aca="false">'Loan Tape'!$A265</f>
        <v>0</v>
      </c>
      <c r="C3602" s="71" t="n">
        <f aca="false">IF(1&gt;Debt_Yr,0,IF(1=Debt_Yr,C3299,MIN(C3299,(C1178+C1481+C1784+C2390)*Cash_Sweep)))</f>
        <v>0</v>
      </c>
      <c r="D3602" s="71" t="n">
        <f aca="false">IF(2&gt;Debt_Yr,0,IF(2=Debt_Yr,D3299,MIN(D3299,(D1178+D1481+D1784+D2390)*Cash_Sweep)))</f>
        <v>0</v>
      </c>
      <c r="E3602" s="71" t="n">
        <f aca="false">IF(3&gt;Debt_Yr,0,IF(3=Debt_Yr,E3299,MIN(E3299,(E1178+E1481+E1784+E2390)*Cash_Sweep)))</f>
        <v>0</v>
      </c>
      <c r="F3602" s="71" t="n">
        <f aca="false">IF(4&gt;Debt_Yr,0,IF(4=Debt_Yr,F3299,MIN(F3299,(F1178+F1481+F1784+F2390)*Cash_Sweep)))</f>
        <v>0</v>
      </c>
      <c r="G3602" s="71" t="n">
        <f aca="false">IF(5&gt;Debt_Yr,0,IF(5=Debt_Yr,G3299,MIN(G3299,(G1178+G1481+G1784+G2390)*Cash_Sweep)))</f>
        <v>0</v>
      </c>
      <c r="H3602" s="71" t="n">
        <f aca="false">IF(6&gt;Debt_Yr,0,IF(6=Debt_Yr,H3299,MIN(H3299,(H1178+H1481+H1784+H2390)*Cash_Sweep)))</f>
        <v>0</v>
      </c>
      <c r="I3602" s="71" t="n">
        <f aca="false">IF(7&gt;Debt_Yr,0,IF(7=Debt_Yr,I3299,MIN(I3299,(I1178+I1481+I1784+I2390)*Cash_Sweep)))</f>
        <v>0</v>
      </c>
      <c r="J3602" s="71" t="n">
        <f aca="false">IF(8&gt;Debt_Yr,0,IF(8=Debt_Yr,J3299,MIN(J3299,(J1178+J1481+J1784+J2390)*Cash_Sweep)))</f>
        <v>0</v>
      </c>
      <c r="K3602" s="71" t="n">
        <f aca="false">IF(9&gt;Debt_Yr,0,IF(9=Debt_Yr,K3299,MIN(K3299,(K1178+K1481+K1784+K2390)*Cash_Sweep)))</f>
        <v>0</v>
      </c>
      <c r="L3602" s="71" t="n">
        <f aca="false">IF(10&gt;Debt_Yr,0,IF(10=Debt_Yr,L3299,MIN(L3299,(L1178+L1481+L1784+L2390)*Cash_Sweep)))</f>
        <v>0</v>
      </c>
    </row>
    <row r="3603" customFormat="false" ht="15" hidden="false" customHeight="false" outlineLevel="0" collapsed="false">
      <c r="B3603" s="102" t="n">
        <f aca="false">'Loan Tape'!$A266</f>
        <v>0</v>
      </c>
      <c r="C3603" s="99" t="n">
        <f aca="false">IF(1&gt;Debt_Yr,0,IF(1=Debt_Yr,C3300,MIN(C3300,(C1179+C1482+C1785+C2391)*Cash_Sweep)))</f>
        <v>0</v>
      </c>
      <c r="D3603" s="99" t="n">
        <f aca="false">IF(2&gt;Debt_Yr,0,IF(2=Debt_Yr,D3300,MIN(D3300,(D1179+D1482+D1785+D2391)*Cash_Sweep)))</f>
        <v>0</v>
      </c>
      <c r="E3603" s="99" t="n">
        <f aca="false">IF(3&gt;Debt_Yr,0,IF(3=Debt_Yr,E3300,MIN(E3300,(E1179+E1482+E1785+E2391)*Cash_Sweep)))</f>
        <v>0</v>
      </c>
      <c r="F3603" s="99" t="n">
        <f aca="false">IF(4&gt;Debt_Yr,0,IF(4=Debt_Yr,F3300,MIN(F3300,(F1179+F1482+F1785+F2391)*Cash_Sweep)))</f>
        <v>0</v>
      </c>
      <c r="G3603" s="99" t="n">
        <f aca="false">IF(5&gt;Debt_Yr,0,IF(5=Debt_Yr,G3300,MIN(G3300,(G1179+G1482+G1785+G2391)*Cash_Sweep)))</f>
        <v>0</v>
      </c>
      <c r="H3603" s="99" t="n">
        <f aca="false">IF(6&gt;Debt_Yr,0,IF(6=Debt_Yr,H3300,MIN(H3300,(H1179+H1482+H1785+H2391)*Cash_Sweep)))</f>
        <v>0</v>
      </c>
      <c r="I3603" s="99" t="n">
        <f aca="false">IF(7&gt;Debt_Yr,0,IF(7=Debt_Yr,I3300,MIN(I3300,(I1179+I1482+I1785+I2391)*Cash_Sweep)))</f>
        <v>0</v>
      </c>
      <c r="J3603" s="99" t="n">
        <f aca="false">IF(8&gt;Debt_Yr,0,IF(8=Debt_Yr,J3300,MIN(J3300,(J1179+J1482+J1785+J2391)*Cash_Sweep)))</f>
        <v>0</v>
      </c>
      <c r="K3603" s="99" t="n">
        <f aca="false">IF(9&gt;Debt_Yr,0,IF(9=Debt_Yr,K3300,MIN(K3300,(K1179+K1482+K1785+K2391)*Cash_Sweep)))</f>
        <v>0</v>
      </c>
      <c r="L3603" s="99" t="n">
        <f aca="false">IF(10&gt;Debt_Yr,0,IF(10=Debt_Yr,L3300,MIN(L3300,(L1179+L1482+L1785+L2391)*Cash_Sweep)))</f>
        <v>0</v>
      </c>
    </row>
    <row r="3604" customFormat="false" ht="15" hidden="false" customHeight="false" outlineLevel="0" collapsed="false">
      <c r="B3604" s="108" t="n">
        <f aca="false">'Loan Tape'!$A267</f>
        <v>0</v>
      </c>
      <c r="C3604" s="71" t="n">
        <f aca="false">IF(1&gt;Debt_Yr,0,IF(1=Debt_Yr,C3301,MIN(C3301,(C1180+C1483+C1786+C2392)*Cash_Sweep)))</f>
        <v>0</v>
      </c>
      <c r="D3604" s="71" t="n">
        <f aca="false">IF(2&gt;Debt_Yr,0,IF(2=Debt_Yr,D3301,MIN(D3301,(D1180+D1483+D1786+D2392)*Cash_Sweep)))</f>
        <v>0</v>
      </c>
      <c r="E3604" s="71" t="n">
        <f aca="false">IF(3&gt;Debt_Yr,0,IF(3=Debt_Yr,E3301,MIN(E3301,(E1180+E1483+E1786+E2392)*Cash_Sweep)))</f>
        <v>0</v>
      </c>
      <c r="F3604" s="71" t="n">
        <f aca="false">IF(4&gt;Debt_Yr,0,IF(4=Debt_Yr,F3301,MIN(F3301,(F1180+F1483+F1786+F2392)*Cash_Sweep)))</f>
        <v>0</v>
      </c>
      <c r="G3604" s="71" t="n">
        <f aca="false">IF(5&gt;Debt_Yr,0,IF(5=Debt_Yr,G3301,MIN(G3301,(G1180+G1483+G1786+G2392)*Cash_Sweep)))</f>
        <v>0</v>
      </c>
      <c r="H3604" s="71" t="n">
        <f aca="false">IF(6&gt;Debt_Yr,0,IF(6=Debt_Yr,H3301,MIN(H3301,(H1180+H1483+H1786+H2392)*Cash_Sweep)))</f>
        <v>0</v>
      </c>
      <c r="I3604" s="71" t="n">
        <f aca="false">IF(7&gt;Debt_Yr,0,IF(7=Debt_Yr,I3301,MIN(I3301,(I1180+I1483+I1786+I2392)*Cash_Sweep)))</f>
        <v>0</v>
      </c>
      <c r="J3604" s="71" t="n">
        <f aca="false">IF(8&gt;Debt_Yr,0,IF(8=Debt_Yr,J3301,MIN(J3301,(J1180+J1483+J1786+J2392)*Cash_Sweep)))</f>
        <v>0</v>
      </c>
      <c r="K3604" s="71" t="n">
        <f aca="false">IF(9&gt;Debt_Yr,0,IF(9=Debt_Yr,K3301,MIN(K3301,(K1180+K1483+K1786+K2392)*Cash_Sweep)))</f>
        <v>0</v>
      </c>
      <c r="L3604" s="71" t="n">
        <f aca="false">IF(10&gt;Debt_Yr,0,IF(10=Debt_Yr,L3301,MIN(L3301,(L1180+L1483+L1786+L2392)*Cash_Sweep)))</f>
        <v>0</v>
      </c>
    </row>
    <row r="3605" customFormat="false" ht="15" hidden="false" customHeight="false" outlineLevel="0" collapsed="false">
      <c r="B3605" s="102" t="n">
        <f aca="false">'Loan Tape'!$A268</f>
        <v>0</v>
      </c>
      <c r="C3605" s="99" t="n">
        <f aca="false">IF(1&gt;Debt_Yr,0,IF(1=Debt_Yr,C3302,MIN(C3302,(C1181+C1484+C1787+C2393)*Cash_Sweep)))</f>
        <v>0</v>
      </c>
      <c r="D3605" s="99" t="n">
        <f aca="false">IF(2&gt;Debt_Yr,0,IF(2=Debt_Yr,D3302,MIN(D3302,(D1181+D1484+D1787+D2393)*Cash_Sweep)))</f>
        <v>0</v>
      </c>
      <c r="E3605" s="99" t="n">
        <f aca="false">IF(3&gt;Debt_Yr,0,IF(3=Debt_Yr,E3302,MIN(E3302,(E1181+E1484+E1787+E2393)*Cash_Sweep)))</f>
        <v>0</v>
      </c>
      <c r="F3605" s="99" t="n">
        <f aca="false">IF(4&gt;Debt_Yr,0,IF(4=Debt_Yr,F3302,MIN(F3302,(F1181+F1484+F1787+F2393)*Cash_Sweep)))</f>
        <v>0</v>
      </c>
      <c r="G3605" s="99" t="n">
        <f aca="false">IF(5&gt;Debt_Yr,0,IF(5=Debt_Yr,G3302,MIN(G3302,(G1181+G1484+G1787+G2393)*Cash_Sweep)))</f>
        <v>0</v>
      </c>
      <c r="H3605" s="99" t="n">
        <f aca="false">IF(6&gt;Debt_Yr,0,IF(6=Debt_Yr,H3302,MIN(H3302,(H1181+H1484+H1787+H2393)*Cash_Sweep)))</f>
        <v>0</v>
      </c>
      <c r="I3605" s="99" t="n">
        <f aca="false">IF(7&gt;Debt_Yr,0,IF(7=Debt_Yr,I3302,MIN(I3302,(I1181+I1484+I1787+I2393)*Cash_Sweep)))</f>
        <v>0</v>
      </c>
      <c r="J3605" s="99" t="n">
        <f aca="false">IF(8&gt;Debt_Yr,0,IF(8=Debt_Yr,J3302,MIN(J3302,(J1181+J1484+J1787+J2393)*Cash_Sweep)))</f>
        <v>0</v>
      </c>
      <c r="K3605" s="99" t="n">
        <f aca="false">IF(9&gt;Debt_Yr,0,IF(9=Debt_Yr,K3302,MIN(K3302,(K1181+K1484+K1787+K2393)*Cash_Sweep)))</f>
        <v>0</v>
      </c>
      <c r="L3605" s="99" t="n">
        <f aca="false">IF(10&gt;Debt_Yr,0,IF(10=Debt_Yr,L3302,MIN(L3302,(L1181+L1484+L1787+L2393)*Cash_Sweep)))</f>
        <v>0</v>
      </c>
    </row>
    <row r="3606" customFormat="false" ht="15" hidden="false" customHeight="false" outlineLevel="0" collapsed="false">
      <c r="B3606" s="108" t="n">
        <f aca="false">'Loan Tape'!$A269</f>
        <v>0</v>
      </c>
      <c r="C3606" s="71" t="n">
        <f aca="false">IF(1&gt;Debt_Yr,0,IF(1=Debt_Yr,C3303,MIN(C3303,(C1182+C1485+C1788+C2394)*Cash_Sweep)))</f>
        <v>0</v>
      </c>
      <c r="D3606" s="71" t="n">
        <f aca="false">IF(2&gt;Debt_Yr,0,IF(2=Debt_Yr,D3303,MIN(D3303,(D1182+D1485+D1788+D2394)*Cash_Sweep)))</f>
        <v>0</v>
      </c>
      <c r="E3606" s="71" t="n">
        <f aca="false">IF(3&gt;Debt_Yr,0,IF(3=Debt_Yr,E3303,MIN(E3303,(E1182+E1485+E1788+E2394)*Cash_Sweep)))</f>
        <v>0</v>
      </c>
      <c r="F3606" s="71" t="n">
        <f aca="false">IF(4&gt;Debt_Yr,0,IF(4=Debt_Yr,F3303,MIN(F3303,(F1182+F1485+F1788+F2394)*Cash_Sweep)))</f>
        <v>0</v>
      </c>
      <c r="G3606" s="71" t="n">
        <f aca="false">IF(5&gt;Debt_Yr,0,IF(5=Debt_Yr,G3303,MIN(G3303,(G1182+G1485+G1788+G2394)*Cash_Sweep)))</f>
        <v>0</v>
      </c>
      <c r="H3606" s="71" t="n">
        <f aca="false">IF(6&gt;Debt_Yr,0,IF(6=Debt_Yr,H3303,MIN(H3303,(H1182+H1485+H1788+H2394)*Cash_Sweep)))</f>
        <v>0</v>
      </c>
      <c r="I3606" s="71" t="n">
        <f aca="false">IF(7&gt;Debt_Yr,0,IF(7=Debt_Yr,I3303,MIN(I3303,(I1182+I1485+I1788+I2394)*Cash_Sweep)))</f>
        <v>0</v>
      </c>
      <c r="J3606" s="71" t="n">
        <f aca="false">IF(8&gt;Debt_Yr,0,IF(8=Debt_Yr,J3303,MIN(J3303,(J1182+J1485+J1788+J2394)*Cash_Sweep)))</f>
        <v>0</v>
      </c>
      <c r="K3606" s="71" t="n">
        <f aca="false">IF(9&gt;Debt_Yr,0,IF(9=Debt_Yr,K3303,MIN(K3303,(K1182+K1485+K1788+K2394)*Cash_Sweep)))</f>
        <v>0</v>
      </c>
      <c r="L3606" s="71" t="n">
        <f aca="false">IF(10&gt;Debt_Yr,0,IF(10=Debt_Yr,L3303,MIN(L3303,(L1182+L1485+L1788+L2394)*Cash_Sweep)))</f>
        <v>0</v>
      </c>
    </row>
    <row r="3607" customFormat="false" ht="15" hidden="false" customHeight="false" outlineLevel="0" collapsed="false">
      <c r="B3607" s="102" t="n">
        <f aca="false">'Loan Tape'!$A270</f>
        <v>0</v>
      </c>
      <c r="C3607" s="99" t="n">
        <f aca="false">IF(1&gt;Debt_Yr,0,IF(1=Debt_Yr,C3304,MIN(C3304,(C1183+C1486+C1789+C2395)*Cash_Sweep)))</f>
        <v>0</v>
      </c>
      <c r="D3607" s="99" t="n">
        <f aca="false">IF(2&gt;Debt_Yr,0,IF(2=Debt_Yr,D3304,MIN(D3304,(D1183+D1486+D1789+D2395)*Cash_Sweep)))</f>
        <v>0</v>
      </c>
      <c r="E3607" s="99" t="n">
        <f aca="false">IF(3&gt;Debt_Yr,0,IF(3=Debt_Yr,E3304,MIN(E3304,(E1183+E1486+E1789+E2395)*Cash_Sweep)))</f>
        <v>0</v>
      </c>
      <c r="F3607" s="99" t="n">
        <f aca="false">IF(4&gt;Debt_Yr,0,IF(4=Debt_Yr,F3304,MIN(F3304,(F1183+F1486+F1789+F2395)*Cash_Sweep)))</f>
        <v>0</v>
      </c>
      <c r="G3607" s="99" t="n">
        <f aca="false">IF(5&gt;Debt_Yr,0,IF(5=Debt_Yr,G3304,MIN(G3304,(G1183+G1486+G1789+G2395)*Cash_Sweep)))</f>
        <v>0</v>
      </c>
      <c r="H3607" s="99" t="n">
        <f aca="false">IF(6&gt;Debt_Yr,0,IF(6=Debt_Yr,H3304,MIN(H3304,(H1183+H1486+H1789+H2395)*Cash_Sweep)))</f>
        <v>0</v>
      </c>
      <c r="I3607" s="99" t="n">
        <f aca="false">IF(7&gt;Debt_Yr,0,IF(7=Debt_Yr,I3304,MIN(I3304,(I1183+I1486+I1789+I2395)*Cash_Sweep)))</f>
        <v>0</v>
      </c>
      <c r="J3607" s="99" t="n">
        <f aca="false">IF(8&gt;Debt_Yr,0,IF(8=Debt_Yr,J3304,MIN(J3304,(J1183+J1486+J1789+J2395)*Cash_Sweep)))</f>
        <v>0</v>
      </c>
      <c r="K3607" s="99" t="n">
        <f aca="false">IF(9&gt;Debt_Yr,0,IF(9=Debt_Yr,K3304,MIN(K3304,(K1183+K1486+K1789+K2395)*Cash_Sweep)))</f>
        <v>0</v>
      </c>
      <c r="L3607" s="99" t="n">
        <f aca="false">IF(10&gt;Debt_Yr,0,IF(10=Debt_Yr,L3304,MIN(L3304,(L1183+L1486+L1789+L2395)*Cash_Sweep)))</f>
        <v>0</v>
      </c>
    </row>
    <row r="3608" customFormat="false" ht="15" hidden="false" customHeight="false" outlineLevel="0" collapsed="false">
      <c r="B3608" s="108" t="n">
        <f aca="false">'Loan Tape'!$A271</f>
        <v>0</v>
      </c>
      <c r="C3608" s="71" t="n">
        <f aca="false">IF(1&gt;Debt_Yr,0,IF(1=Debt_Yr,C3305,MIN(C3305,(C1184+C1487+C1790+C2396)*Cash_Sweep)))</f>
        <v>0</v>
      </c>
      <c r="D3608" s="71" t="n">
        <f aca="false">IF(2&gt;Debt_Yr,0,IF(2=Debt_Yr,D3305,MIN(D3305,(D1184+D1487+D1790+D2396)*Cash_Sweep)))</f>
        <v>0</v>
      </c>
      <c r="E3608" s="71" t="n">
        <f aca="false">IF(3&gt;Debt_Yr,0,IF(3=Debt_Yr,E3305,MIN(E3305,(E1184+E1487+E1790+E2396)*Cash_Sweep)))</f>
        <v>0</v>
      </c>
      <c r="F3608" s="71" t="n">
        <f aca="false">IF(4&gt;Debt_Yr,0,IF(4=Debt_Yr,F3305,MIN(F3305,(F1184+F1487+F1790+F2396)*Cash_Sweep)))</f>
        <v>0</v>
      </c>
      <c r="G3608" s="71" t="n">
        <f aca="false">IF(5&gt;Debt_Yr,0,IF(5=Debt_Yr,G3305,MIN(G3305,(G1184+G1487+G1790+G2396)*Cash_Sweep)))</f>
        <v>0</v>
      </c>
      <c r="H3608" s="71" t="n">
        <f aca="false">IF(6&gt;Debt_Yr,0,IF(6=Debt_Yr,H3305,MIN(H3305,(H1184+H1487+H1790+H2396)*Cash_Sweep)))</f>
        <v>0</v>
      </c>
      <c r="I3608" s="71" t="n">
        <f aca="false">IF(7&gt;Debt_Yr,0,IF(7=Debt_Yr,I3305,MIN(I3305,(I1184+I1487+I1790+I2396)*Cash_Sweep)))</f>
        <v>0</v>
      </c>
      <c r="J3608" s="71" t="n">
        <f aca="false">IF(8&gt;Debt_Yr,0,IF(8=Debt_Yr,J3305,MIN(J3305,(J1184+J1487+J1790+J2396)*Cash_Sweep)))</f>
        <v>0</v>
      </c>
      <c r="K3608" s="71" t="n">
        <f aca="false">IF(9&gt;Debt_Yr,0,IF(9=Debt_Yr,K3305,MIN(K3305,(K1184+K1487+K1790+K2396)*Cash_Sweep)))</f>
        <v>0</v>
      </c>
      <c r="L3608" s="71" t="n">
        <f aca="false">IF(10&gt;Debt_Yr,0,IF(10=Debt_Yr,L3305,MIN(L3305,(L1184+L1487+L1790+L2396)*Cash_Sweep)))</f>
        <v>0</v>
      </c>
    </row>
    <row r="3609" customFormat="false" ht="15" hidden="false" customHeight="false" outlineLevel="0" collapsed="false">
      <c r="B3609" s="102" t="n">
        <f aca="false">'Loan Tape'!$A272</f>
        <v>0</v>
      </c>
      <c r="C3609" s="99" t="n">
        <f aca="false">IF(1&gt;Debt_Yr,0,IF(1=Debt_Yr,C3306,MIN(C3306,(C1185+C1488+C1791+C2397)*Cash_Sweep)))</f>
        <v>0</v>
      </c>
      <c r="D3609" s="99" t="n">
        <f aca="false">IF(2&gt;Debt_Yr,0,IF(2=Debt_Yr,D3306,MIN(D3306,(D1185+D1488+D1791+D2397)*Cash_Sweep)))</f>
        <v>0</v>
      </c>
      <c r="E3609" s="99" t="n">
        <f aca="false">IF(3&gt;Debt_Yr,0,IF(3=Debt_Yr,E3306,MIN(E3306,(E1185+E1488+E1791+E2397)*Cash_Sweep)))</f>
        <v>0</v>
      </c>
      <c r="F3609" s="99" t="n">
        <f aca="false">IF(4&gt;Debt_Yr,0,IF(4=Debt_Yr,F3306,MIN(F3306,(F1185+F1488+F1791+F2397)*Cash_Sweep)))</f>
        <v>0</v>
      </c>
      <c r="G3609" s="99" t="n">
        <f aca="false">IF(5&gt;Debt_Yr,0,IF(5=Debt_Yr,G3306,MIN(G3306,(G1185+G1488+G1791+G2397)*Cash_Sweep)))</f>
        <v>0</v>
      </c>
      <c r="H3609" s="99" t="n">
        <f aca="false">IF(6&gt;Debt_Yr,0,IF(6=Debt_Yr,H3306,MIN(H3306,(H1185+H1488+H1791+H2397)*Cash_Sweep)))</f>
        <v>0</v>
      </c>
      <c r="I3609" s="99" t="n">
        <f aca="false">IF(7&gt;Debt_Yr,0,IF(7=Debt_Yr,I3306,MIN(I3306,(I1185+I1488+I1791+I2397)*Cash_Sweep)))</f>
        <v>0</v>
      </c>
      <c r="J3609" s="99" t="n">
        <f aca="false">IF(8&gt;Debt_Yr,0,IF(8=Debt_Yr,J3306,MIN(J3306,(J1185+J1488+J1791+J2397)*Cash_Sweep)))</f>
        <v>0</v>
      </c>
      <c r="K3609" s="99" t="n">
        <f aca="false">IF(9&gt;Debt_Yr,0,IF(9=Debt_Yr,K3306,MIN(K3306,(K1185+K1488+K1791+K2397)*Cash_Sweep)))</f>
        <v>0</v>
      </c>
      <c r="L3609" s="99" t="n">
        <f aca="false">IF(10&gt;Debt_Yr,0,IF(10=Debt_Yr,L3306,MIN(L3306,(L1185+L1488+L1791+L2397)*Cash_Sweep)))</f>
        <v>0</v>
      </c>
    </row>
    <row r="3610" customFormat="false" ht="15" hidden="false" customHeight="false" outlineLevel="0" collapsed="false">
      <c r="B3610" s="108" t="n">
        <f aca="false">'Loan Tape'!$A273</f>
        <v>0</v>
      </c>
      <c r="C3610" s="71" t="n">
        <f aca="false">IF(1&gt;Debt_Yr,0,IF(1=Debt_Yr,C3307,MIN(C3307,(C1186+C1489+C1792+C2398)*Cash_Sweep)))</f>
        <v>0</v>
      </c>
      <c r="D3610" s="71" t="n">
        <f aca="false">IF(2&gt;Debt_Yr,0,IF(2=Debt_Yr,D3307,MIN(D3307,(D1186+D1489+D1792+D2398)*Cash_Sweep)))</f>
        <v>0</v>
      </c>
      <c r="E3610" s="71" t="n">
        <f aca="false">IF(3&gt;Debt_Yr,0,IF(3=Debt_Yr,E3307,MIN(E3307,(E1186+E1489+E1792+E2398)*Cash_Sweep)))</f>
        <v>0</v>
      </c>
      <c r="F3610" s="71" t="n">
        <f aca="false">IF(4&gt;Debt_Yr,0,IF(4=Debt_Yr,F3307,MIN(F3307,(F1186+F1489+F1792+F2398)*Cash_Sweep)))</f>
        <v>0</v>
      </c>
      <c r="G3610" s="71" t="n">
        <f aca="false">IF(5&gt;Debt_Yr,0,IF(5=Debt_Yr,G3307,MIN(G3307,(G1186+G1489+G1792+G2398)*Cash_Sweep)))</f>
        <v>0</v>
      </c>
      <c r="H3610" s="71" t="n">
        <f aca="false">IF(6&gt;Debt_Yr,0,IF(6=Debt_Yr,H3307,MIN(H3307,(H1186+H1489+H1792+H2398)*Cash_Sweep)))</f>
        <v>0</v>
      </c>
      <c r="I3610" s="71" t="n">
        <f aca="false">IF(7&gt;Debt_Yr,0,IF(7=Debt_Yr,I3307,MIN(I3307,(I1186+I1489+I1792+I2398)*Cash_Sweep)))</f>
        <v>0</v>
      </c>
      <c r="J3610" s="71" t="n">
        <f aca="false">IF(8&gt;Debt_Yr,0,IF(8=Debt_Yr,J3307,MIN(J3307,(J1186+J1489+J1792+J2398)*Cash_Sweep)))</f>
        <v>0</v>
      </c>
      <c r="K3610" s="71" t="n">
        <f aca="false">IF(9&gt;Debt_Yr,0,IF(9=Debt_Yr,K3307,MIN(K3307,(K1186+K1489+K1792+K2398)*Cash_Sweep)))</f>
        <v>0</v>
      </c>
      <c r="L3610" s="71" t="n">
        <f aca="false">IF(10&gt;Debt_Yr,0,IF(10=Debt_Yr,L3307,MIN(L3307,(L1186+L1489+L1792+L2398)*Cash_Sweep)))</f>
        <v>0</v>
      </c>
    </row>
    <row r="3611" customFormat="false" ht="15" hidden="false" customHeight="false" outlineLevel="0" collapsed="false">
      <c r="B3611" s="102" t="n">
        <f aca="false">'Loan Tape'!$A274</f>
        <v>0</v>
      </c>
      <c r="C3611" s="99" t="n">
        <f aca="false">IF(1&gt;Debt_Yr,0,IF(1=Debt_Yr,C3308,MIN(C3308,(C1187+C1490+C1793+C2399)*Cash_Sweep)))</f>
        <v>0</v>
      </c>
      <c r="D3611" s="99" t="n">
        <f aca="false">IF(2&gt;Debt_Yr,0,IF(2=Debt_Yr,D3308,MIN(D3308,(D1187+D1490+D1793+D2399)*Cash_Sweep)))</f>
        <v>0</v>
      </c>
      <c r="E3611" s="99" t="n">
        <f aca="false">IF(3&gt;Debt_Yr,0,IF(3=Debt_Yr,E3308,MIN(E3308,(E1187+E1490+E1793+E2399)*Cash_Sweep)))</f>
        <v>0</v>
      </c>
      <c r="F3611" s="99" t="n">
        <f aca="false">IF(4&gt;Debt_Yr,0,IF(4=Debt_Yr,F3308,MIN(F3308,(F1187+F1490+F1793+F2399)*Cash_Sweep)))</f>
        <v>0</v>
      </c>
      <c r="G3611" s="99" t="n">
        <f aca="false">IF(5&gt;Debt_Yr,0,IF(5=Debt_Yr,G3308,MIN(G3308,(G1187+G1490+G1793+G2399)*Cash_Sweep)))</f>
        <v>0</v>
      </c>
      <c r="H3611" s="99" t="n">
        <f aca="false">IF(6&gt;Debt_Yr,0,IF(6=Debt_Yr,H3308,MIN(H3308,(H1187+H1490+H1793+H2399)*Cash_Sweep)))</f>
        <v>0</v>
      </c>
      <c r="I3611" s="99" t="n">
        <f aca="false">IF(7&gt;Debt_Yr,0,IF(7=Debt_Yr,I3308,MIN(I3308,(I1187+I1490+I1793+I2399)*Cash_Sweep)))</f>
        <v>0</v>
      </c>
      <c r="J3611" s="99" t="n">
        <f aca="false">IF(8&gt;Debt_Yr,0,IF(8=Debt_Yr,J3308,MIN(J3308,(J1187+J1490+J1793+J2399)*Cash_Sweep)))</f>
        <v>0</v>
      </c>
      <c r="K3611" s="99" t="n">
        <f aca="false">IF(9&gt;Debt_Yr,0,IF(9=Debt_Yr,K3308,MIN(K3308,(K1187+K1490+K1793+K2399)*Cash_Sweep)))</f>
        <v>0</v>
      </c>
      <c r="L3611" s="99" t="n">
        <f aca="false">IF(10&gt;Debt_Yr,0,IF(10=Debt_Yr,L3308,MIN(L3308,(L1187+L1490+L1793+L2399)*Cash_Sweep)))</f>
        <v>0</v>
      </c>
    </row>
    <row r="3612" customFormat="false" ht="15" hidden="false" customHeight="false" outlineLevel="0" collapsed="false">
      <c r="B3612" s="108" t="n">
        <f aca="false">'Loan Tape'!$A275</f>
        <v>0</v>
      </c>
      <c r="C3612" s="71" t="n">
        <f aca="false">IF(1&gt;Debt_Yr,0,IF(1=Debt_Yr,C3309,MIN(C3309,(C1188+C1491+C1794+C2400)*Cash_Sweep)))</f>
        <v>0</v>
      </c>
      <c r="D3612" s="71" t="n">
        <f aca="false">IF(2&gt;Debt_Yr,0,IF(2=Debt_Yr,D3309,MIN(D3309,(D1188+D1491+D1794+D2400)*Cash_Sweep)))</f>
        <v>0</v>
      </c>
      <c r="E3612" s="71" t="n">
        <f aca="false">IF(3&gt;Debt_Yr,0,IF(3=Debt_Yr,E3309,MIN(E3309,(E1188+E1491+E1794+E2400)*Cash_Sweep)))</f>
        <v>0</v>
      </c>
      <c r="F3612" s="71" t="n">
        <f aca="false">IF(4&gt;Debt_Yr,0,IF(4=Debt_Yr,F3309,MIN(F3309,(F1188+F1491+F1794+F2400)*Cash_Sweep)))</f>
        <v>0</v>
      </c>
      <c r="G3612" s="71" t="n">
        <f aca="false">IF(5&gt;Debt_Yr,0,IF(5=Debt_Yr,G3309,MIN(G3309,(G1188+G1491+G1794+G2400)*Cash_Sweep)))</f>
        <v>0</v>
      </c>
      <c r="H3612" s="71" t="n">
        <f aca="false">IF(6&gt;Debt_Yr,0,IF(6=Debt_Yr,H3309,MIN(H3309,(H1188+H1491+H1794+H2400)*Cash_Sweep)))</f>
        <v>0</v>
      </c>
      <c r="I3612" s="71" t="n">
        <f aca="false">IF(7&gt;Debt_Yr,0,IF(7=Debt_Yr,I3309,MIN(I3309,(I1188+I1491+I1794+I2400)*Cash_Sweep)))</f>
        <v>0</v>
      </c>
      <c r="J3612" s="71" t="n">
        <f aca="false">IF(8&gt;Debt_Yr,0,IF(8=Debt_Yr,J3309,MIN(J3309,(J1188+J1491+J1794+J2400)*Cash_Sweep)))</f>
        <v>0</v>
      </c>
      <c r="K3612" s="71" t="n">
        <f aca="false">IF(9&gt;Debt_Yr,0,IF(9=Debt_Yr,K3309,MIN(K3309,(K1188+K1491+K1794+K2400)*Cash_Sweep)))</f>
        <v>0</v>
      </c>
      <c r="L3612" s="71" t="n">
        <f aca="false">IF(10&gt;Debt_Yr,0,IF(10=Debt_Yr,L3309,MIN(L3309,(L1188+L1491+L1794+L2400)*Cash_Sweep)))</f>
        <v>0</v>
      </c>
    </row>
    <row r="3613" customFormat="false" ht="15" hidden="false" customHeight="false" outlineLevel="0" collapsed="false">
      <c r="B3613" s="102" t="n">
        <f aca="false">'Loan Tape'!$A276</f>
        <v>0</v>
      </c>
      <c r="C3613" s="99" t="n">
        <f aca="false">IF(1&gt;Debt_Yr,0,IF(1=Debt_Yr,C3310,MIN(C3310,(C1189+C1492+C1795+C2401)*Cash_Sweep)))</f>
        <v>0</v>
      </c>
      <c r="D3613" s="99" t="n">
        <f aca="false">IF(2&gt;Debt_Yr,0,IF(2=Debt_Yr,D3310,MIN(D3310,(D1189+D1492+D1795+D2401)*Cash_Sweep)))</f>
        <v>0</v>
      </c>
      <c r="E3613" s="99" t="n">
        <f aca="false">IF(3&gt;Debt_Yr,0,IF(3=Debt_Yr,E3310,MIN(E3310,(E1189+E1492+E1795+E2401)*Cash_Sweep)))</f>
        <v>0</v>
      </c>
      <c r="F3613" s="99" t="n">
        <f aca="false">IF(4&gt;Debt_Yr,0,IF(4=Debt_Yr,F3310,MIN(F3310,(F1189+F1492+F1795+F2401)*Cash_Sweep)))</f>
        <v>0</v>
      </c>
      <c r="G3613" s="99" t="n">
        <f aca="false">IF(5&gt;Debt_Yr,0,IF(5=Debt_Yr,G3310,MIN(G3310,(G1189+G1492+G1795+G2401)*Cash_Sweep)))</f>
        <v>0</v>
      </c>
      <c r="H3613" s="99" t="n">
        <f aca="false">IF(6&gt;Debt_Yr,0,IF(6=Debt_Yr,H3310,MIN(H3310,(H1189+H1492+H1795+H2401)*Cash_Sweep)))</f>
        <v>0</v>
      </c>
      <c r="I3613" s="99" t="n">
        <f aca="false">IF(7&gt;Debt_Yr,0,IF(7=Debt_Yr,I3310,MIN(I3310,(I1189+I1492+I1795+I2401)*Cash_Sweep)))</f>
        <v>0</v>
      </c>
      <c r="J3613" s="99" t="n">
        <f aca="false">IF(8&gt;Debt_Yr,0,IF(8=Debt_Yr,J3310,MIN(J3310,(J1189+J1492+J1795+J2401)*Cash_Sweep)))</f>
        <v>0</v>
      </c>
      <c r="K3613" s="99" t="n">
        <f aca="false">IF(9&gt;Debt_Yr,0,IF(9=Debt_Yr,K3310,MIN(K3310,(K1189+K1492+K1795+K2401)*Cash_Sweep)))</f>
        <v>0</v>
      </c>
      <c r="L3613" s="99" t="n">
        <f aca="false">IF(10&gt;Debt_Yr,0,IF(10=Debt_Yr,L3310,MIN(L3310,(L1189+L1492+L1795+L2401)*Cash_Sweep)))</f>
        <v>0</v>
      </c>
    </row>
    <row r="3614" customFormat="false" ht="15" hidden="false" customHeight="false" outlineLevel="0" collapsed="false">
      <c r="B3614" s="108" t="n">
        <f aca="false">'Loan Tape'!$A277</f>
        <v>0</v>
      </c>
      <c r="C3614" s="71" t="n">
        <f aca="false">IF(1&gt;Debt_Yr,0,IF(1=Debt_Yr,C3311,MIN(C3311,(C1190+C1493+C1796+C2402)*Cash_Sweep)))</f>
        <v>0</v>
      </c>
      <c r="D3614" s="71" t="n">
        <f aca="false">IF(2&gt;Debt_Yr,0,IF(2=Debt_Yr,D3311,MIN(D3311,(D1190+D1493+D1796+D2402)*Cash_Sweep)))</f>
        <v>0</v>
      </c>
      <c r="E3614" s="71" t="n">
        <f aca="false">IF(3&gt;Debt_Yr,0,IF(3=Debt_Yr,E3311,MIN(E3311,(E1190+E1493+E1796+E2402)*Cash_Sweep)))</f>
        <v>0</v>
      </c>
      <c r="F3614" s="71" t="n">
        <f aca="false">IF(4&gt;Debt_Yr,0,IF(4=Debt_Yr,F3311,MIN(F3311,(F1190+F1493+F1796+F2402)*Cash_Sweep)))</f>
        <v>0</v>
      </c>
      <c r="G3614" s="71" t="n">
        <f aca="false">IF(5&gt;Debt_Yr,0,IF(5=Debt_Yr,G3311,MIN(G3311,(G1190+G1493+G1796+G2402)*Cash_Sweep)))</f>
        <v>0</v>
      </c>
      <c r="H3614" s="71" t="n">
        <f aca="false">IF(6&gt;Debt_Yr,0,IF(6=Debt_Yr,H3311,MIN(H3311,(H1190+H1493+H1796+H2402)*Cash_Sweep)))</f>
        <v>0</v>
      </c>
      <c r="I3614" s="71" t="n">
        <f aca="false">IF(7&gt;Debt_Yr,0,IF(7=Debt_Yr,I3311,MIN(I3311,(I1190+I1493+I1796+I2402)*Cash_Sweep)))</f>
        <v>0</v>
      </c>
      <c r="J3614" s="71" t="n">
        <f aca="false">IF(8&gt;Debt_Yr,0,IF(8=Debt_Yr,J3311,MIN(J3311,(J1190+J1493+J1796+J2402)*Cash_Sweep)))</f>
        <v>0</v>
      </c>
      <c r="K3614" s="71" t="n">
        <f aca="false">IF(9&gt;Debt_Yr,0,IF(9=Debt_Yr,K3311,MIN(K3311,(K1190+K1493+K1796+K2402)*Cash_Sweep)))</f>
        <v>0</v>
      </c>
      <c r="L3614" s="71" t="n">
        <f aca="false">IF(10&gt;Debt_Yr,0,IF(10=Debt_Yr,L3311,MIN(L3311,(L1190+L1493+L1796+L2402)*Cash_Sweep)))</f>
        <v>0</v>
      </c>
    </row>
    <row r="3615" customFormat="false" ht="15" hidden="false" customHeight="false" outlineLevel="0" collapsed="false">
      <c r="B3615" s="102" t="n">
        <f aca="false">'Loan Tape'!$A278</f>
        <v>0</v>
      </c>
      <c r="C3615" s="99" t="n">
        <f aca="false">IF(1&gt;Debt_Yr,0,IF(1=Debt_Yr,C3312,MIN(C3312,(C1191+C1494+C1797+C2403)*Cash_Sweep)))</f>
        <v>0</v>
      </c>
      <c r="D3615" s="99" t="n">
        <f aca="false">IF(2&gt;Debt_Yr,0,IF(2=Debt_Yr,D3312,MIN(D3312,(D1191+D1494+D1797+D2403)*Cash_Sweep)))</f>
        <v>0</v>
      </c>
      <c r="E3615" s="99" t="n">
        <f aca="false">IF(3&gt;Debt_Yr,0,IF(3=Debt_Yr,E3312,MIN(E3312,(E1191+E1494+E1797+E2403)*Cash_Sweep)))</f>
        <v>0</v>
      </c>
      <c r="F3615" s="99" t="n">
        <f aca="false">IF(4&gt;Debt_Yr,0,IF(4=Debt_Yr,F3312,MIN(F3312,(F1191+F1494+F1797+F2403)*Cash_Sweep)))</f>
        <v>0</v>
      </c>
      <c r="G3615" s="99" t="n">
        <f aca="false">IF(5&gt;Debt_Yr,0,IF(5=Debt_Yr,G3312,MIN(G3312,(G1191+G1494+G1797+G2403)*Cash_Sweep)))</f>
        <v>0</v>
      </c>
      <c r="H3615" s="99" t="n">
        <f aca="false">IF(6&gt;Debt_Yr,0,IF(6=Debt_Yr,H3312,MIN(H3312,(H1191+H1494+H1797+H2403)*Cash_Sweep)))</f>
        <v>0</v>
      </c>
      <c r="I3615" s="99" t="n">
        <f aca="false">IF(7&gt;Debt_Yr,0,IF(7=Debt_Yr,I3312,MIN(I3312,(I1191+I1494+I1797+I2403)*Cash_Sweep)))</f>
        <v>0</v>
      </c>
      <c r="J3615" s="99" t="n">
        <f aca="false">IF(8&gt;Debt_Yr,0,IF(8=Debt_Yr,J3312,MIN(J3312,(J1191+J1494+J1797+J2403)*Cash_Sweep)))</f>
        <v>0</v>
      </c>
      <c r="K3615" s="99" t="n">
        <f aca="false">IF(9&gt;Debt_Yr,0,IF(9=Debt_Yr,K3312,MIN(K3312,(K1191+K1494+K1797+K2403)*Cash_Sweep)))</f>
        <v>0</v>
      </c>
      <c r="L3615" s="99" t="n">
        <f aca="false">IF(10&gt;Debt_Yr,0,IF(10=Debt_Yr,L3312,MIN(L3312,(L1191+L1494+L1797+L2403)*Cash_Sweep)))</f>
        <v>0</v>
      </c>
    </row>
    <row r="3616" customFormat="false" ht="15" hidden="false" customHeight="false" outlineLevel="0" collapsed="false">
      <c r="B3616" s="108" t="n">
        <f aca="false">'Loan Tape'!$A279</f>
        <v>0</v>
      </c>
      <c r="C3616" s="71" t="n">
        <f aca="false">IF(1&gt;Debt_Yr,0,IF(1=Debt_Yr,C3313,MIN(C3313,(C1192+C1495+C1798+C2404)*Cash_Sweep)))</f>
        <v>0</v>
      </c>
      <c r="D3616" s="71" t="n">
        <f aca="false">IF(2&gt;Debt_Yr,0,IF(2=Debt_Yr,D3313,MIN(D3313,(D1192+D1495+D1798+D2404)*Cash_Sweep)))</f>
        <v>0</v>
      </c>
      <c r="E3616" s="71" t="n">
        <f aca="false">IF(3&gt;Debt_Yr,0,IF(3=Debt_Yr,E3313,MIN(E3313,(E1192+E1495+E1798+E2404)*Cash_Sweep)))</f>
        <v>0</v>
      </c>
      <c r="F3616" s="71" t="n">
        <f aca="false">IF(4&gt;Debt_Yr,0,IF(4=Debt_Yr,F3313,MIN(F3313,(F1192+F1495+F1798+F2404)*Cash_Sweep)))</f>
        <v>0</v>
      </c>
      <c r="G3616" s="71" t="n">
        <f aca="false">IF(5&gt;Debt_Yr,0,IF(5=Debt_Yr,G3313,MIN(G3313,(G1192+G1495+G1798+G2404)*Cash_Sweep)))</f>
        <v>0</v>
      </c>
      <c r="H3616" s="71" t="n">
        <f aca="false">IF(6&gt;Debt_Yr,0,IF(6=Debt_Yr,H3313,MIN(H3313,(H1192+H1495+H1798+H2404)*Cash_Sweep)))</f>
        <v>0</v>
      </c>
      <c r="I3616" s="71" t="n">
        <f aca="false">IF(7&gt;Debt_Yr,0,IF(7=Debt_Yr,I3313,MIN(I3313,(I1192+I1495+I1798+I2404)*Cash_Sweep)))</f>
        <v>0</v>
      </c>
      <c r="J3616" s="71" t="n">
        <f aca="false">IF(8&gt;Debt_Yr,0,IF(8=Debt_Yr,J3313,MIN(J3313,(J1192+J1495+J1798+J2404)*Cash_Sweep)))</f>
        <v>0</v>
      </c>
      <c r="K3616" s="71" t="n">
        <f aca="false">IF(9&gt;Debt_Yr,0,IF(9=Debt_Yr,K3313,MIN(K3313,(K1192+K1495+K1798+K2404)*Cash_Sweep)))</f>
        <v>0</v>
      </c>
      <c r="L3616" s="71" t="n">
        <f aca="false">IF(10&gt;Debt_Yr,0,IF(10=Debt_Yr,L3313,MIN(L3313,(L1192+L1495+L1798+L2404)*Cash_Sweep)))</f>
        <v>0</v>
      </c>
    </row>
    <row r="3617" customFormat="false" ht="15" hidden="false" customHeight="false" outlineLevel="0" collapsed="false">
      <c r="B3617" s="102" t="n">
        <f aca="false">'Loan Tape'!$A280</f>
        <v>0</v>
      </c>
      <c r="C3617" s="99" t="n">
        <f aca="false">IF(1&gt;Debt_Yr,0,IF(1=Debt_Yr,C3314,MIN(C3314,(C1193+C1496+C1799+C2405)*Cash_Sweep)))</f>
        <v>0</v>
      </c>
      <c r="D3617" s="99" t="n">
        <f aca="false">IF(2&gt;Debt_Yr,0,IF(2=Debt_Yr,D3314,MIN(D3314,(D1193+D1496+D1799+D2405)*Cash_Sweep)))</f>
        <v>0</v>
      </c>
      <c r="E3617" s="99" t="n">
        <f aca="false">IF(3&gt;Debt_Yr,0,IF(3=Debt_Yr,E3314,MIN(E3314,(E1193+E1496+E1799+E2405)*Cash_Sweep)))</f>
        <v>0</v>
      </c>
      <c r="F3617" s="99" t="n">
        <f aca="false">IF(4&gt;Debt_Yr,0,IF(4=Debt_Yr,F3314,MIN(F3314,(F1193+F1496+F1799+F2405)*Cash_Sweep)))</f>
        <v>0</v>
      </c>
      <c r="G3617" s="99" t="n">
        <f aca="false">IF(5&gt;Debt_Yr,0,IF(5=Debt_Yr,G3314,MIN(G3314,(G1193+G1496+G1799+G2405)*Cash_Sweep)))</f>
        <v>0</v>
      </c>
      <c r="H3617" s="99" t="n">
        <f aca="false">IF(6&gt;Debt_Yr,0,IF(6=Debt_Yr,H3314,MIN(H3314,(H1193+H1496+H1799+H2405)*Cash_Sweep)))</f>
        <v>0</v>
      </c>
      <c r="I3617" s="99" t="n">
        <f aca="false">IF(7&gt;Debt_Yr,0,IF(7=Debt_Yr,I3314,MIN(I3314,(I1193+I1496+I1799+I2405)*Cash_Sweep)))</f>
        <v>0</v>
      </c>
      <c r="J3617" s="99" t="n">
        <f aca="false">IF(8&gt;Debt_Yr,0,IF(8=Debt_Yr,J3314,MIN(J3314,(J1193+J1496+J1799+J2405)*Cash_Sweep)))</f>
        <v>0</v>
      </c>
      <c r="K3617" s="99" t="n">
        <f aca="false">IF(9&gt;Debt_Yr,0,IF(9=Debt_Yr,K3314,MIN(K3314,(K1193+K1496+K1799+K2405)*Cash_Sweep)))</f>
        <v>0</v>
      </c>
      <c r="L3617" s="99" t="n">
        <f aca="false">IF(10&gt;Debt_Yr,0,IF(10=Debt_Yr,L3314,MIN(L3314,(L1193+L1496+L1799+L2405)*Cash_Sweep)))</f>
        <v>0</v>
      </c>
    </row>
    <row r="3618" customFormat="false" ht="15" hidden="false" customHeight="false" outlineLevel="0" collapsed="false">
      <c r="B3618" s="108" t="n">
        <f aca="false">'Loan Tape'!$A281</f>
        <v>0</v>
      </c>
      <c r="C3618" s="71" t="n">
        <f aca="false">IF(1&gt;Debt_Yr,0,IF(1=Debt_Yr,C3315,MIN(C3315,(C1194+C1497+C1800+C2406)*Cash_Sweep)))</f>
        <v>0</v>
      </c>
      <c r="D3618" s="71" t="n">
        <f aca="false">IF(2&gt;Debt_Yr,0,IF(2=Debt_Yr,D3315,MIN(D3315,(D1194+D1497+D1800+D2406)*Cash_Sweep)))</f>
        <v>0</v>
      </c>
      <c r="E3618" s="71" t="n">
        <f aca="false">IF(3&gt;Debt_Yr,0,IF(3=Debt_Yr,E3315,MIN(E3315,(E1194+E1497+E1800+E2406)*Cash_Sweep)))</f>
        <v>0</v>
      </c>
      <c r="F3618" s="71" t="n">
        <f aca="false">IF(4&gt;Debt_Yr,0,IF(4=Debt_Yr,F3315,MIN(F3315,(F1194+F1497+F1800+F2406)*Cash_Sweep)))</f>
        <v>0</v>
      </c>
      <c r="G3618" s="71" t="n">
        <f aca="false">IF(5&gt;Debt_Yr,0,IF(5=Debt_Yr,G3315,MIN(G3315,(G1194+G1497+G1800+G2406)*Cash_Sweep)))</f>
        <v>0</v>
      </c>
      <c r="H3618" s="71" t="n">
        <f aca="false">IF(6&gt;Debt_Yr,0,IF(6=Debt_Yr,H3315,MIN(H3315,(H1194+H1497+H1800+H2406)*Cash_Sweep)))</f>
        <v>0</v>
      </c>
      <c r="I3618" s="71" t="n">
        <f aca="false">IF(7&gt;Debt_Yr,0,IF(7=Debt_Yr,I3315,MIN(I3315,(I1194+I1497+I1800+I2406)*Cash_Sweep)))</f>
        <v>0</v>
      </c>
      <c r="J3618" s="71" t="n">
        <f aca="false">IF(8&gt;Debt_Yr,0,IF(8=Debt_Yr,J3315,MIN(J3315,(J1194+J1497+J1800+J2406)*Cash_Sweep)))</f>
        <v>0</v>
      </c>
      <c r="K3618" s="71" t="n">
        <f aca="false">IF(9&gt;Debt_Yr,0,IF(9=Debt_Yr,K3315,MIN(K3315,(K1194+K1497+K1800+K2406)*Cash_Sweep)))</f>
        <v>0</v>
      </c>
      <c r="L3618" s="71" t="n">
        <f aca="false">IF(10&gt;Debt_Yr,0,IF(10=Debt_Yr,L3315,MIN(L3315,(L1194+L1497+L1800+L2406)*Cash_Sweep)))</f>
        <v>0</v>
      </c>
    </row>
    <row r="3619" customFormat="false" ht="15" hidden="false" customHeight="false" outlineLevel="0" collapsed="false">
      <c r="B3619" s="102" t="n">
        <f aca="false">'Loan Tape'!$A282</f>
        <v>0</v>
      </c>
      <c r="C3619" s="99" t="n">
        <f aca="false">IF(1&gt;Debt_Yr,0,IF(1=Debt_Yr,C3316,MIN(C3316,(C1195+C1498+C1801+C2407)*Cash_Sweep)))</f>
        <v>0</v>
      </c>
      <c r="D3619" s="99" t="n">
        <f aca="false">IF(2&gt;Debt_Yr,0,IF(2=Debt_Yr,D3316,MIN(D3316,(D1195+D1498+D1801+D2407)*Cash_Sweep)))</f>
        <v>0</v>
      </c>
      <c r="E3619" s="99" t="n">
        <f aca="false">IF(3&gt;Debt_Yr,0,IF(3=Debt_Yr,E3316,MIN(E3316,(E1195+E1498+E1801+E2407)*Cash_Sweep)))</f>
        <v>0</v>
      </c>
      <c r="F3619" s="99" t="n">
        <f aca="false">IF(4&gt;Debt_Yr,0,IF(4=Debt_Yr,F3316,MIN(F3316,(F1195+F1498+F1801+F2407)*Cash_Sweep)))</f>
        <v>0</v>
      </c>
      <c r="G3619" s="99" t="n">
        <f aca="false">IF(5&gt;Debt_Yr,0,IF(5=Debt_Yr,G3316,MIN(G3316,(G1195+G1498+G1801+G2407)*Cash_Sweep)))</f>
        <v>0</v>
      </c>
      <c r="H3619" s="99" t="n">
        <f aca="false">IF(6&gt;Debt_Yr,0,IF(6=Debt_Yr,H3316,MIN(H3316,(H1195+H1498+H1801+H2407)*Cash_Sweep)))</f>
        <v>0</v>
      </c>
      <c r="I3619" s="99" t="n">
        <f aca="false">IF(7&gt;Debt_Yr,0,IF(7=Debt_Yr,I3316,MIN(I3316,(I1195+I1498+I1801+I2407)*Cash_Sweep)))</f>
        <v>0</v>
      </c>
      <c r="J3619" s="99" t="n">
        <f aca="false">IF(8&gt;Debt_Yr,0,IF(8=Debt_Yr,J3316,MIN(J3316,(J1195+J1498+J1801+J2407)*Cash_Sweep)))</f>
        <v>0</v>
      </c>
      <c r="K3619" s="99" t="n">
        <f aca="false">IF(9&gt;Debt_Yr,0,IF(9=Debt_Yr,K3316,MIN(K3316,(K1195+K1498+K1801+K2407)*Cash_Sweep)))</f>
        <v>0</v>
      </c>
      <c r="L3619" s="99" t="n">
        <f aca="false">IF(10&gt;Debt_Yr,0,IF(10=Debt_Yr,L3316,MIN(L3316,(L1195+L1498+L1801+L2407)*Cash_Sweep)))</f>
        <v>0</v>
      </c>
    </row>
    <row r="3620" customFormat="false" ht="15" hidden="false" customHeight="false" outlineLevel="0" collapsed="false">
      <c r="B3620" s="108" t="n">
        <f aca="false">'Loan Tape'!$A283</f>
        <v>0</v>
      </c>
      <c r="C3620" s="71" t="n">
        <f aca="false">IF(1&gt;Debt_Yr,0,IF(1=Debt_Yr,C3317,MIN(C3317,(C1196+C1499+C1802+C2408)*Cash_Sweep)))</f>
        <v>0</v>
      </c>
      <c r="D3620" s="71" t="n">
        <f aca="false">IF(2&gt;Debt_Yr,0,IF(2=Debt_Yr,D3317,MIN(D3317,(D1196+D1499+D1802+D2408)*Cash_Sweep)))</f>
        <v>0</v>
      </c>
      <c r="E3620" s="71" t="n">
        <f aca="false">IF(3&gt;Debt_Yr,0,IF(3=Debt_Yr,E3317,MIN(E3317,(E1196+E1499+E1802+E2408)*Cash_Sweep)))</f>
        <v>0</v>
      </c>
      <c r="F3620" s="71" t="n">
        <f aca="false">IF(4&gt;Debt_Yr,0,IF(4=Debt_Yr,F3317,MIN(F3317,(F1196+F1499+F1802+F2408)*Cash_Sweep)))</f>
        <v>0</v>
      </c>
      <c r="G3620" s="71" t="n">
        <f aca="false">IF(5&gt;Debt_Yr,0,IF(5=Debt_Yr,G3317,MIN(G3317,(G1196+G1499+G1802+G2408)*Cash_Sweep)))</f>
        <v>0</v>
      </c>
      <c r="H3620" s="71" t="n">
        <f aca="false">IF(6&gt;Debt_Yr,0,IF(6=Debt_Yr,H3317,MIN(H3317,(H1196+H1499+H1802+H2408)*Cash_Sweep)))</f>
        <v>0</v>
      </c>
      <c r="I3620" s="71" t="n">
        <f aca="false">IF(7&gt;Debt_Yr,0,IF(7=Debt_Yr,I3317,MIN(I3317,(I1196+I1499+I1802+I2408)*Cash_Sweep)))</f>
        <v>0</v>
      </c>
      <c r="J3620" s="71" t="n">
        <f aca="false">IF(8&gt;Debt_Yr,0,IF(8=Debt_Yr,J3317,MIN(J3317,(J1196+J1499+J1802+J2408)*Cash_Sweep)))</f>
        <v>0</v>
      </c>
      <c r="K3620" s="71" t="n">
        <f aca="false">IF(9&gt;Debt_Yr,0,IF(9=Debt_Yr,K3317,MIN(K3317,(K1196+K1499+K1802+K2408)*Cash_Sweep)))</f>
        <v>0</v>
      </c>
      <c r="L3620" s="71" t="n">
        <f aca="false">IF(10&gt;Debt_Yr,0,IF(10=Debt_Yr,L3317,MIN(L3317,(L1196+L1499+L1802+L2408)*Cash_Sweep)))</f>
        <v>0</v>
      </c>
    </row>
    <row r="3621" customFormat="false" ht="15" hidden="false" customHeight="false" outlineLevel="0" collapsed="false">
      <c r="B3621" s="102" t="n">
        <f aca="false">'Loan Tape'!$A284</f>
        <v>0</v>
      </c>
      <c r="C3621" s="99" t="n">
        <f aca="false">IF(1&gt;Debt_Yr,0,IF(1=Debt_Yr,C3318,MIN(C3318,(C1197+C1500+C1803+C2409)*Cash_Sweep)))</f>
        <v>0</v>
      </c>
      <c r="D3621" s="99" t="n">
        <f aca="false">IF(2&gt;Debt_Yr,0,IF(2=Debt_Yr,D3318,MIN(D3318,(D1197+D1500+D1803+D2409)*Cash_Sweep)))</f>
        <v>0</v>
      </c>
      <c r="E3621" s="99" t="n">
        <f aca="false">IF(3&gt;Debt_Yr,0,IF(3=Debt_Yr,E3318,MIN(E3318,(E1197+E1500+E1803+E2409)*Cash_Sweep)))</f>
        <v>0</v>
      </c>
      <c r="F3621" s="99" t="n">
        <f aca="false">IF(4&gt;Debt_Yr,0,IF(4=Debt_Yr,F3318,MIN(F3318,(F1197+F1500+F1803+F2409)*Cash_Sweep)))</f>
        <v>0</v>
      </c>
      <c r="G3621" s="99" t="n">
        <f aca="false">IF(5&gt;Debt_Yr,0,IF(5=Debt_Yr,G3318,MIN(G3318,(G1197+G1500+G1803+G2409)*Cash_Sweep)))</f>
        <v>0</v>
      </c>
      <c r="H3621" s="99" t="n">
        <f aca="false">IF(6&gt;Debt_Yr,0,IF(6=Debt_Yr,H3318,MIN(H3318,(H1197+H1500+H1803+H2409)*Cash_Sweep)))</f>
        <v>0</v>
      </c>
      <c r="I3621" s="99" t="n">
        <f aca="false">IF(7&gt;Debt_Yr,0,IF(7=Debt_Yr,I3318,MIN(I3318,(I1197+I1500+I1803+I2409)*Cash_Sweep)))</f>
        <v>0</v>
      </c>
      <c r="J3621" s="99" t="n">
        <f aca="false">IF(8&gt;Debt_Yr,0,IF(8=Debt_Yr,J3318,MIN(J3318,(J1197+J1500+J1803+J2409)*Cash_Sweep)))</f>
        <v>0</v>
      </c>
      <c r="K3621" s="99" t="n">
        <f aca="false">IF(9&gt;Debt_Yr,0,IF(9=Debt_Yr,K3318,MIN(K3318,(K1197+K1500+K1803+K2409)*Cash_Sweep)))</f>
        <v>0</v>
      </c>
      <c r="L3621" s="99" t="n">
        <f aca="false">IF(10&gt;Debt_Yr,0,IF(10=Debt_Yr,L3318,MIN(L3318,(L1197+L1500+L1803+L2409)*Cash_Sweep)))</f>
        <v>0</v>
      </c>
    </row>
    <row r="3622" customFormat="false" ht="15" hidden="false" customHeight="false" outlineLevel="0" collapsed="false">
      <c r="B3622" s="108" t="n">
        <f aca="false">'Loan Tape'!$A285</f>
        <v>0</v>
      </c>
      <c r="C3622" s="71" t="n">
        <f aca="false">IF(1&gt;Debt_Yr,0,IF(1=Debt_Yr,C3319,MIN(C3319,(C1198+C1501+C1804+C2410)*Cash_Sweep)))</f>
        <v>0</v>
      </c>
      <c r="D3622" s="71" t="n">
        <f aca="false">IF(2&gt;Debt_Yr,0,IF(2=Debt_Yr,D3319,MIN(D3319,(D1198+D1501+D1804+D2410)*Cash_Sweep)))</f>
        <v>0</v>
      </c>
      <c r="E3622" s="71" t="n">
        <f aca="false">IF(3&gt;Debt_Yr,0,IF(3=Debt_Yr,E3319,MIN(E3319,(E1198+E1501+E1804+E2410)*Cash_Sweep)))</f>
        <v>0</v>
      </c>
      <c r="F3622" s="71" t="n">
        <f aca="false">IF(4&gt;Debt_Yr,0,IF(4=Debt_Yr,F3319,MIN(F3319,(F1198+F1501+F1804+F2410)*Cash_Sweep)))</f>
        <v>0</v>
      </c>
      <c r="G3622" s="71" t="n">
        <f aca="false">IF(5&gt;Debt_Yr,0,IF(5=Debt_Yr,G3319,MIN(G3319,(G1198+G1501+G1804+G2410)*Cash_Sweep)))</f>
        <v>0</v>
      </c>
      <c r="H3622" s="71" t="n">
        <f aca="false">IF(6&gt;Debt_Yr,0,IF(6=Debt_Yr,H3319,MIN(H3319,(H1198+H1501+H1804+H2410)*Cash_Sweep)))</f>
        <v>0</v>
      </c>
      <c r="I3622" s="71" t="n">
        <f aca="false">IF(7&gt;Debt_Yr,0,IF(7=Debt_Yr,I3319,MIN(I3319,(I1198+I1501+I1804+I2410)*Cash_Sweep)))</f>
        <v>0</v>
      </c>
      <c r="J3622" s="71" t="n">
        <f aca="false">IF(8&gt;Debt_Yr,0,IF(8=Debt_Yr,J3319,MIN(J3319,(J1198+J1501+J1804+J2410)*Cash_Sweep)))</f>
        <v>0</v>
      </c>
      <c r="K3622" s="71" t="n">
        <f aca="false">IF(9&gt;Debt_Yr,0,IF(9=Debt_Yr,K3319,MIN(K3319,(K1198+K1501+K1804+K2410)*Cash_Sweep)))</f>
        <v>0</v>
      </c>
      <c r="L3622" s="71" t="n">
        <f aca="false">IF(10&gt;Debt_Yr,0,IF(10=Debt_Yr,L3319,MIN(L3319,(L1198+L1501+L1804+L2410)*Cash_Sweep)))</f>
        <v>0</v>
      </c>
    </row>
    <row r="3623" customFormat="false" ht="15" hidden="false" customHeight="false" outlineLevel="0" collapsed="false">
      <c r="B3623" s="102" t="n">
        <f aca="false">'Loan Tape'!$A286</f>
        <v>0</v>
      </c>
      <c r="C3623" s="99" t="n">
        <f aca="false">IF(1&gt;Debt_Yr,0,IF(1=Debt_Yr,C3320,MIN(C3320,(C1199+C1502+C1805+C2411)*Cash_Sweep)))</f>
        <v>0</v>
      </c>
      <c r="D3623" s="99" t="n">
        <f aca="false">IF(2&gt;Debt_Yr,0,IF(2=Debt_Yr,D3320,MIN(D3320,(D1199+D1502+D1805+D2411)*Cash_Sweep)))</f>
        <v>0</v>
      </c>
      <c r="E3623" s="99" t="n">
        <f aca="false">IF(3&gt;Debt_Yr,0,IF(3=Debt_Yr,E3320,MIN(E3320,(E1199+E1502+E1805+E2411)*Cash_Sweep)))</f>
        <v>0</v>
      </c>
      <c r="F3623" s="99" t="n">
        <f aca="false">IF(4&gt;Debt_Yr,0,IF(4=Debt_Yr,F3320,MIN(F3320,(F1199+F1502+F1805+F2411)*Cash_Sweep)))</f>
        <v>0</v>
      </c>
      <c r="G3623" s="99" t="n">
        <f aca="false">IF(5&gt;Debt_Yr,0,IF(5=Debt_Yr,G3320,MIN(G3320,(G1199+G1502+G1805+G2411)*Cash_Sweep)))</f>
        <v>0</v>
      </c>
      <c r="H3623" s="99" t="n">
        <f aca="false">IF(6&gt;Debt_Yr,0,IF(6=Debt_Yr,H3320,MIN(H3320,(H1199+H1502+H1805+H2411)*Cash_Sweep)))</f>
        <v>0</v>
      </c>
      <c r="I3623" s="99" t="n">
        <f aca="false">IF(7&gt;Debt_Yr,0,IF(7=Debt_Yr,I3320,MIN(I3320,(I1199+I1502+I1805+I2411)*Cash_Sweep)))</f>
        <v>0</v>
      </c>
      <c r="J3623" s="99" t="n">
        <f aca="false">IF(8&gt;Debt_Yr,0,IF(8=Debt_Yr,J3320,MIN(J3320,(J1199+J1502+J1805+J2411)*Cash_Sweep)))</f>
        <v>0</v>
      </c>
      <c r="K3623" s="99" t="n">
        <f aca="false">IF(9&gt;Debt_Yr,0,IF(9=Debt_Yr,K3320,MIN(K3320,(K1199+K1502+K1805+K2411)*Cash_Sweep)))</f>
        <v>0</v>
      </c>
      <c r="L3623" s="99" t="n">
        <f aca="false">IF(10&gt;Debt_Yr,0,IF(10=Debt_Yr,L3320,MIN(L3320,(L1199+L1502+L1805+L2411)*Cash_Sweep)))</f>
        <v>0</v>
      </c>
    </row>
    <row r="3624" customFormat="false" ht="15" hidden="false" customHeight="false" outlineLevel="0" collapsed="false">
      <c r="B3624" s="108" t="n">
        <f aca="false">'Loan Tape'!$A287</f>
        <v>0</v>
      </c>
      <c r="C3624" s="71" t="n">
        <f aca="false">IF(1&gt;Debt_Yr,0,IF(1=Debt_Yr,C3321,MIN(C3321,(C1200+C1503+C1806+C2412)*Cash_Sweep)))</f>
        <v>0</v>
      </c>
      <c r="D3624" s="71" t="n">
        <f aca="false">IF(2&gt;Debt_Yr,0,IF(2=Debt_Yr,D3321,MIN(D3321,(D1200+D1503+D1806+D2412)*Cash_Sweep)))</f>
        <v>0</v>
      </c>
      <c r="E3624" s="71" t="n">
        <f aca="false">IF(3&gt;Debt_Yr,0,IF(3=Debt_Yr,E3321,MIN(E3321,(E1200+E1503+E1806+E2412)*Cash_Sweep)))</f>
        <v>0</v>
      </c>
      <c r="F3624" s="71" t="n">
        <f aca="false">IF(4&gt;Debt_Yr,0,IF(4=Debt_Yr,F3321,MIN(F3321,(F1200+F1503+F1806+F2412)*Cash_Sweep)))</f>
        <v>0</v>
      </c>
      <c r="G3624" s="71" t="n">
        <f aca="false">IF(5&gt;Debt_Yr,0,IF(5=Debt_Yr,G3321,MIN(G3321,(G1200+G1503+G1806+G2412)*Cash_Sweep)))</f>
        <v>0</v>
      </c>
      <c r="H3624" s="71" t="n">
        <f aca="false">IF(6&gt;Debt_Yr,0,IF(6=Debt_Yr,H3321,MIN(H3321,(H1200+H1503+H1806+H2412)*Cash_Sweep)))</f>
        <v>0</v>
      </c>
      <c r="I3624" s="71" t="n">
        <f aca="false">IF(7&gt;Debt_Yr,0,IF(7=Debt_Yr,I3321,MIN(I3321,(I1200+I1503+I1806+I2412)*Cash_Sweep)))</f>
        <v>0</v>
      </c>
      <c r="J3624" s="71" t="n">
        <f aca="false">IF(8&gt;Debt_Yr,0,IF(8=Debt_Yr,J3321,MIN(J3321,(J1200+J1503+J1806+J2412)*Cash_Sweep)))</f>
        <v>0</v>
      </c>
      <c r="K3624" s="71" t="n">
        <f aca="false">IF(9&gt;Debt_Yr,0,IF(9=Debt_Yr,K3321,MIN(K3321,(K1200+K1503+K1806+K2412)*Cash_Sweep)))</f>
        <v>0</v>
      </c>
      <c r="L3624" s="71" t="n">
        <f aca="false">IF(10&gt;Debt_Yr,0,IF(10=Debt_Yr,L3321,MIN(L3321,(L1200+L1503+L1806+L2412)*Cash_Sweep)))</f>
        <v>0</v>
      </c>
    </row>
    <row r="3625" customFormat="false" ht="15" hidden="false" customHeight="false" outlineLevel="0" collapsed="false">
      <c r="B3625" s="102" t="n">
        <f aca="false">'Loan Tape'!$A288</f>
        <v>0</v>
      </c>
      <c r="C3625" s="99" t="n">
        <f aca="false">IF(1&gt;Debt_Yr,0,IF(1=Debt_Yr,C3322,MIN(C3322,(C1201+C1504+C1807+C2413)*Cash_Sweep)))</f>
        <v>0</v>
      </c>
      <c r="D3625" s="99" t="n">
        <f aca="false">IF(2&gt;Debt_Yr,0,IF(2=Debt_Yr,D3322,MIN(D3322,(D1201+D1504+D1807+D2413)*Cash_Sweep)))</f>
        <v>0</v>
      </c>
      <c r="E3625" s="99" t="n">
        <f aca="false">IF(3&gt;Debt_Yr,0,IF(3=Debt_Yr,E3322,MIN(E3322,(E1201+E1504+E1807+E2413)*Cash_Sweep)))</f>
        <v>0</v>
      </c>
      <c r="F3625" s="99" t="n">
        <f aca="false">IF(4&gt;Debt_Yr,0,IF(4=Debt_Yr,F3322,MIN(F3322,(F1201+F1504+F1807+F2413)*Cash_Sweep)))</f>
        <v>0</v>
      </c>
      <c r="G3625" s="99" t="n">
        <f aca="false">IF(5&gt;Debt_Yr,0,IF(5=Debt_Yr,G3322,MIN(G3322,(G1201+G1504+G1807+G2413)*Cash_Sweep)))</f>
        <v>0</v>
      </c>
      <c r="H3625" s="99" t="n">
        <f aca="false">IF(6&gt;Debt_Yr,0,IF(6=Debt_Yr,H3322,MIN(H3322,(H1201+H1504+H1807+H2413)*Cash_Sweep)))</f>
        <v>0</v>
      </c>
      <c r="I3625" s="99" t="n">
        <f aca="false">IF(7&gt;Debt_Yr,0,IF(7=Debt_Yr,I3322,MIN(I3322,(I1201+I1504+I1807+I2413)*Cash_Sweep)))</f>
        <v>0</v>
      </c>
      <c r="J3625" s="99" t="n">
        <f aca="false">IF(8&gt;Debt_Yr,0,IF(8=Debt_Yr,J3322,MIN(J3322,(J1201+J1504+J1807+J2413)*Cash_Sweep)))</f>
        <v>0</v>
      </c>
      <c r="K3625" s="99" t="n">
        <f aca="false">IF(9&gt;Debt_Yr,0,IF(9=Debt_Yr,K3322,MIN(K3322,(K1201+K1504+K1807+K2413)*Cash_Sweep)))</f>
        <v>0</v>
      </c>
      <c r="L3625" s="99" t="n">
        <f aca="false">IF(10&gt;Debt_Yr,0,IF(10=Debt_Yr,L3322,MIN(L3322,(L1201+L1504+L1807+L2413)*Cash_Sweep)))</f>
        <v>0</v>
      </c>
    </row>
    <row r="3626" customFormat="false" ht="15" hidden="false" customHeight="false" outlineLevel="0" collapsed="false">
      <c r="B3626" s="108" t="n">
        <f aca="false">'Loan Tape'!$A289</f>
        <v>0</v>
      </c>
      <c r="C3626" s="71" t="n">
        <f aca="false">IF(1&gt;Debt_Yr,0,IF(1=Debt_Yr,C3323,MIN(C3323,(C1202+C1505+C1808+C2414)*Cash_Sweep)))</f>
        <v>0</v>
      </c>
      <c r="D3626" s="71" t="n">
        <f aca="false">IF(2&gt;Debt_Yr,0,IF(2=Debt_Yr,D3323,MIN(D3323,(D1202+D1505+D1808+D2414)*Cash_Sweep)))</f>
        <v>0</v>
      </c>
      <c r="E3626" s="71" t="n">
        <f aca="false">IF(3&gt;Debt_Yr,0,IF(3=Debt_Yr,E3323,MIN(E3323,(E1202+E1505+E1808+E2414)*Cash_Sweep)))</f>
        <v>0</v>
      </c>
      <c r="F3626" s="71" t="n">
        <f aca="false">IF(4&gt;Debt_Yr,0,IF(4=Debt_Yr,F3323,MIN(F3323,(F1202+F1505+F1808+F2414)*Cash_Sweep)))</f>
        <v>0</v>
      </c>
      <c r="G3626" s="71" t="n">
        <f aca="false">IF(5&gt;Debt_Yr,0,IF(5=Debt_Yr,G3323,MIN(G3323,(G1202+G1505+G1808+G2414)*Cash_Sweep)))</f>
        <v>0</v>
      </c>
      <c r="H3626" s="71" t="n">
        <f aca="false">IF(6&gt;Debt_Yr,0,IF(6=Debt_Yr,H3323,MIN(H3323,(H1202+H1505+H1808+H2414)*Cash_Sweep)))</f>
        <v>0</v>
      </c>
      <c r="I3626" s="71" t="n">
        <f aca="false">IF(7&gt;Debt_Yr,0,IF(7=Debt_Yr,I3323,MIN(I3323,(I1202+I1505+I1808+I2414)*Cash_Sweep)))</f>
        <v>0</v>
      </c>
      <c r="J3626" s="71" t="n">
        <f aca="false">IF(8&gt;Debt_Yr,0,IF(8=Debt_Yr,J3323,MIN(J3323,(J1202+J1505+J1808+J2414)*Cash_Sweep)))</f>
        <v>0</v>
      </c>
      <c r="K3626" s="71" t="n">
        <f aca="false">IF(9&gt;Debt_Yr,0,IF(9=Debt_Yr,K3323,MIN(K3323,(K1202+K1505+K1808+K2414)*Cash_Sweep)))</f>
        <v>0</v>
      </c>
      <c r="L3626" s="71" t="n">
        <f aca="false">IF(10&gt;Debt_Yr,0,IF(10=Debt_Yr,L3323,MIN(L3323,(L1202+L1505+L1808+L2414)*Cash_Sweep)))</f>
        <v>0</v>
      </c>
    </row>
    <row r="3627" customFormat="false" ht="15" hidden="false" customHeight="false" outlineLevel="0" collapsed="false">
      <c r="B3627" s="102" t="n">
        <f aca="false">'Loan Tape'!$A290</f>
        <v>0</v>
      </c>
      <c r="C3627" s="99" t="n">
        <f aca="false">IF(1&gt;Debt_Yr,0,IF(1=Debt_Yr,C3324,MIN(C3324,(C1203+C1506+C1809+C2415)*Cash_Sweep)))</f>
        <v>0</v>
      </c>
      <c r="D3627" s="99" t="n">
        <f aca="false">IF(2&gt;Debt_Yr,0,IF(2=Debt_Yr,D3324,MIN(D3324,(D1203+D1506+D1809+D2415)*Cash_Sweep)))</f>
        <v>0</v>
      </c>
      <c r="E3627" s="99" t="n">
        <f aca="false">IF(3&gt;Debt_Yr,0,IF(3=Debt_Yr,E3324,MIN(E3324,(E1203+E1506+E1809+E2415)*Cash_Sweep)))</f>
        <v>0</v>
      </c>
      <c r="F3627" s="99" t="n">
        <f aca="false">IF(4&gt;Debt_Yr,0,IF(4=Debt_Yr,F3324,MIN(F3324,(F1203+F1506+F1809+F2415)*Cash_Sweep)))</f>
        <v>0</v>
      </c>
      <c r="G3627" s="99" t="n">
        <f aca="false">IF(5&gt;Debt_Yr,0,IF(5=Debt_Yr,G3324,MIN(G3324,(G1203+G1506+G1809+G2415)*Cash_Sweep)))</f>
        <v>0</v>
      </c>
      <c r="H3627" s="99" t="n">
        <f aca="false">IF(6&gt;Debt_Yr,0,IF(6=Debt_Yr,H3324,MIN(H3324,(H1203+H1506+H1809+H2415)*Cash_Sweep)))</f>
        <v>0</v>
      </c>
      <c r="I3627" s="99" t="n">
        <f aca="false">IF(7&gt;Debt_Yr,0,IF(7=Debt_Yr,I3324,MIN(I3324,(I1203+I1506+I1809+I2415)*Cash_Sweep)))</f>
        <v>0</v>
      </c>
      <c r="J3627" s="99" t="n">
        <f aca="false">IF(8&gt;Debt_Yr,0,IF(8=Debt_Yr,J3324,MIN(J3324,(J1203+J1506+J1809+J2415)*Cash_Sweep)))</f>
        <v>0</v>
      </c>
      <c r="K3627" s="99" t="n">
        <f aca="false">IF(9&gt;Debt_Yr,0,IF(9=Debt_Yr,K3324,MIN(K3324,(K1203+K1506+K1809+K2415)*Cash_Sweep)))</f>
        <v>0</v>
      </c>
      <c r="L3627" s="99" t="n">
        <f aca="false">IF(10&gt;Debt_Yr,0,IF(10=Debt_Yr,L3324,MIN(L3324,(L1203+L1506+L1809+L2415)*Cash_Sweep)))</f>
        <v>0</v>
      </c>
    </row>
    <row r="3628" customFormat="false" ht="15" hidden="false" customHeight="false" outlineLevel="0" collapsed="false">
      <c r="B3628" s="108" t="n">
        <f aca="false">'Loan Tape'!$A291</f>
        <v>0</v>
      </c>
      <c r="C3628" s="71" t="n">
        <f aca="false">IF(1&gt;Debt_Yr,0,IF(1=Debt_Yr,C3325,MIN(C3325,(C1204+C1507+C1810+C2416)*Cash_Sweep)))</f>
        <v>0</v>
      </c>
      <c r="D3628" s="71" t="n">
        <f aca="false">IF(2&gt;Debt_Yr,0,IF(2=Debt_Yr,D3325,MIN(D3325,(D1204+D1507+D1810+D2416)*Cash_Sweep)))</f>
        <v>0</v>
      </c>
      <c r="E3628" s="71" t="n">
        <f aca="false">IF(3&gt;Debt_Yr,0,IF(3=Debt_Yr,E3325,MIN(E3325,(E1204+E1507+E1810+E2416)*Cash_Sweep)))</f>
        <v>0</v>
      </c>
      <c r="F3628" s="71" t="n">
        <f aca="false">IF(4&gt;Debt_Yr,0,IF(4=Debt_Yr,F3325,MIN(F3325,(F1204+F1507+F1810+F2416)*Cash_Sweep)))</f>
        <v>0</v>
      </c>
      <c r="G3628" s="71" t="n">
        <f aca="false">IF(5&gt;Debt_Yr,0,IF(5=Debt_Yr,G3325,MIN(G3325,(G1204+G1507+G1810+G2416)*Cash_Sweep)))</f>
        <v>0</v>
      </c>
      <c r="H3628" s="71" t="n">
        <f aca="false">IF(6&gt;Debt_Yr,0,IF(6=Debt_Yr,H3325,MIN(H3325,(H1204+H1507+H1810+H2416)*Cash_Sweep)))</f>
        <v>0</v>
      </c>
      <c r="I3628" s="71" t="n">
        <f aca="false">IF(7&gt;Debt_Yr,0,IF(7=Debt_Yr,I3325,MIN(I3325,(I1204+I1507+I1810+I2416)*Cash_Sweep)))</f>
        <v>0</v>
      </c>
      <c r="J3628" s="71" t="n">
        <f aca="false">IF(8&gt;Debt_Yr,0,IF(8=Debt_Yr,J3325,MIN(J3325,(J1204+J1507+J1810+J2416)*Cash_Sweep)))</f>
        <v>0</v>
      </c>
      <c r="K3628" s="71" t="n">
        <f aca="false">IF(9&gt;Debt_Yr,0,IF(9=Debt_Yr,K3325,MIN(K3325,(K1204+K1507+K1810+K2416)*Cash_Sweep)))</f>
        <v>0</v>
      </c>
      <c r="L3628" s="71" t="n">
        <f aca="false">IF(10&gt;Debt_Yr,0,IF(10=Debt_Yr,L3325,MIN(L3325,(L1204+L1507+L1810+L2416)*Cash_Sweep)))</f>
        <v>0</v>
      </c>
    </row>
    <row r="3629" customFormat="false" ht="15" hidden="false" customHeight="false" outlineLevel="0" collapsed="false">
      <c r="B3629" s="102" t="n">
        <f aca="false">'Loan Tape'!$A292</f>
        <v>0</v>
      </c>
      <c r="C3629" s="99" t="n">
        <f aca="false">IF(1&gt;Debt_Yr,0,IF(1=Debt_Yr,C3326,MIN(C3326,(C1205+C1508+C1811+C2417)*Cash_Sweep)))</f>
        <v>0</v>
      </c>
      <c r="D3629" s="99" t="n">
        <f aca="false">IF(2&gt;Debt_Yr,0,IF(2=Debt_Yr,D3326,MIN(D3326,(D1205+D1508+D1811+D2417)*Cash_Sweep)))</f>
        <v>0</v>
      </c>
      <c r="E3629" s="99" t="n">
        <f aca="false">IF(3&gt;Debt_Yr,0,IF(3=Debt_Yr,E3326,MIN(E3326,(E1205+E1508+E1811+E2417)*Cash_Sweep)))</f>
        <v>0</v>
      </c>
      <c r="F3629" s="99" t="n">
        <f aca="false">IF(4&gt;Debt_Yr,0,IF(4=Debt_Yr,F3326,MIN(F3326,(F1205+F1508+F1811+F2417)*Cash_Sweep)))</f>
        <v>0</v>
      </c>
      <c r="G3629" s="99" t="n">
        <f aca="false">IF(5&gt;Debt_Yr,0,IF(5=Debt_Yr,G3326,MIN(G3326,(G1205+G1508+G1811+G2417)*Cash_Sweep)))</f>
        <v>0</v>
      </c>
      <c r="H3629" s="99" t="n">
        <f aca="false">IF(6&gt;Debt_Yr,0,IF(6=Debt_Yr,H3326,MIN(H3326,(H1205+H1508+H1811+H2417)*Cash_Sweep)))</f>
        <v>0</v>
      </c>
      <c r="I3629" s="99" t="n">
        <f aca="false">IF(7&gt;Debt_Yr,0,IF(7=Debt_Yr,I3326,MIN(I3326,(I1205+I1508+I1811+I2417)*Cash_Sweep)))</f>
        <v>0</v>
      </c>
      <c r="J3629" s="99" t="n">
        <f aca="false">IF(8&gt;Debt_Yr,0,IF(8=Debt_Yr,J3326,MIN(J3326,(J1205+J1508+J1811+J2417)*Cash_Sweep)))</f>
        <v>0</v>
      </c>
      <c r="K3629" s="99" t="n">
        <f aca="false">IF(9&gt;Debt_Yr,0,IF(9=Debt_Yr,K3326,MIN(K3326,(K1205+K1508+K1811+K2417)*Cash_Sweep)))</f>
        <v>0</v>
      </c>
      <c r="L3629" s="99" t="n">
        <f aca="false">IF(10&gt;Debt_Yr,0,IF(10=Debt_Yr,L3326,MIN(L3326,(L1205+L1508+L1811+L2417)*Cash_Sweep)))</f>
        <v>0</v>
      </c>
    </row>
    <row r="3630" customFormat="false" ht="15" hidden="false" customHeight="false" outlineLevel="0" collapsed="false">
      <c r="B3630" s="108" t="n">
        <f aca="false">'Loan Tape'!$A293</f>
        <v>0</v>
      </c>
      <c r="C3630" s="71" t="n">
        <f aca="false">IF(1&gt;Debt_Yr,0,IF(1=Debt_Yr,C3327,MIN(C3327,(C1206+C1509+C1812+C2418)*Cash_Sweep)))</f>
        <v>0</v>
      </c>
      <c r="D3630" s="71" t="n">
        <f aca="false">IF(2&gt;Debt_Yr,0,IF(2=Debt_Yr,D3327,MIN(D3327,(D1206+D1509+D1812+D2418)*Cash_Sweep)))</f>
        <v>0</v>
      </c>
      <c r="E3630" s="71" t="n">
        <f aca="false">IF(3&gt;Debt_Yr,0,IF(3=Debt_Yr,E3327,MIN(E3327,(E1206+E1509+E1812+E2418)*Cash_Sweep)))</f>
        <v>0</v>
      </c>
      <c r="F3630" s="71" t="n">
        <f aca="false">IF(4&gt;Debt_Yr,0,IF(4=Debt_Yr,F3327,MIN(F3327,(F1206+F1509+F1812+F2418)*Cash_Sweep)))</f>
        <v>0</v>
      </c>
      <c r="G3630" s="71" t="n">
        <f aca="false">IF(5&gt;Debt_Yr,0,IF(5=Debt_Yr,G3327,MIN(G3327,(G1206+G1509+G1812+G2418)*Cash_Sweep)))</f>
        <v>0</v>
      </c>
      <c r="H3630" s="71" t="n">
        <f aca="false">IF(6&gt;Debt_Yr,0,IF(6=Debt_Yr,H3327,MIN(H3327,(H1206+H1509+H1812+H2418)*Cash_Sweep)))</f>
        <v>0</v>
      </c>
      <c r="I3630" s="71" t="n">
        <f aca="false">IF(7&gt;Debt_Yr,0,IF(7=Debt_Yr,I3327,MIN(I3327,(I1206+I1509+I1812+I2418)*Cash_Sweep)))</f>
        <v>0</v>
      </c>
      <c r="J3630" s="71" t="n">
        <f aca="false">IF(8&gt;Debt_Yr,0,IF(8=Debt_Yr,J3327,MIN(J3327,(J1206+J1509+J1812+J2418)*Cash_Sweep)))</f>
        <v>0</v>
      </c>
      <c r="K3630" s="71" t="n">
        <f aca="false">IF(9&gt;Debt_Yr,0,IF(9=Debt_Yr,K3327,MIN(K3327,(K1206+K1509+K1812+K2418)*Cash_Sweep)))</f>
        <v>0</v>
      </c>
      <c r="L3630" s="71" t="n">
        <f aca="false">IF(10&gt;Debt_Yr,0,IF(10=Debt_Yr,L3327,MIN(L3327,(L1206+L1509+L1812+L2418)*Cash_Sweep)))</f>
        <v>0</v>
      </c>
    </row>
    <row r="3631" customFormat="false" ht="15" hidden="false" customHeight="false" outlineLevel="0" collapsed="false">
      <c r="B3631" s="102" t="n">
        <f aca="false">'Loan Tape'!$A294</f>
        <v>0</v>
      </c>
      <c r="C3631" s="99" t="n">
        <f aca="false">IF(1&gt;Debt_Yr,0,IF(1=Debt_Yr,C3328,MIN(C3328,(C1207+C1510+C1813+C2419)*Cash_Sweep)))</f>
        <v>0</v>
      </c>
      <c r="D3631" s="99" t="n">
        <f aca="false">IF(2&gt;Debt_Yr,0,IF(2=Debt_Yr,D3328,MIN(D3328,(D1207+D1510+D1813+D2419)*Cash_Sweep)))</f>
        <v>0</v>
      </c>
      <c r="E3631" s="99" t="n">
        <f aca="false">IF(3&gt;Debt_Yr,0,IF(3=Debt_Yr,E3328,MIN(E3328,(E1207+E1510+E1813+E2419)*Cash_Sweep)))</f>
        <v>0</v>
      </c>
      <c r="F3631" s="99" t="n">
        <f aca="false">IF(4&gt;Debt_Yr,0,IF(4=Debt_Yr,F3328,MIN(F3328,(F1207+F1510+F1813+F2419)*Cash_Sweep)))</f>
        <v>0</v>
      </c>
      <c r="G3631" s="99" t="n">
        <f aca="false">IF(5&gt;Debt_Yr,0,IF(5=Debt_Yr,G3328,MIN(G3328,(G1207+G1510+G1813+G2419)*Cash_Sweep)))</f>
        <v>0</v>
      </c>
      <c r="H3631" s="99" t="n">
        <f aca="false">IF(6&gt;Debt_Yr,0,IF(6=Debt_Yr,H3328,MIN(H3328,(H1207+H1510+H1813+H2419)*Cash_Sweep)))</f>
        <v>0</v>
      </c>
      <c r="I3631" s="99" t="n">
        <f aca="false">IF(7&gt;Debt_Yr,0,IF(7=Debt_Yr,I3328,MIN(I3328,(I1207+I1510+I1813+I2419)*Cash_Sweep)))</f>
        <v>0</v>
      </c>
      <c r="J3631" s="99" t="n">
        <f aca="false">IF(8&gt;Debt_Yr,0,IF(8=Debt_Yr,J3328,MIN(J3328,(J1207+J1510+J1813+J2419)*Cash_Sweep)))</f>
        <v>0</v>
      </c>
      <c r="K3631" s="99" t="n">
        <f aca="false">IF(9&gt;Debt_Yr,0,IF(9=Debt_Yr,K3328,MIN(K3328,(K1207+K1510+K1813+K2419)*Cash_Sweep)))</f>
        <v>0</v>
      </c>
      <c r="L3631" s="99" t="n">
        <f aca="false">IF(10&gt;Debt_Yr,0,IF(10=Debt_Yr,L3328,MIN(L3328,(L1207+L1510+L1813+L2419)*Cash_Sweep)))</f>
        <v>0</v>
      </c>
    </row>
    <row r="3632" customFormat="false" ht="15" hidden="false" customHeight="false" outlineLevel="0" collapsed="false">
      <c r="B3632" s="108" t="n">
        <f aca="false">'Loan Tape'!$A295</f>
        <v>0</v>
      </c>
      <c r="C3632" s="71" t="n">
        <f aca="false">IF(1&gt;Debt_Yr,0,IF(1=Debt_Yr,C3329,MIN(C3329,(C1208+C1511+C1814+C2420)*Cash_Sweep)))</f>
        <v>0</v>
      </c>
      <c r="D3632" s="71" t="n">
        <f aca="false">IF(2&gt;Debt_Yr,0,IF(2=Debt_Yr,D3329,MIN(D3329,(D1208+D1511+D1814+D2420)*Cash_Sweep)))</f>
        <v>0</v>
      </c>
      <c r="E3632" s="71" t="n">
        <f aca="false">IF(3&gt;Debt_Yr,0,IF(3=Debt_Yr,E3329,MIN(E3329,(E1208+E1511+E1814+E2420)*Cash_Sweep)))</f>
        <v>0</v>
      </c>
      <c r="F3632" s="71" t="n">
        <f aca="false">IF(4&gt;Debt_Yr,0,IF(4=Debt_Yr,F3329,MIN(F3329,(F1208+F1511+F1814+F2420)*Cash_Sweep)))</f>
        <v>0</v>
      </c>
      <c r="G3632" s="71" t="n">
        <f aca="false">IF(5&gt;Debt_Yr,0,IF(5=Debt_Yr,G3329,MIN(G3329,(G1208+G1511+G1814+G2420)*Cash_Sweep)))</f>
        <v>0</v>
      </c>
      <c r="H3632" s="71" t="n">
        <f aca="false">IF(6&gt;Debt_Yr,0,IF(6=Debt_Yr,H3329,MIN(H3329,(H1208+H1511+H1814+H2420)*Cash_Sweep)))</f>
        <v>0</v>
      </c>
      <c r="I3632" s="71" t="n">
        <f aca="false">IF(7&gt;Debt_Yr,0,IF(7=Debt_Yr,I3329,MIN(I3329,(I1208+I1511+I1814+I2420)*Cash_Sweep)))</f>
        <v>0</v>
      </c>
      <c r="J3632" s="71" t="n">
        <f aca="false">IF(8&gt;Debt_Yr,0,IF(8=Debt_Yr,J3329,MIN(J3329,(J1208+J1511+J1814+J2420)*Cash_Sweep)))</f>
        <v>0</v>
      </c>
      <c r="K3632" s="71" t="n">
        <f aca="false">IF(9&gt;Debt_Yr,0,IF(9=Debt_Yr,K3329,MIN(K3329,(K1208+K1511+K1814+K2420)*Cash_Sweep)))</f>
        <v>0</v>
      </c>
      <c r="L3632" s="71" t="n">
        <f aca="false">IF(10&gt;Debt_Yr,0,IF(10=Debt_Yr,L3329,MIN(L3329,(L1208+L1511+L1814+L2420)*Cash_Sweep)))</f>
        <v>0</v>
      </c>
    </row>
    <row r="3633" customFormat="false" ht="15" hidden="false" customHeight="false" outlineLevel="0" collapsed="false">
      <c r="B3633" s="102" t="n">
        <f aca="false">'Loan Tape'!$A296</f>
        <v>0</v>
      </c>
      <c r="C3633" s="99" t="n">
        <f aca="false">IF(1&gt;Debt_Yr,0,IF(1=Debt_Yr,C3330,MIN(C3330,(C1209+C1512+C1815+C2421)*Cash_Sweep)))</f>
        <v>0</v>
      </c>
      <c r="D3633" s="99" t="n">
        <f aca="false">IF(2&gt;Debt_Yr,0,IF(2=Debt_Yr,D3330,MIN(D3330,(D1209+D1512+D1815+D2421)*Cash_Sweep)))</f>
        <v>0</v>
      </c>
      <c r="E3633" s="99" t="n">
        <f aca="false">IF(3&gt;Debt_Yr,0,IF(3=Debt_Yr,E3330,MIN(E3330,(E1209+E1512+E1815+E2421)*Cash_Sweep)))</f>
        <v>0</v>
      </c>
      <c r="F3633" s="99" t="n">
        <f aca="false">IF(4&gt;Debt_Yr,0,IF(4=Debt_Yr,F3330,MIN(F3330,(F1209+F1512+F1815+F2421)*Cash_Sweep)))</f>
        <v>0</v>
      </c>
      <c r="G3633" s="99" t="n">
        <f aca="false">IF(5&gt;Debt_Yr,0,IF(5=Debt_Yr,G3330,MIN(G3330,(G1209+G1512+G1815+G2421)*Cash_Sweep)))</f>
        <v>0</v>
      </c>
      <c r="H3633" s="99" t="n">
        <f aca="false">IF(6&gt;Debt_Yr,0,IF(6=Debt_Yr,H3330,MIN(H3330,(H1209+H1512+H1815+H2421)*Cash_Sweep)))</f>
        <v>0</v>
      </c>
      <c r="I3633" s="99" t="n">
        <f aca="false">IF(7&gt;Debt_Yr,0,IF(7=Debt_Yr,I3330,MIN(I3330,(I1209+I1512+I1815+I2421)*Cash_Sweep)))</f>
        <v>0</v>
      </c>
      <c r="J3633" s="99" t="n">
        <f aca="false">IF(8&gt;Debt_Yr,0,IF(8=Debt_Yr,J3330,MIN(J3330,(J1209+J1512+J1815+J2421)*Cash_Sweep)))</f>
        <v>0</v>
      </c>
      <c r="K3633" s="99" t="n">
        <f aca="false">IF(9&gt;Debt_Yr,0,IF(9=Debt_Yr,K3330,MIN(K3330,(K1209+K1512+K1815+K2421)*Cash_Sweep)))</f>
        <v>0</v>
      </c>
      <c r="L3633" s="99" t="n">
        <f aca="false">IF(10&gt;Debt_Yr,0,IF(10=Debt_Yr,L3330,MIN(L3330,(L1209+L1512+L1815+L2421)*Cash_Sweep)))</f>
        <v>0</v>
      </c>
    </row>
    <row r="3634" customFormat="false" ht="15" hidden="false" customHeight="false" outlineLevel="0" collapsed="false">
      <c r="B3634" s="108" t="n">
        <f aca="false">'Loan Tape'!$A297</f>
        <v>0</v>
      </c>
      <c r="C3634" s="71" t="n">
        <f aca="false">IF(1&gt;Debt_Yr,0,IF(1=Debt_Yr,C3331,MIN(C3331,(C1210+C1513+C1816+C2422)*Cash_Sweep)))</f>
        <v>0</v>
      </c>
      <c r="D3634" s="71" t="n">
        <f aca="false">IF(2&gt;Debt_Yr,0,IF(2=Debt_Yr,D3331,MIN(D3331,(D1210+D1513+D1816+D2422)*Cash_Sweep)))</f>
        <v>0</v>
      </c>
      <c r="E3634" s="71" t="n">
        <f aca="false">IF(3&gt;Debt_Yr,0,IF(3=Debt_Yr,E3331,MIN(E3331,(E1210+E1513+E1816+E2422)*Cash_Sweep)))</f>
        <v>0</v>
      </c>
      <c r="F3634" s="71" t="n">
        <f aca="false">IF(4&gt;Debt_Yr,0,IF(4=Debt_Yr,F3331,MIN(F3331,(F1210+F1513+F1816+F2422)*Cash_Sweep)))</f>
        <v>0</v>
      </c>
      <c r="G3634" s="71" t="n">
        <f aca="false">IF(5&gt;Debt_Yr,0,IF(5=Debt_Yr,G3331,MIN(G3331,(G1210+G1513+G1816+G2422)*Cash_Sweep)))</f>
        <v>0</v>
      </c>
      <c r="H3634" s="71" t="n">
        <f aca="false">IF(6&gt;Debt_Yr,0,IF(6=Debt_Yr,H3331,MIN(H3331,(H1210+H1513+H1816+H2422)*Cash_Sweep)))</f>
        <v>0</v>
      </c>
      <c r="I3634" s="71" t="n">
        <f aca="false">IF(7&gt;Debt_Yr,0,IF(7=Debt_Yr,I3331,MIN(I3331,(I1210+I1513+I1816+I2422)*Cash_Sweep)))</f>
        <v>0</v>
      </c>
      <c r="J3634" s="71" t="n">
        <f aca="false">IF(8&gt;Debt_Yr,0,IF(8=Debt_Yr,J3331,MIN(J3331,(J1210+J1513+J1816+J2422)*Cash_Sweep)))</f>
        <v>0</v>
      </c>
      <c r="K3634" s="71" t="n">
        <f aca="false">IF(9&gt;Debt_Yr,0,IF(9=Debt_Yr,K3331,MIN(K3331,(K1210+K1513+K1816+K2422)*Cash_Sweep)))</f>
        <v>0</v>
      </c>
      <c r="L3634" s="71" t="n">
        <f aca="false">IF(10&gt;Debt_Yr,0,IF(10=Debt_Yr,L3331,MIN(L3331,(L1210+L1513+L1816+L2422)*Cash_Sweep)))</f>
        <v>0</v>
      </c>
    </row>
    <row r="3635" customFormat="false" ht="15" hidden="false" customHeight="false" outlineLevel="0" collapsed="false">
      <c r="B3635" s="102" t="n">
        <f aca="false">'Loan Tape'!$A298</f>
        <v>0</v>
      </c>
      <c r="C3635" s="99" t="n">
        <f aca="false">IF(1&gt;Debt_Yr,0,IF(1=Debt_Yr,C3332,MIN(C3332,(C1211+C1514+C1817+C2423)*Cash_Sweep)))</f>
        <v>0</v>
      </c>
      <c r="D3635" s="99" t="n">
        <f aca="false">IF(2&gt;Debt_Yr,0,IF(2=Debt_Yr,D3332,MIN(D3332,(D1211+D1514+D1817+D2423)*Cash_Sweep)))</f>
        <v>0</v>
      </c>
      <c r="E3635" s="99" t="n">
        <f aca="false">IF(3&gt;Debt_Yr,0,IF(3=Debt_Yr,E3332,MIN(E3332,(E1211+E1514+E1817+E2423)*Cash_Sweep)))</f>
        <v>0</v>
      </c>
      <c r="F3635" s="99" t="n">
        <f aca="false">IF(4&gt;Debt_Yr,0,IF(4=Debt_Yr,F3332,MIN(F3332,(F1211+F1514+F1817+F2423)*Cash_Sweep)))</f>
        <v>0</v>
      </c>
      <c r="G3635" s="99" t="n">
        <f aca="false">IF(5&gt;Debt_Yr,0,IF(5=Debt_Yr,G3332,MIN(G3332,(G1211+G1514+G1817+G2423)*Cash_Sweep)))</f>
        <v>0</v>
      </c>
      <c r="H3635" s="99" t="n">
        <f aca="false">IF(6&gt;Debt_Yr,0,IF(6=Debt_Yr,H3332,MIN(H3332,(H1211+H1514+H1817+H2423)*Cash_Sweep)))</f>
        <v>0</v>
      </c>
      <c r="I3635" s="99" t="n">
        <f aca="false">IF(7&gt;Debt_Yr,0,IF(7=Debt_Yr,I3332,MIN(I3332,(I1211+I1514+I1817+I2423)*Cash_Sweep)))</f>
        <v>0</v>
      </c>
      <c r="J3635" s="99" t="n">
        <f aca="false">IF(8&gt;Debt_Yr,0,IF(8=Debt_Yr,J3332,MIN(J3332,(J1211+J1514+J1817+J2423)*Cash_Sweep)))</f>
        <v>0</v>
      </c>
      <c r="K3635" s="99" t="n">
        <f aca="false">IF(9&gt;Debt_Yr,0,IF(9=Debt_Yr,K3332,MIN(K3332,(K1211+K1514+K1817+K2423)*Cash_Sweep)))</f>
        <v>0</v>
      </c>
      <c r="L3635" s="99" t="n">
        <f aca="false">IF(10&gt;Debt_Yr,0,IF(10=Debt_Yr,L3332,MIN(L3332,(L1211+L1514+L1817+L2423)*Cash_Sweep)))</f>
        <v>0</v>
      </c>
    </row>
    <row r="3636" customFormat="false" ht="15" hidden="false" customHeight="false" outlineLevel="0" collapsed="false">
      <c r="B3636" s="108" t="n">
        <f aca="false">'Loan Tape'!$A299</f>
        <v>0</v>
      </c>
      <c r="C3636" s="71" t="n">
        <f aca="false">IF(1&gt;Debt_Yr,0,IF(1=Debt_Yr,C3333,MIN(C3333,(C1212+C1515+C1818+C2424)*Cash_Sweep)))</f>
        <v>0</v>
      </c>
      <c r="D3636" s="71" t="n">
        <f aca="false">IF(2&gt;Debt_Yr,0,IF(2=Debt_Yr,D3333,MIN(D3333,(D1212+D1515+D1818+D2424)*Cash_Sweep)))</f>
        <v>0</v>
      </c>
      <c r="E3636" s="71" t="n">
        <f aca="false">IF(3&gt;Debt_Yr,0,IF(3=Debt_Yr,E3333,MIN(E3333,(E1212+E1515+E1818+E2424)*Cash_Sweep)))</f>
        <v>0</v>
      </c>
      <c r="F3636" s="71" t="n">
        <f aca="false">IF(4&gt;Debt_Yr,0,IF(4=Debt_Yr,F3333,MIN(F3333,(F1212+F1515+F1818+F2424)*Cash_Sweep)))</f>
        <v>0</v>
      </c>
      <c r="G3636" s="71" t="n">
        <f aca="false">IF(5&gt;Debt_Yr,0,IF(5=Debt_Yr,G3333,MIN(G3333,(G1212+G1515+G1818+G2424)*Cash_Sweep)))</f>
        <v>0</v>
      </c>
      <c r="H3636" s="71" t="n">
        <f aca="false">IF(6&gt;Debt_Yr,0,IF(6=Debt_Yr,H3333,MIN(H3333,(H1212+H1515+H1818+H2424)*Cash_Sweep)))</f>
        <v>0</v>
      </c>
      <c r="I3636" s="71" t="n">
        <f aca="false">IF(7&gt;Debt_Yr,0,IF(7=Debt_Yr,I3333,MIN(I3333,(I1212+I1515+I1818+I2424)*Cash_Sweep)))</f>
        <v>0</v>
      </c>
      <c r="J3636" s="71" t="n">
        <f aca="false">IF(8&gt;Debt_Yr,0,IF(8=Debt_Yr,J3333,MIN(J3333,(J1212+J1515+J1818+J2424)*Cash_Sweep)))</f>
        <v>0</v>
      </c>
      <c r="K3636" s="71" t="n">
        <f aca="false">IF(9&gt;Debt_Yr,0,IF(9=Debt_Yr,K3333,MIN(K3333,(K1212+K1515+K1818+K2424)*Cash_Sweep)))</f>
        <v>0</v>
      </c>
      <c r="L3636" s="71" t="n">
        <f aca="false">IF(10&gt;Debt_Yr,0,IF(10=Debt_Yr,L3333,MIN(L3333,(L1212+L1515+L1818+L2424)*Cash_Sweep)))</f>
        <v>0</v>
      </c>
    </row>
    <row r="3637" customFormat="false" ht="15" hidden="false" customHeight="false" outlineLevel="0" collapsed="false">
      <c r="B3637" s="102" t="n">
        <f aca="false">'Loan Tape'!$A300</f>
        <v>0</v>
      </c>
      <c r="C3637" s="99" t="n">
        <f aca="false">IF(1&gt;Debt_Yr,0,IF(1=Debt_Yr,C3334,MIN(C3334,(C1213+C1516+C1819+C2425)*Cash_Sweep)))</f>
        <v>0</v>
      </c>
      <c r="D3637" s="99" t="n">
        <f aca="false">IF(2&gt;Debt_Yr,0,IF(2=Debt_Yr,D3334,MIN(D3334,(D1213+D1516+D1819+D2425)*Cash_Sweep)))</f>
        <v>0</v>
      </c>
      <c r="E3637" s="99" t="n">
        <f aca="false">IF(3&gt;Debt_Yr,0,IF(3=Debt_Yr,E3334,MIN(E3334,(E1213+E1516+E1819+E2425)*Cash_Sweep)))</f>
        <v>0</v>
      </c>
      <c r="F3637" s="99" t="n">
        <f aca="false">IF(4&gt;Debt_Yr,0,IF(4=Debt_Yr,F3334,MIN(F3334,(F1213+F1516+F1819+F2425)*Cash_Sweep)))</f>
        <v>0</v>
      </c>
      <c r="G3637" s="99" t="n">
        <f aca="false">IF(5&gt;Debt_Yr,0,IF(5=Debt_Yr,G3334,MIN(G3334,(G1213+G1516+G1819+G2425)*Cash_Sweep)))</f>
        <v>0</v>
      </c>
      <c r="H3637" s="99" t="n">
        <f aca="false">IF(6&gt;Debt_Yr,0,IF(6=Debt_Yr,H3334,MIN(H3334,(H1213+H1516+H1819+H2425)*Cash_Sweep)))</f>
        <v>0</v>
      </c>
      <c r="I3637" s="99" t="n">
        <f aca="false">IF(7&gt;Debt_Yr,0,IF(7=Debt_Yr,I3334,MIN(I3334,(I1213+I1516+I1819+I2425)*Cash_Sweep)))</f>
        <v>0</v>
      </c>
      <c r="J3637" s="99" t="n">
        <f aca="false">IF(8&gt;Debt_Yr,0,IF(8=Debt_Yr,J3334,MIN(J3334,(J1213+J1516+J1819+J2425)*Cash_Sweep)))</f>
        <v>0</v>
      </c>
      <c r="K3637" s="99" t="n">
        <f aca="false">IF(9&gt;Debt_Yr,0,IF(9=Debt_Yr,K3334,MIN(K3334,(K1213+K1516+K1819+K2425)*Cash_Sweep)))</f>
        <v>0</v>
      </c>
      <c r="L3637" s="99" t="n">
        <f aca="false">IF(10&gt;Debt_Yr,0,IF(10=Debt_Yr,L3334,MIN(L3334,(L1213+L1516+L1819+L2425)*Cash_Sweep)))</f>
        <v>0</v>
      </c>
    </row>
    <row r="3638" customFormat="false" ht="15" hidden="false" customHeight="false" outlineLevel="0" collapsed="false">
      <c r="B3638" s="108" t="n">
        <f aca="false">'Loan Tape'!$A301</f>
        <v>0</v>
      </c>
      <c r="C3638" s="71" t="n">
        <f aca="false">IF(1&gt;Debt_Yr,0,IF(1=Debt_Yr,C3335,MIN(C3335,(C1214+C1517+C1820+C2426)*Cash_Sweep)))</f>
        <v>0</v>
      </c>
      <c r="D3638" s="71" t="n">
        <f aca="false">IF(2&gt;Debt_Yr,0,IF(2=Debt_Yr,D3335,MIN(D3335,(D1214+D1517+D1820+D2426)*Cash_Sweep)))</f>
        <v>0</v>
      </c>
      <c r="E3638" s="71" t="n">
        <f aca="false">IF(3&gt;Debt_Yr,0,IF(3=Debt_Yr,E3335,MIN(E3335,(E1214+E1517+E1820+E2426)*Cash_Sweep)))</f>
        <v>0</v>
      </c>
      <c r="F3638" s="71" t="n">
        <f aca="false">IF(4&gt;Debt_Yr,0,IF(4=Debt_Yr,F3335,MIN(F3335,(F1214+F1517+F1820+F2426)*Cash_Sweep)))</f>
        <v>0</v>
      </c>
      <c r="G3638" s="71" t="n">
        <f aca="false">IF(5&gt;Debt_Yr,0,IF(5=Debt_Yr,G3335,MIN(G3335,(G1214+G1517+G1820+G2426)*Cash_Sweep)))</f>
        <v>0</v>
      </c>
      <c r="H3638" s="71" t="n">
        <f aca="false">IF(6&gt;Debt_Yr,0,IF(6=Debt_Yr,H3335,MIN(H3335,(H1214+H1517+H1820+H2426)*Cash_Sweep)))</f>
        <v>0</v>
      </c>
      <c r="I3638" s="71" t="n">
        <f aca="false">IF(7&gt;Debt_Yr,0,IF(7=Debt_Yr,I3335,MIN(I3335,(I1214+I1517+I1820+I2426)*Cash_Sweep)))</f>
        <v>0</v>
      </c>
      <c r="J3638" s="71" t="n">
        <f aca="false">IF(8&gt;Debt_Yr,0,IF(8=Debt_Yr,J3335,MIN(J3335,(J1214+J1517+J1820+J2426)*Cash_Sweep)))</f>
        <v>0</v>
      </c>
      <c r="K3638" s="71" t="n">
        <f aca="false">IF(9&gt;Debt_Yr,0,IF(9=Debt_Yr,K3335,MIN(K3335,(K1214+K1517+K1820+K2426)*Cash_Sweep)))</f>
        <v>0</v>
      </c>
      <c r="L3638" s="71" t="n">
        <f aca="false">IF(10&gt;Debt_Yr,0,IF(10=Debt_Yr,L3335,MIN(L3335,(L1214+L1517+L1820+L2426)*Cash_Sweep)))</f>
        <v>0</v>
      </c>
    </row>
    <row r="3639" customFormat="false" ht="15" hidden="false" customHeight="false" outlineLevel="0" collapsed="false">
      <c r="B3639" s="102" t="n">
        <f aca="false">'Loan Tape'!$A302</f>
        <v>0</v>
      </c>
      <c r="C3639" s="99" t="n">
        <f aca="false">IF(1&gt;Debt_Yr,0,IF(1=Debt_Yr,C3336,MIN(C3336,(C1215+C1518+C1821+C2427)*Cash_Sweep)))</f>
        <v>0</v>
      </c>
      <c r="D3639" s="99" t="n">
        <f aca="false">IF(2&gt;Debt_Yr,0,IF(2=Debt_Yr,D3336,MIN(D3336,(D1215+D1518+D1821+D2427)*Cash_Sweep)))</f>
        <v>0</v>
      </c>
      <c r="E3639" s="99" t="n">
        <f aca="false">IF(3&gt;Debt_Yr,0,IF(3=Debt_Yr,E3336,MIN(E3336,(E1215+E1518+E1821+E2427)*Cash_Sweep)))</f>
        <v>0</v>
      </c>
      <c r="F3639" s="99" t="n">
        <f aca="false">IF(4&gt;Debt_Yr,0,IF(4=Debt_Yr,F3336,MIN(F3336,(F1215+F1518+F1821+F2427)*Cash_Sweep)))</f>
        <v>0</v>
      </c>
      <c r="G3639" s="99" t="n">
        <f aca="false">IF(5&gt;Debt_Yr,0,IF(5=Debt_Yr,G3336,MIN(G3336,(G1215+G1518+G1821+G2427)*Cash_Sweep)))</f>
        <v>0</v>
      </c>
      <c r="H3639" s="99" t="n">
        <f aca="false">IF(6&gt;Debt_Yr,0,IF(6=Debt_Yr,H3336,MIN(H3336,(H1215+H1518+H1821+H2427)*Cash_Sweep)))</f>
        <v>0</v>
      </c>
      <c r="I3639" s="99" t="n">
        <f aca="false">IF(7&gt;Debt_Yr,0,IF(7=Debt_Yr,I3336,MIN(I3336,(I1215+I1518+I1821+I2427)*Cash_Sweep)))</f>
        <v>0</v>
      </c>
      <c r="J3639" s="99" t="n">
        <f aca="false">IF(8&gt;Debt_Yr,0,IF(8=Debt_Yr,J3336,MIN(J3336,(J1215+J1518+J1821+J2427)*Cash_Sweep)))</f>
        <v>0</v>
      </c>
      <c r="K3639" s="99" t="n">
        <f aca="false">IF(9&gt;Debt_Yr,0,IF(9=Debt_Yr,K3336,MIN(K3336,(K1215+K1518+K1821+K2427)*Cash_Sweep)))</f>
        <v>0</v>
      </c>
      <c r="L3639" s="99" t="n">
        <f aca="false">IF(10&gt;Debt_Yr,0,IF(10=Debt_Yr,L3336,MIN(L3336,(L1215+L1518+L1821+L2427)*Cash_Sweep)))</f>
        <v>0</v>
      </c>
    </row>
    <row r="3640" customFormat="false" ht="15" hidden="false" customHeight="false" outlineLevel="0" collapsed="false">
      <c r="B3640" s="108" t="n">
        <f aca="false">'Loan Tape'!$A303</f>
        <v>0</v>
      </c>
      <c r="C3640" s="71" t="n">
        <f aca="false">IF(1&gt;Debt_Yr,0,IF(1=Debt_Yr,C3337,MIN(C3337,(C1216+C1519+C1822+C2428)*Cash_Sweep)))</f>
        <v>0</v>
      </c>
      <c r="D3640" s="71" t="n">
        <f aca="false">IF(2&gt;Debt_Yr,0,IF(2=Debt_Yr,D3337,MIN(D3337,(D1216+D1519+D1822+D2428)*Cash_Sweep)))</f>
        <v>0</v>
      </c>
      <c r="E3640" s="71" t="n">
        <f aca="false">IF(3&gt;Debt_Yr,0,IF(3=Debt_Yr,E3337,MIN(E3337,(E1216+E1519+E1822+E2428)*Cash_Sweep)))</f>
        <v>0</v>
      </c>
      <c r="F3640" s="71" t="n">
        <f aca="false">IF(4&gt;Debt_Yr,0,IF(4=Debt_Yr,F3337,MIN(F3337,(F1216+F1519+F1822+F2428)*Cash_Sweep)))</f>
        <v>0</v>
      </c>
      <c r="G3640" s="71" t="n">
        <f aca="false">IF(5&gt;Debt_Yr,0,IF(5=Debt_Yr,G3337,MIN(G3337,(G1216+G1519+G1822+G2428)*Cash_Sweep)))</f>
        <v>0</v>
      </c>
      <c r="H3640" s="71" t="n">
        <f aca="false">IF(6&gt;Debt_Yr,0,IF(6=Debt_Yr,H3337,MIN(H3337,(H1216+H1519+H1822+H2428)*Cash_Sweep)))</f>
        <v>0</v>
      </c>
      <c r="I3640" s="71" t="n">
        <f aca="false">IF(7&gt;Debt_Yr,0,IF(7=Debt_Yr,I3337,MIN(I3337,(I1216+I1519+I1822+I2428)*Cash_Sweep)))</f>
        <v>0</v>
      </c>
      <c r="J3640" s="71" t="n">
        <f aca="false">IF(8&gt;Debt_Yr,0,IF(8=Debt_Yr,J3337,MIN(J3337,(J1216+J1519+J1822+J2428)*Cash_Sweep)))</f>
        <v>0</v>
      </c>
      <c r="K3640" s="71" t="n">
        <f aca="false">IF(9&gt;Debt_Yr,0,IF(9=Debt_Yr,K3337,MIN(K3337,(K1216+K1519+K1822+K2428)*Cash_Sweep)))</f>
        <v>0</v>
      </c>
      <c r="L3640" s="71" t="n">
        <f aca="false">IF(10&gt;Debt_Yr,0,IF(10=Debt_Yr,L3337,MIN(L3337,(L1216+L1519+L1822+L2428)*Cash_Sweep)))</f>
        <v>0</v>
      </c>
    </row>
    <row r="3642" customFormat="false" ht="18" hidden="false" customHeight="true" outlineLevel="0" collapsed="false">
      <c r="B3642" s="5" t="s">
        <v>602</v>
      </c>
      <c r="C3642" s="5"/>
      <c r="D3642" s="5"/>
      <c r="E3642" s="5"/>
      <c r="F3642" s="5"/>
      <c r="G3642" s="5"/>
      <c r="H3642" s="5"/>
      <c r="I3642" s="5"/>
      <c r="J3642" s="5"/>
      <c r="K3642" s="5"/>
      <c r="L3642" s="5"/>
      <c r="M3642" s="5"/>
      <c r="O3642" s="30" t="s">
        <v>603</v>
      </c>
    </row>
    <row r="3643" customFormat="false" ht="15.75" hidden="false" customHeight="true" outlineLevel="0" collapsed="false">
      <c r="B3643" s="54" t="s">
        <v>148</v>
      </c>
      <c r="C3643" s="55" t="n">
        <v>0</v>
      </c>
      <c r="D3643" s="55" t="n">
        <v>1</v>
      </c>
      <c r="E3643" s="55" t="n">
        <v>2</v>
      </c>
      <c r="F3643" s="55" t="n">
        <v>3</v>
      </c>
      <c r="G3643" s="55" t="n">
        <v>4</v>
      </c>
      <c r="H3643" s="55" t="n">
        <v>5</v>
      </c>
      <c r="I3643" s="55" t="n">
        <v>6</v>
      </c>
      <c r="J3643" s="55" t="n">
        <v>7</v>
      </c>
      <c r="K3643" s="55" t="n">
        <v>8</v>
      </c>
      <c r="L3643" s="55" t="n">
        <v>9</v>
      </c>
      <c r="M3643" s="55" t="n">
        <v>10</v>
      </c>
    </row>
    <row r="3644" customFormat="false" ht="15" hidden="false" customHeight="false" outlineLevel="0" collapsed="false">
      <c r="B3644" s="102" t="str">
        <f aca="false">'Loan Tape'!$A4</f>
        <v>L-001</v>
      </c>
      <c r="C3644" s="99" t="n">
        <f aca="false">-'Loan Tape'!$BE4</f>
        <v>-3159002.35</v>
      </c>
      <c r="D3644" s="99" t="n">
        <f aca="false">IF(1&gt;Hold_Yrs,0,D2735-IF(1&gt;Debt_Yr,0,(C3038-0.5*IF(1=Debt_Yr,0,C3341))*INDEX(Fin_Curve,1,1))-C3341-C3341*Fin_ExitFee)</f>
        <v>3852240.91565174</v>
      </c>
      <c r="E3644" s="99" t="n">
        <f aca="false">IF(2&gt;Hold_Yrs,0,E2735-IF(2&gt;Debt_Yr,0,(D3038-0.5*IF(2=Debt_Yr,0,D3341))*INDEX(Fin_Curve,1,2))-D3341-D3341*Fin_ExitFee)</f>
        <v>114170</v>
      </c>
      <c r="F3644" s="99" t="n">
        <f aca="false">IF(3&gt;Hold_Yrs,0,F2735-IF(3&gt;Debt_Yr,0,(E3038-0.5*IF(3=Debt_Yr,0,E3341))*INDEX(Fin_Curve,1,3))-E3341-E3341*Fin_ExitFee)</f>
        <v>0</v>
      </c>
      <c r="G3644" s="99" t="n">
        <f aca="false">IF(4&gt;Hold_Yrs,0,G2735-IF(4&gt;Debt_Yr,0,(F3038-0.5*IF(4=Debt_Yr,0,F3341))*INDEX(Fin_Curve,1,4))-F3341-F3341*Fin_ExitFee)</f>
        <v>0</v>
      </c>
      <c r="H3644" s="99" t="n">
        <f aca="false">IF(5&gt;Hold_Yrs,0,H2735-IF(5&gt;Debt_Yr,0,(G3038-0.5*IF(5=Debt_Yr,0,G3341))*INDEX(Fin_Curve,1,5))-G3341-G3341*Fin_ExitFee)</f>
        <v>0</v>
      </c>
      <c r="I3644" s="99" t="n">
        <f aca="false">IF(6&gt;Hold_Yrs,0,I2735-IF(6&gt;Debt_Yr,0,(H3038-0.5*IF(6=Debt_Yr,0,H3341))*INDEX(Fin_Curve,1,6))-H3341-H3341*Fin_ExitFee)</f>
        <v>0</v>
      </c>
      <c r="J3644" s="99" t="n">
        <f aca="false">IF(7&gt;Hold_Yrs,0,J2735-IF(7&gt;Debt_Yr,0,(I3038-0.5*IF(7=Debt_Yr,0,I3341))*INDEX(Fin_Curve,1,7))-I3341-I3341*Fin_ExitFee)</f>
        <v>0</v>
      </c>
      <c r="K3644" s="99" t="n">
        <f aca="false">IF(8&gt;Hold_Yrs,0,K2735-IF(8&gt;Debt_Yr,0,(J3038-0.5*IF(8=Debt_Yr,0,J3341))*INDEX(Fin_Curve,1,8))-J3341-J3341*Fin_ExitFee)</f>
        <v>0</v>
      </c>
      <c r="L3644" s="99" t="n">
        <f aca="false">IF(9&gt;Hold_Yrs,0,L2735-IF(9&gt;Debt_Yr,0,(K3038-0.5*IF(9=Debt_Yr,0,K3341))*INDEX(Fin_Curve,1,9))-K3341-K3341*Fin_ExitFee)</f>
        <v>0</v>
      </c>
      <c r="M3644" s="99" t="n">
        <f aca="false">IF(10&gt;Hold_Yrs,0,M2735-IF(10&gt;Debt_Yr,0,(L3038-0.5*IF(10=Debt_Yr,0,L3341))*INDEX(Fin_Curve,1,10))-L3341-L3341*Fin_ExitFee)</f>
        <v>0</v>
      </c>
    </row>
    <row r="3645" customFormat="false" ht="15" hidden="false" customHeight="false" outlineLevel="0" collapsed="false">
      <c r="B3645" s="108" t="str">
        <f aca="false">'Loan Tape'!$A5</f>
        <v>L-002</v>
      </c>
      <c r="C3645" s="71" t="n">
        <f aca="false">-'Loan Tape'!$BE5</f>
        <v>-4139823.19</v>
      </c>
      <c r="D3645" s="71" t="n">
        <f aca="false">IF(1&gt;Hold_Yrs,0,D2736-IF(1&gt;Debt_Yr,0,(C3039-0.5*IF(1=Debt_Yr,0,C3342))*INDEX(Fin_Curve,1,1))-C3342-C3342*Fin_ExitFee)</f>
        <v>300281.462983327</v>
      </c>
      <c r="E3645" s="71" t="n">
        <f aca="false">IF(2&gt;Hold_Yrs,0,E2736-IF(2&gt;Debt_Yr,0,(D3039-0.5*IF(2=Debt_Yr,0,D3342))*INDEX(Fin_Curve,1,2))-D3342-D3342*Fin_ExitFee)</f>
        <v>4705017.21503939</v>
      </c>
      <c r="F3645" s="71" t="n">
        <f aca="false">IF(3&gt;Hold_Yrs,0,F2736-IF(3&gt;Debt_Yr,0,(E3039-0.5*IF(3=Debt_Yr,0,E3342))*INDEX(Fin_Curve,1,3))-E3342-E3342*Fin_ExitFee)</f>
        <v>96135.1922519824</v>
      </c>
      <c r="G3645" s="71" t="n">
        <f aca="false">IF(4&gt;Hold_Yrs,0,G2736-IF(4&gt;Debt_Yr,0,(F3039-0.5*IF(4=Debt_Yr,0,F3342))*INDEX(Fin_Curve,1,4))-F3342-F3342*Fin_ExitFee)</f>
        <v>0</v>
      </c>
      <c r="H3645" s="71" t="n">
        <f aca="false">IF(5&gt;Hold_Yrs,0,H2736-IF(5&gt;Debt_Yr,0,(G3039-0.5*IF(5=Debt_Yr,0,G3342))*INDEX(Fin_Curve,1,5))-G3342-G3342*Fin_ExitFee)</f>
        <v>0</v>
      </c>
      <c r="I3645" s="71" t="n">
        <f aca="false">IF(6&gt;Hold_Yrs,0,I2736-IF(6&gt;Debt_Yr,0,(H3039-0.5*IF(6=Debt_Yr,0,H3342))*INDEX(Fin_Curve,1,6))-H3342-H3342*Fin_ExitFee)</f>
        <v>0</v>
      </c>
      <c r="J3645" s="71" t="n">
        <f aca="false">IF(7&gt;Hold_Yrs,0,J2736-IF(7&gt;Debt_Yr,0,(I3039-0.5*IF(7=Debt_Yr,0,I3342))*INDEX(Fin_Curve,1,7))-I3342-I3342*Fin_ExitFee)</f>
        <v>0</v>
      </c>
      <c r="K3645" s="71" t="n">
        <f aca="false">IF(8&gt;Hold_Yrs,0,K2736-IF(8&gt;Debt_Yr,0,(J3039-0.5*IF(8=Debt_Yr,0,J3342))*INDEX(Fin_Curve,1,8))-J3342-J3342*Fin_ExitFee)</f>
        <v>0</v>
      </c>
      <c r="L3645" s="71" t="n">
        <f aca="false">IF(9&gt;Hold_Yrs,0,L2736-IF(9&gt;Debt_Yr,0,(K3039-0.5*IF(9=Debt_Yr,0,K3342))*INDEX(Fin_Curve,1,9))-K3342-K3342*Fin_ExitFee)</f>
        <v>0</v>
      </c>
      <c r="M3645" s="71" t="n">
        <f aca="false">IF(10&gt;Hold_Yrs,0,M2736-IF(10&gt;Debt_Yr,0,(L3039-0.5*IF(10=Debt_Yr,0,L3342))*INDEX(Fin_Curve,1,10))-L3342-L3342*Fin_ExitFee)</f>
        <v>0</v>
      </c>
    </row>
    <row r="3646" customFormat="false" ht="15" hidden="false" customHeight="false" outlineLevel="0" collapsed="false">
      <c r="B3646" s="102" t="str">
        <f aca="false">'Loan Tape'!$A6</f>
        <v>L-003</v>
      </c>
      <c r="C3646" s="99" t="n">
        <f aca="false">-'Loan Tape'!$BE6</f>
        <v>-46185737.73</v>
      </c>
      <c r="D3646" s="99" t="n">
        <f aca="false">IF(1&gt;Hold_Yrs,0,D2737-IF(1&gt;Debt_Yr,0,(C3040-0.5*IF(1=Debt_Yr,0,C3343))*INDEX(Fin_Curve,1,1))-C3343-C3343*Fin_ExitFee)</f>
        <v>5133214.83105291</v>
      </c>
      <c r="E3646" s="99" t="n">
        <f aca="false">IF(2&gt;Hold_Yrs,0,E2737-IF(2&gt;Debt_Yr,0,(D3040-0.5*IF(2=Debt_Yr,0,D3343))*INDEX(Fin_Curve,1,2))-D3343-D3343*Fin_ExitFee)</f>
        <v>4573856.88856671</v>
      </c>
      <c r="F3646" s="99" t="n">
        <f aca="false">IF(3&gt;Hold_Yrs,0,F2737-IF(3&gt;Debt_Yr,0,(E3040-0.5*IF(3=Debt_Yr,0,E3343))*INDEX(Fin_Curve,1,3))-E3343-E3343*Fin_ExitFee)</f>
        <v>4168547.86415902</v>
      </c>
      <c r="G3646" s="99" t="n">
        <f aca="false">IF(4&gt;Hold_Yrs,0,G2737-IF(4&gt;Debt_Yr,0,(F3040-0.5*IF(4=Debt_Yr,0,F3343))*INDEX(Fin_Curve,1,4))-F3343-F3343*Fin_ExitFee)</f>
        <v>51789495.9193588</v>
      </c>
      <c r="H3646" s="99" t="n">
        <f aca="false">IF(5&gt;Hold_Yrs,0,H2737-IF(5&gt;Debt_Yr,0,(G3040-0.5*IF(5=Debt_Yr,0,G3343))*INDEX(Fin_Curve,1,5))-G3343-G3343*Fin_ExitFee)</f>
        <v>724577.306087053</v>
      </c>
      <c r="I3646" s="99" t="n">
        <f aca="false">IF(6&gt;Hold_Yrs,0,I2737-IF(6&gt;Debt_Yr,0,(H3040-0.5*IF(6=Debt_Yr,0,H3343))*INDEX(Fin_Curve,1,6))-H3343-H3343*Fin_ExitFee)</f>
        <v>0</v>
      </c>
      <c r="J3646" s="99" t="n">
        <f aca="false">IF(7&gt;Hold_Yrs,0,J2737-IF(7&gt;Debt_Yr,0,(I3040-0.5*IF(7=Debt_Yr,0,I3343))*INDEX(Fin_Curve,1,7))-I3343-I3343*Fin_ExitFee)</f>
        <v>0</v>
      </c>
      <c r="K3646" s="99" t="n">
        <f aca="false">IF(8&gt;Hold_Yrs,0,K2737-IF(8&gt;Debt_Yr,0,(J3040-0.5*IF(8=Debt_Yr,0,J3343))*INDEX(Fin_Curve,1,8))-J3343-J3343*Fin_ExitFee)</f>
        <v>0</v>
      </c>
      <c r="L3646" s="99" t="n">
        <f aca="false">IF(9&gt;Hold_Yrs,0,L2737-IF(9&gt;Debt_Yr,0,(K3040-0.5*IF(9=Debt_Yr,0,K3343))*INDEX(Fin_Curve,1,9))-K3343-K3343*Fin_ExitFee)</f>
        <v>0</v>
      </c>
      <c r="M3646" s="99" t="n">
        <f aca="false">IF(10&gt;Hold_Yrs,0,M2737-IF(10&gt;Debt_Yr,0,(L3040-0.5*IF(10=Debt_Yr,0,L3343))*INDEX(Fin_Curve,1,10))-L3343-L3343*Fin_ExitFee)</f>
        <v>0</v>
      </c>
    </row>
    <row r="3647" customFormat="false" ht="15" hidden="false" customHeight="false" outlineLevel="0" collapsed="false">
      <c r="B3647" s="108" t="str">
        <f aca="false">'Loan Tape'!$A7</f>
        <v>L-004</v>
      </c>
      <c r="C3647" s="71" t="n">
        <f aca="false">-'Loan Tape'!$BE7</f>
        <v>-17835289.54</v>
      </c>
      <c r="D3647" s="71" t="n">
        <f aca="false">IF(1&gt;Hold_Yrs,0,D2738-IF(1&gt;Debt_Yr,0,(C3041-0.5*IF(1=Debt_Yr,0,C3344))*INDEX(Fin_Curve,1,1))-C3344-C3344*Fin_ExitFee)</f>
        <v>1126955.42460657</v>
      </c>
      <c r="E3647" s="71" t="n">
        <f aca="false">IF(2&gt;Hold_Yrs,0,E2738-IF(2&gt;Debt_Yr,0,(D3041-0.5*IF(2=Debt_Yr,0,D3344))*INDEX(Fin_Curve,1,2))-D3344-D3344*Fin_ExitFee)</f>
        <v>20381449.7744434</v>
      </c>
      <c r="F3647" s="71" t="n">
        <f aca="false">IF(3&gt;Hold_Yrs,0,F2738-IF(3&gt;Debt_Yr,0,(E3041-0.5*IF(3=Debt_Yr,0,E3344))*INDEX(Fin_Curve,1,3))-E3344-E3344*Fin_ExitFee)</f>
        <v>509757.432890086</v>
      </c>
      <c r="G3647" s="71" t="n">
        <f aca="false">IF(4&gt;Hold_Yrs,0,G2738-IF(4&gt;Debt_Yr,0,(F3041-0.5*IF(4=Debt_Yr,0,F3344))*INDEX(Fin_Curve,1,4))-F3344-F3344*Fin_ExitFee)</f>
        <v>0</v>
      </c>
      <c r="H3647" s="71" t="n">
        <f aca="false">IF(5&gt;Hold_Yrs,0,H2738-IF(5&gt;Debt_Yr,0,(G3041-0.5*IF(5=Debt_Yr,0,G3344))*INDEX(Fin_Curve,1,5))-G3344-G3344*Fin_ExitFee)</f>
        <v>0</v>
      </c>
      <c r="I3647" s="71" t="n">
        <f aca="false">IF(6&gt;Hold_Yrs,0,I2738-IF(6&gt;Debt_Yr,0,(H3041-0.5*IF(6=Debt_Yr,0,H3344))*INDEX(Fin_Curve,1,6))-H3344-H3344*Fin_ExitFee)</f>
        <v>0</v>
      </c>
      <c r="J3647" s="71" t="n">
        <f aca="false">IF(7&gt;Hold_Yrs,0,J2738-IF(7&gt;Debt_Yr,0,(I3041-0.5*IF(7=Debt_Yr,0,I3344))*INDEX(Fin_Curve,1,7))-I3344-I3344*Fin_ExitFee)</f>
        <v>0</v>
      </c>
      <c r="K3647" s="71" t="n">
        <f aca="false">IF(8&gt;Hold_Yrs,0,K2738-IF(8&gt;Debt_Yr,0,(J3041-0.5*IF(8=Debt_Yr,0,J3344))*INDEX(Fin_Curve,1,8))-J3344-J3344*Fin_ExitFee)</f>
        <v>0</v>
      </c>
      <c r="L3647" s="71" t="n">
        <f aca="false">IF(9&gt;Hold_Yrs,0,L2738-IF(9&gt;Debt_Yr,0,(K3041-0.5*IF(9=Debt_Yr,0,K3344))*INDEX(Fin_Curve,1,9))-K3344-K3344*Fin_ExitFee)</f>
        <v>0</v>
      </c>
      <c r="M3647" s="71" t="n">
        <f aca="false">IF(10&gt;Hold_Yrs,0,M2738-IF(10&gt;Debt_Yr,0,(L3041-0.5*IF(10=Debt_Yr,0,L3344))*INDEX(Fin_Curve,1,10))-L3344-L3344*Fin_ExitFee)</f>
        <v>0</v>
      </c>
    </row>
    <row r="3648" customFormat="false" ht="15" hidden="false" customHeight="false" outlineLevel="0" collapsed="false">
      <c r="B3648" s="102" t="str">
        <f aca="false">'Loan Tape'!$A8</f>
        <v>L-005</v>
      </c>
      <c r="C3648" s="99" t="n">
        <f aca="false">-'Loan Tape'!$BE8</f>
        <v>-45591899.52</v>
      </c>
      <c r="D3648" s="99" t="n">
        <f aca="false">IF(1&gt;Hold_Yrs,0,D2739-IF(1&gt;Debt_Yr,0,(C3042-0.5*IF(1=Debt_Yr,0,C3345))*INDEX(Fin_Curve,1,1))-C3345-C3345*Fin_ExitFee)</f>
        <v>53759060.352</v>
      </c>
      <c r="E3648" s="99" t="n">
        <f aca="false">IF(2&gt;Hold_Yrs,0,E2739-IF(2&gt;Debt_Yr,0,(D3042-0.5*IF(2=Debt_Yr,0,D3345))*INDEX(Fin_Curve,1,2))-D3345-D3345*Fin_ExitFee)</f>
        <v>1647744</v>
      </c>
      <c r="F3648" s="99" t="n">
        <f aca="false">IF(3&gt;Hold_Yrs,0,F2739-IF(3&gt;Debt_Yr,0,(E3042-0.5*IF(3=Debt_Yr,0,E3345))*INDEX(Fin_Curve,1,3))-E3345-E3345*Fin_ExitFee)</f>
        <v>0</v>
      </c>
      <c r="G3648" s="99" t="n">
        <f aca="false">IF(4&gt;Hold_Yrs,0,G2739-IF(4&gt;Debt_Yr,0,(F3042-0.5*IF(4=Debt_Yr,0,F3345))*INDEX(Fin_Curve,1,4))-F3345-F3345*Fin_ExitFee)</f>
        <v>0</v>
      </c>
      <c r="H3648" s="99" t="n">
        <f aca="false">IF(5&gt;Hold_Yrs,0,H2739-IF(5&gt;Debt_Yr,0,(G3042-0.5*IF(5=Debt_Yr,0,G3345))*INDEX(Fin_Curve,1,5))-G3345-G3345*Fin_ExitFee)</f>
        <v>0</v>
      </c>
      <c r="I3648" s="99" t="n">
        <f aca="false">IF(6&gt;Hold_Yrs,0,I2739-IF(6&gt;Debt_Yr,0,(H3042-0.5*IF(6=Debt_Yr,0,H3345))*INDEX(Fin_Curve,1,6))-H3345-H3345*Fin_ExitFee)</f>
        <v>0</v>
      </c>
      <c r="J3648" s="99" t="n">
        <f aca="false">IF(7&gt;Hold_Yrs,0,J2739-IF(7&gt;Debt_Yr,0,(I3042-0.5*IF(7=Debt_Yr,0,I3345))*INDEX(Fin_Curve,1,7))-I3345-I3345*Fin_ExitFee)</f>
        <v>0</v>
      </c>
      <c r="K3648" s="99" t="n">
        <f aca="false">IF(8&gt;Hold_Yrs,0,K2739-IF(8&gt;Debt_Yr,0,(J3042-0.5*IF(8=Debt_Yr,0,J3345))*INDEX(Fin_Curve,1,8))-J3345-J3345*Fin_ExitFee)</f>
        <v>0</v>
      </c>
      <c r="L3648" s="99" t="n">
        <f aca="false">IF(9&gt;Hold_Yrs,0,L2739-IF(9&gt;Debt_Yr,0,(K3042-0.5*IF(9=Debt_Yr,0,K3345))*INDEX(Fin_Curve,1,9))-K3345-K3345*Fin_ExitFee)</f>
        <v>0</v>
      </c>
      <c r="M3648" s="99" t="n">
        <f aca="false">IF(10&gt;Hold_Yrs,0,M2739-IF(10&gt;Debt_Yr,0,(L3042-0.5*IF(10=Debt_Yr,0,L3345))*INDEX(Fin_Curve,1,10))-L3345-L3345*Fin_ExitFee)</f>
        <v>0</v>
      </c>
    </row>
    <row r="3649" customFormat="false" ht="15" hidden="false" customHeight="false" outlineLevel="0" collapsed="false">
      <c r="B3649" s="108" t="str">
        <f aca="false">'Loan Tape'!$A9</f>
        <v>L-006</v>
      </c>
      <c r="C3649" s="71" t="n">
        <f aca="false">-'Loan Tape'!$BE9</f>
        <v>-22315610.96</v>
      </c>
      <c r="D3649" s="71" t="n">
        <f aca="false">IF(1&gt;Hold_Yrs,0,D2740-IF(1&gt;Debt_Yr,0,(C3043-0.5*IF(1=Debt_Yr,0,C3346))*INDEX(Fin_Curve,1,1))-C3346-C3346*Fin_ExitFee)</f>
        <v>1490318.96</v>
      </c>
      <c r="E3649" s="71" t="n">
        <f aca="false">IF(2&gt;Hold_Yrs,0,E2740-IF(2&gt;Debt_Yr,0,(D3043-0.5*IF(2=Debt_Yr,0,D3346))*INDEX(Fin_Curve,1,2))-D3346-D3346*Fin_ExitFee)</f>
        <v>24992455.1215199</v>
      </c>
      <c r="F3649" s="71" t="n">
        <f aca="false">IF(3&gt;Hold_Yrs,0,F2740-IF(3&gt;Debt_Yr,0,(E3043-0.5*IF(3=Debt_Yr,0,E3346))*INDEX(Fin_Curve,1,3))-E3346-E3346*Fin_ExitFee)</f>
        <v>404741.235169546</v>
      </c>
      <c r="G3649" s="71" t="n">
        <f aca="false">IF(4&gt;Hold_Yrs,0,G2740-IF(4&gt;Debt_Yr,0,(F3043-0.5*IF(4=Debt_Yr,0,F3346))*INDEX(Fin_Curve,1,4))-F3346-F3346*Fin_ExitFee)</f>
        <v>0</v>
      </c>
      <c r="H3649" s="71" t="n">
        <f aca="false">IF(5&gt;Hold_Yrs,0,H2740-IF(5&gt;Debt_Yr,0,(G3043-0.5*IF(5=Debt_Yr,0,G3346))*INDEX(Fin_Curve,1,5))-G3346-G3346*Fin_ExitFee)</f>
        <v>0</v>
      </c>
      <c r="I3649" s="71" t="n">
        <f aca="false">IF(6&gt;Hold_Yrs,0,I2740-IF(6&gt;Debt_Yr,0,(H3043-0.5*IF(6=Debt_Yr,0,H3346))*INDEX(Fin_Curve,1,6))-H3346-H3346*Fin_ExitFee)</f>
        <v>0</v>
      </c>
      <c r="J3649" s="71" t="n">
        <f aca="false">IF(7&gt;Hold_Yrs,0,J2740-IF(7&gt;Debt_Yr,0,(I3043-0.5*IF(7=Debt_Yr,0,I3346))*INDEX(Fin_Curve,1,7))-I3346-I3346*Fin_ExitFee)</f>
        <v>0</v>
      </c>
      <c r="K3649" s="71" t="n">
        <f aca="false">IF(8&gt;Hold_Yrs,0,K2740-IF(8&gt;Debt_Yr,0,(J3043-0.5*IF(8=Debt_Yr,0,J3346))*INDEX(Fin_Curve,1,8))-J3346-J3346*Fin_ExitFee)</f>
        <v>0</v>
      </c>
      <c r="L3649" s="71" t="n">
        <f aca="false">IF(9&gt;Hold_Yrs,0,L2740-IF(9&gt;Debt_Yr,0,(K3043-0.5*IF(9=Debt_Yr,0,K3346))*INDEX(Fin_Curve,1,9))-K3346-K3346*Fin_ExitFee)</f>
        <v>0</v>
      </c>
      <c r="M3649" s="71" t="n">
        <f aca="false">IF(10&gt;Hold_Yrs,0,M2740-IF(10&gt;Debt_Yr,0,(L3043-0.5*IF(10=Debt_Yr,0,L3346))*INDEX(Fin_Curve,1,10))-L3346-L3346*Fin_ExitFee)</f>
        <v>0</v>
      </c>
    </row>
    <row r="3650" customFormat="false" ht="15" hidden="false" customHeight="false" outlineLevel="0" collapsed="false">
      <c r="B3650" s="102" t="str">
        <f aca="false">'Loan Tape'!$A10</f>
        <v>L-007</v>
      </c>
      <c r="C3650" s="99" t="n">
        <f aca="false">-'Loan Tape'!$BE10</f>
        <v>-1752461.88</v>
      </c>
      <c r="D3650" s="99" t="n">
        <f aca="false">IF(1&gt;Hold_Yrs,0,D2741-IF(1&gt;Debt_Yr,0,(C3044-0.5*IF(1=Debt_Yr,0,C3347))*INDEX(Fin_Curve,1,1))-C3347-C3347*Fin_ExitFee)</f>
        <v>117886.392</v>
      </c>
      <c r="E3650" s="99" t="n">
        <f aca="false">IF(2&gt;Hold_Yrs,0,E2741-IF(2&gt;Debt_Yr,0,(D3044-0.5*IF(2=Debt_Yr,0,D3347))*INDEX(Fin_Curve,1,2))-D3347-D3347*Fin_ExitFee)</f>
        <v>106664.33856</v>
      </c>
      <c r="F3650" s="99" t="n">
        <f aca="false">IF(3&gt;Hold_Yrs,0,F2741-IF(3&gt;Debt_Yr,0,(E3044-0.5*IF(3=Debt_Yr,0,E3347))*INDEX(Fin_Curve,1,3))-E3347-E3347*Fin_ExitFee)</f>
        <v>100051.3507968</v>
      </c>
      <c r="G3650" s="99" t="n">
        <f aca="false">IF(4&gt;Hold_Yrs,0,G2741-IF(4&gt;Debt_Yr,0,(F3044-0.5*IF(4=Debt_Yr,0,F3347))*INDEX(Fin_Curve,1,4))-F3347-F3347*Fin_ExitFee)</f>
        <v>97137.722233344</v>
      </c>
      <c r="H3650" s="99" t="n">
        <f aca="false">IF(5&gt;Hold_Yrs,0,H2741-IF(5&gt;Debt_Yr,0,(G3044-0.5*IF(5=Debt_Yr,0,G3347))*INDEX(Fin_Curve,1,5))-G3347-G3347*Fin_ExitFee)</f>
        <v>1867926.5832255</v>
      </c>
      <c r="I3650" s="99" t="n">
        <f aca="false">IF(6&gt;Hold_Yrs,0,I2741-IF(6&gt;Debt_Yr,0,(H3044-0.5*IF(6=Debt_Yr,0,H3347))*INDEX(Fin_Curve,1,6))-H3347-H3347*Fin_ExitFee)</f>
        <v>0</v>
      </c>
      <c r="J3650" s="99" t="n">
        <f aca="false">IF(7&gt;Hold_Yrs,0,J2741-IF(7&gt;Debt_Yr,0,(I3044-0.5*IF(7=Debt_Yr,0,I3347))*INDEX(Fin_Curve,1,7))-I3347-I3347*Fin_ExitFee)</f>
        <v>0</v>
      </c>
      <c r="K3650" s="99" t="n">
        <f aca="false">IF(8&gt;Hold_Yrs,0,K2741-IF(8&gt;Debt_Yr,0,(J3044-0.5*IF(8=Debt_Yr,0,J3347))*INDEX(Fin_Curve,1,8))-J3347-J3347*Fin_ExitFee)</f>
        <v>0</v>
      </c>
      <c r="L3650" s="99" t="n">
        <f aca="false">IF(9&gt;Hold_Yrs,0,L2741-IF(9&gt;Debt_Yr,0,(K3044-0.5*IF(9=Debt_Yr,0,K3347))*INDEX(Fin_Curve,1,9))-K3347-K3347*Fin_ExitFee)</f>
        <v>0</v>
      </c>
      <c r="M3650" s="99" t="n">
        <f aca="false">IF(10&gt;Hold_Yrs,0,M2741-IF(10&gt;Debt_Yr,0,(L3044-0.5*IF(10=Debt_Yr,0,L3347))*INDEX(Fin_Curve,1,10))-L3347-L3347*Fin_ExitFee)</f>
        <v>0</v>
      </c>
    </row>
    <row r="3651" customFormat="false" ht="15" hidden="false" customHeight="false" outlineLevel="0" collapsed="false">
      <c r="B3651" s="108" t="str">
        <f aca="false">'Loan Tape'!$A11</f>
        <v>L-008</v>
      </c>
      <c r="C3651" s="71" t="n">
        <f aca="false">-'Loan Tape'!$BE11</f>
        <v>-18721979.47</v>
      </c>
      <c r="D3651" s="71" t="n">
        <f aca="false">IF(1&gt;Hold_Yrs,0,D2742-IF(1&gt;Debt_Yr,0,(C3045-0.5*IF(1=Debt_Yr,0,C3348))*INDEX(Fin_Curve,1,1))-C3348-C3348*Fin_ExitFee)</f>
        <v>1971193.35028807</v>
      </c>
      <c r="E3651" s="71" t="n">
        <f aca="false">IF(2&gt;Hold_Yrs,0,E2742-IF(2&gt;Debt_Yr,0,(D3045-0.5*IF(2=Debt_Yr,0,D3348))*INDEX(Fin_Curve,1,2))-D3348-D3348*Fin_ExitFee)</f>
        <v>1757231.76405181</v>
      </c>
      <c r="F3651" s="71" t="n">
        <f aca="false">IF(3&gt;Hold_Yrs,0,F2742-IF(3&gt;Debt_Yr,0,(E3045-0.5*IF(3=Debt_Yr,0,E3348))*INDEX(Fin_Curve,1,3))-E3348-E3348*Fin_ExitFee)</f>
        <v>1604392.63989159</v>
      </c>
      <c r="G3651" s="71" t="n">
        <f aca="false">IF(4&gt;Hold_Yrs,0,G2742-IF(4&gt;Debt_Yr,0,(F3045-0.5*IF(4=Debt_Yr,0,F3348))*INDEX(Fin_Curve,1,4))-F3348-F3348*Fin_ExitFee)</f>
        <v>20590440.9698593</v>
      </c>
      <c r="H3651" s="71" t="n">
        <f aca="false">IF(5&gt;Hold_Yrs,0,H2742-IF(5&gt;Debt_Yr,0,(G3045-0.5*IF(5=Debt_Yr,0,G3348))*INDEX(Fin_Curve,1,5))-G3348-G3348*Fin_ExitFee)</f>
        <v>180480.706308586</v>
      </c>
      <c r="I3651" s="71" t="n">
        <f aca="false">IF(6&gt;Hold_Yrs,0,I2742-IF(6&gt;Debt_Yr,0,(H3045-0.5*IF(6=Debt_Yr,0,H3348))*INDEX(Fin_Curve,1,6))-H3348-H3348*Fin_ExitFee)</f>
        <v>0</v>
      </c>
      <c r="J3651" s="71" t="n">
        <f aca="false">IF(7&gt;Hold_Yrs,0,J2742-IF(7&gt;Debt_Yr,0,(I3045-0.5*IF(7=Debt_Yr,0,I3348))*INDEX(Fin_Curve,1,7))-I3348-I3348*Fin_ExitFee)</f>
        <v>0</v>
      </c>
      <c r="K3651" s="71" t="n">
        <f aca="false">IF(8&gt;Hold_Yrs,0,K2742-IF(8&gt;Debt_Yr,0,(J3045-0.5*IF(8=Debt_Yr,0,J3348))*INDEX(Fin_Curve,1,8))-J3348-J3348*Fin_ExitFee)</f>
        <v>0</v>
      </c>
      <c r="L3651" s="71" t="n">
        <f aca="false">IF(9&gt;Hold_Yrs,0,L2742-IF(9&gt;Debt_Yr,0,(K3045-0.5*IF(9=Debt_Yr,0,K3348))*INDEX(Fin_Curve,1,9))-K3348-K3348*Fin_ExitFee)</f>
        <v>0</v>
      </c>
      <c r="M3651" s="71" t="n">
        <f aca="false">IF(10&gt;Hold_Yrs,0,M2742-IF(10&gt;Debt_Yr,0,(L3045-0.5*IF(10=Debt_Yr,0,L3348))*INDEX(Fin_Curve,1,10))-L3348-L3348*Fin_ExitFee)</f>
        <v>0</v>
      </c>
    </row>
    <row r="3652" customFormat="false" ht="15" hidden="false" customHeight="false" outlineLevel="0" collapsed="false">
      <c r="B3652" s="102" t="str">
        <f aca="false">'Loan Tape'!$A12</f>
        <v>L-009</v>
      </c>
      <c r="C3652" s="99" t="n">
        <f aca="false">-'Loan Tape'!$BE12</f>
        <v>-6358678.55</v>
      </c>
      <c r="D3652" s="99" t="n">
        <f aca="false">IF(1&gt;Hold_Yrs,0,D2743-IF(1&gt;Debt_Yr,0,(C3046-0.5*IF(1=Debt_Yr,0,C3349))*INDEX(Fin_Curve,1,1))-C3349-C3349*Fin_ExitFee)</f>
        <v>160801.34</v>
      </c>
      <c r="E3652" s="99" t="n">
        <f aca="false">IF(2&gt;Hold_Yrs,0,E2743-IF(2&gt;Debt_Yr,0,(D3046-0.5*IF(2=Debt_Yr,0,D3349))*INDEX(Fin_Curve,1,2))-D3349-D3349*Fin_ExitFee)</f>
        <v>220008.2752</v>
      </c>
      <c r="F3652" s="99" t="n">
        <f aca="false">IF(3&gt;Hold_Yrs,0,F2743-IF(3&gt;Debt_Yr,0,(E3046-0.5*IF(3=Debt_Yr,0,E3349))*INDEX(Fin_Curve,1,3))-E3349-E3349*Fin_ExitFee)</f>
        <v>264670.418265639</v>
      </c>
      <c r="G3652" s="99" t="n">
        <f aca="false">IF(4&gt;Hold_Yrs,0,G2743-IF(4&gt;Debt_Yr,0,(F3046-0.5*IF(4=Debt_Yr,0,F3349))*INDEX(Fin_Curve,1,4))-F3349-F3349*Fin_ExitFee)</f>
        <v>289048.97173476</v>
      </c>
      <c r="H3652" s="99" t="n">
        <f aca="false">IF(5&gt;Hold_Yrs,0,H2743-IF(5&gt;Debt_Yr,0,(G3046-0.5*IF(5=Debt_Yr,0,G3349))*INDEX(Fin_Curve,1,5))-G3349-G3349*Fin_ExitFee)</f>
        <v>6754398.05859531</v>
      </c>
      <c r="I3652" s="99" t="n">
        <f aca="false">IF(6&gt;Hold_Yrs,0,I2743-IF(6&gt;Debt_Yr,0,(H3046-0.5*IF(6=Debt_Yr,0,H3349))*INDEX(Fin_Curve,1,6))-H3349-H3349*Fin_ExitFee)</f>
        <v>0</v>
      </c>
      <c r="J3652" s="99" t="n">
        <f aca="false">IF(7&gt;Hold_Yrs,0,J2743-IF(7&gt;Debt_Yr,0,(I3046-0.5*IF(7=Debt_Yr,0,I3349))*INDEX(Fin_Curve,1,7))-I3349-I3349*Fin_ExitFee)</f>
        <v>0</v>
      </c>
      <c r="K3652" s="99" t="n">
        <f aca="false">IF(8&gt;Hold_Yrs,0,K2743-IF(8&gt;Debt_Yr,0,(J3046-0.5*IF(8=Debt_Yr,0,J3349))*INDEX(Fin_Curve,1,8))-J3349-J3349*Fin_ExitFee)</f>
        <v>0</v>
      </c>
      <c r="L3652" s="99" t="n">
        <f aca="false">IF(9&gt;Hold_Yrs,0,L2743-IF(9&gt;Debt_Yr,0,(K3046-0.5*IF(9=Debt_Yr,0,K3349))*INDEX(Fin_Curve,1,9))-K3349-K3349*Fin_ExitFee)</f>
        <v>0</v>
      </c>
      <c r="M3652" s="99" t="n">
        <f aca="false">IF(10&gt;Hold_Yrs,0,M2743-IF(10&gt;Debt_Yr,0,(L3046-0.5*IF(10=Debt_Yr,0,L3349))*INDEX(Fin_Curve,1,10))-L3349-L3349*Fin_ExitFee)</f>
        <v>0</v>
      </c>
    </row>
    <row r="3653" customFormat="false" ht="15" hidden="false" customHeight="false" outlineLevel="0" collapsed="false">
      <c r="B3653" s="108" t="str">
        <f aca="false">'Loan Tape'!$A13</f>
        <v>L-010</v>
      </c>
      <c r="C3653" s="71" t="n">
        <f aca="false">-'Loan Tape'!$BE13</f>
        <v>-17453342.72</v>
      </c>
      <c r="D3653" s="71" t="n">
        <f aca="false">IF(1&gt;Hold_Yrs,0,D2744-IF(1&gt;Debt_Yr,0,(C3047-0.5*IF(1=Debt_Yr,0,C3350))*INDEX(Fin_Curve,1,1))-C3350-C3350*Fin_ExitFee)</f>
        <v>20544340.8479839</v>
      </c>
      <c r="E3653" s="71" t="n">
        <f aca="false">IF(2&gt;Hold_Yrs,0,E2744-IF(2&gt;Debt_Yr,0,(D3047-0.5*IF(2=Debt_Yr,0,D3350))*INDEX(Fin_Curve,1,2))-D3350-D3350*Fin_ExitFee)</f>
        <v>630784</v>
      </c>
      <c r="F3653" s="71" t="n">
        <f aca="false">IF(3&gt;Hold_Yrs,0,F2744-IF(3&gt;Debt_Yr,0,(E3047-0.5*IF(3=Debt_Yr,0,E3350))*INDEX(Fin_Curve,1,3))-E3350-E3350*Fin_ExitFee)</f>
        <v>0</v>
      </c>
      <c r="G3653" s="71" t="n">
        <f aca="false">IF(4&gt;Hold_Yrs,0,G2744-IF(4&gt;Debt_Yr,0,(F3047-0.5*IF(4=Debt_Yr,0,F3350))*INDEX(Fin_Curve,1,4))-F3350-F3350*Fin_ExitFee)</f>
        <v>0</v>
      </c>
      <c r="H3653" s="71" t="n">
        <f aca="false">IF(5&gt;Hold_Yrs,0,H2744-IF(5&gt;Debt_Yr,0,(G3047-0.5*IF(5=Debt_Yr,0,G3350))*INDEX(Fin_Curve,1,5))-G3350-G3350*Fin_ExitFee)</f>
        <v>0</v>
      </c>
      <c r="I3653" s="71" t="n">
        <f aca="false">IF(6&gt;Hold_Yrs,0,I2744-IF(6&gt;Debt_Yr,0,(H3047-0.5*IF(6=Debt_Yr,0,H3350))*INDEX(Fin_Curve,1,6))-H3350-H3350*Fin_ExitFee)</f>
        <v>0</v>
      </c>
      <c r="J3653" s="71" t="n">
        <f aca="false">IF(7&gt;Hold_Yrs,0,J2744-IF(7&gt;Debt_Yr,0,(I3047-0.5*IF(7=Debt_Yr,0,I3350))*INDEX(Fin_Curve,1,7))-I3350-I3350*Fin_ExitFee)</f>
        <v>0</v>
      </c>
      <c r="K3653" s="71" t="n">
        <f aca="false">IF(8&gt;Hold_Yrs,0,K2744-IF(8&gt;Debt_Yr,0,(J3047-0.5*IF(8=Debt_Yr,0,J3350))*INDEX(Fin_Curve,1,8))-J3350-J3350*Fin_ExitFee)</f>
        <v>0</v>
      </c>
      <c r="L3653" s="71" t="n">
        <f aca="false">IF(9&gt;Hold_Yrs,0,L2744-IF(9&gt;Debt_Yr,0,(K3047-0.5*IF(9=Debt_Yr,0,K3350))*INDEX(Fin_Curve,1,9))-K3350-K3350*Fin_ExitFee)</f>
        <v>0</v>
      </c>
      <c r="M3653" s="71" t="n">
        <f aca="false">IF(10&gt;Hold_Yrs,0,M2744-IF(10&gt;Debt_Yr,0,(L3047-0.5*IF(10=Debt_Yr,0,L3350))*INDEX(Fin_Curve,1,10))-L3350-L3350*Fin_ExitFee)</f>
        <v>0</v>
      </c>
    </row>
    <row r="3654" customFormat="false" ht="15" hidden="false" customHeight="false" outlineLevel="0" collapsed="false">
      <c r="B3654" s="102" t="str">
        <f aca="false">'Loan Tape'!$A14</f>
        <v>L-011</v>
      </c>
      <c r="C3654" s="99" t="n">
        <f aca="false">-'Loan Tape'!$BE14</f>
        <v>-10734022.7</v>
      </c>
      <c r="D3654" s="99" t="n">
        <f aca="false">IF(1&gt;Hold_Yrs,0,D2745-IF(1&gt;Debt_Yr,0,(C3048-0.5*IF(1=Debt_Yr,0,C3351))*INDEX(Fin_Curve,1,1))-C3351-C3351*Fin_ExitFee)</f>
        <v>843499.928589675</v>
      </c>
      <c r="E3654" s="99" t="n">
        <f aca="false">IF(2&gt;Hold_Yrs,0,E2745-IF(2&gt;Debt_Yr,0,(D3048-0.5*IF(2=Debt_Yr,0,D3351))*INDEX(Fin_Curve,1,2))-D3351-D3351*Fin_ExitFee)</f>
        <v>760061.356042766</v>
      </c>
      <c r="F3654" s="99" t="n">
        <f aca="false">IF(3&gt;Hold_Yrs,0,F2745-IF(3&gt;Debt_Yr,0,(E3048-0.5*IF(3=Debt_Yr,0,E3351))*INDEX(Fin_Curve,1,3))-E3351-E3351*Fin_ExitFee)</f>
        <v>706943.437932518</v>
      </c>
      <c r="G3654" s="99" t="n">
        <f aca="false">IF(4&gt;Hold_Yrs,0,G2745-IF(4&gt;Debt_Yr,0,(F3048-0.5*IF(4=Debt_Yr,0,F3351))*INDEX(Fin_Curve,1,4))-F3351-F3351*Fin_ExitFee)</f>
        <v>678149.869654067</v>
      </c>
      <c r="H3654" s="99" t="n">
        <f aca="false">IF(5&gt;Hold_Yrs,0,H2745-IF(5&gt;Debt_Yr,0,(G3048-0.5*IF(5=Debt_Yr,0,G3351))*INDEX(Fin_Curve,1,5))-G3351-G3351*Fin_ExitFee)</f>
        <v>11587477.5529725</v>
      </c>
      <c r="I3654" s="99" t="n">
        <f aca="false">IF(6&gt;Hold_Yrs,0,I2745-IF(6&gt;Debt_Yr,0,(H3048-0.5*IF(6=Debt_Yr,0,H3351))*INDEX(Fin_Curve,1,6))-H3351-H3351*Fin_ExitFee)</f>
        <v>0</v>
      </c>
      <c r="J3654" s="99" t="n">
        <f aca="false">IF(7&gt;Hold_Yrs,0,J2745-IF(7&gt;Debt_Yr,0,(I3048-0.5*IF(7=Debt_Yr,0,I3351))*INDEX(Fin_Curve,1,7))-I3351-I3351*Fin_ExitFee)</f>
        <v>0</v>
      </c>
      <c r="K3654" s="99" t="n">
        <f aca="false">IF(8&gt;Hold_Yrs,0,K2745-IF(8&gt;Debt_Yr,0,(J3048-0.5*IF(8=Debt_Yr,0,J3351))*INDEX(Fin_Curve,1,8))-J3351-J3351*Fin_ExitFee)</f>
        <v>0</v>
      </c>
      <c r="L3654" s="99" t="n">
        <f aca="false">IF(9&gt;Hold_Yrs,0,L2745-IF(9&gt;Debt_Yr,0,(K3048-0.5*IF(9=Debt_Yr,0,K3351))*INDEX(Fin_Curve,1,9))-K3351-K3351*Fin_ExitFee)</f>
        <v>0</v>
      </c>
      <c r="M3654" s="99" t="n">
        <f aca="false">IF(10&gt;Hold_Yrs,0,M2745-IF(10&gt;Debt_Yr,0,(L3048-0.5*IF(10=Debt_Yr,0,L3351))*INDEX(Fin_Curve,1,10))-L3351-L3351*Fin_ExitFee)</f>
        <v>0</v>
      </c>
    </row>
    <row r="3655" customFormat="false" ht="15" hidden="false" customHeight="false" outlineLevel="0" collapsed="false">
      <c r="B3655" s="108" t="str">
        <f aca="false">'Loan Tape'!$A15</f>
        <v>L-012</v>
      </c>
      <c r="C3655" s="71" t="n">
        <f aca="false">-'Loan Tape'!$BE15</f>
        <v>-2190189.98</v>
      </c>
      <c r="D3655" s="71" t="n">
        <f aca="false">IF(1&gt;Hold_Yrs,0,D2746-IF(1&gt;Debt_Yr,0,(C3049-0.5*IF(1=Debt_Yr,0,C3352))*INDEX(Fin_Curve,1,1))-C3352-C3352*Fin_ExitFee)</f>
        <v>97406.9974823499</v>
      </c>
      <c r="E3655" s="71" t="n">
        <f aca="false">IF(2&gt;Hold_Yrs,0,E2746-IF(2&gt;Debt_Yr,0,(D3049-0.5*IF(2=Debt_Yr,0,D3352))*INDEX(Fin_Curve,1,2))-D3352-D3352*Fin_ExitFee)</f>
        <v>2440955.27930962</v>
      </c>
      <c r="F3655" s="71" t="n">
        <f aca="false">IF(3&gt;Hold_Yrs,0,F2746-IF(3&gt;Debt_Yr,0,(E3049-0.5*IF(3=Debt_Yr,0,E3352))*INDEX(Fin_Curve,1,3))-E3352-E3352*Fin_ExitFee)</f>
        <v>39628.9898170393</v>
      </c>
      <c r="G3655" s="71" t="n">
        <f aca="false">IF(4&gt;Hold_Yrs,0,G2746-IF(4&gt;Debt_Yr,0,(F3049-0.5*IF(4=Debt_Yr,0,F3352))*INDEX(Fin_Curve,1,4))-F3352-F3352*Fin_ExitFee)</f>
        <v>0</v>
      </c>
      <c r="H3655" s="71" t="n">
        <f aca="false">IF(5&gt;Hold_Yrs,0,H2746-IF(5&gt;Debt_Yr,0,(G3049-0.5*IF(5=Debt_Yr,0,G3352))*INDEX(Fin_Curve,1,5))-G3352-G3352*Fin_ExitFee)</f>
        <v>0</v>
      </c>
      <c r="I3655" s="71" t="n">
        <f aca="false">IF(6&gt;Hold_Yrs,0,I2746-IF(6&gt;Debt_Yr,0,(H3049-0.5*IF(6=Debt_Yr,0,H3352))*INDEX(Fin_Curve,1,6))-H3352-H3352*Fin_ExitFee)</f>
        <v>0</v>
      </c>
      <c r="J3655" s="71" t="n">
        <f aca="false">IF(7&gt;Hold_Yrs,0,J2746-IF(7&gt;Debt_Yr,0,(I3049-0.5*IF(7=Debt_Yr,0,I3352))*INDEX(Fin_Curve,1,7))-I3352-I3352*Fin_ExitFee)</f>
        <v>0</v>
      </c>
      <c r="K3655" s="71" t="n">
        <f aca="false">IF(8&gt;Hold_Yrs,0,K2746-IF(8&gt;Debt_Yr,0,(J3049-0.5*IF(8=Debt_Yr,0,J3352))*INDEX(Fin_Curve,1,8))-J3352-J3352*Fin_ExitFee)</f>
        <v>0</v>
      </c>
      <c r="L3655" s="71" t="n">
        <f aca="false">IF(9&gt;Hold_Yrs,0,L2746-IF(9&gt;Debt_Yr,0,(K3049-0.5*IF(9=Debt_Yr,0,K3352))*INDEX(Fin_Curve,1,9))-K3352-K3352*Fin_ExitFee)</f>
        <v>0</v>
      </c>
      <c r="M3655" s="71" t="n">
        <f aca="false">IF(10&gt;Hold_Yrs,0,M2746-IF(10&gt;Debt_Yr,0,(L3049-0.5*IF(10=Debt_Yr,0,L3352))*INDEX(Fin_Curve,1,10))-L3352-L3352*Fin_ExitFee)</f>
        <v>0</v>
      </c>
    </row>
    <row r="3656" customFormat="false" ht="15" hidden="false" customHeight="false" outlineLevel="0" collapsed="false">
      <c r="B3656" s="102" t="str">
        <f aca="false">'Loan Tape'!$A16</f>
        <v>L-013</v>
      </c>
      <c r="C3656" s="99" t="n">
        <f aca="false">-'Loan Tape'!$BE16</f>
        <v>-33098829.65</v>
      </c>
      <c r="D3656" s="99" t="n">
        <f aca="false">IF(1&gt;Hold_Yrs,0,D2747-IF(1&gt;Debt_Yr,0,(C3050-0.5*IF(1=Debt_Yr,0,C3353))*INDEX(Fin_Curve,1,1))-C3353-C3353*Fin_ExitFee)</f>
        <v>2250307.46473563</v>
      </c>
      <c r="E3656" s="99" t="n">
        <f aca="false">IF(2&gt;Hold_Yrs,0,E2747-IF(2&gt;Debt_Yr,0,(D3050-0.5*IF(2=Debt_Yr,0,D3353))*INDEX(Fin_Curve,1,2))-D3353-D3353*Fin_ExitFee)</f>
        <v>2385233.03973656</v>
      </c>
      <c r="F3656" s="99" t="n">
        <f aca="false">IF(3&gt;Hold_Yrs,0,F2747-IF(3&gt;Debt_Yr,0,(E3050-0.5*IF(3=Debt_Yr,0,E3353))*INDEX(Fin_Curve,1,3))-E3353-E3353*Fin_ExitFee)</f>
        <v>2453978.92794411</v>
      </c>
      <c r="G3656" s="99" t="n">
        <f aca="false">IF(4&gt;Hold_Yrs,0,G2747-IF(4&gt;Debt_Yr,0,(F3050-0.5*IF(4=Debt_Yr,0,F3353))*INDEX(Fin_Curve,1,4))-F3353-F3353*Fin_ExitFee)</f>
        <v>2430040.70088478</v>
      </c>
      <c r="H3656" s="99" t="n">
        <f aca="false">IF(5&gt;Hold_Yrs,0,H2747-IF(5&gt;Debt_Yr,0,(G3050-0.5*IF(5=Debt_Yr,0,G3353))*INDEX(Fin_Curve,1,5))-G3353-G3353*Fin_ExitFee)</f>
        <v>36851136.2285866</v>
      </c>
      <c r="I3656" s="99" t="n">
        <f aca="false">IF(6&gt;Hold_Yrs,0,I2747-IF(6&gt;Debt_Yr,0,(H3050-0.5*IF(6=Debt_Yr,0,H3353))*INDEX(Fin_Curve,1,6))-H3353-H3353*Fin_ExitFee)</f>
        <v>0</v>
      </c>
      <c r="J3656" s="99" t="n">
        <f aca="false">IF(7&gt;Hold_Yrs,0,J2747-IF(7&gt;Debt_Yr,0,(I3050-0.5*IF(7=Debt_Yr,0,I3353))*INDEX(Fin_Curve,1,7))-I3353-I3353*Fin_ExitFee)</f>
        <v>0</v>
      </c>
      <c r="K3656" s="99" t="n">
        <f aca="false">IF(8&gt;Hold_Yrs,0,K2747-IF(8&gt;Debt_Yr,0,(J3050-0.5*IF(8=Debt_Yr,0,J3353))*INDEX(Fin_Curve,1,8))-J3353-J3353*Fin_ExitFee)</f>
        <v>0</v>
      </c>
      <c r="L3656" s="99" t="n">
        <f aca="false">IF(9&gt;Hold_Yrs,0,L2747-IF(9&gt;Debt_Yr,0,(K3050-0.5*IF(9=Debt_Yr,0,K3353))*INDEX(Fin_Curve,1,9))-K3353-K3353*Fin_ExitFee)</f>
        <v>0</v>
      </c>
      <c r="M3656" s="99" t="n">
        <f aca="false">IF(10&gt;Hold_Yrs,0,M2747-IF(10&gt;Debt_Yr,0,(L3050-0.5*IF(10=Debt_Yr,0,L3353))*INDEX(Fin_Curve,1,10))-L3353-L3353*Fin_ExitFee)</f>
        <v>0</v>
      </c>
    </row>
    <row r="3657" customFormat="false" ht="15" hidden="false" customHeight="false" outlineLevel="0" collapsed="false">
      <c r="B3657" s="108" t="str">
        <f aca="false">'Loan Tape'!$A17</f>
        <v>L-014</v>
      </c>
      <c r="C3657" s="71" t="n">
        <f aca="false">-'Loan Tape'!$BE17</f>
        <v>-49696084.67</v>
      </c>
      <c r="D3657" s="71" t="n">
        <f aca="false">IF(1&gt;Hold_Yrs,0,D2748-IF(1&gt;Debt_Yr,0,(C3051-0.5*IF(1=Debt_Yr,0,C3354))*INDEX(Fin_Curve,1,1))-C3354-C3354*Fin_ExitFee)</f>
        <v>1573744.22879161</v>
      </c>
      <c r="E3657" s="71" t="n">
        <f aca="false">IF(2&gt;Hold_Yrs,0,E2748-IF(2&gt;Debt_Yr,0,(D3051-0.5*IF(2=Debt_Yr,0,D3354))*INDEX(Fin_Curve,1,2))-D3354-D3354*Fin_ExitFee)</f>
        <v>2024026.6651105</v>
      </c>
      <c r="F3657" s="71" t="n">
        <f aca="false">IF(3&gt;Hold_Yrs,0,F2748-IF(3&gt;Debt_Yr,0,(E3051-0.5*IF(3=Debt_Yr,0,E3354))*INDEX(Fin_Curve,1,3))-E3354-E3354*Fin_ExitFee)</f>
        <v>2342314.73663738</v>
      </c>
      <c r="G3657" s="71" t="n">
        <f aca="false">IF(4&gt;Hold_Yrs,0,G2748-IF(4&gt;Debt_Yr,0,(F3051-0.5*IF(4=Debt_Yr,0,F3354))*INDEX(Fin_Curve,1,4))-F3354-F3354*Fin_ExitFee)</f>
        <v>2493216.14812256</v>
      </c>
      <c r="H3657" s="71" t="n">
        <f aca="false">IF(5&gt;Hold_Yrs,0,H2748-IF(5&gt;Debt_Yr,0,(G3051-0.5*IF(5=Debt_Yr,0,G3354))*INDEX(Fin_Curve,1,5))-G3354-G3354*Fin_ExitFee)</f>
        <v>53188156.6995287</v>
      </c>
      <c r="I3657" s="71" t="n">
        <f aca="false">IF(6&gt;Hold_Yrs,0,I2748-IF(6&gt;Debt_Yr,0,(H3051-0.5*IF(6=Debt_Yr,0,H3354))*INDEX(Fin_Curve,1,6))-H3354-H3354*Fin_ExitFee)</f>
        <v>0</v>
      </c>
      <c r="J3657" s="71" t="n">
        <f aca="false">IF(7&gt;Hold_Yrs,0,J2748-IF(7&gt;Debt_Yr,0,(I3051-0.5*IF(7=Debt_Yr,0,I3354))*INDEX(Fin_Curve,1,7))-I3354-I3354*Fin_ExitFee)</f>
        <v>0</v>
      </c>
      <c r="K3657" s="71" t="n">
        <f aca="false">IF(8&gt;Hold_Yrs,0,K2748-IF(8&gt;Debt_Yr,0,(J3051-0.5*IF(8=Debt_Yr,0,J3354))*INDEX(Fin_Curve,1,8))-J3354-J3354*Fin_ExitFee)</f>
        <v>0</v>
      </c>
      <c r="L3657" s="71" t="n">
        <f aca="false">IF(9&gt;Hold_Yrs,0,L2748-IF(9&gt;Debt_Yr,0,(K3051-0.5*IF(9=Debt_Yr,0,K3354))*INDEX(Fin_Curve,1,9))-K3354-K3354*Fin_ExitFee)</f>
        <v>0</v>
      </c>
      <c r="M3657" s="71" t="n">
        <f aca="false">IF(10&gt;Hold_Yrs,0,M2748-IF(10&gt;Debt_Yr,0,(L3051-0.5*IF(10=Debt_Yr,0,L3354))*INDEX(Fin_Curve,1,10))-L3354-L3354*Fin_ExitFee)</f>
        <v>0</v>
      </c>
    </row>
    <row r="3658" customFormat="false" ht="15" hidden="false" customHeight="false" outlineLevel="0" collapsed="false">
      <c r="B3658" s="102" t="str">
        <f aca="false">'Loan Tape'!$A18</f>
        <v>L-015</v>
      </c>
      <c r="C3658" s="99" t="n">
        <f aca="false">-'Loan Tape'!$BE18</f>
        <v>-51049942.82</v>
      </c>
      <c r="D3658" s="99" t="n">
        <f aca="false">IF(1&gt;Hold_Yrs,0,D2749-IF(1&gt;Debt_Yr,0,(C3052-0.5*IF(1=Debt_Yr,0,C3355))*INDEX(Fin_Curve,1,1))-C3355-C3355*Fin_ExitFee)</f>
        <v>4784358.944</v>
      </c>
      <c r="E3658" s="99" t="n">
        <f aca="false">IF(2&gt;Hold_Yrs,0,E2749-IF(2&gt;Debt_Yr,0,(D3052-0.5*IF(2=Debt_Yr,0,D3355))*INDEX(Fin_Curve,1,2))-D3355-D3355*Fin_ExitFee)</f>
        <v>4295422.34112</v>
      </c>
      <c r="F3658" s="99" t="n">
        <f aca="false">IF(3&gt;Hold_Yrs,0,F2749-IF(3&gt;Debt_Yr,0,(E3052-0.5*IF(3=Debt_Yr,0,E3355))*INDEX(Fin_Curve,1,3))-E3355-E3355*Fin_ExitFee)</f>
        <v>3960193.7594816</v>
      </c>
      <c r="G3658" s="99" t="n">
        <f aca="false">IF(4&gt;Hold_Yrs,0,G2749-IF(4&gt;Debt_Yr,0,(F3052-0.5*IF(4=Debt_Yr,0,F3355))*INDEX(Fin_Curve,1,4))-F3355-F3355*Fin_ExitFee)</f>
        <v>3749839.78864205</v>
      </c>
      <c r="H3658" s="99" t="n">
        <f aca="false">IF(5&gt;Hold_Yrs,0,H2749-IF(5&gt;Debt_Yr,0,(G3052-0.5*IF(5=Debt_Yr,0,G3355))*INDEX(Fin_Curve,1,5))-G3355-G3355*Fin_ExitFee)</f>
        <v>55223233.8721352</v>
      </c>
      <c r="I3658" s="99" t="n">
        <f aca="false">IF(6&gt;Hold_Yrs,0,I2749-IF(6&gt;Debt_Yr,0,(H3052-0.5*IF(6=Debt_Yr,0,H3355))*INDEX(Fin_Curve,1,6))-H3355-H3355*Fin_ExitFee)</f>
        <v>0</v>
      </c>
      <c r="J3658" s="99" t="n">
        <f aca="false">IF(7&gt;Hold_Yrs,0,J2749-IF(7&gt;Debt_Yr,0,(I3052-0.5*IF(7=Debt_Yr,0,I3355))*INDEX(Fin_Curve,1,7))-I3355-I3355*Fin_ExitFee)</f>
        <v>0</v>
      </c>
      <c r="K3658" s="99" t="n">
        <f aca="false">IF(8&gt;Hold_Yrs,0,K2749-IF(8&gt;Debt_Yr,0,(J3052-0.5*IF(8=Debt_Yr,0,J3355))*INDEX(Fin_Curve,1,8))-J3355-J3355*Fin_ExitFee)</f>
        <v>0</v>
      </c>
      <c r="L3658" s="99" t="n">
        <f aca="false">IF(9&gt;Hold_Yrs,0,L2749-IF(9&gt;Debt_Yr,0,(K3052-0.5*IF(9=Debt_Yr,0,K3355))*INDEX(Fin_Curve,1,9))-K3355-K3355*Fin_ExitFee)</f>
        <v>0</v>
      </c>
      <c r="M3658" s="99" t="n">
        <f aca="false">IF(10&gt;Hold_Yrs,0,M2749-IF(10&gt;Debt_Yr,0,(L3052-0.5*IF(10=Debt_Yr,0,L3355))*INDEX(Fin_Curve,1,10))-L3355-L3355*Fin_ExitFee)</f>
        <v>0</v>
      </c>
    </row>
    <row r="3659" customFormat="false" ht="15" hidden="false" customHeight="false" outlineLevel="0" collapsed="false">
      <c r="B3659" s="108" t="str">
        <f aca="false">'Loan Tape'!$A19</f>
        <v>L-016</v>
      </c>
      <c r="C3659" s="71" t="n">
        <f aca="false">-'Loan Tape'!$BE19</f>
        <v>-3193090.91</v>
      </c>
      <c r="D3659" s="71" t="n">
        <f aca="false">IF(1&gt;Hold_Yrs,0,D2750-IF(1&gt;Debt_Yr,0,(C3053-0.5*IF(1=Debt_Yr,0,C3356))*INDEX(Fin_Curve,1,1))-C3356-C3356*Fin_ExitFee)</f>
        <v>3419608.55</v>
      </c>
      <c r="E3659" s="71" t="n">
        <f aca="false">IF(2&gt;Hold_Yrs,0,E2750-IF(2&gt;Debt_Yr,0,(D3053-0.5*IF(2=Debt_Yr,0,D3356))*INDEX(Fin_Curve,1,2))-D3356-D3356*Fin_ExitFee)</f>
        <v>0</v>
      </c>
      <c r="F3659" s="71" t="n">
        <f aca="false">IF(3&gt;Hold_Yrs,0,F2750-IF(3&gt;Debt_Yr,0,(E3053-0.5*IF(3=Debt_Yr,0,E3356))*INDEX(Fin_Curve,1,3))-E3356-E3356*Fin_ExitFee)</f>
        <v>0</v>
      </c>
      <c r="G3659" s="71" t="n">
        <f aca="false">IF(4&gt;Hold_Yrs,0,G2750-IF(4&gt;Debt_Yr,0,(F3053-0.5*IF(4=Debt_Yr,0,F3356))*INDEX(Fin_Curve,1,4))-F3356-F3356*Fin_ExitFee)</f>
        <v>0</v>
      </c>
      <c r="H3659" s="71" t="n">
        <f aca="false">IF(5&gt;Hold_Yrs,0,H2750-IF(5&gt;Debt_Yr,0,(G3053-0.5*IF(5=Debt_Yr,0,G3356))*INDEX(Fin_Curve,1,5))-G3356-G3356*Fin_ExitFee)</f>
        <v>0</v>
      </c>
      <c r="I3659" s="71" t="n">
        <f aca="false">IF(6&gt;Hold_Yrs,0,I2750-IF(6&gt;Debt_Yr,0,(H3053-0.5*IF(6=Debt_Yr,0,H3356))*INDEX(Fin_Curve,1,6))-H3356-H3356*Fin_ExitFee)</f>
        <v>0</v>
      </c>
      <c r="J3659" s="71" t="n">
        <f aca="false">IF(7&gt;Hold_Yrs,0,J2750-IF(7&gt;Debt_Yr,0,(I3053-0.5*IF(7=Debt_Yr,0,I3356))*INDEX(Fin_Curve,1,7))-I3356-I3356*Fin_ExitFee)</f>
        <v>0</v>
      </c>
      <c r="K3659" s="71" t="n">
        <f aca="false">IF(8&gt;Hold_Yrs,0,K2750-IF(8&gt;Debt_Yr,0,(J3053-0.5*IF(8=Debt_Yr,0,J3356))*INDEX(Fin_Curve,1,8))-J3356-J3356*Fin_ExitFee)</f>
        <v>0</v>
      </c>
      <c r="L3659" s="71" t="n">
        <f aca="false">IF(9&gt;Hold_Yrs,0,L2750-IF(9&gt;Debt_Yr,0,(K3053-0.5*IF(9=Debt_Yr,0,K3356))*INDEX(Fin_Curve,1,9))-K3356-K3356*Fin_ExitFee)</f>
        <v>0</v>
      </c>
      <c r="M3659" s="71" t="n">
        <f aca="false">IF(10&gt;Hold_Yrs,0,M2750-IF(10&gt;Debt_Yr,0,(L3053-0.5*IF(10=Debt_Yr,0,L3356))*INDEX(Fin_Curve,1,10))-L3356-L3356*Fin_ExitFee)</f>
        <v>0</v>
      </c>
    </row>
    <row r="3660" customFormat="false" ht="15" hidden="false" customHeight="false" outlineLevel="0" collapsed="false">
      <c r="B3660" s="102" t="str">
        <f aca="false">'Loan Tape'!$A20</f>
        <v>L-017</v>
      </c>
      <c r="C3660" s="99" t="n">
        <f aca="false">-'Loan Tape'!$BE20</f>
        <v>-1979848.07</v>
      </c>
      <c r="D3660" s="99" t="n">
        <f aca="false">IF(1&gt;Hold_Yrs,0,D2751-IF(1&gt;Debt_Yr,0,(C3054-0.5*IF(1=Debt_Yr,0,C3357))*INDEX(Fin_Curve,1,1))-C3357-C3357*Fin_ExitFee)</f>
        <v>37576.0719999999</v>
      </c>
      <c r="E3660" s="99" t="n">
        <f aca="false">IF(2&gt;Hold_Yrs,0,E2751-IF(2&gt;Debt_Yr,0,(D3054-0.5*IF(2=Debt_Yr,0,D3357))*INDEX(Fin_Curve,1,2))-D3357-D3357*Fin_ExitFee)</f>
        <v>57509.78976</v>
      </c>
      <c r="F3660" s="99" t="n">
        <f aca="false">IF(3&gt;Hold_Yrs,0,F2751-IF(3&gt;Debt_Yr,0,(E3054-0.5*IF(3=Debt_Yr,0,E3357))*INDEX(Fin_Curve,1,3))-E3357-E3357*Fin_ExitFee)</f>
        <v>72480.0150688</v>
      </c>
      <c r="G3660" s="99" t="n">
        <f aca="false">IF(4&gt;Hold_Yrs,0,G2751-IF(4&gt;Debt_Yr,0,(F3054-0.5*IF(4=Debt_Yr,0,F3357))*INDEX(Fin_Curve,1,4))-F3357-F3357*Fin_ExitFee)</f>
        <v>80602.771503744</v>
      </c>
      <c r="H3660" s="99" t="n">
        <f aca="false">IF(5&gt;Hold_Yrs,0,H2751-IF(5&gt;Debt_Yr,0,(G3054-0.5*IF(5=Debt_Yr,0,G3357))*INDEX(Fin_Curve,1,5))-G3357-G3357*Fin_ExitFee)</f>
        <v>2087533.59001241</v>
      </c>
      <c r="I3660" s="99" t="n">
        <f aca="false">IF(6&gt;Hold_Yrs,0,I2751-IF(6&gt;Debt_Yr,0,(H3054-0.5*IF(6=Debt_Yr,0,H3357))*INDEX(Fin_Curve,1,6))-H3357-H3357*Fin_ExitFee)</f>
        <v>0</v>
      </c>
      <c r="J3660" s="99" t="n">
        <f aca="false">IF(7&gt;Hold_Yrs,0,J2751-IF(7&gt;Debt_Yr,0,(I3054-0.5*IF(7=Debt_Yr,0,I3357))*INDEX(Fin_Curve,1,7))-I3357-I3357*Fin_ExitFee)</f>
        <v>0</v>
      </c>
      <c r="K3660" s="99" t="n">
        <f aca="false">IF(8&gt;Hold_Yrs,0,K2751-IF(8&gt;Debt_Yr,0,(J3054-0.5*IF(8=Debt_Yr,0,J3357))*INDEX(Fin_Curve,1,8))-J3357-J3357*Fin_ExitFee)</f>
        <v>0</v>
      </c>
      <c r="L3660" s="99" t="n">
        <f aca="false">IF(9&gt;Hold_Yrs,0,L2751-IF(9&gt;Debt_Yr,0,(K3054-0.5*IF(9=Debt_Yr,0,K3357))*INDEX(Fin_Curve,1,9))-K3357-K3357*Fin_ExitFee)</f>
        <v>0</v>
      </c>
      <c r="M3660" s="99" t="n">
        <f aca="false">IF(10&gt;Hold_Yrs,0,M2751-IF(10&gt;Debt_Yr,0,(L3054-0.5*IF(10=Debt_Yr,0,L3357))*INDEX(Fin_Curve,1,10))-L3357-L3357*Fin_ExitFee)</f>
        <v>0</v>
      </c>
    </row>
    <row r="3661" customFormat="false" ht="15" hidden="false" customHeight="false" outlineLevel="0" collapsed="false">
      <c r="B3661" s="108" t="str">
        <f aca="false">'Loan Tape'!$A21</f>
        <v>L-018</v>
      </c>
      <c r="C3661" s="71" t="n">
        <f aca="false">-'Loan Tape'!$BE21</f>
        <v>-29722125.36</v>
      </c>
      <c r="D3661" s="71" t="n">
        <f aca="false">IF(1&gt;Hold_Yrs,0,D2752-IF(1&gt;Debt_Yr,0,(C3055-0.5*IF(1=Debt_Yr,0,C3358))*INDEX(Fin_Curve,1,1))-C3358-C3358*Fin_ExitFee)</f>
        <v>2499802.55323277</v>
      </c>
      <c r="E3661" s="71" t="n">
        <f aca="false">IF(2&gt;Hold_Yrs,0,E2752-IF(2&gt;Debt_Yr,0,(D3055-0.5*IF(2=Debt_Yr,0,D3358))*INDEX(Fin_Curve,1,2))-D3358-D3358*Fin_ExitFee)</f>
        <v>2246186.26709355</v>
      </c>
      <c r="F3661" s="71" t="n">
        <f aca="false">IF(3&gt;Hold_Yrs,0,F2752-IF(3&gt;Debt_Yr,0,(E3055-0.5*IF(3=Debt_Yr,0,E3358))*INDEX(Fin_Curve,1,3))-E3358-E3358*Fin_ExitFee)</f>
        <v>2079341.08959758</v>
      </c>
      <c r="G3661" s="71" t="n">
        <f aca="false">IF(4&gt;Hold_Yrs,0,G2752-IF(4&gt;Debt_Yr,0,(F3055-0.5*IF(4=Debt_Yr,0,F3358))*INDEX(Fin_Curve,1,4))-F3358-F3358*Fin_ExitFee)</f>
        <v>1982340.87553949</v>
      </c>
      <c r="H3661" s="71" t="n">
        <f aca="false">IF(5&gt;Hold_Yrs,0,H2752-IF(5&gt;Debt_Yr,0,(G3055-0.5*IF(5=Debt_Yr,0,G3358))*INDEX(Fin_Curve,1,5))-G3358-G3358*Fin_ExitFee)</f>
        <v>32243797.4616472</v>
      </c>
      <c r="I3661" s="71" t="n">
        <f aca="false">IF(6&gt;Hold_Yrs,0,I2752-IF(6&gt;Debt_Yr,0,(H3055-0.5*IF(6=Debt_Yr,0,H3358))*INDEX(Fin_Curve,1,6))-H3358-H3358*Fin_ExitFee)</f>
        <v>0</v>
      </c>
      <c r="J3661" s="71" t="n">
        <f aca="false">IF(7&gt;Hold_Yrs,0,J2752-IF(7&gt;Debt_Yr,0,(I3055-0.5*IF(7=Debt_Yr,0,I3358))*INDEX(Fin_Curve,1,7))-I3358-I3358*Fin_ExitFee)</f>
        <v>0</v>
      </c>
      <c r="K3661" s="71" t="n">
        <f aca="false">IF(8&gt;Hold_Yrs,0,K2752-IF(8&gt;Debt_Yr,0,(J3055-0.5*IF(8=Debt_Yr,0,J3358))*INDEX(Fin_Curve,1,8))-J3358-J3358*Fin_ExitFee)</f>
        <v>0</v>
      </c>
      <c r="L3661" s="71" t="n">
        <f aca="false">IF(9&gt;Hold_Yrs,0,L2752-IF(9&gt;Debt_Yr,0,(K3055-0.5*IF(9=Debt_Yr,0,K3358))*INDEX(Fin_Curve,1,9))-K3358-K3358*Fin_ExitFee)</f>
        <v>0</v>
      </c>
      <c r="M3661" s="71" t="n">
        <f aca="false">IF(10&gt;Hold_Yrs,0,M2752-IF(10&gt;Debt_Yr,0,(L3055-0.5*IF(10=Debt_Yr,0,L3358))*INDEX(Fin_Curve,1,10))-L3358-L3358*Fin_ExitFee)</f>
        <v>0</v>
      </c>
    </row>
    <row r="3662" customFormat="false" ht="15" hidden="false" customHeight="false" outlineLevel="0" collapsed="false">
      <c r="B3662" s="102" t="str">
        <f aca="false">'Loan Tape'!$A22</f>
        <v>L-019</v>
      </c>
      <c r="C3662" s="99" t="n">
        <f aca="false">-'Loan Tape'!$BE22</f>
        <v>-3184956.14</v>
      </c>
      <c r="D3662" s="99" t="n">
        <f aca="false">IF(1&gt;Hold_Yrs,0,D2753-IF(1&gt;Debt_Yr,0,(C3056-0.5*IF(1=Debt_Yr,0,C3359))*INDEX(Fin_Curve,1,1))-C3359-C3359*Fin_ExitFee)</f>
        <v>3879773.08600799</v>
      </c>
      <c r="E3662" s="99" t="n">
        <f aca="false">IF(2&gt;Hold_Yrs,0,E2753-IF(2&gt;Debt_Yr,0,(D3056-0.5*IF(2=Debt_Yr,0,D3359))*INDEX(Fin_Curve,1,2))-D3359-D3359*Fin_ExitFee)</f>
        <v>115108</v>
      </c>
      <c r="F3662" s="99" t="n">
        <f aca="false">IF(3&gt;Hold_Yrs,0,F2753-IF(3&gt;Debt_Yr,0,(E3056-0.5*IF(3=Debt_Yr,0,E3359))*INDEX(Fin_Curve,1,3))-E3359-E3359*Fin_ExitFee)</f>
        <v>0</v>
      </c>
      <c r="G3662" s="99" t="n">
        <f aca="false">IF(4&gt;Hold_Yrs,0,G2753-IF(4&gt;Debt_Yr,0,(F3056-0.5*IF(4=Debt_Yr,0,F3359))*INDEX(Fin_Curve,1,4))-F3359-F3359*Fin_ExitFee)</f>
        <v>0</v>
      </c>
      <c r="H3662" s="99" t="n">
        <f aca="false">IF(5&gt;Hold_Yrs,0,H2753-IF(5&gt;Debt_Yr,0,(G3056-0.5*IF(5=Debt_Yr,0,G3359))*INDEX(Fin_Curve,1,5))-G3359-G3359*Fin_ExitFee)</f>
        <v>0</v>
      </c>
      <c r="I3662" s="99" t="n">
        <f aca="false">IF(6&gt;Hold_Yrs,0,I2753-IF(6&gt;Debt_Yr,0,(H3056-0.5*IF(6=Debt_Yr,0,H3359))*INDEX(Fin_Curve,1,6))-H3359-H3359*Fin_ExitFee)</f>
        <v>0</v>
      </c>
      <c r="J3662" s="99" t="n">
        <f aca="false">IF(7&gt;Hold_Yrs,0,J2753-IF(7&gt;Debt_Yr,0,(I3056-0.5*IF(7=Debt_Yr,0,I3359))*INDEX(Fin_Curve,1,7))-I3359-I3359*Fin_ExitFee)</f>
        <v>0</v>
      </c>
      <c r="K3662" s="99" t="n">
        <f aca="false">IF(8&gt;Hold_Yrs,0,K2753-IF(8&gt;Debt_Yr,0,(J3056-0.5*IF(8=Debt_Yr,0,J3359))*INDEX(Fin_Curve,1,8))-J3359-J3359*Fin_ExitFee)</f>
        <v>0</v>
      </c>
      <c r="L3662" s="99" t="n">
        <f aca="false">IF(9&gt;Hold_Yrs,0,L2753-IF(9&gt;Debt_Yr,0,(K3056-0.5*IF(9=Debt_Yr,0,K3359))*INDEX(Fin_Curve,1,9))-K3359-K3359*Fin_ExitFee)</f>
        <v>0</v>
      </c>
      <c r="M3662" s="99" t="n">
        <f aca="false">IF(10&gt;Hold_Yrs,0,M2753-IF(10&gt;Debt_Yr,0,(L3056-0.5*IF(10=Debt_Yr,0,L3359))*INDEX(Fin_Curve,1,10))-L3359-L3359*Fin_ExitFee)</f>
        <v>0</v>
      </c>
    </row>
    <row r="3663" customFormat="false" ht="15" hidden="false" customHeight="false" outlineLevel="0" collapsed="false">
      <c r="B3663" s="108" t="str">
        <f aca="false">'Loan Tape'!$A23</f>
        <v>L-020</v>
      </c>
      <c r="C3663" s="71" t="n">
        <f aca="false">-'Loan Tape'!$BE23</f>
        <v>-26770753.33</v>
      </c>
      <c r="D3663" s="71" t="n">
        <f aca="false">IF(1&gt;Hold_Yrs,0,D2754-IF(1&gt;Debt_Yr,0,(C3057-0.5*IF(1=Debt_Yr,0,C3360))*INDEX(Fin_Curve,1,1))-C3360-C3360*Fin_ExitFee)</f>
        <v>3320963.886</v>
      </c>
      <c r="E3663" s="71" t="n">
        <f aca="false">IF(2&gt;Hold_Yrs,0,E2754-IF(2&gt;Debt_Yr,0,(D3057-0.5*IF(2=Debt_Yr,0,D3360))*INDEX(Fin_Curve,1,2))-D3360-D3360*Fin_ExitFee)</f>
        <v>2967120.27728</v>
      </c>
      <c r="F3663" s="71" t="n">
        <f aca="false">IF(3&gt;Hold_Yrs,0,F2754-IF(3&gt;Debt_Yr,0,(E3057-0.5*IF(3=Debt_Yr,0,E3360))*INDEX(Fin_Curve,1,3))-E3360-E3360*Fin_ExitFee)</f>
        <v>2705574.8894304</v>
      </c>
      <c r="G3663" s="71" t="n">
        <f aca="false">IF(4&gt;Hold_Yrs,0,G2754-IF(4&gt;Debt_Yr,0,(F3057-0.5*IF(4=Debt_Yr,0,F3360))*INDEX(Fin_Curve,1,4))-F3360-F3360*Fin_ExitFee)</f>
        <v>2519804.20063731</v>
      </c>
      <c r="H3663" s="71" t="n">
        <f aca="false">IF(5&gt;Hold_Yrs,0,H2754-IF(5&gt;Debt_Yr,0,(G3057-0.5*IF(5=Debt_Yr,0,G3360))*INDEX(Fin_Curve,1,5))-G3360-G3360*Fin_ExitFee)</f>
        <v>29446211.5815753</v>
      </c>
      <c r="I3663" s="71" t="n">
        <f aca="false">IF(6&gt;Hold_Yrs,0,I2754-IF(6&gt;Debt_Yr,0,(H3057-0.5*IF(6=Debt_Yr,0,H3360))*INDEX(Fin_Curve,1,6))-H3360-H3360*Fin_ExitFee)</f>
        <v>0</v>
      </c>
      <c r="J3663" s="71" t="n">
        <f aca="false">IF(7&gt;Hold_Yrs,0,J2754-IF(7&gt;Debt_Yr,0,(I3057-0.5*IF(7=Debt_Yr,0,I3360))*INDEX(Fin_Curve,1,7))-I3360-I3360*Fin_ExitFee)</f>
        <v>0</v>
      </c>
      <c r="K3663" s="71" t="n">
        <f aca="false">IF(8&gt;Hold_Yrs,0,K2754-IF(8&gt;Debt_Yr,0,(J3057-0.5*IF(8=Debt_Yr,0,J3360))*INDEX(Fin_Curve,1,8))-J3360-J3360*Fin_ExitFee)</f>
        <v>0</v>
      </c>
      <c r="L3663" s="71" t="n">
        <f aca="false">IF(9&gt;Hold_Yrs,0,L2754-IF(9&gt;Debt_Yr,0,(K3057-0.5*IF(9=Debt_Yr,0,K3360))*INDEX(Fin_Curve,1,9))-K3360-K3360*Fin_ExitFee)</f>
        <v>0</v>
      </c>
      <c r="M3663" s="71" t="n">
        <f aca="false">IF(10&gt;Hold_Yrs,0,M2754-IF(10&gt;Debt_Yr,0,(L3057-0.5*IF(10=Debt_Yr,0,L3360))*INDEX(Fin_Curve,1,10))-L3360-L3360*Fin_ExitFee)</f>
        <v>0</v>
      </c>
    </row>
    <row r="3664" customFormat="false" ht="15" hidden="false" customHeight="false" outlineLevel="0" collapsed="false">
      <c r="B3664" s="102" t="str">
        <f aca="false">'Loan Tape'!$A24</f>
        <v>L-021</v>
      </c>
      <c r="C3664" s="99" t="n">
        <f aca="false">-'Loan Tape'!$BE24</f>
        <v>-14235072.76</v>
      </c>
      <c r="D3664" s="99" t="n">
        <f aca="false">IF(1&gt;Hold_Yrs,0,D2755-IF(1&gt;Debt_Yr,0,(C3058-0.5*IF(1=Debt_Yr,0,C3361))*INDEX(Fin_Curve,1,1))-C3361-C3361*Fin_ExitFee)</f>
        <v>1276523.82223446</v>
      </c>
      <c r="E3664" s="99" t="n">
        <f aca="false">IF(2&gt;Hold_Yrs,0,E2755-IF(2&gt;Debt_Yr,0,(D3058-0.5*IF(2=Debt_Yr,0,D3361))*INDEX(Fin_Curve,1,2))-D3361-D3361*Fin_ExitFee)</f>
        <v>1144679.53756303</v>
      </c>
      <c r="F3664" s="99" t="n">
        <f aca="false">IF(3&gt;Hold_Yrs,0,F2755-IF(3&gt;Debt_Yr,0,(E3058-0.5*IF(3=Debt_Yr,0,E3361))*INDEX(Fin_Curve,1,3))-E3361-E3361*Fin_ExitFee)</f>
        <v>1055538.43374232</v>
      </c>
      <c r="G3664" s="99" t="n">
        <f aca="false">IF(4&gt;Hold_Yrs,0,G2755-IF(4&gt;Debt_Yr,0,(F3058-0.5*IF(4=Debt_Yr,0,F3361))*INDEX(Fin_Curve,1,4))-F3361-F3361*Fin_ExitFee)</f>
        <v>15514658.9253238</v>
      </c>
      <c r="H3664" s="99" t="n">
        <f aca="false">IF(5&gt;Hold_Yrs,0,H2755-IF(5&gt;Debt_Yr,0,(G3058-0.5*IF(5=Debt_Yr,0,G3361))*INDEX(Fin_Curve,1,5))-G3361-G3361*Fin_ExitFee)</f>
        <v>113076.908280493</v>
      </c>
      <c r="I3664" s="99" t="n">
        <f aca="false">IF(6&gt;Hold_Yrs,0,I2755-IF(6&gt;Debt_Yr,0,(H3058-0.5*IF(6=Debt_Yr,0,H3361))*INDEX(Fin_Curve,1,6))-H3361-H3361*Fin_ExitFee)</f>
        <v>0</v>
      </c>
      <c r="J3664" s="99" t="n">
        <f aca="false">IF(7&gt;Hold_Yrs,0,J2755-IF(7&gt;Debt_Yr,0,(I3058-0.5*IF(7=Debt_Yr,0,I3361))*INDEX(Fin_Curve,1,7))-I3361-I3361*Fin_ExitFee)</f>
        <v>0</v>
      </c>
      <c r="K3664" s="99" t="n">
        <f aca="false">IF(8&gt;Hold_Yrs,0,K2755-IF(8&gt;Debt_Yr,0,(J3058-0.5*IF(8=Debt_Yr,0,J3361))*INDEX(Fin_Curve,1,8))-J3361-J3361*Fin_ExitFee)</f>
        <v>0</v>
      </c>
      <c r="L3664" s="99" t="n">
        <f aca="false">IF(9&gt;Hold_Yrs,0,L2755-IF(9&gt;Debt_Yr,0,(K3058-0.5*IF(9=Debt_Yr,0,K3361))*INDEX(Fin_Curve,1,9))-K3361-K3361*Fin_ExitFee)</f>
        <v>0</v>
      </c>
      <c r="M3664" s="99" t="n">
        <f aca="false">IF(10&gt;Hold_Yrs,0,M2755-IF(10&gt;Debt_Yr,0,(L3058-0.5*IF(10=Debt_Yr,0,L3361))*INDEX(Fin_Curve,1,10))-L3361-L3361*Fin_ExitFee)</f>
        <v>0</v>
      </c>
    </row>
    <row r="3665" customFormat="false" ht="15" hidden="false" customHeight="false" outlineLevel="0" collapsed="false">
      <c r="B3665" s="108" t="str">
        <f aca="false">'Loan Tape'!$A25</f>
        <v>L-022</v>
      </c>
      <c r="C3665" s="71" t="n">
        <f aca="false">-'Loan Tape'!$BE25</f>
        <v>-2721661.62</v>
      </c>
      <c r="D3665" s="71" t="n">
        <f aca="false">IF(1&gt;Hold_Yrs,0,D2756-IF(1&gt;Debt_Yr,0,(C3059-0.5*IF(1=Debt_Yr,0,C3362))*INDEX(Fin_Curve,1,1))-C3362-C3362*Fin_ExitFee)</f>
        <v>78885.6782370339</v>
      </c>
      <c r="E3665" s="71" t="n">
        <f aca="false">IF(2&gt;Hold_Yrs,0,E2756-IF(2&gt;Debt_Yr,0,(D3059-0.5*IF(2=Debt_Yr,0,D3362))*INDEX(Fin_Curve,1,2))-D3362-D3362*Fin_ExitFee)</f>
        <v>3049834.79941976</v>
      </c>
      <c r="F3665" s="71" t="n">
        <f aca="false">IF(3&gt;Hold_Yrs,0,F2756-IF(3&gt;Debt_Yr,0,(E3059-0.5*IF(3=Debt_Yr,0,E3362))*INDEX(Fin_Curve,1,3))-E3362-E3362*Fin_ExitFee)</f>
        <v>70274.0049788602</v>
      </c>
      <c r="G3665" s="71" t="n">
        <f aca="false">IF(4&gt;Hold_Yrs,0,G2756-IF(4&gt;Debt_Yr,0,(F3059-0.5*IF(4=Debt_Yr,0,F3362))*INDEX(Fin_Curve,1,4))-F3362-F3362*Fin_ExitFee)</f>
        <v>0</v>
      </c>
      <c r="H3665" s="71" t="n">
        <f aca="false">IF(5&gt;Hold_Yrs,0,H2756-IF(5&gt;Debt_Yr,0,(G3059-0.5*IF(5=Debt_Yr,0,G3362))*INDEX(Fin_Curve,1,5))-G3362-G3362*Fin_ExitFee)</f>
        <v>0</v>
      </c>
      <c r="I3665" s="71" t="n">
        <f aca="false">IF(6&gt;Hold_Yrs,0,I2756-IF(6&gt;Debt_Yr,0,(H3059-0.5*IF(6=Debt_Yr,0,H3362))*INDEX(Fin_Curve,1,6))-H3362-H3362*Fin_ExitFee)</f>
        <v>0</v>
      </c>
      <c r="J3665" s="71" t="n">
        <f aca="false">IF(7&gt;Hold_Yrs,0,J2756-IF(7&gt;Debt_Yr,0,(I3059-0.5*IF(7=Debt_Yr,0,I3362))*INDEX(Fin_Curve,1,7))-I3362-I3362*Fin_ExitFee)</f>
        <v>0</v>
      </c>
      <c r="K3665" s="71" t="n">
        <f aca="false">IF(8&gt;Hold_Yrs,0,K2756-IF(8&gt;Debt_Yr,0,(J3059-0.5*IF(8=Debt_Yr,0,J3362))*INDEX(Fin_Curve,1,8))-J3362-J3362*Fin_ExitFee)</f>
        <v>0</v>
      </c>
      <c r="L3665" s="71" t="n">
        <f aca="false">IF(9&gt;Hold_Yrs,0,L2756-IF(9&gt;Debt_Yr,0,(K3059-0.5*IF(9=Debt_Yr,0,K3362))*INDEX(Fin_Curve,1,9))-K3362-K3362*Fin_ExitFee)</f>
        <v>0</v>
      </c>
      <c r="M3665" s="71" t="n">
        <f aca="false">IF(10&gt;Hold_Yrs,0,M2756-IF(10&gt;Debt_Yr,0,(L3059-0.5*IF(10=Debt_Yr,0,L3362))*INDEX(Fin_Curve,1,10))-L3362-L3362*Fin_ExitFee)</f>
        <v>0</v>
      </c>
    </row>
    <row r="3666" customFormat="false" ht="15" hidden="false" customHeight="false" outlineLevel="0" collapsed="false">
      <c r="B3666" s="102" t="str">
        <f aca="false">'Loan Tape'!$A26</f>
        <v>L-023</v>
      </c>
      <c r="C3666" s="99" t="n">
        <f aca="false">-'Loan Tape'!$BE26</f>
        <v>-29558655.22</v>
      </c>
      <c r="D3666" s="99" t="n">
        <f aca="false">IF(1&gt;Hold_Yrs,0,D2757-IF(1&gt;Debt_Yr,0,(C3060-0.5*IF(1=Debt_Yr,0,C3363))*INDEX(Fin_Curve,1,1))-C3363-C3363*Fin_ExitFee)</f>
        <v>31655544.1</v>
      </c>
      <c r="E3666" s="99" t="n">
        <f aca="false">IF(2&gt;Hold_Yrs,0,E2757-IF(2&gt;Debt_Yr,0,(D3060-0.5*IF(2=Debt_Yr,0,D3363))*INDEX(Fin_Curve,1,2))-D3363-D3363*Fin_ExitFee)</f>
        <v>0</v>
      </c>
      <c r="F3666" s="99" t="n">
        <f aca="false">IF(3&gt;Hold_Yrs,0,F2757-IF(3&gt;Debt_Yr,0,(E3060-0.5*IF(3=Debt_Yr,0,E3363))*INDEX(Fin_Curve,1,3))-E3363-E3363*Fin_ExitFee)</f>
        <v>0</v>
      </c>
      <c r="G3666" s="99" t="n">
        <f aca="false">IF(4&gt;Hold_Yrs,0,G2757-IF(4&gt;Debt_Yr,0,(F3060-0.5*IF(4=Debt_Yr,0,F3363))*INDEX(Fin_Curve,1,4))-F3363-F3363*Fin_ExitFee)</f>
        <v>0</v>
      </c>
      <c r="H3666" s="99" t="n">
        <f aca="false">IF(5&gt;Hold_Yrs,0,H2757-IF(5&gt;Debt_Yr,0,(G3060-0.5*IF(5=Debt_Yr,0,G3363))*INDEX(Fin_Curve,1,5))-G3363-G3363*Fin_ExitFee)</f>
        <v>0</v>
      </c>
      <c r="I3666" s="99" t="n">
        <f aca="false">IF(6&gt;Hold_Yrs,0,I2757-IF(6&gt;Debt_Yr,0,(H3060-0.5*IF(6=Debt_Yr,0,H3363))*INDEX(Fin_Curve,1,6))-H3363-H3363*Fin_ExitFee)</f>
        <v>0</v>
      </c>
      <c r="J3666" s="99" t="n">
        <f aca="false">IF(7&gt;Hold_Yrs,0,J2757-IF(7&gt;Debt_Yr,0,(I3060-0.5*IF(7=Debt_Yr,0,I3363))*INDEX(Fin_Curve,1,7))-I3363-I3363*Fin_ExitFee)</f>
        <v>0</v>
      </c>
      <c r="K3666" s="99" t="n">
        <f aca="false">IF(8&gt;Hold_Yrs,0,K2757-IF(8&gt;Debt_Yr,0,(J3060-0.5*IF(8=Debt_Yr,0,J3363))*INDEX(Fin_Curve,1,8))-J3363-J3363*Fin_ExitFee)</f>
        <v>0</v>
      </c>
      <c r="L3666" s="99" t="n">
        <f aca="false">IF(9&gt;Hold_Yrs,0,L2757-IF(9&gt;Debt_Yr,0,(K3060-0.5*IF(9=Debt_Yr,0,K3363))*INDEX(Fin_Curve,1,9))-K3363-K3363*Fin_ExitFee)</f>
        <v>0</v>
      </c>
      <c r="M3666" s="99" t="n">
        <f aca="false">IF(10&gt;Hold_Yrs,0,M2757-IF(10&gt;Debt_Yr,0,(L3060-0.5*IF(10=Debt_Yr,0,L3363))*INDEX(Fin_Curve,1,10))-L3363-L3363*Fin_ExitFee)</f>
        <v>0</v>
      </c>
    </row>
    <row r="3667" customFormat="false" ht="15" hidden="false" customHeight="false" outlineLevel="0" collapsed="false">
      <c r="B3667" s="108" t="str">
        <f aca="false">'Loan Tape'!$A27</f>
        <v>L-024</v>
      </c>
      <c r="C3667" s="71" t="n">
        <f aca="false">-'Loan Tape'!$BE27</f>
        <v>-6830495.21</v>
      </c>
      <c r="D3667" s="71" t="n">
        <f aca="false">IF(1&gt;Hold_Yrs,0,D2758-IF(1&gt;Debt_Yr,0,(C3061-0.5*IF(1=Debt_Yr,0,C3364))*INDEX(Fin_Curve,1,1))-C3364-C3364*Fin_ExitFee)</f>
        <v>650093.444</v>
      </c>
      <c r="E3667" s="71" t="n">
        <f aca="false">IF(2&gt;Hold_Yrs,0,E2758-IF(2&gt;Debt_Yr,0,(D3061-0.5*IF(2=Debt_Yr,0,D3364))*INDEX(Fin_Curve,1,2))-D3364-D3364*Fin_ExitFee)</f>
        <v>583480.20192</v>
      </c>
      <c r="F3667" s="71" t="n">
        <f aca="false">IF(3&gt;Hold_Yrs,0,F2758-IF(3&gt;Debt_Yr,0,(E3061-0.5*IF(3=Debt_Yr,0,E3364))*INDEX(Fin_Curve,1,3))-E3364-E3364*Fin_ExitFee)</f>
        <v>537576.3399776</v>
      </c>
      <c r="G3667" s="71" t="n">
        <f aca="false">IF(4&gt;Hold_Yrs,0,G2758-IF(4&gt;Debt_Yr,0,(F3061-0.5*IF(4=Debt_Yr,0,F3364))*INDEX(Fin_Curve,1,4))-F3364-F3364*Fin_ExitFee)</f>
        <v>7730009.84358097</v>
      </c>
      <c r="H3667" s="71" t="n">
        <f aca="false">IF(5&gt;Hold_Yrs,0,H2758-IF(5&gt;Debt_Yr,0,(G3061-0.5*IF(5=Debt_Yr,0,G3364))*INDEX(Fin_Curve,1,5))-G3364-G3364*Fin_ExitFee)</f>
        <v>154872.506818672</v>
      </c>
      <c r="I3667" s="71" t="n">
        <f aca="false">IF(6&gt;Hold_Yrs,0,I2758-IF(6&gt;Debt_Yr,0,(H3061-0.5*IF(6=Debt_Yr,0,H3364))*INDEX(Fin_Curve,1,6))-H3364-H3364*Fin_ExitFee)</f>
        <v>0</v>
      </c>
      <c r="J3667" s="71" t="n">
        <f aca="false">IF(7&gt;Hold_Yrs,0,J2758-IF(7&gt;Debt_Yr,0,(I3061-0.5*IF(7=Debt_Yr,0,I3364))*INDEX(Fin_Curve,1,7))-I3364-I3364*Fin_ExitFee)</f>
        <v>0</v>
      </c>
      <c r="K3667" s="71" t="n">
        <f aca="false">IF(8&gt;Hold_Yrs,0,K2758-IF(8&gt;Debt_Yr,0,(J3061-0.5*IF(8=Debt_Yr,0,J3364))*INDEX(Fin_Curve,1,8))-J3364-J3364*Fin_ExitFee)</f>
        <v>0</v>
      </c>
      <c r="L3667" s="71" t="n">
        <f aca="false">IF(9&gt;Hold_Yrs,0,L2758-IF(9&gt;Debt_Yr,0,(K3061-0.5*IF(9=Debt_Yr,0,K3364))*INDEX(Fin_Curve,1,9))-K3364-K3364*Fin_ExitFee)</f>
        <v>0</v>
      </c>
      <c r="M3667" s="71" t="n">
        <f aca="false">IF(10&gt;Hold_Yrs,0,M2758-IF(10&gt;Debt_Yr,0,(L3061-0.5*IF(10=Debt_Yr,0,L3364))*INDEX(Fin_Curve,1,10))-L3364-L3364*Fin_ExitFee)</f>
        <v>0</v>
      </c>
    </row>
    <row r="3668" customFormat="false" ht="15" hidden="false" customHeight="false" outlineLevel="0" collapsed="false">
      <c r="B3668" s="102" t="str">
        <f aca="false">'Loan Tape'!$A28</f>
        <v>L-025</v>
      </c>
      <c r="C3668" s="99" t="n">
        <f aca="false">-'Loan Tape'!$BE28</f>
        <v>-5722617.01</v>
      </c>
      <c r="D3668" s="99" t="n">
        <f aca="false">IF(1&gt;Hold_Yrs,0,D2759-IF(1&gt;Debt_Yr,0,(C3062-0.5*IF(1=Debt_Yr,0,C3365))*INDEX(Fin_Curve,1,1))-C3365-C3365*Fin_ExitFee)</f>
        <v>211678.407291604</v>
      </c>
      <c r="E3668" s="99" t="n">
        <f aca="false">IF(2&gt;Hold_Yrs,0,E2759-IF(2&gt;Debt_Yr,0,(D3062-0.5*IF(2=Debt_Yr,0,D3365))*INDEX(Fin_Curve,1,2))-D3365-D3365*Fin_ExitFee)</f>
        <v>259529.593488877</v>
      </c>
      <c r="F3668" s="99" t="n">
        <f aca="false">IF(3&gt;Hold_Yrs,0,F2759-IF(3&gt;Debt_Yr,0,(E3062-0.5*IF(3=Debt_Yr,0,E3365))*INDEX(Fin_Curve,1,3))-E3365-E3365*Fin_ExitFee)</f>
        <v>292449.268219195</v>
      </c>
      <c r="G3668" s="99" t="n">
        <f aca="false">IF(4&gt;Hold_Yrs,0,G2759-IF(4&gt;Debt_Yr,0,(F3062-0.5*IF(4=Debt_Yr,0,F3365))*INDEX(Fin_Curve,1,4))-F3365-F3365*Fin_ExitFee)</f>
        <v>6181703.66859505</v>
      </c>
      <c r="H3668" s="99" t="n">
        <f aca="false">IF(5&gt;Hold_Yrs,0,H2759-IF(5&gt;Debt_Yr,0,(G3062-0.5*IF(5=Debt_Yr,0,G3365))*INDEX(Fin_Curve,1,5))-G3365-G3365*Fin_ExitFee)</f>
        <v>33598.3946836947</v>
      </c>
      <c r="I3668" s="99" t="n">
        <f aca="false">IF(6&gt;Hold_Yrs,0,I2759-IF(6&gt;Debt_Yr,0,(H3062-0.5*IF(6=Debt_Yr,0,H3365))*INDEX(Fin_Curve,1,6))-H3365-H3365*Fin_ExitFee)</f>
        <v>0</v>
      </c>
      <c r="J3668" s="99" t="n">
        <f aca="false">IF(7&gt;Hold_Yrs,0,J2759-IF(7&gt;Debt_Yr,0,(I3062-0.5*IF(7=Debt_Yr,0,I3365))*INDEX(Fin_Curve,1,7))-I3365-I3365*Fin_ExitFee)</f>
        <v>0</v>
      </c>
      <c r="K3668" s="99" t="n">
        <f aca="false">IF(8&gt;Hold_Yrs,0,K2759-IF(8&gt;Debt_Yr,0,(J3062-0.5*IF(8=Debt_Yr,0,J3365))*INDEX(Fin_Curve,1,8))-J3365-J3365*Fin_ExitFee)</f>
        <v>0</v>
      </c>
      <c r="L3668" s="99" t="n">
        <f aca="false">IF(9&gt;Hold_Yrs,0,L2759-IF(9&gt;Debt_Yr,0,(K3062-0.5*IF(9=Debt_Yr,0,K3365))*INDEX(Fin_Curve,1,9))-K3365-K3365*Fin_ExitFee)</f>
        <v>0</v>
      </c>
      <c r="M3668" s="99" t="n">
        <f aca="false">IF(10&gt;Hold_Yrs,0,M2759-IF(10&gt;Debt_Yr,0,(L3062-0.5*IF(10=Debt_Yr,0,L3365))*INDEX(Fin_Curve,1,10))-L3365-L3365*Fin_ExitFee)</f>
        <v>0</v>
      </c>
    </row>
    <row r="3669" customFormat="false" ht="15" hidden="false" customHeight="false" outlineLevel="0" collapsed="false">
      <c r="B3669" s="108" t="str">
        <f aca="false">'Loan Tape'!$A29</f>
        <v>L-026</v>
      </c>
      <c r="C3669" s="71" t="n">
        <f aca="false">-'Loan Tape'!$BE29</f>
        <v>-34823400.89</v>
      </c>
      <c r="D3669" s="71" t="n">
        <f aca="false">IF(1&gt;Hold_Yrs,0,D2760-IF(1&gt;Debt_Yr,0,(C3063-0.5*IF(1=Debt_Yr,0,C3366))*INDEX(Fin_Curve,1,1))-C3366-C3366*Fin_ExitFee)</f>
        <v>42971305.382</v>
      </c>
      <c r="E3669" s="71" t="n">
        <f aca="false">IF(2&gt;Hold_Yrs,0,E2760-IF(2&gt;Debt_Yr,0,(D3063-0.5*IF(2=Debt_Yr,0,D3366))*INDEX(Fin_Curve,1,2))-D3366-D3366*Fin_ExitFee)</f>
        <v>1258558</v>
      </c>
      <c r="F3669" s="71" t="n">
        <f aca="false">IF(3&gt;Hold_Yrs,0,F2760-IF(3&gt;Debt_Yr,0,(E3063-0.5*IF(3=Debt_Yr,0,E3366))*INDEX(Fin_Curve,1,3))-E3366-E3366*Fin_ExitFee)</f>
        <v>0</v>
      </c>
      <c r="G3669" s="71" t="n">
        <f aca="false">IF(4&gt;Hold_Yrs,0,G2760-IF(4&gt;Debt_Yr,0,(F3063-0.5*IF(4=Debt_Yr,0,F3366))*INDEX(Fin_Curve,1,4))-F3366-F3366*Fin_ExitFee)</f>
        <v>0</v>
      </c>
      <c r="H3669" s="71" t="n">
        <f aca="false">IF(5&gt;Hold_Yrs,0,H2760-IF(5&gt;Debt_Yr,0,(G3063-0.5*IF(5=Debt_Yr,0,G3366))*INDEX(Fin_Curve,1,5))-G3366-G3366*Fin_ExitFee)</f>
        <v>0</v>
      </c>
      <c r="I3669" s="71" t="n">
        <f aca="false">IF(6&gt;Hold_Yrs,0,I2760-IF(6&gt;Debt_Yr,0,(H3063-0.5*IF(6=Debt_Yr,0,H3366))*INDEX(Fin_Curve,1,6))-H3366-H3366*Fin_ExitFee)</f>
        <v>0</v>
      </c>
      <c r="J3669" s="71" t="n">
        <f aca="false">IF(7&gt;Hold_Yrs,0,J2760-IF(7&gt;Debt_Yr,0,(I3063-0.5*IF(7=Debt_Yr,0,I3366))*INDEX(Fin_Curve,1,7))-I3366-I3366*Fin_ExitFee)</f>
        <v>0</v>
      </c>
      <c r="K3669" s="71" t="n">
        <f aca="false">IF(8&gt;Hold_Yrs,0,K2760-IF(8&gt;Debt_Yr,0,(J3063-0.5*IF(8=Debt_Yr,0,J3366))*INDEX(Fin_Curve,1,8))-J3366-J3366*Fin_ExitFee)</f>
        <v>0</v>
      </c>
      <c r="L3669" s="71" t="n">
        <f aca="false">IF(9&gt;Hold_Yrs,0,L2760-IF(9&gt;Debt_Yr,0,(K3063-0.5*IF(9=Debt_Yr,0,K3366))*INDEX(Fin_Curve,1,9))-K3366-K3366*Fin_ExitFee)</f>
        <v>0</v>
      </c>
      <c r="M3669" s="71" t="n">
        <f aca="false">IF(10&gt;Hold_Yrs,0,M2760-IF(10&gt;Debt_Yr,0,(L3063-0.5*IF(10=Debt_Yr,0,L3366))*INDEX(Fin_Curve,1,10))-L3366-L3366*Fin_ExitFee)</f>
        <v>0</v>
      </c>
    </row>
    <row r="3670" customFormat="false" ht="15" hidden="false" customHeight="false" outlineLevel="0" collapsed="false">
      <c r="B3670" s="102" t="str">
        <f aca="false">'Loan Tape'!$A30</f>
        <v>L-027</v>
      </c>
      <c r="C3670" s="99" t="n">
        <f aca="false">-'Loan Tape'!$BE30</f>
        <v>-34274884.97</v>
      </c>
      <c r="D3670" s="99" t="n">
        <f aca="false">IF(1&gt;Hold_Yrs,0,D2761-IF(1&gt;Debt_Yr,0,(C3064-0.5*IF(1=Debt_Yr,0,C3367))*INDEX(Fin_Curve,1,1))-C3367-C3367*Fin_ExitFee)</f>
        <v>3403510.146</v>
      </c>
      <c r="E3670" s="99" t="n">
        <f aca="false">IF(2&gt;Hold_Yrs,0,E2761-IF(2&gt;Debt_Yr,0,(D3064-0.5*IF(2=Debt_Yr,0,D3367))*INDEX(Fin_Curve,1,2))-D3367-D3367*Fin_ExitFee)</f>
        <v>3052283.04688</v>
      </c>
      <c r="F3670" s="99" t="n">
        <f aca="false">IF(3&gt;Hold_Yrs,0,F2761-IF(3&gt;Debt_Yr,0,(E3064-0.5*IF(3=Debt_Yr,0,E3367))*INDEX(Fin_Curve,1,3))-E3367-E3367*Fin_ExitFee)</f>
        <v>2807010.0340704</v>
      </c>
      <c r="G3670" s="99" t="n">
        <f aca="false">IF(4&gt;Hold_Yrs,0,G2761-IF(4&gt;Debt_Yr,0,(F3064-0.5*IF(4=Debt_Yr,0,F3367))*INDEX(Fin_Curve,1,4))-F3367-F3367*Fin_ExitFee)</f>
        <v>37800524.5475347</v>
      </c>
      <c r="H3670" s="99" t="n">
        <f aca="false">IF(5&gt;Hold_Yrs,0,H2761-IF(5&gt;Debt_Yr,0,(G3064-0.5*IF(5=Debt_Yr,0,G3367))*INDEX(Fin_Curve,1,5))-G3367-G3367*Fin_ExitFee)</f>
        <v>423525.762639551</v>
      </c>
      <c r="I3670" s="99" t="n">
        <f aca="false">IF(6&gt;Hold_Yrs,0,I2761-IF(6&gt;Debt_Yr,0,(H3064-0.5*IF(6=Debt_Yr,0,H3367))*INDEX(Fin_Curve,1,6))-H3367-H3367*Fin_ExitFee)</f>
        <v>0</v>
      </c>
      <c r="J3670" s="99" t="n">
        <f aca="false">IF(7&gt;Hold_Yrs,0,J2761-IF(7&gt;Debt_Yr,0,(I3064-0.5*IF(7=Debt_Yr,0,I3367))*INDEX(Fin_Curve,1,7))-I3367-I3367*Fin_ExitFee)</f>
        <v>0</v>
      </c>
      <c r="K3670" s="99" t="n">
        <f aca="false">IF(8&gt;Hold_Yrs,0,K2761-IF(8&gt;Debt_Yr,0,(J3064-0.5*IF(8=Debt_Yr,0,J3367))*INDEX(Fin_Curve,1,8))-J3367-J3367*Fin_ExitFee)</f>
        <v>0</v>
      </c>
      <c r="L3670" s="99" t="n">
        <f aca="false">IF(9&gt;Hold_Yrs,0,L2761-IF(9&gt;Debt_Yr,0,(K3064-0.5*IF(9=Debt_Yr,0,K3367))*INDEX(Fin_Curve,1,9))-K3367-K3367*Fin_ExitFee)</f>
        <v>0</v>
      </c>
      <c r="M3670" s="99" t="n">
        <f aca="false">IF(10&gt;Hold_Yrs,0,M2761-IF(10&gt;Debt_Yr,0,(L3064-0.5*IF(10=Debt_Yr,0,L3367))*INDEX(Fin_Curve,1,10))-L3367-L3367*Fin_ExitFee)</f>
        <v>0</v>
      </c>
    </row>
    <row r="3671" customFormat="false" ht="15" hidden="false" customHeight="false" outlineLevel="0" collapsed="false">
      <c r="B3671" s="108" t="str">
        <f aca="false">'Loan Tape'!$A31</f>
        <v>L-028</v>
      </c>
      <c r="C3671" s="71" t="n">
        <f aca="false">-'Loan Tape'!$BE31</f>
        <v>-33462957.45</v>
      </c>
      <c r="D3671" s="71" t="n">
        <f aca="false">IF(1&gt;Hold_Yrs,0,D2762-IF(1&gt;Debt_Yr,0,(C3065-0.5*IF(1=Debt_Yr,0,C3368))*INDEX(Fin_Curve,1,1))-C3368-C3368*Fin_ExitFee)</f>
        <v>35836817.25</v>
      </c>
      <c r="E3671" s="71" t="n">
        <f aca="false">IF(2&gt;Hold_Yrs,0,E2762-IF(2&gt;Debt_Yr,0,(D3065-0.5*IF(2=Debt_Yr,0,D3368))*INDEX(Fin_Curve,1,2))-D3368-D3368*Fin_ExitFee)</f>
        <v>0</v>
      </c>
      <c r="F3671" s="71" t="n">
        <f aca="false">IF(3&gt;Hold_Yrs,0,F2762-IF(3&gt;Debt_Yr,0,(E3065-0.5*IF(3=Debt_Yr,0,E3368))*INDEX(Fin_Curve,1,3))-E3368-E3368*Fin_ExitFee)</f>
        <v>0</v>
      </c>
      <c r="G3671" s="71" t="n">
        <f aca="false">IF(4&gt;Hold_Yrs,0,G2762-IF(4&gt;Debt_Yr,0,(F3065-0.5*IF(4=Debt_Yr,0,F3368))*INDEX(Fin_Curve,1,4))-F3368-F3368*Fin_ExitFee)</f>
        <v>0</v>
      </c>
      <c r="H3671" s="71" t="n">
        <f aca="false">IF(5&gt;Hold_Yrs,0,H2762-IF(5&gt;Debt_Yr,0,(G3065-0.5*IF(5=Debt_Yr,0,G3368))*INDEX(Fin_Curve,1,5))-G3368-G3368*Fin_ExitFee)</f>
        <v>0</v>
      </c>
      <c r="I3671" s="71" t="n">
        <f aca="false">IF(6&gt;Hold_Yrs,0,I2762-IF(6&gt;Debt_Yr,0,(H3065-0.5*IF(6=Debt_Yr,0,H3368))*INDEX(Fin_Curve,1,6))-H3368-H3368*Fin_ExitFee)</f>
        <v>0</v>
      </c>
      <c r="J3671" s="71" t="n">
        <f aca="false">IF(7&gt;Hold_Yrs,0,J2762-IF(7&gt;Debt_Yr,0,(I3065-0.5*IF(7=Debt_Yr,0,I3368))*INDEX(Fin_Curve,1,7))-I3368-I3368*Fin_ExitFee)</f>
        <v>0</v>
      </c>
      <c r="K3671" s="71" t="n">
        <f aca="false">IF(8&gt;Hold_Yrs,0,K2762-IF(8&gt;Debt_Yr,0,(J3065-0.5*IF(8=Debt_Yr,0,J3368))*INDEX(Fin_Curve,1,8))-J3368-J3368*Fin_ExitFee)</f>
        <v>0</v>
      </c>
      <c r="L3671" s="71" t="n">
        <f aca="false">IF(9&gt;Hold_Yrs,0,L2762-IF(9&gt;Debt_Yr,0,(K3065-0.5*IF(9=Debt_Yr,0,K3368))*INDEX(Fin_Curve,1,9))-K3368-K3368*Fin_ExitFee)</f>
        <v>0</v>
      </c>
      <c r="M3671" s="71" t="n">
        <f aca="false">IF(10&gt;Hold_Yrs,0,M2762-IF(10&gt;Debt_Yr,0,(L3065-0.5*IF(10=Debt_Yr,0,L3368))*INDEX(Fin_Curve,1,10))-L3368-L3368*Fin_ExitFee)</f>
        <v>0</v>
      </c>
    </row>
    <row r="3672" customFormat="false" ht="15" hidden="false" customHeight="false" outlineLevel="0" collapsed="false">
      <c r="B3672" s="102" t="str">
        <f aca="false">'Loan Tape'!$A32</f>
        <v>L-029</v>
      </c>
      <c r="C3672" s="99" t="n">
        <f aca="false">-'Loan Tape'!$BE32</f>
        <v>-16937753.25</v>
      </c>
      <c r="D3672" s="99" t="n">
        <f aca="false">IF(1&gt;Hold_Yrs,0,D2763-IF(1&gt;Debt_Yr,0,(C3066-0.5*IF(1=Debt_Yr,0,C3369))*INDEX(Fin_Curve,1,1))-C3369-C3369*Fin_ExitFee)</f>
        <v>18139316.25</v>
      </c>
      <c r="E3672" s="99" t="n">
        <f aca="false">IF(2&gt;Hold_Yrs,0,E2763-IF(2&gt;Debt_Yr,0,(D3066-0.5*IF(2=Debt_Yr,0,D3369))*INDEX(Fin_Curve,1,2))-D3369-D3369*Fin_ExitFee)</f>
        <v>0</v>
      </c>
      <c r="F3672" s="99" t="n">
        <f aca="false">IF(3&gt;Hold_Yrs,0,F2763-IF(3&gt;Debt_Yr,0,(E3066-0.5*IF(3=Debt_Yr,0,E3369))*INDEX(Fin_Curve,1,3))-E3369-E3369*Fin_ExitFee)</f>
        <v>0</v>
      </c>
      <c r="G3672" s="99" t="n">
        <f aca="false">IF(4&gt;Hold_Yrs,0,G2763-IF(4&gt;Debt_Yr,0,(F3066-0.5*IF(4=Debt_Yr,0,F3369))*INDEX(Fin_Curve,1,4))-F3369-F3369*Fin_ExitFee)</f>
        <v>0</v>
      </c>
      <c r="H3672" s="99" t="n">
        <f aca="false">IF(5&gt;Hold_Yrs,0,H2763-IF(5&gt;Debt_Yr,0,(G3066-0.5*IF(5=Debt_Yr,0,G3369))*INDEX(Fin_Curve,1,5))-G3369-G3369*Fin_ExitFee)</f>
        <v>0</v>
      </c>
      <c r="I3672" s="99" t="n">
        <f aca="false">IF(6&gt;Hold_Yrs,0,I2763-IF(6&gt;Debt_Yr,0,(H3066-0.5*IF(6=Debt_Yr,0,H3369))*INDEX(Fin_Curve,1,6))-H3369-H3369*Fin_ExitFee)</f>
        <v>0</v>
      </c>
      <c r="J3672" s="99" t="n">
        <f aca="false">IF(7&gt;Hold_Yrs,0,J2763-IF(7&gt;Debt_Yr,0,(I3066-0.5*IF(7=Debt_Yr,0,I3369))*INDEX(Fin_Curve,1,7))-I3369-I3369*Fin_ExitFee)</f>
        <v>0</v>
      </c>
      <c r="K3672" s="99" t="n">
        <f aca="false">IF(8&gt;Hold_Yrs,0,K2763-IF(8&gt;Debt_Yr,0,(J3066-0.5*IF(8=Debt_Yr,0,J3369))*INDEX(Fin_Curve,1,8))-J3369-J3369*Fin_ExitFee)</f>
        <v>0</v>
      </c>
      <c r="L3672" s="99" t="n">
        <f aca="false">IF(9&gt;Hold_Yrs,0,L2763-IF(9&gt;Debt_Yr,0,(K3066-0.5*IF(9=Debt_Yr,0,K3369))*INDEX(Fin_Curve,1,9))-K3369-K3369*Fin_ExitFee)</f>
        <v>0</v>
      </c>
      <c r="M3672" s="99" t="n">
        <f aca="false">IF(10&gt;Hold_Yrs,0,M2763-IF(10&gt;Debt_Yr,0,(L3066-0.5*IF(10=Debt_Yr,0,L3369))*INDEX(Fin_Curve,1,10))-L3369-L3369*Fin_ExitFee)</f>
        <v>0</v>
      </c>
    </row>
    <row r="3673" customFormat="false" ht="15" hidden="false" customHeight="false" outlineLevel="0" collapsed="false">
      <c r="B3673" s="108" t="str">
        <f aca="false">'Loan Tape'!$A33</f>
        <v>L-030</v>
      </c>
      <c r="C3673" s="71" t="n">
        <f aca="false">-'Loan Tape'!$BE33</f>
        <v>-5499104.52</v>
      </c>
      <c r="D3673" s="71" t="n">
        <f aca="false">IF(1&gt;Hold_Yrs,0,D2764-IF(1&gt;Debt_Yr,0,(C3067-0.5*IF(1=Debt_Yr,0,C3370))*INDEX(Fin_Curve,1,1))-C3370-C3370*Fin_ExitFee)</f>
        <v>556584.844227905</v>
      </c>
      <c r="E3673" s="71" t="n">
        <f aca="false">IF(2&gt;Hold_Yrs,0,E2764-IF(2&gt;Debt_Yr,0,(D3067-0.5*IF(2=Debt_Yr,0,D3370))*INDEX(Fin_Curve,1,2))-D3370-D3370*Fin_ExitFee)</f>
        <v>509541.711158111</v>
      </c>
      <c r="F3673" s="71" t="n">
        <f aca="false">IF(3&gt;Hold_Yrs,0,F2764-IF(3&gt;Debt_Yr,0,(E3067-0.5*IF(3=Debt_Yr,0,E3370))*INDEX(Fin_Curve,1,3))-E3370-E3370*Fin_ExitFee)</f>
        <v>465733.664864753</v>
      </c>
      <c r="G3673" s="71" t="n">
        <f aca="false">IF(4&gt;Hold_Yrs,0,G2764-IF(4&gt;Debt_Yr,0,(F3067-0.5*IF(4=Debt_Yr,0,F3370))*INDEX(Fin_Curve,1,4))-F3370-F3370*Fin_ExitFee)</f>
        <v>436424.18169891</v>
      </c>
      <c r="H3673" s="71" t="n">
        <f aca="false">IF(5&gt;Hold_Yrs,0,H2764-IF(5&gt;Debt_Yr,0,(G3067-0.5*IF(5=Debt_Yr,0,G3370))*INDEX(Fin_Curve,1,5))-G3370-G3370*Fin_ExitFee)</f>
        <v>5952541.89973851</v>
      </c>
      <c r="I3673" s="71" t="n">
        <f aca="false">IF(6&gt;Hold_Yrs,0,I2764-IF(6&gt;Debt_Yr,0,(H3067-0.5*IF(6=Debt_Yr,0,H3370))*INDEX(Fin_Curve,1,6))-H3370-H3370*Fin_ExitFee)</f>
        <v>0</v>
      </c>
      <c r="J3673" s="71" t="n">
        <f aca="false">IF(7&gt;Hold_Yrs,0,J2764-IF(7&gt;Debt_Yr,0,(I3067-0.5*IF(7=Debt_Yr,0,I3370))*INDEX(Fin_Curve,1,7))-I3370-I3370*Fin_ExitFee)</f>
        <v>0</v>
      </c>
      <c r="K3673" s="71" t="n">
        <f aca="false">IF(8&gt;Hold_Yrs,0,K2764-IF(8&gt;Debt_Yr,0,(J3067-0.5*IF(8=Debt_Yr,0,J3370))*INDEX(Fin_Curve,1,8))-J3370-J3370*Fin_ExitFee)</f>
        <v>0</v>
      </c>
      <c r="L3673" s="71" t="n">
        <f aca="false">IF(9&gt;Hold_Yrs,0,L2764-IF(9&gt;Debt_Yr,0,(K3067-0.5*IF(9=Debt_Yr,0,K3370))*INDEX(Fin_Curve,1,9))-K3370-K3370*Fin_ExitFee)</f>
        <v>0</v>
      </c>
      <c r="M3673" s="71" t="n">
        <f aca="false">IF(10&gt;Hold_Yrs,0,M2764-IF(10&gt;Debt_Yr,0,(L3067-0.5*IF(10=Debt_Yr,0,L3370))*INDEX(Fin_Curve,1,10))-L3370-L3370*Fin_ExitFee)</f>
        <v>0</v>
      </c>
    </row>
    <row r="3674" customFormat="false" ht="15" hidden="false" customHeight="false" outlineLevel="0" collapsed="false">
      <c r="B3674" s="102" t="str">
        <f aca="false">'Loan Tape'!$A34</f>
        <v>L-031</v>
      </c>
      <c r="C3674" s="99" t="n">
        <f aca="false">-'Loan Tape'!$BE34</f>
        <v>-4512473.13</v>
      </c>
      <c r="D3674" s="99" t="n">
        <f aca="false">IF(1&gt;Hold_Yrs,0,D2765-IF(1&gt;Debt_Yr,0,(C3068-0.5*IF(1=Debt_Yr,0,C3371))*INDEX(Fin_Curve,1,1))-C3371-C3371*Fin_ExitFee)</f>
        <v>434950.362</v>
      </c>
      <c r="E3674" s="99" t="n">
        <f aca="false">IF(2&gt;Hold_Yrs,0,E2765-IF(2&gt;Debt_Yr,0,(D3068-0.5*IF(2=Debt_Yr,0,D3371))*INDEX(Fin_Curve,1,2))-D3371-D3371*Fin_ExitFee)</f>
        <v>4955512.92047023</v>
      </c>
      <c r="F3674" s="99" t="n">
        <f aca="false">IF(3&gt;Hold_Yrs,0,F2765-IF(3&gt;Debt_Yr,0,(E3068-0.5*IF(3=Debt_Yr,0,E3371))*INDEX(Fin_Curve,1,3))-E3371-E3371*Fin_ExitFee)</f>
        <v>36443.7489938398</v>
      </c>
      <c r="G3674" s="99" t="n">
        <f aca="false">IF(4&gt;Hold_Yrs,0,G2765-IF(4&gt;Debt_Yr,0,(F3068-0.5*IF(4=Debt_Yr,0,F3371))*INDEX(Fin_Curve,1,4))-F3371-F3371*Fin_ExitFee)</f>
        <v>0</v>
      </c>
      <c r="H3674" s="99" t="n">
        <f aca="false">IF(5&gt;Hold_Yrs,0,H2765-IF(5&gt;Debt_Yr,0,(G3068-0.5*IF(5=Debt_Yr,0,G3371))*INDEX(Fin_Curve,1,5))-G3371-G3371*Fin_ExitFee)</f>
        <v>0</v>
      </c>
      <c r="I3674" s="99" t="n">
        <f aca="false">IF(6&gt;Hold_Yrs,0,I2765-IF(6&gt;Debt_Yr,0,(H3068-0.5*IF(6=Debt_Yr,0,H3371))*INDEX(Fin_Curve,1,6))-H3371-H3371*Fin_ExitFee)</f>
        <v>0</v>
      </c>
      <c r="J3674" s="99" t="n">
        <f aca="false">IF(7&gt;Hold_Yrs,0,J2765-IF(7&gt;Debt_Yr,0,(I3068-0.5*IF(7=Debt_Yr,0,I3371))*INDEX(Fin_Curve,1,7))-I3371-I3371*Fin_ExitFee)</f>
        <v>0</v>
      </c>
      <c r="K3674" s="99" t="n">
        <f aca="false">IF(8&gt;Hold_Yrs,0,K2765-IF(8&gt;Debt_Yr,0,(J3068-0.5*IF(8=Debt_Yr,0,J3371))*INDEX(Fin_Curve,1,8))-J3371-J3371*Fin_ExitFee)</f>
        <v>0</v>
      </c>
      <c r="L3674" s="99" t="n">
        <f aca="false">IF(9&gt;Hold_Yrs,0,L2765-IF(9&gt;Debt_Yr,0,(K3068-0.5*IF(9=Debt_Yr,0,K3371))*INDEX(Fin_Curve,1,9))-K3371-K3371*Fin_ExitFee)</f>
        <v>0</v>
      </c>
      <c r="M3674" s="99" t="n">
        <f aca="false">IF(10&gt;Hold_Yrs,0,M2765-IF(10&gt;Debt_Yr,0,(L3068-0.5*IF(10=Debt_Yr,0,L3371))*INDEX(Fin_Curve,1,10))-L3371-L3371*Fin_ExitFee)</f>
        <v>0</v>
      </c>
    </row>
    <row r="3675" customFormat="false" ht="15" hidden="false" customHeight="false" outlineLevel="0" collapsed="false">
      <c r="B3675" s="108" t="str">
        <f aca="false">'Loan Tape'!$A35</f>
        <v>L-032</v>
      </c>
      <c r="C3675" s="71" t="n">
        <f aca="false">-'Loan Tape'!$BE35</f>
        <v>-54127597.47</v>
      </c>
      <c r="D3675" s="71" t="n">
        <f aca="false">IF(1&gt;Hold_Yrs,0,D2766-IF(1&gt;Debt_Yr,0,(C3069-0.5*IF(1=Debt_Yr,0,C3372))*INDEX(Fin_Curve,1,1))-C3372-C3372*Fin_ExitFee)</f>
        <v>6352594.42347046</v>
      </c>
      <c r="E3675" s="71" t="n">
        <f aca="false">IF(2&gt;Hold_Yrs,0,E2766-IF(2&gt;Debt_Yr,0,(D3069-0.5*IF(2=Debt_Yr,0,D3372))*INDEX(Fin_Curve,1,2))-D3372-D3372*Fin_ExitFee)</f>
        <v>5648149.44333621</v>
      </c>
      <c r="F3675" s="71" t="n">
        <f aca="false">IF(3&gt;Hold_Yrs,0,F2766-IF(3&gt;Debt_Yr,0,(E3069-0.5*IF(3=Debt_Yr,0,E3372))*INDEX(Fin_Curve,1,3))-E3372-E3372*Fin_ExitFee)</f>
        <v>5130321.56000112</v>
      </c>
      <c r="G3675" s="71" t="n">
        <f aca="false">IF(4&gt;Hold_Yrs,0,G2766-IF(4&gt;Debt_Yr,0,(F3069-0.5*IF(4=Debt_Yr,0,F3372))*INDEX(Fin_Curve,1,4))-F3372-F3372*Fin_ExitFee)</f>
        <v>61562423.5056901</v>
      </c>
      <c r="H3675" s="71" t="n">
        <f aca="false">IF(5&gt;Hold_Yrs,0,H2766-IF(5&gt;Debt_Yr,0,(G3069-0.5*IF(5=Debt_Yr,0,G3372))*INDEX(Fin_Curve,1,5))-G3372-G3372*Fin_ExitFee)</f>
        <v>1052655.40989596</v>
      </c>
      <c r="I3675" s="71" t="n">
        <f aca="false">IF(6&gt;Hold_Yrs,0,I2766-IF(6&gt;Debt_Yr,0,(H3069-0.5*IF(6=Debt_Yr,0,H3372))*INDEX(Fin_Curve,1,6))-H3372-H3372*Fin_ExitFee)</f>
        <v>0</v>
      </c>
      <c r="J3675" s="71" t="n">
        <f aca="false">IF(7&gt;Hold_Yrs,0,J2766-IF(7&gt;Debt_Yr,0,(I3069-0.5*IF(7=Debt_Yr,0,I3372))*INDEX(Fin_Curve,1,7))-I3372-I3372*Fin_ExitFee)</f>
        <v>0</v>
      </c>
      <c r="K3675" s="71" t="n">
        <f aca="false">IF(8&gt;Hold_Yrs,0,K2766-IF(8&gt;Debt_Yr,0,(J3069-0.5*IF(8=Debt_Yr,0,J3372))*INDEX(Fin_Curve,1,8))-J3372-J3372*Fin_ExitFee)</f>
        <v>0</v>
      </c>
      <c r="L3675" s="71" t="n">
        <f aca="false">IF(9&gt;Hold_Yrs,0,L2766-IF(9&gt;Debt_Yr,0,(K3069-0.5*IF(9=Debt_Yr,0,K3372))*INDEX(Fin_Curve,1,9))-K3372-K3372*Fin_ExitFee)</f>
        <v>0</v>
      </c>
      <c r="M3675" s="71" t="n">
        <f aca="false">IF(10&gt;Hold_Yrs,0,M2766-IF(10&gt;Debt_Yr,0,(L3069-0.5*IF(10=Debt_Yr,0,L3372))*INDEX(Fin_Curve,1,10))-L3372-L3372*Fin_ExitFee)</f>
        <v>0</v>
      </c>
    </row>
    <row r="3676" customFormat="false" ht="15" hidden="false" customHeight="false" outlineLevel="0" collapsed="false">
      <c r="B3676" s="102" t="str">
        <f aca="false">'Loan Tape'!$A36</f>
        <v>L-033</v>
      </c>
      <c r="C3676" s="99" t="n">
        <f aca="false">-'Loan Tape'!$BE36</f>
        <v>-16950149.09</v>
      </c>
      <c r="D3676" s="99" t="n">
        <f aca="false">IF(1&gt;Hold_Yrs,0,D2767-IF(1&gt;Debt_Yr,0,(C3070-0.5*IF(1=Debt_Yr,0,C3373))*INDEX(Fin_Curve,1,1))-C3373-C3373*Fin_ExitFee)</f>
        <v>18152591.45</v>
      </c>
      <c r="E3676" s="99" t="n">
        <f aca="false">IF(2&gt;Hold_Yrs,0,E2767-IF(2&gt;Debt_Yr,0,(D3070-0.5*IF(2=Debt_Yr,0,D3373))*INDEX(Fin_Curve,1,2))-D3373-D3373*Fin_ExitFee)</f>
        <v>0</v>
      </c>
      <c r="F3676" s="99" t="n">
        <f aca="false">IF(3&gt;Hold_Yrs,0,F2767-IF(3&gt;Debt_Yr,0,(E3070-0.5*IF(3=Debt_Yr,0,E3373))*INDEX(Fin_Curve,1,3))-E3373-E3373*Fin_ExitFee)</f>
        <v>0</v>
      </c>
      <c r="G3676" s="99" t="n">
        <f aca="false">IF(4&gt;Hold_Yrs,0,G2767-IF(4&gt;Debt_Yr,0,(F3070-0.5*IF(4=Debt_Yr,0,F3373))*INDEX(Fin_Curve,1,4))-F3373-F3373*Fin_ExitFee)</f>
        <v>0</v>
      </c>
      <c r="H3676" s="99" t="n">
        <f aca="false">IF(5&gt;Hold_Yrs,0,H2767-IF(5&gt;Debt_Yr,0,(G3070-0.5*IF(5=Debt_Yr,0,G3373))*INDEX(Fin_Curve,1,5))-G3373-G3373*Fin_ExitFee)</f>
        <v>0</v>
      </c>
      <c r="I3676" s="99" t="n">
        <f aca="false">IF(6&gt;Hold_Yrs,0,I2767-IF(6&gt;Debt_Yr,0,(H3070-0.5*IF(6=Debt_Yr,0,H3373))*INDEX(Fin_Curve,1,6))-H3373-H3373*Fin_ExitFee)</f>
        <v>0</v>
      </c>
      <c r="J3676" s="99" t="n">
        <f aca="false">IF(7&gt;Hold_Yrs,0,J2767-IF(7&gt;Debt_Yr,0,(I3070-0.5*IF(7=Debt_Yr,0,I3373))*INDEX(Fin_Curve,1,7))-I3373-I3373*Fin_ExitFee)</f>
        <v>0</v>
      </c>
      <c r="K3676" s="99" t="n">
        <f aca="false">IF(8&gt;Hold_Yrs,0,K2767-IF(8&gt;Debt_Yr,0,(J3070-0.5*IF(8=Debt_Yr,0,J3373))*INDEX(Fin_Curve,1,8))-J3373-J3373*Fin_ExitFee)</f>
        <v>0</v>
      </c>
      <c r="L3676" s="99" t="n">
        <f aca="false">IF(9&gt;Hold_Yrs,0,L2767-IF(9&gt;Debt_Yr,0,(K3070-0.5*IF(9=Debt_Yr,0,K3373))*INDEX(Fin_Curve,1,9))-K3373-K3373*Fin_ExitFee)</f>
        <v>0</v>
      </c>
      <c r="M3676" s="99" t="n">
        <f aca="false">IF(10&gt;Hold_Yrs,0,M2767-IF(10&gt;Debt_Yr,0,(L3070-0.5*IF(10=Debt_Yr,0,L3373))*INDEX(Fin_Curve,1,10))-L3373-L3373*Fin_ExitFee)</f>
        <v>0</v>
      </c>
    </row>
    <row r="3677" customFormat="false" ht="15" hidden="false" customHeight="false" outlineLevel="0" collapsed="false">
      <c r="B3677" s="108" t="str">
        <f aca="false">'Loan Tape'!$A37</f>
        <v>L-034</v>
      </c>
      <c r="C3677" s="71" t="n">
        <f aca="false">-'Loan Tape'!$BE37</f>
        <v>-4406721.12</v>
      </c>
      <c r="D3677" s="71" t="n">
        <f aca="false">IF(1&gt;Hold_Yrs,0,D2768-IF(1&gt;Debt_Yr,0,(C3071-0.5*IF(1=Debt_Yr,0,C3374))*INDEX(Fin_Curve,1,1))-C3374-C3374*Fin_ExitFee)</f>
        <v>120975.034937372</v>
      </c>
      <c r="E3677" s="71" t="n">
        <f aca="false">IF(2&gt;Hold_Yrs,0,E2768-IF(2&gt;Debt_Yr,0,(D3071-0.5*IF(2=Debt_Yr,0,D3374))*INDEX(Fin_Curve,1,2))-D3374-D3374*Fin_ExitFee)</f>
        <v>164199.066316578</v>
      </c>
      <c r="F3677" s="71" t="n">
        <f aca="false">IF(3&gt;Hold_Yrs,0,F2768-IF(3&gt;Debt_Yr,0,(E3071-0.5*IF(3=Debt_Yr,0,E3374))*INDEX(Fin_Curve,1,3))-E3374-E3374*Fin_ExitFee)</f>
        <v>194825.076640582</v>
      </c>
      <c r="G3677" s="71" t="n">
        <f aca="false">IF(4&gt;Hold_Yrs,0,G2768-IF(4&gt;Debt_Yr,0,(F3071-0.5*IF(4=Debt_Yr,0,F3374))*INDEX(Fin_Curve,1,4))-F3374-F3374*Fin_ExitFee)</f>
        <v>210270.124044785</v>
      </c>
      <c r="H3677" s="71" t="n">
        <f aca="false">IF(5&gt;Hold_Yrs,0,H2768-IF(5&gt;Debt_Yr,0,(G3071-0.5*IF(5=Debt_Yr,0,G3374))*INDEX(Fin_Curve,1,5))-G3374-G3374*Fin_ExitFee)</f>
        <v>4715104.76247032</v>
      </c>
      <c r="I3677" s="71" t="n">
        <f aca="false">IF(6&gt;Hold_Yrs,0,I2768-IF(6&gt;Debt_Yr,0,(H3071-0.5*IF(6=Debt_Yr,0,H3374))*INDEX(Fin_Curve,1,6))-H3374-H3374*Fin_ExitFee)</f>
        <v>0</v>
      </c>
      <c r="J3677" s="71" t="n">
        <f aca="false">IF(7&gt;Hold_Yrs,0,J2768-IF(7&gt;Debt_Yr,0,(I3071-0.5*IF(7=Debt_Yr,0,I3374))*INDEX(Fin_Curve,1,7))-I3374-I3374*Fin_ExitFee)</f>
        <v>0</v>
      </c>
      <c r="K3677" s="71" t="n">
        <f aca="false">IF(8&gt;Hold_Yrs,0,K2768-IF(8&gt;Debt_Yr,0,(J3071-0.5*IF(8=Debt_Yr,0,J3374))*INDEX(Fin_Curve,1,8))-J3374-J3374*Fin_ExitFee)</f>
        <v>0</v>
      </c>
      <c r="L3677" s="71" t="n">
        <f aca="false">IF(9&gt;Hold_Yrs,0,L2768-IF(9&gt;Debt_Yr,0,(K3071-0.5*IF(9=Debt_Yr,0,K3374))*INDEX(Fin_Curve,1,9))-K3374-K3374*Fin_ExitFee)</f>
        <v>0</v>
      </c>
      <c r="M3677" s="71" t="n">
        <f aca="false">IF(10&gt;Hold_Yrs,0,M2768-IF(10&gt;Debt_Yr,0,(L3071-0.5*IF(10=Debt_Yr,0,L3374))*INDEX(Fin_Curve,1,10))-L3374-L3374*Fin_ExitFee)</f>
        <v>0</v>
      </c>
    </row>
    <row r="3678" customFormat="false" ht="15" hidden="false" customHeight="false" outlineLevel="0" collapsed="false">
      <c r="B3678" s="102" t="str">
        <f aca="false">'Loan Tape'!$A38</f>
        <v>L-035</v>
      </c>
      <c r="C3678" s="99" t="n">
        <f aca="false">-'Loan Tape'!$BE38</f>
        <v>-24452731.25</v>
      </c>
      <c r="D3678" s="99" t="n">
        <f aca="false">IF(1&gt;Hold_Yrs,0,D2769-IF(1&gt;Debt_Yr,0,(C3072-0.5*IF(1=Debt_Yr,0,C3375))*INDEX(Fin_Curve,1,1))-C3375-C3375*Fin_ExitFee)</f>
        <v>1627182.00745692</v>
      </c>
      <c r="E3678" s="99" t="n">
        <f aca="false">IF(2&gt;Hold_Yrs,0,E2769-IF(2&gt;Debt_Yr,0,(D3072-0.5*IF(2=Debt_Yr,0,D3375))*INDEX(Fin_Curve,1,2))-D3375-D3375*Fin_ExitFee)</f>
        <v>1479491.95009533</v>
      </c>
      <c r="F3678" s="99" t="n">
        <f aca="false">IF(3&gt;Hold_Yrs,0,F2769-IF(3&gt;Debt_Yr,0,(E3072-0.5*IF(3=Debt_Yr,0,E3375))*INDEX(Fin_Curve,1,3))-E3375-E3375*Fin_ExitFee)</f>
        <v>26833733.1703383</v>
      </c>
      <c r="G3678" s="99" t="n">
        <f aca="false">IF(4&gt;Hold_Yrs,0,G2769-IF(4&gt;Debt_Yr,0,(F3072-0.5*IF(4=Debt_Yr,0,F3375))*INDEX(Fin_Curve,1,4))-F3375-F3375*Fin_ExitFee)</f>
        <v>270466.051065739</v>
      </c>
      <c r="H3678" s="99" t="n">
        <f aca="false">IF(5&gt;Hold_Yrs,0,H2769-IF(5&gt;Debt_Yr,0,(G3072-0.5*IF(5=Debt_Yr,0,G3375))*INDEX(Fin_Curve,1,5))-G3375-G3375*Fin_ExitFee)</f>
        <v>0</v>
      </c>
      <c r="I3678" s="99" t="n">
        <f aca="false">IF(6&gt;Hold_Yrs,0,I2769-IF(6&gt;Debt_Yr,0,(H3072-0.5*IF(6=Debt_Yr,0,H3375))*INDEX(Fin_Curve,1,6))-H3375-H3375*Fin_ExitFee)</f>
        <v>0</v>
      </c>
      <c r="J3678" s="99" t="n">
        <f aca="false">IF(7&gt;Hold_Yrs,0,J2769-IF(7&gt;Debt_Yr,0,(I3072-0.5*IF(7=Debt_Yr,0,I3375))*INDEX(Fin_Curve,1,7))-I3375-I3375*Fin_ExitFee)</f>
        <v>0</v>
      </c>
      <c r="K3678" s="99" t="n">
        <f aca="false">IF(8&gt;Hold_Yrs,0,K2769-IF(8&gt;Debt_Yr,0,(J3072-0.5*IF(8=Debt_Yr,0,J3375))*INDEX(Fin_Curve,1,8))-J3375-J3375*Fin_ExitFee)</f>
        <v>0</v>
      </c>
      <c r="L3678" s="99" t="n">
        <f aca="false">IF(9&gt;Hold_Yrs,0,L2769-IF(9&gt;Debt_Yr,0,(K3072-0.5*IF(9=Debt_Yr,0,K3375))*INDEX(Fin_Curve,1,9))-K3375-K3375*Fin_ExitFee)</f>
        <v>0</v>
      </c>
      <c r="M3678" s="99" t="n">
        <f aca="false">IF(10&gt;Hold_Yrs,0,M2769-IF(10&gt;Debt_Yr,0,(L3072-0.5*IF(10=Debt_Yr,0,L3375))*INDEX(Fin_Curve,1,10))-L3375-L3375*Fin_ExitFee)</f>
        <v>0</v>
      </c>
    </row>
    <row r="3679" customFormat="false" ht="15" hidden="false" customHeight="false" outlineLevel="0" collapsed="false">
      <c r="B3679" s="108" t="str">
        <f aca="false">'Loan Tape'!$A39</f>
        <v>L-036</v>
      </c>
      <c r="C3679" s="71" t="n">
        <f aca="false">-'Loan Tape'!$BE39</f>
        <v>-14822713.05</v>
      </c>
      <c r="D3679" s="71" t="n">
        <f aca="false">IF(1&gt;Hold_Yrs,0,D2770-IF(1&gt;Debt_Yr,0,(C3073-0.5*IF(1=Debt_Yr,0,C3376))*INDEX(Fin_Curve,1,1))-C3376-C3376*Fin_ExitFee)</f>
        <v>17238384.380077</v>
      </c>
      <c r="E3679" s="71" t="n">
        <f aca="false">IF(2&gt;Hold_Yrs,0,E2770-IF(2&gt;Debt_Yr,0,(D3073-0.5*IF(2=Debt_Yr,0,D3376))*INDEX(Fin_Curve,1,2))-D3376-D3376*Fin_ExitFee)</f>
        <v>535710</v>
      </c>
      <c r="F3679" s="71" t="n">
        <f aca="false">IF(3&gt;Hold_Yrs,0,F2770-IF(3&gt;Debt_Yr,0,(E3073-0.5*IF(3=Debt_Yr,0,E3376))*INDEX(Fin_Curve,1,3))-E3376-E3376*Fin_ExitFee)</f>
        <v>0</v>
      </c>
      <c r="G3679" s="71" t="n">
        <f aca="false">IF(4&gt;Hold_Yrs,0,G2770-IF(4&gt;Debt_Yr,0,(F3073-0.5*IF(4=Debt_Yr,0,F3376))*INDEX(Fin_Curve,1,4))-F3376-F3376*Fin_ExitFee)</f>
        <v>0</v>
      </c>
      <c r="H3679" s="71" t="n">
        <f aca="false">IF(5&gt;Hold_Yrs,0,H2770-IF(5&gt;Debt_Yr,0,(G3073-0.5*IF(5=Debt_Yr,0,G3376))*INDEX(Fin_Curve,1,5))-G3376-G3376*Fin_ExitFee)</f>
        <v>0</v>
      </c>
      <c r="I3679" s="71" t="n">
        <f aca="false">IF(6&gt;Hold_Yrs,0,I2770-IF(6&gt;Debt_Yr,0,(H3073-0.5*IF(6=Debt_Yr,0,H3376))*INDEX(Fin_Curve,1,6))-H3376-H3376*Fin_ExitFee)</f>
        <v>0</v>
      </c>
      <c r="J3679" s="71" t="n">
        <f aca="false">IF(7&gt;Hold_Yrs,0,J2770-IF(7&gt;Debt_Yr,0,(I3073-0.5*IF(7=Debt_Yr,0,I3376))*INDEX(Fin_Curve,1,7))-I3376-I3376*Fin_ExitFee)</f>
        <v>0</v>
      </c>
      <c r="K3679" s="71" t="n">
        <f aca="false">IF(8&gt;Hold_Yrs,0,K2770-IF(8&gt;Debt_Yr,0,(J3073-0.5*IF(8=Debt_Yr,0,J3376))*INDEX(Fin_Curve,1,8))-J3376-J3376*Fin_ExitFee)</f>
        <v>0</v>
      </c>
      <c r="L3679" s="71" t="n">
        <f aca="false">IF(9&gt;Hold_Yrs,0,L2770-IF(9&gt;Debt_Yr,0,(K3073-0.5*IF(9=Debt_Yr,0,K3376))*INDEX(Fin_Curve,1,9))-K3376-K3376*Fin_ExitFee)</f>
        <v>0</v>
      </c>
      <c r="M3679" s="71" t="n">
        <f aca="false">IF(10&gt;Hold_Yrs,0,M2770-IF(10&gt;Debt_Yr,0,(L3073-0.5*IF(10=Debt_Yr,0,L3376))*INDEX(Fin_Curve,1,10))-L3376-L3376*Fin_ExitFee)</f>
        <v>0</v>
      </c>
    </row>
    <row r="3680" customFormat="false" ht="15" hidden="false" customHeight="false" outlineLevel="0" collapsed="false">
      <c r="B3680" s="102" t="str">
        <f aca="false">'Loan Tape'!$A40</f>
        <v>L-037</v>
      </c>
      <c r="C3680" s="99" t="n">
        <f aca="false">-'Loan Tape'!$BE40</f>
        <v>-12690241.2</v>
      </c>
      <c r="D3680" s="99" t="n">
        <f aca="false">IF(1&gt;Hold_Yrs,0,D2771-IF(1&gt;Debt_Yr,0,(C3074-0.5*IF(1=Debt_Yr,0,C3377))*INDEX(Fin_Curve,1,1))-C3377-C3377*Fin_ExitFee)</f>
        <v>13590486</v>
      </c>
      <c r="E3680" s="99" t="n">
        <f aca="false">IF(2&gt;Hold_Yrs,0,E2771-IF(2&gt;Debt_Yr,0,(D3074-0.5*IF(2=Debt_Yr,0,D3377))*INDEX(Fin_Curve,1,2))-D3377-D3377*Fin_ExitFee)</f>
        <v>0</v>
      </c>
      <c r="F3680" s="99" t="n">
        <f aca="false">IF(3&gt;Hold_Yrs,0,F2771-IF(3&gt;Debt_Yr,0,(E3074-0.5*IF(3=Debt_Yr,0,E3377))*INDEX(Fin_Curve,1,3))-E3377-E3377*Fin_ExitFee)</f>
        <v>0</v>
      </c>
      <c r="G3680" s="99" t="n">
        <f aca="false">IF(4&gt;Hold_Yrs,0,G2771-IF(4&gt;Debt_Yr,0,(F3074-0.5*IF(4=Debt_Yr,0,F3377))*INDEX(Fin_Curve,1,4))-F3377-F3377*Fin_ExitFee)</f>
        <v>0</v>
      </c>
      <c r="H3680" s="99" t="n">
        <f aca="false">IF(5&gt;Hold_Yrs,0,H2771-IF(5&gt;Debt_Yr,0,(G3074-0.5*IF(5=Debt_Yr,0,G3377))*INDEX(Fin_Curve,1,5))-G3377-G3377*Fin_ExitFee)</f>
        <v>0</v>
      </c>
      <c r="I3680" s="99" t="n">
        <f aca="false">IF(6&gt;Hold_Yrs,0,I2771-IF(6&gt;Debt_Yr,0,(H3074-0.5*IF(6=Debt_Yr,0,H3377))*INDEX(Fin_Curve,1,6))-H3377-H3377*Fin_ExitFee)</f>
        <v>0</v>
      </c>
      <c r="J3680" s="99" t="n">
        <f aca="false">IF(7&gt;Hold_Yrs,0,J2771-IF(7&gt;Debt_Yr,0,(I3074-0.5*IF(7=Debt_Yr,0,I3377))*INDEX(Fin_Curve,1,7))-I3377-I3377*Fin_ExitFee)</f>
        <v>0</v>
      </c>
      <c r="K3680" s="99" t="n">
        <f aca="false">IF(8&gt;Hold_Yrs,0,K2771-IF(8&gt;Debt_Yr,0,(J3074-0.5*IF(8=Debt_Yr,0,J3377))*INDEX(Fin_Curve,1,8))-J3377-J3377*Fin_ExitFee)</f>
        <v>0</v>
      </c>
      <c r="L3680" s="99" t="n">
        <f aca="false">IF(9&gt;Hold_Yrs,0,L2771-IF(9&gt;Debt_Yr,0,(K3074-0.5*IF(9=Debt_Yr,0,K3377))*INDEX(Fin_Curve,1,9))-K3377-K3377*Fin_ExitFee)</f>
        <v>0</v>
      </c>
      <c r="M3680" s="99" t="n">
        <f aca="false">IF(10&gt;Hold_Yrs,0,M2771-IF(10&gt;Debt_Yr,0,(L3074-0.5*IF(10=Debt_Yr,0,L3377))*INDEX(Fin_Curve,1,10))-L3377-L3377*Fin_ExitFee)</f>
        <v>0</v>
      </c>
    </row>
    <row r="3681" customFormat="false" ht="15" hidden="false" customHeight="false" outlineLevel="0" collapsed="false">
      <c r="B3681" s="108" t="str">
        <f aca="false">'Loan Tape'!$A41</f>
        <v>L-038</v>
      </c>
      <c r="C3681" s="71" t="n">
        <f aca="false">-'Loan Tape'!$BE41</f>
        <v>-2079789.53</v>
      </c>
      <c r="D3681" s="71" t="n">
        <f aca="false">IF(1&gt;Hold_Yrs,0,D2772-IF(1&gt;Debt_Yr,0,(C3075-0.5*IF(1=Debt_Yr,0,C3378))*INDEX(Fin_Curve,1,1))-C3378-C3378*Fin_ExitFee)</f>
        <v>174020.933275567</v>
      </c>
      <c r="E3681" s="71" t="n">
        <f aca="false">IF(2&gt;Hold_Yrs,0,E2772-IF(2&gt;Debt_Yr,0,(D3075-0.5*IF(2=Debt_Yr,0,D3378))*INDEX(Fin_Curve,1,2))-D3378-D3378*Fin_ExitFee)</f>
        <v>156444.534181715</v>
      </c>
      <c r="F3681" s="71" t="n">
        <f aca="false">IF(3&gt;Hold_Yrs,0,F2772-IF(3&gt;Debt_Yr,0,(E3075-0.5*IF(3=Debt_Yr,0,E3378))*INDEX(Fin_Curve,1,3))-E3378-E3378*Fin_ExitFee)</f>
        <v>144901.510677</v>
      </c>
      <c r="G3681" s="71" t="n">
        <f aca="false">IF(4&gt;Hold_Yrs,0,G2772-IF(4&gt;Debt_Yr,0,(F3075-0.5*IF(4=Debt_Yr,0,F3378))*INDEX(Fin_Curve,1,4))-F3378-F3378*Fin_ExitFee)</f>
        <v>138223.049600459</v>
      </c>
      <c r="H3681" s="71" t="n">
        <f aca="false">IF(5&gt;Hold_Yrs,0,H2772-IF(5&gt;Debt_Yr,0,(G3075-0.5*IF(5=Debt_Yr,0,G3378))*INDEX(Fin_Curve,1,5))-G3378-G3378*Fin_ExitFee)</f>
        <v>2248331.66484001</v>
      </c>
      <c r="I3681" s="71" t="n">
        <f aca="false">IF(6&gt;Hold_Yrs,0,I2772-IF(6&gt;Debt_Yr,0,(H3075-0.5*IF(6=Debt_Yr,0,H3378))*INDEX(Fin_Curve,1,6))-H3378-H3378*Fin_ExitFee)</f>
        <v>0</v>
      </c>
      <c r="J3681" s="71" t="n">
        <f aca="false">IF(7&gt;Hold_Yrs,0,J2772-IF(7&gt;Debt_Yr,0,(I3075-0.5*IF(7=Debt_Yr,0,I3378))*INDEX(Fin_Curve,1,7))-I3378-I3378*Fin_ExitFee)</f>
        <v>0</v>
      </c>
      <c r="K3681" s="71" t="n">
        <f aca="false">IF(8&gt;Hold_Yrs,0,K2772-IF(8&gt;Debt_Yr,0,(J3075-0.5*IF(8=Debt_Yr,0,J3378))*INDEX(Fin_Curve,1,8))-J3378-J3378*Fin_ExitFee)</f>
        <v>0</v>
      </c>
      <c r="L3681" s="71" t="n">
        <f aca="false">IF(9&gt;Hold_Yrs,0,L2772-IF(9&gt;Debt_Yr,0,(K3075-0.5*IF(9=Debt_Yr,0,K3378))*INDEX(Fin_Curve,1,9))-K3378-K3378*Fin_ExitFee)</f>
        <v>0</v>
      </c>
      <c r="M3681" s="71" t="n">
        <f aca="false">IF(10&gt;Hold_Yrs,0,M2772-IF(10&gt;Debt_Yr,0,(L3075-0.5*IF(10=Debt_Yr,0,L3378))*INDEX(Fin_Curve,1,10))-L3378-L3378*Fin_ExitFee)</f>
        <v>0</v>
      </c>
    </row>
    <row r="3682" customFormat="false" ht="15" hidden="false" customHeight="false" outlineLevel="0" collapsed="false">
      <c r="B3682" s="102" t="str">
        <f aca="false">'Loan Tape'!$A42</f>
        <v>L-039</v>
      </c>
      <c r="C3682" s="99" t="n">
        <f aca="false">-'Loan Tape'!$BE42</f>
        <v>-1742777.63</v>
      </c>
      <c r="D3682" s="99" t="n">
        <f aca="false">IF(1&gt;Hold_Yrs,0,D2773-IF(1&gt;Debt_Yr,0,(C3076-0.5*IF(1=Debt_Yr,0,C3379))*INDEX(Fin_Curve,1,1))-C3379-C3379*Fin_ExitFee)</f>
        <v>208291.321524854</v>
      </c>
      <c r="E3682" s="99" t="n">
        <f aca="false">IF(2&gt;Hold_Yrs,0,E2773-IF(2&gt;Debt_Yr,0,(D3076-0.5*IF(2=Debt_Yr,0,D3379))*INDEX(Fin_Curve,1,2))-D3379-D3379*Fin_ExitFee)</f>
        <v>185063.566438263</v>
      </c>
      <c r="F3682" s="99" t="n">
        <f aca="false">IF(3&gt;Hold_Yrs,0,F2773-IF(3&gt;Debt_Yr,0,(E3076-0.5*IF(3=Debt_Yr,0,E3379))*INDEX(Fin_Curve,1,3))-E3379-E3379*Fin_ExitFee)</f>
        <v>167911.840670372</v>
      </c>
      <c r="G3682" s="99" t="n">
        <f aca="false">IF(4&gt;Hold_Yrs,0,G2773-IF(4&gt;Debt_Yr,0,(F3076-0.5*IF(4=Debt_Yr,0,F3379))*INDEX(Fin_Curve,1,4))-F3379-F3379*Fin_ExitFee)</f>
        <v>155752.690283264</v>
      </c>
      <c r="H3682" s="99" t="n">
        <f aca="false">IF(5&gt;Hold_Yrs,0,H2773-IF(5&gt;Debt_Yr,0,(G3076-0.5*IF(5=Debt_Yr,0,G3379))*INDEX(Fin_Curve,1,5))-G3379-G3379*Fin_ExitFee)</f>
        <v>1891986.81393309</v>
      </c>
      <c r="I3682" s="99" t="n">
        <f aca="false">IF(6&gt;Hold_Yrs,0,I2773-IF(6&gt;Debt_Yr,0,(H3076-0.5*IF(6=Debt_Yr,0,H3379))*INDEX(Fin_Curve,1,6))-H3379-H3379*Fin_ExitFee)</f>
        <v>0</v>
      </c>
      <c r="J3682" s="99" t="n">
        <f aca="false">IF(7&gt;Hold_Yrs,0,J2773-IF(7&gt;Debt_Yr,0,(I3076-0.5*IF(7=Debt_Yr,0,I3379))*INDEX(Fin_Curve,1,7))-I3379-I3379*Fin_ExitFee)</f>
        <v>0</v>
      </c>
      <c r="K3682" s="99" t="n">
        <f aca="false">IF(8&gt;Hold_Yrs,0,K2773-IF(8&gt;Debt_Yr,0,(J3076-0.5*IF(8=Debt_Yr,0,J3379))*INDEX(Fin_Curve,1,8))-J3379-J3379*Fin_ExitFee)</f>
        <v>0</v>
      </c>
      <c r="L3682" s="99" t="n">
        <f aca="false">IF(9&gt;Hold_Yrs,0,L2773-IF(9&gt;Debt_Yr,0,(K3076-0.5*IF(9=Debt_Yr,0,K3379))*INDEX(Fin_Curve,1,9))-K3379-K3379*Fin_ExitFee)</f>
        <v>0</v>
      </c>
      <c r="M3682" s="99" t="n">
        <f aca="false">IF(10&gt;Hold_Yrs,0,M2773-IF(10&gt;Debt_Yr,0,(L3076-0.5*IF(10=Debt_Yr,0,L3379))*INDEX(Fin_Curve,1,10))-L3379-L3379*Fin_ExitFee)</f>
        <v>0</v>
      </c>
    </row>
    <row r="3683" customFormat="false" ht="15" hidden="false" customHeight="false" outlineLevel="0" collapsed="false">
      <c r="B3683" s="108" t="str">
        <f aca="false">'Loan Tape'!$A43</f>
        <v>L-040</v>
      </c>
      <c r="C3683" s="71" t="n">
        <f aca="false">-'Loan Tape'!$BE43</f>
        <v>-31425391.25</v>
      </c>
      <c r="D3683" s="71" t="n">
        <f aca="false">IF(1&gt;Hold_Yrs,0,D2774-IF(1&gt;Debt_Yr,0,(C3077-0.5*IF(1=Debt_Yr,0,C3380))*INDEX(Fin_Curve,1,1))-C3380-C3380*Fin_ExitFee)</f>
        <v>686536.093492802</v>
      </c>
      <c r="E3683" s="71" t="n">
        <f aca="false">IF(2&gt;Hold_Yrs,0,E2774-IF(2&gt;Debt_Yr,0,(D3077-0.5*IF(2=Debt_Yr,0,D3380))*INDEX(Fin_Curve,1,2))-D3380-D3380*Fin_ExitFee)</f>
        <v>1027823.22859411</v>
      </c>
      <c r="F3683" s="71" t="n">
        <f aca="false">IF(3&gt;Hold_Yrs,0,F2774-IF(3&gt;Debt_Yr,0,(E3077-0.5*IF(3=Debt_Yr,0,E3380))*INDEX(Fin_Curve,1,3))-E3380-E3380*Fin_ExitFee)</f>
        <v>34388036.818358</v>
      </c>
      <c r="G3683" s="71" t="n">
        <f aca="false">IF(4&gt;Hold_Yrs,0,G2774-IF(4&gt;Debt_Yr,0,(F3077-0.5*IF(4=Debt_Yr,0,F3380))*INDEX(Fin_Curve,1,4))-F3380-F3380*Fin_ExitFee)</f>
        <v>413558.652398132</v>
      </c>
      <c r="H3683" s="71" t="n">
        <f aca="false">IF(5&gt;Hold_Yrs,0,H2774-IF(5&gt;Debt_Yr,0,(G3077-0.5*IF(5=Debt_Yr,0,G3380))*INDEX(Fin_Curve,1,5))-G3380-G3380*Fin_ExitFee)</f>
        <v>0</v>
      </c>
      <c r="I3683" s="71" t="n">
        <f aca="false">IF(6&gt;Hold_Yrs,0,I2774-IF(6&gt;Debt_Yr,0,(H3077-0.5*IF(6=Debt_Yr,0,H3380))*INDEX(Fin_Curve,1,6))-H3380-H3380*Fin_ExitFee)</f>
        <v>0</v>
      </c>
      <c r="J3683" s="71" t="n">
        <f aca="false">IF(7&gt;Hold_Yrs,0,J2774-IF(7&gt;Debt_Yr,0,(I3077-0.5*IF(7=Debt_Yr,0,I3380))*INDEX(Fin_Curve,1,7))-I3380-I3380*Fin_ExitFee)</f>
        <v>0</v>
      </c>
      <c r="K3683" s="71" t="n">
        <f aca="false">IF(8&gt;Hold_Yrs,0,K2774-IF(8&gt;Debt_Yr,0,(J3077-0.5*IF(8=Debt_Yr,0,J3380))*INDEX(Fin_Curve,1,8))-J3380-J3380*Fin_ExitFee)</f>
        <v>0</v>
      </c>
      <c r="L3683" s="71" t="n">
        <f aca="false">IF(9&gt;Hold_Yrs,0,L2774-IF(9&gt;Debt_Yr,0,(K3077-0.5*IF(9=Debt_Yr,0,K3380))*INDEX(Fin_Curve,1,9))-K3380-K3380*Fin_ExitFee)</f>
        <v>0</v>
      </c>
      <c r="M3683" s="71" t="n">
        <f aca="false">IF(10&gt;Hold_Yrs,0,M2774-IF(10&gt;Debt_Yr,0,(L3077-0.5*IF(10=Debt_Yr,0,L3380))*INDEX(Fin_Curve,1,10))-L3380-L3380*Fin_ExitFee)</f>
        <v>0</v>
      </c>
    </row>
    <row r="3684" customFormat="false" ht="15" hidden="false" customHeight="false" outlineLevel="0" collapsed="false">
      <c r="B3684" s="102" t="str">
        <f aca="false">'Loan Tape'!$A44</f>
        <v>L-041</v>
      </c>
      <c r="C3684" s="99" t="n">
        <f aca="false">-'Loan Tape'!$BE44</f>
        <v>-11858557.81</v>
      </c>
      <c r="D3684" s="99" t="n">
        <f aca="false">IF(1&gt;Hold_Yrs,0,D2775-IF(1&gt;Debt_Yr,0,(C3078-0.5*IF(1=Debt_Yr,0,C3381))*INDEX(Fin_Curve,1,1))-C3381-C3381*Fin_ExitFee)</f>
        <v>14276138.0436686</v>
      </c>
      <c r="E3684" s="99" t="n">
        <f aca="false">IF(2&gt;Hold_Yrs,0,E2775-IF(2&gt;Debt_Yr,0,(D3078-0.5*IF(2=Debt_Yr,0,D3381))*INDEX(Fin_Curve,1,2))-D3381-D3381*Fin_ExitFee)</f>
        <v>428582</v>
      </c>
      <c r="F3684" s="99" t="n">
        <f aca="false">IF(3&gt;Hold_Yrs,0,F2775-IF(3&gt;Debt_Yr,0,(E3078-0.5*IF(3=Debt_Yr,0,E3381))*INDEX(Fin_Curve,1,3))-E3381-E3381*Fin_ExitFee)</f>
        <v>0</v>
      </c>
      <c r="G3684" s="99" t="n">
        <f aca="false">IF(4&gt;Hold_Yrs,0,G2775-IF(4&gt;Debt_Yr,0,(F3078-0.5*IF(4=Debt_Yr,0,F3381))*INDEX(Fin_Curve,1,4))-F3381-F3381*Fin_ExitFee)</f>
        <v>0</v>
      </c>
      <c r="H3684" s="99" t="n">
        <f aca="false">IF(5&gt;Hold_Yrs,0,H2775-IF(5&gt;Debt_Yr,0,(G3078-0.5*IF(5=Debt_Yr,0,G3381))*INDEX(Fin_Curve,1,5))-G3381-G3381*Fin_ExitFee)</f>
        <v>0</v>
      </c>
      <c r="I3684" s="99" t="n">
        <f aca="false">IF(6&gt;Hold_Yrs,0,I2775-IF(6&gt;Debt_Yr,0,(H3078-0.5*IF(6=Debt_Yr,0,H3381))*INDEX(Fin_Curve,1,6))-H3381-H3381*Fin_ExitFee)</f>
        <v>0</v>
      </c>
      <c r="J3684" s="99" t="n">
        <f aca="false">IF(7&gt;Hold_Yrs,0,J2775-IF(7&gt;Debt_Yr,0,(I3078-0.5*IF(7=Debt_Yr,0,I3381))*INDEX(Fin_Curve,1,7))-I3381-I3381*Fin_ExitFee)</f>
        <v>0</v>
      </c>
      <c r="K3684" s="99" t="n">
        <f aca="false">IF(8&gt;Hold_Yrs,0,K2775-IF(8&gt;Debt_Yr,0,(J3078-0.5*IF(8=Debt_Yr,0,J3381))*INDEX(Fin_Curve,1,8))-J3381-J3381*Fin_ExitFee)</f>
        <v>0</v>
      </c>
      <c r="L3684" s="99" t="n">
        <f aca="false">IF(9&gt;Hold_Yrs,0,L2775-IF(9&gt;Debt_Yr,0,(K3078-0.5*IF(9=Debt_Yr,0,K3381))*INDEX(Fin_Curve,1,9))-K3381-K3381*Fin_ExitFee)</f>
        <v>0</v>
      </c>
      <c r="M3684" s="99" t="n">
        <f aca="false">IF(10&gt;Hold_Yrs,0,M2775-IF(10&gt;Debt_Yr,0,(L3078-0.5*IF(10=Debt_Yr,0,L3381))*INDEX(Fin_Curve,1,10))-L3381-L3381*Fin_ExitFee)</f>
        <v>0</v>
      </c>
    </row>
    <row r="3685" customFormat="false" ht="15" hidden="false" customHeight="false" outlineLevel="0" collapsed="false">
      <c r="B3685" s="108" t="str">
        <f aca="false">'Loan Tape'!$A45</f>
        <v>L-042</v>
      </c>
      <c r="C3685" s="71" t="n">
        <f aca="false">-'Loan Tape'!$BE45</f>
        <v>-1951957.43</v>
      </c>
      <c r="D3685" s="71" t="n">
        <f aca="false">IF(1&gt;Hold_Yrs,0,D2776-IF(1&gt;Debt_Yr,0,(C3079-0.5*IF(1=Debt_Yr,0,C3382))*INDEX(Fin_Curve,1,1))-C3382-C3382*Fin_ExitFee)</f>
        <v>78711.288123156</v>
      </c>
      <c r="E3685" s="71" t="n">
        <f aca="false">IF(2&gt;Hold_Yrs,0,E2776-IF(2&gt;Debt_Yr,0,(D3079-0.5*IF(2=Debt_Yr,0,D3382))*INDEX(Fin_Curve,1,2))-D3382-D3382*Fin_ExitFee)</f>
        <v>94041.7622455212</v>
      </c>
      <c r="F3685" s="71" t="n">
        <f aca="false">IF(3&gt;Hold_Yrs,0,F2776-IF(3&gt;Debt_Yr,0,(E3079-0.5*IF(3=Debt_Yr,0,E3382))*INDEX(Fin_Curve,1,3))-E3382-E3382*Fin_ExitFee)</f>
        <v>2167070.15680483</v>
      </c>
      <c r="G3685" s="71" t="n">
        <f aca="false">IF(4&gt;Hold_Yrs,0,G2776-IF(4&gt;Debt_Yr,0,(F3079-0.5*IF(4=Debt_Yr,0,F3382))*INDEX(Fin_Curve,1,4))-F3382-F3382*Fin_ExitFee)</f>
        <v>35168.5007275176</v>
      </c>
      <c r="H3685" s="71" t="n">
        <f aca="false">IF(5&gt;Hold_Yrs,0,H2776-IF(5&gt;Debt_Yr,0,(G3079-0.5*IF(5=Debt_Yr,0,G3382))*INDEX(Fin_Curve,1,5))-G3382-G3382*Fin_ExitFee)</f>
        <v>0</v>
      </c>
      <c r="I3685" s="71" t="n">
        <f aca="false">IF(6&gt;Hold_Yrs,0,I2776-IF(6&gt;Debt_Yr,0,(H3079-0.5*IF(6=Debt_Yr,0,H3382))*INDEX(Fin_Curve,1,6))-H3382-H3382*Fin_ExitFee)</f>
        <v>0</v>
      </c>
      <c r="J3685" s="71" t="n">
        <f aca="false">IF(7&gt;Hold_Yrs,0,J2776-IF(7&gt;Debt_Yr,0,(I3079-0.5*IF(7=Debt_Yr,0,I3382))*INDEX(Fin_Curve,1,7))-I3382-I3382*Fin_ExitFee)</f>
        <v>0</v>
      </c>
      <c r="K3685" s="71" t="n">
        <f aca="false">IF(8&gt;Hold_Yrs,0,K2776-IF(8&gt;Debt_Yr,0,(J3079-0.5*IF(8=Debt_Yr,0,J3382))*INDEX(Fin_Curve,1,8))-J3382-J3382*Fin_ExitFee)</f>
        <v>0</v>
      </c>
      <c r="L3685" s="71" t="n">
        <f aca="false">IF(9&gt;Hold_Yrs,0,L2776-IF(9&gt;Debt_Yr,0,(K3079-0.5*IF(9=Debt_Yr,0,K3382))*INDEX(Fin_Curve,1,9))-K3382-K3382*Fin_ExitFee)</f>
        <v>0</v>
      </c>
      <c r="M3685" s="71" t="n">
        <f aca="false">IF(10&gt;Hold_Yrs,0,M2776-IF(10&gt;Debt_Yr,0,(L3079-0.5*IF(10=Debt_Yr,0,L3382))*INDEX(Fin_Curve,1,10))-L3382-L3382*Fin_ExitFee)</f>
        <v>0</v>
      </c>
    </row>
    <row r="3686" customFormat="false" ht="15" hidden="false" customHeight="false" outlineLevel="0" collapsed="false">
      <c r="B3686" s="102" t="str">
        <f aca="false">'Loan Tape'!$A46</f>
        <v>L-043</v>
      </c>
      <c r="C3686" s="99" t="n">
        <f aca="false">-'Loan Tape'!$BE46</f>
        <v>-3362371.6</v>
      </c>
      <c r="D3686" s="99" t="n">
        <f aca="false">IF(1&gt;Hold_Yrs,0,D2777-IF(1&gt;Debt_Yr,0,(C3080-0.5*IF(1=Debt_Yr,0,C3383))*INDEX(Fin_Curve,1,1))-C3383-C3383*Fin_ExitFee)</f>
        <v>263299.095998193</v>
      </c>
      <c r="E3686" s="99" t="n">
        <f aca="false">IF(2&gt;Hold_Yrs,0,E2777-IF(2&gt;Debt_Yr,0,(D3080-0.5*IF(2=Debt_Yr,0,D3383))*INDEX(Fin_Curve,1,2))-D3383-D3383*Fin_ExitFee)</f>
        <v>237281.139566374</v>
      </c>
      <c r="F3686" s="99" t="n">
        <f aca="false">IF(3&gt;Hold_Yrs,0,F2777-IF(3&gt;Debt_Yr,0,(E3080-0.5*IF(3=Debt_Yr,0,E3383))*INDEX(Fin_Curve,1,3))-E3383-E3383*Fin_ExitFee)</f>
        <v>220783.780851596</v>
      </c>
      <c r="G3686" s="99" t="n">
        <f aca="false">IF(4&gt;Hold_Yrs,0,G2777-IF(4&gt;Debt_Yr,0,(F3080-0.5*IF(4=Debt_Yr,0,F3383))*INDEX(Fin_Curve,1,4))-F3383-F3383*Fin_ExitFee)</f>
        <v>3642481.60784217</v>
      </c>
      <c r="H3686" s="99" t="n">
        <f aca="false">IF(5&gt;Hold_Yrs,0,H2777-IF(5&gt;Debt_Yr,0,(G3080-0.5*IF(5=Debt_Yr,0,G3383))*INDEX(Fin_Curve,1,5))-G3383-G3383*Fin_ExitFee)</f>
        <v>19567.827930636</v>
      </c>
      <c r="I3686" s="99" t="n">
        <f aca="false">IF(6&gt;Hold_Yrs,0,I2777-IF(6&gt;Debt_Yr,0,(H3080-0.5*IF(6=Debt_Yr,0,H3383))*INDEX(Fin_Curve,1,6))-H3383-H3383*Fin_ExitFee)</f>
        <v>0</v>
      </c>
      <c r="J3686" s="99" t="n">
        <f aca="false">IF(7&gt;Hold_Yrs,0,J2777-IF(7&gt;Debt_Yr,0,(I3080-0.5*IF(7=Debt_Yr,0,I3383))*INDEX(Fin_Curve,1,7))-I3383-I3383*Fin_ExitFee)</f>
        <v>0</v>
      </c>
      <c r="K3686" s="99" t="n">
        <f aca="false">IF(8&gt;Hold_Yrs,0,K2777-IF(8&gt;Debt_Yr,0,(J3080-0.5*IF(8=Debt_Yr,0,J3383))*INDEX(Fin_Curve,1,8))-J3383-J3383*Fin_ExitFee)</f>
        <v>0</v>
      </c>
      <c r="L3686" s="99" t="n">
        <f aca="false">IF(9&gt;Hold_Yrs,0,L2777-IF(9&gt;Debt_Yr,0,(K3080-0.5*IF(9=Debt_Yr,0,K3383))*INDEX(Fin_Curve,1,9))-K3383-K3383*Fin_ExitFee)</f>
        <v>0</v>
      </c>
      <c r="M3686" s="99" t="n">
        <f aca="false">IF(10&gt;Hold_Yrs,0,M2777-IF(10&gt;Debt_Yr,0,(L3080-0.5*IF(10=Debt_Yr,0,L3383))*INDEX(Fin_Curve,1,10))-L3383-L3383*Fin_ExitFee)</f>
        <v>0</v>
      </c>
    </row>
    <row r="3687" customFormat="false" ht="15" hidden="false" customHeight="false" outlineLevel="0" collapsed="false">
      <c r="B3687" s="108" t="str">
        <f aca="false">'Loan Tape'!$A47</f>
        <v>L-044</v>
      </c>
      <c r="C3687" s="71" t="n">
        <f aca="false">-'Loan Tape'!$BE47</f>
        <v>-30488730.59</v>
      </c>
      <c r="D3687" s="71" t="n">
        <f aca="false">IF(1&gt;Hold_Yrs,0,D2778-IF(1&gt;Debt_Yr,0,(C3081-0.5*IF(1=Debt_Yr,0,C3384))*INDEX(Fin_Curve,1,1))-C3384-C3384*Fin_ExitFee)</f>
        <v>36320519.3816497</v>
      </c>
      <c r="E3687" s="71" t="n">
        <f aca="false">IF(2&gt;Hold_Yrs,0,E2778-IF(2&gt;Debt_Yr,0,(D3081-0.5*IF(2=Debt_Yr,0,D3384))*INDEX(Fin_Curve,1,2))-D3384-D3384*Fin_ExitFee)</f>
        <v>1101898</v>
      </c>
      <c r="F3687" s="71" t="n">
        <f aca="false">IF(3&gt;Hold_Yrs,0,F2778-IF(3&gt;Debt_Yr,0,(E3081-0.5*IF(3=Debt_Yr,0,E3384))*INDEX(Fin_Curve,1,3))-E3384-E3384*Fin_ExitFee)</f>
        <v>0</v>
      </c>
      <c r="G3687" s="71" t="n">
        <f aca="false">IF(4&gt;Hold_Yrs,0,G2778-IF(4&gt;Debt_Yr,0,(F3081-0.5*IF(4=Debt_Yr,0,F3384))*INDEX(Fin_Curve,1,4))-F3384-F3384*Fin_ExitFee)</f>
        <v>0</v>
      </c>
      <c r="H3687" s="71" t="n">
        <f aca="false">IF(5&gt;Hold_Yrs,0,H2778-IF(5&gt;Debt_Yr,0,(G3081-0.5*IF(5=Debt_Yr,0,G3384))*INDEX(Fin_Curve,1,5))-G3384-G3384*Fin_ExitFee)</f>
        <v>0</v>
      </c>
      <c r="I3687" s="71" t="n">
        <f aca="false">IF(6&gt;Hold_Yrs,0,I2778-IF(6&gt;Debt_Yr,0,(H3081-0.5*IF(6=Debt_Yr,0,H3384))*INDEX(Fin_Curve,1,6))-H3384-H3384*Fin_ExitFee)</f>
        <v>0</v>
      </c>
      <c r="J3687" s="71" t="n">
        <f aca="false">IF(7&gt;Hold_Yrs,0,J2778-IF(7&gt;Debt_Yr,0,(I3081-0.5*IF(7=Debt_Yr,0,I3384))*INDEX(Fin_Curve,1,7))-I3384-I3384*Fin_ExitFee)</f>
        <v>0</v>
      </c>
      <c r="K3687" s="71" t="n">
        <f aca="false">IF(8&gt;Hold_Yrs,0,K2778-IF(8&gt;Debt_Yr,0,(J3081-0.5*IF(8=Debt_Yr,0,J3384))*INDEX(Fin_Curve,1,8))-J3384-J3384*Fin_ExitFee)</f>
        <v>0</v>
      </c>
      <c r="L3687" s="71" t="n">
        <f aca="false">IF(9&gt;Hold_Yrs,0,L2778-IF(9&gt;Debt_Yr,0,(K3081-0.5*IF(9=Debt_Yr,0,K3384))*INDEX(Fin_Curve,1,9))-K3384-K3384*Fin_ExitFee)</f>
        <v>0</v>
      </c>
      <c r="M3687" s="71" t="n">
        <f aca="false">IF(10&gt;Hold_Yrs,0,M2778-IF(10&gt;Debt_Yr,0,(L3081-0.5*IF(10=Debt_Yr,0,L3384))*INDEX(Fin_Curve,1,10))-L3384-L3384*Fin_ExitFee)</f>
        <v>0</v>
      </c>
    </row>
    <row r="3688" customFormat="false" ht="15" hidden="false" customHeight="false" outlineLevel="0" collapsed="false">
      <c r="B3688" s="102" t="str">
        <f aca="false">'Loan Tape'!$A48</f>
        <v>L-045</v>
      </c>
      <c r="C3688" s="99" t="n">
        <f aca="false">-'Loan Tape'!$BE48</f>
        <v>-21126385.06</v>
      </c>
      <c r="D3688" s="99" t="n">
        <f aca="false">IF(1&gt;Hold_Yrs,0,D2779-IF(1&gt;Debt_Yr,0,(C3082-0.5*IF(1=Debt_Yr,0,C3385))*INDEX(Fin_Curve,1,1))-C3385-C3385*Fin_ExitFee)</f>
        <v>2281213.6562475</v>
      </c>
      <c r="E3688" s="99" t="n">
        <f aca="false">IF(2&gt;Hold_Yrs,0,E2779-IF(2&gt;Debt_Yr,0,(D3082-0.5*IF(2=Debt_Yr,0,D3385))*INDEX(Fin_Curve,1,2))-D3385-D3385*Fin_ExitFee)</f>
        <v>2037178.09528915</v>
      </c>
      <c r="F3688" s="99" t="n">
        <f aca="false">IF(3&gt;Hold_Yrs,0,F2779-IF(3&gt;Debt_Yr,0,(E3082-0.5*IF(3=Debt_Yr,0,E3385))*INDEX(Fin_Curve,1,3))-E3385-E3385*Fin_ExitFee)</f>
        <v>1860081.86335901</v>
      </c>
      <c r="G3688" s="99" t="n">
        <f aca="false">IF(4&gt;Hold_Yrs,0,G2779-IF(4&gt;Debt_Yr,0,(F3082-0.5*IF(4=Debt_Yr,0,F3385))*INDEX(Fin_Curve,1,4))-F3385-F3385*Fin_ExitFee)</f>
        <v>1739790.29002161</v>
      </c>
      <c r="H3688" s="99" t="n">
        <f aca="false">IF(5&gt;Hold_Yrs,0,H2779-IF(5&gt;Debt_Yr,0,(G3082-0.5*IF(5=Debt_Yr,0,G3385))*INDEX(Fin_Curve,1,5))-G3385-G3385*Fin_ExitFee)</f>
        <v>23098835.3764517</v>
      </c>
      <c r="I3688" s="99" t="n">
        <f aca="false">IF(6&gt;Hold_Yrs,0,I2779-IF(6&gt;Debt_Yr,0,(H3082-0.5*IF(6=Debt_Yr,0,H3385))*INDEX(Fin_Curve,1,6))-H3385-H3385*Fin_ExitFee)</f>
        <v>0</v>
      </c>
      <c r="J3688" s="99" t="n">
        <f aca="false">IF(7&gt;Hold_Yrs,0,J2779-IF(7&gt;Debt_Yr,0,(I3082-0.5*IF(7=Debt_Yr,0,I3385))*INDEX(Fin_Curve,1,7))-I3385-I3385*Fin_ExitFee)</f>
        <v>0</v>
      </c>
      <c r="K3688" s="99" t="n">
        <f aca="false">IF(8&gt;Hold_Yrs,0,K2779-IF(8&gt;Debt_Yr,0,(J3082-0.5*IF(8=Debt_Yr,0,J3385))*INDEX(Fin_Curve,1,8))-J3385-J3385*Fin_ExitFee)</f>
        <v>0</v>
      </c>
      <c r="L3688" s="99" t="n">
        <f aca="false">IF(9&gt;Hold_Yrs,0,L2779-IF(9&gt;Debt_Yr,0,(K3082-0.5*IF(9=Debt_Yr,0,K3385))*INDEX(Fin_Curve,1,9))-K3385-K3385*Fin_ExitFee)</f>
        <v>0</v>
      </c>
      <c r="M3688" s="99" t="n">
        <f aca="false">IF(10&gt;Hold_Yrs,0,M2779-IF(10&gt;Debt_Yr,0,(L3082-0.5*IF(10=Debt_Yr,0,L3385))*INDEX(Fin_Curve,1,10))-L3385-L3385*Fin_ExitFee)</f>
        <v>0</v>
      </c>
    </row>
    <row r="3689" customFormat="false" ht="15" hidden="false" customHeight="false" outlineLevel="0" collapsed="false">
      <c r="B3689" s="108" t="str">
        <f aca="false">'Loan Tape'!$A49</f>
        <v>L-046</v>
      </c>
      <c r="C3689" s="71" t="n">
        <f aca="false">-'Loan Tape'!$BE49</f>
        <v>-43916136.9</v>
      </c>
      <c r="D3689" s="71" t="n">
        <f aca="false">IF(1&gt;Hold_Yrs,0,D2780-IF(1&gt;Debt_Yr,0,(C3083-0.5*IF(1=Debt_Yr,0,C3386))*INDEX(Fin_Curve,1,1))-C3386-C3386*Fin_ExitFee)</f>
        <v>50885296.1812843</v>
      </c>
      <c r="E3689" s="71" t="n">
        <f aca="false">IF(2&gt;Hold_Yrs,0,E2780-IF(2&gt;Debt_Yr,0,(D3083-0.5*IF(2=Debt_Yr,0,D3386))*INDEX(Fin_Curve,1,2))-D3386-D3386*Fin_ExitFee)</f>
        <v>1587180</v>
      </c>
      <c r="F3689" s="71" t="n">
        <f aca="false">IF(3&gt;Hold_Yrs,0,F2780-IF(3&gt;Debt_Yr,0,(E3083-0.5*IF(3=Debt_Yr,0,E3386))*INDEX(Fin_Curve,1,3))-E3386-E3386*Fin_ExitFee)</f>
        <v>0</v>
      </c>
      <c r="G3689" s="71" t="n">
        <f aca="false">IF(4&gt;Hold_Yrs,0,G2780-IF(4&gt;Debt_Yr,0,(F3083-0.5*IF(4=Debt_Yr,0,F3386))*INDEX(Fin_Curve,1,4))-F3386-F3386*Fin_ExitFee)</f>
        <v>0</v>
      </c>
      <c r="H3689" s="71" t="n">
        <f aca="false">IF(5&gt;Hold_Yrs,0,H2780-IF(5&gt;Debt_Yr,0,(G3083-0.5*IF(5=Debt_Yr,0,G3386))*INDEX(Fin_Curve,1,5))-G3386-G3386*Fin_ExitFee)</f>
        <v>0</v>
      </c>
      <c r="I3689" s="71" t="n">
        <f aca="false">IF(6&gt;Hold_Yrs,0,I2780-IF(6&gt;Debt_Yr,0,(H3083-0.5*IF(6=Debt_Yr,0,H3386))*INDEX(Fin_Curve,1,6))-H3386-H3386*Fin_ExitFee)</f>
        <v>0</v>
      </c>
      <c r="J3689" s="71" t="n">
        <f aca="false">IF(7&gt;Hold_Yrs,0,J2780-IF(7&gt;Debt_Yr,0,(I3083-0.5*IF(7=Debt_Yr,0,I3386))*INDEX(Fin_Curve,1,7))-I3386-I3386*Fin_ExitFee)</f>
        <v>0</v>
      </c>
      <c r="K3689" s="71" t="n">
        <f aca="false">IF(8&gt;Hold_Yrs,0,K2780-IF(8&gt;Debt_Yr,0,(J3083-0.5*IF(8=Debt_Yr,0,J3386))*INDEX(Fin_Curve,1,8))-J3386-J3386*Fin_ExitFee)</f>
        <v>0</v>
      </c>
      <c r="L3689" s="71" t="n">
        <f aca="false">IF(9&gt;Hold_Yrs,0,L2780-IF(9&gt;Debt_Yr,0,(K3083-0.5*IF(9=Debt_Yr,0,K3386))*INDEX(Fin_Curve,1,9))-K3386-K3386*Fin_ExitFee)</f>
        <v>0</v>
      </c>
      <c r="M3689" s="71" t="n">
        <f aca="false">IF(10&gt;Hold_Yrs,0,M2780-IF(10&gt;Debt_Yr,0,(L3083-0.5*IF(10=Debt_Yr,0,L3386))*INDEX(Fin_Curve,1,10))-L3386-L3386*Fin_ExitFee)</f>
        <v>0</v>
      </c>
    </row>
    <row r="3690" customFormat="false" ht="15" hidden="false" customHeight="false" outlineLevel="0" collapsed="false">
      <c r="B3690" s="102" t="str">
        <f aca="false">'Loan Tape'!$A50</f>
        <v>L-047</v>
      </c>
      <c r="C3690" s="99" t="n">
        <f aca="false">-'Loan Tape'!$BE50</f>
        <v>-2037178.83</v>
      </c>
      <c r="D3690" s="99" t="n">
        <f aca="false">IF(1&gt;Hold_Yrs,0,D2781-IF(1&gt;Debt_Yr,0,(C3084-0.5*IF(1=Debt_Yr,0,C3387))*INDEX(Fin_Curve,1,1))-C3387-C3387*Fin_ExitFee)</f>
        <v>208224.846</v>
      </c>
      <c r="E3690" s="99" t="n">
        <f aca="false">IF(2&gt;Hold_Yrs,0,E2781-IF(2&gt;Debt_Yr,0,(D3084-0.5*IF(2=Debt_Yr,0,D3387))*INDEX(Fin_Curve,1,2))-D3387-D3387*Fin_ExitFee)</f>
        <v>186637.28208</v>
      </c>
      <c r="F3690" s="99" t="n">
        <f aca="false">IF(3&gt;Hold_Yrs,0,F2781-IF(3&gt;Debt_Yr,0,(E3084-0.5*IF(3=Debt_Yr,0,E3387))*INDEX(Fin_Curve,1,3))-E3387-E3387*Fin_ExitFee)</f>
        <v>171432.6800544</v>
      </c>
      <c r="G3690" s="99" t="n">
        <f aca="false">IF(4&gt;Hold_Yrs,0,G2781-IF(4&gt;Debt_Yr,0,(F3084-0.5*IF(4=Debt_Yr,0,F3387))*INDEX(Fin_Curve,1,4))-F3387-F3387*Fin_ExitFee)</f>
        <v>2248823.19264248</v>
      </c>
      <c r="H3690" s="99" t="n">
        <f aca="false">IF(5&gt;Hold_Yrs,0,H2781-IF(5&gt;Debt_Yr,0,(G3084-0.5*IF(5=Debt_Yr,0,G3387))*INDEX(Fin_Curve,1,5))-G3387-G3387*Fin_ExitFee)</f>
        <v>25172.8844127146</v>
      </c>
      <c r="I3690" s="99" t="n">
        <f aca="false">IF(6&gt;Hold_Yrs,0,I2781-IF(6&gt;Debt_Yr,0,(H3084-0.5*IF(6=Debt_Yr,0,H3387))*INDEX(Fin_Curve,1,6))-H3387-H3387*Fin_ExitFee)</f>
        <v>0</v>
      </c>
      <c r="J3690" s="99" t="n">
        <f aca="false">IF(7&gt;Hold_Yrs,0,J2781-IF(7&gt;Debt_Yr,0,(I3084-0.5*IF(7=Debt_Yr,0,I3387))*INDEX(Fin_Curve,1,7))-I3387-I3387*Fin_ExitFee)</f>
        <v>0</v>
      </c>
      <c r="K3690" s="99" t="n">
        <f aca="false">IF(8&gt;Hold_Yrs,0,K2781-IF(8&gt;Debt_Yr,0,(J3084-0.5*IF(8=Debt_Yr,0,J3387))*INDEX(Fin_Curve,1,8))-J3387-J3387*Fin_ExitFee)</f>
        <v>0</v>
      </c>
      <c r="L3690" s="99" t="n">
        <f aca="false">IF(9&gt;Hold_Yrs,0,L2781-IF(9&gt;Debt_Yr,0,(K3084-0.5*IF(9=Debt_Yr,0,K3387))*INDEX(Fin_Curve,1,9))-K3387-K3387*Fin_ExitFee)</f>
        <v>0</v>
      </c>
      <c r="M3690" s="99" t="n">
        <f aca="false">IF(10&gt;Hold_Yrs,0,M2781-IF(10&gt;Debt_Yr,0,(L3084-0.5*IF(10=Debt_Yr,0,L3387))*INDEX(Fin_Curve,1,10))-L3387-L3387*Fin_ExitFee)</f>
        <v>0</v>
      </c>
    </row>
    <row r="3691" customFormat="false" ht="15" hidden="false" customHeight="false" outlineLevel="0" collapsed="false">
      <c r="B3691" s="108" t="str">
        <f aca="false">'Loan Tape'!$A51</f>
        <v>L-048</v>
      </c>
      <c r="C3691" s="71" t="n">
        <f aca="false">-'Loan Tape'!$BE51</f>
        <v>-38814861.37</v>
      </c>
      <c r="D3691" s="71" t="n">
        <f aca="false">IF(1&gt;Hold_Yrs,0,D2782-IF(1&gt;Debt_Yr,0,(C3085-0.5*IF(1=Debt_Yr,0,C3388))*INDEX(Fin_Curve,1,1))-C3388-C3388*Fin_ExitFee)</f>
        <v>2731836.52349578</v>
      </c>
      <c r="E3691" s="71" t="n">
        <f aca="false">IF(2&gt;Hold_Yrs,0,E2782-IF(2&gt;Debt_Yr,0,(D3085-0.5*IF(2=Debt_Yr,0,D3388))*INDEX(Fin_Curve,1,2))-D3388-D3388*Fin_ExitFee)</f>
        <v>43812185.6675919</v>
      </c>
      <c r="F3691" s="71" t="n">
        <f aca="false">IF(3&gt;Hold_Yrs,0,F2782-IF(3&gt;Debt_Yr,0,(E3085-0.5*IF(3=Debt_Yr,0,E3388))*INDEX(Fin_Curve,1,3))-E3388-E3388*Fin_ExitFee)</f>
        <v>806610.808408069</v>
      </c>
      <c r="G3691" s="71" t="n">
        <f aca="false">IF(4&gt;Hold_Yrs,0,G2782-IF(4&gt;Debt_Yr,0,(F3085-0.5*IF(4=Debt_Yr,0,F3388))*INDEX(Fin_Curve,1,4))-F3388-F3388*Fin_ExitFee)</f>
        <v>0</v>
      </c>
      <c r="H3691" s="71" t="n">
        <f aca="false">IF(5&gt;Hold_Yrs,0,H2782-IF(5&gt;Debt_Yr,0,(G3085-0.5*IF(5=Debt_Yr,0,G3388))*INDEX(Fin_Curve,1,5))-G3388-G3388*Fin_ExitFee)</f>
        <v>0</v>
      </c>
      <c r="I3691" s="71" t="n">
        <f aca="false">IF(6&gt;Hold_Yrs,0,I2782-IF(6&gt;Debt_Yr,0,(H3085-0.5*IF(6=Debt_Yr,0,H3388))*INDEX(Fin_Curve,1,6))-H3388-H3388*Fin_ExitFee)</f>
        <v>0</v>
      </c>
      <c r="J3691" s="71" t="n">
        <f aca="false">IF(7&gt;Hold_Yrs,0,J2782-IF(7&gt;Debt_Yr,0,(I3085-0.5*IF(7=Debt_Yr,0,I3388))*INDEX(Fin_Curve,1,7))-I3388-I3388*Fin_ExitFee)</f>
        <v>0</v>
      </c>
      <c r="K3691" s="71" t="n">
        <f aca="false">IF(8&gt;Hold_Yrs,0,K2782-IF(8&gt;Debt_Yr,0,(J3085-0.5*IF(8=Debt_Yr,0,J3388))*INDEX(Fin_Curve,1,8))-J3388-J3388*Fin_ExitFee)</f>
        <v>0</v>
      </c>
      <c r="L3691" s="71" t="n">
        <f aca="false">IF(9&gt;Hold_Yrs,0,L2782-IF(9&gt;Debt_Yr,0,(K3085-0.5*IF(9=Debt_Yr,0,K3388))*INDEX(Fin_Curve,1,9))-K3388-K3388*Fin_ExitFee)</f>
        <v>0</v>
      </c>
      <c r="M3691" s="71" t="n">
        <f aca="false">IF(10&gt;Hold_Yrs,0,M2782-IF(10&gt;Debt_Yr,0,(L3085-0.5*IF(10=Debt_Yr,0,L3388))*INDEX(Fin_Curve,1,10))-L3388-L3388*Fin_ExitFee)</f>
        <v>0</v>
      </c>
    </row>
    <row r="3692" customFormat="false" ht="15" hidden="false" customHeight="false" outlineLevel="0" collapsed="false">
      <c r="B3692" s="102" t="str">
        <f aca="false">'Loan Tape'!$A52</f>
        <v>L-049</v>
      </c>
      <c r="C3692" s="99" t="n">
        <f aca="false">-'Loan Tape'!$BE52</f>
        <v>-20151762.14</v>
      </c>
      <c r="D3692" s="99" t="n">
        <f aca="false">IF(1&gt;Hold_Yrs,0,D2783-IF(1&gt;Debt_Yr,0,(C3086-0.5*IF(1=Debt_Yr,0,C3389))*INDEX(Fin_Curve,1,1))-C3389-C3389*Fin_ExitFee)</f>
        <v>21581326.7</v>
      </c>
      <c r="E3692" s="99" t="n">
        <f aca="false">IF(2&gt;Hold_Yrs,0,E2783-IF(2&gt;Debt_Yr,0,(D3086-0.5*IF(2=Debt_Yr,0,D3389))*INDEX(Fin_Curve,1,2))-D3389-D3389*Fin_ExitFee)</f>
        <v>0</v>
      </c>
      <c r="F3692" s="99" t="n">
        <f aca="false">IF(3&gt;Hold_Yrs,0,F2783-IF(3&gt;Debt_Yr,0,(E3086-0.5*IF(3=Debt_Yr,0,E3389))*INDEX(Fin_Curve,1,3))-E3389-E3389*Fin_ExitFee)</f>
        <v>0</v>
      </c>
      <c r="G3692" s="99" t="n">
        <f aca="false">IF(4&gt;Hold_Yrs,0,G2783-IF(4&gt;Debt_Yr,0,(F3086-0.5*IF(4=Debt_Yr,0,F3389))*INDEX(Fin_Curve,1,4))-F3389-F3389*Fin_ExitFee)</f>
        <v>0</v>
      </c>
      <c r="H3692" s="99" t="n">
        <f aca="false">IF(5&gt;Hold_Yrs,0,H2783-IF(5&gt;Debt_Yr,0,(G3086-0.5*IF(5=Debt_Yr,0,G3389))*INDEX(Fin_Curve,1,5))-G3389-G3389*Fin_ExitFee)</f>
        <v>0</v>
      </c>
      <c r="I3692" s="99" t="n">
        <f aca="false">IF(6&gt;Hold_Yrs,0,I2783-IF(6&gt;Debt_Yr,0,(H3086-0.5*IF(6=Debt_Yr,0,H3389))*INDEX(Fin_Curve,1,6))-H3389-H3389*Fin_ExitFee)</f>
        <v>0</v>
      </c>
      <c r="J3692" s="99" t="n">
        <f aca="false">IF(7&gt;Hold_Yrs,0,J2783-IF(7&gt;Debt_Yr,0,(I3086-0.5*IF(7=Debt_Yr,0,I3389))*INDEX(Fin_Curve,1,7))-I3389-I3389*Fin_ExitFee)</f>
        <v>0</v>
      </c>
      <c r="K3692" s="99" t="n">
        <f aca="false">IF(8&gt;Hold_Yrs,0,K2783-IF(8&gt;Debt_Yr,0,(J3086-0.5*IF(8=Debt_Yr,0,J3389))*INDEX(Fin_Curve,1,8))-J3389-J3389*Fin_ExitFee)</f>
        <v>0</v>
      </c>
      <c r="L3692" s="99" t="n">
        <f aca="false">IF(9&gt;Hold_Yrs,0,L2783-IF(9&gt;Debt_Yr,0,(K3086-0.5*IF(9=Debt_Yr,0,K3389))*INDEX(Fin_Curve,1,9))-K3389-K3389*Fin_ExitFee)</f>
        <v>0</v>
      </c>
      <c r="M3692" s="99" t="n">
        <f aca="false">IF(10&gt;Hold_Yrs,0,M2783-IF(10&gt;Debt_Yr,0,(L3086-0.5*IF(10=Debt_Yr,0,L3389))*INDEX(Fin_Curve,1,10))-L3389-L3389*Fin_ExitFee)</f>
        <v>0</v>
      </c>
    </row>
    <row r="3693" customFormat="false" ht="15" hidden="false" customHeight="false" outlineLevel="0" collapsed="false">
      <c r="B3693" s="108" t="str">
        <f aca="false">'Loan Tape'!$A53</f>
        <v>L-050</v>
      </c>
      <c r="C3693" s="71" t="n">
        <f aca="false">-'Loan Tape'!$BE53</f>
        <v>-46605646.81</v>
      </c>
      <c r="D3693" s="71" t="n">
        <f aca="false">IF(1&gt;Hold_Yrs,0,D2784-IF(1&gt;Debt_Yr,0,(C3087-0.5*IF(1=Debt_Yr,0,C3390))*INDEX(Fin_Curve,1,1))-C3390-C3390*Fin_ExitFee)</f>
        <v>5148193.27</v>
      </c>
      <c r="E3693" s="71" t="n">
        <f aca="false">IF(2&gt;Hold_Yrs,0,E2784-IF(2&gt;Debt_Yr,0,(D3087-0.5*IF(2=Debt_Yr,0,D3390))*INDEX(Fin_Curve,1,2))-D3390-D3390*Fin_ExitFee)</f>
        <v>4608180.4008</v>
      </c>
      <c r="F3693" s="71" t="n">
        <f aca="false">IF(3&gt;Hold_Yrs,0,F2784-IF(3&gt;Debt_Yr,0,(E3087-0.5*IF(3=Debt_Yr,0,E3390))*INDEX(Fin_Curve,1,3))-E3390-E3390*Fin_ExitFee)</f>
        <v>52910114.2808611</v>
      </c>
      <c r="G3693" s="71" t="n">
        <f aca="false">IF(4&gt;Hold_Yrs,0,G2784-IF(4&gt;Debt_Yr,0,(F3087-0.5*IF(4=Debt_Yr,0,F3390))*INDEX(Fin_Curve,1,4))-F3390-F3390*Fin_ExitFee)</f>
        <v>874054.29634716</v>
      </c>
      <c r="H3693" s="71" t="n">
        <f aca="false">IF(5&gt;Hold_Yrs,0,H2784-IF(5&gt;Debt_Yr,0,(G3087-0.5*IF(5=Debt_Yr,0,G3390))*INDEX(Fin_Curve,1,5))-G3390-G3390*Fin_ExitFee)</f>
        <v>0</v>
      </c>
      <c r="I3693" s="71" t="n">
        <f aca="false">IF(6&gt;Hold_Yrs,0,I2784-IF(6&gt;Debt_Yr,0,(H3087-0.5*IF(6=Debt_Yr,0,H3390))*INDEX(Fin_Curve,1,6))-H3390-H3390*Fin_ExitFee)</f>
        <v>0</v>
      </c>
      <c r="J3693" s="71" t="n">
        <f aca="false">IF(7&gt;Hold_Yrs,0,J2784-IF(7&gt;Debt_Yr,0,(I3087-0.5*IF(7=Debt_Yr,0,I3390))*INDEX(Fin_Curve,1,7))-I3390-I3390*Fin_ExitFee)</f>
        <v>0</v>
      </c>
      <c r="K3693" s="71" t="n">
        <f aca="false">IF(8&gt;Hold_Yrs,0,K2784-IF(8&gt;Debt_Yr,0,(J3087-0.5*IF(8=Debt_Yr,0,J3390))*INDEX(Fin_Curve,1,8))-J3390-J3390*Fin_ExitFee)</f>
        <v>0</v>
      </c>
      <c r="L3693" s="71" t="n">
        <f aca="false">IF(9&gt;Hold_Yrs,0,L2784-IF(9&gt;Debt_Yr,0,(K3087-0.5*IF(9=Debt_Yr,0,K3390))*INDEX(Fin_Curve,1,9))-K3390-K3390*Fin_ExitFee)</f>
        <v>0</v>
      </c>
      <c r="M3693" s="71" t="n">
        <f aca="false">IF(10&gt;Hold_Yrs,0,M2784-IF(10&gt;Debt_Yr,0,(L3087-0.5*IF(10=Debt_Yr,0,L3390))*INDEX(Fin_Curve,1,10))-L3390-L3390*Fin_ExitFee)</f>
        <v>0</v>
      </c>
    </row>
    <row r="3694" customFormat="false" ht="15" hidden="false" customHeight="false" outlineLevel="0" collapsed="false">
      <c r="B3694" s="102" t="n">
        <f aca="false">'Loan Tape'!$A54</f>
        <v>0</v>
      </c>
      <c r="C3694" s="99" t="n">
        <f aca="false">-'Loan Tape'!$BE54</f>
        <v>-0</v>
      </c>
      <c r="D3694" s="99" t="n">
        <f aca="false">IF(1&gt;Hold_Yrs,0,D2785-IF(1&gt;Debt_Yr,0,(C3088-0.5*IF(1=Debt_Yr,0,C3391))*INDEX(Fin_Curve,1,1))-C3391-C3391*Fin_ExitFee)</f>
        <v>0</v>
      </c>
      <c r="E3694" s="99" t="n">
        <f aca="false">IF(2&gt;Hold_Yrs,0,E2785-IF(2&gt;Debt_Yr,0,(D3088-0.5*IF(2=Debt_Yr,0,D3391))*INDEX(Fin_Curve,1,2))-D3391-D3391*Fin_ExitFee)</f>
        <v>0</v>
      </c>
      <c r="F3694" s="99" t="n">
        <f aca="false">IF(3&gt;Hold_Yrs,0,F2785-IF(3&gt;Debt_Yr,0,(E3088-0.5*IF(3=Debt_Yr,0,E3391))*INDEX(Fin_Curve,1,3))-E3391-E3391*Fin_ExitFee)</f>
        <v>0</v>
      </c>
      <c r="G3694" s="99" t="n">
        <f aca="false">IF(4&gt;Hold_Yrs,0,G2785-IF(4&gt;Debt_Yr,0,(F3088-0.5*IF(4=Debt_Yr,0,F3391))*INDEX(Fin_Curve,1,4))-F3391-F3391*Fin_ExitFee)</f>
        <v>0</v>
      </c>
      <c r="H3694" s="99" t="n">
        <f aca="false">IF(5&gt;Hold_Yrs,0,H2785-IF(5&gt;Debt_Yr,0,(G3088-0.5*IF(5=Debt_Yr,0,G3391))*INDEX(Fin_Curve,1,5))-G3391-G3391*Fin_ExitFee)</f>
        <v>0</v>
      </c>
      <c r="I3694" s="99" t="n">
        <f aca="false">IF(6&gt;Hold_Yrs,0,I2785-IF(6&gt;Debt_Yr,0,(H3088-0.5*IF(6=Debt_Yr,0,H3391))*INDEX(Fin_Curve,1,6))-H3391-H3391*Fin_ExitFee)</f>
        <v>0</v>
      </c>
      <c r="J3694" s="99" t="n">
        <f aca="false">IF(7&gt;Hold_Yrs,0,J2785-IF(7&gt;Debt_Yr,0,(I3088-0.5*IF(7=Debt_Yr,0,I3391))*INDEX(Fin_Curve,1,7))-I3391-I3391*Fin_ExitFee)</f>
        <v>0</v>
      </c>
      <c r="K3694" s="99" t="n">
        <f aca="false">IF(8&gt;Hold_Yrs,0,K2785-IF(8&gt;Debt_Yr,0,(J3088-0.5*IF(8=Debt_Yr,0,J3391))*INDEX(Fin_Curve,1,8))-J3391-J3391*Fin_ExitFee)</f>
        <v>0</v>
      </c>
      <c r="L3694" s="99" t="n">
        <f aca="false">IF(9&gt;Hold_Yrs,0,L2785-IF(9&gt;Debt_Yr,0,(K3088-0.5*IF(9=Debt_Yr,0,K3391))*INDEX(Fin_Curve,1,9))-K3391-K3391*Fin_ExitFee)</f>
        <v>0</v>
      </c>
      <c r="M3694" s="99" t="n">
        <f aca="false">IF(10&gt;Hold_Yrs,0,M2785-IF(10&gt;Debt_Yr,0,(L3088-0.5*IF(10=Debt_Yr,0,L3391))*INDEX(Fin_Curve,1,10))-L3391-L3391*Fin_ExitFee)</f>
        <v>0</v>
      </c>
    </row>
    <row r="3695" customFormat="false" ht="15" hidden="false" customHeight="false" outlineLevel="0" collapsed="false">
      <c r="B3695" s="108" t="n">
        <f aca="false">'Loan Tape'!$A55</f>
        <v>0</v>
      </c>
      <c r="C3695" s="71" t="n">
        <f aca="false">-'Loan Tape'!$BE55</f>
        <v>-0</v>
      </c>
      <c r="D3695" s="71" t="n">
        <f aca="false">IF(1&gt;Hold_Yrs,0,D2786-IF(1&gt;Debt_Yr,0,(C3089-0.5*IF(1=Debt_Yr,0,C3392))*INDEX(Fin_Curve,1,1))-C3392-C3392*Fin_ExitFee)</f>
        <v>0</v>
      </c>
      <c r="E3695" s="71" t="n">
        <f aca="false">IF(2&gt;Hold_Yrs,0,E2786-IF(2&gt;Debt_Yr,0,(D3089-0.5*IF(2=Debt_Yr,0,D3392))*INDEX(Fin_Curve,1,2))-D3392-D3392*Fin_ExitFee)</f>
        <v>0</v>
      </c>
      <c r="F3695" s="71" t="n">
        <f aca="false">IF(3&gt;Hold_Yrs,0,F2786-IF(3&gt;Debt_Yr,0,(E3089-0.5*IF(3=Debt_Yr,0,E3392))*INDEX(Fin_Curve,1,3))-E3392-E3392*Fin_ExitFee)</f>
        <v>0</v>
      </c>
      <c r="G3695" s="71" t="n">
        <f aca="false">IF(4&gt;Hold_Yrs,0,G2786-IF(4&gt;Debt_Yr,0,(F3089-0.5*IF(4=Debt_Yr,0,F3392))*INDEX(Fin_Curve,1,4))-F3392-F3392*Fin_ExitFee)</f>
        <v>0</v>
      </c>
      <c r="H3695" s="71" t="n">
        <f aca="false">IF(5&gt;Hold_Yrs,0,H2786-IF(5&gt;Debt_Yr,0,(G3089-0.5*IF(5=Debt_Yr,0,G3392))*INDEX(Fin_Curve,1,5))-G3392-G3392*Fin_ExitFee)</f>
        <v>0</v>
      </c>
      <c r="I3695" s="71" t="n">
        <f aca="false">IF(6&gt;Hold_Yrs,0,I2786-IF(6&gt;Debt_Yr,0,(H3089-0.5*IF(6=Debt_Yr,0,H3392))*INDEX(Fin_Curve,1,6))-H3392-H3392*Fin_ExitFee)</f>
        <v>0</v>
      </c>
      <c r="J3695" s="71" t="n">
        <f aca="false">IF(7&gt;Hold_Yrs,0,J2786-IF(7&gt;Debt_Yr,0,(I3089-0.5*IF(7=Debt_Yr,0,I3392))*INDEX(Fin_Curve,1,7))-I3392-I3392*Fin_ExitFee)</f>
        <v>0</v>
      </c>
      <c r="K3695" s="71" t="n">
        <f aca="false">IF(8&gt;Hold_Yrs,0,K2786-IF(8&gt;Debt_Yr,0,(J3089-0.5*IF(8=Debt_Yr,0,J3392))*INDEX(Fin_Curve,1,8))-J3392-J3392*Fin_ExitFee)</f>
        <v>0</v>
      </c>
      <c r="L3695" s="71" t="n">
        <f aca="false">IF(9&gt;Hold_Yrs,0,L2786-IF(9&gt;Debt_Yr,0,(K3089-0.5*IF(9=Debt_Yr,0,K3392))*INDEX(Fin_Curve,1,9))-K3392-K3392*Fin_ExitFee)</f>
        <v>0</v>
      </c>
      <c r="M3695" s="71" t="n">
        <f aca="false">IF(10&gt;Hold_Yrs,0,M2786-IF(10&gt;Debt_Yr,0,(L3089-0.5*IF(10=Debt_Yr,0,L3392))*INDEX(Fin_Curve,1,10))-L3392-L3392*Fin_ExitFee)</f>
        <v>0</v>
      </c>
    </row>
    <row r="3696" customFormat="false" ht="15" hidden="false" customHeight="false" outlineLevel="0" collapsed="false">
      <c r="B3696" s="102" t="n">
        <f aca="false">'Loan Tape'!$A56</f>
        <v>0</v>
      </c>
      <c r="C3696" s="99" t="n">
        <f aca="false">-'Loan Tape'!$BE56</f>
        <v>-0</v>
      </c>
      <c r="D3696" s="99" t="n">
        <f aca="false">IF(1&gt;Hold_Yrs,0,D2787-IF(1&gt;Debt_Yr,0,(C3090-0.5*IF(1=Debt_Yr,0,C3393))*INDEX(Fin_Curve,1,1))-C3393-C3393*Fin_ExitFee)</f>
        <v>0</v>
      </c>
      <c r="E3696" s="99" t="n">
        <f aca="false">IF(2&gt;Hold_Yrs,0,E2787-IF(2&gt;Debt_Yr,0,(D3090-0.5*IF(2=Debt_Yr,0,D3393))*INDEX(Fin_Curve,1,2))-D3393-D3393*Fin_ExitFee)</f>
        <v>0</v>
      </c>
      <c r="F3696" s="99" t="n">
        <f aca="false">IF(3&gt;Hold_Yrs,0,F2787-IF(3&gt;Debt_Yr,0,(E3090-0.5*IF(3=Debt_Yr,0,E3393))*INDEX(Fin_Curve,1,3))-E3393-E3393*Fin_ExitFee)</f>
        <v>0</v>
      </c>
      <c r="G3696" s="99" t="n">
        <f aca="false">IF(4&gt;Hold_Yrs,0,G2787-IF(4&gt;Debt_Yr,0,(F3090-0.5*IF(4=Debt_Yr,0,F3393))*INDEX(Fin_Curve,1,4))-F3393-F3393*Fin_ExitFee)</f>
        <v>0</v>
      </c>
      <c r="H3696" s="99" t="n">
        <f aca="false">IF(5&gt;Hold_Yrs,0,H2787-IF(5&gt;Debt_Yr,0,(G3090-0.5*IF(5=Debt_Yr,0,G3393))*INDEX(Fin_Curve,1,5))-G3393-G3393*Fin_ExitFee)</f>
        <v>0</v>
      </c>
      <c r="I3696" s="99" t="n">
        <f aca="false">IF(6&gt;Hold_Yrs,0,I2787-IF(6&gt;Debt_Yr,0,(H3090-0.5*IF(6=Debt_Yr,0,H3393))*INDEX(Fin_Curve,1,6))-H3393-H3393*Fin_ExitFee)</f>
        <v>0</v>
      </c>
      <c r="J3696" s="99" t="n">
        <f aca="false">IF(7&gt;Hold_Yrs,0,J2787-IF(7&gt;Debt_Yr,0,(I3090-0.5*IF(7=Debt_Yr,0,I3393))*INDEX(Fin_Curve,1,7))-I3393-I3393*Fin_ExitFee)</f>
        <v>0</v>
      </c>
      <c r="K3696" s="99" t="n">
        <f aca="false">IF(8&gt;Hold_Yrs,0,K2787-IF(8&gt;Debt_Yr,0,(J3090-0.5*IF(8=Debt_Yr,0,J3393))*INDEX(Fin_Curve,1,8))-J3393-J3393*Fin_ExitFee)</f>
        <v>0</v>
      </c>
      <c r="L3696" s="99" t="n">
        <f aca="false">IF(9&gt;Hold_Yrs,0,L2787-IF(9&gt;Debt_Yr,0,(K3090-0.5*IF(9=Debt_Yr,0,K3393))*INDEX(Fin_Curve,1,9))-K3393-K3393*Fin_ExitFee)</f>
        <v>0</v>
      </c>
      <c r="M3696" s="99" t="n">
        <f aca="false">IF(10&gt;Hold_Yrs,0,M2787-IF(10&gt;Debt_Yr,0,(L3090-0.5*IF(10=Debt_Yr,0,L3393))*INDEX(Fin_Curve,1,10))-L3393-L3393*Fin_ExitFee)</f>
        <v>0</v>
      </c>
    </row>
    <row r="3697" customFormat="false" ht="15" hidden="false" customHeight="false" outlineLevel="0" collapsed="false">
      <c r="B3697" s="108" t="n">
        <f aca="false">'Loan Tape'!$A57</f>
        <v>0</v>
      </c>
      <c r="C3697" s="71" t="n">
        <f aca="false">-'Loan Tape'!$BE57</f>
        <v>-0</v>
      </c>
      <c r="D3697" s="71" t="n">
        <f aca="false">IF(1&gt;Hold_Yrs,0,D2788-IF(1&gt;Debt_Yr,0,(C3091-0.5*IF(1=Debt_Yr,0,C3394))*INDEX(Fin_Curve,1,1))-C3394-C3394*Fin_ExitFee)</f>
        <v>0</v>
      </c>
      <c r="E3697" s="71" t="n">
        <f aca="false">IF(2&gt;Hold_Yrs,0,E2788-IF(2&gt;Debt_Yr,0,(D3091-0.5*IF(2=Debt_Yr,0,D3394))*INDEX(Fin_Curve,1,2))-D3394-D3394*Fin_ExitFee)</f>
        <v>0</v>
      </c>
      <c r="F3697" s="71" t="n">
        <f aca="false">IF(3&gt;Hold_Yrs,0,F2788-IF(3&gt;Debt_Yr,0,(E3091-0.5*IF(3=Debt_Yr,0,E3394))*INDEX(Fin_Curve,1,3))-E3394-E3394*Fin_ExitFee)</f>
        <v>0</v>
      </c>
      <c r="G3697" s="71" t="n">
        <f aca="false">IF(4&gt;Hold_Yrs,0,G2788-IF(4&gt;Debt_Yr,0,(F3091-0.5*IF(4=Debt_Yr,0,F3394))*INDEX(Fin_Curve,1,4))-F3394-F3394*Fin_ExitFee)</f>
        <v>0</v>
      </c>
      <c r="H3697" s="71" t="n">
        <f aca="false">IF(5&gt;Hold_Yrs,0,H2788-IF(5&gt;Debt_Yr,0,(G3091-0.5*IF(5=Debt_Yr,0,G3394))*INDEX(Fin_Curve,1,5))-G3394-G3394*Fin_ExitFee)</f>
        <v>0</v>
      </c>
      <c r="I3697" s="71" t="n">
        <f aca="false">IF(6&gt;Hold_Yrs,0,I2788-IF(6&gt;Debt_Yr,0,(H3091-0.5*IF(6=Debt_Yr,0,H3394))*INDEX(Fin_Curve,1,6))-H3394-H3394*Fin_ExitFee)</f>
        <v>0</v>
      </c>
      <c r="J3697" s="71" t="n">
        <f aca="false">IF(7&gt;Hold_Yrs,0,J2788-IF(7&gt;Debt_Yr,0,(I3091-0.5*IF(7=Debt_Yr,0,I3394))*INDEX(Fin_Curve,1,7))-I3394-I3394*Fin_ExitFee)</f>
        <v>0</v>
      </c>
      <c r="K3697" s="71" t="n">
        <f aca="false">IF(8&gt;Hold_Yrs,0,K2788-IF(8&gt;Debt_Yr,0,(J3091-0.5*IF(8=Debt_Yr,0,J3394))*INDEX(Fin_Curve,1,8))-J3394-J3394*Fin_ExitFee)</f>
        <v>0</v>
      </c>
      <c r="L3697" s="71" t="n">
        <f aca="false">IF(9&gt;Hold_Yrs,0,L2788-IF(9&gt;Debt_Yr,0,(K3091-0.5*IF(9=Debt_Yr,0,K3394))*INDEX(Fin_Curve,1,9))-K3394-K3394*Fin_ExitFee)</f>
        <v>0</v>
      </c>
      <c r="M3697" s="71" t="n">
        <f aca="false">IF(10&gt;Hold_Yrs,0,M2788-IF(10&gt;Debt_Yr,0,(L3091-0.5*IF(10=Debt_Yr,0,L3394))*INDEX(Fin_Curve,1,10))-L3394-L3394*Fin_ExitFee)</f>
        <v>0</v>
      </c>
    </row>
    <row r="3698" customFormat="false" ht="15" hidden="false" customHeight="false" outlineLevel="0" collapsed="false">
      <c r="B3698" s="102" t="n">
        <f aca="false">'Loan Tape'!$A58</f>
        <v>0</v>
      </c>
      <c r="C3698" s="99" t="n">
        <f aca="false">-'Loan Tape'!$BE58</f>
        <v>-0</v>
      </c>
      <c r="D3698" s="99" t="n">
        <f aca="false">IF(1&gt;Hold_Yrs,0,D2789-IF(1&gt;Debt_Yr,0,(C3092-0.5*IF(1=Debt_Yr,0,C3395))*INDEX(Fin_Curve,1,1))-C3395-C3395*Fin_ExitFee)</f>
        <v>0</v>
      </c>
      <c r="E3698" s="99" t="n">
        <f aca="false">IF(2&gt;Hold_Yrs,0,E2789-IF(2&gt;Debt_Yr,0,(D3092-0.5*IF(2=Debt_Yr,0,D3395))*INDEX(Fin_Curve,1,2))-D3395-D3395*Fin_ExitFee)</f>
        <v>0</v>
      </c>
      <c r="F3698" s="99" t="n">
        <f aca="false">IF(3&gt;Hold_Yrs,0,F2789-IF(3&gt;Debt_Yr,0,(E3092-0.5*IF(3=Debt_Yr,0,E3395))*INDEX(Fin_Curve,1,3))-E3395-E3395*Fin_ExitFee)</f>
        <v>0</v>
      </c>
      <c r="G3698" s="99" t="n">
        <f aca="false">IF(4&gt;Hold_Yrs,0,G2789-IF(4&gt;Debt_Yr,0,(F3092-0.5*IF(4=Debt_Yr,0,F3395))*INDEX(Fin_Curve,1,4))-F3395-F3395*Fin_ExitFee)</f>
        <v>0</v>
      </c>
      <c r="H3698" s="99" t="n">
        <f aca="false">IF(5&gt;Hold_Yrs,0,H2789-IF(5&gt;Debt_Yr,0,(G3092-0.5*IF(5=Debt_Yr,0,G3395))*INDEX(Fin_Curve,1,5))-G3395-G3395*Fin_ExitFee)</f>
        <v>0</v>
      </c>
      <c r="I3698" s="99" t="n">
        <f aca="false">IF(6&gt;Hold_Yrs,0,I2789-IF(6&gt;Debt_Yr,0,(H3092-0.5*IF(6=Debt_Yr,0,H3395))*INDEX(Fin_Curve,1,6))-H3395-H3395*Fin_ExitFee)</f>
        <v>0</v>
      </c>
      <c r="J3698" s="99" t="n">
        <f aca="false">IF(7&gt;Hold_Yrs,0,J2789-IF(7&gt;Debt_Yr,0,(I3092-0.5*IF(7=Debt_Yr,0,I3395))*INDEX(Fin_Curve,1,7))-I3395-I3395*Fin_ExitFee)</f>
        <v>0</v>
      </c>
      <c r="K3698" s="99" t="n">
        <f aca="false">IF(8&gt;Hold_Yrs,0,K2789-IF(8&gt;Debt_Yr,0,(J3092-0.5*IF(8=Debt_Yr,0,J3395))*INDEX(Fin_Curve,1,8))-J3395-J3395*Fin_ExitFee)</f>
        <v>0</v>
      </c>
      <c r="L3698" s="99" t="n">
        <f aca="false">IF(9&gt;Hold_Yrs,0,L2789-IF(9&gt;Debt_Yr,0,(K3092-0.5*IF(9=Debt_Yr,0,K3395))*INDEX(Fin_Curve,1,9))-K3395-K3395*Fin_ExitFee)</f>
        <v>0</v>
      </c>
      <c r="M3698" s="99" t="n">
        <f aca="false">IF(10&gt;Hold_Yrs,0,M2789-IF(10&gt;Debt_Yr,0,(L3092-0.5*IF(10=Debt_Yr,0,L3395))*INDEX(Fin_Curve,1,10))-L3395-L3395*Fin_ExitFee)</f>
        <v>0</v>
      </c>
    </row>
    <row r="3699" customFormat="false" ht="15" hidden="false" customHeight="false" outlineLevel="0" collapsed="false">
      <c r="B3699" s="108" t="n">
        <f aca="false">'Loan Tape'!$A59</f>
        <v>0</v>
      </c>
      <c r="C3699" s="71" t="n">
        <f aca="false">-'Loan Tape'!$BE59</f>
        <v>-0</v>
      </c>
      <c r="D3699" s="71" t="n">
        <f aca="false">IF(1&gt;Hold_Yrs,0,D2790-IF(1&gt;Debt_Yr,0,(C3093-0.5*IF(1=Debt_Yr,0,C3396))*INDEX(Fin_Curve,1,1))-C3396-C3396*Fin_ExitFee)</f>
        <v>0</v>
      </c>
      <c r="E3699" s="71" t="n">
        <f aca="false">IF(2&gt;Hold_Yrs,0,E2790-IF(2&gt;Debt_Yr,0,(D3093-0.5*IF(2=Debt_Yr,0,D3396))*INDEX(Fin_Curve,1,2))-D3396-D3396*Fin_ExitFee)</f>
        <v>0</v>
      </c>
      <c r="F3699" s="71" t="n">
        <f aca="false">IF(3&gt;Hold_Yrs,0,F2790-IF(3&gt;Debt_Yr,0,(E3093-0.5*IF(3=Debt_Yr,0,E3396))*INDEX(Fin_Curve,1,3))-E3396-E3396*Fin_ExitFee)</f>
        <v>0</v>
      </c>
      <c r="G3699" s="71" t="n">
        <f aca="false">IF(4&gt;Hold_Yrs,0,G2790-IF(4&gt;Debt_Yr,0,(F3093-0.5*IF(4=Debt_Yr,0,F3396))*INDEX(Fin_Curve,1,4))-F3396-F3396*Fin_ExitFee)</f>
        <v>0</v>
      </c>
      <c r="H3699" s="71" t="n">
        <f aca="false">IF(5&gt;Hold_Yrs,0,H2790-IF(5&gt;Debt_Yr,0,(G3093-0.5*IF(5=Debt_Yr,0,G3396))*INDEX(Fin_Curve,1,5))-G3396-G3396*Fin_ExitFee)</f>
        <v>0</v>
      </c>
      <c r="I3699" s="71" t="n">
        <f aca="false">IF(6&gt;Hold_Yrs,0,I2790-IF(6&gt;Debt_Yr,0,(H3093-0.5*IF(6=Debt_Yr,0,H3396))*INDEX(Fin_Curve,1,6))-H3396-H3396*Fin_ExitFee)</f>
        <v>0</v>
      </c>
      <c r="J3699" s="71" t="n">
        <f aca="false">IF(7&gt;Hold_Yrs,0,J2790-IF(7&gt;Debt_Yr,0,(I3093-0.5*IF(7=Debt_Yr,0,I3396))*INDEX(Fin_Curve,1,7))-I3396-I3396*Fin_ExitFee)</f>
        <v>0</v>
      </c>
      <c r="K3699" s="71" t="n">
        <f aca="false">IF(8&gt;Hold_Yrs,0,K2790-IF(8&gt;Debt_Yr,0,(J3093-0.5*IF(8=Debt_Yr,0,J3396))*INDEX(Fin_Curve,1,8))-J3396-J3396*Fin_ExitFee)</f>
        <v>0</v>
      </c>
      <c r="L3699" s="71" t="n">
        <f aca="false">IF(9&gt;Hold_Yrs,0,L2790-IF(9&gt;Debt_Yr,0,(K3093-0.5*IF(9=Debt_Yr,0,K3396))*INDEX(Fin_Curve,1,9))-K3396-K3396*Fin_ExitFee)</f>
        <v>0</v>
      </c>
      <c r="M3699" s="71" t="n">
        <f aca="false">IF(10&gt;Hold_Yrs,0,M2790-IF(10&gt;Debt_Yr,0,(L3093-0.5*IF(10=Debt_Yr,0,L3396))*INDEX(Fin_Curve,1,10))-L3396-L3396*Fin_ExitFee)</f>
        <v>0</v>
      </c>
    </row>
    <row r="3700" customFormat="false" ht="15" hidden="false" customHeight="false" outlineLevel="0" collapsed="false">
      <c r="B3700" s="102" t="n">
        <f aca="false">'Loan Tape'!$A60</f>
        <v>0</v>
      </c>
      <c r="C3700" s="99" t="n">
        <f aca="false">-'Loan Tape'!$BE60</f>
        <v>-0</v>
      </c>
      <c r="D3700" s="99" t="n">
        <f aca="false">IF(1&gt;Hold_Yrs,0,D2791-IF(1&gt;Debt_Yr,0,(C3094-0.5*IF(1=Debt_Yr,0,C3397))*INDEX(Fin_Curve,1,1))-C3397-C3397*Fin_ExitFee)</f>
        <v>0</v>
      </c>
      <c r="E3700" s="99" t="n">
        <f aca="false">IF(2&gt;Hold_Yrs,0,E2791-IF(2&gt;Debt_Yr,0,(D3094-0.5*IF(2=Debt_Yr,0,D3397))*INDEX(Fin_Curve,1,2))-D3397-D3397*Fin_ExitFee)</f>
        <v>0</v>
      </c>
      <c r="F3700" s="99" t="n">
        <f aca="false">IF(3&gt;Hold_Yrs,0,F2791-IF(3&gt;Debt_Yr,0,(E3094-0.5*IF(3=Debt_Yr,0,E3397))*INDEX(Fin_Curve,1,3))-E3397-E3397*Fin_ExitFee)</f>
        <v>0</v>
      </c>
      <c r="G3700" s="99" t="n">
        <f aca="false">IF(4&gt;Hold_Yrs,0,G2791-IF(4&gt;Debt_Yr,0,(F3094-0.5*IF(4=Debt_Yr,0,F3397))*INDEX(Fin_Curve,1,4))-F3397-F3397*Fin_ExitFee)</f>
        <v>0</v>
      </c>
      <c r="H3700" s="99" t="n">
        <f aca="false">IF(5&gt;Hold_Yrs,0,H2791-IF(5&gt;Debt_Yr,0,(G3094-0.5*IF(5=Debt_Yr,0,G3397))*INDEX(Fin_Curve,1,5))-G3397-G3397*Fin_ExitFee)</f>
        <v>0</v>
      </c>
      <c r="I3700" s="99" t="n">
        <f aca="false">IF(6&gt;Hold_Yrs,0,I2791-IF(6&gt;Debt_Yr,0,(H3094-0.5*IF(6=Debt_Yr,0,H3397))*INDEX(Fin_Curve,1,6))-H3397-H3397*Fin_ExitFee)</f>
        <v>0</v>
      </c>
      <c r="J3700" s="99" t="n">
        <f aca="false">IF(7&gt;Hold_Yrs,0,J2791-IF(7&gt;Debt_Yr,0,(I3094-0.5*IF(7=Debt_Yr,0,I3397))*INDEX(Fin_Curve,1,7))-I3397-I3397*Fin_ExitFee)</f>
        <v>0</v>
      </c>
      <c r="K3700" s="99" t="n">
        <f aca="false">IF(8&gt;Hold_Yrs,0,K2791-IF(8&gt;Debt_Yr,0,(J3094-0.5*IF(8=Debt_Yr,0,J3397))*INDEX(Fin_Curve,1,8))-J3397-J3397*Fin_ExitFee)</f>
        <v>0</v>
      </c>
      <c r="L3700" s="99" t="n">
        <f aca="false">IF(9&gt;Hold_Yrs,0,L2791-IF(9&gt;Debt_Yr,0,(K3094-0.5*IF(9=Debt_Yr,0,K3397))*INDEX(Fin_Curve,1,9))-K3397-K3397*Fin_ExitFee)</f>
        <v>0</v>
      </c>
      <c r="M3700" s="99" t="n">
        <f aca="false">IF(10&gt;Hold_Yrs,0,M2791-IF(10&gt;Debt_Yr,0,(L3094-0.5*IF(10=Debt_Yr,0,L3397))*INDEX(Fin_Curve,1,10))-L3397-L3397*Fin_ExitFee)</f>
        <v>0</v>
      </c>
    </row>
    <row r="3701" customFormat="false" ht="15" hidden="false" customHeight="false" outlineLevel="0" collapsed="false">
      <c r="B3701" s="108" t="n">
        <f aca="false">'Loan Tape'!$A61</f>
        <v>0</v>
      </c>
      <c r="C3701" s="71" t="n">
        <f aca="false">-'Loan Tape'!$BE61</f>
        <v>-0</v>
      </c>
      <c r="D3701" s="71" t="n">
        <f aca="false">IF(1&gt;Hold_Yrs,0,D2792-IF(1&gt;Debt_Yr,0,(C3095-0.5*IF(1=Debt_Yr,0,C3398))*INDEX(Fin_Curve,1,1))-C3398-C3398*Fin_ExitFee)</f>
        <v>0</v>
      </c>
      <c r="E3701" s="71" t="n">
        <f aca="false">IF(2&gt;Hold_Yrs,0,E2792-IF(2&gt;Debt_Yr,0,(D3095-0.5*IF(2=Debt_Yr,0,D3398))*INDEX(Fin_Curve,1,2))-D3398-D3398*Fin_ExitFee)</f>
        <v>0</v>
      </c>
      <c r="F3701" s="71" t="n">
        <f aca="false">IF(3&gt;Hold_Yrs,0,F2792-IF(3&gt;Debt_Yr,0,(E3095-0.5*IF(3=Debt_Yr,0,E3398))*INDEX(Fin_Curve,1,3))-E3398-E3398*Fin_ExitFee)</f>
        <v>0</v>
      </c>
      <c r="G3701" s="71" t="n">
        <f aca="false">IF(4&gt;Hold_Yrs,0,G2792-IF(4&gt;Debt_Yr,0,(F3095-0.5*IF(4=Debt_Yr,0,F3398))*INDEX(Fin_Curve,1,4))-F3398-F3398*Fin_ExitFee)</f>
        <v>0</v>
      </c>
      <c r="H3701" s="71" t="n">
        <f aca="false">IF(5&gt;Hold_Yrs,0,H2792-IF(5&gt;Debt_Yr,0,(G3095-0.5*IF(5=Debt_Yr,0,G3398))*INDEX(Fin_Curve,1,5))-G3398-G3398*Fin_ExitFee)</f>
        <v>0</v>
      </c>
      <c r="I3701" s="71" t="n">
        <f aca="false">IF(6&gt;Hold_Yrs,0,I2792-IF(6&gt;Debt_Yr,0,(H3095-0.5*IF(6=Debt_Yr,0,H3398))*INDEX(Fin_Curve,1,6))-H3398-H3398*Fin_ExitFee)</f>
        <v>0</v>
      </c>
      <c r="J3701" s="71" t="n">
        <f aca="false">IF(7&gt;Hold_Yrs,0,J2792-IF(7&gt;Debt_Yr,0,(I3095-0.5*IF(7=Debt_Yr,0,I3398))*INDEX(Fin_Curve,1,7))-I3398-I3398*Fin_ExitFee)</f>
        <v>0</v>
      </c>
      <c r="K3701" s="71" t="n">
        <f aca="false">IF(8&gt;Hold_Yrs,0,K2792-IF(8&gt;Debt_Yr,0,(J3095-0.5*IF(8=Debt_Yr,0,J3398))*INDEX(Fin_Curve,1,8))-J3398-J3398*Fin_ExitFee)</f>
        <v>0</v>
      </c>
      <c r="L3701" s="71" t="n">
        <f aca="false">IF(9&gt;Hold_Yrs,0,L2792-IF(9&gt;Debt_Yr,0,(K3095-0.5*IF(9=Debt_Yr,0,K3398))*INDEX(Fin_Curve,1,9))-K3398-K3398*Fin_ExitFee)</f>
        <v>0</v>
      </c>
      <c r="M3701" s="71" t="n">
        <f aca="false">IF(10&gt;Hold_Yrs,0,M2792-IF(10&gt;Debt_Yr,0,(L3095-0.5*IF(10=Debt_Yr,0,L3398))*INDEX(Fin_Curve,1,10))-L3398-L3398*Fin_ExitFee)</f>
        <v>0</v>
      </c>
    </row>
    <row r="3702" customFormat="false" ht="15" hidden="false" customHeight="false" outlineLevel="0" collapsed="false">
      <c r="B3702" s="102" t="n">
        <f aca="false">'Loan Tape'!$A62</f>
        <v>0</v>
      </c>
      <c r="C3702" s="99" t="n">
        <f aca="false">-'Loan Tape'!$BE62</f>
        <v>-0</v>
      </c>
      <c r="D3702" s="99" t="n">
        <f aca="false">IF(1&gt;Hold_Yrs,0,D2793-IF(1&gt;Debt_Yr,0,(C3096-0.5*IF(1=Debt_Yr,0,C3399))*INDEX(Fin_Curve,1,1))-C3399-C3399*Fin_ExitFee)</f>
        <v>0</v>
      </c>
      <c r="E3702" s="99" t="n">
        <f aca="false">IF(2&gt;Hold_Yrs,0,E2793-IF(2&gt;Debt_Yr,0,(D3096-0.5*IF(2=Debt_Yr,0,D3399))*INDEX(Fin_Curve,1,2))-D3399-D3399*Fin_ExitFee)</f>
        <v>0</v>
      </c>
      <c r="F3702" s="99" t="n">
        <f aca="false">IF(3&gt;Hold_Yrs,0,F2793-IF(3&gt;Debt_Yr,0,(E3096-0.5*IF(3=Debt_Yr,0,E3399))*INDEX(Fin_Curve,1,3))-E3399-E3399*Fin_ExitFee)</f>
        <v>0</v>
      </c>
      <c r="G3702" s="99" t="n">
        <f aca="false">IF(4&gt;Hold_Yrs,0,G2793-IF(4&gt;Debt_Yr,0,(F3096-0.5*IF(4=Debt_Yr,0,F3399))*INDEX(Fin_Curve,1,4))-F3399-F3399*Fin_ExitFee)</f>
        <v>0</v>
      </c>
      <c r="H3702" s="99" t="n">
        <f aca="false">IF(5&gt;Hold_Yrs,0,H2793-IF(5&gt;Debt_Yr,0,(G3096-0.5*IF(5=Debt_Yr,0,G3399))*INDEX(Fin_Curve,1,5))-G3399-G3399*Fin_ExitFee)</f>
        <v>0</v>
      </c>
      <c r="I3702" s="99" t="n">
        <f aca="false">IF(6&gt;Hold_Yrs,0,I2793-IF(6&gt;Debt_Yr,0,(H3096-0.5*IF(6=Debt_Yr,0,H3399))*INDEX(Fin_Curve,1,6))-H3399-H3399*Fin_ExitFee)</f>
        <v>0</v>
      </c>
      <c r="J3702" s="99" t="n">
        <f aca="false">IF(7&gt;Hold_Yrs,0,J2793-IF(7&gt;Debt_Yr,0,(I3096-0.5*IF(7=Debt_Yr,0,I3399))*INDEX(Fin_Curve,1,7))-I3399-I3399*Fin_ExitFee)</f>
        <v>0</v>
      </c>
      <c r="K3702" s="99" t="n">
        <f aca="false">IF(8&gt;Hold_Yrs,0,K2793-IF(8&gt;Debt_Yr,0,(J3096-0.5*IF(8=Debt_Yr,0,J3399))*INDEX(Fin_Curve,1,8))-J3399-J3399*Fin_ExitFee)</f>
        <v>0</v>
      </c>
      <c r="L3702" s="99" t="n">
        <f aca="false">IF(9&gt;Hold_Yrs,0,L2793-IF(9&gt;Debt_Yr,0,(K3096-0.5*IF(9=Debt_Yr,0,K3399))*INDEX(Fin_Curve,1,9))-K3399-K3399*Fin_ExitFee)</f>
        <v>0</v>
      </c>
      <c r="M3702" s="99" t="n">
        <f aca="false">IF(10&gt;Hold_Yrs,0,M2793-IF(10&gt;Debt_Yr,0,(L3096-0.5*IF(10=Debt_Yr,0,L3399))*INDEX(Fin_Curve,1,10))-L3399-L3399*Fin_ExitFee)</f>
        <v>0</v>
      </c>
    </row>
    <row r="3703" customFormat="false" ht="15" hidden="false" customHeight="false" outlineLevel="0" collapsed="false">
      <c r="B3703" s="108" t="n">
        <f aca="false">'Loan Tape'!$A63</f>
        <v>0</v>
      </c>
      <c r="C3703" s="71" t="n">
        <f aca="false">-'Loan Tape'!$BE63</f>
        <v>-0</v>
      </c>
      <c r="D3703" s="71" t="n">
        <f aca="false">IF(1&gt;Hold_Yrs,0,D2794-IF(1&gt;Debt_Yr,0,(C3097-0.5*IF(1=Debt_Yr,0,C3400))*INDEX(Fin_Curve,1,1))-C3400-C3400*Fin_ExitFee)</f>
        <v>0</v>
      </c>
      <c r="E3703" s="71" t="n">
        <f aca="false">IF(2&gt;Hold_Yrs,0,E2794-IF(2&gt;Debt_Yr,0,(D3097-0.5*IF(2=Debt_Yr,0,D3400))*INDEX(Fin_Curve,1,2))-D3400-D3400*Fin_ExitFee)</f>
        <v>0</v>
      </c>
      <c r="F3703" s="71" t="n">
        <f aca="false">IF(3&gt;Hold_Yrs,0,F2794-IF(3&gt;Debt_Yr,0,(E3097-0.5*IF(3=Debt_Yr,0,E3400))*INDEX(Fin_Curve,1,3))-E3400-E3400*Fin_ExitFee)</f>
        <v>0</v>
      </c>
      <c r="G3703" s="71" t="n">
        <f aca="false">IF(4&gt;Hold_Yrs,0,G2794-IF(4&gt;Debt_Yr,0,(F3097-0.5*IF(4=Debt_Yr,0,F3400))*INDEX(Fin_Curve,1,4))-F3400-F3400*Fin_ExitFee)</f>
        <v>0</v>
      </c>
      <c r="H3703" s="71" t="n">
        <f aca="false">IF(5&gt;Hold_Yrs,0,H2794-IF(5&gt;Debt_Yr,0,(G3097-0.5*IF(5=Debt_Yr,0,G3400))*INDEX(Fin_Curve,1,5))-G3400-G3400*Fin_ExitFee)</f>
        <v>0</v>
      </c>
      <c r="I3703" s="71" t="n">
        <f aca="false">IF(6&gt;Hold_Yrs,0,I2794-IF(6&gt;Debt_Yr,0,(H3097-0.5*IF(6=Debt_Yr,0,H3400))*INDEX(Fin_Curve,1,6))-H3400-H3400*Fin_ExitFee)</f>
        <v>0</v>
      </c>
      <c r="J3703" s="71" t="n">
        <f aca="false">IF(7&gt;Hold_Yrs,0,J2794-IF(7&gt;Debt_Yr,0,(I3097-0.5*IF(7=Debt_Yr,0,I3400))*INDEX(Fin_Curve,1,7))-I3400-I3400*Fin_ExitFee)</f>
        <v>0</v>
      </c>
      <c r="K3703" s="71" t="n">
        <f aca="false">IF(8&gt;Hold_Yrs,0,K2794-IF(8&gt;Debt_Yr,0,(J3097-0.5*IF(8=Debt_Yr,0,J3400))*INDEX(Fin_Curve,1,8))-J3400-J3400*Fin_ExitFee)</f>
        <v>0</v>
      </c>
      <c r="L3703" s="71" t="n">
        <f aca="false">IF(9&gt;Hold_Yrs,0,L2794-IF(9&gt;Debt_Yr,0,(K3097-0.5*IF(9=Debt_Yr,0,K3400))*INDEX(Fin_Curve,1,9))-K3400-K3400*Fin_ExitFee)</f>
        <v>0</v>
      </c>
      <c r="M3703" s="71" t="n">
        <f aca="false">IF(10&gt;Hold_Yrs,0,M2794-IF(10&gt;Debt_Yr,0,(L3097-0.5*IF(10=Debt_Yr,0,L3400))*INDEX(Fin_Curve,1,10))-L3400-L3400*Fin_ExitFee)</f>
        <v>0</v>
      </c>
    </row>
    <row r="3704" customFormat="false" ht="15" hidden="false" customHeight="false" outlineLevel="0" collapsed="false">
      <c r="B3704" s="102" t="n">
        <f aca="false">'Loan Tape'!$A64</f>
        <v>0</v>
      </c>
      <c r="C3704" s="99" t="n">
        <f aca="false">-'Loan Tape'!$BE64</f>
        <v>-0</v>
      </c>
      <c r="D3704" s="99" t="n">
        <f aca="false">IF(1&gt;Hold_Yrs,0,D2795-IF(1&gt;Debt_Yr,0,(C3098-0.5*IF(1=Debt_Yr,0,C3401))*INDEX(Fin_Curve,1,1))-C3401-C3401*Fin_ExitFee)</f>
        <v>0</v>
      </c>
      <c r="E3704" s="99" t="n">
        <f aca="false">IF(2&gt;Hold_Yrs,0,E2795-IF(2&gt;Debt_Yr,0,(D3098-0.5*IF(2=Debt_Yr,0,D3401))*INDEX(Fin_Curve,1,2))-D3401-D3401*Fin_ExitFee)</f>
        <v>0</v>
      </c>
      <c r="F3704" s="99" t="n">
        <f aca="false">IF(3&gt;Hold_Yrs,0,F2795-IF(3&gt;Debt_Yr,0,(E3098-0.5*IF(3=Debt_Yr,0,E3401))*INDEX(Fin_Curve,1,3))-E3401-E3401*Fin_ExitFee)</f>
        <v>0</v>
      </c>
      <c r="G3704" s="99" t="n">
        <f aca="false">IF(4&gt;Hold_Yrs,0,G2795-IF(4&gt;Debt_Yr,0,(F3098-0.5*IF(4=Debt_Yr,0,F3401))*INDEX(Fin_Curve,1,4))-F3401-F3401*Fin_ExitFee)</f>
        <v>0</v>
      </c>
      <c r="H3704" s="99" t="n">
        <f aca="false">IF(5&gt;Hold_Yrs,0,H2795-IF(5&gt;Debt_Yr,0,(G3098-0.5*IF(5=Debt_Yr,0,G3401))*INDEX(Fin_Curve,1,5))-G3401-G3401*Fin_ExitFee)</f>
        <v>0</v>
      </c>
      <c r="I3704" s="99" t="n">
        <f aca="false">IF(6&gt;Hold_Yrs,0,I2795-IF(6&gt;Debt_Yr,0,(H3098-0.5*IF(6=Debt_Yr,0,H3401))*INDEX(Fin_Curve,1,6))-H3401-H3401*Fin_ExitFee)</f>
        <v>0</v>
      </c>
      <c r="J3704" s="99" t="n">
        <f aca="false">IF(7&gt;Hold_Yrs,0,J2795-IF(7&gt;Debt_Yr,0,(I3098-0.5*IF(7=Debt_Yr,0,I3401))*INDEX(Fin_Curve,1,7))-I3401-I3401*Fin_ExitFee)</f>
        <v>0</v>
      </c>
      <c r="K3704" s="99" t="n">
        <f aca="false">IF(8&gt;Hold_Yrs,0,K2795-IF(8&gt;Debt_Yr,0,(J3098-0.5*IF(8=Debt_Yr,0,J3401))*INDEX(Fin_Curve,1,8))-J3401-J3401*Fin_ExitFee)</f>
        <v>0</v>
      </c>
      <c r="L3704" s="99" t="n">
        <f aca="false">IF(9&gt;Hold_Yrs,0,L2795-IF(9&gt;Debt_Yr,0,(K3098-0.5*IF(9=Debt_Yr,0,K3401))*INDEX(Fin_Curve,1,9))-K3401-K3401*Fin_ExitFee)</f>
        <v>0</v>
      </c>
      <c r="M3704" s="99" t="n">
        <f aca="false">IF(10&gt;Hold_Yrs,0,M2795-IF(10&gt;Debt_Yr,0,(L3098-0.5*IF(10=Debt_Yr,0,L3401))*INDEX(Fin_Curve,1,10))-L3401-L3401*Fin_ExitFee)</f>
        <v>0</v>
      </c>
    </row>
    <row r="3705" customFormat="false" ht="15" hidden="false" customHeight="false" outlineLevel="0" collapsed="false">
      <c r="B3705" s="108" t="n">
        <f aca="false">'Loan Tape'!$A65</f>
        <v>0</v>
      </c>
      <c r="C3705" s="71" t="n">
        <f aca="false">-'Loan Tape'!$BE65</f>
        <v>-0</v>
      </c>
      <c r="D3705" s="71" t="n">
        <f aca="false">IF(1&gt;Hold_Yrs,0,D2796-IF(1&gt;Debt_Yr,0,(C3099-0.5*IF(1=Debt_Yr,0,C3402))*INDEX(Fin_Curve,1,1))-C3402-C3402*Fin_ExitFee)</f>
        <v>0</v>
      </c>
      <c r="E3705" s="71" t="n">
        <f aca="false">IF(2&gt;Hold_Yrs,0,E2796-IF(2&gt;Debt_Yr,0,(D3099-0.5*IF(2=Debt_Yr,0,D3402))*INDEX(Fin_Curve,1,2))-D3402-D3402*Fin_ExitFee)</f>
        <v>0</v>
      </c>
      <c r="F3705" s="71" t="n">
        <f aca="false">IF(3&gt;Hold_Yrs,0,F2796-IF(3&gt;Debt_Yr,0,(E3099-0.5*IF(3=Debt_Yr,0,E3402))*INDEX(Fin_Curve,1,3))-E3402-E3402*Fin_ExitFee)</f>
        <v>0</v>
      </c>
      <c r="G3705" s="71" t="n">
        <f aca="false">IF(4&gt;Hold_Yrs,0,G2796-IF(4&gt;Debt_Yr,0,(F3099-0.5*IF(4=Debt_Yr,0,F3402))*INDEX(Fin_Curve,1,4))-F3402-F3402*Fin_ExitFee)</f>
        <v>0</v>
      </c>
      <c r="H3705" s="71" t="n">
        <f aca="false">IF(5&gt;Hold_Yrs,0,H2796-IF(5&gt;Debt_Yr,0,(G3099-0.5*IF(5=Debt_Yr,0,G3402))*INDEX(Fin_Curve,1,5))-G3402-G3402*Fin_ExitFee)</f>
        <v>0</v>
      </c>
      <c r="I3705" s="71" t="n">
        <f aca="false">IF(6&gt;Hold_Yrs,0,I2796-IF(6&gt;Debt_Yr,0,(H3099-0.5*IF(6=Debt_Yr,0,H3402))*INDEX(Fin_Curve,1,6))-H3402-H3402*Fin_ExitFee)</f>
        <v>0</v>
      </c>
      <c r="J3705" s="71" t="n">
        <f aca="false">IF(7&gt;Hold_Yrs,0,J2796-IF(7&gt;Debt_Yr,0,(I3099-0.5*IF(7=Debt_Yr,0,I3402))*INDEX(Fin_Curve,1,7))-I3402-I3402*Fin_ExitFee)</f>
        <v>0</v>
      </c>
      <c r="K3705" s="71" t="n">
        <f aca="false">IF(8&gt;Hold_Yrs,0,K2796-IF(8&gt;Debt_Yr,0,(J3099-0.5*IF(8=Debt_Yr,0,J3402))*INDEX(Fin_Curve,1,8))-J3402-J3402*Fin_ExitFee)</f>
        <v>0</v>
      </c>
      <c r="L3705" s="71" t="n">
        <f aca="false">IF(9&gt;Hold_Yrs,0,L2796-IF(9&gt;Debt_Yr,0,(K3099-0.5*IF(9=Debt_Yr,0,K3402))*INDEX(Fin_Curve,1,9))-K3402-K3402*Fin_ExitFee)</f>
        <v>0</v>
      </c>
      <c r="M3705" s="71" t="n">
        <f aca="false">IF(10&gt;Hold_Yrs,0,M2796-IF(10&gt;Debt_Yr,0,(L3099-0.5*IF(10=Debt_Yr,0,L3402))*INDEX(Fin_Curve,1,10))-L3402-L3402*Fin_ExitFee)</f>
        <v>0</v>
      </c>
    </row>
    <row r="3706" customFormat="false" ht="15" hidden="false" customHeight="false" outlineLevel="0" collapsed="false">
      <c r="B3706" s="102" t="n">
        <f aca="false">'Loan Tape'!$A66</f>
        <v>0</v>
      </c>
      <c r="C3706" s="99" t="n">
        <f aca="false">-'Loan Tape'!$BE66</f>
        <v>-0</v>
      </c>
      <c r="D3706" s="99" t="n">
        <f aca="false">IF(1&gt;Hold_Yrs,0,D2797-IF(1&gt;Debt_Yr,0,(C3100-0.5*IF(1=Debt_Yr,0,C3403))*INDEX(Fin_Curve,1,1))-C3403-C3403*Fin_ExitFee)</f>
        <v>0</v>
      </c>
      <c r="E3706" s="99" t="n">
        <f aca="false">IF(2&gt;Hold_Yrs,0,E2797-IF(2&gt;Debt_Yr,0,(D3100-0.5*IF(2=Debt_Yr,0,D3403))*INDEX(Fin_Curve,1,2))-D3403-D3403*Fin_ExitFee)</f>
        <v>0</v>
      </c>
      <c r="F3706" s="99" t="n">
        <f aca="false">IF(3&gt;Hold_Yrs,0,F2797-IF(3&gt;Debt_Yr,0,(E3100-0.5*IF(3=Debt_Yr,0,E3403))*INDEX(Fin_Curve,1,3))-E3403-E3403*Fin_ExitFee)</f>
        <v>0</v>
      </c>
      <c r="G3706" s="99" t="n">
        <f aca="false">IF(4&gt;Hold_Yrs,0,G2797-IF(4&gt;Debt_Yr,0,(F3100-0.5*IF(4=Debt_Yr,0,F3403))*INDEX(Fin_Curve,1,4))-F3403-F3403*Fin_ExitFee)</f>
        <v>0</v>
      </c>
      <c r="H3706" s="99" t="n">
        <f aca="false">IF(5&gt;Hold_Yrs,0,H2797-IF(5&gt;Debt_Yr,0,(G3100-0.5*IF(5=Debt_Yr,0,G3403))*INDEX(Fin_Curve,1,5))-G3403-G3403*Fin_ExitFee)</f>
        <v>0</v>
      </c>
      <c r="I3706" s="99" t="n">
        <f aca="false">IF(6&gt;Hold_Yrs,0,I2797-IF(6&gt;Debt_Yr,0,(H3100-0.5*IF(6=Debt_Yr,0,H3403))*INDEX(Fin_Curve,1,6))-H3403-H3403*Fin_ExitFee)</f>
        <v>0</v>
      </c>
      <c r="J3706" s="99" t="n">
        <f aca="false">IF(7&gt;Hold_Yrs,0,J2797-IF(7&gt;Debt_Yr,0,(I3100-0.5*IF(7=Debt_Yr,0,I3403))*INDEX(Fin_Curve,1,7))-I3403-I3403*Fin_ExitFee)</f>
        <v>0</v>
      </c>
      <c r="K3706" s="99" t="n">
        <f aca="false">IF(8&gt;Hold_Yrs,0,K2797-IF(8&gt;Debt_Yr,0,(J3100-0.5*IF(8=Debt_Yr,0,J3403))*INDEX(Fin_Curve,1,8))-J3403-J3403*Fin_ExitFee)</f>
        <v>0</v>
      </c>
      <c r="L3706" s="99" t="n">
        <f aca="false">IF(9&gt;Hold_Yrs,0,L2797-IF(9&gt;Debt_Yr,0,(K3100-0.5*IF(9=Debt_Yr,0,K3403))*INDEX(Fin_Curve,1,9))-K3403-K3403*Fin_ExitFee)</f>
        <v>0</v>
      </c>
      <c r="M3706" s="99" t="n">
        <f aca="false">IF(10&gt;Hold_Yrs,0,M2797-IF(10&gt;Debt_Yr,0,(L3100-0.5*IF(10=Debt_Yr,0,L3403))*INDEX(Fin_Curve,1,10))-L3403-L3403*Fin_ExitFee)</f>
        <v>0</v>
      </c>
    </row>
    <row r="3707" customFormat="false" ht="15" hidden="false" customHeight="false" outlineLevel="0" collapsed="false">
      <c r="B3707" s="108" t="n">
        <f aca="false">'Loan Tape'!$A67</f>
        <v>0</v>
      </c>
      <c r="C3707" s="71" t="n">
        <f aca="false">-'Loan Tape'!$BE67</f>
        <v>-0</v>
      </c>
      <c r="D3707" s="71" t="n">
        <f aca="false">IF(1&gt;Hold_Yrs,0,D2798-IF(1&gt;Debt_Yr,0,(C3101-0.5*IF(1=Debt_Yr,0,C3404))*INDEX(Fin_Curve,1,1))-C3404-C3404*Fin_ExitFee)</f>
        <v>0</v>
      </c>
      <c r="E3707" s="71" t="n">
        <f aca="false">IF(2&gt;Hold_Yrs,0,E2798-IF(2&gt;Debt_Yr,0,(D3101-0.5*IF(2=Debt_Yr,0,D3404))*INDEX(Fin_Curve,1,2))-D3404-D3404*Fin_ExitFee)</f>
        <v>0</v>
      </c>
      <c r="F3707" s="71" t="n">
        <f aca="false">IF(3&gt;Hold_Yrs,0,F2798-IF(3&gt;Debt_Yr,0,(E3101-0.5*IF(3=Debt_Yr,0,E3404))*INDEX(Fin_Curve,1,3))-E3404-E3404*Fin_ExitFee)</f>
        <v>0</v>
      </c>
      <c r="G3707" s="71" t="n">
        <f aca="false">IF(4&gt;Hold_Yrs,0,G2798-IF(4&gt;Debt_Yr,0,(F3101-0.5*IF(4=Debt_Yr,0,F3404))*INDEX(Fin_Curve,1,4))-F3404-F3404*Fin_ExitFee)</f>
        <v>0</v>
      </c>
      <c r="H3707" s="71" t="n">
        <f aca="false">IF(5&gt;Hold_Yrs,0,H2798-IF(5&gt;Debt_Yr,0,(G3101-0.5*IF(5=Debt_Yr,0,G3404))*INDEX(Fin_Curve,1,5))-G3404-G3404*Fin_ExitFee)</f>
        <v>0</v>
      </c>
      <c r="I3707" s="71" t="n">
        <f aca="false">IF(6&gt;Hold_Yrs,0,I2798-IF(6&gt;Debt_Yr,0,(H3101-0.5*IF(6=Debt_Yr,0,H3404))*INDEX(Fin_Curve,1,6))-H3404-H3404*Fin_ExitFee)</f>
        <v>0</v>
      </c>
      <c r="J3707" s="71" t="n">
        <f aca="false">IF(7&gt;Hold_Yrs,0,J2798-IF(7&gt;Debt_Yr,0,(I3101-0.5*IF(7=Debt_Yr,0,I3404))*INDEX(Fin_Curve,1,7))-I3404-I3404*Fin_ExitFee)</f>
        <v>0</v>
      </c>
      <c r="K3707" s="71" t="n">
        <f aca="false">IF(8&gt;Hold_Yrs,0,K2798-IF(8&gt;Debt_Yr,0,(J3101-0.5*IF(8=Debt_Yr,0,J3404))*INDEX(Fin_Curve,1,8))-J3404-J3404*Fin_ExitFee)</f>
        <v>0</v>
      </c>
      <c r="L3707" s="71" t="n">
        <f aca="false">IF(9&gt;Hold_Yrs,0,L2798-IF(9&gt;Debt_Yr,0,(K3101-0.5*IF(9=Debt_Yr,0,K3404))*INDEX(Fin_Curve,1,9))-K3404-K3404*Fin_ExitFee)</f>
        <v>0</v>
      </c>
      <c r="M3707" s="71" t="n">
        <f aca="false">IF(10&gt;Hold_Yrs,0,M2798-IF(10&gt;Debt_Yr,0,(L3101-0.5*IF(10=Debt_Yr,0,L3404))*INDEX(Fin_Curve,1,10))-L3404-L3404*Fin_ExitFee)</f>
        <v>0</v>
      </c>
    </row>
    <row r="3708" customFormat="false" ht="15" hidden="false" customHeight="false" outlineLevel="0" collapsed="false">
      <c r="B3708" s="102" t="n">
        <f aca="false">'Loan Tape'!$A68</f>
        <v>0</v>
      </c>
      <c r="C3708" s="99" t="n">
        <f aca="false">-'Loan Tape'!$BE68</f>
        <v>-0</v>
      </c>
      <c r="D3708" s="99" t="n">
        <f aca="false">IF(1&gt;Hold_Yrs,0,D2799-IF(1&gt;Debt_Yr,0,(C3102-0.5*IF(1=Debt_Yr,0,C3405))*INDEX(Fin_Curve,1,1))-C3405-C3405*Fin_ExitFee)</f>
        <v>0</v>
      </c>
      <c r="E3708" s="99" t="n">
        <f aca="false">IF(2&gt;Hold_Yrs,0,E2799-IF(2&gt;Debt_Yr,0,(D3102-0.5*IF(2=Debt_Yr,0,D3405))*INDEX(Fin_Curve,1,2))-D3405-D3405*Fin_ExitFee)</f>
        <v>0</v>
      </c>
      <c r="F3708" s="99" t="n">
        <f aca="false">IF(3&gt;Hold_Yrs,0,F2799-IF(3&gt;Debt_Yr,0,(E3102-0.5*IF(3=Debt_Yr,0,E3405))*INDEX(Fin_Curve,1,3))-E3405-E3405*Fin_ExitFee)</f>
        <v>0</v>
      </c>
      <c r="G3708" s="99" t="n">
        <f aca="false">IF(4&gt;Hold_Yrs,0,G2799-IF(4&gt;Debt_Yr,0,(F3102-0.5*IF(4=Debt_Yr,0,F3405))*INDEX(Fin_Curve,1,4))-F3405-F3405*Fin_ExitFee)</f>
        <v>0</v>
      </c>
      <c r="H3708" s="99" t="n">
        <f aca="false">IF(5&gt;Hold_Yrs,0,H2799-IF(5&gt;Debt_Yr,0,(G3102-0.5*IF(5=Debt_Yr,0,G3405))*INDEX(Fin_Curve,1,5))-G3405-G3405*Fin_ExitFee)</f>
        <v>0</v>
      </c>
      <c r="I3708" s="99" t="n">
        <f aca="false">IF(6&gt;Hold_Yrs,0,I2799-IF(6&gt;Debt_Yr,0,(H3102-0.5*IF(6=Debt_Yr,0,H3405))*INDEX(Fin_Curve,1,6))-H3405-H3405*Fin_ExitFee)</f>
        <v>0</v>
      </c>
      <c r="J3708" s="99" t="n">
        <f aca="false">IF(7&gt;Hold_Yrs,0,J2799-IF(7&gt;Debt_Yr,0,(I3102-0.5*IF(7=Debt_Yr,0,I3405))*INDEX(Fin_Curve,1,7))-I3405-I3405*Fin_ExitFee)</f>
        <v>0</v>
      </c>
      <c r="K3708" s="99" t="n">
        <f aca="false">IF(8&gt;Hold_Yrs,0,K2799-IF(8&gt;Debt_Yr,0,(J3102-0.5*IF(8=Debt_Yr,0,J3405))*INDEX(Fin_Curve,1,8))-J3405-J3405*Fin_ExitFee)</f>
        <v>0</v>
      </c>
      <c r="L3708" s="99" t="n">
        <f aca="false">IF(9&gt;Hold_Yrs,0,L2799-IF(9&gt;Debt_Yr,0,(K3102-0.5*IF(9=Debt_Yr,0,K3405))*INDEX(Fin_Curve,1,9))-K3405-K3405*Fin_ExitFee)</f>
        <v>0</v>
      </c>
      <c r="M3708" s="99" t="n">
        <f aca="false">IF(10&gt;Hold_Yrs,0,M2799-IF(10&gt;Debt_Yr,0,(L3102-0.5*IF(10=Debt_Yr,0,L3405))*INDEX(Fin_Curve,1,10))-L3405-L3405*Fin_ExitFee)</f>
        <v>0</v>
      </c>
    </row>
    <row r="3709" customFormat="false" ht="15" hidden="false" customHeight="false" outlineLevel="0" collapsed="false">
      <c r="B3709" s="108" t="n">
        <f aca="false">'Loan Tape'!$A69</f>
        <v>0</v>
      </c>
      <c r="C3709" s="71" t="n">
        <f aca="false">-'Loan Tape'!$BE69</f>
        <v>-0</v>
      </c>
      <c r="D3709" s="71" t="n">
        <f aca="false">IF(1&gt;Hold_Yrs,0,D2800-IF(1&gt;Debt_Yr,0,(C3103-0.5*IF(1=Debt_Yr,0,C3406))*INDEX(Fin_Curve,1,1))-C3406-C3406*Fin_ExitFee)</f>
        <v>0</v>
      </c>
      <c r="E3709" s="71" t="n">
        <f aca="false">IF(2&gt;Hold_Yrs,0,E2800-IF(2&gt;Debt_Yr,0,(D3103-0.5*IF(2=Debt_Yr,0,D3406))*INDEX(Fin_Curve,1,2))-D3406-D3406*Fin_ExitFee)</f>
        <v>0</v>
      </c>
      <c r="F3709" s="71" t="n">
        <f aca="false">IF(3&gt;Hold_Yrs,0,F2800-IF(3&gt;Debt_Yr,0,(E3103-0.5*IF(3=Debt_Yr,0,E3406))*INDEX(Fin_Curve,1,3))-E3406-E3406*Fin_ExitFee)</f>
        <v>0</v>
      </c>
      <c r="G3709" s="71" t="n">
        <f aca="false">IF(4&gt;Hold_Yrs,0,G2800-IF(4&gt;Debt_Yr,0,(F3103-0.5*IF(4=Debt_Yr,0,F3406))*INDEX(Fin_Curve,1,4))-F3406-F3406*Fin_ExitFee)</f>
        <v>0</v>
      </c>
      <c r="H3709" s="71" t="n">
        <f aca="false">IF(5&gt;Hold_Yrs,0,H2800-IF(5&gt;Debt_Yr,0,(G3103-0.5*IF(5=Debt_Yr,0,G3406))*INDEX(Fin_Curve,1,5))-G3406-G3406*Fin_ExitFee)</f>
        <v>0</v>
      </c>
      <c r="I3709" s="71" t="n">
        <f aca="false">IF(6&gt;Hold_Yrs,0,I2800-IF(6&gt;Debt_Yr,0,(H3103-0.5*IF(6=Debt_Yr,0,H3406))*INDEX(Fin_Curve,1,6))-H3406-H3406*Fin_ExitFee)</f>
        <v>0</v>
      </c>
      <c r="J3709" s="71" t="n">
        <f aca="false">IF(7&gt;Hold_Yrs,0,J2800-IF(7&gt;Debt_Yr,0,(I3103-0.5*IF(7=Debt_Yr,0,I3406))*INDEX(Fin_Curve,1,7))-I3406-I3406*Fin_ExitFee)</f>
        <v>0</v>
      </c>
      <c r="K3709" s="71" t="n">
        <f aca="false">IF(8&gt;Hold_Yrs,0,K2800-IF(8&gt;Debt_Yr,0,(J3103-0.5*IF(8=Debt_Yr,0,J3406))*INDEX(Fin_Curve,1,8))-J3406-J3406*Fin_ExitFee)</f>
        <v>0</v>
      </c>
      <c r="L3709" s="71" t="n">
        <f aca="false">IF(9&gt;Hold_Yrs,0,L2800-IF(9&gt;Debt_Yr,0,(K3103-0.5*IF(9=Debt_Yr,0,K3406))*INDEX(Fin_Curve,1,9))-K3406-K3406*Fin_ExitFee)</f>
        <v>0</v>
      </c>
      <c r="M3709" s="71" t="n">
        <f aca="false">IF(10&gt;Hold_Yrs,0,M2800-IF(10&gt;Debt_Yr,0,(L3103-0.5*IF(10=Debt_Yr,0,L3406))*INDEX(Fin_Curve,1,10))-L3406-L3406*Fin_ExitFee)</f>
        <v>0</v>
      </c>
    </row>
    <row r="3710" customFormat="false" ht="15" hidden="false" customHeight="false" outlineLevel="0" collapsed="false">
      <c r="B3710" s="102" t="n">
        <f aca="false">'Loan Tape'!$A70</f>
        <v>0</v>
      </c>
      <c r="C3710" s="99" t="n">
        <f aca="false">-'Loan Tape'!$BE70</f>
        <v>-0</v>
      </c>
      <c r="D3710" s="99" t="n">
        <f aca="false">IF(1&gt;Hold_Yrs,0,D2801-IF(1&gt;Debt_Yr,0,(C3104-0.5*IF(1=Debt_Yr,0,C3407))*INDEX(Fin_Curve,1,1))-C3407-C3407*Fin_ExitFee)</f>
        <v>0</v>
      </c>
      <c r="E3710" s="99" t="n">
        <f aca="false">IF(2&gt;Hold_Yrs,0,E2801-IF(2&gt;Debt_Yr,0,(D3104-0.5*IF(2=Debt_Yr,0,D3407))*INDEX(Fin_Curve,1,2))-D3407-D3407*Fin_ExitFee)</f>
        <v>0</v>
      </c>
      <c r="F3710" s="99" t="n">
        <f aca="false">IF(3&gt;Hold_Yrs,0,F2801-IF(3&gt;Debt_Yr,0,(E3104-0.5*IF(3=Debt_Yr,0,E3407))*INDEX(Fin_Curve,1,3))-E3407-E3407*Fin_ExitFee)</f>
        <v>0</v>
      </c>
      <c r="G3710" s="99" t="n">
        <f aca="false">IF(4&gt;Hold_Yrs,0,G2801-IF(4&gt;Debt_Yr,0,(F3104-0.5*IF(4=Debt_Yr,0,F3407))*INDEX(Fin_Curve,1,4))-F3407-F3407*Fin_ExitFee)</f>
        <v>0</v>
      </c>
      <c r="H3710" s="99" t="n">
        <f aca="false">IF(5&gt;Hold_Yrs,0,H2801-IF(5&gt;Debt_Yr,0,(G3104-0.5*IF(5=Debt_Yr,0,G3407))*INDEX(Fin_Curve,1,5))-G3407-G3407*Fin_ExitFee)</f>
        <v>0</v>
      </c>
      <c r="I3710" s="99" t="n">
        <f aca="false">IF(6&gt;Hold_Yrs,0,I2801-IF(6&gt;Debt_Yr,0,(H3104-0.5*IF(6=Debt_Yr,0,H3407))*INDEX(Fin_Curve,1,6))-H3407-H3407*Fin_ExitFee)</f>
        <v>0</v>
      </c>
      <c r="J3710" s="99" t="n">
        <f aca="false">IF(7&gt;Hold_Yrs,0,J2801-IF(7&gt;Debt_Yr,0,(I3104-0.5*IF(7=Debt_Yr,0,I3407))*INDEX(Fin_Curve,1,7))-I3407-I3407*Fin_ExitFee)</f>
        <v>0</v>
      </c>
      <c r="K3710" s="99" t="n">
        <f aca="false">IF(8&gt;Hold_Yrs,0,K2801-IF(8&gt;Debt_Yr,0,(J3104-0.5*IF(8=Debt_Yr,0,J3407))*INDEX(Fin_Curve,1,8))-J3407-J3407*Fin_ExitFee)</f>
        <v>0</v>
      </c>
      <c r="L3710" s="99" t="n">
        <f aca="false">IF(9&gt;Hold_Yrs,0,L2801-IF(9&gt;Debt_Yr,0,(K3104-0.5*IF(9=Debt_Yr,0,K3407))*INDEX(Fin_Curve,1,9))-K3407-K3407*Fin_ExitFee)</f>
        <v>0</v>
      </c>
      <c r="M3710" s="99" t="n">
        <f aca="false">IF(10&gt;Hold_Yrs,0,M2801-IF(10&gt;Debt_Yr,0,(L3104-0.5*IF(10=Debt_Yr,0,L3407))*INDEX(Fin_Curve,1,10))-L3407-L3407*Fin_ExitFee)</f>
        <v>0</v>
      </c>
    </row>
    <row r="3711" customFormat="false" ht="15" hidden="false" customHeight="false" outlineLevel="0" collapsed="false">
      <c r="B3711" s="108" t="n">
        <f aca="false">'Loan Tape'!$A71</f>
        <v>0</v>
      </c>
      <c r="C3711" s="71" t="n">
        <f aca="false">-'Loan Tape'!$BE71</f>
        <v>-0</v>
      </c>
      <c r="D3711" s="71" t="n">
        <f aca="false">IF(1&gt;Hold_Yrs,0,D2802-IF(1&gt;Debt_Yr,0,(C3105-0.5*IF(1=Debt_Yr,0,C3408))*INDEX(Fin_Curve,1,1))-C3408-C3408*Fin_ExitFee)</f>
        <v>0</v>
      </c>
      <c r="E3711" s="71" t="n">
        <f aca="false">IF(2&gt;Hold_Yrs,0,E2802-IF(2&gt;Debt_Yr,0,(D3105-0.5*IF(2=Debt_Yr,0,D3408))*INDEX(Fin_Curve,1,2))-D3408-D3408*Fin_ExitFee)</f>
        <v>0</v>
      </c>
      <c r="F3711" s="71" t="n">
        <f aca="false">IF(3&gt;Hold_Yrs,0,F2802-IF(3&gt;Debt_Yr,0,(E3105-0.5*IF(3=Debt_Yr,0,E3408))*INDEX(Fin_Curve,1,3))-E3408-E3408*Fin_ExitFee)</f>
        <v>0</v>
      </c>
      <c r="G3711" s="71" t="n">
        <f aca="false">IF(4&gt;Hold_Yrs,0,G2802-IF(4&gt;Debt_Yr,0,(F3105-0.5*IF(4=Debt_Yr,0,F3408))*INDEX(Fin_Curve,1,4))-F3408-F3408*Fin_ExitFee)</f>
        <v>0</v>
      </c>
      <c r="H3711" s="71" t="n">
        <f aca="false">IF(5&gt;Hold_Yrs,0,H2802-IF(5&gt;Debt_Yr,0,(G3105-0.5*IF(5=Debt_Yr,0,G3408))*INDEX(Fin_Curve,1,5))-G3408-G3408*Fin_ExitFee)</f>
        <v>0</v>
      </c>
      <c r="I3711" s="71" t="n">
        <f aca="false">IF(6&gt;Hold_Yrs,0,I2802-IF(6&gt;Debt_Yr,0,(H3105-0.5*IF(6=Debt_Yr,0,H3408))*INDEX(Fin_Curve,1,6))-H3408-H3408*Fin_ExitFee)</f>
        <v>0</v>
      </c>
      <c r="J3711" s="71" t="n">
        <f aca="false">IF(7&gt;Hold_Yrs,0,J2802-IF(7&gt;Debt_Yr,0,(I3105-0.5*IF(7=Debt_Yr,0,I3408))*INDEX(Fin_Curve,1,7))-I3408-I3408*Fin_ExitFee)</f>
        <v>0</v>
      </c>
      <c r="K3711" s="71" t="n">
        <f aca="false">IF(8&gt;Hold_Yrs,0,K2802-IF(8&gt;Debt_Yr,0,(J3105-0.5*IF(8=Debt_Yr,0,J3408))*INDEX(Fin_Curve,1,8))-J3408-J3408*Fin_ExitFee)</f>
        <v>0</v>
      </c>
      <c r="L3711" s="71" t="n">
        <f aca="false">IF(9&gt;Hold_Yrs,0,L2802-IF(9&gt;Debt_Yr,0,(K3105-0.5*IF(9=Debt_Yr,0,K3408))*INDEX(Fin_Curve,1,9))-K3408-K3408*Fin_ExitFee)</f>
        <v>0</v>
      </c>
      <c r="M3711" s="71" t="n">
        <f aca="false">IF(10&gt;Hold_Yrs,0,M2802-IF(10&gt;Debt_Yr,0,(L3105-0.5*IF(10=Debt_Yr,0,L3408))*INDEX(Fin_Curve,1,10))-L3408-L3408*Fin_ExitFee)</f>
        <v>0</v>
      </c>
    </row>
    <row r="3712" customFormat="false" ht="15" hidden="false" customHeight="false" outlineLevel="0" collapsed="false">
      <c r="B3712" s="102" t="n">
        <f aca="false">'Loan Tape'!$A72</f>
        <v>0</v>
      </c>
      <c r="C3712" s="99" t="n">
        <f aca="false">-'Loan Tape'!$BE72</f>
        <v>-0</v>
      </c>
      <c r="D3712" s="99" t="n">
        <f aca="false">IF(1&gt;Hold_Yrs,0,D2803-IF(1&gt;Debt_Yr,0,(C3106-0.5*IF(1=Debt_Yr,0,C3409))*INDEX(Fin_Curve,1,1))-C3409-C3409*Fin_ExitFee)</f>
        <v>0</v>
      </c>
      <c r="E3712" s="99" t="n">
        <f aca="false">IF(2&gt;Hold_Yrs,0,E2803-IF(2&gt;Debt_Yr,0,(D3106-0.5*IF(2=Debt_Yr,0,D3409))*INDEX(Fin_Curve,1,2))-D3409-D3409*Fin_ExitFee)</f>
        <v>0</v>
      </c>
      <c r="F3712" s="99" t="n">
        <f aca="false">IF(3&gt;Hold_Yrs,0,F2803-IF(3&gt;Debt_Yr,0,(E3106-0.5*IF(3=Debt_Yr,0,E3409))*INDEX(Fin_Curve,1,3))-E3409-E3409*Fin_ExitFee)</f>
        <v>0</v>
      </c>
      <c r="G3712" s="99" t="n">
        <f aca="false">IF(4&gt;Hold_Yrs,0,G2803-IF(4&gt;Debt_Yr,0,(F3106-0.5*IF(4=Debt_Yr,0,F3409))*INDEX(Fin_Curve,1,4))-F3409-F3409*Fin_ExitFee)</f>
        <v>0</v>
      </c>
      <c r="H3712" s="99" t="n">
        <f aca="false">IF(5&gt;Hold_Yrs,0,H2803-IF(5&gt;Debt_Yr,0,(G3106-0.5*IF(5=Debt_Yr,0,G3409))*INDEX(Fin_Curve,1,5))-G3409-G3409*Fin_ExitFee)</f>
        <v>0</v>
      </c>
      <c r="I3712" s="99" t="n">
        <f aca="false">IF(6&gt;Hold_Yrs,0,I2803-IF(6&gt;Debt_Yr,0,(H3106-0.5*IF(6=Debt_Yr,0,H3409))*INDEX(Fin_Curve,1,6))-H3409-H3409*Fin_ExitFee)</f>
        <v>0</v>
      </c>
      <c r="J3712" s="99" t="n">
        <f aca="false">IF(7&gt;Hold_Yrs,0,J2803-IF(7&gt;Debt_Yr,0,(I3106-0.5*IF(7=Debt_Yr,0,I3409))*INDEX(Fin_Curve,1,7))-I3409-I3409*Fin_ExitFee)</f>
        <v>0</v>
      </c>
      <c r="K3712" s="99" t="n">
        <f aca="false">IF(8&gt;Hold_Yrs,0,K2803-IF(8&gt;Debt_Yr,0,(J3106-0.5*IF(8=Debt_Yr,0,J3409))*INDEX(Fin_Curve,1,8))-J3409-J3409*Fin_ExitFee)</f>
        <v>0</v>
      </c>
      <c r="L3712" s="99" t="n">
        <f aca="false">IF(9&gt;Hold_Yrs,0,L2803-IF(9&gt;Debt_Yr,0,(K3106-0.5*IF(9=Debt_Yr,0,K3409))*INDEX(Fin_Curve,1,9))-K3409-K3409*Fin_ExitFee)</f>
        <v>0</v>
      </c>
      <c r="M3712" s="99" t="n">
        <f aca="false">IF(10&gt;Hold_Yrs,0,M2803-IF(10&gt;Debt_Yr,0,(L3106-0.5*IF(10=Debt_Yr,0,L3409))*INDEX(Fin_Curve,1,10))-L3409-L3409*Fin_ExitFee)</f>
        <v>0</v>
      </c>
    </row>
    <row r="3713" customFormat="false" ht="15" hidden="false" customHeight="false" outlineLevel="0" collapsed="false">
      <c r="B3713" s="108" t="n">
        <f aca="false">'Loan Tape'!$A73</f>
        <v>0</v>
      </c>
      <c r="C3713" s="71" t="n">
        <f aca="false">-'Loan Tape'!$BE73</f>
        <v>-0</v>
      </c>
      <c r="D3713" s="71" t="n">
        <f aca="false">IF(1&gt;Hold_Yrs,0,D2804-IF(1&gt;Debt_Yr,0,(C3107-0.5*IF(1=Debt_Yr,0,C3410))*INDEX(Fin_Curve,1,1))-C3410-C3410*Fin_ExitFee)</f>
        <v>0</v>
      </c>
      <c r="E3713" s="71" t="n">
        <f aca="false">IF(2&gt;Hold_Yrs,0,E2804-IF(2&gt;Debt_Yr,0,(D3107-0.5*IF(2=Debt_Yr,0,D3410))*INDEX(Fin_Curve,1,2))-D3410-D3410*Fin_ExitFee)</f>
        <v>0</v>
      </c>
      <c r="F3713" s="71" t="n">
        <f aca="false">IF(3&gt;Hold_Yrs,0,F2804-IF(3&gt;Debt_Yr,0,(E3107-0.5*IF(3=Debt_Yr,0,E3410))*INDEX(Fin_Curve,1,3))-E3410-E3410*Fin_ExitFee)</f>
        <v>0</v>
      </c>
      <c r="G3713" s="71" t="n">
        <f aca="false">IF(4&gt;Hold_Yrs,0,G2804-IF(4&gt;Debt_Yr,0,(F3107-0.5*IF(4=Debt_Yr,0,F3410))*INDEX(Fin_Curve,1,4))-F3410-F3410*Fin_ExitFee)</f>
        <v>0</v>
      </c>
      <c r="H3713" s="71" t="n">
        <f aca="false">IF(5&gt;Hold_Yrs,0,H2804-IF(5&gt;Debt_Yr,0,(G3107-0.5*IF(5=Debt_Yr,0,G3410))*INDEX(Fin_Curve,1,5))-G3410-G3410*Fin_ExitFee)</f>
        <v>0</v>
      </c>
      <c r="I3713" s="71" t="n">
        <f aca="false">IF(6&gt;Hold_Yrs,0,I2804-IF(6&gt;Debt_Yr,0,(H3107-0.5*IF(6=Debt_Yr,0,H3410))*INDEX(Fin_Curve,1,6))-H3410-H3410*Fin_ExitFee)</f>
        <v>0</v>
      </c>
      <c r="J3713" s="71" t="n">
        <f aca="false">IF(7&gt;Hold_Yrs,0,J2804-IF(7&gt;Debt_Yr,0,(I3107-0.5*IF(7=Debt_Yr,0,I3410))*INDEX(Fin_Curve,1,7))-I3410-I3410*Fin_ExitFee)</f>
        <v>0</v>
      </c>
      <c r="K3713" s="71" t="n">
        <f aca="false">IF(8&gt;Hold_Yrs,0,K2804-IF(8&gt;Debt_Yr,0,(J3107-0.5*IF(8=Debt_Yr,0,J3410))*INDEX(Fin_Curve,1,8))-J3410-J3410*Fin_ExitFee)</f>
        <v>0</v>
      </c>
      <c r="L3713" s="71" t="n">
        <f aca="false">IF(9&gt;Hold_Yrs,0,L2804-IF(9&gt;Debt_Yr,0,(K3107-0.5*IF(9=Debt_Yr,0,K3410))*INDEX(Fin_Curve,1,9))-K3410-K3410*Fin_ExitFee)</f>
        <v>0</v>
      </c>
      <c r="M3713" s="71" t="n">
        <f aca="false">IF(10&gt;Hold_Yrs,0,M2804-IF(10&gt;Debt_Yr,0,(L3107-0.5*IF(10=Debt_Yr,0,L3410))*INDEX(Fin_Curve,1,10))-L3410-L3410*Fin_ExitFee)</f>
        <v>0</v>
      </c>
    </row>
    <row r="3714" customFormat="false" ht="15" hidden="false" customHeight="false" outlineLevel="0" collapsed="false">
      <c r="B3714" s="102" t="n">
        <f aca="false">'Loan Tape'!$A74</f>
        <v>0</v>
      </c>
      <c r="C3714" s="99" t="n">
        <f aca="false">-'Loan Tape'!$BE74</f>
        <v>-0</v>
      </c>
      <c r="D3714" s="99" t="n">
        <f aca="false">IF(1&gt;Hold_Yrs,0,D2805-IF(1&gt;Debt_Yr,0,(C3108-0.5*IF(1=Debt_Yr,0,C3411))*INDEX(Fin_Curve,1,1))-C3411-C3411*Fin_ExitFee)</f>
        <v>0</v>
      </c>
      <c r="E3714" s="99" t="n">
        <f aca="false">IF(2&gt;Hold_Yrs,0,E2805-IF(2&gt;Debt_Yr,0,(D3108-0.5*IF(2=Debt_Yr,0,D3411))*INDEX(Fin_Curve,1,2))-D3411-D3411*Fin_ExitFee)</f>
        <v>0</v>
      </c>
      <c r="F3714" s="99" t="n">
        <f aca="false">IF(3&gt;Hold_Yrs,0,F2805-IF(3&gt;Debt_Yr,0,(E3108-0.5*IF(3=Debt_Yr,0,E3411))*INDEX(Fin_Curve,1,3))-E3411-E3411*Fin_ExitFee)</f>
        <v>0</v>
      </c>
      <c r="G3714" s="99" t="n">
        <f aca="false">IF(4&gt;Hold_Yrs,0,G2805-IF(4&gt;Debt_Yr,0,(F3108-0.5*IF(4=Debt_Yr,0,F3411))*INDEX(Fin_Curve,1,4))-F3411-F3411*Fin_ExitFee)</f>
        <v>0</v>
      </c>
      <c r="H3714" s="99" t="n">
        <f aca="false">IF(5&gt;Hold_Yrs,0,H2805-IF(5&gt;Debt_Yr,0,(G3108-0.5*IF(5=Debt_Yr,0,G3411))*INDEX(Fin_Curve,1,5))-G3411-G3411*Fin_ExitFee)</f>
        <v>0</v>
      </c>
      <c r="I3714" s="99" t="n">
        <f aca="false">IF(6&gt;Hold_Yrs,0,I2805-IF(6&gt;Debt_Yr,0,(H3108-0.5*IF(6=Debt_Yr,0,H3411))*INDEX(Fin_Curve,1,6))-H3411-H3411*Fin_ExitFee)</f>
        <v>0</v>
      </c>
      <c r="J3714" s="99" t="n">
        <f aca="false">IF(7&gt;Hold_Yrs,0,J2805-IF(7&gt;Debt_Yr,0,(I3108-0.5*IF(7=Debt_Yr,0,I3411))*INDEX(Fin_Curve,1,7))-I3411-I3411*Fin_ExitFee)</f>
        <v>0</v>
      </c>
      <c r="K3714" s="99" t="n">
        <f aca="false">IF(8&gt;Hold_Yrs,0,K2805-IF(8&gt;Debt_Yr,0,(J3108-0.5*IF(8=Debt_Yr,0,J3411))*INDEX(Fin_Curve,1,8))-J3411-J3411*Fin_ExitFee)</f>
        <v>0</v>
      </c>
      <c r="L3714" s="99" t="n">
        <f aca="false">IF(9&gt;Hold_Yrs,0,L2805-IF(9&gt;Debt_Yr,0,(K3108-0.5*IF(9=Debt_Yr,0,K3411))*INDEX(Fin_Curve,1,9))-K3411-K3411*Fin_ExitFee)</f>
        <v>0</v>
      </c>
      <c r="M3714" s="99" t="n">
        <f aca="false">IF(10&gt;Hold_Yrs,0,M2805-IF(10&gt;Debt_Yr,0,(L3108-0.5*IF(10=Debt_Yr,0,L3411))*INDEX(Fin_Curve,1,10))-L3411-L3411*Fin_ExitFee)</f>
        <v>0</v>
      </c>
    </row>
    <row r="3715" customFormat="false" ht="15" hidden="false" customHeight="false" outlineLevel="0" collapsed="false">
      <c r="B3715" s="108" t="n">
        <f aca="false">'Loan Tape'!$A75</f>
        <v>0</v>
      </c>
      <c r="C3715" s="71" t="n">
        <f aca="false">-'Loan Tape'!$BE75</f>
        <v>-0</v>
      </c>
      <c r="D3715" s="71" t="n">
        <f aca="false">IF(1&gt;Hold_Yrs,0,D2806-IF(1&gt;Debt_Yr,0,(C3109-0.5*IF(1=Debt_Yr,0,C3412))*INDEX(Fin_Curve,1,1))-C3412-C3412*Fin_ExitFee)</f>
        <v>0</v>
      </c>
      <c r="E3715" s="71" t="n">
        <f aca="false">IF(2&gt;Hold_Yrs,0,E2806-IF(2&gt;Debt_Yr,0,(D3109-0.5*IF(2=Debt_Yr,0,D3412))*INDEX(Fin_Curve,1,2))-D3412-D3412*Fin_ExitFee)</f>
        <v>0</v>
      </c>
      <c r="F3715" s="71" t="n">
        <f aca="false">IF(3&gt;Hold_Yrs,0,F2806-IF(3&gt;Debt_Yr,0,(E3109-0.5*IF(3=Debt_Yr,0,E3412))*INDEX(Fin_Curve,1,3))-E3412-E3412*Fin_ExitFee)</f>
        <v>0</v>
      </c>
      <c r="G3715" s="71" t="n">
        <f aca="false">IF(4&gt;Hold_Yrs,0,G2806-IF(4&gt;Debt_Yr,0,(F3109-0.5*IF(4=Debt_Yr,0,F3412))*INDEX(Fin_Curve,1,4))-F3412-F3412*Fin_ExitFee)</f>
        <v>0</v>
      </c>
      <c r="H3715" s="71" t="n">
        <f aca="false">IF(5&gt;Hold_Yrs,0,H2806-IF(5&gt;Debt_Yr,0,(G3109-0.5*IF(5=Debt_Yr,0,G3412))*INDEX(Fin_Curve,1,5))-G3412-G3412*Fin_ExitFee)</f>
        <v>0</v>
      </c>
      <c r="I3715" s="71" t="n">
        <f aca="false">IF(6&gt;Hold_Yrs,0,I2806-IF(6&gt;Debt_Yr,0,(H3109-0.5*IF(6=Debt_Yr,0,H3412))*INDEX(Fin_Curve,1,6))-H3412-H3412*Fin_ExitFee)</f>
        <v>0</v>
      </c>
      <c r="J3715" s="71" t="n">
        <f aca="false">IF(7&gt;Hold_Yrs,0,J2806-IF(7&gt;Debt_Yr,0,(I3109-0.5*IF(7=Debt_Yr,0,I3412))*INDEX(Fin_Curve,1,7))-I3412-I3412*Fin_ExitFee)</f>
        <v>0</v>
      </c>
      <c r="K3715" s="71" t="n">
        <f aca="false">IF(8&gt;Hold_Yrs,0,K2806-IF(8&gt;Debt_Yr,0,(J3109-0.5*IF(8=Debt_Yr,0,J3412))*INDEX(Fin_Curve,1,8))-J3412-J3412*Fin_ExitFee)</f>
        <v>0</v>
      </c>
      <c r="L3715" s="71" t="n">
        <f aca="false">IF(9&gt;Hold_Yrs,0,L2806-IF(9&gt;Debt_Yr,0,(K3109-0.5*IF(9=Debt_Yr,0,K3412))*INDEX(Fin_Curve,1,9))-K3412-K3412*Fin_ExitFee)</f>
        <v>0</v>
      </c>
      <c r="M3715" s="71" t="n">
        <f aca="false">IF(10&gt;Hold_Yrs,0,M2806-IF(10&gt;Debt_Yr,0,(L3109-0.5*IF(10=Debt_Yr,0,L3412))*INDEX(Fin_Curve,1,10))-L3412-L3412*Fin_ExitFee)</f>
        <v>0</v>
      </c>
    </row>
    <row r="3716" customFormat="false" ht="15" hidden="false" customHeight="false" outlineLevel="0" collapsed="false">
      <c r="B3716" s="102" t="n">
        <f aca="false">'Loan Tape'!$A76</f>
        <v>0</v>
      </c>
      <c r="C3716" s="99" t="n">
        <f aca="false">-'Loan Tape'!$BE76</f>
        <v>-0</v>
      </c>
      <c r="D3716" s="99" t="n">
        <f aca="false">IF(1&gt;Hold_Yrs,0,D2807-IF(1&gt;Debt_Yr,0,(C3110-0.5*IF(1=Debt_Yr,0,C3413))*INDEX(Fin_Curve,1,1))-C3413-C3413*Fin_ExitFee)</f>
        <v>0</v>
      </c>
      <c r="E3716" s="99" t="n">
        <f aca="false">IF(2&gt;Hold_Yrs,0,E2807-IF(2&gt;Debt_Yr,0,(D3110-0.5*IF(2=Debt_Yr,0,D3413))*INDEX(Fin_Curve,1,2))-D3413-D3413*Fin_ExitFee)</f>
        <v>0</v>
      </c>
      <c r="F3716" s="99" t="n">
        <f aca="false">IF(3&gt;Hold_Yrs,0,F2807-IF(3&gt;Debt_Yr,0,(E3110-0.5*IF(3=Debt_Yr,0,E3413))*INDEX(Fin_Curve,1,3))-E3413-E3413*Fin_ExitFee)</f>
        <v>0</v>
      </c>
      <c r="G3716" s="99" t="n">
        <f aca="false">IF(4&gt;Hold_Yrs,0,G2807-IF(4&gt;Debt_Yr,0,(F3110-0.5*IF(4=Debt_Yr,0,F3413))*INDEX(Fin_Curve,1,4))-F3413-F3413*Fin_ExitFee)</f>
        <v>0</v>
      </c>
      <c r="H3716" s="99" t="n">
        <f aca="false">IF(5&gt;Hold_Yrs,0,H2807-IF(5&gt;Debt_Yr,0,(G3110-0.5*IF(5=Debt_Yr,0,G3413))*INDEX(Fin_Curve,1,5))-G3413-G3413*Fin_ExitFee)</f>
        <v>0</v>
      </c>
      <c r="I3716" s="99" t="n">
        <f aca="false">IF(6&gt;Hold_Yrs,0,I2807-IF(6&gt;Debt_Yr,0,(H3110-0.5*IF(6=Debt_Yr,0,H3413))*INDEX(Fin_Curve,1,6))-H3413-H3413*Fin_ExitFee)</f>
        <v>0</v>
      </c>
      <c r="J3716" s="99" t="n">
        <f aca="false">IF(7&gt;Hold_Yrs,0,J2807-IF(7&gt;Debt_Yr,0,(I3110-0.5*IF(7=Debt_Yr,0,I3413))*INDEX(Fin_Curve,1,7))-I3413-I3413*Fin_ExitFee)</f>
        <v>0</v>
      </c>
      <c r="K3716" s="99" t="n">
        <f aca="false">IF(8&gt;Hold_Yrs,0,K2807-IF(8&gt;Debt_Yr,0,(J3110-0.5*IF(8=Debt_Yr,0,J3413))*INDEX(Fin_Curve,1,8))-J3413-J3413*Fin_ExitFee)</f>
        <v>0</v>
      </c>
      <c r="L3716" s="99" t="n">
        <f aca="false">IF(9&gt;Hold_Yrs,0,L2807-IF(9&gt;Debt_Yr,0,(K3110-0.5*IF(9=Debt_Yr,0,K3413))*INDEX(Fin_Curve,1,9))-K3413-K3413*Fin_ExitFee)</f>
        <v>0</v>
      </c>
      <c r="M3716" s="99" t="n">
        <f aca="false">IF(10&gt;Hold_Yrs,0,M2807-IF(10&gt;Debt_Yr,0,(L3110-0.5*IF(10=Debt_Yr,0,L3413))*INDEX(Fin_Curve,1,10))-L3413-L3413*Fin_ExitFee)</f>
        <v>0</v>
      </c>
    </row>
    <row r="3717" customFormat="false" ht="15" hidden="false" customHeight="false" outlineLevel="0" collapsed="false">
      <c r="B3717" s="108" t="n">
        <f aca="false">'Loan Tape'!$A77</f>
        <v>0</v>
      </c>
      <c r="C3717" s="71" t="n">
        <f aca="false">-'Loan Tape'!$BE77</f>
        <v>-0</v>
      </c>
      <c r="D3717" s="71" t="n">
        <f aca="false">IF(1&gt;Hold_Yrs,0,D2808-IF(1&gt;Debt_Yr,0,(C3111-0.5*IF(1=Debt_Yr,0,C3414))*INDEX(Fin_Curve,1,1))-C3414-C3414*Fin_ExitFee)</f>
        <v>0</v>
      </c>
      <c r="E3717" s="71" t="n">
        <f aca="false">IF(2&gt;Hold_Yrs,0,E2808-IF(2&gt;Debt_Yr,0,(D3111-0.5*IF(2=Debt_Yr,0,D3414))*INDEX(Fin_Curve,1,2))-D3414-D3414*Fin_ExitFee)</f>
        <v>0</v>
      </c>
      <c r="F3717" s="71" t="n">
        <f aca="false">IF(3&gt;Hold_Yrs,0,F2808-IF(3&gt;Debt_Yr,0,(E3111-0.5*IF(3=Debt_Yr,0,E3414))*INDEX(Fin_Curve,1,3))-E3414-E3414*Fin_ExitFee)</f>
        <v>0</v>
      </c>
      <c r="G3717" s="71" t="n">
        <f aca="false">IF(4&gt;Hold_Yrs,0,G2808-IF(4&gt;Debt_Yr,0,(F3111-0.5*IF(4=Debt_Yr,0,F3414))*INDEX(Fin_Curve,1,4))-F3414-F3414*Fin_ExitFee)</f>
        <v>0</v>
      </c>
      <c r="H3717" s="71" t="n">
        <f aca="false">IF(5&gt;Hold_Yrs,0,H2808-IF(5&gt;Debt_Yr,0,(G3111-0.5*IF(5=Debt_Yr,0,G3414))*INDEX(Fin_Curve,1,5))-G3414-G3414*Fin_ExitFee)</f>
        <v>0</v>
      </c>
      <c r="I3717" s="71" t="n">
        <f aca="false">IF(6&gt;Hold_Yrs,0,I2808-IF(6&gt;Debt_Yr,0,(H3111-0.5*IF(6=Debt_Yr,0,H3414))*INDEX(Fin_Curve,1,6))-H3414-H3414*Fin_ExitFee)</f>
        <v>0</v>
      </c>
      <c r="J3717" s="71" t="n">
        <f aca="false">IF(7&gt;Hold_Yrs,0,J2808-IF(7&gt;Debt_Yr,0,(I3111-0.5*IF(7=Debt_Yr,0,I3414))*INDEX(Fin_Curve,1,7))-I3414-I3414*Fin_ExitFee)</f>
        <v>0</v>
      </c>
      <c r="K3717" s="71" t="n">
        <f aca="false">IF(8&gt;Hold_Yrs,0,K2808-IF(8&gt;Debt_Yr,0,(J3111-0.5*IF(8=Debt_Yr,0,J3414))*INDEX(Fin_Curve,1,8))-J3414-J3414*Fin_ExitFee)</f>
        <v>0</v>
      </c>
      <c r="L3717" s="71" t="n">
        <f aca="false">IF(9&gt;Hold_Yrs,0,L2808-IF(9&gt;Debt_Yr,0,(K3111-0.5*IF(9=Debt_Yr,0,K3414))*INDEX(Fin_Curve,1,9))-K3414-K3414*Fin_ExitFee)</f>
        <v>0</v>
      </c>
      <c r="M3717" s="71" t="n">
        <f aca="false">IF(10&gt;Hold_Yrs,0,M2808-IF(10&gt;Debt_Yr,0,(L3111-0.5*IF(10=Debt_Yr,0,L3414))*INDEX(Fin_Curve,1,10))-L3414-L3414*Fin_ExitFee)</f>
        <v>0</v>
      </c>
    </row>
    <row r="3718" customFormat="false" ht="15" hidden="false" customHeight="false" outlineLevel="0" collapsed="false">
      <c r="B3718" s="102" t="n">
        <f aca="false">'Loan Tape'!$A78</f>
        <v>0</v>
      </c>
      <c r="C3718" s="99" t="n">
        <f aca="false">-'Loan Tape'!$BE78</f>
        <v>-0</v>
      </c>
      <c r="D3718" s="99" t="n">
        <f aca="false">IF(1&gt;Hold_Yrs,0,D2809-IF(1&gt;Debt_Yr,0,(C3112-0.5*IF(1=Debt_Yr,0,C3415))*INDEX(Fin_Curve,1,1))-C3415-C3415*Fin_ExitFee)</f>
        <v>0</v>
      </c>
      <c r="E3718" s="99" t="n">
        <f aca="false">IF(2&gt;Hold_Yrs,0,E2809-IF(2&gt;Debt_Yr,0,(D3112-0.5*IF(2=Debt_Yr,0,D3415))*INDEX(Fin_Curve,1,2))-D3415-D3415*Fin_ExitFee)</f>
        <v>0</v>
      </c>
      <c r="F3718" s="99" t="n">
        <f aca="false">IF(3&gt;Hold_Yrs,0,F2809-IF(3&gt;Debt_Yr,0,(E3112-0.5*IF(3=Debt_Yr,0,E3415))*INDEX(Fin_Curve,1,3))-E3415-E3415*Fin_ExitFee)</f>
        <v>0</v>
      </c>
      <c r="G3718" s="99" t="n">
        <f aca="false">IF(4&gt;Hold_Yrs,0,G2809-IF(4&gt;Debt_Yr,0,(F3112-0.5*IF(4=Debt_Yr,0,F3415))*INDEX(Fin_Curve,1,4))-F3415-F3415*Fin_ExitFee)</f>
        <v>0</v>
      </c>
      <c r="H3718" s="99" t="n">
        <f aca="false">IF(5&gt;Hold_Yrs,0,H2809-IF(5&gt;Debt_Yr,0,(G3112-0.5*IF(5=Debt_Yr,0,G3415))*INDEX(Fin_Curve,1,5))-G3415-G3415*Fin_ExitFee)</f>
        <v>0</v>
      </c>
      <c r="I3718" s="99" t="n">
        <f aca="false">IF(6&gt;Hold_Yrs,0,I2809-IF(6&gt;Debt_Yr,0,(H3112-0.5*IF(6=Debt_Yr,0,H3415))*INDEX(Fin_Curve,1,6))-H3415-H3415*Fin_ExitFee)</f>
        <v>0</v>
      </c>
      <c r="J3718" s="99" t="n">
        <f aca="false">IF(7&gt;Hold_Yrs,0,J2809-IF(7&gt;Debt_Yr,0,(I3112-0.5*IF(7=Debt_Yr,0,I3415))*INDEX(Fin_Curve,1,7))-I3415-I3415*Fin_ExitFee)</f>
        <v>0</v>
      </c>
      <c r="K3718" s="99" t="n">
        <f aca="false">IF(8&gt;Hold_Yrs,0,K2809-IF(8&gt;Debt_Yr,0,(J3112-0.5*IF(8=Debt_Yr,0,J3415))*INDEX(Fin_Curve,1,8))-J3415-J3415*Fin_ExitFee)</f>
        <v>0</v>
      </c>
      <c r="L3718" s="99" t="n">
        <f aca="false">IF(9&gt;Hold_Yrs,0,L2809-IF(9&gt;Debt_Yr,0,(K3112-0.5*IF(9=Debt_Yr,0,K3415))*INDEX(Fin_Curve,1,9))-K3415-K3415*Fin_ExitFee)</f>
        <v>0</v>
      </c>
      <c r="M3718" s="99" t="n">
        <f aca="false">IF(10&gt;Hold_Yrs,0,M2809-IF(10&gt;Debt_Yr,0,(L3112-0.5*IF(10=Debt_Yr,0,L3415))*INDEX(Fin_Curve,1,10))-L3415-L3415*Fin_ExitFee)</f>
        <v>0</v>
      </c>
    </row>
    <row r="3719" customFormat="false" ht="15" hidden="false" customHeight="false" outlineLevel="0" collapsed="false">
      <c r="B3719" s="108" t="n">
        <f aca="false">'Loan Tape'!$A79</f>
        <v>0</v>
      </c>
      <c r="C3719" s="71" t="n">
        <f aca="false">-'Loan Tape'!$BE79</f>
        <v>-0</v>
      </c>
      <c r="D3719" s="71" t="n">
        <f aca="false">IF(1&gt;Hold_Yrs,0,D2810-IF(1&gt;Debt_Yr,0,(C3113-0.5*IF(1=Debt_Yr,0,C3416))*INDEX(Fin_Curve,1,1))-C3416-C3416*Fin_ExitFee)</f>
        <v>0</v>
      </c>
      <c r="E3719" s="71" t="n">
        <f aca="false">IF(2&gt;Hold_Yrs,0,E2810-IF(2&gt;Debt_Yr,0,(D3113-0.5*IF(2=Debt_Yr,0,D3416))*INDEX(Fin_Curve,1,2))-D3416-D3416*Fin_ExitFee)</f>
        <v>0</v>
      </c>
      <c r="F3719" s="71" t="n">
        <f aca="false">IF(3&gt;Hold_Yrs,0,F2810-IF(3&gt;Debt_Yr,0,(E3113-0.5*IF(3=Debt_Yr,0,E3416))*INDEX(Fin_Curve,1,3))-E3416-E3416*Fin_ExitFee)</f>
        <v>0</v>
      </c>
      <c r="G3719" s="71" t="n">
        <f aca="false">IF(4&gt;Hold_Yrs,0,G2810-IF(4&gt;Debt_Yr,0,(F3113-0.5*IF(4=Debt_Yr,0,F3416))*INDEX(Fin_Curve,1,4))-F3416-F3416*Fin_ExitFee)</f>
        <v>0</v>
      </c>
      <c r="H3719" s="71" t="n">
        <f aca="false">IF(5&gt;Hold_Yrs,0,H2810-IF(5&gt;Debt_Yr,0,(G3113-0.5*IF(5=Debt_Yr,0,G3416))*INDEX(Fin_Curve,1,5))-G3416-G3416*Fin_ExitFee)</f>
        <v>0</v>
      </c>
      <c r="I3719" s="71" t="n">
        <f aca="false">IF(6&gt;Hold_Yrs,0,I2810-IF(6&gt;Debt_Yr,0,(H3113-0.5*IF(6=Debt_Yr,0,H3416))*INDEX(Fin_Curve,1,6))-H3416-H3416*Fin_ExitFee)</f>
        <v>0</v>
      </c>
      <c r="J3719" s="71" t="n">
        <f aca="false">IF(7&gt;Hold_Yrs,0,J2810-IF(7&gt;Debt_Yr,0,(I3113-0.5*IF(7=Debt_Yr,0,I3416))*INDEX(Fin_Curve,1,7))-I3416-I3416*Fin_ExitFee)</f>
        <v>0</v>
      </c>
      <c r="K3719" s="71" t="n">
        <f aca="false">IF(8&gt;Hold_Yrs,0,K2810-IF(8&gt;Debt_Yr,0,(J3113-0.5*IF(8=Debt_Yr,0,J3416))*INDEX(Fin_Curve,1,8))-J3416-J3416*Fin_ExitFee)</f>
        <v>0</v>
      </c>
      <c r="L3719" s="71" t="n">
        <f aca="false">IF(9&gt;Hold_Yrs,0,L2810-IF(9&gt;Debt_Yr,0,(K3113-0.5*IF(9=Debt_Yr,0,K3416))*INDEX(Fin_Curve,1,9))-K3416-K3416*Fin_ExitFee)</f>
        <v>0</v>
      </c>
      <c r="M3719" s="71" t="n">
        <f aca="false">IF(10&gt;Hold_Yrs,0,M2810-IF(10&gt;Debt_Yr,0,(L3113-0.5*IF(10=Debt_Yr,0,L3416))*INDEX(Fin_Curve,1,10))-L3416-L3416*Fin_ExitFee)</f>
        <v>0</v>
      </c>
    </row>
    <row r="3720" customFormat="false" ht="15" hidden="false" customHeight="false" outlineLevel="0" collapsed="false">
      <c r="B3720" s="102" t="n">
        <f aca="false">'Loan Tape'!$A80</f>
        <v>0</v>
      </c>
      <c r="C3720" s="99" t="n">
        <f aca="false">-'Loan Tape'!$BE80</f>
        <v>-0</v>
      </c>
      <c r="D3720" s="99" t="n">
        <f aca="false">IF(1&gt;Hold_Yrs,0,D2811-IF(1&gt;Debt_Yr,0,(C3114-0.5*IF(1=Debt_Yr,0,C3417))*INDEX(Fin_Curve,1,1))-C3417-C3417*Fin_ExitFee)</f>
        <v>0</v>
      </c>
      <c r="E3720" s="99" t="n">
        <f aca="false">IF(2&gt;Hold_Yrs,0,E2811-IF(2&gt;Debt_Yr,0,(D3114-0.5*IF(2=Debt_Yr,0,D3417))*INDEX(Fin_Curve,1,2))-D3417-D3417*Fin_ExitFee)</f>
        <v>0</v>
      </c>
      <c r="F3720" s="99" t="n">
        <f aca="false">IF(3&gt;Hold_Yrs,0,F2811-IF(3&gt;Debt_Yr,0,(E3114-0.5*IF(3=Debt_Yr,0,E3417))*INDEX(Fin_Curve,1,3))-E3417-E3417*Fin_ExitFee)</f>
        <v>0</v>
      </c>
      <c r="G3720" s="99" t="n">
        <f aca="false">IF(4&gt;Hold_Yrs,0,G2811-IF(4&gt;Debt_Yr,0,(F3114-0.5*IF(4=Debt_Yr,0,F3417))*INDEX(Fin_Curve,1,4))-F3417-F3417*Fin_ExitFee)</f>
        <v>0</v>
      </c>
      <c r="H3720" s="99" t="n">
        <f aca="false">IF(5&gt;Hold_Yrs,0,H2811-IF(5&gt;Debt_Yr,0,(G3114-0.5*IF(5=Debt_Yr,0,G3417))*INDEX(Fin_Curve,1,5))-G3417-G3417*Fin_ExitFee)</f>
        <v>0</v>
      </c>
      <c r="I3720" s="99" t="n">
        <f aca="false">IF(6&gt;Hold_Yrs,0,I2811-IF(6&gt;Debt_Yr,0,(H3114-0.5*IF(6=Debt_Yr,0,H3417))*INDEX(Fin_Curve,1,6))-H3417-H3417*Fin_ExitFee)</f>
        <v>0</v>
      </c>
      <c r="J3720" s="99" t="n">
        <f aca="false">IF(7&gt;Hold_Yrs,0,J2811-IF(7&gt;Debt_Yr,0,(I3114-0.5*IF(7=Debt_Yr,0,I3417))*INDEX(Fin_Curve,1,7))-I3417-I3417*Fin_ExitFee)</f>
        <v>0</v>
      </c>
      <c r="K3720" s="99" t="n">
        <f aca="false">IF(8&gt;Hold_Yrs,0,K2811-IF(8&gt;Debt_Yr,0,(J3114-0.5*IF(8=Debt_Yr,0,J3417))*INDEX(Fin_Curve,1,8))-J3417-J3417*Fin_ExitFee)</f>
        <v>0</v>
      </c>
      <c r="L3720" s="99" t="n">
        <f aca="false">IF(9&gt;Hold_Yrs,0,L2811-IF(9&gt;Debt_Yr,0,(K3114-0.5*IF(9=Debt_Yr,0,K3417))*INDEX(Fin_Curve,1,9))-K3417-K3417*Fin_ExitFee)</f>
        <v>0</v>
      </c>
      <c r="M3720" s="99" t="n">
        <f aca="false">IF(10&gt;Hold_Yrs,0,M2811-IF(10&gt;Debt_Yr,0,(L3114-0.5*IF(10=Debt_Yr,0,L3417))*INDEX(Fin_Curve,1,10))-L3417-L3417*Fin_ExitFee)</f>
        <v>0</v>
      </c>
    </row>
    <row r="3721" customFormat="false" ht="15" hidden="false" customHeight="false" outlineLevel="0" collapsed="false">
      <c r="B3721" s="108" t="n">
        <f aca="false">'Loan Tape'!$A81</f>
        <v>0</v>
      </c>
      <c r="C3721" s="71" t="n">
        <f aca="false">-'Loan Tape'!$BE81</f>
        <v>-0</v>
      </c>
      <c r="D3721" s="71" t="n">
        <f aca="false">IF(1&gt;Hold_Yrs,0,D2812-IF(1&gt;Debt_Yr,0,(C3115-0.5*IF(1=Debt_Yr,0,C3418))*INDEX(Fin_Curve,1,1))-C3418-C3418*Fin_ExitFee)</f>
        <v>0</v>
      </c>
      <c r="E3721" s="71" t="n">
        <f aca="false">IF(2&gt;Hold_Yrs,0,E2812-IF(2&gt;Debt_Yr,0,(D3115-0.5*IF(2=Debt_Yr,0,D3418))*INDEX(Fin_Curve,1,2))-D3418-D3418*Fin_ExitFee)</f>
        <v>0</v>
      </c>
      <c r="F3721" s="71" t="n">
        <f aca="false">IF(3&gt;Hold_Yrs,0,F2812-IF(3&gt;Debt_Yr,0,(E3115-0.5*IF(3=Debt_Yr,0,E3418))*INDEX(Fin_Curve,1,3))-E3418-E3418*Fin_ExitFee)</f>
        <v>0</v>
      </c>
      <c r="G3721" s="71" t="n">
        <f aca="false">IF(4&gt;Hold_Yrs,0,G2812-IF(4&gt;Debt_Yr,0,(F3115-0.5*IF(4=Debt_Yr,0,F3418))*INDEX(Fin_Curve,1,4))-F3418-F3418*Fin_ExitFee)</f>
        <v>0</v>
      </c>
      <c r="H3721" s="71" t="n">
        <f aca="false">IF(5&gt;Hold_Yrs,0,H2812-IF(5&gt;Debt_Yr,0,(G3115-0.5*IF(5=Debt_Yr,0,G3418))*INDEX(Fin_Curve,1,5))-G3418-G3418*Fin_ExitFee)</f>
        <v>0</v>
      </c>
      <c r="I3721" s="71" t="n">
        <f aca="false">IF(6&gt;Hold_Yrs,0,I2812-IF(6&gt;Debt_Yr,0,(H3115-0.5*IF(6=Debt_Yr,0,H3418))*INDEX(Fin_Curve,1,6))-H3418-H3418*Fin_ExitFee)</f>
        <v>0</v>
      </c>
      <c r="J3721" s="71" t="n">
        <f aca="false">IF(7&gt;Hold_Yrs,0,J2812-IF(7&gt;Debt_Yr,0,(I3115-0.5*IF(7=Debt_Yr,0,I3418))*INDEX(Fin_Curve,1,7))-I3418-I3418*Fin_ExitFee)</f>
        <v>0</v>
      </c>
      <c r="K3721" s="71" t="n">
        <f aca="false">IF(8&gt;Hold_Yrs,0,K2812-IF(8&gt;Debt_Yr,0,(J3115-0.5*IF(8=Debt_Yr,0,J3418))*INDEX(Fin_Curve,1,8))-J3418-J3418*Fin_ExitFee)</f>
        <v>0</v>
      </c>
      <c r="L3721" s="71" t="n">
        <f aca="false">IF(9&gt;Hold_Yrs,0,L2812-IF(9&gt;Debt_Yr,0,(K3115-0.5*IF(9=Debt_Yr,0,K3418))*INDEX(Fin_Curve,1,9))-K3418-K3418*Fin_ExitFee)</f>
        <v>0</v>
      </c>
      <c r="M3721" s="71" t="n">
        <f aca="false">IF(10&gt;Hold_Yrs,0,M2812-IF(10&gt;Debt_Yr,0,(L3115-0.5*IF(10=Debt_Yr,0,L3418))*INDEX(Fin_Curve,1,10))-L3418-L3418*Fin_ExitFee)</f>
        <v>0</v>
      </c>
    </row>
    <row r="3722" customFormat="false" ht="15" hidden="false" customHeight="false" outlineLevel="0" collapsed="false">
      <c r="B3722" s="102" t="n">
        <f aca="false">'Loan Tape'!$A82</f>
        <v>0</v>
      </c>
      <c r="C3722" s="99" t="n">
        <f aca="false">-'Loan Tape'!$BE82</f>
        <v>-0</v>
      </c>
      <c r="D3722" s="99" t="n">
        <f aca="false">IF(1&gt;Hold_Yrs,0,D2813-IF(1&gt;Debt_Yr,0,(C3116-0.5*IF(1=Debt_Yr,0,C3419))*INDEX(Fin_Curve,1,1))-C3419-C3419*Fin_ExitFee)</f>
        <v>0</v>
      </c>
      <c r="E3722" s="99" t="n">
        <f aca="false">IF(2&gt;Hold_Yrs,0,E2813-IF(2&gt;Debt_Yr,0,(D3116-0.5*IF(2=Debt_Yr,0,D3419))*INDEX(Fin_Curve,1,2))-D3419-D3419*Fin_ExitFee)</f>
        <v>0</v>
      </c>
      <c r="F3722" s="99" t="n">
        <f aca="false">IF(3&gt;Hold_Yrs,0,F2813-IF(3&gt;Debt_Yr,0,(E3116-0.5*IF(3=Debt_Yr,0,E3419))*INDEX(Fin_Curve,1,3))-E3419-E3419*Fin_ExitFee)</f>
        <v>0</v>
      </c>
      <c r="G3722" s="99" t="n">
        <f aca="false">IF(4&gt;Hold_Yrs,0,G2813-IF(4&gt;Debt_Yr,0,(F3116-0.5*IF(4=Debt_Yr,0,F3419))*INDEX(Fin_Curve,1,4))-F3419-F3419*Fin_ExitFee)</f>
        <v>0</v>
      </c>
      <c r="H3722" s="99" t="n">
        <f aca="false">IF(5&gt;Hold_Yrs,0,H2813-IF(5&gt;Debt_Yr,0,(G3116-0.5*IF(5=Debt_Yr,0,G3419))*INDEX(Fin_Curve,1,5))-G3419-G3419*Fin_ExitFee)</f>
        <v>0</v>
      </c>
      <c r="I3722" s="99" t="n">
        <f aca="false">IF(6&gt;Hold_Yrs,0,I2813-IF(6&gt;Debt_Yr,0,(H3116-0.5*IF(6=Debt_Yr,0,H3419))*INDEX(Fin_Curve,1,6))-H3419-H3419*Fin_ExitFee)</f>
        <v>0</v>
      </c>
      <c r="J3722" s="99" t="n">
        <f aca="false">IF(7&gt;Hold_Yrs,0,J2813-IF(7&gt;Debt_Yr,0,(I3116-0.5*IF(7=Debt_Yr,0,I3419))*INDEX(Fin_Curve,1,7))-I3419-I3419*Fin_ExitFee)</f>
        <v>0</v>
      </c>
      <c r="K3722" s="99" t="n">
        <f aca="false">IF(8&gt;Hold_Yrs,0,K2813-IF(8&gt;Debt_Yr,0,(J3116-0.5*IF(8=Debt_Yr,0,J3419))*INDEX(Fin_Curve,1,8))-J3419-J3419*Fin_ExitFee)</f>
        <v>0</v>
      </c>
      <c r="L3722" s="99" t="n">
        <f aca="false">IF(9&gt;Hold_Yrs,0,L2813-IF(9&gt;Debt_Yr,0,(K3116-0.5*IF(9=Debt_Yr,0,K3419))*INDEX(Fin_Curve,1,9))-K3419-K3419*Fin_ExitFee)</f>
        <v>0</v>
      </c>
      <c r="M3722" s="99" t="n">
        <f aca="false">IF(10&gt;Hold_Yrs,0,M2813-IF(10&gt;Debt_Yr,0,(L3116-0.5*IF(10=Debt_Yr,0,L3419))*INDEX(Fin_Curve,1,10))-L3419-L3419*Fin_ExitFee)</f>
        <v>0</v>
      </c>
    </row>
    <row r="3723" customFormat="false" ht="15" hidden="false" customHeight="false" outlineLevel="0" collapsed="false">
      <c r="B3723" s="108" t="n">
        <f aca="false">'Loan Tape'!$A83</f>
        <v>0</v>
      </c>
      <c r="C3723" s="71" t="n">
        <f aca="false">-'Loan Tape'!$BE83</f>
        <v>-0</v>
      </c>
      <c r="D3723" s="71" t="n">
        <f aca="false">IF(1&gt;Hold_Yrs,0,D2814-IF(1&gt;Debt_Yr,0,(C3117-0.5*IF(1=Debt_Yr,0,C3420))*INDEX(Fin_Curve,1,1))-C3420-C3420*Fin_ExitFee)</f>
        <v>0</v>
      </c>
      <c r="E3723" s="71" t="n">
        <f aca="false">IF(2&gt;Hold_Yrs,0,E2814-IF(2&gt;Debt_Yr,0,(D3117-0.5*IF(2=Debt_Yr,0,D3420))*INDEX(Fin_Curve,1,2))-D3420-D3420*Fin_ExitFee)</f>
        <v>0</v>
      </c>
      <c r="F3723" s="71" t="n">
        <f aca="false">IF(3&gt;Hold_Yrs,0,F2814-IF(3&gt;Debt_Yr,0,(E3117-0.5*IF(3=Debt_Yr,0,E3420))*INDEX(Fin_Curve,1,3))-E3420-E3420*Fin_ExitFee)</f>
        <v>0</v>
      </c>
      <c r="G3723" s="71" t="n">
        <f aca="false">IF(4&gt;Hold_Yrs,0,G2814-IF(4&gt;Debt_Yr,0,(F3117-0.5*IF(4=Debt_Yr,0,F3420))*INDEX(Fin_Curve,1,4))-F3420-F3420*Fin_ExitFee)</f>
        <v>0</v>
      </c>
      <c r="H3723" s="71" t="n">
        <f aca="false">IF(5&gt;Hold_Yrs,0,H2814-IF(5&gt;Debt_Yr,0,(G3117-0.5*IF(5=Debt_Yr,0,G3420))*INDEX(Fin_Curve,1,5))-G3420-G3420*Fin_ExitFee)</f>
        <v>0</v>
      </c>
      <c r="I3723" s="71" t="n">
        <f aca="false">IF(6&gt;Hold_Yrs,0,I2814-IF(6&gt;Debt_Yr,0,(H3117-0.5*IF(6=Debt_Yr,0,H3420))*INDEX(Fin_Curve,1,6))-H3420-H3420*Fin_ExitFee)</f>
        <v>0</v>
      </c>
      <c r="J3723" s="71" t="n">
        <f aca="false">IF(7&gt;Hold_Yrs,0,J2814-IF(7&gt;Debt_Yr,0,(I3117-0.5*IF(7=Debt_Yr,0,I3420))*INDEX(Fin_Curve,1,7))-I3420-I3420*Fin_ExitFee)</f>
        <v>0</v>
      </c>
      <c r="K3723" s="71" t="n">
        <f aca="false">IF(8&gt;Hold_Yrs,0,K2814-IF(8&gt;Debt_Yr,0,(J3117-0.5*IF(8=Debt_Yr,0,J3420))*INDEX(Fin_Curve,1,8))-J3420-J3420*Fin_ExitFee)</f>
        <v>0</v>
      </c>
      <c r="L3723" s="71" t="n">
        <f aca="false">IF(9&gt;Hold_Yrs,0,L2814-IF(9&gt;Debt_Yr,0,(K3117-0.5*IF(9=Debt_Yr,0,K3420))*INDEX(Fin_Curve,1,9))-K3420-K3420*Fin_ExitFee)</f>
        <v>0</v>
      </c>
      <c r="M3723" s="71" t="n">
        <f aca="false">IF(10&gt;Hold_Yrs,0,M2814-IF(10&gt;Debt_Yr,0,(L3117-0.5*IF(10=Debt_Yr,0,L3420))*INDEX(Fin_Curve,1,10))-L3420-L3420*Fin_ExitFee)</f>
        <v>0</v>
      </c>
    </row>
    <row r="3724" customFormat="false" ht="15" hidden="false" customHeight="false" outlineLevel="0" collapsed="false">
      <c r="B3724" s="102" t="n">
        <f aca="false">'Loan Tape'!$A84</f>
        <v>0</v>
      </c>
      <c r="C3724" s="99" t="n">
        <f aca="false">-'Loan Tape'!$BE84</f>
        <v>-0</v>
      </c>
      <c r="D3724" s="99" t="n">
        <f aca="false">IF(1&gt;Hold_Yrs,0,D2815-IF(1&gt;Debt_Yr,0,(C3118-0.5*IF(1=Debt_Yr,0,C3421))*INDEX(Fin_Curve,1,1))-C3421-C3421*Fin_ExitFee)</f>
        <v>0</v>
      </c>
      <c r="E3724" s="99" t="n">
        <f aca="false">IF(2&gt;Hold_Yrs,0,E2815-IF(2&gt;Debt_Yr,0,(D3118-0.5*IF(2=Debt_Yr,0,D3421))*INDEX(Fin_Curve,1,2))-D3421-D3421*Fin_ExitFee)</f>
        <v>0</v>
      </c>
      <c r="F3724" s="99" t="n">
        <f aca="false">IF(3&gt;Hold_Yrs,0,F2815-IF(3&gt;Debt_Yr,0,(E3118-0.5*IF(3=Debt_Yr,0,E3421))*INDEX(Fin_Curve,1,3))-E3421-E3421*Fin_ExitFee)</f>
        <v>0</v>
      </c>
      <c r="G3724" s="99" t="n">
        <f aca="false">IF(4&gt;Hold_Yrs,0,G2815-IF(4&gt;Debt_Yr,0,(F3118-0.5*IF(4=Debt_Yr,0,F3421))*INDEX(Fin_Curve,1,4))-F3421-F3421*Fin_ExitFee)</f>
        <v>0</v>
      </c>
      <c r="H3724" s="99" t="n">
        <f aca="false">IF(5&gt;Hold_Yrs,0,H2815-IF(5&gt;Debt_Yr,0,(G3118-0.5*IF(5=Debt_Yr,0,G3421))*INDEX(Fin_Curve,1,5))-G3421-G3421*Fin_ExitFee)</f>
        <v>0</v>
      </c>
      <c r="I3724" s="99" t="n">
        <f aca="false">IF(6&gt;Hold_Yrs,0,I2815-IF(6&gt;Debt_Yr,0,(H3118-0.5*IF(6=Debt_Yr,0,H3421))*INDEX(Fin_Curve,1,6))-H3421-H3421*Fin_ExitFee)</f>
        <v>0</v>
      </c>
      <c r="J3724" s="99" t="n">
        <f aca="false">IF(7&gt;Hold_Yrs,0,J2815-IF(7&gt;Debt_Yr,0,(I3118-0.5*IF(7=Debt_Yr,0,I3421))*INDEX(Fin_Curve,1,7))-I3421-I3421*Fin_ExitFee)</f>
        <v>0</v>
      </c>
      <c r="K3724" s="99" t="n">
        <f aca="false">IF(8&gt;Hold_Yrs,0,K2815-IF(8&gt;Debt_Yr,0,(J3118-0.5*IF(8=Debt_Yr,0,J3421))*INDEX(Fin_Curve,1,8))-J3421-J3421*Fin_ExitFee)</f>
        <v>0</v>
      </c>
      <c r="L3724" s="99" t="n">
        <f aca="false">IF(9&gt;Hold_Yrs,0,L2815-IF(9&gt;Debt_Yr,0,(K3118-0.5*IF(9=Debt_Yr,0,K3421))*INDEX(Fin_Curve,1,9))-K3421-K3421*Fin_ExitFee)</f>
        <v>0</v>
      </c>
      <c r="M3724" s="99" t="n">
        <f aca="false">IF(10&gt;Hold_Yrs,0,M2815-IF(10&gt;Debt_Yr,0,(L3118-0.5*IF(10=Debt_Yr,0,L3421))*INDEX(Fin_Curve,1,10))-L3421-L3421*Fin_ExitFee)</f>
        <v>0</v>
      </c>
    </row>
    <row r="3725" customFormat="false" ht="15" hidden="false" customHeight="false" outlineLevel="0" collapsed="false">
      <c r="B3725" s="108" t="n">
        <f aca="false">'Loan Tape'!$A85</f>
        <v>0</v>
      </c>
      <c r="C3725" s="71" t="n">
        <f aca="false">-'Loan Tape'!$BE85</f>
        <v>-0</v>
      </c>
      <c r="D3725" s="71" t="n">
        <f aca="false">IF(1&gt;Hold_Yrs,0,D2816-IF(1&gt;Debt_Yr,0,(C3119-0.5*IF(1=Debt_Yr,0,C3422))*INDEX(Fin_Curve,1,1))-C3422-C3422*Fin_ExitFee)</f>
        <v>0</v>
      </c>
      <c r="E3725" s="71" t="n">
        <f aca="false">IF(2&gt;Hold_Yrs,0,E2816-IF(2&gt;Debt_Yr,0,(D3119-0.5*IF(2=Debt_Yr,0,D3422))*INDEX(Fin_Curve,1,2))-D3422-D3422*Fin_ExitFee)</f>
        <v>0</v>
      </c>
      <c r="F3725" s="71" t="n">
        <f aca="false">IF(3&gt;Hold_Yrs,0,F2816-IF(3&gt;Debt_Yr,0,(E3119-0.5*IF(3=Debt_Yr,0,E3422))*INDEX(Fin_Curve,1,3))-E3422-E3422*Fin_ExitFee)</f>
        <v>0</v>
      </c>
      <c r="G3725" s="71" t="n">
        <f aca="false">IF(4&gt;Hold_Yrs,0,G2816-IF(4&gt;Debt_Yr,0,(F3119-0.5*IF(4=Debt_Yr,0,F3422))*INDEX(Fin_Curve,1,4))-F3422-F3422*Fin_ExitFee)</f>
        <v>0</v>
      </c>
      <c r="H3725" s="71" t="n">
        <f aca="false">IF(5&gt;Hold_Yrs,0,H2816-IF(5&gt;Debt_Yr,0,(G3119-0.5*IF(5=Debt_Yr,0,G3422))*INDEX(Fin_Curve,1,5))-G3422-G3422*Fin_ExitFee)</f>
        <v>0</v>
      </c>
      <c r="I3725" s="71" t="n">
        <f aca="false">IF(6&gt;Hold_Yrs,0,I2816-IF(6&gt;Debt_Yr,0,(H3119-0.5*IF(6=Debt_Yr,0,H3422))*INDEX(Fin_Curve,1,6))-H3422-H3422*Fin_ExitFee)</f>
        <v>0</v>
      </c>
      <c r="J3725" s="71" t="n">
        <f aca="false">IF(7&gt;Hold_Yrs,0,J2816-IF(7&gt;Debt_Yr,0,(I3119-0.5*IF(7=Debt_Yr,0,I3422))*INDEX(Fin_Curve,1,7))-I3422-I3422*Fin_ExitFee)</f>
        <v>0</v>
      </c>
      <c r="K3725" s="71" t="n">
        <f aca="false">IF(8&gt;Hold_Yrs,0,K2816-IF(8&gt;Debt_Yr,0,(J3119-0.5*IF(8=Debt_Yr,0,J3422))*INDEX(Fin_Curve,1,8))-J3422-J3422*Fin_ExitFee)</f>
        <v>0</v>
      </c>
      <c r="L3725" s="71" t="n">
        <f aca="false">IF(9&gt;Hold_Yrs,0,L2816-IF(9&gt;Debt_Yr,0,(K3119-0.5*IF(9=Debt_Yr,0,K3422))*INDEX(Fin_Curve,1,9))-K3422-K3422*Fin_ExitFee)</f>
        <v>0</v>
      </c>
      <c r="M3725" s="71" t="n">
        <f aca="false">IF(10&gt;Hold_Yrs,0,M2816-IF(10&gt;Debt_Yr,0,(L3119-0.5*IF(10=Debt_Yr,0,L3422))*INDEX(Fin_Curve,1,10))-L3422-L3422*Fin_ExitFee)</f>
        <v>0</v>
      </c>
    </row>
    <row r="3726" customFormat="false" ht="15" hidden="false" customHeight="false" outlineLevel="0" collapsed="false">
      <c r="B3726" s="102" t="n">
        <f aca="false">'Loan Tape'!$A86</f>
        <v>0</v>
      </c>
      <c r="C3726" s="99" t="n">
        <f aca="false">-'Loan Tape'!$BE86</f>
        <v>-0</v>
      </c>
      <c r="D3726" s="99" t="n">
        <f aca="false">IF(1&gt;Hold_Yrs,0,D2817-IF(1&gt;Debt_Yr,0,(C3120-0.5*IF(1=Debt_Yr,0,C3423))*INDEX(Fin_Curve,1,1))-C3423-C3423*Fin_ExitFee)</f>
        <v>0</v>
      </c>
      <c r="E3726" s="99" t="n">
        <f aca="false">IF(2&gt;Hold_Yrs,0,E2817-IF(2&gt;Debt_Yr,0,(D3120-0.5*IF(2=Debt_Yr,0,D3423))*INDEX(Fin_Curve,1,2))-D3423-D3423*Fin_ExitFee)</f>
        <v>0</v>
      </c>
      <c r="F3726" s="99" t="n">
        <f aca="false">IF(3&gt;Hold_Yrs,0,F2817-IF(3&gt;Debt_Yr,0,(E3120-0.5*IF(3=Debt_Yr,0,E3423))*INDEX(Fin_Curve,1,3))-E3423-E3423*Fin_ExitFee)</f>
        <v>0</v>
      </c>
      <c r="G3726" s="99" t="n">
        <f aca="false">IF(4&gt;Hold_Yrs,0,G2817-IF(4&gt;Debt_Yr,0,(F3120-0.5*IF(4=Debt_Yr,0,F3423))*INDEX(Fin_Curve,1,4))-F3423-F3423*Fin_ExitFee)</f>
        <v>0</v>
      </c>
      <c r="H3726" s="99" t="n">
        <f aca="false">IF(5&gt;Hold_Yrs,0,H2817-IF(5&gt;Debt_Yr,0,(G3120-0.5*IF(5=Debt_Yr,0,G3423))*INDEX(Fin_Curve,1,5))-G3423-G3423*Fin_ExitFee)</f>
        <v>0</v>
      </c>
      <c r="I3726" s="99" t="n">
        <f aca="false">IF(6&gt;Hold_Yrs,0,I2817-IF(6&gt;Debt_Yr,0,(H3120-0.5*IF(6=Debt_Yr,0,H3423))*INDEX(Fin_Curve,1,6))-H3423-H3423*Fin_ExitFee)</f>
        <v>0</v>
      </c>
      <c r="J3726" s="99" t="n">
        <f aca="false">IF(7&gt;Hold_Yrs,0,J2817-IF(7&gt;Debt_Yr,0,(I3120-0.5*IF(7=Debt_Yr,0,I3423))*INDEX(Fin_Curve,1,7))-I3423-I3423*Fin_ExitFee)</f>
        <v>0</v>
      </c>
      <c r="K3726" s="99" t="n">
        <f aca="false">IF(8&gt;Hold_Yrs,0,K2817-IF(8&gt;Debt_Yr,0,(J3120-0.5*IF(8=Debt_Yr,0,J3423))*INDEX(Fin_Curve,1,8))-J3423-J3423*Fin_ExitFee)</f>
        <v>0</v>
      </c>
      <c r="L3726" s="99" t="n">
        <f aca="false">IF(9&gt;Hold_Yrs,0,L2817-IF(9&gt;Debt_Yr,0,(K3120-0.5*IF(9=Debt_Yr,0,K3423))*INDEX(Fin_Curve,1,9))-K3423-K3423*Fin_ExitFee)</f>
        <v>0</v>
      </c>
      <c r="M3726" s="99" t="n">
        <f aca="false">IF(10&gt;Hold_Yrs,0,M2817-IF(10&gt;Debt_Yr,0,(L3120-0.5*IF(10=Debt_Yr,0,L3423))*INDEX(Fin_Curve,1,10))-L3423-L3423*Fin_ExitFee)</f>
        <v>0</v>
      </c>
    </row>
    <row r="3727" customFormat="false" ht="15" hidden="false" customHeight="false" outlineLevel="0" collapsed="false">
      <c r="B3727" s="108" t="n">
        <f aca="false">'Loan Tape'!$A87</f>
        <v>0</v>
      </c>
      <c r="C3727" s="71" t="n">
        <f aca="false">-'Loan Tape'!$BE87</f>
        <v>-0</v>
      </c>
      <c r="D3727" s="71" t="n">
        <f aca="false">IF(1&gt;Hold_Yrs,0,D2818-IF(1&gt;Debt_Yr,0,(C3121-0.5*IF(1=Debt_Yr,0,C3424))*INDEX(Fin_Curve,1,1))-C3424-C3424*Fin_ExitFee)</f>
        <v>0</v>
      </c>
      <c r="E3727" s="71" t="n">
        <f aca="false">IF(2&gt;Hold_Yrs,0,E2818-IF(2&gt;Debt_Yr,0,(D3121-0.5*IF(2=Debt_Yr,0,D3424))*INDEX(Fin_Curve,1,2))-D3424-D3424*Fin_ExitFee)</f>
        <v>0</v>
      </c>
      <c r="F3727" s="71" t="n">
        <f aca="false">IF(3&gt;Hold_Yrs,0,F2818-IF(3&gt;Debt_Yr,0,(E3121-0.5*IF(3=Debt_Yr,0,E3424))*INDEX(Fin_Curve,1,3))-E3424-E3424*Fin_ExitFee)</f>
        <v>0</v>
      </c>
      <c r="G3727" s="71" t="n">
        <f aca="false">IF(4&gt;Hold_Yrs,0,G2818-IF(4&gt;Debt_Yr,0,(F3121-0.5*IF(4=Debt_Yr,0,F3424))*INDEX(Fin_Curve,1,4))-F3424-F3424*Fin_ExitFee)</f>
        <v>0</v>
      </c>
      <c r="H3727" s="71" t="n">
        <f aca="false">IF(5&gt;Hold_Yrs,0,H2818-IF(5&gt;Debt_Yr,0,(G3121-0.5*IF(5=Debt_Yr,0,G3424))*INDEX(Fin_Curve,1,5))-G3424-G3424*Fin_ExitFee)</f>
        <v>0</v>
      </c>
      <c r="I3727" s="71" t="n">
        <f aca="false">IF(6&gt;Hold_Yrs,0,I2818-IF(6&gt;Debt_Yr,0,(H3121-0.5*IF(6=Debt_Yr,0,H3424))*INDEX(Fin_Curve,1,6))-H3424-H3424*Fin_ExitFee)</f>
        <v>0</v>
      </c>
      <c r="J3727" s="71" t="n">
        <f aca="false">IF(7&gt;Hold_Yrs,0,J2818-IF(7&gt;Debt_Yr,0,(I3121-0.5*IF(7=Debt_Yr,0,I3424))*INDEX(Fin_Curve,1,7))-I3424-I3424*Fin_ExitFee)</f>
        <v>0</v>
      </c>
      <c r="K3727" s="71" t="n">
        <f aca="false">IF(8&gt;Hold_Yrs,0,K2818-IF(8&gt;Debt_Yr,0,(J3121-0.5*IF(8=Debt_Yr,0,J3424))*INDEX(Fin_Curve,1,8))-J3424-J3424*Fin_ExitFee)</f>
        <v>0</v>
      </c>
      <c r="L3727" s="71" t="n">
        <f aca="false">IF(9&gt;Hold_Yrs,0,L2818-IF(9&gt;Debt_Yr,0,(K3121-0.5*IF(9=Debt_Yr,0,K3424))*INDEX(Fin_Curve,1,9))-K3424-K3424*Fin_ExitFee)</f>
        <v>0</v>
      </c>
      <c r="M3727" s="71" t="n">
        <f aca="false">IF(10&gt;Hold_Yrs,0,M2818-IF(10&gt;Debt_Yr,0,(L3121-0.5*IF(10=Debt_Yr,0,L3424))*INDEX(Fin_Curve,1,10))-L3424-L3424*Fin_ExitFee)</f>
        <v>0</v>
      </c>
    </row>
    <row r="3728" customFormat="false" ht="15" hidden="false" customHeight="false" outlineLevel="0" collapsed="false">
      <c r="B3728" s="102" t="n">
        <f aca="false">'Loan Tape'!$A88</f>
        <v>0</v>
      </c>
      <c r="C3728" s="99" t="n">
        <f aca="false">-'Loan Tape'!$BE88</f>
        <v>-0</v>
      </c>
      <c r="D3728" s="99" t="n">
        <f aca="false">IF(1&gt;Hold_Yrs,0,D2819-IF(1&gt;Debt_Yr,0,(C3122-0.5*IF(1=Debt_Yr,0,C3425))*INDEX(Fin_Curve,1,1))-C3425-C3425*Fin_ExitFee)</f>
        <v>0</v>
      </c>
      <c r="E3728" s="99" t="n">
        <f aca="false">IF(2&gt;Hold_Yrs,0,E2819-IF(2&gt;Debt_Yr,0,(D3122-0.5*IF(2=Debt_Yr,0,D3425))*INDEX(Fin_Curve,1,2))-D3425-D3425*Fin_ExitFee)</f>
        <v>0</v>
      </c>
      <c r="F3728" s="99" t="n">
        <f aca="false">IF(3&gt;Hold_Yrs,0,F2819-IF(3&gt;Debt_Yr,0,(E3122-0.5*IF(3=Debt_Yr,0,E3425))*INDEX(Fin_Curve,1,3))-E3425-E3425*Fin_ExitFee)</f>
        <v>0</v>
      </c>
      <c r="G3728" s="99" t="n">
        <f aca="false">IF(4&gt;Hold_Yrs,0,G2819-IF(4&gt;Debt_Yr,0,(F3122-0.5*IF(4=Debt_Yr,0,F3425))*INDEX(Fin_Curve,1,4))-F3425-F3425*Fin_ExitFee)</f>
        <v>0</v>
      </c>
      <c r="H3728" s="99" t="n">
        <f aca="false">IF(5&gt;Hold_Yrs,0,H2819-IF(5&gt;Debt_Yr,0,(G3122-0.5*IF(5=Debt_Yr,0,G3425))*INDEX(Fin_Curve,1,5))-G3425-G3425*Fin_ExitFee)</f>
        <v>0</v>
      </c>
      <c r="I3728" s="99" t="n">
        <f aca="false">IF(6&gt;Hold_Yrs,0,I2819-IF(6&gt;Debt_Yr,0,(H3122-0.5*IF(6=Debt_Yr,0,H3425))*INDEX(Fin_Curve,1,6))-H3425-H3425*Fin_ExitFee)</f>
        <v>0</v>
      </c>
      <c r="J3728" s="99" t="n">
        <f aca="false">IF(7&gt;Hold_Yrs,0,J2819-IF(7&gt;Debt_Yr,0,(I3122-0.5*IF(7=Debt_Yr,0,I3425))*INDEX(Fin_Curve,1,7))-I3425-I3425*Fin_ExitFee)</f>
        <v>0</v>
      </c>
      <c r="K3728" s="99" t="n">
        <f aca="false">IF(8&gt;Hold_Yrs,0,K2819-IF(8&gt;Debt_Yr,0,(J3122-0.5*IF(8=Debt_Yr,0,J3425))*INDEX(Fin_Curve,1,8))-J3425-J3425*Fin_ExitFee)</f>
        <v>0</v>
      </c>
      <c r="L3728" s="99" t="n">
        <f aca="false">IF(9&gt;Hold_Yrs,0,L2819-IF(9&gt;Debt_Yr,0,(K3122-0.5*IF(9=Debt_Yr,0,K3425))*INDEX(Fin_Curve,1,9))-K3425-K3425*Fin_ExitFee)</f>
        <v>0</v>
      </c>
      <c r="M3728" s="99" t="n">
        <f aca="false">IF(10&gt;Hold_Yrs,0,M2819-IF(10&gt;Debt_Yr,0,(L3122-0.5*IF(10=Debt_Yr,0,L3425))*INDEX(Fin_Curve,1,10))-L3425-L3425*Fin_ExitFee)</f>
        <v>0</v>
      </c>
    </row>
    <row r="3729" customFormat="false" ht="15" hidden="false" customHeight="false" outlineLevel="0" collapsed="false">
      <c r="B3729" s="108" t="n">
        <f aca="false">'Loan Tape'!$A89</f>
        <v>0</v>
      </c>
      <c r="C3729" s="71" t="n">
        <f aca="false">-'Loan Tape'!$BE89</f>
        <v>-0</v>
      </c>
      <c r="D3729" s="71" t="n">
        <f aca="false">IF(1&gt;Hold_Yrs,0,D2820-IF(1&gt;Debt_Yr,0,(C3123-0.5*IF(1=Debt_Yr,0,C3426))*INDEX(Fin_Curve,1,1))-C3426-C3426*Fin_ExitFee)</f>
        <v>0</v>
      </c>
      <c r="E3729" s="71" t="n">
        <f aca="false">IF(2&gt;Hold_Yrs,0,E2820-IF(2&gt;Debt_Yr,0,(D3123-0.5*IF(2=Debt_Yr,0,D3426))*INDEX(Fin_Curve,1,2))-D3426-D3426*Fin_ExitFee)</f>
        <v>0</v>
      </c>
      <c r="F3729" s="71" t="n">
        <f aca="false">IF(3&gt;Hold_Yrs,0,F2820-IF(3&gt;Debt_Yr,0,(E3123-0.5*IF(3=Debt_Yr,0,E3426))*INDEX(Fin_Curve,1,3))-E3426-E3426*Fin_ExitFee)</f>
        <v>0</v>
      </c>
      <c r="G3729" s="71" t="n">
        <f aca="false">IF(4&gt;Hold_Yrs,0,G2820-IF(4&gt;Debt_Yr,0,(F3123-0.5*IF(4=Debt_Yr,0,F3426))*INDEX(Fin_Curve,1,4))-F3426-F3426*Fin_ExitFee)</f>
        <v>0</v>
      </c>
      <c r="H3729" s="71" t="n">
        <f aca="false">IF(5&gt;Hold_Yrs,0,H2820-IF(5&gt;Debt_Yr,0,(G3123-0.5*IF(5=Debt_Yr,0,G3426))*INDEX(Fin_Curve,1,5))-G3426-G3426*Fin_ExitFee)</f>
        <v>0</v>
      </c>
      <c r="I3729" s="71" t="n">
        <f aca="false">IF(6&gt;Hold_Yrs,0,I2820-IF(6&gt;Debt_Yr,0,(H3123-0.5*IF(6=Debt_Yr,0,H3426))*INDEX(Fin_Curve,1,6))-H3426-H3426*Fin_ExitFee)</f>
        <v>0</v>
      </c>
      <c r="J3729" s="71" t="n">
        <f aca="false">IF(7&gt;Hold_Yrs,0,J2820-IF(7&gt;Debt_Yr,0,(I3123-0.5*IF(7=Debt_Yr,0,I3426))*INDEX(Fin_Curve,1,7))-I3426-I3426*Fin_ExitFee)</f>
        <v>0</v>
      </c>
      <c r="K3729" s="71" t="n">
        <f aca="false">IF(8&gt;Hold_Yrs,0,K2820-IF(8&gt;Debt_Yr,0,(J3123-0.5*IF(8=Debt_Yr,0,J3426))*INDEX(Fin_Curve,1,8))-J3426-J3426*Fin_ExitFee)</f>
        <v>0</v>
      </c>
      <c r="L3729" s="71" t="n">
        <f aca="false">IF(9&gt;Hold_Yrs,0,L2820-IF(9&gt;Debt_Yr,0,(K3123-0.5*IF(9=Debt_Yr,0,K3426))*INDEX(Fin_Curve,1,9))-K3426-K3426*Fin_ExitFee)</f>
        <v>0</v>
      </c>
      <c r="M3729" s="71" t="n">
        <f aca="false">IF(10&gt;Hold_Yrs,0,M2820-IF(10&gt;Debt_Yr,0,(L3123-0.5*IF(10=Debt_Yr,0,L3426))*INDEX(Fin_Curve,1,10))-L3426-L3426*Fin_ExitFee)</f>
        <v>0</v>
      </c>
    </row>
    <row r="3730" customFormat="false" ht="15" hidden="false" customHeight="false" outlineLevel="0" collapsed="false">
      <c r="B3730" s="102" t="n">
        <f aca="false">'Loan Tape'!$A90</f>
        <v>0</v>
      </c>
      <c r="C3730" s="99" t="n">
        <f aca="false">-'Loan Tape'!$BE90</f>
        <v>-0</v>
      </c>
      <c r="D3730" s="99" t="n">
        <f aca="false">IF(1&gt;Hold_Yrs,0,D2821-IF(1&gt;Debt_Yr,0,(C3124-0.5*IF(1=Debt_Yr,0,C3427))*INDEX(Fin_Curve,1,1))-C3427-C3427*Fin_ExitFee)</f>
        <v>0</v>
      </c>
      <c r="E3730" s="99" t="n">
        <f aca="false">IF(2&gt;Hold_Yrs,0,E2821-IF(2&gt;Debt_Yr,0,(D3124-0.5*IF(2=Debt_Yr,0,D3427))*INDEX(Fin_Curve,1,2))-D3427-D3427*Fin_ExitFee)</f>
        <v>0</v>
      </c>
      <c r="F3730" s="99" t="n">
        <f aca="false">IF(3&gt;Hold_Yrs,0,F2821-IF(3&gt;Debt_Yr,0,(E3124-0.5*IF(3=Debt_Yr,0,E3427))*INDEX(Fin_Curve,1,3))-E3427-E3427*Fin_ExitFee)</f>
        <v>0</v>
      </c>
      <c r="G3730" s="99" t="n">
        <f aca="false">IF(4&gt;Hold_Yrs,0,G2821-IF(4&gt;Debt_Yr,0,(F3124-0.5*IF(4=Debt_Yr,0,F3427))*INDEX(Fin_Curve,1,4))-F3427-F3427*Fin_ExitFee)</f>
        <v>0</v>
      </c>
      <c r="H3730" s="99" t="n">
        <f aca="false">IF(5&gt;Hold_Yrs,0,H2821-IF(5&gt;Debt_Yr,0,(G3124-0.5*IF(5=Debt_Yr,0,G3427))*INDEX(Fin_Curve,1,5))-G3427-G3427*Fin_ExitFee)</f>
        <v>0</v>
      </c>
      <c r="I3730" s="99" t="n">
        <f aca="false">IF(6&gt;Hold_Yrs,0,I2821-IF(6&gt;Debt_Yr,0,(H3124-0.5*IF(6=Debt_Yr,0,H3427))*INDEX(Fin_Curve,1,6))-H3427-H3427*Fin_ExitFee)</f>
        <v>0</v>
      </c>
      <c r="J3730" s="99" t="n">
        <f aca="false">IF(7&gt;Hold_Yrs,0,J2821-IF(7&gt;Debt_Yr,0,(I3124-0.5*IF(7=Debt_Yr,0,I3427))*INDEX(Fin_Curve,1,7))-I3427-I3427*Fin_ExitFee)</f>
        <v>0</v>
      </c>
      <c r="K3730" s="99" t="n">
        <f aca="false">IF(8&gt;Hold_Yrs,0,K2821-IF(8&gt;Debt_Yr,0,(J3124-0.5*IF(8=Debt_Yr,0,J3427))*INDEX(Fin_Curve,1,8))-J3427-J3427*Fin_ExitFee)</f>
        <v>0</v>
      </c>
      <c r="L3730" s="99" t="n">
        <f aca="false">IF(9&gt;Hold_Yrs,0,L2821-IF(9&gt;Debt_Yr,0,(K3124-0.5*IF(9=Debt_Yr,0,K3427))*INDEX(Fin_Curve,1,9))-K3427-K3427*Fin_ExitFee)</f>
        <v>0</v>
      </c>
      <c r="M3730" s="99" t="n">
        <f aca="false">IF(10&gt;Hold_Yrs,0,M2821-IF(10&gt;Debt_Yr,0,(L3124-0.5*IF(10=Debt_Yr,0,L3427))*INDEX(Fin_Curve,1,10))-L3427-L3427*Fin_ExitFee)</f>
        <v>0</v>
      </c>
    </row>
    <row r="3731" customFormat="false" ht="15" hidden="false" customHeight="false" outlineLevel="0" collapsed="false">
      <c r="B3731" s="108" t="n">
        <f aca="false">'Loan Tape'!$A91</f>
        <v>0</v>
      </c>
      <c r="C3731" s="71" t="n">
        <f aca="false">-'Loan Tape'!$BE91</f>
        <v>-0</v>
      </c>
      <c r="D3731" s="71" t="n">
        <f aca="false">IF(1&gt;Hold_Yrs,0,D2822-IF(1&gt;Debt_Yr,0,(C3125-0.5*IF(1=Debt_Yr,0,C3428))*INDEX(Fin_Curve,1,1))-C3428-C3428*Fin_ExitFee)</f>
        <v>0</v>
      </c>
      <c r="E3731" s="71" t="n">
        <f aca="false">IF(2&gt;Hold_Yrs,0,E2822-IF(2&gt;Debt_Yr,0,(D3125-0.5*IF(2=Debt_Yr,0,D3428))*INDEX(Fin_Curve,1,2))-D3428-D3428*Fin_ExitFee)</f>
        <v>0</v>
      </c>
      <c r="F3731" s="71" t="n">
        <f aca="false">IF(3&gt;Hold_Yrs,0,F2822-IF(3&gt;Debt_Yr,0,(E3125-0.5*IF(3=Debt_Yr,0,E3428))*INDEX(Fin_Curve,1,3))-E3428-E3428*Fin_ExitFee)</f>
        <v>0</v>
      </c>
      <c r="G3731" s="71" t="n">
        <f aca="false">IF(4&gt;Hold_Yrs,0,G2822-IF(4&gt;Debt_Yr,0,(F3125-0.5*IF(4=Debt_Yr,0,F3428))*INDEX(Fin_Curve,1,4))-F3428-F3428*Fin_ExitFee)</f>
        <v>0</v>
      </c>
      <c r="H3731" s="71" t="n">
        <f aca="false">IF(5&gt;Hold_Yrs,0,H2822-IF(5&gt;Debt_Yr,0,(G3125-0.5*IF(5=Debt_Yr,0,G3428))*INDEX(Fin_Curve,1,5))-G3428-G3428*Fin_ExitFee)</f>
        <v>0</v>
      </c>
      <c r="I3731" s="71" t="n">
        <f aca="false">IF(6&gt;Hold_Yrs,0,I2822-IF(6&gt;Debt_Yr,0,(H3125-0.5*IF(6=Debt_Yr,0,H3428))*INDEX(Fin_Curve,1,6))-H3428-H3428*Fin_ExitFee)</f>
        <v>0</v>
      </c>
      <c r="J3731" s="71" t="n">
        <f aca="false">IF(7&gt;Hold_Yrs,0,J2822-IF(7&gt;Debt_Yr,0,(I3125-0.5*IF(7=Debt_Yr,0,I3428))*INDEX(Fin_Curve,1,7))-I3428-I3428*Fin_ExitFee)</f>
        <v>0</v>
      </c>
      <c r="K3731" s="71" t="n">
        <f aca="false">IF(8&gt;Hold_Yrs,0,K2822-IF(8&gt;Debt_Yr,0,(J3125-0.5*IF(8=Debt_Yr,0,J3428))*INDEX(Fin_Curve,1,8))-J3428-J3428*Fin_ExitFee)</f>
        <v>0</v>
      </c>
      <c r="L3731" s="71" t="n">
        <f aca="false">IF(9&gt;Hold_Yrs,0,L2822-IF(9&gt;Debt_Yr,0,(K3125-0.5*IF(9=Debt_Yr,0,K3428))*INDEX(Fin_Curve,1,9))-K3428-K3428*Fin_ExitFee)</f>
        <v>0</v>
      </c>
      <c r="M3731" s="71" t="n">
        <f aca="false">IF(10&gt;Hold_Yrs,0,M2822-IF(10&gt;Debt_Yr,0,(L3125-0.5*IF(10=Debt_Yr,0,L3428))*INDEX(Fin_Curve,1,10))-L3428-L3428*Fin_ExitFee)</f>
        <v>0</v>
      </c>
    </row>
    <row r="3732" customFormat="false" ht="15" hidden="false" customHeight="false" outlineLevel="0" collapsed="false">
      <c r="B3732" s="102" t="n">
        <f aca="false">'Loan Tape'!$A92</f>
        <v>0</v>
      </c>
      <c r="C3732" s="99" t="n">
        <f aca="false">-'Loan Tape'!$BE92</f>
        <v>-0</v>
      </c>
      <c r="D3732" s="99" t="n">
        <f aca="false">IF(1&gt;Hold_Yrs,0,D2823-IF(1&gt;Debt_Yr,0,(C3126-0.5*IF(1=Debt_Yr,0,C3429))*INDEX(Fin_Curve,1,1))-C3429-C3429*Fin_ExitFee)</f>
        <v>0</v>
      </c>
      <c r="E3732" s="99" t="n">
        <f aca="false">IF(2&gt;Hold_Yrs,0,E2823-IF(2&gt;Debt_Yr,0,(D3126-0.5*IF(2=Debt_Yr,0,D3429))*INDEX(Fin_Curve,1,2))-D3429-D3429*Fin_ExitFee)</f>
        <v>0</v>
      </c>
      <c r="F3732" s="99" t="n">
        <f aca="false">IF(3&gt;Hold_Yrs,0,F2823-IF(3&gt;Debt_Yr,0,(E3126-0.5*IF(3=Debt_Yr,0,E3429))*INDEX(Fin_Curve,1,3))-E3429-E3429*Fin_ExitFee)</f>
        <v>0</v>
      </c>
      <c r="G3732" s="99" t="n">
        <f aca="false">IF(4&gt;Hold_Yrs,0,G2823-IF(4&gt;Debt_Yr,0,(F3126-0.5*IF(4=Debt_Yr,0,F3429))*INDEX(Fin_Curve,1,4))-F3429-F3429*Fin_ExitFee)</f>
        <v>0</v>
      </c>
      <c r="H3732" s="99" t="n">
        <f aca="false">IF(5&gt;Hold_Yrs,0,H2823-IF(5&gt;Debt_Yr,0,(G3126-0.5*IF(5=Debt_Yr,0,G3429))*INDEX(Fin_Curve,1,5))-G3429-G3429*Fin_ExitFee)</f>
        <v>0</v>
      </c>
      <c r="I3732" s="99" t="n">
        <f aca="false">IF(6&gt;Hold_Yrs,0,I2823-IF(6&gt;Debt_Yr,0,(H3126-0.5*IF(6=Debt_Yr,0,H3429))*INDEX(Fin_Curve,1,6))-H3429-H3429*Fin_ExitFee)</f>
        <v>0</v>
      </c>
      <c r="J3732" s="99" t="n">
        <f aca="false">IF(7&gt;Hold_Yrs,0,J2823-IF(7&gt;Debt_Yr,0,(I3126-0.5*IF(7=Debt_Yr,0,I3429))*INDEX(Fin_Curve,1,7))-I3429-I3429*Fin_ExitFee)</f>
        <v>0</v>
      </c>
      <c r="K3732" s="99" t="n">
        <f aca="false">IF(8&gt;Hold_Yrs,0,K2823-IF(8&gt;Debt_Yr,0,(J3126-0.5*IF(8=Debt_Yr,0,J3429))*INDEX(Fin_Curve,1,8))-J3429-J3429*Fin_ExitFee)</f>
        <v>0</v>
      </c>
      <c r="L3732" s="99" t="n">
        <f aca="false">IF(9&gt;Hold_Yrs,0,L2823-IF(9&gt;Debt_Yr,0,(K3126-0.5*IF(9=Debt_Yr,0,K3429))*INDEX(Fin_Curve,1,9))-K3429-K3429*Fin_ExitFee)</f>
        <v>0</v>
      </c>
      <c r="M3732" s="99" t="n">
        <f aca="false">IF(10&gt;Hold_Yrs,0,M2823-IF(10&gt;Debt_Yr,0,(L3126-0.5*IF(10=Debt_Yr,0,L3429))*INDEX(Fin_Curve,1,10))-L3429-L3429*Fin_ExitFee)</f>
        <v>0</v>
      </c>
    </row>
    <row r="3733" customFormat="false" ht="15" hidden="false" customHeight="false" outlineLevel="0" collapsed="false">
      <c r="B3733" s="108" t="n">
        <f aca="false">'Loan Tape'!$A93</f>
        <v>0</v>
      </c>
      <c r="C3733" s="71" t="n">
        <f aca="false">-'Loan Tape'!$BE93</f>
        <v>-0</v>
      </c>
      <c r="D3733" s="71" t="n">
        <f aca="false">IF(1&gt;Hold_Yrs,0,D2824-IF(1&gt;Debt_Yr,0,(C3127-0.5*IF(1=Debt_Yr,0,C3430))*INDEX(Fin_Curve,1,1))-C3430-C3430*Fin_ExitFee)</f>
        <v>0</v>
      </c>
      <c r="E3733" s="71" t="n">
        <f aca="false">IF(2&gt;Hold_Yrs,0,E2824-IF(2&gt;Debt_Yr,0,(D3127-0.5*IF(2=Debt_Yr,0,D3430))*INDEX(Fin_Curve,1,2))-D3430-D3430*Fin_ExitFee)</f>
        <v>0</v>
      </c>
      <c r="F3733" s="71" t="n">
        <f aca="false">IF(3&gt;Hold_Yrs,0,F2824-IF(3&gt;Debt_Yr,0,(E3127-0.5*IF(3=Debt_Yr,0,E3430))*INDEX(Fin_Curve,1,3))-E3430-E3430*Fin_ExitFee)</f>
        <v>0</v>
      </c>
      <c r="G3733" s="71" t="n">
        <f aca="false">IF(4&gt;Hold_Yrs,0,G2824-IF(4&gt;Debt_Yr,0,(F3127-0.5*IF(4=Debt_Yr,0,F3430))*INDEX(Fin_Curve,1,4))-F3430-F3430*Fin_ExitFee)</f>
        <v>0</v>
      </c>
      <c r="H3733" s="71" t="n">
        <f aca="false">IF(5&gt;Hold_Yrs,0,H2824-IF(5&gt;Debt_Yr,0,(G3127-0.5*IF(5=Debt_Yr,0,G3430))*INDEX(Fin_Curve,1,5))-G3430-G3430*Fin_ExitFee)</f>
        <v>0</v>
      </c>
      <c r="I3733" s="71" t="n">
        <f aca="false">IF(6&gt;Hold_Yrs,0,I2824-IF(6&gt;Debt_Yr,0,(H3127-0.5*IF(6=Debt_Yr,0,H3430))*INDEX(Fin_Curve,1,6))-H3430-H3430*Fin_ExitFee)</f>
        <v>0</v>
      </c>
      <c r="J3733" s="71" t="n">
        <f aca="false">IF(7&gt;Hold_Yrs,0,J2824-IF(7&gt;Debt_Yr,0,(I3127-0.5*IF(7=Debt_Yr,0,I3430))*INDEX(Fin_Curve,1,7))-I3430-I3430*Fin_ExitFee)</f>
        <v>0</v>
      </c>
      <c r="K3733" s="71" t="n">
        <f aca="false">IF(8&gt;Hold_Yrs,0,K2824-IF(8&gt;Debt_Yr,0,(J3127-0.5*IF(8=Debt_Yr,0,J3430))*INDEX(Fin_Curve,1,8))-J3430-J3430*Fin_ExitFee)</f>
        <v>0</v>
      </c>
      <c r="L3733" s="71" t="n">
        <f aca="false">IF(9&gt;Hold_Yrs,0,L2824-IF(9&gt;Debt_Yr,0,(K3127-0.5*IF(9=Debt_Yr,0,K3430))*INDEX(Fin_Curve,1,9))-K3430-K3430*Fin_ExitFee)</f>
        <v>0</v>
      </c>
      <c r="M3733" s="71" t="n">
        <f aca="false">IF(10&gt;Hold_Yrs,0,M2824-IF(10&gt;Debt_Yr,0,(L3127-0.5*IF(10=Debt_Yr,0,L3430))*INDEX(Fin_Curve,1,10))-L3430-L3430*Fin_ExitFee)</f>
        <v>0</v>
      </c>
    </row>
    <row r="3734" customFormat="false" ht="15" hidden="false" customHeight="false" outlineLevel="0" collapsed="false">
      <c r="B3734" s="102" t="n">
        <f aca="false">'Loan Tape'!$A94</f>
        <v>0</v>
      </c>
      <c r="C3734" s="99" t="n">
        <f aca="false">-'Loan Tape'!$BE94</f>
        <v>-0</v>
      </c>
      <c r="D3734" s="99" t="n">
        <f aca="false">IF(1&gt;Hold_Yrs,0,D2825-IF(1&gt;Debt_Yr,0,(C3128-0.5*IF(1=Debt_Yr,0,C3431))*INDEX(Fin_Curve,1,1))-C3431-C3431*Fin_ExitFee)</f>
        <v>0</v>
      </c>
      <c r="E3734" s="99" t="n">
        <f aca="false">IF(2&gt;Hold_Yrs,0,E2825-IF(2&gt;Debt_Yr,0,(D3128-0.5*IF(2=Debt_Yr,0,D3431))*INDEX(Fin_Curve,1,2))-D3431-D3431*Fin_ExitFee)</f>
        <v>0</v>
      </c>
      <c r="F3734" s="99" t="n">
        <f aca="false">IF(3&gt;Hold_Yrs,0,F2825-IF(3&gt;Debt_Yr,0,(E3128-0.5*IF(3=Debt_Yr,0,E3431))*INDEX(Fin_Curve,1,3))-E3431-E3431*Fin_ExitFee)</f>
        <v>0</v>
      </c>
      <c r="G3734" s="99" t="n">
        <f aca="false">IF(4&gt;Hold_Yrs,0,G2825-IF(4&gt;Debt_Yr,0,(F3128-0.5*IF(4=Debt_Yr,0,F3431))*INDEX(Fin_Curve,1,4))-F3431-F3431*Fin_ExitFee)</f>
        <v>0</v>
      </c>
      <c r="H3734" s="99" t="n">
        <f aca="false">IF(5&gt;Hold_Yrs,0,H2825-IF(5&gt;Debt_Yr,0,(G3128-0.5*IF(5=Debt_Yr,0,G3431))*INDEX(Fin_Curve,1,5))-G3431-G3431*Fin_ExitFee)</f>
        <v>0</v>
      </c>
      <c r="I3734" s="99" t="n">
        <f aca="false">IF(6&gt;Hold_Yrs,0,I2825-IF(6&gt;Debt_Yr,0,(H3128-0.5*IF(6=Debt_Yr,0,H3431))*INDEX(Fin_Curve,1,6))-H3431-H3431*Fin_ExitFee)</f>
        <v>0</v>
      </c>
      <c r="J3734" s="99" t="n">
        <f aca="false">IF(7&gt;Hold_Yrs,0,J2825-IF(7&gt;Debt_Yr,0,(I3128-0.5*IF(7=Debt_Yr,0,I3431))*INDEX(Fin_Curve,1,7))-I3431-I3431*Fin_ExitFee)</f>
        <v>0</v>
      </c>
      <c r="K3734" s="99" t="n">
        <f aca="false">IF(8&gt;Hold_Yrs,0,K2825-IF(8&gt;Debt_Yr,0,(J3128-0.5*IF(8=Debt_Yr,0,J3431))*INDEX(Fin_Curve,1,8))-J3431-J3431*Fin_ExitFee)</f>
        <v>0</v>
      </c>
      <c r="L3734" s="99" t="n">
        <f aca="false">IF(9&gt;Hold_Yrs,0,L2825-IF(9&gt;Debt_Yr,0,(K3128-0.5*IF(9=Debt_Yr,0,K3431))*INDEX(Fin_Curve,1,9))-K3431-K3431*Fin_ExitFee)</f>
        <v>0</v>
      </c>
      <c r="M3734" s="99" t="n">
        <f aca="false">IF(10&gt;Hold_Yrs,0,M2825-IF(10&gt;Debt_Yr,0,(L3128-0.5*IF(10=Debt_Yr,0,L3431))*INDEX(Fin_Curve,1,10))-L3431-L3431*Fin_ExitFee)</f>
        <v>0</v>
      </c>
    </row>
    <row r="3735" customFormat="false" ht="15" hidden="false" customHeight="false" outlineLevel="0" collapsed="false">
      <c r="B3735" s="108" t="n">
        <f aca="false">'Loan Tape'!$A95</f>
        <v>0</v>
      </c>
      <c r="C3735" s="71" t="n">
        <f aca="false">-'Loan Tape'!$BE95</f>
        <v>-0</v>
      </c>
      <c r="D3735" s="71" t="n">
        <f aca="false">IF(1&gt;Hold_Yrs,0,D2826-IF(1&gt;Debt_Yr,0,(C3129-0.5*IF(1=Debt_Yr,0,C3432))*INDEX(Fin_Curve,1,1))-C3432-C3432*Fin_ExitFee)</f>
        <v>0</v>
      </c>
      <c r="E3735" s="71" t="n">
        <f aca="false">IF(2&gt;Hold_Yrs,0,E2826-IF(2&gt;Debt_Yr,0,(D3129-0.5*IF(2=Debt_Yr,0,D3432))*INDEX(Fin_Curve,1,2))-D3432-D3432*Fin_ExitFee)</f>
        <v>0</v>
      </c>
      <c r="F3735" s="71" t="n">
        <f aca="false">IF(3&gt;Hold_Yrs,0,F2826-IF(3&gt;Debt_Yr,0,(E3129-0.5*IF(3=Debt_Yr,0,E3432))*INDEX(Fin_Curve,1,3))-E3432-E3432*Fin_ExitFee)</f>
        <v>0</v>
      </c>
      <c r="G3735" s="71" t="n">
        <f aca="false">IF(4&gt;Hold_Yrs,0,G2826-IF(4&gt;Debt_Yr,0,(F3129-0.5*IF(4=Debt_Yr,0,F3432))*INDEX(Fin_Curve,1,4))-F3432-F3432*Fin_ExitFee)</f>
        <v>0</v>
      </c>
      <c r="H3735" s="71" t="n">
        <f aca="false">IF(5&gt;Hold_Yrs,0,H2826-IF(5&gt;Debt_Yr,0,(G3129-0.5*IF(5=Debt_Yr,0,G3432))*INDEX(Fin_Curve,1,5))-G3432-G3432*Fin_ExitFee)</f>
        <v>0</v>
      </c>
      <c r="I3735" s="71" t="n">
        <f aca="false">IF(6&gt;Hold_Yrs,0,I2826-IF(6&gt;Debt_Yr,0,(H3129-0.5*IF(6=Debt_Yr,0,H3432))*INDEX(Fin_Curve,1,6))-H3432-H3432*Fin_ExitFee)</f>
        <v>0</v>
      </c>
      <c r="J3735" s="71" t="n">
        <f aca="false">IF(7&gt;Hold_Yrs,0,J2826-IF(7&gt;Debt_Yr,0,(I3129-0.5*IF(7=Debt_Yr,0,I3432))*INDEX(Fin_Curve,1,7))-I3432-I3432*Fin_ExitFee)</f>
        <v>0</v>
      </c>
      <c r="K3735" s="71" t="n">
        <f aca="false">IF(8&gt;Hold_Yrs,0,K2826-IF(8&gt;Debt_Yr,0,(J3129-0.5*IF(8=Debt_Yr,0,J3432))*INDEX(Fin_Curve,1,8))-J3432-J3432*Fin_ExitFee)</f>
        <v>0</v>
      </c>
      <c r="L3735" s="71" t="n">
        <f aca="false">IF(9&gt;Hold_Yrs,0,L2826-IF(9&gt;Debt_Yr,0,(K3129-0.5*IF(9=Debt_Yr,0,K3432))*INDEX(Fin_Curve,1,9))-K3432-K3432*Fin_ExitFee)</f>
        <v>0</v>
      </c>
      <c r="M3735" s="71" t="n">
        <f aca="false">IF(10&gt;Hold_Yrs,0,M2826-IF(10&gt;Debt_Yr,0,(L3129-0.5*IF(10=Debt_Yr,0,L3432))*INDEX(Fin_Curve,1,10))-L3432-L3432*Fin_ExitFee)</f>
        <v>0</v>
      </c>
    </row>
    <row r="3736" customFormat="false" ht="15" hidden="false" customHeight="false" outlineLevel="0" collapsed="false">
      <c r="B3736" s="102" t="n">
        <f aca="false">'Loan Tape'!$A96</f>
        <v>0</v>
      </c>
      <c r="C3736" s="99" t="n">
        <f aca="false">-'Loan Tape'!$BE96</f>
        <v>-0</v>
      </c>
      <c r="D3736" s="99" t="n">
        <f aca="false">IF(1&gt;Hold_Yrs,0,D2827-IF(1&gt;Debt_Yr,0,(C3130-0.5*IF(1=Debt_Yr,0,C3433))*INDEX(Fin_Curve,1,1))-C3433-C3433*Fin_ExitFee)</f>
        <v>0</v>
      </c>
      <c r="E3736" s="99" t="n">
        <f aca="false">IF(2&gt;Hold_Yrs,0,E2827-IF(2&gt;Debt_Yr,0,(D3130-0.5*IF(2=Debt_Yr,0,D3433))*INDEX(Fin_Curve,1,2))-D3433-D3433*Fin_ExitFee)</f>
        <v>0</v>
      </c>
      <c r="F3736" s="99" t="n">
        <f aca="false">IF(3&gt;Hold_Yrs,0,F2827-IF(3&gt;Debt_Yr,0,(E3130-0.5*IF(3=Debt_Yr,0,E3433))*INDEX(Fin_Curve,1,3))-E3433-E3433*Fin_ExitFee)</f>
        <v>0</v>
      </c>
      <c r="G3736" s="99" t="n">
        <f aca="false">IF(4&gt;Hold_Yrs,0,G2827-IF(4&gt;Debt_Yr,0,(F3130-0.5*IF(4=Debt_Yr,0,F3433))*INDEX(Fin_Curve,1,4))-F3433-F3433*Fin_ExitFee)</f>
        <v>0</v>
      </c>
      <c r="H3736" s="99" t="n">
        <f aca="false">IF(5&gt;Hold_Yrs,0,H2827-IF(5&gt;Debt_Yr,0,(G3130-0.5*IF(5=Debt_Yr,0,G3433))*INDEX(Fin_Curve,1,5))-G3433-G3433*Fin_ExitFee)</f>
        <v>0</v>
      </c>
      <c r="I3736" s="99" t="n">
        <f aca="false">IF(6&gt;Hold_Yrs,0,I2827-IF(6&gt;Debt_Yr,0,(H3130-0.5*IF(6=Debt_Yr,0,H3433))*INDEX(Fin_Curve,1,6))-H3433-H3433*Fin_ExitFee)</f>
        <v>0</v>
      </c>
      <c r="J3736" s="99" t="n">
        <f aca="false">IF(7&gt;Hold_Yrs,0,J2827-IF(7&gt;Debt_Yr,0,(I3130-0.5*IF(7=Debt_Yr,0,I3433))*INDEX(Fin_Curve,1,7))-I3433-I3433*Fin_ExitFee)</f>
        <v>0</v>
      </c>
      <c r="K3736" s="99" t="n">
        <f aca="false">IF(8&gt;Hold_Yrs,0,K2827-IF(8&gt;Debt_Yr,0,(J3130-0.5*IF(8=Debt_Yr,0,J3433))*INDEX(Fin_Curve,1,8))-J3433-J3433*Fin_ExitFee)</f>
        <v>0</v>
      </c>
      <c r="L3736" s="99" t="n">
        <f aca="false">IF(9&gt;Hold_Yrs,0,L2827-IF(9&gt;Debt_Yr,0,(K3130-0.5*IF(9=Debt_Yr,0,K3433))*INDEX(Fin_Curve,1,9))-K3433-K3433*Fin_ExitFee)</f>
        <v>0</v>
      </c>
      <c r="M3736" s="99" t="n">
        <f aca="false">IF(10&gt;Hold_Yrs,0,M2827-IF(10&gt;Debt_Yr,0,(L3130-0.5*IF(10=Debt_Yr,0,L3433))*INDEX(Fin_Curve,1,10))-L3433-L3433*Fin_ExitFee)</f>
        <v>0</v>
      </c>
    </row>
    <row r="3737" customFormat="false" ht="15" hidden="false" customHeight="false" outlineLevel="0" collapsed="false">
      <c r="B3737" s="108" t="n">
        <f aca="false">'Loan Tape'!$A97</f>
        <v>0</v>
      </c>
      <c r="C3737" s="71" t="n">
        <f aca="false">-'Loan Tape'!$BE97</f>
        <v>-0</v>
      </c>
      <c r="D3737" s="71" t="n">
        <f aca="false">IF(1&gt;Hold_Yrs,0,D2828-IF(1&gt;Debt_Yr,0,(C3131-0.5*IF(1=Debt_Yr,0,C3434))*INDEX(Fin_Curve,1,1))-C3434-C3434*Fin_ExitFee)</f>
        <v>0</v>
      </c>
      <c r="E3737" s="71" t="n">
        <f aca="false">IF(2&gt;Hold_Yrs,0,E2828-IF(2&gt;Debt_Yr,0,(D3131-0.5*IF(2=Debt_Yr,0,D3434))*INDEX(Fin_Curve,1,2))-D3434-D3434*Fin_ExitFee)</f>
        <v>0</v>
      </c>
      <c r="F3737" s="71" t="n">
        <f aca="false">IF(3&gt;Hold_Yrs,0,F2828-IF(3&gt;Debt_Yr,0,(E3131-0.5*IF(3=Debt_Yr,0,E3434))*INDEX(Fin_Curve,1,3))-E3434-E3434*Fin_ExitFee)</f>
        <v>0</v>
      </c>
      <c r="G3737" s="71" t="n">
        <f aca="false">IF(4&gt;Hold_Yrs,0,G2828-IF(4&gt;Debt_Yr,0,(F3131-0.5*IF(4=Debt_Yr,0,F3434))*INDEX(Fin_Curve,1,4))-F3434-F3434*Fin_ExitFee)</f>
        <v>0</v>
      </c>
      <c r="H3737" s="71" t="n">
        <f aca="false">IF(5&gt;Hold_Yrs,0,H2828-IF(5&gt;Debt_Yr,0,(G3131-0.5*IF(5=Debt_Yr,0,G3434))*INDEX(Fin_Curve,1,5))-G3434-G3434*Fin_ExitFee)</f>
        <v>0</v>
      </c>
      <c r="I3737" s="71" t="n">
        <f aca="false">IF(6&gt;Hold_Yrs,0,I2828-IF(6&gt;Debt_Yr,0,(H3131-0.5*IF(6=Debt_Yr,0,H3434))*INDEX(Fin_Curve,1,6))-H3434-H3434*Fin_ExitFee)</f>
        <v>0</v>
      </c>
      <c r="J3737" s="71" t="n">
        <f aca="false">IF(7&gt;Hold_Yrs,0,J2828-IF(7&gt;Debt_Yr,0,(I3131-0.5*IF(7=Debt_Yr,0,I3434))*INDEX(Fin_Curve,1,7))-I3434-I3434*Fin_ExitFee)</f>
        <v>0</v>
      </c>
      <c r="K3737" s="71" t="n">
        <f aca="false">IF(8&gt;Hold_Yrs,0,K2828-IF(8&gt;Debt_Yr,0,(J3131-0.5*IF(8=Debt_Yr,0,J3434))*INDEX(Fin_Curve,1,8))-J3434-J3434*Fin_ExitFee)</f>
        <v>0</v>
      </c>
      <c r="L3737" s="71" t="n">
        <f aca="false">IF(9&gt;Hold_Yrs,0,L2828-IF(9&gt;Debt_Yr,0,(K3131-0.5*IF(9=Debt_Yr,0,K3434))*INDEX(Fin_Curve,1,9))-K3434-K3434*Fin_ExitFee)</f>
        <v>0</v>
      </c>
      <c r="M3737" s="71" t="n">
        <f aca="false">IF(10&gt;Hold_Yrs,0,M2828-IF(10&gt;Debt_Yr,0,(L3131-0.5*IF(10=Debt_Yr,0,L3434))*INDEX(Fin_Curve,1,10))-L3434-L3434*Fin_ExitFee)</f>
        <v>0</v>
      </c>
    </row>
    <row r="3738" customFormat="false" ht="15" hidden="false" customHeight="false" outlineLevel="0" collapsed="false">
      <c r="B3738" s="102" t="n">
        <f aca="false">'Loan Tape'!$A98</f>
        <v>0</v>
      </c>
      <c r="C3738" s="99" t="n">
        <f aca="false">-'Loan Tape'!$BE98</f>
        <v>-0</v>
      </c>
      <c r="D3738" s="99" t="n">
        <f aca="false">IF(1&gt;Hold_Yrs,0,D2829-IF(1&gt;Debt_Yr,0,(C3132-0.5*IF(1=Debt_Yr,0,C3435))*INDEX(Fin_Curve,1,1))-C3435-C3435*Fin_ExitFee)</f>
        <v>0</v>
      </c>
      <c r="E3738" s="99" t="n">
        <f aca="false">IF(2&gt;Hold_Yrs,0,E2829-IF(2&gt;Debt_Yr,0,(D3132-0.5*IF(2=Debt_Yr,0,D3435))*INDEX(Fin_Curve,1,2))-D3435-D3435*Fin_ExitFee)</f>
        <v>0</v>
      </c>
      <c r="F3738" s="99" t="n">
        <f aca="false">IF(3&gt;Hold_Yrs,0,F2829-IF(3&gt;Debt_Yr,0,(E3132-0.5*IF(3=Debt_Yr,0,E3435))*INDEX(Fin_Curve,1,3))-E3435-E3435*Fin_ExitFee)</f>
        <v>0</v>
      </c>
      <c r="G3738" s="99" t="n">
        <f aca="false">IF(4&gt;Hold_Yrs,0,G2829-IF(4&gt;Debt_Yr,0,(F3132-0.5*IF(4=Debt_Yr,0,F3435))*INDEX(Fin_Curve,1,4))-F3435-F3435*Fin_ExitFee)</f>
        <v>0</v>
      </c>
      <c r="H3738" s="99" t="n">
        <f aca="false">IF(5&gt;Hold_Yrs,0,H2829-IF(5&gt;Debt_Yr,0,(G3132-0.5*IF(5=Debt_Yr,0,G3435))*INDEX(Fin_Curve,1,5))-G3435-G3435*Fin_ExitFee)</f>
        <v>0</v>
      </c>
      <c r="I3738" s="99" t="n">
        <f aca="false">IF(6&gt;Hold_Yrs,0,I2829-IF(6&gt;Debt_Yr,0,(H3132-0.5*IF(6=Debt_Yr,0,H3435))*INDEX(Fin_Curve,1,6))-H3435-H3435*Fin_ExitFee)</f>
        <v>0</v>
      </c>
      <c r="J3738" s="99" t="n">
        <f aca="false">IF(7&gt;Hold_Yrs,0,J2829-IF(7&gt;Debt_Yr,0,(I3132-0.5*IF(7=Debt_Yr,0,I3435))*INDEX(Fin_Curve,1,7))-I3435-I3435*Fin_ExitFee)</f>
        <v>0</v>
      </c>
      <c r="K3738" s="99" t="n">
        <f aca="false">IF(8&gt;Hold_Yrs,0,K2829-IF(8&gt;Debt_Yr,0,(J3132-0.5*IF(8=Debt_Yr,0,J3435))*INDEX(Fin_Curve,1,8))-J3435-J3435*Fin_ExitFee)</f>
        <v>0</v>
      </c>
      <c r="L3738" s="99" t="n">
        <f aca="false">IF(9&gt;Hold_Yrs,0,L2829-IF(9&gt;Debt_Yr,0,(K3132-0.5*IF(9=Debt_Yr,0,K3435))*INDEX(Fin_Curve,1,9))-K3435-K3435*Fin_ExitFee)</f>
        <v>0</v>
      </c>
      <c r="M3738" s="99" t="n">
        <f aca="false">IF(10&gt;Hold_Yrs,0,M2829-IF(10&gt;Debt_Yr,0,(L3132-0.5*IF(10=Debt_Yr,0,L3435))*INDEX(Fin_Curve,1,10))-L3435-L3435*Fin_ExitFee)</f>
        <v>0</v>
      </c>
    </row>
    <row r="3739" customFormat="false" ht="15" hidden="false" customHeight="false" outlineLevel="0" collapsed="false">
      <c r="B3739" s="108" t="n">
        <f aca="false">'Loan Tape'!$A99</f>
        <v>0</v>
      </c>
      <c r="C3739" s="71" t="n">
        <f aca="false">-'Loan Tape'!$BE99</f>
        <v>-0</v>
      </c>
      <c r="D3739" s="71" t="n">
        <f aca="false">IF(1&gt;Hold_Yrs,0,D2830-IF(1&gt;Debt_Yr,0,(C3133-0.5*IF(1=Debt_Yr,0,C3436))*INDEX(Fin_Curve,1,1))-C3436-C3436*Fin_ExitFee)</f>
        <v>0</v>
      </c>
      <c r="E3739" s="71" t="n">
        <f aca="false">IF(2&gt;Hold_Yrs,0,E2830-IF(2&gt;Debt_Yr,0,(D3133-0.5*IF(2=Debt_Yr,0,D3436))*INDEX(Fin_Curve,1,2))-D3436-D3436*Fin_ExitFee)</f>
        <v>0</v>
      </c>
      <c r="F3739" s="71" t="n">
        <f aca="false">IF(3&gt;Hold_Yrs,0,F2830-IF(3&gt;Debt_Yr,0,(E3133-0.5*IF(3=Debt_Yr,0,E3436))*INDEX(Fin_Curve,1,3))-E3436-E3436*Fin_ExitFee)</f>
        <v>0</v>
      </c>
      <c r="G3739" s="71" t="n">
        <f aca="false">IF(4&gt;Hold_Yrs,0,G2830-IF(4&gt;Debt_Yr,0,(F3133-0.5*IF(4=Debt_Yr,0,F3436))*INDEX(Fin_Curve,1,4))-F3436-F3436*Fin_ExitFee)</f>
        <v>0</v>
      </c>
      <c r="H3739" s="71" t="n">
        <f aca="false">IF(5&gt;Hold_Yrs,0,H2830-IF(5&gt;Debt_Yr,0,(G3133-0.5*IF(5=Debt_Yr,0,G3436))*INDEX(Fin_Curve,1,5))-G3436-G3436*Fin_ExitFee)</f>
        <v>0</v>
      </c>
      <c r="I3739" s="71" t="n">
        <f aca="false">IF(6&gt;Hold_Yrs,0,I2830-IF(6&gt;Debt_Yr,0,(H3133-0.5*IF(6=Debt_Yr,0,H3436))*INDEX(Fin_Curve,1,6))-H3436-H3436*Fin_ExitFee)</f>
        <v>0</v>
      </c>
      <c r="J3739" s="71" t="n">
        <f aca="false">IF(7&gt;Hold_Yrs,0,J2830-IF(7&gt;Debt_Yr,0,(I3133-0.5*IF(7=Debt_Yr,0,I3436))*INDEX(Fin_Curve,1,7))-I3436-I3436*Fin_ExitFee)</f>
        <v>0</v>
      </c>
      <c r="K3739" s="71" t="n">
        <f aca="false">IF(8&gt;Hold_Yrs,0,K2830-IF(8&gt;Debt_Yr,0,(J3133-0.5*IF(8=Debt_Yr,0,J3436))*INDEX(Fin_Curve,1,8))-J3436-J3436*Fin_ExitFee)</f>
        <v>0</v>
      </c>
      <c r="L3739" s="71" t="n">
        <f aca="false">IF(9&gt;Hold_Yrs,0,L2830-IF(9&gt;Debt_Yr,0,(K3133-0.5*IF(9=Debt_Yr,0,K3436))*INDEX(Fin_Curve,1,9))-K3436-K3436*Fin_ExitFee)</f>
        <v>0</v>
      </c>
      <c r="M3739" s="71" t="n">
        <f aca="false">IF(10&gt;Hold_Yrs,0,M2830-IF(10&gt;Debt_Yr,0,(L3133-0.5*IF(10=Debt_Yr,0,L3436))*INDEX(Fin_Curve,1,10))-L3436-L3436*Fin_ExitFee)</f>
        <v>0</v>
      </c>
    </row>
    <row r="3740" customFormat="false" ht="15" hidden="false" customHeight="false" outlineLevel="0" collapsed="false">
      <c r="B3740" s="102" t="n">
        <f aca="false">'Loan Tape'!$A100</f>
        <v>0</v>
      </c>
      <c r="C3740" s="99" t="n">
        <f aca="false">-'Loan Tape'!$BE100</f>
        <v>-0</v>
      </c>
      <c r="D3740" s="99" t="n">
        <f aca="false">IF(1&gt;Hold_Yrs,0,D2831-IF(1&gt;Debt_Yr,0,(C3134-0.5*IF(1=Debt_Yr,0,C3437))*INDEX(Fin_Curve,1,1))-C3437-C3437*Fin_ExitFee)</f>
        <v>0</v>
      </c>
      <c r="E3740" s="99" t="n">
        <f aca="false">IF(2&gt;Hold_Yrs,0,E2831-IF(2&gt;Debt_Yr,0,(D3134-0.5*IF(2=Debt_Yr,0,D3437))*INDEX(Fin_Curve,1,2))-D3437-D3437*Fin_ExitFee)</f>
        <v>0</v>
      </c>
      <c r="F3740" s="99" t="n">
        <f aca="false">IF(3&gt;Hold_Yrs,0,F2831-IF(3&gt;Debt_Yr,0,(E3134-0.5*IF(3=Debt_Yr,0,E3437))*INDEX(Fin_Curve,1,3))-E3437-E3437*Fin_ExitFee)</f>
        <v>0</v>
      </c>
      <c r="G3740" s="99" t="n">
        <f aca="false">IF(4&gt;Hold_Yrs,0,G2831-IF(4&gt;Debt_Yr,0,(F3134-0.5*IF(4=Debt_Yr,0,F3437))*INDEX(Fin_Curve,1,4))-F3437-F3437*Fin_ExitFee)</f>
        <v>0</v>
      </c>
      <c r="H3740" s="99" t="n">
        <f aca="false">IF(5&gt;Hold_Yrs,0,H2831-IF(5&gt;Debt_Yr,0,(G3134-0.5*IF(5=Debt_Yr,0,G3437))*INDEX(Fin_Curve,1,5))-G3437-G3437*Fin_ExitFee)</f>
        <v>0</v>
      </c>
      <c r="I3740" s="99" t="n">
        <f aca="false">IF(6&gt;Hold_Yrs,0,I2831-IF(6&gt;Debt_Yr,0,(H3134-0.5*IF(6=Debt_Yr,0,H3437))*INDEX(Fin_Curve,1,6))-H3437-H3437*Fin_ExitFee)</f>
        <v>0</v>
      </c>
      <c r="J3740" s="99" t="n">
        <f aca="false">IF(7&gt;Hold_Yrs,0,J2831-IF(7&gt;Debt_Yr,0,(I3134-0.5*IF(7=Debt_Yr,0,I3437))*INDEX(Fin_Curve,1,7))-I3437-I3437*Fin_ExitFee)</f>
        <v>0</v>
      </c>
      <c r="K3740" s="99" t="n">
        <f aca="false">IF(8&gt;Hold_Yrs,0,K2831-IF(8&gt;Debt_Yr,0,(J3134-0.5*IF(8=Debt_Yr,0,J3437))*INDEX(Fin_Curve,1,8))-J3437-J3437*Fin_ExitFee)</f>
        <v>0</v>
      </c>
      <c r="L3740" s="99" t="n">
        <f aca="false">IF(9&gt;Hold_Yrs,0,L2831-IF(9&gt;Debt_Yr,0,(K3134-0.5*IF(9=Debt_Yr,0,K3437))*INDEX(Fin_Curve,1,9))-K3437-K3437*Fin_ExitFee)</f>
        <v>0</v>
      </c>
      <c r="M3740" s="99" t="n">
        <f aca="false">IF(10&gt;Hold_Yrs,0,M2831-IF(10&gt;Debt_Yr,0,(L3134-0.5*IF(10=Debt_Yr,0,L3437))*INDEX(Fin_Curve,1,10))-L3437-L3437*Fin_ExitFee)</f>
        <v>0</v>
      </c>
    </row>
    <row r="3741" customFormat="false" ht="15" hidden="false" customHeight="false" outlineLevel="0" collapsed="false">
      <c r="B3741" s="108" t="n">
        <f aca="false">'Loan Tape'!$A101</f>
        <v>0</v>
      </c>
      <c r="C3741" s="71" t="n">
        <f aca="false">-'Loan Tape'!$BE101</f>
        <v>-0</v>
      </c>
      <c r="D3741" s="71" t="n">
        <f aca="false">IF(1&gt;Hold_Yrs,0,D2832-IF(1&gt;Debt_Yr,0,(C3135-0.5*IF(1=Debt_Yr,0,C3438))*INDEX(Fin_Curve,1,1))-C3438-C3438*Fin_ExitFee)</f>
        <v>0</v>
      </c>
      <c r="E3741" s="71" t="n">
        <f aca="false">IF(2&gt;Hold_Yrs,0,E2832-IF(2&gt;Debt_Yr,0,(D3135-0.5*IF(2=Debt_Yr,0,D3438))*INDEX(Fin_Curve,1,2))-D3438-D3438*Fin_ExitFee)</f>
        <v>0</v>
      </c>
      <c r="F3741" s="71" t="n">
        <f aca="false">IF(3&gt;Hold_Yrs,0,F2832-IF(3&gt;Debt_Yr,0,(E3135-0.5*IF(3=Debt_Yr,0,E3438))*INDEX(Fin_Curve,1,3))-E3438-E3438*Fin_ExitFee)</f>
        <v>0</v>
      </c>
      <c r="G3741" s="71" t="n">
        <f aca="false">IF(4&gt;Hold_Yrs,0,G2832-IF(4&gt;Debt_Yr,0,(F3135-0.5*IF(4=Debt_Yr,0,F3438))*INDEX(Fin_Curve,1,4))-F3438-F3438*Fin_ExitFee)</f>
        <v>0</v>
      </c>
      <c r="H3741" s="71" t="n">
        <f aca="false">IF(5&gt;Hold_Yrs,0,H2832-IF(5&gt;Debt_Yr,0,(G3135-0.5*IF(5=Debt_Yr,0,G3438))*INDEX(Fin_Curve,1,5))-G3438-G3438*Fin_ExitFee)</f>
        <v>0</v>
      </c>
      <c r="I3741" s="71" t="n">
        <f aca="false">IF(6&gt;Hold_Yrs,0,I2832-IF(6&gt;Debt_Yr,0,(H3135-0.5*IF(6=Debt_Yr,0,H3438))*INDEX(Fin_Curve,1,6))-H3438-H3438*Fin_ExitFee)</f>
        <v>0</v>
      </c>
      <c r="J3741" s="71" t="n">
        <f aca="false">IF(7&gt;Hold_Yrs,0,J2832-IF(7&gt;Debt_Yr,0,(I3135-0.5*IF(7=Debt_Yr,0,I3438))*INDEX(Fin_Curve,1,7))-I3438-I3438*Fin_ExitFee)</f>
        <v>0</v>
      </c>
      <c r="K3741" s="71" t="n">
        <f aca="false">IF(8&gt;Hold_Yrs,0,K2832-IF(8&gt;Debt_Yr,0,(J3135-0.5*IF(8=Debt_Yr,0,J3438))*INDEX(Fin_Curve,1,8))-J3438-J3438*Fin_ExitFee)</f>
        <v>0</v>
      </c>
      <c r="L3741" s="71" t="n">
        <f aca="false">IF(9&gt;Hold_Yrs,0,L2832-IF(9&gt;Debt_Yr,0,(K3135-0.5*IF(9=Debt_Yr,0,K3438))*INDEX(Fin_Curve,1,9))-K3438-K3438*Fin_ExitFee)</f>
        <v>0</v>
      </c>
      <c r="M3741" s="71" t="n">
        <f aca="false">IF(10&gt;Hold_Yrs,0,M2832-IF(10&gt;Debt_Yr,0,(L3135-0.5*IF(10=Debt_Yr,0,L3438))*INDEX(Fin_Curve,1,10))-L3438-L3438*Fin_ExitFee)</f>
        <v>0</v>
      </c>
    </row>
    <row r="3742" customFormat="false" ht="15" hidden="false" customHeight="false" outlineLevel="0" collapsed="false">
      <c r="B3742" s="102" t="n">
        <f aca="false">'Loan Tape'!$A102</f>
        <v>0</v>
      </c>
      <c r="C3742" s="99" t="n">
        <f aca="false">-'Loan Tape'!$BE102</f>
        <v>-0</v>
      </c>
      <c r="D3742" s="99" t="n">
        <f aca="false">IF(1&gt;Hold_Yrs,0,D2833-IF(1&gt;Debt_Yr,0,(C3136-0.5*IF(1=Debt_Yr,0,C3439))*INDEX(Fin_Curve,1,1))-C3439-C3439*Fin_ExitFee)</f>
        <v>0</v>
      </c>
      <c r="E3742" s="99" t="n">
        <f aca="false">IF(2&gt;Hold_Yrs,0,E2833-IF(2&gt;Debt_Yr,0,(D3136-0.5*IF(2=Debt_Yr,0,D3439))*INDEX(Fin_Curve,1,2))-D3439-D3439*Fin_ExitFee)</f>
        <v>0</v>
      </c>
      <c r="F3742" s="99" t="n">
        <f aca="false">IF(3&gt;Hold_Yrs,0,F2833-IF(3&gt;Debt_Yr,0,(E3136-0.5*IF(3=Debt_Yr,0,E3439))*INDEX(Fin_Curve,1,3))-E3439-E3439*Fin_ExitFee)</f>
        <v>0</v>
      </c>
      <c r="G3742" s="99" t="n">
        <f aca="false">IF(4&gt;Hold_Yrs,0,G2833-IF(4&gt;Debt_Yr,0,(F3136-0.5*IF(4=Debt_Yr,0,F3439))*INDEX(Fin_Curve,1,4))-F3439-F3439*Fin_ExitFee)</f>
        <v>0</v>
      </c>
      <c r="H3742" s="99" t="n">
        <f aca="false">IF(5&gt;Hold_Yrs,0,H2833-IF(5&gt;Debt_Yr,0,(G3136-0.5*IF(5=Debt_Yr,0,G3439))*INDEX(Fin_Curve,1,5))-G3439-G3439*Fin_ExitFee)</f>
        <v>0</v>
      </c>
      <c r="I3742" s="99" t="n">
        <f aca="false">IF(6&gt;Hold_Yrs,0,I2833-IF(6&gt;Debt_Yr,0,(H3136-0.5*IF(6=Debt_Yr,0,H3439))*INDEX(Fin_Curve,1,6))-H3439-H3439*Fin_ExitFee)</f>
        <v>0</v>
      </c>
      <c r="J3742" s="99" t="n">
        <f aca="false">IF(7&gt;Hold_Yrs,0,J2833-IF(7&gt;Debt_Yr,0,(I3136-0.5*IF(7=Debt_Yr,0,I3439))*INDEX(Fin_Curve,1,7))-I3439-I3439*Fin_ExitFee)</f>
        <v>0</v>
      </c>
      <c r="K3742" s="99" t="n">
        <f aca="false">IF(8&gt;Hold_Yrs,0,K2833-IF(8&gt;Debt_Yr,0,(J3136-0.5*IF(8=Debt_Yr,0,J3439))*INDEX(Fin_Curve,1,8))-J3439-J3439*Fin_ExitFee)</f>
        <v>0</v>
      </c>
      <c r="L3742" s="99" t="n">
        <f aca="false">IF(9&gt;Hold_Yrs,0,L2833-IF(9&gt;Debt_Yr,0,(K3136-0.5*IF(9=Debt_Yr,0,K3439))*INDEX(Fin_Curve,1,9))-K3439-K3439*Fin_ExitFee)</f>
        <v>0</v>
      </c>
      <c r="M3742" s="99" t="n">
        <f aca="false">IF(10&gt;Hold_Yrs,0,M2833-IF(10&gt;Debt_Yr,0,(L3136-0.5*IF(10=Debt_Yr,0,L3439))*INDEX(Fin_Curve,1,10))-L3439-L3439*Fin_ExitFee)</f>
        <v>0</v>
      </c>
    </row>
    <row r="3743" customFormat="false" ht="15" hidden="false" customHeight="false" outlineLevel="0" collapsed="false">
      <c r="B3743" s="108" t="n">
        <f aca="false">'Loan Tape'!$A103</f>
        <v>0</v>
      </c>
      <c r="C3743" s="71" t="n">
        <f aca="false">-'Loan Tape'!$BE103</f>
        <v>-0</v>
      </c>
      <c r="D3743" s="71" t="n">
        <f aca="false">IF(1&gt;Hold_Yrs,0,D2834-IF(1&gt;Debt_Yr,0,(C3137-0.5*IF(1=Debt_Yr,0,C3440))*INDEX(Fin_Curve,1,1))-C3440-C3440*Fin_ExitFee)</f>
        <v>0</v>
      </c>
      <c r="E3743" s="71" t="n">
        <f aca="false">IF(2&gt;Hold_Yrs,0,E2834-IF(2&gt;Debt_Yr,0,(D3137-0.5*IF(2=Debt_Yr,0,D3440))*INDEX(Fin_Curve,1,2))-D3440-D3440*Fin_ExitFee)</f>
        <v>0</v>
      </c>
      <c r="F3743" s="71" t="n">
        <f aca="false">IF(3&gt;Hold_Yrs,0,F2834-IF(3&gt;Debt_Yr,0,(E3137-0.5*IF(3=Debt_Yr,0,E3440))*INDEX(Fin_Curve,1,3))-E3440-E3440*Fin_ExitFee)</f>
        <v>0</v>
      </c>
      <c r="G3743" s="71" t="n">
        <f aca="false">IF(4&gt;Hold_Yrs,0,G2834-IF(4&gt;Debt_Yr,0,(F3137-0.5*IF(4=Debt_Yr,0,F3440))*INDEX(Fin_Curve,1,4))-F3440-F3440*Fin_ExitFee)</f>
        <v>0</v>
      </c>
      <c r="H3743" s="71" t="n">
        <f aca="false">IF(5&gt;Hold_Yrs,0,H2834-IF(5&gt;Debt_Yr,0,(G3137-0.5*IF(5=Debt_Yr,0,G3440))*INDEX(Fin_Curve,1,5))-G3440-G3440*Fin_ExitFee)</f>
        <v>0</v>
      </c>
      <c r="I3743" s="71" t="n">
        <f aca="false">IF(6&gt;Hold_Yrs,0,I2834-IF(6&gt;Debt_Yr,0,(H3137-0.5*IF(6=Debt_Yr,0,H3440))*INDEX(Fin_Curve,1,6))-H3440-H3440*Fin_ExitFee)</f>
        <v>0</v>
      </c>
      <c r="J3743" s="71" t="n">
        <f aca="false">IF(7&gt;Hold_Yrs,0,J2834-IF(7&gt;Debt_Yr,0,(I3137-0.5*IF(7=Debt_Yr,0,I3440))*INDEX(Fin_Curve,1,7))-I3440-I3440*Fin_ExitFee)</f>
        <v>0</v>
      </c>
      <c r="K3743" s="71" t="n">
        <f aca="false">IF(8&gt;Hold_Yrs,0,K2834-IF(8&gt;Debt_Yr,0,(J3137-0.5*IF(8=Debt_Yr,0,J3440))*INDEX(Fin_Curve,1,8))-J3440-J3440*Fin_ExitFee)</f>
        <v>0</v>
      </c>
      <c r="L3743" s="71" t="n">
        <f aca="false">IF(9&gt;Hold_Yrs,0,L2834-IF(9&gt;Debt_Yr,0,(K3137-0.5*IF(9=Debt_Yr,0,K3440))*INDEX(Fin_Curve,1,9))-K3440-K3440*Fin_ExitFee)</f>
        <v>0</v>
      </c>
      <c r="M3743" s="71" t="n">
        <f aca="false">IF(10&gt;Hold_Yrs,0,M2834-IF(10&gt;Debt_Yr,0,(L3137-0.5*IF(10=Debt_Yr,0,L3440))*INDEX(Fin_Curve,1,10))-L3440-L3440*Fin_ExitFee)</f>
        <v>0</v>
      </c>
    </row>
    <row r="3744" customFormat="false" ht="15" hidden="false" customHeight="false" outlineLevel="0" collapsed="false">
      <c r="B3744" s="102" t="n">
        <f aca="false">'Loan Tape'!$A104</f>
        <v>0</v>
      </c>
      <c r="C3744" s="99" t="n">
        <f aca="false">-'Loan Tape'!$BE104</f>
        <v>-0</v>
      </c>
      <c r="D3744" s="99" t="n">
        <f aca="false">IF(1&gt;Hold_Yrs,0,D2835-IF(1&gt;Debt_Yr,0,(C3138-0.5*IF(1=Debt_Yr,0,C3441))*INDEX(Fin_Curve,1,1))-C3441-C3441*Fin_ExitFee)</f>
        <v>0</v>
      </c>
      <c r="E3744" s="99" t="n">
        <f aca="false">IF(2&gt;Hold_Yrs,0,E2835-IF(2&gt;Debt_Yr,0,(D3138-0.5*IF(2=Debt_Yr,0,D3441))*INDEX(Fin_Curve,1,2))-D3441-D3441*Fin_ExitFee)</f>
        <v>0</v>
      </c>
      <c r="F3744" s="99" t="n">
        <f aca="false">IF(3&gt;Hold_Yrs,0,F2835-IF(3&gt;Debt_Yr,0,(E3138-0.5*IF(3=Debt_Yr,0,E3441))*INDEX(Fin_Curve,1,3))-E3441-E3441*Fin_ExitFee)</f>
        <v>0</v>
      </c>
      <c r="G3744" s="99" t="n">
        <f aca="false">IF(4&gt;Hold_Yrs,0,G2835-IF(4&gt;Debt_Yr,0,(F3138-0.5*IF(4=Debt_Yr,0,F3441))*INDEX(Fin_Curve,1,4))-F3441-F3441*Fin_ExitFee)</f>
        <v>0</v>
      </c>
      <c r="H3744" s="99" t="n">
        <f aca="false">IF(5&gt;Hold_Yrs,0,H2835-IF(5&gt;Debt_Yr,0,(G3138-0.5*IF(5=Debt_Yr,0,G3441))*INDEX(Fin_Curve,1,5))-G3441-G3441*Fin_ExitFee)</f>
        <v>0</v>
      </c>
      <c r="I3744" s="99" t="n">
        <f aca="false">IF(6&gt;Hold_Yrs,0,I2835-IF(6&gt;Debt_Yr,0,(H3138-0.5*IF(6=Debt_Yr,0,H3441))*INDEX(Fin_Curve,1,6))-H3441-H3441*Fin_ExitFee)</f>
        <v>0</v>
      </c>
      <c r="J3744" s="99" t="n">
        <f aca="false">IF(7&gt;Hold_Yrs,0,J2835-IF(7&gt;Debt_Yr,0,(I3138-0.5*IF(7=Debt_Yr,0,I3441))*INDEX(Fin_Curve,1,7))-I3441-I3441*Fin_ExitFee)</f>
        <v>0</v>
      </c>
      <c r="K3744" s="99" t="n">
        <f aca="false">IF(8&gt;Hold_Yrs,0,K2835-IF(8&gt;Debt_Yr,0,(J3138-0.5*IF(8=Debt_Yr,0,J3441))*INDEX(Fin_Curve,1,8))-J3441-J3441*Fin_ExitFee)</f>
        <v>0</v>
      </c>
      <c r="L3744" s="99" t="n">
        <f aca="false">IF(9&gt;Hold_Yrs,0,L2835-IF(9&gt;Debt_Yr,0,(K3138-0.5*IF(9=Debt_Yr,0,K3441))*INDEX(Fin_Curve,1,9))-K3441-K3441*Fin_ExitFee)</f>
        <v>0</v>
      </c>
      <c r="M3744" s="99" t="n">
        <f aca="false">IF(10&gt;Hold_Yrs,0,M2835-IF(10&gt;Debt_Yr,0,(L3138-0.5*IF(10=Debt_Yr,0,L3441))*INDEX(Fin_Curve,1,10))-L3441-L3441*Fin_ExitFee)</f>
        <v>0</v>
      </c>
    </row>
    <row r="3745" customFormat="false" ht="15" hidden="false" customHeight="false" outlineLevel="0" collapsed="false">
      <c r="B3745" s="108" t="n">
        <f aca="false">'Loan Tape'!$A105</f>
        <v>0</v>
      </c>
      <c r="C3745" s="71" t="n">
        <f aca="false">-'Loan Tape'!$BE105</f>
        <v>-0</v>
      </c>
      <c r="D3745" s="71" t="n">
        <f aca="false">IF(1&gt;Hold_Yrs,0,D2836-IF(1&gt;Debt_Yr,0,(C3139-0.5*IF(1=Debt_Yr,0,C3442))*INDEX(Fin_Curve,1,1))-C3442-C3442*Fin_ExitFee)</f>
        <v>0</v>
      </c>
      <c r="E3745" s="71" t="n">
        <f aca="false">IF(2&gt;Hold_Yrs,0,E2836-IF(2&gt;Debt_Yr,0,(D3139-0.5*IF(2=Debt_Yr,0,D3442))*INDEX(Fin_Curve,1,2))-D3442-D3442*Fin_ExitFee)</f>
        <v>0</v>
      </c>
      <c r="F3745" s="71" t="n">
        <f aca="false">IF(3&gt;Hold_Yrs,0,F2836-IF(3&gt;Debt_Yr,0,(E3139-0.5*IF(3=Debt_Yr,0,E3442))*INDEX(Fin_Curve,1,3))-E3442-E3442*Fin_ExitFee)</f>
        <v>0</v>
      </c>
      <c r="G3745" s="71" t="n">
        <f aca="false">IF(4&gt;Hold_Yrs,0,G2836-IF(4&gt;Debt_Yr,0,(F3139-0.5*IF(4=Debt_Yr,0,F3442))*INDEX(Fin_Curve,1,4))-F3442-F3442*Fin_ExitFee)</f>
        <v>0</v>
      </c>
      <c r="H3745" s="71" t="n">
        <f aca="false">IF(5&gt;Hold_Yrs,0,H2836-IF(5&gt;Debt_Yr,0,(G3139-0.5*IF(5=Debt_Yr,0,G3442))*INDEX(Fin_Curve,1,5))-G3442-G3442*Fin_ExitFee)</f>
        <v>0</v>
      </c>
      <c r="I3745" s="71" t="n">
        <f aca="false">IF(6&gt;Hold_Yrs,0,I2836-IF(6&gt;Debt_Yr,0,(H3139-0.5*IF(6=Debt_Yr,0,H3442))*INDEX(Fin_Curve,1,6))-H3442-H3442*Fin_ExitFee)</f>
        <v>0</v>
      </c>
      <c r="J3745" s="71" t="n">
        <f aca="false">IF(7&gt;Hold_Yrs,0,J2836-IF(7&gt;Debt_Yr,0,(I3139-0.5*IF(7=Debt_Yr,0,I3442))*INDEX(Fin_Curve,1,7))-I3442-I3442*Fin_ExitFee)</f>
        <v>0</v>
      </c>
      <c r="K3745" s="71" t="n">
        <f aca="false">IF(8&gt;Hold_Yrs,0,K2836-IF(8&gt;Debt_Yr,0,(J3139-0.5*IF(8=Debt_Yr,0,J3442))*INDEX(Fin_Curve,1,8))-J3442-J3442*Fin_ExitFee)</f>
        <v>0</v>
      </c>
      <c r="L3745" s="71" t="n">
        <f aca="false">IF(9&gt;Hold_Yrs,0,L2836-IF(9&gt;Debt_Yr,0,(K3139-0.5*IF(9=Debt_Yr,0,K3442))*INDEX(Fin_Curve,1,9))-K3442-K3442*Fin_ExitFee)</f>
        <v>0</v>
      </c>
      <c r="M3745" s="71" t="n">
        <f aca="false">IF(10&gt;Hold_Yrs,0,M2836-IF(10&gt;Debt_Yr,0,(L3139-0.5*IF(10=Debt_Yr,0,L3442))*INDEX(Fin_Curve,1,10))-L3442-L3442*Fin_ExitFee)</f>
        <v>0</v>
      </c>
    </row>
    <row r="3746" customFormat="false" ht="15" hidden="false" customHeight="false" outlineLevel="0" collapsed="false">
      <c r="B3746" s="102" t="n">
        <f aca="false">'Loan Tape'!$A106</f>
        <v>0</v>
      </c>
      <c r="C3746" s="99" t="n">
        <f aca="false">-'Loan Tape'!$BE106</f>
        <v>-0</v>
      </c>
      <c r="D3746" s="99" t="n">
        <f aca="false">IF(1&gt;Hold_Yrs,0,D2837-IF(1&gt;Debt_Yr,0,(C3140-0.5*IF(1=Debt_Yr,0,C3443))*INDEX(Fin_Curve,1,1))-C3443-C3443*Fin_ExitFee)</f>
        <v>0</v>
      </c>
      <c r="E3746" s="99" t="n">
        <f aca="false">IF(2&gt;Hold_Yrs,0,E2837-IF(2&gt;Debt_Yr,0,(D3140-0.5*IF(2=Debt_Yr,0,D3443))*INDEX(Fin_Curve,1,2))-D3443-D3443*Fin_ExitFee)</f>
        <v>0</v>
      </c>
      <c r="F3746" s="99" t="n">
        <f aca="false">IF(3&gt;Hold_Yrs,0,F2837-IF(3&gt;Debt_Yr,0,(E3140-0.5*IF(3=Debt_Yr,0,E3443))*INDEX(Fin_Curve,1,3))-E3443-E3443*Fin_ExitFee)</f>
        <v>0</v>
      </c>
      <c r="G3746" s="99" t="n">
        <f aca="false">IF(4&gt;Hold_Yrs,0,G2837-IF(4&gt;Debt_Yr,0,(F3140-0.5*IF(4=Debt_Yr,0,F3443))*INDEX(Fin_Curve,1,4))-F3443-F3443*Fin_ExitFee)</f>
        <v>0</v>
      </c>
      <c r="H3746" s="99" t="n">
        <f aca="false">IF(5&gt;Hold_Yrs,0,H2837-IF(5&gt;Debt_Yr,0,(G3140-0.5*IF(5=Debt_Yr,0,G3443))*INDEX(Fin_Curve,1,5))-G3443-G3443*Fin_ExitFee)</f>
        <v>0</v>
      </c>
      <c r="I3746" s="99" t="n">
        <f aca="false">IF(6&gt;Hold_Yrs,0,I2837-IF(6&gt;Debt_Yr,0,(H3140-0.5*IF(6=Debt_Yr,0,H3443))*INDEX(Fin_Curve,1,6))-H3443-H3443*Fin_ExitFee)</f>
        <v>0</v>
      </c>
      <c r="J3746" s="99" t="n">
        <f aca="false">IF(7&gt;Hold_Yrs,0,J2837-IF(7&gt;Debt_Yr,0,(I3140-0.5*IF(7=Debt_Yr,0,I3443))*INDEX(Fin_Curve,1,7))-I3443-I3443*Fin_ExitFee)</f>
        <v>0</v>
      </c>
      <c r="K3746" s="99" t="n">
        <f aca="false">IF(8&gt;Hold_Yrs,0,K2837-IF(8&gt;Debt_Yr,0,(J3140-0.5*IF(8=Debt_Yr,0,J3443))*INDEX(Fin_Curve,1,8))-J3443-J3443*Fin_ExitFee)</f>
        <v>0</v>
      </c>
      <c r="L3746" s="99" t="n">
        <f aca="false">IF(9&gt;Hold_Yrs,0,L2837-IF(9&gt;Debt_Yr,0,(K3140-0.5*IF(9=Debt_Yr,0,K3443))*INDEX(Fin_Curve,1,9))-K3443-K3443*Fin_ExitFee)</f>
        <v>0</v>
      </c>
      <c r="M3746" s="99" t="n">
        <f aca="false">IF(10&gt;Hold_Yrs,0,M2837-IF(10&gt;Debt_Yr,0,(L3140-0.5*IF(10=Debt_Yr,0,L3443))*INDEX(Fin_Curve,1,10))-L3443-L3443*Fin_ExitFee)</f>
        <v>0</v>
      </c>
    </row>
    <row r="3747" customFormat="false" ht="15" hidden="false" customHeight="false" outlineLevel="0" collapsed="false">
      <c r="B3747" s="108" t="n">
        <f aca="false">'Loan Tape'!$A107</f>
        <v>0</v>
      </c>
      <c r="C3747" s="71" t="n">
        <f aca="false">-'Loan Tape'!$BE107</f>
        <v>-0</v>
      </c>
      <c r="D3747" s="71" t="n">
        <f aca="false">IF(1&gt;Hold_Yrs,0,D2838-IF(1&gt;Debt_Yr,0,(C3141-0.5*IF(1=Debt_Yr,0,C3444))*INDEX(Fin_Curve,1,1))-C3444-C3444*Fin_ExitFee)</f>
        <v>0</v>
      </c>
      <c r="E3747" s="71" t="n">
        <f aca="false">IF(2&gt;Hold_Yrs,0,E2838-IF(2&gt;Debt_Yr,0,(D3141-0.5*IF(2=Debt_Yr,0,D3444))*INDEX(Fin_Curve,1,2))-D3444-D3444*Fin_ExitFee)</f>
        <v>0</v>
      </c>
      <c r="F3747" s="71" t="n">
        <f aca="false">IF(3&gt;Hold_Yrs,0,F2838-IF(3&gt;Debt_Yr,0,(E3141-0.5*IF(3=Debt_Yr,0,E3444))*INDEX(Fin_Curve,1,3))-E3444-E3444*Fin_ExitFee)</f>
        <v>0</v>
      </c>
      <c r="G3747" s="71" t="n">
        <f aca="false">IF(4&gt;Hold_Yrs,0,G2838-IF(4&gt;Debt_Yr,0,(F3141-0.5*IF(4=Debt_Yr,0,F3444))*INDEX(Fin_Curve,1,4))-F3444-F3444*Fin_ExitFee)</f>
        <v>0</v>
      </c>
      <c r="H3747" s="71" t="n">
        <f aca="false">IF(5&gt;Hold_Yrs,0,H2838-IF(5&gt;Debt_Yr,0,(G3141-0.5*IF(5=Debt_Yr,0,G3444))*INDEX(Fin_Curve,1,5))-G3444-G3444*Fin_ExitFee)</f>
        <v>0</v>
      </c>
      <c r="I3747" s="71" t="n">
        <f aca="false">IF(6&gt;Hold_Yrs,0,I2838-IF(6&gt;Debt_Yr,0,(H3141-0.5*IF(6=Debt_Yr,0,H3444))*INDEX(Fin_Curve,1,6))-H3444-H3444*Fin_ExitFee)</f>
        <v>0</v>
      </c>
      <c r="J3747" s="71" t="n">
        <f aca="false">IF(7&gt;Hold_Yrs,0,J2838-IF(7&gt;Debt_Yr,0,(I3141-0.5*IF(7=Debt_Yr,0,I3444))*INDEX(Fin_Curve,1,7))-I3444-I3444*Fin_ExitFee)</f>
        <v>0</v>
      </c>
      <c r="K3747" s="71" t="n">
        <f aca="false">IF(8&gt;Hold_Yrs,0,K2838-IF(8&gt;Debt_Yr,0,(J3141-0.5*IF(8=Debt_Yr,0,J3444))*INDEX(Fin_Curve,1,8))-J3444-J3444*Fin_ExitFee)</f>
        <v>0</v>
      </c>
      <c r="L3747" s="71" t="n">
        <f aca="false">IF(9&gt;Hold_Yrs,0,L2838-IF(9&gt;Debt_Yr,0,(K3141-0.5*IF(9=Debt_Yr,0,K3444))*INDEX(Fin_Curve,1,9))-K3444-K3444*Fin_ExitFee)</f>
        <v>0</v>
      </c>
      <c r="M3747" s="71" t="n">
        <f aca="false">IF(10&gt;Hold_Yrs,0,M2838-IF(10&gt;Debt_Yr,0,(L3141-0.5*IF(10=Debt_Yr,0,L3444))*INDEX(Fin_Curve,1,10))-L3444-L3444*Fin_ExitFee)</f>
        <v>0</v>
      </c>
    </row>
    <row r="3748" customFormat="false" ht="15" hidden="false" customHeight="false" outlineLevel="0" collapsed="false">
      <c r="B3748" s="102" t="n">
        <f aca="false">'Loan Tape'!$A108</f>
        <v>0</v>
      </c>
      <c r="C3748" s="99" t="n">
        <f aca="false">-'Loan Tape'!$BE108</f>
        <v>-0</v>
      </c>
      <c r="D3748" s="99" t="n">
        <f aca="false">IF(1&gt;Hold_Yrs,0,D2839-IF(1&gt;Debt_Yr,0,(C3142-0.5*IF(1=Debt_Yr,0,C3445))*INDEX(Fin_Curve,1,1))-C3445-C3445*Fin_ExitFee)</f>
        <v>0</v>
      </c>
      <c r="E3748" s="99" t="n">
        <f aca="false">IF(2&gt;Hold_Yrs,0,E2839-IF(2&gt;Debt_Yr,0,(D3142-0.5*IF(2=Debt_Yr,0,D3445))*INDEX(Fin_Curve,1,2))-D3445-D3445*Fin_ExitFee)</f>
        <v>0</v>
      </c>
      <c r="F3748" s="99" t="n">
        <f aca="false">IF(3&gt;Hold_Yrs,0,F2839-IF(3&gt;Debt_Yr,0,(E3142-0.5*IF(3=Debt_Yr,0,E3445))*INDEX(Fin_Curve,1,3))-E3445-E3445*Fin_ExitFee)</f>
        <v>0</v>
      </c>
      <c r="G3748" s="99" t="n">
        <f aca="false">IF(4&gt;Hold_Yrs,0,G2839-IF(4&gt;Debt_Yr,0,(F3142-0.5*IF(4=Debt_Yr,0,F3445))*INDEX(Fin_Curve,1,4))-F3445-F3445*Fin_ExitFee)</f>
        <v>0</v>
      </c>
      <c r="H3748" s="99" t="n">
        <f aca="false">IF(5&gt;Hold_Yrs,0,H2839-IF(5&gt;Debt_Yr,0,(G3142-0.5*IF(5=Debt_Yr,0,G3445))*INDEX(Fin_Curve,1,5))-G3445-G3445*Fin_ExitFee)</f>
        <v>0</v>
      </c>
      <c r="I3748" s="99" t="n">
        <f aca="false">IF(6&gt;Hold_Yrs,0,I2839-IF(6&gt;Debt_Yr,0,(H3142-0.5*IF(6=Debt_Yr,0,H3445))*INDEX(Fin_Curve,1,6))-H3445-H3445*Fin_ExitFee)</f>
        <v>0</v>
      </c>
      <c r="J3748" s="99" t="n">
        <f aca="false">IF(7&gt;Hold_Yrs,0,J2839-IF(7&gt;Debt_Yr,0,(I3142-0.5*IF(7=Debt_Yr,0,I3445))*INDEX(Fin_Curve,1,7))-I3445-I3445*Fin_ExitFee)</f>
        <v>0</v>
      </c>
      <c r="K3748" s="99" t="n">
        <f aca="false">IF(8&gt;Hold_Yrs,0,K2839-IF(8&gt;Debt_Yr,0,(J3142-0.5*IF(8=Debt_Yr,0,J3445))*INDEX(Fin_Curve,1,8))-J3445-J3445*Fin_ExitFee)</f>
        <v>0</v>
      </c>
      <c r="L3748" s="99" t="n">
        <f aca="false">IF(9&gt;Hold_Yrs,0,L2839-IF(9&gt;Debt_Yr,0,(K3142-0.5*IF(9=Debt_Yr,0,K3445))*INDEX(Fin_Curve,1,9))-K3445-K3445*Fin_ExitFee)</f>
        <v>0</v>
      </c>
      <c r="M3748" s="99" t="n">
        <f aca="false">IF(10&gt;Hold_Yrs,0,M2839-IF(10&gt;Debt_Yr,0,(L3142-0.5*IF(10=Debt_Yr,0,L3445))*INDEX(Fin_Curve,1,10))-L3445-L3445*Fin_ExitFee)</f>
        <v>0</v>
      </c>
    </row>
    <row r="3749" customFormat="false" ht="15" hidden="false" customHeight="false" outlineLevel="0" collapsed="false">
      <c r="B3749" s="108" t="n">
        <f aca="false">'Loan Tape'!$A109</f>
        <v>0</v>
      </c>
      <c r="C3749" s="71" t="n">
        <f aca="false">-'Loan Tape'!$BE109</f>
        <v>-0</v>
      </c>
      <c r="D3749" s="71" t="n">
        <f aca="false">IF(1&gt;Hold_Yrs,0,D2840-IF(1&gt;Debt_Yr,0,(C3143-0.5*IF(1=Debt_Yr,0,C3446))*INDEX(Fin_Curve,1,1))-C3446-C3446*Fin_ExitFee)</f>
        <v>0</v>
      </c>
      <c r="E3749" s="71" t="n">
        <f aca="false">IF(2&gt;Hold_Yrs,0,E2840-IF(2&gt;Debt_Yr,0,(D3143-0.5*IF(2=Debt_Yr,0,D3446))*INDEX(Fin_Curve,1,2))-D3446-D3446*Fin_ExitFee)</f>
        <v>0</v>
      </c>
      <c r="F3749" s="71" t="n">
        <f aca="false">IF(3&gt;Hold_Yrs,0,F2840-IF(3&gt;Debt_Yr,0,(E3143-0.5*IF(3=Debt_Yr,0,E3446))*INDEX(Fin_Curve,1,3))-E3446-E3446*Fin_ExitFee)</f>
        <v>0</v>
      </c>
      <c r="G3749" s="71" t="n">
        <f aca="false">IF(4&gt;Hold_Yrs,0,G2840-IF(4&gt;Debt_Yr,0,(F3143-0.5*IF(4=Debt_Yr,0,F3446))*INDEX(Fin_Curve,1,4))-F3446-F3446*Fin_ExitFee)</f>
        <v>0</v>
      </c>
      <c r="H3749" s="71" t="n">
        <f aca="false">IF(5&gt;Hold_Yrs,0,H2840-IF(5&gt;Debt_Yr,0,(G3143-0.5*IF(5=Debt_Yr,0,G3446))*INDEX(Fin_Curve,1,5))-G3446-G3446*Fin_ExitFee)</f>
        <v>0</v>
      </c>
      <c r="I3749" s="71" t="n">
        <f aca="false">IF(6&gt;Hold_Yrs,0,I2840-IF(6&gt;Debt_Yr,0,(H3143-0.5*IF(6=Debt_Yr,0,H3446))*INDEX(Fin_Curve,1,6))-H3446-H3446*Fin_ExitFee)</f>
        <v>0</v>
      </c>
      <c r="J3749" s="71" t="n">
        <f aca="false">IF(7&gt;Hold_Yrs,0,J2840-IF(7&gt;Debt_Yr,0,(I3143-0.5*IF(7=Debt_Yr,0,I3446))*INDEX(Fin_Curve,1,7))-I3446-I3446*Fin_ExitFee)</f>
        <v>0</v>
      </c>
      <c r="K3749" s="71" t="n">
        <f aca="false">IF(8&gt;Hold_Yrs,0,K2840-IF(8&gt;Debt_Yr,0,(J3143-0.5*IF(8=Debt_Yr,0,J3446))*INDEX(Fin_Curve,1,8))-J3446-J3446*Fin_ExitFee)</f>
        <v>0</v>
      </c>
      <c r="L3749" s="71" t="n">
        <f aca="false">IF(9&gt;Hold_Yrs,0,L2840-IF(9&gt;Debt_Yr,0,(K3143-0.5*IF(9=Debt_Yr,0,K3446))*INDEX(Fin_Curve,1,9))-K3446-K3446*Fin_ExitFee)</f>
        <v>0</v>
      </c>
      <c r="M3749" s="71" t="n">
        <f aca="false">IF(10&gt;Hold_Yrs,0,M2840-IF(10&gt;Debt_Yr,0,(L3143-0.5*IF(10=Debt_Yr,0,L3446))*INDEX(Fin_Curve,1,10))-L3446-L3446*Fin_ExitFee)</f>
        <v>0</v>
      </c>
    </row>
    <row r="3750" customFormat="false" ht="15" hidden="false" customHeight="false" outlineLevel="0" collapsed="false">
      <c r="B3750" s="102" t="n">
        <f aca="false">'Loan Tape'!$A110</f>
        <v>0</v>
      </c>
      <c r="C3750" s="99" t="n">
        <f aca="false">-'Loan Tape'!$BE110</f>
        <v>-0</v>
      </c>
      <c r="D3750" s="99" t="n">
        <f aca="false">IF(1&gt;Hold_Yrs,0,D2841-IF(1&gt;Debt_Yr,0,(C3144-0.5*IF(1=Debt_Yr,0,C3447))*INDEX(Fin_Curve,1,1))-C3447-C3447*Fin_ExitFee)</f>
        <v>0</v>
      </c>
      <c r="E3750" s="99" t="n">
        <f aca="false">IF(2&gt;Hold_Yrs,0,E2841-IF(2&gt;Debt_Yr,0,(D3144-0.5*IF(2=Debt_Yr,0,D3447))*INDEX(Fin_Curve,1,2))-D3447-D3447*Fin_ExitFee)</f>
        <v>0</v>
      </c>
      <c r="F3750" s="99" t="n">
        <f aca="false">IF(3&gt;Hold_Yrs,0,F2841-IF(3&gt;Debt_Yr,0,(E3144-0.5*IF(3=Debt_Yr,0,E3447))*INDEX(Fin_Curve,1,3))-E3447-E3447*Fin_ExitFee)</f>
        <v>0</v>
      </c>
      <c r="G3750" s="99" t="n">
        <f aca="false">IF(4&gt;Hold_Yrs,0,G2841-IF(4&gt;Debt_Yr,0,(F3144-0.5*IF(4=Debt_Yr,0,F3447))*INDEX(Fin_Curve,1,4))-F3447-F3447*Fin_ExitFee)</f>
        <v>0</v>
      </c>
      <c r="H3750" s="99" t="n">
        <f aca="false">IF(5&gt;Hold_Yrs,0,H2841-IF(5&gt;Debt_Yr,0,(G3144-0.5*IF(5=Debt_Yr,0,G3447))*INDEX(Fin_Curve,1,5))-G3447-G3447*Fin_ExitFee)</f>
        <v>0</v>
      </c>
      <c r="I3750" s="99" t="n">
        <f aca="false">IF(6&gt;Hold_Yrs,0,I2841-IF(6&gt;Debt_Yr,0,(H3144-0.5*IF(6=Debt_Yr,0,H3447))*INDEX(Fin_Curve,1,6))-H3447-H3447*Fin_ExitFee)</f>
        <v>0</v>
      </c>
      <c r="J3750" s="99" t="n">
        <f aca="false">IF(7&gt;Hold_Yrs,0,J2841-IF(7&gt;Debt_Yr,0,(I3144-0.5*IF(7=Debt_Yr,0,I3447))*INDEX(Fin_Curve,1,7))-I3447-I3447*Fin_ExitFee)</f>
        <v>0</v>
      </c>
      <c r="K3750" s="99" t="n">
        <f aca="false">IF(8&gt;Hold_Yrs,0,K2841-IF(8&gt;Debt_Yr,0,(J3144-0.5*IF(8=Debt_Yr,0,J3447))*INDEX(Fin_Curve,1,8))-J3447-J3447*Fin_ExitFee)</f>
        <v>0</v>
      </c>
      <c r="L3750" s="99" t="n">
        <f aca="false">IF(9&gt;Hold_Yrs,0,L2841-IF(9&gt;Debt_Yr,0,(K3144-0.5*IF(9=Debt_Yr,0,K3447))*INDEX(Fin_Curve,1,9))-K3447-K3447*Fin_ExitFee)</f>
        <v>0</v>
      </c>
      <c r="M3750" s="99" t="n">
        <f aca="false">IF(10&gt;Hold_Yrs,0,M2841-IF(10&gt;Debt_Yr,0,(L3144-0.5*IF(10=Debt_Yr,0,L3447))*INDEX(Fin_Curve,1,10))-L3447-L3447*Fin_ExitFee)</f>
        <v>0</v>
      </c>
    </row>
    <row r="3751" customFormat="false" ht="15" hidden="false" customHeight="false" outlineLevel="0" collapsed="false">
      <c r="B3751" s="108" t="n">
        <f aca="false">'Loan Tape'!$A111</f>
        <v>0</v>
      </c>
      <c r="C3751" s="71" t="n">
        <f aca="false">-'Loan Tape'!$BE111</f>
        <v>-0</v>
      </c>
      <c r="D3751" s="71" t="n">
        <f aca="false">IF(1&gt;Hold_Yrs,0,D2842-IF(1&gt;Debt_Yr,0,(C3145-0.5*IF(1=Debt_Yr,0,C3448))*INDEX(Fin_Curve,1,1))-C3448-C3448*Fin_ExitFee)</f>
        <v>0</v>
      </c>
      <c r="E3751" s="71" t="n">
        <f aca="false">IF(2&gt;Hold_Yrs,0,E2842-IF(2&gt;Debt_Yr,0,(D3145-0.5*IF(2=Debt_Yr,0,D3448))*INDEX(Fin_Curve,1,2))-D3448-D3448*Fin_ExitFee)</f>
        <v>0</v>
      </c>
      <c r="F3751" s="71" t="n">
        <f aca="false">IF(3&gt;Hold_Yrs,0,F2842-IF(3&gt;Debt_Yr,0,(E3145-0.5*IF(3=Debt_Yr,0,E3448))*INDEX(Fin_Curve,1,3))-E3448-E3448*Fin_ExitFee)</f>
        <v>0</v>
      </c>
      <c r="G3751" s="71" t="n">
        <f aca="false">IF(4&gt;Hold_Yrs,0,G2842-IF(4&gt;Debt_Yr,0,(F3145-0.5*IF(4=Debt_Yr,0,F3448))*INDEX(Fin_Curve,1,4))-F3448-F3448*Fin_ExitFee)</f>
        <v>0</v>
      </c>
      <c r="H3751" s="71" t="n">
        <f aca="false">IF(5&gt;Hold_Yrs,0,H2842-IF(5&gt;Debt_Yr,0,(G3145-0.5*IF(5=Debt_Yr,0,G3448))*INDEX(Fin_Curve,1,5))-G3448-G3448*Fin_ExitFee)</f>
        <v>0</v>
      </c>
      <c r="I3751" s="71" t="n">
        <f aca="false">IF(6&gt;Hold_Yrs,0,I2842-IF(6&gt;Debt_Yr,0,(H3145-0.5*IF(6=Debt_Yr,0,H3448))*INDEX(Fin_Curve,1,6))-H3448-H3448*Fin_ExitFee)</f>
        <v>0</v>
      </c>
      <c r="J3751" s="71" t="n">
        <f aca="false">IF(7&gt;Hold_Yrs,0,J2842-IF(7&gt;Debt_Yr,0,(I3145-0.5*IF(7=Debt_Yr,0,I3448))*INDEX(Fin_Curve,1,7))-I3448-I3448*Fin_ExitFee)</f>
        <v>0</v>
      </c>
      <c r="K3751" s="71" t="n">
        <f aca="false">IF(8&gt;Hold_Yrs,0,K2842-IF(8&gt;Debt_Yr,0,(J3145-0.5*IF(8=Debt_Yr,0,J3448))*INDEX(Fin_Curve,1,8))-J3448-J3448*Fin_ExitFee)</f>
        <v>0</v>
      </c>
      <c r="L3751" s="71" t="n">
        <f aca="false">IF(9&gt;Hold_Yrs,0,L2842-IF(9&gt;Debt_Yr,0,(K3145-0.5*IF(9=Debt_Yr,0,K3448))*INDEX(Fin_Curve,1,9))-K3448-K3448*Fin_ExitFee)</f>
        <v>0</v>
      </c>
      <c r="M3751" s="71" t="n">
        <f aca="false">IF(10&gt;Hold_Yrs,0,M2842-IF(10&gt;Debt_Yr,0,(L3145-0.5*IF(10=Debt_Yr,0,L3448))*INDEX(Fin_Curve,1,10))-L3448-L3448*Fin_ExitFee)</f>
        <v>0</v>
      </c>
    </row>
    <row r="3752" customFormat="false" ht="15" hidden="false" customHeight="false" outlineLevel="0" collapsed="false">
      <c r="B3752" s="102" t="n">
        <f aca="false">'Loan Tape'!$A112</f>
        <v>0</v>
      </c>
      <c r="C3752" s="99" t="n">
        <f aca="false">-'Loan Tape'!$BE112</f>
        <v>-0</v>
      </c>
      <c r="D3752" s="99" t="n">
        <f aca="false">IF(1&gt;Hold_Yrs,0,D2843-IF(1&gt;Debt_Yr,0,(C3146-0.5*IF(1=Debt_Yr,0,C3449))*INDEX(Fin_Curve,1,1))-C3449-C3449*Fin_ExitFee)</f>
        <v>0</v>
      </c>
      <c r="E3752" s="99" t="n">
        <f aca="false">IF(2&gt;Hold_Yrs,0,E2843-IF(2&gt;Debt_Yr,0,(D3146-0.5*IF(2=Debt_Yr,0,D3449))*INDEX(Fin_Curve,1,2))-D3449-D3449*Fin_ExitFee)</f>
        <v>0</v>
      </c>
      <c r="F3752" s="99" t="n">
        <f aca="false">IF(3&gt;Hold_Yrs,0,F2843-IF(3&gt;Debt_Yr,0,(E3146-0.5*IF(3=Debt_Yr,0,E3449))*INDEX(Fin_Curve,1,3))-E3449-E3449*Fin_ExitFee)</f>
        <v>0</v>
      </c>
      <c r="G3752" s="99" t="n">
        <f aca="false">IF(4&gt;Hold_Yrs,0,G2843-IF(4&gt;Debt_Yr,0,(F3146-0.5*IF(4=Debt_Yr,0,F3449))*INDEX(Fin_Curve,1,4))-F3449-F3449*Fin_ExitFee)</f>
        <v>0</v>
      </c>
      <c r="H3752" s="99" t="n">
        <f aca="false">IF(5&gt;Hold_Yrs,0,H2843-IF(5&gt;Debt_Yr,0,(G3146-0.5*IF(5=Debt_Yr,0,G3449))*INDEX(Fin_Curve,1,5))-G3449-G3449*Fin_ExitFee)</f>
        <v>0</v>
      </c>
      <c r="I3752" s="99" t="n">
        <f aca="false">IF(6&gt;Hold_Yrs,0,I2843-IF(6&gt;Debt_Yr,0,(H3146-0.5*IF(6=Debt_Yr,0,H3449))*INDEX(Fin_Curve,1,6))-H3449-H3449*Fin_ExitFee)</f>
        <v>0</v>
      </c>
      <c r="J3752" s="99" t="n">
        <f aca="false">IF(7&gt;Hold_Yrs,0,J2843-IF(7&gt;Debt_Yr,0,(I3146-0.5*IF(7=Debt_Yr,0,I3449))*INDEX(Fin_Curve,1,7))-I3449-I3449*Fin_ExitFee)</f>
        <v>0</v>
      </c>
      <c r="K3752" s="99" t="n">
        <f aca="false">IF(8&gt;Hold_Yrs,0,K2843-IF(8&gt;Debt_Yr,0,(J3146-0.5*IF(8=Debt_Yr,0,J3449))*INDEX(Fin_Curve,1,8))-J3449-J3449*Fin_ExitFee)</f>
        <v>0</v>
      </c>
      <c r="L3752" s="99" t="n">
        <f aca="false">IF(9&gt;Hold_Yrs,0,L2843-IF(9&gt;Debt_Yr,0,(K3146-0.5*IF(9=Debt_Yr,0,K3449))*INDEX(Fin_Curve,1,9))-K3449-K3449*Fin_ExitFee)</f>
        <v>0</v>
      </c>
      <c r="M3752" s="99" t="n">
        <f aca="false">IF(10&gt;Hold_Yrs,0,M2843-IF(10&gt;Debt_Yr,0,(L3146-0.5*IF(10=Debt_Yr,0,L3449))*INDEX(Fin_Curve,1,10))-L3449-L3449*Fin_ExitFee)</f>
        <v>0</v>
      </c>
    </row>
    <row r="3753" customFormat="false" ht="15" hidden="false" customHeight="false" outlineLevel="0" collapsed="false">
      <c r="B3753" s="108" t="n">
        <f aca="false">'Loan Tape'!$A113</f>
        <v>0</v>
      </c>
      <c r="C3753" s="71" t="n">
        <f aca="false">-'Loan Tape'!$BE113</f>
        <v>-0</v>
      </c>
      <c r="D3753" s="71" t="n">
        <f aca="false">IF(1&gt;Hold_Yrs,0,D2844-IF(1&gt;Debt_Yr,0,(C3147-0.5*IF(1=Debt_Yr,0,C3450))*INDEX(Fin_Curve,1,1))-C3450-C3450*Fin_ExitFee)</f>
        <v>0</v>
      </c>
      <c r="E3753" s="71" t="n">
        <f aca="false">IF(2&gt;Hold_Yrs,0,E2844-IF(2&gt;Debt_Yr,0,(D3147-0.5*IF(2=Debt_Yr,0,D3450))*INDEX(Fin_Curve,1,2))-D3450-D3450*Fin_ExitFee)</f>
        <v>0</v>
      </c>
      <c r="F3753" s="71" t="n">
        <f aca="false">IF(3&gt;Hold_Yrs,0,F2844-IF(3&gt;Debt_Yr,0,(E3147-0.5*IF(3=Debt_Yr,0,E3450))*INDEX(Fin_Curve,1,3))-E3450-E3450*Fin_ExitFee)</f>
        <v>0</v>
      </c>
      <c r="G3753" s="71" t="n">
        <f aca="false">IF(4&gt;Hold_Yrs,0,G2844-IF(4&gt;Debt_Yr,0,(F3147-0.5*IF(4=Debt_Yr,0,F3450))*INDEX(Fin_Curve,1,4))-F3450-F3450*Fin_ExitFee)</f>
        <v>0</v>
      </c>
      <c r="H3753" s="71" t="n">
        <f aca="false">IF(5&gt;Hold_Yrs,0,H2844-IF(5&gt;Debt_Yr,0,(G3147-0.5*IF(5=Debt_Yr,0,G3450))*INDEX(Fin_Curve,1,5))-G3450-G3450*Fin_ExitFee)</f>
        <v>0</v>
      </c>
      <c r="I3753" s="71" t="n">
        <f aca="false">IF(6&gt;Hold_Yrs,0,I2844-IF(6&gt;Debt_Yr,0,(H3147-0.5*IF(6=Debt_Yr,0,H3450))*INDEX(Fin_Curve,1,6))-H3450-H3450*Fin_ExitFee)</f>
        <v>0</v>
      </c>
      <c r="J3753" s="71" t="n">
        <f aca="false">IF(7&gt;Hold_Yrs,0,J2844-IF(7&gt;Debt_Yr,0,(I3147-0.5*IF(7=Debt_Yr,0,I3450))*INDEX(Fin_Curve,1,7))-I3450-I3450*Fin_ExitFee)</f>
        <v>0</v>
      </c>
      <c r="K3753" s="71" t="n">
        <f aca="false">IF(8&gt;Hold_Yrs,0,K2844-IF(8&gt;Debt_Yr,0,(J3147-0.5*IF(8=Debt_Yr,0,J3450))*INDEX(Fin_Curve,1,8))-J3450-J3450*Fin_ExitFee)</f>
        <v>0</v>
      </c>
      <c r="L3753" s="71" t="n">
        <f aca="false">IF(9&gt;Hold_Yrs,0,L2844-IF(9&gt;Debt_Yr,0,(K3147-0.5*IF(9=Debt_Yr,0,K3450))*INDEX(Fin_Curve,1,9))-K3450-K3450*Fin_ExitFee)</f>
        <v>0</v>
      </c>
      <c r="M3753" s="71" t="n">
        <f aca="false">IF(10&gt;Hold_Yrs,0,M2844-IF(10&gt;Debt_Yr,0,(L3147-0.5*IF(10=Debt_Yr,0,L3450))*INDEX(Fin_Curve,1,10))-L3450-L3450*Fin_ExitFee)</f>
        <v>0</v>
      </c>
    </row>
    <row r="3754" customFormat="false" ht="15" hidden="false" customHeight="false" outlineLevel="0" collapsed="false">
      <c r="B3754" s="102" t="n">
        <f aca="false">'Loan Tape'!$A114</f>
        <v>0</v>
      </c>
      <c r="C3754" s="99" t="n">
        <f aca="false">-'Loan Tape'!$BE114</f>
        <v>-0</v>
      </c>
      <c r="D3754" s="99" t="n">
        <f aca="false">IF(1&gt;Hold_Yrs,0,D2845-IF(1&gt;Debt_Yr,0,(C3148-0.5*IF(1=Debt_Yr,0,C3451))*INDEX(Fin_Curve,1,1))-C3451-C3451*Fin_ExitFee)</f>
        <v>0</v>
      </c>
      <c r="E3754" s="99" t="n">
        <f aca="false">IF(2&gt;Hold_Yrs,0,E2845-IF(2&gt;Debt_Yr,0,(D3148-0.5*IF(2=Debt_Yr,0,D3451))*INDEX(Fin_Curve,1,2))-D3451-D3451*Fin_ExitFee)</f>
        <v>0</v>
      </c>
      <c r="F3754" s="99" t="n">
        <f aca="false">IF(3&gt;Hold_Yrs,0,F2845-IF(3&gt;Debt_Yr,0,(E3148-0.5*IF(3=Debt_Yr,0,E3451))*INDEX(Fin_Curve,1,3))-E3451-E3451*Fin_ExitFee)</f>
        <v>0</v>
      </c>
      <c r="G3754" s="99" t="n">
        <f aca="false">IF(4&gt;Hold_Yrs,0,G2845-IF(4&gt;Debt_Yr,0,(F3148-0.5*IF(4=Debt_Yr,0,F3451))*INDEX(Fin_Curve,1,4))-F3451-F3451*Fin_ExitFee)</f>
        <v>0</v>
      </c>
      <c r="H3754" s="99" t="n">
        <f aca="false">IF(5&gt;Hold_Yrs,0,H2845-IF(5&gt;Debt_Yr,0,(G3148-0.5*IF(5=Debt_Yr,0,G3451))*INDEX(Fin_Curve,1,5))-G3451-G3451*Fin_ExitFee)</f>
        <v>0</v>
      </c>
      <c r="I3754" s="99" t="n">
        <f aca="false">IF(6&gt;Hold_Yrs,0,I2845-IF(6&gt;Debt_Yr,0,(H3148-0.5*IF(6=Debt_Yr,0,H3451))*INDEX(Fin_Curve,1,6))-H3451-H3451*Fin_ExitFee)</f>
        <v>0</v>
      </c>
      <c r="J3754" s="99" t="n">
        <f aca="false">IF(7&gt;Hold_Yrs,0,J2845-IF(7&gt;Debt_Yr,0,(I3148-0.5*IF(7=Debt_Yr,0,I3451))*INDEX(Fin_Curve,1,7))-I3451-I3451*Fin_ExitFee)</f>
        <v>0</v>
      </c>
      <c r="K3754" s="99" t="n">
        <f aca="false">IF(8&gt;Hold_Yrs,0,K2845-IF(8&gt;Debt_Yr,0,(J3148-0.5*IF(8=Debt_Yr,0,J3451))*INDEX(Fin_Curve,1,8))-J3451-J3451*Fin_ExitFee)</f>
        <v>0</v>
      </c>
      <c r="L3754" s="99" t="n">
        <f aca="false">IF(9&gt;Hold_Yrs,0,L2845-IF(9&gt;Debt_Yr,0,(K3148-0.5*IF(9=Debt_Yr,0,K3451))*INDEX(Fin_Curve,1,9))-K3451-K3451*Fin_ExitFee)</f>
        <v>0</v>
      </c>
      <c r="M3754" s="99" t="n">
        <f aca="false">IF(10&gt;Hold_Yrs,0,M2845-IF(10&gt;Debt_Yr,0,(L3148-0.5*IF(10=Debt_Yr,0,L3451))*INDEX(Fin_Curve,1,10))-L3451-L3451*Fin_ExitFee)</f>
        <v>0</v>
      </c>
    </row>
    <row r="3755" customFormat="false" ht="15" hidden="false" customHeight="false" outlineLevel="0" collapsed="false">
      <c r="B3755" s="108" t="n">
        <f aca="false">'Loan Tape'!$A115</f>
        <v>0</v>
      </c>
      <c r="C3755" s="71" t="n">
        <f aca="false">-'Loan Tape'!$BE115</f>
        <v>-0</v>
      </c>
      <c r="D3755" s="71" t="n">
        <f aca="false">IF(1&gt;Hold_Yrs,0,D2846-IF(1&gt;Debt_Yr,0,(C3149-0.5*IF(1=Debt_Yr,0,C3452))*INDEX(Fin_Curve,1,1))-C3452-C3452*Fin_ExitFee)</f>
        <v>0</v>
      </c>
      <c r="E3755" s="71" t="n">
        <f aca="false">IF(2&gt;Hold_Yrs,0,E2846-IF(2&gt;Debt_Yr,0,(D3149-0.5*IF(2=Debt_Yr,0,D3452))*INDEX(Fin_Curve,1,2))-D3452-D3452*Fin_ExitFee)</f>
        <v>0</v>
      </c>
      <c r="F3755" s="71" t="n">
        <f aca="false">IF(3&gt;Hold_Yrs,0,F2846-IF(3&gt;Debt_Yr,0,(E3149-0.5*IF(3=Debt_Yr,0,E3452))*INDEX(Fin_Curve,1,3))-E3452-E3452*Fin_ExitFee)</f>
        <v>0</v>
      </c>
      <c r="G3755" s="71" t="n">
        <f aca="false">IF(4&gt;Hold_Yrs,0,G2846-IF(4&gt;Debt_Yr,0,(F3149-0.5*IF(4=Debt_Yr,0,F3452))*INDEX(Fin_Curve,1,4))-F3452-F3452*Fin_ExitFee)</f>
        <v>0</v>
      </c>
      <c r="H3755" s="71" t="n">
        <f aca="false">IF(5&gt;Hold_Yrs,0,H2846-IF(5&gt;Debt_Yr,0,(G3149-0.5*IF(5=Debt_Yr,0,G3452))*INDEX(Fin_Curve,1,5))-G3452-G3452*Fin_ExitFee)</f>
        <v>0</v>
      </c>
      <c r="I3755" s="71" t="n">
        <f aca="false">IF(6&gt;Hold_Yrs,0,I2846-IF(6&gt;Debt_Yr,0,(H3149-0.5*IF(6=Debt_Yr,0,H3452))*INDEX(Fin_Curve,1,6))-H3452-H3452*Fin_ExitFee)</f>
        <v>0</v>
      </c>
      <c r="J3755" s="71" t="n">
        <f aca="false">IF(7&gt;Hold_Yrs,0,J2846-IF(7&gt;Debt_Yr,0,(I3149-0.5*IF(7=Debt_Yr,0,I3452))*INDEX(Fin_Curve,1,7))-I3452-I3452*Fin_ExitFee)</f>
        <v>0</v>
      </c>
      <c r="K3755" s="71" t="n">
        <f aca="false">IF(8&gt;Hold_Yrs,0,K2846-IF(8&gt;Debt_Yr,0,(J3149-0.5*IF(8=Debt_Yr,0,J3452))*INDEX(Fin_Curve,1,8))-J3452-J3452*Fin_ExitFee)</f>
        <v>0</v>
      </c>
      <c r="L3755" s="71" t="n">
        <f aca="false">IF(9&gt;Hold_Yrs,0,L2846-IF(9&gt;Debt_Yr,0,(K3149-0.5*IF(9=Debt_Yr,0,K3452))*INDEX(Fin_Curve,1,9))-K3452-K3452*Fin_ExitFee)</f>
        <v>0</v>
      </c>
      <c r="M3755" s="71" t="n">
        <f aca="false">IF(10&gt;Hold_Yrs,0,M2846-IF(10&gt;Debt_Yr,0,(L3149-0.5*IF(10=Debt_Yr,0,L3452))*INDEX(Fin_Curve,1,10))-L3452-L3452*Fin_ExitFee)</f>
        <v>0</v>
      </c>
    </row>
    <row r="3756" customFormat="false" ht="15" hidden="false" customHeight="false" outlineLevel="0" collapsed="false">
      <c r="B3756" s="102" t="n">
        <f aca="false">'Loan Tape'!$A116</f>
        <v>0</v>
      </c>
      <c r="C3756" s="99" t="n">
        <f aca="false">-'Loan Tape'!$BE116</f>
        <v>-0</v>
      </c>
      <c r="D3756" s="99" t="n">
        <f aca="false">IF(1&gt;Hold_Yrs,0,D2847-IF(1&gt;Debt_Yr,0,(C3150-0.5*IF(1=Debt_Yr,0,C3453))*INDEX(Fin_Curve,1,1))-C3453-C3453*Fin_ExitFee)</f>
        <v>0</v>
      </c>
      <c r="E3756" s="99" t="n">
        <f aca="false">IF(2&gt;Hold_Yrs,0,E2847-IF(2&gt;Debt_Yr,0,(D3150-0.5*IF(2=Debt_Yr,0,D3453))*INDEX(Fin_Curve,1,2))-D3453-D3453*Fin_ExitFee)</f>
        <v>0</v>
      </c>
      <c r="F3756" s="99" t="n">
        <f aca="false">IF(3&gt;Hold_Yrs,0,F2847-IF(3&gt;Debt_Yr,0,(E3150-0.5*IF(3=Debt_Yr,0,E3453))*INDEX(Fin_Curve,1,3))-E3453-E3453*Fin_ExitFee)</f>
        <v>0</v>
      </c>
      <c r="G3756" s="99" t="n">
        <f aca="false">IF(4&gt;Hold_Yrs,0,G2847-IF(4&gt;Debt_Yr,0,(F3150-0.5*IF(4=Debt_Yr,0,F3453))*INDEX(Fin_Curve,1,4))-F3453-F3453*Fin_ExitFee)</f>
        <v>0</v>
      </c>
      <c r="H3756" s="99" t="n">
        <f aca="false">IF(5&gt;Hold_Yrs,0,H2847-IF(5&gt;Debt_Yr,0,(G3150-0.5*IF(5=Debt_Yr,0,G3453))*INDEX(Fin_Curve,1,5))-G3453-G3453*Fin_ExitFee)</f>
        <v>0</v>
      </c>
      <c r="I3756" s="99" t="n">
        <f aca="false">IF(6&gt;Hold_Yrs,0,I2847-IF(6&gt;Debt_Yr,0,(H3150-0.5*IF(6=Debt_Yr,0,H3453))*INDEX(Fin_Curve,1,6))-H3453-H3453*Fin_ExitFee)</f>
        <v>0</v>
      </c>
      <c r="J3756" s="99" t="n">
        <f aca="false">IF(7&gt;Hold_Yrs,0,J2847-IF(7&gt;Debt_Yr,0,(I3150-0.5*IF(7=Debt_Yr,0,I3453))*INDEX(Fin_Curve,1,7))-I3453-I3453*Fin_ExitFee)</f>
        <v>0</v>
      </c>
      <c r="K3756" s="99" t="n">
        <f aca="false">IF(8&gt;Hold_Yrs,0,K2847-IF(8&gt;Debt_Yr,0,(J3150-0.5*IF(8=Debt_Yr,0,J3453))*INDEX(Fin_Curve,1,8))-J3453-J3453*Fin_ExitFee)</f>
        <v>0</v>
      </c>
      <c r="L3756" s="99" t="n">
        <f aca="false">IF(9&gt;Hold_Yrs,0,L2847-IF(9&gt;Debt_Yr,0,(K3150-0.5*IF(9=Debt_Yr,0,K3453))*INDEX(Fin_Curve,1,9))-K3453-K3453*Fin_ExitFee)</f>
        <v>0</v>
      </c>
      <c r="M3756" s="99" t="n">
        <f aca="false">IF(10&gt;Hold_Yrs,0,M2847-IF(10&gt;Debt_Yr,0,(L3150-0.5*IF(10=Debt_Yr,0,L3453))*INDEX(Fin_Curve,1,10))-L3453-L3453*Fin_ExitFee)</f>
        <v>0</v>
      </c>
    </row>
    <row r="3757" customFormat="false" ht="15" hidden="false" customHeight="false" outlineLevel="0" collapsed="false">
      <c r="B3757" s="108" t="n">
        <f aca="false">'Loan Tape'!$A117</f>
        <v>0</v>
      </c>
      <c r="C3757" s="71" t="n">
        <f aca="false">-'Loan Tape'!$BE117</f>
        <v>-0</v>
      </c>
      <c r="D3757" s="71" t="n">
        <f aca="false">IF(1&gt;Hold_Yrs,0,D2848-IF(1&gt;Debt_Yr,0,(C3151-0.5*IF(1=Debt_Yr,0,C3454))*INDEX(Fin_Curve,1,1))-C3454-C3454*Fin_ExitFee)</f>
        <v>0</v>
      </c>
      <c r="E3757" s="71" t="n">
        <f aca="false">IF(2&gt;Hold_Yrs,0,E2848-IF(2&gt;Debt_Yr,0,(D3151-0.5*IF(2=Debt_Yr,0,D3454))*INDEX(Fin_Curve,1,2))-D3454-D3454*Fin_ExitFee)</f>
        <v>0</v>
      </c>
      <c r="F3757" s="71" t="n">
        <f aca="false">IF(3&gt;Hold_Yrs,0,F2848-IF(3&gt;Debt_Yr,0,(E3151-0.5*IF(3=Debt_Yr,0,E3454))*INDEX(Fin_Curve,1,3))-E3454-E3454*Fin_ExitFee)</f>
        <v>0</v>
      </c>
      <c r="G3757" s="71" t="n">
        <f aca="false">IF(4&gt;Hold_Yrs,0,G2848-IF(4&gt;Debt_Yr,0,(F3151-0.5*IF(4=Debt_Yr,0,F3454))*INDEX(Fin_Curve,1,4))-F3454-F3454*Fin_ExitFee)</f>
        <v>0</v>
      </c>
      <c r="H3757" s="71" t="n">
        <f aca="false">IF(5&gt;Hold_Yrs,0,H2848-IF(5&gt;Debt_Yr,0,(G3151-0.5*IF(5=Debt_Yr,0,G3454))*INDEX(Fin_Curve,1,5))-G3454-G3454*Fin_ExitFee)</f>
        <v>0</v>
      </c>
      <c r="I3757" s="71" t="n">
        <f aca="false">IF(6&gt;Hold_Yrs,0,I2848-IF(6&gt;Debt_Yr,0,(H3151-0.5*IF(6=Debt_Yr,0,H3454))*INDEX(Fin_Curve,1,6))-H3454-H3454*Fin_ExitFee)</f>
        <v>0</v>
      </c>
      <c r="J3757" s="71" t="n">
        <f aca="false">IF(7&gt;Hold_Yrs,0,J2848-IF(7&gt;Debt_Yr,0,(I3151-0.5*IF(7=Debt_Yr,0,I3454))*INDEX(Fin_Curve,1,7))-I3454-I3454*Fin_ExitFee)</f>
        <v>0</v>
      </c>
      <c r="K3757" s="71" t="n">
        <f aca="false">IF(8&gt;Hold_Yrs,0,K2848-IF(8&gt;Debt_Yr,0,(J3151-0.5*IF(8=Debt_Yr,0,J3454))*INDEX(Fin_Curve,1,8))-J3454-J3454*Fin_ExitFee)</f>
        <v>0</v>
      </c>
      <c r="L3757" s="71" t="n">
        <f aca="false">IF(9&gt;Hold_Yrs,0,L2848-IF(9&gt;Debt_Yr,0,(K3151-0.5*IF(9=Debt_Yr,0,K3454))*INDEX(Fin_Curve,1,9))-K3454-K3454*Fin_ExitFee)</f>
        <v>0</v>
      </c>
      <c r="M3757" s="71" t="n">
        <f aca="false">IF(10&gt;Hold_Yrs,0,M2848-IF(10&gt;Debt_Yr,0,(L3151-0.5*IF(10=Debt_Yr,0,L3454))*INDEX(Fin_Curve,1,10))-L3454-L3454*Fin_ExitFee)</f>
        <v>0</v>
      </c>
    </row>
    <row r="3758" customFormat="false" ht="15" hidden="false" customHeight="false" outlineLevel="0" collapsed="false">
      <c r="B3758" s="102" t="n">
        <f aca="false">'Loan Tape'!$A118</f>
        <v>0</v>
      </c>
      <c r="C3758" s="99" t="n">
        <f aca="false">-'Loan Tape'!$BE118</f>
        <v>-0</v>
      </c>
      <c r="D3758" s="99" t="n">
        <f aca="false">IF(1&gt;Hold_Yrs,0,D2849-IF(1&gt;Debt_Yr,0,(C3152-0.5*IF(1=Debt_Yr,0,C3455))*INDEX(Fin_Curve,1,1))-C3455-C3455*Fin_ExitFee)</f>
        <v>0</v>
      </c>
      <c r="E3758" s="99" t="n">
        <f aca="false">IF(2&gt;Hold_Yrs,0,E2849-IF(2&gt;Debt_Yr,0,(D3152-0.5*IF(2=Debt_Yr,0,D3455))*INDEX(Fin_Curve,1,2))-D3455-D3455*Fin_ExitFee)</f>
        <v>0</v>
      </c>
      <c r="F3758" s="99" t="n">
        <f aca="false">IF(3&gt;Hold_Yrs,0,F2849-IF(3&gt;Debt_Yr,0,(E3152-0.5*IF(3=Debt_Yr,0,E3455))*INDEX(Fin_Curve,1,3))-E3455-E3455*Fin_ExitFee)</f>
        <v>0</v>
      </c>
      <c r="G3758" s="99" t="n">
        <f aca="false">IF(4&gt;Hold_Yrs,0,G2849-IF(4&gt;Debt_Yr,0,(F3152-0.5*IF(4=Debt_Yr,0,F3455))*INDEX(Fin_Curve,1,4))-F3455-F3455*Fin_ExitFee)</f>
        <v>0</v>
      </c>
      <c r="H3758" s="99" t="n">
        <f aca="false">IF(5&gt;Hold_Yrs,0,H2849-IF(5&gt;Debt_Yr,0,(G3152-0.5*IF(5=Debt_Yr,0,G3455))*INDEX(Fin_Curve,1,5))-G3455-G3455*Fin_ExitFee)</f>
        <v>0</v>
      </c>
      <c r="I3758" s="99" t="n">
        <f aca="false">IF(6&gt;Hold_Yrs,0,I2849-IF(6&gt;Debt_Yr,0,(H3152-0.5*IF(6=Debt_Yr,0,H3455))*INDEX(Fin_Curve,1,6))-H3455-H3455*Fin_ExitFee)</f>
        <v>0</v>
      </c>
      <c r="J3758" s="99" t="n">
        <f aca="false">IF(7&gt;Hold_Yrs,0,J2849-IF(7&gt;Debt_Yr,0,(I3152-0.5*IF(7=Debt_Yr,0,I3455))*INDEX(Fin_Curve,1,7))-I3455-I3455*Fin_ExitFee)</f>
        <v>0</v>
      </c>
      <c r="K3758" s="99" t="n">
        <f aca="false">IF(8&gt;Hold_Yrs,0,K2849-IF(8&gt;Debt_Yr,0,(J3152-0.5*IF(8=Debt_Yr,0,J3455))*INDEX(Fin_Curve,1,8))-J3455-J3455*Fin_ExitFee)</f>
        <v>0</v>
      </c>
      <c r="L3758" s="99" t="n">
        <f aca="false">IF(9&gt;Hold_Yrs,0,L2849-IF(9&gt;Debt_Yr,0,(K3152-0.5*IF(9=Debt_Yr,0,K3455))*INDEX(Fin_Curve,1,9))-K3455-K3455*Fin_ExitFee)</f>
        <v>0</v>
      </c>
      <c r="M3758" s="99" t="n">
        <f aca="false">IF(10&gt;Hold_Yrs,0,M2849-IF(10&gt;Debt_Yr,0,(L3152-0.5*IF(10=Debt_Yr,0,L3455))*INDEX(Fin_Curve,1,10))-L3455-L3455*Fin_ExitFee)</f>
        <v>0</v>
      </c>
    </row>
    <row r="3759" customFormat="false" ht="15" hidden="false" customHeight="false" outlineLevel="0" collapsed="false">
      <c r="B3759" s="108" t="n">
        <f aca="false">'Loan Tape'!$A119</f>
        <v>0</v>
      </c>
      <c r="C3759" s="71" t="n">
        <f aca="false">-'Loan Tape'!$BE119</f>
        <v>-0</v>
      </c>
      <c r="D3759" s="71" t="n">
        <f aca="false">IF(1&gt;Hold_Yrs,0,D2850-IF(1&gt;Debt_Yr,0,(C3153-0.5*IF(1=Debt_Yr,0,C3456))*INDEX(Fin_Curve,1,1))-C3456-C3456*Fin_ExitFee)</f>
        <v>0</v>
      </c>
      <c r="E3759" s="71" t="n">
        <f aca="false">IF(2&gt;Hold_Yrs,0,E2850-IF(2&gt;Debt_Yr,0,(D3153-0.5*IF(2=Debt_Yr,0,D3456))*INDEX(Fin_Curve,1,2))-D3456-D3456*Fin_ExitFee)</f>
        <v>0</v>
      </c>
      <c r="F3759" s="71" t="n">
        <f aca="false">IF(3&gt;Hold_Yrs,0,F2850-IF(3&gt;Debt_Yr,0,(E3153-0.5*IF(3=Debt_Yr,0,E3456))*INDEX(Fin_Curve,1,3))-E3456-E3456*Fin_ExitFee)</f>
        <v>0</v>
      </c>
      <c r="G3759" s="71" t="n">
        <f aca="false">IF(4&gt;Hold_Yrs,0,G2850-IF(4&gt;Debt_Yr,0,(F3153-0.5*IF(4=Debt_Yr,0,F3456))*INDEX(Fin_Curve,1,4))-F3456-F3456*Fin_ExitFee)</f>
        <v>0</v>
      </c>
      <c r="H3759" s="71" t="n">
        <f aca="false">IF(5&gt;Hold_Yrs,0,H2850-IF(5&gt;Debt_Yr,0,(G3153-0.5*IF(5=Debt_Yr,0,G3456))*INDEX(Fin_Curve,1,5))-G3456-G3456*Fin_ExitFee)</f>
        <v>0</v>
      </c>
      <c r="I3759" s="71" t="n">
        <f aca="false">IF(6&gt;Hold_Yrs,0,I2850-IF(6&gt;Debt_Yr,0,(H3153-0.5*IF(6=Debt_Yr,0,H3456))*INDEX(Fin_Curve,1,6))-H3456-H3456*Fin_ExitFee)</f>
        <v>0</v>
      </c>
      <c r="J3759" s="71" t="n">
        <f aca="false">IF(7&gt;Hold_Yrs,0,J2850-IF(7&gt;Debt_Yr,0,(I3153-0.5*IF(7=Debt_Yr,0,I3456))*INDEX(Fin_Curve,1,7))-I3456-I3456*Fin_ExitFee)</f>
        <v>0</v>
      </c>
      <c r="K3759" s="71" t="n">
        <f aca="false">IF(8&gt;Hold_Yrs,0,K2850-IF(8&gt;Debt_Yr,0,(J3153-0.5*IF(8=Debt_Yr,0,J3456))*INDEX(Fin_Curve,1,8))-J3456-J3456*Fin_ExitFee)</f>
        <v>0</v>
      </c>
      <c r="L3759" s="71" t="n">
        <f aca="false">IF(9&gt;Hold_Yrs,0,L2850-IF(9&gt;Debt_Yr,0,(K3153-0.5*IF(9=Debt_Yr,0,K3456))*INDEX(Fin_Curve,1,9))-K3456-K3456*Fin_ExitFee)</f>
        <v>0</v>
      </c>
      <c r="M3759" s="71" t="n">
        <f aca="false">IF(10&gt;Hold_Yrs,0,M2850-IF(10&gt;Debt_Yr,0,(L3153-0.5*IF(10=Debt_Yr,0,L3456))*INDEX(Fin_Curve,1,10))-L3456-L3456*Fin_ExitFee)</f>
        <v>0</v>
      </c>
    </row>
    <row r="3760" customFormat="false" ht="15" hidden="false" customHeight="false" outlineLevel="0" collapsed="false">
      <c r="B3760" s="102" t="n">
        <f aca="false">'Loan Tape'!$A120</f>
        <v>0</v>
      </c>
      <c r="C3760" s="99" t="n">
        <f aca="false">-'Loan Tape'!$BE120</f>
        <v>-0</v>
      </c>
      <c r="D3760" s="99" t="n">
        <f aca="false">IF(1&gt;Hold_Yrs,0,D2851-IF(1&gt;Debt_Yr,0,(C3154-0.5*IF(1=Debt_Yr,0,C3457))*INDEX(Fin_Curve,1,1))-C3457-C3457*Fin_ExitFee)</f>
        <v>0</v>
      </c>
      <c r="E3760" s="99" t="n">
        <f aca="false">IF(2&gt;Hold_Yrs,0,E2851-IF(2&gt;Debt_Yr,0,(D3154-0.5*IF(2=Debt_Yr,0,D3457))*INDEX(Fin_Curve,1,2))-D3457-D3457*Fin_ExitFee)</f>
        <v>0</v>
      </c>
      <c r="F3760" s="99" t="n">
        <f aca="false">IF(3&gt;Hold_Yrs,0,F2851-IF(3&gt;Debt_Yr,0,(E3154-0.5*IF(3=Debt_Yr,0,E3457))*INDEX(Fin_Curve,1,3))-E3457-E3457*Fin_ExitFee)</f>
        <v>0</v>
      </c>
      <c r="G3760" s="99" t="n">
        <f aca="false">IF(4&gt;Hold_Yrs,0,G2851-IF(4&gt;Debt_Yr,0,(F3154-0.5*IF(4=Debt_Yr,0,F3457))*INDEX(Fin_Curve,1,4))-F3457-F3457*Fin_ExitFee)</f>
        <v>0</v>
      </c>
      <c r="H3760" s="99" t="n">
        <f aca="false">IF(5&gt;Hold_Yrs,0,H2851-IF(5&gt;Debt_Yr,0,(G3154-0.5*IF(5=Debt_Yr,0,G3457))*INDEX(Fin_Curve,1,5))-G3457-G3457*Fin_ExitFee)</f>
        <v>0</v>
      </c>
      <c r="I3760" s="99" t="n">
        <f aca="false">IF(6&gt;Hold_Yrs,0,I2851-IF(6&gt;Debt_Yr,0,(H3154-0.5*IF(6=Debt_Yr,0,H3457))*INDEX(Fin_Curve,1,6))-H3457-H3457*Fin_ExitFee)</f>
        <v>0</v>
      </c>
      <c r="J3760" s="99" t="n">
        <f aca="false">IF(7&gt;Hold_Yrs,0,J2851-IF(7&gt;Debt_Yr,0,(I3154-0.5*IF(7=Debt_Yr,0,I3457))*INDEX(Fin_Curve,1,7))-I3457-I3457*Fin_ExitFee)</f>
        <v>0</v>
      </c>
      <c r="K3760" s="99" t="n">
        <f aca="false">IF(8&gt;Hold_Yrs,0,K2851-IF(8&gt;Debt_Yr,0,(J3154-0.5*IF(8=Debt_Yr,0,J3457))*INDEX(Fin_Curve,1,8))-J3457-J3457*Fin_ExitFee)</f>
        <v>0</v>
      </c>
      <c r="L3760" s="99" t="n">
        <f aca="false">IF(9&gt;Hold_Yrs,0,L2851-IF(9&gt;Debt_Yr,0,(K3154-0.5*IF(9=Debt_Yr,0,K3457))*INDEX(Fin_Curve,1,9))-K3457-K3457*Fin_ExitFee)</f>
        <v>0</v>
      </c>
      <c r="M3760" s="99" t="n">
        <f aca="false">IF(10&gt;Hold_Yrs,0,M2851-IF(10&gt;Debt_Yr,0,(L3154-0.5*IF(10=Debt_Yr,0,L3457))*INDEX(Fin_Curve,1,10))-L3457-L3457*Fin_ExitFee)</f>
        <v>0</v>
      </c>
    </row>
    <row r="3761" customFormat="false" ht="15" hidden="false" customHeight="false" outlineLevel="0" collapsed="false">
      <c r="B3761" s="108" t="n">
        <f aca="false">'Loan Tape'!$A121</f>
        <v>0</v>
      </c>
      <c r="C3761" s="71" t="n">
        <f aca="false">-'Loan Tape'!$BE121</f>
        <v>-0</v>
      </c>
      <c r="D3761" s="71" t="n">
        <f aca="false">IF(1&gt;Hold_Yrs,0,D2852-IF(1&gt;Debt_Yr,0,(C3155-0.5*IF(1=Debt_Yr,0,C3458))*INDEX(Fin_Curve,1,1))-C3458-C3458*Fin_ExitFee)</f>
        <v>0</v>
      </c>
      <c r="E3761" s="71" t="n">
        <f aca="false">IF(2&gt;Hold_Yrs,0,E2852-IF(2&gt;Debt_Yr,0,(D3155-0.5*IF(2=Debt_Yr,0,D3458))*INDEX(Fin_Curve,1,2))-D3458-D3458*Fin_ExitFee)</f>
        <v>0</v>
      </c>
      <c r="F3761" s="71" t="n">
        <f aca="false">IF(3&gt;Hold_Yrs,0,F2852-IF(3&gt;Debt_Yr,0,(E3155-0.5*IF(3=Debt_Yr,0,E3458))*INDEX(Fin_Curve,1,3))-E3458-E3458*Fin_ExitFee)</f>
        <v>0</v>
      </c>
      <c r="G3761" s="71" t="n">
        <f aca="false">IF(4&gt;Hold_Yrs,0,G2852-IF(4&gt;Debt_Yr,0,(F3155-0.5*IF(4=Debt_Yr,0,F3458))*INDEX(Fin_Curve,1,4))-F3458-F3458*Fin_ExitFee)</f>
        <v>0</v>
      </c>
      <c r="H3761" s="71" t="n">
        <f aca="false">IF(5&gt;Hold_Yrs,0,H2852-IF(5&gt;Debt_Yr,0,(G3155-0.5*IF(5=Debt_Yr,0,G3458))*INDEX(Fin_Curve,1,5))-G3458-G3458*Fin_ExitFee)</f>
        <v>0</v>
      </c>
      <c r="I3761" s="71" t="n">
        <f aca="false">IF(6&gt;Hold_Yrs,0,I2852-IF(6&gt;Debt_Yr,0,(H3155-0.5*IF(6=Debt_Yr,0,H3458))*INDEX(Fin_Curve,1,6))-H3458-H3458*Fin_ExitFee)</f>
        <v>0</v>
      </c>
      <c r="J3761" s="71" t="n">
        <f aca="false">IF(7&gt;Hold_Yrs,0,J2852-IF(7&gt;Debt_Yr,0,(I3155-0.5*IF(7=Debt_Yr,0,I3458))*INDEX(Fin_Curve,1,7))-I3458-I3458*Fin_ExitFee)</f>
        <v>0</v>
      </c>
      <c r="K3761" s="71" t="n">
        <f aca="false">IF(8&gt;Hold_Yrs,0,K2852-IF(8&gt;Debt_Yr,0,(J3155-0.5*IF(8=Debt_Yr,0,J3458))*INDEX(Fin_Curve,1,8))-J3458-J3458*Fin_ExitFee)</f>
        <v>0</v>
      </c>
      <c r="L3761" s="71" t="n">
        <f aca="false">IF(9&gt;Hold_Yrs,0,L2852-IF(9&gt;Debt_Yr,0,(K3155-0.5*IF(9=Debt_Yr,0,K3458))*INDEX(Fin_Curve,1,9))-K3458-K3458*Fin_ExitFee)</f>
        <v>0</v>
      </c>
      <c r="M3761" s="71" t="n">
        <f aca="false">IF(10&gt;Hold_Yrs,0,M2852-IF(10&gt;Debt_Yr,0,(L3155-0.5*IF(10=Debt_Yr,0,L3458))*INDEX(Fin_Curve,1,10))-L3458-L3458*Fin_ExitFee)</f>
        <v>0</v>
      </c>
    </row>
    <row r="3762" customFormat="false" ht="15" hidden="false" customHeight="false" outlineLevel="0" collapsed="false">
      <c r="B3762" s="102" t="n">
        <f aca="false">'Loan Tape'!$A122</f>
        <v>0</v>
      </c>
      <c r="C3762" s="99" t="n">
        <f aca="false">-'Loan Tape'!$BE122</f>
        <v>-0</v>
      </c>
      <c r="D3762" s="99" t="n">
        <f aca="false">IF(1&gt;Hold_Yrs,0,D2853-IF(1&gt;Debt_Yr,0,(C3156-0.5*IF(1=Debt_Yr,0,C3459))*INDEX(Fin_Curve,1,1))-C3459-C3459*Fin_ExitFee)</f>
        <v>0</v>
      </c>
      <c r="E3762" s="99" t="n">
        <f aca="false">IF(2&gt;Hold_Yrs,0,E2853-IF(2&gt;Debt_Yr,0,(D3156-0.5*IF(2=Debt_Yr,0,D3459))*INDEX(Fin_Curve,1,2))-D3459-D3459*Fin_ExitFee)</f>
        <v>0</v>
      </c>
      <c r="F3762" s="99" t="n">
        <f aca="false">IF(3&gt;Hold_Yrs,0,F2853-IF(3&gt;Debt_Yr,0,(E3156-0.5*IF(3=Debt_Yr,0,E3459))*INDEX(Fin_Curve,1,3))-E3459-E3459*Fin_ExitFee)</f>
        <v>0</v>
      </c>
      <c r="G3762" s="99" t="n">
        <f aca="false">IF(4&gt;Hold_Yrs,0,G2853-IF(4&gt;Debt_Yr,0,(F3156-0.5*IF(4=Debt_Yr,0,F3459))*INDEX(Fin_Curve,1,4))-F3459-F3459*Fin_ExitFee)</f>
        <v>0</v>
      </c>
      <c r="H3762" s="99" t="n">
        <f aca="false">IF(5&gt;Hold_Yrs,0,H2853-IF(5&gt;Debt_Yr,0,(G3156-0.5*IF(5=Debt_Yr,0,G3459))*INDEX(Fin_Curve,1,5))-G3459-G3459*Fin_ExitFee)</f>
        <v>0</v>
      </c>
      <c r="I3762" s="99" t="n">
        <f aca="false">IF(6&gt;Hold_Yrs,0,I2853-IF(6&gt;Debt_Yr,0,(H3156-0.5*IF(6=Debt_Yr,0,H3459))*INDEX(Fin_Curve,1,6))-H3459-H3459*Fin_ExitFee)</f>
        <v>0</v>
      </c>
      <c r="J3762" s="99" t="n">
        <f aca="false">IF(7&gt;Hold_Yrs,0,J2853-IF(7&gt;Debt_Yr,0,(I3156-0.5*IF(7=Debt_Yr,0,I3459))*INDEX(Fin_Curve,1,7))-I3459-I3459*Fin_ExitFee)</f>
        <v>0</v>
      </c>
      <c r="K3762" s="99" t="n">
        <f aca="false">IF(8&gt;Hold_Yrs,0,K2853-IF(8&gt;Debt_Yr,0,(J3156-0.5*IF(8=Debt_Yr,0,J3459))*INDEX(Fin_Curve,1,8))-J3459-J3459*Fin_ExitFee)</f>
        <v>0</v>
      </c>
      <c r="L3762" s="99" t="n">
        <f aca="false">IF(9&gt;Hold_Yrs,0,L2853-IF(9&gt;Debt_Yr,0,(K3156-0.5*IF(9=Debt_Yr,0,K3459))*INDEX(Fin_Curve,1,9))-K3459-K3459*Fin_ExitFee)</f>
        <v>0</v>
      </c>
      <c r="M3762" s="99" t="n">
        <f aca="false">IF(10&gt;Hold_Yrs,0,M2853-IF(10&gt;Debt_Yr,0,(L3156-0.5*IF(10=Debt_Yr,0,L3459))*INDEX(Fin_Curve,1,10))-L3459-L3459*Fin_ExitFee)</f>
        <v>0</v>
      </c>
    </row>
    <row r="3763" customFormat="false" ht="15" hidden="false" customHeight="false" outlineLevel="0" collapsed="false">
      <c r="B3763" s="108" t="n">
        <f aca="false">'Loan Tape'!$A123</f>
        <v>0</v>
      </c>
      <c r="C3763" s="71" t="n">
        <f aca="false">-'Loan Tape'!$BE123</f>
        <v>-0</v>
      </c>
      <c r="D3763" s="71" t="n">
        <f aca="false">IF(1&gt;Hold_Yrs,0,D2854-IF(1&gt;Debt_Yr,0,(C3157-0.5*IF(1=Debt_Yr,0,C3460))*INDEX(Fin_Curve,1,1))-C3460-C3460*Fin_ExitFee)</f>
        <v>0</v>
      </c>
      <c r="E3763" s="71" t="n">
        <f aca="false">IF(2&gt;Hold_Yrs,0,E2854-IF(2&gt;Debt_Yr,0,(D3157-0.5*IF(2=Debt_Yr,0,D3460))*INDEX(Fin_Curve,1,2))-D3460-D3460*Fin_ExitFee)</f>
        <v>0</v>
      </c>
      <c r="F3763" s="71" t="n">
        <f aca="false">IF(3&gt;Hold_Yrs,0,F2854-IF(3&gt;Debt_Yr,0,(E3157-0.5*IF(3=Debt_Yr,0,E3460))*INDEX(Fin_Curve,1,3))-E3460-E3460*Fin_ExitFee)</f>
        <v>0</v>
      </c>
      <c r="G3763" s="71" t="n">
        <f aca="false">IF(4&gt;Hold_Yrs,0,G2854-IF(4&gt;Debt_Yr,0,(F3157-0.5*IF(4=Debt_Yr,0,F3460))*INDEX(Fin_Curve,1,4))-F3460-F3460*Fin_ExitFee)</f>
        <v>0</v>
      </c>
      <c r="H3763" s="71" t="n">
        <f aca="false">IF(5&gt;Hold_Yrs,0,H2854-IF(5&gt;Debt_Yr,0,(G3157-0.5*IF(5=Debt_Yr,0,G3460))*INDEX(Fin_Curve,1,5))-G3460-G3460*Fin_ExitFee)</f>
        <v>0</v>
      </c>
      <c r="I3763" s="71" t="n">
        <f aca="false">IF(6&gt;Hold_Yrs,0,I2854-IF(6&gt;Debt_Yr,0,(H3157-0.5*IF(6=Debt_Yr,0,H3460))*INDEX(Fin_Curve,1,6))-H3460-H3460*Fin_ExitFee)</f>
        <v>0</v>
      </c>
      <c r="J3763" s="71" t="n">
        <f aca="false">IF(7&gt;Hold_Yrs,0,J2854-IF(7&gt;Debt_Yr,0,(I3157-0.5*IF(7=Debt_Yr,0,I3460))*INDEX(Fin_Curve,1,7))-I3460-I3460*Fin_ExitFee)</f>
        <v>0</v>
      </c>
      <c r="K3763" s="71" t="n">
        <f aca="false">IF(8&gt;Hold_Yrs,0,K2854-IF(8&gt;Debt_Yr,0,(J3157-0.5*IF(8=Debt_Yr,0,J3460))*INDEX(Fin_Curve,1,8))-J3460-J3460*Fin_ExitFee)</f>
        <v>0</v>
      </c>
      <c r="L3763" s="71" t="n">
        <f aca="false">IF(9&gt;Hold_Yrs,0,L2854-IF(9&gt;Debt_Yr,0,(K3157-0.5*IF(9=Debt_Yr,0,K3460))*INDEX(Fin_Curve,1,9))-K3460-K3460*Fin_ExitFee)</f>
        <v>0</v>
      </c>
      <c r="M3763" s="71" t="n">
        <f aca="false">IF(10&gt;Hold_Yrs,0,M2854-IF(10&gt;Debt_Yr,0,(L3157-0.5*IF(10=Debt_Yr,0,L3460))*INDEX(Fin_Curve,1,10))-L3460-L3460*Fin_ExitFee)</f>
        <v>0</v>
      </c>
    </row>
    <row r="3764" customFormat="false" ht="15" hidden="false" customHeight="false" outlineLevel="0" collapsed="false">
      <c r="B3764" s="102" t="n">
        <f aca="false">'Loan Tape'!$A124</f>
        <v>0</v>
      </c>
      <c r="C3764" s="99" t="n">
        <f aca="false">-'Loan Tape'!$BE124</f>
        <v>-0</v>
      </c>
      <c r="D3764" s="99" t="n">
        <f aca="false">IF(1&gt;Hold_Yrs,0,D2855-IF(1&gt;Debt_Yr,0,(C3158-0.5*IF(1=Debt_Yr,0,C3461))*INDEX(Fin_Curve,1,1))-C3461-C3461*Fin_ExitFee)</f>
        <v>0</v>
      </c>
      <c r="E3764" s="99" t="n">
        <f aca="false">IF(2&gt;Hold_Yrs,0,E2855-IF(2&gt;Debt_Yr,0,(D3158-0.5*IF(2=Debt_Yr,0,D3461))*INDEX(Fin_Curve,1,2))-D3461-D3461*Fin_ExitFee)</f>
        <v>0</v>
      </c>
      <c r="F3764" s="99" t="n">
        <f aca="false">IF(3&gt;Hold_Yrs,0,F2855-IF(3&gt;Debt_Yr,0,(E3158-0.5*IF(3=Debt_Yr,0,E3461))*INDEX(Fin_Curve,1,3))-E3461-E3461*Fin_ExitFee)</f>
        <v>0</v>
      </c>
      <c r="G3764" s="99" t="n">
        <f aca="false">IF(4&gt;Hold_Yrs,0,G2855-IF(4&gt;Debt_Yr,0,(F3158-0.5*IF(4=Debt_Yr,0,F3461))*INDEX(Fin_Curve,1,4))-F3461-F3461*Fin_ExitFee)</f>
        <v>0</v>
      </c>
      <c r="H3764" s="99" t="n">
        <f aca="false">IF(5&gt;Hold_Yrs,0,H2855-IF(5&gt;Debt_Yr,0,(G3158-0.5*IF(5=Debt_Yr,0,G3461))*INDEX(Fin_Curve,1,5))-G3461-G3461*Fin_ExitFee)</f>
        <v>0</v>
      </c>
      <c r="I3764" s="99" t="n">
        <f aca="false">IF(6&gt;Hold_Yrs,0,I2855-IF(6&gt;Debt_Yr,0,(H3158-0.5*IF(6=Debt_Yr,0,H3461))*INDEX(Fin_Curve,1,6))-H3461-H3461*Fin_ExitFee)</f>
        <v>0</v>
      </c>
      <c r="J3764" s="99" t="n">
        <f aca="false">IF(7&gt;Hold_Yrs,0,J2855-IF(7&gt;Debt_Yr,0,(I3158-0.5*IF(7=Debt_Yr,0,I3461))*INDEX(Fin_Curve,1,7))-I3461-I3461*Fin_ExitFee)</f>
        <v>0</v>
      </c>
      <c r="K3764" s="99" t="n">
        <f aca="false">IF(8&gt;Hold_Yrs,0,K2855-IF(8&gt;Debt_Yr,0,(J3158-0.5*IF(8=Debt_Yr,0,J3461))*INDEX(Fin_Curve,1,8))-J3461-J3461*Fin_ExitFee)</f>
        <v>0</v>
      </c>
      <c r="L3764" s="99" t="n">
        <f aca="false">IF(9&gt;Hold_Yrs,0,L2855-IF(9&gt;Debt_Yr,0,(K3158-0.5*IF(9=Debt_Yr,0,K3461))*INDEX(Fin_Curve,1,9))-K3461-K3461*Fin_ExitFee)</f>
        <v>0</v>
      </c>
      <c r="M3764" s="99" t="n">
        <f aca="false">IF(10&gt;Hold_Yrs,0,M2855-IF(10&gt;Debt_Yr,0,(L3158-0.5*IF(10=Debt_Yr,0,L3461))*INDEX(Fin_Curve,1,10))-L3461-L3461*Fin_ExitFee)</f>
        <v>0</v>
      </c>
    </row>
    <row r="3765" customFormat="false" ht="15" hidden="false" customHeight="false" outlineLevel="0" collapsed="false">
      <c r="B3765" s="108" t="n">
        <f aca="false">'Loan Tape'!$A125</f>
        <v>0</v>
      </c>
      <c r="C3765" s="71" t="n">
        <f aca="false">-'Loan Tape'!$BE125</f>
        <v>-0</v>
      </c>
      <c r="D3765" s="71" t="n">
        <f aca="false">IF(1&gt;Hold_Yrs,0,D2856-IF(1&gt;Debt_Yr,0,(C3159-0.5*IF(1=Debt_Yr,0,C3462))*INDEX(Fin_Curve,1,1))-C3462-C3462*Fin_ExitFee)</f>
        <v>0</v>
      </c>
      <c r="E3765" s="71" t="n">
        <f aca="false">IF(2&gt;Hold_Yrs,0,E2856-IF(2&gt;Debt_Yr,0,(D3159-0.5*IF(2=Debt_Yr,0,D3462))*INDEX(Fin_Curve,1,2))-D3462-D3462*Fin_ExitFee)</f>
        <v>0</v>
      </c>
      <c r="F3765" s="71" t="n">
        <f aca="false">IF(3&gt;Hold_Yrs,0,F2856-IF(3&gt;Debt_Yr,0,(E3159-0.5*IF(3=Debt_Yr,0,E3462))*INDEX(Fin_Curve,1,3))-E3462-E3462*Fin_ExitFee)</f>
        <v>0</v>
      </c>
      <c r="G3765" s="71" t="n">
        <f aca="false">IF(4&gt;Hold_Yrs,0,G2856-IF(4&gt;Debt_Yr,0,(F3159-0.5*IF(4=Debt_Yr,0,F3462))*INDEX(Fin_Curve,1,4))-F3462-F3462*Fin_ExitFee)</f>
        <v>0</v>
      </c>
      <c r="H3765" s="71" t="n">
        <f aca="false">IF(5&gt;Hold_Yrs,0,H2856-IF(5&gt;Debt_Yr,0,(G3159-0.5*IF(5=Debt_Yr,0,G3462))*INDEX(Fin_Curve,1,5))-G3462-G3462*Fin_ExitFee)</f>
        <v>0</v>
      </c>
      <c r="I3765" s="71" t="n">
        <f aca="false">IF(6&gt;Hold_Yrs,0,I2856-IF(6&gt;Debt_Yr,0,(H3159-0.5*IF(6=Debt_Yr,0,H3462))*INDEX(Fin_Curve,1,6))-H3462-H3462*Fin_ExitFee)</f>
        <v>0</v>
      </c>
      <c r="J3765" s="71" t="n">
        <f aca="false">IF(7&gt;Hold_Yrs,0,J2856-IF(7&gt;Debt_Yr,0,(I3159-0.5*IF(7=Debt_Yr,0,I3462))*INDEX(Fin_Curve,1,7))-I3462-I3462*Fin_ExitFee)</f>
        <v>0</v>
      </c>
      <c r="K3765" s="71" t="n">
        <f aca="false">IF(8&gt;Hold_Yrs,0,K2856-IF(8&gt;Debt_Yr,0,(J3159-0.5*IF(8=Debt_Yr,0,J3462))*INDEX(Fin_Curve,1,8))-J3462-J3462*Fin_ExitFee)</f>
        <v>0</v>
      </c>
      <c r="L3765" s="71" t="n">
        <f aca="false">IF(9&gt;Hold_Yrs,0,L2856-IF(9&gt;Debt_Yr,0,(K3159-0.5*IF(9=Debt_Yr,0,K3462))*INDEX(Fin_Curve,1,9))-K3462-K3462*Fin_ExitFee)</f>
        <v>0</v>
      </c>
      <c r="M3765" s="71" t="n">
        <f aca="false">IF(10&gt;Hold_Yrs,0,M2856-IF(10&gt;Debt_Yr,0,(L3159-0.5*IF(10=Debt_Yr,0,L3462))*INDEX(Fin_Curve,1,10))-L3462-L3462*Fin_ExitFee)</f>
        <v>0</v>
      </c>
    </row>
    <row r="3766" customFormat="false" ht="15" hidden="false" customHeight="false" outlineLevel="0" collapsed="false">
      <c r="B3766" s="102" t="n">
        <f aca="false">'Loan Tape'!$A126</f>
        <v>0</v>
      </c>
      <c r="C3766" s="99" t="n">
        <f aca="false">-'Loan Tape'!$BE126</f>
        <v>-0</v>
      </c>
      <c r="D3766" s="99" t="n">
        <f aca="false">IF(1&gt;Hold_Yrs,0,D2857-IF(1&gt;Debt_Yr,0,(C3160-0.5*IF(1=Debt_Yr,0,C3463))*INDEX(Fin_Curve,1,1))-C3463-C3463*Fin_ExitFee)</f>
        <v>0</v>
      </c>
      <c r="E3766" s="99" t="n">
        <f aca="false">IF(2&gt;Hold_Yrs,0,E2857-IF(2&gt;Debt_Yr,0,(D3160-0.5*IF(2=Debt_Yr,0,D3463))*INDEX(Fin_Curve,1,2))-D3463-D3463*Fin_ExitFee)</f>
        <v>0</v>
      </c>
      <c r="F3766" s="99" t="n">
        <f aca="false">IF(3&gt;Hold_Yrs,0,F2857-IF(3&gt;Debt_Yr,0,(E3160-0.5*IF(3=Debt_Yr,0,E3463))*INDEX(Fin_Curve,1,3))-E3463-E3463*Fin_ExitFee)</f>
        <v>0</v>
      </c>
      <c r="G3766" s="99" t="n">
        <f aca="false">IF(4&gt;Hold_Yrs,0,G2857-IF(4&gt;Debt_Yr,0,(F3160-0.5*IF(4=Debt_Yr,0,F3463))*INDEX(Fin_Curve,1,4))-F3463-F3463*Fin_ExitFee)</f>
        <v>0</v>
      </c>
      <c r="H3766" s="99" t="n">
        <f aca="false">IF(5&gt;Hold_Yrs,0,H2857-IF(5&gt;Debt_Yr,0,(G3160-0.5*IF(5=Debt_Yr,0,G3463))*INDEX(Fin_Curve,1,5))-G3463-G3463*Fin_ExitFee)</f>
        <v>0</v>
      </c>
      <c r="I3766" s="99" t="n">
        <f aca="false">IF(6&gt;Hold_Yrs,0,I2857-IF(6&gt;Debt_Yr,0,(H3160-0.5*IF(6=Debt_Yr,0,H3463))*INDEX(Fin_Curve,1,6))-H3463-H3463*Fin_ExitFee)</f>
        <v>0</v>
      </c>
      <c r="J3766" s="99" t="n">
        <f aca="false">IF(7&gt;Hold_Yrs,0,J2857-IF(7&gt;Debt_Yr,0,(I3160-0.5*IF(7=Debt_Yr,0,I3463))*INDEX(Fin_Curve,1,7))-I3463-I3463*Fin_ExitFee)</f>
        <v>0</v>
      </c>
      <c r="K3766" s="99" t="n">
        <f aca="false">IF(8&gt;Hold_Yrs,0,K2857-IF(8&gt;Debt_Yr,0,(J3160-0.5*IF(8=Debt_Yr,0,J3463))*INDEX(Fin_Curve,1,8))-J3463-J3463*Fin_ExitFee)</f>
        <v>0</v>
      </c>
      <c r="L3766" s="99" t="n">
        <f aca="false">IF(9&gt;Hold_Yrs,0,L2857-IF(9&gt;Debt_Yr,0,(K3160-0.5*IF(9=Debt_Yr,0,K3463))*INDEX(Fin_Curve,1,9))-K3463-K3463*Fin_ExitFee)</f>
        <v>0</v>
      </c>
      <c r="M3766" s="99" t="n">
        <f aca="false">IF(10&gt;Hold_Yrs,0,M2857-IF(10&gt;Debt_Yr,0,(L3160-0.5*IF(10=Debt_Yr,0,L3463))*INDEX(Fin_Curve,1,10))-L3463-L3463*Fin_ExitFee)</f>
        <v>0</v>
      </c>
    </row>
    <row r="3767" customFormat="false" ht="15" hidden="false" customHeight="false" outlineLevel="0" collapsed="false">
      <c r="B3767" s="108" t="n">
        <f aca="false">'Loan Tape'!$A127</f>
        <v>0</v>
      </c>
      <c r="C3767" s="71" t="n">
        <f aca="false">-'Loan Tape'!$BE127</f>
        <v>-0</v>
      </c>
      <c r="D3767" s="71" t="n">
        <f aca="false">IF(1&gt;Hold_Yrs,0,D2858-IF(1&gt;Debt_Yr,0,(C3161-0.5*IF(1=Debt_Yr,0,C3464))*INDEX(Fin_Curve,1,1))-C3464-C3464*Fin_ExitFee)</f>
        <v>0</v>
      </c>
      <c r="E3767" s="71" t="n">
        <f aca="false">IF(2&gt;Hold_Yrs,0,E2858-IF(2&gt;Debt_Yr,0,(D3161-0.5*IF(2=Debt_Yr,0,D3464))*INDEX(Fin_Curve,1,2))-D3464-D3464*Fin_ExitFee)</f>
        <v>0</v>
      </c>
      <c r="F3767" s="71" t="n">
        <f aca="false">IF(3&gt;Hold_Yrs,0,F2858-IF(3&gt;Debt_Yr,0,(E3161-0.5*IF(3=Debt_Yr,0,E3464))*INDEX(Fin_Curve,1,3))-E3464-E3464*Fin_ExitFee)</f>
        <v>0</v>
      </c>
      <c r="G3767" s="71" t="n">
        <f aca="false">IF(4&gt;Hold_Yrs,0,G2858-IF(4&gt;Debt_Yr,0,(F3161-0.5*IF(4=Debt_Yr,0,F3464))*INDEX(Fin_Curve,1,4))-F3464-F3464*Fin_ExitFee)</f>
        <v>0</v>
      </c>
      <c r="H3767" s="71" t="n">
        <f aca="false">IF(5&gt;Hold_Yrs,0,H2858-IF(5&gt;Debt_Yr,0,(G3161-0.5*IF(5=Debt_Yr,0,G3464))*INDEX(Fin_Curve,1,5))-G3464-G3464*Fin_ExitFee)</f>
        <v>0</v>
      </c>
      <c r="I3767" s="71" t="n">
        <f aca="false">IF(6&gt;Hold_Yrs,0,I2858-IF(6&gt;Debt_Yr,0,(H3161-0.5*IF(6=Debt_Yr,0,H3464))*INDEX(Fin_Curve,1,6))-H3464-H3464*Fin_ExitFee)</f>
        <v>0</v>
      </c>
      <c r="J3767" s="71" t="n">
        <f aca="false">IF(7&gt;Hold_Yrs,0,J2858-IF(7&gt;Debt_Yr,0,(I3161-0.5*IF(7=Debt_Yr,0,I3464))*INDEX(Fin_Curve,1,7))-I3464-I3464*Fin_ExitFee)</f>
        <v>0</v>
      </c>
      <c r="K3767" s="71" t="n">
        <f aca="false">IF(8&gt;Hold_Yrs,0,K2858-IF(8&gt;Debt_Yr,0,(J3161-0.5*IF(8=Debt_Yr,0,J3464))*INDEX(Fin_Curve,1,8))-J3464-J3464*Fin_ExitFee)</f>
        <v>0</v>
      </c>
      <c r="L3767" s="71" t="n">
        <f aca="false">IF(9&gt;Hold_Yrs,0,L2858-IF(9&gt;Debt_Yr,0,(K3161-0.5*IF(9=Debt_Yr,0,K3464))*INDEX(Fin_Curve,1,9))-K3464-K3464*Fin_ExitFee)</f>
        <v>0</v>
      </c>
      <c r="M3767" s="71" t="n">
        <f aca="false">IF(10&gt;Hold_Yrs,0,M2858-IF(10&gt;Debt_Yr,0,(L3161-0.5*IF(10=Debt_Yr,0,L3464))*INDEX(Fin_Curve,1,10))-L3464-L3464*Fin_ExitFee)</f>
        <v>0</v>
      </c>
    </row>
    <row r="3768" customFormat="false" ht="15" hidden="false" customHeight="false" outlineLevel="0" collapsed="false">
      <c r="B3768" s="102" t="n">
        <f aca="false">'Loan Tape'!$A128</f>
        <v>0</v>
      </c>
      <c r="C3768" s="99" t="n">
        <f aca="false">-'Loan Tape'!$BE128</f>
        <v>-0</v>
      </c>
      <c r="D3768" s="99" t="n">
        <f aca="false">IF(1&gt;Hold_Yrs,0,D2859-IF(1&gt;Debt_Yr,0,(C3162-0.5*IF(1=Debt_Yr,0,C3465))*INDEX(Fin_Curve,1,1))-C3465-C3465*Fin_ExitFee)</f>
        <v>0</v>
      </c>
      <c r="E3768" s="99" t="n">
        <f aca="false">IF(2&gt;Hold_Yrs,0,E2859-IF(2&gt;Debt_Yr,0,(D3162-0.5*IF(2=Debt_Yr,0,D3465))*INDEX(Fin_Curve,1,2))-D3465-D3465*Fin_ExitFee)</f>
        <v>0</v>
      </c>
      <c r="F3768" s="99" t="n">
        <f aca="false">IF(3&gt;Hold_Yrs,0,F2859-IF(3&gt;Debt_Yr,0,(E3162-0.5*IF(3=Debt_Yr,0,E3465))*INDEX(Fin_Curve,1,3))-E3465-E3465*Fin_ExitFee)</f>
        <v>0</v>
      </c>
      <c r="G3768" s="99" t="n">
        <f aca="false">IF(4&gt;Hold_Yrs,0,G2859-IF(4&gt;Debt_Yr,0,(F3162-0.5*IF(4=Debt_Yr,0,F3465))*INDEX(Fin_Curve,1,4))-F3465-F3465*Fin_ExitFee)</f>
        <v>0</v>
      </c>
      <c r="H3768" s="99" t="n">
        <f aca="false">IF(5&gt;Hold_Yrs,0,H2859-IF(5&gt;Debt_Yr,0,(G3162-0.5*IF(5=Debt_Yr,0,G3465))*INDEX(Fin_Curve,1,5))-G3465-G3465*Fin_ExitFee)</f>
        <v>0</v>
      </c>
      <c r="I3768" s="99" t="n">
        <f aca="false">IF(6&gt;Hold_Yrs,0,I2859-IF(6&gt;Debt_Yr,0,(H3162-0.5*IF(6=Debt_Yr,0,H3465))*INDEX(Fin_Curve,1,6))-H3465-H3465*Fin_ExitFee)</f>
        <v>0</v>
      </c>
      <c r="J3768" s="99" t="n">
        <f aca="false">IF(7&gt;Hold_Yrs,0,J2859-IF(7&gt;Debt_Yr,0,(I3162-0.5*IF(7=Debt_Yr,0,I3465))*INDEX(Fin_Curve,1,7))-I3465-I3465*Fin_ExitFee)</f>
        <v>0</v>
      </c>
      <c r="K3768" s="99" t="n">
        <f aca="false">IF(8&gt;Hold_Yrs,0,K2859-IF(8&gt;Debt_Yr,0,(J3162-0.5*IF(8=Debt_Yr,0,J3465))*INDEX(Fin_Curve,1,8))-J3465-J3465*Fin_ExitFee)</f>
        <v>0</v>
      </c>
      <c r="L3768" s="99" t="n">
        <f aca="false">IF(9&gt;Hold_Yrs,0,L2859-IF(9&gt;Debt_Yr,0,(K3162-0.5*IF(9=Debt_Yr,0,K3465))*INDEX(Fin_Curve,1,9))-K3465-K3465*Fin_ExitFee)</f>
        <v>0</v>
      </c>
      <c r="M3768" s="99" t="n">
        <f aca="false">IF(10&gt;Hold_Yrs,0,M2859-IF(10&gt;Debt_Yr,0,(L3162-0.5*IF(10=Debt_Yr,0,L3465))*INDEX(Fin_Curve,1,10))-L3465-L3465*Fin_ExitFee)</f>
        <v>0</v>
      </c>
    </row>
    <row r="3769" customFormat="false" ht="15" hidden="false" customHeight="false" outlineLevel="0" collapsed="false">
      <c r="B3769" s="108" t="n">
        <f aca="false">'Loan Tape'!$A129</f>
        <v>0</v>
      </c>
      <c r="C3769" s="71" t="n">
        <f aca="false">-'Loan Tape'!$BE129</f>
        <v>-0</v>
      </c>
      <c r="D3769" s="71" t="n">
        <f aca="false">IF(1&gt;Hold_Yrs,0,D2860-IF(1&gt;Debt_Yr,0,(C3163-0.5*IF(1=Debt_Yr,0,C3466))*INDEX(Fin_Curve,1,1))-C3466-C3466*Fin_ExitFee)</f>
        <v>0</v>
      </c>
      <c r="E3769" s="71" t="n">
        <f aca="false">IF(2&gt;Hold_Yrs,0,E2860-IF(2&gt;Debt_Yr,0,(D3163-0.5*IF(2=Debt_Yr,0,D3466))*INDEX(Fin_Curve,1,2))-D3466-D3466*Fin_ExitFee)</f>
        <v>0</v>
      </c>
      <c r="F3769" s="71" t="n">
        <f aca="false">IF(3&gt;Hold_Yrs,0,F2860-IF(3&gt;Debt_Yr,0,(E3163-0.5*IF(3=Debt_Yr,0,E3466))*INDEX(Fin_Curve,1,3))-E3466-E3466*Fin_ExitFee)</f>
        <v>0</v>
      </c>
      <c r="G3769" s="71" t="n">
        <f aca="false">IF(4&gt;Hold_Yrs,0,G2860-IF(4&gt;Debt_Yr,0,(F3163-0.5*IF(4=Debt_Yr,0,F3466))*INDEX(Fin_Curve,1,4))-F3466-F3466*Fin_ExitFee)</f>
        <v>0</v>
      </c>
      <c r="H3769" s="71" t="n">
        <f aca="false">IF(5&gt;Hold_Yrs,0,H2860-IF(5&gt;Debt_Yr,0,(G3163-0.5*IF(5=Debt_Yr,0,G3466))*INDEX(Fin_Curve,1,5))-G3466-G3466*Fin_ExitFee)</f>
        <v>0</v>
      </c>
      <c r="I3769" s="71" t="n">
        <f aca="false">IF(6&gt;Hold_Yrs,0,I2860-IF(6&gt;Debt_Yr,0,(H3163-0.5*IF(6=Debt_Yr,0,H3466))*INDEX(Fin_Curve,1,6))-H3466-H3466*Fin_ExitFee)</f>
        <v>0</v>
      </c>
      <c r="J3769" s="71" t="n">
        <f aca="false">IF(7&gt;Hold_Yrs,0,J2860-IF(7&gt;Debt_Yr,0,(I3163-0.5*IF(7=Debt_Yr,0,I3466))*INDEX(Fin_Curve,1,7))-I3466-I3466*Fin_ExitFee)</f>
        <v>0</v>
      </c>
      <c r="K3769" s="71" t="n">
        <f aca="false">IF(8&gt;Hold_Yrs,0,K2860-IF(8&gt;Debt_Yr,0,(J3163-0.5*IF(8=Debt_Yr,0,J3466))*INDEX(Fin_Curve,1,8))-J3466-J3466*Fin_ExitFee)</f>
        <v>0</v>
      </c>
      <c r="L3769" s="71" t="n">
        <f aca="false">IF(9&gt;Hold_Yrs,0,L2860-IF(9&gt;Debt_Yr,0,(K3163-0.5*IF(9=Debt_Yr,0,K3466))*INDEX(Fin_Curve,1,9))-K3466-K3466*Fin_ExitFee)</f>
        <v>0</v>
      </c>
      <c r="M3769" s="71" t="n">
        <f aca="false">IF(10&gt;Hold_Yrs,0,M2860-IF(10&gt;Debt_Yr,0,(L3163-0.5*IF(10=Debt_Yr,0,L3466))*INDEX(Fin_Curve,1,10))-L3466-L3466*Fin_ExitFee)</f>
        <v>0</v>
      </c>
    </row>
    <row r="3770" customFormat="false" ht="15" hidden="false" customHeight="false" outlineLevel="0" collapsed="false">
      <c r="B3770" s="102" t="n">
        <f aca="false">'Loan Tape'!$A130</f>
        <v>0</v>
      </c>
      <c r="C3770" s="99" t="n">
        <f aca="false">-'Loan Tape'!$BE130</f>
        <v>-0</v>
      </c>
      <c r="D3770" s="99" t="n">
        <f aca="false">IF(1&gt;Hold_Yrs,0,D2861-IF(1&gt;Debt_Yr,0,(C3164-0.5*IF(1=Debt_Yr,0,C3467))*INDEX(Fin_Curve,1,1))-C3467-C3467*Fin_ExitFee)</f>
        <v>0</v>
      </c>
      <c r="E3770" s="99" t="n">
        <f aca="false">IF(2&gt;Hold_Yrs,0,E2861-IF(2&gt;Debt_Yr,0,(D3164-0.5*IF(2=Debt_Yr,0,D3467))*INDEX(Fin_Curve,1,2))-D3467-D3467*Fin_ExitFee)</f>
        <v>0</v>
      </c>
      <c r="F3770" s="99" t="n">
        <f aca="false">IF(3&gt;Hold_Yrs,0,F2861-IF(3&gt;Debt_Yr,0,(E3164-0.5*IF(3=Debt_Yr,0,E3467))*INDEX(Fin_Curve,1,3))-E3467-E3467*Fin_ExitFee)</f>
        <v>0</v>
      </c>
      <c r="G3770" s="99" t="n">
        <f aca="false">IF(4&gt;Hold_Yrs,0,G2861-IF(4&gt;Debt_Yr,0,(F3164-0.5*IF(4=Debt_Yr,0,F3467))*INDEX(Fin_Curve,1,4))-F3467-F3467*Fin_ExitFee)</f>
        <v>0</v>
      </c>
      <c r="H3770" s="99" t="n">
        <f aca="false">IF(5&gt;Hold_Yrs,0,H2861-IF(5&gt;Debt_Yr,0,(G3164-0.5*IF(5=Debt_Yr,0,G3467))*INDEX(Fin_Curve,1,5))-G3467-G3467*Fin_ExitFee)</f>
        <v>0</v>
      </c>
      <c r="I3770" s="99" t="n">
        <f aca="false">IF(6&gt;Hold_Yrs,0,I2861-IF(6&gt;Debt_Yr,0,(H3164-0.5*IF(6=Debt_Yr,0,H3467))*INDEX(Fin_Curve,1,6))-H3467-H3467*Fin_ExitFee)</f>
        <v>0</v>
      </c>
      <c r="J3770" s="99" t="n">
        <f aca="false">IF(7&gt;Hold_Yrs,0,J2861-IF(7&gt;Debt_Yr,0,(I3164-0.5*IF(7=Debt_Yr,0,I3467))*INDEX(Fin_Curve,1,7))-I3467-I3467*Fin_ExitFee)</f>
        <v>0</v>
      </c>
      <c r="K3770" s="99" t="n">
        <f aca="false">IF(8&gt;Hold_Yrs,0,K2861-IF(8&gt;Debt_Yr,0,(J3164-0.5*IF(8=Debt_Yr,0,J3467))*INDEX(Fin_Curve,1,8))-J3467-J3467*Fin_ExitFee)</f>
        <v>0</v>
      </c>
      <c r="L3770" s="99" t="n">
        <f aca="false">IF(9&gt;Hold_Yrs,0,L2861-IF(9&gt;Debt_Yr,0,(K3164-0.5*IF(9=Debt_Yr,0,K3467))*INDEX(Fin_Curve,1,9))-K3467-K3467*Fin_ExitFee)</f>
        <v>0</v>
      </c>
      <c r="M3770" s="99" t="n">
        <f aca="false">IF(10&gt;Hold_Yrs,0,M2861-IF(10&gt;Debt_Yr,0,(L3164-0.5*IF(10=Debt_Yr,0,L3467))*INDEX(Fin_Curve,1,10))-L3467-L3467*Fin_ExitFee)</f>
        <v>0</v>
      </c>
    </row>
    <row r="3771" customFormat="false" ht="15" hidden="false" customHeight="false" outlineLevel="0" collapsed="false">
      <c r="B3771" s="108" t="n">
        <f aca="false">'Loan Tape'!$A131</f>
        <v>0</v>
      </c>
      <c r="C3771" s="71" t="n">
        <f aca="false">-'Loan Tape'!$BE131</f>
        <v>-0</v>
      </c>
      <c r="D3771" s="71" t="n">
        <f aca="false">IF(1&gt;Hold_Yrs,0,D2862-IF(1&gt;Debt_Yr,0,(C3165-0.5*IF(1=Debt_Yr,0,C3468))*INDEX(Fin_Curve,1,1))-C3468-C3468*Fin_ExitFee)</f>
        <v>0</v>
      </c>
      <c r="E3771" s="71" t="n">
        <f aca="false">IF(2&gt;Hold_Yrs,0,E2862-IF(2&gt;Debt_Yr,0,(D3165-0.5*IF(2=Debt_Yr,0,D3468))*INDEX(Fin_Curve,1,2))-D3468-D3468*Fin_ExitFee)</f>
        <v>0</v>
      </c>
      <c r="F3771" s="71" t="n">
        <f aca="false">IF(3&gt;Hold_Yrs,0,F2862-IF(3&gt;Debt_Yr,0,(E3165-0.5*IF(3=Debt_Yr,0,E3468))*INDEX(Fin_Curve,1,3))-E3468-E3468*Fin_ExitFee)</f>
        <v>0</v>
      </c>
      <c r="G3771" s="71" t="n">
        <f aca="false">IF(4&gt;Hold_Yrs,0,G2862-IF(4&gt;Debt_Yr,0,(F3165-0.5*IF(4=Debt_Yr,0,F3468))*INDEX(Fin_Curve,1,4))-F3468-F3468*Fin_ExitFee)</f>
        <v>0</v>
      </c>
      <c r="H3771" s="71" t="n">
        <f aca="false">IF(5&gt;Hold_Yrs,0,H2862-IF(5&gt;Debt_Yr,0,(G3165-0.5*IF(5=Debt_Yr,0,G3468))*INDEX(Fin_Curve,1,5))-G3468-G3468*Fin_ExitFee)</f>
        <v>0</v>
      </c>
      <c r="I3771" s="71" t="n">
        <f aca="false">IF(6&gt;Hold_Yrs,0,I2862-IF(6&gt;Debt_Yr,0,(H3165-0.5*IF(6=Debt_Yr,0,H3468))*INDEX(Fin_Curve,1,6))-H3468-H3468*Fin_ExitFee)</f>
        <v>0</v>
      </c>
      <c r="J3771" s="71" t="n">
        <f aca="false">IF(7&gt;Hold_Yrs,0,J2862-IF(7&gt;Debt_Yr,0,(I3165-0.5*IF(7=Debt_Yr,0,I3468))*INDEX(Fin_Curve,1,7))-I3468-I3468*Fin_ExitFee)</f>
        <v>0</v>
      </c>
      <c r="K3771" s="71" t="n">
        <f aca="false">IF(8&gt;Hold_Yrs,0,K2862-IF(8&gt;Debt_Yr,0,(J3165-0.5*IF(8=Debt_Yr,0,J3468))*INDEX(Fin_Curve,1,8))-J3468-J3468*Fin_ExitFee)</f>
        <v>0</v>
      </c>
      <c r="L3771" s="71" t="n">
        <f aca="false">IF(9&gt;Hold_Yrs,0,L2862-IF(9&gt;Debt_Yr,0,(K3165-0.5*IF(9=Debt_Yr,0,K3468))*INDEX(Fin_Curve,1,9))-K3468-K3468*Fin_ExitFee)</f>
        <v>0</v>
      </c>
      <c r="M3771" s="71" t="n">
        <f aca="false">IF(10&gt;Hold_Yrs,0,M2862-IF(10&gt;Debt_Yr,0,(L3165-0.5*IF(10=Debt_Yr,0,L3468))*INDEX(Fin_Curve,1,10))-L3468-L3468*Fin_ExitFee)</f>
        <v>0</v>
      </c>
    </row>
    <row r="3772" customFormat="false" ht="15" hidden="false" customHeight="false" outlineLevel="0" collapsed="false">
      <c r="B3772" s="102" t="n">
        <f aca="false">'Loan Tape'!$A132</f>
        <v>0</v>
      </c>
      <c r="C3772" s="99" t="n">
        <f aca="false">-'Loan Tape'!$BE132</f>
        <v>-0</v>
      </c>
      <c r="D3772" s="99" t="n">
        <f aca="false">IF(1&gt;Hold_Yrs,0,D2863-IF(1&gt;Debt_Yr,0,(C3166-0.5*IF(1=Debt_Yr,0,C3469))*INDEX(Fin_Curve,1,1))-C3469-C3469*Fin_ExitFee)</f>
        <v>0</v>
      </c>
      <c r="E3772" s="99" t="n">
        <f aca="false">IF(2&gt;Hold_Yrs,0,E2863-IF(2&gt;Debt_Yr,0,(D3166-0.5*IF(2=Debt_Yr,0,D3469))*INDEX(Fin_Curve,1,2))-D3469-D3469*Fin_ExitFee)</f>
        <v>0</v>
      </c>
      <c r="F3772" s="99" t="n">
        <f aca="false">IF(3&gt;Hold_Yrs,0,F2863-IF(3&gt;Debt_Yr,0,(E3166-0.5*IF(3=Debt_Yr,0,E3469))*INDEX(Fin_Curve,1,3))-E3469-E3469*Fin_ExitFee)</f>
        <v>0</v>
      </c>
      <c r="G3772" s="99" t="n">
        <f aca="false">IF(4&gt;Hold_Yrs,0,G2863-IF(4&gt;Debt_Yr,0,(F3166-0.5*IF(4=Debt_Yr,0,F3469))*INDEX(Fin_Curve,1,4))-F3469-F3469*Fin_ExitFee)</f>
        <v>0</v>
      </c>
      <c r="H3772" s="99" t="n">
        <f aca="false">IF(5&gt;Hold_Yrs,0,H2863-IF(5&gt;Debt_Yr,0,(G3166-0.5*IF(5=Debt_Yr,0,G3469))*INDEX(Fin_Curve,1,5))-G3469-G3469*Fin_ExitFee)</f>
        <v>0</v>
      </c>
      <c r="I3772" s="99" t="n">
        <f aca="false">IF(6&gt;Hold_Yrs,0,I2863-IF(6&gt;Debt_Yr,0,(H3166-0.5*IF(6=Debt_Yr,0,H3469))*INDEX(Fin_Curve,1,6))-H3469-H3469*Fin_ExitFee)</f>
        <v>0</v>
      </c>
      <c r="J3772" s="99" t="n">
        <f aca="false">IF(7&gt;Hold_Yrs,0,J2863-IF(7&gt;Debt_Yr,0,(I3166-0.5*IF(7=Debt_Yr,0,I3469))*INDEX(Fin_Curve,1,7))-I3469-I3469*Fin_ExitFee)</f>
        <v>0</v>
      </c>
      <c r="K3772" s="99" t="n">
        <f aca="false">IF(8&gt;Hold_Yrs,0,K2863-IF(8&gt;Debt_Yr,0,(J3166-0.5*IF(8=Debt_Yr,0,J3469))*INDEX(Fin_Curve,1,8))-J3469-J3469*Fin_ExitFee)</f>
        <v>0</v>
      </c>
      <c r="L3772" s="99" t="n">
        <f aca="false">IF(9&gt;Hold_Yrs,0,L2863-IF(9&gt;Debt_Yr,0,(K3166-0.5*IF(9=Debt_Yr,0,K3469))*INDEX(Fin_Curve,1,9))-K3469-K3469*Fin_ExitFee)</f>
        <v>0</v>
      </c>
      <c r="M3772" s="99" t="n">
        <f aca="false">IF(10&gt;Hold_Yrs,0,M2863-IF(10&gt;Debt_Yr,0,(L3166-0.5*IF(10=Debt_Yr,0,L3469))*INDEX(Fin_Curve,1,10))-L3469-L3469*Fin_ExitFee)</f>
        <v>0</v>
      </c>
    </row>
    <row r="3773" customFormat="false" ht="15" hidden="false" customHeight="false" outlineLevel="0" collapsed="false">
      <c r="B3773" s="108" t="n">
        <f aca="false">'Loan Tape'!$A133</f>
        <v>0</v>
      </c>
      <c r="C3773" s="71" t="n">
        <f aca="false">-'Loan Tape'!$BE133</f>
        <v>-0</v>
      </c>
      <c r="D3773" s="71" t="n">
        <f aca="false">IF(1&gt;Hold_Yrs,0,D2864-IF(1&gt;Debt_Yr,0,(C3167-0.5*IF(1=Debt_Yr,0,C3470))*INDEX(Fin_Curve,1,1))-C3470-C3470*Fin_ExitFee)</f>
        <v>0</v>
      </c>
      <c r="E3773" s="71" t="n">
        <f aca="false">IF(2&gt;Hold_Yrs,0,E2864-IF(2&gt;Debt_Yr,0,(D3167-0.5*IF(2=Debt_Yr,0,D3470))*INDEX(Fin_Curve,1,2))-D3470-D3470*Fin_ExitFee)</f>
        <v>0</v>
      </c>
      <c r="F3773" s="71" t="n">
        <f aca="false">IF(3&gt;Hold_Yrs,0,F2864-IF(3&gt;Debt_Yr,0,(E3167-0.5*IF(3=Debt_Yr,0,E3470))*INDEX(Fin_Curve,1,3))-E3470-E3470*Fin_ExitFee)</f>
        <v>0</v>
      </c>
      <c r="G3773" s="71" t="n">
        <f aca="false">IF(4&gt;Hold_Yrs,0,G2864-IF(4&gt;Debt_Yr,0,(F3167-0.5*IF(4=Debt_Yr,0,F3470))*INDEX(Fin_Curve,1,4))-F3470-F3470*Fin_ExitFee)</f>
        <v>0</v>
      </c>
      <c r="H3773" s="71" t="n">
        <f aca="false">IF(5&gt;Hold_Yrs,0,H2864-IF(5&gt;Debt_Yr,0,(G3167-0.5*IF(5=Debt_Yr,0,G3470))*INDEX(Fin_Curve,1,5))-G3470-G3470*Fin_ExitFee)</f>
        <v>0</v>
      </c>
      <c r="I3773" s="71" t="n">
        <f aca="false">IF(6&gt;Hold_Yrs,0,I2864-IF(6&gt;Debt_Yr,0,(H3167-0.5*IF(6=Debt_Yr,0,H3470))*INDEX(Fin_Curve,1,6))-H3470-H3470*Fin_ExitFee)</f>
        <v>0</v>
      </c>
      <c r="J3773" s="71" t="n">
        <f aca="false">IF(7&gt;Hold_Yrs,0,J2864-IF(7&gt;Debt_Yr,0,(I3167-0.5*IF(7=Debt_Yr,0,I3470))*INDEX(Fin_Curve,1,7))-I3470-I3470*Fin_ExitFee)</f>
        <v>0</v>
      </c>
      <c r="K3773" s="71" t="n">
        <f aca="false">IF(8&gt;Hold_Yrs,0,K2864-IF(8&gt;Debt_Yr,0,(J3167-0.5*IF(8=Debt_Yr,0,J3470))*INDEX(Fin_Curve,1,8))-J3470-J3470*Fin_ExitFee)</f>
        <v>0</v>
      </c>
      <c r="L3773" s="71" t="n">
        <f aca="false">IF(9&gt;Hold_Yrs,0,L2864-IF(9&gt;Debt_Yr,0,(K3167-0.5*IF(9=Debt_Yr,0,K3470))*INDEX(Fin_Curve,1,9))-K3470-K3470*Fin_ExitFee)</f>
        <v>0</v>
      </c>
      <c r="M3773" s="71" t="n">
        <f aca="false">IF(10&gt;Hold_Yrs,0,M2864-IF(10&gt;Debt_Yr,0,(L3167-0.5*IF(10=Debt_Yr,0,L3470))*INDEX(Fin_Curve,1,10))-L3470-L3470*Fin_ExitFee)</f>
        <v>0</v>
      </c>
    </row>
    <row r="3774" customFormat="false" ht="15" hidden="false" customHeight="false" outlineLevel="0" collapsed="false">
      <c r="B3774" s="102" t="n">
        <f aca="false">'Loan Tape'!$A134</f>
        <v>0</v>
      </c>
      <c r="C3774" s="99" t="n">
        <f aca="false">-'Loan Tape'!$BE134</f>
        <v>-0</v>
      </c>
      <c r="D3774" s="99" t="n">
        <f aca="false">IF(1&gt;Hold_Yrs,0,D2865-IF(1&gt;Debt_Yr,0,(C3168-0.5*IF(1=Debt_Yr,0,C3471))*INDEX(Fin_Curve,1,1))-C3471-C3471*Fin_ExitFee)</f>
        <v>0</v>
      </c>
      <c r="E3774" s="99" t="n">
        <f aca="false">IF(2&gt;Hold_Yrs,0,E2865-IF(2&gt;Debt_Yr,0,(D3168-0.5*IF(2=Debt_Yr,0,D3471))*INDEX(Fin_Curve,1,2))-D3471-D3471*Fin_ExitFee)</f>
        <v>0</v>
      </c>
      <c r="F3774" s="99" t="n">
        <f aca="false">IF(3&gt;Hold_Yrs,0,F2865-IF(3&gt;Debt_Yr,0,(E3168-0.5*IF(3=Debt_Yr,0,E3471))*INDEX(Fin_Curve,1,3))-E3471-E3471*Fin_ExitFee)</f>
        <v>0</v>
      </c>
      <c r="G3774" s="99" t="n">
        <f aca="false">IF(4&gt;Hold_Yrs,0,G2865-IF(4&gt;Debt_Yr,0,(F3168-0.5*IF(4=Debt_Yr,0,F3471))*INDEX(Fin_Curve,1,4))-F3471-F3471*Fin_ExitFee)</f>
        <v>0</v>
      </c>
      <c r="H3774" s="99" t="n">
        <f aca="false">IF(5&gt;Hold_Yrs,0,H2865-IF(5&gt;Debt_Yr,0,(G3168-0.5*IF(5=Debt_Yr,0,G3471))*INDEX(Fin_Curve,1,5))-G3471-G3471*Fin_ExitFee)</f>
        <v>0</v>
      </c>
      <c r="I3774" s="99" t="n">
        <f aca="false">IF(6&gt;Hold_Yrs,0,I2865-IF(6&gt;Debt_Yr,0,(H3168-0.5*IF(6=Debt_Yr,0,H3471))*INDEX(Fin_Curve,1,6))-H3471-H3471*Fin_ExitFee)</f>
        <v>0</v>
      </c>
      <c r="J3774" s="99" t="n">
        <f aca="false">IF(7&gt;Hold_Yrs,0,J2865-IF(7&gt;Debt_Yr,0,(I3168-0.5*IF(7=Debt_Yr,0,I3471))*INDEX(Fin_Curve,1,7))-I3471-I3471*Fin_ExitFee)</f>
        <v>0</v>
      </c>
      <c r="K3774" s="99" t="n">
        <f aca="false">IF(8&gt;Hold_Yrs,0,K2865-IF(8&gt;Debt_Yr,0,(J3168-0.5*IF(8=Debt_Yr,0,J3471))*INDEX(Fin_Curve,1,8))-J3471-J3471*Fin_ExitFee)</f>
        <v>0</v>
      </c>
      <c r="L3774" s="99" t="n">
        <f aca="false">IF(9&gt;Hold_Yrs,0,L2865-IF(9&gt;Debt_Yr,0,(K3168-0.5*IF(9=Debt_Yr,0,K3471))*INDEX(Fin_Curve,1,9))-K3471-K3471*Fin_ExitFee)</f>
        <v>0</v>
      </c>
      <c r="M3774" s="99" t="n">
        <f aca="false">IF(10&gt;Hold_Yrs,0,M2865-IF(10&gt;Debt_Yr,0,(L3168-0.5*IF(10=Debt_Yr,0,L3471))*INDEX(Fin_Curve,1,10))-L3471-L3471*Fin_ExitFee)</f>
        <v>0</v>
      </c>
    </row>
    <row r="3775" customFormat="false" ht="15" hidden="false" customHeight="false" outlineLevel="0" collapsed="false">
      <c r="B3775" s="108" t="n">
        <f aca="false">'Loan Tape'!$A135</f>
        <v>0</v>
      </c>
      <c r="C3775" s="71" t="n">
        <f aca="false">-'Loan Tape'!$BE135</f>
        <v>-0</v>
      </c>
      <c r="D3775" s="71" t="n">
        <f aca="false">IF(1&gt;Hold_Yrs,0,D2866-IF(1&gt;Debt_Yr,0,(C3169-0.5*IF(1=Debt_Yr,0,C3472))*INDEX(Fin_Curve,1,1))-C3472-C3472*Fin_ExitFee)</f>
        <v>0</v>
      </c>
      <c r="E3775" s="71" t="n">
        <f aca="false">IF(2&gt;Hold_Yrs,0,E2866-IF(2&gt;Debt_Yr,0,(D3169-0.5*IF(2=Debt_Yr,0,D3472))*INDEX(Fin_Curve,1,2))-D3472-D3472*Fin_ExitFee)</f>
        <v>0</v>
      </c>
      <c r="F3775" s="71" t="n">
        <f aca="false">IF(3&gt;Hold_Yrs,0,F2866-IF(3&gt;Debt_Yr,0,(E3169-0.5*IF(3=Debt_Yr,0,E3472))*INDEX(Fin_Curve,1,3))-E3472-E3472*Fin_ExitFee)</f>
        <v>0</v>
      </c>
      <c r="G3775" s="71" t="n">
        <f aca="false">IF(4&gt;Hold_Yrs,0,G2866-IF(4&gt;Debt_Yr,0,(F3169-0.5*IF(4=Debt_Yr,0,F3472))*INDEX(Fin_Curve,1,4))-F3472-F3472*Fin_ExitFee)</f>
        <v>0</v>
      </c>
      <c r="H3775" s="71" t="n">
        <f aca="false">IF(5&gt;Hold_Yrs,0,H2866-IF(5&gt;Debt_Yr,0,(G3169-0.5*IF(5=Debt_Yr,0,G3472))*INDEX(Fin_Curve,1,5))-G3472-G3472*Fin_ExitFee)</f>
        <v>0</v>
      </c>
      <c r="I3775" s="71" t="n">
        <f aca="false">IF(6&gt;Hold_Yrs,0,I2866-IF(6&gt;Debt_Yr,0,(H3169-0.5*IF(6=Debt_Yr,0,H3472))*INDEX(Fin_Curve,1,6))-H3472-H3472*Fin_ExitFee)</f>
        <v>0</v>
      </c>
      <c r="J3775" s="71" t="n">
        <f aca="false">IF(7&gt;Hold_Yrs,0,J2866-IF(7&gt;Debt_Yr,0,(I3169-0.5*IF(7=Debt_Yr,0,I3472))*INDEX(Fin_Curve,1,7))-I3472-I3472*Fin_ExitFee)</f>
        <v>0</v>
      </c>
      <c r="K3775" s="71" t="n">
        <f aca="false">IF(8&gt;Hold_Yrs,0,K2866-IF(8&gt;Debt_Yr,0,(J3169-0.5*IF(8=Debt_Yr,0,J3472))*INDEX(Fin_Curve,1,8))-J3472-J3472*Fin_ExitFee)</f>
        <v>0</v>
      </c>
      <c r="L3775" s="71" t="n">
        <f aca="false">IF(9&gt;Hold_Yrs,0,L2866-IF(9&gt;Debt_Yr,0,(K3169-0.5*IF(9=Debt_Yr,0,K3472))*INDEX(Fin_Curve,1,9))-K3472-K3472*Fin_ExitFee)</f>
        <v>0</v>
      </c>
      <c r="M3775" s="71" t="n">
        <f aca="false">IF(10&gt;Hold_Yrs,0,M2866-IF(10&gt;Debt_Yr,0,(L3169-0.5*IF(10=Debt_Yr,0,L3472))*INDEX(Fin_Curve,1,10))-L3472-L3472*Fin_ExitFee)</f>
        <v>0</v>
      </c>
    </row>
    <row r="3776" customFormat="false" ht="15" hidden="false" customHeight="false" outlineLevel="0" collapsed="false">
      <c r="B3776" s="102" t="n">
        <f aca="false">'Loan Tape'!$A136</f>
        <v>0</v>
      </c>
      <c r="C3776" s="99" t="n">
        <f aca="false">-'Loan Tape'!$BE136</f>
        <v>-0</v>
      </c>
      <c r="D3776" s="99" t="n">
        <f aca="false">IF(1&gt;Hold_Yrs,0,D2867-IF(1&gt;Debt_Yr,0,(C3170-0.5*IF(1=Debt_Yr,0,C3473))*INDEX(Fin_Curve,1,1))-C3473-C3473*Fin_ExitFee)</f>
        <v>0</v>
      </c>
      <c r="E3776" s="99" t="n">
        <f aca="false">IF(2&gt;Hold_Yrs,0,E2867-IF(2&gt;Debt_Yr,0,(D3170-0.5*IF(2=Debt_Yr,0,D3473))*INDEX(Fin_Curve,1,2))-D3473-D3473*Fin_ExitFee)</f>
        <v>0</v>
      </c>
      <c r="F3776" s="99" t="n">
        <f aca="false">IF(3&gt;Hold_Yrs,0,F2867-IF(3&gt;Debt_Yr,0,(E3170-0.5*IF(3=Debt_Yr,0,E3473))*INDEX(Fin_Curve,1,3))-E3473-E3473*Fin_ExitFee)</f>
        <v>0</v>
      </c>
      <c r="G3776" s="99" t="n">
        <f aca="false">IF(4&gt;Hold_Yrs,0,G2867-IF(4&gt;Debt_Yr,0,(F3170-0.5*IF(4=Debt_Yr,0,F3473))*INDEX(Fin_Curve,1,4))-F3473-F3473*Fin_ExitFee)</f>
        <v>0</v>
      </c>
      <c r="H3776" s="99" t="n">
        <f aca="false">IF(5&gt;Hold_Yrs,0,H2867-IF(5&gt;Debt_Yr,0,(G3170-0.5*IF(5=Debt_Yr,0,G3473))*INDEX(Fin_Curve,1,5))-G3473-G3473*Fin_ExitFee)</f>
        <v>0</v>
      </c>
      <c r="I3776" s="99" t="n">
        <f aca="false">IF(6&gt;Hold_Yrs,0,I2867-IF(6&gt;Debt_Yr,0,(H3170-0.5*IF(6=Debt_Yr,0,H3473))*INDEX(Fin_Curve,1,6))-H3473-H3473*Fin_ExitFee)</f>
        <v>0</v>
      </c>
      <c r="J3776" s="99" t="n">
        <f aca="false">IF(7&gt;Hold_Yrs,0,J2867-IF(7&gt;Debt_Yr,0,(I3170-0.5*IF(7=Debt_Yr,0,I3473))*INDEX(Fin_Curve,1,7))-I3473-I3473*Fin_ExitFee)</f>
        <v>0</v>
      </c>
      <c r="K3776" s="99" t="n">
        <f aca="false">IF(8&gt;Hold_Yrs,0,K2867-IF(8&gt;Debt_Yr,0,(J3170-0.5*IF(8=Debt_Yr,0,J3473))*INDEX(Fin_Curve,1,8))-J3473-J3473*Fin_ExitFee)</f>
        <v>0</v>
      </c>
      <c r="L3776" s="99" t="n">
        <f aca="false">IF(9&gt;Hold_Yrs,0,L2867-IF(9&gt;Debt_Yr,0,(K3170-0.5*IF(9=Debt_Yr,0,K3473))*INDEX(Fin_Curve,1,9))-K3473-K3473*Fin_ExitFee)</f>
        <v>0</v>
      </c>
      <c r="M3776" s="99" t="n">
        <f aca="false">IF(10&gt;Hold_Yrs,0,M2867-IF(10&gt;Debt_Yr,0,(L3170-0.5*IF(10=Debt_Yr,0,L3473))*INDEX(Fin_Curve,1,10))-L3473-L3473*Fin_ExitFee)</f>
        <v>0</v>
      </c>
    </row>
    <row r="3777" customFormat="false" ht="15" hidden="false" customHeight="false" outlineLevel="0" collapsed="false">
      <c r="B3777" s="108" t="n">
        <f aca="false">'Loan Tape'!$A137</f>
        <v>0</v>
      </c>
      <c r="C3777" s="71" t="n">
        <f aca="false">-'Loan Tape'!$BE137</f>
        <v>-0</v>
      </c>
      <c r="D3777" s="71" t="n">
        <f aca="false">IF(1&gt;Hold_Yrs,0,D2868-IF(1&gt;Debt_Yr,0,(C3171-0.5*IF(1=Debt_Yr,0,C3474))*INDEX(Fin_Curve,1,1))-C3474-C3474*Fin_ExitFee)</f>
        <v>0</v>
      </c>
      <c r="E3777" s="71" t="n">
        <f aca="false">IF(2&gt;Hold_Yrs,0,E2868-IF(2&gt;Debt_Yr,0,(D3171-0.5*IF(2=Debt_Yr,0,D3474))*INDEX(Fin_Curve,1,2))-D3474-D3474*Fin_ExitFee)</f>
        <v>0</v>
      </c>
      <c r="F3777" s="71" t="n">
        <f aca="false">IF(3&gt;Hold_Yrs,0,F2868-IF(3&gt;Debt_Yr,0,(E3171-0.5*IF(3=Debt_Yr,0,E3474))*INDEX(Fin_Curve,1,3))-E3474-E3474*Fin_ExitFee)</f>
        <v>0</v>
      </c>
      <c r="G3777" s="71" t="n">
        <f aca="false">IF(4&gt;Hold_Yrs,0,G2868-IF(4&gt;Debt_Yr,0,(F3171-0.5*IF(4=Debt_Yr,0,F3474))*INDEX(Fin_Curve,1,4))-F3474-F3474*Fin_ExitFee)</f>
        <v>0</v>
      </c>
      <c r="H3777" s="71" t="n">
        <f aca="false">IF(5&gt;Hold_Yrs,0,H2868-IF(5&gt;Debt_Yr,0,(G3171-0.5*IF(5=Debt_Yr,0,G3474))*INDEX(Fin_Curve,1,5))-G3474-G3474*Fin_ExitFee)</f>
        <v>0</v>
      </c>
      <c r="I3777" s="71" t="n">
        <f aca="false">IF(6&gt;Hold_Yrs,0,I2868-IF(6&gt;Debt_Yr,0,(H3171-0.5*IF(6=Debt_Yr,0,H3474))*INDEX(Fin_Curve,1,6))-H3474-H3474*Fin_ExitFee)</f>
        <v>0</v>
      </c>
      <c r="J3777" s="71" t="n">
        <f aca="false">IF(7&gt;Hold_Yrs,0,J2868-IF(7&gt;Debt_Yr,0,(I3171-0.5*IF(7=Debt_Yr,0,I3474))*INDEX(Fin_Curve,1,7))-I3474-I3474*Fin_ExitFee)</f>
        <v>0</v>
      </c>
      <c r="K3777" s="71" t="n">
        <f aca="false">IF(8&gt;Hold_Yrs,0,K2868-IF(8&gt;Debt_Yr,0,(J3171-0.5*IF(8=Debt_Yr,0,J3474))*INDEX(Fin_Curve,1,8))-J3474-J3474*Fin_ExitFee)</f>
        <v>0</v>
      </c>
      <c r="L3777" s="71" t="n">
        <f aca="false">IF(9&gt;Hold_Yrs,0,L2868-IF(9&gt;Debt_Yr,0,(K3171-0.5*IF(9=Debt_Yr,0,K3474))*INDEX(Fin_Curve,1,9))-K3474-K3474*Fin_ExitFee)</f>
        <v>0</v>
      </c>
      <c r="M3777" s="71" t="n">
        <f aca="false">IF(10&gt;Hold_Yrs,0,M2868-IF(10&gt;Debt_Yr,0,(L3171-0.5*IF(10=Debt_Yr,0,L3474))*INDEX(Fin_Curve,1,10))-L3474-L3474*Fin_ExitFee)</f>
        <v>0</v>
      </c>
    </row>
    <row r="3778" customFormat="false" ht="15" hidden="false" customHeight="false" outlineLevel="0" collapsed="false">
      <c r="B3778" s="102" t="n">
        <f aca="false">'Loan Tape'!$A138</f>
        <v>0</v>
      </c>
      <c r="C3778" s="99" t="n">
        <f aca="false">-'Loan Tape'!$BE138</f>
        <v>-0</v>
      </c>
      <c r="D3778" s="99" t="n">
        <f aca="false">IF(1&gt;Hold_Yrs,0,D2869-IF(1&gt;Debt_Yr,0,(C3172-0.5*IF(1=Debt_Yr,0,C3475))*INDEX(Fin_Curve,1,1))-C3475-C3475*Fin_ExitFee)</f>
        <v>0</v>
      </c>
      <c r="E3778" s="99" t="n">
        <f aca="false">IF(2&gt;Hold_Yrs,0,E2869-IF(2&gt;Debt_Yr,0,(D3172-0.5*IF(2=Debt_Yr,0,D3475))*INDEX(Fin_Curve,1,2))-D3475-D3475*Fin_ExitFee)</f>
        <v>0</v>
      </c>
      <c r="F3778" s="99" t="n">
        <f aca="false">IF(3&gt;Hold_Yrs,0,F2869-IF(3&gt;Debt_Yr,0,(E3172-0.5*IF(3=Debt_Yr,0,E3475))*INDEX(Fin_Curve,1,3))-E3475-E3475*Fin_ExitFee)</f>
        <v>0</v>
      </c>
      <c r="G3778" s="99" t="n">
        <f aca="false">IF(4&gt;Hold_Yrs,0,G2869-IF(4&gt;Debt_Yr,0,(F3172-0.5*IF(4=Debt_Yr,0,F3475))*INDEX(Fin_Curve,1,4))-F3475-F3475*Fin_ExitFee)</f>
        <v>0</v>
      </c>
      <c r="H3778" s="99" t="n">
        <f aca="false">IF(5&gt;Hold_Yrs,0,H2869-IF(5&gt;Debt_Yr,0,(G3172-0.5*IF(5=Debt_Yr,0,G3475))*INDEX(Fin_Curve,1,5))-G3475-G3475*Fin_ExitFee)</f>
        <v>0</v>
      </c>
      <c r="I3778" s="99" t="n">
        <f aca="false">IF(6&gt;Hold_Yrs,0,I2869-IF(6&gt;Debt_Yr,0,(H3172-0.5*IF(6=Debt_Yr,0,H3475))*INDEX(Fin_Curve,1,6))-H3475-H3475*Fin_ExitFee)</f>
        <v>0</v>
      </c>
      <c r="J3778" s="99" t="n">
        <f aca="false">IF(7&gt;Hold_Yrs,0,J2869-IF(7&gt;Debt_Yr,0,(I3172-0.5*IF(7=Debt_Yr,0,I3475))*INDEX(Fin_Curve,1,7))-I3475-I3475*Fin_ExitFee)</f>
        <v>0</v>
      </c>
      <c r="K3778" s="99" t="n">
        <f aca="false">IF(8&gt;Hold_Yrs,0,K2869-IF(8&gt;Debt_Yr,0,(J3172-0.5*IF(8=Debt_Yr,0,J3475))*INDEX(Fin_Curve,1,8))-J3475-J3475*Fin_ExitFee)</f>
        <v>0</v>
      </c>
      <c r="L3778" s="99" t="n">
        <f aca="false">IF(9&gt;Hold_Yrs,0,L2869-IF(9&gt;Debt_Yr,0,(K3172-0.5*IF(9=Debt_Yr,0,K3475))*INDEX(Fin_Curve,1,9))-K3475-K3475*Fin_ExitFee)</f>
        <v>0</v>
      </c>
      <c r="M3778" s="99" t="n">
        <f aca="false">IF(10&gt;Hold_Yrs,0,M2869-IF(10&gt;Debt_Yr,0,(L3172-0.5*IF(10=Debt_Yr,0,L3475))*INDEX(Fin_Curve,1,10))-L3475-L3475*Fin_ExitFee)</f>
        <v>0</v>
      </c>
    </row>
    <row r="3779" customFormat="false" ht="15" hidden="false" customHeight="false" outlineLevel="0" collapsed="false">
      <c r="B3779" s="108" t="n">
        <f aca="false">'Loan Tape'!$A139</f>
        <v>0</v>
      </c>
      <c r="C3779" s="71" t="n">
        <f aca="false">-'Loan Tape'!$BE139</f>
        <v>-0</v>
      </c>
      <c r="D3779" s="71" t="n">
        <f aca="false">IF(1&gt;Hold_Yrs,0,D2870-IF(1&gt;Debt_Yr,0,(C3173-0.5*IF(1=Debt_Yr,0,C3476))*INDEX(Fin_Curve,1,1))-C3476-C3476*Fin_ExitFee)</f>
        <v>0</v>
      </c>
      <c r="E3779" s="71" t="n">
        <f aca="false">IF(2&gt;Hold_Yrs,0,E2870-IF(2&gt;Debt_Yr,0,(D3173-0.5*IF(2=Debt_Yr,0,D3476))*INDEX(Fin_Curve,1,2))-D3476-D3476*Fin_ExitFee)</f>
        <v>0</v>
      </c>
      <c r="F3779" s="71" t="n">
        <f aca="false">IF(3&gt;Hold_Yrs,0,F2870-IF(3&gt;Debt_Yr,0,(E3173-0.5*IF(3=Debt_Yr,0,E3476))*INDEX(Fin_Curve,1,3))-E3476-E3476*Fin_ExitFee)</f>
        <v>0</v>
      </c>
      <c r="G3779" s="71" t="n">
        <f aca="false">IF(4&gt;Hold_Yrs,0,G2870-IF(4&gt;Debt_Yr,0,(F3173-0.5*IF(4=Debt_Yr,0,F3476))*INDEX(Fin_Curve,1,4))-F3476-F3476*Fin_ExitFee)</f>
        <v>0</v>
      </c>
      <c r="H3779" s="71" t="n">
        <f aca="false">IF(5&gt;Hold_Yrs,0,H2870-IF(5&gt;Debt_Yr,0,(G3173-0.5*IF(5=Debt_Yr,0,G3476))*INDEX(Fin_Curve,1,5))-G3476-G3476*Fin_ExitFee)</f>
        <v>0</v>
      </c>
      <c r="I3779" s="71" t="n">
        <f aca="false">IF(6&gt;Hold_Yrs,0,I2870-IF(6&gt;Debt_Yr,0,(H3173-0.5*IF(6=Debt_Yr,0,H3476))*INDEX(Fin_Curve,1,6))-H3476-H3476*Fin_ExitFee)</f>
        <v>0</v>
      </c>
      <c r="J3779" s="71" t="n">
        <f aca="false">IF(7&gt;Hold_Yrs,0,J2870-IF(7&gt;Debt_Yr,0,(I3173-0.5*IF(7=Debt_Yr,0,I3476))*INDEX(Fin_Curve,1,7))-I3476-I3476*Fin_ExitFee)</f>
        <v>0</v>
      </c>
      <c r="K3779" s="71" t="n">
        <f aca="false">IF(8&gt;Hold_Yrs,0,K2870-IF(8&gt;Debt_Yr,0,(J3173-0.5*IF(8=Debt_Yr,0,J3476))*INDEX(Fin_Curve,1,8))-J3476-J3476*Fin_ExitFee)</f>
        <v>0</v>
      </c>
      <c r="L3779" s="71" t="n">
        <f aca="false">IF(9&gt;Hold_Yrs,0,L2870-IF(9&gt;Debt_Yr,0,(K3173-0.5*IF(9=Debt_Yr,0,K3476))*INDEX(Fin_Curve,1,9))-K3476-K3476*Fin_ExitFee)</f>
        <v>0</v>
      </c>
      <c r="M3779" s="71" t="n">
        <f aca="false">IF(10&gt;Hold_Yrs,0,M2870-IF(10&gt;Debt_Yr,0,(L3173-0.5*IF(10=Debt_Yr,0,L3476))*INDEX(Fin_Curve,1,10))-L3476-L3476*Fin_ExitFee)</f>
        <v>0</v>
      </c>
    </row>
    <row r="3780" customFormat="false" ht="15" hidden="false" customHeight="false" outlineLevel="0" collapsed="false">
      <c r="B3780" s="102" t="n">
        <f aca="false">'Loan Tape'!$A140</f>
        <v>0</v>
      </c>
      <c r="C3780" s="99" t="n">
        <f aca="false">-'Loan Tape'!$BE140</f>
        <v>-0</v>
      </c>
      <c r="D3780" s="99" t="n">
        <f aca="false">IF(1&gt;Hold_Yrs,0,D2871-IF(1&gt;Debt_Yr,0,(C3174-0.5*IF(1=Debt_Yr,0,C3477))*INDEX(Fin_Curve,1,1))-C3477-C3477*Fin_ExitFee)</f>
        <v>0</v>
      </c>
      <c r="E3780" s="99" t="n">
        <f aca="false">IF(2&gt;Hold_Yrs,0,E2871-IF(2&gt;Debt_Yr,0,(D3174-0.5*IF(2=Debt_Yr,0,D3477))*INDEX(Fin_Curve,1,2))-D3477-D3477*Fin_ExitFee)</f>
        <v>0</v>
      </c>
      <c r="F3780" s="99" t="n">
        <f aca="false">IF(3&gt;Hold_Yrs,0,F2871-IF(3&gt;Debt_Yr,0,(E3174-0.5*IF(3=Debt_Yr,0,E3477))*INDEX(Fin_Curve,1,3))-E3477-E3477*Fin_ExitFee)</f>
        <v>0</v>
      </c>
      <c r="G3780" s="99" t="n">
        <f aca="false">IF(4&gt;Hold_Yrs,0,G2871-IF(4&gt;Debt_Yr,0,(F3174-0.5*IF(4=Debt_Yr,0,F3477))*INDEX(Fin_Curve,1,4))-F3477-F3477*Fin_ExitFee)</f>
        <v>0</v>
      </c>
      <c r="H3780" s="99" t="n">
        <f aca="false">IF(5&gt;Hold_Yrs,0,H2871-IF(5&gt;Debt_Yr,0,(G3174-0.5*IF(5=Debt_Yr,0,G3477))*INDEX(Fin_Curve,1,5))-G3477-G3477*Fin_ExitFee)</f>
        <v>0</v>
      </c>
      <c r="I3780" s="99" t="n">
        <f aca="false">IF(6&gt;Hold_Yrs,0,I2871-IF(6&gt;Debt_Yr,0,(H3174-0.5*IF(6=Debt_Yr,0,H3477))*INDEX(Fin_Curve,1,6))-H3477-H3477*Fin_ExitFee)</f>
        <v>0</v>
      </c>
      <c r="J3780" s="99" t="n">
        <f aca="false">IF(7&gt;Hold_Yrs,0,J2871-IF(7&gt;Debt_Yr,0,(I3174-0.5*IF(7=Debt_Yr,0,I3477))*INDEX(Fin_Curve,1,7))-I3477-I3477*Fin_ExitFee)</f>
        <v>0</v>
      </c>
      <c r="K3780" s="99" t="n">
        <f aca="false">IF(8&gt;Hold_Yrs,0,K2871-IF(8&gt;Debt_Yr,0,(J3174-0.5*IF(8=Debt_Yr,0,J3477))*INDEX(Fin_Curve,1,8))-J3477-J3477*Fin_ExitFee)</f>
        <v>0</v>
      </c>
      <c r="L3780" s="99" t="n">
        <f aca="false">IF(9&gt;Hold_Yrs,0,L2871-IF(9&gt;Debt_Yr,0,(K3174-0.5*IF(9=Debt_Yr,0,K3477))*INDEX(Fin_Curve,1,9))-K3477-K3477*Fin_ExitFee)</f>
        <v>0</v>
      </c>
      <c r="M3780" s="99" t="n">
        <f aca="false">IF(10&gt;Hold_Yrs,0,M2871-IF(10&gt;Debt_Yr,0,(L3174-0.5*IF(10=Debt_Yr,0,L3477))*INDEX(Fin_Curve,1,10))-L3477-L3477*Fin_ExitFee)</f>
        <v>0</v>
      </c>
    </row>
    <row r="3781" customFormat="false" ht="15" hidden="false" customHeight="false" outlineLevel="0" collapsed="false">
      <c r="B3781" s="108" t="n">
        <f aca="false">'Loan Tape'!$A141</f>
        <v>0</v>
      </c>
      <c r="C3781" s="71" t="n">
        <f aca="false">-'Loan Tape'!$BE141</f>
        <v>-0</v>
      </c>
      <c r="D3781" s="71" t="n">
        <f aca="false">IF(1&gt;Hold_Yrs,0,D2872-IF(1&gt;Debt_Yr,0,(C3175-0.5*IF(1=Debt_Yr,0,C3478))*INDEX(Fin_Curve,1,1))-C3478-C3478*Fin_ExitFee)</f>
        <v>0</v>
      </c>
      <c r="E3781" s="71" t="n">
        <f aca="false">IF(2&gt;Hold_Yrs,0,E2872-IF(2&gt;Debt_Yr,0,(D3175-0.5*IF(2=Debt_Yr,0,D3478))*INDEX(Fin_Curve,1,2))-D3478-D3478*Fin_ExitFee)</f>
        <v>0</v>
      </c>
      <c r="F3781" s="71" t="n">
        <f aca="false">IF(3&gt;Hold_Yrs,0,F2872-IF(3&gt;Debt_Yr,0,(E3175-0.5*IF(3=Debt_Yr,0,E3478))*INDEX(Fin_Curve,1,3))-E3478-E3478*Fin_ExitFee)</f>
        <v>0</v>
      </c>
      <c r="G3781" s="71" t="n">
        <f aca="false">IF(4&gt;Hold_Yrs,0,G2872-IF(4&gt;Debt_Yr,0,(F3175-0.5*IF(4=Debt_Yr,0,F3478))*INDEX(Fin_Curve,1,4))-F3478-F3478*Fin_ExitFee)</f>
        <v>0</v>
      </c>
      <c r="H3781" s="71" t="n">
        <f aca="false">IF(5&gt;Hold_Yrs,0,H2872-IF(5&gt;Debt_Yr,0,(G3175-0.5*IF(5=Debt_Yr,0,G3478))*INDEX(Fin_Curve,1,5))-G3478-G3478*Fin_ExitFee)</f>
        <v>0</v>
      </c>
      <c r="I3781" s="71" t="n">
        <f aca="false">IF(6&gt;Hold_Yrs,0,I2872-IF(6&gt;Debt_Yr,0,(H3175-0.5*IF(6=Debt_Yr,0,H3478))*INDEX(Fin_Curve,1,6))-H3478-H3478*Fin_ExitFee)</f>
        <v>0</v>
      </c>
      <c r="J3781" s="71" t="n">
        <f aca="false">IF(7&gt;Hold_Yrs,0,J2872-IF(7&gt;Debt_Yr,0,(I3175-0.5*IF(7=Debt_Yr,0,I3478))*INDEX(Fin_Curve,1,7))-I3478-I3478*Fin_ExitFee)</f>
        <v>0</v>
      </c>
      <c r="K3781" s="71" t="n">
        <f aca="false">IF(8&gt;Hold_Yrs,0,K2872-IF(8&gt;Debt_Yr,0,(J3175-0.5*IF(8=Debt_Yr,0,J3478))*INDEX(Fin_Curve,1,8))-J3478-J3478*Fin_ExitFee)</f>
        <v>0</v>
      </c>
      <c r="L3781" s="71" t="n">
        <f aca="false">IF(9&gt;Hold_Yrs,0,L2872-IF(9&gt;Debt_Yr,0,(K3175-0.5*IF(9=Debt_Yr,0,K3478))*INDEX(Fin_Curve,1,9))-K3478-K3478*Fin_ExitFee)</f>
        <v>0</v>
      </c>
      <c r="M3781" s="71" t="n">
        <f aca="false">IF(10&gt;Hold_Yrs,0,M2872-IF(10&gt;Debt_Yr,0,(L3175-0.5*IF(10=Debt_Yr,0,L3478))*INDEX(Fin_Curve,1,10))-L3478-L3478*Fin_ExitFee)</f>
        <v>0</v>
      </c>
    </row>
    <row r="3782" customFormat="false" ht="15" hidden="false" customHeight="false" outlineLevel="0" collapsed="false">
      <c r="B3782" s="102" t="n">
        <f aca="false">'Loan Tape'!$A142</f>
        <v>0</v>
      </c>
      <c r="C3782" s="99" t="n">
        <f aca="false">-'Loan Tape'!$BE142</f>
        <v>-0</v>
      </c>
      <c r="D3782" s="99" t="n">
        <f aca="false">IF(1&gt;Hold_Yrs,0,D2873-IF(1&gt;Debt_Yr,0,(C3176-0.5*IF(1=Debt_Yr,0,C3479))*INDEX(Fin_Curve,1,1))-C3479-C3479*Fin_ExitFee)</f>
        <v>0</v>
      </c>
      <c r="E3782" s="99" t="n">
        <f aca="false">IF(2&gt;Hold_Yrs,0,E2873-IF(2&gt;Debt_Yr,0,(D3176-0.5*IF(2=Debt_Yr,0,D3479))*INDEX(Fin_Curve,1,2))-D3479-D3479*Fin_ExitFee)</f>
        <v>0</v>
      </c>
      <c r="F3782" s="99" t="n">
        <f aca="false">IF(3&gt;Hold_Yrs,0,F2873-IF(3&gt;Debt_Yr,0,(E3176-0.5*IF(3=Debt_Yr,0,E3479))*INDEX(Fin_Curve,1,3))-E3479-E3479*Fin_ExitFee)</f>
        <v>0</v>
      </c>
      <c r="G3782" s="99" t="n">
        <f aca="false">IF(4&gt;Hold_Yrs,0,G2873-IF(4&gt;Debt_Yr,0,(F3176-0.5*IF(4=Debt_Yr,0,F3479))*INDEX(Fin_Curve,1,4))-F3479-F3479*Fin_ExitFee)</f>
        <v>0</v>
      </c>
      <c r="H3782" s="99" t="n">
        <f aca="false">IF(5&gt;Hold_Yrs,0,H2873-IF(5&gt;Debt_Yr,0,(G3176-0.5*IF(5=Debt_Yr,0,G3479))*INDEX(Fin_Curve,1,5))-G3479-G3479*Fin_ExitFee)</f>
        <v>0</v>
      </c>
      <c r="I3782" s="99" t="n">
        <f aca="false">IF(6&gt;Hold_Yrs,0,I2873-IF(6&gt;Debt_Yr,0,(H3176-0.5*IF(6=Debt_Yr,0,H3479))*INDEX(Fin_Curve,1,6))-H3479-H3479*Fin_ExitFee)</f>
        <v>0</v>
      </c>
      <c r="J3782" s="99" t="n">
        <f aca="false">IF(7&gt;Hold_Yrs,0,J2873-IF(7&gt;Debt_Yr,0,(I3176-0.5*IF(7=Debt_Yr,0,I3479))*INDEX(Fin_Curve,1,7))-I3479-I3479*Fin_ExitFee)</f>
        <v>0</v>
      </c>
      <c r="K3782" s="99" t="n">
        <f aca="false">IF(8&gt;Hold_Yrs,0,K2873-IF(8&gt;Debt_Yr,0,(J3176-0.5*IF(8=Debt_Yr,0,J3479))*INDEX(Fin_Curve,1,8))-J3479-J3479*Fin_ExitFee)</f>
        <v>0</v>
      </c>
      <c r="L3782" s="99" t="n">
        <f aca="false">IF(9&gt;Hold_Yrs,0,L2873-IF(9&gt;Debt_Yr,0,(K3176-0.5*IF(9=Debt_Yr,0,K3479))*INDEX(Fin_Curve,1,9))-K3479-K3479*Fin_ExitFee)</f>
        <v>0</v>
      </c>
      <c r="M3782" s="99" t="n">
        <f aca="false">IF(10&gt;Hold_Yrs,0,M2873-IF(10&gt;Debt_Yr,0,(L3176-0.5*IF(10=Debt_Yr,0,L3479))*INDEX(Fin_Curve,1,10))-L3479-L3479*Fin_ExitFee)</f>
        <v>0</v>
      </c>
    </row>
    <row r="3783" customFormat="false" ht="15" hidden="false" customHeight="false" outlineLevel="0" collapsed="false">
      <c r="B3783" s="108" t="n">
        <f aca="false">'Loan Tape'!$A143</f>
        <v>0</v>
      </c>
      <c r="C3783" s="71" t="n">
        <f aca="false">-'Loan Tape'!$BE143</f>
        <v>-0</v>
      </c>
      <c r="D3783" s="71" t="n">
        <f aca="false">IF(1&gt;Hold_Yrs,0,D2874-IF(1&gt;Debt_Yr,0,(C3177-0.5*IF(1=Debt_Yr,0,C3480))*INDEX(Fin_Curve,1,1))-C3480-C3480*Fin_ExitFee)</f>
        <v>0</v>
      </c>
      <c r="E3783" s="71" t="n">
        <f aca="false">IF(2&gt;Hold_Yrs,0,E2874-IF(2&gt;Debt_Yr,0,(D3177-0.5*IF(2=Debt_Yr,0,D3480))*INDEX(Fin_Curve,1,2))-D3480-D3480*Fin_ExitFee)</f>
        <v>0</v>
      </c>
      <c r="F3783" s="71" t="n">
        <f aca="false">IF(3&gt;Hold_Yrs,0,F2874-IF(3&gt;Debt_Yr,0,(E3177-0.5*IF(3=Debt_Yr,0,E3480))*INDEX(Fin_Curve,1,3))-E3480-E3480*Fin_ExitFee)</f>
        <v>0</v>
      </c>
      <c r="G3783" s="71" t="n">
        <f aca="false">IF(4&gt;Hold_Yrs,0,G2874-IF(4&gt;Debt_Yr,0,(F3177-0.5*IF(4=Debt_Yr,0,F3480))*INDEX(Fin_Curve,1,4))-F3480-F3480*Fin_ExitFee)</f>
        <v>0</v>
      </c>
      <c r="H3783" s="71" t="n">
        <f aca="false">IF(5&gt;Hold_Yrs,0,H2874-IF(5&gt;Debt_Yr,0,(G3177-0.5*IF(5=Debt_Yr,0,G3480))*INDEX(Fin_Curve,1,5))-G3480-G3480*Fin_ExitFee)</f>
        <v>0</v>
      </c>
      <c r="I3783" s="71" t="n">
        <f aca="false">IF(6&gt;Hold_Yrs,0,I2874-IF(6&gt;Debt_Yr,0,(H3177-0.5*IF(6=Debt_Yr,0,H3480))*INDEX(Fin_Curve,1,6))-H3480-H3480*Fin_ExitFee)</f>
        <v>0</v>
      </c>
      <c r="J3783" s="71" t="n">
        <f aca="false">IF(7&gt;Hold_Yrs,0,J2874-IF(7&gt;Debt_Yr,0,(I3177-0.5*IF(7=Debt_Yr,0,I3480))*INDEX(Fin_Curve,1,7))-I3480-I3480*Fin_ExitFee)</f>
        <v>0</v>
      </c>
      <c r="K3783" s="71" t="n">
        <f aca="false">IF(8&gt;Hold_Yrs,0,K2874-IF(8&gt;Debt_Yr,0,(J3177-0.5*IF(8=Debt_Yr,0,J3480))*INDEX(Fin_Curve,1,8))-J3480-J3480*Fin_ExitFee)</f>
        <v>0</v>
      </c>
      <c r="L3783" s="71" t="n">
        <f aca="false">IF(9&gt;Hold_Yrs,0,L2874-IF(9&gt;Debt_Yr,0,(K3177-0.5*IF(9=Debt_Yr,0,K3480))*INDEX(Fin_Curve,1,9))-K3480-K3480*Fin_ExitFee)</f>
        <v>0</v>
      </c>
      <c r="M3783" s="71" t="n">
        <f aca="false">IF(10&gt;Hold_Yrs,0,M2874-IF(10&gt;Debt_Yr,0,(L3177-0.5*IF(10=Debt_Yr,0,L3480))*INDEX(Fin_Curve,1,10))-L3480-L3480*Fin_ExitFee)</f>
        <v>0</v>
      </c>
    </row>
    <row r="3784" customFormat="false" ht="15" hidden="false" customHeight="false" outlineLevel="0" collapsed="false">
      <c r="B3784" s="102" t="n">
        <f aca="false">'Loan Tape'!$A144</f>
        <v>0</v>
      </c>
      <c r="C3784" s="99" t="n">
        <f aca="false">-'Loan Tape'!$BE144</f>
        <v>-0</v>
      </c>
      <c r="D3784" s="99" t="n">
        <f aca="false">IF(1&gt;Hold_Yrs,0,D2875-IF(1&gt;Debt_Yr,0,(C3178-0.5*IF(1=Debt_Yr,0,C3481))*INDEX(Fin_Curve,1,1))-C3481-C3481*Fin_ExitFee)</f>
        <v>0</v>
      </c>
      <c r="E3784" s="99" t="n">
        <f aca="false">IF(2&gt;Hold_Yrs,0,E2875-IF(2&gt;Debt_Yr,0,(D3178-0.5*IF(2=Debt_Yr,0,D3481))*INDEX(Fin_Curve,1,2))-D3481-D3481*Fin_ExitFee)</f>
        <v>0</v>
      </c>
      <c r="F3784" s="99" t="n">
        <f aca="false">IF(3&gt;Hold_Yrs,0,F2875-IF(3&gt;Debt_Yr,0,(E3178-0.5*IF(3=Debt_Yr,0,E3481))*INDEX(Fin_Curve,1,3))-E3481-E3481*Fin_ExitFee)</f>
        <v>0</v>
      </c>
      <c r="G3784" s="99" t="n">
        <f aca="false">IF(4&gt;Hold_Yrs,0,G2875-IF(4&gt;Debt_Yr,0,(F3178-0.5*IF(4=Debt_Yr,0,F3481))*INDEX(Fin_Curve,1,4))-F3481-F3481*Fin_ExitFee)</f>
        <v>0</v>
      </c>
      <c r="H3784" s="99" t="n">
        <f aca="false">IF(5&gt;Hold_Yrs,0,H2875-IF(5&gt;Debt_Yr,0,(G3178-0.5*IF(5=Debt_Yr,0,G3481))*INDEX(Fin_Curve,1,5))-G3481-G3481*Fin_ExitFee)</f>
        <v>0</v>
      </c>
      <c r="I3784" s="99" t="n">
        <f aca="false">IF(6&gt;Hold_Yrs,0,I2875-IF(6&gt;Debt_Yr,0,(H3178-0.5*IF(6=Debt_Yr,0,H3481))*INDEX(Fin_Curve,1,6))-H3481-H3481*Fin_ExitFee)</f>
        <v>0</v>
      </c>
      <c r="J3784" s="99" t="n">
        <f aca="false">IF(7&gt;Hold_Yrs,0,J2875-IF(7&gt;Debt_Yr,0,(I3178-0.5*IF(7=Debt_Yr,0,I3481))*INDEX(Fin_Curve,1,7))-I3481-I3481*Fin_ExitFee)</f>
        <v>0</v>
      </c>
      <c r="K3784" s="99" t="n">
        <f aca="false">IF(8&gt;Hold_Yrs,0,K2875-IF(8&gt;Debt_Yr,0,(J3178-0.5*IF(8=Debt_Yr,0,J3481))*INDEX(Fin_Curve,1,8))-J3481-J3481*Fin_ExitFee)</f>
        <v>0</v>
      </c>
      <c r="L3784" s="99" t="n">
        <f aca="false">IF(9&gt;Hold_Yrs,0,L2875-IF(9&gt;Debt_Yr,0,(K3178-0.5*IF(9=Debt_Yr,0,K3481))*INDEX(Fin_Curve,1,9))-K3481-K3481*Fin_ExitFee)</f>
        <v>0</v>
      </c>
      <c r="M3784" s="99" t="n">
        <f aca="false">IF(10&gt;Hold_Yrs,0,M2875-IF(10&gt;Debt_Yr,0,(L3178-0.5*IF(10=Debt_Yr,0,L3481))*INDEX(Fin_Curve,1,10))-L3481-L3481*Fin_ExitFee)</f>
        <v>0</v>
      </c>
    </row>
    <row r="3785" customFormat="false" ht="15" hidden="false" customHeight="false" outlineLevel="0" collapsed="false">
      <c r="B3785" s="108" t="n">
        <f aca="false">'Loan Tape'!$A145</f>
        <v>0</v>
      </c>
      <c r="C3785" s="71" t="n">
        <f aca="false">-'Loan Tape'!$BE145</f>
        <v>-0</v>
      </c>
      <c r="D3785" s="71" t="n">
        <f aca="false">IF(1&gt;Hold_Yrs,0,D2876-IF(1&gt;Debt_Yr,0,(C3179-0.5*IF(1=Debt_Yr,0,C3482))*INDEX(Fin_Curve,1,1))-C3482-C3482*Fin_ExitFee)</f>
        <v>0</v>
      </c>
      <c r="E3785" s="71" t="n">
        <f aca="false">IF(2&gt;Hold_Yrs,0,E2876-IF(2&gt;Debt_Yr,0,(D3179-0.5*IF(2=Debt_Yr,0,D3482))*INDEX(Fin_Curve,1,2))-D3482-D3482*Fin_ExitFee)</f>
        <v>0</v>
      </c>
      <c r="F3785" s="71" t="n">
        <f aca="false">IF(3&gt;Hold_Yrs,0,F2876-IF(3&gt;Debt_Yr,0,(E3179-0.5*IF(3=Debt_Yr,0,E3482))*INDEX(Fin_Curve,1,3))-E3482-E3482*Fin_ExitFee)</f>
        <v>0</v>
      </c>
      <c r="G3785" s="71" t="n">
        <f aca="false">IF(4&gt;Hold_Yrs,0,G2876-IF(4&gt;Debt_Yr,0,(F3179-0.5*IF(4=Debt_Yr,0,F3482))*INDEX(Fin_Curve,1,4))-F3482-F3482*Fin_ExitFee)</f>
        <v>0</v>
      </c>
      <c r="H3785" s="71" t="n">
        <f aca="false">IF(5&gt;Hold_Yrs,0,H2876-IF(5&gt;Debt_Yr,0,(G3179-0.5*IF(5=Debt_Yr,0,G3482))*INDEX(Fin_Curve,1,5))-G3482-G3482*Fin_ExitFee)</f>
        <v>0</v>
      </c>
      <c r="I3785" s="71" t="n">
        <f aca="false">IF(6&gt;Hold_Yrs,0,I2876-IF(6&gt;Debt_Yr,0,(H3179-0.5*IF(6=Debt_Yr,0,H3482))*INDEX(Fin_Curve,1,6))-H3482-H3482*Fin_ExitFee)</f>
        <v>0</v>
      </c>
      <c r="J3785" s="71" t="n">
        <f aca="false">IF(7&gt;Hold_Yrs,0,J2876-IF(7&gt;Debt_Yr,0,(I3179-0.5*IF(7=Debt_Yr,0,I3482))*INDEX(Fin_Curve,1,7))-I3482-I3482*Fin_ExitFee)</f>
        <v>0</v>
      </c>
      <c r="K3785" s="71" t="n">
        <f aca="false">IF(8&gt;Hold_Yrs,0,K2876-IF(8&gt;Debt_Yr,0,(J3179-0.5*IF(8=Debt_Yr,0,J3482))*INDEX(Fin_Curve,1,8))-J3482-J3482*Fin_ExitFee)</f>
        <v>0</v>
      </c>
      <c r="L3785" s="71" t="n">
        <f aca="false">IF(9&gt;Hold_Yrs,0,L2876-IF(9&gt;Debt_Yr,0,(K3179-0.5*IF(9=Debt_Yr,0,K3482))*INDEX(Fin_Curve,1,9))-K3482-K3482*Fin_ExitFee)</f>
        <v>0</v>
      </c>
      <c r="M3785" s="71" t="n">
        <f aca="false">IF(10&gt;Hold_Yrs,0,M2876-IF(10&gt;Debt_Yr,0,(L3179-0.5*IF(10=Debt_Yr,0,L3482))*INDEX(Fin_Curve,1,10))-L3482-L3482*Fin_ExitFee)</f>
        <v>0</v>
      </c>
    </row>
    <row r="3786" customFormat="false" ht="15" hidden="false" customHeight="false" outlineLevel="0" collapsed="false">
      <c r="B3786" s="102" t="n">
        <f aca="false">'Loan Tape'!$A146</f>
        <v>0</v>
      </c>
      <c r="C3786" s="99" t="n">
        <f aca="false">-'Loan Tape'!$BE146</f>
        <v>-0</v>
      </c>
      <c r="D3786" s="99" t="n">
        <f aca="false">IF(1&gt;Hold_Yrs,0,D2877-IF(1&gt;Debt_Yr,0,(C3180-0.5*IF(1=Debt_Yr,0,C3483))*INDEX(Fin_Curve,1,1))-C3483-C3483*Fin_ExitFee)</f>
        <v>0</v>
      </c>
      <c r="E3786" s="99" t="n">
        <f aca="false">IF(2&gt;Hold_Yrs,0,E2877-IF(2&gt;Debt_Yr,0,(D3180-0.5*IF(2=Debt_Yr,0,D3483))*INDEX(Fin_Curve,1,2))-D3483-D3483*Fin_ExitFee)</f>
        <v>0</v>
      </c>
      <c r="F3786" s="99" t="n">
        <f aca="false">IF(3&gt;Hold_Yrs,0,F2877-IF(3&gt;Debt_Yr,0,(E3180-0.5*IF(3=Debt_Yr,0,E3483))*INDEX(Fin_Curve,1,3))-E3483-E3483*Fin_ExitFee)</f>
        <v>0</v>
      </c>
      <c r="G3786" s="99" t="n">
        <f aca="false">IF(4&gt;Hold_Yrs,0,G2877-IF(4&gt;Debt_Yr,0,(F3180-0.5*IF(4=Debt_Yr,0,F3483))*INDEX(Fin_Curve,1,4))-F3483-F3483*Fin_ExitFee)</f>
        <v>0</v>
      </c>
      <c r="H3786" s="99" t="n">
        <f aca="false">IF(5&gt;Hold_Yrs,0,H2877-IF(5&gt;Debt_Yr,0,(G3180-0.5*IF(5=Debt_Yr,0,G3483))*INDEX(Fin_Curve,1,5))-G3483-G3483*Fin_ExitFee)</f>
        <v>0</v>
      </c>
      <c r="I3786" s="99" t="n">
        <f aca="false">IF(6&gt;Hold_Yrs,0,I2877-IF(6&gt;Debt_Yr,0,(H3180-0.5*IF(6=Debt_Yr,0,H3483))*INDEX(Fin_Curve,1,6))-H3483-H3483*Fin_ExitFee)</f>
        <v>0</v>
      </c>
      <c r="J3786" s="99" t="n">
        <f aca="false">IF(7&gt;Hold_Yrs,0,J2877-IF(7&gt;Debt_Yr,0,(I3180-0.5*IF(7=Debt_Yr,0,I3483))*INDEX(Fin_Curve,1,7))-I3483-I3483*Fin_ExitFee)</f>
        <v>0</v>
      </c>
      <c r="K3786" s="99" t="n">
        <f aca="false">IF(8&gt;Hold_Yrs,0,K2877-IF(8&gt;Debt_Yr,0,(J3180-0.5*IF(8=Debt_Yr,0,J3483))*INDEX(Fin_Curve,1,8))-J3483-J3483*Fin_ExitFee)</f>
        <v>0</v>
      </c>
      <c r="L3786" s="99" t="n">
        <f aca="false">IF(9&gt;Hold_Yrs,0,L2877-IF(9&gt;Debt_Yr,0,(K3180-0.5*IF(9=Debt_Yr,0,K3483))*INDEX(Fin_Curve,1,9))-K3483-K3483*Fin_ExitFee)</f>
        <v>0</v>
      </c>
      <c r="M3786" s="99" t="n">
        <f aca="false">IF(10&gt;Hold_Yrs,0,M2877-IF(10&gt;Debt_Yr,0,(L3180-0.5*IF(10=Debt_Yr,0,L3483))*INDEX(Fin_Curve,1,10))-L3483-L3483*Fin_ExitFee)</f>
        <v>0</v>
      </c>
    </row>
    <row r="3787" customFormat="false" ht="15" hidden="false" customHeight="false" outlineLevel="0" collapsed="false">
      <c r="B3787" s="108" t="n">
        <f aca="false">'Loan Tape'!$A147</f>
        <v>0</v>
      </c>
      <c r="C3787" s="71" t="n">
        <f aca="false">-'Loan Tape'!$BE147</f>
        <v>-0</v>
      </c>
      <c r="D3787" s="71" t="n">
        <f aca="false">IF(1&gt;Hold_Yrs,0,D2878-IF(1&gt;Debt_Yr,0,(C3181-0.5*IF(1=Debt_Yr,0,C3484))*INDEX(Fin_Curve,1,1))-C3484-C3484*Fin_ExitFee)</f>
        <v>0</v>
      </c>
      <c r="E3787" s="71" t="n">
        <f aca="false">IF(2&gt;Hold_Yrs,0,E2878-IF(2&gt;Debt_Yr,0,(D3181-0.5*IF(2=Debt_Yr,0,D3484))*INDEX(Fin_Curve,1,2))-D3484-D3484*Fin_ExitFee)</f>
        <v>0</v>
      </c>
      <c r="F3787" s="71" t="n">
        <f aca="false">IF(3&gt;Hold_Yrs,0,F2878-IF(3&gt;Debt_Yr,0,(E3181-0.5*IF(3=Debt_Yr,0,E3484))*INDEX(Fin_Curve,1,3))-E3484-E3484*Fin_ExitFee)</f>
        <v>0</v>
      </c>
      <c r="G3787" s="71" t="n">
        <f aca="false">IF(4&gt;Hold_Yrs,0,G2878-IF(4&gt;Debt_Yr,0,(F3181-0.5*IF(4=Debt_Yr,0,F3484))*INDEX(Fin_Curve,1,4))-F3484-F3484*Fin_ExitFee)</f>
        <v>0</v>
      </c>
      <c r="H3787" s="71" t="n">
        <f aca="false">IF(5&gt;Hold_Yrs,0,H2878-IF(5&gt;Debt_Yr,0,(G3181-0.5*IF(5=Debt_Yr,0,G3484))*INDEX(Fin_Curve,1,5))-G3484-G3484*Fin_ExitFee)</f>
        <v>0</v>
      </c>
      <c r="I3787" s="71" t="n">
        <f aca="false">IF(6&gt;Hold_Yrs,0,I2878-IF(6&gt;Debt_Yr,0,(H3181-0.5*IF(6=Debt_Yr,0,H3484))*INDEX(Fin_Curve,1,6))-H3484-H3484*Fin_ExitFee)</f>
        <v>0</v>
      </c>
      <c r="J3787" s="71" t="n">
        <f aca="false">IF(7&gt;Hold_Yrs,0,J2878-IF(7&gt;Debt_Yr,0,(I3181-0.5*IF(7=Debt_Yr,0,I3484))*INDEX(Fin_Curve,1,7))-I3484-I3484*Fin_ExitFee)</f>
        <v>0</v>
      </c>
      <c r="K3787" s="71" t="n">
        <f aca="false">IF(8&gt;Hold_Yrs,0,K2878-IF(8&gt;Debt_Yr,0,(J3181-0.5*IF(8=Debt_Yr,0,J3484))*INDEX(Fin_Curve,1,8))-J3484-J3484*Fin_ExitFee)</f>
        <v>0</v>
      </c>
      <c r="L3787" s="71" t="n">
        <f aca="false">IF(9&gt;Hold_Yrs,0,L2878-IF(9&gt;Debt_Yr,0,(K3181-0.5*IF(9=Debt_Yr,0,K3484))*INDEX(Fin_Curve,1,9))-K3484-K3484*Fin_ExitFee)</f>
        <v>0</v>
      </c>
      <c r="M3787" s="71" t="n">
        <f aca="false">IF(10&gt;Hold_Yrs,0,M2878-IF(10&gt;Debt_Yr,0,(L3181-0.5*IF(10=Debt_Yr,0,L3484))*INDEX(Fin_Curve,1,10))-L3484-L3484*Fin_ExitFee)</f>
        <v>0</v>
      </c>
    </row>
    <row r="3788" customFormat="false" ht="15" hidden="false" customHeight="false" outlineLevel="0" collapsed="false">
      <c r="B3788" s="102" t="n">
        <f aca="false">'Loan Tape'!$A148</f>
        <v>0</v>
      </c>
      <c r="C3788" s="99" t="n">
        <f aca="false">-'Loan Tape'!$BE148</f>
        <v>-0</v>
      </c>
      <c r="D3788" s="99" t="n">
        <f aca="false">IF(1&gt;Hold_Yrs,0,D2879-IF(1&gt;Debt_Yr,0,(C3182-0.5*IF(1=Debt_Yr,0,C3485))*INDEX(Fin_Curve,1,1))-C3485-C3485*Fin_ExitFee)</f>
        <v>0</v>
      </c>
      <c r="E3788" s="99" t="n">
        <f aca="false">IF(2&gt;Hold_Yrs,0,E2879-IF(2&gt;Debt_Yr,0,(D3182-0.5*IF(2=Debt_Yr,0,D3485))*INDEX(Fin_Curve,1,2))-D3485-D3485*Fin_ExitFee)</f>
        <v>0</v>
      </c>
      <c r="F3788" s="99" t="n">
        <f aca="false">IF(3&gt;Hold_Yrs,0,F2879-IF(3&gt;Debt_Yr,0,(E3182-0.5*IF(3=Debt_Yr,0,E3485))*INDEX(Fin_Curve,1,3))-E3485-E3485*Fin_ExitFee)</f>
        <v>0</v>
      </c>
      <c r="G3788" s="99" t="n">
        <f aca="false">IF(4&gt;Hold_Yrs,0,G2879-IF(4&gt;Debt_Yr,0,(F3182-0.5*IF(4=Debt_Yr,0,F3485))*INDEX(Fin_Curve,1,4))-F3485-F3485*Fin_ExitFee)</f>
        <v>0</v>
      </c>
      <c r="H3788" s="99" t="n">
        <f aca="false">IF(5&gt;Hold_Yrs,0,H2879-IF(5&gt;Debt_Yr,0,(G3182-0.5*IF(5=Debt_Yr,0,G3485))*INDEX(Fin_Curve,1,5))-G3485-G3485*Fin_ExitFee)</f>
        <v>0</v>
      </c>
      <c r="I3788" s="99" t="n">
        <f aca="false">IF(6&gt;Hold_Yrs,0,I2879-IF(6&gt;Debt_Yr,0,(H3182-0.5*IF(6=Debt_Yr,0,H3485))*INDEX(Fin_Curve,1,6))-H3485-H3485*Fin_ExitFee)</f>
        <v>0</v>
      </c>
      <c r="J3788" s="99" t="n">
        <f aca="false">IF(7&gt;Hold_Yrs,0,J2879-IF(7&gt;Debt_Yr,0,(I3182-0.5*IF(7=Debt_Yr,0,I3485))*INDEX(Fin_Curve,1,7))-I3485-I3485*Fin_ExitFee)</f>
        <v>0</v>
      </c>
      <c r="K3788" s="99" t="n">
        <f aca="false">IF(8&gt;Hold_Yrs,0,K2879-IF(8&gt;Debt_Yr,0,(J3182-0.5*IF(8=Debt_Yr,0,J3485))*INDEX(Fin_Curve,1,8))-J3485-J3485*Fin_ExitFee)</f>
        <v>0</v>
      </c>
      <c r="L3788" s="99" t="n">
        <f aca="false">IF(9&gt;Hold_Yrs,0,L2879-IF(9&gt;Debt_Yr,0,(K3182-0.5*IF(9=Debt_Yr,0,K3485))*INDEX(Fin_Curve,1,9))-K3485-K3485*Fin_ExitFee)</f>
        <v>0</v>
      </c>
      <c r="M3788" s="99" t="n">
        <f aca="false">IF(10&gt;Hold_Yrs,0,M2879-IF(10&gt;Debt_Yr,0,(L3182-0.5*IF(10=Debt_Yr,0,L3485))*INDEX(Fin_Curve,1,10))-L3485-L3485*Fin_ExitFee)</f>
        <v>0</v>
      </c>
    </row>
    <row r="3789" customFormat="false" ht="15" hidden="false" customHeight="false" outlineLevel="0" collapsed="false">
      <c r="B3789" s="108" t="n">
        <f aca="false">'Loan Tape'!$A149</f>
        <v>0</v>
      </c>
      <c r="C3789" s="71" t="n">
        <f aca="false">-'Loan Tape'!$BE149</f>
        <v>-0</v>
      </c>
      <c r="D3789" s="71" t="n">
        <f aca="false">IF(1&gt;Hold_Yrs,0,D2880-IF(1&gt;Debt_Yr,0,(C3183-0.5*IF(1=Debt_Yr,0,C3486))*INDEX(Fin_Curve,1,1))-C3486-C3486*Fin_ExitFee)</f>
        <v>0</v>
      </c>
      <c r="E3789" s="71" t="n">
        <f aca="false">IF(2&gt;Hold_Yrs,0,E2880-IF(2&gt;Debt_Yr,0,(D3183-0.5*IF(2=Debt_Yr,0,D3486))*INDEX(Fin_Curve,1,2))-D3486-D3486*Fin_ExitFee)</f>
        <v>0</v>
      </c>
      <c r="F3789" s="71" t="n">
        <f aca="false">IF(3&gt;Hold_Yrs,0,F2880-IF(3&gt;Debt_Yr,0,(E3183-0.5*IF(3=Debt_Yr,0,E3486))*INDEX(Fin_Curve,1,3))-E3486-E3486*Fin_ExitFee)</f>
        <v>0</v>
      </c>
      <c r="G3789" s="71" t="n">
        <f aca="false">IF(4&gt;Hold_Yrs,0,G2880-IF(4&gt;Debt_Yr,0,(F3183-0.5*IF(4=Debt_Yr,0,F3486))*INDEX(Fin_Curve,1,4))-F3486-F3486*Fin_ExitFee)</f>
        <v>0</v>
      </c>
      <c r="H3789" s="71" t="n">
        <f aca="false">IF(5&gt;Hold_Yrs,0,H2880-IF(5&gt;Debt_Yr,0,(G3183-0.5*IF(5=Debt_Yr,0,G3486))*INDEX(Fin_Curve,1,5))-G3486-G3486*Fin_ExitFee)</f>
        <v>0</v>
      </c>
      <c r="I3789" s="71" t="n">
        <f aca="false">IF(6&gt;Hold_Yrs,0,I2880-IF(6&gt;Debt_Yr,0,(H3183-0.5*IF(6=Debt_Yr,0,H3486))*INDEX(Fin_Curve,1,6))-H3486-H3486*Fin_ExitFee)</f>
        <v>0</v>
      </c>
      <c r="J3789" s="71" t="n">
        <f aca="false">IF(7&gt;Hold_Yrs,0,J2880-IF(7&gt;Debt_Yr,0,(I3183-0.5*IF(7=Debt_Yr,0,I3486))*INDEX(Fin_Curve,1,7))-I3486-I3486*Fin_ExitFee)</f>
        <v>0</v>
      </c>
      <c r="K3789" s="71" t="n">
        <f aca="false">IF(8&gt;Hold_Yrs,0,K2880-IF(8&gt;Debt_Yr,0,(J3183-0.5*IF(8=Debt_Yr,0,J3486))*INDEX(Fin_Curve,1,8))-J3486-J3486*Fin_ExitFee)</f>
        <v>0</v>
      </c>
      <c r="L3789" s="71" t="n">
        <f aca="false">IF(9&gt;Hold_Yrs,0,L2880-IF(9&gt;Debt_Yr,0,(K3183-0.5*IF(9=Debt_Yr,0,K3486))*INDEX(Fin_Curve,1,9))-K3486-K3486*Fin_ExitFee)</f>
        <v>0</v>
      </c>
      <c r="M3789" s="71" t="n">
        <f aca="false">IF(10&gt;Hold_Yrs,0,M2880-IF(10&gt;Debt_Yr,0,(L3183-0.5*IF(10=Debt_Yr,0,L3486))*INDEX(Fin_Curve,1,10))-L3486-L3486*Fin_ExitFee)</f>
        <v>0</v>
      </c>
    </row>
    <row r="3790" customFormat="false" ht="15" hidden="false" customHeight="false" outlineLevel="0" collapsed="false">
      <c r="B3790" s="102" t="n">
        <f aca="false">'Loan Tape'!$A150</f>
        <v>0</v>
      </c>
      <c r="C3790" s="99" t="n">
        <f aca="false">-'Loan Tape'!$BE150</f>
        <v>-0</v>
      </c>
      <c r="D3790" s="99" t="n">
        <f aca="false">IF(1&gt;Hold_Yrs,0,D2881-IF(1&gt;Debt_Yr,0,(C3184-0.5*IF(1=Debt_Yr,0,C3487))*INDEX(Fin_Curve,1,1))-C3487-C3487*Fin_ExitFee)</f>
        <v>0</v>
      </c>
      <c r="E3790" s="99" t="n">
        <f aca="false">IF(2&gt;Hold_Yrs,0,E2881-IF(2&gt;Debt_Yr,0,(D3184-0.5*IF(2=Debt_Yr,0,D3487))*INDEX(Fin_Curve,1,2))-D3487-D3487*Fin_ExitFee)</f>
        <v>0</v>
      </c>
      <c r="F3790" s="99" t="n">
        <f aca="false">IF(3&gt;Hold_Yrs,0,F2881-IF(3&gt;Debt_Yr,0,(E3184-0.5*IF(3=Debt_Yr,0,E3487))*INDEX(Fin_Curve,1,3))-E3487-E3487*Fin_ExitFee)</f>
        <v>0</v>
      </c>
      <c r="G3790" s="99" t="n">
        <f aca="false">IF(4&gt;Hold_Yrs,0,G2881-IF(4&gt;Debt_Yr,0,(F3184-0.5*IF(4=Debt_Yr,0,F3487))*INDEX(Fin_Curve,1,4))-F3487-F3487*Fin_ExitFee)</f>
        <v>0</v>
      </c>
      <c r="H3790" s="99" t="n">
        <f aca="false">IF(5&gt;Hold_Yrs,0,H2881-IF(5&gt;Debt_Yr,0,(G3184-0.5*IF(5=Debt_Yr,0,G3487))*INDEX(Fin_Curve,1,5))-G3487-G3487*Fin_ExitFee)</f>
        <v>0</v>
      </c>
      <c r="I3790" s="99" t="n">
        <f aca="false">IF(6&gt;Hold_Yrs,0,I2881-IF(6&gt;Debt_Yr,0,(H3184-0.5*IF(6=Debt_Yr,0,H3487))*INDEX(Fin_Curve,1,6))-H3487-H3487*Fin_ExitFee)</f>
        <v>0</v>
      </c>
      <c r="J3790" s="99" t="n">
        <f aca="false">IF(7&gt;Hold_Yrs,0,J2881-IF(7&gt;Debt_Yr,0,(I3184-0.5*IF(7=Debt_Yr,0,I3487))*INDEX(Fin_Curve,1,7))-I3487-I3487*Fin_ExitFee)</f>
        <v>0</v>
      </c>
      <c r="K3790" s="99" t="n">
        <f aca="false">IF(8&gt;Hold_Yrs,0,K2881-IF(8&gt;Debt_Yr,0,(J3184-0.5*IF(8=Debt_Yr,0,J3487))*INDEX(Fin_Curve,1,8))-J3487-J3487*Fin_ExitFee)</f>
        <v>0</v>
      </c>
      <c r="L3790" s="99" t="n">
        <f aca="false">IF(9&gt;Hold_Yrs,0,L2881-IF(9&gt;Debt_Yr,0,(K3184-0.5*IF(9=Debt_Yr,0,K3487))*INDEX(Fin_Curve,1,9))-K3487-K3487*Fin_ExitFee)</f>
        <v>0</v>
      </c>
      <c r="M3790" s="99" t="n">
        <f aca="false">IF(10&gt;Hold_Yrs,0,M2881-IF(10&gt;Debt_Yr,0,(L3184-0.5*IF(10=Debt_Yr,0,L3487))*INDEX(Fin_Curve,1,10))-L3487-L3487*Fin_ExitFee)</f>
        <v>0</v>
      </c>
    </row>
    <row r="3791" customFormat="false" ht="15" hidden="false" customHeight="false" outlineLevel="0" collapsed="false">
      <c r="B3791" s="108" t="n">
        <f aca="false">'Loan Tape'!$A151</f>
        <v>0</v>
      </c>
      <c r="C3791" s="71" t="n">
        <f aca="false">-'Loan Tape'!$BE151</f>
        <v>-0</v>
      </c>
      <c r="D3791" s="71" t="n">
        <f aca="false">IF(1&gt;Hold_Yrs,0,D2882-IF(1&gt;Debt_Yr,0,(C3185-0.5*IF(1=Debt_Yr,0,C3488))*INDEX(Fin_Curve,1,1))-C3488-C3488*Fin_ExitFee)</f>
        <v>0</v>
      </c>
      <c r="E3791" s="71" t="n">
        <f aca="false">IF(2&gt;Hold_Yrs,0,E2882-IF(2&gt;Debt_Yr,0,(D3185-0.5*IF(2=Debt_Yr,0,D3488))*INDEX(Fin_Curve,1,2))-D3488-D3488*Fin_ExitFee)</f>
        <v>0</v>
      </c>
      <c r="F3791" s="71" t="n">
        <f aca="false">IF(3&gt;Hold_Yrs,0,F2882-IF(3&gt;Debt_Yr,0,(E3185-0.5*IF(3=Debt_Yr,0,E3488))*INDEX(Fin_Curve,1,3))-E3488-E3488*Fin_ExitFee)</f>
        <v>0</v>
      </c>
      <c r="G3791" s="71" t="n">
        <f aca="false">IF(4&gt;Hold_Yrs,0,G2882-IF(4&gt;Debt_Yr,0,(F3185-0.5*IF(4=Debt_Yr,0,F3488))*INDEX(Fin_Curve,1,4))-F3488-F3488*Fin_ExitFee)</f>
        <v>0</v>
      </c>
      <c r="H3791" s="71" t="n">
        <f aca="false">IF(5&gt;Hold_Yrs,0,H2882-IF(5&gt;Debt_Yr,0,(G3185-0.5*IF(5=Debt_Yr,0,G3488))*INDEX(Fin_Curve,1,5))-G3488-G3488*Fin_ExitFee)</f>
        <v>0</v>
      </c>
      <c r="I3791" s="71" t="n">
        <f aca="false">IF(6&gt;Hold_Yrs,0,I2882-IF(6&gt;Debt_Yr,0,(H3185-0.5*IF(6=Debt_Yr,0,H3488))*INDEX(Fin_Curve,1,6))-H3488-H3488*Fin_ExitFee)</f>
        <v>0</v>
      </c>
      <c r="J3791" s="71" t="n">
        <f aca="false">IF(7&gt;Hold_Yrs,0,J2882-IF(7&gt;Debt_Yr,0,(I3185-0.5*IF(7=Debt_Yr,0,I3488))*INDEX(Fin_Curve,1,7))-I3488-I3488*Fin_ExitFee)</f>
        <v>0</v>
      </c>
      <c r="K3791" s="71" t="n">
        <f aca="false">IF(8&gt;Hold_Yrs,0,K2882-IF(8&gt;Debt_Yr,0,(J3185-0.5*IF(8=Debt_Yr,0,J3488))*INDEX(Fin_Curve,1,8))-J3488-J3488*Fin_ExitFee)</f>
        <v>0</v>
      </c>
      <c r="L3791" s="71" t="n">
        <f aca="false">IF(9&gt;Hold_Yrs,0,L2882-IF(9&gt;Debt_Yr,0,(K3185-0.5*IF(9=Debt_Yr,0,K3488))*INDEX(Fin_Curve,1,9))-K3488-K3488*Fin_ExitFee)</f>
        <v>0</v>
      </c>
      <c r="M3791" s="71" t="n">
        <f aca="false">IF(10&gt;Hold_Yrs,0,M2882-IF(10&gt;Debt_Yr,0,(L3185-0.5*IF(10=Debt_Yr,0,L3488))*INDEX(Fin_Curve,1,10))-L3488-L3488*Fin_ExitFee)</f>
        <v>0</v>
      </c>
    </row>
    <row r="3792" customFormat="false" ht="15" hidden="false" customHeight="false" outlineLevel="0" collapsed="false">
      <c r="B3792" s="102" t="n">
        <f aca="false">'Loan Tape'!$A152</f>
        <v>0</v>
      </c>
      <c r="C3792" s="99" t="n">
        <f aca="false">-'Loan Tape'!$BE152</f>
        <v>-0</v>
      </c>
      <c r="D3792" s="99" t="n">
        <f aca="false">IF(1&gt;Hold_Yrs,0,D2883-IF(1&gt;Debt_Yr,0,(C3186-0.5*IF(1=Debt_Yr,0,C3489))*INDEX(Fin_Curve,1,1))-C3489-C3489*Fin_ExitFee)</f>
        <v>0</v>
      </c>
      <c r="E3792" s="99" t="n">
        <f aca="false">IF(2&gt;Hold_Yrs,0,E2883-IF(2&gt;Debt_Yr,0,(D3186-0.5*IF(2=Debt_Yr,0,D3489))*INDEX(Fin_Curve,1,2))-D3489-D3489*Fin_ExitFee)</f>
        <v>0</v>
      </c>
      <c r="F3792" s="99" t="n">
        <f aca="false">IF(3&gt;Hold_Yrs,0,F2883-IF(3&gt;Debt_Yr,0,(E3186-0.5*IF(3=Debt_Yr,0,E3489))*INDEX(Fin_Curve,1,3))-E3489-E3489*Fin_ExitFee)</f>
        <v>0</v>
      </c>
      <c r="G3792" s="99" t="n">
        <f aca="false">IF(4&gt;Hold_Yrs,0,G2883-IF(4&gt;Debt_Yr,0,(F3186-0.5*IF(4=Debt_Yr,0,F3489))*INDEX(Fin_Curve,1,4))-F3489-F3489*Fin_ExitFee)</f>
        <v>0</v>
      </c>
      <c r="H3792" s="99" t="n">
        <f aca="false">IF(5&gt;Hold_Yrs,0,H2883-IF(5&gt;Debt_Yr,0,(G3186-0.5*IF(5=Debt_Yr,0,G3489))*INDEX(Fin_Curve,1,5))-G3489-G3489*Fin_ExitFee)</f>
        <v>0</v>
      </c>
      <c r="I3792" s="99" t="n">
        <f aca="false">IF(6&gt;Hold_Yrs,0,I2883-IF(6&gt;Debt_Yr,0,(H3186-0.5*IF(6=Debt_Yr,0,H3489))*INDEX(Fin_Curve,1,6))-H3489-H3489*Fin_ExitFee)</f>
        <v>0</v>
      </c>
      <c r="J3792" s="99" t="n">
        <f aca="false">IF(7&gt;Hold_Yrs,0,J2883-IF(7&gt;Debt_Yr,0,(I3186-0.5*IF(7=Debt_Yr,0,I3489))*INDEX(Fin_Curve,1,7))-I3489-I3489*Fin_ExitFee)</f>
        <v>0</v>
      </c>
      <c r="K3792" s="99" t="n">
        <f aca="false">IF(8&gt;Hold_Yrs,0,K2883-IF(8&gt;Debt_Yr,0,(J3186-0.5*IF(8=Debt_Yr,0,J3489))*INDEX(Fin_Curve,1,8))-J3489-J3489*Fin_ExitFee)</f>
        <v>0</v>
      </c>
      <c r="L3792" s="99" t="n">
        <f aca="false">IF(9&gt;Hold_Yrs,0,L2883-IF(9&gt;Debt_Yr,0,(K3186-0.5*IF(9=Debt_Yr,0,K3489))*INDEX(Fin_Curve,1,9))-K3489-K3489*Fin_ExitFee)</f>
        <v>0</v>
      </c>
      <c r="M3792" s="99" t="n">
        <f aca="false">IF(10&gt;Hold_Yrs,0,M2883-IF(10&gt;Debt_Yr,0,(L3186-0.5*IF(10=Debt_Yr,0,L3489))*INDEX(Fin_Curve,1,10))-L3489-L3489*Fin_ExitFee)</f>
        <v>0</v>
      </c>
    </row>
    <row r="3793" customFormat="false" ht="15" hidden="false" customHeight="false" outlineLevel="0" collapsed="false">
      <c r="B3793" s="108" t="n">
        <f aca="false">'Loan Tape'!$A153</f>
        <v>0</v>
      </c>
      <c r="C3793" s="71" t="n">
        <f aca="false">-'Loan Tape'!$BE153</f>
        <v>-0</v>
      </c>
      <c r="D3793" s="71" t="n">
        <f aca="false">IF(1&gt;Hold_Yrs,0,D2884-IF(1&gt;Debt_Yr,0,(C3187-0.5*IF(1=Debt_Yr,0,C3490))*INDEX(Fin_Curve,1,1))-C3490-C3490*Fin_ExitFee)</f>
        <v>0</v>
      </c>
      <c r="E3793" s="71" t="n">
        <f aca="false">IF(2&gt;Hold_Yrs,0,E2884-IF(2&gt;Debt_Yr,0,(D3187-0.5*IF(2=Debt_Yr,0,D3490))*INDEX(Fin_Curve,1,2))-D3490-D3490*Fin_ExitFee)</f>
        <v>0</v>
      </c>
      <c r="F3793" s="71" t="n">
        <f aca="false">IF(3&gt;Hold_Yrs,0,F2884-IF(3&gt;Debt_Yr,0,(E3187-0.5*IF(3=Debt_Yr,0,E3490))*INDEX(Fin_Curve,1,3))-E3490-E3490*Fin_ExitFee)</f>
        <v>0</v>
      </c>
      <c r="G3793" s="71" t="n">
        <f aca="false">IF(4&gt;Hold_Yrs,0,G2884-IF(4&gt;Debt_Yr,0,(F3187-0.5*IF(4=Debt_Yr,0,F3490))*INDEX(Fin_Curve,1,4))-F3490-F3490*Fin_ExitFee)</f>
        <v>0</v>
      </c>
      <c r="H3793" s="71" t="n">
        <f aca="false">IF(5&gt;Hold_Yrs,0,H2884-IF(5&gt;Debt_Yr,0,(G3187-0.5*IF(5=Debt_Yr,0,G3490))*INDEX(Fin_Curve,1,5))-G3490-G3490*Fin_ExitFee)</f>
        <v>0</v>
      </c>
      <c r="I3793" s="71" t="n">
        <f aca="false">IF(6&gt;Hold_Yrs,0,I2884-IF(6&gt;Debt_Yr,0,(H3187-0.5*IF(6=Debt_Yr,0,H3490))*INDEX(Fin_Curve,1,6))-H3490-H3490*Fin_ExitFee)</f>
        <v>0</v>
      </c>
      <c r="J3793" s="71" t="n">
        <f aca="false">IF(7&gt;Hold_Yrs,0,J2884-IF(7&gt;Debt_Yr,0,(I3187-0.5*IF(7=Debt_Yr,0,I3490))*INDEX(Fin_Curve,1,7))-I3490-I3490*Fin_ExitFee)</f>
        <v>0</v>
      </c>
      <c r="K3793" s="71" t="n">
        <f aca="false">IF(8&gt;Hold_Yrs,0,K2884-IF(8&gt;Debt_Yr,0,(J3187-0.5*IF(8=Debt_Yr,0,J3490))*INDEX(Fin_Curve,1,8))-J3490-J3490*Fin_ExitFee)</f>
        <v>0</v>
      </c>
      <c r="L3793" s="71" t="n">
        <f aca="false">IF(9&gt;Hold_Yrs,0,L2884-IF(9&gt;Debt_Yr,0,(K3187-0.5*IF(9=Debt_Yr,0,K3490))*INDEX(Fin_Curve,1,9))-K3490-K3490*Fin_ExitFee)</f>
        <v>0</v>
      </c>
      <c r="M3793" s="71" t="n">
        <f aca="false">IF(10&gt;Hold_Yrs,0,M2884-IF(10&gt;Debt_Yr,0,(L3187-0.5*IF(10=Debt_Yr,0,L3490))*INDEX(Fin_Curve,1,10))-L3490-L3490*Fin_ExitFee)</f>
        <v>0</v>
      </c>
    </row>
    <row r="3794" customFormat="false" ht="15" hidden="false" customHeight="false" outlineLevel="0" collapsed="false">
      <c r="B3794" s="102" t="n">
        <f aca="false">'Loan Tape'!$A154</f>
        <v>0</v>
      </c>
      <c r="C3794" s="99" t="n">
        <f aca="false">-'Loan Tape'!$BE154</f>
        <v>-0</v>
      </c>
      <c r="D3794" s="99" t="n">
        <f aca="false">IF(1&gt;Hold_Yrs,0,D2885-IF(1&gt;Debt_Yr,0,(C3188-0.5*IF(1=Debt_Yr,0,C3491))*INDEX(Fin_Curve,1,1))-C3491-C3491*Fin_ExitFee)</f>
        <v>0</v>
      </c>
      <c r="E3794" s="99" t="n">
        <f aca="false">IF(2&gt;Hold_Yrs,0,E2885-IF(2&gt;Debt_Yr,0,(D3188-0.5*IF(2=Debt_Yr,0,D3491))*INDEX(Fin_Curve,1,2))-D3491-D3491*Fin_ExitFee)</f>
        <v>0</v>
      </c>
      <c r="F3794" s="99" t="n">
        <f aca="false">IF(3&gt;Hold_Yrs,0,F2885-IF(3&gt;Debt_Yr,0,(E3188-0.5*IF(3=Debt_Yr,0,E3491))*INDEX(Fin_Curve,1,3))-E3491-E3491*Fin_ExitFee)</f>
        <v>0</v>
      </c>
      <c r="G3794" s="99" t="n">
        <f aca="false">IF(4&gt;Hold_Yrs,0,G2885-IF(4&gt;Debt_Yr,0,(F3188-0.5*IF(4=Debt_Yr,0,F3491))*INDEX(Fin_Curve,1,4))-F3491-F3491*Fin_ExitFee)</f>
        <v>0</v>
      </c>
      <c r="H3794" s="99" t="n">
        <f aca="false">IF(5&gt;Hold_Yrs,0,H2885-IF(5&gt;Debt_Yr,0,(G3188-0.5*IF(5=Debt_Yr,0,G3491))*INDEX(Fin_Curve,1,5))-G3491-G3491*Fin_ExitFee)</f>
        <v>0</v>
      </c>
      <c r="I3794" s="99" t="n">
        <f aca="false">IF(6&gt;Hold_Yrs,0,I2885-IF(6&gt;Debt_Yr,0,(H3188-0.5*IF(6=Debt_Yr,0,H3491))*INDEX(Fin_Curve,1,6))-H3491-H3491*Fin_ExitFee)</f>
        <v>0</v>
      </c>
      <c r="J3794" s="99" t="n">
        <f aca="false">IF(7&gt;Hold_Yrs,0,J2885-IF(7&gt;Debt_Yr,0,(I3188-0.5*IF(7=Debt_Yr,0,I3491))*INDEX(Fin_Curve,1,7))-I3491-I3491*Fin_ExitFee)</f>
        <v>0</v>
      </c>
      <c r="K3794" s="99" t="n">
        <f aca="false">IF(8&gt;Hold_Yrs,0,K2885-IF(8&gt;Debt_Yr,0,(J3188-0.5*IF(8=Debt_Yr,0,J3491))*INDEX(Fin_Curve,1,8))-J3491-J3491*Fin_ExitFee)</f>
        <v>0</v>
      </c>
      <c r="L3794" s="99" t="n">
        <f aca="false">IF(9&gt;Hold_Yrs,0,L2885-IF(9&gt;Debt_Yr,0,(K3188-0.5*IF(9=Debt_Yr,0,K3491))*INDEX(Fin_Curve,1,9))-K3491-K3491*Fin_ExitFee)</f>
        <v>0</v>
      </c>
      <c r="M3794" s="99" t="n">
        <f aca="false">IF(10&gt;Hold_Yrs,0,M2885-IF(10&gt;Debt_Yr,0,(L3188-0.5*IF(10=Debt_Yr,0,L3491))*INDEX(Fin_Curve,1,10))-L3491-L3491*Fin_ExitFee)</f>
        <v>0</v>
      </c>
    </row>
    <row r="3795" customFormat="false" ht="15" hidden="false" customHeight="false" outlineLevel="0" collapsed="false">
      <c r="B3795" s="108" t="n">
        <f aca="false">'Loan Tape'!$A155</f>
        <v>0</v>
      </c>
      <c r="C3795" s="71" t="n">
        <f aca="false">-'Loan Tape'!$BE155</f>
        <v>-0</v>
      </c>
      <c r="D3795" s="71" t="n">
        <f aca="false">IF(1&gt;Hold_Yrs,0,D2886-IF(1&gt;Debt_Yr,0,(C3189-0.5*IF(1=Debt_Yr,0,C3492))*INDEX(Fin_Curve,1,1))-C3492-C3492*Fin_ExitFee)</f>
        <v>0</v>
      </c>
      <c r="E3795" s="71" t="n">
        <f aca="false">IF(2&gt;Hold_Yrs,0,E2886-IF(2&gt;Debt_Yr,0,(D3189-0.5*IF(2=Debt_Yr,0,D3492))*INDEX(Fin_Curve,1,2))-D3492-D3492*Fin_ExitFee)</f>
        <v>0</v>
      </c>
      <c r="F3795" s="71" t="n">
        <f aca="false">IF(3&gt;Hold_Yrs,0,F2886-IF(3&gt;Debt_Yr,0,(E3189-0.5*IF(3=Debt_Yr,0,E3492))*INDEX(Fin_Curve,1,3))-E3492-E3492*Fin_ExitFee)</f>
        <v>0</v>
      </c>
      <c r="G3795" s="71" t="n">
        <f aca="false">IF(4&gt;Hold_Yrs,0,G2886-IF(4&gt;Debt_Yr,0,(F3189-0.5*IF(4=Debt_Yr,0,F3492))*INDEX(Fin_Curve,1,4))-F3492-F3492*Fin_ExitFee)</f>
        <v>0</v>
      </c>
      <c r="H3795" s="71" t="n">
        <f aca="false">IF(5&gt;Hold_Yrs,0,H2886-IF(5&gt;Debt_Yr,0,(G3189-0.5*IF(5=Debt_Yr,0,G3492))*INDEX(Fin_Curve,1,5))-G3492-G3492*Fin_ExitFee)</f>
        <v>0</v>
      </c>
      <c r="I3795" s="71" t="n">
        <f aca="false">IF(6&gt;Hold_Yrs,0,I2886-IF(6&gt;Debt_Yr,0,(H3189-0.5*IF(6=Debt_Yr,0,H3492))*INDEX(Fin_Curve,1,6))-H3492-H3492*Fin_ExitFee)</f>
        <v>0</v>
      </c>
      <c r="J3795" s="71" t="n">
        <f aca="false">IF(7&gt;Hold_Yrs,0,J2886-IF(7&gt;Debt_Yr,0,(I3189-0.5*IF(7=Debt_Yr,0,I3492))*INDEX(Fin_Curve,1,7))-I3492-I3492*Fin_ExitFee)</f>
        <v>0</v>
      </c>
      <c r="K3795" s="71" t="n">
        <f aca="false">IF(8&gt;Hold_Yrs,0,K2886-IF(8&gt;Debt_Yr,0,(J3189-0.5*IF(8=Debt_Yr,0,J3492))*INDEX(Fin_Curve,1,8))-J3492-J3492*Fin_ExitFee)</f>
        <v>0</v>
      </c>
      <c r="L3795" s="71" t="n">
        <f aca="false">IF(9&gt;Hold_Yrs,0,L2886-IF(9&gt;Debt_Yr,0,(K3189-0.5*IF(9=Debt_Yr,0,K3492))*INDEX(Fin_Curve,1,9))-K3492-K3492*Fin_ExitFee)</f>
        <v>0</v>
      </c>
      <c r="M3795" s="71" t="n">
        <f aca="false">IF(10&gt;Hold_Yrs,0,M2886-IF(10&gt;Debt_Yr,0,(L3189-0.5*IF(10=Debt_Yr,0,L3492))*INDEX(Fin_Curve,1,10))-L3492-L3492*Fin_ExitFee)</f>
        <v>0</v>
      </c>
    </row>
    <row r="3796" customFormat="false" ht="15" hidden="false" customHeight="false" outlineLevel="0" collapsed="false">
      <c r="B3796" s="102" t="n">
        <f aca="false">'Loan Tape'!$A156</f>
        <v>0</v>
      </c>
      <c r="C3796" s="99" t="n">
        <f aca="false">-'Loan Tape'!$BE156</f>
        <v>-0</v>
      </c>
      <c r="D3796" s="99" t="n">
        <f aca="false">IF(1&gt;Hold_Yrs,0,D2887-IF(1&gt;Debt_Yr,0,(C3190-0.5*IF(1=Debt_Yr,0,C3493))*INDEX(Fin_Curve,1,1))-C3493-C3493*Fin_ExitFee)</f>
        <v>0</v>
      </c>
      <c r="E3796" s="99" t="n">
        <f aca="false">IF(2&gt;Hold_Yrs,0,E2887-IF(2&gt;Debt_Yr,0,(D3190-0.5*IF(2=Debt_Yr,0,D3493))*INDEX(Fin_Curve,1,2))-D3493-D3493*Fin_ExitFee)</f>
        <v>0</v>
      </c>
      <c r="F3796" s="99" t="n">
        <f aca="false">IF(3&gt;Hold_Yrs,0,F2887-IF(3&gt;Debt_Yr,0,(E3190-0.5*IF(3=Debt_Yr,0,E3493))*INDEX(Fin_Curve,1,3))-E3493-E3493*Fin_ExitFee)</f>
        <v>0</v>
      </c>
      <c r="G3796" s="99" t="n">
        <f aca="false">IF(4&gt;Hold_Yrs,0,G2887-IF(4&gt;Debt_Yr,0,(F3190-0.5*IF(4=Debt_Yr,0,F3493))*INDEX(Fin_Curve,1,4))-F3493-F3493*Fin_ExitFee)</f>
        <v>0</v>
      </c>
      <c r="H3796" s="99" t="n">
        <f aca="false">IF(5&gt;Hold_Yrs,0,H2887-IF(5&gt;Debt_Yr,0,(G3190-0.5*IF(5=Debt_Yr,0,G3493))*INDEX(Fin_Curve,1,5))-G3493-G3493*Fin_ExitFee)</f>
        <v>0</v>
      </c>
      <c r="I3796" s="99" t="n">
        <f aca="false">IF(6&gt;Hold_Yrs,0,I2887-IF(6&gt;Debt_Yr,0,(H3190-0.5*IF(6=Debt_Yr,0,H3493))*INDEX(Fin_Curve,1,6))-H3493-H3493*Fin_ExitFee)</f>
        <v>0</v>
      </c>
      <c r="J3796" s="99" t="n">
        <f aca="false">IF(7&gt;Hold_Yrs,0,J2887-IF(7&gt;Debt_Yr,0,(I3190-0.5*IF(7=Debt_Yr,0,I3493))*INDEX(Fin_Curve,1,7))-I3493-I3493*Fin_ExitFee)</f>
        <v>0</v>
      </c>
      <c r="K3796" s="99" t="n">
        <f aca="false">IF(8&gt;Hold_Yrs,0,K2887-IF(8&gt;Debt_Yr,0,(J3190-0.5*IF(8=Debt_Yr,0,J3493))*INDEX(Fin_Curve,1,8))-J3493-J3493*Fin_ExitFee)</f>
        <v>0</v>
      </c>
      <c r="L3796" s="99" t="n">
        <f aca="false">IF(9&gt;Hold_Yrs,0,L2887-IF(9&gt;Debt_Yr,0,(K3190-0.5*IF(9=Debt_Yr,0,K3493))*INDEX(Fin_Curve,1,9))-K3493-K3493*Fin_ExitFee)</f>
        <v>0</v>
      </c>
      <c r="M3796" s="99" t="n">
        <f aca="false">IF(10&gt;Hold_Yrs,0,M2887-IF(10&gt;Debt_Yr,0,(L3190-0.5*IF(10=Debt_Yr,0,L3493))*INDEX(Fin_Curve,1,10))-L3493-L3493*Fin_ExitFee)</f>
        <v>0</v>
      </c>
    </row>
    <row r="3797" customFormat="false" ht="15" hidden="false" customHeight="false" outlineLevel="0" collapsed="false">
      <c r="B3797" s="108" t="n">
        <f aca="false">'Loan Tape'!$A157</f>
        <v>0</v>
      </c>
      <c r="C3797" s="71" t="n">
        <f aca="false">-'Loan Tape'!$BE157</f>
        <v>-0</v>
      </c>
      <c r="D3797" s="71" t="n">
        <f aca="false">IF(1&gt;Hold_Yrs,0,D2888-IF(1&gt;Debt_Yr,0,(C3191-0.5*IF(1=Debt_Yr,0,C3494))*INDEX(Fin_Curve,1,1))-C3494-C3494*Fin_ExitFee)</f>
        <v>0</v>
      </c>
      <c r="E3797" s="71" t="n">
        <f aca="false">IF(2&gt;Hold_Yrs,0,E2888-IF(2&gt;Debt_Yr,0,(D3191-0.5*IF(2=Debt_Yr,0,D3494))*INDEX(Fin_Curve,1,2))-D3494-D3494*Fin_ExitFee)</f>
        <v>0</v>
      </c>
      <c r="F3797" s="71" t="n">
        <f aca="false">IF(3&gt;Hold_Yrs,0,F2888-IF(3&gt;Debt_Yr,0,(E3191-0.5*IF(3=Debt_Yr,0,E3494))*INDEX(Fin_Curve,1,3))-E3494-E3494*Fin_ExitFee)</f>
        <v>0</v>
      </c>
      <c r="G3797" s="71" t="n">
        <f aca="false">IF(4&gt;Hold_Yrs,0,G2888-IF(4&gt;Debt_Yr,0,(F3191-0.5*IF(4=Debt_Yr,0,F3494))*INDEX(Fin_Curve,1,4))-F3494-F3494*Fin_ExitFee)</f>
        <v>0</v>
      </c>
      <c r="H3797" s="71" t="n">
        <f aca="false">IF(5&gt;Hold_Yrs,0,H2888-IF(5&gt;Debt_Yr,0,(G3191-0.5*IF(5=Debt_Yr,0,G3494))*INDEX(Fin_Curve,1,5))-G3494-G3494*Fin_ExitFee)</f>
        <v>0</v>
      </c>
      <c r="I3797" s="71" t="n">
        <f aca="false">IF(6&gt;Hold_Yrs,0,I2888-IF(6&gt;Debt_Yr,0,(H3191-0.5*IF(6=Debt_Yr,0,H3494))*INDEX(Fin_Curve,1,6))-H3494-H3494*Fin_ExitFee)</f>
        <v>0</v>
      </c>
      <c r="J3797" s="71" t="n">
        <f aca="false">IF(7&gt;Hold_Yrs,0,J2888-IF(7&gt;Debt_Yr,0,(I3191-0.5*IF(7=Debt_Yr,0,I3494))*INDEX(Fin_Curve,1,7))-I3494-I3494*Fin_ExitFee)</f>
        <v>0</v>
      </c>
      <c r="K3797" s="71" t="n">
        <f aca="false">IF(8&gt;Hold_Yrs,0,K2888-IF(8&gt;Debt_Yr,0,(J3191-0.5*IF(8=Debt_Yr,0,J3494))*INDEX(Fin_Curve,1,8))-J3494-J3494*Fin_ExitFee)</f>
        <v>0</v>
      </c>
      <c r="L3797" s="71" t="n">
        <f aca="false">IF(9&gt;Hold_Yrs,0,L2888-IF(9&gt;Debt_Yr,0,(K3191-0.5*IF(9=Debt_Yr,0,K3494))*INDEX(Fin_Curve,1,9))-K3494-K3494*Fin_ExitFee)</f>
        <v>0</v>
      </c>
      <c r="M3797" s="71" t="n">
        <f aca="false">IF(10&gt;Hold_Yrs,0,M2888-IF(10&gt;Debt_Yr,0,(L3191-0.5*IF(10=Debt_Yr,0,L3494))*INDEX(Fin_Curve,1,10))-L3494-L3494*Fin_ExitFee)</f>
        <v>0</v>
      </c>
    </row>
    <row r="3798" customFormat="false" ht="15" hidden="false" customHeight="false" outlineLevel="0" collapsed="false">
      <c r="B3798" s="102" t="n">
        <f aca="false">'Loan Tape'!$A158</f>
        <v>0</v>
      </c>
      <c r="C3798" s="99" t="n">
        <f aca="false">-'Loan Tape'!$BE158</f>
        <v>-0</v>
      </c>
      <c r="D3798" s="99" t="n">
        <f aca="false">IF(1&gt;Hold_Yrs,0,D2889-IF(1&gt;Debt_Yr,0,(C3192-0.5*IF(1=Debt_Yr,0,C3495))*INDEX(Fin_Curve,1,1))-C3495-C3495*Fin_ExitFee)</f>
        <v>0</v>
      </c>
      <c r="E3798" s="99" t="n">
        <f aca="false">IF(2&gt;Hold_Yrs,0,E2889-IF(2&gt;Debt_Yr,0,(D3192-0.5*IF(2=Debt_Yr,0,D3495))*INDEX(Fin_Curve,1,2))-D3495-D3495*Fin_ExitFee)</f>
        <v>0</v>
      </c>
      <c r="F3798" s="99" t="n">
        <f aca="false">IF(3&gt;Hold_Yrs,0,F2889-IF(3&gt;Debt_Yr,0,(E3192-0.5*IF(3=Debt_Yr,0,E3495))*INDEX(Fin_Curve,1,3))-E3495-E3495*Fin_ExitFee)</f>
        <v>0</v>
      </c>
      <c r="G3798" s="99" t="n">
        <f aca="false">IF(4&gt;Hold_Yrs,0,G2889-IF(4&gt;Debt_Yr,0,(F3192-0.5*IF(4=Debt_Yr,0,F3495))*INDEX(Fin_Curve,1,4))-F3495-F3495*Fin_ExitFee)</f>
        <v>0</v>
      </c>
      <c r="H3798" s="99" t="n">
        <f aca="false">IF(5&gt;Hold_Yrs,0,H2889-IF(5&gt;Debt_Yr,0,(G3192-0.5*IF(5=Debt_Yr,0,G3495))*INDEX(Fin_Curve,1,5))-G3495-G3495*Fin_ExitFee)</f>
        <v>0</v>
      </c>
      <c r="I3798" s="99" t="n">
        <f aca="false">IF(6&gt;Hold_Yrs,0,I2889-IF(6&gt;Debt_Yr,0,(H3192-0.5*IF(6=Debt_Yr,0,H3495))*INDEX(Fin_Curve,1,6))-H3495-H3495*Fin_ExitFee)</f>
        <v>0</v>
      </c>
      <c r="J3798" s="99" t="n">
        <f aca="false">IF(7&gt;Hold_Yrs,0,J2889-IF(7&gt;Debt_Yr,0,(I3192-0.5*IF(7=Debt_Yr,0,I3495))*INDEX(Fin_Curve,1,7))-I3495-I3495*Fin_ExitFee)</f>
        <v>0</v>
      </c>
      <c r="K3798" s="99" t="n">
        <f aca="false">IF(8&gt;Hold_Yrs,0,K2889-IF(8&gt;Debt_Yr,0,(J3192-0.5*IF(8=Debt_Yr,0,J3495))*INDEX(Fin_Curve,1,8))-J3495-J3495*Fin_ExitFee)</f>
        <v>0</v>
      </c>
      <c r="L3798" s="99" t="n">
        <f aca="false">IF(9&gt;Hold_Yrs,0,L2889-IF(9&gt;Debt_Yr,0,(K3192-0.5*IF(9=Debt_Yr,0,K3495))*INDEX(Fin_Curve,1,9))-K3495-K3495*Fin_ExitFee)</f>
        <v>0</v>
      </c>
      <c r="M3798" s="99" t="n">
        <f aca="false">IF(10&gt;Hold_Yrs,0,M2889-IF(10&gt;Debt_Yr,0,(L3192-0.5*IF(10=Debt_Yr,0,L3495))*INDEX(Fin_Curve,1,10))-L3495-L3495*Fin_ExitFee)</f>
        <v>0</v>
      </c>
    </row>
    <row r="3799" customFormat="false" ht="15" hidden="false" customHeight="false" outlineLevel="0" collapsed="false">
      <c r="B3799" s="108" t="n">
        <f aca="false">'Loan Tape'!$A159</f>
        <v>0</v>
      </c>
      <c r="C3799" s="71" t="n">
        <f aca="false">-'Loan Tape'!$BE159</f>
        <v>-0</v>
      </c>
      <c r="D3799" s="71" t="n">
        <f aca="false">IF(1&gt;Hold_Yrs,0,D2890-IF(1&gt;Debt_Yr,0,(C3193-0.5*IF(1=Debt_Yr,0,C3496))*INDEX(Fin_Curve,1,1))-C3496-C3496*Fin_ExitFee)</f>
        <v>0</v>
      </c>
      <c r="E3799" s="71" t="n">
        <f aca="false">IF(2&gt;Hold_Yrs,0,E2890-IF(2&gt;Debt_Yr,0,(D3193-0.5*IF(2=Debt_Yr,0,D3496))*INDEX(Fin_Curve,1,2))-D3496-D3496*Fin_ExitFee)</f>
        <v>0</v>
      </c>
      <c r="F3799" s="71" t="n">
        <f aca="false">IF(3&gt;Hold_Yrs,0,F2890-IF(3&gt;Debt_Yr,0,(E3193-0.5*IF(3=Debt_Yr,0,E3496))*INDEX(Fin_Curve,1,3))-E3496-E3496*Fin_ExitFee)</f>
        <v>0</v>
      </c>
      <c r="G3799" s="71" t="n">
        <f aca="false">IF(4&gt;Hold_Yrs,0,G2890-IF(4&gt;Debt_Yr,0,(F3193-0.5*IF(4=Debt_Yr,0,F3496))*INDEX(Fin_Curve,1,4))-F3496-F3496*Fin_ExitFee)</f>
        <v>0</v>
      </c>
      <c r="H3799" s="71" t="n">
        <f aca="false">IF(5&gt;Hold_Yrs,0,H2890-IF(5&gt;Debt_Yr,0,(G3193-0.5*IF(5=Debt_Yr,0,G3496))*INDEX(Fin_Curve,1,5))-G3496-G3496*Fin_ExitFee)</f>
        <v>0</v>
      </c>
      <c r="I3799" s="71" t="n">
        <f aca="false">IF(6&gt;Hold_Yrs,0,I2890-IF(6&gt;Debt_Yr,0,(H3193-0.5*IF(6=Debt_Yr,0,H3496))*INDEX(Fin_Curve,1,6))-H3496-H3496*Fin_ExitFee)</f>
        <v>0</v>
      </c>
      <c r="J3799" s="71" t="n">
        <f aca="false">IF(7&gt;Hold_Yrs,0,J2890-IF(7&gt;Debt_Yr,0,(I3193-0.5*IF(7=Debt_Yr,0,I3496))*INDEX(Fin_Curve,1,7))-I3496-I3496*Fin_ExitFee)</f>
        <v>0</v>
      </c>
      <c r="K3799" s="71" t="n">
        <f aca="false">IF(8&gt;Hold_Yrs,0,K2890-IF(8&gt;Debt_Yr,0,(J3193-0.5*IF(8=Debt_Yr,0,J3496))*INDEX(Fin_Curve,1,8))-J3496-J3496*Fin_ExitFee)</f>
        <v>0</v>
      </c>
      <c r="L3799" s="71" t="n">
        <f aca="false">IF(9&gt;Hold_Yrs,0,L2890-IF(9&gt;Debt_Yr,0,(K3193-0.5*IF(9=Debt_Yr,0,K3496))*INDEX(Fin_Curve,1,9))-K3496-K3496*Fin_ExitFee)</f>
        <v>0</v>
      </c>
      <c r="M3799" s="71" t="n">
        <f aca="false">IF(10&gt;Hold_Yrs,0,M2890-IF(10&gt;Debt_Yr,0,(L3193-0.5*IF(10=Debt_Yr,0,L3496))*INDEX(Fin_Curve,1,10))-L3496-L3496*Fin_ExitFee)</f>
        <v>0</v>
      </c>
    </row>
    <row r="3800" customFormat="false" ht="15" hidden="false" customHeight="false" outlineLevel="0" collapsed="false">
      <c r="B3800" s="102" t="n">
        <f aca="false">'Loan Tape'!$A160</f>
        <v>0</v>
      </c>
      <c r="C3800" s="99" t="n">
        <f aca="false">-'Loan Tape'!$BE160</f>
        <v>-0</v>
      </c>
      <c r="D3800" s="99" t="n">
        <f aca="false">IF(1&gt;Hold_Yrs,0,D2891-IF(1&gt;Debt_Yr,0,(C3194-0.5*IF(1=Debt_Yr,0,C3497))*INDEX(Fin_Curve,1,1))-C3497-C3497*Fin_ExitFee)</f>
        <v>0</v>
      </c>
      <c r="E3800" s="99" t="n">
        <f aca="false">IF(2&gt;Hold_Yrs,0,E2891-IF(2&gt;Debt_Yr,0,(D3194-0.5*IF(2=Debt_Yr,0,D3497))*INDEX(Fin_Curve,1,2))-D3497-D3497*Fin_ExitFee)</f>
        <v>0</v>
      </c>
      <c r="F3800" s="99" t="n">
        <f aca="false">IF(3&gt;Hold_Yrs,0,F2891-IF(3&gt;Debt_Yr,0,(E3194-0.5*IF(3=Debt_Yr,0,E3497))*INDEX(Fin_Curve,1,3))-E3497-E3497*Fin_ExitFee)</f>
        <v>0</v>
      </c>
      <c r="G3800" s="99" t="n">
        <f aca="false">IF(4&gt;Hold_Yrs,0,G2891-IF(4&gt;Debt_Yr,0,(F3194-0.5*IF(4=Debt_Yr,0,F3497))*INDEX(Fin_Curve,1,4))-F3497-F3497*Fin_ExitFee)</f>
        <v>0</v>
      </c>
      <c r="H3800" s="99" t="n">
        <f aca="false">IF(5&gt;Hold_Yrs,0,H2891-IF(5&gt;Debt_Yr,0,(G3194-0.5*IF(5=Debt_Yr,0,G3497))*INDEX(Fin_Curve,1,5))-G3497-G3497*Fin_ExitFee)</f>
        <v>0</v>
      </c>
      <c r="I3800" s="99" t="n">
        <f aca="false">IF(6&gt;Hold_Yrs,0,I2891-IF(6&gt;Debt_Yr,0,(H3194-0.5*IF(6=Debt_Yr,0,H3497))*INDEX(Fin_Curve,1,6))-H3497-H3497*Fin_ExitFee)</f>
        <v>0</v>
      </c>
      <c r="J3800" s="99" t="n">
        <f aca="false">IF(7&gt;Hold_Yrs,0,J2891-IF(7&gt;Debt_Yr,0,(I3194-0.5*IF(7=Debt_Yr,0,I3497))*INDEX(Fin_Curve,1,7))-I3497-I3497*Fin_ExitFee)</f>
        <v>0</v>
      </c>
      <c r="K3800" s="99" t="n">
        <f aca="false">IF(8&gt;Hold_Yrs,0,K2891-IF(8&gt;Debt_Yr,0,(J3194-0.5*IF(8=Debt_Yr,0,J3497))*INDEX(Fin_Curve,1,8))-J3497-J3497*Fin_ExitFee)</f>
        <v>0</v>
      </c>
      <c r="L3800" s="99" t="n">
        <f aca="false">IF(9&gt;Hold_Yrs,0,L2891-IF(9&gt;Debt_Yr,0,(K3194-0.5*IF(9=Debt_Yr,0,K3497))*INDEX(Fin_Curve,1,9))-K3497-K3497*Fin_ExitFee)</f>
        <v>0</v>
      </c>
      <c r="M3800" s="99" t="n">
        <f aca="false">IF(10&gt;Hold_Yrs,0,M2891-IF(10&gt;Debt_Yr,0,(L3194-0.5*IF(10=Debt_Yr,0,L3497))*INDEX(Fin_Curve,1,10))-L3497-L3497*Fin_ExitFee)</f>
        <v>0</v>
      </c>
    </row>
    <row r="3801" customFormat="false" ht="15" hidden="false" customHeight="false" outlineLevel="0" collapsed="false">
      <c r="B3801" s="108" t="n">
        <f aca="false">'Loan Tape'!$A161</f>
        <v>0</v>
      </c>
      <c r="C3801" s="71" t="n">
        <f aca="false">-'Loan Tape'!$BE161</f>
        <v>-0</v>
      </c>
      <c r="D3801" s="71" t="n">
        <f aca="false">IF(1&gt;Hold_Yrs,0,D2892-IF(1&gt;Debt_Yr,0,(C3195-0.5*IF(1=Debt_Yr,0,C3498))*INDEX(Fin_Curve,1,1))-C3498-C3498*Fin_ExitFee)</f>
        <v>0</v>
      </c>
      <c r="E3801" s="71" t="n">
        <f aca="false">IF(2&gt;Hold_Yrs,0,E2892-IF(2&gt;Debt_Yr,0,(D3195-0.5*IF(2=Debt_Yr,0,D3498))*INDEX(Fin_Curve,1,2))-D3498-D3498*Fin_ExitFee)</f>
        <v>0</v>
      </c>
      <c r="F3801" s="71" t="n">
        <f aca="false">IF(3&gt;Hold_Yrs,0,F2892-IF(3&gt;Debt_Yr,0,(E3195-0.5*IF(3=Debt_Yr,0,E3498))*INDEX(Fin_Curve,1,3))-E3498-E3498*Fin_ExitFee)</f>
        <v>0</v>
      </c>
      <c r="G3801" s="71" t="n">
        <f aca="false">IF(4&gt;Hold_Yrs,0,G2892-IF(4&gt;Debt_Yr,0,(F3195-0.5*IF(4=Debt_Yr,0,F3498))*INDEX(Fin_Curve,1,4))-F3498-F3498*Fin_ExitFee)</f>
        <v>0</v>
      </c>
      <c r="H3801" s="71" t="n">
        <f aca="false">IF(5&gt;Hold_Yrs,0,H2892-IF(5&gt;Debt_Yr,0,(G3195-0.5*IF(5=Debt_Yr,0,G3498))*INDEX(Fin_Curve,1,5))-G3498-G3498*Fin_ExitFee)</f>
        <v>0</v>
      </c>
      <c r="I3801" s="71" t="n">
        <f aca="false">IF(6&gt;Hold_Yrs,0,I2892-IF(6&gt;Debt_Yr,0,(H3195-0.5*IF(6=Debt_Yr,0,H3498))*INDEX(Fin_Curve,1,6))-H3498-H3498*Fin_ExitFee)</f>
        <v>0</v>
      </c>
      <c r="J3801" s="71" t="n">
        <f aca="false">IF(7&gt;Hold_Yrs,0,J2892-IF(7&gt;Debt_Yr,0,(I3195-0.5*IF(7=Debt_Yr,0,I3498))*INDEX(Fin_Curve,1,7))-I3498-I3498*Fin_ExitFee)</f>
        <v>0</v>
      </c>
      <c r="K3801" s="71" t="n">
        <f aca="false">IF(8&gt;Hold_Yrs,0,K2892-IF(8&gt;Debt_Yr,0,(J3195-0.5*IF(8=Debt_Yr,0,J3498))*INDEX(Fin_Curve,1,8))-J3498-J3498*Fin_ExitFee)</f>
        <v>0</v>
      </c>
      <c r="L3801" s="71" t="n">
        <f aca="false">IF(9&gt;Hold_Yrs,0,L2892-IF(9&gt;Debt_Yr,0,(K3195-0.5*IF(9=Debt_Yr,0,K3498))*INDEX(Fin_Curve,1,9))-K3498-K3498*Fin_ExitFee)</f>
        <v>0</v>
      </c>
      <c r="M3801" s="71" t="n">
        <f aca="false">IF(10&gt;Hold_Yrs,0,M2892-IF(10&gt;Debt_Yr,0,(L3195-0.5*IF(10=Debt_Yr,0,L3498))*INDEX(Fin_Curve,1,10))-L3498-L3498*Fin_ExitFee)</f>
        <v>0</v>
      </c>
    </row>
    <row r="3802" customFormat="false" ht="15" hidden="false" customHeight="false" outlineLevel="0" collapsed="false">
      <c r="B3802" s="102" t="n">
        <f aca="false">'Loan Tape'!$A162</f>
        <v>0</v>
      </c>
      <c r="C3802" s="99" t="n">
        <f aca="false">-'Loan Tape'!$BE162</f>
        <v>-0</v>
      </c>
      <c r="D3802" s="99" t="n">
        <f aca="false">IF(1&gt;Hold_Yrs,0,D2893-IF(1&gt;Debt_Yr,0,(C3196-0.5*IF(1=Debt_Yr,0,C3499))*INDEX(Fin_Curve,1,1))-C3499-C3499*Fin_ExitFee)</f>
        <v>0</v>
      </c>
      <c r="E3802" s="99" t="n">
        <f aca="false">IF(2&gt;Hold_Yrs,0,E2893-IF(2&gt;Debt_Yr,0,(D3196-0.5*IF(2=Debt_Yr,0,D3499))*INDEX(Fin_Curve,1,2))-D3499-D3499*Fin_ExitFee)</f>
        <v>0</v>
      </c>
      <c r="F3802" s="99" t="n">
        <f aca="false">IF(3&gt;Hold_Yrs,0,F2893-IF(3&gt;Debt_Yr,0,(E3196-0.5*IF(3=Debt_Yr,0,E3499))*INDEX(Fin_Curve,1,3))-E3499-E3499*Fin_ExitFee)</f>
        <v>0</v>
      </c>
      <c r="G3802" s="99" t="n">
        <f aca="false">IF(4&gt;Hold_Yrs,0,G2893-IF(4&gt;Debt_Yr,0,(F3196-0.5*IF(4=Debt_Yr,0,F3499))*INDEX(Fin_Curve,1,4))-F3499-F3499*Fin_ExitFee)</f>
        <v>0</v>
      </c>
      <c r="H3802" s="99" t="n">
        <f aca="false">IF(5&gt;Hold_Yrs,0,H2893-IF(5&gt;Debt_Yr,0,(G3196-0.5*IF(5=Debt_Yr,0,G3499))*INDEX(Fin_Curve,1,5))-G3499-G3499*Fin_ExitFee)</f>
        <v>0</v>
      </c>
      <c r="I3802" s="99" t="n">
        <f aca="false">IF(6&gt;Hold_Yrs,0,I2893-IF(6&gt;Debt_Yr,0,(H3196-0.5*IF(6=Debt_Yr,0,H3499))*INDEX(Fin_Curve,1,6))-H3499-H3499*Fin_ExitFee)</f>
        <v>0</v>
      </c>
      <c r="J3802" s="99" t="n">
        <f aca="false">IF(7&gt;Hold_Yrs,0,J2893-IF(7&gt;Debt_Yr,0,(I3196-0.5*IF(7=Debt_Yr,0,I3499))*INDEX(Fin_Curve,1,7))-I3499-I3499*Fin_ExitFee)</f>
        <v>0</v>
      </c>
      <c r="K3802" s="99" t="n">
        <f aca="false">IF(8&gt;Hold_Yrs,0,K2893-IF(8&gt;Debt_Yr,0,(J3196-0.5*IF(8=Debt_Yr,0,J3499))*INDEX(Fin_Curve,1,8))-J3499-J3499*Fin_ExitFee)</f>
        <v>0</v>
      </c>
      <c r="L3802" s="99" t="n">
        <f aca="false">IF(9&gt;Hold_Yrs,0,L2893-IF(9&gt;Debt_Yr,0,(K3196-0.5*IF(9=Debt_Yr,0,K3499))*INDEX(Fin_Curve,1,9))-K3499-K3499*Fin_ExitFee)</f>
        <v>0</v>
      </c>
      <c r="M3802" s="99" t="n">
        <f aca="false">IF(10&gt;Hold_Yrs,0,M2893-IF(10&gt;Debt_Yr,0,(L3196-0.5*IF(10=Debt_Yr,0,L3499))*INDEX(Fin_Curve,1,10))-L3499-L3499*Fin_ExitFee)</f>
        <v>0</v>
      </c>
    </row>
    <row r="3803" customFormat="false" ht="15" hidden="false" customHeight="false" outlineLevel="0" collapsed="false">
      <c r="B3803" s="108" t="n">
        <f aca="false">'Loan Tape'!$A163</f>
        <v>0</v>
      </c>
      <c r="C3803" s="71" t="n">
        <f aca="false">-'Loan Tape'!$BE163</f>
        <v>-0</v>
      </c>
      <c r="D3803" s="71" t="n">
        <f aca="false">IF(1&gt;Hold_Yrs,0,D2894-IF(1&gt;Debt_Yr,0,(C3197-0.5*IF(1=Debt_Yr,0,C3500))*INDEX(Fin_Curve,1,1))-C3500-C3500*Fin_ExitFee)</f>
        <v>0</v>
      </c>
      <c r="E3803" s="71" t="n">
        <f aca="false">IF(2&gt;Hold_Yrs,0,E2894-IF(2&gt;Debt_Yr,0,(D3197-0.5*IF(2=Debt_Yr,0,D3500))*INDEX(Fin_Curve,1,2))-D3500-D3500*Fin_ExitFee)</f>
        <v>0</v>
      </c>
      <c r="F3803" s="71" t="n">
        <f aca="false">IF(3&gt;Hold_Yrs,0,F2894-IF(3&gt;Debt_Yr,0,(E3197-0.5*IF(3=Debt_Yr,0,E3500))*INDEX(Fin_Curve,1,3))-E3500-E3500*Fin_ExitFee)</f>
        <v>0</v>
      </c>
      <c r="G3803" s="71" t="n">
        <f aca="false">IF(4&gt;Hold_Yrs,0,G2894-IF(4&gt;Debt_Yr,0,(F3197-0.5*IF(4=Debt_Yr,0,F3500))*INDEX(Fin_Curve,1,4))-F3500-F3500*Fin_ExitFee)</f>
        <v>0</v>
      </c>
      <c r="H3803" s="71" t="n">
        <f aca="false">IF(5&gt;Hold_Yrs,0,H2894-IF(5&gt;Debt_Yr,0,(G3197-0.5*IF(5=Debt_Yr,0,G3500))*INDEX(Fin_Curve,1,5))-G3500-G3500*Fin_ExitFee)</f>
        <v>0</v>
      </c>
      <c r="I3803" s="71" t="n">
        <f aca="false">IF(6&gt;Hold_Yrs,0,I2894-IF(6&gt;Debt_Yr,0,(H3197-0.5*IF(6=Debt_Yr,0,H3500))*INDEX(Fin_Curve,1,6))-H3500-H3500*Fin_ExitFee)</f>
        <v>0</v>
      </c>
      <c r="J3803" s="71" t="n">
        <f aca="false">IF(7&gt;Hold_Yrs,0,J2894-IF(7&gt;Debt_Yr,0,(I3197-0.5*IF(7=Debt_Yr,0,I3500))*INDEX(Fin_Curve,1,7))-I3500-I3500*Fin_ExitFee)</f>
        <v>0</v>
      </c>
      <c r="K3803" s="71" t="n">
        <f aca="false">IF(8&gt;Hold_Yrs,0,K2894-IF(8&gt;Debt_Yr,0,(J3197-0.5*IF(8=Debt_Yr,0,J3500))*INDEX(Fin_Curve,1,8))-J3500-J3500*Fin_ExitFee)</f>
        <v>0</v>
      </c>
      <c r="L3803" s="71" t="n">
        <f aca="false">IF(9&gt;Hold_Yrs,0,L2894-IF(9&gt;Debt_Yr,0,(K3197-0.5*IF(9=Debt_Yr,0,K3500))*INDEX(Fin_Curve,1,9))-K3500-K3500*Fin_ExitFee)</f>
        <v>0</v>
      </c>
      <c r="M3803" s="71" t="n">
        <f aca="false">IF(10&gt;Hold_Yrs,0,M2894-IF(10&gt;Debt_Yr,0,(L3197-0.5*IF(10=Debt_Yr,0,L3500))*INDEX(Fin_Curve,1,10))-L3500-L3500*Fin_ExitFee)</f>
        <v>0</v>
      </c>
    </row>
    <row r="3804" customFormat="false" ht="15" hidden="false" customHeight="false" outlineLevel="0" collapsed="false">
      <c r="B3804" s="102" t="n">
        <f aca="false">'Loan Tape'!$A164</f>
        <v>0</v>
      </c>
      <c r="C3804" s="99" t="n">
        <f aca="false">-'Loan Tape'!$BE164</f>
        <v>-0</v>
      </c>
      <c r="D3804" s="99" t="n">
        <f aca="false">IF(1&gt;Hold_Yrs,0,D2895-IF(1&gt;Debt_Yr,0,(C3198-0.5*IF(1=Debt_Yr,0,C3501))*INDEX(Fin_Curve,1,1))-C3501-C3501*Fin_ExitFee)</f>
        <v>0</v>
      </c>
      <c r="E3804" s="99" t="n">
        <f aca="false">IF(2&gt;Hold_Yrs,0,E2895-IF(2&gt;Debt_Yr,0,(D3198-0.5*IF(2=Debt_Yr,0,D3501))*INDEX(Fin_Curve,1,2))-D3501-D3501*Fin_ExitFee)</f>
        <v>0</v>
      </c>
      <c r="F3804" s="99" t="n">
        <f aca="false">IF(3&gt;Hold_Yrs,0,F2895-IF(3&gt;Debt_Yr,0,(E3198-0.5*IF(3=Debt_Yr,0,E3501))*INDEX(Fin_Curve,1,3))-E3501-E3501*Fin_ExitFee)</f>
        <v>0</v>
      </c>
      <c r="G3804" s="99" t="n">
        <f aca="false">IF(4&gt;Hold_Yrs,0,G2895-IF(4&gt;Debt_Yr,0,(F3198-0.5*IF(4=Debt_Yr,0,F3501))*INDEX(Fin_Curve,1,4))-F3501-F3501*Fin_ExitFee)</f>
        <v>0</v>
      </c>
      <c r="H3804" s="99" t="n">
        <f aca="false">IF(5&gt;Hold_Yrs,0,H2895-IF(5&gt;Debt_Yr,0,(G3198-0.5*IF(5=Debt_Yr,0,G3501))*INDEX(Fin_Curve,1,5))-G3501-G3501*Fin_ExitFee)</f>
        <v>0</v>
      </c>
      <c r="I3804" s="99" t="n">
        <f aca="false">IF(6&gt;Hold_Yrs,0,I2895-IF(6&gt;Debt_Yr,0,(H3198-0.5*IF(6=Debt_Yr,0,H3501))*INDEX(Fin_Curve,1,6))-H3501-H3501*Fin_ExitFee)</f>
        <v>0</v>
      </c>
      <c r="J3804" s="99" t="n">
        <f aca="false">IF(7&gt;Hold_Yrs,0,J2895-IF(7&gt;Debt_Yr,0,(I3198-0.5*IF(7=Debt_Yr,0,I3501))*INDEX(Fin_Curve,1,7))-I3501-I3501*Fin_ExitFee)</f>
        <v>0</v>
      </c>
      <c r="K3804" s="99" t="n">
        <f aca="false">IF(8&gt;Hold_Yrs,0,K2895-IF(8&gt;Debt_Yr,0,(J3198-0.5*IF(8=Debt_Yr,0,J3501))*INDEX(Fin_Curve,1,8))-J3501-J3501*Fin_ExitFee)</f>
        <v>0</v>
      </c>
      <c r="L3804" s="99" t="n">
        <f aca="false">IF(9&gt;Hold_Yrs,0,L2895-IF(9&gt;Debt_Yr,0,(K3198-0.5*IF(9=Debt_Yr,0,K3501))*INDEX(Fin_Curve,1,9))-K3501-K3501*Fin_ExitFee)</f>
        <v>0</v>
      </c>
      <c r="M3804" s="99" t="n">
        <f aca="false">IF(10&gt;Hold_Yrs,0,M2895-IF(10&gt;Debt_Yr,0,(L3198-0.5*IF(10=Debt_Yr,0,L3501))*INDEX(Fin_Curve,1,10))-L3501-L3501*Fin_ExitFee)</f>
        <v>0</v>
      </c>
    </row>
    <row r="3805" customFormat="false" ht="15" hidden="false" customHeight="false" outlineLevel="0" collapsed="false">
      <c r="B3805" s="108" t="n">
        <f aca="false">'Loan Tape'!$A165</f>
        <v>0</v>
      </c>
      <c r="C3805" s="71" t="n">
        <f aca="false">-'Loan Tape'!$BE165</f>
        <v>-0</v>
      </c>
      <c r="D3805" s="71" t="n">
        <f aca="false">IF(1&gt;Hold_Yrs,0,D2896-IF(1&gt;Debt_Yr,0,(C3199-0.5*IF(1=Debt_Yr,0,C3502))*INDEX(Fin_Curve,1,1))-C3502-C3502*Fin_ExitFee)</f>
        <v>0</v>
      </c>
      <c r="E3805" s="71" t="n">
        <f aca="false">IF(2&gt;Hold_Yrs,0,E2896-IF(2&gt;Debt_Yr,0,(D3199-0.5*IF(2=Debt_Yr,0,D3502))*INDEX(Fin_Curve,1,2))-D3502-D3502*Fin_ExitFee)</f>
        <v>0</v>
      </c>
      <c r="F3805" s="71" t="n">
        <f aca="false">IF(3&gt;Hold_Yrs,0,F2896-IF(3&gt;Debt_Yr,0,(E3199-0.5*IF(3=Debt_Yr,0,E3502))*INDEX(Fin_Curve,1,3))-E3502-E3502*Fin_ExitFee)</f>
        <v>0</v>
      </c>
      <c r="G3805" s="71" t="n">
        <f aca="false">IF(4&gt;Hold_Yrs,0,G2896-IF(4&gt;Debt_Yr,0,(F3199-0.5*IF(4=Debt_Yr,0,F3502))*INDEX(Fin_Curve,1,4))-F3502-F3502*Fin_ExitFee)</f>
        <v>0</v>
      </c>
      <c r="H3805" s="71" t="n">
        <f aca="false">IF(5&gt;Hold_Yrs,0,H2896-IF(5&gt;Debt_Yr,0,(G3199-0.5*IF(5=Debt_Yr,0,G3502))*INDEX(Fin_Curve,1,5))-G3502-G3502*Fin_ExitFee)</f>
        <v>0</v>
      </c>
      <c r="I3805" s="71" t="n">
        <f aca="false">IF(6&gt;Hold_Yrs,0,I2896-IF(6&gt;Debt_Yr,0,(H3199-0.5*IF(6=Debt_Yr,0,H3502))*INDEX(Fin_Curve,1,6))-H3502-H3502*Fin_ExitFee)</f>
        <v>0</v>
      </c>
      <c r="J3805" s="71" t="n">
        <f aca="false">IF(7&gt;Hold_Yrs,0,J2896-IF(7&gt;Debt_Yr,0,(I3199-0.5*IF(7=Debt_Yr,0,I3502))*INDEX(Fin_Curve,1,7))-I3502-I3502*Fin_ExitFee)</f>
        <v>0</v>
      </c>
      <c r="K3805" s="71" t="n">
        <f aca="false">IF(8&gt;Hold_Yrs,0,K2896-IF(8&gt;Debt_Yr,0,(J3199-0.5*IF(8=Debt_Yr,0,J3502))*INDEX(Fin_Curve,1,8))-J3502-J3502*Fin_ExitFee)</f>
        <v>0</v>
      </c>
      <c r="L3805" s="71" t="n">
        <f aca="false">IF(9&gt;Hold_Yrs,0,L2896-IF(9&gt;Debt_Yr,0,(K3199-0.5*IF(9=Debt_Yr,0,K3502))*INDEX(Fin_Curve,1,9))-K3502-K3502*Fin_ExitFee)</f>
        <v>0</v>
      </c>
      <c r="M3805" s="71" t="n">
        <f aca="false">IF(10&gt;Hold_Yrs,0,M2896-IF(10&gt;Debt_Yr,0,(L3199-0.5*IF(10=Debt_Yr,0,L3502))*INDEX(Fin_Curve,1,10))-L3502-L3502*Fin_ExitFee)</f>
        <v>0</v>
      </c>
    </row>
    <row r="3806" customFormat="false" ht="15" hidden="false" customHeight="false" outlineLevel="0" collapsed="false">
      <c r="B3806" s="102" t="n">
        <f aca="false">'Loan Tape'!$A166</f>
        <v>0</v>
      </c>
      <c r="C3806" s="99" t="n">
        <f aca="false">-'Loan Tape'!$BE166</f>
        <v>-0</v>
      </c>
      <c r="D3806" s="99" t="n">
        <f aca="false">IF(1&gt;Hold_Yrs,0,D2897-IF(1&gt;Debt_Yr,0,(C3200-0.5*IF(1=Debt_Yr,0,C3503))*INDEX(Fin_Curve,1,1))-C3503-C3503*Fin_ExitFee)</f>
        <v>0</v>
      </c>
      <c r="E3806" s="99" t="n">
        <f aca="false">IF(2&gt;Hold_Yrs,0,E2897-IF(2&gt;Debt_Yr,0,(D3200-0.5*IF(2=Debt_Yr,0,D3503))*INDEX(Fin_Curve,1,2))-D3503-D3503*Fin_ExitFee)</f>
        <v>0</v>
      </c>
      <c r="F3806" s="99" t="n">
        <f aca="false">IF(3&gt;Hold_Yrs,0,F2897-IF(3&gt;Debt_Yr,0,(E3200-0.5*IF(3=Debt_Yr,0,E3503))*INDEX(Fin_Curve,1,3))-E3503-E3503*Fin_ExitFee)</f>
        <v>0</v>
      </c>
      <c r="G3806" s="99" t="n">
        <f aca="false">IF(4&gt;Hold_Yrs,0,G2897-IF(4&gt;Debt_Yr,0,(F3200-0.5*IF(4=Debt_Yr,0,F3503))*INDEX(Fin_Curve,1,4))-F3503-F3503*Fin_ExitFee)</f>
        <v>0</v>
      </c>
      <c r="H3806" s="99" t="n">
        <f aca="false">IF(5&gt;Hold_Yrs,0,H2897-IF(5&gt;Debt_Yr,0,(G3200-0.5*IF(5=Debt_Yr,0,G3503))*INDEX(Fin_Curve,1,5))-G3503-G3503*Fin_ExitFee)</f>
        <v>0</v>
      </c>
      <c r="I3806" s="99" t="n">
        <f aca="false">IF(6&gt;Hold_Yrs,0,I2897-IF(6&gt;Debt_Yr,0,(H3200-0.5*IF(6=Debt_Yr,0,H3503))*INDEX(Fin_Curve,1,6))-H3503-H3503*Fin_ExitFee)</f>
        <v>0</v>
      </c>
      <c r="J3806" s="99" t="n">
        <f aca="false">IF(7&gt;Hold_Yrs,0,J2897-IF(7&gt;Debt_Yr,0,(I3200-0.5*IF(7=Debt_Yr,0,I3503))*INDEX(Fin_Curve,1,7))-I3503-I3503*Fin_ExitFee)</f>
        <v>0</v>
      </c>
      <c r="K3806" s="99" t="n">
        <f aca="false">IF(8&gt;Hold_Yrs,0,K2897-IF(8&gt;Debt_Yr,0,(J3200-0.5*IF(8=Debt_Yr,0,J3503))*INDEX(Fin_Curve,1,8))-J3503-J3503*Fin_ExitFee)</f>
        <v>0</v>
      </c>
      <c r="L3806" s="99" t="n">
        <f aca="false">IF(9&gt;Hold_Yrs,0,L2897-IF(9&gt;Debt_Yr,0,(K3200-0.5*IF(9=Debt_Yr,0,K3503))*INDEX(Fin_Curve,1,9))-K3503-K3503*Fin_ExitFee)</f>
        <v>0</v>
      </c>
      <c r="M3806" s="99" t="n">
        <f aca="false">IF(10&gt;Hold_Yrs,0,M2897-IF(10&gt;Debt_Yr,0,(L3200-0.5*IF(10=Debt_Yr,0,L3503))*INDEX(Fin_Curve,1,10))-L3503-L3503*Fin_ExitFee)</f>
        <v>0</v>
      </c>
    </row>
    <row r="3807" customFormat="false" ht="15" hidden="false" customHeight="false" outlineLevel="0" collapsed="false">
      <c r="B3807" s="108" t="n">
        <f aca="false">'Loan Tape'!$A167</f>
        <v>0</v>
      </c>
      <c r="C3807" s="71" t="n">
        <f aca="false">-'Loan Tape'!$BE167</f>
        <v>-0</v>
      </c>
      <c r="D3807" s="71" t="n">
        <f aca="false">IF(1&gt;Hold_Yrs,0,D2898-IF(1&gt;Debt_Yr,0,(C3201-0.5*IF(1=Debt_Yr,0,C3504))*INDEX(Fin_Curve,1,1))-C3504-C3504*Fin_ExitFee)</f>
        <v>0</v>
      </c>
      <c r="E3807" s="71" t="n">
        <f aca="false">IF(2&gt;Hold_Yrs,0,E2898-IF(2&gt;Debt_Yr,0,(D3201-0.5*IF(2=Debt_Yr,0,D3504))*INDEX(Fin_Curve,1,2))-D3504-D3504*Fin_ExitFee)</f>
        <v>0</v>
      </c>
      <c r="F3807" s="71" t="n">
        <f aca="false">IF(3&gt;Hold_Yrs,0,F2898-IF(3&gt;Debt_Yr,0,(E3201-0.5*IF(3=Debt_Yr,0,E3504))*INDEX(Fin_Curve,1,3))-E3504-E3504*Fin_ExitFee)</f>
        <v>0</v>
      </c>
      <c r="G3807" s="71" t="n">
        <f aca="false">IF(4&gt;Hold_Yrs,0,G2898-IF(4&gt;Debt_Yr,0,(F3201-0.5*IF(4=Debt_Yr,0,F3504))*INDEX(Fin_Curve,1,4))-F3504-F3504*Fin_ExitFee)</f>
        <v>0</v>
      </c>
      <c r="H3807" s="71" t="n">
        <f aca="false">IF(5&gt;Hold_Yrs,0,H2898-IF(5&gt;Debt_Yr,0,(G3201-0.5*IF(5=Debt_Yr,0,G3504))*INDEX(Fin_Curve,1,5))-G3504-G3504*Fin_ExitFee)</f>
        <v>0</v>
      </c>
      <c r="I3807" s="71" t="n">
        <f aca="false">IF(6&gt;Hold_Yrs,0,I2898-IF(6&gt;Debt_Yr,0,(H3201-0.5*IF(6=Debt_Yr,0,H3504))*INDEX(Fin_Curve,1,6))-H3504-H3504*Fin_ExitFee)</f>
        <v>0</v>
      </c>
      <c r="J3807" s="71" t="n">
        <f aca="false">IF(7&gt;Hold_Yrs,0,J2898-IF(7&gt;Debt_Yr,0,(I3201-0.5*IF(7=Debt_Yr,0,I3504))*INDEX(Fin_Curve,1,7))-I3504-I3504*Fin_ExitFee)</f>
        <v>0</v>
      </c>
      <c r="K3807" s="71" t="n">
        <f aca="false">IF(8&gt;Hold_Yrs,0,K2898-IF(8&gt;Debt_Yr,0,(J3201-0.5*IF(8=Debt_Yr,0,J3504))*INDEX(Fin_Curve,1,8))-J3504-J3504*Fin_ExitFee)</f>
        <v>0</v>
      </c>
      <c r="L3807" s="71" t="n">
        <f aca="false">IF(9&gt;Hold_Yrs,0,L2898-IF(9&gt;Debt_Yr,0,(K3201-0.5*IF(9=Debt_Yr,0,K3504))*INDEX(Fin_Curve,1,9))-K3504-K3504*Fin_ExitFee)</f>
        <v>0</v>
      </c>
      <c r="M3807" s="71" t="n">
        <f aca="false">IF(10&gt;Hold_Yrs,0,M2898-IF(10&gt;Debt_Yr,0,(L3201-0.5*IF(10=Debt_Yr,0,L3504))*INDEX(Fin_Curve,1,10))-L3504-L3504*Fin_ExitFee)</f>
        <v>0</v>
      </c>
    </row>
    <row r="3808" customFormat="false" ht="15" hidden="false" customHeight="false" outlineLevel="0" collapsed="false">
      <c r="B3808" s="102" t="n">
        <f aca="false">'Loan Tape'!$A168</f>
        <v>0</v>
      </c>
      <c r="C3808" s="99" t="n">
        <f aca="false">-'Loan Tape'!$BE168</f>
        <v>-0</v>
      </c>
      <c r="D3808" s="99" t="n">
        <f aca="false">IF(1&gt;Hold_Yrs,0,D2899-IF(1&gt;Debt_Yr,0,(C3202-0.5*IF(1=Debt_Yr,0,C3505))*INDEX(Fin_Curve,1,1))-C3505-C3505*Fin_ExitFee)</f>
        <v>0</v>
      </c>
      <c r="E3808" s="99" t="n">
        <f aca="false">IF(2&gt;Hold_Yrs,0,E2899-IF(2&gt;Debt_Yr,0,(D3202-0.5*IF(2=Debt_Yr,0,D3505))*INDEX(Fin_Curve,1,2))-D3505-D3505*Fin_ExitFee)</f>
        <v>0</v>
      </c>
      <c r="F3808" s="99" t="n">
        <f aca="false">IF(3&gt;Hold_Yrs,0,F2899-IF(3&gt;Debt_Yr,0,(E3202-0.5*IF(3=Debt_Yr,0,E3505))*INDEX(Fin_Curve,1,3))-E3505-E3505*Fin_ExitFee)</f>
        <v>0</v>
      </c>
      <c r="G3808" s="99" t="n">
        <f aca="false">IF(4&gt;Hold_Yrs,0,G2899-IF(4&gt;Debt_Yr,0,(F3202-0.5*IF(4=Debt_Yr,0,F3505))*INDEX(Fin_Curve,1,4))-F3505-F3505*Fin_ExitFee)</f>
        <v>0</v>
      </c>
      <c r="H3808" s="99" t="n">
        <f aca="false">IF(5&gt;Hold_Yrs,0,H2899-IF(5&gt;Debt_Yr,0,(G3202-0.5*IF(5=Debt_Yr,0,G3505))*INDEX(Fin_Curve,1,5))-G3505-G3505*Fin_ExitFee)</f>
        <v>0</v>
      </c>
      <c r="I3808" s="99" t="n">
        <f aca="false">IF(6&gt;Hold_Yrs,0,I2899-IF(6&gt;Debt_Yr,0,(H3202-0.5*IF(6=Debt_Yr,0,H3505))*INDEX(Fin_Curve,1,6))-H3505-H3505*Fin_ExitFee)</f>
        <v>0</v>
      </c>
      <c r="J3808" s="99" t="n">
        <f aca="false">IF(7&gt;Hold_Yrs,0,J2899-IF(7&gt;Debt_Yr,0,(I3202-0.5*IF(7=Debt_Yr,0,I3505))*INDEX(Fin_Curve,1,7))-I3505-I3505*Fin_ExitFee)</f>
        <v>0</v>
      </c>
      <c r="K3808" s="99" t="n">
        <f aca="false">IF(8&gt;Hold_Yrs,0,K2899-IF(8&gt;Debt_Yr,0,(J3202-0.5*IF(8=Debt_Yr,0,J3505))*INDEX(Fin_Curve,1,8))-J3505-J3505*Fin_ExitFee)</f>
        <v>0</v>
      </c>
      <c r="L3808" s="99" t="n">
        <f aca="false">IF(9&gt;Hold_Yrs,0,L2899-IF(9&gt;Debt_Yr,0,(K3202-0.5*IF(9=Debt_Yr,0,K3505))*INDEX(Fin_Curve,1,9))-K3505-K3505*Fin_ExitFee)</f>
        <v>0</v>
      </c>
      <c r="M3808" s="99" t="n">
        <f aca="false">IF(10&gt;Hold_Yrs,0,M2899-IF(10&gt;Debt_Yr,0,(L3202-0.5*IF(10=Debt_Yr,0,L3505))*INDEX(Fin_Curve,1,10))-L3505-L3505*Fin_ExitFee)</f>
        <v>0</v>
      </c>
    </row>
    <row r="3809" customFormat="false" ht="15" hidden="false" customHeight="false" outlineLevel="0" collapsed="false">
      <c r="B3809" s="108" t="n">
        <f aca="false">'Loan Tape'!$A169</f>
        <v>0</v>
      </c>
      <c r="C3809" s="71" t="n">
        <f aca="false">-'Loan Tape'!$BE169</f>
        <v>-0</v>
      </c>
      <c r="D3809" s="71" t="n">
        <f aca="false">IF(1&gt;Hold_Yrs,0,D2900-IF(1&gt;Debt_Yr,0,(C3203-0.5*IF(1=Debt_Yr,0,C3506))*INDEX(Fin_Curve,1,1))-C3506-C3506*Fin_ExitFee)</f>
        <v>0</v>
      </c>
      <c r="E3809" s="71" t="n">
        <f aca="false">IF(2&gt;Hold_Yrs,0,E2900-IF(2&gt;Debt_Yr,0,(D3203-0.5*IF(2=Debt_Yr,0,D3506))*INDEX(Fin_Curve,1,2))-D3506-D3506*Fin_ExitFee)</f>
        <v>0</v>
      </c>
      <c r="F3809" s="71" t="n">
        <f aca="false">IF(3&gt;Hold_Yrs,0,F2900-IF(3&gt;Debt_Yr,0,(E3203-0.5*IF(3=Debt_Yr,0,E3506))*INDEX(Fin_Curve,1,3))-E3506-E3506*Fin_ExitFee)</f>
        <v>0</v>
      </c>
      <c r="G3809" s="71" t="n">
        <f aca="false">IF(4&gt;Hold_Yrs,0,G2900-IF(4&gt;Debt_Yr,0,(F3203-0.5*IF(4=Debt_Yr,0,F3506))*INDEX(Fin_Curve,1,4))-F3506-F3506*Fin_ExitFee)</f>
        <v>0</v>
      </c>
      <c r="H3809" s="71" t="n">
        <f aca="false">IF(5&gt;Hold_Yrs,0,H2900-IF(5&gt;Debt_Yr,0,(G3203-0.5*IF(5=Debt_Yr,0,G3506))*INDEX(Fin_Curve,1,5))-G3506-G3506*Fin_ExitFee)</f>
        <v>0</v>
      </c>
      <c r="I3809" s="71" t="n">
        <f aca="false">IF(6&gt;Hold_Yrs,0,I2900-IF(6&gt;Debt_Yr,0,(H3203-0.5*IF(6=Debt_Yr,0,H3506))*INDEX(Fin_Curve,1,6))-H3506-H3506*Fin_ExitFee)</f>
        <v>0</v>
      </c>
      <c r="J3809" s="71" t="n">
        <f aca="false">IF(7&gt;Hold_Yrs,0,J2900-IF(7&gt;Debt_Yr,0,(I3203-0.5*IF(7=Debt_Yr,0,I3506))*INDEX(Fin_Curve,1,7))-I3506-I3506*Fin_ExitFee)</f>
        <v>0</v>
      </c>
      <c r="K3809" s="71" t="n">
        <f aca="false">IF(8&gt;Hold_Yrs,0,K2900-IF(8&gt;Debt_Yr,0,(J3203-0.5*IF(8=Debt_Yr,0,J3506))*INDEX(Fin_Curve,1,8))-J3506-J3506*Fin_ExitFee)</f>
        <v>0</v>
      </c>
      <c r="L3809" s="71" t="n">
        <f aca="false">IF(9&gt;Hold_Yrs,0,L2900-IF(9&gt;Debt_Yr,0,(K3203-0.5*IF(9=Debt_Yr,0,K3506))*INDEX(Fin_Curve,1,9))-K3506-K3506*Fin_ExitFee)</f>
        <v>0</v>
      </c>
      <c r="M3809" s="71" t="n">
        <f aca="false">IF(10&gt;Hold_Yrs,0,M2900-IF(10&gt;Debt_Yr,0,(L3203-0.5*IF(10=Debt_Yr,0,L3506))*INDEX(Fin_Curve,1,10))-L3506-L3506*Fin_ExitFee)</f>
        <v>0</v>
      </c>
    </row>
    <row r="3810" customFormat="false" ht="15" hidden="false" customHeight="false" outlineLevel="0" collapsed="false">
      <c r="B3810" s="102" t="n">
        <f aca="false">'Loan Tape'!$A170</f>
        <v>0</v>
      </c>
      <c r="C3810" s="99" t="n">
        <f aca="false">-'Loan Tape'!$BE170</f>
        <v>-0</v>
      </c>
      <c r="D3810" s="99" t="n">
        <f aca="false">IF(1&gt;Hold_Yrs,0,D2901-IF(1&gt;Debt_Yr,0,(C3204-0.5*IF(1=Debt_Yr,0,C3507))*INDEX(Fin_Curve,1,1))-C3507-C3507*Fin_ExitFee)</f>
        <v>0</v>
      </c>
      <c r="E3810" s="99" t="n">
        <f aca="false">IF(2&gt;Hold_Yrs,0,E2901-IF(2&gt;Debt_Yr,0,(D3204-0.5*IF(2=Debt_Yr,0,D3507))*INDEX(Fin_Curve,1,2))-D3507-D3507*Fin_ExitFee)</f>
        <v>0</v>
      </c>
      <c r="F3810" s="99" t="n">
        <f aca="false">IF(3&gt;Hold_Yrs,0,F2901-IF(3&gt;Debt_Yr,0,(E3204-0.5*IF(3=Debt_Yr,0,E3507))*INDEX(Fin_Curve,1,3))-E3507-E3507*Fin_ExitFee)</f>
        <v>0</v>
      </c>
      <c r="G3810" s="99" t="n">
        <f aca="false">IF(4&gt;Hold_Yrs,0,G2901-IF(4&gt;Debt_Yr,0,(F3204-0.5*IF(4=Debt_Yr,0,F3507))*INDEX(Fin_Curve,1,4))-F3507-F3507*Fin_ExitFee)</f>
        <v>0</v>
      </c>
      <c r="H3810" s="99" t="n">
        <f aca="false">IF(5&gt;Hold_Yrs,0,H2901-IF(5&gt;Debt_Yr,0,(G3204-0.5*IF(5=Debt_Yr,0,G3507))*INDEX(Fin_Curve,1,5))-G3507-G3507*Fin_ExitFee)</f>
        <v>0</v>
      </c>
      <c r="I3810" s="99" t="n">
        <f aca="false">IF(6&gt;Hold_Yrs,0,I2901-IF(6&gt;Debt_Yr,0,(H3204-0.5*IF(6=Debt_Yr,0,H3507))*INDEX(Fin_Curve,1,6))-H3507-H3507*Fin_ExitFee)</f>
        <v>0</v>
      </c>
      <c r="J3810" s="99" t="n">
        <f aca="false">IF(7&gt;Hold_Yrs,0,J2901-IF(7&gt;Debt_Yr,0,(I3204-0.5*IF(7=Debt_Yr,0,I3507))*INDEX(Fin_Curve,1,7))-I3507-I3507*Fin_ExitFee)</f>
        <v>0</v>
      </c>
      <c r="K3810" s="99" t="n">
        <f aca="false">IF(8&gt;Hold_Yrs,0,K2901-IF(8&gt;Debt_Yr,0,(J3204-0.5*IF(8=Debt_Yr,0,J3507))*INDEX(Fin_Curve,1,8))-J3507-J3507*Fin_ExitFee)</f>
        <v>0</v>
      </c>
      <c r="L3810" s="99" t="n">
        <f aca="false">IF(9&gt;Hold_Yrs,0,L2901-IF(9&gt;Debt_Yr,0,(K3204-0.5*IF(9=Debt_Yr,0,K3507))*INDEX(Fin_Curve,1,9))-K3507-K3507*Fin_ExitFee)</f>
        <v>0</v>
      </c>
      <c r="M3810" s="99" t="n">
        <f aca="false">IF(10&gt;Hold_Yrs,0,M2901-IF(10&gt;Debt_Yr,0,(L3204-0.5*IF(10=Debt_Yr,0,L3507))*INDEX(Fin_Curve,1,10))-L3507-L3507*Fin_ExitFee)</f>
        <v>0</v>
      </c>
    </row>
    <row r="3811" customFormat="false" ht="15" hidden="false" customHeight="false" outlineLevel="0" collapsed="false">
      <c r="B3811" s="108" t="n">
        <f aca="false">'Loan Tape'!$A171</f>
        <v>0</v>
      </c>
      <c r="C3811" s="71" t="n">
        <f aca="false">-'Loan Tape'!$BE171</f>
        <v>-0</v>
      </c>
      <c r="D3811" s="71" t="n">
        <f aca="false">IF(1&gt;Hold_Yrs,0,D2902-IF(1&gt;Debt_Yr,0,(C3205-0.5*IF(1=Debt_Yr,0,C3508))*INDEX(Fin_Curve,1,1))-C3508-C3508*Fin_ExitFee)</f>
        <v>0</v>
      </c>
      <c r="E3811" s="71" t="n">
        <f aca="false">IF(2&gt;Hold_Yrs,0,E2902-IF(2&gt;Debt_Yr,0,(D3205-0.5*IF(2=Debt_Yr,0,D3508))*INDEX(Fin_Curve,1,2))-D3508-D3508*Fin_ExitFee)</f>
        <v>0</v>
      </c>
      <c r="F3811" s="71" t="n">
        <f aca="false">IF(3&gt;Hold_Yrs,0,F2902-IF(3&gt;Debt_Yr,0,(E3205-0.5*IF(3=Debt_Yr,0,E3508))*INDEX(Fin_Curve,1,3))-E3508-E3508*Fin_ExitFee)</f>
        <v>0</v>
      </c>
      <c r="G3811" s="71" t="n">
        <f aca="false">IF(4&gt;Hold_Yrs,0,G2902-IF(4&gt;Debt_Yr,0,(F3205-0.5*IF(4=Debt_Yr,0,F3508))*INDEX(Fin_Curve,1,4))-F3508-F3508*Fin_ExitFee)</f>
        <v>0</v>
      </c>
      <c r="H3811" s="71" t="n">
        <f aca="false">IF(5&gt;Hold_Yrs,0,H2902-IF(5&gt;Debt_Yr,0,(G3205-0.5*IF(5=Debt_Yr,0,G3508))*INDEX(Fin_Curve,1,5))-G3508-G3508*Fin_ExitFee)</f>
        <v>0</v>
      </c>
      <c r="I3811" s="71" t="n">
        <f aca="false">IF(6&gt;Hold_Yrs,0,I2902-IF(6&gt;Debt_Yr,0,(H3205-0.5*IF(6=Debt_Yr,0,H3508))*INDEX(Fin_Curve,1,6))-H3508-H3508*Fin_ExitFee)</f>
        <v>0</v>
      </c>
      <c r="J3811" s="71" t="n">
        <f aca="false">IF(7&gt;Hold_Yrs,0,J2902-IF(7&gt;Debt_Yr,0,(I3205-0.5*IF(7=Debt_Yr,0,I3508))*INDEX(Fin_Curve,1,7))-I3508-I3508*Fin_ExitFee)</f>
        <v>0</v>
      </c>
      <c r="K3811" s="71" t="n">
        <f aca="false">IF(8&gt;Hold_Yrs,0,K2902-IF(8&gt;Debt_Yr,0,(J3205-0.5*IF(8=Debt_Yr,0,J3508))*INDEX(Fin_Curve,1,8))-J3508-J3508*Fin_ExitFee)</f>
        <v>0</v>
      </c>
      <c r="L3811" s="71" t="n">
        <f aca="false">IF(9&gt;Hold_Yrs,0,L2902-IF(9&gt;Debt_Yr,0,(K3205-0.5*IF(9=Debt_Yr,0,K3508))*INDEX(Fin_Curve,1,9))-K3508-K3508*Fin_ExitFee)</f>
        <v>0</v>
      </c>
      <c r="M3811" s="71" t="n">
        <f aca="false">IF(10&gt;Hold_Yrs,0,M2902-IF(10&gt;Debt_Yr,0,(L3205-0.5*IF(10=Debt_Yr,0,L3508))*INDEX(Fin_Curve,1,10))-L3508-L3508*Fin_ExitFee)</f>
        <v>0</v>
      </c>
    </row>
    <row r="3812" customFormat="false" ht="15" hidden="false" customHeight="false" outlineLevel="0" collapsed="false">
      <c r="B3812" s="102" t="n">
        <f aca="false">'Loan Tape'!$A172</f>
        <v>0</v>
      </c>
      <c r="C3812" s="99" t="n">
        <f aca="false">-'Loan Tape'!$BE172</f>
        <v>-0</v>
      </c>
      <c r="D3812" s="99" t="n">
        <f aca="false">IF(1&gt;Hold_Yrs,0,D2903-IF(1&gt;Debt_Yr,0,(C3206-0.5*IF(1=Debt_Yr,0,C3509))*INDEX(Fin_Curve,1,1))-C3509-C3509*Fin_ExitFee)</f>
        <v>0</v>
      </c>
      <c r="E3812" s="99" t="n">
        <f aca="false">IF(2&gt;Hold_Yrs,0,E2903-IF(2&gt;Debt_Yr,0,(D3206-0.5*IF(2=Debt_Yr,0,D3509))*INDEX(Fin_Curve,1,2))-D3509-D3509*Fin_ExitFee)</f>
        <v>0</v>
      </c>
      <c r="F3812" s="99" t="n">
        <f aca="false">IF(3&gt;Hold_Yrs,0,F2903-IF(3&gt;Debt_Yr,0,(E3206-0.5*IF(3=Debt_Yr,0,E3509))*INDEX(Fin_Curve,1,3))-E3509-E3509*Fin_ExitFee)</f>
        <v>0</v>
      </c>
      <c r="G3812" s="99" t="n">
        <f aca="false">IF(4&gt;Hold_Yrs,0,G2903-IF(4&gt;Debt_Yr,0,(F3206-0.5*IF(4=Debt_Yr,0,F3509))*INDEX(Fin_Curve,1,4))-F3509-F3509*Fin_ExitFee)</f>
        <v>0</v>
      </c>
      <c r="H3812" s="99" t="n">
        <f aca="false">IF(5&gt;Hold_Yrs,0,H2903-IF(5&gt;Debt_Yr,0,(G3206-0.5*IF(5=Debt_Yr,0,G3509))*INDEX(Fin_Curve,1,5))-G3509-G3509*Fin_ExitFee)</f>
        <v>0</v>
      </c>
      <c r="I3812" s="99" t="n">
        <f aca="false">IF(6&gt;Hold_Yrs,0,I2903-IF(6&gt;Debt_Yr,0,(H3206-0.5*IF(6=Debt_Yr,0,H3509))*INDEX(Fin_Curve,1,6))-H3509-H3509*Fin_ExitFee)</f>
        <v>0</v>
      </c>
      <c r="J3812" s="99" t="n">
        <f aca="false">IF(7&gt;Hold_Yrs,0,J2903-IF(7&gt;Debt_Yr,0,(I3206-0.5*IF(7=Debt_Yr,0,I3509))*INDEX(Fin_Curve,1,7))-I3509-I3509*Fin_ExitFee)</f>
        <v>0</v>
      </c>
      <c r="K3812" s="99" t="n">
        <f aca="false">IF(8&gt;Hold_Yrs,0,K2903-IF(8&gt;Debt_Yr,0,(J3206-0.5*IF(8=Debt_Yr,0,J3509))*INDEX(Fin_Curve,1,8))-J3509-J3509*Fin_ExitFee)</f>
        <v>0</v>
      </c>
      <c r="L3812" s="99" t="n">
        <f aca="false">IF(9&gt;Hold_Yrs,0,L2903-IF(9&gt;Debt_Yr,0,(K3206-0.5*IF(9=Debt_Yr,0,K3509))*INDEX(Fin_Curve,1,9))-K3509-K3509*Fin_ExitFee)</f>
        <v>0</v>
      </c>
      <c r="M3812" s="99" t="n">
        <f aca="false">IF(10&gt;Hold_Yrs,0,M2903-IF(10&gt;Debt_Yr,0,(L3206-0.5*IF(10=Debt_Yr,0,L3509))*INDEX(Fin_Curve,1,10))-L3509-L3509*Fin_ExitFee)</f>
        <v>0</v>
      </c>
    </row>
    <row r="3813" customFormat="false" ht="15" hidden="false" customHeight="false" outlineLevel="0" collapsed="false">
      <c r="B3813" s="108" t="n">
        <f aca="false">'Loan Tape'!$A173</f>
        <v>0</v>
      </c>
      <c r="C3813" s="71" t="n">
        <f aca="false">-'Loan Tape'!$BE173</f>
        <v>-0</v>
      </c>
      <c r="D3813" s="71" t="n">
        <f aca="false">IF(1&gt;Hold_Yrs,0,D2904-IF(1&gt;Debt_Yr,0,(C3207-0.5*IF(1=Debt_Yr,0,C3510))*INDEX(Fin_Curve,1,1))-C3510-C3510*Fin_ExitFee)</f>
        <v>0</v>
      </c>
      <c r="E3813" s="71" t="n">
        <f aca="false">IF(2&gt;Hold_Yrs,0,E2904-IF(2&gt;Debt_Yr,0,(D3207-0.5*IF(2=Debt_Yr,0,D3510))*INDEX(Fin_Curve,1,2))-D3510-D3510*Fin_ExitFee)</f>
        <v>0</v>
      </c>
      <c r="F3813" s="71" t="n">
        <f aca="false">IF(3&gt;Hold_Yrs,0,F2904-IF(3&gt;Debt_Yr,0,(E3207-0.5*IF(3=Debt_Yr,0,E3510))*INDEX(Fin_Curve,1,3))-E3510-E3510*Fin_ExitFee)</f>
        <v>0</v>
      </c>
      <c r="G3813" s="71" t="n">
        <f aca="false">IF(4&gt;Hold_Yrs,0,G2904-IF(4&gt;Debt_Yr,0,(F3207-0.5*IF(4=Debt_Yr,0,F3510))*INDEX(Fin_Curve,1,4))-F3510-F3510*Fin_ExitFee)</f>
        <v>0</v>
      </c>
      <c r="H3813" s="71" t="n">
        <f aca="false">IF(5&gt;Hold_Yrs,0,H2904-IF(5&gt;Debt_Yr,0,(G3207-0.5*IF(5=Debt_Yr,0,G3510))*INDEX(Fin_Curve,1,5))-G3510-G3510*Fin_ExitFee)</f>
        <v>0</v>
      </c>
      <c r="I3813" s="71" t="n">
        <f aca="false">IF(6&gt;Hold_Yrs,0,I2904-IF(6&gt;Debt_Yr,0,(H3207-0.5*IF(6=Debt_Yr,0,H3510))*INDEX(Fin_Curve,1,6))-H3510-H3510*Fin_ExitFee)</f>
        <v>0</v>
      </c>
      <c r="J3813" s="71" t="n">
        <f aca="false">IF(7&gt;Hold_Yrs,0,J2904-IF(7&gt;Debt_Yr,0,(I3207-0.5*IF(7=Debt_Yr,0,I3510))*INDEX(Fin_Curve,1,7))-I3510-I3510*Fin_ExitFee)</f>
        <v>0</v>
      </c>
      <c r="K3813" s="71" t="n">
        <f aca="false">IF(8&gt;Hold_Yrs,0,K2904-IF(8&gt;Debt_Yr,0,(J3207-0.5*IF(8=Debt_Yr,0,J3510))*INDEX(Fin_Curve,1,8))-J3510-J3510*Fin_ExitFee)</f>
        <v>0</v>
      </c>
      <c r="L3813" s="71" t="n">
        <f aca="false">IF(9&gt;Hold_Yrs,0,L2904-IF(9&gt;Debt_Yr,0,(K3207-0.5*IF(9=Debt_Yr,0,K3510))*INDEX(Fin_Curve,1,9))-K3510-K3510*Fin_ExitFee)</f>
        <v>0</v>
      </c>
      <c r="M3813" s="71" t="n">
        <f aca="false">IF(10&gt;Hold_Yrs,0,M2904-IF(10&gt;Debt_Yr,0,(L3207-0.5*IF(10=Debt_Yr,0,L3510))*INDEX(Fin_Curve,1,10))-L3510-L3510*Fin_ExitFee)</f>
        <v>0</v>
      </c>
    </row>
    <row r="3814" customFormat="false" ht="15" hidden="false" customHeight="false" outlineLevel="0" collapsed="false">
      <c r="B3814" s="102" t="n">
        <f aca="false">'Loan Tape'!$A174</f>
        <v>0</v>
      </c>
      <c r="C3814" s="99" t="n">
        <f aca="false">-'Loan Tape'!$BE174</f>
        <v>-0</v>
      </c>
      <c r="D3814" s="99" t="n">
        <f aca="false">IF(1&gt;Hold_Yrs,0,D2905-IF(1&gt;Debt_Yr,0,(C3208-0.5*IF(1=Debt_Yr,0,C3511))*INDEX(Fin_Curve,1,1))-C3511-C3511*Fin_ExitFee)</f>
        <v>0</v>
      </c>
      <c r="E3814" s="99" t="n">
        <f aca="false">IF(2&gt;Hold_Yrs,0,E2905-IF(2&gt;Debt_Yr,0,(D3208-0.5*IF(2=Debt_Yr,0,D3511))*INDEX(Fin_Curve,1,2))-D3511-D3511*Fin_ExitFee)</f>
        <v>0</v>
      </c>
      <c r="F3814" s="99" t="n">
        <f aca="false">IF(3&gt;Hold_Yrs,0,F2905-IF(3&gt;Debt_Yr,0,(E3208-0.5*IF(3=Debt_Yr,0,E3511))*INDEX(Fin_Curve,1,3))-E3511-E3511*Fin_ExitFee)</f>
        <v>0</v>
      </c>
      <c r="G3814" s="99" t="n">
        <f aca="false">IF(4&gt;Hold_Yrs,0,G2905-IF(4&gt;Debt_Yr,0,(F3208-0.5*IF(4=Debt_Yr,0,F3511))*INDEX(Fin_Curve,1,4))-F3511-F3511*Fin_ExitFee)</f>
        <v>0</v>
      </c>
      <c r="H3814" s="99" t="n">
        <f aca="false">IF(5&gt;Hold_Yrs,0,H2905-IF(5&gt;Debt_Yr,0,(G3208-0.5*IF(5=Debt_Yr,0,G3511))*INDEX(Fin_Curve,1,5))-G3511-G3511*Fin_ExitFee)</f>
        <v>0</v>
      </c>
      <c r="I3814" s="99" t="n">
        <f aca="false">IF(6&gt;Hold_Yrs,0,I2905-IF(6&gt;Debt_Yr,0,(H3208-0.5*IF(6=Debt_Yr,0,H3511))*INDEX(Fin_Curve,1,6))-H3511-H3511*Fin_ExitFee)</f>
        <v>0</v>
      </c>
      <c r="J3814" s="99" t="n">
        <f aca="false">IF(7&gt;Hold_Yrs,0,J2905-IF(7&gt;Debt_Yr,0,(I3208-0.5*IF(7=Debt_Yr,0,I3511))*INDEX(Fin_Curve,1,7))-I3511-I3511*Fin_ExitFee)</f>
        <v>0</v>
      </c>
      <c r="K3814" s="99" t="n">
        <f aca="false">IF(8&gt;Hold_Yrs,0,K2905-IF(8&gt;Debt_Yr,0,(J3208-0.5*IF(8=Debt_Yr,0,J3511))*INDEX(Fin_Curve,1,8))-J3511-J3511*Fin_ExitFee)</f>
        <v>0</v>
      </c>
      <c r="L3814" s="99" t="n">
        <f aca="false">IF(9&gt;Hold_Yrs,0,L2905-IF(9&gt;Debt_Yr,0,(K3208-0.5*IF(9=Debt_Yr,0,K3511))*INDEX(Fin_Curve,1,9))-K3511-K3511*Fin_ExitFee)</f>
        <v>0</v>
      </c>
      <c r="M3814" s="99" t="n">
        <f aca="false">IF(10&gt;Hold_Yrs,0,M2905-IF(10&gt;Debt_Yr,0,(L3208-0.5*IF(10=Debt_Yr,0,L3511))*INDEX(Fin_Curve,1,10))-L3511-L3511*Fin_ExitFee)</f>
        <v>0</v>
      </c>
    </row>
    <row r="3815" customFormat="false" ht="15" hidden="false" customHeight="false" outlineLevel="0" collapsed="false">
      <c r="B3815" s="108" t="n">
        <f aca="false">'Loan Tape'!$A175</f>
        <v>0</v>
      </c>
      <c r="C3815" s="71" t="n">
        <f aca="false">-'Loan Tape'!$BE175</f>
        <v>-0</v>
      </c>
      <c r="D3815" s="71" t="n">
        <f aca="false">IF(1&gt;Hold_Yrs,0,D2906-IF(1&gt;Debt_Yr,0,(C3209-0.5*IF(1=Debt_Yr,0,C3512))*INDEX(Fin_Curve,1,1))-C3512-C3512*Fin_ExitFee)</f>
        <v>0</v>
      </c>
      <c r="E3815" s="71" t="n">
        <f aca="false">IF(2&gt;Hold_Yrs,0,E2906-IF(2&gt;Debt_Yr,0,(D3209-0.5*IF(2=Debt_Yr,0,D3512))*INDEX(Fin_Curve,1,2))-D3512-D3512*Fin_ExitFee)</f>
        <v>0</v>
      </c>
      <c r="F3815" s="71" t="n">
        <f aca="false">IF(3&gt;Hold_Yrs,0,F2906-IF(3&gt;Debt_Yr,0,(E3209-0.5*IF(3=Debt_Yr,0,E3512))*INDEX(Fin_Curve,1,3))-E3512-E3512*Fin_ExitFee)</f>
        <v>0</v>
      </c>
      <c r="G3815" s="71" t="n">
        <f aca="false">IF(4&gt;Hold_Yrs,0,G2906-IF(4&gt;Debt_Yr,0,(F3209-0.5*IF(4=Debt_Yr,0,F3512))*INDEX(Fin_Curve,1,4))-F3512-F3512*Fin_ExitFee)</f>
        <v>0</v>
      </c>
      <c r="H3815" s="71" t="n">
        <f aca="false">IF(5&gt;Hold_Yrs,0,H2906-IF(5&gt;Debt_Yr,0,(G3209-0.5*IF(5=Debt_Yr,0,G3512))*INDEX(Fin_Curve,1,5))-G3512-G3512*Fin_ExitFee)</f>
        <v>0</v>
      </c>
      <c r="I3815" s="71" t="n">
        <f aca="false">IF(6&gt;Hold_Yrs,0,I2906-IF(6&gt;Debt_Yr,0,(H3209-0.5*IF(6=Debt_Yr,0,H3512))*INDEX(Fin_Curve,1,6))-H3512-H3512*Fin_ExitFee)</f>
        <v>0</v>
      </c>
      <c r="J3815" s="71" t="n">
        <f aca="false">IF(7&gt;Hold_Yrs,0,J2906-IF(7&gt;Debt_Yr,0,(I3209-0.5*IF(7=Debt_Yr,0,I3512))*INDEX(Fin_Curve,1,7))-I3512-I3512*Fin_ExitFee)</f>
        <v>0</v>
      </c>
      <c r="K3815" s="71" t="n">
        <f aca="false">IF(8&gt;Hold_Yrs,0,K2906-IF(8&gt;Debt_Yr,0,(J3209-0.5*IF(8=Debt_Yr,0,J3512))*INDEX(Fin_Curve,1,8))-J3512-J3512*Fin_ExitFee)</f>
        <v>0</v>
      </c>
      <c r="L3815" s="71" t="n">
        <f aca="false">IF(9&gt;Hold_Yrs,0,L2906-IF(9&gt;Debt_Yr,0,(K3209-0.5*IF(9=Debt_Yr,0,K3512))*INDEX(Fin_Curve,1,9))-K3512-K3512*Fin_ExitFee)</f>
        <v>0</v>
      </c>
      <c r="M3815" s="71" t="n">
        <f aca="false">IF(10&gt;Hold_Yrs,0,M2906-IF(10&gt;Debt_Yr,0,(L3209-0.5*IF(10=Debt_Yr,0,L3512))*INDEX(Fin_Curve,1,10))-L3512-L3512*Fin_ExitFee)</f>
        <v>0</v>
      </c>
    </row>
    <row r="3816" customFormat="false" ht="15" hidden="false" customHeight="false" outlineLevel="0" collapsed="false">
      <c r="B3816" s="102" t="n">
        <f aca="false">'Loan Tape'!$A176</f>
        <v>0</v>
      </c>
      <c r="C3816" s="99" t="n">
        <f aca="false">-'Loan Tape'!$BE176</f>
        <v>-0</v>
      </c>
      <c r="D3816" s="99" t="n">
        <f aca="false">IF(1&gt;Hold_Yrs,0,D2907-IF(1&gt;Debt_Yr,0,(C3210-0.5*IF(1=Debt_Yr,0,C3513))*INDEX(Fin_Curve,1,1))-C3513-C3513*Fin_ExitFee)</f>
        <v>0</v>
      </c>
      <c r="E3816" s="99" t="n">
        <f aca="false">IF(2&gt;Hold_Yrs,0,E2907-IF(2&gt;Debt_Yr,0,(D3210-0.5*IF(2=Debt_Yr,0,D3513))*INDEX(Fin_Curve,1,2))-D3513-D3513*Fin_ExitFee)</f>
        <v>0</v>
      </c>
      <c r="F3816" s="99" t="n">
        <f aca="false">IF(3&gt;Hold_Yrs,0,F2907-IF(3&gt;Debt_Yr,0,(E3210-0.5*IF(3=Debt_Yr,0,E3513))*INDEX(Fin_Curve,1,3))-E3513-E3513*Fin_ExitFee)</f>
        <v>0</v>
      </c>
      <c r="G3816" s="99" t="n">
        <f aca="false">IF(4&gt;Hold_Yrs,0,G2907-IF(4&gt;Debt_Yr,0,(F3210-0.5*IF(4=Debt_Yr,0,F3513))*INDEX(Fin_Curve,1,4))-F3513-F3513*Fin_ExitFee)</f>
        <v>0</v>
      </c>
      <c r="H3816" s="99" t="n">
        <f aca="false">IF(5&gt;Hold_Yrs,0,H2907-IF(5&gt;Debt_Yr,0,(G3210-0.5*IF(5=Debt_Yr,0,G3513))*INDEX(Fin_Curve,1,5))-G3513-G3513*Fin_ExitFee)</f>
        <v>0</v>
      </c>
      <c r="I3816" s="99" t="n">
        <f aca="false">IF(6&gt;Hold_Yrs,0,I2907-IF(6&gt;Debt_Yr,0,(H3210-0.5*IF(6=Debt_Yr,0,H3513))*INDEX(Fin_Curve,1,6))-H3513-H3513*Fin_ExitFee)</f>
        <v>0</v>
      </c>
      <c r="J3816" s="99" t="n">
        <f aca="false">IF(7&gt;Hold_Yrs,0,J2907-IF(7&gt;Debt_Yr,0,(I3210-0.5*IF(7=Debt_Yr,0,I3513))*INDEX(Fin_Curve,1,7))-I3513-I3513*Fin_ExitFee)</f>
        <v>0</v>
      </c>
      <c r="K3816" s="99" t="n">
        <f aca="false">IF(8&gt;Hold_Yrs,0,K2907-IF(8&gt;Debt_Yr,0,(J3210-0.5*IF(8=Debt_Yr,0,J3513))*INDEX(Fin_Curve,1,8))-J3513-J3513*Fin_ExitFee)</f>
        <v>0</v>
      </c>
      <c r="L3816" s="99" t="n">
        <f aca="false">IF(9&gt;Hold_Yrs,0,L2907-IF(9&gt;Debt_Yr,0,(K3210-0.5*IF(9=Debt_Yr,0,K3513))*INDEX(Fin_Curve,1,9))-K3513-K3513*Fin_ExitFee)</f>
        <v>0</v>
      </c>
      <c r="M3816" s="99" t="n">
        <f aca="false">IF(10&gt;Hold_Yrs,0,M2907-IF(10&gt;Debt_Yr,0,(L3210-0.5*IF(10=Debt_Yr,0,L3513))*INDEX(Fin_Curve,1,10))-L3513-L3513*Fin_ExitFee)</f>
        <v>0</v>
      </c>
    </row>
    <row r="3817" customFormat="false" ht="15" hidden="false" customHeight="false" outlineLevel="0" collapsed="false">
      <c r="B3817" s="108" t="n">
        <f aca="false">'Loan Tape'!$A177</f>
        <v>0</v>
      </c>
      <c r="C3817" s="71" t="n">
        <f aca="false">-'Loan Tape'!$BE177</f>
        <v>-0</v>
      </c>
      <c r="D3817" s="71" t="n">
        <f aca="false">IF(1&gt;Hold_Yrs,0,D2908-IF(1&gt;Debt_Yr,0,(C3211-0.5*IF(1=Debt_Yr,0,C3514))*INDEX(Fin_Curve,1,1))-C3514-C3514*Fin_ExitFee)</f>
        <v>0</v>
      </c>
      <c r="E3817" s="71" t="n">
        <f aca="false">IF(2&gt;Hold_Yrs,0,E2908-IF(2&gt;Debt_Yr,0,(D3211-0.5*IF(2=Debt_Yr,0,D3514))*INDEX(Fin_Curve,1,2))-D3514-D3514*Fin_ExitFee)</f>
        <v>0</v>
      </c>
      <c r="F3817" s="71" t="n">
        <f aca="false">IF(3&gt;Hold_Yrs,0,F2908-IF(3&gt;Debt_Yr,0,(E3211-0.5*IF(3=Debt_Yr,0,E3514))*INDEX(Fin_Curve,1,3))-E3514-E3514*Fin_ExitFee)</f>
        <v>0</v>
      </c>
      <c r="G3817" s="71" t="n">
        <f aca="false">IF(4&gt;Hold_Yrs,0,G2908-IF(4&gt;Debt_Yr,0,(F3211-0.5*IF(4=Debt_Yr,0,F3514))*INDEX(Fin_Curve,1,4))-F3514-F3514*Fin_ExitFee)</f>
        <v>0</v>
      </c>
      <c r="H3817" s="71" t="n">
        <f aca="false">IF(5&gt;Hold_Yrs,0,H2908-IF(5&gt;Debt_Yr,0,(G3211-0.5*IF(5=Debt_Yr,0,G3514))*INDEX(Fin_Curve,1,5))-G3514-G3514*Fin_ExitFee)</f>
        <v>0</v>
      </c>
      <c r="I3817" s="71" t="n">
        <f aca="false">IF(6&gt;Hold_Yrs,0,I2908-IF(6&gt;Debt_Yr,0,(H3211-0.5*IF(6=Debt_Yr,0,H3514))*INDEX(Fin_Curve,1,6))-H3514-H3514*Fin_ExitFee)</f>
        <v>0</v>
      </c>
      <c r="J3817" s="71" t="n">
        <f aca="false">IF(7&gt;Hold_Yrs,0,J2908-IF(7&gt;Debt_Yr,0,(I3211-0.5*IF(7=Debt_Yr,0,I3514))*INDEX(Fin_Curve,1,7))-I3514-I3514*Fin_ExitFee)</f>
        <v>0</v>
      </c>
      <c r="K3817" s="71" t="n">
        <f aca="false">IF(8&gt;Hold_Yrs,0,K2908-IF(8&gt;Debt_Yr,0,(J3211-0.5*IF(8=Debt_Yr,0,J3514))*INDEX(Fin_Curve,1,8))-J3514-J3514*Fin_ExitFee)</f>
        <v>0</v>
      </c>
      <c r="L3817" s="71" t="n">
        <f aca="false">IF(9&gt;Hold_Yrs,0,L2908-IF(9&gt;Debt_Yr,0,(K3211-0.5*IF(9=Debt_Yr,0,K3514))*INDEX(Fin_Curve,1,9))-K3514-K3514*Fin_ExitFee)</f>
        <v>0</v>
      </c>
      <c r="M3817" s="71" t="n">
        <f aca="false">IF(10&gt;Hold_Yrs,0,M2908-IF(10&gt;Debt_Yr,0,(L3211-0.5*IF(10=Debt_Yr,0,L3514))*INDEX(Fin_Curve,1,10))-L3514-L3514*Fin_ExitFee)</f>
        <v>0</v>
      </c>
    </row>
    <row r="3818" customFormat="false" ht="15" hidden="false" customHeight="false" outlineLevel="0" collapsed="false">
      <c r="B3818" s="102" t="n">
        <f aca="false">'Loan Tape'!$A178</f>
        <v>0</v>
      </c>
      <c r="C3818" s="99" t="n">
        <f aca="false">-'Loan Tape'!$BE178</f>
        <v>-0</v>
      </c>
      <c r="D3818" s="99" t="n">
        <f aca="false">IF(1&gt;Hold_Yrs,0,D2909-IF(1&gt;Debt_Yr,0,(C3212-0.5*IF(1=Debt_Yr,0,C3515))*INDEX(Fin_Curve,1,1))-C3515-C3515*Fin_ExitFee)</f>
        <v>0</v>
      </c>
      <c r="E3818" s="99" t="n">
        <f aca="false">IF(2&gt;Hold_Yrs,0,E2909-IF(2&gt;Debt_Yr,0,(D3212-0.5*IF(2=Debt_Yr,0,D3515))*INDEX(Fin_Curve,1,2))-D3515-D3515*Fin_ExitFee)</f>
        <v>0</v>
      </c>
      <c r="F3818" s="99" t="n">
        <f aca="false">IF(3&gt;Hold_Yrs,0,F2909-IF(3&gt;Debt_Yr,0,(E3212-0.5*IF(3=Debt_Yr,0,E3515))*INDEX(Fin_Curve,1,3))-E3515-E3515*Fin_ExitFee)</f>
        <v>0</v>
      </c>
      <c r="G3818" s="99" t="n">
        <f aca="false">IF(4&gt;Hold_Yrs,0,G2909-IF(4&gt;Debt_Yr,0,(F3212-0.5*IF(4=Debt_Yr,0,F3515))*INDEX(Fin_Curve,1,4))-F3515-F3515*Fin_ExitFee)</f>
        <v>0</v>
      </c>
      <c r="H3818" s="99" t="n">
        <f aca="false">IF(5&gt;Hold_Yrs,0,H2909-IF(5&gt;Debt_Yr,0,(G3212-0.5*IF(5=Debt_Yr,0,G3515))*INDEX(Fin_Curve,1,5))-G3515-G3515*Fin_ExitFee)</f>
        <v>0</v>
      </c>
      <c r="I3818" s="99" t="n">
        <f aca="false">IF(6&gt;Hold_Yrs,0,I2909-IF(6&gt;Debt_Yr,0,(H3212-0.5*IF(6=Debt_Yr,0,H3515))*INDEX(Fin_Curve,1,6))-H3515-H3515*Fin_ExitFee)</f>
        <v>0</v>
      </c>
      <c r="J3818" s="99" t="n">
        <f aca="false">IF(7&gt;Hold_Yrs,0,J2909-IF(7&gt;Debt_Yr,0,(I3212-0.5*IF(7=Debt_Yr,0,I3515))*INDEX(Fin_Curve,1,7))-I3515-I3515*Fin_ExitFee)</f>
        <v>0</v>
      </c>
      <c r="K3818" s="99" t="n">
        <f aca="false">IF(8&gt;Hold_Yrs,0,K2909-IF(8&gt;Debt_Yr,0,(J3212-0.5*IF(8=Debt_Yr,0,J3515))*INDEX(Fin_Curve,1,8))-J3515-J3515*Fin_ExitFee)</f>
        <v>0</v>
      </c>
      <c r="L3818" s="99" t="n">
        <f aca="false">IF(9&gt;Hold_Yrs,0,L2909-IF(9&gt;Debt_Yr,0,(K3212-0.5*IF(9=Debt_Yr,0,K3515))*INDEX(Fin_Curve,1,9))-K3515-K3515*Fin_ExitFee)</f>
        <v>0</v>
      </c>
      <c r="M3818" s="99" t="n">
        <f aca="false">IF(10&gt;Hold_Yrs,0,M2909-IF(10&gt;Debt_Yr,0,(L3212-0.5*IF(10=Debt_Yr,0,L3515))*INDEX(Fin_Curve,1,10))-L3515-L3515*Fin_ExitFee)</f>
        <v>0</v>
      </c>
    </row>
    <row r="3819" customFormat="false" ht="15" hidden="false" customHeight="false" outlineLevel="0" collapsed="false">
      <c r="B3819" s="108" t="n">
        <f aca="false">'Loan Tape'!$A179</f>
        <v>0</v>
      </c>
      <c r="C3819" s="71" t="n">
        <f aca="false">-'Loan Tape'!$BE179</f>
        <v>-0</v>
      </c>
      <c r="D3819" s="71" t="n">
        <f aca="false">IF(1&gt;Hold_Yrs,0,D2910-IF(1&gt;Debt_Yr,0,(C3213-0.5*IF(1=Debt_Yr,0,C3516))*INDEX(Fin_Curve,1,1))-C3516-C3516*Fin_ExitFee)</f>
        <v>0</v>
      </c>
      <c r="E3819" s="71" t="n">
        <f aca="false">IF(2&gt;Hold_Yrs,0,E2910-IF(2&gt;Debt_Yr,0,(D3213-0.5*IF(2=Debt_Yr,0,D3516))*INDEX(Fin_Curve,1,2))-D3516-D3516*Fin_ExitFee)</f>
        <v>0</v>
      </c>
      <c r="F3819" s="71" t="n">
        <f aca="false">IF(3&gt;Hold_Yrs,0,F2910-IF(3&gt;Debt_Yr,0,(E3213-0.5*IF(3=Debt_Yr,0,E3516))*INDEX(Fin_Curve,1,3))-E3516-E3516*Fin_ExitFee)</f>
        <v>0</v>
      </c>
      <c r="G3819" s="71" t="n">
        <f aca="false">IF(4&gt;Hold_Yrs,0,G2910-IF(4&gt;Debt_Yr,0,(F3213-0.5*IF(4=Debt_Yr,0,F3516))*INDEX(Fin_Curve,1,4))-F3516-F3516*Fin_ExitFee)</f>
        <v>0</v>
      </c>
      <c r="H3819" s="71" t="n">
        <f aca="false">IF(5&gt;Hold_Yrs,0,H2910-IF(5&gt;Debt_Yr,0,(G3213-0.5*IF(5=Debt_Yr,0,G3516))*INDEX(Fin_Curve,1,5))-G3516-G3516*Fin_ExitFee)</f>
        <v>0</v>
      </c>
      <c r="I3819" s="71" t="n">
        <f aca="false">IF(6&gt;Hold_Yrs,0,I2910-IF(6&gt;Debt_Yr,0,(H3213-0.5*IF(6=Debt_Yr,0,H3516))*INDEX(Fin_Curve,1,6))-H3516-H3516*Fin_ExitFee)</f>
        <v>0</v>
      </c>
      <c r="J3819" s="71" t="n">
        <f aca="false">IF(7&gt;Hold_Yrs,0,J2910-IF(7&gt;Debt_Yr,0,(I3213-0.5*IF(7=Debt_Yr,0,I3516))*INDEX(Fin_Curve,1,7))-I3516-I3516*Fin_ExitFee)</f>
        <v>0</v>
      </c>
      <c r="K3819" s="71" t="n">
        <f aca="false">IF(8&gt;Hold_Yrs,0,K2910-IF(8&gt;Debt_Yr,0,(J3213-0.5*IF(8=Debt_Yr,0,J3516))*INDEX(Fin_Curve,1,8))-J3516-J3516*Fin_ExitFee)</f>
        <v>0</v>
      </c>
      <c r="L3819" s="71" t="n">
        <f aca="false">IF(9&gt;Hold_Yrs,0,L2910-IF(9&gt;Debt_Yr,0,(K3213-0.5*IF(9=Debt_Yr,0,K3516))*INDEX(Fin_Curve,1,9))-K3516-K3516*Fin_ExitFee)</f>
        <v>0</v>
      </c>
      <c r="M3819" s="71" t="n">
        <f aca="false">IF(10&gt;Hold_Yrs,0,M2910-IF(10&gt;Debt_Yr,0,(L3213-0.5*IF(10=Debt_Yr,0,L3516))*INDEX(Fin_Curve,1,10))-L3516-L3516*Fin_ExitFee)</f>
        <v>0</v>
      </c>
    </row>
    <row r="3820" customFormat="false" ht="15" hidden="false" customHeight="false" outlineLevel="0" collapsed="false">
      <c r="B3820" s="102" t="n">
        <f aca="false">'Loan Tape'!$A180</f>
        <v>0</v>
      </c>
      <c r="C3820" s="99" t="n">
        <f aca="false">-'Loan Tape'!$BE180</f>
        <v>-0</v>
      </c>
      <c r="D3820" s="99" t="n">
        <f aca="false">IF(1&gt;Hold_Yrs,0,D2911-IF(1&gt;Debt_Yr,0,(C3214-0.5*IF(1=Debt_Yr,0,C3517))*INDEX(Fin_Curve,1,1))-C3517-C3517*Fin_ExitFee)</f>
        <v>0</v>
      </c>
      <c r="E3820" s="99" t="n">
        <f aca="false">IF(2&gt;Hold_Yrs,0,E2911-IF(2&gt;Debt_Yr,0,(D3214-0.5*IF(2=Debt_Yr,0,D3517))*INDEX(Fin_Curve,1,2))-D3517-D3517*Fin_ExitFee)</f>
        <v>0</v>
      </c>
      <c r="F3820" s="99" t="n">
        <f aca="false">IF(3&gt;Hold_Yrs,0,F2911-IF(3&gt;Debt_Yr,0,(E3214-0.5*IF(3=Debt_Yr,0,E3517))*INDEX(Fin_Curve,1,3))-E3517-E3517*Fin_ExitFee)</f>
        <v>0</v>
      </c>
      <c r="G3820" s="99" t="n">
        <f aca="false">IF(4&gt;Hold_Yrs,0,G2911-IF(4&gt;Debt_Yr,0,(F3214-0.5*IF(4=Debt_Yr,0,F3517))*INDEX(Fin_Curve,1,4))-F3517-F3517*Fin_ExitFee)</f>
        <v>0</v>
      </c>
      <c r="H3820" s="99" t="n">
        <f aca="false">IF(5&gt;Hold_Yrs,0,H2911-IF(5&gt;Debt_Yr,0,(G3214-0.5*IF(5=Debt_Yr,0,G3517))*INDEX(Fin_Curve,1,5))-G3517-G3517*Fin_ExitFee)</f>
        <v>0</v>
      </c>
      <c r="I3820" s="99" t="n">
        <f aca="false">IF(6&gt;Hold_Yrs,0,I2911-IF(6&gt;Debt_Yr,0,(H3214-0.5*IF(6=Debt_Yr,0,H3517))*INDEX(Fin_Curve,1,6))-H3517-H3517*Fin_ExitFee)</f>
        <v>0</v>
      </c>
      <c r="J3820" s="99" t="n">
        <f aca="false">IF(7&gt;Hold_Yrs,0,J2911-IF(7&gt;Debt_Yr,0,(I3214-0.5*IF(7=Debt_Yr,0,I3517))*INDEX(Fin_Curve,1,7))-I3517-I3517*Fin_ExitFee)</f>
        <v>0</v>
      </c>
      <c r="K3820" s="99" t="n">
        <f aca="false">IF(8&gt;Hold_Yrs,0,K2911-IF(8&gt;Debt_Yr,0,(J3214-0.5*IF(8=Debt_Yr,0,J3517))*INDEX(Fin_Curve,1,8))-J3517-J3517*Fin_ExitFee)</f>
        <v>0</v>
      </c>
      <c r="L3820" s="99" t="n">
        <f aca="false">IF(9&gt;Hold_Yrs,0,L2911-IF(9&gt;Debt_Yr,0,(K3214-0.5*IF(9=Debt_Yr,0,K3517))*INDEX(Fin_Curve,1,9))-K3517-K3517*Fin_ExitFee)</f>
        <v>0</v>
      </c>
      <c r="M3820" s="99" t="n">
        <f aca="false">IF(10&gt;Hold_Yrs,0,M2911-IF(10&gt;Debt_Yr,0,(L3214-0.5*IF(10=Debt_Yr,0,L3517))*INDEX(Fin_Curve,1,10))-L3517-L3517*Fin_ExitFee)</f>
        <v>0</v>
      </c>
    </row>
    <row r="3821" customFormat="false" ht="15" hidden="false" customHeight="false" outlineLevel="0" collapsed="false">
      <c r="B3821" s="108" t="n">
        <f aca="false">'Loan Tape'!$A181</f>
        <v>0</v>
      </c>
      <c r="C3821" s="71" t="n">
        <f aca="false">-'Loan Tape'!$BE181</f>
        <v>-0</v>
      </c>
      <c r="D3821" s="71" t="n">
        <f aca="false">IF(1&gt;Hold_Yrs,0,D2912-IF(1&gt;Debt_Yr,0,(C3215-0.5*IF(1=Debt_Yr,0,C3518))*INDEX(Fin_Curve,1,1))-C3518-C3518*Fin_ExitFee)</f>
        <v>0</v>
      </c>
      <c r="E3821" s="71" t="n">
        <f aca="false">IF(2&gt;Hold_Yrs,0,E2912-IF(2&gt;Debt_Yr,0,(D3215-0.5*IF(2=Debt_Yr,0,D3518))*INDEX(Fin_Curve,1,2))-D3518-D3518*Fin_ExitFee)</f>
        <v>0</v>
      </c>
      <c r="F3821" s="71" t="n">
        <f aca="false">IF(3&gt;Hold_Yrs,0,F2912-IF(3&gt;Debt_Yr,0,(E3215-0.5*IF(3=Debt_Yr,0,E3518))*INDEX(Fin_Curve,1,3))-E3518-E3518*Fin_ExitFee)</f>
        <v>0</v>
      </c>
      <c r="G3821" s="71" t="n">
        <f aca="false">IF(4&gt;Hold_Yrs,0,G2912-IF(4&gt;Debt_Yr,0,(F3215-0.5*IF(4=Debt_Yr,0,F3518))*INDEX(Fin_Curve,1,4))-F3518-F3518*Fin_ExitFee)</f>
        <v>0</v>
      </c>
      <c r="H3821" s="71" t="n">
        <f aca="false">IF(5&gt;Hold_Yrs,0,H2912-IF(5&gt;Debt_Yr,0,(G3215-0.5*IF(5=Debt_Yr,0,G3518))*INDEX(Fin_Curve,1,5))-G3518-G3518*Fin_ExitFee)</f>
        <v>0</v>
      </c>
      <c r="I3821" s="71" t="n">
        <f aca="false">IF(6&gt;Hold_Yrs,0,I2912-IF(6&gt;Debt_Yr,0,(H3215-0.5*IF(6=Debt_Yr,0,H3518))*INDEX(Fin_Curve,1,6))-H3518-H3518*Fin_ExitFee)</f>
        <v>0</v>
      </c>
      <c r="J3821" s="71" t="n">
        <f aca="false">IF(7&gt;Hold_Yrs,0,J2912-IF(7&gt;Debt_Yr,0,(I3215-0.5*IF(7=Debt_Yr,0,I3518))*INDEX(Fin_Curve,1,7))-I3518-I3518*Fin_ExitFee)</f>
        <v>0</v>
      </c>
      <c r="K3821" s="71" t="n">
        <f aca="false">IF(8&gt;Hold_Yrs,0,K2912-IF(8&gt;Debt_Yr,0,(J3215-0.5*IF(8=Debt_Yr,0,J3518))*INDEX(Fin_Curve,1,8))-J3518-J3518*Fin_ExitFee)</f>
        <v>0</v>
      </c>
      <c r="L3821" s="71" t="n">
        <f aca="false">IF(9&gt;Hold_Yrs,0,L2912-IF(9&gt;Debt_Yr,0,(K3215-0.5*IF(9=Debt_Yr,0,K3518))*INDEX(Fin_Curve,1,9))-K3518-K3518*Fin_ExitFee)</f>
        <v>0</v>
      </c>
      <c r="M3821" s="71" t="n">
        <f aca="false">IF(10&gt;Hold_Yrs,0,M2912-IF(10&gt;Debt_Yr,0,(L3215-0.5*IF(10=Debt_Yr,0,L3518))*INDEX(Fin_Curve,1,10))-L3518-L3518*Fin_ExitFee)</f>
        <v>0</v>
      </c>
    </row>
    <row r="3822" customFormat="false" ht="15" hidden="false" customHeight="false" outlineLevel="0" collapsed="false">
      <c r="B3822" s="102" t="n">
        <f aca="false">'Loan Tape'!$A182</f>
        <v>0</v>
      </c>
      <c r="C3822" s="99" t="n">
        <f aca="false">-'Loan Tape'!$BE182</f>
        <v>-0</v>
      </c>
      <c r="D3822" s="99" t="n">
        <f aca="false">IF(1&gt;Hold_Yrs,0,D2913-IF(1&gt;Debt_Yr,0,(C3216-0.5*IF(1=Debt_Yr,0,C3519))*INDEX(Fin_Curve,1,1))-C3519-C3519*Fin_ExitFee)</f>
        <v>0</v>
      </c>
      <c r="E3822" s="99" t="n">
        <f aca="false">IF(2&gt;Hold_Yrs,0,E2913-IF(2&gt;Debt_Yr,0,(D3216-0.5*IF(2=Debt_Yr,0,D3519))*INDEX(Fin_Curve,1,2))-D3519-D3519*Fin_ExitFee)</f>
        <v>0</v>
      </c>
      <c r="F3822" s="99" t="n">
        <f aca="false">IF(3&gt;Hold_Yrs,0,F2913-IF(3&gt;Debt_Yr,0,(E3216-0.5*IF(3=Debt_Yr,0,E3519))*INDEX(Fin_Curve,1,3))-E3519-E3519*Fin_ExitFee)</f>
        <v>0</v>
      </c>
      <c r="G3822" s="99" t="n">
        <f aca="false">IF(4&gt;Hold_Yrs,0,G2913-IF(4&gt;Debt_Yr,0,(F3216-0.5*IF(4=Debt_Yr,0,F3519))*INDEX(Fin_Curve,1,4))-F3519-F3519*Fin_ExitFee)</f>
        <v>0</v>
      </c>
      <c r="H3822" s="99" t="n">
        <f aca="false">IF(5&gt;Hold_Yrs,0,H2913-IF(5&gt;Debt_Yr,0,(G3216-0.5*IF(5=Debt_Yr,0,G3519))*INDEX(Fin_Curve,1,5))-G3519-G3519*Fin_ExitFee)</f>
        <v>0</v>
      </c>
      <c r="I3822" s="99" t="n">
        <f aca="false">IF(6&gt;Hold_Yrs,0,I2913-IF(6&gt;Debt_Yr,0,(H3216-0.5*IF(6=Debt_Yr,0,H3519))*INDEX(Fin_Curve,1,6))-H3519-H3519*Fin_ExitFee)</f>
        <v>0</v>
      </c>
      <c r="J3822" s="99" t="n">
        <f aca="false">IF(7&gt;Hold_Yrs,0,J2913-IF(7&gt;Debt_Yr,0,(I3216-0.5*IF(7=Debt_Yr,0,I3519))*INDEX(Fin_Curve,1,7))-I3519-I3519*Fin_ExitFee)</f>
        <v>0</v>
      </c>
      <c r="K3822" s="99" t="n">
        <f aca="false">IF(8&gt;Hold_Yrs,0,K2913-IF(8&gt;Debt_Yr,0,(J3216-0.5*IF(8=Debt_Yr,0,J3519))*INDEX(Fin_Curve,1,8))-J3519-J3519*Fin_ExitFee)</f>
        <v>0</v>
      </c>
      <c r="L3822" s="99" t="n">
        <f aca="false">IF(9&gt;Hold_Yrs,0,L2913-IF(9&gt;Debt_Yr,0,(K3216-0.5*IF(9=Debt_Yr,0,K3519))*INDEX(Fin_Curve,1,9))-K3519-K3519*Fin_ExitFee)</f>
        <v>0</v>
      </c>
      <c r="M3822" s="99" t="n">
        <f aca="false">IF(10&gt;Hold_Yrs,0,M2913-IF(10&gt;Debt_Yr,0,(L3216-0.5*IF(10=Debt_Yr,0,L3519))*INDEX(Fin_Curve,1,10))-L3519-L3519*Fin_ExitFee)</f>
        <v>0</v>
      </c>
    </row>
    <row r="3823" customFormat="false" ht="15" hidden="false" customHeight="false" outlineLevel="0" collapsed="false">
      <c r="B3823" s="108" t="n">
        <f aca="false">'Loan Tape'!$A183</f>
        <v>0</v>
      </c>
      <c r="C3823" s="71" t="n">
        <f aca="false">-'Loan Tape'!$BE183</f>
        <v>-0</v>
      </c>
      <c r="D3823" s="71" t="n">
        <f aca="false">IF(1&gt;Hold_Yrs,0,D2914-IF(1&gt;Debt_Yr,0,(C3217-0.5*IF(1=Debt_Yr,0,C3520))*INDEX(Fin_Curve,1,1))-C3520-C3520*Fin_ExitFee)</f>
        <v>0</v>
      </c>
      <c r="E3823" s="71" t="n">
        <f aca="false">IF(2&gt;Hold_Yrs,0,E2914-IF(2&gt;Debt_Yr,0,(D3217-0.5*IF(2=Debt_Yr,0,D3520))*INDEX(Fin_Curve,1,2))-D3520-D3520*Fin_ExitFee)</f>
        <v>0</v>
      </c>
      <c r="F3823" s="71" t="n">
        <f aca="false">IF(3&gt;Hold_Yrs,0,F2914-IF(3&gt;Debt_Yr,0,(E3217-0.5*IF(3=Debt_Yr,0,E3520))*INDEX(Fin_Curve,1,3))-E3520-E3520*Fin_ExitFee)</f>
        <v>0</v>
      </c>
      <c r="G3823" s="71" t="n">
        <f aca="false">IF(4&gt;Hold_Yrs,0,G2914-IF(4&gt;Debt_Yr,0,(F3217-0.5*IF(4=Debt_Yr,0,F3520))*INDEX(Fin_Curve,1,4))-F3520-F3520*Fin_ExitFee)</f>
        <v>0</v>
      </c>
      <c r="H3823" s="71" t="n">
        <f aca="false">IF(5&gt;Hold_Yrs,0,H2914-IF(5&gt;Debt_Yr,0,(G3217-0.5*IF(5=Debt_Yr,0,G3520))*INDEX(Fin_Curve,1,5))-G3520-G3520*Fin_ExitFee)</f>
        <v>0</v>
      </c>
      <c r="I3823" s="71" t="n">
        <f aca="false">IF(6&gt;Hold_Yrs,0,I2914-IF(6&gt;Debt_Yr,0,(H3217-0.5*IF(6=Debt_Yr,0,H3520))*INDEX(Fin_Curve,1,6))-H3520-H3520*Fin_ExitFee)</f>
        <v>0</v>
      </c>
      <c r="J3823" s="71" t="n">
        <f aca="false">IF(7&gt;Hold_Yrs,0,J2914-IF(7&gt;Debt_Yr,0,(I3217-0.5*IF(7=Debt_Yr,0,I3520))*INDEX(Fin_Curve,1,7))-I3520-I3520*Fin_ExitFee)</f>
        <v>0</v>
      </c>
      <c r="K3823" s="71" t="n">
        <f aca="false">IF(8&gt;Hold_Yrs,0,K2914-IF(8&gt;Debt_Yr,0,(J3217-0.5*IF(8=Debt_Yr,0,J3520))*INDEX(Fin_Curve,1,8))-J3520-J3520*Fin_ExitFee)</f>
        <v>0</v>
      </c>
      <c r="L3823" s="71" t="n">
        <f aca="false">IF(9&gt;Hold_Yrs,0,L2914-IF(9&gt;Debt_Yr,0,(K3217-0.5*IF(9=Debt_Yr,0,K3520))*INDEX(Fin_Curve,1,9))-K3520-K3520*Fin_ExitFee)</f>
        <v>0</v>
      </c>
      <c r="M3823" s="71" t="n">
        <f aca="false">IF(10&gt;Hold_Yrs,0,M2914-IF(10&gt;Debt_Yr,0,(L3217-0.5*IF(10=Debt_Yr,0,L3520))*INDEX(Fin_Curve,1,10))-L3520-L3520*Fin_ExitFee)</f>
        <v>0</v>
      </c>
    </row>
    <row r="3824" customFormat="false" ht="15" hidden="false" customHeight="false" outlineLevel="0" collapsed="false">
      <c r="B3824" s="102" t="n">
        <f aca="false">'Loan Tape'!$A184</f>
        <v>0</v>
      </c>
      <c r="C3824" s="99" t="n">
        <f aca="false">-'Loan Tape'!$BE184</f>
        <v>-0</v>
      </c>
      <c r="D3824" s="99" t="n">
        <f aca="false">IF(1&gt;Hold_Yrs,0,D2915-IF(1&gt;Debt_Yr,0,(C3218-0.5*IF(1=Debt_Yr,0,C3521))*INDEX(Fin_Curve,1,1))-C3521-C3521*Fin_ExitFee)</f>
        <v>0</v>
      </c>
      <c r="E3824" s="99" t="n">
        <f aca="false">IF(2&gt;Hold_Yrs,0,E2915-IF(2&gt;Debt_Yr,0,(D3218-0.5*IF(2=Debt_Yr,0,D3521))*INDEX(Fin_Curve,1,2))-D3521-D3521*Fin_ExitFee)</f>
        <v>0</v>
      </c>
      <c r="F3824" s="99" t="n">
        <f aca="false">IF(3&gt;Hold_Yrs,0,F2915-IF(3&gt;Debt_Yr,0,(E3218-0.5*IF(3=Debt_Yr,0,E3521))*INDEX(Fin_Curve,1,3))-E3521-E3521*Fin_ExitFee)</f>
        <v>0</v>
      </c>
      <c r="G3824" s="99" t="n">
        <f aca="false">IF(4&gt;Hold_Yrs,0,G2915-IF(4&gt;Debt_Yr,0,(F3218-0.5*IF(4=Debt_Yr,0,F3521))*INDEX(Fin_Curve,1,4))-F3521-F3521*Fin_ExitFee)</f>
        <v>0</v>
      </c>
      <c r="H3824" s="99" t="n">
        <f aca="false">IF(5&gt;Hold_Yrs,0,H2915-IF(5&gt;Debt_Yr,0,(G3218-0.5*IF(5=Debt_Yr,0,G3521))*INDEX(Fin_Curve,1,5))-G3521-G3521*Fin_ExitFee)</f>
        <v>0</v>
      </c>
      <c r="I3824" s="99" t="n">
        <f aca="false">IF(6&gt;Hold_Yrs,0,I2915-IF(6&gt;Debt_Yr,0,(H3218-0.5*IF(6=Debt_Yr,0,H3521))*INDEX(Fin_Curve,1,6))-H3521-H3521*Fin_ExitFee)</f>
        <v>0</v>
      </c>
      <c r="J3824" s="99" t="n">
        <f aca="false">IF(7&gt;Hold_Yrs,0,J2915-IF(7&gt;Debt_Yr,0,(I3218-0.5*IF(7=Debt_Yr,0,I3521))*INDEX(Fin_Curve,1,7))-I3521-I3521*Fin_ExitFee)</f>
        <v>0</v>
      </c>
      <c r="K3824" s="99" t="n">
        <f aca="false">IF(8&gt;Hold_Yrs,0,K2915-IF(8&gt;Debt_Yr,0,(J3218-0.5*IF(8=Debt_Yr,0,J3521))*INDEX(Fin_Curve,1,8))-J3521-J3521*Fin_ExitFee)</f>
        <v>0</v>
      </c>
      <c r="L3824" s="99" t="n">
        <f aca="false">IF(9&gt;Hold_Yrs,0,L2915-IF(9&gt;Debt_Yr,0,(K3218-0.5*IF(9=Debt_Yr,0,K3521))*INDEX(Fin_Curve,1,9))-K3521-K3521*Fin_ExitFee)</f>
        <v>0</v>
      </c>
      <c r="M3824" s="99" t="n">
        <f aca="false">IF(10&gt;Hold_Yrs,0,M2915-IF(10&gt;Debt_Yr,0,(L3218-0.5*IF(10=Debt_Yr,0,L3521))*INDEX(Fin_Curve,1,10))-L3521-L3521*Fin_ExitFee)</f>
        <v>0</v>
      </c>
    </row>
    <row r="3825" customFormat="false" ht="15" hidden="false" customHeight="false" outlineLevel="0" collapsed="false">
      <c r="B3825" s="108" t="n">
        <f aca="false">'Loan Tape'!$A185</f>
        <v>0</v>
      </c>
      <c r="C3825" s="71" t="n">
        <f aca="false">-'Loan Tape'!$BE185</f>
        <v>-0</v>
      </c>
      <c r="D3825" s="71" t="n">
        <f aca="false">IF(1&gt;Hold_Yrs,0,D2916-IF(1&gt;Debt_Yr,0,(C3219-0.5*IF(1=Debt_Yr,0,C3522))*INDEX(Fin_Curve,1,1))-C3522-C3522*Fin_ExitFee)</f>
        <v>0</v>
      </c>
      <c r="E3825" s="71" t="n">
        <f aca="false">IF(2&gt;Hold_Yrs,0,E2916-IF(2&gt;Debt_Yr,0,(D3219-0.5*IF(2=Debt_Yr,0,D3522))*INDEX(Fin_Curve,1,2))-D3522-D3522*Fin_ExitFee)</f>
        <v>0</v>
      </c>
      <c r="F3825" s="71" t="n">
        <f aca="false">IF(3&gt;Hold_Yrs,0,F2916-IF(3&gt;Debt_Yr,0,(E3219-0.5*IF(3=Debt_Yr,0,E3522))*INDEX(Fin_Curve,1,3))-E3522-E3522*Fin_ExitFee)</f>
        <v>0</v>
      </c>
      <c r="G3825" s="71" t="n">
        <f aca="false">IF(4&gt;Hold_Yrs,0,G2916-IF(4&gt;Debt_Yr,0,(F3219-0.5*IF(4=Debt_Yr,0,F3522))*INDEX(Fin_Curve,1,4))-F3522-F3522*Fin_ExitFee)</f>
        <v>0</v>
      </c>
      <c r="H3825" s="71" t="n">
        <f aca="false">IF(5&gt;Hold_Yrs,0,H2916-IF(5&gt;Debt_Yr,0,(G3219-0.5*IF(5=Debt_Yr,0,G3522))*INDEX(Fin_Curve,1,5))-G3522-G3522*Fin_ExitFee)</f>
        <v>0</v>
      </c>
      <c r="I3825" s="71" t="n">
        <f aca="false">IF(6&gt;Hold_Yrs,0,I2916-IF(6&gt;Debt_Yr,0,(H3219-0.5*IF(6=Debt_Yr,0,H3522))*INDEX(Fin_Curve,1,6))-H3522-H3522*Fin_ExitFee)</f>
        <v>0</v>
      </c>
      <c r="J3825" s="71" t="n">
        <f aca="false">IF(7&gt;Hold_Yrs,0,J2916-IF(7&gt;Debt_Yr,0,(I3219-0.5*IF(7=Debt_Yr,0,I3522))*INDEX(Fin_Curve,1,7))-I3522-I3522*Fin_ExitFee)</f>
        <v>0</v>
      </c>
      <c r="K3825" s="71" t="n">
        <f aca="false">IF(8&gt;Hold_Yrs,0,K2916-IF(8&gt;Debt_Yr,0,(J3219-0.5*IF(8=Debt_Yr,0,J3522))*INDEX(Fin_Curve,1,8))-J3522-J3522*Fin_ExitFee)</f>
        <v>0</v>
      </c>
      <c r="L3825" s="71" t="n">
        <f aca="false">IF(9&gt;Hold_Yrs,0,L2916-IF(9&gt;Debt_Yr,0,(K3219-0.5*IF(9=Debt_Yr,0,K3522))*INDEX(Fin_Curve,1,9))-K3522-K3522*Fin_ExitFee)</f>
        <v>0</v>
      </c>
      <c r="M3825" s="71" t="n">
        <f aca="false">IF(10&gt;Hold_Yrs,0,M2916-IF(10&gt;Debt_Yr,0,(L3219-0.5*IF(10=Debt_Yr,0,L3522))*INDEX(Fin_Curve,1,10))-L3522-L3522*Fin_ExitFee)</f>
        <v>0</v>
      </c>
    </row>
    <row r="3826" customFormat="false" ht="15" hidden="false" customHeight="false" outlineLevel="0" collapsed="false">
      <c r="B3826" s="102" t="n">
        <f aca="false">'Loan Tape'!$A186</f>
        <v>0</v>
      </c>
      <c r="C3826" s="99" t="n">
        <f aca="false">-'Loan Tape'!$BE186</f>
        <v>-0</v>
      </c>
      <c r="D3826" s="99" t="n">
        <f aca="false">IF(1&gt;Hold_Yrs,0,D2917-IF(1&gt;Debt_Yr,0,(C3220-0.5*IF(1=Debt_Yr,0,C3523))*INDEX(Fin_Curve,1,1))-C3523-C3523*Fin_ExitFee)</f>
        <v>0</v>
      </c>
      <c r="E3826" s="99" t="n">
        <f aca="false">IF(2&gt;Hold_Yrs,0,E2917-IF(2&gt;Debt_Yr,0,(D3220-0.5*IF(2=Debt_Yr,0,D3523))*INDEX(Fin_Curve,1,2))-D3523-D3523*Fin_ExitFee)</f>
        <v>0</v>
      </c>
      <c r="F3826" s="99" t="n">
        <f aca="false">IF(3&gt;Hold_Yrs,0,F2917-IF(3&gt;Debt_Yr,0,(E3220-0.5*IF(3=Debt_Yr,0,E3523))*INDEX(Fin_Curve,1,3))-E3523-E3523*Fin_ExitFee)</f>
        <v>0</v>
      </c>
      <c r="G3826" s="99" t="n">
        <f aca="false">IF(4&gt;Hold_Yrs,0,G2917-IF(4&gt;Debt_Yr,0,(F3220-0.5*IF(4=Debt_Yr,0,F3523))*INDEX(Fin_Curve,1,4))-F3523-F3523*Fin_ExitFee)</f>
        <v>0</v>
      </c>
      <c r="H3826" s="99" t="n">
        <f aca="false">IF(5&gt;Hold_Yrs,0,H2917-IF(5&gt;Debt_Yr,0,(G3220-0.5*IF(5=Debt_Yr,0,G3523))*INDEX(Fin_Curve,1,5))-G3523-G3523*Fin_ExitFee)</f>
        <v>0</v>
      </c>
      <c r="I3826" s="99" t="n">
        <f aca="false">IF(6&gt;Hold_Yrs,0,I2917-IF(6&gt;Debt_Yr,0,(H3220-0.5*IF(6=Debt_Yr,0,H3523))*INDEX(Fin_Curve,1,6))-H3523-H3523*Fin_ExitFee)</f>
        <v>0</v>
      </c>
      <c r="J3826" s="99" t="n">
        <f aca="false">IF(7&gt;Hold_Yrs,0,J2917-IF(7&gt;Debt_Yr,0,(I3220-0.5*IF(7=Debt_Yr,0,I3523))*INDEX(Fin_Curve,1,7))-I3523-I3523*Fin_ExitFee)</f>
        <v>0</v>
      </c>
      <c r="K3826" s="99" t="n">
        <f aca="false">IF(8&gt;Hold_Yrs,0,K2917-IF(8&gt;Debt_Yr,0,(J3220-0.5*IF(8=Debt_Yr,0,J3523))*INDEX(Fin_Curve,1,8))-J3523-J3523*Fin_ExitFee)</f>
        <v>0</v>
      </c>
      <c r="L3826" s="99" t="n">
        <f aca="false">IF(9&gt;Hold_Yrs,0,L2917-IF(9&gt;Debt_Yr,0,(K3220-0.5*IF(9=Debt_Yr,0,K3523))*INDEX(Fin_Curve,1,9))-K3523-K3523*Fin_ExitFee)</f>
        <v>0</v>
      </c>
      <c r="M3826" s="99" t="n">
        <f aca="false">IF(10&gt;Hold_Yrs,0,M2917-IF(10&gt;Debt_Yr,0,(L3220-0.5*IF(10=Debt_Yr,0,L3523))*INDEX(Fin_Curve,1,10))-L3523-L3523*Fin_ExitFee)</f>
        <v>0</v>
      </c>
    </row>
    <row r="3827" customFormat="false" ht="15" hidden="false" customHeight="false" outlineLevel="0" collapsed="false">
      <c r="B3827" s="108" t="n">
        <f aca="false">'Loan Tape'!$A187</f>
        <v>0</v>
      </c>
      <c r="C3827" s="71" t="n">
        <f aca="false">-'Loan Tape'!$BE187</f>
        <v>-0</v>
      </c>
      <c r="D3827" s="71" t="n">
        <f aca="false">IF(1&gt;Hold_Yrs,0,D2918-IF(1&gt;Debt_Yr,0,(C3221-0.5*IF(1=Debt_Yr,0,C3524))*INDEX(Fin_Curve,1,1))-C3524-C3524*Fin_ExitFee)</f>
        <v>0</v>
      </c>
      <c r="E3827" s="71" t="n">
        <f aca="false">IF(2&gt;Hold_Yrs,0,E2918-IF(2&gt;Debt_Yr,0,(D3221-0.5*IF(2=Debt_Yr,0,D3524))*INDEX(Fin_Curve,1,2))-D3524-D3524*Fin_ExitFee)</f>
        <v>0</v>
      </c>
      <c r="F3827" s="71" t="n">
        <f aca="false">IF(3&gt;Hold_Yrs,0,F2918-IF(3&gt;Debt_Yr,0,(E3221-0.5*IF(3=Debt_Yr,0,E3524))*INDEX(Fin_Curve,1,3))-E3524-E3524*Fin_ExitFee)</f>
        <v>0</v>
      </c>
      <c r="G3827" s="71" t="n">
        <f aca="false">IF(4&gt;Hold_Yrs,0,G2918-IF(4&gt;Debt_Yr,0,(F3221-0.5*IF(4=Debt_Yr,0,F3524))*INDEX(Fin_Curve,1,4))-F3524-F3524*Fin_ExitFee)</f>
        <v>0</v>
      </c>
      <c r="H3827" s="71" t="n">
        <f aca="false">IF(5&gt;Hold_Yrs,0,H2918-IF(5&gt;Debt_Yr,0,(G3221-0.5*IF(5=Debt_Yr,0,G3524))*INDEX(Fin_Curve,1,5))-G3524-G3524*Fin_ExitFee)</f>
        <v>0</v>
      </c>
      <c r="I3827" s="71" t="n">
        <f aca="false">IF(6&gt;Hold_Yrs,0,I2918-IF(6&gt;Debt_Yr,0,(H3221-0.5*IF(6=Debt_Yr,0,H3524))*INDEX(Fin_Curve,1,6))-H3524-H3524*Fin_ExitFee)</f>
        <v>0</v>
      </c>
      <c r="J3827" s="71" t="n">
        <f aca="false">IF(7&gt;Hold_Yrs,0,J2918-IF(7&gt;Debt_Yr,0,(I3221-0.5*IF(7=Debt_Yr,0,I3524))*INDEX(Fin_Curve,1,7))-I3524-I3524*Fin_ExitFee)</f>
        <v>0</v>
      </c>
      <c r="K3827" s="71" t="n">
        <f aca="false">IF(8&gt;Hold_Yrs,0,K2918-IF(8&gt;Debt_Yr,0,(J3221-0.5*IF(8=Debt_Yr,0,J3524))*INDEX(Fin_Curve,1,8))-J3524-J3524*Fin_ExitFee)</f>
        <v>0</v>
      </c>
      <c r="L3827" s="71" t="n">
        <f aca="false">IF(9&gt;Hold_Yrs,0,L2918-IF(9&gt;Debt_Yr,0,(K3221-0.5*IF(9=Debt_Yr,0,K3524))*INDEX(Fin_Curve,1,9))-K3524-K3524*Fin_ExitFee)</f>
        <v>0</v>
      </c>
      <c r="M3827" s="71" t="n">
        <f aca="false">IF(10&gt;Hold_Yrs,0,M2918-IF(10&gt;Debt_Yr,0,(L3221-0.5*IF(10=Debt_Yr,0,L3524))*INDEX(Fin_Curve,1,10))-L3524-L3524*Fin_ExitFee)</f>
        <v>0</v>
      </c>
    </row>
    <row r="3828" customFormat="false" ht="15" hidden="false" customHeight="false" outlineLevel="0" collapsed="false">
      <c r="B3828" s="102" t="n">
        <f aca="false">'Loan Tape'!$A188</f>
        <v>0</v>
      </c>
      <c r="C3828" s="99" t="n">
        <f aca="false">-'Loan Tape'!$BE188</f>
        <v>-0</v>
      </c>
      <c r="D3828" s="99" t="n">
        <f aca="false">IF(1&gt;Hold_Yrs,0,D2919-IF(1&gt;Debt_Yr,0,(C3222-0.5*IF(1=Debt_Yr,0,C3525))*INDEX(Fin_Curve,1,1))-C3525-C3525*Fin_ExitFee)</f>
        <v>0</v>
      </c>
      <c r="E3828" s="99" t="n">
        <f aca="false">IF(2&gt;Hold_Yrs,0,E2919-IF(2&gt;Debt_Yr,0,(D3222-0.5*IF(2=Debt_Yr,0,D3525))*INDEX(Fin_Curve,1,2))-D3525-D3525*Fin_ExitFee)</f>
        <v>0</v>
      </c>
      <c r="F3828" s="99" t="n">
        <f aca="false">IF(3&gt;Hold_Yrs,0,F2919-IF(3&gt;Debt_Yr,0,(E3222-0.5*IF(3=Debt_Yr,0,E3525))*INDEX(Fin_Curve,1,3))-E3525-E3525*Fin_ExitFee)</f>
        <v>0</v>
      </c>
      <c r="G3828" s="99" t="n">
        <f aca="false">IF(4&gt;Hold_Yrs,0,G2919-IF(4&gt;Debt_Yr,0,(F3222-0.5*IF(4=Debt_Yr,0,F3525))*INDEX(Fin_Curve,1,4))-F3525-F3525*Fin_ExitFee)</f>
        <v>0</v>
      </c>
      <c r="H3828" s="99" t="n">
        <f aca="false">IF(5&gt;Hold_Yrs,0,H2919-IF(5&gt;Debt_Yr,0,(G3222-0.5*IF(5=Debt_Yr,0,G3525))*INDEX(Fin_Curve,1,5))-G3525-G3525*Fin_ExitFee)</f>
        <v>0</v>
      </c>
      <c r="I3828" s="99" t="n">
        <f aca="false">IF(6&gt;Hold_Yrs,0,I2919-IF(6&gt;Debt_Yr,0,(H3222-0.5*IF(6=Debt_Yr,0,H3525))*INDEX(Fin_Curve,1,6))-H3525-H3525*Fin_ExitFee)</f>
        <v>0</v>
      </c>
      <c r="J3828" s="99" t="n">
        <f aca="false">IF(7&gt;Hold_Yrs,0,J2919-IF(7&gt;Debt_Yr,0,(I3222-0.5*IF(7=Debt_Yr,0,I3525))*INDEX(Fin_Curve,1,7))-I3525-I3525*Fin_ExitFee)</f>
        <v>0</v>
      </c>
      <c r="K3828" s="99" t="n">
        <f aca="false">IF(8&gt;Hold_Yrs,0,K2919-IF(8&gt;Debt_Yr,0,(J3222-0.5*IF(8=Debt_Yr,0,J3525))*INDEX(Fin_Curve,1,8))-J3525-J3525*Fin_ExitFee)</f>
        <v>0</v>
      </c>
      <c r="L3828" s="99" t="n">
        <f aca="false">IF(9&gt;Hold_Yrs,0,L2919-IF(9&gt;Debt_Yr,0,(K3222-0.5*IF(9=Debt_Yr,0,K3525))*INDEX(Fin_Curve,1,9))-K3525-K3525*Fin_ExitFee)</f>
        <v>0</v>
      </c>
      <c r="M3828" s="99" t="n">
        <f aca="false">IF(10&gt;Hold_Yrs,0,M2919-IF(10&gt;Debt_Yr,0,(L3222-0.5*IF(10=Debt_Yr,0,L3525))*INDEX(Fin_Curve,1,10))-L3525-L3525*Fin_ExitFee)</f>
        <v>0</v>
      </c>
    </row>
    <row r="3829" customFormat="false" ht="15" hidden="false" customHeight="false" outlineLevel="0" collapsed="false">
      <c r="B3829" s="108" t="n">
        <f aca="false">'Loan Tape'!$A189</f>
        <v>0</v>
      </c>
      <c r="C3829" s="71" t="n">
        <f aca="false">-'Loan Tape'!$BE189</f>
        <v>-0</v>
      </c>
      <c r="D3829" s="71" t="n">
        <f aca="false">IF(1&gt;Hold_Yrs,0,D2920-IF(1&gt;Debt_Yr,0,(C3223-0.5*IF(1=Debt_Yr,0,C3526))*INDEX(Fin_Curve,1,1))-C3526-C3526*Fin_ExitFee)</f>
        <v>0</v>
      </c>
      <c r="E3829" s="71" t="n">
        <f aca="false">IF(2&gt;Hold_Yrs,0,E2920-IF(2&gt;Debt_Yr,0,(D3223-0.5*IF(2=Debt_Yr,0,D3526))*INDEX(Fin_Curve,1,2))-D3526-D3526*Fin_ExitFee)</f>
        <v>0</v>
      </c>
      <c r="F3829" s="71" t="n">
        <f aca="false">IF(3&gt;Hold_Yrs,0,F2920-IF(3&gt;Debt_Yr,0,(E3223-0.5*IF(3=Debt_Yr,0,E3526))*INDEX(Fin_Curve,1,3))-E3526-E3526*Fin_ExitFee)</f>
        <v>0</v>
      </c>
      <c r="G3829" s="71" t="n">
        <f aca="false">IF(4&gt;Hold_Yrs,0,G2920-IF(4&gt;Debt_Yr,0,(F3223-0.5*IF(4=Debt_Yr,0,F3526))*INDEX(Fin_Curve,1,4))-F3526-F3526*Fin_ExitFee)</f>
        <v>0</v>
      </c>
      <c r="H3829" s="71" t="n">
        <f aca="false">IF(5&gt;Hold_Yrs,0,H2920-IF(5&gt;Debt_Yr,0,(G3223-0.5*IF(5=Debt_Yr,0,G3526))*INDEX(Fin_Curve,1,5))-G3526-G3526*Fin_ExitFee)</f>
        <v>0</v>
      </c>
      <c r="I3829" s="71" t="n">
        <f aca="false">IF(6&gt;Hold_Yrs,0,I2920-IF(6&gt;Debt_Yr,0,(H3223-0.5*IF(6=Debt_Yr,0,H3526))*INDEX(Fin_Curve,1,6))-H3526-H3526*Fin_ExitFee)</f>
        <v>0</v>
      </c>
      <c r="J3829" s="71" t="n">
        <f aca="false">IF(7&gt;Hold_Yrs,0,J2920-IF(7&gt;Debt_Yr,0,(I3223-0.5*IF(7=Debt_Yr,0,I3526))*INDEX(Fin_Curve,1,7))-I3526-I3526*Fin_ExitFee)</f>
        <v>0</v>
      </c>
      <c r="K3829" s="71" t="n">
        <f aca="false">IF(8&gt;Hold_Yrs,0,K2920-IF(8&gt;Debt_Yr,0,(J3223-0.5*IF(8=Debt_Yr,0,J3526))*INDEX(Fin_Curve,1,8))-J3526-J3526*Fin_ExitFee)</f>
        <v>0</v>
      </c>
      <c r="L3829" s="71" t="n">
        <f aca="false">IF(9&gt;Hold_Yrs,0,L2920-IF(9&gt;Debt_Yr,0,(K3223-0.5*IF(9=Debt_Yr,0,K3526))*INDEX(Fin_Curve,1,9))-K3526-K3526*Fin_ExitFee)</f>
        <v>0</v>
      </c>
      <c r="M3829" s="71" t="n">
        <f aca="false">IF(10&gt;Hold_Yrs,0,M2920-IF(10&gt;Debt_Yr,0,(L3223-0.5*IF(10=Debt_Yr,0,L3526))*INDEX(Fin_Curve,1,10))-L3526-L3526*Fin_ExitFee)</f>
        <v>0</v>
      </c>
    </row>
    <row r="3830" customFormat="false" ht="15" hidden="false" customHeight="false" outlineLevel="0" collapsed="false">
      <c r="B3830" s="102" t="n">
        <f aca="false">'Loan Tape'!$A190</f>
        <v>0</v>
      </c>
      <c r="C3830" s="99" t="n">
        <f aca="false">-'Loan Tape'!$BE190</f>
        <v>-0</v>
      </c>
      <c r="D3830" s="99" t="n">
        <f aca="false">IF(1&gt;Hold_Yrs,0,D2921-IF(1&gt;Debt_Yr,0,(C3224-0.5*IF(1=Debt_Yr,0,C3527))*INDEX(Fin_Curve,1,1))-C3527-C3527*Fin_ExitFee)</f>
        <v>0</v>
      </c>
      <c r="E3830" s="99" t="n">
        <f aca="false">IF(2&gt;Hold_Yrs,0,E2921-IF(2&gt;Debt_Yr,0,(D3224-0.5*IF(2=Debt_Yr,0,D3527))*INDEX(Fin_Curve,1,2))-D3527-D3527*Fin_ExitFee)</f>
        <v>0</v>
      </c>
      <c r="F3830" s="99" t="n">
        <f aca="false">IF(3&gt;Hold_Yrs,0,F2921-IF(3&gt;Debt_Yr,0,(E3224-0.5*IF(3=Debt_Yr,0,E3527))*INDEX(Fin_Curve,1,3))-E3527-E3527*Fin_ExitFee)</f>
        <v>0</v>
      </c>
      <c r="G3830" s="99" t="n">
        <f aca="false">IF(4&gt;Hold_Yrs,0,G2921-IF(4&gt;Debt_Yr,0,(F3224-0.5*IF(4=Debt_Yr,0,F3527))*INDEX(Fin_Curve,1,4))-F3527-F3527*Fin_ExitFee)</f>
        <v>0</v>
      </c>
      <c r="H3830" s="99" t="n">
        <f aca="false">IF(5&gt;Hold_Yrs,0,H2921-IF(5&gt;Debt_Yr,0,(G3224-0.5*IF(5=Debt_Yr,0,G3527))*INDEX(Fin_Curve,1,5))-G3527-G3527*Fin_ExitFee)</f>
        <v>0</v>
      </c>
      <c r="I3830" s="99" t="n">
        <f aca="false">IF(6&gt;Hold_Yrs,0,I2921-IF(6&gt;Debt_Yr,0,(H3224-0.5*IF(6=Debt_Yr,0,H3527))*INDEX(Fin_Curve,1,6))-H3527-H3527*Fin_ExitFee)</f>
        <v>0</v>
      </c>
      <c r="J3830" s="99" t="n">
        <f aca="false">IF(7&gt;Hold_Yrs,0,J2921-IF(7&gt;Debt_Yr,0,(I3224-0.5*IF(7=Debt_Yr,0,I3527))*INDEX(Fin_Curve,1,7))-I3527-I3527*Fin_ExitFee)</f>
        <v>0</v>
      </c>
      <c r="K3830" s="99" t="n">
        <f aca="false">IF(8&gt;Hold_Yrs,0,K2921-IF(8&gt;Debt_Yr,0,(J3224-0.5*IF(8=Debt_Yr,0,J3527))*INDEX(Fin_Curve,1,8))-J3527-J3527*Fin_ExitFee)</f>
        <v>0</v>
      </c>
      <c r="L3830" s="99" t="n">
        <f aca="false">IF(9&gt;Hold_Yrs,0,L2921-IF(9&gt;Debt_Yr,0,(K3224-0.5*IF(9=Debt_Yr,0,K3527))*INDEX(Fin_Curve,1,9))-K3527-K3527*Fin_ExitFee)</f>
        <v>0</v>
      </c>
      <c r="M3830" s="99" t="n">
        <f aca="false">IF(10&gt;Hold_Yrs,0,M2921-IF(10&gt;Debt_Yr,0,(L3224-0.5*IF(10=Debt_Yr,0,L3527))*INDEX(Fin_Curve,1,10))-L3527-L3527*Fin_ExitFee)</f>
        <v>0</v>
      </c>
    </row>
    <row r="3831" customFormat="false" ht="15" hidden="false" customHeight="false" outlineLevel="0" collapsed="false">
      <c r="B3831" s="108" t="n">
        <f aca="false">'Loan Tape'!$A191</f>
        <v>0</v>
      </c>
      <c r="C3831" s="71" t="n">
        <f aca="false">-'Loan Tape'!$BE191</f>
        <v>-0</v>
      </c>
      <c r="D3831" s="71" t="n">
        <f aca="false">IF(1&gt;Hold_Yrs,0,D2922-IF(1&gt;Debt_Yr,0,(C3225-0.5*IF(1=Debt_Yr,0,C3528))*INDEX(Fin_Curve,1,1))-C3528-C3528*Fin_ExitFee)</f>
        <v>0</v>
      </c>
      <c r="E3831" s="71" t="n">
        <f aca="false">IF(2&gt;Hold_Yrs,0,E2922-IF(2&gt;Debt_Yr,0,(D3225-0.5*IF(2=Debt_Yr,0,D3528))*INDEX(Fin_Curve,1,2))-D3528-D3528*Fin_ExitFee)</f>
        <v>0</v>
      </c>
      <c r="F3831" s="71" t="n">
        <f aca="false">IF(3&gt;Hold_Yrs,0,F2922-IF(3&gt;Debt_Yr,0,(E3225-0.5*IF(3=Debt_Yr,0,E3528))*INDEX(Fin_Curve,1,3))-E3528-E3528*Fin_ExitFee)</f>
        <v>0</v>
      </c>
      <c r="G3831" s="71" t="n">
        <f aca="false">IF(4&gt;Hold_Yrs,0,G2922-IF(4&gt;Debt_Yr,0,(F3225-0.5*IF(4=Debt_Yr,0,F3528))*INDEX(Fin_Curve,1,4))-F3528-F3528*Fin_ExitFee)</f>
        <v>0</v>
      </c>
      <c r="H3831" s="71" t="n">
        <f aca="false">IF(5&gt;Hold_Yrs,0,H2922-IF(5&gt;Debt_Yr,0,(G3225-0.5*IF(5=Debt_Yr,0,G3528))*INDEX(Fin_Curve,1,5))-G3528-G3528*Fin_ExitFee)</f>
        <v>0</v>
      </c>
      <c r="I3831" s="71" t="n">
        <f aca="false">IF(6&gt;Hold_Yrs,0,I2922-IF(6&gt;Debt_Yr,0,(H3225-0.5*IF(6=Debt_Yr,0,H3528))*INDEX(Fin_Curve,1,6))-H3528-H3528*Fin_ExitFee)</f>
        <v>0</v>
      </c>
      <c r="J3831" s="71" t="n">
        <f aca="false">IF(7&gt;Hold_Yrs,0,J2922-IF(7&gt;Debt_Yr,0,(I3225-0.5*IF(7=Debt_Yr,0,I3528))*INDEX(Fin_Curve,1,7))-I3528-I3528*Fin_ExitFee)</f>
        <v>0</v>
      </c>
      <c r="K3831" s="71" t="n">
        <f aca="false">IF(8&gt;Hold_Yrs,0,K2922-IF(8&gt;Debt_Yr,0,(J3225-0.5*IF(8=Debt_Yr,0,J3528))*INDEX(Fin_Curve,1,8))-J3528-J3528*Fin_ExitFee)</f>
        <v>0</v>
      </c>
      <c r="L3831" s="71" t="n">
        <f aca="false">IF(9&gt;Hold_Yrs,0,L2922-IF(9&gt;Debt_Yr,0,(K3225-0.5*IF(9=Debt_Yr,0,K3528))*INDEX(Fin_Curve,1,9))-K3528-K3528*Fin_ExitFee)</f>
        <v>0</v>
      </c>
      <c r="M3831" s="71" t="n">
        <f aca="false">IF(10&gt;Hold_Yrs,0,M2922-IF(10&gt;Debt_Yr,0,(L3225-0.5*IF(10=Debt_Yr,0,L3528))*INDEX(Fin_Curve,1,10))-L3528-L3528*Fin_ExitFee)</f>
        <v>0</v>
      </c>
    </row>
    <row r="3832" customFormat="false" ht="15" hidden="false" customHeight="false" outlineLevel="0" collapsed="false">
      <c r="B3832" s="102" t="n">
        <f aca="false">'Loan Tape'!$A192</f>
        <v>0</v>
      </c>
      <c r="C3832" s="99" t="n">
        <f aca="false">-'Loan Tape'!$BE192</f>
        <v>-0</v>
      </c>
      <c r="D3832" s="99" t="n">
        <f aca="false">IF(1&gt;Hold_Yrs,0,D2923-IF(1&gt;Debt_Yr,0,(C3226-0.5*IF(1=Debt_Yr,0,C3529))*INDEX(Fin_Curve,1,1))-C3529-C3529*Fin_ExitFee)</f>
        <v>0</v>
      </c>
      <c r="E3832" s="99" t="n">
        <f aca="false">IF(2&gt;Hold_Yrs,0,E2923-IF(2&gt;Debt_Yr,0,(D3226-0.5*IF(2=Debt_Yr,0,D3529))*INDEX(Fin_Curve,1,2))-D3529-D3529*Fin_ExitFee)</f>
        <v>0</v>
      </c>
      <c r="F3832" s="99" t="n">
        <f aca="false">IF(3&gt;Hold_Yrs,0,F2923-IF(3&gt;Debt_Yr,0,(E3226-0.5*IF(3=Debt_Yr,0,E3529))*INDEX(Fin_Curve,1,3))-E3529-E3529*Fin_ExitFee)</f>
        <v>0</v>
      </c>
      <c r="G3832" s="99" t="n">
        <f aca="false">IF(4&gt;Hold_Yrs,0,G2923-IF(4&gt;Debt_Yr,0,(F3226-0.5*IF(4=Debt_Yr,0,F3529))*INDEX(Fin_Curve,1,4))-F3529-F3529*Fin_ExitFee)</f>
        <v>0</v>
      </c>
      <c r="H3832" s="99" t="n">
        <f aca="false">IF(5&gt;Hold_Yrs,0,H2923-IF(5&gt;Debt_Yr,0,(G3226-0.5*IF(5=Debt_Yr,0,G3529))*INDEX(Fin_Curve,1,5))-G3529-G3529*Fin_ExitFee)</f>
        <v>0</v>
      </c>
      <c r="I3832" s="99" t="n">
        <f aca="false">IF(6&gt;Hold_Yrs,0,I2923-IF(6&gt;Debt_Yr,0,(H3226-0.5*IF(6=Debt_Yr,0,H3529))*INDEX(Fin_Curve,1,6))-H3529-H3529*Fin_ExitFee)</f>
        <v>0</v>
      </c>
      <c r="J3832" s="99" t="n">
        <f aca="false">IF(7&gt;Hold_Yrs,0,J2923-IF(7&gt;Debt_Yr,0,(I3226-0.5*IF(7=Debt_Yr,0,I3529))*INDEX(Fin_Curve,1,7))-I3529-I3529*Fin_ExitFee)</f>
        <v>0</v>
      </c>
      <c r="K3832" s="99" t="n">
        <f aca="false">IF(8&gt;Hold_Yrs,0,K2923-IF(8&gt;Debt_Yr,0,(J3226-0.5*IF(8=Debt_Yr,0,J3529))*INDEX(Fin_Curve,1,8))-J3529-J3529*Fin_ExitFee)</f>
        <v>0</v>
      </c>
      <c r="L3832" s="99" t="n">
        <f aca="false">IF(9&gt;Hold_Yrs,0,L2923-IF(9&gt;Debt_Yr,0,(K3226-0.5*IF(9=Debt_Yr,0,K3529))*INDEX(Fin_Curve,1,9))-K3529-K3529*Fin_ExitFee)</f>
        <v>0</v>
      </c>
      <c r="M3832" s="99" t="n">
        <f aca="false">IF(10&gt;Hold_Yrs,0,M2923-IF(10&gt;Debt_Yr,0,(L3226-0.5*IF(10=Debt_Yr,0,L3529))*INDEX(Fin_Curve,1,10))-L3529-L3529*Fin_ExitFee)</f>
        <v>0</v>
      </c>
    </row>
    <row r="3833" customFormat="false" ht="15" hidden="false" customHeight="false" outlineLevel="0" collapsed="false">
      <c r="B3833" s="108" t="n">
        <f aca="false">'Loan Tape'!$A193</f>
        <v>0</v>
      </c>
      <c r="C3833" s="71" t="n">
        <f aca="false">-'Loan Tape'!$BE193</f>
        <v>-0</v>
      </c>
      <c r="D3833" s="71" t="n">
        <f aca="false">IF(1&gt;Hold_Yrs,0,D2924-IF(1&gt;Debt_Yr,0,(C3227-0.5*IF(1=Debt_Yr,0,C3530))*INDEX(Fin_Curve,1,1))-C3530-C3530*Fin_ExitFee)</f>
        <v>0</v>
      </c>
      <c r="E3833" s="71" t="n">
        <f aca="false">IF(2&gt;Hold_Yrs,0,E2924-IF(2&gt;Debt_Yr,0,(D3227-0.5*IF(2=Debt_Yr,0,D3530))*INDEX(Fin_Curve,1,2))-D3530-D3530*Fin_ExitFee)</f>
        <v>0</v>
      </c>
      <c r="F3833" s="71" t="n">
        <f aca="false">IF(3&gt;Hold_Yrs,0,F2924-IF(3&gt;Debt_Yr,0,(E3227-0.5*IF(3=Debt_Yr,0,E3530))*INDEX(Fin_Curve,1,3))-E3530-E3530*Fin_ExitFee)</f>
        <v>0</v>
      </c>
      <c r="G3833" s="71" t="n">
        <f aca="false">IF(4&gt;Hold_Yrs,0,G2924-IF(4&gt;Debt_Yr,0,(F3227-0.5*IF(4=Debt_Yr,0,F3530))*INDEX(Fin_Curve,1,4))-F3530-F3530*Fin_ExitFee)</f>
        <v>0</v>
      </c>
      <c r="H3833" s="71" t="n">
        <f aca="false">IF(5&gt;Hold_Yrs,0,H2924-IF(5&gt;Debt_Yr,0,(G3227-0.5*IF(5=Debt_Yr,0,G3530))*INDEX(Fin_Curve,1,5))-G3530-G3530*Fin_ExitFee)</f>
        <v>0</v>
      </c>
      <c r="I3833" s="71" t="n">
        <f aca="false">IF(6&gt;Hold_Yrs,0,I2924-IF(6&gt;Debt_Yr,0,(H3227-0.5*IF(6=Debt_Yr,0,H3530))*INDEX(Fin_Curve,1,6))-H3530-H3530*Fin_ExitFee)</f>
        <v>0</v>
      </c>
      <c r="J3833" s="71" t="n">
        <f aca="false">IF(7&gt;Hold_Yrs,0,J2924-IF(7&gt;Debt_Yr,0,(I3227-0.5*IF(7=Debt_Yr,0,I3530))*INDEX(Fin_Curve,1,7))-I3530-I3530*Fin_ExitFee)</f>
        <v>0</v>
      </c>
      <c r="K3833" s="71" t="n">
        <f aca="false">IF(8&gt;Hold_Yrs,0,K2924-IF(8&gt;Debt_Yr,0,(J3227-0.5*IF(8=Debt_Yr,0,J3530))*INDEX(Fin_Curve,1,8))-J3530-J3530*Fin_ExitFee)</f>
        <v>0</v>
      </c>
      <c r="L3833" s="71" t="n">
        <f aca="false">IF(9&gt;Hold_Yrs,0,L2924-IF(9&gt;Debt_Yr,0,(K3227-0.5*IF(9=Debt_Yr,0,K3530))*INDEX(Fin_Curve,1,9))-K3530-K3530*Fin_ExitFee)</f>
        <v>0</v>
      </c>
      <c r="M3833" s="71" t="n">
        <f aca="false">IF(10&gt;Hold_Yrs,0,M2924-IF(10&gt;Debt_Yr,0,(L3227-0.5*IF(10=Debt_Yr,0,L3530))*INDEX(Fin_Curve,1,10))-L3530-L3530*Fin_ExitFee)</f>
        <v>0</v>
      </c>
    </row>
    <row r="3834" customFormat="false" ht="15" hidden="false" customHeight="false" outlineLevel="0" collapsed="false">
      <c r="B3834" s="102" t="n">
        <f aca="false">'Loan Tape'!$A194</f>
        <v>0</v>
      </c>
      <c r="C3834" s="99" t="n">
        <f aca="false">-'Loan Tape'!$BE194</f>
        <v>-0</v>
      </c>
      <c r="D3834" s="99" t="n">
        <f aca="false">IF(1&gt;Hold_Yrs,0,D2925-IF(1&gt;Debt_Yr,0,(C3228-0.5*IF(1=Debt_Yr,0,C3531))*INDEX(Fin_Curve,1,1))-C3531-C3531*Fin_ExitFee)</f>
        <v>0</v>
      </c>
      <c r="E3834" s="99" t="n">
        <f aca="false">IF(2&gt;Hold_Yrs,0,E2925-IF(2&gt;Debt_Yr,0,(D3228-0.5*IF(2=Debt_Yr,0,D3531))*INDEX(Fin_Curve,1,2))-D3531-D3531*Fin_ExitFee)</f>
        <v>0</v>
      </c>
      <c r="F3834" s="99" t="n">
        <f aca="false">IF(3&gt;Hold_Yrs,0,F2925-IF(3&gt;Debt_Yr,0,(E3228-0.5*IF(3=Debt_Yr,0,E3531))*INDEX(Fin_Curve,1,3))-E3531-E3531*Fin_ExitFee)</f>
        <v>0</v>
      </c>
      <c r="G3834" s="99" t="n">
        <f aca="false">IF(4&gt;Hold_Yrs,0,G2925-IF(4&gt;Debt_Yr,0,(F3228-0.5*IF(4=Debt_Yr,0,F3531))*INDEX(Fin_Curve,1,4))-F3531-F3531*Fin_ExitFee)</f>
        <v>0</v>
      </c>
      <c r="H3834" s="99" t="n">
        <f aca="false">IF(5&gt;Hold_Yrs,0,H2925-IF(5&gt;Debt_Yr,0,(G3228-0.5*IF(5=Debt_Yr,0,G3531))*INDEX(Fin_Curve,1,5))-G3531-G3531*Fin_ExitFee)</f>
        <v>0</v>
      </c>
      <c r="I3834" s="99" t="n">
        <f aca="false">IF(6&gt;Hold_Yrs,0,I2925-IF(6&gt;Debt_Yr,0,(H3228-0.5*IF(6=Debt_Yr,0,H3531))*INDEX(Fin_Curve,1,6))-H3531-H3531*Fin_ExitFee)</f>
        <v>0</v>
      </c>
      <c r="J3834" s="99" t="n">
        <f aca="false">IF(7&gt;Hold_Yrs,0,J2925-IF(7&gt;Debt_Yr,0,(I3228-0.5*IF(7=Debt_Yr,0,I3531))*INDEX(Fin_Curve,1,7))-I3531-I3531*Fin_ExitFee)</f>
        <v>0</v>
      </c>
      <c r="K3834" s="99" t="n">
        <f aca="false">IF(8&gt;Hold_Yrs,0,K2925-IF(8&gt;Debt_Yr,0,(J3228-0.5*IF(8=Debt_Yr,0,J3531))*INDEX(Fin_Curve,1,8))-J3531-J3531*Fin_ExitFee)</f>
        <v>0</v>
      </c>
      <c r="L3834" s="99" t="n">
        <f aca="false">IF(9&gt;Hold_Yrs,0,L2925-IF(9&gt;Debt_Yr,0,(K3228-0.5*IF(9=Debt_Yr,0,K3531))*INDEX(Fin_Curve,1,9))-K3531-K3531*Fin_ExitFee)</f>
        <v>0</v>
      </c>
      <c r="M3834" s="99" t="n">
        <f aca="false">IF(10&gt;Hold_Yrs,0,M2925-IF(10&gt;Debt_Yr,0,(L3228-0.5*IF(10=Debt_Yr,0,L3531))*INDEX(Fin_Curve,1,10))-L3531-L3531*Fin_ExitFee)</f>
        <v>0</v>
      </c>
    </row>
    <row r="3835" customFormat="false" ht="15" hidden="false" customHeight="false" outlineLevel="0" collapsed="false">
      <c r="B3835" s="108" t="n">
        <f aca="false">'Loan Tape'!$A195</f>
        <v>0</v>
      </c>
      <c r="C3835" s="71" t="n">
        <f aca="false">-'Loan Tape'!$BE195</f>
        <v>-0</v>
      </c>
      <c r="D3835" s="71" t="n">
        <f aca="false">IF(1&gt;Hold_Yrs,0,D2926-IF(1&gt;Debt_Yr,0,(C3229-0.5*IF(1=Debt_Yr,0,C3532))*INDEX(Fin_Curve,1,1))-C3532-C3532*Fin_ExitFee)</f>
        <v>0</v>
      </c>
      <c r="E3835" s="71" t="n">
        <f aca="false">IF(2&gt;Hold_Yrs,0,E2926-IF(2&gt;Debt_Yr,0,(D3229-0.5*IF(2=Debt_Yr,0,D3532))*INDEX(Fin_Curve,1,2))-D3532-D3532*Fin_ExitFee)</f>
        <v>0</v>
      </c>
      <c r="F3835" s="71" t="n">
        <f aca="false">IF(3&gt;Hold_Yrs,0,F2926-IF(3&gt;Debt_Yr,0,(E3229-0.5*IF(3=Debt_Yr,0,E3532))*INDEX(Fin_Curve,1,3))-E3532-E3532*Fin_ExitFee)</f>
        <v>0</v>
      </c>
      <c r="G3835" s="71" t="n">
        <f aca="false">IF(4&gt;Hold_Yrs,0,G2926-IF(4&gt;Debt_Yr,0,(F3229-0.5*IF(4=Debt_Yr,0,F3532))*INDEX(Fin_Curve,1,4))-F3532-F3532*Fin_ExitFee)</f>
        <v>0</v>
      </c>
      <c r="H3835" s="71" t="n">
        <f aca="false">IF(5&gt;Hold_Yrs,0,H2926-IF(5&gt;Debt_Yr,0,(G3229-0.5*IF(5=Debt_Yr,0,G3532))*INDEX(Fin_Curve,1,5))-G3532-G3532*Fin_ExitFee)</f>
        <v>0</v>
      </c>
      <c r="I3835" s="71" t="n">
        <f aca="false">IF(6&gt;Hold_Yrs,0,I2926-IF(6&gt;Debt_Yr,0,(H3229-0.5*IF(6=Debt_Yr,0,H3532))*INDEX(Fin_Curve,1,6))-H3532-H3532*Fin_ExitFee)</f>
        <v>0</v>
      </c>
      <c r="J3835" s="71" t="n">
        <f aca="false">IF(7&gt;Hold_Yrs,0,J2926-IF(7&gt;Debt_Yr,0,(I3229-0.5*IF(7=Debt_Yr,0,I3532))*INDEX(Fin_Curve,1,7))-I3532-I3532*Fin_ExitFee)</f>
        <v>0</v>
      </c>
      <c r="K3835" s="71" t="n">
        <f aca="false">IF(8&gt;Hold_Yrs,0,K2926-IF(8&gt;Debt_Yr,0,(J3229-0.5*IF(8=Debt_Yr,0,J3532))*INDEX(Fin_Curve,1,8))-J3532-J3532*Fin_ExitFee)</f>
        <v>0</v>
      </c>
      <c r="L3835" s="71" t="n">
        <f aca="false">IF(9&gt;Hold_Yrs,0,L2926-IF(9&gt;Debt_Yr,0,(K3229-0.5*IF(9=Debt_Yr,0,K3532))*INDEX(Fin_Curve,1,9))-K3532-K3532*Fin_ExitFee)</f>
        <v>0</v>
      </c>
      <c r="M3835" s="71" t="n">
        <f aca="false">IF(10&gt;Hold_Yrs,0,M2926-IF(10&gt;Debt_Yr,0,(L3229-0.5*IF(10=Debt_Yr,0,L3532))*INDEX(Fin_Curve,1,10))-L3532-L3532*Fin_ExitFee)</f>
        <v>0</v>
      </c>
    </row>
    <row r="3836" customFormat="false" ht="15" hidden="false" customHeight="false" outlineLevel="0" collapsed="false">
      <c r="B3836" s="102" t="n">
        <f aca="false">'Loan Tape'!$A196</f>
        <v>0</v>
      </c>
      <c r="C3836" s="99" t="n">
        <f aca="false">-'Loan Tape'!$BE196</f>
        <v>-0</v>
      </c>
      <c r="D3836" s="99" t="n">
        <f aca="false">IF(1&gt;Hold_Yrs,0,D2927-IF(1&gt;Debt_Yr,0,(C3230-0.5*IF(1=Debt_Yr,0,C3533))*INDEX(Fin_Curve,1,1))-C3533-C3533*Fin_ExitFee)</f>
        <v>0</v>
      </c>
      <c r="E3836" s="99" t="n">
        <f aca="false">IF(2&gt;Hold_Yrs,0,E2927-IF(2&gt;Debt_Yr,0,(D3230-0.5*IF(2=Debt_Yr,0,D3533))*INDEX(Fin_Curve,1,2))-D3533-D3533*Fin_ExitFee)</f>
        <v>0</v>
      </c>
      <c r="F3836" s="99" t="n">
        <f aca="false">IF(3&gt;Hold_Yrs,0,F2927-IF(3&gt;Debt_Yr,0,(E3230-0.5*IF(3=Debt_Yr,0,E3533))*INDEX(Fin_Curve,1,3))-E3533-E3533*Fin_ExitFee)</f>
        <v>0</v>
      </c>
      <c r="G3836" s="99" t="n">
        <f aca="false">IF(4&gt;Hold_Yrs,0,G2927-IF(4&gt;Debt_Yr,0,(F3230-0.5*IF(4=Debt_Yr,0,F3533))*INDEX(Fin_Curve,1,4))-F3533-F3533*Fin_ExitFee)</f>
        <v>0</v>
      </c>
      <c r="H3836" s="99" t="n">
        <f aca="false">IF(5&gt;Hold_Yrs,0,H2927-IF(5&gt;Debt_Yr,0,(G3230-0.5*IF(5=Debt_Yr,0,G3533))*INDEX(Fin_Curve,1,5))-G3533-G3533*Fin_ExitFee)</f>
        <v>0</v>
      </c>
      <c r="I3836" s="99" t="n">
        <f aca="false">IF(6&gt;Hold_Yrs,0,I2927-IF(6&gt;Debt_Yr,0,(H3230-0.5*IF(6=Debt_Yr,0,H3533))*INDEX(Fin_Curve,1,6))-H3533-H3533*Fin_ExitFee)</f>
        <v>0</v>
      </c>
      <c r="J3836" s="99" t="n">
        <f aca="false">IF(7&gt;Hold_Yrs,0,J2927-IF(7&gt;Debt_Yr,0,(I3230-0.5*IF(7=Debt_Yr,0,I3533))*INDEX(Fin_Curve,1,7))-I3533-I3533*Fin_ExitFee)</f>
        <v>0</v>
      </c>
      <c r="K3836" s="99" t="n">
        <f aca="false">IF(8&gt;Hold_Yrs,0,K2927-IF(8&gt;Debt_Yr,0,(J3230-0.5*IF(8=Debt_Yr,0,J3533))*INDEX(Fin_Curve,1,8))-J3533-J3533*Fin_ExitFee)</f>
        <v>0</v>
      </c>
      <c r="L3836" s="99" t="n">
        <f aca="false">IF(9&gt;Hold_Yrs,0,L2927-IF(9&gt;Debt_Yr,0,(K3230-0.5*IF(9=Debt_Yr,0,K3533))*INDEX(Fin_Curve,1,9))-K3533-K3533*Fin_ExitFee)</f>
        <v>0</v>
      </c>
      <c r="M3836" s="99" t="n">
        <f aca="false">IF(10&gt;Hold_Yrs,0,M2927-IF(10&gt;Debt_Yr,0,(L3230-0.5*IF(10=Debt_Yr,0,L3533))*INDEX(Fin_Curve,1,10))-L3533-L3533*Fin_ExitFee)</f>
        <v>0</v>
      </c>
    </row>
    <row r="3837" customFormat="false" ht="15" hidden="false" customHeight="false" outlineLevel="0" collapsed="false">
      <c r="B3837" s="108" t="n">
        <f aca="false">'Loan Tape'!$A197</f>
        <v>0</v>
      </c>
      <c r="C3837" s="71" t="n">
        <f aca="false">-'Loan Tape'!$BE197</f>
        <v>-0</v>
      </c>
      <c r="D3837" s="71" t="n">
        <f aca="false">IF(1&gt;Hold_Yrs,0,D2928-IF(1&gt;Debt_Yr,0,(C3231-0.5*IF(1=Debt_Yr,0,C3534))*INDEX(Fin_Curve,1,1))-C3534-C3534*Fin_ExitFee)</f>
        <v>0</v>
      </c>
      <c r="E3837" s="71" t="n">
        <f aca="false">IF(2&gt;Hold_Yrs,0,E2928-IF(2&gt;Debt_Yr,0,(D3231-0.5*IF(2=Debt_Yr,0,D3534))*INDEX(Fin_Curve,1,2))-D3534-D3534*Fin_ExitFee)</f>
        <v>0</v>
      </c>
      <c r="F3837" s="71" t="n">
        <f aca="false">IF(3&gt;Hold_Yrs,0,F2928-IF(3&gt;Debt_Yr,0,(E3231-0.5*IF(3=Debt_Yr,0,E3534))*INDEX(Fin_Curve,1,3))-E3534-E3534*Fin_ExitFee)</f>
        <v>0</v>
      </c>
      <c r="G3837" s="71" t="n">
        <f aca="false">IF(4&gt;Hold_Yrs,0,G2928-IF(4&gt;Debt_Yr,0,(F3231-0.5*IF(4=Debt_Yr,0,F3534))*INDEX(Fin_Curve,1,4))-F3534-F3534*Fin_ExitFee)</f>
        <v>0</v>
      </c>
      <c r="H3837" s="71" t="n">
        <f aca="false">IF(5&gt;Hold_Yrs,0,H2928-IF(5&gt;Debt_Yr,0,(G3231-0.5*IF(5=Debt_Yr,0,G3534))*INDEX(Fin_Curve,1,5))-G3534-G3534*Fin_ExitFee)</f>
        <v>0</v>
      </c>
      <c r="I3837" s="71" t="n">
        <f aca="false">IF(6&gt;Hold_Yrs,0,I2928-IF(6&gt;Debt_Yr,0,(H3231-0.5*IF(6=Debt_Yr,0,H3534))*INDEX(Fin_Curve,1,6))-H3534-H3534*Fin_ExitFee)</f>
        <v>0</v>
      </c>
      <c r="J3837" s="71" t="n">
        <f aca="false">IF(7&gt;Hold_Yrs,0,J2928-IF(7&gt;Debt_Yr,0,(I3231-0.5*IF(7=Debt_Yr,0,I3534))*INDEX(Fin_Curve,1,7))-I3534-I3534*Fin_ExitFee)</f>
        <v>0</v>
      </c>
      <c r="K3837" s="71" t="n">
        <f aca="false">IF(8&gt;Hold_Yrs,0,K2928-IF(8&gt;Debt_Yr,0,(J3231-0.5*IF(8=Debt_Yr,0,J3534))*INDEX(Fin_Curve,1,8))-J3534-J3534*Fin_ExitFee)</f>
        <v>0</v>
      </c>
      <c r="L3837" s="71" t="n">
        <f aca="false">IF(9&gt;Hold_Yrs,0,L2928-IF(9&gt;Debt_Yr,0,(K3231-0.5*IF(9=Debt_Yr,0,K3534))*INDEX(Fin_Curve,1,9))-K3534-K3534*Fin_ExitFee)</f>
        <v>0</v>
      </c>
      <c r="M3837" s="71" t="n">
        <f aca="false">IF(10&gt;Hold_Yrs,0,M2928-IF(10&gt;Debt_Yr,0,(L3231-0.5*IF(10=Debt_Yr,0,L3534))*INDEX(Fin_Curve,1,10))-L3534-L3534*Fin_ExitFee)</f>
        <v>0</v>
      </c>
    </row>
    <row r="3838" customFormat="false" ht="15" hidden="false" customHeight="false" outlineLevel="0" collapsed="false">
      <c r="B3838" s="102" t="n">
        <f aca="false">'Loan Tape'!$A198</f>
        <v>0</v>
      </c>
      <c r="C3838" s="99" t="n">
        <f aca="false">-'Loan Tape'!$BE198</f>
        <v>-0</v>
      </c>
      <c r="D3838" s="99" t="n">
        <f aca="false">IF(1&gt;Hold_Yrs,0,D2929-IF(1&gt;Debt_Yr,0,(C3232-0.5*IF(1=Debt_Yr,0,C3535))*INDEX(Fin_Curve,1,1))-C3535-C3535*Fin_ExitFee)</f>
        <v>0</v>
      </c>
      <c r="E3838" s="99" t="n">
        <f aca="false">IF(2&gt;Hold_Yrs,0,E2929-IF(2&gt;Debt_Yr,0,(D3232-0.5*IF(2=Debt_Yr,0,D3535))*INDEX(Fin_Curve,1,2))-D3535-D3535*Fin_ExitFee)</f>
        <v>0</v>
      </c>
      <c r="F3838" s="99" t="n">
        <f aca="false">IF(3&gt;Hold_Yrs,0,F2929-IF(3&gt;Debt_Yr,0,(E3232-0.5*IF(3=Debt_Yr,0,E3535))*INDEX(Fin_Curve,1,3))-E3535-E3535*Fin_ExitFee)</f>
        <v>0</v>
      </c>
      <c r="G3838" s="99" t="n">
        <f aca="false">IF(4&gt;Hold_Yrs,0,G2929-IF(4&gt;Debt_Yr,0,(F3232-0.5*IF(4=Debt_Yr,0,F3535))*INDEX(Fin_Curve,1,4))-F3535-F3535*Fin_ExitFee)</f>
        <v>0</v>
      </c>
      <c r="H3838" s="99" t="n">
        <f aca="false">IF(5&gt;Hold_Yrs,0,H2929-IF(5&gt;Debt_Yr,0,(G3232-0.5*IF(5=Debt_Yr,0,G3535))*INDEX(Fin_Curve,1,5))-G3535-G3535*Fin_ExitFee)</f>
        <v>0</v>
      </c>
      <c r="I3838" s="99" t="n">
        <f aca="false">IF(6&gt;Hold_Yrs,0,I2929-IF(6&gt;Debt_Yr,0,(H3232-0.5*IF(6=Debt_Yr,0,H3535))*INDEX(Fin_Curve,1,6))-H3535-H3535*Fin_ExitFee)</f>
        <v>0</v>
      </c>
      <c r="J3838" s="99" t="n">
        <f aca="false">IF(7&gt;Hold_Yrs,0,J2929-IF(7&gt;Debt_Yr,0,(I3232-0.5*IF(7=Debt_Yr,0,I3535))*INDEX(Fin_Curve,1,7))-I3535-I3535*Fin_ExitFee)</f>
        <v>0</v>
      </c>
      <c r="K3838" s="99" t="n">
        <f aca="false">IF(8&gt;Hold_Yrs,0,K2929-IF(8&gt;Debt_Yr,0,(J3232-0.5*IF(8=Debt_Yr,0,J3535))*INDEX(Fin_Curve,1,8))-J3535-J3535*Fin_ExitFee)</f>
        <v>0</v>
      </c>
      <c r="L3838" s="99" t="n">
        <f aca="false">IF(9&gt;Hold_Yrs,0,L2929-IF(9&gt;Debt_Yr,0,(K3232-0.5*IF(9=Debt_Yr,0,K3535))*INDEX(Fin_Curve,1,9))-K3535-K3535*Fin_ExitFee)</f>
        <v>0</v>
      </c>
      <c r="M3838" s="99" t="n">
        <f aca="false">IF(10&gt;Hold_Yrs,0,M2929-IF(10&gt;Debt_Yr,0,(L3232-0.5*IF(10=Debt_Yr,0,L3535))*INDEX(Fin_Curve,1,10))-L3535-L3535*Fin_ExitFee)</f>
        <v>0</v>
      </c>
    </row>
    <row r="3839" customFormat="false" ht="15" hidden="false" customHeight="false" outlineLevel="0" collapsed="false">
      <c r="B3839" s="108" t="n">
        <f aca="false">'Loan Tape'!$A199</f>
        <v>0</v>
      </c>
      <c r="C3839" s="71" t="n">
        <f aca="false">-'Loan Tape'!$BE199</f>
        <v>-0</v>
      </c>
      <c r="D3839" s="71" t="n">
        <f aca="false">IF(1&gt;Hold_Yrs,0,D2930-IF(1&gt;Debt_Yr,0,(C3233-0.5*IF(1=Debt_Yr,0,C3536))*INDEX(Fin_Curve,1,1))-C3536-C3536*Fin_ExitFee)</f>
        <v>0</v>
      </c>
      <c r="E3839" s="71" t="n">
        <f aca="false">IF(2&gt;Hold_Yrs,0,E2930-IF(2&gt;Debt_Yr,0,(D3233-0.5*IF(2=Debt_Yr,0,D3536))*INDEX(Fin_Curve,1,2))-D3536-D3536*Fin_ExitFee)</f>
        <v>0</v>
      </c>
      <c r="F3839" s="71" t="n">
        <f aca="false">IF(3&gt;Hold_Yrs,0,F2930-IF(3&gt;Debt_Yr,0,(E3233-0.5*IF(3=Debt_Yr,0,E3536))*INDEX(Fin_Curve,1,3))-E3536-E3536*Fin_ExitFee)</f>
        <v>0</v>
      </c>
      <c r="G3839" s="71" t="n">
        <f aca="false">IF(4&gt;Hold_Yrs,0,G2930-IF(4&gt;Debt_Yr,0,(F3233-0.5*IF(4=Debt_Yr,0,F3536))*INDEX(Fin_Curve,1,4))-F3536-F3536*Fin_ExitFee)</f>
        <v>0</v>
      </c>
      <c r="H3839" s="71" t="n">
        <f aca="false">IF(5&gt;Hold_Yrs,0,H2930-IF(5&gt;Debt_Yr,0,(G3233-0.5*IF(5=Debt_Yr,0,G3536))*INDEX(Fin_Curve,1,5))-G3536-G3536*Fin_ExitFee)</f>
        <v>0</v>
      </c>
      <c r="I3839" s="71" t="n">
        <f aca="false">IF(6&gt;Hold_Yrs,0,I2930-IF(6&gt;Debt_Yr,0,(H3233-0.5*IF(6=Debt_Yr,0,H3536))*INDEX(Fin_Curve,1,6))-H3536-H3536*Fin_ExitFee)</f>
        <v>0</v>
      </c>
      <c r="J3839" s="71" t="n">
        <f aca="false">IF(7&gt;Hold_Yrs,0,J2930-IF(7&gt;Debt_Yr,0,(I3233-0.5*IF(7=Debt_Yr,0,I3536))*INDEX(Fin_Curve,1,7))-I3536-I3536*Fin_ExitFee)</f>
        <v>0</v>
      </c>
      <c r="K3839" s="71" t="n">
        <f aca="false">IF(8&gt;Hold_Yrs,0,K2930-IF(8&gt;Debt_Yr,0,(J3233-0.5*IF(8=Debt_Yr,0,J3536))*INDEX(Fin_Curve,1,8))-J3536-J3536*Fin_ExitFee)</f>
        <v>0</v>
      </c>
      <c r="L3839" s="71" t="n">
        <f aca="false">IF(9&gt;Hold_Yrs,0,L2930-IF(9&gt;Debt_Yr,0,(K3233-0.5*IF(9=Debt_Yr,0,K3536))*INDEX(Fin_Curve,1,9))-K3536-K3536*Fin_ExitFee)</f>
        <v>0</v>
      </c>
      <c r="M3839" s="71" t="n">
        <f aca="false">IF(10&gt;Hold_Yrs,0,M2930-IF(10&gt;Debt_Yr,0,(L3233-0.5*IF(10=Debt_Yr,0,L3536))*INDEX(Fin_Curve,1,10))-L3536-L3536*Fin_ExitFee)</f>
        <v>0</v>
      </c>
    </row>
    <row r="3840" customFormat="false" ht="15" hidden="false" customHeight="false" outlineLevel="0" collapsed="false">
      <c r="B3840" s="102" t="n">
        <f aca="false">'Loan Tape'!$A200</f>
        <v>0</v>
      </c>
      <c r="C3840" s="99" t="n">
        <f aca="false">-'Loan Tape'!$BE200</f>
        <v>-0</v>
      </c>
      <c r="D3840" s="99" t="n">
        <f aca="false">IF(1&gt;Hold_Yrs,0,D2931-IF(1&gt;Debt_Yr,0,(C3234-0.5*IF(1=Debt_Yr,0,C3537))*INDEX(Fin_Curve,1,1))-C3537-C3537*Fin_ExitFee)</f>
        <v>0</v>
      </c>
      <c r="E3840" s="99" t="n">
        <f aca="false">IF(2&gt;Hold_Yrs,0,E2931-IF(2&gt;Debt_Yr,0,(D3234-0.5*IF(2=Debt_Yr,0,D3537))*INDEX(Fin_Curve,1,2))-D3537-D3537*Fin_ExitFee)</f>
        <v>0</v>
      </c>
      <c r="F3840" s="99" t="n">
        <f aca="false">IF(3&gt;Hold_Yrs,0,F2931-IF(3&gt;Debt_Yr,0,(E3234-0.5*IF(3=Debt_Yr,0,E3537))*INDEX(Fin_Curve,1,3))-E3537-E3537*Fin_ExitFee)</f>
        <v>0</v>
      </c>
      <c r="G3840" s="99" t="n">
        <f aca="false">IF(4&gt;Hold_Yrs,0,G2931-IF(4&gt;Debt_Yr,0,(F3234-0.5*IF(4=Debt_Yr,0,F3537))*INDEX(Fin_Curve,1,4))-F3537-F3537*Fin_ExitFee)</f>
        <v>0</v>
      </c>
      <c r="H3840" s="99" t="n">
        <f aca="false">IF(5&gt;Hold_Yrs,0,H2931-IF(5&gt;Debt_Yr,0,(G3234-0.5*IF(5=Debt_Yr,0,G3537))*INDEX(Fin_Curve,1,5))-G3537-G3537*Fin_ExitFee)</f>
        <v>0</v>
      </c>
      <c r="I3840" s="99" t="n">
        <f aca="false">IF(6&gt;Hold_Yrs,0,I2931-IF(6&gt;Debt_Yr,0,(H3234-0.5*IF(6=Debt_Yr,0,H3537))*INDEX(Fin_Curve,1,6))-H3537-H3537*Fin_ExitFee)</f>
        <v>0</v>
      </c>
      <c r="J3840" s="99" t="n">
        <f aca="false">IF(7&gt;Hold_Yrs,0,J2931-IF(7&gt;Debt_Yr,0,(I3234-0.5*IF(7=Debt_Yr,0,I3537))*INDEX(Fin_Curve,1,7))-I3537-I3537*Fin_ExitFee)</f>
        <v>0</v>
      </c>
      <c r="K3840" s="99" t="n">
        <f aca="false">IF(8&gt;Hold_Yrs,0,K2931-IF(8&gt;Debt_Yr,0,(J3234-0.5*IF(8=Debt_Yr,0,J3537))*INDEX(Fin_Curve,1,8))-J3537-J3537*Fin_ExitFee)</f>
        <v>0</v>
      </c>
      <c r="L3840" s="99" t="n">
        <f aca="false">IF(9&gt;Hold_Yrs,0,L2931-IF(9&gt;Debt_Yr,0,(K3234-0.5*IF(9=Debt_Yr,0,K3537))*INDEX(Fin_Curve,1,9))-K3537-K3537*Fin_ExitFee)</f>
        <v>0</v>
      </c>
      <c r="M3840" s="99" t="n">
        <f aca="false">IF(10&gt;Hold_Yrs,0,M2931-IF(10&gt;Debt_Yr,0,(L3234-0.5*IF(10=Debt_Yr,0,L3537))*INDEX(Fin_Curve,1,10))-L3537-L3537*Fin_ExitFee)</f>
        <v>0</v>
      </c>
    </row>
    <row r="3841" customFormat="false" ht="15" hidden="false" customHeight="false" outlineLevel="0" collapsed="false">
      <c r="B3841" s="108" t="n">
        <f aca="false">'Loan Tape'!$A201</f>
        <v>0</v>
      </c>
      <c r="C3841" s="71" t="n">
        <f aca="false">-'Loan Tape'!$BE201</f>
        <v>-0</v>
      </c>
      <c r="D3841" s="71" t="n">
        <f aca="false">IF(1&gt;Hold_Yrs,0,D2932-IF(1&gt;Debt_Yr,0,(C3235-0.5*IF(1=Debt_Yr,0,C3538))*INDEX(Fin_Curve,1,1))-C3538-C3538*Fin_ExitFee)</f>
        <v>0</v>
      </c>
      <c r="E3841" s="71" t="n">
        <f aca="false">IF(2&gt;Hold_Yrs,0,E2932-IF(2&gt;Debt_Yr,0,(D3235-0.5*IF(2=Debt_Yr,0,D3538))*INDEX(Fin_Curve,1,2))-D3538-D3538*Fin_ExitFee)</f>
        <v>0</v>
      </c>
      <c r="F3841" s="71" t="n">
        <f aca="false">IF(3&gt;Hold_Yrs,0,F2932-IF(3&gt;Debt_Yr,0,(E3235-0.5*IF(3=Debt_Yr,0,E3538))*INDEX(Fin_Curve,1,3))-E3538-E3538*Fin_ExitFee)</f>
        <v>0</v>
      </c>
      <c r="G3841" s="71" t="n">
        <f aca="false">IF(4&gt;Hold_Yrs,0,G2932-IF(4&gt;Debt_Yr,0,(F3235-0.5*IF(4=Debt_Yr,0,F3538))*INDEX(Fin_Curve,1,4))-F3538-F3538*Fin_ExitFee)</f>
        <v>0</v>
      </c>
      <c r="H3841" s="71" t="n">
        <f aca="false">IF(5&gt;Hold_Yrs,0,H2932-IF(5&gt;Debt_Yr,0,(G3235-0.5*IF(5=Debt_Yr,0,G3538))*INDEX(Fin_Curve,1,5))-G3538-G3538*Fin_ExitFee)</f>
        <v>0</v>
      </c>
      <c r="I3841" s="71" t="n">
        <f aca="false">IF(6&gt;Hold_Yrs,0,I2932-IF(6&gt;Debt_Yr,0,(H3235-0.5*IF(6=Debt_Yr,0,H3538))*INDEX(Fin_Curve,1,6))-H3538-H3538*Fin_ExitFee)</f>
        <v>0</v>
      </c>
      <c r="J3841" s="71" t="n">
        <f aca="false">IF(7&gt;Hold_Yrs,0,J2932-IF(7&gt;Debt_Yr,0,(I3235-0.5*IF(7=Debt_Yr,0,I3538))*INDEX(Fin_Curve,1,7))-I3538-I3538*Fin_ExitFee)</f>
        <v>0</v>
      </c>
      <c r="K3841" s="71" t="n">
        <f aca="false">IF(8&gt;Hold_Yrs,0,K2932-IF(8&gt;Debt_Yr,0,(J3235-0.5*IF(8=Debt_Yr,0,J3538))*INDEX(Fin_Curve,1,8))-J3538-J3538*Fin_ExitFee)</f>
        <v>0</v>
      </c>
      <c r="L3841" s="71" t="n">
        <f aca="false">IF(9&gt;Hold_Yrs,0,L2932-IF(9&gt;Debt_Yr,0,(K3235-0.5*IF(9=Debt_Yr,0,K3538))*INDEX(Fin_Curve,1,9))-K3538-K3538*Fin_ExitFee)</f>
        <v>0</v>
      </c>
      <c r="M3841" s="71" t="n">
        <f aca="false">IF(10&gt;Hold_Yrs,0,M2932-IF(10&gt;Debt_Yr,0,(L3235-0.5*IF(10=Debt_Yr,0,L3538))*INDEX(Fin_Curve,1,10))-L3538-L3538*Fin_ExitFee)</f>
        <v>0</v>
      </c>
    </row>
    <row r="3842" customFormat="false" ht="15" hidden="false" customHeight="false" outlineLevel="0" collapsed="false">
      <c r="B3842" s="102" t="n">
        <f aca="false">'Loan Tape'!$A202</f>
        <v>0</v>
      </c>
      <c r="C3842" s="99" t="n">
        <f aca="false">-'Loan Tape'!$BE202</f>
        <v>-0</v>
      </c>
      <c r="D3842" s="99" t="n">
        <f aca="false">IF(1&gt;Hold_Yrs,0,D2933-IF(1&gt;Debt_Yr,0,(C3236-0.5*IF(1=Debt_Yr,0,C3539))*INDEX(Fin_Curve,1,1))-C3539-C3539*Fin_ExitFee)</f>
        <v>0</v>
      </c>
      <c r="E3842" s="99" t="n">
        <f aca="false">IF(2&gt;Hold_Yrs,0,E2933-IF(2&gt;Debt_Yr,0,(D3236-0.5*IF(2=Debt_Yr,0,D3539))*INDEX(Fin_Curve,1,2))-D3539-D3539*Fin_ExitFee)</f>
        <v>0</v>
      </c>
      <c r="F3842" s="99" t="n">
        <f aca="false">IF(3&gt;Hold_Yrs,0,F2933-IF(3&gt;Debt_Yr,0,(E3236-0.5*IF(3=Debt_Yr,0,E3539))*INDEX(Fin_Curve,1,3))-E3539-E3539*Fin_ExitFee)</f>
        <v>0</v>
      </c>
      <c r="G3842" s="99" t="n">
        <f aca="false">IF(4&gt;Hold_Yrs,0,G2933-IF(4&gt;Debt_Yr,0,(F3236-0.5*IF(4=Debt_Yr,0,F3539))*INDEX(Fin_Curve,1,4))-F3539-F3539*Fin_ExitFee)</f>
        <v>0</v>
      </c>
      <c r="H3842" s="99" t="n">
        <f aca="false">IF(5&gt;Hold_Yrs,0,H2933-IF(5&gt;Debt_Yr,0,(G3236-0.5*IF(5=Debt_Yr,0,G3539))*INDEX(Fin_Curve,1,5))-G3539-G3539*Fin_ExitFee)</f>
        <v>0</v>
      </c>
      <c r="I3842" s="99" t="n">
        <f aca="false">IF(6&gt;Hold_Yrs,0,I2933-IF(6&gt;Debt_Yr,0,(H3236-0.5*IF(6=Debt_Yr,0,H3539))*INDEX(Fin_Curve,1,6))-H3539-H3539*Fin_ExitFee)</f>
        <v>0</v>
      </c>
      <c r="J3842" s="99" t="n">
        <f aca="false">IF(7&gt;Hold_Yrs,0,J2933-IF(7&gt;Debt_Yr,0,(I3236-0.5*IF(7=Debt_Yr,0,I3539))*INDEX(Fin_Curve,1,7))-I3539-I3539*Fin_ExitFee)</f>
        <v>0</v>
      </c>
      <c r="K3842" s="99" t="n">
        <f aca="false">IF(8&gt;Hold_Yrs,0,K2933-IF(8&gt;Debt_Yr,0,(J3236-0.5*IF(8=Debt_Yr,0,J3539))*INDEX(Fin_Curve,1,8))-J3539-J3539*Fin_ExitFee)</f>
        <v>0</v>
      </c>
      <c r="L3842" s="99" t="n">
        <f aca="false">IF(9&gt;Hold_Yrs,0,L2933-IF(9&gt;Debt_Yr,0,(K3236-0.5*IF(9=Debt_Yr,0,K3539))*INDEX(Fin_Curve,1,9))-K3539-K3539*Fin_ExitFee)</f>
        <v>0</v>
      </c>
      <c r="M3842" s="99" t="n">
        <f aca="false">IF(10&gt;Hold_Yrs,0,M2933-IF(10&gt;Debt_Yr,0,(L3236-0.5*IF(10=Debt_Yr,0,L3539))*INDEX(Fin_Curve,1,10))-L3539-L3539*Fin_ExitFee)</f>
        <v>0</v>
      </c>
    </row>
    <row r="3843" customFormat="false" ht="15" hidden="false" customHeight="false" outlineLevel="0" collapsed="false">
      <c r="B3843" s="108" t="n">
        <f aca="false">'Loan Tape'!$A203</f>
        <v>0</v>
      </c>
      <c r="C3843" s="71" t="n">
        <f aca="false">-'Loan Tape'!$BE203</f>
        <v>-0</v>
      </c>
      <c r="D3843" s="71" t="n">
        <f aca="false">IF(1&gt;Hold_Yrs,0,D2934-IF(1&gt;Debt_Yr,0,(C3237-0.5*IF(1=Debt_Yr,0,C3540))*INDEX(Fin_Curve,1,1))-C3540-C3540*Fin_ExitFee)</f>
        <v>0</v>
      </c>
      <c r="E3843" s="71" t="n">
        <f aca="false">IF(2&gt;Hold_Yrs,0,E2934-IF(2&gt;Debt_Yr,0,(D3237-0.5*IF(2=Debt_Yr,0,D3540))*INDEX(Fin_Curve,1,2))-D3540-D3540*Fin_ExitFee)</f>
        <v>0</v>
      </c>
      <c r="F3843" s="71" t="n">
        <f aca="false">IF(3&gt;Hold_Yrs,0,F2934-IF(3&gt;Debt_Yr,0,(E3237-0.5*IF(3=Debt_Yr,0,E3540))*INDEX(Fin_Curve,1,3))-E3540-E3540*Fin_ExitFee)</f>
        <v>0</v>
      </c>
      <c r="G3843" s="71" t="n">
        <f aca="false">IF(4&gt;Hold_Yrs,0,G2934-IF(4&gt;Debt_Yr,0,(F3237-0.5*IF(4=Debt_Yr,0,F3540))*INDEX(Fin_Curve,1,4))-F3540-F3540*Fin_ExitFee)</f>
        <v>0</v>
      </c>
      <c r="H3843" s="71" t="n">
        <f aca="false">IF(5&gt;Hold_Yrs,0,H2934-IF(5&gt;Debt_Yr,0,(G3237-0.5*IF(5=Debt_Yr,0,G3540))*INDEX(Fin_Curve,1,5))-G3540-G3540*Fin_ExitFee)</f>
        <v>0</v>
      </c>
      <c r="I3843" s="71" t="n">
        <f aca="false">IF(6&gt;Hold_Yrs,0,I2934-IF(6&gt;Debt_Yr,0,(H3237-0.5*IF(6=Debt_Yr,0,H3540))*INDEX(Fin_Curve,1,6))-H3540-H3540*Fin_ExitFee)</f>
        <v>0</v>
      </c>
      <c r="J3843" s="71" t="n">
        <f aca="false">IF(7&gt;Hold_Yrs,0,J2934-IF(7&gt;Debt_Yr,0,(I3237-0.5*IF(7=Debt_Yr,0,I3540))*INDEX(Fin_Curve,1,7))-I3540-I3540*Fin_ExitFee)</f>
        <v>0</v>
      </c>
      <c r="K3843" s="71" t="n">
        <f aca="false">IF(8&gt;Hold_Yrs,0,K2934-IF(8&gt;Debt_Yr,0,(J3237-0.5*IF(8=Debt_Yr,0,J3540))*INDEX(Fin_Curve,1,8))-J3540-J3540*Fin_ExitFee)</f>
        <v>0</v>
      </c>
      <c r="L3843" s="71" t="n">
        <f aca="false">IF(9&gt;Hold_Yrs,0,L2934-IF(9&gt;Debt_Yr,0,(K3237-0.5*IF(9=Debt_Yr,0,K3540))*INDEX(Fin_Curve,1,9))-K3540-K3540*Fin_ExitFee)</f>
        <v>0</v>
      </c>
      <c r="M3843" s="71" t="n">
        <f aca="false">IF(10&gt;Hold_Yrs,0,M2934-IF(10&gt;Debt_Yr,0,(L3237-0.5*IF(10=Debt_Yr,0,L3540))*INDEX(Fin_Curve,1,10))-L3540-L3540*Fin_ExitFee)</f>
        <v>0</v>
      </c>
    </row>
    <row r="3844" customFormat="false" ht="15" hidden="false" customHeight="false" outlineLevel="0" collapsed="false">
      <c r="B3844" s="102" t="n">
        <f aca="false">'Loan Tape'!$A204</f>
        <v>0</v>
      </c>
      <c r="C3844" s="99" t="n">
        <f aca="false">-'Loan Tape'!$BE204</f>
        <v>-0</v>
      </c>
      <c r="D3844" s="99" t="n">
        <f aca="false">IF(1&gt;Hold_Yrs,0,D2935-IF(1&gt;Debt_Yr,0,(C3238-0.5*IF(1=Debt_Yr,0,C3541))*INDEX(Fin_Curve,1,1))-C3541-C3541*Fin_ExitFee)</f>
        <v>0</v>
      </c>
      <c r="E3844" s="99" t="n">
        <f aca="false">IF(2&gt;Hold_Yrs,0,E2935-IF(2&gt;Debt_Yr,0,(D3238-0.5*IF(2=Debt_Yr,0,D3541))*INDEX(Fin_Curve,1,2))-D3541-D3541*Fin_ExitFee)</f>
        <v>0</v>
      </c>
      <c r="F3844" s="99" t="n">
        <f aca="false">IF(3&gt;Hold_Yrs,0,F2935-IF(3&gt;Debt_Yr,0,(E3238-0.5*IF(3=Debt_Yr,0,E3541))*INDEX(Fin_Curve,1,3))-E3541-E3541*Fin_ExitFee)</f>
        <v>0</v>
      </c>
      <c r="G3844" s="99" t="n">
        <f aca="false">IF(4&gt;Hold_Yrs,0,G2935-IF(4&gt;Debt_Yr,0,(F3238-0.5*IF(4=Debt_Yr,0,F3541))*INDEX(Fin_Curve,1,4))-F3541-F3541*Fin_ExitFee)</f>
        <v>0</v>
      </c>
      <c r="H3844" s="99" t="n">
        <f aca="false">IF(5&gt;Hold_Yrs,0,H2935-IF(5&gt;Debt_Yr,0,(G3238-0.5*IF(5=Debt_Yr,0,G3541))*INDEX(Fin_Curve,1,5))-G3541-G3541*Fin_ExitFee)</f>
        <v>0</v>
      </c>
      <c r="I3844" s="99" t="n">
        <f aca="false">IF(6&gt;Hold_Yrs,0,I2935-IF(6&gt;Debt_Yr,0,(H3238-0.5*IF(6=Debt_Yr,0,H3541))*INDEX(Fin_Curve,1,6))-H3541-H3541*Fin_ExitFee)</f>
        <v>0</v>
      </c>
      <c r="J3844" s="99" t="n">
        <f aca="false">IF(7&gt;Hold_Yrs,0,J2935-IF(7&gt;Debt_Yr,0,(I3238-0.5*IF(7=Debt_Yr,0,I3541))*INDEX(Fin_Curve,1,7))-I3541-I3541*Fin_ExitFee)</f>
        <v>0</v>
      </c>
      <c r="K3844" s="99" t="n">
        <f aca="false">IF(8&gt;Hold_Yrs,0,K2935-IF(8&gt;Debt_Yr,0,(J3238-0.5*IF(8=Debt_Yr,0,J3541))*INDEX(Fin_Curve,1,8))-J3541-J3541*Fin_ExitFee)</f>
        <v>0</v>
      </c>
      <c r="L3844" s="99" t="n">
        <f aca="false">IF(9&gt;Hold_Yrs,0,L2935-IF(9&gt;Debt_Yr,0,(K3238-0.5*IF(9=Debt_Yr,0,K3541))*INDEX(Fin_Curve,1,9))-K3541-K3541*Fin_ExitFee)</f>
        <v>0</v>
      </c>
      <c r="M3844" s="99" t="n">
        <f aca="false">IF(10&gt;Hold_Yrs,0,M2935-IF(10&gt;Debt_Yr,0,(L3238-0.5*IF(10=Debt_Yr,0,L3541))*INDEX(Fin_Curve,1,10))-L3541-L3541*Fin_ExitFee)</f>
        <v>0</v>
      </c>
    </row>
    <row r="3845" customFormat="false" ht="15" hidden="false" customHeight="false" outlineLevel="0" collapsed="false">
      <c r="B3845" s="108" t="n">
        <f aca="false">'Loan Tape'!$A205</f>
        <v>0</v>
      </c>
      <c r="C3845" s="71" t="n">
        <f aca="false">-'Loan Tape'!$BE205</f>
        <v>-0</v>
      </c>
      <c r="D3845" s="71" t="n">
        <f aca="false">IF(1&gt;Hold_Yrs,0,D2936-IF(1&gt;Debt_Yr,0,(C3239-0.5*IF(1=Debt_Yr,0,C3542))*INDEX(Fin_Curve,1,1))-C3542-C3542*Fin_ExitFee)</f>
        <v>0</v>
      </c>
      <c r="E3845" s="71" t="n">
        <f aca="false">IF(2&gt;Hold_Yrs,0,E2936-IF(2&gt;Debt_Yr,0,(D3239-0.5*IF(2=Debt_Yr,0,D3542))*INDEX(Fin_Curve,1,2))-D3542-D3542*Fin_ExitFee)</f>
        <v>0</v>
      </c>
      <c r="F3845" s="71" t="n">
        <f aca="false">IF(3&gt;Hold_Yrs,0,F2936-IF(3&gt;Debt_Yr,0,(E3239-0.5*IF(3=Debt_Yr,0,E3542))*INDEX(Fin_Curve,1,3))-E3542-E3542*Fin_ExitFee)</f>
        <v>0</v>
      </c>
      <c r="G3845" s="71" t="n">
        <f aca="false">IF(4&gt;Hold_Yrs,0,G2936-IF(4&gt;Debt_Yr,0,(F3239-0.5*IF(4=Debt_Yr,0,F3542))*INDEX(Fin_Curve,1,4))-F3542-F3542*Fin_ExitFee)</f>
        <v>0</v>
      </c>
      <c r="H3845" s="71" t="n">
        <f aca="false">IF(5&gt;Hold_Yrs,0,H2936-IF(5&gt;Debt_Yr,0,(G3239-0.5*IF(5=Debt_Yr,0,G3542))*INDEX(Fin_Curve,1,5))-G3542-G3542*Fin_ExitFee)</f>
        <v>0</v>
      </c>
      <c r="I3845" s="71" t="n">
        <f aca="false">IF(6&gt;Hold_Yrs,0,I2936-IF(6&gt;Debt_Yr,0,(H3239-0.5*IF(6=Debt_Yr,0,H3542))*INDEX(Fin_Curve,1,6))-H3542-H3542*Fin_ExitFee)</f>
        <v>0</v>
      </c>
      <c r="J3845" s="71" t="n">
        <f aca="false">IF(7&gt;Hold_Yrs,0,J2936-IF(7&gt;Debt_Yr,0,(I3239-0.5*IF(7=Debt_Yr,0,I3542))*INDEX(Fin_Curve,1,7))-I3542-I3542*Fin_ExitFee)</f>
        <v>0</v>
      </c>
      <c r="K3845" s="71" t="n">
        <f aca="false">IF(8&gt;Hold_Yrs,0,K2936-IF(8&gt;Debt_Yr,0,(J3239-0.5*IF(8=Debt_Yr,0,J3542))*INDEX(Fin_Curve,1,8))-J3542-J3542*Fin_ExitFee)</f>
        <v>0</v>
      </c>
      <c r="L3845" s="71" t="n">
        <f aca="false">IF(9&gt;Hold_Yrs,0,L2936-IF(9&gt;Debt_Yr,0,(K3239-0.5*IF(9=Debt_Yr,0,K3542))*INDEX(Fin_Curve,1,9))-K3542-K3542*Fin_ExitFee)</f>
        <v>0</v>
      </c>
      <c r="M3845" s="71" t="n">
        <f aca="false">IF(10&gt;Hold_Yrs,0,M2936-IF(10&gt;Debt_Yr,0,(L3239-0.5*IF(10=Debt_Yr,0,L3542))*INDEX(Fin_Curve,1,10))-L3542-L3542*Fin_ExitFee)</f>
        <v>0</v>
      </c>
    </row>
    <row r="3846" customFormat="false" ht="15" hidden="false" customHeight="false" outlineLevel="0" collapsed="false">
      <c r="B3846" s="102" t="n">
        <f aca="false">'Loan Tape'!$A206</f>
        <v>0</v>
      </c>
      <c r="C3846" s="99" t="n">
        <f aca="false">-'Loan Tape'!$BE206</f>
        <v>-0</v>
      </c>
      <c r="D3846" s="99" t="n">
        <f aca="false">IF(1&gt;Hold_Yrs,0,D2937-IF(1&gt;Debt_Yr,0,(C3240-0.5*IF(1=Debt_Yr,0,C3543))*INDEX(Fin_Curve,1,1))-C3543-C3543*Fin_ExitFee)</f>
        <v>0</v>
      </c>
      <c r="E3846" s="99" t="n">
        <f aca="false">IF(2&gt;Hold_Yrs,0,E2937-IF(2&gt;Debt_Yr,0,(D3240-0.5*IF(2=Debt_Yr,0,D3543))*INDEX(Fin_Curve,1,2))-D3543-D3543*Fin_ExitFee)</f>
        <v>0</v>
      </c>
      <c r="F3846" s="99" t="n">
        <f aca="false">IF(3&gt;Hold_Yrs,0,F2937-IF(3&gt;Debt_Yr,0,(E3240-0.5*IF(3=Debt_Yr,0,E3543))*INDEX(Fin_Curve,1,3))-E3543-E3543*Fin_ExitFee)</f>
        <v>0</v>
      </c>
      <c r="G3846" s="99" t="n">
        <f aca="false">IF(4&gt;Hold_Yrs,0,G2937-IF(4&gt;Debt_Yr,0,(F3240-0.5*IF(4=Debt_Yr,0,F3543))*INDEX(Fin_Curve,1,4))-F3543-F3543*Fin_ExitFee)</f>
        <v>0</v>
      </c>
      <c r="H3846" s="99" t="n">
        <f aca="false">IF(5&gt;Hold_Yrs,0,H2937-IF(5&gt;Debt_Yr,0,(G3240-0.5*IF(5=Debt_Yr,0,G3543))*INDEX(Fin_Curve,1,5))-G3543-G3543*Fin_ExitFee)</f>
        <v>0</v>
      </c>
      <c r="I3846" s="99" t="n">
        <f aca="false">IF(6&gt;Hold_Yrs,0,I2937-IF(6&gt;Debt_Yr,0,(H3240-0.5*IF(6=Debt_Yr,0,H3543))*INDEX(Fin_Curve,1,6))-H3543-H3543*Fin_ExitFee)</f>
        <v>0</v>
      </c>
      <c r="J3846" s="99" t="n">
        <f aca="false">IF(7&gt;Hold_Yrs,0,J2937-IF(7&gt;Debt_Yr,0,(I3240-0.5*IF(7=Debt_Yr,0,I3543))*INDEX(Fin_Curve,1,7))-I3543-I3543*Fin_ExitFee)</f>
        <v>0</v>
      </c>
      <c r="K3846" s="99" t="n">
        <f aca="false">IF(8&gt;Hold_Yrs,0,K2937-IF(8&gt;Debt_Yr,0,(J3240-0.5*IF(8=Debt_Yr,0,J3543))*INDEX(Fin_Curve,1,8))-J3543-J3543*Fin_ExitFee)</f>
        <v>0</v>
      </c>
      <c r="L3846" s="99" t="n">
        <f aca="false">IF(9&gt;Hold_Yrs,0,L2937-IF(9&gt;Debt_Yr,0,(K3240-0.5*IF(9=Debt_Yr,0,K3543))*INDEX(Fin_Curve,1,9))-K3543-K3543*Fin_ExitFee)</f>
        <v>0</v>
      </c>
      <c r="M3846" s="99" t="n">
        <f aca="false">IF(10&gt;Hold_Yrs,0,M2937-IF(10&gt;Debt_Yr,0,(L3240-0.5*IF(10=Debt_Yr,0,L3543))*INDEX(Fin_Curve,1,10))-L3543-L3543*Fin_ExitFee)</f>
        <v>0</v>
      </c>
    </row>
    <row r="3847" customFormat="false" ht="15" hidden="false" customHeight="false" outlineLevel="0" collapsed="false">
      <c r="B3847" s="108" t="n">
        <f aca="false">'Loan Tape'!$A207</f>
        <v>0</v>
      </c>
      <c r="C3847" s="71" t="n">
        <f aca="false">-'Loan Tape'!$BE207</f>
        <v>-0</v>
      </c>
      <c r="D3847" s="71" t="n">
        <f aca="false">IF(1&gt;Hold_Yrs,0,D2938-IF(1&gt;Debt_Yr,0,(C3241-0.5*IF(1=Debt_Yr,0,C3544))*INDEX(Fin_Curve,1,1))-C3544-C3544*Fin_ExitFee)</f>
        <v>0</v>
      </c>
      <c r="E3847" s="71" t="n">
        <f aca="false">IF(2&gt;Hold_Yrs,0,E2938-IF(2&gt;Debt_Yr,0,(D3241-0.5*IF(2=Debt_Yr,0,D3544))*INDEX(Fin_Curve,1,2))-D3544-D3544*Fin_ExitFee)</f>
        <v>0</v>
      </c>
      <c r="F3847" s="71" t="n">
        <f aca="false">IF(3&gt;Hold_Yrs,0,F2938-IF(3&gt;Debt_Yr,0,(E3241-0.5*IF(3=Debt_Yr,0,E3544))*INDEX(Fin_Curve,1,3))-E3544-E3544*Fin_ExitFee)</f>
        <v>0</v>
      </c>
      <c r="G3847" s="71" t="n">
        <f aca="false">IF(4&gt;Hold_Yrs,0,G2938-IF(4&gt;Debt_Yr,0,(F3241-0.5*IF(4=Debt_Yr,0,F3544))*INDEX(Fin_Curve,1,4))-F3544-F3544*Fin_ExitFee)</f>
        <v>0</v>
      </c>
      <c r="H3847" s="71" t="n">
        <f aca="false">IF(5&gt;Hold_Yrs,0,H2938-IF(5&gt;Debt_Yr,0,(G3241-0.5*IF(5=Debt_Yr,0,G3544))*INDEX(Fin_Curve,1,5))-G3544-G3544*Fin_ExitFee)</f>
        <v>0</v>
      </c>
      <c r="I3847" s="71" t="n">
        <f aca="false">IF(6&gt;Hold_Yrs,0,I2938-IF(6&gt;Debt_Yr,0,(H3241-0.5*IF(6=Debt_Yr,0,H3544))*INDEX(Fin_Curve,1,6))-H3544-H3544*Fin_ExitFee)</f>
        <v>0</v>
      </c>
      <c r="J3847" s="71" t="n">
        <f aca="false">IF(7&gt;Hold_Yrs,0,J2938-IF(7&gt;Debt_Yr,0,(I3241-0.5*IF(7=Debt_Yr,0,I3544))*INDEX(Fin_Curve,1,7))-I3544-I3544*Fin_ExitFee)</f>
        <v>0</v>
      </c>
      <c r="K3847" s="71" t="n">
        <f aca="false">IF(8&gt;Hold_Yrs,0,K2938-IF(8&gt;Debt_Yr,0,(J3241-0.5*IF(8=Debt_Yr,0,J3544))*INDEX(Fin_Curve,1,8))-J3544-J3544*Fin_ExitFee)</f>
        <v>0</v>
      </c>
      <c r="L3847" s="71" t="n">
        <f aca="false">IF(9&gt;Hold_Yrs,0,L2938-IF(9&gt;Debt_Yr,0,(K3241-0.5*IF(9=Debt_Yr,0,K3544))*INDEX(Fin_Curve,1,9))-K3544-K3544*Fin_ExitFee)</f>
        <v>0</v>
      </c>
      <c r="M3847" s="71" t="n">
        <f aca="false">IF(10&gt;Hold_Yrs,0,M2938-IF(10&gt;Debt_Yr,0,(L3241-0.5*IF(10=Debt_Yr,0,L3544))*INDEX(Fin_Curve,1,10))-L3544-L3544*Fin_ExitFee)</f>
        <v>0</v>
      </c>
    </row>
    <row r="3848" customFormat="false" ht="15" hidden="false" customHeight="false" outlineLevel="0" collapsed="false">
      <c r="B3848" s="102" t="n">
        <f aca="false">'Loan Tape'!$A208</f>
        <v>0</v>
      </c>
      <c r="C3848" s="99" t="n">
        <f aca="false">-'Loan Tape'!$BE208</f>
        <v>-0</v>
      </c>
      <c r="D3848" s="99" t="n">
        <f aca="false">IF(1&gt;Hold_Yrs,0,D2939-IF(1&gt;Debt_Yr,0,(C3242-0.5*IF(1=Debt_Yr,0,C3545))*INDEX(Fin_Curve,1,1))-C3545-C3545*Fin_ExitFee)</f>
        <v>0</v>
      </c>
      <c r="E3848" s="99" t="n">
        <f aca="false">IF(2&gt;Hold_Yrs,0,E2939-IF(2&gt;Debt_Yr,0,(D3242-0.5*IF(2=Debt_Yr,0,D3545))*INDEX(Fin_Curve,1,2))-D3545-D3545*Fin_ExitFee)</f>
        <v>0</v>
      </c>
      <c r="F3848" s="99" t="n">
        <f aca="false">IF(3&gt;Hold_Yrs,0,F2939-IF(3&gt;Debt_Yr,0,(E3242-0.5*IF(3=Debt_Yr,0,E3545))*INDEX(Fin_Curve,1,3))-E3545-E3545*Fin_ExitFee)</f>
        <v>0</v>
      </c>
      <c r="G3848" s="99" t="n">
        <f aca="false">IF(4&gt;Hold_Yrs,0,G2939-IF(4&gt;Debt_Yr,0,(F3242-0.5*IF(4=Debt_Yr,0,F3545))*INDEX(Fin_Curve,1,4))-F3545-F3545*Fin_ExitFee)</f>
        <v>0</v>
      </c>
      <c r="H3848" s="99" t="n">
        <f aca="false">IF(5&gt;Hold_Yrs,0,H2939-IF(5&gt;Debt_Yr,0,(G3242-0.5*IF(5=Debt_Yr,0,G3545))*INDEX(Fin_Curve,1,5))-G3545-G3545*Fin_ExitFee)</f>
        <v>0</v>
      </c>
      <c r="I3848" s="99" t="n">
        <f aca="false">IF(6&gt;Hold_Yrs,0,I2939-IF(6&gt;Debt_Yr,0,(H3242-0.5*IF(6=Debt_Yr,0,H3545))*INDEX(Fin_Curve,1,6))-H3545-H3545*Fin_ExitFee)</f>
        <v>0</v>
      </c>
      <c r="J3848" s="99" t="n">
        <f aca="false">IF(7&gt;Hold_Yrs,0,J2939-IF(7&gt;Debt_Yr,0,(I3242-0.5*IF(7=Debt_Yr,0,I3545))*INDEX(Fin_Curve,1,7))-I3545-I3545*Fin_ExitFee)</f>
        <v>0</v>
      </c>
      <c r="K3848" s="99" t="n">
        <f aca="false">IF(8&gt;Hold_Yrs,0,K2939-IF(8&gt;Debt_Yr,0,(J3242-0.5*IF(8=Debt_Yr,0,J3545))*INDEX(Fin_Curve,1,8))-J3545-J3545*Fin_ExitFee)</f>
        <v>0</v>
      </c>
      <c r="L3848" s="99" t="n">
        <f aca="false">IF(9&gt;Hold_Yrs,0,L2939-IF(9&gt;Debt_Yr,0,(K3242-0.5*IF(9=Debt_Yr,0,K3545))*INDEX(Fin_Curve,1,9))-K3545-K3545*Fin_ExitFee)</f>
        <v>0</v>
      </c>
      <c r="M3848" s="99" t="n">
        <f aca="false">IF(10&gt;Hold_Yrs,0,M2939-IF(10&gt;Debt_Yr,0,(L3242-0.5*IF(10=Debt_Yr,0,L3545))*INDEX(Fin_Curve,1,10))-L3545-L3545*Fin_ExitFee)</f>
        <v>0</v>
      </c>
    </row>
    <row r="3849" customFormat="false" ht="15" hidden="false" customHeight="false" outlineLevel="0" collapsed="false">
      <c r="B3849" s="108" t="n">
        <f aca="false">'Loan Tape'!$A209</f>
        <v>0</v>
      </c>
      <c r="C3849" s="71" t="n">
        <f aca="false">-'Loan Tape'!$BE209</f>
        <v>-0</v>
      </c>
      <c r="D3849" s="71" t="n">
        <f aca="false">IF(1&gt;Hold_Yrs,0,D2940-IF(1&gt;Debt_Yr,0,(C3243-0.5*IF(1=Debt_Yr,0,C3546))*INDEX(Fin_Curve,1,1))-C3546-C3546*Fin_ExitFee)</f>
        <v>0</v>
      </c>
      <c r="E3849" s="71" t="n">
        <f aca="false">IF(2&gt;Hold_Yrs,0,E2940-IF(2&gt;Debt_Yr,0,(D3243-0.5*IF(2=Debt_Yr,0,D3546))*INDEX(Fin_Curve,1,2))-D3546-D3546*Fin_ExitFee)</f>
        <v>0</v>
      </c>
      <c r="F3849" s="71" t="n">
        <f aca="false">IF(3&gt;Hold_Yrs,0,F2940-IF(3&gt;Debt_Yr,0,(E3243-0.5*IF(3=Debt_Yr,0,E3546))*INDEX(Fin_Curve,1,3))-E3546-E3546*Fin_ExitFee)</f>
        <v>0</v>
      </c>
      <c r="G3849" s="71" t="n">
        <f aca="false">IF(4&gt;Hold_Yrs,0,G2940-IF(4&gt;Debt_Yr,0,(F3243-0.5*IF(4=Debt_Yr,0,F3546))*INDEX(Fin_Curve,1,4))-F3546-F3546*Fin_ExitFee)</f>
        <v>0</v>
      </c>
      <c r="H3849" s="71" t="n">
        <f aca="false">IF(5&gt;Hold_Yrs,0,H2940-IF(5&gt;Debt_Yr,0,(G3243-0.5*IF(5=Debt_Yr,0,G3546))*INDEX(Fin_Curve,1,5))-G3546-G3546*Fin_ExitFee)</f>
        <v>0</v>
      </c>
      <c r="I3849" s="71" t="n">
        <f aca="false">IF(6&gt;Hold_Yrs,0,I2940-IF(6&gt;Debt_Yr,0,(H3243-0.5*IF(6=Debt_Yr,0,H3546))*INDEX(Fin_Curve,1,6))-H3546-H3546*Fin_ExitFee)</f>
        <v>0</v>
      </c>
      <c r="J3849" s="71" t="n">
        <f aca="false">IF(7&gt;Hold_Yrs,0,J2940-IF(7&gt;Debt_Yr,0,(I3243-0.5*IF(7=Debt_Yr,0,I3546))*INDEX(Fin_Curve,1,7))-I3546-I3546*Fin_ExitFee)</f>
        <v>0</v>
      </c>
      <c r="K3849" s="71" t="n">
        <f aca="false">IF(8&gt;Hold_Yrs,0,K2940-IF(8&gt;Debt_Yr,0,(J3243-0.5*IF(8=Debt_Yr,0,J3546))*INDEX(Fin_Curve,1,8))-J3546-J3546*Fin_ExitFee)</f>
        <v>0</v>
      </c>
      <c r="L3849" s="71" t="n">
        <f aca="false">IF(9&gt;Hold_Yrs,0,L2940-IF(9&gt;Debt_Yr,0,(K3243-0.5*IF(9=Debt_Yr,0,K3546))*INDEX(Fin_Curve,1,9))-K3546-K3546*Fin_ExitFee)</f>
        <v>0</v>
      </c>
      <c r="M3849" s="71" t="n">
        <f aca="false">IF(10&gt;Hold_Yrs,0,M2940-IF(10&gt;Debt_Yr,0,(L3243-0.5*IF(10=Debt_Yr,0,L3546))*INDEX(Fin_Curve,1,10))-L3546-L3546*Fin_ExitFee)</f>
        <v>0</v>
      </c>
    </row>
    <row r="3850" customFormat="false" ht="15" hidden="false" customHeight="false" outlineLevel="0" collapsed="false">
      <c r="B3850" s="102" t="n">
        <f aca="false">'Loan Tape'!$A210</f>
        <v>0</v>
      </c>
      <c r="C3850" s="99" t="n">
        <f aca="false">-'Loan Tape'!$BE210</f>
        <v>-0</v>
      </c>
      <c r="D3850" s="99" t="n">
        <f aca="false">IF(1&gt;Hold_Yrs,0,D2941-IF(1&gt;Debt_Yr,0,(C3244-0.5*IF(1=Debt_Yr,0,C3547))*INDEX(Fin_Curve,1,1))-C3547-C3547*Fin_ExitFee)</f>
        <v>0</v>
      </c>
      <c r="E3850" s="99" t="n">
        <f aca="false">IF(2&gt;Hold_Yrs,0,E2941-IF(2&gt;Debt_Yr,0,(D3244-0.5*IF(2=Debt_Yr,0,D3547))*INDEX(Fin_Curve,1,2))-D3547-D3547*Fin_ExitFee)</f>
        <v>0</v>
      </c>
      <c r="F3850" s="99" t="n">
        <f aca="false">IF(3&gt;Hold_Yrs,0,F2941-IF(3&gt;Debt_Yr,0,(E3244-0.5*IF(3=Debt_Yr,0,E3547))*INDEX(Fin_Curve,1,3))-E3547-E3547*Fin_ExitFee)</f>
        <v>0</v>
      </c>
      <c r="G3850" s="99" t="n">
        <f aca="false">IF(4&gt;Hold_Yrs,0,G2941-IF(4&gt;Debt_Yr,0,(F3244-0.5*IF(4=Debt_Yr,0,F3547))*INDEX(Fin_Curve,1,4))-F3547-F3547*Fin_ExitFee)</f>
        <v>0</v>
      </c>
      <c r="H3850" s="99" t="n">
        <f aca="false">IF(5&gt;Hold_Yrs,0,H2941-IF(5&gt;Debt_Yr,0,(G3244-0.5*IF(5=Debt_Yr,0,G3547))*INDEX(Fin_Curve,1,5))-G3547-G3547*Fin_ExitFee)</f>
        <v>0</v>
      </c>
      <c r="I3850" s="99" t="n">
        <f aca="false">IF(6&gt;Hold_Yrs,0,I2941-IF(6&gt;Debt_Yr,0,(H3244-0.5*IF(6=Debt_Yr,0,H3547))*INDEX(Fin_Curve,1,6))-H3547-H3547*Fin_ExitFee)</f>
        <v>0</v>
      </c>
      <c r="J3850" s="99" t="n">
        <f aca="false">IF(7&gt;Hold_Yrs,0,J2941-IF(7&gt;Debt_Yr,0,(I3244-0.5*IF(7=Debt_Yr,0,I3547))*INDEX(Fin_Curve,1,7))-I3547-I3547*Fin_ExitFee)</f>
        <v>0</v>
      </c>
      <c r="K3850" s="99" t="n">
        <f aca="false">IF(8&gt;Hold_Yrs,0,K2941-IF(8&gt;Debt_Yr,0,(J3244-0.5*IF(8=Debt_Yr,0,J3547))*INDEX(Fin_Curve,1,8))-J3547-J3547*Fin_ExitFee)</f>
        <v>0</v>
      </c>
      <c r="L3850" s="99" t="n">
        <f aca="false">IF(9&gt;Hold_Yrs,0,L2941-IF(9&gt;Debt_Yr,0,(K3244-0.5*IF(9=Debt_Yr,0,K3547))*INDEX(Fin_Curve,1,9))-K3547-K3547*Fin_ExitFee)</f>
        <v>0</v>
      </c>
      <c r="M3850" s="99" t="n">
        <f aca="false">IF(10&gt;Hold_Yrs,0,M2941-IF(10&gt;Debt_Yr,0,(L3244-0.5*IF(10=Debt_Yr,0,L3547))*INDEX(Fin_Curve,1,10))-L3547-L3547*Fin_ExitFee)</f>
        <v>0</v>
      </c>
    </row>
    <row r="3851" customFormat="false" ht="15" hidden="false" customHeight="false" outlineLevel="0" collapsed="false">
      <c r="B3851" s="108" t="n">
        <f aca="false">'Loan Tape'!$A211</f>
        <v>0</v>
      </c>
      <c r="C3851" s="71" t="n">
        <f aca="false">-'Loan Tape'!$BE211</f>
        <v>-0</v>
      </c>
      <c r="D3851" s="71" t="n">
        <f aca="false">IF(1&gt;Hold_Yrs,0,D2942-IF(1&gt;Debt_Yr,0,(C3245-0.5*IF(1=Debt_Yr,0,C3548))*INDEX(Fin_Curve,1,1))-C3548-C3548*Fin_ExitFee)</f>
        <v>0</v>
      </c>
      <c r="E3851" s="71" t="n">
        <f aca="false">IF(2&gt;Hold_Yrs,0,E2942-IF(2&gt;Debt_Yr,0,(D3245-0.5*IF(2=Debt_Yr,0,D3548))*INDEX(Fin_Curve,1,2))-D3548-D3548*Fin_ExitFee)</f>
        <v>0</v>
      </c>
      <c r="F3851" s="71" t="n">
        <f aca="false">IF(3&gt;Hold_Yrs,0,F2942-IF(3&gt;Debt_Yr,0,(E3245-0.5*IF(3=Debt_Yr,0,E3548))*INDEX(Fin_Curve,1,3))-E3548-E3548*Fin_ExitFee)</f>
        <v>0</v>
      </c>
      <c r="G3851" s="71" t="n">
        <f aca="false">IF(4&gt;Hold_Yrs,0,G2942-IF(4&gt;Debt_Yr,0,(F3245-0.5*IF(4=Debt_Yr,0,F3548))*INDEX(Fin_Curve,1,4))-F3548-F3548*Fin_ExitFee)</f>
        <v>0</v>
      </c>
      <c r="H3851" s="71" t="n">
        <f aca="false">IF(5&gt;Hold_Yrs,0,H2942-IF(5&gt;Debt_Yr,0,(G3245-0.5*IF(5=Debt_Yr,0,G3548))*INDEX(Fin_Curve,1,5))-G3548-G3548*Fin_ExitFee)</f>
        <v>0</v>
      </c>
      <c r="I3851" s="71" t="n">
        <f aca="false">IF(6&gt;Hold_Yrs,0,I2942-IF(6&gt;Debt_Yr,0,(H3245-0.5*IF(6=Debt_Yr,0,H3548))*INDEX(Fin_Curve,1,6))-H3548-H3548*Fin_ExitFee)</f>
        <v>0</v>
      </c>
      <c r="J3851" s="71" t="n">
        <f aca="false">IF(7&gt;Hold_Yrs,0,J2942-IF(7&gt;Debt_Yr,0,(I3245-0.5*IF(7=Debt_Yr,0,I3548))*INDEX(Fin_Curve,1,7))-I3548-I3548*Fin_ExitFee)</f>
        <v>0</v>
      </c>
      <c r="K3851" s="71" t="n">
        <f aca="false">IF(8&gt;Hold_Yrs,0,K2942-IF(8&gt;Debt_Yr,0,(J3245-0.5*IF(8=Debt_Yr,0,J3548))*INDEX(Fin_Curve,1,8))-J3548-J3548*Fin_ExitFee)</f>
        <v>0</v>
      </c>
      <c r="L3851" s="71" t="n">
        <f aca="false">IF(9&gt;Hold_Yrs,0,L2942-IF(9&gt;Debt_Yr,0,(K3245-0.5*IF(9=Debt_Yr,0,K3548))*INDEX(Fin_Curve,1,9))-K3548-K3548*Fin_ExitFee)</f>
        <v>0</v>
      </c>
      <c r="M3851" s="71" t="n">
        <f aca="false">IF(10&gt;Hold_Yrs,0,M2942-IF(10&gt;Debt_Yr,0,(L3245-0.5*IF(10=Debt_Yr,0,L3548))*INDEX(Fin_Curve,1,10))-L3548-L3548*Fin_ExitFee)</f>
        <v>0</v>
      </c>
    </row>
    <row r="3852" customFormat="false" ht="15" hidden="false" customHeight="false" outlineLevel="0" collapsed="false">
      <c r="B3852" s="102" t="n">
        <f aca="false">'Loan Tape'!$A212</f>
        <v>0</v>
      </c>
      <c r="C3852" s="99" t="n">
        <f aca="false">-'Loan Tape'!$BE212</f>
        <v>-0</v>
      </c>
      <c r="D3852" s="99" t="n">
        <f aca="false">IF(1&gt;Hold_Yrs,0,D2943-IF(1&gt;Debt_Yr,0,(C3246-0.5*IF(1=Debt_Yr,0,C3549))*INDEX(Fin_Curve,1,1))-C3549-C3549*Fin_ExitFee)</f>
        <v>0</v>
      </c>
      <c r="E3852" s="99" t="n">
        <f aca="false">IF(2&gt;Hold_Yrs,0,E2943-IF(2&gt;Debt_Yr,0,(D3246-0.5*IF(2=Debt_Yr,0,D3549))*INDEX(Fin_Curve,1,2))-D3549-D3549*Fin_ExitFee)</f>
        <v>0</v>
      </c>
      <c r="F3852" s="99" t="n">
        <f aca="false">IF(3&gt;Hold_Yrs,0,F2943-IF(3&gt;Debt_Yr,0,(E3246-0.5*IF(3=Debt_Yr,0,E3549))*INDEX(Fin_Curve,1,3))-E3549-E3549*Fin_ExitFee)</f>
        <v>0</v>
      </c>
      <c r="G3852" s="99" t="n">
        <f aca="false">IF(4&gt;Hold_Yrs,0,G2943-IF(4&gt;Debt_Yr,0,(F3246-0.5*IF(4=Debt_Yr,0,F3549))*INDEX(Fin_Curve,1,4))-F3549-F3549*Fin_ExitFee)</f>
        <v>0</v>
      </c>
      <c r="H3852" s="99" t="n">
        <f aca="false">IF(5&gt;Hold_Yrs,0,H2943-IF(5&gt;Debt_Yr,0,(G3246-0.5*IF(5=Debt_Yr,0,G3549))*INDEX(Fin_Curve,1,5))-G3549-G3549*Fin_ExitFee)</f>
        <v>0</v>
      </c>
      <c r="I3852" s="99" t="n">
        <f aca="false">IF(6&gt;Hold_Yrs,0,I2943-IF(6&gt;Debt_Yr,0,(H3246-0.5*IF(6=Debt_Yr,0,H3549))*INDEX(Fin_Curve,1,6))-H3549-H3549*Fin_ExitFee)</f>
        <v>0</v>
      </c>
      <c r="J3852" s="99" t="n">
        <f aca="false">IF(7&gt;Hold_Yrs,0,J2943-IF(7&gt;Debt_Yr,0,(I3246-0.5*IF(7=Debt_Yr,0,I3549))*INDEX(Fin_Curve,1,7))-I3549-I3549*Fin_ExitFee)</f>
        <v>0</v>
      </c>
      <c r="K3852" s="99" t="n">
        <f aca="false">IF(8&gt;Hold_Yrs,0,K2943-IF(8&gt;Debt_Yr,0,(J3246-0.5*IF(8=Debt_Yr,0,J3549))*INDEX(Fin_Curve,1,8))-J3549-J3549*Fin_ExitFee)</f>
        <v>0</v>
      </c>
      <c r="L3852" s="99" t="n">
        <f aca="false">IF(9&gt;Hold_Yrs,0,L2943-IF(9&gt;Debt_Yr,0,(K3246-0.5*IF(9=Debt_Yr,0,K3549))*INDEX(Fin_Curve,1,9))-K3549-K3549*Fin_ExitFee)</f>
        <v>0</v>
      </c>
      <c r="M3852" s="99" t="n">
        <f aca="false">IF(10&gt;Hold_Yrs,0,M2943-IF(10&gt;Debt_Yr,0,(L3246-0.5*IF(10=Debt_Yr,0,L3549))*INDEX(Fin_Curve,1,10))-L3549-L3549*Fin_ExitFee)</f>
        <v>0</v>
      </c>
    </row>
    <row r="3853" customFormat="false" ht="15" hidden="false" customHeight="false" outlineLevel="0" collapsed="false">
      <c r="B3853" s="108" t="n">
        <f aca="false">'Loan Tape'!$A213</f>
        <v>0</v>
      </c>
      <c r="C3853" s="71" t="n">
        <f aca="false">-'Loan Tape'!$BE213</f>
        <v>-0</v>
      </c>
      <c r="D3853" s="71" t="n">
        <f aca="false">IF(1&gt;Hold_Yrs,0,D2944-IF(1&gt;Debt_Yr,0,(C3247-0.5*IF(1=Debt_Yr,0,C3550))*INDEX(Fin_Curve,1,1))-C3550-C3550*Fin_ExitFee)</f>
        <v>0</v>
      </c>
      <c r="E3853" s="71" t="n">
        <f aca="false">IF(2&gt;Hold_Yrs,0,E2944-IF(2&gt;Debt_Yr,0,(D3247-0.5*IF(2=Debt_Yr,0,D3550))*INDEX(Fin_Curve,1,2))-D3550-D3550*Fin_ExitFee)</f>
        <v>0</v>
      </c>
      <c r="F3853" s="71" t="n">
        <f aca="false">IF(3&gt;Hold_Yrs,0,F2944-IF(3&gt;Debt_Yr,0,(E3247-0.5*IF(3=Debt_Yr,0,E3550))*INDEX(Fin_Curve,1,3))-E3550-E3550*Fin_ExitFee)</f>
        <v>0</v>
      </c>
      <c r="G3853" s="71" t="n">
        <f aca="false">IF(4&gt;Hold_Yrs,0,G2944-IF(4&gt;Debt_Yr,0,(F3247-0.5*IF(4=Debt_Yr,0,F3550))*INDEX(Fin_Curve,1,4))-F3550-F3550*Fin_ExitFee)</f>
        <v>0</v>
      </c>
      <c r="H3853" s="71" t="n">
        <f aca="false">IF(5&gt;Hold_Yrs,0,H2944-IF(5&gt;Debt_Yr,0,(G3247-0.5*IF(5=Debt_Yr,0,G3550))*INDEX(Fin_Curve,1,5))-G3550-G3550*Fin_ExitFee)</f>
        <v>0</v>
      </c>
      <c r="I3853" s="71" t="n">
        <f aca="false">IF(6&gt;Hold_Yrs,0,I2944-IF(6&gt;Debt_Yr,0,(H3247-0.5*IF(6=Debt_Yr,0,H3550))*INDEX(Fin_Curve,1,6))-H3550-H3550*Fin_ExitFee)</f>
        <v>0</v>
      </c>
      <c r="J3853" s="71" t="n">
        <f aca="false">IF(7&gt;Hold_Yrs,0,J2944-IF(7&gt;Debt_Yr,0,(I3247-0.5*IF(7=Debt_Yr,0,I3550))*INDEX(Fin_Curve,1,7))-I3550-I3550*Fin_ExitFee)</f>
        <v>0</v>
      </c>
      <c r="K3853" s="71" t="n">
        <f aca="false">IF(8&gt;Hold_Yrs,0,K2944-IF(8&gt;Debt_Yr,0,(J3247-0.5*IF(8=Debt_Yr,0,J3550))*INDEX(Fin_Curve,1,8))-J3550-J3550*Fin_ExitFee)</f>
        <v>0</v>
      </c>
      <c r="L3853" s="71" t="n">
        <f aca="false">IF(9&gt;Hold_Yrs,0,L2944-IF(9&gt;Debt_Yr,0,(K3247-0.5*IF(9=Debt_Yr,0,K3550))*INDEX(Fin_Curve,1,9))-K3550-K3550*Fin_ExitFee)</f>
        <v>0</v>
      </c>
      <c r="M3853" s="71" t="n">
        <f aca="false">IF(10&gt;Hold_Yrs,0,M2944-IF(10&gt;Debt_Yr,0,(L3247-0.5*IF(10=Debt_Yr,0,L3550))*INDEX(Fin_Curve,1,10))-L3550-L3550*Fin_ExitFee)</f>
        <v>0</v>
      </c>
    </row>
    <row r="3854" customFormat="false" ht="15" hidden="false" customHeight="false" outlineLevel="0" collapsed="false">
      <c r="B3854" s="102" t="n">
        <f aca="false">'Loan Tape'!$A214</f>
        <v>0</v>
      </c>
      <c r="C3854" s="99" t="n">
        <f aca="false">-'Loan Tape'!$BE214</f>
        <v>-0</v>
      </c>
      <c r="D3854" s="99" t="n">
        <f aca="false">IF(1&gt;Hold_Yrs,0,D2945-IF(1&gt;Debt_Yr,0,(C3248-0.5*IF(1=Debt_Yr,0,C3551))*INDEX(Fin_Curve,1,1))-C3551-C3551*Fin_ExitFee)</f>
        <v>0</v>
      </c>
      <c r="E3854" s="99" t="n">
        <f aca="false">IF(2&gt;Hold_Yrs,0,E2945-IF(2&gt;Debt_Yr,0,(D3248-0.5*IF(2=Debt_Yr,0,D3551))*INDEX(Fin_Curve,1,2))-D3551-D3551*Fin_ExitFee)</f>
        <v>0</v>
      </c>
      <c r="F3854" s="99" t="n">
        <f aca="false">IF(3&gt;Hold_Yrs,0,F2945-IF(3&gt;Debt_Yr,0,(E3248-0.5*IF(3=Debt_Yr,0,E3551))*INDEX(Fin_Curve,1,3))-E3551-E3551*Fin_ExitFee)</f>
        <v>0</v>
      </c>
      <c r="G3854" s="99" t="n">
        <f aca="false">IF(4&gt;Hold_Yrs,0,G2945-IF(4&gt;Debt_Yr,0,(F3248-0.5*IF(4=Debt_Yr,0,F3551))*INDEX(Fin_Curve,1,4))-F3551-F3551*Fin_ExitFee)</f>
        <v>0</v>
      </c>
      <c r="H3854" s="99" t="n">
        <f aca="false">IF(5&gt;Hold_Yrs,0,H2945-IF(5&gt;Debt_Yr,0,(G3248-0.5*IF(5=Debt_Yr,0,G3551))*INDEX(Fin_Curve,1,5))-G3551-G3551*Fin_ExitFee)</f>
        <v>0</v>
      </c>
      <c r="I3854" s="99" t="n">
        <f aca="false">IF(6&gt;Hold_Yrs,0,I2945-IF(6&gt;Debt_Yr,0,(H3248-0.5*IF(6=Debt_Yr,0,H3551))*INDEX(Fin_Curve,1,6))-H3551-H3551*Fin_ExitFee)</f>
        <v>0</v>
      </c>
      <c r="J3854" s="99" t="n">
        <f aca="false">IF(7&gt;Hold_Yrs,0,J2945-IF(7&gt;Debt_Yr,0,(I3248-0.5*IF(7=Debt_Yr,0,I3551))*INDEX(Fin_Curve,1,7))-I3551-I3551*Fin_ExitFee)</f>
        <v>0</v>
      </c>
      <c r="K3854" s="99" t="n">
        <f aca="false">IF(8&gt;Hold_Yrs,0,K2945-IF(8&gt;Debt_Yr,0,(J3248-0.5*IF(8=Debt_Yr,0,J3551))*INDEX(Fin_Curve,1,8))-J3551-J3551*Fin_ExitFee)</f>
        <v>0</v>
      </c>
      <c r="L3854" s="99" t="n">
        <f aca="false">IF(9&gt;Hold_Yrs,0,L2945-IF(9&gt;Debt_Yr,0,(K3248-0.5*IF(9=Debt_Yr,0,K3551))*INDEX(Fin_Curve,1,9))-K3551-K3551*Fin_ExitFee)</f>
        <v>0</v>
      </c>
      <c r="M3854" s="99" t="n">
        <f aca="false">IF(10&gt;Hold_Yrs,0,M2945-IF(10&gt;Debt_Yr,0,(L3248-0.5*IF(10=Debt_Yr,0,L3551))*INDEX(Fin_Curve,1,10))-L3551-L3551*Fin_ExitFee)</f>
        <v>0</v>
      </c>
    </row>
    <row r="3855" customFormat="false" ht="15" hidden="false" customHeight="false" outlineLevel="0" collapsed="false">
      <c r="B3855" s="108" t="n">
        <f aca="false">'Loan Tape'!$A215</f>
        <v>0</v>
      </c>
      <c r="C3855" s="71" t="n">
        <f aca="false">-'Loan Tape'!$BE215</f>
        <v>-0</v>
      </c>
      <c r="D3855" s="71" t="n">
        <f aca="false">IF(1&gt;Hold_Yrs,0,D2946-IF(1&gt;Debt_Yr,0,(C3249-0.5*IF(1=Debt_Yr,0,C3552))*INDEX(Fin_Curve,1,1))-C3552-C3552*Fin_ExitFee)</f>
        <v>0</v>
      </c>
      <c r="E3855" s="71" t="n">
        <f aca="false">IF(2&gt;Hold_Yrs,0,E2946-IF(2&gt;Debt_Yr,0,(D3249-0.5*IF(2=Debt_Yr,0,D3552))*INDEX(Fin_Curve,1,2))-D3552-D3552*Fin_ExitFee)</f>
        <v>0</v>
      </c>
      <c r="F3855" s="71" t="n">
        <f aca="false">IF(3&gt;Hold_Yrs,0,F2946-IF(3&gt;Debt_Yr,0,(E3249-0.5*IF(3=Debt_Yr,0,E3552))*INDEX(Fin_Curve,1,3))-E3552-E3552*Fin_ExitFee)</f>
        <v>0</v>
      </c>
      <c r="G3855" s="71" t="n">
        <f aca="false">IF(4&gt;Hold_Yrs,0,G2946-IF(4&gt;Debt_Yr,0,(F3249-0.5*IF(4=Debt_Yr,0,F3552))*INDEX(Fin_Curve,1,4))-F3552-F3552*Fin_ExitFee)</f>
        <v>0</v>
      </c>
      <c r="H3855" s="71" t="n">
        <f aca="false">IF(5&gt;Hold_Yrs,0,H2946-IF(5&gt;Debt_Yr,0,(G3249-0.5*IF(5=Debt_Yr,0,G3552))*INDEX(Fin_Curve,1,5))-G3552-G3552*Fin_ExitFee)</f>
        <v>0</v>
      </c>
      <c r="I3855" s="71" t="n">
        <f aca="false">IF(6&gt;Hold_Yrs,0,I2946-IF(6&gt;Debt_Yr,0,(H3249-0.5*IF(6=Debt_Yr,0,H3552))*INDEX(Fin_Curve,1,6))-H3552-H3552*Fin_ExitFee)</f>
        <v>0</v>
      </c>
      <c r="J3855" s="71" t="n">
        <f aca="false">IF(7&gt;Hold_Yrs,0,J2946-IF(7&gt;Debt_Yr,0,(I3249-0.5*IF(7=Debt_Yr,0,I3552))*INDEX(Fin_Curve,1,7))-I3552-I3552*Fin_ExitFee)</f>
        <v>0</v>
      </c>
      <c r="K3855" s="71" t="n">
        <f aca="false">IF(8&gt;Hold_Yrs,0,K2946-IF(8&gt;Debt_Yr,0,(J3249-0.5*IF(8=Debt_Yr,0,J3552))*INDEX(Fin_Curve,1,8))-J3552-J3552*Fin_ExitFee)</f>
        <v>0</v>
      </c>
      <c r="L3855" s="71" t="n">
        <f aca="false">IF(9&gt;Hold_Yrs,0,L2946-IF(9&gt;Debt_Yr,0,(K3249-0.5*IF(9=Debt_Yr,0,K3552))*INDEX(Fin_Curve,1,9))-K3552-K3552*Fin_ExitFee)</f>
        <v>0</v>
      </c>
      <c r="M3855" s="71" t="n">
        <f aca="false">IF(10&gt;Hold_Yrs,0,M2946-IF(10&gt;Debt_Yr,0,(L3249-0.5*IF(10=Debt_Yr,0,L3552))*INDEX(Fin_Curve,1,10))-L3552-L3552*Fin_ExitFee)</f>
        <v>0</v>
      </c>
    </row>
    <row r="3856" customFormat="false" ht="15" hidden="false" customHeight="false" outlineLevel="0" collapsed="false">
      <c r="B3856" s="102" t="n">
        <f aca="false">'Loan Tape'!$A216</f>
        <v>0</v>
      </c>
      <c r="C3856" s="99" t="n">
        <f aca="false">-'Loan Tape'!$BE216</f>
        <v>-0</v>
      </c>
      <c r="D3856" s="99" t="n">
        <f aca="false">IF(1&gt;Hold_Yrs,0,D2947-IF(1&gt;Debt_Yr,0,(C3250-0.5*IF(1=Debt_Yr,0,C3553))*INDEX(Fin_Curve,1,1))-C3553-C3553*Fin_ExitFee)</f>
        <v>0</v>
      </c>
      <c r="E3856" s="99" t="n">
        <f aca="false">IF(2&gt;Hold_Yrs,0,E2947-IF(2&gt;Debt_Yr,0,(D3250-0.5*IF(2=Debt_Yr,0,D3553))*INDEX(Fin_Curve,1,2))-D3553-D3553*Fin_ExitFee)</f>
        <v>0</v>
      </c>
      <c r="F3856" s="99" t="n">
        <f aca="false">IF(3&gt;Hold_Yrs,0,F2947-IF(3&gt;Debt_Yr,0,(E3250-0.5*IF(3=Debt_Yr,0,E3553))*INDEX(Fin_Curve,1,3))-E3553-E3553*Fin_ExitFee)</f>
        <v>0</v>
      </c>
      <c r="G3856" s="99" t="n">
        <f aca="false">IF(4&gt;Hold_Yrs,0,G2947-IF(4&gt;Debt_Yr,0,(F3250-0.5*IF(4=Debt_Yr,0,F3553))*INDEX(Fin_Curve,1,4))-F3553-F3553*Fin_ExitFee)</f>
        <v>0</v>
      </c>
      <c r="H3856" s="99" t="n">
        <f aca="false">IF(5&gt;Hold_Yrs,0,H2947-IF(5&gt;Debt_Yr,0,(G3250-0.5*IF(5=Debt_Yr,0,G3553))*INDEX(Fin_Curve,1,5))-G3553-G3553*Fin_ExitFee)</f>
        <v>0</v>
      </c>
      <c r="I3856" s="99" t="n">
        <f aca="false">IF(6&gt;Hold_Yrs,0,I2947-IF(6&gt;Debt_Yr,0,(H3250-0.5*IF(6=Debt_Yr,0,H3553))*INDEX(Fin_Curve,1,6))-H3553-H3553*Fin_ExitFee)</f>
        <v>0</v>
      </c>
      <c r="J3856" s="99" t="n">
        <f aca="false">IF(7&gt;Hold_Yrs,0,J2947-IF(7&gt;Debt_Yr,0,(I3250-0.5*IF(7=Debt_Yr,0,I3553))*INDEX(Fin_Curve,1,7))-I3553-I3553*Fin_ExitFee)</f>
        <v>0</v>
      </c>
      <c r="K3856" s="99" t="n">
        <f aca="false">IF(8&gt;Hold_Yrs,0,K2947-IF(8&gt;Debt_Yr,0,(J3250-0.5*IF(8=Debt_Yr,0,J3553))*INDEX(Fin_Curve,1,8))-J3553-J3553*Fin_ExitFee)</f>
        <v>0</v>
      </c>
      <c r="L3856" s="99" t="n">
        <f aca="false">IF(9&gt;Hold_Yrs,0,L2947-IF(9&gt;Debt_Yr,0,(K3250-0.5*IF(9=Debt_Yr,0,K3553))*INDEX(Fin_Curve,1,9))-K3553-K3553*Fin_ExitFee)</f>
        <v>0</v>
      </c>
      <c r="M3856" s="99" t="n">
        <f aca="false">IF(10&gt;Hold_Yrs,0,M2947-IF(10&gt;Debt_Yr,0,(L3250-0.5*IF(10=Debt_Yr,0,L3553))*INDEX(Fin_Curve,1,10))-L3553-L3553*Fin_ExitFee)</f>
        <v>0</v>
      </c>
    </row>
    <row r="3857" customFormat="false" ht="15" hidden="false" customHeight="false" outlineLevel="0" collapsed="false">
      <c r="B3857" s="108" t="n">
        <f aca="false">'Loan Tape'!$A217</f>
        <v>0</v>
      </c>
      <c r="C3857" s="71" t="n">
        <f aca="false">-'Loan Tape'!$BE217</f>
        <v>-0</v>
      </c>
      <c r="D3857" s="71" t="n">
        <f aca="false">IF(1&gt;Hold_Yrs,0,D2948-IF(1&gt;Debt_Yr,0,(C3251-0.5*IF(1=Debt_Yr,0,C3554))*INDEX(Fin_Curve,1,1))-C3554-C3554*Fin_ExitFee)</f>
        <v>0</v>
      </c>
      <c r="E3857" s="71" t="n">
        <f aca="false">IF(2&gt;Hold_Yrs,0,E2948-IF(2&gt;Debt_Yr,0,(D3251-0.5*IF(2=Debt_Yr,0,D3554))*INDEX(Fin_Curve,1,2))-D3554-D3554*Fin_ExitFee)</f>
        <v>0</v>
      </c>
      <c r="F3857" s="71" t="n">
        <f aca="false">IF(3&gt;Hold_Yrs,0,F2948-IF(3&gt;Debt_Yr,0,(E3251-0.5*IF(3=Debt_Yr,0,E3554))*INDEX(Fin_Curve,1,3))-E3554-E3554*Fin_ExitFee)</f>
        <v>0</v>
      </c>
      <c r="G3857" s="71" t="n">
        <f aca="false">IF(4&gt;Hold_Yrs,0,G2948-IF(4&gt;Debt_Yr,0,(F3251-0.5*IF(4=Debt_Yr,0,F3554))*INDEX(Fin_Curve,1,4))-F3554-F3554*Fin_ExitFee)</f>
        <v>0</v>
      </c>
      <c r="H3857" s="71" t="n">
        <f aca="false">IF(5&gt;Hold_Yrs,0,H2948-IF(5&gt;Debt_Yr,0,(G3251-0.5*IF(5=Debt_Yr,0,G3554))*INDEX(Fin_Curve,1,5))-G3554-G3554*Fin_ExitFee)</f>
        <v>0</v>
      </c>
      <c r="I3857" s="71" t="n">
        <f aca="false">IF(6&gt;Hold_Yrs,0,I2948-IF(6&gt;Debt_Yr,0,(H3251-0.5*IF(6=Debt_Yr,0,H3554))*INDEX(Fin_Curve,1,6))-H3554-H3554*Fin_ExitFee)</f>
        <v>0</v>
      </c>
      <c r="J3857" s="71" t="n">
        <f aca="false">IF(7&gt;Hold_Yrs,0,J2948-IF(7&gt;Debt_Yr,0,(I3251-0.5*IF(7=Debt_Yr,0,I3554))*INDEX(Fin_Curve,1,7))-I3554-I3554*Fin_ExitFee)</f>
        <v>0</v>
      </c>
      <c r="K3857" s="71" t="n">
        <f aca="false">IF(8&gt;Hold_Yrs,0,K2948-IF(8&gt;Debt_Yr,0,(J3251-0.5*IF(8=Debt_Yr,0,J3554))*INDEX(Fin_Curve,1,8))-J3554-J3554*Fin_ExitFee)</f>
        <v>0</v>
      </c>
      <c r="L3857" s="71" t="n">
        <f aca="false">IF(9&gt;Hold_Yrs,0,L2948-IF(9&gt;Debt_Yr,0,(K3251-0.5*IF(9=Debt_Yr,0,K3554))*INDEX(Fin_Curve,1,9))-K3554-K3554*Fin_ExitFee)</f>
        <v>0</v>
      </c>
      <c r="M3857" s="71" t="n">
        <f aca="false">IF(10&gt;Hold_Yrs,0,M2948-IF(10&gt;Debt_Yr,0,(L3251-0.5*IF(10=Debt_Yr,0,L3554))*INDEX(Fin_Curve,1,10))-L3554-L3554*Fin_ExitFee)</f>
        <v>0</v>
      </c>
    </row>
    <row r="3858" customFormat="false" ht="15" hidden="false" customHeight="false" outlineLevel="0" collapsed="false">
      <c r="B3858" s="102" t="n">
        <f aca="false">'Loan Tape'!$A218</f>
        <v>0</v>
      </c>
      <c r="C3858" s="99" t="n">
        <f aca="false">-'Loan Tape'!$BE218</f>
        <v>-0</v>
      </c>
      <c r="D3858" s="99" t="n">
        <f aca="false">IF(1&gt;Hold_Yrs,0,D2949-IF(1&gt;Debt_Yr,0,(C3252-0.5*IF(1=Debt_Yr,0,C3555))*INDEX(Fin_Curve,1,1))-C3555-C3555*Fin_ExitFee)</f>
        <v>0</v>
      </c>
      <c r="E3858" s="99" t="n">
        <f aca="false">IF(2&gt;Hold_Yrs,0,E2949-IF(2&gt;Debt_Yr,0,(D3252-0.5*IF(2=Debt_Yr,0,D3555))*INDEX(Fin_Curve,1,2))-D3555-D3555*Fin_ExitFee)</f>
        <v>0</v>
      </c>
      <c r="F3858" s="99" t="n">
        <f aca="false">IF(3&gt;Hold_Yrs,0,F2949-IF(3&gt;Debt_Yr,0,(E3252-0.5*IF(3=Debt_Yr,0,E3555))*INDEX(Fin_Curve,1,3))-E3555-E3555*Fin_ExitFee)</f>
        <v>0</v>
      </c>
      <c r="G3858" s="99" t="n">
        <f aca="false">IF(4&gt;Hold_Yrs,0,G2949-IF(4&gt;Debt_Yr,0,(F3252-0.5*IF(4=Debt_Yr,0,F3555))*INDEX(Fin_Curve,1,4))-F3555-F3555*Fin_ExitFee)</f>
        <v>0</v>
      </c>
      <c r="H3858" s="99" t="n">
        <f aca="false">IF(5&gt;Hold_Yrs,0,H2949-IF(5&gt;Debt_Yr,0,(G3252-0.5*IF(5=Debt_Yr,0,G3555))*INDEX(Fin_Curve,1,5))-G3555-G3555*Fin_ExitFee)</f>
        <v>0</v>
      </c>
      <c r="I3858" s="99" t="n">
        <f aca="false">IF(6&gt;Hold_Yrs,0,I2949-IF(6&gt;Debt_Yr,0,(H3252-0.5*IF(6=Debt_Yr,0,H3555))*INDEX(Fin_Curve,1,6))-H3555-H3555*Fin_ExitFee)</f>
        <v>0</v>
      </c>
      <c r="J3858" s="99" t="n">
        <f aca="false">IF(7&gt;Hold_Yrs,0,J2949-IF(7&gt;Debt_Yr,0,(I3252-0.5*IF(7=Debt_Yr,0,I3555))*INDEX(Fin_Curve,1,7))-I3555-I3555*Fin_ExitFee)</f>
        <v>0</v>
      </c>
      <c r="K3858" s="99" t="n">
        <f aca="false">IF(8&gt;Hold_Yrs,0,K2949-IF(8&gt;Debt_Yr,0,(J3252-0.5*IF(8=Debt_Yr,0,J3555))*INDEX(Fin_Curve,1,8))-J3555-J3555*Fin_ExitFee)</f>
        <v>0</v>
      </c>
      <c r="L3858" s="99" t="n">
        <f aca="false">IF(9&gt;Hold_Yrs,0,L2949-IF(9&gt;Debt_Yr,0,(K3252-0.5*IF(9=Debt_Yr,0,K3555))*INDEX(Fin_Curve,1,9))-K3555-K3555*Fin_ExitFee)</f>
        <v>0</v>
      </c>
      <c r="M3858" s="99" t="n">
        <f aca="false">IF(10&gt;Hold_Yrs,0,M2949-IF(10&gt;Debt_Yr,0,(L3252-0.5*IF(10=Debt_Yr,0,L3555))*INDEX(Fin_Curve,1,10))-L3555-L3555*Fin_ExitFee)</f>
        <v>0</v>
      </c>
    </row>
    <row r="3859" customFormat="false" ht="15" hidden="false" customHeight="false" outlineLevel="0" collapsed="false">
      <c r="B3859" s="108" t="n">
        <f aca="false">'Loan Tape'!$A219</f>
        <v>0</v>
      </c>
      <c r="C3859" s="71" t="n">
        <f aca="false">-'Loan Tape'!$BE219</f>
        <v>-0</v>
      </c>
      <c r="D3859" s="71" t="n">
        <f aca="false">IF(1&gt;Hold_Yrs,0,D2950-IF(1&gt;Debt_Yr,0,(C3253-0.5*IF(1=Debt_Yr,0,C3556))*INDEX(Fin_Curve,1,1))-C3556-C3556*Fin_ExitFee)</f>
        <v>0</v>
      </c>
      <c r="E3859" s="71" t="n">
        <f aca="false">IF(2&gt;Hold_Yrs,0,E2950-IF(2&gt;Debt_Yr,0,(D3253-0.5*IF(2=Debt_Yr,0,D3556))*INDEX(Fin_Curve,1,2))-D3556-D3556*Fin_ExitFee)</f>
        <v>0</v>
      </c>
      <c r="F3859" s="71" t="n">
        <f aca="false">IF(3&gt;Hold_Yrs,0,F2950-IF(3&gt;Debt_Yr,0,(E3253-0.5*IF(3=Debt_Yr,0,E3556))*INDEX(Fin_Curve,1,3))-E3556-E3556*Fin_ExitFee)</f>
        <v>0</v>
      </c>
      <c r="G3859" s="71" t="n">
        <f aca="false">IF(4&gt;Hold_Yrs,0,G2950-IF(4&gt;Debt_Yr,0,(F3253-0.5*IF(4=Debt_Yr,0,F3556))*INDEX(Fin_Curve,1,4))-F3556-F3556*Fin_ExitFee)</f>
        <v>0</v>
      </c>
      <c r="H3859" s="71" t="n">
        <f aca="false">IF(5&gt;Hold_Yrs,0,H2950-IF(5&gt;Debt_Yr,0,(G3253-0.5*IF(5=Debt_Yr,0,G3556))*INDEX(Fin_Curve,1,5))-G3556-G3556*Fin_ExitFee)</f>
        <v>0</v>
      </c>
      <c r="I3859" s="71" t="n">
        <f aca="false">IF(6&gt;Hold_Yrs,0,I2950-IF(6&gt;Debt_Yr,0,(H3253-0.5*IF(6=Debt_Yr,0,H3556))*INDEX(Fin_Curve,1,6))-H3556-H3556*Fin_ExitFee)</f>
        <v>0</v>
      </c>
      <c r="J3859" s="71" t="n">
        <f aca="false">IF(7&gt;Hold_Yrs,0,J2950-IF(7&gt;Debt_Yr,0,(I3253-0.5*IF(7=Debt_Yr,0,I3556))*INDEX(Fin_Curve,1,7))-I3556-I3556*Fin_ExitFee)</f>
        <v>0</v>
      </c>
      <c r="K3859" s="71" t="n">
        <f aca="false">IF(8&gt;Hold_Yrs,0,K2950-IF(8&gt;Debt_Yr,0,(J3253-0.5*IF(8=Debt_Yr,0,J3556))*INDEX(Fin_Curve,1,8))-J3556-J3556*Fin_ExitFee)</f>
        <v>0</v>
      </c>
      <c r="L3859" s="71" t="n">
        <f aca="false">IF(9&gt;Hold_Yrs,0,L2950-IF(9&gt;Debt_Yr,0,(K3253-0.5*IF(9=Debt_Yr,0,K3556))*INDEX(Fin_Curve,1,9))-K3556-K3556*Fin_ExitFee)</f>
        <v>0</v>
      </c>
      <c r="M3859" s="71" t="n">
        <f aca="false">IF(10&gt;Hold_Yrs,0,M2950-IF(10&gt;Debt_Yr,0,(L3253-0.5*IF(10=Debt_Yr,0,L3556))*INDEX(Fin_Curve,1,10))-L3556-L3556*Fin_ExitFee)</f>
        <v>0</v>
      </c>
    </row>
    <row r="3860" customFormat="false" ht="15" hidden="false" customHeight="false" outlineLevel="0" collapsed="false">
      <c r="B3860" s="102" t="n">
        <f aca="false">'Loan Tape'!$A220</f>
        <v>0</v>
      </c>
      <c r="C3860" s="99" t="n">
        <f aca="false">-'Loan Tape'!$BE220</f>
        <v>-0</v>
      </c>
      <c r="D3860" s="99" t="n">
        <f aca="false">IF(1&gt;Hold_Yrs,0,D2951-IF(1&gt;Debt_Yr,0,(C3254-0.5*IF(1=Debt_Yr,0,C3557))*INDEX(Fin_Curve,1,1))-C3557-C3557*Fin_ExitFee)</f>
        <v>0</v>
      </c>
      <c r="E3860" s="99" t="n">
        <f aca="false">IF(2&gt;Hold_Yrs,0,E2951-IF(2&gt;Debt_Yr,0,(D3254-0.5*IF(2=Debt_Yr,0,D3557))*INDEX(Fin_Curve,1,2))-D3557-D3557*Fin_ExitFee)</f>
        <v>0</v>
      </c>
      <c r="F3860" s="99" t="n">
        <f aca="false">IF(3&gt;Hold_Yrs,0,F2951-IF(3&gt;Debt_Yr,0,(E3254-0.5*IF(3=Debt_Yr,0,E3557))*INDEX(Fin_Curve,1,3))-E3557-E3557*Fin_ExitFee)</f>
        <v>0</v>
      </c>
      <c r="G3860" s="99" t="n">
        <f aca="false">IF(4&gt;Hold_Yrs,0,G2951-IF(4&gt;Debt_Yr,0,(F3254-0.5*IF(4=Debt_Yr,0,F3557))*INDEX(Fin_Curve,1,4))-F3557-F3557*Fin_ExitFee)</f>
        <v>0</v>
      </c>
      <c r="H3860" s="99" t="n">
        <f aca="false">IF(5&gt;Hold_Yrs,0,H2951-IF(5&gt;Debt_Yr,0,(G3254-0.5*IF(5=Debt_Yr,0,G3557))*INDEX(Fin_Curve,1,5))-G3557-G3557*Fin_ExitFee)</f>
        <v>0</v>
      </c>
      <c r="I3860" s="99" t="n">
        <f aca="false">IF(6&gt;Hold_Yrs,0,I2951-IF(6&gt;Debt_Yr,0,(H3254-0.5*IF(6=Debt_Yr,0,H3557))*INDEX(Fin_Curve,1,6))-H3557-H3557*Fin_ExitFee)</f>
        <v>0</v>
      </c>
      <c r="J3860" s="99" t="n">
        <f aca="false">IF(7&gt;Hold_Yrs,0,J2951-IF(7&gt;Debt_Yr,0,(I3254-0.5*IF(7=Debt_Yr,0,I3557))*INDEX(Fin_Curve,1,7))-I3557-I3557*Fin_ExitFee)</f>
        <v>0</v>
      </c>
      <c r="K3860" s="99" t="n">
        <f aca="false">IF(8&gt;Hold_Yrs,0,K2951-IF(8&gt;Debt_Yr,0,(J3254-0.5*IF(8=Debt_Yr,0,J3557))*INDEX(Fin_Curve,1,8))-J3557-J3557*Fin_ExitFee)</f>
        <v>0</v>
      </c>
      <c r="L3860" s="99" t="n">
        <f aca="false">IF(9&gt;Hold_Yrs,0,L2951-IF(9&gt;Debt_Yr,0,(K3254-0.5*IF(9=Debt_Yr,0,K3557))*INDEX(Fin_Curve,1,9))-K3557-K3557*Fin_ExitFee)</f>
        <v>0</v>
      </c>
      <c r="M3860" s="99" t="n">
        <f aca="false">IF(10&gt;Hold_Yrs,0,M2951-IF(10&gt;Debt_Yr,0,(L3254-0.5*IF(10=Debt_Yr,0,L3557))*INDEX(Fin_Curve,1,10))-L3557-L3557*Fin_ExitFee)</f>
        <v>0</v>
      </c>
    </row>
    <row r="3861" customFormat="false" ht="15" hidden="false" customHeight="false" outlineLevel="0" collapsed="false">
      <c r="B3861" s="108" t="n">
        <f aca="false">'Loan Tape'!$A221</f>
        <v>0</v>
      </c>
      <c r="C3861" s="71" t="n">
        <f aca="false">-'Loan Tape'!$BE221</f>
        <v>-0</v>
      </c>
      <c r="D3861" s="71" t="n">
        <f aca="false">IF(1&gt;Hold_Yrs,0,D2952-IF(1&gt;Debt_Yr,0,(C3255-0.5*IF(1=Debt_Yr,0,C3558))*INDEX(Fin_Curve,1,1))-C3558-C3558*Fin_ExitFee)</f>
        <v>0</v>
      </c>
      <c r="E3861" s="71" t="n">
        <f aca="false">IF(2&gt;Hold_Yrs,0,E2952-IF(2&gt;Debt_Yr,0,(D3255-0.5*IF(2=Debt_Yr,0,D3558))*INDEX(Fin_Curve,1,2))-D3558-D3558*Fin_ExitFee)</f>
        <v>0</v>
      </c>
      <c r="F3861" s="71" t="n">
        <f aca="false">IF(3&gt;Hold_Yrs,0,F2952-IF(3&gt;Debt_Yr,0,(E3255-0.5*IF(3=Debt_Yr,0,E3558))*INDEX(Fin_Curve,1,3))-E3558-E3558*Fin_ExitFee)</f>
        <v>0</v>
      </c>
      <c r="G3861" s="71" t="n">
        <f aca="false">IF(4&gt;Hold_Yrs,0,G2952-IF(4&gt;Debt_Yr,0,(F3255-0.5*IF(4=Debt_Yr,0,F3558))*INDEX(Fin_Curve,1,4))-F3558-F3558*Fin_ExitFee)</f>
        <v>0</v>
      </c>
      <c r="H3861" s="71" t="n">
        <f aca="false">IF(5&gt;Hold_Yrs,0,H2952-IF(5&gt;Debt_Yr,0,(G3255-0.5*IF(5=Debt_Yr,0,G3558))*INDEX(Fin_Curve,1,5))-G3558-G3558*Fin_ExitFee)</f>
        <v>0</v>
      </c>
      <c r="I3861" s="71" t="n">
        <f aca="false">IF(6&gt;Hold_Yrs,0,I2952-IF(6&gt;Debt_Yr,0,(H3255-0.5*IF(6=Debt_Yr,0,H3558))*INDEX(Fin_Curve,1,6))-H3558-H3558*Fin_ExitFee)</f>
        <v>0</v>
      </c>
      <c r="J3861" s="71" t="n">
        <f aca="false">IF(7&gt;Hold_Yrs,0,J2952-IF(7&gt;Debt_Yr,0,(I3255-0.5*IF(7=Debt_Yr,0,I3558))*INDEX(Fin_Curve,1,7))-I3558-I3558*Fin_ExitFee)</f>
        <v>0</v>
      </c>
      <c r="K3861" s="71" t="n">
        <f aca="false">IF(8&gt;Hold_Yrs,0,K2952-IF(8&gt;Debt_Yr,0,(J3255-0.5*IF(8=Debt_Yr,0,J3558))*INDEX(Fin_Curve,1,8))-J3558-J3558*Fin_ExitFee)</f>
        <v>0</v>
      </c>
      <c r="L3861" s="71" t="n">
        <f aca="false">IF(9&gt;Hold_Yrs,0,L2952-IF(9&gt;Debt_Yr,0,(K3255-0.5*IF(9=Debt_Yr,0,K3558))*INDEX(Fin_Curve,1,9))-K3558-K3558*Fin_ExitFee)</f>
        <v>0</v>
      </c>
      <c r="M3861" s="71" t="n">
        <f aca="false">IF(10&gt;Hold_Yrs,0,M2952-IF(10&gt;Debt_Yr,0,(L3255-0.5*IF(10=Debt_Yr,0,L3558))*INDEX(Fin_Curve,1,10))-L3558-L3558*Fin_ExitFee)</f>
        <v>0</v>
      </c>
    </row>
    <row r="3862" customFormat="false" ht="15" hidden="false" customHeight="false" outlineLevel="0" collapsed="false">
      <c r="B3862" s="102" t="n">
        <f aca="false">'Loan Tape'!$A222</f>
        <v>0</v>
      </c>
      <c r="C3862" s="99" t="n">
        <f aca="false">-'Loan Tape'!$BE222</f>
        <v>-0</v>
      </c>
      <c r="D3862" s="99" t="n">
        <f aca="false">IF(1&gt;Hold_Yrs,0,D2953-IF(1&gt;Debt_Yr,0,(C3256-0.5*IF(1=Debt_Yr,0,C3559))*INDEX(Fin_Curve,1,1))-C3559-C3559*Fin_ExitFee)</f>
        <v>0</v>
      </c>
      <c r="E3862" s="99" t="n">
        <f aca="false">IF(2&gt;Hold_Yrs,0,E2953-IF(2&gt;Debt_Yr,0,(D3256-0.5*IF(2=Debt_Yr,0,D3559))*INDEX(Fin_Curve,1,2))-D3559-D3559*Fin_ExitFee)</f>
        <v>0</v>
      </c>
      <c r="F3862" s="99" t="n">
        <f aca="false">IF(3&gt;Hold_Yrs,0,F2953-IF(3&gt;Debt_Yr,0,(E3256-0.5*IF(3=Debt_Yr,0,E3559))*INDEX(Fin_Curve,1,3))-E3559-E3559*Fin_ExitFee)</f>
        <v>0</v>
      </c>
      <c r="G3862" s="99" t="n">
        <f aca="false">IF(4&gt;Hold_Yrs,0,G2953-IF(4&gt;Debt_Yr,0,(F3256-0.5*IF(4=Debt_Yr,0,F3559))*INDEX(Fin_Curve,1,4))-F3559-F3559*Fin_ExitFee)</f>
        <v>0</v>
      </c>
      <c r="H3862" s="99" t="n">
        <f aca="false">IF(5&gt;Hold_Yrs,0,H2953-IF(5&gt;Debt_Yr,0,(G3256-0.5*IF(5=Debt_Yr,0,G3559))*INDEX(Fin_Curve,1,5))-G3559-G3559*Fin_ExitFee)</f>
        <v>0</v>
      </c>
      <c r="I3862" s="99" t="n">
        <f aca="false">IF(6&gt;Hold_Yrs,0,I2953-IF(6&gt;Debt_Yr,0,(H3256-0.5*IF(6=Debt_Yr,0,H3559))*INDEX(Fin_Curve,1,6))-H3559-H3559*Fin_ExitFee)</f>
        <v>0</v>
      </c>
      <c r="J3862" s="99" t="n">
        <f aca="false">IF(7&gt;Hold_Yrs,0,J2953-IF(7&gt;Debt_Yr,0,(I3256-0.5*IF(7=Debt_Yr,0,I3559))*INDEX(Fin_Curve,1,7))-I3559-I3559*Fin_ExitFee)</f>
        <v>0</v>
      </c>
      <c r="K3862" s="99" t="n">
        <f aca="false">IF(8&gt;Hold_Yrs,0,K2953-IF(8&gt;Debt_Yr,0,(J3256-0.5*IF(8=Debt_Yr,0,J3559))*INDEX(Fin_Curve,1,8))-J3559-J3559*Fin_ExitFee)</f>
        <v>0</v>
      </c>
      <c r="L3862" s="99" t="n">
        <f aca="false">IF(9&gt;Hold_Yrs,0,L2953-IF(9&gt;Debt_Yr,0,(K3256-0.5*IF(9=Debt_Yr,0,K3559))*INDEX(Fin_Curve,1,9))-K3559-K3559*Fin_ExitFee)</f>
        <v>0</v>
      </c>
      <c r="M3862" s="99" t="n">
        <f aca="false">IF(10&gt;Hold_Yrs,0,M2953-IF(10&gt;Debt_Yr,0,(L3256-0.5*IF(10=Debt_Yr,0,L3559))*INDEX(Fin_Curve,1,10))-L3559-L3559*Fin_ExitFee)</f>
        <v>0</v>
      </c>
    </row>
    <row r="3863" customFormat="false" ht="15" hidden="false" customHeight="false" outlineLevel="0" collapsed="false">
      <c r="B3863" s="108" t="n">
        <f aca="false">'Loan Tape'!$A223</f>
        <v>0</v>
      </c>
      <c r="C3863" s="71" t="n">
        <f aca="false">-'Loan Tape'!$BE223</f>
        <v>-0</v>
      </c>
      <c r="D3863" s="71" t="n">
        <f aca="false">IF(1&gt;Hold_Yrs,0,D2954-IF(1&gt;Debt_Yr,0,(C3257-0.5*IF(1=Debt_Yr,0,C3560))*INDEX(Fin_Curve,1,1))-C3560-C3560*Fin_ExitFee)</f>
        <v>0</v>
      </c>
      <c r="E3863" s="71" t="n">
        <f aca="false">IF(2&gt;Hold_Yrs,0,E2954-IF(2&gt;Debt_Yr,0,(D3257-0.5*IF(2=Debt_Yr,0,D3560))*INDEX(Fin_Curve,1,2))-D3560-D3560*Fin_ExitFee)</f>
        <v>0</v>
      </c>
      <c r="F3863" s="71" t="n">
        <f aca="false">IF(3&gt;Hold_Yrs,0,F2954-IF(3&gt;Debt_Yr,0,(E3257-0.5*IF(3=Debt_Yr,0,E3560))*INDEX(Fin_Curve,1,3))-E3560-E3560*Fin_ExitFee)</f>
        <v>0</v>
      </c>
      <c r="G3863" s="71" t="n">
        <f aca="false">IF(4&gt;Hold_Yrs,0,G2954-IF(4&gt;Debt_Yr,0,(F3257-0.5*IF(4=Debt_Yr,0,F3560))*INDEX(Fin_Curve,1,4))-F3560-F3560*Fin_ExitFee)</f>
        <v>0</v>
      </c>
      <c r="H3863" s="71" t="n">
        <f aca="false">IF(5&gt;Hold_Yrs,0,H2954-IF(5&gt;Debt_Yr,0,(G3257-0.5*IF(5=Debt_Yr,0,G3560))*INDEX(Fin_Curve,1,5))-G3560-G3560*Fin_ExitFee)</f>
        <v>0</v>
      </c>
      <c r="I3863" s="71" t="n">
        <f aca="false">IF(6&gt;Hold_Yrs,0,I2954-IF(6&gt;Debt_Yr,0,(H3257-0.5*IF(6=Debt_Yr,0,H3560))*INDEX(Fin_Curve,1,6))-H3560-H3560*Fin_ExitFee)</f>
        <v>0</v>
      </c>
      <c r="J3863" s="71" t="n">
        <f aca="false">IF(7&gt;Hold_Yrs,0,J2954-IF(7&gt;Debt_Yr,0,(I3257-0.5*IF(7=Debt_Yr,0,I3560))*INDEX(Fin_Curve,1,7))-I3560-I3560*Fin_ExitFee)</f>
        <v>0</v>
      </c>
      <c r="K3863" s="71" t="n">
        <f aca="false">IF(8&gt;Hold_Yrs,0,K2954-IF(8&gt;Debt_Yr,0,(J3257-0.5*IF(8=Debt_Yr,0,J3560))*INDEX(Fin_Curve,1,8))-J3560-J3560*Fin_ExitFee)</f>
        <v>0</v>
      </c>
      <c r="L3863" s="71" t="n">
        <f aca="false">IF(9&gt;Hold_Yrs,0,L2954-IF(9&gt;Debt_Yr,0,(K3257-0.5*IF(9=Debt_Yr,0,K3560))*INDEX(Fin_Curve,1,9))-K3560-K3560*Fin_ExitFee)</f>
        <v>0</v>
      </c>
      <c r="M3863" s="71" t="n">
        <f aca="false">IF(10&gt;Hold_Yrs,0,M2954-IF(10&gt;Debt_Yr,0,(L3257-0.5*IF(10=Debt_Yr,0,L3560))*INDEX(Fin_Curve,1,10))-L3560-L3560*Fin_ExitFee)</f>
        <v>0</v>
      </c>
    </row>
    <row r="3864" customFormat="false" ht="15" hidden="false" customHeight="false" outlineLevel="0" collapsed="false">
      <c r="B3864" s="102" t="n">
        <f aca="false">'Loan Tape'!$A224</f>
        <v>0</v>
      </c>
      <c r="C3864" s="99" t="n">
        <f aca="false">-'Loan Tape'!$BE224</f>
        <v>-0</v>
      </c>
      <c r="D3864" s="99" t="n">
        <f aca="false">IF(1&gt;Hold_Yrs,0,D2955-IF(1&gt;Debt_Yr,0,(C3258-0.5*IF(1=Debt_Yr,0,C3561))*INDEX(Fin_Curve,1,1))-C3561-C3561*Fin_ExitFee)</f>
        <v>0</v>
      </c>
      <c r="E3864" s="99" t="n">
        <f aca="false">IF(2&gt;Hold_Yrs,0,E2955-IF(2&gt;Debt_Yr,0,(D3258-0.5*IF(2=Debt_Yr,0,D3561))*INDEX(Fin_Curve,1,2))-D3561-D3561*Fin_ExitFee)</f>
        <v>0</v>
      </c>
      <c r="F3864" s="99" t="n">
        <f aca="false">IF(3&gt;Hold_Yrs,0,F2955-IF(3&gt;Debt_Yr,0,(E3258-0.5*IF(3=Debt_Yr,0,E3561))*INDEX(Fin_Curve,1,3))-E3561-E3561*Fin_ExitFee)</f>
        <v>0</v>
      </c>
      <c r="G3864" s="99" t="n">
        <f aca="false">IF(4&gt;Hold_Yrs,0,G2955-IF(4&gt;Debt_Yr,0,(F3258-0.5*IF(4=Debt_Yr,0,F3561))*INDEX(Fin_Curve,1,4))-F3561-F3561*Fin_ExitFee)</f>
        <v>0</v>
      </c>
      <c r="H3864" s="99" t="n">
        <f aca="false">IF(5&gt;Hold_Yrs,0,H2955-IF(5&gt;Debt_Yr,0,(G3258-0.5*IF(5=Debt_Yr,0,G3561))*INDEX(Fin_Curve,1,5))-G3561-G3561*Fin_ExitFee)</f>
        <v>0</v>
      </c>
      <c r="I3864" s="99" t="n">
        <f aca="false">IF(6&gt;Hold_Yrs,0,I2955-IF(6&gt;Debt_Yr,0,(H3258-0.5*IF(6=Debt_Yr,0,H3561))*INDEX(Fin_Curve,1,6))-H3561-H3561*Fin_ExitFee)</f>
        <v>0</v>
      </c>
      <c r="J3864" s="99" t="n">
        <f aca="false">IF(7&gt;Hold_Yrs,0,J2955-IF(7&gt;Debt_Yr,0,(I3258-0.5*IF(7=Debt_Yr,0,I3561))*INDEX(Fin_Curve,1,7))-I3561-I3561*Fin_ExitFee)</f>
        <v>0</v>
      </c>
      <c r="K3864" s="99" t="n">
        <f aca="false">IF(8&gt;Hold_Yrs,0,K2955-IF(8&gt;Debt_Yr,0,(J3258-0.5*IF(8=Debt_Yr,0,J3561))*INDEX(Fin_Curve,1,8))-J3561-J3561*Fin_ExitFee)</f>
        <v>0</v>
      </c>
      <c r="L3864" s="99" t="n">
        <f aca="false">IF(9&gt;Hold_Yrs,0,L2955-IF(9&gt;Debt_Yr,0,(K3258-0.5*IF(9=Debt_Yr,0,K3561))*INDEX(Fin_Curve,1,9))-K3561-K3561*Fin_ExitFee)</f>
        <v>0</v>
      </c>
      <c r="M3864" s="99" t="n">
        <f aca="false">IF(10&gt;Hold_Yrs,0,M2955-IF(10&gt;Debt_Yr,0,(L3258-0.5*IF(10=Debt_Yr,0,L3561))*INDEX(Fin_Curve,1,10))-L3561-L3561*Fin_ExitFee)</f>
        <v>0</v>
      </c>
    </row>
    <row r="3865" customFormat="false" ht="15" hidden="false" customHeight="false" outlineLevel="0" collapsed="false">
      <c r="B3865" s="108" t="n">
        <f aca="false">'Loan Tape'!$A225</f>
        <v>0</v>
      </c>
      <c r="C3865" s="71" t="n">
        <f aca="false">-'Loan Tape'!$BE225</f>
        <v>-0</v>
      </c>
      <c r="D3865" s="71" t="n">
        <f aca="false">IF(1&gt;Hold_Yrs,0,D2956-IF(1&gt;Debt_Yr,0,(C3259-0.5*IF(1=Debt_Yr,0,C3562))*INDEX(Fin_Curve,1,1))-C3562-C3562*Fin_ExitFee)</f>
        <v>0</v>
      </c>
      <c r="E3865" s="71" t="n">
        <f aca="false">IF(2&gt;Hold_Yrs,0,E2956-IF(2&gt;Debt_Yr,0,(D3259-0.5*IF(2=Debt_Yr,0,D3562))*INDEX(Fin_Curve,1,2))-D3562-D3562*Fin_ExitFee)</f>
        <v>0</v>
      </c>
      <c r="F3865" s="71" t="n">
        <f aca="false">IF(3&gt;Hold_Yrs,0,F2956-IF(3&gt;Debt_Yr,0,(E3259-0.5*IF(3=Debt_Yr,0,E3562))*INDEX(Fin_Curve,1,3))-E3562-E3562*Fin_ExitFee)</f>
        <v>0</v>
      </c>
      <c r="G3865" s="71" t="n">
        <f aca="false">IF(4&gt;Hold_Yrs,0,G2956-IF(4&gt;Debt_Yr,0,(F3259-0.5*IF(4=Debt_Yr,0,F3562))*INDEX(Fin_Curve,1,4))-F3562-F3562*Fin_ExitFee)</f>
        <v>0</v>
      </c>
      <c r="H3865" s="71" t="n">
        <f aca="false">IF(5&gt;Hold_Yrs,0,H2956-IF(5&gt;Debt_Yr,0,(G3259-0.5*IF(5=Debt_Yr,0,G3562))*INDEX(Fin_Curve,1,5))-G3562-G3562*Fin_ExitFee)</f>
        <v>0</v>
      </c>
      <c r="I3865" s="71" t="n">
        <f aca="false">IF(6&gt;Hold_Yrs,0,I2956-IF(6&gt;Debt_Yr,0,(H3259-0.5*IF(6=Debt_Yr,0,H3562))*INDEX(Fin_Curve,1,6))-H3562-H3562*Fin_ExitFee)</f>
        <v>0</v>
      </c>
      <c r="J3865" s="71" t="n">
        <f aca="false">IF(7&gt;Hold_Yrs,0,J2956-IF(7&gt;Debt_Yr,0,(I3259-0.5*IF(7=Debt_Yr,0,I3562))*INDEX(Fin_Curve,1,7))-I3562-I3562*Fin_ExitFee)</f>
        <v>0</v>
      </c>
      <c r="K3865" s="71" t="n">
        <f aca="false">IF(8&gt;Hold_Yrs,0,K2956-IF(8&gt;Debt_Yr,0,(J3259-0.5*IF(8=Debt_Yr,0,J3562))*INDEX(Fin_Curve,1,8))-J3562-J3562*Fin_ExitFee)</f>
        <v>0</v>
      </c>
      <c r="L3865" s="71" t="n">
        <f aca="false">IF(9&gt;Hold_Yrs,0,L2956-IF(9&gt;Debt_Yr,0,(K3259-0.5*IF(9=Debt_Yr,0,K3562))*INDEX(Fin_Curve,1,9))-K3562-K3562*Fin_ExitFee)</f>
        <v>0</v>
      </c>
      <c r="M3865" s="71" t="n">
        <f aca="false">IF(10&gt;Hold_Yrs,0,M2956-IF(10&gt;Debt_Yr,0,(L3259-0.5*IF(10=Debt_Yr,0,L3562))*INDEX(Fin_Curve,1,10))-L3562-L3562*Fin_ExitFee)</f>
        <v>0</v>
      </c>
    </row>
    <row r="3866" customFormat="false" ht="15" hidden="false" customHeight="false" outlineLevel="0" collapsed="false">
      <c r="B3866" s="102" t="n">
        <f aca="false">'Loan Tape'!$A226</f>
        <v>0</v>
      </c>
      <c r="C3866" s="99" t="n">
        <f aca="false">-'Loan Tape'!$BE226</f>
        <v>-0</v>
      </c>
      <c r="D3866" s="99" t="n">
        <f aca="false">IF(1&gt;Hold_Yrs,0,D2957-IF(1&gt;Debt_Yr,0,(C3260-0.5*IF(1=Debt_Yr,0,C3563))*INDEX(Fin_Curve,1,1))-C3563-C3563*Fin_ExitFee)</f>
        <v>0</v>
      </c>
      <c r="E3866" s="99" t="n">
        <f aca="false">IF(2&gt;Hold_Yrs,0,E2957-IF(2&gt;Debt_Yr,0,(D3260-0.5*IF(2=Debt_Yr,0,D3563))*INDEX(Fin_Curve,1,2))-D3563-D3563*Fin_ExitFee)</f>
        <v>0</v>
      </c>
      <c r="F3866" s="99" t="n">
        <f aca="false">IF(3&gt;Hold_Yrs,0,F2957-IF(3&gt;Debt_Yr,0,(E3260-0.5*IF(3=Debt_Yr,0,E3563))*INDEX(Fin_Curve,1,3))-E3563-E3563*Fin_ExitFee)</f>
        <v>0</v>
      </c>
      <c r="G3866" s="99" t="n">
        <f aca="false">IF(4&gt;Hold_Yrs,0,G2957-IF(4&gt;Debt_Yr,0,(F3260-0.5*IF(4=Debt_Yr,0,F3563))*INDEX(Fin_Curve,1,4))-F3563-F3563*Fin_ExitFee)</f>
        <v>0</v>
      </c>
      <c r="H3866" s="99" t="n">
        <f aca="false">IF(5&gt;Hold_Yrs,0,H2957-IF(5&gt;Debt_Yr,0,(G3260-0.5*IF(5=Debt_Yr,0,G3563))*INDEX(Fin_Curve,1,5))-G3563-G3563*Fin_ExitFee)</f>
        <v>0</v>
      </c>
      <c r="I3866" s="99" t="n">
        <f aca="false">IF(6&gt;Hold_Yrs,0,I2957-IF(6&gt;Debt_Yr,0,(H3260-0.5*IF(6=Debt_Yr,0,H3563))*INDEX(Fin_Curve,1,6))-H3563-H3563*Fin_ExitFee)</f>
        <v>0</v>
      </c>
      <c r="J3866" s="99" t="n">
        <f aca="false">IF(7&gt;Hold_Yrs,0,J2957-IF(7&gt;Debt_Yr,0,(I3260-0.5*IF(7=Debt_Yr,0,I3563))*INDEX(Fin_Curve,1,7))-I3563-I3563*Fin_ExitFee)</f>
        <v>0</v>
      </c>
      <c r="K3866" s="99" t="n">
        <f aca="false">IF(8&gt;Hold_Yrs,0,K2957-IF(8&gt;Debt_Yr,0,(J3260-0.5*IF(8=Debt_Yr,0,J3563))*INDEX(Fin_Curve,1,8))-J3563-J3563*Fin_ExitFee)</f>
        <v>0</v>
      </c>
      <c r="L3866" s="99" t="n">
        <f aca="false">IF(9&gt;Hold_Yrs,0,L2957-IF(9&gt;Debt_Yr,0,(K3260-0.5*IF(9=Debt_Yr,0,K3563))*INDEX(Fin_Curve,1,9))-K3563-K3563*Fin_ExitFee)</f>
        <v>0</v>
      </c>
      <c r="M3866" s="99" t="n">
        <f aca="false">IF(10&gt;Hold_Yrs,0,M2957-IF(10&gt;Debt_Yr,0,(L3260-0.5*IF(10=Debt_Yr,0,L3563))*INDEX(Fin_Curve,1,10))-L3563-L3563*Fin_ExitFee)</f>
        <v>0</v>
      </c>
    </row>
    <row r="3867" customFormat="false" ht="15" hidden="false" customHeight="false" outlineLevel="0" collapsed="false">
      <c r="B3867" s="108" t="n">
        <f aca="false">'Loan Tape'!$A227</f>
        <v>0</v>
      </c>
      <c r="C3867" s="71" t="n">
        <f aca="false">-'Loan Tape'!$BE227</f>
        <v>-0</v>
      </c>
      <c r="D3867" s="71" t="n">
        <f aca="false">IF(1&gt;Hold_Yrs,0,D2958-IF(1&gt;Debt_Yr,0,(C3261-0.5*IF(1=Debt_Yr,0,C3564))*INDEX(Fin_Curve,1,1))-C3564-C3564*Fin_ExitFee)</f>
        <v>0</v>
      </c>
      <c r="E3867" s="71" t="n">
        <f aca="false">IF(2&gt;Hold_Yrs,0,E2958-IF(2&gt;Debt_Yr,0,(D3261-0.5*IF(2=Debt_Yr,0,D3564))*INDEX(Fin_Curve,1,2))-D3564-D3564*Fin_ExitFee)</f>
        <v>0</v>
      </c>
      <c r="F3867" s="71" t="n">
        <f aca="false">IF(3&gt;Hold_Yrs,0,F2958-IF(3&gt;Debt_Yr,0,(E3261-0.5*IF(3=Debt_Yr,0,E3564))*INDEX(Fin_Curve,1,3))-E3564-E3564*Fin_ExitFee)</f>
        <v>0</v>
      </c>
      <c r="G3867" s="71" t="n">
        <f aca="false">IF(4&gt;Hold_Yrs,0,G2958-IF(4&gt;Debt_Yr,0,(F3261-0.5*IF(4=Debt_Yr,0,F3564))*INDEX(Fin_Curve,1,4))-F3564-F3564*Fin_ExitFee)</f>
        <v>0</v>
      </c>
      <c r="H3867" s="71" t="n">
        <f aca="false">IF(5&gt;Hold_Yrs,0,H2958-IF(5&gt;Debt_Yr,0,(G3261-0.5*IF(5=Debt_Yr,0,G3564))*INDEX(Fin_Curve,1,5))-G3564-G3564*Fin_ExitFee)</f>
        <v>0</v>
      </c>
      <c r="I3867" s="71" t="n">
        <f aca="false">IF(6&gt;Hold_Yrs,0,I2958-IF(6&gt;Debt_Yr,0,(H3261-0.5*IF(6=Debt_Yr,0,H3564))*INDEX(Fin_Curve,1,6))-H3564-H3564*Fin_ExitFee)</f>
        <v>0</v>
      </c>
      <c r="J3867" s="71" t="n">
        <f aca="false">IF(7&gt;Hold_Yrs,0,J2958-IF(7&gt;Debt_Yr,0,(I3261-0.5*IF(7=Debt_Yr,0,I3564))*INDEX(Fin_Curve,1,7))-I3564-I3564*Fin_ExitFee)</f>
        <v>0</v>
      </c>
      <c r="K3867" s="71" t="n">
        <f aca="false">IF(8&gt;Hold_Yrs,0,K2958-IF(8&gt;Debt_Yr,0,(J3261-0.5*IF(8=Debt_Yr,0,J3564))*INDEX(Fin_Curve,1,8))-J3564-J3564*Fin_ExitFee)</f>
        <v>0</v>
      </c>
      <c r="L3867" s="71" t="n">
        <f aca="false">IF(9&gt;Hold_Yrs,0,L2958-IF(9&gt;Debt_Yr,0,(K3261-0.5*IF(9=Debt_Yr,0,K3564))*INDEX(Fin_Curve,1,9))-K3564-K3564*Fin_ExitFee)</f>
        <v>0</v>
      </c>
      <c r="M3867" s="71" t="n">
        <f aca="false">IF(10&gt;Hold_Yrs,0,M2958-IF(10&gt;Debt_Yr,0,(L3261-0.5*IF(10=Debt_Yr,0,L3564))*INDEX(Fin_Curve,1,10))-L3564-L3564*Fin_ExitFee)</f>
        <v>0</v>
      </c>
    </row>
    <row r="3868" customFormat="false" ht="15" hidden="false" customHeight="false" outlineLevel="0" collapsed="false">
      <c r="B3868" s="102" t="n">
        <f aca="false">'Loan Tape'!$A228</f>
        <v>0</v>
      </c>
      <c r="C3868" s="99" t="n">
        <f aca="false">-'Loan Tape'!$BE228</f>
        <v>-0</v>
      </c>
      <c r="D3868" s="99" t="n">
        <f aca="false">IF(1&gt;Hold_Yrs,0,D2959-IF(1&gt;Debt_Yr,0,(C3262-0.5*IF(1=Debt_Yr,0,C3565))*INDEX(Fin_Curve,1,1))-C3565-C3565*Fin_ExitFee)</f>
        <v>0</v>
      </c>
      <c r="E3868" s="99" t="n">
        <f aca="false">IF(2&gt;Hold_Yrs,0,E2959-IF(2&gt;Debt_Yr,0,(D3262-0.5*IF(2=Debt_Yr,0,D3565))*INDEX(Fin_Curve,1,2))-D3565-D3565*Fin_ExitFee)</f>
        <v>0</v>
      </c>
      <c r="F3868" s="99" t="n">
        <f aca="false">IF(3&gt;Hold_Yrs,0,F2959-IF(3&gt;Debt_Yr,0,(E3262-0.5*IF(3=Debt_Yr,0,E3565))*INDEX(Fin_Curve,1,3))-E3565-E3565*Fin_ExitFee)</f>
        <v>0</v>
      </c>
      <c r="G3868" s="99" t="n">
        <f aca="false">IF(4&gt;Hold_Yrs,0,G2959-IF(4&gt;Debt_Yr,0,(F3262-0.5*IF(4=Debt_Yr,0,F3565))*INDEX(Fin_Curve,1,4))-F3565-F3565*Fin_ExitFee)</f>
        <v>0</v>
      </c>
      <c r="H3868" s="99" t="n">
        <f aca="false">IF(5&gt;Hold_Yrs,0,H2959-IF(5&gt;Debt_Yr,0,(G3262-0.5*IF(5=Debt_Yr,0,G3565))*INDEX(Fin_Curve,1,5))-G3565-G3565*Fin_ExitFee)</f>
        <v>0</v>
      </c>
      <c r="I3868" s="99" t="n">
        <f aca="false">IF(6&gt;Hold_Yrs,0,I2959-IF(6&gt;Debt_Yr,0,(H3262-0.5*IF(6=Debt_Yr,0,H3565))*INDEX(Fin_Curve,1,6))-H3565-H3565*Fin_ExitFee)</f>
        <v>0</v>
      </c>
      <c r="J3868" s="99" t="n">
        <f aca="false">IF(7&gt;Hold_Yrs,0,J2959-IF(7&gt;Debt_Yr,0,(I3262-0.5*IF(7=Debt_Yr,0,I3565))*INDEX(Fin_Curve,1,7))-I3565-I3565*Fin_ExitFee)</f>
        <v>0</v>
      </c>
      <c r="K3868" s="99" t="n">
        <f aca="false">IF(8&gt;Hold_Yrs,0,K2959-IF(8&gt;Debt_Yr,0,(J3262-0.5*IF(8=Debt_Yr,0,J3565))*INDEX(Fin_Curve,1,8))-J3565-J3565*Fin_ExitFee)</f>
        <v>0</v>
      </c>
      <c r="L3868" s="99" t="n">
        <f aca="false">IF(9&gt;Hold_Yrs,0,L2959-IF(9&gt;Debt_Yr,0,(K3262-0.5*IF(9=Debt_Yr,0,K3565))*INDEX(Fin_Curve,1,9))-K3565-K3565*Fin_ExitFee)</f>
        <v>0</v>
      </c>
      <c r="M3868" s="99" t="n">
        <f aca="false">IF(10&gt;Hold_Yrs,0,M2959-IF(10&gt;Debt_Yr,0,(L3262-0.5*IF(10=Debt_Yr,0,L3565))*INDEX(Fin_Curve,1,10))-L3565-L3565*Fin_ExitFee)</f>
        <v>0</v>
      </c>
    </row>
    <row r="3869" customFormat="false" ht="15" hidden="false" customHeight="false" outlineLevel="0" collapsed="false">
      <c r="B3869" s="108" t="n">
        <f aca="false">'Loan Tape'!$A229</f>
        <v>0</v>
      </c>
      <c r="C3869" s="71" t="n">
        <f aca="false">-'Loan Tape'!$BE229</f>
        <v>-0</v>
      </c>
      <c r="D3869" s="71" t="n">
        <f aca="false">IF(1&gt;Hold_Yrs,0,D2960-IF(1&gt;Debt_Yr,0,(C3263-0.5*IF(1=Debt_Yr,0,C3566))*INDEX(Fin_Curve,1,1))-C3566-C3566*Fin_ExitFee)</f>
        <v>0</v>
      </c>
      <c r="E3869" s="71" t="n">
        <f aca="false">IF(2&gt;Hold_Yrs,0,E2960-IF(2&gt;Debt_Yr,0,(D3263-0.5*IF(2=Debt_Yr,0,D3566))*INDEX(Fin_Curve,1,2))-D3566-D3566*Fin_ExitFee)</f>
        <v>0</v>
      </c>
      <c r="F3869" s="71" t="n">
        <f aca="false">IF(3&gt;Hold_Yrs,0,F2960-IF(3&gt;Debt_Yr,0,(E3263-0.5*IF(3=Debt_Yr,0,E3566))*INDEX(Fin_Curve,1,3))-E3566-E3566*Fin_ExitFee)</f>
        <v>0</v>
      </c>
      <c r="G3869" s="71" t="n">
        <f aca="false">IF(4&gt;Hold_Yrs,0,G2960-IF(4&gt;Debt_Yr,0,(F3263-0.5*IF(4=Debt_Yr,0,F3566))*INDEX(Fin_Curve,1,4))-F3566-F3566*Fin_ExitFee)</f>
        <v>0</v>
      </c>
      <c r="H3869" s="71" t="n">
        <f aca="false">IF(5&gt;Hold_Yrs,0,H2960-IF(5&gt;Debt_Yr,0,(G3263-0.5*IF(5=Debt_Yr,0,G3566))*INDEX(Fin_Curve,1,5))-G3566-G3566*Fin_ExitFee)</f>
        <v>0</v>
      </c>
      <c r="I3869" s="71" t="n">
        <f aca="false">IF(6&gt;Hold_Yrs,0,I2960-IF(6&gt;Debt_Yr,0,(H3263-0.5*IF(6=Debt_Yr,0,H3566))*INDEX(Fin_Curve,1,6))-H3566-H3566*Fin_ExitFee)</f>
        <v>0</v>
      </c>
      <c r="J3869" s="71" t="n">
        <f aca="false">IF(7&gt;Hold_Yrs,0,J2960-IF(7&gt;Debt_Yr,0,(I3263-0.5*IF(7=Debt_Yr,0,I3566))*INDEX(Fin_Curve,1,7))-I3566-I3566*Fin_ExitFee)</f>
        <v>0</v>
      </c>
      <c r="K3869" s="71" t="n">
        <f aca="false">IF(8&gt;Hold_Yrs,0,K2960-IF(8&gt;Debt_Yr,0,(J3263-0.5*IF(8=Debt_Yr,0,J3566))*INDEX(Fin_Curve,1,8))-J3566-J3566*Fin_ExitFee)</f>
        <v>0</v>
      </c>
      <c r="L3869" s="71" t="n">
        <f aca="false">IF(9&gt;Hold_Yrs,0,L2960-IF(9&gt;Debt_Yr,0,(K3263-0.5*IF(9=Debt_Yr,0,K3566))*INDEX(Fin_Curve,1,9))-K3566-K3566*Fin_ExitFee)</f>
        <v>0</v>
      </c>
      <c r="M3869" s="71" t="n">
        <f aca="false">IF(10&gt;Hold_Yrs,0,M2960-IF(10&gt;Debt_Yr,0,(L3263-0.5*IF(10=Debt_Yr,0,L3566))*INDEX(Fin_Curve,1,10))-L3566-L3566*Fin_ExitFee)</f>
        <v>0</v>
      </c>
    </row>
    <row r="3870" customFormat="false" ht="15" hidden="false" customHeight="false" outlineLevel="0" collapsed="false">
      <c r="B3870" s="102" t="n">
        <f aca="false">'Loan Tape'!$A230</f>
        <v>0</v>
      </c>
      <c r="C3870" s="99" t="n">
        <f aca="false">-'Loan Tape'!$BE230</f>
        <v>-0</v>
      </c>
      <c r="D3870" s="99" t="n">
        <f aca="false">IF(1&gt;Hold_Yrs,0,D2961-IF(1&gt;Debt_Yr,0,(C3264-0.5*IF(1=Debt_Yr,0,C3567))*INDEX(Fin_Curve,1,1))-C3567-C3567*Fin_ExitFee)</f>
        <v>0</v>
      </c>
      <c r="E3870" s="99" t="n">
        <f aca="false">IF(2&gt;Hold_Yrs,0,E2961-IF(2&gt;Debt_Yr,0,(D3264-0.5*IF(2=Debt_Yr,0,D3567))*INDEX(Fin_Curve,1,2))-D3567-D3567*Fin_ExitFee)</f>
        <v>0</v>
      </c>
      <c r="F3870" s="99" t="n">
        <f aca="false">IF(3&gt;Hold_Yrs,0,F2961-IF(3&gt;Debt_Yr,0,(E3264-0.5*IF(3=Debt_Yr,0,E3567))*INDEX(Fin_Curve,1,3))-E3567-E3567*Fin_ExitFee)</f>
        <v>0</v>
      </c>
      <c r="G3870" s="99" t="n">
        <f aca="false">IF(4&gt;Hold_Yrs,0,G2961-IF(4&gt;Debt_Yr,0,(F3264-0.5*IF(4=Debt_Yr,0,F3567))*INDEX(Fin_Curve,1,4))-F3567-F3567*Fin_ExitFee)</f>
        <v>0</v>
      </c>
      <c r="H3870" s="99" t="n">
        <f aca="false">IF(5&gt;Hold_Yrs,0,H2961-IF(5&gt;Debt_Yr,0,(G3264-0.5*IF(5=Debt_Yr,0,G3567))*INDEX(Fin_Curve,1,5))-G3567-G3567*Fin_ExitFee)</f>
        <v>0</v>
      </c>
      <c r="I3870" s="99" t="n">
        <f aca="false">IF(6&gt;Hold_Yrs,0,I2961-IF(6&gt;Debt_Yr,0,(H3264-0.5*IF(6=Debt_Yr,0,H3567))*INDEX(Fin_Curve,1,6))-H3567-H3567*Fin_ExitFee)</f>
        <v>0</v>
      </c>
      <c r="J3870" s="99" t="n">
        <f aca="false">IF(7&gt;Hold_Yrs,0,J2961-IF(7&gt;Debt_Yr,0,(I3264-0.5*IF(7=Debt_Yr,0,I3567))*INDEX(Fin_Curve,1,7))-I3567-I3567*Fin_ExitFee)</f>
        <v>0</v>
      </c>
      <c r="K3870" s="99" t="n">
        <f aca="false">IF(8&gt;Hold_Yrs,0,K2961-IF(8&gt;Debt_Yr,0,(J3264-0.5*IF(8=Debt_Yr,0,J3567))*INDEX(Fin_Curve,1,8))-J3567-J3567*Fin_ExitFee)</f>
        <v>0</v>
      </c>
      <c r="L3870" s="99" t="n">
        <f aca="false">IF(9&gt;Hold_Yrs,0,L2961-IF(9&gt;Debt_Yr,0,(K3264-0.5*IF(9=Debt_Yr,0,K3567))*INDEX(Fin_Curve,1,9))-K3567-K3567*Fin_ExitFee)</f>
        <v>0</v>
      </c>
      <c r="M3870" s="99" t="n">
        <f aca="false">IF(10&gt;Hold_Yrs,0,M2961-IF(10&gt;Debt_Yr,0,(L3264-0.5*IF(10=Debt_Yr,0,L3567))*INDEX(Fin_Curve,1,10))-L3567-L3567*Fin_ExitFee)</f>
        <v>0</v>
      </c>
    </row>
    <row r="3871" customFormat="false" ht="15" hidden="false" customHeight="false" outlineLevel="0" collapsed="false">
      <c r="B3871" s="108" t="n">
        <f aca="false">'Loan Tape'!$A231</f>
        <v>0</v>
      </c>
      <c r="C3871" s="71" t="n">
        <f aca="false">-'Loan Tape'!$BE231</f>
        <v>-0</v>
      </c>
      <c r="D3871" s="71" t="n">
        <f aca="false">IF(1&gt;Hold_Yrs,0,D2962-IF(1&gt;Debt_Yr,0,(C3265-0.5*IF(1=Debt_Yr,0,C3568))*INDEX(Fin_Curve,1,1))-C3568-C3568*Fin_ExitFee)</f>
        <v>0</v>
      </c>
      <c r="E3871" s="71" t="n">
        <f aca="false">IF(2&gt;Hold_Yrs,0,E2962-IF(2&gt;Debt_Yr,0,(D3265-0.5*IF(2=Debt_Yr,0,D3568))*INDEX(Fin_Curve,1,2))-D3568-D3568*Fin_ExitFee)</f>
        <v>0</v>
      </c>
      <c r="F3871" s="71" t="n">
        <f aca="false">IF(3&gt;Hold_Yrs,0,F2962-IF(3&gt;Debt_Yr,0,(E3265-0.5*IF(3=Debt_Yr,0,E3568))*INDEX(Fin_Curve,1,3))-E3568-E3568*Fin_ExitFee)</f>
        <v>0</v>
      </c>
      <c r="G3871" s="71" t="n">
        <f aca="false">IF(4&gt;Hold_Yrs,0,G2962-IF(4&gt;Debt_Yr,0,(F3265-0.5*IF(4=Debt_Yr,0,F3568))*INDEX(Fin_Curve,1,4))-F3568-F3568*Fin_ExitFee)</f>
        <v>0</v>
      </c>
      <c r="H3871" s="71" t="n">
        <f aca="false">IF(5&gt;Hold_Yrs,0,H2962-IF(5&gt;Debt_Yr,0,(G3265-0.5*IF(5=Debt_Yr,0,G3568))*INDEX(Fin_Curve,1,5))-G3568-G3568*Fin_ExitFee)</f>
        <v>0</v>
      </c>
      <c r="I3871" s="71" t="n">
        <f aca="false">IF(6&gt;Hold_Yrs,0,I2962-IF(6&gt;Debt_Yr,0,(H3265-0.5*IF(6=Debt_Yr,0,H3568))*INDEX(Fin_Curve,1,6))-H3568-H3568*Fin_ExitFee)</f>
        <v>0</v>
      </c>
      <c r="J3871" s="71" t="n">
        <f aca="false">IF(7&gt;Hold_Yrs,0,J2962-IF(7&gt;Debt_Yr,0,(I3265-0.5*IF(7=Debt_Yr,0,I3568))*INDEX(Fin_Curve,1,7))-I3568-I3568*Fin_ExitFee)</f>
        <v>0</v>
      </c>
      <c r="K3871" s="71" t="n">
        <f aca="false">IF(8&gt;Hold_Yrs,0,K2962-IF(8&gt;Debt_Yr,0,(J3265-0.5*IF(8=Debt_Yr,0,J3568))*INDEX(Fin_Curve,1,8))-J3568-J3568*Fin_ExitFee)</f>
        <v>0</v>
      </c>
      <c r="L3871" s="71" t="n">
        <f aca="false">IF(9&gt;Hold_Yrs,0,L2962-IF(9&gt;Debt_Yr,0,(K3265-0.5*IF(9=Debt_Yr,0,K3568))*INDEX(Fin_Curve,1,9))-K3568-K3568*Fin_ExitFee)</f>
        <v>0</v>
      </c>
      <c r="M3871" s="71" t="n">
        <f aca="false">IF(10&gt;Hold_Yrs,0,M2962-IF(10&gt;Debt_Yr,0,(L3265-0.5*IF(10=Debt_Yr,0,L3568))*INDEX(Fin_Curve,1,10))-L3568-L3568*Fin_ExitFee)</f>
        <v>0</v>
      </c>
    </row>
    <row r="3872" customFormat="false" ht="15" hidden="false" customHeight="false" outlineLevel="0" collapsed="false">
      <c r="B3872" s="102" t="n">
        <f aca="false">'Loan Tape'!$A232</f>
        <v>0</v>
      </c>
      <c r="C3872" s="99" t="n">
        <f aca="false">-'Loan Tape'!$BE232</f>
        <v>-0</v>
      </c>
      <c r="D3872" s="99" t="n">
        <f aca="false">IF(1&gt;Hold_Yrs,0,D2963-IF(1&gt;Debt_Yr,0,(C3266-0.5*IF(1=Debt_Yr,0,C3569))*INDEX(Fin_Curve,1,1))-C3569-C3569*Fin_ExitFee)</f>
        <v>0</v>
      </c>
      <c r="E3872" s="99" t="n">
        <f aca="false">IF(2&gt;Hold_Yrs,0,E2963-IF(2&gt;Debt_Yr,0,(D3266-0.5*IF(2=Debt_Yr,0,D3569))*INDEX(Fin_Curve,1,2))-D3569-D3569*Fin_ExitFee)</f>
        <v>0</v>
      </c>
      <c r="F3872" s="99" t="n">
        <f aca="false">IF(3&gt;Hold_Yrs,0,F2963-IF(3&gt;Debt_Yr,0,(E3266-0.5*IF(3=Debt_Yr,0,E3569))*INDEX(Fin_Curve,1,3))-E3569-E3569*Fin_ExitFee)</f>
        <v>0</v>
      </c>
      <c r="G3872" s="99" t="n">
        <f aca="false">IF(4&gt;Hold_Yrs,0,G2963-IF(4&gt;Debt_Yr,0,(F3266-0.5*IF(4=Debt_Yr,0,F3569))*INDEX(Fin_Curve,1,4))-F3569-F3569*Fin_ExitFee)</f>
        <v>0</v>
      </c>
      <c r="H3872" s="99" t="n">
        <f aca="false">IF(5&gt;Hold_Yrs,0,H2963-IF(5&gt;Debt_Yr,0,(G3266-0.5*IF(5=Debt_Yr,0,G3569))*INDEX(Fin_Curve,1,5))-G3569-G3569*Fin_ExitFee)</f>
        <v>0</v>
      </c>
      <c r="I3872" s="99" t="n">
        <f aca="false">IF(6&gt;Hold_Yrs,0,I2963-IF(6&gt;Debt_Yr,0,(H3266-0.5*IF(6=Debt_Yr,0,H3569))*INDEX(Fin_Curve,1,6))-H3569-H3569*Fin_ExitFee)</f>
        <v>0</v>
      </c>
      <c r="J3872" s="99" t="n">
        <f aca="false">IF(7&gt;Hold_Yrs,0,J2963-IF(7&gt;Debt_Yr,0,(I3266-0.5*IF(7=Debt_Yr,0,I3569))*INDEX(Fin_Curve,1,7))-I3569-I3569*Fin_ExitFee)</f>
        <v>0</v>
      </c>
      <c r="K3872" s="99" t="n">
        <f aca="false">IF(8&gt;Hold_Yrs,0,K2963-IF(8&gt;Debt_Yr,0,(J3266-0.5*IF(8=Debt_Yr,0,J3569))*INDEX(Fin_Curve,1,8))-J3569-J3569*Fin_ExitFee)</f>
        <v>0</v>
      </c>
      <c r="L3872" s="99" t="n">
        <f aca="false">IF(9&gt;Hold_Yrs,0,L2963-IF(9&gt;Debt_Yr,0,(K3266-0.5*IF(9=Debt_Yr,0,K3569))*INDEX(Fin_Curve,1,9))-K3569-K3569*Fin_ExitFee)</f>
        <v>0</v>
      </c>
      <c r="M3872" s="99" t="n">
        <f aca="false">IF(10&gt;Hold_Yrs,0,M2963-IF(10&gt;Debt_Yr,0,(L3266-0.5*IF(10=Debt_Yr,0,L3569))*INDEX(Fin_Curve,1,10))-L3569-L3569*Fin_ExitFee)</f>
        <v>0</v>
      </c>
    </row>
    <row r="3873" customFormat="false" ht="15" hidden="false" customHeight="false" outlineLevel="0" collapsed="false">
      <c r="B3873" s="108" t="n">
        <f aca="false">'Loan Tape'!$A233</f>
        <v>0</v>
      </c>
      <c r="C3873" s="71" t="n">
        <f aca="false">-'Loan Tape'!$BE233</f>
        <v>-0</v>
      </c>
      <c r="D3873" s="71" t="n">
        <f aca="false">IF(1&gt;Hold_Yrs,0,D2964-IF(1&gt;Debt_Yr,0,(C3267-0.5*IF(1=Debt_Yr,0,C3570))*INDEX(Fin_Curve,1,1))-C3570-C3570*Fin_ExitFee)</f>
        <v>0</v>
      </c>
      <c r="E3873" s="71" t="n">
        <f aca="false">IF(2&gt;Hold_Yrs,0,E2964-IF(2&gt;Debt_Yr,0,(D3267-0.5*IF(2=Debt_Yr,0,D3570))*INDEX(Fin_Curve,1,2))-D3570-D3570*Fin_ExitFee)</f>
        <v>0</v>
      </c>
      <c r="F3873" s="71" t="n">
        <f aca="false">IF(3&gt;Hold_Yrs,0,F2964-IF(3&gt;Debt_Yr,0,(E3267-0.5*IF(3=Debt_Yr,0,E3570))*INDEX(Fin_Curve,1,3))-E3570-E3570*Fin_ExitFee)</f>
        <v>0</v>
      </c>
      <c r="G3873" s="71" t="n">
        <f aca="false">IF(4&gt;Hold_Yrs,0,G2964-IF(4&gt;Debt_Yr,0,(F3267-0.5*IF(4=Debt_Yr,0,F3570))*INDEX(Fin_Curve,1,4))-F3570-F3570*Fin_ExitFee)</f>
        <v>0</v>
      </c>
      <c r="H3873" s="71" t="n">
        <f aca="false">IF(5&gt;Hold_Yrs,0,H2964-IF(5&gt;Debt_Yr,0,(G3267-0.5*IF(5=Debt_Yr,0,G3570))*INDEX(Fin_Curve,1,5))-G3570-G3570*Fin_ExitFee)</f>
        <v>0</v>
      </c>
      <c r="I3873" s="71" t="n">
        <f aca="false">IF(6&gt;Hold_Yrs,0,I2964-IF(6&gt;Debt_Yr,0,(H3267-0.5*IF(6=Debt_Yr,0,H3570))*INDEX(Fin_Curve,1,6))-H3570-H3570*Fin_ExitFee)</f>
        <v>0</v>
      </c>
      <c r="J3873" s="71" t="n">
        <f aca="false">IF(7&gt;Hold_Yrs,0,J2964-IF(7&gt;Debt_Yr,0,(I3267-0.5*IF(7=Debt_Yr,0,I3570))*INDEX(Fin_Curve,1,7))-I3570-I3570*Fin_ExitFee)</f>
        <v>0</v>
      </c>
      <c r="K3873" s="71" t="n">
        <f aca="false">IF(8&gt;Hold_Yrs,0,K2964-IF(8&gt;Debt_Yr,0,(J3267-0.5*IF(8=Debt_Yr,0,J3570))*INDEX(Fin_Curve,1,8))-J3570-J3570*Fin_ExitFee)</f>
        <v>0</v>
      </c>
      <c r="L3873" s="71" t="n">
        <f aca="false">IF(9&gt;Hold_Yrs,0,L2964-IF(9&gt;Debt_Yr,0,(K3267-0.5*IF(9=Debt_Yr,0,K3570))*INDEX(Fin_Curve,1,9))-K3570-K3570*Fin_ExitFee)</f>
        <v>0</v>
      </c>
      <c r="M3873" s="71" t="n">
        <f aca="false">IF(10&gt;Hold_Yrs,0,M2964-IF(10&gt;Debt_Yr,0,(L3267-0.5*IF(10=Debt_Yr,0,L3570))*INDEX(Fin_Curve,1,10))-L3570-L3570*Fin_ExitFee)</f>
        <v>0</v>
      </c>
    </row>
    <row r="3874" customFormat="false" ht="15" hidden="false" customHeight="false" outlineLevel="0" collapsed="false">
      <c r="B3874" s="102" t="n">
        <f aca="false">'Loan Tape'!$A234</f>
        <v>0</v>
      </c>
      <c r="C3874" s="99" t="n">
        <f aca="false">-'Loan Tape'!$BE234</f>
        <v>-0</v>
      </c>
      <c r="D3874" s="99" t="n">
        <f aca="false">IF(1&gt;Hold_Yrs,0,D2965-IF(1&gt;Debt_Yr,0,(C3268-0.5*IF(1=Debt_Yr,0,C3571))*INDEX(Fin_Curve,1,1))-C3571-C3571*Fin_ExitFee)</f>
        <v>0</v>
      </c>
      <c r="E3874" s="99" t="n">
        <f aca="false">IF(2&gt;Hold_Yrs,0,E2965-IF(2&gt;Debt_Yr,0,(D3268-0.5*IF(2=Debt_Yr,0,D3571))*INDEX(Fin_Curve,1,2))-D3571-D3571*Fin_ExitFee)</f>
        <v>0</v>
      </c>
      <c r="F3874" s="99" t="n">
        <f aca="false">IF(3&gt;Hold_Yrs,0,F2965-IF(3&gt;Debt_Yr,0,(E3268-0.5*IF(3=Debt_Yr,0,E3571))*INDEX(Fin_Curve,1,3))-E3571-E3571*Fin_ExitFee)</f>
        <v>0</v>
      </c>
      <c r="G3874" s="99" t="n">
        <f aca="false">IF(4&gt;Hold_Yrs,0,G2965-IF(4&gt;Debt_Yr,0,(F3268-0.5*IF(4=Debt_Yr,0,F3571))*INDEX(Fin_Curve,1,4))-F3571-F3571*Fin_ExitFee)</f>
        <v>0</v>
      </c>
      <c r="H3874" s="99" t="n">
        <f aca="false">IF(5&gt;Hold_Yrs,0,H2965-IF(5&gt;Debt_Yr,0,(G3268-0.5*IF(5=Debt_Yr,0,G3571))*INDEX(Fin_Curve,1,5))-G3571-G3571*Fin_ExitFee)</f>
        <v>0</v>
      </c>
      <c r="I3874" s="99" t="n">
        <f aca="false">IF(6&gt;Hold_Yrs,0,I2965-IF(6&gt;Debt_Yr,0,(H3268-0.5*IF(6=Debt_Yr,0,H3571))*INDEX(Fin_Curve,1,6))-H3571-H3571*Fin_ExitFee)</f>
        <v>0</v>
      </c>
      <c r="J3874" s="99" t="n">
        <f aca="false">IF(7&gt;Hold_Yrs,0,J2965-IF(7&gt;Debt_Yr,0,(I3268-0.5*IF(7=Debt_Yr,0,I3571))*INDEX(Fin_Curve,1,7))-I3571-I3571*Fin_ExitFee)</f>
        <v>0</v>
      </c>
      <c r="K3874" s="99" t="n">
        <f aca="false">IF(8&gt;Hold_Yrs,0,K2965-IF(8&gt;Debt_Yr,0,(J3268-0.5*IF(8=Debt_Yr,0,J3571))*INDEX(Fin_Curve,1,8))-J3571-J3571*Fin_ExitFee)</f>
        <v>0</v>
      </c>
      <c r="L3874" s="99" t="n">
        <f aca="false">IF(9&gt;Hold_Yrs,0,L2965-IF(9&gt;Debt_Yr,0,(K3268-0.5*IF(9=Debt_Yr,0,K3571))*INDEX(Fin_Curve,1,9))-K3571-K3571*Fin_ExitFee)</f>
        <v>0</v>
      </c>
      <c r="M3874" s="99" t="n">
        <f aca="false">IF(10&gt;Hold_Yrs,0,M2965-IF(10&gt;Debt_Yr,0,(L3268-0.5*IF(10=Debt_Yr,0,L3571))*INDEX(Fin_Curve,1,10))-L3571-L3571*Fin_ExitFee)</f>
        <v>0</v>
      </c>
    </row>
    <row r="3875" customFormat="false" ht="15" hidden="false" customHeight="false" outlineLevel="0" collapsed="false">
      <c r="B3875" s="108" t="n">
        <f aca="false">'Loan Tape'!$A235</f>
        <v>0</v>
      </c>
      <c r="C3875" s="71" t="n">
        <f aca="false">-'Loan Tape'!$BE235</f>
        <v>-0</v>
      </c>
      <c r="D3875" s="71" t="n">
        <f aca="false">IF(1&gt;Hold_Yrs,0,D2966-IF(1&gt;Debt_Yr,0,(C3269-0.5*IF(1=Debt_Yr,0,C3572))*INDEX(Fin_Curve,1,1))-C3572-C3572*Fin_ExitFee)</f>
        <v>0</v>
      </c>
      <c r="E3875" s="71" t="n">
        <f aca="false">IF(2&gt;Hold_Yrs,0,E2966-IF(2&gt;Debt_Yr,0,(D3269-0.5*IF(2=Debt_Yr,0,D3572))*INDEX(Fin_Curve,1,2))-D3572-D3572*Fin_ExitFee)</f>
        <v>0</v>
      </c>
      <c r="F3875" s="71" t="n">
        <f aca="false">IF(3&gt;Hold_Yrs,0,F2966-IF(3&gt;Debt_Yr,0,(E3269-0.5*IF(3=Debt_Yr,0,E3572))*INDEX(Fin_Curve,1,3))-E3572-E3572*Fin_ExitFee)</f>
        <v>0</v>
      </c>
      <c r="G3875" s="71" t="n">
        <f aca="false">IF(4&gt;Hold_Yrs,0,G2966-IF(4&gt;Debt_Yr,0,(F3269-0.5*IF(4=Debt_Yr,0,F3572))*INDEX(Fin_Curve,1,4))-F3572-F3572*Fin_ExitFee)</f>
        <v>0</v>
      </c>
      <c r="H3875" s="71" t="n">
        <f aca="false">IF(5&gt;Hold_Yrs,0,H2966-IF(5&gt;Debt_Yr,0,(G3269-0.5*IF(5=Debt_Yr,0,G3572))*INDEX(Fin_Curve,1,5))-G3572-G3572*Fin_ExitFee)</f>
        <v>0</v>
      </c>
      <c r="I3875" s="71" t="n">
        <f aca="false">IF(6&gt;Hold_Yrs,0,I2966-IF(6&gt;Debt_Yr,0,(H3269-0.5*IF(6=Debt_Yr,0,H3572))*INDEX(Fin_Curve,1,6))-H3572-H3572*Fin_ExitFee)</f>
        <v>0</v>
      </c>
      <c r="J3875" s="71" t="n">
        <f aca="false">IF(7&gt;Hold_Yrs,0,J2966-IF(7&gt;Debt_Yr,0,(I3269-0.5*IF(7=Debt_Yr,0,I3572))*INDEX(Fin_Curve,1,7))-I3572-I3572*Fin_ExitFee)</f>
        <v>0</v>
      </c>
      <c r="K3875" s="71" t="n">
        <f aca="false">IF(8&gt;Hold_Yrs,0,K2966-IF(8&gt;Debt_Yr,0,(J3269-0.5*IF(8=Debt_Yr,0,J3572))*INDEX(Fin_Curve,1,8))-J3572-J3572*Fin_ExitFee)</f>
        <v>0</v>
      </c>
      <c r="L3875" s="71" t="n">
        <f aca="false">IF(9&gt;Hold_Yrs,0,L2966-IF(9&gt;Debt_Yr,0,(K3269-0.5*IF(9=Debt_Yr,0,K3572))*INDEX(Fin_Curve,1,9))-K3572-K3572*Fin_ExitFee)</f>
        <v>0</v>
      </c>
      <c r="M3875" s="71" t="n">
        <f aca="false">IF(10&gt;Hold_Yrs,0,M2966-IF(10&gt;Debt_Yr,0,(L3269-0.5*IF(10=Debt_Yr,0,L3572))*INDEX(Fin_Curve,1,10))-L3572-L3572*Fin_ExitFee)</f>
        <v>0</v>
      </c>
    </row>
    <row r="3876" customFormat="false" ht="15" hidden="false" customHeight="false" outlineLevel="0" collapsed="false">
      <c r="B3876" s="102" t="n">
        <f aca="false">'Loan Tape'!$A236</f>
        <v>0</v>
      </c>
      <c r="C3876" s="99" t="n">
        <f aca="false">-'Loan Tape'!$BE236</f>
        <v>-0</v>
      </c>
      <c r="D3876" s="99" t="n">
        <f aca="false">IF(1&gt;Hold_Yrs,0,D2967-IF(1&gt;Debt_Yr,0,(C3270-0.5*IF(1=Debt_Yr,0,C3573))*INDEX(Fin_Curve,1,1))-C3573-C3573*Fin_ExitFee)</f>
        <v>0</v>
      </c>
      <c r="E3876" s="99" t="n">
        <f aca="false">IF(2&gt;Hold_Yrs,0,E2967-IF(2&gt;Debt_Yr,0,(D3270-0.5*IF(2=Debt_Yr,0,D3573))*INDEX(Fin_Curve,1,2))-D3573-D3573*Fin_ExitFee)</f>
        <v>0</v>
      </c>
      <c r="F3876" s="99" t="n">
        <f aca="false">IF(3&gt;Hold_Yrs,0,F2967-IF(3&gt;Debt_Yr,0,(E3270-0.5*IF(3=Debt_Yr,0,E3573))*INDEX(Fin_Curve,1,3))-E3573-E3573*Fin_ExitFee)</f>
        <v>0</v>
      </c>
      <c r="G3876" s="99" t="n">
        <f aca="false">IF(4&gt;Hold_Yrs,0,G2967-IF(4&gt;Debt_Yr,0,(F3270-0.5*IF(4=Debt_Yr,0,F3573))*INDEX(Fin_Curve,1,4))-F3573-F3573*Fin_ExitFee)</f>
        <v>0</v>
      </c>
      <c r="H3876" s="99" t="n">
        <f aca="false">IF(5&gt;Hold_Yrs,0,H2967-IF(5&gt;Debt_Yr,0,(G3270-0.5*IF(5=Debt_Yr,0,G3573))*INDEX(Fin_Curve,1,5))-G3573-G3573*Fin_ExitFee)</f>
        <v>0</v>
      </c>
      <c r="I3876" s="99" t="n">
        <f aca="false">IF(6&gt;Hold_Yrs,0,I2967-IF(6&gt;Debt_Yr,0,(H3270-0.5*IF(6=Debt_Yr,0,H3573))*INDEX(Fin_Curve,1,6))-H3573-H3573*Fin_ExitFee)</f>
        <v>0</v>
      </c>
      <c r="J3876" s="99" t="n">
        <f aca="false">IF(7&gt;Hold_Yrs,0,J2967-IF(7&gt;Debt_Yr,0,(I3270-0.5*IF(7=Debt_Yr,0,I3573))*INDEX(Fin_Curve,1,7))-I3573-I3573*Fin_ExitFee)</f>
        <v>0</v>
      </c>
      <c r="K3876" s="99" t="n">
        <f aca="false">IF(8&gt;Hold_Yrs,0,K2967-IF(8&gt;Debt_Yr,0,(J3270-0.5*IF(8=Debt_Yr,0,J3573))*INDEX(Fin_Curve,1,8))-J3573-J3573*Fin_ExitFee)</f>
        <v>0</v>
      </c>
      <c r="L3876" s="99" t="n">
        <f aca="false">IF(9&gt;Hold_Yrs,0,L2967-IF(9&gt;Debt_Yr,0,(K3270-0.5*IF(9=Debt_Yr,0,K3573))*INDEX(Fin_Curve,1,9))-K3573-K3573*Fin_ExitFee)</f>
        <v>0</v>
      </c>
      <c r="M3876" s="99" t="n">
        <f aca="false">IF(10&gt;Hold_Yrs,0,M2967-IF(10&gt;Debt_Yr,0,(L3270-0.5*IF(10=Debt_Yr,0,L3573))*INDEX(Fin_Curve,1,10))-L3573-L3573*Fin_ExitFee)</f>
        <v>0</v>
      </c>
    </row>
    <row r="3877" customFormat="false" ht="15" hidden="false" customHeight="false" outlineLevel="0" collapsed="false">
      <c r="B3877" s="108" t="n">
        <f aca="false">'Loan Tape'!$A237</f>
        <v>0</v>
      </c>
      <c r="C3877" s="71" t="n">
        <f aca="false">-'Loan Tape'!$BE237</f>
        <v>-0</v>
      </c>
      <c r="D3877" s="71" t="n">
        <f aca="false">IF(1&gt;Hold_Yrs,0,D2968-IF(1&gt;Debt_Yr,0,(C3271-0.5*IF(1=Debt_Yr,0,C3574))*INDEX(Fin_Curve,1,1))-C3574-C3574*Fin_ExitFee)</f>
        <v>0</v>
      </c>
      <c r="E3877" s="71" t="n">
        <f aca="false">IF(2&gt;Hold_Yrs,0,E2968-IF(2&gt;Debt_Yr,0,(D3271-0.5*IF(2=Debt_Yr,0,D3574))*INDEX(Fin_Curve,1,2))-D3574-D3574*Fin_ExitFee)</f>
        <v>0</v>
      </c>
      <c r="F3877" s="71" t="n">
        <f aca="false">IF(3&gt;Hold_Yrs,0,F2968-IF(3&gt;Debt_Yr,0,(E3271-0.5*IF(3=Debt_Yr,0,E3574))*INDEX(Fin_Curve,1,3))-E3574-E3574*Fin_ExitFee)</f>
        <v>0</v>
      </c>
      <c r="G3877" s="71" t="n">
        <f aca="false">IF(4&gt;Hold_Yrs,0,G2968-IF(4&gt;Debt_Yr,0,(F3271-0.5*IF(4=Debt_Yr,0,F3574))*INDEX(Fin_Curve,1,4))-F3574-F3574*Fin_ExitFee)</f>
        <v>0</v>
      </c>
      <c r="H3877" s="71" t="n">
        <f aca="false">IF(5&gt;Hold_Yrs,0,H2968-IF(5&gt;Debt_Yr,0,(G3271-0.5*IF(5=Debt_Yr,0,G3574))*INDEX(Fin_Curve,1,5))-G3574-G3574*Fin_ExitFee)</f>
        <v>0</v>
      </c>
      <c r="I3877" s="71" t="n">
        <f aca="false">IF(6&gt;Hold_Yrs,0,I2968-IF(6&gt;Debt_Yr,0,(H3271-0.5*IF(6=Debt_Yr,0,H3574))*INDEX(Fin_Curve,1,6))-H3574-H3574*Fin_ExitFee)</f>
        <v>0</v>
      </c>
      <c r="J3877" s="71" t="n">
        <f aca="false">IF(7&gt;Hold_Yrs,0,J2968-IF(7&gt;Debt_Yr,0,(I3271-0.5*IF(7=Debt_Yr,0,I3574))*INDEX(Fin_Curve,1,7))-I3574-I3574*Fin_ExitFee)</f>
        <v>0</v>
      </c>
      <c r="K3877" s="71" t="n">
        <f aca="false">IF(8&gt;Hold_Yrs,0,K2968-IF(8&gt;Debt_Yr,0,(J3271-0.5*IF(8=Debt_Yr,0,J3574))*INDEX(Fin_Curve,1,8))-J3574-J3574*Fin_ExitFee)</f>
        <v>0</v>
      </c>
      <c r="L3877" s="71" t="n">
        <f aca="false">IF(9&gt;Hold_Yrs,0,L2968-IF(9&gt;Debt_Yr,0,(K3271-0.5*IF(9=Debt_Yr,0,K3574))*INDEX(Fin_Curve,1,9))-K3574-K3574*Fin_ExitFee)</f>
        <v>0</v>
      </c>
      <c r="M3877" s="71" t="n">
        <f aca="false">IF(10&gt;Hold_Yrs,0,M2968-IF(10&gt;Debt_Yr,0,(L3271-0.5*IF(10=Debt_Yr,0,L3574))*INDEX(Fin_Curve,1,10))-L3574-L3574*Fin_ExitFee)</f>
        <v>0</v>
      </c>
    </row>
    <row r="3878" customFormat="false" ht="15" hidden="false" customHeight="false" outlineLevel="0" collapsed="false">
      <c r="B3878" s="102" t="n">
        <f aca="false">'Loan Tape'!$A238</f>
        <v>0</v>
      </c>
      <c r="C3878" s="99" t="n">
        <f aca="false">-'Loan Tape'!$BE238</f>
        <v>-0</v>
      </c>
      <c r="D3878" s="99" t="n">
        <f aca="false">IF(1&gt;Hold_Yrs,0,D2969-IF(1&gt;Debt_Yr,0,(C3272-0.5*IF(1=Debt_Yr,0,C3575))*INDEX(Fin_Curve,1,1))-C3575-C3575*Fin_ExitFee)</f>
        <v>0</v>
      </c>
      <c r="E3878" s="99" t="n">
        <f aca="false">IF(2&gt;Hold_Yrs,0,E2969-IF(2&gt;Debt_Yr,0,(D3272-0.5*IF(2=Debt_Yr,0,D3575))*INDEX(Fin_Curve,1,2))-D3575-D3575*Fin_ExitFee)</f>
        <v>0</v>
      </c>
      <c r="F3878" s="99" t="n">
        <f aca="false">IF(3&gt;Hold_Yrs,0,F2969-IF(3&gt;Debt_Yr,0,(E3272-0.5*IF(3=Debt_Yr,0,E3575))*INDEX(Fin_Curve,1,3))-E3575-E3575*Fin_ExitFee)</f>
        <v>0</v>
      </c>
      <c r="G3878" s="99" t="n">
        <f aca="false">IF(4&gt;Hold_Yrs,0,G2969-IF(4&gt;Debt_Yr,0,(F3272-0.5*IF(4=Debt_Yr,0,F3575))*INDEX(Fin_Curve,1,4))-F3575-F3575*Fin_ExitFee)</f>
        <v>0</v>
      </c>
      <c r="H3878" s="99" t="n">
        <f aca="false">IF(5&gt;Hold_Yrs,0,H2969-IF(5&gt;Debt_Yr,0,(G3272-0.5*IF(5=Debt_Yr,0,G3575))*INDEX(Fin_Curve,1,5))-G3575-G3575*Fin_ExitFee)</f>
        <v>0</v>
      </c>
      <c r="I3878" s="99" t="n">
        <f aca="false">IF(6&gt;Hold_Yrs,0,I2969-IF(6&gt;Debt_Yr,0,(H3272-0.5*IF(6=Debt_Yr,0,H3575))*INDEX(Fin_Curve,1,6))-H3575-H3575*Fin_ExitFee)</f>
        <v>0</v>
      </c>
      <c r="J3878" s="99" t="n">
        <f aca="false">IF(7&gt;Hold_Yrs,0,J2969-IF(7&gt;Debt_Yr,0,(I3272-0.5*IF(7=Debt_Yr,0,I3575))*INDEX(Fin_Curve,1,7))-I3575-I3575*Fin_ExitFee)</f>
        <v>0</v>
      </c>
      <c r="K3878" s="99" t="n">
        <f aca="false">IF(8&gt;Hold_Yrs,0,K2969-IF(8&gt;Debt_Yr,0,(J3272-0.5*IF(8=Debt_Yr,0,J3575))*INDEX(Fin_Curve,1,8))-J3575-J3575*Fin_ExitFee)</f>
        <v>0</v>
      </c>
      <c r="L3878" s="99" t="n">
        <f aca="false">IF(9&gt;Hold_Yrs,0,L2969-IF(9&gt;Debt_Yr,0,(K3272-0.5*IF(9=Debt_Yr,0,K3575))*INDEX(Fin_Curve,1,9))-K3575-K3575*Fin_ExitFee)</f>
        <v>0</v>
      </c>
      <c r="M3878" s="99" t="n">
        <f aca="false">IF(10&gt;Hold_Yrs,0,M2969-IF(10&gt;Debt_Yr,0,(L3272-0.5*IF(10=Debt_Yr,0,L3575))*INDEX(Fin_Curve,1,10))-L3575-L3575*Fin_ExitFee)</f>
        <v>0</v>
      </c>
    </row>
    <row r="3879" customFormat="false" ht="15" hidden="false" customHeight="false" outlineLevel="0" collapsed="false">
      <c r="B3879" s="108" t="n">
        <f aca="false">'Loan Tape'!$A239</f>
        <v>0</v>
      </c>
      <c r="C3879" s="71" t="n">
        <f aca="false">-'Loan Tape'!$BE239</f>
        <v>-0</v>
      </c>
      <c r="D3879" s="71" t="n">
        <f aca="false">IF(1&gt;Hold_Yrs,0,D2970-IF(1&gt;Debt_Yr,0,(C3273-0.5*IF(1=Debt_Yr,0,C3576))*INDEX(Fin_Curve,1,1))-C3576-C3576*Fin_ExitFee)</f>
        <v>0</v>
      </c>
      <c r="E3879" s="71" t="n">
        <f aca="false">IF(2&gt;Hold_Yrs,0,E2970-IF(2&gt;Debt_Yr,0,(D3273-0.5*IF(2=Debt_Yr,0,D3576))*INDEX(Fin_Curve,1,2))-D3576-D3576*Fin_ExitFee)</f>
        <v>0</v>
      </c>
      <c r="F3879" s="71" t="n">
        <f aca="false">IF(3&gt;Hold_Yrs,0,F2970-IF(3&gt;Debt_Yr,0,(E3273-0.5*IF(3=Debt_Yr,0,E3576))*INDEX(Fin_Curve,1,3))-E3576-E3576*Fin_ExitFee)</f>
        <v>0</v>
      </c>
      <c r="G3879" s="71" t="n">
        <f aca="false">IF(4&gt;Hold_Yrs,0,G2970-IF(4&gt;Debt_Yr,0,(F3273-0.5*IF(4=Debt_Yr,0,F3576))*INDEX(Fin_Curve,1,4))-F3576-F3576*Fin_ExitFee)</f>
        <v>0</v>
      </c>
      <c r="H3879" s="71" t="n">
        <f aca="false">IF(5&gt;Hold_Yrs,0,H2970-IF(5&gt;Debt_Yr,0,(G3273-0.5*IF(5=Debt_Yr,0,G3576))*INDEX(Fin_Curve,1,5))-G3576-G3576*Fin_ExitFee)</f>
        <v>0</v>
      </c>
      <c r="I3879" s="71" t="n">
        <f aca="false">IF(6&gt;Hold_Yrs,0,I2970-IF(6&gt;Debt_Yr,0,(H3273-0.5*IF(6=Debt_Yr,0,H3576))*INDEX(Fin_Curve,1,6))-H3576-H3576*Fin_ExitFee)</f>
        <v>0</v>
      </c>
      <c r="J3879" s="71" t="n">
        <f aca="false">IF(7&gt;Hold_Yrs,0,J2970-IF(7&gt;Debt_Yr,0,(I3273-0.5*IF(7=Debt_Yr,0,I3576))*INDEX(Fin_Curve,1,7))-I3576-I3576*Fin_ExitFee)</f>
        <v>0</v>
      </c>
      <c r="K3879" s="71" t="n">
        <f aca="false">IF(8&gt;Hold_Yrs,0,K2970-IF(8&gt;Debt_Yr,0,(J3273-0.5*IF(8=Debt_Yr,0,J3576))*INDEX(Fin_Curve,1,8))-J3576-J3576*Fin_ExitFee)</f>
        <v>0</v>
      </c>
      <c r="L3879" s="71" t="n">
        <f aca="false">IF(9&gt;Hold_Yrs,0,L2970-IF(9&gt;Debt_Yr,0,(K3273-0.5*IF(9=Debt_Yr,0,K3576))*INDEX(Fin_Curve,1,9))-K3576-K3576*Fin_ExitFee)</f>
        <v>0</v>
      </c>
      <c r="M3879" s="71" t="n">
        <f aca="false">IF(10&gt;Hold_Yrs,0,M2970-IF(10&gt;Debt_Yr,0,(L3273-0.5*IF(10=Debt_Yr,0,L3576))*INDEX(Fin_Curve,1,10))-L3576-L3576*Fin_ExitFee)</f>
        <v>0</v>
      </c>
    </row>
    <row r="3880" customFormat="false" ht="15" hidden="false" customHeight="false" outlineLevel="0" collapsed="false">
      <c r="B3880" s="102" t="n">
        <f aca="false">'Loan Tape'!$A240</f>
        <v>0</v>
      </c>
      <c r="C3880" s="99" t="n">
        <f aca="false">-'Loan Tape'!$BE240</f>
        <v>-0</v>
      </c>
      <c r="D3880" s="99" t="n">
        <f aca="false">IF(1&gt;Hold_Yrs,0,D2971-IF(1&gt;Debt_Yr,0,(C3274-0.5*IF(1=Debt_Yr,0,C3577))*INDEX(Fin_Curve,1,1))-C3577-C3577*Fin_ExitFee)</f>
        <v>0</v>
      </c>
      <c r="E3880" s="99" t="n">
        <f aca="false">IF(2&gt;Hold_Yrs,0,E2971-IF(2&gt;Debt_Yr,0,(D3274-0.5*IF(2=Debt_Yr,0,D3577))*INDEX(Fin_Curve,1,2))-D3577-D3577*Fin_ExitFee)</f>
        <v>0</v>
      </c>
      <c r="F3880" s="99" t="n">
        <f aca="false">IF(3&gt;Hold_Yrs,0,F2971-IF(3&gt;Debt_Yr,0,(E3274-0.5*IF(3=Debt_Yr,0,E3577))*INDEX(Fin_Curve,1,3))-E3577-E3577*Fin_ExitFee)</f>
        <v>0</v>
      </c>
      <c r="G3880" s="99" t="n">
        <f aca="false">IF(4&gt;Hold_Yrs,0,G2971-IF(4&gt;Debt_Yr,0,(F3274-0.5*IF(4=Debt_Yr,0,F3577))*INDEX(Fin_Curve,1,4))-F3577-F3577*Fin_ExitFee)</f>
        <v>0</v>
      </c>
      <c r="H3880" s="99" t="n">
        <f aca="false">IF(5&gt;Hold_Yrs,0,H2971-IF(5&gt;Debt_Yr,0,(G3274-0.5*IF(5=Debt_Yr,0,G3577))*INDEX(Fin_Curve,1,5))-G3577-G3577*Fin_ExitFee)</f>
        <v>0</v>
      </c>
      <c r="I3880" s="99" t="n">
        <f aca="false">IF(6&gt;Hold_Yrs,0,I2971-IF(6&gt;Debt_Yr,0,(H3274-0.5*IF(6=Debt_Yr,0,H3577))*INDEX(Fin_Curve,1,6))-H3577-H3577*Fin_ExitFee)</f>
        <v>0</v>
      </c>
      <c r="J3880" s="99" t="n">
        <f aca="false">IF(7&gt;Hold_Yrs,0,J2971-IF(7&gt;Debt_Yr,0,(I3274-0.5*IF(7=Debt_Yr,0,I3577))*INDEX(Fin_Curve,1,7))-I3577-I3577*Fin_ExitFee)</f>
        <v>0</v>
      </c>
      <c r="K3880" s="99" t="n">
        <f aca="false">IF(8&gt;Hold_Yrs,0,K2971-IF(8&gt;Debt_Yr,0,(J3274-0.5*IF(8=Debt_Yr,0,J3577))*INDEX(Fin_Curve,1,8))-J3577-J3577*Fin_ExitFee)</f>
        <v>0</v>
      </c>
      <c r="L3880" s="99" t="n">
        <f aca="false">IF(9&gt;Hold_Yrs,0,L2971-IF(9&gt;Debt_Yr,0,(K3274-0.5*IF(9=Debt_Yr,0,K3577))*INDEX(Fin_Curve,1,9))-K3577-K3577*Fin_ExitFee)</f>
        <v>0</v>
      </c>
      <c r="M3880" s="99" t="n">
        <f aca="false">IF(10&gt;Hold_Yrs,0,M2971-IF(10&gt;Debt_Yr,0,(L3274-0.5*IF(10=Debt_Yr,0,L3577))*INDEX(Fin_Curve,1,10))-L3577-L3577*Fin_ExitFee)</f>
        <v>0</v>
      </c>
    </row>
    <row r="3881" customFormat="false" ht="15" hidden="false" customHeight="false" outlineLevel="0" collapsed="false">
      <c r="B3881" s="108" t="n">
        <f aca="false">'Loan Tape'!$A241</f>
        <v>0</v>
      </c>
      <c r="C3881" s="71" t="n">
        <f aca="false">-'Loan Tape'!$BE241</f>
        <v>-0</v>
      </c>
      <c r="D3881" s="71" t="n">
        <f aca="false">IF(1&gt;Hold_Yrs,0,D2972-IF(1&gt;Debt_Yr,0,(C3275-0.5*IF(1=Debt_Yr,0,C3578))*INDEX(Fin_Curve,1,1))-C3578-C3578*Fin_ExitFee)</f>
        <v>0</v>
      </c>
      <c r="E3881" s="71" t="n">
        <f aca="false">IF(2&gt;Hold_Yrs,0,E2972-IF(2&gt;Debt_Yr,0,(D3275-0.5*IF(2=Debt_Yr,0,D3578))*INDEX(Fin_Curve,1,2))-D3578-D3578*Fin_ExitFee)</f>
        <v>0</v>
      </c>
      <c r="F3881" s="71" t="n">
        <f aca="false">IF(3&gt;Hold_Yrs,0,F2972-IF(3&gt;Debt_Yr,0,(E3275-0.5*IF(3=Debt_Yr,0,E3578))*INDEX(Fin_Curve,1,3))-E3578-E3578*Fin_ExitFee)</f>
        <v>0</v>
      </c>
      <c r="G3881" s="71" t="n">
        <f aca="false">IF(4&gt;Hold_Yrs,0,G2972-IF(4&gt;Debt_Yr,0,(F3275-0.5*IF(4=Debt_Yr,0,F3578))*INDEX(Fin_Curve,1,4))-F3578-F3578*Fin_ExitFee)</f>
        <v>0</v>
      </c>
      <c r="H3881" s="71" t="n">
        <f aca="false">IF(5&gt;Hold_Yrs,0,H2972-IF(5&gt;Debt_Yr,0,(G3275-0.5*IF(5=Debt_Yr,0,G3578))*INDEX(Fin_Curve,1,5))-G3578-G3578*Fin_ExitFee)</f>
        <v>0</v>
      </c>
      <c r="I3881" s="71" t="n">
        <f aca="false">IF(6&gt;Hold_Yrs,0,I2972-IF(6&gt;Debt_Yr,0,(H3275-0.5*IF(6=Debt_Yr,0,H3578))*INDEX(Fin_Curve,1,6))-H3578-H3578*Fin_ExitFee)</f>
        <v>0</v>
      </c>
      <c r="J3881" s="71" t="n">
        <f aca="false">IF(7&gt;Hold_Yrs,0,J2972-IF(7&gt;Debt_Yr,0,(I3275-0.5*IF(7=Debt_Yr,0,I3578))*INDEX(Fin_Curve,1,7))-I3578-I3578*Fin_ExitFee)</f>
        <v>0</v>
      </c>
      <c r="K3881" s="71" t="n">
        <f aca="false">IF(8&gt;Hold_Yrs,0,K2972-IF(8&gt;Debt_Yr,0,(J3275-0.5*IF(8=Debt_Yr,0,J3578))*INDEX(Fin_Curve,1,8))-J3578-J3578*Fin_ExitFee)</f>
        <v>0</v>
      </c>
      <c r="L3881" s="71" t="n">
        <f aca="false">IF(9&gt;Hold_Yrs,0,L2972-IF(9&gt;Debt_Yr,0,(K3275-0.5*IF(9=Debt_Yr,0,K3578))*INDEX(Fin_Curve,1,9))-K3578-K3578*Fin_ExitFee)</f>
        <v>0</v>
      </c>
      <c r="M3881" s="71" t="n">
        <f aca="false">IF(10&gt;Hold_Yrs,0,M2972-IF(10&gt;Debt_Yr,0,(L3275-0.5*IF(10=Debt_Yr,0,L3578))*INDEX(Fin_Curve,1,10))-L3578-L3578*Fin_ExitFee)</f>
        <v>0</v>
      </c>
    </row>
    <row r="3882" customFormat="false" ht="15" hidden="false" customHeight="false" outlineLevel="0" collapsed="false">
      <c r="B3882" s="102" t="n">
        <f aca="false">'Loan Tape'!$A242</f>
        <v>0</v>
      </c>
      <c r="C3882" s="99" t="n">
        <f aca="false">-'Loan Tape'!$BE242</f>
        <v>-0</v>
      </c>
      <c r="D3882" s="99" t="n">
        <f aca="false">IF(1&gt;Hold_Yrs,0,D2973-IF(1&gt;Debt_Yr,0,(C3276-0.5*IF(1=Debt_Yr,0,C3579))*INDEX(Fin_Curve,1,1))-C3579-C3579*Fin_ExitFee)</f>
        <v>0</v>
      </c>
      <c r="E3882" s="99" t="n">
        <f aca="false">IF(2&gt;Hold_Yrs,0,E2973-IF(2&gt;Debt_Yr,0,(D3276-0.5*IF(2=Debt_Yr,0,D3579))*INDEX(Fin_Curve,1,2))-D3579-D3579*Fin_ExitFee)</f>
        <v>0</v>
      </c>
      <c r="F3882" s="99" t="n">
        <f aca="false">IF(3&gt;Hold_Yrs,0,F2973-IF(3&gt;Debt_Yr,0,(E3276-0.5*IF(3=Debt_Yr,0,E3579))*INDEX(Fin_Curve,1,3))-E3579-E3579*Fin_ExitFee)</f>
        <v>0</v>
      </c>
      <c r="G3882" s="99" t="n">
        <f aca="false">IF(4&gt;Hold_Yrs,0,G2973-IF(4&gt;Debt_Yr,0,(F3276-0.5*IF(4=Debt_Yr,0,F3579))*INDEX(Fin_Curve,1,4))-F3579-F3579*Fin_ExitFee)</f>
        <v>0</v>
      </c>
      <c r="H3882" s="99" t="n">
        <f aca="false">IF(5&gt;Hold_Yrs,0,H2973-IF(5&gt;Debt_Yr,0,(G3276-0.5*IF(5=Debt_Yr,0,G3579))*INDEX(Fin_Curve,1,5))-G3579-G3579*Fin_ExitFee)</f>
        <v>0</v>
      </c>
      <c r="I3882" s="99" t="n">
        <f aca="false">IF(6&gt;Hold_Yrs,0,I2973-IF(6&gt;Debt_Yr,0,(H3276-0.5*IF(6=Debt_Yr,0,H3579))*INDEX(Fin_Curve,1,6))-H3579-H3579*Fin_ExitFee)</f>
        <v>0</v>
      </c>
      <c r="J3882" s="99" t="n">
        <f aca="false">IF(7&gt;Hold_Yrs,0,J2973-IF(7&gt;Debt_Yr,0,(I3276-0.5*IF(7=Debt_Yr,0,I3579))*INDEX(Fin_Curve,1,7))-I3579-I3579*Fin_ExitFee)</f>
        <v>0</v>
      </c>
      <c r="K3882" s="99" t="n">
        <f aca="false">IF(8&gt;Hold_Yrs,0,K2973-IF(8&gt;Debt_Yr,0,(J3276-0.5*IF(8=Debt_Yr,0,J3579))*INDEX(Fin_Curve,1,8))-J3579-J3579*Fin_ExitFee)</f>
        <v>0</v>
      </c>
      <c r="L3882" s="99" t="n">
        <f aca="false">IF(9&gt;Hold_Yrs,0,L2973-IF(9&gt;Debt_Yr,0,(K3276-0.5*IF(9=Debt_Yr,0,K3579))*INDEX(Fin_Curve,1,9))-K3579-K3579*Fin_ExitFee)</f>
        <v>0</v>
      </c>
      <c r="M3882" s="99" t="n">
        <f aca="false">IF(10&gt;Hold_Yrs,0,M2973-IF(10&gt;Debt_Yr,0,(L3276-0.5*IF(10=Debt_Yr,0,L3579))*INDEX(Fin_Curve,1,10))-L3579-L3579*Fin_ExitFee)</f>
        <v>0</v>
      </c>
    </row>
    <row r="3883" customFormat="false" ht="15" hidden="false" customHeight="false" outlineLevel="0" collapsed="false">
      <c r="B3883" s="108" t="n">
        <f aca="false">'Loan Tape'!$A243</f>
        <v>0</v>
      </c>
      <c r="C3883" s="71" t="n">
        <f aca="false">-'Loan Tape'!$BE243</f>
        <v>-0</v>
      </c>
      <c r="D3883" s="71" t="n">
        <f aca="false">IF(1&gt;Hold_Yrs,0,D2974-IF(1&gt;Debt_Yr,0,(C3277-0.5*IF(1=Debt_Yr,0,C3580))*INDEX(Fin_Curve,1,1))-C3580-C3580*Fin_ExitFee)</f>
        <v>0</v>
      </c>
      <c r="E3883" s="71" t="n">
        <f aca="false">IF(2&gt;Hold_Yrs,0,E2974-IF(2&gt;Debt_Yr,0,(D3277-0.5*IF(2=Debt_Yr,0,D3580))*INDEX(Fin_Curve,1,2))-D3580-D3580*Fin_ExitFee)</f>
        <v>0</v>
      </c>
      <c r="F3883" s="71" t="n">
        <f aca="false">IF(3&gt;Hold_Yrs,0,F2974-IF(3&gt;Debt_Yr,0,(E3277-0.5*IF(3=Debt_Yr,0,E3580))*INDEX(Fin_Curve,1,3))-E3580-E3580*Fin_ExitFee)</f>
        <v>0</v>
      </c>
      <c r="G3883" s="71" t="n">
        <f aca="false">IF(4&gt;Hold_Yrs,0,G2974-IF(4&gt;Debt_Yr,0,(F3277-0.5*IF(4=Debt_Yr,0,F3580))*INDEX(Fin_Curve,1,4))-F3580-F3580*Fin_ExitFee)</f>
        <v>0</v>
      </c>
      <c r="H3883" s="71" t="n">
        <f aca="false">IF(5&gt;Hold_Yrs,0,H2974-IF(5&gt;Debt_Yr,0,(G3277-0.5*IF(5=Debt_Yr,0,G3580))*INDEX(Fin_Curve,1,5))-G3580-G3580*Fin_ExitFee)</f>
        <v>0</v>
      </c>
      <c r="I3883" s="71" t="n">
        <f aca="false">IF(6&gt;Hold_Yrs,0,I2974-IF(6&gt;Debt_Yr,0,(H3277-0.5*IF(6=Debt_Yr,0,H3580))*INDEX(Fin_Curve,1,6))-H3580-H3580*Fin_ExitFee)</f>
        <v>0</v>
      </c>
      <c r="J3883" s="71" t="n">
        <f aca="false">IF(7&gt;Hold_Yrs,0,J2974-IF(7&gt;Debt_Yr,0,(I3277-0.5*IF(7=Debt_Yr,0,I3580))*INDEX(Fin_Curve,1,7))-I3580-I3580*Fin_ExitFee)</f>
        <v>0</v>
      </c>
      <c r="K3883" s="71" t="n">
        <f aca="false">IF(8&gt;Hold_Yrs,0,K2974-IF(8&gt;Debt_Yr,0,(J3277-0.5*IF(8=Debt_Yr,0,J3580))*INDEX(Fin_Curve,1,8))-J3580-J3580*Fin_ExitFee)</f>
        <v>0</v>
      </c>
      <c r="L3883" s="71" t="n">
        <f aca="false">IF(9&gt;Hold_Yrs,0,L2974-IF(9&gt;Debt_Yr,0,(K3277-0.5*IF(9=Debt_Yr,0,K3580))*INDEX(Fin_Curve,1,9))-K3580-K3580*Fin_ExitFee)</f>
        <v>0</v>
      </c>
      <c r="M3883" s="71" t="n">
        <f aca="false">IF(10&gt;Hold_Yrs,0,M2974-IF(10&gt;Debt_Yr,0,(L3277-0.5*IF(10=Debt_Yr,0,L3580))*INDEX(Fin_Curve,1,10))-L3580-L3580*Fin_ExitFee)</f>
        <v>0</v>
      </c>
    </row>
    <row r="3884" customFormat="false" ht="15" hidden="false" customHeight="false" outlineLevel="0" collapsed="false">
      <c r="B3884" s="102" t="n">
        <f aca="false">'Loan Tape'!$A244</f>
        <v>0</v>
      </c>
      <c r="C3884" s="99" t="n">
        <f aca="false">-'Loan Tape'!$BE244</f>
        <v>-0</v>
      </c>
      <c r="D3884" s="99" t="n">
        <f aca="false">IF(1&gt;Hold_Yrs,0,D2975-IF(1&gt;Debt_Yr,0,(C3278-0.5*IF(1=Debt_Yr,0,C3581))*INDEX(Fin_Curve,1,1))-C3581-C3581*Fin_ExitFee)</f>
        <v>0</v>
      </c>
      <c r="E3884" s="99" t="n">
        <f aca="false">IF(2&gt;Hold_Yrs,0,E2975-IF(2&gt;Debt_Yr,0,(D3278-0.5*IF(2=Debt_Yr,0,D3581))*INDEX(Fin_Curve,1,2))-D3581-D3581*Fin_ExitFee)</f>
        <v>0</v>
      </c>
      <c r="F3884" s="99" t="n">
        <f aca="false">IF(3&gt;Hold_Yrs,0,F2975-IF(3&gt;Debt_Yr,0,(E3278-0.5*IF(3=Debt_Yr,0,E3581))*INDEX(Fin_Curve,1,3))-E3581-E3581*Fin_ExitFee)</f>
        <v>0</v>
      </c>
      <c r="G3884" s="99" t="n">
        <f aca="false">IF(4&gt;Hold_Yrs,0,G2975-IF(4&gt;Debt_Yr,0,(F3278-0.5*IF(4=Debt_Yr,0,F3581))*INDEX(Fin_Curve,1,4))-F3581-F3581*Fin_ExitFee)</f>
        <v>0</v>
      </c>
      <c r="H3884" s="99" t="n">
        <f aca="false">IF(5&gt;Hold_Yrs,0,H2975-IF(5&gt;Debt_Yr,0,(G3278-0.5*IF(5=Debt_Yr,0,G3581))*INDEX(Fin_Curve,1,5))-G3581-G3581*Fin_ExitFee)</f>
        <v>0</v>
      </c>
      <c r="I3884" s="99" t="n">
        <f aca="false">IF(6&gt;Hold_Yrs,0,I2975-IF(6&gt;Debt_Yr,0,(H3278-0.5*IF(6=Debt_Yr,0,H3581))*INDEX(Fin_Curve,1,6))-H3581-H3581*Fin_ExitFee)</f>
        <v>0</v>
      </c>
      <c r="J3884" s="99" t="n">
        <f aca="false">IF(7&gt;Hold_Yrs,0,J2975-IF(7&gt;Debt_Yr,0,(I3278-0.5*IF(7=Debt_Yr,0,I3581))*INDEX(Fin_Curve,1,7))-I3581-I3581*Fin_ExitFee)</f>
        <v>0</v>
      </c>
      <c r="K3884" s="99" t="n">
        <f aca="false">IF(8&gt;Hold_Yrs,0,K2975-IF(8&gt;Debt_Yr,0,(J3278-0.5*IF(8=Debt_Yr,0,J3581))*INDEX(Fin_Curve,1,8))-J3581-J3581*Fin_ExitFee)</f>
        <v>0</v>
      </c>
      <c r="L3884" s="99" t="n">
        <f aca="false">IF(9&gt;Hold_Yrs,0,L2975-IF(9&gt;Debt_Yr,0,(K3278-0.5*IF(9=Debt_Yr,0,K3581))*INDEX(Fin_Curve,1,9))-K3581-K3581*Fin_ExitFee)</f>
        <v>0</v>
      </c>
      <c r="M3884" s="99" t="n">
        <f aca="false">IF(10&gt;Hold_Yrs,0,M2975-IF(10&gt;Debt_Yr,0,(L3278-0.5*IF(10=Debt_Yr,0,L3581))*INDEX(Fin_Curve,1,10))-L3581-L3581*Fin_ExitFee)</f>
        <v>0</v>
      </c>
    </row>
    <row r="3885" customFormat="false" ht="15" hidden="false" customHeight="false" outlineLevel="0" collapsed="false">
      <c r="B3885" s="108" t="n">
        <f aca="false">'Loan Tape'!$A245</f>
        <v>0</v>
      </c>
      <c r="C3885" s="71" t="n">
        <f aca="false">-'Loan Tape'!$BE245</f>
        <v>-0</v>
      </c>
      <c r="D3885" s="71" t="n">
        <f aca="false">IF(1&gt;Hold_Yrs,0,D2976-IF(1&gt;Debt_Yr,0,(C3279-0.5*IF(1=Debt_Yr,0,C3582))*INDEX(Fin_Curve,1,1))-C3582-C3582*Fin_ExitFee)</f>
        <v>0</v>
      </c>
      <c r="E3885" s="71" t="n">
        <f aca="false">IF(2&gt;Hold_Yrs,0,E2976-IF(2&gt;Debt_Yr,0,(D3279-0.5*IF(2=Debt_Yr,0,D3582))*INDEX(Fin_Curve,1,2))-D3582-D3582*Fin_ExitFee)</f>
        <v>0</v>
      </c>
      <c r="F3885" s="71" t="n">
        <f aca="false">IF(3&gt;Hold_Yrs,0,F2976-IF(3&gt;Debt_Yr,0,(E3279-0.5*IF(3=Debt_Yr,0,E3582))*INDEX(Fin_Curve,1,3))-E3582-E3582*Fin_ExitFee)</f>
        <v>0</v>
      </c>
      <c r="G3885" s="71" t="n">
        <f aca="false">IF(4&gt;Hold_Yrs,0,G2976-IF(4&gt;Debt_Yr,0,(F3279-0.5*IF(4=Debt_Yr,0,F3582))*INDEX(Fin_Curve,1,4))-F3582-F3582*Fin_ExitFee)</f>
        <v>0</v>
      </c>
      <c r="H3885" s="71" t="n">
        <f aca="false">IF(5&gt;Hold_Yrs,0,H2976-IF(5&gt;Debt_Yr,0,(G3279-0.5*IF(5=Debt_Yr,0,G3582))*INDEX(Fin_Curve,1,5))-G3582-G3582*Fin_ExitFee)</f>
        <v>0</v>
      </c>
      <c r="I3885" s="71" t="n">
        <f aca="false">IF(6&gt;Hold_Yrs,0,I2976-IF(6&gt;Debt_Yr,0,(H3279-0.5*IF(6=Debt_Yr,0,H3582))*INDEX(Fin_Curve,1,6))-H3582-H3582*Fin_ExitFee)</f>
        <v>0</v>
      </c>
      <c r="J3885" s="71" t="n">
        <f aca="false">IF(7&gt;Hold_Yrs,0,J2976-IF(7&gt;Debt_Yr,0,(I3279-0.5*IF(7=Debt_Yr,0,I3582))*INDEX(Fin_Curve,1,7))-I3582-I3582*Fin_ExitFee)</f>
        <v>0</v>
      </c>
      <c r="K3885" s="71" t="n">
        <f aca="false">IF(8&gt;Hold_Yrs,0,K2976-IF(8&gt;Debt_Yr,0,(J3279-0.5*IF(8=Debt_Yr,0,J3582))*INDEX(Fin_Curve,1,8))-J3582-J3582*Fin_ExitFee)</f>
        <v>0</v>
      </c>
      <c r="L3885" s="71" t="n">
        <f aca="false">IF(9&gt;Hold_Yrs,0,L2976-IF(9&gt;Debt_Yr,0,(K3279-0.5*IF(9=Debt_Yr,0,K3582))*INDEX(Fin_Curve,1,9))-K3582-K3582*Fin_ExitFee)</f>
        <v>0</v>
      </c>
      <c r="M3885" s="71" t="n">
        <f aca="false">IF(10&gt;Hold_Yrs,0,M2976-IF(10&gt;Debt_Yr,0,(L3279-0.5*IF(10=Debt_Yr,0,L3582))*INDEX(Fin_Curve,1,10))-L3582-L3582*Fin_ExitFee)</f>
        <v>0</v>
      </c>
    </row>
    <row r="3886" customFormat="false" ht="15" hidden="false" customHeight="false" outlineLevel="0" collapsed="false">
      <c r="B3886" s="102" t="n">
        <f aca="false">'Loan Tape'!$A246</f>
        <v>0</v>
      </c>
      <c r="C3886" s="99" t="n">
        <f aca="false">-'Loan Tape'!$BE246</f>
        <v>-0</v>
      </c>
      <c r="D3886" s="99" t="n">
        <f aca="false">IF(1&gt;Hold_Yrs,0,D2977-IF(1&gt;Debt_Yr,0,(C3280-0.5*IF(1=Debt_Yr,0,C3583))*INDEX(Fin_Curve,1,1))-C3583-C3583*Fin_ExitFee)</f>
        <v>0</v>
      </c>
      <c r="E3886" s="99" t="n">
        <f aca="false">IF(2&gt;Hold_Yrs,0,E2977-IF(2&gt;Debt_Yr,0,(D3280-0.5*IF(2=Debt_Yr,0,D3583))*INDEX(Fin_Curve,1,2))-D3583-D3583*Fin_ExitFee)</f>
        <v>0</v>
      </c>
      <c r="F3886" s="99" t="n">
        <f aca="false">IF(3&gt;Hold_Yrs,0,F2977-IF(3&gt;Debt_Yr,0,(E3280-0.5*IF(3=Debt_Yr,0,E3583))*INDEX(Fin_Curve,1,3))-E3583-E3583*Fin_ExitFee)</f>
        <v>0</v>
      </c>
      <c r="G3886" s="99" t="n">
        <f aca="false">IF(4&gt;Hold_Yrs,0,G2977-IF(4&gt;Debt_Yr,0,(F3280-0.5*IF(4=Debt_Yr,0,F3583))*INDEX(Fin_Curve,1,4))-F3583-F3583*Fin_ExitFee)</f>
        <v>0</v>
      </c>
      <c r="H3886" s="99" t="n">
        <f aca="false">IF(5&gt;Hold_Yrs,0,H2977-IF(5&gt;Debt_Yr,0,(G3280-0.5*IF(5=Debt_Yr,0,G3583))*INDEX(Fin_Curve,1,5))-G3583-G3583*Fin_ExitFee)</f>
        <v>0</v>
      </c>
      <c r="I3886" s="99" t="n">
        <f aca="false">IF(6&gt;Hold_Yrs,0,I2977-IF(6&gt;Debt_Yr,0,(H3280-0.5*IF(6=Debt_Yr,0,H3583))*INDEX(Fin_Curve,1,6))-H3583-H3583*Fin_ExitFee)</f>
        <v>0</v>
      </c>
      <c r="J3886" s="99" t="n">
        <f aca="false">IF(7&gt;Hold_Yrs,0,J2977-IF(7&gt;Debt_Yr,0,(I3280-0.5*IF(7=Debt_Yr,0,I3583))*INDEX(Fin_Curve,1,7))-I3583-I3583*Fin_ExitFee)</f>
        <v>0</v>
      </c>
      <c r="K3886" s="99" t="n">
        <f aca="false">IF(8&gt;Hold_Yrs,0,K2977-IF(8&gt;Debt_Yr,0,(J3280-0.5*IF(8=Debt_Yr,0,J3583))*INDEX(Fin_Curve,1,8))-J3583-J3583*Fin_ExitFee)</f>
        <v>0</v>
      </c>
      <c r="L3886" s="99" t="n">
        <f aca="false">IF(9&gt;Hold_Yrs,0,L2977-IF(9&gt;Debt_Yr,0,(K3280-0.5*IF(9=Debt_Yr,0,K3583))*INDEX(Fin_Curve,1,9))-K3583-K3583*Fin_ExitFee)</f>
        <v>0</v>
      </c>
      <c r="M3886" s="99" t="n">
        <f aca="false">IF(10&gt;Hold_Yrs,0,M2977-IF(10&gt;Debt_Yr,0,(L3280-0.5*IF(10=Debt_Yr,0,L3583))*INDEX(Fin_Curve,1,10))-L3583-L3583*Fin_ExitFee)</f>
        <v>0</v>
      </c>
    </row>
    <row r="3887" customFormat="false" ht="15" hidden="false" customHeight="false" outlineLevel="0" collapsed="false">
      <c r="B3887" s="108" t="n">
        <f aca="false">'Loan Tape'!$A247</f>
        <v>0</v>
      </c>
      <c r="C3887" s="71" t="n">
        <f aca="false">-'Loan Tape'!$BE247</f>
        <v>-0</v>
      </c>
      <c r="D3887" s="71" t="n">
        <f aca="false">IF(1&gt;Hold_Yrs,0,D2978-IF(1&gt;Debt_Yr,0,(C3281-0.5*IF(1=Debt_Yr,0,C3584))*INDEX(Fin_Curve,1,1))-C3584-C3584*Fin_ExitFee)</f>
        <v>0</v>
      </c>
      <c r="E3887" s="71" t="n">
        <f aca="false">IF(2&gt;Hold_Yrs,0,E2978-IF(2&gt;Debt_Yr,0,(D3281-0.5*IF(2=Debt_Yr,0,D3584))*INDEX(Fin_Curve,1,2))-D3584-D3584*Fin_ExitFee)</f>
        <v>0</v>
      </c>
      <c r="F3887" s="71" t="n">
        <f aca="false">IF(3&gt;Hold_Yrs,0,F2978-IF(3&gt;Debt_Yr,0,(E3281-0.5*IF(3=Debt_Yr,0,E3584))*INDEX(Fin_Curve,1,3))-E3584-E3584*Fin_ExitFee)</f>
        <v>0</v>
      </c>
      <c r="G3887" s="71" t="n">
        <f aca="false">IF(4&gt;Hold_Yrs,0,G2978-IF(4&gt;Debt_Yr,0,(F3281-0.5*IF(4=Debt_Yr,0,F3584))*INDEX(Fin_Curve,1,4))-F3584-F3584*Fin_ExitFee)</f>
        <v>0</v>
      </c>
      <c r="H3887" s="71" t="n">
        <f aca="false">IF(5&gt;Hold_Yrs,0,H2978-IF(5&gt;Debt_Yr,0,(G3281-0.5*IF(5=Debt_Yr,0,G3584))*INDEX(Fin_Curve,1,5))-G3584-G3584*Fin_ExitFee)</f>
        <v>0</v>
      </c>
      <c r="I3887" s="71" t="n">
        <f aca="false">IF(6&gt;Hold_Yrs,0,I2978-IF(6&gt;Debt_Yr,0,(H3281-0.5*IF(6=Debt_Yr,0,H3584))*INDEX(Fin_Curve,1,6))-H3584-H3584*Fin_ExitFee)</f>
        <v>0</v>
      </c>
      <c r="J3887" s="71" t="n">
        <f aca="false">IF(7&gt;Hold_Yrs,0,J2978-IF(7&gt;Debt_Yr,0,(I3281-0.5*IF(7=Debt_Yr,0,I3584))*INDEX(Fin_Curve,1,7))-I3584-I3584*Fin_ExitFee)</f>
        <v>0</v>
      </c>
      <c r="K3887" s="71" t="n">
        <f aca="false">IF(8&gt;Hold_Yrs,0,K2978-IF(8&gt;Debt_Yr,0,(J3281-0.5*IF(8=Debt_Yr,0,J3584))*INDEX(Fin_Curve,1,8))-J3584-J3584*Fin_ExitFee)</f>
        <v>0</v>
      </c>
      <c r="L3887" s="71" t="n">
        <f aca="false">IF(9&gt;Hold_Yrs,0,L2978-IF(9&gt;Debt_Yr,0,(K3281-0.5*IF(9=Debt_Yr,0,K3584))*INDEX(Fin_Curve,1,9))-K3584-K3584*Fin_ExitFee)</f>
        <v>0</v>
      </c>
      <c r="M3887" s="71" t="n">
        <f aca="false">IF(10&gt;Hold_Yrs,0,M2978-IF(10&gt;Debt_Yr,0,(L3281-0.5*IF(10=Debt_Yr,0,L3584))*INDEX(Fin_Curve,1,10))-L3584-L3584*Fin_ExitFee)</f>
        <v>0</v>
      </c>
    </row>
    <row r="3888" customFormat="false" ht="15" hidden="false" customHeight="false" outlineLevel="0" collapsed="false">
      <c r="B3888" s="102" t="n">
        <f aca="false">'Loan Tape'!$A248</f>
        <v>0</v>
      </c>
      <c r="C3888" s="99" t="n">
        <f aca="false">-'Loan Tape'!$BE248</f>
        <v>-0</v>
      </c>
      <c r="D3888" s="99" t="n">
        <f aca="false">IF(1&gt;Hold_Yrs,0,D2979-IF(1&gt;Debt_Yr,0,(C3282-0.5*IF(1=Debt_Yr,0,C3585))*INDEX(Fin_Curve,1,1))-C3585-C3585*Fin_ExitFee)</f>
        <v>0</v>
      </c>
      <c r="E3888" s="99" t="n">
        <f aca="false">IF(2&gt;Hold_Yrs,0,E2979-IF(2&gt;Debt_Yr,0,(D3282-0.5*IF(2=Debt_Yr,0,D3585))*INDEX(Fin_Curve,1,2))-D3585-D3585*Fin_ExitFee)</f>
        <v>0</v>
      </c>
      <c r="F3888" s="99" t="n">
        <f aca="false">IF(3&gt;Hold_Yrs,0,F2979-IF(3&gt;Debt_Yr,0,(E3282-0.5*IF(3=Debt_Yr,0,E3585))*INDEX(Fin_Curve,1,3))-E3585-E3585*Fin_ExitFee)</f>
        <v>0</v>
      </c>
      <c r="G3888" s="99" t="n">
        <f aca="false">IF(4&gt;Hold_Yrs,0,G2979-IF(4&gt;Debt_Yr,0,(F3282-0.5*IF(4=Debt_Yr,0,F3585))*INDEX(Fin_Curve,1,4))-F3585-F3585*Fin_ExitFee)</f>
        <v>0</v>
      </c>
      <c r="H3888" s="99" t="n">
        <f aca="false">IF(5&gt;Hold_Yrs,0,H2979-IF(5&gt;Debt_Yr,0,(G3282-0.5*IF(5=Debt_Yr,0,G3585))*INDEX(Fin_Curve,1,5))-G3585-G3585*Fin_ExitFee)</f>
        <v>0</v>
      </c>
      <c r="I3888" s="99" t="n">
        <f aca="false">IF(6&gt;Hold_Yrs,0,I2979-IF(6&gt;Debt_Yr,0,(H3282-0.5*IF(6=Debt_Yr,0,H3585))*INDEX(Fin_Curve,1,6))-H3585-H3585*Fin_ExitFee)</f>
        <v>0</v>
      </c>
      <c r="J3888" s="99" t="n">
        <f aca="false">IF(7&gt;Hold_Yrs,0,J2979-IF(7&gt;Debt_Yr,0,(I3282-0.5*IF(7=Debt_Yr,0,I3585))*INDEX(Fin_Curve,1,7))-I3585-I3585*Fin_ExitFee)</f>
        <v>0</v>
      </c>
      <c r="K3888" s="99" t="n">
        <f aca="false">IF(8&gt;Hold_Yrs,0,K2979-IF(8&gt;Debt_Yr,0,(J3282-0.5*IF(8=Debt_Yr,0,J3585))*INDEX(Fin_Curve,1,8))-J3585-J3585*Fin_ExitFee)</f>
        <v>0</v>
      </c>
      <c r="L3888" s="99" t="n">
        <f aca="false">IF(9&gt;Hold_Yrs,0,L2979-IF(9&gt;Debt_Yr,0,(K3282-0.5*IF(9=Debt_Yr,0,K3585))*INDEX(Fin_Curve,1,9))-K3585-K3585*Fin_ExitFee)</f>
        <v>0</v>
      </c>
      <c r="M3888" s="99" t="n">
        <f aca="false">IF(10&gt;Hold_Yrs,0,M2979-IF(10&gt;Debt_Yr,0,(L3282-0.5*IF(10=Debt_Yr,0,L3585))*INDEX(Fin_Curve,1,10))-L3585-L3585*Fin_ExitFee)</f>
        <v>0</v>
      </c>
    </row>
    <row r="3889" customFormat="false" ht="15" hidden="false" customHeight="false" outlineLevel="0" collapsed="false">
      <c r="B3889" s="108" t="n">
        <f aca="false">'Loan Tape'!$A249</f>
        <v>0</v>
      </c>
      <c r="C3889" s="71" t="n">
        <f aca="false">-'Loan Tape'!$BE249</f>
        <v>-0</v>
      </c>
      <c r="D3889" s="71" t="n">
        <f aca="false">IF(1&gt;Hold_Yrs,0,D2980-IF(1&gt;Debt_Yr,0,(C3283-0.5*IF(1=Debt_Yr,0,C3586))*INDEX(Fin_Curve,1,1))-C3586-C3586*Fin_ExitFee)</f>
        <v>0</v>
      </c>
      <c r="E3889" s="71" t="n">
        <f aca="false">IF(2&gt;Hold_Yrs,0,E2980-IF(2&gt;Debt_Yr,0,(D3283-0.5*IF(2=Debt_Yr,0,D3586))*INDEX(Fin_Curve,1,2))-D3586-D3586*Fin_ExitFee)</f>
        <v>0</v>
      </c>
      <c r="F3889" s="71" t="n">
        <f aca="false">IF(3&gt;Hold_Yrs,0,F2980-IF(3&gt;Debt_Yr,0,(E3283-0.5*IF(3=Debt_Yr,0,E3586))*INDEX(Fin_Curve,1,3))-E3586-E3586*Fin_ExitFee)</f>
        <v>0</v>
      </c>
      <c r="G3889" s="71" t="n">
        <f aca="false">IF(4&gt;Hold_Yrs,0,G2980-IF(4&gt;Debt_Yr,0,(F3283-0.5*IF(4=Debt_Yr,0,F3586))*INDEX(Fin_Curve,1,4))-F3586-F3586*Fin_ExitFee)</f>
        <v>0</v>
      </c>
      <c r="H3889" s="71" t="n">
        <f aca="false">IF(5&gt;Hold_Yrs,0,H2980-IF(5&gt;Debt_Yr,0,(G3283-0.5*IF(5=Debt_Yr,0,G3586))*INDEX(Fin_Curve,1,5))-G3586-G3586*Fin_ExitFee)</f>
        <v>0</v>
      </c>
      <c r="I3889" s="71" t="n">
        <f aca="false">IF(6&gt;Hold_Yrs,0,I2980-IF(6&gt;Debt_Yr,0,(H3283-0.5*IF(6=Debt_Yr,0,H3586))*INDEX(Fin_Curve,1,6))-H3586-H3586*Fin_ExitFee)</f>
        <v>0</v>
      </c>
      <c r="J3889" s="71" t="n">
        <f aca="false">IF(7&gt;Hold_Yrs,0,J2980-IF(7&gt;Debt_Yr,0,(I3283-0.5*IF(7=Debt_Yr,0,I3586))*INDEX(Fin_Curve,1,7))-I3586-I3586*Fin_ExitFee)</f>
        <v>0</v>
      </c>
      <c r="K3889" s="71" t="n">
        <f aca="false">IF(8&gt;Hold_Yrs,0,K2980-IF(8&gt;Debt_Yr,0,(J3283-0.5*IF(8=Debt_Yr,0,J3586))*INDEX(Fin_Curve,1,8))-J3586-J3586*Fin_ExitFee)</f>
        <v>0</v>
      </c>
      <c r="L3889" s="71" t="n">
        <f aca="false">IF(9&gt;Hold_Yrs,0,L2980-IF(9&gt;Debt_Yr,0,(K3283-0.5*IF(9=Debt_Yr,0,K3586))*INDEX(Fin_Curve,1,9))-K3586-K3586*Fin_ExitFee)</f>
        <v>0</v>
      </c>
      <c r="M3889" s="71" t="n">
        <f aca="false">IF(10&gt;Hold_Yrs,0,M2980-IF(10&gt;Debt_Yr,0,(L3283-0.5*IF(10=Debt_Yr,0,L3586))*INDEX(Fin_Curve,1,10))-L3586-L3586*Fin_ExitFee)</f>
        <v>0</v>
      </c>
    </row>
    <row r="3890" customFormat="false" ht="15" hidden="false" customHeight="false" outlineLevel="0" collapsed="false">
      <c r="B3890" s="102" t="n">
        <f aca="false">'Loan Tape'!$A250</f>
        <v>0</v>
      </c>
      <c r="C3890" s="99" t="n">
        <f aca="false">-'Loan Tape'!$BE250</f>
        <v>-0</v>
      </c>
      <c r="D3890" s="99" t="n">
        <f aca="false">IF(1&gt;Hold_Yrs,0,D2981-IF(1&gt;Debt_Yr,0,(C3284-0.5*IF(1=Debt_Yr,0,C3587))*INDEX(Fin_Curve,1,1))-C3587-C3587*Fin_ExitFee)</f>
        <v>0</v>
      </c>
      <c r="E3890" s="99" t="n">
        <f aca="false">IF(2&gt;Hold_Yrs,0,E2981-IF(2&gt;Debt_Yr,0,(D3284-0.5*IF(2=Debt_Yr,0,D3587))*INDEX(Fin_Curve,1,2))-D3587-D3587*Fin_ExitFee)</f>
        <v>0</v>
      </c>
      <c r="F3890" s="99" t="n">
        <f aca="false">IF(3&gt;Hold_Yrs,0,F2981-IF(3&gt;Debt_Yr,0,(E3284-0.5*IF(3=Debt_Yr,0,E3587))*INDEX(Fin_Curve,1,3))-E3587-E3587*Fin_ExitFee)</f>
        <v>0</v>
      </c>
      <c r="G3890" s="99" t="n">
        <f aca="false">IF(4&gt;Hold_Yrs,0,G2981-IF(4&gt;Debt_Yr,0,(F3284-0.5*IF(4=Debt_Yr,0,F3587))*INDEX(Fin_Curve,1,4))-F3587-F3587*Fin_ExitFee)</f>
        <v>0</v>
      </c>
      <c r="H3890" s="99" t="n">
        <f aca="false">IF(5&gt;Hold_Yrs,0,H2981-IF(5&gt;Debt_Yr,0,(G3284-0.5*IF(5=Debt_Yr,0,G3587))*INDEX(Fin_Curve,1,5))-G3587-G3587*Fin_ExitFee)</f>
        <v>0</v>
      </c>
      <c r="I3890" s="99" t="n">
        <f aca="false">IF(6&gt;Hold_Yrs,0,I2981-IF(6&gt;Debt_Yr,0,(H3284-0.5*IF(6=Debt_Yr,0,H3587))*INDEX(Fin_Curve,1,6))-H3587-H3587*Fin_ExitFee)</f>
        <v>0</v>
      </c>
      <c r="J3890" s="99" t="n">
        <f aca="false">IF(7&gt;Hold_Yrs,0,J2981-IF(7&gt;Debt_Yr,0,(I3284-0.5*IF(7=Debt_Yr,0,I3587))*INDEX(Fin_Curve,1,7))-I3587-I3587*Fin_ExitFee)</f>
        <v>0</v>
      </c>
      <c r="K3890" s="99" t="n">
        <f aca="false">IF(8&gt;Hold_Yrs,0,K2981-IF(8&gt;Debt_Yr,0,(J3284-0.5*IF(8=Debt_Yr,0,J3587))*INDEX(Fin_Curve,1,8))-J3587-J3587*Fin_ExitFee)</f>
        <v>0</v>
      </c>
      <c r="L3890" s="99" t="n">
        <f aca="false">IF(9&gt;Hold_Yrs,0,L2981-IF(9&gt;Debt_Yr,0,(K3284-0.5*IF(9=Debt_Yr,0,K3587))*INDEX(Fin_Curve,1,9))-K3587-K3587*Fin_ExitFee)</f>
        <v>0</v>
      </c>
      <c r="M3890" s="99" t="n">
        <f aca="false">IF(10&gt;Hold_Yrs,0,M2981-IF(10&gt;Debt_Yr,0,(L3284-0.5*IF(10=Debt_Yr,0,L3587))*INDEX(Fin_Curve,1,10))-L3587-L3587*Fin_ExitFee)</f>
        <v>0</v>
      </c>
    </row>
    <row r="3891" customFormat="false" ht="15" hidden="false" customHeight="false" outlineLevel="0" collapsed="false">
      <c r="B3891" s="108" t="n">
        <f aca="false">'Loan Tape'!$A251</f>
        <v>0</v>
      </c>
      <c r="C3891" s="71" t="n">
        <f aca="false">-'Loan Tape'!$BE251</f>
        <v>-0</v>
      </c>
      <c r="D3891" s="71" t="n">
        <f aca="false">IF(1&gt;Hold_Yrs,0,D2982-IF(1&gt;Debt_Yr,0,(C3285-0.5*IF(1=Debt_Yr,0,C3588))*INDEX(Fin_Curve,1,1))-C3588-C3588*Fin_ExitFee)</f>
        <v>0</v>
      </c>
      <c r="E3891" s="71" t="n">
        <f aca="false">IF(2&gt;Hold_Yrs,0,E2982-IF(2&gt;Debt_Yr,0,(D3285-0.5*IF(2=Debt_Yr,0,D3588))*INDEX(Fin_Curve,1,2))-D3588-D3588*Fin_ExitFee)</f>
        <v>0</v>
      </c>
      <c r="F3891" s="71" t="n">
        <f aca="false">IF(3&gt;Hold_Yrs,0,F2982-IF(3&gt;Debt_Yr,0,(E3285-0.5*IF(3=Debt_Yr,0,E3588))*INDEX(Fin_Curve,1,3))-E3588-E3588*Fin_ExitFee)</f>
        <v>0</v>
      </c>
      <c r="G3891" s="71" t="n">
        <f aca="false">IF(4&gt;Hold_Yrs,0,G2982-IF(4&gt;Debt_Yr,0,(F3285-0.5*IF(4=Debt_Yr,0,F3588))*INDEX(Fin_Curve,1,4))-F3588-F3588*Fin_ExitFee)</f>
        <v>0</v>
      </c>
      <c r="H3891" s="71" t="n">
        <f aca="false">IF(5&gt;Hold_Yrs,0,H2982-IF(5&gt;Debt_Yr,0,(G3285-0.5*IF(5=Debt_Yr,0,G3588))*INDEX(Fin_Curve,1,5))-G3588-G3588*Fin_ExitFee)</f>
        <v>0</v>
      </c>
      <c r="I3891" s="71" t="n">
        <f aca="false">IF(6&gt;Hold_Yrs,0,I2982-IF(6&gt;Debt_Yr,0,(H3285-0.5*IF(6=Debt_Yr,0,H3588))*INDEX(Fin_Curve,1,6))-H3588-H3588*Fin_ExitFee)</f>
        <v>0</v>
      </c>
      <c r="J3891" s="71" t="n">
        <f aca="false">IF(7&gt;Hold_Yrs,0,J2982-IF(7&gt;Debt_Yr,0,(I3285-0.5*IF(7=Debt_Yr,0,I3588))*INDEX(Fin_Curve,1,7))-I3588-I3588*Fin_ExitFee)</f>
        <v>0</v>
      </c>
      <c r="K3891" s="71" t="n">
        <f aca="false">IF(8&gt;Hold_Yrs,0,K2982-IF(8&gt;Debt_Yr,0,(J3285-0.5*IF(8=Debt_Yr,0,J3588))*INDEX(Fin_Curve,1,8))-J3588-J3588*Fin_ExitFee)</f>
        <v>0</v>
      </c>
      <c r="L3891" s="71" t="n">
        <f aca="false">IF(9&gt;Hold_Yrs,0,L2982-IF(9&gt;Debt_Yr,0,(K3285-0.5*IF(9=Debt_Yr,0,K3588))*INDEX(Fin_Curve,1,9))-K3588-K3588*Fin_ExitFee)</f>
        <v>0</v>
      </c>
      <c r="M3891" s="71" t="n">
        <f aca="false">IF(10&gt;Hold_Yrs,0,M2982-IF(10&gt;Debt_Yr,0,(L3285-0.5*IF(10=Debt_Yr,0,L3588))*INDEX(Fin_Curve,1,10))-L3588-L3588*Fin_ExitFee)</f>
        <v>0</v>
      </c>
    </row>
    <row r="3892" customFormat="false" ht="15" hidden="false" customHeight="false" outlineLevel="0" collapsed="false">
      <c r="B3892" s="102" t="n">
        <f aca="false">'Loan Tape'!$A252</f>
        <v>0</v>
      </c>
      <c r="C3892" s="99" t="n">
        <f aca="false">-'Loan Tape'!$BE252</f>
        <v>-0</v>
      </c>
      <c r="D3892" s="99" t="n">
        <f aca="false">IF(1&gt;Hold_Yrs,0,D2983-IF(1&gt;Debt_Yr,0,(C3286-0.5*IF(1=Debt_Yr,0,C3589))*INDEX(Fin_Curve,1,1))-C3589-C3589*Fin_ExitFee)</f>
        <v>0</v>
      </c>
      <c r="E3892" s="99" t="n">
        <f aca="false">IF(2&gt;Hold_Yrs,0,E2983-IF(2&gt;Debt_Yr,0,(D3286-0.5*IF(2=Debt_Yr,0,D3589))*INDEX(Fin_Curve,1,2))-D3589-D3589*Fin_ExitFee)</f>
        <v>0</v>
      </c>
      <c r="F3892" s="99" t="n">
        <f aca="false">IF(3&gt;Hold_Yrs,0,F2983-IF(3&gt;Debt_Yr,0,(E3286-0.5*IF(3=Debt_Yr,0,E3589))*INDEX(Fin_Curve,1,3))-E3589-E3589*Fin_ExitFee)</f>
        <v>0</v>
      </c>
      <c r="G3892" s="99" t="n">
        <f aca="false">IF(4&gt;Hold_Yrs,0,G2983-IF(4&gt;Debt_Yr,0,(F3286-0.5*IF(4=Debt_Yr,0,F3589))*INDEX(Fin_Curve,1,4))-F3589-F3589*Fin_ExitFee)</f>
        <v>0</v>
      </c>
      <c r="H3892" s="99" t="n">
        <f aca="false">IF(5&gt;Hold_Yrs,0,H2983-IF(5&gt;Debt_Yr,0,(G3286-0.5*IF(5=Debt_Yr,0,G3589))*INDEX(Fin_Curve,1,5))-G3589-G3589*Fin_ExitFee)</f>
        <v>0</v>
      </c>
      <c r="I3892" s="99" t="n">
        <f aca="false">IF(6&gt;Hold_Yrs,0,I2983-IF(6&gt;Debt_Yr,0,(H3286-0.5*IF(6=Debt_Yr,0,H3589))*INDEX(Fin_Curve,1,6))-H3589-H3589*Fin_ExitFee)</f>
        <v>0</v>
      </c>
      <c r="J3892" s="99" t="n">
        <f aca="false">IF(7&gt;Hold_Yrs,0,J2983-IF(7&gt;Debt_Yr,0,(I3286-0.5*IF(7=Debt_Yr,0,I3589))*INDEX(Fin_Curve,1,7))-I3589-I3589*Fin_ExitFee)</f>
        <v>0</v>
      </c>
      <c r="K3892" s="99" t="n">
        <f aca="false">IF(8&gt;Hold_Yrs,0,K2983-IF(8&gt;Debt_Yr,0,(J3286-0.5*IF(8=Debt_Yr,0,J3589))*INDEX(Fin_Curve,1,8))-J3589-J3589*Fin_ExitFee)</f>
        <v>0</v>
      </c>
      <c r="L3892" s="99" t="n">
        <f aca="false">IF(9&gt;Hold_Yrs,0,L2983-IF(9&gt;Debt_Yr,0,(K3286-0.5*IF(9=Debt_Yr,0,K3589))*INDEX(Fin_Curve,1,9))-K3589-K3589*Fin_ExitFee)</f>
        <v>0</v>
      </c>
      <c r="M3892" s="99" t="n">
        <f aca="false">IF(10&gt;Hold_Yrs,0,M2983-IF(10&gt;Debt_Yr,0,(L3286-0.5*IF(10=Debt_Yr,0,L3589))*INDEX(Fin_Curve,1,10))-L3589-L3589*Fin_ExitFee)</f>
        <v>0</v>
      </c>
    </row>
    <row r="3893" customFormat="false" ht="15" hidden="false" customHeight="false" outlineLevel="0" collapsed="false">
      <c r="B3893" s="108" t="n">
        <f aca="false">'Loan Tape'!$A253</f>
        <v>0</v>
      </c>
      <c r="C3893" s="71" t="n">
        <f aca="false">-'Loan Tape'!$BE253</f>
        <v>-0</v>
      </c>
      <c r="D3893" s="71" t="n">
        <f aca="false">IF(1&gt;Hold_Yrs,0,D2984-IF(1&gt;Debt_Yr,0,(C3287-0.5*IF(1=Debt_Yr,0,C3590))*INDEX(Fin_Curve,1,1))-C3590-C3590*Fin_ExitFee)</f>
        <v>0</v>
      </c>
      <c r="E3893" s="71" t="n">
        <f aca="false">IF(2&gt;Hold_Yrs,0,E2984-IF(2&gt;Debt_Yr,0,(D3287-0.5*IF(2=Debt_Yr,0,D3590))*INDEX(Fin_Curve,1,2))-D3590-D3590*Fin_ExitFee)</f>
        <v>0</v>
      </c>
      <c r="F3893" s="71" t="n">
        <f aca="false">IF(3&gt;Hold_Yrs,0,F2984-IF(3&gt;Debt_Yr,0,(E3287-0.5*IF(3=Debt_Yr,0,E3590))*INDEX(Fin_Curve,1,3))-E3590-E3590*Fin_ExitFee)</f>
        <v>0</v>
      </c>
      <c r="G3893" s="71" t="n">
        <f aca="false">IF(4&gt;Hold_Yrs,0,G2984-IF(4&gt;Debt_Yr,0,(F3287-0.5*IF(4=Debt_Yr,0,F3590))*INDEX(Fin_Curve,1,4))-F3590-F3590*Fin_ExitFee)</f>
        <v>0</v>
      </c>
      <c r="H3893" s="71" t="n">
        <f aca="false">IF(5&gt;Hold_Yrs,0,H2984-IF(5&gt;Debt_Yr,0,(G3287-0.5*IF(5=Debt_Yr,0,G3590))*INDEX(Fin_Curve,1,5))-G3590-G3590*Fin_ExitFee)</f>
        <v>0</v>
      </c>
      <c r="I3893" s="71" t="n">
        <f aca="false">IF(6&gt;Hold_Yrs,0,I2984-IF(6&gt;Debt_Yr,0,(H3287-0.5*IF(6=Debt_Yr,0,H3590))*INDEX(Fin_Curve,1,6))-H3590-H3590*Fin_ExitFee)</f>
        <v>0</v>
      </c>
      <c r="J3893" s="71" t="n">
        <f aca="false">IF(7&gt;Hold_Yrs,0,J2984-IF(7&gt;Debt_Yr,0,(I3287-0.5*IF(7=Debt_Yr,0,I3590))*INDEX(Fin_Curve,1,7))-I3590-I3590*Fin_ExitFee)</f>
        <v>0</v>
      </c>
      <c r="K3893" s="71" t="n">
        <f aca="false">IF(8&gt;Hold_Yrs,0,K2984-IF(8&gt;Debt_Yr,0,(J3287-0.5*IF(8=Debt_Yr,0,J3590))*INDEX(Fin_Curve,1,8))-J3590-J3590*Fin_ExitFee)</f>
        <v>0</v>
      </c>
      <c r="L3893" s="71" t="n">
        <f aca="false">IF(9&gt;Hold_Yrs,0,L2984-IF(9&gt;Debt_Yr,0,(K3287-0.5*IF(9=Debt_Yr,0,K3590))*INDEX(Fin_Curve,1,9))-K3590-K3590*Fin_ExitFee)</f>
        <v>0</v>
      </c>
      <c r="M3893" s="71" t="n">
        <f aca="false">IF(10&gt;Hold_Yrs,0,M2984-IF(10&gt;Debt_Yr,0,(L3287-0.5*IF(10=Debt_Yr,0,L3590))*INDEX(Fin_Curve,1,10))-L3590-L3590*Fin_ExitFee)</f>
        <v>0</v>
      </c>
    </row>
    <row r="3894" customFormat="false" ht="15" hidden="false" customHeight="false" outlineLevel="0" collapsed="false">
      <c r="B3894" s="102" t="n">
        <f aca="false">'Loan Tape'!$A254</f>
        <v>0</v>
      </c>
      <c r="C3894" s="99" t="n">
        <f aca="false">-'Loan Tape'!$BE254</f>
        <v>-0</v>
      </c>
      <c r="D3894" s="99" t="n">
        <f aca="false">IF(1&gt;Hold_Yrs,0,D2985-IF(1&gt;Debt_Yr,0,(C3288-0.5*IF(1=Debt_Yr,0,C3591))*INDEX(Fin_Curve,1,1))-C3591-C3591*Fin_ExitFee)</f>
        <v>0</v>
      </c>
      <c r="E3894" s="99" t="n">
        <f aca="false">IF(2&gt;Hold_Yrs,0,E2985-IF(2&gt;Debt_Yr,0,(D3288-0.5*IF(2=Debt_Yr,0,D3591))*INDEX(Fin_Curve,1,2))-D3591-D3591*Fin_ExitFee)</f>
        <v>0</v>
      </c>
      <c r="F3894" s="99" t="n">
        <f aca="false">IF(3&gt;Hold_Yrs,0,F2985-IF(3&gt;Debt_Yr,0,(E3288-0.5*IF(3=Debt_Yr,0,E3591))*INDEX(Fin_Curve,1,3))-E3591-E3591*Fin_ExitFee)</f>
        <v>0</v>
      </c>
      <c r="G3894" s="99" t="n">
        <f aca="false">IF(4&gt;Hold_Yrs,0,G2985-IF(4&gt;Debt_Yr,0,(F3288-0.5*IF(4=Debt_Yr,0,F3591))*INDEX(Fin_Curve,1,4))-F3591-F3591*Fin_ExitFee)</f>
        <v>0</v>
      </c>
      <c r="H3894" s="99" t="n">
        <f aca="false">IF(5&gt;Hold_Yrs,0,H2985-IF(5&gt;Debt_Yr,0,(G3288-0.5*IF(5=Debt_Yr,0,G3591))*INDEX(Fin_Curve,1,5))-G3591-G3591*Fin_ExitFee)</f>
        <v>0</v>
      </c>
      <c r="I3894" s="99" t="n">
        <f aca="false">IF(6&gt;Hold_Yrs,0,I2985-IF(6&gt;Debt_Yr,0,(H3288-0.5*IF(6=Debt_Yr,0,H3591))*INDEX(Fin_Curve,1,6))-H3591-H3591*Fin_ExitFee)</f>
        <v>0</v>
      </c>
      <c r="J3894" s="99" t="n">
        <f aca="false">IF(7&gt;Hold_Yrs,0,J2985-IF(7&gt;Debt_Yr,0,(I3288-0.5*IF(7=Debt_Yr,0,I3591))*INDEX(Fin_Curve,1,7))-I3591-I3591*Fin_ExitFee)</f>
        <v>0</v>
      </c>
      <c r="K3894" s="99" t="n">
        <f aca="false">IF(8&gt;Hold_Yrs,0,K2985-IF(8&gt;Debt_Yr,0,(J3288-0.5*IF(8=Debt_Yr,0,J3591))*INDEX(Fin_Curve,1,8))-J3591-J3591*Fin_ExitFee)</f>
        <v>0</v>
      </c>
      <c r="L3894" s="99" t="n">
        <f aca="false">IF(9&gt;Hold_Yrs,0,L2985-IF(9&gt;Debt_Yr,0,(K3288-0.5*IF(9=Debt_Yr,0,K3591))*INDEX(Fin_Curve,1,9))-K3591-K3591*Fin_ExitFee)</f>
        <v>0</v>
      </c>
      <c r="M3894" s="99" t="n">
        <f aca="false">IF(10&gt;Hold_Yrs,0,M2985-IF(10&gt;Debt_Yr,0,(L3288-0.5*IF(10=Debt_Yr,0,L3591))*INDEX(Fin_Curve,1,10))-L3591-L3591*Fin_ExitFee)</f>
        <v>0</v>
      </c>
    </row>
    <row r="3895" customFormat="false" ht="15" hidden="false" customHeight="false" outlineLevel="0" collapsed="false">
      <c r="B3895" s="108" t="n">
        <f aca="false">'Loan Tape'!$A255</f>
        <v>0</v>
      </c>
      <c r="C3895" s="71" t="n">
        <f aca="false">-'Loan Tape'!$BE255</f>
        <v>-0</v>
      </c>
      <c r="D3895" s="71" t="n">
        <f aca="false">IF(1&gt;Hold_Yrs,0,D2986-IF(1&gt;Debt_Yr,0,(C3289-0.5*IF(1=Debt_Yr,0,C3592))*INDEX(Fin_Curve,1,1))-C3592-C3592*Fin_ExitFee)</f>
        <v>0</v>
      </c>
      <c r="E3895" s="71" t="n">
        <f aca="false">IF(2&gt;Hold_Yrs,0,E2986-IF(2&gt;Debt_Yr,0,(D3289-0.5*IF(2=Debt_Yr,0,D3592))*INDEX(Fin_Curve,1,2))-D3592-D3592*Fin_ExitFee)</f>
        <v>0</v>
      </c>
      <c r="F3895" s="71" t="n">
        <f aca="false">IF(3&gt;Hold_Yrs,0,F2986-IF(3&gt;Debt_Yr,0,(E3289-0.5*IF(3=Debt_Yr,0,E3592))*INDEX(Fin_Curve,1,3))-E3592-E3592*Fin_ExitFee)</f>
        <v>0</v>
      </c>
      <c r="G3895" s="71" t="n">
        <f aca="false">IF(4&gt;Hold_Yrs,0,G2986-IF(4&gt;Debt_Yr,0,(F3289-0.5*IF(4=Debt_Yr,0,F3592))*INDEX(Fin_Curve,1,4))-F3592-F3592*Fin_ExitFee)</f>
        <v>0</v>
      </c>
      <c r="H3895" s="71" t="n">
        <f aca="false">IF(5&gt;Hold_Yrs,0,H2986-IF(5&gt;Debt_Yr,0,(G3289-0.5*IF(5=Debt_Yr,0,G3592))*INDEX(Fin_Curve,1,5))-G3592-G3592*Fin_ExitFee)</f>
        <v>0</v>
      </c>
      <c r="I3895" s="71" t="n">
        <f aca="false">IF(6&gt;Hold_Yrs,0,I2986-IF(6&gt;Debt_Yr,0,(H3289-0.5*IF(6=Debt_Yr,0,H3592))*INDEX(Fin_Curve,1,6))-H3592-H3592*Fin_ExitFee)</f>
        <v>0</v>
      </c>
      <c r="J3895" s="71" t="n">
        <f aca="false">IF(7&gt;Hold_Yrs,0,J2986-IF(7&gt;Debt_Yr,0,(I3289-0.5*IF(7=Debt_Yr,0,I3592))*INDEX(Fin_Curve,1,7))-I3592-I3592*Fin_ExitFee)</f>
        <v>0</v>
      </c>
      <c r="K3895" s="71" t="n">
        <f aca="false">IF(8&gt;Hold_Yrs,0,K2986-IF(8&gt;Debt_Yr,0,(J3289-0.5*IF(8=Debt_Yr,0,J3592))*INDEX(Fin_Curve,1,8))-J3592-J3592*Fin_ExitFee)</f>
        <v>0</v>
      </c>
      <c r="L3895" s="71" t="n">
        <f aca="false">IF(9&gt;Hold_Yrs,0,L2986-IF(9&gt;Debt_Yr,0,(K3289-0.5*IF(9=Debt_Yr,0,K3592))*INDEX(Fin_Curve,1,9))-K3592-K3592*Fin_ExitFee)</f>
        <v>0</v>
      </c>
      <c r="M3895" s="71" t="n">
        <f aca="false">IF(10&gt;Hold_Yrs,0,M2986-IF(10&gt;Debt_Yr,0,(L3289-0.5*IF(10=Debt_Yr,0,L3592))*INDEX(Fin_Curve,1,10))-L3592-L3592*Fin_ExitFee)</f>
        <v>0</v>
      </c>
    </row>
    <row r="3896" customFormat="false" ht="15" hidden="false" customHeight="false" outlineLevel="0" collapsed="false">
      <c r="B3896" s="102" t="n">
        <f aca="false">'Loan Tape'!$A256</f>
        <v>0</v>
      </c>
      <c r="C3896" s="99" t="n">
        <f aca="false">-'Loan Tape'!$BE256</f>
        <v>-0</v>
      </c>
      <c r="D3896" s="99" t="n">
        <f aca="false">IF(1&gt;Hold_Yrs,0,D2987-IF(1&gt;Debt_Yr,0,(C3290-0.5*IF(1=Debt_Yr,0,C3593))*INDEX(Fin_Curve,1,1))-C3593-C3593*Fin_ExitFee)</f>
        <v>0</v>
      </c>
      <c r="E3896" s="99" t="n">
        <f aca="false">IF(2&gt;Hold_Yrs,0,E2987-IF(2&gt;Debt_Yr,0,(D3290-0.5*IF(2=Debt_Yr,0,D3593))*INDEX(Fin_Curve,1,2))-D3593-D3593*Fin_ExitFee)</f>
        <v>0</v>
      </c>
      <c r="F3896" s="99" t="n">
        <f aca="false">IF(3&gt;Hold_Yrs,0,F2987-IF(3&gt;Debt_Yr,0,(E3290-0.5*IF(3=Debt_Yr,0,E3593))*INDEX(Fin_Curve,1,3))-E3593-E3593*Fin_ExitFee)</f>
        <v>0</v>
      </c>
      <c r="G3896" s="99" t="n">
        <f aca="false">IF(4&gt;Hold_Yrs,0,G2987-IF(4&gt;Debt_Yr,0,(F3290-0.5*IF(4=Debt_Yr,0,F3593))*INDEX(Fin_Curve,1,4))-F3593-F3593*Fin_ExitFee)</f>
        <v>0</v>
      </c>
      <c r="H3896" s="99" t="n">
        <f aca="false">IF(5&gt;Hold_Yrs,0,H2987-IF(5&gt;Debt_Yr,0,(G3290-0.5*IF(5=Debt_Yr,0,G3593))*INDEX(Fin_Curve,1,5))-G3593-G3593*Fin_ExitFee)</f>
        <v>0</v>
      </c>
      <c r="I3896" s="99" t="n">
        <f aca="false">IF(6&gt;Hold_Yrs,0,I2987-IF(6&gt;Debt_Yr,0,(H3290-0.5*IF(6=Debt_Yr,0,H3593))*INDEX(Fin_Curve,1,6))-H3593-H3593*Fin_ExitFee)</f>
        <v>0</v>
      </c>
      <c r="J3896" s="99" t="n">
        <f aca="false">IF(7&gt;Hold_Yrs,0,J2987-IF(7&gt;Debt_Yr,0,(I3290-0.5*IF(7=Debt_Yr,0,I3593))*INDEX(Fin_Curve,1,7))-I3593-I3593*Fin_ExitFee)</f>
        <v>0</v>
      </c>
      <c r="K3896" s="99" t="n">
        <f aca="false">IF(8&gt;Hold_Yrs,0,K2987-IF(8&gt;Debt_Yr,0,(J3290-0.5*IF(8=Debt_Yr,0,J3593))*INDEX(Fin_Curve,1,8))-J3593-J3593*Fin_ExitFee)</f>
        <v>0</v>
      </c>
      <c r="L3896" s="99" t="n">
        <f aca="false">IF(9&gt;Hold_Yrs,0,L2987-IF(9&gt;Debt_Yr,0,(K3290-0.5*IF(9=Debt_Yr,0,K3593))*INDEX(Fin_Curve,1,9))-K3593-K3593*Fin_ExitFee)</f>
        <v>0</v>
      </c>
      <c r="M3896" s="99" t="n">
        <f aca="false">IF(10&gt;Hold_Yrs,0,M2987-IF(10&gt;Debt_Yr,0,(L3290-0.5*IF(10=Debt_Yr,0,L3593))*INDEX(Fin_Curve,1,10))-L3593-L3593*Fin_ExitFee)</f>
        <v>0</v>
      </c>
    </row>
    <row r="3897" customFormat="false" ht="15" hidden="false" customHeight="false" outlineLevel="0" collapsed="false">
      <c r="B3897" s="108" t="n">
        <f aca="false">'Loan Tape'!$A257</f>
        <v>0</v>
      </c>
      <c r="C3897" s="71" t="n">
        <f aca="false">-'Loan Tape'!$BE257</f>
        <v>-0</v>
      </c>
      <c r="D3897" s="71" t="n">
        <f aca="false">IF(1&gt;Hold_Yrs,0,D2988-IF(1&gt;Debt_Yr,0,(C3291-0.5*IF(1=Debt_Yr,0,C3594))*INDEX(Fin_Curve,1,1))-C3594-C3594*Fin_ExitFee)</f>
        <v>0</v>
      </c>
      <c r="E3897" s="71" t="n">
        <f aca="false">IF(2&gt;Hold_Yrs,0,E2988-IF(2&gt;Debt_Yr,0,(D3291-0.5*IF(2=Debt_Yr,0,D3594))*INDEX(Fin_Curve,1,2))-D3594-D3594*Fin_ExitFee)</f>
        <v>0</v>
      </c>
      <c r="F3897" s="71" t="n">
        <f aca="false">IF(3&gt;Hold_Yrs,0,F2988-IF(3&gt;Debt_Yr,0,(E3291-0.5*IF(3=Debt_Yr,0,E3594))*INDEX(Fin_Curve,1,3))-E3594-E3594*Fin_ExitFee)</f>
        <v>0</v>
      </c>
      <c r="G3897" s="71" t="n">
        <f aca="false">IF(4&gt;Hold_Yrs,0,G2988-IF(4&gt;Debt_Yr,0,(F3291-0.5*IF(4=Debt_Yr,0,F3594))*INDEX(Fin_Curve,1,4))-F3594-F3594*Fin_ExitFee)</f>
        <v>0</v>
      </c>
      <c r="H3897" s="71" t="n">
        <f aca="false">IF(5&gt;Hold_Yrs,0,H2988-IF(5&gt;Debt_Yr,0,(G3291-0.5*IF(5=Debt_Yr,0,G3594))*INDEX(Fin_Curve,1,5))-G3594-G3594*Fin_ExitFee)</f>
        <v>0</v>
      </c>
      <c r="I3897" s="71" t="n">
        <f aca="false">IF(6&gt;Hold_Yrs,0,I2988-IF(6&gt;Debt_Yr,0,(H3291-0.5*IF(6=Debt_Yr,0,H3594))*INDEX(Fin_Curve,1,6))-H3594-H3594*Fin_ExitFee)</f>
        <v>0</v>
      </c>
      <c r="J3897" s="71" t="n">
        <f aca="false">IF(7&gt;Hold_Yrs,0,J2988-IF(7&gt;Debt_Yr,0,(I3291-0.5*IF(7=Debt_Yr,0,I3594))*INDEX(Fin_Curve,1,7))-I3594-I3594*Fin_ExitFee)</f>
        <v>0</v>
      </c>
      <c r="K3897" s="71" t="n">
        <f aca="false">IF(8&gt;Hold_Yrs,0,K2988-IF(8&gt;Debt_Yr,0,(J3291-0.5*IF(8=Debt_Yr,0,J3594))*INDEX(Fin_Curve,1,8))-J3594-J3594*Fin_ExitFee)</f>
        <v>0</v>
      </c>
      <c r="L3897" s="71" t="n">
        <f aca="false">IF(9&gt;Hold_Yrs,0,L2988-IF(9&gt;Debt_Yr,0,(K3291-0.5*IF(9=Debt_Yr,0,K3594))*INDEX(Fin_Curve,1,9))-K3594-K3594*Fin_ExitFee)</f>
        <v>0</v>
      </c>
      <c r="M3897" s="71" t="n">
        <f aca="false">IF(10&gt;Hold_Yrs,0,M2988-IF(10&gt;Debt_Yr,0,(L3291-0.5*IF(10=Debt_Yr,0,L3594))*INDEX(Fin_Curve,1,10))-L3594-L3594*Fin_ExitFee)</f>
        <v>0</v>
      </c>
    </row>
    <row r="3898" customFormat="false" ht="15" hidden="false" customHeight="false" outlineLevel="0" collapsed="false">
      <c r="B3898" s="102" t="n">
        <f aca="false">'Loan Tape'!$A258</f>
        <v>0</v>
      </c>
      <c r="C3898" s="99" t="n">
        <f aca="false">-'Loan Tape'!$BE258</f>
        <v>-0</v>
      </c>
      <c r="D3898" s="99" t="n">
        <f aca="false">IF(1&gt;Hold_Yrs,0,D2989-IF(1&gt;Debt_Yr,0,(C3292-0.5*IF(1=Debt_Yr,0,C3595))*INDEX(Fin_Curve,1,1))-C3595-C3595*Fin_ExitFee)</f>
        <v>0</v>
      </c>
      <c r="E3898" s="99" t="n">
        <f aca="false">IF(2&gt;Hold_Yrs,0,E2989-IF(2&gt;Debt_Yr,0,(D3292-0.5*IF(2=Debt_Yr,0,D3595))*INDEX(Fin_Curve,1,2))-D3595-D3595*Fin_ExitFee)</f>
        <v>0</v>
      </c>
      <c r="F3898" s="99" t="n">
        <f aca="false">IF(3&gt;Hold_Yrs,0,F2989-IF(3&gt;Debt_Yr,0,(E3292-0.5*IF(3=Debt_Yr,0,E3595))*INDEX(Fin_Curve,1,3))-E3595-E3595*Fin_ExitFee)</f>
        <v>0</v>
      </c>
      <c r="G3898" s="99" t="n">
        <f aca="false">IF(4&gt;Hold_Yrs,0,G2989-IF(4&gt;Debt_Yr,0,(F3292-0.5*IF(4=Debt_Yr,0,F3595))*INDEX(Fin_Curve,1,4))-F3595-F3595*Fin_ExitFee)</f>
        <v>0</v>
      </c>
      <c r="H3898" s="99" t="n">
        <f aca="false">IF(5&gt;Hold_Yrs,0,H2989-IF(5&gt;Debt_Yr,0,(G3292-0.5*IF(5=Debt_Yr,0,G3595))*INDEX(Fin_Curve,1,5))-G3595-G3595*Fin_ExitFee)</f>
        <v>0</v>
      </c>
      <c r="I3898" s="99" t="n">
        <f aca="false">IF(6&gt;Hold_Yrs,0,I2989-IF(6&gt;Debt_Yr,0,(H3292-0.5*IF(6=Debt_Yr,0,H3595))*INDEX(Fin_Curve,1,6))-H3595-H3595*Fin_ExitFee)</f>
        <v>0</v>
      </c>
      <c r="J3898" s="99" t="n">
        <f aca="false">IF(7&gt;Hold_Yrs,0,J2989-IF(7&gt;Debt_Yr,0,(I3292-0.5*IF(7=Debt_Yr,0,I3595))*INDEX(Fin_Curve,1,7))-I3595-I3595*Fin_ExitFee)</f>
        <v>0</v>
      </c>
      <c r="K3898" s="99" t="n">
        <f aca="false">IF(8&gt;Hold_Yrs,0,K2989-IF(8&gt;Debt_Yr,0,(J3292-0.5*IF(8=Debt_Yr,0,J3595))*INDEX(Fin_Curve,1,8))-J3595-J3595*Fin_ExitFee)</f>
        <v>0</v>
      </c>
      <c r="L3898" s="99" t="n">
        <f aca="false">IF(9&gt;Hold_Yrs,0,L2989-IF(9&gt;Debt_Yr,0,(K3292-0.5*IF(9=Debt_Yr,0,K3595))*INDEX(Fin_Curve,1,9))-K3595-K3595*Fin_ExitFee)</f>
        <v>0</v>
      </c>
      <c r="M3898" s="99" t="n">
        <f aca="false">IF(10&gt;Hold_Yrs,0,M2989-IF(10&gt;Debt_Yr,0,(L3292-0.5*IF(10=Debt_Yr,0,L3595))*INDEX(Fin_Curve,1,10))-L3595-L3595*Fin_ExitFee)</f>
        <v>0</v>
      </c>
    </row>
    <row r="3899" customFormat="false" ht="15" hidden="false" customHeight="false" outlineLevel="0" collapsed="false">
      <c r="B3899" s="108" t="n">
        <f aca="false">'Loan Tape'!$A259</f>
        <v>0</v>
      </c>
      <c r="C3899" s="71" t="n">
        <f aca="false">-'Loan Tape'!$BE259</f>
        <v>-0</v>
      </c>
      <c r="D3899" s="71" t="n">
        <f aca="false">IF(1&gt;Hold_Yrs,0,D2990-IF(1&gt;Debt_Yr,0,(C3293-0.5*IF(1=Debt_Yr,0,C3596))*INDEX(Fin_Curve,1,1))-C3596-C3596*Fin_ExitFee)</f>
        <v>0</v>
      </c>
      <c r="E3899" s="71" t="n">
        <f aca="false">IF(2&gt;Hold_Yrs,0,E2990-IF(2&gt;Debt_Yr,0,(D3293-0.5*IF(2=Debt_Yr,0,D3596))*INDEX(Fin_Curve,1,2))-D3596-D3596*Fin_ExitFee)</f>
        <v>0</v>
      </c>
      <c r="F3899" s="71" t="n">
        <f aca="false">IF(3&gt;Hold_Yrs,0,F2990-IF(3&gt;Debt_Yr,0,(E3293-0.5*IF(3=Debt_Yr,0,E3596))*INDEX(Fin_Curve,1,3))-E3596-E3596*Fin_ExitFee)</f>
        <v>0</v>
      </c>
      <c r="G3899" s="71" t="n">
        <f aca="false">IF(4&gt;Hold_Yrs,0,G2990-IF(4&gt;Debt_Yr,0,(F3293-0.5*IF(4=Debt_Yr,0,F3596))*INDEX(Fin_Curve,1,4))-F3596-F3596*Fin_ExitFee)</f>
        <v>0</v>
      </c>
      <c r="H3899" s="71" t="n">
        <f aca="false">IF(5&gt;Hold_Yrs,0,H2990-IF(5&gt;Debt_Yr,0,(G3293-0.5*IF(5=Debt_Yr,0,G3596))*INDEX(Fin_Curve,1,5))-G3596-G3596*Fin_ExitFee)</f>
        <v>0</v>
      </c>
      <c r="I3899" s="71" t="n">
        <f aca="false">IF(6&gt;Hold_Yrs,0,I2990-IF(6&gt;Debt_Yr,0,(H3293-0.5*IF(6=Debt_Yr,0,H3596))*INDEX(Fin_Curve,1,6))-H3596-H3596*Fin_ExitFee)</f>
        <v>0</v>
      </c>
      <c r="J3899" s="71" t="n">
        <f aca="false">IF(7&gt;Hold_Yrs,0,J2990-IF(7&gt;Debt_Yr,0,(I3293-0.5*IF(7=Debt_Yr,0,I3596))*INDEX(Fin_Curve,1,7))-I3596-I3596*Fin_ExitFee)</f>
        <v>0</v>
      </c>
      <c r="K3899" s="71" t="n">
        <f aca="false">IF(8&gt;Hold_Yrs,0,K2990-IF(8&gt;Debt_Yr,0,(J3293-0.5*IF(8=Debt_Yr,0,J3596))*INDEX(Fin_Curve,1,8))-J3596-J3596*Fin_ExitFee)</f>
        <v>0</v>
      </c>
      <c r="L3899" s="71" t="n">
        <f aca="false">IF(9&gt;Hold_Yrs,0,L2990-IF(9&gt;Debt_Yr,0,(K3293-0.5*IF(9=Debt_Yr,0,K3596))*INDEX(Fin_Curve,1,9))-K3596-K3596*Fin_ExitFee)</f>
        <v>0</v>
      </c>
      <c r="M3899" s="71" t="n">
        <f aca="false">IF(10&gt;Hold_Yrs,0,M2990-IF(10&gt;Debt_Yr,0,(L3293-0.5*IF(10=Debt_Yr,0,L3596))*INDEX(Fin_Curve,1,10))-L3596-L3596*Fin_ExitFee)</f>
        <v>0</v>
      </c>
    </row>
    <row r="3900" customFormat="false" ht="15" hidden="false" customHeight="false" outlineLevel="0" collapsed="false">
      <c r="B3900" s="102" t="n">
        <f aca="false">'Loan Tape'!$A260</f>
        <v>0</v>
      </c>
      <c r="C3900" s="99" t="n">
        <f aca="false">-'Loan Tape'!$BE260</f>
        <v>-0</v>
      </c>
      <c r="D3900" s="99" t="n">
        <f aca="false">IF(1&gt;Hold_Yrs,0,D2991-IF(1&gt;Debt_Yr,0,(C3294-0.5*IF(1=Debt_Yr,0,C3597))*INDEX(Fin_Curve,1,1))-C3597-C3597*Fin_ExitFee)</f>
        <v>0</v>
      </c>
      <c r="E3900" s="99" t="n">
        <f aca="false">IF(2&gt;Hold_Yrs,0,E2991-IF(2&gt;Debt_Yr,0,(D3294-0.5*IF(2=Debt_Yr,0,D3597))*INDEX(Fin_Curve,1,2))-D3597-D3597*Fin_ExitFee)</f>
        <v>0</v>
      </c>
      <c r="F3900" s="99" t="n">
        <f aca="false">IF(3&gt;Hold_Yrs,0,F2991-IF(3&gt;Debt_Yr,0,(E3294-0.5*IF(3=Debt_Yr,0,E3597))*INDEX(Fin_Curve,1,3))-E3597-E3597*Fin_ExitFee)</f>
        <v>0</v>
      </c>
      <c r="G3900" s="99" t="n">
        <f aca="false">IF(4&gt;Hold_Yrs,0,G2991-IF(4&gt;Debt_Yr,0,(F3294-0.5*IF(4=Debt_Yr,0,F3597))*INDEX(Fin_Curve,1,4))-F3597-F3597*Fin_ExitFee)</f>
        <v>0</v>
      </c>
      <c r="H3900" s="99" t="n">
        <f aca="false">IF(5&gt;Hold_Yrs,0,H2991-IF(5&gt;Debt_Yr,0,(G3294-0.5*IF(5=Debt_Yr,0,G3597))*INDEX(Fin_Curve,1,5))-G3597-G3597*Fin_ExitFee)</f>
        <v>0</v>
      </c>
      <c r="I3900" s="99" t="n">
        <f aca="false">IF(6&gt;Hold_Yrs,0,I2991-IF(6&gt;Debt_Yr,0,(H3294-0.5*IF(6=Debt_Yr,0,H3597))*INDEX(Fin_Curve,1,6))-H3597-H3597*Fin_ExitFee)</f>
        <v>0</v>
      </c>
      <c r="J3900" s="99" t="n">
        <f aca="false">IF(7&gt;Hold_Yrs,0,J2991-IF(7&gt;Debt_Yr,0,(I3294-0.5*IF(7=Debt_Yr,0,I3597))*INDEX(Fin_Curve,1,7))-I3597-I3597*Fin_ExitFee)</f>
        <v>0</v>
      </c>
      <c r="K3900" s="99" t="n">
        <f aca="false">IF(8&gt;Hold_Yrs,0,K2991-IF(8&gt;Debt_Yr,0,(J3294-0.5*IF(8=Debt_Yr,0,J3597))*INDEX(Fin_Curve,1,8))-J3597-J3597*Fin_ExitFee)</f>
        <v>0</v>
      </c>
      <c r="L3900" s="99" t="n">
        <f aca="false">IF(9&gt;Hold_Yrs,0,L2991-IF(9&gt;Debt_Yr,0,(K3294-0.5*IF(9=Debt_Yr,0,K3597))*INDEX(Fin_Curve,1,9))-K3597-K3597*Fin_ExitFee)</f>
        <v>0</v>
      </c>
      <c r="M3900" s="99" t="n">
        <f aca="false">IF(10&gt;Hold_Yrs,0,M2991-IF(10&gt;Debt_Yr,0,(L3294-0.5*IF(10=Debt_Yr,0,L3597))*INDEX(Fin_Curve,1,10))-L3597-L3597*Fin_ExitFee)</f>
        <v>0</v>
      </c>
    </row>
    <row r="3901" customFormat="false" ht="15" hidden="false" customHeight="false" outlineLevel="0" collapsed="false">
      <c r="B3901" s="108" t="n">
        <f aca="false">'Loan Tape'!$A261</f>
        <v>0</v>
      </c>
      <c r="C3901" s="71" t="n">
        <f aca="false">-'Loan Tape'!$BE261</f>
        <v>-0</v>
      </c>
      <c r="D3901" s="71" t="n">
        <f aca="false">IF(1&gt;Hold_Yrs,0,D2992-IF(1&gt;Debt_Yr,0,(C3295-0.5*IF(1=Debt_Yr,0,C3598))*INDEX(Fin_Curve,1,1))-C3598-C3598*Fin_ExitFee)</f>
        <v>0</v>
      </c>
      <c r="E3901" s="71" t="n">
        <f aca="false">IF(2&gt;Hold_Yrs,0,E2992-IF(2&gt;Debt_Yr,0,(D3295-0.5*IF(2=Debt_Yr,0,D3598))*INDEX(Fin_Curve,1,2))-D3598-D3598*Fin_ExitFee)</f>
        <v>0</v>
      </c>
      <c r="F3901" s="71" t="n">
        <f aca="false">IF(3&gt;Hold_Yrs,0,F2992-IF(3&gt;Debt_Yr,0,(E3295-0.5*IF(3=Debt_Yr,0,E3598))*INDEX(Fin_Curve,1,3))-E3598-E3598*Fin_ExitFee)</f>
        <v>0</v>
      </c>
      <c r="G3901" s="71" t="n">
        <f aca="false">IF(4&gt;Hold_Yrs,0,G2992-IF(4&gt;Debt_Yr,0,(F3295-0.5*IF(4=Debt_Yr,0,F3598))*INDEX(Fin_Curve,1,4))-F3598-F3598*Fin_ExitFee)</f>
        <v>0</v>
      </c>
      <c r="H3901" s="71" t="n">
        <f aca="false">IF(5&gt;Hold_Yrs,0,H2992-IF(5&gt;Debt_Yr,0,(G3295-0.5*IF(5=Debt_Yr,0,G3598))*INDEX(Fin_Curve,1,5))-G3598-G3598*Fin_ExitFee)</f>
        <v>0</v>
      </c>
      <c r="I3901" s="71" t="n">
        <f aca="false">IF(6&gt;Hold_Yrs,0,I2992-IF(6&gt;Debt_Yr,0,(H3295-0.5*IF(6=Debt_Yr,0,H3598))*INDEX(Fin_Curve,1,6))-H3598-H3598*Fin_ExitFee)</f>
        <v>0</v>
      </c>
      <c r="J3901" s="71" t="n">
        <f aca="false">IF(7&gt;Hold_Yrs,0,J2992-IF(7&gt;Debt_Yr,0,(I3295-0.5*IF(7=Debt_Yr,0,I3598))*INDEX(Fin_Curve,1,7))-I3598-I3598*Fin_ExitFee)</f>
        <v>0</v>
      </c>
      <c r="K3901" s="71" t="n">
        <f aca="false">IF(8&gt;Hold_Yrs,0,K2992-IF(8&gt;Debt_Yr,0,(J3295-0.5*IF(8=Debt_Yr,0,J3598))*INDEX(Fin_Curve,1,8))-J3598-J3598*Fin_ExitFee)</f>
        <v>0</v>
      </c>
      <c r="L3901" s="71" t="n">
        <f aca="false">IF(9&gt;Hold_Yrs,0,L2992-IF(9&gt;Debt_Yr,0,(K3295-0.5*IF(9=Debt_Yr,0,K3598))*INDEX(Fin_Curve,1,9))-K3598-K3598*Fin_ExitFee)</f>
        <v>0</v>
      </c>
      <c r="M3901" s="71" t="n">
        <f aca="false">IF(10&gt;Hold_Yrs,0,M2992-IF(10&gt;Debt_Yr,0,(L3295-0.5*IF(10=Debt_Yr,0,L3598))*INDEX(Fin_Curve,1,10))-L3598-L3598*Fin_ExitFee)</f>
        <v>0</v>
      </c>
    </row>
    <row r="3902" customFormat="false" ht="15" hidden="false" customHeight="false" outlineLevel="0" collapsed="false">
      <c r="B3902" s="102" t="n">
        <f aca="false">'Loan Tape'!$A262</f>
        <v>0</v>
      </c>
      <c r="C3902" s="99" t="n">
        <f aca="false">-'Loan Tape'!$BE262</f>
        <v>-0</v>
      </c>
      <c r="D3902" s="99" t="n">
        <f aca="false">IF(1&gt;Hold_Yrs,0,D2993-IF(1&gt;Debt_Yr,0,(C3296-0.5*IF(1=Debt_Yr,0,C3599))*INDEX(Fin_Curve,1,1))-C3599-C3599*Fin_ExitFee)</f>
        <v>0</v>
      </c>
      <c r="E3902" s="99" t="n">
        <f aca="false">IF(2&gt;Hold_Yrs,0,E2993-IF(2&gt;Debt_Yr,0,(D3296-0.5*IF(2=Debt_Yr,0,D3599))*INDEX(Fin_Curve,1,2))-D3599-D3599*Fin_ExitFee)</f>
        <v>0</v>
      </c>
      <c r="F3902" s="99" t="n">
        <f aca="false">IF(3&gt;Hold_Yrs,0,F2993-IF(3&gt;Debt_Yr,0,(E3296-0.5*IF(3=Debt_Yr,0,E3599))*INDEX(Fin_Curve,1,3))-E3599-E3599*Fin_ExitFee)</f>
        <v>0</v>
      </c>
      <c r="G3902" s="99" t="n">
        <f aca="false">IF(4&gt;Hold_Yrs,0,G2993-IF(4&gt;Debt_Yr,0,(F3296-0.5*IF(4=Debt_Yr,0,F3599))*INDEX(Fin_Curve,1,4))-F3599-F3599*Fin_ExitFee)</f>
        <v>0</v>
      </c>
      <c r="H3902" s="99" t="n">
        <f aca="false">IF(5&gt;Hold_Yrs,0,H2993-IF(5&gt;Debt_Yr,0,(G3296-0.5*IF(5=Debt_Yr,0,G3599))*INDEX(Fin_Curve,1,5))-G3599-G3599*Fin_ExitFee)</f>
        <v>0</v>
      </c>
      <c r="I3902" s="99" t="n">
        <f aca="false">IF(6&gt;Hold_Yrs,0,I2993-IF(6&gt;Debt_Yr,0,(H3296-0.5*IF(6=Debt_Yr,0,H3599))*INDEX(Fin_Curve,1,6))-H3599-H3599*Fin_ExitFee)</f>
        <v>0</v>
      </c>
      <c r="J3902" s="99" t="n">
        <f aca="false">IF(7&gt;Hold_Yrs,0,J2993-IF(7&gt;Debt_Yr,0,(I3296-0.5*IF(7=Debt_Yr,0,I3599))*INDEX(Fin_Curve,1,7))-I3599-I3599*Fin_ExitFee)</f>
        <v>0</v>
      </c>
      <c r="K3902" s="99" t="n">
        <f aca="false">IF(8&gt;Hold_Yrs,0,K2993-IF(8&gt;Debt_Yr,0,(J3296-0.5*IF(8=Debt_Yr,0,J3599))*INDEX(Fin_Curve,1,8))-J3599-J3599*Fin_ExitFee)</f>
        <v>0</v>
      </c>
      <c r="L3902" s="99" t="n">
        <f aca="false">IF(9&gt;Hold_Yrs,0,L2993-IF(9&gt;Debt_Yr,0,(K3296-0.5*IF(9=Debt_Yr,0,K3599))*INDEX(Fin_Curve,1,9))-K3599-K3599*Fin_ExitFee)</f>
        <v>0</v>
      </c>
      <c r="M3902" s="99" t="n">
        <f aca="false">IF(10&gt;Hold_Yrs,0,M2993-IF(10&gt;Debt_Yr,0,(L3296-0.5*IF(10=Debt_Yr,0,L3599))*INDEX(Fin_Curve,1,10))-L3599-L3599*Fin_ExitFee)</f>
        <v>0</v>
      </c>
    </row>
    <row r="3903" customFormat="false" ht="15" hidden="false" customHeight="false" outlineLevel="0" collapsed="false">
      <c r="B3903" s="108" t="n">
        <f aca="false">'Loan Tape'!$A263</f>
        <v>0</v>
      </c>
      <c r="C3903" s="71" t="n">
        <f aca="false">-'Loan Tape'!$BE263</f>
        <v>-0</v>
      </c>
      <c r="D3903" s="71" t="n">
        <f aca="false">IF(1&gt;Hold_Yrs,0,D2994-IF(1&gt;Debt_Yr,0,(C3297-0.5*IF(1=Debt_Yr,0,C3600))*INDEX(Fin_Curve,1,1))-C3600-C3600*Fin_ExitFee)</f>
        <v>0</v>
      </c>
      <c r="E3903" s="71" t="n">
        <f aca="false">IF(2&gt;Hold_Yrs,0,E2994-IF(2&gt;Debt_Yr,0,(D3297-0.5*IF(2=Debt_Yr,0,D3600))*INDEX(Fin_Curve,1,2))-D3600-D3600*Fin_ExitFee)</f>
        <v>0</v>
      </c>
      <c r="F3903" s="71" t="n">
        <f aca="false">IF(3&gt;Hold_Yrs,0,F2994-IF(3&gt;Debt_Yr,0,(E3297-0.5*IF(3=Debt_Yr,0,E3600))*INDEX(Fin_Curve,1,3))-E3600-E3600*Fin_ExitFee)</f>
        <v>0</v>
      </c>
      <c r="G3903" s="71" t="n">
        <f aca="false">IF(4&gt;Hold_Yrs,0,G2994-IF(4&gt;Debt_Yr,0,(F3297-0.5*IF(4=Debt_Yr,0,F3600))*INDEX(Fin_Curve,1,4))-F3600-F3600*Fin_ExitFee)</f>
        <v>0</v>
      </c>
      <c r="H3903" s="71" t="n">
        <f aca="false">IF(5&gt;Hold_Yrs,0,H2994-IF(5&gt;Debt_Yr,0,(G3297-0.5*IF(5=Debt_Yr,0,G3600))*INDEX(Fin_Curve,1,5))-G3600-G3600*Fin_ExitFee)</f>
        <v>0</v>
      </c>
      <c r="I3903" s="71" t="n">
        <f aca="false">IF(6&gt;Hold_Yrs,0,I2994-IF(6&gt;Debt_Yr,0,(H3297-0.5*IF(6=Debt_Yr,0,H3600))*INDEX(Fin_Curve,1,6))-H3600-H3600*Fin_ExitFee)</f>
        <v>0</v>
      </c>
      <c r="J3903" s="71" t="n">
        <f aca="false">IF(7&gt;Hold_Yrs,0,J2994-IF(7&gt;Debt_Yr,0,(I3297-0.5*IF(7=Debt_Yr,0,I3600))*INDEX(Fin_Curve,1,7))-I3600-I3600*Fin_ExitFee)</f>
        <v>0</v>
      </c>
      <c r="K3903" s="71" t="n">
        <f aca="false">IF(8&gt;Hold_Yrs,0,K2994-IF(8&gt;Debt_Yr,0,(J3297-0.5*IF(8=Debt_Yr,0,J3600))*INDEX(Fin_Curve,1,8))-J3600-J3600*Fin_ExitFee)</f>
        <v>0</v>
      </c>
      <c r="L3903" s="71" t="n">
        <f aca="false">IF(9&gt;Hold_Yrs,0,L2994-IF(9&gt;Debt_Yr,0,(K3297-0.5*IF(9=Debt_Yr,0,K3600))*INDEX(Fin_Curve,1,9))-K3600-K3600*Fin_ExitFee)</f>
        <v>0</v>
      </c>
      <c r="M3903" s="71" t="n">
        <f aca="false">IF(10&gt;Hold_Yrs,0,M2994-IF(10&gt;Debt_Yr,0,(L3297-0.5*IF(10=Debt_Yr,0,L3600))*INDEX(Fin_Curve,1,10))-L3600-L3600*Fin_ExitFee)</f>
        <v>0</v>
      </c>
    </row>
    <row r="3904" customFormat="false" ht="15" hidden="false" customHeight="false" outlineLevel="0" collapsed="false">
      <c r="B3904" s="102" t="n">
        <f aca="false">'Loan Tape'!$A264</f>
        <v>0</v>
      </c>
      <c r="C3904" s="99" t="n">
        <f aca="false">-'Loan Tape'!$BE264</f>
        <v>-0</v>
      </c>
      <c r="D3904" s="99" t="n">
        <f aca="false">IF(1&gt;Hold_Yrs,0,D2995-IF(1&gt;Debt_Yr,0,(C3298-0.5*IF(1=Debt_Yr,0,C3601))*INDEX(Fin_Curve,1,1))-C3601-C3601*Fin_ExitFee)</f>
        <v>0</v>
      </c>
      <c r="E3904" s="99" t="n">
        <f aca="false">IF(2&gt;Hold_Yrs,0,E2995-IF(2&gt;Debt_Yr,0,(D3298-0.5*IF(2=Debt_Yr,0,D3601))*INDEX(Fin_Curve,1,2))-D3601-D3601*Fin_ExitFee)</f>
        <v>0</v>
      </c>
      <c r="F3904" s="99" t="n">
        <f aca="false">IF(3&gt;Hold_Yrs,0,F2995-IF(3&gt;Debt_Yr,0,(E3298-0.5*IF(3=Debt_Yr,0,E3601))*INDEX(Fin_Curve,1,3))-E3601-E3601*Fin_ExitFee)</f>
        <v>0</v>
      </c>
      <c r="G3904" s="99" t="n">
        <f aca="false">IF(4&gt;Hold_Yrs,0,G2995-IF(4&gt;Debt_Yr,0,(F3298-0.5*IF(4=Debt_Yr,0,F3601))*INDEX(Fin_Curve,1,4))-F3601-F3601*Fin_ExitFee)</f>
        <v>0</v>
      </c>
      <c r="H3904" s="99" t="n">
        <f aca="false">IF(5&gt;Hold_Yrs,0,H2995-IF(5&gt;Debt_Yr,0,(G3298-0.5*IF(5=Debt_Yr,0,G3601))*INDEX(Fin_Curve,1,5))-G3601-G3601*Fin_ExitFee)</f>
        <v>0</v>
      </c>
      <c r="I3904" s="99" t="n">
        <f aca="false">IF(6&gt;Hold_Yrs,0,I2995-IF(6&gt;Debt_Yr,0,(H3298-0.5*IF(6=Debt_Yr,0,H3601))*INDEX(Fin_Curve,1,6))-H3601-H3601*Fin_ExitFee)</f>
        <v>0</v>
      </c>
      <c r="J3904" s="99" t="n">
        <f aca="false">IF(7&gt;Hold_Yrs,0,J2995-IF(7&gt;Debt_Yr,0,(I3298-0.5*IF(7=Debt_Yr,0,I3601))*INDEX(Fin_Curve,1,7))-I3601-I3601*Fin_ExitFee)</f>
        <v>0</v>
      </c>
      <c r="K3904" s="99" t="n">
        <f aca="false">IF(8&gt;Hold_Yrs,0,K2995-IF(8&gt;Debt_Yr,0,(J3298-0.5*IF(8=Debt_Yr,0,J3601))*INDEX(Fin_Curve,1,8))-J3601-J3601*Fin_ExitFee)</f>
        <v>0</v>
      </c>
      <c r="L3904" s="99" t="n">
        <f aca="false">IF(9&gt;Hold_Yrs,0,L2995-IF(9&gt;Debt_Yr,0,(K3298-0.5*IF(9=Debt_Yr,0,K3601))*INDEX(Fin_Curve,1,9))-K3601-K3601*Fin_ExitFee)</f>
        <v>0</v>
      </c>
      <c r="M3904" s="99" t="n">
        <f aca="false">IF(10&gt;Hold_Yrs,0,M2995-IF(10&gt;Debt_Yr,0,(L3298-0.5*IF(10=Debt_Yr,0,L3601))*INDEX(Fin_Curve,1,10))-L3601-L3601*Fin_ExitFee)</f>
        <v>0</v>
      </c>
    </row>
    <row r="3905" customFormat="false" ht="15" hidden="false" customHeight="false" outlineLevel="0" collapsed="false">
      <c r="B3905" s="108" t="n">
        <f aca="false">'Loan Tape'!$A265</f>
        <v>0</v>
      </c>
      <c r="C3905" s="71" t="n">
        <f aca="false">-'Loan Tape'!$BE265</f>
        <v>-0</v>
      </c>
      <c r="D3905" s="71" t="n">
        <f aca="false">IF(1&gt;Hold_Yrs,0,D2996-IF(1&gt;Debt_Yr,0,(C3299-0.5*IF(1=Debt_Yr,0,C3602))*INDEX(Fin_Curve,1,1))-C3602-C3602*Fin_ExitFee)</f>
        <v>0</v>
      </c>
      <c r="E3905" s="71" t="n">
        <f aca="false">IF(2&gt;Hold_Yrs,0,E2996-IF(2&gt;Debt_Yr,0,(D3299-0.5*IF(2=Debt_Yr,0,D3602))*INDEX(Fin_Curve,1,2))-D3602-D3602*Fin_ExitFee)</f>
        <v>0</v>
      </c>
      <c r="F3905" s="71" t="n">
        <f aca="false">IF(3&gt;Hold_Yrs,0,F2996-IF(3&gt;Debt_Yr,0,(E3299-0.5*IF(3=Debt_Yr,0,E3602))*INDEX(Fin_Curve,1,3))-E3602-E3602*Fin_ExitFee)</f>
        <v>0</v>
      </c>
      <c r="G3905" s="71" t="n">
        <f aca="false">IF(4&gt;Hold_Yrs,0,G2996-IF(4&gt;Debt_Yr,0,(F3299-0.5*IF(4=Debt_Yr,0,F3602))*INDEX(Fin_Curve,1,4))-F3602-F3602*Fin_ExitFee)</f>
        <v>0</v>
      </c>
      <c r="H3905" s="71" t="n">
        <f aca="false">IF(5&gt;Hold_Yrs,0,H2996-IF(5&gt;Debt_Yr,0,(G3299-0.5*IF(5=Debt_Yr,0,G3602))*INDEX(Fin_Curve,1,5))-G3602-G3602*Fin_ExitFee)</f>
        <v>0</v>
      </c>
      <c r="I3905" s="71" t="n">
        <f aca="false">IF(6&gt;Hold_Yrs,0,I2996-IF(6&gt;Debt_Yr,0,(H3299-0.5*IF(6=Debt_Yr,0,H3602))*INDEX(Fin_Curve,1,6))-H3602-H3602*Fin_ExitFee)</f>
        <v>0</v>
      </c>
      <c r="J3905" s="71" t="n">
        <f aca="false">IF(7&gt;Hold_Yrs,0,J2996-IF(7&gt;Debt_Yr,0,(I3299-0.5*IF(7=Debt_Yr,0,I3602))*INDEX(Fin_Curve,1,7))-I3602-I3602*Fin_ExitFee)</f>
        <v>0</v>
      </c>
      <c r="K3905" s="71" t="n">
        <f aca="false">IF(8&gt;Hold_Yrs,0,K2996-IF(8&gt;Debt_Yr,0,(J3299-0.5*IF(8=Debt_Yr,0,J3602))*INDEX(Fin_Curve,1,8))-J3602-J3602*Fin_ExitFee)</f>
        <v>0</v>
      </c>
      <c r="L3905" s="71" t="n">
        <f aca="false">IF(9&gt;Hold_Yrs,0,L2996-IF(9&gt;Debt_Yr,0,(K3299-0.5*IF(9=Debt_Yr,0,K3602))*INDEX(Fin_Curve,1,9))-K3602-K3602*Fin_ExitFee)</f>
        <v>0</v>
      </c>
      <c r="M3905" s="71" t="n">
        <f aca="false">IF(10&gt;Hold_Yrs,0,M2996-IF(10&gt;Debt_Yr,0,(L3299-0.5*IF(10=Debt_Yr,0,L3602))*INDEX(Fin_Curve,1,10))-L3602-L3602*Fin_ExitFee)</f>
        <v>0</v>
      </c>
    </row>
    <row r="3906" customFormat="false" ht="15" hidden="false" customHeight="false" outlineLevel="0" collapsed="false">
      <c r="B3906" s="102" t="n">
        <f aca="false">'Loan Tape'!$A266</f>
        <v>0</v>
      </c>
      <c r="C3906" s="99" t="n">
        <f aca="false">-'Loan Tape'!$BE266</f>
        <v>-0</v>
      </c>
      <c r="D3906" s="99" t="n">
        <f aca="false">IF(1&gt;Hold_Yrs,0,D2997-IF(1&gt;Debt_Yr,0,(C3300-0.5*IF(1=Debt_Yr,0,C3603))*INDEX(Fin_Curve,1,1))-C3603-C3603*Fin_ExitFee)</f>
        <v>0</v>
      </c>
      <c r="E3906" s="99" t="n">
        <f aca="false">IF(2&gt;Hold_Yrs,0,E2997-IF(2&gt;Debt_Yr,0,(D3300-0.5*IF(2=Debt_Yr,0,D3603))*INDEX(Fin_Curve,1,2))-D3603-D3603*Fin_ExitFee)</f>
        <v>0</v>
      </c>
      <c r="F3906" s="99" t="n">
        <f aca="false">IF(3&gt;Hold_Yrs,0,F2997-IF(3&gt;Debt_Yr,0,(E3300-0.5*IF(3=Debt_Yr,0,E3603))*INDEX(Fin_Curve,1,3))-E3603-E3603*Fin_ExitFee)</f>
        <v>0</v>
      </c>
      <c r="G3906" s="99" t="n">
        <f aca="false">IF(4&gt;Hold_Yrs,0,G2997-IF(4&gt;Debt_Yr,0,(F3300-0.5*IF(4=Debt_Yr,0,F3603))*INDEX(Fin_Curve,1,4))-F3603-F3603*Fin_ExitFee)</f>
        <v>0</v>
      </c>
      <c r="H3906" s="99" t="n">
        <f aca="false">IF(5&gt;Hold_Yrs,0,H2997-IF(5&gt;Debt_Yr,0,(G3300-0.5*IF(5=Debt_Yr,0,G3603))*INDEX(Fin_Curve,1,5))-G3603-G3603*Fin_ExitFee)</f>
        <v>0</v>
      </c>
      <c r="I3906" s="99" t="n">
        <f aca="false">IF(6&gt;Hold_Yrs,0,I2997-IF(6&gt;Debt_Yr,0,(H3300-0.5*IF(6=Debt_Yr,0,H3603))*INDEX(Fin_Curve,1,6))-H3603-H3603*Fin_ExitFee)</f>
        <v>0</v>
      </c>
      <c r="J3906" s="99" t="n">
        <f aca="false">IF(7&gt;Hold_Yrs,0,J2997-IF(7&gt;Debt_Yr,0,(I3300-0.5*IF(7=Debt_Yr,0,I3603))*INDEX(Fin_Curve,1,7))-I3603-I3603*Fin_ExitFee)</f>
        <v>0</v>
      </c>
      <c r="K3906" s="99" t="n">
        <f aca="false">IF(8&gt;Hold_Yrs,0,K2997-IF(8&gt;Debt_Yr,0,(J3300-0.5*IF(8=Debt_Yr,0,J3603))*INDEX(Fin_Curve,1,8))-J3603-J3603*Fin_ExitFee)</f>
        <v>0</v>
      </c>
      <c r="L3906" s="99" t="n">
        <f aca="false">IF(9&gt;Hold_Yrs,0,L2997-IF(9&gt;Debt_Yr,0,(K3300-0.5*IF(9=Debt_Yr,0,K3603))*INDEX(Fin_Curve,1,9))-K3603-K3603*Fin_ExitFee)</f>
        <v>0</v>
      </c>
      <c r="M3906" s="99" t="n">
        <f aca="false">IF(10&gt;Hold_Yrs,0,M2997-IF(10&gt;Debt_Yr,0,(L3300-0.5*IF(10=Debt_Yr,0,L3603))*INDEX(Fin_Curve,1,10))-L3603-L3603*Fin_ExitFee)</f>
        <v>0</v>
      </c>
    </row>
    <row r="3907" customFormat="false" ht="15" hidden="false" customHeight="false" outlineLevel="0" collapsed="false">
      <c r="B3907" s="108" t="n">
        <f aca="false">'Loan Tape'!$A267</f>
        <v>0</v>
      </c>
      <c r="C3907" s="71" t="n">
        <f aca="false">-'Loan Tape'!$BE267</f>
        <v>-0</v>
      </c>
      <c r="D3907" s="71" t="n">
        <f aca="false">IF(1&gt;Hold_Yrs,0,D2998-IF(1&gt;Debt_Yr,0,(C3301-0.5*IF(1=Debt_Yr,0,C3604))*INDEX(Fin_Curve,1,1))-C3604-C3604*Fin_ExitFee)</f>
        <v>0</v>
      </c>
      <c r="E3907" s="71" t="n">
        <f aca="false">IF(2&gt;Hold_Yrs,0,E2998-IF(2&gt;Debt_Yr,0,(D3301-0.5*IF(2=Debt_Yr,0,D3604))*INDEX(Fin_Curve,1,2))-D3604-D3604*Fin_ExitFee)</f>
        <v>0</v>
      </c>
      <c r="F3907" s="71" t="n">
        <f aca="false">IF(3&gt;Hold_Yrs,0,F2998-IF(3&gt;Debt_Yr,0,(E3301-0.5*IF(3=Debt_Yr,0,E3604))*INDEX(Fin_Curve,1,3))-E3604-E3604*Fin_ExitFee)</f>
        <v>0</v>
      </c>
      <c r="G3907" s="71" t="n">
        <f aca="false">IF(4&gt;Hold_Yrs,0,G2998-IF(4&gt;Debt_Yr,0,(F3301-0.5*IF(4=Debt_Yr,0,F3604))*INDEX(Fin_Curve,1,4))-F3604-F3604*Fin_ExitFee)</f>
        <v>0</v>
      </c>
      <c r="H3907" s="71" t="n">
        <f aca="false">IF(5&gt;Hold_Yrs,0,H2998-IF(5&gt;Debt_Yr,0,(G3301-0.5*IF(5=Debt_Yr,0,G3604))*INDEX(Fin_Curve,1,5))-G3604-G3604*Fin_ExitFee)</f>
        <v>0</v>
      </c>
      <c r="I3907" s="71" t="n">
        <f aca="false">IF(6&gt;Hold_Yrs,0,I2998-IF(6&gt;Debt_Yr,0,(H3301-0.5*IF(6=Debt_Yr,0,H3604))*INDEX(Fin_Curve,1,6))-H3604-H3604*Fin_ExitFee)</f>
        <v>0</v>
      </c>
      <c r="J3907" s="71" t="n">
        <f aca="false">IF(7&gt;Hold_Yrs,0,J2998-IF(7&gt;Debt_Yr,0,(I3301-0.5*IF(7=Debt_Yr,0,I3604))*INDEX(Fin_Curve,1,7))-I3604-I3604*Fin_ExitFee)</f>
        <v>0</v>
      </c>
      <c r="K3907" s="71" t="n">
        <f aca="false">IF(8&gt;Hold_Yrs,0,K2998-IF(8&gt;Debt_Yr,0,(J3301-0.5*IF(8=Debt_Yr,0,J3604))*INDEX(Fin_Curve,1,8))-J3604-J3604*Fin_ExitFee)</f>
        <v>0</v>
      </c>
      <c r="L3907" s="71" t="n">
        <f aca="false">IF(9&gt;Hold_Yrs,0,L2998-IF(9&gt;Debt_Yr,0,(K3301-0.5*IF(9=Debt_Yr,0,K3604))*INDEX(Fin_Curve,1,9))-K3604-K3604*Fin_ExitFee)</f>
        <v>0</v>
      </c>
      <c r="M3907" s="71" t="n">
        <f aca="false">IF(10&gt;Hold_Yrs,0,M2998-IF(10&gt;Debt_Yr,0,(L3301-0.5*IF(10=Debt_Yr,0,L3604))*INDEX(Fin_Curve,1,10))-L3604-L3604*Fin_ExitFee)</f>
        <v>0</v>
      </c>
    </row>
    <row r="3908" customFormat="false" ht="15" hidden="false" customHeight="false" outlineLevel="0" collapsed="false">
      <c r="B3908" s="102" t="n">
        <f aca="false">'Loan Tape'!$A268</f>
        <v>0</v>
      </c>
      <c r="C3908" s="99" t="n">
        <f aca="false">-'Loan Tape'!$BE268</f>
        <v>-0</v>
      </c>
      <c r="D3908" s="99" t="n">
        <f aca="false">IF(1&gt;Hold_Yrs,0,D2999-IF(1&gt;Debt_Yr,0,(C3302-0.5*IF(1=Debt_Yr,0,C3605))*INDEX(Fin_Curve,1,1))-C3605-C3605*Fin_ExitFee)</f>
        <v>0</v>
      </c>
      <c r="E3908" s="99" t="n">
        <f aca="false">IF(2&gt;Hold_Yrs,0,E2999-IF(2&gt;Debt_Yr,0,(D3302-0.5*IF(2=Debt_Yr,0,D3605))*INDEX(Fin_Curve,1,2))-D3605-D3605*Fin_ExitFee)</f>
        <v>0</v>
      </c>
      <c r="F3908" s="99" t="n">
        <f aca="false">IF(3&gt;Hold_Yrs,0,F2999-IF(3&gt;Debt_Yr,0,(E3302-0.5*IF(3=Debt_Yr,0,E3605))*INDEX(Fin_Curve,1,3))-E3605-E3605*Fin_ExitFee)</f>
        <v>0</v>
      </c>
      <c r="G3908" s="99" t="n">
        <f aca="false">IF(4&gt;Hold_Yrs,0,G2999-IF(4&gt;Debt_Yr,0,(F3302-0.5*IF(4=Debt_Yr,0,F3605))*INDEX(Fin_Curve,1,4))-F3605-F3605*Fin_ExitFee)</f>
        <v>0</v>
      </c>
      <c r="H3908" s="99" t="n">
        <f aca="false">IF(5&gt;Hold_Yrs,0,H2999-IF(5&gt;Debt_Yr,0,(G3302-0.5*IF(5=Debt_Yr,0,G3605))*INDEX(Fin_Curve,1,5))-G3605-G3605*Fin_ExitFee)</f>
        <v>0</v>
      </c>
      <c r="I3908" s="99" t="n">
        <f aca="false">IF(6&gt;Hold_Yrs,0,I2999-IF(6&gt;Debt_Yr,0,(H3302-0.5*IF(6=Debt_Yr,0,H3605))*INDEX(Fin_Curve,1,6))-H3605-H3605*Fin_ExitFee)</f>
        <v>0</v>
      </c>
      <c r="J3908" s="99" t="n">
        <f aca="false">IF(7&gt;Hold_Yrs,0,J2999-IF(7&gt;Debt_Yr,0,(I3302-0.5*IF(7=Debt_Yr,0,I3605))*INDEX(Fin_Curve,1,7))-I3605-I3605*Fin_ExitFee)</f>
        <v>0</v>
      </c>
      <c r="K3908" s="99" t="n">
        <f aca="false">IF(8&gt;Hold_Yrs,0,K2999-IF(8&gt;Debt_Yr,0,(J3302-0.5*IF(8=Debt_Yr,0,J3605))*INDEX(Fin_Curve,1,8))-J3605-J3605*Fin_ExitFee)</f>
        <v>0</v>
      </c>
      <c r="L3908" s="99" t="n">
        <f aca="false">IF(9&gt;Hold_Yrs,0,L2999-IF(9&gt;Debt_Yr,0,(K3302-0.5*IF(9=Debt_Yr,0,K3605))*INDEX(Fin_Curve,1,9))-K3605-K3605*Fin_ExitFee)</f>
        <v>0</v>
      </c>
      <c r="M3908" s="99" t="n">
        <f aca="false">IF(10&gt;Hold_Yrs,0,M2999-IF(10&gt;Debt_Yr,0,(L3302-0.5*IF(10=Debt_Yr,0,L3605))*INDEX(Fin_Curve,1,10))-L3605-L3605*Fin_ExitFee)</f>
        <v>0</v>
      </c>
    </row>
    <row r="3909" customFormat="false" ht="15" hidden="false" customHeight="false" outlineLevel="0" collapsed="false">
      <c r="B3909" s="108" t="n">
        <f aca="false">'Loan Tape'!$A269</f>
        <v>0</v>
      </c>
      <c r="C3909" s="71" t="n">
        <f aca="false">-'Loan Tape'!$BE269</f>
        <v>-0</v>
      </c>
      <c r="D3909" s="71" t="n">
        <f aca="false">IF(1&gt;Hold_Yrs,0,D3000-IF(1&gt;Debt_Yr,0,(C3303-0.5*IF(1=Debt_Yr,0,C3606))*INDEX(Fin_Curve,1,1))-C3606-C3606*Fin_ExitFee)</f>
        <v>0</v>
      </c>
      <c r="E3909" s="71" t="n">
        <f aca="false">IF(2&gt;Hold_Yrs,0,E3000-IF(2&gt;Debt_Yr,0,(D3303-0.5*IF(2=Debt_Yr,0,D3606))*INDEX(Fin_Curve,1,2))-D3606-D3606*Fin_ExitFee)</f>
        <v>0</v>
      </c>
      <c r="F3909" s="71" t="n">
        <f aca="false">IF(3&gt;Hold_Yrs,0,F3000-IF(3&gt;Debt_Yr,0,(E3303-0.5*IF(3=Debt_Yr,0,E3606))*INDEX(Fin_Curve,1,3))-E3606-E3606*Fin_ExitFee)</f>
        <v>0</v>
      </c>
      <c r="G3909" s="71" t="n">
        <f aca="false">IF(4&gt;Hold_Yrs,0,G3000-IF(4&gt;Debt_Yr,0,(F3303-0.5*IF(4=Debt_Yr,0,F3606))*INDEX(Fin_Curve,1,4))-F3606-F3606*Fin_ExitFee)</f>
        <v>0</v>
      </c>
      <c r="H3909" s="71" t="n">
        <f aca="false">IF(5&gt;Hold_Yrs,0,H3000-IF(5&gt;Debt_Yr,0,(G3303-0.5*IF(5=Debt_Yr,0,G3606))*INDEX(Fin_Curve,1,5))-G3606-G3606*Fin_ExitFee)</f>
        <v>0</v>
      </c>
      <c r="I3909" s="71" t="n">
        <f aca="false">IF(6&gt;Hold_Yrs,0,I3000-IF(6&gt;Debt_Yr,0,(H3303-0.5*IF(6=Debt_Yr,0,H3606))*INDEX(Fin_Curve,1,6))-H3606-H3606*Fin_ExitFee)</f>
        <v>0</v>
      </c>
      <c r="J3909" s="71" t="n">
        <f aca="false">IF(7&gt;Hold_Yrs,0,J3000-IF(7&gt;Debt_Yr,0,(I3303-0.5*IF(7=Debt_Yr,0,I3606))*INDEX(Fin_Curve,1,7))-I3606-I3606*Fin_ExitFee)</f>
        <v>0</v>
      </c>
      <c r="K3909" s="71" t="n">
        <f aca="false">IF(8&gt;Hold_Yrs,0,K3000-IF(8&gt;Debt_Yr,0,(J3303-0.5*IF(8=Debt_Yr,0,J3606))*INDEX(Fin_Curve,1,8))-J3606-J3606*Fin_ExitFee)</f>
        <v>0</v>
      </c>
      <c r="L3909" s="71" t="n">
        <f aca="false">IF(9&gt;Hold_Yrs,0,L3000-IF(9&gt;Debt_Yr,0,(K3303-0.5*IF(9=Debt_Yr,0,K3606))*INDEX(Fin_Curve,1,9))-K3606-K3606*Fin_ExitFee)</f>
        <v>0</v>
      </c>
      <c r="M3909" s="71" t="n">
        <f aca="false">IF(10&gt;Hold_Yrs,0,M3000-IF(10&gt;Debt_Yr,0,(L3303-0.5*IF(10=Debt_Yr,0,L3606))*INDEX(Fin_Curve,1,10))-L3606-L3606*Fin_ExitFee)</f>
        <v>0</v>
      </c>
    </row>
    <row r="3910" customFormat="false" ht="15" hidden="false" customHeight="false" outlineLevel="0" collapsed="false">
      <c r="B3910" s="102" t="n">
        <f aca="false">'Loan Tape'!$A270</f>
        <v>0</v>
      </c>
      <c r="C3910" s="99" t="n">
        <f aca="false">-'Loan Tape'!$BE270</f>
        <v>-0</v>
      </c>
      <c r="D3910" s="99" t="n">
        <f aca="false">IF(1&gt;Hold_Yrs,0,D3001-IF(1&gt;Debt_Yr,0,(C3304-0.5*IF(1=Debt_Yr,0,C3607))*INDEX(Fin_Curve,1,1))-C3607-C3607*Fin_ExitFee)</f>
        <v>0</v>
      </c>
      <c r="E3910" s="99" t="n">
        <f aca="false">IF(2&gt;Hold_Yrs,0,E3001-IF(2&gt;Debt_Yr,0,(D3304-0.5*IF(2=Debt_Yr,0,D3607))*INDEX(Fin_Curve,1,2))-D3607-D3607*Fin_ExitFee)</f>
        <v>0</v>
      </c>
      <c r="F3910" s="99" t="n">
        <f aca="false">IF(3&gt;Hold_Yrs,0,F3001-IF(3&gt;Debt_Yr,0,(E3304-0.5*IF(3=Debt_Yr,0,E3607))*INDEX(Fin_Curve,1,3))-E3607-E3607*Fin_ExitFee)</f>
        <v>0</v>
      </c>
      <c r="G3910" s="99" t="n">
        <f aca="false">IF(4&gt;Hold_Yrs,0,G3001-IF(4&gt;Debt_Yr,0,(F3304-0.5*IF(4=Debt_Yr,0,F3607))*INDEX(Fin_Curve,1,4))-F3607-F3607*Fin_ExitFee)</f>
        <v>0</v>
      </c>
      <c r="H3910" s="99" t="n">
        <f aca="false">IF(5&gt;Hold_Yrs,0,H3001-IF(5&gt;Debt_Yr,0,(G3304-0.5*IF(5=Debt_Yr,0,G3607))*INDEX(Fin_Curve,1,5))-G3607-G3607*Fin_ExitFee)</f>
        <v>0</v>
      </c>
      <c r="I3910" s="99" t="n">
        <f aca="false">IF(6&gt;Hold_Yrs,0,I3001-IF(6&gt;Debt_Yr,0,(H3304-0.5*IF(6=Debt_Yr,0,H3607))*INDEX(Fin_Curve,1,6))-H3607-H3607*Fin_ExitFee)</f>
        <v>0</v>
      </c>
      <c r="J3910" s="99" t="n">
        <f aca="false">IF(7&gt;Hold_Yrs,0,J3001-IF(7&gt;Debt_Yr,0,(I3304-0.5*IF(7=Debt_Yr,0,I3607))*INDEX(Fin_Curve,1,7))-I3607-I3607*Fin_ExitFee)</f>
        <v>0</v>
      </c>
      <c r="K3910" s="99" t="n">
        <f aca="false">IF(8&gt;Hold_Yrs,0,K3001-IF(8&gt;Debt_Yr,0,(J3304-0.5*IF(8=Debt_Yr,0,J3607))*INDEX(Fin_Curve,1,8))-J3607-J3607*Fin_ExitFee)</f>
        <v>0</v>
      </c>
      <c r="L3910" s="99" t="n">
        <f aca="false">IF(9&gt;Hold_Yrs,0,L3001-IF(9&gt;Debt_Yr,0,(K3304-0.5*IF(9=Debt_Yr,0,K3607))*INDEX(Fin_Curve,1,9))-K3607-K3607*Fin_ExitFee)</f>
        <v>0</v>
      </c>
      <c r="M3910" s="99" t="n">
        <f aca="false">IF(10&gt;Hold_Yrs,0,M3001-IF(10&gt;Debt_Yr,0,(L3304-0.5*IF(10=Debt_Yr,0,L3607))*INDEX(Fin_Curve,1,10))-L3607-L3607*Fin_ExitFee)</f>
        <v>0</v>
      </c>
    </row>
    <row r="3911" customFormat="false" ht="15" hidden="false" customHeight="false" outlineLevel="0" collapsed="false">
      <c r="B3911" s="108" t="n">
        <f aca="false">'Loan Tape'!$A271</f>
        <v>0</v>
      </c>
      <c r="C3911" s="71" t="n">
        <f aca="false">-'Loan Tape'!$BE271</f>
        <v>-0</v>
      </c>
      <c r="D3911" s="71" t="n">
        <f aca="false">IF(1&gt;Hold_Yrs,0,D3002-IF(1&gt;Debt_Yr,0,(C3305-0.5*IF(1=Debt_Yr,0,C3608))*INDEX(Fin_Curve,1,1))-C3608-C3608*Fin_ExitFee)</f>
        <v>0</v>
      </c>
      <c r="E3911" s="71" t="n">
        <f aca="false">IF(2&gt;Hold_Yrs,0,E3002-IF(2&gt;Debt_Yr,0,(D3305-0.5*IF(2=Debt_Yr,0,D3608))*INDEX(Fin_Curve,1,2))-D3608-D3608*Fin_ExitFee)</f>
        <v>0</v>
      </c>
      <c r="F3911" s="71" t="n">
        <f aca="false">IF(3&gt;Hold_Yrs,0,F3002-IF(3&gt;Debt_Yr,0,(E3305-0.5*IF(3=Debt_Yr,0,E3608))*INDEX(Fin_Curve,1,3))-E3608-E3608*Fin_ExitFee)</f>
        <v>0</v>
      </c>
      <c r="G3911" s="71" t="n">
        <f aca="false">IF(4&gt;Hold_Yrs,0,G3002-IF(4&gt;Debt_Yr,0,(F3305-0.5*IF(4=Debt_Yr,0,F3608))*INDEX(Fin_Curve,1,4))-F3608-F3608*Fin_ExitFee)</f>
        <v>0</v>
      </c>
      <c r="H3911" s="71" t="n">
        <f aca="false">IF(5&gt;Hold_Yrs,0,H3002-IF(5&gt;Debt_Yr,0,(G3305-0.5*IF(5=Debt_Yr,0,G3608))*INDEX(Fin_Curve,1,5))-G3608-G3608*Fin_ExitFee)</f>
        <v>0</v>
      </c>
      <c r="I3911" s="71" t="n">
        <f aca="false">IF(6&gt;Hold_Yrs,0,I3002-IF(6&gt;Debt_Yr,0,(H3305-0.5*IF(6=Debt_Yr,0,H3608))*INDEX(Fin_Curve,1,6))-H3608-H3608*Fin_ExitFee)</f>
        <v>0</v>
      </c>
      <c r="J3911" s="71" t="n">
        <f aca="false">IF(7&gt;Hold_Yrs,0,J3002-IF(7&gt;Debt_Yr,0,(I3305-0.5*IF(7=Debt_Yr,0,I3608))*INDEX(Fin_Curve,1,7))-I3608-I3608*Fin_ExitFee)</f>
        <v>0</v>
      </c>
      <c r="K3911" s="71" t="n">
        <f aca="false">IF(8&gt;Hold_Yrs,0,K3002-IF(8&gt;Debt_Yr,0,(J3305-0.5*IF(8=Debt_Yr,0,J3608))*INDEX(Fin_Curve,1,8))-J3608-J3608*Fin_ExitFee)</f>
        <v>0</v>
      </c>
      <c r="L3911" s="71" t="n">
        <f aca="false">IF(9&gt;Hold_Yrs,0,L3002-IF(9&gt;Debt_Yr,0,(K3305-0.5*IF(9=Debt_Yr,0,K3608))*INDEX(Fin_Curve,1,9))-K3608-K3608*Fin_ExitFee)</f>
        <v>0</v>
      </c>
      <c r="M3911" s="71" t="n">
        <f aca="false">IF(10&gt;Hold_Yrs,0,M3002-IF(10&gt;Debt_Yr,0,(L3305-0.5*IF(10=Debt_Yr,0,L3608))*INDEX(Fin_Curve,1,10))-L3608-L3608*Fin_ExitFee)</f>
        <v>0</v>
      </c>
    </row>
    <row r="3912" customFormat="false" ht="15" hidden="false" customHeight="false" outlineLevel="0" collapsed="false">
      <c r="B3912" s="102" t="n">
        <f aca="false">'Loan Tape'!$A272</f>
        <v>0</v>
      </c>
      <c r="C3912" s="99" t="n">
        <f aca="false">-'Loan Tape'!$BE272</f>
        <v>-0</v>
      </c>
      <c r="D3912" s="99" t="n">
        <f aca="false">IF(1&gt;Hold_Yrs,0,D3003-IF(1&gt;Debt_Yr,0,(C3306-0.5*IF(1=Debt_Yr,0,C3609))*INDEX(Fin_Curve,1,1))-C3609-C3609*Fin_ExitFee)</f>
        <v>0</v>
      </c>
      <c r="E3912" s="99" t="n">
        <f aca="false">IF(2&gt;Hold_Yrs,0,E3003-IF(2&gt;Debt_Yr,0,(D3306-0.5*IF(2=Debt_Yr,0,D3609))*INDEX(Fin_Curve,1,2))-D3609-D3609*Fin_ExitFee)</f>
        <v>0</v>
      </c>
      <c r="F3912" s="99" t="n">
        <f aca="false">IF(3&gt;Hold_Yrs,0,F3003-IF(3&gt;Debt_Yr,0,(E3306-0.5*IF(3=Debt_Yr,0,E3609))*INDEX(Fin_Curve,1,3))-E3609-E3609*Fin_ExitFee)</f>
        <v>0</v>
      </c>
      <c r="G3912" s="99" t="n">
        <f aca="false">IF(4&gt;Hold_Yrs,0,G3003-IF(4&gt;Debt_Yr,0,(F3306-0.5*IF(4=Debt_Yr,0,F3609))*INDEX(Fin_Curve,1,4))-F3609-F3609*Fin_ExitFee)</f>
        <v>0</v>
      </c>
      <c r="H3912" s="99" t="n">
        <f aca="false">IF(5&gt;Hold_Yrs,0,H3003-IF(5&gt;Debt_Yr,0,(G3306-0.5*IF(5=Debt_Yr,0,G3609))*INDEX(Fin_Curve,1,5))-G3609-G3609*Fin_ExitFee)</f>
        <v>0</v>
      </c>
      <c r="I3912" s="99" t="n">
        <f aca="false">IF(6&gt;Hold_Yrs,0,I3003-IF(6&gt;Debt_Yr,0,(H3306-0.5*IF(6=Debt_Yr,0,H3609))*INDEX(Fin_Curve,1,6))-H3609-H3609*Fin_ExitFee)</f>
        <v>0</v>
      </c>
      <c r="J3912" s="99" t="n">
        <f aca="false">IF(7&gt;Hold_Yrs,0,J3003-IF(7&gt;Debt_Yr,0,(I3306-0.5*IF(7=Debt_Yr,0,I3609))*INDEX(Fin_Curve,1,7))-I3609-I3609*Fin_ExitFee)</f>
        <v>0</v>
      </c>
      <c r="K3912" s="99" t="n">
        <f aca="false">IF(8&gt;Hold_Yrs,0,K3003-IF(8&gt;Debt_Yr,0,(J3306-0.5*IF(8=Debt_Yr,0,J3609))*INDEX(Fin_Curve,1,8))-J3609-J3609*Fin_ExitFee)</f>
        <v>0</v>
      </c>
      <c r="L3912" s="99" t="n">
        <f aca="false">IF(9&gt;Hold_Yrs,0,L3003-IF(9&gt;Debt_Yr,0,(K3306-0.5*IF(9=Debt_Yr,0,K3609))*INDEX(Fin_Curve,1,9))-K3609-K3609*Fin_ExitFee)</f>
        <v>0</v>
      </c>
      <c r="M3912" s="99" t="n">
        <f aca="false">IF(10&gt;Hold_Yrs,0,M3003-IF(10&gt;Debt_Yr,0,(L3306-0.5*IF(10=Debt_Yr,0,L3609))*INDEX(Fin_Curve,1,10))-L3609-L3609*Fin_ExitFee)</f>
        <v>0</v>
      </c>
    </row>
    <row r="3913" customFormat="false" ht="15" hidden="false" customHeight="false" outlineLevel="0" collapsed="false">
      <c r="B3913" s="108" t="n">
        <f aca="false">'Loan Tape'!$A273</f>
        <v>0</v>
      </c>
      <c r="C3913" s="71" t="n">
        <f aca="false">-'Loan Tape'!$BE273</f>
        <v>-0</v>
      </c>
      <c r="D3913" s="71" t="n">
        <f aca="false">IF(1&gt;Hold_Yrs,0,D3004-IF(1&gt;Debt_Yr,0,(C3307-0.5*IF(1=Debt_Yr,0,C3610))*INDEX(Fin_Curve,1,1))-C3610-C3610*Fin_ExitFee)</f>
        <v>0</v>
      </c>
      <c r="E3913" s="71" t="n">
        <f aca="false">IF(2&gt;Hold_Yrs,0,E3004-IF(2&gt;Debt_Yr,0,(D3307-0.5*IF(2=Debt_Yr,0,D3610))*INDEX(Fin_Curve,1,2))-D3610-D3610*Fin_ExitFee)</f>
        <v>0</v>
      </c>
      <c r="F3913" s="71" t="n">
        <f aca="false">IF(3&gt;Hold_Yrs,0,F3004-IF(3&gt;Debt_Yr,0,(E3307-0.5*IF(3=Debt_Yr,0,E3610))*INDEX(Fin_Curve,1,3))-E3610-E3610*Fin_ExitFee)</f>
        <v>0</v>
      </c>
      <c r="G3913" s="71" t="n">
        <f aca="false">IF(4&gt;Hold_Yrs,0,G3004-IF(4&gt;Debt_Yr,0,(F3307-0.5*IF(4=Debt_Yr,0,F3610))*INDEX(Fin_Curve,1,4))-F3610-F3610*Fin_ExitFee)</f>
        <v>0</v>
      </c>
      <c r="H3913" s="71" t="n">
        <f aca="false">IF(5&gt;Hold_Yrs,0,H3004-IF(5&gt;Debt_Yr,0,(G3307-0.5*IF(5=Debt_Yr,0,G3610))*INDEX(Fin_Curve,1,5))-G3610-G3610*Fin_ExitFee)</f>
        <v>0</v>
      </c>
      <c r="I3913" s="71" t="n">
        <f aca="false">IF(6&gt;Hold_Yrs,0,I3004-IF(6&gt;Debt_Yr,0,(H3307-0.5*IF(6=Debt_Yr,0,H3610))*INDEX(Fin_Curve,1,6))-H3610-H3610*Fin_ExitFee)</f>
        <v>0</v>
      </c>
      <c r="J3913" s="71" t="n">
        <f aca="false">IF(7&gt;Hold_Yrs,0,J3004-IF(7&gt;Debt_Yr,0,(I3307-0.5*IF(7=Debt_Yr,0,I3610))*INDEX(Fin_Curve,1,7))-I3610-I3610*Fin_ExitFee)</f>
        <v>0</v>
      </c>
      <c r="K3913" s="71" t="n">
        <f aca="false">IF(8&gt;Hold_Yrs,0,K3004-IF(8&gt;Debt_Yr,0,(J3307-0.5*IF(8=Debt_Yr,0,J3610))*INDEX(Fin_Curve,1,8))-J3610-J3610*Fin_ExitFee)</f>
        <v>0</v>
      </c>
      <c r="L3913" s="71" t="n">
        <f aca="false">IF(9&gt;Hold_Yrs,0,L3004-IF(9&gt;Debt_Yr,0,(K3307-0.5*IF(9=Debt_Yr,0,K3610))*INDEX(Fin_Curve,1,9))-K3610-K3610*Fin_ExitFee)</f>
        <v>0</v>
      </c>
      <c r="M3913" s="71" t="n">
        <f aca="false">IF(10&gt;Hold_Yrs,0,M3004-IF(10&gt;Debt_Yr,0,(L3307-0.5*IF(10=Debt_Yr,0,L3610))*INDEX(Fin_Curve,1,10))-L3610-L3610*Fin_ExitFee)</f>
        <v>0</v>
      </c>
    </row>
    <row r="3914" customFormat="false" ht="15" hidden="false" customHeight="false" outlineLevel="0" collapsed="false">
      <c r="B3914" s="102" t="n">
        <f aca="false">'Loan Tape'!$A274</f>
        <v>0</v>
      </c>
      <c r="C3914" s="99" t="n">
        <f aca="false">-'Loan Tape'!$BE274</f>
        <v>-0</v>
      </c>
      <c r="D3914" s="99" t="n">
        <f aca="false">IF(1&gt;Hold_Yrs,0,D3005-IF(1&gt;Debt_Yr,0,(C3308-0.5*IF(1=Debt_Yr,0,C3611))*INDEX(Fin_Curve,1,1))-C3611-C3611*Fin_ExitFee)</f>
        <v>0</v>
      </c>
      <c r="E3914" s="99" t="n">
        <f aca="false">IF(2&gt;Hold_Yrs,0,E3005-IF(2&gt;Debt_Yr,0,(D3308-0.5*IF(2=Debt_Yr,0,D3611))*INDEX(Fin_Curve,1,2))-D3611-D3611*Fin_ExitFee)</f>
        <v>0</v>
      </c>
      <c r="F3914" s="99" t="n">
        <f aca="false">IF(3&gt;Hold_Yrs,0,F3005-IF(3&gt;Debt_Yr,0,(E3308-0.5*IF(3=Debt_Yr,0,E3611))*INDEX(Fin_Curve,1,3))-E3611-E3611*Fin_ExitFee)</f>
        <v>0</v>
      </c>
      <c r="G3914" s="99" t="n">
        <f aca="false">IF(4&gt;Hold_Yrs,0,G3005-IF(4&gt;Debt_Yr,0,(F3308-0.5*IF(4=Debt_Yr,0,F3611))*INDEX(Fin_Curve,1,4))-F3611-F3611*Fin_ExitFee)</f>
        <v>0</v>
      </c>
      <c r="H3914" s="99" t="n">
        <f aca="false">IF(5&gt;Hold_Yrs,0,H3005-IF(5&gt;Debt_Yr,0,(G3308-0.5*IF(5=Debt_Yr,0,G3611))*INDEX(Fin_Curve,1,5))-G3611-G3611*Fin_ExitFee)</f>
        <v>0</v>
      </c>
      <c r="I3914" s="99" t="n">
        <f aca="false">IF(6&gt;Hold_Yrs,0,I3005-IF(6&gt;Debt_Yr,0,(H3308-0.5*IF(6=Debt_Yr,0,H3611))*INDEX(Fin_Curve,1,6))-H3611-H3611*Fin_ExitFee)</f>
        <v>0</v>
      </c>
      <c r="J3914" s="99" t="n">
        <f aca="false">IF(7&gt;Hold_Yrs,0,J3005-IF(7&gt;Debt_Yr,0,(I3308-0.5*IF(7=Debt_Yr,0,I3611))*INDEX(Fin_Curve,1,7))-I3611-I3611*Fin_ExitFee)</f>
        <v>0</v>
      </c>
      <c r="K3914" s="99" t="n">
        <f aca="false">IF(8&gt;Hold_Yrs,0,K3005-IF(8&gt;Debt_Yr,0,(J3308-0.5*IF(8=Debt_Yr,0,J3611))*INDEX(Fin_Curve,1,8))-J3611-J3611*Fin_ExitFee)</f>
        <v>0</v>
      </c>
      <c r="L3914" s="99" t="n">
        <f aca="false">IF(9&gt;Hold_Yrs,0,L3005-IF(9&gt;Debt_Yr,0,(K3308-0.5*IF(9=Debt_Yr,0,K3611))*INDEX(Fin_Curve,1,9))-K3611-K3611*Fin_ExitFee)</f>
        <v>0</v>
      </c>
      <c r="M3914" s="99" t="n">
        <f aca="false">IF(10&gt;Hold_Yrs,0,M3005-IF(10&gt;Debt_Yr,0,(L3308-0.5*IF(10=Debt_Yr,0,L3611))*INDEX(Fin_Curve,1,10))-L3611-L3611*Fin_ExitFee)</f>
        <v>0</v>
      </c>
    </row>
    <row r="3915" customFormat="false" ht="15" hidden="false" customHeight="false" outlineLevel="0" collapsed="false">
      <c r="B3915" s="108" t="n">
        <f aca="false">'Loan Tape'!$A275</f>
        <v>0</v>
      </c>
      <c r="C3915" s="71" t="n">
        <f aca="false">-'Loan Tape'!$BE275</f>
        <v>-0</v>
      </c>
      <c r="D3915" s="71" t="n">
        <f aca="false">IF(1&gt;Hold_Yrs,0,D3006-IF(1&gt;Debt_Yr,0,(C3309-0.5*IF(1=Debt_Yr,0,C3612))*INDEX(Fin_Curve,1,1))-C3612-C3612*Fin_ExitFee)</f>
        <v>0</v>
      </c>
      <c r="E3915" s="71" t="n">
        <f aca="false">IF(2&gt;Hold_Yrs,0,E3006-IF(2&gt;Debt_Yr,0,(D3309-0.5*IF(2=Debt_Yr,0,D3612))*INDEX(Fin_Curve,1,2))-D3612-D3612*Fin_ExitFee)</f>
        <v>0</v>
      </c>
      <c r="F3915" s="71" t="n">
        <f aca="false">IF(3&gt;Hold_Yrs,0,F3006-IF(3&gt;Debt_Yr,0,(E3309-0.5*IF(3=Debt_Yr,0,E3612))*INDEX(Fin_Curve,1,3))-E3612-E3612*Fin_ExitFee)</f>
        <v>0</v>
      </c>
      <c r="G3915" s="71" t="n">
        <f aca="false">IF(4&gt;Hold_Yrs,0,G3006-IF(4&gt;Debt_Yr,0,(F3309-0.5*IF(4=Debt_Yr,0,F3612))*INDEX(Fin_Curve,1,4))-F3612-F3612*Fin_ExitFee)</f>
        <v>0</v>
      </c>
      <c r="H3915" s="71" t="n">
        <f aca="false">IF(5&gt;Hold_Yrs,0,H3006-IF(5&gt;Debt_Yr,0,(G3309-0.5*IF(5=Debt_Yr,0,G3612))*INDEX(Fin_Curve,1,5))-G3612-G3612*Fin_ExitFee)</f>
        <v>0</v>
      </c>
      <c r="I3915" s="71" t="n">
        <f aca="false">IF(6&gt;Hold_Yrs,0,I3006-IF(6&gt;Debt_Yr,0,(H3309-0.5*IF(6=Debt_Yr,0,H3612))*INDEX(Fin_Curve,1,6))-H3612-H3612*Fin_ExitFee)</f>
        <v>0</v>
      </c>
      <c r="J3915" s="71" t="n">
        <f aca="false">IF(7&gt;Hold_Yrs,0,J3006-IF(7&gt;Debt_Yr,0,(I3309-0.5*IF(7=Debt_Yr,0,I3612))*INDEX(Fin_Curve,1,7))-I3612-I3612*Fin_ExitFee)</f>
        <v>0</v>
      </c>
      <c r="K3915" s="71" t="n">
        <f aca="false">IF(8&gt;Hold_Yrs,0,K3006-IF(8&gt;Debt_Yr,0,(J3309-0.5*IF(8=Debt_Yr,0,J3612))*INDEX(Fin_Curve,1,8))-J3612-J3612*Fin_ExitFee)</f>
        <v>0</v>
      </c>
      <c r="L3915" s="71" t="n">
        <f aca="false">IF(9&gt;Hold_Yrs,0,L3006-IF(9&gt;Debt_Yr,0,(K3309-0.5*IF(9=Debt_Yr,0,K3612))*INDEX(Fin_Curve,1,9))-K3612-K3612*Fin_ExitFee)</f>
        <v>0</v>
      </c>
      <c r="M3915" s="71" t="n">
        <f aca="false">IF(10&gt;Hold_Yrs,0,M3006-IF(10&gt;Debt_Yr,0,(L3309-0.5*IF(10=Debt_Yr,0,L3612))*INDEX(Fin_Curve,1,10))-L3612-L3612*Fin_ExitFee)</f>
        <v>0</v>
      </c>
    </row>
    <row r="3916" customFormat="false" ht="15" hidden="false" customHeight="false" outlineLevel="0" collapsed="false">
      <c r="B3916" s="102" t="n">
        <f aca="false">'Loan Tape'!$A276</f>
        <v>0</v>
      </c>
      <c r="C3916" s="99" t="n">
        <f aca="false">-'Loan Tape'!$BE276</f>
        <v>-0</v>
      </c>
      <c r="D3916" s="99" t="n">
        <f aca="false">IF(1&gt;Hold_Yrs,0,D3007-IF(1&gt;Debt_Yr,0,(C3310-0.5*IF(1=Debt_Yr,0,C3613))*INDEX(Fin_Curve,1,1))-C3613-C3613*Fin_ExitFee)</f>
        <v>0</v>
      </c>
      <c r="E3916" s="99" t="n">
        <f aca="false">IF(2&gt;Hold_Yrs,0,E3007-IF(2&gt;Debt_Yr,0,(D3310-0.5*IF(2=Debt_Yr,0,D3613))*INDEX(Fin_Curve,1,2))-D3613-D3613*Fin_ExitFee)</f>
        <v>0</v>
      </c>
      <c r="F3916" s="99" t="n">
        <f aca="false">IF(3&gt;Hold_Yrs,0,F3007-IF(3&gt;Debt_Yr,0,(E3310-0.5*IF(3=Debt_Yr,0,E3613))*INDEX(Fin_Curve,1,3))-E3613-E3613*Fin_ExitFee)</f>
        <v>0</v>
      </c>
      <c r="G3916" s="99" t="n">
        <f aca="false">IF(4&gt;Hold_Yrs,0,G3007-IF(4&gt;Debt_Yr,0,(F3310-0.5*IF(4=Debt_Yr,0,F3613))*INDEX(Fin_Curve,1,4))-F3613-F3613*Fin_ExitFee)</f>
        <v>0</v>
      </c>
      <c r="H3916" s="99" t="n">
        <f aca="false">IF(5&gt;Hold_Yrs,0,H3007-IF(5&gt;Debt_Yr,0,(G3310-0.5*IF(5=Debt_Yr,0,G3613))*INDEX(Fin_Curve,1,5))-G3613-G3613*Fin_ExitFee)</f>
        <v>0</v>
      </c>
      <c r="I3916" s="99" t="n">
        <f aca="false">IF(6&gt;Hold_Yrs,0,I3007-IF(6&gt;Debt_Yr,0,(H3310-0.5*IF(6=Debt_Yr,0,H3613))*INDEX(Fin_Curve,1,6))-H3613-H3613*Fin_ExitFee)</f>
        <v>0</v>
      </c>
      <c r="J3916" s="99" t="n">
        <f aca="false">IF(7&gt;Hold_Yrs,0,J3007-IF(7&gt;Debt_Yr,0,(I3310-0.5*IF(7=Debt_Yr,0,I3613))*INDEX(Fin_Curve,1,7))-I3613-I3613*Fin_ExitFee)</f>
        <v>0</v>
      </c>
      <c r="K3916" s="99" t="n">
        <f aca="false">IF(8&gt;Hold_Yrs,0,K3007-IF(8&gt;Debt_Yr,0,(J3310-0.5*IF(8=Debt_Yr,0,J3613))*INDEX(Fin_Curve,1,8))-J3613-J3613*Fin_ExitFee)</f>
        <v>0</v>
      </c>
      <c r="L3916" s="99" t="n">
        <f aca="false">IF(9&gt;Hold_Yrs,0,L3007-IF(9&gt;Debt_Yr,0,(K3310-0.5*IF(9=Debt_Yr,0,K3613))*INDEX(Fin_Curve,1,9))-K3613-K3613*Fin_ExitFee)</f>
        <v>0</v>
      </c>
      <c r="M3916" s="99" t="n">
        <f aca="false">IF(10&gt;Hold_Yrs,0,M3007-IF(10&gt;Debt_Yr,0,(L3310-0.5*IF(10=Debt_Yr,0,L3613))*INDEX(Fin_Curve,1,10))-L3613-L3613*Fin_ExitFee)</f>
        <v>0</v>
      </c>
    </row>
    <row r="3917" customFormat="false" ht="15" hidden="false" customHeight="false" outlineLevel="0" collapsed="false">
      <c r="B3917" s="108" t="n">
        <f aca="false">'Loan Tape'!$A277</f>
        <v>0</v>
      </c>
      <c r="C3917" s="71" t="n">
        <f aca="false">-'Loan Tape'!$BE277</f>
        <v>-0</v>
      </c>
      <c r="D3917" s="71" t="n">
        <f aca="false">IF(1&gt;Hold_Yrs,0,D3008-IF(1&gt;Debt_Yr,0,(C3311-0.5*IF(1=Debt_Yr,0,C3614))*INDEX(Fin_Curve,1,1))-C3614-C3614*Fin_ExitFee)</f>
        <v>0</v>
      </c>
      <c r="E3917" s="71" t="n">
        <f aca="false">IF(2&gt;Hold_Yrs,0,E3008-IF(2&gt;Debt_Yr,0,(D3311-0.5*IF(2=Debt_Yr,0,D3614))*INDEX(Fin_Curve,1,2))-D3614-D3614*Fin_ExitFee)</f>
        <v>0</v>
      </c>
      <c r="F3917" s="71" t="n">
        <f aca="false">IF(3&gt;Hold_Yrs,0,F3008-IF(3&gt;Debt_Yr,0,(E3311-0.5*IF(3=Debt_Yr,0,E3614))*INDEX(Fin_Curve,1,3))-E3614-E3614*Fin_ExitFee)</f>
        <v>0</v>
      </c>
      <c r="G3917" s="71" t="n">
        <f aca="false">IF(4&gt;Hold_Yrs,0,G3008-IF(4&gt;Debt_Yr,0,(F3311-0.5*IF(4=Debt_Yr,0,F3614))*INDEX(Fin_Curve,1,4))-F3614-F3614*Fin_ExitFee)</f>
        <v>0</v>
      </c>
      <c r="H3917" s="71" t="n">
        <f aca="false">IF(5&gt;Hold_Yrs,0,H3008-IF(5&gt;Debt_Yr,0,(G3311-0.5*IF(5=Debt_Yr,0,G3614))*INDEX(Fin_Curve,1,5))-G3614-G3614*Fin_ExitFee)</f>
        <v>0</v>
      </c>
      <c r="I3917" s="71" t="n">
        <f aca="false">IF(6&gt;Hold_Yrs,0,I3008-IF(6&gt;Debt_Yr,0,(H3311-0.5*IF(6=Debt_Yr,0,H3614))*INDEX(Fin_Curve,1,6))-H3614-H3614*Fin_ExitFee)</f>
        <v>0</v>
      </c>
      <c r="J3917" s="71" t="n">
        <f aca="false">IF(7&gt;Hold_Yrs,0,J3008-IF(7&gt;Debt_Yr,0,(I3311-0.5*IF(7=Debt_Yr,0,I3614))*INDEX(Fin_Curve,1,7))-I3614-I3614*Fin_ExitFee)</f>
        <v>0</v>
      </c>
      <c r="K3917" s="71" t="n">
        <f aca="false">IF(8&gt;Hold_Yrs,0,K3008-IF(8&gt;Debt_Yr,0,(J3311-0.5*IF(8=Debt_Yr,0,J3614))*INDEX(Fin_Curve,1,8))-J3614-J3614*Fin_ExitFee)</f>
        <v>0</v>
      </c>
      <c r="L3917" s="71" t="n">
        <f aca="false">IF(9&gt;Hold_Yrs,0,L3008-IF(9&gt;Debt_Yr,0,(K3311-0.5*IF(9=Debt_Yr,0,K3614))*INDEX(Fin_Curve,1,9))-K3614-K3614*Fin_ExitFee)</f>
        <v>0</v>
      </c>
      <c r="M3917" s="71" t="n">
        <f aca="false">IF(10&gt;Hold_Yrs,0,M3008-IF(10&gt;Debt_Yr,0,(L3311-0.5*IF(10=Debt_Yr,0,L3614))*INDEX(Fin_Curve,1,10))-L3614-L3614*Fin_ExitFee)</f>
        <v>0</v>
      </c>
    </row>
    <row r="3918" customFormat="false" ht="15" hidden="false" customHeight="false" outlineLevel="0" collapsed="false">
      <c r="B3918" s="102" t="n">
        <f aca="false">'Loan Tape'!$A278</f>
        <v>0</v>
      </c>
      <c r="C3918" s="99" t="n">
        <f aca="false">-'Loan Tape'!$BE278</f>
        <v>-0</v>
      </c>
      <c r="D3918" s="99" t="n">
        <f aca="false">IF(1&gt;Hold_Yrs,0,D3009-IF(1&gt;Debt_Yr,0,(C3312-0.5*IF(1=Debt_Yr,0,C3615))*INDEX(Fin_Curve,1,1))-C3615-C3615*Fin_ExitFee)</f>
        <v>0</v>
      </c>
      <c r="E3918" s="99" t="n">
        <f aca="false">IF(2&gt;Hold_Yrs,0,E3009-IF(2&gt;Debt_Yr,0,(D3312-0.5*IF(2=Debt_Yr,0,D3615))*INDEX(Fin_Curve,1,2))-D3615-D3615*Fin_ExitFee)</f>
        <v>0</v>
      </c>
      <c r="F3918" s="99" t="n">
        <f aca="false">IF(3&gt;Hold_Yrs,0,F3009-IF(3&gt;Debt_Yr,0,(E3312-0.5*IF(3=Debt_Yr,0,E3615))*INDEX(Fin_Curve,1,3))-E3615-E3615*Fin_ExitFee)</f>
        <v>0</v>
      </c>
      <c r="G3918" s="99" t="n">
        <f aca="false">IF(4&gt;Hold_Yrs,0,G3009-IF(4&gt;Debt_Yr,0,(F3312-0.5*IF(4=Debt_Yr,0,F3615))*INDEX(Fin_Curve,1,4))-F3615-F3615*Fin_ExitFee)</f>
        <v>0</v>
      </c>
      <c r="H3918" s="99" t="n">
        <f aca="false">IF(5&gt;Hold_Yrs,0,H3009-IF(5&gt;Debt_Yr,0,(G3312-0.5*IF(5=Debt_Yr,0,G3615))*INDEX(Fin_Curve,1,5))-G3615-G3615*Fin_ExitFee)</f>
        <v>0</v>
      </c>
      <c r="I3918" s="99" t="n">
        <f aca="false">IF(6&gt;Hold_Yrs,0,I3009-IF(6&gt;Debt_Yr,0,(H3312-0.5*IF(6=Debt_Yr,0,H3615))*INDEX(Fin_Curve,1,6))-H3615-H3615*Fin_ExitFee)</f>
        <v>0</v>
      </c>
      <c r="J3918" s="99" t="n">
        <f aca="false">IF(7&gt;Hold_Yrs,0,J3009-IF(7&gt;Debt_Yr,0,(I3312-0.5*IF(7=Debt_Yr,0,I3615))*INDEX(Fin_Curve,1,7))-I3615-I3615*Fin_ExitFee)</f>
        <v>0</v>
      </c>
      <c r="K3918" s="99" t="n">
        <f aca="false">IF(8&gt;Hold_Yrs,0,K3009-IF(8&gt;Debt_Yr,0,(J3312-0.5*IF(8=Debt_Yr,0,J3615))*INDEX(Fin_Curve,1,8))-J3615-J3615*Fin_ExitFee)</f>
        <v>0</v>
      </c>
      <c r="L3918" s="99" t="n">
        <f aca="false">IF(9&gt;Hold_Yrs,0,L3009-IF(9&gt;Debt_Yr,0,(K3312-0.5*IF(9=Debt_Yr,0,K3615))*INDEX(Fin_Curve,1,9))-K3615-K3615*Fin_ExitFee)</f>
        <v>0</v>
      </c>
      <c r="M3918" s="99" t="n">
        <f aca="false">IF(10&gt;Hold_Yrs,0,M3009-IF(10&gt;Debt_Yr,0,(L3312-0.5*IF(10=Debt_Yr,0,L3615))*INDEX(Fin_Curve,1,10))-L3615-L3615*Fin_ExitFee)</f>
        <v>0</v>
      </c>
    </row>
    <row r="3919" customFormat="false" ht="15" hidden="false" customHeight="false" outlineLevel="0" collapsed="false">
      <c r="B3919" s="108" t="n">
        <f aca="false">'Loan Tape'!$A279</f>
        <v>0</v>
      </c>
      <c r="C3919" s="71" t="n">
        <f aca="false">-'Loan Tape'!$BE279</f>
        <v>-0</v>
      </c>
      <c r="D3919" s="71" t="n">
        <f aca="false">IF(1&gt;Hold_Yrs,0,D3010-IF(1&gt;Debt_Yr,0,(C3313-0.5*IF(1=Debt_Yr,0,C3616))*INDEX(Fin_Curve,1,1))-C3616-C3616*Fin_ExitFee)</f>
        <v>0</v>
      </c>
      <c r="E3919" s="71" t="n">
        <f aca="false">IF(2&gt;Hold_Yrs,0,E3010-IF(2&gt;Debt_Yr,0,(D3313-0.5*IF(2=Debt_Yr,0,D3616))*INDEX(Fin_Curve,1,2))-D3616-D3616*Fin_ExitFee)</f>
        <v>0</v>
      </c>
      <c r="F3919" s="71" t="n">
        <f aca="false">IF(3&gt;Hold_Yrs,0,F3010-IF(3&gt;Debt_Yr,0,(E3313-0.5*IF(3=Debt_Yr,0,E3616))*INDEX(Fin_Curve,1,3))-E3616-E3616*Fin_ExitFee)</f>
        <v>0</v>
      </c>
      <c r="G3919" s="71" t="n">
        <f aca="false">IF(4&gt;Hold_Yrs,0,G3010-IF(4&gt;Debt_Yr,0,(F3313-0.5*IF(4=Debt_Yr,0,F3616))*INDEX(Fin_Curve,1,4))-F3616-F3616*Fin_ExitFee)</f>
        <v>0</v>
      </c>
      <c r="H3919" s="71" t="n">
        <f aca="false">IF(5&gt;Hold_Yrs,0,H3010-IF(5&gt;Debt_Yr,0,(G3313-0.5*IF(5=Debt_Yr,0,G3616))*INDEX(Fin_Curve,1,5))-G3616-G3616*Fin_ExitFee)</f>
        <v>0</v>
      </c>
      <c r="I3919" s="71" t="n">
        <f aca="false">IF(6&gt;Hold_Yrs,0,I3010-IF(6&gt;Debt_Yr,0,(H3313-0.5*IF(6=Debt_Yr,0,H3616))*INDEX(Fin_Curve,1,6))-H3616-H3616*Fin_ExitFee)</f>
        <v>0</v>
      </c>
      <c r="J3919" s="71" t="n">
        <f aca="false">IF(7&gt;Hold_Yrs,0,J3010-IF(7&gt;Debt_Yr,0,(I3313-0.5*IF(7=Debt_Yr,0,I3616))*INDEX(Fin_Curve,1,7))-I3616-I3616*Fin_ExitFee)</f>
        <v>0</v>
      </c>
      <c r="K3919" s="71" t="n">
        <f aca="false">IF(8&gt;Hold_Yrs,0,K3010-IF(8&gt;Debt_Yr,0,(J3313-0.5*IF(8=Debt_Yr,0,J3616))*INDEX(Fin_Curve,1,8))-J3616-J3616*Fin_ExitFee)</f>
        <v>0</v>
      </c>
      <c r="L3919" s="71" t="n">
        <f aca="false">IF(9&gt;Hold_Yrs,0,L3010-IF(9&gt;Debt_Yr,0,(K3313-0.5*IF(9=Debt_Yr,0,K3616))*INDEX(Fin_Curve,1,9))-K3616-K3616*Fin_ExitFee)</f>
        <v>0</v>
      </c>
      <c r="M3919" s="71" t="n">
        <f aca="false">IF(10&gt;Hold_Yrs,0,M3010-IF(10&gt;Debt_Yr,0,(L3313-0.5*IF(10=Debt_Yr,0,L3616))*INDEX(Fin_Curve,1,10))-L3616-L3616*Fin_ExitFee)</f>
        <v>0</v>
      </c>
    </row>
    <row r="3920" customFormat="false" ht="15" hidden="false" customHeight="false" outlineLevel="0" collapsed="false">
      <c r="B3920" s="102" t="n">
        <f aca="false">'Loan Tape'!$A280</f>
        <v>0</v>
      </c>
      <c r="C3920" s="99" t="n">
        <f aca="false">-'Loan Tape'!$BE280</f>
        <v>-0</v>
      </c>
      <c r="D3920" s="99" t="n">
        <f aca="false">IF(1&gt;Hold_Yrs,0,D3011-IF(1&gt;Debt_Yr,0,(C3314-0.5*IF(1=Debt_Yr,0,C3617))*INDEX(Fin_Curve,1,1))-C3617-C3617*Fin_ExitFee)</f>
        <v>0</v>
      </c>
      <c r="E3920" s="99" t="n">
        <f aca="false">IF(2&gt;Hold_Yrs,0,E3011-IF(2&gt;Debt_Yr,0,(D3314-0.5*IF(2=Debt_Yr,0,D3617))*INDEX(Fin_Curve,1,2))-D3617-D3617*Fin_ExitFee)</f>
        <v>0</v>
      </c>
      <c r="F3920" s="99" t="n">
        <f aca="false">IF(3&gt;Hold_Yrs,0,F3011-IF(3&gt;Debt_Yr,0,(E3314-0.5*IF(3=Debt_Yr,0,E3617))*INDEX(Fin_Curve,1,3))-E3617-E3617*Fin_ExitFee)</f>
        <v>0</v>
      </c>
      <c r="G3920" s="99" t="n">
        <f aca="false">IF(4&gt;Hold_Yrs,0,G3011-IF(4&gt;Debt_Yr,0,(F3314-0.5*IF(4=Debt_Yr,0,F3617))*INDEX(Fin_Curve,1,4))-F3617-F3617*Fin_ExitFee)</f>
        <v>0</v>
      </c>
      <c r="H3920" s="99" t="n">
        <f aca="false">IF(5&gt;Hold_Yrs,0,H3011-IF(5&gt;Debt_Yr,0,(G3314-0.5*IF(5=Debt_Yr,0,G3617))*INDEX(Fin_Curve,1,5))-G3617-G3617*Fin_ExitFee)</f>
        <v>0</v>
      </c>
      <c r="I3920" s="99" t="n">
        <f aca="false">IF(6&gt;Hold_Yrs,0,I3011-IF(6&gt;Debt_Yr,0,(H3314-0.5*IF(6=Debt_Yr,0,H3617))*INDEX(Fin_Curve,1,6))-H3617-H3617*Fin_ExitFee)</f>
        <v>0</v>
      </c>
      <c r="J3920" s="99" t="n">
        <f aca="false">IF(7&gt;Hold_Yrs,0,J3011-IF(7&gt;Debt_Yr,0,(I3314-0.5*IF(7=Debt_Yr,0,I3617))*INDEX(Fin_Curve,1,7))-I3617-I3617*Fin_ExitFee)</f>
        <v>0</v>
      </c>
      <c r="K3920" s="99" t="n">
        <f aca="false">IF(8&gt;Hold_Yrs,0,K3011-IF(8&gt;Debt_Yr,0,(J3314-0.5*IF(8=Debt_Yr,0,J3617))*INDEX(Fin_Curve,1,8))-J3617-J3617*Fin_ExitFee)</f>
        <v>0</v>
      </c>
      <c r="L3920" s="99" t="n">
        <f aca="false">IF(9&gt;Hold_Yrs,0,L3011-IF(9&gt;Debt_Yr,0,(K3314-0.5*IF(9=Debt_Yr,0,K3617))*INDEX(Fin_Curve,1,9))-K3617-K3617*Fin_ExitFee)</f>
        <v>0</v>
      </c>
      <c r="M3920" s="99" t="n">
        <f aca="false">IF(10&gt;Hold_Yrs,0,M3011-IF(10&gt;Debt_Yr,0,(L3314-0.5*IF(10=Debt_Yr,0,L3617))*INDEX(Fin_Curve,1,10))-L3617-L3617*Fin_ExitFee)</f>
        <v>0</v>
      </c>
    </row>
    <row r="3921" customFormat="false" ht="15" hidden="false" customHeight="false" outlineLevel="0" collapsed="false">
      <c r="B3921" s="108" t="n">
        <f aca="false">'Loan Tape'!$A281</f>
        <v>0</v>
      </c>
      <c r="C3921" s="71" t="n">
        <f aca="false">-'Loan Tape'!$BE281</f>
        <v>-0</v>
      </c>
      <c r="D3921" s="71" t="n">
        <f aca="false">IF(1&gt;Hold_Yrs,0,D3012-IF(1&gt;Debt_Yr,0,(C3315-0.5*IF(1=Debt_Yr,0,C3618))*INDEX(Fin_Curve,1,1))-C3618-C3618*Fin_ExitFee)</f>
        <v>0</v>
      </c>
      <c r="E3921" s="71" t="n">
        <f aca="false">IF(2&gt;Hold_Yrs,0,E3012-IF(2&gt;Debt_Yr,0,(D3315-0.5*IF(2=Debt_Yr,0,D3618))*INDEX(Fin_Curve,1,2))-D3618-D3618*Fin_ExitFee)</f>
        <v>0</v>
      </c>
      <c r="F3921" s="71" t="n">
        <f aca="false">IF(3&gt;Hold_Yrs,0,F3012-IF(3&gt;Debt_Yr,0,(E3315-0.5*IF(3=Debt_Yr,0,E3618))*INDEX(Fin_Curve,1,3))-E3618-E3618*Fin_ExitFee)</f>
        <v>0</v>
      </c>
      <c r="G3921" s="71" t="n">
        <f aca="false">IF(4&gt;Hold_Yrs,0,G3012-IF(4&gt;Debt_Yr,0,(F3315-0.5*IF(4=Debt_Yr,0,F3618))*INDEX(Fin_Curve,1,4))-F3618-F3618*Fin_ExitFee)</f>
        <v>0</v>
      </c>
      <c r="H3921" s="71" t="n">
        <f aca="false">IF(5&gt;Hold_Yrs,0,H3012-IF(5&gt;Debt_Yr,0,(G3315-0.5*IF(5=Debt_Yr,0,G3618))*INDEX(Fin_Curve,1,5))-G3618-G3618*Fin_ExitFee)</f>
        <v>0</v>
      </c>
      <c r="I3921" s="71" t="n">
        <f aca="false">IF(6&gt;Hold_Yrs,0,I3012-IF(6&gt;Debt_Yr,0,(H3315-0.5*IF(6=Debt_Yr,0,H3618))*INDEX(Fin_Curve,1,6))-H3618-H3618*Fin_ExitFee)</f>
        <v>0</v>
      </c>
      <c r="J3921" s="71" t="n">
        <f aca="false">IF(7&gt;Hold_Yrs,0,J3012-IF(7&gt;Debt_Yr,0,(I3315-0.5*IF(7=Debt_Yr,0,I3618))*INDEX(Fin_Curve,1,7))-I3618-I3618*Fin_ExitFee)</f>
        <v>0</v>
      </c>
      <c r="K3921" s="71" t="n">
        <f aca="false">IF(8&gt;Hold_Yrs,0,K3012-IF(8&gt;Debt_Yr,0,(J3315-0.5*IF(8=Debt_Yr,0,J3618))*INDEX(Fin_Curve,1,8))-J3618-J3618*Fin_ExitFee)</f>
        <v>0</v>
      </c>
      <c r="L3921" s="71" t="n">
        <f aca="false">IF(9&gt;Hold_Yrs,0,L3012-IF(9&gt;Debt_Yr,0,(K3315-0.5*IF(9=Debt_Yr,0,K3618))*INDEX(Fin_Curve,1,9))-K3618-K3618*Fin_ExitFee)</f>
        <v>0</v>
      </c>
      <c r="M3921" s="71" t="n">
        <f aca="false">IF(10&gt;Hold_Yrs,0,M3012-IF(10&gt;Debt_Yr,0,(L3315-0.5*IF(10=Debt_Yr,0,L3618))*INDEX(Fin_Curve,1,10))-L3618-L3618*Fin_ExitFee)</f>
        <v>0</v>
      </c>
    </row>
    <row r="3922" customFormat="false" ht="15" hidden="false" customHeight="false" outlineLevel="0" collapsed="false">
      <c r="B3922" s="102" t="n">
        <f aca="false">'Loan Tape'!$A282</f>
        <v>0</v>
      </c>
      <c r="C3922" s="99" t="n">
        <f aca="false">-'Loan Tape'!$BE282</f>
        <v>-0</v>
      </c>
      <c r="D3922" s="99" t="n">
        <f aca="false">IF(1&gt;Hold_Yrs,0,D3013-IF(1&gt;Debt_Yr,0,(C3316-0.5*IF(1=Debt_Yr,0,C3619))*INDEX(Fin_Curve,1,1))-C3619-C3619*Fin_ExitFee)</f>
        <v>0</v>
      </c>
      <c r="E3922" s="99" t="n">
        <f aca="false">IF(2&gt;Hold_Yrs,0,E3013-IF(2&gt;Debt_Yr,0,(D3316-0.5*IF(2=Debt_Yr,0,D3619))*INDEX(Fin_Curve,1,2))-D3619-D3619*Fin_ExitFee)</f>
        <v>0</v>
      </c>
      <c r="F3922" s="99" t="n">
        <f aca="false">IF(3&gt;Hold_Yrs,0,F3013-IF(3&gt;Debt_Yr,0,(E3316-0.5*IF(3=Debt_Yr,0,E3619))*INDEX(Fin_Curve,1,3))-E3619-E3619*Fin_ExitFee)</f>
        <v>0</v>
      </c>
      <c r="G3922" s="99" t="n">
        <f aca="false">IF(4&gt;Hold_Yrs,0,G3013-IF(4&gt;Debt_Yr,0,(F3316-0.5*IF(4=Debt_Yr,0,F3619))*INDEX(Fin_Curve,1,4))-F3619-F3619*Fin_ExitFee)</f>
        <v>0</v>
      </c>
      <c r="H3922" s="99" t="n">
        <f aca="false">IF(5&gt;Hold_Yrs,0,H3013-IF(5&gt;Debt_Yr,0,(G3316-0.5*IF(5=Debt_Yr,0,G3619))*INDEX(Fin_Curve,1,5))-G3619-G3619*Fin_ExitFee)</f>
        <v>0</v>
      </c>
      <c r="I3922" s="99" t="n">
        <f aca="false">IF(6&gt;Hold_Yrs,0,I3013-IF(6&gt;Debt_Yr,0,(H3316-0.5*IF(6=Debt_Yr,0,H3619))*INDEX(Fin_Curve,1,6))-H3619-H3619*Fin_ExitFee)</f>
        <v>0</v>
      </c>
      <c r="J3922" s="99" t="n">
        <f aca="false">IF(7&gt;Hold_Yrs,0,J3013-IF(7&gt;Debt_Yr,0,(I3316-0.5*IF(7=Debt_Yr,0,I3619))*INDEX(Fin_Curve,1,7))-I3619-I3619*Fin_ExitFee)</f>
        <v>0</v>
      </c>
      <c r="K3922" s="99" t="n">
        <f aca="false">IF(8&gt;Hold_Yrs,0,K3013-IF(8&gt;Debt_Yr,0,(J3316-0.5*IF(8=Debt_Yr,0,J3619))*INDEX(Fin_Curve,1,8))-J3619-J3619*Fin_ExitFee)</f>
        <v>0</v>
      </c>
      <c r="L3922" s="99" t="n">
        <f aca="false">IF(9&gt;Hold_Yrs,0,L3013-IF(9&gt;Debt_Yr,0,(K3316-0.5*IF(9=Debt_Yr,0,K3619))*INDEX(Fin_Curve,1,9))-K3619-K3619*Fin_ExitFee)</f>
        <v>0</v>
      </c>
      <c r="M3922" s="99" t="n">
        <f aca="false">IF(10&gt;Hold_Yrs,0,M3013-IF(10&gt;Debt_Yr,0,(L3316-0.5*IF(10=Debt_Yr,0,L3619))*INDEX(Fin_Curve,1,10))-L3619-L3619*Fin_ExitFee)</f>
        <v>0</v>
      </c>
    </row>
    <row r="3923" customFormat="false" ht="15" hidden="false" customHeight="false" outlineLevel="0" collapsed="false">
      <c r="B3923" s="108" t="n">
        <f aca="false">'Loan Tape'!$A283</f>
        <v>0</v>
      </c>
      <c r="C3923" s="71" t="n">
        <f aca="false">-'Loan Tape'!$BE283</f>
        <v>-0</v>
      </c>
      <c r="D3923" s="71" t="n">
        <f aca="false">IF(1&gt;Hold_Yrs,0,D3014-IF(1&gt;Debt_Yr,0,(C3317-0.5*IF(1=Debt_Yr,0,C3620))*INDEX(Fin_Curve,1,1))-C3620-C3620*Fin_ExitFee)</f>
        <v>0</v>
      </c>
      <c r="E3923" s="71" t="n">
        <f aca="false">IF(2&gt;Hold_Yrs,0,E3014-IF(2&gt;Debt_Yr,0,(D3317-0.5*IF(2=Debt_Yr,0,D3620))*INDEX(Fin_Curve,1,2))-D3620-D3620*Fin_ExitFee)</f>
        <v>0</v>
      </c>
      <c r="F3923" s="71" t="n">
        <f aca="false">IF(3&gt;Hold_Yrs,0,F3014-IF(3&gt;Debt_Yr,0,(E3317-0.5*IF(3=Debt_Yr,0,E3620))*INDEX(Fin_Curve,1,3))-E3620-E3620*Fin_ExitFee)</f>
        <v>0</v>
      </c>
      <c r="G3923" s="71" t="n">
        <f aca="false">IF(4&gt;Hold_Yrs,0,G3014-IF(4&gt;Debt_Yr,0,(F3317-0.5*IF(4=Debt_Yr,0,F3620))*INDEX(Fin_Curve,1,4))-F3620-F3620*Fin_ExitFee)</f>
        <v>0</v>
      </c>
      <c r="H3923" s="71" t="n">
        <f aca="false">IF(5&gt;Hold_Yrs,0,H3014-IF(5&gt;Debt_Yr,0,(G3317-0.5*IF(5=Debt_Yr,0,G3620))*INDEX(Fin_Curve,1,5))-G3620-G3620*Fin_ExitFee)</f>
        <v>0</v>
      </c>
      <c r="I3923" s="71" t="n">
        <f aca="false">IF(6&gt;Hold_Yrs,0,I3014-IF(6&gt;Debt_Yr,0,(H3317-0.5*IF(6=Debt_Yr,0,H3620))*INDEX(Fin_Curve,1,6))-H3620-H3620*Fin_ExitFee)</f>
        <v>0</v>
      </c>
      <c r="J3923" s="71" t="n">
        <f aca="false">IF(7&gt;Hold_Yrs,0,J3014-IF(7&gt;Debt_Yr,0,(I3317-0.5*IF(7=Debt_Yr,0,I3620))*INDEX(Fin_Curve,1,7))-I3620-I3620*Fin_ExitFee)</f>
        <v>0</v>
      </c>
      <c r="K3923" s="71" t="n">
        <f aca="false">IF(8&gt;Hold_Yrs,0,K3014-IF(8&gt;Debt_Yr,0,(J3317-0.5*IF(8=Debt_Yr,0,J3620))*INDEX(Fin_Curve,1,8))-J3620-J3620*Fin_ExitFee)</f>
        <v>0</v>
      </c>
      <c r="L3923" s="71" t="n">
        <f aca="false">IF(9&gt;Hold_Yrs,0,L3014-IF(9&gt;Debt_Yr,0,(K3317-0.5*IF(9=Debt_Yr,0,K3620))*INDEX(Fin_Curve,1,9))-K3620-K3620*Fin_ExitFee)</f>
        <v>0</v>
      </c>
      <c r="M3923" s="71" t="n">
        <f aca="false">IF(10&gt;Hold_Yrs,0,M3014-IF(10&gt;Debt_Yr,0,(L3317-0.5*IF(10=Debt_Yr,0,L3620))*INDEX(Fin_Curve,1,10))-L3620-L3620*Fin_ExitFee)</f>
        <v>0</v>
      </c>
    </row>
    <row r="3924" customFormat="false" ht="15" hidden="false" customHeight="false" outlineLevel="0" collapsed="false">
      <c r="B3924" s="102" t="n">
        <f aca="false">'Loan Tape'!$A284</f>
        <v>0</v>
      </c>
      <c r="C3924" s="99" t="n">
        <f aca="false">-'Loan Tape'!$BE284</f>
        <v>-0</v>
      </c>
      <c r="D3924" s="99" t="n">
        <f aca="false">IF(1&gt;Hold_Yrs,0,D3015-IF(1&gt;Debt_Yr,0,(C3318-0.5*IF(1=Debt_Yr,0,C3621))*INDEX(Fin_Curve,1,1))-C3621-C3621*Fin_ExitFee)</f>
        <v>0</v>
      </c>
      <c r="E3924" s="99" t="n">
        <f aca="false">IF(2&gt;Hold_Yrs,0,E3015-IF(2&gt;Debt_Yr,0,(D3318-0.5*IF(2=Debt_Yr,0,D3621))*INDEX(Fin_Curve,1,2))-D3621-D3621*Fin_ExitFee)</f>
        <v>0</v>
      </c>
      <c r="F3924" s="99" t="n">
        <f aca="false">IF(3&gt;Hold_Yrs,0,F3015-IF(3&gt;Debt_Yr,0,(E3318-0.5*IF(3=Debt_Yr,0,E3621))*INDEX(Fin_Curve,1,3))-E3621-E3621*Fin_ExitFee)</f>
        <v>0</v>
      </c>
      <c r="G3924" s="99" t="n">
        <f aca="false">IF(4&gt;Hold_Yrs,0,G3015-IF(4&gt;Debt_Yr,0,(F3318-0.5*IF(4=Debt_Yr,0,F3621))*INDEX(Fin_Curve,1,4))-F3621-F3621*Fin_ExitFee)</f>
        <v>0</v>
      </c>
      <c r="H3924" s="99" t="n">
        <f aca="false">IF(5&gt;Hold_Yrs,0,H3015-IF(5&gt;Debt_Yr,0,(G3318-0.5*IF(5=Debt_Yr,0,G3621))*INDEX(Fin_Curve,1,5))-G3621-G3621*Fin_ExitFee)</f>
        <v>0</v>
      </c>
      <c r="I3924" s="99" t="n">
        <f aca="false">IF(6&gt;Hold_Yrs,0,I3015-IF(6&gt;Debt_Yr,0,(H3318-0.5*IF(6=Debt_Yr,0,H3621))*INDEX(Fin_Curve,1,6))-H3621-H3621*Fin_ExitFee)</f>
        <v>0</v>
      </c>
      <c r="J3924" s="99" t="n">
        <f aca="false">IF(7&gt;Hold_Yrs,0,J3015-IF(7&gt;Debt_Yr,0,(I3318-0.5*IF(7=Debt_Yr,0,I3621))*INDEX(Fin_Curve,1,7))-I3621-I3621*Fin_ExitFee)</f>
        <v>0</v>
      </c>
      <c r="K3924" s="99" t="n">
        <f aca="false">IF(8&gt;Hold_Yrs,0,K3015-IF(8&gt;Debt_Yr,0,(J3318-0.5*IF(8=Debt_Yr,0,J3621))*INDEX(Fin_Curve,1,8))-J3621-J3621*Fin_ExitFee)</f>
        <v>0</v>
      </c>
      <c r="L3924" s="99" t="n">
        <f aca="false">IF(9&gt;Hold_Yrs,0,L3015-IF(9&gt;Debt_Yr,0,(K3318-0.5*IF(9=Debt_Yr,0,K3621))*INDEX(Fin_Curve,1,9))-K3621-K3621*Fin_ExitFee)</f>
        <v>0</v>
      </c>
      <c r="M3924" s="99" t="n">
        <f aca="false">IF(10&gt;Hold_Yrs,0,M3015-IF(10&gt;Debt_Yr,0,(L3318-0.5*IF(10=Debt_Yr,0,L3621))*INDEX(Fin_Curve,1,10))-L3621-L3621*Fin_ExitFee)</f>
        <v>0</v>
      </c>
    </row>
    <row r="3925" customFormat="false" ht="15" hidden="false" customHeight="false" outlineLevel="0" collapsed="false">
      <c r="B3925" s="108" t="n">
        <f aca="false">'Loan Tape'!$A285</f>
        <v>0</v>
      </c>
      <c r="C3925" s="71" t="n">
        <f aca="false">-'Loan Tape'!$BE285</f>
        <v>-0</v>
      </c>
      <c r="D3925" s="71" t="n">
        <f aca="false">IF(1&gt;Hold_Yrs,0,D3016-IF(1&gt;Debt_Yr,0,(C3319-0.5*IF(1=Debt_Yr,0,C3622))*INDEX(Fin_Curve,1,1))-C3622-C3622*Fin_ExitFee)</f>
        <v>0</v>
      </c>
      <c r="E3925" s="71" t="n">
        <f aca="false">IF(2&gt;Hold_Yrs,0,E3016-IF(2&gt;Debt_Yr,0,(D3319-0.5*IF(2=Debt_Yr,0,D3622))*INDEX(Fin_Curve,1,2))-D3622-D3622*Fin_ExitFee)</f>
        <v>0</v>
      </c>
      <c r="F3925" s="71" t="n">
        <f aca="false">IF(3&gt;Hold_Yrs,0,F3016-IF(3&gt;Debt_Yr,0,(E3319-0.5*IF(3=Debt_Yr,0,E3622))*INDEX(Fin_Curve,1,3))-E3622-E3622*Fin_ExitFee)</f>
        <v>0</v>
      </c>
      <c r="G3925" s="71" t="n">
        <f aca="false">IF(4&gt;Hold_Yrs,0,G3016-IF(4&gt;Debt_Yr,0,(F3319-0.5*IF(4=Debt_Yr,0,F3622))*INDEX(Fin_Curve,1,4))-F3622-F3622*Fin_ExitFee)</f>
        <v>0</v>
      </c>
      <c r="H3925" s="71" t="n">
        <f aca="false">IF(5&gt;Hold_Yrs,0,H3016-IF(5&gt;Debt_Yr,0,(G3319-0.5*IF(5=Debt_Yr,0,G3622))*INDEX(Fin_Curve,1,5))-G3622-G3622*Fin_ExitFee)</f>
        <v>0</v>
      </c>
      <c r="I3925" s="71" t="n">
        <f aca="false">IF(6&gt;Hold_Yrs,0,I3016-IF(6&gt;Debt_Yr,0,(H3319-0.5*IF(6=Debt_Yr,0,H3622))*INDEX(Fin_Curve,1,6))-H3622-H3622*Fin_ExitFee)</f>
        <v>0</v>
      </c>
      <c r="J3925" s="71" t="n">
        <f aca="false">IF(7&gt;Hold_Yrs,0,J3016-IF(7&gt;Debt_Yr,0,(I3319-0.5*IF(7=Debt_Yr,0,I3622))*INDEX(Fin_Curve,1,7))-I3622-I3622*Fin_ExitFee)</f>
        <v>0</v>
      </c>
      <c r="K3925" s="71" t="n">
        <f aca="false">IF(8&gt;Hold_Yrs,0,K3016-IF(8&gt;Debt_Yr,0,(J3319-0.5*IF(8=Debt_Yr,0,J3622))*INDEX(Fin_Curve,1,8))-J3622-J3622*Fin_ExitFee)</f>
        <v>0</v>
      </c>
      <c r="L3925" s="71" t="n">
        <f aca="false">IF(9&gt;Hold_Yrs,0,L3016-IF(9&gt;Debt_Yr,0,(K3319-0.5*IF(9=Debt_Yr,0,K3622))*INDEX(Fin_Curve,1,9))-K3622-K3622*Fin_ExitFee)</f>
        <v>0</v>
      </c>
      <c r="M3925" s="71" t="n">
        <f aca="false">IF(10&gt;Hold_Yrs,0,M3016-IF(10&gt;Debt_Yr,0,(L3319-0.5*IF(10=Debt_Yr,0,L3622))*INDEX(Fin_Curve,1,10))-L3622-L3622*Fin_ExitFee)</f>
        <v>0</v>
      </c>
    </row>
    <row r="3926" customFormat="false" ht="15" hidden="false" customHeight="false" outlineLevel="0" collapsed="false">
      <c r="B3926" s="102" t="n">
        <f aca="false">'Loan Tape'!$A286</f>
        <v>0</v>
      </c>
      <c r="C3926" s="99" t="n">
        <f aca="false">-'Loan Tape'!$BE286</f>
        <v>-0</v>
      </c>
      <c r="D3926" s="99" t="n">
        <f aca="false">IF(1&gt;Hold_Yrs,0,D3017-IF(1&gt;Debt_Yr,0,(C3320-0.5*IF(1=Debt_Yr,0,C3623))*INDEX(Fin_Curve,1,1))-C3623-C3623*Fin_ExitFee)</f>
        <v>0</v>
      </c>
      <c r="E3926" s="99" t="n">
        <f aca="false">IF(2&gt;Hold_Yrs,0,E3017-IF(2&gt;Debt_Yr,0,(D3320-0.5*IF(2=Debt_Yr,0,D3623))*INDEX(Fin_Curve,1,2))-D3623-D3623*Fin_ExitFee)</f>
        <v>0</v>
      </c>
      <c r="F3926" s="99" t="n">
        <f aca="false">IF(3&gt;Hold_Yrs,0,F3017-IF(3&gt;Debt_Yr,0,(E3320-0.5*IF(3=Debt_Yr,0,E3623))*INDEX(Fin_Curve,1,3))-E3623-E3623*Fin_ExitFee)</f>
        <v>0</v>
      </c>
      <c r="G3926" s="99" t="n">
        <f aca="false">IF(4&gt;Hold_Yrs,0,G3017-IF(4&gt;Debt_Yr,0,(F3320-0.5*IF(4=Debt_Yr,0,F3623))*INDEX(Fin_Curve,1,4))-F3623-F3623*Fin_ExitFee)</f>
        <v>0</v>
      </c>
      <c r="H3926" s="99" t="n">
        <f aca="false">IF(5&gt;Hold_Yrs,0,H3017-IF(5&gt;Debt_Yr,0,(G3320-0.5*IF(5=Debt_Yr,0,G3623))*INDEX(Fin_Curve,1,5))-G3623-G3623*Fin_ExitFee)</f>
        <v>0</v>
      </c>
      <c r="I3926" s="99" t="n">
        <f aca="false">IF(6&gt;Hold_Yrs,0,I3017-IF(6&gt;Debt_Yr,0,(H3320-0.5*IF(6=Debt_Yr,0,H3623))*INDEX(Fin_Curve,1,6))-H3623-H3623*Fin_ExitFee)</f>
        <v>0</v>
      </c>
      <c r="J3926" s="99" t="n">
        <f aca="false">IF(7&gt;Hold_Yrs,0,J3017-IF(7&gt;Debt_Yr,0,(I3320-0.5*IF(7=Debt_Yr,0,I3623))*INDEX(Fin_Curve,1,7))-I3623-I3623*Fin_ExitFee)</f>
        <v>0</v>
      </c>
      <c r="K3926" s="99" t="n">
        <f aca="false">IF(8&gt;Hold_Yrs,0,K3017-IF(8&gt;Debt_Yr,0,(J3320-0.5*IF(8=Debt_Yr,0,J3623))*INDEX(Fin_Curve,1,8))-J3623-J3623*Fin_ExitFee)</f>
        <v>0</v>
      </c>
      <c r="L3926" s="99" t="n">
        <f aca="false">IF(9&gt;Hold_Yrs,0,L3017-IF(9&gt;Debt_Yr,0,(K3320-0.5*IF(9=Debt_Yr,0,K3623))*INDEX(Fin_Curve,1,9))-K3623-K3623*Fin_ExitFee)</f>
        <v>0</v>
      </c>
      <c r="M3926" s="99" t="n">
        <f aca="false">IF(10&gt;Hold_Yrs,0,M3017-IF(10&gt;Debt_Yr,0,(L3320-0.5*IF(10=Debt_Yr,0,L3623))*INDEX(Fin_Curve,1,10))-L3623-L3623*Fin_ExitFee)</f>
        <v>0</v>
      </c>
    </row>
    <row r="3927" customFormat="false" ht="15" hidden="false" customHeight="false" outlineLevel="0" collapsed="false">
      <c r="B3927" s="108" t="n">
        <f aca="false">'Loan Tape'!$A287</f>
        <v>0</v>
      </c>
      <c r="C3927" s="71" t="n">
        <f aca="false">-'Loan Tape'!$BE287</f>
        <v>-0</v>
      </c>
      <c r="D3927" s="71" t="n">
        <f aca="false">IF(1&gt;Hold_Yrs,0,D3018-IF(1&gt;Debt_Yr,0,(C3321-0.5*IF(1=Debt_Yr,0,C3624))*INDEX(Fin_Curve,1,1))-C3624-C3624*Fin_ExitFee)</f>
        <v>0</v>
      </c>
      <c r="E3927" s="71" t="n">
        <f aca="false">IF(2&gt;Hold_Yrs,0,E3018-IF(2&gt;Debt_Yr,0,(D3321-0.5*IF(2=Debt_Yr,0,D3624))*INDEX(Fin_Curve,1,2))-D3624-D3624*Fin_ExitFee)</f>
        <v>0</v>
      </c>
      <c r="F3927" s="71" t="n">
        <f aca="false">IF(3&gt;Hold_Yrs,0,F3018-IF(3&gt;Debt_Yr,0,(E3321-0.5*IF(3=Debt_Yr,0,E3624))*INDEX(Fin_Curve,1,3))-E3624-E3624*Fin_ExitFee)</f>
        <v>0</v>
      </c>
      <c r="G3927" s="71" t="n">
        <f aca="false">IF(4&gt;Hold_Yrs,0,G3018-IF(4&gt;Debt_Yr,0,(F3321-0.5*IF(4=Debt_Yr,0,F3624))*INDEX(Fin_Curve,1,4))-F3624-F3624*Fin_ExitFee)</f>
        <v>0</v>
      </c>
      <c r="H3927" s="71" t="n">
        <f aca="false">IF(5&gt;Hold_Yrs,0,H3018-IF(5&gt;Debt_Yr,0,(G3321-0.5*IF(5=Debt_Yr,0,G3624))*INDEX(Fin_Curve,1,5))-G3624-G3624*Fin_ExitFee)</f>
        <v>0</v>
      </c>
      <c r="I3927" s="71" t="n">
        <f aca="false">IF(6&gt;Hold_Yrs,0,I3018-IF(6&gt;Debt_Yr,0,(H3321-0.5*IF(6=Debt_Yr,0,H3624))*INDEX(Fin_Curve,1,6))-H3624-H3624*Fin_ExitFee)</f>
        <v>0</v>
      </c>
      <c r="J3927" s="71" t="n">
        <f aca="false">IF(7&gt;Hold_Yrs,0,J3018-IF(7&gt;Debt_Yr,0,(I3321-0.5*IF(7=Debt_Yr,0,I3624))*INDEX(Fin_Curve,1,7))-I3624-I3624*Fin_ExitFee)</f>
        <v>0</v>
      </c>
      <c r="K3927" s="71" t="n">
        <f aca="false">IF(8&gt;Hold_Yrs,0,K3018-IF(8&gt;Debt_Yr,0,(J3321-0.5*IF(8=Debt_Yr,0,J3624))*INDEX(Fin_Curve,1,8))-J3624-J3624*Fin_ExitFee)</f>
        <v>0</v>
      </c>
      <c r="L3927" s="71" t="n">
        <f aca="false">IF(9&gt;Hold_Yrs,0,L3018-IF(9&gt;Debt_Yr,0,(K3321-0.5*IF(9=Debt_Yr,0,K3624))*INDEX(Fin_Curve,1,9))-K3624-K3624*Fin_ExitFee)</f>
        <v>0</v>
      </c>
      <c r="M3927" s="71" t="n">
        <f aca="false">IF(10&gt;Hold_Yrs,0,M3018-IF(10&gt;Debt_Yr,0,(L3321-0.5*IF(10=Debt_Yr,0,L3624))*INDEX(Fin_Curve,1,10))-L3624-L3624*Fin_ExitFee)</f>
        <v>0</v>
      </c>
    </row>
    <row r="3928" customFormat="false" ht="15" hidden="false" customHeight="false" outlineLevel="0" collapsed="false">
      <c r="B3928" s="102" t="n">
        <f aca="false">'Loan Tape'!$A288</f>
        <v>0</v>
      </c>
      <c r="C3928" s="99" t="n">
        <f aca="false">-'Loan Tape'!$BE288</f>
        <v>-0</v>
      </c>
      <c r="D3928" s="99" t="n">
        <f aca="false">IF(1&gt;Hold_Yrs,0,D3019-IF(1&gt;Debt_Yr,0,(C3322-0.5*IF(1=Debt_Yr,0,C3625))*INDEX(Fin_Curve,1,1))-C3625-C3625*Fin_ExitFee)</f>
        <v>0</v>
      </c>
      <c r="E3928" s="99" t="n">
        <f aca="false">IF(2&gt;Hold_Yrs,0,E3019-IF(2&gt;Debt_Yr,0,(D3322-0.5*IF(2=Debt_Yr,0,D3625))*INDEX(Fin_Curve,1,2))-D3625-D3625*Fin_ExitFee)</f>
        <v>0</v>
      </c>
      <c r="F3928" s="99" t="n">
        <f aca="false">IF(3&gt;Hold_Yrs,0,F3019-IF(3&gt;Debt_Yr,0,(E3322-0.5*IF(3=Debt_Yr,0,E3625))*INDEX(Fin_Curve,1,3))-E3625-E3625*Fin_ExitFee)</f>
        <v>0</v>
      </c>
      <c r="G3928" s="99" t="n">
        <f aca="false">IF(4&gt;Hold_Yrs,0,G3019-IF(4&gt;Debt_Yr,0,(F3322-0.5*IF(4=Debt_Yr,0,F3625))*INDEX(Fin_Curve,1,4))-F3625-F3625*Fin_ExitFee)</f>
        <v>0</v>
      </c>
      <c r="H3928" s="99" t="n">
        <f aca="false">IF(5&gt;Hold_Yrs,0,H3019-IF(5&gt;Debt_Yr,0,(G3322-0.5*IF(5=Debt_Yr,0,G3625))*INDEX(Fin_Curve,1,5))-G3625-G3625*Fin_ExitFee)</f>
        <v>0</v>
      </c>
      <c r="I3928" s="99" t="n">
        <f aca="false">IF(6&gt;Hold_Yrs,0,I3019-IF(6&gt;Debt_Yr,0,(H3322-0.5*IF(6=Debt_Yr,0,H3625))*INDEX(Fin_Curve,1,6))-H3625-H3625*Fin_ExitFee)</f>
        <v>0</v>
      </c>
      <c r="J3928" s="99" t="n">
        <f aca="false">IF(7&gt;Hold_Yrs,0,J3019-IF(7&gt;Debt_Yr,0,(I3322-0.5*IF(7=Debt_Yr,0,I3625))*INDEX(Fin_Curve,1,7))-I3625-I3625*Fin_ExitFee)</f>
        <v>0</v>
      </c>
      <c r="K3928" s="99" t="n">
        <f aca="false">IF(8&gt;Hold_Yrs,0,K3019-IF(8&gt;Debt_Yr,0,(J3322-0.5*IF(8=Debt_Yr,0,J3625))*INDEX(Fin_Curve,1,8))-J3625-J3625*Fin_ExitFee)</f>
        <v>0</v>
      </c>
      <c r="L3928" s="99" t="n">
        <f aca="false">IF(9&gt;Hold_Yrs,0,L3019-IF(9&gt;Debt_Yr,0,(K3322-0.5*IF(9=Debt_Yr,0,K3625))*INDEX(Fin_Curve,1,9))-K3625-K3625*Fin_ExitFee)</f>
        <v>0</v>
      </c>
      <c r="M3928" s="99" t="n">
        <f aca="false">IF(10&gt;Hold_Yrs,0,M3019-IF(10&gt;Debt_Yr,0,(L3322-0.5*IF(10=Debt_Yr,0,L3625))*INDEX(Fin_Curve,1,10))-L3625-L3625*Fin_ExitFee)</f>
        <v>0</v>
      </c>
    </row>
    <row r="3929" customFormat="false" ht="15" hidden="false" customHeight="false" outlineLevel="0" collapsed="false">
      <c r="B3929" s="108" t="n">
        <f aca="false">'Loan Tape'!$A289</f>
        <v>0</v>
      </c>
      <c r="C3929" s="71" t="n">
        <f aca="false">-'Loan Tape'!$BE289</f>
        <v>-0</v>
      </c>
      <c r="D3929" s="71" t="n">
        <f aca="false">IF(1&gt;Hold_Yrs,0,D3020-IF(1&gt;Debt_Yr,0,(C3323-0.5*IF(1=Debt_Yr,0,C3626))*INDEX(Fin_Curve,1,1))-C3626-C3626*Fin_ExitFee)</f>
        <v>0</v>
      </c>
      <c r="E3929" s="71" t="n">
        <f aca="false">IF(2&gt;Hold_Yrs,0,E3020-IF(2&gt;Debt_Yr,0,(D3323-0.5*IF(2=Debt_Yr,0,D3626))*INDEX(Fin_Curve,1,2))-D3626-D3626*Fin_ExitFee)</f>
        <v>0</v>
      </c>
      <c r="F3929" s="71" t="n">
        <f aca="false">IF(3&gt;Hold_Yrs,0,F3020-IF(3&gt;Debt_Yr,0,(E3323-0.5*IF(3=Debt_Yr,0,E3626))*INDEX(Fin_Curve,1,3))-E3626-E3626*Fin_ExitFee)</f>
        <v>0</v>
      </c>
      <c r="G3929" s="71" t="n">
        <f aca="false">IF(4&gt;Hold_Yrs,0,G3020-IF(4&gt;Debt_Yr,0,(F3323-0.5*IF(4=Debt_Yr,0,F3626))*INDEX(Fin_Curve,1,4))-F3626-F3626*Fin_ExitFee)</f>
        <v>0</v>
      </c>
      <c r="H3929" s="71" t="n">
        <f aca="false">IF(5&gt;Hold_Yrs,0,H3020-IF(5&gt;Debt_Yr,0,(G3323-0.5*IF(5=Debt_Yr,0,G3626))*INDEX(Fin_Curve,1,5))-G3626-G3626*Fin_ExitFee)</f>
        <v>0</v>
      </c>
      <c r="I3929" s="71" t="n">
        <f aca="false">IF(6&gt;Hold_Yrs,0,I3020-IF(6&gt;Debt_Yr,0,(H3323-0.5*IF(6=Debt_Yr,0,H3626))*INDEX(Fin_Curve,1,6))-H3626-H3626*Fin_ExitFee)</f>
        <v>0</v>
      </c>
      <c r="J3929" s="71" t="n">
        <f aca="false">IF(7&gt;Hold_Yrs,0,J3020-IF(7&gt;Debt_Yr,0,(I3323-0.5*IF(7=Debt_Yr,0,I3626))*INDEX(Fin_Curve,1,7))-I3626-I3626*Fin_ExitFee)</f>
        <v>0</v>
      </c>
      <c r="K3929" s="71" t="n">
        <f aca="false">IF(8&gt;Hold_Yrs,0,K3020-IF(8&gt;Debt_Yr,0,(J3323-0.5*IF(8=Debt_Yr,0,J3626))*INDEX(Fin_Curve,1,8))-J3626-J3626*Fin_ExitFee)</f>
        <v>0</v>
      </c>
      <c r="L3929" s="71" t="n">
        <f aca="false">IF(9&gt;Hold_Yrs,0,L3020-IF(9&gt;Debt_Yr,0,(K3323-0.5*IF(9=Debt_Yr,0,K3626))*INDEX(Fin_Curve,1,9))-K3626-K3626*Fin_ExitFee)</f>
        <v>0</v>
      </c>
      <c r="M3929" s="71" t="n">
        <f aca="false">IF(10&gt;Hold_Yrs,0,M3020-IF(10&gt;Debt_Yr,0,(L3323-0.5*IF(10=Debt_Yr,0,L3626))*INDEX(Fin_Curve,1,10))-L3626-L3626*Fin_ExitFee)</f>
        <v>0</v>
      </c>
    </row>
    <row r="3930" customFormat="false" ht="15" hidden="false" customHeight="false" outlineLevel="0" collapsed="false">
      <c r="B3930" s="102" t="n">
        <f aca="false">'Loan Tape'!$A290</f>
        <v>0</v>
      </c>
      <c r="C3930" s="99" t="n">
        <f aca="false">-'Loan Tape'!$BE290</f>
        <v>-0</v>
      </c>
      <c r="D3930" s="99" t="n">
        <f aca="false">IF(1&gt;Hold_Yrs,0,D3021-IF(1&gt;Debt_Yr,0,(C3324-0.5*IF(1=Debt_Yr,0,C3627))*INDEX(Fin_Curve,1,1))-C3627-C3627*Fin_ExitFee)</f>
        <v>0</v>
      </c>
      <c r="E3930" s="99" t="n">
        <f aca="false">IF(2&gt;Hold_Yrs,0,E3021-IF(2&gt;Debt_Yr,0,(D3324-0.5*IF(2=Debt_Yr,0,D3627))*INDEX(Fin_Curve,1,2))-D3627-D3627*Fin_ExitFee)</f>
        <v>0</v>
      </c>
      <c r="F3930" s="99" t="n">
        <f aca="false">IF(3&gt;Hold_Yrs,0,F3021-IF(3&gt;Debt_Yr,0,(E3324-0.5*IF(3=Debt_Yr,0,E3627))*INDEX(Fin_Curve,1,3))-E3627-E3627*Fin_ExitFee)</f>
        <v>0</v>
      </c>
      <c r="G3930" s="99" t="n">
        <f aca="false">IF(4&gt;Hold_Yrs,0,G3021-IF(4&gt;Debt_Yr,0,(F3324-0.5*IF(4=Debt_Yr,0,F3627))*INDEX(Fin_Curve,1,4))-F3627-F3627*Fin_ExitFee)</f>
        <v>0</v>
      </c>
      <c r="H3930" s="99" t="n">
        <f aca="false">IF(5&gt;Hold_Yrs,0,H3021-IF(5&gt;Debt_Yr,0,(G3324-0.5*IF(5=Debt_Yr,0,G3627))*INDEX(Fin_Curve,1,5))-G3627-G3627*Fin_ExitFee)</f>
        <v>0</v>
      </c>
      <c r="I3930" s="99" t="n">
        <f aca="false">IF(6&gt;Hold_Yrs,0,I3021-IF(6&gt;Debt_Yr,0,(H3324-0.5*IF(6=Debt_Yr,0,H3627))*INDEX(Fin_Curve,1,6))-H3627-H3627*Fin_ExitFee)</f>
        <v>0</v>
      </c>
      <c r="J3930" s="99" t="n">
        <f aca="false">IF(7&gt;Hold_Yrs,0,J3021-IF(7&gt;Debt_Yr,0,(I3324-0.5*IF(7=Debt_Yr,0,I3627))*INDEX(Fin_Curve,1,7))-I3627-I3627*Fin_ExitFee)</f>
        <v>0</v>
      </c>
      <c r="K3930" s="99" t="n">
        <f aca="false">IF(8&gt;Hold_Yrs,0,K3021-IF(8&gt;Debt_Yr,0,(J3324-0.5*IF(8=Debt_Yr,0,J3627))*INDEX(Fin_Curve,1,8))-J3627-J3627*Fin_ExitFee)</f>
        <v>0</v>
      </c>
      <c r="L3930" s="99" t="n">
        <f aca="false">IF(9&gt;Hold_Yrs,0,L3021-IF(9&gt;Debt_Yr,0,(K3324-0.5*IF(9=Debt_Yr,0,K3627))*INDEX(Fin_Curve,1,9))-K3627-K3627*Fin_ExitFee)</f>
        <v>0</v>
      </c>
      <c r="M3930" s="99" t="n">
        <f aca="false">IF(10&gt;Hold_Yrs,0,M3021-IF(10&gt;Debt_Yr,0,(L3324-0.5*IF(10=Debt_Yr,0,L3627))*INDEX(Fin_Curve,1,10))-L3627-L3627*Fin_ExitFee)</f>
        <v>0</v>
      </c>
    </row>
    <row r="3931" customFormat="false" ht="15" hidden="false" customHeight="false" outlineLevel="0" collapsed="false">
      <c r="B3931" s="108" t="n">
        <f aca="false">'Loan Tape'!$A291</f>
        <v>0</v>
      </c>
      <c r="C3931" s="71" t="n">
        <f aca="false">-'Loan Tape'!$BE291</f>
        <v>-0</v>
      </c>
      <c r="D3931" s="71" t="n">
        <f aca="false">IF(1&gt;Hold_Yrs,0,D3022-IF(1&gt;Debt_Yr,0,(C3325-0.5*IF(1=Debt_Yr,0,C3628))*INDEX(Fin_Curve,1,1))-C3628-C3628*Fin_ExitFee)</f>
        <v>0</v>
      </c>
      <c r="E3931" s="71" t="n">
        <f aca="false">IF(2&gt;Hold_Yrs,0,E3022-IF(2&gt;Debt_Yr,0,(D3325-0.5*IF(2=Debt_Yr,0,D3628))*INDEX(Fin_Curve,1,2))-D3628-D3628*Fin_ExitFee)</f>
        <v>0</v>
      </c>
      <c r="F3931" s="71" t="n">
        <f aca="false">IF(3&gt;Hold_Yrs,0,F3022-IF(3&gt;Debt_Yr,0,(E3325-0.5*IF(3=Debt_Yr,0,E3628))*INDEX(Fin_Curve,1,3))-E3628-E3628*Fin_ExitFee)</f>
        <v>0</v>
      </c>
      <c r="G3931" s="71" t="n">
        <f aca="false">IF(4&gt;Hold_Yrs,0,G3022-IF(4&gt;Debt_Yr,0,(F3325-0.5*IF(4=Debt_Yr,0,F3628))*INDEX(Fin_Curve,1,4))-F3628-F3628*Fin_ExitFee)</f>
        <v>0</v>
      </c>
      <c r="H3931" s="71" t="n">
        <f aca="false">IF(5&gt;Hold_Yrs,0,H3022-IF(5&gt;Debt_Yr,0,(G3325-0.5*IF(5=Debt_Yr,0,G3628))*INDEX(Fin_Curve,1,5))-G3628-G3628*Fin_ExitFee)</f>
        <v>0</v>
      </c>
      <c r="I3931" s="71" t="n">
        <f aca="false">IF(6&gt;Hold_Yrs,0,I3022-IF(6&gt;Debt_Yr,0,(H3325-0.5*IF(6=Debt_Yr,0,H3628))*INDEX(Fin_Curve,1,6))-H3628-H3628*Fin_ExitFee)</f>
        <v>0</v>
      </c>
      <c r="J3931" s="71" t="n">
        <f aca="false">IF(7&gt;Hold_Yrs,0,J3022-IF(7&gt;Debt_Yr,0,(I3325-0.5*IF(7=Debt_Yr,0,I3628))*INDEX(Fin_Curve,1,7))-I3628-I3628*Fin_ExitFee)</f>
        <v>0</v>
      </c>
      <c r="K3931" s="71" t="n">
        <f aca="false">IF(8&gt;Hold_Yrs,0,K3022-IF(8&gt;Debt_Yr,0,(J3325-0.5*IF(8=Debt_Yr,0,J3628))*INDEX(Fin_Curve,1,8))-J3628-J3628*Fin_ExitFee)</f>
        <v>0</v>
      </c>
      <c r="L3931" s="71" t="n">
        <f aca="false">IF(9&gt;Hold_Yrs,0,L3022-IF(9&gt;Debt_Yr,0,(K3325-0.5*IF(9=Debt_Yr,0,K3628))*INDEX(Fin_Curve,1,9))-K3628-K3628*Fin_ExitFee)</f>
        <v>0</v>
      </c>
      <c r="M3931" s="71" t="n">
        <f aca="false">IF(10&gt;Hold_Yrs,0,M3022-IF(10&gt;Debt_Yr,0,(L3325-0.5*IF(10=Debt_Yr,0,L3628))*INDEX(Fin_Curve,1,10))-L3628-L3628*Fin_ExitFee)</f>
        <v>0</v>
      </c>
    </row>
    <row r="3932" customFormat="false" ht="15" hidden="false" customHeight="false" outlineLevel="0" collapsed="false">
      <c r="B3932" s="102" t="n">
        <f aca="false">'Loan Tape'!$A292</f>
        <v>0</v>
      </c>
      <c r="C3932" s="99" t="n">
        <f aca="false">-'Loan Tape'!$BE292</f>
        <v>-0</v>
      </c>
      <c r="D3932" s="99" t="n">
        <f aca="false">IF(1&gt;Hold_Yrs,0,D3023-IF(1&gt;Debt_Yr,0,(C3326-0.5*IF(1=Debt_Yr,0,C3629))*INDEX(Fin_Curve,1,1))-C3629-C3629*Fin_ExitFee)</f>
        <v>0</v>
      </c>
      <c r="E3932" s="99" t="n">
        <f aca="false">IF(2&gt;Hold_Yrs,0,E3023-IF(2&gt;Debt_Yr,0,(D3326-0.5*IF(2=Debt_Yr,0,D3629))*INDEX(Fin_Curve,1,2))-D3629-D3629*Fin_ExitFee)</f>
        <v>0</v>
      </c>
      <c r="F3932" s="99" t="n">
        <f aca="false">IF(3&gt;Hold_Yrs,0,F3023-IF(3&gt;Debt_Yr,0,(E3326-0.5*IF(3=Debt_Yr,0,E3629))*INDEX(Fin_Curve,1,3))-E3629-E3629*Fin_ExitFee)</f>
        <v>0</v>
      </c>
      <c r="G3932" s="99" t="n">
        <f aca="false">IF(4&gt;Hold_Yrs,0,G3023-IF(4&gt;Debt_Yr,0,(F3326-0.5*IF(4=Debt_Yr,0,F3629))*INDEX(Fin_Curve,1,4))-F3629-F3629*Fin_ExitFee)</f>
        <v>0</v>
      </c>
      <c r="H3932" s="99" t="n">
        <f aca="false">IF(5&gt;Hold_Yrs,0,H3023-IF(5&gt;Debt_Yr,0,(G3326-0.5*IF(5=Debt_Yr,0,G3629))*INDEX(Fin_Curve,1,5))-G3629-G3629*Fin_ExitFee)</f>
        <v>0</v>
      </c>
      <c r="I3932" s="99" t="n">
        <f aca="false">IF(6&gt;Hold_Yrs,0,I3023-IF(6&gt;Debt_Yr,0,(H3326-0.5*IF(6=Debt_Yr,0,H3629))*INDEX(Fin_Curve,1,6))-H3629-H3629*Fin_ExitFee)</f>
        <v>0</v>
      </c>
      <c r="J3932" s="99" t="n">
        <f aca="false">IF(7&gt;Hold_Yrs,0,J3023-IF(7&gt;Debt_Yr,0,(I3326-0.5*IF(7=Debt_Yr,0,I3629))*INDEX(Fin_Curve,1,7))-I3629-I3629*Fin_ExitFee)</f>
        <v>0</v>
      </c>
      <c r="K3932" s="99" t="n">
        <f aca="false">IF(8&gt;Hold_Yrs,0,K3023-IF(8&gt;Debt_Yr,0,(J3326-0.5*IF(8=Debt_Yr,0,J3629))*INDEX(Fin_Curve,1,8))-J3629-J3629*Fin_ExitFee)</f>
        <v>0</v>
      </c>
      <c r="L3932" s="99" t="n">
        <f aca="false">IF(9&gt;Hold_Yrs,0,L3023-IF(9&gt;Debt_Yr,0,(K3326-0.5*IF(9=Debt_Yr,0,K3629))*INDEX(Fin_Curve,1,9))-K3629-K3629*Fin_ExitFee)</f>
        <v>0</v>
      </c>
      <c r="M3932" s="99" t="n">
        <f aca="false">IF(10&gt;Hold_Yrs,0,M3023-IF(10&gt;Debt_Yr,0,(L3326-0.5*IF(10=Debt_Yr,0,L3629))*INDEX(Fin_Curve,1,10))-L3629-L3629*Fin_ExitFee)</f>
        <v>0</v>
      </c>
    </row>
    <row r="3933" customFormat="false" ht="15" hidden="false" customHeight="false" outlineLevel="0" collapsed="false">
      <c r="B3933" s="108" t="n">
        <f aca="false">'Loan Tape'!$A293</f>
        <v>0</v>
      </c>
      <c r="C3933" s="71" t="n">
        <f aca="false">-'Loan Tape'!$BE293</f>
        <v>-0</v>
      </c>
      <c r="D3933" s="71" t="n">
        <f aca="false">IF(1&gt;Hold_Yrs,0,D3024-IF(1&gt;Debt_Yr,0,(C3327-0.5*IF(1=Debt_Yr,0,C3630))*INDEX(Fin_Curve,1,1))-C3630-C3630*Fin_ExitFee)</f>
        <v>0</v>
      </c>
      <c r="E3933" s="71" t="n">
        <f aca="false">IF(2&gt;Hold_Yrs,0,E3024-IF(2&gt;Debt_Yr,0,(D3327-0.5*IF(2=Debt_Yr,0,D3630))*INDEX(Fin_Curve,1,2))-D3630-D3630*Fin_ExitFee)</f>
        <v>0</v>
      </c>
      <c r="F3933" s="71" t="n">
        <f aca="false">IF(3&gt;Hold_Yrs,0,F3024-IF(3&gt;Debt_Yr,0,(E3327-0.5*IF(3=Debt_Yr,0,E3630))*INDEX(Fin_Curve,1,3))-E3630-E3630*Fin_ExitFee)</f>
        <v>0</v>
      </c>
      <c r="G3933" s="71" t="n">
        <f aca="false">IF(4&gt;Hold_Yrs,0,G3024-IF(4&gt;Debt_Yr,0,(F3327-0.5*IF(4=Debt_Yr,0,F3630))*INDEX(Fin_Curve,1,4))-F3630-F3630*Fin_ExitFee)</f>
        <v>0</v>
      </c>
      <c r="H3933" s="71" t="n">
        <f aca="false">IF(5&gt;Hold_Yrs,0,H3024-IF(5&gt;Debt_Yr,0,(G3327-0.5*IF(5=Debt_Yr,0,G3630))*INDEX(Fin_Curve,1,5))-G3630-G3630*Fin_ExitFee)</f>
        <v>0</v>
      </c>
      <c r="I3933" s="71" t="n">
        <f aca="false">IF(6&gt;Hold_Yrs,0,I3024-IF(6&gt;Debt_Yr,0,(H3327-0.5*IF(6=Debt_Yr,0,H3630))*INDEX(Fin_Curve,1,6))-H3630-H3630*Fin_ExitFee)</f>
        <v>0</v>
      </c>
      <c r="J3933" s="71" t="n">
        <f aca="false">IF(7&gt;Hold_Yrs,0,J3024-IF(7&gt;Debt_Yr,0,(I3327-0.5*IF(7=Debt_Yr,0,I3630))*INDEX(Fin_Curve,1,7))-I3630-I3630*Fin_ExitFee)</f>
        <v>0</v>
      </c>
      <c r="K3933" s="71" t="n">
        <f aca="false">IF(8&gt;Hold_Yrs,0,K3024-IF(8&gt;Debt_Yr,0,(J3327-0.5*IF(8=Debt_Yr,0,J3630))*INDEX(Fin_Curve,1,8))-J3630-J3630*Fin_ExitFee)</f>
        <v>0</v>
      </c>
      <c r="L3933" s="71" t="n">
        <f aca="false">IF(9&gt;Hold_Yrs,0,L3024-IF(9&gt;Debt_Yr,0,(K3327-0.5*IF(9=Debt_Yr,0,K3630))*INDEX(Fin_Curve,1,9))-K3630-K3630*Fin_ExitFee)</f>
        <v>0</v>
      </c>
      <c r="M3933" s="71" t="n">
        <f aca="false">IF(10&gt;Hold_Yrs,0,M3024-IF(10&gt;Debt_Yr,0,(L3327-0.5*IF(10=Debt_Yr,0,L3630))*INDEX(Fin_Curve,1,10))-L3630-L3630*Fin_ExitFee)</f>
        <v>0</v>
      </c>
    </row>
    <row r="3934" customFormat="false" ht="15" hidden="false" customHeight="false" outlineLevel="0" collapsed="false">
      <c r="B3934" s="102" t="n">
        <f aca="false">'Loan Tape'!$A294</f>
        <v>0</v>
      </c>
      <c r="C3934" s="99" t="n">
        <f aca="false">-'Loan Tape'!$BE294</f>
        <v>-0</v>
      </c>
      <c r="D3934" s="99" t="n">
        <f aca="false">IF(1&gt;Hold_Yrs,0,D3025-IF(1&gt;Debt_Yr,0,(C3328-0.5*IF(1=Debt_Yr,0,C3631))*INDEX(Fin_Curve,1,1))-C3631-C3631*Fin_ExitFee)</f>
        <v>0</v>
      </c>
      <c r="E3934" s="99" t="n">
        <f aca="false">IF(2&gt;Hold_Yrs,0,E3025-IF(2&gt;Debt_Yr,0,(D3328-0.5*IF(2=Debt_Yr,0,D3631))*INDEX(Fin_Curve,1,2))-D3631-D3631*Fin_ExitFee)</f>
        <v>0</v>
      </c>
      <c r="F3934" s="99" t="n">
        <f aca="false">IF(3&gt;Hold_Yrs,0,F3025-IF(3&gt;Debt_Yr,0,(E3328-0.5*IF(3=Debt_Yr,0,E3631))*INDEX(Fin_Curve,1,3))-E3631-E3631*Fin_ExitFee)</f>
        <v>0</v>
      </c>
      <c r="G3934" s="99" t="n">
        <f aca="false">IF(4&gt;Hold_Yrs,0,G3025-IF(4&gt;Debt_Yr,0,(F3328-0.5*IF(4=Debt_Yr,0,F3631))*INDEX(Fin_Curve,1,4))-F3631-F3631*Fin_ExitFee)</f>
        <v>0</v>
      </c>
      <c r="H3934" s="99" t="n">
        <f aca="false">IF(5&gt;Hold_Yrs,0,H3025-IF(5&gt;Debt_Yr,0,(G3328-0.5*IF(5=Debt_Yr,0,G3631))*INDEX(Fin_Curve,1,5))-G3631-G3631*Fin_ExitFee)</f>
        <v>0</v>
      </c>
      <c r="I3934" s="99" t="n">
        <f aca="false">IF(6&gt;Hold_Yrs,0,I3025-IF(6&gt;Debt_Yr,0,(H3328-0.5*IF(6=Debt_Yr,0,H3631))*INDEX(Fin_Curve,1,6))-H3631-H3631*Fin_ExitFee)</f>
        <v>0</v>
      </c>
      <c r="J3934" s="99" t="n">
        <f aca="false">IF(7&gt;Hold_Yrs,0,J3025-IF(7&gt;Debt_Yr,0,(I3328-0.5*IF(7=Debt_Yr,0,I3631))*INDEX(Fin_Curve,1,7))-I3631-I3631*Fin_ExitFee)</f>
        <v>0</v>
      </c>
      <c r="K3934" s="99" t="n">
        <f aca="false">IF(8&gt;Hold_Yrs,0,K3025-IF(8&gt;Debt_Yr,0,(J3328-0.5*IF(8=Debt_Yr,0,J3631))*INDEX(Fin_Curve,1,8))-J3631-J3631*Fin_ExitFee)</f>
        <v>0</v>
      </c>
      <c r="L3934" s="99" t="n">
        <f aca="false">IF(9&gt;Hold_Yrs,0,L3025-IF(9&gt;Debt_Yr,0,(K3328-0.5*IF(9=Debt_Yr,0,K3631))*INDEX(Fin_Curve,1,9))-K3631-K3631*Fin_ExitFee)</f>
        <v>0</v>
      </c>
      <c r="M3934" s="99" t="n">
        <f aca="false">IF(10&gt;Hold_Yrs,0,M3025-IF(10&gt;Debt_Yr,0,(L3328-0.5*IF(10=Debt_Yr,0,L3631))*INDEX(Fin_Curve,1,10))-L3631-L3631*Fin_ExitFee)</f>
        <v>0</v>
      </c>
    </row>
    <row r="3935" customFormat="false" ht="15" hidden="false" customHeight="false" outlineLevel="0" collapsed="false">
      <c r="B3935" s="108" t="n">
        <f aca="false">'Loan Tape'!$A295</f>
        <v>0</v>
      </c>
      <c r="C3935" s="71" t="n">
        <f aca="false">-'Loan Tape'!$BE295</f>
        <v>-0</v>
      </c>
      <c r="D3935" s="71" t="n">
        <f aca="false">IF(1&gt;Hold_Yrs,0,D3026-IF(1&gt;Debt_Yr,0,(C3329-0.5*IF(1=Debt_Yr,0,C3632))*INDEX(Fin_Curve,1,1))-C3632-C3632*Fin_ExitFee)</f>
        <v>0</v>
      </c>
      <c r="E3935" s="71" t="n">
        <f aca="false">IF(2&gt;Hold_Yrs,0,E3026-IF(2&gt;Debt_Yr,0,(D3329-0.5*IF(2=Debt_Yr,0,D3632))*INDEX(Fin_Curve,1,2))-D3632-D3632*Fin_ExitFee)</f>
        <v>0</v>
      </c>
      <c r="F3935" s="71" t="n">
        <f aca="false">IF(3&gt;Hold_Yrs,0,F3026-IF(3&gt;Debt_Yr,0,(E3329-0.5*IF(3=Debt_Yr,0,E3632))*INDEX(Fin_Curve,1,3))-E3632-E3632*Fin_ExitFee)</f>
        <v>0</v>
      </c>
      <c r="G3935" s="71" t="n">
        <f aca="false">IF(4&gt;Hold_Yrs,0,G3026-IF(4&gt;Debt_Yr,0,(F3329-0.5*IF(4=Debt_Yr,0,F3632))*INDEX(Fin_Curve,1,4))-F3632-F3632*Fin_ExitFee)</f>
        <v>0</v>
      </c>
      <c r="H3935" s="71" t="n">
        <f aca="false">IF(5&gt;Hold_Yrs,0,H3026-IF(5&gt;Debt_Yr,0,(G3329-0.5*IF(5=Debt_Yr,0,G3632))*INDEX(Fin_Curve,1,5))-G3632-G3632*Fin_ExitFee)</f>
        <v>0</v>
      </c>
      <c r="I3935" s="71" t="n">
        <f aca="false">IF(6&gt;Hold_Yrs,0,I3026-IF(6&gt;Debt_Yr,0,(H3329-0.5*IF(6=Debt_Yr,0,H3632))*INDEX(Fin_Curve,1,6))-H3632-H3632*Fin_ExitFee)</f>
        <v>0</v>
      </c>
      <c r="J3935" s="71" t="n">
        <f aca="false">IF(7&gt;Hold_Yrs,0,J3026-IF(7&gt;Debt_Yr,0,(I3329-0.5*IF(7=Debt_Yr,0,I3632))*INDEX(Fin_Curve,1,7))-I3632-I3632*Fin_ExitFee)</f>
        <v>0</v>
      </c>
      <c r="K3935" s="71" t="n">
        <f aca="false">IF(8&gt;Hold_Yrs,0,K3026-IF(8&gt;Debt_Yr,0,(J3329-0.5*IF(8=Debt_Yr,0,J3632))*INDEX(Fin_Curve,1,8))-J3632-J3632*Fin_ExitFee)</f>
        <v>0</v>
      </c>
      <c r="L3935" s="71" t="n">
        <f aca="false">IF(9&gt;Hold_Yrs,0,L3026-IF(9&gt;Debt_Yr,0,(K3329-0.5*IF(9=Debt_Yr,0,K3632))*INDEX(Fin_Curve,1,9))-K3632-K3632*Fin_ExitFee)</f>
        <v>0</v>
      </c>
      <c r="M3935" s="71" t="n">
        <f aca="false">IF(10&gt;Hold_Yrs,0,M3026-IF(10&gt;Debt_Yr,0,(L3329-0.5*IF(10=Debt_Yr,0,L3632))*INDEX(Fin_Curve,1,10))-L3632-L3632*Fin_ExitFee)</f>
        <v>0</v>
      </c>
    </row>
    <row r="3936" customFormat="false" ht="15" hidden="false" customHeight="false" outlineLevel="0" collapsed="false">
      <c r="B3936" s="102" t="n">
        <f aca="false">'Loan Tape'!$A296</f>
        <v>0</v>
      </c>
      <c r="C3936" s="99" t="n">
        <f aca="false">-'Loan Tape'!$BE296</f>
        <v>-0</v>
      </c>
      <c r="D3936" s="99" t="n">
        <f aca="false">IF(1&gt;Hold_Yrs,0,D3027-IF(1&gt;Debt_Yr,0,(C3330-0.5*IF(1=Debt_Yr,0,C3633))*INDEX(Fin_Curve,1,1))-C3633-C3633*Fin_ExitFee)</f>
        <v>0</v>
      </c>
      <c r="E3936" s="99" t="n">
        <f aca="false">IF(2&gt;Hold_Yrs,0,E3027-IF(2&gt;Debt_Yr,0,(D3330-0.5*IF(2=Debt_Yr,0,D3633))*INDEX(Fin_Curve,1,2))-D3633-D3633*Fin_ExitFee)</f>
        <v>0</v>
      </c>
      <c r="F3936" s="99" t="n">
        <f aca="false">IF(3&gt;Hold_Yrs,0,F3027-IF(3&gt;Debt_Yr,0,(E3330-0.5*IF(3=Debt_Yr,0,E3633))*INDEX(Fin_Curve,1,3))-E3633-E3633*Fin_ExitFee)</f>
        <v>0</v>
      </c>
      <c r="G3936" s="99" t="n">
        <f aca="false">IF(4&gt;Hold_Yrs,0,G3027-IF(4&gt;Debt_Yr,0,(F3330-0.5*IF(4=Debt_Yr,0,F3633))*INDEX(Fin_Curve,1,4))-F3633-F3633*Fin_ExitFee)</f>
        <v>0</v>
      </c>
      <c r="H3936" s="99" t="n">
        <f aca="false">IF(5&gt;Hold_Yrs,0,H3027-IF(5&gt;Debt_Yr,0,(G3330-0.5*IF(5=Debt_Yr,0,G3633))*INDEX(Fin_Curve,1,5))-G3633-G3633*Fin_ExitFee)</f>
        <v>0</v>
      </c>
      <c r="I3936" s="99" t="n">
        <f aca="false">IF(6&gt;Hold_Yrs,0,I3027-IF(6&gt;Debt_Yr,0,(H3330-0.5*IF(6=Debt_Yr,0,H3633))*INDEX(Fin_Curve,1,6))-H3633-H3633*Fin_ExitFee)</f>
        <v>0</v>
      </c>
      <c r="J3936" s="99" t="n">
        <f aca="false">IF(7&gt;Hold_Yrs,0,J3027-IF(7&gt;Debt_Yr,0,(I3330-0.5*IF(7=Debt_Yr,0,I3633))*INDEX(Fin_Curve,1,7))-I3633-I3633*Fin_ExitFee)</f>
        <v>0</v>
      </c>
      <c r="K3936" s="99" t="n">
        <f aca="false">IF(8&gt;Hold_Yrs,0,K3027-IF(8&gt;Debt_Yr,0,(J3330-0.5*IF(8=Debt_Yr,0,J3633))*INDEX(Fin_Curve,1,8))-J3633-J3633*Fin_ExitFee)</f>
        <v>0</v>
      </c>
      <c r="L3936" s="99" t="n">
        <f aca="false">IF(9&gt;Hold_Yrs,0,L3027-IF(9&gt;Debt_Yr,0,(K3330-0.5*IF(9=Debt_Yr,0,K3633))*INDEX(Fin_Curve,1,9))-K3633-K3633*Fin_ExitFee)</f>
        <v>0</v>
      </c>
      <c r="M3936" s="99" t="n">
        <f aca="false">IF(10&gt;Hold_Yrs,0,M3027-IF(10&gt;Debt_Yr,0,(L3330-0.5*IF(10=Debt_Yr,0,L3633))*INDEX(Fin_Curve,1,10))-L3633-L3633*Fin_ExitFee)</f>
        <v>0</v>
      </c>
    </row>
    <row r="3937" customFormat="false" ht="15" hidden="false" customHeight="false" outlineLevel="0" collapsed="false">
      <c r="B3937" s="108" t="n">
        <f aca="false">'Loan Tape'!$A297</f>
        <v>0</v>
      </c>
      <c r="C3937" s="71" t="n">
        <f aca="false">-'Loan Tape'!$BE297</f>
        <v>-0</v>
      </c>
      <c r="D3937" s="71" t="n">
        <f aca="false">IF(1&gt;Hold_Yrs,0,D3028-IF(1&gt;Debt_Yr,0,(C3331-0.5*IF(1=Debt_Yr,0,C3634))*INDEX(Fin_Curve,1,1))-C3634-C3634*Fin_ExitFee)</f>
        <v>0</v>
      </c>
      <c r="E3937" s="71" t="n">
        <f aca="false">IF(2&gt;Hold_Yrs,0,E3028-IF(2&gt;Debt_Yr,0,(D3331-0.5*IF(2=Debt_Yr,0,D3634))*INDEX(Fin_Curve,1,2))-D3634-D3634*Fin_ExitFee)</f>
        <v>0</v>
      </c>
      <c r="F3937" s="71" t="n">
        <f aca="false">IF(3&gt;Hold_Yrs,0,F3028-IF(3&gt;Debt_Yr,0,(E3331-0.5*IF(3=Debt_Yr,0,E3634))*INDEX(Fin_Curve,1,3))-E3634-E3634*Fin_ExitFee)</f>
        <v>0</v>
      </c>
      <c r="G3937" s="71" t="n">
        <f aca="false">IF(4&gt;Hold_Yrs,0,G3028-IF(4&gt;Debt_Yr,0,(F3331-0.5*IF(4=Debt_Yr,0,F3634))*INDEX(Fin_Curve,1,4))-F3634-F3634*Fin_ExitFee)</f>
        <v>0</v>
      </c>
      <c r="H3937" s="71" t="n">
        <f aca="false">IF(5&gt;Hold_Yrs,0,H3028-IF(5&gt;Debt_Yr,0,(G3331-0.5*IF(5=Debt_Yr,0,G3634))*INDEX(Fin_Curve,1,5))-G3634-G3634*Fin_ExitFee)</f>
        <v>0</v>
      </c>
      <c r="I3937" s="71" t="n">
        <f aca="false">IF(6&gt;Hold_Yrs,0,I3028-IF(6&gt;Debt_Yr,0,(H3331-0.5*IF(6=Debt_Yr,0,H3634))*INDEX(Fin_Curve,1,6))-H3634-H3634*Fin_ExitFee)</f>
        <v>0</v>
      </c>
      <c r="J3937" s="71" t="n">
        <f aca="false">IF(7&gt;Hold_Yrs,0,J3028-IF(7&gt;Debt_Yr,0,(I3331-0.5*IF(7=Debt_Yr,0,I3634))*INDEX(Fin_Curve,1,7))-I3634-I3634*Fin_ExitFee)</f>
        <v>0</v>
      </c>
      <c r="K3937" s="71" t="n">
        <f aca="false">IF(8&gt;Hold_Yrs,0,K3028-IF(8&gt;Debt_Yr,0,(J3331-0.5*IF(8=Debt_Yr,0,J3634))*INDEX(Fin_Curve,1,8))-J3634-J3634*Fin_ExitFee)</f>
        <v>0</v>
      </c>
      <c r="L3937" s="71" t="n">
        <f aca="false">IF(9&gt;Hold_Yrs,0,L3028-IF(9&gt;Debt_Yr,0,(K3331-0.5*IF(9=Debt_Yr,0,K3634))*INDEX(Fin_Curve,1,9))-K3634-K3634*Fin_ExitFee)</f>
        <v>0</v>
      </c>
      <c r="M3937" s="71" t="n">
        <f aca="false">IF(10&gt;Hold_Yrs,0,M3028-IF(10&gt;Debt_Yr,0,(L3331-0.5*IF(10=Debt_Yr,0,L3634))*INDEX(Fin_Curve,1,10))-L3634-L3634*Fin_ExitFee)</f>
        <v>0</v>
      </c>
    </row>
    <row r="3938" customFormat="false" ht="15" hidden="false" customHeight="false" outlineLevel="0" collapsed="false">
      <c r="B3938" s="102" t="n">
        <f aca="false">'Loan Tape'!$A298</f>
        <v>0</v>
      </c>
      <c r="C3938" s="99" t="n">
        <f aca="false">-'Loan Tape'!$BE298</f>
        <v>-0</v>
      </c>
      <c r="D3938" s="99" t="n">
        <f aca="false">IF(1&gt;Hold_Yrs,0,D3029-IF(1&gt;Debt_Yr,0,(C3332-0.5*IF(1=Debt_Yr,0,C3635))*INDEX(Fin_Curve,1,1))-C3635-C3635*Fin_ExitFee)</f>
        <v>0</v>
      </c>
      <c r="E3938" s="99" t="n">
        <f aca="false">IF(2&gt;Hold_Yrs,0,E3029-IF(2&gt;Debt_Yr,0,(D3332-0.5*IF(2=Debt_Yr,0,D3635))*INDEX(Fin_Curve,1,2))-D3635-D3635*Fin_ExitFee)</f>
        <v>0</v>
      </c>
      <c r="F3938" s="99" t="n">
        <f aca="false">IF(3&gt;Hold_Yrs,0,F3029-IF(3&gt;Debt_Yr,0,(E3332-0.5*IF(3=Debt_Yr,0,E3635))*INDEX(Fin_Curve,1,3))-E3635-E3635*Fin_ExitFee)</f>
        <v>0</v>
      </c>
      <c r="G3938" s="99" t="n">
        <f aca="false">IF(4&gt;Hold_Yrs,0,G3029-IF(4&gt;Debt_Yr,0,(F3332-0.5*IF(4=Debt_Yr,0,F3635))*INDEX(Fin_Curve,1,4))-F3635-F3635*Fin_ExitFee)</f>
        <v>0</v>
      </c>
      <c r="H3938" s="99" t="n">
        <f aca="false">IF(5&gt;Hold_Yrs,0,H3029-IF(5&gt;Debt_Yr,0,(G3332-0.5*IF(5=Debt_Yr,0,G3635))*INDEX(Fin_Curve,1,5))-G3635-G3635*Fin_ExitFee)</f>
        <v>0</v>
      </c>
      <c r="I3938" s="99" t="n">
        <f aca="false">IF(6&gt;Hold_Yrs,0,I3029-IF(6&gt;Debt_Yr,0,(H3332-0.5*IF(6=Debt_Yr,0,H3635))*INDEX(Fin_Curve,1,6))-H3635-H3635*Fin_ExitFee)</f>
        <v>0</v>
      </c>
      <c r="J3938" s="99" t="n">
        <f aca="false">IF(7&gt;Hold_Yrs,0,J3029-IF(7&gt;Debt_Yr,0,(I3332-0.5*IF(7=Debt_Yr,0,I3635))*INDEX(Fin_Curve,1,7))-I3635-I3635*Fin_ExitFee)</f>
        <v>0</v>
      </c>
      <c r="K3938" s="99" t="n">
        <f aca="false">IF(8&gt;Hold_Yrs,0,K3029-IF(8&gt;Debt_Yr,0,(J3332-0.5*IF(8=Debt_Yr,0,J3635))*INDEX(Fin_Curve,1,8))-J3635-J3635*Fin_ExitFee)</f>
        <v>0</v>
      </c>
      <c r="L3938" s="99" t="n">
        <f aca="false">IF(9&gt;Hold_Yrs,0,L3029-IF(9&gt;Debt_Yr,0,(K3332-0.5*IF(9=Debt_Yr,0,K3635))*INDEX(Fin_Curve,1,9))-K3635-K3635*Fin_ExitFee)</f>
        <v>0</v>
      </c>
      <c r="M3938" s="99" t="n">
        <f aca="false">IF(10&gt;Hold_Yrs,0,M3029-IF(10&gt;Debt_Yr,0,(L3332-0.5*IF(10=Debt_Yr,0,L3635))*INDEX(Fin_Curve,1,10))-L3635-L3635*Fin_ExitFee)</f>
        <v>0</v>
      </c>
    </row>
    <row r="3939" customFormat="false" ht="15" hidden="false" customHeight="false" outlineLevel="0" collapsed="false">
      <c r="B3939" s="108" t="n">
        <f aca="false">'Loan Tape'!$A299</f>
        <v>0</v>
      </c>
      <c r="C3939" s="71" t="n">
        <f aca="false">-'Loan Tape'!$BE299</f>
        <v>-0</v>
      </c>
      <c r="D3939" s="71" t="n">
        <f aca="false">IF(1&gt;Hold_Yrs,0,D3030-IF(1&gt;Debt_Yr,0,(C3333-0.5*IF(1=Debt_Yr,0,C3636))*INDEX(Fin_Curve,1,1))-C3636-C3636*Fin_ExitFee)</f>
        <v>0</v>
      </c>
      <c r="E3939" s="71" t="n">
        <f aca="false">IF(2&gt;Hold_Yrs,0,E3030-IF(2&gt;Debt_Yr,0,(D3333-0.5*IF(2=Debt_Yr,0,D3636))*INDEX(Fin_Curve,1,2))-D3636-D3636*Fin_ExitFee)</f>
        <v>0</v>
      </c>
      <c r="F3939" s="71" t="n">
        <f aca="false">IF(3&gt;Hold_Yrs,0,F3030-IF(3&gt;Debt_Yr,0,(E3333-0.5*IF(3=Debt_Yr,0,E3636))*INDEX(Fin_Curve,1,3))-E3636-E3636*Fin_ExitFee)</f>
        <v>0</v>
      </c>
      <c r="G3939" s="71" t="n">
        <f aca="false">IF(4&gt;Hold_Yrs,0,G3030-IF(4&gt;Debt_Yr,0,(F3333-0.5*IF(4=Debt_Yr,0,F3636))*INDEX(Fin_Curve,1,4))-F3636-F3636*Fin_ExitFee)</f>
        <v>0</v>
      </c>
      <c r="H3939" s="71" t="n">
        <f aca="false">IF(5&gt;Hold_Yrs,0,H3030-IF(5&gt;Debt_Yr,0,(G3333-0.5*IF(5=Debt_Yr,0,G3636))*INDEX(Fin_Curve,1,5))-G3636-G3636*Fin_ExitFee)</f>
        <v>0</v>
      </c>
      <c r="I3939" s="71" t="n">
        <f aca="false">IF(6&gt;Hold_Yrs,0,I3030-IF(6&gt;Debt_Yr,0,(H3333-0.5*IF(6=Debt_Yr,0,H3636))*INDEX(Fin_Curve,1,6))-H3636-H3636*Fin_ExitFee)</f>
        <v>0</v>
      </c>
      <c r="J3939" s="71" t="n">
        <f aca="false">IF(7&gt;Hold_Yrs,0,J3030-IF(7&gt;Debt_Yr,0,(I3333-0.5*IF(7=Debt_Yr,0,I3636))*INDEX(Fin_Curve,1,7))-I3636-I3636*Fin_ExitFee)</f>
        <v>0</v>
      </c>
      <c r="K3939" s="71" t="n">
        <f aca="false">IF(8&gt;Hold_Yrs,0,K3030-IF(8&gt;Debt_Yr,0,(J3333-0.5*IF(8=Debt_Yr,0,J3636))*INDEX(Fin_Curve,1,8))-J3636-J3636*Fin_ExitFee)</f>
        <v>0</v>
      </c>
      <c r="L3939" s="71" t="n">
        <f aca="false">IF(9&gt;Hold_Yrs,0,L3030-IF(9&gt;Debt_Yr,0,(K3333-0.5*IF(9=Debt_Yr,0,K3636))*INDEX(Fin_Curve,1,9))-K3636-K3636*Fin_ExitFee)</f>
        <v>0</v>
      </c>
      <c r="M3939" s="71" t="n">
        <f aca="false">IF(10&gt;Hold_Yrs,0,M3030-IF(10&gt;Debt_Yr,0,(L3333-0.5*IF(10=Debt_Yr,0,L3636))*INDEX(Fin_Curve,1,10))-L3636-L3636*Fin_ExitFee)</f>
        <v>0</v>
      </c>
    </row>
    <row r="3940" customFormat="false" ht="15" hidden="false" customHeight="false" outlineLevel="0" collapsed="false">
      <c r="B3940" s="102" t="n">
        <f aca="false">'Loan Tape'!$A300</f>
        <v>0</v>
      </c>
      <c r="C3940" s="99" t="n">
        <f aca="false">-'Loan Tape'!$BE300</f>
        <v>-0</v>
      </c>
      <c r="D3940" s="99" t="n">
        <f aca="false">IF(1&gt;Hold_Yrs,0,D3031-IF(1&gt;Debt_Yr,0,(C3334-0.5*IF(1=Debt_Yr,0,C3637))*INDEX(Fin_Curve,1,1))-C3637-C3637*Fin_ExitFee)</f>
        <v>0</v>
      </c>
      <c r="E3940" s="99" t="n">
        <f aca="false">IF(2&gt;Hold_Yrs,0,E3031-IF(2&gt;Debt_Yr,0,(D3334-0.5*IF(2=Debt_Yr,0,D3637))*INDEX(Fin_Curve,1,2))-D3637-D3637*Fin_ExitFee)</f>
        <v>0</v>
      </c>
      <c r="F3940" s="99" t="n">
        <f aca="false">IF(3&gt;Hold_Yrs,0,F3031-IF(3&gt;Debt_Yr,0,(E3334-0.5*IF(3=Debt_Yr,0,E3637))*INDEX(Fin_Curve,1,3))-E3637-E3637*Fin_ExitFee)</f>
        <v>0</v>
      </c>
      <c r="G3940" s="99" t="n">
        <f aca="false">IF(4&gt;Hold_Yrs,0,G3031-IF(4&gt;Debt_Yr,0,(F3334-0.5*IF(4=Debt_Yr,0,F3637))*INDEX(Fin_Curve,1,4))-F3637-F3637*Fin_ExitFee)</f>
        <v>0</v>
      </c>
      <c r="H3940" s="99" t="n">
        <f aca="false">IF(5&gt;Hold_Yrs,0,H3031-IF(5&gt;Debt_Yr,0,(G3334-0.5*IF(5=Debt_Yr,0,G3637))*INDEX(Fin_Curve,1,5))-G3637-G3637*Fin_ExitFee)</f>
        <v>0</v>
      </c>
      <c r="I3940" s="99" t="n">
        <f aca="false">IF(6&gt;Hold_Yrs,0,I3031-IF(6&gt;Debt_Yr,0,(H3334-0.5*IF(6=Debt_Yr,0,H3637))*INDEX(Fin_Curve,1,6))-H3637-H3637*Fin_ExitFee)</f>
        <v>0</v>
      </c>
      <c r="J3940" s="99" t="n">
        <f aca="false">IF(7&gt;Hold_Yrs,0,J3031-IF(7&gt;Debt_Yr,0,(I3334-0.5*IF(7=Debt_Yr,0,I3637))*INDEX(Fin_Curve,1,7))-I3637-I3637*Fin_ExitFee)</f>
        <v>0</v>
      </c>
      <c r="K3940" s="99" t="n">
        <f aca="false">IF(8&gt;Hold_Yrs,0,K3031-IF(8&gt;Debt_Yr,0,(J3334-0.5*IF(8=Debt_Yr,0,J3637))*INDEX(Fin_Curve,1,8))-J3637-J3637*Fin_ExitFee)</f>
        <v>0</v>
      </c>
      <c r="L3940" s="99" t="n">
        <f aca="false">IF(9&gt;Hold_Yrs,0,L3031-IF(9&gt;Debt_Yr,0,(K3334-0.5*IF(9=Debt_Yr,0,K3637))*INDEX(Fin_Curve,1,9))-K3637-K3637*Fin_ExitFee)</f>
        <v>0</v>
      </c>
      <c r="M3940" s="99" t="n">
        <f aca="false">IF(10&gt;Hold_Yrs,0,M3031-IF(10&gt;Debt_Yr,0,(L3334-0.5*IF(10=Debt_Yr,0,L3637))*INDEX(Fin_Curve,1,10))-L3637-L3637*Fin_ExitFee)</f>
        <v>0</v>
      </c>
    </row>
    <row r="3941" customFormat="false" ht="15" hidden="false" customHeight="false" outlineLevel="0" collapsed="false">
      <c r="B3941" s="108" t="n">
        <f aca="false">'Loan Tape'!$A301</f>
        <v>0</v>
      </c>
      <c r="C3941" s="71" t="n">
        <f aca="false">-'Loan Tape'!$BE301</f>
        <v>-0</v>
      </c>
      <c r="D3941" s="71" t="n">
        <f aca="false">IF(1&gt;Hold_Yrs,0,D3032-IF(1&gt;Debt_Yr,0,(C3335-0.5*IF(1=Debt_Yr,0,C3638))*INDEX(Fin_Curve,1,1))-C3638-C3638*Fin_ExitFee)</f>
        <v>0</v>
      </c>
      <c r="E3941" s="71" t="n">
        <f aca="false">IF(2&gt;Hold_Yrs,0,E3032-IF(2&gt;Debt_Yr,0,(D3335-0.5*IF(2=Debt_Yr,0,D3638))*INDEX(Fin_Curve,1,2))-D3638-D3638*Fin_ExitFee)</f>
        <v>0</v>
      </c>
      <c r="F3941" s="71" t="n">
        <f aca="false">IF(3&gt;Hold_Yrs,0,F3032-IF(3&gt;Debt_Yr,0,(E3335-0.5*IF(3=Debt_Yr,0,E3638))*INDEX(Fin_Curve,1,3))-E3638-E3638*Fin_ExitFee)</f>
        <v>0</v>
      </c>
      <c r="G3941" s="71" t="n">
        <f aca="false">IF(4&gt;Hold_Yrs,0,G3032-IF(4&gt;Debt_Yr,0,(F3335-0.5*IF(4=Debt_Yr,0,F3638))*INDEX(Fin_Curve,1,4))-F3638-F3638*Fin_ExitFee)</f>
        <v>0</v>
      </c>
      <c r="H3941" s="71" t="n">
        <f aca="false">IF(5&gt;Hold_Yrs,0,H3032-IF(5&gt;Debt_Yr,0,(G3335-0.5*IF(5=Debt_Yr,0,G3638))*INDEX(Fin_Curve,1,5))-G3638-G3638*Fin_ExitFee)</f>
        <v>0</v>
      </c>
      <c r="I3941" s="71" t="n">
        <f aca="false">IF(6&gt;Hold_Yrs,0,I3032-IF(6&gt;Debt_Yr,0,(H3335-0.5*IF(6=Debt_Yr,0,H3638))*INDEX(Fin_Curve,1,6))-H3638-H3638*Fin_ExitFee)</f>
        <v>0</v>
      </c>
      <c r="J3941" s="71" t="n">
        <f aca="false">IF(7&gt;Hold_Yrs,0,J3032-IF(7&gt;Debt_Yr,0,(I3335-0.5*IF(7=Debt_Yr,0,I3638))*INDEX(Fin_Curve,1,7))-I3638-I3638*Fin_ExitFee)</f>
        <v>0</v>
      </c>
      <c r="K3941" s="71" t="n">
        <f aca="false">IF(8&gt;Hold_Yrs,0,K3032-IF(8&gt;Debt_Yr,0,(J3335-0.5*IF(8=Debt_Yr,0,J3638))*INDEX(Fin_Curve,1,8))-J3638-J3638*Fin_ExitFee)</f>
        <v>0</v>
      </c>
      <c r="L3941" s="71" t="n">
        <f aca="false">IF(9&gt;Hold_Yrs,0,L3032-IF(9&gt;Debt_Yr,0,(K3335-0.5*IF(9=Debt_Yr,0,K3638))*INDEX(Fin_Curve,1,9))-K3638-K3638*Fin_ExitFee)</f>
        <v>0</v>
      </c>
      <c r="M3941" s="71" t="n">
        <f aca="false">IF(10&gt;Hold_Yrs,0,M3032-IF(10&gt;Debt_Yr,0,(L3335-0.5*IF(10=Debt_Yr,0,L3638))*INDEX(Fin_Curve,1,10))-L3638-L3638*Fin_ExitFee)</f>
        <v>0</v>
      </c>
    </row>
    <row r="3942" customFormat="false" ht="15" hidden="false" customHeight="false" outlineLevel="0" collapsed="false">
      <c r="B3942" s="102" t="n">
        <f aca="false">'Loan Tape'!$A302</f>
        <v>0</v>
      </c>
      <c r="C3942" s="99" t="n">
        <f aca="false">-'Loan Tape'!$BE302</f>
        <v>-0</v>
      </c>
      <c r="D3942" s="99" t="n">
        <f aca="false">IF(1&gt;Hold_Yrs,0,D3033-IF(1&gt;Debt_Yr,0,(C3336-0.5*IF(1=Debt_Yr,0,C3639))*INDEX(Fin_Curve,1,1))-C3639-C3639*Fin_ExitFee)</f>
        <v>0</v>
      </c>
      <c r="E3942" s="99" t="n">
        <f aca="false">IF(2&gt;Hold_Yrs,0,E3033-IF(2&gt;Debt_Yr,0,(D3336-0.5*IF(2=Debt_Yr,0,D3639))*INDEX(Fin_Curve,1,2))-D3639-D3639*Fin_ExitFee)</f>
        <v>0</v>
      </c>
      <c r="F3942" s="99" t="n">
        <f aca="false">IF(3&gt;Hold_Yrs,0,F3033-IF(3&gt;Debt_Yr,0,(E3336-0.5*IF(3=Debt_Yr,0,E3639))*INDEX(Fin_Curve,1,3))-E3639-E3639*Fin_ExitFee)</f>
        <v>0</v>
      </c>
      <c r="G3942" s="99" t="n">
        <f aca="false">IF(4&gt;Hold_Yrs,0,G3033-IF(4&gt;Debt_Yr,0,(F3336-0.5*IF(4=Debt_Yr,0,F3639))*INDEX(Fin_Curve,1,4))-F3639-F3639*Fin_ExitFee)</f>
        <v>0</v>
      </c>
      <c r="H3942" s="99" t="n">
        <f aca="false">IF(5&gt;Hold_Yrs,0,H3033-IF(5&gt;Debt_Yr,0,(G3336-0.5*IF(5=Debt_Yr,0,G3639))*INDEX(Fin_Curve,1,5))-G3639-G3639*Fin_ExitFee)</f>
        <v>0</v>
      </c>
      <c r="I3942" s="99" t="n">
        <f aca="false">IF(6&gt;Hold_Yrs,0,I3033-IF(6&gt;Debt_Yr,0,(H3336-0.5*IF(6=Debt_Yr,0,H3639))*INDEX(Fin_Curve,1,6))-H3639-H3639*Fin_ExitFee)</f>
        <v>0</v>
      </c>
      <c r="J3942" s="99" t="n">
        <f aca="false">IF(7&gt;Hold_Yrs,0,J3033-IF(7&gt;Debt_Yr,0,(I3336-0.5*IF(7=Debt_Yr,0,I3639))*INDEX(Fin_Curve,1,7))-I3639-I3639*Fin_ExitFee)</f>
        <v>0</v>
      </c>
      <c r="K3942" s="99" t="n">
        <f aca="false">IF(8&gt;Hold_Yrs,0,K3033-IF(8&gt;Debt_Yr,0,(J3336-0.5*IF(8=Debt_Yr,0,J3639))*INDEX(Fin_Curve,1,8))-J3639-J3639*Fin_ExitFee)</f>
        <v>0</v>
      </c>
      <c r="L3942" s="99" t="n">
        <f aca="false">IF(9&gt;Hold_Yrs,0,L3033-IF(9&gt;Debt_Yr,0,(K3336-0.5*IF(9=Debt_Yr,0,K3639))*INDEX(Fin_Curve,1,9))-K3639-K3639*Fin_ExitFee)</f>
        <v>0</v>
      </c>
      <c r="M3942" s="99" t="n">
        <f aca="false">IF(10&gt;Hold_Yrs,0,M3033-IF(10&gt;Debt_Yr,0,(L3336-0.5*IF(10=Debt_Yr,0,L3639))*INDEX(Fin_Curve,1,10))-L3639-L3639*Fin_ExitFee)</f>
        <v>0</v>
      </c>
    </row>
    <row r="3943" customFormat="false" ht="15" hidden="false" customHeight="false" outlineLevel="0" collapsed="false">
      <c r="B3943" s="108" t="n">
        <f aca="false">'Loan Tape'!$A303</f>
        <v>0</v>
      </c>
      <c r="C3943" s="71" t="n">
        <f aca="false">-'Loan Tape'!$BE303</f>
        <v>-0</v>
      </c>
      <c r="D3943" s="71" t="n">
        <f aca="false">IF(1&gt;Hold_Yrs,0,D3034-IF(1&gt;Debt_Yr,0,(C3337-0.5*IF(1=Debt_Yr,0,C3640))*INDEX(Fin_Curve,1,1))-C3640-C3640*Fin_ExitFee)</f>
        <v>0</v>
      </c>
      <c r="E3943" s="71" t="n">
        <f aca="false">IF(2&gt;Hold_Yrs,0,E3034-IF(2&gt;Debt_Yr,0,(D3337-0.5*IF(2=Debt_Yr,0,D3640))*INDEX(Fin_Curve,1,2))-D3640-D3640*Fin_ExitFee)</f>
        <v>0</v>
      </c>
      <c r="F3943" s="71" t="n">
        <f aca="false">IF(3&gt;Hold_Yrs,0,F3034-IF(3&gt;Debt_Yr,0,(E3337-0.5*IF(3=Debt_Yr,0,E3640))*INDEX(Fin_Curve,1,3))-E3640-E3640*Fin_ExitFee)</f>
        <v>0</v>
      </c>
      <c r="G3943" s="71" t="n">
        <f aca="false">IF(4&gt;Hold_Yrs,0,G3034-IF(4&gt;Debt_Yr,0,(F3337-0.5*IF(4=Debt_Yr,0,F3640))*INDEX(Fin_Curve,1,4))-F3640-F3640*Fin_ExitFee)</f>
        <v>0</v>
      </c>
      <c r="H3943" s="71" t="n">
        <f aca="false">IF(5&gt;Hold_Yrs,0,H3034-IF(5&gt;Debt_Yr,0,(G3337-0.5*IF(5=Debt_Yr,0,G3640))*INDEX(Fin_Curve,1,5))-G3640-G3640*Fin_ExitFee)</f>
        <v>0</v>
      </c>
      <c r="I3943" s="71" t="n">
        <f aca="false">IF(6&gt;Hold_Yrs,0,I3034-IF(6&gt;Debt_Yr,0,(H3337-0.5*IF(6=Debt_Yr,0,H3640))*INDEX(Fin_Curve,1,6))-H3640-H3640*Fin_ExitFee)</f>
        <v>0</v>
      </c>
      <c r="J3943" s="71" t="n">
        <f aca="false">IF(7&gt;Hold_Yrs,0,J3034-IF(7&gt;Debt_Yr,0,(I3337-0.5*IF(7=Debt_Yr,0,I3640))*INDEX(Fin_Curve,1,7))-I3640-I3640*Fin_ExitFee)</f>
        <v>0</v>
      </c>
      <c r="K3943" s="71" t="n">
        <f aca="false">IF(8&gt;Hold_Yrs,0,K3034-IF(8&gt;Debt_Yr,0,(J3337-0.5*IF(8=Debt_Yr,0,J3640))*INDEX(Fin_Curve,1,8))-J3640-J3640*Fin_ExitFee)</f>
        <v>0</v>
      </c>
      <c r="L3943" s="71" t="n">
        <f aca="false">IF(9&gt;Hold_Yrs,0,L3034-IF(9&gt;Debt_Yr,0,(K3337-0.5*IF(9=Debt_Yr,0,K3640))*INDEX(Fin_Curve,1,9))-K3640-K3640*Fin_ExitFee)</f>
        <v>0</v>
      </c>
      <c r="M3943" s="71" t="n">
        <f aca="false">IF(10&gt;Hold_Yrs,0,M3034-IF(10&gt;Debt_Yr,0,(L3337-0.5*IF(10=Debt_Yr,0,L3640))*INDEX(Fin_Curve,1,10))-L3640-L3640*Fin_ExitFee)</f>
        <v>0</v>
      </c>
    </row>
  </sheetData>
  <mergeCells count="14">
    <mergeCell ref="B2:M2"/>
    <mergeCell ref="B6:M6"/>
    <mergeCell ref="B309:L309"/>
    <mergeCell ref="B612:L612"/>
    <mergeCell ref="B915:L915"/>
    <mergeCell ref="B1218:L1218"/>
    <mergeCell ref="B1521:L1521"/>
    <mergeCell ref="B1824:L1824"/>
    <mergeCell ref="B2127:L2127"/>
    <mergeCell ref="B2430:C2430"/>
    <mergeCell ref="B2733:M2733"/>
    <mergeCell ref="B3036:M3036"/>
    <mergeCell ref="B3339:L3339"/>
    <mergeCell ref="B3642:M36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F51"/>
    <pageSetUpPr fitToPage="false"/>
  </sheetPr>
  <dimension ref="B2:O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13" min="3" style="0" width="13.5"/>
    <col collapsed="false" customWidth="true" hidden="false" outlineLevel="0" max="14" min="14" style="0" width="2"/>
    <col collapsed="false" customWidth="true" hidden="false" outlineLevel="0" max="15" min="15" style="0" width="3"/>
  </cols>
  <sheetData>
    <row r="2" customFormat="false" ht="18" hidden="false" customHeight="true" outlineLevel="0" collapsed="false">
      <c r="B2" s="5" t="s">
        <v>604</v>
      </c>
      <c r="C2" s="5"/>
      <c r="D2" s="5"/>
      <c r="E2" s="5"/>
      <c r="F2" s="5"/>
      <c r="G2" s="5"/>
      <c r="H2" s="5"/>
      <c r="I2" s="5"/>
      <c r="J2" s="5"/>
      <c r="K2" s="5"/>
      <c r="L2" s="5"/>
      <c r="M2" s="5"/>
    </row>
    <row r="3" customFormat="false" ht="15" hidden="false" customHeight="false" outlineLevel="0" collapsed="false">
      <c r="B3" s="30" t="s">
        <v>605</v>
      </c>
    </row>
    <row r="5" customFormat="false" ht="15" hidden="false" customHeight="false" outlineLevel="0" collapsed="false">
      <c r="B5" s="34" t="s">
        <v>606</v>
      </c>
      <c r="C5" s="34"/>
      <c r="D5" s="34"/>
      <c r="E5" s="34"/>
    </row>
    <row r="6" customFormat="false" ht="27.75" hidden="false" customHeight="true" outlineLevel="0" collapsed="false">
      <c r="B6" s="8" t="s">
        <v>607</v>
      </c>
      <c r="C6" s="9" t="s">
        <v>608</v>
      </c>
      <c r="D6" s="9" t="s">
        <v>609</v>
      </c>
      <c r="E6" s="9" t="s">
        <v>610</v>
      </c>
    </row>
    <row r="7" customFormat="false" ht="15" hidden="false" customHeight="false" outlineLevel="0" collapsed="false">
      <c r="B7" s="20" t="s">
        <v>611</v>
      </c>
      <c r="C7" s="99" t="n">
        <f aca="false">SUMPRODUCT('Loan Tape'!$R$4:$R$303,'Loan Tape'!$AN$4:$AN$303)</f>
        <v>2495610000</v>
      </c>
      <c r="D7" s="106"/>
      <c r="E7" s="120" t="s">
        <v>612</v>
      </c>
    </row>
    <row r="8" customFormat="false" ht="15" hidden="false" customHeight="false" outlineLevel="0" collapsed="false">
      <c r="B8" s="7" t="s">
        <v>613</v>
      </c>
      <c r="C8" s="26" t="n">
        <f aca="false">SUM('Loan Tape'!$AN$4:$AN$303)</f>
        <v>50</v>
      </c>
      <c r="D8" s="109"/>
      <c r="E8" s="30"/>
    </row>
    <row r="9" customFormat="false" ht="15" hidden="false" customHeight="false" outlineLevel="0" collapsed="false">
      <c r="B9" s="20" t="s">
        <v>75</v>
      </c>
      <c r="C9" s="104" t="n">
        <f aca="false">Px_Par</f>
        <v>0.94</v>
      </c>
      <c r="D9" s="106"/>
      <c r="E9" s="120"/>
    </row>
    <row r="10" customFormat="false" ht="15" hidden="false" customHeight="false" outlineLevel="0" collapsed="false">
      <c r="B10" s="25" t="s">
        <v>614</v>
      </c>
      <c r="C10" s="94"/>
      <c r="D10" s="121"/>
      <c r="E10" s="30"/>
    </row>
    <row r="11" customFormat="false" ht="15" hidden="false" customHeight="false" outlineLevel="0" collapsed="false">
      <c r="B11" s="20" t="s">
        <v>197</v>
      </c>
      <c r="C11" s="99" t="n">
        <f aca="false">SUM('Loan Tape'!$AY$4:$AY$303)</f>
        <v>2345873400</v>
      </c>
      <c r="D11" s="106" t="n">
        <f aca="false">IFERROR(C11/$C$11,0)</f>
        <v>1</v>
      </c>
      <c r="E11" s="120"/>
    </row>
    <row r="12" customFormat="false" ht="15" hidden="false" customHeight="false" outlineLevel="0" collapsed="false">
      <c r="B12" s="7" t="s">
        <v>615</v>
      </c>
      <c r="C12" s="71" t="n">
        <f aca="false">SUM('Loan Tape'!$AZ$4:$AZ$303)</f>
        <v>3743415</v>
      </c>
      <c r="D12" s="109" t="n">
        <f aca="false">IFERROR(C12/$C$11,0)</f>
        <v>0.00159574468085106</v>
      </c>
      <c r="E12" s="30"/>
    </row>
    <row r="13" customFormat="false" ht="15" hidden="false" customHeight="false" outlineLevel="0" collapsed="false">
      <c r="B13" s="20" t="s">
        <v>616</v>
      </c>
      <c r="C13" s="99" t="n">
        <f aca="false">SUM('Loan Tape'!$BA$4:$BA$303)</f>
        <v>17594050.5</v>
      </c>
      <c r="D13" s="106" t="n">
        <f aca="false">IFERROR(C13/$C$11,0)</f>
        <v>0.0075</v>
      </c>
      <c r="E13" s="120"/>
    </row>
    <row r="14" customFormat="false" ht="15" hidden="false" customHeight="false" outlineLevel="0" collapsed="false">
      <c r="B14" s="7" t="s">
        <v>617</v>
      </c>
      <c r="C14" s="71" t="n">
        <f aca="false">SUM('Loan Tape'!$BD$4:$BD$303)</f>
        <v>7037620.2</v>
      </c>
      <c r="D14" s="109" t="n">
        <f aca="false">IFERROR(C14/$C$11,0)</f>
        <v>0.003</v>
      </c>
      <c r="E14" s="30"/>
    </row>
    <row r="15" customFormat="false" ht="15" hidden="false" customHeight="false" outlineLevel="0" collapsed="false">
      <c r="B15" s="54" t="s">
        <v>618</v>
      </c>
      <c r="C15" s="122" t="n">
        <f aca="false">C11+C12+C13+C14</f>
        <v>2374248485.7</v>
      </c>
      <c r="D15" s="123" t="n">
        <f aca="false">IFERROR(C15/$C$11,0)</f>
        <v>1.01209574468085</v>
      </c>
      <c r="E15" s="1"/>
    </row>
    <row r="16" customFormat="false" ht="15" hidden="false" customHeight="false" outlineLevel="0" collapsed="false">
      <c r="B16" s="25" t="s">
        <v>619</v>
      </c>
      <c r="C16" s="94"/>
      <c r="D16" s="121"/>
      <c r="E16" s="30"/>
    </row>
    <row r="17" customFormat="false" ht="15" hidden="false" customHeight="false" outlineLevel="0" collapsed="false">
      <c r="B17" s="20" t="s">
        <v>620</v>
      </c>
      <c r="C17" s="99" t="n">
        <f aca="false">SUM('Loan Tape'!$BC$4:$BC$303)</f>
        <v>1407524040</v>
      </c>
      <c r="D17" s="106" t="n">
        <f aca="false">IFERROR(C17/$C$11,0)</f>
        <v>0.6</v>
      </c>
      <c r="E17" s="120"/>
    </row>
    <row r="18" customFormat="false" ht="15" hidden="false" customHeight="false" outlineLevel="0" collapsed="false">
      <c r="B18" s="7" t="s">
        <v>621</v>
      </c>
      <c r="C18" s="71" t="n">
        <f aca="false">SUM('Loan Tape'!$BE$4:$BE$303)</f>
        <v>966724445.7</v>
      </c>
      <c r="D18" s="109" t="n">
        <f aca="false">IFERROR(C18/$C$11,0)</f>
        <v>0.412095744680851</v>
      </c>
      <c r="E18" s="30"/>
    </row>
    <row r="19" customFormat="false" ht="15" hidden="false" customHeight="false" outlineLevel="0" collapsed="false">
      <c r="B19" s="54" t="s">
        <v>622</v>
      </c>
      <c r="C19" s="122" t="n">
        <f aca="false">C17+C18</f>
        <v>2374248485.7</v>
      </c>
      <c r="D19" s="123" t="n">
        <f aca="false">IFERROR(C19/$C$11,0)</f>
        <v>1.01209574468085</v>
      </c>
      <c r="E19" s="1"/>
    </row>
    <row r="20" customFormat="false" ht="15" hidden="false" customHeight="false" outlineLevel="0" collapsed="false">
      <c r="B20" s="7" t="s">
        <v>623</v>
      </c>
      <c r="C20" s="71" t="n">
        <f aca="false">SUM('Loan Tape'!$BB$4:$BB$303)</f>
        <v>2367210865.5</v>
      </c>
      <c r="D20" s="109" t="n">
        <f aca="false">IFERROR(C20/$C$11,0)</f>
        <v>1.00909574468085</v>
      </c>
      <c r="E20" s="30" t="s">
        <v>624</v>
      </c>
    </row>
    <row r="21" customFormat="false" ht="15" hidden="false" customHeight="false" outlineLevel="0" collapsed="false">
      <c r="B21" s="31" t="s">
        <v>625</v>
      </c>
      <c r="C21" s="124"/>
      <c r="D21" s="125"/>
      <c r="E21" s="120"/>
    </row>
    <row r="22" customFormat="false" ht="15" hidden="false" customHeight="false" outlineLevel="0" collapsed="false">
      <c r="B22" s="7" t="s">
        <v>626</v>
      </c>
      <c r="C22" s="109" t="n">
        <f aca="false">IFERROR(C17/C11,0)</f>
        <v>0.6</v>
      </c>
      <c r="D22" s="109"/>
      <c r="E22" s="30"/>
    </row>
    <row r="23" customFormat="false" ht="15" hidden="false" customHeight="false" outlineLevel="0" collapsed="false">
      <c r="B23" s="20" t="s">
        <v>627</v>
      </c>
      <c r="C23" s="104" t="n">
        <f aca="false">IFERROR(SUMPRODUCT('Loan Tape'!$AI$4:$AI$303,'Loan Tape'!$R$4:$R$303,'Loan Tape'!$AN$4:$AN$303)/SUMPRODUCT('Loan Tape'!$R$4:$R$303,'Loan Tape'!$AN$4:$AN$303),0)</f>
        <v>0.0704574522862146</v>
      </c>
      <c r="D23" s="106"/>
      <c r="E23" s="120"/>
    </row>
    <row r="24" customFormat="false" ht="15" hidden="false" customHeight="false" outlineLevel="0" collapsed="false">
      <c r="B24" s="7" t="s">
        <v>628</v>
      </c>
      <c r="C24" s="109" t="n">
        <f aca="false">IFERROR(SUMPRODUCT(('Loan Tape'!$K$4:$K$303="Floating")*'Loan Tape'!$R$4:$R$303*'Loan Tape'!$AN$4:$AN$303)/SUMPRODUCT('Loan Tape'!$R$4:$R$303,'Loan Tape'!$AN$4:$AN$303),0)</f>
        <v>0.664477622705471</v>
      </c>
      <c r="D24" s="109"/>
      <c r="E24" s="30"/>
    </row>
    <row r="25" customFormat="false" ht="15" hidden="false" customHeight="false" outlineLevel="0" collapsed="false">
      <c r="B25" s="20" t="s">
        <v>106</v>
      </c>
      <c r="C25" s="104" t="n">
        <f aca="false">Fin_Cost</f>
        <v>0.07</v>
      </c>
      <c r="D25" s="106"/>
      <c r="E25" s="120"/>
    </row>
    <row r="26" customFormat="false" ht="15" hidden="false" customHeight="false" outlineLevel="0" collapsed="false">
      <c r="B26" s="7" t="s">
        <v>629</v>
      </c>
      <c r="C26" s="126" t="n">
        <f aca="false">(C23/Px_Par-C25*C22)*10000</f>
        <v>329.547364746964</v>
      </c>
      <c r="D26" s="109"/>
      <c r="E26" s="30" t="s">
        <v>630</v>
      </c>
    </row>
    <row r="27" customFormat="false" ht="15" hidden="false" customHeight="false" outlineLevel="0" collapsed="false">
      <c r="B27" s="20" t="s">
        <v>631</v>
      </c>
      <c r="C27" s="106" t="n">
        <f aca="false">IFERROR(SUMPRODUCT('Loan Tape'!$T$4:$T$303,'Loan Tape'!$R$4:$R$303,'Loan Tape'!$AN$4:$AN$303)/SUMPRODUCT('Loan Tape'!$R$4:$R$303,'Loan Tape'!$AN$4:$AN$303),0)</f>
        <v>0.0861540568438177</v>
      </c>
      <c r="D27" s="106"/>
      <c r="E27" s="120"/>
    </row>
    <row r="28" customFormat="false" ht="15" hidden="false" customHeight="false" outlineLevel="0" collapsed="false">
      <c r="B28" s="7" t="s">
        <v>632</v>
      </c>
      <c r="C28" s="109" t="n">
        <f aca="false">IFERROR(C27/Px_Par,0)</f>
        <v>0.0916532519615082</v>
      </c>
      <c r="D28" s="109"/>
      <c r="E28" s="30" t="s">
        <v>633</v>
      </c>
    </row>
    <row r="29" customFormat="false" ht="15" hidden="false" customHeight="false" outlineLevel="0" collapsed="false">
      <c r="B29" s="20" t="s">
        <v>634</v>
      </c>
      <c r="C29" s="106" t="n">
        <f aca="false">IFERROR(SUMPRODUCT('Loan Tape'!$V$4:$V$303,'Loan Tape'!$R$4:$R$303,'Loan Tape'!$AN$4:$AN$303)/SUMPRODUCT('Loan Tape'!$R$4:$R$303,'Loan Tape'!$AN$4:$AN$303),0)</f>
        <v>0.683559256454334</v>
      </c>
      <c r="D29" s="106"/>
      <c r="E29" s="120"/>
    </row>
    <row r="30" customFormat="false" ht="15" hidden="false" customHeight="false" outlineLevel="0" collapsed="false">
      <c r="B30" s="7" t="s">
        <v>635</v>
      </c>
      <c r="C30" s="109" t="n">
        <f aca="false">IFERROR(C29*Px_Par,0)</f>
        <v>0.642545701067074</v>
      </c>
      <c r="D30" s="109"/>
      <c r="E30" s="30"/>
    </row>
    <row r="32" customFormat="false" ht="15" hidden="false" customHeight="false" outlineLevel="0" collapsed="false">
      <c r="B32" s="34" t="s">
        <v>636</v>
      </c>
      <c r="C32" s="34"/>
      <c r="D32" s="34"/>
      <c r="E32" s="34"/>
      <c r="F32" s="34"/>
      <c r="G32" s="34"/>
      <c r="H32" s="34"/>
      <c r="I32" s="34"/>
      <c r="J32" s="34"/>
      <c r="K32" s="34"/>
      <c r="L32" s="34"/>
      <c r="M32" s="34"/>
    </row>
    <row r="33" customFormat="false" ht="15" hidden="false" customHeight="false" outlineLevel="0" collapsed="false">
      <c r="B33" s="54" t="s">
        <v>540</v>
      </c>
      <c r="C33" s="55" t="n">
        <v>0</v>
      </c>
      <c r="D33" s="55" t="n">
        <v>1</v>
      </c>
      <c r="E33" s="55" t="n">
        <v>2</v>
      </c>
      <c r="F33" s="55" t="n">
        <v>3</v>
      </c>
      <c r="G33" s="55" t="n">
        <v>4</v>
      </c>
      <c r="H33" s="55" t="n">
        <v>5</v>
      </c>
      <c r="I33" s="55" t="n">
        <v>6</v>
      </c>
      <c r="J33" s="55" t="n">
        <v>7</v>
      </c>
      <c r="K33" s="55" t="n">
        <v>8</v>
      </c>
      <c r="L33" s="55" t="n">
        <v>9</v>
      </c>
      <c r="M33" s="55" t="n">
        <v>10</v>
      </c>
    </row>
    <row r="34" customFormat="false" ht="15" hidden="false" customHeight="false" outlineLevel="0" collapsed="false">
      <c r="B34" s="127" t="s">
        <v>543</v>
      </c>
      <c r="C34" s="99" t="n">
        <v>0</v>
      </c>
      <c r="D34" s="99" t="n">
        <f aca="false">SUM('Loan CF'!C$1826:C$2125)</f>
        <v>142652877.10454</v>
      </c>
      <c r="E34" s="99" t="n">
        <f aca="false">SUM('Loan CF'!D$1826:D$2125)</f>
        <v>85695251.7328949</v>
      </c>
      <c r="F34" s="99" t="n">
        <f aca="false">SUM('Loan CF'!E$1826:E$2125)</f>
        <v>59852013.7847921</v>
      </c>
      <c r="G34" s="99" t="n">
        <f aca="false">SUM('Loan CF'!F$1826:F$2125)</f>
        <v>37614195.1979448</v>
      </c>
      <c r="H34" s="99" t="n">
        <f aca="false">SUM('Loan CF'!G$1826:G$2125)</f>
        <v>18476709.4722022</v>
      </c>
      <c r="I34" s="99" t="n">
        <f aca="false">SUM('Loan CF'!H$1826:H$2125)</f>
        <v>0</v>
      </c>
      <c r="J34" s="99" t="n">
        <f aca="false">SUM('Loan CF'!I$1826:I$2125)</f>
        <v>0</v>
      </c>
      <c r="K34" s="99" t="n">
        <f aca="false">SUM('Loan CF'!J$1826:J$2125)</f>
        <v>0</v>
      </c>
      <c r="L34" s="99" t="n">
        <f aca="false">SUM('Loan CF'!K$1826:K$2125)</f>
        <v>0</v>
      </c>
      <c r="M34" s="99" t="n">
        <f aca="false">SUM('Loan CF'!L$1826:L$2125)</f>
        <v>0</v>
      </c>
    </row>
    <row r="35" customFormat="false" ht="15" hidden="false" customHeight="false" outlineLevel="0" collapsed="false">
      <c r="B35" s="128" t="s">
        <v>544</v>
      </c>
      <c r="C35" s="71" t="n">
        <v>0</v>
      </c>
      <c r="D35" s="71" t="n">
        <f aca="false">SUM('Loan CF'!C$917:C$1216)</f>
        <v>26497935.1195876</v>
      </c>
      <c r="E35" s="71" t="n">
        <f aca="false">SUM('Loan CF'!D$917:D$1216)</f>
        <v>18414550.7386661</v>
      </c>
      <c r="F35" s="71" t="n">
        <f aca="false">SUM('Loan CF'!E$917:E$1216)</f>
        <v>12755070.7668054</v>
      </c>
      <c r="G35" s="71" t="n">
        <f aca="false">SUM('Loan CF'!F$917:F$1216)</f>
        <v>8872705.91310064</v>
      </c>
      <c r="H35" s="71" t="n">
        <f aca="false">SUM('Loan CF'!G$917:G$1216)</f>
        <v>4314999.01948202</v>
      </c>
      <c r="I35" s="71" t="n">
        <f aca="false">SUM('Loan CF'!H$917:H$1216)</f>
        <v>0</v>
      </c>
      <c r="J35" s="71" t="n">
        <f aca="false">SUM('Loan CF'!I$917:I$1216)</f>
        <v>0</v>
      </c>
      <c r="K35" s="71" t="n">
        <f aca="false">SUM('Loan CF'!J$917:J$1216)</f>
        <v>0</v>
      </c>
      <c r="L35" s="71" t="n">
        <f aca="false">SUM('Loan CF'!K$917:K$1216)</f>
        <v>0</v>
      </c>
      <c r="M35" s="71" t="n">
        <f aca="false">SUM('Loan CF'!L$917:L$1216)</f>
        <v>0</v>
      </c>
    </row>
    <row r="36" customFormat="false" ht="15" hidden="false" customHeight="false" outlineLevel="0" collapsed="false">
      <c r="B36" s="127" t="s">
        <v>545</v>
      </c>
      <c r="C36" s="99" t="n">
        <v>0</v>
      </c>
      <c r="D36" s="99" t="n">
        <f aca="false">SUM('Loan CF'!C$1220:C$1519)</f>
        <v>215241200</v>
      </c>
      <c r="E36" s="99" t="n">
        <f aca="false">SUM('Loan CF'!D$1220:D$1519)</f>
        <v>134314088.258438</v>
      </c>
      <c r="F36" s="99" t="n">
        <f aca="false">SUM('Loan CF'!E$1220:E$1519)</f>
        <v>95562332.1362054</v>
      </c>
      <c r="G36" s="99" t="n">
        <f aca="false">SUM('Loan CF'!F$1220:F$1519)</f>
        <v>61174687.4618199</v>
      </c>
      <c r="H36" s="99" t="n">
        <f aca="false">SUM('Loan CF'!G$1220:G$1519)</f>
        <v>31801173.0722092</v>
      </c>
      <c r="I36" s="99" t="n">
        <f aca="false">SUM('Loan CF'!H$1220:H$1519)</f>
        <v>0</v>
      </c>
      <c r="J36" s="99" t="n">
        <f aca="false">SUM('Loan CF'!I$1220:I$1519)</f>
        <v>0</v>
      </c>
      <c r="K36" s="99" t="n">
        <f aca="false">SUM('Loan CF'!J$1220:J$1519)</f>
        <v>0</v>
      </c>
      <c r="L36" s="99" t="n">
        <f aca="false">SUM('Loan CF'!K$1220:K$1519)</f>
        <v>0</v>
      </c>
      <c r="M36" s="99" t="n">
        <f aca="false">SUM('Loan CF'!L$1220:L$1519)</f>
        <v>0</v>
      </c>
    </row>
    <row r="37" customFormat="false" ht="15" hidden="false" customHeight="false" outlineLevel="0" collapsed="false">
      <c r="B37" s="128" t="s">
        <v>637</v>
      </c>
      <c r="C37" s="71" t="n">
        <v>0</v>
      </c>
      <c r="D37" s="71" t="n">
        <f aca="false">SUM('Loan CF'!C$1523:C$1822)</f>
        <v>802808384.251468</v>
      </c>
      <c r="E37" s="71" t="n">
        <f aca="false">SUM('Loan CF'!D$1523:D$1822)</f>
        <v>184766863.579282</v>
      </c>
      <c r="F37" s="71" t="n">
        <f aca="false">SUM('Loan CF'!E$1523:E$1822)</f>
        <v>186590101.681442</v>
      </c>
      <c r="G37" s="71" t="n">
        <f aca="false">SUM('Loan CF'!F$1523:F$1822)</f>
        <v>286202519.595058</v>
      </c>
      <c r="H37" s="71" t="n">
        <f aca="false">SUM('Loan CF'!G$1523:G$1822)</f>
        <v>91698585.5795958</v>
      </c>
      <c r="I37" s="71" t="n">
        <f aca="false">SUM('Loan CF'!H$1523:H$1822)</f>
        <v>0</v>
      </c>
      <c r="J37" s="71" t="n">
        <f aca="false">SUM('Loan CF'!I$1523:I$1822)</f>
        <v>0</v>
      </c>
      <c r="K37" s="71" t="n">
        <f aca="false">SUM('Loan CF'!J$1523:J$1822)</f>
        <v>0</v>
      </c>
      <c r="L37" s="71" t="n">
        <f aca="false">SUM('Loan CF'!K$1523:K$1822)</f>
        <v>0</v>
      </c>
      <c r="M37" s="71" t="n">
        <f aca="false">SUM('Loan CF'!L$1523:L$1822)</f>
        <v>0</v>
      </c>
    </row>
    <row r="38" customFormat="false" ht="15" hidden="false" customHeight="false" outlineLevel="0" collapsed="false">
      <c r="B38" s="127" t="s">
        <v>548</v>
      </c>
      <c r="C38" s="99" t="n">
        <v>0</v>
      </c>
      <c r="D38" s="99" t="n">
        <f aca="false">SUM('Loan CF'!C$2129:C$2428)</f>
        <v>0</v>
      </c>
      <c r="E38" s="99" t="n">
        <f aca="false">SUM('Loan CF'!D$2129:D$2428)</f>
        <v>30133768</v>
      </c>
      <c r="F38" s="99" t="n">
        <f aca="false">SUM('Loan CF'!E$2129:E$2428)</f>
        <v>18803972.3561814</v>
      </c>
      <c r="G38" s="99" t="n">
        <f aca="false">SUM('Loan CF'!F$2129:F$2428)</f>
        <v>13378726.4990688</v>
      </c>
      <c r="H38" s="99" t="n">
        <f aca="false">SUM('Loan CF'!G$2129:G$2428)</f>
        <v>8564456.24465479</v>
      </c>
      <c r="I38" s="99" t="n">
        <f aca="false">SUM('Loan CF'!H$2129:H$2428)</f>
        <v>0</v>
      </c>
      <c r="J38" s="99" t="n">
        <f aca="false">SUM('Loan CF'!I$2129:I$2428)</f>
        <v>0</v>
      </c>
      <c r="K38" s="99" t="n">
        <f aca="false">SUM('Loan CF'!J$2129:J$2428)</f>
        <v>0</v>
      </c>
      <c r="L38" s="99" t="n">
        <f aca="false">SUM('Loan CF'!K$2129:K$2428)</f>
        <v>0</v>
      </c>
      <c r="M38" s="99" t="n">
        <f aca="false">SUM('Loan CF'!L$2129:L$2428)</f>
        <v>0</v>
      </c>
    </row>
    <row r="39" customFormat="false" ht="15" hidden="false" customHeight="false" outlineLevel="0" collapsed="false">
      <c r="B39" s="128" t="s">
        <v>638</v>
      </c>
      <c r="C39" s="71" t="n">
        <v>0</v>
      </c>
      <c r="D39" s="71" t="n">
        <f aca="false">SUM('Loan CF'!C$1220:C$1519)*Prepay_Pen</f>
        <v>2152412</v>
      </c>
      <c r="E39" s="71" t="n">
        <f aca="false">SUM('Loan CF'!D$1220:D$1519)*Prepay_Pen</f>
        <v>1343140.88258438</v>
      </c>
      <c r="F39" s="71" t="n">
        <f aca="false">SUM('Loan CF'!E$1220:E$1519)*Prepay_Pen</f>
        <v>955623.321362054</v>
      </c>
      <c r="G39" s="71" t="n">
        <f aca="false">SUM('Loan CF'!F$1220:F$1519)*Prepay_Pen</f>
        <v>611746.874618199</v>
      </c>
      <c r="H39" s="71" t="n">
        <f aca="false">SUM('Loan CF'!G$1220:G$1519)*Prepay_Pen</f>
        <v>318011.730722092</v>
      </c>
      <c r="I39" s="71" t="n">
        <f aca="false">SUM('Loan CF'!H$1220:H$1519)*Prepay_Pen</f>
        <v>0</v>
      </c>
      <c r="J39" s="71" t="n">
        <f aca="false">SUM('Loan CF'!I$1220:I$1519)*Prepay_Pen</f>
        <v>0</v>
      </c>
      <c r="K39" s="71" t="n">
        <f aca="false">SUM('Loan CF'!J$1220:J$1519)*Prepay_Pen</f>
        <v>0</v>
      </c>
      <c r="L39" s="71" t="n">
        <f aca="false">SUM('Loan CF'!K$1220:K$1519)*Prepay_Pen</f>
        <v>0</v>
      </c>
      <c r="M39" s="71" t="n">
        <f aca="false">SUM('Loan CF'!L$1220:L$1519)*Prepay_Pen</f>
        <v>0</v>
      </c>
    </row>
    <row r="40" customFormat="false" ht="15" hidden="false" customHeight="false" outlineLevel="0" collapsed="false">
      <c r="B40" s="127" t="s">
        <v>639</v>
      </c>
      <c r="C40" s="99" t="n">
        <v>0</v>
      </c>
      <c r="D40" s="99" t="n">
        <f aca="false">IF(1=Hold_Yrs,SUM('Loan CF'!C$2432:C$2731),0)</f>
        <v>0</v>
      </c>
      <c r="E40" s="99" t="n">
        <f aca="false">IF(2=Hold_Yrs,SUM('Loan CF'!C$2432:C$2731),0)</f>
        <v>0</v>
      </c>
      <c r="F40" s="99" t="n">
        <f aca="false">IF(3=Hold_Yrs,SUM('Loan CF'!C$2432:C$2731),0)</f>
        <v>0</v>
      </c>
      <c r="G40" s="99" t="n">
        <f aca="false">IF(4=Hold_Yrs,SUM('Loan CF'!C$2432:C$2731),0)</f>
        <v>0</v>
      </c>
      <c r="H40" s="99" t="n">
        <f aca="false">IF(5=Hold_Yrs,SUM('Loan CF'!C$2432:C$2731),0)</f>
        <v>223518153.554772</v>
      </c>
      <c r="I40" s="99" t="n">
        <f aca="false">IF(6=Hold_Yrs,SUM('Loan CF'!C$2432:C$2731),0)</f>
        <v>0</v>
      </c>
      <c r="J40" s="99" t="n">
        <f aca="false">IF(7=Hold_Yrs,SUM('Loan CF'!C$2432:C$2731),0)</f>
        <v>0</v>
      </c>
      <c r="K40" s="99" t="n">
        <f aca="false">IF(8=Hold_Yrs,SUM('Loan CF'!C$2432:C$2731),0)</f>
        <v>0</v>
      </c>
      <c r="L40" s="99" t="n">
        <f aca="false">IF(9=Hold_Yrs,SUM('Loan CF'!C$2432:C$2731),0)</f>
        <v>0</v>
      </c>
      <c r="M40" s="99" t="n">
        <f aca="false">IF(10=Hold_Yrs,SUM('Loan CF'!C$2432:C$2731),0)</f>
        <v>0</v>
      </c>
    </row>
    <row r="41" customFormat="false" ht="15" hidden="false" customHeight="false" outlineLevel="0" collapsed="false">
      <c r="B41" s="25" t="s">
        <v>640</v>
      </c>
      <c r="C41" s="129" t="n">
        <f aca="false">SUM(C34:C40)</f>
        <v>0</v>
      </c>
      <c r="D41" s="129" t="n">
        <f aca="false">SUM(D34:D40)</f>
        <v>1189352808.4756</v>
      </c>
      <c r="E41" s="129" t="n">
        <f aca="false">SUM(E34:E40)</f>
        <v>454667663.191866</v>
      </c>
      <c r="F41" s="129" t="n">
        <f aca="false">SUM(F34:F40)</f>
        <v>374519114.046788</v>
      </c>
      <c r="G41" s="129" t="n">
        <f aca="false">SUM(G34:G40)</f>
        <v>407854581.541611</v>
      </c>
      <c r="H41" s="129" t="n">
        <f aca="false">SUM(H34:H40)</f>
        <v>378692088.673638</v>
      </c>
      <c r="I41" s="129" t="n">
        <f aca="false">SUM(I34:I40)</f>
        <v>0</v>
      </c>
      <c r="J41" s="129" t="n">
        <f aca="false">SUM(J34:J40)</f>
        <v>0</v>
      </c>
      <c r="K41" s="129" t="n">
        <f aca="false">SUM(K34:K40)</f>
        <v>0</v>
      </c>
      <c r="L41" s="129" t="n">
        <f aca="false">SUM(L34:L40)</f>
        <v>0</v>
      </c>
      <c r="M41" s="129" t="n">
        <f aca="false">SUM(M34:M40)</f>
        <v>0</v>
      </c>
    </row>
    <row r="42" customFormat="false" ht="15" hidden="false" customHeight="false" outlineLevel="0" collapsed="false">
      <c r="B42" s="127" t="s">
        <v>641</v>
      </c>
      <c r="C42" s="99" t="n">
        <v>0</v>
      </c>
      <c r="D42" s="99" t="n">
        <f aca="false">-IF(1&lt;=Hold_Yrs,(SUM('Loan CF'!C$8:C$307)+SUM('Loan CF'!D$8:D$307))/2*Svc_Fee/10000,0)</f>
        <v>-2927718.18047171</v>
      </c>
      <c r="E42" s="99" t="n">
        <f aca="false">-IF(2&lt;=Hold_Yrs,(SUM('Loan CF'!D$8:D$307)+SUM('Loan CF'!E$8:E$307))/2*Svc_Fee/10000,0)</f>
        <v>-1838752.62077236</v>
      </c>
      <c r="F42" s="99" t="n">
        <f aca="false">-IF(3&lt;=Hold_Yrs,(SUM('Loan CF'!E$8:E$307)+SUM('Loan CF'!F$8:F$307))/2*Svc_Fee/10000,0)</f>
        <v>-1329968.90234253</v>
      </c>
      <c r="G42" s="99" t="n">
        <f aca="false">-IF(4&lt;=Hold_Yrs,(SUM('Loan CF'!F$8:F$307)+SUM('Loan CF'!G$8:G$307))/2*Svc_Fee/10000,0)</f>
        <v>-818090.286237008</v>
      </c>
      <c r="H42" s="99" t="n">
        <f aca="false">-IF(5&lt;=Hold_Yrs,(SUM('Loan CF'!G$8:G$307)+SUM('Loan CF'!H$8:H$307))/2*Svc_Fee/10000,0)</f>
        <v>-441095.404175954</v>
      </c>
      <c r="I42" s="99" t="n">
        <f aca="false">-IF(6&lt;=Hold_Yrs,(SUM('Loan CF'!H$8:H$307)+SUM('Loan CF'!I$8:I$307))/2*Svc_Fee/10000,0)</f>
        <v>-0</v>
      </c>
      <c r="J42" s="99" t="n">
        <f aca="false">-IF(7&lt;=Hold_Yrs,(SUM('Loan CF'!I$8:I$307)+SUM('Loan CF'!J$8:J$307))/2*Svc_Fee/10000,0)</f>
        <v>-0</v>
      </c>
      <c r="K42" s="99" t="n">
        <f aca="false">-IF(8&lt;=Hold_Yrs,(SUM('Loan CF'!J$8:J$307)+SUM('Loan CF'!K$8:K$307))/2*Svc_Fee/10000,0)</f>
        <v>-0</v>
      </c>
      <c r="L42" s="99" t="n">
        <f aca="false">-IF(9&lt;=Hold_Yrs,(SUM('Loan CF'!K$8:K$307)+SUM('Loan CF'!L$8:L$307))/2*Svc_Fee/10000,0)</f>
        <v>-0</v>
      </c>
      <c r="M42" s="99" t="n">
        <f aca="false">-IF(10&lt;=Hold_Yrs,(SUM('Loan CF'!L$8:L$307)+SUM('Loan CF'!M$8:M$307))/2*Svc_Fee/10000,0)</f>
        <v>-0</v>
      </c>
      <c r="O42" s="30" t="s">
        <v>642</v>
      </c>
    </row>
    <row r="43" customFormat="false" ht="15" hidden="false" customHeight="false" outlineLevel="0" collapsed="false">
      <c r="B43" s="128" t="s">
        <v>643</v>
      </c>
      <c r="C43" s="71" t="n">
        <v>0</v>
      </c>
      <c r="D43" s="71" t="n">
        <f aca="false">-IF(1&lt;=Hold_Yrs,$C$18*AM_Fee/10000,0)</f>
        <v>-9667244.457</v>
      </c>
      <c r="E43" s="71" t="n">
        <f aca="false">-IF(2&lt;=Hold_Yrs,$C$18*AM_Fee/10000,0)</f>
        <v>-9667244.457</v>
      </c>
      <c r="F43" s="71" t="n">
        <f aca="false">-IF(3&lt;=Hold_Yrs,$C$18*AM_Fee/10000,0)</f>
        <v>-9667244.457</v>
      </c>
      <c r="G43" s="71" t="n">
        <f aca="false">-IF(4&lt;=Hold_Yrs,$C$18*AM_Fee/10000,0)</f>
        <v>-9667244.457</v>
      </c>
      <c r="H43" s="71" t="n">
        <f aca="false">-IF(5&lt;=Hold_Yrs,$C$18*AM_Fee/10000,0)</f>
        <v>-9667244.457</v>
      </c>
      <c r="I43" s="71" t="n">
        <f aca="false">-IF(6&lt;=Hold_Yrs,$C$18*AM_Fee/10000,0)</f>
        <v>-0</v>
      </c>
      <c r="J43" s="71" t="n">
        <f aca="false">-IF(7&lt;=Hold_Yrs,$C$18*AM_Fee/10000,0)</f>
        <v>-0</v>
      </c>
      <c r="K43" s="71" t="n">
        <f aca="false">-IF(8&lt;=Hold_Yrs,$C$18*AM_Fee/10000,0)</f>
        <v>-0</v>
      </c>
      <c r="L43" s="71" t="n">
        <f aca="false">-IF(9&lt;=Hold_Yrs,$C$18*AM_Fee/10000,0)</f>
        <v>-0</v>
      </c>
      <c r="M43" s="71" t="n">
        <f aca="false">-IF(10&lt;=Hold_Yrs,$C$18*AM_Fee/10000,0)</f>
        <v>-0</v>
      </c>
    </row>
    <row r="44" customFormat="false" ht="15" hidden="false" customHeight="false" outlineLevel="0" collapsed="false">
      <c r="B44" s="127" t="s">
        <v>644</v>
      </c>
      <c r="C44" s="99" t="n">
        <v>0</v>
      </c>
      <c r="D44" s="99" t="n">
        <f aca="false">-IF(1&lt;=Hold_Yrs,Fixed_Cost,0)</f>
        <v>-250000</v>
      </c>
      <c r="E44" s="99" t="n">
        <f aca="false">-IF(2&lt;=Hold_Yrs,Fixed_Cost,0)</f>
        <v>-250000</v>
      </c>
      <c r="F44" s="99" t="n">
        <f aca="false">-IF(3&lt;=Hold_Yrs,Fixed_Cost,0)</f>
        <v>-250000</v>
      </c>
      <c r="G44" s="99" t="n">
        <f aca="false">-IF(4&lt;=Hold_Yrs,Fixed_Cost,0)</f>
        <v>-250000</v>
      </c>
      <c r="H44" s="99" t="n">
        <f aca="false">-IF(5&lt;=Hold_Yrs,Fixed_Cost,0)</f>
        <v>-250000</v>
      </c>
      <c r="I44" s="99" t="n">
        <f aca="false">-IF(6&lt;=Hold_Yrs,Fixed_Cost,0)</f>
        <v>-0</v>
      </c>
      <c r="J44" s="99" t="n">
        <f aca="false">-IF(7&lt;=Hold_Yrs,Fixed_Cost,0)</f>
        <v>-0</v>
      </c>
      <c r="K44" s="99" t="n">
        <f aca="false">-IF(8&lt;=Hold_Yrs,Fixed_Cost,0)</f>
        <v>-0</v>
      </c>
      <c r="L44" s="99" t="n">
        <f aca="false">-IF(9&lt;=Hold_Yrs,Fixed_Cost,0)</f>
        <v>-0</v>
      </c>
      <c r="M44" s="99" t="n">
        <f aca="false">-IF(10&lt;=Hold_Yrs,Fixed_Cost,0)</f>
        <v>-0</v>
      </c>
    </row>
    <row r="45" customFormat="false" ht="15" hidden="false" customHeight="false" outlineLevel="0" collapsed="false">
      <c r="B45" s="128" t="s">
        <v>645</v>
      </c>
      <c r="C45" s="71" t="n">
        <f aca="false">-$C$20</f>
        <v>-2367210865.5</v>
      </c>
      <c r="D45" s="71" t="n">
        <v>0</v>
      </c>
      <c r="E45" s="71" t="n">
        <v>0</v>
      </c>
      <c r="F45" s="71" t="n">
        <v>0</v>
      </c>
      <c r="G45" s="71" t="n">
        <v>0</v>
      </c>
      <c r="H45" s="71" t="n">
        <v>0</v>
      </c>
      <c r="I45" s="71" t="n">
        <v>0</v>
      </c>
      <c r="J45" s="71" t="n">
        <v>0</v>
      </c>
      <c r="K45" s="71" t="n">
        <v>0</v>
      </c>
      <c r="L45" s="71" t="n">
        <v>0</v>
      </c>
      <c r="M45" s="71" t="n">
        <v>0</v>
      </c>
    </row>
    <row r="46" customFormat="false" ht="15" hidden="false" customHeight="false" outlineLevel="0" collapsed="false">
      <c r="B46" s="54" t="s">
        <v>646</v>
      </c>
      <c r="C46" s="122" t="n">
        <f aca="false">SUM(C41)+SUM(C42:C45)</f>
        <v>-2367210865.5</v>
      </c>
      <c r="D46" s="122" t="n">
        <f aca="false">SUM(D41)+SUM(D42:D45)</f>
        <v>1176507845.83812</v>
      </c>
      <c r="E46" s="122" t="n">
        <f aca="false">SUM(E41)+SUM(E42:E45)</f>
        <v>442911666.114094</v>
      </c>
      <c r="F46" s="122" t="n">
        <f aca="false">SUM(F41)+SUM(F42:F45)</f>
        <v>363271900.687445</v>
      </c>
      <c r="G46" s="122" t="n">
        <f aca="false">SUM(G41)+SUM(G42:G45)</f>
        <v>397119246.798374</v>
      </c>
      <c r="H46" s="122" t="n">
        <f aca="false">SUM(H41)+SUM(H42:H45)</f>
        <v>368333748.812462</v>
      </c>
      <c r="I46" s="122" t="n">
        <f aca="false">SUM(I41)+SUM(I42:I45)</f>
        <v>0</v>
      </c>
      <c r="J46" s="122" t="n">
        <f aca="false">SUM(J41)+SUM(J42:J45)</f>
        <v>0</v>
      </c>
      <c r="K46" s="122" t="n">
        <f aca="false">SUM(K41)+SUM(K42:K45)</f>
        <v>0</v>
      </c>
      <c r="L46" s="122" t="n">
        <f aca="false">SUM(L41)+SUM(L42:L45)</f>
        <v>0</v>
      </c>
      <c r="M46" s="122" t="n">
        <f aca="false">SUM(M41)+SUM(M42:M45)</f>
        <v>0</v>
      </c>
    </row>
    <row r="47" customFormat="false" ht="15" hidden="false" customHeight="false" outlineLevel="0" collapsed="false">
      <c r="B47" s="25" t="s">
        <v>647</v>
      </c>
      <c r="C47" s="101" t="n">
        <f aca="false">C46</f>
        <v>-2367210865.5</v>
      </c>
      <c r="D47" s="101" t="n">
        <f aca="false">C47+D46</f>
        <v>-1190703019.66188</v>
      </c>
      <c r="E47" s="101" t="n">
        <f aca="false">D47+E46</f>
        <v>-747791353.547782</v>
      </c>
      <c r="F47" s="101" t="n">
        <f aca="false">E47+F46</f>
        <v>-384519452.860336</v>
      </c>
      <c r="G47" s="101" t="n">
        <f aca="false">F47+G46</f>
        <v>12599793.9380373</v>
      </c>
      <c r="H47" s="101" t="n">
        <f aca="false">G47+H46</f>
        <v>380933542.750499</v>
      </c>
      <c r="I47" s="101" t="n">
        <f aca="false">H47+I46</f>
        <v>380933542.750499</v>
      </c>
      <c r="J47" s="101" t="n">
        <f aca="false">I47+J46</f>
        <v>380933542.750499</v>
      </c>
      <c r="K47" s="101" t="n">
        <f aca="false">J47+K46</f>
        <v>380933542.750499</v>
      </c>
      <c r="L47" s="101" t="n">
        <f aca="false">K47+L46</f>
        <v>380933542.750499</v>
      </c>
      <c r="M47" s="101" t="n">
        <f aca="false">L47+M46</f>
        <v>380933542.750499</v>
      </c>
    </row>
    <row r="48" customFormat="false" ht="15" hidden="false" customHeight="false" outlineLevel="0" collapsed="false">
      <c r="B48" s="31" t="s">
        <v>648</v>
      </c>
      <c r="C48" s="124"/>
      <c r="D48" s="124"/>
      <c r="E48" s="124"/>
      <c r="F48" s="124"/>
      <c r="G48" s="124"/>
      <c r="H48" s="124"/>
      <c r="I48" s="124"/>
      <c r="J48" s="124"/>
      <c r="K48" s="124"/>
      <c r="L48" s="124"/>
      <c r="M48" s="124"/>
    </row>
    <row r="49" customFormat="false" ht="15" hidden="false" customHeight="false" outlineLevel="0" collapsed="false">
      <c r="B49" s="128" t="s">
        <v>550</v>
      </c>
      <c r="C49" s="71" t="n">
        <v>0</v>
      </c>
      <c r="D49" s="71" t="n">
        <f aca="false">SUM('Loan CF'!C$3038:C$3337)</f>
        <v>1407524040</v>
      </c>
      <c r="E49" s="71" t="n">
        <f aca="false">SUM('Loan CF'!D$3038:D$3337)</f>
        <v>733082944.628944</v>
      </c>
      <c r="F49" s="71" t="n">
        <f aca="false">SUM('Loan CF'!E$3038:E$3337)</f>
        <v>472781087.463258</v>
      </c>
      <c r="G49" s="71" t="n">
        <f aca="false">SUM('Loan CF'!F$3038:F$3337)</f>
        <v>273285339.839469</v>
      </c>
      <c r="H49" s="71" t="n">
        <f aca="false">SUM('Loan CF'!G$3038:G$3337)</f>
        <v>102600555.229484</v>
      </c>
      <c r="I49" s="71" t="n">
        <f aca="false">SUM('Loan CF'!H$3038:H$3337)</f>
        <v>0</v>
      </c>
      <c r="J49" s="71" t="n">
        <f aca="false">SUM('Loan CF'!I$3038:I$3337)</f>
        <v>0</v>
      </c>
      <c r="K49" s="71" t="n">
        <f aca="false">SUM('Loan CF'!J$3038:J$3337)</f>
        <v>0</v>
      </c>
      <c r="L49" s="71" t="n">
        <f aca="false">SUM('Loan CF'!K$3038:K$3337)</f>
        <v>0</v>
      </c>
      <c r="M49" s="71" t="n">
        <f aca="false">SUM('Loan CF'!L$3038:L$3337)</f>
        <v>0</v>
      </c>
    </row>
    <row r="50" customFormat="false" ht="15" hidden="false" customHeight="false" outlineLevel="0" collapsed="false">
      <c r="B50" s="127" t="s">
        <v>649</v>
      </c>
      <c r="C50" s="99" t="n">
        <v>0</v>
      </c>
      <c r="D50" s="99" t="n">
        <f aca="false">-IF(1&gt;Debt_Yr,0,(SUM('Loan CF'!C$3038:C$3337)-0.5*IF(1=Debt_Yr,0,SUM('Loan CF'!C$3341:C$3640)))*INDEX(Fin_Curve,1,1))</f>
        <v>-74921244.4620131</v>
      </c>
      <c r="E50" s="99" t="n">
        <f aca="false">-IF(2&gt;Debt_Yr,0,(SUM('Loan CF'!D$3038:D$3337)-0.5*IF(2=Debt_Yr,0,SUM('Loan CF'!D$3341:D$3640)))*INDEX(Fin_Curve,1,2))</f>
        <v>-39190581.0429966</v>
      </c>
      <c r="F50" s="99" t="n">
        <f aca="false">-IF(3&gt;Debt_Yr,0,(SUM('Loan CF'!E$3038:E$3337)-0.5*IF(3=Debt_Yr,0,SUM('Loan CF'!E$3341:E$3640)))*INDEX(Fin_Curve,1,3))</f>
        <v>-22755026.0327332</v>
      </c>
      <c r="G50" s="99" t="n">
        <f aca="false">-IF(4&gt;Debt_Yr,0,(SUM('Loan CF'!F$3038:F$3337)-0.5*IF(4=Debt_Yr,0,SUM('Loan CF'!F$3341:F$3640)))*INDEX(Fin_Curve,1,4))</f>
        <v>-11088633.9045341</v>
      </c>
      <c r="H50" s="99" t="n">
        <f aca="false">-IF(5&gt;Debt_Yr,0,(SUM('Loan CF'!G$3038:G$3337)-0.5*IF(5=Debt_Yr,0,SUM('Loan CF'!G$3341:G$3640)))*INDEX(Fin_Curve,1,5))</f>
        <v>-5950832.20331008</v>
      </c>
      <c r="I50" s="99" t="n">
        <f aca="false">-IF(6&gt;Debt_Yr,0,(SUM('Loan CF'!H$3038:H$3337)-0.5*IF(6=Debt_Yr,0,SUM('Loan CF'!H$3341:H$3640)))*INDEX(Fin_Curve,1,6))</f>
        <v>-0</v>
      </c>
      <c r="J50" s="99" t="n">
        <f aca="false">-IF(7&gt;Debt_Yr,0,(SUM('Loan CF'!I$3038:I$3337)-0.5*IF(7=Debt_Yr,0,SUM('Loan CF'!I$3341:I$3640)))*INDEX(Fin_Curve,1,7))</f>
        <v>-0</v>
      </c>
      <c r="K50" s="99" t="n">
        <f aca="false">-IF(8&gt;Debt_Yr,0,(SUM('Loan CF'!J$3038:J$3337)-0.5*IF(8=Debt_Yr,0,SUM('Loan CF'!J$3341:J$3640)))*INDEX(Fin_Curve,1,8))</f>
        <v>-0</v>
      </c>
      <c r="L50" s="99" t="n">
        <f aca="false">-IF(9&gt;Debt_Yr,0,(SUM('Loan CF'!K$3038:K$3337)-0.5*IF(9=Debt_Yr,0,SUM('Loan CF'!K$3341:K$3640)))*INDEX(Fin_Curve,1,9))</f>
        <v>-0</v>
      </c>
      <c r="M50" s="99" t="n">
        <f aca="false">-IF(10&gt;Debt_Yr,0,(SUM('Loan CF'!L$3038:L$3337)-0.5*IF(10=Debt_Yr,0,SUM('Loan CF'!L$3341:L$3640)))*INDEX(Fin_Curve,1,10))</f>
        <v>-0</v>
      </c>
    </row>
    <row r="51" customFormat="false" ht="15" hidden="false" customHeight="false" outlineLevel="0" collapsed="false">
      <c r="B51" s="128" t="s">
        <v>551</v>
      </c>
      <c r="C51" s="71" t="n">
        <v>0</v>
      </c>
      <c r="D51" s="71" t="n">
        <f aca="false">-SUM('Loan CF'!C$3341:C$3640)</f>
        <v>-674441095.371056</v>
      </c>
      <c r="E51" s="71" t="n">
        <f aca="false">-SUM('Loan CF'!D$3341:D$3640)</f>
        <v>-260301857.165686</v>
      </c>
      <c r="F51" s="71" t="n">
        <f aca="false">-SUM('Loan CF'!E$3341:E$3640)</f>
        <v>-199495747.62379</v>
      </c>
      <c r="G51" s="71" t="n">
        <f aca="false">-SUM('Loan CF'!F$3341:F$3640)</f>
        <v>-170684784.609984</v>
      </c>
      <c r="H51" s="71" t="n">
        <f aca="false">-SUM('Loan CF'!G$3341:G$3640)</f>
        <v>-102600555.229484</v>
      </c>
      <c r="I51" s="71" t="n">
        <f aca="false">-SUM('Loan CF'!H$3341:H$3640)</f>
        <v>-0</v>
      </c>
      <c r="J51" s="71" t="n">
        <f aca="false">-SUM('Loan CF'!I$3341:I$3640)</f>
        <v>-0</v>
      </c>
      <c r="K51" s="71" t="n">
        <f aca="false">-SUM('Loan CF'!J$3341:J$3640)</f>
        <v>-0</v>
      </c>
      <c r="L51" s="71" t="n">
        <f aca="false">-SUM('Loan CF'!K$3341:K$3640)</f>
        <v>-0</v>
      </c>
      <c r="M51" s="71" t="n">
        <f aca="false">-SUM('Loan CF'!L$3341:L$3640)</f>
        <v>-0</v>
      </c>
    </row>
    <row r="52" customFormat="false" ht="15" hidden="false" customHeight="false" outlineLevel="0" collapsed="false">
      <c r="B52" s="127" t="s">
        <v>650</v>
      </c>
      <c r="C52" s="99" t="n">
        <v>0</v>
      </c>
      <c r="D52" s="99" t="n">
        <f aca="false">-SUM('Loan CF'!C$3341:C$3640)*Fin_ExitFee</f>
        <v>-1686102.73842764</v>
      </c>
      <c r="E52" s="99" t="n">
        <f aca="false">-SUM('Loan CF'!D$3341:D$3640)*Fin_ExitFee</f>
        <v>-650754.642914214</v>
      </c>
      <c r="F52" s="99" t="n">
        <f aca="false">-SUM('Loan CF'!E$3341:E$3640)*Fin_ExitFee</f>
        <v>-498739.369059475</v>
      </c>
      <c r="G52" s="99" t="n">
        <f aca="false">-SUM('Loan CF'!F$3341:F$3640)*Fin_ExitFee</f>
        <v>-426711.961524961</v>
      </c>
      <c r="H52" s="99" t="n">
        <f aca="false">-SUM('Loan CF'!G$3341:G$3640)*Fin_ExitFee</f>
        <v>-256501.38807371</v>
      </c>
      <c r="I52" s="99" t="n">
        <f aca="false">-SUM('Loan CF'!H$3341:H$3640)*Fin_ExitFee</f>
        <v>-0</v>
      </c>
      <c r="J52" s="99" t="n">
        <f aca="false">-SUM('Loan CF'!I$3341:I$3640)*Fin_ExitFee</f>
        <v>-0</v>
      </c>
      <c r="K52" s="99" t="n">
        <f aca="false">-SUM('Loan CF'!J$3341:J$3640)*Fin_ExitFee</f>
        <v>-0</v>
      </c>
      <c r="L52" s="99" t="n">
        <f aca="false">-SUM('Loan CF'!K$3341:K$3640)*Fin_ExitFee</f>
        <v>-0</v>
      </c>
      <c r="M52" s="99" t="n">
        <f aca="false">-SUM('Loan CF'!L$3341:L$3640)*Fin_ExitFee</f>
        <v>-0</v>
      </c>
    </row>
    <row r="53" customFormat="false" ht="15" hidden="false" customHeight="false" outlineLevel="0" collapsed="false">
      <c r="B53" s="128" t="s">
        <v>651</v>
      </c>
      <c r="C53" s="71" t="n">
        <f aca="false">-$C$18</f>
        <v>-966724445.7</v>
      </c>
      <c r="D53" s="71" t="n">
        <v>0</v>
      </c>
      <c r="E53" s="71" t="n">
        <v>0</v>
      </c>
      <c r="F53" s="71" t="n">
        <v>0</v>
      </c>
      <c r="G53" s="71" t="n">
        <v>0</v>
      </c>
      <c r="H53" s="71" t="n">
        <v>0</v>
      </c>
      <c r="I53" s="71" t="n">
        <v>0</v>
      </c>
      <c r="J53" s="71" t="n">
        <v>0</v>
      </c>
      <c r="K53" s="71" t="n">
        <v>0</v>
      </c>
      <c r="L53" s="71" t="n">
        <v>0</v>
      </c>
      <c r="M53" s="71" t="n">
        <v>0</v>
      </c>
    </row>
    <row r="54" customFormat="false" ht="15" hidden="false" customHeight="false" outlineLevel="0" collapsed="false">
      <c r="B54" s="54" t="s">
        <v>652</v>
      </c>
      <c r="C54" s="122" t="n">
        <f aca="false">-$C$18</f>
        <v>-966724445.7</v>
      </c>
      <c r="D54" s="122" t="n">
        <f aca="false">D46+D50+D51+D52</f>
        <v>425459403.266628</v>
      </c>
      <c r="E54" s="122" t="n">
        <f aca="false">E46+E50+E51+E52</f>
        <v>142768473.262497</v>
      </c>
      <c r="F54" s="122" t="n">
        <f aca="false">F46+F50+F51+F52</f>
        <v>140522387.661863</v>
      </c>
      <c r="G54" s="122" t="n">
        <f aca="false">G46+G50+G51+G52</f>
        <v>214919116.32233</v>
      </c>
      <c r="H54" s="122" t="n">
        <f aca="false">H46+H50+H51+H52</f>
        <v>259525859.991594</v>
      </c>
      <c r="I54" s="122" t="n">
        <f aca="false">I46+I50+I51+I52</f>
        <v>0</v>
      </c>
      <c r="J54" s="122" t="n">
        <f aca="false">J46+J50+J51+J52</f>
        <v>0</v>
      </c>
      <c r="K54" s="122" t="n">
        <f aca="false">K46+K50+K51+K52</f>
        <v>0</v>
      </c>
      <c r="L54" s="122" t="n">
        <f aca="false">L46+L50+L51+L52</f>
        <v>0</v>
      </c>
      <c r="M54" s="122" t="n">
        <f aca="false">M46+M50+M51+M52</f>
        <v>0</v>
      </c>
    </row>
    <row r="55" customFormat="false" ht="15" hidden="false" customHeight="false" outlineLevel="0" collapsed="false">
      <c r="B55" s="25" t="s">
        <v>653</v>
      </c>
      <c r="C55" s="101" t="n">
        <f aca="false">C54</f>
        <v>-966724445.7</v>
      </c>
      <c r="D55" s="101" t="n">
        <f aca="false">C55+D54</f>
        <v>-541265042.433372</v>
      </c>
      <c r="E55" s="101" t="n">
        <f aca="false">D55+E54</f>
        <v>-398496569.170875</v>
      </c>
      <c r="F55" s="101" t="n">
        <f aca="false">E55+F54</f>
        <v>-257974181.509012</v>
      </c>
      <c r="G55" s="101" t="n">
        <f aca="false">F55+G54</f>
        <v>-43055065.1866818</v>
      </c>
      <c r="H55" s="101" t="n">
        <f aca="false">G55+H54</f>
        <v>216470794.804912</v>
      </c>
      <c r="I55" s="101" t="n">
        <f aca="false">H55+I54</f>
        <v>216470794.804912</v>
      </c>
      <c r="J55" s="101" t="n">
        <f aca="false">I55+J54</f>
        <v>216470794.804912</v>
      </c>
      <c r="K55" s="101" t="n">
        <f aca="false">J55+K54</f>
        <v>216470794.804912</v>
      </c>
      <c r="L55" s="101" t="n">
        <f aca="false">K55+L54</f>
        <v>216470794.804912</v>
      </c>
      <c r="M55" s="101" t="n">
        <f aca="false">L55+M54</f>
        <v>216470794.804912</v>
      </c>
    </row>
    <row r="56" customFormat="false" ht="15" hidden="false" customHeight="false" outlineLevel="0" collapsed="false">
      <c r="B56" s="31" t="s">
        <v>654</v>
      </c>
      <c r="C56" s="124"/>
      <c r="D56" s="124"/>
      <c r="E56" s="124"/>
      <c r="F56" s="124"/>
      <c r="G56" s="124"/>
      <c r="H56" s="124"/>
      <c r="I56" s="124"/>
      <c r="J56" s="124"/>
      <c r="K56" s="124"/>
      <c r="L56" s="124"/>
      <c r="M56" s="124"/>
    </row>
    <row r="57" customFormat="false" ht="15" hidden="false" customHeight="false" outlineLevel="0" collapsed="false">
      <c r="B57" s="128" t="s">
        <v>655</v>
      </c>
      <c r="C57" s="71" t="n">
        <f aca="false">SUM('Loan CF'!C$2735:C$3034)</f>
        <v>-2367210865.5</v>
      </c>
      <c r="D57" s="71" t="n">
        <f aca="false">SUM('Loan CF'!D$2735:D$3034)</f>
        <v>1189352808.4756</v>
      </c>
      <c r="E57" s="71" t="n">
        <f aca="false">SUM('Loan CF'!E$2735:E$3034)</f>
        <v>454667663.191866</v>
      </c>
      <c r="F57" s="71" t="n">
        <f aca="false">SUM('Loan CF'!F$2735:F$3034)</f>
        <v>374519114.046788</v>
      </c>
      <c r="G57" s="71" t="n">
        <f aca="false">SUM('Loan CF'!G$2735:G$3034)</f>
        <v>407854581.541611</v>
      </c>
      <c r="H57" s="71" t="n">
        <f aca="false">SUM('Loan CF'!H$2735:H$3034)</f>
        <v>378692088.673638</v>
      </c>
      <c r="I57" s="71" t="n">
        <f aca="false">SUM('Loan CF'!I$2735:I$3034)</f>
        <v>0</v>
      </c>
      <c r="J57" s="71" t="n">
        <f aca="false">SUM('Loan CF'!J$2735:J$3034)</f>
        <v>0</v>
      </c>
      <c r="K57" s="71" t="n">
        <f aca="false">SUM('Loan CF'!K$2735:K$3034)</f>
        <v>0</v>
      </c>
      <c r="L57" s="71" t="n">
        <f aca="false">SUM('Loan CF'!L$2735:L$3034)</f>
        <v>0</v>
      </c>
      <c r="M57" s="71" t="n">
        <f aca="false">SUM('Loan CF'!M$2735:M$3034)</f>
        <v>0</v>
      </c>
      <c r="O57" s="30" t="s">
        <v>656</v>
      </c>
    </row>
    <row r="58" customFormat="false" ht="15" hidden="false" customHeight="false" outlineLevel="0" collapsed="false">
      <c r="B58" s="127" t="s">
        <v>657</v>
      </c>
      <c r="C58" s="99" t="n">
        <f aca="false">SUM('Loan CF'!C$3644:C$3943)</f>
        <v>-966724445.7</v>
      </c>
      <c r="D58" s="99" t="n">
        <f aca="false">SUM('Loan CF'!D$3644:D$3943)</f>
        <v>438304365.9041</v>
      </c>
      <c r="E58" s="99" t="n">
        <f aca="false">SUM('Loan CF'!E$3644:E$3943)</f>
        <v>154524470.340269</v>
      </c>
      <c r="F58" s="99" t="n">
        <f aca="false">SUM('Loan CF'!F$3644:F$3943)</f>
        <v>151769601.021205</v>
      </c>
      <c r="G58" s="99" t="n">
        <f aca="false">SUM('Loan CF'!G$3644:G$3943)</f>
        <v>225654451.065567</v>
      </c>
      <c r="H58" s="99" t="n">
        <f aca="false">SUM('Loan CF'!H$3644:H$3943)</f>
        <v>269884199.85277</v>
      </c>
      <c r="I58" s="99" t="n">
        <f aca="false">SUM('Loan CF'!I$3644:I$3943)</f>
        <v>0</v>
      </c>
      <c r="J58" s="99" t="n">
        <f aca="false">SUM('Loan CF'!J$3644:J$3943)</f>
        <v>0</v>
      </c>
      <c r="K58" s="99" t="n">
        <f aca="false">SUM('Loan CF'!K$3644:K$3943)</f>
        <v>0</v>
      </c>
      <c r="L58" s="99" t="n">
        <f aca="false">SUM('Loan CF'!L$3644:L$3943)</f>
        <v>0</v>
      </c>
      <c r="M58" s="99" t="n">
        <f aca="false">SUM('Loan CF'!M$3644:M$3943)</f>
        <v>0</v>
      </c>
    </row>
    <row r="60" customFormat="false" ht="18" hidden="false" customHeight="true" outlineLevel="0" collapsed="false">
      <c r="B60" s="5" t="s">
        <v>658</v>
      </c>
      <c r="C60" s="5"/>
      <c r="D60" s="5"/>
      <c r="E60" s="5"/>
      <c r="F60" s="5"/>
      <c r="G60" s="5"/>
      <c r="H60" s="5"/>
    </row>
    <row r="61" customFormat="false" ht="27.75" hidden="false" customHeight="true" outlineLevel="0" collapsed="false">
      <c r="B61" s="8" t="s">
        <v>659</v>
      </c>
      <c r="C61" s="9" t="s">
        <v>660</v>
      </c>
      <c r="D61" s="9" t="s">
        <v>661</v>
      </c>
      <c r="E61" s="9" t="s">
        <v>610</v>
      </c>
    </row>
    <row r="62" customFormat="false" ht="15" hidden="false" customHeight="false" outlineLevel="0" collapsed="false">
      <c r="B62" s="31" t="s">
        <v>662</v>
      </c>
      <c r="C62" s="106" t="n">
        <f aca="false">IFERROR(IRR($C$46:$M$46),"-")</f>
        <v>0.0662437789362061</v>
      </c>
      <c r="D62" s="106" t="n">
        <f aca="false">IFERROR(IRR($C$54:$M$54),"-")</f>
        <v>0.0781722925258774</v>
      </c>
      <c r="E62" s="120" t="s">
        <v>663</v>
      </c>
    </row>
    <row r="63" customFormat="false" ht="15" hidden="false" customHeight="false" outlineLevel="0" collapsed="false">
      <c r="B63" s="25" t="s">
        <v>664</v>
      </c>
      <c r="C63" s="110" t="n">
        <f aca="false">IFERROR(SUMIF($D$46:$M$46,"&gt;0")/-$C$46,"-")</f>
        <v>1.16092083231886</v>
      </c>
      <c r="D63" s="110" t="n">
        <f aca="false">IFERROR(SUMIF($D$54:$M$54,"&gt;0")/-$C$54,"-")</f>
        <v>1.22392192084081</v>
      </c>
      <c r="E63" s="30"/>
    </row>
    <row r="64" customFormat="false" ht="15" hidden="false" customHeight="false" outlineLevel="0" collapsed="false">
      <c r="B64" s="31" t="s">
        <v>665</v>
      </c>
      <c r="C64" s="99" t="n">
        <f aca="false">SUM($C$46:$M$46)</f>
        <v>380933542.750499</v>
      </c>
      <c r="D64" s="99" t="n">
        <f aca="false">SUM($C$54:$M$54)</f>
        <v>216470794.804912</v>
      </c>
      <c r="E64" s="120"/>
    </row>
    <row r="65" customFormat="false" ht="15" hidden="false" customHeight="false" outlineLevel="0" collapsed="false">
      <c r="B65" s="25" t="s">
        <v>666</v>
      </c>
      <c r="C65" s="71" t="n">
        <f aca="false">-$C$46</f>
        <v>2367210865.5</v>
      </c>
      <c r="D65" s="71" t="n">
        <f aca="false">-$C$54</f>
        <v>966724445.7</v>
      </c>
      <c r="E65" s="30"/>
    </row>
    <row r="66" customFormat="false" ht="15" hidden="false" customHeight="false" outlineLevel="0" collapsed="false">
      <c r="B66" s="31" t="s">
        <v>667</v>
      </c>
      <c r="C66" s="106" t="n">
        <f aca="false">IFERROR(IRR($C$57:$M$57),"-")</f>
        <v>0.0756570666105063</v>
      </c>
      <c r="D66" s="106" t="n">
        <f aca="false">IFERROR(IRR($C$58:$M$58),"-")</f>
        <v>0.0978408050334518</v>
      </c>
      <c r="E66" s="120" t="s">
        <v>668</v>
      </c>
    </row>
    <row r="67" customFormat="false" ht="15" hidden="false" customHeight="false" outlineLevel="0" collapsed="false">
      <c r="B67" s="25" t="s">
        <v>669</v>
      </c>
      <c r="C67" s="70" t="n">
        <f aca="false">IFERROR(SUMPRODUCT(($C$33:$M$33-0.5)*($C$35:$M$35+$C$36:$M$36+$C$37:$M$37))/(SUM($C$35:$M$35)+SUM($C$36:$M$36)+SUM($C$37:$M$37)),0)</f>
        <v>1.66025064729772</v>
      </c>
      <c r="D67" s="70"/>
      <c r="E67" s="30"/>
    </row>
    <row r="68" customFormat="false" ht="15" hidden="false" customHeight="false" outlineLevel="0" collapsed="false">
      <c r="B68" s="31" t="s">
        <v>670</v>
      </c>
      <c r="C68" s="106" t="n">
        <f aca="false">IFERROR(SUMPRODUCT(($D$33:$M$33&lt;Hold_Yrs)*$D$46:$M$46)/MAX(1,Hold_Yrs-1)/-$C$46,0)</f>
        <v>0.251330658172627</v>
      </c>
      <c r="D68" s="106" t="n">
        <f aca="false">IFERROR(SUMPRODUCT(($D$33:$M$33&lt;Hold_Yrs)*$D$54:$M$54)/MAX(1,Hold_Yrs-1)/-$C$54,0)</f>
        <v>0.238865734859041</v>
      </c>
      <c r="E68" s="120" t="s">
        <v>671</v>
      </c>
    </row>
    <row r="69" customFormat="false" ht="15" hidden="false" customHeight="false" outlineLevel="0" collapsed="false">
      <c r="B69" s="25" t="s">
        <v>672</v>
      </c>
      <c r="C69" s="109"/>
      <c r="D69" s="109" t="n">
        <f aca="false">IFERROR(MAX($C$49:$M$49)/$C$20,0)</f>
        <v>0.594591745295451</v>
      </c>
      <c r="E69" s="30"/>
    </row>
    <row r="70" customFormat="false" ht="15" hidden="false" customHeight="false" outlineLevel="0" collapsed="false">
      <c r="B70" s="31" t="s">
        <v>673</v>
      </c>
      <c r="C70" s="99" t="n">
        <f aca="false">SUM('Loan CF'!$C$614:$L$913)</f>
        <v>107618696.185735</v>
      </c>
      <c r="D70" s="99"/>
      <c r="E70" s="120"/>
    </row>
    <row r="71" customFormat="false" ht="15" hidden="false" customHeight="false" outlineLevel="0" collapsed="false">
      <c r="B71" s="25" t="s">
        <v>674</v>
      </c>
      <c r="C71" s="71" t="n">
        <f aca="false">$C$70*Sev</f>
        <v>32285608.8557204</v>
      </c>
      <c r="D71" s="71"/>
      <c r="E71" s="30"/>
    </row>
    <row r="72" customFormat="false" ht="15" hidden="false" customHeight="false" outlineLevel="0" collapsed="false">
      <c r="B72" s="31" t="s">
        <v>675</v>
      </c>
      <c r="C72" s="106" t="n">
        <f aca="false">IFERROR($C$71/$C$11,0)</f>
        <v>0.0137627243037584</v>
      </c>
      <c r="D72" s="106"/>
      <c r="E72" s="120"/>
    </row>
    <row r="75" customFormat="false" ht="18" hidden="false" customHeight="true" outlineLevel="0" collapsed="false">
      <c r="B75" s="5" t="s">
        <v>676</v>
      </c>
      <c r="C75" s="5"/>
      <c r="D75" s="5"/>
      <c r="E75" s="5"/>
      <c r="F75" s="5"/>
      <c r="G75" s="5"/>
      <c r="H75" s="5"/>
      <c r="I75" s="5"/>
      <c r="J75" s="5"/>
    </row>
    <row r="76" customFormat="false" ht="15" hidden="false" customHeight="false" outlineLevel="0" collapsed="false">
      <c r="B76" s="30" t="s">
        <v>677</v>
      </c>
    </row>
    <row r="78" customFormat="false" ht="15" hidden="false" customHeight="false" outlineLevel="0" collapsed="false">
      <c r="B78" s="31" t="s">
        <v>678</v>
      </c>
      <c r="C78" s="109" t="n">
        <f aca="false">IFERROR(((($C$23+0*$C$24-CDR*Sev-Svc_Fee/10000+(1-Px_Par)/$C$67)/Px_Par)-Adv_Rate*($C$25+0))/(1-Adv_Rate),0)</f>
        <v>0.158554717735756</v>
      </c>
      <c r="E78" s="30" t="s">
        <v>679</v>
      </c>
    </row>
    <row r="79" customFormat="false" ht="15" hidden="false" customHeight="false" outlineLevel="0" collapsed="false">
      <c r="B79" s="31" t="s">
        <v>680</v>
      </c>
      <c r="C79" s="126" t="n">
        <f aca="false">($D$62-$C$78)*10000</f>
        <v>-803.824252098788</v>
      </c>
      <c r="E79" s="30" t="s">
        <v>681</v>
      </c>
    </row>
    <row r="81" customFormat="false" ht="15" hidden="false" customHeight="false" outlineLevel="0" collapsed="false">
      <c r="B81" s="34" t="s">
        <v>682</v>
      </c>
      <c r="C81" s="34"/>
      <c r="D81" s="34"/>
      <c r="E81" s="34"/>
      <c r="F81" s="34"/>
      <c r="G81" s="34"/>
      <c r="H81" s="34"/>
      <c r="I81" s="34"/>
    </row>
    <row r="82" customFormat="false" ht="15" hidden="false" customHeight="false" outlineLevel="0" collapsed="false">
      <c r="B82" s="8" t="s">
        <v>683</v>
      </c>
      <c r="C82" s="123" t="n">
        <v>0</v>
      </c>
      <c r="D82" s="123" t="n">
        <v>0.4</v>
      </c>
      <c r="E82" s="123" t="n">
        <v>0.5</v>
      </c>
      <c r="F82" s="123" t="n">
        <v>0.55</v>
      </c>
      <c r="G82" s="123" t="n">
        <v>0.6</v>
      </c>
      <c r="H82" s="123" t="n">
        <v>0.65</v>
      </c>
      <c r="I82" s="123" t="n">
        <v>0.7</v>
      </c>
    </row>
    <row r="83" customFormat="false" ht="15" hidden="false" customHeight="false" outlineLevel="0" collapsed="false">
      <c r="B83" s="57" t="n">
        <v>0.86</v>
      </c>
      <c r="C83" s="109" t="n">
        <f aca="false">IFERROR(IF(C$82&gt;=1,"-",((($C$23+0*$C$24-CDR*Sev-Svc_Fee/10000+(1-$B83)/$C$67)/$B83)-C$82*($C$25+0))/(1-C$82)+$C$79/10000),"-")</f>
        <v>0.0908757949202187</v>
      </c>
      <c r="D83" s="109" t="n">
        <f aca="false">IFERROR(IF(D$82&gt;=1,"-",((($C$23+0*$C$24-CDR*Sev-Svc_Fee/10000+(1-$B83)/$C$67)/$B83)-D$82*($C$25+0))/(1-D$82)+$C$79/10000),"-")</f>
        <v>0.15838127500695</v>
      </c>
      <c r="E83" s="109" t="n">
        <f aca="false">IFERROR(IF(E$82&gt;=1,"-",((($C$23+0*$C$24-CDR*Sev-Svc_Fee/10000+(1-$B83)/$C$67)/$B83)-E$82*($C$25+0))/(1-E$82)+$C$79/10000),"-")</f>
        <v>0.192134015050316</v>
      </c>
      <c r="F83" s="109" t="n">
        <f aca="false">IFERROR(IF(F$82&gt;=1,"-",((($C$23+0*$C$24-CDR*Sev-Svc_Fee/10000+(1-$B83)/$C$67)/$B83)-F$82*($C$25+0))/(1-F$82)+$C$79/10000),"-")</f>
        <v>0.214635841745894</v>
      </c>
      <c r="G83" s="109" t="n">
        <f aca="false">IFERROR(IF(G$82&gt;=1,"-",((($C$23+0*$C$24-CDR*Sev-Svc_Fee/10000+(1-$B83)/$C$67)/$B83)-G$82*($C$25+0))/(1-G$82)+$C$79/10000),"-")</f>
        <v>0.242763125115365</v>
      </c>
      <c r="H83" s="109" t="n">
        <f aca="false">IFERROR(IF(H$82&gt;=1,"-",((($C$23+0*$C$24-CDR*Sev-Svc_Fee/10000+(1-$B83)/$C$67)/$B83)-H$82*($C$25+0))/(1-H$82)+$C$79/10000),"-")</f>
        <v>0.278926775161828</v>
      </c>
      <c r="I83" s="109" t="n">
        <f aca="false">IFERROR(IF(I$82&gt;=1,"-",((($C$23+0*$C$24-CDR*Sev-Svc_Fee/10000+(1-$B83)/$C$67)/$B83)-I$82*($C$25+0))/(1-I$82)+$C$79/10000),"-")</f>
        <v>0.32714497522378</v>
      </c>
    </row>
    <row r="84" customFormat="false" ht="15" hidden="false" customHeight="false" outlineLevel="0" collapsed="false">
      <c r="B84" s="57" t="n">
        <v>0.88</v>
      </c>
      <c r="C84" s="109" t="n">
        <f aca="false">IFERROR(IF(C$82&gt;=1,"-",((($C$23+0*$C$24-CDR*Sev-Svc_Fee/10000+(1-$B84)/$C$67)/$B84)-C$82*($C$25+0))/(1-C$82)+$C$79/10000),"-")</f>
        <v>0.0732945014390689</v>
      </c>
      <c r="D84" s="109" t="n">
        <f aca="false">IFERROR(IF(D$82&gt;=1,"-",((($C$23+0*$C$24-CDR*Sev-Svc_Fee/10000+(1-$B84)/$C$67)/$B84)-D$82*($C$25+0))/(1-D$82)+$C$79/10000),"-")</f>
        <v>0.129079119205034</v>
      </c>
      <c r="E84" s="109" t="n">
        <f aca="false">IFERROR(IF(E$82&gt;=1,"-",((($C$23+0*$C$24-CDR*Sev-Svc_Fee/10000+(1-$B84)/$C$67)/$B84)-E$82*($C$25+0))/(1-E$82)+$C$79/10000),"-")</f>
        <v>0.156971428088017</v>
      </c>
      <c r="F84" s="109" t="n">
        <f aca="false">IFERROR(IF(F$82&gt;=1,"-",((($C$23+0*$C$24-CDR*Sev-Svc_Fee/10000+(1-$B84)/$C$67)/$B84)-F$82*($C$25+0))/(1-F$82)+$C$79/10000),"-")</f>
        <v>0.175566300676672</v>
      </c>
      <c r="G84" s="109" t="n">
        <f aca="false">IFERROR(IF(G$82&gt;=1,"-",((($C$23+0*$C$24-CDR*Sev-Svc_Fee/10000+(1-$B84)/$C$67)/$B84)-G$82*($C$25+0))/(1-G$82)+$C$79/10000),"-")</f>
        <v>0.19880989141249</v>
      </c>
      <c r="H84" s="109" t="n">
        <f aca="false">IFERROR(IF(H$82&gt;=1,"-",((($C$23+0*$C$24-CDR*Sev-Svc_Fee/10000+(1-$B84)/$C$67)/$B84)-H$82*($C$25+0))/(1-H$82)+$C$79/10000),"-")</f>
        <v>0.228694508072829</v>
      </c>
      <c r="I84" s="109" t="n">
        <f aca="false">IFERROR(IF(I$82&gt;=1,"-",((($C$23+0*$C$24-CDR*Sev-Svc_Fee/10000+(1-$B84)/$C$67)/$B84)-I$82*($C$25+0))/(1-I$82)+$C$79/10000),"-")</f>
        <v>0.268540663619947</v>
      </c>
    </row>
    <row r="85" customFormat="false" ht="15" hidden="false" customHeight="false" outlineLevel="0" collapsed="false">
      <c r="B85" s="57" t="n">
        <v>0.9</v>
      </c>
      <c r="C85" s="109" t="n">
        <f aca="false">IFERROR(IF(C$82&gt;=1,"-",((($C$23+0*$C$24-CDR*Sev-Svc_Fee/10000+(1-$B85)/$C$67)/$B85)-C$82*($C$25+0))/(1-C$82)+$C$79/10000),"-")</f>
        <v>0.0564945987793035</v>
      </c>
      <c r="D85" s="109" t="n">
        <f aca="false">IFERROR(IF(D$82&gt;=1,"-",((($C$23+0*$C$24-CDR*Sev-Svc_Fee/10000+(1-$B85)/$C$67)/$B85)-D$82*($C$25+0))/(1-D$82)+$C$79/10000),"-")</f>
        <v>0.101079281438758</v>
      </c>
      <c r="E85" s="109" t="n">
        <f aca="false">IFERROR(IF(E$82&gt;=1,"-",((($C$23+0*$C$24-CDR*Sev-Svc_Fee/10000+(1-$B85)/$C$67)/$B85)-E$82*($C$25+0))/(1-E$82)+$C$79/10000),"-")</f>
        <v>0.123371622768486</v>
      </c>
      <c r="F85" s="109" t="n">
        <f aca="false">IFERROR(IF(F$82&gt;=1,"-",((($C$23+0*$C$24-CDR*Sev-Svc_Fee/10000+(1-$B85)/$C$67)/$B85)-F$82*($C$25+0))/(1-F$82)+$C$79/10000),"-")</f>
        <v>0.138233183654971</v>
      </c>
      <c r="G85" s="109" t="n">
        <f aca="false">IFERROR(IF(G$82&gt;=1,"-",((($C$23+0*$C$24-CDR*Sev-Svc_Fee/10000+(1-$B85)/$C$67)/$B85)-G$82*($C$25+0))/(1-G$82)+$C$79/10000),"-")</f>
        <v>0.156810134763077</v>
      </c>
      <c r="H85" s="109" t="n">
        <f aca="false">IFERROR(IF(H$82&gt;=1,"-",((($C$23+0*$C$24-CDR*Sev-Svc_Fee/10000+(1-$B85)/$C$67)/$B85)-H$82*($C$25+0))/(1-H$82)+$C$79/10000),"-")</f>
        <v>0.180694786187785</v>
      </c>
      <c r="I85" s="109" t="n">
        <f aca="false">IFERROR(IF(I$82&gt;=1,"-",((($C$23+0*$C$24-CDR*Sev-Svc_Fee/10000+(1-$B85)/$C$67)/$B85)-I$82*($C$25+0))/(1-I$82)+$C$79/10000),"-")</f>
        <v>0.212540988087395</v>
      </c>
    </row>
    <row r="86" customFormat="false" ht="15" hidden="false" customHeight="false" outlineLevel="0" collapsed="false">
      <c r="B86" s="57" t="n">
        <v>0.92</v>
      </c>
      <c r="C86" s="109" t="n">
        <f aca="false">IFERROR(IF(C$82&gt;=1,"-",((($C$23+0*$C$24-CDR*Sev-Svc_Fee/10000+(1-$B86)/$C$67)/$B86)-C$82*($C$25+0))/(1-C$82)+$C$79/10000),"-")</f>
        <v>0.0404251266699627</v>
      </c>
      <c r="D86" s="109" t="n">
        <f aca="false">IFERROR(IF(D$82&gt;=1,"-",((($C$23+0*$C$24-CDR*Sev-Svc_Fee/10000+(1-$B86)/$C$67)/$B86)-D$82*($C$25+0))/(1-D$82)+$C$79/10000),"-")</f>
        <v>0.0742968279231903</v>
      </c>
      <c r="E86" s="109" t="n">
        <f aca="false">IFERROR(IF(E$82&gt;=1,"-",((($C$23+0*$C$24-CDR*Sev-Svc_Fee/10000+(1-$B86)/$C$67)/$B86)-E$82*($C$25+0))/(1-E$82)+$C$79/10000),"-")</f>
        <v>0.0912326785498041</v>
      </c>
      <c r="F86" s="109" t="n">
        <f aca="false">IFERROR(IF(F$82&gt;=1,"-",((($C$23+0*$C$24-CDR*Sev-Svc_Fee/10000+(1-$B86)/$C$67)/$B86)-F$82*($C$25+0))/(1-F$82)+$C$79/10000),"-")</f>
        <v>0.102523245634213</v>
      </c>
      <c r="G86" s="109" t="n">
        <f aca="false">IFERROR(IF(G$82&gt;=1,"-",((($C$23+0*$C$24-CDR*Sev-Svc_Fee/10000+(1-$B86)/$C$67)/$B86)-G$82*($C$25+0))/(1-G$82)+$C$79/10000),"-")</f>
        <v>0.116636454489725</v>
      </c>
      <c r="H86" s="109" t="n">
        <f aca="false">IFERROR(IF(H$82&gt;=1,"-",((($C$23+0*$C$24-CDR*Sev-Svc_Fee/10000+(1-$B86)/$C$67)/$B86)-H$82*($C$25+0))/(1-H$82)+$C$79/10000),"-")</f>
        <v>0.134782008732525</v>
      </c>
      <c r="I86" s="109" t="n">
        <f aca="false">IFERROR(IF(I$82&gt;=1,"-",((($C$23+0*$C$24-CDR*Sev-Svc_Fee/10000+(1-$B86)/$C$67)/$B86)-I$82*($C$25+0))/(1-I$82)+$C$79/10000),"-")</f>
        <v>0.158976081056259</v>
      </c>
    </row>
    <row r="87" customFormat="false" ht="15" hidden="false" customHeight="false" outlineLevel="0" collapsed="false">
      <c r="B87" s="57" t="n">
        <v>0.94</v>
      </c>
      <c r="C87" s="109" t="n">
        <f aca="false">IFERROR(IF(C$82&gt;=1,"-",((($C$23+0*$C$24-CDR*Sev-Svc_Fee/10000+(1-$B87)/$C$67)/$B87)-C$82*($C$25+0))/(1-C$82)+$C$79/10000),"-")</f>
        <v>0.0250394618844237</v>
      </c>
      <c r="D87" s="109" t="n">
        <f aca="false">IFERROR(IF(D$82&gt;=1,"-",((($C$23+0*$C$24-CDR*Sev-Svc_Fee/10000+(1-$B87)/$C$67)/$B87)-D$82*($C$25+0))/(1-D$82)+$C$79/10000),"-")</f>
        <v>0.0486540532806253</v>
      </c>
      <c r="E87" s="109" t="n">
        <f aca="false">IFERROR(IF(E$82&gt;=1,"-",((($C$23+0*$C$24-CDR*Sev-Svc_Fee/10000+(1-$B87)/$C$67)/$B87)-E$82*($C$25+0))/(1-E$82)+$C$79/10000),"-")</f>
        <v>0.0604613489787261</v>
      </c>
      <c r="F87" s="109" t="n">
        <f aca="false">IFERROR(IF(F$82&gt;=1,"-",((($C$23+0*$C$24-CDR*Sev-Svc_Fee/10000+(1-$B87)/$C$67)/$B87)-F$82*($C$25+0))/(1-F$82)+$C$79/10000),"-")</f>
        <v>0.0683328794441267</v>
      </c>
      <c r="G87" s="109" t="n">
        <f aca="false">IFERROR(IF(G$82&gt;=1,"-",((($C$23+0*$C$24-CDR*Sev-Svc_Fee/10000+(1-$B87)/$C$67)/$B87)-G$82*($C$25+0))/(1-G$82)+$C$79/10000),"-")</f>
        <v>0.0781722925258774</v>
      </c>
      <c r="H87" s="109" t="n">
        <f aca="false">IFERROR(IF(H$82&gt;=1,"-",((($C$23+0*$C$24-CDR*Sev-Svc_Fee/10000+(1-$B87)/$C$67)/$B87)-H$82*($C$25+0))/(1-H$82)+$C$79/10000),"-")</f>
        <v>0.0908229664881282</v>
      </c>
      <c r="I87" s="109" t="n">
        <f aca="false">IFERROR(IF(I$82&gt;=1,"-",((($C$23+0*$C$24-CDR*Sev-Svc_Fee/10000+(1-$B87)/$C$67)/$B87)-I$82*($C$25+0))/(1-I$82)+$C$79/10000),"-")</f>
        <v>0.107690531771129</v>
      </c>
    </row>
    <row r="88" customFormat="false" ht="15" hidden="false" customHeight="false" outlineLevel="0" collapsed="false">
      <c r="B88" s="57" t="n">
        <v>0.96</v>
      </c>
      <c r="C88" s="109" t="n">
        <f aca="false">IFERROR(IF(C$82&gt;=1,"-",((($C$23+0*$C$24-CDR*Sev-Svc_Fee/10000+(1-$B88)/$C$67)/$B88)-C$82*($C$25+0))/(1-C$82)+$C$79/10000),"-")</f>
        <v>0.0102948664649487</v>
      </c>
      <c r="D88" s="109" t="n">
        <f aca="false">IFERROR(IF(D$82&gt;=1,"-",((($C$23+0*$C$24-CDR*Sev-Svc_Fee/10000+(1-$B88)/$C$67)/$B88)-D$82*($C$25+0))/(1-D$82)+$C$79/10000),"-")</f>
        <v>0.0240797275815003</v>
      </c>
      <c r="E88" s="109" t="n">
        <f aca="false">IFERROR(IF(E$82&gt;=1,"-",((($C$23+0*$C$24-CDR*Sev-Svc_Fee/10000+(1-$B88)/$C$67)/$B88)-E$82*($C$25+0))/(1-E$82)+$C$79/10000),"-")</f>
        <v>0.0309721581397762</v>
      </c>
      <c r="F88" s="109" t="n">
        <f aca="false">IFERROR(IF(F$82&gt;=1,"-",((($C$23+0*$C$24-CDR*Sev-Svc_Fee/10000+(1-$B88)/$C$67)/$B88)-F$82*($C$25+0))/(1-F$82)+$C$79/10000),"-")</f>
        <v>0.0355671118452934</v>
      </c>
      <c r="G88" s="109" t="n">
        <f aca="false">IFERROR(IF(G$82&gt;=1,"-",((($C$23+0*$C$24-CDR*Sev-Svc_Fee/10000+(1-$B88)/$C$67)/$B88)-G$82*($C$25+0))/(1-G$82)+$C$79/10000),"-")</f>
        <v>0.0413108039771899</v>
      </c>
      <c r="H88" s="109" t="n">
        <f aca="false">IFERROR(IF(H$82&gt;=1,"-",((($C$23+0*$C$24-CDR*Sev-Svc_Fee/10000+(1-$B88)/$C$67)/$B88)-H$82*($C$25+0))/(1-H$82)+$C$79/10000),"-")</f>
        <v>0.048695551003914</v>
      </c>
      <c r="I88" s="109" t="n">
        <f aca="false">IFERROR(IF(I$82&gt;=1,"-",((($C$23+0*$C$24-CDR*Sev-Svc_Fee/10000+(1-$B88)/$C$67)/$B88)-I$82*($C$25+0))/(1-I$82)+$C$79/10000),"-")</f>
        <v>0.0585418803728795</v>
      </c>
    </row>
    <row r="89" customFormat="false" ht="15" hidden="false" customHeight="false" outlineLevel="0" collapsed="false">
      <c r="B89" s="57" t="n">
        <v>0.98</v>
      </c>
      <c r="C89" s="109" t="n">
        <f aca="false">IFERROR(IF(C$82&gt;=1,"-",((($C$23+0*$C$24-CDR*Sev-Svc_Fee/10000+(1-$B89)/$C$67)/$B89)-C$82*($C$25+0))/(1-C$82)+$C$79/10000),"-")</f>
        <v>-0.00384790873332321</v>
      </c>
      <c r="D89" s="109" t="n">
        <f aca="false">IFERROR(IF(D$82&gt;=1,"-",((($C$23+0*$C$24-CDR*Sev-Svc_Fee/10000+(1-$B89)/$C$67)/$B89)-D$82*($C$25+0))/(1-D$82)+$C$79/10000),"-")</f>
        <v>0.000508435584380532</v>
      </c>
      <c r="E89" s="109" t="n">
        <f aca="false">IFERROR(IF(E$82&gt;=1,"-",((($C$23+0*$C$24-CDR*Sev-Svc_Fee/10000+(1-$B89)/$C$67)/$B89)-E$82*($C$25+0))/(1-E$82)+$C$79/10000),"-")</f>
        <v>0.0026866077432324</v>
      </c>
      <c r="F89" s="109" t="n">
        <f aca="false">IFERROR(IF(F$82&gt;=1,"-",((($C$23+0*$C$24-CDR*Sev-Svc_Fee/10000+(1-$B89)/$C$67)/$B89)-F$82*($C$25+0))/(1-F$82)+$C$79/10000),"-")</f>
        <v>0.00413872251580032</v>
      </c>
      <c r="G89" s="109" t="n">
        <f aca="false">IFERROR(IF(G$82&gt;=1,"-",((($C$23+0*$C$24-CDR*Sev-Svc_Fee/10000+(1-$B89)/$C$67)/$B89)-G$82*($C$25+0))/(1-G$82)+$C$79/10000),"-")</f>
        <v>0.0059538659815102</v>
      </c>
      <c r="H89" s="109" t="n">
        <f aca="false">IFERROR(IF(H$82&gt;=1,"-",((($C$23+0*$C$24-CDR*Sev-Svc_Fee/10000+(1-$B89)/$C$67)/$B89)-H$82*($C$25+0))/(1-H$82)+$C$79/10000),"-")</f>
        <v>0.00828762186599436</v>
      </c>
      <c r="I89" s="109" t="n">
        <f aca="false">IFERROR(IF(I$82&gt;=1,"-",((($C$23+0*$C$24-CDR*Sev-Svc_Fee/10000+(1-$B89)/$C$67)/$B89)-I$82*($C$25+0))/(1-I$82)+$C$79/10000),"-")</f>
        <v>0.0113992963786399</v>
      </c>
    </row>
    <row r="90" customFormat="false" ht="15" hidden="false" customHeight="false" outlineLevel="0" collapsed="false">
      <c r="B90" s="57" t="n">
        <v>1</v>
      </c>
      <c r="C90" s="109" t="n">
        <f aca="false">IFERROR(IF(C$82&gt;=1,"-",((($C$23+0*$C$24-CDR*Sev-Svc_Fee/10000+(1-$B90)/$C$67)/$B90)-C$82*($C$25+0))/(1-C$82)+$C$79/10000),"-")</f>
        <v>-0.0174249729236642</v>
      </c>
      <c r="D90" s="109" t="n">
        <f aca="false">IFERROR(IF(D$82&gt;=1,"-",((($C$23+0*$C$24-CDR*Sev-Svc_Fee/10000+(1-$B90)/$C$67)/$B90)-D$82*($C$25+0))/(1-D$82)+$C$79/10000),"-")</f>
        <v>-0.0221200047328545</v>
      </c>
      <c r="E90" s="109" t="n">
        <f aca="false">IFERROR(IF(E$82&gt;=1,"-",((($C$23+0*$C$24-CDR*Sev-Svc_Fee/10000+(1-$B90)/$C$67)/$B90)-E$82*($C$25+0))/(1-E$82)+$C$79/10000),"-")</f>
        <v>-0.0244675206374496</v>
      </c>
      <c r="F90" s="109" t="n">
        <f aca="false">IFERROR(IF(F$82&gt;=1,"-",((($C$23+0*$C$24-CDR*Sev-Svc_Fee/10000+(1-$B90)/$C$67)/$B90)-F$82*($C$25+0))/(1-F$82)+$C$79/10000),"-")</f>
        <v>-0.0260325312405131</v>
      </c>
      <c r="G90" s="109" t="n">
        <f aca="false">IFERROR(IF(G$82&gt;=1,"-",((($C$23+0*$C$24-CDR*Sev-Svc_Fee/10000+(1-$B90)/$C$67)/$B90)-G$82*($C$25+0))/(1-G$82)+$C$79/10000),"-")</f>
        <v>-0.0279887944943424</v>
      </c>
      <c r="H90" s="109" t="n">
        <f aca="false">IFERROR(IF(H$82&gt;=1,"-",((($C$23+0*$C$24-CDR*Sev-Svc_Fee/10000+(1-$B90)/$C$67)/$B90)-H$82*($C$25+0))/(1-H$82)+$C$79/10000),"-")</f>
        <v>-0.0305039901064086</v>
      </c>
      <c r="I90" s="109" t="n">
        <f aca="false">IFERROR(IF(I$82&gt;=1,"-",((($C$23+0*$C$24-CDR*Sev-Svc_Fee/10000+(1-$B90)/$C$67)/$B90)-I$82*($C$25+0))/(1-I$82)+$C$79/10000),"-")</f>
        <v>-0.0338575842558302</v>
      </c>
    </row>
    <row r="91" customFormat="false" ht="15" hidden="false" customHeight="false" outlineLevel="0" collapsed="false">
      <c r="B91" s="30" t="s">
        <v>684</v>
      </c>
    </row>
    <row r="93" customFormat="false" ht="15" hidden="false" customHeight="false" outlineLevel="0" collapsed="false">
      <c r="B93" s="34" t="s">
        <v>685</v>
      </c>
      <c r="C93" s="34"/>
      <c r="D93" s="34"/>
      <c r="E93" s="34"/>
      <c r="F93" s="34"/>
      <c r="G93" s="34"/>
      <c r="H93" s="34"/>
    </row>
    <row r="94" customFormat="false" ht="15" hidden="false" customHeight="false" outlineLevel="0" collapsed="false">
      <c r="B94" s="8" t="s">
        <v>686</v>
      </c>
      <c r="C94" s="130" t="n">
        <v>0.005</v>
      </c>
      <c r="D94" s="130" t="n">
        <v>0.01</v>
      </c>
      <c r="E94" s="130" t="n">
        <v>0.02</v>
      </c>
      <c r="F94" s="130" t="n">
        <v>0.03</v>
      </c>
      <c r="G94" s="130" t="n">
        <v>0.04</v>
      </c>
      <c r="H94" s="130" t="n">
        <v>0.05</v>
      </c>
    </row>
    <row r="95" customFormat="false" ht="15" hidden="false" customHeight="false" outlineLevel="0" collapsed="false">
      <c r="B95" s="57" t="n">
        <v>0.86</v>
      </c>
      <c r="C95" s="109" t="n">
        <f aca="false">IFERROR(IF(Adv_Rate&gt;=1,"-",((($C$23+0*$C$24-C$94*Sev-Svc_Fee/10000+(1-$B95)/$C$67)/$B95)-Adv_Rate*($C$25+0))/(1-Adv_Rate)+$C$79/10000),"-")</f>
        <v>0.255844520464202</v>
      </c>
      <c r="D95" s="109" t="n">
        <f aca="false">IFERROR(IF(Adv_Rate&gt;=1,"-",((($C$23+0*$C$24-D$94*Sev-Svc_Fee/10000+(1-$B95)/$C$67)/$B95)-Adv_Rate*($C$25+0))/(1-Adv_Rate)+$C$79/10000),"-")</f>
        <v>0.251484055347923</v>
      </c>
      <c r="E95" s="109" t="n">
        <f aca="false">IFERROR(IF(Adv_Rate&gt;=1,"-",((($C$23+0*$C$24-E$94*Sev-Svc_Fee/10000+(1-$B95)/$C$67)/$B95)-Adv_Rate*($C$25+0))/(1-Adv_Rate)+$C$79/10000),"-")</f>
        <v>0.242763125115365</v>
      </c>
      <c r="F95" s="109" t="n">
        <f aca="false">IFERROR(IF(Adv_Rate&gt;=1,"-",((($C$23+0*$C$24-F$94*Sev-Svc_Fee/10000+(1-$B95)/$C$67)/$B95)-Adv_Rate*($C$25+0))/(1-Adv_Rate)+$C$79/10000),"-")</f>
        <v>0.234042194882807</v>
      </c>
      <c r="G95" s="109" t="n">
        <f aca="false">IFERROR(IF(Adv_Rate&gt;=1,"-",((($C$23+0*$C$24-G$94*Sev-Svc_Fee/10000+(1-$B95)/$C$67)/$B95)-Adv_Rate*($C$25+0))/(1-Adv_Rate)+$C$79/10000),"-")</f>
        <v>0.225321264650249</v>
      </c>
      <c r="H95" s="109" t="n">
        <f aca="false">IFERROR(IF(Adv_Rate&gt;=1,"-",((($C$23+0*$C$24-H$94*Sev-Svc_Fee/10000+(1-$B95)/$C$67)/$B95)-Adv_Rate*($C$25+0))/(1-Adv_Rate)+$C$79/10000),"-")</f>
        <v>0.216600334417691</v>
      </c>
    </row>
    <row r="96" customFormat="false" ht="15" hidden="false" customHeight="false" outlineLevel="0" collapsed="false">
      <c r="B96" s="57" t="n">
        <v>0.88</v>
      </c>
      <c r="C96" s="109" t="n">
        <f aca="false">IFERROR(IF(Adv_Rate&gt;=1,"-",((($C$23+0*$C$24-C$94*Sev-Svc_Fee/10000+(1-$B96)/$C$67)/$B96)-Adv_Rate*($C$25+0))/(1-Adv_Rate)+$C$79/10000),"-")</f>
        <v>0.211593982321581</v>
      </c>
      <c r="D96" s="109" t="n">
        <f aca="false">IFERROR(IF(Adv_Rate&gt;=1,"-",((($C$23+0*$C$24-D$94*Sev-Svc_Fee/10000+(1-$B96)/$C$67)/$B96)-Adv_Rate*($C$25+0))/(1-Adv_Rate)+$C$79/10000),"-")</f>
        <v>0.207332618685218</v>
      </c>
      <c r="E96" s="109" t="n">
        <f aca="false">IFERROR(IF(Adv_Rate&gt;=1,"-",((($C$23+0*$C$24-E$94*Sev-Svc_Fee/10000+(1-$B96)/$C$67)/$B96)-Adv_Rate*($C$25+0))/(1-Adv_Rate)+$C$79/10000),"-")</f>
        <v>0.19880989141249</v>
      </c>
      <c r="F96" s="109" t="n">
        <f aca="false">IFERROR(IF(Adv_Rate&gt;=1,"-",((($C$23+0*$C$24-F$94*Sev-Svc_Fee/10000+(1-$B96)/$C$67)/$B96)-Adv_Rate*($C$25+0))/(1-Adv_Rate)+$C$79/10000),"-")</f>
        <v>0.190287164139763</v>
      </c>
      <c r="G96" s="109" t="n">
        <f aca="false">IFERROR(IF(Adv_Rate&gt;=1,"-",((($C$23+0*$C$24-G$94*Sev-Svc_Fee/10000+(1-$B96)/$C$67)/$B96)-Adv_Rate*($C$25+0))/(1-Adv_Rate)+$C$79/10000),"-")</f>
        <v>0.181764436867036</v>
      </c>
      <c r="H96" s="109" t="n">
        <f aca="false">IFERROR(IF(Adv_Rate&gt;=1,"-",((($C$23+0*$C$24-H$94*Sev-Svc_Fee/10000+(1-$B96)/$C$67)/$B96)-Adv_Rate*($C$25+0))/(1-Adv_Rate)+$C$79/10000),"-")</f>
        <v>0.173241709594309</v>
      </c>
    </row>
    <row r="97" customFormat="false" ht="15" hidden="false" customHeight="false" outlineLevel="0" collapsed="false">
      <c r="B97" s="57" t="n">
        <v>0.9</v>
      </c>
      <c r="C97" s="109" t="n">
        <f aca="false">IFERROR(IF(Adv_Rate&gt;=1,"-",((($C$23+0*$C$24-C$94*Sev-Svc_Fee/10000+(1-$B97)/$C$67)/$B97)-Adv_Rate*($C$25+0))/(1-Adv_Rate)+$C$79/10000),"-")</f>
        <v>0.169310134763077</v>
      </c>
      <c r="D97" s="109" t="n">
        <f aca="false">IFERROR(IF(Adv_Rate&gt;=1,"-",((($C$23+0*$C$24-D$94*Sev-Svc_Fee/10000+(1-$B97)/$C$67)/$B97)-Adv_Rate*($C$25+0))/(1-Adv_Rate)+$C$79/10000),"-")</f>
        <v>0.16514346809641</v>
      </c>
      <c r="E97" s="109" t="n">
        <f aca="false">IFERROR(IF(Adv_Rate&gt;=1,"-",((($C$23+0*$C$24-E$94*Sev-Svc_Fee/10000+(1-$B97)/$C$67)/$B97)-Adv_Rate*($C$25+0))/(1-Adv_Rate)+$C$79/10000),"-")</f>
        <v>0.156810134763077</v>
      </c>
      <c r="F97" s="109" t="n">
        <f aca="false">IFERROR(IF(Adv_Rate&gt;=1,"-",((($C$23+0*$C$24-F$94*Sev-Svc_Fee/10000+(1-$B97)/$C$67)/$B97)-Adv_Rate*($C$25+0))/(1-Adv_Rate)+$C$79/10000),"-")</f>
        <v>0.148476801429744</v>
      </c>
      <c r="G97" s="109" t="n">
        <f aca="false">IFERROR(IF(Adv_Rate&gt;=1,"-",((($C$23+0*$C$24-G$94*Sev-Svc_Fee/10000+(1-$B97)/$C$67)/$B97)-Adv_Rate*($C$25+0))/(1-Adv_Rate)+$C$79/10000),"-")</f>
        <v>0.14014346809641</v>
      </c>
      <c r="H97" s="109" t="n">
        <f aca="false">IFERROR(IF(Adv_Rate&gt;=1,"-",((($C$23+0*$C$24-H$94*Sev-Svc_Fee/10000+(1-$B97)/$C$67)/$B97)-Adv_Rate*($C$25+0))/(1-Adv_Rate)+$C$79/10000),"-")</f>
        <v>0.131810134763077</v>
      </c>
    </row>
    <row r="98" customFormat="false" ht="15" hidden="false" customHeight="false" outlineLevel="0" collapsed="false">
      <c r="B98" s="57" t="n">
        <v>0.92</v>
      </c>
      <c r="C98" s="109" t="n">
        <f aca="false">IFERROR(IF(Adv_Rate&gt;=1,"-",((($C$23+0*$C$24-C$94*Sev-Svc_Fee/10000+(1-$B98)/$C$67)/$B98)-Adv_Rate*($C$25+0))/(1-Adv_Rate)+$C$79/10000),"-")</f>
        <v>0.12886471535929</v>
      </c>
      <c r="D98" s="109" t="n">
        <f aca="false">IFERROR(IF(Adv_Rate&gt;=1,"-",((($C$23+0*$C$24-D$94*Sev-Svc_Fee/10000+(1-$B98)/$C$67)/$B98)-Adv_Rate*($C$25+0))/(1-Adv_Rate)+$C$79/10000),"-")</f>
        <v>0.124788628402768</v>
      </c>
      <c r="E98" s="109" t="n">
        <f aca="false">IFERROR(IF(Adv_Rate&gt;=1,"-",((($C$23+0*$C$24-E$94*Sev-Svc_Fee/10000+(1-$B98)/$C$67)/$B98)-Adv_Rate*($C$25+0))/(1-Adv_Rate)+$C$79/10000),"-")</f>
        <v>0.116636454489725</v>
      </c>
      <c r="F98" s="109" t="n">
        <f aca="false">IFERROR(IF(Adv_Rate&gt;=1,"-",((($C$23+0*$C$24-F$94*Sev-Svc_Fee/10000+(1-$B98)/$C$67)/$B98)-Adv_Rate*($C$25+0))/(1-Adv_Rate)+$C$79/10000),"-")</f>
        <v>0.108484280576681</v>
      </c>
      <c r="G98" s="109" t="n">
        <f aca="false">IFERROR(IF(Adv_Rate&gt;=1,"-",((($C$23+0*$C$24-G$94*Sev-Svc_Fee/10000+(1-$B98)/$C$67)/$B98)-Adv_Rate*($C$25+0))/(1-Adv_Rate)+$C$79/10000),"-")</f>
        <v>0.100332106663638</v>
      </c>
      <c r="H98" s="109" t="n">
        <f aca="false">IFERROR(IF(Adv_Rate&gt;=1,"-",((($C$23+0*$C$24-H$94*Sev-Svc_Fee/10000+(1-$B98)/$C$67)/$B98)-Adv_Rate*($C$25+0))/(1-Adv_Rate)+$C$79/10000),"-")</f>
        <v>0.0921799327505944</v>
      </c>
    </row>
    <row r="99" customFormat="false" ht="15" hidden="false" customHeight="false" outlineLevel="0" collapsed="false">
      <c r="B99" s="57" t="n">
        <v>0.94</v>
      </c>
      <c r="C99" s="109" t="n">
        <f aca="false">IFERROR(IF(Adv_Rate&gt;=1,"-",((($C$23+0*$C$24-C$94*Sev-Svc_Fee/10000+(1-$B99)/$C$67)/$B99)-Adv_Rate*($C$25+0))/(1-Adv_Rate)+$C$79/10000),"-")</f>
        <v>0.0901403776322604</v>
      </c>
      <c r="D99" s="109" t="n">
        <f aca="false">IFERROR(IF(Adv_Rate&gt;=1,"-",((($C$23+0*$C$24-D$94*Sev-Svc_Fee/10000+(1-$B99)/$C$67)/$B99)-Adv_Rate*($C$25+0))/(1-Adv_Rate)+$C$79/10000),"-")</f>
        <v>0.0861510159301327</v>
      </c>
      <c r="E99" s="109" t="n">
        <f aca="false">IFERROR(IF(Adv_Rate&gt;=1,"-",((($C$23+0*$C$24-E$94*Sev-Svc_Fee/10000+(1-$B99)/$C$67)/$B99)-Adv_Rate*($C$25+0))/(1-Adv_Rate)+$C$79/10000),"-")</f>
        <v>0.0781722925258774</v>
      </c>
      <c r="F99" s="109" t="n">
        <f aca="false">IFERROR(IF(Adv_Rate&gt;=1,"-",((($C$23+0*$C$24-F$94*Sev-Svc_Fee/10000+(1-$B99)/$C$67)/$B99)-Adv_Rate*($C$25+0))/(1-Adv_Rate)+$C$79/10000),"-")</f>
        <v>0.070193569121622</v>
      </c>
      <c r="G99" s="109" t="n">
        <f aca="false">IFERROR(IF(Adv_Rate&gt;=1,"-",((($C$23+0*$C$24-G$94*Sev-Svc_Fee/10000+(1-$B99)/$C$67)/$B99)-Adv_Rate*($C$25+0))/(1-Adv_Rate)+$C$79/10000),"-")</f>
        <v>0.0622148457173667</v>
      </c>
      <c r="H99" s="109" t="n">
        <f aca="false">IFERROR(IF(Adv_Rate&gt;=1,"-",((($C$23+0*$C$24-H$94*Sev-Svc_Fee/10000+(1-$B99)/$C$67)/$B99)-Adv_Rate*($C$25+0))/(1-Adv_Rate)+$C$79/10000),"-")</f>
        <v>0.0542361223131114</v>
      </c>
    </row>
    <row r="100" customFormat="false" ht="15" hidden="false" customHeight="false" outlineLevel="0" collapsed="false">
      <c r="B100" s="57" t="n">
        <v>0.96</v>
      </c>
      <c r="C100" s="109" t="n">
        <f aca="false">IFERROR(IF(Adv_Rate&gt;=1,"-",((($C$23+0*$C$24-C$94*Sev-Svc_Fee/10000+(1-$B100)/$C$67)/$B100)-Adv_Rate*($C$25+0))/(1-Adv_Rate)+$C$79/10000),"-")</f>
        <v>0.05302955397719</v>
      </c>
      <c r="D100" s="109" t="n">
        <f aca="false">IFERROR(IF(Adv_Rate&gt;=1,"-",((($C$23+0*$C$24-D$94*Sev-Svc_Fee/10000+(1-$B100)/$C$67)/$B100)-Adv_Rate*($C$25+0))/(1-Adv_Rate)+$C$79/10000),"-")</f>
        <v>0.04912330397719</v>
      </c>
      <c r="E100" s="109" t="n">
        <f aca="false">IFERROR(IF(Adv_Rate&gt;=1,"-",((($C$23+0*$C$24-E$94*Sev-Svc_Fee/10000+(1-$B100)/$C$67)/$B100)-Adv_Rate*($C$25+0))/(1-Adv_Rate)+$C$79/10000),"-")</f>
        <v>0.0413108039771899</v>
      </c>
      <c r="F100" s="109" t="n">
        <f aca="false">IFERROR(IF(Adv_Rate&gt;=1,"-",((($C$23+0*$C$24-F$94*Sev-Svc_Fee/10000+(1-$B100)/$C$67)/$B100)-Adv_Rate*($C$25+0))/(1-Adv_Rate)+$C$79/10000),"-")</f>
        <v>0.03349830397719</v>
      </c>
      <c r="G100" s="109" t="n">
        <f aca="false">IFERROR(IF(Adv_Rate&gt;=1,"-",((($C$23+0*$C$24-G$94*Sev-Svc_Fee/10000+(1-$B100)/$C$67)/$B100)-Adv_Rate*($C$25+0))/(1-Adv_Rate)+$C$79/10000),"-")</f>
        <v>0.02568580397719</v>
      </c>
      <c r="H100" s="109" t="n">
        <f aca="false">IFERROR(IF(Adv_Rate&gt;=1,"-",((($C$23+0*$C$24-H$94*Sev-Svc_Fee/10000+(1-$B100)/$C$67)/$B100)-Adv_Rate*($C$25+0))/(1-Adv_Rate)+$C$79/10000),"-")</f>
        <v>0.0178733039771899</v>
      </c>
    </row>
    <row r="101" customFormat="false" ht="15" hidden="false" customHeight="false" outlineLevel="0" collapsed="false">
      <c r="B101" s="57" t="n">
        <v>0.98</v>
      </c>
      <c r="C101" s="109" t="n">
        <f aca="false">IFERROR(IF(Adv_Rate&gt;=1,"-",((($C$23+0*$C$24-C$94*Sev-Svc_Fee/10000+(1-$B101)/$C$67)/$B101)-Adv_Rate*($C$25+0))/(1-Adv_Rate)+$C$79/10000),"-")</f>
        <v>0.0174334578182449</v>
      </c>
      <c r="D101" s="109" t="n">
        <f aca="false">IFERROR(IF(Adv_Rate&gt;=1,"-",((($C$23+0*$C$24-D$94*Sev-Svc_Fee/10000+(1-$B101)/$C$67)/$B101)-Adv_Rate*($C$25+0))/(1-Adv_Rate)+$C$79/10000),"-")</f>
        <v>0.013606927206</v>
      </c>
      <c r="E101" s="109" t="n">
        <f aca="false">IFERROR(IF(Adv_Rate&gt;=1,"-",((($C$23+0*$C$24-E$94*Sev-Svc_Fee/10000+(1-$B101)/$C$67)/$B101)-Adv_Rate*($C$25+0))/(1-Adv_Rate)+$C$79/10000),"-")</f>
        <v>0.0059538659815102</v>
      </c>
      <c r="F101" s="109" t="n">
        <f aca="false">IFERROR(IF(Adv_Rate&gt;=1,"-",((($C$23+0*$C$24-F$94*Sev-Svc_Fee/10000+(1-$B101)/$C$67)/$B101)-Adv_Rate*($C$25+0))/(1-Adv_Rate)+$C$79/10000),"-")</f>
        <v>-0.00169919524297958</v>
      </c>
      <c r="G101" s="109" t="n">
        <f aca="false">IFERROR(IF(Adv_Rate&gt;=1,"-",((($C$23+0*$C$24-G$94*Sev-Svc_Fee/10000+(1-$B101)/$C$67)/$B101)-Adv_Rate*($C$25+0))/(1-Adv_Rate)+$C$79/10000),"-")</f>
        <v>-0.00935225646746937</v>
      </c>
      <c r="H101" s="109" t="n">
        <f aca="false">IFERROR(IF(Adv_Rate&gt;=1,"-",((($C$23+0*$C$24-H$94*Sev-Svc_Fee/10000+(1-$B101)/$C$67)/$B101)-Adv_Rate*($C$25+0))/(1-Adv_Rate)+$C$79/10000),"-")</f>
        <v>-0.0170053176919592</v>
      </c>
    </row>
    <row r="102" customFormat="false" ht="15" hidden="false" customHeight="false" outlineLevel="0" collapsed="false">
      <c r="B102" s="57" t="n">
        <v>1</v>
      </c>
      <c r="C102" s="109" t="n">
        <f aca="false">IFERROR(IF(Adv_Rate&gt;=1,"-",((($C$23+0*$C$24-C$94*Sev-Svc_Fee/10000+(1-$B102)/$C$67)/$B102)-Adv_Rate*($C$25+0))/(1-Adv_Rate)+$C$79/10000),"-")</f>
        <v>-0.0167387944943423</v>
      </c>
      <c r="D102" s="109" t="n">
        <f aca="false">IFERROR(IF(Adv_Rate&gt;=1,"-",((($C$23+0*$C$24-D$94*Sev-Svc_Fee/10000+(1-$B102)/$C$67)/$B102)-Adv_Rate*($C$25+0))/(1-Adv_Rate)+$C$79/10000),"-")</f>
        <v>-0.0204887944943423</v>
      </c>
      <c r="E102" s="109" t="n">
        <f aca="false">IFERROR(IF(Adv_Rate&gt;=1,"-",((($C$23+0*$C$24-E$94*Sev-Svc_Fee/10000+(1-$B102)/$C$67)/$B102)-Adv_Rate*($C$25+0))/(1-Adv_Rate)+$C$79/10000),"-")</f>
        <v>-0.0279887944943424</v>
      </c>
      <c r="F102" s="109" t="n">
        <f aca="false">IFERROR(IF(Adv_Rate&gt;=1,"-",((($C$23+0*$C$24-F$94*Sev-Svc_Fee/10000+(1-$B102)/$C$67)/$B102)-Adv_Rate*($C$25+0))/(1-Adv_Rate)+$C$79/10000),"-")</f>
        <v>-0.0354887944943423</v>
      </c>
      <c r="G102" s="109" t="n">
        <f aca="false">IFERROR(IF(Adv_Rate&gt;=1,"-",((($C$23+0*$C$24-G$94*Sev-Svc_Fee/10000+(1-$B102)/$C$67)/$B102)-Adv_Rate*($C$25+0))/(1-Adv_Rate)+$C$79/10000),"-")</f>
        <v>-0.0429887944943423</v>
      </c>
      <c r="H102" s="109" t="n">
        <f aca="false">IFERROR(IF(Adv_Rate&gt;=1,"-",((($C$23+0*$C$24-H$94*Sev-Svc_Fee/10000+(1-$B102)/$C$67)/$B102)-Adv_Rate*($C$25+0))/(1-Adv_Rate)+$C$79/10000),"-")</f>
        <v>-0.0504887944943423</v>
      </c>
    </row>
    <row r="103" customFormat="false" ht="15" hidden="false" customHeight="false" outlineLevel="0" collapsed="false">
      <c r="B103" s="30" t="s">
        <v>687</v>
      </c>
    </row>
    <row r="105" customFormat="false" ht="15" hidden="false" customHeight="false" outlineLevel="0" collapsed="false">
      <c r="B105" s="34" t="s">
        <v>688</v>
      </c>
      <c r="C105" s="34"/>
      <c r="D105" s="34"/>
      <c r="E105" s="34"/>
      <c r="F105" s="34"/>
      <c r="G105" s="34"/>
      <c r="H105" s="34"/>
      <c r="I105" s="34"/>
    </row>
    <row r="106" customFormat="false" ht="15" hidden="false" customHeight="false" outlineLevel="0" collapsed="false">
      <c r="B106" s="8" t="s">
        <v>689</v>
      </c>
      <c r="C106" s="123" t="n">
        <v>0</v>
      </c>
      <c r="D106" s="123" t="n">
        <v>0.4</v>
      </c>
      <c r="E106" s="123" t="n">
        <v>0.5</v>
      </c>
      <c r="F106" s="123" t="n">
        <v>0.55</v>
      </c>
      <c r="G106" s="123" t="n">
        <v>0.6</v>
      </c>
      <c r="H106" s="123" t="n">
        <v>0.65</v>
      </c>
      <c r="I106" s="123" t="n">
        <v>0.7</v>
      </c>
    </row>
    <row r="107" customFormat="false" ht="15" hidden="false" customHeight="false" outlineLevel="0" collapsed="false">
      <c r="B107" s="57" t="n">
        <v>-0.01</v>
      </c>
      <c r="C107" s="109" t="n">
        <f aca="false">IFERROR(IF(C$106&gt;=1,"-",((($C$23+$B107*$C$24-CDR*Sev-Svc_Fee/10000+(1-Px_Par)/$C$67)/Px_Par)-C$106*($C$25+$B107))/(1-C$106)+$C$79/10000),"-")</f>
        <v>0.0179705510045782</v>
      </c>
      <c r="D107" s="109" t="n">
        <f aca="false">IFERROR(IF(D$106&gt;=1,"-",((($C$23+$B107*$C$24-CDR*Sev-Svc_Fee/10000+(1-Px_Par)/$C$67)/Px_Par)-D$106*($C$25+$B107))/(1-D$106)+$C$79/10000),"-")</f>
        <v>0.0435392018142163</v>
      </c>
      <c r="E107" s="109" t="n">
        <f aca="false">IFERROR(IF(E$106&gt;=1,"-",((($C$23+$B107*$C$24-CDR*Sev-Svc_Fee/10000+(1-Px_Par)/$C$67)/Px_Par)-E$106*($C$25+$B107))/(1-E$106)+$C$79/10000),"-")</f>
        <v>0.0563235272190353</v>
      </c>
      <c r="F107" s="109" t="n">
        <f aca="false">IFERROR(IF(F$106&gt;=1,"-",((($C$23+$B107*$C$24-CDR*Sev-Svc_Fee/10000+(1-Px_Par)/$C$67)/Px_Par)-F$106*($C$25+$B107))/(1-F$106)+$C$79/10000),"-")</f>
        <v>0.064846410822248</v>
      </c>
      <c r="G107" s="109" t="n">
        <f aca="false">IFERROR(IF(G$106&gt;=1,"-",((($C$23+$B107*$C$24-CDR*Sev-Svc_Fee/10000+(1-Px_Par)/$C$67)/Px_Par)-G$106*($C$25+$B107))/(1-G$106)+$C$79/10000),"-")</f>
        <v>0.0755000153262638</v>
      </c>
      <c r="H107" s="109" t="n">
        <f aca="false">IFERROR(IF(H$106&gt;=1,"-",((($C$23+$B107*$C$24-CDR*Sev-Svc_Fee/10000+(1-Px_Par)/$C$67)/Px_Par)-H$106*($C$25+$B107))/(1-H$106)+$C$79/10000),"-")</f>
        <v>0.089197506831427</v>
      </c>
      <c r="I107" s="109" t="n">
        <f aca="false">IFERROR(IF(I$106&gt;=1,"-",((($C$23+$B107*$C$24-CDR*Sev-Svc_Fee/10000+(1-Px_Par)/$C$67)/Px_Par)-I$106*($C$25+$B107))/(1-I$106)+$C$79/10000),"-")</f>
        <v>0.107460828838311</v>
      </c>
    </row>
    <row r="108" customFormat="false" ht="15" hidden="false" customHeight="false" outlineLevel="0" collapsed="false">
      <c r="B108" s="57" t="n">
        <v>-0.005</v>
      </c>
      <c r="C108" s="109" t="n">
        <f aca="false">IFERROR(IF(C$106&gt;=1,"-",((($C$23+$B108*$C$24-CDR*Sev-Svc_Fee/10000+(1-Px_Par)/$C$67)/Px_Par)-C$106*($C$25+$B108))/(1-C$106)+$C$79/10000),"-")</f>
        <v>0.021505006444501</v>
      </c>
      <c r="D108" s="109" t="n">
        <f aca="false">IFERROR(IF(D$106&gt;=1,"-",((($C$23+$B108*$C$24-CDR*Sev-Svc_Fee/10000+(1-Px_Par)/$C$67)/Px_Par)-D$106*($C$25+$B108))/(1-D$106)+$C$79/10000),"-")</f>
        <v>0.0460966275474208</v>
      </c>
      <c r="E108" s="109" t="n">
        <f aca="false">IFERROR(IF(E$106&gt;=1,"-",((($C$23+$B108*$C$24-CDR*Sev-Svc_Fee/10000+(1-Px_Par)/$C$67)/Px_Par)-E$106*($C$25+$B108))/(1-E$106)+$C$79/10000),"-")</f>
        <v>0.0583924380988807</v>
      </c>
      <c r="F108" s="109" t="n">
        <f aca="false">IFERROR(IF(F$106&gt;=1,"-",((($C$23+$B108*$C$24-CDR*Sev-Svc_Fee/10000+(1-Px_Par)/$C$67)/Px_Par)-F$106*($C$25+$B108))/(1-F$106)+$C$79/10000),"-")</f>
        <v>0.0665896451331874</v>
      </c>
      <c r="G108" s="109" t="n">
        <f aca="false">IFERROR(IF(G$106&gt;=1,"-",((($C$23+$B108*$C$24-CDR*Sev-Svc_Fee/10000+(1-Px_Par)/$C$67)/Px_Par)-G$106*($C$25+$B108))/(1-G$106)+$C$79/10000),"-")</f>
        <v>0.0768361539260706</v>
      </c>
      <c r="H108" s="109" t="n">
        <f aca="false">IFERROR(IF(H$106&gt;=1,"-",((($C$23+$B108*$C$24-CDR*Sev-Svc_Fee/10000+(1-Px_Par)/$C$67)/Px_Par)-H$106*($C$25+$B108))/(1-H$106)+$C$79/10000),"-")</f>
        <v>0.0900102366597777</v>
      </c>
      <c r="I108" s="109" t="n">
        <f aca="false">IFERROR(IF(I$106&gt;=1,"-",((($C$23+$B108*$C$24-CDR*Sev-Svc_Fee/10000+(1-Px_Par)/$C$67)/Px_Par)-I$106*($C$25+$B108))/(1-I$106)+$C$79/10000),"-")</f>
        <v>0.10757568030472</v>
      </c>
    </row>
    <row r="109" customFormat="false" ht="15" hidden="false" customHeight="false" outlineLevel="0" collapsed="false">
      <c r="B109" s="57" t="n">
        <v>0</v>
      </c>
      <c r="C109" s="109" t="n">
        <f aca="false">IFERROR(IF(C$106&gt;=1,"-",((($C$23+$B109*$C$24-CDR*Sev-Svc_Fee/10000+(1-Px_Par)/$C$67)/Px_Par)-C$106*($C$25+$B109))/(1-C$106)+$C$79/10000),"-")</f>
        <v>0.0250394618844237</v>
      </c>
      <c r="D109" s="109" t="n">
        <f aca="false">IFERROR(IF(D$106&gt;=1,"-",((($C$23+$B109*$C$24-CDR*Sev-Svc_Fee/10000+(1-Px_Par)/$C$67)/Px_Par)-D$106*($C$25+$B109))/(1-D$106)+$C$79/10000),"-")</f>
        <v>0.0486540532806253</v>
      </c>
      <c r="E109" s="109" t="n">
        <f aca="false">IFERROR(IF(E$106&gt;=1,"-",((($C$23+$B109*$C$24-CDR*Sev-Svc_Fee/10000+(1-Px_Par)/$C$67)/Px_Par)-E$106*($C$25+$B109))/(1-E$106)+$C$79/10000),"-")</f>
        <v>0.0604613489787261</v>
      </c>
      <c r="F109" s="109" t="n">
        <f aca="false">IFERROR(IF(F$106&gt;=1,"-",((($C$23+$B109*$C$24-CDR*Sev-Svc_Fee/10000+(1-Px_Par)/$C$67)/Px_Par)-F$106*($C$25+$B109))/(1-F$106)+$C$79/10000),"-")</f>
        <v>0.0683328794441267</v>
      </c>
      <c r="G109" s="109" t="n">
        <f aca="false">IFERROR(IF(G$106&gt;=1,"-",((($C$23+$B109*$C$24-CDR*Sev-Svc_Fee/10000+(1-Px_Par)/$C$67)/Px_Par)-G$106*($C$25+$B109))/(1-G$106)+$C$79/10000),"-")</f>
        <v>0.0781722925258774</v>
      </c>
      <c r="H109" s="109" t="n">
        <f aca="false">IFERROR(IF(H$106&gt;=1,"-",((($C$23+$B109*$C$24-CDR*Sev-Svc_Fee/10000+(1-Px_Par)/$C$67)/Px_Par)-H$106*($C$25+$B109))/(1-H$106)+$C$79/10000),"-")</f>
        <v>0.0908229664881282</v>
      </c>
      <c r="I109" s="109" t="n">
        <f aca="false">IFERROR(IF(I$106&gt;=1,"-",((($C$23+$B109*$C$24-CDR*Sev-Svc_Fee/10000+(1-Px_Par)/$C$67)/Px_Par)-I$106*($C$25+$B109))/(1-I$106)+$C$79/10000),"-")</f>
        <v>0.107690531771129</v>
      </c>
    </row>
    <row r="110" customFormat="false" ht="15" hidden="false" customHeight="false" outlineLevel="0" collapsed="false">
      <c r="B110" s="57" t="n">
        <v>0.005</v>
      </c>
      <c r="C110" s="109" t="n">
        <f aca="false">IFERROR(IF(C$106&gt;=1,"-",((($C$23+$B110*$C$24-CDR*Sev-Svc_Fee/10000+(1-Px_Par)/$C$67)/Px_Par)-C$106*($C$25+$B110))/(1-C$106)+$C$79/10000),"-")</f>
        <v>0.0285739173243464</v>
      </c>
      <c r="D110" s="109" t="n">
        <f aca="false">IFERROR(IF(D$106&gt;=1,"-",((($C$23+$B110*$C$24-CDR*Sev-Svc_Fee/10000+(1-Px_Par)/$C$67)/Px_Par)-D$106*($C$25+$B110))/(1-D$106)+$C$79/10000),"-")</f>
        <v>0.0512114790138298</v>
      </c>
      <c r="E110" s="109" t="n">
        <f aca="false">IFERROR(IF(E$106&gt;=1,"-",((($C$23+$B110*$C$24-CDR*Sev-Svc_Fee/10000+(1-Px_Par)/$C$67)/Px_Par)-E$106*($C$25+$B110))/(1-E$106)+$C$79/10000),"-")</f>
        <v>0.0625302598585716</v>
      </c>
      <c r="F110" s="109" t="n">
        <f aca="false">IFERROR(IF(F$106&gt;=1,"-",((($C$23+$B110*$C$24-CDR*Sev-Svc_Fee/10000+(1-Px_Par)/$C$67)/Px_Par)-F$106*($C$25+$B110))/(1-F$106)+$C$79/10000),"-")</f>
        <v>0.070076113755066</v>
      </c>
      <c r="G110" s="109" t="n">
        <f aca="false">IFERROR(IF(G$106&gt;=1,"-",((($C$23+$B110*$C$24-CDR*Sev-Svc_Fee/10000+(1-Px_Par)/$C$67)/Px_Par)-G$106*($C$25+$B110))/(1-G$106)+$C$79/10000),"-")</f>
        <v>0.0795084311256842</v>
      </c>
      <c r="H110" s="109" t="n">
        <f aca="false">IFERROR(IF(H$106&gt;=1,"-",((($C$23+$B110*$C$24-CDR*Sev-Svc_Fee/10000+(1-Px_Par)/$C$67)/Px_Par)-H$106*($C$25+$B110))/(1-H$106)+$C$79/10000),"-")</f>
        <v>0.0916356963164789</v>
      </c>
      <c r="I110" s="109" t="n">
        <f aca="false">IFERROR(IF(I$106&gt;=1,"-",((($C$23+$B110*$C$24-CDR*Sev-Svc_Fee/10000+(1-Px_Par)/$C$67)/Px_Par)-I$106*($C$25+$B110))/(1-I$106)+$C$79/10000),"-")</f>
        <v>0.107805383237538</v>
      </c>
    </row>
    <row r="111" customFormat="false" ht="15" hidden="false" customHeight="false" outlineLevel="0" collapsed="false">
      <c r="B111" s="57" t="n">
        <v>0.01</v>
      </c>
      <c r="C111" s="109" t="n">
        <f aca="false">IFERROR(IF(C$106&gt;=1,"-",((($C$23+$B111*$C$24-CDR*Sev-Svc_Fee/10000+(1-Px_Par)/$C$67)/Px_Par)-C$106*($C$25+$B111))/(1-C$106)+$C$79/10000),"-")</f>
        <v>0.0321083727642691</v>
      </c>
      <c r="D111" s="109" t="n">
        <f aca="false">IFERROR(IF(D$106&gt;=1,"-",((($C$23+$B111*$C$24-CDR*Sev-Svc_Fee/10000+(1-Px_Par)/$C$67)/Px_Par)-D$106*($C$25+$B111))/(1-D$106)+$C$79/10000),"-")</f>
        <v>0.0537689047470344</v>
      </c>
      <c r="E111" s="109" t="n">
        <f aca="false">IFERROR(IF(E$106&gt;=1,"-",((($C$23+$B111*$C$24-CDR*Sev-Svc_Fee/10000+(1-Px_Par)/$C$67)/Px_Par)-E$106*($C$25+$B111))/(1-E$106)+$C$79/10000),"-")</f>
        <v>0.064599170738417</v>
      </c>
      <c r="F111" s="109" t="n">
        <f aca="false">IFERROR(IF(F$106&gt;=1,"-",((($C$23+$B111*$C$24-CDR*Sev-Svc_Fee/10000+(1-Px_Par)/$C$67)/Px_Par)-F$106*($C$25+$B111))/(1-F$106)+$C$79/10000),"-")</f>
        <v>0.0718193480660054</v>
      </c>
      <c r="G111" s="109" t="n">
        <f aca="false">IFERROR(IF(G$106&gt;=1,"-",((($C$23+$B111*$C$24-CDR*Sev-Svc_Fee/10000+(1-Px_Par)/$C$67)/Px_Par)-G$106*($C$25+$B111))/(1-G$106)+$C$79/10000),"-")</f>
        <v>0.0808445697254909</v>
      </c>
      <c r="H111" s="109" t="n">
        <f aca="false">IFERROR(IF(H$106&gt;=1,"-",((($C$23+$B111*$C$24-CDR*Sev-Svc_Fee/10000+(1-Px_Par)/$C$67)/Px_Par)-H$106*($C$25+$B111))/(1-H$106)+$C$79/10000),"-")</f>
        <v>0.0924484261448295</v>
      </c>
      <c r="I111" s="109" t="n">
        <f aca="false">IFERROR(IF(I$106&gt;=1,"-",((($C$23+$B111*$C$24-CDR*Sev-Svc_Fee/10000+(1-Px_Par)/$C$67)/Px_Par)-I$106*($C$25+$B111))/(1-I$106)+$C$79/10000),"-")</f>
        <v>0.107920234703948</v>
      </c>
    </row>
    <row r="112" customFormat="false" ht="15" hidden="false" customHeight="false" outlineLevel="0" collapsed="false">
      <c r="B112" s="57" t="n">
        <v>0.015</v>
      </c>
      <c r="C112" s="109" t="n">
        <f aca="false">IFERROR(IF(C$106&gt;=1,"-",((($C$23+$B112*$C$24-CDR*Sev-Svc_Fee/10000+(1-Px_Par)/$C$67)/Px_Par)-C$106*($C$25+$B112))/(1-C$106)+$C$79/10000),"-")</f>
        <v>0.0356428282041918</v>
      </c>
      <c r="D112" s="109" t="n">
        <f aca="false">IFERROR(IF(D$106&gt;=1,"-",((($C$23+$B112*$C$24-CDR*Sev-Svc_Fee/10000+(1-Px_Par)/$C$67)/Px_Par)-D$106*($C$25+$B112))/(1-D$106)+$C$79/10000),"-")</f>
        <v>0.0563263304802389</v>
      </c>
      <c r="E112" s="109" t="n">
        <f aca="false">IFERROR(IF(E$106&gt;=1,"-",((($C$23+$B112*$C$24-CDR*Sev-Svc_Fee/10000+(1-Px_Par)/$C$67)/Px_Par)-E$106*($C$25+$B112))/(1-E$106)+$C$79/10000),"-")</f>
        <v>0.0666680816182624</v>
      </c>
      <c r="F112" s="109" t="n">
        <f aca="false">IFERROR(IF(F$106&gt;=1,"-",((($C$23+$B112*$C$24-CDR*Sev-Svc_Fee/10000+(1-Px_Par)/$C$67)/Px_Par)-F$106*($C$25+$B112))/(1-F$106)+$C$79/10000),"-")</f>
        <v>0.0735625823769448</v>
      </c>
      <c r="G112" s="109" t="n">
        <f aca="false">IFERROR(IF(G$106&gt;=1,"-",((($C$23+$B112*$C$24-CDR*Sev-Svc_Fee/10000+(1-Px_Par)/$C$67)/Px_Par)-G$106*($C$25+$B112))/(1-G$106)+$C$79/10000),"-")</f>
        <v>0.0821807083252977</v>
      </c>
      <c r="H112" s="109" t="n">
        <f aca="false">IFERROR(IF(H$106&gt;=1,"-",((($C$23+$B112*$C$24-CDR*Sev-Svc_Fee/10000+(1-Px_Par)/$C$67)/Px_Par)-H$106*($C$25+$B112))/(1-H$106)+$C$79/10000),"-")</f>
        <v>0.0932611559731801</v>
      </c>
      <c r="I112" s="109" t="n">
        <f aca="false">IFERROR(IF(I$106&gt;=1,"-",((($C$23+$B112*$C$24-CDR*Sev-Svc_Fee/10000+(1-Px_Par)/$C$67)/Px_Par)-I$106*($C$25+$B112))/(1-I$106)+$C$79/10000),"-")</f>
        <v>0.108035086170357</v>
      </c>
    </row>
    <row r="113" customFormat="false" ht="15" hidden="false" customHeight="false" outlineLevel="0" collapsed="false">
      <c r="B113" s="57" t="n">
        <v>0.02</v>
      </c>
      <c r="C113" s="109" t="n">
        <f aca="false">IFERROR(IF(C$106&gt;=1,"-",((($C$23+$B113*$C$24-CDR*Sev-Svc_Fee/10000+(1-Px_Par)/$C$67)/Px_Par)-C$106*($C$25+$B113))/(1-C$106)+$C$79/10000),"-")</f>
        <v>0.0391772836441145</v>
      </c>
      <c r="D113" s="109" t="n">
        <f aca="false">IFERROR(IF(D$106&gt;=1,"-",((($C$23+$B113*$C$24-CDR*Sev-Svc_Fee/10000+(1-Px_Par)/$C$67)/Px_Par)-D$106*($C$25+$B113))/(1-D$106)+$C$79/10000),"-")</f>
        <v>0.0588837562134434</v>
      </c>
      <c r="E113" s="109" t="n">
        <f aca="false">IFERROR(IF(E$106&gt;=1,"-",((($C$23+$B113*$C$24-CDR*Sev-Svc_Fee/10000+(1-Px_Par)/$C$67)/Px_Par)-E$106*($C$25+$B113))/(1-E$106)+$C$79/10000),"-")</f>
        <v>0.0687369924981078</v>
      </c>
      <c r="F113" s="109" t="n">
        <f aca="false">IFERROR(IF(F$106&gt;=1,"-",((($C$23+$B113*$C$24-CDR*Sev-Svc_Fee/10000+(1-Px_Par)/$C$67)/Px_Par)-F$106*($C$25+$B113))/(1-F$106)+$C$79/10000),"-")</f>
        <v>0.0753058166878841</v>
      </c>
      <c r="G113" s="109" t="n">
        <f aca="false">IFERROR(IF(G$106&gt;=1,"-",((($C$23+$B113*$C$24-CDR*Sev-Svc_Fee/10000+(1-Px_Par)/$C$67)/Px_Par)-G$106*($C$25+$B113))/(1-G$106)+$C$79/10000),"-")</f>
        <v>0.0835168469251045</v>
      </c>
      <c r="H113" s="109" t="n">
        <f aca="false">IFERROR(IF(H$106&gt;=1,"-",((($C$23+$B113*$C$24-CDR*Sev-Svc_Fee/10000+(1-Px_Par)/$C$67)/Px_Par)-H$106*($C$25+$B113))/(1-H$106)+$C$79/10000),"-")</f>
        <v>0.0940738858015307</v>
      </c>
      <c r="I113" s="109" t="n">
        <f aca="false">IFERROR(IF(I$106&gt;=1,"-",((($C$23+$B113*$C$24-CDR*Sev-Svc_Fee/10000+(1-Px_Par)/$C$67)/Px_Par)-I$106*($C$25+$B113))/(1-I$106)+$C$79/10000),"-")</f>
        <v>0.108149937636766</v>
      </c>
    </row>
    <row r="114" customFormat="false" ht="15" hidden="false" customHeight="false" outlineLevel="0" collapsed="false">
      <c r="B114" s="30" t="s">
        <v>690</v>
      </c>
    </row>
    <row r="116" customFormat="false" ht="18" hidden="false" customHeight="true" outlineLevel="0" collapsed="false">
      <c r="B116" s="5" t="s">
        <v>691</v>
      </c>
      <c r="C116" s="5"/>
      <c r="D116" s="5"/>
      <c r="E116" s="5"/>
      <c r="F116" s="5"/>
    </row>
    <row r="117" customFormat="false" ht="27.75" hidden="false" customHeight="true" outlineLevel="0" collapsed="false">
      <c r="B117" s="8" t="s">
        <v>692</v>
      </c>
      <c r="C117" s="9" t="s">
        <v>693</v>
      </c>
      <c r="D117" s="9" t="s">
        <v>513</v>
      </c>
      <c r="E117" s="9" t="s">
        <v>694</v>
      </c>
    </row>
    <row r="118" customFormat="false" ht="15" hidden="false" customHeight="false" outlineLevel="0" collapsed="false">
      <c r="B118" s="31" t="s">
        <v>695</v>
      </c>
      <c r="C118" s="99" t="n">
        <f aca="false">C19-C15</f>
        <v>0</v>
      </c>
      <c r="D118" s="124" t="str">
        <f aca="false">IF(ABS(C118)&lt;1,"OK","CHECK")</f>
        <v>OK</v>
      </c>
      <c r="E118" s="120" t="s">
        <v>696</v>
      </c>
    </row>
    <row r="119" customFormat="false" ht="15" hidden="false" customHeight="false" outlineLevel="0" collapsed="false">
      <c r="B119" s="25" t="s">
        <v>697</v>
      </c>
      <c r="C119" s="71" t="n">
        <f aca="false">SUM('Loan Tape'!$BB$4:$BB$303)-C20</f>
        <v>0</v>
      </c>
      <c r="D119" s="94" t="str">
        <f aca="false">IF(ABS(C119)&lt;1,"OK","CHECK")</f>
        <v>OK</v>
      </c>
      <c r="E119" s="30" t="s">
        <v>698</v>
      </c>
    </row>
    <row r="120" customFormat="false" ht="15" hidden="false" customHeight="false" outlineLevel="0" collapsed="false">
      <c r="B120" s="31" t="s">
        <v>699</v>
      </c>
      <c r="C120" s="99" t="n">
        <f aca="false">SUM($D$41:$M$41)-SUM($D$57:$M$57)</f>
        <v>0</v>
      </c>
      <c r="D120" s="124" t="str">
        <f aca="false">IF(ABS(C120)&lt;1,"OK","CHECK")</f>
        <v>OK</v>
      </c>
      <c r="E120" s="120" t="s">
        <v>700</v>
      </c>
    </row>
    <row r="121" customFormat="false" ht="15" hidden="false" customHeight="false" outlineLevel="0" collapsed="false">
      <c r="B121" s="25" t="s">
        <v>701</v>
      </c>
      <c r="C121" s="71" t="n">
        <f aca="false">SUM($D$54:$M$54)-SUM($D$58:$M$58)-SUM($D$42:$M$42)-SUM($D$43:$M$43)-SUM($D$44:$M$44)</f>
        <v>3.79979610443115E-007</v>
      </c>
      <c r="D121" s="94" t="str">
        <f aca="false">IF(ABS(C121)&lt;1,"OK","CHECK")</f>
        <v>OK</v>
      </c>
      <c r="E121" s="30" t="s">
        <v>702</v>
      </c>
    </row>
    <row r="122" customFormat="false" ht="15" hidden="false" customHeight="false" outlineLevel="0" collapsed="false">
      <c r="B122" s="31" t="s">
        <v>703</v>
      </c>
      <c r="C122" s="99" t="n">
        <f aca="false">C7-SUM('Loan CF'!$C$917:$L$1216)-SUM('Loan CF'!$C$1220:$L$1519)-SUM('Loan CF'!$C$1523:$L$1822)-SUM('Loan CF'!$C$614:$L$913)-SUM('Loan CF'!$M$8:$M$307)</f>
        <v>0</v>
      </c>
      <c r="D122" s="124" t="str">
        <f aca="false">IF(ABS(C122)&lt;1,"OK","CHECK")</f>
        <v>OK</v>
      </c>
      <c r="E122" s="120" t="s">
        <v>704</v>
      </c>
    </row>
    <row r="123" customFormat="false" ht="15" hidden="false" customHeight="false" outlineLevel="0" collapsed="false">
      <c r="B123" s="25" t="s">
        <v>705</v>
      </c>
      <c r="C123" s="71" t="n">
        <f aca="false">Strats!$C$5-SUM('Loan Tape'!$R$4:$R$303)</f>
        <v>0</v>
      </c>
      <c r="D123" s="94" t="str">
        <f aca="false">IF(ABS(C123)&lt;1,"OK","CHECK")</f>
        <v>OK</v>
      </c>
      <c r="E123" s="30" t="s">
        <v>706</v>
      </c>
    </row>
    <row r="125" customFormat="false" ht="15" hidden="false" customHeight="false" outlineLevel="0" collapsed="false">
      <c r="B125" s="30" t="s">
        <v>707</v>
      </c>
    </row>
  </sheetData>
  <mergeCells count="9">
    <mergeCell ref="B2:M2"/>
    <mergeCell ref="B5:E5"/>
    <mergeCell ref="B32:M32"/>
    <mergeCell ref="B60:H60"/>
    <mergeCell ref="B75:J75"/>
    <mergeCell ref="B81:I81"/>
    <mergeCell ref="B93:H93"/>
    <mergeCell ref="B105:I105"/>
    <mergeCell ref="B116:F116"/>
  </mergeCells>
  <conditionalFormatting sqref="C83:I90">
    <cfRule type="colorScale" priority="2">
      <colorScale>
        <cfvo type="min" val="0"/>
        <cfvo type="percentile" val="50"/>
        <cfvo type="max" val="0"/>
        <color rgb="FFF2DCDB"/>
        <color rgb="FFFFFFFF"/>
        <color rgb="FFE2EFDA"/>
      </colorScale>
    </cfRule>
    <cfRule type="expression" priority="3" aboveAverage="0" equalAverage="0" bottom="0" percent="0" rank="0" text="" dxfId="42">
      <formula>AND($B83=Px_Par,C$82=Adv_Rate)</formula>
    </cfRule>
  </conditionalFormatting>
  <conditionalFormatting sqref="C95:H102">
    <cfRule type="colorScale" priority="4">
      <colorScale>
        <cfvo type="min" val="0"/>
        <cfvo type="percentile" val="50"/>
        <cfvo type="max" val="0"/>
        <color rgb="FFF2DCDB"/>
        <color rgb="FFFFFFFF"/>
        <color rgb="FFE2EFDA"/>
      </colorScale>
    </cfRule>
    <cfRule type="expression" priority="5" aboveAverage="0" equalAverage="0" bottom="0" percent="0" rank="0" text="" dxfId="42">
      <formula>AND($B95=Px_Par,C$94=CDR)</formula>
    </cfRule>
  </conditionalFormatting>
  <conditionalFormatting sqref="C107:I113">
    <cfRule type="colorScale" priority="6">
      <colorScale>
        <cfvo type="min" val="0"/>
        <cfvo type="percentile" val="50"/>
        <cfvo type="max" val="0"/>
        <color rgb="FFF2DCDB"/>
        <color rgb="FFFFFFFF"/>
        <color rgb="FFE2EFDA"/>
      </colorScale>
    </cfRule>
    <cfRule type="expression" priority="7" aboveAverage="0" equalAverage="0" bottom="0" percent="0" rank="0" text="" dxfId="42">
      <formula>AND($B107=Idx_Shift/10000,C$106=Adv_Rate)</formula>
    </cfRule>
  </conditionalFormatting>
  <conditionalFormatting sqref="D118">
    <cfRule type="expression" priority="8" aboveAverage="0" equalAverage="0" bottom="0" percent="0" rank="0" text="" dxfId="43">
      <formula>D118="CHECK"</formula>
    </cfRule>
    <cfRule type="expression" priority="9" aboveAverage="0" equalAverage="0" bottom="0" percent="0" rank="0" text="" dxfId="44">
      <formula>D118="OK"</formula>
    </cfRule>
  </conditionalFormatting>
  <conditionalFormatting sqref="D119">
    <cfRule type="expression" priority="10" aboveAverage="0" equalAverage="0" bottom="0" percent="0" rank="0" text="" dxfId="43">
      <formula>D119="CHECK"</formula>
    </cfRule>
    <cfRule type="expression" priority="11" aboveAverage="0" equalAverage="0" bottom="0" percent="0" rank="0" text="" dxfId="44">
      <formula>D119="OK"</formula>
    </cfRule>
  </conditionalFormatting>
  <conditionalFormatting sqref="D120">
    <cfRule type="expression" priority="12" aboveAverage="0" equalAverage="0" bottom="0" percent="0" rank="0" text="" dxfId="43">
      <formula>D120="CHECK"</formula>
    </cfRule>
    <cfRule type="expression" priority="13" aboveAverage="0" equalAverage="0" bottom="0" percent="0" rank="0" text="" dxfId="44">
      <formula>D120="OK"</formula>
    </cfRule>
  </conditionalFormatting>
  <conditionalFormatting sqref="D121">
    <cfRule type="expression" priority="14" aboveAverage="0" equalAverage="0" bottom="0" percent="0" rank="0" text="" dxfId="43">
      <formula>D121="CHECK"</formula>
    </cfRule>
    <cfRule type="expression" priority="15" aboveAverage="0" equalAverage="0" bottom="0" percent="0" rank="0" text="" dxfId="44">
      <formula>D121="OK"</formula>
    </cfRule>
  </conditionalFormatting>
  <conditionalFormatting sqref="D122">
    <cfRule type="expression" priority="16" aboveAverage="0" equalAverage="0" bottom="0" percent="0" rank="0" text="" dxfId="43">
      <formula>D122="CHECK"</formula>
    </cfRule>
    <cfRule type="expression" priority="17" aboveAverage="0" equalAverage="0" bottom="0" percent="0" rank="0" text="" dxfId="44">
      <formula>D122="OK"</formula>
    </cfRule>
  </conditionalFormatting>
  <conditionalFormatting sqref="D123">
    <cfRule type="expression" priority="18" aboveAverage="0" equalAverage="0" bottom="0" percent="0" rank="0" text="" dxfId="43">
      <formula>D123="CHECK"</formula>
    </cfRule>
    <cfRule type="expression" priority="19" aboveAverage="0" equalAverage="0" bottom="0" percent="0" rank="0" text="" dxfId="44">
      <formula>D123="OK"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2026-09-03T17:13:36Z</dcterms:created>
  <dc:creator>openpyxl</dc:creator>
  <dc:description/>
  <dc:language>en-US</dc:language>
  <cp:lastModifiedBy>Russell, Charlie</cp:lastModifiedBy>
  <dcterms:modified xsi:type="dcterms:W3CDTF">2026-09-10T19:18:55Z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